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Saisie programme" sheetId="2" state="visible" r:id="rId4"/>
    <sheet name="Vols additionnels" sheetId="3" state="visible" r:id="rId5"/>
    <sheet name="Analyse capacite" sheetId="4" state="visible" r:id="rId6"/>
    <sheet name="Base de donnees" sheetId="5" state="visible" r:id="rId7"/>
  </sheets>
  <definedNames>
    <definedName function="false" hidden="false" localSheetId="3" name="_xlnm.Print_Area" vbProcedure="false">'Analyse capacite'!$B$1:$O$78</definedName>
    <definedName function="false" hidden="true" localSheetId="4" name="_xlnm._FilterDatabase" vbProcedure="false">'Base de donnees'!$B$4:$K$13180</definedName>
    <definedName function="false" hidden="false" localSheetId="0" name="_xlnm.Print_Area" vbProcedure="false">'Programme de vols'!$B$1:$N$39</definedName>
    <definedName function="false" hidden="false" localSheetId="2" name="_xlnm.Print_Area" vbProcedure="false">'Vols additionnels'!$B$1:$G$66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Un caractere par rotation partant ce jour-la.
0 (ou x) = retour le jour meme, 1 = retour J+1, 2 = J+2, 3 = J+3.
Ex. : 01 = deux rotations, une rentre le jour meme, l'autre le lendemain.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Date de depart du vol (25/03/2027 -&gt; 31/03/2028).
Nb de rotations : 1 pour un ajout, -1 pour un retrait, 2 ou -2 pour deux vols.
Retour J+n : 0 = retour le jour meme, 1 = le lendemain, etc.</t>
        </r>
      </text>
    </comment>
  </commentList>
</comments>
</file>

<file path=xl/sharedStrings.xml><?xml version="1.0" encoding="utf-8"?>
<sst xmlns="http://schemas.openxmlformats.org/spreadsheetml/2006/main" count="41472" uniqueCount="258">
  <si>
    <t xml:space="preserve">PROGRAMME DE VOLS MENSUEL - ANNEE D'EXPLOITATION AVRIL 2027 / MARS 2028</t>
  </si>
  <si>
    <t xml:space="preserve">Feuille de lecture : les deux filtres pilotent la grille ; le recapitulatif ne suit que le filtre Mois. La saisie se fait sur "Saisie programme" (12 tableaux) et "Vols additionnels" (ajouts et retraits dates). Une rotation = un aller-retour : elle compte 0,5 le mois de son depart et 0,5 le mois de son retour, donc un aller-retour a cheval sur deux mois est partage entre eux.</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</si>
  <si>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</si>
  <si>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</si>
  <si>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</si>
  <si>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</si>
  <si>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</si>
  <si>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</si>
  <si>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</si>
  <si>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listes deroulantes. Le filtre Mois designe le tableau de saisie lu.</t>
  </si>
  <si>
    <t xml:space="preserve">1er jour du mois</t>
  </si>
  <si>
    <t xml:space="preserve">77W</t>
  </si>
  <si>
    <t xml:space="preserve">CDGRUN</t>
  </si>
  <si>
    <t xml:space="preserve">FILTRE  ROUTE</t>
  </si>
  <si>
    <t xml:space="preserve">NOSRUN</t>
  </si>
  <si>
    <t xml:space="preserve">&gt;&gt; Aller a la saisie du programme</t>
  </si>
  <si>
    <t xml:space="preserve">&gt;&gt; Aller aux vols additionnels</t>
  </si>
  <si>
    <t xml:space="preserve">Dernier jour du mois</t>
  </si>
  <si>
    <t xml:space="preserve">mai 2027</t>
  </si>
  <si>
    <t xml:space="preserve">787</t>
  </si>
  <si>
    <t xml:space="preserve">CDGDZA</t>
  </si>
  <si>
    <t xml:space="preserve">GRILLE MENSUELLE  -  rotations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</si>
  <si>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</si>
  <si>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</si>
  <si>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</si>
  <si>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</si>
  <si>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</si>
  <si>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</si>
  <si>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</si>
  <si>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</si>
  <si>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</si>
  <si>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</si>
  <si>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</si>
  <si>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</si>
  <si>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</si>
  <si>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</si>
  <si>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</si>
  <si>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</si>
  <si>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</si>
  <si>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</si>
  <si>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</si>
  <si>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</si>
  <si>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</si>
  <si>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</si>
  <si>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</si>
  <si>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</si>
  <si>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</si>
  <si>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</si>
  <si>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</si>
  <si>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</si>
  <si>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</si>
  <si>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</si>
  <si>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</si>
  <si>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</si>
  <si>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</si>
  <si>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</si>
  <si>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</si>
  <si>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</si>
  <si>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</si>
  <si>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</si>
  <si>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</si>
  <si>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</si>
  <si>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</si>
  <si>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</si>
  <si>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</si>
  <si>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</si>
  <si>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</si>
  <si>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</si>
  <si>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</si>
  <si>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</si>
  <si>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</si>
  <si>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</si>
  <si>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Departs du jour (texte)</t>
  </si>
  <si>
    <t xml:space="preserve">Semaine 6</t>
  </si>
  <si>
    <t xml:space="preserve">77W : code du mois</t>
  </si>
  <si>
    <t xml:space="preserve">787 : code du mois</t>
  </si>
  <si>
    <t xml:space="preserve">Occurrences du jour dans le mois</t>
  </si>
  <si>
    <t xml:space="preserve">A320 : code du mois</t>
  </si>
  <si>
    <t xml:space="preserve">Nb de semaines calendaires du mois</t>
  </si>
  <si>
    <t xml:space="preserve">Lecture : 1re ligne = les rotations qui PARTENT ce jour-la ("2xA320" = deux rotations A320)  |  2e ligne "&lt; 787" = les RETOURS du jour  |  cellule encadree en VERT = vol AJOUTE "(+787)", encadree en ROUGE = vol RETIRE "(-787)", saisis sur la feuille Vols additionnels.</t>
  </si>
  <si>
    <t xml:space="preserve">77W : code du mois precedent</t>
  </si>
  <si>
    <t xml:space="preserve">787 : code du mois precedent</t>
  </si>
  <si>
    <t xml:space="preserve">RECAPITULATIF MENSUEL - TOUTES ROUTES  (depend uniquement du filtre Mois)</t>
  </si>
  <si>
    <t xml:space="preserve">A320 : code du mois precedent</t>
  </si>
  <si>
    <t xml:space="preserve">Route</t>
  </si>
  <si>
    <t xml:space="preserve">Semaine type du mois (jours J1-J7)</t>
  </si>
  <si>
    <t xml:space="preserve">Rotations/semaine</t>
  </si>
  <si>
    <t xml:space="preserve">Nb de semaines/occurrences dans le mois</t>
  </si>
  <si>
    <t xml:space="preserve">Departs du mois</t>
  </si>
  <si>
    <t xml:space="preserve">Arrivees du mois</t>
  </si>
  <si>
    <t xml:space="preserve">dont programme du mois</t>
  </si>
  <si>
    <t xml:space="preserve">dont vols additionnels</t>
  </si>
  <si>
    <t xml:space="preserve">Rotations 77W</t>
  </si>
  <si>
    <t xml:space="preserve">Rotations 787</t>
  </si>
  <si>
    <t xml:space="preserve">Rotations A320</t>
  </si>
  <si>
    <t xml:space="preserve">77W : rotations au depart</t>
  </si>
  <si>
    <t xml:space="preserve">787 : rotations au depart</t>
  </si>
  <si>
    <t xml:space="preserve">A320 : rotations au depart</t>
  </si>
  <si>
    <t xml:space="preserve">RETOURS PAR DATE (auto - un retour du debut de mois vient du tableau du mois precedent)</t>
  </si>
  <si>
    <t xml:space="preserve">Type / semaine</t>
  </si>
  <si>
    <t xml:space="preserve">77W - semaine 1</t>
  </si>
  <si>
    <t xml:space="preserve">77W - semaine 2</t>
  </si>
  <si>
    <t xml:space="preserve">77W - semaine 3</t>
  </si>
  <si>
    <t xml:space="preserve">77W - semaine 4</t>
  </si>
  <si>
    <t xml:space="preserve">77W - semaine 5</t>
  </si>
  <si>
    <t xml:space="preserve">77W - semaine 6</t>
  </si>
  <si>
    <t xml:space="preserve">787 - semaine 1</t>
  </si>
  <si>
    <t xml:space="preserve">TOTAL GENERAL</t>
  </si>
  <si>
    <t xml:space="preserve">787 - semaine 2</t>
  </si>
  <si>
    <t xml:space="preserve">Methode : chaque caractere saisi dans une case = une rotation, c'est-a-dire un aller-retour. Elle compte un DEPART le jour ou elle part et une ARRIVEE le jour ou elle rentre (jour du depart + le chiffre du caractere). Le total du mois vaut (departs + arrivees) / 2 : une rotation entierement dans le mois compte 1, une rotation partie en fin de mois et rentree le mois suivant compte 0,5 de chaque cote. Les arrivees du debut de mois issues du mois precedent sont reprises du tableau de ce mois precedent. Les occurrences de chaque jour sont comptees sur les dates reelles (semaines partielles incluses).</t>
  </si>
  <si>
    <t xml:space="preserve">787 - semaine 3</t>
  </si>
  <si>
    <t xml:space="preserve">787 - semaine 4</t>
  </si>
  <si>
    <t xml:space="preserve">787 - semaine 5</t>
  </si>
  <si>
    <t xml:space="preserve">787 - semaine 6</t>
  </si>
  <si>
    <t xml:space="preserve">A320 - semaine 1</t>
  </si>
  <si>
    <t xml:space="preserve">A320 - semaine 2</t>
  </si>
  <si>
    <t xml:space="preserve">A320 - semaine 3</t>
  </si>
  <si>
    <t xml:space="preserve">A320 - semaine 4</t>
  </si>
  <si>
    <t xml:space="preserve">A320 - semaine 5</t>
  </si>
  <si>
    <t xml:space="preserve">A320 - semaine 6</t>
  </si>
  <si>
    <t xml:space="preserve">TEXTES DE LA GRILLE (auto - programme + vols additionnels)</t>
  </si>
  <si>
    <t xml:space="preserve">Departs - semaine 1</t>
  </si>
  <si>
    <t xml:space="preserve">Departs - semaine 2</t>
  </si>
  <si>
    <t xml:space="preserve">Departs - semaine 3</t>
  </si>
  <si>
    <t xml:space="preserve">Departs - semaine 4</t>
  </si>
  <si>
    <t xml:space="preserve">Departs - semaine 5</t>
  </si>
  <si>
    <t xml:space="preserve">Departs - semaine 6</t>
  </si>
  <si>
    <t xml:space="preserve">Retours - semaine 1</t>
  </si>
  <si>
    <t xml:space="preserve">Retours - semaine 2</t>
  </si>
  <si>
    <t xml:space="preserve">Retours - semaine 3</t>
  </si>
  <si>
    <t xml:space="preserve">Retours - semaine 4</t>
  </si>
  <si>
    <t xml:space="preserve">Retours - semaine 5</t>
  </si>
  <si>
    <t xml:space="preserve">Retours - semaine 6</t>
  </si>
  <si>
    <t xml:space="preserve">PROGRAMME DU MOIS FILTRE, TOUTES ROUTES (auto)</t>
  </si>
  <si>
    <t xml:space="preserve">Route / type</t>
  </si>
  <si>
    <t xml:space="preserve">Fin de mois (retours en M+1)</t>
  </si>
  <si>
    <t xml:space="preserve">Fin du mois precedent (retours en M)</t>
  </si>
  <si>
    <t xml:space="preserve">CDGRUN - 77W</t>
  </si>
  <si>
    <t xml:space="preserve">CDGRUN - 787</t>
  </si>
  <si>
    <t xml:space="preserve">CDGRUN - A320</t>
  </si>
  <si>
    <t xml:space="preserve">CDGDZA - 77W</t>
  </si>
  <si>
    <t xml:space="preserve">CDGDZA - 787</t>
  </si>
  <si>
    <t xml:space="preserve">CDGDZA - A320</t>
  </si>
  <si>
    <t xml:space="preserve">BKKRUN - 77W</t>
  </si>
  <si>
    <t xml:space="preserve">BKKRUN - 787</t>
  </si>
  <si>
    <t xml:space="preserve">BKKRUN - A320</t>
  </si>
  <si>
    <t xml:space="preserve">DZARUN - 77W</t>
  </si>
  <si>
    <t xml:space="preserve">DZARUN - 787</t>
  </si>
  <si>
    <t xml:space="preserve">DZARUN - A320</t>
  </si>
  <si>
    <t xml:space="preserve">MRURUN - 77W</t>
  </si>
  <si>
    <t xml:space="preserve">MRURUN - 787</t>
  </si>
  <si>
    <t xml:space="preserve">MRURUN - A320</t>
  </si>
  <si>
    <t xml:space="preserve">NOSRUN - 77W</t>
  </si>
  <si>
    <t xml:space="preserve">NOSRUN - 787</t>
  </si>
  <si>
    <t xml:space="preserve">NOSRUN - A320</t>
  </si>
  <si>
    <t xml:space="preserve">RUNTNR - 77W</t>
  </si>
  <si>
    <t xml:space="preserve">RUNTNR - 787</t>
  </si>
  <si>
    <t xml:space="preserve">RUNTNR - A320</t>
  </si>
  <si>
    <t xml:space="preserve">JNBRUN - 77W</t>
  </si>
  <si>
    <t xml:space="preserve">JNBRUN - 787</t>
  </si>
  <si>
    <t xml:space="preserve">JNBRUN - A320</t>
  </si>
  <si>
    <t xml:space="preserve">CPTRUN - 77W</t>
  </si>
  <si>
    <t xml:space="preserve">CPTRUN - 787</t>
  </si>
  <si>
    <t xml:space="preserve">CPTRUN - A320</t>
  </si>
  <si>
    <t xml:space="preserve">DIERUN - 77W</t>
  </si>
  <si>
    <t xml:space="preserve">DIERUN - 787</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</si>
  <si>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</si>
  <si>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</si>
  <si>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</si>
  <si>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</si>
  <si>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</si>
  <si>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</si>
  <si>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</si>
  <si>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SAISIE DU PROGRAMME - 12 TABLEAUX, UN PAR MOIS</t>
  </si>
  <si>
    <t xml:space="preserve">Cellules en BLEU = saisie utilisateur. Chaque route occupe 3 lignes = les 3 types avion. Dans la case d'un jour, on saisit UN CARACTERE PAR ROTATION (aller-retour) qui PART ce jour-la, et ce caractere indique QUAND CETTE ROTATION RENTRE :  0 (ou x) = retour le jour meme  |  1 = retour a J+1  |  2 = J+2  |  3 = J+3.  Un caractere par rotation : "0" = 1 rotation A/R dans la journee, "1" = 1 rotation qui rentre le lendemain, "01" = 2 rotations dont une rentre le jour meme et l'autre le lendemain, "00" = 2 rotations rentrant le jour meme.  Case vide = aucun vol. Une rotation : fond vert ; plusieurs rotations : fond orange. Une rotation partie en fin de mois et rentree le mois suivant est comptee 0,5 dans chacun des deux mois. Les 12 tableaux sont independants ; pour reprendre un mois sur un autre, copier la zone des 7 jours (36 lignes).</t>
  </si>
  <si>
    <t xml:space="preserve">Mois filtre sur la feuille de lecture :</t>
  </si>
  <si>
    <t xml:space="preserve">&lt;&lt; retour a la feuille Programme de vols</t>
  </si>
  <si>
    <t xml:space="preserve">Aller au mois :</t>
  </si>
  <si>
    <t xml:space="preserve">(clic sur un mois)</t>
  </si>
  <si>
    <t xml:space="preserve">^ Haut de la feuille</t>
  </si>
  <si>
    <t xml:space="preserve">Type avion</t>
  </si>
  <si>
    <t xml:space="preserve">Rot./sem. par type</t>
  </si>
  <si>
    <t xml:space="preserve">Rot./sem. route</t>
  </si>
  <si>
    <t xml:space="preserve">1</t>
  </si>
  <si>
    <t xml:space="preserve">01</t>
  </si>
  <si>
    <t xml:space="preserve">0</t>
  </si>
  <si>
    <t xml:space="preserve">00</t>
  </si>
  <si>
    <t xml:space="preserve">VOLS ADDITIONNELS ET REGULATIONS - ajouts (+) et retraits (-)</t>
  </si>
  <si>
    <t xml:space="preserve">Une ligne = un ecart ponctuel par rapport au programme du mois. Nb de rotations POSITIF = vol(s) ajoute(s) : charter, renfort, fret. Nb de rotations NEGATIF = vol(s) RETIRE(S) : regulation, annulation, jour ferie... Le retrait se soustrait du programme de ce jour-la (verifier qu'il y a bien un vol a retirer). La colonne Retour J+n fonctionne comme dans le programme : 0 = retour le jour meme, 1 = le lendemain. Une rotation compte 0,5 le mois du depart et 0,5 le mois du retour ; un vol parti le 31/03/2027 et rentre le 01/04/2027 apporte donc 0,5 rotation a avril. Les dates du 25/03/2027 au 31/03/2028 sont acceptees, pour pouvoir saisir un depart anterieur a l'annee dont le retour tombe en avril. Cette table est livree VIDE : tout ce qui y est saisi est compte.</t>
  </si>
  <si>
    <t xml:space="preserve">Date du vol (depart)</t>
  </si>
  <si>
    <t xml:space="preserve">Nb de rotations (+ ajout / - retrait)</t>
  </si>
  <si>
    <t xml:space="preserve">Retour J+n</t>
  </si>
  <si>
    <t xml:space="preserve">Commentaire (libre)</t>
  </si>
  <si>
    <t xml:space="preserve">Date de retour (auto)</t>
  </si>
  <si>
    <t xml:space="preserve">Cle depart (auto)</t>
  </si>
  <si>
    <t xml:space="preserve">Date retour affichee (auto)</t>
  </si>
  <si>
    <t xml:space="preserve">Cle retour (auto)</t>
  </si>
  <si>
    <t xml:space="preserve">Types</t>
  </si>
  <si>
    <t xml:space="preserve">listes de reference - ne pas modifier</t>
  </si>
  <si>
    <t xml:space="preserve">ANALYSE DE CAPACITE - SIEGES OFFERTS (avril 2027 / mars 2028)</t>
  </si>
  <si>
    <t xml:space="preserve">Interpretation automatique des feuilles "Saisie programme" et "Vols additionnels", croisee avec les capacites ci-dessous. Une rotation = un aller-retour : elle compte 0,5 le mois de son depart et 0,5 le mois de son retour, donc les rotations d'un mois peuvent etre fractionnaires. Aucune saisie ici, hormis les hypotheses de capacite et le filtre de cabine, qui font suivre tous les sieges de la feuille.</t>
  </si>
  <si>
    <t xml:space="preserve">HYPOTHESES DE CAPACITE (sieges par rotation, par cabine)</t>
  </si>
  <si>
    <t xml:space="preserve">CABINE ANALYSEE :</t>
  </si>
  <si>
    <t xml:space="preserve">Toutes cabines</t>
  </si>
  <si>
    <t xml:space="preserve">&lt;-- liste deroulante : toutes les valeurs en sieges de cette feuille suivent la cabine choisie (C = Club, W = Confort, Y = Loisir).</t>
  </si>
  <si>
    <t xml:space="preserve">C - Club</t>
  </si>
  <si>
    <t xml:space="preserve">W - Confort</t>
  </si>
  <si>
    <t xml:space="preserve">Y - Loisir</t>
  </si>
  <si>
    <t xml:space="preserve">Total cabine</t>
  </si>
  <si>
    <t xml:space="preserve">Sieges retenus (filtre)</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</si>
  <si>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</si>
  <si>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</si>
  <si>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</si>
  <si>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</si>
  <si>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</si>
  <si>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d'un sens) ; mettre 2 pour compter l'aller ET le retour.</t>
  </si>
  <si>
    <t xml:space="preserve">Les cellules bleues sont modifiables. La colonne "Sieges retenus" est celle qu'utilisent tous les tableaux ci-dessous : elle vaut le total du type avion quand le filtre est sur "Toutes cabines", et la capacite de la seule cabine choisie sinon.</t>
  </si>
  <si>
    <t xml:space="preserve">Rotations sur l'annee</t>
  </si>
  <si>
    <t xml:space="preserve">Sieges offerts sur l'annee</t>
  </si>
  <si>
    <t xml:space="preserve">Sieges / rotation</t>
  </si>
  <si>
    <t xml:space="preserve">Part du reseau (sieges)</t>
  </si>
  <si>
    <t xml:space="preserve">TOTAL RESEAU</t>
  </si>
  <si>
    <t xml:space="preserve">Mois</t>
  </si>
  <si>
    <t xml:space="preserve">TOTAL</t>
  </si>
  <si>
    <t xml:space="preserve">TOTAL ANNEE</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</si>
  <si>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</si>
  <si>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</si>
  <si>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</si>
  <si>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</si>
  <si>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</si>
  <si>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</si>
  <si>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</si>
  <si>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</si>
  <si>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AUTO 1/3 : departs du programme (hors vols additionnels)</t>
  </si>
  <si>
    <t xml:space="preserve">Type</t>
  </si>
  <si>
    <t xml:space="preserve">AUTO 2/3 : rotations parties dans les derniers jours du mois (retour le mois suivant)</t>
  </si>
  <si>
    <t xml:space="preserve">AUTO 3/3 : rotations du mois = (departs + arrivees) / 2, vols additionnels compris</t>
  </si>
  <si>
    <t xml:space="preserve">BASE DE DONNEES - UNE LIGNE PAR DATE, ROUTE ET TYPE AVION</t>
  </si>
  <si>
    <t xml:space="preserve">Table a plat, entierement calculee : une ligne par jour de l'annee d'exploitation, par route et par type avion (366 x 12 x 3 lignes). "Nb de vol" = nombre de rotations qui PARTENT ce jour-la, vols additionnels et retraits compris ; il vaut 0 quand la route n'opere pas ce jour-la (filtrer sur &gt; 0 pour ne voir que les vols). L'offre est le nombre de vols multiplie par la capacite du type avion, reprise de la feuille "Analyse capacite" - elle ne depend pas du filtre de cabine de cette feuille, les trois cabines etant donnees en colonnes. Aucune saisie ici : cette feuille se met a jour avec le programme et sert de source aux tableaux croises dynamiques.</t>
  </si>
  <si>
    <t xml:space="preserve">Annee</t>
  </si>
  <si>
    <t xml:space="preserve">Date de vol</t>
  </si>
  <si>
    <t xml:space="preserve">Nb de vol</t>
  </si>
  <si>
    <t xml:space="preserve">Offre</t>
  </si>
  <si>
    <t xml:space="preserve">Offre C</t>
  </si>
  <si>
    <t xml:space="preserve">Offre W</t>
  </si>
  <si>
    <t xml:space="preserve">Offre Y</t>
  </si>
  <si>
    <t xml:space="preserve">avril</t>
  </si>
  <si>
    <t xml:space="preserve">mai</t>
  </si>
  <si>
    <t xml:space="preserve">juin</t>
  </si>
  <si>
    <t xml:space="preserve">juillet</t>
  </si>
  <si>
    <t xml:space="preserve">aout</t>
  </si>
  <si>
    <t xml:space="preserve">septembre</t>
  </si>
  <si>
    <t xml:space="preserve">octobre</t>
  </si>
  <si>
    <t xml:space="preserve">novembre</t>
  </si>
  <si>
    <t xml:space="preserve">decembre</t>
  </si>
  <si>
    <t xml:space="preserve">janvier</t>
  </si>
  <si>
    <t xml:space="preserve">fevrier</t>
  </si>
  <si>
    <t xml:space="preserve">mars</t>
  </si>
</sst>
</file>

<file path=xl/styles.xml><?xml version="1.0" encoding="utf-8"?>
<styleSheet xmlns="http://schemas.openxmlformats.org/spreadsheetml/2006/main">
  <numFmts count="10">
    <numFmt numFmtId="164" formatCode="General"/>
    <numFmt numFmtId="165" formatCode="dd/mm/yyyy"/>
    <numFmt numFmtId="166" formatCode="0"/>
    <numFmt numFmtId="167" formatCode="dd/mm"/>
    <numFmt numFmtId="168" formatCode="0.0"/>
    <numFmt numFmtId="169" formatCode="General"/>
    <numFmt numFmtId="170" formatCode="@"/>
    <numFmt numFmtId="171" formatCode="\+0;\-0;0"/>
    <numFmt numFmtId="172" formatCode="#,##0"/>
    <numFmt numFmtId="173" formatCode="0.0%"/>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9"/>
      <color rgb="FF0563C1"/>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8"/>
      <color rgb="FF808080"/>
      <name val="Arial"/>
      <family val="0"/>
      <charset val="1"/>
    </font>
    <font>
      <sz val="10"/>
      <color rgb="FF000000"/>
      <name val="Arial"/>
      <family val="0"/>
      <charset val="1"/>
    </font>
    <font>
      <b val="true"/>
      <sz val="11"/>
      <color rgb="FF000000"/>
      <name val="Arial"/>
      <family val="0"/>
      <charset val="1"/>
    </font>
    <font>
      <i val="true"/>
      <sz val="9"/>
      <color rgb="FF833C0C"/>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sz val="10"/>
      <name val="Arial"/>
      <family val="2"/>
    </font>
    <font>
      <sz val="10"/>
      <color rgb="FF0000FF"/>
      <name val="Arial"/>
      <family val="0"/>
      <charset val="1"/>
    </font>
    <font>
      <b val="true"/>
      <sz val="10"/>
      <color rgb="FF0000FF"/>
      <name val="Arial"/>
      <family val="0"/>
      <charset val="1"/>
    </font>
    <font>
      <i val="true"/>
      <sz val="9"/>
      <color rgb="FF595959"/>
      <name val="Arial"/>
      <family val="0"/>
      <charset val="1"/>
    </font>
    <font>
      <sz val="8"/>
      <color rgb="FFA6A6A6"/>
      <name val="Arial"/>
      <family val="0"/>
      <charset val="1"/>
    </font>
  </fonts>
  <fills count="26">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CE4E4"/>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9DC3E6"/>
        <bgColor rgb="FF8FAADC"/>
      </patternFill>
    </fill>
    <fill>
      <patternFill patternType="solid">
        <fgColor rgb="FFF2E4D8"/>
        <bgColor rgb="FFFCE4E4"/>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D9D9D9"/>
      </patternFill>
    </fill>
    <fill>
      <patternFill patternType="solid">
        <fgColor rgb="FFFFD966"/>
        <bgColor rgb="FFFFE699"/>
      </patternFill>
    </fill>
    <fill>
      <patternFill patternType="solid">
        <fgColor rgb="FFD9D2E9"/>
        <bgColor rgb="FFD9D9D9"/>
      </patternFill>
    </fill>
    <fill>
      <patternFill patternType="solid">
        <fgColor rgb="FFA9D08E"/>
        <bgColor rgb="FFC6E0B4"/>
      </patternFill>
    </fill>
    <fill>
      <patternFill patternType="solid">
        <fgColor rgb="FF8FAADC"/>
        <bgColor rgb="FF9DC3E6"/>
      </patternFill>
    </fill>
    <fill>
      <patternFill patternType="solid">
        <fgColor rgb="FFFFC7CE"/>
        <bgColor rgb="FFFCE4E4"/>
      </patternFill>
    </fill>
    <fill>
      <patternFill patternType="solid">
        <fgColor rgb="FFB7DEE8"/>
        <bgColor rgb="FFC6E0B4"/>
      </patternFill>
    </fill>
    <fill>
      <patternFill patternType="solid">
        <fgColor rgb="FFD5A6BD"/>
        <bgColor rgb="FFA6A6A6"/>
      </patternFill>
    </fill>
    <fill>
      <patternFill patternType="solid">
        <fgColor rgb="FFA6A6A6"/>
        <bgColor rgb="FF8FAADC"/>
      </patternFill>
    </fill>
    <fill>
      <patternFill patternType="solid">
        <fgColor rgb="FFE2EFDA"/>
        <bgColor rgb="FFE7E6E6"/>
      </patternFill>
    </fill>
  </fills>
  <borders count="5">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8" fontId="12" fillId="4" borderId="1" xfId="0" applyFont="true" applyBorder="true" applyAlignment="true" applyProtection="false">
      <alignment horizontal="center"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9" fontId="15" fillId="8"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8" fontId="21"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8" fontId="11"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8" fontId="8" fillId="2" borderId="1" xfId="0" applyFont="true" applyBorder="true" applyAlignment="true" applyProtection="false">
      <alignment horizontal="center" vertical="center" textRotation="0" wrapText="false" indent="0" shrinkToFit="false"/>
      <protection locked="true" hidden="false"/>
    </xf>
    <xf numFmtId="168" fontId="6" fillId="2"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4" fillId="9"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21" fillId="4" borderId="3"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left" vertical="center"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left" vertical="center" textRotation="0" wrapText="false" indent="0" shrinkToFit="false"/>
      <protection locked="true" hidden="false"/>
    </xf>
    <xf numFmtId="164" fontId="15" fillId="12" borderId="1" xfId="0" applyFont="true" applyBorder="true" applyAlignment="true" applyProtection="false">
      <alignment horizontal="center" vertical="center" textRotation="0" wrapText="false" indent="0" shrinkToFit="false"/>
      <protection locked="true" hidden="false"/>
    </xf>
    <xf numFmtId="170" fontId="25"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8" fillId="13" borderId="1" xfId="0" applyFont="true" applyBorder="true" applyAlignment="true" applyProtection="false">
      <alignment horizontal="left" vertical="center" textRotation="0" wrapText="false" indent="0" shrinkToFit="false"/>
      <protection locked="true" hidden="false"/>
    </xf>
    <xf numFmtId="164" fontId="21" fillId="14" borderId="1" xfId="0" applyFont="true" applyBorder="true" applyAlignment="true" applyProtection="false">
      <alignment horizontal="left" vertical="center" textRotation="0" wrapText="false" indent="0" shrinkToFit="false"/>
      <protection locked="true" hidden="false"/>
    </xf>
    <xf numFmtId="164" fontId="21" fillId="15" borderId="1" xfId="0" applyFont="true" applyBorder="true" applyAlignment="true" applyProtection="false">
      <alignment horizontal="left" vertical="center" textRotation="0" wrapText="false" indent="0" shrinkToFit="false"/>
      <protection locked="true" hidden="false"/>
    </xf>
    <xf numFmtId="164" fontId="21" fillId="16" borderId="1" xfId="0" applyFont="true" applyBorder="true" applyAlignment="true" applyProtection="false">
      <alignment horizontal="left" vertical="center" textRotation="0" wrapText="false" indent="0" shrinkToFit="false"/>
      <protection locked="true" hidden="false"/>
    </xf>
    <xf numFmtId="164" fontId="21" fillId="17" borderId="1" xfId="0" applyFont="true" applyBorder="true" applyAlignment="true" applyProtection="false">
      <alignment horizontal="left" vertical="center" textRotation="0" wrapText="false" indent="0" shrinkToFit="false"/>
      <protection locked="true" hidden="false"/>
    </xf>
    <xf numFmtId="164" fontId="21" fillId="18" borderId="1" xfId="0" applyFont="true" applyBorder="true" applyAlignment="true" applyProtection="false">
      <alignment horizontal="left" vertical="center" textRotation="0" wrapText="false" indent="0" shrinkToFit="false"/>
      <protection locked="true" hidden="false"/>
    </xf>
    <xf numFmtId="164" fontId="21" fillId="19" borderId="1" xfId="0" applyFont="true" applyBorder="true" applyAlignment="true" applyProtection="false">
      <alignment horizontal="left" vertical="center" textRotation="0" wrapText="false" indent="0" shrinkToFit="false"/>
      <protection locked="true" hidden="false"/>
    </xf>
    <xf numFmtId="164" fontId="21" fillId="20" borderId="1" xfId="0" applyFont="true" applyBorder="true" applyAlignment="true" applyProtection="false">
      <alignment horizontal="left" vertical="center" textRotation="0" wrapText="false" indent="0" shrinkToFit="false"/>
      <protection locked="true" hidden="false"/>
    </xf>
    <xf numFmtId="164" fontId="21" fillId="21" borderId="1" xfId="0" applyFont="true" applyBorder="true" applyAlignment="true" applyProtection="false">
      <alignment horizontal="left" vertical="center" textRotation="0" wrapText="false" indent="0" shrinkToFit="false"/>
      <protection locked="true" hidden="false"/>
    </xf>
    <xf numFmtId="164" fontId="21" fillId="22" borderId="1" xfId="0" applyFont="true" applyBorder="true" applyAlignment="true" applyProtection="false">
      <alignment horizontal="left" vertical="center" textRotation="0" wrapText="false" indent="0" shrinkToFit="false"/>
      <protection locked="true" hidden="false"/>
    </xf>
    <xf numFmtId="164" fontId="21" fillId="23" borderId="1" xfId="0" applyFont="true" applyBorder="true" applyAlignment="true" applyProtection="false">
      <alignment horizontal="left" vertical="center"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7" fillId="24"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left"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72" fontId="28" fillId="4" borderId="1" xfId="0" applyFont="true" applyBorder="true" applyAlignment="true" applyProtection="false">
      <alignment horizontal="center" vertical="center" textRotation="0" wrapText="false" indent="0" shrinkToFit="false"/>
      <protection locked="true" hidden="false"/>
    </xf>
    <xf numFmtId="172" fontId="15" fillId="0" borderId="1" xfId="0" applyFont="true" applyBorder="true" applyAlignment="true" applyProtection="false">
      <alignment horizontal="center" vertical="center" textRotation="0" wrapText="false" indent="0" shrinkToFit="false"/>
      <protection locked="true" hidden="false"/>
    </xf>
    <xf numFmtId="172" fontId="21" fillId="25"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6" fontId="28" fillId="4" borderId="1"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0" shrinkToFit="false"/>
      <protection locked="true" hidden="false"/>
    </xf>
    <xf numFmtId="164" fontId="15" fillId="11"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73" fontId="20" fillId="0" borderId="1" xfId="0" applyFont="true" applyBorder="true" applyAlignment="true" applyProtection="false">
      <alignment horizontal="center" vertical="center" textRotation="0" wrapText="false" indent="0" shrinkToFit="false"/>
      <protection locked="true" hidden="false"/>
    </xf>
    <xf numFmtId="164" fontId="6" fillId="13" borderId="1" xfId="0" applyFont="true" applyBorder="true" applyAlignment="true" applyProtection="false">
      <alignment horizontal="center" vertical="center" textRotation="0" wrapText="false" indent="0" shrinkToFit="false"/>
      <protection locked="true" hidden="false"/>
    </xf>
    <xf numFmtId="164" fontId="15" fillId="14" borderId="1" xfId="0" applyFont="true" applyBorder="true" applyAlignment="true" applyProtection="false">
      <alignment horizontal="center" vertical="center" textRotation="0" wrapText="false" indent="0" shrinkToFit="false"/>
      <protection locked="true" hidden="false"/>
    </xf>
    <xf numFmtId="164" fontId="15" fillId="15"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15" fillId="17" borderId="1" xfId="0" applyFont="true" applyBorder="true" applyAlignment="true" applyProtection="false">
      <alignment horizontal="center" vertical="center" textRotation="0" wrapText="false" indent="0" shrinkToFit="false"/>
      <protection locked="true" hidden="false"/>
    </xf>
    <xf numFmtId="164" fontId="15" fillId="18" borderId="1" xfId="0" applyFont="true" applyBorder="true" applyAlignment="true" applyProtection="false">
      <alignment horizontal="center" vertical="center" textRotation="0" wrapText="false" indent="0" shrinkToFit="false"/>
      <protection locked="true" hidden="false"/>
    </xf>
    <xf numFmtId="164" fontId="15" fillId="19" borderId="1" xfId="0" applyFont="true" applyBorder="true" applyAlignment="true" applyProtection="false">
      <alignment horizontal="center" vertical="center" textRotation="0" wrapText="false" indent="0" shrinkToFit="false"/>
      <protection locked="true" hidden="false"/>
    </xf>
    <xf numFmtId="164" fontId="15" fillId="20" borderId="1" xfId="0" applyFont="true" applyBorder="true" applyAlignment="true" applyProtection="false">
      <alignment horizontal="center" vertical="center" textRotation="0" wrapText="false" indent="0" shrinkToFit="false"/>
      <protection locked="true" hidden="false"/>
    </xf>
    <xf numFmtId="164" fontId="15" fillId="21" borderId="1"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false" indent="0" shrinkToFit="false"/>
      <protection locked="true" hidden="false"/>
    </xf>
    <xf numFmtId="164" fontId="15" fillId="23" borderId="1" xfId="0" applyFont="true" applyBorder="true" applyAlignment="true" applyProtection="false">
      <alignment horizontal="center" vertical="center" textRotation="0" wrapText="false" indent="0" shrinkToFit="false"/>
      <protection locked="true" hidden="false"/>
    </xf>
    <xf numFmtId="172" fontId="8" fillId="2" borderId="1" xfId="0" applyFont="true" applyBorder="true" applyAlignment="true" applyProtection="false">
      <alignment horizontal="center" vertical="center" textRotation="0" wrapText="false" indent="0" shrinkToFit="false"/>
      <protection locked="true" hidden="false"/>
    </xf>
    <xf numFmtId="172" fontId="6" fillId="2" borderId="1" xfId="0" applyFont="true" applyBorder="true" applyAlignment="true" applyProtection="false">
      <alignment horizontal="center" vertical="center" textRotation="0" wrapText="false" indent="0" shrinkToFit="false"/>
      <protection locked="true" hidden="false"/>
    </xf>
    <xf numFmtId="173" fontId="6" fillId="2"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false" indent="0" shrinkToFit="false"/>
      <protection locked="true" hidden="false"/>
    </xf>
    <xf numFmtId="164" fontId="12" fillId="11" borderId="1" xfId="0" applyFont="true" applyBorder="true" applyAlignment="true" applyProtection="false">
      <alignment horizontal="center"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false" indent="0" shrinkToFit="false"/>
      <protection locked="true" hidden="false"/>
    </xf>
    <xf numFmtId="164" fontId="12"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2" fontId="11"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false" indent="0" shrinkToFit="false"/>
      <protection locked="true" hidden="false"/>
    </xf>
    <xf numFmtId="172" fontId="17" fillId="2" borderId="1" xfId="0" applyFont="true" applyBorder="true" applyAlignment="true" applyProtection="false">
      <alignment horizontal="center" vertical="center" textRotation="0" wrapText="false" indent="0" shrinkToFit="false"/>
      <protection locked="true" hidden="false"/>
    </xf>
    <xf numFmtId="168" fontId="17" fillId="2"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left"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xf numFmtId="166" fontId="11" fillId="0" borderId="4" xfId="0" applyFont="true" applyBorder="true" applyAlignment="true" applyProtection="false">
      <alignment horizontal="center"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5" fontId="11" fillId="0" borderId="4" xfId="0" applyFont="true" applyBorder="true" applyAlignment="true" applyProtection="false">
      <alignment horizontal="center" vertical="center" textRotation="0" wrapText="false" indent="0" shrinkToFit="false"/>
      <protection locked="true" hidden="false"/>
    </xf>
    <xf numFmtId="164" fontId="11" fillId="0" borderId="4" xfId="0" applyFont="true" applyBorder="true" applyAlignment="true" applyProtection="false">
      <alignment horizontal="center" vertical="center" textRotation="0" wrapText="false" indent="0" shrinkToFit="false"/>
      <protection locked="true" hidden="false"/>
    </xf>
    <xf numFmtId="166" fontId="12" fillId="0" borderId="4" xfId="0" applyFont="true" applyBorder="true" applyAlignment="true" applyProtection="false">
      <alignment horizontal="center" vertical="center" textRotation="0" wrapText="false" indent="0" shrinkToFit="false"/>
      <protection locked="true" hidden="false"/>
    </xf>
    <xf numFmtId="172" fontId="11" fillId="0" borderId="4"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border diagonalUp="false" diagonalDown="false">
        <left style="medium">
          <color rgb="FFC00000"/>
        </left>
        <right style="medium">
          <color rgb="FFC00000"/>
        </right>
        <top style="medium">
          <color rgb="FFC00000"/>
        </top>
        <bottom style="medium">
          <color rgb="FFC00000"/>
        </bottom>
        <diagonal/>
      </border>
    </dxf>
    <dxf>
      <border diagonalUp="false" diagonalDown="false">
        <left style="medium">
          <color rgb="FF00B050"/>
        </left>
        <right style="medium">
          <color rgb="FF00B050"/>
        </right>
        <top style="medium">
          <color rgb="FF00B050"/>
        </top>
        <bottom style="medium">
          <color rgb="FF00B05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ED7D31"/>
        </patternFill>
      </fill>
    </dxf>
    <dxf>
      <font>
        <name val="Arial"/>
        <charset val="1"/>
        <family val="0"/>
        <b val="1"/>
        <color rgb="FFFFFFFF"/>
        <sz val="11"/>
      </font>
      <fill>
        <patternFill>
          <bgColor rgb="FF70AD47"/>
        </patternFill>
      </fill>
    </dxf>
    <dxf>
      <font>
        <name val="Arial"/>
        <charset val="1"/>
        <family val="0"/>
        <b val="1"/>
        <color rgb="FFFFFFFF"/>
        <sz val="11"/>
      </font>
      <fill>
        <patternFill>
          <bgColor rgb="FF375623"/>
        </patternFill>
      </fill>
    </dxf>
    <dxf>
      <fill>
        <patternFill>
          <bgColor rgb="FFFCE4E4"/>
        </patternFill>
      </fill>
    </dxf>
    <dxf>
      <fill>
        <patternFill>
          <bgColor rgb="FFE2EFDA"/>
        </patternFill>
      </fill>
    </dxf>
    <dxf>
      <fill>
        <patternFill patternType="solid">
          <fgColor rgb="FF2F5597"/>
          <bgColor rgb="FF000000"/>
        </patternFill>
      </fill>
    </dxf>
    <dxf>
      <fill>
        <patternFill patternType="solid">
          <fgColor rgb="FFE2EFDA"/>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C6E0B4"/>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FCE4E4"/>
      <rgbColor rgb="FF0563C1"/>
      <rgbColor rgb="FFD9D2E9"/>
      <rgbColor rgb="FF000080"/>
      <rgbColor rgb="FFFF00FF"/>
      <rgbColor rgb="FFF2E4D8"/>
      <rgbColor rgb="FF00FFFF"/>
      <rgbColor rgb="FF800080"/>
      <rgbColor rgb="FF800000"/>
      <rgbColor rgb="FF008080"/>
      <rgbColor rgb="FF0000FF"/>
      <rgbColor rgb="FFB7DEE8"/>
      <rgbColor rgb="FFD9E2F3"/>
      <rgbColor rgb="FFE2EFDA"/>
      <rgbColor rgb="FFFFE699"/>
      <rgbColor rgb="FF9DC3E6"/>
      <rgbColor rgb="FFF4B183"/>
      <rgbColor rgb="FFD9D9D9"/>
      <rgbColor rgb="FFFFC7CE"/>
      <rgbColor rgb="FF2E75B6"/>
      <rgbColor rgb="FFA9D08E"/>
      <rgbColor rgb="FF70AD47"/>
      <rgbColor rgb="FFFFD966"/>
      <rgbColor rgb="FFE7E6E6"/>
      <rgbColor rgb="FFED7D31"/>
      <rgbColor rgb="FF595959"/>
      <rgbColor rgb="FFA6A6A6"/>
      <rgbColor rgb="FF1F3864"/>
      <rgbColor rgb="FF00B050"/>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E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1" min="10" style="0" width="13"/>
    <col collapsed="false" customWidth="true" hidden="false" outlineLevel="0" max="13" min="12" style="0" width="12"/>
    <col collapsed="false" customWidth="true" hidden="false" outlineLevel="0" max="15" min="14" style="0" width="13"/>
    <col collapsed="false" customWidth="true" hidden="false" outlineLevel="0" max="16" min="16" style="0" width="26"/>
    <col collapsed="false" customWidth="true" hidden="false" outlineLevel="0" max="23" min="17" style="0" width="10"/>
    <col collapsed="false" customWidth="true" hidden="false" outlineLevel="0" max="25" min="24" style="0" width="12"/>
    <col collapsed="false" customWidth="true" hidden="false" outlineLevel="0" max="28" min="28" style="0" width="18"/>
    <col collapsed="false" customWidth="true" hidden="false" outlineLevel="0" max="29" min="29" style="0" width="12"/>
    <col collapsed="false" customWidth="true" hidden="false" outlineLevel="0" max="31" min="30" style="0" width="10"/>
  </cols>
  <sheetData>
    <row r="1" customFormat="false" ht="30" hidden="false" customHeight="true" outlineLevel="0" collapsed="false">
      <c r="B1" s="1" t="s">
        <v>0</v>
      </c>
      <c r="C1" s="1"/>
      <c r="D1" s="1"/>
      <c r="E1" s="1"/>
      <c r="F1" s="1"/>
      <c r="G1" s="1"/>
      <c r="H1" s="1"/>
      <c r="I1" s="1"/>
    </row>
    <row r="2" customFormat="false" ht="31.5" hidden="false" customHeight="true" outlineLevel="0" collapsed="false">
      <c r="B2" s="2" t="s">
        <v>1</v>
      </c>
      <c r="C2" s="2"/>
      <c r="D2" s="2"/>
      <c r="E2" s="2"/>
      <c r="F2" s="2"/>
      <c r="G2" s="2"/>
      <c r="H2" s="2"/>
      <c r="I2" s="2"/>
    </row>
    <row r="3" customFormat="false" ht="15" hidden="false" customHeight="false" outlineLevel="0" collapsed="false">
      <c r="N3" s="3" t="s">
        <v>2</v>
      </c>
      <c r="O3" s="3"/>
      <c r="AB3" s="4" t="s">
        <v>3</v>
      </c>
      <c r="AC3" s="4" t="s">
        <v>4</v>
      </c>
      <c r="AD3" s="4" t="s">
        <v>5</v>
      </c>
      <c r="AE3" s="4" t="s">
        <v>6</v>
      </c>
    </row>
    <row r="4" customFormat="false" ht="15" hidden="false" customHeight="false" outlineLevel="0" collapsed="false">
      <c r="B4" s="5" t="s">
        <v>7</v>
      </c>
      <c r="C4" s="6" t="s">
        <v>8</v>
      </c>
      <c r="D4" s="6"/>
      <c r="E4" s="7" t="s">
        <v>9</v>
      </c>
      <c r="N4" s="8" t="s">
        <v>10</v>
      </c>
      <c r="O4" s="9" t="n">
        <f aca="false">INDEX($AC$4:$AC$15,MATCH($C$4,$AB$4:$AB$15,0))</f>
        <v>46478</v>
      </c>
      <c r="AB4" s="10" t="s">
        <v>8</v>
      </c>
      <c r="AC4" s="11" t="n">
        <f aca="false">DATE(2027,4,1)</f>
        <v>46478</v>
      </c>
      <c r="AD4" s="12" t="s">
        <v>11</v>
      </c>
      <c r="AE4" s="12" t="s">
        <v>12</v>
      </c>
    </row>
    <row r="5" customFormat="false" ht="15" hidden="false" customHeight="false" outlineLevel="0" collapsed="false">
      <c r="B5" s="5" t="s">
        <v>13</v>
      </c>
      <c r="C5" s="6" t="s">
        <v>14</v>
      </c>
      <c r="D5" s="6"/>
      <c r="E5" s="13" t="s">
        <v>15</v>
      </c>
      <c r="G5" s="13" t="s">
        <v>16</v>
      </c>
      <c r="N5" s="8" t="s">
        <v>17</v>
      </c>
      <c r="O5" s="9" t="n">
        <f aca="false">EOMONTH($O$4,0)</f>
        <v>46507</v>
      </c>
      <c r="AB5" s="10" t="s">
        <v>18</v>
      </c>
      <c r="AC5" s="11" t="n">
        <f aca="false">DATE(2027,5,1)</f>
        <v>46508</v>
      </c>
      <c r="AD5" s="12" t="s">
        <v>19</v>
      </c>
      <c r="AE5" s="12" t="s">
        <v>20</v>
      </c>
    </row>
    <row r="6" customFormat="false" ht="15" hidden="false" customHeight="false" outlineLevel="0" collapsed="false">
      <c r="B6" s="14" t="s">
        <v>21</v>
      </c>
      <c r="C6" s="14"/>
      <c r="D6" s="14"/>
      <c r="E6" s="14"/>
      <c r="F6" s="14"/>
      <c r="G6" s="14"/>
      <c r="H6" s="14"/>
      <c r="I6" s="14"/>
      <c r="N6" s="8" t="s">
        <v>22</v>
      </c>
      <c r="O6" s="9" t="n">
        <f aca="false">$O$4-WEEKDAY($O$4,3)</f>
        <v>46475</v>
      </c>
      <c r="AB6" s="10" t="s">
        <v>23</v>
      </c>
      <c r="AC6" s="11" t="n">
        <f aca="false">DATE(2027,6,1)</f>
        <v>46539</v>
      </c>
      <c r="AD6" s="12" t="s">
        <v>24</v>
      </c>
      <c r="AE6" s="12" t="s">
        <v>25</v>
      </c>
    </row>
    <row r="7" customFormat="false" ht="15" hidden="false" customHeight="false" outlineLevel="0" collapsed="false">
      <c r="B7" s="15" t="s">
        <v>26</v>
      </c>
      <c r="C7" s="15" t="s">
        <v>27</v>
      </c>
      <c r="D7" s="15" t="s">
        <v>28</v>
      </c>
      <c r="E7" s="15" t="s">
        <v>29</v>
      </c>
      <c r="F7" s="15" t="s">
        <v>30</v>
      </c>
      <c r="G7" s="15" t="s">
        <v>31</v>
      </c>
      <c r="H7" s="15" t="s">
        <v>32</v>
      </c>
      <c r="I7" s="15" t="s">
        <v>33</v>
      </c>
      <c r="N7" s="8" t="s">
        <v>34</v>
      </c>
      <c r="O7" s="16" t="n">
        <f aca="false">MATCH($C$4,$AB$4:$AB$15,0)</f>
        <v>1</v>
      </c>
      <c r="AB7" s="10" t="s">
        <v>35</v>
      </c>
      <c r="AC7" s="11" t="n">
        <f aca="false">DATE(2027,7,1)</f>
        <v>46569</v>
      </c>
      <c r="AE7" s="12" t="s">
        <v>36</v>
      </c>
    </row>
    <row r="8" customFormat="false" ht="30" hidden="false" customHeight="true" outlineLevel="0" collapsed="false">
      <c r="B8" s="17" t="s">
        <v>37</v>
      </c>
      <c r="C8" s="18" t="str">
        <f aca="false">IF(C9="","",$Q$51&amp;IF($Q$57="","",IF($Q$51="","",CHAR(10))&amp;"&lt; "&amp;$Q$57))</f>
        <v/>
      </c>
      <c r="D8" s="18" t="str">
        <f aca="false">IF(D9="","",$R$51&amp;IF($R$57="","",IF($R$51="","",CHAR(10))&amp;"&lt; "&amp;$R$57))</f>
        <v/>
      </c>
      <c r="E8" s="18" t="str">
        <f aca="false">IF(E9="","",$S$51&amp;IF($S$57="","",IF($S$51="","",CHAR(10))&amp;"&lt; "&amp;$S$57))</f>
        <v/>
      </c>
      <c r="F8" s="18" t="str">
        <f aca="false">IF(F9="","",$T$51&amp;IF($T$57="","",IF($T$51="","",CHAR(10))&amp;"&lt; "&amp;$T$57))</f>
        <v>A320</v>
      </c>
      <c r="G8" s="18" t="str">
        <f aca="false">IF(G9="","",$U$51&amp;IF($U$57="","",IF($U$51="","",CHAR(10))&amp;"&lt; "&amp;$U$57))</f>
        <v/>
      </c>
      <c r="H8" s="18" t="str">
        <f aca="false">IF(H9="","",$V$51&amp;IF($V$57="","",IF($V$51="","",CHAR(10))&amp;"&lt; "&amp;$V$57))</f>
        <v>A320</v>
      </c>
      <c r="I8" s="18" t="str">
        <f aca="false">IF(I9="","",$W$51&amp;IF($W$57="","",IF($W$51="","",CHAR(10))&amp;"&lt; "&amp;$W$57))</f>
        <v/>
      </c>
      <c r="N8" s="8" t="s">
        <v>38</v>
      </c>
      <c r="O8" s="19" t="str">
        <f aca="false">IFERROR(INDEX($C$25:$C$36,MATCH($C$5,$B$25:$B$36,0)),"")</f>
        <v>A320(3)</v>
      </c>
      <c r="AB8" s="10" t="s">
        <v>39</v>
      </c>
      <c r="AC8" s="11" t="n">
        <f aca="false">DATE(2027,8,1)</f>
        <v>46600</v>
      </c>
      <c r="AE8" s="12" t="s">
        <v>40</v>
      </c>
    </row>
    <row r="9" customFormat="false" ht="13.5" hidden="false" customHeight="true" outlineLevel="0" collapsed="false">
      <c r="B9" s="20" t="str">
        <f aca="false">IF(COUNT(C9:I9)=0,"","du "&amp;TEXT(MIN(C9:I9),"DD/MM")&amp;" au "&amp;TEXT(MAX(C9:I9),"DD/MM"))</f>
        <v>du 01/04 au 04/04</v>
      </c>
      <c r="C9" s="21" t="str">
        <f aca="false">IF(OR($O$6+0&lt;$O$4,$O$6+0&gt;$O$5),"",$O$6+0)</f>
        <v/>
      </c>
      <c r="D9" s="21" t="str">
        <f aca="false">IF(OR($O$6+1&lt;$O$4,$O$6+1&gt;$O$5),"",$O$6+1)</f>
        <v/>
      </c>
      <c r="E9" s="21" t="str">
        <f aca="false">IF(OR($O$6+2&lt;$O$4,$O$6+2&gt;$O$5),"",$O$6+2)</f>
        <v/>
      </c>
      <c r="F9" s="21" t="n">
        <f aca="false">IF(OR($O$6+3&lt;$O$4,$O$6+3&gt;$O$5),"",$O$6+3)</f>
        <v>46478</v>
      </c>
      <c r="G9" s="21" t="n">
        <f aca="false">IF(OR($O$6+4&lt;$O$4,$O$6+4&gt;$O$5),"",$O$6+4)</f>
        <v>46479</v>
      </c>
      <c r="H9" s="21" t="n">
        <f aca="false">IF(OR($O$6+5&lt;$O$4,$O$6+5&gt;$O$5),"",$O$6+5)</f>
        <v>46480</v>
      </c>
      <c r="I9" s="21" t="n">
        <f aca="false">IF(OR($O$6+6&lt;$O$4,$O$6+6&gt;$O$5),"",$O$6+6)</f>
        <v>46481</v>
      </c>
      <c r="N9" s="8" t="s">
        <v>41</v>
      </c>
      <c r="O9" s="16" t="n">
        <f aca="false">IFERROR(INDEX($E$25:$E$36,MATCH($C$5,$B$25:$B$36,0)),"")</f>
        <v>3</v>
      </c>
      <c r="AB9" s="10" t="s">
        <v>42</v>
      </c>
      <c r="AC9" s="11" t="n">
        <f aca="false">DATE(2027,9,1)</f>
        <v>46631</v>
      </c>
      <c r="AE9" s="12" t="s">
        <v>14</v>
      </c>
    </row>
    <row r="10" customFormat="false" ht="30" hidden="false" customHeight="true" outlineLevel="0" collapsed="false">
      <c r="B10" s="17" t="s">
        <v>43</v>
      </c>
      <c r="C10" s="18" t="str">
        <f aca="false">IF(C11="","",$Q$52&amp;IF($Q$58="","",IF($Q$52="","",CHAR(10))&amp;"&lt; "&amp;$Q$58))</f>
        <v>A320</v>
      </c>
      <c r="D10" s="18" t="str">
        <f aca="false">IF(D11="","",$R$52&amp;IF($R$58="","",IF($R$52="","",CHAR(10))&amp;"&lt; "&amp;$R$58))</f>
        <v/>
      </c>
      <c r="E10" s="18" t="str">
        <f aca="false">IF(E11="","",$S$52&amp;IF($S$58="","",IF($S$52="","",CHAR(10))&amp;"&lt; "&amp;$S$58))</f>
        <v/>
      </c>
      <c r="F10" s="18" t="str">
        <f aca="false">IF(F11="","",$T$52&amp;IF($T$58="","",IF($T$52="","",CHAR(10))&amp;"&lt; "&amp;$T$58))</f>
        <v>A320</v>
      </c>
      <c r="G10" s="18" t="str">
        <f aca="false">IF(G11="","",$U$52&amp;IF($U$58="","",IF($U$52="","",CHAR(10))&amp;"&lt; "&amp;$U$58))</f>
        <v/>
      </c>
      <c r="H10" s="18" t="str">
        <f aca="false">IF(H11="","",$V$52&amp;IF($V$58="","",IF($V$52="","",CHAR(10))&amp;"&lt; "&amp;$V$58))</f>
        <v>A320</v>
      </c>
      <c r="I10" s="18" t="str">
        <f aca="false">IF(I11="","",$W$52&amp;IF($W$58="","",IF($W$52="","",CHAR(10))&amp;"&lt; "&amp;$W$58))</f>
        <v/>
      </c>
      <c r="N10" s="22" t="s">
        <v>44</v>
      </c>
      <c r="O10" s="23" t="n">
        <f aca="false">IFERROR(INDEX($G$25:$G$36,MATCH($C$5,$B$25:$B$36,0)),"")</f>
        <v>13</v>
      </c>
      <c r="AB10" s="10" t="s">
        <v>45</v>
      </c>
      <c r="AC10" s="11" t="n">
        <f aca="false">DATE(2027,10,1)</f>
        <v>46661</v>
      </c>
      <c r="AE10" s="12" t="s">
        <v>46</v>
      </c>
    </row>
    <row r="11" customFormat="false" ht="13.5" hidden="false" customHeight="true" outlineLevel="0" collapsed="false">
      <c r="B11" s="20" t="str">
        <f aca="false">IF(COUNT(C11:I11)=0,"","du "&amp;TEXT(MIN(C11:I11),"DD/MM")&amp;" au "&amp;TEXT(MAX(C11:I11),"DD/MM"))</f>
        <v>du 05/04 au 11/04</v>
      </c>
      <c r="C11" s="21" t="n">
        <f aca="false">IF(OR($O$6+7&lt;$O$4,$O$6+7&gt;$O$5),"",$O$6+7)</f>
        <v>46482</v>
      </c>
      <c r="D11" s="21" t="n">
        <f aca="false">IF(OR($O$6+8&lt;$O$4,$O$6+8&gt;$O$5),"",$O$6+8)</f>
        <v>46483</v>
      </c>
      <c r="E11" s="21" t="n">
        <f aca="false">IF(OR($O$6+9&lt;$O$4,$O$6+9&gt;$O$5),"",$O$6+9)</f>
        <v>46484</v>
      </c>
      <c r="F11" s="21" t="n">
        <f aca="false">IF(OR($O$6+10&lt;$O$4,$O$6+10&gt;$O$5),"",$O$6+10)</f>
        <v>46485</v>
      </c>
      <c r="G11" s="21" t="n">
        <f aca="false">IF(OR($O$6+11&lt;$O$4,$O$6+11&gt;$O$5),"",$O$6+11)</f>
        <v>46486</v>
      </c>
      <c r="H11" s="21" t="n">
        <f aca="false">IF(OR($O$6+12&lt;$O$4,$O$6+12&gt;$O$5),"",$O$6+12)</f>
        <v>46487</v>
      </c>
      <c r="I11" s="21" t="n">
        <f aca="false">IF(OR($O$6+13&lt;$O$4,$O$6+13&gt;$O$5),"",$O$6+13)</f>
        <v>46488</v>
      </c>
      <c r="N11" s="8" t="s">
        <v>47</v>
      </c>
      <c r="O11" s="24" t="n">
        <f aca="false">IFERROR(INDEX($L$25:$L$36,MATCH($C$5,$B$25:$B$36,0)),"")</f>
        <v>0</v>
      </c>
      <c r="AB11" s="10" t="s">
        <v>48</v>
      </c>
      <c r="AC11" s="11" t="n">
        <f aca="false">DATE(2027,11,1)</f>
        <v>46692</v>
      </c>
      <c r="AE11" s="12" t="s">
        <v>49</v>
      </c>
    </row>
    <row r="12" customFormat="false" ht="30" hidden="false" customHeight="true" outlineLevel="0" collapsed="false">
      <c r="B12" s="17" t="s">
        <v>50</v>
      </c>
      <c r="C12" s="18" t="str">
        <f aca="false">IF(C13="","",$Q$53&amp;IF($Q$59="","",IF($Q$53="","",CHAR(10))&amp;"&lt; "&amp;$Q$59))</f>
        <v>A320</v>
      </c>
      <c r="D12" s="18" t="str">
        <f aca="false">IF(D13="","",$R$53&amp;IF($R$59="","",IF($R$53="","",CHAR(10))&amp;"&lt; "&amp;$R$59))</f>
        <v/>
      </c>
      <c r="E12" s="18" t="str">
        <f aca="false">IF(E13="","",$S$53&amp;IF($S$59="","",IF($S$53="","",CHAR(10))&amp;"&lt; "&amp;$S$59))</f>
        <v/>
      </c>
      <c r="F12" s="18" t="str">
        <f aca="false">IF(F13="","",$T$53&amp;IF($T$59="","",IF($T$53="","",CHAR(10))&amp;"&lt; "&amp;$T$59))</f>
        <v>A320</v>
      </c>
      <c r="G12" s="18" t="str">
        <f aca="false">IF(G13="","",$U$53&amp;IF($U$59="","",IF($U$53="","",CHAR(10))&amp;"&lt; "&amp;$U$59))</f>
        <v/>
      </c>
      <c r="H12" s="18" t="str">
        <f aca="false">IF(H13="","",$V$53&amp;IF($V$59="","",IF($V$53="","",CHAR(10))&amp;"&lt; "&amp;$V$59))</f>
        <v>A320</v>
      </c>
      <c r="I12" s="18" t="str">
        <f aca="false">IF(I13="","",$W$53&amp;IF($W$59="","",IF($W$53="","",CHAR(10))&amp;"&lt; "&amp;$W$59))</f>
        <v/>
      </c>
      <c r="N12" s="8" t="s">
        <v>51</v>
      </c>
      <c r="O12" s="24" t="n">
        <f aca="false">IFERROR(INDEX($M$25:$M$36,MATCH($C$5,$B$25:$B$36,0)),"")</f>
        <v>0</v>
      </c>
      <c r="AB12" s="10" t="s">
        <v>52</v>
      </c>
      <c r="AC12" s="11" t="n">
        <f aca="false">DATE(2027,12,1)</f>
        <v>46722</v>
      </c>
      <c r="AE12" s="12" t="s">
        <v>53</v>
      </c>
    </row>
    <row r="13" customFormat="false" ht="13.5" hidden="false" customHeight="true" outlineLevel="0" collapsed="false">
      <c r="B13" s="20" t="str">
        <f aca="false">IF(COUNT(C13:I13)=0,"","du "&amp;TEXT(MIN(C13:I13),"DD/MM")&amp;" au "&amp;TEXT(MAX(C13:I13),"DD/MM"))</f>
        <v>du 12/04 au 18/04</v>
      </c>
      <c r="C13" s="21" t="n">
        <f aca="false">IF(OR($O$6+14&lt;$O$4,$O$6+14&gt;$O$5),"",$O$6+14)</f>
        <v>46489</v>
      </c>
      <c r="D13" s="21" t="n">
        <f aca="false">IF(OR($O$6+15&lt;$O$4,$O$6+15&gt;$O$5),"",$O$6+15)</f>
        <v>46490</v>
      </c>
      <c r="E13" s="21" t="n">
        <f aca="false">IF(OR($O$6+16&lt;$O$4,$O$6+16&gt;$O$5),"",$O$6+16)</f>
        <v>46491</v>
      </c>
      <c r="F13" s="21" t="n">
        <f aca="false">IF(OR($O$6+17&lt;$O$4,$O$6+17&gt;$O$5),"",$O$6+17)</f>
        <v>46492</v>
      </c>
      <c r="G13" s="21" t="n">
        <f aca="false">IF(OR($O$6+18&lt;$O$4,$O$6+18&gt;$O$5),"",$O$6+18)</f>
        <v>46493</v>
      </c>
      <c r="H13" s="21" t="n">
        <f aca="false">IF(OR($O$6+19&lt;$O$4,$O$6+19&gt;$O$5),"",$O$6+19)</f>
        <v>46494</v>
      </c>
      <c r="I13" s="21" t="n">
        <f aca="false">IF(OR($O$6+20&lt;$O$4,$O$6+20&gt;$O$5),"",$O$6+20)</f>
        <v>46495</v>
      </c>
      <c r="N13" s="8" t="s">
        <v>54</v>
      </c>
      <c r="O13" s="24" t="n">
        <f aca="false">IFERROR(INDEX($N$25:$N$36,MATCH($C$5,$B$25:$B$36,0)),"")</f>
        <v>13</v>
      </c>
      <c r="AB13" s="10" t="s">
        <v>55</v>
      </c>
      <c r="AC13" s="11" t="n">
        <f aca="false">DATE(2028,1,1)</f>
        <v>46753</v>
      </c>
      <c r="AE13" s="12" t="s">
        <v>56</v>
      </c>
    </row>
    <row r="14" customFormat="false" ht="30" hidden="false" customHeight="true" outlineLevel="0" collapsed="false">
      <c r="B14" s="17" t="s">
        <v>57</v>
      </c>
      <c r="C14" s="18" t="str">
        <f aca="false">IF(C15="","",$Q$54&amp;IF($Q$60="","",IF($Q$54="","",CHAR(10))&amp;"&lt; "&amp;$Q$60))</f>
        <v>A320</v>
      </c>
      <c r="D14" s="18" t="str">
        <f aca="false">IF(D15="","",$R$54&amp;IF($R$60="","",IF($R$54="","",CHAR(10))&amp;"&lt; "&amp;$R$60))</f>
        <v/>
      </c>
      <c r="E14" s="18" t="str">
        <f aca="false">IF(E15="","",$S$54&amp;IF($S$60="","",IF($S$54="","",CHAR(10))&amp;"&lt; "&amp;$S$60))</f>
        <v/>
      </c>
      <c r="F14" s="18" t="str">
        <f aca="false">IF(F15="","",$T$54&amp;IF($T$60="","",IF($T$54="","",CHAR(10))&amp;"&lt; "&amp;$T$60))</f>
        <v>A320</v>
      </c>
      <c r="G14" s="18" t="str">
        <f aca="false">IF(G15="","",$U$54&amp;IF($U$60="","",IF($U$54="","",CHAR(10))&amp;"&lt; "&amp;$U$60))</f>
        <v/>
      </c>
      <c r="H14" s="18" t="str">
        <f aca="false">IF(H15="","",$V$54&amp;IF($V$60="","",IF($V$54="","",CHAR(10))&amp;"&lt; "&amp;$V$60))</f>
        <v>A320</v>
      </c>
      <c r="I14" s="18" t="str">
        <f aca="false">IF(I15="","",$W$54&amp;IF($W$60="","",IF($W$54="","",CHAR(10))&amp;"&lt; "&amp;$W$60))</f>
        <v/>
      </c>
      <c r="AB14" s="10" t="s">
        <v>58</v>
      </c>
      <c r="AC14" s="11" t="n">
        <f aca="false">DATE(2028,2,1)</f>
        <v>46784</v>
      </c>
      <c r="AE14" s="12" t="s">
        <v>59</v>
      </c>
    </row>
    <row r="15" customFormat="false" ht="13.5" hidden="false" customHeight="true" outlineLevel="0" collapsed="false">
      <c r="B15" s="20" t="str">
        <f aca="false">IF(COUNT(C15:I15)=0,"","du "&amp;TEXT(MIN(C15:I15),"DD/MM")&amp;" au "&amp;TEXT(MAX(C15:I15),"DD/MM"))</f>
        <v>du 19/04 au 25/04</v>
      </c>
      <c r="C15" s="21" t="n">
        <f aca="false">IF(OR($O$6+21&lt;$O$4,$O$6+21&gt;$O$5),"",$O$6+21)</f>
        <v>46496</v>
      </c>
      <c r="D15" s="21" t="n">
        <f aca="false">IF(OR($O$6+22&lt;$O$4,$O$6+22&gt;$O$5),"",$O$6+22)</f>
        <v>46497</v>
      </c>
      <c r="E15" s="21" t="n">
        <f aca="false">IF(OR($O$6+23&lt;$O$4,$O$6+23&gt;$O$5),"",$O$6+23)</f>
        <v>46498</v>
      </c>
      <c r="F15" s="21" t="n">
        <f aca="false">IF(OR($O$6+24&lt;$O$4,$O$6+24&gt;$O$5),"",$O$6+24)</f>
        <v>46499</v>
      </c>
      <c r="G15" s="21" t="n">
        <f aca="false">IF(OR($O$6+25&lt;$O$4,$O$6+25&gt;$O$5),"",$O$6+25)</f>
        <v>46500</v>
      </c>
      <c r="H15" s="21" t="n">
        <f aca="false">IF(OR($O$6+26&lt;$O$4,$O$6+26&gt;$O$5),"",$O$6+26)</f>
        <v>46501</v>
      </c>
      <c r="I15" s="21" t="n">
        <f aca="false">IF(OR($O$6+27&lt;$O$4,$O$6+27&gt;$O$5),"",$O$6+27)</f>
        <v>46502</v>
      </c>
      <c r="P15" s="25" t="s">
        <v>60</v>
      </c>
      <c r="Q15" s="25"/>
      <c r="R15" s="25"/>
      <c r="S15" s="25"/>
      <c r="T15" s="25"/>
      <c r="U15" s="25"/>
      <c r="V15" s="25"/>
      <c r="W15" s="25"/>
      <c r="AB15" s="10" t="s">
        <v>61</v>
      </c>
      <c r="AC15" s="11" t="n">
        <f aca="false">DATE(2028,3,1)</f>
        <v>46813</v>
      </c>
      <c r="AE15" s="12" t="s">
        <v>62</v>
      </c>
    </row>
    <row r="16" customFormat="false" ht="30" hidden="false" customHeight="true" outlineLevel="0" collapsed="false">
      <c r="B16" s="17" t="s">
        <v>63</v>
      </c>
      <c r="C16" s="18" t="str">
        <f aca="false">IF(C17="","",$Q$55&amp;IF($Q$61="","",IF($Q$55="","",CHAR(10))&amp;"&lt; "&amp;$Q$61))</f>
        <v>A320</v>
      </c>
      <c r="D16" s="18" t="str">
        <f aca="false">IF(D17="","",$R$55&amp;IF($R$61="","",IF($R$55="","",CHAR(10))&amp;"&lt; "&amp;$R$61))</f>
        <v/>
      </c>
      <c r="E16" s="18" t="str">
        <f aca="false">IF(E17="","",$S$55&amp;IF($S$61="","",IF($S$55="","",CHAR(10))&amp;"&lt; "&amp;$S$61))</f>
        <v/>
      </c>
      <c r="F16" s="18" t="str">
        <f aca="false">IF(F17="","",$T$55&amp;IF($T$61="","",IF($T$55="","",CHAR(10))&amp;"&lt; "&amp;$T$61))</f>
        <v>A320</v>
      </c>
      <c r="G16" s="18" t="str">
        <f aca="false">IF(G17="","",$U$55&amp;IF($U$61="","",IF($U$55="","",CHAR(10))&amp;"&lt; "&amp;$U$61))</f>
        <v/>
      </c>
      <c r="H16" s="18" t="str">
        <f aca="false">IF(H17="","",$V$55&amp;IF($V$61="","",IF($V$55="","",CHAR(10))&amp;"&lt; "&amp;$V$61))</f>
        <v/>
      </c>
      <c r="I16" s="18" t="str">
        <f aca="false">IF(I17="","",$W$55&amp;IF($W$61="","",IF($W$55="","",CHAR(10))&amp;"&lt; "&amp;$W$61))</f>
        <v/>
      </c>
      <c r="P16" s="26" t="s">
        <v>64</v>
      </c>
      <c r="Q16" s="26" t="s">
        <v>65</v>
      </c>
      <c r="R16" s="26" t="s">
        <v>66</v>
      </c>
      <c r="S16" s="26" t="s">
        <v>67</v>
      </c>
      <c r="T16" s="26" t="s">
        <v>68</v>
      </c>
      <c r="U16" s="26" t="s">
        <v>69</v>
      </c>
      <c r="V16" s="26" t="s">
        <v>70</v>
      </c>
      <c r="W16" s="26" t="s">
        <v>71</v>
      </c>
    </row>
    <row r="17" customFormat="false" ht="13.5" hidden="false" customHeight="true" outlineLevel="0" collapsed="false">
      <c r="B17" s="20" t="str">
        <f aca="false">IF(COUNT(C17:I17)=0,"","du "&amp;TEXT(MIN(C17:I17),"DD/MM")&amp;" au "&amp;TEXT(MAX(C17:I17),"DD/MM"))</f>
        <v>du 26/04 au 30/04</v>
      </c>
      <c r="C17" s="21" t="n">
        <f aca="false">IF(OR($O$6+28&lt;$O$4,$O$6+28&gt;$O$5),"",$O$6+28)</f>
        <v>46503</v>
      </c>
      <c r="D17" s="21" t="n">
        <f aca="false">IF(OR($O$6+29&lt;$O$4,$O$6+29&gt;$O$5),"",$O$6+29)</f>
        <v>46504</v>
      </c>
      <c r="E17" s="21" t="n">
        <f aca="false">IF(OR($O$6+30&lt;$O$4,$O$6+30&gt;$O$5),"",$O$6+30)</f>
        <v>46505</v>
      </c>
      <c r="F17" s="21" t="n">
        <f aca="false">IF(OR($O$6+31&lt;$O$4,$O$6+31&gt;$O$5),"",$O$6+31)</f>
        <v>46506</v>
      </c>
      <c r="G17" s="21" t="n">
        <f aca="false">IF(OR($O$6+32&lt;$O$4,$O$6+32&gt;$O$5),"",$O$6+32)</f>
        <v>46507</v>
      </c>
      <c r="H17" s="21" t="str">
        <f aca="false">IF(OR($O$6+33&lt;$O$4,$O$6+33&gt;$O$5),"",$O$6+33)</f>
        <v/>
      </c>
      <c r="I17" s="21" t="str">
        <f aca="false">IF(OR($O$6+34&lt;$O$4,$O$6+34&gt;$O$5),"",$O$6+34)</f>
        <v/>
      </c>
      <c r="P17" s="27" t="s">
        <v>72</v>
      </c>
      <c r="Q17" s="19" t="str">
        <f aca="false">SUBSTITUTE(TRIM(IF(Q$24=0,"",IF(Q$24=1,"77W",Q$24&amp;"x77W"))&amp;" "&amp;IF(Q$25=0,"",IF(Q$25=1,"787",Q$25&amp;"x787"))&amp;" "&amp;IF(Q$26=0,"",IF(Q$26=1,"A320",Q$26&amp;"xA320")))," ","/")</f>
        <v>A320</v>
      </c>
      <c r="R17" s="19" t="str">
        <f aca="false">SUBSTITUTE(TRIM(IF(R$24=0,"",IF(R$24=1,"77W",R$24&amp;"x77W"))&amp;" "&amp;IF(R$25=0,"",IF(R$25=1,"787",R$25&amp;"x787"))&amp;" "&amp;IF(R$26=0,"",IF(R$26=1,"A320",R$26&amp;"xA320")))," ","/")</f>
        <v/>
      </c>
      <c r="S17" s="19" t="str">
        <f aca="false">SUBSTITUTE(TRIM(IF(S$24=0,"",IF(S$24=1,"77W",S$24&amp;"x77W"))&amp;" "&amp;IF(S$25=0,"",IF(S$25=1,"787",S$25&amp;"x787"))&amp;" "&amp;IF(S$26=0,"",IF(S$26=1,"A320",S$26&amp;"xA320")))," ","/")</f>
        <v/>
      </c>
      <c r="T17" s="19" t="str">
        <f aca="false">SUBSTITUTE(TRIM(IF(T$24=0,"",IF(T$24=1,"77W",T$24&amp;"x77W"))&amp;" "&amp;IF(T$25=0,"",IF(T$25=1,"787",T$25&amp;"x787"))&amp;" "&amp;IF(T$26=0,"",IF(T$26=1,"A320",T$26&amp;"xA320")))," ","/")</f>
        <v>A320</v>
      </c>
      <c r="U17" s="19" t="str">
        <f aca="false">SUBSTITUTE(TRIM(IF(U$24=0,"",IF(U$24=1,"77W",U$24&amp;"x77W"))&amp;" "&amp;IF(U$25=0,"",IF(U$25=1,"787",U$25&amp;"x787"))&amp;" "&amp;IF(U$26=0,"",IF(U$26=1,"A320",U$26&amp;"xA320")))," ","/")</f>
        <v/>
      </c>
      <c r="V17" s="19" t="str">
        <f aca="false">SUBSTITUTE(TRIM(IF(V$24=0,"",IF(V$24=1,"77W",V$24&amp;"x77W"))&amp;" "&amp;IF(V$25=0,"",IF(V$25=1,"787",V$25&amp;"x787"))&amp;" "&amp;IF(V$26=0,"",IF(V$26=1,"A320",V$26&amp;"xA320")))," ","/")</f>
        <v>A320</v>
      </c>
      <c r="W17" s="19" t="str">
        <f aca="false">SUBSTITUTE(TRIM(IF(W$24=0,"",IF(W$24=1,"77W",W$24&amp;"x77W"))&amp;" "&amp;IF(W$25=0,"",IF(W$25=1,"787",W$25&amp;"x787"))&amp;" "&amp;IF(W$26=0,"",IF(W$26=1,"A320",W$26&amp;"xA320")))," ","/")</f>
        <v/>
      </c>
    </row>
    <row r="18" customFormat="false" ht="30" hidden="false" customHeight="true" outlineLevel="0" collapsed="false">
      <c r="B18" s="17" t="s">
        <v>73</v>
      </c>
      <c r="C18" s="18" t="str">
        <f aca="false">IF(C19="","",$Q$56&amp;IF($Q$62="","",IF($Q$56="","",CHAR(10))&amp;"&lt; "&amp;$Q$62))</f>
        <v/>
      </c>
      <c r="D18" s="18" t="str">
        <f aca="false">IF(D19="","",$R$56&amp;IF($R$62="","",IF($R$56="","",CHAR(10))&amp;"&lt; "&amp;$R$62))</f>
        <v/>
      </c>
      <c r="E18" s="18" t="str">
        <f aca="false">IF(E19="","",$S$56&amp;IF($S$62="","",IF($S$56="","",CHAR(10))&amp;"&lt; "&amp;$S$62))</f>
        <v/>
      </c>
      <c r="F18" s="18" t="str">
        <f aca="false">IF(F19="","",$T$56&amp;IF($T$62="","",IF($T$56="","",CHAR(10))&amp;"&lt; "&amp;$T$62))</f>
        <v/>
      </c>
      <c r="G18" s="18" t="str">
        <f aca="false">IF(G19="","",$U$56&amp;IF($U$62="","",IF($U$56="","",CHAR(10))&amp;"&lt; "&amp;$U$62))</f>
        <v/>
      </c>
      <c r="H18" s="18" t="str">
        <f aca="false">IF(H19="","",$V$56&amp;IF($V$62="","",IF($V$56="","",CHAR(10))&amp;"&lt; "&amp;$V$62))</f>
        <v/>
      </c>
      <c r="I18" s="18" t="str">
        <f aca="false">IF(I19="","",$W$56&amp;IF($W$62="","",IF($W$56="","",CHAR(10))&amp;"&lt; "&amp;$W$62))</f>
        <v/>
      </c>
      <c r="P18" s="28" t="s">
        <v>74</v>
      </c>
      <c r="Q18" s="12" t="str">
        <f aca="false">IFERROR(INDEX($Q$66:$W$101,(MATCH($C$5,$AE$4:$AE$15,0)-1)*3+1,1)&amp;"","")</f>
        <v/>
      </c>
      <c r="R18" s="12" t="str">
        <f aca="false">IFERROR(INDEX($Q$66:$W$101,(MATCH($C$5,$AE$4:$AE$15,0)-1)*3+1,2)&amp;"","")</f>
        <v/>
      </c>
      <c r="S18" s="12" t="str">
        <f aca="false">IFERROR(INDEX($Q$66:$W$101,(MATCH($C$5,$AE$4:$AE$15,0)-1)*3+1,3)&amp;"","")</f>
        <v/>
      </c>
      <c r="T18" s="12" t="str">
        <f aca="false">IFERROR(INDEX($Q$66:$W$101,(MATCH($C$5,$AE$4:$AE$15,0)-1)*3+1,4)&amp;"","")</f>
        <v/>
      </c>
      <c r="U18" s="12" t="str">
        <f aca="false">IFERROR(INDEX($Q$66:$W$101,(MATCH($C$5,$AE$4:$AE$15,0)-1)*3+1,5)&amp;"","")</f>
        <v/>
      </c>
      <c r="V18" s="12" t="str">
        <f aca="false">IFERROR(INDEX($Q$66:$W$101,(MATCH($C$5,$AE$4:$AE$15,0)-1)*3+1,6)&amp;"","")</f>
        <v/>
      </c>
      <c r="W18" s="12" t="str">
        <f aca="false">IFERROR(INDEX($Q$66:$W$101,(MATCH($C$5,$AE$4:$AE$15,0)-1)*3+1,7)&amp;"","")</f>
        <v/>
      </c>
    </row>
    <row r="19" customFormat="false" ht="13.5" hidden="false" customHeight="true" outlineLevel="0" collapsed="false">
      <c r="B19" s="20" t="str">
        <f aca="false">IF(COUNT(C19:I19)=0,"","du "&amp;TEXT(MIN(C19:I19),"DD/MM")&amp;" au "&amp;TEXT(MAX(C19:I19),"DD/MM"))</f>
        <v/>
      </c>
      <c r="C19" s="21" t="str">
        <f aca="false">IF(OR($O$6+35&lt;$O$4,$O$6+35&gt;$O$5),"",$O$6+35)</f>
        <v/>
      </c>
      <c r="D19" s="21" t="str">
        <f aca="false">IF(OR($O$6+36&lt;$O$4,$O$6+36&gt;$O$5),"",$O$6+36)</f>
        <v/>
      </c>
      <c r="E19" s="21" t="str">
        <f aca="false">IF(OR($O$6+37&lt;$O$4,$O$6+37&gt;$O$5),"",$O$6+37)</f>
        <v/>
      </c>
      <c r="F19" s="21" t="str">
        <f aca="false">IF(OR($O$6+38&lt;$O$4,$O$6+38&gt;$O$5),"",$O$6+38)</f>
        <v/>
      </c>
      <c r="G19" s="21" t="str">
        <f aca="false">IF(OR($O$6+39&lt;$O$4,$O$6+39&gt;$O$5),"",$O$6+39)</f>
        <v/>
      </c>
      <c r="H19" s="21" t="str">
        <f aca="false">IF(OR($O$6+40&lt;$O$4,$O$6+40&gt;$O$5),"",$O$6+40)</f>
        <v/>
      </c>
      <c r="I19" s="21" t="str">
        <f aca="false">IF(OR($O$6+41&lt;$O$4,$O$6+41&gt;$O$5),"",$O$6+41)</f>
        <v/>
      </c>
      <c r="P19" s="28" t="s">
        <v>75</v>
      </c>
      <c r="Q19" s="12" t="str">
        <f aca="false">IFERROR(INDEX($Q$66:$W$101,(MATCH($C$5,$AE$4:$AE$15,0)-1)*3+2,1)&amp;"","")</f>
        <v/>
      </c>
      <c r="R19" s="12" t="str">
        <f aca="false">IFERROR(INDEX($Q$66:$W$101,(MATCH($C$5,$AE$4:$AE$15,0)-1)*3+2,2)&amp;"","")</f>
        <v/>
      </c>
      <c r="S19" s="12" t="str">
        <f aca="false">IFERROR(INDEX($Q$66:$W$101,(MATCH($C$5,$AE$4:$AE$15,0)-1)*3+2,3)&amp;"","")</f>
        <v/>
      </c>
      <c r="T19" s="12" t="str">
        <f aca="false">IFERROR(INDEX($Q$66:$W$101,(MATCH($C$5,$AE$4:$AE$15,0)-1)*3+2,4)&amp;"","")</f>
        <v/>
      </c>
      <c r="U19" s="12" t="str">
        <f aca="false">IFERROR(INDEX($Q$66:$W$101,(MATCH($C$5,$AE$4:$AE$15,0)-1)*3+2,5)&amp;"","")</f>
        <v/>
      </c>
      <c r="V19" s="12" t="str">
        <f aca="false">IFERROR(INDEX($Q$66:$W$101,(MATCH($C$5,$AE$4:$AE$15,0)-1)*3+2,6)&amp;"","")</f>
        <v/>
      </c>
      <c r="W19" s="12" t="str">
        <f aca="false">IFERROR(INDEX($Q$66:$W$101,(MATCH($C$5,$AE$4:$AE$15,0)-1)*3+2,7)&amp;"","")</f>
        <v/>
      </c>
    </row>
    <row r="20" customFormat="false" ht="15" hidden="false" customHeight="false" outlineLevel="0" collapsed="false">
      <c r="B20" s="29" t="s">
        <v>76</v>
      </c>
      <c r="C20" s="30" t="n">
        <f aca="false">COUNT(C9,C11,C13,C15,C17,C19)</f>
        <v>4</v>
      </c>
      <c r="D20" s="30" t="n">
        <f aca="false">COUNT(D9,D11,D13,D15,D17,D19)</f>
        <v>4</v>
      </c>
      <c r="E20" s="30" t="n">
        <f aca="false">COUNT(E9,E11,E13,E15,E17,E19)</f>
        <v>4</v>
      </c>
      <c r="F20" s="30" t="n">
        <f aca="false">COUNT(F9,F11,F13,F15,F17,F19)</f>
        <v>5</v>
      </c>
      <c r="G20" s="30" t="n">
        <f aca="false">COUNT(G9,G11,G13,G15,G17,G19)</f>
        <v>5</v>
      </c>
      <c r="H20" s="30" t="n">
        <f aca="false">COUNT(H9,H11,H13,H15,H17,H19)</f>
        <v>4</v>
      </c>
      <c r="I20" s="30" t="n">
        <f aca="false">COUNT(I9,I11,I13,I15,I17,I19)</f>
        <v>4</v>
      </c>
      <c r="P20" s="28" t="s">
        <v>77</v>
      </c>
      <c r="Q20" s="12" t="str">
        <f aca="false">IFERROR(INDEX($Q$66:$W$101,(MATCH($C$5,$AE$4:$AE$15,0)-1)*3+3,1)&amp;"","")</f>
        <v>0</v>
      </c>
      <c r="R20" s="12" t="str">
        <f aca="false">IFERROR(INDEX($Q$66:$W$101,(MATCH($C$5,$AE$4:$AE$15,0)-1)*3+3,2)&amp;"","")</f>
        <v/>
      </c>
      <c r="S20" s="12" t="str">
        <f aca="false">IFERROR(INDEX($Q$66:$W$101,(MATCH($C$5,$AE$4:$AE$15,0)-1)*3+3,3)&amp;"","")</f>
        <v/>
      </c>
      <c r="T20" s="12" t="str">
        <f aca="false">IFERROR(INDEX($Q$66:$W$101,(MATCH($C$5,$AE$4:$AE$15,0)-1)*3+3,4)&amp;"","")</f>
        <v>0</v>
      </c>
      <c r="U20" s="12" t="str">
        <f aca="false">IFERROR(INDEX($Q$66:$W$101,(MATCH($C$5,$AE$4:$AE$15,0)-1)*3+3,5)&amp;"","")</f>
        <v/>
      </c>
      <c r="V20" s="12" t="str">
        <f aca="false">IFERROR(INDEX($Q$66:$W$101,(MATCH($C$5,$AE$4:$AE$15,0)-1)*3+3,6)&amp;"","")</f>
        <v>0</v>
      </c>
      <c r="W20" s="12" t="str">
        <f aca="false">IFERROR(INDEX($Q$66:$W$101,(MATCH($C$5,$AE$4:$AE$15,0)-1)*3+3,7)&amp;"","")</f>
        <v/>
      </c>
    </row>
    <row r="21" customFormat="false" ht="15" hidden="false" customHeight="false" outlineLevel="0" collapsed="false">
      <c r="B21" s="29" t="s">
        <v>78</v>
      </c>
      <c r="C21" s="30" t="n">
        <f aca="false">IF(COUNT(C9:I9)&gt;0,1,0)+IF(COUNT(C11:I11)&gt;0,1,0)+IF(COUNT(C13:I13)&gt;0,1,0)+IF(COUNT(C15:I15)&gt;0,1,0)+IF(COUNT(C17:I17)&gt;0,1,0)+IF(COUNT(C19:I19)&gt;0,1,0)</f>
        <v>5</v>
      </c>
      <c r="D21" s="31" t="s">
        <v>79</v>
      </c>
      <c r="E21" s="31"/>
      <c r="F21" s="31"/>
      <c r="G21" s="31"/>
      <c r="H21" s="31"/>
      <c r="I21" s="31"/>
      <c r="P21" s="28" t="s">
        <v>80</v>
      </c>
      <c r="Q21" s="32" t="str">
        <f aca="false">IFERROR(INDEX('Saisie programme'!$D$13:$J$477,($O$7-2)*39+(MATCH($C$5,$AE$4:$AE$15,0)-1)*3+1,1)&amp;"","")</f>
        <v/>
      </c>
      <c r="R21" s="32" t="str">
        <f aca="false">IFERROR(INDEX('Saisie programme'!$D$13:$J$477,($O$7-2)*39+(MATCH($C$5,$AE$4:$AE$15,0)-1)*3+1,2)&amp;"","")</f>
        <v/>
      </c>
      <c r="S21" s="32" t="str">
        <f aca="false">IFERROR(INDEX('Saisie programme'!$D$13:$J$477,($O$7-2)*39+(MATCH($C$5,$AE$4:$AE$15,0)-1)*3+1,3)&amp;"","")</f>
        <v/>
      </c>
      <c r="T21" s="32" t="str">
        <f aca="false">IFERROR(INDEX('Saisie programme'!$D$13:$J$477,($O$7-2)*39+(MATCH($C$5,$AE$4:$AE$15,0)-1)*3+1,4)&amp;"","")</f>
        <v/>
      </c>
      <c r="U21" s="32" t="str">
        <f aca="false">IFERROR(INDEX('Saisie programme'!$D$13:$J$477,($O$7-2)*39+(MATCH($C$5,$AE$4:$AE$15,0)-1)*3+1,5)&amp;"","")</f>
        <v/>
      </c>
      <c r="V21" s="32" t="str">
        <f aca="false">IFERROR(INDEX('Saisie programme'!$D$13:$J$477,($O$7-2)*39+(MATCH($C$5,$AE$4:$AE$15,0)-1)*3+1,6)&amp;"","")</f>
        <v/>
      </c>
      <c r="W21" s="32" t="str">
        <f aca="false">IFERROR(INDEX('Saisie programme'!$D$13:$J$477,($O$7-2)*39+(MATCH($C$5,$AE$4:$AE$15,0)-1)*3+1,7)&amp;"","")</f>
        <v/>
      </c>
    </row>
    <row r="22" customFormat="false" ht="15" hidden="false" customHeight="false" outlineLevel="0" collapsed="false">
      <c r="P22" s="28" t="s">
        <v>81</v>
      </c>
      <c r="Q22" s="32" t="str">
        <f aca="false">IFERROR(INDEX('Saisie programme'!$D$13:$J$477,($O$7-2)*39+(MATCH($C$5,$AE$4:$AE$15,0)-1)*3+2,1)&amp;"","")</f>
        <v/>
      </c>
      <c r="R22" s="32" t="str">
        <f aca="false">IFERROR(INDEX('Saisie programme'!$D$13:$J$477,($O$7-2)*39+(MATCH($C$5,$AE$4:$AE$15,0)-1)*3+2,2)&amp;"","")</f>
        <v/>
      </c>
      <c r="S22" s="32" t="str">
        <f aca="false">IFERROR(INDEX('Saisie programme'!$D$13:$J$477,($O$7-2)*39+(MATCH($C$5,$AE$4:$AE$15,0)-1)*3+2,3)&amp;"","")</f>
        <v/>
      </c>
      <c r="T22" s="32" t="str">
        <f aca="false">IFERROR(INDEX('Saisie programme'!$D$13:$J$477,($O$7-2)*39+(MATCH($C$5,$AE$4:$AE$15,0)-1)*3+2,4)&amp;"","")</f>
        <v/>
      </c>
      <c r="U22" s="32" t="str">
        <f aca="false">IFERROR(INDEX('Saisie programme'!$D$13:$J$477,($O$7-2)*39+(MATCH($C$5,$AE$4:$AE$15,0)-1)*3+2,5)&amp;"","")</f>
        <v/>
      </c>
      <c r="V22" s="32" t="str">
        <f aca="false">IFERROR(INDEX('Saisie programme'!$D$13:$J$477,($O$7-2)*39+(MATCH($C$5,$AE$4:$AE$15,0)-1)*3+2,6)&amp;"","")</f>
        <v/>
      </c>
      <c r="W22" s="32" t="str">
        <f aca="false">IFERROR(INDEX('Saisie programme'!$D$13:$J$477,($O$7-2)*39+(MATCH($C$5,$AE$4:$AE$15,0)-1)*3+2,7)&amp;"","")</f>
        <v/>
      </c>
    </row>
    <row r="23" customFormat="false" ht="15" hidden="false" customHeight="false" outlineLevel="0" collapsed="false">
      <c r="B23" s="14" t="s">
        <v>82</v>
      </c>
      <c r="C23" s="14"/>
      <c r="D23" s="14"/>
      <c r="E23" s="14"/>
      <c r="F23" s="14"/>
      <c r="G23" s="14"/>
      <c r="H23" s="14"/>
      <c r="I23" s="14"/>
      <c r="J23" s="14"/>
      <c r="K23" s="14"/>
      <c r="L23" s="14"/>
      <c r="M23" s="14"/>
      <c r="N23" s="14"/>
      <c r="P23" s="28" t="s">
        <v>83</v>
      </c>
      <c r="Q23" s="32" t="str">
        <f aca="false">IFERROR(INDEX('Saisie programme'!$D$13:$J$477,($O$7-2)*39+(MATCH($C$5,$AE$4:$AE$15,0)-1)*3+3,1)&amp;"","")</f>
        <v/>
      </c>
      <c r="R23" s="32" t="str">
        <f aca="false">IFERROR(INDEX('Saisie programme'!$D$13:$J$477,($O$7-2)*39+(MATCH($C$5,$AE$4:$AE$15,0)-1)*3+3,2)&amp;"","")</f>
        <v/>
      </c>
      <c r="S23" s="32" t="str">
        <f aca="false">IFERROR(INDEX('Saisie programme'!$D$13:$J$477,($O$7-2)*39+(MATCH($C$5,$AE$4:$AE$15,0)-1)*3+3,3)&amp;"","")</f>
        <v/>
      </c>
      <c r="T23" s="32" t="str">
        <f aca="false">IFERROR(INDEX('Saisie programme'!$D$13:$J$477,($O$7-2)*39+(MATCH($C$5,$AE$4:$AE$15,0)-1)*3+3,4)&amp;"","")</f>
        <v/>
      </c>
      <c r="U23" s="32" t="str">
        <f aca="false">IFERROR(INDEX('Saisie programme'!$D$13:$J$477,($O$7-2)*39+(MATCH($C$5,$AE$4:$AE$15,0)-1)*3+3,5)&amp;"","")</f>
        <v/>
      </c>
      <c r="V23" s="32" t="str">
        <f aca="false">IFERROR(INDEX('Saisie programme'!$D$13:$J$477,($O$7-2)*39+(MATCH($C$5,$AE$4:$AE$15,0)-1)*3+3,6)&amp;"","")</f>
        <v/>
      </c>
      <c r="W23" s="32" t="str">
        <f aca="false">IFERROR(INDEX('Saisie programme'!$D$13:$J$477,($O$7-2)*39+(MATCH($C$5,$AE$4:$AE$15,0)-1)*3+3,7)&amp;"","")</f>
        <v/>
      </c>
    </row>
    <row r="24" customFormat="false" ht="45.75" hidden="false" customHeight="true" outlineLevel="0" collapsed="false">
      <c r="B24" s="33" t="s">
        <v>84</v>
      </c>
      <c r="C24" s="33" t="s">
        <v>38</v>
      </c>
      <c r="D24" s="33" t="s">
        <v>85</v>
      </c>
      <c r="E24" s="33" t="s">
        <v>86</v>
      </c>
      <c r="F24" s="33" t="s">
        <v>87</v>
      </c>
      <c r="G24" s="33" t="s">
        <v>44</v>
      </c>
      <c r="H24" s="33" t="s">
        <v>88</v>
      </c>
      <c r="I24" s="33" t="s">
        <v>89</v>
      </c>
      <c r="J24" s="33" t="s">
        <v>90</v>
      </c>
      <c r="K24" s="33" t="s">
        <v>91</v>
      </c>
      <c r="L24" s="33" t="s">
        <v>92</v>
      </c>
      <c r="M24" s="33" t="s">
        <v>93</v>
      </c>
      <c r="N24" s="33" t="s">
        <v>94</v>
      </c>
      <c r="P24" s="28" t="s">
        <v>95</v>
      </c>
      <c r="Q24" s="34" t="n">
        <f aca="false">LEN(Q18)</f>
        <v>0</v>
      </c>
      <c r="R24" s="34" t="n">
        <f aca="false">LEN(R18)</f>
        <v>0</v>
      </c>
      <c r="S24" s="34" t="n">
        <f aca="false">LEN(S18)</f>
        <v>0</v>
      </c>
      <c r="T24" s="34" t="n">
        <f aca="false">LEN(T18)</f>
        <v>0</v>
      </c>
      <c r="U24" s="34" t="n">
        <f aca="false">LEN(U18)</f>
        <v>0</v>
      </c>
      <c r="V24" s="34" t="n">
        <f aca="false">LEN(V18)</f>
        <v>0</v>
      </c>
      <c r="W24" s="34" t="n">
        <f aca="false">LEN(W18)</f>
        <v>0</v>
      </c>
    </row>
    <row r="25" customFormat="false" ht="24" hidden="false" customHeight="true" outlineLevel="0" collapsed="false">
      <c r="B25" s="35" t="str">
        <f aca="false">$AE$4</f>
        <v>CDGRUN</v>
      </c>
      <c r="C25" s="36" t="str">
        <f aca="false">IF(E25=0,"-",SUBSTITUTE(TRIM(IF(SUMPRODUCT(LEN($Q$66:$W$66))&gt;0,"77W("&amp;SUMPRODUCT(LEN($Q$66:$W$66))&amp;") ","")&amp;IF(SUMPRODUCT(LEN($Q$67:$W$67))&gt;0,"787("&amp;SUMPRODUCT(LEN($Q$67:$W$67))&amp;") ","")&amp;IF(SUMPRODUCT(LEN($Q$68:$W$68))&gt;0,"A320("&amp;SUMPRODUCT(LEN($Q$68:$W$68))&amp;") ",""))," ",", "))</f>
        <v>77W(7), 787(2), A320(2)</v>
      </c>
      <c r="D25" s="36" t="str">
        <f aca="false">IF(E25=0,"aucune operation",SUBSTITUTE(TRIM(IF(SUMPRODUCT(LEN($Q$66:$Q$68))&gt;0,"J1 ","")&amp;IF(SUMPRODUCT(LEN($R$66:$R$68))&gt;0,"J2 ","")&amp;IF(SUMPRODUCT(LEN($S$66:$S$68))&gt;0,"J3 ","")&amp;IF(SUMPRODUCT(LEN($T$66:$T$68))&gt;0,"J4 ","")&amp;IF(SUMPRODUCT(LEN($U$66:$U$68))&gt;0,"J5 ","")&amp;IF(SUMPRODUCT(LEN($V$66:$V$68))&gt;0,"J6 ","")&amp;IF(SUMPRODUCT(LEN($W$66:$W$68))&gt;0,"J7 ",""))," ",", "))</f>
        <v>J1, J2, J3, J4, J5, J6, J7</v>
      </c>
      <c r="E25" s="37" t="n">
        <f aca="false">SUMPRODUCT(LEN($Q$66:$W$66))+SUMPRODUCT(LEN($Q$67:$W$67))+SUMPRODUCT(LEN($Q$68:$W$68))</f>
        <v>11</v>
      </c>
      <c r="F25" s="37" t="n">
        <f aca="false">$C$21</f>
        <v>5</v>
      </c>
      <c r="G25" s="38" t="n">
        <f aca="false">(H25+I25)/2</f>
        <v>46</v>
      </c>
      <c r="H25" s="37" t="n">
        <f aca="false">SUMPRODUCT($C$20:$I$20,LEN($Q$66:$W$66))+SUMIFS('Vols additionnels'!$E$7:$E$66,'Vols additionnels'!$C$7:$C$66,$B25,'Vols additionnels'!$D$7:$D$66,"77W",'Vols additionnels'!$B$7:$B$66,"&gt;="&amp;$O$4,'Vols additionnels'!$B$7:$B$66,"&lt;="&amp;$O$5)+SUMPRODUCT($C$20:$I$20,LEN($Q$67:$W$67))+SUMIFS('Vols additionnels'!$E$7:$E$66,'Vols additionnels'!$C$7:$C$66,$B25,'Vols additionnels'!$D$7:$D$66,"787",'Vols additionnels'!$B$7:$B$66,"&gt;="&amp;$O$4,'Vols additionnels'!$B$7:$B$66,"&lt;="&amp;$O$5)+SUMPRODUCT($C$20:$I$20,LEN($Q$68:$W$68))+SUMIFS('Vols additionnels'!$E$7:$E$66,'Vols additionnels'!$C$7:$C$66,$B25,'Vols additionnels'!$D$7:$D$66,"A320",'Vols additionnels'!$B$7:$B$66,"&gt;="&amp;$O$4,'Vols additionnels'!$B$7:$B$66,"&lt;="&amp;$O$5)</f>
        <v>47</v>
      </c>
      <c r="I25" s="37" t="n">
        <f aca="false">(SUMPRODUCT($C$20:$I$20,LEN($Q$66:$W$66))-$X$66+$Y$66)+SUMIFS('Vols additionnels'!$E$7:$E$66,'Vols additionnels'!$C$7:$C$66,$B25,'Vols additionnels'!$D$7:$D$66,"77W",'Vols additionnels'!$I$7:$I$66,"&gt;="&amp;$O$4,'Vols additionnels'!$I$7:$I$66,"&lt;="&amp;$O$5)+(SUMPRODUCT($C$20:$I$20,LEN($Q$67:$W$67))-$X$67+$Y$67)+SUMIFS('Vols additionnels'!$E$7:$E$66,'Vols additionnels'!$C$7:$C$66,$B25,'Vols additionnels'!$D$7:$D$66,"787",'Vols additionnels'!$I$7:$I$66,"&gt;="&amp;$O$4,'Vols additionnels'!$I$7:$I$66,"&lt;="&amp;$O$5)+(SUMPRODUCT($C$20:$I$20,LEN($Q$68:$W$68))-$X$68+$Y$68)+SUMIFS('Vols additionnels'!$E$7:$E$66,'Vols additionnels'!$C$7:$C$66,$B25,'Vols additionnels'!$D$7:$D$66,"A320",'Vols additionnels'!$I$7:$I$66,"&gt;="&amp;$O$4,'Vols additionnels'!$I$7:$I$66,"&lt;="&amp;$O$5)</f>
        <v>45</v>
      </c>
      <c r="J25" s="39" t="n">
        <f aca="false">(SUMPRODUCT($C$20:$I$20,LEN($Q$66:$W$66))+(SUMPRODUCT($C$20:$I$20,LEN($Q$66:$W$66))-$X$66+$Y$66)+SUMPRODUCT($C$20:$I$20,LEN($Q$67:$W$67))+(SUMPRODUCT($C$20:$I$20,LEN($Q$67:$W$67))-$X$67+$Y$67)+SUMPRODUCT($C$20:$I$20,LEN($Q$68:$W$68))+(SUMPRODUCT($C$20:$I$20,LEN($Q$68:$W$68))-$X$68+$Y$68))/2</f>
        <v>46</v>
      </c>
      <c r="K25" s="39" t="n">
        <f aca="false">(SUMIFS('Vols additionnels'!$E$7:$E$66,'Vols additionnels'!$C$7:$C$66,$B25,'Vols additionnels'!$D$7:$D$66,"77W",'Vols additionnels'!$B$7:$B$66,"&gt;="&amp;$O$4,'Vols additionnels'!$B$7:$B$66,"&lt;="&amp;$O$5)+SUMIFS('Vols additionnels'!$E$7:$E$66,'Vols additionnels'!$C$7:$C$66,$B25,'Vols additionnels'!$D$7:$D$66,"77W",'Vols additionnels'!$I$7:$I$66,"&gt;="&amp;$O$4,'Vols additionnels'!$I$7:$I$66,"&lt;="&amp;$O$5)+SUMIFS('Vols additionnels'!$E$7:$E$66,'Vols additionnels'!$C$7:$C$66,$B25,'Vols additionnels'!$D$7:$D$66,"787",'Vols additionnels'!$B$7:$B$66,"&gt;="&amp;$O$4,'Vols additionnels'!$B$7:$B$66,"&lt;="&amp;$O$5)+SUMIFS('Vols additionnels'!$E$7:$E$66,'Vols additionnels'!$C$7:$C$66,$B25,'Vols additionnels'!$D$7:$D$66,"787",'Vols additionnels'!$I$7:$I$66,"&gt;="&amp;$O$4,'Vols additionnels'!$I$7:$I$66,"&lt;="&amp;$O$5)+SUMIFS('Vols additionnels'!$E$7:$E$66,'Vols additionnels'!$C$7:$C$66,$B25,'Vols additionnels'!$D$7:$D$66,"A320",'Vols additionnels'!$B$7:$B$66,"&gt;="&amp;$O$4,'Vols additionnels'!$B$7:$B$66,"&lt;="&amp;$O$5)+SUMIFS('Vols additionnels'!$E$7:$E$66,'Vols additionnels'!$C$7:$C$66,$B25,'Vols additionnels'!$D$7:$D$66,"A320",'Vols additionnels'!$I$7:$I$66,"&gt;="&amp;$O$4,'Vols additionnels'!$I$7:$I$66,"&lt;="&amp;$O$5))/2</f>
        <v>0</v>
      </c>
      <c r="L25" s="40" t="n">
        <f aca="false">(SUMPRODUCT($C$20:$I$20,LEN($Q$66:$W$66))+(SUMPRODUCT($C$20:$I$20,LEN($Q$66:$W$66))-$X$66+$Y$66)+SUMIFS('Vols additionnels'!$E$7:$E$66,'Vols additionnels'!$C$7:$C$66,$B25,'Vols additionnels'!$D$7:$D$66,"77W",'Vols additionnels'!$B$7:$B$66,"&gt;="&amp;$O$4,'Vols additionnels'!$B$7:$B$66,"&lt;="&amp;$O$5)+SUMIFS('Vols additionnels'!$E$7:$E$66,'Vols additionnels'!$C$7:$C$66,$B25,'Vols additionnels'!$D$7:$D$66,"77W",'Vols additionnels'!$I$7:$I$66,"&gt;="&amp;$O$4,'Vols additionnels'!$I$7:$I$66,"&lt;="&amp;$O$5))/2</f>
        <v>29.5</v>
      </c>
      <c r="M25" s="40" t="n">
        <f aca="false">(SUMPRODUCT($C$20:$I$20,LEN($Q$67:$W$67))+(SUMPRODUCT($C$20:$I$20,LEN($Q$67:$W$67))-$X$67+$Y$67)+SUMIFS('Vols additionnels'!$E$7:$E$66,'Vols additionnels'!$C$7:$C$66,$B25,'Vols additionnels'!$D$7:$D$66,"787",'Vols additionnels'!$B$7:$B$66,"&gt;="&amp;$O$4,'Vols additionnels'!$B$7:$B$66,"&lt;="&amp;$O$5)+SUMIFS('Vols additionnels'!$E$7:$E$66,'Vols additionnels'!$C$7:$C$66,$B25,'Vols additionnels'!$D$7:$D$66,"787",'Vols additionnels'!$I$7:$I$66,"&gt;="&amp;$O$4,'Vols additionnels'!$I$7:$I$66,"&lt;="&amp;$O$5))/2</f>
        <v>8.5</v>
      </c>
      <c r="N25" s="40" t="n">
        <f aca="false">(SUMPRODUCT($C$20:$I$20,LEN($Q$68:$W$68))+(SUMPRODUCT($C$20:$I$20,LEN($Q$68:$W$68))-$X$68+$Y$68)+SUMIFS('Vols additionnels'!$E$7:$E$66,'Vols additionnels'!$C$7:$C$66,$B25,'Vols additionnels'!$D$7:$D$66,"A320",'Vols additionnels'!$B$7:$B$66,"&gt;="&amp;$O$4,'Vols additionnels'!$B$7:$B$66,"&lt;="&amp;$O$5)+SUMIFS('Vols additionnels'!$E$7:$E$66,'Vols additionnels'!$C$7:$C$66,$B25,'Vols additionnels'!$D$7:$D$66,"A320",'Vols additionnels'!$I$7:$I$66,"&gt;="&amp;$O$4,'Vols additionnels'!$I$7:$I$66,"&lt;="&amp;$O$5))/2</f>
        <v>8</v>
      </c>
      <c r="P25" s="28" t="s">
        <v>96</v>
      </c>
      <c r="Q25" s="34" t="n">
        <f aca="false">LEN(Q19)</f>
        <v>0</v>
      </c>
      <c r="R25" s="34" t="n">
        <f aca="false">LEN(R19)</f>
        <v>0</v>
      </c>
      <c r="S25" s="34" t="n">
        <f aca="false">LEN(S19)</f>
        <v>0</v>
      </c>
      <c r="T25" s="34" t="n">
        <f aca="false">LEN(T19)</f>
        <v>0</v>
      </c>
      <c r="U25" s="34" t="n">
        <f aca="false">LEN(U19)</f>
        <v>0</v>
      </c>
      <c r="V25" s="34" t="n">
        <f aca="false">LEN(V19)</f>
        <v>0</v>
      </c>
      <c r="W25" s="34" t="n">
        <f aca="false">LEN(W19)</f>
        <v>0</v>
      </c>
    </row>
    <row r="26" customFormat="false" ht="24" hidden="false" customHeight="true" outlineLevel="0" collapsed="false">
      <c r="B26" s="35" t="str">
        <f aca="false">$AE$5</f>
        <v>CDGDZA</v>
      </c>
      <c r="C26" s="36" t="str">
        <f aca="false">IF(E26=0,"-",SUBSTITUTE(TRIM(IF(SUMPRODUCT(LEN($Q$69:$W$69))&gt;0,"77W("&amp;SUMPRODUCT(LEN($Q$69:$W$69))&amp;") ","")&amp;IF(SUMPRODUCT(LEN($Q$70:$W$70))&gt;0,"787("&amp;SUMPRODUCT(LEN($Q$70:$W$70))&amp;") ","")&amp;IF(SUMPRODUCT(LEN($Q$71:$W$71))&gt;0,"A320("&amp;SUMPRODUCT(LEN($Q$71:$W$71))&amp;") ",""))," ",", "))</f>
        <v>77W(1), 787(2)</v>
      </c>
      <c r="D26" s="36" t="str">
        <f aca="false">IF(E26=0,"aucune operation",SUBSTITUTE(TRIM(IF(SUMPRODUCT(LEN($Q$69:$Q$71))&gt;0,"J1 ","")&amp;IF(SUMPRODUCT(LEN($R$69:$R$71))&gt;0,"J2 ","")&amp;IF(SUMPRODUCT(LEN($S$69:$S$71))&gt;0,"J3 ","")&amp;IF(SUMPRODUCT(LEN($T$69:$T$71))&gt;0,"J4 ","")&amp;IF(SUMPRODUCT(LEN($U$69:$U$71))&gt;0,"J5 ","")&amp;IF(SUMPRODUCT(LEN($V$69:$V$71))&gt;0,"J6 ","")&amp;IF(SUMPRODUCT(LEN($W$69:$W$71))&gt;0,"J7 ",""))," ",", "))</f>
        <v>J2, J5, J7</v>
      </c>
      <c r="E26" s="37" t="n">
        <f aca="false">SUMPRODUCT(LEN($Q$69:$W$69))+SUMPRODUCT(LEN($Q$70:$W$70))+SUMPRODUCT(LEN($Q$71:$W$71))</f>
        <v>3</v>
      </c>
      <c r="F26" s="37" t="n">
        <f aca="false">$C$21</f>
        <v>5</v>
      </c>
      <c r="G26" s="38" t="n">
        <f aca="false">(H26+I26)/2</f>
        <v>12.5</v>
      </c>
      <c r="H26" s="37" t="n">
        <f aca="false">SUMPRODUCT($C$20:$I$20,LEN($Q$69:$W$69))+SUMIFS('Vols additionnels'!$E$7:$E$66,'Vols additionnels'!$C$7:$C$66,$B26,'Vols additionnels'!$D$7:$D$66,"77W",'Vols additionnels'!$B$7:$B$66,"&gt;="&amp;$O$4,'Vols additionnels'!$B$7:$B$66,"&lt;="&amp;$O$5)+SUMPRODUCT($C$20:$I$20,LEN($Q$70:$W$70))+SUMIFS('Vols additionnels'!$E$7:$E$66,'Vols additionnels'!$C$7:$C$66,$B26,'Vols additionnels'!$D$7:$D$66,"787",'Vols additionnels'!$B$7:$B$66,"&gt;="&amp;$O$4,'Vols additionnels'!$B$7:$B$66,"&lt;="&amp;$O$5)+SUMPRODUCT($C$20:$I$20,LEN($Q$71:$W$71))+SUMIFS('Vols additionnels'!$E$7:$E$66,'Vols additionnels'!$C$7:$C$66,$B26,'Vols additionnels'!$D$7:$D$66,"A320",'Vols additionnels'!$B$7:$B$66,"&gt;="&amp;$O$4,'Vols additionnels'!$B$7:$B$66,"&lt;="&amp;$O$5)</f>
        <v>13</v>
      </c>
      <c r="I26" s="37" t="n">
        <f aca="false">(SUMPRODUCT($C$20:$I$20,LEN($Q$69:$W$69))-$X$69+$Y$69)+SUMIFS('Vols additionnels'!$E$7:$E$66,'Vols additionnels'!$C$7:$C$66,$B26,'Vols additionnels'!$D$7:$D$66,"77W",'Vols additionnels'!$I$7:$I$66,"&gt;="&amp;$O$4,'Vols additionnels'!$I$7:$I$66,"&lt;="&amp;$O$5)+(SUMPRODUCT($C$20:$I$20,LEN($Q$70:$W$70))-$X$70+$Y$70)+SUMIFS('Vols additionnels'!$E$7:$E$66,'Vols additionnels'!$C$7:$C$66,$B26,'Vols additionnels'!$D$7:$D$66,"787",'Vols additionnels'!$I$7:$I$66,"&gt;="&amp;$O$4,'Vols additionnels'!$I$7:$I$66,"&lt;="&amp;$O$5)+(SUMPRODUCT($C$20:$I$20,LEN($Q$71:$W$71))-$X$71+$Y$71)+SUMIFS('Vols additionnels'!$E$7:$E$66,'Vols additionnels'!$C$7:$C$66,$B26,'Vols additionnels'!$D$7:$D$66,"A320",'Vols additionnels'!$I$7:$I$66,"&gt;="&amp;$O$4,'Vols additionnels'!$I$7:$I$66,"&lt;="&amp;$O$5)</f>
        <v>12</v>
      </c>
      <c r="J26" s="39" t="n">
        <f aca="false">(SUMPRODUCT($C$20:$I$20,LEN($Q$69:$W$69))+(SUMPRODUCT($C$20:$I$20,LEN($Q$69:$W$69))-$X$69+$Y$69)+SUMPRODUCT($C$20:$I$20,LEN($Q$70:$W$70))+(SUMPRODUCT($C$20:$I$20,LEN($Q$70:$W$70))-$X$70+$Y$70)+SUMPRODUCT($C$20:$I$20,LEN($Q$71:$W$71))+(SUMPRODUCT($C$20:$I$20,LEN($Q$71:$W$71))-$X$71+$Y$71))/2</f>
        <v>12.5</v>
      </c>
      <c r="K26" s="39" t="n">
        <f aca="false">(SUMIFS('Vols additionnels'!$E$7:$E$66,'Vols additionnels'!$C$7:$C$66,$B26,'Vols additionnels'!$D$7:$D$66,"77W",'Vols additionnels'!$B$7:$B$66,"&gt;="&amp;$O$4,'Vols additionnels'!$B$7:$B$66,"&lt;="&amp;$O$5)+SUMIFS('Vols additionnels'!$E$7:$E$66,'Vols additionnels'!$C$7:$C$66,$B26,'Vols additionnels'!$D$7:$D$66,"77W",'Vols additionnels'!$I$7:$I$66,"&gt;="&amp;$O$4,'Vols additionnels'!$I$7:$I$66,"&lt;="&amp;$O$5)+SUMIFS('Vols additionnels'!$E$7:$E$66,'Vols additionnels'!$C$7:$C$66,$B26,'Vols additionnels'!$D$7:$D$66,"787",'Vols additionnels'!$B$7:$B$66,"&gt;="&amp;$O$4,'Vols additionnels'!$B$7:$B$66,"&lt;="&amp;$O$5)+SUMIFS('Vols additionnels'!$E$7:$E$66,'Vols additionnels'!$C$7:$C$66,$B26,'Vols additionnels'!$D$7:$D$66,"787",'Vols additionnels'!$I$7:$I$66,"&gt;="&amp;$O$4,'Vols additionnels'!$I$7:$I$66,"&lt;="&amp;$O$5)+SUMIFS('Vols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L26" s="40" t="n">
        <f aca="false">(SUMPRODUCT($C$20:$I$20,LEN($Q$69:$W$69))+(SUMPRODUCT($C$20:$I$20,LEN($Q$69:$W$69))-$X$69+$Y$69)+SUMIFS('Vols additionnels'!$E$7:$E$66,'Vols additionnels'!$C$7:$C$66,$B26,'Vols additionnels'!$D$7:$D$66,"77W",'Vols additionnels'!$B$7:$B$66,"&gt;="&amp;$O$4,'Vols additionnels'!$B$7:$B$66,"&lt;="&amp;$O$5)+SUMIFS('Vols additionnels'!$E$7:$E$66,'Vols additionnels'!$C$7:$C$66,$B26,'Vols additionnels'!$D$7:$D$66,"77W",'Vols additionnels'!$I$7:$I$66,"&gt;="&amp;$O$4,'Vols additionnels'!$I$7:$I$66,"&lt;="&amp;$O$5))/2</f>
        <v>4</v>
      </c>
      <c r="M26" s="40" t="n">
        <f aca="false">(SUMPRODUCT($C$20:$I$20,LEN($Q$70:$W$70))+(SUMPRODUCT($C$20:$I$20,LEN($Q$70:$W$70))-$X$70+$Y$70)+SUMIFS('Vols additionnels'!$E$7:$E$66,'Vols additionnels'!$C$7:$C$66,$B26,'Vols additionnels'!$D$7:$D$66,"787",'Vols additionnels'!$B$7:$B$66,"&gt;="&amp;$O$4,'Vols additionnels'!$B$7:$B$66,"&lt;="&amp;$O$5)+SUMIFS('Vols additionnels'!$E$7:$E$66,'Vols additionnels'!$C$7:$C$66,$B26,'Vols additionnels'!$D$7:$D$66,"787",'Vols additionnels'!$I$7:$I$66,"&gt;="&amp;$O$4,'Vols additionnels'!$I$7:$I$66,"&lt;="&amp;$O$5))/2</f>
        <v>8.5</v>
      </c>
      <c r="N26" s="40" t="n">
        <f aca="false">(SUMPRODUCT($C$20:$I$20,LEN($Q$71:$W$71))+(SUMPRODUCT($C$20:$I$20,LEN($Q$71:$W$71))-$X$71+$Y$71)+SUMIFS('Vols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P26" s="28" t="s">
        <v>97</v>
      </c>
      <c r="Q26" s="34" t="n">
        <f aca="false">LEN(Q20)</f>
        <v>1</v>
      </c>
      <c r="R26" s="34" t="n">
        <f aca="false">LEN(R20)</f>
        <v>0</v>
      </c>
      <c r="S26" s="34" t="n">
        <f aca="false">LEN(S20)</f>
        <v>0</v>
      </c>
      <c r="T26" s="34" t="n">
        <f aca="false">LEN(T20)</f>
        <v>1</v>
      </c>
      <c r="U26" s="34" t="n">
        <f aca="false">LEN(U20)</f>
        <v>0</v>
      </c>
      <c r="V26" s="34" t="n">
        <f aca="false">LEN(V20)</f>
        <v>1</v>
      </c>
      <c r="W26" s="34" t="n">
        <f aca="false">LEN(W20)</f>
        <v>0</v>
      </c>
    </row>
    <row r="27" customFormat="false" ht="24" hidden="false" customHeight="true" outlineLevel="0" collapsed="false">
      <c r="B27" s="35" t="str">
        <f aca="false">$AE$6</f>
        <v>BKKRUN</v>
      </c>
      <c r="C27" s="36" t="str">
        <f aca="false">IF(E27=0,"-",SUBSTITUTE(TRIM(IF(SUMPRODUCT(LEN($Q$72:$W$72))&gt;0,"77W("&amp;SUMPRODUCT(LEN($Q$72:$W$72))&amp;") ","")&amp;IF(SUMPRODUCT(LEN($Q$73:$W$73))&gt;0,"787("&amp;SUMPRODUCT(LEN($Q$73:$W$73))&amp;") ","")&amp;IF(SUMPRODUCT(LEN($Q$74:$W$74))&gt;0,"A320("&amp;SUMPRODUCT(LEN($Q$74:$W$74))&amp;") ",""))," ",", "))</f>
        <v>787(2)</v>
      </c>
      <c r="D27" s="36" t="str">
        <f aca="false">IF(E27=0,"aucune operation",SUBSTITUTE(TRIM(IF(SUMPRODUCT(LEN($Q$72:$Q$74))&gt;0,"J1 ","")&amp;IF(SUMPRODUCT(LEN($R$72:$R$74))&gt;0,"J2 ","")&amp;IF(SUMPRODUCT(LEN($S$72:$S$74))&gt;0,"J3 ","")&amp;IF(SUMPRODUCT(LEN($T$72:$T$74))&gt;0,"J4 ","")&amp;IF(SUMPRODUCT(LEN($U$72:$U$74))&gt;0,"J5 ","")&amp;IF(SUMPRODUCT(LEN($V$72:$V$74))&gt;0,"J6 ","")&amp;IF(SUMPRODUCT(LEN($W$72:$W$74))&gt;0,"J7 ",""))," ",", "))</f>
        <v>J3, J6</v>
      </c>
      <c r="E27" s="37" t="n">
        <f aca="false">SUMPRODUCT(LEN($Q$72:$W$72))+SUMPRODUCT(LEN($Q$73:$W$73))+SUMPRODUCT(LEN($Q$74:$W$74))</f>
        <v>2</v>
      </c>
      <c r="F27" s="37" t="n">
        <f aca="false">$C$21</f>
        <v>5</v>
      </c>
      <c r="G27" s="38" t="n">
        <f aca="false">(H27+I27)/2</f>
        <v>8</v>
      </c>
      <c r="H27" s="37" t="n">
        <f aca="false">SUMPRODUCT($C$20:$I$20,LEN($Q$72:$W$72))+SUMIFS('Vols additionnels'!$E$7:$E$66,'Vols additionnels'!$C$7:$C$66,$B27,'Vols additionnels'!$D$7:$D$66,"77W",'Vols additionnels'!$B$7:$B$66,"&gt;="&amp;$O$4,'Vols additionnels'!$B$7:$B$66,"&lt;="&amp;$O$5)+SUMPRODUCT($C$20:$I$20,LEN($Q$73:$W$73))+SUMIFS('Vols additionnels'!$E$7:$E$66,'Vols additionnels'!$C$7:$C$66,$B27,'Vols additionnels'!$D$7:$D$66,"787",'Vols additionnels'!$B$7:$B$66,"&gt;="&amp;$O$4,'Vols additionnels'!$B$7:$B$66,"&lt;="&amp;$O$5)+SUMPRODUCT($C$20:$I$20,LEN($Q$74:$W$74))+SUMIFS('Vols additionnels'!$E$7:$E$66,'Vols additionnels'!$C$7:$C$66,$B27,'Vols additionnels'!$D$7:$D$66,"A320",'Vols additionnels'!$B$7:$B$66,"&gt;="&amp;$O$4,'Vols additionnels'!$B$7:$B$66,"&lt;="&amp;$O$5)</f>
        <v>8</v>
      </c>
      <c r="I27" s="37" t="n">
        <f aca="false">(SUMPRODUCT($C$20:$I$20,LEN($Q$72:$W$72))-$X$72+$Y$72)+SUMIFS('Vols additionnels'!$E$7:$E$66,'Vols additionnels'!$C$7:$C$66,$B27,'Vols additionnels'!$D$7:$D$66,"77W",'Vols additionnels'!$I$7:$I$66,"&gt;="&amp;$O$4,'Vols additionnels'!$I$7:$I$66,"&lt;="&amp;$O$5)+(SUMPRODUCT($C$20:$I$20,LEN($Q$73:$W$73))-$X$73+$Y$73)+SUMIFS('Vols additionnels'!$E$7:$E$66,'Vols additionnels'!$C$7:$C$66,$B27,'Vols additionnels'!$D$7:$D$66,"787",'Vols additionnels'!$I$7:$I$66,"&gt;="&amp;$O$4,'Vols additionnels'!$I$7:$I$66,"&lt;="&amp;$O$5)+(SUMPRODUCT($C$20:$I$20,LEN($Q$74:$W$74))-$X$74+$Y$74)+SUMIFS('Vols additionnels'!$E$7:$E$66,'Vols additionnels'!$C$7:$C$66,$B27,'Vols additionnels'!$D$7:$D$66,"A320",'Vols additionnels'!$I$7:$I$66,"&gt;="&amp;$O$4,'Vols additionnels'!$I$7:$I$66,"&lt;="&amp;$O$5)</f>
        <v>8</v>
      </c>
      <c r="J27" s="39" t="n">
        <f aca="false">(SUMPRODUCT($C$20:$I$20,LEN($Q$72:$W$72))+(SUMPRODUCT($C$20:$I$20,LEN($Q$72:$W$72))-$X$72+$Y$72)+SUMPRODUCT($C$20:$I$20,LEN($Q$73:$W$73))+(SUMPRODUCT($C$20:$I$20,LEN($Q$73:$W$73))-$X$73+$Y$73)+SUMPRODUCT($C$20:$I$20,LEN($Q$74:$W$74))+(SUMPRODUCT($C$20:$I$20,LEN($Q$74:$W$74))-$X$74+$Y$74))/2</f>
        <v>8</v>
      </c>
      <c r="K27" s="39" t="n">
        <f aca="false">(SUMIFS('Vols additionnels'!$E$7:$E$66,'Vols additionnels'!$C$7:$C$66,$B27,'Vols additionnels'!$D$7:$D$66,"77W",'Vols additionnels'!$B$7:$B$66,"&gt;="&amp;$O$4,'Vols additionnels'!$B$7:$B$66,"&lt;="&amp;$O$5)+SUMIFS('Vols additionnels'!$E$7:$E$66,'Vols additionnels'!$C$7:$C$66,$B27,'Vols additionnels'!$D$7:$D$66,"77W",'Vols additionnels'!$I$7:$I$66,"&gt;="&amp;$O$4,'Vols additionnels'!$I$7:$I$66,"&lt;="&amp;$O$5)+SUMIFS('Vols additionnels'!$E$7:$E$66,'Vols additionnels'!$C$7:$C$66,$B27,'Vols additionnels'!$D$7:$D$66,"787",'Vols additionnels'!$B$7:$B$66,"&gt;="&amp;$O$4,'Vols additionnels'!$B$7:$B$66,"&lt;="&amp;$O$5)+SUMIFS('Vols additionnels'!$E$7:$E$66,'Vols additionnels'!$C$7:$C$66,$B27,'Vols additionnels'!$D$7:$D$66,"787",'Vols additionnels'!$I$7:$I$66,"&gt;="&amp;$O$4,'Vols additionnels'!$I$7:$I$66,"&lt;="&amp;$O$5)+SUMIFS('Vols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c r="L27" s="40" t="n">
        <f aca="false">(SUMPRODUCT($C$20:$I$20,LEN($Q$72:$W$72))+(SUMPRODUCT($C$20:$I$20,LEN($Q$72:$W$72))-$X$72+$Y$72)+SUMIFS('Vols additionnels'!$E$7:$E$66,'Vols additionnels'!$C$7:$C$66,$B27,'Vols additionnels'!$D$7:$D$66,"77W",'Vols additionnels'!$B$7:$B$66,"&gt;="&amp;$O$4,'Vols additionnels'!$B$7:$B$66,"&lt;="&amp;$O$5)+SUMIFS('Vols additionnels'!$E$7:$E$66,'Vols additionnels'!$C$7:$C$66,$B27,'Vols additionnels'!$D$7:$D$66,"77W",'Vols additionnels'!$I$7:$I$66,"&gt;="&amp;$O$4,'Vols additionnels'!$I$7:$I$66,"&lt;="&amp;$O$5))/2</f>
        <v>0</v>
      </c>
      <c r="M27" s="40" t="n">
        <f aca="false">(SUMPRODUCT($C$20:$I$20,LEN($Q$73:$W$73))+(SUMPRODUCT($C$20:$I$20,LEN($Q$73:$W$73))-$X$73+$Y$73)+SUMIFS('Vols additionnels'!$E$7:$E$66,'Vols additionnels'!$C$7:$C$66,$B27,'Vols additionnels'!$D$7:$D$66,"787",'Vols additionnels'!$B$7:$B$66,"&gt;="&amp;$O$4,'Vols additionnels'!$B$7:$B$66,"&lt;="&amp;$O$5)+SUMIFS('Vols additionnels'!$E$7:$E$66,'Vols additionnels'!$C$7:$C$66,$B27,'Vols additionnels'!$D$7:$D$66,"787",'Vols additionnels'!$I$7:$I$66,"&gt;="&amp;$O$4,'Vols additionnels'!$I$7:$I$66,"&lt;="&amp;$O$5))/2</f>
        <v>8</v>
      </c>
      <c r="N27" s="40" t="n">
        <f aca="false">(SUMPRODUCT($C$20:$I$20,LEN($Q$74:$W$74))+(SUMPRODUCT($C$20:$I$20,LEN($Q$74:$W$74))-$X$74+$Y$74)+SUMIFS('Vols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row>
    <row r="28" customFormat="false" ht="24" hidden="false" customHeight="true" outlineLevel="0" collapsed="false">
      <c r="B28" s="35" t="str">
        <f aca="false">$AE$7</f>
        <v>DZARUN</v>
      </c>
      <c r="C28" s="36" t="str">
        <f aca="false">IF(E28=0,"-",SUBSTITUTE(TRIM(IF(SUMPRODUCT(LEN($Q$75:$W$75))&gt;0,"77W("&amp;SUMPRODUCT(LEN($Q$75:$W$75))&amp;") ","")&amp;IF(SUMPRODUCT(LEN($Q$76:$W$76))&gt;0,"787("&amp;SUMPRODUCT(LEN($Q$76:$W$76))&amp;") ","")&amp;IF(SUMPRODUCT(LEN($Q$77:$W$77))&gt;0,"A320("&amp;SUMPRODUCT(LEN($Q$77:$W$77))&amp;") ",""))," ",", "))</f>
        <v>787(1), A320(5)</v>
      </c>
      <c r="D28" s="36" t="str">
        <f aca="false">IF(E28=0,"aucune operation",SUBSTITUTE(TRIM(IF(SUMPRODUCT(LEN($Q$75:$Q$77))&gt;0,"J1 ","")&amp;IF(SUMPRODUCT(LEN($R$75:$R$77))&gt;0,"J2 ","")&amp;IF(SUMPRODUCT(LEN($S$75:$S$77))&gt;0,"J3 ","")&amp;IF(SUMPRODUCT(LEN($T$75:$T$77))&gt;0,"J4 ","")&amp;IF(SUMPRODUCT(LEN($U$75:$U$77))&gt;0,"J5 ","")&amp;IF(SUMPRODUCT(LEN($V$75:$V$77))&gt;0,"J6 ","")&amp;IF(SUMPRODUCT(LEN($W$75:$W$77))&gt;0,"J7 ",""))," ",", "))</f>
        <v>J1, J2, J3, J4, J5</v>
      </c>
      <c r="E28" s="37" t="n">
        <f aca="false">SUMPRODUCT(LEN($Q$75:$W$75))+SUMPRODUCT(LEN($Q$76:$W$76))+SUMPRODUCT(LEN($Q$77:$W$77))</f>
        <v>6</v>
      </c>
      <c r="F28" s="37" t="n">
        <f aca="false">$C$21</f>
        <v>5</v>
      </c>
      <c r="G28" s="38" t="n">
        <f aca="false">(H28+I28)/2</f>
        <v>26</v>
      </c>
      <c r="H28" s="37" t="n">
        <f aca="false">SUMPRODUCT($C$20:$I$20,LEN($Q$75:$W$75))+SUMIFS('Vols additionnels'!$E$7:$E$66,'Vols additionnels'!$C$7:$C$66,$B28,'Vols additionnels'!$D$7:$D$66,"77W",'Vols additionnels'!$B$7:$B$66,"&gt;="&amp;$O$4,'Vols additionnels'!$B$7:$B$66,"&lt;="&amp;$O$5)+SUMPRODUCT($C$20:$I$20,LEN($Q$76:$W$76))+SUMIFS('Vols additionnels'!$E$7:$E$66,'Vols additionnels'!$C$7:$C$66,$B28,'Vols additionnels'!$D$7:$D$66,"787",'Vols additionnels'!$B$7:$B$66,"&gt;="&amp;$O$4,'Vols additionnels'!$B$7:$B$66,"&lt;="&amp;$O$5)+SUMPRODUCT($C$20:$I$20,LEN($Q$77:$W$77))+SUMIFS('Vols additionnels'!$E$7:$E$66,'Vols additionnels'!$C$7:$C$66,$B28,'Vols additionnels'!$D$7:$D$66,"A320",'Vols additionnels'!$B$7:$B$66,"&gt;="&amp;$O$4,'Vols additionnels'!$B$7:$B$66,"&lt;="&amp;$O$5)</f>
        <v>26</v>
      </c>
      <c r="I28" s="37" t="n">
        <f aca="false">(SUMPRODUCT($C$20:$I$20,LEN($Q$75:$W$75))-$X$75+$Y$75)+SUMIFS('Vols additionnels'!$E$7:$E$66,'Vols additionnels'!$C$7:$C$66,$B28,'Vols additionnels'!$D$7:$D$66,"77W",'Vols additionnels'!$I$7:$I$66,"&gt;="&amp;$O$4,'Vols additionnels'!$I$7:$I$66,"&lt;="&amp;$O$5)+(SUMPRODUCT($C$20:$I$20,LEN($Q$76:$W$76))-$X$76+$Y$76)+SUMIFS('Vols additionnels'!$E$7:$E$66,'Vols additionnels'!$C$7:$C$66,$B28,'Vols additionnels'!$D$7:$D$66,"787",'Vols additionnels'!$I$7:$I$66,"&gt;="&amp;$O$4,'Vols additionnels'!$I$7:$I$66,"&lt;="&amp;$O$5)+(SUMPRODUCT($C$20:$I$20,LEN($Q$77:$W$77))-$X$77+$Y$77)+SUMIFS('Vols additionnels'!$E$7:$E$66,'Vols additionnels'!$C$7:$C$66,$B28,'Vols additionnels'!$D$7:$D$66,"A320",'Vols additionnels'!$I$7:$I$66,"&gt;="&amp;$O$4,'Vols additionnels'!$I$7:$I$66,"&lt;="&amp;$O$5)</f>
        <v>26</v>
      </c>
      <c r="J28" s="39" t="n">
        <f aca="false">(SUMPRODUCT($C$20:$I$20,LEN($Q$75:$W$75))+(SUMPRODUCT($C$20:$I$20,LEN($Q$75:$W$75))-$X$75+$Y$75)+SUMPRODUCT($C$20:$I$20,LEN($Q$76:$W$76))+(SUMPRODUCT($C$20:$I$20,LEN($Q$76:$W$76))-$X$76+$Y$76)+SUMPRODUCT($C$20:$I$20,LEN($Q$77:$W$77))+(SUMPRODUCT($C$20:$I$20,LEN($Q$77:$W$77))-$X$77+$Y$77))/2</f>
        <v>26</v>
      </c>
      <c r="K28" s="39" t="n">
        <f aca="false">(SUMIFS('Vols additionnels'!$E$7:$E$66,'Vols additionnels'!$C$7:$C$66,$B28,'Vols additionnels'!$D$7:$D$66,"77W",'Vols additionnels'!$B$7:$B$66,"&gt;="&amp;$O$4,'Vols additionnels'!$B$7:$B$66,"&lt;="&amp;$O$5)+SUMIFS('Vols additionnels'!$E$7:$E$66,'Vols additionnels'!$C$7:$C$66,$B28,'Vols additionnels'!$D$7:$D$66,"77W",'Vols additionnels'!$I$7:$I$66,"&gt;="&amp;$O$4,'Vols additionnels'!$I$7:$I$66,"&lt;="&amp;$O$5)+SUMIFS('Vols additionnels'!$E$7:$E$66,'Vols additionnels'!$C$7:$C$66,$B28,'Vols additionnels'!$D$7:$D$66,"787",'Vols additionnels'!$B$7:$B$66,"&gt;="&amp;$O$4,'Vols additionnels'!$B$7:$B$66,"&lt;="&amp;$O$5)+SUMIFS('Vols additionnels'!$E$7:$E$66,'Vols additionnels'!$C$7:$C$66,$B28,'Vols additionnels'!$D$7:$D$66,"787",'Vols additionnels'!$I$7:$I$66,"&gt;="&amp;$O$4,'Vols additionnels'!$I$7:$I$66,"&lt;="&amp;$O$5)+SUMIFS('Vols additionnels'!$E$7:$E$66,'Vols additionnels'!$C$7:$C$66,$B28,'Vols additionnels'!$D$7:$D$66,"A320",'Vols additionnels'!$B$7:$B$66,"&gt;="&amp;$O$4,'Vols additionnels'!$B$7:$B$66,"&lt;="&amp;$O$5)+SUMIFS('Vols additionnels'!$E$7:$E$66,'Vols additionnels'!$C$7:$C$66,$B28,'Vols additionnels'!$D$7:$D$66,"A320",'Vols additionnels'!$I$7:$I$66,"&gt;="&amp;$O$4,'Vols additionnels'!$I$7:$I$66,"&lt;="&amp;$O$5))/2</f>
        <v>0</v>
      </c>
      <c r="L28" s="40" t="n">
        <f aca="false">(SUMPRODUCT($C$20:$I$20,LEN($Q$75:$W$75))+(SUMPRODUCT($C$20:$I$20,LEN($Q$75:$W$75))-$X$75+$Y$75)+SUMIFS('Vols additionnels'!$E$7:$E$66,'Vols additionnels'!$C$7:$C$66,$B28,'Vols additionnels'!$D$7:$D$66,"77W",'Vols additionnels'!$B$7:$B$66,"&gt;="&amp;$O$4,'Vols additionnels'!$B$7:$B$66,"&lt;="&amp;$O$5)+SUMIFS('Vols additionnels'!$E$7:$E$66,'Vols additionnels'!$C$7:$C$66,$B28,'Vols additionnels'!$D$7:$D$66,"77W",'Vols additionnels'!$I$7:$I$66,"&gt;="&amp;$O$4,'Vols additionnels'!$I$7:$I$66,"&lt;="&amp;$O$5))/2</f>
        <v>0</v>
      </c>
      <c r="M28" s="40" t="n">
        <f aca="false">(SUMPRODUCT($C$20:$I$20,LEN($Q$76:$W$76))+(SUMPRODUCT($C$20:$I$20,LEN($Q$76:$W$76))-$X$76+$Y$76)+SUMIFS('Vols additionnels'!$E$7:$E$66,'Vols additionnels'!$C$7:$C$66,$B28,'Vols additionnels'!$D$7:$D$66,"787",'Vols additionnels'!$B$7:$B$66,"&gt;="&amp;$O$4,'Vols additionnels'!$B$7:$B$66,"&lt;="&amp;$O$5)+SUMIFS('Vols additionnels'!$E$7:$E$66,'Vols additionnels'!$C$7:$C$66,$B28,'Vols additionnels'!$D$7:$D$66,"787",'Vols additionnels'!$I$7:$I$66,"&gt;="&amp;$O$4,'Vols additionnels'!$I$7:$I$66,"&lt;="&amp;$O$5))/2</f>
        <v>4</v>
      </c>
      <c r="N28" s="40" t="n">
        <f aca="false">(SUMPRODUCT($C$20:$I$20,LEN($Q$77:$W$77))+(SUMPRODUCT($C$20:$I$20,LEN($Q$77:$W$77))-$X$77+$Y$77)+SUMIFS('Vols additionnels'!$E$7:$E$66,'Vols additionnels'!$C$7:$C$66,$B28,'Vols additionnels'!$D$7:$D$66,"A320",'Vols additionnels'!$B$7:$B$66,"&gt;="&amp;$O$4,'Vols additionnels'!$B$7:$B$66,"&lt;="&amp;$O$5)+SUMIFS('Vols additionnels'!$E$7:$E$66,'Vols additionnels'!$C$7:$C$66,$B28,'Vols additionnels'!$D$7:$D$66,"A320",'Vols additionnels'!$I$7:$I$66,"&gt;="&amp;$O$4,'Vols additionnels'!$I$7:$I$66,"&lt;="&amp;$O$5))/2</f>
        <v>22</v>
      </c>
      <c r="P28" s="25" t="s">
        <v>98</v>
      </c>
      <c r="Q28" s="25"/>
      <c r="R28" s="25"/>
      <c r="S28" s="25"/>
      <c r="T28" s="25"/>
      <c r="U28" s="25"/>
      <c r="V28" s="25"/>
      <c r="W28" s="25"/>
    </row>
    <row r="29" customFormat="false" ht="24" hidden="false" customHeight="true" outlineLevel="0" collapsed="false">
      <c r="B29" s="35" t="str">
        <f aca="false">$AE$8</f>
        <v>MRURUN</v>
      </c>
      <c r="C29" s="36" t="str">
        <f aca="false">IF(E29=0,"-",SUBSTITUTE(TRIM(IF(SUMPRODUCT(LEN($Q$78:$W$78))&gt;0,"77W("&amp;SUMPRODUCT(LEN($Q$78:$W$78))&amp;") ","")&amp;IF(SUMPRODUCT(LEN($Q$79:$W$79))&gt;0,"787("&amp;SUMPRODUCT(LEN($Q$79:$W$79))&amp;") ","")&amp;IF(SUMPRODUCT(LEN($Q$80:$W$80))&gt;0,"A320("&amp;SUMPRODUCT(LEN($Q$80:$W$80))&amp;") ",""))," ",", "))</f>
        <v>A320(4)</v>
      </c>
      <c r="D29" s="36" t="str">
        <f aca="false">IF(E29=0,"aucune operation",SUBSTITUTE(TRIM(IF(SUMPRODUCT(LEN($Q$78:$Q$80))&gt;0,"J1 ","")&amp;IF(SUMPRODUCT(LEN($R$78:$R$80))&gt;0,"J2 ","")&amp;IF(SUMPRODUCT(LEN($S$78:$S$80))&gt;0,"J3 ","")&amp;IF(SUMPRODUCT(LEN($T$78:$T$80))&gt;0,"J4 ","")&amp;IF(SUMPRODUCT(LEN($U$78:$U$80))&gt;0,"J5 ","")&amp;IF(SUMPRODUCT(LEN($V$78:$V$80))&gt;0,"J6 ","")&amp;IF(SUMPRODUCT(LEN($W$78:$W$80))&gt;0,"J7 ",""))," ",", "))</f>
        <v>J1, J3, J5, J7</v>
      </c>
      <c r="E29" s="37" t="n">
        <f aca="false">SUMPRODUCT(LEN($Q$78:$W$78))+SUMPRODUCT(LEN($Q$79:$W$79))+SUMPRODUCT(LEN($Q$80:$W$80))</f>
        <v>4</v>
      </c>
      <c r="F29" s="37" t="n">
        <f aca="false">$C$21</f>
        <v>5</v>
      </c>
      <c r="G29" s="38" t="n">
        <f aca="false">(H29+I29)/2</f>
        <v>17</v>
      </c>
      <c r="H29" s="37" t="n">
        <f aca="false">SUMPRODUCT($C$20:$I$20,LEN($Q$78:$W$78))+SUMIFS('Vols additionnels'!$E$7:$E$66,'Vols additionnels'!$C$7:$C$66,$B29,'Vols additionnels'!$D$7:$D$66,"77W",'Vols additionnels'!$B$7:$B$66,"&gt;="&amp;$O$4,'Vols additionnels'!$B$7:$B$66,"&lt;="&amp;$O$5)+SUMPRODUCT($C$20:$I$20,LEN($Q$79:$W$79))+SUMIFS('Vols additionnels'!$E$7:$E$66,'Vols additionnels'!$C$7:$C$66,$B29,'Vols additionnels'!$D$7:$D$66,"787",'Vols additionnels'!$B$7:$B$66,"&gt;="&amp;$O$4,'Vols additionnels'!$B$7:$B$66,"&lt;="&amp;$O$5)+SUMPRODUCT($C$20:$I$20,LEN($Q$80:$W$80))+SUMIFS('Vols additionnels'!$E$7:$E$66,'Vols additionnels'!$C$7:$C$66,$B29,'Vols additionnels'!$D$7:$D$66,"A320",'Vols additionnels'!$B$7:$B$66,"&gt;="&amp;$O$4,'Vols additionnels'!$B$7:$B$66,"&lt;="&amp;$O$5)</f>
        <v>17</v>
      </c>
      <c r="I29" s="37" t="n">
        <f aca="false">(SUMPRODUCT($C$20:$I$20,LEN($Q$78:$W$78))-$X$78+$Y$78)+SUMIFS('Vols additionnels'!$E$7:$E$66,'Vols additionnels'!$C$7:$C$66,$B29,'Vols additionnels'!$D$7:$D$66,"77W",'Vols additionnels'!$I$7:$I$66,"&gt;="&amp;$O$4,'Vols additionnels'!$I$7:$I$66,"&lt;="&amp;$O$5)+(SUMPRODUCT($C$20:$I$20,LEN($Q$79:$W$79))-$X$79+$Y$79)+SUMIFS('Vols additionnels'!$E$7:$E$66,'Vols additionnels'!$C$7:$C$66,$B29,'Vols additionnels'!$D$7:$D$66,"787",'Vols additionnels'!$I$7:$I$66,"&gt;="&amp;$O$4,'Vols additionnels'!$I$7:$I$66,"&lt;="&amp;$O$5)+(SUMPRODUCT($C$20:$I$20,LEN($Q$80:$W$80))-$X$80+$Y$80)+SUMIFS('Vols additionnels'!$E$7:$E$66,'Vols additionnels'!$C$7:$C$66,$B29,'Vols additionnels'!$D$7:$D$66,"A320",'Vols additionnels'!$I$7:$I$66,"&gt;="&amp;$O$4,'Vols additionnels'!$I$7:$I$66,"&lt;="&amp;$O$5)</f>
        <v>17</v>
      </c>
      <c r="J29" s="39" t="n">
        <f aca="false">(SUMPRODUCT($C$20:$I$20,LEN($Q$78:$W$78))+(SUMPRODUCT($C$20:$I$20,LEN($Q$78:$W$78))-$X$78+$Y$78)+SUMPRODUCT($C$20:$I$20,LEN($Q$79:$W$79))+(SUMPRODUCT($C$20:$I$20,LEN($Q$79:$W$79))-$X$79+$Y$79)+SUMPRODUCT($C$20:$I$20,LEN($Q$80:$W$80))+(SUMPRODUCT($C$20:$I$20,LEN($Q$80:$W$80))-$X$80+$Y$80))/2</f>
        <v>17</v>
      </c>
      <c r="K29" s="39" t="n">
        <f aca="false">(SUMIFS('Vols additionnels'!$E$7:$E$66,'Vols additionnels'!$C$7:$C$66,$B29,'Vols additionnels'!$D$7:$D$66,"77W",'Vols additionnels'!$B$7:$B$66,"&gt;="&amp;$O$4,'Vols additionnels'!$B$7:$B$66,"&lt;="&amp;$O$5)+SUMIFS('Vols additionnels'!$E$7:$E$66,'Vols additionnels'!$C$7:$C$66,$B29,'Vols additionnels'!$D$7:$D$66,"77W",'Vols additionnels'!$I$7:$I$66,"&gt;="&amp;$O$4,'Vols additionnels'!$I$7:$I$66,"&lt;="&amp;$O$5)+SUMIFS('Vols additionnels'!$E$7:$E$66,'Vols additionnels'!$C$7:$C$66,$B29,'Vols additionnels'!$D$7:$D$66,"787",'Vols additionnels'!$B$7:$B$66,"&gt;="&amp;$O$4,'Vols additionnels'!$B$7:$B$66,"&lt;="&amp;$O$5)+SUMIFS('Vols additionnels'!$E$7:$E$66,'Vols additionnels'!$C$7:$C$66,$B29,'Vols additionnels'!$D$7:$D$66,"787",'Vols additionnels'!$I$7:$I$66,"&gt;="&amp;$O$4,'Vols additionnels'!$I$7:$I$66,"&lt;="&amp;$O$5)+SUMIFS('Vols additionnels'!$E$7:$E$66,'Vols additionnels'!$C$7:$C$66,$B29,'Vols additionnels'!$D$7:$D$66,"A320",'Vols additionnels'!$B$7:$B$66,"&gt;="&amp;$O$4,'Vols additionnels'!$B$7:$B$66,"&lt;="&amp;$O$5)+SUMIFS('Vols additionnels'!$E$7:$E$66,'Vols additionnels'!$C$7:$C$66,$B29,'Vols additionnels'!$D$7:$D$66,"A320",'Vols additionnels'!$I$7:$I$66,"&gt;="&amp;$O$4,'Vols additionnels'!$I$7:$I$66,"&lt;="&amp;$O$5))/2</f>
        <v>0</v>
      </c>
      <c r="L29" s="40" t="n">
        <f aca="false">(SUMPRODUCT($C$20:$I$20,LEN($Q$78:$W$78))+(SUMPRODUCT($C$20:$I$20,LEN($Q$78:$W$78))-$X$78+$Y$78)+SUMIFS('Vols additionnels'!$E$7:$E$66,'Vols additionnels'!$C$7:$C$66,$B29,'Vols additionnels'!$D$7:$D$66,"77W",'Vols additionnels'!$B$7:$B$66,"&gt;="&amp;$O$4,'Vols additionnels'!$B$7:$B$66,"&lt;="&amp;$O$5)+SUMIFS('Vols additionnels'!$E$7:$E$66,'Vols additionnels'!$C$7:$C$66,$B29,'Vols additionnels'!$D$7:$D$66,"77W",'Vols additionnels'!$I$7:$I$66,"&gt;="&amp;$O$4,'Vols additionnels'!$I$7:$I$66,"&lt;="&amp;$O$5))/2</f>
        <v>0</v>
      </c>
      <c r="M29" s="40" t="n">
        <f aca="false">(SUMPRODUCT($C$20:$I$20,LEN($Q$79:$W$79))+(SUMPRODUCT($C$20:$I$20,LEN($Q$79:$W$79))-$X$79+$Y$79)+SUMIFS('Vols additionnels'!$E$7:$E$66,'Vols additionnels'!$C$7:$C$66,$B29,'Vols additionnels'!$D$7:$D$66,"787",'Vols additionnels'!$B$7:$B$66,"&gt;="&amp;$O$4,'Vols additionnels'!$B$7:$B$66,"&lt;="&amp;$O$5)+SUMIFS('Vols additionnels'!$E$7:$E$66,'Vols additionnels'!$C$7:$C$66,$B29,'Vols additionnels'!$D$7:$D$66,"787",'Vols additionnels'!$I$7:$I$66,"&gt;="&amp;$O$4,'Vols additionnels'!$I$7:$I$66,"&lt;="&amp;$O$5))/2</f>
        <v>0</v>
      </c>
      <c r="N29" s="40" t="n">
        <f aca="false">(SUMPRODUCT($C$20:$I$20,LEN($Q$80:$W$80))+(SUMPRODUCT($C$20:$I$20,LEN($Q$80:$W$80))-$X$80+$Y$80)+SUMIFS('Vols additionnels'!$E$7:$E$66,'Vols additionnels'!$C$7:$C$66,$B29,'Vols additionnels'!$D$7:$D$66,"A320",'Vols additionnels'!$B$7:$B$66,"&gt;="&amp;$O$4,'Vols additionnels'!$B$7:$B$66,"&lt;="&amp;$O$5)+SUMIFS('Vols additionnels'!$E$7:$E$66,'Vols additionnels'!$C$7:$C$66,$B29,'Vols additionnels'!$D$7:$D$66,"A320",'Vols additionnels'!$I$7:$I$66,"&gt;="&amp;$O$4,'Vols additionnels'!$I$7:$I$66,"&lt;="&amp;$O$5))/2</f>
        <v>17</v>
      </c>
      <c r="P29" s="26" t="s">
        <v>99</v>
      </c>
      <c r="Q29" s="26" t="s">
        <v>65</v>
      </c>
      <c r="R29" s="26" t="s">
        <v>66</v>
      </c>
      <c r="S29" s="26" t="s">
        <v>67</v>
      </c>
      <c r="T29" s="26" t="s">
        <v>68</v>
      </c>
      <c r="U29" s="26" t="s">
        <v>69</v>
      </c>
      <c r="V29" s="26" t="s">
        <v>70</v>
      </c>
      <c r="W29" s="26" t="s">
        <v>71</v>
      </c>
    </row>
    <row r="30" customFormat="false" ht="24" hidden="false" customHeight="true" outlineLevel="0" collapsed="false">
      <c r="B30" s="35" t="str">
        <f aca="false">$AE$9</f>
        <v>NOSRUN</v>
      </c>
      <c r="C30" s="36" t="str">
        <f aca="false">IF(E30=0,"-",SUBSTITUTE(TRIM(IF(SUMPRODUCT(LEN($Q$81:$W$81))&gt;0,"77W("&amp;SUMPRODUCT(LEN($Q$81:$W$81))&amp;") ","")&amp;IF(SUMPRODUCT(LEN($Q$82:$W$82))&gt;0,"787("&amp;SUMPRODUCT(LEN($Q$82:$W$82))&amp;") ","")&amp;IF(SUMPRODUCT(LEN($Q$83:$W$83))&gt;0,"A320("&amp;SUMPRODUCT(LEN($Q$83:$W$83))&amp;") ",""))," ",", "))</f>
        <v>A320(3)</v>
      </c>
      <c r="D30" s="36" t="str">
        <f aca="false">IF(E30=0,"aucune operation",SUBSTITUTE(TRIM(IF(SUMPRODUCT(LEN($Q$81:$Q$83))&gt;0,"J1 ","")&amp;IF(SUMPRODUCT(LEN($R$81:$R$83))&gt;0,"J2 ","")&amp;IF(SUMPRODUCT(LEN($S$81:$S$83))&gt;0,"J3 ","")&amp;IF(SUMPRODUCT(LEN($T$81:$T$83))&gt;0,"J4 ","")&amp;IF(SUMPRODUCT(LEN($U$81:$U$83))&gt;0,"J5 ","")&amp;IF(SUMPRODUCT(LEN($V$81:$V$83))&gt;0,"J6 ","")&amp;IF(SUMPRODUCT(LEN($W$81:$W$83))&gt;0,"J7 ",""))," ",", "))</f>
        <v>J1, J4, J6</v>
      </c>
      <c r="E30" s="37" t="n">
        <f aca="false">SUMPRODUCT(LEN($Q$81:$W$81))+SUMPRODUCT(LEN($Q$82:$W$82))+SUMPRODUCT(LEN($Q$83:$W$83))</f>
        <v>3</v>
      </c>
      <c r="F30" s="37" t="n">
        <f aca="false">$C$21</f>
        <v>5</v>
      </c>
      <c r="G30" s="38" t="n">
        <f aca="false">(H30+I30)/2</f>
        <v>13</v>
      </c>
      <c r="H30" s="37" t="n">
        <f aca="false">SUMPRODUCT($C$20:$I$20,LEN($Q$81:$W$81))+SUMIFS('Vols additionnels'!$E$7:$E$66,'Vols additionnels'!$C$7:$C$66,$B30,'Vols additionnels'!$D$7:$D$66,"77W",'Vols additionnels'!$B$7:$B$66,"&gt;="&amp;$O$4,'Vols additionnels'!$B$7:$B$66,"&lt;="&amp;$O$5)+SUMPRODUCT($C$20:$I$20,LEN($Q$82:$W$82))+SUMIFS('Vols additionnels'!$E$7:$E$66,'Vols additionnels'!$C$7:$C$66,$B30,'Vols additionnels'!$D$7:$D$66,"787",'Vols additionnels'!$B$7:$B$66,"&gt;="&amp;$O$4,'Vols additionnels'!$B$7:$B$66,"&lt;="&amp;$O$5)+SUMPRODUCT($C$20:$I$20,LEN($Q$83:$W$83))+SUMIFS('Vols additionnels'!$E$7:$E$66,'Vols additionnels'!$C$7:$C$66,$B30,'Vols additionnels'!$D$7:$D$66,"A320",'Vols additionnels'!$B$7:$B$66,"&gt;="&amp;$O$4,'Vols additionnels'!$B$7:$B$66,"&lt;="&amp;$O$5)</f>
        <v>13</v>
      </c>
      <c r="I30" s="37" t="n">
        <f aca="false">(SUMPRODUCT($C$20:$I$20,LEN($Q$81:$W$81))-$X$81+$Y$81)+SUMIFS('Vols additionnels'!$E$7:$E$66,'Vols additionnels'!$C$7:$C$66,$B30,'Vols additionnels'!$D$7:$D$66,"77W",'Vols additionnels'!$I$7:$I$66,"&gt;="&amp;$O$4,'Vols additionnels'!$I$7:$I$66,"&lt;="&amp;$O$5)+(SUMPRODUCT($C$20:$I$20,LEN($Q$82:$W$82))-$X$82+$Y$82)+SUMIFS('Vols additionnels'!$E$7:$E$66,'Vols additionnels'!$C$7:$C$66,$B30,'Vols additionnels'!$D$7:$D$66,"787",'Vols additionnels'!$I$7:$I$66,"&gt;="&amp;$O$4,'Vols additionnels'!$I$7:$I$66,"&lt;="&amp;$O$5)+(SUMPRODUCT($C$20:$I$20,LEN($Q$83:$W$83))-$X$83+$Y$83)+SUMIFS('Vols additionnels'!$E$7:$E$66,'Vols additionnels'!$C$7:$C$66,$B30,'Vols additionnels'!$D$7:$D$66,"A320",'Vols additionnels'!$I$7:$I$66,"&gt;="&amp;$O$4,'Vols additionnels'!$I$7:$I$66,"&lt;="&amp;$O$5)</f>
        <v>13</v>
      </c>
      <c r="J30" s="39" t="n">
        <f aca="false">(SUMPRODUCT($C$20:$I$20,LEN($Q$81:$W$81))+(SUMPRODUCT($C$20:$I$20,LEN($Q$81:$W$81))-$X$81+$Y$81)+SUMPRODUCT($C$20:$I$20,LEN($Q$82:$W$82))+(SUMPRODUCT($C$20:$I$20,LEN($Q$82:$W$82))-$X$82+$Y$82)+SUMPRODUCT($C$20:$I$20,LEN($Q$83:$W$83))+(SUMPRODUCT($C$20:$I$20,LEN($Q$83:$W$83))-$X$83+$Y$83))/2</f>
        <v>13</v>
      </c>
      <c r="K30" s="39" t="n">
        <f aca="false">(SUMIFS('Vols additionnels'!$E$7:$E$66,'Vols additionnels'!$C$7:$C$66,$B30,'Vols additionnels'!$D$7:$D$66,"77W",'Vols additionnels'!$B$7:$B$66,"&gt;="&amp;$O$4,'Vols additionnels'!$B$7:$B$66,"&lt;="&amp;$O$5)+SUMIFS('Vols additionnels'!$E$7:$E$66,'Vols additionnels'!$C$7:$C$66,$B30,'Vols additionnels'!$D$7:$D$66,"77W",'Vols additionnels'!$I$7:$I$66,"&gt;="&amp;$O$4,'Vols additionnels'!$I$7:$I$66,"&lt;="&amp;$O$5)+SUMIFS('Vols additionnels'!$E$7:$E$66,'Vols additionnels'!$C$7:$C$66,$B30,'Vols additionnels'!$D$7:$D$66,"787",'Vols additionnels'!$B$7:$B$66,"&gt;="&amp;$O$4,'Vols additionnels'!$B$7:$B$66,"&lt;="&amp;$O$5)+SUMIFS('Vols additionnels'!$E$7:$E$66,'Vols additionnels'!$C$7:$C$66,$B30,'Vols additionnels'!$D$7:$D$66,"787",'Vols additionnels'!$I$7:$I$66,"&gt;="&amp;$O$4,'Vols additionnels'!$I$7:$I$66,"&lt;="&amp;$O$5)+SUMIFS('Vols additionnels'!$E$7:$E$66,'Vols additionnels'!$C$7:$C$66,$B30,'Vols additionnels'!$D$7:$D$66,"A320",'Vols additionnels'!$B$7:$B$66,"&gt;="&amp;$O$4,'Vols additionnels'!$B$7:$B$66,"&lt;="&amp;$O$5)+SUMIFS('Vols additionnels'!$E$7:$E$66,'Vols additionnels'!$C$7:$C$66,$B30,'Vols additionnels'!$D$7:$D$66,"A320",'Vols additionnels'!$I$7:$I$66,"&gt;="&amp;$O$4,'Vols additionnels'!$I$7:$I$66,"&lt;="&amp;$O$5))/2</f>
        <v>0</v>
      </c>
      <c r="L30" s="40" t="n">
        <f aca="false">(SUMPRODUCT($C$20:$I$20,LEN($Q$81:$W$81))+(SUMPRODUCT($C$20:$I$20,LEN($Q$81:$W$81))-$X$81+$Y$81)+SUMIFS('Vols additionnels'!$E$7:$E$66,'Vols additionnels'!$C$7:$C$66,$B30,'Vols additionnels'!$D$7:$D$66,"77W",'Vols additionnels'!$B$7:$B$66,"&gt;="&amp;$O$4,'Vols additionnels'!$B$7:$B$66,"&lt;="&amp;$O$5)+SUMIFS('Vols additionnels'!$E$7:$E$66,'Vols additionnels'!$C$7:$C$66,$B30,'Vols additionnels'!$D$7:$D$66,"77W",'Vols additionnels'!$I$7:$I$66,"&gt;="&amp;$O$4,'Vols additionnels'!$I$7:$I$66,"&lt;="&amp;$O$5))/2</f>
        <v>0</v>
      </c>
      <c r="M30" s="40" t="n">
        <f aca="false">(SUMPRODUCT($C$20:$I$20,LEN($Q$82:$W$82))+(SUMPRODUCT($C$20:$I$20,LEN($Q$82:$W$82))-$X$82+$Y$82)+SUMIFS('Vols additionnels'!$E$7:$E$66,'Vols additionnels'!$C$7:$C$66,$B30,'Vols additionnels'!$D$7:$D$66,"787",'Vols additionnels'!$B$7:$B$66,"&gt;="&amp;$O$4,'Vols additionnels'!$B$7:$B$66,"&lt;="&amp;$O$5)+SUMIFS('Vols additionnels'!$E$7:$E$66,'Vols additionnels'!$C$7:$C$66,$B30,'Vols additionnels'!$D$7:$D$66,"787",'Vols additionnels'!$I$7:$I$66,"&gt;="&amp;$O$4,'Vols additionnels'!$I$7:$I$66,"&lt;="&amp;$O$5))/2</f>
        <v>0</v>
      </c>
      <c r="N30" s="40" t="n">
        <f aca="false">(SUMPRODUCT($C$20:$I$20,LEN($Q$83:$W$83))+(SUMPRODUCT($C$20:$I$20,LEN($Q$83:$W$83))-$X$83+$Y$83)+SUMIFS('Vols additionnels'!$E$7:$E$66,'Vols additionnels'!$C$7:$C$66,$B30,'Vols additionnels'!$D$7:$D$66,"A320",'Vols additionnels'!$B$7:$B$66,"&gt;="&amp;$O$4,'Vols additionnels'!$B$7:$B$66,"&lt;="&amp;$O$5)+SUMIFS('Vols additionnels'!$E$7:$E$66,'Vols additionnels'!$C$7:$C$66,$B30,'Vols additionnels'!$D$7:$D$66,"A320",'Vols additionnels'!$I$7:$I$66,"&gt;="&amp;$O$4,'Vols additionnels'!$I$7:$I$66,"&lt;="&amp;$O$5))/2</f>
        <v>13</v>
      </c>
      <c r="P30" s="28" t="s">
        <v>100</v>
      </c>
      <c r="Q30" s="34" t="str">
        <f aca="false">IF(C9="","",LEN(IF(C9-1&lt;$O$4,W$21,W$18))-LEN(SUBSTITUTE(IF(C9-1&lt;$O$4,W$21,W$18),"1",""))+LEN(IF(C9-2&lt;$O$4,V$21,V$18))-LEN(SUBSTITUTE(IF(C9-2&lt;$O$4,V$21,V$18),"2",""))+LEN(IF(C9-3&lt;$O$4,U$21,U$18))-LEN(SUBSTITUTE(IF(C9-3&lt;$O$4,U$21,U$18),"3","")))</f>
        <v/>
      </c>
      <c r="R30" s="34" t="str">
        <f aca="false">IF(D9="","",LEN(IF(D9-1&lt;$O$4,Q$21,Q$18))-LEN(SUBSTITUTE(IF(D9-1&lt;$O$4,Q$21,Q$18),"1",""))+LEN(IF(D9-2&lt;$O$4,W$21,W$18))-LEN(SUBSTITUTE(IF(D9-2&lt;$O$4,W$21,W$18),"2",""))+LEN(IF(D9-3&lt;$O$4,V$21,V$18))-LEN(SUBSTITUTE(IF(D9-3&lt;$O$4,V$21,V$18),"3","")))</f>
        <v/>
      </c>
      <c r="S30" s="34" t="str">
        <f aca="false">IF(E9="","",LEN(IF(E9-1&lt;$O$4,R$21,R$18))-LEN(SUBSTITUTE(IF(E9-1&lt;$O$4,R$21,R$18),"1",""))+LEN(IF(E9-2&lt;$O$4,Q$21,Q$18))-LEN(SUBSTITUTE(IF(E9-2&lt;$O$4,Q$21,Q$18),"2",""))+LEN(IF(E9-3&lt;$O$4,W$21,W$18))-LEN(SUBSTITUTE(IF(E9-3&lt;$O$4,W$21,W$18),"3","")))</f>
        <v/>
      </c>
      <c r="T30" s="34" t="n">
        <f aca="false">IF(F9="","",LEN(IF(F9-1&lt;$O$4,S$21,S$18))-LEN(SUBSTITUTE(IF(F9-1&lt;$O$4,S$21,S$18),"1",""))+LEN(IF(F9-2&lt;$O$4,R$21,R$18))-LEN(SUBSTITUTE(IF(F9-2&lt;$O$4,R$21,R$18),"2",""))+LEN(IF(F9-3&lt;$O$4,Q$21,Q$18))-LEN(SUBSTITUTE(IF(F9-3&lt;$O$4,Q$21,Q$18),"3","")))</f>
        <v>0</v>
      </c>
      <c r="U30" s="34" t="n">
        <f aca="false">IF(G9="","",LEN(IF(G9-1&lt;$O$4,T$21,T$18))-LEN(SUBSTITUTE(IF(G9-1&lt;$O$4,T$21,T$18),"1",""))+LEN(IF(G9-2&lt;$O$4,S$21,S$18))-LEN(SUBSTITUTE(IF(G9-2&lt;$O$4,S$21,S$18),"2",""))+LEN(IF(G9-3&lt;$O$4,R$21,R$18))-LEN(SUBSTITUTE(IF(G9-3&lt;$O$4,R$21,R$18),"3","")))</f>
        <v>0</v>
      </c>
      <c r="V30" s="34" t="n">
        <f aca="false">IF(H9="","",LEN(IF(H9-1&lt;$O$4,U$21,U$18))-LEN(SUBSTITUTE(IF(H9-1&lt;$O$4,U$21,U$18),"1",""))+LEN(IF(H9-2&lt;$O$4,T$21,T$18))-LEN(SUBSTITUTE(IF(H9-2&lt;$O$4,T$21,T$18),"2",""))+LEN(IF(H9-3&lt;$O$4,S$21,S$18))-LEN(SUBSTITUTE(IF(H9-3&lt;$O$4,S$21,S$18),"3","")))</f>
        <v>0</v>
      </c>
      <c r="W30" s="34" t="n">
        <f aca="false">IF(I9="","",LEN(IF(I9-1&lt;$O$4,V$21,V$18))-LEN(SUBSTITUTE(IF(I9-1&lt;$O$4,V$21,V$18),"1",""))+LEN(IF(I9-2&lt;$O$4,U$21,U$18))-LEN(SUBSTITUTE(IF(I9-2&lt;$O$4,U$21,U$18),"2",""))+LEN(IF(I9-3&lt;$O$4,T$21,T$18))-LEN(SUBSTITUTE(IF(I9-3&lt;$O$4,T$21,T$18),"3","")))</f>
        <v>0</v>
      </c>
    </row>
    <row r="31" customFormat="false" ht="24" hidden="false" customHeight="true" outlineLevel="0" collapsed="false">
      <c r="B31" s="35" t="str">
        <f aca="false">$AE$10</f>
        <v>RUNTNR</v>
      </c>
      <c r="C31" s="36" t="str">
        <f aca="false">IF(E31=0,"-",SUBSTITUTE(TRIM(IF(SUMPRODUCT(LEN($Q$84:$W$84))&gt;0,"77W("&amp;SUMPRODUCT(LEN($Q$84:$W$84))&amp;") ","")&amp;IF(SUMPRODUCT(LEN($Q$85:$W$85))&gt;0,"787("&amp;SUMPRODUCT(LEN($Q$85:$W$85))&amp;") ","")&amp;IF(SUMPRODUCT(LEN($Q$86:$W$86))&gt;0,"A320("&amp;SUMPRODUCT(LEN($Q$86:$W$86))&amp;") ",""))," ",", "))</f>
        <v>A320(3)</v>
      </c>
      <c r="D31" s="36" t="str">
        <f aca="false">IF(E31=0,"aucune operation",SUBSTITUTE(TRIM(IF(SUMPRODUCT(LEN($Q$84:$Q$86))&gt;0,"J1 ","")&amp;IF(SUMPRODUCT(LEN($R$84:$R$86))&gt;0,"J2 ","")&amp;IF(SUMPRODUCT(LEN($S$84:$S$86))&gt;0,"J3 ","")&amp;IF(SUMPRODUCT(LEN($T$84:$T$86))&gt;0,"J4 ","")&amp;IF(SUMPRODUCT(LEN($U$84:$U$86))&gt;0,"J5 ","")&amp;IF(SUMPRODUCT(LEN($V$84:$V$86))&gt;0,"J6 ","")&amp;IF(SUMPRODUCT(LEN($W$84:$W$86))&gt;0,"J7 ",""))," ",", "))</f>
        <v>J2, J4, J6</v>
      </c>
      <c r="E31" s="37" t="n">
        <f aca="false">SUMPRODUCT(LEN($Q$84:$W$84))+SUMPRODUCT(LEN($Q$85:$W$85))+SUMPRODUCT(LEN($Q$86:$W$86))</f>
        <v>3</v>
      </c>
      <c r="F31" s="37" t="n">
        <f aca="false">$C$21</f>
        <v>5</v>
      </c>
      <c r="G31" s="38" t="n">
        <f aca="false">(H31+I31)/2</f>
        <v>13</v>
      </c>
      <c r="H31" s="37" t="n">
        <f aca="false">SUMPRODUCT($C$20:$I$20,LEN($Q$84:$W$84))+SUMIFS('Vols additionnels'!$E$7:$E$66,'Vols additionnels'!$C$7:$C$66,$B31,'Vols additionnels'!$D$7:$D$66,"77W",'Vols additionnels'!$B$7:$B$66,"&gt;="&amp;$O$4,'Vols additionnels'!$B$7:$B$66,"&lt;="&amp;$O$5)+SUMPRODUCT($C$20:$I$20,LEN($Q$85:$W$85))+SUMIFS('Vols additionnels'!$E$7:$E$66,'Vols additionnels'!$C$7:$C$66,$B31,'Vols additionnels'!$D$7:$D$66,"787",'Vols additionnels'!$B$7:$B$66,"&gt;="&amp;$O$4,'Vols additionnels'!$B$7:$B$66,"&lt;="&amp;$O$5)+SUMPRODUCT($C$20:$I$20,LEN($Q$86:$W$86))+SUMIFS('Vols additionnels'!$E$7:$E$66,'Vols additionnels'!$C$7:$C$66,$B31,'Vols additionnels'!$D$7:$D$66,"A320",'Vols additionnels'!$B$7:$B$66,"&gt;="&amp;$O$4,'Vols additionnels'!$B$7:$B$66,"&lt;="&amp;$O$5)</f>
        <v>13</v>
      </c>
      <c r="I31" s="37" t="n">
        <f aca="false">(SUMPRODUCT($C$20:$I$20,LEN($Q$84:$W$84))-$X$84+$Y$84)+SUMIFS('Vols additionnels'!$E$7:$E$66,'Vols additionnels'!$C$7:$C$66,$B31,'Vols additionnels'!$D$7:$D$66,"77W",'Vols additionnels'!$I$7:$I$66,"&gt;="&amp;$O$4,'Vols additionnels'!$I$7:$I$66,"&lt;="&amp;$O$5)+(SUMPRODUCT($C$20:$I$20,LEN($Q$85:$W$85))-$X$85+$Y$85)+SUMIFS('Vols additionnels'!$E$7:$E$66,'Vols additionnels'!$C$7:$C$66,$B31,'Vols additionnels'!$D$7:$D$66,"787",'Vols additionnels'!$I$7:$I$66,"&gt;="&amp;$O$4,'Vols additionnels'!$I$7:$I$66,"&lt;="&amp;$O$5)+(SUMPRODUCT($C$20:$I$20,LEN($Q$86:$W$86))-$X$86+$Y$86)+SUMIFS('Vols additionnels'!$E$7:$E$66,'Vols additionnels'!$C$7:$C$66,$B31,'Vols additionnels'!$D$7:$D$66,"A320",'Vols additionnels'!$I$7:$I$66,"&gt;="&amp;$O$4,'Vols additionnels'!$I$7:$I$66,"&lt;="&amp;$O$5)</f>
        <v>13</v>
      </c>
      <c r="J31" s="39" t="n">
        <f aca="false">(SUMPRODUCT($C$20:$I$20,LEN($Q$84:$W$84))+(SUMPRODUCT($C$20:$I$20,LEN($Q$84:$W$84))-$X$84+$Y$84)+SUMPRODUCT($C$20:$I$20,LEN($Q$85:$W$85))+(SUMPRODUCT($C$20:$I$20,LEN($Q$85:$W$85))-$X$85+$Y$85)+SUMPRODUCT($C$20:$I$20,LEN($Q$86:$W$86))+(SUMPRODUCT($C$20:$I$20,LEN($Q$86:$W$86))-$X$86+$Y$86))/2</f>
        <v>13</v>
      </c>
      <c r="K31" s="39" t="n">
        <f aca="false">(SUMIFS('Vols additionnels'!$E$7:$E$66,'Vols additionnels'!$C$7:$C$66,$B31,'Vols additionnels'!$D$7:$D$66,"77W",'Vols additionnels'!$B$7:$B$66,"&gt;="&amp;$O$4,'Vols additionnels'!$B$7:$B$66,"&lt;="&amp;$O$5)+SUMIFS('Vols additionnels'!$E$7:$E$66,'Vols additionnels'!$C$7:$C$66,$B31,'Vols additionnels'!$D$7:$D$66,"77W",'Vols additionnels'!$I$7:$I$66,"&gt;="&amp;$O$4,'Vols additionnels'!$I$7:$I$66,"&lt;="&amp;$O$5)+SUMIFS('Vols additionnels'!$E$7:$E$66,'Vols additionnels'!$C$7:$C$66,$B31,'Vols additionnels'!$D$7:$D$66,"787",'Vols additionnels'!$B$7:$B$66,"&gt;="&amp;$O$4,'Vols additionnels'!$B$7:$B$66,"&lt;="&amp;$O$5)+SUMIFS('Vols additionnels'!$E$7:$E$66,'Vols additionnels'!$C$7:$C$66,$B31,'Vols additionnels'!$D$7:$D$66,"787",'Vols additionnels'!$I$7:$I$66,"&gt;="&amp;$O$4,'Vols additionnels'!$I$7:$I$66,"&lt;="&amp;$O$5)+SUMIFS('Vols additionnels'!$E$7:$E$66,'Vols additionnels'!$C$7:$C$66,$B31,'Vols additionnels'!$D$7:$D$66,"A320",'Vols additionnels'!$B$7:$B$66,"&gt;="&amp;$O$4,'Vols additionnels'!$B$7:$B$66,"&lt;="&amp;$O$5)+SUMIFS('Vols additionnels'!$E$7:$E$66,'Vols additionnels'!$C$7:$C$66,$B31,'Vols additionnels'!$D$7:$D$66,"A320",'Vols additionnels'!$I$7:$I$66,"&gt;="&amp;$O$4,'Vols additionnels'!$I$7:$I$66,"&lt;="&amp;$O$5))/2</f>
        <v>0</v>
      </c>
      <c r="L31" s="40" t="n">
        <f aca="false">(SUMPRODUCT($C$20:$I$20,LEN($Q$84:$W$84))+(SUMPRODUCT($C$20:$I$20,LEN($Q$84:$W$84))-$X$84+$Y$84)+SUMIFS('Vols additionnels'!$E$7:$E$66,'Vols additionnels'!$C$7:$C$66,$B31,'Vols additionnels'!$D$7:$D$66,"77W",'Vols additionnels'!$B$7:$B$66,"&gt;="&amp;$O$4,'Vols additionnels'!$B$7:$B$66,"&lt;="&amp;$O$5)+SUMIFS('Vols additionnels'!$E$7:$E$66,'Vols additionnels'!$C$7:$C$66,$B31,'Vols additionnels'!$D$7:$D$66,"77W",'Vols additionnels'!$I$7:$I$66,"&gt;="&amp;$O$4,'Vols additionnels'!$I$7:$I$66,"&lt;="&amp;$O$5))/2</f>
        <v>0</v>
      </c>
      <c r="M31" s="40" t="n">
        <f aca="false">(SUMPRODUCT($C$20:$I$20,LEN($Q$85:$W$85))+(SUMPRODUCT($C$20:$I$20,LEN($Q$85:$W$85))-$X$85+$Y$85)+SUMIFS('Vols additionnels'!$E$7:$E$66,'Vols additionnels'!$C$7:$C$66,$B31,'Vols additionnels'!$D$7:$D$66,"787",'Vols additionnels'!$B$7:$B$66,"&gt;="&amp;$O$4,'Vols additionnels'!$B$7:$B$66,"&lt;="&amp;$O$5)+SUMIFS('Vols additionnels'!$E$7:$E$66,'Vols additionnels'!$C$7:$C$66,$B31,'Vols additionnels'!$D$7:$D$66,"787",'Vols additionnels'!$I$7:$I$66,"&gt;="&amp;$O$4,'Vols additionnels'!$I$7:$I$66,"&lt;="&amp;$O$5))/2</f>
        <v>0</v>
      </c>
      <c r="N31" s="40" t="n">
        <f aca="false">(SUMPRODUCT($C$20:$I$20,LEN($Q$86:$W$86))+(SUMPRODUCT($C$20:$I$20,LEN($Q$86:$W$86))-$X$86+$Y$86)+SUMIFS('Vols additionnels'!$E$7:$E$66,'Vols additionnels'!$C$7:$C$66,$B31,'Vols additionnels'!$D$7:$D$66,"A320",'Vols additionnels'!$B$7:$B$66,"&gt;="&amp;$O$4,'Vols additionnels'!$B$7:$B$66,"&lt;="&amp;$O$5)+SUMIFS('Vols additionnels'!$E$7:$E$66,'Vols additionnels'!$C$7:$C$66,$B31,'Vols additionnels'!$D$7:$D$66,"A320",'Vols additionnels'!$I$7:$I$66,"&gt;="&amp;$O$4,'Vols additionnels'!$I$7:$I$66,"&lt;="&amp;$O$5))/2</f>
        <v>13</v>
      </c>
      <c r="P31" s="28" t="s">
        <v>101</v>
      </c>
      <c r="Q31" s="34" t="n">
        <f aca="false">IF(C11="","",LEN(IF(C11-1&lt;$O$4,W$21,W$18))-LEN(SUBSTITUTE(IF(C11-1&lt;$O$4,W$21,W$18),"1",""))+LEN(IF(C11-2&lt;$O$4,V$21,V$18))-LEN(SUBSTITUTE(IF(C11-2&lt;$O$4,V$21,V$18),"2",""))+LEN(IF(C11-3&lt;$O$4,U$21,U$18))-LEN(SUBSTITUTE(IF(C11-3&lt;$O$4,U$21,U$18),"3","")))</f>
        <v>0</v>
      </c>
      <c r="R31" s="34" t="n">
        <f aca="false">IF(D11="","",LEN(IF(D11-1&lt;$O$4,Q$21,Q$18))-LEN(SUBSTITUTE(IF(D11-1&lt;$O$4,Q$21,Q$18),"1",""))+LEN(IF(D11-2&lt;$O$4,W$21,W$18))-LEN(SUBSTITUTE(IF(D11-2&lt;$O$4,W$21,W$18),"2",""))+LEN(IF(D11-3&lt;$O$4,V$21,V$18))-LEN(SUBSTITUTE(IF(D11-3&lt;$O$4,V$21,V$18),"3","")))</f>
        <v>0</v>
      </c>
      <c r="S31" s="34" t="n">
        <f aca="false">IF(E11="","",LEN(IF(E11-1&lt;$O$4,R$21,R$18))-LEN(SUBSTITUTE(IF(E11-1&lt;$O$4,R$21,R$18),"1",""))+LEN(IF(E11-2&lt;$O$4,Q$21,Q$18))-LEN(SUBSTITUTE(IF(E11-2&lt;$O$4,Q$21,Q$18),"2",""))+LEN(IF(E11-3&lt;$O$4,W$21,W$18))-LEN(SUBSTITUTE(IF(E11-3&lt;$O$4,W$21,W$18),"3","")))</f>
        <v>0</v>
      </c>
      <c r="T31" s="34" t="n">
        <f aca="false">IF(F11="","",LEN(IF(F11-1&lt;$O$4,S$21,S$18))-LEN(SUBSTITUTE(IF(F11-1&lt;$O$4,S$21,S$18),"1",""))+LEN(IF(F11-2&lt;$O$4,R$21,R$18))-LEN(SUBSTITUTE(IF(F11-2&lt;$O$4,R$21,R$18),"2",""))+LEN(IF(F11-3&lt;$O$4,Q$21,Q$18))-LEN(SUBSTITUTE(IF(F11-3&lt;$O$4,Q$21,Q$18),"3","")))</f>
        <v>0</v>
      </c>
      <c r="U31" s="34" t="n">
        <f aca="false">IF(G11="","",LEN(IF(G11-1&lt;$O$4,T$21,T$18))-LEN(SUBSTITUTE(IF(G11-1&lt;$O$4,T$21,T$18),"1",""))+LEN(IF(G11-2&lt;$O$4,S$21,S$18))-LEN(SUBSTITUTE(IF(G11-2&lt;$O$4,S$21,S$18),"2",""))+LEN(IF(G11-3&lt;$O$4,R$21,R$18))-LEN(SUBSTITUTE(IF(G11-3&lt;$O$4,R$21,R$18),"3","")))</f>
        <v>0</v>
      </c>
      <c r="V31" s="34" t="n">
        <f aca="false">IF(H11="","",LEN(IF(H11-1&lt;$O$4,U$21,U$18))-LEN(SUBSTITUTE(IF(H11-1&lt;$O$4,U$21,U$18),"1",""))+LEN(IF(H11-2&lt;$O$4,T$21,T$18))-LEN(SUBSTITUTE(IF(H11-2&lt;$O$4,T$21,T$18),"2",""))+LEN(IF(H11-3&lt;$O$4,S$21,S$18))-LEN(SUBSTITUTE(IF(H11-3&lt;$O$4,S$21,S$18),"3","")))</f>
        <v>0</v>
      </c>
      <c r="W31" s="34" t="n">
        <f aca="false">IF(I11="","",LEN(IF(I11-1&lt;$O$4,V$21,V$18))-LEN(SUBSTITUTE(IF(I11-1&lt;$O$4,V$21,V$18),"1",""))+LEN(IF(I11-2&lt;$O$4,U$21,U$18))-LEN(SUBSTITUTE(IF(I11-2&lt;$O$4,U$21,U$18),"2",""))+LEN(IF(I11-3&lt;$O$4,T$21,T$18))-LEN(SUBSTITUTE(IF(I11-3&lt;$O$4,T$21,T$18),"3","")))</f>
        <v>0</v>
      </c>
    </row>
    <row r="32" customFormat="false" ht="24" hidden="false" customHeight="true" outlineLevel="0" collapsed="false">
      <c r="B32" s="35" t="str">
        <f aca="false">$AE$11</f>
        <v>JNBRUN</v>
      </c>
      <c r="C32" s="36" t="str">
        <f aca="false">IF(E32=0,"-",SUBSTITUTE(TRIM(IF(SUMPRODUCT(LEN($Q$87:$W$87))&gt;0,"77W("&amp;SUMPRODUCT(LEN($Q$87:$W$87))&amp;") ","")&amp;IF(SUMPRODUCT(LEN($Q$88:$W$88))&gt;0,"787("&amp;SUMPRODUCT(LEN($Q$88:$W$88))&amp;") ","")&amp;IF(SUMPRODUCT(LEN($Q$89:$W$89))&gt;0,"A320("&amp;SUMPRODUCT(LEN($Q$89:$W$89))&amp;") ",""))," ",", "))</f>
        <v>787(2)</v>
      </c>
      <c r="D32" s="36" t="str">
        <f aca="false">IF(E32=0,"aucune operation",SUBSTITUTE(TRIM(IF(SUMPRODUCT(LEN($Q$87:$Q$89))&gt;0,"J1 ","")&amp;IF(SUMPRODUCT(LEN($R$87:$R$89))&gt;0,"J2 ","")&amp;IF(SUMPRODUCT(LEN($S$87:$S$89))&gt;0,"J3 ","")&amp;IF(SUMPRODUCT(LEN($T$87:$T$89))&gt;0,"J4 ","")&amp;IF(SUMPRODUCT(LEN($U$87:$U$89))&gt;0,"J5 ","")&amp;IF(SUMPRODUCT(LEN($V$87:$V$89))&gt;0,"J6 ","")&amp;IF(SUMPRODUCT(LEN($W$87:$W$89))&gt;0,"J7 ",""))," ",", "))</f>
        <v>J1, J5</v>
      </c>
      <c r="E32" s="37" t="n">
        <f aca="false">SUMPRODUCT(LEN($Q$87:$W$87))+SUMPRODUCT(LEN($Q$88:$W$88))+SUMPRODUCT(LEN($Q$89:$W$89))</f>
        <v>2</v>
      </c>
      <c r="F32" s="37" t="n">
        <f aca="false">$C$21</f>
        <v>5</v>
      </c>
      <c r="G32" s="38" t="n">
        <f aca="false">(H32+I32)/2</f>
        <v>9</v>
      </c>
      <c r="H32" s="37" t="n">
        <f aca="false">SUMPRODUCT($C$20:$I$20,LEN($Q$87:$W$87))+SUMIFS('Vols additionnels'!$E$7:$E$66,'Vols additionnels'!$C$7:$C$66,$B32,'Vols additionnels'!$D$7:$D$66,"77W",'Vols additionnels'!$B$7:$B$66,"&gt;="&amp;$O$4,'Vols additionnels'!$B$7:$B$66,"&lt;="&amp;$O$5)+SUMPRODUCT($C$20:$I$20,LEN($Q$88:$W$88))+SUMIFS('Vols additionnels'!$E$7:$E$66,'Vols additionnels'!$C$7:$C$66,$B32,'Vols additionnels'!$D$7:$D$66,"787",'Vols additionnels'!$B$7:$B$66,"&gt;="&amp;$O$4,'Vols additionnels'!$B$7:$B$66,"&lt;="&amp;$O$5)+SUMPRODUCT($C$20:$I$20,LEN($Q$89:$W$89))+SUMIFS('Vols additionnels'!$E$7:$E$66,'Vols additionnels'!$C$7:$C$66,$B32,'Vols additionnels'!$D$7:$D$66,"A320",'Vols additionnels'!$B$7:$B$66,"&gt;="&amp;$O$4,'Vols additionnels'!$B$7:$B$66,"&lt;="&amp;$O$5)</f>
        <v>9</v>
      </c>
      <c r="I32" s="37" t="n">
        <f aca="false">(SUMPRODUCT($C$20:$I$20,LEN($Q$87:$W$87))-$X$87+$Y$87)+SUMIFS('Vols additionnels'!$E$7:$E$66,'Vols additionnels'!$C$7:$C$66,$B32,'Vols additionnels'!$D$7:$D$66,"77W",'Vols additionnels'!$I$7:$I$66,"&gt;="&amp;$O$4,'Vols additionnels'!$I$7:$I$66,"&lt;="&amp;$O$5)+(SUMPRODUCT($C$20:$I$20,LEN($Q$88:$W$88))-$X$88+$Y$88)+SUMIFS('Vols additionnels'!$E$7:$E$66,'Vols additionnels'!$C$7:$C$66,$B32,'Vols additionnels'!$D$7:$D$66,"787",'Vols additionnels'!$I$7:$I$66,"&gt;="&amp;$O$4,'Vols additionnels'!$I$7:$I$66,"&lt;="&amp;$O$5)+(SUMPRODUCT($C$20:$I$20,LEN($Q$89:$W$89))-$X$89+$Y$89)+SUMIFS('Vols additionnels'!$E$7:$E$66,'Vols additionnels'!$C$7:$C$66,$B32,'Vols additionnels'!$D$7:$D$66,"A320",'Vols additionnels'!$I$7:$I$66,"&gt;="&amp;$O$4,'Vols additionnels'!$I$7:$I$66,"&lt;="&amp;$O$5)</f>
        <v>9</v>
      </c>
      <c r="J32" s="39" t="n">
        <f aca="false">(SUMPRODUCT($C$20:$I$20,LEN($Q$87:$W$87))+(SUMPRODUCT($C$20:$I$20,LEN($Q$87:$W$87))-$X$87+$Y$87)+SUMPRODUCT($C$20:$I$20,LEN($Q$88:$W$88))+(SUMPRODUCT($C$20:$I$20,LEN($Q$88:$W$88))-$X$88+$Y$88)+SUMPRODUCT($C$20:$I$20,LEN($Q$89:$W$89))+(SUMPRODUCT($C$20:$I$20,LEN($Q$89:$W$89))-$X$89+$Y$89))/2</f>
        <v>9</v>
      </c>
      <c r="K32" s="39" t="n">
        <f aca="false">(SUMIFS('Vols additionnels'!$E$7:$E$66,'Vols additionnels'!$C$7:$C$66,$B32,'Vols additionnels'!$D$7:$D$66,"77W",'Vols additionnels'!$B$7:$B$66,"&gt;="&amp;$O$4,'Vols additionnels'!$B$7:$B$66,"&lt;="&amp;$O$5)+SUMIFS('Vols additionnels'!$E$7:$E$66,'Vols additionnels'!$C$7:$C$66,$B32,'Vols additionnels'!$D$7:$D$66,"77W",'Vols additionnels'!$I$7:$I$66,"&gt;="&amp;$O$4,'Vols additionnels'!$I$7:$I$66,"&lt;="&amp;$O$5)+SUMIFS('Vols additionnels'!$E$7:$E$66,'Vols additionnels'!$C$7:$C$66,$B32,'Vols additionnels'!$D$7:$D$66,"787",'Vols additionnels'!$B$7:$B$66,"&gt;="&amp;$O$4,'Vols additionnels'!$B$7:$B$66,"&lt;="&amp;$O$5)+SUMIFS('Vols additionnels'!$E$7:$E$66,'Vols additionnels'!$C$7:$C$66,$B32,'Vols additionnels'!$D$7:$D$66,"787",'Vols additionnels'!$I$7:$I$66,"&gt;="&amp;$O$4,'Vols additionnels'!$I$7:$I$66,"&lt;="&amp;$O$5)+SUMIFS('Vols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L32" s="40" t="n">
        <f aca="false">(SUMPRODUCT($C$20:$I$20,LEN($Q$87:$W$87))+(SUMPRODUCT($C$20:$I$20,LEN($Q$87:$W$87))-$X$87+$Y$87)+SUMIFS('Vols additionnels'!$E$7:$E$66,'Vols additionnels'!$C$7:$C$66,$B32,'Vols additionnels'!$D$7:$D$66,"77W",'Vols additionnels'!$B$7:$B$66,"&gt;="&amp;$O$4,'Vols additionnels'!$B$7:$B$66,"&lt;="&amp;$O$5)+SUMIFS('Vols additionnels'!$E$7:$E$66,'Vols additionnels'!$C$7:$C$66,$B32,'Vols additionnels'!$D$7:$D$66,"77W",'Vols additionnels'!$I$7:$I$66,"&gt;="&amp;$O$4,'Vols additionnels'!$I$7:$I$66,"&lt;="&amp;$O$5))/2</f>
        <v>0</v>
      </c>
      <c r="M32" s="40" t="n">
        <f aca="false">(SUMPRODUCT($C$20:$I$20,LEN($Q$88:$W$88))+(SUMPRODUCT($C$20:$I$20,LEN($Q$88:$W$88))-$X$88+$Y$88)+SUMIFS('Vols additionnels'!$E$7:$E$66,'Vols additionnels'!$C$7:$C$66,$B32,'Vols additionnels'!$D$7:$D$66,"787",'Vols additionnels'!$B$7:$B$66,"&gt;="&amp;$O$4,'Vols additionnels'!$B$7:$B$66,"&lt;="&amp;$O$5)+SUMIFS('Vols additionnels'!$E$7:$E$66,'Vols additionnels'!$C$7:$C$66,$B32,'Vols additionnels'!$D$7:$D$66,"787",'Vols additionnels'!$I$7:$I$66,"&gt;="&amp;$O$4,'Vols additionnels'!$I$7:$I$66,"&lt;="&amp;$O$5))/2</f>
        <v>9</v>
      </c>
      <c r="N32" s="40" t="n">
        <f aca="false">(SUMPRODUCT($C$20:$I$20,LEN($Q$89:$W$89))+(SUMPRODUCT($C$20:$I$20,LEN($Q$89:$W$89))-$X$89+$Y$89)+SUMIFS('Vols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P32" s="28" t="s">
        <v>102</v>
      </c>
      <c r="Q32" s="34" t="n">
        <f aca="false">IF(C13="","",LEN(IF(C13-1&lt;$O$4,W$21,W$18))-LEN(SUBSTITUTE(IF(C13-1&lt;$O$4,W$21,W$18),"1",""))+LEN(IF(C13-2&lt;$O$4,V$21,V$18))-LEN(SUBSTITUTE(IF(C13-2&lt;$O$4,V$21,V$18),"2",""))+LEN(IF(C13-3&lt;$O$4,U$21,U$18))-LEN(SUBSTITUTE(IF(C13-3&lt;$O$4,U$21,U$18),"3","")))</f>
        <v>0</v>
      </c>
      <c r="R32" s="34" t="n">
        <f aca="false">IF(D13="","",LEN(IF(D13-1&lt;$O$4,Q$21,Q$18))-LEN(SUBSTITUTE(IF(D13-1&lt;$O$4,Q$21,Q$18),"1",""))+LEN(IF(D13-2&lt;$O$4,W$21,W$18))-LEN(SUBSTITUTE(IF(D13-2&lt;$O$4,W$21,W$18),"2",""))+LEN(IF(D13-3&lt;$O$4,V$21,V$18))-LEN(SUBSTITUTE(IF(D13-3&lt;$O$4,V$21,V$18),"3","")))</f>
        <v>0</v>
      </c>
      <c r="S32" s="34" t="n">
        <f aca="false">IF(E13="","",LEN(IF(E13-1&lt;$O$4,R$21,R$18))-LEN(SUBSTITUTE(IF(E13-1&lt;$O$4,R$21,R$18),"1",""))+LEN(IF(E13-2&lt;$O$4,Q$21,Q$18))-LEN(SUBSTITUTE(IF(E13-2&lt;$O$4,Q$21,Q$18),"2",""))+LEN(IF(E13-3&lt;$O$4,W$21,W$18))-LEN(SUBSTITUTE(IF(E13-3&lt;$O$4,W$21,W$18),"3","")))</f>
        <v>0</v>
      </c>
      <c r="T32" s="34" t="n">
        <f aca="false">IF(F13="","",LEN(IF(F13-1&lt;$O$4,S$21,S$18))-LEN(SUBSTITUTE(IF(F13-1&lt;$O$4,S$21,S$18),"1",""))+LEN(IF(F13-2&lt;$O$4,R$21,R$18))-LEN(SUBSTITUTE(IF(F13-2&lt;$O$4,R$21,R$18),"2",""))+LEN(IF(F13-3&lt;$O$4,Q$21,Q$18))-LEN(SUBSTITUTE(IF(F13-3&lt;$O$4,Q$21,Q$18),"3","")))</f>
        <v>0</v>
      </c>
      <c r="U32" s="34" t="n">
        <f aca="false">IF(G13="","",LEN(IF(G13-1&lt;$O$4,T$21,T$18))-LEN(SUBSTITUTE(IF(G13-1&lt;$O$4,T$21,T$18),"1",""))+LEN(IF(G13-2&lt;$O$4,S$21,S$18))-LEN(SUBSTITUTE(IF(G13-2&lt;$O$4,S$21,S$18),"2",""))+LEN(IF(G13-3&lt;$O$4,R$21,R$18))-LEN(SUBSTITUTE(IF(G13-3&lt;$O$4,R$21,R$18),"3","")))</f>
        <v>0</v>
      </c>
      <c r="V32" s="34" t="n">
        <f aca="false">IF(H13="","",LEN(IF(H13-1&lt;$O$4,U$21,U$18))-LEN(SUBSTITUTE(IF(H13-1&lt;$O$4,U$21,U$18),"1",""))+LEN(IF(H13-2&lt;$O$4,T$21,T$18))-LEN(SUBSTITUTE(IF(H13-2&lt;$O$4,T$21,T$18),"2",""))+LEN(IF(H13-3&lt;$O$4,S$21,S$18))-LEN(SUBSTITUTE(IF(H13-3&lt;$O$4,S$21,S$18),"3","")))</f>
        <v>0</v>
      </c>
      <c r="W32" s="34" t="n">
        <f aca="false">IF(I13="","",LEN(IF(I13-1&lt;$O$4,V$21,V$18))-LEN(SUBSTITUTE(IF(I13-1&lt;$O$4,V$21,V$18),"1",""))+LEN(IF(I13-2&lt;$O$4,U$21,U$18))-LEN(SUBSTITUTE(IF(I13-2&lt;$O$4,U$21,U$18),"2",""))+LEN(IF(I13-3&lt;$O$4,T$21,T$18))-LEN(SUBSTITUTE(IF(I13-3&lt;$O$4,T$21,T$18),"3","")))</f>
        <v>0</v>
      </c>
    </row>
    <row r="33" customFormat="false" ht="24" hidden="false" customHeight="true" outlineLevel="0" collapsed="false">
      <c r="B33" s="35" t="str">
        <f aca="false">$AE$12</f>
        <v>CPTRUN</v>
      </c>
      <c r="C33" s="36" t="str">
        <f aca="false">IF(E33=0,"-",SUBSTITUTE(TRIM(IF(SUMPRODUCT(LEN($Q$90:$W$90))&gt;0,"77W("&amp;SUMPRODUCT(LEN($Q$90:$W$90))&amp;") ","")&amp;IF(SUMPRODUCT(LEN($Q$91:$W$91))&gt;0,"787("&amp;SUMPRODUCT(LEN($Q$91:$W$91))&amp;") ","")&amp;IF(SUMPRODUCT(LEN($Q$92:$W$92))&gt;0,"A320("&amp;SUMPRODUCT(LEN($Q$92:$W$92))&amp;") ",""))," ",", "))</f>
        <v>787(1)</v>
      </c>
      <c r="D33" s="36" t="str">
        <f aca="false">IF(E33=0,"aucune operation",SUBSTITUTE(TRIM(IF(SUMPRODUCT(LEN($Q$90:$Q$92))&gt;0,"J1 ","")&amp;IF(SUMPRODUCT(LEN($R$90:$R$92))&gt;0,"J2 ","")&amp;IF(SUMPRODUCT(LEN($S$90:$S$92))&gt;0,"J3 ","")&amp;IF(SUMPRODUCT(LEN($T$90:$T$92))&gt;0,"J4 ","")&amp;IF(SUMPRODUCT(LEN($U$90:$U$92))&gt;0,"J5 ","")&amp;IF(SUMPRODUCT(LEN($V$90:$V$92))&gt;0,"J6 ","")&amp;IF(SUMPRODUCT(LEN($W$90:$W$92))&gt;0,"J7 ",""))," ",", "))</f>
        <v>J4</v>
      </c>
      <c r="E33" s="37" t="n">
        <f aca="false">SUMPRODUCT(LEN($Q$90:$W$90))+SUMPRODUCT(LEN($Q$91:$W$91))+SUMPRODUCT(LEN($Q$92:$W$92))</f>
        <v>1</v>
      </c>
      <c r="F33" s="37" t="n">
        <f aca="false">$C$21</f>
        <v>5</v>
      </c>
      <c r="G33" s="38" t="n">
        <f aca="false">(H33+I33)/2</f>
        <v>5</v>
      </c>
      <c r="H33" s="37" t="n">
        <f aca="false">SUMPRODUCT($C$20:$I$20,LEN($Q$90:$W$90))+SUMIFS('Vols additionnels'!$E$7:$E$66,'Vols additionnels'!$C$7:$C$66,$B33,'Vols additionnels'!$D$7:$D$66,"77W",'Vols additionnels'!$B$7:$B$66,"&gt;="&amp;$O$4,'Vols additionnels'!$B$7:$B$66,"&lt;="&amp;$O$5)+SUMPRODUCT($C$20:$I$20,LEN($Q$91:$W$91))+SUMIFS('Vols additionnels'!$E$7:$E$66,'Vols additionnels'!$C$7:$C$66,$B33,'Vols additionnels'!$D$7:$D$66,"787",'Vols additionnels'!$B$7:$B$66,"&gt;="&amp;$O$4,'Vols additionnels'!$B$7:$B$66,"&lt;="&amp;$O$5)+SUMPRODUCT($C$20:$I$20,LEN($Q$92:$W$92))+SUMIFS('Vols additionnels'!$E$7:$E$66,'Vols additionnels'!$C$7:$C$66,$B33,'Vols additionnels'!$D$7:$D$66,"A320",'Vols additionnels'!$B$7:$B$66,"&gt;="&amp;$O$4,'Vols additionnels'!$B$7:$B$66,"&lt;="&amp;$O$5)</f>
        <v>5</v>
      </c>
      <c r="I33" s="37" t="n">
        <f aca="false">(SUMPRODUCT($C$20:$I$20,LEN($Q$90:$W$90))-$X$90+$Y$90)+SUMIFS('Vols additionnels'!$E$7:$E$66,'Vols additionnels'!$C$7:$C$66,$B33,'Vols additionnels'!$D$7:$D$66,"77W",'Vols additionnels'!$I$7:$I$66,"&gt;="&amp;$O$4,'Vols additionnels'!$I$7:$I$66,"&lt;="&amp;$O$5)+(SUMPRODUCT($C$20:$I$20,LEN($Q$91:$W$91))-$X$91+$Y$91)+SUMIFS('Vols additionnels'!$E$7:$E$66,'Vols additionnels'!$C$7:$C$66,$B33,'Vols additionnels'!$D$7:$D$66,"787",'Vols additionnels'!$I$7:$I$66,"&gt;="&amp;$O$4,'Vols additionnels'!$I$7:$I$66,"&lt;="&amp;$O$5)+(SUMPRODUCT($C$20:$I$20,LEN($Q$92:$W$92))-$X$92+$Y$92)+SUMIFS('Vols additionnels'!$E$7:$E$66,'Vols additionnels'!$C$7:$C$66,$B33,'Vols additionnels'!$D$7:$D$66,"A320",'Vols additionnels'!$I$7:$I$66,"&gt;="&amp;$O$4,'Vols additionnels'!$I$7:$I$66,"&lt;="&amp;$O$5)</f>
        <v>5</v>
      </c>
      <c r="J33" s="39" t="n">
        <f aca="false">(SUMPRODUCT($C$20:$I$20,LEN($Q$90:$W$90))+(SUMPRODUCT($C$20:$I$20,LEN($Q$90:$W$90))-$X$90+$Y$90)+SUMPRODUCT($C$20:$I$20,LEN($Q$91:$W$91))+(SUMPRODUCT($C$20:$I$20,LEN($Q$91:$W$91))-$X$91+$Y$91)+SUMPRODUCT($C$20:$I$20,LEN($Q$92:$W$92))+(SUMPRODUCT($C$20:$I$20,LEN($Q$92:$W$92))-$X$92+$Y$92))/2</f>
        <v>5</v>
      </c>
      <c r="K33" s="39" t="n">
        <f aca="false">(SUMIFS('Vols additionnels'!$E$7:$E$66,'Vols additionnels'!$C$7:$C$66,$B33,'Vols additionnels'!$D$7:$D$66,"77W",'Vols additionnels'!$B$7:$B$66,"&gt;="&amp;$O$4,'Vols additionnels'!$B$7:$B$66,"&lt;="&amp;$O$5)+SUMIFS('Vols additionnels'!$E$7:$E$66,'Vols additionnels'!$C$7:$C$66,$B33,'Vols additionnels'!$D$7:$D$66,"77W",'Vols additionnels'!$I$7:$I$66,"&gt;="&amp;$O$4,'Vols additionnels'!$I$7:$I$66,"&lt;="&amp;$O$5)+SUMIFS('Vols additionnels'!$E$7:$E$66,'Vols additionnels'!$C$7:$C$66,$B33,'Vols additionnels'!$D$7:$D$66,"787",'Vols additionnels'!$B$7:$B$66,"&gt;="&amp;$O$4,'Vols additionnels'!$B$7:$B$66,"&lt;="&amp;$O$5)+SUMIFS('Vols additionnels'!$E$7:$E$66,'Vols additionnels'!$C$7:$C$66,$B33,'Vols additionnels'!$D$7:$D$66,"787",'Vols additionnels'!$I$7:$I$66,"&gt;="&amp;$O$4,'Vols additionnels'!$I$7:$I$66,"&lt;="&amp;$O$5)+SUMIFS('Vols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L33" s="40" t="n">
        <f aca="false">(SUMPRODUCT($C$20:$I$20,LEN($Q$90:$W$90))+(SUMPRODUCT($C$20:$I$20,LEN($Q$90:$W$90))-$X$90+$Y$90)+SUMIFS('Vols additionnels'!$E$7:$E$66,'Vols additionnels'!$C$7:$C$66,$B33,'Vols additionnels'!$D$7:$D$66,"77W",'Vols additionnels'!$B$7:$B$66,"&gt;="&amp;$O$4,'Vols additionnels'!$B$7:$B$66,"&lt;="&amp;$O$5)+SUMIFS('Vols additionnels'!$E$7:$E$66,'Vols additionnels'!$C$7:$C$66,$B33,'Vols additionnels'!$D$7:$D$66,"77W",'Vols additionnels'!$I$7:$I$66,"&gt;="&amp;$O$4,'Vols additionnels'!$I$7:$I$66,"&lt;="&amp;$O$5))/2</f>
        <v>0</v>
      </c>
      <c r="M33" s="40" t="n">
        <f aca="false">(SUMPRODUCT($C$20:$I$20,LEN($Q$91:$W$91))+(SUMPRODUCT($C$20:$I$20,LEN($Q$91:$W$91))-$X$91+$Y$91)+SUMIFS('Vols additionnels'!$E$7:$E$66,'Vols additionnels'!$C$7:$C$66,$B33,'Vols additionnels'!$D$7:$D$66,"787",'Vols additionnels'!$B$7:$B$66,"&gt;="&amp;$O$4,'Vols additionnels'!$B$7:$B$66,"&lt;="&amp;$O$5)+SUMIFS('Vols additionnels'!$E$7:$E$66,'Vols additionnels'!$C$7:$C$66,$B33,'Vols additionnels'!$D$7:$D$66,"787",'Vols additionnels'!$I$7:$I$66,"&gt;="&amp;$O$4,'Vols additionnels'!$I$7:$I$66,"&lt;="&amp;$O$5))/2</f>
        <v>5</v>
      </c>
      <c r="N33" s="40" t="n">
        <f aca="false">(SUMPRODUCT($C$20:$I$20,LEN($Q$92:$W$92))+(SUMPRODUCT($C$20:$I$20,LEN($Q$92:$W$92))-$X$92+$Y$92)+SUMIFS('Vols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P33" s="28" t="s">
        <v>103</v>
      </c>
      <c r="Q33" s="34" t="n">
        <f aca="false">IF(C15="","",LEN(IF(C15-1&lt;$O$4,W$21,W$18))-LEN(SUBSTITUTE(IF(C15-1&lt;$O$4,W$21,W$18),"1",""))+LEN(IF(C15-2&lt;$O$4,V$21,V$18))-LEN(SUBSTITUTE(IF(C15-2&lt;$O$4,V$21,V$18),"2",""))+LEN(IF(C15-3&lt;$O$4,U$21,U$18))-LEN(SUBSTITUTE(IF(C15-3&lt;$O$4,U$21,U$18),"3","")))</f>
        <v>0</v>
      </c>
      <c r="R33" s="34" t="n">
        <f aca="false">IF(D15="","",LEN(IF(D15-1&lt;$O$4,Q$21,Q$18))-LEN(SUBSTITUTE(IF(D15-1&lt;$O$4,Q$21,Q$18),"1",""))+LEN(IF(D15-2&lt;$O$4,W$21,W$18))-LEN(SUBSTITUTE(IF(D15-2&lt;$O$4,W$21,W$18),"2",""))+LEN(IF(D15-3&lt;$O$4,V$21,V$18))-LEN(SUBSTITUTE(IF(D15-3&lt;$O$4,V$21,V$18),"3","")))</f>
        <v>0</v>
      </c>
      <c r="S33" s="34" t="n">
        <f aca="false">IF(E15="","",LEN(IF(E15-1&lt;$O$4,R$21,R$18))-LEN(SUBSTITUTE(IF(E15-1&lt;$O$4,R$21,R$18),"1",""))+LEN(IF(E15-2&lt;$O$4,Q$21,Q$18))-LEN(SUBSTITUTE(IF(E15-2&lt;$O$4,Q$21,Q$18),"2",""))+LEN(IF(E15-3&lt;$O$4,W$21,W$18))-LEN(SUBSTITUTE(IF(E15-3&lt;$O$4,W$21,W$18),"3","")))</f>
        <v>0</v>
      </c>
      <c r="T33" s="34" t="n">
        <f aca="false">IF(F15="","",LEN(IF(F15-1&lt;$O$4,S$21,S$18))-LEN(SUBSTITUTE(IF(F15-1&lt;$O$4,S$21,S$18),"1",""))+LEN(IF(F15-2&lt;$O$4,R$21,R$18))-LEN(SUBSTITUTE(IF(F15-2&lt;$O$4,R$21,R$18),"2",""))+LEN(IF(F15-3&lt;$O$4,Q$21,Q$18))-LEN(SUBSTITUTE(IF(F15-3&lt;$O$4,Q$21,Q$18),"3","")))</f>
        <v>0</v>
      </c>
      <c r="U33" s="34" t="n">
        <f aca="false">IF(G15="","",LEN(IF(G15-1&lt;$O$4,T$21,T$18))-LEN(SUBSTITUTE(IF(G15-1&lt;$O$4,T$21,T$18),"1",""))+LEN(IF(G15-2&lt;$O$4,S$21,S$18))-LEN(SUBSTITUTE(IF(G15-2&lt;$O$4,S$21,S$18),"2",""))+LEN(IF(G15-3&lt;$O$4,R$21,R$18))-LEN(SUBSTITUTE(IF(G15-3&lt;$O$4,R$21,R$18),"3","")))</f>
        <v>0</v>
      </c>
      <c r="V33" s="34" t="n">
        <f aca="false">IF(H15="","",LEN(IF(H15-1&lt;$O$4,U$21,U$18))-LEN(SUBSTITUTE(IF(H15-1&lt;$O$4,U$21,U$18),"1",""))+LEN(IF(H15-2&lt;$O$4,T$21,T$18))-LEN(SUBSTITUTE(IF(H15-2&lt;$O$4,T$21,T$18),"2",""))+LEN(IF(H15-3&lt;$O$4,S$21,S$18))-LEN(SUBSTITUTE(IF(H15-3&lt;$O$4,S$21,S$18),"3","")))</f>
        <v>0</v>
      </c>
      <c r="W33" s="34" t="n">
        <f aca="false">IF(I15="","",LEN(IF(I15-1&lt;$O$4,V$21,V$18))-LEN(SUBSTITUTE(IF(I15-1&lt;$O$4,V$21,V$18),"1",""))+LEN(IF(I15-2&lt;$O$4,U$21,U$18))-LEN(SUBSTITUTE(IF(I15-2&lt;$O$4,U$21,U$18),"2",""))+LEN(IF(I15-3&lt;$O$4,T$21,T$18))-LEN(SUBSTITUTE(IF(I15-3&lt;$O$4,T$21,T$18),"3","")))</f>
        <v>0</v>
      </c>
    </row>
    <row r="34" customFormat="false" ht="24" hidden="false" customHeight="true" outlineLevel="0" collapsed="false">
      <c r="B34" s="35" t="str">
        <f aca="false">$AE$13</f>
        <v>DIERUN</v>
      </c>
      <c r="C34" s="36" t="str">
        <f aca="false">IF(E34=0,"-",SUBSTITUTE(TRIM(IF(SUMPRODUCT(LEN($Q$93:$W$93))&gt;0,"77W("&amp;SUMPRODUCT(LEN($Q$93:$W$93))&amp;") ","")&amp;IF(SUMPRODUCT(LEN($Q$94:$W$94))&gt;0,"787("&amp;SUMPRODUCT(LEN($Q$94:$W$94))&amp;") ","")&amp;IF(SUMPRODUCT(LEN($Q$95:$W$95))&gt;0,"A320("&amp;SUMPRODUCT(LEN($Q$95:$W$95))&amp;") ",""))," ",", "))</f>
        <v>A320(2)</v>
      </c>
      <c r="D34" s="36" t="str">
        <f aca="false">IF(E34=0,"aucune operation",SUBSTITUTE(TRIM(IF(SUMPRODUCT(LEN($Q$93:$Q$95))&gt;0,"J1 ","")&amp;IF(SUMPRODUCT(LEN($R$93:$R$95))&gt;0,"J2 ","")&amp;IF(SUMPRODUCT(LEN($S$93:$S$95))&gt;0,"J3 ","")&amp;IF(SUMPRODUCT(LEN($T$93:$T$95))&gt;0,"J4 ","")&amp;IF(SUMPRODUCT(LEN($U$93:$U$95))&gt;0,"J5 ","")&amp;IF(SUMPRODUCT(LEN($V$93:$V$95))&gt;0,"J6 ","")&amp;IF(SUMPRODUCT(LEN($W$93:$W$95))&gt;0,"J7 ",""))," ",", "))</f>
        <v>J2, J6</v>
      </c>
      <c r="E34" s="37" t="n">
        <f aca="false">SUMPRODUCT(LEN($Q$93:$W$93))+SUMPRODUCT(LEN($Q$94:$W$94))+SUMPRODUCT(LEN($Q$95:$W$95))</f>
        <v>2</v>
      </c>
      <c r="F34" s="37" t="n">
        <f aca="false">$C$21</f>
        <v>5</v>
      </c>
      <c r="G34" s="38" t="n">
        <f aca="false">(H34+I34)/2</f>
        <v>8</v>
      </c>
      <c r="H34" s="37" t="n">
        <f aca="false">SUMPRODUCT($C$20:$I$20,LEN($Q$93:$W$93))+SUMIFS('Vols additionnels'!$E$7:$E$66,'Vols additionnels'!$C$7:$C$66,$B34,'Vols additionnels'!$D$7:$D$66,"77W",'Vols additionnels'!$B$7:$B$66,"&gt;="&amp;$O$4,'Vols additionnels'!$B$7:$B$66,"&lt;="&amp;$O$5)+SUMPRODUCT($C$20:$I$20,LEN($Q$94:$W$94))+SUMIFS('Vols additionnels'!$E$7:$E$66,'Vols additionnels'!$C$7:$C$66,$B34,'Vols additionnels'!$D$7:$D$66,"787",'Vols additionnels'!$B$7:$B$66,"&gt;="&amp;$O$4,'Vols additionnels'!$B$7:$B$66,"&lt;="&amp;$O$5)+SUMPRODUCT($C$20:$I$20,LEN($Q$95:$W$95))+SUMIFS('Vols additionnels'!$E$7:$E$66,'Vols additionnels'!$C$7:$C$66,$B34,'Vols additionnels'!$D$7:$D$66,"A320",'Vols additionnels'!$B$7:$B$66,"&gt;="&amp;$O$4,'Vols additionnels'!$B$7:$B$66,"&lt;="&amp;$O$5)</f>
        <v>8</v>
      </c>
      <c r="I34" s="37" t="n">
        <f aca="false">(SUMPRODUCT($C$20:$I$20,LEN($Q$93:$W$93))-$X$93+$Y$93)+SUMIFS('Vols additionnels'!$E$7:$E$66,'Vols additionnels'!$C$7:$C$66,$B34,'Vols additionnels'!$D$7:$D$66,"77W",'Vols additionnels'!$I$7:$I$66,"&gt;="&amp;$O$4,'Vols additionnels'!$I$7:$I$66,"&lt;="&amp;$O$5)+(SUMPRODUCT($C$20:$I$20,LEN($Q$94:$W$94))-$X$94+$Y$94)+SUMIFS('Vols additionnels'!$E$7:$E$66,'Vols additionnels'!$C$7:$C$66,$B34,'Vols additionnels'!$D$7:$D$66,"787",'Vols additionnels'!$I$7:$I$66,"&gt;="&amp;$O$4,'Vols additionnels'!$I$7:$I$66,"&lt;="&amp;$O$5)+(SUMPRODUCT($C$20:$I$20,LEN($Q$95:$W$95))-$X$95+$Y$95)+SUMIFS('Vols additionnels'!$E$7:$E$66,'Vols additionnels'!$C$7:$C$66,$B34,'Vols additionnels'!$D$7:$D$66,"A320",'Vols additionnels'!$I$7:$I$66,"&gt;="&amp;$O$4,'Vols additionnels'!$I$7:$I$66,"&lt;="&amp;$O$5)</f>
        <v>8</v>
      </c>
      <c r="J34" s="39" t="n">
        <f aca="false">(SUMPRODUCT($C$20:$I$20,LEN($Q$93:$W$93))+(SUMPRODUCT($C$20:$I$20,LEN($Q$93:$W$93))-$X$93+$Y$93)+SUMPRODUCT($C$20:$I$20,LEN($Q$94:$W$94))+(SUMPRODUCT($C$20:$I$20,LEN($Q$94:$W$94))-$X$94+$Y$94)+SUMPRODUCT($C$20:$I$20,LEN($Q$95:$W$95))+(SUMPRODUCT($C$20:$I$20,LEN($Q$95:$W$95))-$X$95+$Y$95))/2</f>
        <v>8</v>
      </c>
      <c r="K34" s="39" t="n">
        <f aca="false">(SUMIFS('Vols additionnels'!$E$7:$E$66,'Vols additionnels'!$C$7:$C$66,$B34,'Vols additionnels'!$D$7:$D$66,"77W",'Vols additionnels'!$B$7:$B$66,"&gt;="&amp;$O$4,'Vols additionnels'!$B$7:$B$66,"&lt;="&amp;$O$5)+SUMIFS('Vols additionnels'!$E$7:$E$66,'Vols additionnels'!$C$7:$C$66,$B34,'Vols additionnels'!$D$7:$D$66,"77W",'Vols additionnels'!$I$7:$I$66,"&gt;="&amp;$O$4,'Vols additionnels'!$I$7:$I$66,"&lt;="&amp;$O$5)+SUMIFS('Vols additionnels'!$E$7:$E$66,'Vols additionnels'!$C$7:$C$66,$B34,'Vols additionnels'!$D$7:$D$66,"787",'Vols additionnels'!$B$7:$B$66,"&gt;="&amp;$O$4,'Vols additionnels'!$B$7:$B$66,"&lt;="&amp;$O$5)+SUMIFS('Vols additionnels'!$E$7:$E$66,'Vols additionnels'!$C$7:$C$66,$B34,'Vols additionnels'!$D$7:$D$66,"787",'Vols additionnels'!$I$7:$I$66,"&gt;="&amp;$O$4,'Vols additionnels'!$I$7:$I$66,"&lt;="&amp;$O$5)+SUMIFS('Vols additionnels'!$E$7:$E$66,'Vols additionnels'!$C$7:$C$66,$B34,'Vols additionnels'!$D$7:$D$66,"A320",'Vols additionnels'!$B$7:$B$66,"&gt;="&amp;$O$4,'Vols additionnels'!$B$7:$B$66,"&lt;="&amp;$O$5)+SUMIFS('Vols additionnels'!$E$7:$E$66,'Vols additionnels'!$C$7:$C$66,$B34,'Vols additionnels'!$D$7:$D$66,"A320",'Vols additionnels'!$I$7:$I$66,"&gt;="&amp;$O$4,'Vols additionnels'!$I$7:$I$66,"&lt;="&amp;$O$5))/2</f>
        <v>0</v>
      </c>
      <c r="L34" s="40" t="n">
        <f aca="false">(SUMPRODUCT($C$20:$I$20,LEN($Q$93:$W$93))+(SUMPRODUCT($C$20:$I$20,LEN($Q$93:$W$93))-$X$93+$Y$93)+SUMIFS('Vols additionnels'!$E$7:$E$66,'Vols additionnels'!$C$7:$C$66,$B34,'Vols additionnels'!$D$7:$D$66,"77W",'Vols additionnels'!$B$7:$B$66,"&gt;="&amp;$O$4,'Vols additionnels'!$B$7:$B$66,"&lt;="&amp;$O$5)+SUMIFS('Vols additionnels'!$E$7:$E$66,'Vols additionnels'!$C$7:$C$66,$B34,'Vols additionnels'!$D$7:$D$66,"77W",'Vols additionnels'!$I$7:$I$66,"&gt;="&amp;$O$4,'Vols additionnels'!$I$7:$I$66,"&lt;="&amp;$O$5))/2</f>
        <v>0</v>
      </c>
      <c r="M34" s="40" t="n">
        <f aca="false">(SUMPRODUCT($C$20:$I$20,LEN($Q$94:$W$94))+(SUMPRODUCT($C$20:$I$20,LEN($Q$94:$W$94))-$X$94+$Y$94)+SUMIFS('Vols additionnels'!$E$7:$E$66,'Vols additionnels'!$C$7:$C$66,$B34,'Vols additionnels'!$D$7:$D$66,"787",'Vols additionnels'!$B$7:$B$66,"&gt;="&amp;$O$4,'Vols additionnels'!$B$7:$B$66,"&lt;="&amp;$O$5)+SUMIFS('Vols additionnels'!$E$7:$E$66,'Vols additionnels'!$C$7:$C$66,$B34,'Vols additionnels'!$D$7:$D$66,"787",'Vols additionnels'!$I$7:$I$66,"&gt;="&amp;$O$4,'Vols additionnels'!$I$7:$I$66,"&lt;="&amp;$O$5))/2</f>
        <v>0</v>
      </c>
      <c r="N34" s="40" t="n">
        <f aca="false">(SUMPRODUCT($C$20:$I$20,LEN($Q$95:$W$95))+(SUMPRODUCT($C$20:$I$20,LEN($Q$95:$W$95))-$X$95+$Y$95)+SUMIFS('Vols additionnels'!$E$7:$E$66,'Vols additionnels'!$C$7:$C$66,$B34,'Vols additionnels'!$D$7:$D$66,"A320",'Vols additionnels'!$B$7:$B$66,"&gt;="&amp;$O$4,'Vols additionnels'!$B$7:$B$66,"&lt;="&amp;$O$5)+SUMIFS('Vols additionnels'!$E$7:$E$66,'Vols additionnels'!$C$7:$C$66,$B34,'Vols additionnels'!$D$7:$D$66,"A320",'Vols additionnels'!$I$7:$I$66,"&gt;="&amp;$O$4,'Vols additionnels'!$I$7:$I$66,"&lt;="&amp;$O$5))/2</f>
        <v>8</v>
      </c>
      <c r="P34" s="28" t="s">
        <v>104</v>
      </c>
      <c r="Q34" s="34" t="n">
        <f aca="false">IF(C17="","",LEN(IF(C17-1&lt;$O$4,W$21,W$18))-LEN(SUBSTITUTE(IF(C17-1&lt;$O$4,W$21,W$18),"1",""))+LEN(IF(C17-2&lt;$O$4,V$21,V$18))-LEN(SUBSTITUTE(IF(C17-2&lt;$O$4,V$21,V$18),"2",""))+LEN(IF(C17-3&lt;$O$4,U$21,U$18))-LEN(SUBSTITUTE(IF(C17-3&lt;$O$4,U$21,U$18),"3","")))</f>
        <v>0</v>
      </c>
      <c r="R34" s="34" t="n">
        <f aca="false">IF(D17="","",LEN(IF(D17-1&lt;$O$4,Q$21,Q$18))-LEN(SUBSTITUTE(IF(D17-1&lt;$O$4,Q$21,Q$18),"1",""))+LEN(IF(D17-2&lt;$O$4,W$21,W$18))-LEN(SUBSTITUTE(IF(D17-2&lt;$O$4,W$21,W$18),"2",""))+LEN(IF(D17-3&lt;$O$4,V$21,V$18))-LEN(SUBSTITUTE(IF(D17-3&lt;$O$4,V$21,V$18),"3","")))</f>
        <v>0</v>
      </c>
      <c r="S34" s="34" t="n">
        <f aca="false">IF(E17="","",LEN(IF(E17-1&lt;$O$4,R$21,R$18))-LEN(SUBSTITUTE(IF(E17-1&lt;$O$4,R$21,R$18),"1",""))+LEN(IF(E17-2&lt;$O$4,Q$21,Q$18))-LEN(SUBSTITUTE(IF(E17-2&lt;$O$4,Q$21,Q$18),"2",""))+LEN(IF(E17-3&lt;$O$4,W$21,W$18))-LEN(SUBSTITUTE(IF(E17-3&lt;$O$4,W$21,W$18),"3","")))</f>
        <v>0</v>
      </c>
      <c r="T34" s="34" t="n">
        <f aca="false">IF(F17="","",LEN(IF(F17-1&lt;$O$4,S$21,S$18))-LEN(SUBSTITUTE(IF(F17-1&lt;$O$4,S$21,S$18),"1",""))+LEN(IF(F17-2&lt;$O$4,R$21,R$18))-LEN(SUBSTITUTE(IF(F17-2&lt;$O$4,R$21,R$18),"2",""))+LEN(IF(F17-3&lt;$O$4,Q$21,Q$18))-LEN(SUBSTITUTE(IF(F17-3&lt;$O$4,Q$21,Q$18),"3","")))</f>
        <v>0</v>
      </c>
      <c r="U34" s="34" t="n">
        <f aca="false">IF(G17="","",LEN(IF(G17-1&lt;$O$4,T$21,T$18))-LEN(SUBSTITUTE(IF(G17-1&lt;$O$4,T$21,T$18),"1",""))+LEN(IF(G17-2&lt;$O$4,S$21,S$18))-LEN(SUBSTITUTE(IF(G17-2&lt;$O$4,S$21,S$18),"2",""))+LEN(IF(G17-3&lt;$O$4,R$21,R$18))-LEN(SUBSTITUTE(IF(G17-3&lt;$O$4,R$21,R$18),"3","")))</f>
        <v>0</v>
      </c>
      <c r="V34" s="34" t="str">
        <f aca="false">IF(H17="","",LEN(IF(H17-1&lt;$O$4,U$21,U$18))-LEN(SUBSTITUTE(IF(H17-1&lt;$O$4,U$21,U$18),"1",""))+LEN(IF(H17-2&lt;$O$4,T$21,T$18))-LEN(SUBSTITUTE(IF(H17-2&lt;$O$4,T$21,T$18),"2",""))+LEN(IF(H17-3&lt;$O$4,S$21,S$18))-LEN(SUBSTITUTE(IF(H17-3&lt;$O$4,S$21,S$18),"3","")))</f>
        <v/>
      </c>
      <c r="W34" s="34" t="str">
        <f aca="false">IF(I17="","",LEN(IF(I17-1&lt;$O$4,V$21,V$18))-LEN(SUBSTITUTE(IF(I17-1&lt;$O$4,V$21,V$18),"1",""))+LEN(IF(I17-2&lt;$O$4,U$21,U$18))-LEN(SUBSTITUTE(IF(I17-2&lt;$O$4,U$21,U$18),"2",""))+LEN(IF(I17-3&lt;$O$4,T$21,T$18))-LEN(SUBSTITUTE(IF(I17-3&lt;$O$4,T$21,T$18),"3","")))</f>
        <v/>
      </c>
    </row>
    <row r="35" customFormat="false" ht="24" hidden="false" customHeight="true" outlineLevel="0" collapsed="false">
      <c r="B35" s="35" t="str">
        <f aca="false">$AE$14</f>
        <v>RRGRUN</v>
      </c>
      <c r="C35" s="36" t="str">
        <f aca="false">IF(E35=0,"-",SUBSTITUTE(TRIM(IF(SUMPRODUCT(LEN($Q$96:$W$96))&gt;0,"77W("&amp;SUMPRODUCT(LEN($Q$96:$W$96))&amp;") ","")&amp;IF(SUMPRODUCT(LEN($Q$97:$W$97))&gt;0,"787("&amp;SUMPRODUCT(LEN($Q$97:$W$97))&amp;") ","")&amp;IF(SUMPRODUCT(LEN($Q$98:$W$98))&gt;0,"A320("&amp;SUMPRODUCT(LEN($Q$98:$W$98))&amp;") ",""))," ",", "))</f>
        <v>A320(7)</v>
      </c>
      <c r="D35" s="36" t="str">
        <f aca="false">IF(E35=0,"aucune operation",SUBSTITUTE(TRIM(IF(SUMPRODUCT(LEN($Q$96:$Q$98))&gt;0,"J1 ","")&amp;IF(SUMPRODUCT(LEN($R$96:$R$98))&gt;0,"J2 ","")&amp;IF(SUMPRODUCT(LEN($S$96:$S$98))&gt;0,"J3 ","")&amp;IF(SUMPRODUCT(LEN($T$96:$T$98))&gt;0,"J4 ","")&amp;IF(SUMPRODUCT(LEN($U$96:$U$98))&gt;0,"J5 ","")&amp;IF(SUMPRODUCT(LEN($V$96:$V$98))&gt;0,"J6 ","")&amp;IF(SUMPRODUCT(LEN($W$96:$W$98))&gt;0,"J7 ",""))," ",", "))</f>
        <v>J1, J2, J3, J4, J5, J6</v>
      </c>
      <c r="E35" s="37" t="n">
        <f aca="false">SUMPRODUCT(LEN($Q$96:$W$96))+SUMPRODUCT(LEN($Q$97:$W$97))+SUMPRODUCT(LEN($Q$98:$W$98))</f>
        <v>7</v>
      </c>
      <c r="F35" s="37" t="n">
        <f aca="false">$C$21</f>
        <v>5</v>
      </c>
      <c r="G35" s="38" t="n">
        <f aca="false">(H35+I35)/2</f>
        <v>31</v>
      </c>
      <c r="H35" s="37" t="n">
        <f aca="false">SUMPRODUCT($C$20:$I$20,LEN($Q$96:$W$96))+SUMIFS('Vols additionnels'!$E$7:$E$66,'Vols additionnels'!$C$7:$C$66,$B35,'Vols additionnels'!$D$7:$D$66,"77W",'Vols additionnels'!$B$7:$B$66,"&gt;="&amp;$O$4,'Vols additionnels'!$B$7:$B$66,"&lt;="&amp;$O$5)+SUMPRODUCT($C$20:$I$20,LEN($Q$97:$W$97))+SUMIFS('Vols additionnels'!$E$7:$E$66,'Vols additionnels'!$C$7:$C$66,$B35,'Vols additionnels'!$D$7:$D$66,"787",'Vols additionnels'!$B$7:$B$66,"&gt;="&amp;$O$4,'Vols additionnels'!$B$7:$B$66,"&lt;="&amp;$O$5)+SUMPRODUCT($C$20:$I$20,LEN($Q$98:$W$98))+SUMIFS('Vols additionnels'!$E$7:$E$66,'Vols additionnels'!$C$7:$C$66,$B35,'Vols additionnels'!$D$7:$D$66,"A320",'Vols additionnels'!$B$7:$B$66,"&gt;="&amp;$O$4,'Vols additionnels'!$B$7:$B$66,"&lt;="&amp;$O$5)</f>
        <v>31</v>
      </c>
      <c r="I35" s="37" t="n">
        <f aca="false">(SUMPRODUCT($C$20:$I$20,LEN($Q$96:$W$96))-$X$96+$Y$96)+SUMIFS('Vols additionnels'!$E$7:$E$66,'Vols additionnels'!$C$7:$C$66,$B35,'Vols additionnels'!$D$7:$D$66,"77W",'Vols additionnels'!$I$7:$I$66,"&gt;="&amp;$O$4,'Vols additionnels'!$I$7:$I$66,"&lt;="&amp;$O$5)+(SUMPRODUCT($C$20:$I$20,LEN($Q$97:$W$97))-$X$97+$Y$97)+SUMIFS('Vols additionnels'!$E$7:$E$66,'Vols additionnels'!$C$7:$C$66,$B35,'Vols additionnels'!$D$7:$D$66,"787",'Vols additionnels'!$I$7:$I$66,"&gt;="&amp;$O$4,'Vols additionnels'!$I$7:$I$66,"&lt;="&amp;$O$5)+(SUMPRODUCT($C$20:$I$20,LEN($Q$98:$W$98))-$X$98+$Y$98)+SUMIFS('Vols additionnels'!$E$7:$E$66,'Vols additionnels'!$C$7:$C$66,$B35,'Vols additionnels'!$D$7:$D$66,"A320",'Vols additionnels'!$I$7:$I$66,"&gt;="&amp;$O$4,'Vols additionnels'!$I$7:$I$66,"&lt;="&amp;$O$5)</f>
        <v>31</v>
      </c>
      <c r="J35" s="39" t="n">
        <f aca="false">(SUMPRODUCT($C$20:$I$20,LEN($Q$96:$W$96))+(SUMPRODUCT($C$20:$I$20,LEN($Q$96:$W$96))-$X$96+$Y$96)+SUMPRODUCT($C$20:$I$20,LEN($Q$97:$W$97))+(SUMPRODUCT($C$20:$I$20,LEN($Q$97:$W$97))-$X$97+$Y$97)+SUMPRODUCT($C$20:$I$20,LEN($Q$98:$W$98))+(SUMPRODUCT($C$20:$I$20,LEN($Q$98:$W$98))-$X$98+$Y$98))/2</f>
        <v>31</v>
      </c>
      <c r="K35" s="39" t="n">
        <f aca="false">(SUMIFS('Vols additionnels'!$E$7:$E$66,'Vols additionnels'!$C$7:$C$66,$B35,'Vols additionnels'!$D$7:$D$66,"77W",'Vols additionnels'!$B$7:$B$66,"&gt;="&amp;$O$4,'Vols additionnels'!$B$7:$B$66,"&lt;="&amp;$O$5)+SUMIFS('Vols additionnels'!$E$7:$E$66,'Vols additionnels'!$C$7:$C$66,$B35,'Vols additionnels'!$D$7:$D$66,"77W",'Vols additionnels'!$I$7:$I$66,"&gt;="&amp;$O$4,'Vols additionnels'!$I$7:$I$66,"&lt;="&amp;$O$5)+SUMIFS('Vols additionnels'!$E$7:$E$66,'Vols additionnels'!$C$7:$C$66,$B35,'Vols additionnels'!$D$7:$D$66,"787",'Vols additionnels'!$B$7:$B$66,"&gt;="&amp;$O$4,'Vols additionnels'!$B$7:$B$66,"&lt;="&amp;$O$5)+SUMIFS('Vols additionnels'!$E$7:$E$66,'Vols additionnels'!$C$7:$C$66,$B35,'Vols additionnels'!$D$7:$D$66,"787",'Vols additionnels'!$I$7:$I$66,"&gt;="&amp;$O$4,'Vols additionnels'!$I$7:$I$66,"&lt;="&amp;$O$5)+SUMIFS('Vols additionnels'!$E$7:$E$66,'Vols additionnels'!$C$7:$C$66,$B35,'Vols additionnels'!$D$7:$D$66,"A320",'Vols additionnels'!$B$7:$B$66,"&gt;="&amp;$O$4,'Vols additionnels'!$B$7:$B$66,"&lt;="&amp;$O$5)+SUMIFS('Vols additionnels'!$E$7:$E$66,'Vols additionnels'!$C$7:$C$66,$B35,'Vols additionnels'!$D$7:$D$66,"A320",'Vols additionnels'!$I$7:$I$66,"&gt;="&amp;$O$4,'Vols additionnels'!$I$7:$I$66,"&lt;="&amp;$O$5))/2</f>
        <v>0</v>
      </c>
      <c r="L35" s="40" t="n">
        <f aca="false">(SUMPRODUCT($C$20:$I$20,LEN($Q$96:$W$96))+(SUMPRODUCT($C$20:$I$20,LEN($Q$96:$W$96))-$X$96+$Y$96)+SUMIFS('Vols additionnels'!$E$7:$E$66,'Vols additionnels'!$C$7:$C$66,$B35,'Vols additionnels'!$D$7:$D$66,"77W",'Vols additionnels'!$B$7:$B$66,"&gt;="&amp;$O$4,'Vols additionnels'!$B$7:$B$66,"&lt;="&amp;$O$5)+SUMIFS('Vols additionnels'!$E$7:$E$66,'Vols additionnels'!$C$7:$C$66,$B35,'Vols additionnels'!$D$7:$D$66,"77W",'Vols additionnels'!$I$7:$I$66,"&gt;="&amp;$O$4,'Vols additionnels'!$I$7:$I$66,"&lt;="&amp;$O$5))/2</f>
        <v>0</v>
      </c>
      <c r="M35" s="40" t="n">
        <f aca="false">(SUMPRODUCT($C$20:$I$20,LEN($Q$97:$W$97))+(SUMPRODUCT($C$20:$I$20,LEN($Q$97:$W$97))-$X$97+$Y$97)+SUMIFS('Vols additionnels'!$E$7:$E$66,'Vols additionnels'!$C$7:$C$66,$B35,'Vols additionnels'!$D$7:$D$66,"787",'Vols additionnels'!$B$7:$B$66,"&gt;="&amp;$O$4,'Vols additionnels'!$B$7:$B$66,"&lt;="&amp;$O$5)+SUMIFS('Vols additionnels'!$E$7:$E$66,'Vols additionnels'!$C$7:$C$66,$B35,'Vols additionnels'!$D$7:$D$66,"787",'Vols additionnels'!$I$7:$I$66,"&gt;="&amp;$O$4,'Vols additionnels'!$I$7:$I$66,"&lt;="&amp;$O$5))/2</f>
        <v>0</v>
      </c>
      <c r="N35" s="40" t="n">
        <f aca="false">(SUMPRODUCT($C$20:$I$20,LEN($Q$98:$W$98))+(SUMPRODUCT($C$20:$I$20,LEN($Q$98:$W$98))-$X$98+$Y$98)+SUMIFS('Vols additionnels'!$E$7:$E$66,'Vols additionnels'!$C$7:$C$66,$B35,'Vols additionnels'!$D$7:$D$66,"A320",'Vols additionnels'!$B$7:$B$66,"&gt;="&amp;$O$4,'Vols additionnels'!$B$7:$B$66,"&lt;="&amp;$O$5)+SUMIFS('Vols additionnels'!$E$7:$E$66,'Vols additionnels'!$C$7:$C$66,$B35,'Vols additionnels'!$D$7:$D$66,"A320",'Vols additionnels'!$I$7:$I$66,"&gt;="&amp;$O$4,'Vols additionnels'!$I$7:$I$66,"&lt;="&amp;$O$5))/2</f>
        <v>31</v>
      </c>
      <c r="P35" s="28" t="s">
        <v>105</v>
      </c>
      <c r="Q35" s="34" t="str">
        <f aca="false">IF(C19="","",LEN(IF(C19-1&lt;$O$4,W$21,W$18))-LEN(SUBSTITUTE(IF(C19-1&lt;$O$4,W$21,W$18),"1",""))+LEN(IF(C19-2&lt;$O$4,V$21,V$18))-LEN(SUBSTITUTE(IF(C19-2&lt;$O$4,V$21,V$18),"2",""))+LEN(IF(C19-3&lt;$O$4,U$21,U$18))-LEN(SUBSTITUTE(IF(C19-3&lt;$O$4,U$21,U$18),"3","")))</f>
        <v/>
      </c>
      <c r="R35" s="34" t="str">
        <f aca="false">IF(D19="","",LEN(IF(D19-1&lt;$O$4,Q$21,Q$18))-LEN(SUBSTITUTE(IF(D19-1&lt;$O$4,Q$21,Q$18),"1",""))+LEN(IF(D19-2&lt;$O$4,W$21,W$18))-LEN(SUBSTITUTE(IF(D19-2&lt;$O$4,W$21,W$18),"2",""))+LEN(IF(D19-3&lt;$O$4,V$21,V$18))-LEN(SUBSTITUTE(IF(D19-3&lt;$O$4,V$21,V$18),"3","")))</f>
        <v/>
      </c>
      <c r="S35" s="34" t="str">
        <f aca="false">IF(E19="","",LEN(IF(E19-1&lt;$O$4,R$21,R$18))-LEN(SUBSTITUTE(IF(E19-1&lt;$O$4,R$21,R$18),"1",""))+LEN(IF(E19-2&lt;$O$4,Q$21,Q$18))-LEN(SUBSTITUTE(IF(E19-2&lt;$O$4,Q$21,Q$18),"2",""))+LEN(IF(E19-3&lt;$O$4,W$21,W$18))-LEN(SUBSTITUTE(IF(E19-3&lt;$O$4,W$21,W$18),"3","")))</f>
        <v/>
      </c>
      <c r="T35" s="34" t="str">
        <f aca="false">IF(F19="","",LEN(IF(F19-1&lt;$O$4,S$21,S$18))-LEN(SUBSTITUTE(IF(F19-1&lt;$O$4,S$21,S$18),"1",""))+LEN(IF(F19-2&lt;$O$4,R$21,R$18))-LEN(SUBSTITUTE(IF(F19-2&lt;$O$4,R$21,R$18),"2",""))+LEN(IF(F19-3&lt;$O$4,Q$21,Q$18))-LEN(SUBSTITUTE(IF(F19-3&lt;$O$4,Q$21,Q$18),"3","")))</f>
        <v/>
      </c>
      <c r="U35" s="34" t="str">
        <f aca="false">IF(G19="","",LEN(IF(G19-1&lt;$O$4,T$21,T$18))-LEN(SUBSTITUTE(IF(G19-1&lt;$O$4,T$21,T$18),"1",""))+LEN(IF(G19-2&lt;$O$4,S$21,S$18))-LEN(SUBSTITUTE(IF(G19-2&lt;$O$4,S$21,S$18),"2",""))+LEN(IF(G19-3&lt;$O$4,R$21,R$18))-LEN(SUBSTITUTE(IF(G19-3&lt;$O$4,R$21,R$18),"3","")))</f>
        <v/>
      </c>
      <c r="V35" s="34" t="str">
        <f aca="false">IF(H19="","",LEN(IF(H19-1&lt;$O$4,U$21,U$18))-LEN(SUBSTITUTE(IF(H19-1&lt;$O$4,U$21,U$18),"1",""))+LEN(IF(H19-2&lt;$O$4,T$21,T$18))-LEN(SUBSTITUTE(IF(H19-2&lt;$O$4,T$21,T$18),"2",""))+LEN(IF(H19-3&lt;$O$4,S$21,S$18))-LEN(SUBSTITUTE(IF(H19-3&lt;$O$4,S$21,S$18),"3","")))</f>
        <v/>
      </c>
      <c r="W35" s="34" t="str">
        <f aca="false">IF(I19="","",LEN(IF(I19-1&lt;$O$4,V$21,V$18))-LEN(SUBSTITUTE(IF(I19-1&lt;$O$4,V$21,V$18),"1",""))+LEN(IF(I19-2&lt;$O$4,U$21,U$18))-LEN(SUBSTITUTE(IF(I19-2&lt;$O$4,U$21,U$18),"2",""))+LEN(IF(I19-3&lt;$O$4,T$21,T$18))-LEN(SUBSTITUTE(IF(I19-3&lt;$O$4,T$21,T$18),"3","")))</f>
        <v/>
      </c>
    </row>
    <row r="36" customFormat="false" ht="24" hidden="false" customHeight="true" outlineLevel="0" collapsed="false">
      <c r="B36" s="35" t="str">
        <f aca="false">$AE$15</f>
        <v>TMMRUN</v>
      </c>
      <c r="C36" s="36" t="str">
        <f aca="false">IF(E36=0,"-",SUBSTITUTE(TRIM(IF(SUMPRODUCT(LEN($Q$99:$W$99))&gt;0,"77W("&amp;SUMPRODUCT(LEN($Q$99:$W$99))&amp;") ","")&amp;IF(SUMPRODUCT(LEN($Q$100:$W$100))&gt;0,"787("&amp;SUMPRODUCT(LEN($Q$100:$W$100))&amp;") ","")&amp;IF(SUMPRODUCT(LEN($Q$101:$W$101))&gt;0,"A320("&amp;SUMPRODUCT(LEN($Q$101:$W$101))&amp;") ",""))," ",", "))</f>
        <v>A320(2)</v>
      </c>
      <c r="D36" s="36" t="str">
        <f aca="false">IF(E36=0,"aucune operation",SUBSTITUTE(TRIM(IF(SUMPRODUCT(LEN($Q$99:$Q$101))&gt;0,"J1 ","")&amp;IF(SUMPRODUCT(LEN($R$99:$R$101))&gt;0,"J2 ","")&amp;IF(SUMPRODUCT(LEN($S$99:$S$101))&gt;0,"J3 ","")&amp;IF(SUMPRODUCT(LEN($T$99:$T$101))&gt;0,"J4 ","")&amp;IF(SUMPRODUCT(LEN($U$99:$U$101))&gt;0,"J5 ","")&amp;IF(SUMPRODUCT(LEN($V$99:$V$101))&gt;0,"J6 ","")&amp;IF(SUMPRODUCT(LEN($W$99:$W$101))&gt;0,"J7 ",""))," ",", "))</f>
        <v>J3, J7</v>
      </c>
      <c r="E36" s="37" t="n">
        <f aca="false">SUMPRODUCT(LEN($Q$99:$W$99))+SUMPRODUCT(LEN($Q$100:$W$100))+SUMPRODUCT(LEN($Q$101:$W$101))</f>
        <v>2</v>
      </c>
      <c r="F36" s="37" t="n">
        <f aca="false">$C$21</f>
        <v>5</v>
      </c>
      <c r="G36" s="38" t="n">
        <f aca="false">(H36+I36)/2</f>
        <v>8</v>
      </c>
      <c r="H36" s="37" t="n">
        <f aca="false">SUMPRODUCT($C$20:$I$20,LEN($Q$99:$W$99))+SUMIFS('Vols additionnels'!$E$7:$E$66,'Vols additionnels'!$C$7:$C$66,$B36,'Vols additionnels'!$D$7:$D$66,"77W",'Vols additionnels'!$B$7:$B$66,"&gt;="&amp;$O$4,'Vols additionnels'!$B$7:$B$66,"&lt;="&amp;$O$5)+SUMPRODUCT($C$20:$I$20,LEN($Q$100:$W$100))+SUMIFS('Vols additionnels'!$E$7:$E$66,'Vols additionnels'!$C$7:$C$66,$B36,'Vols additionnels'!$D$7:$D$66,"787",'Vols additionnels'!$B$7:$B$66,"&gt;="&amp;$O$4,'Vols additionnels'!$B$7:$B$66,"&lt;="&amp;$O$5)+SUMPRODUCT($C$20:$I$20,LEN($Q$101:$W$101))+SUMIFS('Vols additionnels'!$E$7:$E$66,'Vols additionnels'!$C$7:$C$66,$B36,'Vols additionnels'!$D$7:$D$66,"A320",'Vols additionnels'!$B$7:$B$66,"&gt;="&amp;$O$4,'Vols additionnels'!$B$7:$B$66,"&lt;="&amp;$O$5)</f>
        <v>8</v>
      </c>
      <c r="I36" s="37" t="n">
        <f aca="false">(SUMPRODUCT($C$20:$I$20,LEN($Q$99:$W$99))-$X$99+$Y$99)+SUMIFS('Vols additionnels'!$E$7:$E$66,'Vols additionnels'!$C$7:$C$66,$B36,'Vols additionnels'!$D$7:$D$66,"77W",'Vols additionnels'!$I$7:$I$66,"&gt;="&amp;$O$4,'Vols additionnels'!$I$7:$I$66,"&lt;="&amp;$O$5)+(SUMPRODUCT($C$20:$I$20,LEN($Q$100:$W$100))-$X$100+$Y$100)+SUMIFS('Vols additionnels'!$E$7:$E$66,'Vols additionnels'!$C$7:$C$66,$B36,'Vols additionnels'!$D$7:$D$66,"787",'Vols additionnels'!$I$7:$I$66,"&gt;="&amp;$O$4,'Vols additionnels'!$I$7:$I$66,"&lt;="&amp;$O$5)+(SUMPRODUCT($C$20:$I$20,LEN($Q$101:$W$101))-$X$101+$Y$101)+SUMIFS('Vols additionnels'!$E$7:$E$66,'Vols additionnels'!$C$7:$C$66,$B36,'Vols additionnels'!$D$7:$D$66,"A320",'Vols additionnels'!$I$7:$I$66,"&gt;="&amp;$O$4,'Vols additionnels'!$I$7:$I$66,"&lt;="&amp;$O$5)</f>
        <v>8</v>
      </c>
      <c r="J36" s="39" t="n">
        <f aca="false">(SUMPRODUCT($C$20:$I$20,LEN($Q$99:$W$99))+(SUMPRODUCT($C$20:$I$20,LEN($Q$99:$W$99))-$X$99+$Y$99)+SUMPRODUCT($C$20:$I$20,LEN($Q$100:$W$100))+(SUMPRODUCT($C$20:$I$20,LEN($Q$100:$W$100))-$X$100+$Y$100)+SUMPRODUCT($C$20:$I$20,LEN($Q$101:$W$101))+(SUMPRODUCT($C$20:$I$20,LEN($Q$101:$W$101))-$X$101+$Y$101))/2</f>
        <v>8</v>
      </c>
      <c r="K36" s="39" t="n">
        <f aca="false">(SUMIFS('Vols additionnels'!$E$7:$E$66,'Vols additionnels'!$C$7:$C$66,$B36,'Vols additionnels'!$D$7:$D$66,"77W",'Vols additionnels'!$B$7:$B$66,"&gt;="&amp;$O$4,'Vols additionnels'!$B$7:$B$66,"&lt;="&amp;$O$5)+SUMIFS('Vols additionnels'!$E$7:$E$66,'Vols additionnels'!$C$7:$C$66,$B36,'Vols additionnels'!$D$7:$D$66,"77W",'Vols additionnels'!$I$7:$I$66,"&gt;="&amp;$O$4,'Vols additionnels'!$I$7:$I$66,"&lt;="&amp;$O$5)+SUMIFS('Vols additionnels'!$E$7:$E$66,'Vols additionnels'!$C$7:$C$66,$B36,'Vols additionnels'!$D$7:$D$66,"787",'Vols additionnels'!$B$7:$B$66,"&gt;="&amp;$O$4,'Vols additionnels'!$B$7:$B$66,"&lt;="&amp;$O$5)+SUMIFS('Vols additionnels'!$E$7:$E$66,'Vols additionnels'!$C$7:$C$66,$B36,'Vols additionnels'!$D$7:$D$66,"787",'Vols additionnels'!$I$7:$I$66,"&gt;="&amp;$O$4,'Vols additionnels'!$I$7:$I$66,"&lt;="&amp;$O$5)+SUMIFS('Vols additionnels'!$E$7:$E$66,'Vols additionnels'!$C$7:$C$66,$B36,'Vols additionnels'!$D$7:$D$66,"A320",'Vols additionnels'!$B$7:$B$66,"&gt;="&amp;$O$4,'Vols additionnels'!$B$7:$B$66,"&lt;="&amp;$O$5)+SUMIFS('Vols additionnels'!$E$7:$E$66,'Vols additionnels'!$C$7:$C$66,$B36,'Vols additionnels'!$D$7:$D$66,"A320",'Vols additionnels'!$I$7:$I$66,"&gt;="&amp;$O$4,'Vols additionnels'!$I$7:$I$66,"&lt;="&amp;$O$5))/2</f>
        <v>0</v>
      </c>
      <c r="L36" s="40" t="n">
        <f aca="false">(SUMPRODUCT($C$20:$I$20,LEN($Q$99:$W$99))+(SUMPRODUCT($C$20:$I$20,LEN($Q$99:$W$99))-$X$99+$Y$99)+SUMIFS('Vols additionnels'!$E$7:$E$66,'Vols additionnels'!$C$7:$C$66,$B36,'Vols additionnels'!$D$7:$D$66,"77W",'Vols additionnels'!$B$7:$B$66,"&gt;="&amp;$O$4,'Vols additionnels'!$B$7:$B$66,"&lt;="&amp;$O$5)+SUMIFS('Vols additionnels'!$E$7:$E$66,'Vols additionnels'!$C$7:$C$66,$B36,'Vols additionnels'!$D$7:$D$66,"77W",'Vols additionnels'!$I$7:$I$66,"&gt;="&amp;$O$4,'Vols additionnels'!$I$7:$I$66,"&lt;="&amp;$O$5))/2</f>
        <v>0</v>
      </c>
      <c r="M36" s="40" t="n">
        <f aca="false">(SUMPRODUCT($C$20:$I$20,LEN($Q$100:$W$100))+(SUMPRODUCT($C$20:$I$20,LEN($Q$100:$W$100))-$X$100+$Y$100)+SUMIFS('Vols additionnels'!$E$7:$E$66,'Vols additionnels'!$C$7:$C$66,$B36,'Vols additionnels'!$D$7:$D$66,"787",'Vols additionnels'!$B$7:$B$66,"&gt;="&amp;$O$4,'Vols additionnels'!$B$7:$B$66,"&lt;="&amp;$O$5)+SUMIFS('Vols additionnels'!$E$7:$E$66,'Vols additionnels'!$C$7:$C$66,$B36,'Vols additionnels'!$D$7:$D$66,"787",'Vols additionnels'!$I$7:$I$66,"&gt;="&amp;$O$4,'Vols additionnels'!$I$7:$I$66,"&lt;="&amp;$O$5))/2</f>
        <v>0</v>
      </c>
      <c r="N36" s="40" t="n">
        <f aca="false">(SUMPRODUCT($C$20:$I$20,LEN($Q$101:$W$101))+(SUMPRODUCT($C$20:$I$20,LEN($Q$101:$W$101))-$X$101+$Y$101)+SUMIFS('Vols additionnels'!$E$7:$E$66,'Vols additionnels'!$C$7:$C$66,$B36,'Vols additionnels'!$D$7:$D$66,"A320",'Vols additionnels'!$B$7:$B$66,"&gt;="&amp;$O$4,'Vols additionnels'!$B$7:$B$66,"&lt;="&amp;$O$5)+SUMIFS('Vols additionnels'!$E$7:$E$66,'Vols additionnels'!$C$7:$C$66,$B36,'Vols additionnels'!$D$7:$D$66,"A320",'Vols additionnels'!$I$7:$I$66,"&gt;="&amp;$O$4,'Vols additionnels'!$I$7:$I$66,"&lt;="&amp;$O$5))/2</f>
        <v>8</v>
      </c>
      <c r="P36" s="28" t="s">
        <v>106</v>
      </c>
      <c r="Q36" s="34" t="str">
        <f aca="false">IF(C9="","",LEN(IF(C9-1&lt;$O$4,W$22,W$19))-LEN(SUBSTITUTE(IF(C9-1&lt;$O$4,W$22,W$19),"1",""))+LEN(IF(C9-2&lt;$O$4,V$22,V$19))-LEN(SUBSTITUTE(IF(C9-2&lt;$O$4,V$22,V$19),"2",""))+LEN(IF(C9-3&lt;$O$4,U$22,U$19))-LEN(SUBSTITUTE(IF(C9-3&lt;$O$4,U$22,U$19),"3","")))</f>
        <v/>
      </c>
      <c r="R36" s="34" t="str">
        <f aca="false">IF(D9="","",LEN(IF(D9-1&lt;$O$4,Q$22,Q$19))-LEN(SUBSTITUTE(IF(D9-1&lt;$O$4,Q$22,Q$19),"1",""))+LEN(IF(D9-2&lt;$O$4,W$22,W$19))-LEN(SUBSTITUTE(IF(D9-2&lt;$O$4,W$22,W$19),"2",""))+LEN(IF(D9-3&lt;$O$4,V$22,V$19))-LEN(SUBSTITUTE(IF(D9-3&lt;$O$4,V$22,V$19),"3","")))</f>
        <v/>
      </c>
      <c r="S36" s="34" t="str">
        <f aca="false">IF(E9="","",LEN(IF(E9-1&lt;$O$4,R$22,R$19))-LEN(SUBSTITUTE(IF(E9-1&lt;$O$4,R$22,R$19),"1",""))+LEN(IF(E9-2&lt;$O$4,Q$22,Q$19))-LEN(SUBSTITUTE(IF(E9-2&lt;$O$4,Q$22,Q$19),"2",""))+LEN(IF(E9-3&lt;$O$4,W$22,W$19))-LEN(SUBSTITUTE(IF(E9-3&lt;$O$4,W$22,W$19),"3","")))</f>
        <v/>
      </c>
      <c r="T36" s="34" t="n">
        <f aca="false">IF(F9="","",LEN(IF(F9-1&lt;$O$4,S$22,S$19))-LEN(SUBSTITUTE(IF(F9-1&lt;$O$4,S$22,S$19),"1",""))+LEN(IF(F9-2&lt;$O$4,R$22,R$19))-LEN(SUBSTITUTE(IF(F9-2&lt;$O$4,R$22,R$19),"2",""))+LEN(IF(F9-3&lt;$O$4,Q$22,Q$19))-LEN(SUBSTITUTE(IF(F9-3&lt;$O$4,Q$22,Q$19),"3","")))</f>
        <v>0</v>
      </c>
      <c r="U36" s="34" t="n">
        <f aca="false">IF(G9="","",LEN(IF(G9-1&lt;$O$4,T$22,T$19))-LEN(SUBSTITUTE(IF(G9-1&lt;$O$4,T$22,T$19),"1",""))+LEN(IF(G9-2&lt;$O$4,S$22,S$19))-LEN(SUBSTITUTE(IF(G9-2&lt;$O$4,S$22,S$19),"2",""))+LEN(IF(G9-3&lt;$O$4,R$22,R$19))-LEN(SUBSTITUTE(IF(G9-3&lt;$O$4,R$22,R$19),"3","")))</f>
        <v>0</v>
      </c>
      <c r="V36" s="34" t="n">
        <f aca="false">IF(H9="","",LEN(IF(H9-1&lt;$O$4,U$22,U$19))-LEN(SUBSTITUTE(IF(H9-1&lt;$O$4,U$22,U$19),"1",""))+LEN(IF(H9-2&lt;$O$4,T$22,T$19))-LEN(SUBSTITUTE(IF(H9-2&lt;$O$4,T$22,T$19),"2",""))+LEN(IF(H9-3&lt;$O$4,S$22,S$19))-LEN(SUBSTITUTE(IF(H9-3&lt;$O$4,S$22,S$19),"3","")))</f>
        <v>0</v>
      </c>
      <c r="W36" s="34" t="n">
        <f aca="false">IF(I9="","",LEN(IF(I9-1&lt;$O$4,V$22,V$19))-LEN(SUBSTITUTE(IF(I9-1&lt;$O$4,V$22,V$19),"1",""))+LEN(IF(I9-2&lt;$O$4,U$22,U$19))-LEN(SUBSTITUTE(IF(I9-2&lt;$O$4,U$22,U$19),"2",""))+LEN(IF(I9-3&lt;$O$4,T$22,T$19))-LEN(SUBSTITUTE(IF(I9-3&lt;$O$4,T$22,T$19),"3","")))</f>
        <v>0</v>
      </c>
    </row>
    <row r="37" customFormat="false" ht="15" hidden="false" customHeight="false" outlineLevel="0" collapsed="false">
      <c r="B37" s="41" t="s">
        <v>107</v>
      </c>
      <c r="C37" s="42"/>
      <c r="D37" s="42"/>
      <c r="E37" s="43" t="n">
        <f aca="false">SUM(E25:E36)</f>
        <v>46</v>
      </c>
      <c r="F37" s="43" t="n">
        <f aca="false">$C$21</f>
        <v>5</v>
      </c>
      <c r="G37" s="44" t="n">
        <f aca="false">SUM(G25:G36)</f>
        <v>196.5</v>
      </c>
      <c r="H37" s="43" t="n">
        <f aca="false">SUM(H25:H36)</f>
        <v>198</v>
      </c>
      <c r="I37" s="43" t="n">
        <f aca="false">SUM(I25:I36)</f>
        <v>195</v>
      </c>
      <c r="J37" s="45" t="n">
        <f aca="false">SUM(J25:J36)</f>
        <v>196.5</v>
      </c>
      <c r="K37" s="45" t="n">
        <f aca="false">SUM(K25:K36)</f>
        <v>0</v>
      </c>
      <c r="L37" s="45" t="n">
        <f aca="false">SUM(L25:L36)</f>
        <v>33.5</v>
      </c>
      <c r="M37" s="45" t="n">
        <f aca="false">SUM(M25:M36)</f>
        <v>43</v>
      </c>
      <c r="N37" s="45" t="n">
        <f aca="false">SUM(N25:N36)</f>
        <v>120</v>
      </c>
      <c r="P37" s="28" t="s">
        <v>108</v>
      </c>
      <c r="Q37" s="34" t="n">
        <f aca="false">IF(C11="","",LEN(IF(C11-1&lt;$O$4,W$22,W$19))-LEN(SUBSTITUTE(IF(C11-1&lt;$O$4,W$22,W$19),"1",""))+LEN(IF(C11-2&lt;$O$4,V$22,V$19))-LEN(SUBSTITUTE(IF(C11-2&lt;$O$4,V$22,V$19),"2",""))+LEN(IF(C11-3&lt;$O$4,U$22,U$19))-LEN(SUBSTITUTE(IF(C11-3&lt;$O$4,U$22,U$19),"3","")))</f>
        <v>0</v>
      </c>
      <c r="R37" s="34" t="n">
        <f aca="false">IF(D11="","",LEN(IF(D11-1&lt;$O$4,Q$22,Q$19))-LEN(SUBSTITUTE(IF(D11-1&lt;$O$4,Q$22,Q$19),"1",""))+LEN(IF(D11-2&lt;$O$4,W$22,W$19))-LEN(SUBSTITUTE(IF(D11-2&lt;$O$4,W$22,W$19),"2",""))+LEN(IF(D11-3&lt;$O$4,V$22,V$19))-LEN(SUBSTITUTE(IF(D11-3&lt;$O$4,V$22,V$19),"3","")))</f>
        <v>0</v>
      </c>
      <c r="S37" s="34" t="n">
        <f aca="false">IF(E11="","",LEN(IF(E11-1&lt;$O$4,R$22,R$19))-LEN(SUBSTITUTE(IF(E11-1&lt;$O$4,R$22,R$19),"1",""))+LEN(IF(E11-2&lt;$O$4,Q$22,Q$19))-LEN(SUBSTITUTE(IF(E11-2&lt;$O$4,Q$22,Q$19),"2",""))+LEN(IF(E11-3&lt;$O$4,W$22,W$19))-LEN(SUBSTITUTE(IF(E11-3&lt;$O$4,W$22,W$19),"3","")))</f>
        <v>0</v>
      </c>
      <c r="T37" s="34" t="n">
        <f aca="false">IF(F11="","",LEN(IF(F11-1&lt;$O$4,S$22,S$19))-LEN(SUBSTITUTE(IF(F11-1&lt;$O$4,S$22,S$19),"1",""))+LEN(IF(F11-2&lt;$O$4,R$22,R$19))-LEN(SUBSTITUTE(IF(F11-2&lt;$O$4,R$22,R$19),"2",""))+LEN(IF(F11-3&lt;$O$4,Q$22,Q$19))-LEN(SUBSTITUTE(IF(F11-3&lt;$O$4,Q$22,Q$19),"3","")))</f>
        <v>0</v>
      </c>
      <c r="U37" s="34" t="n">
        <f aca="false">IF(G11="","",LEN(IF(G11-1&lt;$O$4,T$22,T$19))-LEN(SUBSTITUTE(IF(G11-1&lt;$O$4,T$22,T$19),"1",""))+LEN(IF(G11-2&lt;$O$4,S$22,S$19))-LEN(SUBSTITUTE(IF(G11-2&lt;$O$4,S$22,S$19),"2",""))+LEN(IF(G11-3&lt;$O$4,R$22,R$19))-LEN(SUBSTITUTE(IF(G11-3&lt;$O$4,R$22,R$19),"3","")))</f>
        <v>0</v>
      </c>
      <c r="V37" s="34" t="n">
        <f aca="false">IF(H11="","",LEN(IF(H11-1&lt;$O$4,U$22,U$19))-LEN(SUBSTITUTE(IF(H11-1&lt;$O$4,U$22,U$19),"1",""))+LEN(IF(H11-2&lt;$O$4,T$22,T$19))-LEN(SUBSTITUTE(IF(H11-2&lt;$O$4,T$22,T$19),"2",""))+LEN(IF(H11-3&lt;$O$4,S$22,S$19))-LEN(SUBSTITUTE(IF(H11-3&lt;$O$4,S$22,S$19),"3","")))</f>
        <v>0</v>
      </c>
      <c r="W37" s="34" t="n">
        <f aca="false">IF(I11="","",LEN(IF(I11-1&lt;$O$4,V$22,V$19))-LEN(SUBSTITUTE(IF(I11-1&lt;$O$4,V$22,V$19),"1",""))+LEN(IF(I11-2&lt;$O$4,U$22,U$19))-LEN(SUBSTITUTE(IF(I11-2&lt;$O$4,U$22,U$19),"2",""))+LEN(IF(I11-3&lt;$O$4,T$22,T$19))-LEN(SUBSTITUTE(IF(I11-3&lt;$O$4,T$22,T$19),"3","")))</f>
        <v>0</v>
      </c>
    </row>
    <row r="38" customFormat="false" ht="15" hidden="false" customHeight="true" outlineLevel="0" collapsed="false">
      <c r="B38" s="46" t="s">
        <v>109</v>
      </c>
      <c r="C38" s="46"/>
      <c r="D38" s="46"/>
      <c r="E38" s="46"/>
      <c r="F38" s="46"/>
      <c r="G38" s="46"/>
      <c r="H38" s="46"/>
      <c r="I38" s="46"/>
      <c r="J38" s="46"/>
      <c r="K38" s="46"/>
      <c r="L38" s="46"/>
      <c r="M38" s="46"/>
      <c r="N38" s="46"/>
      <c r="P38" s="28" t="s">
        <v>110</v>
      </c>
      <c r="Q38" s="34" t="n">
        <f aca="false">IF(C13="","",LEN(IF(C13-1&lt;$O$4,W$22,W$19))-LEN(SUBSTITUTE(IF(C13-1&lt;$O$4,W$22,W$19),"1",""))+LEN(IF(C13-2&lt;$O$4,V$22,V$19))-LEN(SUBSTITUTE(IF(C13-2&lt;$O$4,V$22,V$19),"2",""))+LEN(IF(C13-3&lt;$O$4,U$22,U$19))-LEN(SUBSTITUTE(IF(C13-3&lt;$O$4,U$22,U$19),"3","")))</f>
        <v>0</v>
      </c>
      <c r="R38" s="34" t="n">
        <f aca="false">IF(D13="","",LEN(IF(D13-1&lt;$O$4,Q$22,Q$19))-LEN(SUBSTITUTE(IF(D13-1&lt;$O$4,Q$22,Q$19),"1",""))+LEN(IF(D13-2&lt;$O$4,W$22,W$19))-LEN(SUBSTITUTE(IF(D13-2&lt;$O$4,W$22,W$19),"2",""))+LEN(IF(D13-3&lt;$O$4,V$22,V$19))-LEN(SUBSTITUTE(IF(D13-3&lt;$O$4,V$22,V$19),"3","")))</f>
        <v>0</v>
      </c>
      <c r="S38" s="34" t="n">
        <f aca="false">IF(E13="","",LEN(IF(E13-1&lt;$O$4,R$22,R$19))-LEN(SUBSTITUTE(IF(E13-1&lt;$O$4,R$22,R$19),"1",""))+LEN(IF(E13-2&lt;$O$4,Q$22,Q$19))-LEN(SUBSTITUTE(IF(E13-2&lt;$O$4,Q$22,Q$19),"2",""))+LEN(IF(E13-3&lt;$O$4,W$22,W$19))-LEN(SUBSTITUTE(IF(E13-3&lt;$O$4,W$22,W$19),"3","")))</f>
        <v>0</v>
      </c>
      <c r="T38" s="34" t="n">
        <f aca="false">IF(F13="","",LEN(IF(F13-1&lt;$O$4,S$22,S$19))-LEN(SUBSTITUTE(IF(F13-1&lt;$O$4,S$22,S$19),"1",""))+LEN(IF(F13-2&lt;$O$4,R$22,R$19))-LEN(SUBSTITUTE(IF(F13-2&lt;$O$4,R$22,R$19),"2",""))+LEN(IF(F13-3&lt;$O$4,Q$22,Q$19))-LEN(SUBSTITUTE(IF(F13-3&lt;$O$4,Q$22,Q$19),"3","")))</f>
        <v>0</v>
      </c>
      <c r="U38" s="34" t="n">
        <f aca="false">IF(G13="","",LEN(IF(G13-1&lt;$O$4,T$22,T$19))-LEN(SUBSTITUTE(IF(G13-1&lt;$O$4,T$22,T$19),"1",""))+LEN(IF(G13-2&lt;$O$4,S$22,S$19))-LEN(SUBSTITUTE(IF(G13-2&lt;$O$4,S$22,S$19),"2",""))+LEN(IF(G13-3&lt;$O$4,R$22,R$19))-LEN(SUBSTITUTE(IF(G13-3&lt;$O$4,R$22,R$19),"3","")))</f>
        <v>0</v>
      </c>
      <c r="V38" s="34" t="n">
        <f aca="false">IF(H13="","",LEN(IF(H13-1&lt;$O$4,U$22,U$19))-LEN(SUBSTITUTE(IF(H13-1&lt;$O$4,U$22,U$19),"1",""))+LEN(IF(H13-2&lt;$O$4,T$22,T$19))-LEN(SUBSTITUTE(IF(H13-2&lt;$O$4,T$22,T$19),"2",""))+LEN(IF(H13-3&lt;$O$4,S$22,S$19))-LEN(SUBSTITUTE(IF(H13-3&lt;$O$4,S$22,S$19),"3","")))</f>
        <v>0</v>
      </c>
      <c r="W38" s="34" t="n">
        <f aca="false">IF(I13="","",LEN(IF(I13-1&lt;$O$4,V$22,V$19))-LEN(SUBSTITUTE(IF(I13-1&lt;$O$4,V$22,V$19),"1",""))+LEN(IF(I13-2&lt;$O$4,U$22,U$19))-LEN(SUBSTITUTE(IF(I13-2&lt;$O$4,U$22,U$19),"2",""))+LEN(IF(I13-3&lt;$O$4,T$22,T$19))-LEN(SUBSTITUTE(IF(I13-3&lt;$O$4,T$22,T$19),"3","")))</f>
        <v>0</v>
      </c>
    </row>
    <row r="39" customFormat="false" ht="15" hidden="false" customHeight="false" outlineLevel="0" collapsed="false">
      <c r="B39" s="46"/>
      <c r="C39" s="46"/>
      <c r="D39" s="46"/>
      <c r="E39" s="46"/>
      <c r="F39" s="46"/>
      <c r="G39" s="46"/>
      <c r="H39" s="46"/>
      <c r="I39" s="46"/>
      <c r="J39" s="46"/>
      <c r="K39" s="46"/>
      <c r="L39" s="46"/>
      <c r="M39" s="46"/>
      <c r="N39" s="46"/>
      <c r="P39" s="28" t="s">
        <v>111</v>
      </c>
      <c r="Q39" s="34" t="n">
        <f aca="false">IF(C15="","",LEN(IF(C15-1&lt;$O$4,W$22,W$19))-LEN(SUBSTITUTE(IF(C15-1&lt;$O$4,W$22,W$19),"1",""))+LEN(IF(C15-2&lt;$O$4,V$22,V$19))-LEN(SUBSTITUTE(IF(C15-2&lt;$O$4,V$22,V$19),"2",""))+LEN(IF(C15-3&lt;$O$4,U$22,U$19))-LEN(SUBSTITUTE(IF(C15-3&lt;$O$4,U$22,U$19),"3","")))</f>
        <v>0</v>
      </c>
      <c r="R39" s="34" t="n">
        <f aca="false">IF(D15="","",LEN(IF(D15-1&lt;$O$4,Q$22,Q$19))-LEN(SUBSTITUTE(IF(D15-1&lt;$O$4,Q$22,Q$19),"1",""))+LEN(IF(D15-2&lt;$O$4,W$22,W$19))-LEN(SUBSTITUTE(IF(D15-2&lt;$O$4,W$22,W$19),"2",""))+LEN(IF(D15-3&lt;$O$4,V$22,V$19))-LEN(SUBSTITUTE(IF(D15-3&lt;$O$4,V$22,V$19),"3","")))</f>
        <v>0</v>
      </c>
      <c r="S39" s="34" t="n">
        <f aca="false">IF(E15="","",LEN(IF(E15-1&lt;$O$4,R$22,R$19))-LEN(SUBSTITUTE(IF(E15-1&lt;$O$4,R$22,R$19),"1",""))+LEN(IF(E15-2&lt;$O$4,Q$22,Q$19))-LEN(SUBSTITUTE(IF(E15-2&lt;$O$4,Q$22,Q$19),"2",""))+LEN(IF(E15-3&lt;$O$4,W$22,W$19))-LEN(SUBSTITUTE(IF(E15-3&lt;$O$4,W$22,W$19),"3","")))</f>
        <v>0</v>
      </c>
      <c r="T39" s="34" t="n">
        <f aca="false">IF(F15="","",LEN(IF(F15-1&lt;$O$4,S$22,S$19))-LEN(SUBSTITUTE(IF(F15-1&lt;$O$4,S$22,S$19),"1",""))+LEN(IF(F15-2&lt;$O$4,R$22,R$19))-LEN(SUBSTITUTE(IF(F15-2&lt;$O$4,R$22,R$19),"2",""))+LEN(IF(F15-3&lt;$O$4,Q$22,Q$19))-LEN(SUBSTITUTE(IF(F15-3&lt;$O$4,Q$22,Q$19),"3","")))</f>
        <v>0</v>
      </c>
      <c r="U39" s="34" t="n">
        <f aca="false">IF(G15="","",LEN(IF(G15-1&lt;$O$4,T$22,T$19))-LEN(SUBSTITUTE(IF(G15-1&lt;$O$4,T$22,T$19),"1",""))+LEN(IF(G15-2&lt;$O$4,S$22,S$19))-LEN(SUBSTITUTE(IF(G15-2&lt;$O$4,S$22,S$19),"2",""))+LEN(IF(G15-3&lt;$O$4,R$22,R$19))-LEN(SUBSTITUTE(IF(G15-3&lt;$O$4,R$22,R$19),"3","")))</f>
        <v>0</v>
      </c>
      <c r="V39" s="34" t="n">
        <f aca="false">IF(H15="","",LEN(IF(H15-1&lt;$O$4,U$22,U$19))-LEN(SUBSTITUTE(IF(H15-1&lt;$O$4,U$22,U$19),"1",""))+LEN(IF(H15-2&lt;$O$4,T$22,T$19))-LEN(SUBSTITUTE(IF(H15-2&lt;$O$4,T$22,T$19),"2",""))+LEN(IF(H15-3&lt;$O$4,S$22,S$19))-LEN(SUBSTITUTE(IF(H15-3&lt;$O$4,S$22,S$19),"3","")))</f>
        <v>0</v>
      </c>
      <c r="W39" s="34" t="n">
        <f aca="false">IF(I15="","",LEN(IF(I15-1&lt;$O$4,V$22,V$19))-LEN(SUBSTITUTE(IF(I15-1&lt;$O$4,V$22,V$19),"1",""))+LEN(IF(I15-2&lt;$O$4,U$22,U$19))-LEN(SUBSTITUTE(IF(I15-2&lt;$O$4,U$22,U$19),"2",""))+LEN(IF(I15-3&lt;$O$4,T$22,T$19))-LEN(SUBSTITUTE(IF(I15-3&lt;$O$4,T$22,T$19),"3","")))</f>
        <v>0</v>
      </c>
    </row>
    <row r="40" customFormat="false" ht="15" hidden="false" customHeight="false" outlineLevel="0" collapsed="false">
      <c r="P40" s="28" t="s">
        <v>112</v>
      </c>
      <c r="Q40" s="34" t="n">
        <f aca="false">IF(C17="","",LEN(IF(C17-1&lt;$O$4,W$22,W$19))-LEN(SUBSTITUTE(IF(C17-1&lt;$O$4,W$22,W$19),"1",""))+LEN(IF(C17-2&lt;$O$4,V$22,V$19))-LEN(SUBSTITUTE(IF(C17-2&lt;$O$4,V$22,V$19),"2",""))+LEN(IF(C17-3&lt;$O$4,U$22,U$19))-LEN(SUBSTITUTE(IF(C17-3&lt;$O$4,U$22,U$19),"3","")))</f>
        <v>0</v>
      </c>
      <c r="R40" s="34" t="n">
        <f aca="false">IF(D17="","",LEN(IF(D17-1&lt;$O$4,Q$22,Q$19))-LEN(SUBSTITUTE(IF(D17-1&lt;$O$4,Q$22,Q$19),"1",""))+LEN(IF(D17-2&lt;$O$4,W$22,W$19))-LEN(SUBSTITUTE(IF(D17-2&lt;$O$4,W$22,W$19),"2",""))+LEN(IF(D17-3&lt;$O$4,V$22,V$19))-LEN(SUBSTITUTE(IF(D17-3&lt;$O$4,V$22,V$19),"3","")))</f>
        <v>0</v>
      </c>
      <c r="S40" s="34" t="n">
        <f aca="false">IF(E17="","",LEN(IF(E17-1&lt;$O$4,R$22,R$19))-LEN(SUBSTITUTE(IF(E17-1&lt;$O$4,R$22,R$19),"1",""))+LEN(IF(E17-2&lt;$O$4,Q$22,Q$19))-LEN(SUBSTITUTE(IF(E17-2&lt;$O$4,Q$22,Q$19),"2",""))+LEN(IF(E17-3&lt;$O$4,W$22,W$19))-LEN(SUBSTITUTE(IF(E17-3&lt;$O$4,W$22,W$19),"3","")))</f>
        <v>0</v>
      </c>
      <c r="T40" s="34" t="n">
        <f aca="false">IF(F17="","",LEN(IF(F17-1&lt;$O$4,S$22,S$19))-LEN(SUBSTITUTE(IF(F17-1&lt;$O$4,S$22,S$19),"1",""))+LEN(IF(F17-2&lt;$O$4,R$22,R$19))-LEN(SUBSTITUTE(IF(F17-2&lt;$O$4,R$22,R$19),"2",""))+LEN(IF(F17-3&lt;$O$4,Q$22,Q$19))-LEN(SUBSTITUTE(IF(F17-3&lt;$O$4,Q$22,Q$19),"3","")))</f>
        <v>0</v>
      </c>
      <c r="U40" s="34" t="n">
        <f aca="false">IF(G17="","",LEN(IF(G17-1&lt;$O$4,T$22,T$19))-LEN(SUBSTITUTE(IF(G17-1&lt;$O$4,T$22,T$19),"1",""))+LEN(IF(G17-2&lt;$O$4,S$22,S$19))-LEN(SUBSTITUTE(IF(G17-2&lt;$O$4,S$22,S$19),"2",""))+LEN(IF(G17-3&lt;$O$4,R$22,R$19))-LEN(SUBSTITUTE(IF(G17-3&lt;$O$4,R$22,R$19),"3","")))</f>
        <v>0</v>
      </c>
      <c r="V40" s="34" t="str">
        <f aca="false">IF(H17="","",LEN(IF(H17-1&lt;$O$4,U$22,U$19))-LEN(SUBSTITUTE(IF(H17-1&lt;$O$4,U$22,U$19),"1",""))+LEN(IF(H17-2&lt;$O$4,T$22,T$19))-LEN(SUBSTITUTE(IF(H17-2&lt;$O$4,T$22,T$19),"2",""))+LEN(IF(H17-3&lt;$O$4,S$22,S$19))-LEN(SUBSTITUTE(IF(H17-3&lt;$O$4,S$22,S$19),"3","")))</f>
        <v/>
      </c>
      <c r="W40" s="34" t="str">
        <f aca="false">IF(I17="","",LEN(IF(I17-1&lt;$O$4,V$22,V$19))-LEN(SUBSTITUTE(IF(I17-1&lt;$O$4,V$22,V$19),"1",""))+LEN(IF(I17-2&lt;$O$4,U$22,U$19))-LEN(SUBSTITUTE(IF(I17-2&lt;$O$4,U$22,U$19),"2",""))+LEN(IF(I17-3&lt;$O$4,T$22,T$19))-LEN(SUBSTITUTE(IF(I17-3&lt;$O$4,T$22,T$19),"3","")))</f>
        <v/>
      </c>
    </row>
    <row r="41" customFormat="false" ht="15" hidden="false" customHeight="false" outlineLevel="0" collapsed="false">
      <c r="P41" s="28" t="s">
        <v>113</v>
      </c>
      <c r="Q41" s="34" t="str">
        <f aca="false">IF(C19="","",LEN(IF(C19-1&lt;$O$4,W$22,W$19))-LEN(SUBSTITUTE(IF(C19-1&lt;$O$4,W$22,W$19),"1",""))+LEN(IF(C19-2&lt;$O$4,V$22,V$19))-LEN(SUBSTITUTE(IF(C19-2&lt;$O$4,V$22,V$19),"2",""))+LEN(IF(C19-3&lt;$O$4,U$22,U$19))-LEN(SUBSTITUTE(IF(C19-3&lt;$O$4,U$22,U$19),"3","")))</f>
        <v/>
      </c>
      <c r="R41" s="34" t="str">
        <f aca="false">IF(D19="","",LEN(IF(D19-1&lt;$O$4,Q$22,Q$19))-LEN(SUBSTITUTE(IF(D19-1&lt;$O$4,Q$22,Q$19),"1",""))+LEN(IF(D19-2&lt;$O$4,W$22,W$19))-LEN(SUBSTITUTE(IF(D19-2&lt;$O$4,W$22,W$19),"2",""))+LEN(IF(D19-3&lt;$O$4,V$22,V$19))-LEN(SUBSTITUTE(IF(D19-3&lt;$O$4,V$22,V$19),"3","")))</f>
        <v/>
      </c>
      <c r="S41" s="34" t="str">
        <f aca="false">IF(E19="","",LEN(IF(E19-1&lt;$O$4,R$22,R$19))-LEN(SUBSTITUTE(IF(E19-1&lt;$O$4,R$22,R$19),"1",""))+LEN(IF(E19-2&lt;$O$4,Q$22,Q$19))-LEN(SUBSTITUTE(IF(E19-2&lt;$O$4,Q$22,Q$19),"2",""))+LEN(IF(E19-3&lt;$O$4,W$22,W$19))-LEN(SUBSTITUTE(IF(E19-3&lt;$O$4,W$22,W$19),"3","")))</f>
        <v/>
      </c>
      <c r="T41" s="34" t="str">
        <f aca="false">IF(F19="","",LEN(IF(F19-1&lt;$O$4,S$22,S$19))-LEN(SUBSTITUTE(IF(F19-1&lt;$O$4,S$22,S$19),"1",""))+LEN(IF(F19-2&lt;$O$4,R$22,R$19))-LEN(SUBSTITUTE(IF(F19-2&lt;$O$4,R$22,R$19),"2",""))+LEN(IF(F19-3&lt;$O$4,Q$22,Q$19))-LEN(SUBSTITUTE(IF(F19-3&lt;$O$4,Q$22,Q$19),"3","")))</f>
        <v/>
      </c>
      <c r="U41" s="34" t="str">
        <f aca="false">IF(G19="","",LEN(IF(G19-1&lt;$O$4,T$22,T$19))-LEN(SUBSTITUTE(IF(G19-1&lt;$O$4,T$22,T$19),"1",""))+LEN(IF(G19-2&lt;$O$4,S$22,S$19))-LEN(SUBSTITUTE(IF(G19-2&lt;$O$4,S$22,S$19),"2",""))+LEN(IF(G19-3&lt;$O$4,R$22,R$19))-LEN(SUBSTITUTE(IF(G19-3&lt;$O$4,R$22,R$19),"3","")))</f>
        <v/>
      </c>
      <c r="V41" s="34" t="str">
        <f aca="false">IF(H19="","",LEN(IF(H19-1&lt;$O$4,U$22,U$19))-LEN(SUBSTITUTE(IF(H19-1&lt;$O$4,U$22,U$19),"1",""))+LEN(IF(H19-2&lt;$O$4,T$22,T$19))-LEN(SUBSTITUTE(IF(H19-2&lt;$O$4,T$22,T$19),"2",""))+LEN(IF(H19-3&lt;$O$4,S$22,S$19))-LEN(SUBSTITUTE(IF(H19-3&lt;$O$4,S$22,S$19),"3","")))</f>
        <v/>
      </c>
      <c r="W41" s="34" t="str">
        <f aca="false">IF(I19="","",LEN(IF(I19-1&lt;$O$4,V$22,V$19))-LEN(SUBSTITUTE(IF(I19-1&lt;$O$4,V$22,V$19),"1",""))+LEN(IF(I19-2&lt;$O$4,U$22,U$19))-LEN(SUBSTITUTE(IF(I19-2&lt;$O$4,U$22,U$19),"2",""))+LEN(IF(I19-3&lt;$O$4,T$22,T$19))-LEN(SUBSTITUTE(IF(I19-3&lt;$O$4,T$22,T$19),"3","")))</f>
        <v/>
      </c>
    </row>
    <row r="42" customFormat="false" ht="15" hidden="false" customHeight="false" outlineLevel="0" collapsed="false">
      <c r="P42" s="28" t="s">
        <v>114</v>
      </c>
      <c r="Q42" s="34" t="str">
        <f aca="false">IF(C9="","",LEN(IF(C9-1&lt;$O$4,W$23,W$20))-LEN(SUBSTITUTE(IF(C9-1&lt;$O$4,W$23,W$20),"1",""))+LEN(IF(C9-2&lt;$O$4,V$23,V$20))-LEN(SUBSTITUTE(IF(C9-2&lt;$O$4,V$23,V$20),"2",""))+LEN(IF(C9-3&lt;$O$4,U$23,U$20))-LEN(SUBSTITUTE(IF(C9-3&lt;$O$4,U$23,U$20),"3","")))</f>
        <v/>
      </c>
      <c r="R42" s="34" t="str">
        <f aca="false">IF(D9="","",LEN(IF(D9-1&lt;$O$4,Q$23,Q$20))-LEN(SUBSTITUTE(IF(D9-1&lt;$O$4,Q$23,Q$20),"1",""))+LEN(IF(D9-2&lt;$O$4,W$23,W$20))-LEN(SUBSTITUTE(IF(D9-2&lt;$O$4,W$23,W$20),"2",""))+LEN(IF(D9-3&lt;$O$4,V$23,V$20))-LEN(SUBSTITUTE(IF(D9-3&lt;$O$4,V$23,V$20),"3","")))</f>
        <v/>
      </c>
      <c r="S42" s="34" t="str">
        <f aca="false">IF(E9="","",LEN(IF(E9-1&lt;$O$4,R$23,R$20))-LEN(SUBSTITUTE(IF(E9-1&lt;$O$4,R$23,R$20),"1",""))+LEN(IF(E9-2&lt;$O$4,Q$23,Q$20))-LEN(SUBSTITUTE(IF(E9-2&lt;$O$4,Q$23,Q$20),"2",""))+LEN(IF(E9-3&lt;$O$4,W$23,W$20))-LEN(SUBSTITUTE(IF(E9-3&lt;$O$4,W$23,W$20),"3","")))</f>
        <v/>
      </c>
      <c r="T42" s="34" t="n">
        <f aca="false">IF(F9="","",LEN(IF(F9-1&lt;$O$4,S$23,S$20))-LEN(SUBSTITUTE(IF(F9-1&lt;$O$4,S$23,S$20),"1",""))+LEN(IF(F9-2&lt;$O$4,R$23,R$20))-LEN(SUBSTITUTE(IF(F9-2&lt;$O$4,R$23,R$20),"2",""))+LEN(IF(F9-3&lt;$O$4,Q$23,Q$20))-LEN(SUBSTITUTE(IF(F9-3&lt;$O$4,Q$23,Q$20),"3","")))</f>
        <v>0</v>
      </c>
      <c r="U42" s="34" t="n">
        <f aca="false">IF(G9="","",LEN(IF(G9-1&lt;$O$4,T$23,T$20))-LEN(SUBSTITUTE(IF(G9-1&lt;$O$4,T$23,T$20),"1",""))+LEN(IF(G9-2&lt;$O$4,S$23,S$20))-LEN(SUBSTITUTE(IF(G9-2&lt;$O$4,S$23,S$20),"2",""))+LEN(IF(G9-3&lt;$O$4,R$23,R$20))-LEN(SUBSTITUTE(IF(G9-3&lt;$O$4,R$23,R$20),"3","")))</f>
        <v>0</v>
      </c>
      <c r="V42" s="34" t="n">
        <f aca="false">IF(H9="","",LEN(IF(H9-1&lt;$O$4,U$23,U$20))-LEN(SUBSTITUTE(IF(H9-1&lt;$O$4,U$23,U$20),"1",""))+LEN(IF(H9-2&lt;$O$4,T$23,T$20))-LEN(SUBSTITUTE(IF(H9-2&lt;$O$4,T$23,T$20),"2",""))+LEN(IF(H9-3&lt;$O$4,S$23,S$20))-LEN(SUBSTITUTE(IF(H9-3&lt;$O$4,S$23,S$20),"3","")))</f>
        <v>0</v>
      </c>
      <c r="W42" s="34" t="n">
        <f aca="false">IF(I9="","",LEN(IF(I9-1&lt;$O$4,V$23,V$20))-LEN(SUBSTITUTE(IF(I9-1&lt;$O$4,V$23,V$20),"1",""))+LEN(IF(I9-2&lt;$O$4,U$23,U$20))-LEN(SUBSTITUTE(IF(I9-2&lt;$O$4,U$23,U$20),"2",""))+LEN(IF(I9-3&lt;$O$4,T$23,T$20))-LEN(SUBSTITUTE(IF(I9-3&lt;$O$4,T$23,T$20),"3","")))</f>
        <v>0</v>
      </c>
    </row>
    <row r="43" customFormat="false" ht="15" hidden="false" customHeight="false" outlineLevel="0" collapsed="false">
      <c r="P43" s="28" t="s">
        <v>115</v>
      </c>
      <c r="Q43" s="34" t="n">
        <f aca="false">IF(C11="","",LEN(IF(C11-1&lt;$O$4,W$23,W$20))-LEN(SUBSTITUTE(IF(C11-1&lt;$O$4,W$23,W$20),"1",""))+LEN(IF(C11-2&lt;$O$4,V$23,V$20))-LEN(SUBSTITUTE(IF(C11-2&lt;$O$4,V$23,V$20),"2",""))+LEN(IF(C11-3&lt;$O$4,U$23,U$20))-LEN(SUBSTITUTE(IF(C11-3&lt;$O$4,U$23,U$20),"3","")))</f>
        <v>0</v>
      </c>
      <c r="R43" s="34" t="n">
        <f aca="false">IF(D11="","",LEN(IF(D11-1&lt;$O$4,Q$23,Q$20))-LEN(SUBSTITUTE(IF(D11-1&lt;$O$4,Q$23,Q$20),"1",""))+LEN(IF(D11-2&lt;$O$4,W$23,W$20))-LEN(SUBSTITUTE(IF(D11-2&lt;$O$4,W$23,W$20),"2",""))+LEN(IF(D11-3&lt;$O$4,V$23,V$20))-LEN(SUBSTITUTE(IF(D11-3&lt;$O$4,V$23,V$20),"3","")))</f>
        <v>0</v>
      </c>
      <c r="S43" s="34" t="n">
        <f aca="false">IF(E11="","",LEN(IF(E11-1&lt;$O$4,R$23,R$20))-LEN(SUBSTITUTE(IF(E11-1&lt;$O$4,R$23,R$20),"1",""))+LEN(IF(E11-2&lt;$O$4,Q$23,Q$20))-LEN(SUBSTITUTE(IF(E11-2&lt;$O$4,Q$23,Q$20),"2",""))+LEN(IF(E11-3&lt;$O$4,W$23,W$20))-LEN(SUBSTITUTE(IF(E11-3&lt;$O$4,W$23,W$20),"3","")))</f>
        <v>0</v>
      </c>
      <c r="T43" s="34" t="n">
        <f aca="false">IF(F11="","",LEN(IF(F11-1&lt;$O$4,S$23,S$20))-LEN(SUBSTITUTE(IF(F11-1&lt;$O$4,S$23,S$20),"1",""))+LEN(IF(F11-2&lt;$O$4,R$23,R$20))-LEN(SUBSTITUTE(IF(F11-2&lt;$O$4,R$23,R$20),"2",""))+LEN(IF(F11-3&lt;$O$4,Q$23,Q$20))-LEN(SUBSTITUTE(IF(F11-3&lt;$O$4,Q$23,Q$20),"3","")))</f>
        <v>0</v>
      </c>
      <c r="U43" s="34" t="n">
        <f aca="false">IF(G11="","",LEN(IF(G11-1&lt;$O$4,T$23,T$20))-LEN(SUBSTITUTE(IF(G11-1&lt;$O$4,T$23,T$20),"1",""))+LEN(IF(G11-2&lt;$O$4,S$23,S$20))-LEN(SUBSTITUTE(IF(G11-2&lt;$O$4,S$23,S$20),"2",""))+LEN(IF(G11-3&lt;$O$4,R$23,R$20))-LEN(SUBSTITUTE(IF(G11-3&lt;$O$4,R$23,R$20),"3","")))</f>
        <v>0</v>
      </c>
      <c r="V43" s="34" t="n">
        <f aca="false">IF(H11="","",LEN(IF(H11-1&lt;$O$4,U$23,U$20))-LEN(SUBSTITUTE(IF(H11-1&lt;$O$4,U$23,U$20),"1",""))+LEN(IF(H11-2&lt;$O$4,T$23,T$20))-LEN(SUBSTITUTE(IF(H11-2&lt;$O$4,T$23,T$20),"2",""))+LEN(IF(H11-3&lt;$O$4,S$23,S$20))-LEN(SUBSTITUTE(IF(H11-3&lt;$O$4,S$23,S$20),"3","")))</f>
        <v>0</v>
      </c>
      <c r="W43" s="34" t="n">
        <f aca="false">IF(I11="","",LEN(IF(I11-1&lt;$O$4,V$23,V$20))-LEN(SUBSTITUTE(IF(I11-1&lt;$O$4,V$23,V$20),"1",""))+LEN(IF(I11-2&lt;$O$4,U$23,U$20))-LEN(SUBSTITUTE(IF(I11-2&lt;$O$4,U$23,U$20),"2",""))+LEN(IF(I11-3&lt;$O$4,T$23,T$20))-LEN(SUBSTITUTE(IF(I11-3&lt;$O$4,T$23,T$20),"3","")))</f>
        <v>0</v>
      </c>
    </row>
    <row r="44" customFormat="false" ht="15" hidden="false" customHeight="false" outlineLevel="0" collapsed="false">
      <c r="P44" s="28" t="s">
        <v>116</v>
      </c>
      <c r="Q44" s="34" t="n">
        <f aca="false">IF(C13="","",LEN(IF(C13-1&lt;$O$4,W$23,W$20))-LEN(SUBSTITUTE(IF(C13-1&lt;$O$4,W$23,W$20),"1",""))+LEN(IF(C13-2&lt;$O$4,V$23,V$20))-LEN(SUBSTITUTE(IF(C13-2&lt;$O$4,V$23,V$20),"2",""))+LEN(IF(C13-3&lt;$O$4,U$23,U$20))-LEN(SUBSTITUTE(IF(C13-3&lt;$O$4,U$23,U$20),"3","")))</f>
        <v>0</v>
      </c>
      <c r="R44" s="34" t="n">
        <f aca="false">IF(D13="","",LEN(IF(D13-1&lt;$O$4,Q$23,Q$20))-LEN(SUBSTITUTE(IF(D13-1&lt;$O$4,Q$23,Q$20),"1",""))+LEN(IF(D13-2&lt;$O$4,W$23,W$20))-LEN(SUBSTITUTE(IF(D13-2&lt;$O$4,W$23,W$20),"2",""))+LEN(IF(D13-3&lt;$O$4,V$23,V$20))-LEN(SUBSTITUTE(IF(D13-3&lt;$O$4,V$23,V$20),"3","")))</f>
        <v>0</v>
      </c>
      <c r="S44" s="34" t="n">
        <f aca="false">IF(E13="","",LEN(IF(E13-1&lt;$O$4,R$23,R$20))-LEN(SUBSTITUTE(IF(E13-1&lt;$O$4,R$23,R$20),"1",""))+LEN(IF(E13-2&lt;$O$4,Q$23,Q$20))-LEN(SUBSTITUTE(IF(E13-2&lt;$O$4,Q$23,Q$20),"2",""))+LEN(IF(E13-3&lt;$O$4,W$23,W$20))-LEN(SUBSTITUTE(IF(E13-3&lt;$O$4,W$23,W$20),"3","")))</f>
        <v>0</v>
      </c>
      <c r="T44" s="34" t="n">
        <f aca="false">IF(F13="","",LEN(IF(F13-1&lt;$O$4,S$23,S$20))-LEN(SUBSTITUTE(IF(F13-1&lt;$O$4,S$23,S$20),"1",""))+LEN(IF(F13-2&lt;$O$4,R$23,R$20))-LEN(SUBSTITUTE(IF(F13-2&lt;$O$4,R$23,R$20),"2",""))+LEN(IF(F13-3&lt;$O$4,Q$23,Q$20))-LEN(SUBSTITUTE(IF(F13-3&lt;$O$4,Q$23,Q$20),"3","")))</f>
        <v>0</v>
      </c>
      <c r="U44" s="34" t="n">
        <f aca="false">IF(G13="","",LEN(IF(G13-1&lt;$O$4,T$23,T$20))-LEN(SUBSTITUTE(IF(G13-1&lt;$O$4,T$23,T$20),"1",""))+LEN(IF(G13-2&lt;$O$4,S$23,S$20))-LEN(SUBSTITUTE(IF(G13-2&lt;$O$4,S$23,S$20),"2",""))+LEN(IF(G13-3&lt;$O$4,R$23,R$20))-LEN(SUBSTITUTE(IF(G13-3&lt;$O$4,R$23,R$20),"3","")))</f>
        <v>0</v>
      </c>
      <c r="V44" s="34" t="n">
        <f aca="false">IF(H13="","",LEN(IF(H13-1&lt;$O$4,U$23,U$20))-LEN(SUBSTITUTE(IF(H13-1&lt;$O$4,U$23,U$20),"1",""))+LEN(IF(H13-2&lt;$O$4,T$23,T$20))-LEN(SUBSTITUTE(IF(H13-2&lt;$O$4,T$23,T$20),"2",""))+LEN(IF(H13-3&lt;$O$4,S$23,S$20))-LEN(SUBSTITUTE(IF(H13-3&lt;$O$4,S$23,S$20),"3","")))</f>
        <v>0</v>
      </c>
      <c r="W44" s="34" t="n">
        <f aca="false">IF(I13="","",LEN(IF(I13-1&lt;$O$4,V$23,V$20))-LEN(SUBSTITUTE(IF(I13-1&lt;$O$4,V$23,V$20),"1",""))+LEN(IF(I13-2&lt;$O$4,U$23,U$20))-LEN(SUBSTITUTE(IF(I13-2&lt;$O$4,U$23,U$20),"2",""))+LEN(IF(I13-3&lt;$O$4,T$23,T$20))-LEN(SUBSTITUTE(IF(I13-3&lt;$O$4,T$23,T$20),"3","")))</f>
        <v>0</v>
      </c>
    </row>
    <row r="45" customFormat="false" ht="15" hidden="false" customHeight="false" outlineLevel="0" collapsed="false">
      <c r="P45" s="28" t="s">
        <v>117</v>
      </c>
      <c r="Q45" s="34" t="n">
        <f aca="false">IF(C15="","",LEN(IF(C15-1&lt;$O$4,W$23,W$20))-LEN(SUBSTITUTE(IF(C15-1&lt;$O$4,W$23,W$20),"1",""))+LEN(IF(C15-2&lt;$O$4,V$23,V$20))-LEN(SUBSTITUTE(IF(C15-2&lt;$O$4,V$23,V$20),"2",""))+LEN(IF(C15-3&lt;$O$4,U$23,U$20))-LEN(SUBSTITUTE(IF(C15-3&lt;$O$4,U$23,U$20),"3","")))</f>
        <v>0</v>
      </c>
      <c r="R45" s="34" t="n">
        <f aca="false">IF(D15="","",LEN(IF(D15-1&lt;$O$4,Q$23,Q$20))-LEN(SUBSTITUTE(IF(D15-1&lt;$O$4,Q$23,Q$20),"1",""))+LEN(IF(D15-2&lt;$O$4,W$23,W$20))-LEN(SUBSTITUTE(IF(D15-2&lt;$O$4,W$23,W$20),"2",""))+LEN(IF(D15-3&lt;$O$4,V$23,V$20))-LEN(SUBSTITUTE(IF(D15-3&lt;$O$4,V$23,V$20),"3","")))</f>
        <v>0</v>
      </c>
      <c r="S45" s="34" t="n">
        <f aca="false">IF(E15="","",LEN(IF(E15-1&lt;$O$4,R$23,R$20))-LEN(SUBSTITUTE(IF(E15-1&lt;$O$4,R$23,R$20),"1",""))+LEN(IF(E15-2&lt;$O$4,Q$23,Q$20))-LEN(SUBSTITUTE(IF(E15-2&lt;$O$4,Q$23,Q$20),"2",""))+LEN(IF(E15-3&lt;$O$4,W$23,W$20))-LEN(SUBSTITUTE(IF(E15-3&lt;$O$4,W$23,W$20),"3","")))</f>
        <v>0</v>
      </c>
      <c r="T45" s="34" t="n">
        <f aca="false">IF(F15="","",LEN(IF(F15-1&lt;$O$4,S$23,S$20))-LEN(SUBSTITUTE(IF(F15-1&lt;$O$4,S$23,S$20),"1",""))+LEN(IF(F15-2&lt;$O$4,R$23,R$20))-LEN(SUBSTITUTE(IF(F15-2&lt;$O$4,R$23,R$20),"2",""))+LEN(IF(F15-3&lt;$O$4,Q$23,Q$20))-LEN(SUBSTITUTE(IF(F15-3&lt;$O$4,Q$23,Q$20),"3","")))</f>
        <v>0</v>
      </c>
      <c r="U45" s="34" t="n">
        <f aca="false">IF(G15="","",LEN(IF(G15-1&lt;$O$4,T$23,T$20))-LEN(SUBSTITUTE(IF(G15-1&lt;$O$4,T$23,T$20),"1",""))+LEN(IF(G15-2&lt;$O$4,S$23,S$20))-LEN(SUBSTITUTE(IF(G15-2&lt;$O$4,S$23,S$20),"2",""))+LEN(IF(G15-3&lt;$O$4,R$23,R$20))-LEN(SUBSTITUTE(IF(G15-3&lt;$O$4,R$23,R$20),"3","")))</f>
        <v>0</v>
      </c>
      <c r="V45" s="34" t="n">
        <f aca="false">IF(H15="","",LEN(IF(H15-1&lt;$O$4,U$23,U$20))-LEN(SUBSTITUTE(IF(H15-1&lt;$O$4,U$23,U$20),"1",""))+LEN(IF(H15-2&lt;$O$4,T$23,T$20))-LEN(SUBSTITUTE(IF(H15-2&lt;$O$4,T$23,T$20),"2",""))+LEN(IF(H15-3&lt;$O$4,S$23,S$20))-LEN(SUBSTITUTE(IF(H15-3&lt;$O$4,S$23,S$20),"3","")))</f>
        <v>0</v>
      </c>
      <c r="W45" s="34" t="n">
        <f aca="false">IF(I15="","",LEN(IF(I15-1&lt;$O$4,V$23,V$20))-LEN(SUBSTITUTE(IF(I15-1&lt;$O$4,V$23,V$20),"1",""))+LEN(IF(I15-2&lt;$O$4,U$23,U$20))-LEN(SUBSTITUTE(IF(I15-2&lt;$O$4,U$23,U$20),"2",""))+LEN(IF(I15-3&lt;$O$4,T$23,T$20))-LEN(SUBSTITUTE(IF(I15-3&lt;$O$4,T$23,T$20),"3","")))</f>
        <v>0</v>
      </c>
    </row>
    <row r="46" customFormat="false" ht="15" hidden="false" customHeight="false" outlineLevel="0" collapsed="false">
      <c r="P46" s="28" t="s">
        <v>118</v>
      </c>
      <c r="Q46" s="34" t="n">
        <f aca="false">IF(C17="","",LEN(IF(C17-1&lt;$O$4,W$23,W$20))-LEN(SUBSTITUTE(IF(C17-1&lt;$O$4,W$23,W$20),"1",""))+LEN(IF(C17-2&lt;$O$4,V$23,V$20))-LEN(SUBSTITUTE(IF(C17-2&lt;$O$4,V$23,V$20),"2",""))+LEN(IF(C17-3&lt;$O$4,U$23,U$20))-LEN(SUBSTITUTE(IF(C17-3&lt;$O$4,U$23,U$20),"3","")))</f>
        <v>0</v>
      </c>
      <c r="R46" s="34" t="n">
        <f aca="false">IF(D17="","",LEN(IF(D17-1&lt;$O$4,Q$23,Q$20))-LEN(SUBSTITUTE(IF(D17-1&lt;$O$4,Q$23,Q$20),"1",""))+LEN(IF(D17-2&lt;$O$4,W$23,W$20))-LEN(SUBSTITUTE(IF(D17-2&lt;$O$4,W$23,W$20),"2",""))+LEN(IF(D17-3&lt;$O$4,V$23,V$20))-LEN(SUBSTITUTE(IF(D17-3&lt;$O$4,V$23,V$20),"3","")))</f>
        <v>0</v>
      </c>
      <c r="S46" s="34" t="n">
        <f aca="false">IF(E17="","",LEN(IF(E17-1&lt;$O$4,R$23,R$20))-LEN(SUBSTITUTE(IF(E17-1&lt;$O$4,R$23,R$20),"1",""))+LEN(IF(E17-2&lt;$O$4,Q$23,Q$20))-LEN(SUBSTITUTE(IF(E17-2&lt;$O$4,Q$23,Q$20),"2",""))+LEN(IF(E17-3&lt;$O$4,W$23,W$20))-LEN(SUBSTITUTE(IF(E17-3&lt;$O$4,W$23,W$20),"3","")))</f>
        <v>0</v>
      </c>
      <c r="T46" s="34" t="n">
        <f aca="false">IF(F17="","",LEN(IF(F17-1&lt;$O$4,S$23,S$20))-LEN(SUBSTITUTE(IF(F17-1&lt;$O$4,S$23,S$20),"1",""))+LEN(IF(F17-2&lt;$O$4,R$23,R$20))-LEN(SUBSTITUTE(IF(F17-2&lt;$O$4,R$23,R$20),"2",""))+LEN(IF(F17-3&lt;$O$4,Q$23,Q$20))-LEN(SUBSTITUTE(IF(F17-3&lt;$O$4,Q$23,Q$20),"3","")))</f>
        <v>0</v>
      </c>
      <c r="U46" s="34" t="n">
        <f aca="false">IF(G17="","",LEN(IF(G17-1&lt;$O$4,T$23,T$20))-LEN(SUBSTITUTE(IF(G17-1&lt;$O$4,T$23,T$20),"1",""))+LEN(IF(G17-2&lt;$O$4,S$23,S$20))-LEN(SUBSTITUTE(IF(G17-2&lt;$O$4,S$23,S$20),"2",""))+LEN(IF(G17-3&lt;$O$4,R$23,R$20))-LEN(SUBSTITUTE(IF(G17-3&lt;$O$4,R$23,R$20),"3","")))</f>
        <v>0</v>
      </c>
      <c r="V46" s="34" t="str">
        <f aca="false">IF(H17="","",LEN(IF(H17-1&lt;$O$4,U$23,U$20))-LEN(SUBSTITUTE(IF(H17-1&lt;$O$4,U$23,U$20),"1",""))+LEN(IF(H17-2&lt;$O$4,T$23,T$20))-LEN(SUBSTITUTE(IF(H17-2&lt;$O$4,T$23,T$20),"2",""))+LEN(IF(H17-3&lt;$O$4,S$23,S$20))-LEN(SUBSTITUTE(IF(H17-3&lt;$O$4,S$23,S$20),"3","")))</f>
        <v/>
      </c>
      <c r="W46" s="34" t="str">
        <f aca="false">IF(I17="","",LEN(IF(I17-1&lt;$O$4,V$23,V$20))-LEN(SUBSTITUTE(IF(I17-1&lt;$O$4,V$23,V$20),"1",""))+LEN(IF(I17-2&lt;$O$4,U$23,U$20))-LEN(SUBSTITUTE(IF(I17-2&lt;$O$4,U$23,U$20),"2",""))+LEN(IF(I17-3&lt;$O$4,T$23,T$20))-LEN(SUBSTITUTE(IF(I17-3&lt;$O$4,T$23,T$20),"3","")))</f>
        <v/>
      </c>
    </row>
    <row r="47" customFormat="false" ht="15" hidden="false" customHeight="false" outlineLevel="0" collapsed="false">
      <c r="P47" s="28" t="s">
        <v>119</v>
      </c>
      <c r="Q47" s="34" t="str">
        <f aca="false">IF(C19="","",LEN(IF(C19-1&lt;$O$4,W$23,W$20))-LEN(SUBSTITUTE(IF(C19-1&lt;$O$4,W$23,W$20),"1",""))+LEN(IF(C19-2&lt;$O$4,V$23,V$20))-LEN(SUBSTITUTE(IF(C19-2&lt;$O$4,V$23,V$20),"2",""))+LEN(IF(C19-3&lt;$O$4,U$23,U$20))-LEN(SUBSTITUTE(IF(C19-3&lt;$O$4,U$23,U$20),"3","")))</f>
        <v/>
      </c>
      <c r="R47" s="34" t="str">
        <f aca="false">IF(D19="","",LEN(IF(D19-1&lt;$O$4,Q$23,Q$20))-LEN(SUBSTITUTE(IF(D19-1&lt;$O$4,Q$23,Q$20),"1",""))+LEN(IF(D19-2&lt;$O$4,W$23,W$20))-LEN(SUBSTITUTE(IF(D19-2&lt;$O$4,W$23,W$20),"2",""))+LEN(IF(D19-3&lt;$O$4,V$23,V$20))-LEN(SUBSTITUTE(IF(D19-3&lt;$O$4,V$23,V$20),"3","")))</f>
        <v/>
      </c>
      <c r="S47" s="34" t="str">
        <f aca="false">IF(E19="","",LEN(IF(E19-1&lt;$O$4,R$23,R$20))-LEN(SUBSTITUTE(IF(E19-1&lt;$O$4,R$23,R$20),"1",""))+LEN(IF(E19-2&lt;$O$4,Q$23,Q$20))-LEN(SUBSTITUTE(IF(E19-2&lt;$O$4,Q$23,Q$20),"2",""))+LEN(IF(E19-3&lt;$O$4,W$23,W$20))-LEN(SUBSTITUTE(IF(E19-3&lt;$O$4,W$23,W$20),"3","")))</f>
        <v/>
      </c>
      <c r="T47" s="34" t="str">
        <f aca="false">IF(F19="","",LEN(IF(F19-1&lt;$O$4,S$23,S$20))-LEN(SUBSTITUTE(IF(F19-1&lt;$O$4,S$23,S$20),"1",""))+LEN(IF(F19-2&lt;$O$4,R$23,R$20))-LEN(SUBSTITUTE(IF(F19-2&lt;$O$4,R$23,R$20),"2",""))+LEN(IF(F19-3&lt;$O$4,Q$23,Q$20))-LEN(SUBSTITUTE(IF(F19-3&lt;$O$4,Q$23,Q$20),"3","")))</f>
        <v/>
      </c>
      <c r="U47" s="34" t="str">
        <f aca="false">IF(G19="","",LEN(IF(G19-1&lt;$O$4,T$23,T$20))-LEN(SUBSTITUTE(IF(G19-1&lt;$O$4,T$23,T$20),"1",""))+LEN(IF(G19-2&lt;$O$4,S$23,S$20))-LEN(SUBSTITUTE(IF(G19-2&lt;$O$4,S$23,S$20),"2",""))+LEN(IF(G19-3&lt;$O$4,R$23,R$20))-LEN(SUBSTITUTE(IF(G19-3&lt;$O$4,R$23,R$20),"3","")))</f>
        <v/>
      </c>
      <c r="V47" s="34" t="str">
        <f aca="false">IF(H19="","",LEN(IF(H19-1&lt;$O$4,U$23,U$20))-LEN(SUBSTITUTE(IF(H19-1&lt;$O$4,U$23,U$20),"1",""))+LEN(IF(H19-2&lt;$O$4,T$23,T$20))-LEN(SUBSTITUTE(IF(H19-2&lt;$O$4,T$23,T$20),"2",""))+LEN(IF(H19-3&lt;$O$4,S$23,S$20))-LEN(SUBSTITUTE(IF(H19-3&lt;$O$4,S$23,S$20),"3","")))</f>
        <v/>
      </c>
      <c r="W47" s="34" t="str">
        <f aca="false">IF(I19="","",LEN(IF(I19-1&lt;$O$4,V$23,V$20))-LEN(SUBSTITUTE(IF(I19-1&lt;$O$4,V$23,V$20),"1",""))+LEN(IF(I19-2&lt;$O$4,U$23,U$20))-LEN(SUBSTITUTE(IF(I19-2&lt;$O$4,U$23,U$20),"2",""))+LEN(IF(I19-3&lt;$O$4,T$23,T$20))-LEN(SUBSTITUTE(IF(I19-3&lt;$O$4,T$23,T$20),"3","")))</f>
        <v/>
      </c>
    </row>
    <row r="49" customFormat="false" ht="15" hidden="false" customHeight="false" outlineLevel="0" collapsed="false">
      <c r="P49" s="25" t="s">
        <v>120</v>
      </c>
      <c r="Q49" s="25"/>
      <c r="R49" s="25"/>
      <c r="S49" s="25"/>
      <c r="T49" s="25"/>
      <c r="U49" s="25"/>
      <c r="V49" s="25"/>
      <c r="W49" s="25"/>
    </row>
    <row r="50" customFormat="false" ht="15" hidden="false" customHeight="false" outlineLevel="0" collapsed="false">
      <c r="P50" s="26" t="s">
        <v>26</v>
      </c>
      <c r="Q50" s="26" t="s">
        <v>65</v>
      </c>
      <c r="R50" s="26" t="s">
        <v>66</v>
      </c>
      <c r="S50" s="26" t="s">
        <v>67</v>
      </c>
      <c r="T50" s="26" t="s">
        <v>68</v>
      </c>
      <c r="U50" s="26" t="s">
        <v>69</v>
      </c>
      <c r="V50" s="26" t="s">
        <v>70</v>
      </c>
      <c r="W50" s="26" t="s">
        <v>71</v>
      </c>
    </row>
    <row r="51" customFormat="false" ht="15" hidden="false" customHeight="false" outlineLevel="0" collapsed="false">
      <c r="P51" s="28" t="s">
        <v>121</v>
      </c>
      <c r="Q51" s="12" t="str">
        <f aca="false">IF(C9="","",TRIM($Q$17&amp;IF(SUMIFS('Vols additionnels'!$E$7:$E$66,'Vols additionnels'!$C$7:$C$66,$C$5,'Vols additionnels'!$B$7:$B$66,C9)=0,""," ("&amp;IF(COUNTIFS('Vols additionnels'!$C$7:$C$66,$C$5,'Vols additionnels'!$B$7:$B$66,C9)=1,IF(ABS(SUMIFS('Vols additionnels'!$E$7:$E$66,'Vols additionnels'!$C$7:$C$66,$C$5,'Vols additionnels'!$B$7:$B$66,C9))=1,IF(SUMIFS('Vols additionnels'!$E$7:$E$66,'Vols additionnels'!$C$7:$C$66,$C$5,'Vols additionnels'!$B$7:$B$66,C9)&gt;0,"+","-")&amp;IFERROR(INDEX('Vols additionnels'!$D$7:$D$66,MATCH(C9&amp;"|"&amp;$C$5,'Vols additionnels'!$J$7:$J$66,0)),""),IF(SUMIFS('Vols additionnels'!$E$7:$E$66,'Vols additionnels'!$C$7:$C$66,$C$5,'Vols additionnels'!$B$7:$B$66,C9)&gt;0,"+","")&amp;SUMIFS('Vols additionnels'!$E$7:$E$66,'Vols additionnels'!$C$7:$C$66,$C$5,'Vols additionnels'!$B$7:$B$66,C9)&amp;"x"&amp;IFERROR(INDEX('Vols additionnels'!$D$7:$D$66,MATCH(C9&amp;"|"&amp;$C$5,'Vols additionnels'!$J$7:$J$66,0)),"")),IF(SUMIFS('Vols additionnels'!$E$7:$E$66,'Vols additionnels'!$C$7:$C$66,$C$5,'Vols additionnels'!$B$7:$B$66,C9)&gt;0,"+","")&amp;SUMIFS('Vols additionnels'!$E$7:$E$66,'Vols additionnels'!$C$7:$C$66,$C$5,'Vols additionnels'!$B$7:$B$66,C9)&amp;" vols")&amp;")")))</f>
        <v/>
      </c>
      <c r="R51" s="12" t="str">
        <f aca="false">IF(D9="","",TRIM($R$17&amp;IF(SUMIFS('Vols additionnels'!$E$7:$E$66,'Vols additionnels'!$C$7:$C$66,$C$5,'Vols additionnels'!$B$7:$B$66,D9)=0,""," ("&amp;IF(COUNTIFS('Vols additionnels'!$C$7:$C$66,$C$5,'Vols additionnels'!$B$7:$B$66,D9)=1,IF(ABS(SUMIFS('Vols additionnels'!$E$7:$E$66,'Vols additionnels'!$C$7:$C$66,$C$5,'Vols additionnels'!$B$7:$B$66,D9))=1,IF(SUMIFS('Vols additionnels'!$E$7:$E$66,'Vols additionnels'!$C$7:$C$66,$C$5,'Vols additionnels'!$B$7:$B$66,D9)&gt;0,"+","-")&amp;IFERROR(INDEX('Vols additionnels'!$D$7:$D$66,MATCH(D9&amp;"|"&amp;$C$5,'Vols additionnels'!$J$7:$J$66,0)),""),IF(SUMIFS('Vols additionnels'!$E$7:$E$66,'Vols additionnels'!$C$7:$C$66,$C$5,'Vols additionnels'!$B$7:$B$66,D9)&gt;0,"+","")&amp;SUMIFS('Vols additionnels'!$E$7:$E$66,'Vols additionnels'!$C$7:$C$66,$C$5,'Vols additionnels'!$B$7:$B$66,D9)&amp;"x"&amp;IFERROR(INDEX('Vols additionnels'!$D$7:$D$66,MATCH(D9&amp;"|"&amp;$C$5,'Vols additionnels'!$J$7:$J$66,0)),"")),IF(SUMIFS('Vols additionnels'!$E$7:$E$66,'Vols additionnels'!$C$7:$C$66,$C$5,'Vols additionnels'!$B$7:$B$66,D9)&gt;0,"+","")&amp;SUMIFS('Vols additionnels'!$E$7:$E$66,'Vols additionnels'!$C$7:$C$66,$C$5,'Vols additionnels'!$B$7:$B$66,D9)&amp;" vols")&amp;")")))</f>
        <v/>
      </c>
      <c r="S51" s="12" t="str">
        <f aca="false">IF(E9="","",TRIM($S$17&amp;IF(SUMIFS('Vols additionnels'!$E$7:$E$66,'Vols additionnels'!$C$7:$C$66,$C$5,'Vols additionnels'!$B$7:$B$66,E9)=0,""," ("&amp;IF(COUNTIFS('Vols additionnels'!$C$7:$C$66,$C$5,'Vols additionnels'!$B$7:$B$66,E9)=1,IF(ABS(SUMIFS('Vols additionnels'!$E$7:$E$66,'Vols additionnels'!$C$7:$C$66,$C$5,'Vols additionnels'!$B$7:$B$66,E9))=1,IF(SUMIFS('Vols additionnels'!$E$7:$E$66,'Vols additionnels'!$C$7:$C$66,$C$5,'Vols additionnels'!$B$7:$B$66,E9)&gt;0,"+","-")&amp;IFERROR(INDEX('Vols additionnels'!$D$7:$D$66,MATCH(E9&amp;"|"&amp;$C$5,'Vols additionnels'!$J$7:$J$66,0)),""),IF(SUMIFS('Vols additionnels'!$E$7:$E$66,'Vols additionnels'!$C$7:$C$66,$C$5,'Vols additionnels'!$B$7:$B$66,E9)&gt;0,"+","")&amp;SUMIFS('Vols additionnels'!$E$7:$E$66,'Vols additionnels'!$C$7:$C$66,$C$5,'Vols additionnels'!$B$7:$B$66,E9)&amp;"x"&amp;IFERROR(INDEX('Vols additionnels'!$D$7:$D$66,MATCH(E9&amp;"|"&amp;$C$5,'Vols additionnels'!$J$7:$J$66,0)),"")),IF(SUMIFS('Vols additionnels'!$E$7:$E$66,'Vols additionnels'!$C$7:$C$66,$C$5,'Vols additionnels'!$B$7:$B$66,E9)&gt;0,"+","")&amp;SUMIFS('Vols additionnels'!$E$7:$E$66,'Vols additionnels'!$C$7:$C$66,$C$5,'Vols additionnels'!$B$7:$B$66,E9)&amp;" vols")&amp;")")))</f>
        <v/>
      </c>
      <c r="T51" s="12" t="str">
        <f aca="false">IF(F9="","",TRIM($T$17&amp;IF(SUMIFS('Vols additionnels'!$E$7:$E$66,'Vols additionnels'!$C$7:$C$66,$C$5,'Vols additionnels'!$B$7:$B$66,F9)=0,""," ("&amp;IF(COUNTIFS('Vols additionnels'!$C$7:$C$66,$C$5,'Vols additionnels'!$B$7:$B$66,F9)=1,IF(ABS(SUMIFS('Vols additionnels'!$E$7:$E$66,'Vols additionnels'!$C$7:$C$66,$C$5,'Vols additionnels'!$B$7:$B$66,F9))=1,IF(SUMIFS('Vols additionnels'!$E$7:$E$66,'Vols additionnels'!$C$7:$C$66,$C$5,'Vols additionnels'!$B$7:$B$66,F9)&gt;0,"+","-")&amp;IFERROR(INDEX('Vols additionnels'!$D$7:$D$66,MATCH(F9&amp;"|"&amp;$C$5,'Vols additionnels'!$J$7:$J$66,0)),""),IF(SUMIFS('Vols additionnels'!$E$7:$E$66,'Vols additionnels'!$C$7:$C$66,$C$5,'Vols additionnels'!$B$7:$B$66,F9)&gt;0,"+","")&amp;SUMIFS('Vols additionnels'!$E$7:$E$66,'Vols additionnels'!$C$7:$C$66,$C$5,'Vols additionnels'!$B$7:$B$66,F9)&amp;"x"&amp;IFERROR(INDEX('Vols additionnels'!$D$7:$D$66,MATCH(F9&amp;"|"&amp;$C$5,'Vols additionnels'!$J$7:$J$66,0)),"")),IF(SUMIFS('Vols additionnels'!$E$7:$E$66,'Vols additionnels'!$C$7:$C$66,$C$5,'Vols additionnels'!$B$7:$B$66,F9)&gt;0,"+","")&amp;SUMIFS('Vols additionnels'!$E$7:$E$66,'Vols additionnels'!$C$7:$C$66,$C$5,'Vols additionnels'!$B$7:$B$66,F9)&amp;" vols")&amp;")")))</f>
        <v>A320</v>
      </c>
      <c r="U51" s="12" t="str">
        <f aca="false">IF(G9="","",TRIM($U$17&amp;IF(SUMIFS('Vols additionnels'!$E$7:$E$66,'Vols additionnels'!$C$7:$C$66,$C$5,'Vols additionnels'!$B$7:$B$66,G9)=0,""," ("&amp;IF(COUNTIFS('Vols additionnels'!$C$7:$C$66,$C$5,'Vols additionnels'!$B$7:$B$66,G9)=1,IF(ABS(SUMIFS('Vols additionnels'!$E$7:$E$66,'Vols additionnels'!$C$7:$C$66,$C$5,'Vols additionnels'!$B$7:$B$66,G9))=1,IF(SUMIFS('Vols additionnels'!$E$7:$E$66,'Vols additionnels'!$C$7:$C$66,$C$5,'Vols additionnels'!$B$7:$B$66,G9)&gt;0,"+","-")&amp;IFERROR(INDEX('Vols additionnels'!$D$7:$D$66,MATCH(G9&amp;"|"&amp;$C$5,'Vols additionnels'!$J$7:$J$66,0)),""),IF(SUMIFS('Vols additionnels'!$E$7:$E$66,'Vols additionnels'!$C$7:$C$66,$C$5,'Vols additionnels'!$B$7:$B$66,G9)&gt;0,"+","")&amp;SUMIFS('Vols additionnels'!$E$7:$E$66,'Vols additionnels'!$C$7:$C$66,$C$5,'Vols additionnels'!$B$7:$B$66,G9)&amp;"x"&amp;IFERROR(INDEX('Vols additionnels'!$D$7:$D$66,MATCH(G9&amp;"|"&amp;$C$5,'Vols additionnels'!$J$7:$J$66,0)),"")),IF(SUMIFS('Vols additionnels'!$E$7:$E$66,'Vols additionnels'!$C$7:$C$66,$C$5,'Vols additionnels'!$B$7:$B$66,G9)&gt;0,"+","")&amp;SUMIFS('Vols additionnels'!$E$7:$E$66,'Vols additionnels'!$C$7:$C$66,$C$5,'Vols additionnels'!$B$7:$B$66,G9)&amp;" vols")&amp;")")))</f>
        <v/>
      </c>
      <c r="V51" s="12" t="str">
        <f aca="false">IF(H9="","",TRIM($V$17&amp;IF(SUMIFS('Vols additionnels'!$E$7:$E$66,'Vols additionnels'!$C$7:$C$66,$C$5,'Vols additionnels'!$B$7:$B$66,H9)=0,""," ("&amp;IF(COUNTIFS('Vols additionnels'!$C$7:$C$66,$C$5,'Vols additionnels'!$B$7:$B$66,H9)=1,IF(ABS(SUMIFS('Vols additionnels'!$E$7:$E$66,'Vols additionnels'!$C$7:$C$66,$C$5,'Vols additionnels'!$B$7:$B$66,H9))=1,IF(SUMIFS('Vols additionnels'!$E$7:$E$66,'Vols additionnels'!$C$7:$C$66,$C$5,'Vols additionnels'!$B$7:$B$66,H9)&gt;0,"+","-")&amp;IFERROR(INDEX('Vols additionnels'!$D$7:$D$66,MATCH(H9&amp;"|"&amp;$C$5,'Vols additionnels'!$J$7:$J$66,0)),""),IF(SUMIFS('Vols additionnels'!$E$7:$E$66,'Vols additionnels'!$C$7:$C$66,$C$5,'Vols additionnels'!$B$7:$B$66,H9)&gt;0,"+","")&amp;SUMIFS('Vols additionnels'!$E$7:$E$66,'Vols additionnels'!$C$7:$C$66,$C$5,'Vols additionnels'!$B$7:$B$66,H9)&amp;"x"&amp;IFERROR(INDEX('Vols additionnels'!$D$7:$D$66,MATCH(H9&amp;"|"&amp;$C$5,'Vols additionnels'!$J$7:$J$66,0)),"")),IF(SUMIFS('Vols additionnels'!$E$7:$E$66,'Vols additionnels'!$C$7:$C$66,$C$5,'Vols additionnels'!$B$7:$B$66,H9)&gt;0,"+","")&amp;SUMIFS('Vols additionnels'!$E$7:$E$66,'Vols additionnels'!$C$7:$C$66,$C$5,'Vols additionnels'!$B$7:$B$66,H9)&amp;" vols")&amp;")")))</f>
        <v>A320</v>
      </c>
      <c r="W51" s="12" t="str">
        <f aca="false">IF(I9="","",TRIM($W$17&amp;IF(SUMIFS('Vols additionnels'!$E$7:$E$66,'Vols additionnels'!$C$7:$C$66,$C$5,'Vols additionnels'!$B$7:$B$66,I9)=0,""," ("&amp;IF(COUNTIFS('Vols additionnels'!$C$7:$C$66,$C$5,'Vols additionnels'!$B$7:$B$66,I9)=1,IF(ABS(SUMIFS('Vols additionnels'!$E$7:$E$66,'Vols additionnels'!$C$7:$C$66,$C$5,'Vols additionnels'!$B$7:$B$66,I9))=1,IF(SUMIFS('Vols additionnels'!$E$7:$E$66,'Vols additionnels'!$C$7:$C$66,$C$5,'Vols additionnels'!$B$7:$B$66,I9)&gt;0,"+","-")&amp;IFERROR(INDEX('Vols additionnels'!$D$7:$D$66,MATCH(I9&amp;"|"&amp;$C$5,'Vols additionnels'!$J$7:$J$66,0)),""),IF(SUMIFS('Vols additionnels'!$E$7:$E$66,'Vols additionnels'!$C$7:$C$66,$C$5,'Vols additionnels'!$B$7:$B$66,I9)&gt;0,"+","")&amp;SUMIFS('Vols additionnels'!$E$7:$E$66,'Vols additionnels'!$C$7:$C$66,$C$5,'Vols additionnels'!$B$7:$B$66,I9)&amp;"x"&amp;IFERROR(INDEX('Vols additionnels'!$D$7:$D$66,MATCH(I9&amp;"|"&amp;$C$5,'Vols additionnels'!$J$7:$J$66,0)),"")),IF(SUMIFS('Vols additionnels'!$E$7:$E$66,'Vols additionnels'!$C$7:$C$66,$C$5,'Vols additionnels'!$B$7:$B$66,I9)&gt;0,"+","")&amp;SUMIFS('Vols additionnels'!$E$7:$E$66,'Vols additionnels'!$C$7:$C$66,$C$5,'Vols additionnels'!$B$7:$B$66,I9)&amp;" vols")&amp;")")))</f>
        <v/>
      </c>
    </row>
    <row r="52" customFormat="false" ht="15" hidden="false" customHeight="false" outlineLevel="0" collapsed="false">
      <c r="P52" s="28" t="s">
        <v>122</v>
      </c>
      <c r="Q52" s="12" t="str">
        <f aca="false">IF(C11="","",TRIM($Q$17&amp;IF(SUMIFS('Vols additionnels'!$E$7:$E$66,'Vols additionnels'!$C$7:$C$66,$C$5,'Vols additionnels'!$B$7:$B$66,C11)=0,""," ("&amp;IF(COUNTIFS('Vols additionnels'!$C$7:$C$66,$C$5,'Vols additionnels'!$B$7:$B$66,C11)=1,IF(ABS(SUMIFS('Vols additionnels'!$E$7:$E$66,'Vols additionnels'!$C$7:$C$66,$C$5,'Vols additionnels'!$B$7:$B$66,C11))=1,IF(SUMIFS('Vols additionnels'!$E$7:$E$66,'Vols additionnels'!$C$7:$C$66,$C$5,'Vols additionnels'!$B$7:$B$66,C11)&gt;0,"+","-")&amp;IFERROR(INDEX('Vols additionnels'!$D$7:$D$66,MATCH(C11&amp;"|"&amp;$C$5,'Vols additionnels'!$J$7:$J$66,0)),""),IF(SUMIFS('Vols additionnels'!$E$7:$E$66,'Vols additionnels'!$C$7:$C$66,$C$5,'Vols additionnels'!$B$7:$B$66,C11)&gt;0,"+","")&amp;SUMIFS('Vols additionnels'!$E$7:$E$66,'Vols additionnels'!$C$7:$C$66,$C$5,'Vols additionnels'!$B$7:$B$66,C11)&amp;"x"&amp;IFERROR(INDEX('Vols additionnels'!$D$7:$D$66,MATCH(C11&amp;"|"&amp;$C$5,'Vols additionnels'!$J$7:$J$66,0)),"")),IF(SUMIFS('Vols additionnels'!$E$7:$E$66,'Vols additionnels'!$C$7:$C$66,$C$5,'Vols additionnels'!$B$7:$B$66,C11)&gt;0,"+","")&amp;SUMIFS('Vols additionnels'!$E$7:$E$66,'Vols additionnels'!$C$7:$C$66,$C$5,'Vols additionnels'!$B$7:$B$66,C11)&amp;" vols")&amp;")")))</f>
        <v>A320</v>
      </c>
      <c r="R52" s="12" t="str">
        <f aca="false">IF(D11="","",TRIM($R$17&amp;IF(SUMIFS('Vols additionnels'!$E$7:$E$66,'Vols additionnels'!$C$7:$C$66,$C$5,'Vols additionnels'!$B$7:$B$66,D11)=0,""," ("&amp;IF(COUNTIFS('Vols additionnels'!$C$7:$C$66,$C$5,'Vols additionnels'!$B$7:$B$66,D11)=1,IF(ABS(SUMIFS('Vols additionnels'!$E$7:$E$66,'Vols additionnels'!$C$7:$C$66,$C$5,'Vols additionnels'!$B$7:$B$66,D11))=1,IF(SUMIFS('Vols additionnels'!$E$7:$E$66,'Vols additionnels'!$C$7:$C$66,$C$5,'Vols additionnels'!$B$7:$B$66,D11)&gt;0,"+","-")&amp;IFERROR(INDEX('Vols additionnels'!$D$7:$D$66,MATCH(D11&amp;"|"&amp;$C$5,'Vols additionnels'!$J$7:$J$66,0)),""),IF(SUMIFS('Vols additionnels'!$E$7:$E$66,'Vols additionnels'!$C$7:$C$66,$C$5,'Vols additionnels'!$B$7:$B$66,D11)&gt;0,"+","")&amp;SUMIFS('Vols additionnels'!$E$7:$E$66,'Vols additionnels'!$C$7:$C$66,$C$5,'Vols additionnels'!$B$7:$B$66,D11)&amp;"x"&amp;IFERROR(INDEX('Vols additionnels'!$D$7:$D$66,MATCH(D11&amp;"|"&amp;$C$5,'Vols additionnels'!$J$7:$J$66,0)),"")),IF(SUMIFS('Vols additionnels'!$E$7:$E$66,'Vols additionnels'!$C$7:$C$66,$C$5,'Vols additionnels'!$B$7:$B$66,D11)&gt;0,"+","")&amp;SUMIFS('Vols additionnels'!$E$7:$E$66,'Vols additionnels'!$C$7:$C$66,$C$5,'Vols additionnels'!$B$7:$B$66,D11)&amp;" vols")&amp;")")))</f>
        <v/>
      </c>
      <c r="S52" s="12" t="str">
        <f aca="false">IF(E11="","",TRIM($S$17&amp;IF(SUMIFS('Vols additionnels'!$E$7:$E$66,'Vols additionnels'!$C$7:$C$66,$C$5,'Vols additionnels'!$B$7:$B$66,E11)=0,""," ("&amp;IF(COUNTIFS('Vols additionnels'!$C$7:$C$66,$C$5,'Vols additionnels'!$B$7:$B$66,E11)=1,IF(ABS(SUMIFS('Vols additionnels'!$E$7:$E$66,'Vols additionnels'!$C$7:$C$66,$C$5,'Vols additionnels'!$B$7:$B$66,E11))=1,IF(SUMIFS('Vols additionnels'!$E$7:$E$66,'Vols additionnels'!$C$7:$C$66,$C$5,'Vols additionnels'!$B$7:$B$66,E11)&gt;0,"+","-")&amp;IFERROR(INDEX('Vols additionnels'!$D$7:$D$66,MATCH(E11&amp;"|"&amp;$C$5,'Vols additionnels'!$J$7:$J$66,0)),""),IF(SUMIFS('Vols additionnels'!$E$7:$E$66,'Vols additionnels'!$C$7:$C$66,$C$5,'Vols additionnels'!$B$7:$B$66,E11)&gt;0,"+","")&amp;SUMIFS('Vols additionnels'!$E$7:$E$66,'Vols additionnels'!$C$7:$C$66,$C$5,'Vols additionnels'!$B$7:$B$66,E11)&amp;"x"&amp;IFERROR(INDEX('Vols additionnels'!$D$7:$D$66,MATCH(E11&amp;"|"&amp;$C$5,'Vols additionnels'!$J$7:$J$66,0)),"")),IF(SUMIFS('Vols additionnels'!$E$7:$E$66,'Vols additionnels'!$C$7:$C$66,$C$5,'Vols additionnels'!$B$7:$B$66,E11)&gt;0,"+","")&amp;SUMIFS('Vols additionnels'!$E$7:$E$66,'Vols additionnels'!$C$7:$C$66,$C$5,'Vols additionnels'!$B$7:$B$66,E11)&amp;" vols")&amp;")")))</f>
        <v/>
      </c>
      <c r="T52" s="12" t="str">
        <f aca="false">IF(F11="","",TRIM($T$17&amp;IF(SUMIFS('Vols additionnels'!$E$7:$E$66,'Vols additionnels'!$C$7:$C$66,$C$5,'Vols additionnels'!$B$7:$B$66,F11)=0,""," ("&amp;IF(COUNTIFS('Vols additionnels'!$C$7:$C$66,$C$5,'Vols additionnels'!$B$7:$B$66,F11)=1,IF(ABS(SUMIFS('Vols additionnels'!$E$7:$E$66,'Vols additionnels'!$C$7:$C$66,$C$5,'Vols additionnels'!$B$7:$B$66,F11))=1,IF(SUMIFS('Vols additionnels'!$E$7:$E$66,'Vols additionnels'!$C$7:$C$66,$C$5,'Vols additionnels'!$B$7:$B$66,F11)&gt;0,"+","-")&amp;IFERROR(INDEX('Vols additionnels'!$D$7:$D$66,MATCH(F11&amp;"|"&amp;$C$5,'Vols additionnels'!$J$7:$J$66,0)),""),IF(SUMIFS('Vols additionnels'!$E$7:$E$66,'Vols additionnels'!$C$7:$C$66,$C$5,'Vols additionnels'!$B$7:$B$66,F11)&gt;0,"+","")&amp;SUMIFS('Vols additionnels'!$E$7:$E$66,'Vols additionnels'!$C$7:$C$66,$C$5,'Vols additionnels'!$B$7:$B$66,F11)&amp;"x"&amp;IFERROR(INDEX('Vols additionnels'!$D$7:$D$66,MATCH(F11&amp;"|"&amp;$C$5,'Vols additionnels'!$J$7:$J$66,0)),"")),IF(SUMIFS('Vols additionnels'!$E$7:$E$66,'Vols additionnels'!$C$7:$C$66,$C$5,'Vols additionnels'!$B$7:$B$66,F11)&gt;0,"+","")&amp;SUMIFS('Vols additionnels'!$E$7:$E$66,'Vols additionnels'!$C$7:$C$66,$C$5,'Vols additionnels'!$B$7:$B$66,F11)&amp;" vols")&amp;")")))</f>
        <v>A320</v>
      </c>
      <c r="U52" s="12" t="str">
        <f aca="false">IF(G11="","",TRIM($U$17&amp;IF(SUMIFS('Vols additionnels'!$E$7:$E$66,'Vols additionnels'!$C$7:$C$66,$C$5,'Vols additionnels'!$B$7:$B$66,G11)=0,""," ("&amp;IF(COUNTIFS('Vols additionnels'!$C$7:$C$66,$C$5,'Vols additionnels'!$B$7:$B$66,G11)=1,IF(ABS(SUMIFS('Vols additionnels'!$E$7:$E$66,'Vols additionnels'!$C$7:$C$66,$C$5,'Vols additionnels'!$B$7:$B$66,G11))=1,IF(SUMIFS('Vols additionnels'!$E$7:$E$66,'Vols additionnels'!$C$7:$C$66,$C$5,'Vols additionnels'!$B$7:$B$66,G11)&gt;0,"+","-")&amp;IFERROR(INDEX('Vols additionnels'!$D$7:$D$66,MATCH(G11&amp;"|"&amp;$C$5,'Vols additionnels'!$J$7:$J$66,0)),""),IF(SUMIFS('Vols additionnels'!$E$7:$E$66,'Vols additionnels'!$C$7:$C$66,$C$5,'Vols additionnels'!$B$7:$B$66,G11)&gt;0,"+","")&amp;SUMIFS('Vols additionnels'!$E$7:$E$66,'Vols additionnels'!$C$7:$C$66,$C$5,'Vols additionnels'!$B$7:$B$66,G11)&amp;"x"&amp;IFERROR(INDEX('Vols additionnels'!$D$7:$D$66,MATCH(G11&amp;"|"&amp;$C$5,'Vols additionnels'!$J$7:$J$66,0)),"")),IF(SUMIFS('Vols additionnels'!$E$7:$E$66,'Vols additionnels'!$C$7:$C$66,$C$5,'Vols additionnels'!$B$7:$B$66,G11)&gt;0,"+","")&amp;SUMIFS('Vols additionnels'!$E$7:$E$66,'Vols additionnels'!$C$7:$C$66,$C$5,'Vols additionnels'!$B$7:$B$66,G11)&amp;" vols")&amp;")")))</f>
        <v/>
      </c>
      <c r="V52" s="12" t="str">
        <f aca="false">IF(H11="","",TRIM($V$17&amp;IF(SUMIFS('Vols additionnels'!$E$7:$E$66,'Vols additionnels'!$C$7:$C$66,$C$5,'Vols additionnels'!$B$7:$B$66,H11)=0,""," ("&amp;IF(COUNTIFS('Vols additionnels'!$C$7:$C$66,$C$5,'Vols additionnels'!$B$7:$B$66,H11)=1,IF(ABS(SUMIFS('Vols additionnels'!$E$7:$E$66,'Vols additionnels'!$C$7:$C$66,$C$5,'Vols additionnels'!$B$7:$B$66,H11))=1,IF(SUMIFS('Vols additionnels'!$E$7:$E$66,'Vols additionnels'!$C$7:$C$66,$C$5,'Vols additionnels'!$B$7:$B$66,H11)&gt;0,"+","-")&amp;IFERROR(INDEX('Vols additionnels'!$D$7:$D$66,MATCH(H11&amp;"|"&amp;$C$5,'Vols additionnels'!$J$7:$J$66,0)),""),IF(SUMIFS('Vols additionnels'!$E$7:$E$66,'Vols additionnels'!$C$7:$C$66,$C$5,'Vols additionnels'!$B$7:$B$66,H11)&gt;0,"+","")&amp;SUMIFS('Vols additionnels'!$E$7:$E$66,'Vols additionnels'!$C$7:$C$66,$C$5,'Vols additionnels'!$B$7:$B$66,H11)&amp;"x"&amp;IFERROR(INDEX('Vols additionnels'!$D$7:$D$66,MATCH(H11&amp;"|"&amp;$C$5,'Vols additionnels'!$J$7:$J$66,0)),"")),IF(SUMIFS('Vols additionnels'!$E$7:$E$66,'Vols additionnels'!$C$7:$C$66,$C$5,'Vols additionnels'!$B$7:$B$66,H11)&gt;0,"+","")&amp;SUMIFS('Vols additionnels'!$E$7:$E$66,'Vols additionnels'!$C$7:$C$66,$C$5,'Vols additionnels'!$B$7:$B$66,H11)&amp;" vols")&amp;")")))</f>
        <v>A320</v>
      </c>
      <c r="W52" s="12" t="str">
        <f aca="false">IF(I11="","",TRIM($W$17&amp;IF(SUMIFS('Vols additionnels'!$E$7:$E$66,'Vols additionnels'!$C$7:$C$66,$C$5,'Vols additionnels'!$B$7:$B$66,I11)=0,""," ("&amp;IF(COUNTIFS('Vols additionnels'!$C$7:$C$66,$C$5,'Vols additionnels'!$B$7:$B$66,I11)=1,IF(ABS(SUMIFS('Vols additionnels'!$E$7:$E$66,'Vols additionnels'!$C$7:$C$66,$C$5,'Vols additionnels'!$B$7:$B$66,I11))=1,IF(SUMIFS('Vols additionnels'!$E$7:$E$66,'Vols additionnels'!$C$7:$C$66,$C$5,'Vols additionnels'!$B$7:$B$66,I11)&gt;0,"+","-")&amp;IFERROR(INDEX('Vols additionnels'!$D$7:$D$66,MATCH(I11&amp;"|"&amp;$C$5,'Vols additionnels'!$J$7:$J$66,0)),""),IF(SUMIFS('Vols additionnels'!$E$7:$E$66,'Vols additionnels'!$C$7:$C$66,$C$5,'Vols additionnels'!$B$7:$B$66,I11)&gt;0,"+","")&amp;SUMIFS('Vols additionnels'!$E$7:$E$66,'Vols additionnels'!$C$7:$C$66,$C$5,'Vols additionnels'!$B$7:$B$66,I11)&amp;"x"&amp;IFERROR(INDEX('Vols additionnels'!$D$7:$D$66,MATCH(I11&amp;"|"&amp;$C$5,'Vols additionnels'!$J$7:$J$66,0)),"")),IF(SUMIFS('Vols additionnels'!$E$7:$E$66,'Vols additionnels'!$C$7:$C$66,$C$5,'Vols additionnels'!$B$7:$B$66,I11)&gt;0,"+","")&amp;SUMIFS('Vols additionnels'!$E$7:$E$66,'Vols additionnels'!$C$7:$C$66,$C$5,'Vols additionnels'!$B$7:$B$66,I11)&amp;" vols")&amp;")")))</f>
        <v/>
      </c>
    </row>
    <row r="53" customFormat="false" ht="15" hidden="false" customHeight="false" outlineLevel="0" collapsed="false">
      <c r="P53" s="28" t="s">
        <v>123</v>
      </c>
      <c r="Q53" s="12" t="str">
        <f aca="false">IF(C13="","",TRIM($Q$17&amp;IF(SUMIFS('Vols additionnels'!$E$7:$E$66,'Vols additionnels'!$C$7:$C$66,$C$5,'Vols additionnels'!$B$7:$B$66,C13)=0,""," ("&amp;IF(COUNTIFS('Vols additionnels'!$C$7:$C$66,$C$5,'Vols additionnels'!$B$7:$B$66,C13)=1,IF(ABS(SUMIFS('Vols additionnels'!$E$7:$E$66,'Vols additionnels'!$C$7:$C$66,$C$5,'Vols additionnels'!$B$7:$B$66,C13))=1,IF(SUMIFS('Vols additionnels'!$E$7:$E$66,'Vols additionnels'!$C$7:$C$66,$C$5,'Vols additionnels'!$B$7:$B$66,C13)&gt;0,"+","-")&amp;IFERROR(INDEX('Vols additionnels'!$D$7:$D$66,MATCH(C13&amp;"|"&amp;$C$5,'Vols additionnels'!$J$7:$J$66,0)),""),IF(SUMIFS('Vols additionnels'!$E$7:$E$66,'Vols additionnels'!$C$7:$C$66,$C$5,'Vols additionnels'!$B$7:$B$66,C13)&gt;0,"+","")&amp;SUMIFS('Vols additionnels'!$E$7:$E$66,'Vols additionnels'!$C$7:$C$66,$C$5,'Vols additionnels'!$B$7:$B$66,C13)&amp;"x"&amp;IFERROR(INDEX('Vols additionnels'!$D$7:$D$66,MATCH(C13&amp;"|"&amp;$C$5,'Vols additionnels'!$J$7:$J$66,0)),"")),IF(SUMIFS('Vols additionnels'!$E$7:$E$66,'Vols additionnels'!$C$7:$C$66,$C$5,'Vols additionnels'!$B$7:$B$66,C13)&gt;0,"+","")&amp;SUMIFS('Vols additionnels'!$E$7:$E$66,'Vols additionnels'!$C$7:$C$66,$C$5,'Vols additionnels'!$B$7:$B$66,C13)&amp;" vols")&amp;")")))</f>
        <v>A320</v>
      </c>
      <c r="R53" s="12" t="str">
        <f aca="false">IF(D13="","",TRIM($R$17&amp;IF(SUMIFS('Vols additionnels'!$E$7:$E$66,'Vols additionnels'!$C$7:$C$66,$C$5,'Vols additionnels'!$B$7:$B$66,D13)=0,""," ("&amp;IF(COUNTIFS('Vols additionnels'!$C$7:$C$66,$C$5,'Vols additionnels'!$B$7:$B$66,D13)=1,IF(ABS(SUMIFS('Vols additionnels'!$E$7:$E$66,'Vols additionnels'!$C$7:$C$66,$C$5,'Vols additionnels'!$B$7:$B$66,D13))=1,IF(SUMIFS('Vols additionnels'!$E$7:$E$66,'Vols additionnels'!$C$7:$C$66,$C$5,'Vols additionnels'!$B$7:$B$66,D13)&gt;0,"+","-")&amp;IFERROR(INDEX('Vols additionnels'!$D$7:$D$66,MATCH(D13&amp;"|"&amp;$C$5,'Vols additionnels'!$J$7:$J$66,0)),""),IF(SUMIFS('Vols additionnels'!$E$7:$E$66,'Vols additionnels'!$C$7:$C$66,$C$5,'Vols additionnels'!$B$7:$B$66,D13)&gt;0,"+","")&amp;SUMIFS('Vols additionnels'!$E$7:$E$66,'Vols additionnels'!$C$7:$C$66,$C$5,'Vols additionnels'!$B$7:$B$66,D13)&amp;"x"&amp;IFERROR(INDEX('Vols additionnels'!$D$7:$D$66,MATCH(D13&amp;"|"&amp;$C$5,'Vols additionnels'!$J$7:$J$66,0)),"")),IF(SUMIFS('Vols additionnels'!$E$7:$E$66,'Vols additionnels'!$C$7:$C$66,$C$5,'Vols additionnels'!$B$7:$B$66,D13)&gt;0,"+","")&amp;SUMIFS('Vols additionnels'!$E$7:$E$66,'Vols additionnels'!$C$7:$C$66,$C$5,'Vols additionnels'!$B$7:$B$66,D13)&amp;" vols")&amp;")")))</f>
        <v/>
      </c>
      <c r="S53" s="12" t="str">
        <f aca="false">IF(E13="","",TRIM($S$17&amp;IF(SUMIFS('Vols additionnels'!$E$7:$E$66,'Vols additionnels'!$C$7:$C$66,$C$5,'Vols additionnels'!$B$7:$B$66,E13)=0,""," ("&amp;IF(COUNTIFS('Vols additionnels'!$C$7:$C$66,$C$5,'Vols additionnels'!$B$7:$B$66,E13)=1,IF(ABS(SUMIFS('Vols additionnels'!$E$7:$E$66,'Vols additionnels'!$C$7:$C$66,$C$5,'Vols additionnels'!$B$7:$B$66,E13))=1,IF(SUMIFS('Vols additionnels'!$E$7:$E$66,'Vols additionnels'!$C$7:$C$66,$C$5,'Vols additionnels'!$B$7:$B$66,E13)&gt;0,"+","-")&amp;IFERROR(INDEX('Vols additionnels'!$D$7:$D$66,MATCH(E13&amp;"|"&amp;$C$5,'Vols additionnels'!$J$7:$J$66,0)),""),IF(SUMIFS('Vols additionnels'!$E$7:$E$66,'Vols additionnels'!$C$7:$C$66,$C$5,'Vols additionnels'!$B$7:$B$66,E13)&gt;0,"+","")&amp;SUMIFS('Vols additionnels'!$E$7:$E$66,'Vols additionnels'!$C$7:$C$66,$C$5,'Vols additionnels'!$B$7:$B$66,E13)&amp;"x"&amp;IFERROR(INDEX('Vols additionnels'!$D$7:$D$66,MATCH(E13&amp;"|"&amp;$C$5,'Vols additionnels'!$J$7:$J$66,0)),"")),IF(SUMIFS('Vols additionnels'!$E$7:$E$66,'Vols additionnels'!$C$7:$C$66,$C$5,'Vols additionnels'!$B$7:$B$66,E13)&gt;0,"+","")&amp;SUMIFS('Vols additionnels'!$E$7:$E$66,'Vols additionnels'!$C$7:$C$66,$C$5,'Vols additionnels'!$B$7:$B$66,E13)&amp;" vols")&amp;")")))</f>
        <v/>
      </c>
      <c r="T53" s="12" t="str">
        <f aca="false">IF(F13="","",TRIM($T$17&amp;IF(SUMIFS('Vols additionnels'!$E$7:$E$66,'Vols additionnels'!$C$7:$C$66,$C$5,'Vols additionnels'!$B$7:$B$66,F13)=0,""," ("&amp;IF(COUNTIFS('Vols additionnels'!$C$7:$C$66,$C$5,'Vols additionnels'!$B$7:$B$66,F13)=1,IF(ABS(SUMIFS('Vols additionnels'!$E$7:$E$66,'Vols additionnels'!$C$7:$C$66,$C$5,'Vols additionnels'!$B$7:$B$66,F13))=1,IF(SUMIFS('Vols additionnels'!$E$7:$E$66,'Vols additionnels'!$C$7:$C$66,$C$5,'Vols additionnels'!$B$7:$B$66,F13)&gt;0,"+","-")&amp;IFERROR(INDEX('Vols additionnels'!$D$7:$D$66,MATCH(F13&amp;"|"&amp;$C$5,'Vols additionnels'!$J$7:$J$66,0)),""),IF(SUMIFS('Vols additionnels'!$E$7:$E$66,'Vols additionnels'!$C$7:$C$66,$C$5,'Vols additionnels'!$B$7:$B$66,F13)&gt;0,"+","")&amp;SUMIFS('Vols additionnels'!$E$7:$E$66,'Vols additionnels'!$C$7:$C$66,$C$5,'Vols additionnels'!$B$7:$B$66,F13)&amp;"x"&amp;IFERROR(INDEX('Vols additionnels'!$D$7:$D$66,MATCH(F13&amp;"|"&amp;$C$5,'Vols additionnels'!$J$7:$J$66,0)),"")),IF(SUMIFS('Vols additionnels'!$E$7:$E$66,'Vols additionnels'!$C$7:$C$66,$C$5,'Vols additionnels'!$B$7:$B$66,F13)&gt;0,"+","")&amp;SUMIFS('Vols additionnels'!$E$7:$E$66,'Vols additionnels'!$C$7:$C$66,$C$5,'Vols additionnels'!$B$7:$B$66,F13)&amp;" vols")&amp;")")))</f>
        <v>A320</v>
      </c>
      <c r="U53" s="12" t="str">
        <f aca="false">IF(G13="","",TRIM($U$17&amp;IF(SUMIFS('Vols additionnels'!$E$7:$E$66,'Vols additionnels'!$C$7:$C$66,$C$5,'Vols additionnels'!$B$7:$B$66,G13)=0,""," ("&amp;IF(COUNTIFS('Vols additionnels'!$C$7:$C$66,$C$5,'Vols additionnels'!$B$7:$B$66,G13)=1,IF(ABS(SUMIFS('Vols additionnels'!$E$7:$E$66,'Vols additionnels'!$C$7:$C$66,$C$5,'Vols additionnels'!$B$7:$B$66,G13))=1,IF(SUMIFS('Vols additionnels'!$E$7:$E$66,'Vols additionnels'!$C$7:$C$66,$C$5,'Vols additionnels'!$B$7:$B$66,G13)&gt;0,"+","-")&amp;IFERROR(INDEX('Vols additionnels'!$D$7:$D$66,MATCH(G13&amp;"|"&amp;$C$5,'Vols additionnels'!$J$7:$J$66,0)),""),IF(SUMIFS('Vols additionnels'!$E$7:$E$66,'Vols additionnels'!$C$7:$C$66,$C$5,'Vols additionnels'!$B$7:$B$66,G13)&gt;0,"+","")&amp;SUMIFS('Vols additionnels'!$E$7:$E$66,'Vols additionnels'!$C$7:$C$66,$C$5,'Vols additionnels'!$B$7:$B$66,G13)&amp;"x"&amp;IFERROR(INDEX('Vols additionnels'!$D$7:$D$66,MATCH(G13&amp;"|"&amp;$C$5,'Vols additionnels'!$J$7:$J$66,0)),"")),IF(SUMIFS('Vols additionnels'!$E$7:$E$66,'Vols additionnels'!$C$7:$C$66,$C$5,'Vols additionnels'!$B$7:$B$66,G13)&gt;0,"+","")&amp;SUMIFS('Vols additionnels'!$E$7:$E$66,'Vols additionnels'!$C$7:$C$66,$C$5,'Vols additionnels'!$B$7:$B$66,G13)&amp;" vols")&amp;")")))</f>
        <v/>
      </c>
      <c r="V53" s="12" t="str">
        <f aca="false">IF(H13="","",TRIM($V$17&amp;IF(SUMIFS('Vols additionnels'!$E$7:$E$66,'Vols additionnels'!$C$7:$C$66,$C$5,'Vols additionnels'!$B$7:$B$66,H13)=0,""," ("&amp;IF(COUNTIFS('Vols additionnels'!$C$7:$C$66,$C$5,'Vols additionnels'!$B$7:$B$66,H13)=1,IF(ABS(SUMIFS('Vols additionnels'!$E$7:$E$66,'Vols additionnels'!$C$7:$C$66,$C$5,'Vols additionnels'!$B$7:$B$66,H13))=1,IF(SUMIFS('Vols additionnels'!$E$7:$E$66,'Vols additionnels'!$C$7:$C$66,$C$5,'Vols additionnels'!$B$7:$B$66,H13)&gt;0,"+","-")&amp;IFERROR(INDEX('Vols additionnels'!$D$7:$D$66,MATCH(H13&amp;"|"&amp;$C$5,'Vols additionnels'!$J$7:$J$66,0)),""),IF(SUMIFS('Vols additionnels'!$E$7:$E$66,'Vols additionnels'!$C$7:$C$66,$C$5,'Vols additionnels'!$B$7:$B$66,H13)&gt;0,"+","")&amp;SUMIFS('Vols additionnels'!$E$7:$E$66,'Vols additionnels'!$C$7:$C$66,$C$5,'Vols additionnels'!$B$7:$B$66,H13)&amp;"x"&amp;IFERROR(INDEX('Vols additionnels'!$D$7:$D$66,MATCH(H13&amp;"|"&amp;$C$5,'Vols additionnels'!$J$7:$J$66,0)),"")),IF(SUMIFS('Vols additionnels'!$E$7:$E$66,'Vols additionnels'!$C$7:$C$66,$C$5,'Vols additionnels'!$B$7:$B$66,H13)&gt;0,"+","")&amp;SUMIFS('Vols additionnels'!$E$7:$E$66,'Vols additionnels'!$C$7:$C$66,$C$5,'Vols additionnels'!$B$7:$B$66,H13)&amp;" vols")&amp;")")))</f>
        <v>A320</v>
      </c>
      <c r="W53" s="12" t="str">
        <f aca="false">IF(I13="","",TRIM($W$17&amp;IF(SUMIFS('Vols additionnels'!$E$7:$E$66,'Vols additionnels'!$C$7:$C$66,$C$5,'Vols additionnels'!$B$7:$B$66,I13)=0,""," ("&amp;IF(COUNTIFS('Vols additionnels'!$C$7:$C$66,$C$5,'Vols additionnels'!$B$7:$B$66,I13)=1,IF(ABS(SUMIFS('Vols additionnels'!$E$7:$E$66,'Vols additionnels'!$C$7:$C$66,$C$5,'Vols additionnels'!$B$7:$B$66,I13))=1,IF(SUMIFS('Vols additionnels'!$E$7:$E$66,'Vols additionnels'!$C$7:$C$66,$C$5,'Vols additionnels'!$B$7:$B$66,I13)&gt;0,"+","-")&amp;IFERROR(INDEX('Vols additionnels'!$D$7:$D$66,MATCH(I13&amp;"|"&amp;$C$5,'Vols additionnels'!$J$7:$J$66,0)),""),IF(SUMIFS('Vols additionnels'!$E$7:$E$66,'Vols additionnels'!$C$7:$C$66,$C$5,'Vols additionnels'!$B$7:$B$66,I13)&gt;0,"+","")&amp;SUMIFS('Vols additionnels'!$E$7:$E$66,'Vols additionnels'!$C$7:$C$66,$C$5,'Vols additionnels'!$B$7:$B$66,I13)&amp;"x"&amp;IFERROR(INDEX('Vols additionnels'!$D$7:$D$66,MATCH(I13&amp;"|"&amp;$C$5,'Vols additionnels'!$J$7:$J$66,0)),"")),IF(SUMIFS('Vols additionnels'!$E$7:$E$66,'Vols additionnels'!$C$7:$C$66,$C$5,'Vols additionnels'!$B$7:$B$66,I13)&gt;0,"+","")&amp;SUMIFS('Vols additionnels'!$E$7:$E$66,'Vols additionnels'!$C$7:$C$66,$C$5,'Vols additionnels'!$B$7:$B$66,I13)&amp;" vols")&amp;")")))</f>
        <v/>
      </c>
    </row>
    <row r="54" customFormat="false" ht="15" hidden="false" customHeight="false" outlineLevel="0" collapsed="false">
      <c r="P54" s="28" t="s">
        <v>124</v>
      </c>
      <c r="Q54" s="12" t="str">
        <f aca="false">IF(C15="","",TRIM($Q$17&amp;IF(SUMIFS('Vols additionnels'!$E$7:$E$66,'Vols additionnels'!$C$7:$C$66,$C$5,'Vols additionnels'!$B$7:$B$66,C15)=0,""," ("&amp;IF(COUNTIFS('Vols additionnels'!$C$7:$C$66,$C$5,'Vols additionnels'!$B$7:$B$66,C15)=1,IF(ABS(SUMIFS('Vols additionnels'!$E$7:$E$66,'Vols additionnels'!$C$7:$C$66,$C$5,'Vols additionnels'!$B$7:$B$66,C15))=1,IF(SUMIFS('Vols additionnels'!$E$7:$E$66,'Vols additionnels'!$C$7:$C$66,$C$5,'Vols additionnels'!$B$7:$B$66,C15)&gt;0,"+","-")&amp;IFERROR(INDEX('Vols additionnels'!$D$7:$D$66,MATCH(C15&amp;"|"&amp;$C$5,'Vols additionnels'!$J$7:$J$66,0)),""),IF(SUMIFS('Vols additionnels'!$E$7:$E$66,'Vols additionnels'!$C$7:$C$66,$C$5,'Vols additionnels'!$B$7:$B$66,C15)&gt;0,"+","")&amp;SUMIFS('Vols additionnels'!$E$7:$E$66,'Vols additionnels'!$C$7:$C$66,$C$5,'Vols additionnels'!$B$7:$B$66,C15)&amp;"x"&amp;IFERROR(INDEX('Vols additionnels'!$D$7:$D$66,MATCH(C15&amp;"|"&amp;$C$5,'Vols additionnels'!$J$7:$J$66,0)),"")),IF(SUMIFS('Vols additionnels'!$E$7:$E$66,'Vols additionnels'!$C$7:$C$66,$C$5,'Vols additionnels'!$B$7:$B$66,C15)&gt;0,"+","")&amp;SUMIFS('Vols additionnels'!$E$7:$E$66,'Vols additionnels'!$C$7:$C$66,$C$5,'Vols additionnels'!$B$7:$B$66,C15)&amp;" vols")&amp;")")))</f>
        <v>A320</v>
      </c>
      <c r="R54" s="12" t="str">
        <f aca="false">IF(D15="","",TRIM($R$17&amp;IF(SUMIFS('Vols additionnels'!$E$7:$E$66,'Vols additionnels'!$C$7:$C$66,$C$5,'Vols additionnels'!$B$7:$B$66,D15)=0,""," ("&amp;IF(COUNTIFS('Vols additionnels'!$C$7:$C$66,$C$5,'Vols additionnels'!$B$7:$B$66,D15)=1,IF(ABS(SUMIFS('Vols additionnels'!$E$7:$E$66,'Vols additionnels'!$C$7:$C$66,$C$5,'Vols additionnels'!$B$7:$B$66,D15))=1,IF(SUMIFS('Vols additionnels'!$E$7:$E$66,'Vols additionnels'!$C$7:$C$66,$C$5,'Vols additionnels'!$B$7:$B$66,D15)&gt;0,"+","-")&amp;IFERROR(INDEX('Vols additionnels'!$D$7:$D$66,MATCH(D15&amp;"|"&amp;$C$5,'Vols additionnels'!$J$7:$J$66,0)),""),IF(SUMIFS('Vols additionnels'!$E$7:$E$66,'Vols additionnels'!$C$7:$C$66,$C$5,'Vols additionnels'!$B$7:$B$66,D15)&gt;0,"+","")&amp;SUMIFS('Vols additionnels'!$E$7:$E$66,'Vols additionnels'!$C$7:$C$66,$C$5,'Vols additionnels'!$B$7:$B$66,D15)&amp;"x"&amp;IFERROR(INDEX('Vols additionnels'!$D$7:$D$66,MATCH(D15&amp;"|"&amp;$C$5,'Vols additionnels'!$J$7:$J$66,0)),"")),IF(SUMIFS('Vols additionnels'!$E$7:$E$66,'Vols additionnels'!$C$7:$C$66,$C$5,'Vols additionnels'!$B$7:$B$66,D15)&gt;0,"+","")&amp;SUMIFS('Vols additionnels'!$E$7:$E$66,'Vols additionnels'!$C$7:$C$66,$C$5,'Vols additionnels'!$B$7:$B$66,D15)&amp;" vols")&amp;")")))</f>
        <v/>
      </c>
      <c r="S54" s="12" t="str">
        <f aca="false">IF(E15="","",TRIM($S$17&amp;IF(SUMIFS('Vols additionnels'!$E$7:$E$66,'Vols additionnels'!$C$7:$C$66,$C$5,'Vols additionnels'!$B$7:$B$66,E15)=0,""," ("&amp;IF(COUNTIFS('Vols additionnels'!$C$7:$C$66,$C$5,'Vols additionnels'!$B$7:$B$66,E15)=1,IF(ABS(SUMIFS('Vols additionnels'!$E$7:$E$66,'Vols additionnels'!$C$7:$C$66,$C$5,'Vols additionnels'!$B$7:$B$66,E15))=1,IF(SUMIFS('Vols additionnels'!$E$7:$E$66,'Vols additionnels'!$C$7:$C$66,$C$5,'Vols additionnels'!$B$7:$B$66,E15)&gt;0,"+","-")&amp;IFERROR(INDEX('Vols additionnels'!$D$7:$D$66,MATCH(E15&amp;"|"&amp;$C$5,'Vols additionnels'!$J$7:$J$66,0)),""),IF(SUMIFS('Vols additionnels'!$E$7:$E$66,'Vols additionnels'!$C$7:$C$66,$C$5,'Vols additionnels'!$B$7:$B$66,E15)&gt;0,"+","")&amp;SUMIFS('Vols additionnels'!$E$7:$E$66,'Vols additionnels'!$C$7:$C$66,$C$5,'Vols additionnels'!$B$7:$B$66,E15)&amp;"x"&amp;IFERROR(INDEX('Vols additionnels'!$D$7:$D$66,MATCH(E15&amp;"|"&amp;$C$5,'Vols additionnels'!$J$7:$J$66,0)),"")),IF(SUMIFS('Vols additionnels'!$E$7:$E$66,'Vols additionnels'!$C$7:$C$66,$C$5,'Vols additionnels'!$B$7:$B$66,E15)&gt;0,"+","")&amp;SUMIFS('Vols additionnels'!$E$7:$E$66,'Vols additionnels'!$C$7:$C$66,$C$5,'Vols additionnels'!$B$7:$B$66,E15)&amp;" vols")&amp;")")))</f>
        <v/>
      </c>
      <c r="T54" s="12" t="str">
        <f aca="false">IF(F15="","",TRIM($T$17&amp;IF(SUMIFS('Vols additionnels'!$E$7:$E$66,'Vols additionnels'!$C$7:$C$66,$C$5,'Vols additionnels'!$B$7:$B$66,F15)=0,""," ("&amp;IF(COUNTIFS('Vols additionnels'!$C$7:$C$66,$C$5,'Vols additionnels'!$B$7:$B$66,F15)=1,IF(ABS(SUMIFS('Vols additionnels'!$E$7:$E$66,'Vols additionnels'!$C$7:$C$66,$C$5,'Vols additionnels'!$B$7:$B$66,F15))=1,IF(SUMIFS('Vols additionnels'!$E$7:$E$66,'Vols additionnels'!$C$7:$C$66,$C$5,'Vols additionnels'!$B$7:$B$66,F15)&gt;0,"+","-")&amp;IFERROR(INDEX('Vols additionnels'!$D$7:$D$66,MATCH(F15&amp;"|"&amp;$C$5,'Vols additionnels'!$J$7:$J$66,0)),""),IF(SUMIFS('Vols additionnels'!$E$7:$E$66,'Vols additionnels'!$C$7:$C$66,$C$5,'Vols additionnels'!$B$7:$B$66,F15)&gt;0,"+","")&amp;SUMIFS('Vols additionnels'!$E$7:$E$66,'Vols additionnels'!$C$7:$C$66,$C$5,'Vols additionnels'!$B$7:$B$66,F15)&amp;"x"&amp;IFERROR(INDEX('Vols additionnels'!$D$7:$D$66,MATCH(F15&amp;"|"&amp;$C$5,'Vols additionnels'!$J$7:$J$66,0)),"")),IF(SUMIFS('Vols additionnels'!$E$7:$E$66,'Vols additionnels'!$C$7:$C$66,$C$5,'Vols additionnels'!$B$7:$B$66,F15)&gt;0,"+","")&amp;SUMIFS('Vols additionnels'!$E$7:$E$66,'Vols additionnels'!$C$7:$C$66,$C$5,'Vols additionnels'!$B$7:$B$66,F15)&amp;" vols")&amp;")")))</f>
        <v>A320</v>
      </c>
      <c r="U54" s="12" t="str">
        <f aca="false">IF(G15="","",TRIM($U$17&amp;IF(SUMIFS('Vols additionnels'!$E$7:$E$66,'Vols additionnels'!$C$7:$C$66,$C$5,'Vols additionnels'!$B$7:$B$66,G15)=0,""," ("&amp;IF(COUNTIFS('Vols additionnels'!$C$7:$C$66,$C$5,'Vols additionnels'!$B$7:$B$66,G15)=1,IF(ABS(SUMIFS('Vols additionnels'!$E$7:$E$66,'Vols additionnels'!$C$7:$C$66,$C$5,'Vols additionnels'!$B$7:$B$66,G15))=1,IF(SUMIFS('Vols additionnels'!$E$7:$E$66,'Vols additionnels'!$C$7:$C$66,$C$5,'Vols additionnels'!$B$7:$B$66,G15)&gt;0,"+","-")&amp;IFERROR(INDEX('Vols additionnels'!$D$7:$D$66,MATCH(G15&amp;"|"&amp;$C$5,'Vols additionnels'!$J$7:$J$66,0)),""),IF(SUMIFS('Vols additionnels'!$E$7:$E$66,'Vols additionnels'!$C$7:$C$66,$C$5,'Vols additionnels'!$B$7:$B$66,G15)&gt;0,"+","")&amp;SUMIFS('Vols additionnels'!$E$7:$E$66,'Vols additionnels'!$C$7:$C$66,$C$5,'Vols additionnels'!$B$7:$B$66,G15)&amp;"x"&amp;IFERROR(INDEX('Vols additionnels'!$D$7:$D$66,MATCH(G15&amp;"|"&amp;$C$5,'Vols additionnels'!$J$7:$J$66,0)),"")),IF(SUMIFS('Vols additionnels'!$E$7:$E$66,'Vols additionnels'!$C$7:$C$66,$C$5,'Vols additionnels'!$B$7:$B$66,G15)&gt;0,"+","")&amp;SUMIFS('Vols additionnels'!$E$7:$E$66,'Vols additionnels'!$C$7:$C$66,$C$5,'Vols additionnels'!$B$7:$B$66,G15)&amp;" vols")&amp;")")))</f>
        <v/>
      </c>
      <c r="V54" s="12" t="str">
        <f aca="false">IF(H15="","",TRIM($V$17&amp;IF(SUMIFS('Vols additionnels'!$E$7:$E$66,'Vols additionnels'!$C$7:$C$66,$C$5,'Vols additionnels'!$B$7:$B$66,H15)=0,""," ("&amp;IF(COUNTIFS('Vols additionnels'!$C$7:$C$66,$C$5,'Vols additionnels'!$B$7:$B$66,H15)=1,IF(ABS(SUMIFS('Vols additionnels'!$E$7:$E$66,'Vols additionnels'!$C$7:$C$66,$C$5,'Vols additionnels'!$B$7:$B$66,H15))=1,IF(SUMIFS('Vols additionnels'!$E$7:$E$66,'Vols additionnels'!$C$7:$C$66,$C$5,'Vols additionnels'!$B$7:$B$66,H15)&gt;0,"+","-")&amp;IFERROR(INDEX('Vols additionnels'!$D$7:$D$66,MATCH(H15&amp;"|"&amp;$C$5,'Vols additionnels'!$J$7:$J$66,0)),""),IF(SUMIFS('Vols additionnels'!$E$7:$E$66,'Vols additionnels'!$C$7:$C$66,$C$5,'Vols additionnels'!$B$7:$B$66,H15)&gt;0,"+","")&amp;SUMIFS('Vols additionnels'!$E$7:$E$66,'Vols additionnels'!$C$7:$C$66,$C$5,'Vols additionnels'!$B$7:$B$66,H15)&amp;"x"&amp;IFERROR(INDEX('Vols additionnels'!$D$7:$D$66,MATCH(H15&amp;"|"&amp;$C$5,'Vols additionnels'!$J$7:$J$66,0)),"")),IF(SUMIFS('Vols additionnels'!$E$7:$E$66,'Vols additionnels'!$C$7:$C$66,$C$5,'Vols additionnels'!$B$7:$B$66,H15)&gt;0,"+","")&amp;SUMIFS('Vols additionnels'!$E$7:$E$66,'Vols additionnels'!$C$7:$C$66,$C$5,'Vols additionnels'!$B$7:$B$66,H15)&amp;" vols")&amp;")")))</f>
        <v>A320</v>
      </c>
      <c r="W54" s="12" t="str">
        <f aca="false">IF(I15="","",TRIM($W$17&amp;IF(SUMIFS('Vols additionnels'!$E$7:$E$66,'Vols additionnels'!$C$7:$C$66,$C$5,'Vols additionnels'!$B$7:$B$66,I15)=0,""," ("&amp;IF(COUNTIFS('Vols additionnels'!$C$7:$C$66,$C$5,'Vols additionnels'!$B$7:$B$66,I15)=1,IF(ABS(SUMIFS('Vols additionnels'!$E$7:$E$66,'Vols additionnels'!$C$7:$C$66,$C$5,'Vols additionnels'!$B$7:$B$66,I15))=1,IF(SUMIFS('Vols additionnels'!$E$7:$E$66,'Vols additionnels'!$C$7:$C$66,$C$5,'Vols additionnels'!$B$7:$B$66,I15)&gt;0,"+","-")&amp;IFERROR(INDEX('Vols additionnels'!$D$7:$D$66,MATCH(I15&amp;"|"&amp;$C$5,'Vols additionnels'!$J$7:$J$66,0)),""),IF(SUMIFS('Vols additionnels'!$E$7:$E$66,'Vols additionnels'!$C$7:$C$66,$C$5,'Vols additionnels'!$B$7:$B$66,I15)&gt;0,"+","")&amp;SUMIFS('Vols additionnels'!$E$7:$E$66,'Vols additionnels'!$C$7:$C$66,$C$5,'Vols additionnels'!$B$7:$B$66,I15)&amp;"x"&amp;IFERROR(INDEX('Vols additionnels'!$D$7:$D$66,MATCH(I15&amp;"|"&amp;$C$5,'Vols additionnels'!$J$7:$J$66,0)),"")),IF(SUMIFS('Vols additionnels'!$E$7:$E$66,'Vols additionnels'!$C$7:$C$66,$C$5,'Vols additionnels'!$B$7:$B$66,I15)&gt;0,"+","")&amp;SUMIFS('Vols additionnels'!$E$7:$E$66,'Vols additionnels'!$C$7:$C$66,$C$5,'Vols additionnels'!$B$7:$B$66,I15)&amp;" vols")&amp;")")))</f>
        <v/>
      </c>
    </row>
    <row r="55" customFormat="false" ht="15" hidden="false" customHeight="false" outlineLevel="0" collapsed="false">
      <c r="P55" s="28" t="s">
        <v>125</v>
      </c>
      <c r="Q55" s="12" t="str">
        <f aca="false">IF(C17="","",TRIM($Q$17&amp;IF(SUMIFS('Vols additionnels'!$E$7:$E$66,'Vols additionnels'!$C$7:$C$66,$C$5,'Vols additionnels'!$B$7:$B$66,C17)=0,""," ("&amp;IF(COUNTIFS('Vols additionnels'!$C$7:$C$66,$C$5,'Vols additionnels'!$B$7:$B$66,C17)=1,IF(ABS(SUMIFS('Vols additionnels'!$E$7:$E$66,'Vols additionnels'!$C$7:$C$66,$C$5,'Vols additionnels'!$B$7:$B$66,C17))=1,IF(SUMIFS('Vols additionnels'!$E$7:$E$66,'Vols additionnels'!$C$7:$C$66,$C$5,'Vols additionnels'!$B$7:$B$66,C17)&gt;0,"+","-")&amp;IFERROR(INDEX('Vols additionnels'!$D$7:$D$66,MATCH(C17&amp;"|"&amp;$C$5,'Vols additionnels'!$J$7:$J$66,0)),""),IF(SUMIFS('Vols additionnels'!$E$7:$E$66,'Vols additionnels'!$C$7:$C$66,$C$5,'Vols additionnels'!$B$7:$B$66,C17)&gt;0,"+","")&amp;SUMIFS('Vols additionnels'!$E$7:$E$66,'Vols additionnels'!$C$7:$C$66,$C$5,'Vols additionnels'!$B$7:$B$66,C17)&amp;"x"&amp;IFERROR(INDEX('Vols additionnels'!$D$7:$D$66,MATCH(C17&amp;"|"&amp;$C$5,'Vols additionnels'!$J$7:$J$66,0)),"")),IF(SUMIFS('Vols additionnels'!$E$7:$E$66,'Vols additionnels'!$C$7:$C$66,$C$5,'Vols additionnels'!$B$7:$B$66,C17)&gt;0,"+","")&amp;SUMIFS('Vols additionnels'!$E$7:$E$66,'Vols additionnels'!$C$7:$C$66,$C$5,'Vols additionnels'!$B$7:$B$66,C17)&amp;" vols")&amp;")")))</f>
        <v>A320</v>
      </c>
      <c r="R55" s="12" t="str">
        <f aca="false">IF(D17="","",TRIM($R$17&amp;IF(SUMIFS('Vols additionnels'!$E$7:$E$66,'Vols additionnels'!$C$7:$C$66,$C$5,'Vols additionnels'!$B$7:$B$66,D17)=0,""," ("&amp;IF(COUNTIFS('Vols additionnels'!$C$7:$C$66,$C$5,'Vols additionnels'!$B$7:$B$66,D17)=1,IF(ABS(SUMIFS('Vols additionnels'!$E$7:$E$66,'Vols additionnels'!$C$7:$C$66,$C$5,'Vols additionnels'!$B$7:$B$66,D17))=1,IF(SUMIFS('Vols additionnels'!$E$7:$E$66,'Vols additionnels'!$C$7:$C$66,$C$5,'Vols additionnels'!$B$7:$B$66,D17)&gt;0,"+","-")&amp;IFERROR(INDEX('Vols additionnels'!$D$7:$D$66,MATCH(D17&amp;"|"&amp;$C$5,'Vols additionnels'!$J$7:$J$66,0)),""),IF(SUMIFS('Vols additionnels'!$E$7:$E$66,'Vols additionnels'!$C$7:$C$66,$C$5,'Vols additionnels'!$B$7:$B$66,D17)&gt;0,"+","")&amp;SUMIFS('Vols additionnels'!$E$7:$E$66,'Vols additionnels'!$C$7:$C$66,$C$5,'Vols additionnels'!$B$7:$B$66,D17)&amp;"x"&amp;IFERROR(INDEX('Vols additionnels'!$D$7:$D$66,MATCH(D17&amp;"|"&amp;$C$5,'Vols additionnels'!$J$7:$J$66,0)),"")),IF(SUMIFS('Vols additionnels'!$E$7:$E$66,'Vols additionnels'!$C$7:$C$66,$C$5,'Vols additionnels'!$B$7:$B$66,D17)&gt;0,"+","")&amp;SUMIFS('Vols additionnels'!$E$7:$E$66,'Vols additionnels'!$C$7:$C$66,$C$5,'Vols additionnels'!$B$7:$B$66,D17)&amp;" vols")&amp;")")))</f>
        <v/>
      </c>
      <c r="S55" s="12" t="str">
        <f aca="false">IF(E17="","",TRIM($S$17&amp;IF(SUMIFS('Vols additionnels'!$E$7:$E$66,'Vols additionnels'!$C$7:$C$66,$C$5,'Vols additionnels'!$B$7:$B$66,E17)=0,""," ("&amp;IF(COUNTIFS('Vols additionnels'!$C$7:$C$66,$C$5,'Vols additionnels'!$B$7:$B$66,E17)=1,IF(ABS(SUMIFS('Vols additionnels'!$E$7:$E$66,'Vols additionnels'!$C$7:$C$66,$C$5,'Vols additionnels'!$B$7:$B$66,E17))=1,IF(SUMIFS('Vols additionnels'!$E$7:$E$66,'Vols additionnels'!$C$7:$C$66,$C$5,'Vols additionnels'!$B$7:$B$66,E17)&gt;0,"+","-")&amp;IFERROR(INDEX('Vols additionnels'!$D$7:$D$66,MATCH(E17&amp;"|"&amp;$C$5,'Vols additionnels'!$J$7:$J$66,0)),""),IF(SUMIFS('Vols additionnels'!$E$7:$E$66,'Vols additionnels'!$C$7:$C$66,$C$5,'Vols additionnels'!$B$7:$B$66,E17)&gt;0,"+","")&amp;SUMIFS('Vols additionnels'!$E$7:$E$66,'Vols additionnels'!$C$7:$C$66,$C$5,'Vols additionnels'!$B$7:$B$66,E17)&amp;"x"&amp;IFERROR(INDEX('Vols additionnels'!$D$7:$D$66,MATCH(E17&amp;"|"&amp;$C$5,'Vols additionnels'!$J$7:$J$66,0)),"")),IF(SUMIFS('Vols additionnels'!$E$7:$E$66,'Vols additionnels'!$C$7:$C$66,$C$5,'Vols additionnels'!$B$7:$B$66,E17)&gt;0,"+","")&amp;SUMIFS('Vols additionnels'!$E$7:$E$66,'Vols additionnels'!$C$7:$C$66,$C$5,'Vols additionnels'!$B$7:$B$66,E17)&amp;" vols")&amp;")")))</f>
        <v/>
      </c>
      <c r="T55" s="12" t="str">
        <f aca="false">IF(F17="","",TRIM($T$17&amp;IF(SUMIFS('Vols additionnels'!$E$7:$E$66,'Vols additionnels'!$C$7:$C$66,$C$5,'Vols additionnels'!$B$7:$B$66,F17)=0,""," ("&amp;IF(COUNTIFS('Vols additionnels'!$C$7:$C$66,$C$5,'Vols additionnels'!$B$7:$B$66,F17)=1,IF(ABS(SUMIFS('Vols additionnels'!$E$7:$E$66,'Vols additionnels'!$C$7:$C$66,$C$5,'Vols additionnels'!$B$7:$B$66,F17))=1,IF(SUMIFS('Vols additionnels'!$E$7:$E$66,'Vols additionnels'!$C$7:$C$66,$C$5,'Vols additionnels'!$B$7:$B$66,F17)&gt;0,"+","-")&amp;IFERROR(INDEX('Vols additionnels'!$D$7:$D$66,MATCH(F17&amp;"|"&amp;$C$5,'Vols additionnels'!$J$7:$J$66,0)),""),IF(SUMIFS('Vols additionnels'!$E$7:$E$66,'Vols additionnels'!$C$7:$C$66,$C$5,'Vols additionnels'!$B$7:$B$66,F17)&gt;0,"+","")&amp;SUMIFS('Vols additionnels'!$E$7:$E$66,'Vols additionnels'!$C$7:$C$66,$C$5,'Vols additionnels'!$B$7:$B$66,F17)&amp;"x"&amp;IFERROR(INDEX('Vols additionnels'!$D$7:$D$66,MATCH(F17&amp;"|"&amp;$C$5,'Vols additionnels'!$J$7:$J$66,0)),"")),IF(SUMIFS('Vols additionnels'!$E$7:$E$66,'Vols additionnels'!$C$7:$C$66,$C$5,'Vols additionnels'!$B$7:$B$66,F17)&gt;0,"+","")&amp;SUMIFS('Vols additionnels'!$E$7:$E$66,'Vols additionnels'!$C$7:$C$66,$C$5,'Vols additionnels'!$B$7:$B$66,F17)&amp;" vols")&amp;")")))</f>
        <v>A320</v>
      </c>
      <c r="U55" s="12" t="str">
        <f aca="false">IF(G17="","",TRIM($U$17&amp;IF(SUMIFS('Vols additionnels'!$E$7:$E$66,'Vols additionnels'!$C$7:$C$66,$C$5,'Vols additionnels'!$B$7:$B$66,G17)=0,""," ("&amp;IF(COUNTIFS('Vols additionnels'!$C$7:$C$66,$C$5,'Vols additionnels'!$B$7:$B$66,G17)=1,IF(ABS(SUMIFS('Vols additionnels'!$E$7:$E$66,'Vols additionnels'!$C$7:$C$66,$C$5,'Vols additionnels'!$B$7:$B$66,G17))=1,IF(SUMIFS('Vols additionnels'!$E$7:$E$66,'Vols additionnels'!$C$7:$C$66,$C$5,'Vols additionnels'!$B$7:$B$66,G17)&gt;0,"+","-")&amp;IFERROR(INDEX('Vols additionnels'!$D$7:$D$66,MATCH(G17&amp;"|"&amp;$C$5,'Vols additionnels'!$J$7:$J$66,0)),""),IF(SUMIFS('Vols additionnels'!$E$7:$E$66,'Vols additionnels'!$C$7:$C$66,$C$5,'Vols additionnels'!$B$7:$B$66,G17)&gt;0,"+","")&amp;SUMIFS('Vols additionnels'!$E$7:$E$66,'Vols additionnels'!$C$7:$C$66,$C$5,'Vols additionnels'!$B$7:$B$66,G17)&amp;"x"&amp;IFERROR(INDEX('Vols additionnels'!$D$7:$D$66,MATCH(G17&amp;"|"&amp;$C$5,'Vols additionnels'!$J$7:$J$66,0)),"")),IF(SUMIFS('Vols additionnels'!$E$7:$E$66,'Vols additionnels'!$C$7:$C$66,$C$5,'Vols additionnels'!$B$7:$B$66,G17)&gt;0,"+","")&amp;SUMIFS('Vols additionnels'!$E$7:$E$66,'Vols additionnels'!$C$7:$C$66,$C$5,'Vols additionnels'!$B$7:$B$66,G17)&amp;" vols")&amp;")")))</f>
        <v/>
      </c>
      <c r="V55" s="12" t="str">
        <f aca="false">IF(H17="","",TRIM($V$17&amp;IF(SUMIFS('Vols additionnels'!$E$7:$E$66,'Vols additionnels'!$C$7:$C$66,$C$5,'Vols additionnels'!$B$7:$B$66,H17)=0,""," ("&amp;IF(COUNTIFS('Vols additionnels'!$C$7:$C$66,$C$5,'Vols additionnels'!$B$7:$B$66,H17)=1,IF(ABS(SUMIFS('Vols additionnels'!$E$7:$E$66,'Vols additionnels'!$C$7:$C$66,$C$5,'Vols additionnels'!$B$7:$B$66,H17))=1,IF(SUMIFS('Vols additionnels'!$E$7:$E$66,'Vols additionnels'!$C$7:$C$66,$C$5,'Vols additionnels'!$B$7:$B$66,H17)&gt;0,"+","-")&amp;IFERROR(INDEX('Vols additionnels'!$D$7:$D$66,MATCH(H17&amp;"|"&amp;$C$5,'Vols additionnels'!$J$7:$J$66,0)),""),IF(SUMIFS('Vols additionnels'!$E$7:$E$66,'Vols additionnels'!$C$7:$C$66,$C$5,'Vols additionnels'!$B$7:$B$66,H17)&gt;0,"+","")&amp;SUMIFS('Vols additionnels'!$E$7:$E$66,'Vols additionnels'!$C$7:$C$66,$C$5,'Vols additionnels'!$B$7:$B$66,H17)&amp;"x"&amp;IFERROR(INDEX('Vols additionnels'!$D$7:$D$66,MATCH(H17&amp;"|"&amp;$C$5,'Vols additionnels'!$J$7:$J$66,0)),"")),IF(SUMIFS('Vols additionnels'!$E$7:$E$66,'Vols additionnels'!$C$7:$C$66,$C$5,'Vols additionnels'!$B$7:$B$66,H17)&gt;0,"+","")&amp;SUMIFS('Vols additionnels'!$E$7:$E$66,'Vols additionnels'!$C$7:$C$66,$C$5,'Vols additionnels'!$B$7:$B$66,H17)&amp;" vols")&amp;")")))</f>
        <v/>
      </c>
      <c r="W55" s="12" t="str">
        <f aca="false">IF(I17="","",TRIM($W$17&amp;IF(SUMIFS('Vols additionnels'!$E$7:$E$66,'Vols additionnels'!$C$7:$C$66,$C$5,'Vols additionnels'!$B$7:$B$66,I17)=0,""," ("&amp;IF(COUNTIFS('Vols additionnels'!$C$7:$C$66,$C$5,'Vols additionnels'!$B$7:$B$66,I17)=1,IF(ABS(SUMIFS('Vols additionnels'!$E$7:$E$66,'Vols additionnels'!$C$7:$C$66,$C$5,'Vols additionnels'!$B$7:$B$66,I17))=1,IF(SUMIFS('Vols additionnels'!$E$7:$E$66,'Vols additionnels'!$C$7:$C$66,$C$5,'Vols additionnels'!$B$7:$B$66,I17)&gt;0,"+","-")&amp;IFERROR(INDEX('Vols additionnels'!$D$7:$D$66,MATCH(I17&amp;"|"&amp;$C$5,'Vols additionnels'!$J$7:$J$66,0)),""),IF(SUMIFS('Vols additionnels'!$E$7:$E$66,'Vols additionnels'!$C$7:$C$66,$C$5,'Vols additionnels'!$B$7:$B$66,I17)&gt;0,"+","")&amp;SUMIFS('Vols additionnels'!$E$7:$E$66,'Vols additionnels'!$C$7:$C$66,$C$5,'Vols additionnels'!$B$7:$B$66,I17)&amp;"x"&amp;IFERROR(INDEX('Vols additionnels'!$D$7:$D$66,MATCH(I17&amp;"|"&amp;$C$5,'Vols additionnels'!$J$7:$J$66,0)),"")),IF(SUMIFS('Vols additionnels'!$E$7:$E$66,'Vols additionnels'!$C$7:$C$66,$C$5,'Vols additionnels'!$B$7:$B$66,I17)&gt;0,"+","")&amp;SUMIFS('Vols additionnels'!$E$7:$E$66,'Vols additionnels'!$C$7:$C$66,$C$5,'Vols additionnels'!$B$7:$B$66,I17)&amp;" vols")&amp;")")))</f>
        <v/>
      </c>
    </row>
    <row r="56" customFormat="false" ht="15" hidden="false" customHeight="false" outlineLevel="0" collapsed="false">
      <c r="P56" s="28" t="s">
        <v>126</v>
      </c>
      <c r="Q56" s="12" t="str">
        <f aca="false">IF(C19="","",TRIM($Q$17&amp;IF(SUMIFS('Vols additionnels'!$E$7:$E$66,'Vols additionnels'!$C$7:$C$66,$C$5,'Vols additionnels'!$B$7:$B$66,C19)=0,""," ("&amp;IF(COUNTIFS('Vols additionnels'!$C$7:$C$66,$C$5,'Vols additionnels'!$B$7:$B$66,C19)=1,IF(ABS(SUMIFS('Vols additionnels'!$E$7:$E$66,'Vols additionnels'!$C$7:$C$66,$C$5,'Vols additionnels'!$B$7:$B$66,C19))=1,IF(SUMIFS('Vols additionnels'!$E$7:$E$66,'Vols additionnels'!$C$7:$C$66,$C$5,'Vols additionnels'!$B$7:$B$66,C19)&gt;0,"+","-")&amp;IFERROR(INDEX('Vols additionnels'!$D$7:$D$66,MATCH(C19&amp;"|"&amp;$C$5,'Vols additionnels'!$J$7:$J$66,0)),""),IF(SUMIFS('Vols additionnels'!$E$7:$E$66,'Vols additionnels'!$C$7:$C$66,$C$5,'Vols additionnels'!$B$7:$B$66,C19)&gt;0,"+","")&amp;SUMIFS('Vols additionnels'!$E$7:$E$66,'Vols additionnels'!$C$7:$C$66,$C$5,'Vols additionnels'!$B$7:$B$66,C19)&amp;"x"&amp;IFERROR(INDEX('Vols additionnels'!$D$7:$D$66,MATCH(C19&amp;"|"&amp;$C$5,'Vols additionnels'!$J$7:$J$66,0)),"")),IF(SUMIFS('Vols additionnels'!$E$7:$E$66,'Vols additionnels'!$C$7:$C$66,$C$5,'Vols additionnels'!$B$7:$B$66,C19)&gt;0,"+","")&amp;SUMIFS('Vols additionnels'!$E$7:$E$66,'Vols additionnels'!$C$7:$C$66,$C$5,'Vols additionnels'!$B$7:$B$66,C19)&amp;" vols")&amp;")")))</f>
        <v/>
      </c>
      <c r="R56" s="12" t="str">
        <f aca="false">IF(D19="","",TRIM($R$17&amp;IF(SUMIFS('Vols additionnels'!$E$7:$E$66,'Vols additionnels'!$C$7:$C$66,$C$5,'Vols additionnels'!$B$7:$B$66,D19)=0,""," ("&amp;IF(COUNTIFS('Vols additionnels'!$C$7:$C$66,$C$5,'Vols additionnels'!$B$7:$B$66,D19)=1,IF(ABS(SUMIFS('Vols additionnels'!$E$7:$E$66,'Vols additionnels'!$C$7:$C$66,$C$5,'Vols additionnels'!$B$7:$B$66,D19))=1,IF(SUMIFS('Vols additionnels'!$E$7:$E$66,'Vols additionnels'!$C$7:$C$66,$C$5,'Vols additionnels'!$B$7:$B$66,D19)&gt;0,"+","-")&amp;IFERROR(INDEX('Vols additionnels'!$D$7:$D$66,MATCH(D19&amp;"|"&amp;$C$5,'Vols additionnels'!$J$7:$J$66,0)),""),IF(SUMIFS('Vols additionnels'!$E$7:$E$66,'Vols additionnels'!$C$7:$C$66,$C$5,'Vols additionnels'!$B$7:$B$66,D19)&gt;0,"+","")&amp;SUMIFS('Vols additionnels'!$E$7:$E$66,'Vols additionnels'!$C$7:$C$66,$C$5,'Vols additionnels'!$B$7:$B$66,D19)&amp;"x"&amp;IFERROR(INDEX('Vols additionnels'!$D$7:$D$66,MATCH(D19&amp;"|"&amp;$C$5,'Vols additionnels'!$J$7:$J$66,0)),"")),IF(SUMIFS('Vols additionnels'!$E$7:$E$66,'Vols additionnels'!$C$7:$C$66,$C$5,'Vols additionnels'!$B$7:$B$66,D19)&gt;0,"+","")&amp;SUMIFS('Vols additionnels'!$E$7:$E$66,'Vols additionnels'!$C$7:$C$66,$C$5,'Vols additionnels'!$B$7:$B$66,D19)&amp;" vols")&amp;")")))</f>
        <v/>
      </c>
      <c r="S56" s="12" t="str">
        <f aca="false">IF(E19="","",TRIM($S$17&amp;IF(SUMIFS('Vols additionnels'!$E$7:$E$66,'Vols additionnels'!$C$7:$C$66,$C$5,'Vols additionnels'!$B$7:$B$66,E19)=0,""," ("&amp;IF(COUNTIFS('Vols additionnels'!$C$7:$C$66,$C$5,'Vols additionnels'!$B$7:$B$66,E19)=1,IF(ABS(SUMIFS('Vols additionnels'!$E$7:$E$66,'Vols additionnels'!$C$7:$C$66,$C$5,'Vols additionnels'!$B$7:$B$66,E19))=1,IF(SUMIFS('Vols additionnels'!$E$7:$E$66,'Vols additionnels'!$C$7:$C$66,$C$5,'Vols additionnels'!$B$7:$B$66,E19)&gt;0,"+","-")&amp;IFERROR(INDEX('Vols additionnels'!$D$7:$D$66,MATCH(E19&amp;"|"&amp;$C$5,'Vols additionnels'!$J$7:$J$66,0)),""),IF(SUMIFS('Vols additionnels'!$E$7:$E$66,'Vols additionnels'!$C$7:$C$66,$C$5,'Vols additionnels'!$B$7:$B$66,E19)&gt;0,"+","")&amp;SUMIFS('Vols additionnels'!$E$7:$E$66,'Vols additionnels'!$C$7:$C$66,$C$5,'Vols additionnels'!$B$7:$B$66,E19)&amp;"x"&amp;IFERROR(INDEX('Vols additionnels'!$D$7:$D$66,MATCH(E19&amp;"|"&amp;$C$5,'Vols additionnels'!$J$7:$J$66,0)),"")),IF(SUMIFS('Vols additionnels'!$E$7:$E$66,'Vols additionnels'!$C$7:$C$66,$C$5,'Vols additionnels'!$B$7:$B$66,E19)&gt;0,"+","")&amp;SUMIFS('Vols additionnels'!$E$7:$E$66,'Vols additionnels'!$C$7:$C$66,$C$5,'Vols additionnels'!$B$7:$B$66,E19)&amp;" vols")&amp;")")))</f>
        <v/>
      </c>
      <c r="T56" s="12" t="str">
        <f aca="false">IF(F19="","",TRIM($T$17&amp;IF(SUMIFS('Vols additionnels'!$E$7:$E$66,'Vols additionnels'!$C$7:$C$66,$C$5,'Vols additionnels'!$B$7:$B$66,F19)=0,""," ("&amp;IF(COUNTIFS('Vols additionnels'!$C$7:$C$66,$C$5,'Vols additionnels'!$B$7:$B$66,F19)=1,IF(ABS(SUMIFS('Vols additionnels'!$E$7:$E$66,'Vols additionnels'!$C$7:$C$66,$C$5,'Vols additionnels'!$B$7:$B$66,F19))=1,IF(SUMIFS('Vols additionnels'!$E$7:$E$66,'Vols additionnels'!$C$7:$C$66,$C$5,'Vols additionnels'!$B$7:$B$66,F19)&gt;0,"+","-")&amp;IFERROR(INDEX('Vols additionnels'!$D$7:$D$66,MATCH(F19&amp;"|"&amp;$C$5,'Vols additionnels'!$J$7:$J$66,0)),""),IF(SUMIFS('Vols additionnels'!$E$7:$E$66,'Vols additionnels'!$C$7:$C$66,$C$5,'Vols additionnels'!$B$7:$B$66,F19)&gt;0,"+","")&amp;SUMIFS('Vols additionnels'!$E$7:$E$66,'Vols additionnels'!$C$7:$C$66,$C$5,'Vols additionnels'!$B$7:$B$66,F19)&amp;"x"&amp;IFERROR(INDEX('Vols additionnels'!$D$7:$D$66,MATCH(F19&amp;"|"&amp;$C$5,'Vols additionnels'!$J$7:$J$66,0)),"")),IF(SUMIFS('Vols additionnels'!$E$7:$E$66,'Vols additionnels'!$C$7:$C$66,$C$5,'Vols additionnels'!$B$7:$B$66,F19)&gt;0,"+","")&amp;SUMIFS('Vols additionnels'!$E$7:$E$66,'Vols additionnels'!$C$7:$C$66,$C$5,'Vols additionnels'!$B$7:$B$66,F19)&amp;" vols")&amp;")")))</f>
        <v/>
      </c>
      <c r="U56" s="12" t="str">
        <f aca="false">IF(G19="","",TRIM($U$17&amp;IF(SUMIFS('Vols additionnels'!$E$7:$E$66,'Vols additionnels'!$C$7:$C$66,$C$5,'Vols additionnels'!$B$7:$B$66,G19)=0,""," ("&amp;IF(COUNTIFS('Vols additionnels'!$C$7:$C$66,$C$5,'Vols additionnels'!$B$7:$B$66,G19)=1,IF(ABS(SUMIFS('Vols additionnels'!$E$7:$E$66,'Vols additionnels'!$C$7:$C$66,$C$5,'Vols additionnels'!$B$7:$B$66,G19))=1,IF(SUMIFS('Vols additionnels'!$E$7:$E$66,'Vols additionnels'!$C$7:$C$66,$C$5,'Vols additionnels'!$B$7:$B$66,G19)&gt;0,"+","-")&amp;IFERROR(INDEX('Vols additionnels'!$D$7:$D$66,MATCH(G19&amp;"|"&amp;$C$5,'Vols additionnels'!$J$7:$J$66,0)),""),IF(SUMIFS('Vols additionnels'!$E$7:$E$66,'Vols additionnels'!$C$7:$C$66,$C$5,'Vols additionnels'!$B$7:$B$66,G19)&gt;0,"+","")&amp;SUMIFS('Vols additionnels'!$E$7:$E$66,'Vols additionnels'!$C$7:$C$66,$C$5,'Vols additionnels'!$B$7:$B$66,G19)&amp;"x"&amp;IFERROR(INDEX('Vols additionnels'!$D$7:$D$66,MATCH(G19&amp;"|"&amp;$C$5,'Vols additionnels'!$J$7:$J$66,0)),"")),IF(SUMIFS('Vols additionnels'!$E$7:$E$66,'Vols additionnels'!$C$7:$C$66,$C$5,'Vols additionnels'!$B$7:$B$66,G19)&gt;0,"+","")&amp;SUMIFS('Vols additionnels'!$E$7:$E$66,'Vols additionnels'!$C$7:$C$66,$C$5,'Vols additionnels'!$B$7:$B$66,G19)&amp;" vols")&amp;")")))</f>
        <v/>
      </c>
      <c r="V56" s="12" t="str">
        <f aca="false">IF(H19="","",TRIM($V$17&amp;IF(SUMIFS('Vols additionnels'!$E$7:$E$66,'Vols additionnels'!$C$7:$C$66,$C$5,'Vols additionnels'!$B$7:$B$66,H19)=0,""," ("&amp;IF(COUNTIFS('Vols additionnels'!$C$7:$C$66,$C$5,'Vols additionnels'!$B$7:$B$66,H19)=1,IF(ABS(SUMIFS('Vols additionnels'!$E$7:$E$66,'Vols additionnels'!$C$7:$C$66,$C$5,'Vols additionnels'!$B$7:$B$66,H19))=1,IF(SUMIFS('Vols additionnels'!$E$7:$E$66,'Vols additionnels'!$C$7:$C$66,$C$5,'Vols additionnels'!$B$7:$B$66,H19)&gt;0,"+","-")&amp;IFERROR(INDEX('Vols additionnels'!$D$7:$D$66,MATCH(H19&amp;"|"&amp;$C$5,'Vols additionnels'!$J$7:$J$66,0)),""),IF(SUMIFS('Vols additionnels'!$E$7:$E$66,'Vols additionnels'!$C$7:$C$66,$C$5,'Vols additionnels'!$B$7:$B$66,H19)&gt;0,"+","")&amp;SUMIFS('Vols additionnels'!$E$7:$E$66,'Vols additionnels'!$C$7:$C$66,$C$5,'Vols additionnels'!$B$7:$B$66,H19)&amp;"x"&amp;IFERROR(INDEX('Vols additionnels'!$D$7:$D$66,MATCH(H19&amp;"|"&amp;$C$5,'Vols additionnels'!$J$7:$J$66,0)),"")),IF(SUMIFS('Vols additionnels'!$E$7:$E$66,'Vols additionnels'!$C$7:$C$66,$C$5,'Vols additionnels'!$B$7:$B$66,H19)&gt;0,"+","")&amp;SUMIFS('Vols additionnels'!$E$7:$E$66,'Vols additionnels'!$C$7:$C$66,$C$5,'Vols additionnels'!$B$7:$B$66,H19)&amp;" vols")&amp;")")))</f>
        <v/>
      </c>
      <c r="W56" s="12" t="str">
        <f aca="false">IF(I19="","",TRIM($W$17&amp;IF(SUMIFS('Vols additionnels'!$E$7:$E$66,'Vols additionnels'!$C$7:$C$66,$C$5,'Vols additionnels'!$B$7:$B$66,I19)=0,""," ("&amp;IF(COUNTIFS('Vols additionnels'!$C$7:$C$66,$C$5,'Vols additionnels'!$B$7:$B$66,I19)=1,IF(ABS(SUMIFS('Vols additionnels'!$E$7:$E$66,'Vols additionnels'!$C$7:$C$66,$C$5,'Vols additionnels'!$B$7:$B$66,I19))=1,IF(SUMIFS('Vols additionnels'!$E$7:$E$66,'Vols additionnels'!$C$7:$C$66,$C$5,'Vols additionnels'!$B$7:$B$66,I19)&gt;0,"+","-")&amp;IFERROR(INDEX('Vols additionnels'!$D$7:$D$66,MATCH(I19&amp;"|"&amp;$C$5,'Vols additionnels'!$J$7:$J$66,0)),""),IF(SUMIFS('Vols additionnels'!$E$7:$E$66,'Vols additionnels'!$C$7:$C$66,$C$5,'Vols additionnels'!$B$7:$B$66,I19)&gt;0,"+","")&amp;SUMIFS('Vols additionnels'!$E$7:$E$66,'Vols additionnels'!$C$7:$C$66,$C$5,'Vols additionnels'!$B$7:$B$66,I19)&amp;"x"&amp;IFERROR(INDEX('Vols additionnels'!$D$7:$D$66,MATCH(I19&amp;"|"&amp;$C$5,'Vols additionnels'!$J$7:$J$66,0)),"")),IF(SUMIFS('Vols additionnels'!$E$7:$E$66,'Vols additionnels'!$C$7:$C$66,$C$5,'Vols additionnels'!$B$7:$B$66,I19)&gt;0,"+","")&amp;SUMIFS('Vols additionnels'!$E$7:$E$66,'Vols additionnels'!$C$7:$C$66,$C$5,'Vols additionnels'!$B$7:$B$66,I19)&amp;" vols")&amp;")")))</f>
        <v/>
      </c>
    </row>
    <row r="57" customFormat="false" ht="15" hidden="false" customHeight="false" outlineLevel="0" collapsed="false">
      <c r="P57" s="28" t="s">
        <v>127</v>
      </c>
      <c r="Q57" s="12" t="str">
        <f aca="false">IF(C9="","",TRIM(SUBSTITUTE(TRIM(IF(Q$30=0,"",IF(Q$30=1,"77W",Q$30&amp;"x77W"))&amp;" "&amp;IF(Q$36=0,"",IF(Q$36=1,"787",Q$36&amp;"x787"))&amp;" "&amp;IF(Q$42=0,"",IF(Q$42=1,"A320",Q$42&amp;"xA320")))," ","/")&amp;IF(SUMIFS('Vols additionnels'!$E$7:$E$66,'Vols additionnels'!$C$7:$C$66,$C$5,'Vols additionnels'!$K$7:$K$66,C9)=0,""," ("&amp;IF(COUNTIFS('Vols additionnels'!$C$7:$C$66,$C$5,'Vols additionnels'!$K$7:$K$66,C9)=1,IF(ABS(SUMIFS('Vols additionnels'!$E$7:$E$66,'Vols additionnels'!$C$7:$C$66,$C$5,'Vols additionnels'!$K$7:$K$66,C9))=1,IF(SUMIFS('Vols additionnels'!$E$7:$E$66,'Vols additionnels'!$C$7:$C$66,$C$5,'Vols additionnels'!$K$7:$K$66,C9)&gt;0,"+","-")&amp;IFERROR(INDEX('Vols additionnels'!$D$7:$D$66,MATCH(C9&amp;"|"&amp;$C$5,'Vols additionnels'!$L$7:$L$66,0)),""),IF(SUMIFS('Vols additionnels'!$E$7:$E$66,'Vols additionnels'!$C$7:$C$66,$C$5,'Vols additionnels'!$K$7:$K$66,C9)&gt;0,"+","")&amp;SUMIFS('Vols additionnels'!$E$7:$E$66,'Vols additionnels'!$C$7:$C$66,$C$5,'Vols additionnels'!$K$7:$K$66,C9)&amp;"x"&amp;IFERROR(INDEX('Vols additionnels'!$D$7:$D$66,MATCH(C9&amp;"|"&amp;$C$5,'Vols additionnels'!$L$7:$L$66,0)),"")),IF(SUMIFS('Vols additionnels'!$E$7:$E$66,'Vols additionnels'!$C$7:$C$66,$C$5,'Vols additionnels'!$K$7:$K$66,C9)&gt;0,"+","")&amp;SUMIFS('Vols additionnels'!$E$7:$E$66,'Vols additionnels'!$C$7:$C$66,$C$5,'Vols additionnels'!$K$7:$K$66,C9)&amp;" vols")&amp;")")))</f>
        <v/>
      </c>
      <c r="R57" s="12" t="str">
        <f aca="false">IF(D9="","",TRIM(SUBSTITUTE(TRIM(IF(R$30=0,"",IF(R$30=1,"77W",R$30&amp;"x77W"))&amp;" "&amp;IF(R$36=0,"",IF(R$36=1,"787",R$36&amp;"x787"))&amp;" "&amp;IF(R$42=0,"",IF(R$42=1,"A320",R$42&amp;"xA320")))," ","/")&amp;IF(SUMIFS('Vols additionnels'!$E$7:$E$66,'Vols additionnels'!$C$7:$C$66,$C$5,'Vols additionnels'!$K$7:$K$66,D9)=0,""," ("&amp;IF(COUNTIFS('Vols additionnels'!$C$7:$C$66,$C$5,'Vols additionnels'!$K$7:$K$66,D9)=1,IF(ABS(SUMIFS('Vols additionnels'!$E$7:$E$66,'Vols additionnels'!$C$7:$C$66,$C$5,'Vols additionnels'!$K$7:$K$66,D9))=1,IF(SUMIFS('Vols additionnels'!$E$7:$E$66,'Vols additionnels'!$C$7:$C$66,$C$5,'Vols additionnels'!$K$7:$K$66,D9)&gt;0,"+","-")&amp;IFERROR(INDEX('Vols additionnels'!$D$7:$D$66,MATCH(D9&amp;"|"&amp;$C$5,'Vols additionnels'!$L$7:$L$66,0)),""),IF(SUMIFS('Vols additionnels'!$E$7:$E$66,'Vols additionnels'!$C$7:$C$66,$C$5,'Vols additionnels'!$K$7:$K$66,D9)&gt;0,"+","")&amp;SUMIFS('Vols additionnels'!$E$7:$E$66,'Vols additionnels'!$C$7:$C$66,$C$5,'Vols additionnels'!$K$7:$K$66,D9)&amp;"x"&amp;IFERROR(INDEX('Vols additionnels'!$D$7:$D$66,MATCH(D9&amp;"|"&amp;$C$5,'Vols additionnels'!$L$7:$L$66,0)),"")),IF(SUMIFS('Vols additionnels'!$E$7:$E$66,'Vols additionnels'!$C$7:$C$66,$C$5,'Vols additionnels'!$K$7:$K$66,D9)&gt;0,"+","")&amp;SUMIFS('Vols additionnels'!$E$7:$E$66,'Vols additionnels'!$C$7:$C$66,$C$5,'Vols additionnels'!$K$7:$K$66,D9)&amp;" vols")&amp;")")))</f>
        <v/>
      </c>
      <c r="S57" s="12" t="str">
        <f aca="false">IF(E9="","",TRIM(SUBSTITUTE(TRIM(IF(S$30=0,"",IF(S$30=1,"77W",S$30&amp;"x77W"))&amp;" "&amp;IF(S$36=0,"",IF(S$36=1,"787",S$36&amp;"x787"))&amp;" "&amp;IF(S$42=0,"",IF(S$42=1,"A320",S$42&amp;"xA320")))," ","/")&amp;IF(SUMIFS('Vols additionnels'!$E$7:$E$66,'Vols additionnels'!$C$7:$C$66,$C$5,'Vols additionnels'!$K$7:$K$66,E9)=0,""," ("&amp;IF(COUNTIFS('Vols additionnels'!$C$7:$C$66,$C$5,'Vols additionnels'!$K$7:$K$66,E9)=1,IF(ABS(SUMIFS('Vols additionnels'!$E$7:$E$66,'Vols additionnels'!$C$7:$C$66,$C$5,'Vols additionnels'!$K$7:$K$66,E9))=1,IF(SUMIFS('Vols additionnels'!$E$7:$E$66,'Vols additionnels'!$C$7:$C$66,$C$5,'Vols additionnels'!$K$7:$K$66,E9)&gt;0,"+","-")&amp;IFERROR(INDEX('Vols additionnels'!$D$7:$D$66,MATCH(E9&amp;"|"&amp;$C$5,'Vols additionnels'!$L$7:$L$66,0)),""),IF(SUMIFS('Vols additionnels'!$E$7:$E$66,'Vols additionnels'!$C$7:$C$66,$C$5,'Vols additionnels'!$K$7:$K$66,E9)&gt;0,"+","")&amp;SUMIFS('Vols additionnels'!$E$7:$E$66,'Vols additionnels'!$C$7:$C$66,$C$5,'Vols additionnels'!$K$7:$K$66,E9)&amp;"x"&amp;IFERROR(INDEX('Vols additionnels'!$D$7:$D$66,MATCH(E9&amp;"|"&amp;$C$5,'Vols additionnels'!$L$7:$L$66,0)),"")),IF(SUMIFS('Vols additionnels'!$E$7:$E$66,'Vols additionnels'!$C$7:$C$66,$C$5,'Vols additionnels'!$K$7:$K$66,E9)&gt;0,"+","")&amp;SUMIFS('Vols additionnels'!$E$7:$E$66,'Vols additionnels'!$C$7:$C$66,$C$5,'Vols additionnels'!$K$7:$K$66,E9)&amp;" vols")&amp;")")))</f>
        <v/>
      </c>
      <c r="T57" s="12" t="str">
        <f aca="false">IF(F9="","",TRIM(SUBSTITUTE(TRIM(IF(T$30=0,"",IF(T$30=1,"77W",T$30&amp;"x77W"))&amp;" "&amp;IF(T$36=0,"",IF(T$36=1,"787",T$36&amp;"x787"))&amp;" "&amp;IF(T$42=0,"",IF(T$42=1,"A320",T$42&amp;"xA320")))," ","/")&amp;IF(SUMIFS('Vols additionnels'!$E$7:$E$66,'Vols additionnels'!$C$7:$C$66,$C$5,'Vols additionnels'!$K$7:$K$66,F9)=0,""," ("&amp;IF(COUNTIFS('Vols additionnels'!$C$7:$C$66,$C$5,'Vols additionnels'!$K$7:$K$66,F9)=1,IF(ABS(SUMIFS('Vols additionnels'!$E$7:$E$66,'Vols additionnels'!$C$7:$C$66,$C$5,'Vols additionnels'!$K$7:$K$66,F9))=1,IF(SUMIFS('Vols additionnels'!$E$7:$E$66,'Vols additionnels'!$C$7:$C$66,$C$5,'Vols additionnels'!$K$7:$K$66,F9)&gt;0,"+","-")&amp;IFERROR(INDEX('Vols additionnels'!$D$7:$D$66,MATCH(F9&amp;"|"&amp;$C$5,'Vols additionnels'!$L$7:$L$66,0)),""),IF(SUMIFS('Vols additionnels'!$E$7:$E$66,'Vols additionnels'!$C$7:$C$66,$C$5,'Vols additionnels'!$K$7:$K$66,F9)&gt;0,"+","")&amp;SUMIFS('Vols additionnels'!$E$7:$E$66,'Vols additionnels'!$C$7:$C$66,$C$5,'Vols additionnels'!$K$7:$K$66,F9)&amp;"x"&amp;IFERROR(INDEX('Vols additionnels'!$D$7:$D$66,MATCH(F9&amp;"|"&amp;$C$5,'Vols additionnels'!$L$7:$L$66,0)),"")),IF(SUMIFS('Vols additionnels'!$E$7:$E$66,'Vols additionnels'!$C$7:$C$66,$C$5,'Vols additionnels'!$K$7:$K$66,F9)&gt;0,"+","")&amp;SUMIFS('Vols additionnels'!$E$7:$E$66,'Vols additionnels'!$C$7:$C$66,$C$5,'Vols additionnels'!$K$7:$K$66,F9)&amp;" vols")&amp;")")))</f>
        <v/>
      </c>
      <c r="U57" s="12" t="str">
        <f aca="false">IF(G9="","",TRIM(SUBSTITUTE(TRIM(IF(U$30=0,"",IF(U$30=1,"77W",U$30&amp;"x77W"))&amp;" "&amp;IF(U$36=0,"",IF(U$36=1,"787",U$36&amp;"x787"))&amp;" "&amp;IF(U$42=0,"",IF(U$42=1,"A320",U$42&amp;"xA320")))," ","/")&amp;IF(SUMIFS('Vols additionnels'!$E$7:$E$66,'Vols additionnels'!$C$7:$C$66,$C$5,'Vols additionnels'!$K$7:$K$66,G9)=0,""," ("&amp;IF(COUNTIFS('Vols additionnels'!$C$7:$C$66,$C$5,'Vols additionnels'!$K$7:$K$66,G9)=1,IF(ABS(SUMIFS('Vols additionnels'!$E$7:$E$66,'Vols additionnels'!$C$7:$C$66,$C$5,'Vols additionnels'!$K$7:$K$66,G9))=1,IF(SUMIFS('Vols additionnels'!$E$7:$E$66,'Vols additionnels'!$C$7:$C$66,$C$5,'Vols additionnels'!$K$7:$K$66,G9)&gt;0,"+","-")&amp;IFERROR(INDEX('Vols additionnels'!$D$7:$D$66,MATCH(G9&amp;"|"&amp;$C$5,'Vols additionnels'!$L$7:$L$66,0)),""),IF(SUMIFS('Vols additionnels'!$E$7:$E$66,'Vols additionnels'!$C$7:$C$66,$C$5,'Vols additionnels'!$K$7:$K$66,G9)&gt;0,"+","")&amp;SUMIFS('Vols additionnels'!$E$7:$E$66,'Vols additionnels'!$C$7:$C$66,$C$5,'Vols additionnels'!$K$7:$K$66,G9)&amp;"x"&amp;IFERROR(INDEX('Vols additionnels'!$D$7:$D$66,MATCH(G9&amp;"|"&amp;$C$5,'Vols additionnels'!$L$7:$L$66,0)),"")),IF(SUMIFS('Vols additionnels'!$E$7:$E$66,'Vols additionnels'!$C$7:$C$66,$C$5,'Vols additionnels'!$K$7:$K$66,G9)&gt;0,"+","")&amp;SUMIFS('Vols additionnels'!$E$7:$E$66,'Vols additionnels'!$C$7:$C$66,$C$5,'Vols additionnels'!$K$7:$K$66,G9)&amp;" vols")&amp;")")))</f>
        <v/>
      </c>
      <c r="V57" s="12" t="str">
        <f aca="false">IF(H9="","",TRIM(SUBSTITUTE(TRIM(IF(V$30=0,"",IF(V$30=1,"77W",V$30&amp;"x77W"))&amp;" "&amp;IF(V$36=0,"",IF(V$36=1,"787",V$36&amp;"x787"))&amp;" "&amp;IF(V$42=0,"",IF(V$42=1,"A320",V$42&amp;"xA320")))," ","/")&amp;IF(SUMIFS('Vols additionnels'!$E$7:$E$66,'Vols additionnels'!$C$7:$C$66,$C$5,'Vols additionnels'!$K$7:$K$66,H9)=0,""," ("&amp;IF(COUNTIFS('Vols additionnels'!$C$7:$C$66,$C$5,'Vols additionnels'!$K$7:$K$66,H9)=1,IF(ABS(SUMIFS('Vols additionnels'!$E$7:$E$66,'Vols additionnels'!$C$7:$C$66,$C$5,'Vols additionnels'!$K$7:$K$66,H9))=1,IF(SUMIFS('Vols additionnels'!$E$7:$E$66,'Vols additionnels'!$C$7:$C$66,$C$5,'Vols additionnels'!$K$7:$K$66,H9)&gt;0,"+","-")&amp;IFERROR(INDEX('Vols additionnels'!$D$7:$D$66,MATCH(H9&amp;"|"&amp;$C$5,'Vols additionnels'!$L$7:$L$66,0)),""),IF(SUMIFS('Vols additionnels'!$E$7:$E$66,'Vols additionnels'!$C$7:$C$66,$C$5,'Vols additionnels'!$K$7:$K$66,H9)&gt;0,"+","")&amp;SUMIFS('Vols additionnels'!$E$7:$E$66,'Vols additionnels'!$C$7:$C$66,$C$5,'Vols additionnels'!$K$7:$K$66,H9)&amp;"x"&amp;IFERROR(INDEX('Vols additionnels'!$D$7:$D$66,MATCH(H9&amp;"|"&amp;$C$5,'Vols additionnels'!$L$7:$L$66,0)),"")),IF(SUMIFS('Vols additionnels'!$E$7:$E$66,'Vols additionnels'!$C$7:$C$66,$C$5,'Vols additionnels'!$K$7:$K$66,H9)&gt;0,"+","")&amp;SUMIFS('Vols additionnels'!$E$7:$E$66,'Vols additionnels'!$C$7:$C$66,$C$5,'Vols additionnels'!$K$7:$K$66,H9)&amp;" vols")&amp;")")))</f>
        <v/>
      </c>
      <c r="W57" s="12" t="str">
        <f aca="false">IF(I9="","",TRIM(SUBSTITUTE(TRIM(IF(W$30=0,"",IF(W$30=1,"77W",W$30&amp;"x77W"))&amp;" "&amp;IF(W$36=0,"",IF(W$36=1,"787",W$36&amp;"x787"))&amp;" "&amp;IF(W$42=0,"",IF(W$42=1,"A320",W$42&amp;"xA320")))," ","/")&amp;IF(SUMIFS('Vols additionnels'!$E$7:$E$66,'Vols additionnels'!$C$7:$C$66,$C$5,'Vols additionnels'!$K$7:$K$66,I9)=0,""," ("&amp;IF(COUNTIFS('Vols additionnels'!$C$7:$C$66,$C$5,'Vols additionnels'!$K$7:$K$66,I9)=1,IF(ABS(SUMIFS('Vols additionnels'!$E$7:$E$66,'Vols additionnels'!$C$7:$C$66,$C$5,'Vols additionnels'!$K$7:$K$66,I9))=1,IF(SUMIFS('Vols additionnels'!$E$7:$E$66,'Vols additionnels'!$C$7:$C$66,$C$5,'Vols additionnels'!$K$7:$K$66,I9)&gt;0,"+","-")&amp;IFERROR(INDEX('Vols additionnels'!$D$7:$D$66,MATCH(I9&amp;"|"&amp;$C$5,'Vols additionnels'!$L$7:$L$66,0)),""),IF(SUMIFS('Vols additionnels'!$E$7:$E$66,'Vols additionnels'!$C$7:$C$66,$C$5,'Vols additionnels'!$K$7:$K$66,I9)&gt;0,"+","")&amp;SUMIFS('Vols additionnels'!$E$7:$E$66,'Vols additionnels'!$C$7:$C$66,$C$5,'Vols additionnels'!$K$7:$K$66,I9)&amp;"x"&amp;IFERROR(INDEX('Vols additionnels'!$D$7:$D$66,MATCH(I9&amp;"|"&amp;$C$5,'Vols additionnels'!$L$7:$L$66,0)),"")),IF(SUMIFS('Vols additionnels'!$E$7:$E$66,'Vols additionnels'!$C$7:$C$66,$C$5,'Vols additionnels'!$K$7:$K$66,I9)&gt;0,"+","")&amp;SUMIFS('Vols additionnels'!$E$7:$E$66,'Vols additionnels'!$C$7:$C$66,$C$5,'Vols additionnels'!$K$7:$K$66,I9)&amp;" vols")&amp;")")))</f>
        <v/>
      </c>
    </row>
    <row r="58" customFormat="false" ht="15" hidden="false" customHeight="false" outlineLevel="0" collapsed="false">
      <c r="P58" s="28" t="s">
        <v>128</v>
      </c>
      <c r="Q58" s="12" t="str">
        <f aca="false">IF(C11="","",TRIM(SUBSTITUTE(TRIM(IF(Q$31=0,"",IF(Q$31=1,"77W",Q$31&amp;"x77W"))&amp;" "&amp;IF(Q$37=0,"",IF(Q$37=1,"787",Q$37&amp;"x787"))&amp;" "&amp;IF(Q$43=0,"",IF(Q$43=1,"A320",Q$43&amp;"xA320")))," ","/")&amp;IF(SUMIFS('Vols additionnels'!$E$7:$E$66,'Vols additionnels'!$C$7:$C$66,$C$5,'Vols additionnels'!$K$7:$K$66,C11)=0,""," ("&amp;IF(COUNTIFS('Vols additionnels'!$C$7:$C$66,$C$5,'Vols additionnels'!$K$7:$K$66,C11)=1,IF(ABS(SUMIFS('Vols additionnels'!$E$7:$E$66,'Vols additionnels'!$C$7:$C$66,$C$5,'Vols additionnels'!$K$7:$K$66,C11))=1,IF(SUMIFS('Vols additionnels'!$E$7:$E$66,'Vols additionnels'!$C$7:$C$66,$C$5,'Vols additionnels'!$K$7:$K$66,C11)&gt;0,"+","-")&amp;IFERROR(INDEX('Vols additionnels'!$D$7:$D$66,MATCH(C11&amp;"|"&amp;$C$5,'Vols additionnels'!$L$7:$L$66,0)),""),IF(SUMIFS('Vols additionnels'!$E$7:$E$66,'Vols additionnels'!$C$7:$C$66,$C$5,'Vols additionnels'!$K$7:$K$66,C11)&gt;0,"+","")&amp;SUMIFS('Vols additionnels'!$E$7:$E$66,'Vols additionnels'!$C$7:$C$66,$C$5,'Vols additionnels'!$K$7:$K$66,C11)&amp;"x"&amp;IFERROR(INDEX('Vols additionnels'!$D$7:$D$66,MATCH(C11&amp;"|"&amp;$C$5,'Vols additionnels'!$L$7:$L$66,0)),"")),IF(SUMIFS('Vols additionnels'!$E$7:$E$66,'Vols additionnels'!$C$7:$C$66,$C$5,'Vols additionnels'!$K$7:$K$66,C11)&gt;0,"+","")&amp;SUMIFS('Vols additionnels'!$E$7:$E$66,'Vols additionnels'!$C$7:$C$66,$C$5,'Vols additionnels'!$K$7:$K$66,C11)&amp;" vols")&amp;")")))</f>
        <v/>
      </c>
      <c r="R58" s="12" t="str">
        <f aca="false">IF(D11="","",TRIM(SUBSTITUTE(TRIM(IF(R$31=0,"",IF(R$31=1,"77W",R$31&amp;"x77W"))&amp;" "&amp;IF(R$37=0,"",IF(R$37=1,"787",R$37&amp;"x787"))&amp;" "&amp;IF(R$43=0,"",IF(R$43=1,"A320",R$43&amp;"xA320")))," ","/")&amp;IF(SUMIFS('Vols additionnels'!$E$7:$E$66,'Vols additionnels'!$C$7:$C$66,$C$5,'Vols additionnels'!$K$7:$K$66,D11)=0,""," ("&amp;IF(COUNTIFS('Vols additionnels'!$C$7:$C$66,$C$5,'Vols additionnels'!$K$7:$K$66,D11)=1,IF(ABS(SUMIFS('Vols additionnels'!$E$7:$E$66,'Vols additionnels'!$C$7:$C$66,$C$5,'Vols additionnels'!$K$7:$K$66,D11))=1,IF(SUMIFS('Vols additionnels'!$E$7:$E$66,'Vols additionnels'!$C$7:$C$66,$C$5,'Vols additionnels'!$K$7:$K$66,D11)&gt;0,"+","-")&amp;IFERROR(INDEX('Vols additionnels'!$D$7:$D$66,MATCH(D11&amp;"|"&amp;$C$5,'Vols additionnels'!$L$7:$L$66,0)),""),IF(SUMIFS('Vols additionnels'!$E$7:$E$66,'Vols additionnels'!$C$7:$C$66,$C$5,'Vols additionnels'!$K$7:$K$66,D11)&gt;0,"+","")&amp;SUMIFS('Vols additionnels'!$E$7:$E$66,'Vols additionnels'!$C$7:$C$66,$C$5,'Vols additionnels'!$K$7:$K$66,D11)&amp;"x"&amp;IFERROR(INDEX('Vols additionnels'!$D$7:$D$66,MATCH(D11&amp;"|"&amp;$C$5,'Vols additionnels'!$L$7:$L$66,0)),"")),IF(SUMIFS('Vols additionnels'!$E$7:$E$66,'Vols additionnels'!$C$7:$C$66,$C$5,'Vols additionnels'!$K$7:$K$66,D11)&gt;0,"+","")&amp;SUMIFS('Vols additionnels'!$E$7:$E$66,'Vols additionnels'!$C$7:$C$66,$C$5,'Vols additionnels'!$K$7:$K$66,D11)&amp;" vols")&amp;")")))</f>
        <v/>
      </c>
      <c r="S58" s="12" t="str">
        <f aca="false">IF(E11="","",TRIM(SUBSTITUTE(TRIM(IF(S$31=0,"",IF(S$31=1,"77W",S$31&amp;"x77W"))&amp;" "&amp;IF(S$37=0,"",IF(S$37=1,"787",S$37&amp;"x787"))&amp;" "&amp;IF(S$43=0,"",IF(S$43=1,"A320",S$43&amp;"xA320")))," ","/")&amp;IF(SUMIFS('Vols additionnels'!$E$7:$E$66,'Vols additionnels'!$C$7:$C$66,$C$5,'Vols additionnels'!$K$7:$K$66,E11)=0,""," ("&amp;IF(COUNTIFS('Vols additionnels'!$C$7:$C$66,$C$5,'Vols additionnels'!$K$7:$K$66,E11)=1,IF(ABS(SUMIFS('Vols additionnels'!$E$7:$E$66,'Vols additionnels'!$C$7:$C$66,$C$5,'Vols additionnels'!$K$7:$K$66,E11))=1,IF(SUMIFS('Vols additionnels'!$E$7:$E$66,'Vols additionnels'!$C$7:$C$66,$C$5,'Vols additionnels'!$K$7:$K$66,E11)&gt;0,"+","-")&amp;IFERROR(INDEX('Vols additionnels'!$D$7:$D$66,MATCH(E11&amp;"|"&amp;$C$5,'Vols additionnels'!$L$7:$L$66,0)),""),IF(SUMIFS('Vols additionnels'!$E$7:$E$66,'Vols additionnels'!$C$7:$C$66,$C$5,'Vols additionnels'!$K$7:$K$66,E11)&gt;0,"+","")&amp;SUMIFS('Vols additionnels'!$E$7:$E$66,'Vols additionnels'!$C$7:$C$66,$C$5,'Vols additionnels'!$K$7:$K$66,E11)&amp;"x"&amp;IFERROR(INDEX('Vols additionnels'!$D$7:$D$66,MATCH(E11&amp;"|"&amp;$C$5,'Vols additionnels'!$L$7:$L$66,0)),"")),IF(SUMIFS('Vols additionnels'!$E$7:$E$66,'Vols additionnels'!$C$7:$C$66,$C$5,'Vols additionnels'!$K$7:$K$66,E11)&gt;0,"+","")&amp;SUMIFS('Vols additionnels'!$E$7:$E$66,'Vols additionnels'!$C$7:$C$66,$C$5,'Vols additionnels'!$K$7:$K$66,E11)&amp;" vols")&amp;")")))</f>
        <v/>
      </c>
      <c r="T58" s="12" t="str">
        <f aca="false">IF(F11="","",TRIM(SUBSTITUTE(TRIM(IF(T$31=0,"",IF(T$31=1,"77W",T$31&amp;"x77W"))&amp;" "&amp;IF(T$37=0,"",IF(T$37=1,"787",T$37&amp;"x787"))&amp;" "&amp;IF(T$43=0,"",IF(T$43=1,"A320",T$43&amp;"xA320")))," ","/")&amp;IF(SUMIFS('Vols additionnels'!$E$7:$E$66,'Vols additionnels'!$C$7:$C$66,$C$5,'Vols additionnels'!$K$7:$K$66,F11)=0,""," ("&amp;IF(COUNTIFS('Vols additionnels'!$C$7:$C$66,$C$5,'Vols additionnels'!$K$7:$K$66,F11)=1,IF(ABS(SUMIFS('Vols additionnels'!$E$7:$E$66,'Vols additionnels'!$C$7:$C$66,$C$5,'Vols additionnels'!$K$7:$K$66,F11))=1,IF(SUMIFS('Vols additionnels'!$E$7:$E$66,'Vols additionnels'!$C$7:$C$66,$C$5,'Vols additionnels'!$K$7:$K$66,F11)&gt;0,"+","-")&amp;IFERROR(INDEX('Vols additionnels'!$D$7:$D$66,MATCH(F11&amp;"|"&amp;$C$5,'Vols additionnels'!$L$7:$L$66,0)),""),IF(SUMIFS('Vols additionnels'!$E$7:$E$66,'Vols additionnels'!$C$7:$C$66,$C$5,'Vols additionnels'!$K$7:$K$66,F11)&gt;0,"+","")&amp;SUMIFS('Vols additionnels'!$E$7:$E$66,'Vols additionnels'!$C$7:$C$66,$C$5,'Vols additionnels'!$K$7:$K$66,F11)&amp;"x"&amp;IFERROR(INDEX('Vols additionnels'!$D$7:$D$66,MATCH(F11&amp;"|"&amp;$C$5,'Vols additionnels'!$L$7:$L$66,0)),"")),IF(SUMIFS('Vols additionnels'!$E$7:$E$66,'Vols additionnels'!$C$7:$C$66,$C$5,'Vols additionnels'!$K$7:$K$66,F11)&gt;0,"+","")&amp;SUMIFS('Vols additionnels'!$E$7:$E$66,'Vols additionnels'!$C$7:$C$66,$C$5,'Vols additionnels'!$K$7:$K$66,F11)&amp;" vols")&amp;")")))</f>
        <v/>
      </c>
      <c r="U58" s="12" t="str">
        <f aca="false">IF(G11="","",TRIM(SUBSTITUTE(TRIM(IF(U$31=0,"",IF(U$31=1,"77W",U$31&amp;"x77W"))&amp;" "&amp;IF(U$37=0,"",IF(U$37=1,"787",U$37&amp;"x787"))&amp;" "&amp;IF(U$43=0,"",IF(U$43=1,"A320",U$43&amp;"xA320")))," ","/")&amp;IF(SUMIFS('Vols additionnels'!$E$7:$E$66,'Vols additionnels'!$C$7:$C$66,$C$5,'Vols additionnels'!$K$7:$K$66,G11)=0,""," ("&amp;IF(COUNTIFS('Vols additionnels'!$C$7:$C$66,$C$5,'Vols additionnels'!$K$7:$K$66,G11)=1,IF(ABS(SUMIFS('Vols additionnels'!$E$7:$E$66,'Vols additionnels'!$C$7:$C$66,$C$5,'Vols additionnels'!$K$7:$K$66,G11))=1,IF(SUMIFS('Vols additionnels'!$E$7:$E$66,'Vols additionnels'!$C$7:$C$66,$C$5,'Vols additionnels'!$K$7:$K$66,G11)&gt;0,"+","-")&amp;IFERROR(INDEX('Vols additionnels'!$D$7:$D$66,MATCH(G11&amp;"|"&amp;$C$5,'Vols additionnels'!$L$7:$L$66,0)),""),IF(SUMIFS('Vols additionnels'!$E$7:$E$66,'Vols additionnels'!$C$7:$C$66,$C$5,'Vols additionnels'!$K$7:$K$66,G11)&gt;0,"+","")&amp;SUMIFS('Vols additionnels'!$E$7:$E$66,'Vols additionnels'!$C$7:$C$66,$C$5,'Vols additionnels'!$K$7:$K$66,G11)&amp;"x"&amp;IFERROR(INDEX('Vols additionnels'!$D$7:$D$66,MATCH(G11&amp;"|"&amp;$C$5,'Vols additionnels'!$L$7:$L$66,0)),"")),IF(SUMIFS('Vols additionnels'!$E$7:$E$66,'Vols additionnels'!$C$7:$C$66,$C$5,'Vols additionnels'!$K$7:$K$66,G11)&gt;0,"+","")&amp;SUMIFS('Vols additionnels'!$E$7:$E$66,'Vols additionnels'!$C$7:$C$66,$C$5,'Vols additionnels'!$K$7:$K$66,G11)&amp;" vols")&amp;")")))</f>
        <v/>
      </c>
      <c r="V58" s="12" t="str">
        <f aca="false">IF(H11="","",TRIM(SUBSTITUTE(TRIM(IF(V$31=0,"",IF(V$31=1,"77W",V$31&amp;"x77W"))&amp;" "&amp;IF(V$37=0,"",IF(V$37=1,"787",V$37&amp;"x787"))&amp;" "&amp;IF(V$43=0,"",IF(V$43=1,"A320",V$43&amp;"xA320")))," ","/")&amp;IF(SUMIFS('Vols additionnels'!$E$7:$E$66,'Vols additionnels'!$C$7:$C$66,$C$5,'Vols additionnels'!$K$7:$K$66,H11)=0,""," ("&amp;IF(COUNTIFS('Vols additionnels'!$C$7:$C$66,$C$5,'Vols additionnels'!$K$7:$K$66,H11)=1,IF(ABS(SUMIFS('Vols additionnels'!$E$7:$E$66,'Vols additionnels'!$C$7:$C$66,$C$5,'Vols additionnels'!$K$7:$K$66,H11))=1,IF(SUMIFS('Vols additionnels'!$E$7:$E$66,'Vols additionnels'!$C$7:$C$66,$C$5,'Vols additionnels'!$K$7:$K$66,H11)&gt;0,"+","-")&amp;IFERROR(INDEX('Vols additionnels'!$D$7:$D$66,MATCH(H11&amp;"|"&amp;$C$5,'Vols additionnels'!$L$7:$L$66,0)),""),IF(SUMIFS('Vols additionnels'!$E$7:$E$66,'Vols additionnels'!$C$7:$C$66,$C$5,'Vols additionnels'!$K$7:$K$66,H11)&gt;0,"+","")&amp;SUMIFS('Vols additionnels'!$E$7:$E$66,'Vols additionnels'!$C$7:$C$66,$C$5,'Vols additionnels'!$K$7:$K$66,H11)&amp;"x"&amp;IFERROR(INDEX('Vols additionnels'!$D$7:$D$66,MATCH(H11&amp;"|"&amp;$C$5,'Vols additionnels'!$L$7:$L$66,0)),"")),IF(SUMIFS('Vols additionnels'!$E$7:$E$66,'Vols additionnels'!$C$7:$C$66,$C$5,'Vols additionnels'!$K$7:$K$66,H11)&gt;0,"+","")&amp;SUMIFS('Vols additionnels'!$E$7:$E$66,'Vols additionnels'!$C$7:$C$66,$C$5,'Vols additionnels'!$K$7:$K$66,H11)&amp;" vols")&amp;")")))</f>
        <v/>
      </c>
      <c r="W58" s="12" t="str">
        <f aca="false">IF(I11="","",TRIM(SUBSTITUTE(TRIM(IF(W$31=0,"",IF(W$31=1,"77W",W$31&amp;"x77W"))&amp;" "&amp;IF(W$37=0,"",IF(W$37=1,"787",W$37&amp;"x787"))&amp;" "&amp;IF(W$43=0,"",IF(W$43=1,"A320",W$43&amp;"xA320")))," ","/")&amp;IF(SUMIFS('Vols additionnels'!$E$7:$E$66,'Vols additionnels'!$C$7:$C$66,$C$5,'Vols additionnels'!$K$7:$K$66,I11)=0,""," ("&amp;IF(COUNTIFS('Vols additionnels'!$C$7:$C$66,$C$5,'Vols additionnels'!$K$7:$K$66,I11)=1,IF(ABS(SUMIFS('Vols additionnels'!$E$7:$E$66,'Vols additionnels'!$C$7:$C$66,$C$5,'Vols additionnels'!$K$7:$K$66,I11))=1,IF(SUMIFS('Vols additionnels'!$E$7:$E$66,'Vols additionnels'!$C$7:$C$66,$C$5,'Vols additionnels'!$K$7:$K$66,I11)&gt;0,"+","-")&amp;IFERROR(INDEX('Vols additionnels'!$D$7:$D$66,MATCH(I11&amp;"|"&amp;$C$5,'Vols additionnels'!$L$7:$L$66,0)),""),IF(SUMIFS('Vols additionnels'!$E$7:$E$66,'Vols additionnels'!$C$7:$C$66,$C$5,'Vols additionnels'!$K$7:$K$66,I11)&gt;0,"+","")&amp;SUMIFS('Vols additionnels'!$E$7:$E$66,'Vols additionnels'!$C$7:$C$66,$C$5,'Vols additionnels'!$K$7:$K$66,I11)&amp;"x"&amp;IFERROR(INDEX('Vols additionnels'!$D$7:$D$66,MATCH(I11&amp;"|"&amp;$C$5,'Vols additionnels'!$L$7:$L$66,0)),"")),IF(SUMIFS('Vols additionnels'!$E$7:$E$66,'Vols additionnels'!$C$7:$C$66,$C$5,'Vols additionnels'!$K$7:$K$66,I11)&gt;0,"+","")&amp;SUMIFS('Vols additionnels'!$E$7:$E$66,'Vols additionnels'!$C$7:$C$66,$C$5,'Vols additionnels'!$K$7:$K$66,I11)&amp;" vols")&amp;")")))</f>
        <v/>
      </c>
    </row>
    <row r="59" customFormat="false" ht="15" hidden="false" customHeight="false" outlineLevel="0" collapsed="false">
      <c r="P59" s="28" t="s">
        <v>129</v>
      </c>
      <c r="Q59" s="12" t="str">
        <f aca="false">IF(C13="","",TRIM(SUBSTITUTE(TRIM(IF(Q$32=0,"",IF(Q$32=1,"77W",Q$32&amp;"x77W"))&amp;" "&amp;IF(Q$38=0,"",IF(Q$38=1,"787",Q$38&amp;"x787"))&amp;" "&amp;IF(Q$44=0,"",IF(Q$44=1,"A320",Q$44&amp;"xA320")))," ","/")&amp;IF(SUMIFS('Vols additionnels'!$E$7:$E$66,'Vols additionnels'!$C$7:$C$66,$C$5,'Vols additionnels'!$K$7:$K$66,C13)=0,""," ("&amp;IF(COUNTIFS('Vols additionnels'!$C$7:$C$66,$C$5,'Vols additionnels'!$K$7:$K$66,C13)=1,IF(ABS(SUMIFS('Vols additionnels'!$E$7:$E$66,'Vols additionnels'!$C$7:$C$66,$C$5,'Vols additionnels'!$K$7:$K$66,C13))=1,IF(SUMIFS('Vols additionnels'!$E$7:$E$66,'Vols additionnels'!$C$7:$C$66,$C$5,'Vols additionnels'!$K$7:$K$66,C13)&gt;0,"+","-")&amp;IFERROR(INDEX('Vols additionnels'!$D$7:$D$66,MATCH(C13&amp;"|"&amp;$C$5,'Vols additionnels'!$L$7:$L$66,0)),""),IF(SUMIFS('Vols additionnels'!$E$7:$E$66,'Vols additionnels'!$C$7:$C$66,$C$5,'Vols additionnels'!$K$7:$K$66,C13)&gt;0,"+","")&amp;SUMIFS('Vols additionnels'!$E$7:$E$66,'Vols additionnels'!$C$7:$C$66,$C$5,'Vols additionnels'!$K$7:$K$66,C13)&amp;"x"&amp;IFERROR(INDEX('Vols additionnels'!$D$7:$D$66,MATCH(C13&amp;"|"&amp;$C$5,'Vols additionnels'!$L$7:$L$66,0)),"")),IF(SUMIFS('Vols additionnels'!$E$7:$E$66,'Vols additionnels'!$C$7:$C$66,$C$5,'Vols additionnels'!$K$7:$K$66,C13)&gt;0,"+","")&amp;SUMIFS('Vols additionnels'!$E$7:$E$66,'Vols additionnels'!$C$7:$C$66,$C$5,'Vols additionnels'!$K$7:$K$66,C13)&amp;" vols")&amp;")")))</f>
        <v/>
      </c>
      <c r="R59" s="12" t="str">
        <f aca="false">IF(D13="","",TRIM(SUBSTITUTE(TRIM(IF(R$32=0,"",IF(R$32=1,"77W",R$32&amp;"x77W"))&amp;" "&amp;IF(R$38=0,"",IF(R$38=1,"787",R$38&amp;"x787"))&amp;" "&amp;IF(R$44=0,"",IF(R$44=1,"A320",R$44&amp;"xA320")))," ","/")&amp;IF(SUMIFS('Vols additionnels'!$E$7:$E$66,'Vols additionnels'!$C$7:$C$66,$C$5,'Vols additionnels'!$K$7:$K$66,D13)=0,""," ("&amp;IF(COUNTIFS('Vols additionnels'!$C$7:$C$66,$C$5,'Vols additionnels'!$K$7:$K$66,D13)=1,IF(ABS(SUMIFS('Vols additionnels'!$E$7:$E$66,'Vols additionnels'!$C$7:$C$66,$C$5,'Vols additionnels'!$K$7:$K$66,D13))=1,IF(SUMIFS('Vols additionnels'!$E$7:$E$66,'Vols additionnels'!$C$7:$C$66,$C$5,'Vols additionnels'!$K$7:$K$66,D13)&gt;0,"+","-")&amp;IFERROR(INDEX('Vols additionnels'!$D$7:$D$66,MATCH(D13&amp;"|"&amp;$C$5,'Vols additionnels'!$L$7:$L$66,0)),""),IF(SUMIFS('Vols additionnels'!$E$7:$E$66,'Vols additionnels'!$C$7:$C$66,$C$5,'Vols additionnels'!$K$7:$K$66,D13)&gt;0,"+","")&amp;SUMIFS('Vols additionnels'!$E$7:$E$66,'Vols additionnels'!$C$7:$C$66,$C$5,'Vols additionnels'!$K$7:$K$66,D13)&amp;"x"&amp;IFERROR(INDEX('Vols additionnels'!$D$7:$D$66,MATCH(D13&amp;"|"&amp;$C$5,'Vols additionnels'!$L$7:$L$66,0)),"")),IF(SUMIFS('Vols additionnels'!$E$7:$E$66,'Vols additionnels'!$C$7:$C$66,$C$5,'Vols additionnels'!$K$7:$K$66,D13)&gt;0,"+","")&amp;SUMIFS('Vols additionnels'!$E$7:$E$66,'Vols additionnels'!$C$7:$C$66,$C$5,'Vols additionnels'!$K$7:$K$66,D13)&amp;" vols")&amp;")")))</f>
        <v/>
      </c>
      <c r="S59" s="12" t="str">
        <f aca="false">IF(E13="","",TRIM(SUBSTITUTE(TRIM(IF(S$32=0,"",IF(S$32=1,"77W",S$32&amp;"x77W"))&amp;" "&amp;IF(S$38=0,"",IF(S$38=1,"787",S$38&amp;"x787"))&amp;" "&amp;IF(S$44=0,"",IF(S$44=1,"A320",S$44&amp;"xA320")))," ","/")&amp;IF(SUMIFS('Vols additionnels'!$E$7:$E$66,'Vols additionnels'!$C$7:$C$66,$C$5,'Vols additionnels'!$K$7:$K$66,E13)=0,""," ("&amp;IF(COUNTIFS('Vols additionnels'!$C$7:$C$66,$C$5,'Vols additionnels'!$K$7:$K$66,E13)=1,IF(ABS(SUMIFS('Vols additionnels'!$E$7:$E$66,'Vols additionnels'!$C$7:$C$66,$C$5,'Vols additionnels'!$K$7:$K$66,E13))=1,IF(SUMIFS('Vols additionnels'!$E$7:$E$66,'Vols additionnels'!$C$7:$C$66,$C$5,'Vols additionnels'!$K$7:$K$66,E13)&gt;0,"+","-")&amp;IFERROR(INDEX('Vols additionnels'!$D$7:$D$66,MATCH(E13&amp;"|"&amp;$C$5,'Vols additionnels'!$L$7:$L$66,0)),""),IF(SUMIFS('Vols additionnels'!$E$7:$E$66,'Vols additionnels'!$C$7:$C$66,$C$5,'Vols additionnels'!$K$7:$K$66,E13)&gt;0,"+","")&amp;SUMIFS('Vols additionnels'!$E$7:$E$66,'Vols additionnels'!$C$7:$C$66,$C$5,'Vols additionnels'!$K$7:$K$66,E13)&amp;"x"&amp;IFERROR(INDEX('Vols additionnels'!$D$7:$D$66,MATCH(E13&amp;"|"&amp;$C$5,'Vols additionnels'!$L$7:$L$66,0)),"")),IF(SUMIFS('Vols additionnels'!$E$7:$E$66,'Vols additionnels'!$C$7:$C$66,$C$5,'Vols additionnels'!$K$7:$K$66,E13)&gt;0,"+","")&amp;SUMIFS('Vols additionnels'!$E$7:$E$66,'Vols additionnels'!$C$7:$C$66,$C$5,'Vols additionnels'!$K$7:$K$66,E13)&amp;" vols")&amp;")")))</f>
        <v/>
      </c>
      <c r="T59" s="12" t="str">
        <f aca="false">IF(F13="","",TRIM(SUBSTITUTE(TRIM(IF(T$32=0,"",IF(T$32=1,"77W",T$32&amp;"x77W"))&amp;" "&amp;IF(T$38=0,"",IF(T$38=1,"787",T$38&amp;"x787"))&amp;" "&amp;IF(T$44=0,"",IF(T$44=1,"A320",T$44&amp;"xA320")))," ","/")&amp;IF(SUMIFS('Vols additionnels'!$E$7:$E$66,'Vols additionnels'!$C$7:$C$66,$C$5,'Vols additionnels'!$K$7:$K$66,F13)=0,""," ("&amp;IF(COUNTIFS('Vols additionnels'!$C$7:$C$66,$C$5,'Vols additionnels'!$K$7:$K$66,F13)=1,IF(ABS(SUMIFS('Vols additionnels'!$E$7:$E$66,'Vols additionnels'!$C$7:$C$66,$C$5,'Vols additionnels'!$K$7:$K$66,F13))=1,IF(SUMIFS('Vols additionnels'!$E$7:$E$66,'Vols additionnels'!$C$7:$C$66,$C$5,'Vols additionnels'!$K$7:$K$66,F13)&gt;0,"+","-")&amp;IFERROR(INDEX('Vols additionnels'!$D$7:$D$66,MATCH(F13&amp;"|"&amp;$C$5,'Vols additionnels'!$L$7:$L$66,0)),""),IF(SUMIFS('Vols additionnels'!$E$7:$E$66,'Vols additionnels'!$C$7:$C$66,$C$5,'Vols additionnels'!$K$7:$K$66,F13)&gt;0,"+","")&amp;SUMIFS('Vols additionnels'!$E$7:$E$66,'Vols additionnels'!$C$7:$C$66,$C$5,'Vols additionnels'!$K$7:$K$66,F13)&amp;"x"&amp;IFERROR(INDEX('Vols additionnels'!$D$7:$D$66,MATCH(F13&amp;"|"&amp;$C$5,'Vols additionnels'!$L$7:$L$66,0)),"")),IF(SUMIFS('Vols additionnels'!$E$7:$E$66,'Vols additionnels'!$C$7:$C$66,$C$5,'Vols additionnels'!$K$7:$K$66,F13)&gt;0,"+","")&amp;SUMIFS('Vols additionnels'!$E$7:$E$66,'Vols additionnels'!$C$7:$C$66,$C$5,'Vols additionnels'!$K$7:$K$66,F13)&amp;" vols")&amp;")")))</f>
        <v/>
      </c>
      <c r="U59" s="12" t="str">
        <f aca="false">IF(G13="","",TRIM(SUBSTITUTE(TRIM(IF(U$32=0,"",IF(U$32=1,"77W",U$32&amp;"x77W"))&amp;" "&amp;IF(U$38=0,"",IF(U$38=1,"787",U$38&amp;"x787"))&amp;" "&amp;IF(U$44=0,"",IF(U$44=1,"A320",U$44&amp;"xA320")))," ","/")&amp;IF(SUMIFS('Vols additionnels'!$E$7:$E$66,'Vols additionnels'!$C$7:$C$66,$C$5,'Vols additionnels'!$K$7:$K$66,G13)=0,""," ("&amp;IF(COUNTIFS('Vols additionnels'!$C$7:$C$66,$C$5,'Vols additionnels'!$K$7:$K$66,G13)=1,IF(ABS(SUMIFS('Vols additionnels'!$E$7:$E$66,'Vols additionnels'!$C$7:$C$66,$C$5,'Vols additionnels'!$K$7:$K$66,G13))=1,IF(SUMIFS('Vols additionnels'!$E$7:$E$66,'Vols additionnels'!$C$7:$C$66,$C$5,'Vols additionnels'!$K$7:$K$66,G13)&gt;0,"+","-")&amp;IFERROR(INDEX('Vols additionnels'!$D$7:$D$66,MATCH(G13&amp;"|"&amp;$C$5,'Vols additionnels'!$L$7:$L$66,0)),""),IF(SUMIFS('Vols additionnels'!$E$7:$E$66,'Vols additionnels'!$C$7:$C$66,$C$5,'Vols additionnels'!$K$7:$K$66,G13)&gt;0,"+","")&amp;SUMIFS('Vols additionnels'!$E$7:$E$66,'Vols additionnels'!$C$7:$C$66,$C$5,'Vols additionnels'!$K$7:$K$66,G13)&amp;"x"&amp;IFERROR(INDEX('Vols additionnels'!$D$7:$D$66,MATCH(G13&amp;"|"&amp;$C$5,'Vols additionnels'!$L$7:$L$66,0)),"")),IF(SUMIFS('Vols additionnels'!$E$7:$E$66,'Vols additionnels'!$C$7:$C$66,$C$5,'Vols additionnels'!$K$7:$K$66,G13)&gt;0,"+","")&amp;SUMIFS('Vols additionnels'!$E$7:$E$66,'Vols additionnels'!$C$7:$C$66,$C$5,'Vols additionnels'!$K$7:$K$66,G13)&amp;" vols")&amp;")")))</f>
        <v/>
      </c>
      <c r="V59" s="12" t="str">
        <f aca="false">IF(H13="","",TRIM(SUBSTITUTE(TRIM(IF(V$32=0,"",IF(V$32=1,"77W",V$32&amp;"x77W"))&amp;" "&amp;IF(V$38=0,"",IF(V$38=1,"787",V$38&amp;"x787"))&amp;" "&amp;IF(V$44=0,"",IF(V$44=1,"A320",V$44&amp;"xA320")))," ","/")&amp;IF(SUMIFS('Vols additionnels'!$E$7:$E$66,'Vols additionnels'!$C$7:$C$66,$C$5,'Vols additionnels'!$K$7:$K$66,H13)=0,""," ("&amp;IF(COUNTIFS('Vols additionnels'!$C$7:$C$66,$C$5,'Vols additionnels'!$K$7:$K$66,H13)=1,IF(ABS(SUMIFS('Vols additionnels'!$E$7:$E$66,'Vols additionnels'!$C$7:$C$66,$C$5,'Vols additionnels'!$K$7:$K$66,H13))=1,IF(SUMIFS('Vols additionnels'!$E$7:$E$66,'Vols additionnels'!$C$7:$C$66,$C$5,'Vols additionnels'!$K$7:$K$66,H13)&gt;0,"+","-")&amp;IFERROR(INDEX('Vols additionnels'!$D$7:$D$66,MATCH(H13&amp;"|"&amp;$C$5,'Vols additionnels'!$L$7:$L$66,0)),""),IF(SUMIFS('Vols additionnels'!$E$7:$E$66,'Vols additionnels'!$C$7:$C$66,$C$5,'Vols additionnels'!$K$7:$K$66,H13)&gt;0,"+","")&amp;SUMIFS('Vols additionnels'!$E$7:$E$66,'Vols additionnels'!$C$7:$C$66,$C$5,'Vols additionnels'!$K$7:$K$66,H13)&amp;"x"&amp;IFERROR(INDEX('Vols additionnels'!$D$7:$D$66,MATCH(H13&amp;"|"&amp;$C$5,'Vols additionnels'!$L$7:$L$66,0)),"")),IF(SUMIFS('Vols additionnels'!$E$7:$E$66,'Vols additionnels'!$C$7:$C$66,$C$5,'Vols additionnels'!$K$7:$K$66,H13)&gt;0,"+","")&amp;SUMIFS('Vols additionnels'!$E$7:$E$66,'Vols additionnels'!$C$7:$C$66,$C$5,'Vols additionnels'!$K$7:$K$66,H13)&amp;" vols")&amp;")")))</f>
        <v/>
      </c>
      <c r="W59" s="12" t="str">
        <f aca="false">IF(I13="","",TRIM(SUBSTITUTE(TRIM(IF(W$32=0,"",IF(W$32=1,"77W",W$32&amp;"x77W"))&amp;" "&amp;IF(W$38=0,"",IF(W$38=1,"787",W$38&amp;"x787"))&amp;" "&amp;IF(W$44=0,"",IF(W$44=1,"A320",W$44&amp;"xA320")))," ","/")&amp;IF(SUMIFS('Vols additionnels'!$E$7:$E$66,'Vols additionnels'!$C$7:$C$66,$C$5,'Vols additionnels'!$K$7:$K$66,I13)=0,""," ("&amp;IF(COUNTIFS('Vols additionnels'!$C$7:$C$66,$C$5,'Vols additionnels'!$K$7:$K$66,I13)=1,IF(ABS(SUMIFS('Vols additionnels'!$E$7:$E$66,'Vols additionnels'!$C$7:$C$66,$C$5,'Vols additionnels'!$K$7:$K$66,I13))=1,IF(SUMIFS('Vols additionnels'!$E$7:$E$66,'Vols additionnels'!$C$7:$C$66,$C$5,'Vols additionnels'!$K$7:$K$66,I13)&gt;0,"+","-")&amp;IFERROR(INDEX('Vols additionnels'!$D$7:$D$66,MATCH(I13&amp;"|"&amp;$C$5,'Vols additionnels'!$L$7:$L$66,0)),""),IF(SUMIFS('Vols additionnels'!$E$7:$E$66,'Vols additionnels'!$C$7:$C$66,$C$5,'Vols additionnels'!$K$7:$K$66,I13)&gt;0,"+","")&amp;SUMIFS('Vols additionnels'!$E$7:$E$66,'Vols additionnels'!$C$7:$C$66,$C$5,'Vols additionnels'!$K$7:$K$66,I13)&amp;"x"&amp;IFERROR(INDEX('Vols additionnels'!$D$7:$D$66,MATCH(I13&amp;"|"&amp;$C$5,'Vols additionnels'!$L$7:$L$66,0)),"")),IF(SUMIFS('Vols additionnels'!$E$7:$E$66,'Vols additionnels'!$C$7:$C$66,$C$5,'Vols additionnels'!$K$7:$K$66,I13)&gt;0,"+","")&amp;SUMIFS('Vols additionnels'!$E$7:$E$66,'Vols additionnels'!$C$7:$C$66,$C$5,'Vols additionnels'!$K$7:$K$66,I13)&amp;" vols")&amp;")")))</f>
        <v/>
      </c>
    </row>
    <row r="60" customFormat="false" ht="15" hidden="false" customHeight="false" outlineLevel="0" collapsed="false">
      <c r="P60" s="28" t="s">
        <v>130</v>
      </c>
      <c r="Q60" s="12" t="str">
        <f aca="false">IF(C15="","",TRIM(SUBSTITUTE(TRIM(IF(Q$33=0,"",IF(Q$33=1,"77W",Q$33&amp;"x77W"))&amp;" "&amp;IF(Q$39=0,"",IF(Q$39=1,"787",Q$39&amp;"x787"))&amp;" "&amp;IF(Q$45=0,"",IF(Q$45=1,"A320",Q$45&amp;"xA320")))," ","/")&amp;IF(SUMIFS('Vols additionnels'!$E$7:$E$66,'Vols additionnels'!$C$7:$C$66,$C$5,'Vols additionnels'!$K$7:$K$66,C15)=0,""," ("&amp;IF(COUNTIFS('Vols additionnels'!$C$7:$C$66,$C$5,'Vols additionnels'!$K$7:$K$66,C15)=1,IF(ABS(SUMIFS('Vols additionnels'!$E$7:$E$66,'Vols additionnels'!$C$7:$C$66,$C$5,'Vols additionnels'!$K$7:$K$66,C15))=1,IF(SUMIFS('Vols additionnels'!$E$7:$E$66,'Vols additionnels'!$C$7:$C$66,$C$5,'Vols additionnels'!$K$7:$K$66,C15)&gt;0,"+","-")&amp;IFERROR(INDEX('Vols additionnels'!$D$7:$D$66,MATCH(C15&amp;"|"&amp;$C$5,'Vols additionnels'!$L$7:$L$66,0)),""),IF(SUMIFS('Vols additionnels'!$E$7:$E$66,'Vols additionnels'!$C$7:$C$66,$C$5,'Vols additionnels'!$K$7:$K$66,C15)&gt;0,"+","")&amp;SUMIFS('Vols additionnels'!$E$7:$E$66,'Vols additionnels'!$C$7:$C$66,$C$5,'Vols additionnels'!$K$7:$K$66,C15)&amp;"x"&amp;IFERROR(INDEX('Vols additionnels'!$D$7:$D$66,MATCH(C15&amp;"|"&amp;$C$5,'Vols additionnels'!$L$7:$L$66,0)),"")),IF(SUMIFS('Vols additionnels'!$E$7:$E$66,'Vols additionnels'!$C$7:$C$66,$C$5,'Vols additionnels'!$K$7:$K$66,C15)&gt;0,"+","")&amp;SUMIFS('Vols additionnels'!$E$7:$E$66,'Vols additionnels'!$C$7:$C$66,$C$5,'Vols additionnels'!$K$7:$K$66,C15)&amp;" vols")&amp;")")))</f>
        <v/>
      </c>
      <c r="R60" s="12" t="str">
        <f aca="false">IF(D15="","",TRIM(SUBSTITUTE(TRIM(IF(R$33=0,"",IF(R$33=1,"77W",R$33&amp;"x77W"))&amp;" "&amp;IF(R$39=0,"",IF(R$39=1,"787",R$39&amp;"x787"))&amp;" "&amp;IF(R$45=0,"",IF(R$45=1,"A320",R$45&amp;"xA320")))," ","/")&amp;IF(SUMIFS('Vols additionnels'!$E$7:$E$66,'Vols additionnels'!$C$7:$C$66,$C$5,'Vols additionnels'!$K$7:$K$66,D15)=0,""," ("&amp;IF(COUNTIFS('Vols additionnels'!$C$7:$C$66,$C$5,'Vols additionnels'!$K$7:$K$66,D15)=1,IF(ABS(SUMIFS('Vols additionnels'!$E$7:$E$66,'Vols additionnels'!$C$7:$C$66,$C$5,'Vols additionnels'!$K$7:$K$66,D15))=1,IF(SUMIFS('Vols additionnels'!$E$7:$E$66,'Vols additionnels'!$C$7:$C$66,$C$5,'Vols additionnels'!$K$7:$K$66,D15)&gt;0,"+","-")&amp;IFERROR(INDEX('Vols additionnels'!$D$7:$D$66,MATCH(D15&amp;"|"&amp;$C$5,'Vols additionnels'!$L$7:$L$66,0)),""),IF(SUMIFS('Vols additionnels'!$E$7:$E$66,'Vols additionnels'!$C$7:$C$66,$C$5,'Vols additionnels'!$K$7:$K$66,D15)&gt;0,"+","")&amp;SUMIFS('Vols additionnels'!$E$7:$E$66,'Vols additionnels'!$C$7:$C$66,$C$5,'Vols additionnels'!$K$7:$K$66,D15)&amp;"x"&amp;IFERROR(INDEX('Vols additionnels'!$D$7:$D$66,MATCH(D15&amp;"|"&amp;$C$5,'Vols additionnels'!$L$7:$L$66,0)),"")),IF(SUMIFS('Vols additionnels'!$E$7:$E$66,'Vols additionnels'!$C$7:$C$66,$C$5,'Vols additionnels'!$K$7:$K$66,D15)&gt;0,"+","")&amp;SUMIFS('Vols additionnels'!$E$7:$E$66,'Vols additionnels'!$C$7:$C$66,$C$5,'Vols additionnels'!$K$7:$K$66,D15)&amp;" vols")&amp;")")))</f>
        <v/>
      </c>
      <c r="S60" s="12" t="str">
        <f aca="false">IF(E15="","",TRIM(SUBSTITUTE(TRIM(IF(S$33=0,"",IF(S$33=1,"77W",S$33&amp;"x77W"))&amp;" "&amp;IF(S$39=0,"",IF(S$39=1,"787",S$39&amp;"x787"))&amp;" "&amp;IF(S$45=0,"",IF(S$45=1,"A320",S$45&amp;"xA320")))," ","/")&amp;IF(SUMIFS('Vols additionnels'!$E$7:$E$66,'Vols additionnels'!$C$7:$C$66,$C$5,'Vols additionnels'!$K$7:$K$66,E15)=0,""," ("&amp;IF(COUNTIFS('Vols additionnels'!$C$7:$C$66,$C$5,'Vols additionnels'!$K$7:$K$66,E15)=1,IF(ABS(SUMIFS('Vols additionnels'!$E$7:$E$66,'Vols additionnels'!$C$7:$C$66,$C$5,'Vols additionnels'!$K$7:$K$66,E15))=1,IF(SUMIFS('Vols additionnels'!$E$7:$E$66,'Vols additionnels'!$C$7:$C$66,$C$5,'Vols additionnels'!$K$7:$K$66,E15)&gt;0,"+","-")&amp;IFERROR(INDEX('Vols additionnels'!$D$7:$D$66,MATCH(E15&amp;"|"&amp;$C$5,'Vols additionnels'!$L$7:$L$66,0)),""),IF(SUMIFS('Vols additionnels'!$E$7:$E$66,'Vols additionnels'!$C$7:$C$66,$C$5,'Vols additionnels'!$K$7:$K$66,E15)&gt;0,"+","")&amp;SUMIFS('Vols additionnels'!$E$7:$E$66,'Vols additionnels'!$C$7:$C$66,$C$5,'Vols additionnels'!$K$7:$K$66,E15)&amp;"x"&amp;IFERROR(INDEX('Vols additionnels'!$D$7:$D$66,MATCH(E15&amp;"|"&amp;$C$5,'Vols additionnels'!$L$7:$L$66,0)),"")),IF(SUMIFS('Vols additionnels'!$E$7:$E$66,'Vols additionnels'!$C$7:$C$66,$C$5,'Vols additionnels'!$K$7:$K$66,E15)&gt;0,"+","")&amp;SUMIFS('Vols additionnels'!$E$7:$E$66,'Vols additionnels'!$C$7:$C$66,$C$5,'Vols additionnels'!$K$7:$K$66,E15)&amp;" vols")&amp;")")))</f>
        <v/>
      </c>
      <c r="T60" s="12" t="str">
        <f aca="false">IF(F15="","",TRIM(SUBSTITUTE(TRIM(IF(T$33=0,"",IF(T$33=1,"77W",T$33&amp;"x77W"))&amp;" "&amp;IF(T$39=0,"",IF(T$39=1,"787",T$39&amp;"x787"))&amp;" "&amp;IF(T$45=0,"",IF(T$45=1,"A320",T$45&amp;"xA320")))," ","/")&amp;IF(SUMIFS('Vols additionnels'!$E$7:$E$66,'Vols additionnels'!$C$7:$C$66,$C$5,'Vols additionnels'!$K$7:$K$66,F15)=0,""," ("&amp;IF(COUNTIFS('Vols additionnels'!$C$7:$C$66,$C$5,'Vols additionnels'!$K$7:$K$66,F15)=1,IF(ABS(SUMIFS('Vols additionnels'!$E$7:$E$66,'Vols additionnels'!$C$7:$C$66,$C$5,'Vols additionnels'!$K$7:$K$66,F15))=1,IF(SUMIFS('Vols additionnels'!$E$7:$E$66,'Vols additionnels'!$C$7:$C$66,$C$5,'Vols additionnels'!$K$7:$K$66,F15)&gt;0,"+","-")&amp;IFERROR(INDEX('Vols additionnels'!$D$7:$D$66,MATCH(F15&amp;"|"&amp;$C$5,'Vols additionnels'!$L$7:$L$66,0)),""),IF(SUMIFS('Vols additionnels'!$E$7:$E$66,'Vols additionnels'!$C$7:$C$66,$C$5,'Vols additionnels'!$K$7:$K$66,F15)&gt;0,"+","")&amp;SUMIFS('Vols additionnels'!$E$7:$E$66,'Vols additionnels'!$C$7:$C$66,$C$5,'Vols additionnels'!$K$7:$K$66,F15)&amp;"x"&amp;IFERROR(INDEX('Vols additionnels'!$D$7:$D$66,MATCH(F15&amp;"|"&amp;$C$5,'Vols additionnels'!$L$7:$L$66,0)),"")),IF(SUMIFS('Vols additionnels'!$E$7:$E$66,'Vols additionnels'!$C$7:$C$66,$C$5,'Vols additionnels'!$K$7:$K$66,F15)&gt;0,"+","")&amp;SUMIFS('Vols additionnels'!$E$7:$E$66,'Vols additionnels'!$C$7:$C$66,$C$5,'Vols additionnels'!$K$7:$K$66,F15)&amp;" vols")&amp;")")))</f>
        <v/>
      </c>
      <c r="U60" s="12" t="str">
        <f aca="false">IF(G15="","",TRIM(SUBSTITUTE(TRIM(IF(U$33=0,"",IF(U$33=1,"77W",U$33&amp;"x77W"))&amp;" "&amp;IF(U$39=0,"",IF(U$39=1,"787",U$39&amp;"x787"))&amp;" "&amp;IF(U$45=0,"",IF(U$45=1,"A320",U$45&amp;"xA320")))," ","/")&amp;IF(SUMIFS('Vols additionnels'!$E$7:$E$66,'Vols additionnels'!$C$7:$C$66,$C$5,'Vols additionnels'!$K$7:$K$66,G15)=0,""," ("&amp;IF(COUNTIFS('Vols additionnels'!$C$7:$C$66,$C$5,'Vols additionnels'!$K$7:$K$66,G15)=1,IF(ABS(SUMIFS('Vols additionnels'!$E$7:$E$66,'Vols additionnels'!$C$7:$C$66,$C$5,'Vols additionnels'!$K$7:$K$66,G15))=1,IF(SUMIFS('Vols additionnels'!$E$7:$E$66,'Vols additionnels'!$C$7:$C$66,$C$5,'Vols additionnels'!$K$7:$K$66,G15)&gt;0,"+","-")&amp;IFERROR(INDEX('Vols additionnels'!$D$7:$D$66,MATCH(G15&amp;"|"&amp;$C$5,'Vols additionnels'!$L$7:$L$66,0)),""),IF(SUMIFS('Vols additionnels'!$E$7:$E$66,'Vols additionnels'!$C$7:$C$66,$C$5,'Vols additionnels'!$K$7:$K$66,G15)&gt;0,"+","")&amp;SUMIFS('Vols additionnels'!$E$7:$E$66,'Vols additionnels'!$C$7:$C$66,$C$5,'Vols additionnels'!$K$7:$K$66,G15)&amp;"x"&amp;IFERROR(INDEX('Vols additionnels'!$D$7:$D$66,MATCH(G15&amp;"|"&amp;$C$5,'Vols additionnels'!$L$7:$L$66,0)),"")),IF(SUMIFS('Vols additionnels'!$E$7:$E$66,'Vols additionnels'!$C$7:$C$66,$C$5,'Vols additionnels'!$K$7:$K$66,G15)&gt;0,"+","")&amp;SUMIFS('Vols additionnels'!$E$7:$E$66,'Vols additionnels'!$C$7:$C$66,$C$5,'Vols additionnels'!$K$7:$K$66,G15)&amp;" vols")&amp;")")))</f>
        <v/>
      </c>
      <c r="V60" s="12" t="str">
        <f aca="false">IF(H15="","",TRIM(SUBSTITUTE(TRIM(IF(V$33=0,"",IF(V$33=1,"77W",V$33&amp;"x77W"))&amp;" "&amp;IF(V$39=0,"",IF(V$39=1,"787",V$39&amp;"x787"))&amp;" "&amp;IF(V$45=0,"",IF(V$45=1,"A320",V$45&amp;"xA320")))," ","/")&amp;IF(SUMIFS('Vols additionnels'!$E$7:$E$66,'Vols additionnels'!$C$7:$C$66,$C$5,'Vols additionnels'!$K$7:$K$66,H15)=0,""," ("&amp;IF(COUNTIFS('Vols additionnels'!$C$7:$C$66,$C$5,'Vols additionnels'!$K$7:$K$66,H15)=1,IF(ABS(SUMIFS('Vols additionnels'!$E$7:$E$66,'Vols additionnels'!$C$7:$C$66,$C$5,'Vols additionnels'!$K$7:$K$66,H15))=1,IF(SUMIFS('Vols additionnels'!$E$7:$E$66,'Vols additionnels'!$C$7:$C$66,$C$5,'Vols additionnels'!$K$7:$K$66,H15)&gt;0,"+","-")&amp;IFERROR(INDEX('Vols additionnels'!$D$7:$D$66,MATCH(H15&amp;"|"&amp;$C$5,'Vols additionnels'!$L$7:$L$66,0)),""),IF(SUMIFS('Vols additionnels'!$E$7:$E$66,'Vols additionnels'!$C$7:$C$66,$C$5,'Vols additionnels'!$K$7:$K$66,H15)&gt;0,"+","")&amp;SUMIFS('Vols additionnels'!$E$7:$E$66,'Vols additionnels'!$C$7:$C$66,$C$5,'Vols additionnels'!$K$7:$K$66,H15)&amp;"x"&amp;IFERROR(INDEX('Vols additionnels'!$D$7:$D$66,MATCH(H15&amp;"|"&amp;$C$5,'Vols additionnels'!$L$7:$L$66,0)),"")),IF(SUMIFS('Vols additionnels'!$E$7:$E$66,'Vols additionnels'!$C$7:$C$66,$C$5,'Vols additionnels'!$K$7:$K$66,H15)&gt;0,"+","")&amp;SUMIFS('Vols additionnels'!$E$7:$E$66,'Vols additionnels'!$C$7:$C$66,$C$5,'Vols additionnels'!$K$7:$K$66,H15)&amp;" vols")&amp;")")))</f>
        <v/>
      </c>
      <c r="W60" s="12" t="str">
        <f aca="false">IF(I15="","",TRIM(SUBSTITUTE(TRIM(IF(W$33=0,"",IF(W$33=1,"77W",W$33&amp;"x77W"))&amp;" "&amp;IF(W$39=0,"",IF(W$39=1,"787",W$39&amp;"x787"))&amp;" "&amp;IF(W$45=0,"",IF(W$45=1,"A320",W$45&amp;"xA320")))," ","/")&amp;IF(SUMIFS('Vols additionnels'!$E$7:$E$66,'Vols additionnels'!$C$7:$C$66,$C$5,'Vols additionnels'!$K$7:$K$66,I15)=0,""," ("&amp;IF(COUNTIFS('Vols additionnels'!$C$7:$C$66,$C$5,'Vols additionnels'!$K$7:$K$66,I15)=1,IF(ABS(SUMIFS('Vols additionnels'!$E$7:$E$66,'Vols additionnels'!$C$7:$C$66,$C$5,'Vols additionnels'!$K$7:$K$66,I15))=1,IF(SUMIFS('Vols additionnels'!$E$7:$E$66,'Vols additionnels'!$C$7:$C$66,$C$5,'Vols additionnels'!$K$7:$K$66,I15)&gt;0,"+","-")&amp;IFERROR(INDEX('Vols additionnels'!$D$7:$D$66,MATCH(I15&amp;"|"&amp;$C$5,'Vols additionnels'!$L$7:$L$66,0)),""),IF(SUMIFS('Vols additionnels'!$E$7:$E$66,'Vols additionnels'!$C$7:$C$66,$C$5,'Vols additionnels'!$K$7:$K$66,I15)&gt;0,"+","")&amp;SUMIFS('Vols additionnels'!$E$7:$E$66,'Vols additionnels'!$C$7:$C$66,$C$5,'Vols additionnels'!$K$7:$K$66,I15)&amp;"x"&amp;IFERROR(INDEX('Vols additionnels'!$D$7:$D$66,MATCH(I15&amp;"|"&amp;$C$5,'Vols additionnels'!$L$7:$L$66,0)),"")),IF(SUMIFS('Vols additionnels'!$E$7:$E$66,'Vols additionnels'!$C$7:$C$66,$C$5,'Vols additionnels'!$K$7:$K$66,I15)&gt;0,"+","")&amp;SUMIFS('Vols additionnels'!$E$7:$E$66,'Vols additionnels'!$C$7:$C$66,$C$5,'Vols additionnels'!$K$7:$K$66,I15)&amp;" vols")&amp;")")))</f>
        <v/>
      </c>
    </row>
    <row r="61" customFormat="false" ht="15" hidden="false" customHeight="false" outlineLevel="0" collapsed="false">
      <c r="P61" s="28" t="s">
        <v>131</v>
      </c>
      <c r="Q61" s="12" t="str">
        <f aca="false">IF(C17="","",TRIM(SUBSTITUTE(TRIM(IF(Q$34=0,"",IF(Q$34=1,"77W",Q$34&amp;"x77W"))&amp;" "&amp;IF(Q$40=0,"",IF(Q$40=1,"787",Q$40&amp;"x787"))&amp;" "&amp;IF(Q$46=0,"",IF(Q$46=1,"A320",Q$46&amp;"xA320")))," ","/")&amp;IF(SUMIFS('Vols additionnels'!$E$7:$E$66,'Vols additionnels'!$C$7:$C$66,$C$5,'Vols additionnels'!$K$7:$K$66,C17)=0,""," ("&amp;IF(COUNTIFS('Vols additionnels'!$C$7:$C$66,$C$5,'Vols additionnels'!$K$7:$K$66,C17)=1,IF(ABS(SUMIFS('Vols additionnels'!$E$7:$E$66,'Vols additionnels'!$C$7:$C$66,$C$5,'Vols additionnels'!$K$7:$K$66,C17))=1,IF(SUMIFS('Vols additionnels'!$E$7:$E$66,'Vols additionnels'!$C$7:$C$66,$C$5,'Vols additionnels'!$K$7:$K$66,C17)&gt;0,"+","-")&amp;IFERROR(INDEX('Vols additionnels'!$D$7:$D$66,MATCH(C17&amp;"|"&amp;$C$5,'Vols additionnels'!$L$7:$L$66,0)),""),IF(SUMIFS('Vols additionnels'!$E$7:$E$66,'Vols additionnels'!$C$7:$C$66,$C$5,'Vols additionnels'!$K$7:$K$66,C17)&gt;0,"+","")&amp;SUMIFS('Vols additionnels'!$E$7:$E$66,'Vols additionnels'!$C$7:$C$66,$C$5,'Vols additionnels'!$K$7:$K$66,C17)&amp;"x"&amp;IFERROR(INDEX('Vols additionnels'!$D$7:$D$66,MATCH(C17&amp;"|"&amp;$C$5,'Vols additionnels'!$L$7:$L$66,0)),"")),IF(SUMIFS('Vols additionnels'!$E$7:$E$66,'Vols additionnels'!$C$7:$C$66,$C$5,'Vols additionnels'!$K$7:$K$66,C17)&gt;0,"+","")&amp;SUMIFS('Vols additionnels'!$E$7:$E$66,'Vols additionnels'!$C$7:$C$66,$C$5,'Vols additionnels'!$K$7:$K$66,C17)&amp;" vols")&amp;")")))</f>
        <v/>
      </c>
      <c r="R61" s="12" t="str">
        <f aca="false">IF(D17="","",TRIM(SUBSTITUTE(TRIM(IF(R$34=0,"",IF(R$34=1,"77W",R$34&amp;"x77W"))&amp;" "&amp;IF(R$40=0,"",IF(R$40=1,"787",R$40&amp;"x787"))&amp;" "&amp;IF(R$46=0,"",IF(R$46=1,"A320",R$46&amp;"xA320")))," ","/")&amp;IF(SUMIFS('Vols additionnels'!$E$7:$E$66,'Vols additionnels'!$C$7:$C$66,$C$5,'Vols additionnels'!$K$7:$K$66,D17)=0,""," ("&amp;IF(COUNTIFS('Vols additionnels'!$C$7:$C$66,$C$5,'Vols additionnels'!$K$7:$K$66,D17)=1,IF(ABS(SUMIFS('Vols additionnels'!$E$7:$E$66,'Vols additionnels'!$C$7:$C$66,$C$5,'Vols additionnels'!$K$7:$K$66,D17))=1,IF(SUMIFS('Vols additionnels'!$E$7:$E$66,'Vols additionnels'!$C$7:$C$66,$C$5,'Vols additionnels'!$K$7:$K$66,D17)&gt;0,"+","-")&amp;IFERROR(INDEX('Vols additionnels'!$D$7:$D$66,MATCH(D17&amp;"|"&amp;$C$5,'Vols additionnels'!$L$7:$L$66,0)),""),IF(SUMIFS('Vols additionnels'!$E$7:$E$66,'Vols additionnels'!$C$7:$C$66,$C$5,'Vols additionnels'!$K$7:$K$66,D17)&gt;0,"+","")&amp;SUMIFS('Vols additionnels'!$E$7:$E$66,'Vols additionnels'!$C$7:$C$66,$C$5,'Vols additionnels'!$K$7:$K$66,D17)&amp;"x"&amp;IFERROR(INDEX('Vols additionnels'!$D$7:$D$66,MATCH(D17&amp;"|"&amp;$C$5,'Vols additionnels'!$L$7:$L$66,0)),"")),IF(SUMIFS('Vols additionnels'!$E$7:$E$66,'Vols additionnels'!$C$7:$C$66,$C$5,'Vols additionnels'!$K$7:$K$66,D17)&gt;0,"+","")&amp;SUMIFS('Vols additionnels'!$E$7:$E$66,'Vols additionnels'!$C$7:$C$66,$C$5,'Vols additionnels'!$K$7:$K$66,D17)&amp;" vols")&amp;")")))</f>
        <v/>
      </c>
      <c r="S61" s="12" t="str">
        <f aca="false">IF(E17="","",TRIM(SUBSTITUTE(TRIM(IF(S$34=0,"",IF(S$34=1,"77W",S$34&amp;"x77W"))&amp;" "&amp;IF(S$40=0,"",IF(S$40=1,"787",S$40&amp;"x787"))&amp;" "&amp;IF(S$46=0,"",IF(S$46=1,"A320",S$46&amp;"xA320")))," ","/")&amp;IF(SUMIFS('Vols additionnels'!$E$7:$E$66,'Vols additionnels'!$C$7:$C$66,$C$5,'Vols additionnels'!$K$7:$K$66,E17)=0,""," ("&amp;IF(COUNTIFS('Vols additionnels'!$C$7:$C$66,$C$5,'Vols additionnels'!$K$7:$K$66,E17)=1,IF(ABS(SUMIFS('Vols additionnels'!$E$7:$E$66,'Vols additionnels'!$C$7:$C$66,$C$5,'Vols additionnels'!$K$7:$K$66,E17))=1,IF(SUMIFS('Vols additionnels'!$E$7:$E$66,'Vols additionnels'!$C$7:$C$66,$C$5,'Vols additionnels'!$K$7:$K$66,E17)&gt;0,"+","-")&amp;IFERROR(INDEX('Vols additionnels'!$D$7:$D$66,MATCH(E17&amp;"|"&amp;$C$5,'Vols additionnels'!$L$7:$L$66,0)),""),IF(SUMIFS('Vols additionnels'!$E$7:$E$66,'Vols additionnels'!$C$7:$C$66,$C$5,'Vols additionnels'!$K$7:$K$66,E17)&gt;0,"+","")&amp;SUMIFS('Vols additionnels'!$E$7:$E$66,'Vols additionnels'!$C$7:$C$66,$C$5,'Vols additionnels'!$K$7:$K$66,E17)&amp;"x"&amp;IFERROR(INDEX('Vols additionnels'!$D$7:$D$66,MATCH(E17&amp;"|"&amp;$C$5,'Vols additionnels'!$L$7:$L$66,0)),"")),IF(SUMIFS('Vols additionnels'!$E$7:$E$66,'Vols additionnels'!$C$7:$C$66,$C$5,'Vols additionnels'!$K$7:$K$66,E17)&gt;0,"+","")&amp;SUMIFS('Vols additionnels'!$E$7:$E$66,'Vols additionnels'!$C$7:$C$66,$C$5,'Vols additionnels'!$K$7:$K$66,E17)&amp;" vols")&amp;")")))</f>
        <v/>
      </c>
      <c r="T61" s="12" t="str">
        <f aca="false">IF(F17="","",TRIM(SUBSTITUTE(TRIM(IF(T$34=0,"",IF(T$34=1,"77W",T$34&amp;"x77W"))&amp;" "&amp;IF(T$40=0,"",IF(T$40=1,"787",T$40&amp;"x787"))&amp;" "&amp;IF(T$46=0,"",IF(T$46=1,"A320",T$46&amp;"xA320")))," ","/")&amp;IF(SUMIFS('Vols additionnels'!$E$7:$E$66,'Vols additionnels'!$C$7:$C$66,$C$5,'Vols additionnels'!$K$7:$K$66,F17)=0,""," ("&amp;IF(COUNTIFS('Vols additionnels'!$C$7:$C$66,$C$5,'Vols additionnels'!$K$7:$K$66,F17)=1,IF(ABS(SUMIFS('Vols additionnels'!$E$7:$E$66,'Vols additionnels'!$C$7:$C$66,$C$5,'Vols additionnels'!$K$7:$K$66,F17))=1,IF(SUMIFS('Vols additionnels'!$E$7:$E$66,'Vols additionnels'!$C$7:$C$66,$C$5,'Vols additionnels'!$K$7:$K$66,F17)&gt;0,"+","-")&amp;IFERROR(INDEX('Vols additionnels'!$D$7:$D$66,MATCH(F17&amp;"|"&amp;$C$5,'Vols additionnels'!$L$7:$L$66,0)),""),IF(SUMIFS('Vols additionnels'!$E$7:$E$66,'Vols additionnels'!$C$7:$C$66,$C$5,'Vols additionnels'!$K$7:$K$66,F17)&gt;0,"+","")&amp;SUMIFS('Vols additionnels'!$E$7:$E$66,'Vols additionnels'!$C$7:$C$66,$C$5,'Vols additionnels'!$K$7:$K$66,F17)&amp;"x"&amp;IFERROR(INDEX('Vols additionnels'!$D$7:$D$66,MATCH(F17&amp;"|"&amp;$C$5,'Vols additionnels'!$L$7:$L$66,0)),"")),IF(SUMIFS('Vols additionnels'!$E$7:$E$66,'Vols additionnels'!$C$7:$C$66,$C$5,'Vols additionnels'!$K$7:$K$66,F17)&gt;0,"+","")&amp;SUMIFS('Vols additionnels'!$E$7:$E$66,'Vols additionnels'!$C$7:$C$66,$C$5,'Vols additionnels'!$K$7:$K$66,F17)&amp;" vols")&amp;")")))</f>
        <v/>
      </c>
      <c r="U61" s="12" t="str">
        <f aca="false">IF(G17="","",TRIM(SUBSTITUTE(TRIM(IF(U$34=0,"",IF(U$34=1,"77W",U$34&amp;"x77W"))&amp;" "&amp;IF(U$40=0,"",IF(U$40=1,"787",U$40&amp;"x787"))&amp;" "&amp;IF(U$46=0,"",IF(U$46=1,"A320",U$46&amp;"xA320")))," ","/")&amp;IF(SUMIFS('Vols additionnels'!$E$7:$E$66,'Vols additionnels'!$C$7:$C$66,$C$5,'Vols additionnels'!$K$7:$K$66,G17)=0,""," ("&amp;IF(COUNTIFS('Vols additionnels'!$C$7:$C$66,$C$5,'Vols additionnels'!$K$7:$K$66,G17)=1,IF(ABS(SUMIFS('Vols additionnels'!$E$7:$E$66,'Vols additionnels'!$C$7:$C$66,$C$5,'Vols additionnels'!$K$7:$K$66,G17))=1,IF(SUMIFS('Vols additionnels'!$E$7:$E$66,'Vols additionnels'!$C$7:$C$66,$C$5,'Vols additionnels'!$K$7:$K$66,G17)&gt;0,"+","-")&amp;IFERROR(INDEX('Vols additionnels'!$D$7:$D$66,MATCH(G17&amp;"|"&amp;$C$5,'Vols additionnels'!$L$7:$L$66,0)),""),IF(SUMIFS('Vols additionnels'!$E$7:$E$66,'Vols additionnels'!$C$7:$C$66,$C$5,'Vols additionnels'!$K$7:$K$66,G17)&gt;0,"+","")&amp;SUMIFS('Vols additionnels'!$E$7:$E$66,'Vols additionnels'!$C$7:$C$66,$C$5,'Vols additionnels'!$K$7:$K$66,G17)&amp;"x"&amp;IFERROR(INDEX('Vols additionnels'!$D$7:$D$66,MATCH(G17&amp;"|"&amp;$C$5,'Vols additionnels'!$L$7:$L$66,0)),"")),IF(SUMIFS('Vols additionnels'!$E$7:$E$66,'Vols additionnels'!$C$7:$C$66,$C$5,'Vols additionnels'!$K$7:$K$66,G17)&gt;0,"+","")&amp;SUMIFS('Vols additionnels'!$E$7:$E$66,'Vols additionnels'!$C$7:$C$66,$C$5,'Vols additionnels'!$K$7:$K$66,G17)&amp;" vols")&amp;")")))</f>
        <v/>
      </c>
      <c r="V61" s="12" t="str">
        <f aca="false">IF(H17="","",TRIM(SUBSTITUTE(TRIM(IF(V$34=0,"",IF(V$34=1,"77W",V$34&amp;"x77W"))&amp;" "&amp;IF(V$40=0,"",IF(V$40=1,"787",V$40&amp;"x787"))&amp;" "&amp;IF(V$46=0,"",IF(V$46=1,"A320",V$46&amp;"xA320")))," ","/")&amp;IF(SUMIFS('Vols additionnels'!$E$7:$E$66,'Vols additionnels'!$C$7:$C$66,$C$5,'Vols additionnels'!$K$7:$K$66,H17)=0,""," ("&amp;IF(COUNTIFS('Vols additionnels'!$C$7:$C$66,$C$5,'Vols additionnels'!$K$7:$K$66,H17)=1,IF(ABS(SUMIFS('Vols additionnels'!$E$7:$E$66,'Vols additionnels'!$C$7:$C$66,$C$5,'Vols additionnels'!$K$7:$K$66,H17))=1,IF(SUMIFS('Vols additionnels'!$E$7:$E$66,'Vols additionnels'!$C$7:$C$66,$C$5,'Vols additionnels'!$K$7:$K$66,H17)&gt;0,"+","-")&amp;IFERROR(INDEX('Vols additionnels'!$D$7:$D$66,MATCH(H17&amp;"|"&amp;$C$5,'Vols additionnels'!$L$7:$L$66,0)),""),IF(SUMIFS('Vols additionnels'!$E$7:$E$66,'Vols additionnels'!$C$7:$C$66,$C$5,'Vols additionnels'!$K$7:$K$66,H17)&gt;0,"+","")&amp;SUMIFS('Vols additionnels'!$E$7:$E$66,'Vols additionnels'!$C$7:$C$66,$C$5,'Vols additionnels'!$K$7:$K$66,H17)&amp;"x"&amp;IFERROR(INDEX('Vols additionnels'!$D$7:$D$66,MATCH(H17&amp;"|"&amp;$C$5,'Vols additionnels'!$L$7:$L$66,0)),"")),IF(SUMIFS('Vols additionnels'!$E$7:$E$66,'Vols additionnels'!$C$7:$C$66,$C$5,'Vols additionnels'!$K$7:$K$66,H17)&gt;0,"+","")&amp;SUMIFS('Vols additionnels'!$E$7:$E$66,'Vols additionnels'!$C$7:$C$66,$C$5,'Vols additionnels'!$K$7:$K$66,H17)&amp;" vols")&amp;")")))</f>
        <v/>
      </c>
      <c r="W61" s="12" t="str">
        <f aca="false">IF(I17="","",TRIM(SUBSTITUTE(TRIM(IF(W$34=0,"",IF(W$34=1,"77W",W$34&amp;"x77W"))&amp;" "&amp;IF(W$40=0,"",IF(W$40=1,"787",W$40&amp;"x787"))&amp;" "&amp;IF(W$46=0,"",IF(W$46=1,"A320",W$46&amp;"xA320")))," ","/")&amp;IF(SUMIFS('Vols additionnels'!$E$7:$E$66,'Vols additionnels'!$C$7:$C$66,$C$5,'Vols additionnels'!$K$7:$K$66,I17)=0,""," ("&amp;IF(COUNTIFS('Vols additionnels'!$C$7:$C$66,$C$5,'Vols additionnels'!$K$7:$K$66,I17)=1,IF(ABS(SUMIFS('Vols additionnels'!$E$7:$E$66,'Vols additionnels'!$C$7:$C$66,$C$5,'Vols additionnels'!$K$7:$K$66,I17))=1,IF(SUMIFS('Vols additionnels'!$E$7:$E$66,'Vols additionnels'!$C$7:$C$66,$C$5,'Vols additionnels'!$K$7:$K$66,I17)&gt;0,"+","-")&amp;IFERROR(INDEX('Vols additionnels'!$D$7:$D$66,MATCH(I17&amp;"|"&amp;$C$5,'Vols additionnels'!$L$7:$L$66,0)),""),IF(SUMIFS('Vols additionnels'!$E$7:$E$66,'Vols additionnels'!$C$7:$C$66,$C$5,'Vols additionnels'!$K$7:$K$66,I17)&gt;0,"+","")&amp;SUMIFS('Vols additionnels'!$E$7:$E$66,'Vols additionnels'!$C$7:$C$66,$C$5,'Vols additionnels'!$K$7:$K$66,I17)&amp;"x"&amp;IFERROR(INDEX('Vols additionnels'!$D$7:$D$66,MATCH(I17&amp;"|"&amp;$C$5,'Vols additionnels'!$L$7:$L$66,0)),"")),IF(SUMIFS('Vols additionnels'!$E$7:$E$66,'Vols additionnels'!$C$7:$C$66,$C$5,'Vols additionnels'!$K$7:$K$66,I17)&gt;0,"+","")&amp;SUMIFS('Vols additionnels'!$E$7:$E$66,'Vols additionnels'!$C$7:$C$66,$C$5,'Vols additionnels'!$K$7:$K$66,I17)&amp;" vols")&amp;")")))</f>
        <v/>
      </c>
    </row>
    <row r="62" customFormat="false" ht="15" hidden="false" customHeight="false" outlineLevel="0" collapsed="false">
      <c r="P62" s="28" t="s">
        <v>132</v>
      </c>
      <c r="Q62" s="12" t="str">
        <f aca="false">IF(C19="","",TRIM(SUBSTITUTE(TRIM(IF(Q$35=0,"",IF(Q$35=1,"77W",Q$35&amp;"x77W"))&amp;" "&amp;IF(Q$41=0,"",IF(Q$41=1,"787",Q$41&amp;"x787"))&amp;" "&amp;IF(Q$47=0,"",IF(Q$47=1,"A320",Q$47&amp;"xA320")))," ","/")&amp;IF(SUMIFS('Vols additionnels'!$E$7:$E$66,'Vols additionnels'!$C$7:$C$66,$C$5,'Vols additionnels'!$K$7:$K$66,C19)=0,""," ("&amp;IF(COUNTIFS('Vols additionnels'!$C$7:$C$66,$C$5,'Vols additionnels'!$K$7:$K$66,C19)=1,IF(ABS(SUMIFS('Vols additionnels'!$E$7:$E$66,'Vols additionnels'!$C$7:$C$66,$C$5,'Vols additionnels'!$K$7:$K$66,C19))=1,IF(SUMIFS('Vols additionnels'!$E$7:$E$66,'Vols additionnels'!$C$7:$C$66,$C$5,'Vols additionnels'!$K$7:$K$66,C19)&gt;0,"+","-")&amp;IFERROR(INDEX('Vols additionnels'!$D$7:$D$66,MATCH(C19&amp;"|"&amp;$C$5,'Vols additionnels'!$L$7:$L$66,0)),""),IF(SUMIFS('Vols additionnels'!$E$7:$E$66,'Vols additionnels'!$C$7:$C$66,$C$5,'Vols additionnels'!$K$7:$K$66,C19)&gt;0,"+","")&amp;SUMIFS('Vols additionnels'!$E$7:$E$66,'Vols additionnels'!$C$7:$C$66,$C$5,'Vols additionnels'!$K$7:$K$66,C19)&amp;"x"&amp;IFERROR(INDEX('Vols additionnels'!$D$7:$D$66,MATCH(C19&amp;"|"&amp;$C$5,'Vols additionnels'!$L$7:$L$66,0)),"")),IF(SUMIFS('Vols additionnels'!$E$7:$E$66,'Vols additionnels'!$C$7:$C$66,$C$5,'Vols additionnels'!$K$7:$K$66,C19)&gt;0,"+","")&amp;SUMIFS('Vols additionnels'!$E$7:$E$66,'Vols additionnels'!$C$7:$C$66,$C$5,'Vols additionnels'!$K$7:$K$66,C19)&amp;" vols")&amp;")")))</f>
        <v/>
      </c>
      <c r="R62" s="12" t="str">
        <f aca="false">IF(D19="","",TRIM(SUBSTITUTE(TRIM(IF(R$35=0,"",IF(R$35=1,"77W",R$35&amp;"x77W"))&amp;" "&amp;IF(R$41=0,"",IF(R$41=1,"787",R$41&amp;"x787"))&amp;" "&amp;IF(R$47=0,"",IF(R$47=1,"A320",R$47&amp;"xA320")))," ","/")&amp;IF(SUMIFS('Vols additionnels'!$E$7:$E$66,'Vols additionnels'!$C$7:$C$66,$C$5,'Vols additionnels'!$K$7:$K$66,D19)=0,""," ("&amp;IF(COUNTIFS('Vols additionnels'!$C$7:$C$66,$C$5,'Vols additionnels'!$K$7:$K$66,D19)=1,IF(ABS(SUMIFS('Vols additionnels'!$E$7:$E$66,'Vols additionnels'!$C$7:$C$66,$C$5,'Vols additionnels'!$K$7:$K$66,D19))=1,IF(SUMIFS('Vols additionnels'!$E$7:$E$66,'Vols additionnels'!$C$7:$C$66,$C$5,'Vols additionnels'!$K$7:$K$66,D19)&gt;0,"+","-")&amp;IFERROR(INDEX('Vols additionnels'!$D$7:$D$66,MATCH(D19&amp;"|"&amp;$C$5,'Vols additionnels'!$L$7:$L$66,0)),""),IF(SUMIFS('Vols additionnels'!$E$7:$E$66,'Vols additionnels'!$C$7:$C$66,$C$5,'Vols additionnels'!$K$7:$K$66,D19)&gt;0,"+","")&amp;SUMIFS('Vols additionnels'!$E$7:$E$66,'Vols additionnels'!$C$7:$C$66,$C$5,'Vols additionnels'!$K$7:$K$66,D19)&amp;"x"&amp;IFERROR(INDEX('Vols additionnels'!$D$7:$D$66,MATCH(D19&amp;"|"&amp;$C$5,'Vols additionnels'!$L$7:$L$66,0)),"")),IF(SUMIFS('Vols additionnels'!$E$7:$E$66,'Vols additionnels'!$C$7:$C$66,$C$5,'Vols additionnels'!$K$7:$K$66,D19)&gt;0,"+","")&amp;SUMIFS('Vols additionnels'!$E$7:$E$66,'Vols additionnels'!$C$7:$C$66,$C$5,'Vols additionnels'!$K$7:$K$66,D19)&amp;" vols")&amp;")")))</f>
        <v/>
      </c>
      <c r="S62" s="12" t="str">
        <f aca="false">IF(E19="","",TRIM(SUBSTITUTE(TRIM(IF(S$35=0,"",IF(S$35=1,"77W",S$35&amp;"x77W"))&amp;" "&amp;IF(S$41=0,"",IF(S$41=1,"787",S$41&amp;"x787"))&amp;" "&amp;IF(S$47=0,"",IF(S$47=1,"A320",S$47&amp;"xA320")))," ","/")&amp;IF(SUMIFS('Vols additionnels'!$E$7:$E$66,'Vols additionnels'!$C$7:$C$66,$C$5,'Vols additionnels'!$K$7:$K$66,E19)=0,""," ("&amp;IF(COUNTIFS('Vols additionnels'!$C$7:$C$66,$C$5,'Vols additionnels'!$K$7:$K$66,E19)=1,IF(ABS(SUMIFS('Vols additionnels'!$E$7:$E$66,'Vols additionnels'!$C$7:$C$66,$C$5,'Vols additionnels'!$K$7:$K$66,E19))=1,IF(SUMIFS('Vols additionnels'!$E$7:$E$66,'Vols additionnels'!$C$7:$C$66,$C$5,'Vols additionnels'!$K$7:$K$66,E19)&gt;0,"+","-")&amp;IFERROR(INDEX('Vols additionnels'!$D$7:$D$66,MATCH(E19&amp;"|"&amp;$C$5,'Vols additionnels'!$L$7:$L$66,0)),""),IF(SUMIFS('Vols additionnels'!$E$7:$E$66,'Vols additionnels'!$C$7:$C$66,$C$5,'Vols additionnels'!$K$7:$K$66,E19)&gt;0,"+","")&amp;SUMIFS('Vols additionnels'!$E$7:$E$66,'Vols additionnels'!$C$7:$C$66,$C$5,'Vols additionnels'!$K$7:$K$66,E19)&amp;"x"&amp;IFERROR(INDEX('Vols additionnels'!$D$7:$D$66,MATCH(E19&amp;"|"&amp;$C$5,'Vols additionnels'!$L$7:$L$66,0)),"")),IF(SUMIFS('Vols additionnels'!$E$7:$E$66,'Vols additionnels'!$C$7:$C$66,$C$5,'Vols additionnels'!$K$7:$K$66,E19)&gt;0,"+","")&amp;SUMIFS('Vols additionnels'!$E$7:$E$66,'Vols additionnels'!$C$7:$C$66,$C$5,'Vols additionnels'!$K$7:$K$66,E19)&amp;" vols")&amp;")")))</f>
        <v/>
      </c>
      <c r="T62" s="12" t="str">
        <f aca="false">IF(F19="","",TRIM(SUBSTITUTE(TRIM(IF(T$35=0,"",IF(T$35=1,"77W",T$35&amp;"x77W"))&amp;" "&amp;IF(T$41=0,"",IF(T$41=1,"787",T$41&amp;"x787"))&amp;" "&amp;IF(T$47=0,"",IF(T$47=1,"A320",T$47&amp;"xA320")))," ","/")&amp;IF(SUMIFS('Vols additionnels'!$E$7:$E$66,'Vols additionnels'!$C$7:$C$66,$C$5,'Vols additionnels'!$K$7:$K$66,F19)=0,""," ("&amp;IF(COUNTIFS('Vols additionnels'!$C$7:$C$66,$C$5,'Vols additionnels'!$K$7:$K$66,F19)=1,IF(ABS(SUMIFS('Vols additionnels'!$E$7:$E$66,'Vols additionnels'!$C$7:$C$66,$C$5,'Vols additionnels'!$K$7:$K$66,F19))=1,IF(SUMIFS('Vols additionnels'!$E$7:$E$66,'Vols additionnels'!$C$7:$C$66,$C$5,'Vols additionnels'!$K$7:$K$66,F19)&gt;0,"+","-")&amp;IFERROR(INDEX('Vols additionnels'!$D$7:$D$66,MATCH(F19&amp;"|"&amp;$C$5,'Vols additionnels'!$L$7:$L$66,0)),""),IF(SUMIFS('Vols additionnels'!$E$7:$E$66,'Vols additionnels'!$C$7:$C$66,$C$5,'Vols additionnels'!$K$7:$K$66,F19)&gt;0,"+","")&amp;SUMIFS('Vols additionnels'!$E$7:$E$66,'Vols additionnels'!$C$7:$C$66,$C$5,'Vols additionnels'!$K$7:$K$66,F19)&amp;"x"&amp;IFERROR(INDEX('Vols additionnels'!$D$7:$D$66,MATCH(F19&amp;"|"&amp;$C$5,'Vols additionnels'!$L$7:$L$66,0)),"")),IF(SUMIFS('Vols additionnels'!$E$7:$E$66,'Vols additionnels'!$C$7:$C$66,$C$5,'Vols additionnels'!$K$7:$K$66,F19)&gt;0,"+","")&amp;SUMIFS('Vols additionnels'!$E$7:$E$66,'Vols additionnels'!$C$7:$C$66,$C$5,'Vols additionnels'!$K$7:$K$66,F19)&amp;" vols")&amp;")")))</f>
        <v/>
      </c>
      <c r="U62" s="12" t="str">
        <f aca="false">IF(G19="","",TRIM(SUBSTITUTE(TRIM(IF(U$35=0,"",IF(U$35=1,"77W",U$35&amp;"x77W"))&amp;" "&amp;IF(U$41=0,"",IF(U$41=1,"787",U$41&amp;"x787"))&amp;" "&amp;IF(U$47=0,"",IF(U$47=1,"A320",U$47&amp;"xA320")))," ","/")&amp;IF(SUMIFS('Vols additionnels'!$E$7:$E$66,'Vols additionnels'!$C$7:$C$66,$C$5,'Vols additionnels'!$K$7:$K$66,G19)=0,""," ("&amp;IF(COUNTIFS('Vols additionnels'!$C$7:$C$66,$C$5,'Vols additionnels'!$K$7:$K$66,G19)=1,IF(ABS(SUMIFS('Vols additionnels'!$E$7:$E$66,'Vols additionnels'!$C$7:$C$66,$C$5,'Vols additionnels'!$K$7:$K$66,G19))=1,IF(SUMIFS('Vols additionnels'!$E$7:$E$66,'Vols additionnels'!$C$7:$C$66,$C$5,'Vols additionnels'!$K$7:$K$66,G19)&gt;0,"+","-")&amp;IFERROR(INDEX('Vols additionnels'!$D$7:$D$66,MATCH(G19&amp;"|"&amp;$C$5,'Vols additionnels'!$L$7:$L$66,0)),""),IF(SUMIFS('Vols additionnels'!$E$7:$E$66,'Vols additionnels'!$C$7:$C$66,$C$5,'Vols additionnels'!$K$7:$K$66,G19)&gt;0,"+","")&amp;SUMIFS('Vols additionnels'!$E$7:$E$66,'Vols additionnels'!$C$7:$C$66,$C$5,'Vols additionnels'!$K$7:$K$66,G19)&amp;"x"&amp;IFERROR(INDEX('Vols additionnels'!$D$7:$D$66,MATCH(G19&amp;"|"&amp;$C$5,'Vols additionnels'!$L$7:$L$66,0)),"")),IF(SUMIFS('Vols additionnels'!$E$7:$E$66,'Vols additionnels'!$C$7:$C$66,$C$5,'Vols additionnels'!$K$7:$K$66,G19)&gt;0,"+","")&amp;SUMIFS('Vols additionnels'!$E$7:$E$66,'Vols additionnels'!$C$7:$C$66,$C$5,'Vols additionnels'!$K$7:$K$66,G19)&amp;" vols")&amp;")")))</f>
        <v/>
      </c>
      <c r="V62" s="12" t="str">
        <f aca="false">IF(H19="","",TRIM(SUBSTITUTE(TRIM(IF(V$35=0,"",IF(V$35=1,"77W",V$35&amp;"x77W"))&amp;" "&amp;IF(V$41=0,"",IF(V$41=1,"787",V$41&amp;"x787"))&amp;" "&amp;IF(V$47=0,"",IF(V$47=1,"A320",V$47&amp;"xA320")))," ","/")&amp;IF(SUMIFS('Vols additionnels'!$E$7:$E$66,'Vols additionnels'!$C$7:$C$66,$C$5,'Vols additionnels'!$K$7:$K$66,H19)=0,""," ("&amp;IF(COUNTIFS('Vols additionnels'!$C$7:$C$66,$C$5,'Vols additionnels'!$K$7:$K$66,H19)=1,IF(ABS(SUMIFS('Vols additionnels'!$E$7:$E$66,'Vols additionnels'!$C$7:$C$66,$C$5,'Vols additionnels'!$K$7:$K$66,H19))=1,IF(SUMIFS('Vols additionnels'!$E$7:$E$66,'Vols additionnels'!$C$7:$C$66,$C$5,'Vols additionnels'!$K$7:$K$66,H19)&gt;0,"+","-")&amp;IFERROR(INDEX('Vols additionnels'!$D$7:$D$66,MATCH(H19&amp;"|"&amp;$C$5,'Vols additionnels'!$L$7:$L$66,0)),""),IF(SUMIFS('Vols additionnels'!$E$7:$E$66,'Vols additionnels'!$C$7:$C$66,$C$5,'Vols additionnels'!$K$7:$K$66,H19)&gt;0,"+","")&amp;SUMIFS('Vols additionnels'!$E$7:$E$66,'Vols additionnels'!$C$7:$C$66,$C$5,'Vols additionnels'!$K$7:$K$66,H19)&amp;"x"&amp;IFERROR(INDEX('Vols additionnels'!$D$7:$D$66,MATCH(H19&amp;"|"&amp;$C$5,'Vols additionnels'!$L$7:$L$66,0)),"")),IF(SUMIFS('Vols additionnels'!$E$7:$E$66,'Vols additionnels'!$C$7:$C$66,$C$5,'Vols additionnels'!$K$7:$K$66,H19)&gt;0,"+","")&amp;SUMIFS('Vols additionnels'!$E$7:$E$66,'Vols additionnels'!$C$7:$C$66,$C$5,'Vols additionnels'!$K$7:$K$66,H19)&amp;" vols")&amp;")")))</f>
        <v/>
      </c>
      <c r="W62" s="12" t="str">
        <f aca="false">IF(I19="","",TRIM(SUBSTITUTE(TRIM(IF(W$35=0,"",IF(W$35=1,"77W",W$35&amp;"x77W"))&amp;" "&amp;IF(W$41=0,"",IF(W$41=1,"787",W$41&amp;"x787"))&amp;" "&amp;IF(W$47=0,"",IF(W$47=1,"A320",W$47&amp;"xA320")))," ","/")&amp;IF(SUMIFS('Vols additionnels'!$E$7:$E$66,'Vols additionnels'!$C$7:$C$66,$C$5,'Vols additionnels'!$K$7:$K$66,I19)=0,""," ("&amp;IF(COUNTIFS('Vols additionnels'!$C$7:$C$66,$C$5,'Vols additionnels'!$K$7:$K$66,I19)=1,IF(ABS(SUMIFS('Vols additionnels'!$E$7:$E$66,'Vols additionnels'!$C$7:$C$66,$C$5,'Vols additionnels'!$K$7:$K$66,I19))=1,IF(SUMIFS('Vols additionnels'!$E$7:$E$66,'Vols additionnels'!$C$7:$C$66,$C$5,'Vols additionnels'!$K$7:$K$66,I19)&gt;0,"+","-")&amp;IFERROR(INDEX('Vols additionnels'!$D$7:$D$66,MATCH(I19&amp;"|"&amp;$C$5,'Vols additionnels'!$L$7:$L$66,0)),""),IF(SUMIFS('Vols additionnels'!$E$7:$E$66,'Vols additionnels'!$C$7:$C$66,$C$5,'Vols additionnels'!$K$7:$K$66,I19)&gt;0,"+","")&amp;SUMIFS('Vols additionnels'!$E$7:$E$66,'Vols additionnels'!$C$7:$C$66,$C$5,'Vols additionnels'!$K$7:$K$66,I19)&amp;"x"&amp;IFERROR(INDEX('Vols additionnels'!$D$7:$D$66,MATCH(I19&amp;"|"&amp;$C$5,'Vols additionnels'!$L$7:$L$66,0)),"")),IF(SUMIFS('Vols additionnels'!$E$7:$E$66,'Vols additionnels'!$C$7:$C$66,$C$5,'Vols additionnels'!$K$7:$K$66,I19)&gt;0,"+","")&amp;SUMIFS('Vols additionnels'!$E$7:$E$66,'Vols additionnels'!$C$7:$C$66,$C$5,'Vols additionnels'!$K$7:$K$66,I19)&amp;" vols")&amp;")")))</f>
        <v/>
      </c>
    </row>
    <row r="64" customFormat="false" ht="15" hidden="false" customHeight="false" outlineLevel="0" collapsed="false">
      <c r="P64" s="25" t="s">
        <v>133</v>
      </c>
      <c r="Q64" s="25"/>
      <c r="R64" s="25"/>
      <c r="S64" s="25"/>
      <c r="T64" s="25"/>
      <c r="U64" s="25"/>
      <c r="V64" s="25"/>
      <c r="W64" s="25"/>
    </row>
    <row r="65" customFormat="false" ht="30" hidden="false" customHeight="true" outlineLevel="0" collapsed="false">
      <c r="P65" s="26" t="s">
        <v>134</v>
      </c>
      <c r="Q65" s="26" t="s">
        <v>65</v>
      </c>
      <c r="R65" s="26" t="s">
        <v>66</v>
      </c>
      <c r="S65" s="26" t="s">
        <v>67</v>
      </c>
      <c r="T65" s="26" t="s">
        <v>68</v>
      </c>
      <c r="U65" s="26" t="s">
        <v>69</v>
      </c>
      <c r="V65" s="26" t="s">
        <v>70</v>
      </c>
      <c r="W65" s="26" t="s">
        <v>71</v>
      </c>
      <c r="X65" s="47" t="s">
        <v>135</v>
      </c>
      <c r="Y65" s="47" t="s">
        <v>136</v>
      </c>
    </row>
    <row r="66" customFormat="false" ht="15" hidden="false" customHeight="false" outlineLevel="0" collapsed="false">
      <c r="P66" s="10" t="s">
        <v>137</v>
      </c>
      <c r="Q66" s="12" t="str">
        <f aca="false">IFERROR(INDEX('Saisie programme'!$D$13:$J$477,($O$7-1)*39+1,1)&amp;"","")</f>
        <v>1</v>
      </c>
      <c r="R66" s="12" t="str">
        <f aca="false">IFERROR(INDEX('Saisie programme'!$D$13:$J$477,($O$7-1)*39+1,2)&amp;"","")</f>
        <v>1</v>
      </c>
      <c r="S66" s="12" t="str">
        <f aca="false">IFERROR(INDEX('Saisie programme'!$D$13:$J$477,($O$7-1)*39+1,3)&amp;"","")</f>
        <v>1</v>
      </c>
      <c r="T66" s="12" t="str">
        <f aca="false">IFERROR(INDEX('Saisie programme'!$D$13:$J$477,($O$7-1)*39+1,4)&amp;"","")</f>
        <v>1</v>
      </c>
      <c r="U66" s="12" t="str">
        <f aca="false">IFERROR(INDEX('Saisie programme'!$D$13:$J$477,($O$7-1)*39+1,5)&amp;"","")</f>
        <v>1</v>
      </c>
      <c r="V66" s="12" t="str">
        <f aca="false">IFERROR(INDEX('Saisie programme'!$D$13:$J$477,($O$7-1)*39+1,6)&amp;"","")</f>
        <v>1</v>
      </c>
      <c r="W66" s="12" t="str">
        <f aca="false">IFERROR(INDEX('Saisie programme'!$D$13:$J$477,($O$7-1)*39+1,7)&amp;"","")</f>
        <v>1</v>
      </c>
      <c r="X66" s="34" t="n">
        <f aca="false">LEN(IFERROR(INDEX($Q$66:$W$66,WEEKDAY($O$5-0,2))&amp;"",""))-LEN(SUBSTITUTE(IFERROR(INDEX($Q$66:$W$66,WEEKDAY($O$5-0,2))&amp;"",""),"1",""))+LEN(IFERROR(INDEX($Q$66:$W$66,WEEKDAY($O$5-0,2))&amp;"",""))-LEN(SUBSTITUTE(IFERROR(INDEX($Q$66:$W$66,WEEKDAY($O$5-0,2))&amp;"",""),"2",""))+LEN(IFERROR(INDEX($Q$66:$W$66,WEEKDAY($O$5-1,2))&amp;"",""))-LEN(SUBSTITUTE(IFERROR(INDEX($Q$66:$W$66,WEEKDAY($O$5-1,2))&amp;"",""),"2",""))+LEN(IFERROR(INDEX($Q$66:$W$66,WEEKDAY($O$5-0,2))&amp;"",""))-LEN(SUBSTITUTE(IFERROR(INDEX($Q$66:$W$66,WEEKDAY($O$5-0,2))&amp;"",""),"3",""))+LEN(IFERROR(INDEX($Q$66:$W$66,WEEKDAY($O$5-1,2))&amp;"",""))-LEN(SUBSTITUTE(IFERROR(INDEX($Q$66:$W$66,WEEKDAY($O$5-1,2))&amp;"",""),"3",""))+LEN(IFERROR(INDEX($Q$66:$W$66,WEEKDAY($O$5-2,2))&amp;"",""))-LEN(SUBSTITUTE(IFERROR(INDEX($Q$66:$W$66,WEEKDAY($O$5-2,2))&amp;"",""),"3",""))</f>
        <v>1</v>
      </c>
      <c r="Y66" s="34" t="n">
        <f aca="false">LEN(IFERROR(INDEX('Saisie programme'!$D$13:$J$477,($O$7-2)*39+1,WEEKDAY($O$4-1,2))&amp;"",""))-LEN(SUBSTITUTE(IFERROR(INDEX('Saisie programme'!$D$13:$J$477,($O$7-2)*39+1,WEEKDAY($O$4-1,2))&amp;"",""),"1",""))+LEN(IFERROR(INDEX('Saisie programme'!$D$13:$J$477,($O$7-2)*39+1,WEEKDAY($O$4-1,2))&amp;"",""))-LEN(SUBSTITUTE(IFERROR(INDEX('Saisie programme'!$D$13:$J$477,($O$7-2)*39+1,WEEKDAY($O$4-1,2))&amp;"",""),"2",""))+LEN(IFERROR(INDEX('Saisie programme'!$D$13:$J$477,($O$7-2)*39+1,WEEKDAY($O$4-2,2))&amp;"",""))-LEN(SUBSTITUTE(IFERROR(INDEX('Saisie programme'!$D$13:$J$477,($O$7-2)*39+1,WEEKDAY($O$4-2,2))&amp;"",""),"2",""))+LEN(IFERROR(INDEX('Saisie programme'!$D$13:$J$477,($O$7-2)*39+1,WEEKDAY($O$4-1,2))&amp;"",""))-LEN(SUBSTITUTE(IFERROR(INDEX('Saisie programme'!$D$13:$J$477,($O$7-2)*39+1,WEEKDAY($O$4-1,2))&amp;"",""),"3",""))+LEN(IFERROR(INDEX('Saisie programme'!$D$13:$J$477,($O$7-2)*39+1,WEEKDAY($O$4-2,2))&amp;"",""))-LEN(SUBSTITUTE(IFERROR(INDEX('Saisie programme'!$D$13:$J$477,($O$7-2)*39+1,WEEKDAY($O$4-2,2))&amp;"",""),"3",""))+LEN(IFERROR(INDEX('Saisie programme'!$D$13:$J$477,($O$7-2)*39+1,WEEKDAY($O$4-3,2))&amp;"",""))-LEN(SUBSTITUTE(IFERROR(INDEX('Saisie programme'!$D$13:$J$477,($O$7-2)*39+1,WEEKDAY($O$4-3,2))&amp;"",""),"3",""))</f>
        <v>0</v>
      </c>
    </row>
    <row r="67" customFormat="false" ht="15" hidden="false" customHeight="false" outlineLevel="0" collapsed="false">
      <c r="P67" s="10" t="s">
        <v>138</v>
      </c>
      <c r="Q67" s="12" t="str">
        <f aca="false">IFERROR(INDEX('Saisie programme'!$D$13:$J$477,($O$7-1)*39+2,1)&amp;"","")</f>
        <v>1</v>
      </c>
      <c r="R67" s="12" t="str">
        <f aca="false">IFERROR(INDEX('Saisie programme'!$D$13:$J$477,($O$7-1)*39+2,2)&amp;"","")</f>
        <v/>
      </c>
      <c r="S67" s="12" t="str">
        <f aca="false">IFERROR(INDEX('Saisie programme'!$D$13:$J$477,($O$7-1)*39+2,3)&amp;"","")</f>
        <v/>
      </c>
      <c r="T67" s="12" t="str">
        <f aca="false">IFERROR(INDEX('Saisie programme'!$D$13:$J$477,($O$7-1)*39+2,4)&amp;"","")</f>
        <v/>
      </c>
      <c r="U67" s="12" t="str">
        <f aca="false">IFERROR(INDEX('Saisie programme'!$D$13:$J$477,($O$7-1)*39+2,5)&amp;"","")</f>
        <v>1</v>
      </c>
      <c r="V67" s="12" t="str">
        <f aca="false">IFERROR(INDEX('Saisie programme'!$D$13:$J$477,($O$7-1)*39+2,6)&amp;"","")</f>
        <v/>
      </c>
      <c r="W67" s="12" t="str">
        <f aca="false">IFERROR(INDEX('Saisie programme'!$D$13:$J$477,($O$7-1)*39+2,7)&amp;"","")</f>
        <v/>
      </c>
      <c r="X67" s="34" t="n">
        <f aca="false">LEN(IFERROR(INDEX($Q$67:$W$67,WEEKDAY($O$5-0,2))&amp;"",""))-LEN(SUBSTITUTE(IFERROR(INDEX($Q$67:$W$67,WEEKDAY($O$5-0,2))&amp;"",""),"1",""))+LEN(IFERROR(INDEX($Q$67:$W$67,WEEKDAY($O$5-0,2))&amp;"",""))-LEN(SUBSTITUTE(IFERROR(INDEX($Q$67:$W$67,WEEKDAY($O$5-0,2))&amp;"",""),"2",""))+LEN(IFERROR(INDEX($Q$67:$W$67,WEEKDAY($O$5-1,2))&amp;"",""))-LEN(SUBSTITUTE(IFERROR(INDEX($Q$67:$W$67,WEEKDAY($O$5-1,2))&amp;"",""),"2",""))+LEN(IFERROR(INDEX($Q$67:$W$67,WEEKDAY($O$5-0,2))&amp;"",""))-LEN(SUBSTITUTE(IFERROR(INDEX($Q$67:$W$67,WEEKDAY($O$5-0,2))&amp;"",""),"3",""))+LEN(IFERROR(INDEX($Q$67:$W$67,WEEKDAY($O$5-1,2))&amp;"",""))-LEN(SUBSTITUTE(IFERROR(INDEX($Q$67:$W$67,WEEKDAY($O$5-1,2))&amp;"",""),"3",""))+LEN(IFERROR(INDEX($Q$67:$W$67,WEEKDAY($O$5-2,2))&amp;"",""))-LEN(SUBSTITUTE(IFERROR(INDEX($Q$67:$W$67,WEEKDAY($O$5-2,2))&amp;"",""),"3",""))</f>
        <v>1</v>
      </c>
      <c r="Y67" s="34" t="n">
        <f aca="false">LEN(IFERROR(INDEX('Saisie programme'!$D$13:$J$477,($O$7-2)*39+2,WEEKDAY($O$4-1,2))&amp;"",""))-LEN(SUBSTITUTE(IFERROR(INDEX('Saisie programme'!$D$13:$J$477,($O$7-2)*39+2,WEEKDAY($O$4-1,2))&amp;"",""),"1",""))+LEN(IFERROR(INDEX('Saisie programme'!$D$13:$J$477,($O$7-2)*39+2,WEEKDAY($O$4-1,2))&amp;"",""))-LEN(SUBSTITUTE(IFERROR(INDEX('Saisie programme'!$D$13:$J$477,($O$7-2)*39+2,WEEKDAY($O$4-1,2))&amp;"",""),"2",""))+LEN(IFERROR(INDEX('Saisie programme'!$D$13:$J$477,($O$7-2)*39+2,WEEKDAY($O$4-2,2))&amp;"",""))-LEN(SUBSTITUTE(IFERROR(INDEX('Saisie programme'!$D$13:$J$477,($O$7-2)*39+2,WEEKDAY($O$4-2,2))&amp;"",""),"2",""))+LEN(IFERROR(INDEX('Saisie programme'!$D$13:$J$477,($O$7-2)*39+2,WEEKDAY($O$4-1,2))&amp;"",""))-LEN(SUBSTITUTE(IFERROR(INDEX('Saisie programme'!$D$13:$J$477,($O$7-2)*39+2,WEEKDAY($O$4-1,2))&amp;"",""),"3",""))+LEN(IFERROR(INDEX('Saisie programme'!$D$13:$J$477,($O$7-2)*39+2,WEEKDAY($O$4-2,2))&amp;"",""))-LEN(SUBSTITUTE(IFERROR(INDEX('Saisie programme'!$D$13:$J$477,($O$7-2)*39+2,WEEKDAY($O$4-2,2))&amp;"",""),"3",""))+LEN(IFERROR(INDEX('Saisie programme'!$D$13:$J$477,($O$7-2)*39+2,WEEKDAY($O$4-3,2))&amp;"",""))-LEN(SUBSTITUTE(IFERROR(INDEX('Saisie programme'!$D$13:$J$477,($O$7-2)*39+2,WEEKDAY($O$4-3,2))&amp;"",""),"3",""))</f>
        <v>0</v>
      </c>
    </row>
    <row r="68" customFormat="false" ht="15" hidden="false" customHeight="false" outlineLevel="0" collapsed="false">
      <c r="P68" s="10" t="s">
        <v>139</v>
      </c>
      <c r="Q68" s="12" t="str">
        <f aca="false">IFERROR(INDEX('Saisie programme'!$D$13:$J$477,($O$7-1)*39+3,1)&amp;"","")</f>
        <v>01</v>
      </c>
      <c r="R68" s="12" t="str">
        <f aca="false">IFERROR(INDEX('Saisie programme'!$D$13:$J$477,($O$7-1)*39+3,2)&amp;"","")</f>
        <v/>
      </c>
      <c r="S68" s="12" t="str">
        <f aca="false">IFERROR(INDEX('Saisie programme'!$D$13:$J$477,($O$7-1)*39+3,3)&amp;"","")</f>
        <v/>
      </c>
      <c r="T68" s="12" t="str">
        <f aca="false">IFERROR(INDEX('Saisie programme'!$D$13:$J$477,($O$7-1)*39+3,4)&amp;"","")</f>
        <v/>
      </c>
      <c r="U68" s="12" t="str">
        <f aca="false">IFERROR(INDEX('Saisie programme'!$D$13:$J$477,($O$7-1)*39+3,5)&amp;"","")</f>
        <v/>
      </c>
      <c r="V68" s="12" t="str">
        <f aca="false">IFERROR(INDEX('Saisie programme'!$D$13:$J$477,($O$7-1)*39+3,6)&amp;"","")</f>
        <v/>
      </c>
      <c r="W68" s="12" t="str">
        <f aca="false">IFERROR(INDEX('Saisie programme'!$D$13:$J$477,($O$7-1)*39+3,7)&amp;"","")</f>
        <v/>
      </c>
      <c r="X68" s="34" t="n">
        <f aca="false">LEN(IFERROR(INDEX($Q$68:$W$68,WEEKDAY($O$5-0,2))&amp;"",""))-LEN(SUBSTITUTE(IFERROR(INDEX($Q$68:$W$68,WEEKDAY($O$5-0,2))&amp;"",""),"1",""))+LEN(IFERROR(INDEX($Q$68:$W$68,WEEKDAY($O$5-0,2))&amp;"",""))-LEN(SUBSTITUTE(IFERROR(INDEX($Q$68:$W$68,WEEKDAY($O$5-0,2))&amp;"",""),"2",""))+LEN(IFERROR(INDEX($Q$68:$W$68,WEEKDAY($O$5-1,2))&amp;"",""))-LEN(SUBSTITUTE(IFERROR(INDEX($Q$68:$W$68,WEEKDAY($O$5-1,2))&amp;"",""),"2",""))+LEN(IFERROR(INDEX($Q$68:$W$68,WEEKDAY($O$5-0,2))&amp;"",""))-LEN(SUBSTITUTE(IFERROR(INDEX($Q$68:$W$68,WEEKDAY($O$5-0,2))&amp;"",""),"3",""))+LEN(IFERROR(INDEX($Q$68:$W$68,WEEKDAY($O$5-1,2))&amp;"",""))-LEN(SUBSTITUTE(IFERROR(INDEX($Q$68:$W$68,WEEKDAY($O$5-1,2))&amp;"",""),"3",""))+LEN(IFERROR(INDEX($Q$68:$W$68,WEEKDAY($O$5-2,2))&amp;"",""))-LEN(SUBSTITUTE(IFERROR(INDEX($Q$68:$W$68,WEEKDAY($O$5-2,2))&amp;"",""),"3",""))</f>
        <v>0</v>
      </c>
      <c r="Y68" s="34" t="n">
        <f aca="false">LEN(IFERROR(INDEX('Saisie programme'!$D$13:$J$477,($O$7-2)*39+3,WEEKDAY($O$4-1,2))&amp;"",""))-LEN(SUBSTITUTE(IFERROR(INDEX('Saisie programme'!$D$13:$J$477,($O$7-2)*39+3,WEEKDAY($O$4-1,2))&amp;"",""),"1",""))+LEN(IFERROR(INDEX('Saisie programme'!$D$13:$J$477,($O$7-2)*39+3,WEEKDAY($O$4-1,2))&amp;"",""))-LEN(SUBSTITUTE(IFERROR(INDEX('Saisie programme'!$D$13:$J$477,($O$7-2)*39+3,WEEKDAY($O$4-1,2))&amp;"",""),"2",""))+LEN(IFERROR(INDEX('Saisie programme'!$D$13:$J$477,($O$7-2)*39+3,WEEKDAY($O$4-2,2))&amp;"",""))-LEN(SUBSTITUTE(IFERROR(INDEX('Saisie programme'!$D$13:$J$477,($O$7-2)*39+3,WEEKDAY($O$4-2,2))&amp;"",""),"2",""))+LEN(IFERROR(INDEX('Saisie programme'!$D$13:$J$477,($O$7-2)*39+3,WEEKDAY($O$4-1,2))&amp;"",""))-LEN(SUBSTITUTE(IFERROR(INDEX('Saisie programme'!$D$13:$J$477,($O$7-2)*39+3,WEEKDAY($O$4-1,2))&amp;"",""),"3",""))+LEN(IFERROR(INDEX('Saisie programme'!$D$13:$J$477,($O$7-2)*39+3,WEEKDAY($O$4-2,2))&amp;"",""))-LEN(SUBSTITUTE(IFERROR(INDEX('Saisie programme'!$D$13:$J$477,($O$7-2)*39+3,WEEKDAY($O$4-2,2))&amp;"",""),"3",""))+LEN(IFERROR(INDEX('Saisie programme'!$D$13:$J$477,($O$7-2)*39+3,WEEKDAY($O$4-3,2))&amp;"",""))-LEN(SUBSTITUTE(IFERROR(INDEX('Saisie programme'!$D$13:$J$477,($O$7-2)*39+3,WEEKDAY($O$4-3,2))&amp;"",""),"3",""))</f>
        <v>0</v>
      </c>
    </row>
    <row r="69" customFormat="false" ht="15" hidden="false" customHeight="false" outlineLevel="0" collapsed="false">
      <c r="P69" s="10" t="s">
        <v>140</v>
      </c>
      <c r="Q69" s="12" t="str">
        <f aca="false">IFERROR(INDEX('Saisie programme'!$D$13:$J$477,($O$7-1)*39+4,1)&amp;"","")</f>
        <v/>
      </c>
      <c r="R69" s="12" t="str">
        <f aca="false">IFERROR(INDEX('Saisie programme'!$D$13:$J$477,($O$7-1)*39+4,2)&amp;"","")</f>
        <v/>
      </c>
      <c r="S69" s="12" t="str">
        <f aca="false">IFERROR(INDEX('Saisie programme'!$D$13:$J$477,($O$7-1)*39+4,3)&amp;"","")</f>
        <v/>
      </c>
      <c r="T69" s="12" t="str">
        <f aca="false">IFERROR(INDEX('Saisie programme'!$D$13:$J$477,($O$7-1)*39+4,4)&amp;"","")</f>
        <v/>
      </c>
      <c r="U69" s="12" t="str">
        <f aca="false">IFERROR(INDEX('Saisie programme'!$D$13:$J$477,($O$7-1)*39+4,5)&amp;"","")</f>
        <v/>
      </c>
      <c r="V69" s="12" t="str">
        <f aca="false">IFERROR(INDEX('Saisie programme'!$D$13:$J$477,($O$7-1)*39+4,6)&amp;"","")</f>
        <v/>
      </c>
      <c r="W69" s="12" t="str">
        <f aca="false">IFERROR(INDEX('Saisie programme'!$D$13:$J$477,($O$7-1)*39+4,7)&amp;"","")</f>
        <v>1</v>
      </c>
      <c r="X69" s="34" t="n">
        <f aca="false">LEN(IFERROR(INDEX($Q$69:$W$69,WEEKDAY($O$5-0,2))&amp;"",""))-LEN(SUBSTITUTE(IFERROR(INDEX($Q$69:$W$69,WEEKDAY($O$5-0,2))&amp;"",""),"1",""))+LEN(IFERROR(INDEX($Q$69:$W$69,WEEKDAY($O$5-0,2))&amp;"",""))-LEN(SUBSTITUTE(IFERROR(INDEX($Q$69:$W$69,WEEKDAY($O$5-0,2))&amp;"",""),"2",""))+LEN(IFERROR(INDEX($Q$69:$W$69,WEEKDAY($O$5-1,2))&amp;"",""))-LEN(SUBSTITUTE(IFERROR(INDEX($Q$69:$W$69,WEEKDAY($O$5-1,2))&amp;"",""),"2",""))+LEN(IFERROR(INDEX($Q$69:$W$69,WEEKDAY($O$5-0,2))&amp;"",""))-LEN(SUBSTITUTE(IFERROR(INDEX($Q$69:$W$69,WEEKDAY($O$5-0,2))&amp;"",""),"3",""))+LEN(IFERROR(INDEX($Q$69:$W$69,WEEKDAY($O$5-1,2))&amp;"",""))-LEN(SUBSTITUTE(IFERROR(INDEX($Q$69:$W$69,WEEKDAY($O$5-1,2))&amp;"",""),"3",""))+LEN(IFERROR(INDEX($Q$69:$W$69,WEEKDAY($O$5-2,2))&amp;"",""))-LEN(SUBSTITUTE(IFERROR(INDEX($Q$69:$W$69,WEEKDAY($O$5-2,2))&amp;"",""),"3",""))</f>
        <v>0</v>
      </c>
      <c r="Y69" s="34" t="n">
        <f aca="false">LEN(IFERROR(INDEX('Saisie programme'!$D$13:$J$477,($O$7-2)*39+4,WEEKDAY($O$4-1,2))&amp;"",""))-LEN(SUBSTITUTE(IFERROR(INDEX('Saisie programme'!$D$13:$J$477,($O$7-2)*39+4,WEEKDAY($O$4-1,2))&amp;"",""),"1",""))+LEN(IFERROR(INDEX('Saisie programme'!$D$13:$J$477,($O$7-2)*39+4,WEEKDAY($O$4-1,2))&amp;"",""))-LEN(SUBSTITUTE(IFERROR(INDEX('Saisie programme'!$D$13:$J$477,($O$7-2)*39+4,WEEKDAY($O$4-1,2))&amp;"",""),"2",""))+LEN(IFERROR(INDEX('Saisie programme'!$D$13:$J$477,($O$7-2)*39+4,WEEKDAY($O$4-2,2))&amp;"",""))-LEN(SUBSTITUTE(IFERROR(INDEX('Saisie programme'!$D$13:$J$477,($O$7-2)*39+4,WEEKDAY($O$4-2,2))&amp;"",""),"2",""))+LEN(IFERROR(INDEX('Saisie programme'!$D$13:$J$477,($O$7-2)*39+4,WEEKDAY($O$4-1,2))&amp;"",""))-LEN(SUBSTITUTE(IFERROR(INDEX('Saisie programme'!$D$13:$J$477,($O$7-2)*39+4,WEEKDAY($O$4-1,2))&amp;"",""),"3",""))+LEN(IFERROR(INDEX('Saisie programme'!$D$13:$J$477,($O$7-2)*39+4,WEEKDAY($O$4-2,2))&amp;"",""))-LEN(SUBSTITUTE(IFERROR(INDEX('Saisie programme'!$D$13:$J$477,($O$7-2)*39+4,WEEKDAY($O$4-2,2))&amp;"",""),"3",""))+LEN(IFERROR(INDEX('Saisie programme'!$D$13:$J$477,($O$7-2)*39+4,WEEKDAY($O$4-3,2))&amp;"",""))-LEN(SUBSTITUTE(IFERROR(INDEX('Saisie programme'!$D$13:$J$477,($O$7-2)*39+4,WEEKDAY($O$4-3,2))&amp;"",""),"3",""))</f>
        <v>0</v>
      </c>
    </row>
    <row r="70" customFormat="false" ht="15" hidden="false" customHeight="false" outlineLevel="0" collapsed="false">
      <c r="P70" s="10" t="s">
        <v>141</v>
      </c>
      <c r="Q70" s="12" t="str">
        <f aca="false">IFERROR(INDEX('Saisie programme'!$D$13:$J$477,($O$7-1)*39+5,1)&amp;"","")</f>
        <v/>
      </c>
      <c r="R70" s="12" t="str">
        <f aca="false">IFERROR(INDEX('Saisie programme'!$D$13:$J$477,($O$7-1)*39+5,2)&amp;"","")</f>
        <v>1</v>
      </c>
      <c r="S70" s="12" t="str">
        <f aca="false">IFERROR(INDEX('Saisie programme'!$D$13:$J$477,($O$7-1)*39+5,3)&amp;"","")</f>
        <v/>
      </c>
      <c r="T70" s="12" t="str">
        <f aca="false">IFERROR(INDEX('Saisie programme'!$D$13:$J$477,($O$7-1)*39+5,4)&amp;"","")</f>
        <v/>
      </c>
      <c r="U70" s="12" t="str">
        <f aca="false">IFERROR(INDEX('Saisie programme'!$D$13:$J$477,($O$7-1)*39+5,5)&amp;"","")</f>
        <v>1</v>
      </c>
      <c r="V70" s="12" t="str">
        <f aca="false">IFERROR(INDEX('Saisie programme'!$D$13:$J$477,($O$7-1)*39+5,6)&amp;"","")</f>
        <v/>
      </c>
      <c r="W70" s="12" t="str">
        <f aca="false">IFERROR(INDEX('Saisie programme'!$D$13:$J$477,($O$7-1)*39+5,7)&amp;"","")</f>
        <v/>
      </c>
      <c r="X70" s="34" t="n">
        <f aca="false">LEN(IFERROR(INDEX($Q$70:$W$70,WEEKDAY($O$5-0,2))&amp;"",""))-LEN(SUBSTITUTE(IFERROR(INDEX($Q$70:$W$70,WEEKDAY($O$5-0,2))&amp;"",""),"1",""))+LEN(IFERROR(INDEX($Q$70:$W$70,WEEKDAY($O$5-0,2))&amp;"",""))-LEN(SUBSTITUTE(IFERROR(INDEX($Q$70:$W$70,WEEKDAY($O$5-0,2))&amp;"",""),"2",""))+LEN(IFERROR(INDEX($Q$70:$W$70,WEEKDAY($O$5-1,2))&amp;"",""))-LEN(SUBSTITUTE(IFERROR(INDEX($Q$70:$W$70,WEEKDAY($O$5-1,2))&amp;"",""),"2",""))+LEN(IFERROR(INDEX($Q$70:$W$70,WEEKDAY($O$5-0,2))&amp;"",""))-LEN(SUBSTITUTE(IFERROR(INDEX($Q$70:$W$70,WEEKDAY($O$5-0,2))&amp;"",""),"3",""))+LEN(IFERROR(INDEX($Q$70:$W$70,WEEKDAY($O$5-1,2))&amp;"",""))-LEN(SUBSTITUTE(IFERROR(INDEX($Q$70:$W$70,WEEKDAY($O$5-1,2))&amp;"",""),"3",""))+LEN(IFERROR(INDEX($Q$70:$W$70,WEEKDAY($O$5-2,2))&amp;"",""))-LEN(SUBSTITUTE(IFERROR(INDEX($Q$70:$W$70,WEEKDAY($O$5-2,2))&amp;"",""),"3",""))</f>
        <v>1</v>
      </c>
      <c r="Y70" s="34" t="n">
        <f aca="false">LEN(IFERROR(INDEX('Saisie programme'!$D$13:$J$477,($O$7-2)*39+5,WEEKDAY($O$4-1,2))&amp;"",""))-LEN(SUBSTITUTE(IFERROR(INDEX('Saisie programme'!$D$13:$J$477,($O$7-2)*39+5,WEEKDAY($O$4-1,2))&amp;"",""),"1",""))+LEN(IFERROR(INDEX('Saisie programme'!$D$13:$J$477,($O$7-2)*39+5,WEEKDAY($O$4-1,2))&amp;"",""))-LEN(SUBSTITUTE(IFERROR(INDEX('Saisie programme'!$D$13:$J$477,($O$7-2)*39+5,WEEKDAY($O$4-1,2))&amp;"",""),"2",""))+LEN(IFERROR(INDEX('Saisie programme'!$D$13:$J$477,($O$7-2)*39+5,WEEKDAY($O$4-2,2))&amp;"",""))-LEN(SUBSTITUTE(IFERROR(INDEX('Saisie programme'!$D$13:$J$477,($O$7-2)*39+5,WEEKDAY($O$4-2,2))&amp;"",""),"2",""))+LEN(IFERROR(INDEX('Saisie programme'!$D$13:$J$477,($O$7-2)*39+5,WEEKDAY($O$4-1,2))&amp;"",""))-LEN(SUBSTITUTE(IFERROR(INDEX('Saisie programme'!$D$13:$J$477,($O$7-2)*39+5,WEEKDAY($O$4-1,2))&amp;"",""),"3",""))+LEN(IFERROR(INDEX('Saisie programme'!$D$13:$J$477,($O$7-2)*39+5,WEEKDAY($O$4-2,2))&amp;"",""))-LEN(SUBSTITUTE(IFERROR(INDEX('Saisie programme'!$D$13:$J$477,($O$7-2)*39+5,WEEKDAY($O$4-2,2))&amp;"",""),"3",""))+LEN(IFERROR(INDEX('Saisie programme'!$D$13:$J$477,($O$7-2)*39+5,WEEKDAY($O$4-3,2))&amp;"",""))-LEN(SUBSTITUTE(IFERROR(INDEX('Saisie programme'!$D$13:$J$477,($O$7-2)*39+5,WEEKDAY($O$4-3,2))&amp;"",""),"3",""))</f>
        <v>0</v>
      </c>
    </row>
    <row r="71" customFormat="false" ht="15" hidden="false" customHeight="false" outlineLevel="0" collapsed="false">
      <c r="P71" s="10" t="s">
        <v>142</v>
      </c>
      <c r="Q71" s="12" t="str">
        <f aca="false">IFERROR(INDEX('Saisie programme'!$D$13:$J$477,($O$7-1)*39+6,1)&amp;"","")</f>
        <v/>
      </c>
      <c r="R71" s="12" t="str">
        <f aca="false">IFERROR(INDEX('Saisie programme'!$D$13:$J$477,($O$7-1)*39+6,2)&amp;"","")</f>
        <v/>
      </c>
      <c r="S71" s="12" t="str">
        <f aca="false">IFERROR(INDEX('Saisie programme'!$D$13:$J$477,($O$7-1)*39+6,3)&amp;"","")</f>
        <v/>
      </c>
      <c r="T71" s="12" t="str">
        <f aca="false">IFERROR(INDEX('Saisie programme'!$D$13:$J$477,($O$7-1)*39+6,4)&amp;"","")</f>
        <v/>
      </c>
      <c r="U71" s="12" t="str">
        <f aca="false">IFERROR(INDEX('Saisie programme'!$D$13:$J$477,($O$7-1)*39+6,5)&amp;"","")</f>
        <v/>
      </c>
      <c r="V71" s="12" t="str">
        <f aca="false">IFERROR(INDEX('Saisie programme'!$D$13:$J$477,($O$7-1)*39+6,6)&amp;"","")</f>
        <v/>
      </c>
      <c r="W71" s="12" t="str">
        <f aca="false">IFERROR(INDEX('Saisie programme'!$D$13:$J$477,($O$7-1)*39+6,7)&amp;"","")</f>
        <v/>
      </c>
      <c r="X71" s="34" t="n">
        <f aca="false">LEN(IFERROR(INDEX($Q$71:$W$71,WEEKDAY($O$5-0,2))&amp;"",""))-LEN(SUBSTITUTE(IFERROR(INDEX($Q$71:$W$71,WEEKDAY($O$5-0,2))&amp;"",""),"1",""))+LEN(IFERROR(INDEX($Q$71:$W$71,WEEKDAY($O$5-0,2))&amp;"",""))-LEN(SUBSTITUTE(IFERROR(INDEX($Q$71:$W$71,WEEKDAY($O$5-0,2))&amp;"",""),"2",""))+LEN(IFERROR(INDEX($Q$71:$W$71,WEEKDAY($O$5-1,2))&amp;"",""))-LEN(SUBSTITUTE(IFERROR(INDEX($Q$71:$W$71,WEEKDAY($O$5-1,2))&amp;"",""),"2",""))+LEN(IFERROR(INDEX($Q$71:$W$71,WEEKDAY($O$5-0,2))&amp;"",""))-LEN(SUBSTITUTE(IFERROR(INDEX($Q$71:$W$71,WEEKDAY($O$5-0,2))&amp;"",""),"3",""))+LEN(IFERROR(INDEX($Q$71:$W$71,WEEKDAY($O$5-1,2))&amp;"",""))-LEN(SUBSTITUTE(IFERROR(INDEX($Q$71:$W$71,WEEKDAY($O$5-1,2))&amp;"",""),"3",""))+LEN(IFERROR(INDEX($Q$71:$W$71,WEEKDAY($O$5-2,2))&amp;"",""))-LEN(SUBSTITUTE(IFERROR(INDEX($Q$71:$W$71,WEEKDAY($O$5-2,2))&amp;"",""),"3",""))</f>
        <v>0</v>
      </c>
      <c r="Y71" s="34" t="n">
        <f aca="false">LEN(IFERROR(INDEX('Saisie programme'!$D$13:$J$477,($O$7-2)*39+6,WEEKDAY($O$4-1,2))&amp;"",""))-LEN(SUBSTITUTE(IFERROR(INDEX('Saisie programme'!$D$13:$J$477,($O$7-2)*39+6,WEEKDAY($O$4-1,2))&amp;"",""),"1",""))+LEN(IFERROR(INDEX('Saisie programme'!$D$13:$J$477,($O$7-2)*39+6,WEEKDAY($O$4-1,2))&amp;"",""))-LEN(SUBSTITUTE(IFERROR(INDEX('Saisie programme'!$D$13:$J$477,($O$7-2)*39+6,WEEKDAY($O$4-1,2))&amp;"",""),"2",""))+LEN(IFERROR(INDEX('Saisie programme'!$D$13:$J$477,($O$7-2)*39+6,WEEKDAY($O$4-2,2))&amp;"",""))-LEN(SUBSTITUTE(IFERROR(INDEX('Saisie programme'!$D$13:$J$477,($O$7-2)*39+6,WEEKDAY($O$4-2,2))&amp;"",""),"2",""))+LEN(IFERROR(INDEX('Saisie programme'!$D$13:$J$477,($O$7-2)*39+6,WEEKDAY($O$4-1,2))&amp;"",""))-LEN(SUBSTITUTE(IFERROR(INDEX('Saisie programme'!$D$13:$J$477,($O$7-2)*39+6,WEEKDAY($O$4-1,2))&amp;"",""),"3",""))+LEN(IFERROR(INDEX('Saisie programme'!$D$13:$J$477,($O$7-2)*39+6,WEEKDAY($O$4-2,2))&amp;"",""))-LEN(SUBSTITUTE(IFERROR(INDEX('Saisie programme'!$D$13:$J$477,($O$7-2)*39+6,WEEKDAY($O$4-2,2))&amp;"",""),"3",""))+LEN(IFERROR(INDEX('Saisie programme'!$D$13:$J$477,($O$7-2)*39+6,WEEKDAY($O$4-3,2))&amp;"",""))-LEN(SUBSTITUTE(IFERROR(INDEX('Saisie programme'!$D$13:$J$477,($O$7-2)*39+6,WEEKDAY($O$4-3,2))&amp;"",""),"3",""))</f>
        <v>0</v>
      </c>
    </row>
    <row r="72" customFormat="false" ht="15" hidden="false" customHeight="false" outlineLevel="0" collapsed="false">
      <c r="P72" s="10" t="s">
        <v>143</v>
      </c>
      <c r="Q72" s="12" t="str">
        <f aca="false">IFERROR(INDEX('Saisie programme'!$D$13:$J$477,($O$7-1)*39+7,1)&amp;"","")</f>
        <v/>
      </c>
      <c r="R72" s="12" t="str">
        <f aca="false">IFERROR(INDEX('Saisie programme'!$D$13:$J$477,($O$7-1)*39+7,2)&amp;"","")</f>
        <v/>
      </c>
      <c r="S72" s="12" t="str">
        <f aca="false">IFERROR(INDEX('Saisie programme'!$D$13:$J$477,($O$7-1)*39+7,3)&amp;"","")</f>
        <v/>
      </c>
      <c r="T72" s="12" t="str">
        <f aca="false">IFERROR(INDEX('Saisie programme'!$D$13:$J$477,($O$7-1)*39+7,4)&amp;"","")</f>
        <v/>
      </c>
      <c r="U72" s="12" t="str">
        <f aca="false">IFERROR(INDEX('Saisie programme'!$D$13:$J$477,($O$7-1)*39+7,5)&amp;"","")</f>
        <v/>
      </c>
      <c r="V72" s="12" t="str">
        <f aca="false">IFERROR(INDEX('Saisie programme'!$D$13:$J$477,($O$7-1)*39+7,6)&amp;"","")</f>
        <v/>
      </c>
      <c r="W72" s="12" t="str">
        <f aca="false">IFERROR(INDEX('Saisie programme'!$D$13:$J$477,($O$7-1)*39+7,7)&amp;"","")</f>
        <v/>
      </c>
      <c r="X72" s="34" t="n">
        <f aca="false">LEN(IFERROR(INDEX($Q$72:$W$72,WEEKDAY($O$5-0,2))&amp;"",""))-LEN(SUBSTITUTE(IFERROR(INDEX($Q$72:$W$72,WEEKDAY($O$5-0,2))&amp;"",""),"1",""))+LEN(IFERROR(INDEX($Q$72:$W$72,WEEKDAY($O$5-0,2))&amp;"",""))-LEN(SUBSTITUTE(IFERROR(INDEX($Q$72:$W$72,WEEKDAY($O$5-0,2))&amp;"",""),"2",""))+LEN(IFERROR(INDEX($Q$72:$W$72,WEEKDAY($O$5-1,2))&amp;"",""))-LEN(SUBSTITUTE(IFERROR(INDEX($Q$72:$W$72,WEEKDAY($O$5-1,2))&amp;"",""),"2",""))+LEN(IFERROR(INDEX($Q$72:$W$72,WEEKDAY($O$5-0,2))&amp;"",""))-LEN(SUBSTITUTE(IFERROR(INDEX($Q$72:$W$72,WEEKDAY($O$5-0,2))&amp;"",""),"3",""))+LEN(IFERROR(INDEX($Q$72:$W$72,WEEKDAY($O$5-1,2))&amp;"",""))-LEN(SUBSTITUTE(IFERROR(INDEX($Q$72:$W$72,WEEKDAY($O$5-1,2))&amp;"",""),"3",""))+LEN(IFERROR(INDEX($Q$72:$W$72,WEEKDAY($O$5-2,2))&amp;"",""))-LEN(SUBSTITUTE(IFERROR(INDEX($Q$72:$W$72,WEEKDAY($O$5-2,2))&amp;"",""),"3",""))</f>
        <v>0</v>
      </c>
      <c r="Y72" s="34" t="n">
        <f aca="false">LEN(IFERROR(INDEX('Saisie programme'!$D$13:$J$477,($O$7-2)*39+7,WEEKDAY($O$4-1,2))&amp;"",""))-LEN(SUBSTITUTE(IFERROR(INDEX('Saisie programme'!$D$13:$J$477,($O$7-2)*39+7,WEEKDAY($O$4-1,2))&amp;"",""),"1",""))+LEN(IFERROR(INDEX('Saisie programme'!$D$13:$J$477,($O$7-2)*39+7,WEEKDAY($O$4-1,2))&amp;"",""))-LEN(SUBSTITUTE(IFERROR(INDEX('Saisie programme'!$D$13:$J$477,($O$7-2)*39+7,WEEKDAY($O$4-1,2))&amp;"",""),"2",""))+LEN(IFERROR(INDEX('Saisie programme'!$D$13:$J$477,($O$7-2)*39+7,WEEKDAY($O$4-2,2))&amp;"",""))-LEN(SUBSTITUTE(IFERROR(INDEX('Saisie programme'!$D$13:$J$477,($O$7-2)*39+7,WEEKDAY($O$4-2,2))&amp;"",""),"2",""))+LEN(IFERROR(INDEX('Saisie programme'!$D$13:$J$477,($O$7-2)*39+7,WEEKDAY($O$4-1,2))&amp;"",""))-LEN(SUBSTITUTE(IFERROR(INDEX('Saisie programme'!$D$13:$J$477,($O$7-2)*39+7,WEEKDAY($O$4-1,2))&amp;"",""),"3",""))+LEN(IFERROR(INDEX('Saisie programme'!$D$13:$J$477,($O$7-2)*39+7,WEEKDAY($O$4-2,2))&amp;"",""))-LEN(SUBSTITUTE(IFERROR(INDEX('Saisie programme'!$D$13:$J$477,($O$7-2)*39+7,WEEKDAY($O$4-2,2))&amp;"",""),"3",""))+LEN(IFERROR(INDEX('Saisie programme'!$D$13:$J$477,($O$7-2)*39+7,WEEKDAY($O$4-3,2))&amp;"",""))-LEN(SUBSTITUTE(IFERROR(INDEX('Saisie programme'!$D$13:$J$477,($O$7-2)*39+7,WEEKDAY($O$4-3,2))&amp;"",""),"3",""))</f>
        <v>0</v>
      </c>
    </row>
    <row r="73" customFormat="false" ht="15" hidden="false" customHeight="false" outlineLevel="0" collapsed="false">
      <c r="P73" s="10" t="s">
        <v>144</v>
      </c>
      <c r="Q73" s="12" t="str">
        <f aca="false">IFERROR(INDEX('Saisie programme'!$D$13:$J$477,($O$7-1)*39+8,1)&amp;"","")</f>
        <v/>
      </c>
      <c r="R73" s="12" t="str">
        <f aca="false">IFERROR(INDEX('Saisie programme'!$D$13:$J$477,($O$7-1)*39+8,2)&amp;"","")</f>
        <v/>
      </c>
      <c r="S73" s="12" t="str">
        <f aca="false">IFERROR(INDEX('Saisie programme'!$D$13:$J$477,($O$7-1)*39+8,3)&amp;"","")</f>
        <v>1</v>
      </c>
      <c r="T73" s="12" t="str">
        <f aca="false">IFERROR(INDEX('Saisie programme'!$D$13:$J$477,($O$7-1)*39+8,4)&amp;"","")</f>
        <v/>
      </c>
      <c r="U73" s="12" t="str">
        <f aca="false">IFERROR(INDEX('Saisie programme'!$D$13:$J$477,($O$7-1)*39+8,5)&amp;"","")</f>
        <v/>
      </c>
      <c r="V73" s="12" t="str">
        <f aca="false">IFERROR(INDEX('Saisie programme'!$D$13:$J$477,($O$7-1)*39+8,6)&amp;"","")</f>
        <v>1</v>
      </c>
      <c r="W73" s="12" t="str">
        <f aca="false">IFERROR(INDEX('Saisie programme'!$D$13:$J$477,($O$7-1)*39+8,7)&amp;"","")</f>
        <v/>
      </c>
      <c r="X73" s="34" t="n">
        <f aca="false">LEN(IFERROR(INDEX($Q$73:$W$73,WEEKDAY($O$5-0,2))&amp;"",""))-LEN(SUBSTITUTE(IFERROR(INDEX($Q$73:$W$73,WEEKDAY($O$5-0,2))&amp;"",""),"1",""))+LEN(IFERROR(INDEX($Q$73:$W$73,WEEKDAY($O$5-0,2))&amp;"",""))-LEN(SUBSTITUTE(IFERROR(INDEX($Q$73:$W$73,WEEKDAY($O$5-0,2))&amp;"",""),"2",""))+LEN(IFERROR(INDEX($Q$73:$W$73,WEEKDAY($O$5-1,2))&amp;"",""))-LEN(SUBSTITUTE(IFERROR(INDEX($Q$73:$W$73,WEEKDAY($O$5-1,2))&amp;"",""),"2",""))+LEN(IFERROR(INDEX($Q$73:$W$73,WEEKDAY($O$5-0,2))&amp;"",""))-LEN(SUBSTITUTE(IFERROR(INDEX($Q$73:$W$73,WEEKDAY($O$5-0,2))&amp;"",""),"3",""))+LEN(IFERROR(INDEX($Q$73:$W$73,WEEKDAY($O$5-1,2))&amp;"",""))-LEN(SUBSTITUTE(IFERROR(INDEX($Q$73:$W$73,WEEKDAY($O$5-1,2))&amp;"",""),"3",""))+LEN(IFERROR(INDEX($Q$73:$W$73,WEEKDAY($O$5-2,2))&amp;"",""))-LEN(SUBSTITUTE(IFERROR(INDEX($Q$73:$W$73,WEEKDAY($O$5-2,2))&amp;"",""),"3",""))</f>
        <v>0</v>
      </c>
      <c r="Y73" s="34" t="n">
        <f aca="false">LEN(IFERROR(INDEX('Saisie programme'!$D$13:$J$477,($O$7-2)*39+8,WEEKDAY($O$4-1,2))&amp;"",""))-LEN(SUBSTITUTE(IFERROR(INDEX('Saisie programme'!$D$13:$J$477,($O$7-2)*39+8,WEEKDAY($O$4-1,2))&amp;"",""),"1",""))+LEN(IFERROR(INDEX('Saisie programme'!$D$13:$J$477,($O$7-2)*39+8,WEEKDAY($O$4-1,2))&amp;"",""))-LEN(SUBSTITUTE(IFERROR(INDEX('Saisie programme'!$D$13:$J$477,($O$7-2)*39+8,WEEKDAY($O$4-1,2))&amp;"",""),"2",""))+LEN(IFERROR(INDEX('Saisie programme'!$D$13:$J$477,($O$7-2)*39+8,WEEKDAY($O$4-2,2))&amp;"",""))-LEN(SUBSTITUTE(IFERROR(INDEX('Saisie programme'!$D$13:$J$477,($O$7-2)*39+8,WEEKDAY($O$4-2,2))&amp;"",""),"2",""))+LEN(IFERROR(INDEX('Saisie programme'!$D$13:$J$477,($O$7-2)*39+8,WEEKDAY($O$4-1,2))&amp;"",""))-LEN(SUBSTITUTE(IFERROR(INDEX('Saisie programme'!$D$13:$J$477,($O$7-2)*39+8,WEEKDAY($O$4-1,2))&amp;"",""),"3",""))+LEN(IFERROR(INDEX('Saisie programme'!$D$13:$J$477,($O$7-2)*39+8,WEEKDAY($O$4-2,2))&amp;"",""))-LEN(SUBSTITUTE(IFERROR(INDEX('Saisie programme'!$D$13:$J$477,($O$7-2)*39+8,WEEKDAY($O$4-2,2))&amp;"",""),"3",""))+LEN(IFERROR(INDEX('Saisie programme'!$D$13:$J$477,($O$7-2)*39+8,WEEKDAY($O$4-3,2))&amp;"",""))-LEN(SUBSTITUTE(IFERROR(INDEX('Saisie programme'!$D$13:$J$477,($O$7-2)*39+8,WEEKDAY($O$4-3,2))&amp;"",""),"3",""))</f>
        <v>0</v>
      </c>
    </row>
    <row r="74" customFormat="false" ht="15" hidden="false" customHeight="false" outlineLevel="0" collapsed="false">
      <c r="P74" s="10" t="s">
        <v>145</v>
      </c>
      <c r="Q74" s="12" t="str">
        <f aca="false">IFERROR(INDEX('Saisie programme'!$D$13:$J$477,($O$7-1)*39+9,1)&amp;"","")</f>
        <v/>
      </c>
      <c r="R74" s="12" t="str">
        <f aca="false">IFERROR(INDEX('Saisie programme'!$D$13:$J$477,($O$7-1)*39+9,2)&amp;"","")</f>
        <v/>
      </c>
      <c r="S74" s="12" t="str">
        <f aca="false">IFERROR(INDEX('Saisie programme'!$D$13:$J$477,($O$7-1)*39+9,3)&amp;"","")</f>
        <v/>
      </c>
      <c r="T74" s="12" t="str">
        <f aca="false">IFERROR(INDEX('Saisie programme'!$D$13:$J$477,($O$7-1)*39+9,4)&amp;"","")</f>
        <v/>
      </c>
      <c r="U74" s="12" t="str">
        <f aca="false">IFERROR(INDEX('Saisie programme'!$D$13:$J$477,($O$7-1)*39+9,5)&amp;"","")</f>
        <v/>
      </c>
      <c r="V74" s="12" t="str">
        <f aca="false">IFERROR(INDEX('Saisie programme'!$D$13:$J$477,($O$7-1)*39+9,6)&amp;"","")</f>
        <v/>
      </c>
      <c r="W74" s="12" t="str">
        <f aca="false">IFERROR(INDEX('Saisie programme'!$D$13:$J$477,($O$7-1)*39+9,7)&amp;"","")</f>
        <v/>
      </c>
      <c r="X74" s="34" t="n">
        <f aca="false">LEN(IFERROR(INDEX($Q$74:$W$74,WEEKDAY($O$5-0,2))&amp;"",""))-LEN(SUBSTITUTE(IFERROR(INDEX($Q$74:$W$74,WEEKDAY($O$5-0,2))&amp;"",""),"1",""))+LEN(IFERROR(INDEX($Q$74:$W$74,WEEKDAY($O$5-0,2))&amp;"",""))-LEN(SUBSTITUTE(IFERROR(INDEX($Q$74:$W$74,WEEKDAY($O$5-0,2))&amp;"",""),"2",""))+LEN(IFERROR(INDEX($Q$74:$W$74,WEEKDAY($O$5-1,2))&amp;"",""))-LEN(SUBSTITUTE(IFERROR(INDEX($Q$74:$W$74,WEEKDAY($O$5-1,2))&amp;"",""),"2",""))+LEN(IFERROR(INDEX($Q$74:$W$74,WEEKDAY($O$5-0,2))&amp;"",""))-LEN(SUBSTITUTE(IFERROR(INDEX($Q$74:$W$74,WEEKDAY($O$5-0,2))&amp;"",""),"3",""))+LEN(IFERROR(INDEX($Q$74:$W$74,WEEKDAY($O$5-1,2))&amp;"",""))-LEN(SUBSTITUTE(IFERROR(INDEX($Q$74:$W$74,WEEKDAY($O$5-1,2))&amp;"",""),"3",""))+LEN(IFERROR(INDEX($Q$74:$W$74,WEEKDAY($O$5-2,2))&amp;"",""))-LEN(SUBSTITUTE(IFERROR(INDEX($Q$74:$W$74,WEEKDAY($O$5-2,2))&amp;"",""),"3",""))</f>
        <v>0</v>
      </c>
      <c r="Y74" s="34" t="n">
        <f aca="false">LEN(IFERROR(INDEX('Saisie programme'!$D$13:$J$477,($O$7-2)*39+9,WEEKDAY($O$4-1,2))&amp;"",""))-LEN(SUBSTITUTE(IFERROR(INDEX('Saisie programme'!$D$13:$J$477,($O$7-2)*39+9,WEEKDAY($O$4-1,2))&amp;"",""),"1",""))+LEN(IFERROR(INDEX('Saisie programme'!$D$13:$J$477,($O$7-2)*39+9,WEEKDAY($O$4-1,2))&amp;"",""))-LEN(SUBSTITUTE(IFERROR(INDEX('Saisie programme'!$D$13:$J$477,($O$7-2)*39+9,WEEKDAY($O$4-1,2))&amp;"",""),"2",""))+LEN(IFERROR(INDEX('Saisie programme'!$D$13:$J$477,($O$7-2)*39+9,WEEKDAY($O$4-2,2))&amp;"",""))-LEN(SUBSTITUTE(IFERROR(INDEX('Saisie programme'!$D$13:$J$477,($O$7-2)*39+9,WEEKDAY($O$4-2,2))&amp;"",""),"2",""))+LEN(IFERROR(INDEX('Saisie programme'!$D$13:$J$477,($O$7-2)*39+9,WEEKDAY($O$4-1,2))&amp;"",""))-LEN(SUBSTITUTE(IFERROR(INDEX('Saisie programme'!$D$13:$J$477,($O$7-2)*39+9,WEEKDAY($O$4-1,2))&amp;"",""),"3",""))+LEN(IFERROR(INDEX('Saisie programme'!$D$13:$J$477,($O$7-2)*39+9,WEEKDAY($O$4-2,2))&amp;"",""))-LEN(SUBSTITUTE(IFERROR(INDEX('Saisie programme'!$D$13:$J$477,($O$7-2)*39+9,WEEKDAY($O$4-2,2))&amp;"",""),"3",""))+LEN(IFERROR(INDEX('Saisie programme'!$D$13:$J$477,($O$7-2)*39+9,WEEKDAY($O$4-3,2))&amp;"",""))-LEN(SUBSTITUTE(IFERROR(INDEX('Saisie programme'!$D$13:$J$477,($O$7-2)*39+9,WEEKDAY($O$4-3,2))&amp;"",""),"3",""))</f>
        <v>0</v>
      </c>
    </row>
    <row r="75" customFormat="false" ht="15" hidden="false" customHeight="false" outlineLevel="0" collapsed="false">
      <c r="P75" s="10" t="s">
        <v>146</v>
      </c>
      <c r="Q75" s="12" t="str">
        <f aca="false">IFERROR(INDEX('Saisie programme'!$D$13:$J$477,($O$7-1)*39+10,1)&amp;"","")</f>
        <v/>
      </c>
      <c r="R75" s="12" t="str">
        <f aca="false">IFERROR(INDEX('Saisie programme'!$D$13:$J$477,($O$7-1)*39+10,2)&amp;"","")</f>
        <v/>
      </c>
      <c r="S75" s="12" t="str">
        <f aca="false">IFERROR(INDEX('Saisie programme'!$D$13:$J$477,($O$7-1)*39+10,3)&amp;"","")</f>
        <v/>
      </c>
      <c r="T75" s="12" t="str">
        <f aca="false">IFERROR(INDEX('Saisie programme'!$D$13:$J$477,($O$7-1)*39+10,4)&amp;"","")</f>
        <v/>
      </c>
      <c r="U75" s="12" t="str">
        <f aca="false">IFERROR(INDEX('Saisie programme'!$D$13:$J$477,($O$7-1)*39+10,5)&amp;"","")</f>
        <v/>
      </c>
      <c r="V75" s="12" t="str">
        <f aca="false">IFERROR(INDEX('Saisie programme'!$D$13:$J$477,($O$7-1)*39+10,6)&amp;"","")</f>
        <v/>
      </c>
      <c r="W75" s="12" t="str">
        <f aca="false">IFERROR(INDEX('Saisie programme'!$D$13:$J$477,($O$7-1)*39+10,7)&amp;"","")</f>
        <v/>
      </c>
      <c r="X75" s="34" t="n">
        <f aca="false">LEN(IFERROR(INDEX($Q$75:$W$75,WEEKDAY($O$5-0,2))&amp;"",""))-LEN(SUBSTITUTE(IFERROR(INDEX($Q$75:$W$75,WEEKDAY($O$5-0,2))&amp;"",""),"1",""))+LEN(IFERROR(INDEX($Q$75:$W$75,WEEKDAY($O$5-0,2))&amp;"",""))-LEN(SUBSTITUTE(IFERROR(INDEX($Q$75:$W$75,WEEKDAY($O$5-0,2))&amp;"",""),"2",""))+LEN(IFERROR(INDEX($Q$75:$W$75,WEEKDAY($O$5-1,2))&amp;"",""))-LEN(SUBSTITUTE(IFERROR(INDEX($Q$75:$W$75,WEEKDAY($O$5-1,2))&amp;"",""),"2",""))+LEN(IFERROR(INDEX($Q$75:$W$75,WEEKDAY($O$5-0,2))&amp;"",""))-LEN(SUBSTITUTE(IFERROR(INDEX($Q$75:$W$75,WEEKDAY($O$5-0,2))&amp;"",""),"3",""))+LEN(IFERROR(INDEX($Q$75:$W$75,WEEKDAY($O$5-1,2))&amp;"",""))-LEN(SUBSTITUTE(IFERROR(INDEX($Q$75:$W$75,WEEKDAY($O$5-1,2))&amp;"",""),"3",""))+LEN(IFERROR(INDEX($Q$75:$W$75,WEEKDAY($O$5-2,2))&amp;"",""))-LEN(SUBSTITUTE(IFERROR(INDEX($Q$75:$W$75,WEEKDAY($O$5-2,2))&amp;"",""),"3",""))</f>
        <v>0</v>
      </c>
      <c r="Y75" s="34" t="n">
        <f aca="false">LEN(IFERROR(INDEX('Saisie programme'!$D$13:$J$477,($O$7-2)*39+10,WEEKDAY($O$4-1,2))&amp;"",""))-LEN(SUBSTITUTE(IFERROR(INDEX('Saisie programme'!$D$13:$J$477,($O$7-2)*39+10,WEEKDAY($O$4-1,2))&amp;"",""),"1",""))+LEN(IFERROR(INDEX('Saisie programme'!$D$13:$J$477,($O$7-2)*39+10,WEEKDAY($O$4-1,2))&amp;"",""))-LEN(SUBSTITUTE(IFERROR(INDEX('Saisie programme'!$D$13:$J$477,($O$7-2)*39+10,WEEKDAY($O$4-1,2))&amp;"",""),"2",""))+LEN(IFERROR(INDEX('Saisie programme'!$D$13:$J$477,($O$7-2)*39+10,WEEKDAY($O$4-2,2))&amp;"",""))-LEN(SUBSTITUTE(IFERROR(INDEX('Saisie programme'!$D$13:$J$477,($O$7-2)*39+10,WEEKDAY($O$4-2,2))&amp;"",""),"2",""))+LEN(IFERROR(INDEX('Saisie programme'!$D$13:$J$477,($O$7-2)*39+10,WEEKDAY($O$4-1,2))&amp;"",""))-LEN(SUBSTITUTE(IFERROR(INDEX('Saisie programme'!$D$13:$J$477,($O$7-2)*39+10,WEEKDAY($O$4-1,2))&amp;"",""),"3",""))+LEN(IFERROR(INDEX('Saisie programme'!$D$13:$J$477,($O$7-2)*39+10,WEEKDAY($O$4-2,2))&amp;"",""))-LEN(SUBSTITUTE(IFERROR(INDEX('Saisie programme'!$D$13:$J$477,($O$7-2)*39+10,WEEKDAY($O$4-2,2))&amp;"",""),"3",""))+LEN(IFERROR(INDEX('Saisie programme'!$D$13:$J$477,($O$7-2)*39+10,WEEKDAY($O$4-3,2))&amp;"",""))-LEN(SUBSTITUTE(IFERROR(INDEX('Saisie programme'!$D$13:$J$477,($O$7-2)*39+10,WEEKDAY($O$4-3,2))&amp;"",""),"3",""))</f>
        <v>0</v>
      </c>
    </row>
    <row r="76" customFormat="false" ht="15" hidden="false" customHeight="false" outlineLevel="0" collapsed="false">
      <c r="P76" s="10" t="s">
        <v>147</v>
      </c>
      <c r="Q76" s="12" t="str">
        <f aca="false">IFERROR(INDEX('Saisie programme'!$D$13:$J$477,($O$7-1)*39+11,1)&amp;"","")</f>
        <v/>
      </c>
      <c r="R76" s="12" t="str">
        <f aca="false">IFERROR(INDEX('Saisie programme'!$D$13:$J$477,($O$7-1)*39+11,2)&amp;"","")</f>
        <v/>
      </c>
      <c r="S76" s="12" t="str">
        <f aca="false">IFERROR(INDEX('Saisie programme'!$D$13:$J$477,($O$7-1)*39+11,3)&amp;"","")</f>
        <v>0</v>
      </c>
      <c r="T76" s="12" t="str">
        <f aca="false">IFERROR(INDEX('Saisie programme'!$D$13:$J$477,($O$7-1)*39+11,4)&amp;"","")</f>
        <v/>
      </c>
      <c r="U76" s="12" t="str">
        <f aca="false">IFERROR(INDEX('Saisie programme'!$D$13:$J$477,($O$7-1)*39+11,5)&amp;"","")</f>
        <v/>
      </c>
      <c r="V76" s="12" t="str">
        <f aca="false">IFERROR(INDEX('Saisie programme'!$D$13:$J$477,($O$7-1)*39+11,6)&amp;"","")</f>
        <v/>
      </c>
      <c r="W76" s="12" t="str">
        <f aca="false">IFERROR(INDEX('Saisie programme'!$D$13:$J$477,($O$7-1)*39+11,7)&amp;"","")</f>
        <v/>
      </c>
      <c r="X76" s="34" t="n">
        <f aca="false">LEN(IFERROR(INDEX($Q$76:$W$76,WEEKDAY($O$5-0,2))&amp;"",""))-LEN(SUBSTITUTE(IFERROR(INDEX($Q$76:$W$76,WEEKDAY($O$5-0,2))&amp;"",""),"1",""))+LEN(IFERROR(INDEX($Q$76:$W$76,WEEKDAY($O$5-0,2))&amp;"",""))-LEN(SUBSTITUTE(IFERROR(INDEX($Q$76:$W$76,WEEKDAY($O$5-0,2))&amp;"",""),"2",""))+LEN(IFERROR(INDEX($Q$76:$W$76,WEEKDAY($O$5-1,2))&amp;"",""))-LEN(SUBSTITUTE(IFERROR(INDEX($Q$76:$W$76,WEEKDAY($O$5-1,2))&amp;"",""),"2",""))+LEN(IFERROR(INDEX($Q$76:$W$76,WEEKDAY($O$5-0,2))&amp;"",""))-LEN(SUBSTITUTE(IFERROR(INDEX($Q$76:$W$76,WEEKDAY($O$5-0,2))&amp;"",""),"3",""))+LEN(IFERROR(INDEX($Q$76:$W$76,WEEKDAY($O$5-1,2))&amp;"",""))-LEN(SUBSTITUTE(IFERROR(INDEX($Q$76:$W$76,WEEKDAY($O$5-1,2))&amp;"",""),"3",""))+LEN(IFERROR(INDEX($Q$76:$W$76,WEEKDAY($O$5-2,2))&amp;"",""))-LEN(SUBSTITUTE(IFERROR(INDEX($Q$76:$W$76,WEEKDAY($O$5-2,2))&amp;"",""),"3",""))</f>
        <v>0</v>
      </c>
      <c r="Y76" s="34" t="n">
        <f aca="false">LEN(IFERROR(INDEX('Saisie programme'!$D$13:$J$477,($O$7-2)*39+11,WEEKDAY($O$4-1,2))&amp;"",""))-LEN(SUBSTITUTE(IFERROR(INDEX('Saisie programme'!$D$13:$J$477,($O$7-2)*39+11,WEEKDAY($O$4-1,2))&amp;"",""),"1",""))+LEN(IFERROR(INDEX('Saisie programme'!$D$13:$J$477,($O$7-2)*39+11,WEEKDAY($O$4-1,2))&amp;"",""))-LEN(SUBSTITUTE(IFERROR(INDEX('Saisie programme'!$D$13:$J$477,($O$7-2)*39+11,WEEKDAY($O$4-1,2))&amp;"",""),"2",""))+LEN(IFERROR(INDEX('Saisie programme'!$D$13:$J$477,($O$7-2)*39+11,WEEKDAY($O$4-2,2))&amp;"",""))-LEN(SUBSTITUTE(IFERROR(INDEX('Saisie programme'!$D$13:$J$477,($O$7-2)*39+11,WEEKDAY($O$4-2,2))&amp;"",""),"2",""))+LEN(IFERROR(INDEX('Saisie programme'!$D$13:$J$477,($O$7-2)*39+11,WEEKDAY($O$4-1,2))&amp;"",""))-LEN(SUBSTITUTE(IFERROR(INDEX('Saisie programme'!$D$13:$J$477,($O$7-2)*39+11,WEEKDAY($O$4-1,2))&amp;"",""),"3",""))+LEN(IFERROR(INDEX('Saisie programme'!$D$13:$J$477,($O$7-2)*39+11,WEEKDAY($O$4-2,2))&amp;"",""))-LEN(SUBSTITUTE(IFERROR(INDEX('Saisie programme'!$D$13:$J$477,($O$7-2)*39+11,WEEKDAY($O$4-2,2))&amp;"",""),"3",""))+LEN(IFERROR(INDEX('Saisie programme'!$D$13:$J$477,($O$7-2)*39+11,WEEKDAY($O$4-3,2))&amp;"",""))-LEN(SUBSTITUTE(IFERROR(INDEX('Saisie programme'!$D$13:$J$477,($O$7-2)*39+11,WEEKDAY($O$4-3,2))&amp;"",""),"3",""))</f>
        <v>0</v>
      </c>
    </row>
    <row r="77" customFormat="false" ht="15" hidden="false" customHeight="false" outlineLevel="0" collapsed="false">
      <c r="P77" s="10" t="s">
        <v>148</v>
      </c>
      <c r="Q77" s="12" t="str">
        <f aca="false">IFERROR(INDEX('Saisie programme'!$D$13:$J$477,($O$7-1)*39+12,1)&amp;"","")</f>
        <v>0</v>
      </c>
      <c r="R77" s="12" t="str">
        <f aca="false">IFERROR(INDEX('Saisie programme'!$D$13:$J$477,($O$7-1)*39+12,2)&amp;"","")</f>
        <v>0</v>
      </c>
      <c r="S77" s="12" t="str">
        <f aca="false">IFERROR(INDEX('Saisie programme'!$D$13:$J$477,($O$7-1)*39+12,3)&amp;"","")</f>
        <v>0</v>
      </c>
      <c r="T77" s="12" t="str">
        <f aca="false">IFERROR(INDEX('Saisie programme'!$D$13:$J$477,($O$7-1)*39+12,4)&amp;"","")</f>
        <v>0</v>
      </c>
      <c r="U77" s="12" t="str">
        <f aca="false">IFERROR(INDEX('Saisie programme'!$D$13:$J$477,($O$7-1)*39+12,5)&amp;"","")</f>
        <v>0</v>
      </c>
      <c r="V77" s="12" t="str">
        <f aca="false">IFERROR(INDEX('Saisie programme'!$D$13:$J$477,($O$7-1)*39+12,6)&amp;"","")</f>
        <v/>
      </c>
      <c r="W77" s="12" t="str">
        <f aca="false">IFERROR(INDEX('Saisie programme'!$D$13:$J$477,($O$7-1)*39+12,7)&amp;"","")</f>
        <v/>
      </c>
      <c r="X77" s="34" t="n">
        <f aca="false">LEN(IFERROR(INDEX($Q$77:$W$77,WEEKDAY($O$5-0,2))&amp;"",""))-LEN(SUBSTITUTE(IFERROR(INDEX($Q$77:$W$77,WEEKDAY($O$5-0,2))&amp;"",""),"1",""))+LEN(IFERROR(INDEX($Q$77:$W$77,WEEKDAY($O$5-0,2))&amp;"",""))-LEN(SUBSTITUTE(IFERROR(INDEX($Q$77:$W$77,WEEKDAY($O$5-0,2))&amp;"",""),"2",""))+LEN(IFERROR(INDEX($Q$77:$W$77,WEEKDAY($O$5-1,2))&amp;"",""))-LEN(SUBSTITUTE(IFERROR(INDEX($Q$77:$W$77,WEEKDAY($O$5-1,2))&amp;"",""),"2",""))+LEN(IFERROR(INDEX($Q$77:$W$77,WEEKDAY($O$5-0,2))&amp;"",""))-LEN(SUBSTITUTE(IFERROR(INDEX($Q$77:$W$77,WEEKDAY($O$5-0,2))&amp;"",""),"3",""))+LEN(IFERROR(INDEX($Q$77:$W$77,WEEKDAY($O$5-1,2))&amp;"",""))-LEN(SUBSTITUTE(IFERROR(INDEX($Q$77:$W$77,WEEKDAY($O$5-1,2))&amp;"",""),"3",""))+LEN(IFERROR(INDEX($Q$77:$W$77,WEEKDAY($O$5-2,2))&amp;"",""))-LEN(SUBSTITUTE(IFERROR(INDEX($Q$77:$W$77,WEEKDAY($O$5-2,2))&amp;"",""),"3",""))</f>
        <v>0</v>
      </c>
      <c r="Y77" s="34" t="n">
        <f aca="false">LEN(IFERROR(INDEX('Saisie programme'!$D$13:$J$477,($O$7-2)*39+12,WEEKDAY($O$4-1,2))&amp;"",""))-LEN(SUBSTITUTE(IFERROR(INDEX('Saisie programme'!$D$13:$J$477,($O$7-2)*39+12,WEEKDAY($O$4-1,2))&amp;"",""),"1",""))+LEN(IFERROR(INDEX('Saisie programme'!$D$13:$J$477,($O$7-2)*39+12,WEEKDAY($O$4-1,2))&amp;"",""))-LEN(SUBSTITUTE(IFERROR(INDEX('Saisie programme'!$D$13:$J$477,($O$7-2)*39+12,WEEKDAY($O$4-1,2))&amp;"",""),"2",""))+LEN(IFERROR(INDEX('Saisie programme'!$D$13:$J$477,($O$7-2)*39+12,WEEKDAY($O$4-2,2))&amp;"",""))-LEN(SUBSTITUTE(IFERROR(INDEX('Saisie programme'!$D$13:$J$477,($O$7-2)*39+12,WEEKDAY($O$4-2,2))&amp;"",""),"2",""))+LEN(IFERROR(INDEX('Saisie programme'!$D$13:$J$477,($O$7-2)*39+12,WEEKDAY($O$4-1,2))&amp;"",""))-LEN(SUBSTITUTE(IFERROR(INDEX('Saisie programme'!$D$13:$J$477,($O$7-2)*39+12,WEEKDAY($O$4-1,2))&amp;"",""),"3",""))+LEN(IFERROR(INDEX('Saisie programme'!$D$13:$J$477,($O$7-2)*39+12,WEEKDAY($O$4-2,2))&amp;"",""))-LEN(SUBSTITUTE(IFERROR(INDEX('Saisie programme'!$D$13:$J$477,($O$7-2)*39+12,WEEKDAY($O$4-2,2))&amp;"",""),"3",""))+LEN(IFERROR(INDEX('Saisie programme'!$D$13:$J$477,($O$7-2)*39+12,WEEKDAY($O$4-3,2))&amp;"",""))-LEN(SUBSTITUTE(IFERROR(INDEX('Saisie programme'!$D$13:$J$477,($O$7-2)*39+12,WEEKDAY($O$4-3,2))&amp;"",""),"3",""))</f>
        <v>0</v>
      </c>
    </row>
    <row r="78" customFormat="false" ht="15" hidden="false" customHeight="false" outlineLevel="0" collapsed="false">
      <c r="P78" s="10" t="s">
        <v>149</v>
      </c>
      <c r="Q78" s="12" t="str">
        <f aca="false">IFERROR(INDEX('Saisie programme'!$D$13:$J$477,($O$7-1)*39+13,1)&amp;"","")</f>
        <v/>
      </c>
      <c r="R78" s="12" t="str">
        <f aca="false">IFERROR(INDEX('Saisie programme'!$D$13:$J$477,($O$7-1)*39+13,2)&amp;"","")</f>
        <v/>
      </c>
      <c r="S78" s="12" t="str">
        <f aca="false">IFERROR(INDEX('Saisie programme'!$D$13:$J$477,($O$7-1)*39+13,3)&amp;"","")</f>
        <v/>
      </c>
      <c r="T78" s="12" t="str">
        <f aca="false">IFERROR(INDEX('Saisie programme'!$D$13:$J$477,($O$7-1)*39+13,4)&amp;"","")</f>
        <v/>
      </c>
      <c r="U78" s="12" t="str">
        <f aca="false">IFERROR(INDEX('Saisie programme'!$D$13:$J$477,($O$7-1)*39+13,5)&amp;"","")</f>
        <v/>
      </c>
      <c r="V78" s="12" t="str">
        <f aca="false">IFERROR(INDEX('Saisie programme'!$D$13:$J$477,($O$7-1)*39+13,6)&amp;"","")</f>
        <v/>
      </c>
      <c r="W78" s="12" t="str">
        <f aca="false">IFERROR(INDEX('Saisie programme'!$D$13:$J$477,($O$7-1)*39+13,7)&amp;"","")</f>
        <v/>
      </c>
      <c r="X78" s="34" t="n">
        <f aca="false">LEN(IFERROR(INDEX($Q$78:$W$78,WEEKDAY($O$5-0,2))&amp;"",""))-LEN(SUBSTITUTE(IFERROR(INDEX($Q$78:$W$78,WEEKDAY($O$5-0,2))&amp;"",""),"1",""))+LEN(IFERROR(INDEX($Q$78:$W$78,WEEKDAY($O$5-0,2))&amp;"",""))-LEN(SUBSTITUTE(IFERROR(INDEX($Q$78:$W$78,WEEKDAY($O$5-0,2))&amp;"",""),"2",""))+LEN(IFERROR(INDEX($Q$78:$W$78,WEEKDAY($O$5-1,2))&amp;"",""))-LEN(SUBSTITUTE(IFERROR(INDEX($Q$78:$W$78,WEEKDAY($O$5-1,2))&amp;"",""),"2",""))+LEN(IFERROR(INDEX($Q$78:$W$78,WEEKDAY($O$5-0,2))&amp;"",""))-LEN(SUBSTITUTE(IFERROR(INDEX($Q$78:$W$78,WEEKDAY($O$5-0,2))&amp;"",""),"3",""))+LEN(IFERROR(INDEX($Q$78:$W$78,WEEKDAY($O$5-1,2))&amp;"",""))-LEN(SUBSTITUTE(IFERROR(INDEX($Q$78:$W$78,WEEKDAY($O$5-1,2))&amp;"",""),"3",""))+LEN(IFERROR(INDEX($Q$78:$W$78,WEEKDAY($O$5-2,2))&amp;"",""))-LEN(SUBSTITUTE(IFERROR(INDEX($Q$78:$W$78,WEEKDAY($O$5-2,2))&amp;"",""),"3",""))</f>
        <v>0</v>
      </c>
      <c r="Y78" s="34" t="n">
        <f aca="false">LEN(IFERROR(INDEX('Saisie programme'!$D$13:$J$477,($O$7-2)*39+13,WEEKDAY($O$4-1,2))&amp;"",""))-LEN(SUBSTITUTE(IFERROR(INDEX('Saisie programme'!$D$13:$J$477,($O$7-2)*39+13,WEEKDAY($O$4-1,2))&amp;"",""),"1",""))+LEN(IFERROR(INDEX('Saisie programme'!$D$13:$J$477,($O$7-2)*39+13,WEEKDAY($O$4-1,2))&amp;"",""))-LEN(SUBSTITUTE(IFERROR(INDEX('Saisie programme'!$D$13:$J$477,($O$7-2)*39+13,WEEKDAY($O$4-1,2))&amp;"",""),"2",""))+LEN(IFERROR(INDEX('Saisie programme'!$D$13:$J$477,($O$7-2)*39+13,WEEKDAY($O$4-2,2))&amp;"",""))-LEN(SUBSTITUTE(IFERROR(INDEX('Saisie programme'!$D$13:$J$477,($O$7-2)*39+13,WEEKDAY($O$4-2,2))&amp;"",""),"2",""))+LEN(IFERROR(INDEX('Saisie programme'!$D$13:$J$477,($O$7-2)*39+13,WEEKDAY($O$4-1,2))&amp;"",""))-LEN(SUBSTITUTE(IFERROR(INDEX('Saisie programme'!$D$13:$J$477,($O$7-2)*39+13,WEEKDAY($O$4-1,2))&amp;"",""),"3",""))+LEN(IFERROR(INDEX('Saisie programme'!$D$13:$J$477,($O$7-2)*39+13,WEEKDAY($O$4-2,2))&amp;"",""))-LEN(SUBSTITUTE(IFERROR(INDEX('Saisie programme'!$D$13:$J$477,($O$7-2)*39+13,WEEKDAY($O$4-2,2))&amp;"",""),"3",""))+LEN(IFERROR(INDEX('Saisie programme'!$D$13:$J$477,($O$7-2)*39+13,WEEKDAY($O$4-3,2))&amp;"",""))-LEN(SUBSTITUTE(IFERROR(INDEX('Saisie programme'!$D$13:$J$477,($O$7-2)*39+13,WEEKDAY($O$4-3,2))&amp;"",""),"3",""))</f>
        <v>0</v>
      </c>
    </row>
    <row r="79" customFormat="false" ht="15" hidden="false" customHeight="false" outlineLevel="0" collapsed="false">
      <c r="P79" s="10" t="s">
        <v>150</v>
      </c>
      <c r="Q79" s="12" t="str">
        <f aca="false">IFERROR(INDEX('Saisie programme'!$D$13:$J$477,($O$7-1)*39+14,1)&amp;"","")</f>
        <v/>
      </c>
      <c r="R79" s="12" t="str">
        <f aca="false">IFERROR(INDEX('Saisie programme'!$D$13:$J$477,($O$7-1)*39+14,2)&amp;"","")</f>
        <v/>
      </c>
      <c r="S79" s="12" t="str">
        <f aca="false">IFERROR(INDEX('Saisie programme'!$D$13:$J$477,($O$7-1)*39+14,3)&amp;"","")</f>
        <v/>
      </c>
      <c r="T79" s="12" t="str">
        <f aca="false">IFERROR(INDEX('Saisie programme'!$D$13:$J$477,($O$7-1)*39+14,4)&amp;"","")</f>
        <v/>
      </c>
      <c r="U79" s="12" t="str">
        <f aca="false">IFERROR(INDEX('Saisie programme'!$D$13:$J$477,($O$7-1)*39+14,5)&amp;"","")</f>
        <v/>
      </c>
      <c r="V79" s="12" t="str">
        <f aca="false">IFERROR(INDEX('Saisie programme'!$D$13:$J$477,($O$7-1)*39+14,6)&amp;"","")</f>
        <v/>
      </c>
      <c r="W79" s="12" t="str">
        <f aca="false">IFERROR(INDEX('Saisie programme'!$D$13:$J$477,($O$7-1)*39+14,7)&amp;"","")</f>
        <v/>
      </c>
      <c r="X79" s="34" t="n">
        <f aca="false">LEN(IFERROR(INDEX($Q$79:$W$79,WEEKDAY($O$5-0,2))&amp;"",""))-LEN(SUBSTITUTE(IFERROR(INDEX($Q$79:$W$79,WEEKDAY($O$5-0,2))&amp;"",""),"1",""))+LEN(IFERROR(INDEX($Q$79:$W$79,WEEKDAY($O$5-0,2))&amp;"",""))-LEN(SUBSTITUTE(IFERROR(INDEX($Q$79:$W$79,WEEKDAY($O$5-0,2))&amp;"",""),"2",""))+LEN(IFERROR(INDEX($Q$79:$W$79,WEEKDAY($O$5-1,2))&amp;"",""))-LEN(SUBSTITUTE(IFERROR(INDEX($Q$79:$W$79,WEEKDAY($O$5-1,2))&amp;"",""),"2",""))+LEN(IFERROR(INDEX($Q$79:$W$79,WEEKDAY($O$5-0,2))&amp;"",""))-LEN(SUBSTITUTE(IFERROR(INDEX($Q$79:$W$79,WEEKDAY($O$5-0,2))&amp;"",""),"3",""))+LEN(IFERROR(INDEX($Q$79:$W$79,WEEKDAY($O$5-1,2))&amp;"",""))-LEN(SUBSTITUTE(IFERROR(INDEX($Q$79:$W$79,WEEKDAY($O$5-1,2))&amp;"",""),"3",""))+LEN(IFERROR(INDEX($Q$79:$W$79,WEEKDAY($O$5-2,2))&amp;"",""))-LEN(SUBSTITUTE(IFERROR(INDEX($Q$79:$W$79,WEEKDAY($O$5-2,2))&amp;"",""),"3",""))</f>
        <v>0</v>
      </c>
      <c r="Y79" s="34" t="n">
        <f aca="false">LEN(IFERROR(INDEX('Saisie programme'!$D$13:$J$477,($O$7-2)*39+14,WEEKDAY($O$4-1,2))&amp;"",""))-LEN(SUBSTITUTE(IFERROR(INDEX('Saisie programme'!$D$13:$J$477,($O$7-2)*39+14,WEEKDAY($O$4-1,2))&amp;"",""),"1",""))+LEN(IFERROR(INDEX('Saisie programme'!$D$13:$J$477,($O$7-2)*39+14,WEEKDAY($O$4-1,2))&amp;"",""))-LEN(SUBSTITUTE(IFERROR(INDEX('Saisie programme'!$D$13:$J$477,($O$7-2)*39+14,WEEKDAY($O$4-1,2))&amp;"",""),"2",""))+LEN(IFERROR(INDEX('Saisie programme'!$D$13:$J$477,($O$7-2)*39+14,WEEKDAY($O$4-2,2))&amp;"",""))-LEN(SUBSTITUTE(IFERROR(INDEX('Saisie programme'!$D$13:$J$477,($O$7-2)*39+14,WEEKDAY($O$4-2,2))&amp;"",""),"2",""))+LEN(IFERROR(INDEX('Saisie programme'!$D$13:$J$477,($O$7-2)*39+14,WEEKDAY($O$4-1,2))&amp;"",""))-LEN(SUBSTITUTE(IFERROR(INDEX('Saisie programme'!$D$13:$J$477,($O$7-2)*39+14,WEEKDAY($O$4-1,2))&amp;"",""),"3",""))+LEN(IFERROR(INDEX('Saisie programme'!$D$13:$J$477,($O$7-2)*39+14,WEEKDAY($O$4-2,2))&amp;"",""))-LEN(SUBSTITUTE(IFERROR(INDEX('Saisie programme'!$D$13:$J$477,($O$7-2)*39+14,WEEKDAY($O$4-2,2))&amp;"",""),"3",""))+LEN(IFERROR(INDEX('Saisie programme'!$D$13:$J$477,($O$7-2)*39+14,WEEKDAY($O$4-3,2))&amp;"",""))-LEN(SUBSTITUTE(IFERROR(INDEX('Saisie programme'!$D$13:$J$477,($O$7-2)*39+14,WEEKDAY($O$4-3,2))&amp;"",""),"3",""))</f>
        <v>0</v>
      </c>
    </row>
    <row r="80" customFormat="false" ht="15" hidden="false" customHeight="false" outlineLevel="0" collapsed="false">
      <c r="P80" s="10" t="s">
        <v>151</v>
      </c>
      <c r="Q80" s="12" t="str">
        <f aca="false">IFERROR(INDEX('Saisie programme'!$D$13:$J$477,($O$7-1)*39+15,1)&amp;"","")</f>
        <v>0</v>
      </c>
      <c r="R80" s="12" t="str">
        <f aca="false">IFERROR(INDEX('Saisie programme'!$D$13:$J$477,($O$7-1)*39+15,2)&amp;"","")</f>
        <v/>
      </c>
      <c r="S80" s="12" t="str">
        <f aca="false">IFERROR(INDEX('Saisie programme'!$D$13:$J$477,($O$7-1)*39+15,3)&amp;"","")</f>
        <v>0</v>
      </c>
      <c r="T80" s="12" t="str">
        <f aca="false">IFERROR(INDEX('Saisie programme'!$D$13:$J$477,($O$7-1)*39+15,4)&amp;"","")</f>
        <v/>
      </c>
      <c r="U80" s="12" t="str">
        <f aca="false">IFERROR(INDEX('Saisie programme'!$D$13:$J$477,($O$7-1)*39+15,5)&amp;"","")</f>
        <v>0</v>
      </c>
      <c r="V80" s="12" t="str">
        <f aca="false">IFERROR(INDEX('Saisie programme'!$D$13:$J$477,($O$7-1)*39+15,6)&amp;"","")</f>
        <v/>
      </c>
      <c r="W80" s="12" t="str">
        <f aca="false">IFERROR(INDEX('Saisie programme'!$D$13:$J$477,($O$7-1)*39+15,7)&amp;"","")</f>
        <v>0</v>
      </c>
      <c r="X80" s="34" t="n">
        <f aca="false">LEN(IFERROR(INDEX($Q$80:$W$80,WEEKDAY($O$5-0,2))&amp;"",""))-LEN(SUBSTITUTE(IFERROR(INDEX($Q$80:$W$80,WEEKDAY($O$5-0,2))&amp;"",""),"1",""))+LEN(IFERROR(INDEX($Q$80:$W$80,WEEKDAY($O$5-0,2))&amp;"",""))-LEN(SUBSTITUTE(IFERROR(INDEX($Q$80:$W$80,WEEKDAY($O$5-0,2))&amp;"",""),"2",""))+LEN(IFERROR(INDEX($Q$80:$W$80,WEEKDAY($O$5-1,2))&amp;"",""))-LEN(SUBSTITUTE(IFERROR(INDEX($Q$80:$W$80,WEEKDAY($O$5-1,2))&amp;"",""),"2",""))+LEN(IFERROR(INDEX($Q$80:$W$80,WEEKDAY($O$5-0,2))&amp;"",""))-LEN(SUBSTITUTE(IFERROR(INDEX($Q$80:$W$80,WEEKDAY($O$5-0,2))&amp;"",""),"3",""))+LEN(IFERROR(INDEX($Q$80:$W$80,WEEKDAY($O$5-1,2))&amp;"",""))-LEN(SUBSTITUTE(IFERROR(INDEX($Q$80:$W$80,WEEKDAY($O$5-1,2))&amp;"",""),"3",""))+LEN(IFERROR(INDEX($Q$80:$W$80,WEEKDAY($O$5-2,2))&amp;"",""))-LEN(SUBSTITUTE(IFERROR(INDEX($Q$80:$W$80,WEEKDAY($O$5-2,2))&amp;"",""),"3",""))</f>
        <v>0</v>
      </c>
      <c r="Y80" s="34" t="n">
        <f aca="false">LEN(IFERROR(INDEX('Saisie programme'!$D$13:$J$477,($O$7-2)*39+15,WEEKDAY($O$4-1,2))&amp;"",""))-LEN(SUBSTITUTE(IFERROR(INDEX('Saisie programme'!$D$13:$J$477,($O$7-2)*39+15,WEEKDAY($O$4-1,2))&amp;"",""),"1",""))+LEN(IFERROR(INDEX('Saisie programme'!$D$13:$J$477,($O$7-2)*39+15,WEEKDAY($O$4-1,2))&amp;"",""))-LEN(SUBSTITUTE(IFERROR(INDEX('Saisie programme'!$D$13:$J$477,($O$7-2)*39+15,WEEKDAY($O$4-1,2))&amp;"",""),"2",""))+LEN(IFERROR(INDEX('Saisie programme'!$D$13:$J$477,($O$7-2)*39+15,WEEKDAY($O$4-2,2))&amp;"",""))-LEN(SUBSTITUTE(IFERROR(INDEX('Saisie programme'!$D$13:$J$477,($O$7-2)*39+15,WEEKDAY($O$4-2,2))&amp;"",""),"2",""))+LEN(IFERROR(INDEX('Saisie programme'!$D$13:$J$477,($O$7-2)*39+15,WEEKDAY($O$4-1,2))&amp;"",""))-LEN(SUBSTITUTE(IFERROR(INDEX('Saisie programme'!$D$13:$J$477,($O$7-2)*39+15,WEEKDAY($O$4-1,2))&amp;"",""),"3",""))+LEN(IFERROR(INDEX('Saisie programme'!$D$13:$J$477,($O$7-2)*39+15,WEEKDAY($O$4-2,2))&amp;"",""))-LEN(SUBSTITUTE(IFERROR(INDEX('Saisie programme'!$D$13:$J$477,($O$7-2)*39+15,WEEKDAY($O$4-2,2))&amp;"",""),"3",""))+LEN(IFERROR(INDEX('Saisie programme'!$D$13:$J$477,($O$7-2)*39+15,WEEKDAY($O$4-3,2))&amp;"",""))-LEN(SUBSTITUTE(IFERROR(INDEX('Saisie programme'!$D$13:$J$477,($O$7-2)*39+15,WEEKDAY($O$4-3,2))&amp;"",""),"3",""))</f>
        <v>0</v>
      </c>
    </row>
    <row r="81" customFormat="false" ht="15" hidden="false" customHeight="false" outlineLevel="0" collapsed="false">
      <c r="P81" s="10" t="s">
        <v>152</v>
      </c>
      <c r="Q81" s="12" t="str">
        <f aca="false">IFERROR(INDEX('Saisie programme'!$D$13:$J$477,($O$7-1)*39+16,1)&amp;"","")</f>
        <v/>
      </c>
      <c r="R81" s="12" t="str">
        <f aca="false">IFERROR(INDEX('Saisie programme'!$D$13:$J$477,($O$7-1)*39+16,2)&amp;"","")</f>
        <v/>
      </c>
      <c r="S81" s="12" t="str">
        <f aca="false">IFERROR(INDEX('Saisie programme'!$D$13:$J$477,($O$7-1)*39+16,3)&amp;"","")</f>
        <v/>
      </c>
      <c r="T81" s="12" t="str">
        <f aca="false">IFERROR(INDEX('Saisie programme'!$D$13:$J$477,($O$7-1)*39+16,4)&amp;"","")</f>
        <v/>
      </c>
      <c r="U81" s="12" t="str">
        <f aca="false">IFERROR(INDEX('Saisie programme'!$D$13:$J$477,($O$7-1)*39+16,5)&amp;"","")</f>
        <v/>
      </c>
      <c r="V81" s="12" t="str">
        <f aca="false">IFERROR(INDEX('Saisie programme'!$D$13:$J$477,($O$7-1)*39+16,6)&amp;"","")</f>
        <v/>
      </c>
      <c r="W81" s="12" t="str">
        <f aca="false">IFERROR(INDEX('Saisie programme'!$D$13:$J$477,($O$7-1)*39+16,7)&amp;"","")</f>
        <v/>
      </c>
      <c r="X81" s="34" t="n">
        <f aca="false">LEN(IFERROR(INDEX($Q$81:$W$81,WEEKDAY($O$5-0,2))&amp;"",""))-LEN(SUBSTITUTE(IFERROR(INDEX($Q$81:$W$81,WEEKDAY($O$5-0,2))&amp;"",""),"1",""))+LEN(IFERROR(INDEX($Q$81:$W$81,WEEKDAY($O$5-0,2))&amp;"",""))-LEN(SUBSTITUTE(IFERROR(INDEX($Q$81:$W$81,WEEKDAY($O$5-0,2))&amp;"",""),"2",""))+LEN(IFERROR(INDEX($Q$81:$W$81,WEEKDAY($O$5-1,2))&amp;"",""))-LEN(SUBSTITUTE(IFERROR(INDEX($Q$81:$W$81,WEEKDAY($O$5-1,2))&amp;"",""),"2",""))+LEN(IFERROR(INDEX($Q$81:$W$81,WEEKDAY($O$5-0,2))&amp;"",""))-LEN(SUBSTITUTE(IFERROR(INDEX($Q$81:$W$81,WEEKDAY($O$5-0,2))&amp;"",""),"3",""))+LEN(IFERROR(INDEX($Q$81:$W$81,WEEKDAY($O$5-1,2))&amp;"",""))-LEN(SUBSTITUTE(IFERROR(INDEX($Q$81:$W$81,WEEKDAY($O$5-1,2))&amp;"",""),"3",""))+LEN(IFERROR(INDEX($Q$81:$W$81,WEEKDAY($O$5-2,2))&amp;"",""))-LEN(SUBSTITUTE(IFERROR(INDEX($Q$81:$W$81,WEEKDAY($O$5-2,2))&amp;"",""),"3",""))</f>
        <v>0</v>
      </c>
      <c r="Y81" s="34" t="n">
        <f aca="false">LEN(IFERROR(INDEX('Saisie programme'!$D$13:$J$477,($O$7-2)*39+16,WEEKDAY($O$4-1,2))&amp;"",""))-LEN(SUBSTITUTE(IFERROR(INDEX('Saisie programme'!$D$13:$J$477,($O$7-2)*39+16,WEEKDAY($O$4-1,2))&amp;"",""),"1",""))+LEN(IFERROR(INDEX('Saisie programme'!$D$13:$J$477,($O$7-2)*39+16,WEEKDAY($O$4-1,2))&amp;"",""))-LEN(SUBSTITUTE(IFERROR(INDEX('Saisie programme'!$D$13:$J$477,($O$7-2)*39+16,WEEKDAY($O$4-1,2))&amp;"",""),"2",""))+LEN(IFERROR(INDEX('Saisie programme'!$D$13:$J$477,($O$7-2)*39+16,WEEKDAY($O$4-2,2))&amp;"",""))-LEN(SUBSTITUTE(IFERROR(INDEX('Saisie programme'!$D$13:$J$477,($O$7-2)*39+16,WEEKDAY($O$4-2,2))&amp;"",""),"2",""))+LEN(IFERROR(INDEX('Saisie programme'!$D$13:$J$477,($O$7-2)*39+16,WEEKDAY($O$4-1,2))&amp;"",""))-LEN(SUBSTITUTE(IFERROR(INDEX('Saisie programme'!$D$13:$J$477,($O$7-2)*39+16,WEEKDAY($O$4-1,2))&amp;"",""),"3",""))+LEN(IFERROR(INDEX('Saisie programme'!$D$13:$J$477,($O$7-2)*39+16,WEEKDAY($O$4-2,2))&amp;"",""))-LEN(SUBSTITUTE(IFERROR(INDEX('Saisie programme'!$D$13:$J$477,($O$7-2)*39+16,WEEKDAY($O$4-2,2))&amp;"",""),"3",""))+LEN(IFERROR(INDEX('Saisie programme'!$D$13:$J$477,($O$7-2)*39+16,WEEKDAY($O$4-3,2))&amp;"",""))-LEN(SUBSTITUTE(IFERROR(INDEX('Saisie programme'!$D$13:$J$477,($O$7-2)*39+16,WEEKDAY($O$4-3,2))&amp;"",""),"3",""))</f>
        <v>0</v>
      </c>
    </row>
    <row r="82" customFormat="false" ht="15" hidden="false" customHeight="false" outlineLevel="0" collapsed="false">
      <c r="P82" s="10" t="s">
        <v>153</v>
      </c>
      <c r="Q82" s="12" t="str">
        <f aca="false">IFERROR(INDEX('Saisie programme'!$D$13:$J$477,($O$7-1)*39+17,1)&amp;"","")</f>
        <v/>
      </c>
      <c r="R82" s="12" t="str">
        <f aca="false">IFERROR(INDEX('Saisie programme'!$D$13:$J$477,($O$7-1)*39+17,2)&amp;"","")</f>
        <v/>
      </c>
      <c r="S82" s="12" t="str">
        <f aca="false">IFERROR(INDEX('Saisie programme'!$D$13:$J$477,($O$7-1)*39+17,3)&amp;"","")</f>
        <v/>
      </c>
      <c r="T82" s="12" t="str">
        <f aca="false">IFERROR(INDEX('Saisie programme'!$D$13:$J$477,($O$7-1)*39+17,4)&amp;"","")</f>
        <v/>
      </c>
      <c r="U82" s="12" t="str">
        <f aca="false">IFERROR(INDEX('Saisie programme'!$D$13:$J$477,($O$7-1)*39+17,5)&amp;"","")</f>
        <v/>
      </c>
      <c r="V82" s="12" t="str">
        <f aca="false">IFERROR(INDEX('Saisie programme'!$D$13:$J$477,($O$7-1)*39+17,6)&amp;"","")</f>
        <v/>
      </c>
      <c r="W82" s="12" t="str">
        <f aca="false">IFERROR(INDEX('Saisie programme'!$D$13:$J$477,($O$7-1)*39+17,7)&amp;"","")</f>
        <v/>
      </c>
      <c r="X82" s="34" t="n">
        <f aca="false">LEN(IFERROR(INDEX($Q$82:$W$82,WEEKDAY($O$5-0,2))&amp;"",""))-LEN(SUBSTITUTE(IFERROR(INDEX($Q$82:$W$82,WEEKDAY($O$5-0,2))&amp;"",""),"1",""))+LEN(IFERROR(INDEX($Q$82:$W$82,WEEKDAY($O$5-0,2))&amp;"",""))-LEN(SUBSTITUTE(IFERROR(INDEX($Q$82:$W$82,WEEKDAY($O$5-0,2))&amp;"",""),"2",""))+LEN(IFERROR(INDEX($Q$82:$W$82,WEEKDAY($O$5-1,2))&amp;"",""))-LEN(SUBSTITUTE(IFERROR(INDEX($Q$82:$W$82,WEEKDAY($O$5-1,2))&amp;"",""),"2",""))+LEN(IFERROR(INDEX($Q$82:$W$82,WEEKDAY($O$5-0,2))&amp;"",""))-LEN(SUBSTITUTE(IFERROR(INDEX($Q$82:$W$82,WEEKDAY($O$5-0,2))&amp;"",""),"3",""))+LEN(IFERROR(INDEX($Q$82:$W$82,WEEKDAY($O$5-1,2))&amp;"",""))-LEN(SUBSTITUTE(IFERROR(INDEX($Q$82:$W$82,WEEKDAY($O$5-1,2))&amp;"",""),"3",""))+LEN(IFERROR(INDEX($Q$82:$W$82,WEEKDAY($O$5-2,2))&amp;"",""))-LEN(SUBSTITUTE(IFERROR(INDEX($Q$82:$W$82,WEEKDAY($O$5-2,2))&amp;"",""),"3",""))</f>
        <v>0</v>
      </c>
      <c r="Y82" s="34" t="n">
        <f aca="false">LEN(IFERROR(INDEX('Saisie programme'!$D$13:$J$477,($O$7-2)*39+17,WEEKDAY($O$4-1,2))&amp;"",""))-LEN(SUBSTITUTE(IFERROR(INDEX('Saisie programme'!$D$13:$J$477,($O$7-2)*39+17,WEEKDAY($O$4-1,2))&amp;"",""),"1",""))+LEN(IFERROR(INDEX('Saisie programme'!$D$13:$J$477,($O$7-2)*39+17,WEEKDAY($O$4-1,2))&amp;"",""))-LEN(SUBSTITUTE(IFERROR(INDEX('Saisie programme'!$D$13:$J$477,($O$7-2)*39+17,WEEKDAY($O$4-1,2))&amp;"",""),"2",""))+LEN(IFERROR(INDEX('Saisie programme'!$D$13:$J$477,($O$7-2)*39+17,WEEKDAY($O$4-2,2))&amp;"",""))-LEN(SUBSTITUTE(IFERROR(INDEX('Saisie programme'!$D$13:$J$477,($O$7-2)*39+17,WEEKDAY($O$4-2,2))&amp;"",""),"2",""))+LEN(IFERROR(INDEX('Saisie programme'!$D$13:$J$477,($O$7-2)*39+17,WEEKDAY($O$4-1,2))&amp;"",""))-LEN(SUBSTITUTE(IFERROR(INDEX('Saisie programme'!$D$13:$J$477,($O$7-2)*39+17,WEEKDAY($O$4-1,2))&amp;"",""),"3",""))+LEN(IFERROR(INDEX('Saisie programme'!$D$13:$J$477,($O$7-2)*39+17,WEEKDAY($O$4-2,2))&amp;"",""))-LEN(SUBSTITUTE(IFERROR(INDEX('Saisie programme'!$D$13:$J$477,($O$7-2)*39+17,WEEKDAY($O$4-2,2))&amp;"",""),"3",""))+LEN(IFERROR(INDEX('Saisie programme'!$D$13:$J$477,($O$7-2)*39+17,WEEKDAY($O$4-3,2))&amp;"",""))-LEN(SUBSTITUTE(IFERROR(INDEX('Saisie programme'!$D$13:$J$477,($O$7-2)*39+17,WEEKDAY($O$4-3,2))&amp;"",""),"3",""))</f>
        <v>0</v>
      </c>
    </row>
    <row r="83" customFormat="false" ht="15" hidden="false" customHeight="false" outlineLevel="0" collapsed="false">
      <c r="P83" s="10" t="s">
        <v>154</v>
      </c>
      <c r="Q83" s="12" t="str">
        <f aca="false">IFERROR(INDEX('Saisie programme'!$D$13:$J$477,($O$7-1)*39+18,1)&amp;"","")</f>
        <v>0</v>
      </c>
      <c r="R83" s="12" t="str">
        <f aca="false">IFERROR(INDEX('Saisie programme'!$D$13:$J$477,($O$7-1)*39+18,2)&amp;"","")</f>
        <v/>
      </c>
      <c r="S83" s="12" t="str">
        <f aca="false">IFERROR(INDEX('Saisie programme'!$D$13:$J$477,($O$7-1)*39+18,3)&amp;"","")</f>
        <v/>
      </c>
      <c r="T83" s="12" t="str">
        <f aca="false">IFERROR(INDEX('Saisie programme'!$D$13:$J$477,($O$7-1)*39+18,4)&amp;"","")</f>
        <v>0</v>
      </c>
      <c r="U83" s="12" t="str">
        <f aca="false">IFERROR(INDEX('Saisie programme'!$D$13:$J$477,($O$7-1)*39+18,5)&amp;"","")</f>
        <v/>
      </c>
      <c r="V83" s="12" t="str">
        <f aca="false">IFERROR(INDEX('Saisie programme'!$D$13:$J$477,($O$7-1)*39+18,6)&amp;"","")</f>
        <v>0</v>
      </c>
      <c r="W83" s="12" t="str">
        <f aca="false">IFERROR(INDEX('Saisie programme'!$D$13:$J$477,($O$7-1)*39+18,7)&amp;"","")</f>
        <v/>
      </c>
      <c r="X83" s="34" t="n">
        <f aca="false">LEN(IFERROR(INDEX($Q$83:$W$83,WEEKDAY($O$5-0,2))&amp;"",""))-LEN(SUBSTITUTE(IFERROR(INDEX($Q$83:$W$83,WEEKDAY($O$5-0,2))&amp;"",""),"1",""))+LEN(IFERROR(INDEX($Q$83:$W$83,WEEKDAY($O$5-0,2))&amp;"",""))-LEN(SUBSTITUTE(IFERROR(INDEX($Q$83:$W$83,WEEKDAY($O$5-0,2))&amp;"",""),"2",""))+LEN(IFERROR(INDEX($Q$83:$W$83,WEEKDAY($O$5-1,2))&amp;"",""))-LEN(SUBSTITUTE(IFERROR(INDEX($Q$83:$W$83,WEEKDAY($O$5-1,2))&amp;"",""),"2",""))+LEN(IFERROR(INDEX($Q$83:$W$83,WEEKDAY($O$5-0,2))&amp;"",""))-LEN(SUBSTITUTE(IFERROR(INDEX($Q$83:$W$83,WEEKDAY($O$5-0,2))&amp;"",""),"3",""))+LEN(IFERROR(INDEX($Q$83:$W$83,WEEKDAY($O$5-1,2))&amp;"",""))-LEN(SUBSTITUTE(IFERROR(INDEX($Q$83:$W$83,WEEKDAY($O$5-1,2))&amp;"",""),"3",""))+LEN(IFERROR(INDEX($Q$83:$W$83,WEEKDAY($O$5-2,2))&amp;"",""))-LEN(SUBSTITUTE(IFERROR(INDEX($Q$83:$W$83,WEEKDAY($O$5-2,2))&amp;"",""),"3",""))</f>
        <v>0</v>
      </c>
      <c r="Y83" s="34" t="n">
        <f aca="false">LEN(IFERROR(INDEX('Saisie programme'!$D$13:$J$477,($O$7-2)*39+18,WEEKDAY($O$4-1,2))&amp;"",""))-LEN(SUBSTITUTE(IFERROR(INDEX('Saisie programme'!$D$13:$J$477,($O$7-2)*39+18,WEEKDAY($O$4-1,2))&amp;"",""),"1",""))+LEN(IFERROR(INDEX('Saisie programme'!$D$13:$J$477,($O$7-2)*39+18,WEEKDAY($O$4-1,2))&amp;"",""))-LEN(SUBSTITUTE(IFERROR(INDEX('Saisie programme'!$D$13:$J$477,($O$7-2)*39+18,WEEKDAY($O$4-1,2))&amp;"",""),"2",""))+LEN(IFERROR(INDEX('Saisie programme'!$D$13:$J$477,($O$7-2)*39+18,WEEKDAY($O$4-2,2))&amp;"",""))-LEN(SUBSTITUTE(IFERROR(INDEX('Saisie programme'!$D$13:$J$477,($O$7-2)*39+18,WEEKDAY($O$4-2,2))&amp;"",""),"2",""))+LEN(IFERROR(INDEX('Saisie programme'!$D$13:$J$477,($O$7-2)*39+18,WEEKDAY($O$4-1,2))&amp;"",""))-LEN(SUBSTITUTE(IFERROR(INDEX('Saisie programme'!$D$13:$J$477,($O$7-2)*39+18,WEEKDAY($O$4-1,2))&amp;"",""),"3",""))+LEN(IFERROR(INDEX('Saisie programme'!$D$13:$J$477,($O$7-2)*39+18,WEEKDAY($O$4-2,2))&amp;"",""))-LEN(SUBSTITUTE(IFERROR(INDEX('Saisie programme'!$D$13:$J$477,($O$7-2)*39+18,WEEKDAY($O$4-2,2))&amp;"",""),"3",""))+LEN(IFERROR(INDEX('Saisie programme'!$D$13:$J$477,($O$7-2)*39+18,WEEKDAY($O$4-3,2))&amp;"",""))-LEN(SUBSTITUTE(IFERROR(INDEX('Saisie programme'!$D$13:$J$477,($O$7-2)*39+18,WEEKDAY($O$4-3,2))&amp;"",""),"3",""))</f>
        <v>0</v>
      </c>
    </row>
    <row r="84" customFormat="false" ht="15" hidden="false" customHeight="false" outlineLevel="0" collapsed="false">
      <c r="P84" s="10" t="s">
        <v>155</v>
      </c>
      <c r="Q84" s="12" t="str">
        <f aca="false">IFERROR(INDEX('Saisie programme'!$D$13:$J$477,($O$7-1)*39+19,1)&amp;"","")</f>
        <v/>
      </c>
      <c r="R84" s="12" t="str">
        <f aca="false">IFERROR(INDEX('Saisie programme'!$D$13:$J$477,($O$7-1)*39+19,2)&amp;"","")</f>
        <v/>
      </c>
      <c r="S84" s="12" t="str">
        <f aca="false">IFERROR(INDEX('Saisie programme'!$D$13:$J$477,($O$7-1)*39+19,3)&amp;"","")</f>
        <v/>
      </c>
      <c r="T84" s="12" t="str">
        <f aca="false">IFERROR(INDEX('Saisie programme'!$D$13:$J$477,($O$7-1)*39+19,4)&amp;"","")</f>
        <v/>
      </c>
      <c r="U84" s="12" t="str">
        <f aca="false">IFERROR(INDEX('Saisie programme'!$D$13:$J$477,($O$7-1)*39+19,5)&amp;"","")</f>
        <v/>
      </c>
      <c r="V84" s="12" t="str">
        <f aca="false">IFERROR(INDEX('Saisie programme'!$D$13:$J$477,($O$7-1)*39+19,6)&amp;"","")</f>
        <v/>
      </c>
      <c r="W84" s="12" t="str">
        <f aca="false">IFERROR(INDEX('Saisie programme'!$D$13:$J$477,($O$7-1)*39+19,7)&amp;"","")</f>
        <v/>
      </c>
      <c r="X84" s="34" t="n">
        <f aca="false">LEN(IFERROR(INDEX($Q$84:$W$84,WEEKDAY($O$5-0,2))&amp;"",""))-LEN(SUBSTITUTE(IFERROR(INDEX($Q$84:$W$84,WEEKDAY($O$5-0,2))&amp;"",""),"1",""))+LEN(IFERROR(INDEX($Q$84:$W$84,WEEKDAY($O$5-0,2))&amp;"",""))-LEN(SUBSTITUTE(IFERROR(INDEX($Q$84:$W$84,WEEKDAY($O$5-0,2))&amp;"",""),"2",""))+LEN(IFERROR(INDEX($Q$84:$W$84,WEEKDAY($O$5-1,2))&amp;"",""))-LEN(SUBSTITUTE(IFERROR(INDEX($Q$84:$W$84,WEEKDAY($O$5-1,2))&amp;"",""),"2",""))+LEN(IFERROR(INDEX($Q$84:$W$84,WEEKDAY($O$5-0,2))&amp;"",""))-LEN(SUBSTITUTE(IFERROR(INDEX($Q$84:$W$84,WEEKDAY($O$5-0,2))&amp;"",""),"3",""))+LEN(IFERROR(INDEX($Q$84:$W$84,WEEKDAY($O$5-1,2))&amp;"",""))-LEN(SUBSTITUTE(IFERROR(INDEX($Q$84:$W$84,WEEKDAY($O$5-1,2))&amp;"",""),"3",""))+LEN(IFERROR(INDEX($Q$84:$W$84,WEEKDAY($O$5-2,2))&amp;"",""))-LEN(SUBSTITUTE(IFERROR(INDEX($Q$84:$W$84,WEEKDAY($O$5-2,2))&amp;"",""),"3",""))</f>
        <v>0</v>
      </c>
      <c r="Y84" s="34" t="n">
        <f aca="false">LEN(IFERROR(INDEX('Saisie programme'!$D$13:$J$477,($O$7-2)*39+19,WEEKDAY($O$4-1,2))&amp;"",""))-LEN(SUBSTITUTE(IFERROR(INDEX('Saisie programme'!$D$13:$J$477,($O$7-2)*39+19,WEEKDAY($O$4-1,2))&amp;"",""),"1",""))+LEN(IFERROR(INDEX('Saisie programme'!$D$13:$J$477,($O$7-2)*39+19,WEEKDAY($O$4-1,2))&amp;"",""))-LEN(SUBSTITUTE(IFERROR(INDEX('Saisie programme'!$D$13:$J$477,($O$7-2)*39+19,WEEKDAY($O$4-1,2))&amp;"",""),"2",""))+LEN(IFERROR(INDEX('Saisie programme'!$D$13:$J$477,($O$7-2)*39+19,WEEKDAY($O$4-2,2))&amp;"",""))-LEN(SUBSTITUTE(IFERROR(INDEX('Saisie programme'!$D$13:$J$477,($O$7-2)*39+19,WEEKDAY($O$4-2,2))&amp;"",""),"2",""))+LEN(IFERROR(INDEX('Saisie programme'!$D$13:$J$477,($O$7-2)*39+19,WEEKDAY($O$4-1,2))&amp;"",""))-LEN(SUBSTITUTE(IFERROR(INDEX('Saisie programme'!$D$13:$J$477,($O$7-2)*39+19,WEEKDAY($O$4-1,2))&amp;"",""),"3",""))+LEN(IFERROR(INDEX('Saisie programme'!$D$13:$J$477,($O$7-2)*39+19,WEEKDAY($O$4-2,2))&amp;"",""))-LEN(SUBSTITUTE(IFERROR(INDEX('Saisie programme'!$D$13:$J$477,($O$7-2)*39+19,WEEKDAY($O$4-2,2))&amp;"",""),"3",""))+LEN(IFERROR(INDEX('Saisie programme'!$D$13:$J$477,($O$7-2)*39+19,WEEKDAY($O$4-3,2))&amp;"",""))-LEN(SUBSTITUTE(IFERROR(INDEX('Saisie programme'!$D$13:$J$477,($O$7-2)*39+19,WEEKDAY($O$4-3,2))&amp;"",""),"3",""))</f>
        <v>0</v>
      </c>
    </row>
    <row r="85" customFormat="false" ht="15" hidden="false" customHeight="false" outlineLevel="0" collapsed="false">
      <c r="P85" s="10" t="s">
        <v>156</v>
      </c>
      <c r="Q85" s="12" t="str">
        <f aca="false">IFERROR(INDEX('Saisie programme'!$D$13:$J$477,($O$7-1)*39+20,1)&amp;"","")</f>
        <v/>
      </c>
      <c r="R85" s="12" t="str">
        <f aca="false">IFERROR(INDEX('Saisie programme'!$D$13:$J$477,($O$7-1)*39+20,2)&amp;"","")</f>
        <v/>
      </c>
      <c r="S85" s="12" t="str">
        <f aca="false">IFERROR(INDEX('Saisie programme'!$D$13:$J$477,($O$7-1)*39+20,3)&amp;"","")</f>
        <v/>
      </c>
      <c r="T85" s="12" t="str">
        <f aca="false">IFERROR(INDEX('Saisie programme'!$D$13:$J$477,($O$7-1)*39+20,4)&amp;"","")</f>
        <v/>
      </c>
      <c r="U85" s="12" t="str">
        <f aca="false">IFERROR(INDEX('Saisie programme'!$D$13:$J$477,($O$7-1)*39+20,5)&amp;"","")</f>
        <v/>
      </c>
      <c r="V85" s="12" t="str">
        <f aca="false">IFERROR(INDEX('Saisie programme'!$D$13:$J$477,($O$7-1)*39+20,6)&amp;"","")</f>
        <v/>
      </c>
      <c r="W85" s="12" t="str">
        <f aca="false">IFERROR(INDEX('Saisie programme'!$D$13:$J$477,($O$7-1)*39+20,7)&amp;"","")</f>
        <v/>
      </c>
      <c r="X85" s="34" t="n">
        <f aca="false">LEN(IFERROR(INDEX($Q$85:$W$85,WEEKDAY($O$5-0,2))&amp;"",""))-LEN(SUBSTITUTE(IFERROR(INDEX($Q$85:$W$85,WEEKDAY($O$5-0,2))&amp;"",""),"1",""))+LEN(IFERROR(INDEX($Q$85:$W$85,WEEKDAY($O$5-0,2))&amp;"",""))-LEN(SUBSTITUTE(IFERROR(INDEX($Q$85:$W$85,WEEKDAY($O$5-0,2))&amp;"",""),"2",""))+LEN(IFERROR(INDEX($Q$85:$W$85,WEEKDAY($O$5-1,2))&amp;"",""))-LEN(SUBSTITUTE(IFERROR(INDEX($Q$85:$W$85,WEEKDAY($O$5-1,2))&amp;"",""),"2",""))+LEN(IFERROR(INDEX($Q$85:$W$85,WEEKDAY($O$5-0,2))&amp;"",""))-LEN(SUBSTITUTE(IFERROR(INDEX($Q$85:$W$85,WEEKDAY($O$5-0,2))&amp;"",""),"3",""))+LEN(IFERROR(INDEX($Q$85:$W$85,WEEKDAY($O$5-1,2))&amp;"",""))-LEN(SUBSTITUTE(IFERROR(INDEX($Q$85:$W$85,WEEKDAY($O$5-1,2))&amp;"",""),"3",""))+LEN(IFERROR(INDEX($Q$85:$W$85,WEEKDAY($O$5-2,2))&amp;"",""))-LEN(SUBSTITUTE(IFERROR(INDEX($Q$85:$W$85,WEEKDAY($O$5-2,2))&amp;"",""),"3",""))</f>
        <v>0</v>
      </c>
      <c r="Y85" s="34" t="n">
        <f aca="false">LEN(IFERROR(INDEX('Saisie programme'!$D$13:$J$477,($O$7-2)*39+20,WEEKDAY($O$4-1,2))&amp;"",""))-LEN(SUBSTITUTE(IFERROR(INDEX('Saisie programme'!$D$13:$J$477,($O$7-2)*39+20,WEEKDAY($O$4-1,2))&amp;"",""),"1",""))+LEN(IFERROR(INDEX('Saisie programme'!$D$13:$J$477,($O$7-2)*39+20,WEEKDAY($O$4-1,2))&amp;"",""))-LEN(SUBSTITUTE(IFERROR(INDEX('Saisie programme'!$D$13:$J$477,($O$7-2)*39+20,WEEKDAY($O$4-1,2))&amp;"",""),"2",""))+LEN(IFERROR(INDEX('Saisie programme'!$D$13:$J$477,($O$7-2)*39+20,WEEKDAY($O$4-2,2))&amp;"",""))-LEN(SUBSTITUTE(IFERROR(INDEX('Saisie programme'!$D$13:$J$477,($O$7-2)*39+20,WEEKDAY($O$4-2,2))&amp;"",""),"2",""))+LEN(IFERROR(INDEX('Saisie programme'!$D$13:$J$477,($O$7-2)*39+20,WEEKDAY($O$4-1,2))&amp;"",""))-LEN(SUBSTITUTE(IFERROR(INDEX('Saisie programme'!$D$13:$J$477,($O$7-2)*39+20,WEEKDAY($O$4-1,2))&amp;"",""),"3",""))+LEN(IFERROR(INDEX('Saisie programme'!$D$13:$J$477,($O$7-2)*39+20,WEEKDAY($O$4-2,2))&amp;"",""))-LEN(SUBSTITUTE(IFERROR(INDEX('Saisie programme'!$D$13:$J$477,($O$7-2)*39+20,WEEKDAY($O$4-2,2))&amp;"",""),"3",""))+LEN(IFERROR(INDEX('Saisie programme'!$D$13:$J$477,($O$7-2)*39+20,WEEKDAY($O$4-3,2))&amp;"",""))-LEN(SUBSTITUTE(IFERROR(INDEX('Saisie programme'!$D$13:$J$477,($O$7-2)*39+20,WEEKDAY($O$4-3,2))&amp;"",""),"3",""))</f>
        <v>0</v>
      </c>
    </row>
    <row r="86" customFormat="false" ht="15" hidden="false" customHeight="false" outlineLevel="0" collapsed="false">
      <c r="P86" s="10" t="s">
        <v>157</v>
      </c>
      <c r="Q86" s="12" t="str">
        <f aca="false">IFERROR(INDEX('Saisie programme'!$D$13:$J$477,($O$7-1)*39+21,1)&amp;"","")</f>
        <v/>
      </c>
      <c r="R86" s="12" t="str">
        <f aca="false">IFERROR(INDEX('Saisie programme'!$D$13:$J$477,($O$7-1)*39+21,2)&amp;"","")</f>
        <v>0</v>
      </c>
      <c r="S86" s="12" t="str">
        <f aca="false">IFERROR(INDEX('Saisie programme'!$D$13:$J$477,($O$7-1)*39+21,3)&amp;"","")</f>
        <v/>
      </c>
      <c r="T86" s="12" t="str">
        <f aca="false">IFERROR(INDEX('Saisie programme'!$D$13:$J$477,($O$7-1)*39+21,4)&amp;"","")</f>
        <v>0</v>
      </c>
      <c r="U86" s="12" t="str">
        <f aca="false">IFERROR(INDEX('Saisie programme'!$D$13:$J$477,($O$7-1)*39+21,5)&amp;"","")</f>
        <v/>
      </c>
      <c r="V86" s="12" t="str">
        <f aca="false">IFERROR(INDEX('Saisie programme'!$D$13:$J$477,($O$7-1)*39+21,6)&amp;"","")</f>
        <v>0</v>
      </c>
      <c r="W86" s="12" t="str">
        <f aca="false">IFERROR(INDEX('Saisie programme'!$D$13:$J$477,($O$7-1)*39+21,7)&amp;"","")</f>
        <v/>
      </c>
      <c r="X86" s="34" t="n">
        <f aca="false">LEN(IFERROR(INDEX($Q$86:$W$86,WEEKDAY($O$5-0,2))&amp;"",""))-LEN(SUBSTITUTE(IFERROR(INDEX($Q$86:$W$86,WEEKDAY($O$5-0,2))&amp;"",""),"1",""))+LEN(IFERROR(INDEX($Q$86:$W$86,WEEKDAY($O$5-0,2))&amp;"",""))-LEN(SUBSTITUTE(IFERROR(INDEX($Q$86:$W$86,WEEKDAY($O$5-0,2))&amp;"",""),"2",""))+LEN(IFERROR(INDEX($Q$86:$W$86,WEEKDAY($O$5-1,2))&amp;"",""))-LEN(SUBSTITUTE(IFERROR(INDEX($Q$86:$W$86,WEEKDAY($O$5-1,2))&amp;"",""),"2",""))+LEN(IFERROR(INDEX($Q$86:$W$86,WEEKDAY($O$5-0,2))&amp;"",""))-LEN(SUBSTITUTE(IFERROR(INDEX($Q$86:$W$86,WEEKDAY($O$5-0,2))&amp;"",""),"3",""))+LEN(IFERROR(INDEX($Q$86:$W$86,WEEKDAY($O$5-1,2))&amp;"",""))-LEN(SUBSTITUTE(IFERROR(INDEX($Q$86:$W$86,WEEKDAY($O$5-1,2))&amp;"",""),"3",""))+LEN(IFERROR(INDEX($Q$86:$W$86,WEEKDAY($O$5-2,2))&amp;"",""))-LEN(SUBSTITUTE(IFERROR(INDEX($Q$86:$W$86,WEEKDAY($O$5-2,2))&amp;"",""),"3",""))</f>
        <v>0</v>
      </c>
      <c r="Y86" s="34" t="n">
        <f aca="false">LEN(IFERROR(INDEX('Saisie programme'!$D$13:$J$477,($O$7-2)*39+21,WEEKDAY($O$4-1,2))&amp;"",""))-LEN(SUBSTITUTE(IFERROR(INDEX('Saisie programme'!$D$13:$J$477,($O$7-2)*39+21,WEEKDAY($O$4-1,2))&amp;"",""),"1",""))+LEN(IFERROR(INDEX('Saisie programme'!$D$13:$J$477,($O$7-2)*39+21,WEEKDAY($O$4-1,2))&amp;"",""))-LEN(SUBSTITUTE(IFERROR(INDEX('Saisie programme'!$D$13:$J$477,($O$7-2)*39+21,WEEKDAY($O$4-1,2))&amp;"",""),"2",""))+LEN(IFERROR(INDEX('Saisie programme'!$D$13:$J$477,($O$7-2)*39+21,WEEKDAY($O$4-2,2))&amp;"",""))-LEN(SUBSTITUTE(IFERROR(INDEX('Saisie programme'!$D$13:$J$477,($O$7-2)*39+21,WEEKDAY($O$4-2,2))&amp;"",""),"2",""))+LEN(IFERROR(INDEX('Saisie programme'!$D$13:$J$477,($O$7-2)*39+21,WEEKDAY($O$4-1,2))&amp;"",""))-LEN(SUBSTITUTE(IFERROR(INDEX('Saisie programme'!$D$13:$J$477,($O$7-2)*39+21,WEEKDAY($O$4-1,2))&amp;"",""),"3",""))+LEN(IFERROR(INDEX('Saisie programme'!$D$13:$J$477,($O$7-2)*39+21,WEEKDAY($O$4-2,2))&amp;"",""))-LEN(SUBSTITUTE(IFERROR(INDEX('Saisie programme'!$D$13:$J$477,($O$7-2)*39+21,WEEKDAY($O$4-2,2))&amp;"",""),"3",""))+LEN(IFERROR(INDEX('Saisie programme'!$D$13:$J$477,($O$7-2)*39+21,WEEKDAY($O$4-3,2))&amp;"",""))-LEN(SUBSTITUTE(IFERROR(INDEX('Saisie programme'!$D$13:$J$477,($O$7-2)*39+21,WEEKDAY($O$4-3,2))&amp;"",""),"3",""))</f>
        <v>0</v>
      </c>
    </row>
    <row r="87" customFormat="false" ht="15" hidden="false" customHeight="false" outlineLevel="0" collapsed="false">
      <c r="P87" s="10" t="s">
        <v>158</v>
      </c>
      <c r="Q87" s="12" t="str">
        <f aca="false">IFERROR(INDEX('Saisie programme'!$D$13:$J$477,($O$7-1)*39+22,1)&amp;"","")</f>
        <v/>
      </c>
      <c r="R87" s="12" t="str">
        <f aca="false">IFERROR(INDEX('Saisie programme'!$D$13:$J$477,($O$7-1)*39+22,2)&amp;"","")</f>
        <v/>
      </c>
      <c r="S87" s="12" t="str">
        <f aca="false">IFERROR(INDEX('Saisie programme'!$D$13:$J$477,($O$7-1)*39+22,3)&amp;"","")</f>
        <v/>
      </c>
      <c r="T87" s="12" t="str">
        <f aca="false">IFERROR(INDEX('Saisie programme'!$D$13:$J$477,($O$7-1)*39+22,4)&amp;"","")</f>
        <v/>
      </c>
      <c r="U87" s="12" t="str">
        <f aca="false">IFERROR(INDEX('Saisie programme'!$D$13:$J$477,($O$7-1)*39+22,5)&amp;"","")</f>
        <v/>
      </c>
      <c r="V87" s="12" t="str">
        <f aca="false">IFERROR(INDEX('Saisie programme'!$D$13:$J$477,($O$7-1)*39+22,6)&amp;"","")</f>
        <v/>
      </c>
      <c r="W87" s="12" t="str">
        <f aca="false">IFERROR(INDEX('Saisie programme'!$D$13:$J$477,($O$7-1)*39+22,7)&amp;"","")</f>
        <v/>
      </c>
      <c r="X87" s="34" t="n">
        <f aca="false">LEN(IFERROR(INDEX($Q$87:$W$87,WEEKDAY($O$5-0,2))&amp;"",""))-LEN(SUBSTITUTE(IFERROR(INDEX($Q$87:$W$87,WEEKDAY($O$5-0,2))&amp;"",""),"1",""))+LEN(IFERROR(INDEX($Q$87:$W$87,WEEKDAY($O$5-0,2))&amp;"",""))-LEN(SUBSTITUTE(IFERROR(INDEX($Q$87:$W$87,WEEKDAY($O$5-0,2))&amp;"",""),"2",""))+LEN(IFERROR(INDEX($Q$87:$W$87,WEEKDAY($O$5-1,2))&amp;"",""))-LEN(SUBSTITUTE(IFERROR(INDEX($Q$87:$W$87,WEEKDAY($O$5-1,2))&amp;"",""),"2",""))+LEN(IFERROR(INDEX($Q$87:$W$87,WEEKDAY($O$5-0,2))&amp;"",""))-LEN(SUBSTITUTE(IFERROR(INDEX($Q$87:$W$87,WEEKDAY($O$5-0,2))&amp;"",""),"3",""))+LEN(IFERROR(INDEX($Q$87:$W$87,WEEKDAY($O$5-1,2))&amp;"",""))-LEN(SUBSTITUTE(IFERROR(INDEX($Q$87:$W$87,WEEKDAY($O$5-1,2))&amp;"",""),"3",""))+LEN(IFERROR(INDEX($Q$87:$W$87,WEEKDAY($O$5-2,2))&amp;"",""))-LEN(SUBSTITUTE(IFERROR(INDEX($Q$87:$W$87,WEEKDAY($O$5-2,2))&amp;"",""),"3",""))</f>
        <v>0</v>
      </c>
      <c r="Y87" s="34" t="n">
        <f aca="false">LEN(IFERROR(INDEX('Saisie programme'!$D$13:$J$477,($O$7-2)*39+22,WEEKDAY($O$4-1,2))&amp;"",""))-LEN(SUBSTITUTE(IFERROR(INDEX('Saisie programme'!$D$13:$J$477,($O$7-2)*39+22,WEEKDAY($O$4-1,2))&amp;"",""),"1",""))+LEN(IFERROR(INDEX('Saisie programme'!$D$13:$J$477,($O$7-2)*39+22,WEEKDAY($O$4-1,2))&amp;"",""))-LEN(SUBSTITUTE(IFERROR(INDEX('Saisie programme'!$D$13:$J$477,($O$7-2)*39+22,WEEKDAY($O$4-1,2))&amp;"",""),"2",""))+LEN(IFERROR(INDEX('Saisie programme'!$D$13:$J$477,($O$7-2)*39+22,WEEKDAY($O$4-2,2))&amp;"",""))-LEN(SUBSTITUTE(IFERROR(INDEX('Saisie programme'!$D$13:$J$477,($O$7-2)*39+22,WEEKDAY($O$4-2,2))&amp;"",""),"2",""))+LEN(IFERROR(INDEX('Saisie programme'!$D$13:$J$477,($O$7-2)*39+22,WEEKDAY($O$4-1,2))&amp;"",""))-LEN(SUBSTITUTE(IFERROR(INDEX('Saisie programme'!$D$13:$J$477,($O$7-2)*39+22,WEEKDAY($O$4-1,2))&amp;"",""),"3",""))+LEN(IFERROR(INDEX('Saisie programme'!$D$13:$J$477,($O$7-2)*39+22,WEEKDAY($O$4-2,2))&amp;"",""))-LEN(SUBSTITUTE(IFERROR(INDEX('Saisie programme'!$D$13:$J$477,($O$7-2)*39+22,WEEKDAY($O$4-2,2))&amp;"",""),"3",""))+LEN(IFERROR(INDEX('Saisie programme'!$D$13:$J$477,($O$7-2)*39+22,WEEKDAY($O$4-3,2))&amp;"",""))-LEN(SUBSTITUTE(IFERROR(INDEX('Saisie programme'!$D$13:$J$477,($O$7-2)*39+22,WEEKDAY($O$4-3,2))&amp;"",""),"3",""))</f>
        <v>0</v>
      </c>
    </row>
    <row r="88" customFormat="false" ht="15" hidden="false" customHeight="false" outlineLevel="0" collapsed="false">
      <c r="P88" s="10" t="s">
        <v>159</v>
      </c>
      <c r="Q88" s="12" t="str">
        <f aca="false">IFERROR(INDEX('Saisie programme'!$D$13:$J$477,($O$7-1)*39+23,1)&amp;"","")</f>
        <v>0</v>
      </c>
      <c r="R88" s="12" t="str">
        <f aca="false">IFERROR(INDEX('Saisie programme'!$D$13:$J$477,($O$7-1)*39+23,2)&amp;"","")</f>
        <v/>
      </c>
      <c r="S88" s="12" t="str">
        <f aca="false">IFERROR(INDEX('Saisie programme'!$D$13:$J$477,($O$7-1)*39+23,3)&amp;"","")</f>
        <v/>
      </c>
      <c r="T88" s="12" t="str">
        <f aca="false">IFERROR(INDEX('Saisie programme'!$D$13:$J$477,($O$7-1)*39+23,4)&amp;"","")</f>
        <v/>
      </c>
      <c r="U88" s="12" t="str">
        <f aca="false">IFERROR(INDEX('Saisie programme'!$D$13:$J$477,($O$7-1)*39+23,5)&amp;"","")</f>
        <v>0</v>
      </c>
      <c r="V88" s="12" t="str">
        <f aca="false">IFERROR(INDEX('Saisie programme'!$D$13:$J$477,($O$7-1)*39+23,6)&amp;"","")</f>
        <v/>
      </c>
      <c r="W88" s="12" t="str">
        <f aca="false">IFERROR(INDEX('Saisie programme'!$D$13:$J$477,($O$7-1)*39+23,7)&amp;"","")</f>
        <v/>
      </c>
      <c r="X88" s="34" t="n">
        <f aca="false">LEN(IFERROR(INDEX($Q$88:$W$88,WEEKDAY($O$5-0,2))&amp;"",""))-LEN(SUBSTITUTE(IFERROR(INDEX($Q$88:$W$88,WEEKDAY($O$5-0,2))&amp;"",""),"1",""))+LEN(IFERROR(INDEX($Q$88:$W$88,WEEKDAY($O$5-0,2))&amp;"",""))-LEN(SUBSTITUTE(IFERROR(INDEX($Q$88:$W$88,WEEKDAY($O$5-0,2))&amp;"",""),"2",""))+LEN(IFERROR(INDEX($Q$88:$W$88,WEEKDAY($O$5-1,2))&amp;"",""))-LEN(SUBSTITUTE(IFERROR(INDEX($Q$88:$W$88,WEEKDAY($O$5-1,2))&amp;"",""),"2",""))+LEN(IFERROR(INDEX($Q$88:$W$88,WEEKDAY($O$5-0,2))&amp;"",""))-LEN(SUBSTITUTE(IFERROR(INDEX($Q$88:$W$88,WEEKDAY($O$5-0,2))&amp;"",""),"3",""))+LEN(IFERROR(INDEX($Q$88:$W$88,WEEKDAY($O$5-1,2))&amp;"",""))-LEN(SUBSTITUTE(IFERROR(INDEX($Q$88:$W$88,WEEKDAY($O$5-1,2))&amp;"",""),"3",""))+LEN(IFERROR(INDEX($Q$88:$W$88,WEEKDAY($O$5-2,2))&amp;"",""))-LEN(SUBSTITUTE(IFERROR(INDEX($Q$88:$W$88,WEEKDAY($O$5-2,2))&amp;"",""),"3",""))</f>
        <v>0</v>
      </c>
      <c r="Y88" s="34" t="n">
        <f aca="false">LEN(IFERROR(INDEX('Saisie programme'!$D$13:$J$477,($O$7-2)*39+23,WEEKDAY($O$4-1,2))&amp;"",""))-LEN(SUBSTITUTE(IFERROR(INDEX('Saisie programme'!$D$13:$J$477,($O$7-2)*39+23,WEEKDAY($O$4-1,2))&amp;"",""),"1",""))+LEN(IFERROR(INDEX('Saisie programme'!$D$13:$J$477,($O$7-2)*39+23,WEEKDAY($O$4-1,2))&amp;"",""))-LEN(SUBSTITUTE(IFERROR(INDEX('Saisie programme'!$D$13:$J$477,($O$7-2)*39+23,WEEKDAY($O$4-1,2))&amp;"",""),"2",""))+LEN(IFERROR(INDEX('Saisie programme'!$D$13:$J$477,($O$7-2)*39+23,WEEKDAY($O$4-2,2))&amp;"",""))-LEN(SUBSTITUTE(IFERROR(INDEX('Saisie programme'!$D$13:$J$477,($O$7-2)*39+23,WEEKDAY($O$4-2,2))&amp;"",""),"2",""))+LEN(IFERROR(INDEX('Saisie programme'!$D$13:$J$477,($O$7-2)*39+23,WEEKDAY($O$4-1,2))&amp;"",""))-LEN(SUBSTITUTE(IFERROR(INDEX('Saisie programme'!$D$13:$J$477,($O$7-2)*39+23,WEEKDAY($O$4-1,2))&amp;"",""),"3",""))+LEN(IFERROR(INDEX('Saisie programme'!$D$13:$J$477,($O$7-2)*39+23,WEEKDAY($O$4-2,2))&amp;"",""))-LEN(SUBSTITUTE(IFERROR(INDEX('Saisie programme'!$D$13:$J$477,($O$7-2)*39+23,WEEKDAY($O$4-2,2))&amp;"",""),"3",""))+LEN(IFERROR(INDEX('Saisie programme'!$D$13:$J$477,($O$7-2)*39+23,WEEKDAY($O$4-3,2))&amp;"",""))-LEN(SUBSTITUTE(IFERROR(INDEX('Saisie programme'!$D$13:$J$477,($O$7-2)*39+23,WEEKDAY($O$4-3,2))&amp;"",""),"3",""))</f>
        <v>0</v>
      </c>
    </row>
    <row r="89" customFormat="false" ht="15" hidden="false" customHeight="false" outlineLevel="0" collapsed="false">
      <c r="P89" s="10" t="s">
        <v>160</v>
      </c>
      <c r="Q89" s="12" t="str">
        <f aca="false">IFERROR(INDEX('Saisie programme'!$D$13:$J$477,($O$7-1)*39+24,1)&amp;"","")</f>
        <v/>
      </c>
      <c r="R89" s="12" t="str">
        <f aca="false">IFERROR(INDEX('Saisie programme'!$D$13:$J$477,($O$7-1)*39+24,2)&amp;"","")</f>
        <v/>
      </c>
      <c r="S89" s="12" t="str">
        <f aca="false">IFERROR(INDEX('Saisie programme'!$D$13:$J$477,($O$7-1)*39+24,3)&amp;"","")</f>
        <v/>
      </c>
      <c r="T89" s="12" t="str">
        <f aca="false">IFERROR(INDEX('Saisie programme'!$D$13:$J$477,($O$7-1)*39+24,4)&amp;"","")</f>
        <v/>
      </c>
      <c r="U89" s="12" t="str">
        <f aca="false">IFERROR(INDEX('Saisie programme'!$D$13:$J$477,($O$7-1)*39+24,5)&amp;"","")</f>
        <v/>
      </c>
      <c r="V89" s="12" t="str">
        <f aca="false">IFERROR(INDEX('Saisie programme'!$D$13:$J$477,($O$7-1)*39+24,6)&amp;"","")</f>
        <v/>
      </c>
      <c r="W89" s="12" t="str">
        <f aca="false">IFERROR(INDEX('Saisie programme'!$D$13:$J$477,($O$7-1)*39+24,7)&amp;"","")</f>
        <v/>
      </c>
      <c r="X89" s="34" t="n">
        <f aca="false">LEN(IFERROR(INDEX($Q$89:$W$89,WEEKDAY($O$5-0,2))&amp;"",""))-LEN(SUBSTITUTE(IFERROR(INDEX($Q$89:$W$89,WEEKDAY($O$5-0,2))&amp;"",""),"1",""))+LEN(IFERROR(INDEX($Q$89:$W$89,WEEKDAY($O$5-0,2))&amp;"",""))-LEN(SUBSTITUTE(IFERROR(INDEX($Q$89:$W$89,WEEKDAY($O$5-0,2))&amp;"",""),"2",""))+LEN(IFERROR(INDEX($Q$89:$W$89,WEEKDAY($O$5-1,2))&amp;"",""))-LEN(SUBSTITUTE(IFERROR(INDEX($Q$89:$W$89,WEEKDAY($O$5-1,2))&amp;"",""),"2",""))+LEN(IFERROR(INDEX($Q$89:$W$89,WEEKDAY($O$5-0,2))&amp;"",""))-LEN(SUBSTITUTE(IFERROR(INDEX($Q$89:$W$89,WEEKDAY($O$5-0,2))&amp;"",""),"3",""))+LEN(IFERROR(INDEX($Q$89:$W$89,WEEKDAY($O$5-1,2))&amp;"",""))-LEN(SUBSTITUTE(IFERROR(INDEX($Q$89:$W$89,WEEKDAY($O$5-1,2))&amp;"",""),"3",""))+LEN(IFERROR(INDEX($Q$89:$W$89,WEEKDAY($O$5-2,2))&amp;"",""))-LEN(SUBSTITUTE(IFERROR(INDEX($Q$89:$W$89,WEEKDAY($O$5-2,2))&amp;"",""),"3",""))</f>
        <v>0</v>
      </c>
      <c r="Y89" s="34" t="n">
        <f aca="false">LEN(IFERROR(INDEX('Saisie programme'!$D$13:$J$477,($O$7-2)*39+24,WEEKDAY($O$4-1,2))&amp;"",""))-LEN(SUBSTITUTE(IFERROR(INDEX('Saisie programme'!$D$13:$J$477,($O$7-2)*39+24,WEEKDAY($O$4-1,2))&amp;"",""),"1",""))+LEN(IFERROR(INDEX('Saisie programme'!$D$13:$J$477,($O$7-2)*39+24,WEEKDAY($O$4-1,2))&amp;"",""))-LEN(SUBSTITUTE(IFERROR(INDEX('Saisie programme'!$D$13:$J$477,($O$7-2)*39+24,WEEKDAY($O$4-1,2))&amp;"",""),"2",""))+LEN(IFERROR(INDEX('Saisie programme'!$D$13:$J$477,($O$7-2)*39+24,WEEKDAY($O$4-2,2))&amp;"",""))-LEN(SUBSTITUTE(IFERROR(INDEX('Saisie programme'!$D$13:$J$477,($O$7-2)*39+24,WEEKDAY($O$4-2,2))&amp;"",""),"2",""))+LEN(IFERROR(INDEX('Saisie programme'!$D$13:$J$477,($O$7-2)*39+24,WEEKDAY($O$4-1,2))&amp;"",""))-LEN(SUBSTITUTE(IFERROR(INDEX('Saisie programme'!$D$13:$J$477,($O$7-2)*39+24,WEEKDAY($O$4-1,2))&amp;"",""),"3",""))+LEN(IFERROR(INDEX('Saisie programme'!$D$13:$J$477,($O$7-2)*39+24,WEEKDAY($O$4-2,2))&amp;"",""))-LEN(SUBSTITUTE(IFERROR(INDEX('Saisie programme'!$D$13:$J$477,($O$7-2)*39+24,WEEKDAY($O$4-2,2))&amp;"",""),"3",""))+LEN(IFERROR(INDEX('Saisie programme'!$D$13:$J$477,($O$7-2)*39+24,WEEKDAY($O$4-3,2))&amp;"",""))-LEN(SUBSTITUTE(IFERROR(INDEX('Saisie programme'!$D$13:$J$477,($O$7-2)*39+24,WEEKDAY($O$4-3,2))&amp;"",""),"3",""))</f>
        <v>0</v>
      </c>
    </row>
    <row r="90" customFormat="false" ht="15" hidden="false" customHeight="false" outlineLevel="0" collapsed="false">
      <c r="P90" s="10" t="s">
        <v>161</v>
      </c>
      <c r="Q90" s="12" t="str">
        <f aca="false">IFERROR(INDEX('Saisie programme'!$D$13:$J$477,($O$7-1)*39+25,1)&amp;"","")</f>
        <v/>
      </c>
      <c r="R90" s="12" t="str">
        <f aca="false">IFERROR(INDEX('Saisie programme'!$D$13:$J$477,($O$7-1)*39+25,2)&amp;"","")</f>
        <v/>
      </c>
      <c r="S90" s="12" t="str">
        <f aca="false">IFERROR(INDEX('Saisie programme'!$D$13:$J$477,($O$7-1)*39+25,3)&amp;"","")</f>
        <v/>
      </c>
      <c r="T90" s="12" t="str">
        <f aca="false">IFERROR(INDEX('Saisie programme'!$D$13:$J$477,($O$7-1)*39+25,4)&amp;"","")</f>
        <v/>
      </c>
      <c r="U90" s="12" t="str">
        <f aca="false">IFERROR(INDEX('Saisie programme'!$D$13:$J$477,($O$7-1)*39+25,5)&amp;"","")</f>
        <v/>
      </c>
      <c r="V90" s="12" t="str">
        <f aca="false">IFERROR(INDEX('Saisie programme'!$D$13:$J$477,($O$7-1)*39+25,6)&amp;"","")</f>
        <v/>
      </c>
      <c r="W90" s="12" t="str">
        <f aca="false">IFERROR(INDEX('Saisie programme'!$D$13:$J$477,($O$7-1)*39+25,7)&amp;"","")</f>
        <v/>
      </c>
      <c r="X90" s="34" t="n">
        <f aca="false">LEN(IFERROR(INDEX($Q$90:$W$90,WEEKDAY($O$5-0,2))&amp;"",""))-LEN(SUBSTITUTE(IFERROR(INDEX($Q$90:$W$90,WEEKDAY($O$5-0,2))&amp;"",""),"1",""))+LEN(IFERROR(INDEX($Q$90:$W$90,WEEKDAY($O$5-0,2))&amp;"",""))-LEN(SUBSTITUTE(IFERROR(INDEX($Q$90:$W$90,WEEKDAY($O$5-0,2))&amp;"",""),"2",""))+LEN(IFERROR(INDEX($Q$90:$W$90,WEEKDAY($O$5-1,2))&amp;"",""))-LEN(SUBSTITUTE(IFERROR(INDEX($Q$90:$W$90,WEEKDAY($O$5-1,2))&amp;"",""),"2",""))+LEN(IFERROR(INDEX($Q$90:$W$90,WEEKDAY($O$5-0,2))&amp;"",""))-LEN(SUBSTITUTE(IFERROR(INDEX($Q$90:$W$90,WEEKDAY($O$5-0,2))&amp;"",""),"3",""))+LEN(IFERROR(INDEX($Q$90:$W$90,WEEKDAY($O$5-1,2))&amp;"",""))-LEN(SUBSTITUTE(IFERROR(INDEX($Q$90:$W$90,WEEKDAY($O$5-1,2))&amp;"",""),"3",""))+LEN(IFERROR(INDEX($Q$90:$W$90,WEEKDAY($O$5-2,2))&amp;"",""))-LEN(SUBSTITUTE(IFERROR(INDEX($Q$90:$W$90,WEEKDAY($O$5-2,2))&amp;"",""),"3",""))</f>
        <v>0</v>
      </c>
      <c r="Y90" s="34" t="n">
        <f aca="false">LEN(IFERROR(INDEX('Saisie programme'!$D$13:$J$477,($O$7-2)*39+25,WEEKDAY($O$4-1,2))&amp;"",""))-LEN(SUBSTITUTE(IFERROR(INDEX('Saisie programme'!$D$13:$J$477,($O$7-2)*39+25,WEEKDAY($O$4-1,2))&amp;"",""),"1",""))+LEN(IFERROR(INDEX('Saisie programme'!$D$13:$J$477,($O$7-2)*39+25,WEEKDAY($O$4-1,2))&amp;"",""))-LEN(SUBSTITUTE(IFERROR(INDEX('Saisie programme'!$D$13:$J$477,($O$7-2)*39+25,WEEKDAY($O$4-1,2))&amp;"",""),"2",""))+LEN(IFERROR(INDEX('Saisie programme'!$D$13:$J$477,($O$7-2)*39+25,WEEKDAY($O$4-2,2))&amp;"",""))-LEN(SUBSTITUTE(IFERROR(INDEX('Saisie programme'!$D$13:$J$477,($O$7-2)*39+25,WEEKDAY($O$4-2,2))&amp;"",""),"2",""))+LEN(IFERROR(INDEX('Saisie programme'!$D$13:$J$477,($O$7-2)*39+25,WEEKDAY($O$4-1,2))&amp;"",""))-LEN(SUBSTITUTE(IFERROR(INDEX('Saisie programme'!$D$13:$J$477,($O$7-2)*39+25,WEEKDAY($O$4-1,2))&amp;"",""),"3",""))+LEN(IFERROR(INDEX('Saisie programme'!$D$13:$J$477,($O$7-2)*39+25,WEEKDAY($O$4-2,2))&amp;"",""))-LEN(SUBSTITUTE(IFERROR(INDEX('Saisie programme'!$D$13:$J$477,($O$7-2)*39+25,WEEKDAY($O$4-2,2))&amp;"",""),"3",""))+LEN(IFERROR(INDEX('Saisie programme'!$D$13:$J$477,($O$7-2)*39+25,WEEKDAY($O$4-3,2))&amp;"",""))-LEN(SUBSTITUTE(IFERROR(INDEX('Saisie programme'!$D$13:$J$477,($O$7-2)*39+25,WEEKDAY($O$4-3,2))&amp;"",""),"3",""))</f>
        <v>0</v>
      </c>
    </row>
    <row r="91" customFormat="false" ht="15" hidden="false" customHeight="false" outlineLevel="0" collapsed="false">
      <c r="P91" s="10" t="s">
        <v>162</v>
      </c>
      <c r="Q91" s="12" t="str">
        <f aca="false">IFERROR(INDEX('Saisie programme'!$D$13:$J$477,($O$7-1)*39+26,1)&amp;"","")</f>
        <v/>
      </c>
      <c r="R91" s="12" t="str">
        <f aca="false">IFERROR(INDEX('Saisie programme'!$D$13:$J$477,($O$7-1)*39+26,2)&amp;"","")</f>
        <v/>
      </c>
      <c r="S91" s="12" t="str">
        <f aca="false">IFERROR(INDEX('Saisie programme'!$D$13:$J$477,($O$7-1)*39+26,3)&amp;"","")</f>
        <v/>
      </c>
      <c r="T91" s="12" t="str">
        <f aca="false">IFERROR(INDEX('Saisie programme'!$D$13:$J$477,($O$7-1)*39+26,4)&amp;"","")</f>
        <v>0</v>
      </c>
      <c r="U91" s="12" t="str">
        <f aca="false">IFERROR(INDEX('Saisie programme'!$D$13:$J$477,($O$7-1)*39+26,5)&amp;"","")</f>
        <v/>
      </c>
      <c r="V91" s="12" t="str">
        <f aca="false">IFERROR(INDEX('Saisie programme'!$D$13:$J$477,($O$7-1)*39+26,6)&amp;"","")</f>
        <v/>
      </c>
      <c r="W91" s="12" t="str">
        <f aca="false">IFERROR(INDEX('Saisie programme'!$D$13:$J$477,($O$7-1)*39+26,7)&amp;"","")</f>
        <v/>
      </c>
      <c r="X91" s="34" t="n">
        <f aca="false">LEN(IFERROR(INDEX($Q$91:$W$91,WEEKDAY($O$5-0,2))&amp;"",""))-LEN(SUBSTITUTE(IFERROR(INDEX($Q$91:$W$91,WEEKDAY($O$5-0,2))&amp;"",""),"1",""))+LEN(IFERROR(INDEX($Q$91:$W$91,WEEKDAY($O$5-0,2))&amp;"",""))-LEN(SUBSTITUTE(IFERROR(INDEX($Q$91:$W$91,WEEKDAY($O$5-0,2))&amp;"",""),"2",""))+LEN(IFERROR(INDEX($Q$91:$W$91,WEEKDAY($O$5-1,2))&amp;"",""))-LEN(SUBSTITUTE(IFERROR(INDEX($Q$91:$W$91,WEEKDAY($O$5-1,2))&amp;"",""),"2",""))+LEN(IFERROR(INDEX($Q$91:$W$91,WEEKDAY($O$5-0,2))&amp;"",""))-LEN(SUBSTITUTE(IFERROR(INDEX($Q$91:$W$91,WEEKDAY($O$5-0,2))&amp;"",""),"3",""))+LEN(IFERROR(INDEX($Q$91:$W$91,WEEKDAY($O$5-1,2))&amp;"",""))-LEN(SUBSTITUTE(IFERROR(INDEX($Q$91:$W$91,WEEKDAY($O$5-1,2))&amp;"",""),"3",""))+LEN(IFERROR(INDEX($Q$91:$W$91,WEEKDAY($O$5-2,2))&amp;"",""))-LEN(SUBSTITUTE(IFERROR(INDEX($Q$91:$W$91,WEEKDAY($O$5-2,2))&amp;"",""),"3",""))</f>
        <v>0</v>
      </c>
      <c r="Y91" s="34" t="n">
        <f aca="false">LEN(IFERROR(INDEX('Saisie programme'!$D$13:$J$477,($O$7-2)*39+26,WEEKDAY($O$4-1,2))&amp;"",""))-LEN(SUBSTITUTE(IFERROR(INDEX('Saisie programme'!$D$13:$J$477,($O$7-2)*39+26,WEEKDAY($O$4-1,2))&amp;"",""),"1",""))+LEN(IFERROR(INDEX('Saisie programme'!$D$13:$J$477,($O$7-2)*39+26,WEEKDAY($O$4-1,2))&amp;"",""))-LEN(SUBSTITUTE(IFERROR(INDEX('Saisie programme'!$D$13:$J$477,($O$7-2)*39+26,WEEKDAY($O$4-1,2))&amp;"",""),"2",""))+LEN(IFERROR(INDEX('Saisie programme'!$D$13:$J$477,($O$7-2)*39+26,WEEKDAY($O$4-2,2))&amp;"",""))-LEN(SUBSTITUTE(IFERROR(INDEX('Saisie programme'!$D$13:$J$477,($O$7-2)*39+26,WEEKDAY($O$4-2,2))&amp;"",""),"2",""))+LEN(IFERROR(INDEX('Saisie programme'!$D$13:$J$477,($O$7-2)*39+26,WEEKDAY($O$4-1,2))&amp;"",""))-LEN(SUBSTITUTE(IFERROR(INDEX('Saisie programme'!$D$13:$J$477,($O$7-2)*39+26,WEEKDAY($O$4-1,2))&amp;"",""),"3",""))+LEN(IFERROR(INDEX('Saisie programme'!$D$13:$J$477,($O$7-2)*39+26,WEEKDAY($O$4-2,2))&amp;"",""))-LEN(SUBSTITUTE(IFERROR(INDEX('Saisie programme'!$D$13:$J$477,($O$7-2)*39+26,WEEKDAY($O$4-2,2))&amp;"",""),"3",""))+LEN(IFERROR(INDEX('Saisie programme'!$D$13:$J$477,($O$7-2)*39+26,WEEKDAY($O$4-3,2))&amp;"",""))-LEN(SUBSTITUTE(IFERROR(INDEX('Saisie programme'!$D$13:$J$477,($O$7-2)*39+26,WEEKDAY($O$4-3,2))&amp;"",""),"3",""))</f>
        <v>0</v>
      </c>
    </row>
    <row r="92" customFormat="false" ht="15" hidden="false" customHeight="false" outlineLevel="0" collapsed="false">
      <c r="P92" s="10" t="s">
        <v>163</v>
      </c>
      <c r="Q92" s="12" t="str">
        <f aca="false">IFERROR(INDEX('Saisie programme'!$D$13:$J$477,($O$7-1)*39+27,1)&amp;"","")</f>
        <v/>
      </c>
      <c r="R92" s="12" t="str">
        <f aca="false">IFERROR(INDEX('Saisie programme'!$D$13:$J$477,($O$7-1)*39+27,2)&amp;"","")</f>
        <v/>
      </c>
      <c r="S92" s="12" t="str">
        <f aca="false">IFERROR(INDEX('Saisie programme'!$D$13:$J$477,($O$7-1)*39+27,3)&amp;"","")</f>
        <v/>
      </c>
      <c r="T92" s="12" t="str">
        <f aca="false">IFERROR(INDEX('Saisie programme'!$D$13:$J$477,($O$7-1)*39+27,4)&amp;"","")</f>
        <v/>
      </c>
      <c r="U92" s="12" t="str">
        <f aca="false">IFERROR(INDEX('Saisie programme'!$D$13:$J$477,($O$7-1)*39+27,5)&amp;"","")</f>
        <v/>
      </c>
      <c r="V92" s="12" t="str">
        <f aca="false">IFERROR(INDEX('Saisie programme'!$D$13:$J$477,($O$7-1)*39+27,6)&amp;"","")</f>
        <v/>
      </c>
      <c r="W92" s="12" t="str">
        <f aca="false">IFERROR(INDEX('Saisie programme'!$D$13:$J$477,($O$7-1)*39+27,7)&amp;"","")</f>
        <v/>
      </c>
      <c r="X92" s="34" t="n">
        <f aca="false">LEN(IFERROR(INDEX($Q$92:$W$92,WEEKDAY($O$5-0,2))&amp;"",""))-LEN(SUBSTITUTE(IFERROR(INDEX($Q$92:$W$92,WEEKDAY($O$5-0,2))&amp;"",""),"1",""))+LEN(IFERROR(INDEX($Q$92:$W$92,WEEKDAY($O$5-0,2))&amp;"",""))-LEN(SUBSTITUTE(IFERROR(INDEX($Q$92:$W$92,WEEKDAY($O$5-0,2))&amp;"",""),"2",""))+LEN(IFERROR(INDEX($Q$92:$W$92,WEEKDAY($O$5-1,2))&amp;"",""))-LEN(SUBSTITUTE(IFERROR(INDEX($Q$92:$W$92,WEEKDAY($O$5-1,2))&amp;"",""),"2",""))+LEN(IFERROR(INDEX($Q$92:$W$92,WEEKDAY($O$5-0,2))&amp;"",""))-LEN(SUBSTITUTE(IFERROR(INDEX($Q$92:$W$92,WEEKDAY($O$5-0,2))&amp;"",""),"3",""))+LEN(IFERROR(INDEX($Q$92:$W$92,WEEKDAY($O$5-1,2))&amp;"",""))-LEN(SUBSTITUTE(IFERROR(INDEX($Q$92:$W$92,WEEKDAY($O$5-1,2))&amp;"",""),"3",""))+LEN(IFERROR(INDEX($Q$92:$W$92,WEEKDAY($O$5-2,2))&amp;"",""))-LEN(SUBSTITUTE(IFERROR(INDEX($Q$92:$W$92,WEEKDAY($O$5-2,2))&amp;"",""),"3",""))</f>
        <v>0</v>
      </c>
      <c r="Y92" s="34" t="n">
        <f aca="false">LEN(IFERROR(INDEX('Saisie programme'!$D$13:$J$477,($O$7-2)*39+27,WEEKDAY($O$4-1,2))&amp;"",""))-LEN(SUBSTITUTE(IFERROR(INDEX('Saisie programme'!$D$13:$J$477,($O$7-2)*39+27,WEEKDAY($O$4-1,2))&amp;"",""),"1",""))+LEN(IFERROR(INDEX('Saisie programme'!$D$13:$J$477,($O$7-2)*39+27,WEEKDAY($O$4-1,2))&amp;"",""))-LEN(SUBSTITUTE(IFERROR(INDEX('Saisie programme'!$D$13:$J$477,($O$7-2)*39+27,WEEKDAY($O$4-1,2))&amp;"",""),"2",""))+LEN(IFERROR(INDEX('Saisie programme'!$D$13:$J$477,($O$7-2)*39+27,WEEKDAY($O$4-2,2))&amp;"",""))-LEN(SUBSTITUTE(IFERROR(INDEX('Saisie programme'!$D$13:$J$477,($O$7-2)*39+27,WEEKDAY($O$4-2,2))&amp;"",""),"2",""))+LEN(IFERROR(INDEX('Saisie programme'!$D$13:$J$477,($O$7-2)*39+27,WEEKDAY($O$4-1,2))&amp;"",""))-LEN(SUBSTITUTE(IFERROR(INDEX('Saisie programme'!$D$13:$J$477,($O$7-2)*39+27,WEEKDAY($O$4-1,2))&amp;"",""),"3",""))+LEN(IFERROR(INDEX('Saisie programme'!$D$13:$J$477,($O$7-2)*39+27,WEEKDAY($O$4-2,2))&amp;"",""))-LEN(SUBSTITUTE(IFERROR(INDEX('Saisie programme'!$D$13:$J$477,($O$7-2)*39+27,WEEKDAY($O$4-2,2))&amp;"",""),"3",""))+LEN(IFERROR(INDEX('Saisie programme'!$D$13:$J$477,($O$7-2)*39+27,WEEKDAY($O$4-3,2))&amp;"",""))-LEN(SUBSTITUTE(IFERROR(INDEX('Saisie programme'!$D$13:$J$477,($O$7-2)*39+27,WEEKDAY($O$4-3,2))&amp;"",""),"3",""))</f>
        <v>0</v>
      </c>
    </row>
    <row r="93" customFormat="false" ht="15" hidden="false" customHeight="false" outlineLevel="0" collapsed="false">
      <c r="P93" s="10" t="s">
        <v>164</v>
      </c>
      <c r="Q93" s="12" t="str">
        <f aca="false">IFERROR(INDEX('Saisie programme'!$D$13:$J$477,($O$7-1)*39+28,1)&amp;"","")</f>
        <v/>
      </c>
      <c r="R93" s="12" t="str">
        <f aca="false">IFERROR(INDEX('Saisie programme'!$D$13:$J$477,($O$7-1)*39+28,2)&amp;"","")</f>
        <v/>
      </c>
      <c r="S93" s="12" t="str">
        <f aca="false">IFERROR(INDEX('Saisie programme'!$D$13:$J$477,($O$7-1)*39+28,3)&amp;"","")</f>
        <v/>
      </c>
      <c r="T93" s="12" t="str">
        <f aca="false">IFERROR(INDEX('Saisie programme'!$D$13:$J$477,($O$7-1)*39+28,4)&amp;"","")</f>
        <v/>
      </c>
      <c r="U93" s="12" t="str">
        <f aca="false">IFERROR(INDEX('Saisie programme'!$D$13:$J$477,($O$7-1)*39+28,5)&amp;"","")</f>
        <v/>
      </c>
      <c r="V93" s="12" t="str">
        <f aca="false">IFERROR(INDEX('Saisie programme'!$D$13:$J$477,($O$7-1)*39+28,6)&amp;"","")</f>
        <v/>
      </c>
      <c r="W93" s="12" t="str">
        <f aca="false">IFERROR(INDEX('Saisie programme'!$D$13:$J$477,($O$7-1)*39+28,7)&amp;"","")</f>
        <v/>
      </c>
      <c r="X93" s="34" t="n">
        <f aca="false">LEN(IFERROR(INDEX($Q$93:$W$93,WEEKDAY($O$5-0,2))&amp;"",""))-LEN(SUBSTITUTE(IFERROR(INDEX($Q$93:$W$93,WEEKDAY($O$5-0,2))&amp;"",""),"1",""))+LEN(IFERROR(INDEX($Q$93:$W$93,WEEKDAY($O$5-0,2))&amp;"",""))-LEN(SUBSTITUTE(IFERROR(INDEX($Q$93:$W$93,WEEKDAY($O$5-0,2))&amp;"",""),"2",""))+LEN(IFERROR(INDEX($Q$93:$W$93,WEEKDAY($O$5-1,2))&amp;"",""))-LEN(SUBSTITUTE(IFERROR(INDEX($Q$93:$W$93,WEEKDAY($O$5-1,2))&amp;"",""),"2",""))+LEN(IFERROR(INDEX($Q$93:$W$93,WEEKDAY($O$5-0,2))&amp;"",""))-LEN(SUBSTITUTE(IFERROR(INDEX($Q$93:$W$93,WEEKDAY($O$5-0,2))&amp;"",""),"3",""))+LEN(IFERROR(INDEX($Q$93:$W$93,WEEKDAY($O$5-1,2))&amp;"",""))-LEN(SUBSTITUTE(IFERROR(INDEX($Q$93:$W$93,WEEKDAY($O$5-1,2))&amp;"",""),"3",""))+LEN(IFERROR(INDEX($Q$93:$W$93,WEEKDAY($O$5-2,2))&amp;"",""))-LEN(SUBSTITUTE(IFERROR(INDEX($Q$93:$W$93,WEEKDAY($O$5-2,2))&amp;"",""),"3",""))</f>
        <v>0</v>
      </c>
      <c r="Y93" s="34" t="n">
        <f aca="false">LEN(IFERROR(INDEX('Saisie programme'!$D$13:$J$477,($O$7-2)*39+28,WEEKDAY($O$4-1,2))&amp;"",""))-LEN(SUBSTITUTE(IFERROR(INDEX('Saisie programme'!$D$13:$J$477,($O$7-2)*39+28,WEEKDAY($O$4-1,2))&amp;"",""),"1",""))+LEN(IFERROR(INDEX('Saisie programme'!$D$13:$J$477,($O$7-2)*39+28,WEEKDAY($O$4-1,2))&amp;"",""))-LEN(SUBSTITUTE(IFERROR(INDEX('Saisie programme'!$D$13:$J$477,($O$7-2)*39+28,WEEKDAY($O$4-1,2))&amp;"",""),"2",""))+LEN(IFERROR(INDEX('Saisie programme'!$D$13:$J$477,($O$7-2)*39+28,WEEKDAY($O$4-2,2))&amp;"",""))-LEN(SUBSTITUTE(IFERROR(INDEX('Saisie programme'!$D$13:$J$477,($O$7-2)*39+28,WEEKDAY($O$4-2,2))&amp;"",""),"2",""))+LEN(IFERROR(INDEX('Saisie programme'!$D$13:$J$477,($O$7-2)*39+28,WEEKDAY($O$4-1,2))&amp;"",""))-LEN(SUBSTITUTE(IFERROR(INDEX('Saisie programme'!$D$13:$J$477,($O$7-2)*39+28,WEEKDAY($O$4-1,2))&amp;"",""),"3",""))+LEN(IFERROR(INDEX('Saisie programme'!$D$13:$J$477,($O$7-2)*39+28,WEEKDAY($O$4-2,2))&amp;"",""))-LEN(SUBSTITUTE(IFERROR(INDEX('Saisie programme'!$D$13:$J$477,($O$7-2)*39+28,WEEKDAY($O$4-2,2))&amp;"",""),"3",""))+LEN(IFERROR(INDEX('Saisie programme'!$D$13:$J$477,($O$7-2)*39+28,WEEKDAY($O$4-3,2))&amp;"",""))-LEN(SUBSTITUTE(IFERROR(INDEX('Saisie programme'!$D$13:$J$477,($O$7-2)*39+28,WEEKDAY($O$4-3,2))&amp;"",""),"3",""))</f>
        <v>0</v>
      </c>
    </row>
    <row r="94" customFormat="false" ht="15" hidden="false" customHeight="false" outlineLevel="0" collapsed="false">
      <c r="P94" s="10" t="s">
        <v>165</v>
      </c>
      <c r="Q94" s="12" t="str">
        <f aca="false">IFERROR(INDEX('Saisie programme'!$D$13:$J$477,($O$7-1)*39+29,1)&amp;"","")</f>
        <v/>
      </c>
      <c r="R94" s="12" t="str">
        <f aca="false">IFERROR(INDEX('Saisie programme'!$D$13:$J$477,($O$7-1)*39+29,2)&amp;"","")</f>
        <v/>
      </c>
      <c r="S94" s="12" t="str">
        <f aca="false">IFERROR(INDEX('Saisie programme'!$D$13:$J$477,($O$7-1)*39+29,3)&amp;"","")</f>
        <v/>
      </c>
      <c r="T94" s="12" t="str">
        <f aca="false">IFERROR(INDEX('Saisie programme'!$D$13:$J$477,($O$7-1)*39+29,4)&amp;"","")</f>
        <v/>
      </c>
      <c r="U94" s="12" t="str">
        <f aca="false">IFERROR(INDEX('Saisie programme'!$D$13:$J$477,($O$7-1)*39+29,5)&amp;"","")</f>
        <v/>
      </c>
      <c r="V94" s="12" t="str">
        <f aca="false">IFERROR(INDEX('Saisie programme'!$D$13:$J$477,($O$7-1)*39+29,6)&amp;"","")</f>
        <v/>
      </c>
      <c r="W94" s="12" t="str">
        <f aca="false">IFERROR(INDEX('Saisie programme'!$D$13:$J$477,($O$7-1)*39+29,7)&amp;"","")</f>
        <v/>
      </c>
      <c r="X94" s="34" t="n">
        <f aca="false">LEN(IFERROR(INDEX($Q$94:$W$94,WEEKDAY($O$5-0,2))&amp;"",""))-LEN(SUBSTITUTE(IFERROR(INDEX($Q$94:$W$94,WEEKDAY($O$5-0,2))&amp;"",""),"1",""))+LEN(IFERROR(INDEX($Q$94:$W$94,WEEKDAY($O$5-0,2))&amp;"",""))-LEN(SUBSTITUTE(IFERROR(INDEX($Q$94:$W$94,WEEKDAY($O$5-0,2))&amp;"",""),"2",""))+LEN(IFERROR(INDEX($Q$94:$W$94,WEEKDAY($O$5-1,2))&amp;"",""))-LEN(SUBSTITUTE(IFERROR(INDEX($Q$94:$W$94,WEEKDAY($O$5-1,2))&amp;"",""),"2",""))+LEN(IFERROR(INDEX($Q$94:$W$94,WEEKDAY($O$5-0,2))&amp;"",""))-LEN(SUBSTITUTE(IFERROR(INDEX($Q$94:$W$94,WEEKDAY($O$5-0,2))&amp;"",""),"3",""))+LEN(IFERROR(INDEX($Q$94:$W$94,WEEKDAY($O$5-1,2))&amp;"",""))-LEN(SUBSTITUTE(IFERROR(INDEX($Q$94:$W$94,WEEKDAY($O$5-1,2))&amp;"",""),"3",""))+LEN(IFERROR(INDEX($Q$94:$W$94,WEEKDAY($O$5-2,2))&amp;"",""))-LEN(SUBSTITUTE(IFERROR(INDEX($Q$94:$W$94,WEEKDAY($O$5-2,2))&amp;"",""),"3",""))</f>
        <v>0</v>
      </c>
      <c r="Y94" s="34" t="n">
        <f aca="false">LEN(IFERROR(INDEX('Saisie programme'!$D$13:$J$477,($O$7-2)*39+29,WEEKDAY($O$4-1,2))&amp;"",""))-LEN(SUBSTITUTE(IFERROR(INDEX('Saisie programme'!$D$13:$J$477,($O$7-2)*39+29,WEEKDAY($O$4-1,2))&amp;"",""),"1",""))+LEN(IFERROR(INDEX('Saisie programme'!$D$13:$J$477,($O$7-2)*39+29,WEEKDAY($O$4-1,2))&amp;"",""))-LEN(SUBSTITUTE(IFERROR(INDEX('Saisie programme'!$D$13:$J$477,($O$7-2)*39+29,WEEKDAY($O$4-1,2))&amp;"",""),"2",""))+LEN(IFERROR(INDEX('Saisie programme'!$D$13:$J$477,($O$7-2)*39+29,WEEKDAY($O$4-2,2))&amp;"",""))-LEN(SUBSTITUTE(IFERROR(INDEX('Saisie programme'!$D$13:$J$477,($O$7-2)*39+29,WEEKDAY($O$4-2,2))&amp;"",""),"2",""))+LEN(IFERROR(INDEX('Saisie programme'!$D$13:$J$477,($O$7-2)*39+29,WEEKDAY($O$4-1,2))&amp;"",""))-LEN(SUBSTITUTE(IFERROR(INDEX('Saisie programme'!$D$13:$J$477,($O$7-2)*39+29,WEEKDAY($O$4-1,2))&amp;"",""),"3",""))+LEN(IFERROR(INDEX('Saisie programme'!$D$13:$J$477,($O$7-2)*39+29,WEEKDAY($O$4-2,2))&amp;"",""))-LEN(SUBSTITUTE(IFERROR(INDEX('Saisie programme'!$D$13:$J$477,($O$7-2)*39+29,WEEKDAY($O$4-2,2))&amp;"",""),"3",""))+LEN(IFERROR(INDEX('Saisie programme'!$D$13:$J$477,($O$7-2)*39+29,WEEKDAY($O$4-3,2))&amp;"",""))-LEN(SUBSTITUTE(IFERROR(INDEX('Saisie programme'!$D$13:$J$477,($O$7-2)*39+29,WEEKDAY($O$4-3,2))&amp;"",""),"3",""))</f>
        <v>0</v>
      </c>
    </row>
    <row r="95" customFormat="false" ht="15" hidden="false" customHeight="false" outlineLevel="0" collapsed="false">
      <c r="P95" s="10" t="s">
        <v>166</v>
      </c>
      <c r="Q95" s="12" t="str">
        <f aca="false">IFERROR(INDEX('Saisie programme'!$D$13:$J$477,($O$7-1)*39+30,1)&amp;"","")</f>
        <v/>
      </c>
      <c r="R95" s="12" t="str">
        <f aca="false">IFERROR(INDEX('Saisie programme'!$D$13:$J$477,($O$7-1)*39+30,2)&amp;"","")</f>
        <v>0</v>
      </c>
      <c r="S95" s="12" t="str">
        <f aca="false">IFERROR(INDEX('Saisie programme'!$D$13:$J$477,($O$7-1)*39+30,3)&amp;"","")</f>
        <v/>
      </c>
      <c r="T95" s="12" t="str">
        <f aca="false">IFERROR(INDEX('Saisie programme'!$D$13:$J$477,($O$7-1)*39+30,4)&amp;"","")</f>
        <v/>
      </c>
      <c r="U95" s="12" t="str">
        <f aca="false">IFERROR(INDEX('Saisie programme'!$D$13:$J$477,($O$7-1)*39+30,5)&amp;"","")</f>
        <v/>
      </c>
      <c r="V95" s="12" t="str">
        <f aca="false">IFERROR(INDEX('Saisie programme'!$D$13:$J$477,($O$7-1)*39+30,6)&amp;"","")</f>
        <v>0</v>
      </c>
      <c r="W95" s="12" t="str">
        <f aca="false">IFERROR(INDEX('Saisie programme'!$D$13:$J$477,($O$7-1)*39+30,7)&amp;"","")</f>
        <v/>
      </c>
      <c r="X95" s="34" t="n">
        <f aca="false">LEN(IFERROR(INDEX($Q$95:$W$95,WEEKDAY($O$5-0,2))&amp;"",""))-LEN(SUBSTITUTE(IFERROR(INDEX($Q$95:$W$95,WEEKDAY($O$5-0,2))&amp;"",""),"1",""))+LEN(IFERROR(INDEX($Q$95:$W$95,WEEKDAY($O$5-0,2))&amp;"",""))-LEN(SUBSTITUTE(IFERROR(INDEX($Q$95:$W$95,WEEKDAY($O$5-0,2))&amp;"",""),"2",""))+LEN(IFERROR(INDEX($Q$95:$W$95,WEEKDAY($O$5-1,2))&amp;"",""))-LEN(SUBSTITUTE(IFERROR(INDEX($Q$95:$W$95,WEEKDAY($O$5-1,2))&amp;"",""),"2",""))+LEN(IFERROR(INDEX($Q$95:$W$95,WEEKDAY($O$5-0,2))&amp;"",""))-LEN(SUBSTITUTE(IFERROR(INDEX($Q$95:$W$95,WEEKDAY($O$5-0,2))&amp;"",""),"3",""))+LEN(IFERROR(INDEX($Q$95:$W$95,WEEKDAY($O$5-1,2))&amp;"",""))-LEN(SUBSTITUTE(IFERROR(INDEX($Q$95:$W$95,WEEKDAY($O$5-1,2))&amp;"",""),"3",""))+LEN(IFERROR(INDEX($Q$95:$W$95,WEEKDAY($O$5-2,2))&amp;"",""))-LEN(SUBSTITUTE(IFERROR(INDEX($Q$95:$W$95,WEEKDAY($O$5-2,2))&amp;"",""),"3",""))</f>
        <v>0</v>
      </c>
      <c r="Y95" s="34" t="n">
        <f aca="false">LEN(IFERROR(INDEX('Saisie programme'!$D$13:$J$477,($O$7-2)*39+30,WEEKDAY($O$4-1,2))&amp;"",""))-LEN(SUBSTITUTE(IFERROR(INDEX('Saisie programme'!$D$13:$J$477,($O$7-2)*39+30,WEEKDAY($O$4-1,2))&amp;"",""),"1",""))+LEN(IFERROR(INDEX('Saisie programme'!$D$13:$J$477,($O$7-2)*39+30,WEEKDAY($O$4-1,2))&amp;"",""))-LEN(SUBSTITUTE(IFERROR(INDEX('Saisie programme'!$D$13:$J$477,($O$7-2)*39+30,WEEKDAY($O$4-1,2))&amp;"",""),"2",""))+LEN(IFERROR(INDEX('Saisie programme'!$D$13:$J$477,($O$7-2)*39+30,WEEKDAY($O$4-2,2))&amp;"",""))-LEN(SUBSTITUTE(IFERROR(INDEX('Saisie programme'!$D$13:$J$477,($O$7-2)*39+30,WEEKDAY($O$4-2,2))&amp;"",""),"2",""))+LEN(IFERROR(INDEX('Saisie programme'!$D$13:$J$477,($O$7-2)*39+30,WEEKDAY($O$4-1,2))&amp;"",""))-LEN(SUBSTITUTE(IFERROR(INDEX('Saisie programme'!$D$13:$J$477,($O$7-2)*39+30,WEEKDAY($O$4-1,2))&amp;"",""),"3",""))+LEN(IFERROR(INDEX('Saisie programme'!$D$13:$J$477,($O$7-2)*39+30,WEEKDAY($O$4-2,2))&amp;"",""))-LEN(SUBSTITUTE(IFERROR(INDEX('Saisie programme'!$D$13:$J$477,($O$7-2)*39+30,WEEKDAY($O$4-2,2))&amp;"",""),"3",""))+LEN(IFERROR(INDEX('Saisie programme'!$D$13:$J$477,($O$7-2)*39+30,WEEKDAY($O$4-3,2))&amp;"",""))-LEN(SUBSTITUTE(IFERROR(INDEX('Saisie programme'!$D$13:$J$477,($O$7-2)*39+30,WEEKDAY($O$4-3,2))&amp;"",""),"3",""))</f>
        <v>0</v>
      </c>
    </row>
    <row r="96" customFormat="false" ht="15" hidden="false" customHeight="false" outlineLevel="0" collapsed="false">
      <c r="P96" s="10" t="s">
        <v>167</v>
      </c>
      <c r="Q96" s="12" t="str">
        <f aca="false">IFERROR(INDEX('Saisie programme'!$D$13:$J$477,($O$7-1)*39+31,1)&amp;"","")</f>
        <v/>
      </c>
      <c r="R96" s="12" t="str">
        <f aca="false">IFERROR(INDEX('Saisie programme'!$D$13:$J$477,($O$7-1)*39+31,2)&amp;"","")</f>
        <v/>
      </c>
      <c r="S96" s="12" t="str">
        <f aca="false">IFERROR(INDEX('Saisie programme'!$D$13:$J$477,($O$7-1)*39+31,3)&amp;"","")</f>
        <v/>
      </c>
      <c r="T96" s="12" t="str">
        <f aca="false">IFERROR(INDEX('Saisie programme'!$D$13:$J$477,($O$7-1)*39+31,4)&amp;"","")</f>
        <v/>
      </c>
      <c r="U96" s="12" t="str">
        <f aca="false">IFERROR(INDEX('Saisie programme'!$D$13:$J$477,($O$7-1)*39+31,5)&amp;"","")</f>
        <v/>
      </c>
      <c r="V96" s="12" t="str">
        <f aca="false">IFERROR(INDEX('Saisie programme'!$D$13:$J$477,($O$7-1)*39+31,6)&amp;"","")</f>
        <v/>
      </c>
      <c r="W96" s="12" t="str">
        <f aca="false">IFERROR(INDEX('Saisie programme'!$D$13:$J$477,($O$7-1)*39+31,7)&amp;"","")</f>
        <v/>
      </c>
      <c r="X96" s="34" t="n">
        <f aca="false">LEN(IFERROR(INDEX($Q$96:$W$96,WEEKDAY($O$5-0,2))&amp;"",""))-LEN(SUBSTITUTE(IFERROR(INDEX($Q$96:$W$96,WEEKDAY($O$5-0,2))&amp;"",""),"1",""))+LEN(IFERROR(INDEX($Q$96:$W$96,WEEKDAY($O$5-0,2))&amp;"",""))-LEN(SUBSTITUTE(IFERROR(INDEX($Q$96:$W$96,WEEKDAY($O$5-0,2))&amp;"",""),"2",""))+LEN(IFERROR(INDEX($Q$96:$W$96,WEEKDAY($O$5-1,2))&amp;"",""))-LEN(SUBSTITUTE(IFERROR(INDEX($Q$96:$W$96,WEEKDAY($O$5-1,2))&amp;"",""),"2",""))+LEN(IFERROR(INDEX($Q$96:$W$96,WEEKDAY($O$5-0,2))&amp;"",""))-LEN(SUBSTITUTE(IFERROR(INDEX($Q$96:$W$96,WEEKDAY($O$5-0,2))&amp;"",""),"3",""))+LEN(IFERROR(INDEX($Q$96:$W$96,WEEKDAY($O$5-1,2))&amp;"",""))-LEN(SUBSTITUTE(IFERROR(INDEX($Q$96:$W$96,WEEKDAY($O$5-1,2))&amp;"",""),"3",""))+LEN(IFERROR(INDEX($Q$96:$W$96,WEEKDAY($O$5-2,2))&amp;"",""))-LEN(SUBSTITUTE(IFERROR(INDEX($Q$96:$W$96,WEEKDAY($O$5-2,2))&amp;"",""),"3",""))</f>
        <v>0</v>
      </c>
      <c r="Y96" s="34" t="n">
        <f aca="false">LEN(IFERROR(INDEX('Saisie programme'!$D$13:$J$477,($O$7-2)*39+31,WEEKDAY($O$4-1,2))&amp;"",""))-LEN(SUBSTITUTE(IFERROR(INDEX('Saisie programme'!$D$13:$J$477,($O$7-2)*39+31,WEEKDAY($O$4-1,2))&amp;"",""),"1",""))+LEN(IFERROR(INDEX('Saisie programme'!$D$13:$J$477,($O$7-2)*39+31,WEEKDAY($O$4-1,2))&amp;"",""))-LEN(SUBSTITUTE(IFERROR(INDEX('Saisie programme'!$D$13:$J$477,($O$7-2)*39+31,WEEKDAY($O$4-1,2))&amp;"",""),"2",""))+LEN(IFERROR(INDEX('Saisie programme'!$D$13:$J$477,($O$7-2)*39+31,WEEKDAY($O$4-2,2))&amp;"",""))-LEN(SUBSTITUTE(IFERROR(INDEX('Saisie programme'!$D$13:$J$477,($O$7-2)*39+31,WEEKDAY($O$4-2,2))&amp;"",""),"2",""))+LEN(IFERROR(INDEX('Saisie programme'!$D$13:$J$477,($O$7-2)*39+31,WEEKDAY($O$4-1,2))&amp;"",""))-LEN(SUBSTITUTE(IFERROR(INDEX('Saisie programme'!$D$13:$J$477,($O$7-2)*39+31,WEEKDAY($O$4-1,2))&amp;"",""),"3",""))+LEN(IFERROR(INDEX('Saisie programme'!$D$13:$J$477,($O$7-2)*39+31,WEEKDAY($O$4-2,2))&amp;"",""))-LEN(SUBSTITUTE(IFERROR(INDEX('Saisie programme'!$D$13:$J$477,($O$7-2)*39+31,WEEKDAY($O$4-2,2))&amp;"",""),"3",""))+LEN(IFERROR(INDEX('Saisie programme'!$D$13:$J$477,($O$7-2)*39+31,WEEKDAY($O$4-3,2))&amp;"",""))-LEN(SUBSTITUTE(IFERROR(INDEX('Saisie programme'!$D$13:$J$477,($O$7-2)*39+31,WEEKDAY($O$4-3,2))&amp;"",""),"3",""))</f>
        <v>0</v>
      </c>
    </row>
    <row r="97" customFormat="false" ht="15" hidden="false" customHeight="false" outlineLevel="0" collapsed="false">
      <c r="P97" s="10" t="s">
        <v>168</v>
      </c>
      <c r="Q97" s="12" t="str">
        <f aca="false">IFERROR(INDEX('Saisie programme'!$D$13:$J$477,($O$7-1)*39+32,1)&amp;"","")</f>
        <v/>
      </c>
      <c r="R97" s="12" t="str">
        <f aca="false">IFERROR(INDEX('Saisie programme'!$D$13:$J$477,($O$7-1)*39+32,2)&amp;"","")</f>
        <v/>
      </c>
      <c r="S97" s="12" t="str">
        <f aca="false">IFERROR(INDEX('Saisie programme'!$D$13:$J$477,($O$7-1)*39+32,3)&amp;"","")</f>
        <v/>
      </c>
      <c r="T97" s="12" t="str">
        <f aca="false">IFERROR(INDEX('Saisie programme'!$D$13:$J$477,($O$7-1)*39+32,4)&amp;"","")</f>
        <v/>
      </c>
      <c r="U97" s="12" t="str">
        <f aca="false">IFERROR(INDEX('Saisie programme'!$D$13:$J$477,($O$7-1)*39+32,5)&amp;"","")</f>
        <v/>
      </c>
      <c r="V97" s="12" t="str">
        <f aca="false">IFERROR(INDEX('Saisie programme'!$D$13:$J$477,($O$7-1)*39+32,6)&amp;"","")</f>
        <v/>
      </c>
      <c r="W97" s="12" t="str">
        <f aca="false">IFERROR(INDEX('Saisie programme'!$D$13:$J$477,($O$7-1)*39+32,7)&amp;"","")</f>
        <v/>
      </c>
      <c r="X97" s="34" t="n">
        <f aca="false">LEN(IFERROR(INDEX($Q$97:$W$97,WEEKDAY($O$5-0,2))&amp;"",""))-LEN(SUBSTITUTE(IFERROR(INDEX($Q$97:$W$97,WEEKDAY($O$5-0,2))&amp;"",""),"1",""))+LEN(IFERROR(INDEX($Q$97:$W$97,WEEKDAY($O$5-0,2))&amp;"",""))-LEN(SUBSTITUTE(IFERROR(INDEX($Q$97:$W$97,WEEKDAY($O$5-0,2))&amp;"",""),"2",""))+LEN(IFERROR(INDEX($Q$97:$W$97,WEEKDAY($O$5-1,2))&amp;"",""))-LEN(SUBSTITUTE(IFERROR(INDEX($Q$97:$W$97,WEEKDAY($O$5-1,2))&amp;"",""),"2",""))+LEN(IFERROR(INDEX($Q$97:$W$97,WEEKDAY($O$5-0,2))&amp;"",""))-LEN(SUBSTITUTE(IFERROR(INDEX($Q$97:$W$97,WEEKDAY($O$5-0,2))&amp;"",""),"3",""))+LEN(IFERROR(INDEX($Q$97:$W$97,WEEKDAY($O$5-1,2))&amp;"",""))-LEN(SUBSTITUTE(IFERROR(INDEX($Q$97:$W$97,WEEKDAY($O$5-1,2))&amp;"",""),"3",""))+LEN(IFERROR(INDEX($Q$97:$W$97,WEEKDAY($O$5-2,2))&amp;"",""))-LEN(SUBSTITUTE(IFERROR(INDEX($Q$97:$W$97,WEEKDAY($O$5-2,2))&amp;"",""),"3",""))</f>
        <v>0</v>
      </c>
      <c r="Y97" s="34" t="n">
        <f aca="false">LEN(IFERROR(INDEX('Saisie programme'!$D$13:$J$477,($O$7-2)*39+32,WEEKDAY($O$4-1,2))&amp;"",""))-LEN(SUBSTITUTE(IFERROR(INDEX('Saisie programme'!$D$13:$J$477,($O$7-2)*39+32,WEEKDAY($O$4-1,2))&amp;"",""),"1",""))+LEN(IFERROR(INDEX('Saisie programme'!$D$13:$J$477,($O$7-2)*39+32,WEEKDAY($O$4-1,2))&amp;"",""))-LEN(SUBSTITUTE(IFERROR(INDEX('Saisie programme'!$D$13:$J$477,($O$7-2)*39+32,WEEKDAY($O$4-1,2))&amp;"",""),"2",""))+LEN(IFERROR(INDEX('Saisie programme'!$D$13:$J$477,($O$7-2)*39+32,WEEKDAY($O$4-2,2))&amp;"",""))-LEN(SUBSTITUTE(IFERROR(INDEX('Saisie programme'!$D$13:$J$477,($O$7-2)*39+32,WEEKDAY($O$4-2,2))&amp;"",""),"2",""))+LEN(IFERROR(INDEX('Saisie programme'!$D$13:$J$477,($O$7-2)*39+32,WEEKDAY($O$4-1,2))&amp;"",""))-LEN(SUBSTITUTE(IFERROR(INDEX('Saisie programme'!$D$13:$J$477,($O$7-2)*39+32,WEEKDAY($O$4-1,2))&amp;"",""),"3",""))+LEN(IFERROR(INDEX('Saisie programme'!$D$13:$J$477,($O$7-2)*39+32,WEEKDAY($O$4-2,2))&amp;"",""))-LEN(SUBSTITUTE(IFERROR(INDEX('Saisie programme'!$D$13:$J$477,($O$7-2)*39+32,WEEKDAY($O$4-2,2))&amp;"",""),"3",""))+LEN(IFERROR(INDEX('Saisie programme'!$D$13:$J$477,($O$7-2)*39+32,WEEKDAY($O$4-3,2))&amp;"",""))-LEN(SUBSTITUTE(IFERROR(INDEX('Saisie programme'!$D$13:$J$477,($O$7-2)*39+32,WEEKDAY($O$4-3,2))&amp;"",""),"3",""))</f>
        <v>0</v>
      </c>
    </row>
    <row r="98" customFormat="false" ht="15" hidden="false" customHeight="false" outlineLevel="0" collapsed="false">
      <c r="P98" s="10" t="s">
        <v>169</v>
      </c>
      <c r="Q98" s="12" t="str">
        <f aca="false">IFERROR(INDEX('Saisie programme'!$D$13:$J$477,($O$7-1)*39+33,1)&amp;"","")</f>
        <v>0</v>
      </c>
      <c r="R98" s="12" t="str">
        <f aca="false">IFERROR(INDEX('Saisie programme'!$D$13:$J$477,($O$7-1)*39+33,2)&amp;"","")</f>
        <v>0</v>
      </c>
      <c r="S98" s="12" t="str">
        <f aca="false">IFERROR(INDEX('Saisie programme'!$D$13:$J$477,($O$7-1)*39+33,3)&amp;"","")</f>
        <v>0</v>
      </c>
      <c r="T98" s="12" t="str">
        <f aca="false">IFERROR(INDEX('Saisie programme'!$D$13:$J$477,($O$7-1)*39+33,4)&amp;"","")</f>
        <v>00</v>
      </c>
      <c r="U98" s="12" t="str">
        <f aca="false">IFERROR(INDEX('Saisie programme'!$D$13:$J$477,($O$7-1)*39+33,5)&amp;"","")</f>
        <v>0</v>
      </c>
      <c r="V98" s="12" t="str">
        <f aca="false">IFERROR(INDEX('Saisie programme'!$D$13:$J$477,($O$7-1)*39+33,6)&amp;"","")</f>
        <v>0</v>
      </c>
      <c r="W98" s="12" t="str">
        <f aca="false">IFERROR(INDEX('Saisie programme'!$D$13:$J$477,($O$7-1)*39+33,7)&amp;"","")</f>
        <v/>
      </c>
      <c r="X98" s="34" t="n">
        <f aca="false">LEN(IFERROR(INDEX($Q$98:$W$98,WEEKDAY($O$5-0,2))&amp;"",""))-LEN(SUBSTITUTE(IFERROR(INDEX($Q$98:$W$98,WEEKDAY($O$5-0,2))&amp;"",""),"1",""))+LEN(IFERROR(INDEX($Q$98:$W$98,WEEKDAY($O$5-0,2))&amp;"",""))-LEN(SUBSTITUTE(IFERROR(INDEX($Q$98:$W$98,WEEKDAY($O$5-0,2))&amp;"",""),"2",""))+LEN(IFERROR(INDEX($Q$98:$W$98,WEEKDAY($O$5-1,2))&amp;"",""))-LEN(SUBSTITUTE(IFERROR(INDEX($Q$98:$W$98,WEEKDAY($O$5-1,2))&amp;"",""),"2",""))+LEN(IFERROR(INDEX($Q$98:$W$98,WEEKDAY($O$5-0,2))&amp;"",""))-LEN(SUBSTITUTE(IFERROR(INDEX($Q$98:$W$98,WEEKDAY($O$5-0,2))&amp;"",""),"3",""))+LEN(IFERROR(INDEX($Q$98:$W$98,WEEKDAY($O$5-1,2))&amp;"",""))-LEN(SUBSTITUTE(IFERROR(INDEX($Q$98:$W$98,WEEKDAY($O$5-1,2))&amp;"",""),"3",""))+LEN(IFERROR(INDEX($Q$98:$W$98,WEEKDAY($O$5-2,2))&amp;"",""))-LEN(SUBSTITUTE(IFERROR(INDEX($Q$98:$W$98,WEEKDAY($O$5-2,2))&amp;"",""),"3",""))</f>
        <v>0</v>
      </c>
      <c r="Y98" s="34" t="n">
        <f aca="false">LEN(IFERROR(INDEX('Saisie programme'!$D$13:$J$477,($O$7-2)*39+33,WEEKDAY($O$4-1,2))&amp;"",""))-LEN(SUBSTITUTE(IFERROR(INDEX('Saisie programme'!$D$13:$J$477,($O$7-2)*39+33,WEEKDAY($O$4-1,2))&amp;"",""),"1",""))+LEN(IFERROR(INDEX('Saisie programme'!$D$13:$J$477,($O$7-2)*39+33,WEEKDAY($O$4-1,2))&amp;"",""))-LEN(SUBSTITUTE(IFERROR(INDEX('Saisie programme'!$D$13:$J$477,($O$7-2)*39+33,WEEKDAY($O$4-1,2))&amp;"",""),"2",""))+LEN(IFERROR(INDEX('Saisie programme'!$D$13:$J$477,($O$7-2)*39+33,WEEKDAY($O$4-2,2))&amp;"",""))-LEN(SUBSTITUTE(IFERROR(INDEX('Saisie programme'!$D$13:$J$477,($O$7-2)*39+33,WEEKDAY($O$4-2,2))&amp;"",""),"2",""))+LEN(IFERROR(INDEX('Saisie programme'!$D$13:$J$477,($O$7-2)*39+33,WEEKDAY($O$4-1,2))&amp;"",""))-LEN(SUBSTITUTE(IFERROR(INDEX('Saisie programme'!$D$13:$J$477,($O$7-2)*39+33,WEEKDAY($O$4-1,2))&amp;"",""),"3",""))+LEN(IFERROR(INDEX('Saisie programme'!$D$13:$J$477,($O$7-2)*39+33,WEEKDAY($O$4-2,2))&amp;"",""))-LEN(SUBSTITUTE(IFERROR(INDEX('Saisie programme'!$D$13:$J$477,($O$7-2)*39+33,WEEKDAY($O$4-2,2))&amp;"",""),"3",""))+LEN(IFERROR(INDEX('Saisie programme'!$D$13:$J$477,($O$7-2)*39+33,WEEKDAY($O$4-3,2))&amp;"",""))-LEN(SUBSTITUTE(IFERROR(INDEX('Saisie programme'!$D$13:$J$477,($O$7-2)*39+33,WEEKDAY($O$4-3,2))&amp;"",""),"3",""))</f>
        <v>0</v>
      </c>
    </row>
    <row r="99" customFormat="false" ht="15" hidden="false" customHeight="false" outlineLevel="0" collapsed="false">
      <c r="P99" s="10" t="s">
        <v>170</v>
      </c>
      <c r="Q99" s="12" t="str">
        <f aca="false">IFERROR(INDEX('Saisie programme'!$D$13:$J$477,($O$7-1)*39+34,1)&amp;"","")</f>
        <v/>
      </c>
      <c r="R99" s="12" t="str">
        <f aca="false">IFERROR(INDEX('Saisie programme'!$D$13:$J$477,($O$7-1)*39+34,2)&amp;"","")</f>
        <v/>
      </c>
      <c r="S99" s="12" t="str">
        <f aca="false">IFERROR(INDEX('Saisie programme'!$D$13:$J$477,($O$7-1)*39+34,3)&amp;"","")</f>
        <v/>
      </c>
      <c r="T99" s="12" t="str">
        <f aca="false">IFERROR(INDEX('Saisie programme'!$D$13:$J$477,($O$7-1)*39+34,4)&amp;"","")</f>
        <v/>
      </c>
      <c r="U99" s="12" t="str">
        <f aca="false">IFERROR(INDEX('Saisie programme'!$D$13:$J$477,($O$7-1)*39+34,5)&amp;"","")</f>
        <v/>
      </c>
      <c r="V99" s="12" t="str">
        <f aca="false">IFERROR(INDEX('Saisie programme'!$D$13:$J$477,($O$7-1)*39+34,6)&amp;"","")</f>
        <v/>
      </c>
      <c r="W99" s="12" t="str">
        <f aca="false">IFERROR(INDEX('Saisie programme'!$D$13:$J$477,($O$7-1)*39+34,7)&amp;"","")</f>
        <v/>
      </c>
      <c r="X99" s="34" t="n">
        <f aca="false">LEN(IFERROR(INDEX($Q$99:$W$99,WEEKDAY($O$5-0,2))&amp;"",""))-LEN(SUBSTITUTE(IFERROR(INDEX($Q$99:$W$99,WEEKDAY($O$5-0,2))&amp;"",""),"1",""))+LEN(IFERROR(INDEX($Q$99:$W$99,WEEKDAY($O$5-0,2))&amp;"",""))-LEN(SUBSTITUTE(IFERROR(INDEX($Q$99:$W$99,WEEKDAY($O$5-0,2))&amp;"",""),"2",""))+LEN(IFERROR(INDEX($Q$99:$W$99,WEEKDAY($O$5-1,2))&amp;"",""))-LEN(SUBSTITUTE(IFERROR(INDEX($Q$99:$W$99,WEEKDAY($O$5-1,2))&amp;"",""),"2",""))+LEN(IFERROR(INDEX($Q$99:$W$99,WEEKDAY($O$5-0,2))&amp;"",""))-LEN(SUBSTITUTE(IFERROR(INDEX($Q$99:$W$99,WEEKDAY($O$5-0,2))&amp;"",""),"3",""))+LEN(IFERROR(INDEX($Q$99:$W$99,WEEKDAY($O$5-1,2))&amp;"",""))-LEN(SUBSTITUTE(IFERROR(INDEX($Q$99:$W$99,WEEKDAY($O$5-1,2))&amp;"",""),"3",""))+LEN(IFERROR(INDEX($Q$99:$W$99,WEEKDAY($O$5-2,2))&amp;"",""))-LEN(SUBSTITUTE(IFERROR(INDEX($Q$99:$W$99,WEEKDAY($O$5-2,2))&amp;"",""),"3",""))</f>
        <v>0</v>
      </c>
      <c r="Y99" s="34" t="n">
        <f aca="false">LEN(IFERROR(INDEX('Saisie programme'!$D$13:$J$477,($O$7-2)*39+34,WEEKDAY($O$4-1,2))&amp;"",""))-LEN(SUBSTITUTE(IFERROR(INDEX('Saisie programme'!$D$13:$J$477,($O$7-2)*39+34,WEEKDAY($O$4-1,2))&amp;"",""),"1",""))+LEN(IFERROR(INDEX('Saisie programme'!$D$13:$J$477,($O$7-2)*39+34,WEEKDAY($O$4-1,2))&amp;"",""))-LEN(SUBSTITUTE(IFERROR(INDEX('Saisie programme'!$D$13:$J$477,($O$7-2)*39+34,WEEKDAY($O$4-1,2))&amp;"",""),"2",""))+LEN(IFERROR(INDEX('Saisie programme'!$D$13:$J$477,($O$7-2)*39+34,WEEKDAY($O$4-2,2))&amp;"",""))-LEN(SUBSTITUTE(IFERROR(INDEX('Saisie programme'!$D$13:$J$477,($O$7-2)*39+34,WEEKDAY($O$4-2,2))&amp;"",""),"2",""))+LEN(IFERROR(INDEX('Saisie programme'!$D$13:$J$477,($O$7-2)*39+34,WEEKDAY($O$4-1,2))&amp;"",""))-LEN(SUBSTITUTE(IFERROR(INDEX('Saisie programme'!$D$13:$J$477,($O$7-2)*39+34,WEEKDAY($O$4-1,2))&amp;"",""),"3",""))+LEN(IFERROR(INDEX('Saisie programme'!$D$13:$J$477,($O$7-2)*39+34,WEEKDAY($O$4-2,2))&amp;"",""))-LEN(SUBSTITUTE(IFERROR(INDEX('Saisie programme'!$D$13:$J$477,($O$7-2)*39+34,WEEKDAY($O$4-2,2))&amp;"",""),"3",""))+LEN(IFERROR(INDEX('Saisie programme'!$D$13:$J$477,($O$7-2)*39+34,WEEKDAY($O$4-3,2))&amp;"",""))-LEN(SUBSTITUTE(IFERROR(INDEX('Saisie programme'!$D$13:$J$477,($O$7-2)*39+34,WEEKDAY($O$4-3,2))&amp;"",""),"3",""))</f>
        <v>0</v>
      </c>
    </row>
    <row r="100" customFormat="false" ht="15" hidden="false" customHeight="false" outlineLevel="0" collapsed="false">
      <c r="P100" s="10" t="s">
        <v>171</v>
      </c>
      <c r="Q100" s="12" t="str">
        <f aca="false">IFERROR(INDEX('Saisie programme'!$D$13:$J$477,($O$7-1)*39+35,1)&amp;"","")</f>
        <v/>
      </c>
      <c r="R100" s="12" t="str">
        <f aca="false">IFERROR(INDEX('Saisie programme'!$D$13:$J$477,($O$7-1)*39+35,2)&amp;"","")</f>
        <v/>
      </c>
      <c r="S100" s="12" t="str">
        <f aca="false">IFERROR(INDEX('Saisie programme'!$D$13:$J$477,($O$7-1)*39+35,3)&amp;"","")</f>
        <v/>
      </c>
      <c r="T100" s="12" t="str">
        <f aca="false">IFERROR(INDEX('Saisie programme'!$D$13:$J$477,($O$7-1)*39+35,4)&amp;"","")</f>
        <v/>
      </c>
      <c r="U100" s="12" t="str">
        <f aca="false">IFERROR(INDEX('Saisie programme'!$D$13:$J$477,($O$7-1)*39+35,5)&amp;"","")</f>
        <v/>
      </c>
      <c r="V100" s="12" t="str">
        <f aca="false">IFERROR(INDEX('Saisie programme'!$D$13:$J$477,($O$7-1)*39+35,6)&amp;"","")</f>
        <v/>
      </c>
      <c r="W100" s="12" t="str">
        <f aca="false">IFERROR(INDEX('Saisie programme'!$D$13:$J$477,($O$7-1)*39+35,7)&amp;"","")</f>
        <v/>
      </c>
      <c r="X100" s="34" t="n">
        <f aca="false">LEN(IFERROR(INDEX($Q$100:$W$100,WEEKDAY($O$5-0,2))&amp;"",""))-LEN(SUBSTITUTE(IFERROR(INDEX($Q$100:$W$100,WEEKDAY($O$5-0,2))&amp;"",""),"1",""))+LEN(IFERROR(INDEX($Q$100:$W$100,WEEKDAY($O$5-0,2))&amp;"",""))-LEN(SUBSTITUTE(IFERROR(INDEX($Q$100:$W$100,WEEKDAY($O$5-0,2))&amp;"",""),"2",""))+LEN(IFERROR(INDEX($Q$100:$W$100,WEEKDAY($O$5-1,2))&amp;"",""))-LEN(SUBSTITUTE(IFERROR(INDEX($Q$100:$W$100,WEEKDAY($O$5-1,2))&amp;"",""),"2",""))+LEN(IFERROR(INDEX($Q$100:$W$100,WEEKDAY($O$5-0,2))&amp;"",""))-LEN(SUBSTITUTE(IFERROR(INDEX($Q$100:$W$100,WEEKDAY($O$5-0,2))&amp;"",""),"3",""))+LEN(IFERROR(INDEX($Q$100:$W$100,WEEKDAY($O$5-1,2))&amp;"",""))-LEN(SUBSTITUTE(IFERROR(INDEX($Q$100:$W$100,WEEKDAY($O$5-1,2))&amp;"",""),"3",""))+LEN(IFERROR(INDEX($Q$100:$W$100,WEEKDAY($O$5-2,2))&amp;"",""))-LEN(SUBSTITUTE(IFERROR(INDEX($Q$100:$W$100,WEEKDAY($O$5-2,2))&amp;"",""),"3",""))</f>
        <v>0</v>
      </c>
      <c r="Y100" s="34" t="n">
        <f aca="false">LEN(IFERROR(INDEX('Saisie programme'!$D$13:$J$477,($O$7-2)*39+35,WEEKDAY($O$4-1,2))&amp;"",""))-LEN(SUBSTITUTE(IFERROR(INDEX('Saisie programme'!$D$13:$J$477,($O$7-2)*39+35,WEEKDAY($O$4-1,2))&amp;"",""),"1",""))+LEN(IFERROR(INDEX('Saisie programme'!$D$13:$J$477,($O$7-2)*39+35,WEEKDAY($O$4-1,2))&amp;"",""))-LEN(SUBSTITUTE(IFERROR(INDEX('Saisie programme'!$D$13:$J$477,($O$7-2)*39+35,WEEKDAY($O$4-1,2))&amp;"",""),"2",""))+LEN(IFERROR(INDEX('Saisie programme'!$D$13:$J$477,($O$7-2)*39+35,WEEKDAY($O$4-2,2))&amp;"",""))-LEN(SUBSTITUTE(IFERROR(INDEX('Saisie programme'!$D$13:$J$477,($O$7-2)*39+35,WEEKDAY($O$4-2,2))&amp;"",""),"2",""))+LEN(IFERROR(INDEX('Saisie programme'!$D$13:$J$477,($O$7-2)*39+35,WEEKDAY($O$4-1,2))&amp;"",""))-LEN(SUBSTITUTE(IFERROR(INDEX('Saisie programme'!$D$13:$J$477,($O$7-2)*39+35,WEEKDAY($O$4-1,2))&amp;"",""),"3",""))+LEN(IFERROR(INDEX('Saisie programme'!$D$13:$J$477,($O$7-2)*39+35,WEEKDAY($O$4-2,2))&amp;"",""))-LEN(SUBSTITUTE(IFERROR(INDEX('Saisie programme'!$D$13:$J$477,($O$7-2)*39+35,WEEKDAY($O$4-2,2))&amp;"",""),"3",""))+LEN(IFERROR(INDEX('Saisie programme'!$D$13:$J$477,($O$7-2)*39+35,WEEKDAY($O$4-3,2))&amp;"",""))-LEN(SUBSTITUTE(IFERROR(INDEX('Saisie programme'!$D$13:$J$477,($O$7-2)*39+35,WEEKDAY($O$4-3,2))&amp;"",""),"3",""))</f>
        <v>0</v>
      </c>
    </row>
    <row r="101" customFormat="false" ht="15" hidden="false" customHeight="false" outlineLevel="0" collapsed="false">
      <c r="P101" s="10" t="s">
        <v>172</v>
      </c>
      <c r="Q101" s="12" t="str">
        <f aca="false">IFERROR(INDEX('Saisie programme'!$D$13:$J$477,($O$7-1)*39+36,1)&amp;"","")</f>
        <v/>
      </c>
      <c r="R101" s="12" t="str">
        <f aca="false">IFERROR(INDEX('Saisie programme'!$D$13:$J$477,($O$7-1)*39+36,2)&amp;"","")</f>
        <v/>
      </c>
      <c r="S101" s="12" t="str">
        <f aca="false">IFERROR(INDEX('Saisie programme'!$D$13:$J$477,($O$7-1)*39+36,3)&amp;"","")</f>
        <v>0</v>
      </c>
      <c r="T101" s="12" t="str">
        <f aca="false">IFERROR(INDEX('Saisie programme'!$D$13:$J$477,($O$7-1)*39+36,4)&amp;"","")</f>
        <v/>
      </c>
      <c r="U101" s="12" t="str">
        <f aca="false">IFERROR(INDEX('Saisie programme'!$D$13:$J$477,($O$7-1)*39+36,5)&amp;"","")</f>
        <v/>
      </c>
      <c r="V101" s="12" t="str">
        <f aca="false">IFERROR(INDEX('Saisie programme'!$D$13:$J$477,($O$7-1)*39+36,6)&amp;"","")</f>
        <v/>
      </c>
      <c r="W101" s="12" t="str">
        <f aca="false">IFERROR(INDEX('Saisie programme'!$D$13:$J$477,($O$7-1)*39+36,7)&amp;"","")</f>
        <v>0</v>
      </c>
      <c r="X101" s="34" t="n">
        <f aca="false">LEN(IFERROR(INDEX($Q$101:$W$101,WEEKDAY($O$5-0,2))&amp;"",""))-LEN(SUBSTITUTE(IFERROR(INDEX($Q$101:$W$101,WEEKDAY($O$5-0,2))&amp;"",""),"1",""))+LEN(IFERROR(INDEX($Q$101:$W$101,WEEKDAY($O$5-0,2))&amp;"",""))-LEN(SUBSTITUTE(IFERROR(INDEX($Q$101:$W$101,WEEKDAY($O$5-0,2))&amp;"",""),"2",""))+LEN(IFERROR(INDEX($Q$101:$W$101,WEEKDAY($O$5-1,2))&amp;"",""))-LEN(SUBSTITUTE(IFERROR(INDEX($Q$101:$W$101,WEEKDAY($O$5-1,2))&amp;"",""),"2",""))+LEN(IFERROR(INDEX($Q$101:$W$101,WEEKDAY($O$5-0,2))&amp;"",""))-LEN(SUBSTITUTE(IFERROR(INDEX($Q$101:$W$101,WEEKDAY($O$5-0,2))&amp;"",""),"3",""))+LEN(IFERROR(INDEX($Q$101:$W$101,WEEKDAY($O$5-1,2))&amp;"",""))-LEN(SUBSTITUTE(IFERROR(INDEX($Q$101:$W$101,WEEKDAY($O$5-1,2))&amp;"",""),"3",""))+LEN(IFERROR(INDEX($Q$101:$W$101,WEEKDAY($O$5-2,2))&amp;"",""))-LEN(SUBSTITUTE(IFERROR(INDEX($Q$101:$W$101,WEEKDAY($O$5-2,2))&amp;"",""),"3",""))</f>
        <v>0</v>
      </c>
      <c r="Y101" s="34" t="n">
        <f aca="false">LEN(IFERROR(INDEX('Saisie programme'!$D$13:$J$477,($O$7-2)*39+36,WEEKDAY($O$4-1,2))&amp;"",""))-LEN(SUBSTITUTE(IFERROR(INDEX('Saisie programme'!$D$13:$J$477,($O$7-2)*39+36,WEEKDAY($O$4-1,2))&amp;"",""),"1",""))+LEN(IFERROR(INDEX('Saisie programme'!$D$13:$J$477,($O$7-2)*39+36,WEEKDAY($O$4-1,2))&amp;"",""))-LEN(SUBSTITUTE(IFERROR(INDEX('Saisie programme'!$D$13:$J$477,($O$7-2)*39+36,WEEKDAY($O$4-1,2))&amp;"",""),"2",""))+LEN(IFERROR(INDEX('Saisie programme'!$D$13:$J$477,($O$7-2)*39+36,WEEKDAY($O$4-2,2))&amp;"",""))-LEN(SUBSTITUTE(IFERROR(INDEX('Saisie programme'!$D$13:$J$477,($O$7-2)*39+36,WEEKDAY($O$4-2,2))&amp;"",""),"2",""))+LEN(IFERROR(INDEX('Saisie programme'!$D$13:$J$477,($O$7-2)*39+36,WEEKDAY($O$4-1,2))&amp;"",""))-LEN(SUBSTITUTE(IFERROR(INDEX('Saisie programme'!$D$13:$J$477,($O$7-2)*39+36,WEEKDAY($O$4-1,2))&amp;"",""),"3",""))+LEN(IFERROR(INDEX('Saisie programme'!$D$13:$J$477,($O$7-2)*39+36,WEEKDAY($O$4-2,2))&amp;"",""))-LEN(SUBSTITUTE(IFERROR(INDEX('Saisie programme'!$D$13:$J$477,($O$7-2)*39+36,WEEKDAY($O$4-2,2))&amp;"",""),"3",""))+LEN(IFERROR(INDEX('Saisie programme'!$D$13:$J$477,($O$7-2)*39+36,WEEKDAY($O$4-3,2))&amp;"",""))-LEN(SUBSTITUTE(IFERROR(INDEX('Saisie programme'!$D$13:$J$477,($O$7-2)*39+36,WEEKDAY($O$4-3,2))&amp;"",""),"3",""))</f>
        <v>0</v>
      </c>
    </row>
  </sheetData>
  <mergeCells count="13">
    <mergeCell ref="B1:I1"/>
    <mergeCell ref="B2:I2"/>
    <mergeCell ref="N3:O3"/>
    <mergeCell ref="C4:D4"/>
    <mergeCell ref="C5:D5"/>
    <mergeCell ref="B6:I6"/>
    <mergeCell ref="P15:W15"/>
    <mergeCell ref="D21:I21"/>
    <mergeCell ref="B23:N23"/>
    <mergeCell ref="P28:W28"/>
    <mergeCell ref="B38:N39"/>
    <mergeCell ref="P49:W49"/>
    <mergeCell ref="P64:W64"/>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ISNUMBER(SEARCH("(+",C8))</formula>
    </cfRule>
    <cfRule type="expression" priority="4" aboveAverage="0" equalAverage="0" bottom="0" percent="0" rank="0" text="" dxfId="2">
      <formula>AND($C$5="CDGRUN",C8&lt;&gt;"")</formula>
    </cfRule>
    <cfRule type="expression" priority="5" aboveAverage="0" equalAverage="0" bottom="0" percent="0" rank="0" text="" dxfId="3">
      <formula>AND($C$5="CDGDZA",C8&lt;&gt;"")</formula>
    </cfRule>
    <cfRule type="expression" priority="6" aboveAverage="0" equalAverage="0" bottom="0" percent="0" rank="0" text="" dxfId="4">
      <formula>AND($C$5="BKKRUN",C8&lt;&gt;"")</formula>
    </cfRule>
    <cfRule type="expression" priority="7" aboveAverage="0" equalAverage="0" bottom="0" percent="0" rank="0" text="" dxfId="5">
      <formula>AND($C$5="DZARUN",C8&lt;&gt;"")</formula>
    </cfRule>
    <cfRule type="expression" priority="8" aboveAverage="0" equalAverage="0" bottom="0" percent="0" rank="0" text="" dxfId="6">
      <formula>AND($C$5="MRURUN",C8&lt;&gt;"")</formula>
    </cfRule>
    <cfRule type="expression" priority="9" aboveAverage="0" equalAverage="0" bottom="0" percent="0" rank="0" text="" dxfId="7">
      <formula>AND($C$5="NOSRUN",C8&lt;&gt;"")</formula>
    </cfRule>
    <cfRule type="expression" priority="10" aboveAverage="0" equalAverage="0" bottom="0" percent="0" rank="0" text="" dxfId="8">
      <formula>AND($C$5="RUNTNR",C8&lt;&gt;"")</formula>
    </cfRule>
    <cfRule type="expression" priority="11" aboveAverage="0" equalAverage="0" bottom="0" percent="0" rank="0" text="" dxfId="9">
      <formula>AND($C$5="JNBRUN",C8&lt;&gt;"")</formula>
    </cfRule>
    <cfRule type="expression" priority="12" aboveAverage="0" equalAverage="0" bottom="0" percent="0" rank="0" text="" dxfId="10">
      <formula>AND($C$5="CPTRUN",C8&lt;&gt;"")</formula>
    </cfRule>
    <cfRule type="expression" priority="13" aboveAverage="0" equalAverage="0" bottom="0" percent="0" rank="0" text="" dxfId="11">
      <formula>AND($C$5="DIERUN",C8&lt;&gt;"")</formula>
    </cfRule>
    <cfRule type="expression" priority="14" aboveAverage="0" equalAverage="0" bottom="0" percent="0" rank="0" text="" dxfId="12">
      <formula>AND($C$5="RRGRUN",C8&lt;&gt;"")</formula>
    </cfRule>
    <cfRule type="expression" priority="15" aboveAverage="0" equalAverage="0" bottom="0" percent="0" rank="0" text="" dxfId="13">
      <formula>AND($C$5="TMMRUN",C8&lt;&gt;"")</formula>
    </cfRule>
  </conditionalFormatting>
  <conditionalFormatting sqref="B25:B36">
    <cfRule type="expression" priority="16" aboveAverage="0" equalAverage="0" bottom="0" percent="0" rank="0" text="" dxfId="2">
      <formula>$B25="CDGRUN"</formula>
    </cfRule>
    <cfRule type="expression" priority="17" aboveAverage="0" equalAverage="0" bottom="0" percent="0" rank="0" text="" dxfId="3">
      <formula>$B25="CDGDZA"</formula>
    </cfRule>
    <cfRule type="expression" priority="18" aboveAverage="0" equalAverage="0" bottom="0" percent="0" rank="0" text="" dxfId="4">
      <formula>$B25="BKKRUN"</formula>
    </cfRule>
    <cfRule type="expression" priority="19" aboveAverage="0" equalAverage="0" bottom="0" percent="0" rank="0" text="" dxfId="5">
      <formula>$B25="DZARUN"</formula>
    </cfRule>
    <cfRule type="expression" priority="20" aboveAverage="0" equalAverage="0" bottom="0" percent="0" rank="0" text="" dxfId="6">
      <formula>$B25="MRURUN"</formula>
    </cfRule>
    <cfRule type="expression" priority="21" aboveAverage="0" equalAverage="0" bottom="0" percent="0" rank="0" text="" dxfId="7">
      <formula>$B25="NOSRUN"</formula>
    </cfRule>
    <cfRule type="expression" priority="22" aboveAverage="0" equalAverage="0" bottom="0" percent="0" rank="0" text="" dxfId="8">
      <formula>$B25="RUNTNR"</formula>
    </cfRule>
    <cfRule type="expression" priority="23" aboveAverage="0" equalAverage="0" bottom="0" percent="0" rank="0" text="" dxfId="9">
      <formula>$B25="JNBRUN"</formula>
    </cfRule>
    <cfRule type="expression" priority="24" aboveAverage="0" equalAverage="0" bottom="0" percent="0" rank="0" text="" dxfId="10">
      <formula>$B25="CPTRUN"</formula>
    </cfRule>
    <cfRule type="expression" priority="25" aboveAverage="0" equalAverage="0" bottom="0" percent="0" rank="0" text="" dxfId="11">
      <formula>$B25="DIERUN"</formula>
    </cfRule>
    <cfRule type="expression" priority="26" aboveAverage="0" equalAverage="0" bottom="0" percent="0" rank="0" text="" dxfId="12">
      <formula>$B25="RRGRUN"</formula>
    </cfRule>
    <cfRule type="expression" priority="27" aboveAverage="0" equalAverage="0" bottom="0" percent="0" rank="0" text="" dxfId="13">
      <formula>$B25="TMMRUN"</formula>
    </cfRule>
  </conditionalFormatting>
  <dataValidations count="2">
    <dataValidation allowBlank="false" errorStyle="stop" operator="between" showDropDown="false" showErrorMessage="false" showInputMessage="false" sqref="C4" type="list">
      <formula1>$AB$4:$AB$15</formula1>
      <formula2>0</formula2>
    </dataValidation>
    <dataValidation allowBlank="false" errorStyle="stop" operator="between" showDropDown="false" showErrorMessage="false" showInputMessage="false" sqref="C5" type="list">
      <formula1>$AE$4:$AE$15</formula1>
      <formula2>0</formula2>
    </dataValidation>
  </dataValidations>
  <hyperlinks>
    <hyperlink ref="E5" location="'Saisie programme'!A1" display="&gt;&gt; Aller a la saisie du programme"/>
    <hyperlink ref="G5" location="'Vols additionnels'!A1" display="&gt;&gt; Aller aux vols additionne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4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10" min="4" style="0" width="13"/>
    <col collapsed="false" customWidth="true" hidden="false" outlineLevel="0" max="12" min="11" style="0" width="14"/>
  </cols>
  <sheetData>
    <row r="1" customFormat="false" ht="30" hidden="false" customHeight="true" outlineLevel="0" collapsed="false">
      <c r="B1" s="48" t="s">
        <v>173</v>
      </c>
      <c r="C1" s="48"/>
      <c r="D1" s="48"/>
      <c r="E1" s="48"/>
      <c r="F1" s="48"/>
      <c r="G1" s="48"/>
      <c r="H1" s="48"/>
      <c r="I1" s="48"/>
      <c r="J1" s="48"/>
      <c r="K1" s="48"/>
      <c r="L1" s="48"/>
    </row>
    <row r="2" customFormat="false" ht="55.5" hidden="false" customHeight="true" outlineLevel="0" collapsed="false">
      <c r="B2" s="49" t="s">
        <v>174</v>
      </c>
      <c r="C2" s="49"/>
      <c r="D2" s="49"/>
      <c r="E2" s="49"/>
      <c r="F2" s="49"/>
      <c r="G2" s="49"/>
      <c r="H2" s="49"/>
      <c r="I2" s="49"/>
      <c r="J2" s="49"/>
      <c r="K2" s="49"/>
      <c r="L2" s="49"/>
    </row>
    <row r="3" customFormat="false" ht="15" hidden="false" customHeight="false" outlineLevel="0" collapsed="false">
      <c r="B3" s="49"/>
      <c r="C3" s="49"/>
      <c r="D3" s="49"/>
      <c r="E3" s="49"/>
      <c r="F3" s="49"/>
      <c r="G3" s="49"/>
      <c r="H3" s="49"/>
      <c r="I3" s="49"/>
      <c r="J3" s="49"/>
      <c r="K3" s="49"/>
      <c r="L3" s="49"/>
    </row>
    <row r="4" customFormat="false" ht="15" hidden="false" customHeight="false" outlineLevel="0" collapsed="false">
      <c r="B4" s="49"/>
      <c r="C4" s="49"/>
      <c r="D4" s="49"/>
      <c r="E4" s="49"/>
      <c r="F4" s="49"/>
      <c r="G4" s="49"/>
      <c r="H4" s="49"/>
      <c r="I4" s="49"/>
      <c r="J4" s="49"/>
      <c r="K4" s="49"/>
      <c r="L4" s="49"/>
    </row>
    <row r="6" customFormat="false" ht="15" hidden="false" customHeight="false" outlineLevel="0" collapsed="false">
      <c r="B6" s="50" t="s">
        <v>175</v>
      </c>
      <c r="C6" s="51" t="str">
        <f aca="false">'Programme de vols'!$C$4</f>
        <v>avril 2027</v>
      </c>
      <c r="D6" s="51"/>
      <c r="E6" s="13" t="s">
        <v>176</v>
      </c>
    </row>
    <row r="8" customFormat="false" ht="15" hidden="false" customHeight="false" outlineLevel="0" collapsed="false">
      <c r="B8" s="52" t="s">
        <v>177</v>
      </c>
      <c r="C8" s="53" t="s">
        <v>8</v>
      </c>
      <c r="D8" s="53" t="s">
        <v>18</v>
      </c>
      <c r="E8" s="53" t="s">
        <v>23</v>
      </c>
      <c r="F8" s="53" t="s">
        <v>35</v>
      </c>
      <c r="G8" s="53" t="s">
        <v>39</v>
      </c>
      <c r="H8" s="53" t="s">
        <v>42</v>
      </c>
    </row>
    <row r="9" customFormat="false" ht="15" hidden="false" customHeight="false" outlineLevel="0" collapsed="false">
      <c r="B9" s="54" t="s">
        <v>178</v>
      </c>
      <c r="C9" s="53" t="s">
        <v>45</v>
      </c>
      <c r="D9" s="53" t="s">
        <v>48</v>
      </c>
      <c r="E9" s="53" t="s">
        <v>52</v>
      </c>
      <c r="F9" s="53" t="s">
        <v>55</v>
      </c>
      <c r="G9" s="53" t="s">
        <v>58</v>
      </c>
      <c r="H9" s="53" t="s">
        <v>61</v>
      </c>
    </row>
    <row r="11" customFormat="false" ht="19.5" hidden="false" customHeight="true" outlineLevel="0" collapsed="false">
      <c r="B11" s="55" t="str">
        <f aca="false">"TABLEAU 1/12  -  PROGRAMME DE AVRIL 2027"&amp;IF($C$6="avril 2027","          &lt;&lt;&lt; MOIS ACTUELLEMENT FILTRE","")</f>
        <v>TABLEAU 1/12  -  PROGRAMME DE AVRIL 2027          &lt;&lt;&lt; MOIS ACTUELLEMENT FILTRE</v>
      </c>
      <c r="C11" s="55"/>
      <c r="D11" s="55"/>
      <c r="E11" s="55"/>
      <c r="F11" s="55"/>
      <c r="G11" s="55"/>
      <c r="H11" s="55"/>
      <c r="I11" s="55"/>
      <c r="J11" s="55"/>
      <c r="L11" s="56" t="s">
        <v>179</v>
      </c>
    </row>
    <row r="12" customFormat="false" ht="25.5" hidden="false" customHeight="true" outlineLevel="0" collapsed="false">
      <c r="B12" s="57" t="s">
        <v>84</v>
      </c>
      <c r="C12" s="57" t="s">
        <v>180</v>
      </c>
      <c r="D12" s="57" t="s">
        <v>27</v>
      </c>
      <c r="E12" s="57" t="s">
        <v>28</v>
      </c>
      <c r="F12" s="57" t="s">
        <v>29</v>
      </c>
      <c r="G12" s="57" t="s">
        <v>30</v>
      </c>
      <c r="H12" s="57" t="s">
        <v>31</v>
      </c>
      <c r="I12" s="57" t="s">
        <v>32</v>
      </c>
      <c r="J12" s="57" t="s">
        <v>33</v>
      </c>
      <c r="K12" s="57" t="s">
        <v>181</v>
      </c>
      <c r="L12" s="57" t="s">
        <v>182</v>
      </c>
    </row>
    <row r="13" customFormat="false" ht="15" hidden="false" customHeight="false" outlineLevel="0" collapsed="false">
      <c r="B13" s="58" t="s">
        <v>12</v>
      </c>
      <c r="C13" s="59" t="s">
        <v>11</v>
      </c>
      <c r="D13" s="60" t="s">
        <v>183</v>
      </c>
      <c r="E13" s="60" t="s">
        <v>183</v>
      </c>
      <c r="F13" s="60" t="s">
        <v>183</v>
      </c>
      <c r="G13" s="60" t="s">
        <v>183</v>
      </c>
      <c r="H13" s="60" t="s">
        <v>183</v>
      </c>
      <c r="I13" s="60" t="s">
        <v>183</v>
      </c>
      <c r="J13" s="60" t="s">
        <v>183</v>
      </c>
      <c r="K13" s="61" t="n">
        <f aca="false">SUMPRODUCT(LEN(D13:J13))</f>
        <v>7</v>
      </c>
      <c r="L13" s="62" t="n">
        <f aca="false">SUM(K13:K15)</f>
        <v>11</v>
      </c>
    </row>
    <row r="14" customFormat="false" ht="15" hidden="false" customHeight="false" outlineLevel="0" collapsed="false">
      <c r="B14" s="58"/>
      <c r="C14" s="59" t="s">
        <v>19</v>
      </c>
      <c r="D14" s="60" t="s">
        <v>183</v>
      </c>
      <c r="E14" s="60"/>
      <c r="F14" s="60"/>
      <c r="G14" s="60"/>
      <c r="H14" s="60" t="s">
        <v>183</v>
      </c>
      <c r="I14" s="60"/>
      <c r="J14" s="60"/>
      <c r="K14" s="61" t="n">
        <f aca="false">SUMPRODUCT(LEN(D14:J14))</f>
        <v>2</v>
      </c>
      <c r="L14" s="62"/>
    </row>
    <row r="15" customFormat="false" ht="15" hidden="false" customHeight="false" outlineLevel="0" collapsed="false">
      <c r="B15" s="58"/>
      <c r="C15" s="59" t="s">
        <v>24</v>
      </c>
      <c r="D15" s="60" t="s">
        <v>184</v>
      </c>
      <c r="E15" s="60"/>
      <c r="F15" s="60"/>
      <c r="G15" s="60"/>
      <c r="H15" s="60"/>
      <c r="I15" s="60"/>
      <c r="J15" s="60"/>
      <c r="K15" s="61" t="n">
        <f aca="false">SUMPRODUCT(LEN(D15:J15))</f>
        <v>2</v>
      </c>
      <c r="L15" s="62"/>
    </row>
    <row r="16" customFormat="false" ht="15" hidden="false" customHeight="false" outlineLevel="0" collapsed="false">
      <c r="B16" s="63" t="s">
        <v>20</v>
      </c>
      <c r="C16" s="59" t="s">
        <v>11</v>
      </c>
      <c r="D16" s="60"/>
      <c r="E16" s="60"/>
      <c r="F16" s="60"/>
      <c r="G16" s="60"/>
      <c r="H16" s="60"/>
      <c r="I16" s="60"/>
      <c r="J16" s="60" t="s">
        <v>183</v>
      </c>
      <c r="K16" s="61" t="n">
        <f aca="false">SUMPRODUCT(LEN(D16:J16))</f>
        <v>1</v>
      </c>
      <c r="L16" s="62" t="n">
        <f aca="false">SUM(K16:K18)</f>
        <v>3</v>
      </c>
    </row>
    <row r="17" customFormat="false" ht="15" hidden="false" customHeight="false" outlineLevel="0" collapsed="false">
      <c r="B17" s="63"/>
      <c r="C17" s="59" t="s">
        <v>19</v>
      </c>
      <c r="D17" s="60"/>
      <c r="E17" s="60" t="s">
        <v>183</v>
      </c>
      <c r="F17" s="60"/>
      <c r="G17" s="60"/>
      <c r="H17" s="60" t="s">
        <v>183</v>
      </c>
      <c r="I17" s="60"/>
      <c r="J17" s="60"/>
      <c r="K17" s="61" t="n">
        <f aca="false">SUMPRODUCT(LEN(D17:J17))</f>
        <v>2</v>
      </c>
      <c r="L17" s="62"/>
    </row>
    <row r="18" customFormat="false" ht="15" hidden="false" customHeight="false" outlineLevel="0" collapsed="false">
      <c r="B18" s="63"/>
      <c r="C18" s="59" t="s">
        <v>24</v>
      </c>
      <c r="D18" s="60"/>
      <c r="E18" s="60"/>
      <c r="F18" s="60"/>
      <c r="G18" s="60"/>
      <c r="H18" s="60"/>
      <c r="I18" s="60"/>
      <c r="J18" s="60"/>
      <c r="K18" s="61" t="n">
        <f aca="false">SUMPRODUCT(LEN(D18:J18))</f>
        <v>0</v>
      </c>
      <c r="L18" s="62"/>
    </row>
    <row r="19" customFormat="false" ht="15" hidden="false" customHeight="false" outlineLevel="0" collapsed="false">
      <c r="B19" s="64" t="s">
        <v>25</v>
      </c>
      <c r="C19" s="59" t="s">
        <v>11</v>
      </c>
      <c r="D19" s="60"/>
      <c r="E19" s="60"/>
      <c r="F19" s="60"/>
      <c r="G19" s="60"/>
      <c r="H19" s="60"/>
      <c r="I19" s="60"/>
      <c r="J19" s="60"/>
      <c r="K19" s="61" t="n">
        <f aca="false">SUMPRODUCT(LEN(D19:J19))</f>
        <v>0</v>
      </c>
      <c r="L19" s="62" t="n">
        <f aca="false">SUM(K19:K21)</f>
        <v>2</v>
      </c>
    </row>
    <row r="20" customFormat="false" ht="15" hidden="false" customHeight="false" outlineLevel="0" collapsed="false">
      <c r="B20" s="64"/>
      <c r="C20" s="59" t="s">
        <v>19</v>
      </c>
      <c r="D20" s="60"/>
      <c r="E20" s="60"/>
      <c r="F20" s="60" t="s">
        <v>183</v>
      </c>
      <c r="G20" s="60"/>
      <c r="H20" s="60"/>
      <c r="I20" s="60" t="s">
        <v>183</v>
      </c>
      <c r="J20" s="60"/>
      <c r="K20" s="61" t="n">
        <f aca="false">SUMPRODUCT(LEN(D20:J20))</f>
        <v>2</v>
      </c>
      <c r="L20" s="62"/>
    </row>
    <row r="21" customFormat="false" ht="15" hidden="false" customHeight="false" outlineLevel="0" collapsed="false">
      <c r="B21" s="64"/>
      <c r="C21" s="59" t="s">
        <v>24</v>
      </c>
      <c r="D21" s="60"/>
      <c r="E21" s="60"/>
      <c r="F21" s="60"/>
      <c r="G21" s="60"/>
      <c r="H21" s="60"/>
      <c r="I21" s="60"/>
      <c r="J21" s="60"/>
      <c r="K21" s="61" t="n">
        <f aca="false">SUMPRODUCT(LEN(D21:J21))</f>
        <v>0</v>
      </c>
      <c r="L21" s="62"/>
    </row>
    <row r="22" customFormat="false" ht="15" hidden="false" customHeight="false" outlineLevel="0" collapsed="false">
      <c r="B22" s="65" t="s">
        <v>36</v>
      </c>
      <c r="C22" s="59" t="s">
        <v>11</v>
      </c>
      <c r="D22" s="60"/>
      <c r="E22" s="60"/>
      <c r="F22" s="60"/>
      <c r="G22" s="60"/>
      <c r="H22" s="60"/>
      <c r="I22" s="60"/>
      <c r="J22" s="60"/>
      <c r="K22" s="61" t="n">
        <f aca="false">SUMPRODUCT(LEN(D22:J22))</f>
        <v>0</v>
      </c>
      <c r="L22" s="62" t="n">
        <f aca="false">SUM(K22:K24)</f>
        <v>6</v>
      </c>
    </row>
    <row r="23" customFormat="false" ht="15" hidden="false" customHeight="false" outlineLevel="0" collapsed="false">
      <c r="B23" s="65"/>
      <c r="C23" s="59" t="s">
        <v>19</v>
      </c>
      <c r="D23" s="60"/>
      <c r="E23" s="60"/>
      <c r="F23" s="60" t="s">
        <v>185</v>
      </c>
      <c r="G23" s="60"/>
      <c r="H23" s="60"/>
      <c r="I23" s="60"/>
      <c r="J23" s="60"/>
      <c r="K23" s="61" t="n">
        <f aca="false">SUMPRODUCT(LEN(D23:J23))</f>
        <v>1</v>
      </c>
      <c r="L23" s="62"/>
    </row>
    <row r="24" customFormat="false" ht="15" hidden="false" customHeight="false" outlineLevel="0" collapsed="false">
      <c r="B24" s="65"/>
      <c r="C24" s="59" t="s">
        <v>24</v>
      </c>
      <c r="D24" s="60" t="s">
        <v>185</v>
      </c>
      <c r="E24" s="60" t="s">
        <v>185</v>
      </c>
      <c r="F24" s="60" t="s">
        <v>185</v>
      </c>
      <c r="G24" s="60" t="s">
        <v>185</v>
      </c>
      <c r="H24" s="60" t="s">
        <v>185</v>
      </c>
      <c r="I24" s="60"/>
      <c r="J24" s="60"/>
      <c r="K24" s="61" t="n">
        <f aca="false">SUMPRODUCT(LEN(D24:J24))</f>
        <v>5</v>
      </c>
      <c r="L24" s="62"/>
    </row>
    <row r="25" customFormat="false" ht="15" hidden="false" customHeight="false" outlineLevel="0" collapsed="false">
      <c r="B25" s="66" t="s">
        <v>40</v>
      </c>
      <c r="C25" s="59" t="s">
        <v>11</v>
      </c>
      <c r="D25" s="60"/>
      <c r="E25" s="60"/>
      <c r="F25" s="60"/>
      <c r="G25" s="60"/>
      <c r="H25" s="60"/>
      <c r="I25" s="60"/>
      <c r="J25" s="60"/>
      <c r="K25" s="61" t="n">
        <f aca="false">SUMPRODUCT(LEN(D25:J25))</f>
        <v>0</v>
      </c>
      <c r="L25" s="62" t="n">
        <f aca="false">SUM(K25:K27)</f>
        <v>4</v>
      </c>
    </row>
    <row r="26" customFormat="false" ht="15" hidden="false" customHeight="false" outlineLevel="0" collapsed="false">
      <c r="B26" s="66"/>
      <c r="C26" s="59" t="s">
        <v>19</v>
      </c>
      <c r="D26" s="60"/>
      <c r="E26" s="60"/>
      <c r="F26" s="60"/>
      <c r="G26" s="60"/>
      <c r="H26" s="60"/>
      <c r="I26" s="60"/>
      <c r="J26" s="60"/>
      <c r="K26" s="61" t="n">
        <f aca="false">SUMPRODUCT(LEN(D26:J26))</f>
        <v>0</v>
      </c>
      <c r="L26" s="62"/>
    </row>
    <row r="27" customFormat="false" ht="15" hidden="false" customHeight="false" outlineLevel="0" collapsed="false">
      <c r="B27" s="66"/>
      <c r="C27" s="59" t="s">
        <v>24</v>
      </c>
      <c r="D27" s="60" t="s">
        <v>185</v>
      </c>
      <c r="E27" s="60"/>
      <c r="F27" s="60" t="s">
        <v>185</v>
      </c>
      <c r="G27" s="60"/>
      <c r="H27" s="60" t="s">
        <v>185</v>
      </c>
      <c r="I27" s="60"/>
      <c r="J27" s="60" t="s">
        <v>185</v>
      </c>
      <c r="K27" s="61" t="n">
        <f aca="false">SUMPRODUCT(LEN(D27:J27))</f>
        <v>4</v>
      </c>
      <c r="L27" s="62"/>
    </row>
    <row r="28" customFormat="false" ht="15" hidden="false" customHeight="false" outlineLevel="0" collapsed="false">
      <c r="B28" s="67" t="s">
        <v>14</v>
      </c>
      <c r="C28" s="59" t="s">
        <v>11</v>
      </c>
      <c r="D28" s="60"/>
      <c r="E28" s="60"/>
      <c r="F28" s="60"/>
      <c r="G28" s="60"/>
      <c r="H28" s="60"/>
      <c r="I28" s="60"/>
      <c r="J28" s="60"/>
      <c r="K28" s="61" t="n">
        <f aca="false">SUMPRODUCT(LEN(D28:J28))</f>
        <v>0</v>
      </c>
      <c r="L28" s="62" t="n">
        <f aca="false">SUM(K28:K30)</f>
        <v>3</v>
      </c>
    </row>
    <row r="29" customFormat="false" ht="15" hidden="false" customHeight="false" outlineLevel="0" collapsed="false">
      <c r="B29" s="67"/>
      <c r="C29" s="59" t="s">
        <v>19</v>
      </c>
      <c r="D29" s="60"/>
      <c r="E29" s="60"/>
      <c r="F29" s="60"/>
      <c r="G29" s="60"/>
      <c r="H29" s="60"/>
      <c r="I29" s="60"/>
      <c r="J29" s="60"/>
      <c r="K29" s="61" t="n">
        <f aca="false">SUMPRODUCT(LEN(D29:J29))</f>
        <v>0</v>
      </c>
      <c r="L29" s="62"/>
    </row>
    <row r="30" customFormat="false" ht="15" hidden="false" customHeight="false" outlineLevel="0" collapsed="false">
      <c r="B30" s="67"/>
      <c r="C30" s="59" t="s">
        <v>24</v>
      </c>
      <c r="D30" s="60" t="s">
        <v>185</v>
      </c>
      <c r="E30" s="60"/>
      <c r="F30" s="60"/>
      <c r="G30" s="60" t="s">
        <v>185</v>
      </c>
      <c r="H30" s="60"/>
      <c r="I30" s="60" t="s">
        <v>185</v>
      </c>
      <c r="J30" s="60"/>
      <c r="K30" s="61" t="n">
        <f aca="false">SUMPRODUCT(LEN(D30:J30))</f>
        <v>3</v>
      </c>
      <c r="L30" s="62"/>
    </row>
    <row r="31" customFormat="false" ht="15" hidden="false" customHeight="false" outlineLevel="0" collapsed="false">
      <c r="B31" s="68" t="s">
        <v>46</v>
      </c>
      <c r="C31" s="59" t="s">
        <v>11</v>
      </c>
      <c r="D31" s="60"/>
      <c r="E31" s="60"/>
      <c r="F31" s="60"/>
      <c r="G31" s="60"/>
      <c r="H31" s="60"/>
      <c r="I31" s="60"/>
      <c r="J31" s="60"/>
      <c r="K31" s="61" t="n">
        <f aca="false">SUMPRODUCT(LEN(D31:J31))</f>
        <v>0</v>
      </c>
      <c r="L31" s="62" t="n">
        <f aca="false">SUM(K31:K33)</f>
        <v>3</v>
      </c>
    </row>
    <row r="32" customFormat="false" ht="15" hidden="false" customHeight="false" outlineLevel="0" collapsed="false">
      <c r="B32" s="68"/>
      <c r="C32" s="59" t="s">
        <v>19</v>
      </c>
      <c r="D32" s="60"/>
      <c r="E32" s="60"/>
      <c r="F32" s="60"/>
      <c r="G32" s="60"/>
      <c r="H32" s="60"/>
      <c r="I32" s="60"/>
      <c r="J32" s="60"/>
      <c r="K32" s="61" t="n">
        <f aca="false">SUMPRODUCT(LEN(D32:J32))</f>
        <v>0</v>
      </c>
      <c r="L32" s="62"/>
    </row>
    <row r="33" customFormat="false" ht="15" hidden="false" customHeight="false" outlineLevel="0" collapsed="false">
      <c r="B33" s="68"/>
      <c r="C33" s="59" t="s">
        <v>24</v>
      </c>
      <c r="D33" s="60"/>
      <c r="E33" s="60" t="s">
        <v>185</v>
      </c>
      <c r="F33" s="60"/>
      <c r="G33" s="60" t="s">
        <v>185</v>
      </c>
      <c r="H33" s="60"/>
      <c r="I33" s="60" t="s">
        <v>185</v>
      </c>
      <c r="J33" s="60"/>
      <c r="K33" s="61" t="n">
        <f aca="false">SUMPRODUCT(LEN(D33:J33))</f>
        <v>3</v>
      </c>
      <c r="L33" s="62"/>
    </row>
    <row r="34" customFormat="false" ht="15" hidden="false" customHeight="false" outlineLevel="0" collapsed="false">
      <c r="B34" s="69" t="s">
        <v>49</v>
      </c>
      <c r="C34" s="59" t="s">
        <v>11</v>
      </c>
      <c r="D34" s="60"/>
      <c r="E34" s="60"/>
      <c r="F34" s="60"/>
      <c r="G34" s="60"/>
      <c r="H34" s="60"/>
      <c r="I34" s="60"/>
      <c r="J34" s="60"/>
      <c r="K34" s="61" t="n">
        <f aca="false">SUMPRODUCT(LEN(D34:J34))</f>
        <v>0</v>
      </c>
      <c r="L34" s="62" t="n">
        <f aca="false">SUM(K34:K36)</f>
        <v>2</v>
      </c>
    </row>
    <row r="35" customFormat="false" ht="15" hidden="false" customHeight="false" outlineLevel="0" collapsed="false">
      <c r="B35" s="69"/>
      <c r="C35" s="59" t="s">
        <v>19</v>
      </c>
      <c r="D35" s="60" t="s">
        <v>185</v>
      </c>
      <c r="E35" s="60"/>
      <c r="F35" s="60"/>
      <c r="G35" s="60"/>
      <c r="H35" s="60" t="s">
        <v>185</v>
      </c>
      <c r="I35" s="60"/>
      <c r="J35" s="60"/>
      <c r="K35" s="61" t="n">
        <f aca="false">SUMPRODUCT(LEN(D35:J35))</f>
        <v>2</v>
      </c>
      <c r="L35" s="62"/>
    </row>
    <row r="36" customFormat="false" ht="15" hidden="false" customHeight="false" outlineLevel="0" collapsed="false">
      <c r="B36" s="69"/>
      <c r="C36" s="59" t="s">
        <v>24</v>
      </c>
      <c r="D36" s="60"/>
      <c r="E36" s="60"/>
      <c r="F36" s="60"/>
      <c r="G36" s="60"/>
      <c r="H36" s="60"/>
      <c r="I36" s="60"/>
      <c r="J36" s="60"/>
      <c r="K36" s="61" t="n">
        <f aca="false">SUMPRODUCT(LEN(D36:J36))</f>
        <v>0</v>
      </c>
      <c r="L36" s="62"/>
    </row>
    <row r="37" customFormat="false" ht="15" hidden="false" customHeight="false" outlineLevel="0" collapsed="false">
      <c r="B37" s="70" t="s">
        <v>53</v>
      </c>
      <c r="C37" s="59" t="s">
        <v>11</v>
      </c>
      <c r="D37" s="60"/>
      <c r="E37" s="60"/>
      <c r="F37" s="60"/>
      <c r="G37" s="60"/>
      <c r="H37" s="60"/>
      <c r="I37" s="60"/>
      <c r="J37" s="60"/>
      <c r="K37" s="61" t="n">
        <f aca="false">SUMPRODUCT(LEN(D37:J37))</f>
        <v>0</v>
      </c>
      <c r="L37" s="62" t="n">
        <f aca="false">SUM(K37:K39)</f>
        <v>1</v>
      </c>
    </row>
    <row r="38" customFormat="false" ht="15" hidden="false" customHeight="false" outlineLevel="0" collapsed="false">
      <c r="B38" s="70"/>
      <c r="C38" s="59" t="s">
        <v>19</v>
      </c>
      <c r="D38" s="60"/>
      <c r="E38" s="60"/>
      <c r="F38" s="60"/>
      <c r="G38" s="60" t="s">
        <v>185</v>
      </c>
      <c r="H38" s="60"/>
      <c r="I38" s="60"/>
      <c r="J38" s="60"/>
      <c r="K38" s="61" t="n">
        <f aca="false">SUMPRODUCT(LEN(D38:J38))</f>
        <v>1</v>
      </c>
      <c r="L38" s="62"/>
    </row>
    <row r="39" customFormat="false" ht="15" hidden="false" customHeight="false" outlineLevel="0" collapsed="false">
      <c r="B39" s="70"/>
      <c r="C39" s="59" t="s">
        <v>24</v>
      </c>
      <c r="D39" s="60"/>
      <c r="E39" s="60"/>
      <c r="F39" s="60"/>
      <c r="G39" s="60"/>
      <c r="H39" s="60"/>
      <c r="I39" s="60"/>
      <c r="J39" s="60"/>
      <c r="K39" s="61" t="n">
        <f aca="false">SUMPRODUCT(LEN(D39:J39))</f>
        <v>0</v>
      </c>
      <c r="L39" s="62"/>
    </row>
    <row r="40" customFormat="false" ht="15" hidden="false" customHeight="false" outlineLevel="0" collapsed="false">
      <c r="B40" s="71" t="s">
        <v>56</v>
      </c>
      <c r="C40" s="59" t="s">
        <v>11</v>
      </c>
      <c r="D40" s="60"/>
      <c r="E40" s="60"/>
      <c r="F40" s="60"/>
      <c r="G40" s="60"/>
      <c r="H40" s="60"/>
      <c r="I40" s="60"/>
      <c r="J40" s="60"/>
      <c r="K40" s="61" t="n">
        <f aca="false">SUMPRODUCT(LEN(D40:J40))</f>
        <v>0</v>
      </c>
      <c r="L40" s="62" t="n">
        <f aca="false">SUM(K40:K42)</f>
        <v>2</v>
      </c>
    </row>
    <row r="41" customFormat="false" ht="15" hidden="false" customHeight="false" outlineLevel="0" collapsed="false">
      <c r="B41" s="71"/>
      <c r="C41" s="59" t="s">
        <v>19</v>
      </c>
      <c r="D41" s="60"/>
      <c r="E41" s="60"/>
      <c r="F41" s="60"/>
      <c r="G41" s="60"/>
      <c r="H41" s="60"/>
      <c r="I41" s="60"/>
      <c r="J41" s="60"/>
      <c r="K41" s="61" t="n">
        <f aca="false">SUMPRODUCT(LEN(D41:J41))</f>
        <v>0</v>
      </c>
      <c r="L41" s="62"/>
    </row>
    <row r="42" customFormat="false" ht="15" hidden="false" customHeight="false" outlineLevel="0" collapsed="false">
      <c r="B42" s="71"/>
      <c r="C42" s="59" t="s">
        <v>24</v>
      </c>
      <c r="D42" s="60"/>
      <c r="E42" s="60" t="s">
        <v>185</v>
      </c>
      <c r="F42" s="60"/>
      <c r="G42" s="60"/>
      <c r="H42" s="60"/>
      <c r="I42" s="60" t="s">
        <v>185</v>
      </c>
      <c r="J42" s="60"/>
      <c r="K42" s="61" t="n">
        <f aca="false">SUMPRODUCT(LEN(D42:J42))</f>
        <v>2</v>
      </c>
      <c r="L42" s="62"/>
    </row>
    <row r="43" customFormat="false" ht="15" hidden="false" customHeight="false" outlineLevel="0" collapsed="false">
      <c r="B43" s="72" t="s">
        <v>59</v>
      </c>
      <c r="C43" s="59" t="s">
        <v>11</v>
      </c>
      <c r="D43" s="60"/>
      <c r="E43" s="60"/>
      <c r="F43" s="60"/>
      <c r="G43" s="60"/>
      <c r="H43" s="60"/>
      <c r="I43" s="60"/>
      <c r="J43" s="60"/>
      <c r="K43" s="61" t="n">
        <f aca="false">SUMPRODUCT(LEN(D43:J43))</f>
        <v>0</v>
      </c>
      <c r="L43" s="62" t="n">
        <f aca="false">SUM(K43:K45)</f>
        <v>7</v>
      </c>
    </row>
    <row r="44" customFormat="false" ht="15" hidden="false" customHeight="false" outlineLevel="0" collapsed="false">
      <c r="B44" s="72"/>
      <c r="C44" s="59" t="s">
        <v>19</v>
      </c>
      <c r="D44" s="60"/>
      <c r="E44" s="60"/>
      <c r="F44" s="60"/>
      <c r="G44" s="60"/>
      <c r="H44" s="60"/>
      <c r="I44" s="60"/>
      <c r="J44" s="60"/>
      <c r="K44" s="61" t="n">
        <f aca="false">SUMPRODUCT(LEN(D44:J44))</f>
        <v>0</v>
      </c>
      <c r="L44" s="62"/>
    </row>
    <row r="45" customFormat="false" ht="15" hidden="false" customHeight="false" outlineLevel="0" collapsed="false">
      <c r="B45" s="72"/>
      <c r="C45" s="59" t="s">
        <v>24</v>
      </c>
      <c r="D45" s="60" t="s">
        <v>185</v>
      </c>
      <c r="E45" s="60" t="s">
        <v>185</v>
      </c>
      <c r="F45" s="60" t="s">
        <v>185</v>
      </c>
      <c r="G45" s="60" t="s">
        <v>186</v>
      </c>
      <c r="H45" s="60" t="s">
        <v>185</v>
      </c>
      <c r="I45" s="60" t="s">
        <v>185</v>
      </c>
      <c r="J45" s="60"/>
      <c r="K45" s="61" t="n">
        <f aca="false">SUMPRODUCT(LEN(D45:J45))</f>
        <v>7</v>
      </c>
      <c r="L45" s="62"/>
    </row>
    <row r="46" customFormat="false" ht="15" hidden="false" customHeight="false" outlineLevel="0" collapsed="false">
      <c r="B46" s="73" t="s">
        <v>62</v>
      </c>
      <c r="C46" s="59" t="s">
        <v>11</v>
      </c>
      <c r="D46" s="60"/>
      <c r="E46" s="60"/>
      <c r="F46" s="60"/>
      <c r="G46" s="60"/>
      <c r="H46" s="60"/>
      <c r="I46" s="60"/>
      <c r="J46" s="60"/>
      <c r="K46" s="61" t="n">
        <f aca="false">SUMPRODUCT(LEN(D46:J46))</f>
        <v>0</v>
      </c>
      <c r="L46" s="62" t="n">
        <f aca="false">SUM(K46:K48)</f>
        <v>2</v>
      </c>
    </row>
    <row r="47" customFormat="false" ht="15" hidden="false" customHeight="false" outlineLevel="0" collapsed="false">
      <c r="B47" s="73"/>
      <c r="C47" s="59" t="s">
        <v>19</v>
      </c>
      <c r="D47" s="60"/>
      <c r="E47" s="60"/>
      <c r="F47" s="60"/>
      <c r="G47" s="60"/>
      <c r="H47" s="60"/>
      <c r="I47" s="60"/>
      <c r="J47" s="60"/>
      <c r="K47" s="61" t="n">
        <f aca="false">SUMPRODUCT(LEN(D47:J47))</f>
        <v>0</v>
      </c>
      <c r="L47" s="62"/>
    </row>
    <row r="48" customFormat="false" ht="15" hidden="false" customHeight="false" outlineLevel="0" collapsed="false">
      <c r="B48" s="73"/>
      <c r="C48" s="59" t="s">
        <v>24</v>
      </c>
      <c r="D48" s="60"/>
      <c r="E48" s="60"/>
      <c r="F48" s="60" t="s">
        <v>185</v>
      </c>
      <c r="G48" s="60"/>
      <c r="H48" s="60"/>
      <c r="I48" s="60"/>
      <c r="J48" s="60" t="s">
        <v>185</v>
      </c>
      <c r="K48" s="61" t="n">
        <f aca="false">SUMPRODUCT(LEN(D48:J48))</f>
        <v>2</v>
      </c>
      <c r="L48" s="62"/>
    </row>
    <row r="50" customFormat="false" ht="19.5" hidden="false" customHeight="true" outlineLevel="0" collapsed="false">
      <c r="B50" s="55" t="str">
        <f aca="false">"TABLEAU 2/12  -  PROGRAMME DE MAI 2027"&amp;IF($C$6="mai 2027","          &lt;&lt;&lt; MOIS ACTUELLEMENT FILTRE","")</f>
        <v>TABLEAU 2/12  -  PROGRAMME DE MAI 2027</v>
      </c>
      <c r="C50" s="55"/>
      <c r="D50" s="55"/>
      <c r="E50" s="55"/>
      <c r="F50" s="55"/>
      <c r="G50" s="55"/>
      <c r="H50" s="55"/>
      <c r="I50" s="55"/>
      <c r="J50" s="55"/>
      <c r="L50" s="56" t="s">
        <v>179</v>
      </c>
    </row>
    <row r="51" customFormat="false" ht="25.5" hidden="false" customHeight="true" outlineLevel="0" collapsed="false">
      <c r="B51" s="57" t="s">
        <v>84</v>
      </c>
      <c r="C51" s="57" t="s">
        <v>180</v>
      </c>
      <c r="D51" s="57" t="s">
        <v>27</v>
      </c>
      <c r="E51" s="57" t="s">
        <v>28</v>
      </c>
      <c r="F51" s="57" t="s">
        <v>29</v>
      </c>
      <c r="G51" s="57" t="s">
        <v>30</v>
      </c>
      <c r="H51" s="57" t="s">
        <v>31</v>
      </c>
      <c r="I51" s="57" t="s">
        <v>32</v>
      </c>
      <c r="J51" s="57" t="s">
        <v>33</v>
      </c>
      <c r="K51" s="57" t="s">
        <v>181</v>
      </c>
      <c r="L51" s="57" t="s">
        <v>182</v>
      </c>
    </row>
    <row r="52" customFormat="false" ht="15" hidden="false" customHeight="false" outlineLevel="0" collapsed="false">
      <c r="B52" s="58" t="s">
        <v>12</v>
      </c>
      <c r="C52" s="59" t="s">
        <v>11</v>
      </c>
      <c r="D52" s="60" t="s">
        <v>183</v>
      </c>
      <c r="E52" s="60" t="s">
        <v>183</v>
      </c>
      <c r="F52" s="60" t="s">
        <v>183</v>
      </c>
      <c r="G52" s="60" t="s">
        <v>183</v>
      </c>
      <c r="H52" s="60" t="s">
        <v>183</v>
      </c>
      <c r="I52" s="60" t="s">
        <v>183</v>
      </c>
      <c r="J52" s="60" t="s">
        <v>183</v>
      </c>
      <c r="K52" s="61" t="n">
        <f aca="false">SUMPRODUCT(LEN(D52:J52))</f>
        <v>7</v>
      </c>
      <c r="L52" s="62" t="n">
        <f aca="false">SUM(K52:K54)</f>
        <v>11</v>
      </c>
    </row>
    <row r="53" customFormat="false" ht="15" hidden="false" customHeight="false" outlineLevel="0" collapsed="false">
      <c r="B53" s="58"/>
      <c r="C53" s="59" t="s">
        <v>19</v>
      </c>
      <c r="D53" s="60" t="s">
        <v>183</v>
      </c>
      <c r="E53" s="60"/>
      <c r="F53" s="60"/>
      <c r="G53" s="60"/>
      <c r="H53" s="60" t="s">
        <v>183</v>
      </c>
      <c r="I53" s="60"/>
      <c r="J53" s="60"/>
      <c r="K53" s="61" t="n">
        <f aca="false">SUMPRODUCT(LEN(D53:J53))</f>
        <v>2</v>
      </c>
      <c r="L53" s="62"/>
    </row>
    <row r="54" customFormat="false" ht="15" hidden="false" customHeight="false" outlineLevel="0" collapsed="false">
      <c r="B54" s="58"/>
      <c r="C54" s="59" t="s">
        <v>24</v>
      </c>
      <c r="D54" s="60" t="s">
        <v>184</v>
      </c>
      <c r="E54" s="60"/>
      <c r="F54" s="60"/>
      <c r="G54" s="60"/>
      <c r="H54" s="60"/>
      <c r="I54" s="60"/>
      <c r="J54" s="60"/>
      <c r="K54" s="61" t="n">
        <f aca="false">SUMPRODUCT(LEN(D54:J54))</f>
        <v>2</v>
      </c>
      <c r="L54" s="62"/>
    </row>
    <row r="55" customFormat="false" ht="15" hidden="false" customHeight="false" outlineLevel="0" collapsed="false">
      <c r="B55" s="63" t="s">
        <v>20</v>
      </c>
      <c r="C55" s="59" t="s">
        <v>11</v>
      </c>
      <c r="D55" s="60"/>
      <c r="E55" s="60"/>
      <c r="F55" s="60"/>
      <c r="G55" s="60"/>
      <c r="H55" s="60"/>
      <c r="I55" s="60"/>
      <c r="J55" s="60" t="s">
        <v>183</v>
      </c>
      <c r="K55" s="61" t="n">
        <f aca="false">SUMPRODUCT(LEN(D55:J55))</f>
        <v>1</v>
      </c>
      <c r="L55" s="62" t="n">
        <f aca="false">SUM(K55:K57)</f>
        <v>3</v>
      </c>
    </row>
    <row r="56" customFormat="false" ht="15" hidden="false" customHeight="false" outlineLevel="0" collapsed="false">
      <c r="B56" s="63"/>
      <c r="C56" s="59" t="s">
        <v>19</v>
      </c>
      <c r="D56" s="60"/>
      <c r="E56" s="60" t="s">
        <v>183</v>
      </c>
      <c r="F56" s="60"/>
      <c r="G56" s="60"/>
      <c r="H56" s="60" t="s">
        <v>183</v>
      </c>
      <c r="I56" s="60"/>
      <c r="J56" s="60"/>
      <c r="K56" s="61" t="n">
        <f aca="false">SUMPRODUCT(LEN(D56:J56))</f>
        <v>2</v>
      </c>
      <c r="L56" s="62"/>
    </row>
    <row r="57" customFormat="false" ht="15" hidden="false" customHeight="false" outlineLevel="0" collapsed="false">
      <c r="B57" s="63"/>
      <c r="C57" s="59" t="s">
        <v>24</v>
      </c>
      <c r="D57" s="60"/>
      <c r="E57" s="60"/>
      <c r="F57" s="60"/>
      <c r="G57" s="60"/>
      <c r="H57" s="60"/>
      <c r="I57" s="60"/>
      <c r="J57" s="60"/>
      <c r="K57" s="61" t="n">
        <f aca="false">SUMPRODUCT(LEN(D57:J57))</f>
        <v>0</v>
      </c>
      <c r="L57" s="62"/>
    </row>
    <row r="58" customFormat="false" ht="15" hidden="false" customHeight="false" outlineLevel="0" collapsed="false">
      <c r="B58" s="64" t="s">
        <v>25</v>
      </c>
      <c r="C58" s="59" t="s">
        <v>11</v>
      </c>
      <c r="D58" s="60"/>
      <c r="E58" s="60"/>
      <c r="F58" s="60"/>
      <c r="G58" s="60"/>
      <c r="H58" s="60"/>
      <c r="I58" s="60"/>
      <c r="J58" s="60"/>
      <c r="K58" s="61" t="n">
        <f aca="false">SUMPRODUCT(LEN(D58:J58))</f>
        <v>0</v>
      </c>
      <c r="L58" s="62" t="n">
        <f aca="false">SUM(K58:K60)</f>
        <v>2</v>
      </c>
    </row>
    <row r="59" customFormat="false" ht="15" hidden="false" customHeight="false" outlineLevel="0" collapsed="false">
      <c r="B59" s="64"/>
      <c r="C59" s="59" t="s">
        <v>19</v>
      </c>
      <c r="D59" s="60"/>
      <c r="E59" s="60"/>
      <c r="F59" s="60" t="s">
        <v>183</v>
      </c>
      <c r="G59" s="60"/>
      <c r="H59" s="60"/>
      <c r="I59" s="60" t="s">
        <v>183</v>
      </c>
      <c r="J59" s="60"/>
      <c r="K59" s="61" t="n">
        <f aca="false">SUMPRODUCT(LEN(D59:J59))</f>
        <v>2</v>
      </c>
      <c r="L59" s="62"/>
    </row>
    <row r="60" customFormat="false" ht="15" hidden="false" customHeight="false" outlineLevel="0" collapsed="false">
      <c r="B60" s="64"/>
      <c r="C60" s="59" t="s">
        <v>24</v>
      </c>
      <c r="D60" s="60"/>
      <c r="E60" s="60"/>
      <c r="F60" s="60"/>
      <c r="G60" s="60"/>
      <c r="H60" s="60"/>
      <c r="I60" s="60"/>
      <c r="J60" s="60"/>
      <c r="K60" s="61" t="n">
        <f aca="false">SUMPRODUCT(LEN(D60:J60))</f>
        <v>0</v>
      </c>
      <c r="L60" s="62"/>
    </row>
    <row r="61" customFormat="false" ht="15" hidden="false" customHeight="false" outlineLevel="0" collapsed="false">
      <c r="B61" s="65" t="s">
        <v>36</v>
      </c>
      <c r="C61" s="59" t="s">
        <v>11</v>
      </c>
      <c r="D61" s="60"/>
      <c r="E61" s="60"/>
      <c r="F61" s="60"/>
      <c r="G61" s="60"/>
      <c r="H61" s="60"/>
      <c r="I61" s="60"/>
      <c r="J61" s="60"/>
      <c r="K61" s="61" t="n">
        <f aca="false">SUMPRODUCT(LEN(D61:J61))</f>
        <v>0</v>
      </c>
      <c r="L61" s="62" t="n">
        <f aca="false">SUM(K61:K63)</f>
        <v>6</v>
      </c>
    </row>
    <row r="62" customFormat="false" ht="15" hidden="false" customHeight="false" outlineLevel="0" collapsed="false">
      <c r="B62" s="65"/>
      <c r="C62" s="59" t="s">
        <v>19</v>
      </c>
      <c r="D62" s="60"/>
      <c r="E62" s="60"/>
      <c r="F62" s="60" t="s">
        <v>185</v>
      </c>
      <c r="G62" s="60"/>
      <c r="H62" s="60"/>
      <c r="I62" s="60"/>
      <c r="J62" s="60"/>
      <c r="K62" s="61" t="n">
        <f aca="false">SUMPRODUCT(LEN(D62:J62))</f>
        <v>1</v>
      </c>
      <c r="L62" s="62"/>
    </row>
    <row r="63" customFormat="false" ht="15" hidden="false" customHeight="false" outlineLevel="0" collapsed="false">
      <c r="B63" s="65"/>
      <c r="C63" s="59" t="s">
        <v>24</v>
      </c>
      <c r="D63" s="60" t="s">
        <v>185</v>
      </c>
      <c r="E63" s="60" t="s">
        <v>185</v>
      </c>
      <c r="F63" s="60" t="s">
        <v>185</v>
      </c>
      <c r="G63" s="60" t="s">
        <v>185</v>
      </c>
      <c r="H63" s="60" t="s">
        <v>185</v>
      </c>
      <c r="I63" s="60"/>
      <c r="J63" s="60"/>
      <c r="K63" s="61" t="n">
        <f aca="false">SUMPRODUCT(LEN(D63:J63))</f>
        <v>5</v>
      </c>
      <c r="L63" s="62"/>
    </row>
    <row r="64" customFormat="false" ht="15" hidden="false" customHeight="false" outlineLevel="0" collapsed="false">
      <c r="B64" s="66" t="s">
        <v>40</v>
      </c>
      <c r="C64" s="59" t="s">
        <v>11</v>
      </c>
      <c r="D64" s="60"/>
      <c r="E64" s="60"/>
      <c r="F64" s="60"/>
      <c r="G64" s="60"/>
      <c r="H64" s="60"/>
      <c r="I64" s="60"/>
      <c r="J64" s="60"/>
      <c r="K64" s="61" t="n">
        <f aca="false">SUMPRODUCT(LEN(D64:J64))</f>
        <v>0</v>
      </c>
      <c r="L64" s="62" t="n">
        <f aca="false">SUM(K64:K66)</f>
        <v>4</v>
      </c>
    </row>
    <row r="65" customFormat="false" ht="15" hidden="false" customHeight="false" outlineLevel="0" collapsed="false">
      <c r="B65" s="66"/>
      <c r="C65" s="59" t="s">
        <v>19</v>
      </c>
      <c r="D65" s="60"/>
      <c r="E65" s="60"/>
      <c r="F65" s="60"/>
      <c r="G65" s="60"/>
      <c r="H65" s="60"/>
      <c r="I65" s="60"/>
      <c r="J65" s="60"/>
      <c r="K65" s="61" t="n">
        <f aca="false">SUMPRODUCT(LEN(D65:J65))</f>
        <v>0</v>
      </c>
      <c r="L65" s="62"/>
    </row>
    <row r="66" customFormat="false" ht="15" hidden="false" customHeight="false" outlineLevel="0" collapsed="false">
      <c r="B66" s="66"/>
      <c r="C66" s="59" t="s">
        <v>24</v>
      </c>
      <c r="D66" s="60" t="s">
        <v>185</v>
      </c>
      <c r="E66" s="60"/>
      <c r="F66" s="60" t="s">
        <v>185</v>
      </c>
      <c r="G66" s="60"/>
      <c r="H66" s="60" t="s">
        <v>185</v>
      </c>
      <c r="I66" s="60"/>
      <c r="J66" s="60" t="s">
        <v>185</v>
      </c>
      <c r="K66" s="61" t="n">
        <f aca="false">SUMPRODUCT(LEN(D66:J66))</f>
        <v>4</v>
      </c>
      <c r="L66" s="62"/>
    </row>
    <row r="67" customFormat="false" ht="15" hidden="false" customHeight="false" outlineLevel="0" collapsed="false">
      <c r="B67" s="67" t="s">
        <v>14</v>
      </c>
      <c r="C67" s="59" t="s">
        <v>11</v>
      </c>
      <c r="D67" s="60"/>
      <c r="E67" s="60"/>
      <c r="F67" s="60"/>
      <c r="G67" s="60"/>
      <c r="H67" s="60"/>
      <c r="I67" s="60"/>
      <c r="J67" s="60"/>
      <c r="K67" s="61" t="n">
        <f aca="false">SUMPRODUCT(LEN(D67:J67))</f>
        <v>0</v>
      </c>
      <c r="L67" s="62" t="n">
        <f aca="false">SUM(K67:K69)</f>
        <v>3</v>
      </c>
    </row>
    <row r="68" customFormat="false" ht="15" hidden="false" customHeight="false" outlineLevel="0" collapsed="false">
      <c r="B68" s="67"/>
      <c r="C68" s="59" t="s">
        <v>19</v>
      </c>
      <c r="D68" s="60"/>
      <c r="E68" s="60"/>
      <c r="F68" s="60"/>
      <c r="G68" s="60"/>
      <c r="H68" s="60"/>
      <c r="I68" s="60"/>
      <c r="J68" s="60"/>
      <c r="K68" s="61" t="n">
        <f aca="false">SUMPRODUCT(LEN(D68:J68))</f>
        <v>0</v>
      </c>
      <c r="L68" s="62"/>
    </row>
    <row r="69" customFormat="false" ht="15" hidden="false" customHeight="false" outlineLevel="0" collapsed="false">
      <c r="B69" s="67"/>
      <c r="C69" s="59" t="s">
        <v>24</v>
      </c>
      <c r="D69" s="60" t="s">
        <v>185</v>
      </c>
      <c r="E69" s="60"/>
      <c r="F69" s="60"/>
      <c r="G69" s="60" t="s">
        <v>185</v>
      </c>
      <c r="H69" s="60"/>
      <c r="I69" s="60" t="s">
        <v>185</v>
      </c>
      <c r="J69" s="60"/>
      <c r="K69" s="61" t="n">
        <f aca="false">SUMPRODUCT(LEN(D69:J69))</f>
        <v>3</v>
      </c>
      <c r="L69" s="62"/>
    </row>
    <row r="70" customFormat="false" ht="15" hidden="false" customHeight="false" outlineLevel="0" collapsed="false">
      <c r="B70" s="68" t="s">
        <v>46</v>
      </c>
      <c r="C70" s="59" t="s">
        <v>11</v>
      </c>
      <c r="D70" s="60"/>
      <c r="E70" s="60"/>
      <c r="F70" s="60"/>
      <c r="G70" s="60"/>
      <c r="H70" s="60"/>
      <c r="I70" s="60"/>
      <c r="J70" s="60"/>
      <c r="K70" s="61" t="n">
        <f aca="false">SUMPRODUCT(LEN(D70:J70))</f>
        <v>0</v>
      </c>
      <c r="L70" s="62" t="n">
        <f aca="false">SUM(K70:K72)</f>
        <v>3</v>
      </c>
    </row>
    <row r="71" customFormat="false" ht="15" hidden="false" customHeight="false" outlineLevel="0" collapsed="false">
      <c r="B71" s="68"/>
      <c r="C71" s="59" t="s">
        <v>19</v>
      </c>
      <c r="D71" s="60"/>
      <c r="E71" s="60"/>
      <c r="F71" s="60"/>
      <c r="G71" s="60"/>
      <c r="H71" s="60"/>
      <c r="I71" s="60"/>
      <c r="J71" s="60"/>
      <c r="K71" s="61" t="n">
        <f aca="false">SUMPRODUCT(LEN(D71:J71))</f>
        <v>0</v>
      </c>
      <c r="L71" s="62"/>
    </row>
    <row r="72" customFormat="false" ht="15" hidden="false" customHeight="false" outlineLevel="0" collapsed="false">
      <c r="B72" s="68"/>
      <c r="C72" s="59" t="s">
        <v>24</v>
      </c>
      <c r="D72" s="60"/>
      <c r="E72" s="60" t="s">
        <v>185</v>
      </c>
      <c r="F72" s="60"/>
      <c r="G72" s="60" t="s">
        <v>185</v>
      </c>
      <c r="H72" s="60"/>
      <c r="I72" s="60" t="s">
        <v>185</v>
      </c>
      <c r="J72" s="60"/>
      <c r="K72" s="61" t="n">
        <f aca="false">SUMPRODUCT(LEN(D72:J72))</f>
        <v>3</v>
      </c>
      <c r="L72" s="62"/>
    </row>
    <row r="73" customFormat="false" ht="15" hidden="false" customHeight="false" outlineLevel="0" collapsed="false">
      <c r="B73" s="69" t="s">
        <v>49</v>
      </c>
      <c r="C73" s="59" t="s">
        <v>11</v>
      </c>
      <c r="D73" s="60"/>
      <c r="E73" s="60"/>
      <c r="F73" s="60"/>
      <c r="G73" s="60"/>
      <c r="H73" s="60"/>
      <c r="I73" s="60"/>
      <c r="J73" s="60"/>
      <c r="K73" s="61" t="n">
        <f aca="false">SUMPRODUCT(LEN(D73:J73))</f>
        <v>0</v>
      </c>
      <c r="L73" s="62" t="n">
        <f aca="false">SUM(K73:K75)</f>
        <v>2</v>
      </c>
    </row>
    <row r="74" customFormat="false" ht="15" hidden="false" customHeight="false" outlineLevel="0" collapsed="false">
      <c r="B74" s="69"/>
      <c r="C74" s="59" t="s">
        <v>19</v>
      </c>
      <c r="D74" s="60" t="s">
        <v>185</v>
      </c>
      <c r="E74" s="60"/>
      <c r="F74" s="60"/>
      <c r="G74" s="60"/>
      <c r="H74" s="60" t="s">
        <v>185</v>
      </c>
      <c r="I74" s="60"/>
      <c r="J74" s="60"/>
      <c r="K74" s="61" t="n">
        <f aca="false">SUMPRODUCT(LEN(D74:J74))</f>
        <v>2</v>
      </c>
      <c r="L74" s="62"/>
    </row>
    <row r="75" customFormat="false" ht="15" hidden="false" customHeight="false" outlineLevel="0" collapsed="false">
      <c r="B75" s="69"/>
      <c r="C75" s="59" t="s">
        <v>24</v>
      </c>
      <c r="D75" s="60"/>
      <c r="E75" s="60"/>
      <c r="F75" s="60"/>
      <c r="G75" s="60"/>
      <c r="H75" s="60"/>
      <c r="I75" s="60"/>
      <c r="J75" s="60"/>
      <c r="K75" s="61" t="n">
        <f aca="false">SUMPRODUCT(LEN(D75:J75))</f>
        <v>0</v>
      </c>
      <c r="L75" s="62"/>
    </row>
    <row r="76" customFormat="false" ht="15" hidden="false" customHeight="false" outlineLevel="0" collapsed="false">
      <c r="B76" s="70" t="s">
        <v>53</v>
      </c>
      <c r="C76" s="59" t="s">
        <v>11</v>
      </c>
      <c r="D76" s="60"/>
      <c r="E76" s="60"/>
      <c r="F76" s="60"/>
      <c r="G76" s="60"/>
      <c r="H76" s="60"/>
      <c r="I76" s="60"/>
      <c r="J76" s="60"/>
      <c r="K76" s="61" t="n">
        <f aca="false">SUMPRODUCT(LEN(D76:J76))</f>
        <v>0</v>
      </c>
      <c r="L76" s="62" t="n">
        <f aca="false">SUM(K76:K78)</f>
        <v>1</v>
      </c>
    </row>
    <row r="77" customFormat="false" ht="15" hidden="false" customHeight="false" outlineLevel="0" collapsed="false">
      <c r="B77" s="70"/>
      <c r="C77" s="59" t="s">
        <v>19</v>
      </c>
      <c r="D77" s="60"/>
      <c r="E77" s="60"/>
      <c r="F77" s="60"/>
      <c r="G77" s="60" t="s">
        <v>185</v>
      </c>
      <c r="H77" s="60"/>
      <c r="I77" s="60"/>
      <c r="J77" s="60"/>
      <c r="K77" s="61" t="n">
        <f aca="false">SUMPRODUCT(LEN(D77:J77))</f>
        <v>1</v>
      </c>
      <c r="L77" s="62"/>
    </row>
    <row r="78" customFormat="false" ht="15" hidden="false" customHeight="false" outlineLevel="0" collapsed="false">
      <c r="B78" s="70"/>
      <c r="C78" s="59" t="s">
        <v>24</v>
      </c>
      <c r="D78" s="60"/>
      <c r="E78" s="60"/>
      <c r="F78" s="60"/>
      <c r="G78" s="60"/>
      <c r="H78" s="60"/>
      <c r="I78" s="60"/>
      <c r="J78" s="60"/>
      <c r="K78" s="61" t="n">
        <f aca="false">SUMPRODUCT(LEN(D78:J78))</f>
        <v>0</v>
      </c>
      <c r="L78" s="62"/>
    </row>
    <row r="79" customFormat="false" ht="15" hidden="false" customHeight="false" outlineLevel="0" collapsed="false">
      <c r="B79" s="71" t="s">
        <v>56</v>
      </c>
      <c r="C79" s="59" t="s">
        <v>11</v>
      </c>
      <c r="D79" s="60"/>
      <c r="E79" s="60"/>
      <c r="F79" s="60"/>
      <c r="G79" s="60"/>
      <c r="H79" s="60"/>
      <c r="I79" s="60"/>
      <c r="J79" s="60"/>
      <c r="K79" s="61" t="n">
        <f aca="false">SUMPRODUCT(LEN(D79:J79))</f>
        <v>0</v>
      </c>
      <c r="L79" s="62" t="n">
        <f aca="false">SUM(K79:K81)</f>
        <v>2</v>
      </c>
    </row>
    <row r="80" customFormat="false" ht="15" hidden="false" customHeight="false" outlineLevel="0" collapsed="false">
      <c r="B80" s="71"/>
      <c r="C80" s="59" t="s">
        <v>19</v>
      </c>
      <c r="D80" s="60"/>
      <c r="E80" s="60"/>
      <c r="F80" s="60"/>
      <c r="G80" s="60"/>
      <c r="H80" s="60"/>
      <c r="I80" s="60"/>
      <c r="J80" s="60"/>
      <c r="K80" s="61" t="n">
        <f aca="false">SUMPRODUCT(LEN(D80:J80))</f>
        <v>0</v>
      </c>
      <c r="L80" s="62"/>
    </row>
    <row r="81" customFormat="false" ht="15" hidden="false" customHeight="false" outlineLevel="0" collapsed="false">
      <c r="B81" s="71"/>
      <c r="C81" s="59" t="s">
        <v>24</v>
      </c>
      <c r="D81" s="60"/>
      <c r="E81" s="60" t="s">
        <v>185</v>
      </c>
      <c r="F81" s="60"/>
      <c r="G81" s="60"/>
      <c r="H81" s="60"/>
      <c r="I81" s="60" t="s">
        <v>185</v>
      </c>
      <c r="J81" s="60"/>
      <c r="K81" s="61" t="n">
        <f aca="false">SUMPRODUCT(LEN(D81:J81))</f>
        <v>2</v>
      </c>
      <c r="L81" s="62"/>
    </row>
    <row r="82" customFormat="false" ht="15" hidden="false" customHeight="false" outlineLevel="0" collapsed="false">
      <c r="B82" s="72" t="s">
        <v>59</v>
      </c>
      <c r="C82" s="59" t="s">
        <v>11</v>
      </c>
      <c r="D82" s="60"/>
      <c r="E82" s="60"/>
      <c r="F82" s="60"/>
      <c r="G82" s="60"/>
      <c r="H82" s="60"/>
      <c r="I82" s="60"/>
      <c r="J82" s="60"/>
      <c r="K82" s="61" t="n">
        <f aca="false">SUMPRODUCT(LEN(D82:J82))</f>
        <v>0</v>
      </c>
      <c r="L82" s="62" t="n">
        <f aca="false">SUM(K82:K84)</f>
        <v>7</v>
      </c>
    </row>
    <row r="83" customFormat="false" ht="15" hidden="false" customHeight="false" outlineLevel="0" collapsed="false">
      <c r="B83" s="72"/>
      <c r="C83" s="59" t="s">
        <v>19</v>
      </c>
      <c r="D83" s="60"/>
      <c r="E83" s="60"/>
      <c r="F83" s="60"/>
      <c r="G83" s="60"/>
      <c r="H83" s="60"/>
      <c r="I83" s="60"/>
      <c r="J83" s="60"/>
      <c r="K83" s="61" t="n">
        <f aca="false">SUMPRODUCT(LEN(D83:J83))</f>
        <v>0</v>
      </c>
      <c r="L83" s="62"/>
    </row>
    <row r="84" customFormat="false" ht="15" hidden="false" customHeight="false" outlineLevel="0" collapsed="false">
      <c r="B84" s="72"/>
      <c r="C84" s="59" t="s">
        <v>24</v>
      </c>
      <c r="D84" s="60" t="s">
        <v>185</v>
      </c>
      <c r="E84" s="60" t="s">
        <v>185</v>
      </c>
      <c r="F84" s="60" t="s">
        <v>185</v>
      </c>
      <c r="G84" s="60" t="s">
        <v>186</v>
      </c>
      <c r="H84" s="60" t="s">
        <v>185</v>
      </c>
      <c r="I84" s="60" t="s">
        <v>185</v>
      </c>
      <c r="J84" s="60"/>
      <c r="K84" s="61" t="n">
        <f aca="false">SUMPRODUCT(LEN(D84:J84))</f>
        <v>7</v>
      </c>
      <c r="L84" s="62"/>
    </row>
    <row r="85" customFormat="false" ht="15" hidden="false" customHeight="false" outlineLevel="0" collapsed="false">
      <c r="B85" s="73" t="s">
        <v>62</v>
      </c>
      <c r="C85" s="59" t="s">
        <v>11</v>
      </c>
      <c r="D85" s="60"/>
      <c r="E85" s="60"/>
      <c r="F85" s="60"/>
      <c r="G85" s="60"/>
      <c r="H85" s="60"/>
      <c r="I85" s="60"/>
      <c r="J85" s="60"/>
      <c r="K85" s="61" t="n">
        <f aca="false">SUMPRODUCT(LEN(D85:J85))</f>
        <v>0</v>
      </c>
      <c r="L85" s="62" t="n">
        <f aca="false">SUM(K85:K87)</f>
        <v>2</v>
      </c>
    </row>
    <row r="86" customFormat="false" ht="15" hidden="false" customHeight="false" outlineLevel="0" collapsed="false">
      <c r="B86" s="73"/>
      <c r="C86" s="59" t="s">
        <v>19</v>
      </c>
      <c r="D86" s="60"/>
      <c r="E86" s="60"/>
      <c r="F86" s="60"/>
      <c r="G86" s="60"/>
      <c r="H86" s="60"/>
      <c r="I86" s="60"/>
      <c r="J86" s="60"/>
      <c r="K86" s="61" t="n">
        <f aca="false">SUMPRODUCT(LEN(D86:J86))</f>
        <v>0</v>
      </c>
      <c r="L86" s="62"/>
    </row>
    <row r="87" customFormat="false" ht="15" hidden="false" customHeight="false" outlineLevel="0" collapsed="false">
      <c r="B87" s="73"/>
      <c r="C87" s="59" t="s">
        <v>24</v>
      </c>
      <c r="D87" s="60"/>
      <c r="E87" s="60"/>
      <c r="F87" s="60" t="s">
        <v>185</v>
      </c>
      <c r="G87" s="60"/>
      <c r="H87" s="60"/>
      <c r="I87" s="60"/>
      <c r="J87" s="60" t="s">
        <v>185</v>
      </c>
      <c r="K87" s="61" t="n">
        <f aca="false">SUMPRODUCT(LEN(D87:J87))</f>
        <v>2</v>
      </c>
      <c r="L87" s="62"/>
    </row>
    <row r="89" customFormat="false" ht="19.5" hidden="false" customHeight="true" outlineLevel="0" collapsed="false">
      <c r="B89" s="55" t="str">
        <f aca="false">"TABLEAU 3/12  -  PROGRAMME DE JUIN 2027"&amp;IF($C$6="juin 2027","          &lt;&lt;&lt; MOIS ACTUELLEMENT FILTRE","")</f>
        <v>TABLEAU 3/12  -  PROGRAMME DE JUIN 2027</v>
      </c>
      <c r="C89" s="55"/>
      <c r="D89" s="55"/>
      <c r="E89" s="55"/>
      <c r="F89" s="55"/>
      <c r="G89" s="55"/>
      <c r="H89" s="55"/>
      <c r="I89" s="55"/>
      <c r="J89" s="55"/>
      <c r="L89" s="56" t="s">
        <v>179</v>
      </c>
    </row>
    <row r="90" customFormat="false" ht="25.5" hidden="false" customHeight="true" outlineLevel="0" collapsed="false">
      <c r="B90" s="57" t="s">
        <v>84</v>
      </c>
      <c r="C90" s="57" t="s">
        <v>180</v>
      </c>
      <c r="D90" s="57" t="s">
        <v>27</v>
      </c>
      <c r="E90" s="57" t="s">
        <v>28</v>
      </c>
      <c r="F90" s="57" t="s">
        <v>29</v>
      </c>
      <c r="G90" s="57" t="s">
        <v>30</v>
      </c>
      <c r="H90" s="57" t="s">
        <v>31</v>
      </c>
      <c r="I90" s="57" t="s">
        <v>32</v>
      </c>
      <c r="J90" s="57" t="s">
        <v>33</v>
      </c>
      <c r="K90" s="57" t="s">
        <v>181</v>
      </c>
      <c r="L90" s="57" t="s">
        <v>182</v>
      </c>
    </row>
    <row r="91" customFormat="false" ht="15" hidden="false" customHeight="false" outlineLevel="0" collapsed="false">
      <c r="B91" s="58" t="s">
        <v>12</v>
      </c>
      <c r="C91" s="59" t="s">
        <v>11</v>
      </c>
      <c r="D91" s="60" t="s">
        <v>183</v>
      </c>
      <c r="E91" s="60" t="s">
        <v>183</v>
      </c>
      <c r="F91" s="60" t="s">
        <v>183</v>
      </c>
      <c r="G91" s="60" t="s">
        <v>183</v>
      </c>
      <c r="H91" s="60" t="s">
        <v>183</v>
      </c>
      <c r="I91" s="60" t="s">
        <v>183</v>
      </c>
      <c r="J91" s="60" t="s">
        <v>183</v>
      </c>
      <c r="K91" s="61" t="n">
        <f aca="false">SUMPRODUCT(LEN(D91:J91))</f>
        <v>7</v>
      </c>
      <c r="L91" s="62" t="n">
        <f aca="false">SUM(K91:K93)</f>
        <v>11</v>
      </c>
    </row>
    <row r="92" customFormat="false" ht="15" hidden="false" customHeight="false" outlineLevel="0" collapsed="false">
      <c r="B92" s="58"/>
      <c r="C92" s="59" t="s">
        <v>19</v>
      </c>
      <c r="D92" s="60" t="s">
        <v>183</v>
      </c>
      <c r="E92" s="60"/>
      <c r="F92" s="60"/>
      <c r="G92" s="60"/>
      <c r="H92" s="60" t="s">
        <v>183</v>
      </c>
      <c r="I92" s="60"/>
      <c r="J92" s="60"/>
      <c r="K92" s="61" t="n">
        <f aca="false">SUMPRODUCT(LEN(D92:J92))</f>
        <v>2</v>
      </c>
      <c r="L92" s="62"/>
    </row>
    <row r="93" customFormat="false" ht="15" hidden="false" customHeight="false" outlineLevel="0" collapsed="false">
      <c r="B93" s="58"/>
      <c r="C93" s="59" t="s">
        <v>24</v>
      </c>
      <c r="D93" s="60" t="s">
        <v>184</v>
      </c>
      <c r="E93" s="60"/>
      <c r="F93" s="60"/>
      <c r="G93" s="60"/>
      <c r="H93" s="60"/>
      <c r="I93" s="60"/>
      <c r="J93" s="60"/>
      <c r="K93" s="61" t="n">
        <f aca="false">SUMPRODUCT(LEN(D93:J93))</f>
        <v>2</v>
      </c>
      <c r="L93" s="62"/>
    </row>
    <row r="94" customFormat="false" ht="15" hidden="false" customHeight="false" outlineLevel="0" collapsed="false">
      <c r="B94" s="63" t="s">
        <v>20</v>
      </c>
      <c r="C94" s="59" t="s">
        <v>11</v>
      </c>
      <c r="D94" s="60"/>
      <c r="E94" s="60"/>
      <c r="F94" s="60"/>
      <c r="G94" s="60"/>
      <c r="H94" s="60"/>
      <c r="I94" s="60"/>
      <c r="J94" s="60" t="s">
        <v>183</v>
      </c>
      <c r="K94" s="61" t="n">
        <f aca="false">SUMPRODUCT(LEN(D94:J94))</f>
        <v>1</v>
      </c>
      <c r="L94" s="62" t="n">
        <f aca="false">SUM(K94:K96)</f>
        <v>3</v>
      </c>
    </row>
    <row r="95" customFormat="false" ht="15" hidden="false" customHeight="false" outlineLevel="0" collapsed="false">
      <c r="B95" s="63"/>
      <c r="C95" s="59" t="s">
        <v>19</v>
      </c>
      <c r="D95" s="60"/>
      <c r="E95" s="60" t="s">
        <v>183</v>
      </c>
      <c r="F95" s="60"/>
      <c r="G95" s="60"/>
      <c r="H95" s="60" t="s">
        <v>183</v>
      </c>
      <c r="I95" s="60"/>
      <c r="J95" s="60"/>
      <c r="K95" s="61" t="n">
        <f aca="false">SUMPRODUCT(LEN(D95:J95))</f>
        <v>2</v>
      </c>
      <c r="L95" s="62"/>
    </row>
    <row r="96" customFormat="false" ht="15" hidden="false" customHeight="false" outlineLevel="0" collapsed="false">
      <c r="B96" s="63"/>
      <c r="C96" s="59" t="s">
        <v>24</v>
      </c>
      <c r="D96" s="60"/>
      <c r="E96" s="60"/>
      <c r="F96" s="60"/>
      <c r="G96" s="60"/>
      <c r="H96" s="60"/>
      <c r="I96" s="60"/>
      <c r="J96" s="60"/>
      <c r="K96" s="61" t="n">
        <f aca="false">SUMPRODUCT(LEN(D96:J96))</f>
        <v>0</v>
      </c>
      <c r="L96" s="62"/>
    </row>
    <row r="97" customFormat="false" ht="15" hidden="false" customHeight="false" outlineLevel="0" collapsed="false">
      <c r="B97" s="64" t="s">
        <v>25</v>
      </c>
      <c r="C97" s="59" t="s">
        <v>11</v>
      </c>
      <c r="D97" s="60"/>
      <c r="E97" s="60"/>
      <c r="F97" s="60"/>
      <c r="G97" s="60"/>
      <c r="H97" s="60"/>
      <c r="I97" s="60"/>
      <c r="J97" s="60"/>
      <c r="K97" s="61" t="n">
        <f aca="false">SUMPRODUCT(LEN(D97:J97))</f>
        <v>0</v>
      </c>
      <c r="L97" s="62" t="n">
        <f aca="false">SUM(K97:K99)</f>
        <v>2</v>
      </c>
    </row>
    <row r="98" customFormat="false" ht="15" hidden="false" customHeight="false" outlineLevel="0" collapsed="false">
      <c r="B98" s="64"/>
      <c r="C98" s="59" t="s">
        <v>19</v>
      </c>
      <c r="D98" s="60"/>
      <c r="E98" s="60"/>
      <c r="F98" s="60" t="s">
        <v>183</v>
      </c>
      <c r="G98" s="60"/>
      <c r="H98" s="60"/>
      <c r="I98" s="60" t="s">
        <v>183</v>
      </c>
      <c r="J98" s="60"/>
      <c r="K98" s="61" t="n">
        <f aca="false">SUMPRODUCT(LEN(D98:J98))</f>
        <v>2</v>
      </c>
      <c r="L98" s="62"/>
    </row>
    <row r="99" customFormat="false" ht="15" hidden="false" customHeight="false" outlineLevel="0" collapsed="false">
      <c r="B99" s="64"/>
      <c r="C99" s="59" t="s">
        <v>24</v>
      </c>
      <c r="D99" s="60"/>
      <c r="E99" s="60"/>
      <c r="F99" s="60"/>
      <c r="G99" s="60"/>
      <c r="H99" s="60"/>
      <c r="I99" s="60"/>
      <c r="J99" s="60"/>
      <c r="K99" s="61" t="n">
        <f aca="false">SUMPRODUCT(LEN(D99:J99))</f>
        <v>0</v>
      </c>
      <c r="L99" s="62"/>
    </row>
    <row r="100" customFormat="false" ht="15" hidden="false" customHeight="false" outlineLevel="0" collapsed="false">
      <c r="B100" s="65" t="s">
        <v>36</v>
      </c>
      <c r="C100" s="59" t="s">
        <v>11</v>
      </c>
      <c r="D100" s="60"/>
      <c r="E100" s="60"/>
      <c r="F100" s="60"/>
      <c r="G100" s="60"/>
      <c r="H100" s="60"/>
      <c r="I100" s="60"/>
      <c r="J100" s="60"/>
      <c r="K100" s="61" t="n">
        <f aca="false">SUMPRODUCT(LEN(D100:J100))</f>
        <v>0</v>
      </c>
      <c r="L100" s="62" t="n">
        <f aca="false">SUM(K100:K102)</f>
        <v>6</v>
      </c>
    </row>
    <row r="101" customFormat="false" ht="15" hidden="false" customHeight="false" outlineLevel="0" collapsed="false">
      <c r="B101" s="65"/>
      <c r="C101" s="59" t="s">
        <v>19</v>
      </c>
      <c r="D101" s="60"/>
      <c r="E101" s="60"/>
      <c r="F101" s="60" t="s">
        <v>185</v>
      </c>
      <c r="G101" s="60"/>
      <c r="H101" s="60"/>
      <c r="I101" s="60"/>
      <c r="J101" s="60"/>
      <c r="K101" s="61" t="n">
        <f aca="false">SUMPRODUCT(LEN(D101:J101))</f>
        <v>1</v>
      </c>
      <c r="L101" s="62"/>
    </row>
    <row r="102" customFormat="false" ht="15" hidden="false" customHeight="false" outlineLevel="0" collapsed="false">
      <c r="B102" s="65"/>
      <c r="C102" s="59" t="s">
        <v>24</v>
      </c>
      <c r="D102" s="60" t="s">
        <v>185</v>
      </c>
      <c r="E102" s="60" t="s">
        <v>185</v>
      </c>
      <c r="F102" s="60" t="s">
        <v>185</v>
      </c>
      <c r="G102" s="60" t="s">
        <v>185</v>
      </c>
      <c r="H102" s="60" t="s">
        <v>185</v>
      </c>
      <c r="I102" s="60"/>
      <c r="J102" s="60"/>
      <c r="K102" s="61" t="n">
        <f aca="false">SUMPRODUCT(LEN(D102:J102))</f>
        <v>5</v>
      </c>
      <c r="L102" s="62"/>
    </row>
    <row r="103" customFormat="false" ht="15" hidden="false" customHeight="false" outlineLevel="0" collapsed="false">
      <c r="B103" s="66" t="s">
        <v>40</v>
      </c>
      <c r="C103" s="59" t="s">
        <v>11</v>
      </c>
      <c r="D103" s="60"/>
      <c r="E103" s="60"/>
      <c r="F103" s="60"/>
      <c r="G103" s="60"/>
      <c r="H103" s="60"/>
      <c r="I103" s="60"/>
      <c r="J103" s="60"/>
      <c r="K103" s="61" t="n">
        <f aca="false">SUMPRODUCT(LEN(D103:J103))</f>
        <v>0</v>
      </c>
      <c r="L103" s="62" t="n">
        <f aca="false">SUM(K103:K105)</f>
        <v>4</v>
      </c>
    </row>
    <row r="104" customFormat="false" ht="15" hidden="false" customHeight="false" outlineLevel="0" collapsed="false">
      <c r="B104" s="66"/>
      <c r="C104" s="59" t="s">
        <v>19</v>
      </c>
      <c r="D104" s="60"/>
      <c r="E104" s="60"/>
      <c r="F104" s="60"/>
      <c r="G104" s="60"/>
      <c r="H104" s="60"/>
      <c r="I104" s="60"/>
      <c r="J104" s="60"/>
      <c r="K104" s="61" t="n">
        <f aca="false">SUMPRODUCT(LEN(D104:J104))</f>
        <v>0</v>
      </c>
      <c r="L104" s="62"/>
    </row>
    <row r="105" customFormat="false" ht="15" hidden="false" customHeight="false" outlineLevel="0" collapsed="false">
      <c r="B105" s="66"/>
      <c r="C105" s="59" t="s">
        <v>24</v>
      </c>
      <c r="D105" s="60" t="s">
        <v>185</v>
      </c>
      <c r="E105" s="60"/>
      <c r="F105" s="60" t="s">
        <v>185</v>
      </c>
      <c r="G105" s="60"/>
      <c r="H105" s="60" t="s">
        <v>185</v>
      </c>
      <c r="I105" s="60"/>
      <c r="J105" s="60" t="s">
        <v>185</v>
      </c>
      <c r="K105" s="61" t="n">
        <f aca="false">SUMPRODUCT(LEN(D105:J105))</f>
        <v>4</v>
      </c>
      <c r="L105" s="62"/>
    </row>
    <row r="106" customFormat="false" ht="15" hidden="false" customHeight="false" outlineLevel="0" collapsed="false">
      <c r="B106" s="67" t="s">
        <v>14</v>
      </c>
      <c r="C106" s="59" t="s">
        <v>11</v>
      </c>
      <c r="D106" s="60"/>
      <c r="E106" s="60"/>
      <c r="F106" s="60"/>
      <c r="G106" s="60"/>
      <c r="H106" s="60"/>
      <c r="I106" s="60"/>
      <c r="J106" s="60"/>
      <c r="K106" s="61" t="n">
        <f aca="false">SUMPRODUCT(LEN(D106:J106))</f>
        <v>0</v>
      </c>
      <c r="L106" s="62" t="n">
        <f aca="false">SUM(K106:K108)</f>
        <v>3</v>
      </c>
    </row>
    <row r="107" customFormat="false" ht="15" hidden="false" customHeight="false" outlineLevel="0" collapsed="false">
      <c r="B107" s="67"/>
      <c r="C107" s="59" t="s">
        <v>19</v>
      </c>
      <c r="D107" s="60"/>
      <c r="E107" s="60"/>
      <c r="F107" s="60"/>
      <c r="G107" s="60"/>
      <c r="H107" s="60"/>
      <c r="I107" s="60"/>
      <c r="J107" s="60"/>
      <c r="K107" s="61" t="n">
        <f aca="false">SUMPRODUCT(LEN(D107:J107))</f>
        <v>0</v>
      </c>
      <c r="L107" s="62"/>
    </row>
    <row r="108" customFormat="false" ht="15" hidden="false" customHeight="false" outlineLevel="0" collapsed="false">
      <c r="B108" s="67"/>
      <c r="C108" s="59" t="s">
        <v>24</v>
      </c>
      <c r="D108" s="60" t="s">
        <v>185</v>
      </c>
      <c r="E108" s="60"/>
      <c r="F108" s="60"/>
      <c r="G108" s="60" t="s">
        <v>185</v>
      </c>
      <c r="H108" s="60"/>
      <c r="I108" s="60" t="s">
        <v>185</v>
      </c>
      <c r="J108" s="60"/>
      <c r="K108" s="61" t="n">
        <f aca="false">SUMPRODUCT(LEN(D108:J108))</f>
        <v>3</v>
      </c>
      <c r="L108" s="62"/>
    </row>
    <row r="109" customFormat="false" ht="15" hidden="false" customHeight="false" outlineLevel="0" collapsed="false">
      <c r="B109" s="68" t="s">
        <v>46</v>
      </c>
      <c r="C109" s="59" t="s">
        <v>11</v>
      </c>
      <c r="D109" s="60"/>
      <c r="E109" s="60"/>
      <c r="F109" s="60"/>
      <c r="G109" s="60"/>
      <c r="H109" s="60"/>
      <c r="I109" s="60"/>
      <c r="J109" s="60"/>
      <c r="K109" s="61" t="n">
        <f aca="false">SUMPRODUCT(LEN(D109:J109))</f>
        <v>0</v>
      </c>
      <c r="L109" s="62" t="n">
        <f aca="false">SUM(K109:K111)</f>
        <v>3</v>
      </c>
    </row>
    <row r="110" customFormat="false" ht="15" hidden="false" customHeight="false" outlineLevel="0" collapsed="false">
      <c r="B110" s="68"/>
      <c r="C110" s="59" t="s">
        <v>19</v>
      </c>
      <c r="D110" s="60"/>
      <c r="E110" s="60"/>
      <c r="F110" s="60"/>
      <c r="G110" s="60"/>
      <c r="H110" s="60"/>
      <c r="I110" s="60"/>
      <c r="J110" s="60"/>
      <c r="K110" s="61" t="n">
        <f aca="false">SUMPRODUCT(LEN(D110:J110))</f>
        <v>0</v>
      </c>
      <c r="L110" s="62"/>
    </row>
    <row r="111" customFormat="false" ht="15" hidden="false" customHeight="false" outlineLevel="0" collapsed="false">
      <c r="B111" s="68"/>
      <c r="C111" s="59" t="s">
        <v>24</v>
      </c>
      <c r="D111" s="60"/>
      <c r="E111" s="60" t="s">
        <v>185</v>
      </c>
      <c r="F111" s="60"/>
      <c r="G111" s="60" t="s">
        <v>185</v>
      </c>
      <c r="H111" s="60"/>
      <c r="I111" s="60" t="s">
        <v>185</v>
      </c>
      <c r="J111" s="60"/>
      <c r="K111" s="61" t="n">
        <f aca="false">SUMPRODUCT(LEN(D111:J111))</f>
        <v>3</v>
      </c>
      <c r="L111" s="62"/>
    </row>
    <row r="112" customFormat="false" ht="15" hidden="false" customHeight="false" outlineLevel="0" collapsed="false">
      <c r="B112" s="69" t="s">
        <v>49</v>
      </c>
      <c r="C112" s="59" t="s">
        <v>11</v>
      </c>
      <c r="D112" s="60"/>
      <c r="E112" s="60"/>
      <c r="F112" s="60"/>
      <c r="G112" s="60"/>
      <c r="H112" s="60"/>
      <c r="I112" s="60"/>
      <c r="J112" s="60"/>
      <c r="K112" s="61" t="n">
        <f aca="false">SUMPRODUCT(LEN(D112:J112))</f>
        <v>0</v>
      </c>
      <c r="L112" s="62" t="n">
        <f aca="false">SUM(K112:K114)</f>
        <v>2</v>
      </c>
    </row>
    <row r="113" customFormat="false" ht="15" hidden="false" customHeight="false" outlineLevel="0" collapsed="false">
      <c r="B113" s="69"/>
      <c r="C113" s="59" t="s">
        <v>19</v>
      </c>
      <c r="D113" s="60" t="s">
        <v>185</v>
      </c>
      <c r="E113" s="60"/>
      <c r="F113" s="60"/>
      <c r="G113" s="60"/>
      <c r="H113" s="60" t="s">
        <v>185</v>
      </c>
      <c r="I113" s="60"/>
      <c r="J113" s="60"/>
      <c r="K113" s="61" t="n">
        <f aca="false">SUMPRODUCT(LEN(D113:J113))</f>
        <v>2</v>
      </c>
      <c r="L113" s="62"/>
    </row>
    <row r="114" customFormat="false" ht="15" hidden="false" customHeight="false" outlineLevel="0" collapsed="false">
      <c r="B114" s="69"/>
      <c r="C114" s="59" t="s">
        <v>24</v>
      </c>
      <c r="D114" s="60"/>
      <c r="E114" s="60"/>
      <c r="F114" s="60"/>
      <c r="G114" s="60"/>
      <c r="H114" s="60"/>
      <c r="I114" s="60"/>
      <c r="J114" s="60"/>
      <c r="K114" s="61" t="n">
        <f aca="false">SUMPRODUCT(LEN(D114:J114))</f>
        <v>0</v>
      </c>
      <c r="L114" s="62"/>
    </row>
    <row r="115" customFormat="false" ht="15" hidden="false" customHeight="false" outlineLevel="0" collapsed="false">
      <c r="B115" s="70" t="s">
        <v>53</v>
      </c>
      <c r="C115" s="59" t="s">
        <v>11</v>
      </c>
      <c r="D115" s="60"/>
      <c r="E115" s="60"/>
      <c r="F115" s="60"/>
      <c r="G115" s="60"/>
      <c r="H115" s="60"/>
      <c r="I115" s="60"/>
      <c r="J115" s="60"/>
      <c r="K115" s="61" t="n">
        <f aca="false">SUMPRODUCT(LEN(D115:J115))</f>
        <v>0</v>
      </c>
      <c r="L115" s="62" t="n">
        <f aca="false">SUM(K115:K117)</f>
        <v>1</v>
      </c>
    </row>
    <row r="116" customFormat="false" ht="15" hidden="false" customHeight="false" outlineLevel="0" collapsed="false">
      <c r="B116" s="70"/>
      <c r="C116" s="59" t="s">
        <v>19</v>
      </c>
      <c r="D116" s="60"/>
      <c r="E116" s="60"/>
      <c r="F116" s="60"/>
      <c r="G116" s="60" t="s">
        <v>185</v>
      </c>
      <c r="H116" s="60"/>
      <c r="I116" s="60"/>
      <c r="J116" s="60"/>
      <c r="K116" s="61" t="n">
        <f aca="false">SUMPRODUCT(LEN(D116:J116))</f>
        <v>1</v>
      </c>
      <c r="L116" s="62"/>
    </row>
    <row r="117" customFormat="false" ht="15" hidden="false" customHeight="false" outlineLevel="0" collapsed="false">
      <c r="B117" s="70"/>
      <c r="C117" s="59" t="s">
        <v>24</v>
      </c>
      <c r="D117" s="60"/>
      <c r="E117" s="60"/>
      <c r="F117" s="60"/>
      <c r="G117" s="60"/>
      <c r="H117" s="60"/>
      <c r="I117" s="60"/>
      <c r="J117" s="60"/>
      <c r="K117" s="61" t="n">
        <f aca="false">SUMPRODUCT(LEN(D117:J117))</f>
        <v>0</v>
      </c>
      <c r="L117" s="62"/>
    </row>
    <row r="118" customFormat="false" ht="15" hidden="false" customHeight="false" outlineLevel="0" collapsed="false">
      <c r="B118" s="71" t="s">
        <v>56</v>
      </c>
      <c r="C118" s="59" t="s">
        <v>11</v>
      </c>
      <c r="D118" s="60"/>
      <c r="E118" s="60"/>
      <c r="F118" s="60"/>
      <c r="G118" s="60"/>
      <c r="H118" s="60"/>
      <c r="I118" s="60"/>
      <c r="J118" s="60"/>
      <c r="K118" s="61" t="n">
        <f aca="false">SUMPRODUCT(LEN(D118:J118))</f>
        <v>0</v>
      </c>
      <c r="L118" s="62" t="n">
        <f aca="false">SUM(K118:K120)</f>
        <v>2</v>
      </c>
    </row>
    <row r="119" customFormat="false" ht="15" hidden="false" customHeight="false" outlineLevel="0" collapsed="false">
      <c r="B119" s="71"/>
      <c r="C119" s="59" t="s">
        <v>19</v>
      </c>
      <c r="D119" s="60"/>
      <c r="E119" s="60"/>
      <c r="F119" s="60"/>
      <c r="G119" s="60"/>
      <c r="H119" s="60"/>
      <c r="I119" s="60"/>
      <c r="J119" s="60"/>
      <c r="K119" s="61" t="n">
        <f aca="false">SUMPRODUCT(LEN(D119:J119))</f>
        <v>0</v>
      </c>
      <c r="L119" s="62"/>
    </row>
    <row r="120" customFormat="false" ht="15" hidden="false" customHeight="false" outlineLevel="0" collapsed="false">
      <c r="B120" s="71"/>
      <c r="C120" s="59" t="s">
        <v>24</v>
      </c>
      <c r="D120" s="60"/>
      <c r="E120" s="60" t="s">
        <v>185</v>
      </c>
      <c r="F120" s="60"/>
      <c r="G120" s="60"/>
      <c r="H120" s="60"/>
      <c r="I120" s="60" t="s">
        <v>185</v>
      </c>
      <c r="J120" s="60"/>
      <c r="K120" s="61" t="n">
        <f aca="false">SUMPRODUCT(LEN(D120:J120))</f>
        <v>2</v>
      </c>
      <c r="L120" s="62"/>
    </row>
    <row r="121" customFormat="false" ht="15" hidden="false" customHeight="false" outlineLevel="0" collapsed="false">
      <c r="B121" s="72" t="s">
        <v>59</v>
      </c>
      <c r="C121" s="59" t="s">
        <v>11</v>
      </c>
      <c r="D121" s="60"/>
      <c r="E121" s="60"/>
      <c r="F121" s="60"/>
      <c r="G121" s="60"/>
      <c r="H121" s="60"/>
      <c r="I121" s="60"/>
      <c r="J121" s="60"/>
      <c r="K121" s="61" t="n">
        <f aca="false">SUMPRODUCT(LEN(D121:J121))</f>
        <v>0</v>
      </c>
      <c r="L121" s="62" t="n">
        <f aca="false">SUM(K121:K123)</f>
        <v>7</v>
      </c>
    </row>
    <row r="122" customFormat="false" ht="15" hidden="false" customHeight="false" outlineLevel="0" collapsed="false">
      <c r="B122" s="72"/>
      <c r="C122" s="59" t="s">
        <v>19</v>
      </c>
      <c r="D122" s="60"/>
      <c r="E122" s="60"/>
      <c r="F122" s="60"/>
      <c r="G122" s="60"/>
      <c r="H122" s="60"/>
      <c r="I122" s="60"/>
      <c r="J122" s="60"/>
      <c r="K122" s="61" t="n">
        <f aca="false">SUMPRODUCT(LEN(D122:J122))</f>
        <v>0</v>
      </c>
      <c r="L122" s="62"/>
    </row>
    <row r="123" customFormat="false" ht="15" hidden="false" customHeight="false" outlineLevel="0" collapsed="false">
      <c r="B123" s="72"/>
      <c r="C123" s="59" t="s">
        <v>24</v>
      </c>
      <c r="D123" s="60" t="s">
        <v>185</v>
      </c>
      <c r="E123" s="60" t="s">
        <v>185</v>
      </c>
      <c r="F123" s="60" t="s">
        <v>185</v>
      </c>
      <c r="G123" s="60" t="s">
        <v>186</v>
      </c>
      <c r="H123" s="60" t="s">
        <v>185</v>
      </c>
      <c r="I123" s="60" t="s">
        <v>185</v>
      </c>
      <c r="J123" s="60"/>
      <c r="K123" s="61" t="n">
        <f aca="false">SUMPRODUCT(LEN(D123:J123))</f>
        <v>7</v>
      </c>
      <c r="L123" s="62"/>
    </row>
    <row r="124" customFormat="false" ht="15" hidden="false" customHeight="false" outlineLevel="0" collapsed="false">
      <c r="B124" s="73" t="s">
        <v>62</v>
      </c>
      <c r="C124" s="59" t="s">
        <v>11</v>
      </c>
      <c r="D124" s="60"/>
      <c r="E124" s="60"/>
      <c r="F124" s="60"/>
      <c r="G124" s="60"/>
      <c r="H124" s="60"/>
      <c r="I124" s="60"/>
      <c r="J124" s="60"/>
      <c r="K124" s="61" t="n">
        <f aca="false">SUMPRODUCT(LEN(D124:J124))</f>
        <v>0</v>
      </c>
      <c r="L124" s="62" t="n">
        <f aca="false">SUM(K124:K126)</f>
        <v>2</v>
      </c>
    </row>
    <row r="125" customFormat="false" ht="15" hidden="false" customHeight="false" outlineLevel="0" collapsed="false">
      <c r="B125" s="73"/>
      <c r="C125" s="59" t="s">
        <v>19</v>
      </c>
      <c r="D125" s="60"/>
      <c r="E125" s="60"/>
      <c r="F125" s="60"/>
      <c r="G125" s="60"/>
      <c r="H125" s="60"/>
      <c r="I125" s="60"/>
      <c r="J125" s="60"/>
      <c r="K125" s="61" t="n">
        <f aca="false">SUMPRODUCT(LEN(D125:J125))</f>
        <v>0</v>
      </c>
      <c r="L125" s="62"/>
    </row>
    <row r="126" customFormat="false" ht="15" hidden="false" customHeight="false" outlineLevel="0" collapsed="false">
      <c r="B126" s="73"/>
      <c r="C126" s="59" t="s">
        <v>24</v>
      </c>
      <c r="D126" s="60"/>
      <c r="E126" s="60"/>
      <c r="F126" s="60" t="s">
        <v>185</v>
      </c>
      <c r="G126" s="60"/>
      <c r="H126" s="60"/>
      <c r="I126" s="60"/>
      <c r="J126" s="60" t="s">
        <v>185</v>
      </c>
      <c r="K126" s="61" t="n">
        <f aca="false">SUMPRODUCT(LEN(D126:J126))</f>
        <v>2</v>
      </c>
      <c r="L126" s="62"/>
    </row>
    <row r="128" customFormat="false" ht="19.5" hidden="false" customHeight="true" outlineLevel="0" collapsed="false">
      <c r="B128" s="55" t="str">
        <f aca="false">"TABLEAU 4/12  -  PROGRAMME DE JUILLET 2027"&amp;IF($C$6="juillet 2027","          &lt;&lt;&lt; MOIS ACTUELLEMENT FILTRE","")</f>
        <v>TABLEAU 4/12  -  PROGRAMME DE JUILLET 2027</v>
      </c>
      <c r="C128" s="55"/>
      <c r="D128" s="55"/>
      <c r="E128" s="55"/>
      <c r="F128" s="55"/>
      <c r="G128" s="55"/>
      <c r="H128" s="55"/>
      <c r="I128" s="55"/>
      <c r="J128" s="55"/>
      <c r="L128" s="56" t="s">
        <v>179</v>
      </c>
    </row>
    <row r="129" customFormat="false" ht="25.5" hidden="false" customHeight="true" outlineLevel="0" collapsed="false">
      <c r="B129" s="57" t="s">
        <v>84</v>
      </c>
      <c r="C129" s="57" t="s">
        <v>180</v>
      </c>
      <c r="D129" s="57" t="s">
        <v>27</v>
      </c>
      <c r="E129" s="57" t="s">
        <v>28</v>
      </c>
      <c r="F129" s="57" t="s">
        <v>29</v>
      </c>
      <c r="G129" s="57" t="s">
        <v>30</v>
      </c>
      <c r="H129" s="57" t="s">
        <v>31</v>
      </c>
      <c r="I129" s="57" t="s">
        <v>32</v>
      </c>
      <c r="J129" s="57" t="s">
        <v>33</v>
      </c>
      <c r="K129" s="57" t="s">
        <v>181</v>
      </c>
      <c r="L129" s="57" t="s">
        <v>182</v>
      </c>
    </row>
    <row r="130" customFormat="false" ht="15" hidden="false" customHeight="false" outlineLevel="0" collapsed="false">
      <c r="B130" s="58" t="s">
        <v>12</v>
      </c>
      <c r="C130" s="59" t="s">
        <v>11</v>
      </c>
      <c r="D130" s="60" t="s">
        <v>183</v>
      </c>
      <c r="E130" s="60" t="s">
        <v>183</v>
      </c>
      <c r="F130" s="60" t="s">
        <v>183</v>
      </c>
      <c r="G130" s="60" t="s">
        <v>183</v>
      </c>
      <c r="H130" s="60" t="s">
        <v>183</v>
      </c>
      <c r="I130" s="60" t="s">
        <v>183</v>
      </c>
      <c r="J130" s="60" t="s">
        <v>183</v>
      </c>
      <c r="K130" s="61" t="n">
        <f aca="false">SUMPRODUCT(LEN(D130:J130))</f>
        <v>7</v>
      </c>
      <c r="L130" s="62" t="n">
        <f aca="false">SUM(K130:K132)</f>
        <v>11</v>
      </c>
    </row>
    <row r="131" customFormat="false" ht="15" hidden="false" customHeight="false" outlineLevel="0" collapsed="false">
      <c r="B131" s="58"/>
      <c r="C131" s="59" t="s">
        <v>19</v>
      </c>
      <c r="D131" s="60" t="s">
        <v>183</v>
      </c>
      <c r="E131" s="60"/>
      <c r="F131" s="60"/>
      <c r="G131" s="60"/>
      <c r="H131" s="60" t="s">
        <v>183</v>
      </c>
      <c r="I131" s="60"/>
      <c r="J131" s="60"/>
      <c r="K131" s="61" t="n">
        <f aca="false">SUMPRODUCT(LEN(D131:J131))</f>
        <v>2</v>
      </c>
      <c r="L131" s="62"/>
    </row>
    <row r="132" customFormat="false" ht="15" hidden="false" customHeight="false" outlineLevel="0" collapsed="false">
      <c r="B132" s="58"/>
      <c r="C132" s="59" t="s">
        <v>24</v>
      </c>
      <c r="D132" s="60" t="s">
        <v>184</v>
      </c>
      <c r="E132" s="60"/>
      <c r="F132" s="60"/>
      <c r="G132" s="60"/>
      <c r="H132" s="60"/>
      <c r="I132" s="60"/>
      <c r="J132" s="60"/>
      <c r="K132" s="61" t="n">
        <f aca="false">SUMPRODUCT(LEN(D132:J132))</f>
        <v>2</v>
      </c>
      <c r="L132" s="62"/>
    </row>
    <row r="133" customFormat="false" ht="15" hidden="false" customHeight="false" outlineLevel="0" collapsed="false">
      <c r="B133" s="63" t="s">
        <v>20</v>
      </c>
      <c r="C133" s="59" t="s">
        <v>11</v>
      </c>
      <c r="D133" s="60"/>
      <c r="E133" s="60"/>
      <c r="F133" s="60"/>
      <c r="G133" s="60"/>
      <c r="H133" s="60"/>
      <c r="I133" s="60"/>
      <c r="J133" s="60" t="s">
        <v>183</v>
      </c>
      <c r="K133" s="61" t="n">
        <f aca="false">SUMPRODUCT(LEN(D133:J133))</f>
        <v>1</v>
      </c>
      <c r="L133" s="62" t="n">
        <f aca="false">SUM(K133:K135)</f>
        <v>3</v>
      </c>
    </row>
    <row r="134" customFormat="false" ht="15" hidden="false" customHeight="false" outlineLevel="0" collapsed="false">
      <c r="B134" s="63"/>
      <c r="C134" s="59" t="s">
        <v>19</v>
      </c>
      <c r="D134" s="60"/>
      <c r="E134" s="60" t="s">
        <v>183</v>
      </c>
      <c r="F134" s="60"/>
      <c r="G134" s="60"/>
      <c r="H134" s="60" t="s">
        <v>183</v>
      </c>
      <c r="I134" s="60"/>
      <c r="J134" s="60"/>
      <c r="K134" s="61" t="n">
        <f aca="false">SUMPRODUCT(LEN(D134:J134))</f>
        <v>2</v>
      </c>
      <c r="L134" s="62"/>
    </row>
    <row r="135" customFormat="false" ht="15" hidden="false" customHeight="false" outlineLevel="0" collapsed="false">
      <c r="B135" s="63"/>
      <c r="C135" s="59" t="s">
        <v>24</v>
      </c>
      <c r="D135" s="60"/>
      <c r="E135" s="60"/>
      <c r="F135" s="60"/>
      <c r="G135" s="60"/>
      <c r="H135" s="60"/>
      <c r="I135" s="60"/>
      <c r="J135" s="60"/>
      <c r="K135" s="61" t="n">
        <f aca="false">SUMPRODUCT(LEN(D135:J135))</f>
        <v>0</v>
      </c>
      <c r="L135" s="62"/>
    </row>
    <row r="136" customFormat="false" ht="15" hidden="false" customHeight="false" outlineLevel="0" collapsed="false">
      <c r="B136" s="64" t="s">
        <v>25</v>
      </c>
      <c r="C136" s="59" t="s">
        <v>11</v>
      </c>
      <c r="D136" s="60"/>
      <c r="E136" s="60"/>
      <c r="F136" s="60"/>
      <c r="G136" s="60"/>
      <c r="H136" s="60"/>
      <c r="I136" s="60"/>
      <c r="J136" s="60"/>
      <c r="K136" s="61" t="n">
        <f aca="false">SUMPRODUCT(LEN(D136:J136))</f>
        <v>0</v>
      </c>
      <c r="L136" s="62" t="n">
        <f aca="false">SUM(K136:K138)</f>
        <v>2</v>
      </c>
    </row>
    <row r="137" customFormat="false" ht="15" hidden="false" customHeight="false" outlineLevel="0" collapsed="false">
      <c r="B137" s="64"/>
      <c r="C137" s="59" t="s">
        <v>19</v>
      </c>
      <c r="D137" s="60"/>
      <c r="E137" s="60"/>
      <c r="F137" s="60" t="s">
        <v>183</v>
      </c>
      <c r="G137" s="60"/>
      <c r="H137" s="60"/>
      <c r="I137" s="60" t="s">
        <v>183</v>
      </c>
      <c r="J137" s="60"/>
      <c r="K137" s="61" t="n">
        <f aca="false">SUMPRODUCT(LEN(D137:J137))</f>
        <v>2</v>
      </c>
      <c r="L137" s="62"/>
    </row>
    <row r="138" customFormat="false" ht="15" hidden="false" customHeight="false" outlineLevel="0" collapsed="false">
      <c r="B138" s="64"/>
      <c r="C138" s="59" t="s">
        <v>24</v>
      </c>
      <c r="D138" s="60"/>
      <c r="E138" s="60"/>
      <c r="F138" s="60"/>
      <c r="G138" s="60"/>
      <c r="H138" s="60"/>
      <c r="I138" s="60"/>
      <c r="J138" s="60"/>
      <c r="K138" s="61" t="n">
        <f aca="false">SUMPRODUCT(LEN(D138:J138))</f>
        <v>0</v>
      </c>
      <c r="L138" s="62"/>
    </row>
    <row r="139" customFormat="false" ht="15" hidden="false" customHeight="false" outlineLevel="0" collapsed="false">
      <c r="B139" s="65" t="s">
        <v>36</v>
      </c>
      <c r="C139" s="59" t="s">
        <v>11</v>
      </c>
      <c r="D139" s="60"/>
      <c r="E139" s="60"/>
      <c r="F139" s="60"/>
      <c r="G139" s="60"/>
      <c r="H139" s="60"/>
      <c r="I139" s="60"/>
      <c r="J139" s="60"/>
      <c r="K139" s="61" t="n">
        <f aca="false">SUMPRODUCT(LEN(D139:J139))</f>
        <v>0</v>
      </c>
      <c r="L139" s="62" t="n">
        <f aca="false">SUM(K139:K141)</f>
        <v>6</v>
      </c>
    </row>
    <row r="140" customFormat="false" ht="15" hidden="false" customHeight="false" outlineLevel="0" collapsed="false">
      <c r="B140" s="65"/>
      <c r="C140" s="59" t="s">
        <v>19</v>
      </c>
      <c r="D140" s="60"/>
      <c r="E140" s="60"/>
      <c r="F140" s="60" t="s">
        <v>185</v>
      </c>
      <c r="G140" s="60"/>
      <c r="H140" s="60"/>
      <c r="I140" s="60"/>
      <c r="J140" s="60"/>
      <c r="K140" s="61" t="n">
        <f aca="false">SUMPRODUCT(LEN(D140:J140))</f>
        <v>1</v>
      </c>
      <c r="L140" s="62"/>
    </row>
    <row r="141" customFormat="false" ht="15" hidden="false" customHeight="false" outlineLevel="0" collapsed="false">
      <c r="B141" s="65"/>
      <c r="C141" s="59" t="s">
        <v>24</v>
      </c>
      <c r="D141" s="60" t="s">
        <v>185</v>
      </c>
      <c r="E141" s="60" t="s">
        <v>185</v>
      </c>
      <c r="F141" s="60" t="s">
        <v>185</v>
      </c>
      <c r="G141" s="60" t="s">
        <v>185</v>
      </c>
      <c r="H141" s="60" t="s">
        <v>185</v>
      </c>
      <c r="I141" s="60"/>
      <c r="J141" s="60"/>
      <c r="K141" s="61" t="n">
        <f aca="false">SUMPRODUCT(LEN(D141:J141))</f>
        <v>5</v>
      </c>
      <c r="L141" s="62"/>
    </row>
    <row r="142" customFormat="false" ht="15" hidden="false" customHeight="false" outlineLevel="0" collapsed="false">
      <c r="B142" s="66" t="s">
        <v>40</v>
      </c>
      <c r="C142" s="59" t="s">
        <v>11</v>
      </c>
      <c r="D142" s="60"/>
      <c r="E142" s="60"/>
      <c r="F142" s="60"/>
      <c r="G142" s="60"/>
      <c r="H142" s="60"/>
      <c r="I142" s="60"/>
      <c r="J142" s="60"/>
      <c r="K142" s="61" t="n">
        <f aca="false">SUMPRODUCT(LEN(D142:J142))</f>
        <v>0</v>
      </c>
      <c r="L142" s="62" t="n">
        <f aca="false">SUM(K142:K144)</f>
        <v>4</v>
      </c>
    </row>
    <row r="143" customFormat="false" ht="15" hidden="false" customHeight="false" outlineLevel="0" collapsed="false">
      <c r="B143" s="66"/>
      <c r="C143" s="59" t="s">
        <v>19</v>
      </c>
      <c r="D143" s="60"/>
      <c r="E143" s="60"/>
      <c r="F143" s="60"/>
      <c r="G143" s="60"/>
      <c r="H143" s="60"/>
      <c r="I143" s="60"/>
      <c r="J143" s="60"/>
      <c r="K143" s="61" t="n">
        <f aca="false">SUMPRODUCT(LEN(D143:J143))</f>
        <v>0</v>
      </c>
      <c r="L143" s="62"/>
    </row>
    <row r="144" customFormat="false" ht="15" hidden="false" customHeight="false" outlineLevel="0" collapsed="false">
      <c r="B144" s="66"/>
      <c r="C144" s="59" t="s">
        <v>24</v>
      </c>
      <c r="D144" s="60" t="s">
        <v>185</v>
      </c>
      <c r="E144" s="60"/>
      <c r="F144" s="60" t="s">
        <v>185</v>
      </c>
      <c r="G144" s="60"/>
      <c r="H144" s="60" t="s">
        <v>185</v>
      </c>
      <c r="I144" s="60"/>
      <c r="J144" s="60" t="s">
        <v>185</v>
      </c>
      <c r="K144" s="61" t="n">
        <f aca="false">SUMPRODUCT(LEN(D144:J144))</f>
        <v>4</v>
      </c>
      <c r="L144" s="62"/>
    </row>
    <row r="145" customFormat="false" ht="15" hidden="false" customHeight="false" outlineLevel="0" collapsed="false">
      <c r="B145" s="67" t="s">
        <v>14</v>
      </c>
      <c r="C145" s="59" t="s">
        <v>11</v>
      </c>
      <c r="D145" s="60"/>
      <c r="E145" s="60"/>
      <c r="F145" s="60"/>
      <c r="G145" s="60"/>
      <c r="H145" s="60"/>
      <c r="I145" s="60"/>
      <c r="J145" s="60"/>
      <c r="K145" s="61" t="n">
        <f aca="false">SUMPRODUCT(LEN(D145:J145))</f>
        <v>0</v>
      </c>
      <c r="L145" s="62" t="n">
        <f aca="false">SUM(K145:K147)</f>
        <v>4</v>
      </c>
    </row>
    <row r="146" customFormat="false" ht="15" hidden="false" customHeight="false" outlineLevel="0" collapsed="false">
      <c r="B146" s="67"/>
      <c r="C146" s="59" t="s">
        <v>19</v>
      </c>
      <c r="D146" s="60"/>
      <c r="E146" s="60"/>
      <c r="F146" s="60"/>
      <c r="G146" s="60"/>
      <c r="H146" s="60"/>
      <c r="I146" s="60"/>
      <c r="J146" s="60"/>
      <c r="K146" s="61" t="n">
        <f aca="false">SUMPRODUCT(LEN(D146:J146))</f>
        <v>0</v>
      </c>
      <c r="L146" s="62"/>
    </row>
    <row r="147" customFormat="false" ht="15" hidden="false" customHeight="false" outlineLevel="0" collapsed="false">
      <c r="B147" s="67"/>
      <c r="C147" s="59" t="s">
        <v>24</v>
      </c>
      <c r="D147" s="60" t="s">
        <v>185</v>
      </c>
      <c r="E147" s="60"/>
      <c r="F147" s="60" t="s">
        <v>185</v>
      </c>
      <c r="G147" s="60" t="s">
        <v>185</v>
      </c>
      <c r="H147" s="60"/>
      <c r="I147" s="60" t="s">
        <v>185</v>
      </c>
      <c r="J147" s="60"/>
      <c r="K147" s="61" t="n">
        <f aca="false">SUMPRODUCT(LEN(D147:J147))</f>
        <v>4</v>
      </c>
      <c r="L147" s="62"/>
    </row>
    <row r="148" customFormat="false" ht="15" hidden="false" customHeight="false" outlineLevel="0" collapsed="false">
      <c r="B148" s="68" t="s">
        <v>46</v>
      </c>
      <c r="C148" s="59" t="s">
        <v>11</v>
      </c>
      <c r="D148" s="60"/>
      <c r="E148" s="60"/>
      <c r="F148" s="60"/>
      <c r="G148" s="60"/>
      <c r="H148" s="60"/>
      <c r="I148" s="60"/>
      <c r="J148" s="60"/>
      <c r="K148" s="61" t="n">
        <f aca="false">SUMPRODUCT(LEN(D148:J148))</f>
        <v>0</v>
      </c>
      <c r="L148" s="62" t="n">
        <f aca="false">SUM(K148:K150)</f>
        <v>3</v>
      </c>
    </row>
    <row r="149" customFormat="false" ht="15" hidden="false" customHeight="false" outlineLevel="0" collapsed="false">
      <c r="B149" s="68"/>
      <c r="C149" s="59" t="s">
        <v>19</v>
      </c>
      <c r="D149" s="60"/>
      <c r="E149" s="60"/>
      <c r="F149" s="60"/>
      <c r="G149" s="60"/>
      <c r="H149" s="60"/>
      <c r="I149" s="60"/>
      <c r="J149" s="60"/>
      <c r="K149" s="61" t="n">
        <f aca="false">SUMPRODUCT(LEN(D149:J149))</f>
        <v>0</v>
      </c>
      <c r="L149" s="62"/>
    </row>
    <row r="150" customFormat="false" ht="15" hidden="false" customHeight="false" outlineLevel="0" collapsed="false">
      <c r="B150" s="68"/>
      <c r="C150" s="59" t="s">
        <v>24</v>
      </c>
      <c r="D150" s="60"/>
      <c r="E150" s="60" t="s">
        <v>185</v>
      </c>
      <c r="F150" s="60"/>
      <c r="G150" s="60" t="s">
        <v>185</v>
      </c>
      <c r="H150" s="60"/>
      <c r="I150" s="60" t="s">
        <v>185</v>
      </c>
      <c r="J150" s="60"/>
      <c r="K150" s="61" t="n">
        <f aca="false">SUMPRODUCT(LEN(D150:J150))</f>
        <v>3</v>
      </c>
      <c r="L150" s="62"/>
    </row>
    <row r="151" customFormat="false" ht="15" hidden="false" customHeight="false" outlineLevel="0" collapsed="false">
      <c r="B151" s="69" t="s">
        <v>49</v>
      </c>
      <c r="C151" s="59" t="s">
        <v>11</v>
      </c>
      <c r="D151" s="60"/>
      <c r="E151" s="60"/>
      <c r="F151" s="60"/>
      <c r="G151" s="60"/>
      <c r="H151" s="60"/>
      <c r="I151" s="60"/>
      <c r="J151" s="60"/>
      <c r="K151" s="61" t="n">
        <f aca="false">SUMPRODUCT(LEN(D151:J151))</f>
        <v>0</v>
      </c>
      <c r="L151" s="62" t="n">
        <f aca="false">SUM(K151:K153)</f>
        <v>2</v>
      </c>
    </row>
    <row r="152" customFormat="false" ht="15" hidden="false" customHeight="false" outlineLevel="0" collapsed="false">
      <c r="B152" s="69"/>
      <c r="C152" s="59" t="s">
        <v>19</v>
      </c>
      <c r="D152" s="60" t="s">
        <v>185</v>
      </c>
      <c r="E152" s="60"/>
      <c r="F152" s="60"/>
      <c r="G152" s="60"/>
      <c r="H152" s="60" t="s">
        <v>185</v>
      </c>
      <c r="I152" s="60"/>
      <c r="J152" s="60"/>
      <c r="K152" s="61" t="n">
        <f aca="false">SUMPRODUCT(LEN(D152:J152))</f>
        <v>2</v>
      </c>
      <c r="L152" s="62"/>
    </row>
    <row r="153" customFormat="false" ht="15" hidden="false" customHeight="false" outlineLevel="0" collapsed="false">
      <c r="B153" s="69"/>
      <c r="C153" s="59" t="s">
        <v>24</v>
      </c>
      <c r="D153" s="60"/>
      <c r="E153" s="60"/>
      <c r="F153" s="60"/>
      <c r="G153" s="60"/>
      <c r="H153" s="60"/>
      <c r="I153" s="60"/>
      <c r="J153" s="60"/>
      <c r="K153" s="61" t="n">
        <f aca="false">SUMPRODUCT(LEN(D153:J153))</f>
        <v>0</v>
      </c>
      <c r="L153" s="62"/>
    </row>
    <row r="154" customFormat="false" ht="15" hidden="false" customHeight="false" outlineLevel="0" collapsed="false">
      <c r="B154" s="70" t="s">
        <v>53</v>
      </c>
      <c r="C154" s="59" t="s">
        <v>11</v>
      </c>
      <c r="D154" s="60"/>
      <c r="E154" s="60"/>
      <c r="F154" s="60"/>
      <c r="G154" s="60"/>
      <c r="H154" s="60"/>
      <c r="I154" s="60"/>
      <c r="J154" s="60"/>
      <c r="K154" s="61" t="n">
        <f aca="false">SUMPRODUCT(LEN(D154:J154))</f>
        <v>0</v>
      </c>
      <c r="L154" s="62" t="n">
        <f aca="false">SUM(K154:K156)</f>
        <v>1</v>
      </c>
    </row>
    <row r="155" customFormat="false" ht="15" hidden="false" customHeight="false" outlineLevel="0" collapsed="false">
      <c r="B155" s="70"/>
      <c r="C155" s="59" t="s">
        <v>19</v>
      </c>
      <c r="D155" s="60"/>
      <c r="E155" s="60"/>
      <c r="F155" s="60"/>
      <c r="G155" s="60" t="s">
        <v>185</v>
      </c>
      <c r="H155" s="60"/>
      <c r="I155" s="60"/>
      <c r="J155" s="60"/>
      <c r="K155" s="61" t="n">
        <f aca="false">SUMPRODUCT(LEN(D155:J155))</f>
        <v>1</v>
      </c>
      <c r="L155" s="62"/>
    </row>
    <row r="156" customFormat="false" ht="15" hidden="false" customHeight="false" outlineLevel="0" collapsed="false">
      <c r="B156" s="70"/>
      <c r="C156" s="59" t="s">
        <v>24</v>
      </c>
      <c r="D156" s="60"/>
      <c r="E156" s="60"/>
      <c r="F156" s="60"/>
      <c r="G156" s="60"/>
      <c r="H156" s="60"/>
      <c r="I156" s="60"/>
      <c r="J156" s="60"/>
      <c r="K156" s="61" t="n">
        <f aca="false">SUMPRODUCT(LEN(D156:J156))</f>
        <v>0</v>
      </c>
      <c r="L156" s="62"/>
    </row>
    <row r="157" customFormat="false" ht="15" hidden="false" customHeight="false" outlineLevel="0" collapsed="false">
      <c r="B157" s="71" t="s">
        <v>56</v>
      </c>
      <c r="C157" s="59" t="s">
        <v>11</v>
      </c>
      <c r="D157" s="60"/>
      <c r="E157" s="60"/>
      <c r="F157" s="60"/>
      <c r="G157" s="60"/>
      <c r="H157" s="60"/>
      <c r="I157" s="60"/>
      <c r="J157" s="60"/>
      <c r="K157" s="61" t="n">
        <f aca="false">SUMPRODUCT(LEN(D157:J157))</f>
        <v>0</v>
      </c>
      <c r="L157" s="62" t="n">
        <f aca="false">SUM(K157:K159)</f>
        <v>2</v>
      </c>
    </row>
    <row r="158" customFormat="false" ht="15" hidden="false" customHeight="false" outlineLevel="0" collapsed="false">
      <c r="B158" s="71"/>
      <c r="C158" s="59" t="s">
        <v>19</v>
      </c>
      <c r="D158" s="60"/>
      <c r="E158" s="60"/>
      <c r="F158" s="60"/>
      <c r="G158" s="60"/>
      <c r="H158" s="60"/>
      <c r="I158" s="60"/>
      <c r="J158" s="60"/>
      <c r="K158" s="61" t="n">
        <f aca="false">SUMPRODUCT(LEN(D158:J158))</f>
        <v>0</v>
      </c>
      <c r="L158" s="62"/>
    </row>
    <row r="159" customFormat="false" ht="15" hidden="false" customHeight="false" outlineLevel="0" collapsed="false">
      <c r="B159" s="71"/>
      <c r="C159" s="59" t="s">
        <v>24</v>
      </c>
      <c r="D159" s="60"/>
      <c r="E159" s="60" t="s">
        <v>185</v>
      </c>
      <c r="F159" s="60"/>
      <c r="G159" s="60"/>
      <c r="H159" s="60"/>
      <c r="I159" s="60" t="s">
        <v>185</v>
      </c>
      <c r="J159" s="60"/>
      <c r="K159" s="61" t="n">
        <f aca="false">SUMPRODUCT(LEN(D159:J159))</f>
        <v>2</v>
      </c>
      <c r="L159" s="62"/>
    </row>
    <row r="160" customFormat="false" ht="15" hidden="false" customHeight="false" outlineLevel="0" collapsed="false">
      <c r="B160" s="72" t="s">
        <v>59</v>
      </c>
      <c r="C160" s="59" t="s">
        <v>11</v>
      </c>
      <c r="D160" s="60"/>
      <c r="E160" s="60"/>
      <c r="F160" s="60"/>
      <c r="G160" s="60"/>
      <c r="H160" s="60"/>
      <c r="I160" s="60"/>
      <c r="J160" s="60"/>
      <c r="K160" s="61" t="n">
        <f aca="false">SUMPRODUCT(LEN(D160:J160))</f>
        <v>0</v>
      </c>
      <c r="L160" s="62" t="n">
        <f aca="false">SUM(K160:K162)</f>
        <v>7</v>
      </c>
    </row>
    <row r="161" customFormat="false" ht="15" hidden="false" customHeight="false" outlineLevel="0" collapsed="false">
      <c r="B161" s="72"/>
      <c r="C161" s="59" t="s">
        <v>19</v>
      </c>
      <c r="D161" s="60"/>
      <c r="E161" s="60"/>
      <c r="F161" s="60"/>
      <c r="G161" s="60"/>
      <c r="H161" s="60"/>
      <c r="I161" s="60"/>
      <c r="J161" s="60"/>
      <c r="K161" s="61" t="n">
        <f aca="false">SUMPRODUCT(LEN(D161:J161))</f>
        <v>0</v>
      </c>
      <c r="L161" s="62"/>
    </row>
    <row r="162" customFormat="false" ht="15" hidden="false" customHeight="false" outlineLevel="0" collapsed="false">
      <c r="B162" s="72"/>
      <c r="C162" s="59" t="s">
        <v>24</v>
      </c>
      <c r="D162" s="60" t="s">
        <v>185</v>
      </c>
      <c r="E162" s="60" t="s">
        <v>185</v>
      </c>
      <c r="F162" s="60" t="s">
        <v>185</v>
      </c>
      <c r="G162" s="60" t="s">
        <v>186</v>
      </c>
      <c r="H162" s="60" t="s">
        <v>185</v>
      </c>
      <c r="I162" s="60" t="s">
        <v>185</v>
      </c>
      <c r="J162" s="60"/>
      <c r="K162" s="61" t="n">
        <f aca="false">SUMPRODUCT(LEN(D162:J162))</f>
        <v>7</v>
      </c>
      <c r="L162" s="62"/>
    </row>
    <row r="163" customFormat="false" ht="15" hidden="false" customHeight="false" outlineLevel="0" collapsed="false">
      <c r="B163" s="73" t="s">
        <v>62</v>
      </c>
      <c r="C163" s="59" t="s">
        <v>11</v>
      </c>
      <c r="D163" s="60"/>
      <c r="E163" s="60"/>
      <c r="F163" s="60"/>
      <c r="G163" s="60"/>
      <c r="H163" s="60"/>
      <c r="I163" s="60"/>
      <c r="J163" s="60"/>
      <c r="K163" s="61" t="n">
        <f aca="false">SUMPRODUCT(LEN(D163:J163))</f>
        <v>0</v>
      </c>
      <c r="L163" s="62" t="n">
        <f aca="false">SUM(K163:K165)</f>
        <v>2</v>
      </c>
    </row>
    <row r="164" customFormat="false" ht="15" hidden="false" customHeight="false" outlineLevel="0" collapsed="false">
      <c r="B164" s="73"/>
      <c r="C164" s="59" t="s">
        <v>19</v>
      </c>
      <c r="D164" s="60"/>
      <c r="E164" s="60"/>
      <c r="F164" s="60"/>
      <c r="G164" s="60"/>
      <c r="H164" s="60"/>
      <c r="I164" s="60"/>
      <c r="J164" s="60"/>
      <c r="K164" s="61" t="n">
        <f aca="false">SUMPRODUCT(LEN(D164:J164))</f>
        <v>0</v>
      </c>
      <c r="L164" s="62"/>
    </row>
    <row r="165" customFormat="false" ht="15" hidden="false" customHeight="false" outlineLevel="0" collapsed="false">
      <c r="B165" s="73"/>
      <c r="C165" s="59" t="s">
        <v>24</v>
      </c>
      <c r="D165" s="60"/>
      <c r="E165" s="60"/>
      <c r="F165" s="60" t="s">
        <v>185</v>
      </c>
      <c r="G165" s="60"/>
      <c r="H165" s="60"/>
      <c r="I165" s="60"/>
      <c r="J165" s="60" t="s">
        <v>185</v>
      </c>
      <c r="K165" s="61" t="n">
        <f aca="false">SUMPRODUCT(LEN(D165:J165))</f>
        <v>2</v>
      </c>
      <c r="L165" s="62"/>
    </row>
    <row r="167" customFormat="false" ht="19.5" hidden="false" customHeight="true" outlineLevel="0" collapsed="false">
      <c r="B167" s="55" t="str">
        <f aca="false">"TABLEAU 5/12  -  PROGRAMME DE AOUT 2027"&amp;IF($C$6="aout 2027","          &lt;&lt;&lt; MOIS ACTUELLEMENT FILTRE","")</f>
        <v>TABLEAU 5/12  -  PROGRAMME DE AOUT 2027</v>
      </c>
      <c r="C167" s="55"/>
      <c r="D167" s="55"/>
      <c r="E167" s="55"/>
      <c r="F167" s="55"/>
      <c r="G167" s="55"/>
      <c r="H167" s="55"/>
      <c r="I167" s="55"/>
      <c r="J167" s="55"/>
      <c r="L167" s="56" t="s">
        <v>179</v>
      </c>
    </row>
    <row r="168" customFormat="false" ht="25.5" hidden="false" customHeight="true" outlineLevel="0" collapsed="false">
      <c r="B168" s="57" t="s">
        <v>84</v>
      </c>
      <c r="C168" s="57" t="s">
        <v>180</v>
      </c>
      <c r="D168" s="57" t="s">
        <v>27</v>
      </c>
      <c r="E168" s="57" t="s">
        <v>28</v>
      </c>
      <c r="F168" s="57" t="s">
        <v>29</v>
      </c>
      <c r="G168" s="57" t="s">
        <v>30</v>
      </c>
      <c r="H168" s="57" t="s">
        <v>31</v>
      </c>
      <c r="I168" s="57" t="s">
        <v>32</v>
      </c>
      <c r="J168" s="57" t="s">
        <v>33</v>
      </c>
      <c r="K168" s="57" t="s">
        <v>181</v>
      </c>
      <c r="L168" s="57" t="s">
        <v>182</v>
      </c>
    </row>
    <row r="169" customFormat="false" ht="15" hidden="false" customHeight="false" outlineLevel="0" collapsed="false">
      <c r="B169" s="58" t="s">
        <v>12</v>
      </c>
      <c r="C169" s="59" t="s">
        <v>11</v>
      </c>
      <c r="D169" s="60" t="s">
        <v>183</v>
      </c>
      <c r="E169" s="60" t="s">
        <v>183</v>
      </c>
      <c r="F169" s="60" t="s">
        <v>183</v>
      </c>
      <c r="G169" s="60" t="s">
        <v>183</v>
      </c>
      <c r="H169" s="60" t="s">
        <v>183</v>
      </c>
      <c r="I169" s="60" t="s">
        <v>183</v>
      </c>
      <c r="J169" s="60" t="s">
        <v>183</v>
      </c>
      <c r="K169" s="61" t="n">
        <f aca="false">SUMPRODUCT(LEN(D169:J169))</f>
        <v>7</v>
      </c>
      <c r="L169" s="62" t="n">
        <f aca="false">SUM(K169:K171)</f>
        <v>14</v>
      </c>
    </row>
    <row r="170" customFormat="false" ht="15" hidden="false" customHeight="false" outlineLevel="0" collapsed="false">
      <c r="B170" s="58"/>
      <c r="C170" s="59" t="s">
        <v>19</v>
      </c>
      <c r="D170" s="60" t="s">
        <v>183</v>
      </c>
      <c r="E170" s="60" t="s">
        <v>183</v>
      </c>
      <c r="F170" s="60" t="s">
        <v>183</v>
      </c>
      <c r="G170" s="60" t="s">
        <v>183</v>
      </c>
      <c r="H170" s="60" t="s">
        <v>183</v>
      </c>
      <c r="I170" s="60" t="s">
        <v>183</v>
      </c>
      <c r="J170" s="60" t="s">
        <v>183</v>
      </c>
      <c r="K170" s="61" t="n">
        <f aca="false">SUMPRODUCT(LEN(D170:J170))</f>
        <v>7</v>
      </c>
      <c r="L170" s="62"/>
    </row>
    <row r="171" customFormat="false" ht="15" hidden="false" customHeight="false" outlineLevel="0" collapsed="false">
      <c r="B171" s="58"/>
      <c r="C171" s="59" t="s">
        <v>24</v>
      </c>
      <c r="D171" s="60"/>
      <c r="E171" s="60"/>
      <c r="F171" s="60"/>
      <c r="G171" s="60"/>
      <c r="H171" s="60"/>
      <c r="I171" s="60"/>
      <c r="J171" s="60"/>
      <c r="K171" s="61" t="n">
        <f aca="false">SUMPRODUCT(LEN(D171:J171))</f>
        <v>0</v>
      </c>
      <c r="L171" s="62"/>
    </row>
    <row r="172" customFormat="false" ht="15" hidden="false" customHeight="false" outlineLevel="0" collapsed="false">
      <c r="B172" s="63" t="s">
        <v>20</v>
      </c>
      <c r="C172" s="59" t="s">
        <v>11</v>
      </c>
      <c r="D172" s="60"/>
      <c r="E172" s="60"/>
      <c r="F172" s="60"/>
      <c r="G172" s="60"/>
      <c r="H172" s="60"/>
      <c r="I172" s="60"/>
      <c r="J172" s="60" t="s">
        <v>183</v>
      </c>
      <c r="K172" s="61" t="n">
        <f aca="false">SUMPRODUCT(LEN(D172:J172))</f>
        <v>1</v>
      </c>
      <c r="L172" s="62" t="n">
        <f aca="false">SUM(K172:K174)</f>
        <v>3</v>
      </c>
    </row>
    <row r="173" customFormat="false" ht="15" hidden="false" customHeight="false" outlineLevel="0" collapsed="false">
      <c r="B173" s="63"/>
      <c r="C173" s="59" t="s">
        <v>19</v>
      </c>
      <c r="D173" s="60"/>
      <c r="E173" s="60" t="s">
        <v>183</v>
      </c>
      <c r="F173" s="60"/>
      <c r="G173" s="60"/>
      <c r="H173" s="60" t="s">
        <v>183</v>
      </c>
      <c r="I173" s="60"/>
      <c r="J173" s="60"/>
      <c r="K173" s="61" t="n">
        <f aca="false">SUMPRODUCT(LEN(D173:J173))</f>
        <v>2</v>
      </c>
      <c r="L173" s="62"/>
    </row>
    <row r="174" customFormat="false" ht="15" hidden="false" customHeight="false" outlineLevel="0" collapsed="false">
      <c r="B174" s="63"/>
      <c r="C174" s="59" t="s">
        <v>24</v>
      </c>
      <c r="D174" s="60"/>
      <c r="E174" s="60"/>
      <c r="F174" s="60"/>
      <c r="G174" s="60"/>
      <c r="H174" s="60"/>
      <c r="I174" s="60"/>
      <c r="J174" s="60"/>
      <c r="K174" s="61" t="n">
        <f aca="false">SUMPRODUCT(LEN(D174:J174))</f>
        <v>0</v>
      </c>
      <c r="L174" s="62"/>
    </row>
    <row r="175" customFormat="false" ht="15" hidden="false" customHeight="false" outlineLevel="0" collapsed="false">
      <c r="B175" s="64" t="s">
        <v>25</v>
      </c>
      <c r="C175" s="59" t="s">
        <v>11</v>
      </c>
      <c r="D175" s="60"/>
      <c r="E175" s="60"/>
      <c r="F175" s="60"/>
      <c r="G175" s="60"/>
      <c r="H175" s="60"/>
      <c r="I175" s="60"/>
      <c r="J175" s="60"/>
      <c r="K175" s="61" t="n">
        <f aca="false">SUMPRODUCT(LEN(D175:J175))</f>
        <v>0</v>
      </c>
      <c r="L175" s="62" t="n">
        <f aca="false">SUM(K175:K177)</f>
        <v>2</v>
      </c>
    </row>
    <row r="176" customFormat="false" ht="15" hidden="false" customHeight="false" outlineLevel="0" collapsed="false">
      <c r="B176" s="64"/>
      <c r="C176" s="59" t="s">
        <v>19</v>
      </c>
      <c r="D176" s="60"/>
      <c r="E176" s="60"/>
      <c r="F176" s="60" t="s">
        <v>183</v>
      </c>
      <c r="G176" s="60"/>
      <c r="H176" s="60"/>
      <c r="I176" s="60" t="s">
        <v>183</v>
      </c>
      <c r="J176" s="60"/>
      <c r="K176" s="61" t="n">
        <f aca="false">SUMPRODUCT(LEN(D176:J176))</f>
        <v>2</v>
      </c>
      <c r="L176" s="62"/>
    </row>
    <row r="177" customFormat="false" ht="15" hidden="false" customHeight="false" outlineLevel="0" collapsed="false">
      <c r="B177" s="64"/>
      <c r="C177" s="59" t="s">
        <v>24</v>
      </c>
      <c r="D177" s="60"/>
      <c r="E177" s="60"/>
      <c r="F177" s="60"/>
      <c r="G177" s="60"/>
      <c r="H177" s="60"/>
      <c r="I177" s="60"/>
      <c r="J177" s="60"/>
      <c r="K177" s="61" t="n">
        <f aca="false">SUMPRODUCT(LEN(D177:J177))</f>
        <v>0</v>
      </c>
      <c r="L177" s="62"/>
    </row>
    <row r="178" customFormat="false" ht="15" hidden="false" customHeight="false" outlineLevel="0" collapsed="false">
      <c r="B178" s="65" t="s">
        <v>36</v>
      </c>
      <c r="C178" s="59" t="s">
        <v>11</v>
      </c>
      <c r="D178" s="60"/>
      <c r="E178" s="60"/>
      <c r="F178" s="60"/>
      <c r="G178" s="60"/>
      <c r="H178" s="60"/>
      <c r="I178" s="60"/>
      <c r="J178" s="60"/>
      <c r="K178" s="61" t="n">
        <f aca="false">SUMPRODUCT(LEN(D178:J178))</f>
        <v>0</v>
      </c>
      <c r="L178" s="62" t="n">
        <f aca="false">SUM(K178:K180)</f>
        <v>6</v>
      </c>
    </row>
    <row r="179" customFormat="false" ht="15" hidden="false" customHeight="false" outlineLevel="0" collapsed="false">
      <c r="B179" s="65"/>
      <c r="C179" s="59" t="s">
        <v>19</v>
      </c>
      <c r="D179" s="60"/>
      <c r="E179" s="60"/>
      <c r="F179" s="60" t="s">
        <v>185</v>
      </c>
      <c r="G179" s="60"/>
      <c r="H179" s="60"/>
      <c r="I179" s="60"/>
      <c r="J179" s="60"/>
      <c r="K179" s="61" t="n">
        <f aca="false">SUMPRODUCT(LEN(D179:J179))</f>
        <v>1</v>
      </c>
      <c r="L179" s="62"/>
    </row>
    <row r="180" customFormat="false" ht="15" hidden="false" customHeight="false" outlineLevel="0" collapsed="false">
      <c r="B180" s="65"/>
      <c r="C180" s="59" t="s">
        <v>24</v>
      </c>
      <c r="D180" s="60" t="s">
        <v>185</v>
      </c>
      <c r="E180" s="60" t="s">
        <v>185</v>
      </c>
      <c r="F180" s="60" t="s">
        <v>185</v>
      </c>
      <c r="G180" s="60" t="s">
        <v>185</v>
      </c>
      <c r="H180" s="60" t="s">
        <v>185</v>
      </c>
      <c r="I180" s="60"/>
      <c r="J180" s="60"/>
      <c r="K180" s="61" t="n">
        <f aca="false">SUMPRODUCT(LEN(D180:J180))</f>
        <v>5</v>
      </c>
      <c r="L180" s="62"/>
    </row>
    <row r="181" customFormat="false" ht="15" hidden="false" customHeight="false" outlineLevel="0" collapsed="false">
      <c r="B181" s="66" t="s">
        <v>40</v>
      </c>
      <c r="C181" s="59" t="s">
        <v>11</v>
      </c>
      <c r="D181" s="60"/>
      <c r="E181" s="60"/>
      <c r="F181" s="60"/>
      <c r="G181" s="60"/>
      <c r="H181" s="60"/>
      <c r="I181" s="60"/>
      <c r="J181" s="60"/>
      <c r="K181" s="61" t="n">
        <f aca="false">SUMPRODUCT(LEN(D181:J181))</f>
        <v>0</v>
      </c>
      <c r="L181" s="62" t="n">
        <f aca="false">SUM(K181:K183)</f>
        <v>4</v>
      </c>
    </row>
    <row r="182" customFormat="false" ht="15" hidden="false" customHeight="false" outlineLevel="0" collapsed="false">
      <c r="B182" s="66"/>
      <c r="C182" s="59" t="s">
        <v>19</v>
      </c>
      <c r="D182" s="60"/>
      <c r="E182" s="60"/>
      <c r="F182" s="60"/>
      <c r="G182" s="60"/>
      <c r="H182" s="60"/>
      <c r="I182" s="60"/>
      <c r="J182" s="60"/>
      <c r="K182" s="61" t="n">
        <f aca="false">SUMPRODUCT(LEN(D182:J182))</f>
        <v>0</v>
      </c>
      <c r="L182" s="62"/>
    </row>
    <row r="183" customFormat="false" ht="15" hidden="false" customHeight="false" outlineLevel="0" collapsed="false">
      <c r="B183" s="66"/>
      <c r="C183" s="59" t="s">
        <v>24</v>
      </c>
      <c r="D183" s="60" t="s">
        <v>185</v>
      </c>
      <c r="E183" s="60"/>
      <c r="F183" s="60" t="s">
        <v>185</v>
      </c>
      <c r="G183" s="60"/>
      <c r="H183" s="60" t="s">
        <v>185</v>
      </c>
      <c r="I183" s="60"/>
      <c r="J183" s="60" t="s">
        <v>185</v>
      </c>
      <c r="K183" s="61" t="n">
        <f aca="false">SUMPRODUCT(LEN(D183:J183))</f>
        <v>4</v>
      </c>
      <c r="L183" s="62"/>
    </row>
    <row r="184" customFormat="false" ht="15" hidden="false" customHeight="false" outlineLevel="0" collapsed="false">
      <c r="B184" s="67" t="s">
        <v>14</v>
      </c>
      <c r="C184" s="59" t="s">
        <v>11</v>
      </c>
      <c r="D184" s="60"/>
      <c r="E184" s="60"/>
      <c r="F184" s="60"/>
      <c r="G184" s="60"/>
      <c r="H184" s="60"/>
      <c r="I184" s="60"/>
      <c r="J184" s="60"/>
      <c r="K184" s="61" t="n">
        <f aca="false">SUMPRODUCT(LEN(D184:J184))</f>
        <v>0</v>
      </c>
      <c r="L184" s="62" t="n">
        <f aca="false">SUM(K184:K186)</f>
        <v>3</v>
      </c>
    </row>
    <row r="185" customFormat="false" ht="15" hidden="false" customHeight="false" outlineLevel="0" collapsed="false">
      <c r="B185" s="67"/>
      <c r="C185" s="59" t="s">
        <v>19</v>
      </c>
      <c r="D185" s="60"/>
      <c r="E185" s="60"/>
      <c r="F185" s="60"/>
      <c r="G185" s="60"/>
      <c r="H185" s="60"/>
      <c r="I185" s="60"/>
      <c r="J185" s="60"/>
      <c r="K185" s="61" t="n">
        <f aca="false">SUMPRODUCT(LEN(D185:J185))</f>
        <v>0</v>
      </c>
      <c r="L185" s="62"/>
    </row>
    <row r="186" customFormat="false" ht="15" hidden="false" customHeight="false" outlineLevel="0" collapsed="false">
      <c r="B186" s="67"/>
      <c r="C186" s="59" t="s">
        <v>24</v>
      </c>
      <c r="D186" s="60" t="s">
        <v>185</v>
      </c>
      <c r="E186" s="60"/>
      <c r="F186" s="60"/>
      <c r="G186" s="60" t="s">
        <v>185</v>
      </c>
      <c r="H186" s="60"/>
      <c r="I186" s="60" t="s">
        <v>185</v>
      </c>
      <c r="J186" s="60"/>
      <c r="K186" s="61" t="n">
        <f aca="false">SUMPRODUCT(LEN(D186:J186))</f>
        <v>3</v>
      </c>
      <c r="L186" s="62"/>
    </row>
    <row r="187" customFormat="false" ht="15" hidden="false" customHeight="false" outlineLevel="0" collapsed="false">
      <c r="B187" s="68" t="s">
        <v>46</v>
      </c>
      <c r="C187" s="59" t="s">
        <v>11</v>
      </c>
      <c r="D187" s="60"/>
      <c r="E187" s="60"/>
      <c r="F187" s="60"/>
      <c r="G187" s="60"/>
      <c r="H187" s="60"/>
      <c r="I187" s="60"/>
      <c r="J187" s="60"/>
      <c r="K187" s="61" t="n">
        <f aca="false">SUMPRODUCT(LEN(D187:J187))</f>
        <v>0</v>
      </c>
      <c r="L187" s="62" t="n">
        <f aca="false">SUM(K187:K189)</f>
        <v>3</v>
      </c>
    </row>
    <row r="188" customFormat="false" ht="15" hidden="false" customHeight="false" outlineLevel="0" collapsed="false">
      <c r="B188" s="68"/>
      <c r="C188" s="59" t="s">
        <v>19</v>
      </c>
      <c r="D188" s="60"/>
      <c r="E188" s="60"/>
      <c r="F188" s="60"/>
      <c r="G188" s="60"/>
      <c r="H188" s="60"/>
      <c r="I188" s="60"/>
      <c r="J188" s="60"/>
      <c r="K188" s="61" t="n">
        <f aca="false">SUMPRODUCT(LEN(D188:J188))</f>
        <v>0</v>
      </c>
      <c r="L188" s="62"/>
    </row>
    <row r="189" customFormat="false" ht="15" hidden="false" customHeight="false" outlineLevel="0" collapsed="false">
      <c r="B189" s="68"/>
      <c r="C189" s="59" t="s">
        <v>24</v>
      </c>
      <c r="D189" s="60"/>
      <c r="E189" s="60" t="s">
        <v>185</v>
      </c>
      <c r="F189" s="60"/>
      <c r="G189" s="60" t="s">
        <v>185</v>
      </c>
      <c r="H189" s="60"/>
      <c r="I189" s="60" t="s">
        <v>185</v>
      </c>
      <c r="J189" s="60"/>
      <c r="K189" s="61" t="n">
        <f aca="false">SUMPRODUCT(LEN(D189:J189))</f>
        <v>3</v>
      </c>
      <c r="L189" s="62"/>
    </row>
    <row r="190" customFormat="false" ht="15" hidden="false" customHeight="false" outlineLevel="0" collapsed="false">
      <c r="B190" s="69" t="s">
        <v>49</v>
      </c>
      <c r="C190" s="59" t="s">
        <v>11</v>
      </c>
      <c r="D190" s="60"/>
      <c r="E190" s="60"/>
      <c r="F190" s="60"/>
      <c r="G190" s="60"/>
      <c r="H190" s="60"/>
      <c r="I190" s="60"/>
      <c r="J190" s="60"/>
      <c r="K190" s="61" t="n">
        <f aca="false">SUMPRODUCT(LEN(D190:J190))</f>
        <v>0</v>
      </c>
      <c r="L190" s="62" t="n">
        <f aca="false">SUM(K190:K192)</f>
        <v>2</v>
      </c>
    </row>
    <row r="191" customFormat="false" ht="15" hidden="false" customHeight="false" outlineLevel="0" collapsed="false">
      <c r="B191" s="69"/>
      <c r="C191" s="59" t="s">
        <v>19</v>
      </c>
      <c r="D191" s="60" t="s">
        <v>185</v>
      </c>
      <c r="E191" s="60"/>
      <c r="F191" s="60"/>
      <c r="G191" s="60"/>
      <c r="H191" s="60" t="s">
        <v>185</v>
      </c>
      <c r="I191" s="60"/>
      <c r="J191" s="60"/>
      <c r="K191" s="61" t="n">
        <f aca="false">SUMPRODUCT(LEN(D191:J191))</f>
        <v>2</v>
      </c>
      <c r="L191" s="62"/>
    </row>
    <row r="192" customFormat="false" ht="15" hidden="false" customHeight="false" outlineLevel="0" collapsed="false">
      <c r="B192" s="69"/>
      <c r="C192" s="59" t="s">
        <v>24</v>
      </c>
      <c r="D192" s="60"/>
      <c r="E192" s="60"/>
      <c r="F192" s="60"/>
      <c r="G192" s="60"/>
      <c r="H192" s="60"/>
      <c r="I192" s="60"/>
      <c r="J192" s="60"/>
      <c r="K192" s="61" t="n">
        <f aca="false">SUMPRODUCT(LEN(D192:J192))</f>
        <v>0</v>
      </c>
      <c r="L192" s="62"/>
    </row>
    <row r="193" customFormat="false" ht="15" hidden="false" customHeight="false" outlineLevel="0" collapsed="false">
      <c r="B193" s="70" t="s">
        <v>53</v>
      </c>
      <c r="C193" s="59" t="s">
        <v>11</v>
      </c>
      <c r="D193" s="60"/>
      <c r="E193" s="60"/>
      <c r="F193" s="60"/>
      <c r="G193" s="60"/>
      <c r="H193" s="60"/>
      <c r="I193" s="60"/>
      <c r="J193" s="60"/>
      <c r="K193" s="61" t="n">
        <f aca="false">SUMPRODUCT(LEN(D193:J193))</f>
        <v>0</v>
      </c>
      <c r="L193" s="62" t="n">
        <f aca="false">SUM(K193:K195)</f>
        <v>1</v>
      </c>
    </row>
    <row r="194" customFormat="false" ht="15" hidden="false" customHeight="false" outlineLevel="0" collapsed="false">
      <c r="B194" s="70"/>
      <c r="C194" s="59" t="s">
        <v>19</v>
      </c>
      <c r="D194" s="60"/>
      <c r="E194" s="60"/>
      <c r="F194" s="60"/>
      <c r="G194" s="60" t="s">
        <v>185</v>
      </c>
      <c r="H194" s="60"/>
      <c r="I194" s="60"/>
      <c r="J194" s="60"/>
      <c r="K194" s="61" t="n">
        <f aca="false">SUMPRODUCT(LEN(D194:J194))</f>
        <v>1</v>
      </c>
      <c r="L194" s="62"/>
    </row>
    <row r="195" customFormat="false" ht="15" hidden="false" customHeight="false" outlineLevel="0" collapsed="false">
      <c r="B195" s="70"/>
      <c r="C195" s="59" t="s">
        <v>24</v>
      </c>
      <c r="D195" s="60"/>
      <c r="E195" s="60"/>
      <c r="F195" s="60"/>
      <c r="G195" s="60"/>
      <c r="H195" s="60"/>
      <c r="I195" s="60"/>
      <c r="J195" s="60"/>
      <c r="K195" s="61" t="n">
        <f aca="false">SUMPRODUCT(LEN(D195:J195))</f>
        <v>0</v>
      </c>
      <c r="L195" s="62"/>
    </row>
    <row r="196" customFormat="false" ht="15" hidden="false" customHeight="false" outlineLevel="0" collapsed="false">
      <c r="B196" s="71" t="s">
        <v>56</v>
      </c>
      <c r="C196" s="59" t="s">
        <v>11</v>
      </c>
      <c r="D196" s="60"/>
      <c r="E196" s="60"/>
      <c r="F196" s="60"/>
      <c r="G196" s="60"/>
      <c r="H196" s="60"/>
      <c r="I196" s="60"/>
      <c r="J196" s="60"/>
      <c r="K196" s="61" t="n">
        <f aca="false">SUMPRODUCT(LEN(D196:J196))</f>
        <v>0</v>
      </c>
      <c r="L196" s="62" t="n">
        <f aca="false">SUM(K196:K198)</f>
        <v>2</v>
      </c>
    </row>
    <row r="197" customFormat="false" ht="15" hidden="false" customHeight="false" outlineLevel="0" collapsed="false">
      <c r="B197" s="71"/>
      <c r="C197" s="59" t="s">
        <v>19</v>
      </c>
      <c r="D197" s="60"/>
      <c r="E197" s="60"/>
      <c r="F197" s="60"/>
      <c r="G197" s="60"/>
      <c r="H197" s="60"/>
      <c r="I197" s="60"/>
      <c r="J197" s="60"/>
      <c r="K197" s="61" t="n">
        <f aca="false">SUMPRODUCT(LEN(D197:J197))</f>
        <v>0</v>
      </c>
      <c r="L197" s="62"/>
    </row>
    <row r="198" customFormat="false" ht="15" hidden="false" customHeight="false" outlineLevel="0" collapsed="false">
      <c r="B198" s="71"/>
      <c r="C198" s="59" t="s">
        <v>24</v>
      </c>
      <c r="D198" s="60"/>
      <c r="E198" s="60" t="s">
        <v>185</v>
      </c>
      <c r="F198" s="60"/>
      <c r="G198" s="60"/>
      <c r="H198" s="60"/>
      <c r="I198" s="60" t="s">
        <v>185</v>
      </c>
      <c r="J198" s="60"/>
      <c r="K198" s="61" t="n">
        <f aca="false">SUMPRODUCT(LEN(D198:J198))</f>
        <v>2</v>
      </c>
      <c r="L198" s="62"/>
    </row>
    <row r="199" customFormat="false" ht="15" hidden="false" customHeight="false" outlineLevel="0" collapsed="false">
      <c r="B199" s="72" t="s">
        <v>59</v>
      </c>
      <c r="C199" s="59" t="s">
        <v>11</v>
      </c>
      <c r="D199" s="60"/>
      <c r="E199" s="60"/>
      <c r="F199" s="60"/>
      <c r="G199" s="60"/>
      <c r="H199" s="60"/>
      <c r="I199" s="60"/>
      <c r="J199" s="60"/>
      <c r="K199" s="61" t="n">
        <f aca="false">SUMPRODUCT(LEN(D199:J199))</f>
        <v>0</v>
      </c>
      <c r="L199" s="62" t="n">
        <f aca="false">SUM(K199:K201)</f>
        <v>7</v>
      </c>
    </row>
    <row r="200" customFormat="false" ht="15" hidden="false" customHeight="false" outlineLevel="0" collapsed="false">
      <c r="B200" s="72"/>
      <c r="C200" s="59" t="s">
        <v>19</v>
      </c>
      <c r="D200" s="60"/>
      <c r="E200" s="60"/>
      <c r="F200" s="60"/>
      <c r="G200" s="60"/>
      <c r="H200" s="60"/>
      <c r="I200" s="60"/>
      <c r="J200" s="60"/>
      <c r="K200" s="61" t="n">
        <f aca="false">SUMPRODUCT(LEN(D200:J200))</f>
        <v>0</v>
      </c>
      <c r="L200" s="62"/>
    </row>
    <row r="201" customFormat="false" ht="15" hidden="false" customHeight="false" outlineLevel="0" collapsed="false">
      <c r="B201" s="72"/>
      <c r="C201" s="59" t="s">
        <v>24</v>
      </c>
      <c r="D201" s="60" t="s">
        <v>185</v>
      </c>
      <c r="E201" s="60" t="s">
        <v>185</v>
      </c>
      <c r="F201" s="60" t="s">
        <v>185</v>
      </c>
      <c r="G201" s="60" t="s">
        <v>186</v>
      </c>
      <c r="H201" s="60" t="s">
        <v>185</v>
      </c>
      <c r="I201" s="60" t="s">
        <v>185</v>
      </c>
      <c r="J201" s="60"/>
      <c r="K201" s="61" t="n">
        <f aca="false">SUMPRODUCT(LEN(D201:J201))</f>
        <v>7</v>
      </c>
      <c r="L201" s="62"/>
    </row>
    <row r="202" customFormat="false" ht="15" hidden="false" customHeight="false" outlineLevel="0" collapsed="false">
      <c r="B202" s="73" t="s">
        <v>62</v>
      </c>
      <c r="C202" s="59" t="s">
        <v>11</v>
      </c>
      <c r="D202" s="60"/>
      <c r="E202" s="60"/>
      <c r="F202" s="60"/>
      <c r="G202" s="60"/>
      <c r="H202" s="60"/>
      <c r="I202" s="60"/>
      <c r="J202" s="60"/>
      <c r="K202" s="61" t="n">
        <f aca="false">SUMPRODUCT(LEN(D202:J202))</f>
        <v>0</v>
      </c>
      <c r="L202" s="62" t="n">
        <f aca="false">SUM(K202:K204)</f>
        <v>2</v>
      </c>
    </row>
    <row r="203" customFormat="false" ht="15" hidden="false" customHeight="false" outlineLevel="0" collapsed="false">
      <c r="B203" s="73"/>
      <c r="C203" s="59" t="s">
        <v>19</v>
      </c>
      <c r="D203" s="60"/>
      <c r="E203" s="60"/>
      <c r="F203" s="60"/>
      <c r="G203" s="60"/>
      <c r="H203" s="60"/>
      <c r="I203" s="60"/>
      <c r="J203" s="60"/>
      <c r="K203" s="61" t="n">
        <f aca="false">SUMPRODUCT(LEN(D203:J203))</f>
        <v>0</v>
      </c>
      <c r="L203" s="62"/>
    </row>
    <row r="204" customFormat="false" ht="15" hidden="false" customHeight="false" outlineLevel="0" collapsed="false">
      <c r="B204" s="73"/>
      <c r="C204" s="59" t="s">
        <v>24</v>
      </c>
      <c r="D204" s="60"/>
      <c r="E204" s="60"/>
      <c r="F204" s="60" t="s">
        <v>185</v>
      </c>
      <c r="G204" s="60"/>
      <c r="H204" s="60"/>
      <c r="I204" s="60"/>
      <c r="J204" s="60" t="s">
        <v>185</v>
      </c>
      <c r="K204" s="61" t="n">
        <f aca="false">SUMPRODUCT(LEN(D204:J204))</f>
        <v>2</v>
      </c>
      <c r="L204" s="62"/>
    </row>
    <row r="206" customFormat="false" ht="19.5" hidden="false" customHeight="true" outlineLevel="0" collapsed="false">
      <c r="B206" s="55" t="str">
        <f aca="false">"TABLEAU 6/12  -  PROGRAMME DE SEPTEMBRE 2027"&amp;IF($C$6="septembre 2027","          &lt;&lt;&lt; MOIS ACTUELLEMENT FILTRE","")</f>
        <v>TABLEAU 6/12  -  PROGRAMME DE SEPTEMBRE 2027</v>
      </c>
      <c r="C206" s="55"/>
      <c r="D206" s="55"/>
      <c r="E206" s="55"/>
      <c r="F206" s="55"/>
      <c r="G206" s="55"/>
      <c r="H206" s="55"/>
      <c r="I206" s="55"/>
      <c r="J206" s="55"/>
      <c r="L206" s="56" t="s">
        <v>179</v>
      </c>
    </row>
    <row r="207" customFormat="false" ht="25.5" hidden="false" customHeight="true" outlineLevel="0" collapsed="false">
      <c r="B207" s="57" t="s">
        <v>84</v>
      </c>
      <c r="C207" s="57" t="s">
        <v>180</v>
      </c>
      <c r="D207" s="57" t="s">
        <v>27</v>
      </c>
      <c r="E207" s="57" t="s">
        <v>28</v>
      </c>
      <c r="F207" s="57" t="s">
        <v>29</v>
      </c>
      <c r="G207" s="57" t="s">
        <v>30</v>
      </c>
      <c r="H207" s="57" t="s">
        <v>31</v>
      </c>
      <c r="I207" s="57" t="s">
        <v>32</v>
      </c>
      <c r="J207" s="57" t="s">
        <v>33</v>
      </c>
      <c r="K207" s="57" t="s">
        <v>181</v>
      </c>
      <c r="L207" s="57" t="s">
        <v>182</v>
      </c>
    </row>
    <row r="208" customFormat="false" ht="15" hidden="false" customHeight="false" outlineLevel="0" collapsed="false">
      <c r="B208" s="58" t="s">
        <v>12</v>
      </c>
      <c r="C208" s="59" t="s">
        <v>11</v>
      </c>
      <c r="D208" s="60" t="s">
        <v>183</v>
      </c>
      <c r="E208" s="60" t="s">
        <v>183</v>
      </c>
      <c r="F208" s="60" t="s">
        <v>183</v>
      </c>
      <c r="G208" s="60" t="s">
        <v>183</v>
      </c>
      <c r="H208" s="60" t="s">
        <v>183</v>
      </c>
      <c r="I208" s="60" t="s">
        <v>183</v>
      </c>
      <c r="J208" s="60" t="s">
        <v>183</v>
      </c>
      <c r="K208" s="61" t="n">
        <f aca="false">SUMPRODUCT(LEN(D208:J208))</f>
        <v>7</v>
      </c>
      <c r="L208" s="62" t="n">
        <f aca="false">SUM(K208:K210)</f>
        <v>11</v>
      </c>
    </row>
    <row r="209" customFormat="false" ht="15" hidden="false" customHeight="false" outlineLevel="0" collapsed="false">
      <c r="B209" s="58"/>
      <c r="C209" s="59" t="s">
        <v>19</v>
      </c>
      <c r="D209" s="60" t="s">
        <v>183</v>
      </c>
      <c r="E209" s="60"/>
      <c r="F209" s="60"/>
      <c r="G209" s="60"/>
      <c r="H209" s="60" t="s">
        <v>183</v>
      </c>
      <c r="I209" s="60"/>
      <c r="J209" s="60"/>
      <c r="K209" s="61" t="n">
        <f aca="false">SUMPRODUCT(LEN(D209:J209))</f>
        <v>2</v>
      </c>
      <c r="L209" s="62"/>
    </row>
    <row r="210" customFormat="false" ht="15" hidden="false" customHeight="false" outlineLevel="0" collapsed="false">
      <c r="B210" s="58"/>
      <c r="C210" s="59" t="s">
        <v>24</v>
      </c>
      <c r="D210" s="60" t="s">
        <v>184</v>
      </c>
      <c r="E210" s="60"/>
      <c r="F210" s="60"/>
      <c r="G210" s="60"/>
      <c r="H210" s="60"/>
      <c r="I210" s="60"/>
      <c r="J210" s="60"/>
      <c r="K210" s="61" t="n">
        <f aca="false">SUMPRODUCT(LEN(D210:J210))</f>
        <v>2</v>
      </c>
      <c r="L210" s="62"/>
    </row>
    <row r="211" customFormat="false" ht="15" hidden="false" customHeight="false" outlineLevel="0" collapsed="false">
      <c r="B211" s="63" t="s">
        <v>20</v>
      </c>
      <c r="C211" s="59" t="s">
        <v>11</v>
      </c>
      <c r="D211" s="60"/>
      <c r="E211" s="60"/>
      <c r="F211" s="60"/>
      <c r="G211" s="60"/>
      <c r="H211" s="60"/>
      <c r="I211" s="60"/>
      <c r="J211" s="60" t="s">
        <v>183</v>
      </c>
      <c r="K211" s="61" t="n">
        <f aca="false">SUMPRODUCT(LEN(D211:J211))</f>
        <v>1</v>
      </c>
      <c r="L211" s="62" t="n">
        <f aca="false">SUM(K211:K213)</f>
        <v>3</v>
      </c>
    </row>
    <row r="212" customFormat="false" ht="15" hidden="false" customHeight="false" outlineLevel="0" collapsed="false">
      <c r="B212" s="63"/>
      <c r="C212" s="59" t="s">
        <v>19</v>
      </c>
      <c r="D212" s="60"/>
      <c r="E212" s="60" t="s">
        <v>183</v>
      </c>
      <c r="F212" s="60"/>
      <c r="G212" s="60"/>
      <c r="H212" s="60" t="s">
        <v>183</v>
      </c>
      <c r="I212" s="60"/>
      <c r="J212" s="60"/>
      <c r="K212" s="61" t="n">
        <f aca="false">SUMPRODUCT(LEN(D212:J212))</f>
        <v>2</v>
      </c>
      <c r="L212" s="62"/>
    </row>
    <row r="213" customFormat="false" ht="15" hidden="false" customHeight="false" outlineLevel="0" collapsed="false">
      <c r="B213" s="63"/>
      <c r="C213" s="59" t="s">
        <v>24</v>
      </c>
      <c r="D213" s="60"/>
      <c r="E213" s="60"/>
      <c r="F213" s="60"/>
      <c r="G213" s="60"/>
      <c r="H213" s="60"/>
      <c r="I213" s="60"/>
      <c r="J213" s="60"/>
      <c r="K213" s="61" t="n">
        <f aca="false">SUMPRODUCT(LEN(D213:J213))</f>
        <v>0</v>
      </c>
      <c r="L213" s="62"/>
    </row>
    <row r="214" customFormat="false" ht="15" hidden="false" customHeight="false" outlineLevel="0" collapsed="false">
      <c r="B214" s="64" t="s">
        <v>25</v>
      </c>
      <c r="C214" s="59" t="s">
        <v>11</v>
      </c>
      <c r="D214" s="60"/>
      <c r="E214" s="60"/>
      <c r="F214" s="60"/>
      <c r="G214" s="60"/>
      <c r="H214" s="60"/>
      <c r="I214" s="60"/>
      <c r="J214" s="60"/>
      <c r="K214" s="61" t="n">
        <f aca="false">SUMPRODUCT(LEN(D214:J214))</f>
        <v>0</v>
      </c>
      <c r="L214" s="62" t="n">
        <f aca="false">SUM(K214:K216)</f>
        <v>2</v>
      </c>
    </row>
    <row r="215" customFormat="false" ht="15" hidden="false" customHeight="false" outlineLevel="0" collapsed="false">
      <c r="B215" s="64"/>
      <c r="C215" s="59" t="s">
        <v>19</v>
      </c>
      <c r="D215" s="60"/>
      <c r="E215" s="60"/>
      <c r="F215" s="60" t="s">
        <v>183</v>
      </c>
      <c r="G215" s="60"/>
      <c r="H215" s="60"/>
      <c r="I215" s="60" t="s">
        <v>183</v>
      </c>
      <c r="J215" s="60"/>
      <c r="K215" s="61" t="n">
        <f aca="false">SUMPRODUCT(LEN(D215:J215))</f>
        <v>2</v>
      </c>
      <c r="L215" s="62"/>
    </row>
    <row r="216" customFormat="false" ht="15" hidden="false" customHeight="false" outlineLevel="0" collapsed="false">
      <c r="B216" s="64"/>
      <c r="C216" s="59" t="s">
        <v>24</v>
      </c>
      <c r="D216" s="60"/>
      <c r="E216" s="60"/>
      <c r="F216" s="60"/>
      <c r="G216" s="60"/>
      <c r="H216" s="60"/>
      <c r="I216" s="60"/>
      <c r="J216" s="60"/>
      <c r="K216" s="61" t="n">
        <f aca="false">SUMPRODUCT(LEN(D216:J216))</f>
        <v>0</v>
      </c>
      <c r="L216" s="62"/>
    </row>
    <row r="217" customFormat="false" ht="15" hidden="false" customHeight="false" outlineLevel="0" collapsed="false">
      <c r="B217" s="65" t="s">
        <v>36</v>
      </c>
      <c r="C217" s="59" t="s">
        <v>11</v>
      </c>
      <c r="D217" s="60"/>
      <c r="E217" s="60"/>
      <c r="F217" s="60"/>
      <c r="G217" s="60"/>
      <c r="H217" s="60"/>
      <c r="I217" s="60"/>
      <c r="J217" s="60"/>
      <c r="K217" s="61" t="n">
        <f aca="false">SUMPRODUCT(LEN(D217:J217))</f>
        <v>0</v>
      </c>
      <c r="L217" s="62" t="n">
        <f aca="false">SUM(K217:K219)</f>
        <v>6</v>
      </c>
    </row>
    <row r="218" customFormat="false" ht="15" hidden="false" customHeight="false" outlineLevel="0" collapsed="false">
      <c r="B218" s="65"/>
      <c r="C218" s="59" t="s">
        <v>19</v>
      </c>
      <c r="D218" s="60"/>
      <c r="E218" s="60"/>
      <c r="F218" s="60" t="s">
        <v>185</v>
      </c>
      <c r="G218" s="60"/>
      <c r="H218" s="60"/>
      <c r="I218" s="60"/>
      <c r="J218" s="60"/>
      <c r="K218" s="61" t="n">
        <f aca="false">SUMPRODUCT(LEN(D218:J218))</f>
        <v>1</v>
      </c>
      <c r="L218" s="62"/>
    </row>
    <row r="219" customFormat="false" ht="15" hidden="false" customHeight="false" outlineLevel="0" collapsed="false">
      <c r="B219" s="65"/>
      <c r="C219" s="59" t="s">
        <v>24</v>
      </c>
      <c r="D219" s="60" t="s">
        <v>185</v>
      </c>
      <c r="E219" s="60" t="s">
        <v>185</v>
      </c>
      <c r="F219" s="60" t="s">
        <v>185</v>
      </c>
      <c r="G219" s="60" t="s">
        <v>185</v>
      </c>
      <c r="H219" s="60" t="s">
        <v>185</v>
      </c>
      <c r="I219" s="60"/>
      <c r="J219" s="60"/>
      <c r="K219" s="61" t="n">
        <f aca="false">SUMPRODUCT(LEN(D219:J219))</f>
        <v>5</v>
      </c>
      <c r="L219" s="62"/>
    </row>
    <row r="220" customFormat="false" ht="15" hidden="false" customHeight="false" outlineLevel="0" collapsed="false">
      <c r="B220" s="66" t="s">
        <v>40</v>
      </c>
      <c r="C220" s="59" t="s">
        <v>11</v>
      </c>
      <c r="D220" s="60"/>
      <c r="E220" s="60"/>
      <c r="F220" s="60"/>
      <c r="G220" s="60"/>
      <c r="H220" s="60"/>
      <c r="I220" s="60"/>
      <c r="J220" s="60"/>
      <c r="K220" s="61" t="n">
        <f aca="false">SUMPRODUCT(LEN(D220:J220))</f>
        <v>0</v>
      </c>
      <c r="L220" s="62" t="n">
        <f aca="false">SUM(K220:K222)</f>
        <v>4</v>
      </c>
    </row>
    <row r="221" customFormat="false" ht="15" hidden="false" customHeight="false" outlineLevel="0" collapsed="false">
      <c r="B221" s="66"/>
      <c r="C221" s="59" t="s">
        <v>19</v>
      </c>
      <c r="D221" s="60"/>
      <c r="E221" s="60"/>
      <c r="F221" s="60"/>
      <c r="G221" s="60"/>
      <c r="H221" s="60"/>
      <c r="I221" s="60"/>
      <c r="J221" s="60"/>
      <c r="K221" s="61" t="n">
        <f aca="false">SUMPRODUCT(LEN(D221:J221))</f>
        <v>0</v>
      </c>
      <c r="L221" s="62"/>
    </row>
    <row r="222" customFormat="false" ht="15" hidden="false" customHeight="false" outlineLevel="0" collapsed="false">
      <c r="B222" s="66"/>
      <c r="C222" s="59" t="s">
        <v>24</v>
      </c>
      <c r="D222" s="60" t="s">
        <v>185</v>
      </c>
      <c r="E222" s="60"/>
      <c r="F222" s="60" t="s">
        <v>185</v>
      </c>
      <c r="G222" s="60"/>
      <c r="H222" s="60" t="s">
        <v>185</v>
      </c>
      <c r="I222" s="60"/>
      <c r="J222" s="60" t="s">
        <v>185</v>
      </c>
      <c r="K222" s="61" t="n">
        <f aca="false">SUMPRODUCT(LEN(D222:J222))</f>
        <v>4</v>
      </c>
      <c r="L222" s="62"/>
    </row>
    <row r="223" customFormat="false" ht="15" hidden="false" customHeight="false" outlineLevel="0" collapsed="false">
      <c r="B223" s="67" t="s">
        <v>14</v>
      </c>
      <c r="C223" s="59" t="s">
        <v>11</v>
      </c>
      <c r="D223" s="60"/>
      <c r="E223" s="60"/>
      <c r="F223" s="60"/>
      <c r="G223" s="60"/>
      <c r="H223" s="60"/>
      <c r="I223" s="60"/>
      <c r="J223" s="60"/>
      <c r="K223" s="61" t="n">
        <f aca="false">SUMPRODUCT(LEN(D223:J223))</f>
        <v>0</v>
      </c>
      <c r="L223" s="62" t="n">
        <f aca="false">SUM(K223:K225)</f>
        <v>3</v>
      </c>
    </row>
    <row r="224" customFormat="false" ht="15" hidden="false" customHeight="false" outlineLevel="0" collapsed="false">
      <c r="B224" s="67"/>
      <c r="C224" s="59" t="s">
        <v>19</v>
      </c>
      <c r="D224" s="60"/>
      <c r="E224" s="60"/>
      <c r="F224" s="60"/>
      <c r="G224" s="60"/>
      <c r="H224" s="60"/>
      <c r="I224" s="60"/>
      <c r="J224" s="60"/>
      <c r="K224" s="61" t="n">
        <f aca="false">SUMPRODUCT(LEN(D224:J224))</f>
        <v>0</v>
      </c>
      <c r="L224" s="62"/>
    </row>
    <row r="225" customFormat="false" ht="15" hidden="false" customHeight="false" outlineLevel="0" collapsed="false">
      <c r="B225" s="67"/>
      <c r="C225" s="59" t="s">
        <v>24</v>
      </c>
      <c r="D225" s="60" t="s">
        <v>185</v>
      </c>
      <c r="E225" s="60"/>
      <c r="F225" s="60"/>
      <c r="G225" s="60" t="s">
        <v>185</v>
      </c>
      <c r="H225" s="60"/>
      <c r="I225" s="60" t="s">
        <v>185</v>
      </c>
      <c r="J225" s="60"/>
      <c r="K225" s="61" t="n">
        <f aca="false">SUMPRODUCT(LEN(D225:J225))</f>
        <v>3</v>
      </c>
      <c r="L225" s="62"/>
    </row>
    <row r="226" customFormat="false" ht="15" hidden="false" customHeight="false" outlineLevel="0" collapsed="false">
      <c r="B226" s="68" t="s">
        <v>46</v>
      </c>
      <c r="C226" s="59" t="s">
        <v>11</v>
      </c>
      <c r="D226" s="60"/>
      <c r="E226" s="60"/>
      <c r="F226" s="60"/>
      <c r="G226" s="60"/>
      <c r="H226" s="60"/>
      <c r="I226" s="60"/>
      <c r="J226" s="60"/>
      <c r="K226" s="61" t="n">
        <f aca="false">SUMPRODUCT(LEN(D226:J226))</f>
        <v>0</v>
      </c>
      <c r="L226" s="62" t="n">
        <f aca="false">SUM(K226:K228)</f>
        <v>3</v>
      </c>
    </row>
    <row r="227" customFormat="false" ht="15" hidden="false" customHeight="false" outlineLevel="0" collapsed="false">
      <c r="B227" s="68"/>
      <c r="C227" s="59" t="s">
        <v>19</v>
      </c>
      <c r="D227" s="60"/>
      <c r="E227" s="60"/>
      <c r="F227" s="60"/>
      <c r="G227" s="60"/>
      <c r="H227" s="60"/>
      <c r="I227" s="60"/>
      <c r="J227" s="60"/>
      <c r="K227" s="61" t="n">
        <f aca="false">SUMPRODUCT(LEN(D227:J227))</f>
        <v>0</v>
      </c>
      <c r="L227" s="62"/>
    </row>
    <row r="228" customFormat="false" ht="15" hidden="false" customHeight="false" outlineLevel="0" collapsed="false">
      <c r="B228" s="68"/>
      <c r="C228" s="59" t="s">
        <v>24</v>
      </c>
      <c r="D228" s="60"/>
      <c r="E228" s="60" t="s">
        <v>185</v>
      </c>
      <c r="F228" s="60"/>
      <c r="G228" s="60" t="s">
        <v>185</v>
      </c>
      <c r="H228" s="60"/>
      <c r="I228" s="60" t="s">
        <v>185</v>
      </c>
      <c r="J228" s="60"/>
      <c r="K228" s="61" t="n">
        <f aca="false">SUMPRODUCT(LEN(D228:J228))</f>
        <v>3</v>
      </c>
      <c r="L228" s="62"/>
    </row>
    <row r="229" customFormat="false" ht="15" hidden="false" customHeight="false" outlineLevel="0" collapsed="false">
      <c r="B229" s="69" t="s">
        <v>49</v>
      </c>
      <c r="C229" s="59" t="s">
        <v>11</v>
      </c>
      <c r="D229" s="60"/>
      <c r="E229" s="60"/>
      <c r="F229" s="60"/>
      <c r="G229" s="60"/>
      <c r="H229" s="60"/>
      <c r="I229" s="60"/>
      <c r="J229" s="60"/>
      <c r="K229" s="61" t="n">
        <f aca="false">SUMPRODUCT(LEN(D229:J229))</f>
        <v>0</v>
      </c>
      <c r="L229" s="62" t="n">
        <f aca="false">SUM(K229:K231)</f>
        <v>2</v>
      </c>
    </row>
    <row r="230" customFormat="false" ht="15" hidden="false" customHeight="false" outlineLevel="0" collapsed="false">
      <c r="B230" s="69"/>
      <c r="C230" s="59" t="s">
        <v>19</v>
      </c>
      <c r="D230" s="60" t="s">
        <v>185</v>
      </c>
      <c r="E230" s="60"/>
      <c r="F230" s="60"/>
      <c r="G230" s="60"/>
      <c r="H230" s="60" t="s">
        <v>185</v>
      </c>
      <c r="I230" s="60"/>
      <c r="J230" s="60"/>
      <c r="K230" s="61" t="n">
        <f aca="false">SUMPRODUCT(LEN(D230:J230))</f>
        <v>2</v>
      </c>
      <c r="L230" s="62"/>
    </row>
    <row r="231" customFormat="false" ht="15" hidden="false" customHeight="false" outlineLevel="0" collapsed="false">
      <c r="B231" s="69"/>
      <c r="C231" s="59" t="s">
        <v>24</v>
      </c>
      <c r="D231" s="60"/>
      <c r="E231" s="60"/>
      <c r="F231" s="60"/>
      <c r="G231" s="60"/>
      <c r="H231" s="60"/>
      <c r="I231" s="60"/>
      <c r="J231" s="60"/>
      <c r="K231" s="61" t="n">
        <f aca="false">SUMPRODUCT(LEN(D231:J231))</f>
        <v>0</v>
      </c>
      <c r="L231" s="62"/>
    </row>
    <row r="232" customFormat="false" ht="15" hidden="false" customHeight="false" outlineLevel="0" collapsed="false">
      <c r="B232" s="70" t="s">
        <v>53</v>
      </c>
      <c r="C232" s="59" t="s">
        <v>11</v>
      </c>
      <c r="D232" s="60"/>
      <c r="E232" s="60"/>
      <c r="F232" s="60"/>
      <c r="G232" s="60"/>
      <c r="H232" s="60"/>
      <c r="I232" s="60"/>
      <c r="J232" s="60"/>
      <c r="K232" s="61" t="n">
        <f aca="false">SUMPRODUCT(LEN(D232:J232))</f>
        <v>0</v>
      </c>
      <c r="L232" s="62" t="n">
        <f aca="false">SUM(K232:K234)</f>
        <v>1</v>
      </c>
    </row>
    <row r="233" customFormat="false" ht="15" hidden="false" customHeight="false" outlineLevel="0" collapsed="false">
      <c r="B233" s="70"/>
      <c r="C233" s="59" t="s">
        <v>19</v>
      </c>
      <c r="D233" s="60"/>
      <c r="E233" s="60"/>
      <c r="F233" s="60"/>
      <c r="G233" s="60" t="s">
        <v>185</v>
      </c>
      <c r="H233" s="60"/>
      <c r="I233" s="60"/>
      <c r="J233" s="60"/>
      <c r="K233" s="61" t="n">
        <f aca="false">SUMPRODUCT(LEN(D233:J233))</f>
        <v>1</v>
      </c>
      <c r="L233" s="62"/>
    </row>
    <row r="234" customFormat="false" ht="15" hidden="false" customHeight="false" outlineLevel="0" collapsed="false">
      <c r="B234" s="70"/>
      <c r="C234" s="59" t="s">
        <v>24</v>
      </c>
      <c r="D234" s="60"/>
      <c r="E234" s="60"/>
      <c r="F234" s="60"/>
      <c r="G234" s="60"/>
      <c r="H234" s="60"/>
      <c r="I234" s="60"/>
      <c r="J234" s="60"/>
      <c r="K234" s="61" t="n">
        <f aca="false">SUMPRODUCT(LEN(D234:J234))</f>
        <v>0</v>
      </c>
      <c r="L234" s="62"/>
    </row>
    <row r="235" customFormat="false" ht="15" hidden="false" customHeight="false" outlineLevel="0" collapsed="false">
      <c r="B235" s="71" t="s">
        <v>56</v>
      </c>
      <c r="C235" s="59" t="s">
        <v>11</v>
      </c>
      <c r="D235" s="60"/>
      <c r="E235" s="60"/>
      <c r="F235" s="60"/>
      <c r="G235" s="60"/>
      <c r="H235" s="60"/>
      <c r="I235" s="60"/>
      <c r="J235" s="60"/>
      <c r="K235" s="61" t="n">
        <f aca="false">SUMPRODUCT(LEN(D235:J235))</f>
        <v>0</v>
      </c>
      <c r="L235" s="62" t="n">
        <f aca="false">SUM(K235:K237)</f>
        <v>2</v>
      </c>
    </row>
    <row r="236" customFormat="false" ht="15" hidden="false" customHeight="false" outlineLevel="0" collapsed="false">
      <c r="B236" s="71"/>
      <c r="C236" s="59" t="s">
        <v>19</v>
      </c>
      <c r="D236" s="60"/>
      <c r="E236" s="60"/>
      <c r="F236" s="60"/>
      <c r="G236" s="60"/>
      <c r="H236" s="60"/>
      <c r="I236" s="60"/>
      <c r="J236" s="60"/>
      <c r="K236" s="61" t="n">
        <f aca="false">SUMPRODUCT(LEN(D236:J236))</f>
        <v>0</v>
      </c>
      <c r="L236" s="62"/>
    </row>
    <row r="237" customFormat="false" ht="15" hidden="false" customHeight="false" outlineLevel="0" collapsed="false">
      <c r="B237" s="71"/>
      <c r="C237" s="59" t="s">
        <v>24</v>
      </c>
      <c r="D237" s="60"/>
      <c r="E237" s="60" t="s">
        <v>185</v>
      </c>
      <c r="F237" s="60"/>
      <c r="G237" s="60"/>
      <c r="H237" s="60"/>
      <c r="I237" s="60" t="s">
        <v>185</v>
      </c>
      <c r="J237" s="60"/>
      <c r="K237" s="61" t="n">
        <f aca="false">SUMPRODUCT(LEN(D237:J237))</f>
        <v>2</v>
      </c>
      <c r="L237" s="62"/>
    </row>
    <row r="238" customFormat="false" ht="15" hidden="false" customHeight="false" outlineLevel="0" collapsed="false">
      <c r="B238" s="72" t="s">
        <v>59</v>
      </c>
      <c r="C238" s="59" t="s">
        <v>11</v>
      </c>
      <c r="D238" s="60"/>
      <c r="E238" s="60"/>
      <c r="F238" s="60"/>
      <c r="G238" s="60"/>
      <c r="H238" s="60"/>
      <c r="I238" s="60"/>
      <c r="J238" s="60"/>
      <c r="K238" s="61" t="n">
        <f aca="false">SUMPRODUCT(LEN(D238:J238))</f>
        <v>0</v>
      </c>
      <c r="L238" s="62" t="n">
        <f aca="false">SUM(K238:K240)</f>
        <v>7</v>
      </c>
    </row>
    <row r="239" customFormat="false" ht="15" hidden="false" customHeight="false" outlineLevel="0" collapsed="false">
      <c r="B239" s="72"/>
      <c r="C239" s="59" t="s">
        <v>19</v>
      </c>
      <c r="D239" s="60"/>
      <c r="E239" s="60"/>
      <c r="F239" s="60"/>
      <c r="G239" s="60"/>
      <c r="H239" s="60"/>
      <c r="I239" s="60"/>
      <c r="J239" s="60"/>
      <c r="K239" s="61" t="n">
        <f aca="false">SUMPRODUCT(LEN(D239:J239))</f>
        <v>0</v>
      </c>
      <c r="L239" s="62"/>
    </row>
    <row r="240" customFormat="false" ht="15" hidden="false" customHeight="false" outlineLevel="0" collapsed="false">
      <c r="B240" s="72"/>
      <c r="C240" s="59" t="s">
        <v>24</v>
      </c>
      <c r="D240" s="60" t="s">
        <v>185</v>
      </c>
      <c r="E240" s="60" t="s">
        <v>185</v>
      </c>
      <c r="F240" s="60" t="s">
        <v>185</v>
      </c>
      <c r="G240" s="60" t="s">
        <v>186</v>
      </c>
      <c r="H240" s="60" t="s">
        <v>185</v>
      </c>
      <c r="I240" s="60" t="s">
        <v>185</v>
      </c>
      <c r="J240" s="60"/>
      <c r="K240" s="61" t="n">
        <f aca="false">SUMPRODUCT(LEN(D240:J240))</f>
        <v>7</v>
      </c>
      <c r="L240" s="62"/>
    </row>
    <row r="241" customFormat="false" ht="15" hidden="false" customHeight="false" outlineLevel="0" collapsed="false">
      <c r="B241" s="73" t="s">
        <v>62</v>
      </c>
      <c r="C241" s="59" t="s">
        <v>11</v>
      </c>
      <c r="D241" s="60"/>
      <c r="E241" s="60"/>
      <c r="F241" s="60"/>
      <c r="G241" s="60"/>
      <c r="H241" s="60"/>
      <c r="I241" s="60"/>
      <c r="J241" s="60"/>
      <c r="K241" s="61" t="n">
        <f aca="false">SUMPRODUCT(LEN(D241:J241))</f>
        <v>0</v>
      </c>
      <c r="L241" s="62" t="n">
        <f aca="false">SUM(K241:K243)</f>
        <v>2</v>
      </c>
    </row>
    <row r="242" customFormat="false" ht="15" hidden="false" customHeight="false" outlineLevel="0" collapsed="false">
      <c r="B242" s="73"/>
      <c r="C242" s="59" t="s">
        <v>19</v>
      </c>
      <c r="D242" s="60"/>
      <c r="E242" s="60"/>
      <c r="F242" s="60"/>
      <c r="G242" s="60"/>
      <c r="H242" s="60"/>
      <c r="I242" s="60"/>
      <c r="J242" s="60"/>
      <c r="K242" s="61" t="n">
        <f aca="false">SUMPRODUCT(LEN(D242:J242))</f>
        <v>0</v>
      </c>
      <c r="L242" s="62"/>
    </row>
    <row r="243" customFormat="false" ht="15" hidden="false" customHeight="false" outlineLevel="0" collapsed="false">
      <c r="B243" s="73"/>
      <c r="C243" s="59" t="s">
        <v>24</v>
      </c>
      <c r="D243" s="60"/>
      <c r="E243" s="60"/>
      <c r="F243" s="60" t="s">
        <v>185</v>
      </c>
      <c r="G243" s="60"/>
      <c r="H243" s="60"/>
      <c r="I243" s="60"/>
      <c r="J243" s="60" t="s">
        <v>185</v>
      </c>
      <c r="K243" s="61" t="n">
        <f aca="false">SUMPRODUCT(LEN(D243:J243))</f>
        <v>2</v>
      </c>
      <c r="L243" s="62"/>
    </row>
    <row r="245" customFormat="false" ht="19.5" hidden="false" customHeight="true" outlineLevel="0" collapsed="false">
      <c r="B245" s="55" t="str">
        <f aca="false">"TABLEAU 7/12  -  PROGRAMME DE OCTOBRE 2027"&amp;IF($C$6="octobre 2027","          &lt;&lt;&lt; MOIS ACTUELLEMENT FILTRE","")</f>
        <v>TABLEAU 7/12  -  PROGRAMME DE OCTOBRE 2027</v>
      </c>
      <c r="C245" s="55"/>
      <c r="D245" s="55"/>
      <c r="E245" s="55"/>
      <c r="F245" s="55"/>
      <c r="G245" s="55"/>
      <c r="H245" s="55"/>
      <c r="I245" s="55"/>
      <c r="J245" s="55"/>
      <c r="L245" s="56" t="s">
        <v>179</v>
      </c>
    </row>
    <row r="246" customFormat="false" ht="25.5" hidden="false" customHeight="true" outlineLevel="0" collapsed="false">
      <c r="B246" s="57" t="s">
        <v>84</v>
      </c>
      <c r="C246" s="57" t="s">
        <v>180</v>
      </c>
      <c r="D246" s="57" t="s">
        <v>27</v>
      </c>
      <c r="E246" s="57" t="s">
        <v>28</v>
      </c>
      <c r="F246" s="57" t="s">
        <v>29</v>
      </c>
      <c r="G246" s="57" t="s">
        <v>30</v>
      </c>
      <c r="H246" s="57" t="s">
        <v>31</v>
      </c>
      <c r="I246" s="57" t="s">
        <v>32</v>
      </c>
      <c r="J246" s="57" t="s">
        <v>33</v>
      </c>
      <c r="K246" s="57" t="s">
        <v>181</v>
      </c>
      <c r="L246" s="57" t="s">
        <v>182</v>
      </c>
    </row>
    <row r="247" customFormat="false" ht="15" hidden="false" customHeight="false" outlineLevel="0" collapsed="false">
      <c r="B247" s="58" t="s">
        <v>12</v>
      </c>
      <c r="C247" s="59" t="s">
        <v>11</v>
      </c>
      <c r="D247" s="60" t="s">
        <v>183</v>
      </c>
      <c r="E247" s="60" t="s">
        <v>183</v>
      </c>
      <c r="F247" s="60" t="s">
        <v>183</v>
      </c>
      <c r="G247" s="60" t="s">
        <v>183</v>
      </c>
      <c r="H247" s="60" t="s">
        <v>183</v>
      </c>
      <c r="I247" s="60" t="s">
        <v>183</v>
      </c>
      <c r="J247" s="60" t="s">
        <v>183</v>
      </c>
      <c r="K247" s="61" t="n">
        <f aca="false">SUMPRODUCT(LEN(D247:J247))</f>
        <v>7</v>
      </c>
      <c r="L247" s="62" t="n">
        <f aca="false">SUM(K247:K249)</f>
        <v>11</v>
      </c>
    </row>
    <row r="248" customFormat="false" ht="15" hidden="false" customHeight="false" outlineLevel="0" collapsed="false">
      <c r="B248" s="58"/>
      <c r="C248" s="59" t="s">
        <v>19</v>
      </c>
      <c r="D248" s="60" t="s">
        <v>183</v>
      </c>
      <c r="E248" s="60"/>
      <c r="F248" s="60"/>
      <c r="G248" s="60"/>
      <c r="H248" s="60" t="s">
        <v>183</v>
      </c>
      <c r="I248" s="60"/>
      <c r="J248" s="60"/>
      <c r="K248" s="61" t="n">
        <f aca="false">SUMPRODUCT(LEN(D248:J248))</f>
        <v>2</v>
      </c>
      <c r="L248" s="62"/>
    </row>
    <row r="249" customFormat="false" ht="15" hidden="false" customHeight="false" outlineLevel="0" collapsed="false">
      <c r="B249" s="58"/>
      <c r="C249" s="59" t="s">
        <v>24</v>
      </c>
      <c r="D249" s="60" t="s">
        <v>184</v>
      </c>
      <c r="E249" s="60"/>
      <c r="F249" s="60"/>
      <c r="G249" s="60"/>
      <c r="H249" s="60"/>
      <c r="I249" s="60"/>
      <c r="J249" s="60"/>
      <c r="K249" s="61" t="n">
        <f aca="false">SUMPRODUCT(LEN(D249:J249))</f>
        <v>2</v>
      </c>
      <c r="L249" s="62"/>
    </row>
    <row r="250" customFormat="false" ht="15" hidden="false" customHeight="false" outlineLevel="0" collapsed="false">
      <c r="B250" s="63" t="s">
        <v>20</v>
      </c>
      <c r="C250" s="59" t="s">
        <v>11</v>
      </c>
      <c r="D250" s="60"/>
      <c r="E250" s="60"/>
      <c r="F250" s="60"/>
      <c r="G250" s="60"/>
      <c r="H250" s="60"/>
      <c r="I250" s="60"/>
      <c r="J250" s="60" t="s">
        <v>183</v>
      </c>
      <c r="K250" s="61" t="n">
        <f aca="false">SUMPRODUCT(LEN(D250:J250))</f>
        <v>1</v>
      </c>
      <c r="L250" s="62" t="n">
        <f aca="false">SUM(K250:K252)</f>
        <v>3</v>
      </c>
    </row>
    <row r="251" customFormat="false" ht="15" hidden="false" customHeight="false" outlineLevel="0" collapsed="false">
      <c r="B251" s="63"/>
      <c r="C251" s="59" t="s">
        <v>19</v>
      </c>
      <c r="D251" s="60"/>
      <c r="E251" s="60" t="s">
        <v>183</v>
      </c>
      <c r="F251" s="60"/>
      <c r="G251" s="60"/>
      <c r="H251" s="60" t="s">
        <v>183</v>
      </c>
      <c r="I251" s="60"/>
      <c r="J251" s="60"/>
      <c r="K251" s="61" t="n">
        <f aca="false">SUMPRODUCT(LEN(D251:J251))</f>
        <v>2</v>
      </c>
      <c r="L251" s="62"/>
    </row>
    <row r="252" customFormat="false" ht="15" hidden="false" customHeight="false" outlineLevel="0" collapsed="false">
      <c r="B252" s="63"/>
      <c r="C252" s="59" t="s">
        <v>24</v>
      </c>
      <c r="D252" s="60"/>
      <c r="E252" s="60"/>
      <c r="F252" s="60"/>
      <c r="G252" s="60"/>
      <c r="H252" s="60"/>
      <c r="I252" s="60"/>
      <c r="J252" s="60"/>
      <c r="K252" s="61" t="n">
        <f aca="false">SUMPRODUCT(LEN(D252:J252))</f>
        <v>0</v>
      </c>
      <c r="L252" s="62"/>
    </row>
    <row r="253" customFormat="false" ht="15" hidden="false" customHeight="false" outlineLevel="0" collapsed="false">
      <c r="B253" s="64" t="s">
        <v>25</v>
      </c>
      <c r="C253" s="59" t="s">
        <v>11</v>
      </c>
      <c r="D253" s="60"/>
      <c r="E253" s="60"/>
      <c r="F253" s="60"/>
      <c r="G253" s="60"/>
      <c r="H253" s="60"/>
      <c r="I253" s="60"/>
      <c r="J253" s="60"/>
      <c r="K253" s="61" t="n">
        <f aca="false">SUMPRODUCT(LEN(D253:J253))</f>
        <v>0</v>
      </c>
      <c r="L253" s="62" t="n">
        <f aca="false">SUM(K253:K255)</f>
        <v>2</v>
      </c>
    </row>
    <row r="254" customFormat="false" ht="15" hidden="false" customHeight="false" outlineLevel="0" collapsed="false">
      <c r="B254" s="64"/>
      <c r="C254" s="59" t="s">
        <v>19</v>
      </c>
      <c r="D254" s="60"/>
      <c r="E254" s="60"/>
      <c r="F254" s="60" t="s">
        <v>183</v>
      </c>
      <c r="G254" s="60"/>
      <c r="H254" s="60"/>
      <c r="I254" s="60" t="s">
        <v>183</v>
      </c>
      <c r="J254" s="60"/>
      <c r="K254" s="61" t="n">
        <f aca="false">SUMPRODUCT(LEN(D254:J254))</f>
        <v>2</v>
      </c>
      <c r="L254" s="62"/>
    </row>
    <row r="255" customFormat="false" ht="15" hidden="false" customHeight="false" outlineLevel="0" collapsed="false">
      <c r="B255" s="64"/>
      <c r="C255" s="59" t="s">
        <v>24</v>
      </c>
      <c r="D255" s="60"/>
      <c r="E255" s="60"/>
      <c r="F255" s="60"/>
      <c r="G255" s="60"/>
      <c r="H255" s="60"/>
      <c r="I255" s="60"/>
      <c r="J255" s="60"/>
      <c r="K255" s="61" t="n">
        <f aca="false">SUMPRODUCT(LEN(D255:J255))</f>
        <v>0</v>
      </c>
      <c r="L255" s="62"/>
    </row>
    <row r="256" customFormat="false" ht="15" hidden="false" customHeight="false" outlineLevel="0" collapsed="false">
      <c r="B256" s="65" t="s">
        <v>36</v>
      </c>
      <c r="C256" s="59" t="s">
        <v>11</v>
      </c>
      <c r="D256" s="60"/>
      <c r="E256" s="60"/>
      <c r="F256" s="60"/>
      <c r="G256" s="60"/>
      <c r="H256" s="60"/>
      <c r="I256" s="60"/>
      <c r="J256" s="60"/>
      <c r="K256" s="61" t="n">
        <f aca="false">SUMPRODUCT(LEN(D256:J256))</f>
        <v>0</v>
      </c>
      <c r="L256" s="62" t="n">
        <f aca="false">SUM(K256:K258)</f>
        <v>6</v>
      </c>
    </row>
    <row r="257" customFormat="false" ht="15" hidden="false" customHeight="false" outlineLevel="0" collapsed="false">
      <c r="B257" s="65"/>
      <c r="C257" s="59" t="s">
        <v>19</v>
      </c>
      <c r="D257" s="60"/>
      <c r="E257" s="60"/>
      <c r="F257" s="60" t="s">
        <v>185</v>
      </c>
      <c r="G257" s="60"/>
      <c r="H257" s="60"/>
      <c r="I257" s="60"/>
      <c r="J257" s="60"/>
      <c r="K257" s="61" t="n">
        <f aca="false">SUMPRODUCT(LEN(D257:J257))</f>
        <v>1</v>
      </c>
      <c r="L257" s="62"/>
    </row>
    <row r="258" customFormat="false" ht="15" hidden="false" customHeight="false" outlineLevel="0" collapsed="false">
      <c r="B258" s="65"/>
      <c r="C258" s="59" t="s">
        <v>24</v>
      </c>
      <c r="D258" s="60" t="s">
        <v>185</v>
      </c>
      <c r="E258" s="60" t="s">
        <v>185</v>
      </c>
      <c r="F258" s="60" t="s">
        <v>185</v>
      </c>
      <c r="G258" s="60" t="s">
        <v>185</v>
      </c>
      <c r="H258" s="60" t="s">
        <v>185</v>
      </c>
      <c r="I258" s="60"/>
      <c r="J258" s="60"/>
      <c r="K258" s="61" t="n">
        <f aca="false">SUMPRODUCT(LEN(D258:J258))</f>
        <v>5</v>
      </c>
      <c r="L258" s="62"/>
    </row>
    <row r="259" customFormat="false" ht="15" hidden="false" customHeight="false" outlineLevel="0" collapsed="false">
      <c r="B259" s="66" t="s">
        <v>40</v>
      </c>
      <c r="C259" s="59" t="s">
        <v>11</v>
      </c>
      <c r="D259" s="60"/>
      <c r="E259" s="60"/>
      <c r="F259" s="60"/>
      <c r="G259" s="60"/>
      <c r="H259" s="60"/>
      <c r="I259" s="60"/>
      <c r="J259" s="60"/>
      <c r="K259" s="61" t="n">
        <f aca="false">SUMPRODUCT(LEN(D259:J259))</f>
        <v>0</v>
      </c>
      <c r="L259" s="62" t="n">
        <f aca="false">SUM(K259:K261)</f>
        <v>4</v>
      </c>
    </row>
    <row r="260" customFormat="false" ht="15" hidden="false" customHeight="false" outlineLevel="0" collapsed="false">
      <c r="B260" s="66"/>
      <c r="C260" s="59" t="s">
        <v>19</v>
      </c>
      <c r="D260" s="60"/>
      <c r="E260" s="60"/>
      <c r="F260" s="60"/>
      <c r="G260" s="60"/>
      <c r="H260" s="60"/>
      <c r="I260" s="60"/>
      <c r="J260" s="60"/>
      <c r="K260" s="61" t="n">
        <f aca="false">SUMPRODUCT(LEN(D260:J260))</f>
        <v>0</v>
      </c>
      <c r="L260" s="62"/>
    </row>
    <row r="261" customFormat="false" ht="15" hidden="false" customHeight="false" outlineLevel="0" collapsed="false">
      <c r="B261" s="66"/>
      <c r="C261" s="59" t="s">
        <v>24</v>
      </c>
      <c r="D261" s="60" t="s">
        <v>185</v>
      </c>
      <c r="E261" s="60"/>
      <c r="F261" s="60" t="s">
        <v>185</v>
      </c>
      <c r="G261" s="60"/>
      <c r="H261" s="60" t="s">
        <v>185</v>
      </c>
      <c r="I261" s="60"/>
      <c r="J261" s="60" t="s">
        <v>185</v>
      </c>
      <c r="K261" s="61" t="n">
        <f aca="false">SUMPRODUCT(LEN(D261:J261))</f>
        <v>4</v>
      </c>
      <c r="L261" s="62"/>
    </row>
    <row r="262" customFormat="false" ht="15" hidden="false" customHeight="false" outlineLevel="0" collapsed="false">
      <c r="B262" s="67" t="s">
        <v>14</v>
      </c>
      <c r="C262" s="59" t="s">
        <v>11</v>
      </c>
      <c r="D262" s="60"/>
      <c r="E262" s="60"/>
      <c r="F262" s="60"/>
      <c r="G262" s="60"/>
      <c r="H262" s="60"/>
      <c r="I262" s="60"/>
      <c r="J262" s="60"/>
      <c r="K262" s="61" t="n">
        <f aca="false">SUMPRODUCT(LEN(D262:J262))</f>
        <v>0</v>
      </c>
      <c r="L262" s="62" t="n">
        <f aca="false">SUM(K262:K264)</f>
        <v>3</v>
      </c>
    </row>
    <row r="263" customFormat="false" ht="15" hidden="false" customHeight="false" outlineLevel="0" collapsed="false">
      <c r="B263" s="67"/>
      <c r="C263" s="59" t="s">
        <v>19</v>
      </c>
      <c r="D263" s="60"/>
      <c r="E263" s="60"/>
      <c r="F263" s="60"/>
      <c r="G263" s="60"/>
      <c r="H263" s="60"/>
      <c r="I263" s="60"/>
      <c r="J263" s="60"/>
      <c r="K263" s="61" t="n">
        <f aca="false">SUMPRODUCT(LEN(D263:J263))</f>
        <v>0</v>
      </c>
      <c r="L263" s="62"/>
    </row>
    <row r="264" customFormat="false" ht="15" hidden="false" customHeight="false" outlineLevel="0" collapsed="false">
      <c r="B264" s="67"/>
      <c r="C264" s="59" t="s">
        <v>24</v>
      </c>
      <c r="D264" s="60" t="s">
        <v>185</v>
      </c>
      <c r="E264" s="60"/>
      <c r="F264" s="60"/>
      <c r="G264" s="60" t="s">
        <v>185</v>
      </c>
      <c r="H264" s="60"/>
      <c r="I264" s="60" t="s">
        <v>185</v>
      </c>
      <c r="J264" s="60"/>
      <c r="K264" s="61" t="n">
        <f aca="false">SUMPRODUCT(LEN(D264:J264))</f>
        <v>3</v>
      </c>
      <c r="L264" s="62"/>
    </row>
    <row r="265" customFormat="false" ht="15" hidden="false" customHeight="false" outlineLevel="0" collapsed="false">
      <c r="B265" s="68" t="s">
        <v>46</v>
      </c>
      <c r="C265" s="59" t="s">
        <v>11</v>
      </c>
      <c r="D265" s="60"/>
      <c r="E265" s="60"/>
      <c r="F265" s="60"/>
      <c r="G265" s="60"/>
      <c r="H265" s="60"/>
      <c r="I265" s="60"/>
      <c r="J265" s="60"/>
      <c r="K265" s="61" t="n">
        <f aca="false">SUMPRODUCT(LEN(D265:J265))</f>
        <v>0</v>
      </c>
      <c r="L265" s="62" t="n">
        <f aca="false">SUM(K265:K267)</f>
        <v>3</v>
      </c>
    </row>
    <row r="266" customFormat="false" ht="15" hidden="false" customHeight="false" outlineLevel="0" collapsed="false">
      <c r="B266" s="68"/>
      <c r="C266" s="59" t="s">
        <v>19</v>
      </c>
      <c r="D266" s="60"/>
      <c r="E266" s="60"/>
      <c r="F266" s="60"/>
      <c r="G266" s="60"/>
      <c r="H266" s="60"/>
      <c r="I266" s="60"/>
      <c r="J266" s="60"/>
      <c r="K266" s="61" t="n">
        <f aca="false">SUMPRODUCT(LEN(D266:J266))</f>
        <v>0</v>
      </c>
      <c r="L266" s="62"/>
    </row>
    <row r="267" customFormat="false" ht="15" hidden="false" customHeight="false" outlineLevel="0" collapsed="false">
      <c r="B267" s="68"/>
      <c r="C267" s="59" t="s">
        <v>24</v>
      </c>
      <c r="D267" s="60"/>
      <c r="E267" s="60" t="s">
        <v>185</v>
      </c>
      <c r="F267" s="60"/>
      <c r="G267" s="60" t="s">
        <v>185</v>
      </c>
      <c r="H267" s="60"/>
      <c r="I267" s="60" t="s">
        <v>185</v>
      </c>
      <c r="J267" s="60"/>
      <c r="K267" s="61" t="n">
        <f aca="false">SUMPRODUCT(LEN(D267:J267))</f>
        <v>3</v>
      </c>
      <c r="L267" s="62"/>
    </row>
    <row r="268" customFormat="false" ht="15" hidden="false" customHeight="false" outlineLevel="0" collapsed="false">
      <c r="B268" s="69" t="s">
        <v>49</v>
      </c>
      <c r="C268" s="59" t="s">
        <v>11</v>
      </c>
      <c r="D268" s="60"/>
      <c r="E268" s="60"/>
      <c r="F268" s="60"/>
      <c r="G268" s="60"/>
      <c r="H268" s="60"/>
      <c r="I268" s="60"/>
      <c r="J268" s="60"/>
      <c r="K268" s="61" t="n">
        <f aca="false">SUMPRODUCT(LEN(D268:J268))</f>
        <v>0</v>
      </c>
      <c r="L268" s="62" t="n">
        <f aca="false">SUM(K268:K270)</f>
        <v>2</v>
      </c>
    </row>
    <row r="269" customFormat="false" ht="15" hidden="false" customHeight="false" outlineLevel="0" collapsed="false">
      <c r="B269" s="69"/>
      <c r="C269" s="59" t="s">
        <v>19</v>
      </c>
      <c r="D269" s="60" t="s">
        <v>185</v>
      </c>
      <c r="E269" s="60"/>
      <c r="F269" s="60"/>
      <c r="G269" s="60"/>
      <c r="H269" s="60" t="s">
        <v>185</v>
      </c>
      <c r="I269" s="60"/>
      <c r="J269" s="60"/>
      <c r="K269" s="61" t="n">
        <f aca="false">SUMPRODUCT(LEN(D269:J269))</f>
        <v>2</v>
      </c>
      <c r="L269" s="62"/>
    </row>
    <row r="270" customFormat="false" ht="15" hidden="false" customHeight="false" outlineLevel="0" collapsed="false">
      <c r="B270" s="69"/>
      <c r="C270" s="59" t="s">
        <v>24</v>
      </c>
      <c r="D270" s="60"/>
      <c r="E270" s="60"/>
      <c r="F270" s="60"/>
      <c r="G270" s="60"/>
      <c r="H270" s="60"/>
      <c r="I270" s="60"/>
      <c r="J270" s="60"/>
      <c r="K270" s="61" t="n">
        <f aca="false">SUMPRODUCT(LEN(D270:J270))</f>
        <v>0</v>
      </c>
      <c r="L270" s="62"/>
    </row>
    <row r="271" customFormat="false" ht="15" hidden="false" customHeight="false" outlineLevel="0" collapsed="false">
      <c r="B271" s="70" t="s">
        <v>53</v>
      </c>
      <c r="C271" s="59" t="s">
        <v>11</v>
      </c>
      <c r="D271" s="60"/>
      <c r="E271" s="60"/>
      <c r="F271" s="60"/>
      <c r="G271" s="60"/>
      <c r="H271" s="60"/>
      <c r="I271" s="60"/>
      <c r="J271" s="60"/>
      <c r="K271" s="61" t="n">
        <f aca="false">SUMPRODUCT(LEN(D271:J271))</f>
        <v>0</v>
      </c>
      <c r="L271" s="62" t="n">
        <f aca="false">SUM(K271:K273)</f>
        <v>1</v>
      </c>
    </row>
    <row r="272" customFormat="false" ht="15" hidden="false" customHeight="false" outlineLevel="0" collapsed="false">
      <c r="B272" s="70"/>
      <c r="C272" s="59" t="s">
        <v>19</v>
      </c>
      <c r="D272" s="60"/>
      <c r="E272" s="60"/>
      <c r="F272" s="60"/>
      <c r="G272" s="60" t="s">
        <v>185</v>
      </c>
      <c r="H272" s="60"/>
      <c r="I272" s="60"/>
      <c r="J272" s="60"/>
      <c r="K272" s="61" t="n">
        <f aca="false">SUMPRODUCT(LEN(D272:J272))</f>
        <v>1</v>
      </c>
      <c r="L272" s="62"/>
    </row>
    <row r="273" customFormat="false" ht="15" hidden="false" customHeight="false" outlineLevel="0" collapsed="false">
      <c r="B273" s="70"/>
      <c r="C273" s="59" t="s">
        <v>24</v>
      </c>
      <c r="D273" s="60"/>
      <c r="E273" s="60"/>
      <c r="F273" s="60"/>
      <c r="G273" s="60"/>
      <c r="H273" s="60"/>
      <c r="I273" s="60"/>
      <c r="J273" s="60"/>
      <c r="K273" s="61" t="n">
        <f aca="false">SUMPRODUCT(LEN(D273:J273))</f>
        <v>0</v>
      </c>
      <c r="L273" s="62"/>
    </row>
    <row r="274" customFormat="false" ht="15" hidden="false" customHeight="false" outlineLevel="0" collapsed="false">
      <c r="B274" s="71" t="s">
        <v>56</v>
      </c>
      <c r="C274" s="59" t="s">
        <v>11</v>
      </c>
      <c r="D274" s="60"/>
      <c r="E274" s="60"/>
      <c r="F274" s="60"/>
      <c r="G274" s="60"/>
      <c r="H274" s="60"/>
      <c r="I274" s="60"/>
      <c r="J274" s="60"/>
      <c r="K274" s="61" t="n">
        <f aca="false">SUMPRODUCT(LEN(D274:J274))</f>
        <v>0</v>
      </c>
      <c r="L274" s="62" t="n">
        <f aca="false">SUM(K274:K276)</f>
        <v>2</v>
      </c>
    </row>
    <row r="275" customFormat="false" ht="15" hidden="false" customHeight="false" outlineLevel="0" collapsed="false">
      <c r="B275" s="71"/>
      <c r="C275" s="59" t="s">
        <v>19</v>
      </c>
      <c r="D275" s="60"/>
      <c r="E275" s="60"/>
      <c r="F275" s="60"/>
      <c r="G275" s="60"/>
      <c r="H275" s="60"/>
      <c r="I275" s="60"/>
      <c r="J275" s="60"/>
      <c r="K275" s="61" t="n">
        <f aca="false">SUMPRODUCT(LEN(D275:J275))</f>
        <v>0</v>
      </c>
      <c r="L275" s="62"/>
    </row>
    <row r="276" customFormat="false" ht="15" hidden="false" customHeight="false" outlineLevel="0" collapsed="false">
      <c r="B276" s="71"/>
      <c r="C276" s="59" t="s">
        <v>24</v>
      </c>
      <c r="D276" s="60"/>
      <c r="E276" s="60" t="s">
        <v>185</v>
      </c>
      <c r="F276" s="60"/>
      <c r="G276" s="60"/>
      <c r="H276" s="60"/>
      <c r="I276" s="60" t="s">
        <v>185</v>
      </c>
      <c r="J276" s="60"/>
      <c r="K276" s="61" t="n">
        <f aca="false">SUMPRODUCT(LEN(D276:J276))</f>
        <v>2</v>
      </c>
      <c r="L276" s="62"/>
    </row>
    <row r="277" customFormat="false" ht="15" hidden="false" customHeight="false" outlineLevel="0" collapsed="false">
      <c r="B277" s="72" t="s">
        <v>59</v>
      </c>
      <c r="C277" s="59" t="s">
        <v>11</v>
      </c>
      <c r="D277" s="60"/>
      <c r="E277" s="60"/>
      <c r="F277" s="60"/>
      <c r="G277" s="60"/>
      <c r="H277" s="60"/>
      <c r="I277" s="60"/>
      <c r="J277" s="60"/>
      <c r="K277" s="61" t="n">
        <f aca="false">SUMPRODUCT(LEN(D277:J277))</f>
        <v>0</v>
      </c>
      <c r="L277" s="62" t="n">
        <f aca="false">SUM(K277:K279)</f>
        <v>7</v>
      </c>
    </row>
    <row r="278" customFormat="false" ht="15" hidden="false" customHeight="false" outlineLevel="0" collapsed="false">
      <c r="B278" s="72"/>
      <c r="C278" s="59" t="s">
        <v>19</v>
      </c>
      <c r="D278" s="60"/>
      <c r="E278" s="60"/>
      <c r="F278" s="60"/>
      <c r="G278" s="60"/>
      <c r="H278" s="60"/>
      <c r="I278" s="60"/>
      <c r="J278" s="60"/>
      <c r="K278" s="61" t="n">
        <f aca="false">SUMPRODUCT(LEN(D278:J278))</f>
        <v>0</v>
      </c>
      <c r="L278" s="62"/>
    </row>
    <row r="279" customFormat="false" ht="15" hidden="false" customHeight="false" outlineLevel="0" collapsed="false">
      <c r="B279" s="72"/>
      <c r="C279" s="59" t="s">
        <v>24</v>
      </c>
      <c r="D279" s="60" t="s">
        <v>185</v>
      </c>
      <c r="E279" s="60" t="s">
        <v>185</v>
      </c>
      <c r="F279" s="60" t="s">
        <v>185</v>
      </c>
      <c r="G279" s="60" t="s">
        <v>186</v>
      </c>
      <c r="H279" s="60" t="s">
        <v>185</v>
      </c>
      <c r="I279" s="60" t="s">
        <v>185</v>
      </c>
      <c r="J279" s="60"/>
      <c r="K279" s="61" t="n">
        <f aca="false">SUMPRODUCT(LEN(D279:J279))</f>
        <v>7</v>
      </c>
      <c r="L279" s="62"/>
    </row>
    <row r="280" customFormat="false" ht="15" hidden="false" customHeight="false" outlineLevel="0" collapsed="false">
      <c r="B280" s="73" t="s">
        <v>62</v>
      </c>
      <c r="C280" s="59" t="s">
        <v>11</v>
      </c>
      <c r="D280" s="60"/>
      <c r="E280" s="60"/>
      <c r="F280" s="60"/>
      <c r="G280" s="60"/>
      <c r="H280" s="60"/>
      <c r="I280" s="60"/>
      <c r="J280" s="60"/>
      <c r="K280" s="61" t="n">
        <f aca="false">SUMPRODUCT(LEN(D280:J280))</f>
        <v>0</v>
      </c>
      <c r="L280" s="62" t="n">
        <f aca="false">SUM(K280:K282)</f>
        <v>2</v>
      </c>
    </row>
    <row r="281" customFormat="false" ht="15" hidden="false" customHeight="false" outlineLevel="0" collapsed="false">
      <c r="B281" s="73"/>
      <c r="C281" s="59" t="s">
        <v>19</v>
      </c>
      <c r="D281" s="60"/>
      <c r="E281" s="60"/>
      <c r="F281" s="60"/>
      <c r="G281" s="60"/>
      <c r="H281" s="60"/>
      <c r="I281" s="60"/>
      <c r="J281" s="60"/>
      <c r="K281" s="61" t="n">
        <f aca="false">SUMPRODUCT(LEN(D281:J281))</f>
        <v>0</v>
      </c>
      <c r="L281" s="62"/>
    </row>
    <row r="282" customFormat="false" ht="15" hidden="false" customHeight="false" outlineLevel="0" collapsed="false">
      <c r="B282" s="73"/>
      <c r="C282" s="59" t="s">
        <v>24</v>
      </c>
      <c r="D282" s="60"/>
      <c r="E282" s="60"/>
      <c r="F282" s="60" t="s">
        <v>185</v>
      </c>
      <c r="G282" s="60"/>
      <c r="H282" s="60"/>
      <c r="I282" s="60"/>
      <c r="J282" s="60" t="s">
        <v>185</v>
      </c>
      <c r="K282" s="61" t="n">
        <f aca="false">SUMPRODUCT(LEN(D282:J282))</f>
        <v>2</v>
      </c>
      <c r="L282" s="62"/>
    </row>
    <row r="284" customFormat="false" ht="19.5" hidden="false" customHeight="true" outlineLevel="0" collapsed="false">
      <c r="B284" s="55" t="str">
        <f aca="false">"TABLEAU 8/12  -  PROGRAMME DE NOVEMBRE 2027"&amp;IF($C$6="novembre 2027","          &lt;&lt;&lt; MOIS ACTUELLEMENT FILTRE","")</f>
        <v>TABLEAU 8/12  -  PROGRAMME DE NOVEMBRE 2027</v>
      </c>
      <c r="C284" s="55"/>
      <c r="D284" s="55"/>
      <c r="E284" s="55"/>
      <c r="F284" s="55"/>
      <c r="G284" s="55"/>
      <c r="H284" s="55"/>
      <c r="I284" s="55"/>
      <c r="J284" s="55"/>
      <c r="L284" s="56" t="s">
        <v>179</v>
      </c>
    </row>
    <row r="285" customFormat="false" ht="25.5" hidden="false" customHeight="true" outlineLevel="0" collapsed="false">
      <c r="B285" s="57" t="s">
        <v>84</v>
      </c>
      <c r="C285" s="57" t="s">
        <v>180</v>
      </c>
      <c r="D285" s="57" t="s">
        <v>27</v>
      </c>
      <c r="E285" s="57" t="s">
        <v>28</v>
      </c>
      <c r="F285" s="57" t="s">
        <v>29</v>
      </c>
      <c r="G285" s="57" t="s">
        <v>30</v>
      </c>
      <c r="H285" s="57" t="s">
        <v>31</v>
      </c>
      <c r="I285" s="57" t="s">
        <v>32</v>
      </c>
      <c r="J285" s="57" t="s">
        <v>33</v>
      </c>
      <c r="K285" s="57" t="s">
        <v>181</v>
      </c>
      <c r="L285" s="57" t="s">
        <v>182</v>
      </c>
    </row>
    <row r="286" customFormat="false" ht="15" hidden="false" customHeight="false" outlineLevel="0" collapsed="false">
      <c r="B286" s="58" t="s">
        <v>12</v>
      </c>
      <c r="C286" s="59" t="s">
        <v>11</v>
      </c>
      <c r="D286" s="60" t="s">
        <v>183</v>
      </c>
      <c r="E286" s="60" t="s">
        <v>183</v>
      </c>
      <c r="F286" s="60" t="s">
        <v>183</v>
      </c>
      <c r="G286" s="60" t="s">
        <v>183</v>
      </c>
      <c r="H286" s="60" t="s">
        <v>183</v>
      </c>
      <c r="I286" s="60" t="s">
        <v>183</v>
      </c>
      <c r="J286" s="60" t="s">
        <v>183</v>
      </c>
      <c r="K286" s="61" t="n">
        <f aca="false">SUMPRODUCT(LEN(D286:J286))</f>
        <v>7</v>
      </c>
      <c r="L286" s="62" t="n">
        <f aca="false">SUM(K286:K288)</f>
        <v>11</v>
      </c>
    </row>
    <row r="287" customFormat="false" ht="15" hidden="false" customHeight="false" outlineLevel="0" collapsed="false">
      <c r="B287" s="58"/>
      <c r="C287" s="59" t="s">
        <v>19</v>
      </c>
      <c r="D287" s="60" t="s">
        <v>183</v>
      </c>
      <c r="E287" s="60"/>
      <c r="F287" s="60"/>
      <c r="G287" s="60"/>
      <c r="H287" s="60" t="s">
        <v>183</v>
      </c>
      <c r="I287" s="60"/>
      <c r="J287" s="60"/>
      <c r="K287" s="61" t="n">
        <f aca="false">SUMPRODUCT(LEN(D287:J287))</f>
        <v>2</v>
      </c>
      <c r="L287" s="62"/>
    </row>
    <row r="288" customFormat="false" ht="15" hidden="false" customHeight="false" outlineLevel="0" collapsed="false">
      <c r="B288" s="58"/>
      <c r="C288" s="59" t="s">
        <v>24</v>
      </c>
      <c r="D288" s="60" t="s">
        <v>184</v>
      </c>
      <c r="E288" s="60"/>
      <c r="F288" s="60"/>
      <c r="G288" s="60"/>
      <c r="H288" s="60"/>
      <c r="I288" s="60"/>
      <c r="J288" s="60"/>
      <c r="K288" s="61" t="n">
        <f aca="false">SUMPRODUCT(LEN(D288:J288))</f>
        <v>2</v>
      </c>
      <c r="L288" s="62"/>
    </row>
    <row r="289" customFormat="false" ht="15" hidden="false" customHeight="false" outlineLevel="0" collapsed="false">
      <c r="B289" s="63" t="s">
        <v>20</v>
      </c>
      <c r="C289" s="59" t="s">
        <v>11</v>
      </c>
      <c r="D289" s="60"/>
      <c r="E289" s="60"/>
      <c r="F289" s="60"/>
      <c r="G289" s="60"/>
      <c r="H289" s="60"/>
      <c r="I289" s="60"/>
      <c r="J289" s="60" t="s">
        <v>183</v>
      </c>
      <c r="K289" s="61" t="n">
        <f aca="false">SUMPRODUCT(LEN(D289:J289))</f>
        <v>1</v>
      </c>
      <c r="L289" s="62" t="n">
        <f aca="false">SUM(K289:K291)</f>
        <v>3</v>
      </c>
    </row>
    <row r="290" customFormat="false" ht="15" hidden="false" customHeight="false" outlineLevel="0" collapsed="false">
      <c r="B290" s="63"/>
      <c r="C290" s="59" t="s">
        <v>19</v>
      </c>
      <c r="D290" s="60"/>
      <c r="E290" s="60" t="s">
        <v>183</v>
      </c>
      <c r="F290" s="60"/>
      <c r="G290" s="60"/>
      <c r="H290" s="60" t="s">
        <v>183</v>
      </c>
      <c r="I290" s="60"/>
      <c r="J290" s="60"/>
      <c r="K290" s="61" t="n">
        <f aca="false">SUMPRODUCT(LEN(D290:J290))</f>
        <v>2</v>
      </c>
      <c r="L290" s="62"/>
    </row>
    <row r="291" customFormat="false" ht="15" hidden="false" customHeight="false" outlineLevel="0" collapsed="false">
      <c r="B291" s="63"/>
      <c r="C291" s="59" t="s">
        <v>24</v>
      </c>
      <c r="D291" s="60"/>
      <c r="E291" s="60"/>
      <c r="F291" s="60"/>
      <c r="G291" s="60"/>
      <c r="H291" s="60"/>
      <c r="I291" s="60"/>
      <c r="J291" s="60"/>
      <c r="K291" s="61" t="n">
        <f aca="false">SUMPRODUCT(LEN(D291:J291))</f>
        <v>0</v>
      </c>
      <c r="L291" s="62"/>
    </row>
    <row r="292" customFormat="false" ht="15" hidden="false" customHeight="false" outlineLevel="0" collapsed="false">
      <c r="B292" s="64" t="s">
        <v>25</v>
      </c>
      <c r="C292" s="59" t="s">
        <v>11</v>
      </c>
      <c r="D292" s="60"/>
      <c r="E292" s="60"/>
      <c r="F292" s="60"/>
      <c r="G292" s="60"/>
      <c r="H292" s="60"/>
      <c r="I292" s="60"/>
      <c r="J292" s="60"/>
      <c r="K292" s="61" t="n">
        <f aca="false">SUMPRODUCT(LEN(D292:J292))</f>
        <v>0</v>
      </c>
      <c r="L292" s="62" t="n">
        <f aca="false">SUM(K292:K294)</f>
        <v>2</v>
      </c>
    </row>
    <row r="293" customFormat="false" ht="15" hidden="false" customHeight="false" outlineLevel="0" collapsed="false">
      <c r="B293" s="64"/>
      <c r="C293" s="59" t="s">
        <v>19</v>
      </c>
      <c r="D293" s="60"/>
      <c r="E293" s="60"/>
      <c r="F293" s="60" t="s">
        <v>183</v>
      </c>
      <c r="G293" s="60"/>
      <c r="H293" s="60"/>
      <c r="I293" s="60" t="s">
        <v>183</v>
      </c>
      <c r="J293" s="60"/>
      <c r="K293" s="61" t="n">
        <f aca="false">SUMPRODUCT(LEN(D293:J293))</f>
        <v>2</v>
      </c>
      <c r="L293" s="62"/>
    </row>
    <row r="294" customFormat="false" ht="15" hidden="false" customHeight="false" outlineLevel="0" collapsed="false">
      <c r="B294" s="64"/>
      <c r="C294" s="59" t="s">
        <v>24</v>
      </c>
      <c r="D294" s="60"/>
      <c r="E294" s="60"/>
      <c r="F294" s="60"/>
      <c r="G294" s="60"/>
      <c r="H294" s="60"/>
      <c r="I294" s="60"/>
      <c r="J294" s="60"/>
      <c r="K294" s="61" t="n">
        <f aca="false">SUMPRODUCT(LEN(D294:J294))</f>
        <v>0</v>
      </c>
      <c r="L294" s="62"/>
    </row>
    <row r="295" customFormat="false" ht="15" hidden="false" customHeight="false" outlineLevel="0" collapsed="false">
      <c r="B295" s="65" t="s">
        <v>36</v>
      </c>
      <c r="C295" s="59" t="s">
        <v>11</v>
      </c>
      <c r="D295" s="60"/>
      <c r="E295" s="60"/>
      <c r="F295" s="60"/>
      <c r="G295" s="60"/>
      <c r="H295" s="60"/>
      <c r="I295" s="60"/>
      <c r="J295" s="60"/>
      <c r="K295" s="61" t="n">
        <f aca="false">SUMPRODUCT(LEN(D295:J295))</f>
        <v>0</v>
      </c>
      <c r="L295" s="62" t="n">
        <f aca="false">SUM(K295:K297)</f>
        <v>6</v>
      </c>
    </row>
    <row r="296" customFormat="false" ht="15" hidden="false" customHeight="false" outlineLevel="0" collapsed="false">
      <c r="B296" s="65"/>
      <c r="C296" s="59" t="s">
        <v>19</v>
      </c>
      <c r="D296" s="60"/>
      <c r="E296" s="60"/>
      <c r="F296" s="60" t="s">
        <v>185</v>
      </c>
      <c r="G296" s="60"/>
      <c r="H296" s="60"/>
      <c r="I296" s="60"/>
      <c r="J296" s="60"/>
      <c r="K296" s="61" t="n">
        <f aca="false">SUMPRODUCT(LEN(D296:J296))</f>
        <v>1</v>
      </c>
      <c r="L296" s="62"/>
    </row>
    <row r="297" customFormat="false" ht="15" hidden="false" customHeight="false" outlineLevel="0" collapsed="false">
      <c r="B297" s="65"/>
      <c r="C297" s="59" t="s">
        <v>24</v>
      </c>
      <c r="D297" s="60" t="s">
        <v>185</v>
      </c>
      <c r="E297" s="60" t="s">
        <v>185</v>
      </c>
      <c r="F297" s="60" t="s">
        <v>185</v>
      </c>
      <c r="G297" s="60" t="s">
        <v>185</v>
      </c>
      <c r="H297" s="60" t="s">
        <v>185</v>
      </c>
      <c r="I297" s="60"/>
      <c r="J297" s="60"/>
      <c r="K297" s="61" t="n">
        <f aca="false">SUMPRODUCT(LEN(D297:J297))</f>
        <v>5</v>
      </c>
      <c r="L297" s="62"/>
    </row>
    <row r="298" customFormat="false" ht="15" hidden="false" customHeight="false" outlineLevel="0" collapsed="false">
      <c r="B298" s="66" t="s">
        <v>40</v>
      </c>
      <c r="C298" s="59" t="s">
        <v>11</v>
      </c>
      <c r="D298" s="60"/>
      <c r="E298" s="60"/>
      <c r="F298" s="60"/>
      <c r="G298" s="60"/>
      <c r="H298" s="60"/>
      <c r="I298" s="60"/>
      <c r="J298" s="60"/>
      <c r="K298" s="61" t="n">
        <f aca="false">SUMPRODUCT(LEN(D298:J298))</f>
        <v>0</v>
      </c>
      <c r="L298" s="62" t="n">
        <f aca="false">SUM(K298:K300)</f>
        <v>4</v>
      </c>
    </row>
    <row r="299" customFormat="false" ht="15" hidden="false" customHeight="false" outlineLevel="0" collapsed="false">
      <c r="B299" s="66"/>
      <c r="C299" s="59" t="s">
        <v>19</v>
      </c>
      <c r="D299" s="60"/>
      <c r="E299" s="60"/>
      <c r="F299" s="60"/>
      <c r="G299" s="60"/>
      <c r="H299" s="60"/>
      <c r="I299" s="60"/>
      <c r="J299" s="60"/>
      <c r="K299" s="61" t="n">
        <f aca="false">SUMPRODUCT(LEN(D299:J299))</f>
        <v>0</v>
      </c>
      <c r="L299" s="62"/>
    </row>
    <row r="300" customFormat="false" ht="15" hidden="false" customHeight="false" outlineLevel="0" collapsed="false">
      <c r="B300" s="66"/>
      <c r="C300" s="59" t="s">
        <v>24</v>
      </c>
      <c r="D300" s="60" t="s">
        <v>185</v>
      </c>
      <c r="E300" s="60"/>
      <c r="F300" s="60" t="s">
        <v>185</v>
      </c>
      <c r="G300" s="60"/>
      <c r="H300" s="60" t="s">
        <v>185</v>
      </c>
      <c r="I300" s="60"/>
      <c r="J300" s="60" t="s">
        <v>185</v>
      </c>
      <c r="K300" s="61" t="n">
        <f aca="false">SUMPRODUCT(LEN(D300:J300))</f>
        <v>4</v>
      </c>
      <c r="L300" s="62"/>
    </row>
    <row r="301" customFormat="false" ht="15" hidden="false" customHeight="false" outlineLevel="0" collapsed="false">
      <c r="B301" s="67" t="s">
        <v>14</v>
      </c>
      <c r="C301" s="59" t="s">
        <v>11</v>
      </c>
      <c r="D301" s="60"/>
      <c r="E301" s="60"/>
      <c r="F301" s="60"/>
      <c r="G301" s="60"/>
      <c r="H301" s="60"/>
      <c r="I301" s="60"/>
      <c r="J301" s="60"/>
      <c r="K301" s="61" t="n">
        <f aca="false">SUMPRODUCT(LEN(D301:J301))</f>
        <v>0</v>
      </c>
      <c r="L301" s="62" t="n">
        <f aca="false">SUM(K301:K303)</f>
        <v>3</v>
      </c>
    </row>
    <row r="302" customFormat="false" ht="15" hidden="false" customHeight="false" outlineLevel="0" collapsed="false">
      <c r="B302" s="67"/>
      <c r="C302" s="59" t="s">
        <v>19</v>
      </c>
      <c r="D302" s="60"/>
      <c r="E302" s="60"/>
      <c r="F302" s="60"/>
      <c r="G302" s="60"/>
      <c r="H302" s="60"/>
      <c r="I302" s="60"/>
      <c r="J302" s="60"/>
      <c r="K302" s="61" t="n">
        <f aca="false">SUMPRODUCT(LEN(D302:J302))</f>
        <v>0</v>
      </c>
      <c r="L302" s="62"/>
    </row>
    <row r="303" customFormat="false" ht="15" hidden="false" customHeight="false" outlineLevel="0" collapsed="false">
      <c r="B303" s="67"/>
      <c r="C303" s="59" t="s">
        <v>24</v>
      </c>
      <c r="D303" s="60" t="s">
        <v>185</v>
      </c>
      <c r="E303" s="60"/>
      <c r="F303" s="60"/>
      <c r="G303" s="60" t="s">
        <v>185</v>
      </c>
      <c r="H303" s="60"/>
      <c r="I303" s="60" t="s">
        <v>185</v>
      </c>
      <c r="J303" s="60"/>
      <c r="K303" s="61" t="n">
        <f aca="false">SUMPRODUCT(LEN(D303:J303))</f>
        <v>3</v>
      </c>
      <c r="L303" s="62"/>
    </row>
    <row r="304" customFormat="false" ht="15" hidden="false" customHeight="false" outlineLevel="0" collapsed="false">
      <c r="B304" s="68" t="s">
        <v>46</v>
      </c>
      <c r="C304" s="59" t="s">
        <v>11</v>
      </c>
      <c r="D304" s="60"/>
      <c r="E304" s="60"/>
      <c r="F304" s="60"/>
      <c r="G304" s="60"/>
      <c r="H304" s="60"/>
      <c r="I304" s="60"/>
      <c r="J304" s="60"/>
      <c r="K304" s="61" t="n">
        <f aca="false">SUMPRODUCT(LEN(D304:J304))</f>
        <v>0</v>
      </c>
      <c r="L304" s="62" t="n">
        <f aca="false">SUM(K304:K306)</f>
        <v>3</v>
      </c>
    </row>
    <row r="305" customFormat="false" ht="15" hidden="false" customHeight="false" outlineLevel="0" collapsed="false">
      <c r="B305" s="68"/>
      <c r="C305" s="59" t="s">
        <v>19</v>
      </c>
      <c r="D305" s="60"/>
      <c r="E305" s="60"/>
      <c r="F305" s="60"/>
      <c r="G305" s="60"/>
      <c r="H305" s="60"/>
      <c r="I305" s="60"/>
      <c r="J305" s="60"/>
      <c r="K305" s="61" t="n">
        <f aca="false">SUMPRODUCT(LEN(D305:J305))</f>
        <v>0</v>
      </c>
      <c r="L305" s="62"/>
    </row>
    <row r="306" customFormat="false" ht="15" hidden="false" customHeight="false" outlineLevel="0" collapsed="false">
      <c r="B306" s="68"/>
      <c r="C306" s="59" t="s">
        <v>24</v>
      </c>
      <c r="D306" s="60"/>
      <c r="E306" s="60" t="s">
        <v>185</v>
      </c>
      <c r="F306" s="60"/>
      <c r="G306" s="60" t="s">
        <v>185</v>
      </c>
      <c r="H306" s="60"/>
      <c r="I306" s="60" t="s">
        <v>185</v>
      </c>
      <c r="J306" s="60"/>
      <c r="K306" s="61" t="n">
        <f aca="false">SUMPRODUCT(LEN(D306:J306))</f>
        <v>3</v>
      </c>
      <c r="L306" s="62"/>
    </row>
    <row r="307" customFormat="false" ht="15" hidden="false" customHeight="false" outlineLevel="0" collapsed="false">
      <c r="B307" s="69" t="s">
        <v>49</v>
      </c>
      <c r="C307" s="59" t="s">
        <v>11</v>
      </c>
      <c r="D307" s="60"/>
      <c r="E307" s="60"/>
      <c r="F307" s="60"/>
      <c r="G307" s="60"/>
      <c r="H307" s="60"/>
      <c r="I307" s="60"/>
      <c r="J307" s="60"/>
      <c r="K307" s="61" t="n">
        <f aca="false">SUMPRODUCT(LEN(D307:J307))</f>
        <v>0</v>
      </c>
      <c r="L307" s="62" t="n">
        <f aca="false">SUM(K307:K309)</f>
        <v>2</v>
      </c>
    </row>
    <row r="308" customFormat="false" ht="15" hidden="false" customHeight="false" outlineLevel="0" collapsed="false">
      <c r="B308" s="69"/>
      <c r="C308" s="59" t="s">
        <v>19</v>
      </c>
      <c r="D308" s="60" t="s">
        <v>185</v>
      </c>
      <c r="E308" s="60"/>
      <c r="F308" s="60"/>
      <c r="G308" s="60"/>
      <c r="H308" s="60" t="s">
        <v>185</v>
      </c>
      <c r="I308" s="60"/>
      <c r="J308" s="60"/>
      <c r="K308" s="61" t="n">
        <f aca="false">SUMPRODUCT(LEN(D308:J308))</f>
        <v>2</v>
      </c>
      <c r="L308" s="62"/>
    </row>
    <row r="309" customFormat="false" ht="15" hidden="false" customHeight="false" outlineLevel="0" collapsed="false">
      <c r="B309" s="69"/>
      <c r="C309" s="59" t="s">
        <v>24</v>
      </c>
      <c r="D309" s="60"/>
      <c r="E309" s="60"/>
      <c r="F309" s="60"/>
      <c r="G309" s="60"/>
      <c r="H309" s="60"/>
      <c r="I309" s="60"/>
      <c r="J309" s="60"/>
      <c r="K309" s="61" t="n">
        <f aca="false">SUMPRODUCT(LEN(D309:J309))</f>
        <v>0</v>
      </c>
      <c r="L309" s="62"/>
    </row>
    <row r="310" customFormat="false" ht="15" hidden="false" customHeight="false" outlineLevel="0" collapsed="false">
      <c r="B310" s="70" t="s">
        <v>53</v>
      </c>
      <c r="C310" s="59" t="s">
        <v>11</v>
      </c>
      <c r="D310" s="60"/>
      <c r="E310" s="60"/>
      <c r="F310" s="60"/>
      <c r="G310" s="60"/>
      <c r="H310" s="60"/>
      <c r="I310" s="60"/>
      <c r="J310" s="60"/>
      <c r="K310" s="61" t="n">
        <f aca="false">SUMPRODUCT(LEN(D310:J310))</f>
        <v>0</v>
      </c>
      <c r="L310" s="62" t="n">
        <f aca="false">SUM(K310:K312)</f>
        <v>1</v>
      </c>
    </row>
    <row r="311" customFormat="false" ht="15" hidden="false" customHeight="false" outlineLevel="0" collapsed="false">
      <c r="B311" s="70"/>
      <c r="C311" s="59" t="s">
        <v>19</v>
      </c>
      <c r="D311" s="60"/>
      <c r="E311" s="60"/>
      <c r="F311" s="60"/>
      <c r="G311" s="60" t="s">
        <v>185</v>
      </c>
      <c r="H311" s="60"/>
      <c r="I311" s="60"/>
      <c r="J311" s="60"/>
      <c r="K311" s="61" t="n">
        <f aca="false">SUMPRODUCT(LEN(D311:J311))</f>
        <v>1</v>
      </c>
      <c r="L311" s="62"/>
    </row>
    <row r="312" customFormat="false" ht="15" hidden="false" customHeight="false" outlineLevel="0" collapsed="false">
      <c r="B312" s="70"/>
      <c r="C312" s="59" t="s">
        <v>24</v>
      </c>
      <c r="D312" s="60"/>
      <c r="E312" s="60"/>
      <c r="F312" s="60"/>
      <c r="G312" s="60"/>
      <c r="H312" s="60"/>
      <c r="I312" s="60"/>
      <c r="J312" s="60"/>
      <c r="K312" s="61" t="n">
        <f aca="false">SUMPRODUCT(LEN(D312:J312))</f>
        <v>0</v>
      </c>
      <c r="L312" s="62"/>
    </row>
    <row r="313" customFormat="false" ht="15" hidden="false" customHeight="false" outlineLevel="0" collapsed="false">
      <c r="B313" s="71" t="s">
        <v>56</v>
      </c>
      <c r="C313" s="59" t="s">
        <v>11</v>
      </c>
      <c r="D313" s="60"/>
      <c r="E313" s="60"/>
      <c r="F313" s="60"/>
      <c r="G313" s="60"/>
      <c r="H313" s="60"/>
      <c r="I313" s="60"/>
      <c r="J313" s="60"/>
      <c r="K313" s="61" t="n">
        <f aca="false">SUMPRODUCT(LEN(D313:J313))</f>
        <v>0</v>
      </c>
      <c r="L313" s="62" t="n">
        <f aca="false">SUM(K313:K315)</f>
        <v>2</v>
      </c>
    </row>
    <row r="314" customFormat="false" ht="15" hidden="false" customHeight="false" outlineLevel="0" collapsed="false">
      <c r="B314" s="71"/>
      <c r="C314" s="59" t="s">
        <v>19</v>
      </c>
      <c r="D314" s="60"/>
      <c r="E314" s="60"/>
      <c r="F314" s="60"/>
      <c r="G314" s="60"/>
      <c r="H314" s="60"/>
      <c r="I314" s="60"/>
      <c r="J314" s="60"/>
      <c r="K314" s="61" t="n">
        <f aca="false">SUMPRODUCT(LEN(D314:J314))</f>
        <v>0</v>
      </c>
      <c r="L314" s="62"/>
    </row>
    <row r="315" customFormat="false" ht="15" hidden="false" customHeight="false" outlineLevel="0" collapsed="false">
      <c r="B315" s="71"/>
      <c r="C315" s="59" t="s">
        <v>24</v>
      </c>
      <c r="D315" s="60"/>
      <c r="E315" s="60" t="s">
        <v>185</v>
      </c>
      <c r="F315" s="60"/>
      <c r="G315" s="60"/>
      <c r="H315" s="60"/>
      <c r="I315" s="60" t="s">
        <v>185</v>
      </c>
      <c r="J315" s="60"/>
      <c r="K315" s="61" t="n">
        <f aca="false">SUMPRODUCT(LEN(D315:J315))</f>
        <v>2</v>
      </c>
      <c r="L315" s="62"/>
    </row>
    <row r="316" customFormat="false" ht="15" hidden="false" customHeight="false" outlineLevel="0" collapsed="false">
      <c r="B316" s="72" t="s">
        <v>59</v>
      </c>
      <c r="C316" s="59" t="s">
        <v>11</v>
      </c>
      <c r="D316" s="60"/>
      <c r="E316" s="60"/>
      <c r="F316" s="60"/>
      <c r="G316" s="60"/>
      <c r="H316" s="60"/>
      <c r="I316" s="60"/>
      <c r="J316" s="60"/>
      <c r="K316" s="61" t="n">
        <f aca="false">SUMPRODUCT(LEN(D316:J316))</f>
        <v>0</v>
      </c>
      <c r="L316" s="62" t="n">
        <f aca="false">SUM(K316:K318)</f>
        <v>7</v>
      </c>
    </row>
    <row r="317" customFormat="false" ht="15" hidden="false" customHeight="false" outlineLevel="0" collapsed="false">
      <c r="B317" s="72"/>
      <c r="C317" s="59" t="s">
        <v>19</v>
      </c>
      <c r="D317" s="60"/>
      <c r="E317" s="60"/>
      <c r="F317" s="60"/>
      <c r="G317" s="60"/>
      <c r="H317" s="60"/>
      <c r="I317" s="60"/>
      <c r="J317" s="60"/>
      <c r="K317" s="61" t="n">
        <f aca="false">SUMPRODUCT(LEN(D317:J317))</f>
        <v>0</v>
      </c>
      <c r="L317" s="62"/>
    </row>
    <row r="318" customFormat="false" ht="15" hidden="false" customHeight="false" outlineLevel="0" collapsed="false">
      <c r="B318" s="72"/>
      <c r="C318" s="59" t="s">
        <v>24</v>
      </c>
      <c r="D318" s="60" t="s">
        <v>185</v>
      </c>
      <c r="E318" s="60" t="s">
        <v>185</v>
      </c>
      <c r="F318" s="60" t="s">
        <v>185</v>
      </c>
      <c r="G318" s="60" t="s">
        <v>186</v>
      </c>
      <c r="H318" s="60" t="s">
        <v>185</v>
      </c>
      <c r="I318" s="60" t="s">
        <v>185</v>
      </c>
      <c r="J318" s="60"/>
      <c r="K318" s="61" t="n">
        <f aca="false">SUMPRODUCT(LEN(D318:J318))</f>
        <v>7</v>
      </c>
      <c r="L318" s="62"/>
    </row>
    <row r="319" customFormat="false" ht="15" hidden="false" customHeight="false" outlineLevel="0" collapsed="false">
      <c r="B319" s="73" t="s">
        <v>62</v>
      </c>
      <c r="C319" s="59" t="s">
        <v>11</v>
      </c>
      <c r="D319" s="60"/>
      <c r="E319" s="60"/>
      <c r="F319" s="60"/>
      <c r="G319" s="60"/>
      <c r="H319" s="60"/>
      <c r="I319" s="60"/>
      <c r="J319" s="60"/>
      <c r="K319" s="61" t="n">
        <f aca="false">SUMPRODUCT(LEN(D319:J319))</f>
        <v>0</v>
      </c>
      <c r="L319" s="62" t="n">
        <f aca="false">SUM(K319:K321)</f>
        <v>2</v>
      </c>
    </row>
    <row r="320" customFormat="false" ht="15" hidden="false" customHeight="false" outlineLevel="0" collapsed="false">
      <c r="B320" s="73"/>
      <c r="C320" s="59" t="s">
        <v>19</v>
      </c>
      <c r="D320" s="60"/>
      <c r="E320" s="60"/>
      <c r="F320" s="60"/>
      <c r="G320" s="60"/>
      <c r="H320" s="60"/>
      <c r="I320" s="60"/>
      <c r="J320" s="60"/>
      <c r="K320" s="61" t="n">
        <f aca="false">SUMPRODUCT(LEN(D320:J320))</f>
        <v>0</v>
      </c>
      <c r="L320" s="62"/>
    </row>
    <row r="321" customFormat="false" ht="15" hidden="false" customHeight="false" outlineLevel="0" collapsed="false">
      <c r="B321" s="73"/>
      <c r="C321" s="59" t="s">
        <v>24</v>
      </c>
      <c r="D321" s="60"/>
      <c r="E321" s="60"/>
      <c r="F321" s="60" t="s">
        <v>185</v>
      </c>
      <c r="G321" s="60"/>
      <c r="H321" s="60"/>
      <c r="I321" s="60"/>
      <c r="J321" s="60" t="s">
        <v>185</v>
      </c>
      <c r="K321" s="61" t="n">
        <f aca="false">SUMPRODUCT(LEN(D321:J321))</f>
        <v>2</v>
      </c>
      <c r="L321" s="62"/>
    </row>
    <row r="323" customFormat="false" ht="19.5" hidden="false" customHeight="true" outlineLevel="0" collapsed="false">
      <c r="B323" s="55" t="str">
        <f aca="false">"TABLEAU 9/12  -  PROGRAMME DE DECEMBRE 2027"&amp;IF($C$6="decembre 2027","          &lt;&lt;&lt; MOIS ACTUELLEMENT FILTRE","")</f>
        <v>TABLEAU 9/12  -  PROGRAMME DE DECEMBRE 2027</v>
      </c>
      <c r="C323" s="55"/>
      <c r="D323" s="55"/>
      <c r="E323" s="55"/>
      <c r="F323" s="55"/>
      <c r="G323" s="55"/>
      <c r="H323" s="55"/>
      <c r="I323" s="55"/>
      <c r="J323" s="55"/>
      <c r="L323" s="56" t="s">
        <v>179</v>
      </c>
    </row>
    <row r="324" customFormat="false" ht="25.5" hidden="false" customHeight="true" outlineLevel="0" collapsed="false">
      <c r="B324" s="57" t="s">
        <v>84</v>
      </c>
      <c r="C324" s="57" t="s">
        <v>180</v>
      </c>
      <c r="D324" s="57" t="s">
        <v>27</v>
      </c>
      <c r="E324" s="57" t="s">
        <v>28</v>
      </c>
      <c r="F324" s="57" t="s">
        <v>29</v>
      </c>
      <c r="G324" s="57" t="s">
        <v>30</v>
      </c>
      <c r="H324" s="57" t="s">
        <v>31</v>
      </c>
      <c r="I324" s="57" t="s">
        <v>32</v>
      </c>
      <c r="J324" s="57" t="s">
        <v>33</v>
      </c>
      <c r="K324" s="57" t="s">
        <v>181</v>
      </c>
      <c r="L324" s="57" t="s">
        <v>182</v>
      </c>
    </row>
    <row r="325" customFormat="false" ht="15" hidden="false" customHeight="false" outlineLevel="0" collapsed="false">
      <c r="B325" s="58" t="s">
        <v>12</v>
      </c>
      <c r="C325" s="59" t="s">
        <v>11</v>
      </c>
      <c r="D325" s="60" t="s">
        <v>183</v>
      </c>
      <c r="E325" s="60" t="s">
        <v>183</v>
      </c>
      <c r="F325" s="60" t="s">
        <v>183</v>
      </c>
      <c r="G325" s="60" t="s">
        <v>183</v>
      </c>
      <c r="H325" s="60" t="s">
        <v>183</v>
      </c>
      <c r="I325" s="60" t="s">
        <v>183</v>
      </c>
      <c r="J325" s="60" t="s">
        <v>183</v>
      </c>
      <c r="K325" s="61" t="n">
        <f aca="false">SUMPRODUCT(LEN(D325:J325))</f>
        <v>7</v>
      </c>
      <c r="L325" s="62" t="n">
        <f aca="false">SUM(K325:K327)</f>
        <v>11</v>
      </c>
    </row>
    <row r="326" customFormat="false" ht="15" hidden="false" customHeight="false" outlineLevel="0" collapsed="false">
      <c r="B326" s="58"/>
      <c r="C326" s="59" t="s">
        <v>19</v>
      </c>
      <c r="D326" s="60" t="s">
        <v>183</v>
      </c>
      <c r="E326" s="60"/>
      <c r="F326" s="60"/>
      <c r="G326" s="60"/>
      <c r="H326" s="60" t="s">
        <v>183</v>
      </c>
      <c r="I326" s="60"/>
      <c r="J326" s="60"/>
      <c r="K326" s="61" t="n">
        <f aca="false">SUMPRODUCT(LEN(D326:J326))</f>
        <v>2</v>
      </c>
      <c r="L326" s="62"/>
    </row>
    <row r="327" customFormat="false" ht="15" hidden="false" customHeight="false" outlineLevel="0" collapsed="false">
      <c r="B327" s="58"/>
      <c r="C327" s="59" t="s">
        <v>24</v>
      </c>
      <c r="D327" s="60" t="s">
        <v>184</v>
      </c>
      <c r="E327" s="60"/>
      <c r="F327" s="60"/>
      <c r="G327" s="60"/>
      <c r="H327" s="60"/>
      <c r="I327" s="60"/>
      <c r="J327" s="60"/>
      <c r="K327" s="61" t="n">
        <f aca="false">SUMPRODUCT(LEN(D327:J327))</f>
        <v>2</v>
      </c>
      <c r="L327" s="62"/>
    </row>
    <row r="328" customFormat="false" ht="15" hidden="false" customHeight="false" outlineLevel="0" collapsed="false">
      <c r="B328" s="63" t="s">
        <v>20</v>
      </c>
      <c r="C328" s="59" t="s">
        <v>11</v>
      </c>
      <c r="D328" s="60"/>
      <c r="E328" s="60"/>
      <c r="F328" s="60"/>
      <c r="G328" s="60"/>
      <c r="H328" s="60"/>
      <c r="I328" s="60"/>
      <c r="J328" s="60" t="s">
        <v>183</v>
      </c>
      <c r="K328" s="61" t="n">
        <f aca="false">SUMPRODUCT(LEN(D328:J328))</f>
        <v>1</v>
      </c>
      <c r="L328" s="62" t="n">
        <f aca="false">SUM(K328:K330)</f>
        <v>3</v>
      </c>
    </row>
    <row r="329" customFormat="false" ht="15" hidden="false" customHeight="false" outlineLevel="0" collapsed="false">
      <c r="B329" s="63"/>
      <c r="C329" s="59" t="s">
        <v>19</v>
      </c>
      <c r="D329" s="60"/>
      <c r="E329" s="60" t="s">
        <v>183</v>
      </c>
      <c r="F329" s="60"/>
      <c r="G329" s="60"/>
      <c r="H329" s="60" t="s">
        <v>183</v>
      </c>
      <c r="I329" s="60"/>
      <c r="J329" s="60"/>
      <c r="K329" s="61" t="n">
        <f aca="false">SUMPRODUCT(LEN(D329:J329))</f>
        <v>2</v>
      </c>
      <c r="L329" s="62"/>
    </row>
    <row r="330" customFormat="false" ht="15" hidden="false" customHeight="false" outlineLevel="0" collapsed="false">
      <c r="B330" s="63"/>
      <c r="C330" s="59" t="s">
        <v>24</v>
      </c>
      <c r="D330" s="60"/>
      <c r="E330" s="60"/>
      <c r="F330" s="60"/>
      <c r="G330" s="60"/>
      <c r="H330" s="60"/>
      <c r="I330" s="60"/>
      <c r="J330" s="60"/>
      <c r="K330" s="61" t="n">
        <f aca="false">SUMPRODUCT(LEN(D330:J330))</f>
        <v>0</v>
      </c>
      <c r="L330" s="62"/>
    </row>
    <row r="331" customFormat="false" ht="15" hidden="false" customHeight="false" outlineLevel="0" collapsed="false">
      <c r="B331" s="64" t="s">
        <v>25</v>
      </c>
      <c r="C331" s="59" t="s">
        <v>11</v>
      </c>
      <c r="D331" s="60"/>
      <c r="E331" s="60"/>
      <c r="F331" s="60"/>
      <c r="G331" s="60"/>
      <c r="H331" s="60"/>
      <c r="I331" s="60"/>
      <c r="J331" s="60"/>
      <c r="K331" s="61" t="n">
        <f aca="false">SUMPRODUCT(LEN(D331:J331))</f>
        <v>0</v>
      </c>
      <c r="L331" s="62" t="n">
        <f aca="false">SUM(K331:K333)</f>
        <v>2</v>
      </c>
    </row>
    <row r="332" customFormat="false" ht="15" hidden="false" customHeight="false" outlineLevel="0" collapsed="false">
      <c r="B332" s="64"/>
      <c r="C332" s="59" t="s">
        <v>19</v>
      </c>
      <c r="D332" s="60"/>
      <c r="E332" s="60"/>
      <c r="F332" s="60" t="s">
        <v>183</v>
      </c>
      <c r="G332" s="60"/>
      <c r="H332" s="60"/>
      <c r="I332" s="60" t="s">
        <v>183</v>
      </c>
      <c r="J332" s="60"/>
      <c r="K332" s="61" t="n">
        <f aca="false">SUMPRODUCT(LEN(D332:J332))</f>
        <v>2</v>
      </c>
      <c r="L332" s="62"/>
    </row>
    <row r="333" customFormat="false" ht="15" hidden="false" customHeight="false" outlineLevel="0" collapsed="false">
      <c r="B333" s="64"/>
      <c r="C333" s="59" t="s">
        <v>24</v>
      </c>
      <c r="D333" s="60"/>
      <c r="E333" s="60"/>
      <c r="F333" s="60"/>
      <c r="G333" s="60"/>
      <c r="H333" s="60"/>
      <c r="I333" s="60"/>
      <c r="J333" s="60"/>
      <c r="K333" s="61" t="n">
        <f aca="false">SUMPRODUCT(LEN(D333:J333))</f>
        <v>0</v>
      </c>
      <c r="L333" s="62"/>
    </row>
    <row r="334" customFormat="false" ht="15" hidden="false" customHeight="false" outlineLevel="0" collapsed="false">
      <c r="B334" s="65" t="s">
        <v>36</v>
      </c>
      <c r="C334" s="59" t="s">
        <v>11</v>
      </c>
      <c r="D334" s="60"/>
      <c r="E334" s="60"/>
      <c r="F334" s="60"/>
      <c r="G334" s="60"/>
      <c r="H334" s="60"/>
      <c r="I334" s="60"/>
      <c r="J334" s="60"/>
      <c r="K334" s="61" t="n">
        <f aca="false">SUMPRODUCT(LEN(D334:J334))</f>
        <v>0</v>
      </c>
      <c r="L334" s="62" t="n">
        <f aca="false">SUM(K334:K336)</f>
        <v>6</v>
      </c>
    </row>
    <row r="335" customFormat="false" ht="15" hidden="false" customHeight="false" outlineLevel="0" collapsed="false">
      <c r="B335" s="65"/>
      <c r="C335" s="59" t="s">
        <v>19</v>
      </c>
      <c r="D335" s="60"/>
      <c r="E335" s="60"/>
      <c r="F335" s="60" t="s">
        <v>185</v>
      </c>
      <c r="G335" s="60"/>
      <c r="H335" s="60"/>
      <c r="I335" s="60"/>
      <c r="J335" s="60"/>
      <c r="K335" s="61" t="n">
        <f aca="false">SUMPRODUCT(LEN(D335:J335))</f>
        <v>1</v>
      </c>
      <c r="L335" s="62"/>
    </row>
    <row r="336" customFormat="false" ht="15" hidden="false" customHeight="false" outlineLevel="0" collapsed="false">
      <c r="B336" s="65"/>
      <c r="C336" s="59" t="s">
        <v>24</v>
      </c>
      <c r="D336" s="60" t="s">
        <v>185</v>
      </c>
      <c r="E336" s="60" t="s">
        <v>185</v>
      </c>
      <c r="F336" s="60" t="s">
        <v>185</v>
      </c>
      <c r="G336" s="60" t="s">
        <v>185</v>
      </c>
      <c r="H336" s="60" t="s">
        <v>185</v>
      </c>
      <c r="I336" s="60"/>
      <c r="J336" s="60"/>
      <c r="K336" s="61" t="n">
        <f aca="false">SUMPRODUCT(LEN(D336:J336))</f>
        <v>5</v>
      </c>
      <c r="L336" s="62"/>
    </row>
    <row r="337" customFormat="false" ht="15" hidden="false" customHeight="false" outlineLevel="0" collapsed="false">
      <c r="B337" s="66" t="s">
        <v>40</v>
      </c>
      <c r="C337" s="59" t="s">
        <v>11</v>
      </c>
      <c r="D337" s="60"/>
      <c r="E337" s="60"/>
      <c r="F337" s="60"/>
      <c r="G337" s="60"/>
      <c r="H337" s="60"/>
      <c r="I337" s="60"/>
      <c r="J337" s="60"/>
      <c r="K337" s="61" t="n">
        <f aca="false">SUMPRODUCT(LEN(D337:J337))</f>
        <v>0</v>
      </c>
      <c r="L337" s="62" t="n">
        <f aca="false">SUM(K337:K339)</f>
        <v>4</v>
      </c>
    </row>
    <row r="338" customFormat="false" ht="15" hidden="false" customHeight="false" outlineLevel="0" collapsed="false">
      <c r="B338" s="66"/>
      <c r="C338" s="59" t="s">
        <v>19</v>
      </c>
      <c r="D338" s="60"/>
      <c r="E338" s="60"/>
      <c r="F338" s="60"/>
      <c r="G338" s="60"/>
      <c r="H338" s="60"/>
      <c r="I338" s="60"/>
      <c r="J338" s="60"/>
      <c r="K338" s="61" t="n">
        <f aca="false">SUMPRODUCT(LEN(D338:J338))</f>
        <v>0</v>
      </c>
      <c r="L338" s="62"/>
    </row>
    <row r="339" customFormat="false" ht="15" hidden="false" customHeight="false" outlineLevel="0" collapsed="false">
      <c r="B339" s="66"/>
      <c r="C339" s="59" t="s">
        <v>24</v>
      </c>
      <c r="D339" s="60" t="s">
        <v>185</v>
      </c>
      <c r="E339" s="60"/>
      <c r="F339" s="60" t="s">
        <v>185</v>
      </c>
      <c r="G339" s="60"/>
      <c r="H339" s="60" t="s">
        <v>185</v>
      </c>
      <c r="I339" s="60"/>
      <c r="J339" s="60" t="s">
        <v>185</v>
      </c>
      <c r="K339" s="61" t="n">
        <f aca="false">SUMPRODUCT(LEN(D339:J339))</f>
        <v>4</v>
      </c>
      <c r="L339" s="62"/>
    </row>
    <row r="340" customFormat="false" ht="15" hidden="false" customHeight="false" outlineLevel="0" collapsed="false">
      <c r="B340" s="67" t="s">
        <v>14</v>
      </c>
      <c r="C340" s="59" t="s">
        <v>11</v>
      </c>
      <c r="D340" s="60"/>
      <c r="E340" s="60"/>
      <c r="F340" s="60"/>
      <c r="G340" s="60"/>
      <c r="H340" s="60"/>
      <c r="I340" s="60"/>
      <c r="J340" s="60"/>
      <c r="K340" s="61" t="n">
        <f aca="false">SUMPRODUCT(LEN(D340:J340))</f>
        <v>0</v>
      </c>
      <c r="L340" s="62" t="n">
        <f aca="false">SUM(K340:K342)</f>
        <v>5</v>
      </c>
    </row>
    <row r="341" customFormat="false" ht="15" hidden="false" customHeight="false" outlineLevel="0" collapsed="false">
      <c r="B341" s="67"/>
      <c r="C341" s="59" t="s">
        <v>19</v>
      </c>
      <c r="D341" s="60"/>
      <c r="E341" s="60"/>
      <c r="F341" s="60"/>
      <c r="G341" s="60"/>
      <c r="H341" s="60"/>
      <c r="I341" s="60"/>
      <c r="J341" s="60"/>
      <c r="K341" s="61" t="n">
        <f aca="false">SUMPRODUCT(LEN(D341:J341))</f>
        <v>0</v>
      </c>
      <c r="L341" s="62"/>
    </row>
    <row r="342" customFormat="false" ht="15" hidden="false" customHeight="false" outlineLevel="0" collapsed="false">
      <c r="B342" s="67"/>
      <c r="C342" s="59" t="s">
        <v>24</v>
      </c>
      <c r="D342" s="60" t="s">
        <v>185</v>
      </c>
      <c r="E342" s="60" t="s">
        <v>185</v>
      </c>
      <c r="F342" s="60"/>
      <c r="G342" s="60" t="s">
        <v>185</v>
      </c>
      <c r="H342" s="60"/>
      <c r="I342" s="60" t="s">
        <v>185</v>
      </c>
      <c r="J342" s="60" t="s">
        <v>185</v>
      </c>
      <c r="K342" s="61" t="n">
        <f aca="false">SUMPRODUCT(LEN(D342:J342))</f>
        <v>5</v>
      </c>
      <c r="L342" s="62"/>
    </row>
    <row r="343" customFormat="false" ht="15" hidden="false" customHeight="false" outlineLevel="0" collapsed="false">
      <c r="B343" s="68" t="s">
        <v>46</v>
      </c>
      <c r="C343" s="59" t="s">
        <v>11</v>
      </c>
      <c r="D343" s="60"/>
      <c r="E343" s="60"/>
      <c r="F343" s="60"/>
      <c r="G343" s="60"/>
      <c r="H343" s="60"/>
      <c r="I343" s="60"/>
      <c r="J343" s="60"/>
      <c r="K343" s="61" t="n">
        <f aca="false">SUMPRODUCT(LEN(D343:J343))</f>
        <v>0</v>
      </c>
      <c r="L343" s="62" t="n">
        <f aca="false">SUM(K343:K345)</f>
        <v>3</v>
      </c>
    </row>
    <row r="344" customFormat="false" ht="15" hidden="false" customHeight="false" outlineLevel="0" collapsed="false">
      <c r="B344" s="68"/>
      <c r="C344" s="59" t="s">
        <v>19</v>
      </c>
      <c r="D344" s="60"/>
      <c r="E344" s="60"/>
      <c r="F344" s="60"/>
      <c r="G344" s="60"/>
      <c r="H344" s="60"/>
      <c r="I344" s="60"/>
      <c r="J344" s="60"/>
      <c r="K344" s="61" t="n">
        <f aca="false">SUMPRODUCT(LEN(D344:J344))</f>
        <v>0</v>
      </c>
      <c r="L344" s="62"/>
    </row>
    <row r="345" customFormat="false" ht="15" hidden="false" customHeight="false" outlineLevel="0" collapsed="false">
      <c r="B345" s="68"/>
      <c r="C345" s="59" t="s">
        <v>24</v>
      </c>
      <c r="D345" s="60"/>
      <c r="E345" s="60" t="s">
        <v>185</v>
      </c>
      <c r="F345" s="60"/>
      <c r="G345" s="60" t="s">
        <v>185</v>
      </c>
      <c r="H345" s="60"/>
      <c r="I345" s="60" t="s">
        <v>185</v>
      </c>
      <c r="J345" s="60"/>
      <c r="K345" s="61" t="n">
        <f aca="false">SUMPRODUCT(LEN(D345:J345))</f>
        <v>3</v>
      </c>
      <c r="L345" s="62"/>
    </row>
    <row r="346" customFormat="false" ht="15" hidden="false" customHeight="false" outlineLevel="0" collapsed="false">
      <c r="B346" s="69" t="s">
        <v>49</v>
      </c>
      <c r="C346" s="59" t="s">
        <v>11</v>
      </c>
      <c r="D346" s="60"/>
      <c r="E346" s="60"/>
      <c r="F346" s="60"/>
      <c r="G346" s="60"/>
      <c r="H346" s="60"/>
      <c r="I346" s="60"/>
      <c r="J346" s="60"/>
      <c r="K346" s="61" t="n">
        <f aca="false">SUMPRODUCT(LEN(D346:J346))</f>
        <v>0</v>
      </c>
      <c r="L346" s="62" t="n">
        <f aca="false">SUM(K346:K348)</f>
        <v>2</v>
      </c>
    </row>
    <row r="347" customFormat="false" ht="15" hidden="false" customHeight="false" outlineLevel="0" collapsed="false">
      <c r="B347" s="69"/>
      <c r="C347" s="59" t="s">
        <v>19</v>
      </c>
      <c r="D347" s="60" t="s">
        <v>185</v>
      </c>
      <c r="E347" s="60"/>
      <c r="F347" s="60"/>
      <c r="G347" s="60"/>
      <c r="H347" s="60" t="s">
        <v>185</v>
      </c>
      <c r="I347" s="60"/>
      <c r="J347" s="60"/>
      <c r="K347" s="61" t="n">
        <f aca="false">SUMPRODUCT(LEN(D347:J347))</f>
        <v>2</v>
      </c>
      <c r="L347" s="62"/>
    </row>
    <row r="348" customFormat="false" ht="15" hidden="false" customHeight="false" outlineLevel="0" collapsed="false">
      <c r="B348" s="69"/>
      <c r="C348" s="59" t="s">
        <v>24</v>
      </c>
      <c r="D348" s="60"/>
      <c r="E348" s="60"/>
      <c r="F348" s="60"/>
      <c r="G348" s="60"/>
      <c r="H348" s="60"/>
      <c r="I348" s="60"/>
      <c r="J348" s="60"/>
      <c r="K348" s="61" t="n">
        <f aca="false">SUMPRODUCT(LEN(D348:J348))</f>
        <v>0</v>
      </c>
      <c r="L348" s="62"/>
    </row>
    <row r="349" customFormat="false" ht="15" hidden="false" customHeight="false" outlineLevel="0" collapsed="false">
      <c r="B349" s="70" t="s">
        <v>53</v>
      </c>
      <c r="C349" s="59" t="s">
        <v>11</v>
      </c>
      <c r="D349" s="60"/>
      <c r="E349" s="60"/>
      <c r="F349" s="60"/>
      <c r="G349" s="60"/>
      <c r="H349" s="60"/>
      <c r="I349" s="60"/>
      <c r="J349" s="60"/>
      <c r="K349" s="61" t="n">
        <f aca="false">SUMPRODUCT(LEN(D349:J349))</f>
        <v>0</v>
      </c>
      <c r="L349" s="62" t="n">
        <f aca="false">SUM(K349:K351)</f>
        <v>1</v>
      </c>
    </row>
    <row r="350" customFormat="false" ht="15" hidden="false" customHeight="false" outlineLevel="0" collapsed="false">
      <c r="B350" s="70"/>
      <c r="C350" s="59" t="s">
        <v>19</v>
      </c>
      <c r="D350" s="60"/>
      <c r="E350" s="60"/>
      <c r="F350" s="60"/>
      <c r="G350" s="60" t="s">
        <v>185</v>
      </c>
      <c r="H350" s="60"/>
      <c r="I350" s="60"/>
      <c r="J350" s="60"/>
      <c r="K350" s="61" t="n">
        <f aca="false">SUMPRODUCT(LEN(D350:J350))</f>
        <v>1</v>
      </c>
      <c r="L350" s="62"/>
    </row>
    <row r="351" customFormat="false" ht="15" hidden="false" customHeight="false" outlineLevel="0" collapsed="false">
      <c r="B351" s="70"/>
      <c r="C351" s="59" t="s">
        <v>24</v>
      </c>
      <c r="D351" s="60"/>
      <c r="E351" s="60"/>
      <c r="F351" s="60"/>
      <c r="G351" s="60"/>
      <c r="H351" s="60"/>
      <c r="I351" s="60"/>
      <c r="J351" s="60"/>
      <c r="K351" s="61" t="n">
        <f aca="false">SUMPRODUCT(LEN(D351:J351))</f>
        <v>0</v>
      </c>
      <c r="L351" s="62"/>
    </row>
    <row r="352" customFormat="false" ht="15" hidden="false" customHeight="false" outlineLevel="0" collapsed="false">
      <c r="B352" s="71" t="s">
        <v>56</v>
      </c>
      <c r="C352" s="59" t="s">
        <v>11</v>
      </c>
      <c r="D352" s="60"/>
      <c r="E352" s="60"/>
      <c r="F352" s="60"/>
      <c r="G352" s="60"/>
      <c r="H352" s="60"/>
      <c r="I352" s="60"/>
      <c r="J352" s="60"/>
      <c r="K352" s="61" t="n">
        <f aca="false">SUMPRODUCT(LEN(D352:J352))</f>
        <v>0</v>
      </c>
      <c r="L352" s="62" t="n">
        <f aca="false">SUM(K352:K354)</f>
        <v>2</v>
      </c>
    </row>
    <row r="353" customFormat="false" ht="15" hidden="false" customHeight="false" outlineLevel="0" collapsed="false">
      <c r="B353" s="71"/>
      <c r="C353" s="59" t="s">
        <v>19</v>
      </c>
      <c r="D353" s="60"/>
      <c r="E353" s="60"/>
      <c r="F353" s="60"/>
      <c r="G353" s="60"/>
      <c r="H353" s="60"/>
      <c r="I353" s="60"/>
      <c r="J353" s="60"/>
      <c r="K353" s="61" t="n">
        <f aca="false">SUMPRODUCT(LEN(D353:J353))</f>
        <v>0</v>
      </c>
      <c r="L353" s="62"/>
    </row>
    <row r="354" customFormat="false" ht="15" hidden="false" customHeight="false" outlineLevel="0" collapsed="false">
      <c r="B354" s="71"/>
      <c r="C354" s="59" t="s">
        <v>24</v>
      </c>
      <c r="D354" s="60"/>
      <c r="E354" s="60" t="s">
        <v>185</v>
      </c>
      <c r="F354" s="60"/>
      <c r="G354" s="60"/>
      <c r="H354" s="60"/>
      <c r="I354" s="60" t="s">
        <v>185</v>
      </c>
      <c r="J354" s="60"/>
      <c r="K354" s="61" t="n">
        <f aca="false">SUMPRODUCT(LEN(D354:J354))</f>
        <v>2</v>
      </c>
      <c r="L354" s="62"/>
    </row>
    <row r="355" customFormat="false" ht="15" hidden="false" customHeight="false" outlineLevel="0" collapsed="false">
      <c r="B355" s="72" t="s">
        <v>59</v>
      </c>
      <c r="C355" s="59" t="s">
        <v>11</v>
      </c>
      <c r="D355" s="60"/>
      <c r="E355" s="60"/>
      <c r="F355" s="60"/>
      <c r="G355" s="60"/>
      <c r="H355" s="60"/>
      <c r="I355" s="60"/>
      <c r="J355" s="60"/>
      <c r="K355" s="61" t="n">
        <f aca="false">SUMPRODUCT(LEN(D355:J355))</f>
        <v>0</v>
      </c>
      <c r="L355" s="62" t="n">
        <f aca="false">SUM(K355:K357)</f>
        <v>7</v>
      </c>
    </row>
    <row r="356" customFormat="false" ht="15" hidden="false" customHeight="false" outlineLevel="0" collapsed="false">
      <c r="B356" s="72"/>
      <c r="C356" s="59" t="s">
        <v>19</v>
      </c>
      <c r="D356" s="60"/>
      <c r="E356" s="60"/>
      <c r="F356" s="60"/>
      <c r="G356" s="60"/>
      <c r="H356" s="60"/>
      <c r="I356" s="60"/>
      <c r="J356" s="60"/>
      <c r="K356" s="61" t="n">
        <f aca="false">SUMPRODUCT(LEN(D356:J356))</f>
        <v>0</v>
      </c>
      <c r="L356" s="62"/>
    </row>
    <row r="357" customFormat="false" ht="15" hidden="false" customHeight="false" outlineLevel="0" collapsed="false">
      <c r="B357" s="72"/>
      <c r="C357" s="59" t="s">
        <v>24</v>
      </c>
      <c r="D357" s="60" t="s">
        <v>185</v>
      </c>
      <c r="E357" s="60" t="s">
        <v>185</v>
      </c>
      <c r="F357" s="60" t="s">
        <v>185</v>
      </c>
      <c r="G357" s="60" t="s">
        <v>186</v>
      </c>
      <c r="H357" s="60" t="s">
        <v>185</v>
      </c>
      <c r="I357" s="60" t="s">
        <v>185</v>
      </c>
      <c r="J357" s="60"/>
      <c r="K357" s="61" t="n">
        <f aca="false">SUMPRODUCT(LEN(D357:J357))</f>
        <v>7</v>
      </c>
      <c r="L357" s="62"/>
    </row>
    <row r="358" customFormat="false" ht="15" hidden="false" customHeight="false" outlineLevel="0" collapsed="false">
      <c r="B358" s="73" t="s">
        <v>62</v>
      </c>
      <c r="C358" s="59" t="s">
        <v>11</v>
      </c>
      <c r="D358" s="60"/>
      <c r="E358" s="60"/>
      <c r="F358" s="60"/>
      <c r="G358" s="60"/>
      <c r="H358" s="60"/>
      <c r="I358" s="60"/>
      <c r="J358" s="60"/>
      <c r="K358" s="61" t="n">
        <f aca="false">SUMPRODUCT(LEN(D358:J358))</f>
        <v>0</v>
      </c>
      <c r="L358" s="62" t="n">
        <f aca="false">SUM(K358:K360)</f>
        <v>2</v>
      </c>
    </row>
    <row r="359" customFormat="false" ht="15" hidden="false" customHeight="false" outlineLevel="0" collapsed="false">
      <c r="B359" s="73"/>
      <c r="C359" s="59" t="s">
        <v>19</v>
      </c>
      <c r="D359" s="60"/>
      <c r="E359" s="60"/>
      <c r="F359" s="60"/>
      <c r="G359" s="60"/>
      <c r="H359" s="60"/>
      <c r="I359" s="60"/>
      <c r="J359" s="60"/>
      <c r="K359" s="61" t="n">
        <f aca="false">SUMPRODUCT(LEN(D359:J359))</f>
        <v>0</v>
      </c>
      <c r="L359" s="62"/>
    </row>
    <row r="360" customFormat="false" ht="15" hidden="false" customHeight="false" outlineLevel="0" collapsed="false">
      <c r="B360" s="73"/>
      <c r="C360" s="59" t="s">
        <v>24</v>
      </c>
      <c r="D360" s="60"/>
      <c r="E360" s="60"/>
      <c r="F360" s="60" t="s">
        <v>185</v>
      </c>
      <c r="G360" s="60"/>
      <c r="H360" s="60"/>
      <c r="I360" s="60"/>
      <c r="J360" s="60" t="s">
        <v>185</v>
      </c>
      <c r="K360" s="61" t="n">
        <f aca="false">SUMPRODUCT(LEN(D360:J360))</f>
        <v>2</v>
      </c>
      <c r="L360" s="62"/>
    </row>
    <row r="362" customFormat="false" ht="19.5" hidden="false" customHeight="true" outlineLevel="0" collapsed="false">
      <c r="B362" s="55" t="str">
        <f aca="false">"TABLEAU 10/12  -  PROGRAMME DE JANVIER 2028"&amp;IF($C$6="janvier 2028","          &lt;&lt;&lt; MOIS ACTUELLEMENT FILTRE","")</f>
        <v>TABLEAU 10/12  -  PROGRAMME DE JANVIER 2028</v>
      </c>
      <c r="C362" s="55"/>
      <c r="D362" s="55"/>
      <c r="E362" s="55"/>
      <c r="F362" s="55"/>
      <c r="G362" s="55"/>
      <c r="H362" s="55"/>
      <c r="I362" s="55"/>
      <c r="J362" s="55"/>
      <c r="L362" s="56" t="s">
        <v>179</v>
      </c>
    </row>
    <row r="363" customFormat="false" ht="25.5" hidden="false" customHeight="true" outlineLevel="0" collapsed="false">
      <c r="B363" s="57" t="s">
        <v>84</v>
      </c>
      <c r="C363" s="57" t="s">
        <v>180</v>
      </c>
      <c r="D363" s="57" t="s">
        <v>27</v>
      </c>
      <c r="E363" s="57" t="s">
        <v>28</v>
      </c>
      <c r="F363" s="57" t="s">
        <v>29</v>
      </c>
      <c r="G363" s="57" t="s">
        <v>30</v>
      </c>
      <c r="H363" s="57" t="s">
        <v>31</v>
      </c>
      <c r="I363" s="57" t="s">
        <v>32</v>
      </c>
      <c r="J363" s="57" t="s">
        <v>33</v>
      </c>
      <c r="K363" s="57" t="s">
        <v>181</v>
      </c>
      <c r="L363" s="57" t="s">
        <v>182</v>
      </c>
    </row>
    <row r="364" customFormat="false" ht="15" hidden="false" customHeight="false" outlineLevel="0" collapsed="false">
      <c r="B364" s="58" t="s">
        <v>12</v>
      </c>
      <c r="C364" s="59" t="s">
        <v>11</v>
      </c>
      <c r="D364" s="60" t="s">
        <v>183</v>
      </c>
      <c r="E364" s="60" t="s">
        <v>183</v>
      </c>
      <c r="F364" s="60" t="s">
        <v>183</v>
      </c>
      <c r="G364" s="60" t="s">
        <v>183</v>
      </c>
      <c r="H364" s="60" t="s">
        <v>183</v>
      </c>
      <c r="I364" s="60" t="s">
        <v>183</v>
      </c>
      <c r="J364" s="60" t="s">
        <v>183</v>
      </c>
      <c r="K364" s="61" t="n">
        <f aca="false">SUMPRODUCT(LEN(D364:J364))</f>
        <v>7</v>
      </c>
      <c r="L364" s="62" t="n">
        <f aca="false">SUM(K364:K366)</f>
        <v>11</v>
      </c>
    </row>
    <row r="365" customFormat="false" ht="15" hidden="false" customHeight="false" outlineLevel="0" collapsed="false">
      <c r="B365" s="58"/>
      <c r="C365" s="59" t="s">
        <v>19</v>
      </c>
      <c r="D365" s="60" t="s">
        <v>183</v>
      </c>
      <c r="E365" s="60"/>
      <c r="F365" s="60"/>
      <c r="G365" s="60"/>
      <c r="H365" s="60" t="s">
        <v>183</v>
      </c>
      <c r="I365" s="60"/>
      <c r="J365" s="60"/>
      <c r="K365" s="61" t="n">
        <f aca="false">SUMPRODUCT(LEN(D365:J365))</f>
        <v>2</v>
      </c>
      <c r="L365" s="62"/>
    </row>
    <row r="366" customFormat="false" ht="15" hidden="false" customHeight="false" outlineLevel="0" collapsed="false">
      <c r="B366" s="58"/>
      <c r="C366" s="59" t="s">
        <v>24</v>
      </c>
      <c r="D366" s="60" t="s">
        <v>184</v>
      </c>
      <c r="E366" s="60"/>
      <c r="F366" s="60"/>
      <c r="G366" s="60"/>
      <c r="H366" s="60"/>
      <c r="I366" s="60"/>
      <c r="J366" s="60"/>
      <c r="K366" s="61" t="n">
        <f aca="false">SUMPRODUCT(LEN(D366:J366))</f>
        <v>2</v>
      </c>
      <c r="L366" s="62"/>
    </row>
    <row r="367" customFormat="false" ht="15" hidden="false" customHeight="false" outlineLevel="0" collapsed="false">
      <c r="B367" s="63" t="s">
        <v>20</v>
      </c>
      <c r="C367" s="59" t="s">
        <v>11</v>
      </c>
      <c r="D367" s="60"/>
      <c r="E367" s="60"/>
      <c r="F367" s="60"/>
      <c r="G367" s="60"/>
      <c r="H367" s="60"/>
      <c r="I367" s="60"/>
      <c r="J367" s="60" t="s">
        <v>183</v>
      </c>
      <c r="K367" s="61" t="n">
        <f aca="false">SUMPRODUCT(LEN(D367:J367))</f>
        <v>1</v>
      </c>
      <c r="L367" s="62" t="n">
        <f aca="false">SUM(K367:K369)</f>
        <v>3</v>
      </c>
    </row>
    <row r="368" customFormat="false" ht="15" hidden="false" customHeight="false" outlineLevel="0" collapsed="false">
      <c r="B368" s="63"/>
      <c r="C368" s="59" t="s">
        <v>19</v>
      </c>
      <c r="D368" s="60"/>
      <c r="E368" s="60" t="s">
        <v>183</v>
      </c>
      <c r="F368" s="60"/>
      <c r="G368" s="60"/>
      <c r="H368" s="60" t="s">
        <v>183</v>
      </c>
      <c r="I368" s="60"/>
      <c r="J368" s="60"/>
      <c r="K368" s="61" t="n">
        <f aca="false">SUMPRODUCT(LEN(D368:J368))</f>
        <v>2</v>
      </c>
      <c r="L368" s="62"/>
    </row>
    <row r="369" customFormat="false" ht="15" hidden="false" customHeight="false" outlineLevel="0" collapsed="false">
      <c r="B369" s="63"/>
      <c r="C369" s="59" t="s">
        <v>24</v>
      </c>
      <c r="D369" s="60"/>
      <c r="E369" s="60"/>
      <c r="F369" s="60"/>
      <c r="G369" s="60"/>
      <c r="H369" s="60"/>
      <c r="I369" s="60"/>
      <c r="J369" s="60"/>
      <c r="K369" s="61" t="n">
        <f aca="false">SUMPRODUCT(LEN(D369:J369))</f>
        <v>0</v>
      </c>
      <c r="L369" s="62"/>
    </row>
    <row r="370" customFormat="false" ht="15" hidden="false" customHeight="false" outlineLevel="0" collapsed="false">
      <c r="B370" s="64" t="s">
        <v>25</v>
      </c>
      <c r="C370" s="59" t="s">
        <v>11</v>
      </c>
      <c r="D370" s="60"/>
      <c r="E370" s="60"/>
      <c r="F370" s="60"/>
      <c r="G370" s="60"/>
      <c r="H370" s="60"/>
      <c r="I370" s="60"/>
      <c r="J370" s="60"/>
      <c r="K370" s="61" t="n">
        <f aca="false">SUMPRODUCT(LEN(D370:J370))</f>
        <v>0</v>
      </c>
      <c r="L370" s="62" t="n">
        <f aca="false">SUM(K370:K372)</f>
        <v>2</v>
      </c>
    </row>
    <row r="371" customFormat="false" ht="15" hidden="false" customHeight="false" outlineLevel="0" collapsed="false">
      <c r="B371" s="64"/>
      <c r="C371" s="59" t="s">
        <v>19</v>
      </c>
      <c r="D371" s="60"/>
      <c r="E371" s="60"/>
      <c r="F371" s="60" t="s">
        <v>183</v>
      </c>
      <c r="G371" s="60"/>
      <c r="H371" s="60"/>
      <c r="I371" s="60" t="s">
        <v>183</v>
      </c>
      <c r="J371" s="60"/>
      <c r="K371" s="61" t="n">
        <f aca="false">SUMPRODUCT(LEN(D371:J371))</f>
        <v>2</v>
      </c>
      <c r="L371" s="62"/>
    </row>
    <row r="372" customFormat="false" ht="15" hidden="false" customHeight="false" outlineLevel="0" collapsed="false">
      <c r="B372" s="64"/>
      <c r="C372" s="59" t="s">
        <v>24</v>
      </c>
      <c r="D372" s="60"/>
      <c r="E372" s="60"/>
      <c r="F372" s="60"/>
      <c r="G372" s="60"/>
      <c r="H372" s="60"/>
      <c r="I372" s="60"/>
      <c r="J372" s="60"/>
      <c r="K372" s="61" t="n">
        <f aca="false">SUMPRODUCT(LEN(D372:J372))</f>
        <v>0</v>
      </c>
      <c r="L372" s="62"/>
    </row>
    <row r="373" customFormat="false" ht="15" hidden="false" customHeight="false" outlineLevel="0" collapsed="false">
      <c r="B373" s="65" t="s">
        <v>36</v>
      </c>
      <c r="C373" s="59" t="s">
        <v>11</v>
      </c>
      <c r="D373" s="60"/>
      <c r="E373" s="60"/>
      <c r="F373" s="60"/>
      <c r="G373" s="60"/>
      <c r="H373" s="60"/>
      <c r="I373" s="60"/>
      <c r="J373" s="60"/>
      <c r="K373" s="61" t="n">
        <f aca="false">SUMPRODUCT(LEN(D373:J373))</f>
        <v>0</v>
      </c>
      <c r="L373" s="62" t="n">
        <f aca="false">SUM(K373:K375)</f>
        <v>6</v>
      </c>
    </row>
    <row r="374" customFormat="false" ht="15" hidden="false" customHeight="false" outlineLevel="0" collapsed="false">
      <c r="B374" s="65"/>
      <c r="C374" s="59" t="s">
        <v>19</v>
      </c>
      <c r="D374" s="60"/>
      <c r="E374" s="60"/>
      <c r="F374" s="60" t="s">
        <v>185</v>
      </c>
      <c r="G374" s="60"/>
      <c r="H374" s="60"/>
      <c r="I374" s="60"/>
      <c r="J374" s="60"/>
      <c r="K374" s="61" t="n">
        <f aca="false">SUMPRODUCT(LEN(D374:J374))</f>
        <v>1</v>
      </c>
      <c r="L374" s="62"/>
    </row>
    <row r="375" customFormat="false" ht="15" hidden="false" customHeight="false" outlineLevel="0" collapsed="false">
      <c r="B375" s="65"/>
      <c r="C375" s="59" t="s">
        <v>24</v>
      </c>
      <c r="D375" s="60" t="s">
        <v>185</v>
      </c>
      <c r="E375" s="60" t="s">
        <v>185</v>
      </c>
      <c r="F375" s="60" t="s">
        <v>185</v>
      </c>
      <c r="G375" s="60" t="s">
        <v>185</v>
      </c>
      <c r="H375" s="60" t="s">
        <v>185</v>
      </c>
      <c r="I375" s="60"/>
      <c r="J375" s="60"/>
      <c r="K375" s="61" t="n">
        <f aca="false">SUMPRODUCT(LEN(D375:J375))</f>
        <v>5</v>
      </c>
      <c r="L375" s="62"/>
    </row>
    <row r="376" customFormat="false" ht="15" hidden="false" customHeight="false" outlineLevel="0" collapsed="false">
      <c r="B376" s="66" t="s">
        <v>40</v>
      </c>
      <c r="C376" s="59" t="s">
        <v>11</v>
      </c>
      <c r="D376" s="60"/>
      <c r="E376" s="60"/>
      <c r="F376" s="60"/>
      <c r="G376" s="60"/>
      <c r="H376" s="60"/>
      <c r="I376" s="60"/>
      <c r="J376" s="60"/>
      <c r="K376" s="61" t="n">
        <f aca="false">SUMPRODUCT(LEN(D376:J376))</f>
        <v>0</v>
      </c>
      <c r="L376" s="62" t="n">
        <f aca="false">SUM(K376:K378)</f>
        <v>4</v>
      </c>
    </row>
    <row r="377" customFormat="false" ht="15" hidden="false" customHeight="false" outlineLevel="0" collapsed="false">
      <c r="B377" s="66"/>
      <c r="C377" s="59" t="s">
        <v>19</v>
      </c>
      <c r="D377" s="60"/>
      <c r="E377" s="60"/>
      <c r="F377" s="60"/>
      <c r="G377" s="60"/>
      <c r="H377" s="60"/>
      <c r="I377" s="60"/>
      <c r="J377" s="60"/>
      <c r="K377" s="61" t="n">
        <f aca="false">SUMPRODUCT(LEN(D377:J377))</f>
        <v>0</v>
      </c>
      <c r="L377" s="62"/>
    </row>
    <row r="378" customFormat="false" ht="15" hidden="false" customHeight="false" outlineLevel="0" collapsed="false">
      <c r="B378" s="66"/>
      <c r="C378" s="59" t="s">
        <v>24</v>
      </c>
      <c r="D378" s="60" t="s">
        <v>185</v>
      </c>
      <c r="E378" s="60"/>
      <c r="F378" s="60" t="s">
        <v>185</v>
      </c>
      <c r="G378" s="60"/>
      <c r="H378" s="60" t="s">
        <v>185</v>
      </c>
      <c r="I378" s="60"/>
      <c r="J378" s="60" t="s">
        <v>185</v>
      </c>
      <c r="K378" s="61" t="n">
        <f aca="false">SUMPRODUCT(LEN(D378:J378))</f>
        <v>4</v>
      </c>
      <c r="L378" s="62"/>
    </row>
    <row r="379" customFormat="false" ht="15" hidden="false" customHeight="false" outlineLevel="0" collapsed="false">
      <c r="B379" s="67" t="s">
        <v>14</v>
      </c>
      <c r="C379" s="59" t="s">
        <v>11</v>
      </c>
      <c r="D379" s="60"/>
      <c r="E379" s="60"/>
      <c r="F379" s="60"/>
      <c r="G379" s="60"/>
      <c r="H379" s="60"/>
      <c r="I379" s="60"/>
      <c r="J379" s="60"/>
      <c r="K379" s="61" t="n">
        <f aca="false">SUMPRODUCT(LEN(D379:J379))</f>
        <v>0</v>
      </c>
      <c r="L379" s="62" t="n">
        <f aca="false">SUM(K379:K381)</f>
        <v>3</v>
      </c>
    </row>
    <row r="380" customFormat="false" ht="15" hidden="false" customHeight="false" outlineLevel="0" collapsed="false">
      <c r="B380" s="67"/>
      <c r="C380" s="59" t="s">
        <v>19</v>
      </c>
      <c r="D380" s="60"/>
      <c r="E380" s="60"/>
      <c r="F380" s="60"/>
      <c r="G380" s="60"/>
      <c r="H380" s="60"/>
      <c r="I380" s="60"/>
      <c r="J380" s="60"/>
      <c r="K380" s="61" t="n">
        <f aca="false">SUMPRODUCT(LEN(D380:J380))</f>
        <v>0</v>
      </c>
      <c r="L380" s="62"/>
    </row>
    <row r="381" customFormat="false" ht="15" hidden="false" customHeight="false" outlineLevel="0" collapsed="false">
      <c r="B381" s="67"/>
      <c r="C381" s="59" t="s">
        <v>24</v>
      </c>
      <c r="D381" s="60" t="s">
        <v>185</v>
      </c>
      <c r="E381" s="60"/>
      <c r="F381" s="60"/>
      <c r="G381" s="60" t="s">
        <v>185</v>
      </c>
      <c r="H381" s="60"/>
      <c r="I381" s="60" t="s">
        <v>185</v>
      </c>
      <c r="J381" s="60"/>
      <c r="K381" s="61" t="n">
        <f aca="false">SUMPRODUCT(LEN(D381:J381))</f>
        <v>3</v>
      </c>
      <c r="L381" s="62"/>
    </row>
    <row r="382" customFormat="false" ht="15" hidden="false" customHeight="false" outlineLevel="0" collapsed="false">
      <c r="B382" s="68" t="s">
        <v>46</v>
      </c>
      <c r="C382" s="59" t="s">
        <v>11</v>
      </c>
      <c r="D382" s="60"/>
      <c r="E382" s="60"/>
      <c r="F382" s="60"/>
      <c r="G382" s="60"/>
      <c r="H382" s="60"/>
      <c r="I382" s="60"/>
      <c r="J382" s="60"/>
      <c r="K382" s="61" t="n">
        <f aca="false">SUMPRODUCT(LEN(D382:J382))</f>
        <v>0</v>
      </c>
      <c r="L382" s="62" t="n">
        <f aca="false">SUM(K382:K384)</f>
        <v>3</v>
      </c>
    </row>
    <row r="383" customFormat="false" ht="15" hidden="false" customHeight="false" outlineLevel="0" collapsed="false">
      <c r="B383" s="68"/>
      <c r="C383" s="59" t="s">
        <v>19</v>
      </c>
      <c r="D383" s="60"/>
      <c r="E383" s="60"/>
      <c r="F383" s="60"/>
      <c r="G383" s="60"/>
      <c r="H383" s="60"/>
      <c r="I383" s="60"/>
      <c r="J383" s="60"/>
      <c r="K383" s="61" t="n">
        <f aca="false">SUMPRODUCT(LEN(D383:J383))</f>
        <v>0</v>
      </c>
      <c r="L383" s="62"/>
    </row>
    <row r="384" customFormat="false" ht="15" hidden="false" customHeight="false" outlineLevel="0" collapsed="false">
      <c r="B384" s="68"/>
      <c r="C384" s="59" t="s">
        <v>24</v>
      </c>
      <c r="D384" s="60"/>
      <c r="E384" s="60" t="s">
        <v>185</v>
      </c>
      <c r="F384" s="60"/>
      <c r="G384" s="60" t="s">
        <v>185</v>
      </c>
      <c r="H384" s="60"/>
      <c r="I384" s="60" t="s">
        <v>185</v>
      </c>
      <c r="J384" s="60"/>
      <c r="K384" s="61" t="n">
        <f aca="false">SUMPRODUCT(LEN(D384:J384))</f>
        <v>3</v>
      </c>
      <c r="L384" s="62"/>
    </row>
    <row r="385" customFormat="false" ht="15" hidden="false" customHeight="false" outlineLevel="0" collapsed="false">
      <c r="B385" s="69" t="s">
        <v>49</v>
      </c>
      <c r="C385" s="59" t="s">
        <v>11</v>
      </c>
      <c r="D385" s="60"/>
      <c r="E385" s="60"/>
      <c r="F385" s="60"/>
      <c r="G385" s="60"/>
      <c r="H385" s="60"/>
      <c r="I385" s="60"/>
      <c r="J385" s="60"/>
      <c r="K385" s="61" t="n">
        <f aca="false">SUMPRODUCT(LEN(D385:J385))</f>
        <v>0</v>
      </c>
      <c r="L385" s="62" t="n">
        <f aca="false">SUM(K385:K387)</f>
        <v>2</v>
      </c>
    </row>
    <row r="386" customFormat="false" ht="15" hidden="false" customHeight="false" outlineLevel="0" collapsed="false">
      <c r="B386" s="69"/>
      <c r="C386" s="59" t="s">
        <v>19</v>
      </c>
      <c r="D386" s="60" t="s">
        <v>185</v>
      </c>
      <c r="E386" s="60"/>
      <c r="F386" s="60"/>
      <c r="G386" s="60"/>
      <c r="H386" s="60" t="s">
        <v>185</v>
      </c>
      <c r="I386" s="60"/>
      <c r="J386" s="60"/>
      <c r="K386" s="61" t="n">
        <f aca="false">SUMPRODUCT(LEN(D386:J386))</f>
        <v>2</v>
      </c>
      <c r="L386" s="62"/>
    </row>
    <row r="387" customFormat="false" ht="15" hidden="false" customHeight="false" outlineLevel="0" collapsed="false">
      <c r="B387" s="69"/>
      <c r="C387" s="59" t="s">
        <v>24</v>
      </c>
      <c r="D387" s="60"/>
      <c r="E387" s="60"/>
      <c r="F387" s="60"/>
      <c r="G387" s="60"/>
      <c r="H387" s="60"/>
      <c r="I387" s="60"/>
      <c r="J387" s="60"/>
      <c r="K387" s="61" t="n">
        <f aca="false">SUMPRODUCT(LEN(D387:J387))</f>
        <v>0</v>
      </c>
      <c r="L387" s="62"/>
    </row>
    <row r="388" customFormat="false" ht="15" hidden="false" customHeight="false" outlineLevel="0" collapsed="false">
      <c r="B388" s="70" t="s">
        <v>53</v>
      </c>
      <c r="C388" s="59" t="s">
        <v>11</v>
      </c>
      <c r="D388" s="60"/>
      <c r="E388" s="60"/>
      <c r="F388" s="60"/>
      <c r="G388" s="60"/>
      <c r="H388" s="60"/>
      <c r="I388" s="60"/>
      <c r="J388" s="60"/>
      <c r="K388" s="61" t="n">
        <f aca="false">SUMPRODUCT(LEN(D388:J388))</f>
        <v>0</v>
      </c>
      <c r="L388" s="62" t="n">
        <f aca="false">SUM(K388:K390)</f>
        <v>1</v>
      </c>
    </row>
    <row r="389" customFormat="false" ht="15" hidden="false" customHeight="false" outlineLevel="0" collapsed="false">
      <c r="B389" s="70"/>
      <c r="C389" s="59" t="s">
        <v>19</v>
      </c>
      <c r="D389" s="60"/>
      <c r="E389" s="60"/>
      <c r="F389" s="60"/>
      <c r="G389" s="60" t="s">
        <v>185</v>
      </c>
      <c r="H389" s="60"/>
      <c r="I389" s="60"/>
      <c r="J389" s="60"/>
      <c r="K389" s="61" t="n">
        <f aca="false">SUMPRODUCT(LEN(D389:J389))</f>
        <v>1</v>
      </c>
      <c r="L389" s="62"/>
    </row>
    <row r="390" customFormat="false" ht="15" hidden="false" customHeight="false" outlineLevel="0" collapsed="false">
      <c r="B390" s="70"/>
      <c r="C390" s="59" t="s">
        <v>24</v>
      </c>
      <c r="D390" s="60"/>
      <c r="E390" s="60"/>
      <c r="F390" s="60"/>
      <c r="G390" s="60"/>
      <c r="H390" s="60"/>
      <c r="I390" s="60"/>
      <c r="J390" s="60"/>
      <c r="K390" s="61" t="n">
        <f aca="false">SUMPRODUCT(LEN(D390:J390))</f>
        <v>0</v>
      </c>
      <c r="L390" s="62"/>
    </row>
    <row r="391" customFormat="false" ht="15" hidden="false" customHeight="false" outlineLevel="0" collapsed="false">
      <c r="B391" s="71" t="s">
        <v>56</v>
      </c>
      <c r="C391" s="59" t="s">
        <v>11</v>
      </c>
      <c r="D391" s="60"/>
      <c r="E391" s="60"/>
      <c r="F391" s="60"/>
      <c r="G391" s="60"/>
      <c r="H391" s="60"/>
      <c r="I391" s="60"/>
      <c r="J391" s="60"/>
      <c r="K391" s="61" t="n">
        <f aca="false">SUMPRODUCT(LEN(D391:J391))</f>
        <v>0</v>
      </c>
      <c r="L391" s="62" t="n">
        <f aca="false">SUM(K391:K393)</f>
        <v>2</v>
      </c>
    </row>
    <row r="392" customFormat="false" ht="15" hidden="false" customHeight="false" outlineLevel="0" collapsed="false">
      <c r="B392" s="71"/>
      <c r="C392" s="59" t="s">
        <v>19</v>
      </c>
      <c r="D392" s="60"/>
      <c r="E392" s="60"/>
      <c r="F392" s="60"/>
      <c r="G392" s="60"/>
      <c r="H392" s="60"/>
      <c r="I392" s="60"/>
      <c r="J392" s="60"/>
      <c r="K392" s="61" t="n">
        <f aca="false">SUMPRODUCT(LEN(D392:J392))</f>
        <v>0</v>
      </c>
      <c r="L392" s="62"/>
    </row>
    <row r="393" customFormat="false" ht="15" hidden="false" customHeight="false" outlineLevel="0" collapsed="false">
      <c r="B393" s="71"/>
      <c r="C393" s="59" t="s">
        <v>24</v>
      </c>
      <c r="D393" s="60"/>
      <c r="E393" s="60" t="s">
        <v>185</v>
      </c>
      <c r="F393" s="60"/>
      <c r="G393" s="60"/>
      <c r="H393" s="60"/>
      <c r="I393" s="60" t="s">
        <v>185</v>
      </c>
      <c r="J393" s="60"/>
      <c r="K393" s="61" t="n">
        <f aca="false">SUMPRODUCT(LEN(D393:J393))</f>
        <v>2</v>
      </c>
      <c r="L393" s="62"/>
    </row>
    <row r="394" customFormat="false" ht="15" hidden="false" customHeight="false" outlineLevel="0" collapsed="false">
      <c r="B394" s="72" t="s">
        <v>59</v>
      </c>
      <c r="C394" s="59" t="s">
        <v>11</v>
      </c>
      <c r="D394" s="60"/>
      <c r="E394" s="60"/>
      <c r="F394" s="60"/>
      <c r="G394" s="60"/>
      <c r="H394" s="60"/>
      <c r="I394" s="60"/>
      <c r="J394" s="60"/>
      <c r="K394" s="61" t="n">
        <f aca="false">SUMPRODUCT(LEN(D394:J394))</f>
        <v>0</v>
      </c>
      <c r="L394" s="62" t="n">
        <f aca="false">SUM(K394:K396)</f>
        <v>7</v>
      </c>
    </row>
    <row r="395" customFormat="false" ht="15" hidden="false" customHeight="false" outlineLevel="0" collapsed="false">
      <c r="B395" s="72"/>
      <c r="C395" s="59" t="s">
        <v>19</v>
      </c>
      <c r="D395" s="60"/>
      <c r="E395" s="60"/>
      <c r="F395" s="60"/>
      <c r="G395" s="60"/>
      <c r="H395" s="60"/>
      <c r="I395" s="60"/>
      <c r="J395" s="60"/>
      <c r="K395" s="61" t="n">
        <f aca="false">SUMPRODUCT(LEN(D395:J395))</f>
        <v>0</v>
      </c>
      <c r="L395" s="62"/>
    </row>
    <row r="396" customFormat="false" ht="15" hidden="false" customHeight="false" outlineLevel="0" collapsed="false">
      <c r="B396" s="72"/>
      <c r="C396" s="59" t="s">
        <v>24</v>
      </c>
      <c r="D396" s="60" t="s">
        <v>185</v>
      </c>
      <c r="E396" s="60" t="s">
        <v>185</v>
      </c>
      <c r="F396" s="60" t="s">
        <v>185</v>
      </c>
      <c r="G396" s="60" t="s">
        <v>186</v>
      </c>
      <c r="H396" s="60" t="s">
        <v>185</v>
      </c>
      <c r="I396" s="60" t="s">
        <v>185</v>
      </c>
      <c r="J396" s="60"/>
      <c r="K396" s="61" t="n">
        <f aca="false">SUMPRODUCT(LEN(D396:J396))</f>
        <v>7</v>
      </c>
      <c r="L396" s="62"/>
    </row>
    <row r="397" customFormat="false" ht="15" hidden="false" customHeight="false" outlineLevel="0" collapsed="false">
      <c r="B397" s="73" t="s">
        <v>62</v>
      </c>
      <c r="C397" s="59" t="s">
        <v>11</v>
      </c>
      <c r="D397" s="60"/>
      <c r="E397" s="60"/>
      <c r="F397" s="60"/>
      <c r="G397" s="60"/>
      <c r="H397" s="60"/>
      <c r="I397" s="60"/>
      <c r="J397" s="60"/>
      <c r="K397" s="61" t="n">
        <f aca="false">SUMPRODUCT(LEN(D397:J397))</f>
        <v>0</v>
      </c>
      <c r="L397" s="62" t="n">
        <f aca="false">SUM(K397:K399)</f>
        <v>2</v>
      </c>
    </row>
    <row r="398" customFormat="false" ht="15" hidden="false" customHeight="false" outlineLevel="0" collapsed="false">
      <c r="B398" s="73"/>
      <c r="C398" s="59" t="s">
        <v>19</v>
      </c>
      <c r="D398" s="60"/>
      <c r="E398" s="60"/>
      <c r="F398" s="60"/>
      <c r="G398" s="60"/>
      <c r="H398" s="60"/>
      <c r="I398" s="60"/>
      <c r="J398" s="60"/>
      <c r="K398" s="61" t="n">
        <f aca="false">SUMPRODUCT(LEN(D398:J398))</f>
        <v>0</v>
      </c>
      <c r="L398" s="62"/>
    </row>
    <row r="399" customFormat="false" ht="15" hidden="false" customHeight="false" outlineLevel="0" collapsed="false">
      <c r="B399" s="73"/>
      <c r="C399" s="59" t="s">
        <v>24</v>
      </c>
      <c r="D399" s="60"/>
      <c r="E399" s="60"/>
      <c r="F399" s="60" t="s">
        <v>185</v>
      </c>
      <c r="G399" s="60"/>
      <c r="H399" s="60"/>
      <c r="I399" s="60"/>
      <c r="J399" s="60" t="s">
        <v>185</v>
      </c>
      <c r="K399" s="61" t="n">
        <f aca="false">SUMPRODUCT(LEN(D399:J399))</f>
        <v>2</v>
      </c>
      <c r="L399" s="62"/>
    </row>
    <row r="401" customFormat="false" ht="19.5" hidden="false" customHeight="true" outlineLevel="0" collapsed="false">
      <c r="B401" s="55" t="str">
        <f aca="false">"TABLEAU 11/12  -  PROGRAMME DE FEVRIER 2028"&amp;IF($C$6="fevrier 2028","          &lt;&lt;&lt; MOIS ACTUELLEMENT FILTRE","")</f>
        <v>TABLEAU 11/12  -  PROGRAMME DE FEVRIER 2028</v>
      </c>
      <c r="C401" s="55"/>
      <c r="D401" s="55"/>
      <c r="E401" s="55"/>
      <c r="F401" s="55"/>
      <c r="G401" s="55"/>
      <c r="H401" s="55"/>
      <c r="I401" s="55"/>
      <c r="J401" s="55"/>
      <c r="L401" s="56" t="s">
        <v>179</v>
      </c>
    </row>
    <row r="402" customFormat="false" ht="25.5" hidden="false" customHeight="true" outlineLevel="0" collapsed="false">
      <c r="B402" s="57" t="s">
        <v>84</v>
      </c>
      <c r="C402" s="57" t="s">
        <v>180</v>
      </c>
      <c r="D402" s="57" t="s">
        <v>27</v>
      </c>
      <c r="E402" s="57" t="s">
        <v>28</v>
      </c>
      <c r="F402" s="57" t="s">
        <v>29</v>
      </c>
      <c r="G402" s="57" t="s">
        <v>30</v>
      </c>
      <c r="H402" s="57" t="s">
        <v>31</v>
      </c>
      <c r="I402" s="57" t="s">
        <v>32</v>
      </c>
      <c r="J402" s="57" t="s">
        <v>33</v>
      </c>
      <c r="K402" s="57" t="s">
        <v>181</v>
      </c>
      <c r="L402" s="57" t="s">
        <v>182</v>
      </c>
    </row>
    <row r="403" customFormat="false" ht="15" hidden="false" customHeight="false" outlineLevel="0" collapsed="false">
      <c r="B403" s="58" t="s">
        <v>12</v>
      </c>
      <c r="C403" s="59" t="s">
        <v>11</v>
      </c>
      <c r="D403" s="60" t="s">
        <v>183</v>
      </c>
      <c r="E403" s="60" t="s">
        <v>183</v>
      </c>
      <c r="F403" s="60" t="s">
        <v>183</v>
      </c>
      <c r="G403" s="60" t="s">
        <v>183</v>
      </c>
      <c r="H403" s="60" t="s">
        <v>183</v>
      </c>
      <c r="I403" s="60" t="s">
        <v>183</v>
      </c>
      <c r="J403" s="60" t="s">
        <v>183</v>
      </c>
      <c r="K403" s="61" t="n">
        <f aca="false">SUMPRODUCT(LEN(D403:J403))</f>
        <v>7</v>
      </c>
      <c r="L403" s="62" t="n">
        <f aca="false">SUM(K403:K405)</f>
        <v>11</v>
      </c>
    </row>
    <row r="404" customFormat="false" ht="15" hidden="false" customHeight="false" outlineLevel="0" collapsed="false">
      <c r="B404" s="58"/>
      <c r="C404" s="59" t="s">
        <v>19</v>
      </c>
      <c r="D404" s="60" t="s">
        <v>183</v>
      </c>
      <c r="E404" s="60"/>
      <c r="F404" s="60"/>
      <c r="G404" s="60"/>
      <c r="H404" s="60" t="s">
        <v>183</v>
      </c>
      <c r="I404" s="60"/>
      <c r="J404" s="60"/>
      <c r="K404" s="61" t="n">
        <f aca="false">SUMPRODUCT(LEN(D404:J404))</f>
        <v>2</v>
      </c>
      <c r="L404" s="62"/>
    </row>
    <row r="405" customFormat="false" ht="15" hidden="false" customHeight="false" outlineLevel="0" collapsed="false">
      <c r="B405" s="58"/>
      <c r="C405" s="59" t="s">
        <v>24</v>
      </c>
      <c r="D405" s="60" t="s">
        <v>184</v>
      </c>
      <c r="E405" s="60"/>
      <c r="F405" s="60"/>
      <c r="G405" s="60"/>
      <c r="H405" s="60"/>
      <c r="I405" s="60"/>
      <c r="J405" s="60"/>
      <c r="K405" s="61" t="n">
        <f aca="false">SUMPRODUCT(LEN(D405:J405))</f>
        <v>2</v>
      </c>
      <c r="L405" s="62"/>
    </row>
    <row r="406" customFormat="false" ht="15" hidden="false" customHeight="false" outlineLevel="0" collapsed="false">
      <c r="B406" s="63" t="s">
        <v>20</v>
      </c>
      <c r="C406" s="59" t="s">
        <v>11</v>
      </c>
      <c r="D406" s="60"/>
      <c r="E406" s="60"/>
      <c r="F406" s="60"/>
      <c r="G406" s="60"/>
      <c r="H406" s="60"/>
      <c r="I406" s="60"/>
      <c r="J406" s="60" t="s">
        <v>183</v>
      </c>
      <c r="K406" s="61" t="n">
        <f aca="false">SUMPRODUCT(LEN(D406:J406))</f>
        <v>1</v>
      </c>
      <c r="L406" s="62" t="n">
        <f aca="false">SUM(K406:K408)</f>
        <v>3</v>
      </c>
    </row>
    <row r="407" customFormat="false" ht="15" hidden="false" customHeight="false" outlineLevel="0" collapsed="false">
      <c r="B407" s="63"/>
      <c r="C407" s="59" t="s">
        <v>19</v>
      </c>
      <c r="D407" s="60"/>
      <c r="E407" s="60" t="s">
        <v>183</v>
      </c>
      <c r="F407" s="60"/>
      <c r="G407" s="60"/>
      <c r="H407" s="60" t="s">
        <v>183</v>
      </c>
      <c r="I407" s="60"/>
      <c r="J407" s="60"/>
      <c r="K407" s="61" t="n">
        <f aca="false">SUMPRODUCT(LEN(D407:J407))</f>
        <v>2</v>
      </c>
      <c r="L407" s="62"/>
    </row>
    <row r="408" customFormat="false" ht="15" hidden="false" customHeight="false" outlineLevel="0" collapsed="false">
      <c r="B408" s="63"/>
      <c r="C408" s="59" t="s">
        <v>24</v>
      </c>
      <c r="D408" s="60"/>
      <c r="E408" s="60"/>
      <c r="F408" s="60"/>
      <c r="G408" s="60"/>
      <c r="H408" s="60"/>
      <c r="I408" s="60"/>
      <c r="J408" s="60"/>
      <c r="K408" s="61" t="n">
        <f aca="false">SUMPRODUCT(LEN(D408:J408))</f>
        <v>0</v>
      </c>
      <c r="L408" s="62"/>
    </row>
    <row r="409" customFormat="false" ht="15" hidden="false" customHeight="false" outlineLevel="0" collapsed="false">
      <c r="B409" s="64" t="s">
        <v>25</v>
      </c>
      <c r="C409" s="59" t="s">
        <v>11</v>
      </c>
      <c r="D409" s="60"/>
      <c r="E409" s="60"/>
      <c r="F409" s="60"/>
      <c r="G409" s="60"/>
      <c r="H409" s="60"/>
      <c r="I409" s="60"/>
      <c r="J409" s="60"/>
      <c r="K409" s="61" t="n">
        <f aca="false">SUMPRODUCT(LEN(D409:J409))</f>
        <v>0</v>
      </c>
      <c r="L409" s="62" t="n">
        <f aca="false">SUM(K409:K411)</f>
        <v>2</v>
      </c>
    </row>
    <row r="410" customFormat="false" ht="15" hidden="false" customHeight="false" outlineLevel="0" collapsed="false">
      <c r="B410" s="64"/>
      <c r="C410" s="59" t="s">
        <v>19</v>
      </c>
      <c r="D410" s="60"/>
      <c r="E410" s="60"/>
      <c r="F410" s="60" t="s">
        <v>183</v>
      </c>
      <c r="G410" s="60"/>
      <c r="H410" s="60"/>
      <c r="I410" s="60" t="s">
        <v>183</v>
      </c>
      <c r="J410" s="60"/>
      <c r="K410" s="61" t="n">
        <f aca="false">SUMPRODUCT(LEN(D410:J410))</f>
        <v>2</v>
      </c>
      <c r="L410" s="62"/>
    </row>
    <row r="411" customFormat="false" ht="15" hidden="false" customHeight="false" outlineLevel="0" collapsed="false">
      <c r="B411" s="64"/>
      <c r="C411" s="59" t="s">
        <v>24</v>
      </c>
      <c r="D411" s="60"/>
      <c r="E411" s="60"/>
      <c r="F411" s="60"/>
      <c r="G411" s="60"/>
      <c r="H411" s="60"/>
      <c r="I411" s="60"/>
      <c r="J411" s="60"/>
      <c r="K411" s="61" t="n">
        <f aca="false">SUMPRODUCT(LEN(D411:J411))</f>
        <v>0</v>
      </c>
      <c r="L411" s="62"/>
    </row>
    <row r="412" customFormat="false" ht="15" hidden="false" customHeight="false" outlineLevel="0" collapsed="false">
      <c r="B412" s="65" t="s">
        <v>36</v>
      </c>
      <c r="C412" s="59" t="s">
        <v>11</v>
      </c>
      <c r="D412" s="60"/>
      <c r="E412" s="60"/>
      <c r="F412" s="60"/>
      <c r="G412" s="60"/>
      <c r="H412" s="60"/>
      <c r="I412" s="60"/>
      <c r="J412" s="60"/>
      <c r="K412" s="61" t="n">
        <f aca="false">SUMPRODUCT(LEN(D412:J412))</f>
        <v>0</v>
      </c>
      <c r="L412" s="62" t="n">
        <f aca="false">SUM(K412:K414)</f>
        <v>6</v>
      </c>
    </row>
    <row r="413" customFormat="false" ht="15" hidden="false" customHeight="false" outlineLevel="0" collapsed="false">
      <c r="B413" s="65"/>
      <c r="C413" s="59" t="s">
        <v>19</v>
      </c>
      <c r="D413" s="60"/>
      <c r="E413" s="60"/>
      <c r="F413" s="60" t="s">
        <v>185</v>
      </c>
      <c r="G413" s="60"/>
      <c r="H413" s="60"/>
      <c r="I413" s="60"/>
      <c r="J413" s="60"/>
      <c r="K413" s="61" t="n">
        <f aca="false">SUMPRODUCT(LEN(D413:J413))</f>
        <v>1</v>
      </c>
      <c r="L413" s="62"/>
    </row>
    <row r="414" customFormat="false" ht="15" hidden="false" customHeight="false" outlineLevel="0" collapsed="false">
      <c r="B414" s="65"/>
      <c r="C414" s="59" t="s">
        <v>24</v>
      </c>
      <c r="D414" s="60" t="s">
        <v>185</v>
      </c>
      <c r="E414" s="60" t="s">
        <v>185</v>
      </c>
      <c r="F414" s="60" t="s">
        <v>185</v>
      </c>
      <c r="G414" s="60" t="s">
        <v>185</v>
      </c>
      <c r="H414" s="60" t="s">
        <v>185</v>
      </c>
      <c r="I414" s="60"/>
      <c r="J414" s="60"/>
      <c r="K414" s="61" t="n">
        <f aca="false">SUMPRODUCT(LEN(D414:J414))</f>
        <v>5</v>
      </c>
      <c r="L414" s="62"/>
    </row>
    <row r="415" customFormat="false" ht="15" hidden="false" customHeight="false" outlineLevel="0" collapsed="false">
      <c r="B415" s="66" t="s">
        <v>40</v>
      </c>
      <c r="C415" s="59" t="s">
        <v>11</v>
      </c>
      <c r="D415" s="60"/>
      <c r="E415" s="60"/>
      <c r="F415" s="60"/>
      <c r="G415" s="60"/>
      <c r="H415" s="60"/>
      <c r="I415" s="60"/>
      <c r="J415" s="60"/>
      <c r="K415" s="61" t="n">
        <f aca="false">SUMPRODUCT(LEN(D415:J415))</f>
        <v>0</v>
      </c>
      <c r="L415" s="62" t="n">
        <f aca="false">SUM(K415:K417)</f>
        <v>4</v>
      </c>
    </row>
    <row r="416" customFormat="false" ht="15" hidden="false" customHeight="false" outlineLevel="0" collapsed="false">
      <c r="B416" s="66"/>
      <c r="C416" s="59" t="s">
        <v>19</v>
      </c>
      <c r="D416" s="60"/>
      <c r="E416" s="60"/>
      <c r="F416" s="60"/>
      <c r="G416" s="60"/>
      <c r="H416" s="60"/>
      <c r="I416" s="60"/>
      <c r="J416" s="60"/>
      <c r="K416" s="61" t="n">
        <f aca="false">SUMPRODUCT(LEN(D416:J416))</f>
        <v>0</v>
      </c>
      <c r="L416" s="62"/>
    </row>
    <row r="417" customFormat="false" ht="15" hidden="false" customHeight="false" outlineLevel="0" collapsed="false">
      <c r="B417" s="66"/>
      <c r="C417" s="59" t="s">
        <v>24</v>
      </c>
      <c r="D417" s="60" t="s">
        <v>185</v>
      </c>
      <c r="E417" s="60"/>
      <c r="F417" s="60" t="s">
        <v>185</v>
      </c>
      <c r="G417" s="60"/>
      <c r="H417" s="60" t="s">
        <v>185</v>
      </c>
      <c r="I417" s="60"/>
      <c r="J417" s="60" t="s">
        <v>185</v>
      </c>
      <c r="K417" s="61" t="n">
        <f aca="false">SUMPRODUCT(LEN(D417:J417))</f>
        <v>4</v>
      </c>
      <c r="L417" s="62"/>
    </row>
    <row r="418" customFormat="false" ht="15" hidden="false" customHeight="false" outlineLevel="0" collapsed="false">
      <c r="B418" s="67" t="s">
        <v>14</v>
      </c>
      <c r="C418" s="59" t="s">
        <v>11</v>
      </c>
      <c r="D418" s="60"/>
      <c r="E418" s="60"/>
      <c r="F418" s="60"/>
      <c r="G418" s="60"/>
      <c r="H418" s="60"/>
      <c r="I418" s="60"/>
      <c r="J418" s="60"/>
      <c r="K418" s="61" t="n">
        <f aca="false">SUMPRODUCT(LEN(D418:J418))</f>
        <v>0</v>
      </c>
      <c r="L418" s="62" t="n">
        <f aca="false">SUM(K418:K420)</f>
        <v>3</v>
      </c>
    </row>
    <row r="419" customFormat="false" ht="15" hidden="false" customHeight="false" outlineLevel="0" collapsed="false">
      <c r="B419" s="67"/>
      <c r="C419" s="59" t="s">
        <v>19</v>
      </c>
      <c r="D419" s="60"/>
      <c r="E419" s="60"/>
      <c r="F419" s="60"/>
      <c r="G419" s="60"/>
      <c r="H419" s="60"/>
      <c r="I419" s="60"/>
      <c r="J419" s="60"/>
      <c r="K419" s="61" t="n">
        <f aca="false">SUMPRODUCT(LEN(D419:J419))</f>
        <v>0</v>
      </c>
      <c r="L419" s="62"/>
    </row>
    <row r="420" customFormat="false" ht="15" hidden="false" customHeight="false" outlineLevel="0" collapsed="false">
      <c r="B420" s="67"/>
      <c r="C420" s="59" t="s">
        <v>24</v>
      </c>
      <c r="D420" s="60" t="s">
        <v>185</v>
      </c>
      <c r="E420" s="60"/>
      <c r="F420" s="60"/>
      <c r="G420" s="60" t="s">
        <v>185</v>
      </c>
      <c r="H420" s="60"/>
      <c r="I420" s="60" t="s">
        <v>185</v>
      </c>
      <c r="J420" s="60"/>
      <c r="K420" s="61" t="n">
        <f aca="false">SUMPRODUCT(LEN(D420:J420))</f>
        <v>3</v>
      </c>
      <c r="L420" s="62"/>
    </row>
    <row r="421" customFormat="false" ht="15" hidden="false" customHeight="false" outlineLevel="0" collapsed="false">
      <c r="B421" s="68" t="s">
        <v>46</v>
      </c>
      <c r="C421" s="59" t="s">
        <v>11</v>
      </c>
      <c r="D421" s="60"/>
      <c r="E421" s="60"/>
      <c r="F421" s="60"/>
      <c r="G421" s="60"/>
      <c r="H421" s="60"/>
      <c r="I421" s="60"/>
      <c r="J421" s="60"/>
      <c r="K421" s="61" t="n">
        <f aca="false">SUMPRODUCT(LEN(D421:J421))</f>
        <v>0</v>
      </c>
      <c r="L421" s="62" t="n">
        <f aca="false">SUM(K421:K423)</f>
        <v>3</v>
      </c>
    </row>
    <row r="422" customFormat="false" ht="15" hidden="false" customHeight="false" outlineLevel="0" collapsed="false">
      <c r="B422" s="68"/>
      <c r="C422" s="59" t="s">
        <v>19</v>
      </c>
      <c r="D422" s="60"/>
      <c r="E422" s="60"/>
      <c r="F422" s="60"/>
      <c r="G422" s="60"/>
      <c r="H422" s="60"/>
      <c r="I422" s="60"/>
      <c r="J422" s="60"/>
      <c r="K422" s="61" t="n">
        <f aca="false">SUMPRODUCT(LEN(D422:J422))</f>
        <v>0</v>
      </c>
      <c r="L422" s="62"/>
    </row>
    <row r="423" customFormat="false" ht="15" hidden="false" customHeight="false" outlineLevel="0" collapsed="false">
      <c r="B423" s="68"/>
      <c r="C423" s="59" t="s">
        <v>24</v>
      </c>
      <c r="D423" s="60"/>
      <c r="E423" s="60" t="s">
        <v>185</v>
      </c>
      <c r="F423" s="60"/>
      <c r="G423" s="60" t="s">
        <v>185</v>
      </c>
      <c r="H423" s="60"/>
      <c r="I423" s="60" t="s">
        <v>185</v>
      </c>
      <c r="J423" s="60"/>
      <c r="K423" s="61" t="n">
        <f aca="false">SUMPRODUCT(LEN(D423:J423))</f>
        <v>3</v>
      </c>
      <c r="L423" s="62"/>
    </row>
    <row r="424" customFormat="false" ht="15" hidden="false" customHeight="false" outlineLevel="0" collapsed="false">
      <c r="B424" s="69" t="s">
        <v>49</v>
      </c>
      <c r="C424" s="59" t="s">
        <v>11</v>
      </c>
      <c r="D424" s="60"/>
      <c r="E424" s="60"/>
      <c r="F424" s="60"/>
      <c r="G424" s="60"/>
      <c r="H424" s="60"/>
      <c r="I424" s="60"/>
      <c r="J424" s="60"/>
      <c r="K424" s="61" t="n">
        <f aca="false">SUMPRODUCT(LEN(D424:J424))</f>
        <v>0</v>
      </c>
      <c r="L424" s="62" t="n">
        <f aca="false">SUM(K424:K426)</f>
        <v>2</v>
      </c>
    </row>
    <row r="425" customFormat="false" ht="15" hidden="false" customHeight="false" outlineLevel="0" collapsed="false">
      <c r="B425" s="69"/>
      <c r="C425" s="59" t="s">
        <v>19</v>
      </c>
      <c r="D425" s="60" t="s">
        <v>185</v>
      </c>
      <c r="E425" s="60"/>
      <c r="F425" s="60"/>
      <c r="G425" s="60"/>
      <c r="H425" s="60" t="s">
        <v>185</v>
      </c>
      <c r="I425" s="60"/>
      <c r="J425" s="60"/>
      <c r="K425" s="61" t="n">
        <f aca="false">SUMPRODUCT(LEN(D425:J425))</f>
        <v>2</v>
      </c>
      <c r="L425" s="62"/>
    </row>
    <row r="426" customFormat="false" ht="15" hidden="false" customHeight="false" outlineLevel="0" collapsed="false">
      <c r="B426" s="69"/>
      <c r="C426" s="59" t="s">
        <v>24</v>
      </c>
      <c r="D426" s="60"/>
      <c r="E426" s="60"/>
      <c r="F426" s="60"/>
      <c r="G426" s="60"/>
      <c r="H426" s="60"/>
      <c r="I426" s="60"/>
      <c r="J426" s="60"/>
      <c r="K426" s="61" t="n">
        <f aca="false">SUMPRODUCT(LEN(D426:J426))</f>
        <v>0</v>
      </c>
      <c r="L426" s="62"/>
    </row>
    <row r="427" customFormat="false" ht="15" hidden="false" customHeight="false" outlineLevel="0" collapsed="false">
      <c r="B427" s="70" t="s">
        <v>53</v>
      </c>
      <c r="C427" s="59" t="s">
        <v>11</v>
      </c>
      <c r="D427" s="60"/>
      <c r="E427" s="60"/>
      <c r="F427" s="60"/>
      <c r="G427" s="60"/>
      <c r="H427" s="60"/>
      <c r="I427" s="60"/>
      <c r="J427" s="60"/>
      <c r="K427" s="61" t="n">
        <f aca="false">SUMPRODUCT(LEN(D427:J427))</f>
        <v>0</v>
      </c>
      <c r="L427" s="62" t="n">
        <f aca="false">SUM(K427:K429)</f>
        <v>1</v>
      </c>
    </row>
    <row r="428" customFormat="false" ht="15" hidden="false" customHeight="false" outlineLevel="0" collapsed="false">
      <c r="B428" s="70"/>
      <c r="C428" s="59" t="s">
        <v>19</v>
      </c>
      <c r="D428" s="60"/>
      <c r="E428" s="60"/>
      <c r="F428" s="60"/>
      <c r="G428" s="60" t="s">
        <v>185</v>
      </c>
      <c r="H428" s="60"/>
      <c r="I428" s="60"/>
      <c r="J428" s="60"/>
      <c r="K428" s="61" t="n">
        <f aca="false">SUMPRODUCT(LEN(D428:J428))</f>
        <v>1</v>
      </c>
      <c r="L428" s="62"/>
    </row>
    <row r="429" customFormat="false" ht="15" hidden="false" customHeight="false" outlineLevel="0" collapsed="false">
      <c r="B429" s="70"/>
      <c r="C429" s="59" t="s">
        <v>24</v>
      </c>
      <c r="D429" s="60"/>
      <c r="E429" s="60"/>
      <c r="F429" s="60"/>
      <c r="G429" s="60"/>
      <c r="H429" s="60"/>
      <c r="I429" s="60"/>
      <c r="J429" s="60"/>
      <c r="K429" s="61" t="n">
        <f aca="false">SUMPRODUCT(LEN(D429:J429))</f>
        <v>0</v>
      </c>
      <c r="L429" s="62"/>
    </row>
    <row r="430" customFormat="false" ht="15" hidden="false" customHeight="false" outlineLevel="0" collapsed="false">
      <c r="B430" s="71" t="s">
        <v>56</v>
      </c>
      <c r="C430" s="59" t="s">
        <v>11</v>
      </c>
      <c r="D430" s="60"/>
      <c r="E430" s="60"/>
      <c r="F430" s="60"/>
      <c r="G430" s="60"/>
      <c r="H430" s="60"/>
      <c r="I430" s="60"/>
      <c r="J430" s="60"/>
      <c r="K430" s="61" t="n">
        <f aca="false">SUMPRODUCT(LEN(D430:J430))</f>
        <v>0</v>
      </c>
      <c r="L430" s="62" t="n">
        <f aca="false">SUM(K430:K432)</f>
        <v>2</v>
      </c>
    </row>
    <row r="431" customFormat="false" ht="15" hidden="false" customHeight="false" outlineLevel="0" collapsed="false">
      <c r="B431" s="71"/>
      <c r="C431" s="59" t="s">
        <v>19</v>
      </c>
      <c r="D431" s="60"/>
      <c r="E431" s="60"/>
      <c r="F431" s="60"/>
      <c r="G431" s="60"/>
      <c r="H431" s="60"/>
      <c r="I431" s="60"/>
      <c r="J431" s="60"/>
      <c r="K431" s="61" t="n">
        <f aca="false">SUMPRODUCT(LEN(D431:J431))</f>
        <v>0</v>
      </c>
      <c r="L431" s="62"/>
    </row>
    <row r="432" customFormat="false" ht="15" hidden="false" customHeight="false" outlineLevel="0" collapsed="false">
      <c r="B432" s="71"/>
      <c r="C432" s="59" t="s">
        <v>24</v>
      </c>
      <c r="D432" s="60"/>
      <c r="E432" s="60" t="s">
        <v>185</v>
      </c>
      <c r="F432" s="60"/>
      <c r="G432" s="60"/>
      <c r="H432" s="60"/>
      <c r="I432" s="60" t="s">
        <v>185</v>
      </c>
      <c r="J432" s="60"/>
      <c r="K432" s="61" t="n">
        <f aca="false">SUMPRODUCT(LEN(D432:J432))</f>
        <v>2</v>
      </c>
      <c r="L432" s="62"/>
    </row>
    <row r="433" customFormat="false" ht="15" hidden="false" customHeight="false" outlineLevel="0" collapsed="false">
      <c r="B433" s="72" t="s">
        <v>59</v>
      </c>
      <c r="C433" s="59" t="s">
        <v>11</v>
      </c>
      <c r="D433" s="60"/>
      <c r="E433" s="60"/>
      <c r="F433" s="60"/>
      <c r="G433" s="60"/>
      <c r="H433" s="60"/>
      <c r="I433" s="60"/>
      <c r="J433" s="60"/>
      <c r="K433" s="61" t="n">
        <f aca="false">SUMPRODUCT(LEN(D433:J433))</f>
        <v>0</v>
      </c>
      <c r="L433" s="62" t="n">
        <f aca="false">SUM(K433:K435)</f>
        <v>7</v>
      </c>
    </row>
    <row r="434" customFormat="false" ht="15" hidden="false" customHeight="false" outlineLevel="0" collapsed="false">
      <c r="B434" s="72"/>
      <c r="C434" s="59" t="s">
        <v>19</v>
      </c>
      <c r="D434" s="60"/>
      <c r="E434" s="60"/>
      <c r="F434" s="60"/>
      <c r="G434" s="60"/>
      <c r="H434" s="60"/>
      <c r="I434" s="60"/>
      <c r="J434" s="60"/>
      <c r="K434" s="61" t="n">
        <f aca="false">SUMPRODUCT(LEN(D434:J434))</f>
        <v>0</v>
      </c>
      <c r="L434" s="62"/>
    </row>
    <row r="435" customFormat="false" ht="15" hidden="false" customHeight="false" outlineLevel="0" collapsed="false">
      <c r="B435" s="72"/>
      <c r="C435" s="59" t="s">
        <v>24</v>
      </c>
      <c r="D435" s="60" t="s">
        <v>185</v>
      </c>
      <c r="E435" s="60" t="s">
        <v>185</v>
      </c>
      <c r="F435" s="60" t="s">
        <v>185</v>
      </c>
      <c r="G435" s="60" t="s">
        <v>186</v>
      </c>
      <c r="H435" s="60" t="s">
        <v>185</v>
      </c>
      <c r="I435" s="60" t="s">
        <v>185</v>
      </c>
      <c r="J435" s="60"/>
      <c r="K435" s="61" t="n">
        <f aca="false">SUMPRODUCT(LEN(D435:J435))</f>
        <v>7</v>
      </c>
      <c r="L435" s="62"/>
    </row>
    <row r="436" customFormat="false" ht="15" hidden="false" customHeight="false" outlineLevel="0" collapsed="false">
      <c r="B436" s="73" t="s">
        <v>62</v>
      </c>
      <c r="C436" s="59" t="s">
        <v>11</v>
      </c>
      <c r="D436" s="60"/>
      <c r="E436" s="60"/>
      <c r="F436" s="60"/>
      <c r="G436" s="60"/>
      <c r="H436" s="60"/>
      <c r="I436" s="60"/>
      <c r="J436" s="60"/>
      <c r="K436" s="61" t="n">
        <f aca="false">SUMPRODUCT(LEN(D436:J436))</f>
        <v>0</v>
      </c>
      <c r="L436" s="62" t="n">
        <f aca="false">SUM(K436:K438)</f>
        <v>2</v>
      </c>
    </row>
    <row r="437" customFormat="false" ht="15" hidden="false" customHeight="false" outlineLevel="0" collapsed="false">
      <c r="B437" s="73"/>
      <c r="C437" s="59" t="s">
        <v>19</v>
      </c>
      <c r="D437" s="60"/>
      <c r="E437" s="60"/>
      <c r="F437" s="60"/>
      <c r="G437" s="60"/>
      <c r="H437" s="60"/>
      <c r="I437" s="60"/>
      <c r="J437" s="60"/>
      <c r="K437" s="61" t="n">
        <f aca="false">SUMPRODUCT(LEN(D437:J437))</f>
        <v>0</v>
      </c>
      <c r="L437" s="62"/>
    </row>
    <row r="438" customFormat="false" ht="15" hidden="false" customHeight="false" outlineLevel="0" collapsed="false">
      <c r="B438" s="73"/>
      <c r="C438" s="59" t="s">
        <v>24</v>
      </c>
      <c r="D438" s="60"/>
      <c r="E438" s="60"/>
      <c r="F438" s="60" t="s">
        <v>185</v>
      </c>
      <c r="G438" s="60"/>
      <c r="H438" s="60"/>
      <c r="I438" s="60"/>
      <c r="J438" s="60" t="s">
        <v>185</v>
      </c>
      <c r="K438" s="61" t="n">
        <f aca="false">SUMPRODUCT(LEN(D438:J438))</f>
        <v>2</v>
      </c>
      <c r="L438" s="62"/>
    </row>
    <row r="440" customFormat="false" ht="19.5" hidden="false" customHeight="true" outlineLevel="0" collapsed="false">
      <c r="B440" s="55" t="str">
        <f aca="false">"TABLEAU 12/12  -  PROGRAMME DE MARS 2028"&amp;IF($C$6="mars 2028","          &lt;&lt;&lt; MOIS ACTUELLEMENT FILTRE","")</f>
        <v>TABLEAU 12/12  -  PROGRAMME DE MARS 2028</v>
      </c>
      <c r="C440" s="55"/>
      <c r="D440" s="55"/>
      <c r="E440" s="55"/>
      <c r="F440" s="55"/>
      <c r="G440" s="55"/>
      <c r="H440" s="55"/>
      <c r="I440" s="55"/>
      <c r="J440" s="55"/>
      <c r="L440" s="56" t="s">
        <v>179</v>
      </c>
    </row>
    <row r="441" customFormat="false" ht="25.5" hidden="false" customHeight="true" outlineLevel="0" collapsed="false">
      <c r="B441" s="57" t="s">
        <v>84</v>
      </c>
      <c r="C441" s="57" t="s">
        <v>180</v>
      </c>
      <c r="D441" s="57" t="s">
        <v>27</v>
      </c>
      <c r="E441" s="57" t="s">
        <v>28</v>
      </c>
      <c r="F441" s="57" t="s">
        <v>29</v>
      </c>
      <c r="G441" s="57" t="s">
        <v>30</v>
      </c>
      <c r="H441" s="57" t="s">
        <v>31</v>
      </c>
      <c r="I441" s="57" t="s">
        <v>32</v>
      </c>
      <c r="J441" s="57" t="s">
        <v>33</v>
      </c>
      <c r="K441" s="57" t="s">
        <v>181</v>
      </c>
      <c r="L441" s="57" t="s">
        <v>182</v>
      </c>
    </row>
    <row r="442" customFormat="false" ht="15" hidden="false" customHeight="false" outlineLevel="0" collapsed="false">
      <c r="B442" s="58" t="s">
        <v>12</v>
      </c>
      <c r="C442" s="59" t="s">
        <v>11</v>
      </c>
      <c r="D442" s="60" t="s">
        <v>183</v>
      </c>
      <c r="E442" s="60" t="s">
        <v>183</v>
      </c>
      <c r="F442" s="60" t="s">
        <v>183</v>
      </c>
      <c r="G442" s="60" t="s">
        <v>183</v>
      </c>
      <c r="H442" s="60" t="s">
        <v>183</v>
      </c>
      <c r="I442" s="60" t="s">
        <v>183</v>
      </c>
      <c r="J442" s="60" t="s">
        <v>183</v>
      </c>
      <c r="K442" s="61" t="n">
        <f aca="false">SUMPRODUCT(LEN(D442:J442))</f>
        <v>7</v>
      </c>
      <c r="L442" s="62" t="n">
        <f aca="false">SUM(K442:K444)</f>
        <v>11</v>
      </c>
    </row>
    <row r="443" customFormat="false" ht="15" hidden="false" customHeight="false" outlineLevel="0" collapsed="false">
      <c r="B443" s="58"/>
      <c r="C443" s="59" t="s">
        <v>19</v>
      </c>
      <c r="D443" s="60" t="s">
        <v>183</v>
      </c>
      <c r="E443" s="60"/>
      <c r="F443" s="60"/>
      <c r="G443" s="60"/>
      <c r="H443" s="60" t="s">
        <v>183</v>
      </c>
      <c r="I443" s="60"/>
      <c r="J443" s="60"/>
      <c r="K443" s="61" t="n">
        <f aca="false">SUMPRODUCT(LEN(D443:J443))</f>
        <v>2</v>
      </c>
      <c r="L443" s="62"/>
    </row>
    <row r="444" customFormat="false" ht="15" hidden="false" customHeight="false" outlineLevel="0" collapsed="false">
      <c r="B444" s="58"/>
      <c r="C444" s="59" t="s">
        <v>24</v>
      </c>
      <c r="D444" s="60" t="s">
        <v>184</v>
      </c>
      <c r="E444" s="60"/>
      <c r="F444" s="60"/>
      <c r="G444" s="60"/>
      <c r="H444" s="60"/>
      <c r="I444" s="60"/>
      <c r="J444" s="60"/>
      <c r="K444" s="61" t="n">
        <f aca="false">SUMPRODUCT(LEN(D444:J444))</f>
        <v>2</v>
      </c>
      <c r="L444" s="62"/>
    </row>
    <row r="445" customFormat="false" ht="15" hidden="false" customHeight="false" outlineLevel="0" collapsed="false">
      <c r="B445" s="63" t="s">
        <v>20</v>
      </c>
      <c r="C445" s="59" t="s">
        <v>11</v>
      </c>
      <c r="D445" s="60"/>
      <c r="E445" s="60"/>
      <c r="F445" s="60"/>
      <c r="G445" s="60"/>
      <c r="H445" s="60"/>
      <c r="I445" s="60"/>
      <c r="J445" s="60" t="s">
        <v>183</v>
      </c>
      <c r="K445" s="61" t="n">
        <f aca="false">SUMPRODUCT(LEN(D445:J445))</f>
        <v>1</v>
      </c>
      <c r="L445" s="62" t="n">
        <f aca="false">SUM(K445:K447)</f>
        <v>3</v>
      </c>
    </row>
    <row r="446" customFormat="false" ht="15" hidden="false" customHeight="false" outlineLevel="0" collapsed="false">
      <c r="B446" s="63"/>
      <c r="C446" s="59" t="s">
        <v>19</v>
      </c>
      <c r="D446" s="60"/>
      <c r="E446" s="60" t="s">
        <v>183</v>
      </c>
      <c r="F446" s="60"/>
      <c r="G446" s="60"/>
      <c r="H446" s="60" t="s">
        <v>183</v>
      </c>
      <c r="I446" s="60"/>
      <c r="J446" s="60"/>
      <c r="K446" s="61" t="n">
        <f aca="false">SUMPRODUCT(LEN(D446:J446))</f>
        <v>2</v>
      </c>
      <c r="L446" s="62"/>
    </row>
    <row r="447" customFormat="false" ht="15" hidden="false" customHeight="false" outlineLevel="0" collapsed="false">
      <c r="B447" s="63"/>
      <c r="C447" s="59" t="s">
        <v>24</v>
      </c>
      <c r="D447" s="60"/>
      <c r="E447" s="60"/>
      <c r="F447" s="60"/>
      <c r="G447" s="60"/>
      <c r="H447" s="60"/>
      <c r="I447" s="60"/>
      <c r="J447" s="60"/>
      <c r="K447" s="61" t="n">
        <f aca="false">SUMPRODUCT(LEN(D447:J447))</f>
        <v>0</v>
      </c>
      <c r="L447" s="62"/>
    </row>
    <row r="448" customFormat="false" ht="15" hidden="false" customHeight="false" outlineLevel="0" collapsed="false">
      <c r="B448" s="64" t="s">
        <v>25</v>
      </c>
      <c r="C448" s="59" t="s">
        <v>11</v>
      </c>
      <c r="D448" s="60"/>
      <c r="E448" s="60"/>
      <c r="F448" s="60"/>
      <c r="G448" s="60"/>
      <c r="H448" s="60"/>
      <c r="I448" s="60"/>
      <c r="J448" s="60"/>
      <c r="K448" s="61" t="n">
        <f aca="false">SUMPRODUCT(LEN(D448:J448))</f>
        <v>0</v>
      </c>
      <c r="L448" s="62" t="n">
        <f aca="false">SUM(K448:K450)</f>
        <v>2</v>
      </c>
    </row>
    <row r="449" customFormat="false" ht="15" hidden="false" customHeight="false" outlineLevel="0" collapsed="false">
      <c r="B449" s="64"/>
      <c r="C449" s="59" t="s">
        <v>19</v>
      </c>
      <c r="D449" s="60"/>
      <c r="E449" s="60"/>
      <c r="F449" s="60" t="s">
        <v>183</v>
      </c>
      <c r="G449" s="60"/>
      <c r="H449" s="60"/>
      <c r="I449" s="60" t="s">
        <v>183</v>
      </c>
      <c r="J449" s="60"/>
      <c r="K449" s="61" t="n">
        <f aca="false">SUMPRODUCT(LEN(D449:J449))</f>
        <v>2</v>
      </c>
      <c r="L449" s="62"/>
    </row>
    <row r="450" customFormat="false" ht="15" hidden="false" customHeight="false" outlineLevel="0" collapsed="false">
      <c r="B450" s="64"/>
      <c r="C450" s="59" t="s">
        <v>24</v>
      </c>
      <c r="D450" s="60"/>
      <c r="E450" s="60"/>
      <c r="F450" s="60"/>
      <c r="G450" s="60"/>
      <c r="H450" s="60"/>
      <c r="I450" s="60"/>
      <c r="J450" s="60"/>
      <c r="K450" s="61" t="n">
        <f aca="false">SUMPRODUCT(LEN(D450:J450))</f>
        <v>0</v>
      </c>
      <c r="L450" s="62"/>
    </row>
    <row r="451" customFormat="false" ht="15" hidden="false" customHeight="false" outlineLevel="0" collapsed="false">
      <c r="B451" s="65" t="s">
        <v>36</v>
      </c>
      <c r="C451" s="59" t="s">
        <v>11</v>
      </c>
      <c r="D451" s="60"/>
      <c r="E451" s="60"/>
      <c r="F451" s="60"/>
      <c r="G451" s="60"/>
      <c r="H451" s="60"/>
      <c r="I451" s="60"/>
      <c r="J451" s="60"/>
      <c r="K451" s="61" t="n">
        <f aca="false">SUMPRODUCT(LEN(D451:J451))</f>
        <v>0</v>
      </c>
      <c r="L451" s="62" t="n">
        <f aca="false">SUM(K451:K453)</f>
        <v>6</v>
      </c>
    </row>
    <row r="452" customFormat="false" ht="15" hidden="false" customHeight="false" outlineLevel="0" collapsed="false">
      <c r="B452" s="65"/>
      <c r="C452" s="59" t="s">
        <v>19</v>
      </c>
      <c r="D452" s="60"/>
      <c r="E452" s="60"/>
      <c r="F452" s="60" t="s">
        <v>185</v>
      </c>
      <c r="G452" s="60"/>
      <c r="H452" s="60"/>
      <c r="I452" s="60"/>
      <c r="J452" s="60"/>
      <c r="K452" s="61" t="n">
        <f aca="false">SUMPRODUCT(LEN(D452:J452))</f>
        <v>1</v>
      </c>
      <c r="L452" s="62"/>
    </row>
    <row r="453" customFormat="false" ht="15" hidden="false" customHeight="false" outlineLevel="0" collapsed="false">
      <c r="B453" s="65"/>
      <c r="C453" s="59" t="s">
        <v>24</v>
      </c>
      <c r="D453" s="60" t="s">
        <v>185</v>
      </c>
      <c r="E453" s="60" t="s">
        <v>185</v>
      </c>
      <c r="F453" s="60" t="s">
        <v>185</v>
      </c>
      <c r="G453" s="60" t="s">
        <v>185</v>
      </c>
      <c r="H453" s="60" t="s">
        <v>185</v>
      </c>
      <c r="I453" s="60"/>
      <c r="J453" s="60"/>
      <c r="K453" s="61" t="n">
        <f aca="false">SUMPRODUCT(LEN(D453:J453))</f>
        <v>5</v>
      </c>
      <c r="L453" s="62"/>
    </row>
    <row r="454" customFormat="false" ht="15" hidden="false" customHeight="false" outlineLevel="0" collapsed="false">
      <c r="B454" s="66" t="s">
        <v>40</v>
      </c>
      <c r="C454" s="59" t="s">
        <v>11</v>
      </c>
      <c r="D454" s="60"/>
      <c r="E454" s="60"/>
      <c r="F454" s="60"/>
      <c r="G454" s="60"/>
      <c r="H454" s="60"/>
      <c r="I454" s="60"/>
      <c r="J454" s="60"/>
      <c r="K454" s="61" t="n">
        <f aca="false">SUMPRODUCT(LEN(D454:J454))</f>
        <v>0</v>
      </c>
      <c r="L454" s="62" t="n">
        <f aca="false">SUM(K454:K456)</f>
        <v>4</v>
      </c>
    </row>
    <row r="455" customFormat="false" ht="15" hidden="false" customHeight="false" outlineLevel="0" collapsed="false">
      <c r="B455" s="66"/>
      <c r="C455" s="59" t="s">
        <v>19</v>
      </c>
      <c r="D455" s="60"/>
      <c r="E455" s="60"/>
      <c r="F455" s="60"/>
      <c r="G455" s="60"/>
      <c r="H455" s="60"/>
      <c r="I455" s="60"/>
      <c r="J455" s="60"/>
      <c r="K455" s="61" t="n">
        <f aca="false">SUMPRODUCT(LEN(D455:J455))</f>
        <v>0</v>
      </c>
      <c r="L455" s="62"/>
    </row>
    <row r="456" customFormat="false" ht="15" hidden="false" customHeight="false" outlineLevel="0" collapsed="false">
      <c r="B456" s="66"/>
      <c r="C456" s="59" t="s">
        <v>24</v>
      </c>
      <c r="D456" s="60" t="s">
        <v>185</v>
      </c>
      <c r="E456" s="60"/>
      <c r="F456" s="60" t="s">
        <v>185</v>
      </c>
      <c r="G456" s="60"/>
      <c r="H456" s="60" t="s">
        <v>185</v>
      </c>
      <c r="I456" s="60"/>
      <c r="J456" s="60" t="s">
        <v>185</v>
      </c>
      <c r="K456" s="61" t="n">
        <f aca="false">SUMPRODUCT(LEN(D456:J456))</f>
        <v>4</v>
      </c>
      <c r="L456" s="62"/>
    </row>
    <row r="457" customFormat="false" ht="15" hidden="false" customHeight="false" outlineLevel="0" collapsed="false">
      <c r="B457" s="67" t="s">
        <v>14</v>
      </c>
      <c r="C457" s="59" t="s">
        <v>11</v>
      </c>
      <c r="D457" s="60"/>
      <c r="E457" s="60"/>
      <c r="F457" s="60"/>
      <c r="G457" s="60"/>
      <c r="H457" s="60"/>
      <c r="I457" s="60"/>
      <c r="J457" s="60"/>
      <c r="K457" s="61" t="n">
        <f aca="false">SUMPRODUCT(LEN(D457:J457))</f>
        <v>0</v>
      </c>
      <c r="L457" s="62" t="n">
        <f aca="false">SUM(K457:K459)</f>
        <v>3</v>
      </c>
    </row>
    <row r="458" customFormat="false" ht="15" hidden="false" customHeight="false" outlineLevel="0" collapsed="false">
      <c r="B458" s="67"/>
      <c r="C458" s="59" t="s">
        <v>19</v>
      </c>
      <c r="D458" s="60"/>
      <c r="E458" s="60"/>
      <c r="F458" s="60"/>
      <c r="G458" s="60"/>
      <c r="H458" s="60"/>
      <c r="I458" s="60"/>
      <c r="J458" s="60"/>
      <c r="K458" s="61" t="n">
        <f aca="false">SUMPRODUCT(LEN(D458:J458))</f>
        <v>0</v>
      </c>
      <c r="L458" s="62"/>
    </row>
    <row r="459" customFormat="false" ht="15" hidden="false" customHeight="false" outlineLevel="0" collapsed="false">
      <c r="B459" s="67"/>
      <c r="C459" s="59" t="s">
        <v>24</v>
      </c>
      <c r="D459" s="60" t="s">
        <v>185</v>
      </c>
      <c r="E459" s="60"/>
      <c r="F459" s="60"/>
      <c r="G459" s="60" t="s">
        <v>185</v>
      </c>
      <c r="H459" s="60"/>
      <c r="I459" s="60" t="s">
        <v>185</v>
      </c>
      <c r="J459" s="60"/>
      <c r="K459" s="61" t="n">
        <f aca="false">SUMPRODUCT(LEN(D459:J459))</f>
        <v>3</v>
      </c>
      <c r="L459" s="62"/>
    </row>
    <row r="460" customFormat="false" ht="15" hidden="false" customHeight="false" outlineLevel="0" collapsed="false">
      <c r="B460" s="68" t="s">
        <v>46</v>
      </c>
      <c r="C460" s="59" t="s">
        <v>11</v>
      </c>
      <c r="D460" s="60"/>
      <c r="E460" s="60"/>
      <c r="F460" s="60"/>
      <c r="G460" s="60"/>
      <c r="H460" s="60"/>
      <c r="I460" s="60"/>
      <c r="J460" s="60"/>
      <c r="K460" s="61" t="n">
        <f aca="false">SUMPRODUCT(LEN(D460:J460))</f>
        <v>0</v>
      </c>
      <c r="L460" s="62" t="n">
        <f aca="false">SUM(K460:K462)</f>
        <v>3</v>
      </c>
    </row>
    <row r="461" customFormat="false" ht="15" hidden="false" customHeight="false" outlineLevel="0" collapsed="false">
      <c r="B461" s="68"/>
      <c r="C461" s="59" t="s">
        <v>19</v>
      </c>
      <c r="D461" s="60"/>
      <c r="E461" s="60"/>
      <c r="F461" s="60"/>
      <c r="G461" s="60"/>
      <c r="H461" s="60"/>
      <c r="I461" s="60"/>
      <c r="J461" s="60"/>
      <c r="K461" s="61" t="n">
        <f aca="false">SUMPRODUCT(LEN(D461:J461))</f>
        <v>0</v>
      </c>
      <c r="L461" s="62"/>
    </row>
    <row r="462" customFormat="false" ht="15" hidden="false" customHeight="false" outlineLevel="0" collapsed="false">
      <c r="B462" s="68"/>
      <c r="C462" s="59" t="s">
        <v>24</v>
      </c>
      <c r="D462" s="60"/>
      <c r="E462" s="60" t="s">
        <v>185</v>
      </c>
      <c r="F462" s="60"/>
      <c r="G462" s="60" t="s">
        <v>185</v>
      </c>
      <c r="H462" s="60"/>
      <c r="I462" s="60" t="s">
        <v>185</v>
      </c>
      <c r="J462" s="60"/>
      <c r="K462" s="61" t="n">
        <f aca="false">SUMPRODUCT(LEN(D462:J462))</f>
        <v>3</v>
      </c>
      <c r="L462" s="62"/>
    </row>
    <row r="463" customFormat="false" ht="15" hidden="false" customHeight="false" outlineLevel="0" collapsed="false">
      <c r="B463" s="69" t="s">
        <v>49</v>
      </c>
      <c r="C463" s="59" t="s">
        <v>11</v>
      </c>
      <c r="D463" s="60"/>
      <c r="E463" s="60"/>
      <c r="F463" s="60"/>
      <c r="G463" s="60"/>
      <c r="H463" s="60"/>
      <c r="I463" s="60"/>
      <c r="J463" s="60"/>
      <c r="K463" s="61" t="n">
        <f aca="false">SUMPRODUCT(LEN(D463:J463))</f>
        <v>0</v>
      </c>
      <c r="L463" s="62" t="n">
        <f aca="false">SUM(K463:K465)</f>
        <v>2</v>
      </c>
    </row>
    <row r="464" customFormat="false" ht="15" hidden="false" customHeight="false" outlineLevel="0" collapsed="false">
      <c r="B464" s="69"/>
      <c r="C464" s="59" t="s">
        <v>19</v>
      </c>
      <c r="D464" s="60" t="s">
        <v>185</v>
      </c>
      <c r="E464" s="60"/>
      <c r="F464" s="60"/>
      <c r="G464" s="60"/>
      <c r="H464" s="60" t="s">
        <v>185</v>
      </c>
      <c r="I464" s="60"/>
      <c r="J464" s="60"/>
      <c r="K464" s="61" t="n">
        <f aca="false">SUMPRODUCT(LEN(D464:J464))</f>
        <v>2</v>
      </c>
      <c r="L464" s="62"/>
    </row>
    <row r="465" customFormat="false" ht="15" hidden="false" customHeight="false" outlineLevel="0" collapsed="false">
      <c r="B465" s="69"/>
      <c r="C465" s="59" t="s">
        <v>24</v>
      </c>
      <c r="D465" s="60"/>
      <c r="E465" s="60"/>
      <c r="F465" s="60"/>
      <c r="G465" s="60"/>
      <c r="H465" s="60"/>
      <c r="I465" s="60"/>
      <c r="J465" s="60"/>
      <c r="K465" s="61" t="n">
        <f aca="false">SUMPRODUCT(LEN(D465:J465))</f>
        <v>0</v>
      </c>
      <c r="L465" s="62"/>
    </row>
    <row r="466" customFormat="false" ht="15" hidden="false" customHeight="false" outlineLevel="0" collapsed="false">
      <c r="B466" s="70" t="s">
        <v>53</v>
      </c>
      <c r="C466" s="59" t="s">
        <v>11</v>
      </c>
      <c r="D466" s="60"/>
      <c r="E466" s="60"/>
      <c r="F466" s="60"/>
      <c r="G466" s="60"/>
      <c r="H466" s="60"/>
      <c r="I466" s="60"/>
      <c r="J466" s="60"/>
      <c r="K466" s="61" t="n">
        <f aca="false">SUMPRODUCT(LEN(D466:J466))</f>
        <v>0</v>
      </c>
      <c r="L466" s="62" t="n">
        <f aca="false">SUM(K466:K468)</f>
        <v>1</v>
      </c>
    </row>
    <row r="467" customFormat="false" ht="15" hidden="false" customHeight="false" outlineLevel="0" collapsed="false">
      <c r="B467" s="70"/>
      <c r="C467" s="59" t="s">
        <v>19</v>
      </c>
      <c r="D467" s="60"/>
      <c r="E467" s="60"/>
      <c r="F467" s="60"/>
      <c r="G467" s="60" t="s">
        <v>185</v>
      </c>
      <c r="H467" s="60"/>
      <c r="I467" s="60"/>
      <c r="J467" s="60"/>
      <c r="K467" s="61" t="n">
        <f aca="false">SUMPRODUCT(LEN(D467:J467))</f>
        <v>1</v>
      </c>
      <c r="L467" s="62"/>
    </row>
    <row r="468" customFormat="false" ht="15" hidden="false" customHeight="false" outlineLevel="0" collapsed="false">
      <c r="B468" s="70"/>
      <c r="C468" s="59" t="s">
        <v>24</v>
      </c>
      <c r="D468" s="60"/>
      <c r="E468" s="60"/>
      <c r="F468" s="60"/>
      <c r="G468" s="60"/>
      <c r="H468" s="60"/>
      <c r="I468" s="60"/>
      <c r="J468" s="60"/>
      <c r="K468" s="61" t="n">
        <f aca="false">SUMPRODUCT(LEN(D468:J468))</f>
        <v>0</v>
      </c>
      <c r="L468" s="62"/>
    </row>
    <row r="469" customFormat="false" ht="15" hidden="false" customHeight="false" outlineLevel="0" collapsed="false">
      <c r="B469" s="71" t="s">
        <v>56</v>
      </c>
      <c r="C469" s="59" t="s">
        <v>11</v>
      </c>
      <c r="D469" s="60"/>
      <c r="E469" s="60"/>
      <c r="F469" s="60"/>
      <c r="G469" s="60"/>
      <c r="H469" s="60"/>
      <c r="I469" s="60"/>
      <c r="J469" s="60"/>
      <c r="K469" s="61" t="n">
        <f aca="false">SUMPRODUCT(LEN(D469:J469))</f>
        <v>0</v>
      </c>
      <c r="L469" s="62" t="n">
        <f aca="false">SUM(K469:K471)</f>
        <v>2</v>
      </c>
    </row>
    <row r="470" customFormat="false" ht="15" hidden="false" customHeight="false" outlineLevel="0" collapsed="false">
      <c r="B470" s="71"/>
      <c r="C470" s="59" t="s">
        <v>19</v>
      </c>
      <c r="D470" s="60"/>
      <c r="E470" s="60"/>
      <c r="F470" s="60"/>
      <c r="G470" s="60"/>
      <c r="H470" s="60"/>
      <c r="I470" s="60"/>
      <c r="J470" s="60"/>
      <c r="K470" s="61" t="n">
        <f aca="false">SUMPRODUCT(LEN(D470:J470))</f>
        <v>0</v>
      </c>
      <c r="L470" s="62"/>
    </row>
    <row r="471" customFormat="false" ht="15" hidden="false" customHeight="false" outlineLevel="0" collapsed="false">
      <c r="B471" s="71"/>
      <c r="C471" s="59" t="s">
        <v>24</v>
      </c>
      <c r="D471" s="60"/>
      <c r="E471" s="60" t="s">
        <v>185</v>
      </c>
      <c r="F471" s="60"/>
      <c r="G471" s="60"/>
      <c r="H471" s="60"/>
      <c r="I471" s="60" t="s">
        <v>185</v>
      </c>
      <c r="J471" s="60"/>
      <c r="K471" s="61" t="n">
        <f aca="false">SUMPRODUCT(LEN(D471:J471))</f>
        <v>2</v>
      </c>
      <c r="L471" s="62"/>
    </row>
    <row r="472" customFormat="false" ht="15" hidden="false" customHeight="false" outlineLevel="0" collapsed="false">
      <c r="B472" s="72" t="s">
        <v>59</v>
      </c>
      <c r="C472" s="59" t="s">
        <v>11</v>
      </c>
      <c r="D472" s="60"/>
      <c r="E472" s="60"/>
      <c r="F472" s="60"/>
      <c r="G472" s="60"/>
      <c r="H472" s="60"/>
      <c r="I472" s="60"/>
      <c r="J472" s="60"/>
      <c r="K472" s="61" t="n">
        <f aca="false">SUMPRODUCT(LEN(D472:J472))</f>
        <v>0</v>
      </c>
      <c r="L472" s="62" t="n">
        <f aca="false">SUM(K472:K474)</f>
        <v>7</v>
      </c>
    </row>
    <row r="473" customFormat="false" ht="15" hidden="false" customHeight="false" outlineLevel="0" collapsed="false">
      <c r="B473" s="72"/>
      <c r="C473" s="59" t="s">
        <v>19</v>
      </c>
      <c r="D473" s="60"/>
      <c r="E473" s="60"/>
      <c r="F473" s="60"/>
      <c r="G473" s="60"/>
      <c r="H473" s="60"/>
      <c r="I473" s="60"/>
      <c r="J473" s="60"/>
      <c r="K473" s="61" t="n">
        <f aca="false">SUMPRODUCT(LEN(D473:J473))</f>
        <v>0</v>
      </c>
      <c r="L473" s="62"/>
    </row>
    <row r="474" customFormat="false" ht="15" hidden="false" customHeight="false" outlineLevel="0" collapsed="false">
      <c r="B474" s="72"/>
      <c r="C474" s="59" t="s">
        <v>24</v>
      </c>
      <c r="D474" s="60" t="s">
        <v>185</v>
      </c>
      <c r="E474" s="60" t="s">
        <v>185</v>
      </c>
      <c r="F474" s="60" t="s">
        <v>185</v>
      </c>
      <c r="G474" s="60" t="s">
        <v>186</v>
      </c>
      <c r="H474" s="60" t="s">
        <v>185</v>
      </c>
      <c r="I474" s="60" t="s">
        <v>185</v>
      </c>
      <c r="J474" s="60"/>
      <c r="K474" s="61" t="n">
        <f aca="false">SUMPRODUCT(LEN(D474:J474))</f>
        <v>7</v>
      </c>
      <c r="L474" s="62"/>
    </row>
    <row r="475" customFormat="false" ht="15" hidden="false" customHeight="false" outlineLevel="0" collapsed="false">
      <c r="B475" s="73" t="s">
        <v>62</v>
      </c>
      <c r="C475" s="59" t="s">
        <v>11</v>
      </c>
      <c r="D475" s="60"/>
      <c r="E475" s="60"/>
      <c r="F475" s="60"/>
      <c r="G475" s="60"/>
      <c r="H475" s="60"/>
      <c r="I475" s="60"/>
      <c r="J475" s="60"/>
      <c r="K475" s="61" t="n">
        <f aca="false">SUMPRODUCT(LEN(D475:J475))</f>
        <v>0</v>
      </c>
      <c r="L475" s="62" t="n">
        <f aca="false">SUM(K475:K477)</f>
        <v>2</v>
      </c>
    </row>
    <row r="476" customFormat="false" ht="15" hidden="false" customHeight="false" outlineLevel="0" collapsed="false">
      <c r="B476" s="73"/>
      <c r="C476" s="59" t="s">
        <v>19</v>
      </c>
      <c r="D476" s="60"/>
      <c r="E476" s="60"/>
      <c r="F476" s="60"/>
      <c r="G476" s="60"/>
      <c r="H476" s="60"/>
      <c r="I476" s="60"/>
      <c r="J476" s="60"/>
      <c r="K476" s="61" t="n">
        <f aca="false">SUMPRODUCT(LEN(D476:J476))</f>
        <v>0</v>
      </c>
      <c r="L476" s="62"/>
    </row>
    <row r="477" customFormat="false" ht="15" hidden="false" customHeight="false" outlineLevel="0" collapsed="false">
      <c r="B477" s="73"/>
      <c r="C477" s="59" t="s">
        <v>24</v>
      </c>
      <c r="D477" s="60"/>
      <c r="E477" s="60"/>
      <c r="F477" s="60" t="s">
        <v>185</v>
      </c>
      <c r="G477" s="60"/>
      <c r="H477" s="60"/>
      <c r="I477" s="60"/>
      <c r="J477" s="60" t="s">
        <v>185</v>
      </c>
      <c r="K477" s="61" t="n">
        <f aca="false">SUMPRODUCT(LEN(D477:J477))</f>
        <v>2</v>
      </c>
      <c r="L477" s="62"/>
    </row>
  </sheetData>
  <mergeCells count="303">
    <mergeCell ref="B1:L1"/>
    <mergeCell ref="B2:L4"/>
    <mergeCell ref="C6:D6"/>
    <mergeCell ref="B11:J11"/>
    <mergeCell ref="B13:B15"/>
    <mergeCell ref="L13:L15"/>
    <mergeCell ref="B16:B18"/>
    <mergeCell ref="L16:L18"/>
    <mergeCell ref="B19:B21"/>
    <mergeCell ref="L19:L21"/>
    <mergeCell ref="B22:B24"/>
    <mergeCell ref="L22:L24"/>
    <mergeCell ref="B25:B27"/>
    <mergeCell ref="L25:L27"/>
    <mergeCell ref="B28:B30"/>
    <mergeCell ref="L28:L30"/>
    <mergeCell ref="B31:B33"/>
    <mergeCell ref="L31:L33"/>
    <mergeCell ref="B34:B36"/>
    <mergeCell ref="L34:L36"/>
    <mergeCell ref="B37:B39"/>
    <mergeCell ref="L37:L39"/>
    <mergeCell ref="B40:B42"/>
    <mergeCell ref="L40:L42"/>
    <mergeCell ref="B43:B45"/>
    <mergeCell ref="L43:L45"/>
    <mergeCell ref="B46:B48"/>
    <mergeCell ref="L46:L48"/>
    <mergeCell ref="B50:J50"/>
    <mergeCell ref="B52:B54"/>
    <mergeCell ref="L52:L54"/>
    <mergeCell ref="B55:B57"/>
    <mergeCell ref="L55:L57"/>
    <mergeCell ref="B58:B60"/>
    <mergeCell ref="L58:L60"/>
    <mergeCell ref="B61:B63"/>
    <mergeCell ref="L61:L63"/>
    <mergeCell ref="B64:B66"/>
    <mergeCell ref="L64:L66"/>
    <mergeCell ref="B67:B69"/>
    <mergeCell ref="L67:L69"/>
    <mergeCell ref="B70:B72"/>
    <mergeCell ref="L70:L72"/>
    <mergeCell ref="B73:B75"/>
    <mergeCell ref="L73:L75"/>
    <mergeCell ref="B76:B78"/>
    <mergeCell ref="L76:L78"/>
    <mergeCell ref="B79:B81"/>
    <mergeCell ref="L79:L81"/>
    <mergeCell ref="B82:B84"/>
    <mergeCell ref="L82:L84"/>
    <mergeCell ref="B85:B87"/>
    <mergeCell ref="L85:L87"/>
    <mergeCell ref="B89:J89"/>
    <mergeCell ref="B91:B93"/>
    <mergeCell ref="L91:L93"/>
    <mergeCell ref="B94:B96"/>
    <mergeCell ref="L94:L96"/>
    <mergeCell ref="B97:B99"/>
    <mergeCell ref="L97:L99"/>
    <mergeCell ref="B100:B102"/>
    <mergeCell ref="L100:L102"/>
    <mergeCell ref="B103:B105"/>
    <mergeCell ref="L103:L105"/>
    <mergeCell ref="B106:B108"/>
    <mergeCell ref="L106:L108"/>
    <mergeCell ref="B109:B111"/>
    <mergeCell ref="L109:L111"/>
    <mergeCell ref="B112:B114"/>
    <mergeCell ref="L112:L114"/>
    <mergeCell ref="B115:B117"/>
    <mergeCell ref="L115:L117"/>
    <mergeCell ref="B118:B120"/>
    <mergeCell ref="L118:L120"/>
    <mergeCell ref="B121:B123"/>
    <mergeCell ref="L121:L123"/>
    <mergeCell ref="B124:B126"/>
    <mergeCell ref="L124:L126"/>
    <mergeCell ref="B128:J128"/>
    <mergeCell ref="B130:B132"/>
    <mergeCell ref="L130:L132"/>
    <mergeCell ref="B133:B135"/>
    <mergeCell ref="L133:L135"/>
    <mergeCell ref="B136:B138"/>
    <mergeCell ref="L136:L138"/>
    <mergeCell ref="B139:B141"/>
    <mergeCell ref="L139:L141"/>
    <mergeCell ref="B142:B144"/>
    <mergeCell ref="L142:L144"/>
    <mergeCell ref="B145:B147"/>
    <mergeCell ref="L145:L147"/>
    <mergeCell ref="B148:B150"/>
    <mergeCell ref="L148:L150"/>
    <mergeCell ref="B151:B153"/>
    <mergeCell ref="L151:L153"/>
    <mergeCell ref="B154:B156"/>
    <mergeCell ref="L154:L156"/>
    <mergeCell ref="B157:B159"/>
    <mergeCell ref="L157:L159"/>
    <mergeCell ref="B160:B162"/>
    <mergeCell ref="L160:L162"/>
    <mergeCell ref="B163:B165"/>
    <mergeCell ref="L163:L165"/>
    <mergeCell ref="B167:J167"/>
    <mergeCell ref="B169:B171"/>
    <mergeCell ref="L169:L171"/>
    <mergeCell ref="B172:B174"/>
    <mergeCell ref="L172:L174"/>
    <mergeCell ref="B175:B177"/>
    <mergeCell ref="L175:L177"/>
    <mergeCell ref="B178:B180"/>
    <mergeCell ref="L178:L180"/>
    <mergeCell ref="B181:B183"/>
    <mergeCell ref="L181:L183"/>
    <mergeCell ref="B184:B186"/>
    <mergeCell ref="L184:L186"/>
    <mergeCell ref="B187:B189"/>
    <mergeCell ref="L187:L189"/>
    <mergeCell ref="B190:B192"/>
    <mergeCell ref="L190:L192"/>
    <mergeCell ref="B193:B195"/>
    <mergeCell ref="L193:L195"/>
    <mergeCell ref="B196:B198"/>
    <mergeCell ref="L196:L198"/>
    <mergeCell ref="B199:B201"/>
    <mergeCell ref="L199:L201"/>
    <mergeCell ref="B202:B204"/>
    <mergeCell ref="L202:L204"/>
    <mergeCell ref="B206:J206"/>
    <mergeCell ref="B208:B210"/>
    <mergeCell ref="L208:L210"/>
    <mergeCell ref="B211:B213"/>
    <mergeCell ref="L211:L213"/>
    <mergeCell ref="B214:B216"/>
    <mergeCell ref="L214:L216"/>
    <mergeCell ref="B217:B219"/>
    <mergeCell ref="L217:L219"/>
    <mergeCell ref="B220:B222"/>
    <mergeCell ref="L220:L222"/>
    <mergeCell ref="B223:B225"/>
    <mergeCell ref="L223:L225"/>
    <mergeCell ref="B226:B228"/>
    <mergeCell ref="L226:L228"/>
    <mergeCell ref="B229:B231"/>
    <mergeCell ref="L229:L231"/>
    <mergeCell ref="B232:B234"/>
    <mergeCell ref="L232:L234"/>
    <mergeCell ref="B235:B237"/>
    <mergeCell ref="L235:L237"/>
    <mergeCell ref="B238:B240"/>
    <mergeCell ref="L238:L240"/>
    <mergeCell ref="B241:B243"/>
    <mergeCell ref="L241:L243"/>
    <mergeCell ref="B245:J245"/>
    <mergeCell ref="B247:B249"/>
    <mergeCell ref="L247:L249"/>
    <mergeCell ref="B250:B252"/>
    <mergeCell ref="L250:L252"/>
    <mergeCell ref="B253:B255"/>
    <mergeCell ref="L253:L255"/>
    <mergeCell ref="B256:B258"/>
    <mergeCell ref="L256:L258"/>
    <mergeCell ref="B259:B261"/>
    <mergeCell ref="L259:L261"/>
    <mergeCell ref="B262:B264"/>
    <mergeCell ref="L262:L264"/>
    <mergeCell ref="B265:B267"/>
    <mergeCell ref="L265:L267"/>
    <mergeCell ref="B268:B270"/>
    <mergeCell ref="L268:L270"/>
    <mergeCell ref="B271:B273"/>
    <mergeCell ref="L271:L273"/>
    <mergeCell ref="B274:B276"/>
    <mergeCell ref="L274:L276"/>
    <mergeCell ref="B277:B279"/>
    <mergeCell ref="L277:L279"/>
    <mergeCell ref="B280:B282"/>
    <mergeCell ref="L280:L282"/>
    <mergeCell ref="B284:J284"/>
    <mergeCell ref="B286:B288"/>
    <mergeCell ref="L286:L288"/>
    <mergeCell ref="B289:B291"/>
    <mergeCell ref="L289:L291"/>
    <mergeCell ref="B292:B294"/>
    <mergeCell ref="L292:L294"/>
    <mergeCell ref="B295:B297"/>
    <mergeCell ref="L295:L297"/>
    <mergeCell ref="B298:B300"/>
    <mergeCell ref="L298:L300"/>
    <mergeCell ref="B301:B303"/>
    <mergeCell ref="L301:L303"/>
    <mergeCell ref="B304:B306"/>
    <mergeCell ref="L304:L306"/>
    <mergeCell ref="B307:B309"/>
    <mergeCell ref="L307:L309"/>
    <mergeCell ref="B310:B312"/>
    <mergeCell ref="L310:L312"/>
    <mergeCell ref="B313:B315"/>
    <mergeCell ref="L313:L315"/>
    <mergeCell ref="B316:B318"/>
    <mergeCell ref="L316:L318"/>
    <mergeCell ref="B319:B321"/>
    <mergeCell ref="L319:L321"/>
    <mergeCell ref="B323:J323"/>
    <mergeCell ref="B325:B327"/>
    <mergeCell ref="L325:L327"/>
    <mergeCell ref="B328:B330"/>
    <mergeCell ref="L328:L330"/>
    <mergeCell ref="B331:B333"/>
    <mergeCell ref="L331:L333"/>
    <mergeCell ref="B334:B336"/>
    <mergeCell ref="L334:L336"/>
    <mergeCell ref="B337:B339"/>
    <mergeCell ref="L337:L339"/>
    <mergeCell ref="B340:B342"/>
    <mergeCell ref="L340:L342"/>
    <mergeCell ref="B343:B345"/>
    <mergeCell ref="L343:L345"/>
    <mergeCell ref="B346:B348"/>
    <mergeCell ref="L346:L348"/>
    <mergeCell ref="B349:B351"/>
    <mergeCell ref="L349:L351"/>
    <mergeCell ref="B352:B354"/>
    <mergeCell ref="L352:L354"/>
    <mergeCell ref="B355:B357"/>
    <mergeCell ref="L355:L357"/>
    <mergeCell ref="B358:B360"/>
    <mergeCell ref="L358:L360"/>
    <mergeCell ref="B362:J362"/>
    <mergeCell ref="B364:B366"/>
    <mergeCell ref="L364:L366"/>
    <mergeCell ref="B367:B369"/>
    <mergeCell ref="L367:L369"/>
    <mergeCell ref="B370:B372"/>
    <mergeCell ref="L370:L372"/>
    <mergeCell ref="B373:B375"/>
    <mergeCell ref="L373:L375"/>
    <mergeCell ref="B376:B378"/>
    <mergeCell ref="L376:L378"/>
    <mergeCell ref="B379:B381"/>
    <mergeCell ref="L379:L381"/>
    <mergeCell ref="B382:B384"/>
    <mergeCell ref="L382:L384"/>
    <mergeCell ref="B385:B387"/>
    <mergeCell ref="L385:L387"/>
    <mergeCell ref="B388:B390"/>
    <mergeCell ref="L388:L390"/>
    <mergeCell ref="B391:B393"/>
    <mergeCell ref="L391:L393"/>
    <mergeCell ref="B394:B396"/>
    <mergeCell ref="L394:L396"/>
    <mergeCell ref="B397:B399"/>
    <mergeCell ref="L397:L399"/>
    <mergeCell ref="B401:J401"/>
    <mergeCell ref="B403:B405"/>
    <mergeCell ref="L403:L405"/>
    <mergeCell ref="B406:B408"/>
    <mergeCell ref="L406:L408"/>
    <mergeCell ref="B409:B411"/>
    <mergeCell ref="L409:L411"/>
    <mergeCell ref="B412:B414"/>
    <mergeCell ref="L412:L414"/>
    <mergeCell ref="B415:B417"/>
    <mergeCell ref="L415:L417"/>
    <mergeCell ref="B418:B420"/>
    <mergeCell ref="L418:L420"/>
    <mergeCell ref="B421:B423"/>
    <mergeCell ref="L421:L423"/>
    <mergeCell ref="B424:B426"/>
    <mergeCell ref="L424:L426"/>
    <mergeCell ref="B427:B429"/>
    <mergeCell ref="L427:L429"/>
    <mergeCell ref="B430:B432"/>
    <mergeCell ref="L430:L432"/>
    <mergeCell ref="B433:B435"/>
    <mergeCell ref="L433:L435"/>
    <mergeCell ref="B436:B438"/>
    <mergeCell ref="L436:L438"/>
    <mergeCell ref="B440:J440"/>
    <mergeCell ref="B442:B444"/>
    <mergeCell ref="L442:L444"/>
    <mergeCell ref="B445:B447"/>
    <mergeCell ref="L445:L447"/>
    <mergeCell ref="B448:B450"/>
    <mergeCell ref="L448:L450"/>
    <mergeCell ref="B451:B453"/>
    <mergeCell ref="L451:L453"/>
    <mergeCell ref="B454:B456"/>
    <mergeCell ref="L454:L456"/>
    <mergeCell ref="B457:B459"/>
    <mergeCell ref="L457:L459"/>
    <mergeCell ref="B460:B462"/>
    <mergeCell ref="L460:L462"/>
    <mergeCell ref="B463:B465"/>
    <mergeCell ref="L463:L465"/>
    <mergeCell ref="B466:B468"/>
    <mergeCell ref="L466:L468"/>
    <mergeCell ref="B469:B471"/>
    <mergeCell ref="L469:L471"/>
    <mergeCell ref="B472:B474"/>
    <mergeCell ref="L472:L474"/>
    <mergeCell ref="B475:B477"/>
    <mergeCell ref="L475:L477"/>
  </mergeCells>
  <conditionalFormatting sqref="D13:J48 D52:J87 D91:J126 D130:J165 D169:J204 D208:J243 D247:J282 D286:J321 D325:J360 D364:J399 D403:J438 D442:J477">
    <cfRule type="expression" priority="2" aboveAverage="0" equalAverage="0" bottom="0" percent="0" rank="0" text="" dxfId="14">
      <formula>LEN(D13)&gt;1</formula>
    </cfRule>
    <cfRule type="expression" priority="3" aboveAverage="0" equalAverage="0" bottom="0" percent="0" rank="0" text="" dxfId="15">
      <formula>D13&lt;&gt;""</formula>
    </cfRule>
  </conditionalFormatting>
  <conditionalFormatting sqref="B11:L11">
    <cfRule type="expression" priority="4" aboveAverage="0" equalAverage="0" bottom="0" percent="0" rank="0" text="" dxfId="16">
      <formula>$C$6="avril 2027"</formula>
    </cfRule>
  </conditionalFormatting>
  <conditionalFormatting sqref="B50:L50">
    <cfRule type="expression" priority="5" aboveAverage="0" equalAverage="0" bottom="0" percent="0" rank="0" text="" dxfId="16">
      <formula>$C$6="mai 2027"</formula>
    </cfRule>
  </conditionalFormatting>
  <conditionalFormatting sqref="B89:L89">
    <cfRule type="expression" priority="6" aboveAverage="0" equalAverage="0" bottom="0" percent="0" rank="0" text="" dxfId="16">
      <formula>$C$6="juin 2027"</formula>
    </cfRule>
  </conditionalFormatting>
  <conditionalFormatting sqref="B128:L128">
    <cfRule type="expression" priority="7" aboveAverage="0" equalAverage="0" bottom="0" percent="0" rank="0" text="" dxfId="16">
      <formula>$C$6="juillet 2027"</formula>
    </cfRule>
  </conditionalFormatting>
  <conditionalFormatting sqref="B167:L167">
    <cfRule type="expression" priority="8" aboveAverage="0" equalAverage="0" bottom="0" percent="0" rank="0" text="" dxfId="16">
      <formula>$C$6="aout 2027"</formula>
    </cfRule>
  </conditionalFormatting>
  <conditionalFormatting sqref="B206:L206">
    <cfRule type="expression" priority="9" aboveAverage="0" equalAverage="0" bottom="0" percent="0" rank="0" text="" dxfId="16">
      <formula>$C$6="septembre 2027"</formula>
    </cfRule>
  </conditionalFormatting>
  <conditionalFormatting sqref="B245:L245">
    <cfRule type="expression" priority="10" aboveAverage="0" equalAverage="0" bottom="0" percent="0" rank="0" text="" dxfId="16">
      <formula>$C$6="octobre 2027"</formula>
    </cfRule>
  </conditionalFormatting>
  <conditionalFormatting sqref="B284:L284">
    <cfRule type="expression" priority="11" aboveAverage="0" equalAverage="0" bottom="0" percent="0" rank="0" text="" dxfId="16">
      <formula>$C$6="novembre 2027"</formula>
    </cfRule>
  </conditionalFormatting>
  <conditionalFormatting sqref="B323:L323">
    <cfRule type="expression" priority="12" aboveAverage="0" equalAverage="0" bottom="0" percent="0" rank="0" text="" dxfId="16">
      <formula>$C$6="decembre 2027"</formula>
    </cfRule>
  </conditionalFormatting>
  <conditionalFormatting sqref="B362:L362">
    <cfRule type="expression" priority="13" aboveAverage="0" equalAverage="0" bottom="0" percent="0" rank="0" text="" dxfId="16">
      <formula>$C$6="janvier 2028"</formula>
    </cfRule>
  </conditionalFormatting>
  <conditionalFormatting sqref="B401:L401">
    <cfRule type="expression" priority="14" aboveAverage="0" equalAverage="0" bottom="0" percent="0" rank="0" text="" dxfId="16">
      <formula>$C$6="fevrier 2028"</formula>
    </cfRule>
  </conditionalFormatting>
  <conditionalFormatting sqref="B440:L440">
    <cfRule type="expression" priority="15" aboveAverage="0" equalAverage="0" bottom="0" percent="0" rank="0" text="" dxfId="16">
      <formula>$C$6="mars 2028"</formula>
    </cfRule>
  </conditionalFormatting>
  <dataValidations count="1">
    <dataValidation allowBlank="true" error="Un caractere par rotation : 0 (ou x) = retour le jour meme, 1 = J+1, 2 = J+2, 3 = J+3.&#10;Exemples : 0 | 1 | 01 | 00. Maximum 4 rotations par jour et par type." errorStyle="stop" errorTitle="Code de rotation invalide" operator="between" showDropDown="false" showErrorMessage="false" showInputMessage="false" sqref="D13:J48 D52:J87 D91:J126 D130:J165 D169:J204 D208:J243 D247:J282 D286:J321 D325:J360 D364:J399 D403:J438 D442:J477" type="custom">
      <formula1>AND(LEN(D13)&lt;=4,LEN(SUBSTITUTE(SUBSTITUTE(SUBSTITUTE(SUBSTITUTE(SUBSTITUTE(UPPER(D13),"X","0"),"0",""),"1",""),"2",""),"3",""))=0)</formula1>
      <formula2>0</formula2>
    </dataValidation>
  </dataValidations>
  <hyperlinks>
    <hyperlink ref="E6" location="'Programme de vols'!B1" display="&lt;&lt; retour a la feuille Programme de vols"/>
    <hyperlink ref="C8" location="'Saisie programme'!B11" display="avril 2027"/>
    <hyperlink ref="D8" location="'Saisie programme'!B50" display="mai 2027"/>
    <hyperlink ref="E8" location="'Saisie programme'!B89" display="juin 2027"/>
    <hyperlink ref="F8" location="'Saisie programme'!B128" display="juillet 2027"/>
    <hyperlink ref="G8" location="'Saisie programme'!B167" display="aout 2027"/>
    <hyperlink ref="H8" location="'Saisie programme'!B206" display="septembre 2027"/>
    <hyperlink ref="C9" location="'Saisie programme'!B245" display="octobre 2027"/>
    <hyperlink ref="D9" location="'Saisie programme'!B284" display="novembre 2027"/>
    <hyperlink ref="E9" location="'Saisie programme'!B323" display="decembre 2027"/>
    <hyperlink ref="F9" location="'Saisie programme'!B362" display="janvier 2028"/>
    <hyperlink ref="G9" location="'Saisie programme'!B401" display="fevrier 2028"/>
    <hyperlink ref="H9" location="'Saisie programme'!B440" display="mars 2028"/>
    <hyperlink ref="L11" location="'Saisie programme'!B1" display="^ Haut de la feuille"/>
    <hyperlink ref="L50" location="'Saisie programme'!B1" display="^ Haut de la feuille"/>
    <hyperlink ref="L89" location="'Saisie programme'!B1" display="^ Haut de la feuille"/>
    <hyperlink ref="L128" location="'Saisie programme'!B1" display="^ Haut de la feuille"/>
    <hyperlink ref="L167" location="'Saisie programme'!B1" display="^ Haut de la feuille"/>
    <hyperlink ref="L206" location="'Saisie programme'!B1" display="^ Haut de la feuille"/>
    <hyperlink ref="L245" location="'Saisie programme'!B1" display="^ Haut de la feuille"/>
    <hyperlink ref="L284" location="'Saisie programme'!B1" display="^ Haut de la feuille"/>
    <hyperlink ref="L323" location="'Saisie programme'!B1" display="^ Haut de la feuille"/>
    <hyperlink ref="L362" location="'Saisie programme'!B1" display="^ Haut de la feuille"/>
    <hyperlink ref="L401" location="'Saisie programme'!B1" display="^ Haut de la feuille"/>
    <hyperlink ref="L440" location="'Saisie programme'!B1" display="^ Haut de la feuill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8"/>
    <col collapsed="false" customWidth="true" hidden="false" outlineLevel="0" max="4" min="3" style="0" width="14"/>
    <col collapsed="false" customWidth="true" hidden="false" outlineLevel="0" max="5" min="5" style="0" width="16"/>
    <col collapsed="false" customWidth="true" hidden="false" outlineLevel="0" max="6" min="6" style="0" width="12"/>
    <col collapsed="false" customWidth="true" hidden="false" outlineLevel="0" max="7" min="7" style="0" width="52"/>
    <col collapsed="false" customWidth="true" hidden="false" outlineLevel="0" max="8" min="8" style="0" width="3"/>
    <col collapsed="false" customWidth="true" hidden="false" outlineLevel="0" max="9" min="9" style="0" width="16"/>
    <col collapsed="false" customWidth="true" hidden="false" outlineLevel="0" max="10" min="10" style="0" width="18"/>
    <col collapsed="false" customWidth="true" hidden="false" outlineLevel="0" max="11" min="11" style="0" width="16"/>
    <col collapsed="false" customWidth="true" hidden="false" outlineLevel="0" max="12" min="12" style="0" width="18"/>
    <col collapsed="false" customWidth="true" hidden="false" outlineLevel="0" max="13" min="13" style="0" width="3"/>
    <col collapsed="false" customWidth="true" hidden="false" outlineLevel="0" max="14" min="14" style="0" width="12"/>
    <col collapsed="false" customWidth="true" hidden="false" outlineLevel="0" max="15" min="15" style="0" width="10"/>
  </cols>
  <sheetData>
    <row r="1" customFormat="false" ht="30" hidden="false" customHeight="true" outlineLevel="0" collapsed="false">
      <c r="B1" s="48" t="s">
        <v>187</v>
      </c>
      <c r="C1" s="48"/>
      <c r="D1" s="48"/>
      <c r="E1" s="48"/>
      <c r="F1" s="48"/>
      <c r="G1" s="48"/>
    </row>
    <row r="2" customFormat="false" ht="55.5" hidden="false" customHeight="true" outlineLevel="0" collapsed="false">
      <c r="B2" s="49" t="s">
        <v>188</v>
      </c>
      <c r="C2" s="49"/>
      <c r="D2" s="49"/>
      <c r="E2" s="49"/>
      <c r="F2" s="49"/>
      <c r="G2" s="49"/>
    </row>
    <row r="3" customFormat="false" ht="15" hidden="false" customHeight="false" outlineLevel="0" collapsed="false">
      <c r="B3" s="49"/>
      <c r="C3" s="49"/>
      <c r="D3" s="49"/>
      <c r="E3" s="49"/>
      <c r="F3" s="49"/>
      <c r="G3" s="49"/>
    </row>
    <row r="4" customFormat="false" ht="15" hidden="false" customHeight="false" outlineLevel="0" collapsed="false">
      <c r="B4" s="49"/>
      <c r="C4" s="49"/>
      <c r="D4" s="49"/>
      <c r="E4" s="49"/>
      <c r="F4" s="49"/>
      <c r="G4" s="49"/>
    </row>
    <row r="5" customFormat="false" ht="15" hidden="false" customHeight="false" outlineLevel="0" collapsed="false">
      <c r="B5" s="13" t="s">
        <v>176</v>
      </c>
    </row>
    <row r="6" customFormat="false" ht="39.75" hidden="false" customHeight="true" outlineLevel="0" collapsed="false">
      <c r="B6" s="74" t="s">
        <v>189</v>
      </c>
      <c r="C6" s="74" t="s">
        <v>84</v>
      </c>
      <c r="D6" s="74" t="s">
        <v>180</v>
      </c>
      <c r="E6" s="74" t="s">
        <v>190</v>
      </c>
      <c r="F6" s="74" t="s">
        <v>191</v>
      </c>
      <c r="G6" s="74" t="s">
        <v>192</v>
      </c>
      <c r="I6" s="75" t="s">
        <v>193</v>
      </c>
      <c r="J6" s="75" t="s">
        <v>194</v>
      </c>
      <c r="K6" s="75" t="s">
        <v>195</v>
      </c>
      <c r="L6" s="75" t="s">
        <v>196</v>
      </c>
      <c r="N6" s="76" t="s">
        <v>6</v>
      </c>
      <c r="O6" s="76" t="s">
        <v>197</v>
      </c>
    </row>
    <row r="7" customFormat="false" ht="15" hidden="false" customHeight="false" outlineLevel="0" collapsed="false">
      <c r="B7" s="77"/>
      <c r="C7" s="78"/>
      <c r="D7" s="78"/>
      <c r="E7" s="79"/>
      <c r="F7" s="80"/>
      <c r="G7" s="81"/>
      <c r="I7" s="82" t="str">
        <f aca="false">IF($B7="","",$B7+N($F7))</f>
        <v/>
      </c>
      <c r="J7" s="83" t="str">
        <f aca="false">IF(OR($B7="",$C7=""),"",$B7&amp;"|"&amp;$C7)</f>
        <v/>
      </c>
      <c r="K7" s="82" t="str">
        <f aca="false">IF(OR($B7="",N($F7)=0),"",$B7+$F7)</f>
        <v/>
      </c>
      <c r="L7" s="83" t="str">
        <f aca="false">IF(OR($K7="",$C7=""),"",$K7&amp;"|"&amp;$C7)</f>
        <v/>
      </c>
      <c r="N7" s="12" t="s">
        <v>12</v>
      </c>
      <c r="O7" s="12" t="s">
        <v>11</v>
      </c>
    </row>
    <row r="8" customFormat="false" ht="15" hidden="false" customHeight="false" outlineLevel="0" collapsed="false">
      <c r="B8" s="77"/>
      <c r="C8" s="78"/>
      <c r="D8" s="78"/>
      <c r="E8" s="79"/>
      <c r="F8" s="80"/>
      <c r="G8" s="81"/>
      <c r="I8" s="82" t="str">
        <f aca="false">IF($B8="","",$B8+N($F8))</f>
        <v/>
      </c>
      <c r="J8" s="83" t="str">
        <f aca="false">IF(OR($B8="",$C8=""),"",$B8&amp;"|"&amp;$C8)</f>
        <v/>
      </c>
      <c r="K8" s="82" t="str">
        <f aca="false">IF(OR($B8="",N($F8)=0),"",$B8+$F8)</f>
        <v/>
      </c>
      <c r="L8" s="83" t="str">
        <f aca="false">IF(OR($K8="",$C8=""),"",$K8&amp;"|"&amp;$C8)</f>
        <v/>
      </c>
      <c r="N8" s="12" t="s">
        <v>20</v>
      </c>
      <c r="O8" s="12" t="s">
        <v>19</v>
      </c>
    </row>
    <row r="9" customFormat="false" ht="15" hidden="false" customHeight="false" outlineLevel="0" collapsed="false">
      <c r="B9" s="77"/>
      <c r="C9" s="78"/>
      <c r="D9" s="78"/>
      <c r="E9" s="79"/>
      <c r="F9" s="80"/>
      <c r="G9" s="81"/>
      <c r="I9" s="82" t="str">
        <f aca="false">IF($B9="","",$B9+N($F9))</f>
        <v/>
      </c>
      <c r="J9" s="83" t="str">
        <f aca="false">IF(OR($B9="",$C9=""),"",$B9&amp;"|"&amp;$C9)</f>
        <v/>
      </c>
      <c r="K9" s="82" t="str">
        <f aca="false">IF(OR($B9="",N($F9)=0),"",$B9+$F9)</f>
        <v/>
      </c>
      <c r="L9" s="83" t="str">
        <f aca="false">IF(OR($K9="",$C9=""),"",$K9&amp;"|"&amp;$C9)</f>
        <v/>
      </c>
      <c r="N9" s="12" t="s">
        <v>25</v>
      </c>
      <c r="O9" s="12" t="s">
        <v>24</v>
      </c>
    </row>
    <row r="10" customFormat="false" ht="15" hidden="false" customHeight="false" outlineLevel="0" collapsed="false">
      <c r="B10" s="77"/>
      <c r="C10" s="78"/>
      <c r="D10" s="78"/>
      <c r="E10" s="79"/>
      <c r="F10" s="80"/>
      <c r="G10" s="81"/>
      <c r="I10" s="82" t="str">
        <f aca="false">IF($B10="","",$B10+N($F10))</f>
        <v/>
      </c>
      <c r="J10" s="83" t="str">
        <f aca="false">IF(OR($B10="",$C10=""),"",$B10&amp;"|"&amp;$C10)</f>
        <v/>
      </c>
      <c r="K10" s="82" t="str">
        <f aca="false">IF(OR($B10="",N($F10)=0),"",$B10+$F10)</f>
        <v/>
      </c>
      <c r="L10" s="83" t="str">
        <f aca="false">IF(OR($K10="",$C10=""),"",$K10&amp;"|"&amp;$C10)</f>
        <v/>
      </c>
      <c r="N10" s="12" t="s">
        <v>36</v>
      </c>
    </row>
    <row r="11" customFormat="false" ht="15" hidden="false" customHeight="false" outlineLevel="0" collapsed="false">
      <c r="B11" s="77"/>
      <c r="C11" s="78"/>
      <c r="D11" s="78"/>
      <c r="E11" s="79"/>
      <c r="F11" s="80"/>
      <c r="G11" s="81"/>
      <c r="I11" s="82" t="str">
        <f aca="false">IF($B11="","",$B11+N($F11))</f>
        <v/>
      </c>
      <c r="J11" s="83" t="str">
        <f aca="false">IF(OR($B11="",$C11=""),"",$B11&amp;"|"&amp;$C11)</f>
        <v/>
      </c>
      <c r="K11" s="82" t="str">
        <f aca="false">IF(OR($B11="",N($F11)=0),"",$B11+$F11)</f>
        <v/>
      </c>
      <c r="L11" s="83" t="str">
        <f aca="false">IF(OR($K11="",$C11=""),"",$K11&amp;"|"&amp;$C11)</f>
        <v/>
      </c>
      <c r="N11" s="12" t="s">
        <v>40</v>
      </c>
    </row>
    <row r="12" customFormat="false" ht="15" hidden="false" customHeight="false" outlineLevel="0" collapsed="false">
      <c r="B12" s="77"/>
      <c r="C12" s="78"/>
      <c r="D12" s="78"/>
      <c r="E12" s="79"/>
      <c r="F12" s="80"/>
      <c r="G12" s="81"/>
      <c r="I12" s="82" t="str">
        <f aca="false">IF($B12="","",$B12+N($F12))</f>
        <v/>
      </c>
      <c r="J12" s="83" t="str">
        <f aca="false">IF(OR($B12="",$C12=""),"",$B12&amp;"|"&amp;$C12)</f>
        <v/>
      </c>
      <c r="K12" s="82" t="str">
        <f aca="false">IF(OR($B12="",N($F12)=0),"",$B12+$F12)</f>
        <v/>
      </c>
      <c r="L12" s="83" t="str">
        <f aca="false">IF(OR($K12="",$C12=""),"",$K12&amp;"|"&amp;$C12)</f>
        <v/>
      </c>
      <c r="N12" s="12" t="s">
        <v>14</v>
      </c>
    </row>
    <row r="13" customFormat="false" ht="15" hidden="false" customHeight="false" outlineLevel="0" collapsed="false">
      <c r="B13" s="77"/>
      <c r="C13" s="78"/>
      <c r="D13" s="78"/>
      <c r="E13" s="79"/>
      <c r="F13" s="80"/>
      <c r="G13" s="81"/>
      <c r="I13" s="82" t="str">
        <f aca="false">IF($B13="","",$B13+N($F13))</f>
        <v/>
      </c>
      <c r="J13" s="83" t="str">
        <f aca="false">IF(OR($B13="",$C13=""),"",$B13&amp;"|"&amp;$C13)</f>
        <v/>
      </c>
      <c r="K13" s="82" t="str">
        <f aca="false">IF(OR($B13="",N($F13)=0),"",$B13+$F13)</f>
        <v/>
      </c>
      <c r="L13" s="83" t="str">
        <f aca="false">IF(OR($K13="",$C13=""),"",$K13&amp;"|"&amp;$C13)</f>
        <v/>
      </c>
      <c r="N13" s="12" t="s">
        <v>46</v>
      </c>
    </row>
    <row r="14" customFormat="false" ht="15" hidden="false" customHeight="false" outlineLevel="0" collapsed="false">
      <c r="B14" s="77"/>
      <c r="C14" s="78"/>
      <c r="D14" s="78"/>
      <c r="E14" s="79"/>
      <c r="F14" s="80"/>
      <c r="G14" s="81"/>
      <c r="I14" s="82" t="str">
        <f aca="false">IF($B14="","",$B14+N($F14))</f>
        <v/>
      </c>
      <c r="J14" s="83" t="str">
        <f aca="false">IF(OR($B14="",$C14=""),"",$B14&amp;"|"&amp;$C14)</f>
        <v/>
      </c>
      <c r="K14" s="82" t="str">
        <f aca="false">IF(OR($B14="",N($F14)=0),"",$B14+$F14)</f>
        <v/>
      </c>
      <c r="L14" s="83" t="str">
        <f aca="false">IF(OR($K14="",$C14=""),"",$K14&amp;"|"&amp;$C14)</f>
        <v/>
      </c>
      <c r="N14" s="12" t="s">
        <v>49</v>
      </c>
    </row>
    <row r="15" customFormat="false" ht="15" hidden="false" customHeight="false" outlineLevel="0" collapsed="false">
      <c r="B15" s="77"/>
      <c r="C15" s="78"/>
      <c r="D15" s="78"/>
      <c r="E15" s="79"/>
      <c r="F15" s="80"/>
      <c r="G15" s="81"/>
      <c r="I15" s="82" t="str">
        <f aca="false">IF($B15="","",$B15+N($F15))</f>
        <v/>
      </c>
      <c r="J15" s="83" t="str">
        <f aca="false">IF(OR($B15="",$C15=""),"",$B15&amp;"|"&amp;$C15)</f>
        <v/>
      </c>
      <c r="K15" s="82" t="str">
        <f aca="false">IF(OR($B15="",N($F15)=0),"",$B15+$F15)</f>
        <v/>
      </c>
      <c r="L15" s="83" t="str">
        <f aca="false">IF(OR($K15="",$C15=""),"",$K15&amp;"|"&amp;$C15)</f>
        <v/>
      </c>
      <c r="N15" s="12" t="s">
        <v>53</v>
      </c>
    </row>
    <row r="16" customFormat="false" ht="15" hidden="false" customHeight="false" outlineLevel="0" collapsed="false">
      <c r="B16" s="77"/>
      <c r="C16" s="78"/>
      <c r="D16" s="78"/>
      <c r="E16" s="79"/>
      <c r="F16" s="80"/>
      <c r="G16" s="81"/>
      <c r="I16" s="82" t="str">
        <f aca="false">IF($B16="","",$B16+N($F16))</f>
        <v/>
      </c>
      <c r="J16" s="83" t="str">
        <f aca="false">IF(OR($B16="",$C16=""),"",$B16&amp;"|"&amp;$C16)</f>
        <v/>
      </c>
      <c r="K16" s="82" t="str">
        <f aca="false">IF(OR($B16="",N($F16)=0),"",$B16+$F16)</f>
        <v/>
      </c>
      <c r="L16" s="83" t="str">
        <f aca="false">IF(OR($K16="",$C16=""),"",$K16&amp;"|"&amp;$C16)</f>
        <v/>
      </c>
      <c r="N16" s="12" t="s">
        <v>56</v>
      </c>
    </row>
    <row r="17" customFormat="false" ht="15" hidden="false" customHeight="false" outlineLevel="0" collapsed="false">
      <c r="B17" s="77"/>
      <c r="C17" s="78"/>
      <c r="D17" s="78"/>
      <c r="E17" s="79"/>
      <c r="F17" s="80"/>
      <c r="G17" s="81"/>
      <c r="I17" s="82" t="str">
        <f aca="false">IF($B17="","",$B17+N($F17))</f>
        <v/>
      </c>
      <c r="J17" s="83" t="str">
        <f aca="false">IF(OR($B17="",$C17=""),"",$B17&amp;"|"&amp;$C17)</f>
        <v/>
      </c>
      <c r="K17" s="82" t="str">
        <f aca="false">IF(OR($B17="",N($F17)=0),"",$B17+$F17)</f>
        <v/>
      </c>
      <c r="L17" s="83" t="str">
        <f aca="false">IF(OR($K17="",$C17=""),"",$K17&amp;"|"&amp;$C17)</f>
        <v/>
      </c>
      <c r="N17" s="12" t="s">
        <v>59</v>
      </c>
    </row>
    <row r="18" customFormat="false" ht="15" hidden="false" customHeight="false" outlineLevel="0" collapsed="false">
      <c r="B18" s="77"/>
      <c r="C18" s="78"/>
      <c r="D18" s="78"/>
      <c r="E18" s="79"/>
      <c r="F18" s="80"/>
      <c r="G18" s="81"/>
      <c r="I18" s="82" t="str">
        <f aca="false">IF($B18="","",$B18+N($F18))</f>
        <v/>
      </c>
      <c r="J18" s="83" t="str">
        <f aca="false">IF(OR($B18="",$C18=""),"",$B18&amp;"|"&amp;$C18)</f>
        <v/>
      </c>
      <c r="K18" s="82" t="str">
        <f aca="false">IF(OR($B18="",N($F18)=0),"",$B18+$F18)</f>
        <v/>
      </c>
      <c r="L18" s="83" t="str">
        <f aca="false">IF(OR($K18="",$C18=""),"",$K18&amp;"|"&amp;$C18)</f>
        <v/>
      </c>
      <c r="N18" s="12" t="s">
        <v>62</v>
      </c>
    </row>
    <row r="19" customFormat="false" ht="15" hidden="false" customHeight="false" outlineLevel="0" collapsed="false">
      <c r="B19" s="77"/>
      <c r="C19" s="78"/>
      <c r="D19" s="78"/>
      <c r="E19" s="79"/>
      <c r="F19" s="80"/>
      <c r="G19" s="81"/>
      <c r="I19" s="82" t="str">
        <f aca="false">IF($B19="","",$B19+N($F19))</f>
        <v/>
      </c>
      <c r="J19" s="83" t="str">
        <f aca="false">IF(OR($B19="",$C19=""),"",$B19&amp;"|"&amp;$C19)</f>
        <v/>
      </c>
      <c r="K19" s="82" t="str">
        <f aca="false">IF(OR($B19="",N($F19)=0),"",$B19+$F19)</f>
        <v/>
      </c>
      <c r="L19" s="83" t="str">
        <f aca="false">IF(OR($K19="",$C19=""),"",$K19&amp;"|"&amp;$C19)</f>
        <v/>
      </c>
    </row>
    <row r="20" customFormat="false" ht="15" hidden="false" customHeight="false" outlineLevel="0" collapsed="false">
      <c r="B20" s="77"/>
      <c r="C20" s="78"/>
      <c r="D20" s="78"/>
      <c r="E20" s="79"/>
      <c r="F20" s="80"/>
      <c r="G20" s="81"/>
      <c r="I20" s="82" t="str">
        <f aca="false">IF($B20="","",$B20+N($F20))</f>
        <v/>
      </c>
      <c r="J20" s="83" t="str">
        <f aca="false">IF(OR($B20="",$C20=""),"",$B20&amp;"|"&amp;$C20)</f>
        <v/>
      </c>
      <c r="K20" s="82" t="str">
        <f aca="false">IF(OR($B20="",N($F20)=0),"",$B20+$F20)</f>
        <v/>
      </c>
      <c r="L20" s="83" t="str">
        <f aca="false">IF(OR($K20="",$C20=""),"",$K20&amp;"|"&amp;$C20)</f>
        <v/>
      </c>
      <c r="N20" s="84" t="s">
        <v>198</v>
      </c>
    </row>
    <row r="21" customFormat="false" ht="15" hidden="false" customHeight="false" outlineLevel="0" collapsed="false">
      <c r="B21" s="77"/>
      <c r="C21" s="78"/>
      <c r="D21" s="78"/>
      <c r="E21" s="79"/>
      <c r="F21" s="80"/>
      <c r="G21" s="81"/>
      <c r="I21" s="82" t="str">
        <f aca="false">IF($B21="","",$B21+N($F21))</f>
        <v/>
      </c>
      <c r="J21" s="83" t="str">
        <f aca="false">IF(OR($B21="",$C21=""),"",$B21&amp;"|"&amp;$C21)</f>
        <v/>
      </c>
      <c r="K21" s="82" t="str">
        <f aca="false">IF(OR($B21="",N($F21)=0),"",$B21+$F21)</f>
        <v/>
      </c>
      <c r="L21" s="83" t="str">
        <f aca="false">IF(OR($K21="",$C21=""),"",$K21&amp;"|"&amp;$C21)</f>
        <v/>
      </c>
    </row>
    <row r="22" customFormat="false" ht="15" hidden="false" customHeight="false" outlineLevel="0" collapsed="false">
      <c r="B22" s="77"/>
      <c r="C22" s="78"/>
      <c r="D22" s="78"/>
      <c r="E22" s="79"/>
      <c r="F22" s="80"/>
      <c r="G22" s="81"/>
      <c r="I22" s="82" t="str">
        <f aca="false">IF($B22="","",$B22+N($F22))</f>
        <v/>
      </c>
      <c r="J22" s="83" t="str">
        <f aca="false">IF(OR($B22="",$C22=""),"",$B22&amp;"|"&amp;$C22)</f>
        <v/>
      </c>
      <c r="K22" s="82" t="str">
        <f aca="false">IF(OR($B22="",N($F22)=0),"",$B22+$F22)</f>
        <v/>
      </c>
      <c r="L22" s="83" t="str">
        <f aca="false">IF(OR($K22="",$C22=""),"",$K22&amp;"|"&amp;$C22)</f>
        <v/>
      </c>
    </row>
    <row r="23" customFormat="false" ht="15" hidden="false" customHeight="false" outlineLevel="0" collapsed="false">
      <c r="B23" s="77"/>
      <c r="C23" s="78"/>
      <c r="D23" s="78"/>
      <c r="E23" s="79"/>
      <c r="F23" s="80"/>
      <c r="G23" s="81"/>
      <c r="I23" s="82" t="str">
        <f aca="false">IF($B23="","",$B23+N($F23))</f>
        <v/>
      </c>
      <c r="J23" s="83" t="str">
        <f aca="false">IF(OR($B23="",$C23=""),"",$B23&amp;"|"&amp;$C23)</f>
        <v/>
      </c>
      <c r="K23" s="82" t="str">
        <f aca="false">IF(OR($B23="",N($F23)=0),"",$B23+$F23)</f>
        <v/>
      </c>
      <c r="L23" s="83" t="str">
        <f aca="false">IF(OR($K23="",$C23=""),"",$K23&amp;"|"&amp;$C23)</f>
        <v/>
      </c>
    </row>
    <row r="24" customFormat="false" ht="15" hidden="false" customHeight="false" outlineLevel="0" collapsed="false">
      <c r="B24" s="77"/>
      <c r="C24" s="78"/>
      <c r="D24" s="78"/>
      <c r="E24" s="79"/>
      <c r="F24" s="80"/>
      <c r="G24" s="81"/>
      <c r="I24" s="82" t="str">
        <f aca="false">IF($B24="","",$B24+N($F24))</f>
        <v/>
      </c>
      <c r="J24" s="83" t="str">
        <f aca="false">IF(OR($B24="",$C24=""),"",$B24&amp;"|"&amp;$C24)</f>
        <v/>
      </c>
      <c r="K24" s="82" t="str">
        <f aca="false">IF(OR($B24="",N($F24)=0),"",$B24+$F24)</f>
        <v/>
      </c>
      <c r="L24" s="83" t="str">
        <f aca="false">IF(OR($K24="",$C24=""),"",$K24&amp;"|"&amp;$C24)</f>
        <v/>
      </c>
    </row>
    <row r="25" customFormat="false" ht="15" hidden="false" customHeight="false" outlineLevel="0" collapsed="false">
      <c r="B25" s="77"/>
      <c r="C25" s="78"/>
      <c r="D25" s="78"/>
      <c r="E25" s="79"/>
      <c r="F25" s="80"/>
      <c r="G25" s="81"/>
      <c r="I25" s="82" t="str">
        <f aca="false">IF($B25="","",$B25+N($F25))</f>
        <v/>
      </c>
      <c r="J25" s="83" t="str">
        <f aca="false">IF(OR($B25="",$C25=""),"",$B25&amp;"|"&amp;$C25)</f>
        <v/>
      </c>
      <c r="K25" s="82" t="str">
        <f aca="false">IF(OR($B25="",N($F25)=0),"",$B25+$F25)</f>
        <v/>
      </c>
      <c r="L25" s="83" t="str">
        <f aca="false">IF(OR($K25="",$C25=""),"",$K25&amp;"|"&amp;$C25)</f>
        <v/>
      </c>
    </row>
    <row r="26" customFormat="false" ht="15" hidden="false" customHeight="false" outlineLevel="0" collapsed="false">
      <c r="B26" s="77"/>
      <c r="C26" s="78"/>
      <c r="D26" s="78"/>
      <c r="E26" s="79"/>
      <c r="F26" s="80"/>
      <c r="G26" s="81"/>
      <c r="I26" s="82" t="str">
        <f aca="false">IF($B26="","",$B26+N($F26))</f>
        <v/>
      </c>
      <c r="J26" s="83" t="str">
        <f aca="false">IF(OR($B26="",$C26=""),"",$B26&amp;"|"&amp;$C26)</f>
        <v/>
      </c>
      <c r="K26" s="82" t="str">
        <f aca="false">IF(OR($B26="",N($F26)=0),"",$B26+$F26)</f>
        <v/>
      </c>
      <c r="L26" s="83" t="str">
        <f aca="false">IF(OR($K26="",$C26=""),"",$K26&amp;"|"&amp;$C26)</f>
        <v/>
      </c>
    </row>
    <row r="27" customFormat="false" ht="15" hidden="false" customHeight="false" outlineLevel="0" collapsed="false">
      <c r="B27" s="77"/>
      <c r="C27" s="78"/>
      <c r="D27" s="78"/>
      <c r="E27" s="79"/>
      <c r="F27" s="80"/>
      <c r="G27" s="81"/>
      <c r="I27" s="82" t="str">
        <f aca="false">IF($B27="","",$B27+N($F27))</f>
        <v/>
      </c>
      <c r="J27" s="83" t="str">
        <f aca="false">IF(OR($B27="",$C27=""),"",$B27&amp;"|"&amp;$C27)</f>
        <v/>
      </c>
      <c r="K27" s="82" t="str">
        <f aca="false">IF(OR($B27="",N($F27)=0),"",$B27+$F27)</f>
        <v/>
      </c>
      <c r="L27" s="83" t="str">
        <f aca="false">IF(OR($K27="",$C27=""),"",$K27&amp;"|"&amp;$C27)</f>
        <v/>
      </c>
    </row>
    <row r="28" customFormat="false" ht="15" hidden="false" customHeight="false" outlineLevel="0" collapsed="false">
      <c r="B28" s="77"/>
      <c r="C28" s="78"/>
      <c r="D28" s="78"/>
      <c r="E28" s="79"/>
      <c r="F28" s="80"/>
      <c r="G28" s="81"/>
      <c r="I28" s="82" t="str">
        <f aca="false">IF($B28="","",$B28+N($F28))</f>
        <v/>
      </c>
      <c r="J28" s="83" t="str">
        <f aca="false">IF(OR($B28="",$C28=""),"",$B28&amp;"|"&amp;$C28)</f>
        <v/>
      </c>
      <c r="K28" s="82" t="str">
        <f aca="false">IF(OR($B28="",N($F28)=0),"",$B28+$F28)</f>
        <v/>
      </c>
      <c r="L28" s="83" t="str">
        <f aca="false">IF(OR($K28="",$C28=""),"",$K28&amp;"|"&amp;$C28)</f>
        <v/>
      </c>
    </row>
    <row r="29" customFormat="false" ht="15" hidden="false" customHeight="false" outlineLevel="0" collapsed="false">
      <c r="B29" s="77"/>
      <c r="C29" s="78"/>
      <c r="D29" s="78"/>
      <c r="E29" s="79"/>
      <c r="F29" s="80"/>
      <c r="G29" s="81"/>
      <c r="I29" s="82" t="str">
        <f aca="false">IF($B29="","",$B29+N($F29))</f>
        <v/>
      </c>
      <c r="J29" s="83" t="str">
        <f aca="false">IF(OR($B29="",$C29=""),"",$B29&amp;"|"&amp;$C29)</f>
        <v/>
      </c>
      <c r="K29" s="82" t="str">
        <f aca="false">IF(OR($B29="",N($F29)=0),"",$B29+$F29)</f>
        <v/>
      </c>
      <c r="L29" s="83" t="str">
        <f aca="false">IF(OR($K29="",$C29=""),"",$K29&amp;"|"&amp;$C29)</f>
        <v/>
      </c>
    </row>
    <row r="30" customFormat="false" ht="15" hidden="false" customHeight="false" outlineLevel="0" collapsed="false">
      <c r="B30" s="77"/>
      <c r="C30" s="78"/>
      <c r="D30" s="78"/>
      <c r="E30" s="79"/>
      <c r="F30" s="80"/>
      <c r="G30" s="81"/>
      <c r="I30" s="82" t="str">
        <f aca="false">IF($B30="","",$B30+N($F30))</f>
        <v/>
      </c>
      <c r="J30" s="83" t="str">
        <f aca="false">IF(OR($B30="",$C30=""),"",$B30&amp;"|"&amp;$C30)</f>
        <v/>
      </c>
      <c r="K30" s="82" t="str">
        <f aca="false">IF(OR($B30="",N($F30)=0),"",$B30+$F30)</f>
        <v/>
      </c>
      <c r="L30" s="83" t="str">
        <f aca="false">IF(OR($K30="",$C30=""),"",$K30&amp;"|"&amp;$C30)</f>
        <v/>
      </c>
    </row>
    <row r="31" customFormat="false" ht="15" hidden="false" customHeight="false" outlineLevel="0" collapsed="false">
      <c r="B31" s="77"/>
      <c r="C31" s="78"/>
      <c r="D31" s="78"/>
      <c r="E31" s="79"/>
      <c r="F31" s="80"/>
      <c r="G31" s="81"/>
      <c r="I31" s="82" t="str">
        <f aca="false">IF($B31="","",$B31+N($F31))</f>
        <v/>
      </c>
      <c r="J31" s="83" t="str">
        <f aca="false">IF(OR($B31="",$C31=""),"",$B31&amp;"|"&amp;$C31)</f>
        <v/>
      </c>
      <c r="K31" s="82" t="str">
        <f aca="false">IF(OR($B31="",N($F31)=0),"",$B31+$F31)</f>
        <v/>
      </c>
      <c r="L31" s="83" t="str">
        <f aca="false">IF(OR($K31="",$C31=""),"",$K31&amp;"|"&amp;$C31)</f>
        <v/>
      </c>
    </row>
    <row r="32" customFormat="false" ht="15" hidden="false" customHeight="false" outlineLevel="0" collapsed="false">
      <c r="B32" s="77"/>
      <c r="C32" s="78"/>
      <c r="D32" s="78"/>
      <c r="E32" s="79"/>
      <c r="F32" s="80"/>
      <c r="G32" s="81"/>
      <c r="I32" s="82" t="str">
        <f aca="false">IF($B32="","",$B32+N($F32))</f>
        <v/>
      </c>
      <c r="J32" s="83" t="str">
        <f aca="false">IF(OR($B32="",$C32=""),"",$B32&amp;"|"&amp;$C32)</f>
        <v/>
      </c>
      <c r="K32" s="82" t="str">
        <f aca="false">IF(OR($B32="",N($F32)=0),"",$B32+$F32)</f>
        <v/>
      </c>
      <c r="L32" s="83" t="str">
        <f aca="false">IF(OR($K32="",$C32=""),"",$K32&amp;"|"&amp;$C32)</f>
        <v/>
      </c>
    </row>
    <row r="33" customFormat="false" ht="15" hidden="false" customHeight="false" outlineLevel="0" collapsed="false">
      <c r="B33" s="77"/>
      <c r="C33" s="78"/>
      <c r="D33" s="78"/>
      <c r="E33" s="79"/>
      <c r="F33" s="80"/>
      <c r="G33" s="81"/>
      <c r="I33" s="82" t="str">
        <f aca="false">IF($B33="","",$B33+N($F33))</f>
        <v/>
      </c>
      <c r="J33" s="83" t="str">
        <f aca="false">IF(OR($B33="",$C33=""),"",$B33&amp;"|"&amp;$C33)</f>
        <v/>
      </c>
      <c r="K33" s="82" t="str">
        <f aca="false">IF(OR($B33="",N($F33)=0),"",$B33+$F33)</f>
        <v/>
      </c>
      <c r="L33" s="83" t="str">
        <f aca="false">IF(OR($K33="",$C33=""),"",$K33&amp;"|"&amp;$C33)</f>
        <v/>
      </c>
    </row>
    <row r="34" customFormat="false" ht="15" hidden="false" customHeight="false" outlineLevel="0" collapsed="false">
      <c r="B34" s="77"/>
      <c r="C34" s="78"/>
      <c r="D34" s="78"/>
      <c r="E34" s="79"/>
      <c r="F34" s="80"/>
      <c r="G34" s="81"/>
      <c r="I34" s="82" t="str">
        <f aca="false">IF($B34="","",$B34+N($F34))</f>
        <v/>
      </c>
      <c r="J34" s="83" t="str">
        <f aca="false">IF(OR($B34="",$C34=""),"",$B34&amp;"|"&amp;$C34)</f>
        <v/>
      </c>
      <c r="K34" s="82" t="str">
        <f aca="false">IF(OR($B34="",N($F34)=0),"",$B34+$F34)</f>
        <v/>
      </c>
      <c r="L34" s="83" t="str">
        <f aca="false">IF(OR($K34="",$C34=""),"",$K34&amp;"|"&amp;$C34)</f>
        <v/>
      </c>
    </row>
    <row r="35" customFormat="false" ht="15" hidden="false" customHeight="false" outlineLevel="0" collapsed="false">
      <c r="B35" s="77"/>
      <c r="C35" s="78"/>
      <c r="D35" s="78"/>
      <c r="E35" s="79"/>
      <c r="F35" s="80"/>
      <c r="G35" s="81"/>
      <c r="I35" s="82" t="str">
        <f aca="false">IF($B35="","",$B35+N($F35))</f>
        <v/>
      </c>
      <c r="J35" s="83" t="str">
        <f aca="false">IF(OR($B35="",$C35=""),"",$B35&amp;"|"&amp;$C35)</f>
        <v/>
      </c>
      <c r="K35" s="82" t="str">
        <f aca="false">IF(OR($B35="",N($F35)=0),"",$B35+$F35)</f>
        <v/>
      </c>
      <c r="L35" s="83" t="str">
        <f aca="false">IF(OR($K35="",$C35=""),"",$K35&amp;"|"&amp;$C35)</f>
        <v/>
      </c>
    </row>
    <row r="36" customFormat="false" ht="15" hidden="false" customHeight="false" outlineLevel="0" collapsed="false">
      <c r="B36" s="77"/>
      <c r="C36" s="78"/>
      <c r="D36" s="78"/>
      <c r="E36" s="79"/>
      <c r="F36" s="80"/>
      <c r="G36" s="81"/>
      <c r="I36" s="82" t="str">
        <f aca="false">IF($B36="","",$B36+N($F36))</f>
        <v/>
      </c>
      <c r="J36" s="83" t="str">
        <f aca="false">IF(OR($B36="",$C36=""),"",$B36&amp;"|"&amp;$C36)</f>
        <v/>
      </c>
      <c r="K36" s="82" t="str">
        <f aca="false">IF(OR($B36="",N($F36)=0),"",$B36+$F36)</f>
        <v/>
      </c>
      <c r="L36" s="83" t="str">
        <f aca="false">IF(OR($K36="",$C36=""),"",$K36&amp;"|"&amp;$C36)</f>
        <v/>
      </c>
    </row>
    <row r="37" customFormat="false" ht="15" hidden="false" customHeight="false" outlineLevel="0" collapsed="false">
      <c r="B37" s="77"/>
      <c r="C37" s="78"/>
      <c r="D37" s="78"/>
      <c r="E37" s="79"/>
      <c r="F37" s="80"/>
      <c r="G37" s="81"/>
      <c r="I37" s="82" t="str">
        <f aca="false">IF($B37="","",$B37+N($F37))</f>
        <v/>
      </c>
      <c r="J37" s="83" t="str">
        <f aca="false">IF(OR($B37="",$C37=""),"",$B37&amp;"|"&amp;$C37)</f>
        <v/>
      </c>
      <c r="K37" s="82" t="str">
        <f aca="false">IF(OR($B37="",N($F37)=0),"",$B37+$F37)</f>
        <v/>
      </c>
      <c r="L37" s="83" t="str">
        <f aca="false">IF(OR($K37="",$C37=""),"",$K37&amp;"|"&amp;$C37)</f>
        <v/>
      </c>
    </row>
    <row r="38" customFormat="false" ht="15" hidden="false" customHeight="false" outlineLevel="0" collapsed="false">
      <c r="B38" s="77"/>
      <c r="C38" s="78"/>
      <c r="D38" s="78"/>
      <c r="E38" s="79"/>
      <c r="F38" s="80"/>
      <c r="G38" s="81"/>
      <c r="I38" s="82" t="str">
        <f aca="false">IF($B38="","",$B38+N($F38))</f>
        <v/>
      </c>
      <c r="J38" s="83" t="str">
        <f aca="false">IF(OR($B38="",$C38=""),"",$B38&amp;"|"&amp;$C38)</f>
        <v/>
      </c>
      <c r="K38" s="82" t="str">
        <f aca="false">IF(OR($B38="",N($F38)=0),"",$B38+$F38)</f>
        <v/>
      </c>
      <c r="L38" s="83" t="str">
        <f aca="false">IF(OR($K38="",$C38=""),"",$K38&amp;"|"&amp;$C38)</f>
        <v/>
      </c>
    </row>
    <row r="39" customFormat="false" ht="15" hidden="false" customHeight="false" outlineLevel="0" collapsed="false">
      <c r="B39" s="77"/>
      <c r="C39" s="78"/>
      <c r="D39" s="78"/>
      <c r="E39" s="79"/>
      <c r="F39" s="80"/>
      <c r="G39" s="81"/>
      <c r="I39" s="82" t="str">
        <f aca="false">IF($B39="","",$B39+N($F39))</f>
        <v/>
      </c>
      <c r="J39" s="83" t="str">
        <f aca="false">IF(OR($B39="",$C39=""),"",$B39&amp;"|"&amp;$C39)</f>
        <v/>
      </c>
      <c r="K39" s="82" t="str">
        <f aca="false">IF(OR($B39="",N($F39)=0),"",$B39+$F39)</f>
        <v/>
      </c>
      <c r="L39" s="83" t="str">
        <f aca="false">IF(OR($K39="",$C39=""),"",$K39&amp;"|"&amp;$C39)</f>
        <v/>
      </c>
    </row>
    <row r="40" customFormat="false" ht="15" hidden="false" customHeight="false" outlineLevel="0" collapsed="false">
      <c r="B40" s="77"/>
      <c r="C40" s="78"/>
      <c r="D40" s="78"/>
      <c r="E40" s="79"/>
      <c r="F40" s="80"/>
      <c r="G40" s="81"/>
      <c r="I40" s="82" t="str">
        <f aca="false">IF($B40="","",$B40+N($F40))</f>
        <v/>
      </c>
      <c r="J40" s="83" t="str">
        <f aca="false">IF(OR($B40="",$C40=""),"",$B40&amp;"|"&amp;$C40)</f>
        <v/>
      </c>
      <c r="K40" s="82" t="str">
        <f aca="false">IF(OR($B40="",N($F40)=0),"",$B40+$F40)</f>
        <v/>
      </c>
      <c r="L40" s="83" t="str">
        <f aca="false">IF(OR($K40="",$C40=""),"",$K40&amp;"|"&amp;$C40)</f>
        <v/>
      </c>
    </row>
    <row r="41" customFormat="false" ht="15" hidden="false" customHeight="false" outlineLevel="0" collapsed="false">
      <c r="B41" s="77"/>
      <c r="C41" s="78"/>
      <c r="D41" s="78"/>
      <c r="E41" s="79"/>
      <c r="F41" s="80"/>
      <c r="G41" s="81"/>
      <c r="I41" s="82" t="str">
        <f aca="false">IF($B41="","",$B41+N($F41))</f>
        <v/>
      </c>
      <c r="J41" s="83" t="str">
        <f aca="false">IF(OR($B41="",$C41=""),"",$B41&amp;"|"&amp;$C41)</f>
        <v/>
      </c>
      <c r="K41" s="82" t="str">
        <f aca="false">IF(OR($B41="",N($F41)=0),"",$B41+$F41)</f>
        <v/>
      </c>
      <c r="L41" s="83" t="str">
        <f aca="false">IF(OR($K41="",$C41=""),"",$K41&amp;"|"&amp;$C41)</f>
        <v/>
      </c>
    </row>
    <row r="42" customFormat="false" ht="15" hidden="false" customHeight="false" outlineLevel="0" collapsed="false">
      <c r="B42" s="77"/>
      <c r="C42" s="78"/>
      <c r="D42" s="78"/>
      <c r="E42" s="79"/>
      <c r="F42" s="80"/>
      <c r="G42" s="81"/>
      <c r="I42" s="82" t="str">
        <f aca="false">IF($B42="","",$B42+N($F42))</f>
        <v/>
      </c>
      <c r="J42" s="83" t="str">
        <f aca="false">IF(OR($B42="",$C42=""),"",$B42&amp;"|"&amp;$C42)</f>
        <v/>
      </c>
      <c r="K42" s="82" t="str">
        <f aca="false">IF(OR($B42="",N($F42)=0),"",$B42+$F42)</f>
        <v/>
      </c>
      <c r="L42" s="83" t="str">
        <f aca="false">IF(OR($K42="",$C42=""),"",$K42&amp;"|"&amp;$C42)</f>
        <v/>
      </c>
    </row>
    <row r="43" customFormat="false" ht="15" hidden="false" customHeight="false" outlineLevel="0" collapsed="false">
      <c r="B43" s="77"/>
      <c r="C43" s="78"/>
      <c r="D43" s="78"/>
      <c r="E43" s="79"/>
      <c r="F43" s="80"/>
      <c r="G43" s="81"/>
      <c r="I43" s="82" t="str">
        <f aca="false">IF($B43="","",$B43+N($F43))</f>
        <v/>
      </c>
      <c r="J43" s="83" t="str">
        <f aca="false">IF(OR($B43="",$C43=""),"",$B43&amp;"|"&amp;$C43)</f>
        <v/>
      </c>
      <c r="K43" s="82" t="str">
        <f aca="false">IF(OR($B43="",N($F43)=0),"",$B43+$F43)</f>
        <v/>
      </c>
      <c r="L43" s="83" t="str">
        <f aca="false">IF(OR($K43="",$C43=""),"",$K43&amp;"|"&amp;$C43)</f>
        <v/>
      </c>
    </row>
    <row r="44" customFormat="false" ht="15" hidden="false" customHeight="false" outlineLevel="0" collapsed="false">
      <c r="B44" s="77"/>
      <c r="C44" s="78"/>
      <c r="D44" s="78"/>
      <c r="E44" s="79"/>
      <c r="F44" s="80"/>
      <c r="G44" s="81"/>
      <c r="I44" s="82" t="str">
        <f aca="false">IF($B44="","",$B44+N($F44))</f>
        <v/>
      </c>
      <c r="J44" s="83" t="str">
        <f aca="false">IF(OR($B44="",$C44=""),"",$B44&amp;"|"&amp;$C44)</f>
        <v/>
      </c>
      <c r="K44" s="82" t="str">
        <f aca="false">IF(OR($B44="",N($F44)=0),"",$B44+$F44)</f>
        <v/>
      </c>
      <c r="L44" s="83" t="str">
        <f aca="false">IF(OR($K44="",$C44=""),"",$K44&amp;"|"&amp;$C44)</f>
        <v/>
      </c>
    </row>
    <row r="45" customFormat="false" ht="15" hidden="false" customHeight="false" outlineLevel="0" collapsed="false">
      <c r="B45" s="77"/>
      <c r="C45" s="78"/>
      <c r="D45" s="78"/>
      <c r="E45" s="79"/>
      <c r="F45" s="80"/>
      <c r="G45" s="81"/>
      <c r="I45" s="82" t="str">
        <f aca="false">IF($B45="","",$B45+N($F45))</f>
        <v/>
      </c>
      <c r="J45" s="83" t="str">
        <f aca="false">IF(OR($B45="",$C45=""),"",$B45&amp;"|"&amp;$C45)</f>
        <v/>
      </c>
      <c r="K45" s="82" t="str">
        <f aca="false">IF(OR($B45="",N($F45)=0),"",$B45+$F45)</f>
        <v/>
      </c>
      <c r="L45" s="83" t="str">
        <f aca="false">IF(OR($K45="",$C45=""),"",$K45&amp;"|"&amp;$C45)</f>
        <v/>
      </c>
    </row>
    <row r="46" customFormat="false" ht="15" hidden="false" customHeight="false" outlineLevel="0" collapsed="false">
      <c r="B46" s="77"/>
      <c r="C46" s="78"/>
      <c r="D46" s="78"/>
      <c r="E46" s="79"/>
      <c r="F46" s="80"/>
      <c r="G46" s="81"/>
      <c r="I46" s="82" t="str">
        <f aca="false">IF($B46="","",$B46+N($F46))</f>
        <v/>
      </c>
      <c r="J46" s="83" t="str">
        <f aca="false">IF(OR($B46="",$C46=""),"",$B46&amp;"|"&amp;$C46)</f>
        <v/>
      </c>
      <c r="K46" s="82" t="str">
        <f aca="false">IF(OR($B46="",N($F46)=0),"",$B46+$F46)</f>
        <v/>
      </c>
      <c r="L46" s="83" t="str">
        <f aca="false">IF(OR($K46="",$C46=""),"",$K46&amp;"|"&amp;$C46)</f>
        <v/>
      </c>
    </row>
    <row r="47" customFormat="false" ht="15" hidden="false" customHeight="false" outlineLevel="0" collapsed="false">
      <c r="B47" s="77"/>
      <c r="C47" s="78"/>
      <c r="D47" s="78"/>
      <c r="E47" s="79"/>
      <c r="F47" s="80"/>
      <c r="G47" s="81"/>
      <c r="I47" s="82" t="str">
        <f aca="false">IF($B47="","",$B47+N($F47))</f>
        <v/>
      </c>
      <c r="J47" s="83" t="str">
        <f aca="false">IF(OR($B47="",$C47=""),"",$B47&amp;"|"&amp;$C47)</f>
        <v/>
      </c>
      <c r="K47" s="82" t="str">
        <f aca="false">IF(OR($B47="",N($F47)=0),"",$B47+$F47)</f>
        <v/>
      </c>
      <c r="L47" s="83" t="str">
        <f aca="false">IF(OR($K47="",$C47=""),"",$K47&amp;"|"&amp;$C47)</f>
        <v/>
      </c>
    </row>
    <row r="48" customFormat="false" ht="15" hidden="false" customHeight="false" outlineLevel="0" collapsed="false">
      <c r="B48" s="77"/>
      <c r="C48" s="78"/>
      <c r="D48" s="78"/>
      <c r="E48" s="79"/>
      <c r="F48" s="80"/>
      <c r="G48" s="81"/>
      <c r="I48" s="82" t="str">
        <f aca="false">IF($B48="","",$B48+N($F48))</f>
        <v/>
      </c>
      <c r="J48" s="83" t="str">
        <f aca="false">IF(OR($B48="",$C48=""),"",$B48&amp;"|"&amp;$C48)</f>
        <v/>
      </c>
      <c r="K48" s="82" t="str">
        <f aca="false">IF(OR($B48="",N($F48)=0),"",$B48+$F48)</f>
        <v/>
      </c>
      <c r="L48" s="83" t="str">
        <f aca="false">IF(OR($K48="",$C48=""),"",$K48&amp;"|"&amp;$C48)</f>
        <v/>
      </c>
    </row>
    <row r="49" customFormat="false" ht="15" hidden="false" customHeight="false" outlineLevel="0" collapsed="false">
      <c r="B49" s="77"/>
      <c r="C49" s="78"/>
      <c r="D49" s="78"/>
      <c r="E49" s="79"/>
      <c r="F49" s="80"/>
      <c r="G49" s="81"/>
      <c r="I49" s="82" t="str">
        <f aca="false">IF($B49="","",$B49+N($F49))</f>
        <v/>
      </c>
      <c r="J49" s="83" t="str">
        <f aca="false">IF(OR($B49="",$C49=""),"",$B49&amp;"|"&amp;$C49)</f>
        <v/>
      </c>
      <c r="K49" s="82" t="str">
        <f aca="false">IF(OR($B49="",N($F49)=0),"",$B49+$F49)</f>
        <v/>
      </c>
      <c r="L49" s="83" t="str">
        <f aca="false">IF(OR($K49="",$C49=""),"",$K49&amp;"|"&amp;$C49)</f>
        <v/>
      </c>
    </row>
    <row r="50" customFormat="false" ht="15" hidden="false" customHeight="false" outlineLevel="0" collapsed="false">
      <c r="B50" s="77"/>
      <c r="C50" s="78"/>
      <c r="D50" s="78"/>
      <c r="E50" s="79"/>
      <c r="F50" s="80"/>
      <c r="G50" s="81"/>
      <c r="I50" s="82" t="str">
        <f aca="false">IF($B50="","",$B50+N($F50))</f>
        <v/>
      </c>
      <c r="J50" s="83" t="str">
        <f aca="false">IF(OR($B50="",$C50=""),"",$B50&amp;"|"&amp;$C50)</f>
        <v/>
      </c>
      <c r="K50" s="82" t="str">
        <f aca="false">IF(OR($B50="",N($F50)=0),"",$B50+$F50)</f>
        <v/>
      </c>
      <c r="L50" s="83" t="str">
        <f aca="false">IF(OR($K50="",$C50=""),"",$K50&amp;"|"&amp;$C50)</f>
        <v/>
      </c>
    </row>
    <row r="51" customFormat="false" ht="15" hidden="false" customHeight="false" outlineLevel="0" collapsed="false">
      <c r="B51" s="77"/>
      <c r="C51" s="78"/>
      <c r="D51" s="78"/>
      <c r="E51" s="79"/>
      <c r="F51" s="80"/>
      <c r="G51" s="81"/>
      <c r="I51" s="82" t="str">
        <f aca="false">IF($B51="","",$B51+N($F51))</f>
        <v/>
      </c>
      <c r="J51" s="83" t="str">
        <f aca="false">IF(OR($B51="",$C51=""),"",$B51&amp;"|"&amp;$C51)</f>
        <v/>
      </c>
      <c r="K51" s="82" t="str">
        <f aca="false">IF(OR($B51="",N($F51)=0),"",$B51+$F51)</f>
        <v/>
      </c>
      <c r="L51" s="83" t="str">
        <f aca="false">IF(OR($K51="",$C51=""),"",$K51&amp;"|"&amp;$C51)</f>
        <v/>
      </c>
    </row>
    <row r="52" customFormat="false" ht="15" hidden="false" customHeight="false" outlineLevel="0" collapsed="false">
      <c r="B52" s="77"/>
      <c r="C52" s="78"/>
      <c r="D52" s="78"/>
      <c r="E52" s="79"/>
      <c r="F52" s="80"/>
      <c r="G52" s="81"/>
      <c r="I52" s="82" t="str">
        <f aca="false">IF($B52="","",$B52+N($F52))</f>
        <v/>
      </c>
      <c r="J52" s="83" t="str">
        <f aca="false">IF(OR($B52="",$C52=""),"",$B52&amp;"|"&amp;$C52)</f>
        <v/>
      </c>
      <c r="K52" s="82" t="str">
        <f aca="false">IF(OR($B52="",N($F52)=0),"",$B52+$F52)</f>
        <v/>
      </c>
      <c r="L52" s="83" t="str">
        <f aca="false">IF(OR($K52="",$C52=""),"",$K52&amp;"|"&amp;$C52)</f>
        <v/>
      </c>
    </row>
    <row r="53" customFormat="false" ht="15" hidden="false" customHeight="false" outlineLevel="0" collapsed="false">
      <c r="B53" s="77"/>
      <c r="C53" s="78"/>
      <c r="D53" s="78"/>
      <c r="E53" s="79"/>
      <c r="F53" s="80"/>
      <c r="G53" s="81"/>
      <c r="I53" s="82" t="str">
        <f aca="false">IF($B53="","",$B53+N($F53))</f>
        <v/>
      </c>
      <c r="J53" s="83" t="str">
        <f aca="false">IF(OR($B53="",$C53=""),"",$B53&amp;"|"&amp;$C53)</f>
        <v/>
      </c>
      <c r="K53" s="82" t="str">
        <f aca="false">IF(OR($B53="",N($F53)=0),"",$B53+$F53)</f>
        <v/>
      </c>
      <c r="L53" s="83" t="str">
        <f aca="false">IF(OR($K53="",$C53=""),"",$K53&amp;"|"&amp;$C53)</f>
        <v/>
      </c>
    </row>
    <row r="54" customFormat="false" ht="15" hidden="false" customHeight="false" outlineLevel="0" collapsed="false">
      <c r="B54" s="77"/>
      <c r="C54" s="78"/>
      <c r="D54" s="78"/>
      <c r="E54" s="79"/>
      <c r="F54" s="80"/>
      <c r="G54" s="81"/>
      <c r="I54" s="82" t="str">
        <f aca="false">IF($B54="","",$B54+N($F54))</f>
        <v/>
      </c>
      <c r="J54" s="83" t="str">
        <f aca="false">IF(OR($B54="",$C54=""),"",$B54&amp;"|"&amp;$C54)</f>
        <v/>
      </c>
      <c r="K54" s="82" t="str">
        <f aca="false">IF(OR($B54="",N($F54)=0),"",$B54+$F54)</f>
        <v/>
      </c>
      <c r="L54" s="83" t="str">
        <f aca="false">IF(OR($K54="",$C54=""),"",$K54&amp;"|"&amp;$C54)</f>
        <v/>
      </c>
    </row>
    <row r="55" customFormat="false" ht="15" hidden="false" customHeight="false" outlineLevel="0" collapsed="false">
      <c r="B55" s="77"/>
      <c r="C55" s="78"/>
      <c r="D55" s="78"/>
      <c r="E55" s="79"/>
      <c r="F55" s="80"/>
      <c r="G55" s="81"/>
      <c r="I55" s="82" t="str">
        <f aca="false">IF($B55="","",$B55+N($F55))</f>
        <v/>
      </c>
      <c r="J55" s="83" t="str">
        <f aca="false">IF(OR($B55="",$C55=""),"",$B55&amp;"|"&amp;$C55)</f>
        <v/>
      </c>
      <c r="K55" s="82" t="str">
        <f aca="false">IF(OR($B55="",N($F55)=0),"",$B55+$F55)</f>
        <v/>
      </c>
      <c r="L55" s="83" t="str">
        <f aca="false">IF(OR($K55="",$C55=""),"",$K55&amp;"|"&amp;$C55)</f>
        <v/>
      </c>
    </row>
    <row r="56" customFormat="false" ht="15" hidden="false" customHeight="false" outlineLevel="0" collapsed="false">
      <c r="B56" s="77"/>
      <c r="C56" s="78"/>
      <c r="D56" s="78"/>
      <c r="E56" s="79"/>
      <c r="F56" s="80"/>
      <c r="G56" s="81"/>
      <c r="I56" s="82" t="str">
        <f aca="false">IF($B56="","",$B56+N($F56))</f>
        <v/>
      </c>
      <c r="J56" s="83" t="str">
        <f aca="false">IF(OR($B56="",$C56=""),"",$B56&amp;"|"&amp;$C56)</f>
        <v/>
      </c>
      <c r="K56" s="82" t="str">
        <f aca="false">IF(OR($B56="",N($F56)=0),"",$B56+$F56)</f>
        <v/>
      </c>
      <c r="L56" s="83" t="str">
        <f aca="false">IF(OR($K56="",$C56=""),"",$K56&amp;"|"&amp;$C56)</f>
        <v/>
      </c>
    </row>
    <row r="57" customFormat="false" ht="15" hidden="false" customHeight="false" outlineLevel="0" collapsed="false">
      <c r="B57" s="77"/>
      <c r="C57" s="78"/>
      <c r="D57" s="78"/>
      <c r="E57" s="79"/>
      <c r="F57" s="80"/>
      <c r="G57" s="81"/>
      <c r="I57" s="82" t="str">
        <f aca="false">IF($B57="","",$B57+N($F57))</f>
        <v/>
      </c>
      <c r="J57" s="83" t="str">
        <f aca="false">IF(OR($B57="",$C57=""),"",$B57&amp;"|"&amp;$C57)</f>
        <v/>
      </c>
      <c r="K57" s="82" t="str">
        <f aca="false">IF(OR($B57="",N($F57)=0),"",$B57+$F57)</f>
        <v/>
      </c>
      <c r="L57" s="83" t="str">
        <f aca="false">IF(OR($K57="",$C57=""),"",$K57&amp;"|"&amp;$C57)</f>
        <v/>
      </c>
    </row>
    <row r="58" customFormat="false" ht="15" hidden="false" customHeight="false" outlineLevel="0" collapsed="false">
      <c r="B58" s="77"/>
      <c r="C58" s="78"/>
      <c r="D58" s="78"/>
      <c r="E58" s="79"/>
      <c r="F58" s="80"/>
      <c r="G58" s="81"/>
      <c r="I58" s="82" t="str">
        <f aca="false">IF($B58="","",$B58+N($F58))</f>
        <v/>
      </c>
      <c r="J58" s="83" t="str">
        <f aca="false">IF(OR($B58="",$C58=""),"",$B58&amp;"|"&amp;$C58)</f>
        <v/>
      </c>
      <c r="K58" s="82" t="str">
        <f aca="false">IF(OR($B58="",N($F58)=0),"",$B58+$F58)</f>
        <v/>
      </c>
      <c r="L58" s="83" t="str">
        <f aca="false">IF(OR($K58="",$C58=""),"",$K58&amp;"|"&amp;$C58)</f>
        <v/>
      </c>
    </row>
    <row r="59" customFormat="false" ht="15" hidden="false" customHeight="false" outlineLevel="0" collapsed="false">
      <c r="B59" s="77"/>
      <c r="C59" s="78"/>
      <c r="D59" s="78"/>
      <c r="E59" s="79"/>
      <c r="F59" s="80"/>
      <c r="G59" s="81"/>
      <c r="I59" s="82" t="str">
        <f aca="false">IF($B59="","",$B59+N($F59))</f>
        <v/>
      </c>
      <c r="J59" s="83" t="str">
        <f aca="false">IF(OR($B59="",$C59=""),"",$B59&amp;"|"&amp;$C59)</f>
        <v/>
      </c>
      <c r="K59" s="82" t="str">
        <f aca="false">IF(OR($B59="",N($F59)=0),"",$B59+$F59)</f>
        <v/>
      </c>
      <c r="L59" s="83" t="str">
        <f aca="false">IF(OR($K59="",$C59=""),"",$K59&amp;"|"&amp;$C59)</f>
        <v/>
      </c>
    </row>
    <row r="60" customFormat="false" ht="15" hidden="false" customHeight="false" outlineLevel="0" collapsed="false">
      <c r="B60" s="77"/>
      <c r="C60" s="78"/>
      <c r="D60" s="78"/>
      <c r="E60" s="79"/>
      <c r="F60" s="80"/>
      <c r="G60" s="81"/>
      <c r="I60" s="82" t="str">
        <f aca="false">IF($B60="","",$B60+N($F60))</f>
        <v/>
      </c>
      <c r="J60" s="83" t="str">
        <f aca="false">IF(OR($B60="",$C60=""),"",$B60&amp;"|"&amp;$C60)</f>
        <v/>
      </c>
      <c r="K60" s="82" t="str">
        <f aca="false">IF(OR($B60="",N($F60)=0),"",$B60+$F60)</f>
        <v/>
      </c>
      <c r="L60" s="83" t="str">
        <f aca="false">IF(OR($K60="",$C60=""),"",$K60&amp;"|"&amp;$C60)</f>
        <v/>
      </c>
    </row>
    <row r="61" customFormat="false" ht="15" hidden="false" customHeight="false" outlineLevel="0" collapsed="false">
      <c r="B61" s="77"/>
      <c r="C61" s="78"/>
      <c r="D61" s="78"/>
      <c r="E61" s="79"/>
      <c r="F61" s="80"/>
      <c r="G61" s="81"/>
      <c r="I61" s="82" t="str">
        <f aca="false">IF($B61="","",$B61+N($F61))</f>
        <v/>
      </c>
      <c r="J61" s="83" t="str">
        <f aca="false">IF(OR($B61="",$C61=""),"",$B61&amp;"|"&amp;$C61)</f>
        <v/>
      </c>
      <c r="K61" s="82" t="str">
        <f aca="false">IF(OR($B61="",N($F61)=0),"",$B61+$F61)</f>
        <v/>
      </c>
      <c r="L61" s="83" t="str">
        <f aca="false">IF(OR($K61="",$C61=""),"",$K61&amp;"|"&amp;$C61)</f>
        <v/>
      </c>
    </row>
    <row r="62" customFormat="false" ht="15" hidden="false" customHeight="false" outlineLevel="0" collapsed="false">
      <c r="B62" s="77"/>
      <c r="C62" s="78"/>
      <c r="D62" s="78"/>
      <c r="E62" s="79"/>
      <c r="F62" s="80"/>
      <c r="G62" s="81"/>
      <c r="I62" s="82" t="str">
        <f aca="false">IF($B62="","",$B62+N($F62))</f>
        <v/>
      </c>
      <c r="J62" s="83" t="str">
        <f aca="false">IF(OR($B62="",$C62=""),"",$B62&amp;"|"&amp;$C62)</f>
        <v/>
      </c>
      <c r="K62" s="82" t="str">
        <f aca="false">IF(OR($B62="",N($F62)=0),"",$B62+$F62)</f>
        <v/>
      </c>
      <c r="L62" s="83" t="str">
        <f aca="false">IF(OR($K62="",$C62=""),"",$K62&amp;"|"&amp;$C62)</f>
        <v/>
      </c>
    </row>
    <row r="63" customFormat="false" ht="15" hidden="false" customHeight="false" outlineLevel="0" collapsed="false">
      <c r="B63" s="77"/>
      <c r="C63" s="78"/>
      <c r="D63" s="78"/>
      <c r="E63" s="79"/>
      <c r="F63" s="80"/>
      <c r="G63" s="81"/>
      <c r="I63" s="82" t="str">
        <f aca="false">IF($B63="","",$B63+N($F63))</f>
        <v/>
      </c>
      <c r="J63" s="83" t="str">
        <f aca="false">IF(OR($B63="",$C63=""),"",$B63&amp;"|"&amp;$C63)</f>
        <v/>
      </c>
      <c r="K63" s="82" t="str">
        <f aca="false">IF(OR($B63="",N($F63)=0),"",$B63+$F63)</f>
        <v/>
      </c>
      <c r="L63" s="83" t="str">
        <f aca="false">IF(OR($K63="",$C63=""),"",$K63&amp;"|"&amp;$C63)</f>
        <v/>
      </c>
    </row>
    <row r="64" customFormat="false" ht="15" hidden="false" customHeight="false" outlineLevel="0" collapsed="false">
      <c r="B64" s="77"/>
      <c r="C64" s="78"/>
      <c r="D64" s="78"/>
      <c r="E64" s="79"/>
      <c r="F64" s="80"/>
      <c r="G64" s="81"/>
      <c r="I64" s="82" t="str">
        <f aca="false">IF($B64="","",$B64+N($F64))</f>
        <v/>
      </c>
      <c r="J64" s="83" t="str">
        <f aca="false">IF(OR($B64="",$C64=""),"",$B64&amp;"|"&amp;$C64)</f>
        <v/>
      </c>
      <c r="K64" s="82" t="str">
        <f aca="false">IF(OR($B64="",N($F64)=0),"",$B64+$F64)</f>
        <v/>
      </c>
      <c r="L64" s="83" t="str">
        <f aca="false">IF(OR($K64="",$C64=""),"",$K64&amp;"|"&amp;$C64)</f>
        <v/>
      </c>
    </row>
    <row r="65" customFormat="false" ht="15" hidden="false" customHeight="false" outlineLevel="0" collapsed="false">
      <c r="B65" s="77"/>
      <c r="C65" s="78"/>
      <c r="D65" s="78"/>
      <c r="E65" s="79"/>
      <c r="F65" s="80"/>
      <c r="G65" s="81"/>
      <c r="I65" s="82" t="str">
        <f aca="false">IF($B65="","",$B65+N($F65))</f>
        <v/>
      </c>
      <c r="J65" s="83" t="str">
        <f aca="false">IF(OR($B65="",$C65=""),"",$B65&amp;"|"&amp;$C65)</f>
        <v/>
      </c>
      <c r="K65" s="82" t="str">
        <f aca="false">IF(OR($B65="",N($F65)=0),"",$B65+$F65)</f>
        <v/>
      </c>
      <c r="L65" s="83" t="str">
        <f aca="false">IF(OR($K65="",$C65=""),"",$K65&amp;"|"&amp;$C65)</f>
        <v/>
      </c>
    </row>
    <row r="66" customFormat="false" ht="15" hidden="false" customHeight="false" outlineLevel="0" collapsed="false">
      <c r="B66" s="77"/>
      <c r="C66" s="78"/>
      <c r="D66" s="78"/>
      <c r="E66" s="79"/>
      <c r="F66" s="80"/>
      <c r="G66" s="81"/>
      <c r="I66" s="82" t="str">
        <f aca="false">IF($B66="","",$B66+N($F66))</f>
        <v/>
      </c>
      <c r="J66" s="83" t="str">
        <f aca="false">IF(OR($B66="",$C66=""),"",$B66&amp;"|"&amp;$C66)</f>
        <v/>
      </c>
      <c r="K66" s="82" t="str">
        <f aca="false">IF(OR($B66="",N($F66)=0),"",$B66+$F66)</f>
        <v/>
      </c>
      <c r="L66" s="83" t="str">
        <f aca="false">IF(OR($K66="",$C66=""),"",$K66&amp;"|"&amp;$C66)</f>
        <v/>
      </c>
    </row>
  </sheetData>
  <mergeCells count="2">
    <mergeCell ref="B1:G1"/>
    <mergeCell ref="B2:G4"/>
  </mergeCells>
  <conditionalFormatting sqref="B7:G66">
    <cfRule type="expression" priority="2" aboveAverage="0" equalAverage="0" bottom="0" percent="0" rank="0" text="" dxfId="17">
      <formula>$E7&lt;0</formula>
    </cfRule>
    <cfRule type="expression" priority="3" aboveAverage="0" equalAverage="0" bottom="0" percent="0" rank="0" text="" dxfId="18">
      <formula>$E7&gt;0</formula>
    </cfRule>
  </conditionalFormatting>
  <dataValidations count="5">
    <dataValidation allowBlank="true" error="Choisir une route dans la liste." errorStyle="stop" errorTitle="Route inconnue" operator="between" showDropDown="false" showErrorMessage="false" showInputMessage="false" sqref="C7:C66" type="list">
      <formula1>$N$7:$N$18</formula1>
      <formula2>0</formula2>
    </dataValidation>
    <dataValidation allowBlank="true" error="Choisir un type avion dans la liste." errorStyle="stop" errorTitle="Type avion inconnu" operator="between" showDropDown="false" showErrorMessage="false" showInputMessage="false" sqref="D7:D66" type="list">
      <formula1>$O$7:$O$9</formula1>
      <formula2>0</formula2>
    </dataValidation>
    <dataValidation allowBlank="true" error="Entier non nul entre -20 et 20. Positif = ajout, negatif = retrait." errorStyle="stop" errorTitle="Nombre de rotations invalide" operator="between" showDropDown="false" showErrorMessage="false" showInputMessage="false" sqref="E7:E66" type="custom">
      <formula1>AND(E7&lt;&gt;0,ABS(E7)&lt;=20)</formula1>
      <formula2>0</formula2>
    </dataValidation>
    <dataValidation allowBlank="true" error="0 = retour le jour meme, 1 = le lendemain, etc." errorStyle="stop" errorTitle="Decalage retour" operator="between" showDropDown="false" showErrorMessage="false" showInputMessage="false" sqref="F7:F66" type="list">
      <formula1>"0,1,2,3"</formula1>
      <formula2>0</formula2>
    </dataValidation>
    <dataValidation allowBlank="true" error="Dates acceptees : 25/03/2027 -&gt; 31/03/2028." errorStyle="warning" errorTitle="Date hors perimetre" operator="between" showDropDown="false" showErrorMessage="false" showInputMessage="false" sqref="B7:B66" type="date">
      <formula1>DATE(2027,3,25)</formula1>
      <formula2>DATE(2028,3,31)</formula2>
    </dataValidation>
  </dataValidations>
  <hyperlinks>
    <hyperlink ref="B5" location="'Programme de vols'!B1" display="&lt;&lt; retour a la feuille Programme de vo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2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 collapsed="false" customWidth="true" hidden="false" outlineLevel="0" max="17" min="17" style="0" width="3"/>
    <col collapsed="false" customWidth="true" hidden="false" outlineLevel="0" max="18" min="18" style="0" width="60"/>
  </cols>
  <sheetData>
    <row r="1" customFormat="false" ht="30" hidden="false" customHeight="true" outlineLevel="0" collapsed="false">
      <c r="B1" s="1" t="s">
        <v>199</v>
      </c>
      <c r="C1" s="1"/>
      <c r="D1" s="1"/>
      <c r="E1" s="1"/>
      <c r="F1" s="1"/>
      <c r="G1" s="1"/>
      <c r="H1" s="1"/>
      <c r="I1" s="1"/>
      <c r="J1" s="1"/>
    </row>
    <row r="2" customFormat="false" ht="25.5" hidden="false" customHeight="true" outlineLevel="0" collapsed="false">
      <c r="B2" s="2" t="s">
        <v>200</v>
      </c>
      <c r="C2" s="2"/>
      <c r="D2" s="2"/>
      <c r="E2" s="2"/>
      <c r="F2" s="2"/>
      <c r="G2" s="2"/>
      <c r="H2" s="2"/>
      <c r="I2" s="2"/>
      <c r="J2" s="2"/>
    </row>
    <row r="4" customFormat="false" ht="15" hidden="false" customHeight="false" outlineLevel="0" collapsed="false">
      <c r="B4" s="14" t="s">
        <v>201</v>
      </c>
      <c r="C4" s="14"/>
      <c r="D4" s="14"/>
      <c r="E4" s="14"/>
      <c r="F4" s="14"/>
      <c r="G4" s="14"/>
      <c r="H4" s="14"/>
    </row>
    <row r="5" customFormat="false" ht="15" hidden="false" customHeight="false" outlineLevel="0" collapsed="false">
      <c r="B5" s="5" t="s">
        <v>202</v>
      </c>
      <c r="C5" s="6" t="s">
        <v>203</v>
      </c>
      <c r="D5" s="6"/>
      <c r="E5" s="85" t="s">
        <v>204</v>
      </c>
      <c r="F5" s="85"/>
      <c r="G5" s="85"/>
      <c r="H5" s="85"/>
    </row>
    <row r="6" customFormat="false" ht="30" hidden="false" customHeight="true" outlineLevel="0" collapsed="false">
      <c r="B6" s="33" t="s">
        <v>180</v>
      </c>
      <c r="C6" s="33" t="s">
        <v>205</v>
      </c>
      <c r="D6" s="33" t="s">
        <v>206</v>
      </c>
      <c r="E6" s="33" t="s">
        <v>207</v>
      </c>
      <c r="F6" s="33" t="s">
        <v>208</v>
      </c>
      <c r="G6" s="33" t="s">
        <v>209</v>
      </c>
      <c r="H6" s="33" t="s">
        <v>210</v>
      </c>
    </row>
    <row r="7" customFormat="false" ht="15" hidden="false" customHeight="false" outlineLevel="0" collapsed="false">
      <c r="B7" s="35" t="s">
        <v>11</v>
      </c>
      <c r="C7" s="86" t="n">
        <v>14</v>
      </c>
      <c r="D7" s="86" t="n">
        <v>40</v>
      </c>
      <c r="E7" s="86" t="n">
        <v>384</v>
      </c>
      <c r="F7" s="87" t="n">
        <f aca="false">SUM(C7:E7)</f>
        <v>438</v>
      </c>
      <c r="G7" s="88" t="n">
        <f aca="false">IF($C$5="Toutes cabines",$F7,IF(LEFT($C$5,1)="C",$C7,IF(LEFT($C$5,1)="W",$D7,$E7)))</f>
        <v>438</v>
      </c>
      <c r="H7" s="89" t="s">
        <v>211</v>
      </c>
    </row>
    <row r="8" customFormat="false" ht="15" hidden="false" customHeight="false" outlineLevel="0" collapsed="false">
      <c r="B8" s="35" t="s">
        <v>19</v>
      </c>
      <c r="C8" s="86" t="n">
        <v>18</v>
      </c>
      <c r="D8" s="86" t="n">
        <v>0</v>
      </c>
      <c r="E8" s="86" t="n">
        <v>244</v>
      </c>
      <c r="F8" s="87" t="n">
        <f aca="false">SUM(C8:E8)</f>
        <v>262</v>
      </c>
      <c r="G8" s="88" t="n">
        <f aca="false">IF($C$5="Toutes cabines",$F8,IF(LEFT($C$5,1)="C",$C8,IF(LEFT($C$5,1)="W",$D8,$E8)))</f>
        <v>262</v>
      </c>
      <c r="H8" s="89" t="s">
        <v>212</v>
      </c>
    </row>
    <row r="9" customFormat="false" ht="15" hidden="false" customHeight="false" outlineLevel="0" collapsed="false">
      <c r="B9" s="35" t="s">
        <v>24</v>
      </c>
      <c r="C9" s="86" t="n">
        <v>0</v>
      </c>
      <c r="D9" s="86" t="n">
        <v>12</v>
      </c>
      <c r="E9" s="86" t="n">
        <v>162</v>
      </c>
      <c r="F9" s="87" t="n">
        <f aca="false">SUM(C9:E9)</f>
        <v>174</v>
      </c>
      <c r="G9" s="88" t="n">
        <f aca="false">IF($C$5="Toutes cabines",$F9,IF(LEFT($C$5,1)="C",$C9,IF(LEFT($C$5,1)="W",$D9,$E9)))</f>
        <v>174</v>
      </c>
      <c r="H9" s="89" t="s">
        <v>213</v>
      </c>
    </row>
    <row r="11" customFormat="false" ht="15" hidden="false" customHeight="false" outlineLevel="0" collapsed="false">
      <c r="B11" s="35" t="s">
        <v>214</v>
      </c>
      <c r="C11" s="90" t="n">
        <v>1</v>
      </c>
      <c r="D11" s="91" t="s">
        <v>215</v>
      </c>
      <c r="E11" s="91"/>
      <c r="F11" s="91"/>
      <c r="G11" s="91"/>
      <c r="H11" s="91"/>
    </row>
    <row r="12" customFormat="false" ht="19.4" hidden="false" customHeight="true" outlineLevel="0" collapsed="false">
      <c r="B12" s="46" t="s">
        <v>216</v>
      </c>
      <c r="C12" s="46"/>
      <c r="D12" s="46"/>
      <c r="E12" s="46"/>
      <c r="F12" s="46"/>
      <c r="G12" s="46"/>
      <c r="H12" s="46"/>
    </row>
    <row r="14" customFormat="false" ht="15" hidden="false" customHeight="false" outlineLevel="0" collapsed="false">
      <c r="B14" s="14" t="str">
        <f aca="false">"SYNTHESE ANNUELLE PAR ROUTE"&amp;IF($C$5="Toutes cabines",""," - CABINE "&amp;$C$5)</f>
        <v>SYNTHESE ANNUELLE PAR ROUTE</v>
      </c>
      <c r="C14" s="14"/>
      <c r="D14" s="14"/>
      <c r="E14" s="14"/>
      <c r="F14" s="14"/>
      <c r="G14" s="14"/>
      <c r="H14" s="14"/>
    </row>
    <row r="15" customFormat="false" ht="30" hidden="false" customHeight="true" outlineLevel="0" collapsed="false">
      <c r="B15" s="33" t="s">
        <v>84</v>
      </c>
      <c r="C15" s="33" t="s">
        <v>217</v>
      </c>
      <c r="D15" s="33" t="s">
        <v>218</v>
      </c>
      <c r="E15" s="33" t="s">
        <v>219</v>
      </c>
      <c r="F15" s="33" t="s">
        <v>220</v>
      </c>
    </row>
    <row r="16" customFormat="false" ht="15" hidden="false" customHeight="false" outlineLevel="0" collapsed="false">
      <c r="B16" s="92" t="s">
        <v>12</v>
      </c>
      <c r="C16" s="39" t="n">
        <f aca="false">SUM(C$49:C$60)</f>
        <v>586</v>
      </c>
      <c r="D16" s="87" t="n">
        <f aca="false">SUM(C$32:C$43)</f>
        <v>209588</v>
      </c>
      <c r="E16" s="93" t="n">
        <f aca="false">IFERROR(D16/C16,"-")</f>
        <v>357.658703071672</v>
      </c>
      <c r="F16" s="94" t="n">
        <f aca="false">IFERROR(D16/$D$28,0)</f>
        <v>0.36089878585733</v>
      </c>
    </row>
    <row r="17" customFormat="false" ht="15" hidden="false" customHeight="false" outlineLevel="0" collapsed="false">
      <c r="B17" s="95" t="s">
        <v>20</v>
      </c>
      <c r="C17" s="39" t="n">
        <f aca="false">SUM(D$49:D$60)</f>
        <v>156.5</v>
      </c>
      <c r="D17" s="87" t="n">
        <f aca="false">SUM(D$32:D$43)</f>
        <v>50155</v>
      </c>
      <c r="E17" s="93" t="n">
        <f aca="false">IFERROR(D17/C17,"-")</f>
        <v>320.479233226837</v>
      </c>
      <c r="F17" s="94" t="n">
        <f aca="false">IFERROR(D17/$D$28,0)</f>
        <v>0.0863640981576922</v>
      </c>
    </row>
    <row r="18" customFormat="false" ht="15" hidden="false" customHeight="false" outlineLevel="0" collapsed="false">
      <c r="B18" s="96" t="s">
        <v>25</v>
      </c>
      <c r="C18" s="39" t="n">
        <f aca="false">SUM(E$49:E$60)</f>
        <v>104</v>
      </c>
      <c r="D18" s="87" t="n">
        <f aca="false">SUM(E$32:E$43)</f>
        <v>27248</v>
      </c>
      <c r="E18" s="93" t="n">
        <f aca="false">IFERROR(D18/C18,"-")</f>
        <v>262</v>
      </c>
      <c r="F18" s="94" t="n">
        <f aca="false">IFERROR(D18/$D$28,0)</f>
        <v>0.0469195283939946</v>
      </c>
    </row>
    <row r="19" customFormat="false" ht="15" hidden="false" customHeight="false" outlineLevel="0" collapsed="false">
      <c r="B19" s="97" t="s">
        <v>36</v>
      </c>
      <c r="C19" s="39" t="n">
        <f aca="false">SUM(F$49:F$60)</f>
        <v>314</v>
      </c>
      <c r="D19" s="87" t="n">
        <f aca="false">SUM(F$32:F$43)</f>
        <v>59212</v>
      </c>
      <c r="E19" s="93" t="n">
        <f aca="false">IFERROR(D19/C19,"-")</f>
        <v>188.573248407643</v>
      </c>
      <c r="F19" s="94" t="n">
        <f aca="false">IFERROR(D19/$D$28,0)</f>
        <v>0.101959744394642</v>
      </c>
    </row>
    <row r="20" customFormat="false" ht="15" hidden="false" customHeight="false" outlineLevel="0" collapsed="false">
      <c r="B20" s="98" t="s">
        <v>40</v>
      </c>
      <c r="C20" s="39" t="n">
        <f aca="false">SUM(G$49:G$60)</f>
        <v>209</v>
      </c>
      <c r="D20" s="87" t="n">
        <f aca="false">SUM(G$32:G$43)</f>
        <v>36366</v>
      </c>
      <c r="E20" s="93" t="n">
        <f aca="false">IFERROR(D20/C20,"-")</f>
        <v>174</v>
      </c>
      <c r="F20" s="94" t="n">
        <f aca="false">IFERROR(D20/$D$28,0)</f>
        <v>0.0626202132110983</v>
      </c>
    </row>
    <row r="21" customFormat="false" ht="15" hidden="false" customHeight="false" outlineLevel="0" collapsed="false">
      <c r="B21" s="99" t="s">
        <v>14</v>
      </c>
      <c r="C21" s="39" t="n">
        <f aca="false">SUM(H$49:H$60)</f>
        <v>169</v>
      </c>
      <c r="D21" s="87" t="n">
        <f aca="false">SUM(H$32:H$43)</f>
        <v>29406</v>
      </c>
      <c r="E21" s="93" t="n">
        <f aca="false">IFERROR(D21/C21,"-")</f>
        <v>174</v>
      </c>
      <c r="F21" s="94" t="n">
        <f aca="false">IFERROR(D21/$D$28,0)</f>
        <v>0.0506354834099311</v>
      </c>
    </row>
    <row r="22" customFormat="false" ht="15" hidden="false" customHeight="false" outlineLevel="0" collapsed="false">
      <c r="B22" s="100" t="s">
        <v>46</v>
      </c>
      <c r="C22" s="39" t="n">
        <f aca="false">SUM(I$49:I$60)</f>
        <v>157</v>
      </c>
      <c r="D22" s="87" t="n">
        <f aca="false">SUM(I$32:I$43)</f>
        <v>27318</v>
      </c>
      <c r="E22" s="93" t="n">
        <f aca="false">IFERROR(D22/C22,"-")</f>
        <v>174</v>
      </c>
      <c r="F22" s="94" t="n">
        <f aca="false">IFERROR(D22/$D$28,0)</f>
        <v>0.047040064469581</v>
      </c>
    </row>
    <row r="23" customFormat="false" ht="15" hidden="false" customHeight="false" outlineLevel="0" collapsed="false">
      <c r="B23" s="101" t="s">
        <v>49</v>
      </c>
      <c r="C23" s="39" t="n">
        <f aca="false">SUM(J$49:J$60)</f>
        <v>105</v>
      </c>
      <c r="D23" s="87" t="n">
        <f aca="false">SUM(J$32:J$43)</f>
        <v>27510</v>
      </c>
      <c r="E23" s="93" t="n">
        <f aca="false">IFERROR(D23/C23,"-")</f>
        <v>262</v>
      </c>
      <c r="F23" s="94" t="n">
        <f aca="false">IFERROR(D23/$D$28,0)</f>
        <v>0.0473706777054753</v>
      </c>
    </row>
    <row r="24" customFormat="false" ht="15" hidden="false" customHeight="false" outlineLevel="0" collapsed="false">
      <c r="B24" s="102" t="s">
        <v>53</v>
      </c>
      <c r="C24" s="39" t="n">
        <f aca="false">SUM(K$49:K$60)</f>
        <v>53</v>
      </c>
      <c r="D24" s="87" t="n">
        <f aca="false">SUM(K$32:K$43)</f>
        <v>13886</v>
      </c>
      <c r="E24" s="93" t="n">
        <f aca="false">IFERROR(D24/C24,"-")</f>
        <v>262</v>
      </c>
      <c r="F24" s="94" t="n">
        <f aca="false">IFERROR(D24/$D$28,0)</f>
        <v>0.023910913508478</v>
      </c>
    </row>
    <row r="25" customFormat="false" ht="15" hidden="false" customHeight="false" outlineLevel="0" collapsed="false">
      <c r="B25" s="103" t="s">
        <v>56</v>
      </c>
      <c r="C25" s="39" t="n">
        <f aca="false">SUM(L$49:L$60)</f>
        <v>104</v>
      </c>
      <c r="D25" s="87" t="n">
        <f aca="false">SUM(L$32:L$43)</f>
        <v>18096</v>
      </c>
      <c r="E25" s="93" t="n">
        <f aca="false">IFERROR(D25/C25,"-")</f>
        <v>174</v>
      </c>
      <c r="F25" s="94" t="n">
        <f aca="false">IFERROR(D25/$D$28,0)</f>
        <v>0.0311602974830345</v>
      </c>
    </row>
    <row r="26" customFormat="false" ht="15" hidden="false" customHeight="false" outlineLevel="0" collapsed="false">
      <c r="B26" s="104" t="s">
        <v>59</v>
      </c>
      <c r="C26" s="39" t="n">
        <f aca="false">SUM(M$49:M$60)</f>
        <v>367</v>
      </c>
      <c r="D26" s="87" t="n">
        <f aca="false">SUM(M$32:M$43)</f>
        <v>63858</v>
      </c>
      <c r="E26" s="93" t="n">
        <f aca="false">IFERROR(D26/C26,"-")</f>
        <v>174</v>
      </c>
      <c r="F26" s="94" t="n">
        <f aca="false">IFERROR(D26/$D$28,0)</f>
        <v>0.109959895925708</v>
      </c>
    </row>
    <row r="27" customFormat="false" ht="15" hidden="false" customHeight="false" outlineLevel="0" collapsed="false">
      <c r="B27" s="105" t="s">
        <v>62</v>
      </c>
      <c r="C27" s="39" t="n">
        <f aca="false">SUM(N$49:N$60)</f>
        <v>104</v>
      </c>
      <c r="D27" s="87" t="n">
        <f aca="false">SUM(N$32:N$43)</f>
        <v>18096</v>
      </c>
      <c r="E27" s="93" t="n">
        <f aca="false">IFERROR(D27/C27,"-")</f>
        <v>174</v>
      </c>
      <c r="F27" s="94" t="n">
        <f aca="false">IFERROR(D27/$D$28,0)</f>
        <v>0.0311602974830345</v>
      </c>
    </row>
    <row r="28" customFormat="false" ht="15" hidden="false" customHeight="false" outlineLevel="0" collapsed="false">
      <c r="B28" s="41" t="s">
        <v>221</v>
      </c>
      <c r="C28" s="44" t="n">
        <f aca="false">SUM(C16:C27)</f>
        <v>2428.5</v>
      </c>
      <c r="D28" s="106" t="n">
        <f aca="false">SUM(D16:D27)</f>
        <v>580739</v>
      </c>
      <c r="E28" s="107" t="n">
        <f aca="false">IFERROR(D28/C28,"-")</f>
        <v>239.134856907556</v>
      </c>
      <c r="F28" s="108" t="n">
        <f aca="false">IFERROR(D28/$D$28,0)</f>
        <v>1</v>
      </c>
    </row>
    <row r="30" customFormat="false" ht="15" hidden="false" customHeight="false" outlineLevel="0" collapsed="false">
      <c r="B30" s="14" t="str">
        <f aca="false">"SIEGES OFFERTS PAR MOIS ET PAR ROUTE"&amp;IF($C$5="Toutes cabines",""," - CABINE "&amp;$C$5)</f>
        <v>SIEGES OFFERTS PAR MOIS ET PAR ROUTE</v>
      </c>
      <c r="C30" s="14"/>
      <c r="D30" s="14"/>
      <c r="E30" s="14"/>
      <c r="F30" s="14"/>
      <c r="G30" s="14"/>
      <c r="H30" s="14"/>
      <c r="I30" s="14"/>
      <c r="J30" s="14"/>
      <c r="K30" s="14"/>
      <c r="L30" s="14"/>
      <c r="M30" s="14"/>
      <c r="N30" s="14"/>
      <c r="O30" s="14"/>
    </row>
    <row r="31" customFormat="false" ht="15" hidden="false" customHeight="false" outlineLevel="0" collapsed="false">
      <c r="B31" s="109" t="s">
        <v>222</v>
      </c>
      <c r="C31" s="110" t="s">
        <v>12</v>
      </c>
      <c r="D31" s="111" t="s">
        <v>20</v>
      </c>
      <c r="E31" s="112" t="s">
        <v>25</v>
      </c>
      <c r="F31" s="113" t="s">
        <v>36</v>
      </c>
      <c r="G31" s="114" t="s">
        <v>40</v>
      </c>
      <c r="H31" s="115" t="s">
        <v>14</v>
      </c>
      <c r="I31" s="116" t="s">
        <v>46</v>
      </c>
      <c r="J31" s="117" t="s">
        <v>49</v>
      </c>
      <c r="K31" s="118" t="s">
        <v>53</v>
      </c>
      <c r="L31" s="119" t="s">
        <v>56</v>
      </c>
      <c r="M31" s="120" t="s">
        <v>59</v>
      </c>
      <c r="N31" s="121" t="s">
        <v>62</v>
      </c>
      <c r="O31" s="109" t="s">
        <v>223</v>
      </c>
    </row>
    <row r="32" customFormat="false" ht="15" hidden="false" customHeight="false" outlineLevel="0" collapsed="false">
      <c r="B32" s="122" t="str">
        <f aca="false">'Programme de vols'!$AB$4</f>
        <v>avril 2027</v>
      </c>
      <c r="C32" s="123" t="n">
        <f aca="false">$G$7*$C$11*C175+$G$8*$C$11*C176+$G$9*$C$11*C177</f>
        <v>16540</v>
      </c>
      <c r="D32" s="123" t="n">
        <f aca="false">$G$7*$C$11*C178+$G$8*$C$11*C179+$G$9*$C$11*C180</f>
        <v>3979</v>
      </c>
      <c r="E32" s="123" t="n">
        <f aca="false">$G$7*$C$11*C181+$G$8*$C$11*C182+$G$9*$C$11*C183</f>
        <v>2096</v>
      </c>
      <c r="F32" s="123" t="n">
        <f aca="false">$G$7*$C$11*C184+$G$8*$C$11*C185+$G$9*$C$11*C186</f>
        <v>4876</v>
      </c>
      <c r="G32" s="123" t="n">
        <f aca="false">$G$7*$C$11*C187+$G$8*$C$11*C188+$G$9*$C$11*C189</f>
        <v>2958</v>
      </c>
      <c r="H32" s="123" t="n">
        <f aca="false">$G$7*$C$11*C190+$G$8*$C$11*C191+$G$9*$C$11*C192</f>
        <v>2262</v>
      </c>
      <c r="I32" s="123" t="n">
        <f aca="false">$G$7*$C$11*C193+$G$8*$C$11*C194+$G$9*$C$11*C195</f>
        <v>2262</v>
      </c>
      <c r="J32" s="123" t="n">
        <f aca="false">$G$7*$C$11*C196+$G$8*$C$11*C197+$G$9*$C$11*C198</f>
        <v>2358</v>
      </c>
      <c r="K32" s="123" t="n">
        <f aca="false">$G$7*$C$11*C199+$G$8*$C$11*C200+$G$9*$C$11*C201</f>
        <v>1310</v>
      </c>
      <c r="L32" s="123" t="n">
        <f aca="false">$G$7*$C$11*C202+$G$8*$C$11*C203+$G$9*$C$11*C204</f>
        <v>1392</v>
      </c>
      <c r="M32" s="123" t="n">
        <f aca="false">$G$7*$C$11*C205+$G$8*$C$11*C206+$G$9*$C$11*C207</f>
        <v>5394</v>
      </c>
      <c r="N32" s="123" t="n">
        <f aca="false">$G$7*$C$11*C208+$G$8*$C$11*C209+$G$9*$C$11*C210</f>
        <v>1392</v>
      </c>
      <c r="O32" s="124" t="n">
        <f aca="false">SUM(C32:N32)</f>
        <v>46819</v>
      </c>
    </row>
    <row r="33" customFormat="false" ht="15" hidden="false" customHeight="false" outlineLevel="0" collapsed="false">
      <c r="B33" s="122" t="str">
        <f aca="false">'Programme de vols'!$AB$5</f>
        <v>mai 2027</v>
      </c>
      <c r="C33" s="123" t="n">
        <f aca="false">$G$7*$C$11*D175+$G$8*$C$11*D176+$G$9*$C$11*D177</f>
        <v>17589</v>
      </c>
      <c r="D33" s="123" t="n">
        <f aca="false">$G$7*$C$11*D178+$G$8*$C$11*D179+$G$9*$C$11*D180</f>
        <v>4417</v>
      </c>
      <c r="E33" s="123" t="n">
        <f aca="false">$G$7*$C$11*D181+$G$8*$C$11*D182+$G$9*$C$11*D183</f>
        <v>2358</v>
      </c>
      <c r="F33" s="123" t="n">
        <f aca="false">$G$7*$C$11*D184+$G$8*$C$11*D185+$G$9*$C$11*D186</f>
        <v>4702</v>
      </c>
      <c r="G33" s="123" t="n">
        <f aca="false">$G$7*$C$11*D187+$G$8*$C$11*D188+$G$9*$C$11*D189</f>
        <v>3132</v>
      </c>
      <c r="H33" s="123" t="n">
        <f aca="false">$G$7*$C$11*D190+$G$8*$C$11*D191+$G$9*$C$11*D192</f>
        <v>2436</v>
      </c>
      <c r="I33" s="123" t="n">
        <f aca="false">$G$7*$C$11*D193+$G$8*$C$11*D194+$G$9*$C$11*D195</f>
        <v>2262</v>
      </c>
      <c r="J33" s="123" t="n">
        <f aca="false">$G$7*$C$11*D196+$G$8*$C$11*D197+$G$9*$C$11*D198</f>
        <v>2358</v>
      </c>
      <c r="K33" s="123" t="n">
        <f aca="false">$G$7*$C$11*D199+$G$8*$C$11*D200+$G$9*$C$11*D201</f>
        <v>1048</v>
      </c>
      <c r="L33" s="123" t="n">
        <f aca="false">$G$7*$C$11*D202+$G$8*$C$11*D203+$G$9*$C$11*D204</f>
        <v>1566</v>
      </c>
      <c r="M33" s="123" t="n">
        <f aca="false">$G$7*$C$11*D205+$G$8*$C$11*D206+$G$9*$C$11*D207</f>
        <v>5220</v>
      </c>
      <c r="N33" s="123" t="n">
        <f aca="false">$G$7*$C$11*D208+$G$8*$C$11*D209+$G$9*$C$11*D210</f>
        <v>1566</v>
      </c>
      <c r="O33" s="124" t="n">
        <f aca="false">SUM(C33:N33)</f>
        <v>48654</v>
      </c>
    </row>
    <row r="34" customFormat="false" ht="15" hidden="false" customHeight="false" outlineLevel="0" collapsed="false">
      <c r="B34" s="122" t="str">
        <f aca="false">'Programme de vols'!$AB$6</f>
        <v>juin 2027</v>
      </c>
      <c r="C34" s="123" t="n">
        <f aca="false">$G$7*$C$11*E175+$G$8*$C$11*E176+$G$9*$C$11*E177</f>
        <v>16846</v>
      </c>
      <c r="D34" s="123" t="n">
        <f aca="false">$G$7*$C$11*E178+$G$8*$C$11*E179+$G$9*$C$11*E180</f>
        <v>4110</v>
      </c>
      <c r="E34" s="123" t="n">
        <f aca="false">$G$7*$C$11*E181+$G$8*$C$11*E182+$G$9*$C$11*E183</f>
        <v>2227</v>
      </c>
      <c r="F34" s="123" t="n">
        <f aca="false">$G$7*$C$11*E184+$G$8*$C$11*E185+$G$9*$C$11*E186</f>
        <v>5138</v>
      </c>
      <c r="G34" s="123" t="n">
        <f aca="false">$G$7*$C$11*E187+$G$8*$C$11*E188+$G$9*$C$11*E189</f>
        <v>2958</v>
      </c>
      <c r="H34" s="123" t="n">
        <f aca="false">$G$7*$C$11*E190+$G$8*$C$11*E191+$G$9*$C$11*E192</f>
        <v>2088</v>
      </c>
      <c r="I34" s="123" t="n">
        <f aca="false">$G$7*$C$11*E193+$G$8*$C$11*E194+$G$9*$C$11*E195</f>
        <v>2262</v>
      </c>
      <c r="J34" s="123" t="n">
        <f aca="false">$G$7*$C$11*E196+$G$8*$C$11*E197+$G$9*$C$11*E198</f>
        <v>2096</v>
      </c>
      <c r="K34" s="123" t="n">
        <f aca="false">$G$7*$C$11*E199+$G$8*$C$11*E200+$G$9*$C$11*E201</f>
        <v>1048</v>
      </c>
      <c r="L34" s="123" t="n">
        <f aca="false">$G$7*$C$11*E202+$G$8*$C$11*E203+$G$9*$C$11*E204</f>
        <v>1566</v>
      </c>
      <c r="M34" s="123" t="n">
        <f aca="false">$G$7*$C$11*E205+$G$8*$C$11*E206+$G$9*$C$11*E207</f>
        <v>5220</v>
      </c>
      <c r="N34" s="123" t="n">
        <f aca="false">$G$7*$C$11*E208+$G$8*$C$11*E209+$G$9*$C$11*E210</f>
        <v>1566</v>
      </c>
      <c r="O34" s="124" t="n">
        <f aca="false">SUM(C34:N34)</f>
        <v>47125</v>
      </c>
    </row>
    <row r="35" customFormat="false" ht="15" hidden="false" customHeight="false" outlineLevel="0" collapsed="false">
      <c r="B35" s="122" t="str">
        <f aca="false">'Programme de vols'!$AB$7</f>
        <v>juillet 2027</v>
      </c>
      <c r="C35" s="123" t="n">
        <f aca="false">$G$7*$C$11*F175+$G$8*$C$11*F176+$G$9*$C$11*F177</f>
        <v>17328</v>
      </c>
      <c r="D35" s="123" t="n">
        <f aca="false">$G$7*$C$11*F178+$G$8*$C$11*F179+$G$9*$C$11*F180</f>
        <v>4110</v>
      </c>
      <c r="E35" s="123" t="n">
        <f aca="false">$G$7*$C$11*F181+$G$8*$C$11*F182+$G$9*$C$11*F183</f>
        <v>2358</v>
      </c>
      <c r="F35" s="123" t="n">
        <f aca="false">$G$7*$C$11*F184+$G$8*$C$11*F185+$G$9*$C$11*F186</f>
        <v>4876</v>
      </c>
      <c r="G35" s="123" t="n">
        <f aca="false">$G$7*$C$11*F187+$G$8*$C$11*F188+$G$9*$C$11*F189</f>
        <v>2958</v>
      </c>
      <c r="H35" s="123" t="n">
        <f aca="false">$G$7*$C$11*F190+$G$8*$C$11*F191+$G$9*$C$11*F192</f>
        <v>3132</v>
      </c>
      <c r="I35" s="123" t="n">
        <f aca="false">$G$7*$C$11*F193+$G$8*$C$11*F194+$G$9*$C$11*F195</f>
        <v>2436</v>
      </c>
      <c r="J35" s="123" t="n">
        <f aca="false">$G$7*$C$11*F196+$G$8*$C$11*F197+$G$9*$C$11*F198</f>
        <v>2358</v>
      </c>
      <c r="K35" s="123" t="n">
        <f aca="false">$G$7*$C$11*F199+$G$8*$C$11*F200+$G$9*$C$11*F201</f>
        <v>1310</v>
      </c>
      <c r="L35" s="123" t="n">
        <f aca="false">$G$7*$C$11*F202+$G$8*$C$11*F203+$G$9*$C$11*F204</f>
        <v>1566</v>
      </c>
      <c r="M35" s="123" t="n">
        <f aca="false">$G$7*$C$11*F205+$G$8*$C$11*F206+$G$9*$C$11*F207</f>
        <v>5568</v>
      </c>
      <c r="N35" s="123" t="n">
        <f aca="false">$G$7*$C$11*F208+$G$8*$C$11*F209+$G$9*$C$11*F210</f>
        <v>1392</v>
      </c>
      <c r="O35" s="124" t="n">
        <f aca="false">SUM(C35:N35)</f>
        <v>49392</v>
      </c>
    </row>
    <row r="36" customFormat="false" ht="15" hidden="false" customHeight="false" outlineLevel="0" collapsed="false">
      <c r="B36" s="122" t="str">
        <f aca="false">'Programme de vols'!$AB$8</f>
        <v>aout 2027</v>
      </c>
      <c r="C36" s="123" t="n">
        <f aca="false">$G$7*$C$11*G175+$G$8*$C$11*G176+$G$9*$C$11*G177</f>
        <v>21569</v>
      </c>
      <c r="D36" s="123" t="n">
        <f aca="false">$G$7*$C$11*G178+$G$8*$C$11*G179+$G$9*$C$11*G180</f>
        <v>4417</v>
      </c>
      <c r="E36" s="123" t="n">
        <f aca="false">$G$7*$C$11*G181+$G$8*$C$11*G182+$G$9*$C$11*G183</f>
        <v>2227</v>
      </c>
      <c r="F36" s="123" t="n">
        <f aca="false">$G$7*$C$11*G184+$G$8*$C$11*G185+$G$9*$C$11*G186</f>
        <v>4876</v>
      </c>
      <c r="G36" s="123" t="n">
        <f aca="false">$G$7*$C$11*G187+$G$8*$C$11*G188+$G$9*$C$11*G189</f>
        <v>3132</v>
      </c>
      <c r="H36" s="123" t="n">
        <f aca="false">$G$7*$C$11*G190+$G$8*$C$11*G191+$G$9*$C$11*G192</f>
        <v>2262</v>
      </c>
      <c r="I36" s="123" t="n">
        <f aca="false">$G$7*$C$11*G193+$G$8*$C$11*G194+$G$9*$C$11*G195</f>
        <v>2262</v>
      </c>
      <c r="J36" s="123" t="n">
        <f aca="false">$G$7*$C$11*G196+$G$8*$C$11*G197+$G$9*$C$11*G198</f>
        <v>2358</v>
      </c>
      <c r="K36" s="123" t="n">
        <f aca="false">$G$7*$C$11*G199+$G$8*$C$11*G200+$G$9*$C$11*G201</f>
        <v>1048</v>
      </c>
      <c r="L36" s="123" t="n">
        <f aca="false">$G$7*$C$11*G202+$G$8*$C$11*G203+$G$9*$C$11*G204</f>
        <v>1566</v>
      </c>
      <c r="M36" s="123" t="n">
        <f aca="false">$G$7*$C$11*G205+$G$8*$C$11*G206+$G$9*$C$11*G207</f>
        <v>5220</v>
      </c>
      <c r="N36" s="123" t="n">
        <f aca="false">$G$7*$C$11*G208+$G$8*$C$11*G209+$G$9*$C$11*G210</f>
        <v>1566</v>
      </c>
      <c r="O36" s="124" t="n">
        <f aca="false">SUM(C36:N36)</f>
        <v>52503</v>
      </c>
    </row>
    <row r="37" customFormat="false" ht="15" hidden="false" customHeight="false" outlineLevel="0" collapsed="false">
      <c r="B37" s="122" t="str">
        <f aca="false">'Programme de vols'!$AB$9</f>
        <v>septembre 2027</v>
      </c>
      <c r="C37" s="123" t="n">
        <f aca="false">$G$7*$C$11*H175+$G$8*$C$11*H176+$G$9*$C$11*H177</f>
        <v>16759</v>
      </c>
      <c r="D37" s="123" t="n">
        <f aca="false">$G$7*$C$11*H178+$G$8*$C$11*H179+$G$9*$C$11*H180</f>
        <v>3979</v>
      </c>
      <c r="E37" s="123" t="n">
        <f aca="false">$G$7*$C$11*H181+$G$8*$C$11*H182+$G$9*$C$11*H183</f>
        <v>2358</v>
      </c>
      <c r="F37" s="123" t="n">
        <f aca="false">$G$7*$C$11*H184+$G$8*$C$11*H185+$G$9*$C$11*H186</f>
        <v>5138</v>
      </c>
      <c r="G37" s="123" t="n">
        <f aca="false">$G$7*$C$11*H187+$G$8*$C$11*H188+$G$9*$C$11*H189</f>
        <v>2958</v>
      </c>
      <c r="H37" s="123" t="n">
        <f aca="false">$G$7*$C$11*H190+$G$8*$C$11*H191+$G$9*$C$11*H192</f>
        <v>2262</v>
      </c>
      <c r="I37" s="123" t="n">
        <f aca="false">$G$7*$C$11*H193+$G$8*$C$11*H194+$G$9*$C$11*H195</f>
        <v>2262</v>
      </c>
      <c r="J37" s="123" t="n">
        <f aca="false">$G$7*$C$11*H196+$G$8*$C$11*H197+$G$9*$C$11*H198</f>
        <v>2096</v>
      </c>
      <c r="K37" s="123" t="n">
        <f aca="false">$G$7*$C$11*H199+$G$8*$C$11*H200+$G$9*$C$11*H201</f>
        <v>1310</v>
      </c>
      <c r="L37" s="123" t="n">
        <f aca="false">$G$7*$C$11*H202+$G$8*$C$11*H203+$G$9*$C$11*H204</f>
        <v>1392</v>
      </c>
      <c r="M37" s="123" t="n">
        <f aca="false">$G$7*$C$11*H205+$G$8*$C$11*H206+$G$9*$C$11*H207</f>
        <v>5394</v>
      </c>
      <c r="N37" s="123" t="n">
        <f aca="false">$G$7*$C$11*H208+$G$8*$C$11*H209+$G$9*$C$11*H210</f>
        <v>1566</v>
      </c>
      <c r="O37" s="124" t="n">
        <f aca="false">SUM(C37:N37)</f>
        <v>47474</v>
      </c>
    </row>
    <row r="38" customFormat="false" ht="15" hidden="false" customHeight="false" outlineLevel="0" collapsed="false">
      <c r="B38" s="122" t="str">
        <f aca="false">'Programme de vols'!$AB$10</f>
        <v>octobre 2027</v>
      </c>
      <c r="C38" s="123" t="n">
        <f aca="false">$G$7*$C$11*I175+$G$8*$C$11*I176+$G$9*$C$11*I177</f>
        <v>17328</v>
      </c>
      <c r="D38" s="123" t="n">
        <f aca="false">$G$7*$C$11*I178+$G$8*$C$11*I179+$G$9*$C$11*I180</f>
        <v>4329</v>
      </c>
      <c r="E38" s="123" t="n">
        <f aca="false">$G$7*$C$11*I181+$G$8*$C$11*I182+$G$9*$C$11*I183</f>
        <v>2358</v>
      </c>
      <c r="F38" s="123" t="n">
        <f aca="false">$G$7*$C$11*I184+$G$8*$C$11*I185+$G$9*$C$11*I186</f>
        <v>4702</v>
      </c>
      <c r="G38" s="123" t="n">
        <f aca="false">$G$7*$C$11*I187+$G$8*$C$11*I188+$G$9*$C$11*I189</f>
        <v>3132</v>
      </c>
      <c r="H38" s="123" t="n">
        <f aca="false">$G$7*$C$11*I190+$G$8*$C$11*I191+$G$9*$C$11*I192</f>
        <v>2262</v>
      </c>
      <c r="I38" s="123" t="n">
        <f aca="false">$G$7*$C$11*I193+$G$8*$C$11*I194+$G$9*$C$11*I195</f>
        <v>2262</v>
      </c>
      <c r="J38" s="123" t="n">
        <f aca="false">$G$7*$C$11*I196+$G$8*$C$11*I197+$G$9*$C$11*I198</f>
        <v>2358</v>
      </c>
      <c r="K38" s="123" t="n">
        <f aca="false">$G$7*$C$11*I199+$G$8*$C$11*I200+$G$9*$C$11*I201</f>
        <v>1048</v>
      </c>
      <c r="L38" s="123" t="n">
        <f aca="false">$G$7*$C$11*I202+$G$8*$C$11*I203+$G$9*$C$11*I204</f>
        <v>1566</v>
      </c>
      <c r="M38" s="123" t="n">
        <f aca="false">$G$7*$C$11*I205+$G$8*$C$11*I206+$G$9*$C$11*I207</f>
        <v>5220</v>
      </c>
      <c r="N38" s="123" t="n">
        <f aca="false">$G$7*$C$11*I208+$G$8*$C$11*I209+$G$9*$C$11*I210</f>
        <v>1566</v>
      </c>
      <c r="O38" s="124" t="n">
        <f aca="false">SUM(C38:N38)</f>
        <v>48131</v>
      </c>
    </row>
    <row r="39" customFormat="false" ht="15" hidden="false" customHeight="false" outlineLevel="0" collapsed="false">
      <c r="B39" s="122" t="str">
        <f aca="false">'Programme de vols'!$AB$11</f>
        <v>novembre 2027</v>
      </c>
      <c r="C39" s="123" t="n">
        <f aca="false">$G$7*$C$11*J175+$G$8*$C$11*J176+$G$9*$C$11*J177</f>
        <v>17238</v>
      </c>
      <c r="D39" s="123" t="n">
        <f aca="false">$G$7*$C$11*J178+$G$8*$C$11*J179+$G$9*$C$11*J180</f>
        <v>4198</v>
      </c>
      <c r="E39" s="123" t="n">
        <f aca="false">$G$7*$C$11*J181+$G$8*$C$11*J182+$G$9*$C$11*J183</f>
        <v>2096</v>
      </c>
      <c r="F39" s="123" t="n">
        <f aca="false">$G$7*$C$11*J184+$G$8*$C$11*J185+$G$9*$C$11*J186</f>
        <v>4876</v>
      </c>
      <c r="G39" s="123" t="n">
        <f aca="false">$G$7*$C$11*J187+$G$8*$C$11*J188+$G$9*$C$11*J189</f>
        <v>2958</v>
      </c>
      <c r="H39" s="123" t="n">
        <f aca="false">$G$7*$C$11*J190+$G$8*$C$11*J191+$G$9*$C$11*J192</f>
        <v>2262</v>
      </c>
      <c r="I39" s="123" t="n">
        <f aca="false">$G$7*$C$11*J193+$G$8*$C$11*J194+$G$9*$C$11*J195</f>
        <v>2262</v>
      </c>
      <c r="J39" s="123" t="n">
        <f aca="false">$G$7*$C$11*J196+$G$8*$C$11*J197+$G$9*$C$11*J198</f>
        <v>2358</v>
      </c>
      <c r="K39" s="123" t="n">
        <f aca="false">$G$7*$C$11*J199+$G$8*$C$11*J200+$G$9*$C$11*J201</f>
        <v>1048</v>
      </c>
      <c r="L39" s="123" t="n">
        <f aca="false">$G$7*$C$11*J202+$G$8*$C$11*J203+$G$9*$C$11*J204</f>
        <v>1566</v>
      </c>
      <c r="M39" s="123" t="n">
        <f aca="false">$G$7*$C$11*J205+$G$8*$C$11*J206+$G$9*$C$11*J207</f>
        <v>5220</v>
      </c>
      <c r="N39" s="123" t="n">
        <f aca="false">$G$7*$C$11*J208+$G$8*$C$11*J209+$G$9*$C$11*J210</f>
        <v>1392</v>
      </c>
      <c r="O39" s="124" t="n">
        <f aca="false">SUM(C39:N39)</f>
        <v>47474</v>
      </c>
    </row>
    <row r="40" customFormat="false" ht="15" hidden="false" customHeight="false" outlineLevel="0" collapsed="false">
      <c r="B40" s="122" t="str">
        <f aca="false">'Programme de vols'!$AB$12</f>
        <v>decembre 2027</v>
      </c>
      <c r="C40" s="123" t="n">
        <f aca="false">$G$7*$C$11*K175+$G$8*$C$11*K176+$G$9*$C$11*K177</f>
        <v>17197</v>
      </c>
      <c r="D40" s="123" t="n">
        <f aca="false">$G$7*$C$11*K178+$G$8*$C$11*K179+$G$9*$C$11*K180</f>
        <v>4110</v>
      </c>
      <c r="E40" s="123" t="n">
        <f aca="false">$G$7*$C$11*K181+$G$8*$C$11*K182+$G$9*$C$11*K183</f>
        <v>2358</v>
      </c>
      <c r="F40" s="123" t="n">
        <f aca="false">$G$7*$C$11*K184+$G$8*$C$11*K185+$G$9*$C$11*K186</f>
        <v>5312</v>
      </c>
      <c r="G40" s="123" t="n">
        <f aca="false">$G$7*$C$11*K187+$G$8*$C$11*K188+$G$9*$C$11*K189</f>
        <v>3132</v>
      </c>
      <c r="H40" s="123" t="n">
        <f aca="false">$G$7*$C$11*K190+$G$8*$C$11*K191+$G$9*$C$11*K192</f>
        <v>3654</v>
      </c>
      <c r="I40" s="123" t="n">
        <f aca="false">$G$7*$C$11*K193+$G$8*$C$11*K194+$G$9*$C$11*K195</f>
        <v>2262</v>
      </c>
      <c r="J40" s="123" t="n">
        <f aca="false">$G$7*$C$11*K196+$G$8*$C$11*K197+$G$9*$C$11*K198</f>
        <v>2358</v>
      </c>
      <c r="K40" s="123" t="n">
        <f aca="false">$G$7*$C$11*K199+$G$8*$C$11*K200+$G$9*$C$11*K201</f>
        <v>1310</v>
      </c>
      <c r="L40" s="123" t="n">
        <f aca="false">$G$7*$C$11*K202+$G$8*$C$11*K203+$G$9*$C$11*K204</f>
        <v>1392</v>
      </c>
      <c r="M40" s="123" t="n">
        <f aca="false">$G$7*$C$11*K205+$G$8*$C$11*K206+$G$9*$C$11*K207</f>
        <v>5568</v>
      </c>
      <c r="N40" s="123" t="n">
        <f aca="false">$G$7*$C$11*K208+$G$8*$C$11*K209+$G$9*$C$11*K210</f>
        <v>1566</v>
      </c>
      <c r="O40" s="124" t="n">
        <f aca="false">SUM(C40:N40)</f>
        <v>50219</v>
      </c>
    </row>
    <row r="41" customFormat="false" ht="15" hidden="false" customHeight="false" outlineLevel="0" collapsed="false">
      <c r="B41" s="122" t="str">
        <f aca="false">'Programme de vols'!$AB$13</f>
        <v>janvier 2028</v>
      </c>
      <c r="C41" s="123" t="n">
        <f aca="false">$G$7*$C$11*L175+$G$8*$C$11*L176+$G$9*$C$11*L177</f>
        <v>17589</v>
      </c>
      <c r="D41" s="123" t="n">
        <f aca="false">$G$7*$C$11*L178+$G$8*$C$11*L179+$G$9*$C$11*L180</f>
        <v>4417</v>
      </c>
      <c r="E41" s="123" t="n">
        <f aca="false">$G$7*$C$11*L181+$G$8*$C$11*L182+$G$9*$C$11*L183</f>
        <v>2358</v>
      </c>
      <c r="F41" s="123" t="n">
        <f aca="false">$G$7*$C$11*L184+$G$8*$C$11*L185+$G$9*$C$11*L186</f>
        <v>4702</v>
      </c>
      <c r="G41" s="123" t="n">
        <f aca="false">$G$7*$C$11*L187+$G$8*$C$11*L188+$G$9*$C$11*L189</f>
        <v>3132</v>
      </c>
      <c r="H41" s="123" t="n">
        <f aca="false">$G$7*$C$11*L190+$G$8*$C$11*L191+$G$9*$C$11*L192</f>
        <v>2436</v>
      </c>
      <c r="I41" s="123" t="n">
        <f aca="false">$G$7*$C$11*L193+$G$8*$C$11*L194+$G$9*$C$11*L195</f>
        <v>2262</v>
      </c>
      <c r="J41" s="123" t="n">
        <f aca="false">$G$7*$C$11*L196+$G$8*$C$11*L197+$G$9*$C$11*L198</f>
        <v>2358</v>
      </c>
      <c r="K41" s="123" t="n">
        <f aca="false">$G$7*$C$11*L199+$G$8*$C$11*L200+$G$9*$C$11*L201</f>
        <v>1048</v>
      </c>
      <c r="L41" s="123" t="n">
        <f aca="false">$G$7*$C$11*L202+$G$8*$C$11*L203+$G$9*$C$11*L204</f>
        <v>1566</v>
      </c>
      <c r="M41" s="123" t="n">
        <f aca="false">$G$7*$C$11*L205+$G$8*$C$11*L206+$G$9*$C$11*L207</f>
        <v>5220</v>
      </c>
      <c r="N41" s="123" t="n">
        <f aca="false">$G$7*$C$11*L208+$G$8*$C$11*L209+$G$9*$C$11*L210</f>
        <v>1566</v>
      </c>
      <c r="O41" s="124" t="n">
        <f aca="false">SUM(C41:N41)</f>
        <v>48654</v>
      </c>
    </row>
    <row r="42" customFormat="false" ht="15" hidden="false" customHeight="false" outlineLevel="0" collapsed="false">
      <c r="B42" s="122" t="str">
        <f aca="false">'Programme de vols'!$AB$14</f>
        <v>fevrier 2028</v>
      </c>
      <c r="C42" s="123" t="n">
        <f aca="false">$G$7*$C$11*M175+$G$8*$C$11*M176+$G$9*$C$11*M177</f>
        <v>16408</v>
      </c>
      <c r="D42" s="123" t="n">
        <f aca="false">$G$7*$C$11*M178+$G$8*$C$11*M179+$G$9*$C$11*M180</f>
        <v>3979</v>
      </c>
      <c r="E42" s="123" t="n">
        <f aca="false">$G$7*$C$11*M181+$G$8*$C$11*M182+$G$9*$C$11*M183</f>
        <v>2096</v>
      </c>
      <c r="F42" s="123" t="n">
        <f aca="false">$G$7*$C$11*M184+$G$8*$C$11*M185+$G$9*$C$11*M186</f>
        <v>4702</v>
      </c>
      <c r="G42" s="123" t="n">
        <f aca="false">$G$7*$C$11*M187+$G$8*$C$11*M188+$G$9*$C$11*M189</f>
        <v>2784</v>
      </c>
      <c r="H42" s="123" t="n">
        <f aca="false">$G$7*$C$11*M190+$G$8*$C$11*M191+$G$9*$C$11*M192</f>
        <v>2088</v>
      </c>
      <c r="I42" s="123" t="n">
        <f aca="false">$G$7*$C$11*M193+$G$8*$C$11*M194+$G$9*$C$11*M195</f>
        <v>2262</v>
      </c>
      <c r="J42" s="123" t="n">
        <f aca="false">$G$7*$C$11*M196+$G$8*$C$11*M197+$G$9*$C$11*M198</f>
        <v>2096</v>
      </c>
      <c r="K42" s="123" t="n">
        <f aca="false">$G$7*$C$11*M199+$G$8*$C$11*M200+$G$9*$C$11*M201</f>
        <v>1048</v>
      </c>
      <c r="L42" s="123" t="n">
        <f aca="false">$G$7*$C$11*M202+$G$8*$C$11*M203+$G$9*$C$11*M204</f>
        <v>1566</v>
      </c>
      <c r="M42" s="123" t="n">
        <f aca="false">$G$7*$C$11*M205+$G$8*$C$11*M206+$G$9*$C$11*M207</f>
        <v>5046</v>
      </c>
      <c r="N42" s="123" t="n">
        <f aca="false">$G$7*$C$11*M208+$G$8*$C$11*M209+$G$9*$C$11*M210</f>
        <v>1392</v>
      </c>
      <c r="O42" s="124" t="n">
        <f aca="false">SUM(C42:N42)</f>
        <v>45467</v>
      </c>
    </row>
    <row r="43" customFormat="false" ht="15" hidden="false" customHeight="false" outlineLevel="0" collapsed="false">
      <c r="B43" s="122" t="str">
        <f aca="false">'Programme de vols'!$AB$15</f>
        <v>mars 2028</v>
      </c>
      <c r="C43" s="123" t="n">
        <f aca="false">$G$7*$C$11*N175+$G$8*$C$11*N176+$G$9*$C$11*N177</f>
        <v>17197</v>
      </c>
      <c r="D43" s="123" t="n">
        <f aca="false">$G$7*$C$11*N178+$G$8*$C$11*N179+$G$9*$C$11*N180</f>
        <v>4110</v>
      </c>
      <c r="E43" s="123" t="n">
        <f aca="false">$G$7*$C$11*N181+$G$8*$C$11*N182+$G$9*$C$11*N183</f>
        <v>2358</v>
      </c>
      <c r="F43" s="123" t="n">
        <f aca="false">$G$7*$C$11*N184+$G$8*$C$11*N185+$G$9*$C$11*N186</f>
        <v>5312</v>
      </c>
      <c r="G43" s="123" t="n">
        <f aca="false">$G$7*$C$11*N187+$G$8*$C$11*N188+$G$9*$C$11*N189</f>
        <v>3132</v>
      </c>
      <c r="H43" s="123" t="n">
        <f aca="false">$G$7*$C$11*N190+$G$8*$C$11*N191+$G$9*$C$11*N192</f>
        <v>2262</v>
      </c>
      <c r="I43" s="123" t="n">
        <f aca="false">$G$7*$C$11*N193+$G$8*$C$11*N194+$G$9*$C$11*N195</f>
        <v>2262</v>
      </c>
      <c r="J43" s="123" t="n">
        <f aca="false">$G$7*$C$11*N196+$G$8*$C$11*N197+$G$9*$C$11*N198</f>
        <v>2358</v>
      </c>
      <c r="K43" s="123" t="n">
        <f aca="false">$G$7*$C$11*N199+$G$8*$C$11*N200+$G$9*$C$11*N201</f>
        <v>1310</v>
      </c>
      <c r="L43" s="123" t="n">
        <f aca="false">$G$7*$C$11*N202+$G$8*$C$11*N203+$G$9*$C$11*N204</f>
        <v>1392</v>
      </c>
      <c r="M43" s="123" t="n">
        <f aca="false">$G$7*$C$11*N205+$G$8*$C$11*N206+$G$9*$C$11*N207</f>
        <v>5568</v>
      </c>
      <c r="N43" s="123" t="n">
        <f aca="false">$G$7*$C$11*N208+$G$8*$C$11*N209+$G$9*$C$11*N210</f>
        <v>1566</v>
      </c>
      <c r="O43" s="124" t="n">
        <f aca="false">SUM(C43:N43)</f>
        <v>48827</v>
      </c>
    </row>
    <row r="44" customFormat="false" ht="15" hidden="false" customHeight="false" outlineLevel="0" collapsed="false">
      <c r="B44" s="125" t="s">
        <v>224</v>
      </c>
      <c r="C44" s="126" t="n">
        <f aca="false">SUM(C32:C43)</f>
        <v>209588</v>
      </c>
      <c r="D44" s="126" t="n">
        <f aca="false">SUM(D32:D43)</f>
        <v>50155</v>
      </c>
      <c r="E44" s="126" t="n">
        <f aca="false">SUM(E32:E43)</f>
        <v>27248</v>
      </c>
      <c r="F44" s="126" t="n">
        <f aca="false">SUM(F32:F43)</f>
        <v>59212</v>
      </c>
      <c r="G44" s="126" t="n">
        <f aca="false">SUM(G32:G43)</f>
        <v>36366</v>
      </c>
      <c r="H44" s="126" t="n">
        <f aca="false">SUM(H32:H43)</f>
        <v>29406</v>
      </c>
      <c r="I44" s="126" t="n">
        <f aca="false">SUM(I32:I43)</f>
        <v>27318</v>
      </c>
      <c r="J44" s="126" t="n">
        <f aca="false">SUM(J32:J43)</f>
        <v>27510</v>
      </c>
      <c r="K44" s="126" t="n">
        <f aca="false">SUM(K32:K43)</f>
        <v>13886</v>
      </c>
      <c r="L44" s="126" t="n">
        <f aca="false">SUM(L32:L43)</f>
        <v>18096</v>
      </c>
      <c r="M44" s="126" t="n">
        <f aca="false">SUM(M32:M43)</f>
        <v>63858</v>
      </c>
      <c r="N44" s="126" t="n">
        <f aca="false">SUM(N32:N43)</f>
        <v>18096</v>
      </c>
      <c r="O44" s="126" t="n">
        <f aca="false">SUM(O32:O43)</f>
        <v>580739</v>
      </c>
    </row>
    <row r="47" customFormat="false" ht="15" hidden="false" customHeight="false" outlineLevel="0" collapsed="false">
      <c r="B47" s="14" t="str">
        <f aca="false">"ROTATIONS PAR MOIS ET PAR ROUTE"&amp;IF($C$5="Toutes cabines",""," - CABINE "&amp;$C$5)</f>
        <v>ROTATIONS PAR MOIS ET PAR ROUTE</v>
      </c>
      <c r="C47" s="14"/>
      <c r="D47" s="14"/>
      <c r="E47" s="14"/>
      <c r="F47" s="14"/>
      <c r="G47" s="14"/>
      <c r="H47" s="14"/>
      <c r="I47" s="14"/>
      <c r="J47" s="14"/>
      <c r="K47" s="14"/>
      <c r="L47" s="14"/>
      <c r="M47" s="14"/>
      <c r="N47" s="14"/>
      <c r="O47" s="14"/>
    </row>
    <row r="48" customFormat="false" ht="15" hidden="false" customHeight="false" outlineLevel="0" collapsed="false">
      <c r="B48" s="109" t="s">
        <v>222</v>
      </c>
      <c r="C48" s="110" t="s">
        <v>12</v>
      </c>
      <c r="D48" s="111" t="s">
        <v>20</v>
      </c>
      <c r="E48" s="112" t="s">
        <v>25</v>
      </c>
      <c r="F48" s="113" t="s">
        <v>36</v>
      </c>
      <c r="G48" s="114" t="s">
        <v>40</v>
      </c>
      <c r="H48" s="115" t="s">
        <v>14</v>
      </c>
      <c r="I48" s="116" t="s">
        <v>46</v>
      </c>
      <c r="J48" s="117" t="s">
        <v>49</v>
      </c>
      <c r="K48" s="118" t="s">
        <v>53</v>
      </c>
      <c r="L48" s="119" t="s">
        <v>56</v>
      </c>
      <c r="M48" s="120" t="s">
        <v>59</v>
      </c>
      <c r="N48" s="121" t="s">
        <v>62</v>
      </c>
      <c r="O48" s="109" t="s">
        <v>223</v>
      </c>
    </row>
    <row r="49" customFormat="false" ht="15" hidden="false" customHeight="false" outlineLevel="0" collapsed="false">
      <c r="B49" s="122" t="str">
        <f aca="false">'Programme de vols'!$AB$4</f>
        <v>avril 2027</v>
      </c>
      <c r="C49" s="40" t="n">
        <f aca="false">C175+C176+C177</f>
        <v>46</v>
      </c>
      <c r="D49" s="40" t="n">
        <f aca="false">C178+C179+C180</f>
        <v>12.5</v>
      </c>
      <c r="E49" s="40" t="n">
        <f aca="false">C181+C182+C183</f>
        <v>8</v>
      </c>
      <c r="F49" s="40" t="n">
        <f aca="false">C184+C185+C186</f>
        <v>26</v>
      </c>
      <c r="G49" s="40" t="n">
        <f aca="false">C187+C188+C189</f>
        <v>17</v>
      </c>
      <c r="H49" s="40" t="n">
        <f aca="false">C190+C191+C192</f>
        <v>13</v>
      </c>
      <c r="I49" s="40" t="n">
        <f aca="false">C193+C194+C195</f>
        <v>13</v>
      </c>
      <c r="J49" s="40" t="n">
        <f aca="false">C196+C197+C198</f>
        <v>9</v>
      </c>
      <c r="K49" s="40" t="n">
        <f aca="false">C199+C200+C201</f>
        <v>5</v>
      </c>
      <c r="L49" s="40" t="n">
        <f aca="false">C202+C203+C204</f>
        <v>8</v>
      </c>
      <c r="M49" s="40" t="n">
        <f aca="false">C205+C206+C207</f>
        <v>31</v>
      </c>
      <c r="N49" s="40" t="n">
        <f aca="false">C208+C209+C210</f>
        <v>8</v>
      </c>
      <c r="O49" s="24" t="n">
        <f aca="false">SUM(C49:N49)</f>
        <v>196.5</v>
      </c>
    </row>
    <row r="50" customFormat="false" ht="15" hidden="false" customHeight="false" outlineLevel="0" collapsed="false">
      <c r="B50" s="122" t="str">
        <f aca="false">'Programme de vols'!$AB$5</f>
        <v>mai 2027</v>
      </c>
      <c r="C50" s="40" t="n">
        <f aca="false">D175+D176+D177</f>
        <v>49.5</v>
      </c>
      <c r="D50" s="40" t="n">
        <f aca="false">D178+D179+D180</f>
        <v>13.5</v>
      </c>
      <c r="E50" s="40" t="n">
        <f aca="false">D181+D182+D183</f>
        <v>9</v>
      </c>
      <c r="F50" s="40" t="n">
        <f aca="false">D184+D185+D186</f>
        <v>25</v>
      </c>
      <c r="G50" s="40" t="n">
        <f aca="false">D187+D188+D189</f>
        <v>18</v>
      </c>
      <c r="H50" s="40" t="n">
        <f aca="false">D190+D191+D192</f>
        <v>14</v>
      </c>
      <c r="I50" s="40" t="n">
        <f aca="false">D193+D194+D195</f>
        <v>13</v>
      </c>
      <c r="J50" s="40" t="n">
        <f aca="false">D196+D197+D198</f>
        <v>9</v>
      </c>
      <c r="K50" s="40" t="n">
        <f aca="false">D199+D200+D201</f>
        <v>4</v>
      </c>
      <c r="L50" s="40" t="n">
        <f aca="false">D202+D203+D204</f>
        <v>9</v>
      </c>
      <c r="M50" s="40" t="n">
        <f aca="false">D205+D206+D207</f>
        <v>30</v>
      </c>
      <c r="N50" s="40" t="n">
        <f aca="false">D208+D209+D210</f>
        <v>9</v>
      </c>
      <c r="O50" s="24" t="n">
        <f aca="false">SUM(C50:N50)</f>
        <v>203</v>
      </c>
    </row>
    <row r="51" customFormat="false" ht="15" hidden="false" customHeight="false" outlineLevel="0" collapsed="false">
      <c r="B51" s="122" t="str">
        <f aca="false">'Programme de vols'!$AB$6</f>
        <v>juin 2027</v>
      </c>
      <c r="C51" s="40" t="n">
        <f aca="false">E175+E176+E177</f>
        <v>47</v>
      </c>
      <c r="D51" s="40" t="n">
        <f aca="false">E178+E179+E180</f>
        <v>13</v>
      </c>
      <c r="E51" s="40" t="n">
        <f aca="false">E181+E182+E183</f>
        <v>8.5</v>
      </c>
      <c r="F51" s="40" t="n">
        <f aca="false">E184+E185+E186</f>
        <v>27</v>
      </c>
      <c r="G51" s="40" t="n">
        <f aca="false">E187+E188+E189</f>
        <v>17</v>
      </c>
      <c r="H51" s="40" t="n">
        <f aca="false">E190+E191+E192</f>
        <v>12</v>
      </c>
      <c r="I51" s="40" t="n">
        <f aca="false">E193+E194+E195</f>
        <v>13</v>
      </c>
      <c r="J51" s="40" t="n">
        <f aca="false">E196+E197+E198</f>
        <v>8</v>
      </c>
      <c r="K51" s="40" t="n">
        <f aca="false">E199+E200+E201</f>
        <v>4</v>
      </c>
      <c r="L51" s="40" t="n">
        <f aca="false">E202+E203+E204</f>
        <v>9</v>
      </c>
      <c r="M51" s="40" t="n">
        <f aca="false">E205+E206+E207</f>
        <v>30</v>
      </c>
      <c r="N51" s="40" t="n">
        <f aca="false">E208+E209+E210</f>
        <v>9</v>
      </c>
      <c r="O51" s="24" t="n">
        <f aca="false">SUM(C51:N51)</f>
        <v>197.5</v>
      </c>
    </row>
    <row r="52" customFormat="false" ht="15" hidden="false" customHeight="false" outlineLevel="0" collapsed="false">
      <c r="B52" s="122" t="str">
        <f aca="false">'Programme de vols'!$AB$7</f>
        <v>juillet 2027</v>
      </c>
      <c r="C52" s="40" t="n">
        <f aca="false">F175+F176+F177</f>
        <v>48</v>
      </c>
      <c r="D52" s="40" t="n">
        <f aca="false">F178+F179+F180</f>
        <v>13</v>
      </c>
      <c r="E52" s="40" t="n">
        <f aca="false">F181+F182+F183</f>
        <v>9</v>
      </c>
      <c r="F52" s="40" t="n">
        <f aca="false">F184+F185+F186</f>
        <v>26</v>
      </c>
      <c r="G52" s="40" t="n">
        <f aca="false">F187+F188+F189</f>
        <v>17</v>
      </c>
      <c r="H52" s="40" t="n">
        <f aca="false">F190+F191+F192</f>
        <v>18</v>
      </c>
      <c r="I52" s="40" t="n">
        <f aca="false">F193+F194+F195</f>
        <v>14</v>
      </c>
      <c r="J52" s="40" t="n">
        <f aca="false">F196+F197+F198</f>
        <v>9</v>
      </c>
      <c r="K52" s="40" t="n">
        <f aca="false">F199+F200+F201</f>
        <v>5</v>
      </c>
      <c r="L52" s="40" t="n">
        <f aca="false">F202+F203+F204</f>
        <v>9</v>
      </c>
      <c r="M52" s="40" t="n">
        <f aca="false">F205+F206+F207</f>
        <v>32</v>
      </c>
      <c r="N52" s="40" t="n">
        <f aca="false">F208+F209+F210</f>
        <v>8</v>
      </c>
      <c r="O52" s="24" t="n">
        <f aca="false">SUM(C52:N52)</f>
        <v>208</v>
      </c>
    </row>
    <row r="53" customFormat="false" ht="15" hidden="false" customHeight="false" outlineLevel="0" collapsed="false">
      <c r="B53" s="122" t="str">
        <f aca="false">'Programme de vols'!$AB$8</f>
        <v>aout 2027</v>
      </c>
      <c r="C53" s="40" t="n">
        <f aca="false">G175+G176+G177</f>
        <v>61.5</v>
      </c>
      <c r="D53" s="40" t="n">
        <f aca="false">G178+G179+G180</f>
        <v>13.5</v>
      </c>
      <c r="E53" s="40" t="n">
        <f aca="false">G181+G182+G183</f>
        <v>8.5</v>
      </c>
      <c r="F53" s="40" t="n">
        <f aca="false">G184+G185+G186</f>
        <v>26</v>
      </c>
      <c r="G53" s="40" t="n">
        <f aca="false">G187+G188+G189</f>
        <v>18</v>
      </c>
      <c r="H53" s="40" t="n">
        <f aca="false">G190+G191+G192</f>
        <v>13</v>
      </c>
      <c r="I53" s="40" t="n">
        <f aca="false">G193+G194+G195</f>
        <v>13</v>
      </c>
      <c r="J53" s="40" t="n">
        <f aca="false">G196+G197+G198</f>
        <v>9</v>
      </c>
      <c r="K53" s="40" t="n">
        <f aca="false">G199+G200+G201</f>
        <v>4</v>
      </c>
      <c r="L53" s="40" t="n">
        <f aca="false">G202+G203+G204</f>
        <v>9</v>
      </c>
      <c r="M53" s="40" t="n">
        <f aca="false">G205+G206+G207</f>
        <v>30</v>
      </c>
      <c r="N53" s="40" t="n">
        <f aca="false">G208+G209+G210</f>
        <v>9</v>
      </c>
      <c r="O53" s="24" t="n">
        <f aca="false">SUM(C53:N53)</f>
        <v>214.5</v>
      </c>
    </row>
    <row r="54" customFormat="false" ht="15" hidden="false" customHeight="false" outlineLevel="0" collapsed="false">
      <c r="B54" s="122" t="str">
        <f aca="false">'Programme de vols'!$AB$9</f>
        <v>septembre 2027</v>
      </c>
      <c r="C54" s="40" t="n">
        <f aca="false">H175+H176+H177</f>
        <v>46.5</v>
      </c>
      <c r="D54" s="40" t="n">
        <f aca="false">H178+H179+H180</f>
        <v>12.5</v>
      </c>
      <c r="E54" s="40" t="n">
        <f aca="false">H181+H182+H183</f>
        <v>9</v>
      </c>
      <c r="F54" s="40" t="n">
        <f aca="false">H184+H185+H186</f>
        <v>27</v>
      </c>
      <c r="G54" s="40" t="n">
        <f aca="false">H187+H188+H189</f>
        <v>17</v>
      </c>
      <c r="H54" s="40" t="n">
        <f aca="false">H190+H191+H192</f>
        <v>13</v>
      </c>
      <c r="I54" s="40" t="n">
        <f aca="false">H193+H194+H195</f>
        <v>13</v>
      </c>
      <c r="J54" s="40" t="n">
        <f aca="false">H196+H197+H198</f>
        <v>8</v>
      </c>
      <c r="K54" s="40" t="n">
        <f aca="false">H199+H200+H201</f>
        <v>5</v>
      </c>
      <c r="L54" s="40" t="n">
        <f aca="false">H202+H203+H204</f>
        <v>8</v>
      </c>
      <c r="M54" s="40" t="n">
        <f aca="false">H205+H206+H207</f>
        <v>31</v>
      </c>
      <c r="N54" s="40" t="n">
        <f aca="false">H208+H209+H210</f>
        <v>9</v>
      </c>
      <c r="O54" s="24" t="n">
        <f aca="false">SUM(C54:N54)</f>
        <v>199</v>
      </c>
    </row>
    <row r="55" customFormat="false" ht="15" hidden="false" customHeight="false" outlineLevel="0" collapsed="false">
      <c r="B55" s="122" t="str">
        <f aca="false">'Programme de vols'!$AB$10</f>
        <v>octobre 2027</v>
      </c>
      <c r="C55" s="40" t="n">
        <f aca="false">I175+I176+I177</f>
        <v>48</v>
      </c>
      <c r="D55" s="40" t="n">
        <f aca="false">I178+I179+I180</f>
        <v>13.5</v>
      </c>
      <c r="E55" s="40" t="n">
        <f aca="false">I181+I182+I183</f>
        <v>9</v>
      </c>
      <c r="F55" s="40" t="n">
        <f aca="false">I184+I185+I186</f>
        <v>25</v>
      </c>
      <c r="G55" s="40" t="n">
        <f aca="false">I187+I188+I189</f>
        <v>18</v>
      </c>
      <c r="H55" s="40" t="n">
        <f aca="false">I190+I191+I192</f>
        <v>13</v>
      </c>
      <c r="I55" s="40" t="n">
        <f aca="false">I193+I194+I195</f>
        <v>13</v>
      </c>
      <c r="J55" s="40" t="n">
        <f aca="false">I196+I197+I198</f>
        <v>9</v>
      </c>
      <c r="K55" s="40" t="n">
        <f aca="false">I199+I200+I201</f>
        <v>4</v>
      </c>
      <c r="L55" s="40" t="n">
        <f aca="false">I202+I203+I204</f>
        <v>9</v>
      </c>
      <c r="M55" s="40" t="n">
        <f aca="false">I205+I206+I207</f>
        <v>30</v>
      </c>
      <c r="N55" s="40" t="n">
        <f aca="false">I208+I209+I210</f>
        <v>9</v>
      </c>
      <c r="O55" s="24" t="n">
        <f aca="false">SUM(C55:N55)</f>
        <v>200.5</v>
      </c>
    </row>
    <row r="56" customFormat="false" ht="15" hidden="false" customHeight="false" outlineLevel="0" collapsed="false">
      <c r="B56" s="122" t="str">
        <f aca="false">'Programme de vols'!$AB$11</f>
        <v>novembre 2027</v>
      </c>
      <c r="C56" s="40" t="n">
        <f aca="false">J175+J176+J177</f>
        <v>49</v>
      </c>
      <c r="D56" s="40" t="n">
        <f aca="false">J178+J179+J180</f>
        <v>13</v>
      </c>
      <c r="E56" s="40" t="n">
        <f aca="false">J181+J182+J183</f>
        <v>8</v>
      </c>
      <c r="F56" s="40" t="n">
        <f aca="false">J184+J185+J186</f>
        <v>26</v>
      </c>
      <c r="G56" s="40" t="n">
        <f aca="false">J187+J188+J189</f>
        <v>17</v>
      </c>
      <c r="H56" s="40" t="n">
        <f aca="false">J190+J191+J192</f>
        <v>13</v>
      </c>
      <c r="I56" s="40" t="n">
        <f aca="false">J193+J194+J195</f>
        <v>13</v>
      </c>
      <c r="J56" s="40" t="n">
        <f aca="false">J196+J197+J198</f>
        <v>9</v>
      </c>
      <c r="K56" s="40" t="n">
        <f aca="false">J199+J200+J201</f>
        <v>4</v>
      </c>
      <c r="L56" s="40" t="n">
        <f aca="false">J202+J203+J204</f>
        <v>9</v>
      </c>
      <c r="M56" s="40" t="n">
        <f aca="false">J205+J206+J207</f>
        <v>30</v>
      </c>
      <c r="N56" s="40" t="n">
        <f aca="false">J208+J209+J210</f>
        <v>8</v>
      </c>
      <c r="O56" s="24" t="n">
        <f aca="false">SUM(C56:N56)</f>
        <v>199</v>
      </c>
    </row>
    <row r="57" customFormat="false" ht="15" hidden="false" customHeight="false" outlineLevel="0" collapsed="false">
      <c r="B57" s="122" t="str">
        <f aca="false">'Programme de vols'!$AB$12</f>
        <v>decembre 2027</v>
      </c>
      <c r="C57" s="40" t="n">
        <f aca="false">K175+K176+K177</f>
        <v>47.5</v>
      </c>
      <c r="D57" s="40" t="n">
        <f aca="false">K178+K179+K180</f>
        <v>13</v>
      </c>
      <c r="E57" s="40" t="n">
        <f aca="false">K181+K182+K183</f>
        <v>9</v>
      </c>
      <c r="F57" s="40" t="n">
        <f aca="false">K184+K185+K186</f>
        <v>28</v>
      </c>
      <c r="G57" s="40" t="n">
        <f aca="false">K187+K188+K189</f>
        <v>18</v>
      </c>
      <c r="H57" s="40" t="n">
        <f aca="false">K190+K191+K192</f>
        <v>21</v>
      </c>
      <c r="I57" s="40" t="n">
        <f aca="false">K193+K194+K195</f>
        <v>13</v>
      </c>
      <c r="J57" s="40" t="n">
        <f aca="false">K196+K197+K198</f>
        <v>9</v>
      </c>
      <c r="K57" s="40" t="n">
        <f aca="false">K199+K200+K201</f>
        <v>5</v>
      </c>
      <c r="L57" s="40" t="n">
        <f aca="false">K202+K203+K204</f>
        <v>8</v>
      </c>
      <c r="M57" s="40" t="n">
        <f aca="false">K205+K206+K207</f>
        <v>32</v>
      </c>
      <c r="N57" s="40" t="n">
        <f aca="false">K208+K209+K210</f>
        <v>9</v>
      </c>
      <c r="O57" s="24" t="n">
        <f aca="false">SUM(C57:N57)</f>
        <v>212.5</v>
      </c>
    </row>
    <row r="58" customFormat="false" ht="15" hidden="false" customHeight="false" outlineLevel="0" collapsed="false">
      <c r="B58" s="122" t="str">
        <f aca="false">'Programme de vols'!$AB$13</f>
        <v>janvier 2028</v>
      </c>
      <c r="C58" s="40" t="n">
        <f aca="false">L175+L176+L177</f>
        <v>49.5</v>
      </c>
      <c r="D58" s="40" t="n">
        <f aca="false">L178+L179+L180</f>
        <v>13.5</v>
      </c>
      <c r="E58" s="40" t="n">
        <f aca="false">L181+L182+L183</f>
        <v>9</v>
      </c>
      <c r="F58" s="40" t="n">
        <f aca="false">L184+L185+L186</f>
        <v>25</v>
      </c>
      <c r="G58" s="40" t="n">
        <f aca="false">L187+L188+L189</f>
        <v>18</v>
      </c>
      <c r="H58" s="40" t="n">
        <f aca="false">L190+L191+L192</f>
        <v>14</v>
      </c>
      <c r="I58" s="40" t="n">
        <f aca="false">L193+L194+L195</f>
        <v>13</v>
      </c>
      <c r="J58" s="40" t="n">
        <f aca="false">L196+L197+L198</f>
        <v>9</v>
      </c>
      <c r="K58" s="40" t="n">
        <f aca="false">L199+L200+L201</f>
        <v>4</v>
      </c>
      <c r="L58" s="40" t="n">
        <f aca="false">L202+L203+L204</f>
        <v>9</v>
      </c>
      <c r="M58" s="40" t="n">
        <f aca="false">L205+L206+L207</f>
        <v>30</v>
      </c>
      <c r="N58" s="40" t="n">
        <f aca="false">L208+L209+L210</f>
        <v>9</v>
      </c>
      <c r="O58" s="24" t="n">
        <f aca="false">SUM(C58:N58)</f>
        <v>203</v>
      </c>
    </row>
    <row r="59" customFormat="false" ht="15" hidden="false" customHeight="false" outlineLevel="0" collapsed="false">
      <c r="B59" s="122" t="str">
        <f aca="false">'Programme de vols'!$AB$14</f>
        <v>fevrier 2028</v>
      </c>
      <c r="C59" s="40" t="n">
        <f aca="false">M175+M176+M177</f>
        <v>46</v>
      </c>
      <c r="D59" s="40" t="n">
        <f aca="false">M178+M179+M180</f>
        <v>12.5</v>
      </c>
      <c r="E59" s="40" t="n">
        <f aca="false">M181+M182+M183</f>
        <v>8</v>
      </c>
      <c r="F59" s="40" t="n">
        <f aca="false">M184+M185+M186</f>
        <v>25</v>
      </c>
      <c r="G59" s="40" t="n">
        <f aca="false">M187+M188+M189</f>
        <v>16</v>
      </c>
      <c r="H59" s="40" t="n">
        <f aca="false">M190+M191+M192</f>
        <v>12</v>
      </c>
      <c r="I59" s="40" t="n">
        <f aca="false">M193+M194+M195</f>
        <v>13</v>
      </c>
      <c r="J59" s="40" t="n">
        <f aca="false">M196+M197+M198</f>
        <v>8</v>
      </c>
      <c r="K59" s="40" t="n">
        <f aca="false">M199+M200+M201</f>
        <v>4</v>
      </c>
      <c r="L59" s="40" t="n">
        <f aca="false">M202+M203+M204</f>
        <v>9</v>
      </c>
      <c r="M59" s="40" t="n">
        <f aca="false">M205+M206+M207</f>
        <v>29</v>
      </c>
      <c r="N59" s="40" t="n">
        <f aca="false">M208+M209+M210</f>
        <v>8</v>
      </c>
      <c r="O59" s="24" t="n">
        <f aca="false">SUM(C59:N59)</f>
        <v>190.5</v>
      </c>
    </row>
    <row r="60" customFormat="false" ht="15" hidden="false" customHeight="false" outlineLevel="0" collapsed="false">
      <c r="B60" s="122" t="str">
        <f aca="false">'Programme de vols'!$AB$15</f>
        <v>mars 2028</v>
      </c>
      <c r="C60" s="40" t="n">
        <f aca="false">N175+N176+N177</f>
        <v>47.5</v>
      </c>
      <c r="D60" s="40" t="n">
        <f aca="false">N178+N179+N180</f>
        <v>13</v>
      </c>
      <c r="E60" s="40" t="n">
        <f aca="false">N181+N182+N183</f>
        <v>9</v>
      </c>
      <c r="F60" s="40" t="n">
        <f aca="false">N184+N185+N186</f>
        <v>28</v>
      </c>
      <c r="G60" s="40" t="n">
        <f aca="false">N187+N188+N189</f>
        <v>18</v>
      </c>
      <c r="H60" s="40" t="n">
        <f aca="false">N190+N191+N192</f>
        <v>13</v>
      </c>
      <c r="I60" s="40" t="n">
        <f aca="false">N193+N194+N195</f>
        <v>13</v>
      </c>
      <c r="J60" s="40" t="n">
        <f aca="false">N196+N197+N198</f>
        <v>9</v>
      </c>
      <c r="K60" s="40" t="n">
        <f aca="false">N199+N200+N201</f>
        <v>5</v>
      </c>
      <c r="L60" s="40" t="n">
        <f aca="false">N202+N203+N204</f>
        <v>8</v>
      </c>
      <c r="M60" s="40" t="n">
        <f aca="false">N205+N206+N207</f>
        <v>32</v>
      </c>
      <c r="N60" s="40" t="n">
        <f aca="false">N208+N209+N210</f>
        <v>9</v>
      </c>
      <c r="O60" s="24" t="n">
        <f aca="false">SUM(C60:N60)</f>
        <v>204.5</v>
      </c>
    </row>
    <row r="61" customFormat="false" ht="15" hidden="false" customHeight="false" outlineLevel="0" collapsed="false">
      <c r="B61" s="125" t="s">
        <v>224</v>
      </c>
      <c r="C61" s="127" t="n">
        <f aca="false">SUM(C49:C60)</f>
        <v>586</v>
      </c>
      <c r="D61" s="127" t="n">
        <f aca="false">SUM(D49:D60)</f>
        <v>156.5</v>
      </c>
      <c r="E61" s="127" t="n">
        <f aca="false">SUM(E49:E60)</f>
        <v>104</v>
      </c>
      <c r="F61" s="127" t="n">
        <f aca="false">SUM(F49:F60)</f>
        <v>314</v>
      </c>
      <c r="G61" s="127" t="n">
        <f aca="false">SUM(G49:G60)</f>
        <v>209</v>
      </c>
      <c r="H61" s="127" t="n">
        <f aca="false">SUM(H49:H60)</f>
        <v>169</v>
      </c>
      <c r="I61" s="127" t="n">
        <f aca="false">SUM(I49:I60)</f>
        <v>157</v>
      </c>
      <c r="J61" s="127" t="n">
        <f aca="false">SUM(J49:J60)</f>
        <v>105</v>
      </c>
      <c r="K61" s="127" t="n">
        <f aca="false">SUM(K49:K60)</f>
        <v>53</v>
      </c>
      <c r="L61" s="127" t="n">
        <f aca="false">SUM(L49:L60)</f>
        <v>104</v>
      </c>
      <c r="M61" s="127" t="n">
        <f aca="false">SUM(M49:M60)</f>
        <v>367</v>
      </c>
      <c r="N61" s="127" t="n">
        <f aca="false">SUM(N49:N60)</f>
        <v>104</v>
      </c>
      <c r="O61" s="127" t="n">
        <f aca="false">SUM(O49:O60)</f>
        <v>2428.5</v>
      </c>
    </row>
    <row r="64" customFormat="false" ht="15" hidden="false" customHeight="false" outlineLevel="0" collapsed="false">
      <c r="B64" s="14" t="str">
        <f aca="false">"ROTATIONS ET SIEGES PAR TYPE AVION ET PAR MOIS"&amp;IF($C$5="Toutes cabines",""," - CABINE "&amp;$C$5)</f>
        <v>ROTATIONS ET SIEGES PAR TYPE AVION ET PAR MOIS</v>
      </c>
      <c r="C64" s="14"/>
      <c r="D64" s="14"/>
      <c r="E64" s="14"/>
      <c r="F64" s="14"/>
      <c r="G64" s="14"/>
      <c r="H64" s="14"/>
      <c r="I64" s="14"/>
      <c r="J64" s="14"/>
      <c r="K64" s="14"/>
    </row>
    <row r="65" customFormat="false" ht="30" hidden="false" customHeight="true" outlineLevel="0" collapsed="false">
      <c r="B65" s="33" t="s">
        <v>222</v>
      </c>
      <c r="C65" s="33" t="s">
        <v>92</v>
      </c>
      <c r="D65" s="33" t="s">
        <v>93</v>
      </c>
      <c r="E65" s="33" t="s">
        <v>94</v>
      </c>
      <c r="F65" s="33" t="s">
        <v>225</v>
      </c>
      <c r="G65" s="33" t="s">
        <v>226</v>
      </c>
      <c r="H65" s="33" t="s">
        <v>227</v>
      </c>
      <c r="I65" s="33" t="s">
        <v>228</v>
      </c>
      <c r="J65" s="33" t="s">
        <v>229</v>
      </c>
      <c r="K65" s="33" t="s">
        <v>219</v>
      </c>
    </row>
    <row r="66" customFormat="false" ht="15" hidden="false" customHeight="false" outlineLevel="0" collapsed="false">
      <c r="B66" s="122" t="str">
        <f aca="false">'Programme de vols'!$AB$4</f>
        <v>avril 2027</v>
      </c>
      <c r="C66" s="40" t="n">
        <f aca="false">SUMIF($P$175:$P$210,"77W",$C$175:$C$210)</f>
        <v>33.5</v>
      </c>
      <c r="D66" s="40" t="n">
        <f aca="false">SUMIF($P$175:$P$210,"787",$C$175:$C$210)</f>
        <v>43</v>
      </c>
      <c r="E66" s="40" t="n">
        <f aca="false">SUMIF($P$175:$P$210,"A320",$C$175:$C$210)</f>
        <v>120</v>
      </c>
      <c r="F66" s="24" t="n">
        <f aca="false">SUM(C66:E66)</f>
        <v>196.5</v>
      </c>
      <c r="G66" s="123" t="n">
        <f aca="false">C66*$G$7*$C$11</f>
        <v>14673</v>
      </c>
      <c r="H66" s="123" t="n">
        <f aca="false">D66*$G$8*$C$11</f>
        <v>11266</v>
      </c>
      <c r="I66" s="123" t="n">
        <f aca="false">E66*$G$9*$C$11</f>
        <v>20880</v>
      </c>
      <c r="J66" s="124" t="n">
        <f aca="false">SUM(G66:I66)</f>
        <v>46819</v>
      </c>
      <c r="K66" s="123" t="n">
        <f aca="false">IFERROR(J66/F66,"-")</f>
        <v>238.264631043257</v>
      </c>
    </row>
    <row r="67" customFormat="false" ht="15" hidden="false" customHeight="false" outlineLevel="0" collapsed="false">
      <c r="B67" s="122" t="str">
        <f aca="false">'Programme de vols'!$AB$5</f>
        <v>mai 2027</v>
      </c>
      <c r="C67" s="40" t="n">
        <f aca="false">SUMIF($P$175:$P$210,"77W",$D$175:$D$210)</f>
        <v>36</v>
      </c>
      <c r="D67" s="40" t="n">
        <f aca="false">SUMIF($P$175:$P$210,"787",$D$175:$D$210)</f>
        <v>43.5</v>
      </c>
      <c r="E67" s="40" t="n">
        <f aca="false">SUMIF($P$175:$P$210,"A320",$D$175:$D$210)</f>
        <v>123.5</v>
      </c>
      <c r="F67" s="24" t="n">
        <f aca="false">SUM(C67:E67)</f>
        <v>203</v>
      </c>
      <c r="G67" s="123" t="n">
        <f aca="false">C67*$G$7*$C$11</f>
        <v>15768</v>
      </c>
      <c r="H67" s="123" t="n">
        <f aca="false">D67*$G$8*$C$11</f>
        <v>11397</v>
      </c>
      <c r="I67" s="123" t="n">
        <f aca="false">E67*$G$9*$C$11</f>
        <v>21489</v>
      </c>
      <c r="J67" s="124" t="n">
        <f aca="false">SUM(G67:I67)</f>
        <v>48654</v>
      </c>
      <c r="K67" s="123" t="n">
        <f aca="false">IFERROR(J67/F67,"-")</f>
        <v>239.674876847291</v>
      </c>
    </row>
    <row r="68" customFormat="false" ht="15" hidden="false" customHeight="false" outlineLevel="0" collapsed="false">
      <c r="B68" s="122" t="str">
        <f aca="false">'Programme de vols'!$AB$6</f>
        <v>juin 2027</v>
      </c>
      <c r="C68" s="40" t="n">
        <f aca="false">SUMIF($P$175:$P$210,"77W",$E$175:$E$210)</f>
        <v>34</v>
      </c>
      <c r="D68" s="40" t="n">
        <f aca="false">SUMIF($P$175:$P$210,"787",$E$175:$E$210)</f>
        <v>43</v>
      </c>
      <c r="E68" s="40" t="n">
        <f aca="false">SUMIF($P$175:$P$210,"A320",$E$175:$E$210)</f>
        <v>120.5</v>
      </c>
      <c r="F68" s="24" t="n">
        <f aca="false">SUM(C68:E68)</f>
        <v>197.5</v>
      </c>
      <c r="G68" s="123" t="n">
        <f aca="false">C68*$G$7*$C$11</f>
        <v>14892</v>
      </c>
      <c r="H68" s="123" t="n">
        <f aca="false">D68*$G$8*$C$11</f>
        <v>11266</v>
      </c>
      <c r="I68" s="123" t="n">
        <f aca="false">E68*$G$9*$C$11</f>
        <v>20967</v>
      </c>
      <c r="J68" s="124" t="n">
        <f aca="false">SUM(G68:I68)</f>
        <v>47125</v>
      </c>
      <c r="K68" s="123" t="n">
        <f aca="false">IFERROR(J68/F68,"-")</f>
        <v>238.607594936709</v>
      </c>
    </row>
    <row r="69" customFormat="false" ht="15" hidden="false" customHeight="false" outlineLevel="0" collapsed="false">
      <c r="B69" s="122" t="str">
        <f aca="false">'Programme de vols'!$AB$7</f>
        <v>juillet 2027</v>
      </c>
      <c r="C69" s="40" t="n">
        <f aca="false">SUMIF($P$175:$P$210,"77W",$F$175:$F$210)</f>
        <v>35</v>
      </c>
      <c r="D69" s="40" t="n">
        <f aca="false">SUMIF($P$175:$P$210,"787",$F$175:$F$210)</f>
        <v>45</v>
      </c>
      <c r="E69" s="40" t="n">
        <f aca="false">SUMIF($P$175:$P$210,"A320",$F$175:$F$210)</f>
        <v>128</v>
      </c>
      <c r="F69" s="24" t="n">
        <f aca="false">SUM(C69:E69)</f>
        <v>208</v>
      </c>
      <c r="G69" s="123" t="n">
        <f aca="false">C69*$G$7*$C$11</f>
        <v>15330</v>
      </c>
      <c r="H69" s="123" t="n">
        <f aca="false">D69*$G$8*$C$11</f>
        <v>11790</v>
      </c>
      <c r="I69" s="123" t="n">
        <f aca="false">E69*$G$9*$C$11</f>
        <v>22272</v>
      </c>
      <c r="J69" s="124" t="n">
        <f aca="false">SUM(G69:I69)</f>
        <v>49392</v>
      </c>
      <c r="K69" s="123" t="n">
        <f aca="false">IFERROR(J69/F69,"-")</f>
        <v>237.461538461538</v>
      </c>
    </row>
    <row r="70" customFormat="false" ht="15" hidden="false" customHeight="false" outlineLevel="0" collapsed="false">
      <c r="B70" s="122" t="str">
        <f aca="false">'Programme de vols'!$AB$8</f>
        <v>aout 2027</v>
      </c>
      <c r="C70" s="40" t="n">
        <f aca="false">SUMIF($P$175:$P$210,"77W",$G$175:$G$210)</f>
        <v>36</v>
      </c>
      <c r="D70" s="40" t="n">
        <f aca="false">SUMIF($P$175:$P$210,"787",$G$175:$G$210)</f>
        <v>64.5</v>
      </c>
      <c r="E70" s="40" t="n">
        <f aca="false">SUMIF($P$175:$P$210,"A320",$G$175:$G$210)</f>
        <v>114</v>
      </c>
      <c r="F70" s="24" t="n">
        <f aca="false">SUM(C70:E70)</f>
        <v>214.5</v>
      </c>
      <c r="G70" s="123" t="n">
        <f aca="false">C70*$G$7*$C$11</f>
        <v>15768</v>
      </c>
      <c r="H70" s="123" t="n">
        <f aca="false">D70*$G$8*$C$11</f>
        <v>16899</v>
      </c>
      <c r="I70" s="123" t="n">
        <f aca="false">E70*$G$9*$C$11</f>
        <v>19836</v>
      </c>
      <c r="J70" s="124" t="n">
        <f aca="false">SUM(G70:I70)</f>
        <v>52503</v>
      </c>
      <c r="K70" s="123" t="n">
        <f aca="false">IFERROR(J70/F70,"-")</f>
        <v>244.769230769231</v>
      </c>
    </row>
    <row r="71" customFormat="false" ht="15" hidden="false" customHeight="false" outlineLevel="0" collapsed="false">
      <c r="B71" s="122" t="str">
        <f aca="false">'Programme de vols'!$AB$9</f>
        <v>septembre 2027</v>
      </c>
      <c r="C71" s="40" t="n">
        <f aca="false">SUMIF($P$175:$P$210,"77W",$H$175:$H$210)</f>
        <v>34</v>
      </c>
      <c r="D71" s="40" t="n">
        <f aca="false">SUMIF($P$175:$P$210,"787",$H$175:$H$210)</f>
        <v>44</v>
      </c>
      <c r="E71" s="40" t="n">
        <f aca="false">SUMIF($P$175:$P$210,"A320",$H$175:$H$210)</f>
        <v>121</v>
      </c>
      <c r="F71" s="24" t="n">
        <f aca="false">SUM(C71:E71)</f>
        <v>199</v>
      </c>
      <c r="G71" s="123" t="n">
        <f aca="false">C71*$G$7*$C$11</f>
        <v>14892</v>
      </c>
      <c r="H71" s="123" t="n">
        <f aca="false">D71*$G$8*$C$11</f>
        <v>11528</v>
      </c>
      <c r="I71" s="123" t="n">
        <f aca="false">E71*$G$9*$C$11</f>
        <v>21054</v>
      </c>
      <c r="J71" s="124" t="n">
        <f aca="false">SUM(G71:I71)</f>
        <v>47474</v>
      </c>
      <c r="K71" s="123" t="n">
        <f aca="false">IFERROR(J71/F71,"-")</f>
        <v>238.562814070352</v>
      </c>
    </row>
    <row r="72" customFormat="false" ht="15" hidden="false" customHeight="false" outlineLevel="0" collapsed="false">
      <c r="B72" s="122" t="str">
        <f aca="false">'Programme de vols'!$AB$10</f>
        <v>octobre 2027</v>
      </c>
      <c r="C72" s="40" t="n">
        <f aca="false">SUMIF($P$175:$P$210,"77W",$I$175:$I$210)</f>
        <v>35.5</v>
      </c>
      <c r="D72" s="40" t="n">
        <f aca="false">SUMIF($P$175:$P$210,"787",$I$175:$I$210)</f>
        <v>44</v>
      </c>
      <c r="E72" s="40" t="n">
        <f aca="false">SUMIF($P$175:$P$210,"A320",$I$175:$I$210)</f>
        <v>121</v>
      </c>
      <c r="F72" s="24" t="n">
        <f aca="false">SUM(C72:E72)</f>
        <v>200.5</v>
      </c>
      <c r="G72" s="123" t="n">
        <f aca="false">C72*$G$7*$C$11</f>
        <v>15549</v>
      </c>
      <c r="H72" s="123" t="n">
        <f aca="false">D72*$G$8*$C$11</f>
        <v>11528</v>
      </c>
      <c r="I72" s="123" t="n">
        <f aca="false">E72*$G$9*$C$11</f>
        <v>21054</v>
      </c>
      <c r="J72" s="124" t="n">
        <f aca="false">SUM(G72:I72)</f>
        <v>48131</v>
      </c>
      <c r="K72" s="123" t="n">
        <f aca="false">IFERROR(J72/F72,"-")</f>
        <v>240.054862842893</v>
      </c>
    </row>
    <row r="73" customFormat="false" ht="15" hidden="false" customHeight="false" outlineLevel="0" collapsed="false">
      <c r="B73" s="122" t="str">
        <f aca="false">'Programme de vols'!$AB$11</f>
        <v>novembre 2027</v>
      </c>
      <c r="C73" s="40" t="n">
        <f aca="false">SUMIF($P$175:$P$210,"77W",$J$175:$J$210)</f>
        <v>34.5</v>
      </c>
      <c r="D73" s="40" t="n">
        <f aca="false">SUMIF($P$175:$P$210,"787",$J$175:$J$210)</f>
        <v>42.5</v>
      </c>
      <c r="E73" s="40" t="n">
        <f aca="false">SUMIF($P$175:$P$210,"A320",$J$175:$J$210)</f>
        <v>122</v>
      </c>
      <c r="F73" s="24" t="n">
        <f aca="false">SUM(C73:E73)</f>
        <v>199</v>
      </c>
      <c r="G73" s="123" t="n">
        <f aca="false">C73*$G$7*$C$11</f>
        <v>15111</v>
      </c>
      <c r="H73" s="123" t="n">
        <f aca="false">D73*$G$8*$C$11</f>
        <v>11135</v>
      </c>
      <c r="I73" s="123" t="n">
        <f aca="false">E73*$G$9*$C$11</f>
        <v>21228</v>
      </c>
      <c r="J73" s="124" t="n">
        <f aca="false">SUM(G73:I73)</f>
        <v>47474</v>
      </c>
      <c r="K73" s="123" t="n">
        <f aca="false">IFERROR(J73/F73,"-")</f>
        <v>238.562814070352</v>
      </c>
    </row>
    <row r="74" customFormat="false" ht="15" hidden="false" customHeight="false" outlineLevel="0" collapsed="false">
      <c r="B74" s="122" t="str">
        <f aca="false">'Programme de vols'!$AB$12</f>
        <v>decembre 2027</v>
      </c>
      <c r="C74" s="40" t="n">
        <f aca="false">SUMIF($P$175:$P$210,"77W",$K$175:$K$210)</f>
        <v>35</v>
      </c>
      <c r="D74" s="40" t="n">
        <f aca="false">SUMIF($P$175:$P$210,"787",$K$175:$K$210)</f>
        <v>45.5</v>
      </c>
      <c r="E74" s="40" t="n">
        <f aca="false">SUMIF($P$175:$P$210,"A320",$K$175:$K$210)</f>
        <v>132</v>
      </c>
      <c r="F74" s="24" t="n">
        <f aca="false">SUM(C74:E74)</f>
        <v>212.5</v>
      </c>
      <c r="G74" s="123" t="n">
        <f aca="false">C74*$G$7*$C$11</f>
        <v>15330</v>
      </c>
      <c r="H74" s="123" t="n">
        <f aca="false">D74*$G$8*$C$11</f>
        <v>11921</v>
      </c>
      <c r="I74" s="123" t="n">
        <f aca="false">E74*$G$9*$C$11</f>
        <v>22968</v>
      </c>
      <c r="J74" s="124" t="n">
        <f aca="false">SUM(G74:I74)</f>
        <v>50219</v>
      </c>
      <c r="K74" s="123" t="n">
        <f aca="false">IFERROR(J74/F74,"-")</f>
        <v>236.324705882353</v>
      </c>
    </row>
    <row r="75" customFormat="false" ht="15" hidden="false" customHeight="false" outlineLevel="0" collapsed="false">
      <c r="B75" s="122" t="str">
        <f aca="false">'Programme de vols'!$AB$13</f>
        <v>janvier 2028</v>
      </c>
      <c r="C75" s="40" t="n">
        <f aca="false">SUMIF($P$175:$P$210,"77W",$L$175:$L$210)</f>
        <v>36</v>
      </c>
      <c r="D75" s="40" t="n">
        <f aca="false">SUMIF($P$175:$P$210,"787",$L$175:$L$210)</f>
        <v>43.5</v>
      </c>
      <c r="E75" s="40" t="n">
        <f aca="false">SUMIF($P$175:$P$210,"A320",$L$175:$L$210)</f>
        <v>123.5</v>
      </c>
      <c r="F75" s="24" t="n">
        <f aca="false">SUM(C75:E75)</f>
        <v>203</v>
      </c>
      <c r="G75" s="123" t="n">
        <f aca="false">C75*$G$7*$C$11</f>
        <v>15768</v>
      </c>
      <c r="H75" s="123" t="n">
        <f aca="false">D75*$G$8*$C$11</f>
        <v>11397</v>
      </c>
      <c r="I75" s="123" t="n">
        <f aca="false">E75*$G$9*$C$11</f>
        <v>21489</v>
      </c>
      <c r="J75" s="124" t="n">
        <f aca="false">SUM(G75:I75)</f>
        <v>48654</v>
      </c>
      <c r="K75" s="123" t="n">
        <f aca="false">IFERROR(J75/F75,"-")</f>
        <v>239.674876847291</v>
      </c>
    </row>
    <row r="76" customFormat="false" ht="15" hidden="false" customHeight="false" outlineLevel="0" collapsed="false">
      <c r="B76" s="122" t="str">
        <f aca="false">'Programme de vols'!$AB$14</f>
        <v>fevrier 2028</v>
      </c>
      <c r="C76" s="40" t="n">
        <f aca="false">SUMIF($P$175:$P$210,"77W",$M$175:$M$210)</f>
        <v>33</v>
      </c>
      <c r="D76" s="40" t="n">
        <f aca="false">SUMIF($P$175:$P$210,"787",$M$175:$M$210)</f>
        <v>41</v>
      </c>
      <c r="E76" s="40" t="n">
        <f aca="false">SUMIF($P$175:$P$210,"A320",$M$175:$M$210)</f>
        <v>116.5</v>
      </c>
      <c r="F76" s="24" t="n">
        <f aca="false">SUM(C76:E76)</f>
        <v>190.5</v>
      </c>
      <c r="G76" s="123" t="n">
        <f aca="false">C76*$G$7*$C$11</f>
        <v>14454</v>
      </c>
      <c r="H76" s="123" t="n">
        <f aca="false">D76*$G$8*$C$11</f>
        <v>10742</v>
      </c>
      <c r="I76" s="123" t="n">
        <f aca="false">E76*$G$9*$C$11</f>
        <v>20271</v>
      </c>
      <c r="J76" s="124" t="n">
        <f aca="false">SUM(G76:I76)</f>
        <v>45467</v>
      </c>
      <c r="K76" s="123" t="n">
        <f aca="false">IFERROR(J76/F76,"-")</f>
        <v>238.671916010499</v>
      </c>
    </row>
    <row r="77" customFormat="false" ht="15" hidden="false" customHeight="false" outlineLevel="0" collapsed="false">
      <c r="B77" s="122" t="str">
        <f aca="false">'Programme de vols'!$AB$15</f>
        <v>mars 2028</v>
      </c>
      <c r="C77" s="40" t="n">
        <f aca="false">SUMIF($P$175:$P$210,"77W",$N$175:$N$210)</f>
        <v>35</v>
      </c>
      <c r="D77" s="40" t="n">
        <f aca="false">SUMIF($P$175:$P$210,"787",$N$175:$N$210)</f>
        <v>45.5</v>
      </c>
      <c r="E77" s="40" t="n">
        <f aca="false">SUMIF($P$175:$P$210,"A320",$N$175:$N$210)</f>
        <v>124</v>
      </c>
      <c r="F77" s="24" t="n">
        <f aca="false">SUM(C77:E77)</f>
        <v>204.5</v>
      </c>
      <c r="G77" s="123" t="n">
        <f aca="false">C77*$G$7*$C$11</f>
        <v>15330</v>
      </c>
      <c r="H77" s="123" t="n">
        <f aca="false">D77*$G$8*$C$11</f>
        <v>11921</v>
      </c>
      <c r="I77" s="123" t="n">
        <f aca="false">E77*$G$9*$C$11</f>
        <v>21576</v>
      </c>
      <c r="J77" s="124" t="n">
        <f aca="false">SUM(G77:I77)</f>
        <v>48827</v>
      </c>
      <c r="K77" s="123" t="n">
        <f aca="false">IFERROR(J77/F77,"-")</f>
        <v>238.762836185819</v>
      </c>
    </row>
    <row r="78" customFormat="false" ht="15" hidden="false" customHeight="false" outlineLevel="0" collapsed="false">
      <c r="B78" s="125" t="s">
        <v>224</v>
      </c>
      <c r="C78" s="127" t="n">
        <f aca="false">SUM(C66:C77)</f>
        <v>417.5</v>
      </c>
      <c r="D78" s="127" t="n">
        <f aca="false">SUM(D66:D77)</f>
        <v>545</v>
      </c>
      <c r="E78" s="127" t="n">
        <f aca="false">SUM(E66:E77)</f>
        <v>1466</v>
      </c>
      <c r="F78" s="127" t="n">
        <f aca="false">SUM(F66:F77)</f>
        <v>2428.5</v>
      </c>
      <c r="G78" s="126" t="n">
        <f aca="false">SUM(G66:G77)</f>
        <v>182865</v>
      </c>
      <c r="H78" s="126" t="n">
        <f aca="false">SUM(H66:H77)</f>
        <v>142790</v>
      </c>
      <c r="I78" s="126" t="n">
        <f aca="false">SUM(I66:I77)</f>
        <v>255084</v>
      </c>
      <c r="J78" s="126" t="n">
        <f aca="false">SUM(J66:J77)</f>
        <v>580739</v>
      </c>
      <c r="K78" s="126" t="n">
        <f aca="false">IFERROR(J78/F78,"-")</f>
        <v>239.134856907556</v>
      </c>
    </row>
    <row r="80" customFormat="false" ht="15" hidden="false" customHeight="false" outlineLevel="0" collapsed="false">
      <c r="B80" s="128" t="s">
        <v>230</v>
      </c>
      <c r="C80" s="128"/>
      <c r="D80" s="128"/>
      <c r="E80" s="128"/>
      <c r="F80" s="128"/>
      <c r="G80" s="128"/>
      <c r="H80" s="128"/>
      <c r="I80" s="128"/>
      <c r="J80" s="128"/>
      <c r="K80" s="128"/>
      <c r="L80" s="128"/>
    </row>
    <row r="81" customFormat="false" ht="15" hidden="false" customHeight="false" outlineLevel="0" collapsed="false">
      <c r="B81" s="26" t="s">
        <v>222</v>
      </c>
      <c r="C81" s="26" t="s">
        <v>65</v>
      </c>
      <c r="D81" s="26" t="s">
        <v>66</v>
      </c>
      <c r="E81" s="26" t="s">
        <v>67</v>
      </c>
      <c r="F81" s="26" t="s">
        <v>68</v>
      </c>
      <c r="G81" s="26" t="s">
        <v>69</v>
      </c>
      <c r="H81" s="26" t="s">
        <v>70</v>
      </c>
      <c r="I81" s="26" t="s">
        <v>71</v>
      </c>
      <c r="J81" s="26" t="s">
        <v>4</v>
      </c>
      <c r="K81" s="26" t="s">
        <v>231</v>
      </c>
      <c r="L81" s="26" t="s">
        <v>232</v>
      </c>
    </row>
    <row r="82" customFormat="false" ht="15" hidden="false" customHeight="false" outlineLevel="0" collapsed="false">
      <c r="B82" s="10" t="str">
        <f aca="false">'Programme de vols'!$AB$4</f>
        <v>avril 2027</v>
      </c>
      <c r="C82" s="34" t="n">
        <f aca="false">IF(MOD(1-WEEKDAY($J82,2),7)&gt;=$L82,0,INT(($L82-1-MOD(1-WEEKDAY($J82,2),7))/7)+1)</f>
        <v>4</v>
      </c>
      <c r="D82" s="34" t="n">
        <f aca="false">IF(MOD(2-WEEKDAY($J82,2),7)&gt;=$L82,0,INT(($L82-1-MOD(2-WEEKDAY($J82,2),7))/7)+1)</f>
        <v>4</v>
      </c>
      <c r="E82" s="34" t="n">
        <f aca="false">IF(MOD(3-WEEKDAY($J82,2),7)&gt;=$L82,0,INT(($L82-1-MOD(3-WEEKDAY($J82,2),7))/7)+1)</f>
        <v>4</v>
      </c>
      <c r="F82" s="34" t="n">
        <f aca="false">IF(MOD(4-WEEKDAY($J82,2),7)&gt;=$L82,0,INT(($L82-1-MOD(4-WEEKDAY($J82,2),7))/7)+1)</f>
        <v>5</v>
      </c>
      <c r="G82" s="34" t="n">
        <f aca="false">IF(MOD(5-WEEKDAY($J82,2),7)&gt;=$L82,0,INT(($L82-1-MOD(5-WEEKDAY($J82,2),7))/7)+1)</f>
        <v>5</v>
      </c>
      <c r="H82" s="34" t="n">
        <f aca="false">IF(MOD(6-WEEKDAY($J82,2),7)&gt;=$L82,0,INT(($L82-1-MOD(6-WEEKDAY($J82,2),7))/7)+1)</f>
        <v>4</v>
      </c>
      <c r="I82" s="34" t="n">
        <f aca="false">IF(MOD(7-WEEKDAY($J82,2),7)&gt;=$L82,0,INT(($L82-1-MOD(7-WEEKDAY($J82,2),7))/7)+1)</f>
        <v>4</v>
      </c>
      <c r="J82" s="11" t="n">
        <f aca="false">'Programme de vols'!$AC$4</f>
        <v>46478</v>
      </c>
      <c r="K82" s="11" t="n">
        <f aca="false">EOMONTH($J82,0)</f>
        <v>46507</v>
      </c>
      <c r="L82" s="34" t="n">
        <f aca="false">$K82-$J82+1</f>
        <v>30</v>
      </c>
    </row>
    <row r="83" customFormat="false" ht="15" hidden="false" customHeight="false" outlineLevel="0" collapsed="false">
      <c r="B83" s="10" t="str">
        <f aca="false">'Programme de vols'!$AB$5</f>
        <v>mai 2027</v>
      </c>
      <c r="C83" s="34" t="n">
        <f aca="false">IF(MOD(1-WEEKDAY($J83,2),7)&gt;=$L83,0,INT(($L83-1-MOD(1-WEEKDAY($J83,2),7))/7)+1)</f>
        <v>5</v>
      </c>
      <c r="D83" s="34" t="n">
        <f aca="false">IF(MOD(2-WEEKDAY($J83,2),7)&gt;=$L83,0,INT(($L83-1-MOD(2-WEEKDAY($J83,2),7))/7)+1)</f>
        <v>4</v>
      </c>
      <c r="E83" s="34" t="n">
        <f aca="false">IF(MOD(3-WEEKDAY($J83,2),7)&gt;=$L83,0,INT(($L83-1-MOD(3-WEEKDAY($J83,2),7))/7)+1)</f>
        <v>4</v>
      </c>
      <c r="F83" s="34" t="n">
        <f aca="false">IF(MOD(4-WEEKDAY($J83,2),7)&gt;=$L83,0,INT(($L83-1-MOD(4-WEEKDAY($J83,2),7))/7)+1)</f>
        <v>4</v>
      </c>
      <c r="G83" s="34" t="n">
        <f aca="false">IF(MOD(5-WEEKDAY($J83,2),7)&gt;=$L83,0,INT(($L83-1-MOD(5-WEEKDAY($J83,2),7))/7)+1)</f>
        <v>4</v>
      </c>
      <c r="H83" s="34" t="n">
        <f aca="false">IF(MOD(6-WEEKDAY($J83,2),7)&gt;=$L83,0,INT(($L83-1-MOD(6-WEEKDAY($J83,2),7))/7)+1)</f>
        <v>5</v>
      </c>
      <c r="I83" s="34" t="n">
        <f aca="false">IF(MOD(7-WEEKDAY($J83,2),7)&gt;=$L83,0,INT(($L83-1-MOD(7-WEEKDAY($J83,2),7))/7)+1)</f>
        <v>5</v>
      </c>
      <c r="J83" s="11" t="n">
        <f aca="false">'Programme de vols'!$AC$5</f>
        <v>46508</v>
      </c>
      <c r="K83" s="11" t="n">
        <f aca="false">EOMONTH($J83,0)</f>
        <v>46538</v>
      </c>
      <c r="L83" s="34" t="n">
        <f aca="false">$K83-$J83+1</f>
        <v>31</v>
      </c>
    </row>
    <row r="84" customFormat="false" ht="15" hidden="false" customHeight="false" outlineLevel="0" collapsed="false">
      <c r="B84" s="10" t="str">
        <f aca="false">'Programme de vols'!$AB$6</f>
        <v>juin 2027</v>
      </c>
      <c r="C84" s="34" t="n">
        <f aca="false">IF(MOD(1-WEEKDAY($J84,2),7)&gt;=$L84,0,INT(($L84-1-MOD(1-WEEKDAY($J84,2),7))/7)+1)</f>
        <v>4</v>
      </c>
      <c r="D84" s="34" t="n">
        <f aca="false">IF(MOD(2-WEEKDAY($J84,2),7)&gt;=$L84,0,INT(($L84-1-MOD(2-WEEKDAY($J84,2),7))/7)+1)</f>
        <v>5</v>
      </c>
      <c r="E84" s="34" t="n">
        <f aca="false">IF(MOD(3-WEEKDAY($J84,2),7)&gt;=$L84,0,INT(($L84-1-MOD(3-WEEKDAY($J84,2),7))/7)+1)</f>
        <v>5</v>
      </c>
      <c r="F84" s="34" t="n">
        <f aca="false">IF(MOD(4-WEEKDAY($J84,2),7)&gt;=$L84,0,INT(($L84-1-MOD(4-WEEKDAY($J84,2),7))/7)+1)</f>
        <v>4</v>
      </c>
      <c r="G84" s="34" t="n">
        <f aca="false">IF(MOD(5-WEEKDAY($J84,2),7)&gt;=$L84,0,INT(($L84-1-MOD(5-WEEKDAY($J84,2),7))/7)+1)</f>
        <v>4</v>
      </c>
      <c r="H84" s="34" t="n">
        <f aca="false">IF(MOD(6-WEEKDAY($J84,2),7)&gt;=$L84,0,INT(($L84-1-MOD(6-WEEKDAY($J84,2),7))/7)+1)</f>
        <v>4</v>
      </c>
      <c r="I84" s="34" t="n">
        <f aca="false">IF(MOD(7-WEEKDAY($J84,2),7)&gt;=$L84,0,INT(($L84-1-MOD(7-WEEKDAY($J84,2),7))/7)+1)</f>
        <v>4</v>
      </c>
      <c r="J84" s="11" t="n">
        <f aca="false">'Programme de vols'!$AC$6</f>
        <v>46539</v>
      </c>
      <c r="K84" s="11" t="n">
        <f aca="false">EOMONTH($J84,0)</f>
        <v>46568</v>
      </c>
      <c r="L84" s="34" t="n">
        <f aca="false">$K84-$J84+1</f>
        <v>30</v>
      </c>
    </row>
    <row r="85" customFormat="false" ht="15" hidden="false" customHeight="false" outlineLevel="0" collapsed="false">
      <c r="B85" s="10" t="str">
        <f aca="false">'Programme de vols'!$AB$7</f>
        <v>juillet 2027</v>
      </c>
      <c r="C85" s="34" t="n">
        <f aca="false">IF(MOD(1-WEEKDAY($J85,2),7)&gt;=$L85,0,INT(($L85-1-MOD(1-WEEKDAY($J85,2),7))/7)+1)</f>
        <v>4</v>
      </c>
      <c r="D85" s="34" t="n">
        <f aca="false">IF(MOD(2-WEEKDAY($J85,2),7)&gt;=$L85,0,INT(($L85-1-MOD(2-WEEKDAY($J85,2),7))/7)+1)</f>
        <v>4</v>
      </c>
      <c r="E85" s="34" t="n">
        <f aca="false">IF(MOD(3-WEEKDAY($J85,2),7)&gt;=$L85,0,INT(($L85-1-MOD(3-WEEKDAY($J85,2),7))/7)+1)</f>
        <v>4</v>
      </c>
      <c r="F85" s="34" t="n">
        <f aca="false">IF(MOD(4-WEEKDAY($J85,2),7)&gt;=$L85,0,INT(($L85-1-MOD(4-WEEKDAY($J85,2),7))/7)+1)</f>
        <v>5</v>
      </c>
      <c r="G85" s="34" t="n">
        <f aca="false">IF(MOD(5-WEEKDAY($J85,2),7)&gt;=$L85,0,INT(($L85-1-MOD(5-WEEKDAY($J85,2),7))/7)+1)</f>
        <v>5</v>
      </c>
      <c r="H85" s="34" t="n">
        <f aca="false">IF(MOD(6-WEEKDAY($J85,2),7)&gt;=$L85,0,INT(($L85-1-MOD(6-WEEKDAY($J85,2),7))/7)+1)</f>
        <v>5</v>
      </c>
      <c r="I85" s="34" t="n">
        <f aca="false">IF(MOD(7-WEEKDAY($J85,2),7)&gt;=$L85,0,INT(($L85-1-MOD(7-WEEKDAY($J85,2),7))/7)+1)</f>
        <v>4</v>
      </c>
      <c r="J85" s="11" t="n">
        <f aca="false">'Programme de vols'!$AC$7</f>
        <v>46569</v>
      </c>
      <c r="K85" s="11" t="n">
        <f aca="false">EOMONTH($J85,0)</f>
        <v>46599</v>
      </c>
      <c r="L85" s="34" t="n">
        <f aca="false">$K85-$J85+1</f>
        <v>31</v>
      </c>
    </row>
    <row r="86" customFormat="false" ht="15" hidden="false" customHeight="false" outlineLevel="0" collapsed="false">
      <c r="B86" s="10" t="str">
        <f aca="false">'Programme de vols'!$AB$8</f>
        <v>aout 2027</v>
      </c>
      <c r="C86" s="34" t="n">
        <f aca="false">IF(MOD(1-WEEKDAY($J86,2),7)&gt;=$L86,0,INT(($L86-1-MOD(1-WEEKDAY($J86,2),7))/7)+1)</f>
        <v>5</v>
      </c>
      <c r="D86" s="34" t="n">
        <f aca="false">IF(MOD(2-WEEKDAY($J86,2),7)&gt;=$L86,0,INT(($L86-1-MOD(2-WEEKDAY($J86,2),7))/7)+1)</f>
        <v>5</v>
      </c>
      <c r="E86" s="34" t="n">
        <f aca="false">IF(MOD(3-WEEKDAY($J86,2),7)&gt;=$L86,0,INT(($L86-1-MOD(3-WEEKDAY($J86,2),7))/7)+1)</f>
        <v>4</v>
      </c>
      <c r="F86" s="34" t="n">
        <f aca="false">IF(MOD(4-WEEKDAY($J86,2),7)&gt;=$L86,0,INT(($L86-1-MOD(4-WEEKDAY($J86,2),7))/7)+1)</f>
        <v>4</v>
      </c>
      <c r="G86" s="34" t="n">
        <f aca="false">IF(MOD(5-WEEKDAY($J86,2),7)&gt;=$L86,0,INT(($L86-1-MOD(5-WEEKDAY($J86,2),7))/7)+1)</f>
        <v>4</v>
      </c>
      <c r="H86" s="34" t="n">
        <f aca="false">IF(MOD(6-WEEKDAY($J86,2),7)&gt;=$L86,0,INT(($L86-1-MOD(6-WEEKDAY($J86,2),7))/7)+1)</f>
        <v>4</v>
      </c>
      <c r="I86" s="34" t="n">
        <f aca="false">IF(MOD(7-WEEKDAY($J86,2),7)&gt;=$L86,0,INT(($L86-1-MOD(7-WEEKDAY($J86,2),7))/7)+1)</f>
        <v>5</v>
      </c>
      <c r="J86" s="11" t="n">
        <f aca="false">'Programme de vols'!$AC$8</f>
        <v>46600</v>
      </c>
      <c r="K86" s="11" t="n">
        <f aca="false">EOMONTH($J86,0)</f>
        <v>46630</v>
      </c>
      <c r="L86" s="34" t="n">
        <f aca="false">$K86-$J86+1</f>
        <v>31</v>
      </c>
    </row>
    <row r="87" customFormat="false" ht="15" hidden="false" customHeight="false" outlineLevel="0" collapsed="false">
      <c r="B87" s="10" t="str">
        <f aca="false">'Programme de vols'!$AB$9</f>
        <v>septembre 2027</v>
      </c>
      <c r="C87" s="34" t="n">
        <f aca="false">IF(MOD(1-WEEKDAY($J87,2),7)&gt;=$L87,0,INT(($L87-1-MOD(1-WEEKDAY($J87,2),7))/7)+1)</f>
        <v>4</v>
      </c>
      <c r="D87" s="34" t="n">
        <f aca="false">IF(MOD(2-WEEKDAY($J87,2),7)&gt;=$L87,0,INT(($L87-1-MOD(2-WEEKDAY($J87,2),7))/7)+1)</f>
        <v>4</v>
      </c>
      <c r="E87" s="34" t="n">
        <f aca="false">IF(MOD(3-WEEKDAY($J87,2),7)&gt;=$L87,0,INT(($L87-1-MOD(3-WEEKDAY($J87,2),7))/7)+1)</f>
        <v>5</v>
      </c>
      <c r="F87" s="34" t="n">
        <f aca="false">IF(MOD(4-WEEKDAY($J87,2),7)&gt;=$L87,0,INT(($L87-1-MOD(4-WEEKDAY($J87,2),7))/7)+1)</f>
        <v>5</v>
      </c>
      <c r="G87" s="34" t="n">
        <f aca="false">IF(MOD(5-WEEKDAY($J87,2),7)&gt;=$L87,0,INT(($L87-1-MOD(5-WEEKDAY($J87,2),7))/7)+1)</f>
        <v>4</v>
      </c>
      <c r="H87" s="34" t="n">
        <f aca="false">IF(MOD(6-WEEKDAY($J87,2),7)&gt;=$L87,0,INT(($L87-1-MOD(6-WEEKDAY($J87,2),7))/7)+1)</f>
        <v>4</v>
      </c>
      <c r="I87" s="34" t="n">
        <f aca="false">IF(MOD(7-WEEKDAY($J87,2),7)&gt;=$L87,0,INT(($L87-1-MOD(7-WEEKDAY($J87,2),7))/7)+1)</f>
        <v>4</v>
      </c>
      <c r="J87" s="11" t="n">
        <f aca="false">'Programme de vols'!$AC$9</f>
        <v>46631</v>
      </c>
      <c r="K87" s="11" t="n">
        <f aca="false">EOMONTH($J87,0)</f>
        <v>46660</v>
      </c>
      <c r="L87" s="34" t="n">
        <f aca="false">$K87-$J87+1</f>
        <v>30</v>
      </c>
    </row>
    <row r="88" customFormat="false" ht="15" hidden="false" customHeight="false" outlineLevel="0" collapsed="false">
      <c r="B88" s="10" t="str">
        <f aca="false">'Programme de vols'!$AB$10</f>
        <v>octobre 2027</v>
      </c>
      <c r="C88" s="34" t="n">
        <f aca="false">IF(MOD(1-WEEKDAY($J88,2),7)&gt;=$L88,0,INT(($L88-1-MOD(1-WEEKDAY($J88,2),7))/7)+1)</f>
        <v>4</v>
      </c>
      <c r="D88" s="34" t="n">
        <f aca="false">IF(MOD(2-WEEKDAY($J88,2),7)&gt;=$L88,0,INT(($L88-1-MOD(2-WEEKDAY($J88,2),7))/7)+1)</f>
        <v>4</v>
      </c>
      <c r="E88" s="34" t="n">
        <f aca="false">IF(MOD(3-WEEKDAY($J88,2),7)&gt;=$L88,0,INT(($L88-1-MOD(3-WEEKDAY($J88,2),7))/7)+1)</f>
        <v>4</v>
      </c>
      <c r="F88" s="34" t="n">
        <f aca="false">IF(MOD(4-WEEKDAY($J88,2),7)&gt;=$L88,0,INT(($L88-1-MOD(4-WEEKDAY($J88,2),7))/7)+1)</f>
        <v>4</v>
      </c>
      <c r="G88" s="34" t="n">
        <f aca="false">IF(MOD(5-WEEKDAY($J88,2),7)&gt;=$L88,0,INT(($L88-1-MOD(5-WEEKDAY($J88,2),7))/7)+1)</f>
        <v>5</v>
      </c>
      <c r="H88" s="34" t="n">
        <f aca="false">IF(MOD(6-WEEKDAY($J88,2),7)&gt;=$L88,0,INT(($L88-1-MOD(6-WEEKDAY($J88,2),7))/7)+1)</f>
        <v>5</v>
      </c>
      <c r="I88" s="34" t="n">
        <f aca="false">IF(MOD(7-WEEKDAY($J88,2),7)&gt;=$L88,0,INT(($L88-1-MOD(7-WEEKDAY($J88,2),7))/7)+1)</f>
        <v>5</v>
      </c>
      <c r="J88" s="11" t="n">
        <f aca="false">'Programme de vols'!$AC$10</f>
        <v>46661</v>
      </c>
      <c r="K88" s="11" t="n">
        <f aca="false">EOMONTH($J88,0)</f>
        <v>46691</v>
      </c>
      <c r="L88" s="34" t="n">
        <f aca="false">$K88-$J88+1</f>
        <v>31</v>
      </c>
    </row>
    <row r="89" customFormat="false" ht="15" hidden="false" customHeight="false" outlineLevel="0" collapsed="false">
      <c r="B89" s="10" t="str">
        <f aca="false">'Programme de vols'!$AB$11</f>
        <v>novembre 2027</v>
      </c>
      <c r="C89" s="34" t="n">
        <f aca="false">IF(MOD(1-WEEKDAY($J89,2),7)&gt;=$L89,0,INT(($L89-1-MOD(1-WEEKDAY($J89,2),7))/7)+1)</f>
        <v>5</v>
      </c>
      <c r="D89" s="34" t="n">
        <f aca="false">IF(MOD(2-WEEKDAY($J89,2),7)&gt;=$L89,0,INT(($L89-1-MOD(2-WEEKDAY($J89,2),7))/7)+1)</f>
        <v>5</v>
      </c>
      <c r="E89" s="34" t="n">
        <f aca="false">IF(MOD(3-WEEKDAY($J89,2),7)&gt;=$L89,0,INT(($L89-1-MOD(3-WEEKDAY($J89,2),7))/7)+1)</f>
        <v>4</v>
      </c>
      <c r="F89" s="34" t="n">
        <f aca="false">IF(MOD(4-WEEKDAY($J89,2),7)&gt;=$L89,0,INT(($L89-1-MOD(4-WEEKDAY($J89,2),7))/7)+1)</f>
        <v>4</v>
      </c>
      <c r="G89" s="34" t="n">
        <f aca="false">IF(MOD(5-WEEKDAY($J89,2),7)&gt;=$L89,0,INT(($L89-1-MOD(5-WEEKDAY($J89,2),7))/7)+1)</f>
        <v>4</v>
      </c>
      <c r="H89" s="34" t="n">
        <f aca="false">IF(MOD(6-WEEKDAY($J89,2),7)&gt;=$L89,0,INT(($L89-1-MOD(6-WEEKDAY($J89,2),7))/7)+1)</f>
        <v>4</v>
      </c>
      <c r="I89" s="34" t="n">
        <f aca="false">IF(MOD(7-WEEKDAY($J89,2),7)&gt;=$L89,0,INT(($L89-1-MOD(7-WEEKDAY($J89,2),7))/7)+1)</f>
        <v>4</v>
      </c>
      <c r="J89" s="11" t="n">
        <f aca="false">'Programme de vols'!$AC$11</f>
        <v>46692</v>
      </c>
      <c r="K89" s="11" t="n">
        <f aca="false">EOMONTH($J89,0)</f>
        <v>46721</v>
      </c>
      <c r="L89" s="34" t="n">
        <f aca="false">$K89-$J89+1</f>
        <v>30</v>
      </c>
    </row>
    <row r="90" customFormat="false" ht="15" hidden="false" customHeight="false" outlineLevel="0" collapsed="false">
      <c r="B90" s="10" t="str">
        <f aca="false">'Programme de vols'!$AB$12</f>
        <v>decembre 2027</v>
      </c>
      <c r="C90" s="34" t="n">
        <f aca="false">IF(MOD(1-WEEKDAY($J90,2),7)&gt;=$L90,0,INT(($L90-1-MOD(1-WEEKDAY($J90,2),7))/7)+1)</f>
        <v>4</v>
      </c>
      <c r="D90" s="34" t="n">
        <f aca="false">IF(MOD(2-WEEKDAY($J90,2),7)&gt;=$L90,0,INT(($L90-1-MOD(2-WEEKDAY($J90,2),7))/7)+1)</f>
        <v>4</v>
      </c>
      <c r="E90" s="34" t="n">
        <f aca="false">IF(MOD(3-WEEKDAY($J90,2),7)&gt;=$L90,0,INT(($L90-1-MOD(3-WEEKDAY($J90,2),7))/7)+1)</f>
        <v>5</v>
      </c>
      <c r="F90" s="34" t="n">
        <f aca="false">IF(MOD(4-WEEKDAY($J90,2),7)&gt;=$L90,0,INT(($L90-1-MOD(4-WEEKDAY($J90,2),7))/7)+1)</f>
        <v>5</v>
      </c>
      <c r="G90" s="34" t="n">
        <f aca="false">IF(MOD(5-WEEKDAY($J90,2),7)&gt;=$L90,0,INT(($L90-1-MOD(5-WEEKDAY($J90,2),7))/7)+1)</f>
        <v>5</v>
      </c>
      <c r="H90" s="34" t="n">
        <f aca="false">IF(MOD(6-WEEKDAY($J90,2),7)&gt;=$L90,0,INT(($L90-1-MOD(6-WEEKDAY($J90,2),7))/7)+1)</f>
        <v>4</v>
      </c>
      <c r="I90" s="34" t="n">
        <f aca="false">IF(MOD(7-WEEKDAY($J90,2),7)&gt;=$L90,0,INT(($L90-1-MOD(7-WEEKDAY($J90,2),7))/7)+1)</f>
        <v>4</v>
      </c>
      <c r="J90" s="11" t="n">
        <f aca="false">'Programme de vols'!$AC$12</f>
        <v>46722</v>
      </c>
      <c r="K90" s="11" t="n">
        <f aca="false">EOMONTH($J90,0)</f>
        <v>46752</v>
      </c>
      <c r="L90" s="34" t="n">
        <f aca="false">$K90-$J90+1</f>
        <v>31</v>
      </c>
    </row>
    <row r="91" customFormat="false" ht="15" hidden="false" customHeight="false" outlineLevel="0" collapsed="false">
      <c r="B91" s="10" t="str">
        <f aca="false">'Programme de vols'!$AB$13</f>
        <v>janvier 2028</v>
      </c>
      <c r="C91" s="34" t="n">
        <f aca="false">IF(MOD(1-WEEKDAY($J91,2),7)&gt;=$L91,0,INT(($L91-1-MOD(1-WEEKDAY($J91,2),7))/7)+1)</f>
        <v>5</v>
      </c>
      <c r="D91" s="34" t="n">
        <f aca="false">IF(MOD(2-WEEKDAY($J91,2),7)&gt;=$L91,0,INT(($L91-1-MOD(2-WEEKDAY($J91,2),7))/7)+1)</f>
        <v>4</v>
      </c>
      <c r="E91" s="34" t="n">
        <f aca="false">IF(MOD(3-WEEKDAY($J91,2),7)&gt;=$L91,0,INT(($L91-1-MOD(3-WEEKDAY($J91,2),7))/7)+1)</f>
        <v>4</v>
      </c>
      <c r="F91" s="34" t="n">
        <f aca="false">IF(MOD(4-WEEKDAY($J91,2),7)&gt;=$L91,0,INT(($L91-1-MOD(4-WEEKDAY($J91,2),7))/7)+1)</f>
        <v>4</v>
      </c>
      <c r="G91" s="34" t="n">
        <f aca="false">IF(MOD(5-WEEKDAY($J91,2),7)&gt;=$L91,0,INT(($L91-1-MOD(5-WEEKDAY($J91,2),7))/7)+1)</f>
        <v>4</v>
      </c>
      <c r="H91" s="34" t="n">
        <f aca="false">IF(MOD(6-WEEKDAY($J91,2),7)&gt;=$L91,0,INT(($L91-1-MOD(6-WEEKDAY($J91,2),7))/7)+1)</f>
        <v>5</v>
      </c>
      <c r="I91" s="34" t="n">
        <f aca="false">IF(MOD(7-WEEKDAY($J91,2),7)&gt;=$L91,0,INT(($L91-1-MOD(7-WEEKDAY($J91,2),7))/7)+1)</f>
        <v>5</v>
      </c>
      <c r="J91" s="11" t="n">
        <f aca="false">'Programme de vols'!$AC$13</f>
        <v>46753</v>
      </c>
      <c r="K91" s="11" t="n">
        <f aca="false">EOMONTH($J91,0)</f>
        <v>46783</v>
      </c>
      <c r="L91" s="34" t="n">
        <f aca="false">$K91-$J91+1</f>
        <v>31</v>
      </c>
    </row>
    <row r="92" customFormat="false" ht="15" hidden="false" customHeight="false" outlineLevel="0" collapsed="false">
      <c r="B92" s="10" t="str">
        <f aca="false">'Programme de vols'!$AB$14</f>
        <v>fevrier 2028</v>
      </c>
      <c r="C92" s="34" t="n">
        <f aca="false">IF(MOD(1-WEEKDAY($J92,2),7)&gt;=$L92,0,INT(($L92-1-MOD(1-WEEKDAY($J92,2),7))/7)+1)</f>
        <v>4</v>
      </c>
      <c r="D92" s="34" t="n">
        <f aca="false">IF(MOD(2-WEEKDAY($J92,2),7)&gt;=$L92,0,INT(($L92-1-MOD(2-WEEKDAY($J92,2),7))/7)+1)</f>
        <v>5</v>
      </c>
      <c r="E92" s="34" t="n">
        <f aca="false">IF(MOD(3-WEEKDAY($J92,2),7)&gt;=$L92,0,INT(($L92-1-MOD(3-WEEKDAY($J92,2),7))/7)+1)</f>
        <v>4</v>
      </c>
      <c r="F92" s="34" t="n">
        <f aca="false">IF(MOD(4-WEEKDAY($J92,2),7)&gt;=$L92,0,INT(($L92-1-MOD(4-WEEKDAY($J92,2),7))/7)+1)</f>
        <v>4</v>
      </c>
      <c r="G92" s="34" t="n">
        <f aca="false">IF(MOD(5-WEEKDAY($J92,2),7)&gt;=$L92,0,INT(($L92-1-MOD(5-WEEKDAY($J92,2),7))/7)+1)</f>
        <v>4</v>
      </c>
      <c r="H92" s="34" t="n">
        <f aca="false">IF(MOD(6-WEEKDAY($J92,2),7)&gt;=$L92,0,INT(($L92-1-MOD(6-WEEKDAY($J92,2),7))/7)+1)</f>
        <v>4</v>
      </c>
      <c r="I92" s="34" t="n">
        <f aca="false">IF(MOD(7-WEEKDAY($J92,2),7)&gt;=$L92,0,INT(($L92-1-MOD(7-WEEKDAY($J92,2),7))/7)+1)</f>
        <v>4</v>
      </c>
      <c r="J92" s="11" t="n">
        <f aca="false">'Programme de vols'!$AC$14</f>
        <v>46784</v>
      </c>
      <c r="K92" s="11" t="n">
        <f aca="false">EOMONTH($J92,0)</f>
        <v>46812</v>
      </c>
      <c r="L92" s="34" t="n">
        <f aca="false">$K92-$J92+1</f>
        <v>29</v>
      </c>
    </row>
    <row r="93" customFormat="false" ht="15" hidden="false" customHeight="false" outlineLevel="0" collapsed="false">
      <c r="B93" s="10" t="str">
        <f aca="false">'Programme de vols'!$AB$15</f>
        <v>mars 2028</v>
      </c>
      <c r="C93" s="34" t="n">
        <f aca="false">IF(MOD(1-WEEKDAY($J93,2),7)&gt;=$L93,0,INT(($L93-1-MOD(1-WEEKDAY($J93,2),7))/7)+1)</f>
        <v>4</v>
      </c>
      <c r="D93" s="34" t="n">
        <f aca="false">IF(MOD(2-WEEKDAY($J93,2),7)&gt;=$L93,0,INT(($L93-1-MOD(2-WEEKDAY($J93,2),7))/7)+1)</f>
        <v>4</v>
      </c>
      <c r="E93" s="34" t="n">
        <f aca="false">IF(MOD(3-WEEKDAY($J93,2),7)&gt;=$L93,0,INT(($L93-1-MOD(3-WEEKDAY($J93,2),7))/7)+1)</f>
        <v>5</v>
      </c>
      <c r="F93" s="34" t="n">
        <f aca="false">IF(MOD(4-WEEKDAY($J93,2),7)&gt;=$L93,0,INT(($L93-1-MOD(4-WEEKDAY($J93,2),7))/7)+1)</f>
        <v>5</v>
      </c>
      <c r="G93" s="34" t="n">
        <f aca="false">IF(MOD(5-WEEKDAY($J93,2),7)&gt;=$L93,0,INT(($L93-1-MOD(5-WEEKDAY($J93,2),7))/7)+1)</f>
        <v>5</v>
      </c>
      <c r="H93" s="34" t="n">
        <f aca="false">IF(MOD(6-WEEKDAY($J93,2),7)&gt;=$L93,0,INT(($L93-1-MOD(6-WEEKDAY($J93,2),7))/7)+1)</f>
        <v>4</v>
      </c>
      <c r="I93" s="34" t="n">
        <f aca="false">IF(MOD(7-WEEKDAY($J93,2),7)&gt;=$L93,0,INT(($L93-1-MOD(7-WEEKDAY($J93,2),7))/7)+1)</f>
        <v>4</v>
      </c>
      <c r="J93" s="11" t="n">
        <f aca="false">'Programme de vols'!$AC$15</f>
        <v>46813</v>
      </c>
      <c r="K93" s="11" t="n">
        <f aca="false">EOMONTH($J93,0)</f>
        <v>46843</v>
      </c>
      <c r="L93" s="34" t="n">
        <f aca="false">$K93-$J93+1</f>
        <v>31</v>
      </c>
    </row>
    <row r="95" customFormat="false" ht="15" hidden="false" customHeight="false" outlineLevel="0" collapsed="false">
      <c r="B95" s="128" t="s">
        <v>233</v>
      </c>
      <c r="C95" s="128"/>
      <c r="D95" s="128"/>
      <c r="E95" s="128"/>
      <c r="F95" s="128"/>
      <c r="G95" s="128"/>
      <c r="H95" s="128"/>
      <c r="I95" s="128"/>
      <c r="J95" s="128"/>
      <c r="K95" s="128"/>
      <c r="L95" s="128"/>
      <c r="M95" s="128"/>
      <c r="N95" s="128"/>
    </row>
    <row r="96" customFormat="false" ht="15" hidden="false" customHeight="false" outlineLevel="0" collapsed="false">
      <c r="B96" s="26" t="s">
        <v>134</v>
      </c>
      <c r="C96" s="47" t="str">
        <f aca="false">'Programme de vols'!$AB$4</f>
        <v>avril 2027</v>
      </c>
      <c r="D96" s="47" t="str">
        <f aca="false">'Programme de vols'!$AB$5</f>
        <v>mai 2027</v>
      </c>
      <c r="E96" s="47" t="str">
        <f aca="false">'Programme de vols'!$AB$6</f>
        <v>juin 2027</v>
      </c>
      <c r="F96" s="47" t="str">
        <f aca="false">'Programme de vols'!$AB$7</f>
        <v>juillet 2027</v>
      </c>
      <c r="G96" s="47" t="str">
        <f aca="false">'Programme de vols'!$AB$8</f>
        <v>aout 2027</v>
      </c>
      <c r="H96" s="47" t="str">
        <f aca="false">'Programme de vols'!$AB$9</f>
        <v>septembre 2027</v>
      </c>
      <c r="I96" s="47" t="str">
        <f aca="false">'Programme de vols'!$AB$10</f>
        <v>octobre 2027</v>
      </c>
      <c r="J96" s="47" t="str">
        <f aca="false">'Programme de vols'!$AB$11</f>
        <v>novembre 2027</v>
      </c>
      <c r="K96" s="47" t="str">
        <f aca="false">'Programme de vols'!$AB$12</f>
        <v>decembre 2027</v>
      </c>
      <c r="L96" s="47" t="str">
        <f aca="false">'Programme de vols'!$AB$13</f>
        <v>janvier 2028</v>
      </c>
      <c r="M96" s="47" t="str">
        <f aca="false">'Programme de vols'!$AB$14</f>
        <v>fevrier 2028</v>
      </c>
      <c r="N96" s="47" t="str">
        <f aca="false">'Programme de vols'!$AB$15</f>
        <v>mars 2028</v>
      </c>
      <c r="O96" s="26" t="s">
        <v>84</v>
      </c>
      <c r="P96" s="26" t="s">
        <v>234</v>
      </c>
    </row>
    <row r="97" customFormat="false" ht="15" hidden="false" customHeight="false" outlineLevel="0" collapsed="false">
      <c r="B97" s="10" t="s">
        <v>137</v>
      </c>
      <c r="C97" s="34" t="n">
        <f aca="false">SUMPRODUCT($C$82:$I$82,LEN(INDEX('Saisie programme'!$D$13:$J$477,1,0)))</f>
        <v>30</v>
      </c>
      <c r="D97" s="34" t="n">
        <f aca="false">SUMPRODUCT($C$83:$I$83,LEN(INDEX('Saisie programme'!$D$13:$J$477,40,0)))</f>
        <v>31</v>
      </c>
      <c r="E97" s="34" t="n">
        <f aca="false">SUMPRODUCT($C$84:$I$84,LEN(INDEX('Saisie programme'!$D$13:$J$477,79,0)))</f>
        <v>30</v>
      </c>
      <c r="F97" s="34" t="n">
        <f aca="false">SUMPRODUCT($C$85:$I$85,LEN(INDEX('Saisie programme'!$D$13:$J$477,118,0)))</f>
        <v>31</v>
      </c>
      <c r="G97" s="34" t="n">
        <f aca="false">SUMPRODUCT($C$86:$I$86,LEN(INDEX('Saisie programme'!$D$13:$J$477,157,0)))</f>
        <v>31</v>
      </c>
      <c r="H97" s="34" t="n">
        <f aca="false">SUMPRODUCT($C$87:$I$87,LEN(INDEX('Saisie programme'!$D$13:$J$477,196,0)))</f>
        <v>30</v>
      </c>
      <c r="I97" s="34" t="n">
        <f aca="false">SUMPRODUCT($C$88:$I$88,LEN(INDEX('Saisie programme'!$D$13:$J$477,235,0)))</f>
        <v>31</v>
      </c>
      <c r="J97" s="34" t="n">
        <f aca="false">SUMPRODUCT($C$89:$I$89,LEN(INDEX('Saisie programme'!$D$13:$J$477,274,0)))</f>
        <v>30</v>
      </c>
      <c r="K97" s="34" t="n">
        <f aca="false">SUMPRODUCT($C$90:$I$90,LEN(INDEX('Saisie programme'!$D$13:$J$477,313,0)))</f>
        <v>31</v>
      </c>
      <c r="L97" s="34" t="n">
        <f aca="false">SUMPRODUCT($C$91:$I$91,LEN(INDEX('Saisie programme'!$D$13:$J$477,352,0)))</f>
        <v>31</v>
      </c>
      <c r="M97" s="34" t="n">
        <f aca="false">SUMPRODUCT($C$92:$I$92,LEN(INDEX('Saisie programme'!$D$13:$J$477,391,0)))</f>
        <v>29</v>
      </c>
      <c r="N97" s="34" t="n">
        <f aca="false">SUMPRODUCT($C$93:$I$93,LEN(INDEX('Saisie programme'!$D$13:$J$477,430,0)))</f>
        <v>31</v>
      </c>
      <c r="O97" s="12" t="s">
        <v>12</v>
      </c>
      <c r="P97" s="12" t="s">
        <v>11</v>
      </c>
    </row>
    <row r="98" customFormat="false" ht="15" hidden="false" customHeight="false" outlineLevel="0" collapsed="false">
      <c r="B98" s="10" t="s">
        <v>138</v>
      </c>
      <c r="C98" s="34" t="n">
        <f aca="false">SUMPRODUCT($C$82:$I$82,LEN(INDEX('Saisie programme'!$D$13:$J$477,2,0)))</f>
        <v>9</v>
      </c>
      <c r="D98" s="34" t="n">
        <f aca="false">SUMPRODUCT($C$83:$I$83,LEN(INDEX('Saisie programme'!$D$13:$J$477,41,0)))</f>
        <v>9</v>
      </c>
      <c r="E98" s="34" t="n">
        <f aca="false">SUMPRODUCT($C$84:$I$84,LEN(INDEX('Saisie programme'!$D$13:$J$477,80,0)))</f>
        <v>8</v>
      </c>
      <c r="F98" s="34" t="n">
        <f aca="false">SUMPRODUCT($C$85:$I$85,LEN(INDEX('Saisie programme'!$D$13:$J$477,119,0)))</f>
        <v>9</v>
      </c>
      <c r="G98" s="34" t="n">
        <f aca="false">SUMPRODUCT($C$86:$I$86,LEN(INDEX('Saisie programme'!$D$13:$J$477,158,0)))</f>
        <v>31</v>
      </c>
      <c r="H98" s="34" t="n">
        <f aca="false">SUMPRODUCT($C$87:$I$87,LEN(INDEX('Saisie programme'!$D$13:$J$477,197,0)))</f>
        <v>8</v>
      </c>
      <c r="I98" s="34" t="n">
        <f aca="false">SUMPRODUCT($C$88:$I$88,LEN(INDEX('Saisie programme'!$D$13:$J$477,236,0)))</f>
        <v>9</v>
      </c>
      <c r="J98" s="34" t="n">
        <f aca="false">SUMPRODUCT($C$89:$I$89,LEN(INDEX('Saisie programme'!$D$13:$J$477,275,0)))</f>
        <v>9</v>
      </c>
      <c r="K98" s="34" t="n">
        <f aca="false">SUMPRODUCT($C$90:$I$90,LEN(INDEX('Saisie programme'!$D$13:$J$477,314,0)))</f>
        <v>9</v>
      </c>
      <c r="L98" s="34" t="n">
        <f aca="false">SUMPRODUCT($C$91:$I$91,LEN(INDEX('Saisie programme'!$D$13:$J$477,353,0)))</f>
        <v>9</v>
      </c>
      <c r="M98" s="34" t="n">
        <f aca="false">SUMPRODUCT($C$92:$I$92,LEN(INDEX('Saisie programme'!$D$13:$J$477,392,0)))</f>
        <v>8</v>
      </c>
      <c r="N98" s="34" t="n">
        <f aca="false">SUMPRODUCT($C$93:$I$93,LEN(INDEX('Saisie programme'!$D$13:$J$477,431,0)))</f>
        <v>9</v>
      </c>
      <c r="O98" s="12" t="s">
        <v>12</v>
      </c>
      <c r="P98" s="12" t="s">
        <v>19</v>
      </c>
    </row>
    <row r="99" customFormat="false" ht="15" hidden="false" customHeight="false" outlineLevel="0" collapsed="false">
      <c r="B99" s="10" t="s">
        <v>139</v>
      </c>
      <c r="C99" s="34" t="n">
        <f aca="false">SUMPRODUCT($C$82:$I$82,LEN(INDEX('Saisie programme'!$D$13:$J$477,3,0)))</f>
        <v>8</v>
      </c>
      <c r="D99" s="34" t="n">
        <f aca="false">SUMPRODUCT($C$83:$I$83,LEN(INDEX('Saisie programme'!$D$13:$J$477,42,0)))</f>
        <v>10</v>
      </c>
      <c r="E99" s="34" t="n">
        <f aca="false">SUMPRODUCT($C$84:$I$84,LEN(INDEX('Saisie programme'!$D$13:$J$477,81,0)))</f>
        <v>8</v>
      </c>
      <c r="F99" s="34" t="n">
        <f aca="false">SUMPRODUCT($C$85:$I$85,LEN(INDEX('Saisie programme'!$D$13:$J$477,120,0)))</f>
        <v>8</v>
      </c>
      <c r="G99" s="34" t="n">
        <f aca="false">SUMPRODUCT($C$86:$I$86,LEN(INDEX('Saisie programme'!$D$13:$J$477,159,0)))</f>
        <v>0</v>
      </c>
      <c r="H99" s="34" t="n">
        <f aca="false">SUMPRODUCT($C$87:$I$87,LEN(INDEX('Saisie programme'!$D$13:$J$477,198,0)))</f>
        <v>8</v>
      </c>
      <c r="I99" s="34" t="n">
        <f aca="false">SUMPRODUCT($C$88:$I$88,LEN(INDEX('Saisie programme'!$D$13:$J$477,237,0)))</f>
        <v>8</v>
      </c>
      <c r="J99" s="34" t="n">
        <f aca="false">SUMPRODUCT($C$89:$I$89,LEN(INDEX('Saisie programme'!$D$13:$J$477,276,0)))</f>
        <v>10</v>
      </c>
      <c r="K99" s="34" t="n">
        <f aca="false">SUMPRODUCT($C$90:$I$90,LEN(INDEX('Saisie programme'!$D$13:$J$477,315,0)))</f>
        <v>8</v>
      </c>
      <c r="L99" s="34" t="n">
        <f aca="false">SUMPRODUCT($C$91:$I$91,LEN(INDEX('Saisie programme'!$D$13:$J$477,354,0)))</f>
        <v>10</v>
      </c>
      <c r="M99" s="34" t="n">
        <f aca="false">SUMPRODUCT($C$92:$I$92,LEN(INDEX('Saisie programme'!$D$13:$J$477,393,0)))</f>
        <v>8</v>
      </c>
      <c r="N99" s="34" t="n">
        <f aca="false">SUMPRODUCT($C$93:$I$93,LEN(INDEX('Saisie programme'!$D$13:$J$477,432,0)))</f>
        <v>8</v>
      </c>
      <c r="O99" s="12" t="s">
        <v>12</v>
      </c>
      <c r="P99" s="12" t="s">
        <v>24</v>
      </c>
    </row>
    <row r="100" customFormat="false" ht="15" hidden="false" customHeight="false" outlineLevel="0" collapsed="false">
      <c r="B100" s="10" t="s">
        <v>140</v>
      </c>
      <c r="C100" s="34" t="n">
        <f aca="false">SUMPRODUCT($C$82:$I$82,LEN(INDEX('Saisie programme'!$D$13:$J$477,4,0)))</f>
        <v>4</v>
      </c>
      <c r="D100" s="34" t="n">
        <f aca="false">SUMPRODUCT($C$83:$I$83,LEN(INDEX('Saisie programme'!$D$13:$J$477,43,0)))</f>
        <v>5</v>
      </c>
      <c r="E100" s="34" t="n">
        <f aca="false">SUMPRODUCT($C$84:$I$84,LEN(INDEX('Saisie programme'!$D$13:$J$477,82,0)))</f>
        <v>4</v>
      </c>
      <c r="F100" s="34" t="n">
        <f aca="false">SUMPRODUCT($C$85:$I$85,LEN(INDEX('Saisie programme'!$D$13:$J$477,121,0)))</f>
        <v>4</v>
      </c>
      <c r="G100" s="34" t="n">
        <f aca="false">SUMPRODUCT($C$86:$I$86,LEN(INDEX('Saisie programme'!$D$13:$J$477,160,0)))</f>
        <v>5</v>
      </c>
      <c r="H100" s="34" t="n">
        <f aca="false">SUMPRODUCT($C$87:$I$87,LEN(INDEX('Saisie programme'!$D$13:$J$477,199,0)))</f>
        <v>4</v>
      </c>
      <c r="I100" s="34" t="n">
        <f aca="false">SUMPRODUCT($C$88:$I$88,LEN(INDEX('Saisie programme'!$D$13:$J$477,238,0)))</f>
        <v>5</v>
      </c>
      <c r="J100" s="34" t="n">
        <f aca="false">SUMPRODUCT($C$89:$I$89,LEN(INDEX('Saisie programme'!$D$13:$J$477,277,0)))</f>
        <v>4</v>
      </c>
      <c r="K100" s="34" t="n">
        <f aca="false">SUMPRODUCT($C$90:$I$90,LEN(INDEX('Saisie programme'!$D$13:$J$477,316,0)))</f>
        <v>4</v>
      </c>
      <c r="L100" s="34" t="n">
        <f aca="false">SUMPRODUCT($C$91:$I$91,LEN(INDEX('Saisie programme'!$D$13:$J$477,355,0)))</f>
        <v>5</v>
      </c>
      <c r="M100" s="34" t="n">
        <f aca="false">SUMPRODUCT($C$92:$I$92,LEN(INDEX('Saisie programme'!$D$13:$J$477,394,0)))</f>
        <v>4</v>
      </c>
      <c r="N100" s="34" t="n">
        <f aca="false">SUMPRODUCT($C$93:$I$93,LEN(INDEX('Saisie programme'!$D$13:$J$477,433,0)))</f>
        <v>4</v>
      </c>
      <c r="O100" s="12" t="s">
        <v>20</v>
      </c>
      <c r="P100" s="12" t="s">
        <v>11</v>
      </c>
    </row>
    <row r="101" customFormat="false" ht="15" hidden="false" customHeight="false" outlineLevel="0" collapsed="false">
      <c r="B101" s="10" t="s">
        <v>141</v>
      </c>
      <c r="C101" s="34" t="n">
        <f aca="false">SUMPRODUCT($C$82:$I$82,LEN(INDEX('Saisie programme'!$D$13:$J$477,5,0)))</f>
        <v>9</v>
      </c>
      <c r="D101" s="34" t="n">
        <f aca="false">SUMPRODUCT($C$83:$I$83,LEN(INDEX('Saisie programme'!$D$13:$J$477,44,0)))</f>
        <v>8</v>
      </c>
      <c r="E101" s="34" t="n">
        <f aca="false">SUMPRODUCT($C$84:$I$84,LEN(INDEX('Saisie programme'!$D$13:$J$477,83,0)))</f>
        <v>9</v>
      </c>
      <c r="F101" s="34" t="n">
        <f aca="false">SUMPRODUCT($C$85:$I$85,LEN(INDEX('Saisie programme'!$D$13:$J$477,122,0)))</f>
        <v>9</v>
      </c>
      <c r="G101" s="34" t="n">
        <f aca="false">SUMPRODUCT($C$86:$I$86,LEN(INDEX('Saisie programme'!$D$13:$J$477,161,0)))</f>
        <v>9</v>
      </c>
      <c r="H101" s="34" t="n">
        <f aca="false">SUMPRODUCT($C$87:$I$87,LEN(INDEX('Saisie programme'!$D$13:$J$477,200,0)))</f>
        <v>8</v>
      </c>
      <c r="I101" s="34" t="n">
        <f aca="false">SUMPRODUCT($C$88:$I$88,LEN(INDEX('Saisie programme'!$D$13:$J$477,239,0)))</f>
        <v>9</v>
      </c>
      <c r="J101" s="34" t="n">
        <f aca="false">SUMPRODUCT($C$89:$I$89,LEN(INDEX('Saisie programme'!$D$13:$J$477,278,0)))</f>
        <v>9</v>
      </c>
      <c r="K101" s="34" t="n">
        <f aca="false">SUMPRODUCT($C$90:$I$90,LEN(INDEX('Saisie programme'!$D$13:$J$477,317,0)))</f>
        <v>9</v>
      </c>
      <c r="L101" s="34" t="n">
        <f aca="false">SUMPRODUCT($C$91:$I$91,LEN(INDEX('Saisie programme'!$D$13:$J$477,356,0)))</f>
        <v>8</v>
      </c>
      <c r="M101" s="34" t="n">
        <f aca="false">SUMPRODUCT($C$92:$I$92,LEN(INDEX('Saisie programme'!$D$13:$J$477,395,0)))</f>
        <v>9</v>
      </c>
      <c r="N101" s="34" t="n">
        <f aca="false">SUMPRODUCT($C$93:$I$93,LEN(INDEX('Saisie programme'!$D$13:$J$477,434,0)))</f>
        <v>9</v>
      </c>
      <c r="O101" s="12" t="s">
        <v>20</v>
      </c>
      <c r="P101" s="12" t="s">
        <v>19</v>
      </c>
    </row>
    <row r="102" customFormat="false" ht="15" hidden="false" customHeight="false" outlineLevel="0" collapsed="false">
      <c r="B102" s="10" t="s">
        <v>142</v>
      </c>
      <c r="C102" s="34" t="n">
        <f aca="false">SUMPRODUCT($C$82:$I$82,LEN(INDEX('Saisie programme'!$D$13:$J$477,6,0)))</f>
        <v>0</v>
      </c>
      <c r="D102" s="34" t="n">
        <f aca="false">SUMPRODUCT($C$83:$I$83,LEN(INDEX('Saisie programme'!$D$13:$J$477,45,0)))</f>
        <v>0</v>
      </c>
      <c r="E102" s="34" t="n">
        <f aca="false">SUMPRODUCT($C$84:$I$84,LEN(INDEX('Saisie programme'!$D$13:$J$477,84,0)))</f>
        <v>0</v>
      </c>
      <c r="F102" s="34" t="n">
        <f aca="false">SUMPRODUCT($C$85:$I$85,LEN(INDEX('Saisie programme'!$D$13:$J$477,123,0)))</f>
        <v>0</v>
      </c>
      <c r="G102" s="34" t="n">
        <f aca="false">SUMPRODUCT($C$86:$I$86,LEN(INDEX('Saisie programme'!$D$13:$J$477,162,0)))</f>
        <v>0</v>
      </c>
      <c r="H102" s="34" t="n">
        <f aca="false">SUMPRODUCT($C$87:$I$87,LEN(INDEX('Saisie programme'!$D$13:$J$477,201,0)))</f>
        <v>0</v>
      </c>
      <c r="I102" s="34" t="n">
        <f aca="false">SUMPRODUCT($C$88:$I$88,LEN(INDEX('Saisie programme'!$D$13:$J$477,240,0)))</f>
        <v>0</v>
      </c>
      <c r="J102" s="34" t="n">
        <f aca="false">SUMPRODUCT($C$89:$I$89,LEN(INDEX('Saisie programme'!$D$13:$J$477,279,0)))</f>
        <v>0</v>
      </c>
      <c r="K102" s="34" t="n">
        <f aca="false">SUMPRODUCT($C$90:$I$90,LEN(INDEX('Saisie programme'!$D$13:$J$477,318,0)))</f>
        <v>0</v>
      </c>
      <c r="L102" s="34" t="n">
        <f aca="false">SUMPRODUCT($C$91:$I$91,LEN(INDEX('Saisie programme'!$D$13:$J$477,357,0)))</f>
        <v>0</v>
      </c>
      <c r="M102" s="34" t="n">
        <f aca="false">SUMPRODUCT($C$92:$I$92,LEN(INDEX('Saisie programme'!$D$13:$J$477,396,0)))</f>
        <v>0</v>
      </c>
      <c r="N102" s="34" t="n">
        <f aca="false">SUMPRODUCT($C$93:$I$93,LEN(INDEX('Saisie programme'!$D$13:$J$477,435,0)))</f>
        <v>0</v>
      </c>
      <c r="O102" s="12" t="s">
        <v>20</v>
      </c>
      <c r="P102" s="12" t="s">
        <v>24</v>
      </c>
    </row>
    <row r="103" customFormat="false" ht="15" hidden="false" customHeight="false" outlineLevel="0" collapsed="false">
      <c r="B103" s="10" t="s">
        <v>143</v>
      </c>
      <c r="C103" s="34" t="n">
        <f aca="false">SUMPRODUCT($C$82:$I$82,LEN(INDEX('Saisie programme'!$D$13:$J$477,7,0)))</f>
        <v>0</v>
      </c>
      <c r="D103" s="34" t="n">
        <f aca="false">SUMPRODUCT($C$83:$I$83,LEN(INDEX('Saisie programme'!$D$13:$J$477,46,0)))</f>
        <v>0</v>
      </c>
      <c r="E103" s="34" t="n">
        <f aca="false">SUMPRODUCT($C$84:$I$84,LEN(INDEX('Saisie programme'!$D$13:$J$477,85,0)))</f>
        <v>0</v>
      </c>
      <c r="F103" s="34" t="n">
        <f aca="false">SUMPRODUCT($C$85:$I$85,LEN(INDEX('Saisie programme'!$D$13:$J$477,124,0)))</f>
        <v>0</v>
      </c>
      <c r="G103" s="34" t="n">
        <f aca="false">SUMPRODUCT($C$86:$I$86,LEN(INDEX('Saisie programme'!$D$13:$J$477,163,0)))</f>
        <v>0</v>
      </c>
      <c r="H103" s="34" t="n">
        <f aca="false">SUMPRODUCT($C$87:$I$87,LEN(INDEX('Saisie programme'!$D$13:$J$477,202,0)))</f>
        <v>0</v>
      </c>
      <c r="I103" s="34" t="n">
        <f aca="false">SUMPRODUCT($C$88:$I$88,LEN(INDEX('Saisie programme'!$D$13:$J$477,241,0)))</f>
        <v>0</v>
      </c>
      <c r="J103" s="34" t="n">
        <f aca="false">SUMPRODUCT($C$89:$I$89,LEN(INDEX('Saisie programme'!$D$13:$J$477,280,0)))</f>
        <v>0</v>
      </c>
      <c r="K103" s="34" t="n">
        <f aca="false">SUMPRODUCT($C$90:$I$90,LEN(INDEX('Saisie programme'!$D$13:$J$477,319,0)))</f>
        <v>0</v>
      </c>
      <c r="L103" s="34" t="n">
        <f aca="false">SUMPRODUCT($C$91:$I$91,LEN(INDEX('Saisie programme'!$D$13:$J$477,358,0)))</f>
        <v>0</v>
      </c>
      <c r="M103" s="34" t="n">
        <f aca="false">SUMPRODUCT($C$92:$I$92,LEN(INDEX('Saisie programme'!$D$13:$J$477,397,0)))</f>
        <v>0</v>
      </c>
      <c r="N103" s="34" t="n">
        <f aca="false">SUMPRODUCT($C$93:$I$93,LEN(INDEX('Saisie programme'!$D$13:$J$477,436,0)))</f>
        <v>0</v>
      </c>
      <c r="O103" s="12" t="s">
        <v>25</v>
      </c>
      <c r="P103" s="12" t="s">
        <v>11</v>
      </c>
    </row>
    <row r="104" customFormat="false" ht="15" hidden="false" customHeight="false" outlineLevel="0" collapsed="false">
      <c r="B104" s="10" t="s">
        <v>144</v>
      </c>
      <c r="C104" s="34" t="n">
        <f aca="false">SUMPRODUCT($C$82:$I$82,LEN(INDEX('Saisie programme'!$D$13:$J$477,8,0)))</f>
        <v>8</v>
      </c>
      <c r="D104" s="34" t="n">
        <f aca="false">SUMPRODUCT($C$83:$I$83,LEN(INDEX('Saisie programme'!$D$13:$J$477,47,0)))</f>
        <v>9</v>
      </c>
      <c r="E104" s="34" t="n">
        <f aca="false">SUMPRODUCT($C$84:$I$84,LEN(INDEX('Saisie programme'!$D$13:$J$477,86,0)))</f>
        <v>9</v>
      </c>
      <c r="F104" s="34" t="n">
        <f aca="false">SUMPRODUCT($C$85:$I$85,LEN(INDEX('Saisie programme'!$D$13:$J$477,125,0)))</f>
        <v>9</v>
      </c>
      <c r="G104" s="34" t="n">
        <f aca="false">SUMPRODUCT($C$86:$I$86,LEN(INDEX('Saisie programme'!$D$13:$J$477,164,0)))</f>
        <v>8</v>
      </c>
      <c r="H104" s="34" t="n">
        <f aca="false">SUMPRODUCT($C$87:$I$87,LEN(INDEX('Saisie programme'!$D$13:$J$477,203,0)))</f>
        <v>9</v>
      </c>
      <c r="I104" s="34" t="n">
        <f aca="false">SUMPRODUCT($C$88:$I$88,LEN(INDEX('Saisie programme'!$D$13:$J$477,242,0)))</f>
        <v>9</v>
      </c>
      <c r="J104" s="34" t="n">
        <f aca="false">SUMPRODUCT($C$89:$I$89,LEN(INDEX('Saisie programme'!$D$13:$J$477,281,0)))</f>
        <v>8</v>
      </c>
      <c r="K104" s="34" t="n">
        <f aca="false">SUMPRODUCT($C$90:$I$90,LEN(INDEX('Saisie programme'!$D$13:$J$477,320,0)))</f>
        <v>9</v>
      </c>
      <c r="L104" s="34" t="n">
        <f aca="false">SUMPRODUCT($C$91:$I$91,LEN(INDEX('Saisie programme'!$D$13:$J$477,359,0)))</f>
        <v>9</v>
      </c>
      <c r="M104" s="34" t="n">
        <f aca="false">SUMPRODUCT($C$92:$I$92,LEN(INDEX('Saisie programme'!$D$13:$J$477,398,0)))</f>
        <v>8</v>
      </c>
      <c r="N104" s="34" t="n">
        <f aca="false">SUMPRODUCT($C$93:$I$93,LEN(INDEX('Saisie programme'!$D$13:$J$477,437,0)))</f>
        <v>9</v>
      </c>
      <c r="O104" s="12" t="s">
        <v>25</v>
      </c>
      <c r="P104" s="12" t="s">
        <v>19</v>
      </c>
    </row>
    <row r="105" customFormat="false" ht="15" hidden="false" customHeight="false" outlineLevel="0" collapsed="false">
      <c r="B105" s="10" t="s">
        <v>145</v>
      </c>
      <c r="C105" s="34" t="n">
        <f aca="false">SUMPRODUCT($C$82:$I$82,LEN(INDEX('Saisie programme'!$D$13:$J$477,9,0)))</f>
        <v>0</v>
      </c>
      <c r="D105" s="34" t="n">
        <f aca="false">SUMPRODUCT($C$83:$I$83,LEN(INDEX('Saisie programme'!$D$13:$J$477,48,0)))</f>
        <v>0</v>
      </c>
      <c r="E105" s="34" t="n">
        <f aca="false">SUMPRODUCT($C$84:$I$84,LEN(INDEX('Saisie programme'!$D$13:$J$477,87,0)))</f>
        <v>0</v>
      </c>
      <c r="F105" s="34" t="n">
        <f aca="false">SUMPRODUCT($C$85:$I$85,LEN(INDEX('Saisie programme'!$D$13:$J$477,126,0)))</f>
        <v>0</v>
      </c>
      <c r="G105" s="34" t="n">
        <f aca="false">SUMPRODUCT($C$86:$I$86,LEN(INDEX('Saisie programme'!$D$13:$J$477,165,0)))</f>
        <v>0</v>
      </c>
      <c r="H105" s="34" t="n">
        <f aca="false">SUMPRODUCT($C$87:$I$87,LEN(INDEX('Saisie programme'!$D$13:$J$477,204,0)))</f>
        <v>0</v>
      </c>
      <c r="I105" s="34" t="n">
        <f aca="false">SUMPRODUCT($C$88:$I$88,LEN(INDEX('Saisie programme'!$D$13:$J$477,243,0)))</f>
        <v>0</v>
      </c>
      <c r="J105" s="34" t="n">
        <f aca="false">SUMPRODUCT($C$89:$I$89,LEN(INDEX('Saisie programme'!$D$13:$J$477,282,0)))</f>
        <v>0</v>
      </c>
      <c r="K105" s="34" t="n">
        <f aca="false">SUMPRODUCT($C$90:$I$90,LEN(INDEX('Saisie programme'!$D$13:$J$477,321,0)))</f>
        <v>0</v>
      </c>
      <c r="L105" s="34" t="n">
        <f aca="false">SUMPRODUCT($C$91:$I$91,LEN(INDEX('Saisie programme'!$D$13:$J$477,360,0)))</f>
        <v>0</v>
      </c>
      <c r="M105" s="34" t="n">
        <f aca="false">SUMPRODUCT($C$92:$I$92,LEN(INDEX('Saisie programme'!$D$13:$J$477,399,0)))</f>
        <v>0</v>
      </c>
      <c r="N105" s="34" t="n">
        <f aca="false">SUMPRODUCT($C$93:$I$93,LEN(INDEX('Saisie programme'!$D$13:$J$477,438,0)))</f>
        <v>0</v>
      </c>
      <c r="O105" s="12" t="s">
        <v>25</v>
      </c>
      <c r="P105" s="12" t="s">
        <v>24</v>
      </c>
    </row>
    <row r="106" customFormat="false" ht="15" hidden="false" customHeight="false" outlineLevel="0" collapsed="false">
      <c r="B106" s="10" t="s">
        <v>146</v>
      </c>
      <c r="C106" s="34" t="n">
        <f aca="false">SUMPRODUCT($C$82:$I$82,LEN(INDEX('Saisie programme'!$D$13:$J$477,10,0)))</f>
        <v>0</v>
      </c>
      <c r="D106" s="34" t="n">
        <f aca="false">SUMPRODUCT($C$83:$I$83,LEN(INDEX('Saisie programme'!$D$13:$J$477,49,0)))</f>
        <v>0</v>
      </c>
      <c r="E106" s="34" t="n">
        <f aca="false">SUMPRODUCT($C$84:$I$84,LEN(INDEX('Saisie programme'!$D$13:$J$477,88,0)))</f>
        <v>0</v>
      </c>
      <c r="F106" s="34" t="n">
        <f aca="false">SUMPRODUCT($C$85:$I$85,LEN(INDEX('Saisie programme'!$D$13:$J$477,127,0)))</f>
        <v>0</v>
      </c>
      <c r="G106" s="34" t="n">
        <f aca="false">SUMPRODUCT($C$86:$I$86,LEN(INDEX('Saisie programme'!$D$13:$J$477,166,0)))</f>
        <v>0</v>
      </c>
      <c r="H106" s="34" t="n">
        <f aca="false">SUMPRODUCT($C$87:$I$87,LEN(INDEX('Saisie programme'!$D$13:$J$477,205,0)))</f>
        <v>0</v>
      </c>
      <c r="I106" s="34" t="n">
        <f aca="false">SUMPRODUCT($C$88:$I$88,LEN(INDEX('Saisie programme'!$D$13:$J$477,244,0)))</f>
        <v>0</v>
      </c>
      <c r="J106" s="34" t="n">
        <f aca="false">SUMPRODUCT($C$89:$I$89,LEN(INDEX('Saisie programme'!$D$13:$J$477,283,0)))</f>
        <v>0</v>
      </c>
      <c r="K106" s="34" t="n">
        <f aca="false">SUMPRODUCT($C$90:$I$90,LEN(INDEX('Saisie programme'!$D$13:$J$477,322,0)))</f>
        <v>0</v>
      </c>
      <c r="L106" s="34" t="n">
        <f aca="false">SUMPRODUCT($C$91:$I$91,LEN(INDEX('Saisie programme'!$D$13:$J$477,361,0)))</f>
        <v>0</v>
      </c>
      <c r="M106" s="34" t="n">
        <f aca="false">SUMPRODUCT($C$92:$I$92,LEN(INDEX('Saisie programme'!$D$13:$J$477,400,0)))</f>
        <v>0</v>
      </c>
      <c r="N106" s="34" t="n">
        <f aca="false">SUMPRODUCT($C$93:$I$93,LEN(INDEX('Saisie programme'!$D$13:$J$477,439,0)))</f>
        <v>0</v>
      </c>
      <c r="O106" s="12" t="s">
        <v>36</v>
      </c>
      <c r="P106" s="12" t="s">
        <v>11</v>
      </c>
    </row>
    <row r="107" customFormat="false" ht="15" hidden="false" customHeight="false" outlineLevel="0" collapsed="false">
      <c r="B107" s="10" t="s">
        <v>147</v>
      </c>
      <c r="C107" s="34" t="n">
        <f aca="false">SUMPRODUCT($C$82:$I$82,LEN(INDEX('Saisie programme'!$D$13:$J$477,11,0)))</f>
        <v>4</v>
      </c>
      <c r="D107" s="34" t="n">
        <f aca="false">SUMPRODUCT($C$83:$I$83,LEN(INDEX('Saisie programme'!$D$13:$J$477,50,0)))</f>
        <v>4</v>
      </c>
      <c r="E107" s="34" t="n">
        <f aca="false">SUMPRODUCT($C$84:$I$84,LEN(INDEX('Saisie programme'!$D$13:$J$477,89,0)))</f>
        <v>5</v>
      </c>
      <c r="F107" s="34" t="n">
        <f aca="false">SUMPRODUCT($C$85:$I$85,LEN(INDEX('Saisie programme'!$D$13:$J$477,128,0)))</f>
        <v>4</v>
      </c>
      <c r="G107" s="34" t="n">
        <f aca="false">SUMPRODUCT($C$86:$I$86,LEN(INDEX('Saisie programme'!$D$13:$J$477,167,0)))</f>
        <v>4</v>
      </c>
      <c r="H107" s="34" t="n">
        <f aca="false">SUMPRODUCT($C$87:$I$87,LEN(INDEX('Saisie programme'!$D$13:$J$477,206,0)))</f>
        <v>5</v>
      </c>
      <c r="I107" s="34" t="n">
        <f aca="false">SUMPRODUCT($C$88:$I$88,LEN(INDEX('Saisie programme'!$D$13:$J$477,245,0)))</f>
        <v>4</v>
      </c>
      <c r="J107" s="34" t="n">
        <f aca="false">SUMPRODUCT($C$89:$I$89,LEN(INDEX('Saisie programme'!$D$13:$J$477,284,0)))</f>
        <v>4</v>
      </c>
      <c r="K107" s="34" t="n">
        <f aca="false">SUMPRODUCT($C$90:$I$90,LEN(INDEX('Saisie programme'!$D$13:$J$477,323,0)))</f>
        <v>5</v>
      </c>
      <c r="L107" s="34" t="n">
        <f aca="false">SUMPRODUCT($C$91:$I$91,LEN(INDEX('Saisie programme'!$D$13:$J$477,362,0)))</f>
        <v>4</v>
      </c>
      <c r="M107" s="34" t="n">
        <f aca="false">SUMPRODUCT($C$92:$I$92,LEN(INDEX('Saisie programme'!$D$13:$J$477,401,0)))</f>
        <v>4</v>
      </c>
      <c r="N107" s="34" t="n">
        <f aca="false">SUMPRODUCT($C$93:$I$93,LEN(INDEX('Saisie programme'!$D$13:$J$477,440,0)))</f>
        <v>5</v>
      </c>
      <c r="O107" s="12" t="s">
        <v>36</v>
      </c>
      <c r="P107" s="12" t="s">
        <v>19</v>
      </c>
    </row>
    <row r="108" customFormat="false" ht="15" hidden="false" customHeight="false" outlineLevel="0" collapsed="false">
      <c r="B108" s="10" t="s">
        <v>148</v>
      </c>
      <c r="C108" s="34" t="n">
        <f aca="false">SUMPRODUCT($C$82:$I$82,LEN(INDEX('Saisie programme'!$D$13:$J$477,12,0)))</f>
        <v>22</v>
      </c>
      <c r="D108" s="34" t="n">
        <f aca="false">SUMPRODUCT($C$83:$I$83,LEN(INDEX('Saisie programme'!$D$13:$J$477,51,0)))</f>
        <v>21</v>
      </c>
      <c r="E108" s="34" t="n">
        <f aca="false">SUMPRODUCT($C$84:$I$84,LEN(INDEX('Saisie programme'!$D$13:$J$477,90,0)))</f>
        <v>22</v>
      </c>
      <c r="F108" s="34" t="n">
        <f aca="false">SUMPRODUCT($C$85:$I$85,LEN(INDEX('Saisie programme'!$D$13:$J$477,129,0)))</f>
        <v>22</v>
      </c>
      <c r="G108" s="34" t="n">
        <f aca="false">SUMPRODUCT($C$86:$I$86,LEN(INDEX('Saisie programme'!$D$13:$J$477,168,0)))</f>
        <v>22</v>
      </c>
      <c r="H108" s="34" t="n">
        <f aca="false">SUMPRODUCT($C$87:$I$87,LEN(INDEX('Saisie programme'!$D$13:$J$477,207,0)))</f>
        <v>22</v>
      </c>
      <c r="I108" s="34" t="n">
        <f aca="false">SUMPRODUCT($C$88:$I$88,LEN(INDEX('Saisie programme'!$D$13:$J$477,246,0)))</f>
        <v>21</v>
      </c>
      <c r="J108" s="34" t="n">
        <f aca="false">SUMPRODUCT($C$89:$I$89,LEN(INDEX('Saisie programme'!$D$13:$J$477,285,0)))</f>
        <v>22</v>
      </c>
      <c r="K108" s="34" t="n">
        <f aca="false">SUMPRODUCT($C$90:$I$90,LEN(INDEX('Saisie programme'!$D$13:$J$477,324,0)))</f>
        <v>23</v>
      </c>
      <c r="L108" s="34" t="n">
        <f aca="false">SUMPRODUCT($C$91:$I$91,LEN(INDEX('Saisie programme'!$D$13:$J$477,363,0)))</f>
        <v>21</v>
      </c>
      <c r="M108" s="34" t="n">
        <f aca="false">SUMPRODUCT($C$92:$I$92,LEN(INDEX('Saisie programme'!$D$13:$J$477,402,0)))</f>
        <v>21</v>
      </c>
      <c r="N108" s="34" t="n">
        <f aca="false">SUMPRODUCT($C$93:$I$93,LEN(INDEX('Saisie programme'!$D$13:$J$477,441,0)))</f>
        <v>23</v>
      </c>
      <c r="O108" s="12" t="s">
        <v>36</v>
      </c>
      <c r="P108" s="12" t="s">
        <v>24</v>
      </c>
    </row>
    <row r="109" customFormat="false" ht="15" hidden="false" customHeight="false" outlineLevel="0" collapsed="false">
      <c r="B109" s="10" t="s">
        <v>149</v>
      </c>
      <c r="C109" s="34" t="n">
        <f aca="false">SUMPRODUCT($C$82:$I$82,LEN(INDEX('Saisie programme'!$D$13:$J$477,13,0)))</f>
        <v>0</v>
      </c>
      <c r="D109" s="34" t="n">
        <f aca="false">SUMPRODUCT($C$83:$I$83,LEN(INDEX('Saisie programme'!$D$13:$J$477,52,0)))</f>
        <v>0</v>
      </c>
      <c r="E109" s="34" t="n">
        <f aca="false">SUMPRODUCT($C$84:$I$84,LEN(INDEX('Saisie programme'!$D$13:$J$477,91,0)))</f>
        <v>0</v>
      </c>
      <c r="F109" s="34" t="n">
        <f aca="false">SUMPRODUCT($C$85:$I$85,LEN(INDEX('Saisie programme'!$D$13:$J$477,130,0)))</f>
        <v>0</v>
      </c>
      <c r="G109" s="34" t="n">
        <f aca="false">SUMPRODUCT($C$86:$I$86,LEN(INDEX('Saisie programme'!$D$13:$J$477,169,0)))</f>
        <v>0</v>
      </c>
      <c r="H109" s="34" t="n">
        <f aca="false">SUMPRODUCT($C$87:$I$87,LEN(INDEX('Saisie programme'!$D$13:$J$477,208,0)))</f>
        <v>0</v>
      </c>
      <c r="I109" s="34" t="n">
        <f aca="false">SUMPRODUCT($C$88:$I$88,LEN(INDEX('Saisie programme'!$D$13:$J$477,247,0)))</f>
        <v>0</v>
      </c>
      <c r="J109" s="34" t="n">
        <f aca="false">SUMPRODUCT($C$89:$I$89,LEN(INDEX('Saisie programme'!$D$13:$J$477,286,0)))</f>
        <v>0</v>
      </c>
      <c r="K109" s="34" t="n">
        <f aca="false">SUMPRODUCT($C$90:$I$90,LEN(INDEX('Saisie programme'!$D$13:$J$477,325,0)))</f>
        <v>0</v>
      </c>
      <c r="L109" s="34" t="n">
        <f aca="false">SUMPRODUCT($C$91:$I$91,LEN(INDEX('Saisie programme'!$D$13:$J$477,364,0)))</f>
        <v>0</v>
      </c>
      <c r="M109" s="34" t="n">
        <f aca="false">SUMPRODUCT($C$92:$I$92,LEN(INDEX('Saisie programme'!$D$13:$J$477,403,0)))</f>
        <v>0</v>
      </c>
      <c r="N109" s="34" t="n">
        <f aca="false">SUMPRODUCT($C$93:$I$93,LEN(INDEX('Saisie programme'!$D$13:$J$477,442,0)))</f>
        <v>0</v>
      </c>
      <c r="O109" s="12" t="s">
        <v>40</v>
      </c>
      <c r="P109" s="12" t="s">
        <v>11</v>
      </c>
    </row>
    <row r="110" customFormat="false" ht="15" hidden="false" customHeight="false" outlineLevel="0" collapsed="false">
      <c r="B110" s="10" t="s">
        <v>150</v>
      </c>
      <c r="C110" s="34" t="n">
        <f aca="false">SUMPRODUCT($C$82:$I$82,LEN(INDEX('Saisie programme'!$D$13:$J$477,14,0)))</f>
        <v>0</v>
      </c>
      <c r="D110" s="34" t="n">
        <f aca="false">SUMPRODUCT($C$83:$I$83,LEN(INDEX('Saisie programme'!$D$13:$J$477,53,0)))</f>
        <v>0</v>
      </c>
      <c r="E110" s="34" t="n">
        <f aca="false">SUMPRODUCT($C$84:$I$84,LEN(INDEX('Saisie programme'!$D$13:$J$477,92,0)))</f>
        <v>0</v>
      </c>
      <c r="F110" s="34" t="n">
        <f aca="false">SUMPRODUCT($C$85:$I$85,LEN(INDEX('Saisie programme'!$D$13:$J$477,131,0)))</f>
        <v>0</v>
      </c>
      <c r="G110" s="34" t="n">
        <f aca="false">SUMPRODUCT($C$86:$I$86,LEN(INDEX('Saisie programme'!$D$13:$J$477,170,0)))</f>
        <v>0</v>
      </c>
      <c r="H110" s="34" t="n">
        <f aca="false">SUMPRODUCT($C$87:$I$87,LEN(INDEX('Saisie programme'!$D$13:$J$477,209,0)))</f>
        <v>0</v>
      </c>
      <c r="I110" s="34" t="n">
        <f aca="false">SUMPRODUCT($C$88:$I$88,LEN(INDEX('Saisie programme'!$D$13:$J$477,248,0)))</f>
        <v>0</v>
      </c>
      <c r="J110" s="34" t="n">
        <f aca="false">SUMPRODUCT($C$89:$I$89,LEN(INDEX('Saisie programme'!$D$13:$J$477,287,0)))</f>
        <v>0</v>
      </c>
      <c r="K110" s="34" t="n">
        <f aca="false">SUMPRODUCT($C$90:$I$90,LEN(INDEX('Saisie programme'!$D$13:$J$477,326,0)))</f>
        <v>0</v>
      </c>
      <c r="L110" s="34" t="n">
        <f aca="false">SUMPRODUCT($C$91:$I$91,LEN(INDEX('Saisie programme'!$D$13:$J$477,365,0)))</f>
        <v>0</v>
      </c>
      <c r="M110" s="34" t="n">
        <f aca="false">SUMPRODUCT($C$92:$I$92,LEN(INDEX('Saisie programme'!$D$13:$J$477,404,0)))</f>
        <v>0</v>
      </c>
      <c r="N110" s="34" t="n">
        <f aca="false">SUMPRODUCT($C$93:$I$93,LEN(INDEX('Saisie programme'!$D$13:$J$477,443,0)))</f>
        <v>0</v>
      </c>
      <c r="O110" s="12" t="s">
        <v>40</v>
      </c>
      <c r="P110" s="12" t="s">
        <v>19</v>
      </c>
    </row>
    <row r="111" customFormat="false" ht="15" hidden="false" customHeight="false" outlineLevel="0" collapsed="false">
      <c r="B111" s="10" t="s">
        <v>151</v>
      </c>
      <c r="C111" s="34" t="n">
        <f aca="false">SUMPRODUCT($C$82:$I$82,LEN(INDEX('Saisie programme'!$D$13:$J$477,15,0)))</f>
        <v>17</v>
      </c>
      <c r="D111" s="34" t="n">
        <f aca="false">SUMPRODUCT($C$83:$I$83,LEN(INDEX('Saisie programme'!$D$13:$J$477,54,0)))</f>
        <v>18</v>
      </c>
      <c r="E111" s="34" t="n">
        <f aca="false">SUMPRODUCT($C$84:$I$84,LEN(INDEX('Saisie programme'!$D$13:$J$477,93,0)))</f>
        <v>17</v>
      </c>
      <c r="F111" s="34" t="n">
        <f aca="false">SUMPRODUCT($C$85:$I$85,LEN(INDEX('Saisie programme'!$D$13:$J$477,132,0)))</f>
        <v>17</v>
      </c>
      <c r="G111" s="34" t="n">
        <f aca="false">SUMPRODUCT($C$86:$I$86,LEN(INDEX('Saisie programme'!$D$13:$J$477,171,0)))</f>
        <v>18</v>
      </c>
      <c r="H111" s="34" t="n">
        <f aca="false">SUMPRODUCT($C$87:$I$87,LEN(INDEX('Saisie programme'!$D$13:$J$477,210,0)))</f>
        <v>17</v>
      </c>
      <c r="I111" s="34" t="n">
        <f aca="false">SUMPRODUCT($C$88:$I$88,LEN(INDEX('Saisie programme'!$D$13:$J$477,249,0)))</f>
        <v>18</v>
      </c>
      <c r="J111" s="34" t="n">
        <f aca="false">SUMPRODUCT($C$89:$I$89,LEN(INDEX('Saisie programme'!$D$13:$J$477,288,0)))</f>
        <v>17</v>
      </c>
      <c r="K111" s="34" t="n">
        <f aca="false">SUMPRODUCT($C$90:$I$90,LEN(INDEX('Saisie programme'!$D$13:$J$477,327,0)))</f>
        <v>18</v>
      </c>
      <c r="L111" s="34" t="n">
        <f aca="false">SUMPRODUCT($C$91:$I$91,LEN(INDEX('Saisie programme'!$D$13:$J$477,366,0)))</f>
        <v>18</v>
      </c>
      <c r="M111" s="34" t="n">
        <f aca="false">SUMPRODUCT($C$92:$I$92,LEN(INDEX('Saisie programme'!$D$13:$J$477,405,0)))</f>
        <v>16</v>
      </c>
      <c r="N111" s="34" t="n">
        <f aca="false">SUMPRODUCT($C$93:$I$93,LEN(INDEX('Saisie programme'!$D$13:$J$477,444,0)))</f>
        <v>18</v>
      </c>
      <c r="O111" s="12" t="s">
        <v>40</v>
      </c>
      <c r="P111" s="12" t="s">
        <v>24</v>
      </c>
    </row>
    <row r="112" customFormat="false" ht="15" hidden="false" customHeight="false" outlineLevel="0" collapsed="false">
      <c r="B112" s="10" t="s">
        <v>152</v>
      </c>
      <c r="C112" s="34" t="n">
        <f aca="false">SUMPRODUCT($C$82:$I$82,LEN(INDEX('Saisie programme'!$D$13:$J$477,16,0)))</f>
        <v>0</v>
      </c>
      <c r="D112" s="34" t="n">
        <f aca="false">SUMPRODUCT($C$83:$I$83,LEN(INDEX('Saisie programme'!$D$13:$J$477,55,0)))</f>
        <v>0</v>
      </c>
      <c r="E112" s="34" t="n">
        <f aca="false">SUMPRODUCT($C$84:$I$84,LEN(INDEX('Saisie programme'!$D$13:$J$477,94,0)))</f>
        <v>0</v>
      </c>
      <c r="F112" s="34" t="n">
        <f aca="false">SUMPRODUCT($C$85:$I$85,LEN(INDEX('Saisie programme'!$D$13:$J$477,133,0)))</f>
        <v>0</v>
      </c>
      <c r="G112" s="34" t="n">
        <f aca="false">SUMPRODUCT($C$86:$I$86,LEN(INDEX('Saisie programme'!$D$13:$J$477,172,0)))</f>
        <v>0</v>
      </c>
      <c r="H112" s="34" t="n">
        <f aca="false">SUMPRODUCT($C$87:$I$87,LEN(INDEX('Saisie programme'!$D$13:$J$477,211,0)))</f>
        <v>0</v>
      </c>
      <c r="I112" s="34" t="n">
        <f aca="false">SUMPRODUCT($C$88:$I$88,LEN(INDEX('Saisie programme'!$D$13:$J$477,250,0)))</f>
        <v>0</v>
      </c>
      <c r="J112" s="34" t="n">
        <f aca="false">SUMPRODUCT($C$89:$I$89,LEN(INDEX('Saisie programme'!$D$13:$J$477,289,0)))</f>
        <v>0</v>
      </c>
      <c r="K112" s="34" t="n">
        <f aca="false">SUMPRODUCT($C$90:$I$90,LEN(INDEX('Saisie programme'!$D$13:$J$477,328,0)))</f>
        <v>0</v>
      </c>
      <c r="L112" s="34" t="n">
        <f aca="false">SUMPRODUCT($C$91:$I$91,LEN(INDEX('Saisie programme'!$D$13:$J$477,367,0)))</f>
        <v>0</v>
      </c>
      <c r="M112" s="34" t="n">
        <f aca="false">SUMPRODUCT($C$92:$I$92,LEN(INDEX('Saisie programme'!$D$13:$J$477,406,0)))</f>
        <v>0</v>
      </c>
      <c r="N112" s="34" t="n">
        <f aca="false">SUMPRODUCT($C$93:$I$93,LEN(INDEX('Saisie programme'!$D$13:$J$477,445,0)))</f>
        <v>0</v>
      </c>
      <c r="O112" s="12" t="s">
        <v>14</v>
      </c>
      <c r="P112" s="12" t="s">
        <v>11</v>
      </c>
    </row>
    <row r="113" customFormat="false" ht="15" hidden="false" customHeight="false" outlineLevel="0" collapsed="false">
      <c r="B113" s="10" t="s">
        <v>153</v>
      </c>
      <c r="C113" s="34" t="n">
        <f aca="false">SUMPRODUCT($C$82:$I$82,LEN(INDEX('Saisie programme'!$D$13:$J$477,17,0)))</f>
        <v>0</v>
      </c>
      <c r="D113" s="34" t="n">
        <f aca="false">SUMPRODUCT($C$83:$I$83,LEN(INDEX('Saisie programme'!$D$13:$J$477,56,0)))</f>
        <v>0</v>
      </c>
      <c r="E113" s="34" t="n">
        <f aca="false">SUMPRODUCT($C$84:$I$84,LEN(INDEX('Saisie programme'!$D$13:$J$477,95,0)))</f>
        <v>0</v>
      </c>
      <c r="F113" s="34" t="n">
        <f aca="false">SUMPRODUCT($C$85:$I$85,LEN(INDEX('Saisie programme'!$D$13:$J$477,134,0)))</f>
        <v>0</v>
      </c>
      <c r="G113" s="34" t="n">
        <f aca="false">SUMPRODUCT($C$86:$I$86,LEN(INDEX('Saisie programme'!$D$13:$J$477,173,0)))</f>
        <v>0</v>
      </c>
      <c r="H113" s="34" t="n">
        <f aca="false">SUMPRODUCT($C$87:$I$87,LEN(INDEX('Saisie programme'!$D$13:$J$477,212,0)))</f>
        <v>0</v>
      </c>
      <c r="I113" s="34" t="n">
        <f aca="false">SUMPRODUCT($C$88:$I$88,LEN(INDEX('Saisie programme'!$D$13:$J$477,251,0)))</f>
        <v>0</v>
      </c>
      <c r="J113" s="34" t="n">
        <f aca="false">SUMPRODUCT($C$89:$I$89,LEN(INDEX('Saisie programme'!$D$13:$J$477,290,0)))</f>
        <v>0</v>
      </c>
      <c r="K113" s="34" t="n">
        <f aca="false">SUMPRODUCT($C$90:$I$90,LEN(INDEX('Saisie programme'!$D$13:$J$477,329,0)))</f>
        <v>0</v>
      </c>
      <c r="L113" s="34" t="n">
        <f aca="false">SUMPRODUCT($C$91:$I$91,LEN(INDEX('Saisie programme'!$D$13:$J$477,368,0)))</f>
        <v>0</v>
      </c>
      <c r="M113" s="34" t="n">
        <f aca="false">SUMPRODUCT($C$92:$I$92,LEN(INDEX('Saisie programme'!$D$13:$J$477,407,0)))</f>
        <v>0</v>
      </c>
      <c r="N113" s="34" t="n">
        <f aca="false">SUMPRODUCT($C$93:$I$93,LEN(INDEX('Saisie programme'!$D$13:$J$477,446,0)))</f>
        <v>0</v>
      </c>
      <c r="O113" s="12" t="s">
        <v>14</v>
      </c>
      <c r="P113" s="12" t="s">
        <v>19</v>
      </c>
    </row>
    <row r="114" customFormat="false" ht="15" hidden="false" customHeight="false" outlineLevel="0" collapsed="false">
      <c r="B114" s="10" t="s">
        <v>154</v>
      </c>
      <c r="C114" s="34" t="n">
        <f aca="false">SUMPRODUCT($C$82:$I$82,LEN(INDEX('Saisie programme'!$D$13:$J$477,18,0)))</f>
        <v>13</v>
      </c>
      <c r="D114" s="34" t="n">
        <f aca="false">SUMPRODUCT($C$83:$I$83,LEN(INDEX('Saisie programme'!$D$13:$J$477,57,0)))</f>
        <v>14</v>
      </c>
      <c r="E114" s="34" t="n">
        <f aca="false">SUMPRODUCT($C$84:$I$84,LEN(INDEX('Saisie programme'!$D$13:$J$477,96,0)))</f>
        <v>12</v>
      </c>
      <c r="F114" s="34" t="n">
        <f aca="false">SUMPRODUCT($C$85:$I$85,LEN(INDEX('Saisie programme'!$D$13:$J$477,135,0)))</f>
        <v>18</v>
      </c>
      <c r="G114" s="34" t="n">
        <f aca="false">SUMPRODUCT($C$86:$I$86,LEN(INDEX('Saisie programme'!$D$13:$J$477,174,0)))</f>
        <v>13</v>
      </c>
      <c r="H114" s="34" t="n">
        <f aca="false">SUMPRODUCT($C$87:$I$87,LEN(INDEX('Saisie programme'!$D$13:$J$477,213,0)))</f>
        <v>13</v>
      </c>
      <c r="I114" s="34" t="n">
        <f aca="false">SUMPRODUCT($C$88:$I$88,LEN(INDEX('Saisie programme'!$D$13:$J$477,252,0)))</f>
        <v>13</v>
      </c>
      <c r="J114" s="34" t="n">
        <f aca="false">SUMPRODUCT($C$89:$I$89,LEN(INDEX('Saisie programme'!$D$13:$J$477,291,0)))</f>
        <v>13</v>
      </c>
      <c r="K114" s="34" t="n">
        <f aca="false">SUMPRODUCT($C$90:$I$90,LEN(INDEX('Saisie programme'!$D$13:$J$477,330,0)))</f>
        <v>21</v>
      </c>
      <c r="L114" s="34" t="n">
        <f aca="false">SUMPRODUCT($C$91:$I$91,LEN(INDEX('Saisie programme'!$D$13:$J$477,369,0)))</f>
        <v>14</v>
      </c>
      <c r="M114" s="34" t="n">
        <f aca="false">SUMPRODUCT($C$92:$I$92,LEN(INDEX('Saisie programme'!$D$13:$J$477,408,0)))</f>
        <v>12</v>
      </c>
      <c r="N114" s="34" t="n">
        <f aca="false">SUMPRODUCT($C$93:$I$93,LEN(INDEX('Saisie programme'!$D$13:$J$477,447,0)))</f>
        <v>13</v>
      </c>
      <c r="O114" s="12" t="s">
        <v>14</v>
      </c>
      <c r="P114" s="12" t="s">
        <v>24</v>
      </c>
    </row>
    <row r="115" customFormat="false" ht="15" hidden="false" customHeight="false" outlineLevel="0" collapsed="false">
      <c r="B115" s="10" t="s">
        <v>155</v>
      </c>
      <c r="C115" s="34" t="n">
        <f aca="false">SUMPRODUCT($C$82:$I$82,LEN(INDEX('Saisie programme'!$D$13:$J$477,19,0)))</f>
        <v>0</v>
      </c>
      <c r="D115" s="34" t="n">
        <f aca="false">SUMPRODUCT($C$83:$I$83,LEN(INDEX('Saisie programme'!$D$13:$J$477,58,0)))</f>
        <v>0</v>
      </c>
      <c r="E115" s="34" t="n">
        <f aca="false">SUMPRODUCT($C$84:$I$84,LEN(INDEX('Saisie programme'!$D$13:$J$477,97,0)))</f>
        <v>0</v>
      </c>
      <c r="F115" s="34" t="n">
        <f aca="false">SUMPRODUCT($C$85:$I$85,LEN(INDEX('Saisie programme'!$D$13:$J$477,136,0)))</f>
        <v>0</v>
      </c>
      <c r="G115" s="34" t="n">
        <f aca="false">SUMPRODUCT($C$86:$I$86,LEN(INDEX('Saisie programme'!$D$13:$J$477,175,0)))</f>
        <v>0</v>
      </c>
      <c r="H115" s="34" t="n">
        <f aca="false">SUMPRODUCT($C$87:$I$87,LEN(INDEX('Saisie programme'!$D$13:$J$477,214,0)))</f>
        <v>0</v>
      </c>
      <c r="I115" s="34" t="n">
        <f aca="false">SUMPRODUCT($C$88:$I$88,LEN(INDEX('Saisie programme'!$D$13:$J$477,253,0)))</f>
        <v>0</v>
      </c>
      <c r="J115" s="34" t="n">
        <f aca="false">SUMPRODUCT($C$89:$I$89,LEN(INDEX('Saisie programme'!$D$13:$J$477,292,0)))</f>
        <v>0</v>
      </c>
      <c r="K115" s="34" t="n">
        <f aca="false">SUMPRODUCT($C$90:$I$90,LEN(INDEX('Saisie programme'!$D$13:$J$477,331,0)))</f>
        <v>0</v>
      </c>
      <c r="L115" s="34" t="n">
        <f aca="false">SUMPRODUCT($C$91:$I$91,LEN(INDEX('Saisie programme'!$D$13:$J$477,370,0)))</f>
        <v>0</v>
      </c>
      <c r="M115" s="34" t="n">
        <f aca="false">SUMPRODUCT($C$92:$I$92,LEN(INDEX('Saisie programme'!$D$13:$J$477,409,0)))</f>
        <v>0</v>
      </c>
      <c r="N115" s="34" t="n">
        <f aca="false">SUMPRODUCT($C$93:$I$93,LEN(INDEX('Saisie programme'!$D$13:$J$477,448,0)))</f>
        <v>0</v>
      </c>
      <c r="O115" s="12" t="s">
        <v>46</v>
      </c>
      <c r="P115" s="12" t="s">
        <v>11</v>
      </c>
    </row>
    <row r="116" customFormat="false" ht="15" hidden="false" customHeight="false" outlineLevel="0" collapsed="false">
      <c r="B116" s="10" t="s">
        <v>156</v>
      </c>
      <c r="C116" s="34" t="n">
        <f aca="false">SUMPRODUCT($C$82:$I$82,LEN(INDEX('Saisie programme'!$D$13:$J$477,20,0)))</f>
        <v>0</v>
      </c>
      <c r="D116" s="34" t="n">
        <f aca="false">SUMPRODUCT($C$83:$I$83,LEN(INDEX('Saisie programme'!$D$13:$J$477,59,0)))</f>
        <v>0</v>
      </c>
      <c r="E116" s="34" t="n">
        <f aca="false">SUMPRODUCT($C$84:$I$84,LEN(INDEX('Saisie programme'!$D$13:$J$477,98,0)))</f>
        <v>0</v>
      </c>
      <c r="F116" s="34" t="n">
        <f aca="false">SUMPRODUCT($C$85:$I$85,LEN(INDEX('Saisie programme'!$D$13:$J$477,137,0)))</f>
        <v>0</v>
      </c>
      <c r="G116" s="34" t="n">
        <f aca="false">SUMPRODUCT($C$86:$I$86,LEN(INDEX('Saisie programme'!$D$13:$J$477,176,0)))</f>
        <v>0</v>
      </c>
      <c r="H116" s="34" t="n">
        <f aca="false">SUMPRODUCT($C$87:$I$87,LEN(INDEX('Saisie programme'!$D$13:$J$477,215,0)))</f>
        <v>0</v>
      </c>
      <c r="I116" s="34" t="n">
        <f aca="false">SUMPRODUCT($C$88:$I$88,LEN(INDEX('Saisie programme'!$D$13:$J$477,254,0)))</f>
        <v>0</v>
      </c>
      <c r="J116" s="34" t="n">
        <f aca="false">SUMPRODUCT($C$89:$I$89,LEN(INDEX('Saisie programme'!$D$13:$J$477,293,0)))</f>
        <v>0</v>
      </c>
      <c r="K116" s="34" t="n">
        <f aca="false">SUMPRODUCT($C$90:$I$90,LEN(INDEX('Saisie programme'!$D$13:$J$477,332,0)))</f>
        <v>0</v>
      </c>
      <c r="L116" s="34" t="n">
        <f aca="false">SUMPRODUCT($C$91:$I$91,LEN(INDEX('Saisie programme'!$D$13:$J$477,371,0)))</f>
        <v>0</v>
      </c>
      <c r="M116" s="34" t="n">
        <f aca="false">SUMPRODUCT($C$92:$I$92,LEN(INDEX('Saisie programme'!$D$13:$J$477,410,0)))</f>
        <v>0</v>
      </c>
      <c r="N116" s="34" t="n">
        <f aca="false">SUMPRODUCT($C$93:$I$93,LEN(INDEX('Saisie programme'!$D$13:$J$477,449,0)))</f>
        <v>0</v>
      </c>
      <c r="O116" s="12" t="s">
        <v>46</v>
      </c>
      <c r="P116" s="12" t="s">
        <v>19</v>
      </c>
    </row>
    <row r="117" customFormat="false" ht="15" hidden="false" customHeight="false" outlineLevel="0" collapsed="false">
      <c r="B117" s="10" t="s">
        <v>157</v>
      </c>
      <c r="C117" s="34" t="n">
        <f aca="false">SUMPRODUCT($C$82:$I$82,LEN(INDEX('Saisie programme'!$D$13:$J$477,21,0)))</f>
        <v>13</v>
      </c>
      <c r="D117" s="34" t="n">
        <f aca="false">SUMPRODUCT($C$83:$I$83,LEN(INDEX('Saisie programme'!$D$13:$J$477,60,0)))</f>
        <v>13</v>
      </c>
      <c r="E117" s="34" t="n">
        <f aca="false">SUMPRODUCT($C$84:$I$84,LEN(INDEX('Saisie programme'!$D$13:$J$477,99,0)))</f>
        <v>13</v>
      </c>
      <c r="F117" s="34" t="n">
        <f aca="false">SUMPRODUCT($C$85:$I$85,LEN(INDEX('Saisie programme'!$D$13:$J$477,138,0)))</f>
        <v>14</v>
      </c>
      <c r="G117" s="34" t="n">
        <f aca="false">SUMPRODUCT($C$86:$I$86,LEN(INDEX('Saisie programme'!$D$13:$J$477,177,0)))</f>
        <v>13</v>
      </c>
      <c r="H117" s="34" t="n">
        <f aca="false">SUMPRODUCT($C$87:$I$87,LEN(INDEX('Saisie programme'!$D$13:$J$477,216,0)))</f>
        <v>13</v>
      </c>
      <c r="I117" s="34" t="n">
        <f aca="false">SUMPRODUCT($C$88:$I$88,LEN(INDEX('Saisie programme'!$D$13:$J$477,255,0)))</f>
        <v>13</v>
      </c>
      <c r="J117" s="34" t="n">
        <f aca="false">SUMPRODUCT($C$89:$I$89,LEN(INDEX('Saisie programme'!$D$13:$J$477,294,0)))</f>
        <v>13</v>
      </c>
      <c r="K117" s="34" t="n">
        <f aca="false">SUMPRODUCT($C$90:$I$90,LEN(INDEX('Saisie programme'!$D$13:$J$477,333,0)))</f>
        <v>13</v>
      </c>
      <c r="L117" s="34" t="n">
        <f aca="false">SUMPRODUCT($C$91:$I$91,LEN(INDEX('Saisie programme'!$D$13:$J$477,372,0)))</f>
        <v>13</v>
      </c>
      <c r="M117" s="34" t="n">
        <f aca="false">SUMPRODUCT($C$92:$I$92,LEN(INDEX('Saisie programme'!$D$13:$J$477,411,0)))</f>
        <v>13</v>
      </c>
      <c r="N117" s="34" t="n">
        <f aca="false">SUMPRODUCT($C$93:$I$93,LEN(INDEX('Saisie programme'!$D$13:$J$477,450,0)))</f>
        <v>13</v>
      </c>
      <c r="O117" s="12" t="s">
        <v>46</v>
      </c>
      <c r="P117" s="12" t="s">
        <v>24</v>
      </c>
    </row>
    <row r="118" customFormat="false" ht="15" hidden="false" customHeight="false" outlineLevel="0" collapsed="false">
      <c r="B118" s="10" t="s">
        <v>158</v>
      </c>
      <c r="C118" s="34" t="n">
        <f aca="false">SUMPRODUCT($C$82:$I$82,LEN(INDEX('Saisie programme'!$D$13:$J$477,22,0)))</f>
        <v>0</v>
      </c>
      <c r="D118" s="34" t="n">
        <f aca="false">SUMPRODUCT($C$83:$I$83,LEN(INDEX('Saisie programme'!$D$13:$J$477,61,0)))</f>
        <v>0</v>
      </c>
      <c r="E118" s="34" t="n">
        <f aca="false">SUMPRODUCT($C$84:$I$84,LEN(INDEX('Saisie programme'!$D$13:$J$477,100,0)))</f>
        <v>0</v>
      </c>
      <c r="F118" s="34" t="n">
        <f aca="false">SUMPRODUCT($C$85:$I$85,LEN(INDEX('Saisie programme'!$D$13:$J$477,139,0)))</f>
        <v>0</v>
      </c>
      <c r="G118" s="34" t="n">
        <f aca="false">SUMPRODUCT($C$86:$I$86,LEN(INDEX('Saisie programme'!$D$13:$J$477,178,0)))</f>
        <v>0</v>
      </c>
      <c r="H118" s="34" t="n">
        <f aca="false">SUMPRODUCT($C$87:$I$87,LEN(INDEX('Saisie programme'!$D$13:$J$477,217,0)))</f>
        <v>0</v>
      </c>
      <c r="I118" s="34" t="n">
        <f aca="false">SUMPRODUCT($C$88:$I$88,LEN(INDEX('Saisie programme'!$D$13:$J$477,256,0)))</f>
        <v>0</v>
      </c>
      <c r="J118" s="34" t="n">
        <f aca="false">SUMPRODUCT($C$89:$I$89,LEN(INDEX('Saisie programme'!$D$13:$J$477,295,0)))</f>
        <v>0</v>
      </c>
      <c r="K118" s="34" t="n">
        <f aca="false">SUMPRODUCT($C$90:$I$90,LEN(INDEX('Saisie programme'!$D$13:$J$477,334,0)))</f>
        <v>0</v>
      </c>
      <c r="L118" s="34" t="n">
        <f aca="false">SUMPRODUCT($C$91:$I$91,LEN(INDEX('Saisie programme'!$D$13:$J$477,373,0)))</f>
        <v>0</v>
      </c>
      <c r="M118" s="34" t="n">
        <f aca="false">SUMPRODUCT($C$92:$I$92,LEN(INDEX('Saisie programme'!$D$13:$J$477,412,0)))</f>
        <v>0</v>
      </c>
      <c r="N118" s="34" t="n">
        <f aca="false">SUMPRODUCT($C$93:$I$93,LEN(INDEX('Saisie programme'!$D$13:$J$477,451,0)))</f>
        <v>0</v>
      </c>
      <c r="O118" s="12" t="s">
        <v>49</v>
      </c>
      <c r="P118" s="12" t="s">
        <v>11</v>
      </c>
    </row>
    <row r="119" customFormat="false" ht="15" hidden="false" customHeight="false" outlineLevel="0" collapsed="false">
      <c r="B119" s="10" t="s">
        <v>159</v>
      </c>
      <c r="C119" s="34" t="n">
        <f aca="false">SUMPRODUCT($C$82:$I$82,LEN(INDEX('Saisie programme'!$D$13:$J$477,23,0)))</f>
        <v>9</v>
      </c>
      <c r="D119" s="34" t="n">
        <f aca="false">SUMPRODUCT($C$83:$I$83,LEN(INDEX('Saisie programme'!$D$13:$J$477,62,0)))</f>
        <v>9</v>
      </c>
      <c r="E119" s="34" t="n">
        <f aca="false">SUMPRODUCT($C$84:$I$84,LEN(INDEX('Saisie programme'!$D$13:$J$477,101,0)))</f>
        <v>8</v>
      </c>
      <c r="F119" s="34" t="n">
        <f aca="false">SUMPRODUCT($C$85:$I$85,LEN(INDEX('Saisie programme'!$D$13:$J$477,140,0)))</f>
        <v>9</v>
      </c>
      <c r="G119" s="34" t="n">
        <f aca="false">SUMPRODUCT($C$86:$I$86,LEN(INDEX('Saisie programme'!$D$13:$J$477,179,0)))</f>
        <v>9</v>
      </c>
      <c r="H119" s="34" t="n">
        <f aca="false">SUMPRODUCT($C$87:$I$87,LEN(INDEX('Saisie programme'!$D$13:$J$477,218,0)))</f>
        <v>8</v>
      </c>
      <c r="I119" s="34" t="n">
        <f aca="false">SUMPRODUCT($C$88:$I$88,LEN(INDEX('Saisie programme'!$D$13:$J$477,257,0)))</f>
        <v>9</v>
      </c>
      <c r="J119" s="34" t="n">
        <f aca="false">SUMPRODUCT($C$89:$I$89,LEN(INDEX('Saisie programme'!$D$13:$J$477,296,0)))</f>
        <v>9</v>
      </c>
      <c r="K119" s="34" t="n">
        <f aca="false">SUMPRODUCT($C$90:$I$90,LEN(INDEX('Saisie programme'!$D$13:$J$477,335,0)))</f>
        <v>9</v>
      </c>
      <c r="L119" s="34" t="n">
        <f aca="false">SUMPRODUCT($C$91:$I$91,LEN(INDEX('Saisie programme'!$D$13:$J$477,374,0)))</f>
        <v>9</v>
      </c>
      <c r="M119" s="34" t="n">
        <f aca="false">SUMPRODUCT($C$92:$I$92,LEN(INDEX('Saisie programme'!$D$13:$J$477,413,0)))</f>
        <v>8</v>
      </c>
      <c r="N119" s="34" t="n">
        <f aca="false">SUMPRODUCT($C$93:$I$93,LEN(INDEX('Saisie programme'!$D$13:$J$477,452,0)))</f>
        <v>9</v>
      </c>
      <c r="O119" s="12" t="s">
        <v>49</v>
      </c>
      <c r="P119" s="12" t="s">
        <v>19</v>
      </c>
    </row>
    <row r="120" customFormat="false" ht="15" hidden="false" customHeight="false" outlineLevel="0" collapsed="false">
      <c r="B120" s="10" t="s">
        <v>160</v>
      </c>
      <c r="C120" s="34" t="n">
        <f aca="false">SUMPRODUCT($C$82:$I$82,LEN(INDEX('Saisie programme'!$D$13:$J$477,24,0)))</f>
        <v>0</v>
      </c>
      <c r="D120" s="34" t="n">
        <f aca="false">SUMPRODUCT($C$83:$I$83,LEN(INDEX('Saisie programme'!$D$13:$J$477,63,0)))</f>
        <v>0</v>
      </c>
      <c r="E120" s="34" t="n">
        <f aca="false">SUMPRODUCT($C$84:$I$84,LEN(INDEX('Saisie programme'!$D$13:$J$477,102,0)))</f>
        <v>0</v>
      </c>
      <c r="F120" s="34" t="n">
        <f aca="false">SUMPRODUCT($C$85:$I$85,LEN(INDEX('Saisie programme'!$D$13:$J$477,141,0)))</f>
        <v>0</v>
      </c>
      <c r="G120" s="34" t="n">
        <f aca="false">SUMPRODUCT($C$86:$I$86,LEN(INDEX('Saisie programme'!$D$13:$J$477,180,0)))</f>
        <v>0</v>
      </c>
      <c r="H120" s="34" t="n">
        <f aca="false">SUMPRODUCT($C$87:$I$87,LEN(INDEX('Saisie programme'!$D$13:$J$477,219,0)))</f>
        <v>0</v>
      </c>
      <c r="I120" s="34" t="n">
        <f aca="false">SUMPRODUCT($C$88:$I$88,LEN(INDEX('Saisie programme'!$D$13:$J$477,258,0)))</f>
        <v>0</v>
      </c>
      <c r="J120" s="34" t="n">
        <f aca="false">SUMPRODUCT($C$89:$I$89,LEN(INDEX('Saisie programme'!$D$13:$J$477,297,0)))</f>
        <v>0</v>
      </c>
      <c r="K120" s="34" t="n">
        <f aca="false">SUMPRODUCT($C$90:$I$90,LEN(INDEX('Saisie programme'!$D$13:$J$477,336,0)))</f>
        <v>0</v>
      </c>
      <c r="L120" s="34" t="n">
        <f aca="false">SUMPRODUCT($C$91:$I$91,LEN(INDEX('Saisie programme'!$D$13:$J$477,375,0)))</f>
        <v>0</v>
      </c>
      <c r="M120" s="34" t="n">
        <f aca="false">SUMPRODUCT($C$92:$I$92,LEN(INDEX('Saisie programme'!$D$13:$J$477,414,0)))</f>
        <v>0</v>
      </c>
      <c r="N120" s="34" t="n">
        <f aca="false">SUMPRODUCT($C$93:$I$93,LEN(INDEX('Saisie programme'!$D$13:$J$477,453,0)))</f>
        <v>0</v>
      </c>
      <c r="O120" s="12" t="s">
        <v>49</v>
      </c>
      <c r="P120" s="12" t="s">
        <v>24</v>
      </c>
    </row>
    <row r="121" customFormat="false" ht="15" hidden="false" customHeight="false" outlineLevel="0" collapsed="false">
      <c r="B121" s="10" t="s">
        <v>161</v>
      </c>
      <c r="C121" s="34" t="n">
        <f aca="false">SUMPRODUCT($C$82:$I$82,LEN(INDEX('Saisie programme'!$D$13:$J$477,25,0)))</f>
        <v>0</v>
      </c>
      <c r="D121" s="34" t="n">
        <f aca="false">SUMPRODUCT($C$83:$I$83,LEN(INDEX('Saisie programme'!$D$13:$J$477,64,0)))</f>
        <v>0</v>
      </c>
      <c r="E121" s="34" t="n">
        <f aca="false">SUMPRODUCT($C$84:$I$84,LEN(INDEX('Saisie programme'!$D$13:$J$477,103,0)))</f>
        <v>0</v>
      </c>
      <c r="F121" s="34" t="n">
        <f aca="false">SUMPRODUCT($C$85:$I$85,LEN(INDEX('Saisie programme'!$D$13:$J$477,142,0)))</f>
        <v>0</v>
      </c>
      <c r="G121" s="34" t="n">
        <f aca="false">SUMPRODUCT($C$86:$I$86,LEN(INDEX('Saisie programme'!$D$13:$J$477,181,0)))</f>
        <v>0</v>
      </c>
      <c r="H121" s="34" t="n">
        <f aca="false">SUMPRODUCT($C$87:$I$87,LEN(INDEX('Saisie programme'!$D$13:$J$477,220,0)))</f>
        <v>0</v>
      </c>
      <c r="I121" s="34" t="n">
        <f aca="false">SUMPRODUCT($C$88:$I$88,LEN(INDEX('Saisie programme'!$D$13:$J$477,259,0)))</f>
        <v>0</v>
      </c>
      <c r="J121" s="34" t="n">
        <f aca="false">SUMPRODUCT($C$89:$I$89,LEN(INDEX('Saisie programme'!$D$13:$J$477,298,0)))</f>
        <v>0</v>
      </c>
      <c r="K121" s="34" t="n">
        <f aca="false">SUMPRODUCT($C$90:$I$90,LEN(INDEX('Saisie programme'!$D$13:$J$477,337,0)))</f>
        <v>0</v>
      </c>
      <c r="L121" s="34" t="n">
        <f aca="false">SUMPRODUCT($C$91:$I$91,LEN(INDEX('Saisie programme'!$D$13:$J$477,376,0)))</f>
        <v>0</v>
      </c>
      <c r="M121" s="34" t="n">
        <f aca="false">SUMPRODUCT($C$92:$I$92,LEN(INDEX('Saisie programme'!$D$13:$J$477,415,0)))</f>
        <v>0</v>
      </c>
      <c r="N121" s="34" t="n">
        <f aca="false">SUMPRODUCT($C$93:$I$93,LEN(INDEX('Saisie programme'!$D$13:$J$477,454,0)))</f>
        <v>0</v>
      </c>
      <c r="O121" s="12" t="s">
        <v>53</v>
      </c>
      <c r="P121" s="12" t="s">
        <v>11</v>
      </c>
    </row>
    <row r="122" customFormat="false" ht="15" hidden="false" customHeight="false" outlineLevel="0" collapsed="false">
      <c r="B122" s="10" t="s">
        <v>162</v>
      </c>
      <c r="C122" s="34" t="n">
        <f aca="false">SUMPRODUCT($C$82:$I$82,LEN(INDEX('Saisie programme'!$D$13:$J$477,26,0)))</f>
        <v>5</v>
      </c>
      <c r="D122" s="34" t="n">
        <f aca="false">SUMPRODUCT($C$83:$I$83,LEN(INDEX('Saisie programme'!$D$13:$J$477,65,0)))</f>
        <v>4</v>
      </c>
      <c r="E122" s="34" t="n">
        <f aca="false">SUMPRODUCT($C$84:$I$84,LEN(INDEX('Saisie programme'!$D$13:$J$477,104,0)))</f>
        <v>4</v>
      </c>
      <c r="F122" s="34" t="n">
        <f aca="false">SUMPRODUCT($C$85:$I$85,LEN(INDEX('Saisie programme'!$D$13:$J$477,143,0)))</f>
        <v>5</v>
      </c>
      <c r="G122" s="34" t="n">
        <f aca="false">SUMPRODUCT($C$86:$I$86,LEN(INDEX('Saisie programme'!$D$13:$J$477,182,0)))</f>
        <v>4</v>
      </c>
      <c r="H122" s="34" t="n">
        <f aca="false">SUMPRODUCT($C$87:$I$87,LEN(INDEX('Saisie programme'!$D$13:$J$477,221,0)))</f>
        <v>5</v>
      </c>
      <c r="I122" s="34" t="n">
        <f aca="false">SUMPRODUCT($C$88:$I$88,LEN(INDEX('Saisie programme'!$D$13:$J$477,260,0)))</f>
        <v>4</v>
      </c>
      <c r="J122" s="34" t="n">
        <f aca="false">SUMPRODUCT($C$89:$I$89,LEN(INDEX('Saisie programme'!$D$13:$J$477,299,0)))</f>
        <v>4</v>
      </c>
      <c r="K122" s="34" t="n">
        <f aca="false">SUMPRODUCT($C$90:$I$90,LEN(INDEX('Saisie programme'!$D$13:$J$477,338,0)))</f>
        <v>5</v>
      </c>
      <c r="L122" s="34" t="n">
        <f aca="false">SUMPRODUCT($C$91:$I$91,LEN(INDEX('Saisie programme'!$D$13:$J$477,377,0)))</f>
        <v>4</v>
      </c>
      <c r="M122" s="34" t="n">
        <f aca="false">SUMPRODUCT($C$92:$I$92,LEN(INDEX('Saisie programme'!$D$13:$J$477,416,0)))</f>
        <v>4</v>
      </c>
      <c r="N122" s="34" t="n">
        <f aca="false">SUMPRODUCT($C$93:$I$93,LEN(INDEX('Saisie programme'!$D$13:$J$477,455,0)))</f>
        <v>5</v>
      </c>
      <c r="O122" s="12" t="s">
        <v>53</v>
      </c>
      <c r="P122" s="12" t="s">
        <v>19</v>
      </c>
    </row>
    <row r="123" customFormat="false" ht="15" hidden="false" customHeight="false" outlineLevel="0" collapsed="false">
      <c r="B123" s="10" t="s">
        <v>163</v>
      </c>
      <c r="C123" s="34" t="n">
        <f aca="false">SUMPRODUCT($C$82:$I$82,LEN(INDEX('Saisie programme'!$D$13:$J$477,27,0)))</f>
        <v>0</v>
      </c>
      <c r="D123" s="34" t="n">
        <f aca="false">SUMPRODUCT($C$83:$I$83,LEN(INDEX('Saisie programme'!$D$13:$J$477,66,0)))</f>
        <v>0</v>
      </c>
      <c r="E123" s="34" t="n">
        <f aca="false">SUMPRODUCT($C$84:$I$84,LEN(INDEX('Saisie programme'!$D$13:$J$477,105,0)))</f>
        <v>0</v>
      </c>
      <c r="F123" s="34" t="n">
        <f aca="false">SUMPRODUCT($C$85:$I$85,LEN(INDEX('Saisie programme'!$D$13:$J$477,144,0)))</f>
        <v>0</v>
      </c>
      <c r="G123" s="34" t="n">
        <f aca="false">SUMPRODUCT($C$86:$I$86,LEN(INDEX('Saisie programme'!$D$13:$J$477,183,0)))</f>
        <v>0</v>
      </c>
      <c r="H123" s="34" t="n">
        <f aca="false">SUMPRODUCT($C$87:$I$87,LEN(INDEX('Saisie programme'!$D$13:$J$477,222,0)))</f>
        <v>0</v>
      </c>
      <c r="I123" s="34" t="n">
        <f aca="false">SUMPRODUCT($C$88:$I$88,LEN(INDEX('Saisie programme'!$D$13:$J$477,261,0)))</f>
        <v>0</v>
      </c>
      <c r="J123" s="34" t="n">
        <f aca="false">SUMPRODUCT($C$89:$I$89,LEN(INDEX('Saisie programme'!$D$13:$J$477,300,0)))</f>
        <v>0</v>
      </c>
      <c r="K123" s="34" t="n">
        <f aca="false">SUMPRODUCT($C$90:$I$90,LEN(INDEX('Saisie programme'!$D$13:$J$477,339,0)))</f>
        <v>0</v>
      </c>
      <c r="L123" s="34" t="n">
        <f aca="false">SUMPRODUCT($C$91:$I$91,LEN(INDEX('Saisie programme'!$D$13:$J$477,378,0)))</f>
        <v>0</v>
      </c>
      <c r="M123" s="34" t="n">
        <f aca="false">SUMPRODUCT($C$92:$I$92,LEN(INDEX('Saisie programme'!$D$13:$J$477,417,0)))</f>
        <v>0</v>
      </c>
      <c r="N123" s="34" t="n">
        <f aca="false">SUMPRODUCT($C$93:$I$93,LEN(INDEX('Saisie programme'!$D$13:$J$477,456,0)))</f>
        <v>0</v>
      </c>
      <c r="O123" s="12" t="s">
        <v>53</v>
      </c>
      <c r="P123" s="12" t="s">
        <v>24</v>
      </c>
    </row>
    <row r="124" customFormat="false" ht="15" hidden="false" customHeight="false" outlineLevel="0" collapsed="false">
      <c r="B124" s="10" t="s">
        <v>164</v>
      </c>
      <c r="C124" s="34" t="n">
        <f aca="false">SUMPRODUCT($C$82:$I$82,LEN(INDEX('Saisie programme'!$D$13:$J$477,28,0)))</f>
        <v>0</v>
      </c>
      <c r="D124" s="34" t="n">
        <f aca="false">SUMPRODUCT($C$83:$I$83,LEN(INDEX('Saisie programme'!$D$13:$J$477,67,0)))</f>
        <v>0</v>
      </c>
      <c r="E124" s="34" t="n">
        <f aca="false">SUMPRODUCT($C$84:$I$84,LEN(INDEX('Saisie programme'!$D$13:$J$477,106,0)))</f>
        <v>0</v>
      </c>
      <c r="F124" s="34" t="n">
        <f aca="false">SUMPRODUCT($C$85:$I$85,LEN(INDEX('Saisie programme'!$D$13:$J$477,145,0)))</f>
        <v>0</v>
      </c>
      <c r="G124" s="34" t="n">
        <f aca="false">SUMPRODUCT($C$86:$I$86,LEN(INDEX('Saisie programme'!$D$13:$J$477,184,0)))</f>
        <v>0</v>
      </c>
      <c r="H124" s="34" t="n">
        <f aca="false">SUMPRODUCT($C$87:$I$87,LEN(INDEX('Saisie programme'!$D$13:$J$477,223,0)))</f>
        <v>0</v>
      </c>
      <c r="I124" s="34" t="n">
        <f aca="false">SUMPRODUCT($C$88:$I$88,LEN(INDEX('Saisie programme'!$D$13:$J$477,262,0)))</f>
        <v>0</v>
      </c>
      <c r="J124" s="34" t="n">
        <f aca="false">SUMPRODUCT($C$89:$I$89,LEN(INDEX('Saisie programme'!$D$13:$J$477,301,0)))</f>
        <v>0</v>
      </c>
      <c r="K124" s="34" t="n">
        <f aca="false">SUMPRODUCT($C$90:$I$90,LEN(INDEX('Saisie programme'!$D$13:$J$477,340,0)))</f>
        <v>0</v>
      </c>
      <c r="L124" s="34" t="n">
        <f aca="false">SUMPRODUCT($C$91:$I$91,LEN(INDEX('Saisie programme'!$D$13:$J$477,379,0)))</f>
        <v>0</v>
      </c>
      <c r="M124" s="34" t="n">
        <f aca="false">SUMPRODUCT($C$92:$I$92,LEN(INDEX('Saisie programme'!$D$13:$J$477,418,0)))</f>
        <v>0</v>
      </c>
      <c r="N124" s="34" t="n">
        <f aca="false">SUMPRODUCT($C$93:$I$93,LEN(INDEX('Saisie programme'!$D$13:$J$477,457,0)))</f>
        <v>0</v>
      </c>
      <c r="O124" s="12" t="s">
        <v>56</v>
      </c>
      <c r="P124" s="12" t="s">
        <v>11</v>
      </c>
    </row>
    <row r="125" customFormat="false" ht="15" hidden="false" customHeight="false" outlineLevel="0" collapsed="false">
      <c r="B125" s="10" t="s">
        <v>165</v>
      </c>
      <c r="C125" s="34" t="n">
        <f aca="false">SUMPRODUCT($C$82:$I$82,LEN(INDEX('Saisie programme'!$D$13:$J$477,29,0)))</f>
        <v>0</v>
      </c>
      <c r="D125" s="34" t="n">
        <f aca="false">SUMPRODUCT($C$83:$I$83,LEN(INDEX('Saisie programme'!$D$13:$J$477,68,0)))</f>
        <v>0</v>
      </c>
      <c r="E125" s="34" t="n">
        <f aca="false">SUMPRODUCT($C$84:$I$84,LEN(INDEX('Saisie programme'!$D$13:$J$477,107,0)))</f>
        <v>0</v>
      </c>
      <c r="F125" s="34" t="n">
        <f aca="false">SUMPRODUCT($C$85:$I$85,LEN(INDEX('Saisie programme'!$D$13:$J$477,146,0)))</f>
        <v>0</v>
      </c>
      <c r="G125" s="34" t="n">
        <f aca="false">SUMPRODUCT($C$86:$I$86,LEN(INDEX('Saisie programme'!$D$13:$J$477,185,0)))</f>
        <v>0</v>
      </c>
      <c r="H125" s="34" t="n">
        <f aca="false">SUMPRODUCT($C$87:$I$87,LEN(INDEX('Saisie programme'!$D$13:$J$477,224,0)))</f>
        <v>0</v>
      </c>
      <c r="I125" s="34" t="n">
        <f aca="false">SUMPRODUCT($C$88:$I$88,LEN(INDEX('Saisie programme'!$D$13:$J$477,263,0)))</f>
        <v>0</v>
      </c>
      <c r="J125" s="34" t="n">
        <f aca="false">SUMPRODUCT($C$89:$I$89,LEN(INDEX('Saisie programme'!$D$13:$J$477,302,0)))</f>
        <v>0</v>
      </c>
      <c r="K125" s="34" t="n">
        <f aca="false">SUMPRODUCT($C$90:$I$90,LEN(INDEX('Saisie programme'!$D$13:$J$477,341,0)))</f>
        <v>0</v>
      </c>
      <c r="L125" s="34" t="n">
        <f aca="false">SUMPRODUCT($C$91:$I$91,LEN(INDEX('Saisie programme'!$D$13:$J$477,380,0)))</f>
        <v>0</v>
      </c>
      <c r="M125" s="34" t="n">
        <f aca="false">SUMPRODUCT($C$92:$I$92,LEN(INDEX('Saisie programme'!$D$13:$J$477,419,0)))</f>
        <v>0</v>
      </c>
      <c r="N125" s="34" t="n">
        <f aca="false">SUMPRODUCT($C$93:$I$93,LEN(INDEX('Saisie programme'!$D$13:$J$477,458,0)))</f>
        <v>0</v>
      </c>
      <c r="O125" s="12" t="s">
        <v>56</v>
      </c>
      <c r="P125" s="12" t="s">
        <v>19</v>
      </c>
    </row>
    <row r="126" customFormat="false" ht="15" hidden="false" customHeight="false" outlineLevel="0" collapsed="false">
      <c r="B126" s="10" t="s">
        <v>166</v>
      </c>
      <c r="C126" s="34" t="n">
        <f aca="false">SUMPRODUCT($C$82:$I$82,LEN(INDEX('Saisie programme'!$D$13:$J$477,30,0)))</f>
        <v>8</v>
      </c>
      <c r="D126" s="34" t="n">
        <f aca="false">SUMPRODUCT($C$83:$I$83,LEN(INDEX('Saisie programme'!$D$13:$J$477,69,0)))</f>
        <v>9</v>
      </c>
      <c r="E126" s="34" t="n">
        <f aca="false">SUMPRODUCT($C$84:$I$84,LEN(INDEX('Saisie programme'!$D$13:$J$477,108,0)))</f>
        <v>9</v>
      </c>
      <c r="F126" s="34" t="n">
        <f aca="false">SUMPRODUCT($C$85:$I$85,LEN(INDEX('Saisie programme'!$D$13:$J$477,147,0)))</f>
        <v>9</v>
      </c>
      <c r="G126" s="34" t="n">
        <f aca="false">SUMPRODUCT($C$86:$I$86,LEN(INDEX('Saisie programme'!$D$13:$J$477,186,0)))</f>
        <v>9</v>
      </c>
      <c r="H126" s="34" t="n">
        <f aca="false">SUMPRODUCT($C$87:$I$87,LEN(INDEX('Saisie programme'!$D$13:$J$477,225,0)))</f>
        <v>8</v>
      </c>
      <c r="I126" s="34" t="n">
        <f aca="false">SUMPRODUCT($C$88:$I$88,LEN(INDEX('Saisie programme'!$D$13:$J$477,264,0)))</f>
        <v>9</v>
      </c>
      <c r="J126" s="34" t="n">
        <f aca="false">SUMPRODUCT($C$89:$I$89,LEN(INDEX('Saisie programme'!$D$13:$J$477,303,0)))</f>
        <v>9</v>
      </c>
      <c r="K126" s="34" t="n">
        <f aca="false">SUMPRODUCT($C$90:$I$90,LEN(INDEX('Saisie programme'!$D$13:$J$477,342,0)))</f>
        <v>8</v>
      </c>
      <c r="L126" s="34" t="n">
        <f aca="false">SUMPRODUCT($C$91:$I$91,LEN(INDEX('Saisie programme'!$D$13:$J$477,381,0)))</f>
        <v>9</v>
      </c>
      <c r="M126" s="34" t="n">
        <f aca="false">SUMPRODUCT($C$92:$I$92,LEN(INDEX('Saisie programme'!$D$13:$J$477,420,0)))</f>
        <v>9</v>
      </c>
      <c r="N126" s="34" t="n">
        <f aca="false">SUMPRODUCT($C$93:$I$93,LEN(INDEX('Saisie programme'!$D$13:$J$477,459,0)))</f>
        <v>8</v>
      </c>
      <c r="O126" s="12" t="s">
        <v>56</v>
      </c>
      <c r="P126" s="12" t="s">
        <v>24</v>
      </c>
    </row>
    <row r="127" customFormat="false" ht="15" hidden="false" customHeight="false" outlineLevel="0" collapsed="false">
      <c r="B127" s="10" t="s">
        <v>167</v>
      </c>
      <c r="C127" s="34" t="n">
        <f aca="false">SUMPRODUCT($C$82:$I$82,LEN(INDEX('Saisie programme'!$D$13:$J$477,31,0)))</f>
        <v>0</v>
      </c>
      <c r="D127" s="34" t="n">
        <f aca="false">SUMPRODUCT($C$83:$I$83,LEN(INDEX('Saisie programme'!$D$13:$J$477,70,0)))</f>
        <v>0</v>
      </c>
      <c r="E127" s="34" t="n">
        <f aca="false">SUMPRODUCT($C$84:$I$84,LEN(INDEX('Saisie programme'!$D$13:$J$477,109,0)))</f>
        <v>0</v>
      </c>
      <c r="F127" s="34" t="n">
        <f aca="false">SUMPRODUCT($C$85:$I$85,LEN(INDEX('Saisie programme'!$D$13:$J$477,148,0)))</f>
        <v>0</v>
      </c>
      <c r="G127" s="34" t="n">
        <f aca="false">SUMPRODUCT($C$86:$I$86,LEN(INDEX('Saisie programme'!$D$13:$J$477,187,0)))</f>
        <v>0</v>
      </c>
      <c r="H127" s="34" t="n">
        <f aca="false">SUMPRODUCT($C$87:$I$87,LEN(INDEX('Saisie programme'!$D$13:$J$477,226,0)))</f>
        <v>0</v>
      </c>
      <c r="I127" s="34" t="n">
        <f aca="false">SUMPRODUCT($C$88:$I$88,LEN(INDEX('Saisie programme'!$D$13:$J$477,265,0)))</f>
        <v>0</v>
      </c>
      <c r="J127" s="34" t="n">
        <f aca="false">SUMPRODUCT($C$89:$I$89,LEN(INDEX('Saisie programme'!$D$13:$J$477,304,0)))</f>
        <v>0</v>
      </c>
      <c r="K127" s="34" t="n">
        <f aca="false">SUMPRODUCT($C$90:$I$90,LEN(INDEX('Saisie programme'!$D$13:$J$477,343,0)))</f>
        <v>0</v>
      </c>
      <c r="L127" s="34" t="n">
        <f aca="false">SUMPRODUCT($C$91:$I$91,LEN(INDEX('Saisie programme'!$D$13:$J$477,382,0)))</f>
        <v>0</v>
      </c>
      <c r="M127" s="34" t="n">
        <f aca="false">SUMPRODUCT($C$92:$I$92,LEN(INDEX('Saisie programme'!$D$13:$J$477,421,0)))</f>
        <v>0</v>
      </c>
      <c r="N127" s="34" t="n">
        <f aca="false">SUMPRODUCT($C$93:$I$93,LEN(INDEX('Saisie programme'!$D$13:$J$477,460,0)))</f>
        <v>0</v>
      </c>
      <c r="O127" s="12" t="s">
        <v>59</v>
      </c>
      <c r="P127" s="12" t="s">
        <v>11</v>
      </c>
    </row>
    <row r="128" customFormat="false" ht="15" hidden="false" customHeight="false" outlineLevel="0" collapsed="false">
      <c r="B128" s="10" t="s">
        <v>168</v>
      </c>
      <c r="C128" s="34" t="n">
        <f aca="false">SUMPRODUCT($C$82:$I$82,LEN(INDEX('Saisie programme'!$D$13:$J$477,32,0)))</f>
        <v>0</v>
      </c>
      <c r="D128" s="34" t="n">
        <f aca="false">SUMPRODUCT($C$83:$I$83,LEN(INDEX('Saisie programme'!$D$13:$J$477,71,0)))</f>
        <v>0</v>
      </c>
      <c r="E128" s="34" t="n">
        <f aca="false">SUMPRODUCT($C$84:$I$84,LEN(INDEX('Saisie programme'!$D$13:$J$477,110,0)))</f>
        <v>0</v>
      </c>
      <c r="F128" s="34" t="n">
        <f aca="false">SUMPRODUCT($C$85:$I$85,LEN(INDEX('Saisie programme'!$D$13:$J$477,149,0)))</f>
        <v>0</v>
      </c>
      <c r="G128" s="34" t="n">
        <f aca="false">SUMPRODUCT($C$86:$I$86,LEN(INDEX('Saisie programme'!$D$13:$J$477,188,0)))</f>
        <v>0</v>
      </c>
      <c r="H128" s="34" t="n">
        <f aca="false">SUMPRODUCT($C$87:$I$87,LEN(INDEX('Saisie programme'!$D$13:$J$477,227,0)))</f>
        <v>0</v>
      </c>
      <c r="I128" s="34" t="n">
        <f aca="false">SUMPRODUCT($C$88:$I$88,LEN(INDEX('Saisie programme'!$D$13:$J$477,266,0)))</f>
        <v>0</v>
      </c>
      <c r="J128" s="34" t="n">
        <f aca="false">SUMPRODUCT($C$89:$I$89,LEN(INDEX('Saisie programme'!$D$13:$J$477,305,0)))</f>
        <v>0</v>
      </c>
      <c r="K128" s="34" t="n">
        <f aca="false">SUMPRODUCT($C$90:$I$90,LEN(INDEX('Saisie programme'!$D$13:$J$477,344,0)))</f>
        <v>0</v>
      </c>
      <c r="L128" s="34" t="n">
        <f aca="false">SUMPRODUCT($C$91:$I$91,LEN(INDEX('Saisie programme'!$D$13:$J$477,383,0)))</f>
        <v>0</v>
      </c>
      <c r="M128" s="34" t="n">
        <f aca="false">SUMPRODUCT($C$92:$I$92,LEN(INDEX('Saisie programme'!$D$13:$J$477,422,0)))</f>
        <v>0</v>
      </c>
      <c r="N128" s="34" t="n">
        <f aca="false">SUMPRODUCT($C$93:$I$93,LEN(INDEX('Saisie programme'!$D$13:$J$477,461,0)))</f>
        <v>0</v>
      </c>
      <c r="O128" s="12" t="s">
        <v>59</v>
      </c>
      <c r="P128" s="12" t="s">
        <v>19</v>
      </c>
    </row>
    <row r="129" customFormat="false" ht="15" hidden="false" customHeight="false" outlineLevel="0" collapsed="false">
      <c r="B129" s="10" t="s">
        <v>169</v>
      </c>
      <c r="C129" s="34" t="n">
        <f aca="false">SUMPRODUCT($C$82:$I$82,LEN(INDEX('Saisie programme'!$D$13:$J$477,33,0)))</f>
        <v>31</v>
      </c>
      <c r="D129" s="34" t="n">
        <f aca="false">SUMPRODUCT($C$83:$I$83,LEN(INDEX('Saisie programme'!$D$13:$J$477,72,0)))</f>
        <v>30</v>
      </c>
      <c r="E129" s="34" t="n">
        <f aca="false">SUMPRODUCT($C$84:$I$84,LEN(INDEX('Saisie programme'!$D$13:$J$477,111,0)))</f>
        <v>30</v>
      </c>
      <c r="F129" s="34" t="n">
        <f aca="false">SUMPRODUCT($C$85:$I$85,LEN(INDEX('Saisie programme'!$D$13:$J$477,150,0)))</f>
        <v>32</v>
      </c>
      <c r="G129" s="34" t="n">
        <f aca="false">SUMPRODUCT($C$86:$I$86,LEN(INDEX('Saisie programme'!$D$13:$J$477,189,0)))</f>
        <v>30</v>
      </c>
      <c r="H129" s="34" t="n">
        <f aca="false">SUMPRODUCT($C$87:$I$87,LEN(INDEX('Saisie programme'!$D$13:$J$477,228,0)))</f>
        <v>31</v>
      </c>
      <c r="I129" s="34" t="n">
        <f aca="false">SUMPRODUCT($C$88:$I$88,LEN(INDEX('Saisie programme'!$D$13:$J$477,267,0)))</f>
        <v>30</v>
      </c>
      <c r="J129" s="34" t="n">
        <f aca="false">SUMPRODUCT($C$89:$I$89,LEN(INDEX('Saisie programme'!$D$13:$J$477,306,0)))</f>
        <v>30</v>
      </c>
      <c r="K129" s="34" t="n">
        <f aca="false">SUMPRODUCT($C$90:$I$90,LEN(INDEX('Saisie programme'!$D$13:$J$477,345,0)))</f>
        <v>32</v>
      </c>
      <c r="L129" s="34" t="n">
        <f aca="false">SUMPRODUCT($C$91:$I$91,LEN(INDEX('Saisie programme'!$D$13:$J$477,384,0)))</f>
        <v>30</v>
      </c>
      <c r="M129" s="34" t="n">
        <f aca="false">SUMPRODUCT($C$92:$I$92,LEN(INDEX('Saisie programme'!$D$13:$J$477,423,0)))</f>
        <v>29</v>
      </c>
      <c r="N129" s="34" t="n">
        <f aca="false">SUMPRODUCT($C$93:$I$93,LEN(INDEX('Saisie programme'!$D$13:$J$477,462,0)))</f>
        <v>32</v>
      </c>
      <c r="O129" s="12" t="s">
        <v>59</v>
      </c>
      <c r="P129" s="12" t="s">
        <v>24</v>
      </c>
    </row>
    <row r="130" customFormat="false" ht="15" hidden="false" customHeight="false" outlineLevel="0" collapsed="false">
      <c r="B130" s="10" t="s">
        <v>170</v>
      </c>
      <c r="C130" s="34" t="n">
        <f aca="false">SUMPRODUCT($C$82:$I$82,LEN(INDEX('Saisie programme'!$D$13:$J$477,34,0)))</f>
        <v>0</v>
      </c>
      <c r="D130" s="34" t="n">
        <f aca="false">SUMPRODUCT($C$83:$I$83,LEN(INDEX('Saisie programme'!$D$13:$J$477,73,0)))</f>
        <v>0</v>
      </c>
      <c r="E130" s="34" t="n">
        <f aca="false">SUMPRODUCT($C$84:$I$84,LEN(INDEX('Saisie programme'!$D$13:$J$477,112,0)))</f>
        <v>0</v>
      </c>
      <c r="F130" s="34" t="n">
        <f aca="false">SUMPRODUCT($C$85:$I$85,LEN(INDEX('Saisie programme'!$D$13:$J$477,151,0)))</f>
        <v>0</v>
      </c>
      <c r="G130" s="34" t="n">
        <f aca="false">SUMPRODUCT($C$86:$I$86,LEN(INDEX('Saisie programme'!$D$13:$J$477,190,0)))</f>
        <v>0</v>
      </c>
      <c r="H130" s="34" t="n">
        <f aca="false">SUMPRODUCT($C$87:$I$87,LEN(INDEX('Saisie programme'!$D$13:$J$477,229,0)))</f>
        <v>0</v>
      </c>
      <c r="I130" s="34" t="n">
        <f aca="false">SUMPRODUCT($C$88:$I$88,LEN(INDEX('Saisie programme'!$D$13:$J$477,268,0)))</f>
        <v>0</v>
      </c>
      <c r="J130" s="34" t="n">
        <f aca="false">SUMPRODUCT($C$89:$I$89,LEN(INDEX('Saisie programme'!$D$13:$J$477,307,0)))</f>
        <v>0</v>
      </c>
      <c r="K130" s="34" t="n">
        <f aca="false">SUMPRODUCT($C$90:$I$90,LEN(INDEX('Saisie programme'!$D$13:$J$477,346,0)))</f>
        <v>0</v>
      </c>
      <c r="L130" s="34" t="n">
        <f aca="false">SUMPRODUCT($C$91:$I$91,LEN(INDEX('Saisie programme'!$D$13:$J$477,385,0)))</f>
        <v>0</v>
      </c>
      <c r="M130" s="34" t="n">
        <f aca="false">SUMPRODUCT($C$92:$I$92,LEN(INDEX('Saisie programme'!$D$13:$J$477,424,0)))</f>
        <v>0</v>
      </c>
      <c r="N130" s="34" t="n">
        <f aca="false">SUMPRODUCT($C$93:$I$93,LEN(INDEX('Saisie programme'!$D$13:$J$477,463,0)))</f>
        <v>0</v>
      </c>
      <c r="O130" s="12" t="s">
        <v>62</v>
      </c>
      <c r="P130" s="12" t="s">
        <v>11</v>
      </c>
    </row>
    <row r="131" customFormat="false" ht="15" hidden="false" customHeight="false" outlineLevel="0" collapsed="false">
      <c r="B131" s="10" t="s">
        <v>171</v>
      </c>
      <c r="C131" s="34" t="n">
        <f aca="false">SUMPRODUCT($C$82:$I$82,LEN(INDEX('Saisie programme'!$D$13:$J$477,35,0)))</f>
        <v>0</v>
      </c>
      <c r="D131" s="34" t="n">
        <f aca="false">SUMPRODUCT($C$83:$I$83,LEN(INDEX('Saisie programme'!$D$13:$J$477,74,0)))</f>
        <v>0</v>
      </c>
      <c r="E131" s="34" t="n">
        <f aca="false">SUMPRODUCT($C$84:$I$84,LEN(INDEX('Saisie programme'!$D$13:$J$477,113,0)))</f>
        <v>0</v>
      </c>
      <c r="F131" s="34" t="n">
        <f aca="false">SUMPRODUCT($C$85:$I$85,LEN(INDEX('Saisie programme'!$D$13:$J$477,152,0)))</f>
        <v>0</v>
      </c>
      <c r="G131" s="34" t="n">
        <f aca="false">SUMPRODUCT($C$86:$I$86,LEN(INDEX('Saisie programme'!$D$13:$J$477,191,0)))</f>
        <v>0</v>
      </c>
      <c r="H131" s="34" t="n">
        <f aca="false">SUMPRODUCT($C$87:$I$87,LEN(INDEX('Saisie programme'!$D$13:$J$477,230,0)))</f>
        <v>0</v>
      </c>
      <c r="I131" s="34" t="n">
        <f aca="false">SUMPRODUCT($C$88:$I$88,LEN(INDEX('Saisie programme'!$D$13:$J$477,269,0)))</f>
        <v>0</v>
      </c>
      <c r="J131" s="34" t="n">
        <f aca="false">SUMPRODUCT($C$89:$I$89,LEN(INDEX('Saisie programme'!$D$13:$J$477,308,0)))</f>
        <v>0</v>
      </c>
      <c r="K131" s="34" t="n">
        <f aca="false">SUMPRODUCT($C$90:$I$90,LEN(INDEX('Saisie programme'!$D$13:$J$477,347,0)))</f>
        <v>0</v>
      </c>
      <c r="L131" s="34" t="n">
        <f aca="false">SUMPRODUCT($C$91:$I$91,LEN(INDEX('Saisie programme'!$D$13:$J$477,386,0)))</f>
        <v>0</v>
      </c>
      <c r="M131" s="34" t="n">
        <f aca="false">SUMPRODUCT($C$92:$I$92,LEN(INDEX('Saisie programme'!$D$13:$J$477,425,0)))</f>
        <v>0</v>
      </c>
      <c r="N131" s="34" t="n">
        <f aca="false">SUMPRODUCT($C$93:$I$93,LEN(INDEX('Saisie programme'!$D$13:$J$477,464,0)))</f>
        <v>0</v>
      </c>
      <c r="O131" s="12" t="s">
        <v>62</v>
      </c>
      <c r="P131" s="12" t="s">
        <v>19</v>
      </c>
    </row>
    <row r="132" customFormat="false" ht="15" hidden="false" customHeight="false" outlineLevel="0" collapsed="false">
      <c r="B132" s="10" t="s">
        <v>172</v>
      </c>
      <c r="C132" s="34" t="n">
        <f aca="false">SUMPRODUCT($C$82:$I$82,LEN(INDEX('Saisie programme'!$D$13:$J$477,36,0)))</f>
        <v>8</v>
      </c>
      <c r="D132" s="34" t="n">
        <f aca="false">SUMPRODUCT($C$83:$I$83,LEN(INDEX('Saisie programme'!$D$13:$J$477,75,0)))</f>
        <v>9</v>
      </c>
      <c r="E132" s="34" t="n">
        <f aca="false">SUMPRODUCT($C$84:$I$84,LEN(INDEX('Saisie programme'!$D$13:$J$477,114,0)))</f>
        <v>9</v>
      </c>
      <c r="F132" s="34" t="n">
        <f aca="false">SUMPRODUCT($C$85:$I$85,LEN(INDEX('Saisie programme'!$D$13:$J$477,153,0)))</f>
        <v>8</v>
      </c>
      <c r="G132" s="34" t="n">
        <f aca="false">SUMPRODUCT($C$86:$I$86,LEN(INDEX('Saisie programme'!$D$13:$J$477,192,0)))</f>
        <v>9</v>
      </c>
      <c r="H132" s="34" t="n">
        <f aca="false">SUMPRODUCT($C$87:$I$87,LEN(INDEX('Saisie programme'!$D$13:$J$477,231,0)))</f>
        <v>9</v>
      </c>
      <c r="I132" s="34" t="n">
        <f aca="false">SUMPRODUCT($C$88:$I$88,LEN(INDEX('Saisie programme'!$D$13:$J$477,270,0)))</f>
        <v>9</v>
      </c>
      <c r="J132" s="34" t="n">
        <f aca="false">SUMPRODUCT($C$89:$I$89,LEN(INDEX('Saisie programme'!$D$13:$J$477,309,0)))</f>
        <v>8</v>
      </c>
      <c r="K132" s="34" t="n">
        <f aca="false">SUMPRODUCT($C$90:$I$90,LEN(INDEX('Saisie programme'!$D$13:$J$477,348,0)))</f>
        <v>9</v>
      </c>
      <c r="L132" s="34" t="n">
        <f aca="false">SUMPRODUCT($C$91:$I$91,LEN(INDEX('Saisie programme'!$D$13:$J$477,387,0)))</f>
        <v>9</v>
      </c>
      <c r="M132" s="34" t="n">
        <f aca="false">SUMPRODUCT($C$92:$I$92,LEN(INDEX('Saisie programme'!$D$13:$J$477,426,0)))</f>
        <v>8</v>
      </c>
      <c r="N132" s="34" t="n">
        <f aca="false">SUMPRODUCT($C$93:$I$93,LEN(INDEX('Saisie programme'!$D$13:$J$477,465,0)))</f>
        <v>9</v>
      </c>
      <c r="O132" s="12" t="s">
        <v>62</v>
      </c>
      <c r="P132" s="12" t="s">
        <v>24</v>
      </c>
    </row>
    <row r="134" customFormat="false" ht="15" hidden="false" customHeight="false" outlineLevel="0" collapsed="false">
      <c r="B134" s="128" t="s">
        <v>235</v>
      </c>
      <c r="C134" s="128"/>
      <c r="D134" s="128"/>
      <c r="E134" s="128"/>
      <c r="F134" s="128"/>
      <c r="G134" s="128"/>
      <c r="H134" s="128"/>
      <c r="I134" s="128"/>
      <c r="J134" s="128"/>
      <c r="K134" s="128"/>
      <c r="L134" s="128"/>
      <c r="M134" s="128"/>
      <c r="N134" s="128"/>
    </row>
    <row r="135" customFormat="false" ht="15" hidden="false" customHeight="false" outlineLevel="0" collapsed="false">
      <c r="B135" s="26" t="s">
        <v>134</v>
      </c>
      <c r="C135" s="47" t="str">
        <f aca="false">'Programme de vols'!$AB$4</f>
        <v>avril 2027</v>
      </c>
      <c r="D135" s="47" t="str">
        <f aca="false">'Programme de vols'!$AB$5</f>
        <v>mai 2027</v>
      </c>
      <c r="E135" s="47" t="str">
        <f aca="false">'Programme de vols'!$AB$6</f>
        <v>juin 2027</v>
      </c>
      <c r="F135" s="47" t="str">
        <f aca="false">'Programme de vols'!$AB$7</f>
        <v>juillet 2027</v>
      </c>
      <c r="G135" s="47" t="str">
        <f aca="false">'Programme de vols'!$AB$8</f>
        <v>aout 2027</v>
      </c>
      <c r="H135" s="47" t="str">
        <f aca="false">'Programme de vols'!$AB$9</f>
        <v>septembre 2027</v>
      </c>
      <c r="I135" s="47" t="str">
        <f aca="false">'Programme de vols'!$AB$10</f>
        <v>octobre 2027</v>
      </c>
      <c r="J135" s="47" t="str">
        <f aca="false">'Programme de vols'!$AB$11</f>
        <v>novembre 2027</v>
      </c>
      <c r="K135" s="47" t="str">
        <f aca="false">'Programme de vols'!$AB$12</f>
        <v>decembre 2027</v>
      </c>
      <c r="L135" s="47" t="str">
        <f aca="false">'Programme de vols'!$AB$13</f>
        <v>janvier 2028</v>
      </c>
      <c r="M135" s="47" t="str">
        <f aca="false">'Programme de vols'!$AB$14</f>
        <v>fevrier 2028</v>
      </c>
      <c r="N135" s="47" t="str">
        <f aca="false">'Programme de vols'!$AB$15</f>
        <v>mars 2028</v>
      </c>
      <c r="O135" s="26" t="s">
        <v>84</v>
      </c>
      <c r="P135" s="26" t="s">
        <v>234</v>
      </c>
    </row>
    <row r="136" customFormat="false" ht="15" hidden="false" customHeight="false" outlineLevel="0" collapsed="false">
      <c r="B136" s="10" t="s">
        <v>137</v>
      </c>
      <c r="C136" s="34" t="n">
        <f aca="false">LEN(IFERROR(INDEX('Saisie programme'!$D$13:$J$477,1,WEEKDAY($K$82-0,2))&amp;"",""))-LEN(SUBSTITUTE(IFERROR(INDEX('Saisie programme'!$D$13:$J$477,1,WEEKDAY($K$82-0,2))&amp;"",""),"1",""))+LEN(IFERROR(INDEX('Saisie programme'!$D$13:$J$477,1,WEEKDAY($K$82-0,2))&amp;"",""))-LEN(SUBSTITUTE(IFERROR(INDEX('Saisie programme'!$D$13:$J$477,1,WEEKDAY($K$82-0,2))&amp;"",""),"2",""))+LEN(IFERROR(INDEX('Saisie programme'!$D$13:$J$477,1,WEEKDAY($K$82-1,2))&amp;"",""))-LEN(SUBSTITUTE(IFERROR(INDEX('Saisie programme'!$D$13:$J$477,1,WEEKDAY($K$82-1,2))&amp;"",""),"2",""))+LEN(IFERROR(INDEX('Saisie programme'!$D$13:$J$477,1,WEEKDAY($K$82-0,2))&amp;"",""))-LEN(SUBSTITUTE(IFERROR(INDEX('Saisie programme'!$D$13:$J$477,1,WEEKDAY($K$82-0,2))&amp;"",""),"3",""))+LEN(IFERROR(INDEX('Saisie programme'!$D$13:$J$477,1,WEEKDAY($K$82-1,2))&amp;"",""))-LEN(SUBSTITUTE(IFERROR(INDEX('Saisie programme'!$D$13:$J$477,1,WEEKDAY($K$82-1,2))&amp;"",""),"3",""))+LEN(IFERROR(INDEX('Saisie programme'!$D$13:$J$477,1,WEEKDAY($K$82-2,2))&amp;"",""))-LEN(SUBSTITUTE(IFERROR(INDEX('Saisie programme'!$D$13:$J$477,1,WEEKDAY($K$82-2,2))&amp;"",""),"3",""))</f>
        <v>1</v>
      </c>
      <c r="D136" s="34" t="n">
        <f aca="false">LEN(IFERROR(INDEX('Saisie programme'!$D$13:$J$477,40,WEEKDAY($K$83-0,2))&amp;"",""))-LEN(SUBSTITUTE(IFERROR(INDEX('Saisie programme'!$D$13:$J$477,40,WEEKDAY($K$83-0,2))&amp;"",""),"1",""))+LEN(IFERROR(INDEX('Saisie programme'!$D$13:$J$477,40,WEEKDAY($K$83-0,2))&amp;"",""))-LEN(SUBSTITUTE(IFERROR(INDEX('Saisie programme'!$D$13:$J$477,40,WEEKDAY($K$83-0,2))&amp;"",""),"2",""))+LEN(IFERROR(INDEX('Saisie programme'!$D$13:$J$477,40,WEEKDAY($K$83-1,2))&amp;"",""))-LEN(SUBSTITUTE(IFERROR(INDEX('Saisie programme'!$D$13:$J$477,40,WEEKDAY($K$83-1,2))&amp;"",""),"2",""))+LEN(IFERROR(INDEX('Saisie programme'!$D$13:$J$477,40,WEEKDAY($K$83-0,2))&amp;"",""))-LEN(SUBSTITUTE(IFERROR(INDEX('Saisie programme'!$D$13:$J$477,40,WEEKDAY($K$83-0,2))&amp;"",""),"3",""))+LEN(IFERROR(INDEX('Saisie programme'!$D$13:$J$477,40,WEEKDAY($K$83-1,2))&amp;"",""))-LEN(SUBSTITUTE(IFERROR(INDEX('Saisie programme'!$D$13:$J$477,40,WEEKDAY($K$83-1,2))&amp;"",""),"3",""))+LEN(IFERROR(INDEX('Saisie programme'!$D$13:$J$477,40,WEEKDAY($K$83-2,2))&amp;"",""))-LEN(SUBSTITUTE(IFERROR(INDEX('Saisie programme'!$D$13:$J$477,40,WEEKDAY($K$83-2,2))&amp;"",""),"3",""))</f>
        <v>1</v>
      </c>
      <c r="E136" s="34" t="n">
        <f aca="false">LEN(IFERROR(INDEX('Saisie programme'!$D$13:$J$477,79,WEEKDAY($K$84-0,2))&amp;"",""))-LEN(SUBSTITUTE(IFERROR(INDEX('Saisie programme'!$D$13:$J$477,79,WEEKDAY($K$84-0,2))&amp;"",""),"1",""))+LEN(IFERROR(INDEX('Saisie programme'!$D$13:$J$477,79,WEEKDAY($K$84-0,2))&amp;"",""))-LEN(SUBSTITUTE(IFERROR(INDEX('Saisie programme'!$D$13:$J$477,79,WEEKDAY($K$84-0,2))&amp;"",""),"2",""))+LEN(IFERROR(INDEX('Saisie programme'!$D$13:$J$477,79,WEEKDAY($K$84-1,2))&amp;"",""))-LEN(SUBSTITUTE(IFERROR(INDEX('Saisie programme'!$D$13:$J$477,79,WEEKDAY($K$84-1,2))&amp;"",""),"2",""))+LEN(IFERROR(INDEX('Saisie programme'!$D$13:$J$477,79,WEEKDAY($K$84-0,2))&amp;"",""))-LEN(SUBSTITUTE(IFERROR(INDEX('Saisie programme'!$D$13:$J$477,79,WEEKDAY($K$84-0,2))&amp;"",""),"3",""))+LEN(IFERROR(INDEX('Saisie programme'!$D$13:$J$477,79,WEEKDAY($K$84-1,2))&amp;"",""))-LEN(SUBSTITUTE(IFERROR(INDEX('Saisie programme'!$D$13:$J$477,79,WEEKDAY($K$84-1,2))&amp;"",""),"3",""))+LEN(IFERROR(INDEX('Saisie programme'!$D$13:$J$477,79,WEEKDAY($K$84-2,2))&amp;"",""))-LEN(SUBSTITUTE(IFERROR(INDEX('Saisie programme'!$D$13:$J$477,79,WEEKDAY($K$84-2,2))&amp;"",""),"3",""))</f>
        <v>1</v>
      </c>
      <c r="F136" s="34" t="n">
        <f aca="false">LEN(IFERROR(INDEX('Saisie programme'!$D$13:$J$477,118,WEEKDAY($K$85-0,2))&amp;"",""))-LEN(SUBSTITUTE(IFERROR(INDEX('Saisie programme'!$D$13:$J$477,118,WEEKDAY($K$85-0,2))&amp;"",""),"1",""))+LEN(IFERROR(INDEX('Saisie programme'!$D$13:$J$477,118,WEEKDAY($K$85-0,2))&amp;"",""))-LEN(SUBSTITUTE(IFERROR(INDEX('Saisie programme'!$D$13:$J$477,118,WEEKDAY($K$85-0,2))&amp;"",""),"2",""))+LEN(IFERROR(INDEX('Saisie programme'!$D$13:$J$477,118,WEEKDAY($K$85-1,2))&amp;"",""))-LEN(SUBSTITUTE(IFERROR(INDEX('Saisie programme'!$D$13:$J$477,118,WEEKDAY($K$85-1,2))&amp;"",""),"2",""))+LEN(IFERROR(INDEX('Saisie programme'!$D$13:$J$477,118,WEEKDAY($K$85-0,2))&amp;"",""))-LEN(SUBSTITUTE(IFERROR(INDEX('Saisie programme'!$D$13:$J$477,118,WEEKDAY($K$85-0,2))&amp;"",""),"3",""))+LEN(IFERROR(INDEX('Saisie programme'!$D$13:$J$477,118,WEEKDAY($K$85-1,2))&amp;"",""))-LEN(SUBSTITUTE(IFERROR(INDEX('Saisie programme'!$D$13:$J$477,118,WEEKDAY($K$85-1,2))&amp;"",""),"3",""))+LEN(IFERROR(INDEX('Saisie programme'!$D$13:$J$477,118,WEEKDAY($K$85-2,2))&amp;"",""))-LEN(SUBSTITUTE(IFERROR(INDEX('Saisie programme'!$D$13:$J$477,118,WEEKDAY($K$85-2,2))&amp;"",""),"3",""))</f>
        <v>1</v>
      </c>
      <c r="G136" s="34" t="n">
        <f aca="false">LEN(IFERROR(INDEX('Saisie programme'!$D$13:$J$477,157,WEEKDAY($K$86-0,2))&amp;"",""))-LEN(SUBSTITUTE(IFERROR(INDEX('Saisie programme'!$D$13:$J$477,157,WEEKDAY($K$86-0,2))&amp;"",""),"1",""))+LEN(IFERROR(INDEX('Saisie programme'!$D$13:$J$477,157,WEEKDAY($K$86-0,2))&amp;"",""))-LEN(SUBSTITUTE(IFERROR(INDEX('Saisie programme'!$D$13:$J$477,157,WEEKDAY($K$86-0,2))&amp;"",""),"2",""))+LEN(IFERROR(INDEX('Saisie programme'!$D$13:$J$477,157,WEEKDAY($K$86-1,2))&amp;"",""))-LEN(SUBSTITUTE(IFERROR(INDEX('Saisie programme'!$D$13:$J$477,157,WEEKDAY($K$86-1,2))&amp;"",""),"2",""))+LEN(IFERROR(INDEX('Saisie programme'!$D$13:$J$477,157,WEEKDAY($K$86-0,2))&amp;"",""))-LEN(SUBSTITUTE(IFERROR(INDEX('Saisie programme'!$D$13:$J$477,157,WEEKDAY($K$86-0,2))&amp;"",""),"3",""))+LEN(IFERROR(INDEX('Saisie programme'!$D$13:$J$477,157,WEEKDAY($K$86-1,2))&amp;"",""))-LEN(SUBSTITUTE(IFERROR(INDEX('Saisie programme'!$D$13:$J$477,157,WEEKDAY($K$86-1,2))&amp;"",""),"3",""))+LEN(IFERROR(INDEX('Saisie programme'!$D$13:$J$477,157,WEEKDAY($K$86-2,2))&amp;"",""))-LEN(SUBSTITUTE(IFERROR(INDEX('Saisie programme'!$D$13:$J$477,157,WEEKDAY($K$86-2,2))&amp;"",""),"3",""))</f>
        <v>1</v>
      </c>
      <c r="H136" s="34" t="n">
        <f aca="false">LEN(IFERROR(INDEX('Saisie programme'!$D$13:$J$477,196,WEEKDAY($K$87-0,2))&amp;"",""))-LEN(SUBSTITUTE(IFERROR(INDEX('Saisie programme'!$D$13:$J$477,196,WEEKDAY($K$87-0,2))&amp;"",""),"1",""))+LEN(IFERROR(INDEX('Saisie programme'!$D$13:$J$477,196,WEEKDAY($K$87-0,2))&amp;"",""))-LEN(SUBSTITUTE(IFERROR(INDEX('Saisie programme'!$D$13:$J$477,196,WEEKDAY($K$87-0,2))&amp;"",""),"2",""))+LEN(IFERROR(INDEX('Saisie programme'!$D$13:$J$477,196,WEEKDAY($K$87-1,2))&amp;"",""))-LEN(SUBSTITUTE(IFERROR(INDEX('Saisie programme'!$D$13:$J$477,196,WEEKDAY($K$87-1,2))&amp;"",""),"2",""))+LEN(IFERROR(INDEX('Saisie programme'!$D$13:$J$477,196,WEEKDAY($K$87-0,2))&amp;"",""))-LEN(SUBSTITUTE(IFERROR(INDEX('Saisie programme'!$D$13:$J$477,196,WEEKDAY($K$87-0,2))&amp;"",""),"3",""))+LEN(IFERROR(INDEX('Saisie programme'!$D$13:$J$477,196,WEEKDAY($K$87-1,2))&amp;"",""))-LEN(SUBSTITUTE(IFERROR(INDEX('Saisie programme'!$D$13:$J$477,196,WEEKDAY($K$87-1,2))&amp;"",""),"3",""))+LEN(IFERROR(INDEX('Saisie programme'!$D$13:$J$477,196,WEEKDAY($K$87-2,2))&amp;"",""))-LEN(SUBSTITUTE(IFERROR(INDEX('Saisie programme'!$D$13:$J$477,196,WEEKDAY($K$87-2,2))&amp;"",""),"3",""))</f>
        <v>1</v>
      </c>
      <c r="I136" s="34" t="n">
        <f aca="false">LEN(IFERROR(INDEX('Saisie programme'!$D$13:$J$477,235,WEEKDAY($K$88-0,2))&amp;"",""))-LEN(SUBSTITUTE(IFERROR(INDEX('Saisie programme'!$D$13:$J$477,235,WEEKDAY($K$88-0,2))&amp;"",""),"1",""))+LEN(IFERROR(INDEX('Saisie programme'!$D$13:$J$477,235,WEEKDAY($K$88-0,2))&amp;"",""))-LEN(SUBSTITUTE(IFERROR(INDEX('Saisie programme'!$D$13:$J$477,235,WEEKDAY($K$88-0,2))&amp;"",""),"2",""))+LEN(IFERROR(INDEX('Saisie programme'!$D$13:$J$477,235,WEEKDAY($K$88-1,2))&amp;"",""))-LEN(SUBSTITUTE(IFERROR(INDEX('Saisie programme'!$D$13:$J$477,235,WEEKDAY($K$88-1,2))&amp;"",""),"2",""))+LEN(IFERROR(INDEX('Saisie programme'!$D$13:$J$477,235,WEEKDAY($K$88-0,2))&amp;"",""))-LEN(SUBSTITUTE(IFERROR(INDEX('Saisie programme'!$D$13:$J$477,235,WEEKDAY($K$88-0,2))&amp;"",""),"3",""))+LEN(IFERROR(INDEX('Saisie programme'!$D$13:$J$477,235,WEEKDAY($K$88-1,2))&amp;"",""))-LEN(SUBSTITUTE(IFERROR(INDEX('Saisie programme'!$D$13:$J$477,235,WEEKDAY($K$88-1,2))&amp;"",""),"3",""))+LEN(IFERROR(INDEX('Saisie programme'!$D$13:$J$477,235,WEEKDAY($K$88-2,2))&amp;"",""))-LEN(SUBSTITUTE(IFERROR(INDEX('Saisie programme'!$D$13:$J$477,235,WEEKDAY($K$88-2,2))&amp;"",""),"3",""))</f>
        <v>1</v>
      </c>
      <c r="J136" s="34" t="n">
        <f aca="false">LEN(IFERROR(INDEX('Saisie programme'!$D$13:$J$477,274,WEEKDAY($K$89-0,2))&amp;"",""))-LEN(SUBSTITUTE(IFERROR(INDEX('Saisie programme'!$D$13:$J$477,274,WEEKDAY($K$89-0,2))&amp;"",""),"1",""))+LEN(IFERROR(INDEX('Saisie programme'!$D$13:$J$477,274,WEEKDAY($K$89-0,2))&amp;"",""))-LEN(SUBSTITUTE(IFERROR(INDEX('Saisie programme'!$D$13:$J$477,274,WEEKDAY($K$89-0,2))&amp;"",""),"2",""))+LEN(IFERROR(INDEX('Saisie programme'!$D$13:$J$477,274,WEEKDAY($K$89-1,2))&amp;"",""))-LEN(SUBSTITUTE(IFERROR(INDEX('Saisie programme'!$D$13:$J$477,274,WEEKDAY($K$89-1,2))&amp;"",""),"2",""))+LEN(IFERROR(INDEX('Saisie programme'!$D$13:$J$477,274,WEEKDAY($K$89-0,2))&amp;"",""))-LEN(SUBSTITUTE(IFERROR(INDEX('Saisie programme'!$D$13:$J$477,274,WEEKDAY($K$89-0,2))&amp;"",""),"3",""))+LEN(IFERROR(INDEX('Saisie programme'!$D$13:$J$477,274,WEEKDAY($K$89-1,2))&amp;"",""))-LEN(SUBSTITUTE(IFERROR(INDEX('Saisie programme'!$D$13:$J$477,274,WEEKDAY($K$89-1,2))&amp;"",""),"3",""))+LEN(IFERROR(INDEX('Saisie programme'!$D$13:$J$477,274,WEEKDAY($K$89-2,2))&amp;"",""))-LEN(SUBSTITUTE(IFERROR(INDEX('Saisie programme'!$D$13:$J$477,274,WEEKDAY($K$89-2,2))&amp;"",""),"3",""))</f>
        <v>1</v>
      </c>
      <c r="K136" s="34" t="n">
        <f aca="false">LEN(IFERROR(INDEX('Saisie programme'!$D$13:$J$477,313,WEEKDAY($K$90-0,2))&amp;"",""))-LEN(SUBSTITUTE(IFERROR(INDEX('Saisie programme'!$D$13:$J$477,313,WEEKDAY($K$90-0,2))&amp;"",""),"1",""))+LEN(IFERROR(INDEX('Saisie programme'!$D$13:$J$477,313,WEEKDAY($K$90-0,2))&amp;"",""))-LEN(SUBSTITUTE(IFERROR(INDEX('Saisie programme'!$D$13:$J$477,313,WEEKDAY($K$90-0,2))&amp;"",""),"2",""))+LEN(IFERROR(INDEX('Saisie programme'!$D$13:$J$477,313,WEEKDAY($K$90-1,2))&amp;"",""))-LEN(SUBSTITUTE(IFERROR(INDEX('Saisie programme'!$D$13:$J$477,313,WEEKDAY($K$90-1,2))&amp;"",""),"2",""))+LEN(IFERROR(INDEX('Saisie programme'!$D$13:$J$477,313,WEEKDAY($K$90-0,2))&amp;"",""))-LEN(SUBSTITUTE(IFERROR(INDEX('Saisie programme'!$D$13:$J$477,313,WEEKDAY($K$90-0,2))&amp;"",""),"3",""))+LEN(IFERROR(INDEX('Saisie programme'!$D$13:$J$477,313,WEEKDAY($K$90-1,2))&amp;"",""))-LEN(SUBSTITUTE(IFERROR(INDEX('Saisie programme'!$D$13:$J$477,313,WEEKDAY($K$90-1,2))&amp;"",""),"3",""))+LEN(IFERROR(INDEX('Saisie programme'!$D$13:$J$477,313,WEEKDAY($K$90-2,2))&amp;"",""))-LEN(SUBSTITUTE(IFERROR(INDEX('Saisie programme'!$D$13:$J$477,313,WEEKDAY($K$90-2,2))&amp;"",""),"3",""))</f>
        <v>1</v>
      </c>
      <c r="L136" s="34" t="n">
        <f aca="false">LEN(IFERROR(INDEX('Saisie programme'!$D$13:$J$477,352,WEEKDAY($K$91-0,2))&amp;"",""))-LEN(SUBSTITUTE(IFERROR(INDEX('Saisie programme'!$D$13:$J$477,352,WEEKDAY($K$91-0,2))&amp;"",""),"1",""))+LEN(IFERROR(INDEX('Saisie programme'!$D$13:$J$477,352,WEEKDAY($K$91-0,2))&amp;"",""))-LEN(SUBSTITUTE(IFERROR(INDEX('Saisie programme'!$D$13:$J$477,352,WEEKDAY($K$91-0,2))&amp;"",""),"2",""))+LEN(IFERROR(INDEX('Saisie programme'!$D$13:$J$477,352,WEEKDAY($K$91-1,2))&amp;"",""))-LEN(SUBSTITUTE(IFERROR(INDEX('Saisie programme'!$D$13:$J$477,352,WEEKDAY($K$91-1,2))&amp;"",""),"2",""))+LEN(IFERROR(INDEX('Saisie programme'!$D$13:$J$477,352,WEEKDAY($K$91-0,2))&amp;"",""))-LEN(SUBSTITUTE(IFERROR(INDEX('Saisie programme'!$D$13:$J$477,352,WEEKDAY($K$91-0,2))&amp;"",""),"3",""))+LEN(IFERROR(INDEX('Saisie programme'!$D$13:$J$477,352,WEEKDAY($K$91-1,2))&amp;"",""))-LEN(SUBSTITUTE(IFERROR(INDEX('Saisie programme'!$D$13:$J$477,352,WEEKDAY($K$91-1,2))&amp;"",""),"3",""))+LEN(IFERROR(INDEX('Saisie programme'!$D$13:$J$477,352,WEEKDAY($K$91-2,2))&amp;"",""))-LEN(SUBSTITUTE(IFERROR(INDEX('Saisie programme'!$D$13:$J$477,352,WEEKDAY($K$91-2,2))&amp;"",""),"3",""))</f>
        <v>1</v>
      </c>
      <c r="M136" s="34" t="n">
        <f aca="false">LEN(IFERROR(INDEX('Saisie programme'!$D$13:$J$477,391,WEEKDAY($K$92-0,2))&amp;"",""))-LEN(SUBSTITUTE(IFERROR(INDEX('Saisie programme'!$D$13:$J$477,391,WEEKDAY($K$92-0,2))&amp;"",""),"1",""))+LEN(IFERROR(INDEX('Saisie programme'!$D$13:$J$477,391,WEEKDAY($K$92-0,2))&amp;"",""))-LEN(SUBSTITUTE(IFERROR(INDEX('Saisie programme'!$D$13:$J$477,391,WEEKDAY($K$92-0,2))&amp;"",""),"2",""))+LEN(IFERROR(INDEX('Saisie programme'!$D$13:$J$477,391,WEEKDAY($K$92-1,2))&amp;"",""))-LEN(SUBSTITUTE(IFERROR(INDEX('Saisie programme'!$D$13:$J$477,391,WEEKDAY($K$92-1,2))&amp;"",""),"2",""))+LEN(IFERROR(INDEX('Saisie programme'!$D$13:$J$477,391,WEEKDAY($K$92-0,2))&amp;"",""))-LEN(SUBSTITUTE(IFERROR(INDEX('Saisie programme'!$D$13:$J$477,391,WEEKDAY($K$92-0,2))&amp;"",""),"3",""))+LEN(IFERROR(INDEX('Saisie programme'!$D$13:$J$477,391,WEEKDAY($K$92-1,2))&amp;"",""))-LEN(SUBSTITUTE(IFERROR(INDEX('Saisie programme'!$D$13:$J$477,391,WEEKDAY($K$92-1,2))&amp;"",""),"3",""))+LEN(IFERROR(INDEX('Saisie programme'!$D$13:$J$477,391,WEEKDAY($K$92-2,2))&amp;"",""))-LEN(SUBSTITUTE(IFERROR(INDEX('Saisie programme'!$D$13:$J$477,391,WEEKDAY($K$92-2,2))&amp;"",""),"3",""))</f>
        <v>1</v>
      </c>
      <c r="N136" s="34" t="n">
        <f aca="false">LEN(IFERROR(INDEX('Saisie programme'!$D$13:$J$477,430,WEEKDAY($K$93-0,2))&amp;"",""))-LEN(SUBSTITUTE(IFERROR(INDEX('Saisie programme'!$D$13:$J$477,430,WEEKDAY($K$93-0,2))&amp;"",""),"1",""))+LEN(IFERROR(INDEX('Saisie programme'!$D$13:$J$477,430,WEEKDAY($K$93-0,2))&amp;"",""))-LEN(SUBSTITUTE(IFERROR(INDEX('Saisie programme'!$D$13:$J$477,430,WEEKDAY($K$93-0,2))&amp;"",""),"2",""))+LEN(IFERROR(INDEX('Saisie programme'!$D$13:$J$477,430,WEEKDAY($K$93-1,2))&amp;"",""))-LEN(SUBSTITUTE(IFERROR(INDEX('Saisie programme'!$D$13:$J$477,430,WEEKDAY($K$93-1,2))&amp;"",""),"2",""))+LEN(IFERROR(INDEX('Saisie programme'!$D$13:$J$477,430,WEEKDAY($K$93-0,2))&amp;"",""))-LEN(SUBSTITUTE(IFERROR(INDEX('Saisie programme'!$D$13:$J$477,430,WEEKDAY($K$93-0,2))&amp;"",""),"3",""))+LEN(IFERROR(INDEX('Saisie programme'!$D$13:$J$477,430,WEEKDAY($K$93-1,2))&amp;"",""))-LEN(SUBSTITUTE(IFERROR(INDEX('Saisie programme'!$D$13:$J$477,430,WEEKDAY($K$93-1,2))&amp;"",""),"3",""))+LEN(IFERROR(INDEX('Saisie programme'!$D$13:$J$477,430,WEEKDAY($K$93-2,2))&amp;"",""))-LEN(SUBSTITUTE(IFERROR(INDEX('Saisie programme'!$D$13:$J$477,430,WEEKDAY($K$93-2,2))&amp;"",""),"3",""))</f>
        <v>1</v>
      </c>
      <c r="O136" s="12" t="s">
        <v>12</v>
      </c>
      <c r="P136" s="12" t="s">
        <v>11</v>
      </c>
    </row>
    <row r="137" customFormat="false" ht="15" hidden="false" customHeight="false" outlineLevel="0" collapsed="false">
      <c r="B137" s="10" t="s">
        <v>138</v>
      </c>
      <c r="C137" s="34" t="n">
        <f aca="false">LEN(IFERROR(INDEX('Saisie programme'!$D$13:$J$477,2,WEEKDAY($K$82-0,2))&amp;"",""))-LEN(SUBSTITUTE(IFERROR(INDEX('Saisie programme'!$D$13:$J$477,2,WEEKDAY($K$82-0,2))&amp;"",""),"1",""))+LEN(IFERROR(INDEX('Saisie programme'!$D$13:$J$477,2,WEEKDAY($K$82-0,2))&amp;"",""))-LEN(SUBSTITUTE(IFERROR(INDEX('Saisie programme'!$D$13:$J$477,2,WEEKDAY($K$82-0,2))&amp;"",""),"2",""))+LEN(IFERROR(INDEX('Saisie programme'!$D$13:$J$477,2,WEEKDAY($K$82-1,2))&amp;"",""))-LEN(SUBSTITUTE(IFERROR(INDEX('Saisie programme'!$D$13:$J$477,2,WEEKDAY($K$82-1,2))&amp;"",""),"2",""))+LEN(IFERROR(INDEX('Saisie programme'!$D$13:$J$477,2,WEEKDAY($K$82-0,2))&amp;"",""))-LEN(SUBSTITUTE(IFERROR(INDEX('Saisie programme'!$D$13:$J$477,2,WEEKDAY($K$82-0,2))&amp;"",""),"3",""))+LEN(IFERROR(INDEX('Saisie programme'!$D$13:$J$477,2,WEEKDAY($K$82-1,2))&amp;"",""))-LEN(SUBSTITUTE(IFERROR(INDEX('Saisie programme'!$D$13:$J$477,2,WEEKDAY($K$82-1,2))&amp;"",""),"3",""))+LEN(IFERROR(INDEX('Saisie programme'!$D$13:$J$477,2,WEEKDAY($K$82-2,2))&amp;"",""))-LEN(SUBSTITUTE(IFERROR(INDEX('Saisie programme'!$D$13:$J$477,2,WEEKDAY($K$82-2,2))&amp;"",""),"3",""))</f>
        <v>1</v>
      </c>
      <c r="D137" s="34" t="n">
        <f aca="false">LEN(IFERROR(INDEX('Saisie programme'!$D$13:$J$477,41,WEEKDAY($K$83-0,2))&amp;"",""))-LEN(SUBSTITUTE(IFERROR(INDEX('Saisie programme'!$D$13:$J$477,41,WEEKDAY($K$83-0,2))&amp;"",""),"1",""))+LEN(IFERROR(INDEX('Saisie programme'!$D$13:$J$477,41,WEEKDAY($K$83-0,2))&amp;"",""))-LEN(SUBSTITUTE(IFERROR(INDEX('Saisie programme'!$D$13:$J$477,41,WEEKDAY($K$83-0,2))&amp;"",""),"2",""))+LEN(IFERROR(INDEX('Saisie programme'!$D$13:$J$477,41,WEEKDAY($K$83-1,2))&amp;"",""))-LEN(SUBSTITUTE(IFERROR(INDEX('Saisie programme'!$D$13:$J$477,41,WEEKDAY($K$83-1,2))&amp;"",""),"2",""))+LEN(IFERROR(INDEX('Saisie programme'!$D$13:$J$477,41,WEEKDAY($K$83-0,2))&amp;"",""))-LEN(SUBSTITUTE(IFERROR(INDEX('Saisie programme'!$D$13:$J$477,41,WEEKDAY($K$83-0,2))&amp;"",""),"3",""))+LEN(IFERROR(INDEX('Saisie programme'!$D$13:$J$477,41,WEEKDAY($K$83-1,2))&amp;"",""))-LEN(SUBSTITUTE(IFERROR(INDEX('Saisie programme'!$D$13:$J$477,41,WEEKDAY($K$83-1,2))&amp;"",""),"3",""))+LEN(IFERROR(INDEX('Saisie programme'!$D$13:$J$477,41,WEEKDAY($K$83-2,2))&amp;"",""))-LEN(SUBSTITUTE(IFERROR(INDEX('Saisie programme'!$D$13:$J$477,41,WEEKDAY($K$83-2,2))&amp;"",""),"3",""))</f>
        <v>1</v>
      </c>
      <c r="E137" s="34" t="n">
        <f aca="false">LEN(IFERROR(INDEX('Saisie programme'!$D$13:$J$477,80,WEEKDAY($K$84-0,2))&amp;"",""))-LEN(SUBSTITUTE(IFERROR(INDEX('Saisie programme'!$D$13:$J$477,80,WEEKDAY($K$84-0,2))&amp;"",""),"1",""))+LEN(IFERROR(INDEX('Saisie programme'!$D$13:$J$477,80,WEEKDAY($K$84-0,2))&amp;"",""))-LEN(SUBSTITUTE(IFERROR(INDEX('Saisie programme'!$D$13:$J$477,80,WEEKDAY($K$84-0,2))&amp;"",""),"2",""))+LEN(IFERROR(INDEX('Saisie programme'!$D$13:$J$477,80,WEEKDAY($K$84-1,2))&amp;"",""))-LEN(SUBSTITUTE(IFERROR(INDEX('Saisie programme'!$D$13:$J$477,80,WEEKDAY($K$84-1,2))&amp;"",""),"2",""))+LEN(IFERROR(INDEX('Saisie programme'!$D$13:$J$477,80,WEEKDAY($K$84-0,2))&amp;"",""))-LEN(SUBSTITUTE(IFERROR(INDEX('Saisie programme'!$D$13:$J$477,80,WEEKDAY($K$84-0,2))&amp;"",""),"3",""))+LEN(IFERROR(INDEX('Saisie programme'!$D$13:$J$477,80,WEEKDAY($K$84-1,2))&amp;"",""))-LEN(SUBSTITUTE(IFERROR(INDEX('Saisie programme'!$D$13:$J$477,80,WEEKDAY($K$84-1,2))&amp;"",""),"3",""))+LEN(IFERROR(INDEX('Saisie programme'!$D$13:$J$477,80,WEEKDAY($K$84-2,2))&amp;"",""))-LEN(SUBSTITUTE(IFERROR(INDEX('Saisie programme'!$D$13:$J$477,80,WEEKDAY($K$84-2,2))&amp;"",""),"3",""))</f>
        <v>0</v>
      </c>
      <c r="F137" s="34" t="n">
        <f aca="false">LEN(IFERROR(INDEX('Saisie programme'!$D$13:$J$477,119,WEEKDAY($K$85-0,2))&amp;"",""))-LEN(SUBSTITUTE(IFERROR(INDEX('Saisie programme'!$D$13:$J$477,119,WEEKDAY($K$85-0,2))&amp;"",""),"1",""))+LEN(IFERROR(INDEX('Saisie programme'!$D$13:$J$477,119,WEEKDAY($K$85-0,2))&amp;"",""))-LEN(SUBSTITUTE(IFERROR(INDEX('Saisie programme'!$D$13:$J$477,119,WEEKDAY($K$85-0,2))&amp;"",""),"2",""))+LEN(IFERROR(INDEX('Saisie programme'!$D$13:$J$477,119,WEEKDAY($K$85-1,2))&amp;"",""))-LEN(SUBSTITUTE(IFERROR(INDEX('Saisie programme'!$D$13:$J$477,119,WEEKDAY($K$85-1,2))&amp;"",""),"2",""))+LEN(IFERROR(INDEX('Saisie programme'!$D$13:$J$477,119,WEEKDAY($K$85-0,2))&amp;"",""))-LEN(SUBSTITUTE(IFERROR(INDEX('Saisie programme'!$D$13:$J$477,119,WEEKDAY($K$85-0,2))&amp;"",""),"3",""))+LEN(IFERROR(INDEX('Saisie programme'!$D$13:$J$477,119,WEEKDAY($K$85-1,2))&amp;"",""))-LEN(SUBSTITUTE(IFERROR(INDEX('Saisie programme'!$D$13:$J$477,119,WEEKDAY($K$85-1,2))&amp;"",""),"3",""))+LEN(IFERROR(INDEX('Saisie programme'!$D$13:$J$477,119,WEEKDAY($K$85-2,2))&amp;"",""))-LEN(SUBSTITUTE(IFERROR(INDEX('Saisie programme'!$D$13:$J$477,119,WEEKDAY($K$85-2,2))&amp;"",""),"3",""))</f>
        <v>0</v>
      </c>
      <c r="G137" s="34" t="n">
        <f aca="false">LEN(IFERROR(INDEX('Saisie programme'!$D$13:$J$477,158,WEEKDAY($K$86-0,2))&amp;"",""))-LEN(SUBSTITUTE(IFERROR(INDEX('Saisie programme'!$D$13:$J$477,158,WEEKDAY($K$86-0,2))&amp;"",""),"1",""))+LEN(IFERROR(INDEX('Saisie programme'!$D$13:$J$477,158,WEEKDAY($K$86-0,2))&amp;"",""))-LEN(SUBSTITUTE(IFERROR(INDEX('Saisie programme'!$D$13:$J$477,158,WEEKDAY($K$86-0,2))&amp;"",""),"2",""))+LEN(IFERROR(INDEX('Saisie programme'!$D$13:$J$477,158,WEEKDAY($K$86-1,2))&amp;"",""))-LEN(SUBSTITUTE(IFERROR(INDEX('Saisie programme'!$D$13:$J$477,158,WEEKDAY($K$86-1,2))&amp;"",""),"2",""))+LEN(IFERROR(INDEX('Saisie programme'!$D$13:$J$477,158,WEEKDAY($K$86-0,2))&amp;"",""))-LEN(SUBSTITUTE(IFERROR(INDEX('Saisie programme'!$D$13:$J$477,158,WEEKDAY($K$86-0,2))&amp;"",""),"3",""))+LEN(IFERROR(INDEX('Saisie programme'!$D$13:$J$477,158,WEEKDAY($K$86-1,2))&amp;"",""))-LEN(SUBSTITUTE(IFERROR(INDEX('Saisie programme'!$D$13:$J$477,158,WEEKDAY($K$86-1,2))&amp;"",""),"3",""))+LEN(IFERROR(INDEX('Saisie programme'!$D$13:$J$477,158,WEEKDAY($K$86-2,2))&amp;"",""))-LEN(SUBSTITUTE(IFERROR(INDEX('Saisie programme'!$D$13:$J$477,158,WEEKDAY($K$86-2,2))&amp;"",""),"3",""))</f>
        <v>1</v>
      </c>
      <c r="H137" s="34" t="n">
        <f aca="false">LEN(IFERROR(INDEX('Saisie programme'!$D$13:$J$477,197,WEEKDAY($K$87-0,2))&amp;"",""))-LEN(SUBSTITUTE(IFERROR(INDEX('Saisie programme'!$D$13:$J$477,197,WEEKDAY($K$87-0,2))&amp;"",""),"1",""))+LEN(IFERROR(INDEX('Saisie programme'!$D$13:$J$477,197,WEEKDAY($K$87-0,2))&amp;"",""))-LEN(SUBSTITUTE(IFERROR(INDEX('Saisie programme'!$D$13:$J$477,197,WEEKDAY($K$87-0,2))&amp;"",""),"2",""))+LEN(IFERROR(INDEX('Saisie programme'!$D$13:$J$477,197,WEEKDAY($K$87-1,2))&amp;"",""))-LEN(SUBSTITUTE(IFERROR(INDEX('Saisie programme'!$D$13:$J$477,197,WEEKDAY($K$87-1,2))&amp;"",""),"2",""))+LEN(IFERROR(INDEX('Saisie programme'!$D$13:$J$477,197,WEEKDAY($K$87-0,2))&amp;"",""))-LEN(SUBSTITUTE(IFERROR(INDEX('Saisie programme'!$D$13:$J$477,197,WEEKDAY($K$87-0,2))&amp;"",""),"3",""))+LEN(IFERROR(INDEX('Saisie programme'!$D$13:$J$477,197,WEEKDAY($K$87-1,2))&amp;"",""))-LEN(SUBSTITUTE(IFERROR(INDEX('Saisie programme'!$D$13:$J$477,197,WEEKDAY($K$87-1,2))&amp;"",""),"3",""))+LEN(IFERROR(INDEX('Saisie programme'!$D$13:$J$477,197,WEEKDAY($K$87-2,2))&amp;"",""))-LEN(SUBSTITUTE(IFERROR(INDEX('Saisie programme'!$D$13:$J$477,197,WEEKDAY($K$87-2,2))&amp;"",""),"3",""))</f>
        <v>0</v>
      </c>
      <c r="I137" s="34" t="n">
        <f aca="false">LEN(IFERROR(INDEX('Saisie programme'!$D$13:$J$477,236,WEEKDAY($K$88-0,2))&amp;"",""))-LEN(SUBSTITUTE(IFERROR(INDEX('Saisie programme'!$D$13:$J$477,236,WEEKDAY($K$88-0,2))&amp;"",""),"1",""))+LEN(IFERROR(INDEX('Saisie programme'!$D$13:$J$477,236,WEEKDAY($K$88-0,2))&amp;"",""))-LEN(SUBSTITUTE(IFERROR(INDEX('Saisie programme'!$D$13:$J$477,236,WEEKDAY($K$88-0,2))&amp;"",""),"2",""))+LEN(IFERROR(INDEX('Saisie programme'!$D$13:$J$477,236,WEEKDAY($K$88-1,2))&amp;"",""))-LEN(SUBSTITUTE(IFERROR(INDEX('Saisie programme'!$D$13:$J$477,236,WEEKDAY($K$88-1,2))&amp;"",""),"2",""))+LEN(IFERROR(INDEX('Saisie programme'!$D$13:$J$477,236,WEEKDAY($K$88-0,2))&amp;"",""))-LEN(SUBSTITUTE(IFERROR(INDEX('Saisie programme'!$D$13:$J$477,236,WEEKDAY($K$88-0,2))&amp;"",""),"3",""))+LEN(IFERROR(INDEX('Saisie programme'!$D$13:$J$477,236,WEEKDAY($K$88-1,2))&amp;"",""))-LEN(SUBSTITUTE(IFERROR(INDEX('Saisie programme'!$D$13:$J$477,236,WEEKDAY($K$88-1,2))&amp;"",""),"3",""))+LEN(IFERROR(INDEX('Saisie programme'!$D$13:$J$477,236,WEEKDAY($K$88-2,2))&amp;"",""))-LEN(SUBSTITUTE(IFERROR(INDEX('Saisie programme'!$D$13:$J$477,236,WEEKDAY($K$88-2,2))&amp;"",""),"3",""))</f>
        <v>0</v>
      </c>
      <c r="J137" s="34" t="n">
        <f aca="false">LEN(IFERROR(INDEX('Saisie programme'!$D$13:$J$477,275,WEEKDAY($K$89-0,2))&amp;"",""))-LEN(SUBSTITUTE(IFERROR(INDEX('Saisie programme'!$D$13:$J$477,275,WEEKDAY($K$89-0,2))&amp;"",""),"1",""))+LEN(IFERROR(INDEX('Saisie programme'!$D$13:$J$477,275,WEEKDAY($K$89-0,2))&amp;"",""))-LEN(SUBSTITUTE(IFERROR(INDEX('Saisie programme'!$D$13:$J$477,275,WEEKDAY($K$89-0,2))&amp;"",""),"2",""))+LEN(IFERROR(INDEX('Saisie programme'!$D$13:$J$477,275,WEEKDAY($K$89-1,2))&amp;"",""))-LEN(SUBSTITUTE(IFERROR(INDEX('Saisie programme'!$D$13:$J$477,275,WEEKDAY($K$89-1,2))&amp;"",""),"2",""))+LEN(IFERROR(INDEX('Saisie programme'!$D$13:$J$477,275,WEEKDAY($K$89-0,2))&amp;"",""))-LEN(SUBSTITUTE(IFERROR(INDEX('Saisie programme'!$D$13:$J$477,275,WEEKDAY($K$89-0,2))&amp;"",""),"3",""))+LEN(IFERROR(INDEX('Saisie programme'!$D$13:$J$477,275,WEEKDAY($K$89-1,2))&amp;"",""))-LEN(SUBSTITUTE(IFERROR(INDEX('Saisie programme'!$D$13:$J$477,275,WEEKDAY($K$89-1,2))&amp;"",""),"3",""))+LEN(IFERROR(INDEX('Saisie programme'!$D$13:$J$477,275,WEEKDAY($K$89-2,2))&amp;"",""))-LEN(SUBSTITUTE(IFERROR(INDEX('Saisie programme'!$D$13:$J$477,275,WEEKDAY($K$89-2,2))&amp;"",""),"3",""))</f>
        <v>0</v>
      </c>
      <c r="K137" s="34" t="n">
        <f aca="false">LEN(IFERROR(INDEX('Saisie programme'!$D$13:$J$477,314,WEEKDAY($K$90-0,2))&amp;"",""))-LEN(SUBSTITUTE(IFERROR(INDEX('Saisie programme'!$D$13:$J$477,314,WEEKDAY($K$90-0,2))&amp;"",""),"1",""))+LEN(IFERROR(INDEX('Saisie programme'!$D$13:$J$477,314,WEEKDAY($K$90-0,2))&amp;"",""))-LEN(SUBSTITUTE(IFERROR(INDEX('Saisie programme'!$D$13:$J$477,314,WEEKDAY($K$90-0,2))&amp;"",""),"2",""))+LEN(IFERROR(INDEX('Saisie programme'!$D$13:$J$477,314,WEEKDAY($K$90-1,2))&amp;"",""))-LEN(SUBSTITUTE(IFERROR(INDEX('Saisie programme'!$D$13:$J$477,314,WEEKDAY($K$90-1,2))&amp;"",""),"2",""))+LEN(IFERROR(INDEX('Saisie programme'!$D$13:$J$477,314,WEEKDAY($K$90-0,2))&amp;"",""))-LEN(SUBSTITUTE(IFERROR(INDEX('Saisie programme'!$D$13:$J$477,314,WEEKDAY($K$90-0,2))&amp;"",""),"3",""))+LEN(IFERROR(INDEX('Saisie programme'!$D$13:$J$477,314,WEEKDAY($K$90-1,2))&amp;"",""))-LEN(SUBSTITUTE(IFERROR(INDEX('Saisie programme'!$D$13:$J$477,314,WEEKDAY($K$90-1,2))&amp;"",""),"3",""))+LEN(IFERROR(INDEX('Saisie programme'!$D$13:$J$477,314,WEEKDAY($K$90-2,2))&amp;"",""))-LEN(SUBSTITUTE(IFERROR(INDEX('Saisie programme'!$D$13:$J$477,314,WEEKDAY($K$90-2,2))&amp;"",""),"3",""))</f>
        <v>1</v>
      </c>
      <c r="L137" s="34" t="n">
        <f aca="false">LEN(IFERROR(INDEX('Saisie programme'!$D$13:$J$477,353,WEEKDAY($K$91-0,2))&amp;"",""))-LEN(SUBSTITUTE(IFERROR(INDEX('Saisie programme'!$D$13:$J$477,353,WEEKDAY($K$91-0,2))&amp;"",""),"1",""))+LEN(IFERROR(INDEX('Saisie programme'!$D$13:$J$477,353,WEEKDAY($K$91-0,2))&amp;"",""))-LEN(SUBSTITUTE(IFERROR(INDEX('Saisie programme'!$D$13:$J$477,353,WEEKDAY($K$91-0,2))&amp;"",""),"2",""))+LEN(IFERROR(INDEX('Saisie programme'!$D$13:$J$477,353,WEEKDAY($K$91-1,2))&amp;"",""))-LEN(SUBSTITUTE(IFERROR(INDEX('Saisie programme'!$D$13:$J$477,353,WEEKDAY($K$91-1,2))&amp;"",""),"2",""))+LEN(IFERROR(INDEX('Saisie programme'!$D$13:$J$477,353,WEEKDAY($K$91-0,2))&amp;"",""))-LEN(SUBSTITUTE(IFERROR(INDEX('Saisie programme'!$D$13:$J$477,353,WEEKDAY($K$91-0,2))&amp;"",""),"3",""))+LEN(IFERROR(INDEX('Saisie programme'!$D$13:$J$477,353,WEEKDAY($K$91-1,2))&amp;"",""))-LEN(SUBSTITUTE(IFERROR(INDEX('Saisie programme'!$D$13:$J$477,353,WEEKDAY($K$91-1,2))&amp;"",""),"3",""))+LEN(IFERROR(INDEX('Saisie programme'!$D$13:$J$477,353,WEEKDAY($K$91-2,2))&amp;"",""))-LEN(SUBSTITUTE(IFERROR(INDEX('Saisie programme'!$D$13:$J$477,353,WEEKDAY($K$91-2,2))&amp;"",""),"3",""))</f>
        <v>1</v>
      </c>
      <c r="M137" s="34" t="n">
        <f aca="false">LEN(IFERROR(INDEX('Saisie programme'!$D$13:$J$477,392,WEEKDAY($K$92-0,2))&amp;"",""))-LEN(SUBSTITUTE(IFERROR(INDEX('Saisie programme'!$D$13:$J$477,392,WEEKDAY($K$92-0,2))&amp;"",""),"1",""))+LEN(IFERROR(INDEX('Saisie programme'!$D$13:$J$477,392,WEEKDAY($K$92-0,2))&amp;"",""))-LEN(SUBSTITUTE(IFERROR(INDEX('Saisie programme'!$D$13:$J$477,392,WEEKDAY($K$92-0,2))&amp;"",""),"2",""))+LEN(IFERROR(INDEX('Saisie programme'!$D$13:$J$477,392,WEEKDAY($K$92-1,2))&amp;"",""))-LEN(SUBSTITUTE(IFERROR(INDEX('Saisie programme'!$D$13:$J$477,392,WEEKDAY($K$92-1,2))&amp;"",""),"2",""))+LEN(IFERROR(INDEX('Saisie programme'!$D$13:$J$477,392,WEEKDAY($K$92-0,2))&amp;"",""))-LEN(SUBSTITUTE(IFERROR(INDEX('Saisie programme'!$D$13:$J$477,392,WEEKDAY($K$92-0,2))&amp;"",""),"3",""))+LEN(IFERROR(INDEX('Saisie programme'!$D$13:$J$477,392,WEEKDAY($K$92-1,2))&amp;"",""))-LEN(SUBSTITUTE(IFERROR(INDEX('Saisie programme'!$D$13:$J$477,392,WEEKDAY($K$92-1,2))&amp;"",""),"3",""))+LEN(IFERROR(INDEX('Saisie programme'!$D$13:$J$477,392,WEEKDAY($K$92-2,2))&amp;"",""))-LEN(SUBSTITUTE(IFERROR(INDEX('Saisie programme'!$D$13:$J$477,392,WEEKDAY($K$92-2,2))&amp;"",""),"3",""))</f>
        <v>0</v>
      </c>
      <c r="N137" s="34" t="n">
        <f aca="false">LEN(IFERROR(INDEX('Saisie programme'!$D$13:$J$477,431,WEEKDAY($K$93-0,2))&amp;"",""))-LEN(SUBSTITUTE(IFERROR(INDEX('Saisie programme'!$D$13:$J$477,431,WEEKDAY($K$93-0,2))&amp;"",""),"1",""))+LEN(IFERROR(INDEX('Saisie programme'!$D$13:$J$477,431,WEEKDAY($K$93-0,2))&amp;"",""))-LEN(SUBSTITUTE(IFERROR(INDEX('Saisie programme'!$D$13:$J$477,431,WEEKDAY($K$93-0,2))&amp;"",""),"2",""))+LEN(IFERROR(INDEX('Saisie programme'!$D$13:$J$477,431,WEEKDAY($K$93-1,2))&amp;"",""))-LEN(SUBSTITUTE(IFERROR(INDEX('Saisie programme'!$D$13:$J$477,431,WEEKDAY($K$93-1,2))&amp;"",""),"2",""))+LEN(IFERROR(INDEX('Saisie programme'!$D$13:$J$477,431,WEEKDAY($K$93-0,2))&amp;"",""))-LEN(SUBSTITUTE(IFERROR(INDEX('Saisie programme'!$D$13:$J$477,431,WEEKDAY($K$93-0,2))&amp;"",""),"3",""))+LEN(IFERROR(INDEX('Saisie programme'!$D$13:$J$477,431,WEEKDAY($K$93-1,2))&amp;"",""))-LEN(SUBSTITUTE(IFERROR(INDEX('Saisie programme'!$D$13:$J$477,431,WEEKDAY($K$93-1,2))&amp;"",""),"3",""))+LEN(IFERROR(INDEX('Saisie programme'!$D$13:$J$477,431,WEEKDAY($K$93-2,2))&amp;"",""))-LEN(SUBSTITUTE(IFERROR(INDEX('Saisie programme'!$D$13:$J$477,431,WEEKDAY($K$93-2,2))&amp;"",""),"3",""))</f>
        <v>1</v>
      </c>
      <c r="O137" s="12" t="s">
        <v>12</v>
      </c>
      <c r="P137" s="12" t="s">
        <v>19</v>
      </c>
    </row>
    <row r="138" customFormat="false" ht="15" hidden="false" customHeight="false" outlineLevel="0" collapsed="false">
      <c r="B138" s="10" t="s">
        <v>139</v>
      </c>
      <c r="C138" s="34" t="n">
        <f aca="false">LEN(IFERROR(INDEX('Saisie programme'!$D$13:$J$477,3,WEEKDAY($K$82-0,2))&amp;"",""))-LEN(SUBSTITUTE(IFERROR(INDEX('Saisie programme'!$D$13:$J$477,3,WEEKDAY($K$82-0,2))&amp;"",""),"1",""))+LEN(IFERROR(INDEX('Saisie programme'!$D$13:$J$477,3,WEEKDAY($K$82-0,2))&amp;"",""))-LEN(SUBSTITUTE(IFERROR(INDEX('Saisie programme'!$D$13:$J$477,3,WEEKDAY($K$82-0,2))&amp;"",""),"2",""))+LEN(IFERROR(INDEX('Saisie programme'!$D$13:$J$477,3,WEEKDAY($K$82-1,2))&amp;"",""))-LEN(SUBSTITUTE(IFERROR(INDEX('Saisie programme'!$D$13:$J$477,3,WEEKDAY($K$82-1,2))&amp;"",""),"2",""))+LEN(IFERROR(INDEX('Saisie programme'!$D$13:$J$477,3,WEEKDAY($K$82-0,2))&amp;"",""))-LEN(SUBSTITUTE(IFERROR(INDEX('Saisie programme'!$D$13:$J$477,3,WEEKDAY($K$82-0,2))&amp;"",""),"3",""))+LEN(IFERROR(INDEX('Saisie programme'!$D$13:$J$477,3,WEEKDAY($K$82-1,2))&amp;"",""))-LEN(SUBSTITUTE(IFERROR(INDEX('Saisie programme'!$D$13:$J$477,3,WEEKDAY($K$82-1,2))&amp;"",""),"3",""))+LEN(IFERROR(INDEX('Saisie programme'!$D$13:$J$477,3,WEEKDAY($K$82-2,2))&amp;"",""))-LEN(SUBSTITUTE(IFERROR(INDEX('Saisie programme'!$D$13:$J$477,3,WEEKDAY($K$82-2,2))&amp;"",""),"3",""))</f>
        <v>0</v>
      </c>
      <c r="D138" s="34" t="n">
        <f aca="false">LEN(IFERROR(INDEX('Saisie programme'!$D$13:$J$477,42,WEEKDAY($K$83-0,2))&amp;"",""))-LEN(SUBSTITUTE(IFERROR(INDEX('Saisie programme'!$D$13:$J$477,42,WEEKDAY($K$83-0,2))&amp;"",""),"1",""))+LEN(IFERROR(INDEX('Saisie programme'!$D$13:$J$477,42,WEEKDAY($K$83-0,2))&amp;"",""))-LEN(SUBSTITUTE(IFERROR(INDEX('Saisie programme'!$D$13:$J$477,42,WEEKDAY($K$83-0,2))&amp;"",""),"2",""))+LEN(IFERROR(INDEX('Saisie programme'!$D$13:$J$477,42,WEEKDAY($K$83-1,2))&amp;"",""))-LEN(SUBSTITUTE(IFERROR(INDEX('Saisie programme'!$D$13:$J$477,42,WEEKDAY($K$83-1,2))&amp;"",""),"2",""))+LEN(IFERROR(INDEX('Saisie programme'!$D$13:$J$477,42,WEEKDAY($K$83-0,2))&amp;"",""))-LEN(SUBSTITUTE(IFERROR(INDEX('Saisie programme'!$D$13:$J$477,42,WEEKDAY($K$83-0,2))&amp;"",""),"3",""))+LEN(IFERROR(INDEX('Saisie programme'!$D$13:$J$477,42,WEEKDAY($K$83-1,2))&amp;"",""))-LEN(SUBSTITUTE(IFERROR(INDEX('Saisie programme'!$D$13:$J$477,42,WEEKDAY($K$83-1,2))&amp;"",""),"3",""))+LEN(IFERROR(INDEX('Saisie programme'!$D$13:$J$477,42,WEEKDAY($K$83-2,2))&amp;"",""))-LEN(SUBSTITUTE(IFERROR(INDEX('Saisie programme'!$D$13:$J$477,42,WEEKDAY($K$83-2,2))&amp;"",""),"3",""))</f>
        <v>1</v>
      </c>
      <c r="E138" s="34" t="n">
        <f aca="false">LEN(IFERROR(INDEX('Saisie programme'!$D$13:$J$477,81,WEEKDAY($K$84-0,2))&amp;"",""))-LEN(SUBSTITUTE(IFERROR(INDEX('Saisie programme'!$D$13:$J$477,81,WEEKDAY($K$84-0,2))&amp;"",""),"1",""))+LEN(IFERROR(INDEX('Saisie programme'!$D$13:$J$477,81,WEEKDAY($K$84-0,2))&amp;"",""))-LEN(SUBSTITUTE(IFERROR(INDEX('Saisie programme'!$D$13:$J$477,81,WEEKDAY($K$84-0,2))&amp;"",""),"2",""))+LEN(IFERROR(INDEX('Saisie programme'!$D$13:$J$477,81,WEEKDAY($K$84-1,2))&amp;"",""))-LEN(SUBSTITUTE(IFERROR(INDEX('Saisie programme'!$D$13:$J$477,81,WEEKDAY($K$84-1,2))&amp;"",""),"2",""))+LEN(IFERROR(INDEX('Saisie programme'!$D$13:$J$477,81,WEEKDAY($K$84-0,2))&amp;"",""))-LEN(SUBSTITUTE(IFERROR(INDEX('Saisie programme'!$D$13:$J$477,81,WEEKDAY($K$84-0,2))&amp;"",""),"3",""))+LEN(IFERROR(INDEX('Saisie programme'!$D$13:$J$477,81,WEEKDAY($K$84-1,2))&amp;"",""))-LEN(SUBSTITUTE(IFERROR(INDEX('Saisie programme'!$D$13:$J$477,81,WEEKDAY($K$84-1,2))&amp;"",""),"3",""))+LEN(IFERROR(INDEX('Saisie programme'!$D$13:$J$477,81,WEEKDAY($K$84-2,2))&amp;"",""))-LEN(SUBSTITUTE(IFERROR(INDEX('Saisie programme'!$D$13:$J$477,81,WEEKDAY($K$84-2,2))&amp;"",""),"3",""))</f>
        <v>0</v>
      </c>
      <c r="F138" s="34" t="n">
        <f aca="false">LEN(IFERROR(INDEX('Saisie programme'!$D$13:$J$477,120,WEEKDAY($K$85-0,2))&amp;"",""))-LEN(SUBSTITUTE(IFERROR(INDEX('Saisie programme'!$D$13:$J$477,120,WEEKDAY($K$85-0,2))&amp;"",""),"1",""))+LEN(IFERROR(INDEX('Saisie programme'!$D$13:$J$477,120,WEEKDAY($K$85-0,2))&amp;"",""))-LEN(SUBSTITUTE(IFERROR(INDEX('Saisie programme'!$D$13:$J$477,120,WEEKDAY($K$85-0,2))&amp;"",""),"2",""))+LEN(IFERROR(INDEX('Saisie programme'!$D$13:$J$477,120,WEEKDAY($K$85-1,2))&amp;"",""))-LEN(SUBSTITUTE(IFERROR(INDEX('Saisie programme'!$D$13:$J$477,120,WEEKDAY($K$85-1,2))&amp;"",""),"2",""))+LEN(IFERROR(INDEX('Saisie programme'!$D$13:$J$477,120,WEEKDAY($K$85-0,2))&amp;"",""))-LEN(SUBSTITUTE(IFERROR(INDEX('Saisie programme'!$D$13:$J$477,120,WEEKDAY($K$85-0,2))&amp;"",""),"3",""))+LEN(IFERROR(INDEX('Saisie programme'!$D$13:$J$477,120,WEEKDAY($K$85-1,2))&amp;"",""))-LEN(SUBSTITUTE(IFERROR(INDEX('Saisie programme'!$D$13:$J$477,120,WEEKDAY($K$85-1,2))&amp;"",""),"3",""))+LEN(IFERROR(INDEX('Saisie programme'!$D$13:$J$477,120,WEEKDAY($K$85-2,2))&amp;"",""))-LEN(SUBSTITUTE(IFERROR(INDEX('Saisie programme'!$D$13:$J$477,120,WEEKDAY($K$85-2,2))&amp;"",""),"3",""))</f>
        <v>0</v>
      </c>
      <c r="G138" s="34" t="n">
        <f aca="false">LEN(IFERROR(INDEX('Saisie programme'!$D$13:$J$477,159,WEEKDAY($K$86-0,2))&amp;"",""))-LEN(SUBSTITUTE(IFERROR(INDEX('Saisie programme'!$D$13:$J$477,159,WEEKDAY($K$86-0,2))&amp;"",""),"1",""))+LEN(IFERROR(INDEX('Saisie programme'!$D$13:$J$477,159,WEEKDAY($K$86-0,2))&amp;"",""))-LEN(SUBSTITUTE(IFERROR(INDEX('Saisie programme'!$D$13:$J$477,159,WEEKDAY($K$86-0,2))&amp;"",""),"2",""))+LEN(IFERROR(INDEX('Saisie programme'!$D$13:$J$477,159,WEEKDAY($K$86-1,2))&amp;"",""))-LEN(SUBSTITUTE(IFERROR(INDEX('Saisie programme'!$D$13:$J$477,159,WEEKDAY($K$86-1,2))&amp;"",""),"2",""))+LEN(IFERROR(INDEX('Saisie programme'!$D$13:$J$477,159,WEEKDAY($K$86-0,2))&amp;"",""))-LEN(SUBSTITUTE(IFERROR(INDEX('Saisie programme'!$D$13:$J$477,159,WEEKDAY($K$86-0,2))&amp;"",""),"3",""))+LEN(IFERROR(INDEX('Saisie programme'!$D$13:$J$477,159,WEEKDAY($K$86-1,2))&amp;"",""))-LEN(SUBSTITUTE(IFERROR(INDEX('Saisie programme'!$D$13:$J$477,159,WEEKDAY($K$86-1,2))&amp;"",""),"3",""))+LEN(IFERROR(INDEX('Saisie programme'!$D$13:$J$477,159,WEEKDAY($K$86-2,2))&amp;"",""))-LEN(SUBSTITUTE(IFERROR(INDEX('Saisie programme'!$D$13:$J$477,159,WEEKDAY($K$86-2,2))&amp;"",""),"3",""))</f>
        <v>0</v>
      </c>
      <c r="H138" s="34" t="n">
        <f aca="false">LEN(IFERROR(INDEX('Saisie programme'!$D$13:$J$477,198,WEEKDAY($K$87-0,2))&amp;"",""))-LEN(SUBSTITUTE(IFERROR(INDEX('Saisie programme'!$D$13:$J$477,198,WEEKDAY($K$87-0,2))&amp;"",""),"1",""))+LEN(IFERROR(INDEX('Saisie programme'!$D$13:$J$477,198,WEEKDAY($K$87-0,2))&amp;"",""))-LEN(SUBSTITUTE(IFERROR(INDEX('Saisie programme'!$D$13:$J$477,198,WEEKDAY($K$87-0,2))&amp;"",""),"2",""))+LEN(IFERROR(INDEX('Saisie programme'!$D$13:$J$477,198,WEEKDAY($K$87-1,2))&amp;"",""))-LEN(SUBSTITUTE(IFERROR(INDEX('Saisie programme'!$D$13:$J$477,198,WEEKDAY($K$87-1,2))&amp;"",""),"2",""))+LEN(IFERROR(INDEX('Saisie programme'!$D$13:$J$477,198,WEEKDAY($K$87-0,2))&amp;"",""))-LEN(SUBSTITUTE(IFERROR(INDEX('Saisie programme'!$D$13:$J$477,198,WEEKDAY($K$87-0,2))&amp;"",""),"3",""))+LEN(IFERROR(INDEX('Saisie programme'!$D$13:$J$477,198,WEEKDAY($K$87-1,2))&amp;"",""))-LEN(SUBSTITUTE(IFERROR(INDEX('Saisie programme'!$D$13:$J$477,198,WEEKDAY($K$87-1,2))&amp;"",""),"3",""))+LEN(IFERROR(INDEX('Saisie programme'!$D$13:$J$477,198,WEEKDAY($K$87-2,2))&amp;"",""))-LEN(SUBSTITUTE(IFERROR(INDEX('Saisie programme'!$D$13:$J$477,198,WEEKDAY($K$87-2,2))&amp;"",""),"3",""))</f>
        <v>0</v>
      </c>
      <c r="I138" s="34" t="n">
        <f aca="false">LEN(IFERROR(INDEX('Saisie programme'!$D$13:$J$477,237,WEEKDAY($K$88-0,2))&amp;"",""))-LEN(SUBSTITUTE(IFERROR(INDEX('Saisie programme'!$D$13:$J$477,237,WEEKDAY($K$88-0,2))&amp;"",""),"1",""))+LEN(IFERROR(INDEX('Saisie programme'!$D$13:$J$477,237,WEEKDAY($K$88-0,2))&amp;"",""))-LEN(SUBSTITUTE(IFERROR(INDEX('Saisie programme'!$D$13:$J$477,237,WEEKDAY($K$88-0,2))&amp;"",""),"2",""))+LEN(IFERROR(INDEX('Saisie programme'!$D$13:$J$477,237,WEEKDAY($K$88-1,2))&amp;"",""))-LEN(SUBSTITUTE(IFERROR(INDEX('Saisie programme'!$D$13:$J$477,237,WEEKDAY($K$88-1,2))&amp;"",""),"2",""))+LEN(IFERROR(INDEX('Saisie programme'!$D$13:$J$477,237,WEEKDAY($K$88-0,2))&amp;"",""))-LEN(SUBSTITUTE(IFERROR(INDEX('Saisie programme'!$D$13:$J$477,237,WEEKDAY($K$88-0,2))&amp;"",""),"3",""))+LEN(IFERROR(INDEX('Saisie programme'!$D$13:$J$477,237,WEEKDAY($K$88-1,2))&amp;"",""))-LEN(SUBSTITUTE(IFERROR(INDEX('Saisie programme'!$D$13:$J$477,237,WEEKDAY($K$88-1,2))&amp;"",""),"3",""))+LEN(IFERROR(INDEX('Saisie programme'!$D$13:$J$477,237,WEEKDAY($K$88-2,2))&amp;"",""))-LEN(SUBSTITUTE(IFERROR(INDEX('Saisie programme'!$D$13:$J$477,237,WEEKDAY($K$88-2,2))&amp;"",""),"3",""))</f>
        <v>0</v>
      </c>
      <c r="J138" s="34" t="n">
        <f aca="false">LEN(IFERROR(INDEX('Saisie programme'!$D$13:$J$477,276,WEEKDAY($K$89-0,2))&amp;"",""))-LEN(SUBSTITUTE(IFERROR(INDEX('Saisie programme'!$D$13:$J$477,276,WEEKDAY($K$89-0,2))&amp;"",""),"1",""))+LEN(IFERROR(INDEX('Saisie programme'!$D$13:$J$477,276,WEEKDAY($K$89-0,2))&amp;"",""))-LEN(SUBSTITUTE(IFERROR(INDEX('Saisie programme'!$D$13:$J$477,276,WEEKDAY($K$89-0,2))&amp;"",""),"2",""))+LEN(IFERROR(INDEX('Saisie programme'!$D$13:$J$477,276,WEEKDAY($K$89-1,2))&amp;"",""))-LEN(SUBSTITUTE(IFERROR(INDEX('Saisie programme'!$D$13:$J$477,276,WEEKDAY($K$89-1,2))&amp;"",""),"2",""))+LEN(IFERROR(INDEX('Saisie programme'!$D$13:$J$477,276,WEEKDAY($K$89-0,2))&amp;"",""))-LEN(SUBSTITUTE(IFERROR(INDEX('Saisie programme'!$D$13:$J$477,276,WEEKDAY($K$89-0,2))&amp;"",""),"3",""))+LEN(IFERROR(INDEX('Saisie programme'!$D$13:$J$477,276,WEEKDAY($K$89-1,2))&amp;"",""))-LEN(SUBSTITUTE(IFERROR(INDEX('Saisie programme'!$D$13:$J$477,276,WEEKDAY($K$89-1,2))&amp;"",""),"3",""))+LEN(IFERROR(INDEX('Saisie programme'!$D$13:$J$477,276,WEEKDAY($K$89-2,2))&amp;"",""))-LEN(SUBSTITUTE(IFERROR(INDEX('Saisie programme'!$D$13:$J$477,276,WEEKDAY($K$89-2,2))&amp;"",""),"3",""))</f>
        <v>0</v>
      </c>
      <c r="K138" s="34" t="n">
        <f aca="false">LEN(IFERROR(INDEX('Saisie programme'!$D$13:$J$477,315,WEEKDAY($K$90-0,2))&amp;"",""))-LEN(SUBSTITUTE(IFERROR(INDEX('Saisie programme'!$D$13:$J$477,315,WEEKDAY($K$90-0,2))&amp;"",""),"1",""))+LEN(IFERROR(INDEX('Saisie programme'!$D$13:$J$477,315,WEEKDAY($K$90-0,2))&amp;"",""))-LEN(SUBSTITUTE(IFERROR(INDEX('Saisie programme'!$D$13:$J$477,315,WEEKDAY($K$90-0,2))&amp;"",""),"2",""))+LEN(IFERROR(INDEX('Saisie programme'!$D$13:$J$477,315,WEEKDAY($K$90-1,2))&amp;"",""))-LEN(SUBSTITUTE(IFERROR(INDEX('Saisie programme'!$D$13:$J$477,315,WEEKDAY($K$90-1,2))&amp;"",""),"2",""))+LEN(IFERROR(INDEX('Saisie programme'!$D$13:$J$477,315,WEEKDAY($K$90-0,2))&amp;"",""))-LEN(SUBSTITUTE(IFERROR(INDEX('Saisie programme'!$D$13:$J$477,315,WEEKDAY($K$90-0,2))&amp;"",""),"3",""))+LEN(IFERROR(INDEX('Saisie programme'!$D$13:$J$477,315,WEEKDAY($K$90-1,2))&amp;"",""))-LEN(SUBSTITUTE(IFERROR(INDEX('Saisie programme'!$D$13:$J$477,315,WEEKDAY($K$90-1,2))&amp;"",""),"3",""))+LEN(IFERROR(INDEX('Saisie programme'!$D$13:$J$477,315,WEEKDAY($K$90-2,2))&amp;"",""))-LEN(SUBSTITUTE(IFERROR(INDEX('Saisie programme'!$D$13:$J$477,315,WEEKDAY($K$90-2,2))&amp;"",""),"3",""))</f>
        <v>0</v>
      </c>
      <c r="L138" s="34" t="n">
        <f aca="false">LEN(IFERROR(INDEX('Saisie programme'!$D$13:$J$477,354,WEEKDAY($K$91-0,2))&amp;"",""))-LEN(SUBSTITUTE(IFERROR(INDEX('Saisie programme'!$D$13:$J$477,354,WEEKDAY($K$91-0,2))&amp;"",""),"1",""))+LEN(IFERROR(INDEX('Saisie programme'!$D$13:$J$477,354,WEEKDAY($K$91-0,2))&amp;"",""))-LEN(SUBSTITUTE(IFERROR(INDEX('Saisie programme'!$D$13:$J$477,354,WEEKDAY($K$91-0,2))&amp;"",""),"2",""))+LEN(IFERROR(INDEX('Saisie programme'!$D$13:$J$477,354,WEEKDAY($K$91-1,2))&amp;"",""))-LEN(SUBSTITUTE(IFERROR(INDEX('Saisie programme'!$D$13:$J$477,354,WEEKDAY($K$91-1,2))&amp;"",""),"2",""))+LEN(IFERROR(INDEX('Saisie programme'!$D$13:$J$477,354,WEEKDAY($K$91-0,2))&amp;"",""))-LEN(SUBSTITUTE(IFERROR(INDEX('Saisie programme'!$D$13:$J$477,354,WEEKDAY($K$91-0,2))&amp;"",""),"3",""))+LEN(IFERROR(INDEX('Saisie programme'!$D$13:$J$477,354,WEEKDAY($K$91-1,2))&amp;"",""))-LEN(SUBSTITUTE(IFERROR(INDEX('Saisie programme'!$D$13:$J$477,354,WEEKDAY($K$91-1,2))&amp;"",""),"3",""))+LEN(IFERROR(INDEX('Saisie programme'!$D$13:$J$477,354,WEEKDAY($K$91-2,2))&amp;"",""))-LEN(SUBSTITUTE(IFERROR(INDEX('Saisie programme'!$D$13:$J$477,354,WEEKDAY($K$91-2,2))&amp;"",""),"3",""))</f>
        <v>1</v>
      </c>
      <c r="M138" s="34" t="n">
        <f aca="false">LEN(IFERROR(INDEX('Saisie programme'!$D$13:$J$477,393,WEEKDAY($K$92-0,2))&amp;"",""))-LEN(SUBSTITUTE(IFERROR(INDEX('Saisie programme'!$D$13:$J$477,393,WEEKDAY($K$92-0,2))&amp;"",""),"1",""))+LEN(IFERROR(INDEX('Saisie programme'!$D$13:$J$477,393,WEEKDAY($K$92-0,2))&amp;"",""))-LEN(SUBSTITUTE(IFERROR(INDEX('Saisie programme'!$D$13:$J$477,393,WEEKDAY($K$92-0,2))&amp;"",""),"2",""))+LEN(IFERROR(INDEX('Saisie programme'!$D$13:$J$477,393,WEEKDAY($K$92-1,2))&amp;"",""))-LEN(SUBSTITUTE(IFERROR(INDEX('Saisie programme'!$D$13:$J$477,393,WEEKDAY($K$92-1,2))&amp;"",""),"2",""))+LEN(IFERROR(INDEX('Saisie programme'!$D$13:$J$477,393,WEEKDAY($K$92-0,2))&amp;"",""))-LEN(SUBSTITUTE(IFERROR(INDEX('Saisie programme'!$D$13:$J$477,393,WEEKDAY($K$92-0,2))&amp;"",""),"3",""))+LEN(IFERROR(INDEX('Saisie programme'!$D$13:$J$477,393,WEEKDAY($K$92-1,2))&amp;"",""))-LEN(SUBSTITUTE(IFERROR(INDEX('Saisie programme'!$D$13:$J$477,393,WEEKDAY($K$92-1,2))&amp;"",""),"3",""))+LEN(IFERROR(INDEX('Saisie programme'!$D$13:$J$477,393,WEEKDAY($K$92-2,2))&amp;"",""))-LEN(SUBSTITUTE(IFERROR(INDEX('Saisie programme'!$D$13:$J$477,393,WEEKDAY($K$92-2,2))&amp;"",""),"3",""))</f>
        <v>0</v>
      </c>
      <c r="N138" s="34" t="n">
        <f aca="false">LEN(IFERROR(INDEX('Saisie programme'!$D$13:$J$477,432,WEEKDAY($K$93-0,2))&amp;"",""))-LEN(SUBSTITUTE(IFERROR(INDEX('Saisie programme'!$D$13:$J$477,432,WEEKDAY($K$93-0,2))&amp;"",""),"1",""))+LEN(IFERROR(INDEX('Saisie programme'!$D$13:$J$477,432,WEEKDAY($K$93-0,2))&amp;"",""))-LEN(SUBSTITUTE(IFERROR(INDEX('Saisie programme'!$D$13:$J$477,432,WEEKDAY($K$93-0,2))&amp;"",""),"2",""))+LEN(IFERROR(INDEX('Saisie programme'!$D$13:$J$477,432,WEEKDAY($K$93-1,2))&amp;"",""))-LEN(SUBSTITUTE(IFERROR(INDEX('Saisie programme'!$D$13:$J$477,432,WEEKDAY($K$93-1,2))&amp;"",""),"2",""))+LEN(IFERROR(INDEX('Saisie programme'!$D$13:$J$477,432,WEEKDAY($K$93-0,2))&amp;"",""))-LEN(SUBSTITUTE(IFERROR(INDEX('Saisie programme'!$D$13:$J$477,432,WEEKDAY($K$93-0,2))&amp;"",""),"3",""))+LEN(IFERROR(INDEX('Saisie programme'!$D$13:$J$477,432,WEEKDAY($K$93-1,2))&amp;"",""))-LEN(SUBSTITUTE(IFERROR(INDEX('Saisie programme'!$D$13:$J$477,432,WEEKDAY($K$93-1,2))&amp;"",""),"3",""))+LEN(IFERROR(INDEX('Saisie programme'!$D$13:$J$477,432,WEEKDAY($K$93-2,2))&amp;"",""))-LEN(SUBSTITUTE(IFERROR(INDEX('Saisie programme'!$D$13:$J$477,432,WEEKDAY($K$93-2,2))&amp;"",""),"3",""))</f>
        <v>0</v>
      </c>
      <c r="O138" s="12" t="s">
        <v>12</v>
      </c>
      <c r="P138" s="12" t="s">
        <v>24</v>
      </c>
    </row>
    <row r="139" customFormat="false" ht="15" hidden="false" customHeight="false" outlineLevel="0" collapsed="false">
      <c r="B139" s="10" t="s">
        <v>140</v>
      </c>
      <c r="C139" s="34" t="n">
        <f aca="false">LEN(IFERROR(INDEX('Saisie programme'!$D$13:$J$477,4,WEEKDAY($K$82-0,2))&amp;"",""))-LEN(SUBSTITUTE(IFERROR(INDEX('Saisie programme'!$D$13:$J$477,4,WEEKDAY($K$82-0,2))&amp;"",""),"1",""))+LEN(IFERROR(INDEX('Saisie programme'!$D$13:$J$477,4,WEEKDAY($K$82-0,2))&amp;"",""))-LEN(SUBSTITUTE(IFERROR(INDEX('Saisie programme'!$D$13:$J$477,4,WEEKDAY($K$82-0,2))&amp;"",""),"2",""))+LEN(IFERROR(INDEX('Saisie programme'!$D$13:$J$477,4,WEEKDAY($K$82-1,2))&amp;"",""))-LEN(SUBSTITUTE(IFERROR(INDEX('Saisie programme'!$D$13:$J$477,4,WEEKDAY($K$82-1,2))&amp;"",""),"2",""))+LEN(IFERROR(INDEX('Saisie programme'!$D$13:$J$477,4,WEEKDAY($K$82-0,2))&amp;"",""))-LEN(SUBSTITUTE(IFERROR(INDEX('Saisie programme'!$D$13:$J$477,4,WEEKDAY($K$82-0,2))&amp;"",""),"3",""))+LEN(IFERROR(INDEX('Saisie programme'!$D$13:$J$477,4,WEEKDAY($K$82-1,2))&amp;"",""))-LEN(SUBSTITUTE(IFERROR(INDEX('Saisie programme'!$D$13:$J$477,4,WEEKDAY($K$82-1,2))&amp;"",""),"3",""))+LEN(IFERROR(INDEX('Saisie programme'!$D$13:$J$477,4,WEEKDAY($K$82-2,2))&amp;"",""))-LEN(SUBSTITUTE(IFERROR(INDEX('Saisie programme'!$D$13:$J$477,4,WEEKDAY($K$82-2,2))&amp;"",""),"3",""))</f>
        <v>0</v>
      </c>
      <c r="D139" s="34" t="n">
        <f aca="false">LEN(IFERROR(INDEX('Saisie programme'!$D$13:$J$477,43,WEEKDAY($K$83-0,2))&amp;"",""))-LEN(SUBSTITUTE(IFERROR(INDEX('Saisie programme'!$D$13:$J$477,43,WEEKDAY($K$83-0,2))&amp;"",""),"1",""))+LEN(IFERROR(INDEX('Saisie programme'!$D$13:$J$477,43,WEEKDAY($K$83-0,2))&amp;"",""))-LEN(SUBSTITUTE(IFERROR(INDEX('Saisie programme'!$D$13:$J$477,43,WEEKDAY($K$83-0,2))&amp;"",""),"2",""))+LEN(IFERROR(INDEX('Saisie programme'!$D$13:$J$477,43,WEEKDAY($K$83-1,2))&amp;"",""))-LEN(SUBSTITUTE(IFERROR(INDEX('Saisie programme'!$D$13:$J$477,43,WEEKDAY($K$83-1,2))&amp;"",""),"2",""))+LEN(IFERROR(INDEX('Saisie programme'!$D$13:$J$477,43,WEEKDAY($K$83-0,2))&amp;"",""))-LEN(SUBSTITUTE(IFERROR(INDEX('Saisie programme'!$D$13:$J$477,43,WEEKDAY($K$83-0,2))&amp;"",""),"3",""))+LEN(IFERROR(INDEX('Saisie programme'!$D$13:$J$477,43,WEEKDAY($K$83-1,2))&amp;"",""))-LEN(SUBSTITUTE(IFERROR(INDEX('Saisie programme'!$D$13:$J$477,43,WEEKDAY($K$83-1,2))&amp;"",""),"3",""))+LEN(IFERROR(INDEX('Saisie programme'!$D$13:$J$477,43,WEEKDAY($K$83-2,2))&amp;"",""))-LEN(SUBSTITUTE(IFERROR(INDEX('Saisie programme'!$D$13:$J$477,43,WEEKDAY($K$83-2,2))&amp;"",""),"3",""))</f>
        <v>0</v>
      </c>
      <c r="E139" s="34" t="n">
        <f aca="false">LEN(IFERROR(INDEX('Saisie programme'!$D$13:$J$477,82,WEEKDAY($K$84-0,2))&amp;"",""))-LEN(SUBSTITUTE(IFERROR(INDEX('Saisie programme'!$D$13:$J$477,82,WEEKDAY($K$84-0,2))&amp;"",""),"1",""))+LEN(IFERROR(INDEX('Saisie programme'!$D$13:$J$477,82,WEEKDAY($K$84-0,2))&amp;"",""))-LEN(SUBSTITUTE(IFERROR(INDEX('Saisie programme'!$D$13:$J$477,82,WEEKDAY($K$84-0,2))&amp;"",""),"2",""))+LEN(IFERROR(INDEX('Saisie programme'!$D$13:$J$477,82,WEEKDAY($K$84-1,2))&amp;"",""))-LEN(SUBSTITUTE(IFERROR(INDEX('Saisie programme'!$D$13:$J$477,82,WEEKDAY($K$84-1,2))&amp;"",""),"2",""))+LEN(IFERROR(INDEX('Saisie programme'!$D$13:$J$477,82,WEEKDAY($K$84-0,2))&amp;"",""))-LEN(SUBSTITUTE(IFERROR(INDEX('Saisie programme'!$D$13:$J$477,82,WEEKDAY($K$84-0,2))&amp;"",""),"3",""))+LEN(IFERROR(INDEX('Saisie programme'!$D$13:$J$477,82,WEEKDAY($K$84-1,2))&amp;"",""))-LEN(SUBSTITUTE(IFERROR(INDEX('Saisie programme'!$D$13:$J$477,82,WEEKDAY($K$84-1,2))&amp;"",""),"3",""))+LEN(IFERROR(INDEX('Saisie programme'!$D$13:$J$477,82,WEEKDAY($K$84-2,2))&amp;"",""))-LEN(SUBSTITUTE(IFERROR(INDEX('Saisie programme'!$D$13:$J$477,82,WEEKDAY($K$84-2,2))&amp;"",""),"3",""))</f>
        <v>0</v>
      </c>
      <c r="F139" s="34" t="n">
        <f aca="false">LEN(IFERROR(INDEX('Saisie programme'!$D$13:$J$477,121,WEEKDAY($K$85-0,2))&amp;"",""))-LEN(SUBSTITUTE(IFERROR(INDEX('Saisie programme'!$D$13:$J$477,121,WEEKDAY($K$85-0,2))&amp;"",""),"1",""))+LEN(IFERROR(INDEX('Saisie programme'!$D$13:$J$477,121,WEEKDAY($K$85-0,2))&amp;"",""))-LEN(SUBSTITUTE(IFERROR(INDEX('Saisie programme'!$D$13:$J$477,121,WEEKDAY($K$85-0,2))&amp;"",""),"2",""))+LEN(IFERROR(INDEX('Saisie programme'!$D$13:$J$477,121,WEEKDAY($K$85-1,2))&amp;"",""))-LEN(SUBSTITUTE(IFERROR(INDEX('Saisie programme'!$D$13:$J$477,121,WEEKDAY($K$85-1,2))&amp;"",""),"2",""))+LEN(IFERROR(INDEX('Saisie programme'!$D$13:$J$477,121,WEEKDAY($K$85-0,2))&amp;"",""))-LEN(SUBSTITUTE(IFERROR(INDEX('Saisie programme'!$D$13:$J$477,121,WEEKDAY($K$85-0,2))&amp;"",""),"3",""))+LEN(IFERROR(INDEX('Saisie programme'!$D$13:$J$477,121,WEEKDAY($K$85-1,2))&amp;"",""))-LEN(SUBSTITUTE(IFERROR(INDEX('Saisie programme'!$D$13:$J$477,121,WEEKDAY($K$85-1,2))&amp;"",""),"3",""))+LEN(IFERROR(INDEX('Saisie programme'!$D$13:$J$477,121,WEEKDAY($K$85-2,2))&amp;"",""))-LEN(SUBSTITUTE(IFERROR(INDEX('Saisie programme'!$D$13:$J$477,121,WEEKDAY($K$85-2,2))&amp;"",""),"3",""))</f>
        <v>0</v>
      </c>
      <c r="G139" s="34" t="n">
        <f aca="false">LEN(IFERROR(INDEX('Saisie programme'!$D$13:$J$477,160,WEEKDAY($K$86-0,2))&amp;"",""))-LEN(SUBSTITUTE(IFERROR(INDEX('Saisie programme'!$D$13:$J$477,160,WEEKDAY($K$86-0,2))&amp;"",""),"1",""))+LEN(IFERROR(INDEX('Saisie programme'!$D$13:$J$477,160,WEEKDAY($K$86-0,2))&amp;"",""))-LEN(SUBSTITUTE(IFERROR(INDEX('Saisie programme'!$D$13:$J$477,160,WEEKDAY($K$86-0,2))&amp;"",""),"2",""))+LEN(IFERROR(INDEX('Saisie programme'!$D$13:$J$477,160,WEEKDAY($K$86-1,2))&amp;"",""))-LEN(SUBSTITUTE(IFERROR(INDEX('Saisie programme'!$D$13:$J$477,160,WEEKDAY($K$86-1,2))&amp;"",""),"2",""))+LEN(IFERROR(INDEX('Saisie programme'!$D$13:$J$477,160,WEEKDAY($K$86-0,2))&amp;"",""))-LEN(SUBSTITUTE(IFERROR(INDEX('Saisie programme'!$D$13:$J$477,160,WEEKDAY($K$86-0,2))&amp;"",""),"3",""))+LEN(IFERROR(INDEX('Saisie programme'!$D$13:$J$477,160,WEEKDAY($K$86-1,2))&amp;"",""))-LEN(SUBSTITUTE(IFERROR(INDEX('Saisie programme'!$D$13:$J$477,160,WEEKDAY($K$86-1,2))&amp;"",""),"3",""))+LEN(IFERROR(INDEX('Saisie programme'!$D$13:$J$477,160,WEEKDAY($K$86-2,2))&amp;"",""))-LEN(SUBSTITUTE(IFERROR(INDEX('Saisie programme'!$D$13:$J$477,160,WEEKDAY($K$86-2,2))&amp;"",""),"3",""))</f>
        <v>0</v>
      </c>
      <c r="H139" s="34" t="n">
        <f aca="false">LEN(IFERROR(INDEX('Saisie programme'!$D$13:$J$477,199,WEEKDAY($K$87-0,2))&amp;"",""))-LEN(SUBSTITUTE(IFERROR(INDEX('Saisie programme'!$D$13:$J$477,199,WEEKDAY($K$87-0,2))&amp;"",""),"1",""))+LEN(IFERROR(INDEX('Saisie programme'!$D$13:$J$477,199,WEEKDAY($K$87-0,2))&amp;"",""))-LEN(SUBSTITUTE(IFERROR(INDEX('Saisie programme'!$D$13:$J$477,199,WEEKDAY($K$87-0,2))&amp;"",""),"2",""))+LEN(IFERROR(INDEX('Saisie programme'!$D$13:$J$477,199,WEEKDAY($K$87-1,2))&amp;"",""))-LEN(SUBSTITUTE(IFERROR(INDEX('Saisie programme'!$D$13:$J$477,199,WEEKDAY($K$87-1,2))&amp;"",""),"2",""))+LEN(IFERROR(INDEX('Saisie programme'!$D$13:$J$477,199,WEEKDAY($K$87-0,2))&amp;"",""))-LEN(SUBSTITUTE(IFERROR(INDEX('Saisie programme'!$D$13:$J$477,199,WEEKDAY($K$87-0,2))&amp;"",""),"3",""))+LEN(IFERROR(INDEX('Saisie programme'!$D$13:$J$477,199,WEEKDAY($K$87-1,2))&amp;"",""))-LEN(SUBSTITUTE(IFERROR(INDEX('Saisie programme'!$D$13:$J$477,199,WEEKDAY($K$87-1,2))&amp;"",""),"3",""))+LEN(IFERROR(INDEX('Saisie programme'!$D$13:$J$477,199,WEEKDAY($K$87-2,2))&amp;"",""))-LEN(SUBSTITUTE(IFERROR(INDEX('Saisie programme'!$D$13:$J$477,199,WEEKDAY($K$87-2,2))&amp;"",""),"3",""))</f>
        <v>0</v>
      </c>
      <c r="I139" s="34" t="n">
        <f aca="false">LEN(IFERROR(INDEX('Saisie programme'!$D$13:$J$477,238,WEEKDAY($K$88-0,2))&amp;"",""))-LEN(SUBSTITUTE(IFERROR(INDEX('Saisie programme'!$D$13:$J$477,238,WEEKDAY($K$88-0,2))&amp;"",""),"1",""))+LEN(IFERROR(INDEX('Saisie programme'!$D$13:$J$477,238,WEEKDAY($K$88-0,2))&amp;"",""))-LEN(SUBSTITUTE(IFERROR(INDEX('Saisie programme'!$D$13:$J$477,238,WEEKDAY($K$88-0,2))&amp;"",""),"2",""))+LEN(IFERROR(INDEX('Saisie programme'!$D$13:$J$477,238,WEEKDAY($K$88-1,2))&amp;"",""))-LEN(SUBSTITUTE(IFERROR(INDEX('Saisie programme'!$D$13:$J$477,238,WEEKDAY($K$88-1,2))&amp;"",""),"2",""))+LEN(IFERROR(INDEX('Saisie programme'!$D$13:$J$477,238,WEEKDAY($K$88-0,2))&amp;"",""))-LEN(SUBSTITUTE(IFERROR(INDEX('Saisie programme'!$D$13:$J$477,238,WEEKDAY($K$88-0,2))&amp;"",""),"3",""))+LEN(IFERROR(INDEX('Saisie programme'!$D$13:$J$477,238,WEEKDAY($K$88-1,2))&amp;"",""))-LEN(SUBSTITUTE(IFERROR(INDEX('Saisie programme'!$D$13:$J$477,238,WEEKDAY($K$88-1,2))&amp;"",""),"3",""))+LEN(IFERROR(INDEX('Saisie programme'!$D$13:$J$477,238,WEEKDAY($K$88-2,2))&amp;"",""))-LEN(SUBSTITUTE(IFERROR(INDEX('Saisie programme'!$D$13:$J$477,238,WEEKDAY($K$88-2,2))&amp;"",""),"3",""))</f>
        <v>1</v>
      </c>
      <c r="J139" s="34" t="n">
        <f aca="false">LEN(IFERROR(INDEX('Saisie programme'!$D$13:$J$477,277,WEEKDAY($K$89-0,2))&amp;"",""))-LEN(SUBSTITUTE(IFERROR(INDEX('Saisie programme'!$D$13:$J$477,277,WEEKDAY($K$89-0,2))&amp;"",""),"1",""))+LEN(IFERROR(INDEX('Saisie programme'!$D$13:$J$477,277,WEEKDAY($K$89-0,2))&amp;"",""))-LEN(SUBSTITUTE(IFERROR(INDEX('Saisie programme'!$D$13:$J$477,277,WEEKDAY($K$89-0,2))&amp;"",""),"2",""))+LEN(IFERROR(INDEX('Saisie programme'!$D$13:$J$477,277,WEEKDAY($K$89-1,2))&amp;"",""))-LEN(SUBSTITUTE(IFERROR(INDEX('Saisie programme'!$D$13:$J$477,277,WEEKDAY($K$89-1,2))&amp;"",""),"2",""))+LEN(IFERROR(INDEX('Saisie programme'!$D$13:$J$477,277,WEEKDAY($K$89-0,2))&amp;"",""))-LEN(SUBSTITUTE(IFERROR(INDEX('Saisie programme'!$D$13:$J$477,277,WEEKDAY($K$89-0,2))&amp;"",""),"3",""))+LEN(IFERROR(INDEX('Saisie programme'!$D$13:$J$477,277,WEEKDAY($K$89-1,2))&amp;"",""))-LEN(SUBSTITUTE(IFERROR(INDEX('Saisie programme'!$D$13:$J$477,277,WEEKDAY($K$89-1,2))&amp;"",""),"3",""))+LEN(IFERROR(INDEX('Saisie programme'!$D$13:$J$477,277,WEEKDAY($K$89-2,2))&amp;"",""))-LEN(SUBSTITUTE(IFERROR(INDEX('Saisie programme'!$D$13:$J$477,277,WEEKDAY($K$89-2,2))&amp;"",""),"3",""))</f>
        <v>0</v>
      </c>
      <c r="K139" s="34" t="n">
        <f aca="false">LEN(IFERROR(INDEX('Saisie programme'!$D$13:$J$477,316,WEEKDAY($K$90-0,2))&amp;"",""))-LEN(SUBSTITUTE(IFERROR(INDEX('Saisie programme'!$D$13:$J$477,316,WEEKDAY($K$90-0,2))&amp;"",""),"1",""))+LEN(IFERROR(INDEX('Saisie programme'!$D$13:$J$477,316,WEEKDAY($K$90-0,2))&amp;"",""))-LEN(SUBSTITUTE(IFERROR(INDEX('Saisie programme'!$D$13:$J$477,316,WEEKDAY($K$90-0,2))&amp;"",""),"2",""))+LEN(IFERROR(INDEX('Saisie programme'!$D$13:$J$477,316,WEEKDAY($K$90-1,2))&amp;"",""))-LEN(SUBSTITUTE(IFERROR(INDEX('Saisie programme'!$D$13:$J$477,316,WEEKDAY($K$90-1,2))&amp;"",""),"2",""))+LEN(IFERROR(INDEX('Saisie programme'!$D$13:$J$477,316,WEEKDAY($K$90-0,2))&amp;"",""))-LEN(SUBSTITUTE(IFERROR(INDEX('Saisie programme'!$D$13:$J$477,316,WEEKDAY($K$90-0,2))&amp;"",""),"3",""))+LEN(IFERROR(INDEX('Saisie programme'!$D$13:$J$477,316,WEEKDAY($K$90-1,2))&amp;"",""))-LEN(SUBSTITUTE(IFERROR(INDEX('Saisie programme'!$D$13:$J$477,316,WEEKDAY($K$90-1,2))&amp;"",""),"3",""))+LEN(IFERROR(INDEX('Saisie programme'!$D$13:$J$477,316,WEEKDAY($K$90-2,2))&amp;"",""))-LEN(SUBSTITUTE(IFERROR(INDEX('Saisie programme'!$D$13:$J$477,316,WEEKDAY($K$90-2,2))&amp;"",""),"3",""))</f>
        <v>0</v>
      </c>
      <c r="L139" s="34" t="n">
        <f aca="false">LEN(IFERROR(INDEX('Saisie programme'!$D$13:$J$477,355,WEEKDAY($K$91-0,2))&amp;"",""))-LEN(SUBSTITUTE(IFERROR(INDEX('Saisie programme'!$D$13:$J$477,355,WEEKDAY($K$91-0,2))&amp;"",""),"1",""))+LEN(IFERROR(INDEX('Saisie programme'!$D$13:$J$477,355,WEEKDAY($K$91-0,2))&amp;"",""))-LEN(SUBSTITUTE(IFERROR(INDEX('Saisie programme'!$D$13:$J$477,355,WEEKDAY($K$91-0,2))&amp;"",""),"2",""))+LEN(IFERROR(INDEX('Saisie programme'!$D$13:$J$477,355,WEEKDAY($K$91-1,2))&amp;"",""))-LEN(SUBSTITUTE(IFERROR(INDEX('Saisie programme'!$D$13:$J$477,355,WEEKDAY($K$91-1,2))&amp;"",""),"2",""))+LEN(IFERROR(INDEX('Saisie programme'!$D$13:$J$477,355,WEEKDAY($K$91-0,2))&amp;"",""))-LEN(SUBSTITUTE(IFERROR(INDEX('Saisie programme'!$D$13:$J$477,355,WEEKDAY($K$91-0,2))&amp;"",""),"3",""))+LEN(IFERROR(INDEX('Saisie programme'!$D$13:$J$477,355,WEEKDAY($K$91-1,2))&amp;"",""))-LEN(SUBSTITUTE(IFERROR(INDEX('Saisie programme'!$D$13:$J$477,355,WEEKDAY($K$91-1,2))&amp;"",""),"3",""))+LEN(IFERROR(INDEX('Saisie programme'!$D$13:$J$477,355,WEEKDAY($K$91-2,2))&amp;"",""))-LEN(SUBSTITUTE(IFERROR(INDEX('Saisie programme'!$D$13:$J$477,355,WEEKDAY($K$91-2,2))&amp;"",""),"3",""))</f>
        <v>0</v>
      </c>
      <c r="M139" s="34" t="n">
        <f aca="false">LEN(IFERROR(INDEX('Saisie programme'!$D$13:$J$477,394,WEEKDAY($K$92-0,2))&amp;"",""))-LEN(SUBSTITUTE(IFERROR(INDEX('Saisie programme'!$D$13:$J$477,394,WEEKDAY($K$92-0,2))&amp;"",""),"1",""))+LEN(IFERROR(INDEX('Saisie programme'!$D$13:$J$477,394,WEEKDAY($K$92-0,2))&amp;"",""))-LEN(SUBSTITUTE(IFERROR(INDEX('Saisie programme'!$D$13:$J$477,394,WEEKDAY($K$92-0,2))&amp;"",""),"2",""))+LEN(IFERROR(INDEX('Saisie programme'!$D$13:$J$477,394,WEEKDAY($K$92-1,2))&amp;"",""))-LEN(SUBSTITUTE(IFERROR(INDEX('Saisie programme'!$D$13:$J$477,394,WEEKDAY($K$92-1,2))&amp;"",""),"2",""))+LEN(IFERROR(INDEX('Saisie programme'!$D$13:$J$477,394,WEEKDAY($K$92-0,2))&amp;"",""))-LEN(SUBSTITUTE(IFERROR(INDEX('Saisie programme'!$D$13:$J$477,394,WEEKDAY($K$92-0,2))&amp;"",""),"3",""))+LEN(IFERROR(INDEX('Saisie programme'!$D$13:$J$477,394,WEEKDAY($K$92-1,2))&amp;"",""))-LEN(SUBSTITUTE(IFERROR(INDEX('Saisie programme'!$D$13:$J$477,394,WEEKDAY($K$92-1,2))&amp;"",""),"3",""))+LEN(IFERROR(INDEX('Saisie programme'!$D$13:$J$477,394,WEEKDAY($K$92-2,2))&amp;"",""))-LEN(SUBSTITUTE(IFERROR(INDEX('Saisie programme'!$D$13:$J$477,394,WEEKDAY($K$92-2,2))&amp;"",""),"3",""))</f>
        <v>0</v>
      </c>
      <c r="N139" s="34" t="n">
        <f aca="false">LEN(IFERROR(INDEX('Saisie programme'!$D$13:$J$477,433,WEEKDAY($K$93-0,2))&amp;"",""))-LEN(SUBSTITUTE(IFERROR(INDEX('Saisie programme'!$D$13:$J$477,433,WEEKDAY($K$93-0,2))&amp;"",""),"1",""))+LEN(IFERROR(INDEX('Saisie programme'!$D$13:$J$477,433,WEEKDAY($K$93-0,2))&amp;"",""))-LEN(SUBSTITUTE(IFERROR(INDEX('Saisie programme'!$D$13:$J$477,433,WEEKDAY($K$93-0,2))&amp;"",""),"2",""))+LEN(IFERROR(INDEX('Saisie programme'!$D$13:$J$477,433,WEEKDAY($K$93-1,2))&amp;"",""))-LEN(SUBSTITUTE(IFERROR(INDEX('Saisie programme'!$D$13:$J$477,433,WEEKDAY($K$93-1,2))&amp;"",""),"2",""))+LEN(IFERROR(INDEX('Saisie programme'!$D$13:$J$477,433,WEEKDAY($K$93-0,2))&amp;"",""))-LEN(SUBSTITUTE(IFERROR(INDEX('Saisie programme'!$D$13:$J$477,433,WEEKDAY($K$93-0,2))&amp;"",""),"3",""))+LEN(IFERROR(INDEX('Saisie programme'!$D$13:$J$477,433,WEEKDAY($K$93-1,2))&amp;"",""))-LEN(SUBSTITUTE(IFERROR(INDEX('Saisie programme'!$D$13:$J$477,433,WEEKDAY($K$93-1,2))&amp;"",""),"3",""))+LEN(IFERROR(INDEX('Saisie programme'!$D$13:$J$477,433,WEEKDAY($K$93-2,2))&amp;"",""))-LEN(SUBSTITUTE(IFERROR(INDEX('Saisie programme'!$D$13:$J$477,433,WEEKDAY($K$93-2,2))&amp;"",""),"3",""))</f>
        <v>0</v>
      </c>
      <c r="O139" s="12" t="s">
        <v>20</v>
      </c>
      <c r="P139" s="12" t="s">
        <v>11</v>
      </c>
    </row>
    <row r="140" customFormat="false" ht="15" hidden="false" customHeight="false" outlineLevel="0" collapsed="false">
      <c r="B140" s="10" t="s">
        <v>141</v>
      </c>
      <c r="C140" s="34" t="n">
        <f aca="false">LEN(IFERROR(INDEX('Saisie programme'!$D$13:$J$477,5,WEEKDAY($K$82-0,2))&amp;"",""))-LEN(SUBSTITUTE(IFERROR(INDEX('Saisie programme'!$D$13:$J$477,5,WEEKDAY($K$82-0,2))&amp;"",""),"1",""))+LEN(IFERROR(INDEX('Saisie programme'!$D$13:$J$477,5,WEEKDAY($K$82-0,2))&amp;"",""))-LEN(SUBSTITUTE(IFERROR(INDEX('Saisie programme'!$D$13:$J$477,5,WEEKDAY($K$82-0,2))&amp;"",""),"2",""))+LEN(IFERROR(INDEX('Saisie programme'!$D$13:$J$477,5,WEEKDAY($K$82-1,2))&amp;"",""))-LEN(SUBSTITUTE(IFERROR(INDEX('Saisie programme'!$D$13:$J$477,5,WEEKDAY($K$82-1,2))&amp;"",""),"2",""))+LEN(IFERROR(INDEX('Saisie programme'!$D$13:$J$477,5,WEEKDAY($K$82-0,2))&amp;"",""))-LEN(SUBSTITUTE(IFERROR(INDEX('Saisie programme'!$D$13:$J$477,5,WEEKDAY($K$82-0,2))&amp;"",""),"3",""))+LEN(IFERROR(INDEX('Saisie programme'!$D$13:$J$477,5,WEEKDAY($K$82-1,2))&amp;"",""))-LEN(SUBSTITUTE(IFERROR(INDEX('Saisie programme'!$D$13:$J$477,5,WEEKDAY($K$82-1,2))&amp;"",""),"3",""))+LEN(IFERROR(INDEX('Saisie programme'!$D$13:$J$477,5,WEEKDAY($K$82-2,2))&amp;"",""))-LEN(SUBSTITUTE(IFERROR(INDEX('Saisie programme'!$D$13:$J$477,5,WEEKDAY($K$82-2,2))&amp;"",""),"3",""))</f>
        <v>1</v>
      </c>
      <c r="D140" s="34" t="n">
        <f aca="false">LEN(IFERROR(INDEX('Saisie programme'!$D$13:$J$477,44,WEEKDAY($K$83-0,2))&amp;"",""))-LEN(SUBSTITUTE(IFERROR(INDEX('Saisie programme'!$D$13:$J$477,44,WEEKDAY($K$83-0,2))&amp;"",""),"1",""))+LEN(IFERROR(INDEX('Saisie programme'!$D$13:$J$477,44,WEEKDAY($K$83-0,2))&amp;"",""))-LEN(SUBSTITUTE(IFERROR(INDEX('Saisie programme'!$D$13:$J$477,44,WEEKDAY($K$83-0,2))&amp;"",""),"2",""))+LEN(IFERROR(INDEX('Saisie programme'!$D$13:$J$477,44,WEEKDAY($K$83-1,2))&amp;"",""))-LEN(SUBSTITUTE(IFERROR(INDEX('Saisie programme'!$D$13:$J$477,44,WEEKDAY($K$83-1,2))&amp;"",""),"2",""))+LEN(IFERROR(INDEX('Saisie programme'!$D$13:$J$477,44,WEEKDAY($K$83-0,2))&amp;"",""))-LEN(SUBSTITUTE(IFERROR(INDEX('Saisie programme'!$D$13:$J$477,44,WEEKDAY($K$83-0,2))&amp;"",""),"3",""))+LEN(IFERROR(INDEX('Saisie programme'!$D$13:$J$477,44,WEEKDAY($K$83-1,2))&amp;"",""))-LEN(SUBSTITUTE(IFERROR(INDEX('Saisie programme'!$D$13:$J$477,44,WEEKDAY($K$83-1,2))&amp;"",""),"3",""))+LEN(IFERROR(INDEX('Saisie programme'!$D$13:$J$477,44,WEEKDAY($K$83-2,2))&amp;"",""))-LEN(SUBSTITUTE(IFERROR(INDEX('Saisie programme'!$D$13:$J$477,44,WEEKDAY($K$83-2,2))&amp;"",""),"3",""))</f>
        <v>0</v>
      </c>
      <c r="E140" s="34" t="n">
        <f aca="false">LEN(IFERROR(INDEX('Saisie programme'!$D$13:$J$477,83,WEEKDAY($K$84-0,2))&amp;"",""))-LEN(SUBSTITUTE(IFERROR(INDEX('Saisie programme'!$D$13:$J$477,83,WEEKDAY($K$84-0,2))&amp;"",""),"1",""))+LEN(IFERROR(INDEX('Saisie programme'!$D$13:$J$477,83,WEEKDAY($K$84-0,2))&amp;"",""))-LEN(SUBSTITUTE(IFERROR(INDEX('Saisie programme'!$D$13:$J$477,83,WEEKDAY($K$84-0,2))&amp;"",""),"2",""))+LEN(IFERROR(INDEX('Saisie programme'!$D$13:$J$477,83,WEEKDAY($K$84-1,2))&amp;"",""))-LEN(SUBSTITUTE(IFERROR(INDEX('Saisie programme'!$D$13:$J$477,83,WEEKDAY($K$84-1,2))&amp;"",""),"2",""))+LEN(IFERROR(INDEX('Saisie programme'!$D$13:$J$477,83,WEEKDAY($K$84-0,2))&amp;"",""))-LEN(SUBSTITUTE(IFERROR(INDEX('Saisie programme'!$D$13:$J$477,83,WEEKDAY($K$84-0,2))&amp;"",""),"3",""))+LEN(IFERROR(INDEX('Saisie programme'!$D$13:$J$477,83,WEEKDAY($K$84-1,2))&amp;"",""))-LEN(SUBSTITUTE(IFERROR(INDEX('Saisie programme'!$D$13:$J$477,83,WEEKDAY($K$84-1,2))&amp;"",""),"3",""))+LEN(IFERROR(INDEX('Saisie programme'!$D$13:$J$477,83,WEEKDAY($K$84-2,2))&amp;"",""))-LEN(SUBSTITUTE(IFERROR(INDEX('Saisie programme'!$D$13:$J$477,83,WEEKDAY($K$84-2,2))&amp;"",""),"3",""))</f>
        <v>0</v>
      </c>
      <c r="F140" s="34" t="n">
        <f aca="false">LEN(IFERROR(INDEX('Saisie programme'!$D$13:$J$477,122,WEEKDAY($K$85-0,2))&amp;"",""))-LEN(SUBSTITUTE(IFERROR(INDEX('Saisie programme'!$D$13:$J$477,122,WEEKDAY($K$85-0,2))&amp;"",""),"1",""))+LEN(IFERROR(INDEX('Saisie programme'!$D$13:$J$477,122,WEEKDAY($K$85-0,2))&amp;"",""))-LEN(SUBSTITUTE(IFERROR(INDEX('Saisie programme'!$D$13:$J$477,122,WEEKDAY($K$85-0,2))&amp;"",""),"2",""))+LEN(IFERROR(INDEX('Saisie programme'!$D$13:$J$477,122,WEEKDAY($K$85-1,2))&amp;"",""))-LEN(SUBSTITUTE(IFERROR(INDEX('Saisie programme'!$D$13:$J$477,122,WEEKDAY($K$85-1,2))&amp;"",""),"2",""))+LEN(IFERROR(INDEX('Saisie programme'!$D$13:$J$477,122,WEEKDAY($K$85-0,2))&amp;"",""))-LEN(SUBSTITUTE(IFERROR(INDEX('Saisie programme'!$D$13:$J$477,122,WEEKDAY($K$85-0,2))&amp;"",""),"3",""))+LEN(IFERROR(INDEX('Saisie programme'!$D$13:$J$477,122,WEEKDAY($K$85-1,2))&amp;"",""))-LEN(SUBSTITUTE(IFERROR(INDEX('Saisie programme'!$D$13:$J$477,122,WEEKDAY($K$85-1,2))&amp;"",""),"3",""))+LEN(IFERROR(INDEX('Saisie programme'!$D$13:$J$477,122,WEEKDAY($K$85-2,2))&amp;"",""))-LEN(SUBSTITUTE(IFERROR(INDEX('Saisie programme'!$D$13:$J$477,122,WEEKDAY($K$85-2,2))&amp;"",""),"3",""))</f>
        <v>0</v>
      </c>
      <c r="G140" s="34" t="n">
        <f aca="false">LEN(IFERROR(INDEX('Saisie programme'!$D$13:$J$477,161,WEEKDAY($K$86-0,2))&amp;"",""))-LEN(SUBSTITUTE(IFERROR(INDEX('Saisie programme'!$D$13:$J$477,161,WEEKDAY($K$86-0,2))&amp;"",""),"1",""))+LEN(IFERROR(INDEX('Saisie programme'!$D$13:$J$477,161,WEEKDAY($K$86-0,2))&amp;"",""))-LEN(SUBSTITUTE(IFERROR(INDEX('Saisie programme'!$D$13:$J$477,161,WEEKDAY($K$86-0,2))&amp;"",""),"2",""))+LEN(IFERROR(INDEX('Saisie programme'!$D$13:$J$477,161,WEEKDAY($K$86-1,2))&amp;"",""))-LEN(SUBSTITUTE(IFERROR(INDEX('Saisie programme'!$D$13:$J$477,161,WEEKDAY($K$86-1,2))&amp;"",""),"2",""))+LEN(IFERROR(INDEX('Saisie programme'!$D$13:$J$477,161,WEEKDAY($K$86-0,2))&amp;"",""))-LEN(SUBSTITUTE(IFERROR(INDEX('Saisie programme'!$D$13:$J$477,161,WEEKDAY($K$86-0,2))&amp;"",""),"3",""))+LEN(IFERROR(INDEX('Saisie programme'!$D$13:$J$477,161,WEEKDAY($K$86-1,2))&amp;"",""))-LEN(SUBSTITUTE(IFERROR(INDEX('Saisie programme'!$D$13:$J$477,161,WEEKDAY($K$86-1,2))&amp;"",""),"3",""))+LEN(IFERROR(INDEX('Saisie programme'!$D$13:$J$477,161,WEEKDAY($K$86-2,2))&amp;"",""))-LEN(SUBSTITUTE(IFERROR(INDEX('Saisie programme'!$D$13:$J$477,161,WEEKDAY($K$86-2,2))&amp;"",""),"3",""))</f>
        <v>1</v>
      </c>
      <c r="H140" s="34" t="n">
        <f aca="false">LEN(IFERROR(INDEX('Saisie programme'!$D$13:$J$477,200,WEEKDAY($K$87-0,2))&amp;"",""))-LEN(SUBSTITUTE(IFERROR(INDEX('Saisie programme'!$D$13:$J$477,200,WEEKDAY($K$87-0,2))&amp;"",""),"1",""))+LEN(IFERROR(INDEX('Saisie programme'!$D$13:$J$477,200,WEEKDAY($K$87-0,2))&amp;"",""))-LEN(SUBSTITUTE(IFERROR(INDEX('Saisie programme'!$D$13:$J$477,200,WEEKDAY($K$87-0,2))&amp;"",""),"2",""))+LEN(IFERROR(INDEX('Saisie programme'!$D$13:$J$477,200,WEEKDAY($K$87-1,2))&amp;"",""))-LEN(SUBSTITUTE(IFERROR(INDEX('Saisie programme'!$D$13:$J$477,200,WEEKDAY($K$87-1,2))&amp;"",""),"2",""))+LEN(IFERROR(INDEX('Saisie programme'!$D$13:$J$477,200,WEEKDAY($K$87-0,2))&amp;"",""))-LEN(SUBSTITUTE(IFERROR(INDEX('Saisie programme'!$D$13:$J$477,200,WEEKDAY($K$87-0,2))&amp;"",""),"3",""))+LEN(IFERROR(INDEX('Saisie programme'!$D$13:$J$477,200,WEEKDAY($K$87-1,2))&amp;"",""))-LEN(SUBSTITUTE(IFERROR(INDEX('Saisie programme'!$D$13:$J$477,200,WEEKDAY($K$87-1,2))&amp;"",""),"3",""))+LEN(IFERROR(INDEX('Saisie programme'!$D$13:$J$477,200,WEEKDAY($K$87-2,2))&amp;"",""))-LEN(SUBSTITUTE(IFERROR(INDEX('Saisie programme'!$D$13:$J$477,200,WEEKDAY($K$87-2,2))&amp;"",""),"3",""))</f>
        <v>0</v>
      </c>
      <c r="I140" s="34" t="n">
        <f aca="false">LEN(IFERROR(INDEX('Saisie programme'!$D$13:$J$477,239,WEEKDAY($K$88-0,2))&amp;"",""))-LEN(SUBSTITUTE(IFERROR(INDEX('Saisie programme'!$D$13:$J$477,239,WEEKDAY($K$88-0,2))&amp;"",""),"1",""))+LEN(IFERROR(INDEX('Saisie programme'!$D$13:$J$477,239,WEEKDAY($K$88-0,2))&amp;"",""))-LEN(SUBSTITUTE(IFERROR(INDEX('Saisie programme'!$D$13:$J$477,239,WEEKDAY($K$88-0,2))&amp;"",""),"2",""))+LEN(IFERROR(INDEX('Saisie programme'!$D$13:$J$477,239,WEEKDAY($K$88-1,2))&amp;"",""))-LEN(SUBSTITUTE(IFERROR(INDEX('Saisie programme'!$D$13:$J$477,239,WEEKDAY($K$88-1,2))&amp;"",""),"2",""))+LEN(IFERROR(INDEX('Saisie programme'!$D$13:$J$477,239,WEEKDAY($K$88-0,2))&amp;"",""))-LEN(SUBSTITUTE(IFERROR(INDEX('Saisie programme'!$D$13:$J$477,239,WEEKDAY($K$88-0,2))&amp;"",""),"3",""))+LEN(IFERROR(INDEX('Saisie programme'!$D$13:$J$477,239,WEEKDAY($K$88-1,2))&amp;"",""))-LEN(SUBSTITUTE(IFERROR(INDEX('Saisie programme'!$D$13:$J$477,239,WEEKDAY($K$88-1,2))&amp;"",""),"3",""))+LEN(IFERROR(INDEX('Saisie programme'!$D$13:$J$477,239,WEEKDAY($K$88-2,2))&amp;"",""))-LEN(SUBSTITUTE(IFERROR(INDEX('Saisie programme'!$D$13:$J$477,239,WEEKDAY($K$88-2,2))&amp;"",""),"3",""))</f>
        <v>0</v>
      </c>
      <c r="J140" s="34" t="n">
        <f aca="false">LEN(IFERROR(INDEX('Saisie programme'!$D$13:$J$477,278,WEEKDAY($K$89-0,2))&amp;"",""))-LEN(SUBSTITUTE(IFERROR(INDEX('Saisie programme'!$D$13:$J$477,278,WEEKDAY($K$89-0,2))&amp;"",""),"1",""))+LEN(IFERROR(INDEX('Saisie programme'!$D$13:$J$477,278,WEEKDAY($K$89-0,2))&amp;"",""))-LEN(SUBSTITUTE(IFERROR(INDEX('Saisie programme'!$D$13:$J$477,278,WEEKDAY($K$89-0,2))&amp;"",""),"2",""))+LEN(IFERROR(INDEX('Saisie programme'!$D$13:$J$477,278,WEEKDAY($K$89-1,2))&amp;"",""))-LEN(SUBSTITUTE(IFERROR(INDEX('Saisie programme'!$D$13:$J$477,278,WEEKDAY($K$89-1,2))&amp;"",""),"2",""))+LEN(IFERROR(INDEX('Saisie programme'!$D$13:$J$477,278,WEEKDAY($K$89-0,2))&amp;"",""))-LEN(SUBSTITUTE(IFERROR(INDEX('Saisie programme'!$D$13:$J$477,278,WEEKDAY($K$89-0,2))&amp;"",""),"3",""))+LEN(IFERROR(INDEX('Saisie programme'!$D$13:$J$477,278,WEEKDAY($K$89-1,2))&amp;"",""))-LEN(SUBSTITUTE(IFERROR(INDEX('Saisie programme'!$D$13:$J$477,278,WEEKDAY($K$89-1,2))&amp;"",""),"3",""))+LEN(IFERROR(INDEX('Saisie programme'!$D$13:$J$477,278,WEEKDAY($K$89-2,2))&amp;"",""))-LEN(SUBSTITUTE(IFERROR(INDEX('Saisie programme'!$D$13:$J$477,278,WEEKDAY($K$89-2,2))&amp;"",""),"3",""))</f>
        <v>1</v>
      </c>
      <c r="K140" s="34" t="n">
        <f aca="false">LEN(IFERROR(INDEX('Saisie programme'!$D$13:$J$477,317,WEEKDAY($K$90-0,2))&amp;"",""))-LEN(SUBSTITUTE(IFERROR(INDEX('Saisie programme'!$D$13:$J$477,317,WEEKDAY($K$90-0,2))&amp;"",""),"1",""))+LEN(IFERROR(INDEX('Saisie programme'!$D$13:$J$477,317,WEEKDAY($K$90-0,2))&amp;"",""))-LEN(SUBSTITUTE(IFERROR(INDEX('Saisie programme'!$D$13:$J$477,317,WEEKDAY($K$90-0,2))&amp;"",""),"2",""))+LEN(IFERROR(INDEX('Saisie programme'!$D$13:$J$477,317,WEEKDAY($K$90-1,2))&amp;"",""))-LEN(SUBSTITUTE(IFERROR(INDEX('Saisie programme'!$D$13:$J$477,317,WEEKDAY($K$90-1,2))&amp;"",""),"2",""))+LEN(IFERROR(INDEX('Saisie programme'!$D$13:$J$477,317,WEEKDAY($K$90-0,2))&amp;"",""))-LEN(SUBSTITUTE(IFERROR(INDEX('Saisie programme'!$D$13:$J$477,317,WEEKDAY($K$90-0,2))&amp;"",""),"3",""))+LEN(IFERROR(INDEX('Saisie programme'!$D$13:$J$477,317,WEEKDAY($K$90-1,2))&amp;"",""))-LEN(SUBSTITUTE(IFERROR(INDEX('Saisie programme'!$D$13:$J$477,317,WEEKDAY($K$90-1,2))&amp;"",""),"3",""))+LEN(IFERROR(INDEX('Saisie programme'!$D$13:$J$477,317,WEEKDAY($K$90-2,2))&amp;"",""))-LEN(SUBSTITUTE(IFERROR(INDEX('Saisie programme'!$D$13:$J$477,317,WEEKDAY($K$90-2,2))&amp;"",""),"3",""))</f>
        <v>1</v>
      </c>
      <c r="L140" s="34" t="n">
        <f aca="false">LEN(IFERROR(INDEX('Saisie programme'!$D$13:$J$477,356,WEEKDAY($K$91-0,2))&amp;"",""))-LEN(SUBSTITUTE(IFERROR(INDEX('Saisie programme'!$D$13:$J$477,356,WEEKDAY($K$91-0,2))&amp;"",""),"1",""))+LEN(IFERROR(INDEX('Saisie programme'!$D$13:$J$477,356,WEEKDAY($K$91-0,2))&amp;"",""))-LEN(SUBSTITUTE(IFERROR(INDEX('Saisie programme'!$D$13:$J$477,356,WEEKDAY($K$91-0,2))&amp;"",""),"2",""))+LEN(IFERROR(INDEX('Saisie programme'!$D$13:$J$477,356,WEEKDAY($K$91-1,2))&amp;"",""))-LEN(SUBSTITUTE(IFERROR(INDEX('Saisie programme'!$D$13:$J$477,356,WEEKDAY($K$91-1,2))&amp;"",""),"2",""))+LEN(IFERROR(INDEX('Saisie programme'!$D$13:$J$477,356,WEEKDAY($K$91-0,2))&amp;"",""))-LEN(SUBSTITUTE(IFERROR(INDEX('Saisie programme'!$D$13:$J$477,356,WEEKDAY($K$91-0,2))&amp;"",""),"3",""))+LEN(IFERROR(INDEX('Saisie programme'!$D$13:$J$477,356,WEEKDAY($K$91-1,2))&amp;"",""))-LEN(SUBSTITUTE(IFERROR(INDEX('Saisie programme'!$D$13:$J$477,356,WEEKDAY($K$91-1,2))&amp;"",""),"3",""))+LEN(IFERROR(INDEX('Saisie programme'!$D$13:$J$477,356,WEEKDAY($K$91-2,2))&amp;"",""))-LEN(SUBSTITUTE(IFERROR(INDEX('Saisie programme'!$D$13:$J$477,356,WEEKDAY($K$91-2,2))&amp;"",""),"3",""))</f>
        <v>0</v>
      </c>
      <c r="M140" s="34" t="n">
        <f aca="false">LEN(IFERROR(INDEX('Saisie programme'!$D$13:$J$477,395,WEEKDAY($K$92-0,2))&amp;"",""))-LEN(SUBSTITUTE(IFERROR(INDEX('Saisie programme'!$D$13:$J$477,395,WEEKDAY($K$92-0,2))&amp;"",""),"1",""))+LEN(IFERROR(INDEX('Saisie programme'!$D$13:$J$477,395,WEEKDAY($K$92-0,2))&amp;"",""))-LEN(SUBSTITUTE(IFERROR(INDEX('Saisie programme'!$D$13:$J$477,395,WEEKDAY($K$92-0,2))&amp;"",""),"2",""))+LEN(IFERROR(INDEX('Saisie programme'!$D$13:$J$477,395,WEEKDAY($K$92-1,2))&amp;"",""))-LEN(SUBSTITUTE(IFERROR(INDEX('Saisie programme'!$D$13:$J$477,395,WEEKDAY($K$92-1,2))&amp;"",""),"2",""))+LEN(IFERROR(INDEX('Saisie programme'!$D$13:$J$477,395,WEEKDAY($K$92-0,2))&amp;"",""))-LEN(SUBSTITUTE(IFERROR(INDEX('Saisie programme'!$D$13:$J$477,395,WEEKDAY($K$92-0,2))&amp;"",""),"3",""))+LEN(IFERROR(INDEX('Saisie programme'!$D$13:$J$477,395,WEEKDAY($K$92-1,2))&amp;"",""))-LEN(SUBSTITUTE(IFERROR(INDEX('Saisie programme'!$D$13:$J$477,395,WEEKDAY($K$92-1,2))&amp;"",""),"3",""))+LEN(IFERROR(INDEX('Saisie programme'!$D$13:$J$477,395,WEEKDAY($K$92-2,2))&amp;"",""))-LEN(SUBSTITUTE(IFERROR(INDEX('Saisie programme'!$D$13:$J$477,395,WEEKDAY($K$92-2,2))&amp;"",""),"3",""))</f>
        <v>1</v>
      </c>
      <c r="N140" s="34" t="n">
        <f aca="false">LEN(IFERROR(INDEX('Saisie programme'!$D$13:$J$477,434,WEEKDAY($K$93-0,2))&amp;"",""))-LEN(SUBSTITUTE(IFERROR(INDEX('Saisie programme'!$D$13:$J$477,434,WEEKDAY($K$93-0,2))&amp;"",""),"1",""))+LEN(IFERROR(INDEX('Saisie programme'!$D$13:$J$477,434,WEEKDAY($K$93-0,2))&amp;"",""))-LEN(SUBSTITUTE(IFERROR(INDEX('Saisie programme'!$D$13:$J$477,434,WEEKDAY($K$93-0,2))&amp;"",""),"2",""))+LEN(IFERROR(INDEX('Saisie programme'!$D$13:$J$477,434,WEEKDAY($K$93-1,2))&amp;"",""))-LEN(SUBSTITUTE(IFERROR(INDEX('Saisie programme'!$D$13:$J$477,434,WEEKDAY($K$93-1,2))&amp;"",""),"2",""))+LEN(IFERROR(INDEX('Saisie programme'!$D$13:$J$477,434,WEEKDAY($K$93-0,2))&amp;"",""))-LEN(SUBSTITUTE(IFERROR(INDEX('Saisie programme'!$D$13:$J$477,434,WEEKDAY($K$93-0,2))&amp;"",""),"3",""))+LEN(IFERROR(INDEX('Saisie programme'!$D$13:$J$477,434,WEEKDAY($K$93-1,2))&amp;"",""))-LEN(SUBSTITUTE(IFERROR(INDEX('Saisie programme'!$D$13:$J$477,434,WEEKDAY($K$93-1,2))&amp;"",""),"3",""))+LEN(IFERROR(INDEX('Saisie programme'!$D$13:$J$477,434,WEEKDAY($K$93-2,2))&amp;"",""))-LEN(SUBSTITUTE(IFERROR(INDEX('Saisie programme'!$D$13:$J$477,434,WEEKDAY($K$93-2,2))&amp;"",""),"3",""))</f>
        <v>1</v>
      </c>
      <c r="O140" s="12" t="s">
        <v>20</v>
      </c>
      <c r="P140" s="12" t="s">
        <v>19</v>
      </c>
    </row>
    <row r="141" customFormat="false" ht="15" hidden="false" customHeight="false" outlineLevel="0" collapsed="false">
      <c r="B141" s="10" t="s">
        <v>142</v>
      </c>
      <c r="C141" s="34" t="n">
        <f aca="false">LEN(IFERROR(INDEX('Saisie programme'!$D$13:$J$477,6,WEEKDAY($K$82-0,2))&amp;"",""))-LEN(SUBSTITUTE(IFERROR(INDEX('Saisie programme'!$D$13:$J$477,6,WEEKDAY($K$82-0,2))&amp;"",""),"1",""))+LEN(IFERROR(INDEX('Saisie programme'!$D$13:$J$477,6,WEEKDAY($K$82-0,2))&amp;"",""))-LEN(SUBSTITUTE(IFERROR(INDEX('Saisie programme'!$D$13:$J$477,6,WEEKDAY($K$82-0,2))&amp;"",""),"2",""))+LEN(IFERROR(INDEX('Saisie programme'!$D$13:$J$477,6,WEEKDAY($K$82-1,2))&amp;"",""))-LEN(SUBSTITUTE(IFERROR(INDEX('Saisie programme'!$D$13:$J$477,6,WEEKDAY($K$82-1,2))&amp;"",""),"2",""))+LEN(IFERROR(INDEX('Saisie programme'!$D$13:$J$477,6,WEEKDAY($K$82-0,2))&amp;"",""))-LEN(SUBSTITUTE(IFERROR(INDEX('Saisie programme'!$D$13:$J$477,6,WEEKDAY($K$82-0,2))&amp;"",""),"3",""))+LEN(IFERROR(INDEX('Saisie programme'!$D$13:$J$477,6,WEEKDAY($K$82-1,2))&amp;"",""))-LEN(SUBSTITUTE(IFERROR(INDEX('Saisie programme'!$D$13:$J$477,6,WEEKDAY($K$82-1,2))&amp;"",""),"3",""))+LEN(IFERROR(INDEX('Saisie programme'!$D$13:$J$477,6,WEEKDAY($K$82-2,2))&amp;"",""))-LEN(SUBSTITUTE(IFERROR(INDEX('Saisie programme'!$D$13:$J$477,6,WEEKDAY($K$82-2,2))&amp;"",""),"3",""))</f>
        <v>0</v>
      </c>
      <c r="D141" s="34" t="n">
        <f aca="false">LEN(IFERROR(INDEX('Saisie programme'!$D$13:$J$477,45,WEEKDAY($K$83-0,2))&amp;"",""))-LEN(SUBSTITUTE(IFERROR(INDEX('Saisie programme'!$D$13:$J$477,45,WEEKDAY($K$83-0,2))&amp;"",""),"1",""))+LEN(IFERROR(INDEX('Saisie programme'!$D$13:$J$477,45,WEEKDAY($K$83-0,2))&amp;"",""))-LEN(SUBSTITUTE(IFERROR(INDEX('Saisie programme'!$D$13:$J$477,45,WEEKDAY($K$83-0,2))&amp;"",""),"2",""))+LEN(IFERROR(INDEX('Saisie programme'!$D$13:$J$477,45,WEEKDAY($K$83-1,2))&amp;"",""))-LEN(SUBSTITUTE(IFERROR(INDEX('Saisie programme'!$D$13:$J$477,45,WEEKDAY($K$83-1,2))&amp;"",""),"2",""))+LEN(IFERROR(INDEX('Saisie programme'!$D$13:$J$477,45,WEEKDAY($K$83-0,2))&amp;"",""))-LEN(SUBSTITUTE(IFERROR(INDEX('Saisie programme'!$D$13:$J$477,45,WEEKDAY($K$83-0,2))&amp;"",""),"3",""))+LEN(IFERROR(INDEX('Saisie programme'!$D$13:$J$477,45,WEEKDAY($K$83-1,2))&amp;"",""))-LEN(SUBSTITUTE(IFERROR(INDEX('Saisie programme'!$D$13:$J$477,45,WEEKDAY($K$83-1,2))&amp;"",""),"3",""))+LEN(IFERROR(INDEX('Saisie programme'!$D$13:$J$477,45,WEEKDAY($K$83-2,2))&amp;"",""))-LEN(SUBSTITUTE(IFERROR(INDEX('Saisie programme'!$D$13:$J$477,45,WEEKDAY($K$83-2,2))&amp;"",""),"3",""))</f>
        <v>0</v>
      </c>
      <c r="E141" s="34" t="n">
        <f aca="false">LEN(IFERROR(INDEX('Saisie programme'!$D$13:$J$477,84,WEEKDAY($K$84-0,2))&amp;"",""))-LEN(SUBSTITUTE(IFERROR(INDEX('Saisie programme'!$D$13:$J$477,84,WEEKDAY($K$84-0,2))&amp;"",""),"1",""))+LEN(IFERROR(INDEX('Saisie programme'!$D$13:$J$477,84,WEEKDAY($K$84-0,2))&amp;"",""))-LEN(SUBSTITUTE(IFERROR(INDEX('Saisie programme'!$D$13:$J$477,84,WEEKDAY($K$84-0,2))&amp;"",""),"2",""))+LEN(IFERROR(INDEX('Saisie programme'!$D$13:$J$477,84,WEEKDAY($K$84-1,2))&amp;"",""))-LEN(SUBSTITUTE(IFERROR(INDEX('Saisie programme'!$D$13:$J$477,84,WEEKDAY($K$84-1,2))&amp;"",""),"2",""))+LEN(IFERROR(INDEX('Saisie programme'!$D$13:$J$477,84,WEEKDAY($K$84-0,2))&amp;"",""))-LEN(SUBSTITUTE(IFERROR(INDEX('Saisie programme'!$D$13:$J$477,84,WEEKDAY($K$84-0,2))&amp;"",""),"3",""))+LEN(IFERROR(INDEX('Saisie programme'!$D$13:$J$477,84,WEEKDAY($K$84-1,2))&amp;"",""))-LEN(SUBSTITUTE(IFERROR(INDEX('Saisie programme'!$D$13:$J$477,84,WEEKDAY($K$84-1,2))&amp;"",""),"3",""))+LEN(IFERROR(INDEX('Saisie programme'!$D$13:$J$477,84,WEEKDAY($K$84-2,2))&amp;"",""))-LEN(SUBSTITUTE(IFERROR(INDEX('Saisie programme'!$D$13:$J$477,84,WEEKDAY($K$84-2,2))&amp;"",""),"3",""))</f>
        <v>0</v>
      </c>
      <c r="F141" s="34" t="n">
        <f aca="false">LEN(IFERROR(INDEX('Saisie programme'!$D$13:$J$477,123,WEEKDAY($K$85-0,2))&amp;"",""))-LEN(SUBSTITUTE(IFERROR(INDEX('Saisie programme'!$D$13:$J$477,123,WEEKDAY($K$85-0,2))&amp;"",""),"1",""))+LEN(IFERROR(INDEX('Saisie programme'!$D$13:$J$477,123,WEEKDAY($K$85-0,2))&amp;"",""))-LEN(SUBSTITUTE(IFERROR(INDEX('Saisie programme'!$D$13:$J$477,123,WEEKDAY($K$85-0,2))&amp;"",""),"2",""))+LEN(IFERROR(INDEX('Saisie programme'!$D$13:$J$477,123,WEEKDAY($K$85-1,2))&amp;"",""))-LEN(SUBSTITUTE(IFERROR(INDEX('Saisie programme'!$D$13:$J$477,123,WEEKDAY($K$85-1,2))&amp;"",""),"2",""))+LEN(IFERROR(INDEX('Saisie programme'!$D$13:$J$477,123,WEEKDAY($K$85-0,2))&amp;"",""))-LEN(SUBSTITUTE(IFERROR(INDEX('Saisie programme'!$D$13:$J$477,123,WEEKDAY($K$85-0,2))&amp;"",""),"3",""))+LEN(IFERROR(INDEX('Saisie programme'!$D$13:$J$477,123,WEEKDAY($K$85-1,2))&amp;"",""))-LEN(SUBSTITUTE(IFERROR(INDEX('Saisie programme'!$D$13:$J$477,123,WEEKDAY($K$85-1,2))&amp;"",""),"3",""))+LEN(IFERROR(INDEX('Saisie programme'!$D$13:$J$477,123,WEEKDAY($K$85-2,2))&amp;"",""))-LEN(SUBSTITUTE(IFERROR(INDEX('Saisie programme'!$D$13:$J$477,123,WEEKDAY($K$85-2,2))&amp;"",""),"3",""))</f>
        <v>0</v>
      </c>
      <c r="G141" s="34" t="n">
        <f aca="false">LEN(IFERROR(INDEX('Saisie programme'!$D$13:$J$477,162,WEEKDAY($K$86-0,2))&amp;"",""))-LEN(SUBSTITUTE(IFERROR(INDEX('Saisie programme'!$D$13:$J$477,162,WEEKDAY($K$86-0,2))&amp;"",""),"1",""))+LEN(IFERROR(INDEX('Saisie programme'!$D$13:$J$477,162,WEEKDAY($K$86-0,2))&amp;"",""))-LEN(SUBSTITUTE(IFERROR(INDEX('Saisie programme'!$D$13:$J$477,162,WEEKDAY($K$86-0,2))&amp;"",""),"2",""))+LEN(IFERROR(INDEX('Saisie programme'!$D$13:$J$477,162,WEEKDAY($K$86-1,2))&amp;"",""))-LEN(SUBSTITUTE(IFERROR(INDEX('Saisie programme'!$D$13:$J$477,162,WEEKDAY($K$86-1,2))&amp;"",""),"2",""))+LEN(IFERROR(INDEX('Saisie programme'!$D$13:$J$477,162,WEEKDAY($K$86-0,2))&amp;"",""))-LEN(SUBSTITUTE(IFERROR(INDEX('Saisie programme'!$D$13:$J$477,162,WEEKDAY($K$86-0,2))&amp;"",""),"3",""))+LEN(IFERROR(INDEX('Saisie programme'!$D$13:$J$477,162,WEEKDAY($K$86-1,2))&amp;"",""))-LEN(SUBSTITUTE(IFERROR(INDEX('Saisie programme'!$D$13:$J$477,162,WEEKDAY($K$86-1,2))&amp;"",""),"3",""))+LEN(IFERROR(INDEX('Saisie programme'!$D$13:$J$477,162,WEEKDAY($K$86-2,2))&amp;"",""))-LEN(SUBSTITUTE(IFERROR(INDEX('Saisie programme'!$D$13:$J$477,162,WEEKDAY($K$86-2,2))&amp;"",""),"3",""))</f>
        <v>0</v>
      </c>
      <c r="H141" s="34" t="n">
        <f aca="false">LEN(IFERROR(INDEX('Saisie programme'!$D$13:$J$477,201,WEEKDAY($K$87-0,2))&amp;"",""))-LEN(SUBSTITUTE(IFERROR(INDEX('Saisie programme'!$D$13:$J$477,201,WEEKDAY($K$87-0,2))&amp;"",""),"1",""))+LEN(IFERROR(INDEX('Saisie programme'!$D$13:$J$477,201,WEEKDAY($K$87-0,2))&amp;"",""))-LEN(SUBSTITUTE(IFERROR(INDEX('Saisie programme'!$D$13:$J$477,201,WEEKDAY($K$87-0,2))&amp;"",""),"2",""))+LEN(IFERROR(INDEX('Saisie programme'!$D$13:$J$477,201,WEEKDAY($K$87-1,2))&amp;"",""))-LEN(SUBSTITUTE(IFERROR(INDEX('Saisie programme'!$D$13:$J$477,201,WEEKDAY($K$87-1,2))&amp;"",""),"2",""))+LEN(IFERROR(INDEX('Saisie programme'!$D$13:$J$477,201,WEEKDAY($K$87-0,2))&amp;"",""))-LEN(SUBSTITUTE(IFERROR(INDEX('Saisie programme'!$D$13:$J$477,201,WEEKDAY($K$87-0,2))&amp;"",""),"3",""))+LEN(IFERROR(INDEX('Saisie programme'!$D$13:$J$477,201,WEEKDAY($K$87-1,2))&amp;"",""))-LEN(SUBSTITUTE(IFERROR(INDEX('Saisie programme'!$D$13:$J$477,201,WEEKDAY($K$87-1,2))&amp;"",""),"3",""))+LEN(IFERROR(INDEX('Saisie programme'!$D$13:$J$477,201,WEEKDAY($K$87-2,2))&amp;"",""))-LEN(SUBSTITUTE(IFERROR(INDEX('Saisie programme'!$D$13:$J$477,201,WEEKDAY($K$87-2,2))&amp;"",""),"3",""))</f>
        <v>0</v>
      </c>
      <c r="I141" s="34" t="n">
        <f aca="false">LEN(IFERROR(INDEX('Saisie programme'!$D$13:$J$477,240,WEEKDAY($K$88-0,2))&amp;"",""))-LEN(SUBSTITUTE(IFERROR(INDEX('Saisie programme'!$D$13:$J$477,240,WEEKDAY($K$88-0,2))&amp;"",""),"1",""))+LEN(IFERROR(INDEX('Saisie programme'!$D$13:$J$477,240,WEEKDAY($K$88-0,2))&amp;"",""))-LEN(SUBSTITUTE(IFERROR(INDEX('Saisie programme'!$D$13:$J$477,240,WEEKDAY($K$88-0,2))&amp;"",""),"2",""))+LEN(IFERROR(INDEX('Saisie programme'!$D$13:$J$477,240,WEEKDAY($K$88-1,2))&amp;"",""))-LEN(SUBSTITUTE(IFERROR(INDEX('Saisie programme'!$D$13:$J$477,240,WEEKDAY($K$88-1,2))&amp;"",""),"2",""))+LEN(IFERROR(INDEX('Saisie programme'!$D$13:$J$477,240,WEEKDAY($K$88-0,2))&amp;"",""))-LEN(SUBSTITUTE(IFERROR(INDEX('Saisie programme'!$D$13:$J$477,240,WEEKDAY($K$88-0,2))&amp;"",""),"3",""))+LEN(IFERROR(INDEX('Saisie programme'!$D$13:$J$477,240,WEEKDAY($K$88-1,2))&amp;"",""))-LEN(SUBSTITUTE(IFERROR(INDEX('Saisie programme'!$D$13:$J$477,240,WEEKDAY($K$88-1,2))&amp;"",""),"3",""))+LEN(IFERROR(INDEX('Saisie programme'!$D$13:$J$477,240,WEEKDAY($K$88-2,2))&amp;"",""))-LEN(SUBSTITUTE(IFERROR(INDEX('Saisie programme'!$D$13:$J$477,240,WEEKDAY($K$88-2,2))&amp;"",""),"3",""))</f>
        <v>0</v>
      </c>
      <c r="J141" s="34" t="n">
        <f aca="false">LEN(IFERROR(INDEX('Saisie programme'!$D$13:$J$477,279,WEEKDAY($K$89-0,2))&amp;"",""))-LEN(SUBSTITUTE(IFERROR(INDEX('Saisie programme'!$D$13:$J$477,279,WEEKDAY($K$89-0,2))&amp;"",""),"1",""))+LEN(IFERROR(INDEX('Saisie programme'!$D$13:$J$477,279,WEEKDAY($K$89-0,2))&amp;"",""))-LEN(SUBSTITUTE(IFERROR(INDEX('Saisie programme'!$D$13:$J$477,279,WEEKDAY($K$89-0,2))&amp;"",""),"2",""))+LEN(IFERROR(INDEX('Saisie programme'!$D$13:$J$477,279,WEEKDAY($K$89-1,2))&amp;"",""))-LEN(SUBSTITUTE(IFERROR(INDEX('Saisie programme'!$D$13:$J$477,279,WEEKDAY($K$89-1,2))&amp;"",""),"2",""))+LEN(IFERROR(INDEX('Saisie programme'!$D$13:$J$477,279,WEEKDAY($K$89-0,2))&amp;"",""))-LEN(SUBSTITUTE(IFERROR(INDEX('Saisie programme'!$D$13:$J$477,279,WEEKDAY($K$89-0,2))&amp;"",""),"3",""))+LEN(IFERROR(INDEX('Saisie programme'!$D$13:$J$477,279,WEEKDAY($K$89-1,2))&amp;"",""))-LEN(SUBSTITUTE(IFERROR(INDEX('Saisie programme'!$D$13:$J$477,279,WEEKDAY($K$89-1,2))&amp;"",""),"3",""))+LEN(IFERROR(INDEX('Saisie programme'!$D$13:$J$477,279,WEEKDAY($K$89-2,2))&amp;"",""))-LEN(SUBSTITUTE(IFERROR(INDEX('Saisie programme'!$D$13:$J$477,279,WEEKDAY($K$89-2,2))&amp;"",""),"3",""))</f>
        <v>0</v>
      </c>
      <c r="K141" s="34" t="n">
        <f aca="false">LEN(IFERROR(INDEX('Saisie programme'!$D$13:$J$477,318,WEEKDAY($K$90-0,2))&amp;"",""))-LEN(SUBSTITUTE(IFERROR(INDEX('Saisie programme'!$D$13:$J$477,318,WEEKDAY($K$90-0,2))&amp;"",""),"1",""))+LEN(IFERROR(INDEX('Saisie programme'!$D$13:$J$477,318,WEEKDAY($K$90-0,2))&amp;"",""))-LEN(SUBSTITUTE(IFERROR(INDEX('Saisie programme'!$D$13:$J$477,318,WEEKDAY($K$90-0,2))&amp;"",""),"2",""))+LEN(IFERROR(INDEX('Saisie programme'!$D$13:$J$477,318,WEEKDAY($K$90-1,2))&amp;"",""))-LEN(SUBSTITUTE(IFERROR(INDEX('Saisie programme'!$D$13:$J$477,318,WEEKDAY($K$90-1,2))&amp;"",""),"2",""))+LEN(IFERROR(INDEX('Saisie programme'!$D$13:$J$477,318,WEEKDAY($K$90-0,2))&amp;"",""))-LEN(SUBSTITUTE(IFERROR(INDEX('Saisie programme'!$D$13:$J$477,318,WEEKDAY($K$90-0,2))&amp;"",""),"3",""))+LEN(IFERROR(INDEX('Saisie programme'!$D$13:$J$477,318,WEEKDAY($K$90-1,2))&amp;"",""))-LEN(SUBSTITUTE(IFERROR(INDEX('Saisie programme'!$D$13:$J$477,318,WEEKDAY($K$90-1,2))&amp;"",""),"3",""))+LEN(IFERROR(INDEX('Saisie programme'!$D$13:$J$477,318,WEEKDAY($K$90-2,2))&amp;"",""))-LEN(SUBSTITUTE(IFERROR(INDEX('Saisie programme'!$D$13:$J$477,318,WEEKDAY($K$90-2,2))&amp;"",""),"3",""))</f>
        <v>0</v>
      </c>
      <c r="L141" s="34" t="n">
        <f aca="false">LEN(IFERROR(INDEX('Saisie programme'!$D$13:$J$477,357,WEEKDAY($K$91-0,2))&amp;"",""))-LEN(SUBSTITUTE(IFERROR(INDEX('Saisie programme'!$D$13:$J$477,357,WEEKDAY($K$91-0,2))&amp;"",""),"1",""))+LEN(IFERROR(INDEX('Saisie programme'!$D$13:$J$477,357,WEEKDAY($K$91-0,2))&amp;"",""))-LEN(SUBSTITUTE(IFERROR(INDEX('Saisie programme'!$D$13:$J$477,357,WEEKDAY($K$91-0,2))&amp;"",""),"2",""))+LEN(IFERROR(INDEX('Saisie programme'!$D$13:$J$477,357,WEEKDAY($K$91-1,2))&amp;"",""))-LEN(SUBSTITUTE(IFERROR(INDEX('Saisie programme'!$D$13:$J$477,357,WEEKDAY($K$91-1,2))&amp;"",""),"2",""))+LEN(IFERROR(INDEX('Saisie programme'!$D$13:$J$477,357,WEEKDAY($K$91-0,2))&amp;"",""))-LEN(SUBSTITUTE(IFERROR(INDEX('Saisie programme'!$D$13:$J$477,357,WEEKDAY($K$91-0,2))&amp;"",""),"3",""))+LEN(IFERROR(INDEX('Saisie programme'!$D$13:$J$477,357,WEEKDAY($K$91-1,2))&amp;"",""))-LEN(SUBSTITUTE(IFERROR(INDEX('Saisie programme'!$D$13:$J$477,357,WEEKDAY($K$91-1,2))&amp;"",""),"3",""))+LEN(IFERROR(INDEX('Saisie programme'!$D$13:$J$477,357,WEEKDAY($K$91-2,2))&amp;"",""))-LEN(SUBSTITUTE(IFERROR(INDEX('Saisie programme'!$D$13:$J$477,357,WEEKDAY($K$91-2,2))&amp;"",""),"3",""))</f>
        <v>0</v>
      </c>
      <c r="M141" s="34" t="n">
        <f aca="false">LEN(IFERROR(INDEX('Saisie programme'!$D$13:$J$477,396,WEEKDAY($K$92-0,2))&amp;"",""))-LEN(SUBSTITUTE(IFERROR(INDEX('Saisie programme'!$D$13:$J$477,396,WEEKDAY($K$92-0,2))&amp;"",""),"1",""))+LEN(IFERROR(INDEX('Saisie programme'!$D$13:$J$477,396,WEEKDAY($K$92-0,2))&amp;"",""))-LEN(SUBSTITUTE(IFERROR(INDEX('Saisie programme'!$D$13:$J$477,396,WEEKDAY($K$92-0,2))&amp;"",""),"2",""))+LEN(IFERROR(INDEX('Saisie programme'!$D$13:$J$477,396,WEEKDAY($K$92-1,2))&amp;"",""))-LEN(SUBSTITUTE(IFERROR(INDEX('Saisie programme'!$D$13:$J$477,396,WEEKDAY($K$92-1,2))&amp;"",""),"2",""))+LEN(IFERROR(INDEX('Saisie programme'!$D$13:$J$477,396,WEEKDAY($K$92-0,2))&amp;"",""))-LEN(SUBSTITUTE(IFERROR(INDEX('Saisie programme'!$D$13:$J$477,396,WEEKDAY($K$92-0,2))&amp;"",""),"3",""))+LEN(IFERROR(INDEX('Saisie programme'!$D$13:$J$477,396,WEEKDAY($K$92-1,2))&amp;"",""))-LEN(SUBSTITUTE(IFERROR(INDEX('Saisie programme'!$D$13:$J$477,396,WEEKDAY($K$92-1,2))&amp;"",""),"3",""))+LEN(IFERROR(INDEX('Saisie programme'!$D$13:$J$477,396,WEEKDAY($K$92-2,2))&amp;"",""))-LEN(SUBSTITUTE(IFERROR(INDEX('Saisie programme'!$D$13:$J$477,396,WEEKDAY($K$92-2,2))&amp;"",""),"3",""))</f>
        <v>0</v>
      </c>
      <c r="N141" s="34" t="n">
        <f aca="false">LEN(IFERROR(INDEX('Saisie programme'!$D$13:$J$477,435,WEEKDAY($K$93-0,2))&amp;"",""))-LEN(SUBSTITUTE(IFERROR(INDEX('Saisie programme'!$D$13:$J$477,435,WEEKDAY($K$93-0,2))&amp;"",""),"1",""))+LEN(IFERROR(INDEX('Saisie programme'!$D$13:$J$477,435,WEEKDAY($K$93-0,2))&amp;"",""))-LEN(SUBSTITUTE(IFERROR(INDEX('Saisie programme'!$D$13:$J$477,435,WEEKDAY($K$93-0,2))&amp;"",""),"2",""))+LEN(IFERROR(INDEX('Saisie programme'!$D$13:$J$477,435,WEEKDAY($K$93-1,2))&amp;"",""))-LEN(SUBSTITUTE(IFERROR(INDEX('Saisie programme'!$D$13:$J$477,435,WEEKDAY($K$93-1,2))&amp;"",""),"2",""))+LEN(IFERROR(INDEX('Saisie programme'!$D$13:$J$477,435,WEEKDAY($K$93-0,2))&amp;"",""))-LEN(SUBSTITUTE(IFERROR(INDEX('Saisie programme'!$D$13:$J$477,435,WEEKDAY($K$93-0,2))&amp;"",""),"3",""))+LEN(IFERROR(INDEX('Saisie programme'!$D$13:$J$477,435,WEEKDAY($K$93-1,2))&amp;"",""))-LEN(SUBSTITUTE(IFERROR(INDEX('Saisie programme'!$D$13:$J$477,435,WEEKDAY($K$93-1,2))&amp;"",""),"3",""))+LEN(IFERROR(INDEX('Saisie programme'!$D$13:$J$477,435,WEEKDAY($K$93-2,2))&amp;"",""))-LEN(SUBSTITUTE(IFERROR(INDEX('Saisie programme'!$D$13:$J$477,435,WEEKDAY($K$93-2,2))&amp;"",""),"3",""))</f>
        <v>0</v>
      </c>
      <c r="O141" s="12" t="s">
        <v>20</v>
      </c>
      <c r="P141" s="12" t="s">
        <v>24</v>
      </c>
    </row>
    <row r="142" customFormat="false" ht="15" hidden="false" customHeight="false" outlineLevel="0" collapsed="false">
      <c r="B142" s="10" t="s">
        <v>143</v>
      </c>
      <c r="C142" s="34" t="n">
        <f aca="false">LEN(IFERROR(INDEX('Saisie programme'!$D$13:$J$477,7,WEEKDAY($K$82-0,2))&amp;"",""))-LEN(SUBSTITUTE(IFERROR(INDEX('Saisie programme'!$D$13:$J$477,7,WEEKDAY($K$82-0,2))&amp;"",""),"1",""))+LEN(IFERROR(INDEX('Saisie programme'!$D$13:$J$477,7,WEEKDAY($K$82-0,2))&amp;"",""))-LEN(SUBSTITUTE(IFERROR(INDEX('Saisie programme'!$D$13:$J$477,7,WEEKDAY($K$82-0,2))&amp;"",""),"2",""))+LEN(IFERROR(INDEX('Saisie programme'!$D$13:$J$477,7,WEEKDAY($K$82-1,2))&amp;"",""))-LEN(SUBSTITUTE(IFERROR(INDEX('Saisie programme'!$D$13:$J$477,7,WEEKDAY($K$82-1,2))&amp;"",""),"2",""))+LEN(IFERROR(INDEX('Saisie programme'!$D$13:$J$477,7,WEEKDAY($K$82-0,2))&amp;"",""))-LEN(SUBSTITUTE(IFERROR(INDEX('Saisie programme'!$D$13:$J$477,7,WEEKDAY($K$82-0,2))&amp;"",""),"3",""))+LEN(IFERROR(INDEX('Saisie programme'!$D$13:$J$477,7,WEEKDAY($K$82-1,2))&amp;"",""))-LEN(SUBSTITUTE(IFERROR(INDEX('Saisie programme'!$D$13:$J$477,7,WEEKDAY($K$82-1,2))&amp;"",""),"3",""))+LEN(IFERROR(INDEX('Saisie programme'!$D$13:$J$477,7,WEEKDAY($K$82-2,2))&amp;"",""))-LEN(SUBSTITUTE(IFERROR(INDEX('Saisie programme'!$D$13:$J$477,7,WEEKDAY($K$82-2,2))&amp;"",""),"3",""))</f>
        <v>0</v>
      </c>
      <c r="D142" s="34" t="n">
        <f aca="false">LEN(IFERROR(INDEX('Saisie programme'!$D$13:$J$477,46,WEEKDAY($K$83-0,2))&amp;"",""))-LEN(SUBSTITUTE(IFERROR(INDEX('Saisie programme'!$D$13:$J$477,46,WEEKDAY($K$83-0,2))&amp;"",""),"1",""))+LEN(IFERROR(INDEX('Saisie programme'!$D$13:$J$477,46,WEEKDAY($K$83-0,2))&amp;"",""))-LEN(SUBSTITUTE(IFERROR(INDEX('Saisie programme'!$D$13:$J$477,46,WEEKDAY($K$83-0,2))&amp;"",""),"2",""))+LEN(IFERROR(INDEX('Saisie programme'!$D$13:$J$477,46,WEEKDAY($K$83-1,2))&amp;"",""))-LEN(SUBSTITUTE(IFERROR(INDEX('Saisie programme'!$D$13:$J$477,46,WEEKDAY($K$83-1,2))&amp;"",""),"2",""))+LEN(IFERROR(INDEX('Saisie programme'!$D$13:$J$477,46,WEEKDAY($K$83-0,2))&amp;"",""))-LEN(SUBSTITUTE(IFERROR(INDEX('Saisie programme'!$D$13:$J$477,46,WEEKDAY($K$83-0,2))&amp;"",""),"3",""))+LEN(IFERROR(INDEX('Saisie programme'!$D$13:$J$477,46,WEEKDAY($K$83-1,2))&amp;"",""))-LEN(SUBSTITUTE(IFERROR(INDEX('Saisie programme'!$D$13:$J$477,46,WEEKDAY($K$83-1,2))&amp;"",""),"3",""))+LEN(IFERROR(INDEX('Saisie programme'!$D$13:$J$477,46,WEEKDAY($K$83-2,2))&amp;"",""))-LEN(SUBSTITUTE(IFERROR(INDEX('Saisie programme'!$D$13:$J$477,46,WEEKDAY($K$83-2,2))&amp;"",""),"3",""))</f>
        <v>0</v>
      </c>
      <c r="E142" s="34" t="n">
        <f aca="false">LEN(IFERROR(INDEX('Saisie programme'!$D$13:$J$477,85,WEEKDAY($K$84-0,2))&amp;"",""))-LEN(SUBSTITUTE(IFERROR(INDEX('Saisie programme'!$D$13:$J$477,85,WEEKDAY($K$84-0,2))&amp;"",""),"1",""))+LEN(IFERROR(INDEX('Saisie programme'!$D$13:$J$477,85,WEEKDAY($K$84-0,2))&amp;"",""))-LEN(SUBSTITUTE(IFERROR(INDEX('Saisie programme'!$D$13:$J$477,85,WEEKDAY($K$84-0,2))&amp;"",""),"2",""))+LEN(IFERROR(INDEX('Saisie programme'!$D$13:$J$477,85,WEEKDAY($K$84-1,2))&amp;"",""))-LEN(SUBSTITUTE(IFERROR(INDEX('Saisie programme'!$D$13:$J$477,85,WEEKDAY($K$84-1,2))&amp;"",""),"2",""))+LEN(IFERROR(INDEX('Saisie programme'!$D$13:$J$477,85,WEEKDAY($K$84-0,2))&amp;"",""))-LEN(SUBSTITUTE(IFERROR(INDEX('Saisie programme'!$D$13:$J$477,85,WEEKDAY($K$84-0,2))&amp;"",""),"3",""))+LEN(IFERROR(INDEX('Saisie programme'!$D$13:$J$477,85,WEEKDAY($K$84-1,2))&amp;"",""))-LEN(SUBSTITUTE(IFERROR(INDEX('Saisie programme'!$D$13:$J$477,85,WEEKDAY($K$84-1,2))&amp;"",""),"3",""))+LEN(IFERROR(INDEX('Saisie programme'!$D$13:$J$477,85,WEEKDAY($K$84-2,2))&amp;"",""))-LEN(SUBSTITUTE(IFERROR(INDEX('Saisie programme'!$D$13:$J$477,85,WEEKDAY($K$84-2,2))&amp;"",""),"3",""))</f>
        <v>0</v>
      </c>
      <c r="F142" s="34" t="n">
        <f aca="false">LEN(IFERROR(INDEX('Saisie programme'!$D$13:$J$477,124,WEEKDAY($K$85-0,2))&amp;"",""))-LEN(SUBSTITUTE(IFERROR(INDEX('Saisie programme'!$D$13:$J$477,124,WEEKDAY($K$85-0,2))&amp;"",""),"1",""))+LEN(IFERROR(INDEX('Saisie programme'!$D$13:$J$477,124,WEEKDAY($K$85-0,2))&amp;"",""))-LEN(SUBSTITUTE(IFERROR(INDEX('Saisie programme'!$D$13:$J$477,124,WEEKDAY($K$85-0,2))&amp;"",""),"2",""))+LEN(IFERROR(INDEX('Saisie programme'!$D$13:$J$477,124,WEEKDAY($K$85-1,2))&amp;"",""))-LEN(SUBSTITUTE(IFERROR(INDEX('Saisie programme'!$D$13:$J$477,124,WEEKDAY($K$85-1,2))&amp;"",""),"2",""))+LEN(IFERROR(INDEX('Saisie programme'!$D$13:$J$477,124,WEEKDAY($K$85-0,2))&amp;"",""))-LEN(SUBSTITUTE(IFERROR(INDEX('Saisie programme'!$D$13:$J$477,124,WEEKDAY($K$85-0,2))&amp;"",""),"3",""))+LEN(IFERROR(INDEX('Saisie programme'!$D$13:$J$477,124,WEEKDAY($K$85-1,2))&amp;"",""))-LEN(SUBSTITUTE(IFERROR(INDEX('Saisie programme'!$D$13:$J$477,124,WEEKDAY($K$85-1,2))&amp;"",""),"3",""))+LEN(IFERROR(INDEX('Saisie programme'!$D$13:$J$477,124,WEEKDAY($K$85-2,2))&amp;"",""))-LEN(SUBSTITUTE(IFERROR(INDEX('Saisie programme'!$D$13:$J$477,124,WEEKDAY($K$85-2,2))&amp;"",""),"3",""))</f>
        <v>0</v>
      </c>
      <c r="G142" s="34" t="n">
        <f aca="false">LEN(IFERROR(INDEX('Saisie programme'!$D$13:$J$477,163,WEEKDAY($K$86-0,2))&amp;"",""))-LEN(SUBSTITUTE(IFERROR(INDEX('Saisie programme'!$D$13:$J$477,163,WEEKDAY($K$86-0,2))&amp;"",""),"1",""))+LEN(IFERROR(INDEX('Saisie programme'!$D$13:$J$477,163,WEEKDAY($K$86-0,2))&amp;"",""))-LEN(SUBSTITUTE(IFERROR(INDEX('Saisie programme'!$D$13:$J$477,163,WEEKDAY($K$86-0,2))&amp;"",""),"2",""))+LEN(IFERROR(INDEX('Saisie programme'!$D$13:$J$477,163,WEEKDAY($K$86-1,2))&amp;"",""))-LEN(SUBSTITUTE(IFERROR(INDEX('Saisie programme'!$D$13:$J$477,163,WEEKDAY($K$86-1,2))&amp;"",""),"2",""))+LEN(IFERROR(INDEX('Saisie programme'!$D$13:$J$477,163,WEEKDAY($K$86-0,2))&amp;"",""))-LEN(SUBSTITUTE(IFERROR(INDEX('Saisie programme'!$D$13:$J$477,163,WEEKDAY($K$86-0,2))&amp;"",""),"3",""))+LEN(IFERROR(INDEX('Saisie programme'!$D$13:$J$477,163,WEEKDAY($K$86-1,2))&amp;"",""))-LEN(SUBSTITUTE(IFERROR(INDEX('Saisie programme'!$D$13:$J$477,163,WEEKDAY($K$86-1,2))&amp;"",""),"3",""))+LEN(IFERROR(INDEX('Saisie programme'!$D$13:$J$477,163,WEEKDAY($K$86-2,2))&amp;"",""))-LEN(SUBSTITUTE(IFERROR(INDEX('Saisie programme'!$D$13:$J$477,163,WEEKDAY($K$86-2,2))&amp;"",""),"3",""))</f>
        <v>0</v>
      </c>
      <c r="H142" s="34" t="n">
        <f aca="false">LEN(IFERROR(INDEX('Saisie programme'!$D$13:$J$477,202,WEEKDAY($K$87-0,2))&amp;"",""))-LEN(SUBSTITUTE(IFERROR(INDEX('Saisie programme'!$D$13:$J$477,202,WEEKDAY($K$87-0,2))&amp;"",""),"1",""))+LEN(IFERROR(INDEX('Saisie programme'!$D$13:$J$477,202,WEEKDAY($K$87-0,2))&amp;"",""))-LEN(SUBSTITUTE(IFERROR(INDEX('Saisie programme'!$D$13:$J$477,202,WEEKDAY($K$87-0,2))&amp;"",""),"2",""))+LEN(IFERROR(INDEX('Saisie programme'!$D$13:$J$477,202,WEEKDAY($K$87-1,2))&amp;"",""))-LEN(SUBSTITUTE(IFERROR(INDEX('Saisie programme'!$D$13:$J$477,202,WEEKDAY($K$87-1,2))&amp;"",""),"2",""))+LEN(IFERROR(INDEX('Saisie programme'!$D$13:$J$477,202,WEEKDAY($K$87-0,2))&amp;"",""))-LEN(SUBSTITUTE(IFERROR(INDEX('Saisie programme'!$D$13:$J$477,202,WEEKDAY($K$87-0,2))&amp;"",""),"3",""))+LEN(IFERROR(INDEX('Saisie programme'!$D$13:$J$477,202,WEEKDAY($K$87-1,2))&amp;"",""))-LEN(SUBSTITUTE(IFERROR(INDEX('Saisie programme'!$D$13:$J$477,202,WEEKDAY($K$87-1,2))&amp;"",""),"3",""))+LEN(IFERROR(INDEX('Saisie programme'!$D$13:$J$477,202,WEEKDAY($K$87-2,2))&amp;"",""))-LEN(SUBSTITUTE(IFERROR(INDEX('Saisie programme'!$D$13:$J$477,202,WEEKDAY($K$87-2,2))&amp;"",""),"3",""))</f>
        <v>0</v>
      </c>
      <c r="I142" s="34" t="n">
        <f aca="false">LEN(IFERROR(INDEX('Saisie programme'!$D$13:$J$477,241,WEEKDAY($K$88-0,2))&amp;"",""))-LEN(SUBSTITUTE(IFERROR(INDEX('Saisie programme'!$D$13:$J$477,241,WEEKDAY($K$88-0,2))&amp;"",""),"1",""))+LEN(IFERROR(INDEX('Saisie programme'!$D$13:$J$477,241,WEEKDAY($K$88-0,2))&amp;"",""))-LEN(SUBSTITUTE(IFERROR(INDEX('Saisie programme'!$D$13:$J$477,241,WEEKDAY($K$88-0,2))&amp;"",""),"2",""))+LEN(IFERROR(INDEX('Saisie programme'!$D$13:$J$477,241,WEEKDAY($K$88-1,2))&amp;"",""))-LEN(SUBSTITUTE(IFERROR(INDEX('Saisie programme'!$D$13:$J$477,241,WEEKDAY($K$88-1,2))&amp;"",""),"2",""))+LEN(IFERROR(INDEX('Saisie programme'!$D$13:$J$477,241,WEEKDAY($K$88-0,2))&amp;"",""))-LEN(SUBSTITUTE(IFERROR(INDEX('Saisie programme'!$D$13:$J$477,241,WEEKDAY($K$88-0,2))&amp;"",""),"3",""))+LEN(IFERROR(INDEX('Saisie programme'!$D$13:$J$477,241,WEEKDAY($K$88-1,2))&amp;"",""))-LEN(SUBSTITUTE(IFERROR(INDEX('Saisie programme'!$D$13:$J$477,241,WEEKDAY($K$88-1,2))&amp;"",""),"3",""))+LEN(IFERROR(INDEX('Saisie programme'!$D$13:$J$477,241,WEEKDAY($K$88-2,2))&amp;"",""))-LEN(SUBSTITUTE(IFERROR(INDEX('Saisie programme'!$D$13:$J$477,241,WEEKDAY($K$88-2,2))&amp;"",""),"3",""))</f>
        <v>0</v>
      </c>
      <c r="J142" s="34" t="n">
        <f aca="false">LEN(IFERROR(INDEX('Saisie programme'!$D$13:$J$477,280,WEEKDAY($K$89-0,2))&amp;"",""))-LEN(SUBSTITUTE(IFERROR(INDEX('Saisie programme'!$D$13:$J$477,280,WEEKDAY($K$89-0,2))&amp;"",""),"1",""))+LEN(IFERROR(INDEX('Saisie programme'!$D$13:$J$477,280,WEEKDAY($K$89-0,2))&amp;"",""))-LEN(SUBSTITUTE(IFERROR(INDEX('Saisie programme'!$D$13:$J$477,280,WEEKDAY($K$89-0,2))&amp;"",""),"2",""))+LEN(IFERROR(INDEX('Saisie programme'!$D$13:$J$477,280,WEEKDAY($K$89-1,2))&amp;"",""))-LEN(SUBSTITUTE(IFERROR(INDEX('Saisie programme'!$D$13:$J$477,280,WEEKDAY($K$89-1,2))&amp;"",""),"2",""))+LEN(IFERROR(INDEX('Saisie programme'!$D$13:$J$477,280,WEEKDAY($K$89-0,2))&amp;"",""))-LEN(SUBSTITUTE(IFERROR(INDEX('Saisie programme'!$D$13:$J$477,280,WEEKDAY($K$89-0,2))&amp;"",""),"3",""))+LEN(IFERROR(INDEX('Saisie programme'!$D$13:$J$477,280,WEEKDAY($K$89-1,2))&amp;"",""))-LEN(SUBSTITUTE(IFERROR(INDEX('Saisie programme'!$D$13:$J$477,280,WEEKDAY($K$89-1,2))&amp;"",""),"3",""))+LEN(IFERROR(INDEX('Saisie programme'!$D$13:$J$477,280,WEEKDAY($K$89-2,2))&amp;"",""))-LEN(SUBSTITUTE(IFERROR(INDEX('Saisie programme'!$D$13:$J$477,280,WEEKDAY($K$89-2,2))&amp;"",""),"3",""))</f>
        <v>0</v>
      </c>
      <c r="K142" s="34" t="n">
        <f aca="false">LEN(IFERROR(INDEX('Saisie programme'!$D$13:$J$477,319,WEEKDAY($K$90-0,2))&amp;"",""))-LEN(SUBSTITUTE(IFERROR(INDEX('Saisie programme'!$D$13:$J$477,319,WEEKDAY($K$90-0,2))&amp;"",""),"1",""))+LEN(IFERROR(INDEX('Saisie programme'!$D$13:$J$477,319,WEEKDAY($K$90-0,2))&amp;"",""))-LEN(SUBSTITUTE(IFERROR(INDEX('Saisie programme'!$D$13:$J$477,319,WEEKDAY($K$90-0,2))&amp;"",""),"2",""))+LEN(IFERROR(INDEX('Saisie programme'!$D$13:$J$477,319,WEEKDAY($K$90-1,2))&amp;"",""))-LEN(SUBSTITUTE(IFERROR(INDEX('Saisie programme'!$D$13:$J$477,319,WEEKDAY($K$90-1,2))&amp;"",""),"2",""))+LEN(IFERROR(INDEX('Saisie programme'!$D$13:$J$477,319,WEEKDAY($K$90-0,2))&amp;"",""))-LEN(SUBSTITUTE(IFERROR(INDEX('Saisie programme'!$D$13:$J$477,319,WEEKDAY($K$90-0,2))&amp;"",""),"3",""))+LEN(IFERROR(INDEX('Saisie programme'!$D$13:$J$477,319,WEEKDAY($K$90-1,2))&amp;"",""))-LEN(SUBSTITUTE(IFERROR(INDEX('Saisie programme'!$D$13:$J$477,319,WEEKDAY($K$90-1,2))&amp;"",""),"3",""))+LEN(IFERROR(INDEX('Saisie programme'!$D$13:$J$477,319,WEEKDAY($K$90-2,2))&amp;"",""))-LEN(SUBSTITUTE(IFERROR(INDEX('Saisie programme'!$D$13:$J$477,319,WEEKDAY($K$90-2,2))&amp;"",""),"3",""))</f>
        <v>0</v>
      </c>
      <c r="L142" s="34" t="n">
        <f aca="false">LEN(IFERROR(INDEX('Saisie programme'!$D$13:$J$477,358,WEEKDAY($K$91-0,2))&amp;"",""))-LEN(SUBSTITUTE(IFERROR(INDEX('Saisie programme'!$D$13:$J$477,358,WEEKDAY($K$91-0,2))&amp;"",""),"1",""))+LEN(IFERROR(INDEX('Saisie programme'!$D$13:$J$477,358,WEEKDAY($K$91-0,2))&amp;"",""))-LEN(SUBSTITUTE(IFERROR(INDEX('Saisie programme'!$D$13:$J$477,358,WEEKDAY($K$91-0,2))&amp;"",""),"2",""))+LEN(IFERROR(INDEX('Saisie programme'!$D$13:$J$477,358,WEEKDAY($K$91-1,2))&amp;"",""))-LEN(SUBSTITUTE(IFERROR(INDEX('Saisie programme'!$D$13:$J$477,358,WEEKDAY($K$91-1,2))&amp;"",""),"2",""))+LEN(IFERROR(INDEX('Saisie programme'!$D$13:$J$477,358,WEEKDAY($K$91-0,2))&amp;"",""))-LEN(SUBSTITUTE(IFERROR(INDEX('Saisie programme'!$D$13:$J$477,358,WEEKDAY($K$91-0,2))&amp;"",""),"3",""))+LEN(IFERROR(INDEX('Saisie programme'!$D$13:$J$477,358,WEEKDAY($K$91-1,2))&amp;"",""))-LEN(SUBSTITUTE(IFERROR(INDEX('Saisie programme'!$D$13:$J$477,358,WEEKDAY($K$91-1,2))&amp;"",""),"3",""))+LEN(IFERROR(INDEX('Saisie programme'!$D$13:$J$477,358,WEEKDAY($K$91-2,2))&amp;"",""))-LEN(SUBSTITUTE(IFERROR(INDEX('Saisie programme'!$D$13:$J$477,358,WEEKDAY($K$91-2,2))&amp;"",""),"3",""))</f>
        <v>0</v>
      </c>
      <c r="M142" s="34" t="n">
        <f aca="false">LEN(IFERROR(INDEX('Saisie programme'!$D$13:$J$477,397,WEEKDAY($K$92-0,2))&amp;"",""))-LEN(SUBSTITUTE(IFERROR(INDEX('Saisie programme'!$D$13:$J$477,397,WEEKDAY($K$92-0,2))&amp;"",""),"1",""))+LEN(IFERROR(INDEX('Saisie programme'!$D$13:$J$477,397,WEEKDAY($K$92-0,2))&amp;"",""))-LEN(SUBSTITUTE(IFERROR(INDEX('Saisie programme'!$D$13:$J$477,397,WEEKDAY($K$92-0,2))&amp;"",""),"2",""))+LEN(IFERROR(INDEX('Saisie programme'!$D$13:$J$477,397,WEEKDAY($K$92-1,2))&amp;"",""))-LEN(SUBSTITUTE(IFERROR(INDEX('Saisie programme'!$D$13:$J$477,397,WEEKDAY($K$92-1,2))&amp;"",""),"2",""))+LEN(IFERROR(INDEX('Saisie programme'!$D$13:$J$477,397,WEEKDAY($K$92-0,2))&amp;"",""))-LEN(SUBSTITUTE(IFERROR(INDEX('Saisie programme'!$D$13:$J$477,397,WEEKDAY($K$92-0,2))&amp;"",""),"3",""))+LEN(IFERROR(INDEX('Saisie programme'!$D$13:$J$477,397,WEEKDAY($K$92-1,2))&amp;"",""))-LEN(SUBSTITUTE(IFERROR(INDEX('Saisie programme'!$D$13:$J$477,397,WEEKDAY($K$92-1,2))&amp;"",""),"3",""))+LEN(IFERROR(INDEX('Saisie programme'!$D$13:$J$477,397,WEEKDAY($K$92-2,2))&amp;"",""))-LEN(SUBSTITUTE(IFERROR(INDEX('Saisie programme'!$D$13:$J$477,397,WEEKDAY($K$92-2,2))&amp;"",""),"3",""))</f>
        <v>0</v>
      </c>
      <c r="N142" s="34" t="n">
        <f aca="false">LEN(IFERROR(INDEX('Saisie programme'!$D$13:$J$477,436,WEEKDAY($K$93-0,2))&amp;"",""))-LEN(SUBSTITUTE(IFERROR(INDEX('Saisie programme'!$D$13:$J$477,436,WEEKDAY($K$93-0,2))&amp;"",""),"1",""))+LEN(IFERROR(INDEX('Saisie programme'!$D$13:$J$477,436,WEEKDAY($K$93-0,2))&amp;"",""))-LEN(SUBSTITUTE(IFERROR(INDEX('Saisie programme'!$D$13:$J$477,436,WEEKDAY($K$93-0,2))&amp;"",""),"2",""))+LEN(IFERROR(INDEX('Saisie programme'!$D$13:$J$477,436,WEEKDAY($K$93-1,2))&amp;"",""))-LEN(SUBSTITUTE(IFERROR(INDEX('Saisie programme'!$D$13:$J$477,436,WEEKDAY($K$93-1,2))&amp;"",""),"2",""))+LEN(IFERROR(INDEX('Saisie programme'!$D$13:$J$477,436,WEEKDAY($K$93-0,2))&amp;"",""))-LEN(SUBSTITUTE(IFERROR(INDEX('Saisie programme'!$D$13:$J$477,436,WEEKDAY($K$93-0,2))&amp;"",""),"3",""))+LEN(IFERROR(INDEX('Saisie programme'!$D$13:$J$477,436,WEEKDAY($K$93-1,2))&amp;"",""))-LEN(SUBSTITUTE(IFERROR(INDEX('Saisie programme'!$D$13:$J$477,436,WEEKDAY($K$93-1,2))&amp;"",""),"3",""))+LEN(IFERROR(INDEX('Saisie programme'!$D$13:$J$477,436,WEEKDAY($K$93-2,2))&amp;"",""))-LEN(SUBSTITUTE(IFERROR(INDEX('Saisie programme'!$D$13:$J$477,436,WEEKDAY($K$93-2,2))&amp;"",""),"3",""))</f>
        <v>0</v>
      </c>
      <c r="O142" s="12" t="s">
        <v>25</v>
      </c>
      <c r="P142" s="12" t="s">
        <v>11</v>
      </c>
    </row>
    <row r="143" customFormat="false" ht="15" hidden="false" customHeight="false" outlineLevel="0" collapsed="false">
      <c r="B143" s="10" t="s">
        <v>144</v>
      </c>
      <c r="C143" s="34" t="n">
        <f aca="false">LEN(IFERROR(INDEX('Saisie programme'!$D$13:$J$477,8,WEEKDAY($K$82-0,2))&amp;"",""))-LEN(SUBSTITUTE(IFERROR(INDEX('Saisie programme'!$D$13:$J$477,8,WEEKDAY($K$82-0,2))&amp;"",""),"1",""))+LEN(IFERROR(INDEX('Saisie programme'!$D$13:$J$477,8,WEEKDAY($K$82-0,2))&amp;"",""))-LEN(SUBSTITUTE(IFERROR(INDEX('Saisie programme'!$D$13:$J$477,8,WEEKDAY($K$82-0,2))&amp;"",""),"2",""))+LEN(IFERROR(INDEX('Saisie programme'!$D$13:$J$477,8,WEEKDAY($K$82-1,2))&amp;"",""))-LEN(SUBSTITUTE(IFERROR(INDEX('Saisie programme'!$D$13:$J$477,8,WEEKDAY($K$82-1,2))&amp;"",""),"2",""))+LEN(IFERROR(INDEX('Saisie programme'!$D$13:$J$477,8,WEEKDAY($K$82-0,2))&amp;"",""))-LEN(SUBSTITUTE(IFERROR(INDEX('Saisie programme'!$D$13:$J$477,8,WEEKDAY($K$82-0,2))&amp;"",""),"3",""))+LEN(IFERROR(INDEX('Saisie programme'!$D$13:$J$477,8,WEEKDAY($K$82-1,2))&amp;"",""))-LEN(SUBSTITUTE(IFERROR(INDEX('Saisie programme'!$D$13:$J$477,8,WEEKDAY($K$82-1,2))&amp;"",""),"3",""))+LEN(IFERROR(INDEX('Saisie programme'!$D$13:$J$477,8,WEEKDAY($K$82-2,2))&amp;"",""))-LEN(SUBSTITUTE(IFERROR(INDEX('Saisie programme'!$D$13:$J$477,8,WEEKDAY($K$82-2,2))&amp;"",""),"3",""))</f>
        <v>0</v>
      </c>
      <c r="D143" s="34" t="n">
        <f aca="false">LEN(IFERROR(INDEX('Saisie programme'!$D$13:$J$477,47,WEEKDAY($K$83-0,2))&amp;"",""))-LEN(SUBSTITUTE(IFERROR(INDEX('Saisie programme'!$D$13:$J$477,47,WEEKDAY($K$83-0,2))&amp;"",""),"1",""))+LEN(IFERROR(INDEX('Saisie programme'!$D$13:$J$477,47,WEEKDAY($K$83-0,2))&amp;"",""))-LEN(SUBSTITUTE(IFERROR(INDEX('Saisie programme'!$D$13:$J$477,47,WEEKDAY($K$83-0,2))&amp;"",""),"2",""))+LEN(IFERROR(INDEX('Saisie programme'!$D$13:$J$477,47,WEEKDAY($K$83-1,2))&amp;"",""))-LEN(SUBSTITUTE(IFERROR(INDEX('Saisie programme'!$D$13:$J$477,47,WEEKDAY($K$83-1,2))&amp;"",""),"2",""))+LEN(IFERROR(INDEX('Saisie programme'!$D$13:$J$477,47,WEEKDAY($K$83-0,2))&amp;"",""))-LEN(SUBSTITUTE(IFERROR(INDEX('Saisie programme'!$D$13:$J$477,47,WEEKDAY($K$83-0,2))&amp;"",""),"3",""))+LEN(IFERROR(INDEX('Saisie programme'!$D$13:$J$477,47,WEEKDAY($K$83-1,2))&amp;"",""))-LEN(SUBSTITUTE(IFERROR(INDEX('Saisie programme'!$D$13:$J$477,47,WEEKDAY($K$83-1,2))&amp;"",""),"3",""))+LEN(IFERROR(INDEX('Saisie programme'!$D$13:$J$477,47,WEEKDAY($K$83-2,2))&amp;"",""))-LEN(SUBSTITUTE(IFERROR(INDEX('Saisie programme'!$D$13:$J$477,47,WEEKDAY($K$83-2,2))&amp;"",""),"3",""))</f>
        <v>0</v>
      </c>
      <c r="E143" s="34" t="n">
        <f aca="false">LEN(IFERROR(INDEX('Saisie programme'!$D$13:$J$477,86,WEEKDAY($K$84-0,2))&amp;"",""))-LEN(SUBSTITUTE(IFERROR(INDEX('Saisie programme'!$D$13:$J$477,86,WEEKDAY($K$84-0,2))&amp;"",""),"1",""))+LEN(IFERROR(INDEX('Saisie programme'!$D$13:$J$477,86,WEEKDAY($K$84-0,2))&amp;"",""))-LEN(SUBSTITUTE(IFERROR(INDEX('Saisie programme'!$D$13:$J$477,86,WEEKDAY($K$84-0,2))&amp;"",""),"2",""))+LEN(IFERROR(INDEX('Saisie programme'!$D$13:$J$477,86,WEEKDAY($K$84-1,2))&amp;"",""))-LEN(SUBSTITUTE(IFERROR(INDEX('Saisie programme'!$D$13:$J$477,86,WEEKDAY($K$84-1,2))&amp;"",""),"2",""))+LEN(IFERROR(INDEX('Saisie programme'!$D$13:$J$477,86,WEEKDAY($K$84-0,2))&amp;"",""))-LEN(SUBSTITUTE(IFERROR(INDEX('Saisie programme'!$D$13:$J$477,86,WEEKDAY($K$84-0,2))&amp;"",""),"3",""))+LEN(IFERROR(INDEX('Saisie programme'!$D$13:$J$477,86,WEEKDAY($K$84-1,2))&amp;"",""))-LEN(SUBSTITUTE(IFERROR(INDEX('Saisie programme'!$D$13:$J$477,86,WEEKDAY($K$84-1,2))&amp;"",""),"3",""))+LEN(IFERROR(INDEX('Saisie programme'!$D$13:$J$477,86,WEEKDAY($K$84-2,2))&amp;"",""))-LEN(SUBSTITUTE(IFERROR(INDEX('Saisie programme'!$D$13:$J$477,86,WEEKDAY($K$84-2,2))&amp;"",""),"3",""))</f>
        <v>1</v>
      </c>
      <c r="F143" s="34" t="n">
        <f aca="false">LEN(IFERROR(INDEX('Saisie programme'!$D$13:$J$477,125,WEEKDAY($K$85-0,2))&amp;"",""))-LEN(SUBSTITUTE(IFERROR(INDEX('Saisie programme'!$D$13:$J$477,125,WEEKDAY($K$85-0,2))&amp;"",""),"1",""))+LEN(IFERROR(INDEX('Saisie programme'!$D$13:$J$477,125,WEEKDAY($K$85-0,2))&amp;"",""))-LEN(SUBSTITUTE(IFERROR(INDEX('Saisie programme'!$D$13:$J$477,125,WEEKDAY($K$85-0,2))&amp;"",""),"2",""))+LEN(IFERROR(INDEX('Saisie programme'!$D$13:$J$477,125,WEEKDAY($K$85-1,2))&amp;"",""))-LEN(SUBSTITUTE(IFERROR(INDEX('Saisie programme'!$D$13:$J$477,125,WEEKDAY($K$85-1,2))&amp;"",""),"2",""))+LEN(IFERROR(INDEX('Saisie programme'!$D$13:$J$477,125,WEEKDAY($K$85-0,2))&amp;"",""))-LEN(SUBSTITUTE(IFERROR(INDEX('Saisie programme'!$D$13:$J$477,125,WEEKDAY($K$85-0,2))&amp;"",""),"3",""))+LEN(IFERROR(INDEX('Saisie programme'!$D$13:$J$477,125,WEEKDAY($K$85-1,2))&amp;"",""))-LEN(SUBSTITUTE(IFERROR(INDEX('Saisie programme'!$D$13:$J$477,125,WEEKDAY($K$85-1,2))&amp;"",""),"3",""))+LEN(IFERROR(INDEX('Saisie programme'!$D$13:$J$477,125,WEEKDAY($K$85-2,2))&amp;"",""))-LEN(SUBSTITUTE(IFERROR(INDEX('Saisie programme'!$D$13:$J$477,125,WEEKDAY($K$85-2,2))&amp;"",""),"3",""))</f>
        <v>1</v>
      </c>
      <c r="G143" s="34" t="n">
        <f aca="false">LEN(IFERROR(INDEX('Saisie programme'!$D$13:$J$477,164,WEEKDAY($K$86-0,2))&amp;"",""))-LEN(SUBSTITUTE(IFERROR(INDEX('Saisie programme'!$D$13:$J$477,164,WEEKDAY($K$86-0,2))&amp;"",""),"1",""))+LEN(IFERROR(INDEX('Saisie programme'!$D$13:$J$477,164,WEEKDAY($K$86-0,2))&amp;"",""))-LEN(SUBSTITUTE(IFERROR(INDEX('Saisie programme'!$D$13:$J$477,164,WEEKDAY($K$86-0,2))&amp;"",""),"2",""))+LEN(IFERROR(INDEX('Saisie programme'!$D$13:$J$477,164,WEEKDAY($K$86-1,2))&amp;"",""))-LEN(SUBSTITUTE(IFERROR(INDEX('Saisie programme'!$D$13:$J$477,164,WEEKDAY($K$86-1,2))&amp;"",""),"2",""))+LEN(IFERROR(INDEX('Saisie programme'!$D$13:$J$477,164,WEEKDAY($K$86-0,2))&amp;"",""))-LEN(SUBSTITUTE(IFERROR(INDEX('Saisie programme'!$D$13:$J$477,164,WEEKDAY($K$86-0,2))&amp;"",""),"3",""))+LEN(IFERROR(INDEX('Saisie programme'!$D$13:$J$477,164,WEEKDAY($K$86-1,2))&amp;"",""))-LEN(SUBSTITUTE(IFERROR(INDEX('Saisie programme'!$D$13:$J$477,164,WEEKDAY($K$86-1,2))&amp;"",""),"3",""))+LEN(IFERROR(INDEX('Saisie programme'!$D$13:$J$477,164,WEEKDAY($K$86-2,2))&amp;"",""))-LEN(SUBSTITUTE(IFERROR(INDEX('Saisie programme'!$D$13:$J$477,164,WEEKDAY($K$86-2,2))&amp;"",""),"3",""))</f>
        <v>0</v>
      </c>
      <c r="H143" s="34" t="n">
        <f aca="false">LEN(IFERROR(INDEX('Saisie programme'!$D$13:$J$477,203,WEEKDAY($K$87-0,2))&amp;"",""))-LEN(SUBSTITUTE(IFERROR(INDEX('Saisie programme'!$D$13:$J$477,203,WEEKDAY($K$87-0,2))&amp;"",""),"1",""))+LEN(IFERROR(INDEX('Saisie programme'!$D$13:$J$477,203,WEEKDAY($K$87-0,2))&amp;"",""))-LEN(SUBSTITUTE(IFERROR(INDEX('Saisie programme'!$D$13:$J$477,203,WEEKDAY($K$87-0,2))&amp;"",""),"2",""))+LEN(IFERROR(INDEX('Saisie programme'!$D$13:$J$477,203,WEEKDAY($K$87-1,2))&amp;"",""))-LEN(SUBSTITUTE(IFERROR(INDEX('Saisie programme'!$D$13:$J$477,203,WEEKDAY($K$87-1,2))&amp;"",""),"2",""))+LEN(IFERROR(INDEX('Saisie programme'!$D$13:$J$477,203,WEEKDAY($K$87-0,2))&amp;"",""))-LEN(SUBSTITUTE(IFERROR(INDEX('Saisie programme'!$D$13:$J$477,203,WEEKDAY($K$87-0,2))&amp;"",""),"3",""))+LEN(IFERROR(INDEX('Saisie programme'!$D$13:$J$477,203,WEEKDAY($K$87-1,2))&amp;"",""))-LEN(SUBSTITUTE(IFERROR(INDEX('Saisie programme'!$D$13:$J$477,203,WEEKDAY($K$87-1,2))&amp;"",""),"3",""))+LEN(IFERROR(INDEX('Saisie programme'!$D$13:$J$477,203,WEEKDAY($K$87-2,2))&amp;"",""))-LEN(SUBSTITUTE(IFERROR(INDEX('Saisie programme'!$D$13:$J$477,203,WEEKDAY($K$87-2,2))&amp;"",""),"3",""))</f>
        <v>0</v>
      </c>
      <c r="I143" s="34" t="n">
        <f aca="false">LEN(IFERROR(INDEX('Saisie programme'!$D$13:$J$477,242,WEEKDAY($K$88-0,2))&amp;"",""))-LEN(SUBSTITUTE(IFERROR(INDEX('Saisie programme'!$D$13:$J$477,242,WEEKDAY($K$88-0,2))&amp;"",""),"1",""))+LEN(IFERROR(INDEX('Saisie programme'!$D$13:$J$477,242,WEEKDAY($K$88-0,2))&amp;"",""))-LEN(SUBSTITUTE(IFERROR(INDEX('Saisie programme'!$D$13:$J$477,242,WEEKDAY($K$88-0,2))&amp;"",""),"2",""))+LEN(IFERROR(INDEX('Saisie programme'!$D$13:$J$477,242,WEEKDAY($K$88-1,2))&amp;"",""))-LEN(SUBSTITUTE(IFERROR(INDEX('Saisie programme'!$D$13:$J$477,242,WEEKDAY($K$88-1,2))&amp;"",""),"2",""))+LEN(IFERROR(INDEX('Saisie programme'!$D$13:$J$477,242,WEEKDAY($K$88-0,2))&amp;"",""))-LEN(SUBSTITUTE(IFERROR(INDEX('Saisie programme'!$D$13:$J$477,242,WEEKDAY($K$88-0,2))&amp;"",""),"3",""))+LEN(IFERROR(INDEX('Saisie programme'!$D$13:$J$477,242,WEEKDAY($K$88-1,2))&amp;"",""))-LEN(SUBSTITUTE(IFERROR(INDEX('Saisie programme'!$D$13:$J$477,242,WEEKDAY($K$88-1,2))&amp;"",""),"3",""))+LEN(IFERROR(INDEX('Saisie programme'!$D$13:$J$477,242,WEEKDAY($K$88-2,2))&amp;"",""))-LEN(SUBSTITUTE(IFERROR(INDEX('Saisie programme'!$D$13:$J$477,242,WEEKDAY($K$88-2,2))&amp;"",""),"3",""))</f>
        <v>0</v>
      </c>
      <c r="J143" s="34" t="n">
        <f aca="false">LEN(IFERROR(INDEX('Saisie programme'!$D$13:$J$477,281,WEEKDAY($K$89-0,2))&amp;"",""))-LEN(SUBSTITUTE(IFERROR(INDEX('Saisie programme'!$D$13:$J$477,281,WEEKDAY($K$89-0,2))&amp;"",""),"1",""))+LEN(IFERROR(INDEX('Saisie programme'!$D$13:$J$477,281,WEEKDAY($K$89-0,2))&amp;"",""))-LEN(SUBSTITUTE(IFERROR(INDEX('Saisie programme'!$D$13:$J$477,281,WEEKDAY($K$89-0,2))&amp;"",""),"2",""))+LEN(IFERROR(INDEX('Saisie programme'!$D$13:$J$477,281,WEEKDAY($K$89-1,2))&amp;"",""))-LEN(SUBSTITUTE(IFERROR(INDEX('Saisie programme'!$D$13:$J$477,281,WEEKDAY($K$89-1,2))&amp;"",""),"2",""))+LEN(IFERROR(INDEX('Saisie programme'!$D$13:$J$477,281,WEEKDAY($K$89-0,2))&amp;"",""))-LEN(SUBSTITUTE(IFERROR(INDEX('Saisie programme'!$D$13:$J$477,281,WEEKDAY($K$89-0,2))&amp;"",""),"3",""))+LEN(IFERROR(INDEX('Saisie programme'!$D$13:$J$477,281,WEEKDAY($K$89-1,2))&amp;"",""))-LEN(SUBSTITUTE(IFERROR(INDEX('Saisie programme'!$D$13:$J$477,281,WEEKDAY($K$89-1,2))&amp;"",""),"3",""))+LEN(IFERROR(INDEX('Saisie programme'!$D$13:$J$477,281,WEEKDAY($K$89-2,2))&amp;"",""))-LEN(SUBSTITUTE(IFERROR(INDEX('Saisie programme'!$D$13:$J$477,281,WEEKDAY($K$89-2,2))&amp;"",""),"3",""))</f>
        <v>0</v>
      </c>
      <c r="K143" s="34" t="n">
        <f aca="false">LEN(IFERROR(INDEX('Saisie programme'!$D$13:$J$477,320,WEEKDAY($K$90-0,2))&amp;"",""))-LEN(SUBSTITUTE(IFERROR(INDEX('Saisie programme'!$D$13:$J$477,320,WEEKDAY($K$90-0,2))&amp;"",""),"1",""))+LEN(IFERROR(INDEX('Saisie programme'!$D$13:$J$477,320,WEEKDAY($K$90-0,2))&amp;"",""))-LEN(SUBSTITUTE(IFERROR(INDEX('Saisie programme'!$D$13:$J$477,320,WEEKDAY($K$90-0,2))&amp;"",""),"2",""))+LEN(IFERROR(INDEX('Saisie programme'!$D$13:$J$477,320,WEEKDAY($K$90-1,2))&amp;"",""))-LEN(SUBSTITUTE(IFERROR(INDEX('Saisie programme'!$D$13:$J$477,320,WEEKDAY($K$90-1,2))&amp;"",""),"2",""))+LEN(IFERROR(INDEX('Saisie programme'!$D$13:$J$477,320,WEEKDAY($K$90-0,2))&amp;"",""))-LEN(SUBSTITUTE(IFERROR(INDEX('Saisie programme'!$D$13:$J$477,320,WEEKDAY($K$90-0,2))&amp;"",""),"3",""))+LEN(IFERROR(INDEX('Saisie programme'!$D$13:$J$477,320,WEEKDAY($K$90-1,2))&amp;"",""))-LEN(SUBSTITUTE(IFERROR(INDEX('Saisie programme'!$D$13:$J$477,320,WEEKDAY($K$90-1,2))&amp;"",""),"3",""))+LEN(IFERROR(INDEX('Saisie programme'!$D$13:$J$477,320,WEEKDAY($K$90-2,2))&amp;"",""))-LEN(SUBSTITUTE(IFERROR(INDEX('Saisie programme'!$D$13:$J$477,320,WEEKDAY($K$90-2,2))&amp;"",""),"3",""))</f>
        <v>0</v>
      </c>
      <c r="L143" s="34" t="n">
        <f aca="false">LEN(IFERROR(INDEX('Saisie programme'!$D$13:$J$477,359,WEEKDAY($K$91-0,2))&amp;"",""))-LEN(SUBSTITUTE(IFERROR(INDEX('Saisie programme'!$D$13:$J$477,359,WEEKDAY($K$91-0,2))&amp;"",""),"1",""))+LEN(IFERROR(INDEX('Saisie programme'!$D$13:$J$477,359,WEEKDAY($K$91-0,2))&amp;"",""))-LEN(SUBSTITUTE(IFERROR(INDEX('Saisie programme'!$D$13:$J$477,359,WEEKDAY($K$91-0,2))&amp;"",""),"2",""))+LEN(IFERROR(INDEX('Saisie programme'!$D$13:$J$477,359,WEEKDAY($K$91-1,2))&amp;"",""))-LEN(SUBSTITUTE(IFERROR(INDEX('Saisie programme'!$D$13:$J$477,359,WEEKDAY($K$91-1,2))&amp;"",""),"2",""))+LEN(IFERROR(INDEX('Saisie programme'!$D$13:$J$477,359,WEEKDAY($K$91-0,2))&amp;"",""))-LEN(SUBSTITUTE(IFERROR(INDEX('Saisie programme'!$D$13:$J$477,359,WEEKDAY($K$91-0,2))&amp;"",""),"3",""))+LEN(IFERROR(INDEX('Saisie programme'!$D$13:$J$477,359,WEEKDAY($K$91-1,2))&amp;"",""))-LEN(SUBSTITUTE(IFERROR(INDEX('Saisie programme'!$D$13:$J$477,359,WEEKDAY($K$91-1,2))&amp;"",""),"3",""))+LEN(IFERROR(INDEX('Saisie programme'!$D$13:$J$477,359,WEEKDAY($K$91-2,2))&amp;"",""))-LEN(SUBSTITUTE(IFERROR(INDEX('Saisie programme'!$D$13:$J$477,359,WEEKDAY($K$91-2,2))&amp;"",""),"3",""))</f>
        <v>0</v>
      </c>
      <c r="M143" s="34" t="n">
        <f aca="false">LEN(IFERROR(INDEX('Saisie programme'!$D$13:$J$477,398,WEEKDAY($K$92-0,2))&amp;"",""))-LEN(SUBSTITUTE(IFERROR(INDEX('Saisie programme'!$D$13:$J$477,398,WEEKDAY($K$92-0,2))&amp;"",""),"1",""))+LEN(IFERROR(INDEX('Saisie programme'!$D$13:$J$477,398,WEEKDAY($K$92-0,2))&amp;"",""))-LEN(SUBSTITUTE(IFERROR(INDEX('Saisie programme'!$D$13:$J$477,398,WEEKDAY($K$92-0,2))&amp;"",""),"2",""))+LEN(IFERROR(INDEX('Saisie programme'!$D$13:$J$477,398,WEEKDAY($K$92-1,2))&amp;"",""))-LEN(SUBSTITUTE(IFERROR(INDEX('Saisie programme'!$D$13:$J$477,398,WEEKDAY($K$92-1,2))&amp;"",""),"2",""))+LEN(IFERROR(INDEX('Saisie programme'!$D$13:$J$477,398,WEEKDAY($K$92-0,2))&amp;"",""))-LEN(SUBSTITUTE(IFERROR(INDEX('Saisie programme'!$D$13:$J$477,398,WEEKDAY($K$92-0,2))&amp;"",""),"3",""))+LEN(IFERROR(INDEX('Saisie programme'!$D$13:$J$477,398,WEEKDAY($K$92-1,2))&amp;"",""))-LEN(SUBSTITUTE(IFERROR(INDEX('Saisie programme'!$D$13:$J$477,398,WEEKDAY($K$92-1,2))&amp;"",""),"3",""))+LEN(IFERROR(INDEX('Saisie programme'!$D$13:$J$477,398,WEEKDAY($K$92-2,2))&amp;"",""))-LEN(SUBSTITUTE(IFERROR(INDEX('Saisie programme'!$D$13:$J$477,398,WEEKDAY($K$92-2,2))&amp;"",""),"3",""))</f>
        <v>0</v>
      </c>
      <c r="N143" s="34" t="n">
        <f aca="false">LEN(IFERROR(INDEX('Saisie programme'!$D$13:$J$477,437,WEEKDAY($K$93-0,2))&amp;"",""))-LEN(SUBSTITUTE(IFERROR(INDEX('Saisie programme'!$D$13:$J$477,437,WEEKDAY($K$93-0,2))&amp;"",""),"1",""))+LEN(IFERROR(INDEX('Saisie programme'!$D$13:$J$477,437,WEEKDAY($K$93-0,2))&amp;"",""))-LEN(SUBSTITUTE(IFERROR(INDEX('Saisie programme'!$D$13:$J$477,437,WEEKDAY($K$93-0,2))&amp;"",""),"2",""))+LEN(IFERROR(INDEX('Saisie programme'!$D$13:$J$477,437,WEEKDAY($K$93-1,2))&amp;"",""))-LEN(SUBSTITUTE(IFERROR(INDEX('Saisie programme'!$D$13:$J$477,437,WEEKDAY($K$93-1,2))&amp;"",""),"2",""))+LEN(IFERROR(INDEX('Saisie programme'!$D$13:$J$477,437,WEEKDAY($K$93-0,2))&amp;"",""))-LEN(SUBSTITUTE(IFERROR(INDEX('Saisie programme'!$D$13:$J$477,437,WEEKDAY($K$93-0,2))&amp;"",""),"3",""))+LEN(IFERROR(INDEX('Saisie programme'!$D$13:$J$477,437,WEEKDAY($K$93-1,2))&amp;"",""))-LEN(SUBSTITUTE(IFERROR(INDEX('Saisie programme'!$D$13:$J$477,437,WEEKDAY($K$93-1,2))&amp;"",""),"3",""))+LEN(IFERROR(INDEX('Saisie programme'!$D$13:$J$477,437,WEEKDAY($K$93-2,2))&amp;"",""))-LEN(SUBSTITUTE(IFERROR(INDEX('Saisie programme'!$D$13:$J$477,437,WEEKDAY($K$93-2,2))&amp;"",""),"3",""))</f>
        <v>0</v>
      </c>
      <c r="O143" s="12" t="s">
        <v>25</v>
      </c>
      <c r="P143" s="12" t="s">
        <v>19</v>
      </c>
    </row>
    <row r="144" customFormat="false" ht="15" hidden="false" customHeight="false" outlineLevel="0" collapsed="false">
      <c r="B144" s="10" t="s">
        <v>145</v>
      </c>
      <c r="C144" s="34" t="n">
        <f aca="false">LEN(IFERROR(INDEX('Saisie programme'!$D$13:$J$477,9,WEEKDAY($K$82-0,2))&amp;"",""))-LEN(SUBSTITUTE(IFERROR(INDEX('Saisie programme'!$D$13:$J$477,9,WEEKDAY($K$82-0,2))&amp;"",""),"1",""))+LEN(IFERROR(INDEX('Saisie programme'!$D$13:$J$477,9,WEEKDAY($K$82-0,2))&amp;"",""))-LEN(SUBSTITUTE(IFERROR(INDEX('Saisie programme'!$D$13:$J$477,9,WEEKDAY($K$82-0,2))&amp;"",""),"2",""))+LEN(IFERROR(INDEX('Saisie programme'!$D$13:$J$477,9,WEEKDAY($K$82-1,2))&amp;"",""))-LEN(SUBSTITUTE(IFERROR(INDEX('Saisie programme'!$D$13:$J$477,9,WEEKDAY($K$82-1,2))&amp;"",""),"2",""))+LEN(IFERROR(INDEX('Saisie programme'!$D$13:$J$477,9,WEEKDAY($K$82-0,2))&amp;"",""))-LEN(SUBSTITUTE(IFERROR(INDEX('Saisie programme'!$D$13:$J$477,9,WEEKDAY($K$82-0,2))&amp;"",""),"3",""))+LEN(IFERROR(INDEX('Saisie programme'!$D$13:$J$477,9,WEEKDAY($K$82-1,2))&amp;"",""))-LEN(SUBSTITUTE(IFERROR(INDEX('Saisie programme'!$D$13:$J$477,9,WEEKDAY($K$82-1,2))&amp;"",""),"3",""))+LEN(IFERROR(INDEX('Saisie programme'!$D$13:$J$477,9,WEEKDAY($K$82-2,2))&amp;"",""))-LEN(SUBSTITUTE(IFERROR(INDEX('Saisie programme'!$D$13:$J$477,9,WEEKDAY($K$82-2,2))&amp;"",""),"3",""))</f>
        <v>0</v>
      </c>
      <c r="D144" s="34" t="n">
        <f aca="false">LEN(IFERROR(INDEX('Saisie programme'!$D$13:$J$477,48,WEEKDAY($K$83-0,2))&amp;"",""))-LEN(SUBSTITUTE(IFERROR(INDEX('Saisie programme'!$D$13:$J$477,48,WEEKDAY($K$83-0,2))&amp;"",""),"1",""))+LEN(IFERROR(INDEX('Saisie programme'!$D$13:$J$477,48,WEEKDAY($K$83-0,2))&amp;"",""))-LEN(SUBSTITUTE(IFERROR(INDEX('Saisie programme'!$D$13:$J$477,48,WEEKDAY($K$83-0,2))&amp;"",""),"2",""))+LEN(IFERROR(INDEX('Saisie programme'!$D$13:$J$477,48,WEEKDAY($K$83-1,2))&amp;"",""))-LEN(SUBSTITUTE(IFERROR(INDEX('Saisie programme'!$D$13:$J$477,48,WEEKDAY($K$83-1,2))&amp;"",""),"2",""))+LEN(IFERROR(INDEX('Saisie programme'!$D$13:$J$477,48,WEEKDAY($K$83-0,2))&amp;"",""))-LEN(SUBSTITUTE(IFERROR(INDEX('Saisie programme'!$D$13:$J$477,48,WEEKDAY($K$83-0,2))&amp;"",""),"3",""))+LEN(IFERROR(INDEX('Saisie programme'!$D$13:$J$477,48,WEEKDAY($K$83-1,2))&amp;"",""))-LEN(SUBSTITUTE(IFERROR(INDEX('Saisie programme'!$D$13:$J$477,48,WEEKDAY($K$83-1,2))&amp;"",""),"3",""))+LEN(IFERROR(INDEX('Saisie programme'!$D$13:$J$477,48,WEEKDAY($K$83-2,2))&amp;"",""))-LEN(SUBSTITUTE(IFERROR(INDEX('Saisie programme'!$D$13:$J$477,48,WEEKDAY($K$83-2,2))&amp;"",""),"3",""))</f>
        <v>0</v>
      </c>
      <c r="E144" s="34" t="n">
        <f aca="false">LEN(IFERROR(INDEX('Saisie programme'!$D$13:$J$477,87,WEEKDAY($K$84-0,2))&amp;"",""))-LEN(SUBSTITUTE(IFERROR(INDEX('Saisie programme'!$D$13:$J$477,87,WEEKDAY($K$84-0,2))&amp;"",""),"1",""))+LEN(IFERROR(INDEX('Saisie programme'!$D$13:$J$477,87,WEEKDAY($K$84-0,2))&amp;"",""))-LEN(SUBSTITUTE(IFERROR(INDEX('Saisie programme'!$D$13:$J$477,87,WEEKDAY($K$84-0,2))&amp;"",""),"2",""))+LEN(IFERROR(INDEX('Saisie programme'!$D$13:$J$477,87,WEEKDAY($K$84-1,2))&amp;"",""))-LEN(SUBSTITUTE(IFERROR(INDEX('Saisie programme'!$D$13:$J$477,87,WEEKDAY($K$84-1,2))&amp;"",""),"2",""))+LEN(IFERROR(INDEX('Saisie programme'!$D$13:$J$477,87,WEEKDAY($K$84-0,2))&amp;"",""))-LEN(SUBSTITUTE(IFERROR(INDEX('Saisie programme'!$D$13:$J$477,87,WEEKDAY($K$84-0,2))&amp;"",""),"3",""))+LEN(IFERROR(INDEX('Saisie programme'!$D$13:$J$477,87,WEEKDAY($K$84-1,2))&amp;"",""))-LEN(SUBSTITUTE(IFERROR(INDEX('Saisie programme'!$D$13:$J$477,87,WEEKDAY($K$84-1,2))&amp;"",""),"3",""))+LEN(IFERROR(INDEX('Saisie programme'!$D$13:$J$477,87,WEEKDAY($K$84-2,2))&amp;"",""))-LEN(SUBSTITUTE(IFERROR(INDEX('Saisie programme'!$D$13:$J$477,87,WEEKDAY($K$84-2,2))&amp;"",""),"3",""))</f>
        <v>0</v>
      </c>
      <c r="F144" s="34" t="n">
        <f aca="false">LEN(IFERROR(INDEX('Saisie programme'!$D$13:$J$477,126,WEEKDAY($K$85-0,2))&amp;"",""))-LEN(SUBSTITUTE(IFERROR(INDEX('Saisie programme'!$D$13:$J$477,126,WEEKDAY($K$85-0,2))&amp;"",""),"1",""))+LEN(IFERROR(INDEX('Saisie programme'!$D$13:$J$477,126,WEEKDAY($K$85-0,2))&amp;"",""))-LEN(SUBSTITUTE(IFERROR(INDEX('Saisie programme'!$D$13:$J$477,126,WEEKDAY($K$85-0,2))&amp;"",""),"2",""))+LEN(IFERROR(INDEX('Saisie programme'!$D$13:$J$477,126,WEEKDAY($K$85-1,2))&amp;"",""))-LEN(SUBSTITUTE(IFERROR(INDEX('Saisie programme'!$D$13:$J$477,126,WEEKDAY($K$85-1,2))&amp;"",""),"2",""))+LEN(IFERROR(INDEX('Saisie programme'!$D$13:$J$477,126,WEEKDAY($K$85-0,2))&amp;"",""))-LEN(SUBSTITUTE(IFERROR(INDEX('Saisie programme'!$D$13:$J$477,126,WEEKDAY($K$85-0,2))&amp;"",""),"3",""))+LEN(IFERROR(INDEX('Saisie programme'!$D$13:$J$477,126,WEEKDAY($K$85-1,2))&amp;"",""))-LEN(SUBSTITUTE(IFERROR(INDEX('Saisie programme'!$D$13:$J$477,126,WEEKDAY($K$85-1,2))&amp;"",""),"3",""))+LEN(IFERROR(INDEX('Saisie programme'!$D$13:$J$477,126,WEEKDAY($K$85-2,2))&amp;"",""))-LEN(SUBSTITUTE(IFERROR(INDEX('Saisie programme'!$D$13:$J$477,126,WEEKDAY($K$85-2,2))&amp;"",""),"3",""))</f>
        <v>0</v>
      </c>
      <c r="G144" s="34" t="n">
        <f aca="false">LEN(IFERROR(INDEX('Saisie programme'!$D$13:$J$477,165,WEEKDAY($K$86-0,2))&amp;"",""))-LEN(SUBSTITUTE(IFERROR(INDEX('Saisie programme'!$D$13:$J$477,165,WEEKDAY($K$86-0,2))&amp;"",""),"1",""))+LEN(IFERROR(INDEX('Saisie programme'!$D$13:$J$477,165,WEEKDAY($K$86-0,2))&amp;"",""))-LEN(SUBSTITUTE(IFERROR(INDEX('Saisie programme'!$D$13:$J$477,165,WEEKDAY($K$86-0,2))&amp;"",""),"2",""))+LEN(IFERROR(INDEX('Saisie programme'!$D$13:$J$477,165,WEEKDAY($K$86-1,2))&amp;"",""))-LEN(SUBSTITUTE(IFERROR(INDEX('Saisie programme'!$D$13:$J$477,165,WEEKDAY($K$86-1,2))&amp;"",""),"2",""))+LEN(IFERROR(INDEX('Saisie programme'!$D$13:$J$477,165,WEEKDAY($K$86-0,2))&amp;"",""))-LEN(SUBSTITUTE(IFERROR(INDEX('Saisie programme'!$D$13:$J$477,165,WEEKDAY($K$86-0,2))&amp;"",""),"3",""))+LEN(IFERROR(INDEX('Saisie programme'!$D$13:$J$477,165,WEEKDAY($K$86-1,2))&amp;"",""))-LEN(SUBSTITUTE(IFERROR(INDEX('Saisie programme'!$D$13:$J$477,165,WEEKDAY($K$86-1,2))&amp;"",""),"3",""))+LEN(IFERROR(INDEX('Saisie programme'!$D$13:$J$477,165,WEEKDAY($K$86-2,2))&amp;"",""))-LEN(SUBSTITUTE(IFERROR(INDEX('Saisie programme'!$D$13:$J$477,165,WEEKDAY($K$86-2,2))&amp;"",""),"3",""))</f>
        <v>0</v>
      </c>
      <c r="H144" s="34" t="n">
        <f aca="false">LEN(IFERROR(INDEX('Saisie programme'!$D$13:$J$477,204,WEEKDAY($K$87-0,2))&amp;"",""))-LEN(SUBSTITUTE(IFERROR(INDEX('Saisie programme'!$D$13:$J$477,204,WEEKDAY($K$87-0,2))&amp;"",""),"1",""))+LEN(IFERROR(INDEX('Saisie programme'!$D$13:$J$477,204,WEEKDAY($K$87-0,2))&amp;"",""))-LEN(SUBSTITUTE(IFERROR(INDEX('Saisie programme'!$D$13:$J$477,204,WEEKDAY($K$87-0,2))&amp;"",""),"2",""))+LEN(IFERROR(INDEX('Saisie programme'!$D$13:$J$477,204,WEEKDAY($K$87-1,2))&amp;"",""))-LEN(SUBSTITUTE(IFERROR(INDEX('Saisie programme'!$D$13:$J$477,204,WEEKDAY($K$87-1,2))&amp;"",""),"2",""))+LEN(IFERROR(INDEX('Saisie programme'!$D$13:$J$477,204,WEEKDAY($K$87-0,2))&amp;"",""))-LEN(SUBSTITUTE(IFERROR(INDEX('Saisie programme'!$D$13:$J$477,204,WEEKDAY($K$87-0,2))&amp;"",""),"3",""))+LEN(IFERROR(INDEX('Saisie programme'!$D$13:$J$477,204,WEEKDAY($K$87-1,2))&amp;"",""))-LEN(SUBSTITUTE(IFERROR(INDEX('Saisie programme'!$D$13:$J$477,204,WEEKDAY($K$87-1,2))&amp;"",""),"3",""))+LEN(IFERROR(INDEX('Saisie programme'!$D$13:$J$477,204,WEEKDAY($K$87-2,2))&amp;"",""))-LEN(SUBSTITUTE(IFERROR(INDEX('Saisie programme'!$D$13:$J$477,204,WEEKDAY($K$87-2,2))&amp;"",""),"3",""))</f>
        <v>0</v>
      </c>
      <c r="I144" s="34" t="n">
        <f aca="false">LEN(IFERROR(INDEX('Saisie programme'!$D$13:$J$477,243,WEEKDAY($K$88-0,2))&amp;"",""))-LEN(SUBSTITUTE(IFERROR(INDEX('Saisie programme'!$D$13:$J$477,243,WEEKDAY($K$88-0,2))&amp;"",""),"1",""))+LEN(IFERROR(INDEX('Saisie programme'!$D$13:$J$477,243,WEEKDAY($K$88-0,2))&amp;"",""))-LEN(SUBSTITUTE(IFERROR(INDEX('Saisie programme'!$D$13:$J$477,243,WEEKDAY($K$88-0,2))&amp;"",""),"2",""))+LEN(IFERROR(INDEX('Saisie programme'!$D$13:$J$477,243,WEEKDAY($K$88-1,2))&amp;"",""))-LEN(SUBSTITUTE(IFERROR(INDEX('Saisie programme'!$D$13:$J$477,243,WEEKDAY($K$88-1,2))&amp;"",""),"2",""))+LEN(IFERROR(INDEX('Saisie programme'!$D$13:$J$477,243,WEEKDAY($K$88-0,2))&amp;"",""))-LEN(SUBSTITUTE(IFERROR(INDEX('Saisie programme'!$D$13:$J$477,243,WEEKDAY($K$88-0,2))&amp;"",""),"3",""))+LEN(IFERROR(INDEX('Saisie programme'!$D$13:$J$477,243,WEEKDAY($K$88-1,2))&amp;"",""))-LEN(SUBSTITUTE(IFERROR(INDEX('Saisie programme'!$D$13:$J$477,243,WEEKDAY($K$88-1,2))&amp;"",""),"3",""))+LEN(IFERROR(INDEX('Saisie programme'!$D$13:$J$477,243,WEEKDAY($K$88-2,2))&amp;"",""))-LEN(SUBSTITUTE(IFERROR(INDEX('Saisie programme'!$D$13:$J$477,243,WEEKDAY($K$88-2,2))&amp;"",""),"3",""))</f>
        <v>0</v>
      </c>
      <c r="J144" s="34" t="n">
        <f aca="false">LEN(IFERROR(INDEX('Saisie programme'!$D$13:$J$477,282,WEEKDAY($K$89-0,2))&amp;"",""))-LEN(SUBSTITUTE(IFERROR(INDEX('Saisie programme'!$D$13:$J$477,282,WEEKDAY($K$89-0,2))&amp;"",""),"1",""))+LEN(IFERROR(INDEX('Saisie programme'!$D$13:$J$477,282,WEEKDAY($K$89-0,2))&amp;"",""))-LEN(SUBSTITUTE(IFERROR(INDEX('Saisie programme'!$D$13:$J$477,282,WEEKDAY($K$89-0,2))&amp;"",""),"2",""))+LEN(IFERROR(INDEX('Saisie programme'!$D$13:$J$477,282,WEEKDAY($K$89-1,2))&amp;"",""))-LEN(SUBSTITUTE(IFERROR(INDEX('Saisie programme'!$D$13:$J$477,282,WEEKDAY($K$89-1,2))&amp;"",""),"2",""))+LEN(IFERROR(INDEX('Saisie programme'!$D$13:$J$477,282,WEEKDAY($K$89-0,2))&amp;"",""))-LEN(SUBSTITUTE(IFERROR(INDEX('Saisie programme'!$D$13:$J$477,282,WEEKDAY($K$89-0,2))&amp;"",""),"3",""))+LEN(IFERROR(INDEX('Saisie programme'!$D$13:$J$477,282,WEEKDAY($K$89-1,2))&amp;"",""))-LEN(SUBSTITUTE(IFERROR(INDEX('Saisie programme'!$D$13:$J$477,282,WEEKDAY($K$89-1,2))&amp;"",""),"3",""))+LEN(IFERROR(INDEX('Saisie programme'!$D$13:$J$477,282,WEEKDAY($K$89-2,2))&amp;"",""))-LEN(SUBSTITUTE(IFERROR(INDEX('Saisie programme'!$D$13:$J$477,282,WEEKDAY($K$89-2,2))&amp;"",""),"3",""))</f>
        <v>0</v>
      </c>
      <c r="K144" s="34" t="n">
        <f aca="false">LEN(IFERROR(INDEX('Saisie programme'!$D$13:$J$477,321,WEEKDAY($K$90-0,2))&amp;"",""))-LEN(SUBSTITUTE(IFERROR(INDEX('Saisie programme'!$D$13:$J$477,321,WEEKDAY($K$90-0,2))&amp;"",""),"1",""))+LEN(IFERROR(INDEX('Saisie programme'!$D$13:$J$477,321,WEEKDAY($K$90-0,2))&amp;"",""))-LEN(SUBSTITUTE(IFERROR(INDEX('Saisie programme'!$D$13:$J$477,321,WEEKDAY($K$90-0,2))&amp;"",""),"2",""))+LEN(IFERROR(INDEX('Saisie programme'!$D$13:$J$477,321,WEEKDAY($K$90-1,2))&amp;"",""))-LEN(SUBSTITUTE(IFERROR(INDEX('Saisie programme'!$D$13:$J$477,321,WEEKDAY($K$90-1,2))&amp;"",""),"2",""))+LEN(IFERROR(INDEX('Saisie programme'!$D$13:$J$477,321,WEEKDAY($K$90-0,2))&amp;"",""))-LEN(SUBSTITUTE(IFERROR(INDEX('Saisie programme'!$D$13:$J$477,321,WEEKDAY($K$90-0,2))&amp;"",""),"3",""))+LEN(IFERROR(INDEX('Saisie programme'!$D$13:$J$477,321,WEEKDAY($K$90-1,2))&amp;"",""))-LEN(SUBSTITUTE(IFERROR(INDEX('Saisie programme'!$D$13:$J$477,321,WEEKDAY($K$90-1,2))&amp;"",""),"3",""))+LEN(IFERROR(INDEX('Saisie programme'!$D$13:$J$477,321,WEEKDAY($K$90-2,2))&amp;"",""))-LEN(SUBSTITUTE(IFERROR(INDEX('Saisie programme'!$D$13:$J$477,321,WEEKDAY($K$90-2,2))&amp;"",""),"3",""))</f>
        <v>0</v>
      </c>
      <c r="L144" s="34" t="n">
        <f aca="false">LEN(IFERROR(INDEX('Saisie programme'!$D$13:$J$477,360,WEEKDAY($K$91-0,2))&amp;"",""))-LEN(SUBSTITUTE(IFERROR(INDEX('Saisie programme'!$D$13:$J$477,360,WEEKDAY($K$91-0,2))&amp;"",""),"1",""))+LEN(IFERROR(INDEX('Saisie programme'!$D$13:$J$477,360,WEEKDAY($K$91-0,2))&amp;"",""))-LEN(SUBSTITUTE(IFERROR(INDEX('Saisie programme'!$D$13:$J$477,360,WEEKDAY($K$91-0,2))&amp;"",""),"2",""))+LEN(IFERROR(INDEX('Saisie programme'!$D$13:$J$477,360,WEEKDAY($K$91-1,2))&amp;"",""))-LEN(SUBSTITUTE(IFERROR(INDEX('Saisie programme'!$D$13:$J$477,360,WEEKDAY($K$91-1,2))&amp;"",""),"2",""))+LEN(IFERROR(INDEX('Saisie programme'!$D$13:$J$477,360,WEEKDAY($K$91-0,2))&amp;"",""))-LEN(SUBSTITUTE(IFERROR(INDEX('Saisie programme'!$D$13:$J$477,360,WEEKDAY($K$91-0,2))&amp;"",""),"3",""))+LEN(IFERROR(INDEX('Saisie programme'!$D$13:$J$477,360,WEEKDAY($K$91-1,2))&amp;"",""))-LEN(SUBSTITUTE(IFERROR(INDEX('Saisie programme'!$D$13:$J$477,360,WEEKDAY($K$91-1,2))&amp;"",""),"3",""))+LEN(IFERROR(INDEX('Saisie programme'!$D$13:$J$477,360,WEEKDAY($K$91-2,2))&amp;"",""))-LEN(SUBSTITUTE(IFERROR(INDEX('Saisie programme'!$D$13:$J$477,360,WEEKDAY($K$91-2,2))&amp;"",""),"3",""))</f>
        <v>0</v>
      </c>
      <c r="M144" s="34" t="n">
        <f aca="false">LEN(IFERROR(INDEX('Saisie programme'!$D$13:$J$477,399,WEEKDAY($K$92-0,2))&amp;"",""))-LEN(SUBSTITUTE(IFERROR(INDEX('Saisie programme'!$D$13:$J$477,399,WEEKDAY($K$92-0,2))&amp;"",""),"1",""))+LEN(IFERROR(INDEX('Saisie programme'!$D$13:$J$477,399,WEEKDAY($K$92-0,2))&amp;"",""))-LEN(SUBSTITUTE(IFERROR(INDEX('Saisie programme'!$D$13:$J$477,399,WEEKDAY($K$92-0,2))&amp;"",""),"2",""))+LEN(IFERROR(INDEX('Saisie programme'!$D$13:$J$477,399,WEEKDAY($K$92-1,2))&amp;"",""))-LEN(SUBSTITUTE(IFERROR(INDEX('Saisie programme'!$D$13:$J$477,399,WEEKDAY($K$92-1,2))&amp;"",""),"2",""))+LEN(IFERROR(INDEX('Saisie programme'!$D$13:$J$477,399,WEEKDAY($K$92-0,2))&amp;"",""))-LEN(SUBSTITUTE(IFERROR(INDEX('Saisie programme'!$D$13:$J$477,399,WEEKDAY($K$92-0,2))&amp;"",""),"3",""))+LEN(IFERROR(INDEX('Saisie programme'!$D$13:$J$477,399,WEEKDAY($K$92-1,2))&amp;"",""))-LEN(SUBSTITUTE(IFERROR(INDEX('Saisie programme'!$D$13:$J$477,399,WEEKDAY($K$92-1,2))&amp;"",""),"3",""))+LEN(IFERROR(INDEX('Saisie programme'!$D$13:$J$477,399,WEEKDAY($K$92-2,2))&amp;"",""))-LEN(SUBSTITUTE(IFERROR(INDEX('Saisie programme'!$D$13:$J$477,399,WEEKDAY($K$92-2,2))&amp;"",""),"3",""))</f>
        <v>0</v>
      </c>
      <c r="N144" s="34" t="n">
        <f aca="false">LEN(IFERROR(INDEX('Saisie programme'!$D$13:$J$477,438,WEEKDAY($K$93-0,2))&amp;"",""))-LEN(SUBSTITUTE(IFERROR(INDEX('Saisie programme'!$D$13:$J$477,438,WEEKDAY($K$93-0,2))&amp;"",""),"1",""))+LEN(IFERROR(INDEX('Saisie programme'!$D$13:$J$477,438,WEEKDAY($K$93-0,2))&amp;"",""))-LEN(SUBSTITUTE(IFERROR(INDEX('Saisie programme'!$D$13:$J$477,438,WEEKDAY($K$93-0,2))&amp;"",""),"2",""))+LEN(IFERROR(INDEX('Saisie programme'!$D$13:$J$477,438,WEEKDAY($K$93-1,2))&amp;"",""))-LEN(SUBSTITUTE(IFERROR(INDEX('Saisie programme'!$D$13:$J$477,438,WEEKDAY($K$93-1,2))&amp;"",""),"2",""))+LEN(IFERROR(INDEX('Saisie programme'!$D$13:$J$477,438,WEEKDAY($K$93-0,2))&amp;"",""))-LEN(SUBSTITUTE(IFERROR(INDEX('Saisie programme'!$D$13:$J$477,438,WEEKDAY($K$93-0,2))&amp;"",""),"3",""))+LEN(IFERROR(INDEX('Saisie programme'!$D$13:$J$477,438,WEEKDAY($K$93-1,2))&amp;"",""))-LEN(SUBSTITUTE(IFERROR(INDEX('Saisie programme'!$D$13:$J$477,438,WEEKDAY($K$93-1,2))&amp;"",""),"3",""))+LEN(IFERROR(INDEX('Saisie programme'!$D$13:$J$477,438,WEEKDAY($K$93-2,2))&amp;"",""))-LEN(SUBSTITUTE(IFERROR(INDEX('Saisie programme'!$D$13:$J$477,438,WEEKDAY($K$93-2,2))&amp;"",""),"3",""))</f>
        <v>0</v>
      </c>
      <c r="O144" s="12" t="s">
        <v>25</v>
      </c>
      <c r="P144" s="12" t="s">
        <v>24</v>
      </c>
    </row>
    <row r="145" customFormat="false" ht="15" hidden="false" customHeight="false" outlineLevel="0" collapsed="false">
      <c r="B145" s="10" t="s">
        <v>146</v>
      </c>
      <c r="C145" s="34" t="n">
        <f aca="false">LEN(IFERROR(INDEX('Saisie programme'!$D$13:$J$477,10,WEEKDAY($K$82-0,2))&amp;"",""))-LEN(SUBSTITUTE(IFERROR(INDEX('Saisie programme'!$D$13:$J$477,10,WEEKDAY($K$82-0,2))&amp;"",""),"1",""))+LEN(IFERROR(INDEX('Saisie programme'!$D$13:$J$477,10,WEEKDAY($K$82-0,2))&amp;"",""))-LEN(SUBSTITUTE(IFERROR(INDEX('Saisie programme'!$D$13:$J$477,10,WEEKDAY($K$82-0,2))&amp;"",""),"2",""))+LEN(IFERROR(INDEX('Saisie programme'!$D$13:$J$477,10,WEEKDAY($K$82-1,2))&amp;"",""))-LEN(SUBSTITUTE(IFERROR(INDEX('Saisie programme'!$D$13:$J$477,10,WEEKDAY($K$82-1,2))&amp;"",""),"2",""))+LEN(IFERROR(INDEX('Saisie programme'!$D$13:$J$477,10,WEEKDAY($K$82-0,2))&amp;"",""))-LEN(SUBSTITUTE(IFERROR(INDEX('Saisie programme'!$D$13:$J$477,10,WEEKDAY($K$82-0,2))&amp;"",""),"3",""))+LEN(IFERROR(INDEX('Saisie programme'!$D$13:$J$477,10,WEEKDAY($K$82-1,2))&amp;"",""))-LEN(SUBSTITUTE(IFERROR(INDEX('Saisie programme'!$D$13:$J$477,10,WEEKDAY($K$82-1,2))&amp;"",""),"3",""))+LEN(IFERROR(INDEX('Saisie programme'!$D$13:$J$477,10,WEEKDAY($K$82-2,2))&amp;"",""))-LEN(SUBSTITUTE(IFERROR(INDEX('Saisie programme'!$D$13:$J$477,10,WEEKDAY($K$82-2,2))&amp;"",""),"3",""))</f>
        <v>0</v>
      </c>
      <c r="D145" s="34" t="n">
        <f aca="false">LEN(IFERROR(INDEX('Saisie programme'!$D$13:$J$477,49,WEEKDAY($K$83-0,2))&amp;"",""))-LEN(SUBSTITUTE(IFERROR(INDEX('Saisie programme'!$D$13:$J$477,49,WEEKDAY($K$83-0,2))&amp;"",""),"1",""))+LEN(IFERROR(INDEX('Saisie programme'!$D$13:$J$477,49,WEEKDAY($K$83-0,2))&amp;"",""))-LEN(SUBSTITUTE(IFERROR(INDEX('Saisie programme'!$D$13:$J$477,49,WEEKDAY($K$83-0,2))&amp;"",""),"2",""))+LEN(IFERROR(INDEX('Saisie programme'!$D$13:$J$477,49,WEEKDAY($K$83-1,2))&amp;"",""))-LEN(SUBSTITUTE(IFERROR(INDEX('Saisie programme'!$D$13:$J$477,49,WEEKDAY($K$83-1,2))&amp;"",""),"2",""))+LEN(IFERROR(INDEX('Saisie programme'!$D$13:$J$477,49,WEEKDAY($K$83-0,2))&amp;"",""))-LEN(SUBSTITUTE(IFERROR(INDEX('Saisie programme'!$D$13:$J$477,49,WEEKDAY($K$83-0,2))&amp;"",""),"3",""))+LEN(IFERROR(INDEX('Saisie programme'!$D$13:$J$477,49,WEEKDAY($K$83-1,2))&amp;"",""))-LEN(SUBSTITUTE(IFERROR(INDEX('Saisie programme'!$D$13:$J$477,49,WEEKDAY($K$83-1,2))&amp;"",""),"3",""))+LEN(IFERROR(INDEX('Saisie programme'!$D$13:$J$477,49,WEEKDAY($K$83-2,2))&amp;"",""))-LEN(SUBSTITUTE(IFERROR(INDEX('Saisie programme'!$D$13:$J$477,49,WEEKDAY($K$83-2,2))&amp;"",""),"3",""))</f>
        <v>0</v>
      </c>
      <c r="E145" s="34" t="n">
        <f aca="false">LEN(IFERROR(INDEX('Saisie programme'!$D$13:$J$477,88,WEEKDAY($K$84-0,2))&amp;"",""))-LEN(SUBSTITUTE(IFERROR(INDEX('Saisie programme'!$D$13:$J$477,88,WEEKDAY($K$84-0,2))&amp;"",""),"1",""))+LEN(IFERROR(INDEX('Saisie programme'!$D$13:$J$477,88,WEEKDAY($K$84-0,2))&amp;"",""))-LEN(SUBSTITUTE(IFERROR(INDEX('Saisie programme'!$D$13:$J$477,88,WEEKDAY($K$84-0,2))&amp;"",""),"2",""))+LEN(IFERROR(INDEX('Saisie programme'!$D$13:$J$477,88,WEEKDAY($K$84-1,2))&amp;"",""))-LEN(SUBSTITUTE(IFERROR(INDEX('Saisie programme'!$D$13:$J$477,88,WEEKDAY($K$84-1,2))&amp;"",""),"2",""))+LEN(IFERROR(INDEX('Saisie programme'!$D$13:$J$477,88,WEEKDAY($K$84-0,2))&amp;"",""))-LEN(SUBSTITUTE(IFERROR(INDEX('Saisie programme'!$D$13:$J$477,88,WEEKDAY($K$84-0,2))&amp;"",""),"3",""))+LEN(IFERROR(INDEX('Saisie programme'!$D$13:$J$477,88,WEEKDAY($K$84-1,2))&amp;"",""))-LEN(SUBSTITUTE(IFERROR(INDEX('Saisie programme'!$D$13:$J$477,88,WEEKDAY($K$84-1,2))&amp;"",""),"3",""))+LEN(IFERROR(INDEX('Saisie programme'!$D$13:$J$477,88,WEEKDAY($K$84-2,2))&amp;"",""))-LEN(SUBSTITUTE(IFERROR(INDEX('Saisie programme'!$D$13:$J$477,88,WEEKDAY($K$84-2,2))&amp;"",""),"3",""))</f>
        <v>0</v>
      </c>
      <c r="F145" s="34" t="n">
        <f aca="false">LEN(IFERROR(INDEX('Saisie programme'!$D$13:$J$477,127,WEEKDAY($K$85-0,2))&amp;"",""))-LEN(SUBSTITUTE(IFERROR(INDEX('Saisie programme'!$D$13:$J$477,127,WEEKDAY($K$85-0,2))&amp;"",""),"1",""))+LEN(IFERROR(INDEX('Saisie programme'!$D$13:$J$477,127,WEEKDAY($K$85-0,2))&amp;"",""))-LEN(SUBSTITUTE(IFERROR(INDEX('Saisie programme'!$D$13:$J$477,127,WEEKDAY($K$85-0,2))&amp;"",""),"2",""))+LEN(IFERROR(INDEX('Saisie programme'!$D$13:$J$477,127,WEEKDAY($K$85-1,2))&amp;"",""))-LEN(SUBSTITUTE(IFERROR(INDEX('Saisie programme'!$D$13:$J$477,127,WEEKDAY($K$85-1,2))&amp;"",""),"2",""))+LEN(IFERROR(INDEX('Saisie programme'!$D$13:$J$477,127,WEEKDAY($K$85-0,2))&amp;"",""))-LEN(SUBSTITUTE(IFERROR(INDEX('Saisie programme'!$D$13:$J$477,127,WEEKDAY($K$85-0,2))&amp;"",""),"3",""))+LEN(IFERROR(INDEX('Saisie programme'!$D$13:$J$477,127,WEEKDAY($K$85-1,2))&amp;"",""))-LEN(SUBSTITUTE(IFERROR(INDEX('Saisie programme'!$D$13:$J$477,127,WEEKDAY($K$85-1,2))&amp;"",""),"3",""))+LEN(IFERROR(INDEX('Saisie programme'!$D$13:$J$477,127,WEEKDAY($K$85-2,2))&amp;"",""))-LEN(SUBSTITUTE(IFERROR(INDEX('Saisie programme'!$D$13:$J$477,127,WEEKDAY($K$85-2,2))&amp;"",""),"3",""))</f>
        <v>0</v>
      </c>
      <c r="G145" s="34" t="n">
        <f aca="false">LEN(IFERROR(INDEX('Saisie programme'!$D$13:$J$477,166,WEEKDAY($K$86-0,2))&amp;"",""))-LEN(SUBSTITUTE(IFERROR(INDEX('Saisie programme'!$D$13:$J$477,166,WEEKDAY($K$86-0,2))&amp;"",""),"1",""))+LEN(IFERROR(INDEX('Saisie programme'!$D$13:$J$477,166,WEEKDAY($K$86-0,2))&amp;"",""))-LEN(SUBSTITUTE(IFERROR(INDEX('Saisie programme'!$D$13:$J$477,166,WEEKDAY($K$86-0,2))&amp;"",""),"2",""))+LEN(IFERROR(INDEX('Saisie programme'!$D$13:$J$477,166,WEEKDAY($K$86-1,2))&amp;"",""))-LEN(SUBSTITUTE(IFERROR(INDEX('Saisie programme'!$D$13:$J$477,166,WEEKDAY($K$86-1,2))&amp;"",""),"2",""))+LEN(IFERROR(INDEX('Saisie programme'!$D$13:$J$477,166,WEEKDAY($K$86-0,2))&amp;"",""))-LEN(SUBSTITUTE(IFERROR(INDEX('Saisie programme'!$D$13:$J$477,166,WEEKDAY($K$86-0,2))&amp;"",""),"3",""))+LEN(IFERROR(INDEX('Saisie programme'!$D$13:$J$477,166,WEEKDAY($K$86-1,2))&amp;"",""))-LEN(SUBSTITUTE(IFERROR(INDEX('Saisie programme'!$D$13:$J$477,166,WEEKDAY($K$86-1,2))&amp;"",""),"3",""))+LEN(IFERROR(INDEX('Saisie programme'!$D$13:$J$477,166,WEEKDAY($K$86-2,2))&amp;"",""))-LEN(SUBSTITUTE(IFERROR(INDEX('Saisie programme'!$D$13:$J$477,166,WEEKDAY($K$86-2,2))&amp;"",""),"3",""))</f>
        <v>0</v>
      </c>
      <c r="H145" s="34" t="n">
        <f aca="false">LEN(IFERROR(INDEX('Saisie programme'!$D$13:$J$477,205,WEEKDAY($K$87-0,2))&amp;"",""))-LEN(SUBSTITUTE(IFERROR(INDEX('Saisie programme'!$D$13:$J$477,205,WEEKDAY($K$87-0,2))&amp;"",""),"1",""))+LEN(IFERROR(INDEX('Saisie programme'!$D$13:$J$477,205,WEEKDAY($K$87-0,2))&amp;"",""))-LEN(SUBSTITUTE(IFERROR(INDEX('Saisie programme'!$D$13:$J$477,205,WEEKDAY($K$87-0,2))&amp;"",""),"2",""))+LEN(IFERROR(INDEX('Saisie programme'!$D$13:$J$477,205,WEEKDAY($K$87-1,2))&amp;"",""))-LEN(SUBSTITUTE(IFERROR(INDEX('Saisie programme'!$D$13:$J$477,205,WEEKDAY($K$87-1,2))&amp;"",""),"2",""))+LEN(IFERROR(INDEX('Saisie programme'!$D$13:$J$477,205,WEEKDAY($K$87-0,2))&amp;"",""))-LEN(SUBSTITUTE(IFERROR(INDEX('Saisie programme'!$D$13:$J$477,205,WEEKDAY($K$87-0,2))&amp;"",""),"3",""))+LEN(IFERROR(INDEX('Saisie programme'!$D$13:$J$477,205,WEEKDAY($K$87-1,2))&amp;"",""))-LEN(SUBSTITUTE(IFERROR(INDEX('Saisie programme'!$D$13:$J$477,205,WEEKDAY($K$87-1,2))&amp;"",""),"3",""))+LEN(IFERROR(INDEX('Saisie programme'!$D$13:$J$477,205,WEEKDAY($K$87-2,2))&amp;"",""))-LEN(SUBSTITUTE(IFERROR(INDEX('Saisie programme'!$D$13:$J$477,205,WEEKDAY($K$87-2,2))&amp;"",""),"3",""))</f>
        <v>0</v>
      </c>
      <c r="I145" s="34" t="n">
        <f aca="false">LEN(IFERROR(INDEX('Saisie programme'!$D$13:$J$477,244,WEEKDAY($K$88-0,2))&amp;"",""))-LEN(SUBSTITUTE(IFERROR(INDEX('Saisie programme'!$D$13:$J$477,244,WEEKDAY($K$88-0,2))&amp;"",""),"1",""))+LEN(IFERROR(INDEX('Saisie programme'!$D$13:$J$477,244,WEEKDAY($K$88-0,2))&amp;"",""))-LEN(SUBSTITUTE(IFERROR(INDEX('Saisie programme'!$D$13:$J$477,244,WEEKDAY($K$88-0,2))&amp;"",""),"2",""))+LEN(IFERROR(INDEX('Saisie programme'!$D$13:$J$477,244,WEEKDAY($K$88-1,2))&amp;"",""))-LEN(SUBSTITUTE(IFERROR(INDEX('Saisie programme'!$D$13:$J$477,244,WEEKDAY($K$88-1,2))&amp;"",""),"2",""))+LEN(IFERROR(INDEX('Saisie programme'!$D$13:$J$477,244,WEEKDAY($K$88-0,2))&amp;"",""))-LEN(SUBSTITUTE(IFERROR(INDEX('Saisie programme'!$D$13:$J$477,244,WEEKDAY($K$88-0,2))&amp;"",""),"3",""))+LEN(IFERROR(INDEX('Saisie programme'!$D$13:$J$477,244,WEEKDAY($K$88-1,2))&amp;"",""))-LEN(SUBSTITUTE(IFERROR(INDEX('Saisie programme'!$D$13:$J$477,244,WEEKDAY($K$88-1,2))&amp;"",""),"3",""))+LEN(IFERROR(INDEX('Saisie programme'!$D$13:$J$477,244,WEEKDAY($K$88-2,2))&amp;"",""))-LEN(SUBSTITUTE(IFERROR(INDEX('Saisie programme'!$D$13:$J$477,244,WEEKDAY($K$88-2,2))&amp;"",""),"3",""))</f>
        <v>0</v>
      </c>
      <c r="J145" s="34" t="n">
        <f aca="false">LEN(IFERROR(INDEX('Saisie programme'!$D$13:$J$477,283,WEEKDAY($K$89-0,2))&amp;"",""))-LEN(SUBSTITUTE(IFERROR(INDEX('Saisie programme'!$D$13:$J$477,283,WEEKDAY($K$89-0,2))&amp;"",""),"1",""))+LEN(IFERROR(INDEX('Saisie programme'!$D$13:$J$477,283,WEEKDAY($K$89-0,2))&amp;"",""))-LEN(SUBSTITUTE(IFERROR(INDEX('Saisie programme'!$D$13:$J$477,283,WEEKDAY($K$89-0,2))&amp;"",""),"2",""))+LEN(IFERROR(INDEX('Saisie programme'!$D$13:$J$477,283,WEEKDAY($K$89-1,2))&amp;"",""))-LEN(SUBSTITUTE(IFERROR(INDEX('Saisie programme'!$D$13:$J$477,283,WEEKDAY($K$89-1,2))&amp;"",""),"2",""))+LEN(IFERROR(INDEX('Saisie programme'!$D$13:$J$477,283,WEEKDAY($K$89-0,2))&amp;"",""))-LEN(SUBSTITUTE(IFERROR(INDEX('Saisie programme'!$D$13:$J$477,283,WEEKDAY($K$89-0,2))&amp;"",""),"3",""))+LEN(IFERROR(INDEX('Saisie programme'!$D$13:$J$477,283,WEEKDAY($K$89-1,2))&amp;"",""))-LEN(SUBSTITUTE(IFERROR(INDEX('Saisie programme'!$D$13:$J$477,283,WEEKDAY($K$89-1,2))&amp;"",""),"3",""))+LEN(IFERROR(INDEX('Saisie programme'!$D$13:$J$477,283,WEEKDAY($K$89-2,2))&amp;"",""))-LEN(SUBSTITUTE(IFERROR(INDEX('Saisie programme'!$D$13:$J$477,283,WEEKDAY($K$89-2,2))&amp;"",""),"3",""))</f>
        <v>0</v>
      </c>
      <c r="K145" s="34" t="n">
        <f aca="false">LEN(IFERROR(INDEX('Saisie programme'!$D$13:$J$477,322,WEEKDAY($K$90-0,2))&amp;"",""))-LEN(SUBSTITUTE(IFERROR(INDEX('Saisie programme'!$D$13:$J$477,322,WEEKDAY($K$90-0,2))&amp;"",""),"1",""))+LEN(IFERROR(INDEX('Saisie programme'!$D$13:$J$477,322,WEEKDAY($K$90-0,2))&amp;"",""))-LEN(SUBSTITUTE(IFERROR(INDEX('Saisie programme'!$D$13:$J$477,322,WEEKDAY($K$90-0,2))&amp;"",""),"2",""))+LEN(IFERROR(INDEX('Saisie programme'!$D$13:$J$477,322,WEEKDAY($K$90-1,2))&amp;"",""))-LEN(SUBSTITUTE(IFERROR(INDEX('Saisie programme'!$D$13:$J$477,322,WEEKDAY($K$90-1,2))&amp;"",""),"2",""))+LEN(IFERROR(INDEX('Saisie programme'!$D$13:$J$477,322,WEEKDAY($K$90-0,2))&amp;"",""))-LEN(SUBSTITUTE(IFERROR(INDEX('Saisie programme'!$D$13:$J$477,322,WEEKDAY($K$90-0,2))&amp;"",""),"3",""))+LEN(IFERROR(INDEX('Saisie programme'!$D$13:$J$477,322,WEEKDAY($K$90-1,2))&amp;"",""))-LEN(SUBSTITUTE(IFERROR(INDEX('Saisie programme'!$D$13:$J$477,322,WEEKDAY($K$90-1,2))&amp;"",""),"3",""))+LEN(IFERROR(INDEX('Saisie programme'!$D$13:$J$477,322,WEEKDAY($K$90-2,2))&amp;"",""))-LEN(SUBSTITUTE(IFERROR(INDEX('Saisie programme'!$D$13:$J$477,322,WEEKDAY($K$90-2,2))&amp;"",""),"3",""))</f>
        <v>0</v>
      </c>
      <c r="L145" s="34" t="n">
        <f aca="false">LEN(IFERROR(INDEX('Saisie programme'!$D$13:$J$477,361,WEEKDAY($K$91-0,2))&amp;"",""))-LEN(SUBSTITUTE(IFERROR(INDEX('Saisie programme'!$D$13:$J$477,361,WEEKDAY($K$91-0,2))&amp;"",""),"1",""))+LEN(IFERROR(INDEX('Saisie programme'!$D$13:$J$477,361,WEEKDAY($K$91-0,2))&amp;"",""))-LEN(SUBSTITUTE(IFERROR(INDEX('Saisie programme'!$D$13:$J$477,361,WEEKDAY($K$91-0,2))&amp;"",""),"2",""))+LEN(IFERROR(INDEX('Saisie programme'!$D$13:$J$477,361,WEEKDAY($K$91-1,2))&amp;"",""))-LEN(SUBSTITUTE(IFERROR(INDEX('Saisie programme'!$D$13:$J$477,361,WEEKDAY($K$91-1,2))&amp;"",""),"2",""))+LEN(IFERROR(INDEX('Saisie programme'!$D$13:$J$477,361,WEEKDAY($K$91-0,2))&amp;"",""))-LEN(SUBSTITUTE(IFERROR(INDEX('Saisie programme'!$D$13:$J$477,361,WEEKDAY($K$91-0,2))&amp;"",""),"3",""))+LEN(IFERROR(INDEX('Saisie programme'!$D$13:$J$477,361,WEEKDAY($K$91-1,2))&amp;"",""))-LEN(SUBSTITUTE(IFERROR(INDEX('Saisie programme'!$D$13:$J$477,361,WEEKDAY($K$91-1,2))&amp;"",""),"3",""))+LEN(IFERROR(INDEX('Saisie programme'!$D$13:$J$477,361,WEEKDAY($K$91-2,2))&amp;"",""))-LEN(SUBSTITUTE(IFERROR(INDEX('Saisie programme'!$D$13:$J$477,361,WEEKDAY($K$91-2,2))&amp;"",""),"3",""))</f>
        <v>0</v>
      </c>
      <c r="M145" s="34" t="n">
        <f aca="false">LEN(IFERROR(INDEX('Saisie programme'!$D$13:$J$477,400,WEEKDAY($K$92-0,2))&amp;"",""))-LEN(SUBSTITUTE(IFERROR(INDEX('Saisie programme'!$D$13:$J$477,400,WEEKDAY($K$92-0,2))&amp;"",""),"1",""))+LEN(IFERROR(INDEX('Saisie programme'!$D$13:$J$477,400,WEEKDAY($K$92-0,2))&amp;"",""))-LEN(SUBSTITUTE(IFERROR(INDEX('Saisie programme'!$D$13:$J$477,400,WEEKDAY($K$92-0,2))&amp;"",""),"2",""))+LEN(IFERROR(INDEX('Saisie programme'!$D$13:$J$477,400,WEEKDAY($K$92-1,2))&amp;"",""))-LEN(SUBSTITUTE(IFERROR(INDEX('Saisie programme'!$D$13:$J$477,400,WEEKDAY($K$92-1,2))&amp;"",""),"2",""))+LEN(IFERROR(INDEX('Saisie programme'!$D$13:$J$477,400,WEEKDAY($K$92-0,2))&amp;"",""))-LEN(SUBSTITUTE(IFERROR(INDEX('Saisie programme'!$D$13:$J$477,400,WEEKDAY($K$92-0,2))&amp;"",""),"3",""))+LEN(IFERROR(INDEX('Saisie programme'!$D$13:$J$477,400,WEEKDAY($K$92-1,2))&amp;"",""))-LEN(SUBSTITUTE(IFERROR(INDEX('Saisie programme'!$D$13:$J$477,400,WEEKDAY($K$92-1,2))&amp;"",""),"3",""))+LEN(IFERROR(INDEX('Saisie programme'!$D$13:$J$477,400,WEEKDAY($K$92-2,2))&amp;"",""))-LEN(SUBSTITUTE(IFERROR(INDEX('Saisie programme'!$D$13:$J$477,400,WEEKDAY($K$92-2,2))&amp;"",""),"3",""))</f>
        <v>0</v>
      </c>
      <c r="N145" s="34" t="n">
        <f aca="false">LEN(IFERROR(INDEX('Saisie programme'!$D$13:$J$477,439,WEEKDAY($K$93-0,2))&amp;"",""))-LEN(SUBSTITUTE(IFERROR(INDEX('Saisie programme'!$D$13:$J$477,439,WEEKDAY($K$93-0,2))&amp;"",""),"1",""))+LEN(IFERROR(INDEX('Saisie programme'!$D$13:$J$477,439,WEEKDAY($K$93-0,2))&amp;"",""))-LEN(SUBSTITUTE(IFERROR(INDEX('Saisie programme'!$D$13:$J$477,439,WEEKDAY($K$93-0,2))&amp;"",""),"2",""))+LEN(IFERROR(INDEX('Saisie programme'!$D$13:$J$477,439,WEEKDAY($K$93-1,2))&amp;"",""))-LEN(SUBSTITUTE(IFERROR(INDEX('Saisie programme'!$D$13:$J$477,439,WEEKDAY($K$93-1,2))&amp;"",""),"2",""))+LEN(IFERROR(INDEX('Saisie programme'!$D$13:$J$477,439,WEEKDAY($K$93-0,2))&amp;"",""))-LEN(SUBSTITUTE(IFERROR(INDEX('Saisie programme'!$D$13:$J$477,439,WEEKDAY($K$93-0,2))&amp;"",""),"3",""))+LEN(IFERROR(INDEX('Saisie programme'!$D$13:$J$477,439,WEEKDAY($K$93-1,2))&amp;"",""))-LEN(SUBSTITUTE(IFERROR(INDEX('Saisie programme'!$D$13:$J$477,439,WEEKDAY($K$93-1,2))&amp;"",""),"3",""))+LEN(IFERROR(INDEX('Saisie programme'!$D$13:$J$477,439,WEEKDAY($K$93-2,2))&amp;"",""))-LEN(SUBSTITUTE(IFERROR(INDEX('Saisie programme'!$D$13:$J$477,439,WEEKDAY($K$93-2,2))&amp;"",""),"3",""))</f>
        <v>0</v>
      </c>
      <c r="O145" s="12" t="s">
        <v>36</v>
      </c>
      <c r="P145" s="12" t="s">
        <v>11</v>
      </c>
    </row>
    <row r="146" customFormat="false" ht="15" hidden="false" customHeight="false" outlineLevel="0" collapsed="false">
      <c r="B146" s="10" t="s">
        <v>147</v>
      </c>
      <c r="C146" s="34" t="n">
        <f aca="false">LEN(IFERROR(INDEX('Saisie programme'!$D$13:$J$477,11,WEEKDAY($K$82-0,2))&amp;"",""))-LEN(SUBSTITUTE(IFERROR(INDEX('Saisie programme'!$D$13:$J$477,11,WEEKDAY($K$82-0,2))&amp;"",""),"1",""))+LEN(IFERROR(INDEX('Saisie programme'!$D$13:$J$477,11,WEEKDAY($K$82-0,2))&amp;"",""))-LEN(SUBSTITUTE(IFERROR(INDEX('Saisie programme'!$D$13:$J$477,11,WEEKDAY($K$82-0,2))&amp;"",""),"2",""))+LEN(IFERROR(INDEX('Saisie programme'!$D$13:$J$477,11,WEEKDAY($K$82-1,2))&amp;"",""))-LEN(SUBSTITUTE(IFERROR(INDEX('Saisie programme'!$D$13:$J$477,11,WEEKDAY($K$82-1,2))&amp;"",""),"2",""))+LEN(IFERROR(INDEX('Saisie programme'!$D$13:$J$477,11,WEEKDAY($K$82-0,2))&amp;"",""))-LEN(SUBSTITUTE(IFERROR(INDEX('Saisie programme'!$D$13:$J$477,11,WEEKDAY($K$82-0,2))&amp;"",""),"3",""))+LEN(IFERROR(INDEX('Saisie programme'!$D$13:$J$477,11,WEEKDAY($K$82-1,2))&amp;"",""))-LEN(SUBSTITUTE(IFERROR(INDEX('Saisie programme'!$D$13:$J$477,11,WEEKDAY($K$82-1,2))&amp;"",""),"3",""))+LEN(IFERROR(INDEX('Saisie programme'!$D$13:$J$477,11,WEEKDAY($K$82-2,2))&amp;"",""))-LEN(SUBSTITUTE(IFERROR(INDEX('Saisie programme'!$D$13:$J$477,11,WEEKDAY($K$82-2,2))&amp;"",""),"3",""))</f>
        <v>0</v>
      </c>
      <c r="D146" s="34" t="n">
        <f aca="false">LEN(IFERROR(INDEX('Saisie programme'!$D$13:$J$477,50,WEEKDAY($K$83-0,2))&amp;"",""))-LEN(SUBSTITUTE(IFERROR(INDEX('Saisie programme'!$D$13:$J$477,50,WEEKDAY($K$83-0,2))&amp;"",""),"1",""))+LEN(IFERROR(INDEX('Saisie programme'!$D$13:$J$477,50,WEEKDAY($K$83-0,2))&amp;"",""))-LEN(SUBSTITUTE(IFERROR(INDEX('Saisie programme'!$D$13:$J$477,50,WEEKDAY($K$83-0,2))&amp;"",""),"2",""))+LEN(IFERROR(INDEX('Saisie programme'!$D$13:$J$477,50,WEEKDAY($K$83-1,2))&amp;"",""))-LEN(SUBSTITUTE(IFERROR(INDEX('Saisie programme'!$D$13:$J$477,50,WEEKDAY($K$83-1,2))&amp;"",""),"2",""))+LEN(IFERROR(INDEX('Saisie programme'!$D$13:$J$477,50,WEEKDAY($K$83-0,2))&amp;"",""))-LEN(SUBSTITUTE(IFERROR(INDEX('Saisie programme'!$D$13:$J$477,50,WEEKDAY($K$83-0,2))&amp;"",""),"3",""))+LEN(IFERROR(INDEX('Saisie programme'!$D$13:$J$477,50,WEEKDAY($K$83-1,2))&amp;"",""))-LEN(SUBSTITUTE(IFERROR(INDEX('Saisie programme'!$D$13:$J$477,50,WEEKDAY($K$83-1,2))&amp;"",""),"3",""))+LEN(IFERROR(INDEX('Saisie programme'!$D$13:$J$477,50,WEEKDAY($K$83-2,2))&amp;"",""))-LEN(SUBSTITUTE(IFERROR(INDEX('Saisie programme'!$D$13:$J$477,50,WEEKDAY($K$83-2,2))&amp;"",""),"3",""))</f>
        <v>0</v>
      </c>
      <c r="E146" s="34" t="n">
        <f aca="false">LEN(IFERROR(INDEX('Saisie programme'!$D$13:$J$477,89,WEEKDAY($K$84-0,2))&amp;"",""))-LEN(SUBSTITUTE(IFERROR(INDEX('Saisie programme'!$D$13:$J$477,89,WEEKDAY($K$84-0,2))&amp;"",""),"1",""))+LEN(IFERROR(INDEX('Saisie programme'!$D$13:$J$477,89,WEEKDAY($K$84-0,2))&amp;"",""))-LEN(SUBSTITUTE(IFERROR(INDEX('Saisie programme'!$D$13:$J$477,89,WEEKDAY($K$84-0,2))&amp;"",""),"2",""))+LEN(IFERROR(INDEX('Saisie programme'!$D$13:$J$477,89,WEEKDAY($K$84-1,2))&amp;"",""))-LEN(SUBSTITUTE(IFERROR(INDEX('Saisie programme'!$D$13:$J$477,89,WEEKDAY($K$84-1,2))&amp;"",""),"2",""))+LEN(IFERROR(INDEX('Saisie programme'!$D$13:$J$477,89,WEEKDAY($K$84-0,2))&amp;"",""))-LEN(SUBSTITUTE(IFERROR(INDEX('Saisie programme'!$D$13:$J$477,89,WEEKDAY($K$84-0,2))&amp;"",""),"3",""))+LEN(IFERROR(INDEX('Saisie programme'!$D$13:$J$477,89,WEEKDAY($K$84-1,2))&amp;"",""))-LEN(SUBSTITUTE(IFERROR(INDEX('Saisie programme'!$D$13:$J$477,89,WEEKDAY($K$84-1,2))&amp;"",""),"3",""))+LEN(IFERROR(INDEX('Saisie programme'!$D$13:$J$477,89,WEEKDAY($K$84-2,2))&amp;"",""))-LEN(SUBSTITUTE(IFERROR(INDEX('Saisie programme'!$D$13:$J$477,89,WEEKDAY($K$84-2,2))&amp;"",""),"3",""))</f>
        <v>0</v>
      </c>
      <c r="F146" s="34" t="n">
        <f aca="false">LEN(IFERROR(INDEX('Saisie programme'!$D$13:$J$477,128,WEEKDAY($K$85-0,2))&amp;"",""))-LEN(SUBSTITUTE(IFERROR(INDEX('Saisie programme'!$D$13:$J$477,128,WEEKDAY($K$85-0,2))&amp;"",""),"1",""))+LEN(IFERROR(INDEX('Saisie programme'!$D$13:$J$477,128,WEEKDAY($K$85-0,2))&amp;"",""))-LEN(SUBSTITUTE(IFERROR(INDEX('Saisie programme'!$D$13:$J$477,128,WEEKDAY($K$85-0,2))&amp;"",""),"2",""))+LEN(IFERROR(INDEX('Saisie programme'!$D$13:$J$477,128,WEEKDAY($K$85-1,2))&amp;"",""))-LEN(SUBSTITUTE(IFERROR(INDEX('Saisie programme'!$D$13:$J$477,128,WEEKDAY($K$85-1,2))&amp;"",""),"2",""))+LEN(IFERROR(INDEX('Saisie programme'!$D$13:$J$477,128,WEEKDAY($K$85-0,2))&amp;"",""))-LEN(SUBSTITUTE(IFERROR(INDEX('Saisie programme'!$D$13:$J$477,128,WEEKDAY($K$85-0,2))&amp;"",""),"3",""))+LEN(IFERROR(INDEX('Saisie programme'!$D$13:$J$477,128,WEEKDAY($K$85-1,2))&amp;"",""))-LEN(SUBSTITUTE(IFERROR(INDEX('Saisie programme'!$D$13:$J$477,128,WEEKDAY($K$85-1,2))&amp;"",""),"3",""))+LEN(IFERROR(INDEX('Saisie programme'!$D$13:$J$477,128,WEEKDAY($K$85-2,2))&amp;"",""))-LEN(SUBSTITUTE(IFERROR(INDEX('Saisie programme'!$D$13:$J$477,128,WEEKDAY($K$85-2,2))&amp;"",""),"3",""))</f>
        <v>0</v>
      </c>
      <c r="G146" s="34" t="n">
        <f aca="false">LEN(IFERROR(INDEX('Saisie programme'!$D$13:$J$477,167,WEEKDAY($K$86-0,2))&amp;"",""))-LEN(SUBSTITUTE(IFERROR(INDEX('Saisie programme'!$D$13:$J$477,167,WEEKDAY($K$86-0,2))&amp;"",""),"1",""))+LEN(IFERROR(INDEX('Saisie programme'!$D$13:$J$477,167,WEEKDAY($K$86-0,2))&amp;"",""))-LEN(SUBSTITUTE(IFERROR(INDEX('Saisie programme'!$D$13:$J$477,167,WEEKDAY($K$86-0,2))&amp;"",""),"2",""))+LEN(IFERROR(INDEX('Saisie programme'!$D$13:$J$477,167,WEEKDAY($K$86-1,2))&amp;"",""))-LEN(SUBSTITUTE(IFERROR(INDEX('Saisie programme'!$D$13:$J$477,167,WEEKDAY($K$86-1,2))&amp;"",""),"2",""))+LEN(IFERROR(INDEX('Saisie programme'!$D$13:$J$477,167,WEEKDAY($K$86-0,2))&amp;"",""))-LEN(SUBSTITUTE(IFERROR(INDEX('Saisie programme'!$D$13:$J$477,167,WEEKDAY($K$86-0,2))&amp;"",""),"3",""))+LEN(IFERROR(INDEX('Saisie programme'!$D$13:$J$477,167,WEEKDAY($K$86-1,2))&amp;"",""))-LEN(SUBSTITUTE(IFERROR(INDEX('Saisie programme'!$D$13:$J$477,167,WEEKDAY($K$86-1,2))&amp;"",""),"3",""))+LEN(IFERROR(INDEX('Saisie programme'!$D$13:$J$477,167,WEEKDAY($K$86-2,2))&amp;"",""))-LEN(SUBSTITUTE(IFERROR(INDEX('Saisie programme'!$D$13:$J$477,167,WEEKDAY($K$86-2,2))&amp;"",""),"3",""))</f>
        <v>0</v>
      </c>
      <c r="H146" s="34" t="n">
        <f aca="false">LEN(IFERROR(INDEX('Saisie programme'!$D$13:$J$477,206,WEEKDAY($K$87-0,2))&amp;"",""))-LEN(SUBSTITUTE(IFERROR(INDEX('Saisie programme'!$D$13:$J$477,206,WEEKDAY($K$87-0,2))&amp;"",""),"1",""))+LEN(IFERROR(INDEX('Saisie programme'!$D$13:$J$477,206,WEEKDAY($K$87-0,2))&amp;"",""))-LEN(SUBSTITUTE(IFERROR(INDEX('Saisie programme'!$D$13:$J$477,206,WEEKDAY($K$87-0,2))&amp;"",""),"2",""))+LEN(IFERROR(INDEX('Saisie programme'!$D$13:$J$477,206,WEEKDAY($K$87-1,2))&amp;"",""))-LEN(SUBSTITUTE(IFERROR(INDEX('Saisie programme'!$D$13:$J$477,206,WEEKDAY($K$87-1,2))&amp;"",""),"2",""))+LEN(IFERROR(INDEX('Saisie programme'!$D$13:$J$477,206,WEEKDAY($K$87-0,2))&amp;"",""))-LEN(SUBSTITUTE(IFERROR(INDEX('Saisie programme'!$D$13:$J$477,206,WEEKDAY($K$87-0,2))&amp;"",""),"3",""))+LEN(IFERROR(INDEX('Saisie programme'!$D$13:$J$477,206,WEEKDAY($K$87-1,2))&amp;"",""))-LEN(SUBSTITUTE(IFERROR(INDEX('Saisie programme'!$D$13:$J$477,206,WEEKDAY($K$87-1,2))&amp;"",""),"3",""))+LEN(IFERROR(INDEX('Saisie programme'!$D$13:$J$477,206,WEEKDAY($K$87-2,2))&amp;"",""))-LEN(SUBSTITUTE(IFERROR(INDEX('Saisie programme'!$D$13:$J$477,206,WEEKDAY($K$87-2,2))&amp;"",""),"3",""))</f>
        <v>0</v>
      </c>
      <c r="I146" s="34" t="n">
        <f aca="false">LEN(IFERROR(INDEX('Saisie programme'!$D$13:$J$477,245,WEEKDAY($K$88-0,2))&amp;"",""))-LEN(SUBSTITUTE(IFERROR(INDEX('Saisie programme'!$D$13:$J$477,245,WEEKDAY($K$88-0,2))&amp;"",""),"1",""))+LEN(IFERROR(INDEX('Saisie programme'!$D$13:$J$477,245,WEEKDAY($K$88-0,2))&amp;"",""))-LEN(SUBSTITUTE(IFERROR(INDEX('Saisie programme'!$D$13:$J$477,245,WEEKDAY($K$88-0,2))&amp;"",""),"2",""))+LEN(IFERROR(INDEX('Saisie programme'!$D$13:$J$477,245,WEEKDAY($K$88-1,2))&amp;"",""))-LEN(SUBSTITUTE(IFERROR(INDEX('Saisie programme'!$D$13:$J$477,245,WEEKDAY($K$88-1,2))&amp;"",""),"2",""))+LEN(IFERROR(INDEX('Saisie programme'!$D$13:$J$477,245,WEEKDAY($K$88-0,2))&amp;"",""))-LEN(SUBSTITUTE(IFERROR(INDEX('Saisie programme'!$D$13:$J$477,245,WEEKDAY($K$88-0,2))&amp;"",""),"3",""))+LEN(IFERROR(INDEX('Saisie programme'!$D$13:$J$477,245,WEEKDAY($K$88-1,2))&amp;"",""))-LEN(SUBSTITUTE(IFERROR(INDEX('Saisie programme'!$D$13:$J$477,245,WEEKDAY($K$88-1,2))&amp;"",""),"3",""))+LEN(IFERROR(INDEX('Saisie programme'!$D$13:$J$477,245,WEEKDAY($K$88-2,2))&amp;"",""))-LEN(SUBSTITUTE(IFERROR(INDEX('Saisie programme'!$D$13:$J$477,245,WEEKDAY($K$88-2,2))&amp;"",""),"3",""))</f>
        <v>0</v>
      </c>
      <c r="J146" s="34" t="n">
        <f aca="false">LEN(IFERROR(INDEX('Saisie programme'!$D$13:$J$477,284,WEEKDAY($K$89-0,2))&amp;"",""))-LEN(SUBSTITUTE(IFERROR(INDEX('Saisie programme'!$D$13:$J$477,284,WEEKDAY($K$89-0,2))&amp;"",""),"1",""))+LEN(IFERROR(INDEX('Saisie programme'!$D$13:$J$477,284,WEEKDAY($K$89-0,2))&amp;"",""))-LEN(SUBSTITUTE(IFERROR(INDEX('Saisie programme'!$D$13:$J$477,284,WEEKDAY($K$89-0,2))&amp;"",""),"2",""))+LEN(IFERROR(INDEX('Saisie programme'!$D$13:$J$477,284,WEEKDAY($K$89-1,2))&amp;"",""))-LEN(SUBSTITUTE(IFERROR(INDEX('Saisie programme'!$D$13:$J$477,284,WEEKDAY($K$89-1,2))&amp;"",""),"2",""))+LEN(IFERROR(INDEX('Saisie programme'!$D$13:$J$477,284,WEEKDAY($K$89-0,2))&amp;"",""))-LEN(SUBSTITUTE(IFERROR(INDEX('Saisie programme'!$D$13:$J$477,284,WEEKDAY($K$89-0,2))&amp;"",""),"3",""))+LEN(IFERROR(INDEX('Saisie programme'!$D$13:$J$477,284,WEEKDAY($K$89-1,2))&amp;"",""))-LEN(SUBSTITUTE(IFERROR(INDEX('Saisie programme'!$D$13:$J$477,284,WEEKDAY($K$89-1,2))&amp;"",""),"3",""))+LEN(IFERROR(INDEX('Saisie programme'!$D$13:$J$477,284,WEEKDAY($K$89-2,2))&amp;"",""))-LEN(SUBSTITUTE(IFERROR(INDEX('Saisie programme'!$D$13:$J$477,284,WEEKDAY($K$89-2,2))&amp;"",""),"3",""))</f>
        <v>0</v>
      </c>
      <c r="K146" s="34" t="n">
        <f aca="false">LEN(IFERROR(INDEX('Saisie programme'!$D$13:$J$477,323,WEEKDAY($K$90-0,2))&amp;"",""))-LEN(SUBSTITUTE(IFERROR(INDEX('Saisie programme'!$D$13:$J$477,323,WEEKDAY($K$90-0,2))&amp;"",""),"1",""))+LEN(IFERROR(INDEX('Saisie programme'!$D$13:$J$477,323,WEEKDAY($K$90-0,2))&amp;"",""))-LEN(SUBSTITUTE(IFERROR(INDEX('Saisie programme'!$D$13:$J$477,323,WEEKDAY($K$90-0,2))&amp;"",""),"2",""))+LEN(IFERROR(INDEX('Saisie programme'!$D$13:$J$477,323,WEEKDAY($K$90-1,2))&amp;"",""))-LEN(SUBSTITUTE(IFERROR(INDEX('Saisie programme'!$D$13:$J$477,323,WEEKDAY($K$90-1,2))&amp;"",""),"2",""))+LEN(IFERROR(INDEX('Saisie programme'!$D$13:$J$477,323,WEEKDAY($K$90-0,2))&amp;"",""))-LEN(SUBSTITUTE(IFERROR(INDEX('Saisie programme'!$D$13:$J$477,323,WEEKDAY($K$90-0,2))&amp;"",""),"3",""))+LEN(IFERROR(INDEX('Saisie programme'!$D$13:$J$477,323,WEEKDAY($K$90-1,2))&amp;"",""))-LEN(SUBSTITUTE(IFERROR(INDEX('Saisie programme'!$D$13:$J$477,323,WEEKDAY($K$90-1,2))&amp;"",""),"3",""))+LEN(IFERROR(INDEX('Saisie programme'!$D$13:$J$477,323,WEEKDAY($K$90-2,2))&amp;"",""))-LEN(SUBSTITUTE(IFERROR(INDEX('Saisie programme'!$D$13:$J$477,323,WEEKDAY($K$90-2,2))&amp;"",""),"3",""))</f>
        <v>0</v>
      </c>
      <c r="L146" s="34" t="n">
        <f aca="false">LEN(IFERROR(INDEX('Saisie programme'!$D$13:$J$477,362,WEEKDAY($K$91-0,2))&amp;"",""))-LEN(SUBSTITUTE(IFERROR(INDEX('Saisie programme'!$D$13:$J$477,362,WEEKDAY($K$91-0,2))&amp;"",""),"1",""))+LEN(IFERROR(INDEX('Saisie programme'!$D$13:$J$477,362,WEEKDAY($K$91-0,2))&amp;"",""))-LEN(SUBSTITUTE(IFERROR(INDEX('Saisie programme'!$D$13:$J$477,362,WEEKDAY($K$91-0,2))&amp;"",""),"2",""))+LEN(IFERROR(INDEX('Saisie programme'!$D$13:$J$477,362,WEEKDAY($K$91-1,2))&amp;"",""))-LEN(SUBSTITUTE(IFERROR(INDEX('Saisie programme'!$D$13:$J$477,362,WEEKDAY($K$91-1,2))&amp;"",""),"2",""))+LEN(IFERROR(INDEX('Saisie programme'!$D$13:$J$477,362,WEEKDAY($K$91-0,2))&amp;"",""))-LEN(SUBSTITUTE(IFERROR(INDEX('Saisie programme'!$D$13:$J$477,362,WEEKDAY($K$91-0,2))&amp;"",""),"3",""))+LEN(IFERROR(INDEX('Saisie programme'!$D$13:$J$477,362,WEEKDAY($K$91-1,2))&amp;"",""))-LEN(SUBSTITUTE(IFERROR(INDEX('Saisie programme'!$D$13:$J$477,362,WEEKDAY($K$91-1,2))&amp;"",""),"3",""))+LEN(IFERROR(INDEX('Saisie programme'!$D$13:$J$477,362,WEEKDAY($K$91-2,2))&amp;"",""))-LEN(SUBSTITUTE(IFERROR(INDEX('Saisie programme'!$D$13:$J$477,362,WEEKDAY($K$91-2,2))&amp;"",""),"3",""))</f>
        <v>0</v>
      </c>
      <c r="M146" s="34" t="n">
        <f aca="false">LEN(IFERROR(INDEX('Saisie programme'!$D$13:$J$477,401,WEEKDAY($K$92-0,2))&amp;"",""))-LEN(SUBSTITUTE(IFERROR(INDEX('Saisie programme'!$D$13:$J$477,401,WEEKDAY($K$92-0,2))&amp;"",""),"1",""))+LEN(IFERROR(INDEX('Saisie programme'!$D$13:$J$477,401,WEEKDAY($K$92-0,2))&amp;"",""))-LEN(SUBSTITUTE(IFERROR(INDEX('Saisie programme'!$D$13:$J$477,401,WEEKDAY($K$92-0,2))&amp;"",""),"2",""))+LEN(IFERROR(INDEX('Saisie programme'!$D$13:$J$477,401,WEEKDAY($K$92-1,2))&amp;"",""))-LEN(SUBSTITUTE(IFERROR(INDEX('Saisie programme'!$D$13:$J$477,401,WEEKDAY($K$92-1,2))&amp;"",""),"2",""))+LEN(IFERROR(INDEX('Saisie programme'!$D$13:$J$477,401,WEEKDAY($K$92-0,2))&amp;"",""))-LEN(SUBSTITUTE(IFERROR(INDEX('Saisie programme'!$D$13:$J$477,401,WEEKDAY($K$92-0,2))&amp;"",""),"3",""))+LEN(IFERROR(INDEX('Saisie programme'!$D$13:$J$477,401,WEEKDAY($K$92-1,2))&amp;"",""))-LEN(SUBSTITUTE(IFERROR(INDEX('Saisie programme'!$D$13:$J$477,401,WEEKDAY($K$92-1,2))&amp;"",""),"3",""))+LEN(IFERROR(INDEX('Saisie programme'!$D$13:$J$477,401,WEEKDAY($K$92-2,2))&amp;"",""))-LEN(SUBSTITUTE(IFERROR(INDEX('Saisie programme'!$D$13:$J$477,401,WEEKDAY($K$92-2,2))&amp;"",""),"3",""))</f>
        <v>0</v>
      </c>
      <c r="N146" s="34" t="n">
        <f aca="false">LEN(IFERROR(INDEX('Saisie programme'!$D$13:$J$477,440,WEEKDAY($K$93-0,2))&amp;"",""))-LEN(SUBSTITUTE(IFERROR(INDEX('Saisie programme'!$D$13:$J$477,440,WEEKDAY($K$93-0,2))&amp;"",""),"1",""))+LEN(IFERROR(INDEX('Saisie programme'!$D$13:$J$477,440,WEEKDAY($K$93-0,2))&amp;"",""))-LEN(SUBSTITUTE(IFERROR(INDEX('Saisie programme'!$D$13:$J$477,440,WEEKDAY($K$93-0,2))&amp;"",""),"2",""))+LEN(IFERROR(INDEX('Saisie programme'!$D$13:$J$477,440,WEEKDAY($K$93-1,2))&amp;"",""))-LEN(SUBSTITUTE(IFERROR(INDEX('Saisie programme'!$D$13:$J$477,440,WEEKDAY($K$93-1,2))&amp;"",""),"2",""))+LEN(IFERROR(INDEX('Saisie programme'!$D$13:$J$477,440,WEEKDAY($K$93-0,2))&amp;"",""))-LEN(SUBSTITUTE(IFERROR(INDEX('Saisie programme'!$D$13:$J$477,440,WEEKDAY($K$93-0,2))&amp;"",""),"3",""))+LEN(IFERROR(INDEX('Saisie programme'!$D$13:$J$477,440,WEEKDAY($K$93-1,2))&amp;"",""))-LEN(SUBSTITUTE(IFERROR(INDEX('Saisie programme'!$D$13:$J$477,440,WEEKDAY($K$93-1,2))&amp;"",""),"3",""))+LEN(IFERROR(INDEX('Saisie programme'!$D$13:$J$477,440,WEEKDAY($K$93-2,2))&amp;"",""))-LEN(SUBSTITUTE(IFERROR(INDEX('Saisie programme'!$D$13:$J$477,440,WEEKDAY($K$93-2,2))&amp;"",""),"3",""))</f>
        <v>0</v>
      </c>
      <c r="O146" s="12" t="s">
        <v>36</v>
      </c>
      <c r="P146" s="12" t="s">
        <v>19</v>
      </c>
    </row>
    <row r="147" customFormat="false" ht="15" hidden="false" customHeight="false" outlineLevel="0" collapsed="false">
      <c r="B147" s="10" t="s">
        <v>148</v>
      </c>
      <c r="C147" s="34" t="n">
        <f aca="false">LEN(IFERROR(INDEX('Saisie programme'!$D$13:$J$477,12,WEEKDAY($K$82-0,2))&amp;"",""))-LEN(SUBSTITUTE(IFERROR(INDEX('Saisie programme'!$D$13:$J$477,12,WEEKDAY($K$82-0,2))&amp;"",""),"1",""))+LEN(IFERROR(INDEX('Saisie programme'!$D$13:$J$477,12,WEEKDAY($K$82-0,2))&amp;"",""))-LEN(SUBSTITUTE(IFERROR(INDEX('Saisie programme'!$D$13:$J$477,12,WEEKDAY($K$82-0,2))&amp;"",""),"2",""))+LEN(IFERROR(INDEX('Saisie programme'!$D$13:$J$477,12,WEEKDAY($K$82-1,2))&amp;"",""))-LEN(SUBSTITUTE(IFERROR(INDEX('Saisie programme'!$D$13:$J$477,12,WEEKDAY($K$82-1,2))&amp;"",""),"2",""))+LEN(IFERROR(INDEX('Saisie programme'!$D$13:$J$477,12,WEEKDAY($K$82-0,2))&amp;"",""))-LEN(SUBSTITUTE(IFERROR(INDEX('Saisie programme'!$D$13:$J$477,12,WEEKDAY($K$82-0,2))&amp;"",""),"3",""))+LEN(IFERROR(INDEX('Saisie programme'!$D$13:$J$477,12,WEEKDAY($K$82-1,2))&amp;"",""))-LEN(SUBSTITUTE(IFERROR(INDEX('Saisie programme'!$D$13:$J$477,12,WEEKDAY($K$82-1,2))&amp;"",""),"3",""))+LEN(IFERROR(INDEX('Saisie programme'!$D$13:$J$477,12,WEEKDAY($K$82-2,2))&amp;"",""))-LEN(SUBSTITUTE(IFERROR(INDEX('Saisie programme'!$D$13:$J$477,12,WEEKDAY($K$82-2,2))&amp;"",""),"3",""))</f>
        <v>0</v>
      </c>
      <c r="D147" s="34" t="n">
        <f aca="false">LEN(IFERROR(INDEX('Saisie programme'!$D$13:$J$477,51,WEEKDAY($K$83-0,2))&amp;"",""))-LEN(SUBSTITUTE(IFERROR(INDEX('Saisie programme'!$D$13:$J$477,51,WEEKDAY($K$83-0,2))&amp;"",""),"1",""))+LEN(IFERROR(INDEX('Saisie programme'!$D$13:$J$477,51,WEEKDAY($K$83-0,2))&amp;"",""))-LEN(SUBSTITUTE(IFERROR(INDEX('Saisie programme'!$D$13:$J$477,51,WEEKDAY($K$83-0,2))&amp;"",""),"2",""))+LEN(IFERROR(INDEX('Saisie programme'!$D$13:$J$477,51,WEEKDAY($K$83-1,2))&amp;"",""))-LEN(SUBSTITUTE(IFERROR(INDEX('Saisie programme'!$D$13:$J$477,51,WEEKDAY($K$83-1,2))&amp;"",""),"2",""))+LEN(IFERROR(INDEX('Saisie programme'!$D$13:$J$477,51,WEEKDAY($K$83-0,2))&amp;"",""))-LEN(SUBSTITUTE(IFERROR(INDEX('Saisie programme'!$D$13:$J$477,51,WEEKDAY($K$83-0,2))&amp;"",""),"3",""))+LEN(IFERROR(INDEX('Saisie programme'!$D$13:$J$477,51,WEEKDAY($K$83-1,2))&amp;"",""))-LEN(SUBSTITUTE(IFERROR(INDEX('Saisie programme'!$D$13:$J$477,51,WEEKDAY($K$83-1,2))&amp;"",""),"3",""))+LEN(IFERROR(INDEX('Saisie programme'!$D$13:$J$477,51,WEEKDAY($K$83-2,2))&amp;"",""))-LEN(SUBSTITUTE(IFERROR(INDEX('Saisie programme'!$D$13:$J$477,51,WEEKDAY($K$83-2,2))&amp;"",""),"3",""))</f>
        <v>0</v>
      </c>
      <c r="E147" s="34" t="n">
        <f aca="false">LEN(IFERROR(INDEX('Saisie programme'!$D$13:$J$477,90,WEEKDAY($K$84-0,2))&amp;"",""))-LEN(SUBSTITUTE(IFERROR(INDEX('Saisie programme'!$D$13:$J$477,90,WEEKDAY($K$84-0,2))&amp;"",""),"1",""))+LEN(IFERROR(INDEX('Saisie programme'!$D$13:$J$477,90,WEEKDAY($K$84-0,2))&amp;"",""))-LEN(SUBSTITUTE(IFERROR(INDEX('Saisie programme'!$D$13:$J$477,90,WEEKDAY($K$84-0,2))&amp;"",""),"2",""))+LEN(IFERROR(INDEX('Saisie programme'!$D$13:$J$477,90,WEEKDAY($K$84-1,2))&amp;"",""))-LEN(SUBSTITUTE(IFERROR(INDEX('Saisie programme'!$D$13:$J$477,90,WEEKDAY($K$84-1,2))&amp;"",""),"2",""))+LEN(IFERROR(INDEX('Saisie programme'!$D$13:$J$477,90,WEEKDAY($K$84-0,2))&amp;"",""))-LEN(SUBSTITUTE(IFERROR(INDEX('Saisie programme'!$D$13:$J$477,90,WEEKDAY($K$84-0,2))&amp;"",""),"3",""))+LEN(IFERROR(INDEX('Saisie programme'!$D$13:$J$477,90,WEEKDAY($K$84-1,2))&amp;"",""))-LEN(SUBSTITUTE(IFERROR(INDEX('Saisie programme'!$D$13:$J$477,90,WEEKDAY($K$84-1,2))&amp;"",""),"3",""))+LEN(IFERROR(INDEX('Saisie programme'!$D$13:$J$477,90,WEEKDAY($K$84-2,2))&amp;"",""))-LEN(SUBSTITUTE(IFERROR(INDEX('Saisie programme'!$D$13:$J$477,90,WEEKDAY($K$84-2,2))&amp;"",""),"3",""))</f>
        <v>0</v>
      </c>
      <c r="F147" s="34" t="n">
        <f aca="false">LEN(IFERROR(INDEX('Saisie programme'!$D$13:$J$477,129,WEEKDAY($K$85-0,2))&amp;"",""))-LEN(SUBSTITUTE(IFERROR(INDEX('Saisie programme'!$D$13:$J$477,129,WEEKDAY($K$85-0,2))&amp;"",""),"1",""))+LEN(IFERROR(INDEX('Saisie programme'!$D$13:$J$477,129,WEEKDAY($K$85-0,2))&amp;"",""))-LEN(SUBSTITUTE(IFERROR(INDEX('Saisie programme'!$D$13:$J$477,129,WEEKDAY($K$85-0,2))&amp;"",""),"2",""))+LEN(IFERROR(INDEX('Saisie programme'!$D$13:$J$477,129,WEEKDAY($K$85-1,2))&amp;"",""))-LEN(SUBSTITUTE(IFERROR(INDEX('Saisie programme'!$D$13:$J$477,129,WEEKDAY($K$85-1,2))&amp;"",""),"2",""))+LEN(IFERROR(INDEX('Saisie programme'!$D$13:$J$477,129,WEEKDAY($K$85-0,2))&amp;"",""))-LEN(SUBSTITUTE(IFERROR(INDEX('Saisie programme'!$D$13:$J$477,129,WEEKDAY($K$85-0,2))&amp;"",""),"3",""))+LEN(IFERROR(INDEX('Saisie programme'!$D$13:$J$477,129,WEEKDAY($K$85-1,2))&amp;"",""))-LEN(SUBSTITUTE(IFERROR(INDEX('Saisie programme'!$D$13:$J$477,129,WEEKDAY($K$85-1,2))&amp;"",""),"3",""))+LEN(IFERROR(INDEX('Saisie programme'!$D$13:$J$477,129,WEEKDAY($K$85-2,2))&amp;"",""))-LEN(SUBSTITUTE(IFERROR(INDEX('Saisie programme'!$D$13:$J$477,129,WEEKDAY($K$85-2,2))&amp;"",""),"3",""))</f>
        <v>0</v>
      </c>
      <c r="G147" s="34" t="n">
        <f aca="false">LEN(IFERROR(INDEX('Saisie programme'!$D$13:$J$477,168,WEEKDAY($K$86-0,2))&amp;"",""))-LEN(SUBSTITUTE(IFERROR(INDEX('Saisie programme'!$D$13:$J$477,168,WEEKDAY($K$86-0,2))&amp;"",""),"1",""))+LEN(IFERROR(INDEX('Saisie programme'!$D$13:$J$477,168,WEEKDAY($K$86-0,2))&amp;"",""))-LEN(SUBSTITUTE(IFERROR(INDEX('Saisie programme'!$D$13:$J$477,168,WEEKDAY($K$86-0,2))&amp;"",""),"2",""))+LEN(IFERROR(INDEX('Saisie programme'!$D$13:$J$477,168,WEEKDAY($K$86-1,2))&amp;"",""))-LEN(SUBSTITUTE(IFERROR(INDEX('Saisie programme'!$D$13:$J$477,168,WEEKDAY($K$86-1,2))&amp;"",""),"2",""))+LEN(IFERROR(INDEX('Saisie programme'!$D$13:$J$477,168,WEEKDAY($K$86-0,2))&amp;"",""))-LEN(SUBSTITUTE(IFERROR(INDEX('Saisie programme'!$D$13:$J$477,168,WEEKDAY($K$86-0,2))&amp;"",""),"3",""))+LEN(IFERROR(INDEX('Saisie programme'!$D$13:$J$477,168,WEEKDAY($K$86-1,2))&amp;"",""))-LEN(SUBSTITUTE(IFERROR(INDEX('Saisie programme'!$D$13:$J$477,168,WEEKDAY($K$86-1,2))&amp;"",""),"3",""))+LEN(IFERROR(INDEX('Saisie programme'!$D$13:$J$477,168,WEEKDAY($K$86-2,2))&amp;"",""))-LEN(SUBSTITUTE(IFERROR(INDEX('Saisie programme'!$D$13:$J$477,168,WEEKDAY($K$86-2,2))&amp;"",""),"3",""))</f>
        <v>0</v>
      </c>
      <c r="H147" s="34" t="n">
        <f aca="false">LEN(IFERROR(INDEX('Saisie programme'!$D$13:$J$477,207,WEEKDAY($K$87-0,2))&amp;"",""))-LEN(SUBSTITUTE(IFERROR(INDEX('Saisie programme'!$D$13:$J$477,207,WEEKDAY($K$87-0,2))&amp;"",""),"1",""))+LEN(IFERROR(INDEX('Saisie programme'!$D$13:$J$477,207,WEEKDAY($K$87-0,2))&amp;"",""))-LEN(SUBSTITUTE(IFERROR(INDEX('Saisie programme'!$D$13:$J$477,207,WEEKDAY($K$87-0,2))&amp;"",""),"2",""))+LEN(IFERROR(INDEX('Saisie programme'!$D$13:$J$477,207,WEEKDAY($K$87-1,2))&amp;"",""))-LEN(SUBSTITUTE(IFERROR(INDEX('Saisie programme'!$D$13:$J$477,207,WEEKDAY($K$87-1,2))&amp;"",""),"2",""))+LEN(IFERROR(INDEX('Saisie programme'!$D$13:$J$477,207,WEEKDAY($K$87-0,2))&amp;"",""))-LEN(SUBSTITUTE(IFERROR(INDEX('Saisie programme'!$D$13:$J$477,207,WEEKDAY($K$87-0,2))&amp;"",""),"3",""))+LEN(IFERROR(INDEX('Saisie programme'!$D$13:$J$477,207,WEEKDAY($K$87-1,2))&amp;"",""))-LEN(SUBSTITUTE(IFERROR(INDEX('Saisie programme'!$D$13:$J$477,207,WEEKDAY($K$87-1,2))&amp;"",""),"3",""))+LEN(IFERROR(INDEX('Saisie programme'!$D$13:$J$477,207,WEEKDAY($K$87-2,2))&amp;"",""))-LEN(SUBSTITUTE(IFERROR(INDEX('Saisie programme'!$D$13:$J$477,207,WEEKDAY($K$87-2,2))&amp;"",""),"3",""))</f>
        <v>0</v>
      </c>
      <c r="I147" s="34" t="n">
        <f aca="false">LEN(IFERROR(INDEX('Saisie programme'!$D$13:$J$477,246,WEEKDAY($K$88-0,2))&amp;"",""))-LEN(SUBSTITUTE(IFERROR(INDEX('Saisie programme'!$D$13:$J$477,246,WEEKDAY($K$88-0,2))&amp;"",""),"1",""))+LEN(IFERROR(INDEX('Saisie programme'!$D$13:$J$477,246,WEEKDAY($K$88-0,2))&amp;"",""))-LEN(SUBSTITUTE(IFERROR(INDEX('Saisie programme'!$D$13:$J$477,246,WEEKDAY($K$88-0,2))&amp;"",""),"2",""))+LEN(IFERROR(INDEX('Saisie programme'!$D$13:$J$477,246,WEEKDAY($K$88-1,2))&amp;"",""))-LEN(SUBSTITUTE(IFERROR(INDEX('Saisie programme'!$D$13:$J$477,246,WEEKDAY($K$88-1,2))&amp;"",""),"2",""))+LEN(IFERROR(INDEX('Saisie programme'!$D$13:$J$477,246,WEEKDAY($K$88-0,2))&amp;"",""))-LEN(SUBSTITUTE(IFERROR(INDEX('Saisie programme'!$D$13:$J$477,246,WEEKDAY($K$88-0,2))&amp;"",""),"3",""))+LEN(IFERROR(INDEX('Saisie programme'!$D$13:$J$477,246,WEEKDAY($K$88-1,2))&amp;"",""))-LEN(SUBSTITUTE(IFERROR(INDEX('Saisie programme'!$D$13:$J$477,246,WEEKDAY($K$88-1,2))&amp;"",""),"3",""))+LEN(IFERROR(INDEX('Saisie programme'!$D$13:$J$477,246,WEEKDAY($K$88-2,2))&amp;"",""))-LEN(SUBSTITUTE(IFERROR(INDEX('Saisie programme'!$D$13:$J$477,246,WEEKDAY($K$88-2,2))&amp;"",""),"3",""))</f>
        <v>0</v>
      </c>
      <c r="J147" s="34" t="n">
        <f aca="false">LEN(IFERROR(INDEX('Saisie programme'!$D$13:$J$477,285,WEEKDAY($K$89-0,2))&amp;"",""))-LEN(SUBSTITUTE(IFERROR(INDEX('Saisie programme'!$D$13:$J$477,285,WEEKDAY($K$89-0,2))&amp;"",""),"1",""))+LEN(IFERROR(INDEX('Saisie programme'!$D$13:$J$477,285,WEEKDAY($K$89-0,2))&amp;"",""))-LEN(SUBSTITUTE(IFERROR(INDEX('Saisie programme'!$D$13:$J$477,285,WEEKDAY($K$89-0,2))&amp;"",""),"2",""))+LEN(IFERROR(INDEX('Saisie programme'!$D$13:$J$477,285,WEEKDAY($K$89-1,2))&amp;"",""))-LEN(SUBSTITUTE(IFERROR(INDEX('Saisie programme'!$D$13:$J$477,285,WEEKDAY($K$89-1,2))&amp;"",""),"2",""))+LEN(IFERROR(INDEX('Saisie programme'!$D$13:$J$477,285,WEEKDAY($K$89-0,2))&amp;"",""))-LEN(SUBSTITUTE(IFERROR(INDEX('Saisie programme'!$D$13:$J$477,285,WEEKDAY($K$89-0,2))&amp;"",""),"3",""))+LEN(IFERROR(INDEX('Saisie programme'!$D$13:$J$477,285,WEEKDAY($K$89-1,2))&amp;"",""))-LEN(SUBSTITUTE(IFERROR(INDEX('Saisie programme'!$D$13:$J$477,285,WEEKDAY($K$89-1,2))&amp;"",""),"3",""))+LEN(IFERROR(INDEX('Saisie programme'!$D$13:$J$477,285,WEEKDAY($K$89-2,2))&amp;"",""))-LEN(SUBSTITUTE(IFERROR(INDEX('Saisie programme'!$D$13:$J$477,285,WEEKDAY($K$89-2,2))&amp;"",""),"3",""))</f>
        <v>0</v>
      </c>
      <c r="K147" s="34" t="n">
        <f aca="false">LEN(IFERROR(INDEX('Saisie programme'!$D$13:$J$477,324,WEEKDAY($K$90-0,2))&amp;"",""))-LEN(SUBSTITUTE(IFERROR(INDEX('Saisie programme'!$D$13:$J$477,324,WEEKDAY($K$90-0,2))&amp;"",""),"1",""))+LEN(IFERROR(INDEX('Saisie programme'!$D$13:$J$477,324,WEEKDAY($K$90-0,2))&amp;"",""))-LEN(SUBSTITUTE(IFERROR(INDEX('Saisie programme'!$D$13:$J$477,324,WEEKDAY($K$90-0,2))&amp;"",""),"2",""))+LEN(IFERROR(INDEX('Saisie programme'!$D$13:$J$477,324,WEEKDAY($K$90-1,2))&amp;"",""))-LEN(SUBSTITUTE(IFERROR(INDEX('Saisie programme'!$D$13:$J$477,324,WEEKDAY($K$90-1,2))&amp;"",""),"2",""))+LEN(IFERROR(INDEX('Saisie programme'!$D$13:$J$477,324,WEEKDAY($K$90-0,2))&amp;"",""))-LEN(SUBSTITUTE(IFERROR(INDEX('Saisie programme'!$D$13:$J$477,324,WEEKDAY($K$90-0,2))&amp;"",""),"3",""))+LEN(IFERROR(INDEX('Saisie programme'!$D$13:$J$477,324,WEEKDAY($K$90-1,2))&amp;"",""))-LEN(SUBSTITUTE(IFERROR(INDEX('Saisie programme'!$D$13:$J$477,324,WEEKDAY($K$90-1,2))&amp;"",""),"3",""))+LEN(IFERROR(INDEX('Saisie programme'!$D$13:$J$477,324,WEEKDAY($K$90-2,2))&amp;"",""))-LEN(SUBSTITUTE(IFERROR(INDEX('Saisie programme'!$D$13:$J$477,324,WEEKDAY($K$90-2,2))&amp;"",""),"3",""))</f>
        <v>0</v>
      </c>
      <c r="L147" s="34" t="n">
        <f aca="false">LEN(IFERROR(INDEX('Saisie programme'!$D$13:$J$477,363,WEEKDAY($K$91-0,2))&amp;"",""))-LEN(SUBSTITUTE(IFERROR(INDEX('Saisie programme'!$D$13:$J$477,363,WEEKDAY($K$91-0,2))&amp;"",""),"1",""))+LEN(IFERROR(INDEX('Saisie programme'!$D$13:$J$477,363,WEEKDAY($K$91-0,2))&amp;"",""))-LEN(SUBSTITUTE(IFERROR(INDEX('Saisie programme'!$D$13:$J$477,363,WEEKDAY($K$91-0,2))&amp;"",""),"2",""))+LEN(IFERROR(INDEX('Saisie programme'!$D$13:$J$477,363,WEEKDAY($K$91-1,2))&amp;"",""))-LEN(SUBSTITUTE(IFERROR(INDEX('Saisie programme'!$D$13:$J$477,363,WEEKDAY($K$91-1,2))&amp;"",""),"2",""))+LEN(IFERROR(INDEX('Saisie programme'!$D$13:$J$477,363,WEEKDAY($K$91-0,2))&amp;"",""))-LEN(SUBSTITUTE(IFERROR(INDEX('Saisie programme'!$D$13:$J$477,363,WEEKDAY($K$91-0,2))&amp;"",""),"3",""))+LEN(IFERROR(INDEX('Saisie programme'!$D$13:$J$477,363,WEEKDAY($K$91-1,2))&amp;"",""))-LEN(SUBSTITUTE(IFERROR(INDEX('Saisie programme'!$D$13:$J$477,363,WEEKDAY($K$91-1,2))&amp;"",""),"3",""))+LEN(IFERROR(INDEX('Saisie programme'!$D$13:$J$477,363,WEEKDAY($K$91-2,2))&amp;"",""))-LEN(SUBSTITUTE(IFERROR(INDEX('Saisie programme'!$D$13:$J$477,363,WEEKDAY($K$91-2,2))&amp;"",""),"3",""))</f>
        <v>0</v>
      </c>
      <c r="M147" s="34" t="n">
        <f aca="false">LEN(IFERROR(INDEX('Saisie programme'!$D$13:$J$477,402,WEEKDAY($K$92-0,2))&amp;"",""))-LEN(SUBSTITUTE(IFERROR(INDEX('Saisie programme'!$D$13:$J$477,402,WEEKDAY($K$92-0,2))&amp;"",""),"1",""))+LEN(IFERROR(INDEX('Saisie programme'!$D$13:$J$477,402,WEEKDAY($K$92-0,2))&amp;"",""))-LEN(SUBSTITUTE(IFERROR(INDEX('Saisie programme'!$D$13:$J$477,402,WEEKDAY($K$92-0,2))&amp;"",""),"2",""))+LEN(IFERROR(INDEX('Saisie programme'!$D$13:$J$477,402,WEEKDAY($K$92-1,2))&amp;"",""))-LEN(SUBSTITUTE(IFERROR(INDEX('Saisie programme'!$D$13:$J$477,402,WEEKDAY($K$92-1,2))&amp;"",""),"2",""))+LEN(IFERROR(INDEX('Saisie programme'!$D$13:$J$477,402,WEEKDAY($K$92-0,2))&amp;"",""))-LEN(SUBSTITUTE(IFERROR(INDEX('Saisie programme'!$D$13:$J$477,402,WEEKDAY($K$92-0,2))&amp;"",""),"3",""))+LEN(IFERROR(INDEX('Saisie programme'!$D$13:$J$477,402,WEEKDAY($K$92-1,2))&amp;"",""))-LEN(SUBSTITUTE(IFERROR(INDEX('Saisie programme'!$D$13:$J$477,402,WEEKDAY($K$92-1,2))&amp;"",""),"3",""))+LEN(IFERROR(INDEX('Saisie programme'!$D$13:$J$477,402,WEEKDAY($K$92-2,2))&amp;"",""))-LEN(SUBSTITUTE(IFERROR(INDEX('Saisie programme'!$D$13:$J$477,402,WEEKDAY($K$92-2,2))&amp;"",""),"3",""))</f>
        <v>0</v>
      </c>
      <c r="N147" s="34" t="n">
        <f aca="false">LEN(IFERROR(INDEX('Saisie programme'!$D$13:$J$477,441,WEEKDAY($K$93-0,2))&amp;"",""))-LEN(SUBSTITUTE(IFERROR(INDEX('Saisie programme'!$D$13:$J$477,441,WEEKDAY($K$93-0,2))&amp;"",""),"1",""))+LEN(IFERROR(INDEX('Saisie programme'!$D$13:$J$477,441,WEEKDAY($K$93-0,2))&amp;"",""))-LEN(SUBSTITUTE(IFERROR(INDEX('Saisie programme'!$D$13:$J$477,441,WEEKDAY($K$93-0,2))&amp;"",""),"2",""))+LEN(IFERROR(INDEX('Saisie programme'!$D$13:$J$477,441,WEEKDAY($K$93-1,2))&amp;"",""))-LEN(SUBSTITUTE(IFERROR(INDEX('Saisie programme'!$D$13:$J$477,441,WEEKDAY($K$93-1,2))&amp;"",""),"2",""))+LEN(IFERROR(INDEX('Saisie programme'!$D$13:$J$477,441,WEEKDAY($K$93-0,2))&amp;"",""))-LEN(SUBSTITUTE(IFERROR(INDEX('Saisie programme'!$D$13:$J$477,441,WEEKDAY($K$93-0,2))&amp;"",""),"3",""))+LEN(IFERROR(INDEX('Saisie programme'!$D$13:$J$477,441,WEEKDAY($K$93-1,2))&amp;"",""))-LEN(SUBSTITUTE(IFERROR(INDEX('Saisie programme'!$D$13:$J$477,441,WEEKDAY($K$93-1,2))&amp;"",""),"3",""))+LEN(IFERROR(INDEX('Saisie programme'!$D$13:$J$477,441,WEEKDAY($K$93-2,2))&amp;"",""))-LEN(SUBSTITUTE(IFERROR(INDEX('Saisie programme'!$D$13:$J$477,441,WEEKDAY($K$93-2,2))&amp;"",""),"3",""))</f>
        <v>0</v>
      </c>
      <c r="O147" s="12" t="s">
        <v>36</v>
      </c>
      <c r="P147" s="12" t="s">
        <v>24</v>
      </c>
    </row>
    <row r="148" customFormat="false" ht="15" hidden="false" customHeight="false" outlineLevel="0" collapsed="false">
      <c r="B148" s="10" t="s">
        <v>149</v>
      </c>
      <c r="C148" s="34" t="n">
        <f aca="false">LEN(IFERROR(INDEX('Saisie programme'!$D$13:$J$477,13,WEEKDAY($K$82-0,2))&amp;"",""))-LEN(SUBSTITUTE(IFERROR(INDEX('Saisie programme'!$D$13:$J$477,13,WEEKDAY($K$82-0,2))&amp;"",""),"1",""))+LEN(IFERROR(INDEX('Saisie programme'!$D$13:$J$477,13,WEEKDAY($K$82-0,2))&amp;"",""))-LEN(SUBSTITUTE(IFERROR(INDEX('Saisie programme'!$D$13:$J$477,13,WEEKDAY($K$82-0,2))&amp;"",""),"2",""))+LEN(IFERROR(INDEX('Saisie programme'!$D$13:$J$477,13,WEEKDAY($K$82-1,2))&amp;"",""))-LEN(SUBSTITUTE(IFERROR(INDEX('Saisie programme'!$D$13:$J$477,13,WEEKDAY($K$82-1,2))&amp;"",""),"2",""))+LEN(IFERROR(INDEX('Saisie programme'!$D$13:$J$477,13,WEEKDAY($K$82-0,2))&amp;"",""))-LEN(SUBSTITUTE(IFERROR(INDEX('Saisie programme'!$D$13:$J$477,13,WEEKDAY($K$82-0,2))&amp;"",""),"3",""))+LEN(IFERROR(INDEX('Saisie programme'!$D$13:$J$477,13,WEEKDAY($K$82-1,2))&amp;"",""))-LEN(SUBSTITUTE(IFERROR(INDEX('Saisie programme'!$D$13:$J$477,13,WEEKDAY($K$82-1,2))&amp;"",""),"3",""))+LEN(IFERROR(INDEX('Saisie programme'!$D$13:$J$477,13,WEEKDAY($K$82-2,2))&amp;"",""))-LEN(SUBSTITUTE(IFERROR(INDEX('Saisie programme'!$D$13:$J$477,13,WEEKDAY($K$82-2,2))&amp;"",""),"3",""))</f>
        <v>0</v>
      </c>
      <c r="D148" s="34" t="n">
        <f aca="false">LEN(IFERROR(INDEX('Saisie programme'!$D$13:$J$477,52,WEEKDAY($K$83-0,2))&amp;"",""))-LEN(SUBSTITUTE(IFERROR(INDEX('Saisie programme'!$D$13:$J$477,52,WEEKDAY($K$83-0,2))&amp;"",""),"1",""))+LEN(IFERROR(INDEX('Saisie programme'!$D$13:$J$477,52,WEEKDAY($K$83-0,2))&amp;"",""))-LEN(SUBSTITUTE(IFERROR(INDEX('Saisie programme'!$D$13:$J$477,52,WEEKDAY($K$83-0,2))&amp;"",""),"2",""))+LEN(IFERROR(INDEX('Saisie programme'!$D$13:$J$477,52,WEEKDAY($K$83-1,2))&amp;"",""))-LEN(SUBSTITUTE(IFERROR(INDEX('Saisie programme'!$D$13:$J$477,52,WEEKDAY($K$83-1,2))&amp;"",""),"2",""))+LEN(IFERROR(INDEX('Saisie programme'!$D$13:$J$477,52,WEEKDAY($K$83-0,2))&amp;"",""))-LEN(SUBSTITUTE(IFERROR(INDEX('Saisie programme'!$D$13:$J$477,52,WEEKDAY($K$83-0,2))&amp;"",""),"3",""))+LEN(IFERROR(INDEX('Saisie programme'!$D$13:$J$477,52,WEEKDAY($K$83-1,2))&amp;"",""))-LEN(SUBSTITUTE(IFERROR(INDEX('Saisie programme'!$D$13:$J$477,52,WEEKDAY($K$83-1,2))&amp;"",""),"3",""))+LEN(IFERROR(INDEX('Saisie programme'!$D$13:$J$477,52,WEEKDAY($K$83-2,2))&amp;"",""))-LEN(SUBSTITUTE(IFERROR(INDEX('Saisie programme'!$D$13:$J$477,52,WEEKDAY($K$83-2,2))&amp;"",""),"3",""))</f>
        <v>0</v>
      </c>
      <c r="E148" s="34" t="n">
        <f aca="false">LEN(IFERROR(INDEX('Saisie programme'!$D$13:$J$477,91,WEEKDAY($K$84-0,2))&amp;"",""))-LEN(SUBSTITUTE(IFERROR(INDEX('Saisie programme'!$D$13:$J$477,91,WEEKDAY($K$84-0,2))&amp;"",""),"1",""))+LEN(IFERROR(INDEX('Saisie programme'!$D$13:$J$477,91,WEEKDAY($K$84-0,2))&amp;"",""))-LEN(SUBSTITUTE(IFERROR(INDEX('Saisie programme'!$D$13:$J$477,91,WEEKDAY($K$84-0,2))&amp;"",""),"2",""))+LEN(IFERROR(INDEX('Saisie programme'!$D$13:$J$477,91,WEEKDAY($K$84-1,2))&amp;"",""))-LEN(SUBSTITUTE(IFERROR(INDEX('Saisie programme'!$D$13:$J$477,91,WEEKDAY($K$84-1,2))&amp;"",""),"2",""))+LEN(IFERROR(INDEX('Saisie programme'!$D$13:$J$477,91,WEEKDAY($K$84-0,2))&amp;"",""))-LEN(SUBSTITUTE(IFERROR(INDEX('Saisie programme'!$D$13:$J$477,91,WEEKDAY($K$84-0,2))&amp;"",""),"3",""))+LEN(IFERROR(INDEX('Saisie programme'!$D$13:$J$477,91,WEEKDAY($K$84-1,2))&amp;"",""))-LEN(SUBSTITUTE(IFERROR(INDEX('Saisie programme'!$D$13:$J$477,91,WEEKDAY($K$84-1,2))&amp;"",""),"3",""))+LEN(IFERROR(INDEX('Saisie programme'!$D$13:$J$477,91,WEEKDAY($K$84-2,2))&amp;"",""))-LEN(SUBSTITUTE(IFERROR(INDEX('Saisie programme'!$D$13:$J$477,91,WEEKDAY($K$84-2,2))&amp;"",""),"3",""))</f>
        <v>0</v>
      </c>
      <c r="F148" s="34" t="n">
        <f aca="false">LEN(IFERROR(INDEX('Saisie programme'!$D$13:$J$477,130,WEEKDAY($K$85-0,2))&amp;"",""))-LEN(SUBSTITUTE(IFERROR(INDEX('Saisie programme'!$D$13:$J$477,130,WEEKDAY($K$85-0,2))&amp;"",""),"1",""))+LEN(IFERROR(INDEX('Saisie programme'!$D$13:$J$477,130,WEEKDAY($K$85-0,2))&amp;"",""))-LEN(SUBSTITUTE(IFERROR(INDEX('Saisie programme'!$D$13:$J$477,130,WEEKDAY($K$85-0,2))&amp;"",""),"2",""))+LEN(IFERROR(INDEX('Saisie programme'!$D$13:$J$477,130,WEEKDAY($K$85-1,2))&amp;"",""))-LEN(SUBSTITUTE(IFERROR(INDEX('Saisie programme'!$D$13:$J$477,130,WEEKDAY($K$85-1,2))&amp;"",""),"2",""))+LEN(IFERROR(INDEX('Saisie programme'!$D$13:$J$477,130,WEEKDAY($K$85-0,2))&amp;"",""))-LEN(SUBSTITUTE(IFERROR(INDEX('Saisie programme'!$D$13:$J$477,130,WEEKDAY($K$85-0,2))&amp;"",""),"3",""))+LEN(IFERROR(INDEX('Saisie programme'!$D$13:$J$477,130,WEEKDAY($K$85-1,2))&amp;"",""))-LEN(SUBSTITUTE(IFERROR(INDEX('Saisie programme'!$D$13:$J$477,130,WEEKDAY($K$85-1,2))&amp;"",""),"3",""))+LEN(IFERROR(INDEX('Saisie programme'!$D$13:$J$477,130,WEEKDAY($K$85-2,2))&amp;"",""))-LEN(SUBSTITUTE(IFERROR(INDEX('Saisie programme'!$D$13:$J$477,130,WEEKDAY($K$85-2,2))&amp;"",""),"3",""))</f>
        <v>0</v>
      </c>
      <c r="G148" s="34" t="n">
        <f aca="false">LEN(IFERROR(INDEX('Saisie programme'!$D$13:$J$477,169,WEEKDAY($K$86-0,2))&amp;"",""))-LEN(SUBSTITUTE(IFERROR(INDEX('Saisie programme'!$D$13:$J$477,169,WEEKDAY($K$86-0,2))&amp;"",""),"1",""))+LEN(IFERROR(INDEX('Saisie programme'!$D$13:$J$477,169,WEEKDAY($K$86-0,2))&amp;"",""))-LEN(SUBSTITUTE(IFERROR(INDEX('Saisie programme'!$D$13:$J$477,169,WEEKDAY($K$86-0,2))&amp;"",""),"2",""))+LEN(IFERROR(INDEX('Saisie programme'!$D$13:$J$477,169,WEEKDAY($K$86-1,2))&amp;"",""))-LEN(SUBSTITUTE(IFERROR(INDEX('Saisie programme'!$D$13:$J$477,169,WEEKDAY($K$86-1,2))&amp;"",""),"2",""))+LEN(IFERROR(INDEX('Saisie programme'!$D$13:$J$477,169,WEEKDAY($K$86-0,2))&amp;"",""))-LEN(SUBSTITUTE(IFERROR(INDEX('Saisie programme'!$D$13:$J$477,169,WEEKDAY($K$86-0,2))&amp;"",""),"3",""))+LEN(IFERROR(INDEX('Saisie programme'!$D$13:$J$477,169,WEEKDAY($K$86-1,2))&amp;"",""))-LEN(SUBSTITUTE(IFERROR(INDEX('Saisie programme'!$D$13:$J$477,169,WEEKDAY($K$86-1,2))&amp;"",""),"3",""))+LEN(IFERROR(INDEX('Saisie programme'!$D$13:$J$477,169,WEEKDAY($K$86-2,2))&amp;"",""))-LEN(SUBSTITUTE(IFERROR(INDEX('Saisie programme'!$D$13:$J$477,169,WEEKDAY($K$86-2,2))&amp;"",""),"3",""))</f>
        <v>0</v>
      </c>
      <c r="H148" s="34" t="n">
        <f aca="false">LEN(IFERROR(INDEX('Saisie programme'!$D$13:$J$477,208,WEEKDAY($K$87-0,2))&amp;"",""))-LEN(SUBSTITUTE(IFERROR(INDEX('Saisie programme'!$D$13:$J$477,208,WEEKDAY($K$87-0,2))&amp;"",""),"1",""))+LEN(IFERROR(INDEX('Saisie programme'!$D$13:$J$477,208,WEEKDAY($K$87-0,2))&amp;"",""))-LEN(SUBSTITUTE(IFERROR(INDEX('Saisie programme'!$D$13:$J$477,208,WEEKDAY($K$87-0,2))&amp;"",""),"2",""))+LEN(IFERROR(INDEX('Saisie programme'!$D$13:$J$477,208,WEEKDAY($K$87-1,2))&amp;"",""))-LEN(SUBSTITUTE(IFERROR(INDEX('Saisie programme'!$D$13:$J$477,208,WEEKDAY($K$87-1,2))&amp;"",""),"2",""))+LEN(IFERROR(INDEX('Saisie programme'!$D$13:$J$477,208,WEEKDAY($K$87-0,2))&amp;"",""))-LEN(SUBSTITUTE(IFERROR(INDEX('Saisie programme'!$D$13:$J$477,208,WEEKDAY($K$87-0,2))&amp;"",""),"3",""))+LEN(IFERROR(INDEX('Saisie programme'!$D$13:$J$477,208,WEEKDAY($K$87-1,2))&amp;"",""))-LEN(SUBSTITUTE(IFERROR(INDEX('Saisie programme'!$D$13:$J$477,208,WEEKDAY($K$87-1,2))&amp;"",""),"3",""))+LEN(IFERROR(INDEX('Saisie programme'!$D$13:$J$477,208,WEEKDAY($K$87-2,2))&amp;"",""))-LEN(SUBSTITUTE(IFERROR(INDEX('Saisie programme'!$D$13:$J$477,208,WEEKDAY($K$87-2,2))&amp;"",""),"3",""))</f>
        <v>0</v>
      </c>
      <c r="I148" s="34" t="n">
        <f aca="false">LEN(IFERROR(INDEX('Saisie programme'!$D$13:$J$477,247,WEEKDAY($K$88-0,2))&amp;"",""))-LEN(SUBSTITUTE(IFERROR(INDEX('Saisie programme'!$D$13:$J$477,247,WEEKDAY($K$88-0,2))&amp;"",""),"1",""))+LEN(IFERROR(INDEX('Saisie programme'!$D$13:$J$477,247,WEEKDAY($K$88-0,2))&amp;"",""))-LEN(SUBSTITUTE(IFERROR(INDEX('Saisie programme'!$D$13:$J$477,247,WEEKDAY($K$88-0,2))&amp;"",""),"2",""))+LEN(IFERROR(INDEX('Saisie programme'!$D$13:$J$477,247,WEEKDAY($K$88-1,2))&amp;"",""))-LEN(SUBSTITUTE(IFERROR(INDEX('Saisie programme'!$D$13:$J$477,247,WEEKDAY($K$88-1,2))&amp;"",""),"2",""))+LEN(IFERROR(INDEX('Saisie programme'!$D$13:$J$477,247,WEEKDAY($K$88-0,2))&amp;"",""))-LEN(SUBSTITUTE(IFERROR(INDEX('Saisie programme'!$D$13:$J$477,247,WEEKDAY($K$88-0,2))&amp;"",""),"3",""))+LEN(IFERROR(INDEX('Saisie programme'!$D$13:$J$477,247,WEEKDAY($K$88-1,2))&amp;"",""))-LEN(SUBSTITUTE(IFERROR(INDEX('Saisie programme'!$D$13:$J$477,247,WEEKDAY($K$88-1,2))&amp;"",""),"3",""))+LEN(IFERROR(INDEX('Saisie programme'!$D$13:$J$477,247,WEEKDAY($K$88-2,2))&amp;"",""))-LEN(SUBSTITUTE(IFERROR(INDEX('Saisie programme'!$D$13:$J$477,247,WEEKDAY($K$88-2,2))&amp;"",""),"3",""))</f>
        <v>0</v>
      </c>
      <c r="J148" s="34" t="n">
        <f aca="false">LEN(IFERROR(INDEX('Saisie programme'!$D$13:$J$477,286,WEEKDAY($K$89-0,2))&amp;"",""))-LEN(SUBSTITUTE(IFERROR(INDEX('Saisie programme'!$D$13:$J$477,286,WEEKDAY($K$89-0,2))&amp;"",""),"1",""))+LEN(IFERROR(INDEX('Saisie programme'!$D$13:$J$477,286,WEEKDAY($K$89-0,2))&amp;"",""))-LEN(SUBSTITUTE(IFERROR(INDEX('Saisie programme'!$D$13:$J$477,286,WEEKDAY($K$89-0,2))&amp;"",""),"2",""))+LEN(IFERROR(INDEX('Saisie programme'!$D$13:$J$477,286,WEEKDAY($K$89-1,2))&amp;"",""))-LEN(SUBSTITUTE(IFERROR(INDEX('Saisie programme'!$D$13:$J$477,286,WEEKDAY($K$89-1,2))&amp;"",""),"2",""))+LEN(IFERROR(INDEX('Saisie programme'!$D$13:$J$477,286,WEEKDAY($K$89-0,2))&amp;"",""))-LEN(SUBSTITUTE(IFERROR(INDEX('Saisie programme'!$D$13:$J$477,286,WEEKDAY($K$89-0,2))&amp;"",""),"3",""))+LEN(IFERROR(INDEX('Saisie programme'!$D$13:$J$477,286,WEEKDAY($K$89-1,2))&amp;"",""))-LEN(SUBSTITUTE(IFERROR(INDEX('Saisie programme'!$D$13:$J$477,286,WEEKDAY($K$89-1,2))&amp;"",""),"3",""))+LEN(IFERROR(INDEX('Saisie programme'!$D$13:$J$477,286,WEEKDAY($K$89-2,2))&amp;"",""))-LEN(SUBSTITUTE(IFERROR(INDEX('Saisie programme'!$D$13:$J$477,286,WEEKDAY($K$89-2,2))&amp;"",""),"3",""))</f>
        <v>0</v>
      </c>
      <c r="K148" s="34" t="n">
        <f aca="false">LEN(IFERROR(INDEX('Saisie programme'!$D$13:$J$477,325,WEEKDAY($K$90-0,2))&amp;"",""))-LEN(SUBSTITUTE(IFERROR(INDEX('Saisie programme'!$D$13:$J$477,325,WEEKDAY($K$90-0,2))&amp;"",""),"1",""))+LEN(IFERROR(INDEX('Saisie programme'!$D$13:$J$477,325,WEEKDAY($K$90-0,2))&amp;"",""))-LEN(SUBSTITUTE(IFERROR(INDEX('Saisie programme'!$D$13:$J$477,325,WEEKDAY($K$90-0,2))&amp;"",""),"2",""))+LEN(IFERROR(INDEX('Saisie programme'!$D$13:$J$477,325,WEEKDAY($K$90-1,2))&amp;"",""))-LEN(SUBSTITUTE(IFERROR(INDEX('Saisie programme'!$D$13:$J$477,325,WEEKDAY($K$90-1,2))&amp;"",""),"2",""))+LEN(IFERROR(INDEX('Saisie programme'!$D$13:$J$477,325,WEEKDAY($K$90-0,2))&amp;"",""))-LEN(SUBSTITUTE(IFERROR(INDEX('Saisie programme'!$D$13:$J$477,325,WEEKDAY($K$90-0,2))&amp;"",""),"3",""))+LEN(IFERROR(INDEX('Saisie programme'!$D$13:$J$477,325,WEEKDAY($K$90-1,2))&amp;"",""))-LEN(SUBSTITUTE(IFERROR(INDEX('Saisie programme'!$D$13:$J$477,325,WEEKDAY($K$90-1,2))&amp;"",""),"3",""))+LEN(IFERROR(INDEX('Saisie programme'!$D$13:$J$477,325,WEEKDAY($K$90-2,2))&amp;"",""))-LEN(SUBSTITUTE(IFERROR(INDEX('Saisie programme'!$D$13:$J$477,325,WEEKDAY($K$90-2,2))&amp;"",""),"3",""))</f>
        <v>0</v>
      </c>
      <c r="L148" s="34" t="n">
        <f aca="false">LEN(IFERROR(INDEX('Saisie programme'!$D$13:$J$477,364,WEEKDAY($K$91-0,2))&amp;"",""))-LEN(SUBSTITUTE(IFERROR(INDEX('Saisie programme'!$D$13:$J$477,364,WEEKDAY($K$91-0,2))&amp;"",""),"1",""))+LEN(IFERROR(INDEX('Saisie programme'!$D$13:$J$477,364,WEEKDAY($K$91-0,2))&amp;"",""))-LEN(SUBSTITUTE(IFERROR(INDEX('Saisie programme'!$D$13:$J$477,364,WEEKDAY($K$91-0,2))&amp;"",""),"2",""))+LEN(IFERROR(INDEX('Saisie programme'!$D$13:$J$477,364,WEEKDAY($K$91-1,2))&amp;"",""))-LEN(SUBSTITUTE(IFERROR(INDEX('Saisie programme'!$D$13:$J$477,364,WEEKDAY($K$91-1,2))&amp;"",""),"2",""))+LEN(IFERROR(INDEX('Saisie programme'!$D$13:$J$477,364,WEEKDAY($K$91-0,2))&amp;"",""))-LEN(SUBSTITUTE(IFERROR(INDEX('Saisie programme'!$D$13:$J$477,364,WEEKDAY($K$91-0,2))&amp;"",""),"3",""))+LEN(IFERROR(INDEX('Saisie programme'!$D$13:$J$477,364,WEEKDAY($K$91-1,2))&amp;"",""))-LEN(SUBSTITUTE(IFERROR(INDEX('Saisie programme'!$D$13:$J$477,364,WEEKDAY($K$91-1,2))&amp;"",""),"3",""))+LEN(IFERROR(INDEX('Saisie programme'!$D$13:$J$477,364,WEEKDAY($K$91-2,2))&amp;"",""))-LEN(SUBSTITUTE(IFERROR(INDEX('Saisie programme'!$D$13:$J$477,364,WEEKDAY($K$91-2,2))&amp;"",""),"3",""))</f>
        <v>0</v>
      </c>
      <c r="M148" s="34" t="n">
        <f aca="false">LEN(IFERROR(INDEX('Saisie programme'!$D$13:$J$477,403,WEEKDAY($K$92-0,2))&amp;"",""))-LEN(SUBSTITUTE(IFERROR(INDEX('Saisie programme'!$D$13:$J$477,403,WEEKDAY($K$92-0,2))&amp;"",""),"1",""))+LEN(IFERROR(INDEX('Saisie programme'!$D$13:$J$477,403,WEEKDAY($K$92-0,2))&amp;"",""))-LEN(SUBSTITUTE(IFERROR(INDEX('Saisie programme'!$D$13:$J$477,403,WEEKDAY($K$92-0,2))&amp;"",""),"2",""))+LEN(IFERROR(INDEX('Saisie programme'!$D$13:$J$477,403,WEEKDAY($K$92-1,2))&amp;"",""))-LEN(SUBSTITUTE(IFERROR(INDEX('Saisie programme'!$D$13:$J$477,403,WEEKDAY($K$92-1,2))&amp;"",""),"2",""))+LEN(IFERROR(INDEX('Saisie programme'!$D$13:$J$477,403,WEEKDAY($K$92-0,2))&amp;"",""))-LEN(SUBSTITUTE(IFERROR(INDEX('Saisie programme'!$D$13:$J$477,403,WEEKDAY($K$92-0,2))&amp;"",""),"3",""))+LEN(IFERROR(INDEX('Saisie programme'!$D$13:$J$477,403,WEEKDAY($K$92-1,2))&amp;"",""))-LEN(SUBSTITUTE(IFERROR(INDEX('Saisie programme'!$D$13:$J$477,403,WEEKDAY($K$92-1,2))&amp;"",""),"3",""))+LEN(IFERROR(INDEX('Saisie programme'!$D$13:$J$477,403,WEEKDAY($K$92-2,2))&amp;"",""))-LEN(SUBSTITUTE(IFERROR(INDEX('Saisie programme'!$D$13:$J$477,403,WEEKDAY($K$92-2,2))&amp;"",""),"3",""))</f>
        <v>0</v>
      </c>
      <c r="N148" s="34" t="n">
        <f aca="false">LEN(IFERROR(INDEX('Saisie programme'!$D$13:$J$477,442,WEEKDAY($K$93-0,2))&amp;"",""))-LEN(SUBSTITUTE(IFERROR(INDEX('Saisie programme'!$D$13:$J$477,442,WEEKDAY($K$93-0,2))&amp;"",""),"1",""))+LEN(IFERROR(INDEX('Saisie programme'!$D$13:$J$477,442,WEEKDAY($K$93-0,2))&amp;"",""))-LEN(SUBSTITUTE(IFERROR(INDEX('Saisie programme'!$D$13:$J$477,442,WEEKDAY($K$93-0,2))&amp;"",""),"2",""))+LEN(IFERROR(INDEX('Saisie programme'!$D$13:$J$477,442,WEEKDAY($K$93-1,2))&amp;"",""))-LEN(SUBSTITUTE(IFERROR(INDEX('Saisie programme'!$D$13:$J$477,442,WEEKDAY($K$93-1,2))&amp;"",""),"2",""))+LEN(IFERROR(INDEX('Saisie programme'!$D$13:$J$477,442,WEEKDAY($K$93-0,2))&amp;"",""))-LEN(SUBSTITUTE(IFERROR(INDEX('Saisie programme'!$D$13:$J$477,442,WEEKDAY($K$93-0,2))&amp;"",""),"3",""))+LEN(IFERROR(INDEX('Saisie programme'!$D$13:$J$477,442,WEEKDAY($K$93-1,2))&amp;"",""))-LEN(SUBSTITUTE(IFERROR(INDEX('Saisie programme'!$D$13:$J$477,442,WEEKDAY($K$93-1,2))&amp;"",""),"3",""))+LEN(IFERROR(INDEX('Saisie programme'!$D$13:$J$477,442,WEEKDAY($K$93-2,2))&amp;"",""))-LEN(SUBSTITUTE(IFERROR(INDEX('Saisie programme'!$D$13:$J$477,442,WEEKDAY($K$93-2,2))&amp;"",""),"3",""))</f>
        <v>0</v>
      </c>
      <c r="O148" s="12" t="s">
        <v>40</v>
      </c>
      <c r="P148" s="12" t="s">
        <v>11</v>
      </c>
    </row>
    <row r="149" customFormat="false" ht="15" hidden="false" customHeight="false" outlineLevel="0" collapsed="false">
      <c r="B149" s="10" t="s">
        <v>150</v>
      </c>
      <c r="C149" s="34" t="n">
        <f aca="false">LEN(IFERROR(INDEX('Saisie programme'!$D$13:$J$477,14,WEEKDAY($K$82-0,2))&amp;"",""))-LEN(SUBSTITUTE(IFERROR(INDEX('Saisie programme'!$D$13:$J$477,14,WEEKDAY($K$82-0,2))&amp;"",""),"1",""))+LEN(IFERROR(INDEX('Saisie programme'!$D$13:$J$477,14,WEEKDAY($K$82-0,2))&amp;"",""))-LEN(SUBSTITUTE(IFERROR(INDEX('Saisie programme'!$D$13:$J$477,14,WEEKDAY($K$82-0,2))&amp;"",""),"2",""))+LEN(IFERROR(INDEX('Saisie programme'!$D$13:$J$477,14,WEEKDAY($K$82-1,2))&amp;"",""))-LEN(SUBSTITUTE(IFERROR(INDEX('Saisie programme'!$D$13:$J$477,14,WEEKDAY($K$82-1,2))&amp;"",""),"2",""))+LEN(IFERROR(INDEX('Saisie programme'!$D$13:$J$477,14,WEEKDAY($K$82-0,2))&amp;"",""))-LEN(SUBSTITUTE(IFERROR(INDEX('Saisie programme'!$D$13:$J$477,14,WEEKDAY($K$82-0,2))&amp;"",""),"3",""))+LEN(IFERROR(INDEX('Saisie programme'!$D$13:$J$477,14,WEEKDAY($K$82-1,2))&amp;"",""))-LEN(SUBSTITUTE(IFERROR(INDEX('Saisie programme'!$D$13:$J$477,14,WEEKDAY($K$82-1,2))&amp;"",""),"3",""))+LEN(IFERROR(INDEX('Saisie programme'!$D$13:$J$477,14,WEEKDAY($K$82-2,2))&amp;"",""))-LEN(SUBSTITUTE(IFERROR(INDEX('Saisie programme'!$D$13:$J$477,14,WEEKDAY($K$82-2,2))&amp;"",""),"3",""))</f>
        <v>0</v>
      </c>
      <c r="D149" s="34" t="n">
        <f aca="false">LEN(IFERROR(INDEX('Saisie programme'!$D$13:$J$477,53,WEEKDAY($K$83-0,2))&amp;"",""))-LEN(SUBSTITUTE(IFERROR(INDEX('Saisie programme'!$D$13:$J$477,53,WEEKDAY($K$83-0,2))&amp;"",""),"1",""))+LEN(IFERROR(INDEX('Saisie programme'!$D$13:$J$477,53,WEEKDAY($K$83-0,2))&amp;"",""))-LEN(SUBSTITUTE(IFERROR(INDEX('Saisie programme'!$D$13:$J$477,53,WEEKDAY($K$83-0,2))&amp;"",""),"2",""))+LEN(IFERROR(INDEX('Saisie programme'!$D$13:$J$477,53,WEEKDAY($K$83-1,2))&amp;"",""))-LEN(SUBSTITUTE(IFERROR(INDEX('Saisie programme'!$D$13:$J$477,53,WEEKDAY($K$83-1,2))&amp;"",""),"2",""))+LEN(IFERROR(INDEX('Saisie programme'!$D$13:$J$477,53,WEEKDAY($K$83-0,2))&amp;"",""))-LEN(SUBSTITUTE(IFERROR(INDEX('Saisie programme'!$D$13:$J$477,53,WEEKDAY($K$83-0,2))&amp;"",""),"3",""))+LEN(IFERROR(INDEX('Saisie programme'!$D$13:$J$477,53,WEEKDAY($K$83-1,2))&amp;"",""))-LEN(SUBSTITUTE(IFERROR(INDEX('Saisie programme'!$D$13:$J$477,53,WEEKDAY($K$83-1,2))&amp;"",""),"3",""))+LEN(IFERROR(INDEX('Saisie programme'!$D$13:$J$477,53,WEEKDAY($K$83-2,2))&amp;"",""))-LEN(SUBSTITUTE(IFERROR(INDEX('Saisie programme'!$D$13:$J$477,53,WEEKDAY($K$83-2,2))&amp;"",""),"3",""))</f>
        <v>0</v>
      </c>
      <c r="E149" s="34" t="n">
        <f aca="false">LEN(IFERROR(INDEX('Saisie programme'!$D$13:$J$477,92,WEEKDAY($K$84-0,2))&amp;"",""))-LEN(SUBSTITUTE(IFERROR(INDEX('Saisie programme'!$D$13:$J$477,92,WEEKDAY($K$84-0,2))&amp;"",""),"1",""))+LEN(IFERROR(INDEX('Saisie programme'!$D$13:$J$477,92,WEEKDAY($K$84-0,2))&amp;"",""))-LEN(SUBSTITUTE(IFERROR(INDEX('Saisie programme'!$D$13:$J$477,92,WEEKDAY($K$84-0,2))&amp;"",""),"2",""))+LEN(IFERROR(INDEX('Saisie programme'!$D$13:$J$477,92,WEEKDAY($K$84-1,2))&amp;"",""))-LEN(SUBSTITUTE(IFERROR(INDEX('Saisie programme'!$D$13:$J$477,92,WEEKDAY($K$84-1,2))&amp;"",""),"2",""))+LEN(IFERROR(INDEX('Saisie programme'!$D$13:$J$477,92,WEEKDAY($K$84-0,2))&amp;"",""))-LEN(SUBSTITUTE(IFERROR(INDEX('Saisie programme'!$D$13:$J$477,92,WEEKDAY($K$84-0,2))&amp;"",""),"3",""))+LEN(IFERROR(INDEX('Saisie programme'!$D$13:$J$477,92,WEEKDAY($K$84-1,2))&amp;"",""))-LEN(SUBSTITUTE(IFERROR(INDEX('Saisie programme'!$D$13:$J$477,92,WEEKDAY($K$84-1,2))&amp;"",""),"3",""))+LEN(IFERROR(INDEX('Saisie programme'!$D$13:$J$477,92,WEEKDAY($K$84-2,2))&amp;"",""))-LEN(SUBSTITUTE(IFERROR(INDEX('Saisie programme'!$D$13:$J$477,92,WEEKDAY($K$84-2,2))&amp;"",""),"3",""))</f>
        <v>0</v>
      </c>
      <c r="F149" s="34" t="n">
        <f aca="false">LEN(IFERROR(INDEX('Saisie programme'!$D$13:$J$477,131,WEEKDAY($K$85-0,2))&amp;"",""))-LEN(SUBSTITUTE(IFERROR(INDEX('Saisie programme'!$D$13:$J$477,131,WEEKDAY($K$85-0,2))&amp;"",""),"1",""))+LEN(IFERROR(INDEX('Saisie programme'!$D$13:$J$477,131,WEEKDAY($K$85-0,2))&amp;"",""))-LEN(SUBSTITUTE(IFERROR(INDEX('Saisie programme'!$D$13:$J$477,131,WEEKDAY($K$85-0,2))&amp;"",""),"2",""))+LEN(IFERROR(INDEX('Saisie programme'!$D$13:$J$477,131,WEEKDAY($K$85-1,2))&amp;"",""))-LEN(SUBSTITUTE(IFERROR(INDEX('Saisie programme'!$D$13:$J$477,131,WEEKDAY($K$85-1,2))&amp;"",""),"2",""))+LEN(IFERROR(INDEX('Saisie programme'!$D$13:$J$477,131,WEEKDAY($K$85-0,2))&amp;"",""))-LEN(SUBSTITUTE(IFERROR(INDEX('Saisie programme'!$D$13:$J$477,131,WEEKDAY($K$85-0,2))&amp;"",""),"3",""))+LEN(IFERROR(INDEX('Saisie programme'!$D$13:$J$477,131,WEEKDAY($K$85-1,2))&amp;"",""))-LEN(SUBSTITUTE(IFERROR(INDEX('Saisie programme'!$D$13:$J$477,131,WEEKDAY($K$85-1,2))&amp;"",""),"3",""))+LEN(IFERROR(INDEX('Saisie programme'!$D$13:$J$477,131,WEEKDAY($K$85-2,2))&amp;"",""))-LEN(SUBSTITUTE(IFERROR(INDEX('Saisie programme'!$D$13:$J$477,131,WEEKDAY($K$85-2,2))&amp;"",""),"3",""))</f>
        <v>0</v>
      </c>
      <c r="G149" s="34" t="n">
        <f aca="false">LEN(IFERROR(INDEX('Saisie programme'!$D$13:$J$477,170,WEEKDAY($K$86-0,2))&amp;"",""))-LEN(SUBSTITUTE(IFERROR(INDEX('Saisie programme'!$D$13:$J$477,170,WEEKDAY($K$86-0,2))&amp;"",""),"1",""))+LEN(IFERROR(INDEX('Saisie programme'!$D$13:$J$477,170,WEEKDAY($K$86-0,2))&amp;"",""))-LEN(SUBSTITUTE(IFERROR(INDEX('Saisie programme'!$D$13:$J$477,170,WEEKDAY($K$86-0,2))&amp;"",""),"2",""))+LEN(IFERROR(INDEX('Saisie programme'!$D$13:$J$477,170,WEEKDAY($K$86-1,2))&amp;"",""))-LEN(SUBSTITUTE(IFERROR(INDEX('Saisie programme'!$D$13:$J$477,170,WEEKDAY($K$86-1,2))&amp;"",""),"2",""))+LEN(IFERROR(INDEX('Saisie programme'!$D$13:$J$477,170,WEEKDAY($K$86-0,2))&amp;"",""))-LEN(SUBSTITUTE(IFERROR(INDEX('Saisie programme'!$D$13:$J$477,170,WEEKDAY($K$86-0,2))&amp;"",""),"3",""))+LEN(IFERROR(INDEX('Saisie programme'!$D$13:$J$477,170,WEEKDAY($K$86-1,2))&amp;"",""))-LEN(SUBSTITUTE(IFERROR(INDEX('Saisie programme'!$D$13:$J$477,170,WEEKDAY($K$86-1,2))&amp;"",""),"3",""))+LEN(IFERROR(INDEX('Saisie programme'!$D$13:$J$477,170,WEEKDAY($K$86-2,2))&amp;"",""))-LEN(SUBSTITUTE(IFERROR(INDEX('Saisie programme'!$D$13:$J$477,170,WEEKDAY($K$86-2,2))&amp;"",""),"3",""))</f>
        <v>0</v>
      </c>
      <c r="H149" s="34" t="n">
        <f aca="false">LEN(IFERROR(INDEX('Saisie programme'!$D$13:$J$477,209,WEEKDAY($K$87-0,2))&amp;"",""))-LEN(SUBSTITUTE(IFERROR(INDEX('Saisie programme'!$D$13:$J$477,209,WEEKDAY($K$87-0,2))&amp;"",""),"1",""))+LEN(IFERROR(INDEX('Saisie programme'!$D$13:$J$477,209,WEEKDAY($K$87-0,2))&amp;"",""))-LEN(SUBSTITUTE(IFERROR(INDEX('Saisie programme'!$D$13:$J$477,209,WEEKDAY($K$87-0,2))&amp;"",""),"2",""))+LEN(IFERROR(INDEX('Saisie programme'!$D$13:$J$477,209,WEEKDAY($K$87-1,2))&amp;"",""))-LEN(SUBSTITUTE(IFERROR(INDEX('Saisie programme'!$D$13:$J$477,209,WEEKDAY($K$87-1,2))&amp;"",""),"2",""))+LEN(IFERROR(INDEX('Saisie programme'!$D$13:$J$477,209,WEEKDAY($K$87-0,2))&amp;"",""))-LEN(SUBSTITUTE(IFERROR(INDEX('Saisie programme'!$D$13:$J$477,209,WEEKDAY($K$87-0,2))&amp;"",""),"3",""))+LEN(IFERROR(INDEX('Saisie programme'!$D$13:$J$477,209,WEEKDAY($K$87-1,2))&amp;"",""))-LEN(SUBSTITUTE(IFERROR(INDEX('Saisie programme'!$D$13:$J$477,209,WEEKDAY($K$87-1,2))&amp;"",""),"3",""))+LEN(IFERROR(INDEX('Saisie programme'!$D$13:$J$477,209,WEEKDAY($K$87-2,2))&amp;"",""))-LEN(SUBSTITUTE(IFERROR(INDEX('Saisie programme'!$D$13:$J$477,209,WEEKDAY($K$87-2,2))&amp;"",""),"3",""))</f>
        <v>0</v>
      </c>
      <c r="I149" s="34" t="n">
        <f aca="false">LEN(IFERROR(INDEX('Saisie programme'!$D$13:$J$477,248,WEEKDAY($K$88-0,2))&amp;"",""))-LEN(SUBSTITUTE(IFERROR(INDEX('Saisie programme'!$D$13:$J$477,248,WEEKDAY($K$88-0,2))&amp;"",""),"1",""))+LEN(IFERROR(INDEX('Saisie programme'!$D$13:$J$477,248,WEEKDAY($K$88-0,2))&amp;"",""))-LEN(SUBSTITUTE(IFERROR(INDEX('Saisie programme'!$D$13:$J$477,248,WEEKDAY($K$88-0,2))&amp;"",""),"2",""))+LEN(IFERROR(INDEX('Saisie programme'!$D$13:$J$477,248,WEEKDAY($K$88-1,2))&amp;"",""))-LEN(SUBSTITUTE(IFERROR(INDEX('Saisie programme'!$D$13:$J$477,248,WEEKDAY($K$88-1,2))&amp;"",""),"2",""))+LEN(IFERROR(INDEX('Saisie programme'!$D$13:$J$477,248,WEEKDAY($K$88-0,2))&amp;"",""))-LEN(SUBSTITUTE(IFERROR(INDEX('Saisie programme'!$D$13:$J$477,248,WEEKDAY($K$88-0,2))&amp;"",""),"3",""))+LEN(IFERROR(INDEX('Saisie programme'!$D$13:$J$477,248,WEEKDAY($K$88-1,2))&amp;"",""))-LEN(SUBSTITUTE(IFERROR(INDEX('Saisie programme'!$D$13:$J$477,248,WEEKDAY($K$88-1,2))&amp;"",""),"3",""))+LEN(IFERROR(INDEX('Saisie programme'!$D$13:$J$477,248,WEEKDAY($K$88-2,2))&amp;"",""))-LEN(SUBSTITUTE(IFERROR(INDEX('Saisie programme'!$D$13:$J$477,248,WEEKDAY($K$88-2,2))&amp;"",""),"3",""))</f>
        <v>0</v>
      </c>
      <c r="J149" s="34" t="n">
        <f aca="false">LEN(IFERROR(INDEX('Saisie programme'!$D$13:$J$477,287,WEEKDAY($K$89-0,2))&amp;"",""))-LEN(SUBSTITUTE(IFERROR(INDEX('Saisie programme'!$D$13:$J$477,287,WEEKDAY($K$89-0,2))&amp;"",""),"1",""))+LEN(IFERROR(INDEX('Saisie programme'!$D$13:$J$477,287,WEEKDAY($K$89-0,2))&amp;"",""))-LEN(SUBSTITUTE(IFERROR(INDEX('Saisie programme'!$D$13:$J$477,287,WEEKDAY($K$89-0,2))&amp;"",""),"2",""))+LEN(IFERROR(INDEX('Saisie programme'!$D$13:$J$477,287,WEEKDAY($K$89-1,2))&amp;"",""))-LEN(SUBSTITUTE(IFERROR(INDEX('Saisie programme'!$D$13:$J$477,287,WEEKDAY($K$89-1,2))&amp;"",""),"2",""))+LEN(IFERROR(INDEX('Saisie programme'!$D$13:$J$477,287,WEEKDAY($K$89-0,2))&amp;"",""))-LEN(SUBSTITUTE(IFERROR(INDEX('Saisie programme'!$D$13:$J$477,287,WEEKDAY($K$89-0,2))&amp;"",""),"3",""))+LEN(IFERROR(INDEX('Saisie programme'!$D$13:$J$477,287,WEEKDAY($K$89-1,2))&amp;"",""))-LEN(SUBSTITUTE(IFERROR(INDEX('Saisie programme'!$D$13:$J$477,287,WEEKDAY($K$89-1,2))&amp;"",""),"3",""))+LEN(IFERROR(INDEX('Saisie programme'!$D$13:$J$477,287,WEEKDAY($K$89-2,2))&amp;"",""))-LEN(SUBSTITUTE(IFERROR(INDEX('Saisie programme'!$D$13:$J$477,287,WEEKDAY($K$89-2,2))&amp;"",""),"3",""))</f>
        <v>0</v>
      </c>
      <c r="K149" s="34" t="n">
        <f aca="false">LEN(IFERROR(INDEX('Saisie programme'!$D$13:$J$477,326,WEEKDAY($K$90-0,2))&amp;"",""))-LEN(SUBSTITUTE(IFERROR(INDEX('Saisie programme'!$D$13:$J$477,326,WEEKDAY($K$90-0,2))&amp;"",""),"1",""))+LEN(IFERROR(INDEX('Saisie programme'!$D$13:$J$477,326,WEEKDAY($K$90-0,2))&amp;"",""))-LEN(SUBSTITUTE(IFERROR(INDEX('Saisie programme'!$D$13:$J$477,326,WEEKDAY($K$90-0,2))&amp;"",""),"2",""))+LEN(IFERROR(INDEX('Saisie programme'!$D$13:$J$477,326,WEEKDAY($K$90-1,2))&amp;"",""))-LEN(SUBSTITUTE(IFERROR(INDEX('Saisie programme'!$D$13:$J$477,326,WEEKDAY($K$90-1,2))&amp;"",""),"2",""))+LEN(IFERROR(INDEX('Saisie programme'!$D$13:$J$477,326,WEEKDAY($K$90-0,2))&amp;"",""))-LEN(SUBSTITUTE(IFERROR(INDEX('Saisie programme'!$D$13:$J$477,326,WEEKDAY($K$90-0,2))&amp;"",""),"3",""))+LEN(IFERROR(INDEX('Saisie programme'!$D$13:$J$477,326,WEEKDAY($K$90-1,2))&amp;"",""))-LEN(SUBSTITUTE(IFERROR(INDEX('Saisie programme'!$D$13:$J$477,326,WEEKDAY($K$90-1,2))&amp;"",""),"3",""))+LEN(IFERROR(INDEX('Saisie programme'!$D$13:$J$477,326,WEEKDAY($K$90-2,2))&amp;"",""))-LEN(SUBSTITUTE(IFERROR(INDEX('Saisie programme'!$D$13:$J$477,326,WEEKDAY($K$90-2,2))&amp;"",""),"3",""))</f>
        <v>0</v>
      </c>
      <c r="L149" s="34" t="n">
        <f aca="false">LEN(IFERROR(INDEX('Saisie programme'!$D$13:$J$477,365,WEEKDAY($K$91-0,2))&amp;"",""))-LEN(SUBSTITUTE(IFERROR(INDEX('Saisie programme'!$D$13:$J$477,365,WEEKDAY($K$91-0,2))&amp;"",""),"1",""))+LEN(IFERROR(INDEX('Saisie programme'!$D$13:$J$477,365,WEEKDAY($K$91-0,2))&amp;"",""))-LEN(SUBSTITUTE(IFERROR(INDEX('Saisie programme'!$D$13:$J$477,365,WEEKDAY($K$91-0,2))&amp;"",""),"2",""))+LEN(IFERROR(INDEX('Saisie programme'!$D$13:$J$477,365,WEEKDAY($K$91-1,2))&amp;"",""))-LEN(SUBSTITUTE(IFERROR(INDEX('Saisie programme'!$D$13:$J$477,365,WEEKDAY($K$91-1,2))&amp;"",""),"2",""))+LEN(IFERROR(INDEX('Saisie programme'!$D$13:$J$477,365,WEEKDAY($K$91-0,2))&amp;"",""))-LEN(SUBSTITUTE(IFERROR(INDEX('Saisie programme'!$D$13:$J$477,365,WEEKDAY($K$91-0,2))&amp;"",""),"3",""))+LEN(IFERROR(INDEX('Saisie programme'!$D$13:$J$477,365,WEEKDAY($K$91-1,2))&amp;"",""))-LEN(SUBSTITUTE(IFERROR(INDEX('Saisie programme'!$D$13:$J$477,365,WEEKDAY($K$91-1,2))&amp;"",""),"3",""))+LEN(IFERROR(INDEX('Saisie programme'!$D$13:$J$477,365,WEEKDAY($K$91-2,2))&amp;"",""))-LEN(SUBSTITUTE(IFERROR(INDEX('Saisie programme'!$D$13:$J$477,365,WEEKDAY($K$91-2,2))&amp;"",""),"3",""))</f>
        <v>0</v>
      </c>
      <c r="M149" s="34" t="n">
        <f aca="false">LEN(IFERROR(INDEX('Saisie programme'!$D$13:$J$477,404,WEEKDAY($K$92-0,2))&amp;"",""))-LEN(SUBSTITUTE(IFERROR(INDEX('Saisie programme'!$D$13:$J$477,404,WEEKDAY($K$92-0,2))&amp;"",""),"1",""))+LEN(IFERROR(INDEX('Saisie programme'!$D$13:$J$477,404,WEEKDAY($K$92-0,2))&amp;"",""))-LEN(SUBSTITUTE(IFERROR(INDEX('Saisie programme'!$D$13:$J$477,404,WEEKDAY($K$92-0,2))&amp;"",""),"2",""))+LEN(IFERROR(INDEX('Saisie programme'!$D$13:$J$477,404,WEEKDAY($K$92-1,2))&amp;"",""))-LEN(SUBSTITUTE(IFERROR(INDEX('Saisie programme'!$D$13:$J$477,404,WEEKDAY($K$92-1,2))&amp;"",""),"2",""))+LEN(IFERROR(INDEX('Saisie programme'!$D$13:$J$477,404,WEEKDAY($K$92-0,2))&amp;"",""))-LEN(SUBSTITUTE(IFERROR(INDEX('Saisie programme'!$D$13:$J$477,404,WEEKDAY($K$92-0,2))&amp;"",""),"3",""))+LEN(IFERROR(INDEX('Saisie programme'!$D$13:$J$477,404,WEEKDAY($K$92-1,2))&amp;"",""))-LEN(SUBSTITUTE(IFERROR(INDEX('Saisie programme'!$D$13:$J$477,404,WEEKDAY($K$92-1,2))&amp;"",""),"3",""))+LEN(IFERROR(INDEX('Saisie programme'!$D$13:$J$477,404,WEEKDAY($K$92-2,2))&amp;"",""))-LEN(SUBSTITUTE(IFERROR(INDEX('Saisie programme'!$D$13:$J$477,404,WEEKDAY($K$92-2,2))&amp;"",""),"3",""))</f>
        <v>0</v>
      </c>
      <c r="N149" s="34" t="n">
        <f aca="false">LEN(IFERROR(INDEX('Saisie programme'!$D$13:$J$477,443,WEEKDAY($K$93-0,2))&amp;"",""))-LEN(SUBSTITUTE(IFERROR(INDEX('Saisie programme'!$D$13:$J$477,443,WEEKDAY($K$93-0,2))&amp;"",""),"1",""))+LEN(IFERROR(INDEX('Saisie programme'!$D$13:$J$477,443,WEEKDAY($K$93-0,2))&amp;"",""))-LEN(SUBSTITUTE(IFERROR(INDEX('Saisie programme'!$D$13:$J$477,443,WEEKDAY($K$93-0,2))&amp;"",""),"2",""))+LEN(IFERROR(INDEX('Saisie programme'!$D$13:$J$477,443,WEEKDAY($K$93-1,2))&amp;"",""))-LEN(SUBSTITUTE(IFERROR(INDEX('Saisie programme'!$D$13:$J$477,443,WEEKDAY($K$93-1,2))&amp;"",""),"2",""))+LEN(IFERROR(INDEX('Saisie programme'!$D$13:$J$477,443,WEEKDAY($K$93-0,2))&amp;"",""))-LEN(SUBSTITUTE(IFERROR(INDEX('Saisie programme'!$D$13:$J$477,443,WEEKDAY($K$93-0,2))&amp;"",""),"3",""))+LEN(IFERROR(INDEX('Saisie programme'!$D$13:$J$477,443,WEEKDAY($K$93-1,2))&amp;"",""))-LEN(SUBSTITUTE(IFERROR(INDEX('Saisie programme'!$D$13:$J$477,443,WEEKDAY($K$93-1,2))&amp;"",""),"3",""))+LEN(IFERROR(INDEX('Saisie programme'!$D$13:$J$477,443,WEEKDAY($K$93-2,2))&amp;"",""))-LEN(SUBSTITUTE(IFERROR(INDEX('Saisie programme'!$D$13:$J$477,443,WEEKDAY($K$93-2,2))&amp;"",""),"3",""))</f>
        <v>0</v>
      </c>
      <c r="O149" s="12" t="s">
        <v>40</v>
      </c>
      <c r="P149" s="12" t="s">
        <v>19</v>
      </c>
    </row>
    <row r="150" customFormat="false" ht="15" hidden="false" customHeight="false" outlineLevel="0" collapsed="false">
      <c r="B150" s="10" t="s">
        <v>151</v>
      </c>
      <c r="C150" s="34" t="n">
        <f aca="false">LEN(IFERROR(INDEX('Saisie programme'!$D$13:$J$477,15,WEEKDAY($K$82-0,2))&amp;"",""))-LEN(SUBSTITUTE(IFERROR(INDEX('Saisie programme'!$D$13:$J$477,15,WEEKDAY($K$82-0,2))&amp;"",""),"1",""))+LEN(IFERROR(INDEX('Saisie programme'!$D$13:$J$477,15,WEEKDAY($K$82-0,2))&amp;"",""))-LEN(SUBSTITUTE(IFERROR(INDEX('Saisie programme'!$D$13:$J$477,15,WEEKDAY($K$82-0,2))&amp;"",""),"2",""))+LEN(IFERROR(INDEX('Saisie programme'!$D$13:$J$477,15,WEEKDAY($K$82-1,2))&amp;"",""))-LEN(SUBSTITUTE(IFERROR(INDEX('Saisie programme'!$D$13:$J$477,15,WEEKDAY($K$82-1,2))&amp;"",""),"2",""))+LEN(IFERROR(INDEX('Saisie programme'!$D$13:$J$477,15,WEEKDAY($K$82-0,2))&amp;"",""))-LEN(SUBSTITUTE(IFERROR(INDEX('Saisie programme'!$D$13:$J$477,15,WEEKDAY($K$82-0,2))&amp;"",""),"3",""))+LEN(IFERROR(INDEX('Saisie programme'!$D$13:$J$477,15,WEEKDAY($K$82-1,2))&amp;"",""))-LEN(SUBSTITUTE(IFERROR(INDEX('Saisie programme'!$D$13:$J$477,15,WEEKDAY($K$82-1,2))&amp;"",""),"3",""))+LEN(IFERROR(INDEX('Saisie programme'!$D$13:$J$477,15,WEEKDAY($K$82-2,2))&amp;"",""))-LEN(SUBSTITUTE(IFERROR(INDEX('Saisie programme'!$D$13:$J$477,15,WEEKDAY($K$82-2,2))&amp;"",""),"3",""))</f>
        <v>0</v>
      </c>
      <c r="D150" s="34" t="n">
        <f aca="false">LEN(IFERROR(INDEX('Saisie programme'!$D$13:$J$477,54,WEEKDAY($K$83-0,2))&amp;"",""))-LEN(SUBSTITUTE(IFERROR(INDEX('Saisie programme'!$D$13:$J$477,54,WEEKDAY($K$83-0,2))&amp;"",""),"1",""))+LEN(IFERROR(INDEX('Saisie programme'!$D$13:$J$477,54,WEEKDAY($K$83-0,2))&amp;"",""))-LEN(SUBSTITUTE(IFERROR(INDEX('Saisie programme'!$D$13:$J$477,54,WEEKDAY($K$83-0,2))&amp;"",""),"2",""))+LEN(IFERROR(INDEX('Saisie programme'!$D$13:$J$477,54,WEEKDAY($K$83-1,2))&amp;"",""))-LEN(SUBSTITUTE(IFERROR(INDEX('Saisie programme'!$D$13:$J$477,54,WEEKDAY($K$83-1,2))&amp;"",""),"2",""))+LEN(IFERROR(INDEX('Saisie programme'!$D$13:$J$477,54,WEEKDAY($K$83-0,2))&amp;"",""))-LEN(SUBSTITUTE(IFERROR(INDEX('Saisie programme'!$D$13:$J$477,54,WEEKDAY($K$83-0,2))&amp;"",""),"3",""))+LEN(IFERROR(INDEX('Saisie programme'!$D$13:$J$477,54,WEEKDAY($K$83-1,2))&amp;"",""))-LEN(SUBSTITUTE(IFERROR(INDEX('Saisie programme'!$D$13:$J$477,54,WEEKDAY($K$83-1,2))&amp;"",""),"3",""))+LEN(IFERROR(INDEX('Saisie programme'!$D$13:$J$477,54,WEEKDAY($K$83-2,2))&amp;"",""))-LEN(SUBSTITUTE(IFERROR(INDEX('Saisie programme'!$D$13:$J$477,54,WEEKDAY($K$83-2,2))&amp;"",""),"3",""))</f>
        <v>0</v>
      </c>
      <c r="E150" s="34" t="n">
        <f aca="false">LEN(IFERROR(INDEX('Saisie programme'!$D$13:$J$477,93,WEEKDAY($K$84-0,2))&amp;"",""))-LEN(SUBSTITUTE(IFERROR(INDEX('Saisie programme'!$D$13:$J$477,93,WEEKDAY($K$84-0,2))&amp;"",""),"1",""))+LEN(IFERROR(INDEX('Saisie programme'!$D$13:$J$477,93,WEEKDAY($K$84-0,2))&amp;"",""))-LEN(SUBSTITUTE(IFERROR(INDEX('Saisie programme'!$D$13:$J$477,93,WEEKDAY($K$84-0,2))&amp;"",""),"2",""))+LEN(IFERROR(INDEX('Saisie programme'!$D$13:$J$477,93,WEEKDAY($K$84-1,2))&amp;"",""))-LEN(SUBSTITUTE(IFERROR(INDEX('Saisie programme'!$D$13:$J$477,93,WEEKDAY($K$84-1,2))&amp;"",""),"2",""))+LEN(IFERROR(INDEX('Saisie programme'!$D$13:$J$477,93,WEEKDAY($K$84-0,2))&amp;"",""))-LEN(SUBSTITUTE(IFERROR(INDEX('Saisie programme'!$D$13:$J$477,93,WEEKDAY($K$84-0,2))&amp;"",""),"3",""))+LEN(IFERROR(INDEX('Saisie programme'!$D$13:$J$477,93,WEEKDAY($K$84-1,2))&amp;"",""))-LEN(SUBSTITUTE(IFERROR(INDEX('Saisie programme'!$D$13:$J$477,93,WEEKDAY($K$84-1,2))&amp;"",""),"3",""))+LEN(IFERROR(INDEX('Saisie programme'!$D$13:$J$477,93,WEEKDAY($K$84-2,2))&amp;"",""))-LEN(SUBSTITUTE(IFERROR(INDEX('Saisie programme'!$D$13:$J$477,93,WEEKDAY($K$84-2,2))&amp;"",""),"3",""))</f>
        <v>0</v>
      </c>
      <c r="F150" s="34" t="n">
        <f aca="false">LEN(IFERROR(INDEX('Saisie programme'!$D$13:$J$477,132,WEEKDAY($K$85-0,2))&amp;"",""))-LEN(SUBSTITUTE(IFERROR(INDEX('Saisie programme'!$D$13:$J$477,132,WEEKDAY($K$85-0,2))&amp;"",""),"1",""))+LEN(IFERROR(INDEX('Saisie programme'!$D$13:$J$477,132,WEEKDAY($K$85-0,2))&amp;"",""))-LEN(SUBSTITUTE(IFERROR(INDEX('Saisie programme'!$D$13:$J$477,132,WEEKDAY($K$85-0,2))&amp;"",""),"2",""))+LEN(IFERROR(INDEX('Saisie programme'!$D$13:$J$477,132,WEEKDAY($K$85-1,2))&amp;"",""))-LEN(SUBSTITUTE(IFERROR(INDEX('Saisie programme'!$D$13:$J$477,132,WEEKDAY($K$85-1,2))&amp;"",""),"2",""))+LEN(IFERROR(INDEX('Saisie programme'!$D$13:$J$477,132,WEEKDAY($K$85-0,2))&amp;"",""))-LEN(SUBSTITUTE(IFERROR(INDEX('Saisie programme'!$D$13:$J$477,132,WEEKDAY($K$85-0,2))&amp;"",""),"3",""))+LEN(IFERROR(INDEX('Saisie programme'!$D$13:$J$477,132,WEEKDAY($K$85-1,2))&amp;"",""))-LEN(SUBSTITUTE(IFERROR(INDEX('Saisie programme'!$D$13:$J$477,132,WEEKDAY($K$85-1,2))&amp;"",""),"3",""))+LEN(IFERROR(INDEX('Saisie programme'!$D$13:$J$477,132,WEEKDAY($K$85-2,2))&amp;"",""))-LEN(SUBSTITUTE(IFERROR(INDEX('Saisie programme'!$D$13:$J$477,132,WEEKDAY($K$85-2,2))&amp;"",""),"3",""))</f>
        <v>0</v>
      </c>
      <c r="G150" s="34" t="n">
        <f aca="false">LEN(IFERROR(INDEX('Saisie programme'!$D$13:$J$477,171,WEEKDAY($K$86-0,2))&amp;"",""))-LEN(SUBSTITUTE(IFERROR(INDEX('Saisie programme'!$D$13:$J$477,171,WEEKDAY($K$86-0,2))&amp;"",""),"1",""))+LEN(IFERROR(INDEX('Saisie programme'!$D$13:$J$477,171,WEEKDAY($K$86-0,2))&amp;"",""))-LEN(SUBSTITUTE(IFERROR(INDEX('Saisie programme'!$D$13:$J$477,171,WEEKDAY($K$86-0,2))&amp;"",""),"2",""))+LEN(IFERROR(INDEX('Saisie programme'!$D$13:$J$477,171,WEEKDAY($K$86-1,2))&amp;"",""))-LEN(SUBSTITUTE(IFERROR(INDEX('Saisie programme'!$D$13:$J$477,171,WEEKDAY($K$86-1,2))&amp;"",""),"2",""))+LEN(IFERROR(INDEX('Saisie programme'!$D$13:$J$477,171,WEEKDAY($K$86-0,2))&amp;"",""))-LEN(SUBSTITUTE(IFERROR(INDEX('Saisie programme'!$D$13:$J$477,171,WEEKDAY($K$86-0,2))&amp;"",""),"3",""))+LEN(IFERROR(INDEX('Saisie programme'!$D$13:$J$477,171,WEEKDAY($K$86-1,2))&amp;"",""))-LEN(SUBSTITUTE(IFERROR(INDEX('Saisie programme'!$D$13:$J$477,171,WEEKDAY($K$86-1,2))&amp;"",""),"3",""))+LEN(IFERROR(INDEX('Saisie programme'!$D$13:$J$477,171,WEEKDAY($K$86-2,2))&amp;"",""))-LEN(SUBSTITUTE(IFERROR(INDEX('Saisie programme'!$D$13:$J$477,171,WEEKDAY($K$86-2,2))&amp;"",""),"3",""))</f>
        <v>0</v>
      </c>
      <c r="H150" s="34" t="n">
        <f aca="false">LEN(IFERROR(INDEX('Saisie programme'!$D$13:$J$477,210,WEEKDAY($K$87-0,2))&amp;"",""))-LEN(SUBSTITUTE(IFERROR(INDEX('Saisie programme'!$D$13:$J$477,210,WEEKDAY($K$87-0,2))&amp;"",""),"1",""))+LEN(IFERROR(INDEX('Saisie programme'!$D$13:$J$477,210,WEEKDAY($K$87-0,2))&amp;"",""))-LEN(SUBSTITUTE(IFERROR(INDEX('Saisie programme'!$D$13:$J$477,210,WEEKDAY($K$87-0,2))&amp;"",""),"2",""))+LEN(IFERROR(INDEX('Saisie programme'!$D$13:$J$477,210,WEEKDAY($K$87-1,2))&amp;"",""))-LEN(SUBSTITUTE(IFERROR(INDEX('Saisie programme'!$D$13:$J$477,210,WEEKDAY($K$87-1,2))&amp;"",""),"2",""))+LEN(IFERROR(INDEX('Saisie programme'!$D$13:$J$477,210,WEEKDAY($K$87-0,2))&amp;"",""))-LEN(SUBSTITUTE(IFERROR(INDEX('Saisie programme'!$D$13:$J$477,210,WEEKDAY($K$87-0,2))&amp;"",""),"3",""))+LEN(IFERROR(INDEX('Saisie programme'!$D$13:$J$477,210,WEEKDAY($K$87-1,2))&amp;"",""))-LEN(SUBSTITUTE(IFERROR(INDEX('Saisie programme'!$D$13:$J$477,210,WEEKDAY($K$87-1,2))&amp;"",""),"3",""))+LEN(IFERROR(INDEX('Saisie programme'!$D$13:$J$477,210,WEEKDAY($K$87-2,2))&amp;"",""))-LEN(SUBSTITUTE(IFERROR(INDEX('Saisie programme'!$D$13:$J$477,210,WEEKDAY($K$87-2,2))&amp;"",""),"3",""))</f>
        <v>0</v>
      </c>
      <c r="I150" s="34" t="n">
        <f aca="false">LEN(IFERROR(INDEX('Saisie programme'!$D$13:$J$477,249,WEEKDAY($K$88-0,2))&amp;"",""))-LEN(SUBSTITUTE(IFERROR(INDEX('Saisie programme'!$D$13:$J$477,249,WEEKDAY($K$88-0,2))&amp;"",""),"1",""))+LEN(IFERROR(INDEX('Saisie programme'!$D$13:$J$477,249,WEEKDAY($K$88-0,2))&amp;"",""))-LEN(SUBSTITUTE(IFERROR(INDEX('Saisie programme'!$D$13:$J$477,249,WEEKDAY($K$88-0,2))&amp;"",""),"2",""))+LEN(IFERROR(INDEX('Saisie programme'!$D$13:$J$477,249,WEEKDAY($K$88-1,2))&amp;"",""))-LEN(SUBSTITUTE(IFERROR(INDEX('Saisie programme'!$D$13:$J$477,249,WEEKDAY($K$88-1,2))&amp;"",""),"2",""))+LEN(IFERROR(INDEX('Saisie programme'!$D$13:$J$477,249,WEEKDAY($K$88-0,2))&amp;"",""))-LEN(SUBSTITUTE(IFERROR(INDEX('Saisie programme'!$D$13:$J$477,249,WEEKDAY($K$88-0,2))&amp;"",""),"3",""))+LEN(IFERROR(INDEX('Saisie programme'!$D$13:$J$477,249,WEEKDAY($K$88-1,2))&amp;"",""))-LEN(SUBSTITUTE(IFERROR(INDEX('Saisie programme'!$D$13:$J$477,249,WEEKDAY($K$88-1,2))&amp;"",""),"3",""))+LEN(IFERROR(INDEX('Saisie programme'!$D$13:$J$477,249,WEEKDAY($K$88-2,2))&amp;"",""))-LEN(SUBSTITUTE(IFERROR(INDEX('Saisie programme'!$D$13:$J$477,249,WEEKDAY($K$88-2,2))&amp;"",""),"3",""))</f>
        <v>0</v>
      </c>
      <c r="J150" s="34" t="n">
        <f aca="false">LEN(IFERROR(INDEX('Saisie programme'!$D$13:$J$477,288,WEEKDAY($K$89-0,2))&amp;"",""))-LEN(SUBSTITUTE(IFERROR(INDEX('Saisie programme'!$D$13:$J$477,288,WEEKDAY($K$89-0,2))&amp;"",""),"1",""))+LEN(IFERROR(INDEX('Saisie programme'!$D$13:$J$477,288,WEEKDAY($K$89-0,2))&amp;"",""))-LEN(SUBSTITUTE(IFERROR(INDEX('Saisie programme'!$D$13:$J$477,288,WEEKDAY($K$89-0,2))&amp;"",""),"2",""))+LEN(IFERROR(INDEX('Saisie programme'!$D$13:$J$477,288,WEEKDAY($K$89-1,2))&amp;"",""))-LEN(SUBSTITUTE(IFERROR(INDEX('Saisie programme'!$D$13:$J$477,288,WEEKDAY($K$89-1,2))&amp;"",""),"2",""))+LEN(IFERROR(INDEX('Saisie programme'!$D$13:$J$477,288,WEEKDAY($K$89-0,2))&amp;"",""))-LEN(SUBSTITUTE(IFERROR(INDEX('Saisie programme'!$D$13:$J$477,288,WEEKDAY($K$89-0,2))&amp;"",""),"3",""))+LEN(IFERROR(INDEX('Saisie programme'!$D$13:$J$477,288,WEEKDAY($K$89-1,2))&amp;"",""))-LEN(SUBSTITUTE(IFERROR(INDEX('Saisie programme'!$D$13:$J$477,288,WEEKDAY($K$89-1,2))&amp;"",""),"3",""))+LEN(IFERROR(INDEX('Saisie programme'!$D$13:$J$477,288,WEEKDAY($K$89-2,2))&amp;"",""))-LEN(SUBSTITUTE(IFERROR(INDEX('Saisie programme'!$D$13:$J$477,288,WEEKDAY($K$89-2,2))&amp;"",""),"3",""))</f>
        <v>0</v>
      </c>
      <c r="K150" s="34" t="n">
        <f aca="false">LEN(IFERROR(INDEX('Saisie programme'!$D$13:$J$477,327,WEEKDAY($K$90-0,2))&amp;"",""))-LEN(SUBSTITUTE(IFERROR(INDEX('Saisie programme'!$D$13:$J$477,327,WEEKDAY($K$90-0,2))&amp;"",""),"1",""))+LEN(IFERROR(INDEX('Saisie programme'!$D$13:$J$477,327,WEEKDAY($K$90-0,2))&amp;"",""))-LEN(SUBSTITUTE(IFERROR(INDEX('Saisie programme'!$D$13:$J$477,327,WEEKDAY($K$90-0,2))&amp;"",""),"2",""))+LEN(IFERROR(INDEX('Saisie programme'!$D$13:$J$477,327,WEEKDAY($K$90-1,2))&amp;"",""))-LEN(SUBSTITUTE(IFERROR(INDEX('Saisie programme'!$D$13:$J$477,327,WEEKDAY($K$90-1,2))&amp;"",""),"2",""))+LEN(IFERROR(INDEX('Saisie programme'!$D$13:$J$477,327,WEEKDAY($K$90-0,2))&amp;"",""))-LEN(SUBSTITUTE(IFERROR(INDEX('Saisie programme'!$D$13:$J$477,327,WEEKDAY($K$90-0,2))&amp;"",""),"3",""))+LEN(IFERROR(INDEX('Saisie programme'!$D$13:$J$477,327,WEEKDAY($K$90-1,2))&amp;"",""))-LEN(SUBSTITUTE(IFERROR(INDEX('Saisie programme'!$D$13:$J$477,327,WEEKDAY($K$90-1,2))&amp;"",""),"3",""))+LEN(IFERROR(INDEX('Saisie programme'!$D$13:$J$477,327,WEEKDAY($K$90-2,2))&amp;"",""))-LEN(SUBSTITUTE(IFERROR(INDEX('Saisie programme'!$D$13:$J$477,327,WEEKDAY($K$90-2,2))&amp;"",""),"3",""))</f>
        <v>0</v>
      </c>
      <c r="L150" s="34" t="n">
        <f aca="false">LEN(IFERROR(INDEX('Saisie programme'!$D$13:$J$477,366,WEEKDAY($K$91-0,2))&amp;"",""))-LEN(SUBSTITUTE(IFERROR(INDEX('Saisie programme'!$D$13:$J$477,366,WEEKDAY($K$91-0,2))&amp;"",""),"1",""))+LEN(IFERROR(INDEX('Saisie programme'!$D$13:$J$477,366,WEEKDAY($K$91-0,2))&amp;"",""))-LEN(SUBSTITUTE(IFERROR(INDEX('Saisie programme'!$D$13:$J$477,366,WEEKDAY($K$91-0,2))&amp;"",""),"2",""))+LEN(IFERROR(INDEX('Saisie programme'!$D$13:$J$477,366,WEEKDAY($K$91-1,2))&amp;"",""))-LEN(SUBSTITUTE(IFERROR(INDEX('Saisie programme'!$D$13:$J$477,366,WEEKDAY($K$91-1,2))&amp;"",""),"2",""))+LEN(IFERROR(INDEX('Saisie programme'!$D$13:$J$477,366,WEEKDAY($K$91-0,2))&amp;"",""))-LEN(SUBSTITUTE(IFERROR(INDEX('Saisie programme'!$D$13:$J$477,366,WEEKDAY($K$91-0,2))&amp;"",""),"3",""))+LEN(IFERROR(INDEX('Saisie programme'!$D$13:$J$477,366,WEEKDAY($K$91-1,2))&amp;"",""))-LEN(SUBSTITUTE(IFERROR(INDEX('Saisie programme'!$D$13:$J$477,366,WEEKDAY($K$91-1,2))&amp;"",""),"3",""))+LEN(IFERROR(INDEX('Saisie programme'!$D$13:$J$477,366,WEEKDAY($K$91-2,2))&amp;"",""))-LEN(SUBSTITUTE(IFERROR(INDEX('Saisie programme'!$D$13:$J$477,366,WEEKDAY($K$91-2,2))&amp;"",""),"3",""))</f>
        <v>0</v>
      </c>
      <c r="M150" s="34" t="n">
        <f aca="false">LEN(IFERROR(INDEX('Saisie programme'!$D$13:$J$477,405,WEEKDAY($K$92-0,2))&amp;"",""))-LEN(SUBSTITUTE(IFERROR(INDEX('Saisie programme'!$D$13:$J$477,405,WEEKDAY($K$92-0,2))&amp;"",""),"1",""))+LEN(IFERROR(INDEX('Saisie programme'!$D$13:$J$477,405,WEEKDAY($K$92-0,2))&amp;"",""))-LEN(SUBSTITUTE(IFERROR(INDEX('Saisie programme'!$D$13:$J$477,405,WEEKDAY($K$92-0,2))&amp;"",""),"2",""))+LEN(IFERROR(INDEX('Saisie programme'!$D$13:$J$477,405,WEEKDAY($K$92-1,2))&amp;"",""))-LEN(SUBSTITUTE(IFERROR(INDEX('Saisie programme'!$D$13:$J$477,405,WEEKDAY($K$92-1,2))&amp;"",""),"2",""))+LEN(IFERROR(INDEX('Saisie programme'!$D$13:$J$477,405,WEEKDAY($K$92-0,2))&amp;"",""))-LEN(SUBSTITUTE(IFERROR(INDEX('Saisie programme'!$D$13:$J$477,405,WEEKDAY($K$92-0,2))&amp;"",""),"3",""))+LEN(IFERROR(INDEX('Saisie programme'!$D$13:$J$477,405,WEEKDAY($K$92-1,2))&amp;"",""))-LEN(SUBSTITUTE(IFERROR(INDEX('Saisie programme'!$D$13:$J$477,405,WEEKDAY($K$92-1,2))&amp;"",""),"3",""))+LEN(IFERROR(INDEX('Saisie programme'!$D$13:$J$477,405,WEEKDAY($K$92-2,2))&amp;"",""))-LEN(SUBSTITUTE(IFERROR(INDEX('Saisie programme'!$D$13:$J$477,405,WEEKDAY($K$92-2,2))&amp;"",""),"3",""))</f>
        <v>0</v>
      </c>
      <c r="N150" s="34" t="n">
        <f aca="false">LEN(IFERROR(INDEX('Saisie programme'!$D$13:$J$477,444,WEEKDAY($K$93-0,2))&amp;"",""))-LEN(SUBSTITUTE(IFERROR(INDEX('Saisie programme'!$D$13:$J$477,444,WEEKDAY($K$93-0,2))&amp;"",""),"1",""))+LEN(IFERROR(INDEX('Saisie programme'!$D$13:$J$477,444,WEEKDAY($K$93-0,2))&amp;"",""))-LEN(SUBSTITUTE(IFERROR(INDEX('Saisie programme'!$D$13:$J$477,444,WEEKDAY($K$93-0,2))&amp;"",""),"2",""))+LEN(IFERROR(INDEX('Saisie programme'!$D$13:$J$477,444,WEEKDAY($K$93-1,2))&amp;"",""))-LEN(SUBSTITUTE(IFERROR(INDEX('Saisie programme'!$D$13:$J$477,444,WEEKDAY($K$93-1,2))&amp;"",""),"2",""))+LEN(IFERROR(INDEX('Saisie programme'!$D$13:$J$477,444,WEEKDAY($K$93-0,2))&amp;"",""))-LEN(SUBSTITUTE(IFERROR(INDEX('Saisie programme'!$D$13:$J$477,444,WEEKDAY($K$93-0,2))&amp;"",""),"3",""))+LEN(IFERROR(INDEX('Saisie programme'!$D$13:$J$477,444,WEEKDAY($K$93-1,2))&amp;"",""))-LEN(SUBSTITUTE(IFERROR(INDEX('Saisie programme'!$D$13:$J$477,444,WEEKDAY($K$93-1,2))&amp;"",""),"3",""))+LEN(IFERROR(INDEX('Saisie programme'!$D$13:$J$477,444,WEEKDAY($K$93-2,2))&amp;"",""))-LEN(SUBSTITUTE(IFERROR(INDEX('Saisie programme'!$D$13:$J$477,444,WEEKDAY($K$93-2,2))&amp;"",""),"3",""))</f>
        <v>0</v>
      </c>
      <c r="O150" s="12" t="s">
        <v>40</v>
      </c>
      <c r="P150" s="12" t="s">
        <v>24</v>
      </c>
    </row>
    <row r="151" customFormat="false" ht="15" hidden="false" customHeight="false" outlineLevel="0" collapsed="false">
      <c r="B151" s="10" t="s">
        <v>152</v>
      </c>
      <c r="C151" s="34" t="n">
        <f aca="false">LEN(IFERROR(INDEX('Saisie programme'!$D$13:$J$477,16,WEEKDAY($K$82-0,2))&amp;"",""))-LEN(SUBSTITUTE(IFERROR(INDEX('Saisie programme'!$D$13:$J$477,16,WEEKDAY($K$82-0,2))&amp;"",""),"1",""))+LEN(IFERROR(INDEX('Saisie programme'!$D$13:$J$477,16,WEEKDAY($K$82-0,2))&amp;"",""))-LEN(SUBSTITUTE(IFERROR(INDEX('Saisie programme'!$D$13:$J$477,16,WEEKDAY($K$82-0,2))&amp;"",""),"2",""))+LEN(IFERROR(INDEX('Saisie programme'!$D$13:$J$477,16,WEEKDAY($K$82-1,2))&amp;"",""))-LEN(SUBSTITUTE(IFERROR(INDEX('Saisie programme'!$D$13:$J$477,16,WEEKDAY($K$82-1,2))&amp;"",""),"2",""))+LEN(IFERROR(INDEX('Saisie programme'!$D$13:$J$477,16,WEEKDAY($K$82-0,2))&amp;"",""))-LEN(SUBSTITUTE(IFERROR(INDEX('Saisie programme'!$D$13:$J$477,16,WEEKDAY($K$82-0,2))&amp;"",""),"3",""))+LEN(IFERROR(INDEX('Saisie programme'!$D$13:$J$477,16,WEEKDAY($K$82-1,2))&amp;"",""))-LEN(SUBSTITUTE(IFERROR(INDEX('Saisie programme'!$D$13:$J$477,16,WEEKDAY($K$82-1,2))&amp;"",""),"3",""))+LEN(IFERROR(INDEX('Saisie programme'!$D$13:$J$477,16,WEEKDAY($K$82-2,2))&amp;"",""))-LEN(SUBSTITUTE(IFERROR(INDEX('Saisie programme'!$D$13:$J$477,16,WEEKDAY($K$82-2,2))&amp;"",""),"3",""))</f>
        <v>0</v>
      </c>
      <c r="D151" s="34" t="n">
        <f aca="false">LEN(IFERROR(INDEX('Saisie programme'!$D$13:$J$477,55,WEEKDAY($K$83-0,2))&amp;"",""))-LEN(SUBSTITUTE(IFERROR(INDEX('Saisie programme'!$D$13:$J$477,55,WEEKDAY($K$83-0,2))&amp;"",""),"1",""))+LEN(IFERROR(INDEX('Saisie programme'!$D$13:$J$477,55,WEEKDAY($K$83-0,2))&amp;"",""))-LEN(SUBSTITUTE(IFERROR(INDEX('Saisie programme'!$D$13:$J$477,55,WEEKDAY($K$83-0,2))&amp;"",""),"2",""))+LEN(IFERROR(INDEX('Saisie programme'!$D$13:$J$477,55,WEEKDAY($K$83-1,2))&amp;"",""))-LEN(SUBSTITUTE(IFERROR(INDEX('Saisie programme'!$D$13:$J$477,55,WEEKDAY($K$83-1,2))&amp;"",""),"2",""))+LEN(IFERROR(INDEX('Saisie programme'!$D$13:$J$477,55,WEEKDAY($K$83-0,2))&amp;"",""))-LEN(SUBSTITUTE(IFERROR(INDEX('Saisie programme'!$D$13:$J$477,55,WEEKDAY($K$83-0,2))&amp;"",""),"3",""))+LEN(IFERROR(INDEX('Saisie programme'!$D$13:$J$477,55,WEEKDAY($K$83-1,2))&amp;"",""))-LEN(SUBSTITUTE(IFERROR(INDEX('Saisie programme'!$D$13:$J$477,55,WEEKDAY($K$83-1,2))&amp;"",""),"3",""))+LEN(IFERROR(INDEX('Saisie programme'!$D$13:$J$477,55,WEEKDAY($K$83-2,2))&amp;"",""))-LEN(SUBSTITUTE(IFERROR(INDEX('Saisie programme'!$D$13:$J$477,55,WEEKDAY($K$83-2,2))&amp;"",""),"3",""))</f>
        <v>0</v>
      </c>
      <c r="E151" s="34" t="n">
        <f aca="false">LEN(IFERROR(INDEX('Saisie programme'!$D$13:$J$477,94,WEEKDAY($K$84-0,2))&amp;"",""))-LEN(SUBSTITUTE(IFERROR(INDEX('Saisie programme'!$D$13:$J$477,94,WEEKDAY($K$84-0,2))&amp;"",""),"1",""))+LEN(IFERROR(INDEX('Saisie programme'!$D$13:$J$477,94,WEEKDAY($K$84-0,2))&amp;"",""))-LEN(SUBSTITUTE(IFERROR(INDEX('Saisie programme'!$D$13:$J$477,94,WEEKDAY($K$84-0,2))&amp;"",""),"2",""))+LEN(IFERROR(INDEX('Saisie programme'!$D$13:$J$477,94,WEEKDAY($K$84-1,2))&amp;"",""))-LEN(SUBSTITUTE(IFERROR(INDEX('Saisie programme'!$D$13:$J$477,94,WEEKDAY($K$84-1,2))&amp;"",""),"2",""))+LEN(IFERROR(INDEX('Saisie programme'!$D$13:$J$477,94,WEEKDAY($K$84-0,2))&amp;"",""))-LEN(SUBSTITUTE(IFERROR(INDEX('Saisie programme'!$D$13:$J$477,94,WEEKDAY($K$84-0,2))&amp;"",""),"3",""))+LEN(IFERROR(INDEX('Saisie programme'!$D$13:$J$477,94,WEEKDAY($K$84-1,2))&amp;"",""))-LEN(SUBSTITUTE(IFERROR(INDEX('Saisie programme'!$D$13:$J$477,94,WEEKDAY($K$84-1,2))&amp;"",""),"3",""))+LEN(IFERROR(INDEX('Saisie programme'!$D$13:$J$477,94,WEEKDAY($K$84-2,2))&amp;"",""))-LEN(SUBSTITUTE(IFERROR(INDEX('Saisie programme'!$D$13:$J$477,94,WEEKDAY($K$84-2,2))&amp;"",""),"3",""))</f>
        <v>0</v>
      </c>
      <c r="F151" s="34" t="n">
        <f aca="false">LEN(IFERROR(INDEX('Saisie programme'!$D$13:$J$477,133,WEEKDAY($K$85-0,2))&amp;"",""))-LEN(SUBSTITUTE(IFERROR(INDEX('Saisie programme'!$D$13:$J$477,133,WEEKDAY($K$85-0,2))&amp;"",""),"1",""))+LEN(IFERROR(INDEX('Saisie programme'!$D$13:$J$477,133,WEEKDAY($K$85-0,2))&amp;"",""))-LEN(SUBSTITUTE(IFERROR(INDEX('Saisie programme'!$D$13:$J$477,133,WEEKDAY($K$85-0,2))&amp;"",""),"2",""))+LEN(IFERROR(INDEX('Saisie programme'!$D$13:$J$477,133,WEEKDAY($K$85-1,2))&amp;"",""))-LEN(SUBSTITUTE(IFERROR(INDEX('Saisie programme'!$D$13:$J$477,133,WEEKDAY($K$85-1,2))&amp;"",""),"2",""))+LEN(IFERROR(INDEX('Saisie programme'!$D$13:$J$477,133,WEEKDAY($K$85-0,2))&amp;"",""))-LEN(SUBSTITUTE(IFERROR(INDEX('Saisie programme'!$D$13:$J$477,133,WEEKDAY($K$85-0,2))&amp;"",""),"3",""))+LEN(IFERROR(INDEX('Saisie programme'!$D$13:$J$477,133,WEEKDAY($K$85-1,2))&amp;"",""))-LEN(SUBSTITUTE(IFERROR(INDEX('Saisie programme'!$D$13:$J$477,133,WEEKDAY($K$85-1,2))&amp;"",""),"3",""))+LEN(IFERROR(INDEX('Saisie programme'!$D$13:$J$477,133,WEEKDAY($K$85-2,2))&amp;"",""))-LEN(SUBSTITUTE(IFERROR(INDEX('Saisie programme'!$D$13:$J$477,133,WEEKDAY($K$85-2,2))&amp;"",""),"3",""))</f>
        <v>0</v>
      </c>
      <c r="G151" s="34" t="n">
        <f aca="false">LEN(IFERROR(INDEX('Saisie programme'!$D$13:$J$477,172,WEEKDAY($K$86-0,2))&amp;"",""))-LEN(SUBSTITUTE(IFERROR(INDEX('Saisie programme'!$D$13:$J$477,172,WEEKDAY($K$86-0,2))&amp;"",""),"1",""))+LEN(IFERROR(INDEX('Saisie programme'!$D$13:$J$477,172,WEEKDAY($K$86-0,2))&amp;"",""))-LEN(SUBSTITUTE(IFERROR(INDEX('Saisie programme'!$D$13:$J$477,172,WEEKDAY($K$86-0,2))&amp;"",""),"2",""))+LEN(IFERROR(INDEX('Saisie programme'!$D$13:$J$477,172,WEEKDAY($K$86-1,2))&amp;"",""))-LEN(SUBSTITUTE(IFERROR(INDEX('Saisie programme'!$D$13:$J$477,172,WEEKDAY($K$86-1,2))&amp;"",""),"2",""))+LEN(IFERROR(INDEX('Saisie programme'!$D$13:$J$477,172,WEEKDAY($K$86-0,2))&amp;"",""))-LEN(SUBSTITUTE(IFERROR(INDEX('Saisie programme'!$D$13:$J$477,172,WEEKDAY($K$86-0,2))&amp;"",""),"3",""))+LEN(IFERROR(INDEX('Saisie programme'!$D$13:$J$477,172,WEEKDAY($K$86-1,2))&amp;"",""))-LEN(SUBSTITUTE(IFERROR(INDEX('Saisie programme'!$D$13:$J$477,172,WEEKDAY($K$86-1,2))&amp;"",""),"3",""))+LEN(IFERROR(INDEX('Saisie programme'!$D$13:$J$477,172,WEEKDAY($K$86-2,2))&amp;"",""))-LEN(SUBSTITUTE(IFERROR(INDEX('Saisie programme'!$D$13:$J$477,172,WEEKDAY($K$86-2,2))&amp;"",""),"3",""))</f>
        <v>0</v>
      </c>
      <c r="H151" s="34" t="n">
        <f aca="false">LEN(IFERROR(INDEX('Saisie programme'!$D$13:$J$477,211,WEEKDAY($K$87-0,2))&amp;"",""))-LEN(SUBSTITUTE(IFERROR(INDEX('Saisie programme'!$D$13:$J$477,211,WEEKDAY($K$87-0,2))&amp;"",""),"1",""))+LEN(IFERROR(INDEX('Saisie programme'!$D$13:$J$477,211,WEEKDAY($K$87-0,2))&amp;"",""))-LEN(SUBSTITUTE(IFERROR(INDEX('Saisie programme'!$D$13:$J$477,211,WEEKDAY($K$87-0,2))&amp;"",""),"2",""))+LEN(IFERROR(INDEX('Saisie programme'!$D$13:$J$477,211,WEEKDAY($K$87-1,2))&amp;"",""))-LEN(SUBSTITUTE(IFERROR(INDEX('Saisie programme'!$D$13:$J$477,211,WEEKDAY($K$87-1,2))&amp;"",""),"2",""))+LEN(IFERROR(INDEX('Saisie programme'!$D$13:$J$477,211,WEEKDAY($K$87-0,2))&amp;"",""))-LEN(SUBSTITUTE(IFERROR(INDEX('Saisie programme'!$D$13:$J$477,211,WEEKDAY($K$87-0,2))&amp;"",""),"3",""))+LEN(IFERROR(INDEX('Saisie programme'!$D$13:$J$477,211,WEEKDAY($K$87-1,2))&amp;"",""))-LEN(SUBSTITUTE(IFERROR(INDEX('Saisie programme'!$D$13:$J$477,211,WEEKDAY($K$87-1,2))&amp;"",""),"3",""))+LEN(IFERROR(INDEX('Saisie programme'!$D$13:$J$477,211,WEEKDAY($K$87-2,2))&amp;"",""))-LEN(SUBSTITUTE(IFERROR(INDEX('Saisie programme'!$D$13:$J$477,211,WEEKDAY($K$87-2,2))&amp;"",""),"3",""))</f>
        <v>0</v>
      </c>
      <c r="I151" s="34" t="n">
        <f aca="false">LEN(IFERROR(INDEX('Saisie programme'!$D$13:$J$477,250,WEEKDAY($K$88-0,2))&amp;"",""))-LEN(SUBSTITUTE(IFERROR(INDEX('Saisie programme'!$D$13:$J$477,250,WEEKDAY($K$88-0,2))&amp;"",""),"1",""))+LEN(IFERROR(INDEX('Saisie programme'!$D$13:$J$477,250,WEEKDAY($K$88-0,2))&amp;"",""))-LEN(SUBSTITUTE(IFERROR(INDEX('Saisie programme'!$D$13:$J$477,250,WEEKDAY($K$88-0,2))&amp;"",""),"2",""))+LEN(IFERROR(INDEX('Saisie programme'!$D$13:$J$477,250,WEEKDAY($K$88-1,2))&amp;"",""))-LEN(SUBSTITUTE(IFERROR(INDEX('Saisie programme'!$D$13:$J$477,250,WEEKDAY($K$88-1,2))&amp;"",""),"2",""))+LEN(IFERROR(INDEX('Saisie programme'!$D$13:$J$477,250,WEEKDAY($K$88-0,2))&amp;"",""))-LEN(SUBSTITUTE(IFERROR(INDEX('Saisie programme'!$D$13:$J$477,250,WEEKDAY($K$88-0,2))&amp;"",""),"3",""))+LEN(IFERROR(INDEX('Saisie programme'!$D$13:$J$477,250,WEEKDAY($K$88-1,2))&amp;"",""))-LEN(SUBSTITUTE(IFERROR(INDEX('Saisie programme'!$D$13:$J$477,250,WEEKDAY($K$88-1,2))&amp;"",""),"3",""))+LEN(IFERROR(INDEX('Saisie programme'!$D$13:$J$477,250,WEEKDAY($K$88-2,2))&amp;"",""))-LEN(SUBSTITUTE(IFERROR(INDEX('Saisie programme'!$D$13:$J$477,250,WEEKDAY($K$88-2,2))&amp;"",""),"3",""))</f>
        <v>0</v>
      </c>
      <c r="J151" s="34" t="n">
        <f aca="false">LEN(IFERROR(INDEX('Saisie programme'!$D$13:$J$477,289,WEEKDAY($K$89-0,2))&amp;"",""))-LEN(SUBSTITUTE(IFERROR(INDEX('Saisie programme'!$D$13:$J$477,289,WEEKDAY($K$89-0,2))&amp;"",""),"1",""))+LEN(IFERROR(INDEX('Saisie programme'!$D$13:$J$477,289,WEEKDAY($K$89-0,2))&amp;"",""))-LEN(SUBSTITUTE(IFERROR(INDEX('Saisie programme'!$D$13:$J$477,289,WEEKDAY($K$89-0,2))&amp;"",""),"2",""))+LEN(IFERROR(INDEX('Saisie programme'!$D$13:$J$477,289,WEEKDAY($K$89-1,2))&amp;"",""))-LEN(SUBSTITUTE(IFERROR(INDEX('Saisie programme'!$D$13:$J$477,289,WEEKDAY($K$89-1,2))&amp;"",""),"2",""))+LEN(IFERROR(INDEX('Saisie programme'!$D$13:$J$477,289,WEEKDAY($K$89-0,2))&amp;"",""))-LEN(SUBSTITUTE(IFERROR(INDEX('Saisie programme'!$D$13:$J$477,289,WEEKDAY($K$89-0,2))&amp;"",""),"3",""))+LEN(IFERROR(INDEX('Saisie programme'!$D$13:$J$477,289,WEEKDAY($K$89-1,2))&amp;"",""))-LEN(SUBSTITUTE(IFERROR(INDEX('Saisie programme'!$D$13:$J$477,289,WEEKDAY($K$89-1,2))&amp;"",""),"3",""))+LEN(IFERROR(INDEX('Saisie programme'!$D$13:$J$477,289,WEEKDAY($K$89-2,2))&amp;"",""))-LEN(SUBSTITUTE(IFERROR(INDEX('Saisie programme'!$D$13:$J$477,289,WEEKDAY($K$89-2,2))&amp;"",""),"3",""))</f>
        <v>0</v>
      </c>
      <c r="K151" s="34" t="n">
        <f aca="false">LEN(IFERROR(INDEX('Saisie programme'!$D$13:$J$477,328,WEEKDAY($K$90-0,2))&amp;"",""))-LEN(SUBSTITUTE(IFERROR(INDEX('Saisie programme'!$D$13:$J$477,328,WEEKDAY($K$90-0,2))&amp;"",""),"1",""))+LEN(IFERROR(INDEX('Saisie programme'!$D$13:$J$477,328,WEEKDAY($K$90-0,2))&amp;"",""))-LEN(SUBSTITUTE(IFERROR(INDEX('Saisie programme'!$D$13:$J$477,328,WEEKDAY($K$90-0,2))&amp;"",""),"2",""))+LEN(IFERROR(INDEX('Saisie programme'!$D$13:$J$477,328,WEEKDAY($K$90-1,2))&amp;"",""))-LEN(SUBSTITUTE(IFERROR(INDEX('Saisie programme'!$D$13:$J$477,328,WEEKDAY($K$90-1,2))&amp;"",""),"2",""))+LEN(IFERROR(INDEX('Saisie programme'!$D$13:$J$477,328,WEEKDAY($K$90-0,2))&amp;"",""))-LEN(SUBSTITUTE(IFERROR(INDEX('Saisie programme'!$D$13:$J$477,328,WEEKDAY($K$90-0,2))&amp;"",""),"3",""))+LEN(IFERROR(INDEX('Saisie programme'!$D$13:$J$477,328,WEEKDAY($K$90-1,2))&amp;"",""))-LEN(SUBSTITUTE(IFERROR(INDEX('Saisie programme'!$D$13:$J$477,328,WEEKDAY($K$90-1,2))&amp;"",""),"3",""))+LEN(IFERROR(INDEX('Saisie programme'!$D$13:$J$477,328,WEEKDAY($K$90-2,2))&amp;"",""))-LEN(SUBSTITUTE(IFERROR(INDEX('Saisie programme'!$D$13:$J$477,328,WEEKDAY($K$90-2,2))&amp;"",""),"3",""))</f>
        <v>0</v>
      </c>
      <c r="L151" s="34" t="n">
        <f aca="false">LEN(IFERROR(INDEX('Saisie programme'!$D$13:$J$477,367,WEEKDAY($K$91-0,2))&amp;"",""))-LEN(SUBSTITUTE(IFERROR(INDEX('Saisie programme'!$D$13:$J$477,367,WEEKDAY($K$91-0,2))&amp;"",""),"1",""))+LEN(IFERROR(INDEX('Saisie programme'!$D$13:$J$477,367,WEEKDAY($K$91-0,2))&amp;"",""))-LEN(SUBSTITUTE(IFERROR(INDEX('Saisie programme'!$D$13:$J$477,367,WEEKDAY($K$91-0,2))&amp;"",""),"2",""))+LEN(IFERROR(INDEX('Saisie programme'!$D$13:$J$477,367,WEEKDAY($K$91-1,2))&amp;"",""))-LEN(SUBSTITUTE(IFERROR(INDEX('Saisie programme'!$D$13:$J$477,367,WEEKDAY($K$91-1,2))&amp;"",""),"2",""))+LEN(IFERROR(INDEX('Saisie programme'!$D$13:$J$477,367,WEEKDAY($K$91-0,2))&amp;"",""))-LEN(SUBSTITUTE(IFERROR(INDEX('Saisie programme'!$D$13:$J$477,367,WEEKDAY($K$91-0,2))&amp;"",""),"3",""))+LEN(IFERROR(INDEX('Saisie programme'!$D$13:$J$477,367,WEEKDAY($K$91-1,2))&amp;"",""))-LEN(SUBSTITUTE(IFERROR(INDEX('Saisie programme'!$D$13:$J$477,367,WEEKDAY($K$91-1,2))&amp;"",""),"3",""))+LEN(IFERROR(INDEX('Saisie programme'!$D$13:$J$477,367,WEEKDAY($K$91-2,2))&amp;"",""))-LEN(SUBSTITUTE(IFERROR(INDEX('Saisie programme'!$D$13:$J$477,367,WEEKDAY($K$91-2,2))&amp;"",""),"3",""))</f>
        <v>0</v>
      </c>
      <c r="M151" s="34" t="n">
        <f aca="false">LEN(IFERROR(INDEX('Saisie programme'!$D$13:$J$477,406,WEEKDAY($K$92-0,2))&amp;"",""))-LEN(SUBSTITUTE(IFERROR(INDEX('Saisie programme'!$D$13:$J$477,406,WEEKDAY($K$92-0,2))&amp;"",""),"1",""))+LEN(IFERROR(INDEX('Saisie programme'!$D$13:$J$477,406,WEEKDAY($K$92-0,2))&amp;"",""))-LEN(SUBSTITUTE(IFERROR(INDEX('Saisie programme'!$D$13:$J$477,406,WEEKDAY($K$92-0,2))&amp;"",""),"2",""))+LEN(IFERROR(INDEX('Saisie programme'!$D$13:$J$477,406,WEEKDAY($K$92-1,2))&amp;"",""))-LEN(SUBSTITUTE(IFERROR(INDEX('Saisie programme'!$D$13:$J$477,406,WEEKDAY($K$92-1,2))&amp;"",""),"2",""))+LEN(IFERROR(INDEX('Saisie programme'!$D$13:$J$477,406,WEEKDAY($K$92-0,2))&amp;"",""))-LEN(SUBSTITUTE(IFERROR(INDEX('Saisie programme'!$D$13:$J$477,406,WEEKDAY($K$92-0,2))&amp;"",""),"3",""))+LEN(IFERROR(INDEX('Saisie programme'!$D$13:$J$477,406,WEEKDAY($K$92-1,2))&amp;"",""))-LEN(SUBSTITUTE(IFERROR(INDEX('Saisie programme'!$D$13:$J$477,406,WEEKDAY($K$92-1,2))&amp;"",""),"3",""))+LEN(IFERROR(INDEX('Saisie programme'!$D$13:$J$477,406,WEEKDAY($K$92-2,2))&amp;"",""))-LEN(SUBSTITUTE(IFERROR(INDEX('Saisie programme'!$D$13:$J$477,406,WEEKDAY($K$92-2,2))&amp;"",""),"3",""))</f>
        <v>0</v>
      </c>
      <c r="N151" s="34" t="n">
        <f aca="false">LEN(IFERROR(INDEX('Saisie programme'!$D$13:$J$477,445,WEEKDAY($K$93-0,2))&amp;"",""))-LEN(SUBSTITUTE(IFERROR(INDEX('Saisie programme'!$D$13:$J$477,445,WEEKDAY($K$93-0,2))&amp;"",""),"1",""))+LEN(IFERROR(INDEX('Saisie programme'!$D$13:$J$477,445,WEEKDAY($K$93-0,2))&amp;"",""))-LEN(SUBSTITUTE(IFERROR(INDEX('Saisie programme'!$D$13:$J$477,445,WEEKDAY($K$93-0,2))&amp;"",""),"2",""))+LEN(IFERROR(INDEX('Saisie programme'!$D$13:$J$477,445,WEEKDAY($K$93-1,2))&amp;"",""))-LEN(SUBSTITUTE(IFERROR(INDEX('Saisie programme'!$D$13:$J$477,445,WEEKDAY($K$93-1,2))&amp;"",""),"2",""))+LEN(IFERROR(INDEX('Saisie programme'!$D$13:$J$477,445,WEEKDAY($K$93-0,2))&amp;"",""))-LEN(SUBSTITUTE(IFERROR(INDEX('Saisie programme'!$D$13:$J$477,445,WEEKDAY($K$93-0,2))&amp;"",""),"3",""))+LEN(IFERROR(INDEX('Saisie programme'!$D$13:$J$477,445,WEEKDAY($K$93-1,2))&amp;"",""))-LEN(SUBSTITUTE(IFERROR(INDEX('Saisie programme'!$D$13:$J$477,445,WEEKDAY($K$93-1,2))&amp;"",""),"3",""))+LEN(IFERROR(INDEX('Saisie programme'!$D$13:$J$477,445,WEEKDAY($K$93-2,2))&amp;"",""))-LEN(SUBSTITUTE(IFERROR(INDEX('Saisie programme'!$D$13:$J$477,445,WEEKDAY($K$93-2,2))&amp;"",""),"3",""))</f>
        <v>0</v>
      </c>
      <c r="O151" s="12" t="s">
        <v>14</v>
      </c>
      <c r="P151" s="12" t="s">
        <v>11</v>
      </c>
    </row>
    <row r="152" customFormat="false" ht="15" hidden="false" customHeight="false" outlineLevel="0" collapsed="false">
      <c r="B152" s="10" t="s">
        <v>153</v>
      </c>
      <c r="C152" s="34" t="n">
        <f aca="false">LEN(IFERROR(INDEX('Saisie programme'!$D$13:$J$477,17,WEEKDAY($K$82-0,2))&amp;"",""))-LEN(SUBSTITUTE(IFERROR(INDEX('Saisie programme'!$D$13:$J$477,17,WEEKDAY($K$82-0,2))&amp;"",""),"1",""))+LEN(IFERROR(INDEX('Saisie programme'!$D$13:$J$477,17,WEEKDAY($K$82-0,2))&amp;"",""))-LEN(SUBSTITUTE(IFERROR(INDEX('Saisie programme'!$D$13:$J$477,17,WEEKDAY($K$82-0,2))&amp;"",""),"2",""))+LEN(IFERROR(INDEX('Saisie programme'!$D$13:$J$477,17,WEEKDAY($K$82-1,2))&amp;"",""))-LEN(SUBSTITUTE(IFERROR(INDEX('Saisie programme'!$D$13:$J$477,17,WEEKDAY($K$82-1,2))&amp;"",""),"2",""))+LEN(IFERROR(INDEX('Saisie programme'!$D$13:$J$477,17,WEEKDAY($K$82-0,2))&amp;"",""))-LEN(SUBSTITUTE(IFERROR(INDEX('Saisie programme'!$D$13:$J$477,17,WEEKDAY($K$82-0,2))&amp;"",""),"3",""))+LEN(IFERROR(INDEX('Saisie programme'!$D$13:$J$477,17,WEEKDAY($K$82-1,2))&amp;"",""))-LEN(SUBSTITUTE(IFERROR(INDEX('Saisie programme'!$D$13:$J$477,17,WEEKDAY($K$82-1,2))&amp;"",""),"3",""))+LEN(IFERROR(INDEX('Saisie programme'!$D$13:$J$477,17,WEEKDAY($K$82-2,2))&amp;"",""))-LEN(SUBSTITUTE(IFERROR(INDEX('Saisie programme'!$D$13:$J$477,17,WEEKDAY($K$82-2,2))&amp;"",""),"3",""))</f>
        <v>0</v>
      </c>
      <c r="D152" s="34" t="n">
        <f aca="false">LEN(IFERROR(INDEX('Saisie programme'!$D$13:$J$477,56,WEEKDAY($K$83-0,2))&amp;"",""))-LEN(SUBSTITUTE(IFERROR(INDEX('Saisie programme'!$D$13:$J$477,56,WEEKDAY($K$83-0,2))&amp;"",""),"1",""))+LEN(IFERROR(INDEX('Saisie programme'!$D$13:$J$477,56,WEEKDAY($K$83-0,2))&amp;"",""))-LEN(SUBSTITUTE(IFERROR(INDEX('Saisie programme'!$D$13:$J$477,56,WEEKDAY($K$83-0,2))&amp;"",""),"2",""))+LEN(IFERROR(INDEX('Saisie programme'!$D$13:$J$477,56,WEEKDAY($K$83-1,2))&amp;"",""))-LEN(SUBSTITUTE(IFERROR(INDEX('Saisie programme'!$D$13:$J$477,56,WEEKDAY($K$83-1,2))&amp;"",""),"2",""))+LEN(IFERROR(INDEX('Saisie programme'!$D$13:$J$477,56,WEEKDAY($K$83-0,2))&amp;"",""))-LEN(SUBSTITUTE(IFERROR(INDEX('Saisie programme'!$D$13:$J$477,56,WEEKDAY($K$83-0,2))&amp;"",""),"3",""))+LEN(IFERROR(INDEX('Saisie programme'!$D$13:$J$477,56,WEEKDAY($K$83-1,2))&amp;"",""))-LEN(SUBSTITUTE(IFERROR(INDEX('Saisie programme'!$D$13:$J$477,56,WEEKDAY($K$83-1,2))&amp;"",""),"3",""))+LEN(IFERROR(INDEX('Saisie programme'!$D$13:$J$477,56,WEEKDAY($K$83-2,2))&amp;"",""))-LEN(SUBSTITUTE(IFERROR(INDEX('Saisie programme'!$D$13:$J$477,56,WEEKDAY($K$83-2,2))&amp;"",""),"3",""))</f>
        <v>0</v>
      </c>
      <c r="E152" s="34" t="n">
        <f aca="false">LEN(IFERROR(INDEX('Saisie programme'!$D$13:$J$477,95,WEEKDAY($K$84-0,2))&amp;"",""))-LEN(SUBSTITUTE(IFERROR(INDEX('Saisie programme'!$D$13:$J$477,95,WEEKDAY($K$84-0,2))&amp;"",""),"1",""))+LEN(IFERROR(INDEX('Saisie programme'!$D$13:$J$477,95,WEEKDAY($K$84-0,2))&amp;"",""))-LEN(SUBSTITUTE(IFERROR(INDEX('Saisie programme'!$D$13:$J$477,95,WEEKDAY($K$84-0,2))&amp;"",""),"2",""))+LEN(IFERROR(INDEX('Saisie programme'!$D$13:$J$477,95,WEEKDAY($K$84-1,2))&amp;"",""))-LEN(SUBSTITUTE(IFERROR(INDEX('Saisie programme'!$D$13:$J$477,95,WEEKDAY($K$84-1,2))&amp;"",""),"2",""))+LEN(IFERROR(INDEX('Saisie programme'!$D$13:$J$477,95,WEEKDAY($K$84-0,2))&amp;"",""))-LEN(SUBSTITUTE(IFERROR(INDEX('Saisie programme'!$D$13:$J$477,95,WEEKDAY($K$84-0,2))&amp;"",""),"3",""))+LEN(IFERROR(INDEX('Saisie programme'!$D$13:$J$477,95,WEEKDAY($K$84-1,2))&amp;"",""))-LEN(SUBSTITUTE(IFERROR(INDEX('Saisie programme'!$D$13:$J$477,95,WEEKDAY($K$84-1,2))&amp;"",""),"3",""))+LEN(IFERROR(INDEX('Saisie programme'!$D$13:$J$477,95,WEEKDAY($K$84-2,2))&amp;"",""))-LEN(SUBSTITUTE(IFERROR(INDEX('Saisie programme'!$D$13:$J$477,95,WEEKDAY($K$84-2,2))&amp;"",""),"3",""))</f>
        <v>0</v>
      </c>
      <c r="F152" s="34" t="n">
        <f aca="false">LEN(IFERROR(INDEX('Saisie programme'!$D$13:$J$477,134,WEEKDAY($K$85-0,2))&amp;"",""))-LEN(SUBSTITUTE(IFERROR(INDEX('Saisie programme'!$D$13:$J$477,134,WEEKDAY($K$85-0,2))&amp;"",""),"1",""))+LEN(IFERROR(INDEX('Saisie programme'!$D$13:$J$477,134,WEEKDAY($K$85-0,2))&amp;"",""))-LEN(SUBSTITUTE(IFERROR(INDEX('Saisie programme'!$D$13:$J$477,134,WEEKDAY($K$85-0,2))&amp;"",""),"2",""))+LEN(IFERROR(INDEX('Saisie programme'!$D$13:$J$477,134,WEEKDAY($K$85-1,2))&amp;"",""))-LEN(SUBSTITUTE(IFERROR(INDEX('Saisie programme'!$D$13:$J$477,134,WEEKDAY($K$85-1,2))&amp;"",""),"2",""))+LEN(IFERROR(INDEX('Saisie programme'!$D$13:$J$477,134,WEEKDAY($K$85-0,2))&amp;"",""))-LEN(SUBSTITUTE(IFERROR(INDEX('Saisie programme'!$D$13:$J$477,134,WEEKDAY($K$85-0,2))&amp;"",""),"3",""))+LEN(IFERROR(INDEX('Saisie programme'!$D$13:$J$477,134,WEEKDAY($K$85-1,2))&amp;"",""))-LEN(SUBSTITUTE(IFERROR(INDEX('Saisie programme'!$D$13:$J$477,134,WEEKDAY($K$85-1,2))&amp;"",""),"3",""))+LEN(IFERROR(INDEX('Saisie programme'!$D$13:$J$477,134,WEEKDAY($K$85-2,2))&amp;"",""))-LEN(SUBSTITUTE(IFERROR(INDEX('Saisie programme'!$D$13:$J$477,134,WEEKDAY($K$85-2,2))&amp;"",""),"3",""))</f>
        <v>0</v>
      </c>
      <c r="G152" s="34" t="n">
        <f aca="false">LEN(IFERROR(INDEX('Saisie programme'!$D$13:$J$477,173,WEEKDAY($K$86-0,2))&amp;"",""))-LEN(SUBSTITUTE(IFERROR(INDEX('Saisie programme'!$D$13:$J$477,173,WEEKDAY($K$86-0,2))&amp;"",""),"1",""))+LEN(IFERROR(INDEX('Saisie programme'!$D$13:$J$477,173,WEEKDAY($K$86-0,2))&amp;"",""))-LEN(SUBSTITUTE(IFERROR(INDEX('Saisie programme'!$D$13:$J$477,173,WEEKDAY($K$86-0,2))&amp;"",""),"2",""))+LEN(IFERROR(INDEX('Saisie programme'!$D$13:$J$477,173,WEEKDAY($K$86-1,2))&amp;"",""))-LEN(SUBSTITUTE(IFERROR(INDEX('Saisie programme'!$D$13:$J$477,173,WEEKDAY($K$86-1,2))&amp;"",""),"2",""))+LEN(IFERROR(INDEX('Saisie programme'!$D$13:$J$477,173,WEEKDAY($K$86-0,2))&amp;"",""))-LEN(SUBSTITUTE(IFERROR(INDEX('Saisie programme'!$D$13:$J$477,173,WEEKDAY($K$86-0,2))&amp;"",""),"3",""))+LEN(IFERROR(INDEX('Saisie programme'!$D$13:$J$477,173,WEEKDAY($K$86-1,2))&amp;"",""))-LEN(SUBSTITUTE(IFERROR(INDEX('Saisie programme'!$D$13:$J$477,173,WEEKDAY($K$86-1,2))&amp;"",""),"3",""))+LEN(IFERROR(INDEX('Saisie programme'!$D$13:$J$477,173,WEEKDAY($K$86-2,2))&amp;"",""))-LEN(SUBSTITUTE(IFERROR(INDEX('Saisie programme'!$D$13:$J$477,173,WEEKDAY($K$86-2,2))&amp;"",""),"3",""))</f>
        <v>0</v>
      </c>
      <c r="H152" s="34" t="n">
        <f aca="false">LEN(IFERROR(INDEX('Saisie programme'!$D$13:$J$477,212,WEEKDAY($K$87-0,2))&amp;"",""))-LEN(SUBSTITUTE(IFERROR(INDEX('Saisie programme'!$D$13:$J$477,212,WEEKDAY($K$87-0,2))&amp;"",""),"1",""))+LEN(IFERROR(INDEX('Saisie programme'!$D$13:$J$477,212,WEEKDAY($K$87-0,2))&amp;"",""))-LEN(SUBSTITUTE(IFERROR(INDEX('Saisie programme'!$D$13:$J$477,212,WEEKDAY($K$87-0,2))&amp;"",""),"2",""))+LEN(IFERROR(INDEX('Saisie programme'!$D$13:$J$477,212,WEEKDAY($K$87-1,2))&amp;"",""))-LEN(SUBSTITUTE(IFERROR(INDEX('Saisie programme'!$D$13:$J$477,212,WEEKDAY($K$87-1,2))&amp;"",""),"2",""))+LEN(IFERROR(INDEX('Saisie programme'!$D$13:$J$477,212,WEEKDAY($K$87-0,2))&amp;"",""))-LEN(SUBSTITUTE(IFERROR(INDEX('Saisie programme'!$D$13:$J$477,212,WEEKDAY($K$87-0,2))&amp;"",""),"3",""))+LEN(IFERROR(INDEX('Saisie programme'!$D$13:$J$477,212,WEEKDAY($K$87-1,2))&amp;"",""))-LEN(SUBSTITUTE(IFERROR(INDEX('Saisie programme'!$D$13:$J$477,212,WEEKDAY($K$87-1,2))&amp;"",""),"3",""))+LEN(IFERROR(INDEX('Saisie programme'!$D$13:$J$477,212,WEEKDAY($K$87-2,2))&amp;"",""))-LEN(SUBSTITUTE(IFERROR(INDEX('Saisie programme'!$D$13:$J$477,212,WEEKDAY($K$87-2,2))&amp;"",""),"3",""))</f>
        <v>0</v>
      </c>
      <c r="I152" s="34" t="n">
        <f aca="false">LEN(IFERROR(INDEX('Saisie programme'!$D$13:$J$477,251,WEEKDAY($K$88-0,2))&amp;"",""))-LEN(SUBSTITUTE(IFERROR(INDEX('Saisie programme'!$D$13:$J$477,251,WEEKDAY($K$88-0,2))&amp;"",""),"1",""))+LEN(IFERROR(INDEX('Saisie programme'!$D$13:$J$477,251,WEEKDAY($K$88-0,2))&amp;"",""))-LEN(SUBSTITUTE(IFERROR(INDEX('Saisie programme'!$D$13:$J$477,251,WEEKDAY($K$88-0,2))&amp;"",""),"2",""))+LEN(IFERROR(INDEX('Saisie programme'!$D$13:$J$477,251,WEEKDAY($K$88-1,2))&amp;"",""))-LEN(SUBSTITUTE(IFERROR(INDEX('Saisie programme'!$D$13:$J$477,251,WEEKDAY($K$88-1,2))&amp;"",""),"2",""))+LEN(IFERROR(INDEX('Saisie programme'!$D$13:$J$477,251,WEEKDAY($K$88-0,2))&amp;"",""))-LEN(SUBSTITUTE(IFERROR(INDEX('Saisie programme'!$D$13:$J$477,251,WEEKDAY($K$88-0,2))&amp;"",""),"3",""))+LEN(IFERROR(INDEX('Saisie programme'!$D$13:$J$477,251,WEEKDAY($K$88-1,2))&amp;"",""))-LEN(SUBSTITUTE(IFERROR(INDEX('Saisie programme'!$D$13:$J$477,251,WEEKDAY($K$88-1,2))&amp;"",""),"3",""))+LEN(IFERROR(INDEX('Saisie programme'!$D$13:$J$477,251,WEEKDAY($K$88-2,2))&amp;"",""))-LEN(SUBSTITUTE(IFERROR(INDEX('Saisie programme'!$D$13:$J$477,251,WEEKDAY($K$88-2,2))&amp;"",""),"3",""))</f>
        <v>0</v>
      </c>
      <c r="J152" s="34" t="n">
        <f aca="false">LEN(IFERROR(INDEX('Saisie programme'!$D$13:$J$477,290,WEEKDAY($K$89-0,2))&amp;"",""))-LEN(SUBSTITUTE(IFERROR(INDEX('Saisie programme'!$D$13:$J$477,290,WEEKDAY($K$89-0,2))&amp;"",""),"1",""))+LEN(IFERROR(INDEX('Saisie programme'!$D$13:$J$477,290,WEEKDAY($K$89-0,2))&amp;"",""))-LEN(SUBSTITUTE(IFERROR(INDEX('Saisie programme'!$D$13:$J$477,290,WEEKDAY($K$89-0,2))&amp;"",""),"2",""))+LEN(IFERROR(INDEX('Saisie programme'!$D$13:$J$477,290,WEEKDAY($K$89-1,2))&amp;"",""))-LEN(SUBSTITUTE(IFERROR(INDEX('Saisie programme'!$D$13:$J$477,290,WEEKDAY($K$89-1,2))&amp;"",""),"2",""))+LEN(IFERROR(INDEX('Saisie programme'!$D$13:$J$477,290,WEEKDAY($K$89-0,2))&amp;"",""))-LEN(SUBSTITUTE(IFERROR(INDEX('Saisie programme'!$D$13:$J$477,290,WEEKDAY($K$89-0,2))&amp;"",""),"3",""))+LEN(IFERROR(INDEX('Saisie programme'!$D$13:$J$477,290,WEEKDAY($K$89-1,2))&amp;"",""))-LEN(SUBSTITUTE(IFERROR(INDEX('Saisie programme'!$D$13:$J$477,290,WEEKDAY($K$89-1,2))&amp;"",""),"3",""))+LEN(IFERROR(INDEX('Saisie programme'!$D$13:$J$477,290,WEEKDAY($K$89-2,2))&amp;"",""))-LEN(SUBSTITUTE(IFERROR(INDEX('Saisie programme'!$D$13:$J$477,290,WEEKDAY($K$89-2,2))&amp;"",""),"3",""))</f>
        <v>0</v>
      </c>
      <c r="K152" s="34" t="n">
        <f aca="false">LEN(IFERROR(INDEX('Saisie programme'!$D$13:$J$477,329,WEEKDAY($K$90-0,2))&amp;"",""))-LEN(SUBSTITUTE(IFERROR(INDEX('Saisie programme'!$D$13:$J$477,329,WEEKDAY($K$90-0,2))&amp;"",""),"1",""))+LEN(IFERROR(INDEX('Saisie programme'!$D$13:$J$477,329,WEEKDAY($K$90-0,2))&amp;"",""))-LEN(SUBSTITUTE(IFERROR(INDEX('Saisie programme'!$D$13:$J$477,329,WEEKDAY($K$90-0,2))&amp;"",""),"2",""))+LEN(IFERROR(INDEX('Saisie programme'!$D$13:$J$477,329,WEEKDAY($K$90-1,2))&amp;"",""))-LEN(SUBSTITUTE(IFERROR(INDEX('Saisie programme'!$D$13:$J$477,329,WEEKDAY($K$90-1,2))&amp;"",""),"2",""))+LEN(IFERROR(INDEX('Saisie programme'!$D$13:$J$477,329,WEEKDAY($K$90-0,2))&amp;"",""))-LEN(SUBSTITUTE(IFERROR(INDEX('Saisie programme'!$D$13:$J$477,329,WEEKDAY($K$90-0,2))&amp;"",""),"3",""))+LEN(IFERROR(INDEX('Saisie programme'!$D$13:$J$477,329,WEEKDAY($K$90-1,2))&amp;"",""))-LEN(SUBSTITUTE(IFERROR(INDEX('Saisie programme'!$D$13:$J$477,329,WEEKDAY($K$90-1,2))&amp;"",""),"3",""))+LEN(IFERROR(INDEX('Saisie programme'!$D$13:$J$477,329,WEEKDAY($K$90-2,2))&amp;"",""))-LEN(SUBSTITUTE(IFERROR(INDEX('Saisie programme'!$D$13:$J$477,329,WEEKDAY($K$90-2,2))&amp;"",""),"3",""))</f>
        <v>0</v>
      </c>
      <c r="L152" s="34" t="n">
        <f aca="false">LEN(IFERROR(INDEX('Saisie programme'!$D$13:$J$477,368,WEEKDAY($K$91-0,2))&amp;"",""))-LEN(SUBSTITUTE(IFERROR(INDEX('Saisie programme'!$D$13:$J$477,368,WEEKDAY($K$91-0,2))&amp;"",""),"1",""))+LEN(IFERROR(INDEX('Saisie programme'!$D$13:$J$477,368,WEEKDAY($K$91-0,2))&amp;"",""))-LEN(SUBSTITUTE(IFERROR(INDEX('Saisie programme'!$D$13:$J$477,368,WEEKDAY($K$91-0,2))&amp;"",""),"2",""))+LEN(IFERROR(INDEX('Saisie programme'!$D$13:$J$477,368,WEEKDAY($K$91-1,2))&amp;"",""))-LEN(SUBSTITUTE(IFERROR(INDEX('Saisie programme'!$D$13:$J$477,368,WEEKDAY($K$91-1,2))&amp;"",""),"2",""))+LEN(IFERROR(INDEX('Saisie programme'!$D$13:$J$477,368,WEEKDAY($K$91-0,2))&amp;"",""))-LEN(SUBSTITUTE(IFERROR(INDEX('Saisie programme'!$D$13:$J$477,368,WEEKDAY($K$91-0,2))&amp;"",""),"3",""))+LEN(IFERROR(INDEX('Saisie programme'!$D$13:$J$477,368,WEEKDAY($K$91-1,2))&amp;"",""))-LEN(SUBSTITUTE(IFERROR(INDEX('Saisie programme'!$D$13:$J$477,368,WEEKDAY($K$91-1,2))&amp;"",""),"3",""))+LEN(IFERROR(INDEX('Saisie programme'!$D$13:$J$477,368,WEEKDAY($K$91-2,2))&amp;"",""))-LEN(SUBSTITUTE(IFERROR(INDEX('Saisie programme'!$D$13:$J$477,368,WEEKDAY($K$91-2,2))&amp;"",""),"3",""))</f>
        <v>0</v>
      </c>
      <c r="M152" s="34" t="n">
        <f aca="false">LEN(IFERROR(INDEX('Saisie programme'!$D$13:$J$477,407,WEEKDAY($K$92-0,2))&amp;"",""))-LEN(SUBSTITUTE(IFERROR(INDEX('Saisie programme'!$D$13:$J$477,407,WEEKDAY($K$92-0,2))&amp;"",""),"1",""))+LEN(IFERROR(INDEX('Saisie programme'!$D$13:$J$477,407,WEEKDAY($K$92-0,2))&amp;"",""))-LEN(SUBSTITUTE(IFERROR(INDEX('Saisie programme'!$D$13:$J$477,407,WEEKDAY($K$92-0,2))&amp;"",""),"2",""))+LEN(IFERROR(INDEX('Saisie programme'!$D$13:$J$477,407,WEEKDAY($K$92-1,2))&amp;"",""))-LEN(SUBSTITUTE(IFERROR(INDEX('Saisie programme'!$D$13:$J$477,407,WEEKDAY($K$92-1,2))&amp;"",""),"2",""))+LEN(IFERROR(INDEX('Saisie programme'!$D$13:$J$477,407,WEEKDAY($K$92-0,2))&amp;"",""))-LEN(SUBSTITUTE(IFERROR(INDEX('Saisie programme'!$D$13:$J$477,407,WEEKDAY($K$92-0,2))&amp;"",""),"3",""))+LEN(IFERROR(INDEX('Saisie programme'!$D$13:$J$477,407,WEEKDAY($K$92-1,2))&amp;"",""))-LEN(SUBSTITUTE(IFERROR(INDEX('Saisie programme'!$D$13:$J$477,407,WEEKDAY($K$92-1,2))&amp;"",""),"3",""))+LEN(IFERROR(INDEX('Saisie programme'!$D$13:$J$477,407,WEEKDAY($K$92-2,2))&amp;"",""))-LEN(SUBSTITUTE(IFERROR(INDEX('Saisie programme'!$D$13:$J$477,407,WEEKDAY($K$92-2,2))&amp;"",""),"3",""))</f>
        <v>0</v>
      </c>
      <c r="N152" s="34" t="n">
        <f aca="false">LEN(IFERROR(INDEX('Saisie programme'!$D$13:$J$477,446,WEEKDAY($K$93-0,2))&amp;"",""))-LEN(SUBSTITUTE(IFERROR(INDEX('Saisie programme'!$D$13:$J$477,446,WEEKDAY($K$93-0,2))&amp;"",""),"1",""))+LEN(IFERROR(INDEX('Saisie programme'!$D$13:$J$477,446,WEEKDAY($K$93-0,2))&amp;"",""))-LEN(SUBSTITUTE(IFERROR(INDEX('Saisie programme'!$D$13:$J$477,446,WEEKDAY($K$93-0,2))&amp;"",""),"2",""))+LEN(IFERROR(INDEX('Saisie programme'!$D$13:$J$477,446,WEEKDAY($K$93-1,2))&amp;"",""))-LEN(SUBSTITUTE(IFERROR(INDEX('Saisie programme'!$D$13:$J$477,446,WEEKDAY($K$93-1,2))&amp;"",""),"2",""))+LEN(IFERROR(INDEX('Saisie programme'!$D$13:$J$477,446,WEEKDAY($K$93-0,2))&amp;"",""))-LEN(SUBSTITUTE(IFERROR(INDEX('Saisie programme'!$D$13:$J$477,446,WEEKDAY($K$93-0,2))&amp;"",""),"3",""))+LEN(IFERROR(INDEX('Saisie programme'!$D$13:$J$477,446,WEEKDAY($K$93-1,2))&amp;"",""))-LEN(SUBSTITUTE(IFERROR(INDEX('Saisie programme'!$D$13:$J$477,446,WEEKDAY($K$93-1,2))&amp;"",""),"3",""))+LEN(IFERROR(INDEX('Saisie programme'!$D$13:$J$477,446,WEEKDAY($K$93-2,2))&amp;"",""))-LEN(SUBSTITUTE(IFERROR(INDEX('Saisie programme'!$D$13:$J$477,446,WEEKDAY($K$93-2,2))&amp;"",""),"3",""))</f>
        <v>0</v>
      </c>
      <c r="O152" s="12" t="s">
        <v>14</v>
      </c>
      <c r="P152" s="12" t="s">
        <v>19</v>
      </c>
    </row>
    <row r="153" customFormat="false" ht="15" hidden="false" customHeight="false" outlineLevel="0" collapsed="false">
      <c r="B153" s="10" t="s">
        <v>154</v>
      </c>
      <c r="C153" s="34" t="n">
        <f aca="false">LEN(IFERROR(INDEX('Saisie programme'!$D$13:$J$477,18,WEEKDAY($K$82-0,2))&amp;"",""))-LEN(SUBSTITUTE(IFERROR(INDEX('Saisie programme'!$D$13:$J$477,18,WEEKDAY($K$82-0,2))&amp;"",""),"1",""))+LEN(IFERROR(INDEX('Saisie programme'!$D$13:$J$477,18,WEEKDAY($K$82-0,2))&amp;"",""))-LEN(SUBSTITUTE(IFERROR(INDEX('Saisie programme'!$D$13:$J$477,18,WEEKDAY($K$82-0,2))&amp;"",""),"2",""))+LEN(IFERROR(INDEX('Saisie programme'!$D$13:$J$477,18,WEEKDAY($K$82-1,2))&amp;"",""))-LEN(SUBSTITUTE(IFERROR(INDEX('Saisie programme'!$D$13:$J$477,18,WEEKDAY($K$82-1,2))&amp;"",""),"2",""))+LEN(IFERROR(INDEX('Saisie programme'!$D$13:$J$477,18,WEEKDAY($K$82-0,2))&amp;"",""))-LEN(SUBSTITUTE(IFERROR(INDEX('Saisie programme'!$D$13:$J$477,18,WEEKDAY($K$82-0,2))&amp;"",""),"3",""))+LEN(IFERROR(INDEX('Saisie programme'!$D$13:$J$477,18,WEEKDAY($K$82-1,2))&amp;"",""))-LEN(SUBSTITUTE(IFERROR(INDEX('Saisie programme'!$D$13:$J$477,18,WEEKDAY($K$82-1,2))&amp;"",""),"3",""))+LEN(IFERROR(INDEX('Saisie programme'!$D$13:$J$477,18,WEEKDAY($K$82-2,2))&amp;"",""))-LEN(SUBSTITUTE(IFERROR(INDEX('Saisie programme'!$D$13:$J$477,18,WEEKDAY($K$82-2,2))&amp;"",""),"3",""))</f>
        <v>0</v>
      </c>
      <c r="D153" s="34" t="n">
        <f aca="false">LEN(IFERROR(INDEX('Saisie programme'!$D$13:$J$477,57,WEEKDAY($K$83-0,2))&amp;"",""))-LEN(SUBSTITUTE(IFERROR(INDEX('Saisie programme'!$D$13:$J$477,57,WEEKDAY($K$83-0,2))&amp;"",""),"1",""))+LEN(IFERROR(INDEX('Saisie programme'!$D$13:$J$477,57,WEEKDAY($K$83-0,2))&amp;"",""))-LEN(SUBSTITUTE(IFERROR(INDEX('Saisie programme'!$D$13:$J$477,57,WEEKDAY($K$83-0,2))&amp;"",""),"2",""))+LEN(IFERROR(INDEX('Saisie programme'!$D$13:$J$477,57,WEEKDAY($K$83-1,2))&amp;"",""))-LEN(SUBSTITUTE(IFERROR(INDEX('Saisie programme'!$D$13:$J$477,57,WEEKDAY($K$83-1,2))&amp;"",""),"2",""))+LEN(IFERROR(INDEX('Saisie programme'!$D$13:$J$477,57,WEEKDAY($K$83-0,2))&amp;"",""))-LEN(SUBSTITUTE(IFERROR(INDEX('Saisie programme'!$D$13:$J$477,57,WEEKDAY($K$83-0,2))&amp;"",""),"3",""))+LEN(IFERROR(INDEX('Saisie programme'!$D$13:$J$477,57,WEEKDAY($K$83-1,2))&amp;"",""))-LEN(SUBSTITUTE(IFERROR(INDEX('Saisie programme'!$D$13:$J$477,57,WEEKDAY($K$83-1,2))&amp;"",""),"3",""))+LEN(IFERROR(INDEX('Saisie programme'!$D$13:$J$477,57,WEEKDAY($K$83-2,2))&amp;"",""))-LEN(SUBSTITUTE(IFERROR(INDEX('Saisie programme'!$D$13:$J$477,57,WEEKDAY($K$83-2,2))&amp;"",""),"3",""))</f>
        <v>0</v>
      </c>
      <c r="E153" s="34" t="n">
        <f aca="false">LEN(IFERROR(INDEX('Saisie programme'!$D$13:$J$477,96,WEEKDAY($K$84-0,2))&amp;"",""))-LEN(SUBSTITUTE(IFERROR(INDEX('Saisie programme'!$D$13:$J$477,96,WEEKDAY($K$84-0,2))&amp;"",""),"1",""))+LEN(IFERROR(INDEX('Saisie programme'!$D$13:$J$477,96,WEEKDAY($K$84-0,2))&amp;"",""))-LEN(SUBSTITUTE(IFERROR(INDEX('Saisie programme'!$D$13:$J$477,96,WEEKDAY($K$84-0,2))&amp;"",""),"2",""))+LEN(IFERROR(INDEX('Saisie programme'!$D$13:$J$477,96,WEEKDAY($K$84-1,2))&amp;"",""))-LEN(SUBSTITUTE(IFERROR(INDEX('Saisie programme'!$D$13:$J$477,96,WEEKDAY($K$84-1,2))&amp;"",""),"2",""))+LEN(IFERROR(INDEX('Saisie programme'!$D$13:$J$477,96,WEEKDAY($K$84-0,2))&amp;"",""))-LEN(SUBSTITUTE(IFERROR(INDEX('Saisie programme'!$D$13:$J$477,96,WEEKDAY($K$84-0,2))&amp;"",""),"3",""))+LEN(IFERROR(INDEX('Saisie programme'!$D$13:$J$477,96,WEEKDAY($K$84-1,2))&amp;"",""))-LEN(SUBSTITUTE(IFERROR(INDEX('Saisie programme'!$D$13:$J$477,96,WEEKDAY($K$84-1,2))&amp;"",""),"3",""))+LEN(IFERROR(INDEX('Saisie programme'!$D$13:$J$477,96,WEEKDAY($K$84-2,2))&amp;"",""))-LEN(SUBSTITUTE(IFERROR(INDEX('Saisie programme'!$D$13:$J$477,96,WEEKDAY($K$84-2,2))&amp;"",""),"3",""))</f>
        <v>0</v>
      </c>
      <c r="F153" s="34" t="n">
        <f aca="false">LEN(IFERROR(INDEX('Saisie programme'!$D$13:$J$477,135,WEEKDAY($K$85-0,2))&amp;"",""))-LEN(SUBSTITUTE(IFERROR(INDEX('Saisie programme'!$D$13:$J$477,135,WEEKDAY($K$85-0,2))&amp;"",""),"1",""))+LEN(IFERROR(INDEX('Saisie programme'!$D$13:$J$477,135,WEEKDAY($K$85-0,2))&amp;"",""))-LEN(SUBSTITUTE(IFERROR(INDEX('Saisie programme'!$D$13:$J$477,135,WEEKDAY($K$85-0,2))&amp;"",""),"2",""))+LEN(IFERROR(INDEX('Saisie programme'!$D$13:$J$477,135,WEEKDAY($K$85-1,2))&amp;"",""))-LEN(SUBSTITUTE(IFERROR(INDEX('Saisie programme'!$D$13:$J$477,135,WEEKDAY($K$85-1,2))&amp;"",""),"2",""))+LEN(IFERROR(INDEX('Saisie programme'!$D$13:$J$477,135,WEEKDAY($K$85-0,2))&amp;"",""))-LEN(SUBSTITUTE(IFERROR(INDEX('Saisie programme'!$D$13:$J$477,135,WEEKDAY($K$85-0,2))&amp;"",""),"3",""))+LEN(IFERROR(INDEX('Saisie programme'!$D$13:$J$477,135,WEEKDAY($K$85-1,2))&amp;"",""))-LEN(SUBSTITUTE(IFERROR(INDEX('Saisie programme'!$D$13:$J$477,135,WEEKDAY($K$85-1,2))&amp;"",""),"3",""))+LEN(IFERROR(INDEX('Saisie programme'!$D$13:$J$477,135,WEEKDAY($K$85-2,2))&amp;"",""))-LEN(SUBSTITUTE(IFERROR(INDEX('Saisie programme'!$D$13:$J$477,135,WEEKDAY($K$85-2,2))&amp;"",""),"3",""))</f>
        <v>0</v>
      </c>
      <c r="G153" s="34" t="n">
        <f aca="false">LEN(IFERROR(INDEX('Saisie programme'!$D$13:$J$477,174,WEEKDAY($K$86-0,2))&amp;"",""))-LEN(SUBSTITUTE(IFERROR(INDEX('Saisie programme'!$D$13:$J$477,174,WEEKDAY($K$86-0,2))&amp;"",""),"1",""))+LEN(IFERROR(INDEX('Saisie programme'!$D$13:$J$477,174,WEEKDAY($K$86-0,2))&amp;"",""))-LEN(SUBSTITUTE(IFERROR(INDEX('Saisie programme'!$D$13:$J$477,174,WEEKDAY($K$86-0,2))&amp;"",""),"2",""))+LEN(IFERROR(INDEX('Saisie programme'!$D$13:$J$477,174,WEEKDAY($K$86-1,2))&amp;"",""))-LEN(SUBSTITUTE(IFERROR(INDEX('Saisie programme'!$D$13:$J$477,174,WEEKDAY($K$86-1,2))&amp;"",""),"2",""))+LEN(IFERROR(INDEX('Saisie programme'!$D$13:$J$477,174,WEEKDAY($K$86-0,2))&amp;"",""))-LEN(SUBSTITUTE(IFERROR(INDEX('Saisie programme'!$D$13:$J$477,174,WEEKDAY($K$86-0,2))&amp;"",""),"3",""))+LEN(IFERROR(INDEX('Saisie programme'!$D$13:$J$477,174,WEEKDAY($K$86-1,2))&amp;"",""))-LEN(SUBSTITUTE(IFERROR(INDEX('Saisie programme'!$D$13:$J$477,174,WEEKDAY($K$86-1,2))&amp;"",""),"3",""))+LEN(IFERROR(INDEX('Saisie programme'!$D$13:$J$477,174,WEEKDAY($K$86-2,2))&amp;"",""))-LEN(SUBSTITUTE(IFERROR(INDEX('Saisie programme'!$D$13:$J$477,174,WEEKDAY($K$86-2,2))&amp;"",""),"3",""))</f>
        <v>0</v>
      </c>
      <c r="H153" s="34" t="n">
        <f aca="false">LEN(IFERROR(INDEX('Saisie programme'!$D$13:$J$477,213,WEEKDAY($K$87-0,2))&amp;"",""))-LEN(SUBSTITUTE(IFERROR(INDEX('Saisie programme'!$D$13:$J$477,213,WEEKDAY($K$87-0,2))&amp;"",""),"1",""))+LEN(IFERROR(INDEX('Saisie programme'!$D$13:$J$477,213,WEEKDAY($K$87-0,2))&amp;"",""))-LEN(SUBSTITUTE(IFERROR(INDEX('Saisie programme'!$D$13:$J$477,213,WEEKDAY($K$87-0,2))&amp;"",""),"2",""))+LEN(IFERROR(INDEX('Saisie programme'!$D$13:$J$477,213,WEEKDAY($K$87-1,2))&amp;"",""))-LEN(SUBSTITUTE(IFERROR(INDEX('Saisie programme'!$D$13:$J$477,213,WEEKDAY($K$87-1,2))&amp;"",""),"2",""))+LEN(IFERROR(INDEX('Saisie programme'!$D$13:$J$477,213,WEEKDAY($K$87-0,2))&amp;"",""))-LEN(SUBSTITUTE(IFERROR(INDEX('Saisie programme'!$D$13:$J$477,213,WEEKDAY($K$87-0,2))&amp;"",""),"3",""))+LEN(IFERROR(INDEX('Saisie programme'!$D$13:$J$477,213,WEEKDAY($K$87-1,2))&amp;"",""))-LEN(SUBSTITUTE(IFERROR(INDEX('Saisie programme'!$D$13:$J$477,213,WEEKDAY($K$87-1,2))&amp;"",""),"3",""))+LEN(IFERROR(INDEX('Saisie programme'!$D$13:$J$477,213,WEEKDAY($K$87-2,2))&amp;"",""))-LEN(SUBSTITUTE(IFERROR(INDEX('Saisie programme'!$D$13:$J$477,213,WEEKDAY($K$87-2,2))&amp;"",""),"3",""))</f>
        <v>0</v>
      </c>
      <c r="I153" s="34" t="n">
        <f aca="false">LEN(IFERROR(INDEX('Saisie programme'!$D$13:$J$477,252,WEEKDAY($K$88-0,2))&amp;"",""))-LEN(SUBSTITUTE(IFERROR(INDEX('Saisie programme'!$D$13:$J$477,252,WEEKDAY($K$88-0,2))&amp;"",""),"1",""))+LEN(IFERROR(INDEX('Saisie programme'!$D$13:$J$477,252,WEEKDAY($K$88-0,2))&amp;"",""))-LEN(SUBSTITUTE(IFERROR(INDEX('Saisie programme'!$D$13:$J$477,252,WEEKDAY($K$88-0,2))&amp;"",""),"2",""))+LEN(IFERROR(INDEX('Saisie programme'!$D$13:$J$477,252,WEEKDAY($K$88-1,2))&amp;"",""))-LEN(SUBSTITUTE(IFERROR(INDEX('Saisie programme'!$D$13:$J$477,252,WEEKDAY($K$88-1,2))&amp;"",""),"2",""))+LEN(IFERROR(INDEX('Saisie programme'!$D$13:$J$477,252,WEEKDAY($K$88-0,2))&amp;"",""))-LEN(SUBSTITUTE(IFERROR(INDEX('Saisie programme'!$D$13:$J$477,252,WEEKDAY($K$88-0,2))&amp;"",""),"3",""))+LEN(IFERROR(INDEX('Saisie programme'!$D$13:$J$477,252,WEEKDAY($K$88-1,2))&amp;"",""))-LEN(SUBSTITUTE(IFERROR(INDEX('Saisie programme'!$D$13:$J$477,252,WEEKDAY($K$88-1,2))&amp;"",""),"3",""))+LEN(IFERROR(INDEX('Saisie programme'!$D$13:$J$477,252,WEEKDAY($K$88-2,2))&amp;"",""))-LEN(SUBSTITUTE(IFERROR(INDEX('Saisie programme'!$D$13:$J$477,252,WEEKDAY($K$88-2,2))&amp;"",""),"3",""))</f>
        <v>0</v>
      </c>
      <c r="J153" s="34" t="n">
        <f aca="false">LEN(IFERROR(INDEX('Saisie programme'!$D$13:$J$477,291,WEEKDAY($K$89-0,2))&amp;"",""))-LEN(SUBSTITUTE(IFERROR(INDEX('Saisie programme'!$D$13:$J$477,291,WEEKDAY($K$89-0,2))&amp;"",""),"1",""))+LEN(IFERROR(INDEX('Saisie programme'!$D$13:$J$477,291,WEEKDAY($K$89-0,2))&amp;"",""))-LEN(SUBSTITUTE(IFERROR(INDEX('Saisie programme'!$D$13:$J$477,291,WEEKDAY($K$89-0,2))&amp;"",""),"2",""))+LEN(IFERROR(INDEX('Saisie programme'!$D$13:$J$477,291,WEEKDAY($K$89-1,2))&amp;"",""))-LEN(SUBSTITUTE(IFERROR(INDEX('Saisie programme'!$D$13:$J$477,291,WEEKDAY($K$89-1,2))&amp;"",""),"2",""))+LEN(IFERROR(INDEX('Saisie programme'!$D$13:$J$477,291,WEEKDAY($K$89-0,2))&amp;"",""))-LEN(SUBSTITUTE(IFERROR(INDEX('Saisie programme'!$D$13:$J$477,291,WEEKDAY($K$89-0,2))&amp;"",""),"3",""))+LEN(IFERROR(INDEX('Saisie programme'!$D$13:$J$477,291,WEEKDAY($K$89-1,2))&amp;"",""))-LEN(SUBSTITUTE(IFERROR(INDEX('Saisie programme'!$D$13:$J$477,291,WEEKDAY($K$89-1,2))&amp;"",""),"3",""))+LEN(IFERROR(INDEX('Saisie programme'!$D$13:$J$477,291,WEEKDAY($K$89-2,2))&amp;"",""))-LEN(SUBSTITUTE(IFERROR(INDEX('Saisie programme'!$D$13:$J$477,291,WEEKDAY($K$89-2,2))&amp;"",""),"3",""))</f>
        <v>0</v>
      </c>
      <c r="K153" s="34" t="n">
        <f aca="false">LEN(IFERROR(INDEX('Saisie programme'!$D$13:$J$477,330,WEEKDAY($K$90-0,2))&amp;"",""))-LEN(SUBSTITUTE(IFERROR(INDEX('Saisie programme'!$D$13:$J$477,330,WEEKDAY($K$90-0,2))&amp;"",""),"1",""))+LEN(IFERROR(INDEX('Saisie programme'!$D$13:$J$477,330,WEEKDAY($K$90-0,2))&amp;"",""))-LEN(SUBSTITUTE(IFERROR(INDEX('Saisie programme'!$D$13:$J$477,330,WEEKDAY($K$90-0,2))&amp;"",""),"2",""))+LEN(IFERROR(INDEX('Saisie programme'!$D$13:$J$477,330,WEEKDAY($K$90-1,2))&amp;"",""))-LEN(SUBSTITUTE(IFERROR(INDEX('Saisie programme'!$D$13:$J$477,330,WEEKDAY($K$90-1,2))&amp;"",""),"2",""))+LEN(IFERROR(INDEX('Saisie programme'!$D$13:$J$477,330,WEEKDAY($K$90-0,2))&amp;"",""))-LEN(SUBSTITUTE(IFERROR(INDEX('Saisie programme'!$D$13:$J$477,330,WEEKDAY($K$90-0,2))&amp;"",""),"3",""))+LEN(IFERROR(INDEX('Saisie programme'!$D$13:$J$477,330,WEEKDAY($K$90-1,2))&amp;"",""))-LEN(SUBSTITUTE(IFERROR(INDEX('Saisie programme'!$D$13:$J$477,330,WEEKDAY($K$90-1,2))&amp;"",""),"3",""))+LEN(IFERROR(INDEX('Saisie programme'!$D$13:$J$477,330,WEEKDAY($K$90-2,2))&amp;"",""))-LEN(SUBSTITUTE(IFERROR(INDEX('Saisie programme'!$D$13:$J$477,330,WEEKDAY($K$90-2,2))&amp;"",""),"3",""))</f>
        <v>0</v>
      </c>
      <c r="L153" s="34" t="n">
        <f aca="false">LEN(IFERROR(INDEX('Saisie programme'!$D$13:$J$477,369,WEEKDAY($K$91-0,2))&amp;"",""))-LEN(SUBSTITUTE(IFERROR(INDEX('Saisie programme'!$D$13:$J$477,369,WEEKDAY($K$91-0,2))&amp;"",""),"1",""))+LEN(IFERROR(INDEX('Saisie programme'!$D$13:$J$477,369,WEEKDAY($K$91-0,2))&amp;"",""))-LEN(SUBSTITUTE(IFERROR(INDEX('Saisie programme'!$D$13:$J$477,369,WEEKDAY($K$91-0,2))&amp;"",""),"2",""))+LEN(IFERROR(INDEX('Saisie programme'!$D$13:$J$477,369,WEEKDAY($K$91-1,2))&amp;"",""))-LEN(SUBSTITUTE(IFERROR(INDEX('Saisie programme'!$D$13:$J$477,369,WEEKDAY($K$91-1,2))&amp;"",""),"2",""))+LEN(IFERROR(INDEX('Saisie programme'!$D$13:$J$477,369,WEEKDAY($K$91-0,2))&amp;"",""))-LEN(SUBSTITUTE(IFERROR(INDEX('Saisie programme'!$D$13:$J$477,369,WEEKDAY($K$91-0,2))&amp;"",""),"3",""))+LEN(IFERROR(INDEX('Saisie programme'!$D$13:$J$477,369,WEEKDAY($K$91-1,2))&amp;"",""))-LEN(SUBSTITUTE(IFERROR(INDEX('Saisie programme'!$D$13:$J$477,369,WEEKDAY($K$91-1,2))&amp;"",""),"3",""))+LEN(IFERROR(INDEX('Saisie programme'!$D$13:$J$477,369,WEEKDAY($K$91-2,2))&amp;"",""))-LEN(SUBSTITUTE(IFERROR(INDEX('Saisie programme'!$D$13:$J$477,369,WEEKDAY($K$91-2,2))&amp;"",""),"3",""))</f>
        <v>0</v>
      </c>
      <c r="M153" s="34" t="n">
        <f aca="false">LEN(IFERROR(INDEX('Saisie programme'!$D$13:$J$477,408,WEEKDAY($K$92-0,2))&amp;"",""))-LEN(SUBSTITUTE(IFERROR(INDEX('Saisie programme'!$D$13:$J$477,408,WEEKDAY($K$92-0,2))&amp;"",""),"1",""))+LEN(IFERROR(INDEX('Saisie programme'!$D$13:$J$477,408,WEEKDAY($K$92-0,2))&amp;"",""))-LEN(SUBSTITUTE(IFERROR(INDEX('Saisie programme'!$D$13:$J$477,408,WEEKDAY($K$92-0,2))&amp;"",""),"2",""))+LEN(IFERROR(INDEX('Saisie programme'!$D$13:$J$477,408,WEEKDAY($K$92-1,2))&amp;"",""))-LEN(SUBSTITUTE(IFERROR(INDEX('Saisie programme'!$D$13:$J$477,408,WEEKDAY($K$92-1,2))&amp;"",""),"2",""))+LEN(IFERROR(INDEX('Saisie programme'!$D$13:$J$477,408,WEEKDAY($K$92-0,2))&amp;"",""))-LEN(SUBSTITUTE(IFERROR(INDEX('Saisie programme'!$D$13:$J$477,408,WEEKDAY($K$92-0,2))&amp;"",""),"3",""))+LEN(IFERROR(INDEX('Saisie programme'!$D$13:$J$477,408,WEEKDAY($K$92-1,2))&amp;"",""))-LEN(SUBSTITUTE(IFERROR(INDEX('Saisie programme'!$D$13:$J$477,408,WEEKDAY($K$92-1,2))&amp;"",""),"3",""))+LEN(IFERROR(INDEX('Saisie programme'!$D$13:$J$477,408,WEEKDAY($K$92-2,2))&amp;"",""))-LEN(SUBSTITUTE(IFERROR(INDEX('Saisie programme'!$D$13:$J$477,408,WEEKDAY($K$92-2,2))&amp;"",""),"3",""))</f>
        <v>0</v>
      </c>
      <c r="N153" s="34" t="n">
        <f aca="false">LEN(IFERROR(INDEX('Saisie programme'!$D$13:$J$477,447,WEEKDAY($K$93-0,2))&amp;"",""))-LEN(SUBSTITUTE(IFERROR(INDEX('Saisie programme'!$D$13:$J$477,447,WEEKDAY($K$93-0,2))&amp;"",""),"1",""))+LEN(IFERROR(INDEX('Saisie programme'!$D$13:$J$477,447,WEEKDAY($K$93-0,2))&amp;"",""))-LEN(SUBSTITUTE(IFERROR(INDEX('Saisie programme'!$D$13:$J$477,447,WEEKDAY($K$93-0,2))&amp;"",""),"2",""))+LEN(IFERROR(INDEX('Saisie programme'!$D$13:$J$477,447,WEEKDAY($K$93-1,2))&amp;"",""))-LEN(SUBSTITUTE(IFERROR(INDEX('Saisie programme'!$D$13:$J$477,447,WEEKDAY($K$93-1,2))&amp;"",""),"2",""))+LEN(IFERROR(INDEX('Saisie programme'!$D$13:$J$477,447,WEEKDAY($K$93-0,2))&amp;"",""))-LEN(SUBSTITUTE(IFERROR(INDEX('Saisie programme'!$D$13:$J$477,447,WEEKDAY($K$93-0,2))&amp;"",""),"3",""))+LEN(IFERROR(INDEX('Saisie programme'!$D$13:$J$477,447,WEEKDAY($K$93-1,2))&amp;"",""))-LEN(SUBSTITUTE(IFERROR(INDEX('Saisie programme'!$D$13:$J$477,447,WEEKDAY($K$93-1,2))&amp;"",""),"3",""))+LEN(IFERROR(INDEX('Saisie programme'!$D$13:$J$477,447,WEEKDAY($K$93-2,2))&amp;"",""))-LEN(SUBSTITUTE(IFERROR(INDEX('Saisie programme'!$D$13:$J$477,447,WEEKDAY($K$93-2,2))&amp;"",""),"3",""))</f>
        <v>0</v>
      </c>
      <c r="O153" s="12" t="s">
        <v>14</v>
      </c>
      <c r="P153" s="12" t="s">
        <v>24</v>
      </c>
    </row>
    <row r="154" customFormat="false" ht="15" hidden="false" customHeight="false" outlineLevel="0" collapsed="false">
      <c r="B154" s="10" t="s">
        <v>155</v>
      </c>
      <c r="C154" s="34" t="n">
        <f aca="false">LEN(IFERROR(INDEX('Saisie programme'!$D$13:$J$477,19,WEEKDAY($K$82-0,2))&amp;"",""))-LEN(SUBSTITUTE(IFERROR(INDEX('Saisie programme'!$D$13:$J$477,19,WEEKDAY($K$82-0,2))&amp;"",""),"1",""))+LEN(IFERROR(INDEX('Saisie programme'!$D$13:$J$477,19,WEEKDAY($K$82-0,2))&amp;"",""))-LEN(SUBSTITUTE(IFERROR(INDEX('Saisie programme'!$D$13:$J$477,19,WEEKDAY($K$82-0,2))&amp;"",""),"2",""))+LEN(IFERROR(INDEX('Saisie programme'!$D$13:$J$477,19,WEEKDAY($K$82-1,2))&amp;"",""))-LEN(SUBSTITUTE(IFERROR(INDEX('Saisie programme'!$D$13:$J$477,19,WEEKDAY($K$82-1,2))&amp;"",""),"2",""))+LEN(IFERROR(INDEX('Saisie programme'!$D$13:$J$477,19,WEEKDAY($K$82-0,2))&amp;"",""))-LEN(SUBSTITUTE(IFERROR(INDEX('Saisie programme'!$D$13:$J$477,19,WEEKDAY($K$82-0,2))&amp;"",""),"3",""))+LEN(IFERROR(INDEX('Saisie programme'!$D$13:$J$477,19,WEEKDAY($K$82-1,2))&amp;"",""))-LEN(SUBSTITUTE(IFERROR(INDEX('Saisie programme'!$D$13:$J$477,19,WEEKDAY($K$82-1,2))&amp;"",""),"3",""))+LEN(IFERROR(INDEX('Saisie programme'!$D$13:$J$477,19,WEEKDAY($K$82-2,2))&amp;"",""))-LEN(SUBSTITUTE(IFERROR(INDEX('Saisie programme'!$D$13:$J$477,19,WEEKDAY($K$82-2,2))&amp;"",""),"3",""))</f>
        <v>0</v>
      </c>
      <c r="D154" s="34" t="n">
        <f aca="false">LEN(IFERROR(INDEX('Saisie programme'!$D$13:$J$477,58,WEEKDAY($K$83-0,2))&amp;"",""))-LEN(SUBSTITUTE(IFERROR(INDEX('Saisie programme'!$D$13:$J$477,58,WEEKDAY($K$83-0,2))&amp;"",""),"1",""))+LEN(IFERROR(INDEX('Saisie programme'!$D$13:$J$477,58,WEEKDAY($K$83-0,2))&amp;"",""))-LEN(SUBSTITUTE(IFERROR(INDEX('Saisie programme'!$D$13:$J$477,58,WEEKDAY($K$83-0,2))&amp;"",""),"2",""))+LEN(IFERROR(INDEX('Saisie programme'!$D$13:$J$477,58,WEEKDAY($K$83-1,2))&amp;"",""))-LEN(SUBSTITUTE(IFERROR(INDEX('Saisie programme'!$D$13:$J$477,58,WEEKDAY($K$83-1,2))&amp;"",""),"2",""))+LEN(IFERROR(INDEX('Saisie programme'!$D$13:$J$477,58,WEEKDAY($K$83-0,2))&amp;"",""))-LEN(SUBSTITUTE(IFERROR(INDEX('Saisie programme'!$D$13:$J$477,58,WEEKDAY($K$83-0,2))&amp;"",""),"3",""))+LEN(IFERROR(INDEX('Saisie programme'!$D$13:$J$477,58,WEEKDAY($K$83-1,2))&amp;"",""))-LEN(SUBSTITUTE(IFERROR(INDEX('Saisie programme'!$D$13:$J$477,58,WEEKDAY($K$83-1,2))&amp;"",""),"3",""))+LEN(IFERROR(INDEX('Saisie programme'!$D$13:$J$477,58,WEEKDAY($K$83-2,2))&amp;"",""))-LEN(SUBSTITUTE(IFERROR(INDEX('Saisie programme'!$D$13:$J$477,58,WEEKDAY($K$83-2,2))&amp;"",""),"3",""))</f>
        <v>0</v>
      </c>
      <c r="E154" s="34" t="n">
        <f aca="false">LEN(IFERROR(INDEX('Saisie programme'!$D$13:$J$477,97,WEEKDAY($K$84-0,2))&amp;"",""))-LEN(SUBSTITUTE(IFERROR(INDEX('Saisie programme'!$D$13:$J$477,97,WEEKDAY($K$84-0,2))&amp;"",""),"1",""))+LEN(IFERROR(INDEX('Saisie programme'!$D$13:$J$477,97,WEEKDAY($K$84-0,2))&amp;"",""))-LEN(SUBSTITUTE(IFERROR(INDEX('Saisie programme'!$D$13:$J$477,97,WEEKDAY($K$84-0,2))&amp;"",""),"2",""))+LEN(IFERROR(INDEX('Saisie programme'!$D$13:$J$477,97,WEEKDAY($K$84-1,2))&amp;"",""))-LEN(SUBSTITUTE(IFERROR(INDEX('Saisie programme'!$D$13:$J$477,97,WEEKDAY($K$84-1,2))&amp;"",""),"2",""))+LEN(IFERROR(INDEX('Saisie programme'!$D$13:$J$477,97,WEEKDAY($K$84-0,2))&amp;"",""))-LEN(SUBSTITUTE(IFERROR(INDEX('Saisie programme'!$D$13:$J$477,97,WEEKDAY($K$84-0,2))&amp;"",""),"3",""))+LEN(IFERROR(INDEX('Saisie programme'!$D$13:$J$477,97,WEEKDAY($K$84-1,2))&amp;"",""))-LEN(SUBSTITUTE(IFERROR(INDEX('Saisie programme'!$D$13:$J$477,97,WEEKDAY($K$84-1,2))&amp;"",""),"3",""))+LEN(IFERROR(INDEX('Saisie programme'!$D$13:$J$477,97,WEEKDAY($K$84-2,2))&amp;"",""))-LEN(SUBSTITUTE(IFERROR(INDEX('Saisie programme'!$D$13:$J$477,97,WEEKDAY($K$84-2,2))&amp;"",""),"3",""))</f>
        <v>0</v>
      </c>
      <c r="F154" s="34" t="n">
        <f aca="false">LEN(IFERROR(INDEX('Saisie programme'!$D$13:$J$477,136,WEEKDAY($K$85-0,2))&amp;"",""))-LEN(SUBSTITUTE(IFERROR(INDEX('Saisie programme'!$D$13:$J$477,136,WEEKDAY($K$85-0,2))&amp;"",""),"1",""))+LEN(IFERROR(INDEX('Saisie programme'!$D$13:$J$477,136,WEEKDAY($K$85-0,2))&amp;"",""))-LEN(SUBSTITUTE(IFERROR(INDEX('Saisie programme'!$D$13:$J$477,136,WEEKDAY($K$85-0,2))&amp;"",""),"2",""))+LEN(IFERROR(INDEX('Saisie programme'!$D$13:$J$477,136,WEEKDAY($K$85-1,2))&amp;"",""))-LEN(SUBSTITUTE(IFERROR(INDEX('Saisie programme'!$D$13:$J$477,136,WEEKDAY($K$85-1,2))&amp;"",""),"2",""))+LEN(IFERROR(INDEX('Saisie programme'!$D$13:$J$477,136,WEEKDAY($K$85-0,2))&amp;"",""))-LEN(SUBSTITUTE(IFERROR(INDEX('Saisie programme'!$D$13:$J$477,136,WEEKDAY($K$85-0,2))&amp;"",""),"3",""))+LEN(IFERROR(INDEX('Saisie programme'!$D$13:$J$477,136,WEEKDAY($K$85-1,2))&amp;"",""))-LEN(SUBSTITUTE(IFERROR(INDEX('Saisie programme'!$D$13:$J$477,136,WEEKDAY($K$85-1,2))&amp;"",""),"3",""))+LEN(IFERROR(INDEX('Saisie programme'!$D$13:$J$477,136,WEEKDAY($K$85-2,2))&amp;"",""))-LEN(SUBSTITUTE(IFERROR(INDEX('Saisie programme'!$D$13:$J$477,136,WEEKDAY($K$85-2,2))&amp;"",""),"3",""))</f>
        <v>0</v>
      </c>
      <c r="G154" s="34" t="n">
        <f aca="false">LEN(IFERROR(INDEX('Saisie programme'!$D$13:$J$477,175,WEEKDAY($K$86-0,2))&amp;"",""))-LEN(SUBSTITUTE(IFERROR(INDEX('Saisie programme'!$D$13:$J$477,175,WEEKDAY($K$86-0,2))&amp;"",""),"1",""))+LEN(IFERROR(INDEX('Saisie programme'!$D$13:$J$477,175,WEEKDAY($K$86-0,2))&amp;"",""))-LEN(SUBSTITUTE(IFERROR(INDEX('Saisie programme'!$D$13:$J$477,175,WEEKDAY($K$86-0,2))&amp;"",""),"2",""))+LEN(IFERROR(INDEX('Saisie programme'!$D$13:$J$477,175,WEEKDAY($K$86-1,2))&amp;"",""))-LEN(SUBSTITUTE(IFERROR(INDEX('Saisie programme'!$D$13:$J$477,175,WEEKDAY($K$86-1,2))&amp;"",""),"2",""))+LEN(IFERROR(INDEX('Saisie programme'!$D$13:$J$477,175,WEEKDAY($K$86-0,2))&amp;"",""))-LEN(SUBSTITUTE(IFERROR(INDEX('Saisie programme'!$D$13:$J$477,175,WEEKDAY($K$86-0,2))&amp;"",""),"3",""))+LEN(IFERROR(INDEX('Saisie programme'!$D$13:$J$477,175,WEEKDAY($K$86-1,2))&amp;"",""))-LEN(SUBSTITUTE(IFERROR(INDEX('Saisie programme'!$D$13:$J$477,175,WEEKDAY($K$86-1,2))&amp;"",""),"3",""))+LEN(IFERROR(INDEX('Saisie programme'!$D$13:$J$477,175,WEEKDAY($K$86-2,2))&amp;"",""))-LEN(SUBSTITUTE(IFERROR(INDEX('Saisie programme'!$D$13:$J$477,175,WEEKDAY($K$86-2,2))&amp;"",""),"3",""))</f>
        <v>0</v>
      </c>
      <c r="H154" s="34" t="n">
        <f aca="false">LEN(IFERROR(INDEX('Saisie programme'!$D$13:$J$477,214,WEEKDAY($K$87-0,2))&amp;"",""))-LEN(SUBSTITUTE(IFERROR(INDEX('Saisie programme'!$D$13:$J$477,214,WEEKDAY($K$87-0,2))&amp;"",""),"1",""))+LEN(IFERROR(INDEX('Saisie programme'!$D$13:$J$477,214,WEEKDAY($K$87-0,2))&amp;"",""))-LEN(SUBSTITUTE(IFERROR(INDEX('Saisie programme'!$D$13:$J$477,214,WEEKDAY($K$87-0,2))&amp;"",""),"2",""))+LEN(IFERROR(INDEX('Saisie programme'!$D$13:$J$477,214,WEEKDAY($K$87-1,2))&amp;"",""))-LEN(SUBSTITUTE(IFERROR(INDEX('Saisie programme'!$D$13:$J$477,214,WEEKDAY($K$87-1,2))&amp;"",""),"2",""))+LEN(IFERROR(INDEX('Saisie programme'!$D$13:$J$477,214,WEEKDAY($K$87-0,2))&amp;"",""))-LEN(SUBSTITUTE(IFERROR(INDEX('Saisie programme'!$D$13:$J$477,214,WEEKDAY($K$87-0,2))&amp;"",""),"3",""))+LEN(IFERROR(INDEX('Saisie programme'!$D$13:$J$477,214,WEEKDAY($K$87-1,2))&amp;"",""))-LEN(SUBSTITUTE(IFERROR(INDEX('Saisie programme'!$D$13:$J$477,214,WEEKDAY($K$87-1,2))&amp;"",""),"3",""))+LEN(IFERROR(INDEX('Saisie programme'!$D$13:$J$477,214,WEEKDAY($K$87-2,2))&amp;"",""))-LEN(SUBSTITUTE(IFERROR(INDEX('Saisie programme'!$D$13:$J$477,214,WEEKDAY($K$87-2,2))&amp;"",""),"3",""))</f>
        <v>0</v>
      </c>
      <c r="I154" s="34" t="n">
        <f aca="false">LEN(IFERROR(INDEX('Saisie programme'!$D$13:$J$477,253,WEEKDAY($K$88-0,2))&amp;"",""))-LEN(SUBSTITUTE(IFERROR(INDEX('Saisie programme'!$D$13:$J$477,253,WEEKDAY($K$88-0,2))&amp;"",""),"1",""))+LEN(IFERROR(INDEX('Saisie programme'!$D$13:$J$477,253,WEEKDAY($K$88-0,2))&amp;"",""))-LEN(SUBSTITUTE(IFERROR(INDEX('Saisie programme'!$D$13:$J$477,253,WEEKDAY($K$88-0,2))&amp;"",""),"2",""))+LEN(IFERROR(INDEX('Saisie programme'!$D$13:$J$477,253,WEEKDAY($K$88-1,2))&amp;"",""))-LEN(SUBSTITUTE(IFERROR(INDEX('Saisie programme'!$D$13:$J$477,253,WEEKDAY($K$88-1,2))&amp;"",""),"2",""))+LEN(IFERROR(INDEX('Saisie programme'!$D$13:$J$477,253,WEEKDAY($K$88-0,2))&amp;"",""))-LEN(SUBSTITUTE(IFERROR(INDEX('Saisie programme'!$D$13:$J$477,253,WEEKDAY($K$88-0,2))&amp;"",""),"3",""))+LEN(IFERROR(INDEX('Saisie programme'!$D$13:$J$477,253,WEEKDAY($K$88-1,2))&amp;"",""))-LEN(SUBSTITUTE(IFERROR(INDEX('Saisie programme'!$D$13:$J$477,253,WEEKDAY($K$88-1,2))&amp;"",""),"3",""))+LEN(IFERROR(INDEX('Saisie programme'!$D$13:$J$477,253,WEEKDAY($K$88-2,2))&amp;"",""))-LEN(SUBSTITUTE(IFERROR(INDEX('Saisie programme'!$D$13:$J$477,253,WEEKDAY($K$88-2,2))&amp;"",""),"3",""))</f>
        <v>0</v>
      </c>
      <c r="J154" s="34" t="n">
        <f aca="false">LEN(IFERROR(INDEX('Saisie programme'!$D$13:$J$477,292,WEEKDAY($K$89-0,2))&amp;"",""))-LEN(SUBSTITUTE(IFERROR(INDEX('Saisie programme'!$D$13:$J$477,292,WEEKDAY($K$89-0,2))&amp;"",""),"1",""))+LEN(IFERROR(INDEX('Saisie programme'!$D$13:$J$477,292,WEEKDAY($K$89-0,2))&amp;"",""))-LEN(SUBSTITUTE(IFERROR(INDEX('Saisie programme'!$D$13:$J$477,292,WEEKDAY($K$89-0,2))&amp;"",""),"2",""))+LEN(IFERROR(INDEX('Saisie programme'!$D$13:$J$477,292,WEEKDAY($K$89-1,2))&amp;"",""))-LEN(SUBSTITUTE(IFERROR(INDEX('Saisie programme'!$D$13:$J$477,292,WEEKDAY($K$89-1,2))&amp;"",""),"2",""))+LEN(IFERROR(INDEX('Saisie programme'!$D$13:$J$477,292,WEEKDAY($K$89-0,2))&amp;"",""))-LEN(SUBSTITUTE(IFERROR(INDEX('Saisie programme'!$D$13:$J$477,292,WEEKDAY($K$89-0,2))&amp;"",""),"3",""))+LEN(IFERROR(INDEX('Saisie programme'!$D$13:$J$477,292,WEEKDAY($K$89-1,2))&amp;"",""))-LEN(SUBSTITUTE(IFERROR(INDEX('Saisie programme'!$D$13:$J$477,292,WEEKDAY($K$89-1,2))&amp;"",""),"3",""))+LEN(IFERROR(INDEX('Saisie programme'!$D$13:$J$477,292,WEEKDAY($K$89-2,2))&amp;"",""))-LEN(SUBSTITUTE(IFERROR(INDEX('Saisie programme'!$D$13:$J$477,292,WEEKDAY($K$89-2,2))&amp;"",""),"3",""))</f>
        <v>0</v>
      </c>
      <c r="K154" s="34" t="n">
        <f aca="false">LEN(IFERROR(INDEX('Saisie programme'!$D$13:$J$477,331,WEEKDAY($K$90-0,2))&amp;"",""))-LEN(SUBSTITUTE(IFERROR(INDEX('Saisie programme'!$D$13:$J$477,331,WEEKDAY($K$90-0,2))&amp;"",""),"1",""))+LEN(IFERROR(INDEX('Saisie programme'!$D$13:$J$477,331,WEEKDAY($K$90-0,2))&amp;"",""))-LEN(SUBSTITUTE(IFERROR(INDEX('Saisie programme'!$D$13:$J$477,331,WEEKDAY($K$90-0,2))&amp;"",""),"2",""))+LEN(IFERROR(INDEX('Saisie programme'!$D$13:$J$477,331,WEEKDAY($K$90-1,2))&amp;"",""))-LEN(SUBSTITUTE(IFERROR(INDEX('Saisie programme'!$D$13:$J$477,331,WEEKDAY($K$90-1,2))&amp;"",""),"2",""))+LEN(IFERROR(INDEX('Saisie programme'!$D$13:$J$477,331,WEEKDAY($K$90-0,2))&amp;"",""))-LEN(SUBSTITUTE(IFERROR(INDEX('Saisie programme'!$D$13:$J$477,331,WEEKDAY($K$90-0,2))&amp;"",""),"3",""))+LEN(IFERROR(INDEX('Saisie programme'!$D$13:$J$477,331,WEEKDAY($K$90-1,2))&amp;"",""))-LEN(SUBSTITUTE(IFERROR(INDEX('Saisie programme'!$D$13:$J$477,331,WEEKDAY($K$90-1,2))&amp;"",""),"3",""))+LEN(IFERROR(INDEX('Saisie programme'!$D$13:$J$477,331,WEEKDAY($K$90-2,2))&amp;"",""))-LEN(SUBSTITUTE(IFERROR(INDEX('Saisie programme'!$D$13:$J$477,331,WEEKDAY($K$90-2,2))&amp;"",""),"3",""))</f>
        <v>0</v>
      </c>
      <c r="L154" s="34" t="n">
        <f aca="false">LEN(IFERROR(INDEX('Saisie programme'!$D$13:$J$477,370,WEEKDAY($K$91-0,2))&amp;"",""))-LEN(SUBSTITUTE(IFERROR(INDEX('Saisie programme'!$D$13:$J$477,370,WEEKDAY($K$91-0,2))&amp;"",""),"1",""))+LEN(IFERROR(INDEX('Saisie programme'!$D$13:$J$477,370,WEEKDAY($K$91-0,2))&amp;"",""))-LEN(SUBSTITUTE(IFERROR(INDEX('Saisie programme'!$D$13:$J$477,370,WEEKDAY($K$91-0,2))&amp;"",""),"2",""))+LEN(IFERROR(INDEX('Saisie programme'!$D$13:$J$477,370,WEEKDAY($K$91-1,2))&amp;"",""))-LEN(SUBSTITUTE(IFERROR(INDEX('Saisie programme'!$D$13:$J$477,370,WEEKDAY($K$91-1,2))&amp;"",""),"2",""))+LEN(IFERROR(INDEX('Saisie programme'!$D$13:$J$477,370,WEEKDAY($K$91-0,2))&amp;"",""))-LEN(SUBSTITUTE(IFERROR(INDEX('Saisie programme'!$D$13:$J$477,370,WEEKDAY($K$91-0,2))&amp;"",""),"3",""))+LEN(IFERROR(INDEX('Saisie programme'!$D$13:$J$477,370,WEEKDAY($K$91-1,2))&amp;"",""))-LEN(SUBSTITUTE(IFERROR(INDEX('Saisie programme'!$D$13:$J$477,370,WEEKDAY($K$91-1,2))&amp;"",""),"3",""))+LEN(IFERROR(INDEX('Saisie programme'!$D$13:$J$477,370,WEEKDAY($K$91-2,2))&amp;"",""))-LEN(SUBSTITUTE(IFERROR(INDEX('Saisie programme'!$D$13:$J$477,370,WEEKDAY($K$91-2,2))&amp;"",""),"3",""))</f>
        <v>0</v>
      </c>
      <c r="M154" s="34" t="n">
        <f aca="false">LEN(IFERROR(INDEX('Saisie programme'!$D$13:$J$477,409,WEEKDAY($K$92-0,2))&amp;"",""))-LEN(SUBSTITUTE(IFERROR(INDEX('Saisie programme'!$D$13:$J$477,409,WEEKDAY($K$92-0,2))&amp;"",""),"1",""))+LEN(IFERROR(INDEX('Saisie programme'!$D$13:$J$477,409,WEEKDAY($K$92-0,2))&amp;"",""))-LEN(SUBSTITUTE(IFERROR(INDEX('Saisie programme'!$D$13:$J$477,409,WEEKDAY($K$92-0,2))&amp;"",""),"2",""))+LEN(IFERROR(INDEX('Saisie programme'!$D$13:$J$477,409,WEEKDAY($K$92-1,2))&amp;"",""))-LEN(SUBSTITUTE(IFERROR(INDEX('Saisie programme'!$D$13:$J$477,409,WEEKDAY($K$92-1,2))&amp;"",""),"2",""))+LEN(IFERROR(INDEX('Saisie programme'!$D$13:$J$477,409,WEEKDAY($K$92-0,2))&amp;"",""))-LEN(SUBSTITUTE(IFERROR(INDEX('Saisie programme'!$D$13:$J$477,409,WEEKDAY($K$92-0,2))&amp;"",""),"3",""))+LEN(IFERROR(INDEX('Saisie programme'!$D$13:$J$477,409,WEEKDAY($K$92-1,2))&amp;"",""))-LEN(SUBSTITUTE(IFERROR(INDEX('Saisie programme'!$D$13:$J$477,409,WEEKDAY($K$92-1,2))&amp;"",""),"3",""))+LEN(IFERROR(INDEX('Saisie programme'!$D$13:$J$477,409,WEEKDAY($K$92-2,2))&amp;"",""))-LEN(SUBSTITUTE(IFERROR(INDEX('Saisie programme'!$D$13:$J$477,409,WEEKDAY($K$92-2,2))&amp;"",""),"3",""))</f>
        <v>0</v>
      </c>
      <c r="N154" s="34" t="n">
        <f aca="false">LEN(IFERROR(INDEX('Saisie programme'!$D$13:$J$477,448,WEEKDAY($K$93-0,2))&amp;"",""))-LEN(SUBSTITUTE(IFERROR(INDEX('Saisie programme'!$D$13:$J$477,448,WEEKDAY($K$93-0,2))&amp;"",""),"1",""))+LEN(IFERROR(INDEX('Saisie programme'!$D$13:$J$477,448,WEEKDAY($K$93-0,2))&amp;"",""))-LEN(SUBSTITUTE(IFERROR(INDEX('Saisie programme'!$D$13:$J$477,448,WEEKDAY($K$93-0,2))&amp;"",""),"2",""))+LEN(IFERROR(INDEX('Saisie programme'!$D$13:$J$477,448,WEEKDAY($K$93-1,2))&amp;"",""))-LEN(SUBSTITUTE(IFERROR(INDEX('Saisie programme'!$D$13:$J$477,448,WEEKDAY($K$93-1,2))&amp;"",""),"2",""))+LEN(IFERROR(INDEX('Saisie programme'!$D$13:$J$477,448,WEEKDAY($K$93-0,2))&amp;"",""))-LEN(SUBSTITUTE(IFERROR(INDEX('Saisie programme'!$D$13:$J$477,448,WEEKDAY($K$93-0,2))&amp;"",""),"3",""))+LEN(IFERROR(INDEX('Saisie programme'!$D$13:$J$477,448,WEEKDAY($K$93-1,2))&amp;"",""))-LEN(SUBSTITUTE(IFERROR(INDEX('Saisie programme'!$D$13:$J$477,448,WEEKDAY($K$93-1,2))&amp;"",""),"3",""))+LEN(IFERROR(INDEX('Saisie programme'!$D$13:$J$477,448,WEEKDAY($K$93-2,2))&amp;"",""))-LEN(SUBSTITUTE(IFERROR(INDEX('Saisie programme'!$D$13:$J$477,448,WEEKDAY($K$93-2,2))&amp;"",""),"3",""))</f>
        <v>0</v>
      </c>
      <c r="O154" s="12" t="s">
        <v>46</v>
      </c>
      <c r="P154" s="12" t="s">
        <v>11</v>
      </c>
    </row>
    <row r="155" customFormat="false" ht="15" hidden="false" customHeight="false" outlineLevel="0" collapsed="false">
      <c r="B155" s="10" t="s">
        <v>156</v>
      </c>
      <c r="C155" s="34" t="n">
        <f aca="false">LEN(IFERROR(INDEX('Saisie programme'!$D$13:$J$477,20,WEEKDAY($K$82-0,2))&amp;"",""))-LEN(SUBSTITUTE(IFERROR(INDEX('Saisie programme'!$D$13:$J$477,20,WEEKDAY($K$82-0,2))&amp;"",""),"1",""))+LEN(IFERROR(INDEX('Saisie programme'!$D$13:$J$477,20,WEEKDAY($K$82-0,2))&amp;"",""))-LEN(SUBSTITUTE(IFERROR(INDEX('Saisie programme'!$D$13:$J$477,20,WEEKDAY($K$82-0,2))&amp;"",""),"2",""))+LEN(IFERROR(INDEX('Saisie programme'!$D$13:$J$477,20,WEEKDAY($K$82-1,2))&amp;"",""))-LEN(SUBSTITUTE(IFERROR(INDEX('Saisie programme'!$D$13:$J$477,20,WEEKDAY($K$82-1,2))&amp;"",""),"2",""))+LEN(IFERROR(INDEX('Saisie programme'!$D$13:$J$477,20,WEEKDAY($K$82-0,2))&amp;"",""))-LEN(SUBSTITUTE(IFERROR(INDEX('Saisie programme'!$D$13:$J$477,20,WEEKDAY($K$82-0,2))&amp;"",""),"3",""))+LEN(IFERROR(INDEX('Saisie programme'!$D$13:$J$477,20,WEEKDAY($K$82-1,2))&amp;"",""))-LEN(SUBSTITUTE(IFERROR(INDEX('Saisie programme'!$D$13:$J$477,20,WEEKDAY($K$82-1,2))&amp;"",""),"3",""))+LEN(IFERROR(INDEX('Saisie programme'!$D$13:$J$477,20,WEEKDAY($K$82-2,2))&amp;"",""))-LEN(SUBSTITUTE(IFERROR(INDEX('Saisie programme'!$D$13:$J$477,20,WEEKDAY($K$82-2,2))&amp;"",""),"3",""))</f>
        <v>0</v>
      </c>
      <c r="D155" s="34" t="n">
        <f aca="false">LEN(IFERROR(INDEX('Saisie programme'!$D$13:$J$477,59,WEEKDAY($K$83-0,2))&amp;"",""))-LEN(SUBSTITUTE(IFERROR(INDEX('Saisie programme'!$D$13:$J$477,59,WEEKDAY($K$83-0,2))&amp;"",""),"1",""))+LEN(IFERROR(INDEX('Saisie programme'!$D$13:$J$477,59,WEEKDAY($K$83-0,2))&amp;"",""))-LEN(SUBSTITUTE(IFERROR(INDEX('Saisie programme'!$D$13:$J$477,59,WEEKDAY($K$83-0,2))&amp;"",""),"2",""))+LEN(IFERROR(INDEX('Saisie programme'!$D$13:$J$477,59,WEEKDAY($K$83-1,2))&amp;"",""))-LEN(SUBSTITUTE(IFERROR(INDEX('Saisie programme'!$D$13:$J$477,59,WEEKDAY($K$83-1,2))&amp;"",""),"2",""))+LEN(IFERROR(INDEX('Saisie programme'!$D$13:$J$477,59,WEEKDAY($K$83-0,2))&amp;"",""))-LEN(SUBSTITUTE(IFERROR(INDEX('Saisie programme'!$D$13:$J$477,59,WEEKDAY($K$83-0,2))&amp;"",""),"3",""))+LEN(IFERROR(INDEX('Saisie programme'!$D$13:$J$477,59,WEEKDAY($K$83-1,2))&amp;"",""))-LEN(SUBSTITUTE(IFERROR(INDEX('Saisie programme'!$D$13:$J$477,59,WEEKDAY($K$83-1,2))&amp;"",""),"3",""))+LEN(IFERROR(INDEX('Saisie programme'!$D$13:$J$477,59,WEEKDAY($K$83-2,2))&amp;"",""))-LEN(SUBSTITUTE(IFERROR(INDEX('Saisie programme'!$D$13:$J$477,59,WEEKDAY($K$83-2,2))&amp;"",""),"3",""))</f>
        <v>0</v>
      </c>
      <c r="E155" s="34" t="n">
        <f aca="false">LEN(IFERROR(INDEX('Saisie programme'!$D$13:$J$477,98,WEEKDAY($K$84-0,2))&amp;"",""))-LEN(SUBSTITUTE(IFERROR(INDEX('Saisie programme'!$D$13:$J$477,98,WEEKDAY($K$84-0,2))&amp;"",""),"1",""))+LEN(IFERROR(INDEX('Saisie programme'!$D$13:$J$477,98,WEEKDAY($K$84-0,2))&amp;"",""))-LEN(SUBSTITUTE(IFERROR(INDEX('Saisie programme'!$D$13:$J$477,98,WEEKDAY($K$84-0,2))&amp;"",""),"2",""))+LEN(IFERROR(INDEX('Saisie programme'!$D$13:$J$477,98,WEEKDAY($K$84-1,2))&amp;"",""))-LEN(SUBSTITUTE(IFERROR(INDEX('Saisie programme'!$D$13:$J$477,98,WEEKDAY($K$84-1,2))&amp;"",""),"2",""))+LEN(IFERROR(INDEX('Saisie programme'!$D$13:$J$477,98,WEEKDAY($K$84-0,2))&amp;"",""))-LEN(SUBSTITUTE(IFERROR(INDEX('Saisie programme'!$D$13:$J$477,98,WEEKDAY($K$84-0,2))&amp;"",""),"3",""))+LEN(IFERROR(INDEX('Saisie programme'!$D$13:$J$477,98,WEEKDAY($K$84-1,2))&amp;"",""))-LEN(SUBSTITUTE(IFERROR(INDEX('Saisie programme'!$D$13:$J$477,98,WEEKDAY($K$84-1,2))&amp;"",""),"3",""))+LEN(IFERROR(INDEX('Saisie programme'!$D$13:$J$477,98,WEEKDAY($K$84-2,2))&amp;"",""))-LEN(SUBSTITUTE(IFERROR(INDEX('Saisie programme'!$D$13:$J$477,98,WEEKDAY($K$84-2,2))&amp;"",""),"3",""))</f>
        <v>0</v>
      </c>
      <c r="F155" s="34" t="n">
        <f aca="false">LEN(IFERROR(INDEX('Saisie programme'!$D$13:$J$477,137,WEEKDAY($K$85-0,2))&amp;"",""))-LEN(SUBSTITUTE(IFERROR(INDEX('Saisie programme'!$D$13:$J$477,137,WEEKDAY($K$85-0,2))&amp;"",""),"1",""))+LEN(IFERROR(INDEX('Saisie programme'!$D$13:$J$477,137,WEEKDAY($K$85-0,2))&amp;"",""))-LEN(SUBSTITUTE(IFERROR(INDEX('Saisie programme'!$D$13:$J$477,137,WEEKDAY($K$85-0,2))&amp;"",""),"2",""))+LEN(IFERROR(INDEX('Saisie programme'!$D$13:$J$477,137,WEEKDAY($K$85-1,2))&amp;"",""))-LEN(SUBSTITUTE(IFERROR(INDEX('Saisie programme'!$D$13:$J$477,137,WEEKDAY($K$85-1,2))&amp;"",""),"2",""))+LEN(IFERROR(INDEX('Saisie programme'!$D$13:$J$477,137,WEEKDAY($K$85-0,2))&amp;"",""))-LEN(SUBSTITUTE(IFERROR(INDEX('Saisie programme'!$D$13:$J$477,137,WEEKDAY($K$85-0,2))&amp;"",""),"3",""))+LEN(IFERROR(INDEX('Saisie programme'!$D$13:$J$477,137,WEEKDAY($K$85-1,2))&amp;"",""))-LEN(SUBSTITUTE(IFERROR(INDEX('Saisie programme'!$D$13:$J$477,137,WEEKDAY($K$85-1,2))&amp;"",""),"3",""))+LEN(IFERROR(INDEX('Saisie programme'!$D$13:$J$477,137,WEEKDAY($K$85-2,2))&amp;"",""))-LEN(SUBSTITUTE(IFERROR(INDEX('Saisie programme'!$D$13:$J$477,137,WEEKDAY($K$85-2,2))&amp;"",""),"3",""))</f>
        <v>0</v>
      </c>
      <c r="G155" s="34" t="n">
        <f aca="false">LEN(IFERROR(INDEX('Saisie programme'!$D$13:$J$477,176,WEEKDAY($K$86-0,2))&amp;"",""))-LEN(SUBSTITUTE(IFERROR(INDEX('Saisie programme'!$D$13:$J$477,176,WEEKDAY($K$86-0,2))&amp;"",""),"1",""))+LEN(IFERROR(INDEX('Saisie programme'!$D$13:$J$477,176,WEEKDAY($K$86-0,2))&amp;"",""))-LEN(SUBSTITUTE(IFERROR(INDEX('Saisie programme'!$D$13:$J$477,176,WEEKDAY($K$86-0,2))&amp;"",""),"2",""))+LEN(IFERROR(INDEX('Saisie programme'!$D$13:$J$477,176,WEEKDAY($K$86-1,2))&amp;"",""))-LEN(SUBSTITUTE(IFERROR(INDEX('Saisie programme'!$D$13:$J$477,176,WEEKDAY($K$86-1,2))&amp;"",""),"2",""))+LEN(IFERROR(INDEX('Saisie programme'!$D$13:$J$477,176,WEEKDAY($K$86-0,2))&amp;"",""))-LEN(SUBSTITUTE(IFERROR(INDEX('Saisie programme'!$D$13:$J$477,176,WEEKDAY($K$86-0,2))&amp;"",""),"3",""))+LEN(IFERROR(INDEX('Saisie programme'!$D$13:$J$477,176,WEEKDAY($K$86-1,2))&amp;"",""))-LEN(SUBSTITUTE(IFERROR(INDEX('Saisie programme'!$D$13:$J$477,176,WEEKDAY($K$86-1,2))&amp;"",""),"3",""))+LEN(IFERROR(INDEX('Saisie programme'!$D$13:$J$477,176,WEEKDAY($K$86-2,2))&amp;"",""))-LEN(SUBSTITUTE(IFERROR(INDEX('Saisie programme'!$D$13:$J$477,176,WEEKDAY($K$86-2,2))&amp;"",""),"3",""))</f>
        <v>0</v>
      </c>
      <c r="H155" s="34" t="n">
        <f aca="false">LEN(IFERROR(INDEX('Saisie programme'!$D$13:$J$477,215,WEEKDAY($K$87-0,2))&amp;"",""))-LEN(SUBSTITUTE(IFERROR(INDEX('Saisie programme'!$D$13:$J$477,215,WEEKDAY($K$87-0,2))&amp;"",""),"1",""))+LEN(IFERROR(INDEX('Saisie programme'!$D$13:$J$477,215,WEEKDAY($K$87-0,2))&amp;"",""))-LEN(SUBSTITUTE(IFERROR(INDEX('Saisie programme'!$D$13:$J$477,215,WEEKDAY($K$87-0,2))&amp;"",""),"2",""))+LEN(IFERROR(INDEX('Saisie programme'!$D$13:$J$477,215,WEEKDAY($K$87-1,2))&amp;"",""))-LEN(SUBSTITUTE(IFERROR(INDEX('Saisie programme'!$D$13:$J$477,215,WEEKDAY($K$87-1,2))&amp;"",""),"2",""))+LEN(IFERROR(INDEX('Saisie programme'!$D$13:$J$477,215,WEEKDAY($K$87-0,2))&amp;"",""))-LEN(SUBSTITUTE(IFERROR(INDEX('Saisie programme'!$D$13:$J$477,215,WEEKDAY($K$87-0,2))&amp;"",""),"3",""))+LEN(IFERROR(INDEX('Saisie programme'!$D$13:$J$477,215,WEEKDAY($K$87-1,2))&amp;"",""))-LEN(SUBSTITUTE(IFERROR(INDEX('Saisie programme'!$D$13:$J$477,215,WEEKDAY($K$87-1,2))&amp;"",""),"3",""))+LEN(IFERROR(INDEX('Saisie programme'!$D$13:$J$477,215,WEEKDAY($K$87-2,2))&amp;"",""))-LEN(SUBSTITUTE(IFERROR(INDEX('Saisie programme'!$D$13:$J$477,215,WEEKDAY($K$87-2,2))&amp;"",""),"3",""))</f>
        <v>0</v>
      </c>
      <c r="I155" s="34" t="n">
        <f aca="false">LEN(IFERROR(INDEX('Saisie programme'!$D$13:$J$477,254,WEEKDAY($K$88-0,2))&amp;"",""))-LEN(SUBSTITUTE(IFERROR(INDEX('Saisie programme'!$D$13:$J$477,254,WEEKDAY($K$88-0,2))&amp;"",""),"1",""))+LEN(IFERROR(INDEX('Saisie programme'!$D$13:$J$477,254,WEEKDAY($K$88-0,2))&amp;"",""))-LEN(SUBSTITUTE(IFERROR(INDEX('Saisie programme'!$D$13:$J$477,254,WEEKDAY($K$88-0,2))&amp;"",""),"2",""))+LEN(IFERROR(INDEX('Saisie programme'!$D$13:$J$477,254,WEEKDAY($K$88-1,2))&amp;"",""))-LEN(SUBSTITUTE(IFERROR(INDEX('Saisie programme'!$D$13:$J$477,254,WEEKDAY($K$88-1,2))&amp;"",""),"2",""))+LEN(IFERROR(INDEX('Saisie programme'!$D$13:$J$477,254,WEEKDAY($K$88-0,2))&amp;"",""))-LEN(SUBSTITUTE(IFERROR(INDEX('Saisie programme'!$D$13:$J$477,254,WEEKDAY($K$88-0,2))&amp;"",""),"3",""))+LEN(IFERROR(INDEX('Saisie programme'!$D$13:$J$477,254,WEEKDAY($K$88-1,2))&amp;"",""))-LEN(SUBSTITUTE(IFERROR(INDEX('Saisie programme'!$D$13:$J$477,254,WEEKDAY($K$88-1,2))&amp;"",""),"3",""))+LEN(IFERROR(INDEX('Saisie programme'!$D$13:$J$477,254,WEEKDAY($K$88-2,2))&amp;"",""))-LEN(SUBSTITUTE(IFERROR(INDEX('Saisie programme'!$D$13:$J$477,254,WEEKDAY($K$88-2,2))&amp;"",""),"3",""))</f>
        <v>0</v>
      </c>
      <c r="J155" s="34" t="n">
        <f aca="false">LEN(IFERROR(INDEX('Saisie programme'!$D$13:$J$477,293,WEEKDAY($K$89-0,2))&amp;"",""))-LEN(SUBSTITUTE(IFERROR(INDEX('Saisie programme'!$D$13:$J$477,293,WEEKDAY($K$89-0,2))&amp;"",""),"1",""))+LEN(IFERROR(INDEX('Saisie programme'!$D$13:$J$477,293,WEEKDAY($K$89-0,2))&amp;"",""))-LEN(SUBSTITUTE(IFERROR(INDEX('Saisie programme'!$D$13:$J$477,293,WEEKDAY($K$89-0,2))&amp;"",""),"2",""))+LEN(IFERROR(INDEX('Saisie programme'!$D$13:$J$477,293,WEEKDAY($K$89-1,2))&amp;"",""))-LEN(SUBSTITUTE(IFERROR(INDEX('Saisie programme'!$D$13:$J$477,293,WEEKDAY($K$89-1,2))&amp;"",""),"2",""))+LEN(IFERROR(INDEX('Saisie programme'!$D$13:$J$477,293,WEEKDAY($K$89-0,2))&amp;"",""))-LEN(SUBSTITUTE(IFERROR(INDEX('Saisie programme'!$D$13:$J$477,293,WEEKDAY($K$89-0,2))&amp;"",""),"3",""))+LEN(IFERROR(INDEX('Saisie programme'!$D$13:$J$477,293,WEEKDAY($K$89-1,2))&amp;"",""))-LEN(SUBSTITUTE(IFERROR(INDEX('Saisie programme'!$D$13:$J$477,293,WEEKDAY($K$89-1,2))&amp;"",""),"3",""))+LEN(IFERROR(INDEX('Saisie programme'!$D$13:$J$477,293,WEEKDAY($K$89-2,2))&amp;"",""))-LEN(SUBSTITUTE(IFERROR(INDEX('Saisie programme'!$D$13:$J$477,293,WEEKDAY($K$89-2,2))&amp;"",""),"3",""))</f>
        <v>0</v>
      </c>
      <c r="K155" s="34" t="n">
        <f aca="false">LEN(IFERROR(INDEX('Saisie programme'!$D$13:$J$477,332,WEEKDAY($K$90-0,2))&amp;"",""))-LEN(SUBSTITUTE(IFERROR(INDEX('Saisie programme'!$D$13:$J$477,332,WEEKDAY($K$90-0,2))&amp;"",""),"1",""))+LEN(IFERROR(INDEX('Saisie programme'!$D$13:$J$477,332,WEEKDAY($K$90-0,2))&amp;"",""))-LEN(SUBSTITUTE(IFERROR(INDEX('Saisie programme'!$D$13:$J$477,332,WEEKDAY($K$90-0,2))&amp;"",""),"2",""))+LEN(IFERROR(INDEX('Saisie programme'!$D$13:$J$477,332,WEEKDAY($K$90-1,2))&amp;"",""))-LEN(SUBSTITUTE(IFERROR(INDEX('Saisie programme'!$D$13:$J$477,332,WEEKDAY($K$90-1,2))&amp;"",""),"2",""))+LEN(IFERROR(INDEX('Saisie programme'!$D$13:$J$477,332,WEEKDAY($K$90-0,2))&amp;"",""))-LEN(SUBSTITUTE(IFERROR(INDEX('Saisie programme'!$D$13:$J$477,332,WEEKDAY($K$90-0,2))&amp;"",""),"3",""))+LEN(IFERROR(INDEX('Saisie programme'!$D$13:$J$477,332,WEEKDAY($K$90-1,2))&amp;"",""))-LEN(SUBSTITUTE(IFERROR(INDEX('Saisie programme'!$D$13:$J$477,332,WEEKDAY($K$90-1,2))&amp;"",""),"3",""))+LEN(IFERROR(INDEX('Saisie programme'!$D$13:$J$477,332,WEEKDAY($K$90-2,2))&amp;"",""))-LEN(SUBSTITUTE(IFERROR(INDEX('Saisie programme'!$D$13:$J$477,332,WEEKDAY($K$90-2,2))&amp;"",""),"3",""))</f>
        <v>0</v>
      </c>
      <c r="L155" s="34" t="n">
        <f aca="false">LEN(IFERROR(INDEX('Saisie programme'!$D$13:$J$477,371,WEEKDAY($K$91-0,2))&amp;"",""))-LEN(SUBSTITUTE(IFERROR(INDEX('Saisie programme'!$D$13:$J$477,371,WEEKDAY($K$91-0,2))&amp;"",""),"1",""))+LEN(IFERROR(INDEX('Saisie programme'!$D$13:$J$477,371,WEEKDAY($K$91-0,2))&amp;"",""))-LEN(SUBSTITUTE(IFERROR(INDEX('Saisie programme'!$D$13:$J$477,371,WEEKDAY($K$91-0,2))&amp;"",""),"2",""))+LEN(IFERROR(INDEX('Saisie programme'!$D$13:$J$477,371,WEEKDAY($K$91-1,2))&amp;"",""))-LEN(SUBSTITUTE(IFERROR(INDEX('Saisie programme'!$D$13:$J$477,371,WEEKDAY($K$91-1,2))&amp;"",""),"2",""))+LEN(IFERROR(INDEX('Saisie programme'!$D$13:$J$477,371,WEEKDAY($K$91-0,2))&amp;"",""))-LEN(SUBSTITUTE(IFERROR(INDEX('Saisie programme'!$D$13:$J$477,371,WEEKDAY($K$91-0,2))&amp;"",""),"3",""))+LEN(IFERROR(INDEX('Saisie programme'!$D$13:$J$477,371,WEEKDAY($K$91-1,2))&amp;"",""))-LEN(SUBSTITUTE(IFERROR(INDEX('Saisie programme'!$D$13:$J$477,371,WEEKDAY($K$91-1,2))&amp;"",""),"3",""))+LEN(IFERROR(INDEX('Saisie programme'!$D$13:$J$477,371,WEEKDAY($K$91-2,2))&amp;"",""))-LEN(SUBSTITUTE(IFERROR(INDEX('Saisie programme'!$D$13:$J$477,371,WEEKDAY($K$91-2,2))&amp;"",""),"3",""))</f>
        <v>0</v>
      </c>
      <c r="M155" s="34" t="n">
        <f aca="false">LEN(IFERROR(INDEX('Saisie programme'!$D$13:$J$477,410,WEEKDAY($K$92-0,2))&amp;"",""))-LEN(SUBSTITUTE(IFERROR(INDEX('Saisie programme'!$D$13:$J$477,410,WEEKDAY($K$92-0,2))&amp;"",""),"1",""))+LEN(IFERROR(INDEX('Saisie programme'!$D$13:$J$477,410,WEEKDAY($K$92-0,2))&amp;"",""))-LEN(SUBSTITUTE(IFERROR(INDEX('Saisie programme'!$D$13:$J$477,410,WEEKDAY($K$92-0,2))&amp;"",""),"2",""))+LEN(IFERROR(INDEX('Saisie programme'!$D$13:$J$477,410,WEEKDAY($K$92-1,2))&amp;"",""))-LEN(SUBSTITUTE(IFERROR(INDEX('Saisie programme'!$D$13:$J$477,410,WEEKDAY($K$92-1,2))&amp;"",""),"2",""))+LEN(IFERROR(INDEX('Saisie programme'!$D$13:$J$477,410,WEEKDAY($K$92-0,2))&amp;"",""))-LEN(SUBSTITUTE(IFERROR(INDEX('Saisie programme'!$D$13:$J$477,410,WEEKDAY($K$92-0,2))&amp;"",""),"3",""))+LEN(IFERROR(INDEX('Saisie programme'!$D$13:$J$477,410,WEEKDAY($K$92-1,2))&amp;"",""))-LEN(SUBSTITUTE(IFERROR(INDEX('Saisie programme'!$D$13:$J$477,410,WEEKDAY($K$92-1,2))&amp;"",""),"3",""))+LEN(IFERROR(INDEX('Saisie programme'!$D$13:$J$477,410,WEEKDAY($K$92-2,2))&amp;"",""))-LEN(SUBSTITUTE(IFERROR(INDEX('Saisie programme'!$D$13:$J$477,410,WEEKDAY($K$92-2,2))&amp;"",""),"3",""))</f>
        <v>0</v>
      </c>
      <c r="N155" s="34" t="n">
        <f aca="false">LEN(IFERROR(INDEX('Saisie programme'!$D$13:$J$477,449,WEEKDAY($K$93-0,2))&amp;"",""))-LEN(SUBSTITUTE(IFERROR(INDEX('Saisie programme'!$D$13:$J$477,449,WEEKDAY($K$93-0,2))&amp;"",""),"1",""))+LEN(IFERROR(INDEX('Saisie programme'!$D$13:$J$477,449,WEEKDAY($K$93-0,2))&amp;"",""))-LEN(SUBSTITUTE(IFERROR(INDEX('Saisie programme'!$D$13:$J$477,449,WEEKDAY($K$93-0,2))&amp;"",""),"2",""))+LEN(IFERROR(INDEX('Saisie programme'!$D$13:$J$477,449,WEEKDAY($K$93-1,2))&amp;"",""))-LEN(SUBSTITUTE(IFERROR(INDEX('Saisie programme'!$D$13:$J$477,449,WEEKDAY($K$93-1,2))&amp;"",""),"2",""))+LEN(IFERROR(INDEX('Saisie programme'!$D$13:$J$477,449,WEEKDAY($K$93-0,2))&amp;"",""))-LEN(SUBSTITUTE(IFERROR(INDEX('Saisie programme'!$D$13:$J$477,449,WEEKDAY($K$93-0,2))&amp;"",""),"3",""))+LEN(IFERROR(INDEX('Saisie programme'!$D$13:$J$477,449,WEEKDAY($K$93-1,2))&amp;"",""))-LEN(SUBSTITUTE(IFERROR(INDEX('Saisie programme'!$D$13:$J$477,449,WEEKDAY($K$93-1,2))&amp;"",""),"3",""))+LEN(IFERROR(INDEX('Saisie programme'!$D$13:$J$477,449,WEEKDAY($K$93-2,2))&amp;"",""))-LEN(SUBSTITUTE(IFERROR(INDEX('Saisie programme'!$D$13:$J$477,449,WEEKDAY($K$93-2,2))&amp;"",""),"3",""))</f>
        <v>0</v>
      </c>
      <c r="O155" s="12" t="s">
        <v>46</v>
      </c>
      <c r="P155" s="12" t="s">
        <v>19</v>
      </c>
    </row>
    <row r="156" customFormat="false" ht="15" hidden="false" customHeight="false" outlineLevel="0" collapsed="false">
      <c r="B156" s="10" t="s">
        <v>157</v>
      </c>
      <c r="C156" s="34" t="n">
        <f aca="false">LEN(IFERROR(INDEX('Saisie programme'!$D$13:$J$477,21,WEEKDAY($K$82-0,2))&amp;"",""))-LEN(SUBSTITUTE(IFERROR(INDEX('Saisie programme'!$D$13:$J$477,21,WEEKDAY($K$82-0,2))&amp;"",""),"1",""))+LEN(IFERROR(INDEX('Saisie programme'!$D$13:$J$477,21,WEEKDAY($K$82-0,2))&amp;"",""))-LEN(SUBSTITUTE(IFERROR(INDEX('Saisie programme'!$D$13:$J$477,21,WEEKDAY($K$82-0,2))&amp;"",""),"2",""))+LEN(IFERROR(INDEX('Saisie programme'!$D$13:$J$477,21,WEEKDAY($K$82-1,2))&amp;"",""))-LEN(SUBSTITUTE(IFERROR(INDEX('Saisie programme'!$D$13:$J$477,21,WEEKDAY($K$82-1,2))&amp;"",""),"2",""))+LEN(IFERROR(INDEX('Saisie programme'!$D$13:$J$477,21,WEEKDAY($K$82-0,2))&amp;"",""))-LEN(SUBSTITUTE(IFERROR(INDEX('Saisie programme'!$D$13:$J$477,21,WEEKDAY($K$82-0,2))&amp;"",""),"3",""))+LEN(IFERROR(INDEX('Saisie programme'!$D$13:$J$477,21,WEEKDAY($K$82-1,2))&amp;"",""))-LEN(SUBSTITUTE(IFERROR(INDEX('Saisie programme'!$D$13:$J$477,21,WEEKDAY($K$82-1,2))&amp;"",""),"3",""))+LEN(IFERROR(INDEX('Saisie programme'!$D$13:$J$477,21,WEEKDAY($K$82-2,2))&amp;"",""))-LEN(SUBSTITUTE(IFERROR(INDEX('Saisie programme'!$D$13:$J$477,21,WEEKDAY($K$82-2,2))&amp;"",""),"3",""))</f>
        <v>0</v>
      </c>
      <c r="D156" s="34" t="n">
        <f aca="false">LEN(IFERROR(INDEX('Saisie programme'!$D$13:$J$477,60,WEEKDAY($K$83-0,2))&amp;"",""))-LEN(SUBSTITUTE(IFERROR(INDEX('Saisie programme'!$D$13:$J$477,60,WEEKDAY($K$83-0,2))&amp;"",""),"1",""))+LEN(IFERROR(INDEX('Saisie programme'!$D$13:$J$477,60,WEEKDAY($K$83-0,2))&amp;"",""))-LEN(SUBSTITUTE(IFERROR(INDEX('Saisie programme'!$D$13:$J$477,60,WEEKDAY($K$83-0,2))&amp;"",""),"2",""))+LEN(IFERROR(INDEX('Saisie programme'!$D$13:$J$477,60,WEEKDAY($K$83-1,2))&amp;"",""))-LEN(SUBSTITUTE(IFERROR(INDEX('Saisie programme'!$D$13:$J$477,60,WEEKDAY($K$83-1,2))&amp;"",""),"2",""))+LEN(IFERROR(INDEX('Saisie programme'!$D$13:$J$477,60,WEEKDAY($K$83-0,2))&amp;"",""))-LEN(SUBSTITUTE(IFERROR(INDEX('Saisie programme'!$D$13:$J$477,60,WEEKDAY($K$83-0,2))&amp;"",""),"3",""))+LEN(IFERROR(INDEX('Saisie programme'!$D$13:$J$477,60,WEEKDAY($K$83-1,2))&amp;"",""))-LEN(SUBSTITUTE(IFERROR(INDEX('Saisie programme'!$D$13:$J$477,60,WEEKDAY($K$83-1,2))&amp;"",""),"3",""))+LEN(IFERROR(INDEX('Saisie programme'!$D$13:$J$477,60,WEEKDAY($K$83-2,2))&amp;"",""))-LEN(SUBSTITUTE(IFERROR(INDEX('Saisie programme'!$D$13:$J$477,60,WEEKDAY($K$83-2,2))&amp;"",""),"3",""))</f>
        <v>0</v>
      </c>
      <c r="E156" s="34" t="n">
        <f aca="false">LEN(IFERROR(INDEX('Saisie programme'!$D$13:$J$477,99,WEEKDAY($K$84-0,2))&amp;"",""))-LEN(SUBSTITUTE(IFERROR(INDEX('Saisie programme'!$D$13:$J$477,99,WEEKDAY($K$84-0,2))&amp;"",""),"1",""))+LEN(IFERROR(INDEX('Saisie programme'!$D$13:$J$477,99,WEEKDAY($K$84-0,2))&amp;"",""))-LEN(SUBSTITUTE(IFERROR(INDEX('Saisie programme'!$D$13:$J$477,99,WEEKDAY($K$84-0,2))&amp;"",""),"2",""))+LEN(IFERROR(INDEX('Saisie programme'!$D$13:$J$477,99,WEEKDAY($K$84-1,2))&amp;"",""))-LEN(SUBSTITUTE(IFERROR(INDEX('Saisie programme'!$D$13:$J$477,99,WEEKDAY($K$84-1,2))&amp;"",""),"2",""))+LEN(IFERROR(INDEX('Saisie programme'!$D$13:$J$477,99,WEEKDAY($K$84-0,2))&amp;"",""))-LEN(SUBSTITUTE(IFERROR(INDEX('Saisie programme'!$D$13:$J$477,99,WEEKDAY($K$84-0,2))&amp;"",""),"3",""))+LEN(IFERROR(INDEX('Saisie programme'!$D$13:$J$477,99,WEEKDAY($K$84-1,2))&amp;"",""))-LEN(SUBSTITUTE(IFERROR(INDEX('Saisie programme'!$D$13:$J$477,99,WEEKDAY($K$84-1,2))&amp;"",""),"3",""))+LEN(IFERROR(INDEX('Saisie programme'!$D$13:$J$477,99,WEEKDAY($K$84-2,2))&amp;"",""))-LEN(SUBSTITUTE(IFERROR(INDEX('Saisie programme'!$D$13:$J$477,99,WEEKDAY($K$84-2,2))&amp;"",""),"3",""))</f>
        <v>0</v>
      </c>
      <c r="F156" s="34" t="n">
        <f aca="false">LEN(IFERROR(INDEX('Saisie programme'!$D$13:$J$477,138,WEEKDAY($K$85-0,2))&amp;"",""))-LEN(SUBSTITUTE(IFERROR(INDEX('Saisie programme'!$D$13:$J$477,138,WEEKDAY($K$85-0,2))&amp;"",""),"1",""))+LEN(IFERROR(INDEX('Saisie programme'!$D$13:$J$477,138,WEEKDAY($K$85-0,2))&amp;"",""))-LEN(SUBSTITUTE(IFERROR(INDEX('Saisie programme'!$D$13:$J$477,138,WEEKDAY($K$85-0,2))&amp;"",""),"2",""))+LEN(IFERROR(INDEX('Saisie programme'!$D$13:$J$477,138,WEEKDAY($K$85-1,2))&amp;"",""))-LEN(SUBSTITUTE(IFERROR(INDEX('Saisie programme'!$D$13:$J$477,138,WEEKDAY($K$85-1,2))&amp;"",""),"2",""))+LEN(IFERROR(INDEX('Saisie programme'!$D$13:$J$477,138,WEEKDAY($K$85-0,2))&amp;"",""))-LEN(SUBSTITUTE(IFERROR(INDEX('Saisie programme'!$D$13:$J$477,138,WEEKDAY($K$85-0,2))&amp;"",""),"3",""))+LEN(IFERROR(INDEX('Saisie programme'!$D$13:$J$477,138,WEEKDAY($K$85-1,2))&amp;"",""))-LEN(SUBSTITUTE(IFERROR(INDEX('Saisie programme'!$D$13:$J$477,138,WEEKDAY($K$85-1,2))&amp;"",""),"3",""))+LEN(IFERROR(INDEX('Saisie programme'!$D$13:$J$477,138,WEEKDAY($K$85-2,2))&amp;"",""))-LEN(SUBSTITUTE(IFERROR(INDEX('Saisie programme'!$D$13:$J$477,138,WEEKDAY($K$85-2,2))&amp;"",""),"3",""))</f>
        <v>0</v>
      </c>
      <c r="G156" s="34" t="n">
        <f aca="false">LEN(IFERROR(INDEX('Saisie programme'!$D$13:$J$477,177,WEEKDAY($K$86-0,2))&amp;"",""))-LEN(SUBSTITUTE(IFERROR(INDEX('Saisie programme'!$D$13:$J$477,177,WEEKDAY($K$86-0,2))&amp;"",""),"1",""))+LEN(IFERROR(INDEX('Saisie programme'!$D$13:$J$477,177,WEEKDAY($K$86-0,2))&amp;"",""))-LEN(SUBSTITUTE(IFERROR(INDEX('Saisie programme'!$D$13:$J$477,177,WEEKDAY($K$86-0,2))&amp;"",""),"2",""))+LEN(IFERROR(INDEX('Saisie programme'!$D$13:$J$477,177,WEEKDAY($K$86-1,2))&amp;"",""))-LEN(SUBSTITUTE(IFERROR(INDEX('Saisie programme'!$D$13:$J$477,177,WEEKDAY($K$86-1,2))&amp;"",""),"2",""))+LEN(IFERROR(INDEX('Saisie programme'!$D$13:$J$477,177,WEEKDAY($K$86-0,2))&amp;"",""))-LEN(SUBSTITUTE(IFERROR(INDEX('Saisie programme'!$D$13:$J$477,177,WEEKDAY($K$86-0,2))&amp;"",""),"3",""))+LEN(IFERROR(INDEX('Saisie programme'!$D$13:$J$477,177,WEEKDAY($K$86-1,2))&amp;"",""))-LEN(SUBSTITUTE(IFERROR(INDEX('Saisie programme'!$D$13:$J$477,177,WEEKDAY($K$86-1,2))&amp;"",""),"3",""))+LEN(IFERROR(INDEX('Saisie programme'!$D$13:$J$477,177,WEEKDAY($K$86-2,2))&amp;"",""))-LEN(SUBSTITUTE(IFERROR(INDEX('Saisie programme'!$D$13:$J$477,177,WEEKDAY($K$86-2,2))&amp;"",""),"3",""))</f>
        <v>0</v>
      </c>
      <c r="H156" s="34" t="n">
        <f aca="false">LEN(IFERROR(INDEX('Saisie programme'!$D$13:$J$477,216,WEEKDAY($K$87-0,2))&amp;"",""))-LEN(SUBSTITUTE(IFERROR(INDEX('Saisie programme'!$D$13:$J$477,216,WEEKDAY($K$87-0,2))&amp;"",""),"1",""))+LEN(IFERROR(INDEX('Saisie programme'!$D$13:$J$477,216,WEEKDAY($K$87-0,2))&amp;"",""))-LEN(SUBSTITUTE(IFERROR(INDEX('Saisie programme'!$D$13:$J$477,216,WEEKDAY($K$87-0,2))&amp;"",""),"2",""))+LEN(IFERROR(INDEX('Saisie programme'!$D$13:$J$477,216,WEEKDAY($K$87-1,2))&amp;"",""))-LEN(SUBSTITUTE(IFERROR(INDEX('Saisie programme'!$D$13:$J$477,216,WEEKDAY($K$87-1,2))&amp;"",""),"2",""))+LEN(IFERROR(INDEX('Saisie programme'!$D$13:$J$477,216,WEEKDAY($K$87-0,2))&amp;"",""))-LEN(SUBSTITUTE(IFERROR(INDEX('Saisie programme'!$D$13:$J$477,216,WEEKDAY($K$87-0,2))&amp;"",""),"3",""))+LEN(IFERROR(INDEX('Saisie programme'!$D$13:$J$477,216,WEEKDAY($K$87-1,2))&amp;"",""))-LEN(SUBSTITUTE(IFERROR(INDEX('Saisie programme'!$D$13:$J$477,216,WEEKDAY($K$87-1,2))&amp;"",""),"3",""))+LEN(IFERROR(INDEX('Saisie programme'!$D$13:$J$477,216,WEEKDAY($K$87-2,2))&amp;"",""))-LEN(SUBSTITUTE(IFERROR(INDEX('Saisie programme'!$D$13:$J$477,216,WEEKDAY($K$87-2,2))&amp;"",""),"3",""))</f>
        <v>0</v>
      </c>
      <c r="I156" s="34" t="n">
        <f aca="false">LEN(IFERROR(INDEX('Saisie programme'!$D$13:$J$477,255,WEEKDAY($K$88-0,2))&amp;"",""))-LEN(SUBSTITUTE(IFERROR(INDEX('Saisie programme'!$D$13:$J$477,255,WEEKDAY($K$88-0,2))&amp;"",""),"1",""))+LEN(IFERROR(INDEX('Saisie programme'!$D$13:$J$477,255,WEEKDAY($K$88-0,2))&amp;"",""))-LEN(SUBSTITUTE(IFERROR(INDEX('Saisie programme'!$D$13:$J$477,255,WEEKDAY($K$88-0,2))&amp;"",""),"2",""))+LEN(IFERROR(INDEX('Saisie programme'!$D$13:$J$477,255,WEEKDAY($K$88-1,2))&amp;"",""))-LEN(SUBSTITUTE(IFERROR(INDEX('Saisie programme'!$D$13:$J$477,255,WEEKDAY($K$88-1,2))&amp;"",""),"2",""))+LEN(IFERROR(INDEX('Saisie programme'!$D$13:$J$477,255,WEEKDAY($K$88-0,2))&amp;"",""))-LEN(SUBSTITUTE(IFERROR(INDEX('Saisie programme'!$D$13:$J$477,255,WEEKDAY($K$88-0,2))&amp;"",""),"3",""))+LEN(IFERROR(INDEX('Saisie programme'!$D$13:$J$477,255,WEEKDAY($K$88-1,2))&amp;"",""))-LEN(SUBSTITUTE(IFERROR(INDEX('Saisie programme'!$D$13:$J$477,255,WEEKDAY($K$88-1,2))&amp;"",""),"3",""))+LEN(IFERROR(INDEX('Saisie programme'!$D$13:$J$477,255,WEEKDAY($K$88-2,2))&amp;"",""))-LEN(SUBSTITUTE(IFERROR(INDEX('Saisie programme'!$D$13:$J$477,255,WEEKDAY($K$88-2,2))&amp;"",""),"3",""))</f>
        <v>0</v>
      </c>
      <c r="J156" s="34" t="n">
        <f aca="false">LEN(IFERROR(INDEX('Saisie programme'!$D$13:$J$477,294,WEEKDAY($K$89-0,2))&amp;"",""))-LEN(SUBSTITUTE(IFERROR(INDEX('Saisie programme'!$D$13:$J$477,294,WEEKDAY($K$89-0,2))&amp;"",""),"1",""))+LEN(IFERROR(INDEX('Saisie programme'!$D$13:$J$477,294,WEEKDAY($K$89-0,2))&amp;"",""))-LEN(SUBSTITUTE(IFERROR(INDEX('Saisie programme'!$D$13:$J$477,294,WEEKDAY($K$89-0,2))&amp;"",""),"2",""))+LEN(IFERROR(INDEX('Saisie programme'!$D$13:$J$477,294,WEEKDAY($K$89-1,2))&amp;"",""))-LEN(SUBSTITUTE(IFERROR(INDEX('Saisie programme'!$D$13:$J$477,294,WEEKDAY($K$89-1,2))&amp;"",""),"2",""))+LEN(IFERROR(INDEX('Saisie programme'!$D$13:$J$477,294,WEEKDAY($K$89-0,2))&amp;"",""))-LEN(SUBSTITUTE(IFERROR(INDEX('Saisie programme'!$D$13:$J$477,294,WEEKDAY($K$89-0,2))&amp;"",""),"3",""))+LEN(IFERROR(INDEX('Saisie programme'!$D$13:$J$477,294,WEEKDAY($K$89-1,2))&amp;"",""))-LEN(SUBSTITUTE(IFERROR(INDEX('Saisie programme'!$D$13:$J$477,294,WEEKDAY($K$89-1,2))&amp;"",""),"3",""))+LEN(IFERROR(INDEX('Saisie programme'!$D$13:$J$477,294,WEEKDAY($K$89-2,2))&amp;"",""))-LEN(SUBSTITUTE(IFERROR(INDEX('Saisie programme'!$D$13:$J$477,294,WEEKDAY($K$89-2,2))&amp;"",""),"3",""))</f>
        <v>0</v>
      </c>
      <c r="K156" s="34" t="n">
        <f aca="false">LEN(IFERROR(INDEX('Saisie programme'!$D$13:$J$477,333,WEEKDAY($K$90-0,2))&amp;"",""))-LEN(SUBSTITUTE(IFERROR(INDEX('Saisie programme'!$D$13:$J$477,333,WEEKDAY($K$90-0,2))&amp;"",""),"1",""))+LEN(IFERROR(INDEX('Saisie programme'!$D$13:$J$477,333,WEEKDAY($K$90-0,2))&amp;"",""))-LEN(SUBSTITUTE(IFERROR(INDEX('Saisie programme'!$D$13:$J$477,333,WEEKDAY($K$90-0,2))&amp;"",""),"2",""))+LEN(IFERROR(INDEX('Saisie programme'!$D$13:$J$477,333,WEEKDAY($K$90-1,2))&amp;"",""))-LEN(SUBSTITUTE(IFERROR(INDEX('Saisie programme'!$D$13:$J$477,333,WEEKDAY($K$90-1,2))&amp;"",""),"2",""))+LEN(IFERROR(INDEX('Saisie programme'!$D$13:$J$477,333,WEEKDAY($K$90-0,2))&amp;"",""))-LEN(SUBSTITUTE(IFERROR(INDEX('Saisie programme'!$D$13:$J$477,333,WEEKDAY($K$90-0,2))&amp;"",""),"3",""))+LEN(IFERROR(INDEX('Saisie programme'!$D$13:$J$477,333,WEEKDAY($K$90-1,2))&amp;"",""))-LEN(SUBSTITUTE(IFERROR(INDEX('Saisie programme'!$D$13:$J$477,333,WEEKDAY($K$90-1,2))&amp;"",""),"3",""))+LEN(IFERROR(INDEX('Saisie programme'!$D$13:$J$477,333,WEEKDAY($K$90-2,2))&amp;"",""))-LEN(SUBSTITUTE(IFERROR(INDEX('Saisie programme'!$D$13:$J$477,333,WEEKDAY($K$90-2,2))&amp;"",""),"3",""))</f>
        <v>0</v>
      </c>
      <c r="L156" s="34" t="n">
        <f aca="false">LEN(IFERROR(INDEX('Saisie programme'!$D$13:$J$477,372,WEEKDAY($K$91-0,2))&amp;"",""))-LEN(SUBSTITUTE(IFERROR(INDEX('Saisie programme'!$D$13:$J$477,372,WEEKDAY($K$91-0,2))&amp;"",""),"1",""))+LEN(IFERROR(INDEX('Saisie programme'!$D$13:$J$477,372,WEEKDAY($K$91-0,2))&amp;"",""))-LEN(SUBSTITUTE(IFERROR(INDEX('Saisie programme'!$D$13:$J$477,372,WEEKDAY($K$91-0,2))&amp;"",""),"2",""))+LEN(IFERROR(INDEX('Saisie programme'!$D$13:$J$477,372,WEEKDAY($K$91-1,2))&amp;"",""))-LEN(SUBSTITUTE(IFERROR(INDEX('Saisie programme'!$D$13:$J$477,372,WEEKDAY($K$91-1,2))&amp;"",""),"2",""))+LEN(IFERROR(INDEX('Saisie programme'!$D$13:$J$477,372,WEEKDAY($K$91-0,2))&amp;"",""))-LEN(SUBSTITUTE(IFERROR(INDEX('Saisie programme'!$D$13:$J$477,372,WEEKDAY($K$91-0,2))&amp;"",""),"3",""))+LEN(IFERROR(INDEX('Saisie programme'!$D$13:$J$477,372,WEEKDAY($K$91-1,2))&amp;"",""))-LEN(SUBSTITUTE(IFERROR(INDEX('Saisie programme'!$D$13:$J$477,372,WEEKDAY($K$91-1,2))&amp;"",""),"3",""))+LEN(IFERROR(INDEX('Saisie programme'!$D$13:$J$477,372,WEEKDAY($K$91-2,2))&amp;"",""))-LEN(SUBSTITUTE(IFERROR(INDEX('Saisie programme'!$D$13:$J$477,372,WEEKDAY($K$91-2,2))&amp;"",""),"3",""))</f>
        <v>0</v>
      </c>
      <c r="M156" s="34" t="n">
        <f aca="false">LEN(IFERROR(INDEX('Saisie programme'!$D$13:$J$477,411,WEEKDAY($K$92-0,2))&amp;"",""))-LEN(SUBSTITUTE(IFERROR(INDEX('Saisie programme'!$D$13:$J$477,411,WEEKDAY($K$92-0,2))&amp;"",""),"1",""))+LEN(IFERROR(INDEX('Saisie programme'!$D$13:$J$477,411,WEEKDAY($K$92-0,2))&amp;"",""))-LEN(SUBSTITUTE(IFERROR(INDEX('Saisie programme'!$D$13:$J$477,411,WEEKDAY($K$92-0,2))&amp;"",""),"2",""))+LEN(IFERROR(INDEX('Saisie programme'!$D$13:$J$477,411,WEEKDAY($K$92-1,2))&amp;"",""))-LEN(SUBSTITUTE(IFERROR(INDEX('Saisie programme'!$D$13:$J$477,411,WEEKDAY($K$92-1,2))&amp;"",""),"2",""))+LEN(IFERROR(INDEX('Saisie programme'!$D$13:$J$477,411,WEEKDAY($K$92-0,2))&amp;"",""))-LEN(SUBSTITUTE(IFERROR(INDEX('Saisie programme'!$D$13:$J$477,411,WEEKDAY($K$92-0,2))&amp;"",""),"3",""))+LEN(IFERROR(INDEX('Saisie programme'!$D$13:$J$477,411,WEEKDAY($K$92-1,2))&amp;"",""))-LEN(SUBSTITUTE(IFERROR(INDEX('Saisie programme'!$D$13:$J$477,411,WEEKDAY($K$92-1,2))&amp;"",""),"3",""))+LEN(IFERROR(INDEX('Saisie programme'!$D$13:$J$477,411,WEEKDAY($K$92-2,2))&amp;"",""))-LEN(SUBSTITUTE(IFERROR(INDEX('Saisie programme'!$D$13:$J$477,411,WEEKDAY($K$92-2,2))&amp;"",""),"3",""))</f>
        <v>0</v>
      </c>
      <c r="N156" s="34" t="n">
        <f aca="false">LEN(IFERROR(INDEX('Saisie programme'!$D$13:$J$477,450,WEEKDAY($K$93-0,2))&amp;"",""))-LEN(SUBSTITUTE(IFERROR(INDEX('Saisie programme'!$D$13:$J$477,450,WEEKDAY($K$93-0,2))&amp;"",""),"1",""))+LEN(IFERROR(INDEX('Saisie programme'!$D$13:$J$477,450,WEEKDAY($K$93-0,2))&amp;"",""))-LEN(SUBSTITUTE(IFERROR(INDEX('Saisie programme'!$D$13:$J$477,450,WEEKDAY($K$93-0,2))&amp;"",""),"2",""))+LEN(IFERROR(INDEX('Saisie programme'!$D$13:$J$477,450,WEEKDAY($K$93-1,2))&amp;"",""))-LEN(SUBSTITUTE(IFERROR(INDEX('Saisie programme'!$D$13:$J$477,450,WEEKDAY($K$93-1,2))&amp;"",""),"2",""))+LEN(IFERROR(INDEX('Saisie programme'!$D$13:$J$477,450,WEEKDAY($K$93-0,2))&amp;"",""))-LEN(SUBSTITUTE(IFERROR(INDEX('Saisie programme'!$D$13:$J$477,450,WEEKDAY($K$93-0,2))&amp;"",""),"3",""))+LEN(IFERROR(INDEX('Saisie programme'!$D$13:$J$477,450,WEEKDAY($K$93-1,2))&amp;"",""))-LEN(SUBSTITUTE(IFERROR(INDEX('Saisie programme'!$D$13:$J$477,450,WEEKDAY($K$93-1,2))&amp;"",""),"3",""))+LEN(IFERROR(INDEX('Saisie programme'!$D$13:$J$477,450,WEEKDAY($K$93-2,2))&amp;"",""))-LEN(SUBSTITUTE(IFERROR(INDEX('Saisie programme'!$D$13:$J$477,450,WEEKDAY($K$93-2,2))&amp;"",""),"3",""))</f>
        <v>0</v>
      </c>
      <c r="O156" s="12" t="s">
        <v>46</v>
      </c>
      <c r="P156" s="12" t="s">
        <v>24</v>
      </c>
    </row>
    <row r="157" customFormat="false" ht="15" hidden="false" customHeight="false" outlineLevel="0" collapsed="false">
      <c r="B157" s="10" t="s">
        <v>158</v>
      </c>
      <c r="C157" s="34" t="n">
        <f aca="false">LEN(IFERROR(INDEX('Saisie programme'!$D$13:$J$477,22,WEEKDAY($K$82-0,2))&amp;"",""))-LEN(SUBSTITUTE(IFERROR(INDEX('Saisie programme'!$D$13:$J$477,22,WEEKDAY($K$82-0,2))&amp;"",""),"1",""))+LEN(IFERROR(INDEX('Saisie programme'!$D$13:$J$477,22,WEEKDAY($K$82-0,2))&amp;"",""))-LEN(SUBSTITUTE(IFERROR(INDEX('Saisie programme'!$D$13:$J$477,22,WEEKDAY($K$82-0,2))&amp;"",""),"2",""))+LEN(IFERROR(INDEX('Saisie programme'!$D$13:$J$477,22,WEEKDAY($K$82-1,2))&amp;"",""))-LEN(SUBSTITUTE(IFERROR(INDEX('Saisie programme'!$D$13:$J$477,22,WEEKDAY($K$82-1,2))&amp;"",""),"2",""))+LEN(IFERROR(INDEX('Saisie programme'!$D$13:$J$477,22,WEEKDAY($K$82-0,2))&amp;"",""))-LEN(SUBSTITUTE(IFERROR(INDEX('Saisie programme'!$D$13:$J$477,22,WEEKDAY($K$82-0,2))&amp;"",""),"3",""))+LEN(IFERROR(INDEX('Saisie programme'!$D$13:$J$477,22,WEEKDAY($K$82-1,2))&amp;"",""))-LEN(SUBSTITUTE(IFERROR(INDEX('Saisie programme'!$D$13:$J$477,22,WEEKDAY($K$82-1,2))&amp;"",""),"3",""))+LEN(IFERROR(INDEX('Saisie programme'!$D$13:$J$477,22,WEEKDAY($K$82-2,2))&amp;"",""))-LEN(SUBSTITUTE(IFERROR(INDEX('Saisie programme'!$D$13:$J$477,22,WEEKDAY($K$82-2,2))&amp;"",""),"3",""))</f>
        <v>0</v>
      </c>
      <c r="D157" s="34" t="n">
        <f aca="false">LEN(IFERROR(INDEX('Saisie programme'!$D$13:$J$477,61,WEEKDAY($K$83-0,2))&amp;"",""))-LEN(SUBSTITUTE(IFERROR(INDEX('Saisie programme'!$D$13:$J$477,61,WEEKDAY($K$83-0,2))&amp;"",""),"1",""))+LEN(IFERROR(INDEX('Saisie programme'!$D$13:$J$477,61,WEEKDAY($K$83-0,2))&amp;"",""))-LEN(SUBSTITUTE(IFERROR(INDEX('Saisie programme'!$D$13:$J$477,61,WEEKDAY($K$83-0,2))&amp;"",""),"2",""))+LEN(IFERROR(INDEX('Saisie programme'!$D$13:$J$477,61,WEEKDAY($K$83-1,2))&amp;"",""))-LEN(SUBSTITUTE(IFERROR(INDEX('Saisie programme'!$D$13:$J$477,61,WEEKDAY($K$83-1,2))&amp;"",""),"2",""))+LEN(IFERROR(INDEX('Saisie programme'!$D$13:$J$477,61,WEEKDAY($K$83-0,2))&amp;"",""))-LEN(SUBSTITUTE(IFERROR(INDEX('Saisie programme'!$D$13:$J$477,61,WEEKDAY($K$83-0,2))&amp;"",""),"3",""))+LEN(IFERROR(INDEX('Saisie programme'!$D$13:$J$477,61,WEEKDAY($K$83-1,2))&amp;"",""))-LEN(SUBSTITUTE(IFERROR(INDEX('Saisie programme'!$D$13:$J$477,61,WEEKDAY($K$83-1,2))&amp;"",""),"3",""))+LEN(IFERROR(INDEX('Saisie programme'!$D$13:$J$477,61,WEEKDAY($K$83-2,2))&amp;"",""))-LEN(SUBSTITUTE(IFERROR(INDEX('Saisie programme'!$D$13:$J$477,61,WEEKDAY($K$83-2,2))&amp;"",""),"3",""))</f>
        <v>0</v>
      </c>
      <c r="E157" s="34" t="n">
        <f aca="false">LEN(IFERROR(INDEX('Saisie programme'!$D$13:$J$477,100,WEEKDAY($K$84-0,2))&amp;"",""))-LEN(SUBSTITUTE(IFERROR(INDEX('Saisie programme'!$D$13:$J$477,100,WEEKDAY($K$84-0,2))&amp;"",""),"1",""))+LEN(IFERROR(INDEX('Saisie programme'!$D$13:$J$477,100,WEEKDAY($K$84-0,2))&amp;"",""))-LEN(SUBSTITUTE(IFERROR(INDEX('Saisie programme'!$D$13:$J$477,100,WEEKDAY($K$84-0,2))&amp;"",""),"2",""))+LEN(IFERROR(INDEX('Saisie programme'!$D$13:$J$477,100,WEEKDAY($K$84-1,2))&amp;"",""))-LEN(SUBSTITUTE(IFERROR(INDEX('Saisie programme'!$D$13:$J$477,100,WEEKDAY($K$84-1,2))&amp;"",""),"2",""))+LEN(IFERROR(INDEX('Saisie programme'!$D$13:$J$477,100,WEEKDAY($K$84-0,2))&amp;"",""))-LEN(SUBSTITUTE(IFERROR(INDEX('Saisie programme'!$D$13:$J$477,100,WEEKDAY($K$84-0,2))&amp;"",""),"3",""))+LEN(IFERROR(INDEX('Saisie programme'!$D$13:$J$477,100,WEEKDAY($K$84-1,2))&amp;"",""))-LEN(SUBSTITUTE(IFERROR(INDEX('Saisie programme'!$D$13:$J$477,100,WEEKDAY($K$84-1,2))&amp;"",""),"3",""))+LEN(IFERROR(INDEX('Saisie programme'!$D$13:$J$477,100,WEEKDAY($K$84-2,2))&amp;"",""))-LEN(SUBSTITUTE(IFERROR(INDEX('Saisie programme'!$D$13:$J$477,100,WEEKDAY($K$84-2,2))&amp;"",""),"3",""))</f>
        <v>0</v>
      </c>
      <c r="F157" s="34" t="n">
        <f aca="false">LEN(IFERROR(INDEX('Saisie programme'!$D$13:$J$477,139,WEEKDAY($K$85-0,2))&amp;"",""))-LEN(SUBSTITUTE(IFERROR(INDEX('Saisie programme'!$D$13:$J$477,139,WEEKDAY($K$85-0,2))&amp;"",""),"1",""))+LEN(IFERROR(INDEX('Saisie programme'!$D$13:$J$477,139,WEEKDAY($K$85-0,2))&amp;"",""))-LEN(SUBSTITUTE(IFERROR(INDEX('Saisie programme'!$D$13:$J$477,139,WEEKDAY($K$85-0,2))&amp;"",""),"2",""))+LEN(IFERROR(INDEX('Saisie programme'!$D$13:$J$477,139,WEEKDAY($K$85-1,2))&amp;"",""))-LEN(SUBSTITUTE(IFERROR(INDEX('Saisie programme'!$D$13:$J$477,139,WEEKDAY($K$85-1,2))&amp;"",""),"2",""))+LEN(IFERROR(INDEX('Saisie programme'!$D$13:$J$477,139,WEEKDAY($K$85-0,2))&amp;"",""))-LEN(SUBSTITUTE(IFERROR(INDEX('Saisie programme'!$D$13:$J$477,139,WEEKDAY($K$85-0,2))&amp;"",""),"3",""))+LEN(IFERROR(INDEX('Saisie programme'!$D$13:$J$477,139,WEEKDAY($K$85-1,2))&amp;"",""))-LEN(SUBSTITUTE(IFERROR(INDEX('Saisie programme'!$D$13:$J$477,139,WEEKDAY($K$85-1,2))&amp;"",""),"3",""))+LEN(IFERROR(INDEX('Saisie programme'!$D$13:$J$477,139,WEEKDAY($K$85-2,2))&amp;"",""))-LEN(SUBSTITUTE(IFERROR(INDEX('Saisie programme'!$D$13:$J$477,139,WEEKDAY($K$85-2,2))&amp;"",""),"3",""))</f>
        <v>0</v>
      </c>
      <c r="G157" s="34" t="n">
        <f aca="false">LEN(IFERROR(INDEX('Saisie programme'!$D$13:$J$477,178,WEEKDAY($K$86-0,2))&amp;"",""))-LEN(SUBSTITUTE(IFERROR(INDEX('Saisie programme'!$D$13:$J$477,178,WEEKDAY($K$86-0,2))&amp;"",""),"1",""))+LEN(IFERROR(INDEX('Saisie programme'!$D$13:$J$477,178,WEEKDAY($K$86-0,2))&amp;"",""))-LEN(SUBSTITUTE(IFERROR(INDEX('Saisie programme'!$D$13:$J$477,178,WEEKDAY($K$86-0,2))&amp;"",""),"2",""))+LEN(IFERROR(INDEX('Saisie programme'!$D$13:$J$477,178,WEEKDAY($K$86-1,2))&amp;"",""))-LEN(SUBSTITUTE(IFERROR(INDEX('Saisie programme'!$D$13:$J$477,178,WEEKDAY($K$86-1,2))&amp;"",""),"2",""))+LEN(IFERROR(INDEX('Saisie programme'!$D$13:$J$477,178,WEEKDAY($K$86-0,2))&amp;"",""))-LEN(SUBSTITUTE(IFERROR(INDEX('Saisie programme'!$D$13:$J$477,178,WEEKDAY($K$86-0,2))&amp;"",""),"3",""))+LEN(IFERROR(INDEX('Saisie programme'!$D$13:$J$477,178,WEEKDAY($K$86-1,2))&amp;"",""))-LEN(SUBSTITUTE(IFERROR(INDEX('Saisie programme'!$D$13:$J$477,178,WEEKDAY($K$86-1,2))&amp;"",""),"3",""))+LEN(IFERROR(INDEX('Saisie programme'!$D$13:$J$477,178,WEEKDAY($K$86-2,2))&amp;"",""))-LEN(SUBSTITUTE(IFERROR(INDEX('Saisie programme'!$D$13:$J$477,178,WEEKDAY($K$86-2,2))&amp;"",""),"3",""))</f>
        <v>0</v>
      </c>
      <c r="H157" s="34" t="n">
        <f aca="false">LEN(IFERROR(INDEX('Saisie programme'!$D$13:$J$477,217,WEEKDAY($K$87-0,2))&amp;"",""))-LEN(SUBSTITUTE(IFERROR(INDEX('Saisie programme'!$D$13:$J$477,217,WEEKDAY($K$87-0,2))&amp;"",""),"1",""))+LEN(IFERROR(INDEX('Saisie programme'!$D$13:$J$477,217,WEEKDAY($K$87-0,2))&amp;"",""))-LEN(SUBSTITUTE(IFERROR(INDEX('Saisie programme'!$D$13:$J$477,217,WEEKDAY($K$87-0,2))&amp;"",""),"2",""))+LEN(IFERROR(INDEX('Saisie programme'!$D$13:$J$477,217,WEEKDAY($K$87-1,2))&amp;"",""))-LEN(SUBSTITUTE(IFERROR(INDEX('Saisie programme'!$D$13:$J$477,217,WEEKDAY($K$87-1,2))&amp;"",""),"2",""))+LEN(IFERROR(INDEX('Saisie programme'!$D$13:$J$477,217,WEEKDAY($K$87-0,2))&amp;"",""))-LEN(SUBSTITUTE(IFERROR(INDEX('Saisie programme'!$D$13:$J$477,217,WEEKDAY($K$87-0,2))&amp;"",""),"3",""))+LEN(IFERROR(INDEX('Saisie programme'!$D$13:$J$477,217,WEEKDAY($K$87-1,2))&amp;"",""))-LEN(SUBSTITUTE(IFERROR(INDEX('Saisie programme'!$D$13:$J$477,217,WEEKDAY($K$87-1,2))&amp;"",""),"3",""))+LEN(IFERROR(INDEX('Saisie programme'!$D$13:$J$477,217,WEEKDAY($K$87-2,2))&amp;"",""))-LEN(SUBSTITUTE(IFERROR(INDEX('Saisie programme'!$D$13:$J$477,217,WEEKDAY($K$87-2,2))&amp;"",""),"3",""))</f>
        <v>0</v>
      </c>
      <c r="I157" s="34" t="n">
        <f aca="false">LEN(IFERROR(INDEX('Saisie programme'!$D$13:$J$477,256,WEEKDAY($K$88-0,2))&amp;"",""))-LEN(SUBSTITUTE(IFERROR(INDEX('Saisie programme'!$D$13:$J$477,256,WEEKDAY($K$88-0,2))&amp;"",""),"1",""))+LEN(IFERROR(INDEX('Saisie programme'!$D$13:$J$477,256,WEEKDAY($K$88-0,2))&amp;"",""))-LEN(SUBSTITUTE(IFERROR(INDEX('Saisie programme'!$D$13:$J$477,256,WEEKDAY($K$88-0,2))&amp;"",""),"2",""))+LEN(IFERROR(INDEX('Saisie programme'!$D$13:$J$477,256,WEEKDAY($K$88-1,2))&amp;"",""))-LEN(SUBSTITUTE(IFERROR(INDEX('Saisie programme'!$D$13:$J$477,256,WEEKDAY($K$88-1,2))&amp;"",""),"2",""))+LEN(IFERROR(INDEX('Saisie programme'!$D$13:$J$477,256,WEEKDAY($K$88-0,2))&amp;"",""))-LEN(SUBSTITUTE(IFERROR(INDEX('Saisie programme'!$D$13:$J$477,256,WEEKDAY($K$88-0,2))&amp;"",""),"3",""))+LEN(IFERROR(INDEX('Saisie programme'!$D$13:$J$477,256,WEEKDAY($K$88-1,2))&amp;"",""))-LEN(SUBSTITUTE(IFERROR(INDEX('Saisie programme'!$D$13:$J$477,256,WEEKDAY($K$88-1,2))&amp;"",""),"3",""))+LEN(IFERROR(INDEX('Saisie programme'!$D$13:$J$477,256,WEEKDAY($K$88-2,2))&amp;"",""))-LEN(SUBSTITUTE(IFERROR(INDEX('Saisie programme'!$D$13:$J$477,256,WEEKDAY($K$88-2,2))&amp;"",""),"3",""))</f>
        <v>0</v>
      </c>
      <c r="J157" s="34" t="n">
        <f aca="false">LEN(IFERROR(INDEX('Saisie programme'!$D$13:$J$477,295,WEEKDAY($K$89-0,2))&amp;"",""))-LEN(SUBSTITUTE(IFERROR(INDEX('Saisie programme'!$D$13:$J$477,295,WEEKDAY($K$89-0,2))&amp;"",""),"1",""))+LEN(IFERROR(INDEX('Saisie programme'!$D$13:$J$477,295,WEEKDAY($K$89-0,2))&amp;"",""))-LEN(SUBSTITUTE(IFERROR(INDEX('Saisie programme'!$D$13:$J$477,295,WEEKDAY($K$89-0,2))&amp;"",""),"2",""))+LEN(IFERROR(INDEX('Saisie programme'!$D$13:$J$477,295,WEEKDAY($K$89-1,2))&amp;"",""))-LEN(SUBSTITUTE(IFERROR(INDEX('Saisie programme'!$D$13:$J$477,295,WEEKDAY($K$89-1,2))&amp;"",""),"2",""))+LEN(IFERROR(INDEX('Saisie programme'!$D$13:$J$477,295,WEEKDAY($K$89-0,2))&amp;"",""))-LEN(SUBSTITUTE(IFERROR(INDEX('Saisie programme'!$D$13:$J$477,295,WEEKDAY($K$89-0,2))&amp;"",""),"3",""))+LEN(IFERROR(INDEX('Saisie programme'!$D$13:$J$477,295,WEEKDAY($K$89-1,2))&amp;"",""))-LEN(SUBSTITUTE(IFERROR(INDEX('Saisie programme'!$D$13:$J$477,295,WEEKDAY($K$89-1,2))&amp;"",""),"3",""))+LEN(IFERROR(INDEX('Saisie programme'!$D$13:$J$477,295,WEEKDAY($K$89-2,2))&amp;"",""))-LEN(SUBSTITUTE(IFERROR(INDEX('Saisie programme'!$D$13:$J$477,295,WEEKDAY($K$89-2,2))&amp;"",""),"3",""))</f>
        <v>0</v>
      </c>
      <c r="K157" s="34" t="n">
        <f aca="false">LEN(IFERROR(INDEX('Saisie programme'!$D$13:$J$477,334,WEEKDAY($K$90-0,2))&amp;"",""))-LEN(SUBSTITUTE(IFERROR(INDEX('Saisie programme'!$D$13:$J$477,334,WEEKDAY($K$90-0,2))&amp;"",""),"1",""))+LEN(IFERROR(INDEX('Saisie programme'!$D$13:$J$477,334,WEEKDAY($K$90-0,2))&amp;"",""))-LEN(SUBSTITUTE(IFERROR(INDEX('Saisie programme'!$D$13:$J$477,334,WEEKDAY($K$90-0,2))&amp;"",""),"2",""))+LEN(IFERROR(INDEX('Saisie programme'!$D$13:$J$477,334,WEEKDAY($K$90-1,2))&amp;"",""))-LEN(SUBSTITUTE(IFERROR(INDEX('Saisie programme'!$D$13:$J$477,334,WEEKDAY($K$90-1,2))&amp;"",""),"2",""))+LEN(IFERROR(INDEX('Saisie programme'!$D$13:$J$477,334,WEEKDAY($K$90-0,2))&amp;"",""))-LEN(SUBSTITUTE(IFERROR(INDEX('Saisie programme'!$D$13:$J$477,334,WEEKDAY($K$90-0,2))&amp;"",""),"3",""))+LEN(IFERROR(INDEX('Saisie programme'!$D$13:$J$477,334,WEEKDAY($K$90-1,2))&amp;"",""))-LEN(SUBSTITUTE(IFERROR(INDEX('Saisie programme'!$D$13:$J$477,334,WEEKDAY($K$90-1,2))&amp;"",""),"3",""))+LEN(IFERROR(INDEX('Saisie programme'!$D$13:$J$477,334,WEEKDAY($K$90-2,2))&amp;"",""))-LEN(SUBSTITUTE(IFERROR(INDEX('Saisie programme'!$D$13:$J$477,334,WEEKDAY($K$90-2,2))&amp;"",""),"3",""))</f>
        <v>0</v>
      </c>
      <c r="L157" s="34" t="n">
        <f aca="false">LEN(IFERROR(INDEX('Saisie programme'!$D$13:$J$477,373,WEEKDAY($K$91-0,2))&amp;"",""))-LEN(SUBSTITUTE(IFERROR(INDEX('Saisie programme'!$D$13:$J$477,373,WEEKDAY($K$91-0,2))&amp;"",""),"1",""))+LEN(IFERROR(INDEX('Saisie programme'!$D$13:$J$477,373,WEEKDAY($K$91-0,2))&amp;"",""))-LEN(SUBSTITUTE(IFERROR(INDEX('Saisie programme'!$D$13:$J$477,373,WEEKDAY($K$91-0,2))&amp;"",""),"2",""))+LEN(IFERROR(INDEX('Saisie programme'!$D$13:$J$477,373,WEEKDAY($K$91-1,2))&amp;"",""))-LEN(SUBSTITUTE(IFERROR(INDEX('Saisie programme'!$D$13:$J$477,373,WEEKDAY($K$91-1,2))&amp;"",""),"2",""))+LEN(IFERROR(INDEX('Saisie programme'!$D$13:$J$477,373,WEEKDAY($K$91-0,2))&amp;"",""))-LEN(SUBSTITUTE(IFERROR(INDEX('Saisie programme'!$D$13:$J$477,373,WEEKDAY($K$91-0,2))&amp;"",""),"3",""))+LEN(IFERROR(INDEX('Saisie programme'!$D$13:$J$477,373,WEEKDAY($K$91-1,2))&amp;"",""))-LEN(SUBSTITUTE(IFERROR(INDEX('Saisie programme'!$D$13:$J$477,373,WEEKDAY($K$91-1,2))&amp;"",""),"3",""))+LEN(IFERROR(INDEX('Saisie programme'!$D$13:$J$477,373,WEEKDAY($K$91-2,2))&amp;"",""))-LEN(SUBSTITUTE(IFERROR(INDEX('Saisie programme'!$D$13:$J$477,373,WEEKDAY($K$91-2,2))&amp;"",""),"3",""))</f>
        <v>0</v>
      </c>
      <c r="M157" s="34" t="n">
        <f aca="false">LEN(IFERROR(INDEX('Saisie programme'!$D$13:$J$477,412,WEEKDAY($K$92-0,2))&amp;"",""))-LEN(SUBSTITUTE(IFERROR(INDEX('Saisie programme'!$D$13:$J$477,412,WEEKDAY($K$92-0,2))&amp;"",""),"1",""))+LEN(IFERROR(INDEX('Saisie programme'!$D$13:$J$477,412,WEEKDAY($K$92-0,2))&amp;"",""))-LEN(SUBSTITUTE(IFERROR(INDEX('Saisie programme'!$D$13:$J$477,412,WEEKDAY($K$92-0,2))&amp;"",""),"2",""))+LEN(IFERROR(INDEX('Saisie programme'!$D$13:$J$477,412,WEEKDAY($K$92-1,2))&amp;"",""))-LEN(SUBSTITUTE(IFERROR(INDEX('Saisie programme'!$D$13:$J$477,412,WEEKDAY($K$92-1,2))&amp;"",""),"2",""))+LEN(IFERROR(INDEX('Saisie programme'!$D$13:$J$477,412,WEEKDAY($K$92-0,2))&amp;"",""))-LEN(SUBSTITUTE(IFERROR(INDEX('Saisie programme'!$D$13:$J$477,412,WEEKDAY($K$92-0,2))&amp;"",""),"3",""))+LEN(IFERROR(INDEX('Saisie programme'!$D$13:$J$477,412,WEEKDAY($K$92-1,2))&amp;"",""))-LEN(SUBSTITUTE(IFERROR(INDEX('Saisie programme'!$D$13:$J$477,412,WEEKDAY($K$92-1,2))&amp;"",""),"3",""))+LEN(IFERROR(INDEX('Saisie programme'!$D$13:$J$477,412,WEEKDAY($K$92-2,2))&amp;"",""))-LEN(SUBSTITUTE(IFERROR(INDEX('Saisie programme'!$D$13:$J$477,412,WEEKDAY($K$92-2,2))&amp;"",""),"3",""))</f>
        <v>0</v>
      </c>
      <c r="N157" s="34" t="n">
        <f aca="false">LEN(IFERROR(INDEX('Saisie programme'!$D$13:$J$477,451,WEEKDAY($K$93-0,2))&amp;"",""))-LEN(SUBSTITUTE(IFERROR(INDEX('Saisie programme'!$D$13:$J$477,451,WEEKDAY($K$93-0,2))&amp;"",""),"1",""))+LEN(IFERROR(INDEX('Saisie programme'!$D$13:$J$477,451,WEEKDAY($K$93-0,2))&amp;"",""))-LEN(SUBSTITUTE(IFERROR(INDEX('Saisie programme'!$D$13:$J$477,451,WEEKDAY($K$93-0,2))&amp;"",""),"2",""))+LEN(IFERROR(INDEX('Saisie programme'!$D$13:$J$477,451,WEEKDAY($K$93-1,2))&amp;"",""))-LEN(SUBSTITUTE(IFERROR(INDEX('Saisie programme'!$D$13:$J$477,451,WEEKDAY($K$93-1,2))&amp;"",""),"2",""))+LEN(IFERROR(INDEX('Saisie programme'!$D$13:$J$477,451,WEEKDAY($K$93-0,2))&amp;"",""))-LEN(SUBSTITUTE(IFERROR(INDEX('Saisie programme'!$D$13:$J$477,451,WEEKDAY($K$93-0,2))&amp;"",""),"3",""))+LEN(IFERROR(INDEX('Saisie programme'!$D$13:$J$477,451,WEEKDAY($K$93-1,2))&amp;"",""))-LEN(SUBSTITUTE(IFERROR(INDEX('Saisie programme'!$D$13:$J$477,451,WEEKDAY($K$93-1,2))&amp;"",""),"3",""))+LEN(IFERROR(INDEX('Saisie programme'!$D$13:$J$477,451,WEEKDAY($K$93-2,2))&amp;"",""))-LEN(SUBSTITUTE(IFERROR(INDEX('Saisie programme'!$D$13:$J$477,451,WEEKDAY($K$93-2,2))&amp;"",""),"3",""))</f>
        <v>0</v>
      </c>
      <c r="O157" s="12" t="s">
        <v>49</v>
      </c>
      <c r="P157" s="12" t="s">
        <v>11</v>
      </c>
    </row>
    <row r="158" customFormat="false" ht="15" hidden="false" customHeight="false" outlineLevel="0" collapsed="false">
      <c r="B158" s="10" t="s">
        <v>159</v>
      </c>
      <c r="C158" s="34" t="n">
        <f aca="false">LEN(IFERROR(INDEX('Saisie programme'!$D$13:$J$477,23,WEEKDAY($K$82-0,2))&amp;"",""))-LEN(SUBSTITUTE(IFERROR(INDEX('Saisie programme'!$D$13:$J$477,23,WEEKDAY($K$82-0,2))&amp;"",""),"1",""))+LEN(IFERROR(INDEX('Saisie programme'!$D$13:$J$477,23,WEEKDAY($K$82-0,2))&amp;"",""))-LEN(SUBSTITUTE(IFERROR(INDEX('Saisie programme'!$D$13:$J$477,23,WEEKDAY($K$82-0,2))&amp;"",""),"2",""))+LEN(IFERROR(INDEX('Saisie programme'!$D$13:$J$477,23,WEEKDAY($K$82-1,2))&amp;"",""))-LEN(SUBSTITUTE(IFERROR(INDEX('Saisie programme'!$D$13:$J$477,23,WEEKDAY($K$82-1,2))&amp;"",""),"2",""))+LEN(IFERROR(INDEX('Saisie programme'!$D$13:$J$477,23,WEEKDAY($K$82-0,2))&amp;"",""))-LEN(SUBSTITUTE(IFERROR(INDEX('Saisie programme'!$D$13:$J$477,23,WEEKDAY($K$82-0,2))&amp;"",""),"3",""))+LEN(IFERROR(INDEX('Saisie programme'!$D$13:$J$477,23,WEEKDAY($K$82-1,2))&amp;"",""))-LEN(SUBSTITUTE(IFERROR(INDEX('Saisie programme'!$D$13:$J$477,23,WEEKDAY($K$82-1,2))&amp;"",""),"3",""))+LEN(IFERROR(INDEX('Saisie programme'!$D$13:$J$477,23,WEEKDAY($K$82-2,2))&amp;"",""))-LEN(SUBSTITUTE(IFERROR(INDEX('Saisie programme'!$D$13:$J$477,23,WEEKDAY($K$82-2,2))&amp;"",""),"3",""))</f>
        <v>0</v>
      </c>
      <c r="D158" s="34" t="n">
        <f aca="false">LEN(IFERROR(INDEX('Saisie programme'!$D$13:$J$477,62,WEEKDAY($K$83-0,2))&amp;"",""))-LEN(SUBSTITUTE(IFERROR(INDEX('Saisie programme'!$D$13:$J$477,62,WEEKDAY($K$83-0,2))&amp;"",""),"1",""))+LEN(IFERROR(INDEX('Saisie programme'!$D$13:$J$477,62,WEEKDAY($K$83-0,2))&amp;"",""))-LEN(SUBSTITUTE(IFERROR(INDEX('Saisie programme'!$D$13:$J$477,62,WEEKDAY($K$83-0,2))&amp;"",""),"2",""))+LEN(IFERROR(INDEX('Saisie programme'!$D$13:$J$477,62,WEEKDAY($K$83-1,2))&amp;"",""))-LEN(SUBSTITUTE(IFERROR(INDEX('Saisie programme'!$D$13:$J$477,62,WEEKDAY($K$83-1,2))&amp;"",""),"2",""))+LEN(IFERROR(INDEX('Saisie programme'!$D$13:$J$477,62,WEEKDAY($K$83-0,2))&amp;"",""))-LEN(SUBSTITUTE(IFERROR(INDEX('Saisie programme'!$D$13:$J$477,62,WEEKDAY($K$83-0,2))&amp;"",""),"3",""))+LEN(IFERROR(INDEX('Saisie programme'!$D$13:$J$477,62,WEEKDAY($K$83-1,2))&amp;"",""))-LEN(SUBSTITUTE(IFERROR(INDEX('Saisie programme'!$D$13:$J$477,62,WEEKDAY($K$83-1,2))&amp;"",""),"3",""))+LEN(IFERROR(INDEX('Saisie programme'!$D$13:$J$477,62,WEEKDAY($K$83-2,2))&amp;"",""))-LEN(SUBSTITUTE(IFERROR(INDEX('Saisie programme'!$D$13:$J$477,62,WEEKDAY($K$83-2,2))&amp;"",""),"3",""))</f>
        <v>0</v>
      </c>
      <c r="E158" s="34" t="n">
        <f aca="false">LEN(IFERROR(INDEX('Saisie programme'!$D$13:$J$477,101,WEEKDAY($K$84-0,2))&amp;"",""))-LEN(SUBSTITUTE(IFERROR(INDEX('Saisie programme'!$D$13:$J$477,101,WEEKDAY($K$84-0,2))&amp;"",""),"1",""))+LEN(IFERROR(INDEX('Saisie programme'!$D$13:$J$477,101,WEEKDAY($K$84-0,2))&amp;"",""))-LEN(SUBSTITUTE(IFERROR(INDEX('Saisie programme'!$D$13:$J$477,101,WEEKDAY($K$84-0,2))&amp;"",""),"2",""))+LEN(IFERROR(INDEX('Saisie programme'!$D$13:$J$477,101,WEEKDAY($K$84-1,2))&amp;"",""))-LEN(SUBSTITUTE(IFERROR(INDEX('Saisie programme'!$D$13:$J$477,101,WEEKDAY($K$84-1,2))&amp;"",""),"2",""))+LEN(IFERROR(INDEX('Saisie programme'!$D$13:$J$477,101,WEEKDAY($K$84-0,2))&amp;"",""))-LEN(SUBSTITUTE(IFERROR(INDEX('Saisie programme'!$D$13:$J$477,101,WEEKDAY($K$84-0,2))&amp;"",""),"3",""))+LEN(IFERROR(INDEX('Saisie programme'!$D$13:$J$477,101,WEEKDAY($K$84-1,2))&amp;"",""))-LEN(SUBSTITUTE(IFERROR(INDEX('Saisie programme'!$D$13:$J$477,101,WEEKDAY($K$84-1,2))&amp;"",""),"3",""))+LEN(IFERROR(INDEX('Saisie programme'!$D$13:$J$477,101,WEEKDAY($K$84-2,2))&amp;"",""))-LEN(SUBSTITUTE(IFERROR(INDEX('Saisie programme'!$D$13:$J$477,101,WEEKDAY($K$84-2,2))&amp;"",""),"3",""))</f>
        <v>0</v>
      </c>
      <c r="F158" s="34" t="n">
        <f aca="false">LEN(IFERROR(INDEX('Saisie programme'!$D$13:$J$477,140,WEEKDAY($K$85-0,2))&amp;"",""))-LEN(SUBSTITUTE(IFERROR(INDEX('Saisie programme'!$D$13:$J$477,140,WEEKDAY($K$85-0,2))&amp;"",""),"1",""))+LEN(IFERROR(INDEX('Saisie programme'!$D$13:$J$477,140,WEEKDAY($K$85-0,2))&amp;"",""))-LEN(SUBSTITUTE(IFERROR(INDEX('Saisie programme'!$D$13:$J$477,140,WEEKDAY($K$85-0,2))&amp;"",""),"2",""))+LEN(IFERROR(INDEX('Saisie programme'!$D$13:$J$477,140,WEEKDAY($K$85-1,2))&amp;"",""))-LEN(SUBSTITUTE(IFERROR(INDEX('Saisie programme'!$D$13:$J$477,140,WEEKDAY($K$85-1,2))&amp;"",""),"2",""))+LEN(IFERROR(INDEX('Saisie programme'!$D$13:$J$477,140,WEEKDAY($K$85-0,2))&amp;"",""))-LEN(SUBSTITUTE(IFERROR(INDEX('Saisie programme'!$D$13:$J$477,140,WEEKDAY($K$85-0,2))&amp;"",""),"3",""))+LEN(IFERROR(INDEX('Saisie programme'!$D$13:$J$477,140,WEEKDAY($K$85-1,2))&amp;"",""))-LEN(SUBSTITUTE(IFERROR(INDEX('Saisie programme'!$D$13:$J$477,140,WEEKDAY($K$85-1,2))&amp;"",""),"3",""))+LEN(IFERROR(INDEX('Saisie programme'!$D$13:$J$477,140,WEEKDAY($K$85-2,2))&amp;"",""))-LEN(SUBSTITUTE(IFERROR(INDEX('Saisie programme'!$D$13:$J$477,140,WEEKDAY($K$85-2,2))&amp;"",""),"3",""))</f>
        <v>0</v>
      </c>
      <c r="G158" s="34" t="n">
        <f aca="false">LEN(IFERROR(INDEX('Saisie programme'!$D$13:$J$477,179,WEEKDAY($K$86-0,2))&amp;"",""))-LEN(SUBSTITUTE(IFERROR(INDEX('Saisie programme'!$D$13:$J$477,179,WEEKDAY($K$86-0,2))&amp;"",""),"1",""))+LEN(IFERROR(INDEX('Saisie programme'!$D$13:$J$477,179,WEEKDAY($K$86-0,2))&amp;"",""))-LEN(SUBSTITUTE(IFERROR(INDEX('Saisie programme'!$D$13:$J$477,179,WEEKDAY($K$86-0,2))&amp;"",""),"2",""))+LEN(IFERROR(INDEX('Saisie programme'!$D$13:$J$477,179,WEEKDAY($K$86-1,2))&amp;"",""))-LEN(SUBSTITUTE(IFERROR(INDEX('Saisie programme'!$D$13:$J$477,179,WEEKDAY($K$86-1,2))&amp;"",""),"2",""))+LEN(IFERROR(INDEX('Saisie programme'!$D$13:$J$477,179,WEEKDAY($K$86-0,2))&amp;"",""))-LEN(SUBSTITUTE(IFERROR(INDEX('Saisie programme'!$D$13:$J$477,179,WEEKDAY($K$86-0,2))&amp;"",""),"3",""))+LEN(IFERROR(INDEX('Saisie programme'!$D$13:$J$477,179,WEEKDAY($K$86-1,2))&amp;"",""))-LEN(SUBSTITUTE(IFERROR(INDEX('Saisie programme'!$D$13:$J$477,179,WEEKDAY($K$86-1,2))&amp;"",""),"3",""))+LEN(IFERROR(INDEX('Saisie programme'!$D$13:$J$477,179,WEEKDAY($K$86-2,2))&amp;"",""))-LEN(SUBSTITUTE(IFERROR(INDEX('Saisie programme'!$D$13:$J$477,179,WEEKDAY($K$86-2,2))&amp;"",""),"3",""))</f>
        <v>0</v>
      </c>
      <c r="H158" s="34" t="n">
        <f aca="false">LEN(IFERROR(INDEX('Saisie programme'!$D$13:$J$477,218,WEEKDAY($K$87-0,2))&amp;"",""))-LEN(SUBSTITUTE(IFERROR(INDEX('Saisie programme'!$D$13:$J$477,218,WEEKDAY($K$87-0,2))&amp;"",""),"1",""))+LEN(IFERROR(INDEX('Saisie programme'!$D$13:$J$477,218,WEEKDAY($K$87-0,2))&amp;"",""))-LEN(SUBSTITUTE(IFERROR(INDEX('Saisie programme'!$D$13:$J$477,218,WEEKDAY($K$87-0,2))&amp;"",""),"2",""))+LEN(IFERROR(INDEX('Saisie programme'!$D$13:$J$477,218,WEEKDAY($K$87-1,2))&amp;"",""))-LEN(SUBSTITUTE(IFERROR(INDEX('Saisie programme'!$D$13:$J$477,218,WEEKDAY($K$87-1,2))&amp;"",""),"2",""))+LEN(IFERROR(INDEX('Saisie programme'!$D$13:$J$477,218,WEEKDAY($K$87-0,2))&amp;"",""))-LEN(SUBSTITUTE(IFERROR(INDEX('Saisie programme'!$D$13:$J$477,218,WEEKDAY($K$87-0,2))&amp;"",""),"3",""))+LEN(IFERROR(INDEX('Saisie programme'!$D$13:$J$477,218,WEEKDAY($K$87-1,2))&amp;"",""))-LEN(SUBSTITUTE(IFERROR(INDEX('Saisie programme'!$D$13:$J$477,218,WEEKDAY($K$87-1,2))&amp;"",""),"3",""))+LEN(IFERROR(INDEX('Saisie programme'!$D$13:$J$477,218,WEEKDAY($K$87-2,2))&amp;"",""))-LEN(SUBSTITUTE(IFERROR(INDEX('Saisie programme'!$D$13:$J$477,218,WEEKDAY($K$87-2,2))&amp;"",""),"3",""))</f>
        <v>0</v>
      </c>
      <c r="I158" s="34" t="n">
        <f aca="false">LEN(IFERROR(INDEX('Saisie programme'!$D$13:$J$477,257,WEEKDAY($K$88-0,2))&amp;"",""))-LEN(SUBSTITUTE(IFERROR(INDEX('Saisie programme'!$D$13:$J$477,257,WEEKDAY($K$88-0,2))&amp;"",""),"1",""))+LEN(IFERROR(INDEX('Saisie programme'!$D$13:$J$477,257,WEEKDAY($K$88-0,2))&amp;"",""))-LEN(SUBSTITUTE(IFERROR(INDEX('Saisie programme'!$D$13:$J$477,257,WEEKDAY($K$88-0,2))&amp;"",""),"2",""))+LEN(IFERROR(INDEX('Saisie programme'!$D$13:$J$477,257,WEEKDAY($K$88-1,2))&amp;"",""))-LEN(SUBSTITUTE(IFERROR(INDEX('Saisie programme'!$D$13:$J$477,257,WEEKDAY($K$88-1,2))&amp;"",""),"2",""))+LEN(IFERROR(INDEX('Saisie programme'!$D$13:$J$477,257,WEEKDAY($K$88-0,2))&amp;"",""))-LEN(SUBSTITUTE(IFERROR(INDEX('Saisie programme'!$D$13:$J$477,257,WEEKDAY($K$88-0,2))&amp;"",""),"3",""))+LEN(IFERROR(INDEX('Saisie programme'!$D$13:$J$477,257,WEEKDAY($K$88-1,2))&amp;"",""))-LEN(SUBSTITUTE(IFERROR(INDEX('Saisie programme'!$D$13:$J$477,257,WEEKDAY($K$88-1,2))&amp;"",""),"3",""))+LEN(IFERROR(INDEX('Saisie programme'!$D$13:$J$477,257,WEEKDAY($K$88-2,2))&amp;"",""))-LEN(SUBSTITUTE(IFERROR(INDEX('Saisie programme'!$D$13:$J$477,257,WEEKDAY($K$88-2,2))&amp;"",""),"3",""))</f>
        <v>0</v>
      </c>
      <c r="J158" s="34" t="n">
        <f aca="false">LEN(IFERROR(INDEX('Saisie programme'!$D$13:$J$477,296,WEEKDAY($K$89-0,2))&amp;"",""))-LEN(SUBSTITUTE(IFERROR(INDEX('Saisie programme'!$D$13:$J$477,296,WEEKDAY($K$89-0,2))&amp;"",""),"1",""))+LEN(IFERROR(INDEX('Saisie programme'!$D$13:$J$477,296,WEEKDAY($K$89-0,2))&amp;"",""))-LEN(SUBSTITUTE(IFERROR(INDEX('Saisie programme'!$D$13:$J$477,296,WEEKDAY($K$89-0,2))&amp;"",""),"2",""))+LEN(IFERROR(INDEX('Saisie programme'!$D$13:$J$477,296,WEEKDAY($K$89-1,2))&amp;"",""))-LEN(SUBSTITUTE(IFERROR(INDEX('Saisie programme'!$D$13:$J$477,296,WEEKDAY($K$89-1,2))&amp;"",""),"2",""))+LEN(IFERROR(INDEX('Saisie programme'!$D$13:$J$477,296,WEEKDAY($K$89-0,2))&amp;"",""))-LEN(SUBSTITUTE(IFERROR(INDEX('Saisie programme'!$D$13:$J$477,296,WEEKDAY($K$89-0,2))&amp;"",""),"3",""))+LEN(IFERROR(INDEX('Saisie programme'!$D$13:$J$477,296,WEEKDAY($K$89-1,2))&amp;"",""))-LEN(SUBSTITUTE(IFERROR(INDEX('Saisie programme'!$D$13:$J$477,296,WEEKDAY($K$89-1,2))&amp;"",""),"3",""))+LEN(IFERROR(INDEX('Saisie programme'!$D$13:$J$477,296,WEEKDAY($K$89-2,2))&amp;"",""))-LEN(SUBSTITUTE(IFERROR(INDEX('Saisie programme'!$D$13:$J$477,296,WEEKDAY($K$89-2,2))&amp;"",""),"3",""))</f>
        <v>0</v>
      </c>
      <c r="K158" s="34" t="n">
        <f aca="false">LEN(IFERROR(INDEX('Saisie programme'!$D$13:$J$477,335,WEEKDAY($K$90-0,2))&amp;"",""))-LEN(SUBSTITUTE(IFERROR(INDEX('Saisie programme'!$D$13:$J$477,335,WEEKDAY($K$90-0,2))&amp;"",""),"1",""))+LEN(IFERROR(INDEX('Saisie programme'!$D$13:$J$477,335,WEEKDAY($K$90-0,2))&amp;"",""))-LEN(SUBSTITUTE(IFERROR(INDEX('Saisie programme'!$D$13:$J$477,335,WEEKDAY($K$90-0,2))&amp;"",""),"2",""))+LEN(IFERROR(INDEX('Saisie programme'!$D$13:$J$477,335,WEEKDAY($K$90-1,2))&amp;"",""))-LEN(SUBSTITUTE(IFERROR(INDEX('Saisie programme'!$D$13:$J$477,335,WEEKDAY($K$90-1,2))&amp;"",""),"2",""))+LEN(IFERROR(INDEX('Saisie programme'!$D$13:$J$477,335,WEEKDAY($K$90-0,2))&amp;"",""))-LEN(SUBSTITUTE(IFERROR(INDEX('Saisie programme'!$D$13:$J$477,335,WEEKDAY($K$90-0,2))&amp;"",""),"3",""))+LEN(IFERROR(INDEX('Saisie programme'!$D$13:$J$477,335,WEEKDAY($K$90-1,2))&amp;"",""))-LEN(SUBSTITUTE(IFERROR(INDEX('Saisie programme'!$D$13:$J$477,335,WEEKDAY($K$90-1,2))&amp;"",""),"3",""))+LEN(IFERROR(INDEX('Saisie programme'!$D$13:$J$477,335,WEEKDAY($K$90-2,2))&amp;"",""))-LEN(SUBSTITUTE(IFERROR(INDEX('Saisie programme'!$D$13:$J$477,335,WEEKDAY($K$90-2,2))&amp;"",""),"3",""))</f>
        <v>0</v>
      </c>
      <c r="L158" s="34" t="n">
        <f aca="false">LEN(IFERROR(INDEX('Saisie programme'!$D$13:$J$477,374,WEEKDAY($K$91-0,2))&amp;"",""))-LEN(SUBSTITUTE(IFERROR(INDEX('Saisie programme'!$D$13:$J$477,374,WEEKDAY($K$91-0,2))&amp;"",""),"1",""))+LEN(IFERROR(INDEX('Saisie programme'!$D$13:$J$477,374,WEEKDAY($K$91-0,2))&amp;"",""))-LEN(SUBSTITUTE(IFERROR(INDEX('Saisie programme'!$D$13:$J$477,374,WEEKDAY($K$91-0,2))&amp;"",""),"2",""))+LEN(IFERROR(INDEX('Saisie programme'!$D$13:$J$477,374,WEEKDAY($K$91-1,2))&amp;"",""))-LEN(SUBSTITUTE(IFERROR(INDEX('Saisie programme'!$D$13:$J$477,374,WEEKDAY($K$91-1,2))&amp;"",""),"2",""))+LEN(IFERROR(INDEX('Saisie programme'!$D$13:$J$477,374,WEEKDAY($K$91-0,2))&amp;"",""))-LEN(SUBSTITUTE(IFERROR(INDEX('Saisie programme'!$D$13:$J$477,374,WEEKDAY($K$91-0,2))&amp;"",""),"3",""))+LEN(IFERROR(INDEX('Saisie programme'!$D$13:$J$477,374,WEEKDAY($K$91-1,2))&amp;"",""))-LEN(SUBSTITUTE(IFERROR(INDEX('Saisie programme'!$D$13:$J$477,374,WEEKDAY($K$91-1,2))&amp;"",""),"3",""))+LEN(IFERROR(INDEX('Saisie programme'!$D$13:$J$477,374,WEEKDAY($K$91-2,2))&amp;"",""))-LEN(SUBSTITUTE(IFERROR(INDEX('Saisie programme'!$D$13:$J$477,374,WEEKDAY($K$91-2,2))&amp;"",""),"3",""))</f>
        <v>0</v>
      </c>
      <c r="M158" s="34" t="n">
        <f aca="false">LEN(IFERROR(INDEX('Saisie programme'!$D$13:$J$477,413,WEEKDAY($K$92-0,2))&amp;"",""))-LEN(SUBSTITUTE(IFERROR(INDEX('Saisie programme'!$D$13:$J$477,413,WEEKDAY($K$92-0,2))&amp;"",""),"1",""))+LEN(IFERROR(INDEX('Saisie programme'!$D$13:$J$477,413,WEEKDAY($K$92-0,2))&amp;"",""))-LEN(SUBSTITUTE(IFERROR(INDEX('Saisie programme'!$D$13:$J$477,413,WEEKDAY($K$92-0,2))&amp;"",""),"2",""))+LEN(IFERROR(INDEX('Saisie programme'!$D$13:$J$477,413,WEEKDAY($K$92-1,2))&amp;"",""))-LEN(SUBSTITUTE(IFERROR(INDEX('Saisie programme'!$D$13:$J$477,413,WEEKDAY($K$92-1,2))&amp;"",""),"2",""))+LEN(IFERROR(INDEX('Saisie programme'!$D$13:$J$477,413,WEEKDAY($K$92-0,2))&amp;"",""))-LEN(SUBSTITUTE(IFERROR(INDEX('Saisie programme'!$D$13:$J$477,413,WEEKDAY($K$92-0,2))&amp;"",""),"3",""))+LEN(IFERROR(INDEX('Saisie programme'!$D$13:$J$477,413,WEEKDAY($K$92-1,2))&amp;"",""))-LEN(SUBSTITUTE(IFERROR(INDEX('Saisie programme'!$D$13:$J$477,413,WEEKDAY($K$92-1,2))&amp;"",""),"3",""))+LEN(IFERROR(INDEX('Saisie programme'!$D$13:$J$477,413,WEEKDAY($K$92-2,2))&amp;"",""))-LEN(SUBSTITUTE(IFERROR(INDEX('Saisie programme'!$D$13:$J$477,413,WEEKDAY($K$92-2,2))&amp;"",""),"3",""))</f>
        <v>0</v>
      </c>
      <c r="N158" s="34" t="n">
        <f aca="false">LEN(IFERROR(INDEX('Saisie programme'!$D$13:$J$477,452,WEEKDAY($K$93-0,2))&amp;"",""))-LEN(SUBSTITUTE(IFERROR(INDEX('Saisie programme'!$D$13:$J$477,452,WEEKDAY($K$93-0,2))&amp;"",""),"1",""))+LEN(IFERROR(INDEX('Saisie programme'!$D$13:$J$477,452,WEEKDAY($K$93-0,2))&amp;"",""))-LEN(SUBSTITUTE(IFERROR(INDEX('Saisie programme'!$D$13:$J$477,452,WEEKDAY($K$93-0,2))&amp;"",""),"2",""))+LEN(IFERROR(INDEX('Saisie programme'!$D$13:$J$477,452,WEEKDAY($K$93-1,2))&amp;"",""))-LEN(SUBSTITUTE(IFERROR(INDEX('Saisie programme'!$D$13:$J$477,452,WEEKDAY($K$93-1,2))&amp;"",""),"2",""))+LEN(IFERROR(INDEX('Saisie programme'!$D$13:$J$477,452,WEEKDAY($K$93-0,2))&amp;"",""))-LEN(SUBSTITUTE(IFERROR(INDEX('Saisie programme'!$D$13:$J$477,452,WEEKDAY($K$93-0,2))&amp;"",""),"3",""))+LEN(IFERROR(INDEX('Saisie programme'!$D$13:$J$477,452,WEEKDAY($K$93-1,2))&amp;"",""))-LEN(SUBSTITUTE(IFERROR(INDEX('Saisie programme'!$D$13:$J$477,452,WEEKDAY($K$93-1,2))&amp;"",""),"3",""))+LEN(IFERROR(INDEX('Saisie programme'!$D$13:$J$477,452,WEEKDAY($K$93-2,2))&amp;"",""))-LEN(SUBSTITUTE(IFERROR(INDEX('Saisie programme'!$D$13:$J$477,452,WEEKDAY($K$93-2,2))&amp;"",""),"3",""))</f>
        <v>0</v>
      </c>
      <c r="O158" s="12" t="s">
        <v>49</v>
      </c>
      <c r="P158" s="12" t="s">
        <v>19</v>
      </c>
    </row>
    <row r="159" customFormat="false" ht="15" hidden="false" customHeight="false" outlineLevel="0" collapsed="false">
      <c r="B159" s="10" t="s">
        <v>160</v>
      </c>
      <c r="C159" s="34" t="n">
        <f aca="false">LEN(IFERROR(INDEX('Saisie programme'!$D$13:$J$477,24,WEEKDAY($K$82-0,2))&amp;"",""))-LEN(SUBSTITUTE(IFERROR(INDEX('Saisie programme'!$D$13:$J$477,24,WEEKDAY($K$82-0,2))&amp;"",""),"1",""))+LEN(IFERROR(INDEX('Saisie programme'!$D$13:$J$477,24,WEEKDAY($K$82-0,2))&amp;"",""))-LEN(SUBSTITUTE(IFERROR(INDEX('Saisie programme'!$D$13:$J$477,24,WEEKDAY($K$82-0,2))&amp;"",""),"2",""))+LEN(IFERROR(INDEX('Saisie programme'!$D$13:$J$477,24,WEEKDAY($K$82-1,2))&amp;"",""))-LEN(SUBSTITUTE(IFERROR(INDEX('Saisie programme'!$D$13:$J$477,24,WEEKDAY($K$82-1,2))&amp;"",""),"2",""))+LEN(IFERROR(INDEX('Saisie programme'!$D$13:$J$477,24,WEEKDAY($K$82-0,2))&amp;"",""))-LEN(SUBSTITUTE(IFERROR(INDEX('Saisie programme'!$D$13:$J$477,24,WEEKDAY($K$82-0,2))&amp;"",""),"3",""))+LEN(IFERROR(INDEX('Saisie programme'!$D$13:$J$477,24,WEEKDAY($K$82-1,2))&amp;"",""))-LEN(SUBSTITUTE(IFERROR(INDEX('Saisie programme'!$D$13:$J$477,24,WEEKDAY($K$82-1,2))&amp;"",""),"3",""))+LEN(IFERROR(INDEX('Saisie programme'!$D$13:$J$477,24,WEEKDAY($K$82-2,2))&amp;"",""))-LEN(SUBSTITUTE(IFERROR(INDEX('Saisie programme'!$D$13:$J$477,24,WEEKDAY($K$82-2,2))&amp;"",""),"3",""))</f>
        <v>0</v>
      </c>
      <c r="D159" s="34" t="n">
        <f aca="false">LEN(IFERROR(INDEX('Saisie programme'!$D$13:$J$477,63,WEEKDAY($K$83-0,2))&amp;"",""))-LEN(SUBSTITUTE(IFERROR(INDEX('Saisie programme'!$D$13:$J$477,63,WEEKDAY($K$83-0,2))&amp;"",""),"1",""))+LEN(IFERROR(INDEX('Saisie programme'!$D$13:$J$477,63,WEEKDAY($K$83-0,2))&amp;"",""))-LEN(SUBSTITUTE(IFERROR(INDEX('Saisie programme'!$D$13:$J$477,63,WEEKDAY($K$83-0,2))&amp;"",""),"2",""))+LEN(IFERROR(INDEX('Saisie programme'!$D$13:$J$477,63,WEEKDAY($K$83-1,2))&amp;"",""))-LEN(SUBSTITUTE(IFERROR(INDEX('Saisie programme'!$D$13:$J$477,63,WEEKDAY($K$83-1,2))&amp;"",""),"2",""))+LEN(IFERROR(INDEX('Saisie programme'!$D$13:$J$477,63,WEEKDAY($K$83-0,2))&amp;"",""))-LEN(SUBSTITUTE(IFERROR(INDEX('Saisie programme'!$D$13:$J$477,63,WEEKDAY($K$83-0,2))&amp;"",""),"3",""))+LEN(IFERROR(INDEX('Saisie programme'!$D$13:$J$477,63,WEEKDAY($K$83-1,2))&amp;"",""))-LEN(SUBSTITUTE(IFERROR(INDEX('Saisie programme'!$D$13:$J$477,63,WEEKDAY($K$83-1,2))&amp;"",""),"3",""))+LEN(IFERROR(INDEX('Saisie programme'!$D$13:$J$477,63,WEEKDAY($K$83-2,2))&amp;"",""))-LEN(SUBSTITUTE(IFERROR(INDEX('Saisie programme'!$D$13:$J$477,63,WEEKDAY($K$83-2,2))&amp;"",""),"3",""))</f>
        <v>0</v>
      </c>
      <c r="E159" s="34" t="n">
        <f aca="false">LEN(IFERROR(INDEX('Saisie programme'!$D$13:$J$477,102,WEEKDAY($K$84-0,2))&amp;"",""))-LEN(SUBSTITUTE(IFERROR(INDEX('Saisie programme'!$D$13:$J$477,102,WEEKDAY($K$84-0,2))&amp;"",""),"1",""))+LEN(IFERROR(INDEX('Saisie programme'!$D$13:$J$477,102,WEEKDAY($K$84-0,2))&amp;"",""))-LEN(SUBSTITUTE(IFERROR(INDEX('Saisie programme'!$D$13:$J$477,102,WEEKDAY($K$84-0,2))&amp;"",""),"2",""))+LEN(IFERROR(INDEX('Saisie programme'!$D$13:$J$477,102,WEEKDAY($K$84-1,2))&amp;"",""))-LEN(SUBSTITUTE(IFERROR(INDEX('Saisie programme'!$D$13:$J$477,102,WEEKDAY($K$84-1,2))&amp;"",""),"2",""))+LEN(IFERROR(INDEX('Saisie programme'!$D$13:$J$477,102,WEEKDAY($K$84-0,2))&amp;"",""))-LEN(SUBSTITUTE(IFERROR(INDEX('Saisie programme'!$D$13:$J$477,102,WEEKDAY($K$84-0,2))&amp;"",""),"3",""))+LEN(IFERROR(INDEX('Saisie programme'!$D$13:$J$477,102,WEEKDAY($K$84-1,2))&amp;"",""))-LEN(SUBSTITUTE(IFERROR(INDEX('Saisie programme'!$D$13:$J$477,102,WEEKDAY($K$84-1,2))&amp;"",""),"3",""))+LEN(IFERROR(INDEX('Saisie programme'!$D$13:$J$477,102,WEEKDAY($K$84-2,2))&amp;"",""))-LEN(SUBSTITUTE(IFERROR(INDEX('Saisie programme'!$D$13:$J$477,102,WEEKDAY($K$84-2,2))&amp;"",""),"3",""))</f>
        <v>0</v>
      </c>
      <c r="F159" s="34" t="n">
        <f aca="false">LEN(IFERROR(INDEX('Saisie programme'!$D$13:$J$477,141,WEEKDAY($K$85-0,2))&amp;"",""))-LEN(SUBSTITUTE(IFERROR(INDEX('Saisie programme'!$D$13:$J$477,141,WEEKDAY($K$85-0,2))&amp;"",""),"1",""))+LEN(IFERROR(INDEX('Saisie programme'!$D$13:$J$477,141,WEEKDAY($K$85-0,2))&amp;"",""))-LEN(SUBSTITUTE(IFERROR(INDEX('Saisie programme'!$D$13:$J$477,141,WEEKDAY($K$85-0,2))&amp;"",""),"2",""))+LEN(IFERROR(INDEX('Saisie programme'!$D$13:$J$477,141,WEEKDAY($K$85-1,2))&amp;"",""))-LEN(SUBSTITUTE(IFERROR(INDEX('Saisie programme'!$D$13:$J$477,141,WEEKDAY($K$85-1,2))&amp;"",""),"2",""))+LEN(IFERROR(INDEX('Saisie programme'!$D$13:$J$477,141,WEEKDAY($K$85-0,2))&amp;"",""))-LEN(SUBSTITUTE(IFERROR(INDEX('Saisie programme'!$D$13:$J$477,141,WEEKDAY($K$85-0,2))&amp;"",""),"3",""))+LEN(IFERROR(INDEX('Saisie programme'!$D$13:$J$477,141,WEEKDAY($K$85-1,2))&amp;"",""))-LEN(SUBSTITUTE(IFERROR(INDEX('Saisie programme'!$D$13:$J$477,141,WEEKDAY($K$85-1,2))&amp;"",""),"3",""))+LEN(IFERROR(INDEX('Saisie programme'!$D$13:$J$477,141,WEEKDAY($K$85-2,2))&amp;"",""))-LEN(SUBSTITUTE(IFERROR(INDEX('Saisie programme'!$D$13:$J$477,141,WEEKDAY($K$85-2,2))&amp;"",""),"3",""))</f>
        <v>0</v>
      </c>
      <c r="G159" s="34" t="n">
        <f aca="false">LEN(IFERROR(INDEX('Saisie programme'!$D$13:$J$477,180,WEEKDAY($K$86-0,2))&amp;"",""))-LEN(SUBSTITUTE(IFERROR(INDEX('Saisie programme'!$D$13:$J$477,180,WEEKDAY($K$86-0,2))&amp;"",""),"1",""))+LEN(IFERROR(INDEX('Saisie programme'!$D$13:$J$477,180,WEEKDAY($K$86-0,2))&amp;"",""))-LEN(SUBSTITUTE(IFERROR(INDEX('Saisie programme'!$D$13:$J$477,180,WEEKDAY($K$86-0,2))&amp;"",""),"2",""))+LEN(IFERROR(INDEX('Saisie programme'!$D$13:$J$477,180,WEEKDAY($K$86-1,2))&amp;"",""))-LEN(SUBSTITUTE(IFERROR(INDEX('Saisie programme'!$D$13:$J$477,180,WEEKDAY($K$86-1,2))&amp;"",""),"2",""))+LEN(IFERROR(INDEX('Saisie programme'!$D$13:$J$477,180,WEEKDAY($K$86-0,2))&amp;"",""))-LEN(SUBSTITUTE(IFERROR(INDEX('Saisie programme'!$D$13:$J$477,180,WEEKDAY($K$86-0,2))&amp;"",""),"3",""))+LEN(IFERROR(INDEX('Saisie programme'!$D$13:$J$477,180,WEEKDAY($K$86-1,2))&amp;"",""))-LEN(SUBSTITUTE(IFERROR(INDEX('Saisie programme'!$D$13:$J$477,180,WEEKDAY($K$86-1,2))&amp;"",""),"3",""))+LEN(IFERROR(INDEX('Saisie programme'!$D$13:$J$477,180,WEEKDAY($K$86-2,2))&amp;"",""))-LEN(SUBSTITUTE(IFERROR(INDEX('Saisie programme'!$D$13:$J$477,180,WEEKDAY($K$86-2,2))&amp;"",""),"3",""))</f>
        <v>0</v>
      </c>
      <c r="H159" s="34" t="n">
        <f aca="false">LEN(IFERROR(INDEX('Saisie programme'!$D$13:$J$477,219,WEEKDAY($K$87-0,2))&amp;"",""))-LEN(SUBSTITUTE(IFERROR(INDEX('Saisie programme'!$D$13:$J$477,219,WEEKDAY($K$87-0,2))&amp;"",""),"1",""))+LEN(IFERROR(INDEX('Saisie programme'!$D$13:$J$477,219,WEEKDAY($K$87-0,2))&amp;"",""))-LEN(SUBSTITUTE(IFERROR(INDEX('Saisie programme'!$D$13:$J$477,219,WEEKDAY($K$87-0,2))&amp;"",""),"2",""))+LEN(IFERROR(INDEX('Saisie programme'!$D$13:$J$477,219,WEEKDAY($K$87-1,2))&amp;"",""))-LEN(SUBSTITUTE(IFERROR(INDEX('Saisie programme'!$D$13:$J$477,219,WEEKDAY($K$87-1,2))&amp;"",""),"2",""))+LEN(IFERROR(INDEX('Saisie programme'!$D$13:$J$477,219,WEEKDAY($K$87-0,2))&amp;"",""))-LEN(SUBSTITUTE(IFERROR(INDEX('Saisie programme'!$D$13:$J$477,219,WEEKDAY($K$87-0,2))&amp;"",""),"3",""))+LEN(IFERROR(INDEX('Saisie programme'!$D$13:$J$477,219,WEEKDAY($K$87-1,2))&amp;"",""))-LEN(SUBSTITUTE(IFERROR(INDEX('Saisie programme'!$D$13:$J$477,219,WEEKDAY($K$87-1,2))&amp;"",""),"3",""))+LEN(IFERROR(INDEX('Saisie programme'!$D$13:$J$477,219,WEEKDAY($K$87-2,2))&amp;"",""))-LEN(SUBSTITUTE(IFERROR(INDEX('Saisie programme'!$D$13:$J$477,219,WEEKDAY($K$87-2,2))&amp;"",""),"3",""))</f>
        <v>0</v>
      </c>
      <c r="I159" s="34" t="n">
        <f aca="false">LEN(IFERROR(INDEX('Saisie programme'!$D$13:$J$477,258,WEEKDAY($K$88-0,2))&amp;"",""))-LEN(SUBSTITUTE(IFERROR(INDEX('Saisie programme'!$D$13:$J$477,258,WEEKDAY($K$88-0,2))&amp;"",""),"1",""))+LEN(IFERROR(INDEX('Saisie programme'!$D$13:$J$477,258,WEEKDAY($K$88-0,2))&amp;"",""))-LEN(SUBSTITUTE(IFERROR(INDEX('Saisie programme'!$D$13:$J$477,258,WEEKDAY($K$88-0,2))&amp;"",""),"2",""))+LEN(IFERROR(INDEX('Saisie programme'!$D$13:$J$477,258,WEEKDAY($K$88-1,2))&amp;"",""))-LEN(SUBSTITUTE(IFERROR(INDEX('Saisie programme'!$D$13:$J$477,258,WEEKDAY($K$88-1,2))&amp;"",""),"2",""))+LEN(IFERROR(INDEX('Saisie programme'!$D$13:$J$477,258,WEEKDAY($K$88-0,2))&amp;"",""))-LEN(SUBSTITUTE(IFERROR(INDEX('Saisie programme'!$D$13:$J$477,258,WEEKDAY($K$88-0,2))&amp;"",""),"3",""))+LEN(IFERROR(INDEX('Saisie programme'!$D$13:$J$477,258,WEEKDAY($K$88-1,2))&amp;"",""))-LEN(SUBSTITUTE(IFERROR(INDEX('Saisie programme'!$D$13:$J$477,258,WEEKDAY($K$88-1,2))&amp;"",""),"3",""))+LEN(IFERROR(INDEX('Saisie programme'!$D$13:$J$477,258,WEEKDAY($K$88-2,2))&amp;"",""))-LEN(SUBSTITUTE(IFERROR(INDEX('Saisie programme'!$D$13:$J$477,258,WEEKDAY($K$88-2,2))&amp;"",""),"3",""))</f>
        <v>0</v>
      </c>
      <c r="J159" s="34" t="n">
        <f aca="false">LEN(IFERROR(INDEX('Saisie programme'!$D$13:$J$477,297,WEEKDAY($K$89-0,2))&amp;"",""))-LEN(SUBSTITUTE(IFERROR(INDEX('Saisie programme'!$D$13:$J$477,297,WEEKDAY($K$89-0,2))&amp;"",""),"1",""))+LEN(IFERROR(INDEX('Saisie programme'!$D$13:$J$477,297,WEEKDAY($K$89-0,2))&amp;"",""))-LEN(SUBSTITUTE(IFERROR(INDEX('Saisie programme'!$D$13:$J$477,297,WEEKDAY($K$89-0,2))&amp;"",""),"2",""))+LEN(IFERROR(INDEX('Saisie programme'!$D$13:$J$477,297,WEEKDAY($K$89-1,2))&amp;"",""))-LEN(SUBSTITUTE(IFERROR(INDEX('Saisie programme'!$D$13:$J$477,297,WEEKDAY($K$89-1,2))&amp;"",""),"2",""))+LEN(IFERROR(INDEX('Saisie programme'!$D$13:$J$477,297,WEEKDAY($K$89-0,2))&amp;"",""))-LEN(SUBSTITUTE(IFERROR(INDEX('Saisie programme'!$D$13:$J$477,297,WEEKDAY($K$89-0,2))&amp;"",""),"3",""))+LEN(IFERROR(INDEX('Saisie programme'!$D$13:$J$477,297,WEEKDAY($K$89-1,2))&amp;"",""))-LEN(SUBSTITUTE(IFERROR(INDEX('Saisie programme'!$D$13:$J$477,297,WEEKDAY($K$89-1,2))&amp;"",""),"3",""))+LEN(IFERROR(INDEX('Saisie programme'!$D$13:$J$477,297,WEEKDAY($K$89-2,2))&amp;"",""))-LEN(SUBSTITUTE(IFERROR(INDEX('Saisie programme'!$D$13:$J$477,297,WEEKDAY($K$89-2,2))&amp;"",""),"3",""))</f>
        <v>0</v>
      </c>
      <c r="K159" s="34" t="n">
        <f aca="false">LEN(IFERROR(INDEX('Saisie programme'!$D$13:$J$477,336,WEEKDAY($K$90-0,2))&amp;"",""))-LEN(SUBSTITUTE(IFERROR(INDEX('Saisie programme'!$D$13:$J$477,336,WEEKDAY($K$90-0,2))&amp;"",""),"1",""))+LEN(IFERROR(INDEX('Saisie programme'!$D$13:$J$477,336,WEEKDAY($K$90-0,2))&amp;"",""))-LEN(SUBSTITUTE(IFERROR(INDEX('Saisie programme'!$D$13:$J$477,336,WEEKDAY($K$90-0,2))&amp;"",""),"2",""))+LEN(IFERROR(INDEX('Saisie programme'!$D$13:$J$477,336,WEEKDAY($K$90-1,2))&amp;"",""))-LEN(SUBSTITUTE(IFERROR(INDEX('Saisie programme'!$D$13:$J$477,336,WEEKDAY($K$90-1,2))&amp;"",""),"2",""))+LEN(IFERROR(INDEX('Saisie programme'!$D$13:$J$477,336,WEEKDAY($K$90-0,2))&amp;"",""))-LEN(SUBSTITUTE(IFERROR(INDEX('Saisie programme'!$D$13:$J$477,336,WEEKDAY($K$90-0,2))&amp;"",""),"3",""))+LEN(IFERROR(INDEX('Saisie programme'!$D$13:$J$477,336,WEEKDAY($K$90-1,2))&amp;"",""))-LEN(SUBSTITUTE(IFERROR(INDEX('Saisie programme'!$D$13:$J$477,336,WEEKDAY($K$90-1,2))&amp;"",""),"3",""))+LEN(IFERROR(INDEX('Saisie programme'!$D$13:$J$477,336,WEEKDAY($K$90-2,2))&amp;"",""))-LEN(SUBSTITUTE(IFERROR(INDEX('Saisie programme'!$D$13:$J$477,336,WEEKDAY($K$90-2,2))&amp;"",""),"3",""))</f>
        <v>0</v>
      </c>
      <c r="L159" s="34" t="n">
        <f aca="false">LEN(IFERROR(INDEX('Saisie programme'!$D$13:$J$477,375,WEEKDAY($K$91-0,2))&amp;"",""))-LEN(SUBSTITUTE(IFERROR(INDEX('Saisie programme'!$D$13:$J$477,375,WEEKDAY($K$91-0,2))&amp;"",""),"1",""))+LEN(IFERROR(INDEX('Saisie programme'!$D$13:$J$477,375,WEEKDAY($K$91-0,2))&amp;"",""))-LEN(SUBSTITUTE(IFERROR(INDEX('Saisie programme'!$D$13:$J$477,375,WEEKDAY($K$91-0,2))&amp;"",""),"2",""))+LEN(IFERROR(INDEX('Saisie programme'!$D$13:$J$477,375,WEEKDAY($K$91-1,2))&amp;"",""))-LEN(SUBSTITUTE(IFERROR(INDEX('Saisie programme'!$D$13:$J$477,375,WEEKDAY($K$91-1,2))&amp;"",""),"2",""))+LEN(IFERROR(INDEX('Saisie programme'!$D$13:$J$477,375,WEEKDAY($K$91-0,2))&amp;"",""))-LEN(SUBSTITUTE(IFERROR(INDEX('Saisie programme'!$D$13:$J$477,375,WEEKDAY($K$91-0,2))&amp;"",""),"3",""))+LEN(IFERROR(INDEX('Saisie programme'!$D$13:$J$477,375,WEEKDAY($K$91-1,2))&amp;"",""))-LEN(SUBSTITUTE(IFERROR(INDEX('Saisie programme'!$D$13:$J$477,375,WEEKDAY($K$91-1,2))&amp;"",""),"3",""))+LEN(IFERROR(INDEX('Saisie programme'!$D$13:$J$477,375,WEEKDAY($K$91-2,2))&amp;"",""))-LEN(SUBSTITUTE(IFERROR(INDEX('Saisie programme'!$D$13:$J$477,375,WEEKDAY($K$91-2,2))&amp;"",""),"3",""))</f>
        <v>0</v>
      </c>
      <c r="M159" s="34" t="n">
        <f aca="false">LEN(IFERROR(INDEX('Saisie programme'!$D$13:$J$477,414,WEEKDAY($K$92-0,2))&amp;"",""))-LEN(SUBSTITUTE(IFERROR(INDEX('Saisie programme'!$D$13:$J$477,414,WEEKDAY($K$92-0,2))&amp;"",""),"1",""))+LEN(IFERROR(INDEX('Saisie programme'!$D$13:$J$477,414,WEEKDAY($K$92-0,2))&amp;"",""))-LEN(SUBSTITUTE(IFERROR(INDEX('Saisie programme'!$D$13:$J$477,414,WEEKDAY($K$92-0,2))&amp;"",""),"2",""))+LEN(IFERROR(INDEX('Saisie programme'!$D$13:$J$477,414,WEEKDAY($K$92-1,2))&amp;"",""))-LEN(SUBSTITUTE(IFERROR(INDEX('Saisie programme'!$D$13:$J$477,414,WEEKDAY($K$92-1,2))&amp;"",""),"2",""))+LEN(IFERROR(INDEX('Saisie programme'!$D$13:$J$477,414,WEEKDAY($K$92-0,2))&amp;"",""))-LEN(SUBSTITUTE(IFERROR(INDEX('Saisie programme'!$D$13:$J$477,414,WEEKDAY($K$92-0,2))&amp;"",""),"3",""))+LEN(IFERROR(INDEX('Saisie programme'!$D$13:$J$477,414,WEEKDAY($K$92-1,2))&amp;"",""))-LEN(SUBSTITUTE(IFERROR(INDEX('Saisie programme'!$D$13:$J$477,414,WEEKDAY($K$92-1,2))&amp;"",""),"3",""))+LEN(IFERROR(INDEX('Saisie programme'!$D$13:$J$477,414,WEEKDAY($K$92-2,2))&amp;"",""))-LEN(SUBSTITUTE(IFERROR(INDEX('Saisie programme'!$D$13:$J$477,414,WEEKDAY($K$92-2,2))&amp;"",""),"3",""))</f>
        <v>0</v>
      </c>
      <c r="N159" s="34" t="n">
        <f aca="false">LEN(IFERROR(INDEX('Saisie programme'!$D$13:$J$477,453,WEEKDAY($K$93-0,2))&amp;"",""))-LEN(SUBSTITUTE(IFERROR(INDEX('Saisie programme'!$D$13:$J$477,453,WEEKDAY($K$93-0,2))&amp;"",""),"1",""))+LEN(IFERROR(INDEX('Saisie programme'!$D$13:$J$477,453,WEEKDAY($K$93-0,2))&amp;"",""))-LEN(SUBSTITUTE(IFERROR(INDEX('Saisie programme'!$D$13:$J$477,453,WEEKDAY($K$93-0,2))&amp;"",""),"2",""))+LEN(IFERROR(INDEX('Saisie programme'!$D$13:$J$477,453,WEEKDAY($K$93-1,2))&amp;"",""))-LEN(SUBSTITUTE(IFERROR(INDEX('Saisie programme'!$D$13:$J$477,453,WEEKDAY($K$93-1,2))&amp;"",""),"2",""))+LEN(IFERROR(INDEX('Saisie programme'!$D$13:$J$477,453,WEEKDAY($K$93-0,2))&amp;"",""))-LEN(SUBSTITUTE(IFERROR(INDEX('Saisie programme'!$D$13:$J$477,453,WEEKDAY($K$93-0,2))&amp;"",""),"3",""))+LEN(IFERROR(INDEX('Saisie programme'!$D$13:$J$477,453,WEEKDAY($K$93-1,2))&amp;"",""))-LEN(SUBSTITUTE(IFERROR(INDEX('Saisie programme'!$D$13:$J$477,453,WEEKDAY($K$93-1,2))&amp;"",""),"3",""))+LEN(IFERROR(INDEX('Saisie programme'!$D$13:$J$477,453,WEEKDAY($K$93-2,2))&amp;"",""))-LEN(SUBSTITUTE(IFERROR(INDEX('Saisie programme'!$D$13:$J$477,453,WEEKDAY($K$93-2,2))&amp;"",""),"3",""))</f>
        <v>0</v>
      </c>
      <c r="O159" s="12" t="s">
        <v>49</v>
      </c>
      <c r="P159" s="12" t="s">
        <v>24</v>
      </c>
    </row>
    <row r="160" customFormat="false" ht="15" hidden="false" customHeight="false" outlineLevel="0" collapsed="false">
      <c r="B160" s="10" t="s">
        <v>161</v>
      </c>
      <c r="C160" s="34" t="n">
        <f aca="false">LEN(IFERROR(INDEX('Saisie programme'!$D$13:$J$477,25,WEEKDAY($K$82-0,2))&amp;"",""))-LEN(SUBSTITUTE(IFERROR(INDEX('Saisie programme'!$D$13:$J$477,25,WEEKDAY($K$82-0,2))&amp;"",""),"1",""))+LEN(IFERROR(INDEX('Saisie programme'!$D$13:$J$477,25,WEEKDAY($K$82-0,2))&amp;"",""))-LEN(SUBSTITUTE(IFERROR(INDEX('Saisie programme'!$D$13:$J$477,25,WEEKDAY($K$82-0,2))&amp;"",""),"2",""))+LEN(IFERROR(INDEX('Saisie programme'!$D$13:$J$477,25,WEEKDAY($K$82-1,2))&amp;"",""))-LEN(SUBSTITUTE(IFERROR(INDEX('Saisie programme'!$D$13:$J$477,25,WEEKDAY($K$82-1,2))&amp;"",""),"2",""))+LEN(IFERROR(INDEX('Saisie programme'!$D$13:$J$477,25,WEEKDAY($K$82-0,2))&amp;"",""))-LEN(SUBSTITUTE(IFERROR(INDEX('Saisie programme'!$D$13:$J$477,25,WEEKDAY($K$82-0,2))&amp;"",""),"3",""))+LEN(IFERROR(INDEX('Saisie programme'!$D$13:$J$477,25,WEEKDAY($K$82-1,2))&amp;"",""))-LEN(SUBSTITUTE(IFERROR(INDEX('Saisie programme'!$D$13:$J$477,25,WEEKDAY($K$82-1,2))&amp;"",""),"3",""))+LEN(IFERROR(INDEX('Saisie programme'!$D$13:$J$477,25,WEEKDAY($K$82-2,2))&amp;"",""))-LEN(SUBSTITUTE(IFERROR(INDEX('Saisie programme'!$D$13:$J$477,25,WEEKDAY($K$82-2,2))&amp;"",""),"3",""))</f>
        <v>0</v>
      </c>
      <c r="D160" s="34" t="n">
        <f aca="false">LEN(IFERROR(INDEX('Saisie programme'!$D$13:$J$477,64,WEEKDAY($K$83-0,2))&amp;"",""))-LEN(SUBSTITUTE(IFERROR(INDEX('Saisie programme'!$D$13:$J$477,64,WEEKDAY($K$83-0,2))&amp;"",""),"1",""))+LEN(IFERROR(INDEX('Saisie programme'!$D$13:$J$477,64,WEEKDAY($K$83-0,2))&amp;"",""))-LEN(SUBSTITUTE(IFERROR(INDEX('Saisie programme'!$D$13:$J$477,64,WEEKDAY($K$83-0,2))&amp;"",""),"2",""))+LEN(IFERROR(INDEX('Saisie programme'!$D$13:$J$477,64,WEEKDAY($K$83-1,2))&amp;"",""))-LEN(SUBSTITUTE(IFERROR(INDEX('Saisie programme'!$D$13:$J$477,64,WEEKDAY($K$83-1,2))&amp;"",""),"2",""))+LEN(IFERROR(INDEX('Saisie programme'!$D$13:$J$477,64,WEEKDAY($K$83-0,2))&amp;"",""))-LEN(SUBSTITUTE(IFERROR(INDEX('Saisie programme'!$D$13:$J$477,64,WEEKDAY($K$83-0,2))&amp;"",""),"3",""))+LEN(IFERROR(INDEX('Saisie programme'!$D$13:$J$477,64,WEEKDAY($K$83-1,2))&amp;"",""))-LEN(SUBSTITUTE(IFERROR(INDEX('Saisie programme'!$D$13:$J$477,64,WEEKDAY($K$83-1,2))&amp;"",""),"3",""))+LEN(IFERROR(INDEX('Saisie programme'!$D$13:$J$477,64,WEEKDAY($K$83-2,2))&amp;"",""))-LEN(SUBSTITUTE(IFERROR(INDEX('Saisie programme'!$D$13:$J$477,64,WEEKDAY($K$83-2,2))&amp;"",""),"3",""))</f>
        <v>0</v>
      </c>
      <c r="E160" s="34" t="n">
        <f aca="false">LEN(IFERROR(INDEX('Saisie programme'!$D$13:$J$477,103,WEEKDAY($K$84-0,2))&amp;"",""))-LEN(SUBSTITUTE(IFERROR(INDEX('Saisie programme'!$D$13:$J$477,103,WEEKDAY($K$84-0,2))&amp;"",""),"1",""))+LEN(IFERROR(INDEX('Saisie programme'!$D$13:$J$477,103,WEEKDAY($K$84-0,2))&amp;"",""))-LEN(SUBSTITUTE(IFERROR(INDEX('Saisie programme'!$D$13:$J$477,103,WEEKDAY($K$84-0,2))&amp;"",""),"2",""))+LEN(IFERROR(INDEX('Saisie programme'!$D$13:$J$477,103,WEEKDAY($K$84-1,2))&amp;"",""))-LEN(SUBSTITUTE(IFERROR(INDEX('Saisie programme'!$D$13:$J$477,103,WEEKDAY($K$84-1,2))&amp;"",""),"2",""))+LEN(IFERROR(INDEX('Saisie programme'!$D$13:$J$477,103,WEEKDAY($K$84-0,2))&amp;"",""))-LEN(SUBSTITUTE(IFERROR(INDEX('Saisie programme'!$D$13:$J$477,103,WEEKDAY($K$84-0,2))&amp;"",""),"3",""))+LEN(IFERROR(INDEX('Saisie programme'!$D$13:$J$477,103,WEEKDAY($K$84-1,2))&amp;"",""))-LEN(SUBSTITUTE(IFERROR(INDEX('Saisie programme'!$D$13:$J$477,103,WEEKDAY($K$84-1,2))&amp;"",""),"3",""))+LEN(IFERROR(INDEX('Saisie programme'!$D$13:$J$477,103,WEEKDAY($K$84-2,2))&amp;"",""))-LEN(SUBSTITUTE(IFERROR(INDEX('Saisie programme'!$D$13:$J$477,103,WEEKDAY($K$84-2,2))&amp;"",""),"3",""))</f>
        <v>0</v>
      </c>
      <c r="F160" s="34" t="n">
        <f aca="false">LEN(IFERROR(INDEX('Saisie programme'!$D$13:$J$477,142,WEEKDAY($K$85-0,2))&amp;"",""))-LEN(SUBSTITUTE(IFERROR(INDEX('Saisie programme'!$D$13:$J$477,142,WEEKDAY($K$85-0,2))&amp;"",""),"1",""))+LEN(IFERROR(INDEX('Saisie programme'!$D$13:$J$477,142,WEEKDAY($K$85-0,2))&amp;"",""))-LEN(SUBSTITUTE(IFERROR(INDEX('Saisie programme'!$D$13:$J$477,142,WEEKDAY($K$85-0,2))&amp;"",""),"2",""))+LEN(IFERROR(INDEX('Saisie programme'!$D$13:$J$477,142,WEEKDAY($K$85-1,2))&amp;"",""))-LEN(SUBSTITUTE(IFERROR(INDEX('Saisie programme'!$D$13:$J$477,142,WEEKDAY($K$85-1,2))&amp;"",""),"2",""))+LEN(IFERROR(INDEX('Saisie programme'!$D$13:$J$477,142,WEEKDAY($K$85-0,2))&amp;"",""))-LEN(SUBSTITUTE(IFERROR(INDEX('Saisie programme'!$D$13:$J$477,142,WEEKDAY($K$85-0,2))&amp;"",""),"3",""))+LEN(IFERROR(INDEX('Saisie programme'!$D$13:$J$477,142,WEEKDAY($K$85-1,2))&amp;"",""))-LEN(SUBSTITUTE(IFERROR(INDEX('Saisie programme'!$D$13:$J$477,142,WEEKDAY($K$85-1,2))&amp;"",""),"3",""))+LEN(IFERROR(INDEX('Saisie programme'!$D$13:$J$477,142,WEEKDAY($K$85-2,2))&amp;"",""))-LEN(SUBSTITUTE(IFERROR(INDEX('Saisie programme'!$D$13:$J$477,142,WEEKDAY($K$85-2,2))&amp;"",""),"3",""))</f>
        <v>0</v>
      </c>
      <c r="G160" s="34" t="n">
        <f aca="false">LEN(IFERROR(INDEX('Saisie programme'!$D$13:$J$477,181,WEEKDAY($K$86-0,2))&amp;"",""))-LEN(SUBSTITUTE(IFERROR(INDEX('Saisie programme'!$D$13:$J$477,181,WEEKDAY($K$86-0,2))&amp;"",""),"1",""))+LEN(IFERROR(INDEX('Saisie programme'!$D$13:$J$477,181,WEEKDAY($K$86-0,2))&amp;"",""))-LEN(SUBSTITUTE(IFERROR(INDEX('Saisie programme'!$D$13:$J$477,181,WEEKDAY($K$86-0,2))&amp;"",""),"2",""))+LEN(IFERROR(INDEX('Saisie programme'!$D$13:$J$477,181,WEEKDAY($K$86-1,2))&amp;"",""))-LEN(SUBSTITUTE(IFERROR(INDEX('Saisie programme'!$D$13:$J$477,181,WEEKDAY($K$86-1,2))&amp;"",""),"2",""))+LEN(IFERROR(INDEX('Saisie programme'!$D$13:$J$477,181,WEEKDAY($K$86-0,2))&amp;"",""))-LEN(SUBSTITUTE(IFERROR(INDEX('Saisie programme'!$D$13:$J$477,181,WEEKDAY($K$86-0,2))&amp;"",""),"3",""))+LEN(IFERROR(INDEX('Saisie programme'!$D$13:$J$477,181,WEEKDAY($K$86-1,2))&amp;"",""))-LEN(SUBSTITUTE(IFERROR(INDEX('Saisie programme'!$D$13:$J$477,181,WEEKDAY($K$86-1,2))&amp;"",""),"3",""))+LEN(IFERROR(INDEX('Saisie programme'!$D$13:$J$477,181,WEEKDAY($K$86-2,2))&amp;"",""))-LEN(SUBSTITUTE(IFERROR(INDEX('Saisie programme'!$D$13:$J$477,181,WEEKDAY($K$86-2,2))&amp;"",""),"3",""))</f>
        <v>0</v>
      </c>
      <c r="H160" s="34" t="n">
        <f aca="false">LEN(IFERROR(INDEX('Saisie programme'!$D$13:$J$477,220,WEEKDAY($K$87-0,2))&amp;"",""))-LEN(SUBSTITUTE(IFERROR(INDEX('Saisie programme'!$D$13:$J$477,220,WEEKDAY($K$87-0,2))&amp;"",""),"1",""))+LEN(IFERROR(INDEX('Saisie programme'!$D$13:$J$477,220,WEEKDAY($K$87-0,2))&amp;"",""))-LEN(SUBSTITUTE(IFERROR(INDEX('Saisie programme'!$D$13:$J$477,220,WEEKDAY($K$87-0,2))&amp;"",""),"2",""))+LEN(IFERROR(INDEX('Saisie programme'!$D$13:$J$477,220,WEEKDAY($K$87-1,2))&amp;"",""))-LEN(SUBSTITUTE(IFERROR(INDEX('Saisie programme'!$D$13:$J$477,220,WEEKDAY($K$87-1,2))&amp;"",""),"2",""))+LEN(IFERROR(INDEX('Saisie programme'!$D$13:$J$477,220,WEEKDAY($K$87-0,2))&amp;"",""))-LEN(SUBSTITUTE(IFERROR(INDEX('Saisie programme'!$D$13:$J$477,220,WEEKDAY($K$87-0,2))&amp;"",""),"3",""))+LEN(IFERROR(INDEX('Saisie programme'!$D$13:$J$477,220,WEEKDAY($K$87-1,2))&amp;"",""))-LEN(SUBSTITUTE(IFERROR(INDEX('Saisie programme'!$D$13:$J$477,220,WEEKDAY($K$87-1,2))&amp;"",""),"3",""))+LEN(IFERROR(INDEX('Saisie programme'!$D$13:$J$477,220,WEEKDAY($K$87-2,2))&amp;"",""))-LEN(SUBSTITUTE(IFERROR(INDEX('Saisie programme'!$D$13:$J$477,220,WEEKDAY($K$87-2,2))&amp;"",""),"3",""))</f>
        <v>0</v>
      </c>
      <c r="I160" s="34" t="n">
        <f aca="false">LEN(IFERROR(INDEX('Saisie programme'!$D$13:$J$477,259,WEEKDAY($K$88-0,2))&amp;"",""))-LEN(SUBSTITUTE(IFERROR(INDEX('Saisie programme'!$D$13:$J$477,259,WEEKDAY($K$88-0,2))&amp;"",""),"1",""))+LEN(IFERROR(INDEX('Saisie programme'!$D$13:$J$477,259,WEEKDAY($K$88-0,2))&amp;"",""))-LEN(SUBSTITUTE(IFERROR(INDEX('Saisie programme'!$D$13:$J$477,259,WEEKDAY($K$88-0,2))&amp;"",""),"2",""))+LEN(IFERROR(INDEX('Saisie programme'!$D$13:$J$477,259,WEEKDAY($K$88-1,2))&amp;"",""))-LEN(SUBSTITUTE(IFERROR(INDEX('Saisie programme'!$D$13:$J$477,259,WEEKDAY($K$88-1,2))&amp;"",""),"2",""))+LEN(IFERROR(INDEX('Saisie programme'!$D$13:$J$477,259,WEEKDAY($K$88-0,2))&amp;"",""))-LEN(SUBSTITUTE(IFERROR(INDEX('Saisie programme'!$D$13:$J$477,259,WEEKDAY($K$88-0,2))&amp;"",""),"3",""))+LEN(IFERROR(INDEX('Saisie programme'!$D$13:$J$477,259,WEEKDAY($K$88-1,2))&amp;"",""))-LEN(SUBSTITUTE(IFERROR(INDEX('Saisie programme'!$D$13:$J$477,259,WEEKDAY($K$88-1,2))&amp;"",""),"3",""))+LEN(IFERROR(INDEX('Saisie programme'!$D$13:$J$477,259,WEEKDAY($K$88-2,2))&amp;"",""))-LEN(SUBSTITUTE(IFERROR(INDEX('Saisie programme'!$D$13:$J$477,259,WEEKDAY($K$88-2,2))&amp;"",""),"3",""))</f>
        <v>0</v>
      </c>
      <c r="J160" s="34" t="n">
        <f aca="false">LEN(IFERROR(INDEX('Saisie programme'!$D$13:$J$477,298,WEEKDAY($K$89-0,2))&amp;"",""))-LEN(SUBSTITUTE(IFERROR(INDEX('Saisie programme'!$D$13:$J$477,298,WEEKDAY($K$89-0,2))&amp;"",""),"1",""))+LEN(IFERROR(INDEX('Saisie programme'!$D$13:$J$477,298,WEEKDAY($K$89-0,2))&amp;"",""))-LEN(SUBSTITUTE(IFERROR(INDEX('Saisie programme'!$D$13:$J$477,298,WEEKDAY($K$89-0,2))&amp;"",""),"2",""))+LEN(IFERROR(INDEX('Saisie programme'!$D$13:$J$477,298,WEEKDAY($K$89-1,2))&amp;"",""))-LEN(SUBSTITUTE(IFERROR(INDEX('Saisie programme'!$D$13:$J$477,298,WEEKDAY($K$89-1,2))&amp;"",""),"2",""))+LEN(IFERROR(INDEX('Saisie programme'!$D$13:$J$477,298,WEEKDAY($K$89-0,2))&amp;"",""))-LEN(SUBSTITUTE(IFERROR(INDEX('Saisie programme'!$D$13:$J$477,298,WEEKDAY($K$89-0,2))&amp;"",""),"3",""))+LEN(IFERROR(INDEX('Saisie programme'!$D$13:$J$477,298,WEEKDAY($K$89-1,2))&amp;"",""))-LEN(SUBSTITUTE(IFERROR(INDEX('Saisie programme'!$D$13:$J$477,298,WEEKDAY($K$89-1,2))&amp;"",""),"3",""))+LEN(IFERROR(INDEX('Saisie programme'!$D$13:$J$477,298,WEEKDAY($K$89-2,2))&amp;"",""))-LEN(SUBSTITUTE(IFERROR(INDEX('Saisie programme'!$D$13:$J$477,298,WEEKDAY($K$89-2,2))&amp;"",""),"3",""))</f>
        <v>0</v>
      </c>
      <c r="K160" s="34" t="n">
        <f aca="false">LEN(IFERROR(INDEX('Saisie programme'!$D$13:$J$477,337,WEEKDAY($K$90-0,2))&amp;"",""))-LEN(SUBSTITUTE(IFERROR(INDEX('Saisie programme'!$D$13:$J$477,337,WEEKDAY($K$90-0,2))&amp;"",""),"1",""))+LEN(IFERROR(INDEX('Saisie programme'!$D$13:$J$477,337,WEEKDAY($K$90-0,2))&amp;"",""))-LEN(SUBSTITUTE(IFERROR(INDEX('Saisie programme'!$D$13:$J$477,337,WEEKDAY($K$90-0,2))&amp;"",""),"2",""))+LEN(IFERROR(INDEX('Saisie programme'!$D$13:$J$477,337,WEEKDAY($K$90-1,2))&amp;"",""))-LEN(SUBSTITUTE(IFERROR(INDEX('Saisie programme'!$D$13:$J$477,337,WEEKDAY($K$90-1,2))&amp;"",""),"2",""))+LEN(IFERROR(INDEX('Saisie programme'!$D$13:$J$477,337,WEEKDAY($K$90-0,2))&amp;"",""))-LEN(SUBSTITUTE(IFERROR(INDEX('Saisie programme'!$D$13:$J$477,337,WEEKDAY($K$90-0,2))&amp;"",""),"3",""))+LEN(IFERROR(INDEX('Saisie programme'!$D$13:$J$477,337,WEEKDAY($K$90-1,2))&amp;"",""))-LEN(SUBSTITUTE(IFERROR(INDEX('Saisie programme'!$D$13:$J$477,337,WEEKDAY($K$90-1,2))&amp;"",""),"3",""))+LEN(IFERROR(INDEX('Saisie programme'!$D$13:$J$477,337,WEEKDAY($K$90-2,2))&amp;"",""))-LEN(SUBSTITUTE(IFERROR(INDEX('Saisie programme'!$D$13:$J$477,337,WEEKDAY($K$90-2,2))&amp;"",""),"3",""))</f>
        <v>0</v>
      </c>
      <c r="L160" s="34" t="n">
        <f aca="false">LEN(IFERROR(INDEX('Saisie programme'!$D$13:$J$477,376,WEEKDAY($K$91-0,2))&amp;"",""))-LEN(SUBSTITUTE(IFERROR(INDEX('Saisie programme'!$D$13:$J$477,376,WEEKDAY($K$91-0,2))&amp;"",""),"1",""))+LEN(IFERROR(INDEX('Saisie programme'!$D$13:$J$477,376,WEEKDAY($K$91-0,2))&amp;"",""))-LEN(SUBSTITUTE(IFERROR(INDEX('Saisie programme'!$D$13:$J$477,376,WEEKDAY($K$91-0,2))&amp;"",""),"2",""))+LEN(IFERROR(INDEX('Saisie programme'!$D$13:$J$477,376,WEEKDAY($K$91-1,2))&amp;"",""))-LEN(SUBSTITUTE(IFERROR(INDEX('Saisie programme'!$D$13:$J$477,376,WEEKDAY($K$91-1,2))&amp;"",""),"2",""))+LEN(IFERROR(INDEX('Saisie programme'!$D$13:$J$477,376,WEEKDAY($K$91-0,2))&amp;"",""))-LEN(SUBSTITUTE(IFERROR(INDEX('Saisie programme'!$D$13:$J$477,376,WEEKDAY($K$91-0,2))&amp;"",""),"3",""))+LEN(IFERROR(INDEX('Saisie programme'!$D$13:$J$477,376,WEEKDAY($K$91-1,2))&amp;"",""))-LEN(SUBSTITUTE(IFERROR(INDEX('Saisie programme'!$D$13:$J$477,376,WEEKDAY($K$91-1,2))&amp;"",""),"3",""))+LEN(IFERROR(INDEX('Saisie programme'!$D$13:$J$477,376,WEEKDAY($K$91-2,2))&amp;"",""))-LEN(SUBSTITUTE(IFERROR(INDEX('Saisie programme'!$D$13:$J$477,376,WEEKDAY($K$91-2,2))&amp;"",""),"3",""))</f>
        <v>0</v>
      </c>
      <c r="M160" s="34" t="n">
        <f aca="false">LEN(IFERROR(INDEX('Saisie programme'!$D$13:$J$477,415,WEEKDAY($K$92-0,2))&amp;"",""))-LEN(SUBSTITUTE(IFERROR(INDEX('Saisie programme'!$D$13:$J$477,415,WEEKDAY($K$92-0,2))&amp;"",""),"1",""))+LEN(IFERROR(INDEX('Saisie programme'!$D$13:$J$477,415,WEEKDAY($K$92-0,2))&amp;"",""))-LEN(SUBSTITUTE(IFERROR(INDEX('Saisie programme'!$D$13:$J$477,415,WEEKDAY($K$92-0,2))&amp;"",""),"2",""))+LEN(IFERROR(INDEX('Saisie programme'!$D$13:$J$477,415,WEEKDAY($K$92-1,2))&amp;"",""))-LEN(SUBSTITUTE(IFERROR(INDEX('Saisie programme'!$D$13:$J$477,415,WEEKDAY($K$92-1,2))&amp;"",""),"2",""))+LEN(IFERROR(INDEX('Saisie programme'!$D$13:$J$477,415,WEEKDAY($K$92-0,2))&amp;"",""))-LEN(SUBSTITUTE(IFERROR(INDEX('Saisie programme'!$D$13:$J$477,415,WEEKDAY($K$92-0,2))&amp;"",""),"3",""))+LEN(IFERROR(INDEX('Saisie programme'!$D$13:$J$477,415,WEEKDAY($K$92-1,2))&amp;"",""))-LEN(SUBSTITUTE(IFERROR(INDEX('Saisie programme'!$D$13:$J$477,415,WEEKDAY($K$92-1,2))&amp;"",""),"3",""))+LEN(IFERROR(INDEX('Saisie programme'!$D$13:$J$477,415,WEEKDAY($K$92-2,2))&amp;"",""))-LEN(SUBSTITUTE(IFERROR(INDEX('Saisie programme'!$D$13:$J$477,415,WEEKDAY($K$92-2,2))&amp;"",""),"3",""))</f>
        <v>0</v>
      </c>
      <c r="N160" s="34" t="n">
        <f aca="false">LEN(IFERROR(INDEX('Saisie programme'!$D$13:$J$477,454,WEEKDAY($K$93-0,2))&amp;"",""))-LEN(SUBSTITUTE(IFERROR(INDEX('Saisie programme'!$D$13:$J$477,454,WEEKDAY($K$93-0,2))&amp;"",""),"1",""))+LEN(IFERROR(INDEX('Saisie programme'!$D$13:$J$477,454,WEEKDAY($K$93-0,2))&amp;"",""))-LEN(SUBSTITUTE(IFERROR(INDEX('Saisie programme'!$D$13:$J$477,454,WEEKDAY($K$93-0,2))&amp;"",""),"2",""))+LEN(IFERROR(INDEX('Saisie programme'!$D$13:$J$477,454,WEEKDAY($K$93-1,2))&amp;"",""))-LEN(SUBSTITUTE(IFERROR(INDEX('Saisie programme'!$D$13:$J$477,454,WEEKDAY($K$93-1,2))&amp;"",""),"2",""))+LEN(IFERROR(INDEX('Saisie programme'!$D$13:$J$477,454,WEEKDAY($K$93-0,2))&amp;"",""))-LEN(SUBSTITUTE(IFERROR(INDEX('Saisie programme'!$D$13:$J$477,454,WEEKDAY($K$93-0,2))&amp;"",""),"3",""))+LEN(IFERROR(INDEX('Saisie programme'!$D$13:$J$477,454,WEEKDAY($K$93-1,2))&amp;"",""))-LEN(SUBSTITUTE(IFERROR(INDEX('Saisie programme'!$D$13:$J$477,454,WEEKDAY($K$93-1,2))&amp;"",""),"3",""))+LEN(IFERROR(INDEX('Saisie programme'!$D$13:$J$477,454,WEEKDAY($K$93-2,2))&amp;"",""))-LEN(SUBSTITUTE(IFERROR(INDEX('Saisie programme'!$D$13:$J$477,454,WEEKDAY($K$93-2,2))&amp;"",""),"3",""))</f>
        <v>0</v>
      </c>
      <c r="O160" s="12" t="s">
        <v>53</v>
      </c>
      <c r="P160" s="12" t="s">
        <v>11</v>
      </c>
    </row>
    <row r="161" customFormat="false" ht="15" hidden="false" customHeight="false" outlineLevel="0" collapsed="false">
      <c r="B161" s="10" t="s">
        <v>162</v>
      </c>
      <c r="C161" s="34" t="n">
        <f aca="false">LEN(IFERROR(INDEX('Saisie programme'!$D$13:$J$477,26,WEEKDAY($K$82-0,2))&amp;"",""))-LEN(SUBSTITUTE(IFERROR(INDEX('Saisie programme'!$D$13:$J$477,26,WEEKDAY($K$82-0,2))&amp;"",""),"1",""))+LEN(IFERROR(INDEX('Saisie programme'!$D$13:$J$477,26,WEEKDAY($K$82-0,2))&amp;"",""))-LEN(SUBSTITUTE(IFERROR(INDEX('Saisie programme'!$D$13:$J$477,26,WEEKDAY($K$82-0,2))&amp;"",""),"2",""))+LEN(IFERROR(INDEX('Saisie programme'!$D$13:$J$477,26,WEEKDAY($K$82-1,2))&amp;"",""))-LEN(SUBSTITUTE(IFERROR(INDEX('Saisie programme'!$D$13:$J$477,26,WEEKDAY($K$82-1,2))&amp;"",""),"2",""))+LEN(IFERROR(INDEX('Saisie programme'!$D$13:$J$477,26,WEEKDAY($K$82-0,2))&amp;"",""))-LEN(SUBSTITUTE(IFERROR(INDEX('Saisie programme'!$D$13:$J$477,26,WEEKDAY($K$82-0,2))&amp;"",""),"3",""))+LEN(IFERROR(INDEX('Saisie programme'!$D$13:$J$477,26,WEEKDAY($K$82-1,2))&amp;"",""))-LEN(SUBSTITUTE(IFERROR(INDEX('Saisie programme'!$D$13:$J$477,26,WEEKDAY($K$82-1,2))&amp;"",""),"3",""))+LEN(IFERROR(INDEX('Saisie programme'!$D$13:$J$477,26,WEEKDAY($K$82-2,2))&amp;"",""))-LEN(SUBSTITUTE(IFERROR(INDEX('Saisie programme'!$D$13:$J$477,26,WEEKDAY($K$82-2,2))&amp;"",""),"3",""))</f>
        <v>0</v>
      </c>
      <c r="D161" s="34" t="n">
        <f aca="false">LEN(IFERROR(INDEX('Saisie programme'!$D$13:$J$477,65,WEEKDAY($K$83-0,2))&amp;"",""))-LEN(SUBSTITUTE(IFERROR(INDEX('Saisie programme'!$D$13:$J$477,65,WEEKDAY($K$83-0,2))&amp;"",""),"1",""))+LEN(IFERROR(INDEX('Saisie programme'!$D$13:$J$477,65,WEEKDAY($K$83-0,2))&amp;"",""))-LEN(SUBSTITUTE(IFERROR(INDEX('Saisie programme'!$D$13:$J$477,65,WEEKDAY($K$83-0,2))&amp;"",""),"2",""))+LEN(IFERROR(INDEX('Saisie programme'!$D$13:$J$477,65,WEEKDAY($K$83-1,2))&amp;"",""))-LEN(SUBSTITUTE(IFERROR(INDEX('Saisie programme'!$D$13:$J$477,65,WEEKDAY($K$83-1,2))&amp;"",""),"2",""))+LEN(IFERROR(INDEX('Saisie programme'!$D$13:$J$477,65,WEEKDAY($K$83-0,2))&amp;"",""))-LEN(SUBSTITUTE(IFERROR(INDEX('Saisie programme'!$D$13:$J$477,65,WEEKDAY($K$83-0,2))&amp;"",""),"3",""))+LEN(IFERROR(INDEX('Saisie programme'!$D$13:$J$477,65,WEEKDAY($K$83-1,2))&amp;"",""))-LEN(SUBSTITUTE(IFERROR(INDEX('Saisie programme'!$D$13:$J$477,65,WEEKDAY($K$83-1,2))&amp;"",""),"3",""))+LEN(IFERROR(INDEX('Saisie programme'!$D$13:$J$477,65,WEEKDAY($K$83-2,2))&amp;"",""))-LEN(SUBSTITUTE(IFERROR(INDEX('Saisie programme'!$D$13:$J$477,65,WEEKDAY($K$83-2,2))&amp;"",""),"3",""))</f>
        <v>0</v>
      </c>
      <c r="E161" s="34" t="n">
        <f aca="false">LEN(IFERROR(INDEX('Saisie programme'!$D$13:$J$477,104,WEEKDAY($K$84-0,2))&amp;"",""))-LEN(SUBSTITUTE(IFERROR(INDEX('Saisie programme'!$D$13:$J$477,104,WEEKDAY($K$84-0,2))&amp;"",""),"1",""))+LEN(IFERROR(INDEX('Saisie programme'!$D$13:$J$477,104,WEEKDAY($K$84-0,2))&amp;"",""))-LEN(SUBSTITUTE(IFERROR(INDEX('Saisie programme'!$D$13:$J$477,104,WEEKDAY($K$84-0,2))&amp;"",""),"2",""))+LEN(IFERROR(INDEX('Saisie programme'!$D$13:$J$477,104,WEEKDAY($K$84-1,2))&amp;"",""))-LEN(SUBSTITUTE(IFERROR(INDEX('Saisie programme'!$D$13:$J$477,104,WEEKDAY($K$84-1,2))&amp;"",""),"2",""))+LEN(IFERROR(INDEX('Saisie programme'!$D$13:$J$477,104,WEEKDAY($K$84-0,2))&amp;"",""))-LEN(SUBSTITUTE(IFERROR(INDEX('Saisie programme'!$D$13:$J$477,104,WEEKDAY($K$84-0,2))&amp;"",""),"3",""))+LEN(IFERROR(INDEX('Saisie programme'!$D$13:$J$477,104,WEEKDAY($K$84-1,2))&amp;"",""))-LEN(SUBSTITUTE(IFERROR(INDEX('Saisie programme'!$D$13:$J$477,104,WEEKDAY($K$84-1,2))&amp;"",""),"3",""))+LEN(IFERROR(INDEX('Saisie programme'!$D$13:$J$477,104,WEEKDAY($K$84-2,2))&amp;"",""))-LEN(SUBSTITUTE(IFERROR(INDEX('Saisie programme'!$D$13:$J$477,104,WEEKDAY($K$84-2,2))&amp;"",""),"3",""))</f>
        <v>0</v>
      </c>
      <c r="F161" s="34" t="n">
        <f aca="false">LEN(IFERROR(INDEX('Saisie programme'!$D$13:$J$477,143,WEEKDAY($K$85-0,2))&amp;"",""))-LEN(SUBSTITUTE(IFERROR(INDEX('Saisie programme'!$D$13:$J$477,143,WEEKDAY($K$85-0,2))&amp;"",""),"1",""))+LEN(IFERROR(INDEX('Saisie programme'!$D$13:$J$477,143,WEEKDAY($K$85-0,2))&amp;"",""))-LEN(SUBSTITUTE(IFERROR(INDEX('Saisie programme'!$D$13:$J$477,143,WEEKDAY($K$85-0,2))&amp;"",""),"2",""))+LEN(IFERROR(INDEX('Saisie programme'!$D$13:$J$477,143,WEEKDAY($K$85-1,2))&amp;"",""))-LEN(SUBSTITUTE(IFERROR(INDEX('Saisie programme'!$D$13:$J$477,143,WEEKDAY($K$85-1,2))&amp;"",""),"2",""))+LEN(IFERROR(INDEX('Saisie programme'!$D$13:$J$477,143,WEEKDAY($K$85-0,2))&amp;"",""))-LEN(SUBSTITUTE(IFERROR(INDEX('Saisie programme'!$D$13:$J$477,143,WEEKDAY($K$85-0,2))&amp;"",""),"3",""))+LEN(IFERROR(INDEX('Saisie programme'!$D$13:$J$477,143,WEEKDAY($K$85-1,2))&amp;"",""))-LEN(SUBSTITUTE(IFERROR(INDEX('Saisie programme'!$D$13:$J$477,143,WEEKDAY($K$85-1,2))&amp;"",""),"3",""))+LEN(IFERROR(INDEX('Saisie programme'!$D$13:$J$477,143,WEEKDAY($K$85-2,2))&amp;"",""))-LEN(SUBSTITUTE(IFERROR(INDEX('Saisie programme'!$D$13:$J$477,143,WEEKDAY($K$85-2,2))&amp;"",""),"3",""))</f>
        <v>0</v>
      </c>
      <c r="G161" s="34" t="n">
        <f aca="false">LEN(IFERROR(INDEX('Saisie programme'!$D$13:$J$477,182,WEEKDAY($K$86-0,2))&amp;"",""))-LEN(SUBSTITUTE(IFERROR(INDEX('Saisie programme'!$D$13:$J$477,182,WEEKDAY($K$86-0,2))&amp;"",""),"1",""))+LEN(IFERROR(INDEX('Saisie programme'!$D$13:$J$477,182,WEEKDAY($K$86-0,2))&amp;"",""))-LEN(SUBSTITUTE(IFERROR(INDEX('Saisie programme'!$D$13:$J$477,182,WEEKDAY($K$86-0,2))&amp;"",""),"2",""))+LEN(IFERROR(INDEX('Saisie programme'!$D$13:$J$477,182,WEEKDAY($K$86-1,2))&amp;"",""))-LEN(SUBSTITUTE(IFERROR(INDEX('Saisie programme'!$D$13:$J$477,182,WEEKDAY($K$86-1,2))&amp;"",""),"2",""))+LEN(IFERROR(INDEX('Saisie programme'!$D$13:$J$477,182,WEEKDAY($K$86-0,2))&amp;"",""))-LEN(SUBSTITUTE(IFERROR(INDEX('Saisie programme'!$D$13:$J$477,182,WEEKDAY($K$86-0,2))&amp;"",""),"3",""))+LEN(IFERROR(INDEX('Saisie programme'!$D$13:$J$477,182,WEEKDAY($K$86-1,2))&amp;"",""))-LEN(SUBSTITUTE(IFERROR(INDEX('Saisie programme'!$D$13:$J$477,182,WEEKDAY($K$86-1,2))&amp;"",""),"3",""))+LEN(IFERROR(INDEX('Saisie programme'!$D$13:$J$477,182,WEEKDAY($K$86-2,2))&amp;"",""))-LEN(SUBSTITUTE(IFERROR(INDEX('Saisie programme'!$D$13:$J$477,182,WEEKDAY($K$86-2,2))&amp;"",""),"3",""))</f>
        <v>0</v>
      </c>
      <c r="H161" s="34" t="n">
        <f aca="false">LEN(IFERROR(INDEX('Saisie programme'!$D$13:$J$477,221,WEEKDAY($K$87-0,2))&amp;"",""))-LEN(SUBSTITUTE(IFERROR(INDEX('Saisie programme'!$D$13:$J$477,221,WEEKDAY($K$87-0,2))&amp;"",""),"1",""))+LEN(IFERROR(INDEX('Saisie programme'!$D$13:$J$477,221,WEEKDAY($K$87-0,2))&amp;"",""))-LEN(SUBSTITUTE(IFERROR(INDEX('Saisie programme'!$D$13:$J$477,221,WEEKDAY($K$87-0,2))&amp;"",""),"2",""))+LEN(IFERROR(INDEX('Saisie programme'!$D$13:$J$477,221,WEEKDAY($K$87-1,2))&amp;"",""))-LEN(SUBSTITUTE(IFERROR(INDEX('Saisie programme'!$D$13:$J$477,221,WEEKDAY($K$87-1,2))&amp;"",""),"2",""))+LEN(IFERROR(INDEX('Saisie programme'!$D$13:$J$477,221,WEEKDAY($K$87-0,2))&amp;"",""))-LEN(SUBSTITUTE(IFERROR(INDEX('Saisie programme'!$D$13:$J$477,221,WEEKDAY($K$87-0,2))&amp;"",""),"3",""))+LEN(IFERROR(INDEX('Saisie programme'!$D$13:$J$477,221,WEEKDAY($K$87-1,2))&amp;"",""))-LEN(SUBSTITUTE(IFERROR(INDEX('Saisie programme'!$D$13:$J$477,221,WEEKDAY($K$87-1,2))&amp;"",""),"3",""))+LEN(IFERROR(INDEX('Saisie programme'!$D$13:$J$477,221,WEEKDAY($K$87-2,2))&amp;"",""))-LEN(SUBSTITUTE(IFERROR(INDEX('Saisie programme'!$D$13:$J$477,221,WEEKDAY($K$87-2,2))&amp;"",""),"3",""))</f>
        <v>0</v>
      </c>
      <c r="I161" s="34" t="n">
        <f aca="false">LEN(IFERROR(INDEX('Saisie programme'!$D$13:$J$477,260,WEEKDAY($K$88-0,2))&amp;"",""))-LEN(SUBSTITUTE(IFERROR(INDEX('Saisie programme'!$D$13:$J$477,260,WEEKDAY($K$88-0,2))&amp;"",""),"1",""))+LEN(IFERROR(INDEX('Saisie programme'!$D$13:$J$477,260,WEEKDAY($K$88-0,2))&amp;"",""))-LEN(SUBSTITUTE(IFERROR(INDEX('Saisie programme'!$D$13:$J$477,260,WEEKDAY($K$88-0,2))&amp;"",""),"2",""))+LEN(IFERROR(INDEX('Saisie programme'!$D$13:$J$477,260,WEEKDAY($K$88-1,2))&amp;"",""))-LEN(SUBSTITUTE(IFERROR(INDEX('Saisie programme'!$D$13:$J$477,260,WEEKDAY($K$88-1,2))&amp;"",""),"2",""))+LEN(IFERROR(INDEX('Saisie programme'!$D$13:$J$477,260,WEEKDAY($K$88-0,2))&amp;"",""))-LEN(SUBSTITUTE(IFERROR(INDEX('Saisie programme'!$D$13:$J$477,260,WEEKDAY($K$88-0,2))&amp;"",""),"3",""))+LEN(IFERROR(INDEX('Saisie programme'!$D$13:$J$477,260,WEEKDAY($K$88-1,2))&amp;"",""))-LEN(SUBSTITUTE(IFERROR(INDEX('Saisie programme'!$D$13:$J$477,260,WEEKDAY($K$88-1,2))&amp;"",""),"3",""))+LEN(IFERROR(INDEX('Saisie programme'!$D$13:$J$477,260,WEEKDAY($K$88-2,2))&amp;"",""))-LEN(SUBSTITUTE(IFERROR(INDEX('Saisie programme'!$D$13:$J$477,260,WEEKDAY($K$88-2,2))&amp;"",""),"3",""))</f>
        <v>0</v>
      </c>
      <c r="J161" s="34" t="n">
        <f aca="false">LEN(IFERROR(INDEX('Saisie programme'!$D$13:$J$477,299,WEEKDAY($K$89-0,2))&amp;"",""))-LEN(SUBSTITUTE(IFERROR(INDEX('Saisie programme'!$D$13:$J$477,299,WEEKDAY($K$89-0,2))&amp;"",""),"1",""))+LEN(IFERROR(INDEX('Saisie programme'!$D$13:$J$477,299,WEEKDAY($K$89-0,2))&amp;"",""))-LEN(SUBSTITUTE(IFERROR(INDEX('Saisie programme'!$D$13:$J$477,299,WEEKDAY($K$89-0,2))&amp;"",""),"2",""))+LEN(IFERROR(INDEX('Saisie programme'!$D$13:$J$477,299,WEEKDAY($K$89-1,2))&amp;"",""))-LEN(SUBSTITUTE(IFERROR(INDEX('Saisie programme'!$D$13:$J$477,299,WEEKDAY($K$89-1,2))&amp;"",""),"2",""))+LEN(IFERROR(INDEX('Saisie programme'!$D$13:$J$477,299,WEEKDAY($K$89-0,2))&amp;"",""))-LEN(SUBSTITUTE(IFERROR(INDEX('Saisie programme'!$D$13:$J$477,299,WEEKDAY($K$89-0,2))&amp;"",""),"3",""))+LEN(IFERROR(INDEX('Saisie programme'!$D$13:$J$477,299,WEEKDAY($K$89-1,2))&amp;"",""))-LEN(SUBSTITUTE(IFERROR(INDEX('Saisie programme'!$D$13:$J$477,299,WEEKDAY($K$89-1,2))&amp;"",""),"3",""))+LEN(IFERROR(INDEX('Saisie programme'!$D$13:$J$477,299,WEEKDAY($K$89-2,2))&amp;"",""))-LEN(SUBSTITUTE(IFERROR(INDEX('Saisie programme'!$D$13:$J$477,299,WEEKDAY($K$89-2,2))&amp;"",""),"3",""))</f>
        <v>0</v>
      </c>
      <c r="K161" s="34" t="n">
        <f aca="false">LEN(IFERROR(INDEX('Saisie programme'!$D$13:$J$477,338,WEEKDAY($K$90-0,2))&amp;"",""))-LEN(SUBSTITUTE(IFERROR(INDEX('Saisie programme'!$D$13:$J$477,338,WEEKDAY($K$90-0,2))&amp;"",""),"1",""))+LEN(IFERROR(INDEX('Saisie programme'!$D$13:$J$477,338,WEEKDAY($K$90-0,2))&amp;"",""))-LEN(SUBSTITUTE(IFERROR(INDEX('Saisie programme'!$D$13:$J$477,338,WEEKDAY($K$90-0,2))&amp;"",""),"2",""))+LEN(IFERROR(INDEX('Saisie programme'!$D$13:$J$477,338,WEEKDAY($K$90-1,2))&amp;"",""))-LEN(SUBSTITUTE(IFERROR(INDEX('Saisie programme'!$D$13:$J$477,338,WEEKDAY($K$90-1,2))&amp;"",""),"2",""))+LEN(IFERROR(INDEX('Saisie programme'!$D$13:$J$477,338,WEEKDAY($K$90-0,2))&amp;"",""))-LEN(SUBSTITUTE(IFERROR(INDEX('Saisie programme'!$D$13:$J$477,338,WEEKDAY($K$90-0,2))&amp;"",""),"3",""))+LEN(IFERROR(INDEX('Saisie programme'!$D$13:$J$477,338,WEEKDAY($K$90-1,2))&amp;"",""))-LEN(SUBSTITUTE(IFERROR(INDEX('Saisie programme'!$D$13:$J$477,338,WEEKDAY($K$90-1,2))&amp;"",""),"3",""))+LEN(IFERROR(INDEX('Saisie programme'!$D$13:$J$477,338,WEEKDAY($K$90-2,2))&amp;"",""))-LEN(SUBSTITUTE(IFERROR(INDEX('Saisie programme'!$D$13:$J$477,338,WEEKDAY($K$90-2,2))&amp;"",""),"3",""))</f>
        <v>0</v>
      </c>
      <c r="L161" s="34" t="n">
        <f aca="false">LEN(IFERROR(INDEX('Saisie programme'!$D$13:$J$477,377,WEEKDAY($K$91-0,2))&amp;"",""))-LEN(SUBSTITUTE(IFERROR(INDEX('Saisie programme'!$D$13:$J$477,377,WEEKDAY($K$91-0,2))&amp;"",""),"1",""))+LEN(IFERROR(INDEX('Saisie programme'!$D$13:$J$477,377,WEEKDAY($K$91-0,2))&amp;"",""))-LEN(SUBSTITUTE(IFERROR(INDEX('Saisie programme'!$D$13:$J$477,377,WEEKDAY($K$91-0,2))&amp;"",""),"2",""))+LEN(IFERROR(INDEX('Saisie programme'!$D$13:$J$477,377,WEEKDAY($K$91-1,2))&amp;"",""))-LEN(SUBSTITUTE(IFERROR(INDEX('Saisie programme'!$D$13:$J$477,377,WEEKDAY($K$91-1,2))&amp;"",""),"2",""))+LEN(IFERROR(INDEX('Saisie programme'!$D$13:$J$477,377,WEEKDAY($K$91-0,2))&amp;"",""))-LEN(SUBSTITUTE(IFERROR(INDEX('Saisie programme'!$D$13:$J$477,377,WEEKDAY($K$91-0,2))&amp;"",""),"3",""))+LEN(IFERROR(INDEX('Saisie programme'!$D$13:$J$477,377,WEEKDAY($K$91-1,2))&amp;"",""))-LEN(SUBSTITUTE(IFERROR(INDEX('Saisie programme'!$D$13:$J$477,377,WEEKDAY($K$91-1,2))&amp;"",""),"3",""))+LEN(IFERROR(INDEX('Saisie programme'!$D$13:$J$477,377,WEEKDAY($K$91-2,2))&amp;"",""))-LEN(SUBSTITUTE(IFERROR(INDEX('Saisie programme'!$D$13:$J$477,377,WEEKDAY($K$91-2,2))&amp;"",""),"3",""))</f>
        <v>0</v>
      </c>
      <c r="M161" s="34" t="n">
        <f aca="false">LEN(IFERROR(INDEX('Saisie programme'!$D$13:$J$477,416,WEEKDAY($K$92-0,2))&amp;"",""))-LEN(SUBSTITUTE(IFERROR(INDEX('Saisie programme'!$D$13:$J$477,416,WEEKDAY($K$92-0,2))&amp;"",""),"1",""))+LEN(IFERROR(INDEX('Saisie programme'!$D$13:$J$477,416,WEEKDAY($K$92-0,2))&amp;"",""))-LEN(SUBSTITUTE(IFERROR(INDEX('Saisie programme'!$D$13:$J$477,416,WEEKDAY($K$92-0,2))&amp;"",""),"2",""))+LEN(IFERROR(INDEX('Saisie programme'!$D$13:$J$477,416,WEEKDAY($K$92-1,2))&amp;"",""))-LEN(SUBSTITUTE(IFERROR(INDEX('Saisie programme'!$D$13:$J$477,416,WEEKDAY($K$92-1,2))&amp;"",""),"2",""))+LEN(IFERROR(INDEX('Saisie programme'!$D$13:$J$477,416,WEEKDAY($K$92-0,2))&amp;"",""))-LEN(SUBSTITUTE(IFERROR(INDEX('Saisie programme'!$D$13:$J$477,416,WEEKDAY($K$92-0,2))&amp;"",""),"3",""))+LEN(IFERROR(INDEX('Saisie programme'!$D$13:$J$477,416,WEEKDAY($K$92-1,2))&amp;"",""))-LEN(SUBSTITUTE(IFERROR(INDEX('Saisie programme'!$D$13:$J$477,416,WEEKDAY($K$92-1,2))&amp;"",""),"3",""))+LEN(IFERROR(INDEX('Saisie programme'!$D$13:$J$477,416,WEEKDAY($K$92-2,2))&amp;"",""))-LEN(SUBSTITUTE(IFERROR(INDEX('Saisie programme'!$D$13:$J$477,416,WEEKDAY($K$92-2,2))&amp;"",""),"3",""))</f>
        <v>0</v>
      </c>
      <c r="N161" s="34" t="n">
        <f aca="false">LEN(IFERROR(INDEX('Saisie programme'!$D$13:$J$477,455,WEEKDAY($K$93-0,2))&amp;"",""))-LEN(SUBSTITUTE(IFERROR(INDEX('Saisie programme'!$D$13:$J$477,455,WEEKDAY($K$93-0,2))&amp;"",""),"1",""))+LEN(IFERROR(INDEX('Saisie programme'!$D$13:$J$477,455,WEEKDAY($K$93-0,2))&amp;"",""))-LEN(SUBSTITUTE(IFERROR(INDEX('Saisie programme'!$D$13:$J$477,455,WEEKDAY($K$93-0,2))&amp;"",""),"2",""))+LEN(IFERROR(INDEX('Saisie programme'!$D$13:$J$477,455,WEEKDAY($K$93-1,2))&amp;"",""))-LEN(SUBSTITUTE(IFERROR(INDEX('Saisie programme'!$D$13:$J$477,455,WEEKDAY($K$93-1,2))&amp;"",""),"2",""))+LEN(IFERROR(INDEX('Saisie programme'!$D$13:$J$477,455,WEEKDAY($K$93-0,2))&amp;"",""))-LEN(SUBSTITUTE(IFERROR(INDEX('Saisie programme'!$D$13:$J$477,455,WEEKDAY($K$93-0,2))&amp;"",""),"3",""))+LEN(IFERROR(INDEX('Saisie programme'!$D$13:$J$477,455,WEEKDAY($K$93-1,2))&amp;"",""))-LEN(SUBSTITUTE(IFERROR(INDEX('Saisie programme'!$D$13:$J$477,455,WEEKDAY($K$93-1,2))&amp;"",""),"3",""))+LEN(IFERROR(INDEX('Saisie programme'!$D$13:$J$477,455,WEEKDAY($K$93-2,2))&amp;"",""))-LEN(SUBSTITUTE(IFERROR(INDEX('Saisie programme'!$D$13:$J$477,455,WEEKDAY($K$93-2,2))&amp;"",""),"3",""))</f>
        <v>0</v>
      </c>
      <c r="O161" s="12" t="s">
        <v>53</v>
      </c>
      <c r="P161" s="12" t="s">
        <v>19</v>
      </c>
    </row>
    <row r="162" customFormat="false" ht="15" hidden="false" customHeight="false" outlineLevel="0" collapsed="false">
      <c r="B162" s="10" t="s">
        <v>163</v>
      </c>
      <c r="C162" s="34" t="n">
        <f aca="false">LEN(IFERROR(INDEX('Saisie programme'!$D$13:$J$477,27,WEEKDAY($K$82-0,2))&amp;"",""))-LEN(SUBSTITUTE(IFERROR(INDEX('Saisie programme'!$D$13:$J$477,27,WEEKDAY($K$82-0,2))&amp;"",""),"1",""))+LEN(IFERROR(INDEX('Saisie programme'!$D$13:$J$477,27,WEEKDAY($K$82-0,2))&amp;"",""))-LEN(SUBSTITUTE(IFERROR(INDEX('Saisie programme'!$D$13:$J$477,27,WEEKDAY($K$82-0,2))&amp;"",""),"2",""))+LEN(IFERROR(INDEX('Saisie programme'!$D$13:$J$477,27,WEEKDAY($K$82-1,2))&amp;"",""))-LEN(SUBSTITUTE(IFERROR(INDEX('Saisie programme'!$D$13:$J$477,27,WEEKDAY($K$82-1,2))&amp;"",""),"2",""))+LEN(IFERROR(INDEX('Saisie programme'!$D$13:$J$477,27,WEEKDAY($K$82-0,2))&amp;"",""))-LEN(SUBSTITUTE(IFERROR(INDEX('Saisie programme'!$D$13:$J$477,27,WEEKDAY($K$82-0,2))&amp;"",""),"3",""))+LEN(IFERROR(INDEX('Saisie programme'!$D$13:$J$477,27,WEEKDAY($K$82-1,2))&amp;"",""))-LEN(SUBSTITUTE(IFERROR(INDEX('Saisie programme'!$D$13:$J$477,27,WEEKDAY($K$82-1,2))&amp;"",""),"3",""))+LEN(IFERROR(INDEX('Saisie programme'!$D$13:$J$477,27,WEEKDAY($K$82-2,2))&amp;"",""))-LEN(SUBSTITUTE(IFERROR(INDEX('Saisie programme'!$D$13:$J$477,27,WEEKDAY($K$82-2,2))&amp;"",""),"3",""))</f>
        <v>0</v>
      </c>
      <c r="D162" s="34" t="n">
        <f aca="false">LEN(IFERROR(INDEX('Saisie programme'!$D$13:$J$477,66,WEEKDAY($K$83-0,2))&amp;"",""))-LEN(SUBSTITUTE(IFERROR(INDEX('Saisie programme'!$D$13:$J$477,66,WEEKDAY($K$83-0,2))&amp;"",""),"1",""))+LEN(IFERROR(INDEX('Saisie programme'!$D$13:$J$477,66,WEEKDAY($K$83-0,2))&amp;"",""))-LEN(SUBSTITUTE(IFERROR(INDEX('Saisie programme'!$D$13:$J$477,66,WEEKDAY($K$83-0,2))&amp;"",""),"2",""))+LEN(IFERROR(INDEX('Saisie programme'!$D$13:$J$477,66,WEEKDAY($K$83-1,2))&amp;"",""))-LEN(SUBSTITUTE(IFERROR(INDEX('Saisie programme'!$D$13:$J$477,66,WEEKDAY($K$83-1,2))&amp;"",""),"2",""))+LEN(IFERROR(INDEX('Saisie programme'!$D$13:$J$477,66,WEEKDAY($K$83-0,2))&amp;"",""))-LEN(SUBSTITUTE(IFERROR(INDEX('Saisie programme'!$D$13:$J$477,66,WEEKDAY($K$83-0,2))&amp;"",""),"3",""))+LEN(IFERROR(INDEX('Saisie programme'!$D$13:$J$477,66,WEEKDAY($K$83-1,2))&amp;"",""))-LEN(SUBSTITUTE(IFERROR(INDEX('Saisie programme'!$D$13:$J$477,66,WEEKDAY($K$83-1,2))&amp;"",""),"3",""))+LEN(IFERROR(INDEX('Saisie programme'!$D$13:$J$477,66,WEEKDAY($K$83-2,2))&amp;"",""))-LEN(SUBSTITUTE(IFERROR(INDEX('Saisie programme'!$D$13:$J$477,66,WEEKDAY($K$83-2,2))&amp;"",""),"3",""))</f>
        <v>0</v>
      </c>
      <c r="E162" s="34" t="n">
        <f aca="false">LEN(IFERROR(INDEX('Saisie programme'!$D$13:$J$477,105,WEEKDAY($K$84-0,2))&amp;"",""))-LEN(SUBSTITUTE(IFERROR(INDEX('Saisie programme'!$D$13:$J$477,105,WEEKDAY($K$84-0,2))&amp;"",""),"1",""))+LEN(IFERROR(INDEX('Saisie programme'!$D$13:$J$477,105,WEEKDAY($K$84-0,2))&amp;"",""))-LEN(SUBSTITUTE(IFERROR(INDEX('Saisie programme'!$D$13:$J$477,105,WEEKDAY($K$84-0,2))&amp;"",""),"2",""))+LEN(IFERROR(INDEX('Saisie programme'!$D$13:$J$477,105,WEEKDAY($K$84-1,2))&amp;"",""))-LEN(SUBSTITUTE(IFERROR(INDEX('Saisie programme'!$D$13:$J$477,105,WEEKDAY($K$84-1,2))&amp;"",""),"2",""))+LEN(IFERROR(INDEX('Saisie programme'!$D$13:$J$477,105,WEEKDAY($K$84-0,2))&amp;"",""))-LEN(SUBSTITUTE(IFERROR(INDEX('Saisie programme'!$D$13:$J$477,105,WEEKDAY($K$84-0,2))&amp;"",""),"3",""))+LEN(IFERROR(INDEX('Saisie programme'!$D$13:$J$477,105,WEEKDAY($K$84-1,2))&amp;"",""))-LEN(SUBSTITUTE(IFERROR(INDEX('Saisie programme'!$D$13:$J$477,105,WEEKDAY($K$84-1,2))&amp;"",""),"3",""))+LEN(IFERROR(INDEX('Saisie programme'!$D$13:$J$477,105,WEEKDAY($K$84-2,2))&amp;"",""))-LEN(SUBSTITUTE(IFERROR(INDEX('Saisie programme'!$D$13:$J$477,105,WEEKDAY($K$84-2,2))&amp;"",""),"3",""))</f>
        <v>0</v>
      </c>
      <c r="F162" s="34" t="n">
        <f aca="false">LEN(IFERROR(INDEX('Saisie programme'!$D$13:$J$477,144,WEEKDAY($K$85-0,2))&amp;"",""))-LEN(SUBSTITUTE(IFERROR(INDEX('Saisie programme'!$D$13:$J$477,144,WEEKDAY($K$85-0,2))&amp;"",""),"1",""))+LEN(IFERROR(INDEX('Saisie programme'!$D$13:$J$477,144,WEEKDAY($K$85-0,2))&amp;"",""))-LEN(SUBSTITUTE(IFERROR(INDEX('Saisie programme'!$D$13:$J$477,144,WEEKDAY($K$85-0,2))&amp;"",""),"2",""))+LEN(IFERROR(INDEX('Saisie programme'!$D$13:$J$477,144,WEEKDAY($K$85-1,2))&amp;"",""))-LEN(SUBSTITUTE(IFERROR(INDEX('Saisie programme'!$D$13:$J$477,144,WEEKDAY($K$85-1,2))&amp;"",""),"2",""))+LEN(IFERROR(INDEX('Saisie programme'!$D$13:$J$477,144,WEEKDAY($K$85-0,2))&amp;"",""))-LEN(SUBSTITUTE(IFERROR(INDEX('Saisie programme'!$D$13:$J$477,144,WEEKDAY($K$85-0,2))&amp;"",""),"3",""))+LEN(IFERROR(INDEX('Saisie programme'!$D$13:$J$477,144,WEEKDAY($K$85-1,2))&amp;"",""))-LEN(SUBSTITUTE(IFERROR(INDEX('Saisie programme'!$D$13:$J$477,144,WEEKDAY($K$85-1,2))&amp;"",""),"3",""))+LEN(IFERROR(INDEX('Saisie programme'!$D$13:$J$477,144,WEEKDAY($K$85-2,2))&amp;"",""))-LEN(SUBSTITUTE(IFERROR(INDEX('Saisie programme'!$D$13:$J$477,144,WEEKDAY($K$85-2,2))&amp;"",""),"3",""))</f>
        <v>0</v>
      </c>
      <c r="G162" s="34" t="n">
        <f aca="false">LEN(IFERROR(INDEX('Saisie programme'!$D$13:$J$477,183,WEEKDAY($K$86-0,2))&amp;"",""))-LEN(SUBSTITUTE(IFERROR(INDEX('Saisie programme'!$D$13:$J$477,183,WEEKDAY($K$86-0,2))&amp;"",""),"1",""))+LEN(IFERROR(INDEX('Saisie programme'!$D$13:$J$477,183,WEEKDAY($K$86-0,2))&amp;"",""))-LEN(SUBSTITUTE(IFERROR(INDEX('Saisie programme'!$D$13:$J$477,183,WEEKDAY($K$86-0,2))&amp;"",""),"2",""))+LEN(IFERROR(INDEX('Saisie programme'!$D$13:$J$477,183,WEEKDAY($K$86-1,2))&amp;"",""))-LEN(SUBSTITUTE(IFERROR(INDEX('Saisie programme'!$D$13:$J$477,183,WEEKDAY($K$86-1,2))&amp;"",""),"2",""))+LEN(IFERROR(INDEX('Saisie programme'!$D$13:$J$477,183,WEEKDAY($K$86-0,2))&amp;"",""))-LEN(SUBSTITUTE(IFERROR(INDEX('Saisie programme'!$D$13:$J$477,183,WEEKDAY($K$86-0,2))&amp;"",""),"3",""))+LEN(IFERROR(INDEX('Saisie programme'!$D$13:$J$477,183,WEEKDAY($K$86-1,2))&amp;"",""))-LEN(SUBSTITUTE(IFERROR(INDEX('Saisie programme'!$D$13:$J$477,183,WEEKDAY($K$86-1,2))&amp;"",""),"3",""))+LEN(IFERROR(INDEX('Saisie programme'!$D$13:$J$477,183,WEEKDAY($K$86-2,2))&amp;"",""))-LEN(SUBSTITUTE(IFERROR(INDEX('Saisie programme'!$D$13:$J$477,183,WEEKDAY($K$86-2,2))&amp;"",""),"3",""))</f>
        <v>0</v>
      </c>
      <c r="H162" s="34" t="n">
        <f aca="false">LEN(IFERROR(INDEX('Saisie programme'!$D$13:$J$477,222,WEEKDAY($K$87-0,2))&amp;"",""))-LEN(SUBSTITUTE(IFERROR(INDEX('Saisie programme'!$D$13:$J$477,222,WEEKDAY($K$87-0,2))&amp;"",""),"1",""))+LEN(IFERROR(INDEX('Saisie programme'!$D$13:$J$477,222,WEEKDAY($K$87-0,2))&amp;"",""))-LEN(SUBSTITUTE(IFERROR(INDEX('Saisie programme'!$D$13:$J$477,222,WEEKDAY($K$87-0,2))&amp;"",""),"2",""))+LEN(IFERROR(INDEX('Saisie programme'!$D$13:$J$477,222,WEEKDAY($K$87-1,2))&amp;"",""))-LEN(SUBSTITUTE(IFERROR(INDEX('Saisie programme'!$D$13:$J$477,222,WEEKDAY($K$87-1,2))&amp;"",""),"2",""))+LEN(IFERROR(INDEX('Saisie programme'!$D$13:$J$477,222,WEEKDAY($K$87-0,2))&amp;"",""))-LEN(SUBSTITUTE(IFERROR(INDEX('Saisie programme'!$D$13:$J$477,222,WEEKDAY($K$87-0,2))&amp;"",""),"3",""))+LEN(IFERROR(INDEX('Saisie programme'!$D$13:$J$477,222,WEEKDAY($K$87-1,2))&amp;"",""))-LEN(SUBSTITUTE(IFERROR(INDEX('Saisie programme'!$D$13:$J$477,222,WEEKDAY($K$87-1,2))&amp;"",""),"3",""))+LEN(IFERROR(INDEX('Saisie programme'!$D$13:$J$477,222,WEEKDAY($K$87-2,2))&amp;"",""))-LEN(SUBSTITUTE(IFERROR(INDEX('Saisie programme'!$D$13:$J$477,222,WEEKDAY($K$87-2,2))&amp;"",""),"3",""))</f>
        <v>0</v>
      </c>
      <c r="I162" s="34" t="n">
        <f aca="false">LEN(IFERROR(INDEX('Saisie programme'!$D$13:$J$477,261,WEEKDAY($K$88-0,2))&amp;"",""))-LEN(SUBSTITUTE(IFERROR(INDEX('Saisie programme'!$D$13:$J$477,261,WEEKDAY($K$88-0,2))&amp;"",""),"1",""))+LEN(IFERROR(INDEX('Saisie programme'!$D$13:$J$477,261,WEEKDAY($K$88-0,2))&amp;"",""))-LEN(SUBSTITUTE(IFERROR(INDEX('Saisie programme'!$D$13:$J$477,261,WEEKDAY($K$88-0,2))&amp;"",""),"2",""))+LEN(IFERROR(INDEX('Saisie programme'!$D$13:$J$477,261,WEEKDAY($K$88-1,2))&amp;"",""))-LEN(SUBSTITUTE(IFERROR(INDEX('Saisie programme'!$D$13:$J$477,261,WEEKDAY($K$88-1,2))&amp;"",""),"2",""))+LEN(IFERROR(INDEX('Saisie programme'!$D$13:$J$477,261,WEEKDAY($K$88-0,2))&amp;"",""))-LEN(SUBSTITUTE(IFERROR(INDEX('Saisie programme'!$D$13:$J$477,261,WEEKDAY($K$88-0,2))&amp;"",""),"3",""))+LEN(IFERROR(INDEX('Saisie programme'!$D$13:$J$477,261,WEEKDAY($K$88-1,2))&amp;"",""))-LEN(SUBSTITUTE(IFERROR(INDEX('Saisie programme'!$D$13:$J$477,261,WEEKDAY($K$88-1,2))&amp;"",""),"3",""))+LEN(IFERROR(INDEX('Saisie programme'!$D$13:$J$477,261,WEEKDAY($K$88-2,2))&amp;"",""))-LEN(SUBSTITUTE(IFERROR(INDEX('Saisie programme'!$D$13:$J$477,261,WEEKDAY($K$88-2,2))&amp;"",""),"3",""))</f>
        <v>0</v>
      </c>
      <c r="J162" s="34" t="n">
        <f aca="false">LEN(IFERROR(INDEX('Saisie programme'!$D$13:$J$477,300,WEEKDAY($K$89-0,2))&amp;"",""))-LEN(SUBSTITUTE(IFERROR(INDEX('Saisie programme'!$D$13:$J$477,300,WEEKDAY($K$89-0,2))&amp;"",""),"1",""))+LEN(IFERROR(INDEX('Saisie programme'!$D$13:$J$477,300,WEEKDAY($K$89-0,2))&amp;"",""))-LEN(SUBSTITUTE(IFERROR(INDEX('Saisie programme'!$D$13:$J$477,300,WEEKDAY($K$89-0,2))&amp;"",""),"2",""))+LEN(IFERROR(INDEX('Saisie programme'!$D$13:$J$477,300,WEEKDAY($K$89-1,2))&amp;"",""))-LEN(SUBSTITUTE(IFERROR(INDEX('Saisie programme'!$D$13:$J$477,300,WEEKDAY($K$89-1,2))&amp;"",""),"2",""))+LEN(IFERROR(INDEX('Saisie programme'!$D$13:$J$477,300,WEEKDAY($K$89-0,2))&amp;"",""))-LEN(SUBSTITUTE(IFERROR(INDEX('Saisie programme'!$D$13:$J$477,300,WEEKDAY($K$89-0,2))&amp;"",""),"3",""))+LEN(IFERROR(INDEX('Saisie programme'!$D$13:$J$477,300,WEEKDAY($K$89-1,2))&amp;"",""))-LEN(SUBSTITUTE(IFERROR(INDEX('Saisie programme'!$D$13:$J$477,300,WEEKDAY($K$89-1,2))&amp;"",""),"3",""))+LEN(IFERROR(INDEX('Saisie programme'!$D$13:$J$477,300,WEEKDAY($K$89-2,2))&amp;"",""))-LEN(SUBSTITUTE(IFERROR(INDEX('Saisie programme'!$D$13:$J$477,300,WEEKDAY($K$89-2,2))&amp;"",""),"3",""))</f>
        <v>0</v>
      </c>
      <c r="K162" s="34" t="n">
        <f aca="false">LEN(IFERROR(INDEX('Saisie programme'!$D$13:$J$477,339,WEEKDAY($K$90-0,2))&amp;"",""))-LEN(SUBSTITUTE(IFERROR(INDEX('Saisie programme'!$D$13:$J$477,339,WEEKDAY($K$90-0,2))&amp;"",""),"1",""))+LEN(IFERROR(INDEX('Saisie programme'!$D$13:$J$477,339,WEEKDAY($K$90-0,2))&amp;"",""))-LEN(SUBSTITUTE(IFERROR(INDEX('Saisie programme'!$D$13:$J$477,339,WEEKDAY($K$90-0,2))&amp;"",""),"2",""))+LEN(IFERROR(INDEX('Saisie programme'!$D$13:$J$477,339,WEEKDAY($K$90-1,2))&amp;"",""))-LEN(SUBSTITUTE(IFERROR(INDEX('Saisie programme'!$D$13:$J$477,339,WEEKDAY($K$90-1,2))&amp;"",""),"2",""))+LEN(IFERROR(INDEX('Saisie programme'!$D$13:$J$477,339,WEEKDAY($K$90-0,2))&amp;"",""))-LEN(SUBSTITUTE(IFERROR(INDEX('Saisie programme'!$D$13:$J$477,339,WEEKDAY($K$90-0,2))&amp;"",""),"3",""))+LEN(IFERROR(INDEX('Saisie programme'!$D$13:$J$477,339,WEEKDAY($K$90-1,2))&amp;"",""))-LEN(SUBSTITUTE(IFERROR(INDEX('Saisie programme'!$D$13:$J$477,339,WEEKDAY($K$90-1,2))&amp;"",""),"3",""))+LEN(IFERROR(INDEX('Saisie programme'!$D$13:$J$477,339,WEEKDAY($K$90-2,2))&amp;"",""))-LEN(SUBSTITUTE(IFERROR(INDEX('Saisie programme'!$D$13:$J$477,339,WEEKDAY($K$90-2,2))&amp;"",""),"3",""))</f>
        <v>0</v>
      </c>
      <c r="L162" s="34" t="n">
        <f aca="false">LEN(IFERROR(INDEX('Saisie programme'!$D$13:$J$477,378,WEEKDAY($K$91-0,2))&amp;"",""))-LEN(SUBSTITUTE(IFERROR(INDEX('Saisie programme'!$D$13:$J$477,378,WEEKDAY($K$91-0,2))&amp;"",""),"1",""))+LEN(IFERROR(INDEX('Saisie programme'!$D$13:$J$477,378,WEEKDAY($K$91-0,2))&amp;"",""))-LEN(SUBSTITUTE(IFERROR(INDEX('Saisie programme'!$D$13:$J$477,378,WEEKDAY($K$91-0,2))&amp;"",""),"2",""))+LEN(IFERROR(INDEX('Saisie programme'!$D$13:$J$477,378,WEEKDAY($K$91-1,2))&amp;"",""))-LEN(SUBSTITUTE(IFERROR(INDEX('Saisie programme'!$D$13:$J$477,378,WEEKDAY($K$91-1,2))&amp;"",""),"2",""))+LEN(IFERROR(INDEX('Saisie programme'!$D$13:$J$477,378,WEEKDAY($K$91-0,2))&amp;"",""))-LEN(SUBSTITUTE(IFERROR(INDEX('Saisie programme'!$D$13:$J$477,378,WEEKDAY($K$91-0,2))&amp;"",""),"3",""))+LEN(IFERROR(INDEX('Saisie programme'!$D$13:$J$477,378,WEEKDAY($K$91-1,2))&amp;"",""))-LEN(SUBSTITUTE(IFERROR(INDEX('Saisie programme'!$D$13:$J$477,378,WEEKDAY($K$91-1,2))&amp;"",""),"3",""))+LEN(IFERROR(INDEX('Saisie programme'!$D$13:$J$477,378,WEEKDAY($K$91-2,2))&amp;"",""))-LEN(SUBSTITUTE(IFERROR(INDEX('Saisie programme'!$D$13:$J$477,378,WEEKDAY($K$91-2,2))&amp;"",""),"3",""))</f>
        <v>0</v>
      </c>
      <c r="M162" s="34" t="n">
        <f aca="false">LEN(IFERROR(INDEX('Saisie programme'!$D$13:$J$477,417,WEEKDAY($K$92-0,2))&amp;"",""))-LEN(SUBSTITUTE(IFERROR(INDEX('Saisie programme'!$D$13:$J$477,417,WEEKDAY($K$92-0,2))&amp;"",""),"1",""))+LEN(IFERROR(INDEX('Saisie programme'!$D$13:$J$477,417,WEEKDAY($K$92-0,2))&amp;"",""))-LEN(SUBSTITUTE(IFERROR(INDEX('Saisie programme'!$D$13:$J$477,417,WEEKDAY($K$92-0,2))&amp;"",""),"2",""))+LEN(IFERROR(INDEX('Saisie programme'!$D$13:$J$477,417,WEEKDAY($K$92-1,2))&amp;"",""))-LEN(SUBSTITUTE(IFERROR(INDEX('Saisie programme'!$D$13:$J$477,417,WEEKDAY($K$92-1,2))&amp;"",""),"2",""))+LEN(IFERROR(INDEX('Saisie programme'!$D$13:$J$477,417,WEEKDAY($K$92-0,2))&amp;"",""))-LEN(SUBSTITUTE(IFERROR(INDEX('Saisie programme'!$D$13:$J$477,417,WEEKDAY($K$92-0,2))&amp;"",""),"3",""))+LEN(IFERROR(INDEX('Saisie programme'!$D$13:$J$477,417,WEEKDAY($K$92-1,2))&amp;"",""))-LEN(SUBSTITUTE(IFERROR(INDEX('Saisie programme'!$D$13:$J$477,417,WEEKDAY($K$92-1,2))&amp;"",""),"3",""))+LEN(IFERROR(INDEX('Saisie programme'!$D$13:$J$477,417,WEEKDAY($K$92-2,2))&amp;"",""))-LEN(SUBSTITUTE(IFERROR(INDEX('Saisie programme'!$D$13:$J$477,417,WEEKDAY($K$92-2,2))&amp;"",""),"3",""))</f>
        <v>0</v>
      </c>
      <c r="N162" s="34" t="n">
        <f aca="false">LEN(IFERROR(INDEX('Saisie programme'!$D$13:$J$477,456,WEEKDAY($K$93-0,2))&amp;"",""))-LEN(SUBSTITUTE(IFERROR(INDEX('Saisie programme'!$D$13:$J$477,456,WEEKDAY($K$93-0,2))&amp;"",""),"1",""))+LEN(IFERROR(INDEX('Saisie programme'!$D$13:$J$477,456,WEEKDAY($K$93-0,2))&amp;"",""))-LEN(SUBSTITUTE(IFERROR(INDEX('Saisie programme'!$D$13:$J$477,456,WEEKDAY($K$93-0,2))&amp;"",""),"2",""))+LEN(IFERROR(INDEX('Saisie programme'!$D$13:$J$477,456,WEEKDAY($K$93-1,2))&amp;"",""))-LEN(SUBSTITUTE(IFERROR(INDEX('Saisie programme'!$D$13:$J$477,456,WEEKDAY($K$93-1,2))&amp;"",""),"2",""))+LEN(IFERROR(INDEX('Saisie programme'!$D$13:$J$477,456,WEEKDAY($K$93-0,2))&amp;"",""))-LEN(SUBSTITUTE(IFERROR(INDEX('Saisie programme'!$D$13:$J$477,456,WEEKDAY($K$93-0,2))&amp;"",""),"3",""))+LEN(IFERROR(INDEX('Saisie programme'!$D$13:$J$477,456,WEEKDAY($K$93-1,2))&amp;"",""))-LEN(SUBSTITUTE(IFERROR(INDEX('Saisie programme'!$D$13:$J$477,456,WEEKDAY($K$93-1,2))&amp;"",""),"3",""))+LEN(IFERROR(INDEX('Saisie programme'!$D$13:$J$477,456,WEEKDAY($K$93-2,2))&amp;"",""))-LEN(SUBSTITUTE(IFERROR(INDEX('Saisie programme'!$D$13:$J$477,456,WEEKDAY($K$93-2,2))&amp;"",""),"3",""))</f>
        <v>0</v>
      </c>
      <c r="O162" s="12" t="s">
        <v>53</v>
      </c>
      <c r="P162" s="12" t="s">
        <v>24</v>
      </c>
    </row>
    <row r="163" customFormat="false" ht="15" hidden="false" customHeight="false" outlineLevel="0" collapsed="false">
      <c r="B163" s="10" t="s">
        <v>164</v>
      </c>
      <c r="C163" s="34" t="n">
        <f aca="false">LEN(IFERROR(INDEX('Saisie programme'!$D$13:$J$477,28,WEEKDAY($K$82-0,2))&amp;"",""))-LEN(SUBSTITUTE(IFERROR(INDEX('Saisie programme'!$D$13:$J$477,28,WEEKDAY($K$82-0,2))&amp;"",""),"1",""))+LEN(IFERROR(INDEX('Saisie programme'!$D$13:$J$477,28,WEEKDAY($K$82-0,2))&amp;"",""))-LEN(SUBSTITUTE(IFERROR(INDEX('Saisie programme'!$D$13:$J$477,28,WEEKDAY($K$82-0,2))&amp;"",""),"2",""))+LEN(IFERROR(INDEX('Saisie programme'!$D$13:$J$477,28,WEEKDAY($K$82-1,2))&amp;"",""))-LEN(SUBSTITUTE(IFERROR(INDEX('Saisie programme'!$D$13:$J$477,28,WEEKDAY($K$82-1,2))&amp;"",""),"2",""))+LEN(IFERROR(INDEX('Saisie programme'!$D$13:$J$477,28,WEEKDAY($K$82-0,2))&amp;"",""))-LEN(SUBSTITUTE(IFERROR(INDEX('Saisie programme'!$D$13:$J$477,28,WEEKDAY($K$82-0,2))&amp;"",""),"3",""))+LEN(IFERROR(INDEX('Saisie programme'!$D$13:$J$477,28,WEEKDAY($K$82-1,2))&amp;"",""))-LEN(SUBSTITUTE(IFERROR(INDEX('Saisie programme'!$D$13:$J$477,28,WEEKDAY($K$82-1,2))&amp;"",""),"3",""))+LEN(IFERROR(INDEX('Saisie programme'!$D$13:$J$477,28,WEEKDAY($K$82-2,2))&amp;"",""))-LEN(SUBSTITUTE(IFERROR(INDEX('Saisie programme'!$D$13:$J$477,28,WEEKDAY($K$82-2,2))&amp;"",""),"3",""))</f>
        <v>0</v>
      </c>
      <c r="D163" s="34" t="n">
        <f aca="false">LEN(IFERROR(INDEX('Saisie programme'!$D$13:$J$477,67,WEEKDAY($K$83-0,2))&amp;"",""))-LEN(SUBSTITUTE(IFERROR(INDEX('Saisie programme'!$D$13:$J$477,67,WEEKDAY($K$83-0,2))&amp;"",""),"1",""))+LEN(IFERROR(INDEX('Saisie programme'!$D$13:$J$477,67,WEEKDAY($K$83-0,2))&amp;"",""))-LEN(SUBSTITUTE(IFERROR(INDEX('Saisie programme'!$D$13:$J$477,67,WEEKDAY($K$83-0,2))&amp;"",""),"2",""))+LEN(IFERROR(INDEX('Saisie programme'!$D$13:$J$477,67,WEEKDAY($K$83-1,2))&amp;"",""))-LEN(SUBSTITUTE(IFERROR(INDEX('Saisie programme'!$D$13:$J$477,67,WEEKDAY($K$83-1,2))&amp;"",""),"2",""))+LEN(IFERROR(INDEX('Saisie programme'!$D$13:$J$477,67,WEEKDAY($K$83-0,2))&amp;"",""))-LEN(SUBSTITUTE(IFERROR(INDEX('Saisie programme'!$D$13:$J$477,67,WEEKDAY($K$83-0,2))&amp;"",""),"3",""))+LEN(IFERROR(INDEX('Saisie programme'!$D$13:$J$477,67,WEEKDAY($K$83-1,2))&amp;"",""))-LEN(SUBSTITUTE(IFERROR(INDEX('Saisie programme'!$D$13:$J$477,67,WEEKDAY($K$83-1,2))&amp;"",""),"3",""))+LEN(IFERROR(INDEX('Saisie programme'!$D$13:$J$477,67,WEEKDAY($K$83-2,2))&amp;"",""))-LEN(SUBSTITUTE(IFERROR(INDEX('Saisie programme'!$D$13:$J$477,67,WEEKDAY($K$83-2,2))&amp;"",""),"3",""))</f>
        <v>0</v>
      </c>
      <c r="E163" s="34" t="n">
        <f aca="false">LEN(IFERROR(INDEX('Saisie programme'!$D$13:$J$477,106,WEEKDAY($K$84-0,2))&amp;"",""))-LEN(SUBSTITUTE(IFERROR(INDEX('Saisie programme'!$D$13:$J$477,106,WEEKDAY($K$84-0,2))&amp;"",""),"1",""))+LEN(IFERROR(INDEX('Saisie programme'!$D$13:$J$477,106,WEEKDAY($K$84-0,2))&amp;"",""))-LEN(SUBSTITUTE(IFERROR(INDEX('Saisie programme'!$D$13:$J$477,106,WEEKDAY($K$84-0,2))&amp;"",""),"2",""))+LEN(IFERROR(INDEX('Saisie programme'!$D$13:$J$477,106,WEEKDAY($K$84-1,2))&amp;"",""))-LEN(SUBSTITUTE(IFERROR(INDEX('Saisie programme'!$D$13:$J$477,106,WEEKDAY($K$84-1,2))&amp;"",""),"2",""))+LEN(IFERROR(INDEX('Saisie programme'!$D$13:$J$477,106,WEEKDAY($K$84-0,2))&amp;"",""))-LEN(SUBSTITUTE(IFERROR(INDEX('Saisie programme'!$D$13:$J$477,106,WEEKDAY($K$84-0,2))&amp;"",""),"3",""))+LEN(IFERROR(INDEX('Saisie programme'!$D$13:$J$477,106,WEEKDAY($K$84-1,2))&amp;"",""))-LEN(SUBSTITUTE(IFERROR(INDEX('Saisie programme'!$D$13:$J$477,106,WEEKDAY($K$84-1,2))&amp;"",""),"3",""))+LEN(IFERROR(INDEX('Saisie programme'!$D$13:$J$477,106,WEEKDAY($K$84-2,2))&amp;"",""))-LEN(SUBSTITUTE(IFERROR(INDEX('Saisie programme'!$D$13:$J$477,106,WEEKDAY($K$84-2,2))&amp;"",""),"3",""))</f>
        <v>0</v>
      </c>
      <c r="F163" s="34" t="n">
        <f aca="false">LEN(IFERROR(INDEX('Saisie programme'!$D$13:$J$477,145,WEEKDAY($K$85-0,2))&amp;"",""))-LEN(SUBSTITUTE(IFERROR(INDEX('Saisie programme'!$D$13:$J$477,145,WEEKDAY($K$85-0,2))&amp;"",""),"1",""))+LEN(IFERROR(INDEX('Saisie programme'!$D$13:$J$477,145,WEEKDAY($K$85-0,2))&amp;"",""))-LEN(SUBSTITUTE(IFERROR(INDEX('Saisie programme'!$D$13:$J$477,145,WEEKDAY($K$85-0,2))&amp;"",""),"2",""))+LEN(IFERROR(INDEX('Saisie programme'!$D$13:$J$477,145,WEEKDAY($K$85-1,2))&amp;"",""))-LEN(SUBSTITUTE(IFERROR(INDEX('Saisie programme'!$D$13:$J$477,145,WEEKDAY($K$85-1,2))&amp;"",""),"2",""))+LEN(IFERROR(INDEX('Saisie programme'!$D$13:$J$477,145,WEEKDAY($K$85-0,2))&amp;"",""))-LEN(SUBSTITUTE(IFERROR(INDEX('Saisie programme'!$D$13:$J$477,145,WEEKDAY($K$85-0,2))&amp;"",""),"3",""))+LEN(IFERROR(INDEX('Saisie programme'!$D$13:$J$477,145,WEEKDAY($K$85-1,2))&amp;"",""))-LEN(SUBSTITUTE(IFERROR(INDEX('Saisie programme'!$D$13:$J$477,145,WEEKDAY($K$85-1,2))&amp;"",""),"3",""))+LEN(IFERROR(INDEX('Saisie programme'!$D$13:$J$477,145,WEEKDAY($K$85-2,2))&amp;"",""))-LEN(SUBSTITUTE(IFERROR(INDEX('Saisie programme'!$D$13:$J$477,145,WEEKDAY($K$85-2,2))&amp;"",""),"3",""))</f>
        <v>0</v>
      </c>
      <c r="G163" s="34" t="n">
        <f aca="false">LEN(IFERROR(INDEX('Saisie programme'!$D$13:$J$477,184,WEEKDAY($K$86-0,2))&amp;"",""))-LEN(SUBSTITUTE(IFERROR(INDEX('Saisie programme'!$D$13:$J$477,184,WEEKDAY($K$86-0,2))&amp;"",""),"1",""))+LEN(IFERROR(INDEX('Saisie programme'!$D$13:$J$477,184,WEEKDAY($K$86-0,2))&amp;"",""))-LEN(SUBSTITUTE(IFERROR(INDEX('Saisie programme'!$D$13:$J$477,184,WEEKDAY($K$86-0,2))&amp;"",""),"2",""))+LEN(IFERROR(INDEX('Saisie programme'!$D$13:$J$477,184,WEEKDAY($K$86-1,2))&amp;"",""))-LEN(SUBSTITUTE(IFERROR(INDEX('Saisie programme'!$D$13:$J$477,184,WEEKDAY($K$86-1,2))&amp;"",""),"2",""))+LEN(IFERROR(INDEX('Saisie programme'!$D$13:$J$477,184,WEEKDAY($K$86-0,2))&amp;"",""))-LEN(SUBSTITUTE(IFERROR(INDEX('Saisie programme'!$D$13:$J$477,184,WEEKDAY($K$86-0,2))&amp;"",""),"3",""))+LEN(IFERROR(INDEX('Saisie programme'!$D$13:$J$477,184,WEEKDAY($K$86-1,2))&amp;"",""))-LEN(SUBSTITUTE(IFERROR(INDEX('Saisie programme'!$D$13:$J$477,184,WEEKDAY($K$86-1,2))&amp;"",""),"3",""))+LEN(IFERROR(INDEX('Saisie programme'!$D$13:$J$477,184,WEEKDAY($K$86-2,2))&amp;"",""))-LEN(SUBSTITUTE(IFERROR(INDEX('Saisie programme'!$D$13:$J$477,184,WEEKDAY($K$86-2,2))&amp;"",""),"3",""))</f>
        <v>0</v>
      </c>
      <c r="H163" s="34" t="n">
        <f aca="false">LEN(IFERROR(INDEX('Saisie programme'!$D$13:$J$477,223,WEEKDAY($K$87-0,2))&amp;"",""))-LEN(SUBSTITUTE(IFERROR(INDEX('Saisie programme'!$D$13:$J$477,223,WEEKDAY($K$87-0,2))&amp;"",""),"1",""))+LEN(IFERROR(INDEX('Saisie programme'!$D$13:$J$477,223,WEEKDAY($K$87-0,2))&amp;"",""))-LEN(SUBSTITUTE(IFERROR(INDEX('Saisie programme'!$D$13:$J$477,223,WEEKDAY($K$87-0,2))&amp;"",""),"2",""))+LEN(IFERROR(INDEX('Saisie programme'!$D$13:$J$477,223,WEEKDAY($K$87-1,2))&amp;"",""))-LEN(SUBSTITUTE(IFERROR(INDEX('Saisie programme'!$D$13:$J$477,223,WEEKDAY($K$87-1,2))&amp;"",""),"2",""))+LEN(IFERROR(INDEX('Saisie programme'!$D$13:$J$477,223,WEEKDAY($K$87-0,2))&amp;"",""))-LEN(SUBSTITUTE(IFERROR(INDEX('Saisie programme'!$D$13:$J$477,223,WEEKDAY($K$87-0,2))&amp;"",""),"3",""))+LEN(IFERROR(INDEX('Saisie programme'!$D$13:$J$477,223,WEEKDAY($K$87-1,2))&amp;"",""))-LEN(SUBSTITUTE(IFERROR(INDEX('Saisie programme'!$D$13:$J$477,223,WEEKDAY($K$87-1,2))&amp;"",""),"3",""))+LEN(IFERROR(INDEX('Saisie programme'!$D$13:$J$477,223,WEEKDAY($K$87-2,2))&amp;"",""))-LEN(SUBSTITUTE(IFERROR(INDEX('Saisie programme'!$D$13:$J$477,223,WEEKDAY($K$87-2,2))&amp;"",""),"3",""))</f>
        <v>0</v>
      </c>
      <c r="I163" s="34" t="n">
        <f aca="false">LEN(IFERROR(INDEX('Saisie programme'!$D$13:$J$477,262,WEEKDAY($K$88-0,2))&amp;"",""))-LEN(SUBSTITUTE(IFERROR(INDEX('Saisie programme'!$D$13:$J$477,262,WEEKDAY($K$88-0,2))&amp;"",""),"1",""))+LEN(IFERROR(INDEX('Saisie programme'!$D$13:$J$477,262,WEEKDAY($K$88-0,2))&amp;"",""))-LEN(SUBSTITUTE(IFERROR(INDEX('Saisie programme'!$D$13:$J$477,262,WEEKDAY($K$88-0,2))&amp;"",""),"2",""))+LEN(IFERROR(INDEX('Saisie programme'!$D$13:$J$477,262,WEEKDAY($K$88-1,2))&amp;"",""))-LEN(SUBSTITUTE(IFERROR(INDEX('Saisie programme'!$D$13:$J$477,262,WEEKDAY($K$88-1,2))&amp;"",""),"2",""))+LEN(IFERROR(INDEX('Saisie programme'!$D$13:$J$477,262,WEEKDAY($K$88-0,2))&amp;"",""))-LEN(SUBSTITUTE(IFERROR(INDEX('Saisie programme'!$D$13:$J$477,262,WEEKDAY($K$88-0,2))&amp;"",""),"3",""))+LEN(IFERROR(INDEX('Saisie programme'!$D$13:$J$477,262,WEEKDAY($K$88-1,2))&amp;"",""))-LEN(SUBSTITUTE(IFERROR(INDEX('Saisie programme'!$D$13:$J$477,262,WEEKDAY($K$88-1,2))&amp;"",""),"3",""))+LEN(IFERROR(INDEX('Saisie programme'!$D$13:$J$477,262,WEEKDAY($K$88-2,2))&amp;"",""))-LEN(SUBSTITUTE(IFERROR(INDEX('Saisie programme'!$D$13:$J$477,262,WEEKDAY($K$88-2,2))&amp;"",""),"3",""))</f>
        <v>0</v>
      </c>
      <c r="J163" s="34" t="n">
        <f aca="false">LEN(IFERROR(INDEX('Saisie programme'!$D$13:$J$477,301,WEEKDAY($K$89-0,2))&amp;"",""))-LEN(SUBSTITUTE(IFERROR(INDEX('Saisie programme'!$D$13:$J$477,301,WEEKDAY($K$89-0,2))&amp;"",""),"1",""))+LEN(IFERROR(INDEX('Saisie programme'!$D$13:$J$477,301,WEEKDAY($K$89-0,2))&amp;"",""))-LEN(SUBSTITUTE(IFERROR(INDEX('Saisie programme'!$D$13:$J$477,301,WEEKDAY($K$89-0,2))&amp;"",""),"2",""))+LEN(IFERROR(INDEX('Saisie programme'!$D$13:$J$477,301,WEEKDAY($K$89-1,2))&amp;"",""))-LEN(SUBSTITUTE(IFERROR(INDEX('Saisie programme'!$D$13:$J$477,301,WEEKDAY($K$89-1,2))&amp;"",""),"2",""))+LEN(IFERROR(INDEX('Saisie programme'!$D$13:$J$477,301,WEEKDAY($K$89-0,2))&amp;"",""))-LEN(SUBSTITUTE(IFERROR(INDEX('Saisie programme'!$D$13:$J$477,301,WEEKDAY($K$89-0,2))&amp;"",""),"3",""))+LEN(IFERROR(INDEX('Saisie programme'!$D$13:$J$477,301,WEEKDAY($K$89-1,2))&amp;"",""))-LEN(SUBSTITUTE(IFERROR(INDEX('Saisie programme'!$D$13:$J$477,301,WEEKDAY($K$89-1,2))&amp;"",""),"3",""))+LEN(IFERROR(INDEX('Saisie programme'!$D$13:$J$477,301,WEEKDAY($K$89-2,2))&amp;"",""))-LEN(SUBSTITUTE(IFERROR(INDEX('Saisie programme'!$D$13:$J$477,301,WEEKDAY($K$89-2,2))&amp;"",""),"3",""))</f>
        <v>0</v>
      </c>
      <c r="K163" s="34" t="n">
        <f aca="false">LEN(IFERROR(INDEX('Saisie programme'!$D$13:$J$477,340,WEEKDAY($K$90-0,2))&amp;"",""))-LEN(SUBSTITUTE(IFERROR(INDEX('Saisie programme'!$D$13:$J$477,340,WEEKDAY($K$90-0,2))&amp;"",""),"1",""))+LEN(IFERROR(INDEX('Saisie programme'!$D$13:$J$477,340,WEEKDAY($K$90-0,2))&amp;"",""))-LEN(SUBSTITUTE(IFERROR(INDEX('Saisie programme'!$D$13:$J$477,340,WEEKDAY($K$90-0,2))&amp;"",""),"2",""))+LEN(IFERROR(INDEX('Saisie programme'!$D$13:$J$477,340,WEEKDAY($K$90-1,2))&amp;"",""))-LEN(SUBSTITUTE(IFERROR(INDEX('Saisie programme'!$D$13:$J$477,340,WEEKDAY($K$90-1,2))&amp;"",""),"2",""))+LEN(IFERROR(INDEX('Saisie programme'!$D$13:$J$477,340,WEEKDAY($K$90-0,2))&amp;"",""))-LEN(SUBSTITUTE(IFERROR(INDEX('Saisie programme'!$D$13:$J$477,340,WEEKDAY($K$90-0,2))&amp;"",""),"3",""))+LEN(IFERROR(INDEX('Saisie programme'!$D$13:$J$477,340,WEEKDAY($K$90-1,2))&amp;"",""))-LEN(SUBSTITUTE(IFERROR(INDEX('Saisie programme'!$D$13:$J$477,340,WEEKDAY($K$90-1,2))&amp;"",""),"3",""))+LEN(IFERROR(INDEX('Saisie programme'!$D$13:$J$477,340,WEEKDAY($K$90-2,2))&amp;"",""))-LEN(SUBSTITUTE(IFERROR(INDEX('Saisie programme'!$D$13:$J$477,340,WEEKDAY($K$90-2,2))&amp;"",""),"3",""))</f>
        <v>0</v>
      </c>
      <c r="L163" s="34" t="n">
        <f aca="false">LEN(IFERROR(INDEX('Saisie programme'!$D$13:$J$477,379,WEEKDAY($K$91-0,2))&amp;"",""))-LEN(SUBSTITUTE(IFERROR(INDEX('Saisie programme'!$D$13:$J$477,379,WEEKDAY($K$91-0,2))&amp;"",""),"1",""))+LEN(IFERROR(INDEX('Saisie programme'!$D$13:$J$477,379,WEEKDAY($K$91-0,2))&amp;"",""))-LEN(SUBSTITUTE(IFERROR(INDEX('Saisie programme'!$D$13:$J$477,379,WEEKDAY($K$91-0,2))&amp;"",""),"2",""))+LEN(IFERROR(INDEX('Saisie programme'!$D$13:$J$477,379,WEEKDAY($K$91-1,2))&amp;"",""))-LEN(SUBSTITUTE(IFERROR(INDEX('Saisie programme'!$D$13:$J$477,379,WEEKDAY($K$91-1,2))&amp;"",""),"2",""))+LEN(IFERROR(INDEX('Saisie programme'!$D$13:$J$477,379,WEEKDAY($K$91-0,2))&amp;"",""))-LEN(SUBSTITUTE(IFERROR(INDEX('Saisie programme'!$D$13:$J$477,379,WEEKDAY($K$91-0,2))&amp;"",""),"3",""))+LEN(IFERROR(INDEX('Saisie programme'!$D$13:$J$477,379,WEEKDAY($K$91-1,2))&amp;"",""))-LEN(SUBSTITUTE(IFERROR(INDEX('Saisie programme'!$D$13:$J$477,379,WEEKDAY($K$91-1,2))&amp;"",""),"3",""))+LEN(IFERROR(INDEX('Saisie programme'!$D$13:$J$477,379,WEEKDAY($K$91-2,2))&amp;"",""))-LEN(SUBSTITUTE(IFERROR(INDEX('Saisie programme'!$D$13:$J$477,379,WEEKDAY($K$91-2,2))&amp;"",""),"3",""))</f>
        <v>0</v>
      </c>
      <c r="M163" s="34" t="n">
        <f aca="false">LEN(IFERROR(INDEX('Saisie programme'!$D$13:$J$477,418,WEEKDAY($K$92-0,2))&amp;"",""))-LEN(SUBSTITUTE(IFERROR(INDEX('Saisie programme'!$D$13:$J$477,418,WEEKDAY($K$92-0,2))&amp;"",""),"1",""))+LEN(IFERROR(INDEX('Saisie programme'!$D$13:$J$477,418,WEEKDAY($K$92-0,2))&amp;"",""))-LEN(SUBSTITUTE(IFERROR(INDEX('Saisie programme'!$D$13:$J$477,418,WEEKDAY($K$92-0,2))&amp;"",""),"2",""))+LEN(IFERROR(INDEX('Saisie programme'!$D$13:$J$477,418,WEEKDAY($K$92-1,2))&amp;"",""))-LEN(SUBSTITUTE(IFERROR(INDEX('Saisie programme'!$D$13:$J$477,418,WEEKDAY($K$92-1,2))&amp;"",""),"2",""))+LEN(IFERROR(INDEX('Saisie programme'!$D$13:$J$477,418,WEEKDAY($K$92-0,2))&amp;"",""))-LEN(SUBSTITUTE(IFERROR(INDEX('Saisie programme'!$D$13:$J$477,418,WEEKDAY($K$92-0,2))&amp;"",""),"3",""))+LEN(IFERROR(INDEX('Saisie programme'!$D$13:$J$477,418,WEEKDAY($K$92-1,2))&amp;"",""))-LEN(SUBSTITUTE(IFERROR(INDEX('Saisie programme'!$D$13:$J$477,418,WEEKDAY($K$92-1,2))&amp;"",""),"3",""))+LEN(IFERROR(INDEX('Saisie programme'!$D$13:$J$477,418,WEEKDAY($K$92-2,2))&amp;"",""))-LEN(SUBSTITUTE(IFERROR(INDEX('Saisie programme'!$D$13:$J$477,418,WEEKDAY($K$92-2,2))&amp;"",""),"3",""))</f>
        <v>0</v>
      </c>
      <c r="N163" s="34" t="n">
        <f aca="false">LEN(IFERROR(INDEX('Saisie programme'!$D$13:$J$477,457,WEEKDAY($K$93-0,2))&amp;"",""))-LEN(SUBSTITUTE(IFERROR(INDEX('Saisie programme'!$D$13:$J$477,457,WEEKDAY($K$93-0,2))&amp;"",""),"1",""))+LEN(IFERROR(INDEX('Saisie programme'!$D$13:$J$477,457,WEEKDAY($K$93-0,2))&amp;"",""))-LEN(SUBSTITUTE(IFERROR(INDEX('Saisie programme'!$D$13:$J$477,457,WEEKDAY($K$93-0,2))&amp;"",""),"2",""))+LEN(IFERROR(INDEX('Saisie programme'!$D$13:$J$477,457,WEEKDAY($K$93-1,2))&amp;"",""))-LEN(SUBSTITUTE(IFERROR(INDEX('Saisie programme'!$D$13:$J$477,457,WEEKDAY($K$93-1,2))&amp;"",""),"2",""))+LEN(IFERROR(INDEX('Saisie programme'!$D$13:$J$477,457,WEEKDAY($K$93-0,2))&amp;"",""))-LEN(SUBSTITUTE(IFERROR(INDEX('Saisie programme'!$D$13:$J$477,457,WEEKDAY($K$93-0,2))&amp;"",""),"3",""))+LEN(IFERROR(INDEX('Saisie programme'!$D$13:$J$477,457,WEEKDAY($K$93-1,2))&amp;"",""))-LEN(SUBSTITUTE(IFERROR(INDEX('Saisie programme'!$D$13:$J$477,457,WEEKDAY($K$93-1,2))&amp;"",""),"3",""))+LEN(IFERROR(INDEX('Saisie programme'!$D$13:$J$477,457,WEEKDAY($K$93-2,2))&amp;"",""))-LEN(SUBSTITUTE(IFERROR(INDEX('Saisie programme'!$D$13:$J$477,457,WEEKDAY($K$93-2,2))&amp;"",""),"3",""))</f>
        <v>0</v>
      </c>
      <c r="O163" s="12" t="s">
        <v>56</v>
      </c>
      <c r="P163" s="12" t="s">
        <v>11</v>
      </c>
    </row>
    <row r="164" customFormat="false" ht="15" hidden="false" customHeight="false" outlineLevel="0" collapsed="false">
      <c r="B164" s="10" t="s">
        <v>165</v>
      </c>
      <c r="C164" s="34" t="n">
        <f aca="false">LEN(IFERROR(INDEX('Saisie programme'!$D$13:$J$477,29,WEEKDAY($K$82-0,2))&amp;"",""))-LEN(SUBSTITUTE(IFERROR(INDEX('Saisie programme'!$D$13:$J$477,29,WEEKDAY($K$82-0,2))&amp;"",""),"1",""))+LEN(IFERROR(INDEX('Saisie programme'!$D$13:$J$477,29,WEEKDAY($K$82-0,2))&amp;"",""))-LEN(SUBSTITUTE(IFERROR(INDEX('Saisie programme'!$D$13:$J$477,29,WEEKDAY($K$82-0,2))&amp;"",""),"2",""))+LEN(IFERROR(INDEX('Saisie programme'!$D$13:$J$477,29,WEEKDAY($K$82-1,2))&amp;"",""))-LEN(SUBSTITUTE(IFERROR(INDEX('Saisie programme'!$D$13:$J$477,29,WEEKDAY($K$82-1,2))&amp;"",""),"2",""))+LEN(IFERROR(INDEX('Saisie programme'!$D$13:$J$477,29,WEEKDAY($K$82-0,2))&amp;"",""))-LEN(SUBSTITUTE(IFERROR(INDEX('Saisie programme'!$D$13:$J$477,29,WEEKDAY($K$82-0,2))&amp;"",""),"3",""))+LEN(IFERROR(INDEX('Saisie programme'!$D$13:$J$477,29,WEEKDAY($K$82-1,2))&amp;"",""))-LEN(SUBSTITUTE(IFERROR(INDEX('Saisie programme'!$D$13:$J$477,29,WEEKDAY($K$82-1,2))&amp;"",""),"3",""))+LEN(IFERROR(INDEX('Saisie programme'!$D$13:$J$477,29,WEEKDAY($K$82-2,2))&amp;"",""))-LEN(SUBSTITUTE(IFERROR(INDEX('Saisie programme'!$D$13:$J$477,29,WEEKDAY($K$82-2,2))&amp;"",""),"3",""))</f>
        <v>0</v>
      </c>
      <c r="D164" s="34" t="n">
        <f aca="false">LEN(IFERROR(INDEX('Saisie programme'!$D$13:$J$477,68,WEEKDAY($K$83-0,2))&amp;"",""))-LEN(SUBSTITUTE(IFERROR(INDEX('Saisie programme'!$D$13:$J$477,68,WEEKDAY($K$83-0,2))&amp;"",""),"1",""))+LEN(IFERROR(INDEX('Saisie programme'!$D$13:$J$477,68,WEEKDAY($K$83-0,2))&amp;"",""))-LEN(SUBSTITUTE(IFERROR(INDEX('Saisie programme'!$D$13:$J$477,68,WEEKDAY($K$83-0,2))&amp;"",""),"2",""))+LEN(IFERROR(INDEX('Saisie programme'!$D$13:$J$477,68,WEEKDAY($K$83-1,2))&amp;"",""))-LEN(SUBSTITUTE(IFERROR(INDEX('Saisie programme'!$D$13:$J$477,68,WEEKDAY($K$83-1,2))&amp;"",""),"2",""))+LEN(IFERROR(INDEX('Saisie programme'!$D$13:$J$477,68,WEEKDAY($K$83-0,2))&amp;"",""))-LEN(SUBSTITUTE(IFERROR(INDEX('Saisie programme'!$D$13:$J$477,68,WEEKDAY($K$83-0,2))&amp;"",""),"3",""))+LEN(IFERROR(INDEX('Saisie programme'!$D$13:$J$477,68,WEEKDAY($K$83-1,2))&amp;"",""))-LEN(SUBSTITUTE(IFERROR(INDEX('Saisie programme'!$D$13:$J$477,68,WEEKDAY($K$83-1,2))&amp;"",""),"3",""))+LEN(IFERROR(INDEX('Saisie programme'!$D$13:$J$477,68,WEEKDAY($K$83-2,2))&amp;"",""))-LEN(SUBSTITUTE(IFERROR(INDEX('Saisie programme'!$D$13:$J$477,68,WEEKDAY($K$83-2,2))&amp;"",""),"3",""))</f>
        <v>0</v>
      </c>
      <c r="E164" s="34" t="n">
        <f aca="false">LEN(IFERROR(INDEX('Saisie programme'!$D$13:$J$477,107,WEEKDAY($K$84-0,2))&amp;"",""))-LEN(SUBSTITUTE(IFERROR(INDEX('Saisie programme'!$D$13:$J$477,107,WEEKDAY($K$84-0,2))&amp;"",""),"1",""))+LEN(IFERROR(INDEX('Saisie programme'!$D$13:$J$477,107,WEEKDAY($K$84-0,2))&amp;"",""))-LEN(SUBSTITUTE(IFERROR(INDEX('Saisie programme'!$D$13:$J$477,107,WEEKDAY($K$84-0,2))&amp;"",""),"2",""))+LEN(IFERROR(INDEX('Saisie programme'!$D$13:$J$477,107,WEEKDAY($K$84-1,2))&amp;"",""))-LEN(SUBSTITUTE(IFERROR(INDEX('Saisie programme'!$D$13:$J$477,107,WEEKDAY($K$84-1,2))&amp;"",""),"2",""))+LEN(IFERROR(INDEX('Saisie programme'!$D$13:$J$477,107,WEEKDAY($K$84-0,2))&amp;"",""))-LEN(SUBSTITUTE(IFERROR(INDEX('Saisie programme'!$D$13:$J$477,107,WEEKDAY($K$84-0,2))&amp;"",""),"3",""))+LEN(IFERROR(INDEX('Saisie programme'!$D$13:$J$477,107,WEEKDAY($K$84-1,2))&amp;"",""))-LEN(SUBSTITUTE(IFERROR(INDEX('Saisie programme'!$D$13:$J$477,107,WEEKDAY($K$84-1,2))&amp;"",""),"3",""))+LEN(IFERROR(INDEX('Saisie programme'!$D$13:$J$477,107,WEEKDAY($K$84-2,2))&amp;"",""))-LEN(SUBSTITUTE(IFERROR(INDEX('Saisie programme'!$D$13:$J$477,107,WEEKDAY($K$84-2,2))&amp;"",""),"3",""))</f>
        <v>0</v>
      </c>
      <c r="F164" s="34" t="n">
        <f aca="false">LEN(IFERROR(INDEX('Saisie programme'!$D$13:$J$477,146,WEEKDAY($K$85-0,2))&amp;"",""))-LEN(SUBSTITUTE(IFERROR(INDEX('Saisie programme'!$D$13:$J$477,146,WEEKDAY($K$85-0,2))&amp;"",""),"1",""))+LEN(IFERROR(INDEX('Saisie programme'!$D$13:$J$477,146,WEEKDAY($K$85-0,2))&amp;"",""))-LEN(SUBSTITUTE(IFERROR(INDEX('Saisie programme'!$D$13:$J$477,146,WEEKDAY($K$85-0,2))&amp;"",""),"2",""))+LEN(IFERROR(INDEX('Saisie programme'!$D$13:$J$477,146,WEEKDAY($K$85-1,2))&amp;"",""))-LEN(SUBSTITUTE(IFERROR(INDEX('Saisie programme'!$D$13:$J$477,146,WEEKDAY($K$85-1,2))&amp;"",""),"2",""))+LEN(IFERROR(INDEX('Saisie programme'!$D$13:$J$477,146,WEEKDAY($K$85-0,2))&amp;"",""))-LEN(SUBSTITUTE(IFERROR(INDEX('Saisie programme'!$D$13:$J$477,146,WEEKDAY($K$85-0,2))&amp;"",""),"3",""))+LEN(IFERROR(INDEX('Saisie programme'!$D$13:$J$477,146,WEEKDAY($K$85-1,2))&amp;"",""))-LEN(SUBSTITUTE(IFERROR(INDEX('Saisie programme'!$D$13:$J$477,146,WEEKDAY($K$85-1,2))&amp;"",""),"3",""))+LEN(IFERROR(INDEX('Saisie programme'!$D$13:$J$477,146,WEEKDAY($K$85-2,2))&amp;"",""))-LEN(SUBSTITUTE(IFERROR(INDEX('Saisie programme'!$D$13:$J$477,146,WEEKDAY($K$85-2,2))&amp;"",""),"3",""))</f>
        <v>0</v>
      </c>
      <c r="G164" s="34" t="n">
        <f aca="false">LEN(IFERROR(INDEX('Saisie programme'!$D$13:$J$477,185,WEEKDAY($K$86-0,2))&amp;"",""))-LEN(SUBSTITUTE(IFERROR(INDEX('Saisie programme'!$D$13:$J$477,185,WEEKDAY($K$86-0,2))&amp;"",""),"1",""))+LEN(IFERROR(INDEX('Saisie programme'!$D$13:$J$477,185,WEEKDAY($K$86-0,2))&amp;"",""))-LEN(SUBSTITUTE(IFERROR(INDEX('Saisie programme'!$D$13:$J$477,185,WEEKDAY($K$86-0,2))&amp;"",""),"2",""))+LEN(IFERROR(INDEX('Saisie programme'!$D$13:$J$477,185,WEEKDAY($K$86-1,2))&amp;"",""))-LEN(SUBSTITUTE(IFERROR(INDEX('Saisie programme'!$D$13:$J$477,185,WEEKDAY($K$86-1,2))&amp;"",""),"2",""))+LEN(IFERROR(INDEX('Saisie programme'!$D$13:$J$477,185,WEEKDAY($K$86-0,2))&amp;"",""))-LEN(SUBSTITUTE(IFERROR(INDEX('Saisie programme'!$D$13:$J$477,185,WEEKDAY($K$86-0,2))&amp;"",""),"3",""))+LEN(IFERROR(INDEX('Saisie programme'!$D$13:$J$477,185,WEEKDAY($K$86-1,2))&amp;"",""))-LEN(SUBSTITUTE(IFERROR(INDEX('Saisie programme'!$D$13:$J$477,185,WEEKDAY($K$86-1,2))&amp;"",""),"3",""))+LEN(IFERROR(INDEX('Saisie programme'!$D$13:$J$477,185,WEEKDAY($K$86-2,2))&amp;"",""))-LEN(SUBSTITUTE(IFERROR(INDEX('Saisie programme'!$D$13:$J$477,185,WEEKDAY($K$86-2,2))&amp;"",""),"3",""))</f>
        <v>0</v>
      </c>
      <c r="H164" s="34" t="n">
        <f aca="false">LEN(IFERROR(INDEX('Saisie programme'!$D$13:$J$477,224,WEEKDAY($K$87-0,2))&amp;"",""))-LEN(SUBSTITUTE(IFERROR(INDEX('Saisie programme'!$D$13:$J$477,224,WEEKDAY($K$87-0,2))&amp;"",""),"1",""))+LEN(IFERROR(INDEX('Saisie programme'!$D$13:$J$477,224,WEEKDAY($K$87-0,2))&amp;"",""))-LEN(SUBSTITUTE(IFERROR(INDEX('Saisie programme'!$D$13:$J$477,224,WEEKDAY($K$87-0,2))&amp;"",""),"2",""))+LEN(IFERROR(INDEX('Saisie programme'!$D$13:$J$477,224,WEEKDAY($K$87-1,2))&amp;"",""))-LEN(SUBSTITUTE(IFERROR(INDEX('Saisie programme'!$D$13:$J$477,224,WEEKDAY($K$87-1,2))&amp;"",""),"2",""))+LEN(IFERROR(INDEX('Saisie programme'!$D$13:$J$477,224,WEEKDAY($K$87-0,2))&amp;"",""))-LEN(SUBSTITUTE(IFERROR(INDEX('Saisie programme'!$D$13:$J$477,224,WEEKDAY($K$87-0,2))&amp;"",""),"3",""))+LEN(IFERROR(INDEX('Saisie programme'!$D$13:$J$477,224,WEEKDAY($K$87-1,2))&amp;"",""))-LEN(SUBSTITUTE(IFERROR(INDEX('Saisie programme'!$D$13:$J$477,224,WEEKDAY($K$87-1,2))&amp;"",""),"3",""))+LEN(IFERROR(INDEX('Saisie programme'!$D$13:$J$477,224,WEEKDAY($K$87-2,2))&amp;"",""))-LEN(SUBSTITUTE(IFERROR(INDEX('Saisie programme'!$D$13:$J$477,224,WEEKDAY($K$87-2,2))&amp;"",""),"3",""))</f>
        <v>0</v>
      </c>
      <c r="I164" s="34" t="n">
        <f aca="false">LEN(IFERROR(INDEX('Saisie programme'!$D$13:$J$477,263,WEEKDAY($K$88-0,2))&amp;"",""))-LEN(SUBSTITUTE(IFERROR(INDEX('Saisie programme'!$D$13:$J$477,263,WEEKDAY($K$88-0,2))&amp;"",""),"1",""))+LEN(IFERROR(INDEX('Saisie programme'!$D$13:$J$477,263,WEEKDAY($K$88-0,2))&amp;"",""))-LEN(SUBSTITUTE(IFERROR(INDEX('Saisie programme'!$D$13:$J$477,263,WEEKDAY($K$88-0,2))&amp;"",""),"2",""))+LEN(IFERROR(INDEX('Saisie programme'!$D$13:$J$477,263,WEEKDAY($K$88-1,2))&amp;"",""))-LEN(SUBSTITUTE(IFERROR(INDEX('Saisie programme'!$D$13:$J$477,263,WEEKDAY($K$88-1,2))&amp;"",""),"2",""))+LEN(IFERROR(INDEX('Saisie programme'!$D$13:$J$477,263,WEEKDAY($K$88-0,2))&amp;"",""))-LEN(SUBSTITUTE(IFERROR(INDEX('Saisie programme'!$D$13:$J$477,263,WEEKDAY($K$88-0,2))&amp;"",""),"3",""))+LEN(IFERROR(INDEX('Saisie programme'!$D$13:$J$477,263,WEEKDAY($K$88-1,2))&amp;"",""))-LEN(SUBSTITUTE(IFERROR(INDEX('Saisie programme'!$D$13:$J$477,263,WEEKDAY($K$88-1,2))&amp;"",""),"3",""))+LEN(IFERROR(INDEX('Saisie programme'!$D$13:$J$477,263,WEEKDAY($K$88-2,2))&amp;"",""))-LEN(SUBSTITUTE(IFERROR(INDEX('Saisie programme'!$D$13:$J$477,263,WEEKDAY($K$88-2,2))&amp;"",""),"3",""))</f>
        <v>0</v>
      </c>
      <c r="J164" s="34" t="n">
        <f aca="false">LEN(IFERROR(INDEX('Saisie programme'!$D$13:$J$477,302,WEEKDAY($K$89-0,2))&amp;"",""))-LEN(SUBSTITUTE(IFERROR(INDEX('Saisie programme'!$D$13:$J$477,302,WEEKDAY($K$89-0,2))&amp;"",""),"1",""))+LEN(IFERROR(INDEX('Saisie programme'!$D$13:$J$477,302,WEEKDAY($K$89-0,2))&amp;"",""))-LEN(SUBSTITUTE(IFERROR(INDEX('Saisie programme'!$D$13:$J$477,302,WEEKDAY($K$89-0,2))&amp;"",""),"2",""))+LEN(IFERROR(INDEX('Saisie programme'!$D$13:$J$477,302,WEEKDAY($K$89-1,2))&amp;"",""))-LEN(SUBSTITUTE(IFERROR(INDEX('Saisie programme'!$D$13:$J$477,302,WEEKDAY($K$89-1,2))&amp;"",""),"2",""))+LEN(IFERROR(INDEX('Saisie programme'!$D$13:$J$477,302,WEEKDAY($K$89-0,2))&amp;"",""))-LEN(SUBSTITUTE(IFERROR(INDEX('Saisie programme'!$D$13:$J$477,302,WEEKDAY($K$89-0,2))&amp;"",""),"3",""))+LEN(IFERROR(INDEX('Saisie programme'!$D$13:$J$477,302,WEEKDAY($K$89-1,2))&amp;"",""))-LEN(SUBSTITUTE(IFERROR(INDEX('Saisie programme'!$D$13:$J$477,302,WEEKDAY($K$89-1,2))&amp;"",""),"3",""))+LEN(IFERROR(INDEX('Saisie programme'!$D$13:$J$477,302,WEEKDAY($K$89-2,2))&amp;"",""))-LEN(SUBSTITUTE(IFERROR(INDEX('Saisie programme'!$D$13:$J$477,302,WEEKDAY($K$89-2,2))&amp;"",""),"3",""))</f>
        <v>0</v>
      </c>
      <c r="K164" s="34" t="n">
        <f aca="false">LEN(IFERROR(INDEX('Saisie programme'!$D$13:$J$477,341,WEEKDAY($K$90-0,2))&amp;"",""))-LEN(SUBSTITUTE(IFERROR(INDEX('Saisie programme'!$D$13:$J$477,341,WEEKDAY($K$90-0,2))&amp;"",""),"1",""))+LEN(IFERROR(INDEX('Saisie programme'!$D$13:$J$477,341,WEEKDAY($K$90-0,2))&amp;"",""))-LEN(SUBSTITUTE(IFERROR(INDEX('Saisie programme'!$D$13:$J$477,341,WEEKDAY($K$90-0,2))&amp;"",""),"2",""))+LEN(IFERROR(INDEX('Saisie programme'!$D$13:$J$477,341,WEEKDAY($K$90-1,2))&amp;"",""))-LEN(SUBSTITUTE(IFERROR(INDEX('Saisie programme'!$D$13:$J$477,341,WEEKDAY($K$90-1,2))&amp;"",""),"2",""))+LEN(IFERROR(INDEX('Saisie programme'!$D$13:$J$477,341,WEEKDAY($K$90-0,2))&amp;"",""))-LEN(SUBSTITUTE(IFERROR(INDEX('Saisie programme'!$D$13:$J$477,341,WEEKDAY($K$90-0,2))&amp;"",""),"3",""))+LEN(IFERROR(INDEX('Saisie programme'!$D$13:$J$477,341,WEEKDAY($K$90-1,2))&amp;"",""))-LEN(SUBSTITUTE(IFERROR(INDEX('Saisie programme'!$D$13:$J$477,341,WEEKDAY($K$90-1,2))&amp;"",""),"3",""))+LEN(IFERROR(INDEX('Saisie programme'!$D$13:$J$477,341,WEEKDAY($K$90-2,2))&amp;"",""))-LEN(SUBSTITUTE(IFERROR(INDEX('Saisie programme'!$D$13:$J$477,341,WEEKDAY($K$90-2,2))&amp;"",""),"3",""))</f>
        <v>0</v>
      </c>
      <c r="L164" s="34" t="n">
        <f aca="false">LEN(IFERROR(INDEX('Saisie programme'!$D$13:$J$477,380,WEEKDAY($K$91-0,2))&amp;"",""))-LEN(SUBSTITUTE(IFERROR(INDEX('Saisie programme'!$D$13:$J$477,380,WEEKDAY($K$91-0,2))&amp;"",""),"1",""))+LEN(IFERROR(INDEX('Saisie programme'!$D$13:$J$477,380,WEEKDAY($K$91-0,2))&amp;"",""))-LEN(SUBSTITUTE(IFERROR(INDEX('Saisie programme'!$D$13:$J$477,380,WEEKDAY($K$91-0,2))&amp;"",""),"2",""))+LEN(IFERROR(INDEX('Saisie programme'!$D$13:$J$477,380,WEEKDAY($K$91-1,2))&amp;"",""))-LEN(SUBSTITUTE(IFERROR(INDEX('Saisie programme'!$D$13:$J$477,380,WEEKDAY($K$91-1,2))&amp;"",""),"2",""))+LEN(IFERROR(INDEX('Saisie programme'!$D$13:$J$477,380,WEEKDAY($K$91-0,2))&amp;"",""))-LEN(SUBSTITUTE(IFERROR(INDEX('Saisie programme'!$D$13:$J$477,380,WEEKDAY($K$91-0,2))&amp;"",""),"3",""))+LEN(IFERROR(INDEX('Saisie programme'!$D$13:$J$477,380,WEEKDAY($K$91-1,2))&amp;"",""))-LEN(SUBSTITUTE(IFERROR(INDEX('Saisie programme'!$D$13:$J$477,380,WEEKDAY($K$91-1,2))&amp;"",""),"3",""))+LEN(IFERROR(INDEX('Saisie programme'!$D$13:$J$477,380,WEEKDAY($K$91-2,2))&amp;"",""))-LEN(SUBSTITUTE(IFERROR(INDEX('Saisie programme'!$D$13:$J$477,380,WEEKDAY($K$91-2,2))&amp;"",""),"3",""))</f>
        <v>0</v>
      </c>
      <c r="M164" s="34" t="n">
        <f aca="false">LEN(IFERROR(INDEX('Saisie programme'!$D$13:$J$477,419,WEEKDAY($K$92-0,2))&amp;"",""))-LEN(SUBSTITUTE(IFERROR(INDEX('Saisie programme'!$D$13:$J$477,419,WEEKDAY($K$92-0,2))&amp;"",""),"1",""))+LEN(IFERROR(INDEX('Saisie programme'!$D$13:$J$477,419,WEEKDAY($K$92-0,2))&amp;"",""))-LEN(SUBSTITUTE(IFERROR(INDEX('Saisie programme'!$D$13:$J$477,419,WEEKDAY($K$92-0,2))&amp;"",""),"2",""))+LEN(IFERROR(INDEX('Saisie programme'!$D$13:$J$477,419,WEEKDAY($K$92-1,2))&amp;"",""))-LEN(SUBSTITUTE(IFERROR(INDEX('Saisie programme'!$D$13:$J$477,419,WEEKDAY($K$92-1,2))&amp;"",""),"2",""))+LEN(IFERROR(INDEX('Saisie programme'!$D$13:$J$477,419,WEEKDAY($K$92-0,2))&amp;"",""))-LEN(SUBSTITUTE(IFERROR(INDEX('Saisie programme'!$D$13:$J$477,419,WEEKDAY($K$92-0,2))&amp;"",""),"3",""))+LEN(IFERROR(INDEX('Saisie programme'!$D$13:$J$477,419,WEEKDAY($K$92-1,2))&amp;"",""))-LEN(SUBSTITUTE(IFERROR(INDEX('Saisie programme'!$D$13:$J$477,419,WEEKDAY($K$92-1,2))&amp;"",""),"3",""))+LEN(IFERROR(INDEX('Saisie programme'!$D$13:$J$477,419,WEEKDAY($K$92-2,2))&amp;"",""))-LEN(SUBSTITUTE(IFERROR(INDEX('Saisie programme'!$D$13:$J$477,419,WEEKDAY($K$92-2,2))&amp;"",""),"3",""))</f>
        <v>0</v>
      </c>
      <c r="N164" s="34" t="n">
        <f aca="false">LEN(IFERROR(INDEX('Saisie programme'!$D$13:$J$477,458,WEEKDAY($K$93-0,2))&amp;"",""))-LEN(SUBSTITUTE(IFERROR(INDEX('Saisie programme'!$D$13:$J$477,458,WEEKDAY($K$93-0,2))&amp;"",""),"1",""))+LEN(IFERROR(INDEX('Saisie programme'!$D$13:$J$477,458,WEEKDAY($K$93-0,2))&amp;"",""))-LEN(SUBSTITUTE(IFERROR(INDEX('Saisie programme'!$D$13:$J$477,458,WEEKDAY($K$93-0,2))&amp;"",""),"2",""))+LEN(IFERROR(INDEX('Saisie programme'!$D$13:$J$477,458,WEEKDAY($K$93-1,2))&amp;"",""))-LEN(SUBSTITUTE(IFERROR(INDEX('Saisie programme'!$D$13:$J$477,458,WEEKDAY($K$93-1,2))&amp;"",""),"2",""))+LEN(IFERROR(INDEX('Saisie programme'!$D$13:$J$477,458,WEEKDAY($K$93-0,2))&amp;"",""))-LEN(SUBSTITUTE(IFERROR(INDEX('Saisie programme'!$D$13:$J$477,458,WEEKDAY($K$93-0,2))&amp;"",""),"3",""))+LEN(IFERROR(INDEX('Saisie programme'!$D$13:$J$477,458,WEEKDAY($K$93-1,2))&amp;"",""))-LEN(SUBSTITUTE(IFERROR(INDEX('Saisie programme'!$D$13:$J$477,458,WEEKDAY($K$93-1,2))&amp;"",""),"3",""))+LEN(IFERROR(INDEX('Saisie programme'!$D$13:$J$477,458,WEEKDAY($K$93-2,2))&amp;"",""))-LEN(SUBSTITUTE(IFERROR(INDEX('Saisie programme'!$D$13:$J$477,458,WEEKDAY($K$93-2,2))&amp;"",""),"3",""))</f>
        <v>0</v>
      </c>
      <c r="O164" s="12" t="s">
        <v>56</v>
      </c>
      <c r="P164" s="12" t="s">
        <v>19</v>
      </c>
    </row>
    <row r="165" customFormat="false" ht="15" hidden="false" customHeight="false" outlineLevel="0" collapsed="false">
      <c r="B165" s="10" t="s">
        <v>166</v>
      </c>
      <c r="C165" s="34" t="n">
        <f aca="false">LEN(IFERROR(INDEX('Saisie programme'!$D$13:$J$477,30,WEEKDAY($K$82-0,2))&amp;"",""))-LEN(SUBSTITUTE(IFERROR(INDEX('Saisie programme'!$D$13:$J$477,30,WEEKDAY($K$82-0,2))&amp;"",""),"1",""))+LEN(IFERROR(INDEX('Saisie programme'!$D$13:$J$477,30,WEEKDAY($K$82-0,2))&amp;"",""))-LEN(SUBSTITUTE(IFERROR(INDEX('Saisie programme'!$D$13:$J$477,30,WEEKDAY($K$82-0,2))&amp;"",""),"2",""))+LEN(IFERROR(INDEX('Saisie programme'!$D$13:$J$477,30,WEEKDAY($K$82-1,2))&amp;"",""))-LEN(SUBSTITUTE(IFERROR(INDEX('Saisie programme'!$D$13:$J$477,30,WEEKDAY($K$82-1,2))&amp;"",""),"2",""))+LEN(IFERROR(INDEX('Saisie programme'!$D$13:$J$477,30,WEEKDAY($K$82-0,2))&amp;"",""))-LEN(SUBSTITUTE(IFERROR(INDEX('Saisie programme'!$D$13:$J$477,30,WEEKDAY($K$82-0,2))&amp;"",""),"3",""))+LEN(IFERROR(INDEX('Saisie programme'!$D$13:$J$477,30,WEEKDAY($K$82-1,2))&amp;"",""))-LEN(SUBSTITUTE(IFERROR(INDEX('Saisie programme'!$D$13:$J$477,30,WEEKDAY($K$82-1,2))&amp;"",""),"3",""))+LEN(IFERROR(INDEX('Saisie programme'!$D$13:$J$477,30,WEEKDAY($K$82-2,2))&amp;"",""))-LEN(SUBSTITUTE(IFERROR(INDEX('Saisie programme'!$D$13:$J$477,30,WEEKDAY($K$82-2,2))&amp;"",""),"3",""))</f>
        <v>0</v>
      </c>
      <c r="D165" s="34" t="n">
        <f aca="false">LEN(IFERROR(INDEX('Saisie programme'!$D$13:$J$477,69,WEEKDAY($K$83-0,2))&amp;"",""))-LEN(SUBSTITUTE(IFERROR(INDEX('Saisie programme'!$D$13:$J$477,69,WEEKDAY($K$83-0,2))&amp;"",""),"1",""))+LEN(IFERROR(INDEX('Saisie programme'!$D$13:$J$477,69,WEEKDAY($K$83-0,2))&amp;"",""))-LEN(SUBSTITUTE(IFERROR(INDEX('Saisie programme'!$D$13:$J$477,69,WEEKDAY($K$83-0,2))&amp;"",""),"2",""))+LEN(IFERROR(INDEX('Saisie programme'!$D$13:$J$477,69,WEEKDAY($K$83-1,2))&amp;"",""))-LEN(SUBSTITUTE(IFERROR(INDEX('Saisie programme'!$D$13:$J$477,69,WEEKDAY($K$83-1,2))&amp;"",""),"2",""))+LEN(IFERROR(INDEX('Saisie programme'!$D$13:$J$477,69,WEEKDAY($K$83-0,2))&amp;"",""))-LEN(SUBSTITUTE(IFERROR(INDEX('Saisie programme'!$D$13:$J$477,69,WEEKDAY($K$83-0,2))&amp;"",""),"3",""))+LEN(IFERROR(INDEX('Saisie programme'!$D$13:$J$477,69,WEEKDAY($K$83-1,2))&amp;"",""))-LEN(SUBSTITUTE(IFERROR(INDEX('Saisie programme'!$D$13:$J$477,69,WEEKDAY($K$83-1,2))&amp;"",""),"3",""))+LEN(IFERROR(INDEX('Saisie programme'!$D$13:$J$477,69,WEEKDAY($K$83-2,2))&amp;"",""))-LEN(SUBSTITUTE(IFERROR(INDEX('Saisie programme'!$D$13:$J$477,69,WEEKDAY($K$83-2,2))&amp;"",""),"3",""))</f>
        <v>0</v>
      </c>
      <c r="E165" s="34" t="n">
        <f aca="false">LEN(IFERROR(INDEX('Saisie programme'!$D$13:$J$477,108,WEEKDAY($K$84-0,2))&amp;"",""))-LEN(SUBSTITUTE(IFERROR(INDEX('Saisie programme'!$D$13:$J$477,108,WEEKDAY($K$84-0,2))&amp;"",""),"1",""))+LEN(IFERROR(INDEX('Saisie programme'!$D$13:$J$477,108,WEEKDAY($K$84-0,2))&amp;"",""))-LEN(SUBSTITUTE(IFERROR(INDEX('Saisie programme'!$D$13:$J$477,108,WEEKDAY($K$84-0,2))&amp;"",""),"2",""))+LEN(IFERROR(INDEX('Saisie programme'!$D$13:$J$477,108,WEEKDAY($K$84-1,2))&amp;"",""))-LEN(SUBSTITUTE(IFERROR(INDEX('Saisie programme'!$D$13:$J$477,108,WEEKDAY($K$84-1,2))&amp;"",""),"2",""))+LEN(IFERROR(INDEX('Saisie programme'!$D$13:$J$477,108,WEEKDAY($K$84-0,2))&amp;"",""))-LEN(SUBSTITUTE(IFERROR(INDEX('Saisie programme'!$D$13:$J$477,108,WEEKDAY($K$84-0,2))&amp;"",""),"3",""))+LEN(IFERROR(INDEX('Saisie programme'!$D$13:$J$477,108,WEEKDAY($K$84-1,2))&amp;"",""))-LEN(SUBSTITUTE(IFERROR(INDEX('Saisie programme'!$D$13:$J$477,108,WEEKDAY($K$84-1,2))&amp;"",""),"3",""))+LEN(IFERROR(INDEX('Saisie programme'!$D$13:$J$477,108,WEEKDAY($K$84-2,2))&amp;"",""))-LEN(SUBSTITUTE(IFERROR(INDEX('Saisie programme'!$D$13:$J$477,108,WEEKDAY($K$84-2,2))&amp;"",""),"3",""))</f>
        <v>0</v>
      </c>
      <c r="F165" s="34" t="n">
        <f aca="false">LEN(IFERROR(INDEX('Saisie programme'!$D$13:$J$477,147,WEEKDAY($K$85-0,2))&amp;"",""))-LEN(SUBSTITUTE(IFERROR(INDEX('Saisie programme'!$D$13:$J$477,147,WEEKDAY($K$85-0,2))&amp;"",""),"1",""))+LEN(IFERROR(INDEX('Saisie programme'!$D$13:$J$477,147,WEEKDAY($K$85-0,2))&amp;"",""))-LEN(SUBSTITUTE(IFERROR(INDEX('Saisie programme'!$D$13:$J$477,147,WEEKDAY($K$85-0,2))&amp;"",""),"2",""))+LEN(IFERROR(INDEX('Saisie programme'!$D$13:$J$477,147,WEEKDAY($K$85-1,2))&amp;"",""))-LEN(SUBSTITUTE(IFERROR(INDEX('Saisie programme'!$D$13:$J$477,147,WEEKDAY($K$85-1,2))&amp;"",""),"2",""))+LEN(IFERROR(INDEX('Saisie programme'!$D$13:$J$477,147,WEEKDAY($K$85-0,2))&amp;"",""))-LEN(SUBSTITUTE(IFERROR(INDEX('Saisie programme'!$D$13:$J$477,147,WEEKDAY($K$85-0,2))&amp;"",""),"3",""))+LEN(IFERROR(INDEX('Saisie programme'!$D$13:$J$477,147,WEEKDAY($K$85-1,2))&amp;"",""))-LEN(SUBSTITUTE(IFERROR(INDEX('Saisie programme'!$D$13:$J$477,147,WEEKDAY($K$85-1,2))&amp;"",""),"3",""))+LEN(IFERROR(INDEX('Saisie programme'!$D$13:$J$477,147,WEEKDAY($K$85-2,2))&amp;"",""))-LEN(SUBSTITUTE(IFERROR(INDEX('Saisie programme'!$D$13:$J$477,147,WEEKDAY($K$85-2,2))&amp;"",""),"3",""))</f>
        <v>0</v>
      </c>
      <c r="G165" s="34" t="n">
        <f aca="false">LEN(IFERROR(INDEX('Saisie programme'!$D$13:$J$477,186,WEEKDAY($K$86-0,2))&amp;"",""))-LEN(SUBSTITUTE(IFERROR(INDEX('Saisie programme'!$D$13:$J$477,186,WEEKDAY($K$86-0,2))&amp;"",""),"1",""))+LEN(IFERROR(INDEX('Saisie programme'!$D$13:$J$477,186,WEEKDAY($K$86-0,2))&amp;"",""))-LEN(SUBSTITUTE(IFERROR(INDEX('Saisie programme'!$D$13:$J$477,186,WEEKDAY($K$86-0,2))&amp;"",""),"2",""))+LEN(IFERROR(INDEX('Saisie programme'!$D$13:$J$477,186,WEEKDAY($K$86-1,2))&amp;"",""))-LEN(SUBSTITUTE(IFERROR(INDEX('Saisie programme'!$D$13:$J$477,186,WEEKDAY($K$86-1,2))&amp;"",""),"2",""))+LEN(IFERROR(INDEX('Saisie programme'!$D$13:$J$477,186,WEEKDAY($K$86-0,2))&amp;"",""))-LEN(SUBSTITUTE(IFERROR(INDEX('Saisie programme'!$D$13:$J$477,186,WEEKDAY($K$86-0,2))&amp;"",""),"3",""))+LEN(IFERROR(INDEX('Saisie programme'!$D$13:$J$477,186,WEEKDAY($K$86-1,2))&amp;"",""))-LEN(SUBSTITUTE(IFERROR(INDEX('Saisie programme'!$D$13:$J$477,186,WEEKDAY($K$86-1,2))&amp;"",""),"3",""))+LEN(IFERROR(INDEX('Saisie programme'!$D$13:$J$477,186,WEEKDAY($K$86-2,2))&amp;"",""))-LEN(SUBSTITUTE(IFERROR(INDEX('Saisie programme'!$D$13:$J$477,186,WEEKDAY($K$86-2,2))&amp;"",""),"3",""))</f>
        <v>0</v>
      </c>
      <c r="H165" s="34" t="n">
        <f aca="false">LEN(IFERROR(INDEX('Saisie programme'!$D$13:$J$477,225,WEEKDAY($K$87-0,2))&amp;"",""))-LEN(SUBSTITUTE(IFERROR(INDEX('Saisie programme'!$D$13:$J$477,225,WEEKDAY($K$87-0,2))&amp;"",""),"1",""))+LEN(IFERROR(INDEX('Saisie programme'!$D$13:$J$477,225,WEEKDAY($K$87-0,2))&amp;"",""))-LEN(SUBSTITUTE(IFERROR(INDEX('Saisie programme'!$D$13:$J$477,225,WEEKDAY($K$87-0,2))&amp;"",""),"2",""))+LEN(IFERROR(INDEX('Saisie programme'!$D$13:$J$477,225,WEEKDAY($K$87-1,2))&amp;"",""))-LEN(SUBSTITUTE(IFERROR(INDEX('Saisie programme'!$D$13:$J$477,225,WEEKDAY($K$87-1,2))&amp;"",""),"2",""))+LEN(IFERROR(INDEX('Saisie programme'!$D$13:$J$477,225,WEEKDAY($K$87-0,2))&amp;"",""))-LEN(SUBSTITUTE(IFERROR(INDEX('Saisie programme'!$D$13:$J$477,225,WEEKDAY($K$87-0,2))&amp;"",""),"3",""))+LEN(IFERROR(INDEX('Saisie programme'!$D$13:$J$477,225,WEEKDAY($K$87-1,2))&amp;"",""))-LEN(SUBSTITUTE(IFERROR(INDEX('Saisie programme'!$D$13:$J$477,225,WEEKDAY($K$87-1,2))&amp;"",""),"3",""))+LEN(IFERROR(INDEX('Saisie programme'!$D$13:$J$477,225,WEEKDAY($K$87-2,2))&amp;"",""))-LEN(SUBSTITUTE(IFERROR(INDEX('Saisie programme'!$D$13:$J$477,225,WEEKDAY($K$87-2,2))&amp;"",""),"3",""))</f>
        <v>0</v>
      </c>
      <c r="I165" s="34" t="n">
        <f aca="false">LEN(IFERROR(INDEX('Saisie programme'!$D$13:$J$477,264,WEEKDAY($K$88-0,2))&amp;"",""))-LEN(SUBSTITUTE(IFERROR(INDEX('Saisie programme'!$D$13:$J$477,264,WEEKDAY($K$88-0,2))&amp;"",""),"1",""))+LEN(IFERROR(INDEX('Saisie programme'!$D$13:$J$477,264,WEEKDAY($K$88-0,2))&amp;"",""))-LEN(SUBSTITUTE(IFERROR(INDEX('Saisie programme'!$D$13:$J$477,264,WEEKDAY($K$88-0,2))&amp;"",""),"2",""))+LEN(IFERROR(INDEX('Saisie programme'!$D$13:$J$477,264,WEEKDAY($K$88-1,2))&amp;"",""))-LEN(SUBSTITUTE(IFERROR(INDEX('Saisie programme'!$D$13:$J$477,264,WEEKDAY($K$88-1,2))&amp;"",""),"2",""))+LEN(IFERROR(INDEX('Saisie programme'!$D$13:$J$477,264,WEEKDAY($K$88-0,2))&amp;"",""))-LEN(SUBSTITUTE(IFERROR(INDEX('Saisie programme'!$D$13:$J$477,264,WEEKDAY($K$88-0,2))&amp;"",""),"3",""))+LEN(IFERROR(INDEX('Saisie programme'!$D$13:$J$477,264,WEEKDAY($K$88-1,2))&amp;"",""))-LEN(SUBSTITUTE(IFERROR(INDEX('Saisie programme'!$D$13:$J$477,264,WEEKDAY($K$88-1,2))&amp;"",""),"3",""))+LEN(IFERROR(INDEX('Saisie programme'!$D$13:$J$477,264,WEEKDAY($K$88-2,2))&amp;"",""))-LEN(SUBSTITUTE(IFERROR(INDEX('Saisie programme'!$D$13:$J$477,264,WEEKDAY($K$88-2,2))&amp;"",""),"3",""))</f>
        <v>0</v>
      </c>
      <c r="J165" s="34" t="n">
        <f aca="false">LEN(IFERROR(INDEX('Saisie programme'!$D$13:$J$477,303,WEEKDAY($K$89-0,2))&amp;"",""))-LEN(SUBSTITUTE(IFERROR(INDEX('Saisie programme'!$D$13:$J$477,303,WEEKDAY($K$89-0,2))&amp;"",""),"1",""))+LEN(IFERROR(INDEX('Saisie programme'!$D$13:$J$477,303,WEEKDAY($K$89-0,2))&amp;"",""))-LEN(SUBSTITUTE(IFERROR(INDEX('Saisie programme'!$D$13:$J$477,303,WEEKDAY($K$89-0,2))&amp;"",""),"2",""))+LEN(IFERROR(INDEX('Saisie programme'!$D$13:$J$477,303,WEEKDAY($K$89-1,2))&amp;"",""))-LEN(SUBSTITUTE(IFERROR(INDEX('Saisie programme'!$D$13:$J$477,303,WEEKDAY($K$89-1,2))&amp;"",""),"2",""))+LEN(IFERROR(INDEX('Saisie programme'!$D$13:$J$477,303,WEEKDAY($K$89-0,2))&amp;"",""))-LEN(SUBSTITUTE(IFERROR(INDEX('Saisie programme'!$D$13:$J$477,303,WEEKDAY($K$89-0,2))&amp;"",""),"3",""))+LEN(IFERROR(INDEX('Saisie programme'!$D$13:$J$477,303,WEEKDAY($K$89-1,2))&amp;"",""))-LEN(SUBSTITUTE(IFERROR(INDEX('Saisie programme'!$D$13:$J$477,303,WEEKDAY($K$89-1,2))&amp;"",""),"3",""))+LEN(IFERROR(INDEX('Saisie programme'!$D$13:$J$477,303,WEEKDAY($K$89-2,2))&amp;"",""))-LEN(SUBSTITUTE(IFERROR(INDEX('Saisie programme'!$D$13:$J$477,303,WEEKDAY($K$89-2,2))&amp;"",""),"3",""))</f>
        <v>0</v>
      </c>
      <c r="K165" s="34" t="n">
        <f aca="false">LEN(IFERROR(INDEX('Saisie programme'!$D$13:$J$477,342,WEEKDAY($K$90-0,2))&amp;"",""))-LEN(SUBSTITUTE(IFERROR(INDEX('Saisie programme'!$D$13:$J$477,342,WEEKDAY($K$90-0,2))&amp;"",""),"1",""))+LEN(IFERROR(INDEX('Saisie programme'!$D$13:$J$477,342,WEEKDAY($K$90-0,2))&amp;"",""))-LEN(SUBSTITUTE(IFERROR(INDEX('Saisie programme'!$D$13:$J$477,342,WEEKDAY($K$90-0,2))&amp;"",""),"2",""))+LEN(IFERROR(INDEX('Saisie programme'!$D$13:$J$477,342,WEEKDAY($K$90-1,2))&amp;"",""))-LEN(SUBSTITUTE(IFERROR(INDEX('Saisie programme'!$D$13:$J$477,342,WEEKDAY($K$90-1,2))&amp;"",""),"2",""))+LEN(IFERROR(INDEX('Saisie programme'!$D$13:$J$477,342,WEEKDAY($K$90-0,2))&amp;"",""))-LEN(SUBSTITUTE(IFERROR(INDEX('Saisie programme'!$D$13:$J$477,342,WEEKDAY($K$90-0,2))&amp;"",""),"3",""))+LEN(IFERROR(INDEX('Saisie programme'!$D$13:$J$477,342,WEEKDAY($K$90-1,2))&amp;"",""))-LEN(SUBSTITUTE(IFERROR(INDEX('Saisie programme'!$D$13:$J$477,342,WEEKDAY($K$90-1,2))&amp;"",""),"3",""))+LEN(IFERROR(INDEX('Saisie programme'!$D$13:$J$477,342,WEEKDAY($K$90-2,2))&amp;"",""))-LEN(SUBSTITUTE(IFERROR(INDEX('Saisie programme'!$D$13:$J$477,342,WEEKDAY($K$90-2,2))&amp;"",""),"3",""))</f>
        <v>0</v>
      </c>
      <c r="L165" s="34" t="n">
        <f aca="false">LEN(IFERROR(INDEX('Saisie programme'!$D$13:$J$477,381,WEEKDAY($K$91-0,2))&amp;"",""))-LEN(SUBSTITUTE(IFERROR(INDEX('Saisie programme'!$D$13:$J$477,381,WEEKDAY($K$91-0,2))&amp;"",""),"1",""))+LEN(IFERROR(INDEX('Saisie programme'!$D$13:$J$477,381,WEEKDAY($K$91-0,2))&amp;"",""))-LEN(SUBSTITUTE(IFERROR(INDEX('Saisie programme'!$D$13:$J$477,381,WEEKDAY($K$91-0,2))&amp;"",""),"2",""))+LEN(IFERROR(INDEX('Saisie programme'!$D$13:$J$477,381,WEEKDAY($K$91-1,2))&amp;"",""))-LEN(SUBSTITUTE(IFERROR(INDEX('Saisie programme'!$D$13:$J$477,381,WEEKDAY($K$91-1,2))&amp;"",""),"2",""))+LEN(IFERROR(INDEX('Saisie programme'!$D$13:$J$477,381,WEEKDAY($K$91-0,2))&amp;"",""))-LEN(SUBSTITUTE(IFERROR(INDEX('Saisie programme'!$D$13:$J$477,381,WEEKDAY($K$91-0,2))&amp;"",""),"3",""))+LEN(IFERROR(INDEX('Saisie programme'!$D$13:$J$477,381,WEEKDAY($K$91-1,2))&amp;"",""))-LEN(SUBSTITUTE(IFERROR(INDEX('Saisie programme'!$D$13:$J$477,381,WEEKDAY($K$91-1,2))&amp;"",""),"3",""))+LEN(IFERROR(INDEX('Saisie programme'!$D$13:$J$477,381,WEEKDAY($K$91-2,2))&amp;"",""))-LEN(SUBSTITUTE(IFERROR(INDEX('Saisie programme'!$D$13:$J$477,381,WEEKDAY($K$91-2,2))&amp;"",""),"3",""))</f>
        <v>0</v>
      </c>
      <c r="M165" s="34" t="n">
        <f aca="false">LEN(IFERROR(INDEX('Saisie programme'!$D$13:$J$477,420,WEEKDAY($K$92-0,2))&amp;"",""))-LEN(SUBSTITUTE(IFERROR(INDEX('Saisie programme'!$D$13:$J$477,420,WEEKDAY($K$92-0,2))&amp;"",""),"1",""))+LEN(IFERROR(INDEX('Saisie programme'!$D$13:$J$477,420,WEEKDAY($K$92-0,2))&amp;"",""))-LEN(SUBSTITUTE(IFERROR(INDEX('Saisie programme'!$D$13:$J$477,420,WEEKDAY($K$92-0,2))&amp;"",""),"2",""))+LEN(IFERROR(INDEX('Saisie programme'!$D$13:$J$477,420,WEEKDAY($K$92-1,2))&amp;"",""))-LEN(SUBSTITUTE(IFERROR(INDEX('Saisie programme'!$D$13:$J$477,420,WEEKDAY($K$92-1,2))&amp;"",""),"2",""))+LEN(IFERROR(INDEX('Saisie programme'!$D$13:$J$477,420,WEEKDAY($K$92-0,2))&amp;"",""))-LEN(SUBSTITUTE(IFERROR(INDEX('Saisie programme'!$D$13:$J$477,420,WEEKDAY($K$92-0,2))&amp;"",""),"3",""))+LEN(IFERROR(INDEX('Saisie programme'!$D$13:$J$477,420,WEEKDAY($K$92-1,2))&amp;"",""))-LEN(SUBSTITUTE(IFERROR(INDEX('Saisie programme'!$D$13:$J$477,420,WEEKDAY($K$92-1,2))&amp;"",""),"3",""))+LEN(IFERROR(INDEX('Saisie programme'!$D$13:$J$477,420,WEEKDAY($K$92-2,2))&amp;"",""))-LEN(SUBSTITUTE(IFERROR(INDEX('Saisie programme'!$D$13:$J$477,420,WEEKDAY($K$92-2,2))&amp;"",""),"3",""))</f>
        <v>0</v>
      </c>
      <c r="N165" s="34" t="n">
        <f aca="false">LEN(IFERROR(INDEX('Saisie programme'!$D$13:$J$477,459,WEEKDAY($K$93-0,2))&amp;"",""))-LEN(SUBSTITUTE(IFERROR(INDEX('Saisie programme'!$D$13:$J$477,459,WEEKDAY($K$93-0,2))&amp;"",""),"1",""))+LEN(IFERROR(INDEX('Saisie programme'!$D$13:$J$477,459,WEEKDAY($K$93-0,2))&amp;"",""))-LEN(SUBSTITUTE(IFERROR(INDEX('Saisie programme'!$D$13:$J$477,459,WEEKDAY($K$93-0,2))&amp;"",""),"2",""))+LEN(IFERROR(INDEX('Saisie programme'!$D$13:$J$477,459,WEEKDAY($K$93-1,2))&amp;"",""))-LEN(SUBSTITUTE(IFERROR(INDEX('Saisie programme'!$D$13:$J$477,459,WEEKDAY($K$93-1,2))&amp;"",""),"2",""))+LEN(IFERROR(INDEX('Saisie programme'!$D$13:$J$477,459,WEEKDAY($K$93-0,2))&amp;"",""))-LEN(SUBSTITUTE(IFERROR(INDEX('Saisie programme'!$D$13:$J$477,459,WEEKDAY($K$93-0,2))&amp;"",""),"3",""))+LEN(IFERROR(INDEX('Saisie programme'!$D$13:$J$477,459,WEEKDAY($K$93-1,2))&amp;"",""))-LEN(SUBSTITUTE(IFERROR(INDEX('Saisie programme'!$D$13:$J$477,459,WEEKDAY($K$93-1,2))&amp;"",""),"3",""))+LEN(IFERROR(INDEX('Saisie programme'!$D$13:$J$477,459,WEEKDAY($K$93-2,2))&amp;"",""))-LEN(SUBSTITUTE(IFERROR(INDEX('Saisie programme'!$D$13:$J$477,459,WEEKDAY($K$93-2,2))&amp;"",""),"3",""))</f>
        <v>0</v>
      </c>
      <c r="O165" s="12" t="s">
        <v>56</v>
      </c>
      <c r="P165" s="12" t="s">
        <v>24</v>
      </c>
    </row>
    <row r="166" customFormat="false" ht="15" hidden="false" customHeight="false" outlineLevel="0" collapsed="false">
      <c r="B166" s="10" t="s">
        <v>167</v>
      </c>
      <c r="C166" s="34" t="n">
        <f aca="false">LEN(IFERROR(INDEX('Saisie programme'!$D$13:$J$477,31,WEEKDAY($K$82-0,2))&amp;"",""))-LEN(SUBSTITUTE(IFERROR(INDEX('Saisie programme'!$D$13:$J$477,31,WEEKDAY($K$82-0,2))&amp;"",""),"1",""))+LEN(IFERROR(INDEX('Saisie programme'!$D$13:$J$477,31,WEEKDAY($K$82-0,2))&amp;"",""))-LEN(SUBSTITUTE(IFERROR(INDEX('Saisie programme'!$D$13:$J$477,31,WEEKDAY($K$82-0,2))&amp;"",""),"2",""))+LEN(IFERROR(INDEX('Saisie programme'!$D$13:$J$477,31,WEEKDAY($K$82-1,2))&amp;"",""))-LEN(SUBSTITUTE(IFERROR(INDEX('Saisie programme'!$D$13:$J$477,31,WEEKDAY($K$82-1,2))&amp;"",""),"2",""))+LEN(IFERROR(INDEX('Saisie programme'!$D$13:$J$477,31,WEEKDAY($K$82-0,2))&amp;"",""))-LEN(SUBSTITUTE(IFERROR(INDEX('Saisie programme'!$D$13:$J$477,31,WEEKDAY($K$82-0,2))&amp;"",""),"3",""))+LEN(IFERROR(INDEX('Saisie programme'!$D$13:$J$477,31,WEEKDAY($K$82-1,2))&amp;"",""))-LEN(SUBSTITUTE(IFERROR(INDEX('Saisie programme'!$D$13:$J$477,31,WEEKDAY($K$82-1,2))&amp;"",""),"3",""))+LEN(IFERROR(INDEX('Saisie programme'!$D$13:$J$477,31,WEEKDAY($K$82-2,2))&amp;"",""))-LEN(SUBSTITUTE(IFERROR(INDEX('Saisie programme'!$D$13:$J$477,31,WEEKDAY($K$82-2,2))&amp;"",""),"3",""))</f>
        <v>0</v>
      </c>
      <c r="D166" s="34" t="n">
        <f aca="false">LEN(IFERROR(INDEX('Saisie programme'!$D$13:$J$477,70,WEEKDAY($K$83-0,2))&amp;"",""))-LEN(SUBSTITUTE(IFERROR(INDEX('Saisie programme'!$D$13:$J$477,70,WEEKDAY($K$83-0,2))&amp;"",""),"1",""))+LEN(IFERROR(INDEX('Saisie programme'!$D$13:$J$477,70,WEEKDAY($K$83-0,2))&amp;"",""))-LEN(SUBSTITUTE(IFERROR(INDEX('Saisie programme'!$D$13:$J$477,70,WEEKDAY($K$83-0,2))&amp;"",""),"2",""))+LEN(IFERROR(INDEX('Saisie programme'!$D$13:$J$477,70,WEEKDAY($K$83-1,2))&amp;"",""))-LEN(SUBSTITUTE(IFERROR(INDEX('Saisie programme'!$D$13:$J$477,70,WEEKDAY($K$83-1,2))&amp;"",""),"2",""))+LEN(IFERROR(INDEX('Saisie programme'!$D$13:$J$477,70,WEEKDAY($K$83-0,2))&amp;"",""))-LEN(SUBSTITUTE(IFERROR(INDEX('Saisie programme'!$D$13:$J$477,70,WEEKDAY($K$83-0,2))&amp;"",""),"3",""))+LEN(IFERROR(INDEX('Saisie programme'!$D$13:$J$477,70,WEEKDAY($K$83-1,2))&amp;"",""))-LEN(SUBSTITUTE(IFERROR(INDEX('Saisie programme'!$D$13:$J$477,70,WEEKDAY($K$83-1,2))&amp;"",""),"3",""))+LEN(IFERROR(INDEX('Saisie programme'!$D$13:$J$477,70,WEEKDAY($K$83-2,2))&amp;"",""))-LEN(SUBSTITUTE(IFERROR(INDEX('Saisie programme'!$D$13:$J$477,70,WEEKDAY($K$83-2,2))&amp;"",""),"3",""))</f>
        <v>0</v>
      </c>
      <c r="E166" s="34" t="n">
        <f aca="false">LEN(IFERROR(INDEX('Saisie programme'!$D$13:$J$477,109,WEEKDAY($K$84-0,2))&amp;"",""))-LEN(SUBSTITUTE(IFERROR(INDEX('Saisie programme'!$D$13:$J$477,109,WEEKDAY($K$84-0,2))&amp;"",""),"1",""))+LEN(IFERROR(INDEX('Saisie programme'!$D$13:$J$477,109,WEEKDAY($K$84-0,2))&amp;"",""))-LEN(SUBSTITUTE(IFERROR(INDEX('Saisie programme'!$D$13:$J$477,109,WEEKDAY($K$84-0,2))&amp;"",""),"2",""))+LEN(IFERROR(INDEX('Saisie programme'!$D$13:$J$477,109,WEEKDAY($K$84-1,2))&amp;"",""))-LEN(SUBSTITUTE(IFERROR(INDEX('Saisie programme'!$D$13:$J$477,109,WEEKDAY($K$84-1,2))&amp;"",""),"2",""))+LEN(IFERROR(INDEX('Saisie programme'!$D$13:$J$477,109,WEEKDAY($K$84-0,2))&amp;"",""))-LEN(SUBSTITUTE(IFERROR(INDEX('Saisie programme'!$D$13:$J$477,109,WEEKDAY($K$84-0,2))&amp;"",""),"3",""))+LEN(IFERROR(INDEX('Saisie programme'!$D$13:$J$477,109,WEEKDAY($K$84-1,2))&amp;"",""))-LEN(SUBSTITUTE(IFERROR(INDEX('Saisie programme'!$D$13:$J$477,109,WEEKDAY($K$84-1,2))&amp;"",""),"3",""))+LEN(IFERROR(INDEX('Saisie programme'!$D$13:$J$477,109,WEEKDAY($K$84-2,2))&amp;"",""))-LEN(SUBSTITUTE(IFERROR(INDEX('Saisie programme'!$D$13:$J$477,109,WEEKDAY($K$84-2,2))&amp;"",""),"3",""))</f>
        <v>0</v>
      </c>
      <c r="F166" s="34" t="n">
        <f aca="false">LEN(IFERROR(INDEX('Saisie programme'!$D$13:$J$477,148,WEEKDAY($K$85-0,2))&amp;"",""))-LEN(SUBSTITUTE(IFERROR(INDEX('Saisie programme'!$D$13:$J$477,148,WEEKDAY($K$85-0,2))&amp;"",""),"1",""))+LEN(IFERROR(INDEX('Saisie programme'!$D$13:$J$477,148,WEEKDAY($K$85-0,2))&amp;"",""))-LEN(SUBSTITUTE(IFERROR(INDEX('Saisie programme'!$D$13:$J$477,148,WEEKDAY($K$85-0,2))&amp;"",""),"2",""))+LEN(IFERROR(INDEX('Saisie programme'!$D$13:$J$477,148,WEEKDAY($K$85-1,2))&amp;"",""))-LEN(SUBSTITUTE(IFERROR(INDEX('Saisie programme'!$D$13:$J$477,148,WEEKDAY($K$85-1,2))&amp;"",""),"2",""))+LEN(IFERROR(INDEX('Saisie programme'!$D$13:$J$477,148,WEEKDAY($K$85-0,2))&amp;"",""))-LEN(SUBSTITUTE(IFERROR(INDEX('Saisie programme'!$D$13:$J$477,148,WEEKDAY($K$85-0,2))&amp;"",""),"3",""))+LEN(IFERROR(INDEX('Saisie programme'!$D$13:$J$477,148,WEEKDAY($K$85-1,2))&amp;"",""))-LEN(SUBSTITUTE(IFERROR(INDEX('Saisie programme'!$D$13:$J$477,148,WEEKDAY($K$85-1,2))&amp;"",""),"3",""))+LEN(IFERROR(INDEX('Saisie programme'!$D$13:$J$477,148,WEEKDAY($K$85-2,2))&amp;"",""))-LEN(SUBSTITUTE(IFERROR(INDEX('Saisie programme'!$D$13:$J$477,148,WEEKDAY($K$85-2,2))&amp;"",""),"3",""))</f>
        <v>0</v>
      </c>
      <c r="G166" s="34" t="n">
        <f aca="false">LEN(IFERROR(INDEX('Saisie programme'!$D$13:$J$477,187,WEEKDAY($K$86-0,2))&amp;"",""))-LEN(SUBSTITUTE(IFERROR(INDEX('Saisie programme'!$D$13:$J$477,187,WEEKDAY($K$86-0,2))&amp;"",""),"1",""))+LEN(IFERROR(INDEX('Saisie programme'!$D$13:$J$477,187,WEEKDAY($K$86-0,2))&amp;"",""))-LEN(SUBSTITUTE(IFERROR(INDEX('Saisie programme'!$D$13:$J$477,187,WEEKDAY($K$86-0,2))&amp;"",""),"2",""))+LEN(IFERROR(INDEX('Saisie programme'!$D$13:$J$477,187,WEEKDAY($K$86-1,2))&amp;"",""))-LEN(SUBSTITUTE(IFERROR(INDEX('Saisie programme'!$D$13:$J$477,187,WEEKDAY($K$86-1,2))&amp;"",""),"2",""))+LEN(IFERROR(INDEX('Saisie programme'!$D$13:$J$477,187,WEEKDAY($K$86-0,2))&amp;"",""))-LEN(SUBSTITUTE(IFERROR(INDEX('Saisie programme'!$D$13:$J$477,187,WEEKDAY($K$86-0,2))&amp;"",""),"3",""))+LEN(IFERROR(INDEX('Saisie programme'!$D$13:$J$477,187,WEEKDAY($K$86-1,2))&amp;"",""))-LEN(SUBSTITUTE(IFERROR(INDEX('Saisie programme'!$D$13:$J$477,187,WEEKDAY($K$86-1,2))&amp;"",""),"3",""))+LEN(IFERROR(INDEX('Saisie programme'!$D$13:$J$477,187,WEEKDAY($K$86-2,2))&amp;"",""))-LEN(SUBSTITUTE(IFERROR(INDEX('Saisie programme'!$D$13:$J$477,187,WEEKDAY($K$86-2,2))&amp;"",""),"3",""))</f>
        <v>0</v>
      </c>
      <c r="H166" s="34" t="n">
        <f aca="false">LEN(IFERROR(INDEX('Saisie programme'!$D$13:$J$477,226,WEEKDAY($K$87-0,2))&amp;"",""))-LEN(SUBSTITUTE(IFERROR(INDEX('Saisie programme'!$D$13:$J$477,226,WEEKDAY($K$87-0,2))&amp;"",""),"1",""))+LEN(IFERROR(INDEX('Saisie programme'!$D$13:$J$477,226,WEEKDAY($K$87-0,2))&amp;"",""))-LEN(SUBSTITUTE(IFERROR(INDEX('Saisie programme'!$D$13:$J$477,226,WEEKDAY($K$87-0,2))&amp;"",""),"2",""))+LEN(IFERROR(INDEX('Saisie programme'!$D$13:$J$477,226,WEEKDAY($K$87-1,2))&amp;"",""))-LEN(SUBSTITUTE(IFERROR(INDEX('Saisie programme'!$D$13:$J$477,226,WEEKDAY($K$87-1,2))&amp;"",""),"2",""))+LEN(IFERROR(INDEX('Saisie programme'!$D$13:$J$477,226,WEEKDAY($K$87-0,2))&amp;"",""))-LEN(SUBSTITUTE(IFERROR(INDEX('Saisie programme'!$D$13:$J$477,226,WEEKDAY($K$87-0,2))&amp;"",""),"3",""))+LEN(IFERROR(INDEX('Saisie programme'!$D$13:$J$477,226,WEEKDAY($K$87-1,2))&amp;"",""))-LEN(SUBSTITUTE(IFERROR(INDEX('Saisie programme'!$D$13:$J$477,226,WEEKDAY($K$87-1,2))&amp;"",""),"3",""))+LEN(IFERROR(INDEX('Saisie programme'!$D$13:$J$477,226,WEEKDAY($K$87-2,2))&amp;"",""))-LEN(SUBSTITUTE(IFERROR(INDEX('Saisie programme'!$D$13:$J$477,226,WEEKDAY($K$87-2,2))&amp;"",""),"3",""))</f>
        <v>0</v>
      </c>
      <c r="I166" s="34" t="n">
        <f aca="false">LEN(IFERROR(INDEX('Saisie programme'!$D$13:$J$477,265,WEEKDAY($K$88-0,2))&amp;"",""))-LEN(SUBSTITUTE(IFERROR(INDEX('Saisie programme'!$D$13:$J$477,265,WEEKDAY($K$88-0,2))&amp;"",""),"1",""))+LEN(IFERROR(INDEX('Saisie programme'!$D$13:$J$477,265,WEEKDAY($K$88-0,2))&amp;"",""))-LEN(SUBSTITUTE(IFERROR(INDEX('Saisie programme'!$D$13:$J$477,265,WEEKDAY($K$88-0,2))&amp;"",""),"2",""))+LEN(IFERROR(INDEX('Saisie programme'!$D$13:$J$477,265,WEEKDAY($K$88-1,2))&amp;"",""))-LEN(SUBSTITUTE(IFERROR(INDEX('Saisie programme'!$D$13:$J$477,265,WEEKDAY($K$88-1,2))&amp;"",""),"2",""))+LEN(IFERROR(INDEX('Saisie programme'!$D$13:$J$477,265,WEEKDAY($K$88-0,2))&amp;"",""))-LEN(SUBSTITUTE(IFERROR(INDEX('Saisie programme'!$D$13:$J$477,265,WEEKDAY($K$88-0,2))&amp;"",""),"3",""))+LEN(IFERROR(INDEX('Saisie programme'!$D$13:$J$477,265,WEEKDAY($K$88-1,2))&amp;"",""))-LEN(SUBSTITUTE(IFERROR(INDEX('Saisie programme'!$D$13:$J$477,265,WEEKDAY($K$88-1,2))&amp;"",""),"3",""))+LEN(IFERROR(INDEX('Saisie programme'!$D$13:$J$477,265,WEEKDAY($K$88-2,2))&amp;"",""))-LEN(SUBSTITUTE(IFERROR(INDEX('Saisie programme'!$D$13:$J$477,265,WEEKDAY($K$88-2,2))&amp;"",""),"3",""))</f>
        <v>0</v>
      </c>
      <c r="J166" s="34" t="n">
        <f aca="false">LEN(IFERROR(INDEX('Saisie programme'!$D$13:$J$477,304,WEEKDAY($K$89-0,2))&amp;"",""))-LEN(SUBSTITUTE(IFERROR(INDEX('Saisie programme'!$D$13:$J$477,304,WEEKDAY($K$89-0,2))&amp;"",""),"1",""))+LEN(IFERROR(INDEX('Saisie programme'!$D$13:$J$477,304,WEEKDAY($K$89-0,2))&amp;"",""))-LEN(SUBSTITUTE(IFERROR(INDEX('Saisie programme'!$D$13:$J$477,304,WEEKDAY($K$89-0,2))&amp;"",""),"2",""))+LEN(IFERROR(INDEX('Saisie programme'!$D$13:$J$477,304,WEEKDAY($K$89-1,2))&amp;"",""))-LEN(SUBSTITUTE(IFERROR(INDEX('Saisie programme'!$D$13:$J$477,304,WEEKDAY($K$89-1,2))&amp;"",""),"2",""))+LEN(IFERROR(INDEX('Saisie programme'!$D$13:$J$477,304,WEEKDAY($K$89-0,2))&amp;"",""))-LEN(SUBSTITUTE(IFERROR(INDEX('Saisie programme'!$D$13:$J$477,304,WEEKDAY($K$89-0,2))&amp;"",""),"3",""))+LEN(IFERROR(INDEX('Saisie programme'!$D$13:$J$477,304,WEEKDAY($K$89-1,2))&amp;"",""))-LEN(SUBSTITUTE(IFERROR(INDEX('Saisie programme'!$D$13:$J$477,304,WEEKDAY($K$89-1,2))&amp;"",""),"3",""))+LEN(IFERROR(INDEX('Saisie programme'!$D$13:$J$477,304,WEEKDAY($K$89-2,2))&amp;"",""))-LEN(SUBSTITUTE(IFERROR(INDEX('Saisie programme'!$D$13:$J$477,304,WEEKDAY($K$89-2,2))&amp;"",""),"3",""))</f>
        <v>0</v>
      </c>
      <c r="K166" s="34" t="n">
        <f aca="false">LEN(IFERROR(INDEX('Saisie programme'!$D$13:$J$477,343,WEEKDAY($K$90-0,2))&amp;"",""))-LEN(SUBSTITUTE(IFERROR(INDEX('Saisie programme'!$D$13:$J$477,343,WEEKDAY($K$90-0,2))&amp;"",""),"1",""))+LEN(IFERROR(INDEX('Saisie programme'!$D$13:$J$477,343,WEEKDAY($K$90-0,2))&amp;"",""))-LEN(SUBSTITUTE(IFERROR(INDEX('Saisie programme'!$D$13:$J$477,343,WEEKDAY($K$90-0,2))&amp;"",""),"2",""))+LEN(IFERROR(INDEX('Saisie programme'!$D$13:$J$477,343,WEEKDAY($K$90-1,2))&amp;"",""))-LEN(SUBSTITUTE(IFERROR(INDEX('Saisie programme'!$D$13:$J$477,343,WEEKDAY($K$90-1,2))&amp;"",""),"2",""))+LEN(IFERROR(INDEX('Saisie programme'!$D$13:$J$477,343,WEEKDAY($K$90-0,2))&amp;"",""))-LEN(SUBSTITUTE(IFERROR(INDEX('Saisie programme'!$D$13:$J$477,343,WEEKDAY($K$90-0,2))&amp;"",""),"3",""))+LEN(IFERROR(INDEX('Saisie programme'!$D$13:$J$477,343,WEEKDAY($K$90-1,2))&amp;"",""))-LEN(SUBSTITUTE(IFERROR(INDEX('Saisie programme'!$D$13:$J$477,343,WEEKDAY($K$90-1,2))&amp;"",""),"3",""))+LEN(IFERROR(INDEX('Saisie programme'!$D$13:$J$477,343,WEEKDAY($K$90-2,2))&amp;"",""))-LEN(SUBSTITUTE(IFERROR(INDEX('Saisie programme'!$D$13:$J$477,343,WEEKDAY($K$90-2,2))&amp;"",""),"3",""))</f>
        <v>0</v>
      </c>
      <c r="L166" s="34" t="n">
        <f aca="false">LEN(IFERROR(INDEX('Saisie programme'!$D$13:$J$477,382,WEEKDAY($K$91-0,2))&amp;"",""))-LEN(SUBSTITUTE(IFERROR(INDEX('Saisie programme'!$D$13:$J$477,382,WEEKDAY($K$91-0,2))&amp;"",""),"1",""))+LEN(IFERROR(INDEX('Saisie programme'!$D$13:$J$477,382,WEEKDAY($K$91-0,2))&amp;"",""))-LEN(SUBSTITUTE(IFERROR(INDEX('Saisie programme'!$D$13:$J$477,382,WEEKDAY($K$91-0,2))&amp;"",""),"2",""))+LEN(IFERROR(INDEX('Saisie programme'!$D$13:$J$477,382,WEEKDAY($K$91-1,2))&amp;"",""))-LEN(SUBSTITUTE(IFERROR(INDEX('Saisie programme'!$D$13:$J$477,382,WEEKDAY($K$91-1,2))&amp;"",""),"2",""))+LEN(IFERROR(INDEX('Saisie programme'!$D$13:$J$477,382,WEEKDAY($K$91-0,2))&amp;"",""))-LEN(SUBSTITUTE(IFERROR(INDEX('Saisie programme'!$D$13:$J$477,382,WEEKDAY($K$91-0,2))&amp;"",""),"3",""))+LEN(IFERROR(INDEX('Saisie programme'!$D$13:$J$477,382,WEEKDAY($K$91-1,2))&amp;"",""))-LEN(SUBSTITUTE(IFERROR(INDEX('Saisie programme'!$D$13:$J$477,382,WEEKDAY($K$91-1,2))&amp;"",""),"3",""))+LEN(IFERROR(INDEX('Saisie programme'!$D$13:$J$477,382,WEEKDAY($K$91-2,2))&amp;"",""))-LEN(SUBSTITUTE(IFERROR(INDEX('Saisie programme'!$D$13:$J$477,382,WEEKDAY($K$91-2,2))&amp;"",""),"3",""))</f>
        <v>0</v>
      </c>
      <c r="M166" s="34" t="n">
        <f aca="false">LEN(IFERROR(INDEX('Saisie programme'!$D$13:$J$477,421,WEEKDAY($K$92-0,2))&amp;"",""))-LEN(SUBSTITUTE(IFERROR(INDEX('Saisie programme'!$D$13:$J$477,421,WEEKDAY($K$92-0,2))&amp;"",""),"1",""))+LEN(IFERROR(INDEX('Saisie programme'!$D$13:$J$477,421,WEEKDAY($K$92-0,2))&amp;"",""))-LEN(SUBSTITUTE(IFERROR(INDEX('Saisie programme'!$D$13:$J$477,421,WEEKDAY($K$92-0,2))&amp;"",""),"2",""))+LEN(IFERROR(INDEX('Saisie programme'!$D$13:$J$477,421,WEEKDAY($K$92-1,2))&amp;"",""))-LEN(SUBSTITUTE(IFERROR(INDEX('Saisie programme'!$D$13:$J$477,421,WEEKDAY($K$92-1,2))&amp;"",""),"2",""))+LEN(IFERROR(INDEX('Saisie programme'!$D$13:$J$477,421,WEEKDAY($K$92-0,2))&amp;"",""))-LEN(SUBSTITUTE(IFERROR(INDEX('Saisie programme'!$D$13:$J$477,421,WEEKDAY($K$92-0,2))&amp;"",""),"3",""))+LEN(IFERROR(INDEX('Saisie programme'!$D$13:$J$477,421,WEEKDAY($K$92-1,2))&amp;"",""))-LEN(SUBSTITUTE(IFERROR(INDEX('Saisie programme'!$D$13:$J$477,421,WEEKDAY($K$92-1,2))&amp;"",""),"3",""))+LEN(IFERROR(INDEX('Saisie programme'!$D$13:$J$477,421,WEEKDAY($K$92-2,2))&amp;"",""))-LEN(SUBSTITUTE(IFERROR(INDEX('Saisie programme'!$D$13:$J$477,421,WEEKDAY($K$92-2,2))&amp;"",""),"3",""))</f>
        <v>0</v>
      </c>
      <c r="N166" s="34" t="n">
        <f aca="false">LEN(IFERROR(INDEX('Saisie programme'!$D$13:$J$477,460,WEEKDAY($K$93-0,2))&amp;"",""))-LEN(SUBSTITUTE(IFERROR(INDEX('Saisie programme'!$D$13:$J$477,460,WEEKDAY($K$93-0,2))&amp;"",""),"1",""))+LEN(IFERROR(INDEX('Saisie programme'!$D$13:$J$477,460,WEEKDAY($K$93-0,2))&amp;"",""))-LEN(SUBSTITUTE(IFERROR(INDEX('Saisie programme'!$D$13:$J$477,460,WEEKDAY($K$93-0,2))&amp;"",""),"2",""))+LEN(IFERROR(INDEX('Saisie programme'!$D$13:$J$477,460,WEEKDAY($K$93-1,2))&amp;"",""))-LEN(SUBSTITUTE(IFERROR(INDEX('Saisie programme'!$D$13:$J$477,460,WEEKDAY($K$93-1,2))&amp;"",""),"2",""))+LEN(IFERROR(INDEX('Saisie programme'!$D$13:$J$477,460,WEEKDAY($K$93-0,2))&amp;"",""))-LEN(SUBSTITUTE(IFERROR(INDEX('Saisie programme'!$D$13:$J$477,460,WEEKDAY($K$93-0,2))&amp;"",""),"3",""))+LEN(IFERROR(INDEX('Saisie programme'!$D$13:$J$477,460,WEEKDAY($K$93-1,2))&amp;"",""))-LEN(SUBSTITUTE(IFERROR(INDEX('Saisie programme'!$D$13:$J$477,460,WEEKDAY($K$93-1,2))&amp;"",""),"3",""))+LEN(IFERROR(INDEX('Saisie programme'!$D$13:$J$477,460,WEEKDAY($K$93-2,2))&amp;"",""))-LEN(SUBSTITUTE(IFERROR(INDEX('Saisie programme'!$D$13:$J$477,460,WEEKDAY($K$93-2,2))&amp;"",""),"3",""))</f>
        <v>0</v>
      </c>
      <c r="O166" s="12" t="s">
        <v>59</v>
      </c>
      <c r="P166" s="12" t="s">
        <v>11</v>
      </c>
    </row>
    <row r="167" customFormat="false" ht="15" hidden="false" customHeight="false" outlineLevel="0" collapsed="false">
      <c r="B167" s="10" t="s">
        <v>168</v>
      </c>
      <c r="C167" s="34" t="n">
        <f aca="false">LEN(IFERROR(INDEX('Saisie programme'!$D$13:$J$477,32,WEEKDAY($K$82-0,2))&amp;"",""))-LEN(SUBSTITUTE(IFERROR(INDEX('Saisie programme'!$D$13:$J$477,32,WEEKDAY($K$82-0,2))&amp;"",""),"1",""))+LEN(IFERROR(INDEX('Saisie programme'!$D$13:$J$477,32,WEEKDAY($K$82-0,2))&amp;"",""))-LEN(SUBSTITUTE(IFERROR(INDEX('Saisie programme'!$D$13:$J$477,32,WEEKDAY($K$82-0,2))&amp;"",""),"2",""))+LEN(IFERROR(INDEX('Saisie programme'!$D$13:$J$477,32,WEEKDAY($K$82-1,2))&amp;"",""))-LEN(SUBSTITUTE(IFERROR(INDEX('Saisie programme'!$D$13:$J$477,32,WEEKDAY($K$82-1,2))&amp;"",""),"2",""))+LEN(IFERROR(INDEX('Saisie programme'!$D$13:$J$477,32,WEEKDAY($K$82-0,2))&amp;"",""))-LEN(SUBSTITUTE(IFERROR(INDEX('Saisie programme'!$D$13:$J$477,32,WEEKDAY($K$82-0,2))&amp;"",""),"3",""))+LEN(IFERROR(INDEX('Saisie programme'!$D$13:$J$477,32,WEEKDAY($K$82-1,2))&amp;"",""))-LEN(SUBSTITUTE(IFERROR(INDEX('Saisie programme'!$D$13:$J$477,32,WEEKDAY($K$82-1,2))&amp;"",""),"3",""))+LEN(IFERROR(INDEX('Saisie programme'!$D$13:$J$477,32,WEEKDAY($K$82-2,2))&amp;"",""))-LEN(SUBSTITUTE(IFERROR(INDEX('Saisie programme'!$D$13:$J$477,32,WEEKDAY($K$82-2,2))&amp;"",""),"3",""))</f>
        <v>0</v>
      </c>
      <c r="D167" s="34" t="n">
        <f aca="false">LEN(IFERROR(INDEX('Saisie programme'!$D$13:$J$477,71,WEEKDAY($K$83-0,2))&amp;"",""))-LEN(SUBSTITUTE(IFERROR(INDEX('Saisie programme'!$D$13:$J$477,71,WEEKDAY($K$83-0,2))&amp;"",""),"1",""))+LEN(IFERROR(INDEX('Saisie programme'!$D$13:$J$477,71,WEEKDAY($K$83-0,2))&amp;"",""))-LEN(SUBSTITUTE(IFERROR(INDEX('Saisie programme'!$D$13:$J$477,71,WEEKDAY($K$83-0,2))&amp;"",""),"2",""))+LEN(IFERROR(INDEX('Saisie programme'!$D$13:$J$477,71,WEEKDAY($K$83-1,2))&amp;"",""))-LEN(SUBSTITUTE(IFERROR(INDEX('Saisie programme'!$D$13:$J$477,71,WEEKDAY($K$83-1,2))&amp;"",""),"2",""))+LEN(IFERROR(INDEX('Saisie programme'!$D$13:$J$477,71,WEEKDAY($K$83-0,2))&amp;"",""))-LEN(SUBSTITUTE(IFERROR(INDEX('Saisie programme'!$D$13:$J$477,71,WEEKDAY($K$83-0,2))&amp;"",""),"3",""))+LEN(IFERROR(INDEX('Saisie programme'!$D$13:$J$477,71,WEEKDAY($K$83-1,2))&amp;"",""))-LEN(SUBSTITUTE(IFERROR(INDEX('Saisie programme'!$D$13:$J$477,71,WEEKDAY($K$83-1,2))&amp;"",""),"3",""))+LEN(IFERROR(INDEX('Saisie programme'!$D$13:$J$477,71,WEEKDAY($K$83-2,2))&amp;"",""))-LEN(SUBSTITUTE(IFERROR(INDEX('Saisie programme'!$D$13:$J$477,71,WEEKDAY($K$83-2,2))&amp;"",""),"3",""))</f>
        <v>0</v>
      </c>
      <c r="E167" s="34" t="n">
        <f aca="false">LEN(IFERROR(INDEX('Saisie programme'!$D$13:$J$477,110,WEEKDAY($K$84-0,2))&amp;"",""))-LEN(SUBSTITUTE(IFERROR(INDEX('Saisie programme'!$D$13:$J$477,110,WEEKDAY($K$84-0,2))&amp;"",""),"1",""))+LEN(IFERROR(INDEX('Saisie programme'!$D$13:$J$477,110,WEEKDAY($K$84-0,2))&amp;"",""))-LEN(SUBSTITUTE(IFERROR(INDEX('Saisie programme'!$D$13:$J$477,110,WEEKDAY($K$84-0,2))&amp;"",""),"2",""))+LEN(IFERROR(INDEX('Saisie programme'!$D$13:$J$477,110,WEEKDAY($K$84-1,2))&amp;"",""))-LEN(SUBSTITUTE(IFERROR(INDEX('Saisie programme'!$D$13:$J$477,110,WEEKDAY($K$84-1,2))&amp;"",""),"2",""))+LEN(IFERROR(INDEX('Saisie programme'!$D$13:$J$477,110,WEEKDAY($K$84-0,2))&amp;"",""))-LEN(SUBSTITUTE(IFERROR(INDEX('Saisie programme'!$D$13:$J$477,110,WEEKDAY($K$84-0,2))&amp;"",""),"3",""))+LEN(IFERROR(INDEX('Saisie programme'!$D$13:$J$477,110,WEEKDAY($K$84-1,2))&amp;"",""))-LEN(SUBSTITUTE(IFERROR(INDEX('Saisie programme'!$D$13:$J$477,110,WEEKDAY($K$84-1,2))&amp;"",""),"3",""))+LEN(IFERROR(INDEX('Saisie programme'!$D$13:$J$477,110,WEEKDAY($K$84-2,2))&amp;"",""))-LEN(SUBSTITUTE(IFERROR(INDEX('Saisie programme'!$D$13:$J$477,110,WEEKDAY($K$84-2,2))&amp;"",""),"3",""))</f>
        <v>0</v>
      </c>
      <c r="F167" s="34" t="n">
        <f aca="false">LEN(IFERROR(INDEX('Saisie programme'!$D$13:$J$477,149,WEEKDAY($K$85-0,2))&amp;"",""))-LEN(SUBSTITUTE(IFERROR(INDEX('Saisie programme'!$D$13:$J$477,149,WEEKDAY($K$85-0,2))&amp;"",""),"1",""))+LEN(IFERROR(INDEX('Saisie programme'!$D$13:$J$477,149,WEEKDAY($K$85-0,2))&amp;"",""))-LEN(SUBSTITUTE(IFERROR(INDEX('Saisie programme'!$D$13:$J$477,149,WEEKDAY($K$85-0,2))&amp;"",""),"2",""))+LEN(IFERROR(INDEX('Saisie programme'!$D$13:$J$477,149,WEEKDAY($K$85-1,2))&amp;"",""))-LEN(SUBSTITUTE(IFERROR(INDEX('Saisie programme'!$D$13:$J$477,149,WEEKDAY($K$85-1,2))&amp;"",""),"2",""))+LEN(IFERROR(INDEX('Saisie programme'!$D$13:$J$477,149,WEEKDAY($K$85-0,2))&amp;"",""))-LEN(SUBSTITUTE(IFERROR(INDEX('Saisie programme'!$D$13:$J$477,149,WEEKDAY($K$85-0,2))&amp;"",""),"3",""))+LEN(IFERROR(INDEX('Saisie programme'!$D$13:$J$477,149,WEEKDAY($K$85-1,2))&amp;"",""))-LEN(SUBSTITUTE(IFERROR(INDEX('Saisie programme'!$D$13:$J$477,149,WEEKDAY($K$85-1,2))&amp;"",""),"3",""))+LEN(IFERROR(INDEX('Saisie programme'!$D$13:$J$477,149,WEEKDAY($K$85-2,2))&amp;"",""))-LEN(SUBSTITUTE(IFERROR(INDEX('Saisie programme'!$D$13:$J$477,149,WEEKDAY($K$85-2,2))&amp;"",""),"3",""))</f>
        <v>0</v>
      </c>
      <c r="G167" s="34" t="n">
        <f aca="false">LEN(IFERROR(INDEX('Saisie programme'!$D$13:$J$477,188,WEEKDAY($K$86-0,2))&amp;"",""))-LEN(SUBSTITUTE(IFERROR(INDEX('Saisie programme'!$D$13:$J$477,188,WEEKDAY($K$86-0,2))&amp;"",""),"1",""))+LEN(IFERROR(INDEX('Saisie programme'!$D$13:$J$477,188,WEEKDAY($K$86-0,2))&amp;"",""))-LEN(SUBSTITUTE(IFERROR(INDEX('Saisie programme'!$D$13:$J$477,188,WEEKDAY($K$86-0,2))&amp;"",""),"2",""))+LEN(IFERROR(INDEX('Saisie programme'!$D$13:$J$477,188,WEEKDAY($K$86-1,2))&amp;"",""))-LEN(SUBSTITUTE(IFERROR(INDEX('Saisie programme'!$D$13:$J$477,188,WEEKDAY($K$86-1,2))&amp;"",""),"2",""))+LEN(IFERROR(INDEX('Saisie programme'!$D$13:$J$477,188,WEEKDAY($K$86-0,2))&amp;"",""))-LEN(SUBSTITUTE(IFERROR(INDEX('Saisie programme'!$D$13:$J$477,188,WEEKDAY($K$86-0,2))&amp;"",""),"3",""))+LEN(IFERROR(INDEX('Saisie programme'!$D$13:$J$477,188,WEEKDAY($K$86-1,2))&amp;"",""))-LEN(SUBSTITUTE(IFERROR(INDEX('Saisie programme'!$D$13:$J$477,188,WEEKDAY($K$86-1,2))&amp;"",""),"3",""))+LEN(IFERROR(INDEX('Saisie programme'!$D$13:$J$477,188,WEEKDAY($K$86-2,2))&amp;"",""))-LEN(SUBSTITUTE(IFERROR(INDEX('Saisie programme'!$D$13:$J$477,188,WEEKDAY($K$86-2,2))&amp;"",""),"3",""))</f>
        <v>0</v>
      </c>
      <c r="H167" s="34" t="n">
        <f aca="false">LEN(IFERROR(INDEX('Saisie programme'!$D$13:$J$477,227,WEEKDAY($K$87-0,2))&amp;"",""))-LEN(SUBSTITUTE(IFERROR(INDEX('Saisie programme'!$D$13:$J$477,227,WEEKDAY($K$87-0,2))&amp;"",""),"1",""))+LEN(IFERROR(INDEX('Saisie programme'!$D$13:$J$477,227,WEEKDAY($K$87-0,2))&amp;"",""))-LEN(SUBSTITUTE(IFERROR(INDEX('Saisie programme'!$D$13:$J$477,227,WEEKDAY($K$87-0,2))&amp;"",""),"2",""))+LEN(IFERROR(INDEX('Saisie programme'!$D$13:$J$477,227,WEEKDAY($K$87-1,2))&amp;"",""))-LEN(SUBSTITUTE(IFERROR(INDEX('Saisie programme'!$D$13:$J$477,227,WEEKDAY($K$87-1,2))&amp;"",""),"2",""))+LEN(IFERROR(INDEX('Saisie programme'!$D$13:$J$477,227,WEEKDAY($K$87-0,2))&amp;"",""))-LEN(SUBSTITUTE(IFERROR(INDEX('Saisie programme'!$D$13:$J$477,227,WEEKDAY($K$87-0,2))&amp;"",""),"3",""))+LEN(IFERROR(INDEX('Saisie programme'!$D$13:$J$477,227,WEEKDAY($K$87-1,2))&amp;"",""))-LEN(SUBSTITUTE(IFERROR(INDEX('Saisie programme'!$D$13:$J$477,227,WEEKDAY($K$87-1,2))&amp;"",""),"3",""))+LEN(IFERROR(INDEX('Saisie programme'!$D$13:$J$477,227,WEEKDAY($K$87-2,2))&amp;"",""))-LEN(SUBSTITUTE(IFERROR(INDEX('Saisie programme'!$D$13:$J$477,227,WEEKDAY($K$87-2,2))&amp;"",""),"3",""))</f>
        <v>0</v>
      </c>
      <c r="I167" s="34" t="n">
        <f aca="false">LEN(IFERROR(INDEX('Saisie programme'!$D$13:$J$477,266,WEEKDAY($K$88-0,2))&amp;"",""))-LEN(SUBSTITUTE(IFERROR(INDEX('Saisie programme'!$D$13:$J$477,266,WEEKDAY($K$88-0,2))&amp;"",""),"1",""))+LEN(IFERROR(INDEX('Saisie programme'!$D$13:$J$477,266,WEEKDAY($K$88-0,2))&amp;"",""))-LEN(SUBSTITUTE(IFERROR(INDEX('Saisie programme'!$D$13:$J$477,266,WEEKDAY($K$88-0,2))&amp;"",""),"2",""))+LEN(IFERROR(INDEX('Saisie programme'!$D$13:$J$477,266,WEEKDAY($K$88-1,2))&amp;"",""))-LEN(SUBSTITUTE(IFERROR(INDEX('Saisie programme'!$D$13:$J$477,266,WEEKDAY($K$88-1,2))&amp;"",""),"2",""))+LEN(IFERROR(INDEX('Saisie programme'!$D$13:$J$477,266,WEEKDAY($K$88-0,2))&amp;"",""))-LEN(SUBSTITUTE(IFERROR(INDEX('Saisie programme'!$D$13:$J$477,266,WEEKDAY($K$88-0,2))&amp;"",""),"3",""))+LEN(IFERROR(INDEX('Saisie programme'!$D$13:$J$477,266,WEEKDAY($K$88-1,2))&amp;"",""))-LEN(SUBSTITUTE(IFERROR(INDEX('Saisie programme'!$D$13:$J$477,266,WEEKDAY($K$88-1,2))&amp;"",""),"3",""))+LEN(IFERROR(INDEX('Saisie programme'!$D$13:$J$477,266,WEEKDAY($K$88-2,2))&amp;"",""))-LEN(SUBSTITUTE(IFERROR(INDEX('Saisie programme'!$D$13:$J$477,266,WEEKDAY($K$88-2,2))&amp;"",""),"3",""))</f>
        <v>0</v>
      </c>
      <c r="J167" s="34" t="n">
        <f aca="false">LEN(IFERROR(INDEX('Saisie programme'!$D$13:$J$477,305,WEEKDAY($K$89-0,2))&amp;"",""))-LEN(SUBSTITUTE(IFERROR(INDEX('Saisie programme'!$D$13:$J$477,305,WEEKDAY($K$89-0,2))&amp;"",""),"1",""))+LEN(IFERROR(INDEX('Saisie programme'!$D$13:$J$477,305,WEEKDAY($K$89-0,2))&amp;"",""))-LEN(SUBSTITUTE(IFERROR(INDEX('Saisie programme'!$D$13:$J$477,305,WEEKDAY($K$89-0,2))&amp;"",""),"2",""))+LEN(IFERROR(INDEX('Saisie programme'!$D$13:$J$477,305,WEEKDAY($K$89-1,2))&amp;"",""))-LEN(SUBSTITUTE(IFERROR(INDEX('Saisie programme'!$D$13:$J$477,305,WEEKDAY($K$89-1,2))&amp;"",""),"2",""))+LEN(IFERROR(INDEX('Saisie programme'!$D$13:$J$477,305,WEEKDAY($K$89-0,2))&amp;"",""))-LEN(SUBSTITUTE(IFERROR(INDEX('Saisie programme'!$D$13:$J$477,305,WEEKDAY($K$89-0,2))&amp;"",""),"3",""))+LEN(IFERROR(INDEX('Saisie programme'!$D$13:$J$477,305,WEEKDAY($K$89-1,2))&amp;"",""))-LEN(SUBSTITUTE(IFERROR(INDEX('Saisie programme'!$D$13:$J$477,305,WEEKDAY($K$89-1,2))&amp;"",""),"3",""))+LEN(IFERROR(INDEX('Saisie programme'!$D$13:$J$477,305,WEEKDAY($K$89-2,2))&amp;"",""))-LEN(SUBSTITUTE(IFERROR(INDEX('Saisie programme'!$D$13:$J$477,305,WEEKDAY($K$89-2,2))&amp;"",""),"3",""))</f>
        <v>0</v>
      </c>
      <c r="K167" s="34" t="n">
        <f aca="false">LEN(IFERROR(INDEX('Saisie programme'!$D$13:$J$477,344,WEEKDAY($K$90-0,2))&amp;"",""))-LEN(SUBSTITUTE(IFERROR(INDEX('Saisie programme'!$D$13:$J$477,344,WEEKDAY($K$90-0,2))&amp;"",""),"1",""))+LEN(IFERROR(INDEX('Saisie programme'!$D$13:$J$477,344,WEEKDAY($K$90-0,2))&amp;"",""))-LEN(SUBSTITUTE(IFERROR(INDEX('Saisie programme'!$D$13:$J$477,344,WEEKDAY($K$90-0,2))&amp;"",""),"2",""))+LEN(IFERROR(INDEX('Saisie programme'!$D$13:$J$477,344,WEEKDAY($K$90-1,2))&amp;"",""))-LEN(SUBSTITUTE(IFERROR(INDEX('Saisie programme'!$D$13:$J$477,344,WEEKDAY($K$90-1,2))&amp;"",""),"2",""))+LEN(IFERROR(INDEX('Saisie programme'!$D$13:$J$477,344,WEEKDAY($K$90-0,2))&amp;"",""))-LEN(SUBSTITUTE(IFERROR(INDEX('Saisie programme'!$D$13:$J$477,344,WEEKDAY($K$90-0,2))&amp;"",""),"3",""))+LEN(IFERROR(INDEX('Saisie programme'!$D$13:$J$477,344,WEEKDAY($K$90-1,2))&amp;"",""))-LEN(SUBSTITUTE(IFERROR(INDEX('Saisie programme'!$D$13:$J$477,344,WEEKDAY($K$90-1,2))&amp;"",""),"3",""))+LEN(IFERROR(INDEX('Saisie programme'!$D$13:$J$477,344,WEEKDAY($K$90-2,2))&amp;"",""))-LEN(SUBSTITUTE(IFERROR(INDEX('Saisie programme'!$D$13:$J$477,344,WEEKDAY($K$90-2,2))&amp;"",""),"3",""))</f>
        <v>0</v>
      </c>
      <c r="L167" s="34" t="n">
        <f aca="false">LEN(IFERROR(INDEX('Saisie programme'!$D$13:$J$477,383,WEEKDAY($K$91-0,2))&amp;"",""))-LEN(SUBSTITUTE(IFERROR(INDEX('Saisie programme'!$D$13:$J$477,383,WEEKDAY($K$91-0,2))&amp;"",""),"1",""))+LEN(IFERROR(INDEX('Saisie programme'!$D$13:$J$477,383,WEEKDAY($K$91-0,2))&amp;"",""))-LEN(SUBSTITUTE(IFERROR(INDEX('Saisie programme'!$D$13:$J$477,383,WEEKDAY($K$91-0,2))&amp;"",""),"2",""))+LEN(IFERROR(INDEX('Saisie programme'!$D$13:$J$477,383,WEEKDAY($K$91-1,2))&amp;"",""))-LEN(SUBSTITUTE(IFERROR(INDEX('Saisie programme'!$D$13:$J$477,383,WEEKDAY($K$91-1,2))&amp;"",""),"2",""))+LEN(IFERROR(INDEX('Saisie programme'!$D$13:$J$477,383,WEEKDAY($K$91-0,2))&amp;"",""))-LEN(SUBSTITUTE(IFERROR(INDEX('Saisie programme'!$D$13:$J$477,383,WEEKDAY($K$91-0,2))&amp;"",""),"3",""))+LEN(IFERROR(INDEX('Saisie programme'!$D$13:$J$477,383,WEEKDAY($K$91-1,2))&amp;"",""))-LEN(SUBSTITUTE(IFERROR(INDEX('Saisie programme'!$D$13:$J$477,383,WEEKDAY($K$91-1,2))&amp;"",""),"3",""))+LEN(IFERROR(INDEX('Saisie programme'!$D$13:$J$477,383,WEEKDAY($K$91-2,2))&amp;"",""))-LEN(SUBSTITUTE(IFERROR(INDEX('Saisie programme'!$D$13:$J$477,383,WEEKDAY($K$91-2,2))&amp;"",""),"3",""))</f>
        <v>0</v>
      </c>
      <c r="M167" s="34" t="n">
        <f aca="false">LEN(IFERROR(INDEX('Saisie programme'!$D$13:$J$477,422,WEEKDAY($K$92-0,2))&amp;"",""))-LEN(SUBSTITUTE(IFERROR(INDEX('Saisie programme'!$D$13:$J$477,422,WEEKDAY($K$92-0,2))&amp;"",""),"1",""))+LEN(IFERROR(INDEX('Saisie programme'!$D$13:$J$477,422,WEEKDAY($K$92-0,2))&amp;"",""))-LEN(SUBSTITUTE(IFERROR(INDEX('Saisie programme'!$D$13:$J$477,422,WEEKDAY($K$92-0,2))&amp;"",""),"2",""))+LEN(IFERROR(INDEX('Saisie programme'!$D$13:$J$477,422,WEEKDAY($K$92-1,2))&amp;"",""))-LEN(SUBSTITUTE(IFERROR(INDEX('Saisie programme'!$D$13:$J$477,422,WEEKDAY($K$92-1,2))&amp;"",""),"2",""))+LEN(IFERROR(INDEX('Saisie programme'!$D$13:$J$477,422,WEEKDAY($K$92-0,2))&amp;"",""))-LEN(SUBSTITUTE(IFERROR(INDEX('Saisie programme'!$D$13:$J$477,422,WEEKDAY($K$92-0,2))&amp;"",""),"3",""))+LEN(IFERROR(INDEX('Saisie programme'!$D$13:$J$477,422,WEEKDAY($K$92-1,2))&amp;"",""))-LEN(SUBSTITUTE(IFERROR(INDEX('Saisie programme'!$D$13:$J$477,422,WEEKDAY($K$92-1,2))&amp;"",""),"3",""))+LEN(IFERROR(INDEX('Saisie programme'!$D$13:$J$477,422,WEEKDAY($K$92-2,2))&amp;"",""))-LEN(SUBSTITUTE(IFERROR(INDEX('Saisie programme'!$D$13:$J$477,422,WEEKDAY($K$92-2,2))&amp;"",""),"3",""))</f>
        <v>0</v>
      </c>
      <c r="N167" s="34" t="n">
        <f aca="false">LEN(IFERROR(INDEX('Saisie programme'!$D$13:$J$477,461,WEEKDAY($K$93-0,2))&amp;"",""))-LEN(SUBSTITUTE(IFERROR(INDEX('Saisie programme'!$D$13:$J$477,461,WEEKDAY($K$93-0,2))&amp;"",""),"1",""))+LEN(IFERROR(INDEX('Saisie programme'!$D$13:$J$477,461,WEEKDAY($K$93-0,2))&amp;"",""))-LEN(SUBSTITUTE(IFERROR(INDEX('Saisie programme'!$D$13:$J$477,461,WEEKDAY($K$93-0,2))&amp;"",""),"2",""))+LEN(IFERROR(INDEX('Saisie programme'!$D$13:$J$477,461,WEEKDAY($K$93-1,2))&amp;"",""))-LEN(SUBSTITUTE(IFERROR(INDEX('Saisie programme'!$D$13:$J$477,461,WEEKDAY($K$93-1,2))&amp;"",""),"2",""))+LEN(IFERROR(INDEX('Saisie programme'!$D$13:$J$477,461,WEEKDAY($K$93-0,2))&amp;"",""))-LEN(SUBSTITUTE(IFERROR(INDEX('Saisie programme'!$D$13:$J$477,461,WEEKDAY($K$93-0,2))&amp;"",""),"3",""))+LEN(IFERROR(INDEX('Saisie programme'!$D$13:$J$477,461,WEEKDAY($K$93-1,2))&amp;"",""))-LEN(SUBSTITUTE(IFERROR(INDEX('Saisie programme'!$D$13:$J$477,461,WEEKDAY($K$93-1,2))&amp;"",""),"3",""))+LEN(IFERROR(INDEX('Saisie programme'!$D$13:$J$477,461,WEEKDAY($K$93-2,2))&amp;"",""))-LEN(SUBSTITUTE(IFERROR(INDEX('Saisie programme'!$D$13:$J$477,461,WEEKDAY($K$93-2,2))&amp;"",""),"3",""))</f>
        <v>0</v>
      </c>
      <c r="O167" s="12" t="s">
        <v>59</v>
      </c>
      <c r="P167" s="12" t="s">
        <v>19</v>
      </c>
    </row>
    <row r="168" customFormat="false" ht="15" hidden="false" customHeight="false" outlineLevel="0" collapsed="false">
      <c r="B168" s="10" t="s">
        <v>169</v>
      </c>
      <c r="C168" s="34" t="n">
        <f aca="false">LEN(IFERROR(INDEX('Saisie programme'!$D$13:$J$477,33,WEEKDAY($K$82-0,2))&amp;"",""))-LEN(SUBSTITUTE(IFERROR(INDEX('Saisie programme'!$D$13:$J$477,33,WEEKDAY($K$82-0,2))&amp;"",""),"1",""))+LEN(IFERROR(INDEX('Saisie programme'!$D$13:$J$477,33,WEEKDAY($K$82-0,2))&amp;"",""))-LEN(SUBSTITUTE(IFERROR(INDEX('Saisie programme'!$D$13:$J$477,33,WEEKDAY($K$82-0,2))&amp;"",""),"2",""))+LEN(IFERROR(INDEX('Saisie programme'!$D$13:$J$477,33,WEEKDAY($K$82-1,2))&amp;"",""))-LEN(SUBSTITUTE(IFERROR(INDEX('Saisie programme'!$D$13:$J$477,33,WEEKDAY($K$82-1,2))&amp;"",""),"2",""))+LEN(IFERROR(INDEX('Saisie programme'!$D$13:$J$477,33,WEEKDAY($K$82-0,2))&amp;"",""))-LEN(SUBSTITUTE(IFERROR(INDEX('Saisie programme'!$D$13:$J$477,33,WEEKDAY($K$82-0,2))&amp;"",""),"3",""))+LEN(IFERROR(INDEX('Saisie programme'!$D$13:$J$477,33,WEEKDAY($K$82-1,2))&amp;"",""))-LEN(SUBSTITUTE(IFERROR(INDEX('Saisie programme'!$D$13:$J$477,33,WEEKDAY($K$82-1,2))&amp;"",""),"3",""))+LEN(IFERROR(INDEX('Saisie programme'!$D$13:$J$477,33,WEEKDAY($K$82-2,2))&amp;"",""))-LEN(SUBSTITUTE(IFERROR(INDEX('Saisie programme'!$D$13:$J$477,33,WEEKDAY($K$82-2,2))&amp;"",""),"3",""))</f>
        <v>0</v>
      </c>
      <c r="D168" s="34" t="n">
        <f aca="false">LEN(IFERROR(INDEX('Saisie programme'!$D$13:$J$477,72,WEEKDAY($K$83-0,2))&amp;"",""))-LEN(SUBSTITUTE(IFERROR(INDEX('Saisie programme'!$D$13:$J$477,72,WEEKDAY($K$83-0,2))&amp;"",""),"1",""))+LEN(IFERROR(INDEX('Saisie programme'!$D$13:$J$477,72,WEEKDAY($K$83-0,2))&amp;"",""))-LEN(SUBSTITUTE(IFERROR(INDEX('Saisie programme'!$D$13:$J$477,72,WEEKDAY($K$83-0,2))&amp;"",""),"2",""))+LEN(IFERROR(INDEX('Saisie programme'!$D$13:$J$477,72,WEEKDAY($K$83-1,2))&amp;"",""))-LEN(SUBSTITUTE(IFERROR(INDEX('Saisie programme'!$D$13:$J$477,72,WEEKDAY($K$83-1,2))&amp;"",""),"2",""))+LEN(IFERROR(INDEX('Saisie programme'!$D$13:$J$477,72,WEEKDAY($K$83-0,2))&amp;"",""))-LEN(SUBSTITUTE(IFERROR(INDEX('Saisie programme'!$D$13:$J$477,72,WEEKDAY($K$83-0,2))&amp;"",""),"3",""))+LEN(IFERROR(INDEX('Saisie programme'!$D$13:$J$477,72,WEEKDAY($K$83-1,2))&amp;"",""))-LEN(SUBSTITUTE(IFERROR(INDEX('Saisie programme'!$D$13:$J$477,72,WEEKDAY($K$83-1,2))&amp;"",""),"3",""))+LEN(IFERROR(INDEX('Saisie programme'!$D$13:$J$477,72,WEEKDAY($K$83-2,2))&amp;"",""))-LEN(SUBSTITUTE(IFERROR(INDEX('Saisie programme'!$D$13:$J$477,72,WEEKDAY($K$83-2,2))&amp;"",""),"3",""))</f>
        <v>0</v>
      </c>
      <c r="E168" s="34" t="n">
        <f aca="false">LEN(IFERROR(INDEX('Saisie programme'!$D$13:$J$477,111,WEEKDAY($K$84-0,2))&amp;"",""))-LEN(SUBSTITUTE(IFERROR(INDEX('Saisie programme'!$D$13:$J$477,111,WEEKDAY($K$84-0,2))&amp;"",""),"1",""))+LEN(IFERROR(INDEX('Saisie programme'!$D$13:$J$477,111,WEEKDAY($K$84-0,2))&amp;"",""))-LEN(SUBSTITUTE(IFERROR(INDEX('Saisie programme'!$D$13:$J$477,111,WEEKDAY($K$84-0,2))&amp;"",""),"2",""))+LEN(IFERROR(INDEX('Saisie programme'!$D$13:$J$477,111,WEEKDAY($K$84-1,2))&amp;"",""))-LEN(SUBSTITUTE(IFERROR(INDEX('Saisie programme'!$D$13:$J$477,111,WEEKDAY($K$84-1,2))&amp;"",""),"2",""))+LEN(IFERROR(INDEX('Saisie programme'!$D$13:$J$477,111,WEEKDAY($K$84-0,2))&amp;"",""))-LEN(SUBSTITUTE(IFERROR(INDEX('Saisie programme'!$D$13:$J$477,111,WEEKDAY($K$84-0,2))&amp;"",""),"3",""))+LEN(IFERROR(INDEX('Saisie programme'!$D$13:$J$477,111,WEEKDAY($K$84-1,2))&amp;"",""))-LEN(SUBSTITUTE(IFERROR(INDEX('Saisie programme'!$D$13:$J$477,111,WEEKDAY($K$84-1,2))&amp;"",""),"3",""))+LEN(IFERROR(INDEX('Saisie programme'!$D$13:$J$477,111,WEEKDAY($K$84-2,2))&amp;"",""))-LEN(SUBSTITUTE(IFERROR(INDEX('Saisie programme'!$D$13:$J$477,111,WEEKDAY($K$84-2,2))&amp;"",""),"3",""))</f>
        <v>0</v>
      </c>
      <c r="F168" s="34" t="n">
        <f aca="false">LEN(IFERROR(INDEX('Saisie programme'!$D$13:$J$477,150,WEEKDAY($K$85-0,2))&amp;"",""))-LEN(SUBSTITUTE(IFERROR(INDEX('Saisie programme'!$D$13:$J$477,150,WEEKDAY($K$85-0,2))&amp;"",""),"1",""))+LEN(IFERROR(INDEX('Saisie programme'!$D$13:$J$477,150,WEEKDAY($K$85-0,2))&amp;"",""))-LEN(SUBSTITUTE(IFERROR(INDEX('Saisie programme'!$D$13:$J$477,150,WEEKDAY($K$85-0,2))&amp;"",""),"2",""))+LEN(IFERROR(INDEX('Saisie programme'!$D$13:$J$477,150,WEEKDAY($K$85-1,2))&amp;"",""))-LEN(SUBSTITUTE(IFERROR(INDEX('Saisie programme'!$D$13:$J$477,150,WEEKDAY($K$85-1,2))&amp;"",""),"2",""))+LEN(IFERROR(INDEX('Saisie programme'!$D$13:$J$477,150,WEEKDAY($K$85-0,2))&amp;"",""))-LEN(SUBSTITUTE(IFERROR(INDEX('Saisie programme'!$D$13:$J$477,150,WEEKDAY($K$85-0,2))&amp;"",""),"3",""))+LEN(IFERROR(INDEX('Saisie programme'!$D$13:$J$477,150,WEEKDAY($K$85-1,2))&amp;"",""))-LEN(SUBSTITUTE(IFERROR(INDEX('Saisie programme'!$D$13:$J$477,150,WEEKDAY($K$85-1,2))&amp;"",""),"3",""))+LEN(IFERROR(INDEX('Saisie programme'!$D$13:$J$477,150,WEEKDAY($K$85-2,2))&amp;"",""))-LEN(SUBSTITUTE(IFERROR(INDEX('Saisie programme'!$D$13:$J$477,150,WEEKDAY($K$85-2,2))&amp;"",""),"3",""))</f>
        <v>0</v>
      </c>
      <c r="G168" s="34" t="n">
        <f aca="false">LEN(IFERROR(INDEX('Saisie programme'!$D$13:$J$477,189,WEEKDAY($K$86-0,2))&amp;"",""))-LEN(SUBSTITUTE(IFERROR(INDEX('Saisie programme'!$D$13:$J$477,189,WEEKDAY($K$86-0,2))&amp;"",""),"1",""))+LEN(IFERROR(INDEX('Saisie programme'!$D$13:$J$477,189,WEEKDAY($K$86-0,2))&amp;"",""))-LEN(SUBSTITUTE(IFERROR(INDEX('Saisie programme'!$D$13:$J$477,189,WEEKDAY($K$86-0,2))&amp;"",""),"2",""))+LEN(IFERROR(INDEX('Saisie programme'!$D$13:$J$477,189,WEEKDAY($K$86-1,2))&amp;"",""))-LEN(SUBSTITUTE(IFERROR(INDEX('Saisie programme'!$D$13:$J$477,189,WEEKDAY($K$86-1,2))&amp;"",""),"2",""))+LEN(IFERROR(INDEX('Saisie programme'!$D$13:$J$477,189,WEEKDAY($K$86-0,2))&amp;"",""))-LEN(SUBSTITUTE(IFERROR(INDEX('Saisie programme'!$D$13:$J$477,189,WEEKDAY($K$86-0,2))&amp;"",""),"3",""))+LEN(IFERROR(INDEX('Saisie programme'!$D$13:$J$477,189,WEEKDAY($K$86-1,2))&amp;"",""))-LEN(SUBSTITUTE(IFERROR(INDEX('Saisie programme'!$D$13:$J$477,189,WEEKDAY($K$86-1,2))&amp;"",""),"3",""))+LEN(IFERROR(INDEX('Saisie programme'!$D$13:$J$477,189,WEEKDAY($K$86-2,2))&amp;"",""))-LEN(SUBSTITUTE(IFERROR(INDEX('Saisie programme'!$D$13:$J$477,189,WEEKDAY($K$86-2,2))&amp;"",""),"3",""))</f>
        <v>0</v>
      </c>
      <c r="H168" s="34" t="n">
        <f aca="false">LEN(IFERROR(INDEX('Saisie programme'!$D$13:$J$477,228,WEEKDAY($K$87-0,2))&amp;"",""))-LEN(SUBSTITUTE(IFERROR(INDEX('Saisie programme'!$D$13:$J$477,228,WEEKDAY($K$87-0,2))&amp;"",""),"1",""))+LEN(IFERROR(INDEX('Saisie programme'!$D$13:$J$477,228,WEEKDAY($K$87-0,2))&amp;"",""))-LEN(SUBSTITUTE(IFERROR(INDEX('Saisie programme'!$D$13:$J$477,228,WEEKDAY($K$87-0,2))&amp;"",""),"2",""))+LEN(IFERROR(INDEX('Saisie programme'!$D$13:$J$477,228,WEEKDAY($K$87-1,2))&amp;"",""))-LEN(SUBSTITUTE(IFERROR(INDEX('Saisie programme'!$D$13:$J$477,228,WEEKDAY($K$87-1,2))&amp;"",""),"2",""))+LEN(IFERROR(INDEX('Saisie programme'!$D$13:$J$477,228,WEEKDAY($K$87-0,2))&amp;"",""))-LEN(SUBSTITUTE(IFERROR(INDEX('Saisie programme'!$D$13:$J$477,228,WEEKDAY($K$87-0,2))&amp;"",""),"3",""))+LEN(IFERROR(INDEX('Saisie programme'!$D$13:$J$477,228,WEEKDAY($K$87-1,2))&amp;"",""))-LEN(SUBSTITUTE(IFERROR(INDEX('Saisie programme'!$D$13:$J$477,228,WEEKDAY($K$87-1,2))&amp;"",""),"3",""))+LEN(IFERROR(INDEX('Saisie programme'!$D$13:$J$477,228,WEEKDAY($K$87-2,2))&amp;"",""))-LEN(SUBSTITUTE(IFERROR(INDEX('Saisie programme'!$D$13:$J$477,228,WEEKDAY($K$87-2,2))&amp;"",""),"3",""))</f>
        <v>0</v>
      </c>
      <c r="I168" s="34" t="n">
        <f aca="false">LEN(IFERROR(INDEX('Saisie programme'!$D$13:$J$477,267,WEEKDAY($K$88-0,2))&amp;"",""))-LEN(SUBSTITUTE(IFERROR(INDEX('Saisie programme'!$D$13:$J$477,267,WEEKDAY($K$88-0,2))&amp;"",""),"1",""))+LEN(IFERROR(INDEX('Saisie programme'!$D$13:$J$477,267,WEEKDAY($K$88-0,2))&amp;"",""))-LEN(SUBSTITUTE(IFERROR(INDEX('Saisie programme'!$D$13:$J$477,267,WEEKDAY($K$88-0,2))&amp;"",""),"2",""))+LEN(IFERROR(INDEX('Saisie programme'!$D$13:$J$477,267,WEEKDAY($K$88-1,2))&amp;"",""))-LEN(SUBSTITUTE(IFERROR(INDEX('Saisie programme'!$D$13:$J$477,267,WEEKDAY($K$88-1,2))&amp;"",""),"2",""))+LEN(IFERROR(INDEX('Saisie programme'!$D$13:$J$477,267,WEEKDAY($K$88-0,2))&amp;"",""))-LEN(SUBSTITUTE(IFERROR(INDEX('Saisie programme'!$D$13:$J$477,267,WEEKDAY($K$88-0,2))&amp;"",""),"3",""))+LEN(IFERROR(INDEX('Saisie programme'!$D$13:$J$477,267,WEEKDAY($K$88-1,2))&amp;"",""))-LEN(SUBSTITUTE(IFERROR(INDEX('Saisie programme'!$D$13:$J$477,267,WEEKDAY($K$88-1,2))&amp;"",""),"3",""))+LEN(IFERROR(INDEX('Saisie programme'!$D$13:$J$477,267,WEEKDAY($K$88-2,2))&amp;"",""))-LEN(SUBSTITUTE(IFERROR(INDEX('Saisie programme'!$D$13:$J$477,267,WEEKDAY($K$88-2,2))&amp;"",""),"3",""))</f>
        <v>0</v>
      </c>
      <c r="J168" s="34" t="n">
        <f aca="false">LEN(IFERROR(INDEX('Saisie programme'!$D$13:$J$477,306,WEEKDAY($K$89-0,2))&amp;"",""))-LEN(SUBSTITUTE(IFERROR(INDEX('Saisie programme'!$D$13:$J$477,306,WEEKDAY($K$89-0,2))&amp;"",""),"1",""))+LEN(IFERROR(INDEX('Saisie programme'!$D$13:$J$477,306,WEEKDAY($K$89-0,2))&amp;"",""))-LEN(SUBSTITUTE(IFERROR(INDEX('Saisie programme'!$D$13:$J$477,306,WEEKDAY($K$89-0,2))&amp;"",""),"2",""))+LEN(IFERROR(INDEX('Saisie programme'!$D$13:$J$477,306,WEEKDAY($K$89-1,2))&amp;"",""))-LEN(SUBSTITUTE(IFERROR(INDEX('Saisie programme'!$D$13:$J$477,306,WEEKDAY($K$89-1,2))&amp;"",""),"2",""))+LEN(IFERROR(INDEX('Saisie programme'!$D$13:$J$477,306,WEEKDAY($K$89-0,2))&amp;"",""))-LEN(SUBSTITUTE(IFERROR(INDEX('Saisie programme'!$D$13:$J$477,306,WEEKDAY($K$89-0,2))&amp;"",""),"3",""))+LEN(IFERROR(INDEX('Saisie programme'!$D$13:$J$477,306,WEEKDAY($K$89-1,2))&amp;"",""))-LEN(SUBSTITUTE(IFERROR(INDEX('Saisie programme'!$D$13:$J$477,306,WEEKDAY($K$89-1,2))&amp;"",""),"3",""))+LEN(IFERROR(INDEX('Saisie programme'!$D$13:$J$477,306,WEEKDAY($K$89-2,2))&amp;"",""))-LEN(SUBSTITUTE(IFERROR(INDEX('Saisie programme'!$D$13:$J$477,306,WEEKDAY($K$89-2,2))&amp;"",""),"3",""))</f>
        <v>0</v>
      </c>
      <c r="K168" s="34" t="n">
        <f aca="false">LEN(IFERROR(INDEX('Saisie programme'!$D$13:$J$477,345,WEEKDAY($K$90-0,2))&amp;"",""))-LEN(SUBSTITUTE(IFERROR(INDEX('Saisie programme'!$D$13:$J$477,345,WEEKDAY($K$90-0,2))&amp;"",""),"1",""))+LEN(IFERROR(INDEX('Saisie programme'!$D$13:$J$477,345,WEEKDAY($K$90-0,2))&amp;"",""))-LEN(SUBSTITUTE(IFERROR(INDEX('Saisie programme'!$D$13:$J$477,345,WEEKDAY($K$90-0,2))&amp;"",""),"2",""))+LEN(IFERROR(INDEX('Saisie programme'!$D$13:$J$477,345,WEEKDAY($K$90-1,2))&amp;"",""))-LEN(SUBSTITUTE(IFERROR(INDEX('Saisie programme'!$D$13:$J$477,345,WEEKDAY($K$90-1,2))&amp;"",""),"2",""))+LEN(IFERROR(INDEX('Saisie programme'!$D$13:$J$477,345,WEEKDAY($K$90-0,2))&amp;"",""))-LEN(SUBSTITUTE(IFERROR(INDEX('Saisie programme'!$D$13:$J$477,345,WEEKDAY($K$90-0,2))&amp;"",""),"3",""))+LEN(IFERROR(INDEX('Saisie programme'!$D$13:$J$477,345,WEEKDAY($K$90-1,2))&amp;"",""))-LEN(SUBSTITUTE(IFERROR(INDEX('Saisie programme'!$D$13:$J$477,345,WEEKDAY($K$90-1,2))&amp;"",""),"3",""))+LEN(IFERROR(INDEX('Saisie programme'!$D$13:$J$477,345,WEEKDAY($K$90-2,2))&amp;"",""))-LEN(SUBSTITUTE(IFERROR(INDEX('Saisie programme'!$D$13:$J$477,345,WEEKDAY($K$90-2,2))&amp;"",""),"3",""))</f>
        <v>0</v>
      </c>
      <c r="L168" s="34" t="n">
        <f aca="false">LEN(IFERROR(INDEX('Saisie programme'!$D$13:$J$477,384,WEEKDAY($K$91-0,2))&amp;"",""))-LEN(SUBSTITUTE(IFERROR(INDEX('Saisie programme'!$D$13:$J$477,384,WEEKDAY($K$91-0,2))&amp;"",""),"1",""))+LEN(IFERROR(INDEX('Saisie programme'!$D$13:$J$477,384,WEEKDAY($K$91-0,2))&amp;"",""))-LEN(SUBSTITUTE(IFERROR(INDEX('Saisie programme'!$D$13:$J$477,384,WEEKDAY($K$91-0,2))&amp;"",""),"2",""))+LEN(IFERROR(INDEX('Saisie programme'!$D$13:$J$477,384,WEEKDAY($K$91-1,2))&amp;"",""))-LEN(SUBSTITUTE(IFERROR(INDEX('Saisie programme'!$D$13:$J$477,384,WEEKDAY($K$91-1,2))&amp;"",""),"2",""))+LEN(IFERROR(INDEX('Saisie programme'!$D$13:$J$477,384,WEEKDAY($K$91-0,2))&amp;"",""))-LEN(SUBSTITUTE(IFERROR(INDEX('Saisie programme'!$D$13:$J$477,384,WEEKDAY($K$91-0,2))&amp;"",""),"3",""))+LEN(IFERROR(INDEX('Saisie programme'!$D$13:$J$477,384,WEEKDAY($K$91-1,2))&amp;"",""))-LEN(SUBSTITUTE(IFERROR(INDEX('Saisie programme'!$D$13:$J$477,384,WEEKDAY($K$91-1,2))&amp;"",""),"3",""))+LEN(IFERROR(INDEX('Saisie programme'!$D$13:$J$477,384,WEEKDAY($K$91-2,2))&amp;"",""))-LEN(SUBSTITUTE(IFERROR(INDEX('Saisie programme'!$D$13:$J$477,384,WEEKDAY($K$91-2,2))&amp;"",""),"3",""))</f>
        <v>0</v>
      </c>
      <c r="M168" s="34" t="n">
        <f aca="false">LEN(IFERROR(INDEX('Saisie programme'!$D$13:$J$477,423,WEEKDAY($K$92-0,2))&amp;"",""))-LEN(SUBSTITUTE(IFERROR(INDEX('Saisie programme'!$D$13:$J$477,423,WEEKDAY($K$92-0,2))&amp;"",""),"1",""))+LEN(IFERROR(INDEX('Saisie programme'!$D$13:$J$477,423,WEEKDAY($K$92-0,2))&amp;"",""))-LEN(SUBSTITUTE(IFERROR(INDEX('Saisie programme'!$D$13:$J$477,423,WEEKDAY($K$92-0,2))&amp;"",""),"2",""))+LEN(IFERROR(INDEX('Saisie programme'!$D$13:$J$477,423,WEEKDAY($K$92-1,2))&amp;"",""))-LEN(SUBSTITUTE(IFERROR(INDEX('Saisie programme'!$D$13:$J$477,423,WEEKDAY($K$92-1,2))&amp;"",""),"2",""))+LEN(IFERROR(INDEX('Saisie programme'!$D$13:$J$477,423,WEEKDAY($K$92-0,2))&amp;"",""))-LEN(SUBSTITUTE(IFERROR(INDEX('Saisie programme'!$D$13:$J$477,423,WEEKDAY($K$92-0,2))&amp;"",""),"3",""))+LEN(IFERROR(INDEX('Saisie programme'!$D$13:$J$477,423,WEEKDAY($K$92-1,2))&amp;"",""))-LEN(SUBSTITUTE(IFERROR(INDEX('Saisie programme'!$D$13:$J$477,423,WEEKDAY($K$92-1,2))&amp;"",""),"3",""))+LEN(IFERROR(INDEX('Saisie programme'!$D$13:$J$477,423,WEEKDAY($K$92-2,2))&amp;"",""))-LEN(SUBSTITUTE(IFERROR(INDEX('Saisie programme'!$D$13:$J$477,423,WEEKDAY($K$92-2,2))&amp;"",""),"3",""))</f>
        <v>0</v>
      </c>
      <c r="N168" s="34" t="n">
        <f aca="false">LEN(IFERROR(INDEX('Saisie programme'!$D$13:$J$477,462,WEEKDAY($K$93-0,2))&amp;"",""))-LEN(SUBSTITUTE(IFERROR(INDEX('Saisie programme'!$D$13:$J$477,462,WEEKDAY($K$93-0,2))&amp;"",""),"1",""))+LEN(IFERROR(INDEX('Saisie programme'!$D$13:$J$477,462,WEEKDAY($K$93-0,2))&amp;"",""))-LEN(SUBSTITUTE(IFERROR(INDEX('Saisie programme'!$D$13:$J$477,462,WEEKDAY($K$93-0,2))&amp;"",""),"2",""))+LEN(IFERROR(INDEX('Saisie programme'!$D$13:$J$477,462,WEEKDAY($K$93-1,2))&amp;"",""))-LEN(SUBSTITUTE(IFERROR(INDEX('Saisie programme'!$D$13:$J$477,462,WEEKDAY($K$93-1,2))&amp;"",""),"2",""))+LEN(IFERROR(INDEX('Saisie programme'!$D$13:$J$477,462,WEEKDAY($K$93-0,2))&amp;"",""))-LEN(SUBSTITUTE(IFERROR(INDEX('Saisie programme'!$D$13:$J$477,462,WEEKDAY($K$93-0,2))&amp;"",""),"3",""))+LEN(IFERROR(INDEX('Saisie programme'!$D$13:$J$477,462,WEEKDAY($K$93-1,2))&amp;"",""))-LEN(SUBSTITUTE(IFERROR(INDEX('Saisie programme'!$D$13:$J$477,462,WEEKDAY($K$93-1,2))&amp;"",""),"3",""))+LEN(IFERROR(INDEX('Saisie programme'!$D$13:$J$477,462,WEEKDAY($K$93-2,2))&amp;"",""))-LEN(SUBSTITUTE(IFERROR(INDEX('Saisie programme'!$D$13:$J$477,462,WEEKDAY($K$93-2,2))&amp;"",""),"3",""))</f>
        <v>0</v>
      </c>
      <c r="O168" s="12" t="s">
        <v>59</v>
      </c>
      <c r="P168" s="12" t="s">
        <v>24</v>
      </c>
    </row>
    <row r="169" customFormat="false" ht="15" hidden="false" customHeight="false" outlineLevel="0" collapsed="false">
      <c r="B169" s="10" t="s">
        <v>170</v>
      </c>
      <c r="C169" s="34" t="n">
        <f aca="false">LEN(IFERROR(INDEX('Saisie programme'!$D$13:$J$477,34,WEEKDAY($K$82-0,2))&amp;"",""))-LEN(SUBSTITUTE(IFERROR(INDEX('Saisie programme'!$D$13:$J$477,34,WEEKDAY($K$82-0,2))&amp;"",""),"1",""))+LEN(IFERROR(INDEX('Saisie programme'!$D$13:$J$477,34,WEEKDAY($K$82-0,2))&amp;"",""))-LEN(SUBSTITUTE(IFERROR(INDEX('Saisie programme'!$D$13:$J$477,34,WEEKDAY($K$82-0,2))&amp;"",""),"2",""))+LEN(IFERROR(INDEX('Saisie programme'!$D$13:$J$477,34,WEEKDAY($K$82-1,2))&amp;"",""))-LEN(SUBSTITUTE(IFERROR(INDEX('Saisie programme'!$D$13:$J$477,34,WEEKDAY($K$82-1,2))&amp;"",""),"2",""))+LEN(IFERROR(INDEX('Saisie programme'!$D$13:$J$477,34,WEEKDAY($K$82-0,2))&amp;"",""))-LEN(SUBSTITUTE(IFERROR(INDEX('Saisie programme'!$D$13:$J$477,34,WEEKDAY($K$82-0,2))&amp;"",""),"3",""))+LEN(IFERROR(INDEX('Saisie programme'!$D$13:$J$477,34,WEEKDAY($K$82-1,2))&amp;"",""))-LEN(SUBSTITUTE(IFERROR(INDEX('Saisie programme'!$D$13:$J$477,34,WEEKDAY($K$82-1,2))&amp;"",""),"3",""))+LEN(IFERROR(INDEX('Saisie programme'!$D$13:$J$477,34,WEEKDAY($K$82-2,2))&amp;"",""))-LEN(SUBSTITUTE(IFERROR(INDEX('Saisie programme'!$D$13:$J$477,34,WEEKDAY($K$82-2,2))&amp;"",""),"3",""))</f>
        <v>0</v>
      </c>
      <c r="D169" s="34" t="n">
        <f aca="false">LEN(IFERROR(INDEX('Saisie programme'!$D$13:$J$477,73,WEEKDAY($K$83-0,2))&amp;"",""))-LEN(SUBSTITUTE(IFERROR(INDEX('Saisie programme'!$D$13:$J$477,73,WEEKDAY($K$83-0,2))&amp;"",""),"1",""))+LEN(IFERROR(INDEX('Saisie programme'!$D$13:$J$477,73,WEEKDAY($K$83-0,2))&amp;"",""))-LEN(SUBSTITUTE(IFERROR(INDEX('Saisie programme'!$D$13:$J$477,73,WEEKDAY($K$83-0,2))&amp;"",""),"2",""))+LEN(IFERROR(INDEX('Saisie programme'!$D$13:$J$477,73,WEEKDAY($K$83-1,2))&amp;"",""))-LEN(SUBSTITUTE(IFERROR(INDEX('Saisie programme'!$D$13:$J$477,73,WEEKDAY($K$83-1,2))&amp;"",""),"2",""))+LEN(IFERROR(INDEX('Saisie programme'!$D$13:$J$477,73,WEEKDAY($K$83-0,2))&amp;"",""))-LEN(SUBSTITUTE(IFERROR(INDEX('Saisie programme'!$D$13:$J$477,73,WEEKDAY($K$83-0,2))&amp;"",""),"3",""))+LEN(IFERROR(INDEX('Saisie programme'!$D$13:$J$477,73,WEEKDAY($K$83-1,2))&amp;"",""))-LEN(SUBSTITUTE(IFERROR(INDEX('Saisie programme'!$D$13:$J$477,73,WEEKDAY($K$83-1,2))&amp;"",""),"3",""))+LEN(IFERROR(INDEX('Saisie programme'!$D$13:$J$477,73,WEEKDAY($K$83-2,2))&amp;"",""))-LEN(SUBSTITUTE(IFERROR(INDEX('Saisie programme'!$D$13:$J$477,73,WEEKDAY($K$83-2,2))&amp;"",""),"3",""))</f>
        <v>0</v>
      </c>
      <c r="E169" s="34" t="n">
        <f aca="false">LEN(IFERROR(INDEX('Saisie programme'!$D$13:$J$477,112,WEEKDAY($K$84-0,2))&amp;"",""))-LEN(SUBSTITUTE(IFERROR(INDEX('Saisie programme'!$D$13:$J$477,112,WEEKDAY($K$84-0,2))&amp;"",""),"1",""))+LEN(IFERROR(INDEX('Saisie programme'!$D$13:$J$477,112,WEEKDAY($K$84-0,2))&amp;"",""))-LEN(SUBSTITUTE(IFERROR(INDEX('Saisie programme'!$D$13:$J$477,112,WEEKDAY($K$84-0,2))&amp;"",""),"2",""))+LEN(IFERROR(INDEX('Saisie programme'!$D$13:$J$477,112,WEEKDAY($K$84-1,2))&amp;"",""))-LEN(SUBSTITUTE(IFERROR(INDEX('Saisie programme'!$D$13:$J$477,112,WEEKDAY($K$84-1,2))&amp;"",""),"2",""))+LEN(IFERROR(INDEX('Saisie programme'!$D$13:$J$477,112,WEEKDAY($K$84-0,2))&amp;"",""))-LEN(SUBSTITUTE(IFERROR(INDEX('Saisie programme'!$D$13:$J$477,112,WEEKDAY($K$84-0,2))&amp;"",""),"3",""))+LEN(IFERROR(INDEX('Saisie programme'!$D$13:$J$477,112,WEEKDAY($K$84-1,2))&amp;"",""))-LEN(SUBSTITUTE(IFERROR(INDEX('Saisie programme'!$D$13:$J$477,112,WEEKDAY($K$84-1,2))&amp;"",""),"3",""))+LEN(IFERROR(INDEX('Saisie programme'!$D$13:$J$477,112,WEEKDAY($K$84-2,2))&amp;"",""))-LEN(SUBSTITUTE(IFERROR(INDEX('Saisie programme'!$D$13:$J$477,112,WEEKDAY($K$84-2,2))&amp;"",""),"3",""))</f>
        <v>0</v>
      </c>
      <c r="F169" s="34" t="n">
        <f aca="false">LEN(IFERROR(INDEX('Saisie programme'!$D$13:$J$477,151,WEEKDAY($K$85-0,2))&amp;"",""))-LEN(SUBSTITUTE(IFERROR(INDEX('Saisie programme'!$D$13:$J$477,151,WEEKDAY($K$85-0,2))&amp;"",""),"1",""))+LEN(IFERROR(INDEX('Saisie programme'!$D$13:$J$477,151,WEEKDAY($K$85-0,2))&amp;"",""))-LEN(SUBSTITUTE(IFERROR(INDEX('Saisie programme'!$D$13:$J$477,151,WEEKDAY($K$85-0,2))&amp;"",""),"2",""))+LEN(IFERROR(INDEX('Saisie programme'!$D$13:$J$477,151,WEEKDAY($K$85-1,2))&amp;"",""))-LEN(SUBSTITUTE(IFERROR(INDEX('Saisie programme'!$D$13:$J$477,151,WEEKDAY($K$85-1,2))&amp;"",""),"2",""))+LEN(IFERROR(INDEX('Saisie programme'!$D$13:$J$477,151,WEEKDAY($K$85-0,2))&amp;"",""))-LEN(SUBSTITUTE(IFERROR(INDEX('Saisie programme'!$D$13:$J$477,151,WEEKDAY($K$85-0,2))&amp;"",""),"3",""))+LEN(IFERROR(INDEX('Saisie programme'!$D$13:$J$477,151,WEEKDAY($K$85-1,2))&amp;"",""))-LEN(SUBSTITUTE(IFERROR(INDEX('Saisie programme'!$D$13:$J$477,151,WEEKDAY($K$85-1,2))&amp;"",""),"3",""))+LEN(IFERROR(INDEX('Saisie programme'!$D$13:$J$477,151,WEEKDAY($K$85-2,2))&amp;"",""))-LEN(SUBSTITUTE(IFERROR(INDEX('Saisie programme'!$D$13:$J$477,151,WEEKDAY($K$85-2,2))&amp;"",""),"3",""))</f>
        <v>0</v>
      </c>
      <c r="G169" s="34" t="n">
        <f aca="false">LEN(IFERROR(INDEX('Saisie programme'!$D$13:$J$477,190,WEEKDAY($K$86-0,2))&amp;"",""))-LEN(SUBSTITUTE(IFERROR(INDEX('Saisie programme'!$D$13:$J$477,190,WEEKDAY($K$86-0,2))&amp;"",""),"1",""))+LEN(IFERROR(INDEX('Saisie programme'!$D$13:$J$477,190,WEEKDAY($K$86-0,2))&amp;"",""))-LEN(SUBSTITUTE(IFERROR(INDEX('Saisie programme'!$D$13:$J$477,190,WEEKDAY($K$86-0,2))&amp;"",""),"2",""))+LEN(IFERROR(INDEX('Saisie programme'!$D$13:$J$477,190,WEEKDAY($K$86-1,2))&amp;"",""))-LEN(SUBSTITUTE(IFERROR(INDEX('Saisie programme'!$D$13:$J$477,190,WEEKDAY($K$86-1,2))&amp;"",""),"2",""))+LEN(IFERROR(INDEX('Saisie programme'!$D$13:$J$477,190,WEEKDAY($K$86-0,2))&amp;"",""))-LEN(SUBSTITUTE(IFERROR(INDEX('Saisie programme'!$D$13:$J$477,190,WEEKDAY($K$86-0,2))&amp;"",""),"3",""))+LEN(IFERROR(INDEX('Saisie programme'!$D$13:$J$477,190,WEEKDAY($K$86-1,2))&amp;"",""))-LEN(SUBSTITUTE(IFERROR(INDEX('Saisie programme'!$D$13:$J$477,190,WEEKDAY($K$86-1,2))&amp;"",""),"3",""))+LEN(IFERROR(INDEX('Saisie programme'!$D$13:$J$477,190,WEEKDAY($K$86-2,2))&amp;"",""))-LEN(SUBSTITUTE(IFERROR(INDEX('Saisie programme'!$D$13:$J$477,190,WEEKDAY($K$86-2,2))&amp;"",""),"3",""))</f>
        <v>0</v>
      </c>
      <c r="H169" s="34" t="n">
        <f aca="false">LEN(IFERROR(INDEX('Saisie programme'!$D$13:$J$477,229,WEEKDAY($K$87-0,2))&amp;"",""))-LEN(SUBSTITUTE(IFERROR(INDEX('Saisie programme'!$D$13:$J$477,229,WEEKDAY($K$87-0,2))&amp;"",""),"1",""))+LEN(IFERROR(INDEX('Saisie programme'!$D$13:$J$477,229,WEEKDAY($K$87-0,2))&amp;"",""))-LEN(SUBSTITUTE(IFERROR(INDEX('Saisie programme'!$D$13:$J$477,229,WEEKDAY($K$87-0,2))&amp;"",""),"2",""))+LEN(IFERROR(INDEX('Saisie programme'!$D$13:$J$477,229,WEEKDAY($K$87-1,2))&amp;"",""))-LEN(SUBSTITUTE(IFERROR(INDEX('Saisie programme'!$D$13:$J$477,229,WEEKDAY($K$87-1,2))&amp;"",""),"2",""))+LEN(IFERROR(INDEX('Saisie programme'!$D$13:$J$477,229,WEEKDAY($K$87-0,2))&amp;"",""))-LEN(SUBSTITUTE(IFERROR(INDEX('Saisie programme'!$D$13:$J$477,229,WEEKDAY($K$87-0,2))&amp;"",""),"3",""))+LEN(IFERROR(INDEX('Saisie programme'!$D$13:$J$477,229,WEEKDAY($K$87-1,2))&amp;"",""))-LEN(SUBSTITUTE(IFERROR(INDEX('Saisie programme'!$D$13:$J$477,229,WEEKDAY($K$87-1,2))&amp;"",""),"3",""))+LEN(IFERROR(INDEX('Saisie programme'!$D$13:$J$477,229,WEEKDAY($K$87-2,2))&amp;"",""))-LEN(SUBSTITUTE(IFERROR(INDEX('Saisie programme'!$D$13:$J$477,229,WEEKDAY($K$87-2,2))&amp;"",""),"3",""))</f>
        <v>0</v>
      </c>
      <c r="I169" s="34" t="n">
        <f aca="false">LEN(IFERROR(INDEX('Saisie programme'!$D$13:$J$477,268,WEEKDAY($K$88-0,2))&amp;"",""))-LEN(SUBSTITUTE(IFERROR(INDEX('Saisie programme'!$D$13:$J$477,268,WEEKDAY($K$88-0,2))&amp;"",""),"1",""))+LEN(IFERROR(INDEX('Saisie programme'!$D$13:$J$477,268,WEEKDAY($K$88-0,2))&amp;"",""))-LEN(SUBSTITUTE(IFERROR(INDEX('Saisie programme'!$D$13:$J$477,268,WEEKDAY($K$88-0,2))&amp;"",""),"2",""))+LEN(IFERROR(INDEX('Saisie programme'!$D$13:$J$477,268,WEEKDAY($K$88-1,2))&amp;"",""))-LEN(SUBSTITUTE(IFERROR(INDEX('Saisie programme'!$D$13:$J$477,268,WEEKDAY($K$88-1,2))&amp;"",""),"2",""))+LEN(IFERROR(INDEX('Saisie programme'!$D$13:$J$477,268,WEEKDAY($K$88-0,2))&amp;"",""))-LEN(SUBSTITUTE(IFERROR(INDEX('Saisie programme'!$D$13:$J$477,268,WEEKDAY($K$88-0,2))&amp;"",""),"3",""))+LEN(IFERROR(INDEX('Saisie programme'!$D$13:$J$477,268,WEEKDAY($K$88-1,2))&amp;"",""))-LEN(SUBSTITUTE(IFERROR(INDEX('Saisie programme'!$D$13:$J$477,268,WEEKDAY($K$88-1,2))&amp;"",""),"3",""))+LEN(IFERROR(INDEX('Saisie programme'!$D$13:$J$477,268,WEEKDAY($K$88-2,2))&amp;"",""))-LEN(SUBSTITUTE(IFERROR(INDEX('Saisie programme'!$D$13:$J$477,268,WEEKDAY($K$88-2,2))&amp;"",""),"3",""))</f>
        <v>0</v>
      </c>
      <c r="J169" s="34" t="n">
        <f aca="false">LEN(IFERROR(INDEX('Saisie programme'!$D$13:$J$477,307,WEEKDAY($K$89-0,2))&amp;"",""))-LEN(SUBSTITUTE(IFERROR(INDEX('Saisie programme'!$D$13:$J$477,307,WEEKDAY($K$89-0,2))&amp;"",""),"1",""))+LEN(IFERROR(INDEX('Saisie programme'!$D$13:$J$477,307,WEEKDAY($K$89-0,2))&amp;"",""))-LEN(SUBSTITUTE(IFERROR(INDEX('Saisie programme'!$D$13:$J$477,307,WEEKDAY($K$89-0,2))&amp;"",""),"2",""))+LEN(IFERROR(INDEX('Saisie programme'!$D$13:$J$477,307,WEEKDAY($K$89-1,2))&amp;"",""))-LEN(SUBSTITUTE(IFERROR(INDEX('Saisie programme'!$D$13:$J$477,307,WEEKDAY($K$89-1,2))&amp;"",""),"2",""))+LEN(IFERROR(INDEX('Saisie programme'!$D$13:$J$477,307,WEEKDAY($K$89-0,2))&amp;"",""))-LEN(SUBSTITUTE(IFERROR(INDEX('Saisie programme'!$D$13:$J$477,307,WEEKDAY($K$89-0,2))&amp;"",""),"3",""))+LEN(IFERROR(INDEX('Saisie programme'!$D$13:$J$477,307,WEEKDAY($K$89-1,2))&amp;"",""))-LEN(SUBSTITUTE(IFERROR(INDEX('Saisie programme'!$D$13:$J$477,307,WEEKDAY($K$89-1,2))&amp;"",""),"3",""))+LEN(IFERROR(INDEX('Saisie programme'!$D$13:$J$477,307,WEEKDAY($K$89-2,2))&amp;"",""))-LEN(SUBSTITUTE(IFERROR(INDEX('Saisie programme'!$D$13:$J$477,307,WEEKDAY($K$89-2,2))&amp;"",""),"3",""))</f>
        <v>0</v>
      </c>
      <c r="K169" s="34" t="n">
        <f aca="false">LEN(IFERROR(INDEX('Saisie programme'!$D$13:$J$477,346,WEEKDAY($K$90-0,2))&amp;"",""))-LEN(SUBSTITUTE(IFERROR(INDEX('Saisie programme'!$D$13:$J$477,346,WEEKDAY($K$90-0,2))&amp;"",""),"1",""))+LEN(IFERROR(INDEX('Saisie programme'!$D$13:$J$477,346,WEEKDAY($K$90-0,2))&amp;"",""))-LEN(SUBSTITUTE(IFERROR(INDEX('Saisie programme'!$D$13:$J$477,346,WEEKDAY($K$90-0,2))&amp;"",""),"2",""))+LEN(IFERROR(INDEX('Saisie programme'!$D$13:$J$477,346,WEEKDAY($K$90-1,2))&amp;"",""))-LEN(SUBSTITUTE(IFERROR(INDEX('Saisie programme'!$D$13:$J$477,346,WEEKDAY($K$90-1,2))&amp;"",""),"2",""))+LEN(IFERROR(INDEX('Saisie programme'!$D$13:$J$477,346,WEEKDAY($K$90-0,2))&amp;"",""))-LEN(SUBSTITUTE(IFERROR(INDEX('Saisie programme'!$D$13:$J$477,346,WEEKDAY($K$90-0,2))&amp;"",""),"3",""))+LEN(IFERROR(INDEX('Saisie programme'!$D$13:$J$477,346,WEEKDAY($K$90-1,2))&amp;"",""))-LEN(SUBSTITUTE(IFERROR(INDEX('Saisie programme'!$D$13:$J$477,346,WEEKDAY($K$90-1,2))&amp;"",""),"3",""))+LEN(IFERROR(INDEX('Saisie programme'!$D$13:$J$477,346,WEEKDAY($K$90-2,2))&amp;"",""))-LEN(SUBSTITUTE(IFERROR(INDEX('Saisie programme'!$D$13:$J$477,346,WEEKDAY($K$90-2,2))&amp;"",""),"3",""))</f>
        <v>0</v>
      </c>
      <c r="L169" s="34" t="n">
        <f aca="false">LEN(IFERROR(INDEX('Saisie programme'!$D$13:$J$477,385,WEEKDAY($K$91-0,2))&amp;"",""))-LEN(SUBSTITUTE(IFERROR(INDEX('Saisie programme'!$D$13:$J$477,385,WEEKDAY($K$91-0,2))&amp;"",""),"1",""))+LEN(IFERROR(INDEX('Saisie programme'!$D$13:$J$477,385,WEEKDAY($K$91-0,2))&amp;"",""))-LEN(SUBSTITUTE(IFERROR(INDEX('Saisie programme'!$D$13:$J$477,385,WEEKDAY($K$91-0,2))&amp;"",""),"2",""))+LEN(IFERROR(INDEX('Saisie programme'!$D$13:$J$477,385,WEEKDAY($K$91-1,2))&amp;"",""))-LEN(SUBSTITUTE(IFERROR(INDEX('Saisie programme'!$D$13:$J$477,385,WEEKDAY($K$91-1,2))&amp;"",""),"2",""))+LEN(IFERROR(INDEX('Saisie programme'!$D$13:$J$477,385,WEEKDAY($K$91-0,2))&amp;"",""))-LEN(SUBSTITUTE(IFERROR(INDEX('Saisie programme'!$D$13:$J$477,385,WEEKDAY($K$91-0,2))&amp;"",""),"3",""))+LEN(IFERROR(INDEX('Saisie programme'!$D$13:$J$477,385,WEEKDAY($K$91-1,2))&amp;"",""))-LEN(SUBSTITUTE(IFERROR(INDEX('Saisie programme'!$D$13:$J$477,385,WEEKDAY($K$91-1,2))&amp;"",""),"3",""))+LEN(IFERROR(INDEX('Saisie programme'!$D$13:$J$477,385,WEEKDAY($K$91-2,2))&amp;"",""))-LEN(SUBSTITUTE(IFERROR(INDEX('Saisie programme'!$D$13:$J$477,385,WEEKDAY($K$91-2,2))&amp;"",""),"3",""))</f>
        <v>0</v>
      </c>
      <c r="M169" s="34" t="n">
        <f aca="false">LEN(IFERROR(INDEX('Saisie programme'!$D$13:$J$477,424,WEEKDAY($K$92-0,2))&amp;"",""))-LEN(SUBSTITUTE(IFERROR(INDEX('Saisie programme'!$D$13:$J$477,424,WEEKDAY($K$92-0,2))&amp;"",""),"1",""))+LEN(IFERROR(INDEX('Saisie programme'!$D$13:$J$477,424,WEEKDAY($K$92-0,2))&amp;"",""))-LEN(SUBSTITUTE(IFERROR(INDEX('Saisie programme'!$D$13:$J$477,424,WEEKDAY($K$92-0,2))&amp;"",""),"2",""))+LEN(IFERROR(INDEX('Saisie programme'!$D$13:$J$477,424,WEEKDAY($K$92-1,2))&amp;"",""))-LEN(SUBSTITUTE(IFERROR(INDEX('Saisie programme'!$D$13:$J$477,424,WEEKDAY($K$92-1,2))&amp;"",""),"2",""))+LEN(IFERROR(INDEX('Saisie programme'!$D$13:$J$477,424,WEEKDAY($K$92-0,2))&amp;"",""))-LEN(SUBSTITUTE(IFERROR(INDEX('Saisie programme'!$D$13:$J$477,424,WEEKDAY($K$92-0,2))&amp;"",""),"3",""))+LEN(IFERROR(INDEX('Saisie programme'!$D$13:$J$477,424,WEEKDAY($K$92-1,2))&amp;"",""))-LEN(SUBSTITUTE(IFERROR(INDEX('Saisie programme'!$D$13:$J$477,424,WEEKDAY($K$92-1,2))&amp;"",""),"3",""))+LEN(IFERROR(INDEX('Saisie programme'!$D$13:$J$477,424,WEEKDAY($K$92-2,2))&amp;"",""))-LEN(SUBSTITUTE(IFERROR(INDEX('Saisie programme'!$D$13:$J$477,424,WEEKDAY($K$92-2,2))&amp;"",""),"3",""))</f>
        <v>0</v>
      </c>
      <c r="N169" s="34" t="n">
        <f aca="false">LEN(IFERROR(INDEX('Saisie programme'!$D$13:$J$477,463,WEEKDAY($K$93-0,2))&amp;"",""))-LEN(SUBSTITUTE(IFERROR(INDEX('Saisie programme'!$D$13:$J$477,463,WEEKDAY($K$93-0,2))&amp;"",""),"1",""))+LEN(IFERROR(INDEX('Saisie programme'!$D$13:$J$477,463,WEEKDAY($K$93-0,2))&amp;"",""))-LEN(SUBSTITUTE(IFERROR(INDEX('Saisie programme'!$D$13:$J$477,463,WEEKDAY($K$93-0,2))&amp;"",""),"2",""))+LEN(IFERROR(INDEX('Saisie programme'!$D$13:$J$477,463,WEEKDAY($K$93-1,2))&amp;"",""))-LEN(SUBSTITUTE(IFERROR(INDEX('Saisie programme'!$D$13:$J$477,463,WEEKDAY($K$93-1,2))&amp;"",""),"2",""))+LEN(IFERROR(INDEX('Saisie programme'!$D$13:$J$477,463,WEEKDAY($K$93-0,2))&amp;"",""))-LEN(SUBSTITUTE(IFERROR(INDEX('Saisie programme'!$D$13:$J$477,463,WEEKDAY($K$93-0,2))&amp;"",""),"3",""))+LEN(IFERROR(INDEX('Saisie programme'!$D$13:$J$477,463,WEEKDAY($K$93-1,2))&amp;"",""))-LEN(SUBSTITUTE(IFERROR(INDEX('Saisie programme'!$D$13:$J$477,463,WEEKDAY($K$93-1,2))&amp;"",""),"3",""))+LEN(IFERROR(INDEX('Saisie programme'!$D$13:$J$477,463,WEEKDAY($K$93-2,2))&amp;"",""))-LEN(SUBSTITUTE(IFERROR(INDEX('Saisie programme'!$D$13:$J$477,463,WEEKDAY($K$93-2,2))&amp;"",""),"3",""))</f>
        <v>0</v>
      </c>
      <c r="O169" s="12" t="s">
        <v>62</v>
      </c>
      <c r="P169" s="12" t="s">
        <v>11</v>
      </c>
    </row>
    <row r="170" customFormat="false" ht="15" hidden="false" customHeight="false" outlineLevel="0" collapsed="false">
      <c r="B170" s="10" t="s">
        <v>171</v>
      </c>
      <c r="C170" s="34" t="n">
        <f aca="false">LEN(IFERROR(INDEX('Saisie programme'!$D$13:$J$477,35,WEEKDAY($K$82-0,2))&amp;"",""))-LEN(SUBSTITUTE(IFERROR(INDEX('Saisie programme'!$D$13:$J$477,35,WEEKDAY($K$82-0,2))&amp;"",""),"1",""))+LEN(IFERROR(INDEX('Saisie programme'!$D$13:$J$477,35,WEEKDAY($K$82-0,2))&amp;"",""))-LEN(SUBSTITUTE(IFERROR(INDEX('Saisie programme'!$D$13:$J$477,35,WEEKDAY($K$82-0,2))&amp;"",""),"2",""))+LEN(IFERROR(INDEX('Saisie programme'!$D$13:$J$477,35,WEEKDAY($K$82-1,2))&amp;"",""))-LEN(SUBSTITUTE(IFERROR(INDEX('Saisie programme'!$D$13:$J$477,35,WEEKDAY($K$82-1,2))&amp;"",""),"2",""))+LEN(IFERROR(INDEX('Saisie programme'!$D$13:$J$477,35,WEEKDAY($K$82-0,2))&amp;"",""))-LEN(SUBSTITUTE(IFERROR(INDEX('Saisie programme'!$D$13:$J$477,35,WEEKDAY($K$82-0,2))&amp;"",""),"3",""))+LEN(IFERROR(INDEX('Saisie programme'!$D$13:$J$477,35,WEEKDAY($K$82-1,2))&amp;"",""))-LEN(SUBSTITUTE(IFERROR(INDEX('Saisie programme'!$D$13:$J$477,35,WEEKDAY($K$82-1,2))&amp;"",""),"3",""))+LEN(IFERROR(INDEX('Saisie programme'!$D$13:$J$477,35,WEEKDAY($K$82-2,2))&amp;"",""))-LEN(SUBSTITUTE(IFERROR(INDEX('Saisie programme'!$D$13:$J$477,35,WEEKDAY($K$82-2,2))&amp;"",""),"3",""))</f>
        <v>0</v>
      </c>
      <c r="D170" s="34" t="n">
        <f aca="false">LEN(IFERROR(INDEX('Saisie programme'!$D$13:$J$477,74,WEEKDAY($K$83-0,2))&amp;"",""))-LEN(SUBSTITUTE(IFERROR(INDEX('Saisie programme'!$D$13:$J$477,74,WEEKDAY($K$83-0,2))&amp;"",""),"1",""))+LEN(IFERROR(INDEX('Saisie programme'!$D$13:$J$477,74,WEEKDAY($K$83-0,2))&amp;"",""))-LEN(SUBSTITUTE(IFERROR(INDEX('Saisie programme'!$D$13:$J$477,74,WEEKDAY($K$83-0,2))&amp;"",""),"2",""))+LEN(IFERROR(INDEX('Saisie programme'!$D$13:$J$477,74,WEEKDAY($K$83-1,2))&amp;"",""))-LEN(SUBSTITUTE(IFERROR(INDEX('Saisie programme'!$D$13:$J$477,74,WEEKDAY($K$83-1,2))&amp;"",""),"2",""))+LEN(IFERROR(INDEX('Saisie programme'!$D$13:$J$477,74,WEEKDAY($K$83-0,2))&amp;"",""))-LEN(SUBSTITUTE(IFERROR(INDEX('Saisie programme'!$D$13:$J$477,74,WEEKDAY($K$83-0,2))&amp;"",""),"3",""))+LEN(IFERROR(INDEX('Saisie programme'!$D$13:$J$477,74,WEEKDAY($K$83-1,2))&amp;"",""))-LEN(SUBSTITUTE(IFERROR(INDEX('Saisie programme'!$D$13:$J$477,74,WEEKDAY($K$83-1,2))&amp;"",""),"3",""))+LEN(IFERROR(INDEX('Saisie programme'!$D$13:$J$477,74,WEEKDAY($K$83-2,2))&amp;"",""))-LEN(SUBSTITUTE(IFERROR(INDEX('Saisie programme'!$D$13:$J$477,74,WEEKDAY($K$83-2,2))&amp;"",""),"3",""))</f>
        <v>0</v>
      </c>
      <c r="E170" s="34" t="n">
        <f aca="false">LEN(IFERROR(INDEX('Saisie programme'!$D$13:$J$477,113,WEEKDAY($K$84-0,2))&amp;"",""))-LEN(SUBSTITUTE(IFERROR(INDEX('Saisie programme'!$D$13:$J$477,113,WEEKDAY($K$84-0,2))&amp;"",""),"1",""))+LEN(IFERROR(INDEX('Saisie programme'!$D$13:$J$477,113,WEEKDAY($K$84-0,2))&amp;"",""))-LEN(SUBSTITUTE(IFERROR(INDEX('Saisie programme'!$D$13:$J$477,113,WEEKDAY($K$84-0,2))&amp;"",""),"2",""))+LEN(IFERROR(INDEX('Saisie programme'!$D$13:$J$477,113,WEEKDAY($K$84-1,2))&amp;"",""))-LEN(SUBSTITUTE(IFERROR(INDEX('Saisie programme'!$D$13:$J$477,113,WEEKDAY($K$84-1,2))&amp;"",""),"2",""))+LEN(IFERROR(INDEX('Saisie programme'!$D$13:$J$477,113,WEEKDAY($K$84-0,2))&amp;"",""))-LEN(SUBSTITUTE(IFERROR(INDEX('Saisie programme'!$D$13:$J$477,113,WEEKDAY($K$84-0,2))&amp;"",""),"3",""))+LEN(IFERROR(INDEX('Saisie programme'!$D$13:$J$477,113,WEEKDAY($K$84-1,2))&amp;"",""))-LEN(SUBSTITUTE(IFERROR(INDEX('Saisie programme'!$D$13:$J$477,113,WEEKDAY($K$84-1,2))&amp;"",""),"3",""))+LEN(IFERROR(INDEX('Saisie programme'!$D$13:$J$477,113,WEEKDAY($K$84-2,2))&amp;"",""))-LEN(SUBSTITUTE(IFERROR(INDEX('Saisie programme'!$D$13:$J$477,113,WEEKDAY($K$84-2,2))&amp;"",""),"3",""))</f>
        <v>0</v>
      </c>
      <c r="F170" s="34" t="n">
        <f aca="false">LEN(IFERROR(INDEX('Saisie programme'!$D$13:$J$477,152,WEEKDAY($K$85-0,2))&amp;"",""))-LEN(SUBSTITUTE(IFERROR(INDEX('Saisie programme'!$D$13:$J$477,152,WEEKDAY($K$85-0,2))&amp;"",""),"1",""))+LEN(IFERROR(INDEX('Saisie programme'!$D$13:$J$477,152,WEEKDAY($K$85-0,2))&amp;"",""))-LEN(SUBSTITUTE(IFERROR(INDEX('Saisie programme'!$D$13:$J$477,152,WEEKDAY($K$85-0,2))&amp;"",""),"2",""))+LEN(IFERROR(INDEX('Saisie programme'!$D$13:$J$477,152,WEEKDAY($K$85-1,2))&amp;"",""))-LEN(SUBSTITUTE(IFERROR(INDEX('Saisie programme'!$D$13:$J$477,152,WEEKDAY($K$85-1,2))&amp;"",""),"2",""))+LEN(IFERROR(INDEX('Saisie programme'!$D$13:$J$477,152,WEEKDAY($K$85-0,2))&amp;"",""))-LEN(SUBSTITUTE(IFERROR(INDEX('Saisie programme'!$D$13:$J$477,152,WEEKDAY($K$85-0,2))&amp;"",""),"3",""))+LEN(IFERROR(INDEX('Saisie programme'!$D$13:$J$477,152,WEEKDAY($K$85-1,2))&amp;"",""))-LEN(SUBSTITUTE(IFERROR(INDEX('Saisie programme'!$D$13:$J$477,152,WEEKDAY($K$85-1,2))&amp;"",""),"3",""))+LEN(IFERROR(INDEX('Saisie programme'!$D$13:$J$477,152,WEEKDAY($K$85-2,2))&amp;"",""))-LEN(SUBSTITUTE(IFERROR(INDEX('Saisie programme'!$D$13:$J$477,152,WEEKDAY($K$85-2,2))&amp;"",""),"3",""))</f>
        <v>0</v>
      </c>
      <c r="G170" s="34" t="n">
        <f aca="false">LEN(IFERROR(INDEX('Saisie programme'!$D$13:$J$477,191,WEEKDAY($K$86-0,2))&amp;"",""))-LEN(SUBSTITUTE(IFERROR(INDEX('Saisie programme'!$D$13:$J$477,191,WEEKDAY($K$86-0,2))&amp;"",""),"1",""))+LEN(IFERROR(INDEX('Saisie programme'!$D$13:$J$477,191,WEEKDAY($K$86-0,2))&amp;"",""))-LEN(SUBSTITUTE(IFERROR(INDEX('Saisie programme'!$D$13:$J$477,191,WEEKDAY($K$86-0,2))&amp;"",""),"2",""))+LEN(IFERROR(INDEX('Saisie programme'!$D$13:$J$477,191,WEEKDAY($K$86-1,2))&amp;"",""))-LEN(SUBSTITUTE(IFERROR(INDEX('Saisie programme'!$D$13:$J$477,191,WEEKDAY($K$86-1,2))&amp;"",""),"2",""))+LEN(IFERROR(INDEX('Saisie programme'!$D$13:$J$477,191,WEEKDAY($K$86-0,2))&amp;"",""))-LEN(SUBSTITUTE(IFERROR(INDEX('Saisie programme'!$D$13:$J$477,191,WEEKDAY($K$86-0,2))&amp;"",""),"3",""))+LEN(IFERROR(INDEX('Saisie programme'!$D$13:$J$477,191,WEEKDAY($K$86-1,2))&amp;"",""))-LEN(SUBSTITUTE(IFERROR(INDEX('Saisie programme'!$D$13:$J$477,191,WEEKDAY($K$86-1,2))&amp;"",""),"3",""))+LEN(IFERROR(INDEX('Saisie programme'!$D$13:$J$477,191,WEEKDAY($K$86-2,2))&amp;"",""))-LEN(SUBSTITUTE(IFERROR(INDEX('Saisie programme'!$D$13:$J$477,191,WEEKDAY($K$86-2,2))&amp;"",""),"3",""))</f>
        <v>0</v>
      </c>
      <c r="H170" s="34" t="n">
        <f aca="false">LEN(IFERROR(INDEX('Saisie programme'!$D$13:$J$477,230,WEEKDAY($K$87-0,2))&amp;"",""))-LEN(SUBSTITUTE(IFERROR(INDEX('Saisie programme'!$D$13:$J$477,230,WEEKDAY($K$87-0,2))&amp;"",""),"1",""))+LEN(IFERROR(INDEX('Saisie programme'!$D$13:$J$477,230,WEEKDAY($K$87-0,2))&amp;"",""))-LEN(SUBSTITUTE(IFERROR(INDEX('Saisie programme'!$D$13:$J$477,230,WEEKDAY($K$87-0,2))&amp;"",""),"2",""))+LEN(IFERROR(INDEX('Saisie programme'!$D$13:$J$477,230,WEEKDAY($K$87-1,2))&amp;"",""))-LEN(SUBSTITUTE(IFERROR(INDEX('Saisie programme'!$D$13:$J$477,230,WEEKDAY($K$87-1,2))&amp;"",""),"2",""))+LEN(IFERROR(INDEX('Saisie programme'!$D$13:$J$477,230,WEEKDAY($K$87-0,2))&amp;"",""))-LEN(SUBSTITUTE(IFERROR(INDEX('Saisie programme'!$D$13:$J$477,230,WEEKDAY($K$87-0,2))&amp;"",""),"3",""))+LEN(IFERROR(INDEX('Saisie programme'!$D$13:$J$477,230,WEEKDAY($K$87-1,2))&amp;"",""))-LEN(SUBSTITUTE(IFERROR(INDEX('Saisie programme'!$D$13:$J$477,230,WEEKDAY($K$87-1,2))&amp;"",""),"3",""))+LEN(IFERROR(INDEX('Saisie programme'!$D$13:$J$477,230,WEEKDAY($K$87-2,2))&amp;"",""))-LEN(SUBSTITUTE(IFERROR(INDEX('Saisie programme'!$D$13:$J$477,230,WEEKDAY($K$87-2,2))&amp;"",""),"3",""))</f>
        <v>0</v>
      </c>
      <c r="I170" s="34" t="n">
        <f aca="false">LEN(IFERROR(INDEX('Saisie programme'!$D$13:$J$477,269,WEEKDAY($K$88-0,2))&amp;"",""))-LEN(SUBSTITUTE(IFERROR(INDEX('Saisie programme'!$D$13:$J$477,269,WEEKDAY($K$88-0,2))&amp;"",""),"1",""))+LEN(IFERROR(INDEX('Saisie programme'!$D$13:$J$477,269,WEEKDAY($K$88-0,2))&amp;"",""))-LEN(SUBSTITUTE(IFERROR(INDEX('Saisie programme'!$D$13:$J$477,269,WEEKDAY($K$88-0,2))&amp;"",""),"2",""))+LEN(IFERROR(INDEX('Saisie programme'!$D$13:$J$477,269,WEEKDAY($K$88-1,2))&amp;"",""))-LEN(SUBSTITUTE(IFERROR(INDEX('Saisie programme'!$D$13:$J$477,269,WEEKDAY($K$88-1,2))&amp;"",""),"2",""))+LEN(IFERROR(INDEX('Saisie programme'!$D$13:$J$477,269,WEEKDAY($K$88-0,2))&amp;"",""))-LEN(SUBSTITUTE(IFERROR(INDEX('Saisie programme'!$D$13:$J$477,269,WEEKDAY($K$88-0,2))&amp;"",""),"3",""))+LEN(IFERROR(INDEX('Saisie programme'!$D$13:$J$477,269,WEEKDAY($K$88-1,2))&amp;"",""))-LEN(SUBSTITUTE(IFERROR(INDEX('Saisie programme'!$D$13:$J$477,269,WEEKDAY($K$88-1,2))&amp;"",""),"3",""))+LEN(IFERROR(INDEX('Saisie programme'!$D$13:$J$477,269,WEEKDAY($K$88-2,2))&amp;"",""))-LEN(SUBSTITUTE(IFERROR(INDEX('Saisie programme'!$D$13:$J$477,269,WEEKDAY($K$88-2,2))&amp;"",""),"3",""))</f>
        <v>0</v>
      </c>
      <c r="J170" s="34" t="n">
        <f aca="false">LEN(IFERROR(INDEX('Saisie programme'!$D$13:$J$477,308,WEEKDAY($K$89-0,2))&amp;"",""))-LEN(SUBSTITUTE(IFERROR(INDEX('Saisie programme'!$D$13:$J$477,308,WEEKDAY($K$89-0,2))&amp;"",""),"1",""))+LEN(IFERROR(INDEX('Saisie programme'!$D$13:$J$477,308,WEEKDAY($K$89-0,2))&amp;"",""))-LEN(SUBSTITUTE(IFERROR(INDEX('Saisie programme'!$D$13:$J$477,308,WEEKDAY($K$89-0,2))&amp;"",""),"2",""))+LEN(IFERROR(INDEX('Saisie programme'!$D$13:$J$477,308,WEEKDAY($K$89-1,2))&amp;"",""))-LEN(SUBSTITUTE(IFERROR(INDEX('Saisie programme'!$D$13:$J$477,308,WEEKDAY($K$89-1,2))&amp;"",""),"2",""))+LEN(IFERROR(INDEX('Saisie programme'!$D$13:$J$477,308,WEEKDAY($K$89-0,2))&amp;"",""))-LEN(SUBSTITUTE(IFERROR(INDEX('Saisie programme'!$D$13:$J$477,308,WEEKDAY($K$89-0,2))&amp;"",""),"3",""))+LEN(IFERROR(INDEX('Saisie programme'!$D$13:$J$477,308,WEEKDAY($K$89-1,2))&amp;"",""))-LEN(SUBSTITUTE(IFERROR(INDEX('Saisie programme'!$D$13:$J$477,308,WEEKDAY($K$89-1,2))&amp;"",""),"3",""))+LEN(IFERROR(INDEX('Saisie programme'!$D$13:$J$477,308,WEEKDAY($K$89-2,2))&amp;"",""))-LEN(SUBSTITUTE(IFERROR(INDEX('Saisie programme'!$D$13:$J$477,308,WEEKDAY($K$89-2,2))&amp;"",""),"3",""))</f>
        <v>0</v>
      </c>
      <c r="K170" s="34" t="n">
        <f aca="false">LEN(IFERROR(INDEX('Saisie programme'!$D$13:$J$477,347,WEEKDAY($K$90-0,2))&amp;"",""))-LEN(SUBSTITUTE(IFERROR(INDEX('Saisie programme'!$D$13:$J$477,347,WEEKDAY($K$90-0,2))&amp;"",""),"1",""))+LEN(IFERROR(INDEX('Saisie programme'!$D$13:$J$477,347,WEEKDAY($K$90-0,2))&amp;"",""))-LEN(SUBSTITUTE(IFERROR(INDEX('Saisie programme'!$D$13:$J$477,347,WEEKDAY($K$90-0,2))&amp;"",""),"2",""))+LEN(IFERROR(INDEX('Saisie programme'!$D$13:$J$477,347,WEEKDAY($K$90-1,2))&amp;"",""))-LEN(SUBSTITUTE(IFERROR(INDEX('Saisie programme'!$D$13:$J$477,347,WEEKDAY($K$90-1,2))&amp;"",""),"2",""))+LEN(IFERROR(INDEX('Saisie programme'!$D$13:$J$477,347,WEEKDAY($K$90-0,2))&amp;"",""))-LEN(SUBSTITUTE(IFERROR(INDEX('Saisie programme'!$D$13:$J$477,347,WEEKDAY($K$90-0,2))&amp;"",""),"3",""))+LEN(IFERROR(INDEX('Saisie programme'!$D$13:$J$477,347,WEEKDAY($K$90-1,2))&amp;"",""))-LEN(SUBSTITUTE(IFERROR(INDEX('Saisie programme'!$D$13:$J$477,347,WEEKDAY($K$90-1,2))&amp;"",""),"3",""))+LEN(IFERROR(INDEX('Saisie programme'!$D$13:$J$477,347,WEEKDAY($K$90-2,2))&amp;"",""))-LEN(SUBSTITUTE(IFERROR(INDEX('Saisie programme'!$D$13:$J$477,347,WEEKDAY($K$90-2,2))&amp;"",""),"3",""))</f>
        <v>0</v>
      </c>
      <c r="L170" s="34" t="n">
        <f aca="false">LEN(IFERROR(INDEX('Saisie programme'!$D$13:$J$477,386,WEEKDAY($K$91-0,2))&amp;"",""))-LEN(SUBSTITUTE(IFERROR(INDEX('Saisie programme'!$D$13:$J$477,386,WEEKDAY($K$91-0,2))&amp;"",""),"1",""))+LEN(IFERROR(INDEX('Saisie programme'!$D$13:$J$477,386,WEEKDAY($K$91-0,2))&amp;"",""))-LEN(SUBSTITUTE(IFERROR(INDEX('Saisie programme'!$D$13:$J$477,386,WEEKDAY($K$91-0,2))&amp;"",""),"2",""))+LEN(IFERROR(INDEX('Saisie programme'!$D$13:$J$477,386,WEEKDAY($K$91-1,2))&amp;"",""))-LEN(SUBSTITUTE(IFERROR(INDEX('Saisie programme'!$D$13:$J$477,386,WEEKDAY($K$91-1,2))&amp;"",""),"2",""))+LEN(IFERROR(INDEX('Saisie programme'!$D$13:$J$477,386,WEEKDAY($K$91-0,2))&amp;"",""))-LEN(SUBSTITUTE(IFERROR(INDEX('Saisie programme'!$D$13:$J$477,386,WEEKDAY($K$91-0,2))&amp;"",""),"3",""))+LEN(IFERROR(INDEX('Saisie programme'!$D$13:$J$477,386,WEEKDAY($K$91-1,2))&amp;"",""))-LEN(SUBSTITUTE(IFERROR(INDEX('Saisie programme'!$D$13:$J$477,386,WEEKDAY($K$91-1,2))&amp;"",""),"3",""))+LEN(IFERROR(INDEX('Saisie programme'!$D$13:$J$477,386,WEEKDAY($K$91-2,2))&amp;"",""))-LEN(SUBSTITUTE(IFERROR(INDEX('Saisie programme'!$D$13:$J$477,386,WEEKDAY($K$91-2,2))&amp;"",""),"3",""))</f>
        <v>0</v>
      </c>
      <c r="M170" s="34" t="n">
        <f aca="false">LEN(IFERROR(INDEX('Saisie programme'!$D$13:$J$477,425,WEEKDAY($K$92-0,2))&amp;"",""))-LEN(SUBSTITUTE(IFERROR(INDEX('Saisie programme'!$D$13:$J$477,425,WEEKDAY($K$92-0,2))&amp;"",""),"1",""))+LEN(IFERROR(INDEX('Saisie programme'!$D$13:$J$477,425,WEEKDAY($K$92-0,2))&amp;"",""))-LEN(SUBSTITUTE(IFERROR(INDEX('Saisie programme'!$D$13:$J$477,425,WEEKDAY($K$92-0,2))&amp;"",""),"2",""))+LEN(IFERROR(INDEX('Saisie programme'!$D$13:$J$477,425,WEEKDAY($K$92-1,2))&amp;"",""))-LEN(SUBSTITUTE(IFERROR(INDEX('Saisie programme'!$D$13:$J$477,425,WEEKDAY($K$92-1,2))&amp;"",""),"2",""))+LEN(IFERROR(INDEX('Saisie programme'!$D$13:$J$477,425,WEEKDAY($K$92-0,2))&amp;"",""))-LEN(SUBSTITUTE(IFERROR(INDEX('Saisie programme'!$D$13:$J$477,425,WEEKDAY($K$92-0,2))&amp;"",""),"3",""))+LEN(IFERROR(INDEX('Saisie programme'!$D$13:$J$477,425,WEEKDAY($K$92-1,2))&amp;"",""))-LEN(SUBSTITUTE(IFERROR(INDEX('Saisie programme'!$D$13:$J$477,425,WEEKDAY($K$92-1,2))&amp;"",""),"3",""))+LEN(IFERROR(INDEX('Saisie programme'!$D$13:$J$477,425,WEEKDAY($K$92-2,2))&amp;"",""))-LEN(SUBSTITUTE(IFERROR(INDEX('Saisie programme'!$D$13:$J$477,425,WEEKDAY($K$92-2,2))&amp;"",""),"3",""))</f>
        <v>0</v>
      </c>
      <c r="N170" s="34" t="n">
        <f aca="false">LEN(IFERROR(INDEX('Saisie programme'!$D$13:$J$477,464,WEEKDAY($K$93-0,2))&amp;"",""))-LEN(SUBSTITUTE(IFERROR(INDEX('Saisie programme'!$D$13:$J$477,464,WEEKDAY($K$93-0,2))&amp;"",""),"1",""))+LEN(IFERROR(INDEX('Saisie programme'!$D$13:$J$477,464,WEEKDAY($K$93-0,2))&amp;"",""))-LEN(SUBSTITUTE(IFERROR(INDEX('Saisie programme'!$D$13:$J$477,464,WEEKDAY($K$93-0,2))&amp;"",""),"2",""))+LEN(IFERROR(INDEX('Saisie programme'!$D$13:$J$477,464,WEEKDAY($K$93-1,2))&amp;"",""))-LEN(SUBSTITUTE(IFERROR(INDEX('Saisie programme'!$D$13:$J$477,464,WEEKDAY($K$93-1,2))&amp;"",""),"2",""))+LEN(IFERROR(INDEX('Saisie programme'!$D$13:$J$477,464,WEEKDAY($K$93-0,2))&amp;"",""))-LEN(SUBSTITUTE(IFERROR(INDEX('Saisie programme'!$D$13:$J$477,464,WEEKDAY($K$93-0,2))&amp;"",""),"3",""))+LEN(IFERROR(INDEX('Saisie programme'!$D$13:$J$477,464,WEEKDAY($K$93-1,2))&amp;"",""))-LEN(SUBSTITUTE(IFERROR(INDEX('Saisie programme'!$D$13:$J$477,464,WEEKDAY($K$93-1,2))&amp;"",""),"3",""))+LEN(IFERROR(INDEX('Saisie programme'!$D$13:$J$477,464,WEEKDAY($K$93-2,2))&amp;"",""))-LEN(SUBSTITUTE(IFERROR(INDEX('Saisie programme'!$D$13:$J$477,464,WEEKDAY($K$93-2,2))&amp;"",""),"3",""))</f>
        <v>0</v>
      </c>
      <c r="O170" s="12" t="s">
        <v>62</v>
      </c>
      <c r="P170" s="12" t="s">
        <v>19</v>
      </c>
    </row>
    <row r="171" customFormat="false" ht="15" hidden="false" customHeight="false" outlineLevel="0" collapsed="false">
      <c r="B171" s="10" t="s">
        <v>172</v>
      </c>
      <c r="C171" s="34" t="n">
        <f aca="false">LEN(IFERROR(INDEX('Saisie programme'!$D$13:$J$477,36,WEEKDAY($K$82-0,2))&amp;"",""))-LEN(SUBSTITUTE(IFERROR(INDEX('Saisie programme'!$D$13:$J$477,36,WEEKDAY($K$82-0,2))&amp;"",""),"1",""))+LEN(IFERROR(INDEX('Saisie programme'!$D$13:$J$477,36,WEEKDAY($K$82-0,2))&amp;"",""))-LEN(SUBSTITUTE(IFERROR(INDEX('Saisie programme'!$D$13:$J$477,36,WEEKDAY($K$82-0,2))&amp;"",""),"2",""))+LEN(IFERROR(INDEX('Saisie programme'!$D$13:$J$477,36,WEEKDAY($K$82-1,2))&amp;"",""))-LEN(SUBSTITUTE(IFERROR(INDEX('Saisie programme'!$D$13:$J$477,36,WEEKDAY($K$82-1,2))&amp;"",""),"2",""))+LEN(IFERROR(INDEX('Saisie programme'!$D$13:$J$477,36,WEEKDAY($K$82-0,2))&amp;"",""))-LEN(SUBSTITUTE(IFERROR(INDEX('Saisie programme'!$D$13:$J$477,36,WEEKDAY($K$82-0,2))&amp;"",""),"3",""))+LEN(IFERROR(INDEX('Saisie programme'!$D$13:$J$477,36,WEEKDAY($K$82-1,2))&amp;"",""))-LEN(SUBSTITUTE(IFERROR(INDEX('Saisie programme'!$D$13:$J$477,36,WEEKDAY($K$82-1,2))&amp;"",""),"3",""))+LEN(IFERROR(INDEX('Saisie programme'!$D$13:$J$477,36,WEEKDAY($K$82-2,2))&amp;"",""))-LEN(SUBSTITUTE(IFERROR(INDEX('Saisie programme'!$D$13:$J$477,36,WEEKDAY($K$82-2,2))&amp;"",""),"3",""))</f>
        <v>0</v>
      </c>
      <c r="D171" s="34" t="n">
        <f aca="false">LEN(IFERROR(INDEX('Saisie programme'!$D$13:$J$477,75,WEEKDAY($K$83-0,2))&amp;"",""))-LEN(SUBSTITUTE(IFERROR(INDEX('Saisie programme'!$D$13:$J$477,75,WEEKDAY($K$83-0,2))&amp;"",""),"1",""))+LEN(IFERROR(INDEX('Saisie programme'!$D$13:$J$477,75,WEEKDAY($K$83-0,2))&amp;"",""))-LEN(SUBSTITUTE(IFERROR(INDEX('Saisie programme'!$D$13:$J$477,75,WEEKDAY($K$83-0,2))&amp;"",""),"2",""))+LEN(IFERROR(INDEX('Saisie programme'!$D$13:$J$477,75,WEEKDAY($K$83-1,2))&amp;"",""))-LEN(SUBSTITUTE(IFERROR(INDEX('Saisie programme'!$D$13:$J$477,75,WEEKDAY($K$83-1,2))&amp;"",""),"2",""))+LEN(IFERROR(INDEX('Saisie programme'!$D$13:$J$477,75,WEEKDAY($K$83-0,2))&amp;"",""))-LEN(SUBSTITUTE(IFERROR(INDEX('Saisie programme'!$D$13:$J$477,75,WEEKDAY($K$83-0,2))&amp;"",""),"3",""))+LEN(IFERROR(INDEX('Saisie programme'!$D$13:$J$477,75,WEEKDAY($K$83-1,2))&amp;"",""))-LEN(SUBSTITUTE(IFERROR(INDEX('Saisie programme'!$D$13:$J$477,75,WEEKDAY($K$83-1,2))&amp;"",""),"3",""))+LEN(IFERROR(INDEX('Saisie programme'!$D$13:$J$477,75,WEEKDAY($K$83-2,2))&amp;"",""))-LEN(SUBSTITUTE(IFERROR(INDEX('Saisie programme'!$D$13:$J$477,75,WEEKDAY($K$83-2,2))&amp;"",""),"3",""))</f>
        <v>0</v>
      </c>
      <c r="E171" s="34" t="n">
        <f aca="false">LEN(IFERROR(INDEX('Saisie programme'!$D$13:$J$477,114,WEEKDAY($K$84-0,2))&amp;"",""))-LEN(SUBSTITUTE(IFERROR(INDEX('Saisie programme'!$D$13:$J$477,114,WEEKDAY($K$84-0,2))&amp;"",""),"1",""))+LEN(IFERROR(INDEX('Saisie programme'!$D$13:$J$477,114,WEEKDAY($K$84-0,2))&amp;"",""))-LEN(SUBSTITUTE(IFERROR(INDEX('Saisie programme'!$D$13:$J$477,114,WEEKDAY($K$84-0,2))&amp;"",""),"2",""))+LEN(IFERROR(INDEX('Saisie programme'!$D$13:$J$477,114,WEEKDAY($K$84-1,2))&amp;"",""))-LEN(SUBSTITUTE(IFERROR(INDEX('Saisie programme'!$D$13:$J$477,114,WEEKDAY($K$84-1,2))&amp;"",""),"2",""))+LEN(IFERROR(INDEX('Saisie programme'!$D$13:$J$477,114,WEEKDAY($K$84-0,2))&amp;"",""))-LEN(SUBSTITUTE(IFERROR(INDEX('Saisie programme'!$D$13:$J$477,114,WEEKDAY($K$84-0,2))&amp;"",""),"3",""))+LEN(IFERROR(INDEX('Saisie programme'!$D$13:$J$477,114,WEEKDAY($K$84-1,2))&amp;"",""))-LEN(SUBSTITUTE(IFERROR(INDEX('Saisie programme'!$D$13:$J$477,114,WEEKDAY($K$84-1,2))&amp;"",""),"3",""))+LEN(IFERROR(INDEX('Saisie programme'!$D$13:$J$477,114,WEEKDAY($K$84-2,2))&amp;"",""))-LEN(SUBSTITUTE(IFERROR(INDEX('Saisie programme'!$D$13:$J$477,114,WEEKDAY($K$84-2,2))&amp;"",""),"3",""))</f>
        <v>0</v>
      </c>
      <c r="F171" s="34" t="n">
        <f aca="false">LEN(IFERROR(INDEX('Saisie programme'!$D$13:$J$477,153,WEEKDAY($K$85-0,2))&amp;"",""))-LEN(SUBSTITUTE(IFERROR(INDEX('Saisie programme'!$D$13:$J$477,153,WEEKDAY($K$85-0,2))&amp;"",""),"1",""))+LEN(IFERROR(INDEX('Saisie programme'!$D$13:$J$477,153,WEEKDAY($K$85-0,2))&amp;"",""))-LEN(SUBSTITUTE(IFERROR(INDEX('Saisie programme'!$D$13:$J$477,153,WEEKDAY($K$85-0,2))&amp;"",""),"2",""))+LEN(IFERROR(INDEX('Saisie programme'!$D$13:$J$477,153,WEEKDAY($K$85-1,2))&amp;"",""))-LEN(SUBSTITUTE(IFERROR(INDEX('Saisie programme'!$D$13:$J$477,153,WEEKDAY($K$85-1,2))&amp;"",""),"2",""))+LEN(IFERROR(INDEX('Saisie programme'!$D$13:$J$477,153,WEEKDAY($K$85-0,2))&amp;"",""))-LEN(SUBSTITUTE(IFERROR(INDEX('Saisie programme'!$D$13:$J$477,153,WEEKDAY($K$85-0,2))&amp;"",""),"3",""))+LEN(IFERROR(INDEX('Saisie programme'!$D$13:$J$477,153,WEEKDAY($K$85-1,2))&amp;"",""))-LEN(SUBSTITUTE(IFERROR(INDEX('Saisie programme'!$D$13:$J$477,153,WEEKDAY($K$85-1,2))&amp;"",""),"3",""))+LEN(IFERROR(INDEX('Saisie programme'!$D$13:$J$477,153,WEEKDAY($K$85-2,2))&amp;"",""))-LEN(SUBSTITUTE(IFERROR(INDEX('Saisie programme'!$D$13:$J$477,153,WEEKDAY($K$85-2,2))&amp;"",""),"3",""))</f>
        <v>0</v>
      </c>
      <c r="G171" s="34" t="n">
        <f aca="false">LEN(IFERROR(INDEX('Saisie programme'!$D$13:$J$477,192,WEEKDAY($K$86-0,2))&amp;"",""))-LEN(SUBSTITUTE(IFERROR(INDEX('Saisie programme'!$D$13:$J$477,192,WEEKDAY($K$86-0,2))&amp;"",""),"1",""))+LEN(IFERROR(INDEX('Saisie programme'!$D$13:$J$477,192,WEEKDAY($K$86-0,2))&amp;"",""))-LEN(SUBSTITUTE(IFERROR(INDEX('Saisie programme'!$D$13:$J$477,192,WEEKDAY($K$86-0,2))&amp;"",""),"2",""))+LEN(IFERROR(INDEX('Saisie programme'!$D$13:$J$477,192,WEEKDAY($K$86-1,2))&amp;"",""))-LEN(SUBSTITUTE(IFERROR(INDEX('Saisie programme'!$D$13:$J$477,192,WEEKDAY($K$86-1,2))&amp;"",""),"2",""))+LEN(IFERROR(INDEX('Saisie programme'!$D$13:$J$477,192,WEEKDAY($K$86-0,2))&amp;"",""))-LEN(SUBSTITUTE(IFERROR(INDEX('Saisie programme'!$D$13:$J$477,192,WEEKDAY($K$86-0,2))&amp;"",""),"3",""))+LEN(IFERROR(INDEX('Saisie programme'!$D$13:$J$477,192,WEEKDAY($K$86-1,2))&amp;"",""))-LEN(SUBSTITUTE(IFERROR(INDEX('Saisie programme'!$D$13:$J$477,192,WEEKDAY($K$86-1,2))&amp;"",""),"3",""))+LEN(IFERROR(INDEX('Saisie programme'!$D$13:$J$477,192,WEEKDAY($K$86-2,2))&amp;"",""))-LEN(SUBSTITUTE(IFERROR(INDEX('Saisie programme'!$D$13:$J$477,192,WEEKDAY($K$86-2,2))&amp;"",""),"3",""))</f>
        <v>0</v>
      </c>
      <c r="H171" s="34" t="n">
        <f aca="false">LEN(IFERROR(INDEX('Saisie programme'!$D$13:$J$477,231,WEEKDAY($K$87-0,2))&amp;"",""))-LEN(SUBSTITUTE(IFERROR(INDEX('Saisie programme'!$D$13:$J$477,231,WEEKDAY($K$87-0,2))&amp;"",""),"1",""))+LEN(IFERROR(INDEX('Saisie programme'!$D$13:$J$477,231,WEEKDAY($K$87-0,2))&amp;"",""))-LEN(SUBSTITUTE(IFERROR(INDEX('Saisie programme'!$D$13:$J$477,231,WEEKDAY($K$87-0,2))&amp;"",""),"2",""))+LEN(IFERROR(INDEX('Saisie programme'!$D$13:$J$477,231,WEEKDAY($K$87-1,2))&amp;"",""))-LEN(SUBSTITUTE(IFERROR(INDEX('Saisie programme'!$D$13:$J$477,231,WEEKDAY($K$87-1,2))&amp;"",""),"2",""))+LEN(IFERROR(INDEX('Saisie programme'!$D$13:$J$477,231,WEEKDAY($K$87-0,2))&amp;"",""))-LEN(SUBSTITUTE(IFERROR(INDEX('Saisie programme'!$D$13:$J$477,231,WEEKDAY($K$87-0,2))&amp;"",""),"3",""))+LEN(IFERROR(INDEX('Saisie programme'!$D$13:$J$477,231,WEEKDAY($K$87-1,2))&amp;"",""))-LEN(SUBSTITUTE(IFERROR(INDEX('Saisie programme'!$D$13:$J$477,231,WEEKDAY($K$87-1,2))&amp;"",""),"3",""))+LEN(IFERROR(INDEX('Saisie programme'!$D$13:$J$477,231,WEEKDAY($K$87-2,2))&amp;"",""))-LEN(SUBSTITUTE(IFERROR(INDEX('Saisie programme'!$D$13:$J$477,231,WEEKDAY($K$87-2,2))&amp;"",""),"3",""))</f>
        <v>0</v>
      </c>
      <c r="I171" s="34" t="n">
        <f aca="false">LEN(IFERROR(INDEX('Saisie programme'!$D$13:$J$477,270,WEEKDAY($K$88-0,2))&amp;"",""))-LEN(SUBSTITUTE(IFERROR(INDEX('Saisie programme'!$D$13:$J$477,270,WEEKDAY($K$88-0,2))&amp;"",""),"1",""))+LEN(IFERROR(INDEX('Saisie programme'!$D$13:$J$477,270,WEEKDAY($K$88-0,2))&amp;"",""))-LEN(SUBSTITUTE(IFERROR(INDEX('Saisie programme'!$D$13:$J$477,270,WEEKDAY($K$88-0,2))&amp;"",""),"2",""))+LEN(IFERROR(INDEX('Saisie programme'!$D$13:$J$477,270,WEEKDAY($K$88-1,2))&amp;"",""))-LEN(SUBSTITUTE(IFERROR(INDEX('Saisie programme'!$D$13:$J$477,270,WEEKDAY($K$88-1,2))&amp;"",""),"2",""))+LEN(IFERROR(INDEX('Saisie programme'!$D$13:$J$477,270,WEEKDAY($K$88-0,2))&amp;"",""))-LEN(SUBSTITUTE(IFERROR(INDEX('Saisie programme'!$D$13:$J$477,270,WEEKDAY($K$88-0,2))&amp;"",""),"3",""))+LEN(IFERROR(INDEX('Saisie programme'!$D$13:$J$477,270,WEEKDAY($K$88-1,2))&amp;"",""))-LEN(SUBSTITUTE(IFERROR(INDEX('Saisie programme'!$D$13:$J$477,270,WEEKDAY($K$88-1,2))&amp;"",""),"3",""))+LEN(IFERROR(INDEX('Saisie programme'!$D$13:$J$477,270,WEEKDAY($K$88-2,2))&amp;"",""))-LEN(SUBSTITUTE(IFERROR(INDEX('Saisie programme'!$D$13:$J$477,270,WEEKDAY($K$88-2,2))&amp;"",""),"3",""))</f>
        <v>0</v>
      </c>
      <c r="J171" s="34" t="n">
        <f aca="false">LEN(IFERROR(INDEX('Saisie programme'!$D$13:$J$477,309,WEEKDAY($K$89-0,2))&amp;"",""))-LEN(SUBSTITUTE(IFERROR(INDEX('Saisie programme'!$D$13:$J$477,309,WEEKDAY($K$89-0,2))&amp;"",""),"1",""))+LEN(IFERROR(INDEX('Saisie programme'!$D$13:$J$477,309,WEEKDAY($K$89-0,2))&amp;"",""))-LEN(SUBSTITUTE(IFERROR(INDEX('Saisie programme'!$D$13:$J$477,309,WEEKDAY($K$89-0,2))&amp;"",""),"2",""))+LEN(IFERROR(INDEX('Saisie programme'!$D$13:$J$477,309,WEEKDAY($K$89-1,2))&amp;"",""))-LEN(SUBSTITUTE(IFERROR(INDEX('Saisie programme'!$D$13:$J$477,309,WEEKDAY($K$89-1,2))&amp;"",""),"2",""))+LEN(IFERROR(INDEX('Saisie programme'!$D$13:$J$477,309,WEEKDAY($K$89-0,2))&amp;"",""))-LEN(SUBSTITUTE(IFERROR(INDEX('Saisie programme'!$D$13:$J$477,309,WEEKDAY($K$89-0,2))&amp;"",""),"3",""))+LEN(IFERROR(INDEX('Saisie programme'!$D$13:$J$477,309,WEEKDAY($K$89-1,2))&amp;"",""))-LEN(SUBSTITUTE(IFERROR(INDEX('Saisie programme'!$D$13:$J$477,309,WEEKDAY($K$89-1,2))&amp;"",""),"3",""))+LEN(IFERROR(INDEX('Saisie programme'!$D$13:$J$477,309,WEEKDAY($K$89-2,2))&amp;"",""))-LEN(SUBSTITUTE(IFERROR(INDEX('Saisie programme'!$D$13:$J$477,309,WEEKDAY($K$89-2,2))&amp;"",""),"3",""))</f>
        <v>0</v>
      </c>
      <c r="K171" s="34" t="n">
        <f aca="false">LEN(IFERROR(INDEX('Saisie programme'!$D$13:$J$477,348,WEEKDAY($K$90-0,2))&amp;"",""))-LEN(SUBSTITUTE(IFERROR(INDEX('Saisie programme'!$D$13:$J$477,348,WEEKDAY($K$90-0,2))&amp;"",""),"1",""))+LEN(IFERROR(INDEX('Saisie programme'!$D$13:$J$477,348,WEEKDAY($K$90-0,2))&amp;"",""))-LEN(SUBSTITUTE(IFERROR(INDEX('Saisie programme'!$D$13:$J$477,348,WEEKDAY($K$90-0,2))&amp;"",""),"2",""))+LEN(IFERROR(INDEX('Saisie programme'!$D$13:$J$477,348,WEEKDAY($K$90-1,2))&amp;"",""))-LEN(SUBSTITUTE(IFERROR(INDEX('Saisie programme'!$D$13:$J$477,348,WEEKDAY($K$90-1,2))&amp;"",""),"2",""))+LEN(IFERROR(INDEX('Saisie programme'!$D$13:$J$477,348,WEEKDAY($K$90-0,2))&amp;"",""))-LEN(SUBSTITUTE(IFERROR(INDEX('Saisie programme'!$D$13:$J$477,348,WEEKDAY($K$90-0,2))&amp;"",""),"3",""))+LEN(IFERROR(INDEX('Saisie programme'!$D$13:$J$477,348,WEEKDAY($K$90-1,2))&amp;"",""))-LEN(SUBSTITUTE(IFERROR(INDEX('Saisie programme'!$D$13:$J$477,348,WEEKDAY($K$90-1,2))&amp;"",""),"3",""))+LEN(IFERROR(INDEX('Saisie programme'!$D$13:$J$477,348,WEEKDAY($K$90-2,2))&amp;"",""))-LEN(SUBSTITUTE(IFERROR(INDEX('Saisie programme'!$D$13:$J$477,348,WEEKDAY($K$90-2,2))&amp;"",""),"3",""))</f>
        <v>0</v>
      </c>
      <c r="L171" s="34" t="n">
        <f aca="false">LEN(IFERROR(INDEX('Saisie programme'!$D$13:$J$477,387,WEEKDAY($K$91-0,2))&amp;"",""))-LEN(SUBSTITUTE(IFERROR(INDEX('Saisie programme'!$D$13:$J$477,387,WEEKDAY($K$91-0,2))&amp;"",""),"1",""))+LEN(IFERROR(INDEX('Saisie programme'!$D$13:$J$477,387,WEEKDAY($K$91-0,2))&amp;"",""))-LEN(SUBSTITUTE(IFERROR(INDEX('Saisie programme'!$D$13:$J$477,387,WEEKDAY($K$91-0,2))&amp;"",""),"2",""))+LEN(IFERROR(INDEX('Saisie programme'!$D$13:$J$477,387,WEEKDAY($K$91-1,2))&amp;"",""))-LEN(SUBSTITUTE(IFERROR(INDEX('Saisie programme'!$D$13:$J$477,387,WEEKDAY($K$91-1,2))&amp;"",""),"2",""))+LEN(IFERROR(INDEX('Saisie programme'!$D$13:$J$477,387,WEEKDAY($K$91-0,2))&amp;"",""))-LEN(SUBSTITUTE(IFERROR(INDEX('Saisie programme'!$D$13:$J$477,387,WEEKDAY($K$91-0,2))&amp;"",""),"3",""))+LEN(IFERROR(INDEX('Saisie programme'!$D$13:$J$477,387,WEEKDAY($K$91-1,2))&amp;"",""))-LEN(SUBSTITUTE(IFERROR(INDEX('Saisie programme'!$D$13:$J$477,387,WEEKDAY($K$91-1,2))&amp;"",""),"3",""))+LEN(IFERROR(INDEX('Saisie programme'!$D$13:$J$477,387,WEEKDAY($K$91-2,2))&amp;"",""))-LEN(SUBSTITUTE(IFERROR(INDEX('Saisie programme'!$D$13:$J$477,387,WEEKDAY($K$91-2,2))&amp;"",""),"3",""))</f>
        <v>0</v>
      </c>
      <c r="M171" s="34" t="n">
        <f aca="false">LEN(IFERROR(INDEX('Saisie programme'!$D$13:$J$477,426,WEEKDAY($K$92-0,2))&amp;"",""))-LEN(SUBSTITUTE(IFERROR(INDEX('Saisie programme'!$D$13:$J$477,426,WEEKDAY($K$92-0,2))&amp;"",""),"1",""))+LEN(IFERROR(INDEX('Saisie programme'!$D$13:$J$477,426,WEEKDAY($K$92-0,2))&amp;"",""))-LEN(SUBSTITUTE(IFERROR(INDEX('Saisie programme'!$D$13:$J$477,426,WEEKDAY($K$92-0,2))&amp;"",""),"2",""))+LEN(IFERROR(INDEX('Saisie programme'!$D$13:$J$477,426,WEEKDAY($K$92-1,2))&amp;"",""))-LEN(SUBSTITUTE(IFERROR(INDEX('Saisie programme'!$D$13:$J$477,426,WEEKDAY($K$92-1,2))&amp;"",""),"2",""))+LEN(IFERROR(INDEX('Saisie programme'!$D$13:$J$477,426,WEEKDAY($K$92-0,2))&amp;"",""))-LEN(SUBSTITUTE(IFERROR(INDEX('Saisie programme'!$D$13:$J$477,426,WEEKDAY($K$92-0,2))&amp;"",""),"3",""))+LEN(IFERROR(INDEX('Saisie programme'!$D$13:$J$477,426,WEEKDAY($K$92-1,2))&amp;"",""))-LEN(SUBSTITUTE(IFERROR(INDEX('Saisie programme'!$D$13:$J$477,426,WEEKDAY($K$92-1,2))&amp;"",""),"3",""))+LEN(IFERROR(INDEX('Saisie programme'!$D$13:$J$477,426,WEEKDAY($K$92-2,2))&amp;"",""))-LEN(SUBSTITUTE(IFERROR(INDEX('Saisie programme'!$D$13:$J$477,426,WEEKDAY($K$92-2,2))&amp;"",""),"3",""))</f>
        <v>0</v>
      </c>
      <c r="N171" s="34" t="n">
        <f aca="false">LEN(IFERROR(INDEX('Saisie programme'!$D$13:$J$477,465,WEEKDAY($K$93-0,2))&amp;"",""))-LEN(SUBSTITUTE(IFERROR(INDEX('Saisie programme'!$D$13:$J$477,465,WEEKDAY($K$93-0,2))&amp;"",""),"1",""))+LEN(IFERROR(INDEX('Saisie programme'!$D$13:$J$477,465,WEEKDAY($K$93-0,2))&amp;"",""))-LEN(SUBSTITUTE(IFERROR(INDEX('Saisie programme'!$D$13:$J$477,465,WEEKDAY($K$93-0,2))&amp;"",""),"2",""))+LEN(IFERROR(INDEX('Saisie programme'!$D$13:$J$477,465,WEEKDAY($K$93-1,2))&amp;"",""))-LEN(SUBSTITUTE(IFERROR(INDEX('Saisie programme'!$D$13:$J$477,465,WEEKDAY($K$93-1,2))&amp;"",""),"2",""))+LEN(IFERROR(INDEX('Saisie programme'!$D$13:$J$477,465,WEEKDAY($K$93-0,2))&amp;"",""))-LEN(SUBSTITUTE(IFERROR(INDEX('Saisie programme'!$D$13:$J$477,465,WEEKDAY($K$93-0,2))&amp;"",""),"3",""))+LEN(IFERROR(INDEX('Saisie programme'!$D$13:$J$477,465,WEEKDAY($K$93-1,2))&amp;"",""))-LEN(SUBSTITUTE(IFERROR(INDEX('Saisie programme'!$D$13:$J$477,465,WEEKDAY($K$93-1,2))&amp;"",""),"3",""))+LEN(IFERROR(INDEX('Saisie programme'!$D$13:$J$477,465,WEEKDAY($K$93-2,2))&amp;"",""))-LEN(SUBSTITUTE(IFERROR(INDEX('Saisie programme'!$D$13:$J$477,465,WEEKDAY($K$93-2,2))&amp;"",""),"3",""))</f>
        <v>0</v>
      </c>
      <c r="O171" s="12" t="s">
        <v>62</v>
      </c>
      <c r="P171" s="12" t="s">
        <v>24</v>
      </c>
    </row>
    <row r="173" customFormat="false" ht="15" hidden="false" customHeight="false" outlineLevel="0" collapsed="false">
      <c r="B173" s="128" t="s">
        <v>236</v>
      </c>
      <c r="C173" s="128"/>
      <c r="D173" s="128"/>
      <c r="E173" s="128"/>
      <c r="F173" s="128"/>
      <c r="G173" s="128"/>
      <c r="H173" s="128"/>
      <c r="I173" s="128"/>
      <c r="J173" s="128"/>
      <c r="K173" s="128"/>
      <c r="L173" s="128"/>
      <c r="M173" s="128"/>
      <c r="N173" s="128"/>
    </row>
    <row r="174" customFormat="false" ht="15" hidden="false" customHeight="false" outlineLevel="0" collapsed="false">
      <c r="B174" s="26" t="s">
        <v>134</v>
      </c>
      <c r="C174" s="47" t="str">
        <f aca="false">'Programme de vols'!$AB$4</f>
        <v>avril 2027</v>
      </c>
      <c r="D174" s="47" t="str">
        <f aca="false">'Programme de vols'!$AB$5</f>
        <v>mai 2027</v>
      </c>
      <c r="E174" s="47" t="str">
        <f aca="false">'Programme de vols'!$AB$6</f>
        <v>juin 2027</v>
      </c>
      <c r="F174" s="47" t="str">
        <f aca="false">'Programme de vols'!$AB$7</f>
        <v>juillet 2027</v>
      </c>
      <c r="G174" s="47" t="str">
        <f aca="false">'Programme de vols'!$AB$8</f>
        <v>aout 2027</v>
      </c>
      <c r="H174" s="47" t="str">
        <f aca="false">'Programme de vols'!$AB$9</f>
        <v>septembre 2027</v>
      </c>
      <c r="I174" s="47" t="str">
        <f aca="false">'Programme de vols'!$AB$10</f>
        <v>octobre 2027</v>
      </c>
      <c r="J174" s="47" t="str">
        <f aca="false">'Programme de vols'!$AB$11</f>
        <v>novembre 2027</v>
      </c>
      <c r="K174" s="47" t="str">
        <f aca="false">'Programme de vols'!$AB$12</f>
        <v>decembre 2027</v>
      </c>
      <c r="L174" s="47" t="str">
        <f aca="false">'Programme de vols'!$AB$13</f>
        <v>janvier 2028</v>
      </c>
      <c r="M174" s="47" t="str">
        <f aca="false">'Programme de vols'!$AB$14</f>
        <v>fevrier 2028</v>
      </c>
      <c r="N174" s="47" t="str">
        <f aca="false">'Programme de vols'!$AB$15</f>
        <v>mars 2028</v>
      </c>
      <c r="O174" s="26" t="s">
        <v>84</v>
      </c>
      <c r="P174" s="26" t="s">
        <v>234</v>
      </c>
    </row>
    <row r="175" customFormat="false" ht="15" hidden="false" customHeight="false" outlineLevel="0" collapsed="false">
      <c r="B175" s="10" t="s">
        <v>137</v>
      </c>
      <c r="C175" s="129" t="n">
        <f aca="false">C97+(SUMIFS('Vols additionnels'!$E$7:$E$66,'Vols additionnels'!$C$7:$C$66,"CDGRUN",'Vols additionnels'!$D$7:$D$66,"77W",'Vols additionnels'!$B$7:$B$66,"&gt;="&amp;$J$82,'Vols additionnels'!$B$7:$B$66,"&lt;="&amp;$K$82)+SUMIFS('Vols additionnels'!$E$7:$E$66,'Vols additionnels'!$C$7:$C$66,"CDGRUN",'Vols additionnels'!$D$7:$D$66,"77W",'Vols additionnels'!$I$7:$I$66,"&gt;="&amp;$J$82,'Vols additionnels'!$I$7:$I$66,"&lt;="&amp;$K$82)-C136+0)/2</f>
        <v>29.5</v>
      </c>
      <c r="D175" s="129" t="n">
        <f aca="false">D97+(SUMIFS('Vols additionnels'!$E$7:$E$66,'Vols additionnels'!$C$7:$C$66,"CDGRUN",'Vols additionnels'!$D$7:$D$66,"77W",'Vols additionnels'!$B$7:$B$66,"&gt;="&amp;$J$83,'Vols additionnels'!$B$7:$B$66,"&lt;="&amp;$K$83)+SUMIFS('Vols additionnels'!$E$7:$E$66,'Vols additionnels'!$C$7:$C$66,"CDGRUN",'Vols additionnels'!$D$7:$D$66,"77W",'Vols additionnels'!$I$7:$I$66,"&gt;="&amp;$J$83,'Vols additionnels'!$I$7:$I$66,"&lt;="&amp;$K$83)-D136+C136)/2</f>
        <v>31</v>
      </c>
      <c r="E175" s="129" t="n">
        <f aca="false">E97+(SUMIFS('Vols additionnels'!$E$7:$E$66,'Vols additionnels'!$C$7:$C$66,"CDGRUN",'Vols additionnels'!$D$7:$D$66,"77W",'Vols additionnels'!$B$7:$B$66,"&gt;="&amp;$J$84,'Vols additionnels'!$B$7:$B$66,"&lt;="&amp;$K$84)+SUMIFS('Vols additionnels'!$E$7:$E$66,'Vols additionnels'!$C$7:$C$66,"CDGRUN",'Vols additionnels'!$D$7:$D$66,"77W",'Vols additionnels'!$I$7:$I$66,"&gt;="&amp;$J$84,'Vols additionnels'!$I$7:$I$66,"&lt;="&amp;$K$84)-E136+D136)/2</f>
        <v>30</v>
      </c>
      <c r="F175" s="129" t="n">
        <f aca="false">F97+(SUMIFS('Vols additionnels'!$E$7:$E$66,'Vols additionnels'!$C$7:$C$66,"CDGRUN",'Vols additionnels'!$D$7:$D$66,"77W",'Vols additionnels'!$B$7:$B$66,"&gt;="&amp;$J$85,'Vols additionnels'!$B$7:$B$66,"&lt;="&amp;$K$85)+SUMIFS('Vols additionnels'!$E$7:$E$66,'Vols additionnels'!$C$7:$C$66,"CDGRUN",'Vols additionnels'!$D$7:$D$66,"77W",'Vols additionnels'!$I$7:$I$66,"&gt;="&amp;$J$85,'Vols additionnels'!$I$7:$I$66,"&lt;="&amp;$K$85)-F136+E136)/2</f>
        <v>31</v>
      </c>
      <c r="G175" s="129" t="n">
        <f aca="false">G97+(SUMIFS('Vols additionnels'!$E$7:$E$66,'Vols additionnels'!$C$7:$C$66,"CDGRUN",'Vols additionnels'!$D$7:$D$66,"77W",'Vols additionnels'!$B$7:$B$66,"&gt;="&amp;$J$86,'Vols additionnels'!$B$7:$B$66,"&lt;="&amp;$K$86)+SUMIFS('Vols additionnels'!$E$7:$E$66,'Vols additionnels'!$C$7:$C$66,"CDGRUN",'Vols additionnels'!$D$7:$D$66,"77W",'Vols additionnels'!$I$7:$I$66,"&gt;="&amp;$J$86,'Vols additionnels'!$I$7:$I$66,"&lt;="&amp;$K$86)-G136+F136)/2</f>
        <v>31</v>
      </c>
      <c r="H175" s="129" t="n">
        <f aca="false">H97+(SUMIFS('Vols additionnels'!$E$7:$E$66,'Vols additionnels'!$C$7:$C$66,"CDGRUN",'Vols additionnels'!$D$7:$D$66,"77W",'Vols additionnels'!$B$7:$B$66,"&gt;="&amp;$J$87,'Vols additionnels'!$B$7:$B$66,"&lt;="&amp;$K$87)+SUMIFS('Vols additionnels'!$E$7:$E$66,'Vols additionnels'!$C$7:$C$66,"CDGRUN",'Vols additionnels'!$D$7:$D$66,"77W",'Vols additionnels'!$I$7:$I$66,"&gt;="&amp;$J$87,'Vols additionnels'!$I$7:$I$66,"&lt;="&amp;$K$87)-H136+G136)/2</f>
        <v>30</v>
      </c>
      <c r="I175" s="129" t="n">
        <f aca="false">I97+(SUMIFS('Vols additionnels'!$E$7:$E$66,'Vols additionnels'!$C$7:$C$66,"CDGRUN",'Vols additionnels'!$D$7:$D$66,"77W",'Vols additionnels'!$B$7:$B$66,"&gt;="&amp;$J$88,'Vols additionnels'!$B$7:$B$66,"&lt;="&amp;$K$88)+SUMIFS('Vols additionnels'!$E$7:$E$66,'Vols additionnels'!$C$7:$C$66,"CDGRUN",'Vols additionnels'!$D$7:$D$66,"77W",'Vols additionnels'!$I$7:$I$66,"&gt;="&amp;$J$88,'Vols additionnels'!$I$7:$I$66,"&lt;="&amp;$K$88)-I136+H136)/2</f>
        <v>31</v>
      </c>
      <c r="J175" s="129" t="n">
        <f aca="false">J97+(SUMIFS('Vols additionnels'!$E$7:$E$66,'Vols additionnels'!$C$7:$C$66,"CDGRUN",'Vols additionnels'!$D$7:$D$66,"77W",'Vols additionnels'!$B$7:$B$66,"&gt;="&amp;$J$89,'Vols additionnels'!$B$7:$B$66,"&lt;="&amp;$K$89)+SUMIFS('Vols additionnels'!$E$7:$E$66,'Vols additionnels'!$C$7:$C$66,"CDGRUN",'Vols additionnels'!$D$7:$D$66,"77W",'Vols additionnels'!$I$7:$I$66,"&gt;="&amp;$J$89,'Vols additionnels'!$I$7:$I$66,"&lt;="&amp;$K$89)-J136+I136)/2</f>
        <v>30</v>
      </c>
      <c r="K175" s="129" t="n">
        <f aca="false">K97+(SUMIFS('Vols additionnels'!$E$7:$E$66,'Vols additionnels'!$C$7:$C$66,"CDGRUN",'Vols additionnels'!$D$7:$D$66,"77W",'Vols additionnels'!$B$7:$B$66,"&gt;="&amp;$J$90,'Vols additionnels'!$B$7:$B$66,"&lt;="&amp;$K$90)+SUMIFS('Vols additionnels'!$E$7:$E$66,'Vols additionnels'!$C$7:$C$66,"CDGRUN",'Vols additionnels'!$D$7:$D$66,"77W",'Vols additionnels'!$I$7:$I$66,"&gt;="&amp;$J$90,'Vols additionnels'!$I$7:$I$66,"&lt;="&amp;$K$90)-K136+J136)/2</f>
        <v>31</v>
      </c>
      <c r="L175" s="129" t="n">
        <f aca="false">L97+(SUMIFS('Vols additionnels'!$E$7:$E$66,'Vols additionnels'!$C$7:$C$66,"CDGRUN",'Vols additionnels'!$D$7:$D$66,"77W",'Vols additionnels'!$B$7:$B$66,"&gt;="&amp;$J$91,'Vols additionnels'!$B$7:$B$66,"&lt;="&amp;$K$91)+SUMIFS('Vols additionnels'!$E$7:$E$66,'Vols additionnels'!$C$7:$C$66,"CDGRUN",'Vols additionnels'!$D$7:$D$66,"77W",'Vols additionnels'!$I$7:$I$66,"&gt;="&amp;$J$91,'Vols additionnels'!$I$7:$I$66,"&lt;="&amp;$K$91)-L136+K136)/2</f>
        <v>31</v>
      </c>
      <c r="M175" s="129" t="n">
        <f aca="false">M97+(SUMIFS('Vols additionnels'!$E$7:$E$66,'Vols additionnels'!$C$7:$C$66,"CDGRUN",'Vols additionnels'!$D$7:$D$66,"77W",'Vols additionnels'!$B$7:$B$66,"&gt;="&amp;$J$92,'Vols additionnels'!$B$7:$B$66,"&lt;="&amp;$K$92)+SUMIFS('Vols additionnels'!$E$7:$E$66,'Vols additionnels'!$C$7:$C$66,"CDGRUN",'Vols additionnels'!$D$7:$D$66,"77W",'Vols additionnels'!$I$7:$I$66,"&gt;="&amp;$J$92,'Vols additionnels'!$I$7:$I$66,"&lt;="&amp;$K$92)-M136+L136)/2</f>
        <v>29</v>
      </c>
      <c r="N175" s="129" t="n">
        <f aca="false">N97+(SUMIFS('Vols additionnels'!$E$7:$E$66,'Vols additionnels'!$C$7:$C$66,"CDGRUN",'Vols additionnels'!$D$7:$D$66,"77W",'Vols additionnels'!$B$7:$B$66,"&gt;="&amp;$J$93,'Vols additionnels'!$B$7:$B$66,"&lt;="&amp;$K$93)+SUMIFS('Vols additionnels'!$E$7:$E$66,'Vols additionnels'!$C$7:$C$66,"CDGRUN",'Vols additionnels'!$D$7:$D$66,"77W",'Vols additionnels'!$I$7:$I$66,"&gt;="&amp;$J$93,'Vols additionnels'!$I$7:$I$66,"&lt;="&amp;$K$93)-N136+M136)/2</f>
        <v>31</v>
      </c>
      <c r="O175" s="12" t="s">
        <v>12</v>
      </c>
      <c r="P175" s="12" t="s">
        <v>11</v>
      </c>
    </row>
    <row r="176" customFormat="false" ht="15" hidden="false" customHeight="false" outlineLevel="0" collapsed="false">
      <c r="B176" s="10" t="s">
        <v>138</v>
      </c>
      <c r="C176" s="129" t="n">
        <f aca="false">C98+(SUMIFS('Vols additionnels'!$E$7:$E$66,'Vols additionnels'!$C$7:$C$66,"CDGRUN",'Vols additionnels'!$D$7:$D$66,"787",'Vols additionnels'!$B$7:$B$66,"&gt;="&amp;$J$82,'Vols additionnels'!$B$7:$B$66,"&lt;="&amp;$K$82)+SUMIFS('Vols additionnels'!$E$7:$E$66,'Vols additionnels'!$C$7:$C$66,"CDGRUN",'Vols additionnels'!$D$7:$D$66,"787",'Vols additionnels'!$I$7:$I$66,"&gt;="&amp;$J$82,'Vols additionnels'!$I$7:$I$66,"&lt;="&amp;$K$82)-C137+0)/2</f>
        <v>8.5</v>
      </c>
      <c r="D176" s="129" t="n">
        <f aca="false">D98+(SUMIFS('Vols additionnels'!$E$7:$E$66,'Vols additionnels'!$C$7:$C$66,"CDGRUN",'Vols additionnels'!$D$7:$D$66,"787",'Vols additionnels'!$B$7:$B$66,"&gt;="&amp;$J$83,'Vols additionnels'!$B$7:$B$66,"&lt;="&amp;$K$83)+SUMIFS('Vols additionnels'!$E$7:$E$66,'Vols additionnels'!$C$7:$C$66,"CDGRUN",'Vols additionnels'!$D$7:$D$66,"787",'Vols additionnels'!$I$7:$I$66,"&gt;="&amp;$J$83,'Vols additionnels'!$I$7:$I$66,"&lt;="&amp;$K$83)-D137+C137)/2</f>
        <v>9</v>
      </c>
      <c r="E176" s="129" t="n">
        <f aca="false">E98+(SUMIFS('Vols additionnels'!$E$7:$E$66,'Vols additionnels'!$C$7:$C$66,"CDGRUN",'Vols additionnels'!$D$7:$D$66,"787",'Vols additionnels'!$B$7:$B$66,"&gt;="&amp;$J$84,'Vols additionnels'!$B$7:$B$66,"&lt;="&amp;$K$84)+SUMIFS('Vols additionnels'!$E$7:$E$66,'Vols additionnels'!$C$7:$C$66,"CDGRUN",'Vols additionnels'!$D$7:$D$66,"787",'Vols additionnels'!$I$7:$I$66,"&gt;="&amp;$J$84,'Vols additionnels'!$I$7:$I$66,"&lt;="&amp;$K$84)-E137+D137)/2</f>
        <v>8.5</v>
      </c>
      <c r="F176" s="129" t="n">
        <f aca="false">F98+(SUMIFS('Vols additionnels'!$E$7:$E$66,'Vols additionnels'!$C$7:$C$66,"CDGRUN",'Vols additionnels'!$D$7:$D$66,"787",'Vols additionnels'!$B$7:$B$66,"&gt;="&amp;$J$85,'Vols additionnels'!$B$7:$B$66,"&lt;="&amp;$K$85)+SUMIFS('Vols additionnels'!$E$7:$E$66,'Vols additionnels'!$C$7:$C$66,"CDGRUN",'Vols additionnels'!$D$7:$D$66,"787",'Vols additionnels'!$I$7:$I$66,"&gt;="&amp;$J$85,'Vols additionnels'!$I$7:$I$66,"&lt;="&amp;$K$85)-F137+E137)/2</f>
        <v>9</v>
      </c>
      <c r="G176" s="129" t="n">
        <f aca="false">G98+(SUMIFS('Vols additionnels'!$E$7:$E$66,'Vols additionnels'!$C$7:$C$66,"CDGRUN",'Vols additionnels'!$D$7:$D$66,"787",'Vols additionnels'!$B$7:$B$66,"&gt;="&amp;$J$86,'Vols additionnels'!$B$7:$B$66,"&lt;="&amp;$K$86)+SUMIFS('Vols additionnels'!$E$7:$E$66,'Vols additionnels'!$C$7:$C$66,"CDGRUN",'Vols additionnels'!$D$7:$D$66,"787",'Vols additionnels'!$I$7:$I$66,"&gt;="&amp;$J$86,'Vols additionnels'!$I$7:$I$66,"&lt;="&amp;$K$86)-G137+F137)/2</f>
        <v>30.5</v>
      </c>
      <c r="H176" s="129" t="n">
        <f aca="false">H98+(SUMIFS('Vols additionnels'!$E$7:$E$66,'Vols additionnels'!$C$7:$C$66,"CDGRUN",'Vols additionnels'!$D$7:$D$66,"787",'Vols additionnels'!$B$7:$B$66,"&gt;="&amp;$J$87,'Vols additionnels'!$B$7:$B$66,"&lt;="&amp;$K$87)+SUMIFS('Vols additionnels'!$E$7:$E$66,'Vols additionnels'!$C$7:$C$66,"CDGRUN",'Vols additionnels'!$D$7:$D$66,"787",'Vols additionnels'!$I$7:$I$66,"&gt;="&amp;$J$87,'Vols additionnels'!$I$7:$I$66,"&lt;="&amp;$K$87)-H137+G137)/2</f>
        <v>8.5</v>
      </c>
      <c r="I176" s="129" t="n">
        <f aca="false">I98+(SUMIFS('Vols additionnels'!$E$7:$E$66,'Vols additionnels'!$C$7:$C$66,"CDGRUN",'Vols additionnels'!$D$7:$D$66,"787",'Vols additionnels'!$B$7:$B$66,"&gt;="&amp;$J$88,'Vols additionnels'!$B$7:$B$66,"&lt;="&amp;$K$88)+SUMIFS('Vols additionnels'!$E$7:$E$66,'Vols additionnels'!$C$7:$C$66,"CDGRUN",'Vols additionnels'!$D$7:$D$66,"787",'Vols additionnels'!$I$7:$I$66,"&gt;="&amp;$J$88,'Vols additionnels'!$I$7:$I$66,"&lt;="&amp;$K$88)-I137+H137)/2</f>
        <v>9</v>
      </c>
      <c r="J176" s="129" t="n">
        <f aca="false">J98+(SUMIFS('Vols additionnels'!$E$7:$E$66,'Vols additionnels'!$C$7:$C$66,"CDGRUN",'Vols additionnels'!$D$7:$D$66,"787",'Vols additionnels'!$B$7:$B$66,"&gt;="&amp;$J$89,'Vols additionnels'!$B$7:$B$66,"&lt;="&amp;$K$89)+SUMIFS('Vols additionnels'!$E$7:$E$66,'Vols additionnels'!$C$7:$C$66,"CDGRUN",'Vols additionnels'!$D$7:$D$66,"787",'Vols additionnels'!$I$7:$I$66,"&gt;="&amp;$J$89,'Vols additionnels'!$I$7:$I$66,"&lt;="&amp;$K$89)-J137+I137)/2</f>
        <v>9</v>
      </c>
      <c r="K176" s="129" t="n">
        <f aca="false">K98+(SUMIFS('Vols additionnels'!$E$7:$E$66,'Vols additionnels'!$C$7:$C$66,"CDGRUN",'Vols additionnels'!$D$7:$D$66,"787",'Vols additionnels'!$B$7:$B$66,"&gt;="&amp;$J$90,'Vols additionnels'!$B$7:$B$66,"&lt;="&amp;$K$90)+SUMIFS('Vols additionnels'!$E$7:$E$66,'Vols additionnels'!$C$7:$C$66,"CDGRUN",'Vols additionnels'!$D$7:$D$66,"787",'Vols additionnels'!$I$7:$I$66,"&gt;="&amp;$J$90,'Vols additionnels'!$I$7:$I$66,"&lt;="&amp;$K$90)-K137+J137)/2</f>
        <v>8.5</v>
      </c>
      <c r="L176" s="129" t="n">
        <f aca="false">L98+(SUMIFS('Vols additionnels'!$E$7:$E$66,'Vols additionnels'!$C$7:$C$66,"CDGRUN",'Vols additionnels'!$D$7:$D$66,"787",'Vols additionnels'!$B$7:$B$66,"&gt;="&amp;$J$91,'Vols additionnels'!$B$7:$B$66,"&lt;="&amp;$K$91)+SUMIFS('Vols additionnels'!$E$7:$E$66,'Vols additionnels'!$C$7:$C$66,"CDGRUN",'Vols additionnels'!$D$7:$D$66,"787",'Vols additionnels'!$I$7:$I$66,"&gt;="&amp;$J$91,'Vols additionnels'!$I$7:$I$66,"&lt;="&amp;$K$91)-L137+K137)/2</f>
        <v>9</v>
      </c>
      <c r="M176" s="129" t="n">
        <f aca="false">M98+(SUMIFS('Vols additionnels'!$E$7:$E$66,'Vols additionnels'!$C$7:$C$66,"CDGRUN",'Vols additionnels'!$D$7:$D$66,"787",'Vols additionnels'!$B$7:$B$66,"&gt;="&amp;$J$92,'Vols additionnels'!$B$7:$B$66,"&lt;="&amp;$K$92)+SUMIFS('Vols additionnels'!$E$7:$E$66,'Vols additionnels'!$C$7:$C$66,"CDGRUN",'Vols additionnels'!$D$7:$D$66,"787",'Vols additionnels'!$I$7:$I$66,"&gt;="&amp;$J$92,'Vols additionnels'!$I$7:$I$66,"&lt;="&amp;$K$92)-M137+L137)/2</f>
        <v>8.5</v>
      </c>
      <c r="N176" s="129" t="n">
        <f aca="false">N98+(SUMIFS('Vols additionnels'!$E$7:$E$66,'Vols additionnels'!$C$7:$C$66,"CDGRUN",'Vols additionnels'!$D$7:$D$66,"787",'Vols additionnels'!$B$7:$B$66,"&gt;="&amp;$J$93,'Vols additionnels'!$B$7:$B$66,"&lt;="&amp;$K$93)+SUMIFS('Vols additionnels'!$E$7:$E$66,'Vols additionnels'!$C$7:$C$66,"CDGRUN",'Vols additionnels'!$D$7:$D$66,"787",'Vols additionnels'!$I$7:$I$66,"&gt;="&amp;$J$93,'Vols additionnels'!$I$7:$I$66,"&lt;="&amp;$K$93)-N137+M137)/2</f>
        <v>8.5</v>
      </c>
      <c r="O176" s="12" t="s">
        <v>12</v>
      </c>
      <c r="P176" s="12" t="s">
        <v>19</v>
      </c>
    </row>
    <row r="177" customFormat="false" ht="15" hidden="false" customHeight="false" outlineLevel="0" collapsed="false">
      <c r="B177" s="10" t="s">
        <v>139</v>
      </c>
      <c r="C177" s="129" t="n">
        <f aca="false">C99+(SUMIFS('Vols additionnels'!$E$7:$E$66,'Vols additionnels'!$C$7:$C$66,"CDGRUN",'Vols additionnels'!$D$7:$D$66,"A320",'Vols additionnels'!$B$7:$B$66,"&gt;="&amp;$J$82,'Vols additionnels'!$B$7:$B$66,"&lt;="&amp;$K$82)+SUMIFS('Vols additionnels'!$E$7:$E$66,'Vols additionnels'!$C$7:$C$66,"CDGRUN",'Vols additionnels'!$D$7:$D$66,"A320",'Vols additionnels'!$I$7:$I$66,"&gt;="&amp;$J$82,'Vols additionnels'!$I$7:$I$66,"&lt;="&amp;$K$82)-C138+0)/2</f>
        <v>8</v>
      </c>
      <c r="D177" s="129" t="n">
        <f aca="false">D99+(SUMIFS('Vols additionnels'!$E$7:$E$66,'Vols additionnels'!$C$7:$C$66,"CDGRUN",'Vols additionnels'!$D$7:$D$66,"A320",'Vols additionnels'!$B$7:$B$66,"&gt;="&amp;$J$83,'Vols additionnels'!$B$7:$B$66,"&lt;="&amp;$K$83)+SUMIFS('Vols additionnels'!$E$7:$E$66,'Vols additionnels'!$C$7:$C$66,"CDGRUN",'Vols additionnels'!$D$7:$D$66,"A320",'Vols additionnels'!$I$7:$I$66,"&gt;="&amp;$J$83,'Vols additionnels'!$I$7:$I$66,"&lt;="&amp;$K$83)-D138+C138)/2</f>
        <v>9.5</v>
      </c>
      <c r="E177" s="129" t="n">
        <f aca="false">E99+(SUMIFS('Vols additionnels'!$E$7:$E$66,'Vols additionnels'!$C$7:$C$66,"CDGRUN",'Vols additionnels'!$D$7:$D$66,"A320",'Vols additionnels'!$B$7:$B$66,"&gt;="&amp;$J$84,'Vols additionnels'!$B$7:$B$66,"&lt;="&amp;$K$84)+SUMIFS('Vols additionnels'!$E$7:$E$66,'Vols additionnels'!$C$7:$C$66,"CDGRUN",'Vols additionnels'!$D$7:$D$66,"A320",'Vols additionnels'!$I$7:$I$66,"&gt;="&amp;$J$84,'Vols additionnels'!$I$7:$I$66,"&lt;="&amp;$K$84)-E138+D138)/2</f>
        <v>8.5</v>
      </c>
      <c r="F177" s="129" t="n">
        <f aca="false">F99+(SUMIFS('Vols additionnels'!$E$7:$E$66,'Vols additionnels'!$C$7:$C$66,"CDGRUN",'Vols additionnels'!$D$7:$D$66,"A320",'Vols additionnels'!$B$7:$B$66,"&gt;="&amp;$J$85,'Vols additionnels'!$B$7:$B$66,"&lt;="&amp;$K$85)+SUMIFS('Vols additionnels'!$E$7:$E$66,'Vols additionnels'!$C$7:$C$66,"CDGRUN",'Vols additionnels'!$D$7:$D$66,"A320",'Vols additionnels'!$I$7:$I$66,"&gt;="&amp;$J$85,'Vols additionnels'!$I$7:$I$66,"&lt;="&amp;$K$85)-F138+E138)/2</f>
        <v>8</v>
      </c>
      <c r="G177" s="129" t="n">
        <f aca="false">G99+(SUMIFS('Vols additionnels'!$E$7:$E$66,'Vols additionnels'!$C$7:$C$66,"CDGRUN",'Vols additionnels'!$D$7:$D$66,"A320",'Vols additionnels'!$B$7:$B$66,"&gt;="&amp;$J$86,'Vols additionnels'!$B$7:$B$66,"&lt;="&amp;$K$86)+SUMIFS('Vols additionnels'!$E$7:$E$66,'Vols additionnels'!$C$7:$C$66,"CDGRUN",'Vols additionnels'!$D$7:$D$66,"A320",'Vols additionnels'!$I$7:$I$66,"&gt;="&amp;$J$86,'Vols additionnels'!$I$7:$I$66,"&lt;="&amp;$K$86)-G138+F138)/2</f>
        <v>0</v>
      </c>
      <c r="H177" s="129" t="n">
        <f aca="false">H99+(SUMIFS('Vols additionnels'!$E$7:$E$66,'Vols additionnels'!$C$7:$C$66,"CDGRUN",'Vols additionnels'!$D$7:$D$66,"A320",'Vols additionnels'!$B$7:$B$66,"&gt;="&amp;$J$87,'Vols additionnels'!$B$7:$B$66,"&lt;="&amp;$K$87)+SUMIFS('Vols additionnels'!$E$7:$E$66,'Vols additionnels'!$C$7:$C$66,"CDGRUN",'Vols additionnels'!$D$7:$D$66,"A320",'Vols additionnels'!$I$7:$I$66,"&gt;="&amp;$J$87,'Vols additionnels'!$I$7:$I$66,"&lt;="&amp;$K$87)-H138+G138)/2</f>
        <v>8</v>
      </c>
      <c r="I177" s="129" t="n">
        <f aca="false">I99+(SUMIFS('Vols additionnels'!$E$7:$E$66,'Vols additionnels'!$C$7:$C$66,"CDGRUN",'Vols additionnels'!$D$7:$D$66,"A320",'Vols additionnels'!$B$7:$B$66,"&gt;="&amp;$J$88,'Vols additionnels'!$B$7:$B$66,"&lt;="&amp;$K$88)+SUMIFS('Vols additionnels'!$E$7:$E$66,'Vols additionnels'!$C$7:$C$66,"CDGRUN",'Vols additionnels'!$D$7:$D$66,"A320",'Vols additionnels'!$I$7:$I$66,"&gt;="&amp;$J$88,'Vols additionnels'!$I$7:$I$66,"&lt;="&amp;$K$88)-I138+H138)/2</f>
        <v>8</v>
      </c>
      <c r="J177" s="129" t="n">
        <f aca="false">J99+(SUMIFS('Vols additionnels'!$E$7:$E$66,'Vols additionnels'!$C$7:$C$66,"CDGRUN",'Vols additionnels'!$D$7:$D$66,"A320",'Vols additionnels'!$B$7:$B$66,"&gt;="&amp;$J$89,'Vols additionnels'!$B$7:$B$66,"&lt;="&amp;$K$89)+SUMIFS('Vols additionnels'!$E$7:$E$66,'Vols additionnels'!$C$7:$C$66,"CDGRUN",'Vols additionnels'!$D$7:$D$66,"A320",'Vols additionnels'!$I$7:$I$66,"&gt;="&amp;$J$89,'Vols additionnels'!$I$7:$I$66,"&lt;="&amp;$K$89)-J138+I138)/2</f>
        <v>10</v>
      </c>
      <c r="K177" s="129" t="n">
        <f aca="false">K99+(SUMIFS('Vols additionnels'!$E$7:$E$66,'Vols additionnels'!$C$7:$C$66,"CDGRUN",'Vols additionnels'!$D$7:$D$66,"A320",'Vols additionnels'!$B$7:$B$66,"&gt;="&amp;$J$90,'Vols additionnels'!$B$7:$B$66,"&lt;="&amp;$K$90)+SUMIFS('Vols additionnels'!$E$7:$E$66,'Vols additionnels'!$C$7:$C$66,"CDGRUN",'Vols additionnels'!$D$7:$D$66,"A320",'Vols additionnels'!$I$7:$I$66,"&gt;="&amp;$J$90,'Vols additionnels'!$I$7:$I$66,"&lt;="&amp;$K$90)-K138+J138)/2</f>
        <v>8</v>
      </c>
      <c r="L177" s="129" t="n">
        <f aca="false">L99+(SUMIFS('Vols additionnels'!$E$7:$E$66,'Vols additionnels'!$C$7:$C$66,"CDGRUN",'Vols additionnels'!$D$7:$D$66,"A320",'Vols additionnels'!$B$7:$B$66,"&gt;="&amp;$J$91,'Vols additionnels'!$B$7:$B$66,"&lt;="&amp;$K$91)+SUMIFS('Vols additionnels'!$E$7:$E$66,'Vols additionnels'!$C$7:$C$66,"CDGRUN",'Vols additionnels'!$D$7:$D$66,"A320",'Vols additionnels'!$I$7:$I$66,"&gt;="&amp;$J$91,'Vols additionnels'!$I$7:$I$66,"&lt;="&amp;$K$91)-L138+K138)/2</f>
        <v>9.5</v>
      </c>
      <c r="M177" s="129" t="n">
        <f aca="false">M99+(SUMIFS('Vols additionnels'!$E$7:$E$66,'Vols additionnels'!$C$7:$C$66,"CDGRUN",'Vols additionnels'!$D$7:$D$66,"A320",'Vols additionnels'!$B$7:$B$66,"&gt;="&amp;$J$92,'Vols additionnels'!$B$7:$B$66,"&lt;="&amp;$K$92)+SUMIFS('Vols additionnels'!$E$7:$E$66,'Vols additionnels'!$C$7:$C$66,"CDGRUN",'Vols additionnels'!$D$7:$D$66,"A320",'Vols additionnels'!$I$7:$I$66,"&gt;="&amp;$J$92,'Vols additionnels'!$I$7:$I$66,"&lt;="&amp;$K$92)-M138+L138)/2</f>
        <v>8.5</v>
      </c>
      <c r="N177" s="129" t="n">
        <f aca="false">N99+(SUMIFS('Vols additionnels'!$E$7:$E$66,'Vols additionnels'!$C$7:$C$66,"CDGRUN",'Vols additionnels'!$D$7:$D$66,"A320",'Vols additionnels'!$B$7:$B$66,"&gt;="&amp;$J$93,'Vols additionnels'!$B$7:$B$66,"&lt;="&amp;$K$93)+SUMIFS('Vols additionnels'!$E$7:$E$66,'Vols additionnels'!$C$7:$C$66,"CDGRUN",'Vols additionnels'!$D$7:$D$66,"A320",'Vols additionnels'!$I$7:$I$66,"&gt;="&amp;$J$93,'Vols additionnels'!$I$7:$I$66,"&lt;="&amp;$K$93)-N138+M138)/2</f>
        <v>8</v>
      </c>
      <c r="O177" s="12" t="s">
        <v>12</v>
      </c>
      <c r="P177" s="12" t="s">
        <v>24</v>
      </c>
    </row>
    <row r="178" customFormat="false" ht="15" hidden="false" customHeight="false" outlineLevel="0" collapsed="false">
      <c r="B178" s="10" t="s">
        <v>140</v>
      </c>
      <c r="C178" s="129" t="n">
        <f aca="false">C100+(SUMIFS('Vols additionnels'!$E$7:$E$66,'Vols additionnels'!$C$7:$C$66,"CDGDZA",'Vols additionnels'!$D$7:$D$66,"77W",'Vols additionnels'!$B$7:$B$66,"&gt;="&amp;$J$82,'Vols additionnels'!$B$7:$B$66,"&lt;="&amp;$K$82)+SUMIFS('Vols additionnels'!$E$7:$E$66,'Vols additionnels'!$C$7:$C$66,"CDGDZA",'Vols additionnels'!$D$7:$D$66,"77W",'Vols additionnels'!$I$7:$I$66,"&gt;="&amp;$J$82,'Vols additionnels'!$I$7:$I$66,"&lt;="&amp;$K$82)-C139+0)/2</f>
        <v>4</v>
      </c>
      <c r="D178" s="129" t="n">
        <f aca="false">D100+(SUMIFS('Vols additionnels'!$E$7:$E$66,'Vols additionnels'!$C$7:$C$66,"CDGDZA",'Vols additionnels'!$D$7:$D$66,"77W",'Vols additionnels'!$B$7:$B$66,"&gt;="&amp;$J$83,'Vols additionnels'!$B$7:$B$66,"&lt;="&amp;$K$83)+SUMIFS('Vols additionnels'!$E$7:$E$66,'Vols additionnels'!$C$7:$C$66,"CDGDZA",'Vols additionnels'!$D$7:$D$66,"77W",'Vols additionnels'!$I$7:$I$66,"&gt;="&amp;$J$83,'Vols additionnels'!$I$7:$I$66,"&lt;="&amp;$K$83)-D139+C139)/2</f>
        <v>5</v>
      </c>
      <c r="E178" s="129" t="n">
        <f aca="false">E100+(SUMIFS('Vols additionnels'!$E$7:$E$66,'Vols additionnels'!$C$7:$C$66,"CDGDZA",'Vols additionnels'!$D$7:$D$66,"77W",'Vols additionnels'!$B$7:$B$66,"&gt;="&amp;$J$84,'Vols additionnels'!$B$7:$B$66,"&lt;="&amp;$K$84)+SUMIFS('Vols additionnels'!$E$7:$E$66,'Vols additionnels'!$C$7:$C$66,"CDGDZA",'Vols additionnels'!$D$7:$D$66,"77W",'Vols additionnels'!$I$7:$I$66,"&gt;="&amp;$J$84,'Vols additionnels'!$I$7:$I$66,"&lt;="&amp;$K$84)-E139+D139)/2</f>
        <v>4</v>
      </c>
      <c r="F178" s="129" t="n">
        <f aca="false">F100+(SUMIFS('Vols additionnels'!$E$7:$E$66,'Vols additionnels'!$C$7:$C$66,"CDGDZA",'Vols additionnels'!$D$7:$D$66,"77W",'Vols additionnels'!$B$7:$B$66,"&gt;="&amp;$J$85,'Vols additionnels'!$B$7:$B$66,"&lt;="&amp;$K$85)+SUMIFS('Vols additionnels'!$E$7:$E$66,'Vols additionnels'!$C$7:$C$66,"CDGDZA",'Vols additionnels'!$D$7:$D$66,"77W",'Vols additionnels'!$I$7:$I$66,"&gt;="&amp;$J$85,'Vols additionnels'!$I$7:$I$66,"&lt;="&amp;$K$85)-F139+E139)/2</f>
        <v>4</v>
      </c>
      <c r="G178" s="129" t="n">
        <f aca="false">G100+(SUMIFS('Vols additionnels'!$E$7:$E$66,'Vols additionnels'!$C$7:$C$66,"CDGDZA",'Vols additionnels'!$D$7:$D$66,"77W",'Vols additionnels'!$B$7:$B$66,"&gt;="&amp;$J$86,'Vols additionnels'!$B$7:$B$66,"&lt;="&amp;$K$86)+SUMIFS('Vols additionnels'!$E$7:$E$66,'Vols additionnels'!$C$7:$C$66,"CDGDZA",'Vols additionnels'!$D$7:$D$66,"77W",'Vols additionnels'!$I$7:$I$66,"&gt;="&amp;$J$86,'Vols additionnels'!$I$7:$I$66,"&lt;="&amp;$K$86)-G139+F139)/2</f>
        <v>5</v>
      </c>
      <c r="H178" s="129" t="n">
        <f aca="false">H100+(SUMIFS('Vols additionnels'!$E$7:$E$66,'Vols additionnels'!$C$7:$C$66,"CDGDZA",'Vols additionnels'!$D$7:$D$66,"77W",'Vols additionnels'!$B$7:$B$66,"&gt;="&amp;$J$87,'Vols additionnels'!$B$7:$B$66,"&lt;="&amp;$K$87)+SUMIFS('Vols additionnels'!$E$7:$E$66,'Vols additionnels'!$C$7:$C$66,"CDGDZA",'Vols additionnels'!$D$7:$D$66,"77W",'Vols additionnels'!$I$7:$I$66,"&gt;="&amp;$J$87,'Vols additionnels'!$I$7:$I$66,"&lt;="&amp;$K$87)-H139+G139)/2</f>
        <v>4</v>
      </c>
      <c r="I178" s="129" t="n">
        <f aca="false">I100+(SUMIFS('Vols additionnels'!$E$7:$E$66,'Vols additionnels'!$C$7:$C$66,"CDGDZA",'Vols additionnels'!$D$7:$D$66,"77W",'Vols additionnels'!$B$7:$B$66,"&gt;="&amp;$J$88,'Vols additionnels'!$B$7:$B$66,"&lt;="&amp;$K$88)+SUMIFS('Vols additionnels'!$E$7:$E$66,'Vols additionnels'!$C$7:$C$66,"CDGDZA",'Vols additionnels'!$D$7:$D$66,"77W",'Vols additionnels'!$I$7:$I$66,"&gt;="&amp;$J$88,'Vols additionnels'!$I$7:$I$66,"&lt;="&amp;$K$88)-I139+H139)/2</f>
        <v>4.5</v>
      </c>
      <c r="J178" s="129" t="n">
        <f aca="false">J100+(SUMIFS('Vols additionnels'!$E$7:$E$66,'Vols additionnels'!$C$7:$C$66,"CDGDZA",'Vols additionnels'!$D$7:$D$66,"77W",'Vols additionnels'!$B$7:$B$66,"&gt;="&amp;$J$89,'Vols additionnels'!$B$7:$B$66,"&lt;="&amp;$K$89)+SUMIFS('Vols additionnels'!$E$7:$E$66,'Vols additionnels'!$C$7:$C$66,"CDGDZA",'Vols additionnels'!$D$7:$D$66,"77W",'Vols additionnels'!$I$7:$I$66,"&gt;="&amp;$J$89,'Vols additionnels'!$I$7:$I$66,"&lt;="&amp;$K$89)-J139+I139)/2</f>
        <v>4.5</v>
      </c>
      <c r="K178" s="129" t="n">
        <f aca="false">K100+(SUMIFS('Vols additionnels'!$E$7:$E$66,'Vols additionnels'!$C$7:$C$66,"CDGDZA",'Vols additionnels'!$D$7:$D$66,"77W",'Vols additionnels'!$B$7:$B$66,"&gt;="&amp;$J$90,'Vols additionnels'!$B$7:$B$66,"&lt;="&amp;$K$90)+SUMIFS('Vols additionnels'!$E$7:$E$66,'Vols additionnels'!$C$7:$C$66,"CDGDZA",'Vols additionnels'!$D$7:$D$66,"77W",'Vols additionnels'!$I$7:$I$66,"&gt;="&amp;$J$90,'Vols additionnels'!$I$7:$I$66,"&lt;="&amp;$K$90)-K139+J139)/2</f>
        <v>4</v>
      </c>
      <c r="L178" s="129" t="n">
        <f aca="false">L100+(SUMIFS('Vols additionnels'!$E$7:$E$66,'Vols additionnels'!$C$7:$C$66,"CDGDZA",'Vols additionnels'!$D$7:$D$66,"77W",'Vols additionnels'!$B$7:$B$66,"&gt;="&amp;$J$91,'Vols additionnels'!$B$7:$B$66,"&lt;="&amp;$K$91)+SUMIFS('Vols additionnels'!$E$7:$E$66,'Vols additionnels'!$C$7:$C$66,"CDGDZA",'Vols additionnels'!$D$7:$D$66,"77W",'Vols additionnels'!$I$7:$I$66,"&gt;="&amp;$J$91,'Vols additionnels'!$I$7:$I$66,"&lt;="&amp;$K$91)-L139+K139)/2</f>
        <v>5</v>
      </c>
      <c r="M178" s="129" t="n">
        <f aca="false">M100+(SUMIFS('Vols additionnels'!$E$7:$E$66,'Vols additionnels'!$C$7:$C$66,"CDGDZA",'Vols additionnels'!$D$7:$D$66,"77W",'Vols additionnels'!$B$7:$B$66,"&gt;="&amp;$J$92,'Vols additionnels'!$B$7:$B$66,"&lt;="&amp;$K$92)+SUMIFS('Vols additionnels'!$E$7:$E$66,'Vols additionnels'!$C$7:$C$66,"CDGDZA",'Vols additionnels'!$D$7:$D$66,"77W",'Vols additionnels'!$I$7:$I$66,"&gt;="&amp;$J$92,'Vols additionnels'!$I$7:$I$66,"&lt;="&amp;$K$92)-M139+L139)/2</f>
        <v>4</v>
      </c>
      <c r="N178" s="129" t="n">
        <f aca="false">N100+(SUMIFS('Vols additionnels'!$E$7:$E$66,'Vols additionnels'!$C$7:$C$66,"CDGDZA",'Vols additionnels'!$D$7:$D$66,"77W",'Vols additionnels'!$B$7:$B$66,"&gt;="&amp;$J$93,'Vols additionnels'!$B$7:$B$66,"&lt;="&amp;$K$93)+SUMIFS('Vols additionnels'!$E$7:$E$66,'Vols additionnels'!$C$7:$C$66,"CDGDZA",'Vols additionnels'!$D$7:$D$66,"77W",'Vols additionnels'!$I$7:$I$66,"&gt;="&amp;$J$93,'Vols additionnels'!$I$7:$I$66,"&lt;="&amp;$K$93)-N139+M139)/2</f>
        <v>4</v>
      </c>
      <c r="O178" s="12" t="s">
        <v>20</v>
      </c>
      <c r="P178" s="12" t="s">
        <v>11</v>
      </c>
    </row>
    <row r="179" customFormat="false" ht="15" hidden="false" customHeight="false" outlineLevel="0" collapsed="false">
      <c r="B179" s="10" t="s">
        <v>141</v>
      </c>
      <c r="C179" s="129" t="n">
        <f aca="false">C101+(SUMIFS('Vols additionnels'!$E$7:$E$66,'Vols additionnels'!$C$7:$C$66,"CDGDZA",'Vols additionnels'!$D$7:$D$66,"787",'Vols additionnels'!$B$7:$B$66,"&gt;="&amp;$J$82,'Vols additionnels'!$B$7:$B$66,"&lt;="&amp;$K$82)+SUMIFS('Vols additionnels'!$E$7:$E$66,'Vols additionnels'!$C$7:$C$66,"CDGDZA",'Vols additionnels'!$D$7:$D$66,"787",'Vols additionnels'!$I$7:$I$66,"&gt;="&amp;$J$82,'Vols additionnels'!$I$7:$I$66,"&lt;="&amp;$K$82)-C140+0)/2</f>
        <v>8.5</v>
      </c>
      <c r="D179" s="129" t="n">
        <f aca="false">D101+(SUMIFS('Vols additionnels'!$E$7:$E$66,'Vols additionnels'!$C$7:$C$66,"CDGDZA",'Vols additionnels'!$D$7:$D$66,"787",'Vols additionnels'!$B$7:$B$66,"&gt;="&amp;$J$83,'Vols additionnels'!$B$7:$B$66,"&lt;="&amp;$K$83)+SUMIFS('Vols additionnels'!$E$7:$E$66,'Vols additionnels'!$C$7:$C$66,"CDGDZA",'Vols additionnels'!$D$7:$D$66,"787",'Vols additionnels'!$I$7:$I$66,"&gt;="&amp;$J$83,'Vols additionnels'!$I$7:$I$66,"&lt;="&amp;$K$83)-D140+C140)/2</f>
        <v>8.5</v>
      </c>
      <c r="E179" s="129" t="n">
        <f aca="false">E101+(SUMIFS('Vols additionnels'!$E$7:$E$66,'Vols additionnels'!$C$7:$C$66,"CDGDZA",'Vols additionnels'!$D$7:$D$66,"787",'Vols additionnels'!$B$7:$B$66,"&gt;="&amp;$J$84,'Vols additionnels'!$B$7:$B$66,"&lt;="&amp;$K$84)+SUMIFS('Vols additionnels'!$E$7:$E$66,'Vols additionnels'!$C$7:$C$66,"CDGDZA",'Vols additionnels'!$D$7:$D$66,"787",'Vols additionnels'!$I$7:$I$66,"&gt;="&amp;$J$84,'Vols additionnels'!$I$7:$I$66,"&lt;="&amp;$K$84)-E140+D140)/2</f>
        <v>9</v>
      </c>
      <c r="F179" s="129" t="n">
        <f aca="false">F101+(SUMIFS('Vols additionnels'!$E$7:$E$66,'Vols additionnels'!$C$7:$C$66,"CDGDZA",'Vols additionnels'!$D$7:$D$66,"787",'Vols additionnels'!$B$7:$B$66,"&gt;="&amp;$J$85,'Vols additionnels'!$B$7:$B$66,"&lt;="&amp;$K$85)+SUMIFS('Vols additionnels'!$E$7:$E$66,'Vols additionnels'!$C$7:$C$66,"CDGDZA",'Vols additionnels'!$D$7:$D$66,"787",'Vols additionnels'!$I$7:$I$66,"&gt;="&amp;$J$85,'Vols additionnels'!$I$7:$I$66,"&lt;="&amp;$K$85)-F140+E140)/2</f>
        <v>9</v>
      </c>
      <c r="G179" s="129" t="n">
        <f aca="false">G101+(SUMIFS('Vols additionnels'!$E$7:$E$66,'Vols additionnels'!$C$7:$C$66,"CDGDZA",'Vols additionnels'!$D$7:$D$66,"787",'Vols additionnels'!$B$7:$B$66,"&gt;="&amp;$J$86,'Vols additionnels'!$B$7:$B$66,"&lt;="&amp;$K$86)+SUMIFS('Vols additionnels'!$E$7:$E$66,'Vols additionnels'!$C$7:$C$66,"CDGDZA",'Vols additionnels'!$D$7:$D$66,"787",'Vols additionnels'!$I$7:$I$66,"&gt;="&amp;$J$86,'Vols additionnels'!$I$7:$I$66,"&lt;="&amp;$K$86)-G140+F140)/2</f>
        <v>8.5</v>
      </c>
      <c r="H179" s="129" t="n">
        <f aca="false">H101+(SUMIFS('Vols additionnels'!$E$7:$E$66,'Vols additionnels'!$C$7:$C$66,"CDGDZA",'Vols additionnels'!$D$7:$D$66,"787",'Vols additionnels'!$B$7:$B$66,"&gt;="&amp;$J$87,'Vols additionnels'!$B$7:$B$66,"&lt;="&amp;$K$87)+SUMIFS('Vols additionnels'!$E$7:$E$66,'Vols additionnels'!$C$7:$C$66,"CDGDZA",'Vols additionnels'!$D$7:$D$66,"787",'Vols additionnels'!$I$7:$I$66,"&gt;="&amp;$J$87,'Vols additionnels'!$I$7:$I$66,"&lt;="&amp;$K$87)-H140+G140)/2</f>
        <v>8.5</v>
      </c>
      <c r="I179" s="129" t="n">
        <f aca="false">I101+(SUMIFS('Vols additionnels'!$E$7:$E$66,'Vols additionnels'!$C$7:$C$66,"CDGDZA",'Vols additionnels'!$D$7:$D$66,"787",'Vols additionnels'!$B$7:$B$66,"&gt;="&amp;$J$88,'Vols additionnels'!$B$7:$B$66,"&lt;="&amp;$K$88)+SUMIFS('Vols additionnels'!$E$7:$E$66,'Vols additionnels'!$C$7:$C$66,"CDGDZA",'Vols additionnels'!$D$7:$D$66,"787",'Vols additionnels'!$I$7:$I$66,"&gt;="&amp;$J$88,'Vols additionnels'!$I$7:$I$66,"&lt;="&amp;$K$88)-I140+H140)/2</f>
        <v>9</v>
      </c>
      <c r="J179" s="129" t="n">
        <f aca="false">J101+(SUMIFS('Vols additionnels'!$E$7:$E$66,'Vols additionnels'!$C$7:$C$66,"CDGDZA",'Vols additionnels'!$D$7:$D$66,"787",'Vols additionnels'!$B$7:$B$66,"&gt;="&amp;$J$89,'Vols additionnels'!$B$7:$B$66,"&lt;="&amp;$K$89)+SUMIFS('Vols additionnels'!$E$7:$E$66,'Vols additionnels'!$C$7:$C$66,"CDGDZA",'Vols additionnels'!$D$7:$D$66,"787",'Vols additionnels'!$I$7:$I$66,"&gt;="&amp;$J$89,'Vols additionnels'!$I$7:$I$66,"&lt;="&amp;$K$89)-J140+I140)/2</f>
        <v>8.5</v>
      </c>
      <c r="K179" s="129" t="n">
        <f aca="false">K101+(SUMIFS('Vols additionnels'!$E$7:$E$66,'Vols additionnels'!$C$7:$C$66,"CDGDZA",'Vols additionnels'!$D$7:$D$66,"787",'Vols additionnels'!$B$7:$B$66,"&gt;="&amp;$J$90,'Vols additionnels'!$B$7:$B$66,"&lt;="&amp;$K$90)+SUMIFS('Vols additionnels'!$E$7:$E$66,'Vols additionnels'!$C$7:$C$66,"CDGDZA",'Vols additionnels'!$D$7:$D$66,"787",'Vols additionnels'!$I$7:$I$66,"&gt;="&amp;$J$90,'Vols additionnels'!$I$7:$I$66,"&lt;="&amp;$K$90)-K140+J140)/2</f>
        <v>9</v>
      </c>
      <c r="L179" s="129" t="n">
        <f aca="false">L101+(SUMIFS('Vols additionnels'!$E$7:$E$66,'Vols additionnels'!$C$7:$C$66,"CDGDZA",'Vols additionnels'!$D$7:$D$66,"787",'Vols additionnels'!$B$7:$B$66,"&gt;="&amp;$J$91,'Vols additionnels'!$B$7:$B$66,"&lt;="&amp;$K$91)+SUMIFS('Vols additionnels'!$E$7:$E$66,'Vols additionnels'!$C$7:$C$66,"CDGDZA",'Vols additionnels'!$D$7:$D$66,"787",'Vols additionnels'!$I$7:$I$66,"&gt;="&amp;$J$91,'Vols additionnels'!$I$7:$I$66,"&lt;="&amp;$K$91)-L140+K140)/2</f>
        <v>8.5</v>
      </c>
      <c r="M179" s="129" t="n">
        <f aca="false">M101+(SUMIFS('Vols additionnels'!$E$7:$E$66,'Vols additionnels'!$C$7:$C$66,"CDGDZA",'Vols additionnels'!$D$7:$D$66,"787",'Vols additionnels'!$B$7:$B$66,"&gt;="&amp;$J$92,'Vols additionnels'!$B$7:$B$66,"&lt;="&amp;$K$92)+SUMIFS('Vols additionnels'!$E$7:$E$66,'Vols additionnels'!$C$7:$C$66,"CDGDZA",'Vols additionnels'!$D$7:$D$66,"787",'Vols additionnels'!$I$7:$I$66,"&gt;="&amp;$J$92,'Vols additionnels'!$I$7:$I$66,"&lt;="&amp;$K$92)-M140+L140)/2</f>
        <v>8.5</v>
      </c>
      <c r="N179" s="129" t="n">
        <f aca="false">N101+(SUMIFS('Vols additionnels'!$E$7:$E$66,'Vols additionnels'!$C$7:$C$66,"CDGDZA",'Vols additionnels'!$D$7:$D$66,"787",'Vols additionnels'!$B$7:$B$66,"&gt;="&amp;$J$93,'Vols additionnels'!$B$7:$B$66,"&lt;="&amp;$K$93)+SUMIFS('Vols additionnels'!$E$7:$E$66,'Vols additionnels'!$C$7:$C$66,"CDGDZA",'Vols additionnels'!$D$7:$D$66,"787",'Vols additionnels'!$I$7:$I$66,"&gt;="&amp;$J$93,'Vols additionnels'!$I$7:$I$66,"&lt;="&amp;$K$93)-N140+M140)/2</f>
        <v>9</v>
      </c>
      <c r="O179" s="12" t="s">
        <v>20</v>
      </c>
      <c r="P179" s="12" t="s">
        <v>19</v>
      </c>
    </row>
    <row r="180" customFormat="false" ht="15" hidden="false" customHeight="false" outlineLevel="0" collapsed="false">
      <c r="B180" s="10" t="s">
        <v>142</v>
      </c>
      <c r="C180" s="129" t="n">
        <f aca="false">C102+(SUMIFS('Vols additionnels'!$E$7:$E$66,'Vols additionnels'!$C$7:$C$66,"CDGDZA",'Vols additionnels'!$D$7:$D$66,"A320",'Vols additionnels'!$B$7:$B$66,"&gt;="&amp;$J$82,'Vols additionnels'!$B$7:$B$66,"&lt;="&amp;$K$82)+SUMIFS('Vols additionnels'!$E$7:$E$66,'Vols additionnels'!$C$7:$C$66,"CDGDZA",'Vols additionnels'!$D$7:$D$66,"A320",'Vols additionnels'!$I$7:$I$66,"&gt;="&amp;$J$82,'Vols additionnels'!$I$7:$I$66,"&lt;="&amp;$K$82)-C141+0)/2</f>
        <v>0</v>
      </c>
      <c r="D180" s="129" t="n">
        <f aca="false">D102+(SUMIFS('Vols additionnels'!$E$7:$E$66,'Vols additionnels'!$C$7:$C$66,"CDGDZA",'Vols additionnels'!$D$7:$D$66,"A320",'Vols additionnels'!$B$7:$B$66,"&gt;="&amp;$J$83,'Vols additionnels'!$B$7:$B$66,"&lt;="&amp;$K$83)+SUMIFS('Vols additionnels'!$E$7:$E$66,'Vols additionnels'!$C$7:$C$66,"CDGDZA",'Vols additionnels'!$D$7:$D$66,"A320",'Vols additionnels'!$I$7:$I$66,"&gt;="&amp;$J$83,'Vols additionnels'!$I$7:$I$66,"&lt;="&amp;$K$83)-D141+C141)/2</f>
        <v>0</v>
      </c>
      <c r="E180" s="129" t="n">
        <f aca="false">E102+(SUMIFS('Vols additionnels'!$E$7:$E$66,'Vols additionnels'!$C$7:$C$66,"CDGDZA",'Vols additionnels'!$D$7:$D$66,"A320",'Vols additionnels'!$B$7:$B$66,"&gt;="&amp;$J$84,'Vols additionnels'!$B$7:$B$66,"&lt;="&amp;$K$84)+SUMIFS('Vols additionnels'!$E$7:$E$66,'Vols additionnels'!$C$7:$C$66,"CDGDZA",'Vols additionnels'!$D$7:$D$66,"A320",'Vols additionnels'!$I$7:$I$66,"&gt;="&amp;$J$84,'Vols additionnels'!$I$7:$I$66,"&lt;="&amp;$K$84)-E141+D141)/2</f>
        <v>0</v>
      </c>
      <c r="F180" s="129" t="n">
        <f aca="false">F102+(SUMIFS('Vols additionnels'!$E$7:$E$66,'Vols additionnels'!$C$7:$C$66,"CDGDZA",'Vols additionnels'!$D$7:$D$66,"A320",'Vols additionnels'!$B$7:$B$66,"&gt;="&amp;$J$85,'Vols additionnels'!$B$7:$B$66,"&lt;="&amp;$K$85)+SUMIFS('Vols additionnels'!$E$7:$E$66,'Vols additionnels'!$C$7:$C$66,"CDGDZA",'Vols additionnels'!$D$7:$D$66,"A320",'Vols additionnels'!$I$7:$I$66,"&gt;="&amp;$J$85,'Vols additionnels'!$I$7:$I$66,"&lt;="&amp;$K$85)-F141+E141)/2</f>
        <v>0</v>
      </c>
      <c r="G180" s="129" t="n">
        <f aca="false">G102+(SUMIFS('Vols additionnels'!$E$7:$E$66,'Vols additionnels'!$C$7:$C$66,"CDGDZA",'Vols additionnels'!$D$7:$D$66,"A320",'Vols additionnels'!$B$7:$B$66,"&gt;="&amp;$J$86,'Vols additionnels'!$B$7:$B$66,"&lt;="&amp;$K$86)+SUMIFS('Vols additionnels'!$E$7:$E$66,'Vols additionnels'!$C$7:$C$66,"CDGDZA",'Vols additionnels'!$D$7:$D$66,"A320",'Vols additionnels'!$I$7:$I$66,"&gt;="&amp;$J$86,'Vols additionnels'!$I$7:$I$66,"&lt;="&amp;$K$86)-G141+F141)/2</f>
        <v>0</v>
      </c>
      <c r="H180" s="129" t="n">
        <f aca="false">H102+(SUMIFS('Vols additionnels'!$E$7:$E$66,'Vols additionnels'!$C$7:$C$66,"CDGDZA",'Vols additionnels'!$D$7:$D$66,"A320",'Vols additionnels'!$B$7:$B$66,"&gt;="&amp;$J$87,'Vols additionnels'!$B$7:$B$66,"&lt;="&amp;$K$87)+SUMIFS('Vols additionnels'!$E$7:$E$66,'Vols additionnels'!$C$7:$C$66,"CDGDZA",'Vols additionnels'!$D$7:$D$66,"A320",'Vols additionnels'!$I$7:$I$66,"&gt;="&amp;$J$87,'Vols additionnels'!$I$7:$I$66,"&lt;="&amp;$K$87)-H141+G141)/2</f>
        <v>0</v>
      </c>
      <c r="I180" s="129" t="n">
        <f aca="false">I102+(SUMIFS('Vols additionnels'!$E$7:$E$66,'Vols additionnels'!$C$7:$C$66,"CDGDZA",'Vols additionnels'!$D$7:$D$66,"A320",'Vols additionnels'!$B$7:$B$66,"&gt;="&amp;$J$88,'Vols additionnels'!$B$7:$B$66,"&lt;="&amp;$K$88)+SUMIFS('Vols additionnels'!$E$7:$E$66,'Vols additionnels'!$C$7:$C$66,"CDGDZA",'Vols additionnels'!$D$7:$D$66,"A320",'Vols additionnels'!$I$7:$I$66,"&gt;="&amp;$J$88,'Vols additionnels'!$I$7:$I$66,"&lt;="&amp;$K$88)-I141+H141)/2</f>
        <v>0</v>
      </c>
      <c r="J180" s="129" t="n">
        <f aca="false">J102+(SUMIFS('Vols additionnels'!$E$7:$E$66,'Vols additionnels'!$C$7:$C$66,"CDGDZA",'Vols additionnels'!$D$7:$D$66,"A320",'Vols additionnels'!$B$7:$B$66,"&gt;="&amp;$J$89,'Vols additionnels'!$B$7:$B$66,"&lt;="&amp;$K$89)+SUMIFS('Vols additionnels'!$E$7:$E$66,'Vols additionnels'!$C$7:$C$66,"CDGDZA",'Vols additionnels'!$D$7:$D$66,"A320",'Vols additionnels'!$I$7:$I$66,"&gt;="&amp;$J$89,'Vols additionnels'!$I$7:$I$66,"&lt;="&amp;$K$89)-J141+I141)/2</f>
        <v>0</v>
      </c>
      <c r="K180" s="129" t="n">
        <f aca="false">K102+(SUMIFS('Vols additionnels'!$E$7:$E$66,'Vols additionnels'!$C$7:$C$66,"CDGDZA",'Vols additionnels'!$D$7:$D$66,"A320",'Vols additionnels'!$B$7:$B$66,"&gt;="&amp;$J$90,'Vols additionnels'!$B$7:$B$66,"&lt;="&amp;$K$90)+SUMIFS('Vols additionnels'!$E$7:$E$66,'Vols additionnels'!$C$7:$C$66,"CDGDZA",'Vols additionnels'!$D$7:$D$66,"A320",'Vols additionnels'!$I$7:$I$66,"&gt;="&amp;$J$90,'Vols additionnels'!$I$7:$I$66,"&lt;="&amp;$K$90)-K141+J141)/2</f>
        <v>0</v>
      </c>
      <c r="L180" s="129" t="n">
        <f aca="false">L102+(SUMIFS('Vols additionnels'!$E$7:$E$66,'Vols additionnels'!$C$7:$C$66,"CDGDZA",'Vols additionnels'!$D$7:$D$66,"A320",'Vols additionnels'!$B$7:$B$66,"&gt;="&amp;$J$91,'Vols additionnels'!$B$7:$B$66,"&lt;="&amp;$K$91)+SUMIFS('Vols additionnels'!$E$7:$E$66,'Vols additionnels'!$C$7:$C$66,"CDGDZA",'Vols additionnels'!$D$7:$D$66,"A320",'Vols additionnels'!$I$7:$I$66,"&gt;="&amp;$J$91,'Vols additionnels'!$I$7:$I$66,"&lt;="&amp;$K$91)-L141+K141)/2</f>
        <v>0</v>
      </c>
      <c r="M180" s="129" t="n">
        <f aca="false">M102+(SUMIFS('Vols additionnels'!$E$7:$E$66,'Vols additionnels'!$C$7:$C$66,"CDGDZA",'Vols additionnels'!$D$7:$D$66,"A320",'Vols additionnels'!$B$7:$B$66,"&gt;="&amp;$J$92,'Vols additionnels'!$B$7:$B$66,"&lt;="&amp;$K$92)+SUMIFS('Vols additionnels'!$E$7:$E$66,'Vols additionnels'!$C$7:$C$66,"CDGDZA",'Vols additionnels'!$D$7:$D$66,"A320",'Vols additionnels'!$I$7:$I$66,"&gt;="&amp;$J$92,'Vols additionnels'!$I$7:$I$66,"&lt;="&amp;$K$92)-M141+L141)/2</f>
        <v>0</v>
      </c>
      <c r="N180" s="129" t="n">
        <f aca="false">N102+(SUMIFS('Vols additionnels'!$E$7:$E$66,'Vols additionnels'!$C$7:$C$66,"CDGDZA",'Vols additionnels'!$D$7:$D$66,"A320",'Vols additionnels'!$B$7:$B$66,"&gt;="&amp;$J$93,'Vols additionnels'!$B$7:$B$66,"&lt;="&amp;$K$93)+SUMIFS('Vols additionnels'!$E$7:$E$66,'Vols additionnels'!$C$7:$C$66,"CDGDZA",'Vols additionnels'!$D$7:$D$66,"A320",'Vols additionnels'!$I$7:$I$66,"&gt;="&amp;$J$93,'Vols additionnels'!$I$7:$I$66,"&lt;="&amp;$K$93)-N141+M141)/2</f>
        <v>0</v>
      </c>
      <c r="O180" s="12" t="s">
        <v>20</v>
      </c>
      <c r="P180" s="12" t="s">
        <v>24</v>
      </c>
    </row>
    <row r="181" customFormat="false" ht="15" hidden="false" customHeight="false" outlineLevel="0" collapsed="false">
      <c r="B181" s="10" t="s">
        <v>143</v>
      </c>
      <c r="C181" s="129" t="n">
        <f aca="false">C103+(SUMIFS('Vols additionnels'!$E$7:$E$66,'Vols additionnels'!$C$7:$C$66,"BKKRUN",'Vols additionnels'!$D$7:$D$66,"77W",'Vols additionnels'!$B$7:$B$66,"&gt;="&amp;$J$82,'Vols additionnels'!$B$7:$B$66,"&lt;="&amp;$K$82)+SUMIFS('Vols additionnels'!$E$7:$E$66,'Vols additionnels'!$C$7:$C$66,"BKKRUN",'Vols additionnels'!$D$7:$D$66,"77W",'Vols additionnels'!$I$7:$I$66,"&gt;="&amp;$J$82,'Vols additionnels'!$I$7:$I$66,"&lt;="&amp;$K$82)-C142+0)/2</f>
        <v>0</v>
      </c>
      <c r="D181" s="129" t="n">
        <f aca="false">D103+(SUMIFS('Vols additionnels'!$E$7:$E$66,'Vols additionnels'!$C$7:$C$66,"BKKRUN",'Vols additionnels'!$D$7:$D$66,"77W",'Vols additionnels'!$B$7:$B$66,"&gt;="&amp;$J$83,'Vols additionnels'!$B$7:$B$66,"&lt;="&amp;$K$83)+SUMIFS('Vols additionnels'!$E$7:$E$66,'Vols additionnels'!$C$7:$C$66,"BKKRUN",'Vols additionnels'!$D$7:$D$66,"77W",'Vols additionnels'!$I$7:$I$66,"&gt;="&amp;$J$83,'Vols additionnels'!$I$7:$I$66,"&lt;="&amp;$K$83)-D142+C142)/2</f>
        <v>0</v>
      </c>
      <c r="E181" s="129" t="n">
        <f aca="false">E103+(SUMIFS('Vols additionnels'!$E$7:$E$66,'Vols additionnels'!$C$7:$C$66,"BKKRUN",'Vols additionnels'!$D$7:$D$66,"77W",'Vols additionnels'!$B$7:$B$66,"&gt;="&amp;$J$84,'Vols additionnels'!$B$7:$B$66,"&lt;="&amp;$K$84)+SUMIFS('Vols additionnels'!$E$7:$E$66,'Vols additionnels'!$C$7:$C$66,"BKKRUN",'Vols additionnels'!$D$7:$D$66,"77W",'Vols additionnels'!$I$7:$I$66,"&gt;="&amp;$J$84,'Vols additionnels'!$I$7:$I$66,"&lt;="&amp;$K$84)-E142+D142)/2</f>
        <v>0</v>
      </c>
      <c r="F181" s="129" t="n">
        <f aca="false">F103+(SUMIFS('Vols additionnels'!$E$7:$E$66,'Vols additionnels'!$C$7:$C$66,"BKKRUN",'Vols additionnels'!$D$7:$D$66,"77W",'Vols additionnels'!$B$7:$B$66,"&gt;="&amp;$J$85,'Vols additionnels'!$B$7:$B$66,"&lt;="&amp;$K$85)+SUMIFS('Vols additionnels'!$E$7:$E$66,'Vols additionnels'!$C$7:$C$66,"BKKRUN",'Vols additionnels'!$D$7:$D$66,"77W",'Vols additionnels'!$I$7:$I$66,"&gt;="&amp;$J$85,'Vols additionnels'!$I$7:$I$66,"&lt;="&amp;$K$85)-F142+E142)/2</f>
        <v>0</v>
      </c>
      <c r="G181" s="129" t="n">
        <f aca="false">G103+(SUMIFS('Vols additionnels'!$E$7:$E$66,'Vols additionnels'!$C$7:$C$66,"BKKRUN",'Vols additionnels'!$D$7:$D$66,"77W",'Vols additionnels'!$B$7:$B$66,"&gt;="&amp;$J$86,'Vols additionnels'!$B$7:$B$66,"&lt;="&amp;$K$86)+SUMIFS('Vols additionnels'!$E$7:$E$66,'Vols additionnels'!$C$7:$C$66,"BKKRUN",'Vols additionnels'!$D$7:$D$66,"77W",'Vols additionnels'!$I$7:$I$66,"&gt;="&amp;$J$86,'Vols additionnels'!$I$7:$I$66,"&lt;="&amp;$K$86)-G142+F142)/2</f>
        <v>0</v>
      </c>
      <c r="H181" s="129" t="n">
        <f aca="false">H103+(SUMIFS('Vols additionnels'!$E$7:$E$66,'Vols additionnels'!$C$7:$C$66,"BKKRUN",'Vols additionnels'!$D$7:$D$66,"77W",'Vols additionnels'!$B$7:$B$66,"&gt;="&amp;$J$87,'Vols additionnels'!$B$7:$B$66,"&lt;="&amp;$K$87)+SUMIFS('Vols additionnels'!$E$7:$E$66,'Vols additionnels'!$C$7:$C$66,"BKKRUN",'Vols additionnels'!$D$7:$D$66,"77W",'Vols additionnels'!$I$7:$I$66,"&gt;="&amp;$J$87,'Vols additionnels'!$I$7:$I$66,"&lt;="&amp;$K$87)-H142+G142)/2</f>
        <v>0</v>
      </c>
      <c r="I181" s="129" t="n">
        <f aca="false">I103+(SUMIFS('Vols additionnels'!$E$7:$E$66,'Vols additionnels'!$C$7:$C$66,"BKKRUN",'Vols additionnels'!$D$7:$D$66,"77W",'Vols additionnels'!$B$7:$B$66,"&gt;="&amp;$J$88,'Vols additionnels'!$B$7:$B$66,"&lt;="&amp;$K$88)+SUMIFS('Vols additionnels'!$E$7:$E$66,'Vols additionnels'!$C$7:$C$66,"BKKRUN",'Vols additionnels'!$D$7:$D$66,"77W",'Vols additionnels'!$I$7:$I$66,"&gt;="&amp;$J$88,'Vols additionnels'!$I$7:$I$66,"&lt;="&amp;$K$88)-I142+H142)/2</f>
        <v>0</v>
      </c>
      <c r="J181" s="129" t="n">
        <f aca="false">J103+(SUMIFS('Vols additionnels'!$E$7:$E$66,'Vols additionnels'!$C$7:$C$66,"BKKRUN",'Vols additionnels'!$D$7:$D$66,"77W",'Vols additionnels'!$B$7:$B$66,"&gt;="&amp;$J$89,'Vols additionnels'!$B$7:$B$66,"&lt;="&amp;$K$89)+SUMIFS('Vols additionnels'!$E$7:$E$66,'Vols additionnels'!$C$7:$C$66,"BKKRUN",'Vols additionnels'!$D$7:$D$66,"77W",'Vols additionnels'!$I$7:$I$66,"&gt;="&amp;$J$89,'Vols additionnels'!$I$7:$I$66,"&lt;="&amp;$K$89)-J142+I142)/2</f>
        <v>0</v>
      </c>
      <c r="K181" s="129" t="n">
        <f aca="false">K103+(SUMIFS('Vols additionnels'!$E$7:$E$66,'Vols additionnels'!$C$7:$C$66,"BKKRUN",'Vols additionnels'!$D$7:$D$66,"77W",'Vols additionnels'!$B$7:$B$66,"&gt;="&amp;$J$90,'Vols additionnels'!$B$7:$B$66,"&lt;="&amp;$K$90)+SUMIFS('Vols additionnels'!$E$7:$E$66,'Vols additionnels'!$C$7:$C$66,"BKKRUN",'Vols additionnels'!$D$7:$D$66,"77W",'Vols additionnels'!$I$7:$I$66,"&gt;="&amp;$J$90,'Vols additionnels'!$I$7:$I$66,"&lt;="&amp;$K$90)-K142+J142)/2</f>
        <v>0</v>
      </c>
      <c r="L181" s="129" t="n">
        <f aca="false">L103+(SUMIFS('Vols additionnels'!$E$7:$E$66,'Vols additionnels'!$C$7:$C$66,"BKKRUN",'Vols additionnels'!$D$7:$D$66,"77W",'Vols additionnels'!$B$7:$B$66,"&gt;="&amp;$J$91,'Vols additionnels'!$B$7:$B$66,"&lt;="&amp;$K$91)+SUMIFS('Vols additionnels'!$E$7:$E$66,'Vols additionnels'!$C$7:$C$66,"BKKRUN",'Vols additionnels'!$D$7:$D$66,"77W",'Vols additionnels'!$I$7:$I$66,"&gt;="&amp;$J$91,'Vols additionnels'!$I$7:$I$66,"&lt;="&amp;$K$91)-L142+K142)/2</f>
        <v>0</v>
      </c>
      <c r="M181" s="129" t="n">
        <f aca="false">M103+(SUMIFS('Vols additionnels'!$E$7:$E$66,'Vols additionnels'!$C$7:$C$66,"BKKRUN",'Vols additionnels'!$D$7:$D$66,"77W",'Vols additionnels'!$B$7:$B$66,"&gt;="&amp;$J$92,'Vols additionnels'!$B$7:$B$66,"&lt;="&amp;$K$92)+SUMIFS('Vols additionnels'!$E$7:$E$66,'Vols additionnels'!$C$7:$C$66,"BKKRUN",'Vols additionnels'!$D$7:$D$66,"77W",'Vols additionnels'!$I$7:$I$66,"&gt;="&amp;$J$92,'Vols additionnels'!$I$7:$I$66,"&lt;="&amp;$K$92)-M142+L142)/2</f>
        <v>0</v>
      </c>
      <c r="N181" s="129" t="n">
        <f aca="false">N103+(SUMIFS('Vols additionnels'!$E$7:$E$66,'Vols additionnels'!$C$7:$C$66,"BKKRUN",'Vols additionnels'!$D$7:$D$66,"77W",'Vols additionnels'!$B$7:$B$66,"&gt;="&amp;$J$93,'Vols additionnels'!$B$7:$B$66,"&lt;="&amp;$K$93)+SUMIFS('Vols additionnels'!$E$7:$E$66,'Vols additionnels'!$C$7:$C$66,"BKKRUN",'Vols additionnels'!$D$7:$D$66,"77W",'Vols additionnels'!$I$7:$I$66,"&gt;="&amp;$J$93,'Vols additionnels'!$I$7:$I$66,"&lt;="&amp;$K$93)-N142+M142)/2</f>
        <v>0</v>
      </c>
      <c r="O181" s="12" t="s">
        <v>25</v>
      </c>
      <c r="P181" s="12" t="s">
        <v>11</v>
      </c>
    </row>
    <row r="182" customFormat="false" ht="15" hidden="false" customHeight="false" outlineLevel="0" collapsed="false">
      <c r="B182" s="10" t="s">
        <v>144</v>
      </c>
      <c r="C182" s="129" t="n">
        <f aca="false">C104+(SUMIFS('Vols additionnels'!$E$7:$E$66,'Vols additionnels'!$C$7:$C$66,"BKKRUN",'Vols additionnels'!$D$7:$D$66,"787",'Vols additionnels'!$B$7:$B$66,"&gt;="&amp;$J$82,'Vols additionnels'!$B$7:$B$66,"&lt;="&amp;$K$82)+SUMIFS('Vols additionnels'!$E$7:$E$66,'Vols additionnels'!$C$7:$C$66,"BKKRUN",'Vols additionnels'!$D$7:$D$66,"787",'Vols additionnels'!$I$7:$I$66,"&gt;="&amp;$J$82,'Vols additionnels'!$I$7:$I$66,"&lt;="&amp;$K$82)-C143+0)/2</f>
        <v>8</v>
      </c>
      <c r="D182" s="129" t="n">
        <f aca="false">D104+(SUMIFS('Vols additionnels'!$E$7:$E$66,'Vols additionnels'!$C$7:$C$66,"BKKRUN",'Vols additionnels'!$D$7:$D$66,"787",'Vols additionnels'!$B$7:$B$66,"&gt;="&amp;$J$83,'Vols additionnels'!$B$7:$B$66,"&lt;="&amp;$K$83)+SUMIFS('Vols additionnels'!$E$7:$E$66,'Vols additionnels'!$C$7:$C$66,"BKKRUN",'Vols additionnels'!$D$7:$D$66,"787",'Vols additionnels'!$I$7:$I$66,"&gt;="&amp;$J$83,'Vols additionnels'!$I$7:$I$66,"&lt;="&amp;$K$83)-D143+C143)/2</f>
        <v>9</v>
      </c>
      <c r="E182" s="129" t="n">
        <f aca="false">E104+(SUMIFS('Vols additionnels'!$E$7:$E$66,'Vols additionnels'!$C$7:$C$66,"BKKRUN",'Vols additionnels'!$D$7:$D$66,"787",'Vols additionnels'!$B$7:$B$66,"&gt;="&amp;$J$84,'Vols additionnels'!$B$7:$B$66,"&lt;="&amp;$K$84)+SUMIFS('Vols additionnels'!$E$7:$E$66,'Vols additionnels'!$C$7:$C$66,"BKKRUN",'Vols additionnels'!$D$7:$D$66,"787",'Vols additionnels'!$I$7:$I$66,"&gt;="&amp;$J$84,'Vols additionnels'!$I$7:$I$66,"&lt;="&amp;$K$84)-E143+D143)/2</f>
        <v>8.5</v>
      </c>
      <c r="F182" s="129" t="n">
        <f aca="false">F104+(SUMIFS('Vols additionnels'!$E$7:$E$66,'Vols additionnels'!$C$7:$C$66,"BKKRUN",'Vols additionnels'!$D$7:$D$66,"787",'Vols additionnels'!$B$7:$B$66,"&gt;="&amp;$J$85,'Vols additionnels'!$B$7:$B$66,"&lt;="&amp;$K$85)+SUMIFS('Vols additionnels'!$E$7:$E$66,'Vols additionnels'!$C$7:$C$66,"BKKRUN",'Vols additionnels'!$D$7:$D$66,"787",'Vols additionnels'!$I$7:$I$66,"&gt;="&amp;$J$85,'Vols additionnels'!$I$7:$I$66,"&lt;="&amp;$K$85)-F143+E143)/2</f>
        <v>9</v>
      </c>
      <c r="G182" s="129" t="n">
        <f aca="false">G104+(SUMIFS('Vols additionnels'!$E$7:$E$66,'Vols additionnels'!$C$7:$C$66,"BKKRUN",'Vols additionnels'!$D$7:$D$66,"787",'Vols additionnels'!$B$7:$B$66,"&gt;="&amp;$J$86,'Vols additionnels'!$B$7:$B$66,"&lt;="&amp;$K$86)+SUMIFS('Vols additionnels'!$E$7:$E$66,'Vols additionnels'!$C$7:$C$66,"BKKRUN",'Vols additionnels'!$D$7:$D$66,"787",'Vols additionnels'!$I$7:$I$66,"&gt;="&amp;$J$86,'Vols additionnels'!$I$7:$I$66,"&lt;="&amp;$K$86)-G143+F143)/2</f>
        <v>8.5</v>
      </c>
      <c r="H182" s="129" t="n">
        <f aca="false">H104+(SUMIFS('Vols additionnels'!$E$7:$E$66,'Vols additionnels'!$C$7:$C$66,"BKKRUN",'Vols additionnels'!$D$7:$D$66,"787",'Vols additionnels'!$B$7:$B$66,"&gt;="&amp;$J$87,'Vols additionnels'!$B$7:$B$66,"&lt;="&amp;$K$87)+SUMIFS('Vols additionnels'!$E$7:$E$66,'Vols additionnels'!$C$7:$C$66,"BKKRUN",'Vols additionnels'!$D$7:$D$66,"787",'Vols additionnels'!$I$7:$I$66,"&gt;="&amp;$J$87,'Vols additionnels'!$I$7:$I$66,"&lt;="&amp;$K$87)-H143+G143)/2</f>
        <v>9</v>
      </c>
      <c r="I182" s="129" t="n">
        <f aca="false">I104+(SUMIFS('Vols additionnels'!$E$7:$E$66,'Vols additionnels'!$C$7:$C$66,"BKKRUN",'Vols additionnels'!$D$7:$D$66,"787",'Vols additionnels'!$B$7:$B$66,"&gt;="&amp;$J$88,'Vols additionnels'!$B$7:$B$66,"&lt;="&amp;$K$88)+SUMIFS('Vols additionnels'!$E$7:$E$66,'Vols additionnels'!$C$7:$C$66,"BKKRUN",'Vols additionnels'!$D$7:$D$66,"787",'Vols additionnels'!$I$7:$I$66,"&gt;="&amp;$J$88,'Vols additionnels'!$I$7:$I$66,"&lt;="&amp;$K$88)-I143+H143)/2</f>
        <v>9</v>
      </c>
      <c r="J182" s="129" t="n">
        <f aca="false">J104+(SUMIFS('Vols additionnels'!$E$7:$E$66,'Vols additionnels'!$C$7:$C$66,"BKKRUN",'Vols additionnels'!$D$7:$D$66,"787",'Vols additionnels'!$B$7:$B$66,"&gt;="&amp;$J$89,'Vols additionnels'!$B$7:$B$66,"&lt;="&amp;$K$89)+SUMIFS('Vols additionnels'!$E$7:$E$66,'Vols additionnels'!$C$7:$C$66,"BKKRUN",'Vols additionnels'!$D$7:$D$66,"787",'Vols additionnels'!$I$7:$I$66,"&gt;="&amp;$J$89,'Vols additionnels'!$I$7:$I$66,"&lt;="&amp;$K$89)-J143+I143)/2</f>
        <v>8</v>
      </c>
      <c r="K182" s="129" t="n">
        <f aca="false">K104+(SUMIFS('Vols additionnels'!$E$7:$E$66,'Vols additionnels'!$C$7:$C$66,"BKKRUN",'Vols additionnels'!$D$7:$D$66,"787",'Vols additionnels'!$B$7:$B$66,"&gt;="&amp;$J$90,'Vols additionnels'!$B$7:$B$66,"&lt;="&amp;$K$90)+SUMIFS('Vols additionnels'!$E$7:$E$66,'Vols additionnels'!$C$7:$C$66,"BKKRUN",'Vols additionnels'!$D$7:$D$66,"787",'Vols additionnels'!$I$7:$I$66,"&gt;="&amp;$J$90,'Vols additionnels'!$I$7:$I$66,"&lt;="&amp;$K$90)-K143+J143)/2</f>
        <v>9</v>
      </c>
      <c r="L182" s="129" t="n">
        <f aca="false">L104+(SUMIFS('Vols additionnels'!$E$7:$E$66,'Vols additionnels'!$C$7:$C$66,"BKKRUN",'Vols additionnels'!$D$7:$D$66,"787",'Vols additionnels'!$B$7:$B$66,"&gt;="&amp;$J$91,'Vols additionnels'!$B$7:$B$66,"&lt;="&amp;$K$91)+SUMIFS('Vols additionnels'!$E$7:$E$66,'Vols additionnels'!$C$7:$C$66,"BKKRUN",'Vols additionnels'!$D$7:$D$66,"787",'Vols additionnels'!$I$7:$I$66,"&gt;="&amp;$J$91,'Vols additionnels'!$I$7:$I$66,"&lt;="&amp;$K$91)-L143+K143)/2</f>
        <v>9</v>
      </c>
      <c r="M182" s="129" t="n">
        <f aca="false">M104+(SUMIFS('Vols additionnels'!$E$7:$E$66,'Vols additionnels'!$C$7:$C$66,"BKKRUN",'Vols additionnels'!$D$7:$D$66,"787",'Vols additionnels'!$B$7:$B$66,"&gt;="&amp;$J$92,'Vols additionnels'!$B$7:$B$66,"&lt;="&amp;$K$92)+SUMIFS('Vols additionnels'!$E$7:$E$66,'Vols additionnels'!$C$7:$C$66,"BKKRUN",'Vols additionnels'!$D$7:$D$66,"787",'Vols additionnels'!$I$7:$I$66,"&gt;="&amp;$J$92,'Vols additionnels'!$I$7:$I$66,"&lt;="&amp;$K$92)-M143+L143)/2</f>
        <v>8</v>
      </c>
      <c r="N182" s="129" t="n">
        <f aca="false">N104+(SUMIFS('Vols additionnels'!$E$7:$E$66,'Vols additionnels'!$C$7:$C$66,"BKKRUN",'Vols additionnels'!$D$7:$D$66,"787",'Vols additionnels'!$B$7:$B$66,"&gt;="&amp;$J$93,'Vols additionnels'!$B$7:$B$66,"&lt;="&amp;$K$93)+SUMIFS('Vols additionnels'!$E$7:$E$66,'Vols additionnels'!$C$7:$C$66,"BKKRUN",'Vols additionnels'!$D$7:$D$66,"787",'Vols additionnels'!$I$7:$I$66,"&gt;="&amp;$J$93,'Vols additionnels'!$I$7:$I$66,"&lt;="&amp;$K$93)-N143+M143)/2</f>
        <v>9</v>
      </c>
      <c r="O182" s="12" t="s">
        <v>25</v>
      </c>
      <c r="P182" s="12" t="s">
        <v>19</v>
      </c>
    </row>
    <row r="183" customFormat="false" ht="15" hidden="false" customHeight="false" outlineLevel="0" collapsed="false">
      <c r="B183" s="10" t="s">
        <v>145</v>
      </c>
      <c r="C183" s="129" t="n">
        <f aca="false">C105+(SUMIFS('Vols additionnels'!$E$7:$E$66,'Vols additionnels'!$C$7:$C$66,"BKKRUN",'Vols additionnels'!$D$7:$D$66,"A320",'Vols additionnels'!$B$7:$B$66,"&gt;="&amp;$J$82,'Vols additionnels'!$B$7:$B$66,"&lt;="&amp;$K$82)+SUMIFS('Vols additionnels'!$E$7:$E$66,'Vols additionnels'!$C$7:$C$66,"BKKRUN",'Vols additionnels'!$D$7:$D$66,"A320",'Vols additionnels'!$I$7:$I$66,"&gt;="&amp;$J$82,'Vols additionnels'!$I$7:$I$66,"&lt;="&amp;$K$82)-C144+0)/2</f>
        <v>0</v>
      </c>
      <c r="D183" s="129" t="n">
        <f aca="false">D105+(SUMIFS('Vols additionnels'!$E$7:$E$66,'Vols additionnels'!$C$7:$C$66,"BKKRUN",'Vols additionnels'!$D$7:$D$66,"A320",'Vols additionnels'!$B$7:$B$66,"&gt;="&amp;$J$83,'Vols additionnels'!$B$7:$B$66,"&lt;="&amp;$K$83)+SUMIFS('Vols additionnels'!$E$7:$E$66,'Vols additionnels'!$C$7:$C$66,"BKKRUN",'Vols additionnels'!$D$7:$D$66,"A320",'Vols additionnels'!$I$7:$I$66,"&gt;="&amp;$J$83,'Vols additionnels'!$I$7:$I$66,"&lt;="&amp;$K$83)-D144+C144)/2</f>
        <v>0</v>
      </c>
      <c r="E183" s="129" t="n">
        <f aca="false">E105+(SUMIFS('Vols additionnels'!$E$7:$E$66,'Vols additionnels'!$C$7:$C$66,"BKKRUN",'Vols additionnels'!$D$7:$D$66,"A320",'Vols additionnels'!$B$7:$B$66,"&gt;="&amp;$J$84,'Vols additionnels'!$B$7:$B$66,"&lt;="&amp;$K$84)+SUMIFS('Vols additionnels'!$E$7:$E$66,'Vols additionnels'!$C$7:$C$66,"BKKRUN",'Vols additionnels'!$D$7:$D$66,"A320",'Vols additionnels'!$I$7:$I$66,"&gt;="&amp;$J$84,'Vols additionnels'!$I$7:$I$66,"&lt;="&amp;$K$84)-E144+D144)/2</f>
        <v>0</v>
      </c>
      <c r="F183" s="129" t="n">
        <f aca="false">F105+(SUMIFS('Vols additionnels'!$E$7:$E$66,'Vols additionnels'!$C$7:$C$66,"BKKRUN",'Vols additionnels'!$D$7:$D$66,"A320",'Vols additionnels'!$B$7:$B$66,"&gt;="&amp;$J$85,'Vols additionnels'!$B$7:$B$66,"&lt;="&amp;$K$85)+SUMIFS('Vols additionnels'!$E$7:$E$66,'Vols additionnels'!$C$7:$C$66,"BKKRUN",'Vols additionnels'!$D$7:$D$66,"A320",'Vols additionnels'!$I$7:$I$66,"&gt;="&amp;$J$85,'Vols additionnels'!$I$7:$I$66,"&lt;="&amp;$K$85)-F144+E144)/2</f>
        <v>0</v>
      </c>
      <c r="G183" s="129" t="n">
        <f aca="false">G105+(SUMIFS('Vols additionnels'!$E$7:$E$66,'Vols additionnels'!$C$7:$C$66,"BKKRUN",'Vols additionnels'!$D$7:$D$66,"A320",'Vols additionnels'!$B$7:$B$66,"&gt;="&amp;$J$86,'Vols additionnels'!$B$7:$B$66,"&lt;="&amp;$K$86)+SUMIFS('Vols additionnels'!$E$7:$E$66,'Vols additionnels'!$C$7:$C$66,"BKKRUN",'Vols additionnels'!$D$7:$D$66,"A320",'Vols additionnels'!$I$7:$I$66,"&gt;="&amp;$J$86,'Vols additionnels'!$I$7:$I$66,"&lt;="&amp;$K$86)-G144+F144)/2</f>
        <v>0</v>
      </c>
      <c r="H183" s="129" t="n">
        <f aca="false">H105+(SUMIFS('Vols additionnels'!$E$7:$E$66,'Vols additionnels'!$C$7:$C$66,"BKKRUN",'Vols additionnels'!$D$7:$D$66,"A320",'Vols additionnels'!$B$7:$B$66,"&gt;="&amp;$J$87,'Vols additionnels'!$B$7:$B$66,"&lt;="&amp;$K$87)+SUMIFS('Vols additionnels'!$E$7:$E$66,'Vols additionnels'!$C$7:$C$66,"BKKRUN",'Vols additionnels'!$D$7:$D$66,"A320",'Vols additionnels'!$I$7:$I$66,"&gt;="&amp;$J$87,'Vols additionnels'!$I$7:$I$66,"&lt;="&amp;$K$87)-H144+G144)/2</f>
        <v>0</v>
      </c>
      <c r="I183" s="129" t="n">
        <f aca="false">I105+(SUMIFS('Vols additionnels'!$E$7:$E$66,'Vols additionnels'!$C$7:$C$66,"BKKRUN",'Vols additionnels'!$D$7:$D$66,"A320",'Vols additionnels'!$B$7:$B$66,"&gt;="&amp;$J$88,'Vols additionnels'!$B$7:$B$66,"&lt;="&amp;$K$88)+SUMIFS('Vols additionnels'!$E$7:$E$66,'Vols additionnels'!$C$7:$C$66,"BKKRUN",'Vols additionnels'!$D$7:$D$66,"A320",'Vols additionnels'!$I$7:$I$66,"&gt;="&amp;$J$88,'Vols additionnels'!$I$7:$I$66,"&lt;="&amp;$K$88)-I144+H144)/2</f>
        <v>0</v>
      </c>
      <c r="J183" s="129" t="n">
        <f aca="false">J105+(SUMIFS('Vols additionnels'!$E$7:$E$66,'Vols additionnels'!$C$7:$C$66,"BKKRUN",'Vols additionnels'!$D$7:$D$66,"A320",'Vols additionnels'!$B$7:$B$66,"&gt;="&amp;$J$89,'Vols additionnels'!$B$7:$B$66,"&lt;="&amp;$K$89)+SUMIFS('Vols additionnels'!$E$7:$E$66,'Vols additionnels'!$C$7:$C$66,"BKKRUN",'Vols additionnels'!$D$7:$D$66,"A320",'Vols additionnels'!$I$7:$I$66,"&gt;="&amp;$J$89,'Vols additionnels'!$I$7:$I$66,"&lt;="&amp;$K$89)-J144+I144)/2</f>
        <v>0</v>
      </c>
      <c r="K183" s="129" t="n">
        <f aca="false">K105+(SUMIFS('Vols additionnels'!$E$7:$E$66,'Vols additionnels'!$C$7:$C$66,"BKKRUN",'Vols additionnels'!$D$7:$D$66,"A320",'Vols additionnels'!$B$7:$B$66,"&gt;="&amp;$J$90,'Vols additionnels'!$B$7:$B$66,"&lt;="&amp;$K$90)+SUMIFS('Vols additionnels'!$E$7:$E$66,'Vols additionnels'!$C$7:$C$66,"BKKRUN",'Vols additionnels'!$D$7:$D$66,"A320",'Vols additionnels'!$I$7:$I$66,"&gt;="&amp;$J$90,'Vols additionnels'!$I$7:$I$66,"&lt;="&amp;$K$90)-K144+J144)/2</f>
        <v>0</v>
      </c>
      <c r="L183" s="129" t="n">
        <f aca="false">L105+(SUMIFS('Vols additionnels'!$E$7:$E$66,'Vols additionnels'!$C$7:$C$66,"BKKRUN",'Vols additionnels'!$D$7:$D$66,"A320",'Vols additionnels'!$B$7:$B$66,"&gt;="&amp;$J$91,'Vols additionnels'!$B$7:$B$66,"&lt;="&amp;$K$91)+SUMIFS('Vols additionnels'!$E$7:$E$66,'Vols additionnels'!$C$7:$C$66,"BKKRUN",'Vols additionnels'!$D$7:$D$66,"A320",'Vols additionnels'!$I$7:$I$66,"&gt;="&amp;$J$91,'Vols additionnels'!$I$7:$I$66,"&lt;="&amp;$K$91)-L144+K144)/2</f>
        <v>0</v>
      </c>
      <c r="M183" s="129" t="n">
        <f aca="false">M105+(SUMIFS('Vols additionnels'!$E$7:$E$66,'Vols additionnels'!$C$7:$C$66,"BKKRUN",'Vols additionnels'!$D$7:$D$66,"A320",'Vols additionnels'!$B$7:$B$66,"&gt;="&amp;$J$92,'Vols additionnels'!$B$7:$B$66,"&lt;="&amp;$K$92)+SUMIFS('Vols additionnels'!$E$7:$E$66,'Vols additionnels'!$C$7:$C$66,"BKKRUN",'Vols additionnels'!$D$7:$D$66,"A320",'Vols additionnels'!$I$7:$I$66,"&gt;="&amp;$J$92,'Vols additionnels'!$I$7:$I$66,"&lt;="&amp;$K$92)-M144+L144)/2</f>
        <v>0</v>
      </c>
      <c r="N183" s="129" t="n">
        <f aca="false">N105+(SUMIFS('Vols additionnels'!$E$7:$E$66,'Vols additionnels'!$C$7:$C$66,"BKKRUN",'Vols additionnels'!$D$7:$D$66,"A320",'Vols additionnels'!$B$7:$B$66,"&gt;="&amp;$J$93,'Vols additionnels'!$B$7:$B$66,"&lt;="&amp;$K$93)+SUMIFS('Vols additionnels'!$E$7:$E$66,'Vols additionnels'!$C$7:$C$66,"BKKRUN",'Vols additionnels'!$D$7:$D$66,"A320",'Vols additionnels'!$I$7:$I$66,"&gt;="&amp;$J$93,'Vols additionnels'!$I$7:$I$66,"&lt;="&amp;$K$93)-N144+M144)/2</f>
        <v>0</v>
      </c>
      <c r="O183" s="12" t="s">
        <v>25</v>
      </c>
      <c r="P183" s="12" t="s">
        <v>24</v>
      </c>
    </row>
    <row r="184" customFormat="false" ht="15" hidden="false" customHeight="false" outlineLevel="0" collapsed="false">
      <c r="B184" s="10" t="s">
        <v>146</v>
      </c>
      <c r="C184" s="129" t="n">
        <f aca="false">C106+(SUMIFS('Vols additionnels'!$E$7:$E$66,'Vols additionnels'!$C$7:$C$66,"DZARUN",'Vols additionnels'!$D$7:$D$66,"77W",'Vols additionnels'!$B$7:$B$66,"&gt;="&amp;$J$82,'Vols additionnels'!$B$7:$B$66,"&lt;="&amp;$K$82)+SUMIFS('Vols additionnels'!$E$7:$E$66,'Vols additionnels'!$C$7:$C$66,"DZARUN",'Vols additionnels'!$D$7:$D$66,"77W",'Vols additionnels'!$I$7:$I$66,"&gt;="&amp;$J$82,'Vols additionnels'!$I$7:$I$66,"&lt;="&amp;$K$82)-C145+0)/2</f>
        <v>0</v>
      </c>
      <c r="D184" s="129" t="n">
        <f aca="false">D106+(SUMIFS('Vols additionnels'!$E$7:$E$66,'Vols additionnels'!$C$7:$C$66,"DZARUN",'Vols additionnels'!$D$7:$D$66,"77W",'Vols additionnels'!$B$7:$B$66,"&gt;="&amp;$J$83,'Vols additionnels'!$B$7:$B$66,"&lt;="&amp;$K$83)+SUMIFS('Vols additionnels'!$E$7:$E$66,'Vols additionnels'!$C$7:$C$66,"DZARUN",'Vols additionnels'!$D$7:$D$66,"77W",'Vols additionnels'!$I$7:$I$66,"&gt;="&amp;$J$83,'Vols additionnels'!$I$7:$I$66,"&lt;="&amp;$K$83)-D145+C145)/2</f>
        <v>0</v>
      </c>
      <c r="E184" s="129" t="n">
        <f aca="false">E106+(SUMIFS('Vols additionnels'!$E$7:$E$66,'Vols additionnels'!$C$7:$C$66,"DZARUN",'Vols additionnels'!$D$7:$D$66,"77W",'Vols additionnels'!$B$7:$B$66,"&gt;="&amp;$J$84,'Vols additionnels'!$B$7:$B$66,"&lt;="&amp;$K$84)+SUMIFS('Vols additionnels'!$E$7:$E$66,'Vols additionnels'!$C$7:$C$66,"DZARUN",'Vols additionnels'!$D$7:$D$66,"77W",'Vols additionnels'!$I$7:$I$66,"&gt;="&amp;$J$84,'Vols additionnels'!$I$7:$I$66,"&lt;="&amp;$K$84)-E145+D145)/2</f>
        <v>0</v>
      </c>
      <c r="F184" s="129" t="n">
        <f aca="false">F106+(SUMIFS('Vols additionnels'!$E$7:$E$66,'Vols additionnels'!$C$7:$C$66,"DZARUN",'Vols additionnels'!$D$7:$D$66,"77W",'Vols additionnels'!$B$7:$B$66,"&gt;="&amp;$J$85,'Vols additionnels'!$B$7:$B$66,"&lt;="&amp;$K$85)+SUMIFS('Vols additionnels'!$E$7:$E$66,'Vols additionnels'!$C$7:$C$66,"DZARUN",'Vols additionnels'!$D$7:$D$66,"77W",'Vols additionnels'!$I$7:$I$66,"&gt;="&amp;$J$85,'Vols additionnels'!$I$7:$I$66,"&lt;="&amp;$K$85)-F145+E145)/2</f>
        <v>0</v>
      </c>
      <c r="G184" s="129" t="n">
        <f aca="false">G106+(SUMIFS('Vols additionnels'!$E$7:$E$66,'Vols additionnels'!$C$7:$C$66,"DZARUN",'Vols additionnels'!$D$7:$D$66,"77W",'Vols additionnels'!$B$7:$B$66,"&gt;="&amp;$J$86,'Vols additionnels'!$B$7:$B$66,"&lt;="&amp;$K$86)+SUMIFS('Vols additionnels'!$E$7:$E$66,'Vols additionnels'!$C$7:$C$66,"DZARUN",'Vols additionnels'!$D$7:$D$66,"77W",'Vols additionnels'!$I$7:$I$66,"&gt;="&amp;$J$86,'Vols additionnels'!$I$7:$I$66,"&lt;="&amp;$K$86)-G145+F145)/2</f>
        <v>0</v>
      </c>
      <c r="H184" s="129" t="n">
        <f aca="false">H106+(SUMIFS('Vols additionnels'!$E$7:$E$66,'Vols additionnels'!$C$7:$C$66,"DZARUN",'Vols additionnels'!$D$7:$D$66,"77W",'Vols additionnels'!$B$7:$B$66,"&gt;="&amp;$J$87,'Vols additionnels'!$B$7:$B$66,"&lt;="&amp;$K$87)+SUMIFS('Vols additionnels'!$E$7:$E$66,'Vols additionnels'!$C$7:$C$66,"DZARUN",'Vols additionnels'!$D$7:$D$66,"77W",'Vols additionnels'!$I$7:$I$66,"&gt;="&amp;$J$87,'Vols additionnels'!$I$7:$I$66,"&lt;="&amp;$K$87)-H145+G145)/2</f>
        <v>0</v>
      </c>
      <c r="I184" s="129" t="n">
        <f aca="false">I106+(SUMIFS('Vols additionnels'!$E$7:$E$66,'Vols additionnels'!$C$7:$C$66,"DZARUN",'Vols additionnels'!$D$7:$D$66,"77W",'Vols additionnels'!$B$7:$B$66,"&gt;="&amp;$J$88,'Vols additionnels'!$B$7:$B$66,"&lt;="&amp;$K$88)+SUMIFS('Vols additionnels'!$E$7:$E$66,'Vols additionnels'!$C$7:$C$66,"DZARUN",'Vols additionnels'!$D$7:$D$66,"77W",'Vols additionnels'!$I$7:$I$66,"&gt;="&amp;$J$88,'Vols additionnels'!$I$7:$I$66,"&lt;="&amp;$K$88)-I145+H145)/2</f>
        <v>0</v>
      </c>
      <c r="J184" s="129" t="n">
        <f aca="false">J106+(SUMIFS('Vols additionnels'!$E$7:$E$66,'Vols additionnels'!$C$7:$C$66,"DZARUN",'Vols additionnels'!$D$7:$D$66,"77W",'Vols additionnels'!$B$7:$B$66,"&gt;="&amp;$J$89,'Vols additionnels'!$B$7:$B$66,"&lt;="&amp;$K$89)+SUMIFS('Vols additionnels'!$E$7:$E$66,'Vols additionnels'!$C$7:$C$66,"DZARUN",'Vols additionnels'!$D$7:$D$66,"77W",'Vols additionnels'!$I$7:$I$66,"&gt;="&amp;$J$89,'Vols additionnels'!$I$7:$I$66,"&lt;="&amp;$K$89)-J145+I145)/2</f>
        <v>0</v>
      </c>
      <c r="K184" s="129" t="n">
        <f aca="false">K106+(SUMIFS('Vols additionnels'!$E$7:$E$66,'Vols additionnels'!$C$7:$C$66,"DZARUN",'Vols additionnels'!$D$7:$D$66,"77W",'Vols additionnels'!$B$7:$B$66,"&gt;="&amp;$J$90,'Vols additionnels'!$B$7:$B$66,"&lt;="&amp;$K$90)+SUMIFS('Vols additionnels'!$E$7:$E$66,'Vols additionnels'!$C$7:$C$66,"DZARUN",'Vols additionnels'!$D$7:$D$66,"77W",'Vols additionnels'!$I$7:$I$66,"&gt;="&amp;$J$90,'Vols additionnels'!$I$7:$I$66,"&lt;="&amp;$K$90)-K145+J145)/2</f>
        <v>0</v>
      </c>
      <c r="L184" s="129" t="n">
        <f aca="false">L106+(SUMIFS('Vols additionnels'!$E$7:$E$66,'Vols additionnels'!$C$7:$C$66,"DZARUN",'Vols additionnels'!$D$7:$D$66,"77W",'Vols additionnels'!$B$7:$B$66,"&gt;="&amp;$J$91,'Vols additionnels'!$B$7:$B$66,"&lt;="&amp;$K$91)+SUMIFS('Vols additionnels'!$E$7:$E$66,'Vols additionnels'!$C$7:$C$66,"DZARUN",'Vols additionnels'!$D$7:$D$66,"77W",'Vols additionnels'!$I$7:$I$66,"&gt;="&amp;$J$91,'Vols additionnels'!$I$7:$I$66,"&lt;="&amp;$K$91)-L145+K145)/2</f>
        <v>0</v>
      </c>
      <c r="M184" s="129" t="n">
        <f aca="false">M106+(SUMIFS('Vols additionnels'!$E$7:$E$66,'Vols additionnels'!$C$7:$C$66,"DZARUN",'Vols additionnels'!$D$7:$D$66,"77W",'Vols additionnels'!$B$7:$B$66,"&gt;="&amp;$J$92,'Vols additionnels'!$B$7:$B$66,"&lt;="&amp;$K$92)+SUMIFS('Vols additionnels'!$E$7:$E$66,'Vols additionnels'!$C$7:$C$66,"DZARUN",'Vols additionnels'!$D$7:$D$66,"77W",'Vols additionnels'!$I$7:$I$66,"&gt;="&amp;$J$92,'Vols additionnels'!$I$7:$I$66,"&lt;="&amp;$K$92)-M145+L145)/2</f>
        <v>0</v>
      </c>
      <c r="N184" s="129" t="n">
        <f aca="false">N106+(SUMIFS('Vols additionnels'!$E$7:$E$66,'Vols additionnels'!$C$7:$C$66,"DZARUN",'Vols additionnels'!$D$7:$D$66,"77W",'Vols additionnels'!$B$7:$B$66,"&gt;="&amp;$J$93,'Vols additionnels'!$B$7:$B$66,"&lt;="&amp;$K$93)+SUMIFS('Vols additionnels'!$E$7:$E$66,'Vols additionnels'!$C$7:$C$66,"DZARUN",'Vols additionnels'!$D$7:$D$66,"77W",'Vols additionnels'!$I$7:$I$66,"&gt;="&amp;$J$93,'Vols additionnels'!$I$7:$I$66,"&lt;="&amp;$K$93)-N145+M145)/2</f>
        <v>0</v>
      </c>
      <c r="O184" s="12" t="s">
        <v>36</v>
      </c>
      <c r="P184" s="12" t="s">
        <v>11</v>
      </c>
    </row>
    <row r="185" customFormat="false" ht="15" hidden="false" customHeight="false" outlineLevel="0" collapsed="false">
      <c r="B185" s="10" t="s">
        <v>147</v>
      </c>
      <c r="C185" s="129" t="n">
        <f aca="false">C107+(SUMIFS('Vols additionnels'!$E$7:$E$66,'Vols additionnels'!$C$7:$C$66,"DZARUN",'Vols additionnels'!$D$7:$D$66,"787",'Vols additionnels'!$B$7:$B$66,"&gt;="&amp;$J$82,'Vols additionnels'!$B$7:$B$66,"&lt;="&amp;$K$82)+SUMIFS('Vols additionnels'!$E$7:$E$66,'Vols additionnels'!$C$7:$C$66,"DZARUN",'Vols additionnels'!$D$7:$D$66,"787",'Vols additionnels'!$I$7:$I$66,"&gt;="&amp;$J$82,'Vols additionnels'!$I$7:$I$66,"&lt;="&amp;$K$82)-C146+0)/2</f>
        <v>4</v>
      </c>
      <c r="D185" s="129" t="n">
        <f aca="false">D107+(SUMIFS('Vols additionnels'!$E$7:$E$66,'Vols additionnels'!$C$7:$C$66,"DZARUN",'Vols additionnels'!$D$7:$D$66,"787",'Vols additionnels'!$B$7:$B$66,"&gt;="&amp;$J$83,'Vols additionnels'!$B$7:$B$66,"&lt;="&amp;$K$83)+SUMIFS('Vols additionnels'!$E$7:$E$66,'Vols additionnels'!$C$7:$C$66,"DZARUN",'Vols additionnels'!$D$7:$D$66,"787",'Vols additionnels'!$I$7:$I$66,"&gt;="&amp;$J$83,'Vols additionnels'!$I$7:$I$66,"&lt;="&amp;$K$83)-D146+C146)/2</f>
        <v>4</v>
      </c>
      <c r="E185" s="129" t="n">
        <f aca="false">E107+(SUMIFS('Vols additionnels'!$E$7:$E$66,'Vols additionnels'!$C$7:$C$66,"DZARUN",'Vols additionnels'!$D$7:$D$66,"787",'Vols additionnels'!$B$7:$B$66,"&gt;="&amp;$J$84,'Vols additionnels'!$B$7:$B$66,"&lt;="&amp;$K$84)+SUMIFS('Vols additionnels'!$E$7:$E$66,'Vols additionnels'!$C$7:$C$66,"DZARUN",'Vols additionnels'!$D$7:$D$66,"787",'Vols additionnels'!$I$7:$I$66,"&gt;="&amp;$J$84,'Vols additionnels'!$I$7:$I$66,"&lt;="&amp;$K$84)-E146+D146)/2</f>
        <v>5</v>
      </c>
      <c r="F185" s="129" t="n">
        <f aca="false">F107+(SUMIFS('Vols additionnels'!$E$7:$E$66,'Vols additionnels'!$C$7:$C$66,"DZARUN",'Vols additionnels'!$D$7:$D$66,"787",'Vols additionnels'!$B$7:$B$66,"&gt;="&amp;$J$85,'Vols additionnels'!$B$7:$B$66,"&lt;="&amp;$K$85)+SUMIFS('Vols additionnels'!$E$7:$E$66,'Vols additionnels'!$C$7:$C$66,"DZARUN",'Vols additionnels'!$D$7:$D$66,"787",'Vols additionnels'!$I$7:$I$66,"&gt;="&amp;$J$85,'Vols additionnels'!$I$7:$I$66,"&lt;="&amp;$K$85)-F146+E146)/2</f>
        <v>4</v>
      </c>
      <c r="G185" s="129" t="n">
        <f aca="false">G107+(SUMIFS('Vols additionnels'!$E$7:$E$66,'Vols additionnels'!$C$7:$C$66,"DZARUN",'Vols additionnels'!$D$7:$D$66,"787",'Vols additionnels'!$B$7:$B$66,"&gt;="&amp;$J$86,'Vols additionnels'!$B$7:$B$66,"&lt;="&amp;$K$86)+SUMIFS('Vols additionnels'!$E$7:$E$66,'Vols additionnels'!$C$7:$C$66,"DZARUN",'Vols additionnels'!$D$7:$D$66,"787",'Vols additionnels'!$I$7:$I$66,"&gt;="&amp;$J$86,'Vols additionnels'!$I$7:$I$66,"&lt;="&amp;$K$86)-G146+F146)/2</f>
        <v>4</v>
      </c>
      <c r="H185" s="129" t="n">
        <f aca="false">H107+(SUMIFS('Vols additionnels'!$E$7:$E$66,'Vols additionnels'!$C$7:$C$66,"DZARUN",'Vols additionnels'!$D$7:$D$66,"787",'Vols additionnels'!$B$7:$B$66,"&gt;="&amp;$J$87,'Vols additionnels'!$B$7:$B$66,"&lt;="&amp;$K$87)+SUMIFS('Vols additionnels'!$E$7:$E$66,'Vols additionnels'!$C$7:$C$66,"DZARUN",'Vols additionnels'!$D$7:$D$66,"787",'Vols additionnels'!$I$7:$I$66,"&gt;="&amp;$J$87,'Vols additionnels'!$I$7:$I$66,"&lt;="&amp;$K$87)-H146+G146)/2</f>
        <v>5</v>
      </c>
      <c r="I185" s="129" t="n">
        <f aca="false">I107+(SUMIFS('Vols additionnels'!$E$7:$E$66,'Vols additionnels'!$C$7:$C$66,"DZARUN",'Vols additionnels'!$D$7:$D$66,"787",'Vols additionnels'!$B$7:$B$66,"&gt;="&amp;$J$88,'Vols additionnels'!$B$7:$B$66,"&lt;="&amp;$K$88)+SUMIFS('Vols additionnels'!$E$7:$E$66,'Vols additionnels'!$C$7:$C$66,"DZARUN",'Vols additionnels'!$D$7:$D$66,"787",'Vols additionnels'!$I$7:$I$66,"&gt;="&amp;$J$88,'Vols additionnels'!$I$7:$I$66,"&lt;="&amp;$K$88)-I146+H146)/2</f>
        <v>4</v>
      </c>
      <c r="J185" s="129" t="n">
        <f aca="false">J107+(SUMIFS('Vols additionnels'!$E$7:$E$66,'Vols additionnels'!$C$7:$C$66,"DZARUN",'Vols additionnels'!$D$7:$D$66,"787",'Vols additionnels'!$B$7:$B$66,"&gt;="&amp;$J$89,'Vols additionnels'!$B$7:$B$66,"&lt;="&amp;$K$89)+SUMIFS('Vols additionnels'!$E$7:$E$66,'Vols additionnels'!$C$7:$C$66,"DZARUN",'Vols additionnels'!$D$7:$D$66,"787",'Vols additionnels'!$I$7:$I$66,"&gt;="&amp;$J$89,'Vols additionnels'!$I$7:$I$66,"&lt;="&amp;$K$89)-J146+I146)/2</f>
        <v>4</v>
      </c>
      <c r="K185" s="129" t="n">
        <f aca="false">K107+(SUMIFS('Vols additionnels'!$E$7:$E$66,'Vols additionnels'!$C$7:$C$66,"DZARUN",'Vols additionnels'!$D$7:$D$66,"787",'Vols additionnels'!$B$7:$B$66,"&gt;="&amp;$J$90,'Vols additionnels'!$B$7:$B$66,"&lt;="&amp;$K$90)+SUMIFS('Vols additionnels'!$E$7:$E$66,'Vols additionnels'!$C$7:$C$66,"DZARUN",'Vols additionnels'!$D$7:$D$66,"787",'Vols additionnels'!$I$7:$I$66,"&gt;="&amp;$J$90,'Vols additionnels'!$I$7:$I$66,"&lt;="&amp;$K$90)-K146+J146)/2</f>
        <v>5</v>
      </c>
      <c r="L185" s="129" t="n">
        <f aca="false">L107+(SUMIFS('Vols additionnels'!$E$7:$E$66,'Vols additionnels'!$C$7:$C$66,"DZARUN",'Vols additionnels'!$D$7:$D$66,"787",'Vols additionnels'!$B$7:$B$66,"&gt;="&amp;$J$91,'Vols additionnels'!$B$7:$B$66,"&lt;="&amp;$K$91)+SUMIFS('Vols additionnels'!$E$7:$E$66,'Vols additionnels'!$C$7:$C$66,"DZARUN",'Vols additionnels'!$D$7:$D$66,"787",'Vols additionnels'!$I$7:$I$66,"&gt;="&amp;$J$91,'Vols additionnels'!$I$7:$I$66,"&lt;="&amp;$K$91)-L146+K146)/2</f>
        <v>4</v>
      </c>
      <c r="M185" s="129" t="n">
        <f aca="false">M107+(SUMIFS('Vols additionnels'!$E$7:$E$66,'Vols additionnels'!$C$7:$C$66,"DZARUN",'Vols additionnels'!$D$7:$D$66,"787",'Vols additionnels'!$B$7:$B$66,"&gt;="&amp;$J$92,'Vols additionnels'!$B$7:$B$66,"&lt;="&amp;$K$92)+SUMIFS('Vols additionnels'!$E$7:$E$66,'Vols additionnels'!$C$7:$C$66,"DZARUN",'Vols additionnels'!$D$7:$D$66,"787",'Vols additionnels'!$I$7:$I$66,"&gt;="&amp;$J$92,'Vols additionnels'!$I$7:$I$66,"&lt;="&amp;$K$92)-M146+L146)/2</f>
        <v>4</v>
      </c>
      <c r="N185" s="129" t="n">
        <f aca="false">N107+(SUMIFS('Vols additionnels'!$E$7:$E$66,'Vols additionnels'!$C$7:$C$66,"DZARUN",'Vols additionnels'!$D$7:$D$66,"787",'Vols additionnels'!$B$7:$B$66,"&gt;="&amp;$J$93,'Vols additionnels'!$B$7:$B$66,"&lt;="&amp;$K$93)+SUMIFS('Vols additionnels'!$E$7:$E$66,'Vols additionnels'!$C$7:$C$66,"DZARUN",'Vols additionnels'!$D$7:$D$66,"787",'Vols additionnels'!$I$7:$I$66,"&gt;="&amp;$J$93,'Vols additionnels'!$I$7:$I$66,"&lt;="&amp;$K$93)-N146+M146)/2</f>
        <v>5</v>
      </c>
      <c r="O185" s="12" t="s">
        <v>36</v>
      </c>
      <c r="P185" s="12" t="s">
        <v>19</v>
      </c>
    </row>
    <row r="186" customFormat="false" ht="15" hidden="false" customHeight="false" outlineLevel="0" collapsed="false">
      <c r="B186" s="10" t="s">
        <v>148</v>
      </c>
      <c r="C186" s="129" t="n">
        <f aca="false">C108+(SUMIFS('Vols additionnels'!$E$7:$E$66,'Vols additionnels'!$C$7:$C$66,"DZARUN",'Vols additionnels'!$D$7:$D$66,"A320",'Vols additionnels'!$B$7:$B$66,"&gt;="&amp;$J$82,'Vols additionnels'!$B$7:$B$66,"&lt;="&amp;$K$82)+SUMIFS('Vols additionnels'!$E$7:$E$66,'Vols additionnels'!$C$7:$C$66,"DZARUN",'Vols additionnels'!$D$7:$D$66,"A320",'Vols additionnels'!$I$7:$I$66,"&gt;="&amp;$J$82,'Vols additionnels'!$I$7:$I$66,"&lt;="&amp;$K$82)-C147+0)/2</f>
        <v>22</v>
      </c>
      <c r="D186" s="129" t="n">
        <f aca="false">D108+(SUMIFS('Vols additionnels'!$E$7:$E$66,'Vols additionnels'!$C$7:$C$66,"DZARUN",'Vols additionnels'!$D$7:$D$66,"A320",'Vols additionnels'!$B$7:$B$66,"&gt;="&amp;$J$83,'Vols additionnels'!$B$7:$B$66,"&lt;="&amp;$K$83)+SUMIFS('Vols additionnels'!$E$7:$E$66,'Vols additionnels'!$C$7:$C$66,"DZARUN",'Vols additionnels'!$D$7:$D$66,"A320",'Vols additionnels'!$I$7:$I$66,"&gt;="&amp;$J$83,'Vols additionnels'!$I$7:$I$66,"&lt;="&amp;$K$83)-D147+C147)/2</f>
        <v>21</v>
      </c>
      <c r="E186" s="129" t="n">
        <f aca="false">E108+(SUMIFS('Vols additionnels'!$E$7:$E$66,'Vols additionnels'!$C$7:$C$66,"DZARUN",'Vols additionnels'!$D$7:$D$66,"A320",'Vols additionnels'!$B$7:$B$66,"&gt;="&amp;$J$84,'Vols additionnels'!$B$7:$B$66,"&lt;="&amp;$K$84)+SUMIFS('Vols additionnels'!$E$7:$E$66,'Vols additionnels'!$C$7:$C$66,"DZARUN",'Vols additionnels'!$D$7:$D$66,"A320",'Vols additionnels'!$I$7:$I$66,"&gt;="&amp;$J$84,'Vols additionnels'!$I$7:$I$66,"&lt;="&amp;$K$84)-E147+D147)/2</f>
        <v>22</v>
      </c>
      <c r="F186" s="129" t="n">
        <f aca="false">F108+(SUMIFS('Vols additionnels'!$E$7:$E$66,'Vols additionnels'!$C$7:$C$66,"DZARUN",'Vols additionnels'!$D$7:$D$66,"A320",'Vols additionnels'!$B$7:$B$66,"&gt;="&amp;$J$85,'Vols additionnels'!$B$7:$B$66,"&lt;="&amp;$K$85)+SUMIFS('Vols additionnels'!$E$7:$E$66,'Vols additionnels'!$C$7:$C$66,"DZARUN",'Vols additionnels'!$D$7:$D$66,"A320",'Vols additionnels'!$I$7:$I$66,"&gt;="&amp;$J$85,'Vols additionnels'!$I$7:$I$66,"&lt;="&amp;$K$85)-F147+E147)/2</f>
        <v>22</v>
      </c>
      <c r="G186" s="129" t="n">
        <f aca="false">G108+(SUMIFS('Vols additionnels'!$E$7:$E$66,'Vols additionnels'!$C$7:$C$66,"DZARUN",'Vols additionnels'!$D$7:$D$66,"A320",'Vols additionnels'!$B$7:$B$66,"&gt;="&amp;$J$86,'Vols additionnels'!$B$7:$B$66,"&lt;="&amp;$K$86)+SUMIFS('Vols additionnels'!$E$7:$E$66,'Vols additionnels'!$C$7:$C$66,"DZARUN",'Vols additionnels'!$D$7:$D$66,"A320",'Vols additionnels'!$I$7:$I$66,"&gt;="&amp;$J$86,'Vols additionnels'!$I$7:$I$66,"&lt;="&amp;$K$86)-G147+F147)/2</f>
        <v>22</v>
      </c>
      <c r="H186" s="129" t="n">
        <f aca="false">H108+(SUMIFS('Vols additionnels'!$E$7:$E$66,'Vols additionnels'!$C$7:$C$66,"DZARUN",'Vols additionnels'!$D$7:$D$66,"A320",'Vols additionnels'!$B$7:$B$66,"&gt;="&amp;$J$87,'Vols additionnels'!$B$7:$B$66,"&lt;="&amp;$K$87)+SUMIFS('Vols additionnels'!$E$7:$E$66,'Vols additionnels'!$C$7:$C$66,"DZARUN",'Vols additionnels'!$D$7:$D$66,"A320",'Vols additionnels'!$I$7:$I$66,"&gt;="&amp;$J$87,'Vols additionnels'!$I$7:$I$66,"&lt;="&amp;$K$87)-H147+G147)/2</f>
        <v>22</v>
      </c>
      <c r="I186" s="129" t="n">
        <f aca="false">I108+(SUMIFS('Vols additionnels'!$E$7:$E$66,'Vols additionnels'!$C$7:$C$66,"DZARUN",'Vols additionnels'!$D$7:$D$66,"A320",'Vols additionnels'!$B$7:$B$66,"&gt;="&amp;$J$88,'Vols additionnels'!$B$7:$B$66,"&lt;="&amp;$K$88)+SUMIFS('Vols additionnels'!$E$7:$E$66,'Vols additionnels'!$C$7:$C$66,"DZARUN",'Vols additionnels'!$D$7:$D$66,"A320",'Vols additionnels'!$I$7:$I$66,"&gt;="&amp;$J$88,'Vols additionnels'!$I$7:$I$66,"&lt;="&amp;$K$88)-I147+H147)/2</f>
        <v>21</v>
      </c>
      <c r="J186" s="129" t="n">
        <f aca="false">J108+(SUMIFS('Vols additionnels'!$E$7:$E$66,'Vols additionnels'!$C$7:$C$66,"DZARUN",'Vols additionnels'!$D$7:$D$66,"A320",'Vols additionnels'!$B$7:$B$66,"&gt;="&amp;$J$89,'Vols additionnels'!$B$7:$B$66,"&lt;="&amp;$K$89)+SUMIFS('Vols additionnels'!$E$7:$E$66,'Vols additionnels'!$C$7:$C$66,"DZARUN",'Vols additionnels'!$D$7:$D$66,"A320",'Vols additionnels'!$I$7:$I$66,"&gt;="&amp;$J$89,'Vols additionnels'!$I$7:$I$66,"&lt;="&amp;$K$89)-J147+I147)/2</f>
        <v>22</v>
      </c>
      <c r="K186" s="129" t="n">
        <f aca="false">K108+(SUMIFS('Vols additionnels'!$E$7:$E$66,'Vols additionnels'!$C$7:$C$66,"DZARUN",'Vols additionnels'!$D$7:$D$66,"A320",'Vols additionnels'!$B$7:$B$66,"&gt;="&amp;$J$90,'Vols additionnels'!$B$7:$B$66,"&lt;="&amp;$K$90)+SUMIFS('Vols additionnels'!$E$7:$E$66,'Vols additionnels'!$C$7:$C$66,"DZARUN",'Vols additionnels'!$D$7:$D$66,"A320",'Vols additionnels'!$I$7:$I$66,"&gt;="&amp;$J$90,'Vols additionnels'!$I$7:$I$66,"&lt;="&amp;$K$90)-K147+J147)/2</f>
        <v>23</v>
      </c>
      <c r="L186" s="129" t="n">
        <f aca="false">L108+(SUMIFS('Vols additionnels'!$E$7:$E$66,'Vols additionnels'!$C$7:$C$66,"DZARUN",'Vols additionnels'!$D$7:$D$66,"A320",'Vols additionnels'!$B$7:$B$66,"&gt;="&amp;$J$91,'Vols additionnels'!$B$7:$B$66,"&lt;="&amp;$K$91)+SUMIFS('Vols additionnels'!$E$7:$E$66,'Vols additionnels'!$C$7:$C$66,"DZARUN",'Vols additionnels'!$D$7:$D$66,"A320",'Vols additionnels'!$I$7:$I$66,"&gt;="&amp;$J$91,'Vols additionnels'!$I$7:$I$66,"&lt;="&amp;$K$91)-L147+K147)/2</f>
        <v>21</v>
      </c>
      <c r="M186" s="129" t="n">
        <f aca="false">M108+(SUMIFS('Vols additionnels'!$E$7:$E$66,'Vols additionnels'!$C$7:$C$66,"DZARUN",'Vols additionnels'!$D$7:$D$66,"A320",'Vols additionnels'!$B$7:$B$66,"&gt;="&amp;$J$92,'Vols additionnels'!$B$7:$B$66,"&lt;="&amp;$K$92)+SUMIFS('Vols additionnels'!$E$7:$E$66,'Vols additionnels'!$C$7:$C$66,"DZARUN",'Vols additionnels'!$D$7:$D$66,"A320",'Vols additionnels'!$I$7:$I$66,"&gt;="&amp;$J$92,'Vols additionnels'!$I$7:$I$66,"&lt;="&amp;$K$92)-M147+L147)/2</f>
        <v>21</v>
      </c>
      <c r="N186" s="129" t="n">
        <f aca="false">N108+(SUMIFS('Vols additionnels'!$E$7:$E$66,'Vols additionnels'!$C$7:$C$66,"DZARUN",'Vols additionnels'!$D$7:$D$66,"A320",'Vols additionnels'!$B$7:$B$66,"&gt;="&amp;$J$93,'Vols additionnels'!$B$7:$B$66,"&lt;="&amp;$K$93)+SUMIFS('Vols additionnels'!$E$7:$E$66,'Vols additionnels'!$C$7:$C$66,"DZARUN",'Vols additionnels'!$D$7:$D$66,"A320",'Vols additionnels'!$I$7:$I$66,"&gt;="&amp;$J$93,'Vols additionnels'!$I$7:$I$66,"&lt;="&amp;$K$93)-N147+M147)/2</f>
        <v>23</v>
      </c>
      <c r="O186" s="12" t="s">
        <v>36</v>
      </c>
      <c r="P186" s="12" t="s">
        <v>24</v>
      </c>
    </row>
    <row r="187" customFormat="false" ht="15" hidden="false" customHeight="false" outlineLevel="0" collapsed="false">
      <c r="B187" s="10" t="s">
        <v>149</v>
      </c>
      <c r="C187" s="129" t="n">
        <f aca="false">C109+(SUMIFS('Vols additionnels'!$E$7:$E$66,'Vols additionnels'!$C$7:$C$66,"MRURUN",'Vols additionnels'!$D$7:$D$66,"77W",'Vols additionnels'!$B$7:$B$66,"&gt;="&amp;$J$82,'Vols additionnels'!$B$7:$B$66,"&lt;="&amp;$K$82)+SUMIFS('Vols additionnels'!$E$7:$E$66,'Vols additionnels'!$C$7:$C$66,"MRURUN",'Vols additionnels'!$D$7:$D$66,"77W",'Vols additionnels'!$I$7:$I$66,"&gt;="&amp;$J$82,'Vols additionnels'!$I$7:$I$66,"&lt;="&amp;$K$82)-C148+0)/2</f>
        <v>0</v>
      </c>
      <c r="D187" s="129" t="n">
        <f aca="false">D109+(SUMIFS('Vols additionnels'!$E$7:$E$66,'Vols additionnels'!$C$7:$C$66,"MRURUN",'Vols additionnels'!$D$7:$D$66,"77W",'Vols additionnels'!$B$7:$B$66,"&gt;="&amp;$J$83,'Vols additionnels'!$B$7:$B$66,"&lt;="&amp;$K$83)+SUMIFS('Vols additionnels'!$E$7:$E$66,'Vols additionnels'!$C$7:$C$66,"MRURUN",'Vols additionnels'!$D$7:$D$66,"77W",'Vols additionnels'!$I$7:$I$66,"&gt;="&amp;$J$83,'Vols additionnels'!$I$7:$I$66,"&lt;="&amp;$K$83)-D148+C148)/2</f>
        <v>0</v>
      </c>
      <c r="E187" s="129" t="n">
        <f aca="false">E109+(SUMIFS('Vols additionnels'!$E$7:$E$66,'Vols additionnels'!$C$7:$C$66,"MRURUN",'Vols additionnels'!$D$7:$D$66,"77W",'Vols additionnels'!$B$7:$B$66,"&gt;="&amp;$J$84,'Vols additionnels'!$B$7:$B$66,"&lt;="&amp;$K$84)+SUMIFS('Vols additionnels'!$E$7:$E$66,'Vols additionnels'!$C$7:$C$66,"MRURUN",'Vols additionnels'!$D$7:$D$66,"77W",'Vols additionnels'!$I$7:$I$66,"&gt;="&amp;$J$84,'Vols additionnels'!$I$7:$I$66,"&lt;="&amp;$K$84)-E148+D148)/2</f>
        <v>0</v>
      </c>
      <c r="F187" s="129" t="n">
        <f aca="false">F109+(SUMIFS('Vols additionnels'!$E$7:$E$66,'Vols additionnels'!$C$7:$C$66,"MRURUN",'Vols additionnels'!$D$7:$D$66,"77W",'Vols additionnels'!$B$7:$B$66,"&gt;="&amp;$J$85,'Vols additionnels'!$B$7:$B$66,"&lt;="&amp;$K$85)+SUMIFS('Vols additionnels'!$E$7:$E$66,'Vols additionnels'!$C$7:$C$66,"MRURUN",'Vols additionnels'!$D$7:$D$66,"77W",'Vols additionnels'!$I$7:$I$66,"&gt;="&amp;$J$85,'Vols additionnels'!$I$7:$I$66,"&lt;="&amp;$K$85)-F148+E148)/2</f>
        <v>0</v>
      </c>
      <c r="G187" s="129" t="n">
        <f aca="false">G109+(SUMIFS('Vols additionnels'!$E$7:$E$66,'Vols additionnels'!$C$7:$C$66,"MRURUN",'Vols additionnels'!$D$7:$D$66,"77W",'Vols additionnels'!$B$7:$B$66,"&gt;="&amp;$J$86,'Vols additionnels'!$B$7:$B$66,"&lt;="&amp;$K$86)+SUMIFS('Vols additionnels'!$E$7:$E$66,'Vols additionnels'!$C$7:$C$66,"MRURUN",'Vols additionnels'!$D$7:$D$66,"77W",'Vols additionnels'!$I$7:$I$66,"&gt;="&amp;$J$86,'Vols additionnels'!$I$7:$I$66,"&lt;="&amp;$K$86)-G148+F148)/2</f>
        <v>0</v>
      </c>
      <c r="H187" s="129" t="n">
        <f aca="false">H109+(SUMIFS('Vols additionnels'!$E$7:$E$66,'Vols additionnels'!$C$7:$C$66,"MRURUN",'Vols additionnels'!$D$7:$D$66,"77W",'Vols additionnels'!$B$7:$B$66,"&gt;="&amp;$J$87,'Vols additionnels'!$B$7:$B$66,"&lt;="&amp;$K$87)+SUMIFS('Vols additionnels'!$E$7:$E$66,'Vols additionnels'!$C$7:$C$66,"MRURUN",'Vols additionnels'!$D$7:$D$66,"77W",'Vols additionnels'!$I$7:$I$66,"&gt;="&amp;$J$87,'Vols additionnels'!$I$7:$I$66,"&lt;="&amp;$K$87)-H148+G148)/2</f>
        <v>0</v>
      </c>
      <c r="I187" s="129" t="n">
        <f aca="false">I109+(SUMIFS('Vols additionnels'!$E$7:$E$66,'Vols additionnels'!$C$7:$C$66,"MRURUN",'Vols additionnels'!$D$7:$D$66,"77W",'Vols additionnels'!$B$7:$B$66,"&gt;="&amp;$J$88,'Vols additionnels'!$B$7:$B$66,"&lt;="&amp;$K$88)+SUMIFS('Vols additionnels'!$E$7:$E$66,'Vols additionnels'!$C$7:$C$66,"MRURUN",'Vols additionnels'!$D$7:$D$66,"77W",'Vols additionnels'!$I$7:$I$66,"&gt;="&amp;$J$88,'Vols additionnels'!$I$7:$I$66,"&lt;="&amp;$K$88)-I148+H148)/2</f>
        <v>0</v>
      </c>
      <c r="J187" s="129" t="n">
        <f aca="false">J109+(SUMIFS('Vols additionnels'!$E$7:$E$66,'Vols additionnels'!$C$7:$C$66,"MRURUN",'Vols additionnels'!$D$7:$D$66,"77W",'Vols additionnels'!$B$7:$B$66,"&gt;="&amp;$J$89,'Vols additionnels'!$B$7:$B$66,"&lt;="&amp;$K$89)+SUMIFS('Vols additionnels'!$E$7:$E$66,'Vols additionnels'!$C$7:$C$66,"MRURUN",'Vols additionnels'!$D$7:$D$66,"77W",'Vols additionnels'!$I$7:$I$66,"&gt;="&amp;$J$89,'Vols additionnels'!$I$7:$I$66,"&lt;="&amp;$K$89)-J148+I148)/2</f>
        <v>0</v>
      </c>
      <c r="K187" s="129" t="n">
        <f aca="false">K109+(SUMIFS('Vols additionnels'!$E$7:$E$66,'Vols additionnels'!$C$7:$C$66,"MRURUN",'Vols additionnels'!$D$7:$D$66,"77W",'Vols additionnels'!$B$7:$B$66,"&gt;="&amp;$J$90,'Vols additionnels'!$B$7:$B$66,"&lt;="&amp;$K$90)+SUMIFS('Vols additionnels'!$E$7:$E$66,'Vols additionnels'!$C$7:$C$66,"MRURUN",'Vols additionnels'!$D$7:$D$66,"77W",'Vols additionnels'!$I$7:$I$66,"&gt;="&amp;$J$90,'Vols additionnels'!$I$7:$I$66,"&lt;="&amp;$K$90)-K148+J148)/2</f>
        <v>0</v>
      </c>
      <c r="L187" s="129" t="n">
        <f aca="false">L109+(SUMIFS('Vols additionnels'!$E$7:$E$66,'Vols additionnels'!$C$7:$C$66,"MRURUN",'Vols additionnels'!$D$7:$D$66,"77W",'Vols additionnels'!$B$7:$B$66,"&gt;="&amp;$J$91,'Vols additionnels'!$B$7:$B$66,"&lt;="&amp;$K$91)+SUMIFS('Vols additionnels'!$E$7:$E$66,'Vols additionnels'!$C$7:$C$66,"MRURUN",'Vols additionnels'!$D$7:$D$66,"77W",'Vols additionnels'!$I$7:$I$66,"&gt;="&amp;$J$91,'Vols additionnels'!$I$7:$I$66,"&lt;="&amp;$K$91)-L148+K148)/2</f>
        <v>0</v>
      </c>
      <c r="M187" s="129" t="n">
        <f aca="false">M109+(SUMIFS('Vols additionnels'!$E$7:$E$66,'Vols additionnels'!$C$7:$C$66,"MRURUN",'Vols additionnels'!$D$7:$D$66,"77W",'Vols additionnels'!$B$7:$B$66,"&gt;="&amp;$J$92,'Vols additionnels'!$B$7:$B$66,"&lt;="&amp;$K$92)+SUMIFS('Vols additionnels'!$E$7:$E$66,'Vols additionnels'!$C$7:$C$66,"MRURUN",'Vols additionnels'!$D$7:$D$66,"77W",'Vols additionnels'!$I$7:$I$66,"&gt;="&amp;$J$92,'Vols additionnels'!$I$7:$I$66,"&lt;="&amp;$K$92)-M148+L148)/2</f>
        <v>0</v>
      </c>
      <c r="N187" s="129" t="n">
        <f aca="false">N109+(SUMIFS('Vols additionnels'!$E$7:$E$66,'Vols additionnels'!$C$7:$C$66,"MRURUN",'Vols additionnels'!$D$7:$D$66,"77W",'Vols additionnels'!$B$7:$B$66,"&gt;="&amp;$J$93,'Vols additionnels'!$B$7:$B$66,"&lt;="&amp;$K$93)+SUMIFS('Vols additionnels'!$E$7:$E$66,'Vols additionnels'!$C$7:$C$66,"MRURUN",'Vols additionnels'!$D$7:$D$66,"77W",'Vols additionnels'!$I$7:$I$66,"&gt;="&amp;$J$93,'Vols additionnels'!$I$7:$I$66,"&lt;="&amp;$K$93)-N148+M148)/2</f>
        <v>0</v>
      </c>
      <c r="O187" s="12" t="s">
        <v>40</v>
      </c>
      <c r="P187" s="12" t="s">
        <v>11</v>
      </c>
    </row>
    <row r="188" customFormat="false" ht="15" hidden="false" customHeight="false" outlineLevel="0" collapsed="false">
      <c r="B188" s="10" t="s">
        <v>150</v>
      </c>
      <c r="C188" s="129" t="n">
        <f aca="false">C110+(SUMIFS('Vols additionnels'!$E$7:$E$66,'Vols additionnels'!$C$7:$C$66,"MRURUN",'Vols additionnels'!$D$7:$D$66,"787",'Vols additionnels'!$B$7:$B$66,"&gt;="&amp;$J$82,'Vols additionnels'!$B$7:$B$66,"&lt;="&amp;$K$82)+SUMIFS('Vols additionnels'!$E$7:$E$66,'Vols additionnels'!$C$7:$C$66,"MRURUN",'Vols additionnels'!$D$7:$D$66,"787",'Vols additionnels'!$I$7:$I$66,"&gt;="&amp;$J$82,'Vols additionnels'!$I$7:$I$66,"&lt;="&amp;$K$82)-C149+0)/2</f>
        <v>0</v>
      </c>
      <c r="D188" s="129" t="n">
        <f aca="false">D110+(SUMIFS('Vols additionnels'!$E$7:$E$66,'Vols additionnels'!$C$7:$C$66,"MRURUN",'Vols additionnels'!$D$7:$D$66,"787",'Vols additionnels'!$B$7:$B$66,"&gt;="&amp;$J$83,'Vols additionnels'!$B$7:$B$66,"&lt;="&amp;$K$83)+SUMIFS('Vols additionnels'!$E$7:$E$66,'Vols additionnels'!$C$7:$C$66,"MRURUN",'Vols additionnels'!$D$7:$D$66,"787",'Vols additionnels'!$I$7:$I$66,"&gt;="&amp;$J$83,'Vols additionnels'!$I$7:$I$66,"&lt;="&amp;$K$83)-D149+C149)/2</f>
        <v>0</v>
      </c>
      <c r="E188" s="129" t="n">
        <f aca="false">E110+(SUMIFS('Vols additionnels'!$E$7:$E$66,'Vols additionnels'!$C$7:$C$66,"MRURUN",'Vols additionnels'!$D$7:$D$66,"787",'Vols additionnels'!$B$7:$B$66,"&gt;="&amp;$J$84,'Vols additionnels'!$B$7:$B$66,"&lt;="&amp;$K$84)+SUMIFS('Vols additionnels'!$E$7:$E$66,'Vols additionnels'!$C$7:$C$66,"MRURUN",'Vols additionnels'!$D$7:$D$66,"787",'Vols additionnels'!$I$7:$I$66,"&gt;="&amp;$J$84,'Vols additionnels'!$I$7:$I$66,"&lt;="&amp;$K$84)-E149+D149)/2</f>
        <v>0</v>
      </c>
      <c r="F188" s="129" t="n">
        <f aca="false">F110+(SUMIFS('Vols additionnels'!$E$7:$E$66,'Vols additionnels'!$C$7:$C$66,"MRURUN",'Vols additionnels'!$D$7:$D$66,"787",'Vols additionnels'!$B$7:$B$66,"&gt;="&amp;$J$85,'Vols additionnels'!$B$7:$B$66,"&lt;="&amp;$K$85)+SUMIFS('Vols additionnels'!$E$7:$E$66,'Vols additionnels'!$C$7:$C$66,"MRURUN",'Vols additionnels'!$D$7:$D$66,"787",'Vols additionnels'!$I$7:$I$66,"&gt;="&amp;$J$85,'Vols additionnels'!$I$7:$I$66,"&lt;="&amp;$K$85)-F149+E149)/2</f>
        <v>0</v>
      </c>
      <c r="G188" s="129" t="n">
        <f aca="false">G110+(SUMIFS('Vols additionnels'!$E$7:$E$66,'Vols additionnels'!$C$7:$C$66,"MRURUN",'Vols additionnels'!$D$7:$D$66,"787",'Vols additionnels'!$B$7:$B$66,"&gt;="&amp;$J$86,'Vols additionnels'!$B$7:$B$66,"&lt;="&amp;$K$86)+SUMIFS('Vols additionnels'!$E$7:$E$66,'Vols additionnels'!$C$7:$C$66,"MRURUN",'Vols additionnels'!$D$7:$D$66,"787",'Vols additionnels'!$I$7:$I$66,"&gt;="&amp;$J$86,'Vols additionnels'!$I$7:$I$66,"&lt;="&amp;$K$86)-G149+F149)/2</f>
        <v>0</v>
      </c>
      <c r="H188" s="129" t="n">
        <f aca="false">H110+(SUMIFS('Vols additionnels'!$E$7:$E$66,'Vols additionnels'!$C$7:$C$66,"MRURUN",'Vols additionnels'!$D$7:$D$66,"787",'Vols additionnels'!$B$7:$B$66,"&gt;="&amp;$J$87,'Vols additionnels'!$B$7:$B$66,"&lt;="&amp;$K$87)+SUMIFS('Vols additionnels'!$E$7:$E$66,'Vols additionnels'!$C$7:$C$66,"MRURUN",'Vols additionnels'!$D$7:$D$66,"787",'Vols additionnels'!$I$7:$I$66,"&gt;="&amp;$J$87,'Vols additionnels'!$I$7:$I$66,"&lt;="&amp;$K$87)-H149+G149)/2</f>
        <v>0</v>
      </c>
      <c r="I188" s="129" t="n">
        <f aca="false">I110+(SUMIFS('Vols additionnels'!$E$7:$E$66,'Vols additionnels'!$C$7:$C$66,"MRURUN",'Vols additionnels'!$D$7:$D$66,"787",'Vols additionnels'!$B$7:$B$66,"&gt;="&amp;$J$88,'Vols additionnels'!$B$7:$B$66,"&lt;="&amp;$K$88)+SUMIFS('Vols additionnels'!$E$7:$E$66,'Vols additionnels'!$C$7:$C$66,"MRURUN",'Vols additionnels'!$D$7:$D$66,"787",'Vols additionnels'!$I$7:$I$66,"&gt;="&amp;$J$88,'Vols additionnels'!$I$7:$I$66,"&lt;="&amp;$K$88)-I149+H149)/2</f>
        <v>0</v>
      </c>
      <c r="J188" s="129" t="n">
        <f aca="false">J110+(SUMIFS('Vols additionnels'!$E$7:$E$66,'Vols additionnels'!$C$7:$C$66,"MRURUN",'Vols additionnels'!$D$7:$D$66,"787",'Vols additionnels'!$B$7:$B$66,"&gt;="&amp;$J$89,'Vols additionnels'!$B$7:$B$66,"&lt;="&amp;$K$89)+SUMIFS('Vols additionnels'!$E$7:$E$66,'Vols additionnels'!$C$7:$C$66,"MRURUN",'Vols additionnels'!$D$7:$D$66,"787",'Vols additionnels'!$I$7:$I$66,"&gt;="&amp;$J$89,'Vols additionnels'!$I$7:$I$66,"&lt;="&amp;$K$89)-J149+I149)/2</f>
        <v>0</v>
      </c>
      <c r="K188" s="129" t="n">
        <f aca="false">K110+(SUMIFS('Vols additionnels'!$E$7:$E$66,'Vols additionnels'!$C$7:$C$66,"MRURUN",'Vols additionnels'!$D$7:$D$66,"787",'Vols additionnels'!$B$7:$B$66,"&gt;="&amp;$J$90,'Vols additionnels'!$B$7:$B$66,"&lt;="&amp;$K$90)+SUMIFS('Vols additionnels'!$E$7:$E$66,'Vols additionnels'!$C$7:$C$66,"MRURUN",'Vols additionnels'!$D$7:$D$66,"787",'Vols additionnels'!$I$7:$I$66,"&gt;="&amp;$J$90,'Vols additionnels'!$I$7:$I$66,"&lt;="&amp;$K$90)-K149+J149)/2</f>
        <v>0</v>
      </c>
      <c r="L188" s="129" t="n">
        <f aca="false">L110+(SUMIFS('Vols additionnels'!$E$7:$E$66,'Vols additionnels'!$C$7:$C$66,"MRURUN",'Vols additionnels'!$D$7:$D$66,"787",'Vols additionnels'!$B$7:$B$66,"&gt;="&amp;$J$91,'Vols additionnels'!$B$7:$B$66,"&lt;="&amp;$K$91)+SUMIFS('Vols additionnels'!$E$7:$E$66,'Vols additionnels'!$C$7:$C$66,"MRURUN",'Vols additionnels'!$D$7:$D$66,"787",'Vols additionnels'!$I$7:$I$66,"&gt;="&amp;$J$91,'Vols additionnels'!$I$7:$I$66,"&lt;="&amp;$K$91)-L149+K149)/2</f>
        <v>0</v>
      </c>
      <c r="M188" s="129" t="n">
        <f aca="false">M110+(SUMIFS('Vols additionnels'!$E$7:$E$66,'Vols additionnels'!$C$7:$C$66,"MRURUN",'Vols additionnels'!$D$7:$D$66,"787",'Vols additionnels'!$B$7:$B$66,"&gt;="&amp;$J$92,'Vols additionnels'!$B$7:$B$66,"&lt;="&amp;$K$92)+SUMIFS('Vols additionnels'!$E$7:$E$66,'Vols additionnels'!$C$7:$C$66,"MRURUN",'Vols additionnels'!$D$7:$D$66,"787",'Vols additionnels'!$I$7:$I$66,"&gt;="&amp;$J$92,'Vols additionnels'!$I$7:$I$66,"&lt;="&amp;$K$92)-M149+L149)/2</f>
        <v>0</v>
      </c>
      <c r="N188" s="129" t="n">
        <f aca="false">N110+(SUMIFS('Vols additionnels'!$E$7:$E$66,'Vols additionnels'!$C$7:$C$66,"MRURUN",'Vols additionnels'!$D$7:$D$66,"787",'Vols additionnels'!$B$7:$B$66,"&gt;="&amp;$J$93,'Vols additionnels'!$B$7:$B$66,"&lt;="&amp;$K$93)+SUMIFS('Vols additionnels'!$E$7:$E$66,'Vols additionnels'!$C$7:$C$66,"MRURUN",'Vols additionnels'!$D$7:$D$66,"787",'Vols additionnels'!$I$7:$I$66,"&gt;="&amp;$J$93,'Vols additionnels'!$I$7:$I$66,"&lt;="&amp;$K$93)-N149+M149)/2</f>
        <v>0</v>
      </c>
      <c r="O188" s="12" t="s">
        <v>40</v>
      </c>
      <c r="P188" s="12" t="s">
        <v>19</v>
      </c>
    </row>
    <row r="189" customFormat="false" ht="15" hidden="false" customHeight="false" outlineLevel="0" collapsed="false">
      <c r="B189" s="10" t="s">
        <v>151</v>
      </c>
      <c r="C189" s="129" t="n">
        <f aca="false">C111+(SUMIFS('Vols additionnels'!$E$7:$E$66,'Vols additionnels'!$C$7:$C$66,"MRURUN",'Vols additionnels'!$D$7:$D$66,"A320",'Vols additionnels'!$B$7:$B$66,"&gt;="&amp;$J$82,'Vols additionnels'!$B$7:$B$66,"&lt;="&amp;$K$82)+SUMIFS('Vols additionnels'!$E$7:$E$66,'Vols additionnels'!$C$7:$C$66,"MRURUN",'Vols additionnels'!$D$7:$D$66,"A320",'Vols additionnels'!$I$7:$I$66,"&gt;="&amp;$J$82,'Vols additionnels'!$I$7:$I$66,"&lt;="&amp;$K$82)-C150+0)/2</f>
        <v>17</v>
      </c>
      <c r="D189" s="129" t="n">
        <f aca="false">D111+(SUMIFS('Vols additionnels'!$E$7:$E$66,'Vols additionnels'!$C$7:$C$66,"MRURUN",'Vols additionnels'!$D$7:$D$66,"A320",'Vols additionnels'!$B$7:$B$66,"&gt;="&amp;$J$83,'Vols additionnels'!$B$7:$B$66,"&lt;="&amp;$K$83)+SUMIFS('Vols additionnels'!$E$7:$E$66,'Vols additionnels'!$C$7:$C$66,"MRURUN",'Vols additionnels'!$D$7:$D$66,"A320",'Vols additionnels'!$I$7:$I$66,"&gt;="&amp;$J$83,'Vols additionnels'!$I$7:$I$66,"&lt;="&amp;$K$83)-D150+C150)/2</f>
        <v>18</v>
      </c>
      <c r="E189" s="129" t="n">
        <f aca="false">E111+(SUMIFS('Vols additionnels'!$E$7:$E$66,'Vols additionnels'!$C$7:$C$66,"MRURUN",'Vols additionnels'!$D$7:$D$66,"A320",'Vols additionnels'!$B$7:$B$66,"&gt;="&amp;$J$84,'Vols additionnels'!$B$7:$B$66,"&lt;="&amp;$K$84)+SUMIFS('Vols additionnels'!$E$7:$E$66,'Vols additionnels'!$C$7:$C$66,"MRURUN",'Vols additionnels'!$D$7:$D$66,"A320",'Vols additionnels'!$I$7:$I$66,"&gt;="&amp;$J$84,'Vols additionnels'!$I$7:$I$66,"&lt;="&amp;$K$84)-E150+D150)/2</f>
        <v>17</v>
      </c>
      <c r="F189" s="129" t="n">
        <f aca="false">F111+(SUMIFS('Vols additionnels'!$E$7:$E$66,'Vols additionnels'!$C$7:$C$66,"MRURUN",'Vols additionnels'!$D$7:$D$66,"A320",'Vols additionnels'!$B$7:$B$66,"&gt;="&amp;$J$85,'Vols additionnels'!$B$7:$B$66,"&lt;="&amp;$K$85)+SUMIFS('Vols additionnels'!$E$7:$E$66,'Vols additionnels'!$C$7:$C$66,"MRURUN",'Vols additionnels'!$D$7:$D$66,"A320",'Vols additionnels'!$I$7:$I$66,"&gt;="&amp;$J$85,'Vols additionnels'!$I$7:$I$66,"&lt;="&amp;$K$85)-F150+E150)/2</f>
        <v>17</v>
      </c>
      <c r="G189" s="129" t="n">
        <f aca="false">G111+(SUMIFS('Vols additionnels'!$E$7:$E$66,'Vols additionnels'!$C$7:$C$66,"MRURUN",'Vols additionnels'!$D$7:$D$66,"A320",'Vols additionnels'!$B$7:$B$66,"&gt;="&amp;$J$86,'Vols additionnels'!$B$7:$B$66,"&lt;="&amp;$K$86)+SUMIFS('Vols additionnels'!$E$7:$E$66,'Vols additionnels'!$C$7:$C$66,"MRURUN",'Vols additionnels'!$D$7:$D$66,"A320",'Vols additionnels'!$I$7:$I$66,"&gt;="&amp;$J$86,'Vols additionnels'!$I$7:$I$66,"&lt;="&amp;$K$86)-G150+F150)/2</f>
        <v>18</v>
      </c>
      <c r="H189" s="129" t="n">
        <f aca="false">H111+(SUMIFS('Vols additionnels'!$E$7:$E$66,'Vols additionnels'!$C$7:$C$66,"MRURUN",'Vols additionnels'!$D$7:$D$66,"A320",'Vols additionnels'!$B$7:$B$66,"&gt;="&amp;$J$87,'Vols additionnels'!$B$7:$B$66,"&lt;="&amp;$K$87)+SUMIFS('Vols additionnels'!$E$7:$E$66,'Vols additionnels'!$C$7:$C$66,"MRURUN",'Vols additionnels'!$D$7:$D$66,"A320",'Vols additionnels'!$I$7:$I$66,"&gt;="&amp;$J$87,'Vols additionnels'!$I$7:$I$66,"&lt;="&amp;$K$87)-H150+G150)/2</f>
        <v>17</v>
      </c>
      <c r="I189" s="129" t="n">
        <f aca="false">I111+(SUMIFS('Vols additionnels'!$E$7:$E$66,'Vols additionnels'!$C$7:$C$66,"MRURUN",'Vols additionnels'!$D$7:$D$66,"A320",'Vols additionnels'!$B$7:$B$66,"&gt;="&amp;$J$88,'Vols additionnels'!$B$7:$B$66,"&lt;="&amp;$K$88)+SUMIFS('Vols additionnels'!$E$7:$E$66,'Vols additionnels'!$C$7:$C$66,"MRURUN",'Vols additionnels'!$D$7:$D$66,"A320",'Vols additionnels'!$I$7:$I$66,"&gt;="&amp;$J$88,'Vols additionnels'!$I$7:$I$66,"&lt;="&amp;$K$88)-I150+H150)/2</f>
        <v>18</v>
      </c>
      <c r="J189" s="129" t="n">
        <f aca="false">J111+(SUMIFS('Vols additionnels'!$E$7:$E$66,'Vols additionnels'!$C$7:$C$66,"MRURUN",'Vols additionnels'!$D$7:$D$66,"A320",'Vols additionnels'!$B$7:$B$66,"&gt;="&amp;$J$89,'Vols additionnels'!$B$7:$B$66,"&lt;="&amp;$K$89)+SUMIFS('Vols additionnels'!$E$7:$E$66,'Vols additionnels'!$C$7:$C$66,"MRURUN",'Vols additionnels'!$D$7:$D$66,"A320",'Vols additionnels'!$I$7:$I$66,"&gt;="&amp;$J$89,'Vols additionnels'!$I$7:$I$66,"&lt;="&amp;$K$89)-J150+I150)/2</f>
        <v>17</v>
      </c>
      <c r="K189" s="129" t="n">
        <f aca="false">K111+(SUMIFS('Vols additionnels'!$E$7:$E$66,'Vols additionnels'!$C$7:$C$66,"MRURUN",'Vols additionnels'!$D$7:$D$66,"A320",'Vols additionnels'!$B$7:$B$66,"&gt;="&amp;$J$90,'Vols additionnels'!$B$7:$B$66,"&lt;="&amp;$K$90)+SUMIFS('Vols additionnels'!$E$7:$E$66,'Vols additionnels'!$C$7:$C$66,"MRURUN",'Vols additionnels'!$D$7:$D$66,"A320",'Vols additionnels'!$I$7:$I$66,"&gt;="&amp;$J$90,'Vols additionnels'!$I$7:$I$66,"&lt;="&amp;$K$90)-K150+J150)/2</f>
        <v>18</v>
      </c>
      <c r="L189" s="129" t="n">
        <f aca="false">L111+(SUMIFS('Vols additionnels'!$E$7:$E$66,'Vols additionnels'!$C$7:$C$66,"MRURUN",'Vols additionnels'!$D$7:$D$66,"A320",'Vols additionnels'!$B$7:$B$66,"&gt;="&amp;$J$91,'Vols additionnels'!$B$7:$B$66,"&lt;="&amp;$K$91)+SUMIFS('Vols additionnels'!$E$7:$E$66,'Vols additionnels'!$C$7:$C$66,"MRURUN",'Vols additionnels'!$D$7:$D$66,"A320",'Vols additionnels'!$I$7:$I$66,"&gt;="&amp;$J$91,'Vols additionnels'!$I$7:$I$66,"&lt;="&amp;$K$91)-L150+K150)/2</f>
        <v>18</v>
      </c>
      <c r="M189" s="129" t="n">
        <f aca="false">M111+(SUMIFS('Vols additionnels'!$E$7:$E$66,'Vols additionnels'!$C$7:$C$66,"MRURUN",'Vols additionnels'!$D$7:$D$66,"A320",'Vols additionnels'!$B$7:$B$66,"&gt;="&amp;$J$92,'Vols additionnels'!$B$7:$B$66,"&lt;="&amp;$K$92)+SUMIFS('Vols additionnels'!$E$7:$E$66,'Vols additionnels'!$C$7:$C$66,"MRURUN",'Vols additionnels'!$D$7:$D$66,"A320",'Vols additionnels'!$I$7:$I$66,"&gt;="&amp;$J$92,'Vols additionnels'!$I$7:$I$66,"&lt;="&amp;$K$92)-M150+L150)/2</f>
        <v>16</v>
      </c>
      <c r="N189" s="129" t="n">
        <f aca="false">N111+(SUMIFS('Vols additionnels'!$E$7:$E$66,'Vols additionnels'!$C$7:$C$66,"MRURUN",'Vols additionnels'!$D$7:$D$66,"A320",'Vols additionnels'!$B$7:$B$66,"&gt;="&amp;$J$93,'Vols additionnels'!$B$7:$B$66,"&lt;="&amp;$K$93)+SUMIFS('Vols additionnels'!$E$7:$E$66,'Vols additionnels'!$C$7:$C$66,"MRURUN",'Vols additionnels'!$D$7:$D$66,"A320",'Vols additionnels'!$I$7:$I$66,"&gt;="&amp;$J$93,'Vols additionnels'!$I$7:$I$66,"&lt;="&amp;$K$93)-N150+M150)/2</f>
        <v>18</v>
      </c>
      <c r="O189" s="12" t="s">
        <v>40</v>
      </c>
      <c r="P189" s="12" t="s">
        <v>24</v>
      </c>
    </row>
    <row r="190" customFormat="false" ht="15" hidden="false" customHeight="false" outlineLevel="0" collapsed="false">
      <c r="B190" s="10" t="s">
        <v>152</v>
      </c>
      <c r="C190" s="129" t="n">
        <f aca="false">C112+(SUMIFS('Vols additionnels'!$E$7:$E$66,'Vols additionnels'!$C$7:$C$66,"NOSRUN",'Vols additionnels'!$D$7:$D$66,"77W",'Vols additionnels'!$B$7:$B$66,"&gt;="&amp;$J$82,'Vols additionnels'!$B$7:$B$66,"&lt;="&amp;$K$82)+SUMIFS('Vols additionnels'!$E$7:$E$66,'Vols additionnels'!$C$7:$C$66,"NOSRUN",'Vols additionnels'!$D$7:$D$66,"77W",'Vols additionnels'!$I$7:$I$66,"&gt;="&amp;$J$82,'Vols additionnels'!$I$7:$I$66,"&lt;="&amp;$K$82)-C151+0)/2</f>
        <v>0</v>
      </c>
      <c r="D190" s="129" t="n">
        <f aca="false">D112+(SUMIFS('Vols additionnels'!$E$7:$E$66,'Vols additionnels'!$C$7:$C$66,"NOSRUN",'Vols additionnels'!$D$7:$D$66,"77W",'Vols additionnels'!$B$7:$B$66,"&gt;="&amp;$J$83,'Vols additionnels'!$B$7:$B$66,"&lt;="&amp;$K$83)+SUMIFS('Vols additionnels'!$E$7:$E$66,'Vols additionnels'!$C$7:$C$66,"NOSRUN",'Vols additionnels'!$D$7:$D$66,"77W",'Vols additionnels'!$I$7:$I$66,"&gt;="&amp;$J$83,'Vols additionnels'!$I$7:$I$66,"&lt;="&amp;$K$83)-D151+C151)/2</f>
        <v>0</v>
      </c>
      <c r="E190" s="129" t="n">
        <f aca="false">E112+(SUMIFS('Vols additionnels'!$E$7:$E$66,'Vols additionnels'!$C$7:$C$66,"NOSRUN",'Vols additionnels'!$D$7:$D$66,"77W",'Vols additionnels'!$B$7:$B$66,"&gt;="&amp;$J$84,'Vols additionnels'!$B$7:$B$66,"&lt;="&amp;$K$84)+SUMIFS('Vols additionnels'!$E$7:$E$66,'Vols additionnels'!$C$7:$C$66,"NOSRUN",'Vols additionnels'!$D$7:$D$66,"77W",'Vols additionnels'!$I$7:$I$66,"&gt;="&amp;$J$84,'Vols additionnels'!$I$7:$I$66,"&lt;="&amp;$K$84)-E151+D151)/2</f>
        <v>0</v>
      </c>
      <c r="F190" s="129" t="n">
        <f aca="false">F112+(SUMIFS('Vols additionnels'!$E$7:$E$66,'Vols additionnels'!$C$7:$C$66,"NOSRUN",'Vols additionnels'!$D$7:$D$66,"77W",'Vols additionnels'!$B$7:$B$66,"&gt;="&amp;$J$85,'Vols additionnels'!$B$7:$B$66,"&lt;="&amp;$K$85)+SUMIFS('Vols additionnels'!$E$7:$E$66,'Vols additionnels'!$C$7:$C$66,"NOSRUN",'Vols additionnels'!$D$7:$D$66,"77W",'Vols additionnels'!$I$7:$I$66,"&gt;="&amp;$J$85,'Vols additionnels'!$I$7:$I$66,"&lt;="&amp;$K$85)-F151+E151)/2</f>
        <v>0</v>
      </c>
      <c r="G190" s="129" t="n">
        <f aca="false">G112+(SUMIFS('Vols additionnels'!$E$7:$E$66,'Vols additionnels'!$C$7:$C$66,"NOSRUN",'Vols additionnels'!$D$7:$D$66,"77W",'Vols additionnels'!$B$7:$B$66,"&gt;="&amp;$J$86,'Vols additionnels'!$B$7:$B$66,"&lt;="&amp;$K$86)+SUMIFS('Vols additionnels'!$E$7:$E$66,'Vols additionnels'!$C$7:$C$66,"NOSRUN",'Vols additionnels'!$D$7:$D$66,"77W",'Vols additionnels'!$I$7:$I$66,"&gt;="&amp;$J$86,'Vols additionnels'!$I$7:$I$66,"&lt;="&amp;$K$86)-G151+F151)/2</f>
        <v>0</v>
      </c>
      <c r="H190" s="129" t="n">
        <f aca="false">H112+(SUMIFS('Vols additionnels'!$E$7:$E$66,'Vols additionnels'!$C$7:$C$66,"NOSRUN",'Vols additionnels'!$D$7:$D$66,"77W",'Vols additionnels'!$B$7:$B$66,"&gt;="&amp;$J$87,'Vols additionnels'!$B$7:$B$66,"&lt;="&amp;$K$87)+SUMIFS('Vols additionnels'!$E$7:$E$66,'Vols additionnels'!$C$7:$C$66,"NOSRUN",'Vols additionnels'!$D$7:$D$66,"77W",'Vols additionnels'!$I$7:$I$66,"&gt;="&amp;$J$87,'Vols additionnels'!$I$7:$I$66,"&lt;="&amp;$K$87)-H151+G151)/2</f>
        <v>0</v>
      </c>
      <c r="I190" s="129" t="n">
        <f aca="false">I112+(SUMIFS('Vols additionnels'!$E$7:$E$66,'Vols additionnels'!$C$7:$C$66,"NOSRUN",'Vols additionnels'!$D$7:$D$66,"77W",'Vols additionnels'!$B$7:$B$66,"&gt;="&amp;$J$88,'Vols additionnels'!$B$7:$B$66,"&lt;="&amp;$K$88)+SUMIFS('Vols additionnels'!$E$7:$E$66,'Vols additionnels'!$C$7:$C$66,"NOSRUN",'Vols additionnels'!$D$7:$D$66,"77W",'Vols additionnels'!$I$7:$I$66,"&gt;="&amp;$J$88,'Vols additionnels'!$I$7:$I$66,"&lt;="&amp;$K$88)-I151+H151)/2</f>
        <v>0</v>
      </c>
      <c r="J190" s="129" t="n">
        <f aca="false">J112+(SUMIFS('Vols additionnels'!$E$7:$E$66,'Vols additionnels'!$C$7:$C$66,"NOSRUN",'Vols additionnels'!$D$7:$D$66,"77W",'Vols additionnels'!$B$7:$B$66,"&gt;="&amp;$J$89,'Vols additionnels'!$B$7:$B$66,"&lt;="&amp;$K$89)+SUMIFS('Vols additionnels'!$E$7:$E$66,'Vols additionnels'!$C$7:$C$66,"NOSRUN",'Vols additionnels'!$D$7:$D$66,"77W",'Vols additionnels'!$I$7:$I$66,"&gt;="&amp;$J$89,'Vols additionnels'!$I$7:$I$66,"&lt;="&amp;$K$89)-J151+I151)/2</f>
        <v>0</v>
      </c>
      <c r="K190" s="129" t="n">
        <f aca="false">K112+(SUMIFS('Vols additionnels'!$E$7:$E$66,'Vols additionnels'!$C$7:$C$66,"NOSRUN",'Vols additionnels'!$D$7:$D$66,"77W",'Vols additionnels'!$B$7:$B$66,"&gt;="&amp;$J$90,'Vols additionnels'!$B$7:$B$66,"&lt;="&amp;$K$90)+SUMIFS('Vols additionnels'!$E$7:$E$66,'Vols additionnels'!$C$7:$C$66,"NOSRUN",'Vols additionnels'!$D$7:$D$66,"77W",'Vols additionnels'!$I$7:$I$66,"&gt;="&amp;$J$90,'Vols additionnels'!$I$7:$I$66,"&lt;="&amp;$K$90)-K151+J151)/2</f>
        <v>0</v>
      </c>
      <c r="L190" s="129" t="n">
        <f aca="false">L112+(SUMIFS('Vols additionnels'!$E$7:$E$66,'Vols additionnels'!$C$7:$C$66,"NOSRUN",'Vols additionnels'!$D$7:$D$66,"77W",'Vols additionnels'!$B$7:$B$66,"&gt;="&amp;$J$91,'Vols additionnels'!$B$7:$B$66,"&lt;="&amp;$K$91)+SUMIFS('Vols additionnels'!$E$7:$E$66,'Vols additionnels'!$C$7:$C$66,"NOSRUN",'Vols additionnels'!$D$7:$D$66,"77W",'Vols additionnels'!$I$7:$I$66,"&gt;="&amp;$J$91,'Vols additionnels'!$I$7:$I$66,"&lt;="&amp;$K$91)-L151+K151)/2</f>
        <v>0</v>
      </c>
      <c r="M190" s="129" t="n">
        <f aca="false">M112+(SUMIFS('Vols additionnels'!$E$7:$E$66,'Vols additionnels'!$C$7:$C$66,"NOSRUN",'Vols additionnels'!$D$7:$D$66,"77W",'Vols additionnels'!$B$7:$B$66,"&gt;="&amp;$J$92,'Vols additionnels'!$B$7:$B$66,"&lt;="&amp;$K$92)+SUMIFS('Vols additionnels'!$E$7:$E$66,'Vols additionnels'!$C$7:$C$66,"NOSRUN",'Vols additionnels'!$D$7:$D$66,"77W",'Vols additionnels'!$I$7:$I$66,"&gt;="&amp;$J$92,'Vols additionnels'!$I$7:$I$66,"&lt;="&amp;$K$92)-M151+L151)/2</f>
        <v>0</v>
      </c>
      <c r="N190" s="129" t="n">
        <f aca="false">N112+(SUMIFS('Vols additionnels'!$E$7:$E$66,'Vols additionnels'!$C$7:$C$66,"NOSRUN",'Vols additionnels'!$D$7:$D$66,"77W",'Vols additionnels'!$B$7:$B$66,"&gt;="&amp;$J$93,'Vols additionnels'!$B$7:$B$66,"&lt;="&amp;$K$93)+SUMIFS('Vols additionnels'!$E$7:$E$66,'Vols additionnels'!$C$7:$C$66,"NOSRUN",'Vols additionnels'!$D$7:$D$66,"77W",'Vols additionnels'!$I$7:$I$66,"&gt;="&amp;$J$93,'Vols additionnels'!$I$7:$I$66,"&lt;="&amp;$K$93)-N151+M151)/2</f>
        <v>0</v>
      </c>
      <c r="O190" s="12" t="s">
        <v>14</v>
      </c>
      <c r="P190" s="12" t="s">
        <v>11</v>
      </c>
    </row>
    <row r="191" customFormat="false" ht="15" hidden="false" customHeight="false" outlineLevel="0" collapsed="false">
      <c r="B191" s="10" t="s">
        <v>153</v>
      </c>
      <c r="C191" s="129" t="n">
        <f aca="false">C113+(SUMIFS('Vols additionnels'!$E$7:$E$66,'Vols additionnels'!$C$7:$C$66,"NOSRUN",'Vols additionnels'!$D$7:$D$66,"787",'Vols additionnels'!$B$7:$B$66,"&gt;="&amp;$J$82,'Vols additionnels'!$B$7:$B$66,"&lt;="&amp;$K$82)+SUMIFS('Vols additionnels'!$E$7:$E$66,'Vols additionnels'!$C$7:$C$66,"NOSRUN",'Vols additionnels'!$D$7:$D$66,"787",'Vols additionnels'!$I$7:$I$66,"&gt;="&amp;$J$82,'Vols additionnels'!$I$7:$I$66,"&lt;="&amp;$K$82)-C152+0)/2</f>
        <v>0</v>
      </c>
      <c r="D191" s="129" t="n">
        <f aca="false">D113+(SUMIFS('Vols additionnels'!$E$7:$E$66,'Vols additionnels'!$C$7:$C$66,"NOSRUN",'Vols additionnels'!$D$7:$D$66,"787",'Vols additionnels'!$B$7:$B$66,"&gt;="&amp;$J$83,'Vols additionnels'!$B$7:$B$66,"&lt;="&amp;$K$83)+SUMIFS('Vols additionnels'!$E$7:$E$66,'Vols additionnels'!$C$7:$C$66,"NOSRUN",'Vols additionnels'!$D$7:$D$66,"787",'Vols additionnels'!$I$7:$I$66,"&gt;="&amp;$J$83,'Vols additionnels'!$I$7:$I$66,"&lt;="&amp;$K$83)-D152+C152)/2</f>
        <v>0</v>
      </c>
      <c r="E191" s="129" t="n">
        <f aca="false">E113+(SUMIFS('Vols additionnels'!$E$7:$E$66,'Vols additionnels'!$C$7:$C$66,"NOSRUN",'Vols additionnels'!$D$7:$D$66,"787",'Vols additionnels'!$B$7:$B$66,"&gt;="&amp;$J$84,'Vols additionnels'!$B$7:$B$66,"&lt;="&amp;$K$84)+SUMIFS('Vols additionnels'!$E$7:$E$66,'Vols additionnels'!$C$7:$C$66,"NOSRUN",'Vols additionnels'!$D$7:$D$66,"787",'Vols additionnels'!$I$7:$I$66,"&gt;="&amp;$J$84,'Vols additionnels'!$I$7:$I$66,"&lt;="&amp;$K$84)-E152+D152)/2</f>
        <v>0</v>
      </c>
      <c r="F191" s="129" t="n">
        <f aca="false">F113+(SUMIFS('Vols additionnels'!$E$7:$E$66,'Vols additionnels'!$C$7:$C$66,"NOSRUN",'Vols additionnels'!$D$7:$D$66,"787",'Vols additionnels'!$B$7:$B$66,"&gt;="&amp;$J$85,'Vols additionnels'!$B$7:$B$66,"&lt;="&amp;$K$85)+SUMIFS('Vols additionnels'!$E$7:$E$66,'Vols additionnels'!$C$7:$C$66,"NOSRUN",'Vols additionnels'!$D$7:$D$66,"787",'Vols additionnels'!$I$7:$I$66,"&gt;="&amp;$J$85,'Vols additionnels'!$I$7:$I$66,"&lt;="&amp;$K$85)-F152+E152)/2</f>
        <v>0</v>
      </c>
      <c r="G191" s="129" t="n">
        <f aca="false">G113+(SUMIFS('Vols additionnels'!$E$7:$E$66,'Vols additionnels'!$C$7:$C$66,"NOSRUN",'Vols additionnels'!$D$7:$D$66,"787",'Vols additionnels'!$B$7:$B$66,"&gt;="&amp;$J$86,'Vols additionnels'!$B$7:$B$66,"&lt;="&amp;$K$86)+SUMIFS('Vols additionnels'!$E$7:$E$66,'Vols additionnels'!$C$7:$C$66,"NOSRUN",'Vols additionnels'!$D$7:$D$66,"787",'Vols additionnels'!$I$7:$I$66,"&gt;="&amp;$J$86,'Vols additionnels'!$I$7:$I$66,"&lt;="&amp;$K$86)-G152+F152)/2</f>
        <v>0</v>
      </c>
      <c r="H191" s="129" t="n">
        <f aca="false">H113+(SUMIFS('Vols additionnels'!$E$7:$E$66,'Vols additionnels'!$C$7:$C$66,"NOSRUN",'Vols additionnels'!$D$7:$D$66,"787",'Vols additionnels'!$B$7:$B$66,"&gt;="&amp;$J$87,'Vols additionnels'!$B$7:$B$66,"&lt;="&amp;$K$87)+SUMIFS('Vols additionnels'!$E$7:$E$66,'Vols additionnels'!$C$7:$C$66,"NOSRUN",'Vols additionnels'!$D$7:$D$66,"787",'Vols additionnels'!$I$7:$I$66,"&gt;="&amp;$J$87,'Vols additionnels'!$I$7:$I$66,"&lt;="&amp;$K$87)-H152+G152)/2</f>
        <v>0</v>
      </c>
      <c r="I191" s="129" t="n">
        <f aca="false">I113+(SUMIFS('Vols additionnels'!$E$7:$E$66,'Vols additionnels'!$C$7:$C$66,"NOSRUN",'Vols additionnels'!$D$7:$D$66,"787",'Vols additionnels'!$B$7:$B$66,"&gt;="&amp;$J$88,'Vols additionnels'!$B$7:$B$66,"&lt;="&amp;$K$88)+SUMIFS('Vols additionnels'!$E$7:$E$66,'Vols additionnels'!$C$7:$C$66,"NOSRUN",'Vols additionnels'!$D$7:$D$66,"787",'Vols additionnels'!$I$7:$I$66,"&gt;="&amp;$J$88,'Vols additionnels'!$I$7:$I$66,"&lt;="&amp;$K$88)-I152+H152)/2</f>
        <v>0</v>
      </c>
      <c r="J191" s="129" t="n">
        <f aca="false">J113+(SUMIFS('Vols additionnels'!$E$7:$E$66,'Vols additionnels'!$C$7:$C$66,"NOSRUN",'Vols additionnels'!$D$7:$D$66,"787",'Vols additionnels'!$B$7:$B$66,"&gt;="&amp;$J$89,'Vols additionnels'!$B$7:$B$66,"&lt;="&amp;$K$89)+SUMIFS('Vols additionnels'!$E$7:$E$66,'Vols additionnels'!$C$7:$C$66,"NOSRUN",'Vols additionnels'!$D$7:$D$66,"787",'Vols additionnels'!$I$7:$I$66,"&gt;="&amp;$J$89,'Vols additionnels'!$I$7:$I$66,"&lt;="&amp;$K$89)-J152+I152)/2</f>
        <v>0</v>
      </c>
      <c r="K191" s="129" t="n">
        <f aca="false">K113+(SUMIFS('Vols additionnels'!$E$7:$E$66,'Vols additionnels'!$C$7:$C$66,"NOSRUN",'Vols additionnels'!$D$7:$D$66,"787",'Vols additionnels'!$B$7:$B$66,"&gt;="&amp;$J$90,'Vols additionnels'!$B$7:$B$66,"&lt;="&amp;$K$90)+SUMIFS('Vols additionnels'!$E$7:$E$66,'Vols additionnels'!$C$7:$C$66,"NOSRUN",'Vols additionnels'!$D$7:$D$66,"787",'Vols additionnels'!$I$7:$I$66,"&gt;="&amp;$J$90,'Vols additionnels'!$I$7:$I$66,"&lt;="&amp;$K$90)-K152+J152)/2</f>
        <v>0</v>
      </c>
      <c r="L191" s="129" t="n">
        <f aca="false">L113+(SUMIFS('Vols additionnels'!$E$7:$E$66,'Vols additionnels'!$C$7:$C$66,"NOSRUN",'Vols additionnels'!$D$7:$D$66,"787",'Vols additionnels'!$B$7:$B$66,"&gt;="&amp;$J$91,'Vols additionnels'!$B$7:$B$66,"&lt;="&amp;$K$91)+SUMIFS('Vols additionnels'!$E$7:$E$66,'Vols additionnels'!$C$7:$C$66,"NOSRUN",'Vols additionnels'!$D$7:$D$66,"787",'Vols additionnels'!$I$7:$I$66,"&gt;="&amp;$J$91,'Vols additionnels'!$I$7:$I$66,"&lt;="&amp;$K$91)-L152+K152)/2</f>
        <v>0</v>
      </c>
      <c r="M191" s="129" t="n">
        <f aca="false">M113+(SUMIFS('Vols additionnels'!$E$7:$E$66,'Vols additionnels'!$C$7:$C$66,"NOSRUN",'Vols additionnels'!$D$7:$D$66,"787",'Vols additionnels'!$B$7:$B$66,"&gt;="&amp;$J$92,'Vols additionnels'!$B$7:$B$66,"&lt;="&amp;$K$92)+SUMIFS('Vols additionnels'!$E$7:$E$66,'Vols additionnels'!$C$7:$C$66,"NOSRUN",'Vols additionnels'!$D$7:$D$66,"787",'Vols additionnels'!$I$7:$I$66,"&gt;="&amp;$J$92,'Vols additionnels'!$I$7:$I$66,"&lt;="&amp;$K$92)-M152+L152)/2</f>
        <v>0</v>
      </c>
      <c r="N191" s="129" t="n">
        <f aca="false">N113+(SUMIFS('Vols additionnels'!$E$7:$E$66,'Vols additionnels'!$C$7:$C$66,"NOSRUN",'Vols additionnels'!$D$7:$D$66,"787",'Vols additionnels'!$B$7:$B$66,"&gt;="&amp;$J$93,'Vols additionnels'!$B$7:$B$66,"&lt;="&amp;$K$93)+SUMIFS('Vols additionnels'!$E$7:$E$66,'Vols additionnels'!$C$7:$C$66,"NOSRUN",'Vols additionnels'!$D$7:$D$66,"787",'Vols additionnels'!$I$7:$I$66,"&gt;="&amp;$J$93,'Vols additionnels'!$I$7:$I$66,"&lt;="&amp;$K$93)-N152+M152)/2</f>
        <v>0</v>
      </c>
      <c r="O191" s="12" t="s">
        <v>14</v>
      </c>
      <c r="P191" s="12" t="s">
        <v>19</v>
      </c>
    </row>
    <row r="192" customFormat="false" ht="15" hidden="false" customHeight="false" outlineLevel="0" collapsed="false">
      <c r="B192" s="10" t="s">
        <v>154</v>
      </c>
      <c r="C192" s="129" t="n">
        <f aca="false">C114+(SUMIFS('Vols additionnels'!$E$7:$E$66,'Vols additionnels'!$C$7:$C$66,"NOSRUN",'Vols additionnels'!$D$7:$D$66,"A320",'Vols additionnels'!$B$7:$B$66,"&gt;="&amp;$J$82,'Vols additionnels'!$B$7:$B$66,"&lt;="&amp;$K$82)+SUMIFS('Vols additionnels'!$E$7:$E$66,'Vols additionnels'!$C$7:$C$66,"NOSRUN",'Vols additionnels'!$D$7:$D$66,"A320",'Vols additionnels'!$I$7:$I$66,"&gt;="&amp;$J$82,'Vols additionnels'!$I$7:$I$66,"&lt;="&amp;$K$82)-C153+0)/2</f>
        <v>13</v>
      </c>
      <c r="D192" s="129" t="n">
        <f aca="false">D114+(SUMIFS('Vols additionnels'!$E$7:$E$66,'Vols additionnels'!$C$7:$C$66,"NOSRUN",'Vols additionnels'!$D$7:$D$66,"A320",'Vols additionnels'!$B$7:$B$66,"&gt;="&amp;$J$83,'Vols additionnels'!$B$7:$B$66,"&lt;="&amp;$K$83)+SUMIFS('Vols additionnels'!$E$7:$E$66,'Vols additionnels'!$C$7:$C$66,"NOSRUN",'Vols additionnels'!$D$7:$D$66,"A320",'Vols additionnels'!$I$7:$I$66,"&gt;="&amp;$J$83,'Vols additionnels'!$I$7:$I$66,"&lt;="&amp;$K$83)-D153+C153)/2</f>
        <v>14</v>
      </c>
      <c r="E192" s="129" t="n">
        <f aca="false">E114+(SUMIFS('Vols additionnels'!$E$7:$E$66,'Vols additionnels'!$C$7:$C$66,"NOSRUN",'Vols additionnels'!$D$7:$D$66,"A320",'Vols additionnels'!$B$7:$B$66,"&gt;="&amp;$J$84,'Vols additionnels'!$B$7:$B$66,"&lt;="&amp;$K$84)+SUMIFS('Vols additionnels'!$E$7:$E$66,'Vols additionnels'!$C$7:$C$66,"NOSRUN",'Vols additionnels'!$D$7:$D$66,"A320",'Vols additionnels'!$I$7:$I$66,"&gt;="&amp;$J$84,'Vols additionnels'!$I$7:$I$66,"&lt;="&amp;$K$84)-E153+D153)/2</f>
        <v>12</v>
      </c>
      <c r="F192" s="129" t="n">
        <f aca="false">F114+(SUMIFS('Vols additionnels'!$E$7:$E$66,'Vols additionnels'!$C$7:$C$66,"NOSRUN",'Vols additionnels'!$D$7:$D$66,"A320",'Vols additionnels'!$B$7:$B$66,"&gt;="&amp;$J$85,'Vols additionnels'!$B$7:$B$66,"&lt;="&amp;$K$85)+SUMIFS('Vols additionnels'!$E$7:$E$66,'Vols additionnels'!$C$7:$C$66,"NOSRUN",'Vols additionnels'!$D$7:$D$66,"A320",'Vols additionnels'!$I$7:$I$66,"&gt;="&amp;$J$85,'Vols additionnels'!$I$7:$I$66,"&lt;="&amp;$K$85)-F153+E153)/2</f>
        <v>18</v>
      </c>
      <c r="G192" s="129" t="n">
        <f aca="false">G114+(SUMIFS('Vols additionnels'!$E$7:$E$66,'Vols additionnels'!$C$7:$C$66,"NOSRUN",'Vols additionnels'!$D$7:$D$66,"A320",'Vols additionnels'!$B$7:$B$66,"&gt;="&amp;$J$86,'Vols additionnels'!$B$7:$B$66,"&lt;="&amp;$K$86)+SUMIFS('Vols additionnels'!$E$7:$E$66,'Vols additionnels'!$C$7:$C$66,"NOSRUN",'Vols additionnels'!$D$7:$D$66,"A320",'Vols additionnels'!$I$7:$I$66,"&gt;="&amp;$J$86,'Vols additionnels'!$I$7:$I$66,"&lt;="&amp;$K$86)-G153+F153)/2</f>
        <v>13</v>
      </c>
      <c r="H192" s="129" t="n">
        <f aca="false">H114+(SUMIFS('Vols additionnels'!$E$7:$E$66,'Vols additionnels'!$C$7:$C$66,"NOSRUN",'Vols additionnels'!$D$7:$D$66,"A320",'Vols additionnels'!$B$7:$B$66,"&gt;="&amp;$J$87,'Vols additionnels'!$B$7:$B$66,"&lt;="&amp;$K$87)+SUMIFS('Vols additionnels'!$E$7:$E$66,'Vols additionnels'!$C$7:$C$66,"NOSRUN",'Vols additionnels'!$D$7:$D$66,"A320",'Vols additionnels'!$I$7:$I$66,"&gt;="&amp;$J$87,'Vols additionnels'!$I$7:$I$66,"&lt;="&amp;$K$87)-H153+G153)/2</f>
        <v>13</v>
      </c>
      <c r="I192" s="129" t="n">
        <f aca="false">I114+(SUMIFS('Vols additionnels'!$E$7:$E$66,'Vols additionnels'!$C$7:$C$66,"NOSRUN",'Vols additionnels'!$D$7:$D$66,"A320",'Vols additionnels'!$B$7:$B$66,"&gt;="&amp;$J$88,'Vols additionnels'!$B$7:$B$66,"&lt;="&amp;$K$88)+SUMIFS('Vols additionnels'!$E$7:$E$66,'Vols additionnels'!$C$7:$C$66,"NOSRUN",'Vols additionnels'!$D$7:$D$66,"A320",'Vols additionnels'!$I$7:$I$66,"&gt;="&amp;$J$88,'Vols additionnels'!$I$7:$I$66,"&lt;="&amp;$K$88)-I153+H153)/2</f>
        <v>13</v>
      </c>
      <c r="J192" s="129" t="n">
        <f aca="false">J114+(SUMIFS('Vols additionnels'!$E$7:$E$66,'Vols additionnels'!$C$7:$C$66,"NOSRUN",'Vols additionnels'!$D$7:$D$66,"A320",'Vols additionnels'!$B$7:$B$66,"&gt;="&amp;$J$89,'Vols additionnels'!$B$7:$B$66,"&lt;="&amp;$K$89)+SUMIFS('Vols additionnels'!$E$7:$E$66,'Vols additionnels'!$C$7:$C$66,"NOSRUN",'Vols additionnels'!$D$7:$D$66,"A320",'Vols additionnels'!$I$7:$I$66,"&gt;="&amp;$J$89,'Vols additionnels'!$I$7:$I$66,"&lt;="&amp;$K$89)-J153+I153)/2</f>
        <v>13</v>
      </c>
      <c r="K192" s="129" t="n">
        <f aca="false">K114+(SUMIFS('Vols additionnels'!$E$7:$E$66,'Vols additionnels'!$C$7:$C$66,"NOSRUN",'Vols additionnels'!$D$7:$D$66,"A320",'Vols additionnels'!$B$7:$B$66,"&gt;="&amp;$J$90,'Vols additionnels'!$B$7:$B$66,"&lt;="&amp;$K$90)+SUMIFS('Vols additionnels'!$E$7:$E$66,'Vols additionnels'!$C$7:$C$66,"NOSRUN",'Vols additionnels'!$D$7:$D$66,"A320",'Vols additionnels'!$I$7:$I$66,"&gt;="&amp;$J$90,'Vols additionnels'!$I$7:$I$66,"&lt;="&amp;$K$90)-K153+J153)/2</f>
        <v>21</v>
      </c>
      <c r="L192" s="129" t="n">
        <f aca="false">L114+(SUMIFS('Vols additionnels'!$E$7:$E$66,'Vols additionnels'!$C$7:$C$66,"NOSRUN",'Vols additionnels'!$D$7:$D$66,"A320",'Vols additionnels'!$B$7:$B$66,"&gt;="&amp;$J$91,'Vols additionnels'!$B$7:$B$66,"&lt;="&amp;$K$91)+SUMIFS('Vols additionnels'!$E$7:$E$66,'Vols additionnels'!$C$7:$C$66,"NOSRUN",'Vols additionnels'!$D$7:$D$66,"A320",'Vols additionnels'!$I$7:$I$66,"&gt;="&amp;$J$91,'Vols additionnels'!$I$7:$I$66,"&lt;="&amp;$K$91)-L153+K153)/2</f>
        <v>14</v>
      </c>
      <c r="M192" s="129" t="n">
        <f aca="false">M114+(SUMIFS('Vols additionnels'!$E$7:$E$66,'Vols additionnels'!$C$7:$C$66,"NOSRUN",'Vols additionnels'!$D$7:$D$66,"A320",'Vols additionnels'!$B$7:$B$66,"&gt;="&amp;$J$92,'Vols additionnels'!$B$7:$B$66,"&lt;="&amp;$K$92)+SUMIFS('Vols additionnels'!$E$7:$E$66,'Vols additionnels'!$C$7:$C$66,"NOSRUN",'Vols additionnels'!$D$7:$D$66,"A320",'Vols additionnels'!$I$7:$I$66,"&gt;="&amp;$J$92,'Vols additionnels'!$I$7:$I$66,"&lt;="&amp;$K$92)-M153+L153)/2</f>
        <v>12</v>
      </c>
      <c r="N192" s="129" t="n">
        <f aca="false">N114+(SUMIFS('Vols additionnels'!$E$7:$E$66,'Vols additionnels'!$C$7:$C$66,"NOSRUN",'Vols additionnels'!$D$7:$D$66,"A320",'Vols additionnels'!$B$7:$B$66,"&gt;="&amp;$J$93,'Vols additionnels'!$B$7:$B$66,"&lt;="&amp;$K$93)+SUMIFS('Vols additionnels'!$E$7:$E$66,'Vols additionnels'!$C$7:$C$66,"NOSRUN",'Vols additionnels'!$D$7:$D$66,"A320",'Vols additionnels'!$I$7:$I$66,"&gt;="&amp;$J$93,'Vols additionnels'!$I$7:$I$66,"&lt;="&amp;$K$93)-N153+M153)/2</f>
        <v>13</v>
      </c>
      <c r="O192" s="12" t="s">
        <v>14</v>
      </c>
      <c r="P192" s="12" t="s">
        <v>24</v>
      </c>
    </row>
    <row r="193" customFormat="false" ht="15" hidden="false" customHeight="false" outlineLevel="0" collapsed="false">
      <c r="B193" s="10" t="s">
        <v>155</v>
      </c>
      <c r="C193" s="129" t="n">
        <f aca="false">C115+(SUMIFS('Vols additionnels'!$E$7:$E$66,'Vols additionnels'!$C$7:$C$66,"RUNTNR",'Vols additionnels'!$D$7:$D$66,"77W",'Vols additionnels'!$B$7:$B$66,"&gt;="&amp;$J$82,'Vols additionnels'!$B$7:$B$66,"&lt;="&amp;$K$82)+SUMIFS('Vols additionnels'!$E$7:$E$66,'Vols additionnels'!$C$7:$C$66,"RUNTNR",'Vols additionnels'!$D$7:$D$66,"77W",'Vols additionnels'!$I$7:$I$66,"&gt;="&amp;$J$82,'Vols additionnels'!$I$7:$I$66,"&lt;="&amp;$K$82)-C154+0)/2</f>
        <v>0</v>
      </c>
      <c r="D193" s="129" t="n">
        <f aca="false">D115+(SUMIFS('Vols additionnels'!$E$7:$E$66,'Vols additionnels'!$C$7:$C$66,"RUNTNR",'Vols additionnels'!$D$7:$D$66,"77W",'Vols additionnels'!$B$7:$B$66,"&gt;="&amp;$J$83,'Vols additionnels'!$B$7:$B$66,"&lt;="&amp;$K$83)+SUMIFS('Vols additionnels'!$E$7:$E$66,'Vols additionnels'!$C$7:$C$66,"RUNTNR",'Vols additionnels'!$D$7:$D$66,"77W",'Vols additionnels'!$I$7:$I$66,"&gt;="&amp;$J$83,'Vols additionnels'!$I$7:$I$66,"&lt;="&amp;$K$83)-D154+C154)/2</f>
        <v>0</v>
      </c>
      <c r="E193" s="129" t="n">
        <f aca="false">E115+(SUMIFS('Vols additionnels'!$E$7:$E$66,'Vols additionnels'!$C$7:$C$66,"RUNTNR",'Vols additionnels'!$D$7:$D$66,"77W",'Vols additionnels'!$B$7:$B$66,"&gt;="&amp;$J$84,'Vols additionnels'!$B$7:$B$66,"&lt;="&amp;$K$84)+SUMIFS('Vols additionnels'!$E$7:$E$66,'Vols additionnels'!$C$7:$C$66,"RUNTNR",'Vols additionnels'!$D$7:$D$66,"77W",'Vols additionnels'!$I$7:$I$66,"&gt;="&amp;$J$84,'Vols additionnels'!$I$7:$I$66,"&lt;="&amp;$K$84)-E154+D154)/2</f>
        <v>0</v>
      </c>
      <c r="F193" s="129" t="n">
        <f aca="false">F115+(SUMIFS('Vols additionnels'!$E$7:$E$66,'Vols additionnels'!$C$7:$C$66,"RUNTNR",'Vols additionnels'!$D$7:$D$66,"77W",'Vols additionnels'!$B$7:$B$66,"&gt;="&amp;$J$85,'Vols additionnels'!$B$7:$B$66,"&lt;="&amp;$K$85)+SUMIFS('Vols additionnels'!$E$7:$E$66,'Vols additionnels'!$C$7:$C$66,"RUNTNR",'Vols additionnels'!$D$7:$D$66,"77W",'Vols additionnels'!$I$7:$I$66,"&gt;="&amp;$J$85,'Vols additionnels'!$I$7:$I$66,"&lt;="&amp;$K$85)-F154+E154)/2</f>
        <v>0</v>
      </c>
      <c r="G193" s="129" t="n">
        <f aca="false">G115+(SUMIFS('Vols additionnels'!$E$7:$E$66,'Vols additionnels'!$C$7:$C$66,"RUNTNR",'Vols additionnels'!$D$7:$D$66,"77W",'Vols additionnels'!$B$7:$B$66,"&gt;="&amp;$J$86,'Vols additionnels'!$B$7:$B$66,"&lt;="&amp;$K$86)+SUMIFS('Vols additionnels'!$E$7:$E$66,'Vols additionnels'!$C$7:$C$66,"RUNTNR",'Vols additionnels'!$D$7:$D$66,"77W",'Vols additionnels'!$I$7:$I$66,"&gt;="&amp;$J$86,'Vols additionnels'!$I$7:$I$66,"&lt;="&amp;$K$86)-G154+F154)/2</f>
        <v>0</v>
      </c>
      <c r="H193" s="129" t="n">
        <f aca="false">H115+(SUMIFS('Vols additionnels'!$E$7:$E$66,'Vols additionnels'!$C$7:$C$66,"RUNTNR",'Vols additionnels'!$D$7:$D$66,"77W",'Vols additionnels'!$B$7:$B$66,"&gt;="&amp;$J$87,'Vols additionnels'!$B$7:$B$66,"&lt;="&amp;$K$87)+SUMIFS('Vols additionnels'!$E$7:$E$66,'Vols additionnels'!$C$7:$C$66,"RUNTNR",'Vols additionnels'!$D$7:$D$66,"77W",'Vols additionnels'!$I$7:$I$66,"&gt;="&amp;$J$87,'Vols additionnels'!$I$7:$I$66,"&lt;="&amp;$K$87)-H154+G154)/2</f>
        <v>0</v>
      </c>
      <c r="I193" s="129" t="n">
        <f aca="false">I115+(SUMIFS('Vols additionnels'!$E$7:$E$66,'Vols additionnels'!$C$7:$C$66,"RUNTNR",'Vols additionnels'!$D$7:$D$66,"77W",'Vols additionnels'!$B$7:$B$66,"&gt;="&amp;$J$88,'Vols additionnels'!$B$7:$B$66,"&lt;="&amp;$K$88)+SUMIFS('Vols additionnels'!$E$7:$E$66,'Vols additionnels'!$C$7:$C$66,"RUNTNR",'Vols additionnels'!$D$7:$D$66,"77W",'Vols additionnels'!$I$7:$I$66,"&gt;="&amp;$J$88,'Vols additionnels'!$I$7:$I$66,"&lt;="&amp;$K$88)-I154+H154)/2</f>
        <v>0</v>
      </c>
      <c r="J193" s="129" t="n">
        <f aca="false">J115+(SUMIFS('Vols additionnels'!$E$7:$E$66,'Vols additionnels'!$C$7:$C$66,"RUNTNR",'Vols additionnels'!$D$7:$D$66,"77W",'Vols additionnels'!$B$7:$B$66,"&gt;="&amp;$J$89,'Vols additionnels'!$B$7:$B$66,"&lt;="&amp;$K$89)+SUMIFS('Vols additionnels'!$E$7:$E$66,'Vols additionnels'!$C$7:$C$66,"RUNTNR",'Vols additionnels'!$D$7:$D$66,"77W",'Vols additionnels'!$I$7:$I$66,"&gt;="&amp;$J$89,'Vols additionnels'!$I$7:$I$66,"&lt;="&amp;$K$89)-J154+I154)/2</f>
        <v>0</v>
      </c>
      <c r="K193" s="129" t="n">
        <f aca="false">K115+(SUMIFS('Vols additionnels'!$E$7:$E$66,'Vols additionnels'!$C$7:$C$66,"RUNTNR",'Vols additionnels'!$D$7:$D$66,"77W",'Vols additionnels'!$B$7:$B$66,"&gt;="&amp;$J$90,'Vols additionnels'!$B$7:$B$66,"&lt;="&amp;$K$90)+SUMIFS('Vols additionnels'!$E$7:$E$66,'Vols additionnels'!$C$7:$C$66,"RUNTNR",'Vols additionnels'!$D$7:$D$66,"77W",'Vols additionnels'!$I$7:$I$66,"&gt;="&amp;$J$90,'Vols additionnels'!$I$7:$I$66,"&lt;="&amp;$K$90)-K154+J154)/2</f>
        <v>0</v>
      </c>
      <c r="L193" s="129" t="n">
        <f aca="false">L115+(SUMIFS('Vols additionnels'!$E$7:$E$66,'Vols additionnels'!$C$7:$C$66,"RUNTNR",'Vols additionnels'!$D$7:$D$66,"77W",'Vols additionnels'!$B$7:$B$66,"&gt;="&amp;$J$91,'Vols additionnels'!$B$7:$B$66,"&lt;="&amp;$K$91)+SUMIFS('Vols additionnels'!$E$7:$E$66,'Vols additionnels'!$C$7:$C$66,"RUNTNR",'Vols additionnels'!$D$7:$D$66,"77W",'Vols additionnels'!$I$7:$I$66,"&gt;="&amp;$J$91,'Vols additionnels'!$I$7:$I$66,"&lt;="&amp;$K$91)-L154+K154)/2</f>
        <v>0</v>
      </c>
      <c r="M193" s="129" t="n">
        <f aca="false">M115+(SUMIFS('Vols additionnels'!$E$7:$E$66,'Vols additionnels'!$C$7:$C$66,"RUNTNR",'Vols additionnels'!$D$7:$D$66,"77W",'Vols additionnels'!$B$7:$B$66,"&gt;="&amp;$J$92,'Vols additionnels'!$B$7:$B$66,"&lt;="&amp;$K$92)+SUMIFS('Vols additionnels'!$E$7:$E$66,'Vols additionnels'!$C$7:$C$66,"RUNTNR",'Vols additionnels'!$D$7:$D$66,"77W",'Vols additionnels'!$I$7:$I$66,"&gt;="&amp;$J$92,'Vols additionnels'!$I$7:$I$66,"&lt;="&amp;$K$92)-M154+L154)/2</f>
        <v>0</v>
      </c>
      <c r="N193" s="129" t="n">
        <f aca="false">N115+(SUMIFS('Vols additionnels'!$E$7:$E$66,'Vols additionnels'!$C$7:$C$66,"RUNTNR",'Vols additionnels'!$D$7:$D$66,"77W",'Vols additionnels'!$B$7:$B$66,"&gt;="&amp;$J$93,'Vols additionnels'!$B$7:$B$66,"&lt;="&amp;$K$93)+SUMIFS('Vols additionnels'!$E$7:$E$66,'Vols additionnels'!$C$7:$C$66,"RUNTNR",'Vols additionnels'!$D$7:$D$66,"77W",'Vols additionnels'!$I$7:$I$66,"&gt;="&amp;$J$93,'Vols additionnels'!$I$7:$I$66,"&lt;="&amp;$K$93)-N154+M154)/2</f>
        <v>0</v>
      </c>
      <c r="O193" s="12" t="s">
        <v>46</v>
      </c>
      <c r="P193" s="12" t="s">
        <v>11</v>
      </c>
    </row>
    <row r="194" customFormat="false" ht="15" hidden="false" customHeight="false" outlineLevel="0" collapsed="false">
      <c r="B194" s="10" t="s">
        <v>156</v>
      </c>
      <c r="C194" s="129" t="n">
        <f aca="false">C116+(SUMIFS('Vols additionnels'!$E$7:$E$66,'Vols additionnels'!$C$7:$C$66,"RUNTNR",'Vols additionnels'!$D$7:$D$66,"787",'Vols additionnels'!$B$7:$B$66,"&gt;="&amp;$J$82,'Vols additionnels'!$B$7:$B$66,"&lt;="&amp;$K$82)+SUMIFS('Vols additionnels'!$E$7:$E$66,'Vols additionnels'!$C$7:$C$66,"RUNTNR",'Vols additionnels'!$D$7:$D$66,"787",'Vols additionnels'!$I$7:$I$66,"&gt;="&amp;$J$82,'Vols additionnels'!$I$7:$I$66,"&lt;="&amp;$K$82)-C155+0)/2</f>
        <v>0</v>
      </c>
      <c r="D194" s="129" t="n">
        <f aca="false">D116+(SUMIFS('Vols additionnels'!$E$7:$E$66,'Vols additionnels'!$C$7:$C$66,"RUNTNR",'Vols additionnels'!$D$7:$D$66,"787",'Vols additionnels'!$B$7:$B$66,"&gt;="&amp;$J$83,'Vols additionnels'!$B$7:$B$66,"&lt;="&amp;$K$83)+SUMIFS('Vols additionnels'!$E$7:$E$66,'Vols additionnels'!$C$7:$C$66,"RUNTNR",'Vols additionnels'!$D$7:$D$66,"787",'Vols additionnels'!$I$7:$I$66,"&gt;="&amp;$J$83,'Vols additionnels'!$I$7:$I$66,"&lt;="&amp;$K$83)-D155+C155)/2</f>
        <v>0</v>
      </c>
      <c r="E194" s="129" t="n">
        <f aca="false">E116+(SUMIFS('Vols additionnels'!$E$7:$E$66,'Vols additionnels'!$C$7:$C$66,"RUNTNR",'Vols additionnels'!$D$7:$D$66,"787",'Vols additionnels'!$B$7:$B$66,"&gt;="&amp;$J$84,'Vols additionnels'!$B$7:$B$66,"&lt;="&amp;$K$84)+SUMIFS('Vols additionnels'!$E$7:$E$66,'Vols additionnels'!$C$7:$C$66,"RUNTNR",'Vols additionnels'!$D$7:$D$66,"787",'Vols additionnels'!$I$7:$I$66,"&gt;="&amp;$J$84,'Vols additionnels'!$I$7:$I$66,"&lt;="&amp;$K$84)-E155+D155)/2</f>
        <v>0</v>
      </c>
      <c r="F194" s="129" t="n">
        <f aca="false">F116+(SUMIFS('Vols additionnels'!$E$7:$E$66,'Vols additionnels'!$C$7:$C$66,"RUNTNR",'Vols additionnels'!$D$7:$D$66,"787",'Vols additionnels'!$B$7:$B$66,"&gt;="&amp;$J$85,'Vols additionnels'!$B$7:$B$66,"&lt;="&amp;$K$85)+SUMIFS('Vols additionnels'!$E$7:$E$66,'Vols additionnels'!$C$7:$C$66,"RUNTNR",'Vols additionnels'!$D$7:$D$66,"787",'Vols additionnels'!$I$7:$I$66,"&gt;="&amp;$J$85,'Vols additionnels'!$I$7:$I$66,"&lt;="&amp;$K$85)-F155+E155)/2</f>
        <v>0</v>
      </c>
      <c r="G194" s="129" t="n">
        <f aca="false">G116+(SUMIFS('Vols additionnels'!$E$7:$E$66,'Vols additionnels'!$C$7:$C$66,"RUNTNR",'Vols additionnels'!$D$7:$D$66,"787",'Vols additionnels'!$B$7:$B$66,"&gt;="&amp;$J$86,'Vols additionnels'!$B$7:$B$66,"&lt;="&amp;$K$86)+SUMIFS('Vols additionnels'!$E$7:$E$66,'Vols additionnels'!$C$7:$C$66,"RUNTNR",'Vols additionnels'!$D$7:$D$66,"787",'Vols additionnels'!$I$7:$I$66,"&gt;="&amp;$J$86,'Vols additionnels'!$I$7:$I$66,"&lt;="&amp;$K$86)-G155+F155)/2</f>
        <v>0</v>
      </c>
      <c r="H194" s="129" t="n">
        <f aca="false">H116+(SUMIFS('Vols additionnels'!$E$7:$E$66,'Vols additionnels'!$C$7:$C$66,"RUNTNR",'Vols additionnels'!$D$7:$D$66,"787",'Vols additionnels'!$B$7:$B$66,"&gt;="&amp;$J$87,'Vols additionnels'!$B$7:$B$66,"&lt;="&amp;$K$87)+SUMIFS('Vols additionnels'!$E$7:$E$66,'Vols additionnels'!$C$7:$C$66,"RUNTNR",'Vols additionnels'!$D$7:$D$66,"787",'Vols additionnels'!$I$7:$I$66,"&gt;="&amp;$J$87,'Vols additionnels'!$I$7:$I$66,"&lt;="&amp;$K$87)-H155+G155)/2</f>
        <v>0</v>
      </c>
      <c r="I194" s="129" t="n">
        <f aca="false">I116+(SUMIFS('Vols additionnels'!$E$7:$E$66,'Vols additionnels'!$C$7:$C$66,"RUNTNR",'Vols additionnels'!$D$7:$D$66,"787",'Vols additionnels'!$B$7:$B$66,"&gt;="&amp;$J$88,'Vols additionnels'!$B$7:$B$66,"&lt;="&amp;$K$88)+SUMIFS('Vols additionnels'!$E$7:$E$66,'Vols additionnels'!$C$7:$C$66,"RUNTNR",'Vols additionnels'!$D$7:$D$66,"787",'Vols additionnels'!$I$7:$I$66,"&gt;="&amp;$J$88,'Vols additionnels'!$I$7:$I$66,"&lt;="&amp;$K$88)-I155+H155)/2</f>
        <v>0</v>
      </c>
      <c r="J194" s="129" t="n">
        <f aca="false">J116+(SUMIFS('Vols additionnels'!$E$7:$E$66,'Vols additionnels'!$C$7:$C$66,"RUNTNR",'Vols additionnels'!$D$7:$D$66,"787",'Vols additionnels'!$B$7:$B$66,"&gt;="&amp;$J$89,'Vols additionnels'!$B$7:$B$66,"&lt;="&amp;$K$89)+SUMIFS('Vols additionnels'!$E$7:$E$66,'Vols additionnels'!$C$7:$C$66,"RUNTNR",'Vols additionnels'!$D$7:$D$66,"787",'Vols additionnels'!$I$7:$I$66,"&gt;="&amp;$J$89,'Vols additionnels'!$I$7:$I$66,"&lt;="&amp;$K$89)-J155+I155)/2</f>
        <v>0</v>
      </c>
      <c r="K194" s="129" t="n">
        <f aca="false">K116+(SUMIFS('Vols additionnels'!$E$7:$E$66,'Vols additionnels'!$C$7:$C$66,"RUNTNR",'Vols additionnels'!$D$7:$D$66,"787",'Vols additionnels'!$B$7:$B$66,"&gt;="&amp;$J$90,'Vols additionnels'!$B$7:$B$66,"&lt;="&amp;$K$90)+SUMIFS('Vols additionnels'!$E$7:$E$66,'Vols additionnels'!$C$7:$C$66,"RUNTNR",'Vols additionnels'!$D$7:$D$66,"787",'Vols additionnels'!$I$7:$I$66,"&gt;="&amp;$J$90,'Vols additionnels'!$I$7:$I$66,"&lt;="&amp;$K$90)-K155+J155)/2</f>
        <v>0</v>
      </c>
      <c r="L194" s="129" t="n">
        <f aca="false">L116+(SUMIFS('Vols additionnels'!$E$7:$E$66,'Vols additionnels'!$C$7:$C$66,"RUNTNR",'Vols additionnels'!$D$7:$D$66,"787",'Vols additionnels'!$B$7:$B$66,"&gt;="&amp;$J$91,'Vols additionnels'!$B$7:$B$66,"&lt;="&amp;$K$91)+SUMIFS('Vols additionnels'!$E$7:$E$66,'Vols additionnels'!$C$7:$C$66,"RUNTNR",'Vols additionnels'!$D$7:$D$66,"787",'Vols additionnels'!$I$7:$I$66,"&gt;="&amp;$J$91,'Vols additionnels'!$I$7:$I$66,"&lt;="&amp;$K$91)-L155+K155)/2</f>
        <v>0</v>
      </c>
      <c r="M194" s="129" t="n">
        <f aca="false">M116+(SUMIFS('Vols additionnels'!$E$7:$E$66,'Vols additionnels'!$C$7:$C$66,"RUNTNR",'Vols additionnels'!$D$7:$D$66,"787",'Vols additionnels'!$B$7:$B$66,"&gt;="&amp;$J$92,'Vols additionnels'!$B$7:$B$66,"&lt;="&amp;$K$92)+SUMIFS('Vols additionnels'!$E$7:$E$66,'Vols additionnels'!$C$7:$C$66,"RUNTNR",'Vols additionnels'!$D$7:$D$66,"787",'Vols additionnels'!$I$7:$I$66,"&gt;="&amp;$J$92,'Vols additionnels'!$I$7:$I$66,"&lt;="&amp;$K$92)-M155+L155)/2</f>
        <v>0</v>
      </c>
      <c r="N194" s="129" t="n">
        <f aca="false">N116+(SUMIFS('Vols additionnels'!$E$7:$E$66,'Vols additionnels'!$C$7:$C$66,"RUNTNR",'Vols additionnels'!$D$7:$D$66,"787",'Vols additionnels'!$B$7:$B$66,"&gt;="&amp;$J$93,'Vols additionnels'!$B$7:$B$66,"&lt;="&amp;$K$93)+SUMIFS('Vols additionnels'!$E$7:$E$66,'Vols additionnels'!$C$7:$C$66,"RUNTNR",'Vols additionnels'!$D$7:$D$66,"787",'Vols additionnels'!$I$7:$I$66,"&gt;="&amp;$J$93,'Vols additionnels'!$I$7:$I$66,"&lt;="&amp;$K$93)-N155+M155)/2</f>
        <v>0</v>
      </c>
      <c r="O194" s="12" t="s">
        <v>46</v>
      </c>
      <c r="P194" s="12" t="s">
        <v>19</v>
      </c>
    </row>
    <row r="195" customFormat="false" ht="15" hidden="false" customHeight="false" outlineLevel="0" collapsed="false">
      <c r="B195" s="10" t="s">
        <v>157</v>
      </c>
      <c r="C195" s="129" t="n">
        <f aca="false">C117+(SUMIFS('Vols additionnels'!$E$7:$E$66,'Vols additionnels'!$C$7:$C$66,"RUNTNR",'Vols additionnels'!$D$7:$D$66,"A320",'Vols additionnels'!$B$7:$B$66,"&gt;="&amp;$J$82,'Vols additionnels'!$B$7:$B$66,"&lt;="&amp;$K$82)+SUMIFS('Vols additionnels'!$E$7:$E$66,'Vols additionnels'!$C$7:$C$66,"RUNTNR",'Vols additionnels'!$D$7:$D$66,"A320",'Vols additionnels'!$I$7:$I$66,"&gt;="&amp;$J$82,'Vols additionnels'!$I$7:$I$66,"&lt;="&amp;$K$82)-C156+0)/2</f>
        <v>13</v>
      </c>
      <c r="D195" s="129" t="n">
        <f aca="false">D117+(SUMIFS('Vols additionnels'!$E$7:$E$66,'Vols additionnels'!$C$7:$C$66,"RUNTNR",'Vols additionnels'!$D$7:$D$66,"A320",'Vols additionnels'!$B$7:$B$66,"&gt;="&amp;$J$83,'Vols additionnels'!$B$7:$B$66,"&lt;="&amp;$K$83)+SUMIFS('Vols additionnels'!$E$7:$E$66,'Vols additionnels'!$C$7:$C$66,"RUNTNR",'Vols additionnels'!$D$7:$D$66,"A320",'Vols additionnels'!$I$7:$I$66,"&gt;="&amp;$J$83,'Vols additionnels'!$I$7:$I$66,"&lt;="&amp;$K$83)-D156+C156)/2</f>
        <v>13</v>
      </c>
      <c r="E195" s="129" t="n">
        <f aca="false">E117+(SUMIFS('Vols additionnels'!$E$7:$E$66,'Vols additionnels'!$C$7:$C$66,"RUNTNR",'Vols additionnels'!$D$7:$D$66,"A320",'Vols additionnels'!$B$7:$B$66,"&gt;="&amp;$J$84,'Vols additionnels'!$B$7:$B$66,"&lt;="&amp;$K$84)+SUMIFS('Vols additionnels'!$E$7:$E$66,'Vols additionnels'!$C$7:$C$66,"RUNTNR",'Vols additionnels'!$D$7:$D$66,"A320",'Vols additionnels'!$I$7:$I$66,"&gt;="&amp;$J$84,'Vols additionnels'!$I$7:$I$66,"&lt;="&amp;$K$84)-E156+D156)/2</f>
        <v>13</v>
      </c>
      <c r="F195" s="129" t="n">
        <f aca="false">F117+(SUMIFS('Vols additionnels'!$E$7:$E$66,'Vols additionnels'!$C$7:$C$66,"RUNTNR",'Vols additionnels'!$D$7:$D$66,"A320",'Vols additionnels'!$B$7:$B$66,"&gt;="&amp;$J$85,'Vols additionnels'!$B$7:$B$66,"&lt;="&amp;$K$85)+SUMIFS('Vols additionnels'!$E$7:$E$66,'Vols additionnels'!$C$7:$C$66,"RUNTNR",'Vols additionnels'!$D$7:$D$66,"A320",'Vols additionnels'!$I$7:$I$66,"&gt;="&amp;$J$85,'Vols additionnels'!$I$7:$I$66,"&lt;="&amp;$K$85)-F156+E156)/2</f>
        <v>14</v>
      </c>
      <c r="G195" s="129" t="n">
        <f aca="false">G117+(SUMIFS('Vols additionnels'!$E$7:$E$66,'Vols additionnels'!$C$7:$C$66,"RUNTNR",'Vols additionnels'!$D$7:$D$66,"A320",'Vols additionnels'!$B$7:$B$66,"&gt;="&amp;$J$86,'Vols additionnels'!$B$7:$B$66,"&lt;="&amp;$K$86)+SUMIFS('Vols additionnels'!$E$7:$E$66,'Vols additionnels'!$C$7:$C$66,"RUNTNR",'Vols additionnels'!$D$7:$D$66,"A320",'Vols additionnels'!$I$7:$I$66,"&gt;="&amp;$J$86,'Vols additionnels'!$I$7:$I$66,"&lt;="&amp;$K$86)-G156+F156)/2</f>
        <v>13</v>
      </c>
      <c r="H195" s="129" t="n">
        <f aca="false">H117+(SUMIFS('Vols additionnels'!$E$7:$E$66,'Vols additionnels'!$C$7:$C$66,"RUNTNR",'Vols additionnels'!$D$7:$D$66,"A320",'Vols additionnels'!$B$7:$B$66,"&gt;="&amp;$J$87,'Vols additionnels'!$B$7:$B$66,"&lt;="&amp;$K$87)+SUMIFS('Vols additionnels'!$E$7:$E$66,'Vols additionnels'!$C$7:$C$66,"RUNTNR",'Vols additionnels'!$D$7:$D$66,"A320",'Vols additionnels'!$I$7:$I$66,"&gt;="&amp;$J$87,'Vols additionnels'!$I$7:$I$66,"&lt;="&amp;$K$87)-H156+G156)/2</f>
        <v>13</v>
      </c>
      <c r="I195" s="129" t="n">
        <f aca="false">I117+(SUMIFS('Vols additionnels'!$E$7:$E$66,'Vols additionnels'!$C$7:$C$66,"RUNTNR",'Vols additionnels'!$D$7:$D$66,"A320",'Vols additionnels'!$B$7:$B$66,"&gt;="&amp;$J$88,'Vols additionnels'!$B$7:$B$66,"&lt;="&amp;$K$88)+SUMIFS('Vols additionnels'!$E$7:$E$66,'Vols additionnels'!$C$7:$C$66,"RUNTNR",'Vols additionnels'!$D$7:$D$66,"A320",'Vols additionnels'!$I$7:$I$66,"&gt;="&amp;$J$88,'Vols additionnels'!$I$7:$I$66,"&lt;="&amp;$K$88)-I156+H156)/2</f>
        <v>13</v>
      </c>
      <c r="J195" s="129" t="n">
        <f aca="false">J117+(SUMIFS('Vols additionnels'!$E$7:$E$66,'Vols additionnels'!$C$7:$C$66,"RUNTNR",'Vols additionnels'!$D$7:$D$66,"A320",'Vols additionnels'!$B$7:$B$66,"&gt;="&amp;$J$89,'Vols additionnels'!$B$7:$B$66,"&lt;="&amp;$K$89)+SUMIFS('Vols additionnels'!$E$7:$E$66,'Vols additionnels'!$C$7:$C$66,"RUNTNR",'Vols additionnels'!$D$7:$D$66,"A320",'Vols additionnels'!$I$7:$I$66,"&gt;="&amp;$J$89,'Vols additionnels'!$I$7:$I$66,"&lt;="&amp;$K$89)-J156+I156)/2</f>
        <v>13</v>
      </c>
      <c r="K195" s="129" t="n">
        <f aca="false">K117+(SUMIFS('Vols additionnels'!$E$7:$E$66,'Vols additionnels'!$C$7:$C$66,"RUNTNR",'Vols additionnels'!$D$7:$D$66,"A320",'Vols additionnels'!$B$7:$B$66,"&gt;="&amp;$J$90,'Vols additionnels'!$B$7:$B$66,"&lt;="&amp;$K$90)+SUMIFS('Vols additionnels'!$E$7:$E$66,'Vols additionnels'!$C$7:$C$66,"RUNTNR",'Vols additionnels'!$D$7:$D$66,"A320",'Vols additionnels'!$I$7:$I$66,"&gt;="&amp;$J$90,'Vols additionnels'!$I$7:$I$66,"&lt;="&amp;$K$90)-K156+J156)/2</f>
        <v>13</v>
      </c>
      <c r="L195" s="129" t="n">
        <f aca="false">L117+(SUMIFS('Vols additionnels'!$E$7:$E$66,'Vols additionnels'!$C$7:$C$66,"RUNTNR",'Vols additionnels'!$D$7:$D$66,"A320",'Vols additionnels'!$B$7:$B$66,"&gt;="&amp;$J$91,'Vols additionnels'!$B$7:$B$66,"&lt;="&amp;$K$91)+SUMIFS('Vols additionnels'!$E$7:$E$66,'Vols additionnels'!$C$7:$C$66,"RUNTNR",'Vols additionnels'!$D$7:$D$66,"A320",'Vols additionnels'!$I$7:$I$66,"&gt;="&amp;$J$91,'Vols additionnels'!$I$7:$I$66,"&lt;="&amp;$K$91)-L156+K156)/2</f>
        <v>13</v>
      </c>
      <c r="M195" s="129" t="n">
        <f aca="false">M117+(SUMIFS('Vols additionnels'!$E$7:$E$66,'Vols additionnels'!$C$7:$C$66,"RUNTNR",'Vols additionnels'!$D$7:$D$66,"A320",'Vols additionnels'!$B$7:$B$66,"&gt;="&amp;$J$92,'Vols additionnels'!$B$7:$B$66,"&lt;="&amp;$K$92)+SUMIFS('Vols additionnels'!$E$7:$E$66,'Vols additionnels'!$C$7:$C$66,"RUNTNR",'Vols additionnels'!$D$7:$D$66,"A320",'Vols additionnels'!$I$7:$I$66,"&gt;="&amp;$J$92,'Vols additionnels'!$I$7:$I$66,"&lt;="&amp;$K$92)-M156+L156)/2</f>
        <v>13</v>
      </c>
      <c r="N195" s="129" t="n">
        <f aca="false">N117+(SUMIFS('Vols additionnels'!$E$7:$E$66,'Vols additionnels'!$C$7:$C$66,"RUNTNR",'Vols additionnels'!$D$7:$D$66,"A320",'Vols additionnels'!$B$7:$B$66,"&gt;="&amp;$J$93,'Vols additionnels'!$B$7:$B$66,"&lt;="&amp;$K$93)+SUMIFS('Vols additionnels'!$E$7:$E$66,'Vols additionnels'!$C$7:$C$66,"RUNTNR",'Vols additionnels'!$D$7:$D$66,"A320",'Vols additionnels'!$I$7:$I$66,"&gt;="&amp;$J$93,'Vols additionnels'!$I$7:$I$66,"&lt;="&amp;$K$93)-N156+M156)/2</f>
        <v>13</v>
      </c>
      <c r="O195" s="12" t="s">
        <v>46</v>
      </c>
      <c r="P195" s="12" t="s">
        <v>24</v>
      </c>
    </row>
    <row r="196" customFormat="false" ht="15" hidden="false" customHeight="false" outlineLevel="0" collapsed="false">
      <c r="B196" s="10" t="s">
        <v>158</v>
      </c>
      <c r="C196" s="129" t="n">
        <f aca="false">C118+(SUMIFS('Vols additionnels'!$E$7:$E$66,'Vols additionnels'!$C$7:$C$66,"JNBRUN",'Vols additionnels'!$D$7:$D$66,"77W",'Vols additionnels'!$B$7:$B$66,"&gt;="&amp;$J$82,'Vols additionnels'!$B$7:$B$66,"&lt;="&amp;$K$82)+SUMIFS('Vols additionnels'!$E$7:$E$66,'Vols additionnels'!$C$7:$C$66,"JNBRUN",'Vols additionnels'!$D$7:$D$66,"77W",'Vols additionnels'!$I$7:$I$66,"&gt;="&amp;$J$82,'Vols additionnels'!$I$7:$I$66,"&lt;="&amp;$K$82)-C157+0)/2</f>
        <v>0</v>
      </c>
      <c r="D196" s="129" t="n">
        <f aca="false">D118+(SUMIFS('Vols additionnels'!$E$7:$E$66,'Vols additionnels'!$C$7:$C$66,"JNBRUN",'Vols additionnels'!$D$7:$D$66,"77W",'Vols additionnels'!$B$7:$B$66,"&gt;="&amp;$J$83,'Vols additionnels'!$B$7:$B$66,"&lt;="&amp;$K$83)+SUMIFS('Vols additionnels'!$E$7:$E$66,'Vols additionnels'!$C$7:$C$66,"JNBRUN",'Vols additionnels'!$D$7:$D$66,"77W",'Vols additionnels'!$I$7:$I$66,"&gt;="&amp;$J$83,'Vols additionnels'!$I$7:$I$66,"&lt;="&amp;$K$83)-D157+C157)/2</f>
        <v>0</v>
      </c>
      <c r="E196" s="129" t="n">
        <f aca="false">E118+(SUMIFS('Vols additionnels'!$E$7:$E$66,'Vols additionnels'!$C$7:$C$66,"JNBRUN",'Vols additionnels'!$D$7:$D$66,"77W",'Vols additionnels'!$B$7:$B$66,"&gt;="&amp;$J$84,'Vols additionnels'!$B$7:$B$66,"&lt;="&amp;$K$84)+SUMIFS('Vols additionnels'!$E$7:$E$66,'Vols additionnels'!$C$7:$C$66,"JNBRUN",'Vols additionnels'!$D$7:$D$66,"77W",'Vols additionnels'!$I$7:$I$66,"&gt;="&amp;$J$84,'Vols additionnels'!$I$7:$I$66,"&lt;="&amp;$K$84)-E157+D157)/2</f>
        <v>0</v>
      </c>
      <c r="F196" s="129" t="n">
        <f aca="false">F118+(SUMIFS('Vols additionnels'!$E$7:$E$66,'Vols additionnels'!$C$7:$C$66,"JNBRUN",'Vols additionnels'!$D$7:$D$66,"77W",'Vols additionnels'!$B$7:$B$66,"&gt;="&amp;$J$85,'Vols additionnels'!$B$7:$B$66,"&lt;="&amp;$K$85)+SUMIFS('Vols additionnels'!$E$7:$E$66,'Vols additionnels'!$C$7:$C$66,"JNBRUN",'Vols additionnels'!$D$7:$D$66,"77W",'Vols additionnels'!$I$7:$I$66,"&gt;="&amp;$J$85,'Vols additionnels'!$I$7:$I$66,"&lt;="&amp;$K$85)-F157+E157)/2</f>
        <v>0</v>
      </c>
      <c r="G196" s="129" t="n">
        <f aca="false">G118+(SUMIFS('Vols additionnels'!$E$7:$E$66,'Vols additionnels'!$C$7:$C$66,"JNBRUN",'Vols additionnels'!$D$7:$D$66,"77W",'Vols additionnels'!$B$7:$B$66,"&gt;="&amp;$J$86,'Vols additionnels'!$B$7:$B$66,"&lt;="&amp;$K$86)+SUMIFS('Vols additionnels'!$E$7:$E$66,'Vols additionnels'!$C$7:$C$66,"JNBRUN",'Vols additionnels'!$D$7:$D$66,"77W",'Vols additionnels'!$I$7:$I$66,"&gt;="&amp;$J$86,'Vols additionnels'!$I$7:$I$66,"&lt;="&amp;$K$86)-G157+F157)/2</f>
        <v>0</v>
      </c>
      <c r="H196" s="129" t="n">
        <f aca="false">H118+(SUMIFS('Vols additionnels'!$E$7:$E$66,'Vols additionnels'!$C$7:$C$66,"JNBRUN",'Vols additionnels'!$D$7:$D$66,"77W",'Vols additionnels'!$B$7:$B$66,"&gt;="&amp;$J$87,'Vols additionnels'!$B$7:$B$66,"&lt;="&amp;$K$87)+SUMIFS('Vols additionnels'!$E$7:$E$66,'Vols additionnels'!$C$7:$C$66,"JNBRUN",'Vols additionnels'!$D$7:$D$66,"77W",'Vols additionnels'!$I$7:$I$66,"&gt;="&amp;$J$87,'Vols additionnels'!$I$7:$I$66,"&lt;="&amp;$K$87)-H157+G157)/2</f>
        <v>0</v>
      </c>
      <c r="I196" s="129" t="n">
        <f aca="false">I118+(SUMIFS('Vols additionnels'!$E$7:$E$66,'Vols additionnels'!$C$7:$C$66,"JNBRUN",'Vols additionnels'!$D$7:$D$66,"77W",'Vols additionnels'!$B$7:$B$66,"&gt;="&amp;$J$88,'Vols additionnels'!$B$7:$B$66,"&lt;="&amp;$K$88)+SUMIFS('Vols additionnels'!$E$7:$E$66,'Vols additionnels'!$C$7:$C$66,"JNBRUN",'Vols additionnels'!$D$7:$D$66,"77W",'Vols additionnels'!$I$7:$I$66,"&gt;="&amp;$J$88,'Vols additionnels'!$I$7:$I$66,"&lt;="&amp;$K$88)-I157+H157)/2</f>
        <v>0</v>
      </c>
      <c r="J196" s="129" t="n">
        <f aca="false">J118+(SUMIFS('Vols additionnels'!$E$7:$E$66,'Vols additionnels'!$C$7:$C$66,"JNBRUN",'Vols additionnels'!$D$7:$D$66,"77W",'Vols additionnels'!$B$7:$B$66,"&gt;="&amp;$J$89,'Vols additionnels'!$B$7:$B$66,"&lt;="&amp;$K$89)+SUMIFS('Vols additionnels'!$E$7:$E$66,'Vols additionnels'!$C$7:$C$66,"JNBRUN",'Vols additionnels'!$D$7:$D$66,"77W",'Vols additionnels'!$I$7:$I$66,"&gt;="&amp;$J$89,'Vols additionnels'!$I$7:$I$66,"&lt;="&amp;$K$89)-J157+I157)/2</f>
        <v>0</v>
      </c>
      <c r="K196" s="129" t="n">
        <f aca="false">K118+(SUMIFS('Vols additionnels'!$E$7:$E$66,'Vols additionnels'!$C$7:$C$66,"JNBRUN",'Vols additionnels'!$D$7:$D$66,"77W",'Vols additionnels'!$B$7:$B$66,"&gt;="&amp;$J$90,'Vols additionnels'!$B$7:$B$66,"&lt;="&amp;$K$90)+SUMIFS('Vols additionnels'!$E$7:$E$66,'Vols additionnels'!$C$7:$C$66,"JNBRUN",'Vols additionnels'!$D$7:$D$66,"77W",'Vols additionnels'!$I$7:$I$66,"&gt;="&amp;$J$90,'Vols additionnels'!$I$7:$I$66,"&lt;="&amp;$K$90)-K157+J157)/2</f>
        <v>0</v>
      </c>
      <c r="L196" s="129" t="n">
        <f aca="false">L118+(SUMIFS('Vols additionnels'!$E$7:$E$66,'Vols additionnels'!$C$7:$C$66,"JNBRUN",'Vols additionnels'!$D$7:$D$66,"77W",'Vols additionnels'!$B$7:$B$66,"&gt;="&amp;$J$91,'Vols additionnels'!$B$7:$B$66,"&lt;="&amp;$K$91)+SUMIFS('Vols additionnels'!$E$7:$E$66,'Vols additionnels'!$C$7:$C$66,"JNBRUN",'Vols additionnels'!$D$7:$D$66,"77W",'Vols additionnels'!$I$7:$I$66,"&gt;="&amp;$J$91,'Vols additionnels'!$I$7:$I$66,"&lt;="&amp;$K$91)-L157+K157)/2</f>
        <v>0</v>
      </c>
      <c r="M196" s="129" t="n">
        <f aca="false">M118+(SUMIFS('Vols additionnels'!$E$7:$E$66,'Vols additionnels'!$C$7:$C$66,"JNBRUN",'Vols additionnels'!$D$7:$D$66,"77W",'Vols additionnels'!$B$7:$B$66,"&gt;="&amp;$J$92,'Vols additionnels'!$B$7:$B$66,"&lt;="&amp;$K$92)+SUMIFS('Vols additionnels'!$E$7:$E$66,'Vols additionnels'!$C$7:$C$66,"JNBRUN",'Vols additionnels'!$D$7:$D$66,"77W",'Vols additionnels'!$I$7:$I$66,"&gt;="&amp;$J$92,'Vols additionnels'!$I$7:$I$66,"&lt;="&amp;$K$92)-M157+L157)/2</f>
        <v>0</v>
      </c>
      <c r="N196" s="129" t="n">
        <f aca="false">N118+(SUMIFS('Vols additionnels'!$E$7:$E$66,'Vols additionnels'!$C$7:$C$66,"JNBRUN",'Vols additionnels'!$D$7:$D$66,"77W",'Vols additionnels'!$B$7:$B$66,"&gt;="&amp;$J$93,'Vols additionnels'!$B$7:$B$66,"&lt;="&amp;$K$93)+SUMIFS('Vols additionnels'!$E$7:$E$66,'Vols additionnels'!$C$7:$C$66,"JNBRUN",'Vols additionnels'!$D$7:$D$66,"77W",'Vols additionnels'!$I$7:$I$66,"&gt;="&amp;$J$93,'Vols additionnels'!$I$7:$I$66,"&lt;="&amp;$K$93)-N157+M157)/2</f>
        <v>0</v>
      </c>
      <c r="O196" s="12" t="s">
        <v>49</v>
      </c>
      <c r="P196" s="12" t="s">
        <v>11</v>
      </c>
    </row>
    <row r="197" customFormat="false" ht="15" hidden="false" customHeight="false" outlineLevel="0" collapsed="false">
      <c r="B197" s="10" t="s">
        <v>159</v>
      </c>
      <c r="C197" s="129" t="n">
        <f aca="false">C119+(SUMIFS('Vols additionnels'!$E$7:$E$66,'Vols additionnels'!$C$7:$C$66,"JNBRUN",'Vols additionnels'!$D$7:$D$66,"787",'Vols additionnels'!$B$7:$B$66,"&gt;="&amp;$J$82,'Vols additionnels'!$B$7:$B$66,"&lt;="&amp;$K$82)+SUMIFS('Vols additionnels'!$E$7:$E$66,'Vols additionnels'!$C$7:$C$66,"JNBRUN",'Vols additionnels'!$D$7:$D$66,"787",'Vols additionnels'!$I$7:$I$66,"&gt;="&amp;$J$82,'Vols additionnels'!$I$7:$I$66,"&lt;="&amp;$K$82)-C158+0)/2</f>
        <v>9</v>
      </c>
      <c r="D197" s="129" t="n">
        <f aca="false">D119+(SUMIFS('Vols additionnels'!$E$7:$E$66,'Vols additionnels'!$C$7:$C$66,"JNBRUN",'Vols additionnels'!$D$7:$D$66,"787",'Vols additionnels'!$B$7:$B$66,"&gt;="&amp;$J$83,'Vols additionnels'!$B$7:$B$66,"&lt;="&amp;$K$83)+SUMIFS('Vols additionnels'!$E$7:$E$66,'Vols additionnels'!$C$7:$C$66,"JNBRUN",'Vols additionnels'!$D$7:$D$66,"787",'Vols additionnels'!$I$7:$I$66,"&gt;="&amp;$J$83,'Vols additionnels'!$I$7:$I$66,"&lt;="&amp;$K$83)-D158+C158)/2</f>
        <v>9</v>
      </c>
      <c r="E197" s="129" t="n">
        <f aca="false">E119+(SUMIFS('Vols additionnels'!$E$7:$E$66,'Vols additionnels'!$C$7:$C$66,"JNBRUN",'Vols additionnels'!$D$7:$D$66,"787",'Vols additionnels'!$B$7:$B$66,"&gt;="&amp;$J$84,'Vols additionnels'!$B$7:$B$66,"&lt;="&amp;$K$84)+SUMIFS('Vols additionnels'!$E$7:$E$66,'Vols additionnels'!$C$7:$C$66,"JNBRUN",'Vols additionnels'!$D$7:$D$66,"787",'Vols additionnels'!$I$7:$I$66,"&gt;="&amp;$J$84,'Vols additionnels'!$I$7:$I$66,"&lt;="&amp;$K$84)-E158+D158)/2</f>
        <v>8</v>
      </c>
      <c r="F197" s="129" t="n">
        <f aca="false">F119+(SUMIFS('Vols additionnels'!$E$7:$E$66,'Vols additionnels'!$C$7:$C$66,"JNBRUN",'Vols additionnels'!$D$7:$D$66,"787",'Vols additionnels'!$B$7:$B$66,"&gt;="&amp;$J$85,'Vols additionnels'!$B$7:$B$66,"&lt;="&amp;$K$85)+SUMIFS('Vols additionnels'!$E$7:$E$66,'Vols additionnels'!$C$7:$C$66,"JNBRUN",'Vols additionnels'!$D$7:$D$66,"787",'Vols additionnels'!$I$7:$I$66,"&gt;="&amp;$J$85,'Vols additionnels'!$I$7:$I$66,"&lt;="&amp;$K$85)-F158+E158)/2</f>
        <v>9</v>
      </c>
      <c r="G197" s="129" t="n">
        <f aca="false">G119+(SUMIFS('Vols additionnels'!$E$7:$E$66,'Vols additionnels'!$C$7:$C$66,"JNBRUN",'Vols additionnels'!$D$7:$D$66,"787",'Vols additionnels'!$B$7:$B$66,"&gt;="&amp;$J$86,'Vols additionnels'!$B$7:$B$66,"&lt;="&amp;$K$86)+SUMIFS('Vols additionnels'!$E$7:$E$66,'Vols additionnels'!$C$7:$C$66,"JNBRUN",'Vols additionnels'!$D$7:$D$66,"787",'Vols additionnels'!$I$7:$I$66,"&gt;="&amp;$J$86,'Vols additionnels'!$I$7:$I$66,"&lt;="&amp;$K$86)-G158+F158)/2</f>
        <v>9</v>
      </c>
      <c r="H197" s="129" t="n">
        <f aca="false">H119+(SUMIFS('Vols additionnels'!$E$7:$E$66,'Vols additionnels'!$C$7:$C$66,"JNBRUN",'Vols additionnels'!$D$7:$D$66,"787",'Vols additionnels'!$B$7:$B$66,"&gt;="&amp;$J$87,'Vols additionnels'!$B$7:$B$66,"&lt;="&amp;$K$87)+SUMIFS('Vols additionnels'!$E$7:$E$66,'Vols additionnels'!$C$7:$C$66,"JNBRUN",'Vols additionnels'!$D$7:$D$66,"787",'Vols additionnels'!$I$7:$I$66,"&gt;="&amp;$J$87,'Vols additionnels'!$I$7:$I$66,"&lt;="&amp;$K$87)-H158+G158)/2</f>
        <v>8</v>
      </c>
      <c r="I197" s="129" t="n">
        <f aca="false">I119+(SUMIFS('Vols additionnels'!$E$7:$E$66,'Vols additionnels'!$C$7:$C$66,"JNBRUN",'Vols additionnels'!$D$7:$D$66,"787",'Vols additionnels'!$B$7:$B$66,"&gt;="&amp;$J$88,'Vols additionnels'!$B$7:$B$66,"&lt;="&amp;$K$88)+SUMIFS('Vols additionnels'!$E$7:$E$66,'Vols additionnels'!$C$7:$C$66,"JNBRUN",'Vols additionnels'!$D$7:$D$66,"787",'Vols additionnels'!$I$7:$I$66,"&gt;="&amp;$J$88,'Vols additionnels'!$I$7:$I$66,"&lt;="&amp;$K$88)-I158+H158)/2</f>
        <v>9</v>
      </c>
      <c r="J197" s="129" t="n">
        <f aca="false">J119+(SUMIFS('Vols additionnels'!$E$7:$E$66,'Vols additionnels'!$C$7:$C$66,"JNBRUN",'Vols additionnels'!$D$7:$D$66,"787",'Vols additionnels'!$B$7:$B$66,"&gt;="&amp;$J$89,'Vols additionnels'!$B$7:$B$66,"&lt;="&amp;$K$89)+SUMIFS('Vols additionnels'!$E$7:$E$66,'Vols additionnels'!$C$7:$C$66,"JNBRUN",'Vols additionnels'!$D$7:$D$66,"787",'Vols additionnels'!$I$7:$I$66,"&gt;="&amp;$J$89,'Vols additionnels'!$I$7:$I$66,"&lt;="&amp;$K$89)-J158+I158)/2</f>
        <v>9</v>
      </c>
      <c r="K197" s="129" t="n">
        <f aca="false">K119+(SUMIFS('Vols additionnels'!$E$7:$E$66,'Vols additionnels'!$C$7:$C$66,"JNBRUN",'Vols additionnels'!$D$7:$D$66,"787",'Vols additionnels'!$B$7:$B$66,"&gt;="&amp;$J$90,'Vols additionnels'!$B$7:$B$66,"&lt;="&amp;$K$90)+SUMIFS('Vols additionnels'!$E$7:$E$66,'Vols additionnels'!$C$7:$C$66,"JNBRUN",'Vols additionnels'!$D$7:$D$66,"787",'Vols additionnels'!$I$7:$I$66,"&gt;="&amp;$J$90,'Vols additionnels'!$I$7:$I$66,"&lt;="&amp;$K$90)-K158+J158)/2</f>
        <v>9</v>
      </c>
      <c r="L197" s="129" t="n">
        <f aca="false">L119+(SUMIFS('Vols additionnels'!$E$7:$E$66,'Vols additionnels'!$C$7:$C$66,"JNBRUN",'Vols additionnels'!$D$7:$D$66,"787",'Vols additionnels'!$B$7:$B$66,"&gt;="&amp;$J$91,'Vols additionnels'!$B$7:$B$66,"&lt;="&amp;$K$91)+SUMIFS('Vols additionnels'!$E$7:$E$66,'Vols additionnels'!$C$7:$C$66,"JNBRUN",'Vols additionnels'!$D$7:$D$66,"787",'Vols additionnels'!$I$7:$I$66,"&gt;="&amp;$J$91,'Vols additionnels'!$I$7:$I$66,"&lt;="&amp;$K$91)-L158+K158)/2</f>
        <v>9</v>
      </c>
      <c r="M197" s="129" t="n">
        <f aca="false">M119+(SUMIFS('Vols additionnels'!$E$7:$E$66,'Vols additionnels'!$C$7:$C$66,"JNBRUN",'Vols additionnels'!$D$7:$D$66,"787",'Vols additionnels'!$B$7:$B$66,"&gt;="&amp;$J$92,'Vols additionnels'!$B$7:$B$66,"&lt;="&amp;$K$92)+SUMIFS('Vols additionnels'!$E$7:$E$66,'Vols additionnels'!$C$7:$C$66,"JNBRUN",'Vols additionnels'!$D$7:$D$66,"787",'Vols additionnels'!$I$7:$I$66,"&gt;="&amp;$J$92,'Vols additionnels'!$I$7:$I$66,"&lt;="&amp;$K$92)-M158+L158)/2</f>
        <v>8</v>
      </c>
      <c r="N197" s="129" t="n">
        <f aca="false">N119+(SUMIFS('Vols additionnels'!$E$7:$E$66,'Vols additionnels'!$C$7:$C$66,"JNBRUN",'Vols additionnels'!$D$7:$D$66,"787",'Vols additionnels'!$B$7:$B$66,"&gt;="&amp;$J$93,'Vols additionnels'!$B$7:$B$66,"&lt;="&amp;$K$93)+SUMIFS('Vols additionnels'!$E$7:$E$66,'Vols additionnels'!$C$7:$C$66,"JNBRUN",'Vols additionnels'!$D$7:$D$66,"787",'Vols additionnels'!$I$7:$I$66,"&gt;="&amp;$J$93,'Vols additionnels'!$I$7:$I$66,"&lt;="&amp;$K$93)-N158+M158)/2</f>
        <v>9</v>
      </c>
      <c r="O197" s="12" t="s">
        <v>49</v>
      </c>
      <c r="P197" s="12" t="s">
        <v>19</v>
      </c>
    </row>
    <row r="198" customFormat="false" ht="15" hidden="false" customHeight="false" outlineLevel="0" collapsed="false">
      <c r="B198" s="10" t="s">
        <v>160</v>
      </c>
      <c r="C198" s="129" t="n">
        <f aca="false">C120+(SUMIFS('Vols additionnels'!$E$7:$E$66,'Vols additionnels'!$C$7:$C$66,"JNBRUN",'Vols additionnels'!$D$7:$D$66,"A320",'Vols additionnels'!$B$7:$B$66,"&gt;="&amp;$J$82,'Vols additionnels'!$B$7:$B$66,"&lt;="&amp;$K$82)+SUMIFS('Vols additionnels'!$E$7:$E$66,'Vols additionnels'!$C$7:$C$66,"JNBRUN",'Vols additionnels'!$D$7:$D$66,"A320",'Vols additionnels'!$I$7:$I$66,"&gt;="&amp;$J$82,'Vols additionnels'!$I$7:$I$66,"&lt;="&amp;$K$82)-C159+0)/2</f>
        <v>0</v>
      </c>
      <c r="D198" s="129" t="n">
        <f aca="false">D120+(SUMIFS('Vols additionnels'!$E$7:$E$66,'Vols additionnels'!$C$7:$C$66,"JNBRUN",'Vols additionnels'!$D$7:$D$66,"A320",'Vols additionnels'!$B$7:$B$66,"&gt;="&amp;$J$83,'Vols additionnels'!$B$7:$B$66,"&lt;="&amp;$K$83)+SUMIFS('Vols additionnels'!$E$7:$E$66,'Vols additionnels'!$C$7:$C$66,"JNBRUN",'Vols additionnels'!$D$7:$D$66,"A320",'Vols additionnels'!$I$7:$I$66,"&gt;="&amp;$J$83,'Vols additionnels'!$I$7:$I$66,"&lt;="&amp;$K$83)-D159+C159)/2</f>
        <v>0</v>
      </c>
      <c r="E198" s="129" t="n">
        <f aca="false">E120+(SUMIFS('Vols additionnels'!$E$7:$E$66,'Vols additionnels'!$C$7:$C$66,"JNBRUN",'Vols additionnels'!$D$7:$D$66,"A320",'Vols additionnels'!$B$7:$B$66,"&gt;="&amp;$J$84,'Vols additionnels'!$B$7:$B$66,"&lt;="&amp;$K$84)+SUMIFS('Vols additionnels'!$E$7:$E$66,'Vols additionnels'!$C$7:$C$66,"JNBRUN",'Vols additionnels'!$D$7:$D$66,"A320",'Vols additionnels'!$I$7:$I$66,"&gt;="&amp;$J$84,'Vols additionnels'!$I$7:$I$66,"&lt;="&amp;$K$84)-E159+D159)/2</f>
        <v>0</v>
      </c>
      <c r="F198" s="129" t="n">
        <f aca="false">F120+(SUMIFS('Vols additionnels'!$E$7:$E$66,'Vols additionnels'!$C$7:$C$66,"JNBRUN",'Vols additionnels'!$D$7:$D$66,"A320",'Vols additionnels'!$B$7:$B$66,"&gt;="&amp;$J$85,'Vols additionnels'!$B$7:$B$66,"&lt;="&amp;$K$85)+SUMIFS('Vols additionnels'!$E$7:$E$66,'Vols additionnels'!$C$7:$C$66,"JNBRUN",'Vols additionnels'!$D$7:$D$66,"A320",'Vols additionnels'!$I$7:$I$66,"&gt;="&amp;$J$85,'Vols additionnels'!$I$7:$I$66,"&lt;="&amp;$K$85)-F159+E159)/2</f>
        <v>0</v>
      </c>
      <c r="G198" s="129" t="n">
        <f aca="false">G120+(SUMIFS('Vols additionnels'!$E$7:$E$66,'Vols additionnels'!$C$7:$C$66,"JNBRUN",'Vols additionnels'!$D$7:$D$66,"A320",'Vols additionnels'!$B$7:$B$66,"&gt;="&amp;$J$86,'Vols additionnels'!$B$7:$B$66,"&lt;="&amp;$K$86)+SUMIFS('Vols additionnels'!$E$7:$E$66,'Vols additionnels'!$C$7:$C$66,"JNBRUN",'Vols additionnels'!$D$7:$D$66,"A320",'Vols additionnels'!$I$7:$I$66,"&gt;="&amp;$J$86,'Vols additionnels'!$I$7:$I$66,"&lt;="&amp;$K$86)-G159+F159)/2</f>
        <v>0</v>
      </c>
      <c r="H198" s="129" t="n">
        <f aca="false">H120+(SUMIFS('Vols additionnels'!$E$7:$E$66,'Vols additionnels'!$C$7:$C$66,"JNBRUN",'Vols additionnels'!$D$7:$D$66,"A320",'Vols additionnels'!$B$7:$B$66,"&gt;="&amp;$J$87,'Vols additionnels'!$B$7:$B$66,"&lt;="&amp;$K$87)+SUMIFS('Vols additionnels'!$E$7:$E$66,'Vols additionnels'!$C$7:$C$66,"JNBRUN",'Vols additionnels'!$D$7:$D$66,"A320",'Vols additionnels'!$I$7:$I$66,"&gt;="&amp;$J$87,'Vols additionnels'!$I$7:$I$66,"&lt;="&amp;$K$87)-H159+G159)/2</f>
        <v>0</v>
      </c>
      <c r="I198" s="129" t="n">
        <f aca="false">I120+(SUMIFS('Vols additionnels'!$E$7:$E$66,'Vols additionnels'!$C$7:$C$66,"JNBRUN",'Vols additionnels'!$D$7:$D$66,"A320",'Vols additionnels'!$B$7:$B$66,"&gt;="&amp;$J$88,'Vols additionnels'!$B$7:$B$66,"&lt;="&amp;$K$88)+SUMIFS('Vols additionnels'!$E$7:$E$66,'Vols additionnels'!$C$7:$C$66,"JNBRUN",'Vols additionnels'!$D$7:$D$66,"A320",'Vols additionnels'!$I$7:$I$66,"&gt;="&amp;$J$88,'Vols additionnels'!$I$7:$I$66,"&lt;="&amp;$K$88)-I159+H159)/2</f>
        <v>0</v>
      </c>
      <c r="J198" s="129" t="n">
        <f aca="false">J120+(SUMIFS('Vols additionnels'!$E$7:$E$66,'Vols additionnels'!$C$7:$C$66,"JNBRUN",'Vols additionnels'!$D$7:$D$66,"A320",'Vols additionnels'!$B$7:$B$66,"&gt;="&amp;$J$89,'Vols additionnels'!$B$7:$B$66,"&lt;="&amp;$K$89)+SUMIFS('Vols additionnels'!$E$7:$E$66,'Vols additionnels'!$C$7:$C$66,"JNBRUN",'Vols additionnels'!$D$7:$D$66,"A320",'Vols additionnels'!$I$7:$I$66,"&gt;="&amp;$J$89,'Vols additionnels'!$I$7:$I$66,"&lt;="&amp;$K$89)-J159+I159)/2</f>
        <v>0</v>
      </c>
      <c r="K198" s="129" t="n">
        <f aca="false">K120+(SUMIFS('Vols additionnels'!$E$7:$E$66,'Vols additionnels'!$C$7:$C$66,"JNBRUN",'Vols additionnels'!$D$7:$D$66,"A320",'Vols additionnels'!$B$7:$B$66,"&gt;="&amp;$J$90,'Vols additionnels'!$B$7:$B$66,"&lt;="&amp;$K$90)+SUMIFS('Vols additionnels'!$E$7:$E$66,'Vols additionnels'!$C$7:$C$66,"JNBRUN",'Vols additionnels'!$D$7:$D$66,"A320",'Vols additionnels'!$I$7:$I$66,"&gt;="&amp;$J$90,'Vols additionnels'!$I$7:$I$66,"&lt;="&amp;$K$90)-K159+J159)/2</f>
        <v>0</v>
      </c>
      <c r="L198" s="129" t="n">
        <f aca="false">L120+(SUMIFS('Vols additionnels'!$E$7:$E$66,'Vols additionnels'!$C$7:$C$66,"JNBRUN",'Vols additionnels'!$D$7:$D$66,"A320",'Vols additionnels'!$B$7:$B$66,"&gt;="&amp;$J$91,'Vols additionnels'!$B$7:$B$66,"&lt;="&amp;$K$91)+SUMIFS('Vols additionnels'!$E$7:$E$66,'Vols additionnels'!$C$7:$C$66,"JNBRUN",'Vols additionnels'!$D$7:$D$66,"A320",'Vols additionnels'!$I$7:$I$66,"&gt;="&amp;$J$91,'Vols additionnels'!$I$7:$I$66,"&lt;="&amp;$K$91)-L159+K159)/2</f>
        <v>0</v>
      </c>
      <c r="M198" s="129" t="n">
        <f aca="false">M120+(SUMIFS('Vols additionnels'!$E$7:$E$66,'Vols additionnels'!$C$7:$C$66,"JNBRUN",'Vols additionnels'!$D$7:$D$66,"A320",'Vols additionnels'!$B$7:$B$66,"&gt;="&amp;$J$92,'Vols additionnels'!$B$7:$B$66,"&lt;="&amp;$K$92)+SUMIFS('Vols additionnels'!$E$7:$E$66,'Vols additionnels'!$C$7:$C$66,"JNBRUN",'Vols additionnels'!$D$7:$D$66,"A320",'Vols additionnels'!$I$7:$I$66,"&gt;="&amp;$J$92,'Vols additionnels'!$I$7:$I$66,"&lt;="&amp;$K$92)-M159+L159)/2</f>
        <v>0</v>
      </c>
      <c r="N198" s="129" t="n">
        <f aca="false">N120+(SUMIFS('Vols additionnels'!$E$7:$E$66,'Vols additionnels'!$C$7:$C$66,"JNBRUN",'Vols additionnels'!$D$7:$D$66,"A320",'Vols additionnels'!$B$7:$B$66,"&gt;="&amp;$J$93,'Vols additionnels'!$B$7:$B$66,"&lt;="&amp;$K$93)+SUMIFS('Vols additionnels'!$E$7:$E$66,'Vols additionnels'!$C$7:$C$66,"JNBRUN",'Vols additionnels'!$D$7:$D$66,"A320",'Vols additionnels'!$I$7:$I$66,"&gt;="&amp;$J$93,'Vols additionnels'!$I$7:$I$66,"&lt;="&amp;$K$93)-N159+M159)/2</f>
        <v>0</v>
      </c>
      <c r="O198" s="12" t="s">
        <v>49</v>
      </c>
      <c r="P198" s="12" t="s">
        <v>24</v>
      </c>
    </row>
    <row r="199" customFormat="false" ht="15" hidden="false" customHeight="false" outlineLevel="0" collapsed="false">
      <c r="B199" s="10" t="s">
        <v>161</v>
      </c>
      <c r="C199" s="129" t="n">
        <f aca="false">C121+(SUMIFS('Vols additionnels'!$E$7:$E$66,'Vols additionnels'!$C$7:$C$66,"CPTRUN",'Vols additionnels'!$D$7:$D$66,"77W",'Vols additionnels'!$B$7:$B$66,"&gt;="&amp;$J$82,'Vols additionnels'!$B$7:$B$66,"&lt;="&amp;$K$82)+SUMIFS('Vols additionnels'!$E$7:$E$66,'Vols additionnels'!$C$7:$C$66,"CPTRUN",'Vols additionnels'!$D$7:$D$66,"77W",'Vols additionnels'!$I$7:$I$66,"&gt;="&amp;$J$82,'Vols additionnels'!$I$7:$I$66,"&lt;="&amp;$K$82)-C160+0)/2</f>
        <v>0</v>
      </c>
      <c r="D199" s="129" t="n">
        <f aca="false">D121+(SUMIFS('Vols additionnels'!$E$7:$E$66,'Vols additionnels'!$C$7:$C$66,"CPTRUN",'Vols additionnels'!$D$7:$D$66,"77W",'Vols additionnels'!$B$7:$B$66,"&gt;="&amp;$J$83,'Vols additionnels'!$B$7:$B$66,"&lt;="&amp;$K$83)+SUMIFS('Vols additionnels'!$E$7:$E$66,'Vols additionnels'!$C$7:$C$66,"CPTRUN",'Vols additionnels'!$D$7:$D$66,"77W",'Vols additionnels'!$I$7:$I$66,"&gt;="&amp;$J$83,'Vols additionnels'!$I$7:$I$66,"&lt;="&amp;$K$83)-D160+C160)/2</f>
        <v>0</v>
      </c>
      <c r="E199" s="129" t="n">
        <f aca="false">E121+(SUMIFS('Vols additionnels'!$E$7:$E$66,'Vols additionnels'!$C$7:$C$66,"CPTRUN",'Vols additionnels'!$D$7:$D$66,"77W",'Vols additionnels'!$B$7:$B$66,"&gt;="&amp;$J$84,'Vols additionnels'!$B$7:$B$66,"&lt;="&amp;$K$84)+SUMIFS('Vols additionnels'!$E$7:$E$66,'Vols additionnels'!$C$7:$C$66,"CPTRUN",'Vols additionnels'!$D$7:$D$66,"77W",'Vols additionnels'!$I$7:$I$66,"&gt;="&amp;$J$84,'Vols additionnels'!$I$7:$I$66,"&lt;="&amp;$K$84)-E160+D160)/2</f>
        <v>0</v>
      </c>
      <c r="F199" s="129" t="n">
        <f aca="false">F121+(SUMIFS('Vols additionnels'!$E$7:$E$66,'Vols additionnels'!$C$7:$C$66,"CPTRUN",'Vols additionnels'!$D$7:$D$66,"77W",'Vols additionnels'!$B$7:$B$66,"&gt;="&amp;$J$85,'Vols additionnels'!$B$7:$B$66,"&lt;="&amp;$K$85)+SUMIFS('Vols additionnels'!$E$7:$E$66,'Vols additionnels'!$C$7:$C$66,"CPTRUN",'Vols additionnels'!$D$7:$D$66,"77W",'Vols additionnels'!$I$7:$I$66,"&gt;="&amp;$J$85,'Vols additionnels'!$I$7:$I$66,"&lt;="&amp;$K$85)-F160+E160)/2</f>
        <v>0</v>
      </c>
      <c r="G199" s="129" t="n">
        <f aca="false">G121+(SUMIFS('Vols additionnels'!$E$7:$E$66,'Vols additionnels'!$C$7:$C$66,"CPTRUN",'Vols additionnels'!$D$7:$D$66,"77W",'Vols additionnels'!$B$7:$B$66,"&gt;="&amp;$J$86,'Vols additionnels'!$B$7:$B$66,"&lt;="&amp;$K$86)+SUMIFS('Vols additionnels'!$E$7:$E$66,'Vols additionnels'!$C$7:$C$66,"CPTRUN",'Vols additionnels'!$D$7:$D$66,"77W",'Vols additionnels'!$I$7:$I$66,"&gt;="&amp;$J$86,'Vols additionnels'!$I$7:$I$66,"&lt;="&amp;$K$86)-G160+F160)/2</f>
        <v>0</v>
      </c>
      <c r="H199" s="129" t="n">
        <f aca="false">H121+(SUMIFS('Vols additionnels'!$E$7:$E$66,'Vols additionnels'!$C$7:$C$66,"CPTRUN",'Vols additionnels'!$D$7:$D$66,"77W",'Vols additionnels'!$B$7:$B$66,"&gt;="&amp;$J$87,'Vols additionnels'!$B$7:$B$66,"&lt;="&amp;$K$87)+SUMIFS('Vols additionnels'!$E$7:$E$66,'Vols additionnels'!$C$7:$C$66,"CPTRUN",'Vols additionnels'!$D$7:$D$66,"77W",'Vols additionnels'!$I$7:$I$66,"&gt;="&amp;$J$87,'Vols additionnels'!$I$7:$I$66,"&lt;="&amp;$K$87)-H160+G160)/2</f>
        <v>0</v>
      </c>
      <c r="I199" s="129" t="n">
        <f aca="false">I121+(SUMIFS('Vols additionnels'!$E$7:$E$66,'Vols additionnels'!$C$7:$C$66,"CPTRUN",'Vols additionnels'!$D$7:$D$66,"77W",'Vols additionnels'!$B$7:$B$66,"&gt;="&amp;$J$88,'Vols additionnels'!$B$7:$B$66,"&lt;="&amp;$K$88)+SUMIFS('Vols additionnels'!$E$7:$E$66,'Vols additionnels'!$C$7:$C$66,"CPTRUN",'Vols additionnels'!$D$7:$D$66,"77W",'Vols additionnels'!$I$7:$I$66,"&gt;="&amp;$J$88,'Vols additionnels'!$I$7:$I$66,"&lt;="&amp;$K$88)-I160+H160)/2</f>
        <v>0</v>
      </c>
      <c r="J199" s="129" t="n">
        <f aca="false">J121+(SUMIFS('Vols additionnels'!$E$7:$E$66,'Vols additionnels'!$C$7:$C$66,"CPTRUN",'Vols additionnels'!$D$7:$D$66,"77W",'Vols additionnels'!$B$7:$B$66,"&gt;="&amp;$J$89,'Vols additionnels'!$B$7:$B$66,"&lt;="&amp;$K$89)+SUMIFS('Vols additionnels'!$E$7:$E$66,'Vols additionnels'!$C$7:$C$66,"CPTRUN",'Vols additionnels'!$D$7:$D$66,"77W",'Vols additionnels'!$I$7:$I$66,"&gt;="&amp;$J$89,'Vols additionnels'!$I$7:$I$66,"&lt;="&amp;$K$89)-J160+I160)/2</f>
        <v>0</v>
      </c>
      <c r="K199" s="129" t="n">
        <f aca="false">K121+(SUMIFS('Vols additionnels'!$E$7:$E$66,'Vols additionnels'!$C$7:$C$66,"CPTRUN",'Vols additionnels'!$D$7:$D$66,"77W",'Vols additionnels'!$B$7:$B$66,"&gt;="&amp;$J$90,'Vols additionnels'!$B$7:$B$66,"&lt;="&amp;$K$90)+SUMIFS('Vols additionnels'!$E$7:$E$66,'Vols additionnels'!$C$7:$C$66,"CPTRUN",'Vols additionnels'!$D$7:$D$66,"77W",'Vols additionnels'!$I$7:$I$66,"&gt;="&amp;$J$90,'Vols additionnels'!$I$7:$I$66,"&lt;="&amp;$K$90)-K160+J160)/2</f>
        <v>0</v>
      </c>
      <c r="L199" s="129" t="n">
        <f aca="false">L121+(SUMIFS('Vols additionnels'!$E$7:$E$66,'Vols additionnels'!$C$7:$C$66,"CPTRUN",'Vols additionnels'!$D$7:$D$66,"77W",'Vols additionnels'!$B$7:$B$66,"&gt;="&amp;$J$91,'Vols additionnels'!$B$7:$B$66,"&lt;="&amp;$K$91)+SUMIFS('Vols additionnels'!$E$7:$E$66,'Vols additionnels'!$C$7:$C$66,"CPTRUN",'Vols additionnels'!$D$7:$D$66,"77W",'Vols additionnels'!$I$7:$I$66,"&gt;="&amp;$J$91,'Vols additionnels'!$I$7:$I$66,"&lt;="&amp;$K$91)-L160+K160)/2</f>
        <v>0</v>
      </c>
      <c r="M199" s="129" t="n">
        <f aca="false">M121+(SUMIFS('Vols additionnels'!$E$7:$E$66,'Vols additionnels'!$C$7:$C$66,"CPTRUN",'Vols additionnels'!$D$7:$D$66,"77W",'Vols additionnels'!$B$7:$B$66,"&gt;="&amp;$J$92,'Vols additionnels'!$B$7:$B$66,"&lt;="&amp;$K$92)+SUMIFS('Vols additionnels'!$E$7:$E$66,'Vols additionnels'!$C$7:$C$66,"CPTRUN",'Vols additionnels'!$D$7:$D$66,"77W",'Vols additionnels'!$I$7:$I$66,"&gt;="&amp;$J$92,'Vols additionnels'!$I$7:$I$66,"&lt;="&amp;$K$92)-M160+L160)/2</f>
        <v>0</v>
      </c>
      <c r="N199" s="129" t="n">
        <f aca="false">N121+(SUMIFS('Vols additionnels'!$E$7:$E$66,'Vols additionnels'!$C$7:$C$66,"CPTRUN",'Vols additionnels'!$D$7:$D$66,"77W",'Vols additionnels'!$B$7:$B$66,"&gt;="&amp;$J$93,'Vols additionnels'!$B$7:$B$66,"&lt;="&amp;$K$93)+SUMIFS('Vols additionnels'!$E$7:$E$66,'Vols additionnels'!$C$7:$C$66,"CPTRUN",'Vols additionnels'!$D$7:$D$66,"77W",'Vols additionnels'!$I$7:$I$66,"&gt;="&amp;$J$93,'Vols additionnels'!$I$7:$I$66,"&lt;="&amp;$K$93)-N160+M160)/2</f>
        <v>0</v>
      </c>
      <c r="O199" s="12" t="s">
        <v>53</v>
      </c>
      <c r="P199" s="12" t="s">
        <v>11</v>
      </c>
    </row>
    <row r="200" customFormat="false" ht="15" hidden="false" customHeight="false" outlineLevel="0" collapsed="false">
      <c r="B200" s="10" t="s">
        <v>162</v>
      </c>
      <c r="C200" s="129" t="n">
        <f aca="false">C122+(SUMIFS('Vols additionnels'!$E$7:$E$66,'Vols additionnels'!$C$7:$C$66,"CPTRUN",'Vols additionnels'!$D$7:$D$66,"787",'Vols additionnels'!$B$7:$B$66,"&gt;="&amp;$J$82,'Vols additionnels'!$B$7:$B$66,"&lt;="&amp;$K$82)+SUMIFS('Vols additionnels'!$E$7:$E$66,'Vols additionnels'!$C$7:$C$66,"CPTRUN",'Vols additionnels'!$D$7:$D$66,"787",'Vols additionnels'!$I$7:$I$66,"&gt;="&amp;$J$82,'Vols additionnels'!$I$7:$I$66,"&lt;="&amp;$K$82)-C161+0)/2</f>
        <v>5</v>
      </c>
      <c r="D200" s="129" t="n">
        <f aca="false">D122+(SUMIFS('Vols additionnels'!$E$7:$E$66,'Vols additionnels'!$C$7:$C$66,"CPTRUN",'Vols additionnels'!$D$7:$D$66,"787",'Vols additionnels'!$B$7:$B$66,"&gt;="&amp;$J$83,'Vols additionnels'!$B$7:$B$66,"&lt;="&amp;$K$83)+SUMIFS('Vols additionnels'!$E$7:$E$66,'Vols additionnels'!$C$7:$C$66,"CPTRUN",'Vols additionnels'!$D$7:$D$66,"787",'Vols additionnels'!$I$7:$I$66,"&gt;="&amp;$J$83,'Vols additionnels'!$I$7:$I$66,"&lt;="&amp;$K$83)-D161+C161)/2</f>
        <v>4</v>
      </c>
      <c r="E200" s="129" t="n">
        <f aca="false">E122+(SUMIFS('Vols additionnels'!$E$7:$E$66,'Vols additionnels'!$C$7:$C$66,"CPTRUN",'Vols additionnels'!$D$7:$D$66,"787",'Vols additionnels'!$B$7:$B$66,"&gt;="&amp;$J$84,'Vols additionnels'!$B$7:$B$66,"&lt;="&amp;$K$84)+SUMIFS('Vols additionnels'!$E$7:$E$66,'Vols additionnels'!$C$7:$C$66,"CPTRUN",'Vols additionnels'!$D$7:$D$66,"787",'Vols additionnels'!$I$7:$I$66,"&gt;="&amp;$J$84,'Vols additionnels'!$I$7:$I$66,"&lt;="&amp;$K$84)-E161+D161)/2</f>
        <v>4</v>
      </c>
      <c r="F200" s="129" t="n">
        <f aca="false">F122+(SUMIFS('Vols additionnels'!$E$7:$E$66,'Vols additionnels'!$C$7:$C$66,"CPTRUN",'Vols additionnels'!$D$7:$D$66,"787",'Vols additionnels'!$B$7:$B$66,"&gt;="&amp;$J$85,'Vols additionnels'!$B$7:$B$66,"&lt;="&amp;$K$85)+SUMIFS('Vols additionnels'!$E$7:$E$66,'Vols additionnels'!$C$7:$C$66,"CPTRUN",'Vols additionnels'!$D$7:$D$66,"787",'Vols additionnels'!$I$7:$I$66,"&gt;="&amp;$J$85,'Vols additionnels'!$I$7:$I$66,"&lt;="&amp;$K$85)-F161+E161)/2</f>
        <v>5</v>
      </c>
      <c r="G200" s="129" t="n">
        <f aca="false">G122+(SUMIFS('Vols additionnels'!$E$7:$E$66,'Vols additionnels'!$C$7:$C$66,"CPTRUN",'Vols additionnels'!$D$7:$D$66,"787",'Vols additionnels'!$B$7:$B$66,"&gt;="&amp;$J$86,'Vols additionnels'!$B$7:$B$66,"&lt;="&amp;$K$86)+SUMIFS('Vols additionnels'!$E$7:$E$66,'Vols additionnels'!$C$7:$C$66,"CPTRUN",'Vols additionnels'!$D$7:$D$66,"787",'Vols additionnels'!$I$7:$I$66,"&gt;="&amp;$J$86,'Vols additionnels'!$I$7:$I$66,"&lt;="&amp;$K$86)-G161+F161)/2</f>
        <v>4</v>
      </c>
      <c r="H200" s="129" t="n">
        <f aca="false">H122+(SUMIFS('Vols additionnels'!$E$7:$E$66,'Vols additionnels'!$C$7:$C$66,"CPTRUN",'Vols additionnels'!$D$7:$D$66,"787",'Vols additionnels'!$B$7:$B$66,"&gt;="&amp;$J$87,'Vols additionnels'!$B$7:$B$66,"&lt;="&amp;$K$87)+SUMIFS('Vols additionnels'!$E$7:$E$66,'Vols additionnels'!$C$7:$C$66,"CPTRUN",'Vols additionnels'!$D$7:$D$66,"787",'Vols additionnels'!$I$7:$I$66,"&gt;="&amp;$J$87,'Vols additionnels'!$I$7:$I$66,"&lt;="&amp;$K$87)-H161+G161)/2</f>
        <v>5</v>
      </c>
      <c r="I200" s="129" t="n">
        <f aca="false">I122+(SUMIFS('Vols additionnels'!$E$7:$E$66,'Vols additionnels'!$C$7:$C$66,"CPTRUN",'Vols additionnels'!$D$7:$D$66,"787",'Vols additionnels'!$B$7:$B$66,"&gt;="&amp;$J$88,'Vols additionnels'!$B$7:$B$66,"&lt;="&amp;$K$88)+SUMIFS('Vols additionnels'!$E$7:$E$66,'Vols additionnels'!$C$7:$C$66,"CPTRUN",'Vols additionnels'!$D$7:$D$66,"787",'Vols additionnels'!$I$7:$I$66,"&gt;="&amp;$J$88,'Vols additionnels'!$I$7:$I$66,"&lt;="&amp;$K$88)-I161+H161)/2</f>
        <v>4</v>
      </c>
      <c r="J200" s="129" t="n">
        <f aca="false">J122+(SUMIFS('Vols additionnels'!$E$7:$E$66,'Vols additionnels'!$C$7:$C$66,"CPTRUN",'Vols additionnels'!$D$7:$D$66,"787",'Vols additionnels'!$B$7:$B$66,"&gt;="&amp;$J$89,'Vols additionnels'!$B$7:$B$66,"&lt;="&amp;$K$89)+SUMIFS('Vols additionnels'!$E$7:$E$66,'Vols additionnels'!$C$7:$C$66,"CPTRUN",'Vols additionnels'!$D$7:$D$66,"787",'Vols additionnels'!$I$7:$I$66,"&gt;="&amp;$J$89,'Vols additionnels'!$I$7:$I$66,"&lt;="&amp;$K$89)-J161+I161)/2</f>
        <v>4</v>
      </c>
      <c r="K200" s="129" t="n">
        <f aca="false">K122+(SUMIFS('Vols additionnels'!$E$7:$E$66,'Vols additionnels'!$C$7:$C$66,"CPTRUN",'Vols additionnels'!$D$7:$D$66,"787",'Vols additionnels'!$B$7:$B$66,"&gt;="&amp;$J$90,'Vols additionnels'!$B$7:$B$66,"&lt;="&amp;$K$90)+SUMIFS('Vols additionnels'!$E$7:$E$66,'Vols additionnels'!$C$7:$C$66,"CPTRUN",'Vols additionnels'!$D$7:$D$66,"787",'Vols additionnels'!$I$7:$I$66,"&gt;="&amp;$J$90,'Vols additionnels'!$I$7:$I$66,"&lt;="&amp;$K$90)-K161+J161)/2</f>
        <v>5</v>
      </c>
      <c r="L200" s="129" t="n">
        <f aca="false">L122+(SUMIFS('Vols additionnels'!$E$7:$E$66,'Vols additionnels'!$C$7:$C$66,"CPTRUN",'Vols additionnels'!$D$7:$D$66,"787",'Vols additionnels'!$B$7:$B$66,"&gt;="&amp;$J$91,'Vols additionnels'!$B$7:$B$66,"&lt;="&amp;$K$91)+SUMIFS('Vols additionnels'!$E$7:$E$66,'Vols additionnels'!$C$7:$C$66,"CPTRUN",'Vols additionnels'!$D$7:$D$66,"787",'Vols additionnels'!$I$7:$I$66,"&gt;="&amp;$J$91,'Vols additionnels'!$I$7:$I$66,"&lt;="&amp;$K$91)-L161+K161)/2</f>
        <v>4</v>
      </c>
      <c r="M200" s="129" t="n">
        <f aca="false">M122+(SUMIFS('Vols additionnels'!$E$7:$E$66,'Vols additionnels'!$C$7:$C$66,"CPTRUN",'Vols additionnels'!$D$7:$D$66,"787",'Vols additionnels'!$B$7:$B$66,"&gt;="&amp;$J$92,'Vols additionnels'!$B$7:$B$66,"&lt;="&amp;$K$92)+SUMIFS('Vols additionnels'!$E$7:$E$66,'Vols additionnels'!$C$7:$C$66,"CPTRUN",'Vols additionnels'!$D$7:$D$66,"787",'Vols additionnels'!$I$7:$I$66,"&gt;="&amp;$J$92,'Vols additionnels'!$I$7:$I$66,"&lt;="&amp;$K$92)-M161+L161)/2</f>
        <v>4</v>
      </c>
      <c r="N200" s="129" t="n">
        <f aca="false">N122+(SUMIFS('Vols additionnels'!$E$7:$E$66,'Vols additionnels'!$C$7:$C$66,"CPTRUN",'Vols additionnels'!$D$7:$D$66,"787",'Vols additionnels'!$B$7:$B$66,"&gt;="&amp;$J$93,'Vols additionnels'!$B$7:$B$66,"&lt;="&amp;$K$93)+SUMIFS('Vols additionnels'!$E$7:$E$66,'Vols additionnels'!$C$7:$C$66,"CPTRUN",'Vols additionnels'!$D$7:$D$66,"787",'Vols additionnels'!$I$7:$I$66,"&gt;="&amp;$J$93,'Vols additionnels'!$I$7:$I$66,"&lt;="&amp;$K$93)-N161+M161)/2</f>
        <v>5</v>
      </c>
      <c r="O200" s="12" t="s">
        <v>53</v>
      </c>
      <c r="P200" s="12" t="s">
        <v>19</v>
      </c>
    </row>
    <row r="201" customFormat="false" ht="15" hidden="false" customHeight="false" outlineLevel="0" collapsed="false">
      <c r="B201" s="10" t="s">
        <v>163</v>
      </c>
      <c r="C201" s="129" t="n">
        <f aca="false">C123+(SUMIFS('Vols additionnels'!$E$7:$E$66,'Vols additionnels'!$C$7:$C$66,"CPTRUN",'Vols additionnels'!$D$7:$D$66,"A320",'Vols additionnels'!$B$7:$B$66,"&gt;="&amp;$J$82,'Vols additionnels'!$B$7:$B$66,"&lt;="&amp;$K$82)+SUMIFS('Vols additionnels'!$E$7:$E$66,'Vols additionnels'!$C$7:$C$66,"CPTRUN",'Vols additionnels'!$D$7:$D$66,"A320",'Vols additionnels'!$I$7:$I$66,"&gt;="&amp;$J$82,'Vols additionnels'!$I$7:$I$66,"&lt;="&amp;$K$82)-C162+0)/2</f>
        <v>0</v>
      </c>
      <c r="D201" s="129" t="n">
        <f aca="false">D123+(SUMIFS('Vols additionnels'!$E$7:$E$66,'Vols additionnels'!$C$7:$C$66,"CPTRUN",'Vols additionnels'!$D$7:$D$66,"A320",'Vols additionnels'!$B$7:$B$66,"&gt;="&amp;$J$83,'Vols additionnels'!$B$7:$B$66,"&lt;="&amp;$K$83)+SUMIFS('Vols additionnels'!$E$7:$E$66,'Vols additionnels'!$C$7:$C$66,"CPTRUN",'Vols additionnels'!$D$7:$D$66,"A320",'Vols additionnels'!$I$7:$I$66,"&gt;="&amp;$J$83,'Vols additionnels'!$I$7:$I$66,"&lt;="&amp;$K$83)-D162+C162)/2</f>
        <v>0</v>
      </c>
      <c r="E201" s="129" t="n">
        <f aca="false">E123+(SUMIFS('Vols additionnels'!$E$7:$E$66,'Vols additionnels'!$C$7:$C$66,"CPTRUN",'Vols additionnels'!$D$7:$D$66,"A320",'Vols additionnels'!$B$7:$B$66,"&gt;="&amp;$J$84,'Vols additionnels'!$B$7:$B$66,"&lt;="&amp;$K$84)+SUMIFS('Vols additionnels'!$E$7:$E$66,'Vols additionnels'!$C$7:$C$66,"CPTRUN",'Vols additionnels'!$D$7:$D$66,"A320",'Vols additionnels'!$I$7:$I$66,"&gt;="&amp;$J$84,'Vols additionnels'!$I$7:$I$66,"&lt;="&amp;$K$84)-E162+D162)/2</f>
        <v>0</v>
      </c>
      <c r="F201" s="129" t="n">
        <f aca="false">F123+(SUMIFS('Vols additionnels'!$E$7:$E$66,'Vols additionnels'!$C$7:$C$66,"CPTRUN",'Vols additionnels'!$D$7:$D$66,"A320",'Vols additionnels'!$B$7:$B$66,"&gt;="&amp;$J$85,'Vols additionnels'!$B$7:$B$66,"&lt;="&amp;$K$85)+SUMIFS('Vols additionnels'!$E$7:$E$66,'Vols additionnels'!$C$7:$C$66,"CPTRUN",'Vols additionnels'!$D$7:$D$66,"A320",'Vols additionnels'!$I$7:$I$66,"&gt;="&amp;$J$85,'Vols additionnels'!$I$7:$I$66,"&lt;="&amp;$K$85)-F162+E162)/2</f>
        <v>0</v>
      </c>
      <c r="G201" s="129" t="n">
        <f aca="false">G123+(SUMIFS('Vols additionnels'!$E$7:$E$66,'Vols additionnels'!$C$7:$C$66,"CPTRUN",'Vols additionnels'!$D$7:$D$66,"A320",'Vols additionnels'!$B$7:$B$66,"&gt;="&amp;$J$86,'Vols additionnels'!$B$7:$B$66,"&lt;="&amp;$K$86)+SUMIFS('Vols additionnels'!$E$7:$E$66,'Vols additionnels'!$C$7:$C$66,"CPTRUN",'Vols additionnels'!$D$7:$D$66,"A320",'Vols additionnels'!$I$7:$I$66,"&gt;="&amp;$J$86,'Vols additionnels'!$I$7:$I$66,"&lt;="&amp;$K$86)-G162+F162)/2</f>
        <v>0</v>
      </c>
      <c r="H201" s="129" t="n">
        <f aca="false">H123+(SUMIFS('Vols additionnels'!$E$7:$E$66,'Vols additionnels'!$C$7:$C$66,"CPTRUN",'Vols additionnels'!$D$7:$D$66,"A320",'Vols additionnels'!$B$7:$B$66,"&gt;="&amp;$J$87,'Vols additionnels'!$B$7:$B$66,"&lt;="&amp;$K$87)+SUMIFS('Vols additionnels'!$E$7:$E$66,'Vols additionnels'!$C$7:$C$66,"CPTRUN",'Vols additionnels'!$D$7:$D$66,"A320",'Vols additionnels'!$I$7:$I$66,"&gt;="&amp;$J$87,'Vols additionnels'!$I$7:$I$66,"&lt;="&amp;$K$87)-H162+G162)/2</f>
        <v>0</v>
      </c>
      <c r="I201" s="129" t="n">
        <f aca="false">I123+(SUMIFS('Vols additionnels'!$E$7:$E$66,'Vols additionnels'!$C$7:$C$66,"CPTRUN",'Vols additionnels'!$D$7:$D$66,"A320",'Vols additionnels'!$B$7:$B$66,"&gt;="&amp;$J$88,'Vols additionnels'!$B$7:$B$66,"&lt;="&amp;$K$88)+SUMIFS('Vols additionnels'!$E$7:$E$66,'Vols additionnels'!$C$7:$C$66,"CPTRUN",'Vols additionnels'!$D$7:$D$66,"A320",'Vols additionnels'!$I$7:$I$66,"&gt;="&amp;$J$88,'Vols additionnels'!$I$7:$I$66,"&lt;="&amp;$K$88)-I162+H162)/2</f>
        <v>0</v>
      </c>
      <c r="J201" s="129" t="n">
        <f aca="false">J123+(SUMIFS('Vols additionnels'!$E$7:$E$66,'Vols additionnels'!$C$7:$C$66,"CPTRUN",'Vols additionnels'!$D$7:$D$66,"A320",'Vols additionnels'!$B$7:$B$66,"&gt;="&amp;$J$89,'Vols additionnels'!$B$7:$B$66,"&lt;="&amp;$K$89)+SUMIFS('Vols additionnels'!$E$7:$E$66,'Vols additionnels'!$C$7:$C$66,"CPTRUN",'Vols additionnels'!$D$7:$D$66,"A320",'Vols additionnels'!$I$7:$I$66,"&gt;="&amp;$J$89,'Vols additionnels'!$I$7:$I$66,"&lt;="&amp;$K$89)-J162+I162)/2</f>
        <v>0</v>
      </c>
      <c r="K201" s="129" t="n">
        <f aca="false">K123+(SUMIFS('Vols additionnels'!$E$7:$E$66,'Vols additionnels'!$C$7:$C$66,"CPTRUN",'Vols additionnels'!$D$7:$D$66,"A320",'Vols additionnels'!$B$7:$B$66,"&gt;="&amp;$J$90,'Vols additionnels'!$B$7:$B$66,"&lt;="&amp;$K$90)+SUMIFS('Vols additionnels'!$E$7:$E$66,'Vols additionnels'!$C$7:$C$66,"CPTRUN",'Vols additionnels'!$D$7:$D$66,"A320",'Vols additionnels'!$I$7:$I$66,"&gt;="&amp;$J$90,'Vols additionnels'!$I$7:$I$66,"&lt;="&amp;$K$90)-K162+J162)/2</f>
        <v>0</v>
      </c>
      <c r="L201" s="129" t="n">
        <f aca="false">L123+(SUMIFS('Vols additionnels'!$E$7:$E$66,'Vols additionnels'!$C$7:$C$66,"CPTRUN",'Vols additionnels'!$D$7:$D$66,"A320",'Vols additionnels'!$B$7:$B$66,"&gt;="&amp;$J$91,'Vols additionnels'!$B$7:$B$66,"&lt;="&amp;$K$91)+SUMIFS('Vols additionnels'!$E$7:$E$66,'Vols additionnels'!$C$7:$C$66,"CPTRUN",'Vols additionnels'!$D$7:$D$66,"A320",'Vols additionnels'!$I$7:$I$66,"&gt;="&amp;$J$91,'Vols additionnels'!$I$7:$I$66,"&lt;="&amp;$K$91)-L162+K162)/2</f>
        <v>0</v>
      </c>
      <c r="M201" s="129" t="n">
        <f aca="false">M123+(SUMIFS('Vols additionnels'!$E$7:$E$66,'Vols additionnels'!$C$7:$C$66,"CPTRUN",'Vols additionnels'!$D$7:$D$66,"A320",'Vols additionnels'!$B$7:$B$66,"&gt;="&amp;$J$92,'Vols additionnels'!$B$7:$B$66,"&lt;="&amp;$K$92)+SUMIFS('Vols additionnels'!$E$7:$E$66,'Vols additionnels'!$C$7:$C$66,"CPTRUN",'Vols additionnels'!$D$7:$D$66,"A320",'Vols additionnels'!$I$7:$I$66,"&gt;="&amp;$J$92,'Vols additionnels'!$I$7:$I$66,"&lt;="&amp;$K$92)-M162+L162)/2</f>
        <v>0</v>
      </c>
      <c r="N201" s="129" t="n">
        <f aca="false">N123+(SUMIFS('Vols additionnels'!$E$7:$E$66,'Vols additionnels'!$C$7:$C$66,"CPTRUN",'Vols additionnels'!$D$7:$D$66,"A320",'Vols additionnels'!$B$7:$B$66,"&gt;="&amp;$J$93,'Vols additionnels'!$B$7:$B$66,"&lt;="&amp;$K$93)+SUMIFS('Vols additionnels'!$E$7:$E$66,'Vols additionnels'!$C$7:$C$66,"CPTRUN",'Vols additionnels'!$D$7:$D$66,"A320",'Vols additionnels'!$I$7:$I$66,"&gt;="&amp;$J$93,'Vols additionnels'!$I$7:$I$66,"&lt;="&amp;$K$93)-N162+M162)/2</f>
        <v>0</v>
      </c>
      <c r="O201" s="12" t="s">
        <v>53</v>
      </c>
      <c r="P201" s="12" t="s">
        <v>24</v>
      </c>
    </row>
    <row r="202" customFormat="false" ht="15" hidden="false" customHeight="false" outlineLevel="0" collapsed="false">
      <c r="B202" s="10" t="s">
        <v>164</v>
      </c>
      <c r="C202" s="129" t="n">
        <f aca="false">C124+(SUMIFS('Vols additionnels'!$E$7:$E$66,'Vols additionnels'!$C$7:$C$66,"DIERUN",'Vols additionnels'!$D$7:$D$66,"77W",'Vols additionnels'!$B$7:$B$66,"&gt;="&amp;$J$82,'Vols additionnels'!$B$7:$B$66,"&lt;="&amp;$K$82)+SUMIFS('Vols additionnels'!$E$7:$E$66,'Vols additionnels'!$C$7:$C$66,"DIERUN",'Vols additionnels'!$D$7:$D$66,"77W",'Vols additionnels'!$I$7:$I$66,"&gt;="&amp;$J$82,'Vols additionnels'!$I$7:$I$66,"&lt;="&amp;$K$82)-C163+0)/2</f>
        <v>0</v>
      </c>
      <c r="D202" s="129" t="n">
        <f aca="false">D124+(SUMIFS('Vols additionnels'!$E$7:$E$66,'Vols additionnels'!$C$7:$C$66,"DIERUN",'Vols additionnels'!$D$7:$D$66,"77W",'Vols additionnels'!$B$7:$B$66,"&gt;="&amp;$J$83,'Vols additionnels'!$B$7:$B$66,"&lt;="&amp;$K$83)+SUMIFS('Vols additionnels'!$E$7:$E$66,'Vols additionnels'!$C$7:$C$66,"DIERUN",'Vols additionnels'!$D$7:$D$66,"77W",'Vols additionnels'!$I$7:$I$66,"&gt;="&amp;$J$83,'Vols additionnels'!$I$7:$I$66,"&lt;="&amp;$K$83)-D163+C163)/2</f>
        <v>0</v>
      </c>
      <c r="E202" s="129" t="n">
        <f aca="false">E124+(SUMIFS('Vols additionnels'!$E$7:$E$66,'Vols additionnels'!$C$7:$C$66,"DIERUN",'Vols additionnels'!$D$7:$D$66,"77W",'Vols additionnels'!$B$7:$B$66,"&gt;="&amp;$J$84,'Vols additionnels'!$B$7:$B$66,"&lt;="&amp;$K$84)+SUMIFS('Vols additionnels'!$E$7:$E$66,'Vols additionnels'!$C$7:$C$66,"DIERUN",'Vols additionnels'!$D$7:$D$66,"77W",'Vols additionnels'!$I$7:$I$66,"&gt;="&amp;$J$84,'Vols additionnels'!$I$7:$I$66,"&lt;="&amp;$K$84)-E163+D163)/2</f>
        <v>0</v>
      </c>
      <c r="F202" s="129" t="n">
        <f aca="false">F124+(SUMIFS('Vols additionnels'!$E$7:$E$66,'Vols additionnels'!$C$7:$C$66,"DIERUN",'Vols additionnels'!$D$7:$D$66,"77W",'Vols additionnels'!$B$7:$B$66,"&gt;="&amp;$J$85,'Vols additionnels'!$B$7:$B$66,"&lt;="&amp;$K$85)+SUMIFS('Vols additionnels'!$E$7:$E$66,'Vols additionnels'!$C$7:$C$66,"DIERUN",'Vols additionnels'!$D$7:$D$66,"77W",'Vols additionnels'!$I$7:$I$66,"&gt;="&amp;$J$85,'Vols additionnels'!$I$7:$I$66,"&lt;="&amp;$K$85)-F163+E163)/2</f>
        <v>0</v>
      </c>
      <c r="G202" s="129" t="n">
        <f aca="false">G124+(SUMIFS('Vols additionnels'!$E$7:$E$66,'Vols additionnels'!$C$7:$C$66,"DIERUN",'Vols additionnels'!$D$7:$D$66,"77W",'Vols additionnels'!$B$7:$B$66,"&gt;="&amp;$J$86,'Vols additionnels'!$B$7:$B$66,"&lt;="&amp;$K$86)+SUMIFS('Vols additionnels'!$E$7:$E$66,'Vols additionnels'!$C$7:$C$66,"DIERUN",'Vols additionnels'!$D$7:$D$66,"77W",'Vols additionnels'!$I$7:$I$66,"&gt;="&amp;$J$86,'Vols additionnels'!$I$7:$I$66,"&lt;="&amp;$K$86)-G163+F163)/2</f>
        <v>0</v>
      </c>
      <c r="H202" s="129" t="n">
        <f aca="false">H124+(SUMIFS('Vols additionnels'!$E$7:$E$66,'Vols additionnels'!$C$7:$C$66,"DIERUN",'Vols additionnels'!$D$7:$D$66,"77W",'Vols additionnels'!$B$7:$B$66,"&gt;="&amp;$J$87,'Vols additionnels'!$B$7:$B$66,"&lt;="&amp;$K$87)+SUMIFS('Vols additionnels'!$E$7:$E$66,'Vols additionnels'!$C$7:$C$66,"DIERUN",'Vols additionnels'!$D$7:$D$66,"77W",'Vols additionnels'!$I$7:$I$66,"&gt;="&amp;$J$87,'Vols additionnels'!$I$7:$I$66,"&lt;="&amp;$K$87)-H163+G163)/2</f>
        <v>0</v>
      </c>
      <c r="I202" s="129" t="n">
        <f aca="false">I124+(SUMIFS('Vols additionnels'!$E$7:$E$66,'Vols additionnels'!$C$7:$C$66,"DIERUN",'Vols additionnels'!$D$7:$D$66,"77W",'Vols additionnels'!$B$7:$B$66,"&gt;="&amp;$J$88,'Vols additionnels'!$B$7:$B$66,"&lt;="&amp;$K$88)+SUMIFS('Vols additionnels'!$E$7:$E$66,'Vols additionnels'!$C$7:$C$66,"DIERUN",'Vols additionnels'!$D$7:$D$66,"77W",'Vols additionnels'!$I$7:$I$66,"&gt;="&amp;$J$88,'Vols additionnels'!$I$7:$I$66,"&lt;="&amp;$K$88)-I163+H163)/2</f>
        <v>0</v>
      </c>
      <c r="J202" s="129" t="n">
        <f aca="false">J124+(SUMIFS('Vols additionnels'!$E$7:$E$66,'Vols additionnels'!$C$7:$C$66,"DIERUN",'Vols additionnels'!$D$7:$D$66,"77W",'Vols additionnels'!$B$7:$B$66,"&gt;="&amp;$J$89,'Vols additionnels'!$B$7:$B$66,"&lt;="&amp;$K$89)+SUMIFS('Vols additionnels'!$E$7:$E$66,'Vols additionnels'!$C$7:$C$66,"DIERUN",'Vols additionnels'!$D$7:$D$66,"77W",'Vols additionnels'!$I$7:$I$66,"&gt;="&amp;$J$89,'Vols additionnels'!$I$7:$I$66,"&lt;="&amp;$K$89)-J163+I163)/2</f>
        <v>0</v>
      </c>
      <c r="K202" s="129" t="n">
        <f aca="false">K124+(SUMIFS('Vols additionnels'!$E$7:$E$66,'Vols additionnels'!$C$7:$C$66,"DIERUN",'Vols additionnels'!$D$7:$D$66,"77W",'Vols additionnels'!$B$7:$B$66,"&gt;="&amp;$J$90,'Vols additionnels'!$B$7:$B$66,"&lt;="&amp;$K$90)+SUMIFS('Vols additionnels'!$E$7:$E$66,'Vols additionnels'!$C$7:$C$66,"DIERUN",'Vols additionnels'!$D$7:$D$66,"77W",'Vols additionnels'!$I$7:$I$66,"&gt;="&amp;$J$90,'Vols additionnels'!$I$7:$I$66,"&lt;="&amp;$K$90)-K163+J163)/2</f>
        <v>0</v>
      </c>
      <c r="L202" s="129" t="n">
        <f aca="false">L124+(SUMIFS('Vols additionnels'!$E$7:$E$66,'Vols additionnels'!$C$7:$C$66,"DIERUN",'Vols additionnels'!$D$7:$D$66,"77W",'Vols additionnels'!$B$7:$B$66,"&gt;="&amp;$J$91,'Vols additionnels'!$B$7:$B$66,"&lt;="&amp;$K$91)+SUMIFS('Vols additionnels'!$E$7:$E$66,'Vols additionnels'!$C$7:$C$66,"DIERUN",'Vols additionnels'!$D$7:$D$66,"77W",'Vols additionnels'!$I$7:$I$66,"&gt;="&amp;$J$91,'Vols additionnels'!$I$7:$I$66,"&lt;="&amp;$K$91)-L163+K163)/2</f>
        <v>0</v>
      </c>
      <c r="M202" s="129" t="n">
        <f aca="false">M124+(SUMIFS('Vols additionnels'!$E$7:$E$66,'Vols additionnels'!$C$7:$C$66,"DIERUN",'Vols additionnels'!$D$7:$D$66,"77W",'Vols additionnels'!$B$7:$B$66,"&gt;="&amp;$J$92,'Vols additionnels'!$B$7:$B$66,"&lt;="&amp;$K$92)+SUMIFS('Vols additionnels'!$E$7:$E$66,'Vols additionnels'!$C$7:$C$66,"DIERUN",'Vols additionnels'!$D$7:$D$66,"77W",'Vols additionnels'!$I$7:$I$66,"&gt;="&amp;$J$92,'Vols additionnels'!$I$7:$I$66,"&lt;="&amp;$K$92)-M163+L163)/2</f>
        <v>0</v>
      </c>
      <c r="N202" s="129" t="n">
        <f aca="false">N124+(SUMIFS('Vols additionnels'!$E$7:$E$66,'Vols additionnels'!$C$7:$C$66,"DIERUN",'Vols additionnels'!$D$7:$D$66,"77W",'Vols additionnels'!$B$7:$B$66,"&gt;="&amp;$J$93,'Vols additionnels'!$B$7:$B$66,"&lt;="&amp;$K$93)+SUMIFS('Vols additionnels'!$E$7:$E$66,'Vols additionnels'!$C$7:$C$66,"DIERUN",'Vols additionnels'!$D$7:$D$66,"77W",'Vols additionnels'!$I$7:$I$66,"&gt;="&amp;$J$93,'Vols additionnels'!$I$7:$I$66,"&lt;="&amp;$K$93)-N163+M163)/2</f>
        <v>0</v>
      </c>
      <c r="O202" s="12" t="s">
        <v>56</v>
      </c>
      <c r="P202" s="12" t="s">
        <v>11</v>
      </c>
    </row>
    <row r="203" customFormat="false" ht="15" hidden="false" customHeight="false" outlineLevel="0" collapsed="false">
      <c r="B203" s="10" t="s">
        <v>165</v>
      </c>
      <c r="C203" s="129" t="n">
        <f aca="false">C125+(SUMIFS('Vols additionnels'!$E$7:$E$66,'Vols additionnels'!$C$7:$C$66,"DIERUN",'Vols additionnels'!$D$7:$D$66,"787",'Vols additionnels'!$B$7:$B$66,"&gt;="&amp;$J$82,'Vols additionnels'!$B$7:$B$66,"&lt;="&amp;$K$82)+SUMIFS('Vols additionnels'!$E$7:$E$66,'Vols additionnels'!$C$7:$C$66,"DIERUN",'Vols additionnels'!$D$7:$D$66,"787",'Vols additionnels'!$I$7:$I$66,"&gt;="&amp;$J$82,'Vols additionnels'!$I$7:$I$66,"&lt;="&amp;$K$82)-C164+0)/2</f>
        <v>0</v>
      </c>
      <c r="D203" s="129" t="n">
        <f aca="false">D125+(SUMIFS('Vols additionnels'!$E$7:$E$66,'Vols additionnels'!$C$7:$C$66,"DIERUN",'Vols additionnels'!$D$7:$D$66,"787",'Vols additionnels'!$B$7:$B$66,"&gt;="&amp;$J$83,'Vols additionnels'!$B$7:$B$66,"&lt;="&amp;$K$83)+SUMIFS('Vols additionnels'!$E$7:$E$66,'Vols additionnels'!$C$7:$C$66,"DIERUN",'Vols additionnels'!$D$7:$D$66,"787",'Vols additionnels'!$I$7:$I$66,"&gt;="&amp;$J$83,'Vols additionnels'!$I$7:$I$66,"&lt;="&amp;$K$83)-D164+C164)/2</f>
        <v>0</v>
      </c>
      <c r="E203" s="129" t="n">
        <f aca="false">E125+(SUMIFS('Vols additionnels'!$E$7:$E$66,'Vols additionnels'!$C$7:$C$66,"DIERUN",'Vols additionnels'!$D$7:$D$66,"787",'Vols additionnels'!$B$7:$B$66,"&gt;="&amp;$J$84,'Vols additionnels'!$B$7:$B$66,"&lt;="&amp;$K$84)+SUMIFS('Vols additionnels'!$E$7:$E$66,'Vols additionnels'!$C$7:$C$66,"DIERUN",'Vols additionnels'!$D$7:$D$66,"787",'Vols additionnels'!$I$7:$I$66,"&gt;="&amp;$J$84,'Vols additionnels'!$I$7:$I$66,"&lt;="&amp;$K$84)-E164+D164)/2</f>
        <v>0</v>
      </c>
      <c r="F203" s="129" t="n">
        <f aca="false">F125+(SUMIFS('Vols additionnels'!$E$7:$E$66,'Vols additionnels'!$C$7:$C$66,"DIERUN",'Vols additionnels'!$D$7:$D$66,"787",'Vols additionnels'!$B$7:$B$66,"&gt;="&amp;$J$85,'Vols additionnels'!$B$7:$B$66,"&lt;="&amp;$K$85)+SUMIFS('Vols additionnels'!$E$7:$E$66,'Vols additionnels'!$C$7:$C$66,"DIERUN",'Vols additionnels'!$D$7:$D$66,"787",'Vols additionnels'!$I$7:$I$66,"&gt;="&amp;$J$85,'Vols additionnels'!$I$7:$I$66,"&lt;="&amp;$K$85)-F164+E164)/2</f>
        <v>0</v>
      </c>
      <c r="G203" s="129" t="n">
        <f aca="false">G125+(SUMIFS('Vols additionnels'!$E$7:$E$66,'Vols additionnels'!$C$7:$C$66,"DIERUN",'Vols additionnels'!$D$7:$D$66,"787",'Vols additionnels'!$B$7:$B$66,"&gt;="&amp;$J$86,'Vols additionnels'!$B$7:$B$66,"&lt;="&amp;$K$86)+SUMIFS('Vols additionnels'!$E$7:$E$66,'Vols additionnels'!$C$7:$C$66,"DIERUN",'Vols additionnels'!$D$7:$D$66,"787",'Vols additionnels'!$I$7:$I$66,"&gt;="&amp;$J$86,'Vols additionnels'!$I$7:$I$66,"&lt;="&amp;$K$86)-G164+F164)/2</f>
        <v>0</v>
      </c>
      <c r="H203" s="129" t="n">
        <f aca="false">H125+(SUMIFS('Vols additionnels'!$E$7:$E$66,'Vols additionnels'!$C$7:$C$66,"DIERUN",'Vols additionnels'!$D$7:$D$66,"787",'Vols additionnels'!$B$7:$B$66,"&gt;="&amp;$J$87,'Vols additionnels'!$B$7:$B$66,"&lt;="&amp;$K$87)+SUMIFS('Vols additionnels'!$E$7:$E$66,'Vols additionnels'!$C$7:$C$66,"DIERUN",'Vols additionnels'!$D$7:$D$66,"787",'Vols additionnels'!$I$7:$I$66,"&gt;="&amp;$J$87,'Vols additionnels'!$I$7:$I$66,"&lt;="&amp;$K$87)-H164+G164)/2</f>
        <v>0</v>
      </c>
      <c r="I203" s="129" t="n">
        <f aca="false">I125+(SUMIFS('Vols additionnels'!$E$7:$E$66,'Vols additionnels'!$C$7:$C$66,"DIERUN",'Vols additionnels'!$D$7:$D$66,"787",'Vols additionnels'!$B$7:$B$66,"&gt;="&amp;$J$88,'Vols additionnels'!$B$7:$B$66,"&lt;="&amp;$K$88)+SUMIFS('Vols additionnels'!$E$7:$E$66,'Vols additionnels'!$C$7:$C$66,"DIERUN",'Vols additionnels'!$D$7:$D$66,"787",'Vols additionnels'!$I$7:$I$66,"&gt;="&amp;$J$88,'Vols additionnels'!$I$7:$I$66,"&lt;="&amp;$K$88)-I164+H164)/2</f>
        <v>0</v>
      </c>
      <c r="J203" s="129" t="n">
        <f aca="false">J125+(SUMIFS('Vols additionnels'!$E$7:$E$66,'Vols additionnels'!$C$7:$C$66,"DIERUN",'Vols additionnels'!$D$7:$D$66,"787",'Vols additionnels'!$B$7:$B$66,"&gt;="&amp;$J$89,'Vols additionnels'!$B$7:$B$66,"&lt;="&amp;$K$89)+SUMIFS('Vols additionnels'!$E$7:$E$66,'Vols additionnels'!$C$7:$C$66,"DIERUN",'Vols additionnels'!$D$7:$D$66,"787",'Vols additionnels'!$I$7:$I$66,"&gt;="&amp;$J$89,'Vols additionnels'!$I$7:$I$66,"&lt;="&amp;$K$89)-J164+I164)/2</f>
        <v>0</v>
      </c>
      <c r="K203" s="129" t="n">
        <f aca="false">K125+(SUMIFS('Vols additionnels'!$E$7:$E$66,'Vols additionnels'!$C$7:$C$66,"DIERUN",'Vols additionnels'!$D$7:$D$66,"787",'Vols additionnels'!$B$7:$B$66,"&gt;="&amp;$J$90,'Vols additionnels'!$B$7:$B$66,"&lt;="&amp;$K$90)+SUMIFS('Vols additionnels'!$E$7:$E$66,'Vols additionnels'!$C$7:$C$66,"DIERUN",'Vols additionnels'!$D$7:$D$66,"787",'Vols additionnels'!$I$7:$I$66,"&gt;="&amp;$J$90,'Vols additionnels'!$I$7:$I$66,"&lt;="&amp;$K$90)-K164+J164)/2</f>
        <v>0</v>
      </c>
      <c r="L203" s="129" t="n">
        <f aca="false">L125+(SUMIFS('Vols additionnels'!$E$7:$E$66,'Vols additionnels'!$C$7:$C$66,"DIERUN",'Vols additionnels'!$D$7:$D$66,"787",'Vols additionnels'!$B$7:$B$66,"&gt;="&amp;$J$91,'Vols additionnels'!$B$7:$B$66,"&lt;="&amp;$K$91)+SUMIFS('Vols additionnels'!$E$7:$E$66,'Vols additionnels'!$C$7:$C$66,"DIERUN",'Vols additionnels'!$D$7:$D$66,"787",'Vols additionnels'!$I$7:$I$66,"&gt;="&amp;$J$91,'Vols additionnels'!$I$7:$I$66,"&lt;="&amp;$K$91)-L164+K164)/2</f>
        <v>0</v>
      </c>
      <c r="M203" s="129" t="n">
        <f aca="false">M125+(SUMIFS('Vols additionnels'!$E$7:$E$66,'Vols additionnels'!$C$7:$C$66,"DIERUN",'Vols additionnels'!$D$7:$D$66,"787",'Vols additionnels'!$B$7:$B$66,"&gt;="&amp;$J$92,'Vols additionnels'!$B$7:$B$66,"&lt;="&amp;$K$92)+SUMIFS('Vols additionnels'!$E$7:$E$66,'Vols additionnels'!$C$7:$C$66,"DIERUN",'Vols additionnels'!$D$7:$D$66,"787",'Vols additionnels'!$I$7:$I$66,"&gt;="&amp;$J$92,'Vols additionnels'!$I$7:$I$66,"&lt;="&amp;$K$92)-M164+L164)/2</f>
        <v>0</v>
      </c>
      <c r="N203" s="129" t="n">
        <f aca="false">N125+(SUMIFS('Vols additionnels'!$E$7:$E$66,'Vols additionnels'!$C$7:$C$66,"DIERUN",'Vols additionnels'!$D$7:$D$66,"787",'Vols additionnels'!$B$7:$B$66,"&gt;="&amp;$J$93,'Vols additionnels'!$B$7:$B$66,"&lt;="&amp;$K$93)+SUMIFS('Vols additionnels'!$E$7:$E$66,'Vols additionnels'!$C$7:$C$66,"DIERUN",'Vols additionnels'!$D$7:$D$66,"787",'Vols additionnels'!$I$7:$I$66,"&gt;="&amp;$J$93,'Vols additionnels'!$I$7:$I$66,"&lt;="&amp;$K$93)-N164+M164)/2</f>
        <v>0</v>
      </c>
      <c r="O203" s="12" t="s">
        <v>56</v>
      </c>
      <c r="P203" s="12" t="s">
        <v>19</v>
      </c>
    </row>
    <row r="204" customFormat="false" ht="15" hidden="false" customHeight="false" outlineLevel="0" collapsed="false">
      <c r="B204" s="10" t="s">
        <v>166</v>
      </c>
      <c r="C204" s="129" t="n">
        <f aca="false">C126+(SUMIFS('Vols additionnels'!$E$7:$E$66,'Vols additionnels'!$C$7:$C$66,"DIERUN",'Vols additionnels'!$D$7:$D$66,"A320",'Vols additionnels'!$B$7:$B$66,"&gt;="&amp;$J$82,'Vols additionnels'!$B$7:$B$66,"&lt;="&amp;$K$82)+SUMIFS('Vols additionnels'!$E$7:$E$66,'Vols additionnels'!$C$7:$C$66,"DIERUN",'Vols additionnels'!$D$7:$D$66,"A320",'Vols additionnels'!$I$7:$I$66,"&gt;="&amp;$J$82,'Vols additionnels'!$I$7:$I$66,"&lt;="&amp;$K$82)-C165+0)/2</f>
        <v>8</v>
      </c>
      <c r="D204" s="129" t="n">
        <f aca="false">D126+(SUMIFS('Vols additionnels'!$E$7:$E$66,'Vols additionnels'!$C$7:$C$66,"DIERUN",'Vols additionnels'!$D$7:$D$66,"A320",'Vols additionnels'!$B$7:$B$66,"&gt;="&amp;$J$83,'Vols additionnels'!$B$7:$B$66,"&lt;="&amp;$K$83)+SUMIFS('Vols additionnels'!$E$7:$E$66,'Vols additionnels'!$C$7:$C$66,"DIERUN",'Vols additionnels'!$D$7:$D$66,"A320",'Vols additionnels'!$I$7:$I$66,"&gt;="&amp;$J$83,'Vols additionnels'!$I$7:$I$66,"&lt;="&amp;$K$83)-D165+C165)/2</f>
        <v>9</v>
      </c>
      <c r="E204" s="129" t="n">
        <f aca="false">E126+(SUMIFS('Vols additionnels'!$E$7:$E$66,'Vols additionnels'!$C$7:$C$66,"DIERUN",'Vols additionnels'!$D$7:$D$66,"A320",'Vols additionnels'!$B$7:$B$66,"&gt;="&amp;$J$84,'Vols additionnels'!$B$7:$B$66,"&lt;="&amp;$K$84)+SUMIFS('Vols additionnels'!$E$7:$E$66,'Vols additionnels'!$C$7:$C$66,"DIERUN",'Vols additionnels'!$D$7:$D$66,"A320",'Vols additionnels'!$I$7:$I$66,"&gt;="&amp;$J$84,'Vols additionnels'!$I$7:$I$66,"&lt;="&amp;$K$84)-E165+D165)/2</f>
        <v>9</v>
      </c>
      <c r="F204" s="129" t="n">
        <f aca="false">F126+(SUMIFS('Vols additionnels'!$E$7:$E$66,'Vols additionnels'!$C$7:$C$66,"DIERUN",'Vols additionnels'!$D$7:$D$66,"A320",'Vols additionnels'!$B$7:$B$66,"&gt;="&amp;$J$85,'Vols additionnels'!$B$7:$B$66,"&lt;="&amp;$K$85)+SUMIFS('Vols additionnels'!$E$7:$E$66,'Vols additionnels'!$C$7:$C$66,"DIERUN",'Vols additionnels'!$D$7:$D$66,"A320",'Vols additionnels'!$I$7:$I$66,"&gt;="&amp;$J$85,'Vols additionnels'!$I$7:$I$66,"&lt;="&amp;$K$85)-F165+E165)/2</f>
        <v>9</v>
      </c>
      <c r="G204" s="129" t="n">
        <f aca="false">G126+(SUMIFS('Vols additionnels'!$E$7:$E$66,'Vols additionnels'!$C$7:$C$66,"DIERUN",'Vols additionnels'!$D$7:$D$66,"A320",'Vols additionnels'!$B$7:$B$66,"&gt;="&amp;$J$86,'Vols additionnels'!$B$7:$B$66,"&lt;="&amp;$K$86)+SUMIFS('Vols additionnels'!$E$7:$E$66,'Vols additionnels'!$C$7:$C$66,"DIERUN",'Vols additionnels'!$D$7:$D$66,"A320",'Vols additionnels'!$I$7:$I$66,"&gt;="&amp;$J$86,'Vols additionnels'!$I$7:$I$66,"&lt;="&amp;$K$86)-G165+F165)/2</f>
        <v>9</v>
      </c>
      <c r="H204" s="129" t="n">
        <f aca="false">H126+(SUMIFS('Vols additionnels'!$E$7:$E$66,'Vols additionnels'!$C$7:$C$66,"DIERUN",'Vols additionnels'!$D$7:$D$66,"A320",'Vols additionnels'!$B$7:$B$66,"&gt;="&amp;$J$87,'Vols additionnels'!$B$7:$B$66,"&lt;="&amp;$K$87)+SUMIFS('Vols additionnels'!$E$7:$E$66,'Vols additionnels'!$C$7:$C$66,"DIERUN",'Vols additionnels'!$D$7:$D$66,"A320",'Vols additionnels'!$I$7:$I$66,"&gt;="&amp;$J$87,'Vols additionnels'!$I$7:$I$66,"&lt;="&amp;$K$87)-H165+G165)/2</f>
        <v>8</v>
      </c>
      <c r="I204" s="129" t="n">
        <f aca="false">I126+(SUMIFS('Vols additionnels'!$E$7:$E$66,'Vols additionnels'!$C$7:$C$66,"DIERUN",'Vols additionnels'!$D$7:$D$66,"A320",'Vols additionnels'!$B$7:$B$66,"&gt;="&amp;$J$88,'Vols additionnels'!$B$7:$B$66,"&lt;="&amp;$K$88)+SUMIFS('Vols additionnels'!$E$7:$E$66,'Vols additionnels'!$C$7:$C$66,"DIERUN",'Vols additionnels'!$D$7:$D$66,"A320",'Vols additionnels'!$I$7:$I$66,"&gt;="&amp;$J$88,'Vols additionnels'!$I$7:$I$66,"&lt;="&amp;$K$88)-I165+H165)/2</f>
        <v>9</v>
      </c>
      <c r="J204" s="129" t="n">
        <f aca="false">J126+(SUMIFS('Vols additionnels'!$E$7:$E$66,'Vols additionnels'!$C$7:$C$66,"DIERUN",'Vols additionnels'!$D$7:$D$66,"A320",'Vols additionnels'!$B$7:$B$66,"&gt;="&amp;$J$89,'Vols additionnels'!$B$7:$B$66,"&lt;="&amp;$K$89)+SUMIFS('Vols additionnels'!$E$7:$E$66,'Vols additionnels'!$C$7:$C$66,"DIERUN",'Vols additionnels'!$D$7:$D$66,"A320",'Vols additionnels'!$I$7:$I$66,"&gt;="&amp;$J$89,'Vols additionnels'!$I$7:$I$66,"&lt;="&amp;$K$89)-J165+I165)/2</f>
        <v>9</v>
      </c>
      <c r="K204" s="129" t="n">
        <f aca="false">K126+(SUMIFS('Vols additionnels'!$E$7:$E$66,'Vols additionnels'!$C$7:$C$66,"DIERUN",'Vols additionnels'!$D$7:$D$66,"A320",'Vols additionnels'!$B$7:$B$66,"&gt;="&amp;$J$90,'Vols additionnels'!$B$7:$B$66,"&lt;="&amp;$K$90)+SUMIFS('Vols additionnels'!$E$7:$E$66,'Vols additionnels'!$C$7:$C$66,"DIERUN",'Vols additionnels'!$D$7:$D$66,"A320",'Vols additionnels'!$I$7:$I$66,"&gt;="&amp;$J$90,'Vols additionnels'!$I$7:$I$66,"&lt;="&amp;$K$90)-K165+J165)/2</f>
        <v>8</v>
      </c>
      <c r="L204" s="129" t="n">
        <f aca="false">L126+(SUMIFS('Vols additionnels'!$E$7:$E$66,'Vols additionnels'!$C$7:$C$66,"DIERUN",'Vols additionnels'!$D$7:$D$66,"A320",'Vols additionnels'!$B$7:$B$66,"&gt;="&amp;$J$91,'Vols additionnels'!$B$7:$B$66,"&lt;="&amp;$K$91)+SUMIFS('Vols additionnels'!$E$7:$E$66,'Vols additionnels'!$C$7:$C$66,"DIERUN",'Vols additionnels'!$D$7:$D$66,"A320",'Vols additionnels'!$I$7:$I$66,"&gt;="&amp;$J$91,'Vols additionnels'!$I$7:$I$66,"&lt;="&amp;$K$91)-L165+K165)/2</f>
        <v>9</v>
      </c>
      <c r="M204" s="129" t="n">
        <f aca="false">M126+(SUMIFS('Vols additionnels'!$E$7:$E$66,'Vols additionnels'!$C$7:$C$66,"DIERUN",'Vols additionnels'!$D$7:$D$66,"A320",'Vols additionnels'!$B$7:$B$66,"&gt;="&amp;$J$92,'Vols additionnels'!$B$7:$B$66,"&lt;="&amp;$K$92)+SUMIFS('Vols additionnels'!$E$7:$E$66,'Vols additionnels'!$C$7:$C$66,"DIERUN",'Vols additionnels'!$D$7:$D$66,"A320",'Vols additionnels'!$I$7:$I$66,"&gt;="&amp;$J$92,'Vols additionnels'!$I$7:$I$66,"&lt;="&amp;$K$92)-M165+L165)/2</f>
        <v>9</v>
      </c>
      <c r="N204" s="129" t="n">
        <f aca="false">N126+(SUMIFS('Vols additionnels'!$E$7:$E$66,'Vols additionnels'!$C$7:$C$66,"DIERUN",'Vols additionnels'!$D$7:$D$66,"A320",'Vols additionnels'!$B$7:$B$66,"&gt;="&amp;$J$93,'Vols additionnels'!$B$7:$B$66,"&lt;="&amp;$K$93)+SUMIFS('Vols additionnels'!$E$7:$E$66,'Vols additionnels'!$C$7:$C$66,"DIERUN",'Vols additionnels'!$D$7:$D$66,"A320",'Vols additionnels'!$I$7:$I$66,"&gt;="&amp;$J$93,'Vols additionnels'!$I$7:$I$66,"&lt;="&amp;$K$93)-N165+M165)/2</f>
        <v>8</v>
      </c>
      <c r="O204" s="12" t="s">
        <v>56</v>
      </c>
      <c r="P204" s="12" t="s">
        <v>24</v>
      </c>
    </row>
    <row r="205" customFormat="false" ht="15" hidden="false" customHeight="false" outlineLevel="0" collapsed="false">
      <c r="B205" s="10" t="s">
        <v>167</v>
      </c>
      <c r="C205" s="129" t="n">
        <f aca="false">C127+(SUMIFS('Vols additionnels'!$E$7:$E$66,'Vols additionnels'!$C$7:$C$66,"RRGRUN",'Vols additionnels'!$D$7:$D$66,"77W",'Vols additionnels'!$B$7:$B$66,"&gt;="&amp;$J$82,'Vols additionnels'!$B$7:$B$66,"&lt;="&amp;$K$82)+SUMIFS('Vols additionnels'!$E$7:$E$66,'Vols additionnels'!$C$7:$C$66,"RRGRUN",'Vols additionnels'!$D$7:$D$66,"77W",'Vols additionnels'!$I$7:$I$66,"&gt;="&amp;$J$82,'Vols additionnels'!$I$7:$I$66,"&lt;="&amp;$K$82)-C166+0)/2</f>
        <v>0</v>
      </c>
      <c r="D205" s="129" t="n">
        <f aca="false">D127+(SUMIFS('Vols additionnels'!$E$7:$E$66,'Vols additionnels'!$C$7:$C$66,"RRGRUN",'Vols additionnels'!$D$7:$D$66,"77W",'Vols additionnels'!$B$7:$B$66,"&gt;="&amp;$J$83,'Vols additionnels'!$B$7:$B$66,"&lt;="&amp;$K$83)+SUMIFS('Vols additionnels'!$E$7:$E$66,'Vols additionnels'!$C$7:$C$66,"RRGRUN",'Vols additionnels'!$D$7:$D$66,"77W",'Vols additionnels'!$I$7:$I$66,"&gt;="&amp;$J$83,'Vols additionnels'!$I$7:$I$66,"&lt;="&amp;$K$83)-D166+C166)/2</f>
        <v>0</v>
      </c>
      <c r="E205" s="129" t="n">
        <f aca="false">E127+(SUMIFS('Vols additionnels'!$E$7:$E$66,'Vols additionnels'!$C$7:$C$66,"RRGRUN",'Vols additionnels'!$D$7:$D$66,"77W",'Vols additionnels'!$B$7:$B$66,"&gt;="&amp;$J$84,'Vols additionnels'!$B$7:$B$66,"&lt;="&amp;$K$84)+SUMIFS('Vols additionnels'!$E$7:$E$66,'Vols additionnels'!$C$7:$C$66,"RRGRUN",'Vols additionnels'!$D$7:$D$66,"77W",'Vols additionnels'!$I$7:$I$66,"&gt;="&amp;$J$84,'Vols additionnels'!$I$7:$I$66,"&lt;="&amp;$K$84)-E166+D166)/2</f>
        <v>0</v>
      </c>
      <c r="F205" s="129" t="n">
        <f aca="false">F127+(SUMIFS('Vols additionnels'!$E$7:$E$66,'Vols additionnels'!$C$7:$C$66,"RRGRUN",'Vols additionnels'!$D$7:$D$66,"77W",'Vols additionnels'!$B$7:$B$66,"&gt;="&amp;$J$85,'Vols additionnels'!$B$7:$B$66,"&lt;="&amp;$K$85)+SUMIFS('Vols additionnels'!$E$7:$E$66,'Vols additionnels'!$C$7:$C$66,"RRGRUN",'Vols additionnels'!$D$7:$D$66,"77W",'Vols additionnels'!$I$7:$I$66,"&gt;="&amp;$J$85,'Vols additionnels'!$I$7:$I$66,"&lt;="&amp;$K$85)-F166+E166)/2</f>
        <v>0</v>
      </c>
      <c r="G205" s="129" t="n">
        <f aca="false">G127+(SUMIFS('Vols additionnels'!$E$7:$E$66,'Vols additionnels'!$C$7:$C$66,"RRGRUN",'Vols additionnels'!$D$7:$D$66,"77W",'Vols additionnels'!$B$7:$B$66,"&gt;="&amp;$J$86,'Vols additionnels'!$B$7:$B$66,"&lt;="&amp;$K$86)+SUMIFS('Vols additionnels'!$E$7:$E$66,'Vols additionnels'!$C$7:$C$66,"RRGRUN",'Vols additionnels'!$D$7:$D$66,"77W",'Vols additionnels'!$I$7:$I$66,"&gt;="&amp;$J$86,'Vols additionnels'!$I$7:$I$66,"&lt;="&amp;$K$86)-G166+F166)/2</f>
        <v>0</v>
      </c>
      <c r="H205" s="129" t="n">
        <f aca="false">H127+(SUMIFS('Vols additionnels'!$E$7:$E$66,'Vols additionnels'!$C$7:$C$66,"RRGRUN",'Vols additionnels'!$D$7:$D$66,"77W",'Vols additionnels'!$B$7:$B$66,"&gt;="&amp;$J$87,'Vols additionnels'!$B$7:$B$66,"&lt;="&amp;$K$87)+SUMIFS('Vols additionnels'!$E$7:$E$66,'Vols additionnels'!$C$7:$C$66,"RRGRUN",'Vols additionnels'!$D$7:$D$66,"77W",'Vols additionnels'!$I$7:$I$66,"&gt;="&amp;$J$87,'Vols additionnels'!$I$7:$I$66,"&lt;="&amp;$K$87)-H166+G166)/2</f>
        <v>0</v>
      </c>
      <c r="I205" s="129" t="n">
        <f aca="false">I127+(SUMIFS('Vols additionnels'!$E$7:$E$66,'Vols additionnels'!$C$7:$C$66,"RRGRUN",'Vols additionnels'!$D$7:$D$66,"77W",'Vols additionnels'!$B$7:$B$66,"&gt;="&amp;$J$88,'Vols additionnels'!$B$7:$B$66,"&lt;="&amp;$K$88)+SUMIFS('Vols additionnels'!$E$7:$E$66,'Vols additionnels'!$C$7:$C$66,"RRGRUN",'Vols additionnels'!$D$7:$D$66,"77W",'Vols additionnels'!$I$7:$I$66,"&gt;="&amp;$J$88,'Vols additionnels'!$I$7:$I$66,"&lt;="&amp;$K$88)-I166+H166)/2</f>
        <v>0</v>
      </c>
      <c r="J205" s="129" t="n">
        <f aca="false">J127+(SUMIFS('Vols additionnels'!$E$7:$E$66,'Vols additionnels'!$C$7:$C$66,"RRGRUN",'Vols additionnels'!$D$7:$D$66,"77W",'Vols additionnels'!$B$7:$B$66,"&gt;="&amp;$J$89,'Vols additionnels'!$B$7:$B$66,"&lt;="&amp;$K$89)+SUMIFS('Vols additionnels'!$E$7:$E$66,'Vols additionnels'!$C$7:$C$66,"RRGRUN",'Vols additionnels'!$D$7:$D$66,"77W",'Vols additionnels'!$I$7:$I$66,"&gt;="&amp;$J$89,'Vols additionnels'!$I$7:$I$66,"&lt;="&amp;$K$89)-J166+I166)/2</f>
        <v>0</v>
      </c>
      <c r="K205" s="129" t="n">
        <f aca="false">K127+(SUMIFS('Vols additionnels'!$E$7:$E$66,'Vols additionnels'!$C$7:$C$66,"RRGRUN",'Vols additionnels'!$D$7:$D$66,"77W",'Vols additionnels'!$B$7:$B$66,"&gt;="&amp;$J$90,'Vols additionnels'!$B$7:$B$66,"&lt;="&amp;$K$90)+SUMIFS('Vols additionnels'!$E$7:$E$66,'Vols additionnels'!$C$7:$C$66,"RRGRUN",'Vols additionnels'!$D$7:$D$66,"77W",'Vols additionnels'!$I$7:$I$66,"&gt;="&amp;$J$90,'Vols additionnels'!$I$7:$I$66,"&lt;="&amp;$K$90)-K166+J166)/2</f>
        <v>0</v>
      </c>
      <c r="L205" s="129" t="n">
        <f aca="false">L127+(SUMIFS('Vols additionnels'!$E$7:$E$66,'Vols additionnels'!$C$7:$C$66,"RRGRUN",'Vols additionnels'!$D$7:$D$66,"77W",'Vols additionnels'!$B$7:$B$66,"&gt;="&amp;$J$91,'Vols additionnels'!$B$7:$B$66,"&lt;="&amp;$K$91)+SUMIFS('Vols additionnels'!$E$7:$E$66,'Vols additionnels'!$C$7:$C$66,"RRGRUN",'Vols additionnels'!$D$7:$D$66,"77W",'Vols additionnels'!$I$7:$I$66,"&gt;="&amp;$J$91,'Vols additionnels'!$I$7:$I$66,"&lt;="&amp;$K$91)-L166+K166)/2</f>
        <v>0</v>
      </c>
      <c r="M205" s="129" t="n">
        <f aca="false">M127+(SUMIFS('Vols additionnels'!$E$7:$E$66,'Vols additionnels'!$C$7:$C$66,"RRGRUN",'Vols additionnels'!$D$7:$D$66,"77W",'Vols additionnels'!$B$7:$B$66,"&gt;="&amp;$J$92,'Vols additionnels'!$B$7:$B$66,"&lt;="&amp;$K$92)+SUMIFS('Vols additionnels'!$E$7:$E$66,'Vols additionnels'!$C$7:$C$66,"RRGRUN",'Vols additionnels'!$D$7:$D$66,"77W",'Vols additionnels'!$I$7:$I$66,"&gt;="&amp;$J$92,'Vols additionnels'!$I$7:$I$66,"&lt;="&amp;$K$92)-M166+L166)/2</f>
        <v>0</v>
      </c>
      <c r="N205" s="129" t="n">
        <f aca="false">N127+(SUMIFS('Vols additionnels'!$E$7:$E$66,'Vols additionnels'!$C$7:$C$66,"RRGRUN",'Vols additionnels'!$D$7:$D$66,"77W",'Vols additionnels'!$B$7:$B$66,"&gt;="&amp;$J$93,'Vols additionnels'!$B$7:$B$66,"&lt;="&amp;$K$93)+SUMIFS('Vols additionnels'!$E$7:$E$66,'Vols additionnels'!$C$7:$C$66,"RRGRUN",'Vols additionnels'!$D$7:$D$66,"77W",'Vols additionnels'!$I$7:$I$66,"&gt;="&amp;$J$93,'Vols additionnels'!$I$7:$I$66,"&lt;="&amp;$K$93)-N166+M166)/2</f>
        <v>0</v>
      </c>
      <c r="O205" s="12" t="s">
        <v>59</v>
      </c>
      <c r="P205" s="12" t="s">
        <v>11</v>
      </c>
    </row>
    <row r="206" customFormat="false" ht="15" hidden="false" customHeight="false" outlineLevel="0" collapsed="false">
      <c r="B206" s="10" t="s">
        <v>168</v>
      </c>
      <c r="C206" s="129" t="n">
        <f aca="false">C128+(SUMIFS('Vols additionnels'!$E$7:$E$66,'Vols additionnels'!$C$7:$C$66,"RRGRUN",'Vols additionnels'!$D$7:$D$66,"787",'Vols additionnels'!$B$7:$B$66,"&gt;="&amp;$J$82,'Vols additionnels'!$B$7:$B$66,"&lt;="&amp;$K$82)+SUMIFS('Vols additionnels'!$E$7:$E$66,'Vols additionnels'!$C$7:$C$66,"RRGRUN",'Vols additionnels'!$D$7:$D$66,"787",'Vols additionnels'!$I$7:$I$66,"&gt;="&amp;$J$82,'Vols additionnels'!$I$7:$I$66,"&lt;="&amp;$K$82)-C167+0)/2</f>
        <v>0</v>
      </c>
      <c r="D206" s="129" t="n">
        <f aca="false">D128+(SUMIFS('Vols additionnels'!$E$7:$E$66,'Vols additionnels'!$C$7:$C$66,"RRGRUN",'Vols additionnels'!$D$7:$D$66,"787",'Vols additionnels'!$B$7:$B$66,"&gt;="&amp;$J$83,'Vols additionnels'!$B$7:$B$66,"&lt;="&amp;$K$83)+SUMIFS('Vols additionnels'!$E$7:$E$66,'Vols additionnels'!$C$7:$C$66,"RRGRUN",'Vols additionnels'!$D$7:$D$66,"787",'Vols additionnels'!$I$7:$I$66,"&gt;="&amp;$J$83,'Vols additionnels'!$I$7:$I$66,"&lt;="&amp;$K$83)-D167+C167)/2</f>
        <v>0</v>
      </c>
      <c r="E206" s="129" t="n">
        <f aca="false">E128+(SUMIFS('Vols additionnels'!$E$7:$E$66,'Vols additionnels'!$C$7:$C$66,"RRGRUN",'Vols additionnels'!$D$7:$D$66,"787",'Vols additionnels'!$B$7:$B$66,"&gt;="&amp;$J$84,'Vols additionnels'!$B$7:$B$66,"&lt;="&amp;$K$84)+SUMIFS('Vols additionnels'!$E$7:$E$66,'Vols additionnels'!$C$7:$C$66,"RRGRUN",'Vols additionnels'!$D$7:$D$66,"787",'Vols additionnels'!$I$7:$I$66,"&gt;="&amp;$J$84,'Vols additionnels'!$I$7:$I$66,"&lt;="&amp;$K$84)-E167+D167)/2</f>
        <v>0</v>
      </c>
      <c r="F206" s="129" t="n">
        <f aca="false">F128+(SUMIFS('Vols additionnels'!$E$7:$E$66,'Vols additionnels'!$C$7:$C$66,"RRGRUN",'Vols additionnels'!$D$7:$D$66,"787",'Vols additionnels'!$B$7:$B$66,"&gt;="&amp;$J$85,'Vols additionnels'!$B$7:$B$66,"&lt;="&amp;$K$85)+SUMIFS('Vols additionnels'!$E$7:$E$66,'Vols additionnels'!$C$7:$C$66,"RRGRUN",'Vols additionnels'!$D$7:$D$66,"787",'Vols additionnels'!$I$7:$I$66,"&gt;="&amp;$J$85,'Vols additionnels'!$I$7:$I$66,"&lt;="&amp;$K$85)-F167+E167)/2</f>
        <v>0</v>
      </c>
      <c r="G206" s="129" t="n">
        <f aca="false">G128+(SUMIFS('Vols additionnels'!$E$7:$E$66,'Vols additionnels'!$C$7:$C$66,"RRGRUN",'Vols additionnels'!$D$7:$D$66,"787",'Vols additionnels'!$B$7:$B$66,"&gt;="&amp;$J$86,'Vols additionnels'!$B$7:$B$66,"&lt;="&amp;$K$86)+SUMIFS('Vols additionnels'!$E$7:$E$66,'Vols additionnels'!$C$7:$C$66,"RRGRUN",'Vols additionnels'!$D$7:$D$66,"787",'Vols additionnels'!$I$7:$I$66,"&gt;="&amp;$J$86,'Vols additionnels'!$I$7:$I$66,"&lt;="&amp;$K$86)-G167+F167)/2</f>
        <v>0</v>
      </c>
      <c r="H206" s="129" t="n">
        <f aca="false">H128+(SUMIFS('Vols additionnels'!$E$7:$E$66,'Vols additionnels'!$C$7:$C$66,"RRGRUN",'Vols additionnels'!$D$7:$D$66,"787",'Vols additionnels'!$B$7:$B$66,"&gt;="&amp;$J$87,'Vols additionnels'!$B$7:$B$66,"&lt;="&amp;$K$87)+SUMIFS('Vols additionnels'!$E$7:$E$66,'Vols additionnels'!$C$7:$C$66,"RRGRUN",'Vols additionnels'!$D$7:$D$66,"787",'Vols additionnels'!$I$7:$I$66,"&gt;="&amp;$J$87,'Vols additionnels'!$I$7:$I$66,"&lt;="&amp;$K$87)-H167+G167)/2</f>
        <v>0</v>
      </c>
      <c r="I206" s="129" t="n">
        <f aca="false">I128+(SUMIFS('Vols additionnels'!$E$7:$E$66,'Vols additionnels'!$C$7:$C$66,"RRGRUN",'Vols additionnels'!$D$7:$D$66,"787",'Vols additionnels'!$B$7:$B$66,"&gt;="&amp;$J$88,'Vols additionnels'!$B$7:$B$66,"&lt;="&amp;$K$88)+SUMIFS('Vols additionnels'!$E$7:$E$66,'Vols additionnels'!$C$7:$C$66,"RRGRUN",'Vols additionnels'!$D$7:$D$66,"787",'Vols additionnels'!$I$7:$I$66,"&gt;="&amp;$J$88,'Vols additionnels'!$I$7:$I$66,"&lt;="&amp;$K$88)-I167+H167)/2</f>
        <v>0</v>
      </c>
      <c r="J206" s="129" t="n">
        <f aca="false">J128+(SUMIFS('Vols additionnels'!$E$7:$E$66,'Vols additionnels'!$C$7:$C$66,"RRGRUN",'Vols additionnels'!$D$7:$D$66,"787",'Vols additionnels'!$B$7:$B$66,"&gt;="&amp;$J$89,'Vols additionnels'!$B$7:$B$66,"&lt;="&amp;$K$89)+SUMIFS('Vols additionnels'!$E$7:$E$66,'Vols additionnels'!$C$7:$C$66,"RRGRUN",'Vols additionnels'!$D$7:$D$66,"787",'Vols additionnels'!$I$7:$I$66,"&gt;="&amp;$J$89,'Vols additionnels'!$I$7:$I$66,"&lt;="&amp;$K$89)-J167+I167)/2</f>
        <v>0</v>
      </c>
      <c r="K206" s="129" t="n">
        <f aca="false">K128+(SUMIFS('Vols additionnels'!$E$7:$E$66,'Vols additionnels'!$C$7:$C$66,"RRGRUN",'Vols additionnels'!$D$7:$D$66,"787",'Vols additionnels'!$B$7:$B$66,"&gt;="&amp;$J$90,'Vols additionnels'!$B$7:$B$66,"&lt;="&amp;$K$90)+SUMIFS('Vols additionnels'!$E$7:$E$66,'Vols additionnels'!$C$7:$C$66,"RRGRUN",'Vols additionnels'!$D$7:$D$66,"787",'Vols additionnels'!$I$7:$I$66,"&gt;="&amp;$J$90,'Vols additionnels'!$I$7:$I$66,"&lt;="&amp;$K$90)-K167+J167)/2</f>
        <v>0</v>
      </c>
      <c r="L206" s="129" t="n">
        <f aca="false">L128+(SUMIFS('Vols additionnels'!$E$7:$E$66,'Vols additionnels'!$C$7:$C$66,"RRGRUN",'Vols additionnels'!$D$7:$D$66,"787",'Vols additionnels'!$B$7:$B$66,"&gt;="&amp;$J$91,'Vols additionnels'!$B$7:$B$66,"&lt;="&amp;$K$91)+SUMIFS('Vols additionnels'!$E$7:$E$66,'Vols additionnels'!$C$7:$C$66,"RRGRUN",'Vols additionnels'!$D$7:$D$66,"787",'Vols additionnels'!$I$7:$I$66,"&gt;="&amp;$J$91,'Vols additionnels'!$I$7:$I$66,"&lt;="&amp;$K$91)-L167+K167)/2</f>
        <v>0</v>
      </c>
      <c r="M206" s="129" t="n">
        <f aca="false">M128+(SUMIFS('Vols additionnels'!$E$7:$E$66,'Vols additionnels'!$C$7:$C$66,"RRGRUN",'Vols additionnels'!$D$7:$D$66,"787",'Vols additionnels'!$B$7:$B$66,"&gt;="&amp;$J$92,'Vols additionnels'!$B$7:$B$66,"&lt;="&amp;$K$92)+SUMIFS('Vols additionnels'!$E$7:$E$66,'Vols additionnels'!$C$7:$C$66,"RRGRUN",'Vols additionnels'!$D$7:$D$66,"787",'Vols additionnels'!$I$7:$I$66,"&gt;="&amp;$J$92,'Vols additionnels'!$I$7:$I$66,"&lt;="&amp;$K$92)-M167+L167)/2</f>
        <v>0</v>
      </c>
      <c r="N206" s="129" t="n">
        <f aca="false">N128+(SUMIFS('Vols additionnels'!$E$7:$E$66,'Vols additionnels'!$C$7:$C$66,"RRGRUN",'Vols additionnels'!$D$7:$D$66,"787",'Vols additionnels'!$B$7:$B$66,"&gt;="&amp;$J$93,'Vols additionnels'!$B$7:$B$66,"&lt;="&amp;$K$93)+SUMIFS('Vols additionnels'!$E$7:$E$66,'Vols additionnels'!$C$7:$C$66,"RRGRUN",'Vols additionnels'!$D$7:$D$66,"787",'Vols additionnels'!$I$7:$I$66,"&gt;="&amp;$J$93,'Vols additionnels'!$I$7:$I$66,"&lt;="&amp;$K$93)-N167+M167)/2</f>
        <v>0</v>
      </c>
      <c r="O206" s="12" t="s">
        <v>59</v>
      </c>
      <c r="P206" s="12" t="s">
        <v>19</v>
      </c>
    </row>
    <row r="207" customFormat="false" ht="15" hidden="false" customHeight="false" outlineLevel="0" collapsed="false">
      <c r="B207" s="10" t="s">
        <v>169</v>
      </c>
      <c r="C207" s="129" t="n">
        <f aca="false">C129+(SUMIFS('Vols additionnels'!$E$7:$E$66,'Vols additionnels'!$C$7:$C$66,"RRGRUN",'Vols additionnels'!$D$7:$D$66,"A320",'Vols additionnels'!$B$7:$B$66,"&gt;="&amp;$J$82,'Vols additionnels'!$B$7:$B$66,"&lt;="&amp;$K$82)+SUMIFS('Vols additionnels'!$E$7:$E$66,'Vols additionnels'!$C$7:$C$66,"RRGRUN",'Vols additionnels'!$D$7:$D$66,"A320",'Vols additionnels'!$I$7:$I$66,"&gt;="&amp;$J$82,'Vols additionnels'!$I$7:$I$66,"&lt;="&amp;$K$82)-C168+0)/2</f>
        <v>31</v>
      </c>
      <c r="D207" s="129" t="n">
        <f aca="false">D129+(SUMIFS('Vols additionnels'!$E$7:$E$66,'Vols additionnels'!$C$7:$C$66,"RRGRUN",'Vols additionnels'!$D$7:$D$66,"A320",'Vols additionnels'!$B$7:$B$66,"&gt;="&amp;$J$83,'Vols additionnels'!$B$7:$B$66,"&lt;="&amp;$K$83)+SUMIFS('Vols additionnels'!$E$7:$E$66,'Vols additionnels'!$C$7:$C$66,"RRGRUN",'Vols additionnels'!$D$7:$D$66,"A320",'Vols additionnels'!$I$7:$I$66,"&gt;="&amp;$J$83,'Vols additionnels'!$I$7:$I$66,"&lt;="&amp;$K$83)-D168+C168)/2</f>
        <v>30</v>
      </c>
      <c r="E207" s="129" t="n">
        <f aca="false">E129+(SUMIFS('Vols additionnels'!$E$7:$E$66,'Vols additionnels'!$C$7:$C$66,"RRGRUN",'Vols additionnels'!$D$7:$D$66,"A320",'Vols additionnels'!$B$7:$B$66,"&gt;="&amp;$J$84,'Vols additionnels'!$B$7:$B$66,"&lt;="&amp;$K$84)+SUMIFS('Vols additionnels'!$E$7:$E$66,'Vols additionnels'!$C$7:$C$66,"RRGRUN",'Vols additionnels'!$D$7:$D$66,"A320",'Vols additionnels'!$I$7:$I$66,"&gt;="&amp;$J$84,'Vols additionnels'!$I$7:$I$66,"&lt;="&amp;$K$84)-E168+D168)/2</f>
        <v>30</v>
      </c>
      <c r="F207" s="129" t="n">
        <f aca="false">F129+(SUMIFS('Vols additionnels'!$E$7:$E$66,'Vols additionnels'!$C$7:$C$66,"RRGRUN",'Vols additionnels'!$D$7:$D$66,"A320",'Vols additionnels'!$B$7:$B$66,"&gt;="&amp;$J$85,'Vols additionnels'!$B$7:$B$66,"&lt;="&amp;$K$85)+SUMIFS('Vols additionnels'!$E$7:$E$66,'Vols additionnels'!$C$7:$C$66,"RRGRUN",'Vols additionnels'!$D$7:$D$66,"A320",'Vols additionnels'!$I$7:$I$66,"&gt;="&amp;$J$85,'Vols additionnels'!$I$7:$I$66,"&lt;="&amp;$K$85)-F168+E168)/2</f>
        <v>32</v>
      </c>
      <c r="G207" s="129" t="n">
        <f aca="false">G129+(SUMIFS('Vols additionnels'!$E$7:$E$66,'Vols additionnels'!$C$7:$C$66,"RRGRUN",'Vols additionnels'!$D$7:$D$66,"A320",'Vols additionnels'!$B$7:$B$66,"&gt;="&amp;$J$86,'Vols additionnels'!$B$7:$B$66,"&lt;="&amp;$K$86)+SUMIFS('Vols additionnels'!$E$7:$E$66,'Vols additionnels'!$C$7:$C$66,"RRGRUN",'Vols additionnels'!$D$7:$D$66,"A320",'Vols additionnels'!$I$7:$I$66,"&gt;="&amp;$J$86,'Vols additionnels'!$I$7:$I$66,"&lt;="&amp;$K$86)-G168+F168)/2</f>
        <v>30</v>
      </c>
      <c r="H207" s="129" t="n">
        <f aca="false">H129+(SUMIFS('Vols additionnels'!$E$7:$E$66,'Vols additionnels'!$C$7:$C$66,"RRGRUN",'Vols additionnels'!$D$7:$D$66,"A320",'Vols additionnels'!$B$7:$B$66,"&gt;="&amp;$J$87,'Vols additionnels'!$B$7:$B$66,"&lt;="&amp;$K$87)+SUMIFS('Vols additionnels'!$E$7:$E$66,'Vols additionnels'!$C$7:$C$66,"RRGRUN",'Vols additionnels'!$D$7:$D$66,"A320",'Vols additionnels'!$I$7:$I$66,"&gt;="&amp;$J$87,'Vols additionnels'!$I$7:$I$66,"&lt;="&amp;$K$87)-H168+G168)/2</f>
        <v>31</v>
      </c>
      <c r="I207" s="129" t="n">
        <f aca="false">I129+(SUMIFS('Vols additionnels'!$E$7:$E$66,'Vols additionnels'!$C$7:$C$66,"RRGRUN",'Vols additionnels'!$D$7:$D$66,"A320",'Vols additionnels'!$B$7:$B$66,"&gt;="&amp;$J$88,'Vols additionnels'!$B$7:$B$66,"&lt;="&amp;$K$88)+SUMIFS('Vols additionnels'!$E$7:$E$66,'Vols additionnels'!$C$7:$C$66,"RRGRUN",'Vols additionnels'!$D$7:$D$66,"A320",'Vols additionnels'!$I$7:$I$66,"&gt;="&amp;$J$88,'Vols additionnels'!$I$7:$I$66,"&lt;="&amp;$K$88)-I168+H168)/2</f>
        <v>30</v>
      </c>
      <c r="J207" s="129" t="n">
        <f aca="false">J129+(SUMIFS('Vols additionnels'!$E$7:$E$66,'Vols additionnels'!$C$7:$C$66,"RRGRUN",'Vols additionnels'!$D$7:$D$66,"A320",'Vols additionnels'!$B$7:$B$66,"&gt;="&amp;$J$89,'Vols additionnels'!$B$7:$B$66,"&lt;="&amp;$K$89)+SUMIFS('Vols additionnels'!$E$7:$E$66,'Vols additionnels'!$C$7:$C$66,"RRGRUN",'Vols additionnels'!$D$7:$D$66,"A320",'Vols additionnels'!$I$7:$I$66,"&gt;="&amp;$J$89,'Vols additionnels'!$I$7:$I$66,"&lt;="&amp;$K$89)-J168+I168)/2</f>
        <v>30</v>
      </c>
      <c r="K207" s="129" t="n">
        <f aca="false">K129+(SUMIFS('Vols additionnels'!$E$7:$E$66,'Vols additionnels'!$C$7:$C$66,"RRGRUN",'Vols additionnels'!$D$7:$D$66,"A320",'Vols additionnels'!$B$7:$B$66,"&gt;="&amp;$J$90,'Vols additionnels'!$B$7:$B$66,"&lt;="&amp;$K$90)+SUMIFS('Vols additionnels'!$E$7:$E$66,'Vols additionnels'!$C$7:$C$66,"RRGRUN",'Vols additionnels'!$D$7:$D$66,"A320",'Vols additionnels'!$I$7:$I$66,"&gt;="&amp;$J$90,'Vols additionnels'!$I$7:$I$66,"&lt;="&amp;$K$90)-K168+J168)/2</f>
        <v>32</v>
      </c>
      <c r="L207" s="129" t="n">
        <f aca="false">L129+(SUMIFS('Vols additionnels'!$E$7:$E$66,'Vols additionnels'!$C$7:$C$66,"RRGRUN",'Vols additionnels'!$D$7:$D$66,"A320",'Vols additionnels'!$B$7:$B$66,"&gt;="&amp;$J$91,'Vols additionnels'!$B$7:$B$66,"&lt;="&amp;$K$91)+SUMIFS('Vols additionnels'!$E$7:$E$66,'Vols additionnels'!$C$7:$C$66,"RRGRUN",'Vols additionnels'!$D$7:$D$66,"A320",'Vols additionnels'!$I$7:$I$66,"&gt;="&amp;$J$91,'Vols additionnels'!$I$7:$I$66,"&lt;="&amp;$K$91)-L168+K168)/2</f>
        <v>30</v>
      </c>
      <c r="M207" s="129" t="n">
        <f aca="false">M129+(SUMIFS('Vols additionnels'!$E$7:$E$66,'Vols additionnels'!$C$7:$C$66,"RRGRUN",'Vols additionnels'!$D$7:$D$66,"A320",'Vols additionnels'!$B$7:$B$66,"&gt;="&amp;$J$92,'Vols additionnels'!$B$7:$B$66,"&lt;="&amp;$K$92)+SUMIFS('Vols additionnels'!$E$7:$E$66,'Vols additionnels'!$C$7:$C$66,"RRGRUN",'Vols additionnels'!$D$7:$D$66,"A320",'Vols additionnels'!$I$7:$I$66,"&gt;="&amp;$J$92,'Vols additionnels'!$I$7:$I$66,"&lt;="&amp;$K$92)-M168+L168)/2</f>
        <v>29</v>
      </c>
      <c r="N207" s="129" t="n">
        <f aca="false">N129+(SUMIFS('Vols additionnels'!$E$7:$E$66,'Vols additionnels'!$C$7:$C$66,"RRGRUN",'Vols additionnels'!$D$7:$D$66,"A320",'Vols additionnels'!$B$7:$B$66,"&gt;="&amp;$J$93,'Vols additionnels'!$B$7:$B$66,"&lt;="&amp;$K$93)+SUMIFS('Vols additionnels'!$E$7:$E$66,'Vols additionnels'!$C$7:$C$66,"RRGRUN",'Vols additionnels'!$D$7:$D$66,"A320",'Vols additionnels'!$I$7:$I$66,"&gt;="&amp;$J$93,'Vols additionnels'!$I$7:$I$66,"&lt;="&amp;$K$93)-N168+M168)/2</f>
        <v>32</v>
      </c>
      <c r="O207" s="12" t="s">
        <v>59</v>
      </c>
      <c r="P207" s="12" t="s">
        <v>24</v>
      </c>
    </row>
    <row r="208" customFormat="false" ht="15" hidden="false" customHeight="false" outlineLevel="0" collapsed="false">
      <c r="B208" s="10" t="s">
        <v>170</v>
      </c>
      <c r="C208" s="129" t="n">
        <f aca="false">C130+(SUMIFS('Vols additionnels'!$E$7:$E$66,'Vols additionnels'!$C$7:$C$66,"TMMRUN",'Vols additionnels'!$D$7:$D$66,"77W",'Vols additionnels'!$B$7:$B$66,"&gt;="&amp;$J$82,'Vols additionnels'!$B$7:$B$66,"&lt;="&amp;$K$82)+SUMIFS('Vols additionnels'!$E$7:$E$66,'Vols additionnels'!$C$7:$C$66,"TMMRUN",'Vols additionnels'!$D$7:$D$66,"77W",'Vols additionnels'!$I$7:$I$66,"&gt;="&amp;$J$82,'Vols additionnels'!$I$7:$I$66,"&lt;="&amp;$K$82)-C169+0)/2</f>
        <v>0</v>
      </c>
      <c r="D208" s="129" t="n">
        <f aca="false">D130+(SUMIFS('Vols additionnels'!$E$7:$E$66,'Vols additionnels'!$C$7:$C$66,"TMMRUN",'Vols additionnels'!$D$7:$D$66,"77W",'Vols additionnels'!$B$7:$B$66,"&gt;="&amp;$J$83,'Vols additionnels'!$B$7:$B$66,"&lt;="&amp;$K$83)+SUMIFS('Vols additionnels'!$E$7:$E$66,'Vols additionnels'!$C$7:$C$66,"TMMRUN",'Vols additionnels'!$D$7:$D$66,"77W",'Vols additionnels'!$I$7:$I$66,"&gt;="&amp;$J$83,'Vols additionnels'!$I$7:$I$66,"&lt;="&amp;$K$83)-D169+C169)/2</f>
        <v>0</v>
      </c>
      <c r="E208" s="129" t="n">
        <f aca="false">E130+(SUMIFS('Vols additionnels'!$E$7:$E$66,'Vols additionnels'!$C$7:$C$66,"TMMRUN",'Vols additionnels'!$D$7:$D$66,"77W",'Vols additionnels'!$B$7:$B$66,"&gt;="&amp;$J$84,'Vols additionnels'!$B$7:$B$66,"&lt;="&amp;$K$84)+SUMIFS('Vols additionnels'!$E$7:$E$66,'Vols additionnels'!$C$7:$C$66,"TMMRUN",'Vols additionnels'!$D$7:$D$66,"77W",'Vols additionnels'!$I$7:$I$66,"&gt;="&amp;$J$84,'Vols additionnels'!$I$7:$I$66,"&lt;="&amp;$K$84)-E169+D169)/2</f>
        <v>0</v>
      </c>
      <c r="F208" s="129" t="n">
        <f aca="false">F130+(SUMIFS('Vols additionnels'!$E$7:$E$66,'Vols additionnels'!$C$7:$C$66,"TMMRUN",'Vols additionnels'!$D$7:$D$66,"77W",'Vols additionnels'!$B$7:$B$66,"&gt;="&amp;$J$85,'Vols additionnels'!$B$7:$B$66,"&lt;="&amp;$K$85)+SUMIFS('Vols additionnels'!$E$7:$E$66,'Vols additionnels'!$C$7:$C$66,"TMMRUN",'Vols additionnels'!$D$7:$D$66,"77W",'Vols additionnels'!$I$7:$I$66,"&gt;="&amp;$J$85,'Vols additionnels'!$I$7:$I$66,"&lt;="&amp;$K$85)-F169+E169)/2</f>
        <v>0</v>
      </c>
      <c r="G208" s="129" t="n">
        <f aca="false">G130+(SUMIFS('Vols additionnels'!$E$7:$E$66,'Vols additionnels'!$C$7:$C$66,"TMMRUN",'Vols additionnels'!$D$7:$D$66,"77W",'Vols additionnels'!$B$7:$B$66,"&gt;="&amp;$J$86,'Vols additionnels'!$B$7:$B$66,"&lt;="&amp;$K$86)+SUMIFS('Vols additionnels'!$E$7:$E$66,'Vols additionnels'!$C$7:$C$66,"TMMRUN",'Vols additionnels'!$D$7:$D$66,"77W",'Vols additionnels'!$I$7:$I$66,"&gt;="&amp;$J$86,'Vols additionnels'!$I$7:$I$66,"&lt;="&amp;$K$86)-G169+F169)/2</f>
        <v>0</v>
      </c>
      <c r="H208" s="129" t="n">
        <f aca="false">H130+(SUMIFS('Vols additionnels'!$E$7:$E$66,'Vols additionnels'!$C$7:$C$66,"TMMRUN",'Vols additionnels'!$D$7:$D$66,"77W",'Vols additionnels'!$B$7:$B$66,"&gt;="&amp;$J$87,'Vols additionnels'!$B$7:$B$66,"&lt;="&amp;$K$87)+SUMIFS('Vols additionnels'!$E$7:$E$66,'Vols additionnels'!$C$7:$C$66,"TMMRUN",'Vols additionnels'!$D$7:$D$66,"77W",'Vols additionnels'!$I$7:$I$66,"&gt;="&amp;$J$87,'Vols additionnels'!$I$7:$I$66,"&lt;="&amp;$K$87)-H169+G169)/2</f>
        <v>0</v>
      </c>
      <c r="I208" s="129" t="n">
        <f aca="false">I130+(SUMIFS('Vols additionnels'!$E$7:$E$66,'Vols additionnels'!$C$7:$C$66,"TMMRUN",'Vols additionnels'!$D$7:$D$66,"77W",'Vols additionnels'!$B$7:$B$66,"&gt;="&amp;$J$88,'Vols additionnels'!$B$7:$B$66,"&lt;="&amp;$K$88)+SUMIFS('Vols additionnels'!$E$7:$E$66,'Vols additionnels'!$C$7:$C$66,"TMMRUN",'Vols additionnels'!$D$7:$D$66,"77W",'Vols additionnels'!$I$7:$I$66,"&gt;="&amp;$J$88,'Vols additionnels'!$I$7:$I$66,"&lt;="&amp;$K$88)-I169+H169)/2</f>
        <v>0</v>
      </c>
      <c r="J208" s="129" t="n">
        <f aca="false">J130+(SUMIFS('Vols additionnels'!$E$7:$E$66,'Vols additionnels'!$C$7:$C$66,"TMMRUN",'Vols additionnels'!$D$7:$D$66,"77W",'Vols additionnels'!$B$7:$B$66,"&gt;="&amp;$J$89,'Vols additionnels'!$B$7:$B$66,"&lt;="&amp;$K$89)+SUMIFS('Vols additionnels'!$E$7:$E$66,'Vols additionnels'!$C$7:$C$66,"TMMRUN",'Vols additionnels'!$D$7:$D$66,"77W",'Vols additionnels'!$I$7:$I$66,"&gt;="&amp;$J$89,'Vols additionnels'!$I$7:$I$66,"&lt;="&amp;$K$89)-J169+I169)/2</f>
        <v>0</v>
      </c>
      <c r="K208" s="129" t="n">
        <f aca="false">K130+(SUMIFS('Vols additionnels'!$E$7:$E$66,'Vols additionnels'!$C$7:$C$66,"TMMRUN",'Vols additionnels'!$D$7:$D$66,"77W",'Vols additionnels'!$B$7:$B$66,"&gt;="&amp;$J$90,'Vols additionnels'!$B$7:$B$66,"&lt;="&amp;$K$90)+SUMIFS('Vols additionnels'!$E$7:$E$66,'Vols additionnels'!$C$7:$C$66,"TMMRUN",'Vols additionnels'!$D$7:$D$66,"77W",'Vols additionnels'!$I$7:$I$66,"&gt;="&amp;$J$90,'Vols additionnels'!$I$7:$I$66,"&lt;="&amp;$K$90)-K169+J169)/2</f>
        <v>0</v>
      </c>
      <c r="L208" s="129" t="n">
        <f aca="false">L130+(SUMIFS('Vols additionnels'!$E$7:$E$66,'Vols additionnels'!$C$7:$C$66,"TMMRUN",'Vols additionnels'!$D$7:$D$66,"77W",'Vols additionnels'!$B$7:$B$66,"&gt;="&amp;$J$91,'Vols additionnels'!$B$7:$B$66,"&lt;="&amp;$K$91)+SUMIFS('Vols additionnels'!$E$7:$E$66,'Vols additionnels'!$C$7:$C$66,"TMMRUN",'Vols additionnels'!$D$7:$D$66,"77W",'Vols additionnels'!$I$7:$I$66,"&gt;="&amp;$J$91,'Vols additionnels'!$I$7:$I$66,"&lt;="&amp;$K$91)-L169+K169)/2</f>
        <v>0</v>
      </c>
      <c r="M208" s="129" t="n">
        <f aca="false">M130+(SUMIFS('Vols additionnels'!$E$7:$E$66,'Vols additionnels'!$C$7:$C$66,"TMMRUN",'Vols additionnels'!$D$7:$D$66,"77W",'Vols additionnels'!$B$7:$B$66,"&gt;="&amp;$J$92,'Vols additionnels'!$B$7:$B$66,"&lt;="&amp;$K$92)+SUMIFS('Vols additionnels'!$E$7:$E$66,'Vols additionnels'!$C$7:$C$66,"TMMRUN",'Vols additionnels'!$D$7:$D$66,"77W",'Vols additionnels'!$I$7:$I$66,"&gt;="&amp;$J$92,'Vols additionnels'!$I$7:$I$66,"&lt;="&amp;$K$92)-M169+L169)/2</f>
        <v>0</v>
      </c>
      <c r="N208" s="129" t="n">
        <f aca="false">N130+(SUMIFS('Vols additionnels'!$E$7:$E$66,'Vols additionnels'!$C$7:$C$66,"TMMRUN",'Vols additionnels'!$D$7:$D$66,"77W",'Vols additionnels'!$B$7:$B$66,"&gt;="&amp;$J$93,'Vols additionnels'!$B$7:$B$66,"&lt;="&amp;$K$93)+SUMIFS('Vols additionnels'!$E$7:$E$66,'Vols additionnels'!$C$7:$C$66,"TMMRUN",'Vols additionnels'!$D$7:$D$66,"77W",'Vols additionnels'!$I$7:$I$66,"&gt;="&amp;$J$93,'Vols additionnels'!$I$7:$I$66,"&lt;="&amp;$K$93)-N169+M169)/2</f>
        <v>0</v>
      </c>
      <c r="O208" s="12" t="s">
        <v>62</v>
      </c>
      <c r="P208" s="12" t="s">
        <v>11</v>
      </c>
    </row>
    <row r="209" customFormat="false" ht="15" hidden="false" customHeight="false" outlineLevel="0" collapsed="false">
      <c r="B209" s="10" t="s">
        <v>171</v>
      </c>
      <c r="C209" s="129" t="n">
        <f aca="false">C131+(SUMIFS('Vols additionnels'!$E$7:$E$66,'Vols additionnels'!$C$7:$C$66,"TMMRUN",'Vols additionnels'!$D$7:$D$66,"787",'Vols additionnels'!$B$7:$B$66,"&gt;="&amp;$J$82,'Vols additionnels'!$B$7:$B$66,"&lt;="&amp;$K$82)+SUMIFS('Vols additionnels'!$E$7:$E$66,'Vols additionnels'!$C$7:$C$66,"TMMRUN",'Vols additionnels'!$D$7:$D$66,"787",'Vols additionnels'!$I$7:$I$66,"&gt;="&amp;$J$82,'Vols additionnels'!$I$7:$I$66,"&lt;="&amp;$K$82)-C170+0)/2</f>
        <v>0</v>
      </c>
      <c r="D209" s="129" t="n">
        <f aca="false">D131+(SUMIFS('Vols additionnels'!$E$7:$E$66,'Vols additionnels'!$C$7:$C$66,"TMMRUN",'Vols additionnels'!$D$7:$D$66,"787",'Vols additionnels'!$B$7:$B$66,"&gt;="&amp;$J$83,'Vols additionnels'!$B$7:$B$66,"&lt;="&amp;$K$83)+SUMIFS('Vols additionnels'!$E$7:$E$66,'Vols additionnels'!$C$7:$C$66,"TMMRUN",'Vols additionnels'!$D$7:$D$66,"787",'Vols additionnels'!$I$7:$I$66,"&gt;="&amp;$J$83,'Vols additionnels'!$I$7:$I$66,"&lt;="&amp;$K$83)-D170+C170)/2</f>
        <v>0</v>
      </c>
      <c r="E209" s="129" t="n">
        <f aca="false">E131+(SUMIFS('Vols additionnels'!$E$7:$E$66,'Vols additionnels'!$C$7:$C$66,"TMMRUN",'Vols additionnels'!$D$7:$D$66,"787",'Vols additionnels'!$B$7:$B$66,"&gt;="&amp;$J$84,'Vols additionnels'!$B$7:$B$66,"&lt;="&amp;$K$84)+SUMIFS('Vols additionnels'!$E$7:$E$66,'Vols additionnels'!$C$7:$C$66,"TMMRUN",'Vols additionnels'!$D$7:$D$66,"787",'Vols additionnels'!$I$7:$I$66,"&gt;="&amp;$J$84,'Vols additionnels'!$I$7:$I$66,"&lt;="&amp;$K$84)-E170+D170)/2</f>
        <v>0</v>
      </c>
      <c r="F209" s="129" t="n">
        <f aca="false">F131+(SUMIFS('Vols additionnels'!$E$7:$E$66,'Vols additionnels'!$C$7:$C$66,"TMMRUN",'Vols additionnels'!$D$7:$D$66,"787",'Vols additionnels'!$B$7:$B$66,"&gt;="&amp;$J$85,'Vols additionnels'!$B$7:$B$66,"&lt;="&amp;$K$85)+SUMIFS('Vols additionnels'!$E$7:$E$66,'Vols additionnels'!$C$7:$C$66,"TMMRUN",'Vols additionnels'!$D$7:$D$66,"787",'Vols additionnels'!$I$7:$I$66,"&gt;="&amp;$J$85,'Vols additionnels'!$I$7:$I$66,"&lt;="&amp;$K$85)-F170+E170)/2</f>
        <v>0</v>
      </c>
      <c r="G209" s="129" t="n">
        <f aca="false">G131+(SUMIFS('Vols additionnels'!$E$7:$E$66,'Vols additionnels'!$C$7:$C$66,"TMMRUN",'Vols additionnels'!$D$7:$D$66,"787",'Vols additionnels'!$B$7:$B$66,"&gt;="&amp;$J$86,'Vols additionnels'!$B$7:$B$66,"&lt;="&amp;$K$86)+SUMIFS('Vols additionnels'!$E$7:$E$66,'Vols additionnels'!$C$7:$C$66,"TMMRUN",'Vols additionnels'!$D$7:$D$66,"787",'Vols additionnels'!$I$7:$I$66,"&gt;="&amp;$J$86,'Vols additionnels'!$I$7:$I$66,"&lt;="&amp;$K$86)-G170+F170)/2</f>
        <v>0</v>
      </c>
      <c r="H209" s="129" t="n">
        <f aca="false">H131+(SUMIFS('Vols additionnels'!$E$7:$E$66,'Vols additionnels'!$C$7:$C$66,"TMMRUN",'Vols additionnels'!$D$7:$D$66,"787",'Vols additionnels'!$B$7:$B$66,"&gt;="&amp;$J$87,'Vols additionnels'!$B$7:$B$66,"&lt;="&amp;$K$87)+SUMIFS('Vols additionnels'!$E$7:$E$66,'Vols additionnels'!$C$7:$C$66,"TMMRUN",'Vols additionnels'!$D$7:$D$66,"787",'Vols additionnels'!$I$7:$I$66,"&gt;="&amp;$J$87,'Vols additionnels'!$I$7:$I$66,"&lt;="&amp;$K$87)-H170+G170)/2</f>
        <v>0</v>
      </c>
      <c r="I209" s="129" t="n">
        <f aca="false">I131+(SUMIFS('Vols additionnels'!$E$7:$E$66,'Vols additionnels'!$C$7:$C$66,"TMMRUN",'Vols additionnels'!$D$7:$D$66,"787",'Vols additionnels'!$B$7:$B$66,"&gt;="&amp;$J$88,'Vols additionnels'!$B$7:$B$66,"&lt;="&amp;$K$88)+SUMIFS('Vols additionnels'!$E$7:$E$66,'Vols additionnels'!$C$7:$C$66,"TMMRUN",'Vols additionnels'!$D$7:$D$66,"787",'Vols additionnels'!$I$7:$I$66,"&gt;="&amp;$J$88,'Vols additionnels'!$I$7:$I$66,"&lt;="&amp;$K$88)-I170+H170)/2</f>
        <v>0</v>
      </c>
      <c r="J209" s="129" t="n">
        <f aca="false">J131+(SUMIFS('Vols additionnels'!$E$7:$E$66,'Vols additionnels'!$C$7:$C$66,"TMMRUN",'Vols additionnels'!$D$7:$D$66,"787",'Vols additionnels'!$B$7:$B$66,"&gt;="&amp;$J$89,'Vols additionnels'!$B$7:$B$66,"&lt;="&amp;$K$89)+SUMIFS('Vols additionnels'!$E$7:$E$66,'Vols additionnels'!$C$7:$C$66,"TMMRUN",'Vols additionnels'!$D$7:$D$66,"787",'Vols additionnels'!$I$7:$I$66,"&gt;="&amp;$J$89,'Vols additionnels'!$I$7:$I$66,"&lt;="&amp;$K$89)-J170+I170)/2</f>
        <v>0</v>
      </c>
      <c r="K209" s="129" t="n">
        <f aca="false">K131+(SUMIFS('Vols additionnels'!$E$7:$E$66,'Vols additionnels'!$C$7:$C$66,"TMMRUN",'Vols additionnels'!$D$7:$D$66,"787",'Vols additionnels'!$B$7:$B$66,"&gt;="&amp;$J$90,'Vols additionnels'!$B$7:$B$66,"&lt;="&amp;$K$90)+SUMIFS('Vols additionnels'!$E$7:$E$66,'Vols additionnels'!$C$7:$C$66,"TMMRUN",'Vols additionnels'!$D$7:$D$66,"787",'Vols additionnels'!$I$7:$I$66,"&gt;="&amp;$J$90,'Vols additionnels'!$I$7:$I$66,"&lt;="&amp;$K$90)-K170+J170)/2</f>
        <v>0</v>
      </c>
      <c r="L209" s="129" t="n">
        <f aca="false">L131+(SUMIFS('Vols additionnels'!$E$7:$E$66,'Vols additionnels'!$C$7:$C$66,"TMMRUN",'Vols additionnels'!$D$7:$D$66,"787",'Vols additionnels'!$B$7:$B$66,"&gt;="&amp;$J$91,'Vols additionnels'!$B$7:$B$66,"&lt;="&amp;$K$91)+SUMIFS('Vols additionnels'!$E$7:$E$66,'Vols additionnels'!$C$7:$C$66,"TMMRUN",'Vols additionnels'!$D$7:$D$66,"787",'Vols additionnels'!$I$7:$I$66,"&gt;="&amp;$J$91,'Vols additionnels'!$I$7:$I$66,"&lt;="&amp;$K$91)-L170+K170)/2</f>
        <v>0</v>
      </c>
      <c r="M209" s="129" t="n">
        <f aca="false">M131+(SUMIFS('Vols additionnels'!$E$7:$E$66,'Vols additionnels'!$C$7:$C$66,"TMMRUN",'Vols additionnels'!$D$7:$D$66,"787",'Vols additionnels'!$B$7:$B$66,"&gt;="&amp;$J$92,'Vols additionnels'!$B$7:$B$66,"&lt;="&amp;$K$92)+SUMIFS('Vols additionnels'!$E$7:$E$66,'Vols additionnels'!$C$7:$C$66,"TMMRUN",'Vols additionnels'!$D$7:$D$66,"787",'Vols additionnels'!$I$7:$I$66,"&gt;="&amp;$J$92,'Vols additionnels'!$I$7:$I$66,"&lt;="&amp;$K$92)-M170+L170)/2</f>
        <v>0</v>
      </c>
      <c r="N209" s="129" t="n">
        <f aca="false">N131+(SUMIFS('Vols additionnels'!$E$7:$E$66,'Vols additionnels'!$C$7:$C$66,"TMMRUN",'Vols additionnels'!$D$7:$D$66,"787",'Vols additionnels'!$B$7:$B$66,"&gt;="&amp;$J$93,'Vols additionnels'!$B$7:$B$66,"&lt;="&amp;$K$93)+SUMIFS('Vols additionnels'!$E$7:$E$66,'Vols additionnels'!$C$7:$C$66,"TMMRUN",'Vols additionnels'!$D$7:$D$66,"787",'Vols additionnels'!$I$7:$I$66,"&gt;="&amp;$J$93,'Vols additionnels'!$I$7:$I$66,"&lt;="&amp;$K$93)-N170+M170)/2</f>
        <v>0</v>
      </c>
      <c r="O209" s="12" t="s">
        <v>62</v>
      </c>
      <c r="P209" s="12" t="s">
        <v>19</v>
      </c>
    </row>
    <row r="210" customFormat="false" ht="15" hidden="false" customHeight="false" outlineLevel="0" collapsed="false">
      <c r="B210" s="10" t="s">
        <v>172</v>
      </c>
      <c r="C210" s="129" t="n">
        <f aca="false">C132+(SUMIFS('Vols additionnels'!$E$7:$E$66,'Vols additionnels'!$C$7:$C$66,"TMMRUN",'Vols additionnels'!$D$7:$D$66,"A320",'Vols additionnels'!$B$7:$B$66,"&gt;="&amp;$J$82,'Vols additionnels'!$B$7:$B$66,"&lt;="&amp;$K$82)+SUMIFS('Vols additionnels'!$E$7:$E$66,'Vols additionnels'!$C$7:$C$66,"TMMRUN",'Vols additionnels'!$D$7:$D$66,"A320",'Vols additionnels'!$I$7:$I$66,"&gt;="&amp;$J$82,'Vols additionnels'!$I$7:$I$66,"&lt;="&amp;$K$82)-C171+0)/2</f>
        <v>8</v>
      </c>
      <c r="D210" s="129" t="n">
        <f aca="false">D132+(SUMIFS('Vols additionnels'!$E$7:$E$66,'Vols additionnels'!$C$7:$C$66,"TMMRUN",'Vols additionnels'!$D$7:$D$66,"A320",'Vols additionnels'!$B$7:$B$66,"&gt;="&amp;$J$83,'Vols additionnels'!$B$7:$B$66,"&lt;="&amp;$K$83)+SUMIFS('Vols additionnels'!$E$7:$E$66,'Vols additionnels'!$C$7:$C$66,"TMMRUN",'Vols additionnels'!$D$7:$D$66,"A320",'Vols additionnels'!$I$7:$I$66,"&gt;="&amp;$J$83,'Vols additionnels'!$I$7:$I$66,"&lt;="&amp;$K$83)-D171+C171)/2</f>
        <v>9</v>
      </c>
      <c r="E210" s="129" t="n">
        <f aca="false">E132+(SUMIFS('Vols additionnels'!$E$7:$E$66,'Vols additionnels'!$C$7:$C$66,"TMMRUN",'Vols additionnels'!$D$7:$D$66,"A320",'Vols additionnels'!$B$7:$B$66,"&gt;="&amp;$J$84,'Vols additionnels'!$B$7:$B$66,"&lt;="&amp;$K$84)+SUMIFS('Vols additionnels'!$E$7:$E$66,'Vols additionnels'!$C$7:$C$66,"TMMRUN",'Vols additionnels'!$D$7:$D$66,"A320",'Vols additionnels'!$I$7:$I$66,"&gt;="&amp;$J$84,'Vols additionnels'!$I$7:$I$66,"&lt;="&amp;$K$84)-E171+D171)/2</f>
        <v>9</v>
      </c>
      <c r="F210" s="129" t="n">
        <f aca="false">F132+(SUMIFS('Vols additionnels'!$E$7:$E$66,'Vols additionnels'!$C$7:$C$66,"TMMRUN",'Vols additionnels'!$D$7:$D$66,"A320",'Vols additionnels'!$B$7:$B$66,"&gt;="&amp;$J$85,'Vols additionnels'!$B$7:$B$66,"&lt;="&amp;$K$85)+SUMIFS('Vols additionnels'!$E$7:$E$66,'Vols additionnels'!$C$7:$C$66,"TMMRUN",'Vols additionnels'!$D$7:$D$66,"A320",'Vols additionnels'!$I$7:$I$66,"&gt;="&amp;$J$85,'Vols additionnels'!$I$7:$I$66,"&lt;="&amp;$K$85)-F171+E171)/2</f>
        <v>8</v>
      </c>
      <c r="G210" s="129" t="n">
        <f aca="false">G132+(SUMIFS('Vols additionnels'!$E$7:$E$66,'Vols additionnels'!$C$7:$C$66,"TMMRUN",'Vols additionnels'!$D$7:$D$66,"A320",'Vols additionnels'!$B$7:$B$66,"&gt;="&amp;$J$86,'Vols additionnels'!$B$7:$B$66,"&lt;="&amp;$K$86)+SUMIFS('Vols additionnels'!$E$7:$E$66,'Vols additionnels'!$C$7:$C$66,"TMMRUN",'Vols additionnels'!$D$7:$D$66,"A320",'Vols additionnels'!$I$7:$I$66,"&gt;="&amp;$J$86,'Vols additionnels'!$I$7:$I$66,"&lt;="&amp;$K$86)-G171+F171)/2</f>
        <v>9</v>
      </c>
      <c r="H210" s="129" t="n">
        <f aca="false">H132+(SUMIFS('Vols additionnels'!$E$7:$E$66,'Vols additionnels'!$C$7:$C$66,"TMMRUN",'Vols additionnels'!$D$7:$D$66,"A320",'Vols additionnels'!$B$7:$B$66,"&gt;="&amp;$J$87,'Vols additionnels'!$B$7:$B$66,"&lt;="&amp;$K$87)+SUMIFS('Vols additionnels'!$E$7:$E$66,'Vols additionnels'!$C$7:$C$66,"TMMRUN",'Vols additionnels'!$D$7:$D$66,"A320",'Vols additionnels'!$I$7:$I$66,"&gt;="&amp;$J$87,'Vols additionnels'!$I$7:$I$66,"&lt;="&amp;$K$87)-H171+G171)/2</f>
        <v>9</v>
      </c>
      <c r="I210" s="129" t="n">
        <f aca="false">I132+(SUMIFS('Vols additionnels'!$E$7:$E$66,'Vols additionnels'!$C$7:$C$66,"TMMRUN",'Vols additionnels'!$D$7:$D$66,"A320",'Vols additionnels'!$B$7:$B$66,"&gt;="&amp;$J$88,'Vols additionnels'!$B$7:$B$66,"&lt;="&amp;$K$88)+SUMIFS('Vols additionnels'!$E$7:$E$66,'Vols additionnels'!$C$7:$C$66,"TMMRUN",'Vols additionnels'!$D$7:$D$66,"A320",'Vols additionnels'!$I$7:$I$66,"&gt;="&amp;$J$88,'Vols additionnels'!$I$7:$I$66,"&lt;="&amp;$K$88)-I171+H171)/2</f>
        <v>9</v>
      </c>
      <c r="J210" s="129" t="n">
        <f aca="false">J132+(SUMIFS('Vols additionnels'!$E$7:$E$66,'Vols additionnels'!$C$7:$C$66,"TMMRUN",'Vols additionnels'!$D$7:$D$66,"A320",'Vols additionnels'!$B$7:$B$66,"&gt;="&amp;$J$89,'Vols additionnels'!$B$7:$B$66,"&lt;="&amp;$K$89)+SUMIFS('Vols additionnels'!$E$7:$E$66,'Vols additionnels'!$C$7:$C$66,"TMMRUN",'Vols additionnels'!$D$7:$D$66,"A320",'Vols additionnels'!$I$7:$I$66,"&gt;="&amp;$J$89,'Vols additionnels'!$I$7:$I$66,"&lt;="&amp;$K$89)-J171+I171)/2</f>
        <v>8</v>
      </c>
      <c r="K210" s="129" t="n">
        <f aca="false">K132+(SUMIFS('Vols additionnels'!$E$7:$E$66,'Vols additionnels'!$C$7:$C$66,"TMMRUN",'Vols additionnels'!$D$7:$D$66,"A320",'Vols additionnels'!$B$7:$B$66,"&gt;="&amp;$J$90,'Vols additionnels'!$B$7:$B$66,"&lt;="&amp;$K$90)+SUMIFS('Vols additionnels'!$E$7:$E$66,'Vols additionnels'!$C$7:$C$66,"TMMRUN",'Vols additionnels'!$D$7:$D$66,"A320",'Vols additionnels'!$I$7:$I$66,"&gt;="&amp;$J$90,'Vols additionnels'!$I$7:$I$66,"&lt;="&amp;$K$90)-K171+J171)/2</f>
        <v>9</v>
      </c>
      <c r="L210" s="129" t="n">
        <f aca="false">L132+(SUMIFS('Vols additionnels'!$E$7:$E$66,'Vols additionnels'!$C$7:$C$66,"TMMRUN",'Vols additionnels'!$D$7:$D$66,"A320",'Vols additionnels'!$B$7:$B$66,"&gt;="&amp;$J$91,'Vols additionnels'!$B$7:$B$66,"&lt;="&amp;$K$91)+SUMIFS('Vols additionnels'!$E$7:$E$66,'Vols additionnels'!$C$7:$C$66,"TMMRUN",'Vols additionnels'!$D$7:$D$66,"A320",'Vols additionnels'!$I$7:$I$66,"&gt;="&amp;$J$91,'Vols additionnels'!$I$7:$I$66,"&lt;="&amp;$K$91)-L171+K171)/2</f>
        <v>9</v>
      </c>
      <c r="M210" s="129" t="n">
        <f aca="false">M132+(SUMIFS('Vols additionnels'!$E$7:$E$66,'Vols additionnels'!$C$7:$C$66,"TMMRUN",'Vols additionnels'!$D$7:$D$66,"A320",'Vols additionnels'!$B$7:$B$66,"&gt;="&amp;$J$92,'Vols additionnels'!$B$7:$B$66,"&lt;="&amp;$K$92)+SUMIFS('Vols additionnels'!$E$7:$E$66,'Vols additionnels'!$C$7:$C$66,"TMMRUN",'Vols additionnels'!$D$7:$D$66,"A320",'Vols additionnels'!$I$7:$I$66,"&gt;="&amp;$J$92,'Vols additionnels'!$I$7:$I$66,"&lt;="&amp;$K$92)-M171+L171)/2</f>
        <v>8</v>
      </c>
      <c r="N210" s="129" t="n">
        <f aca="false">N132+(SUMIFS('Vols additionnels'!$E$7:$E$66,'Vols additionnels'!$C$7:$C$66,"TMMRUN",'Vols additionnels'!$D$7:$D$66,"A320",'Vols additionnels'!$B$7:$B$66,"&gt;="&amp;$J$93,'Vols additionnels'!$B$7:$B$66,"&lt;="&amp;$K$93)+SUMIFS('Vols additionnels'!$E$7:$E$66,'Vols additionnels'!$C$7:$C$66,"TMMRUN",'Vols additionnels'!$D$7:$D$66,"A320",'Vols additionnels'!$I$7:$I$66,"&gt;="&amp;$J$93,'Vols additionnels'!$I$7:$I$66,"&lt;="&amp;$K$93)-N171+M171)/2</f>
        <v>9</v>
      </c>
      <c r="O210" s="12" t="s">
        <v>62</v>
      </c>
      <c r="P210" s="12" t="s">
        <v>24</v>
      </c>
    </row>
  </sheetData>
  <mergeCells count="15">
    <mergeCell ref="B1:J1"/>
    <mergeCell ref="B2:J2"/>
    <mergeCell ref="B4:H4"/>
    <mergeCell ref="C5:D5"/>
    <mergeCell ref="E5:H5"/>
    <mergeCell ref="D11:H11"/>
    <mergeCell ref="B12:H12"/>
    <mergeCell ref="B14:H14"/>
    <mergeCell ref="B30:O30"/>
    <mergeCell ref="B47:O47"/>
    <mergeCell ref="B64:K64"/>
    <mergeCell ref="B80:L80"/>
    <mergeCell ref="B95:N95"/>
    <mergeCell ref="B134:N134"/>
    <mergeCell ref="B173:N173"/>
  </mergeCells>
  <dataValidations count="1">
    <dataValidation allowBlank="false" error="Choisir : toutes cabines, C, W ou Y." errorStyle="stop" errorTitle="Cabine inconnue" operator="between" showDropDown="false" showErrorMessage="false" showInputMessage="false" sqref="C5" type="list">
      <formula1>"Toutes cabines,C - Club,W - Confort,Y - Loisir"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13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4" min="3" style="0" width="14"/>
    <col collapsed="false" customWidth="true" hidden="false" outlineLevel="0" max="11" min="5" style="0" width="12"/>
  </cols>
  <sheetData>
    <row r="1" customFormat="false" ht="30" hidden="false" customHeight="true" outlineLevel="0" collapsed="false">
      <c r="B1" s="1" t="s">
        <v>237</v>
      </c>
      <c r="C1" s="1"/>
      <c r="D1" s="1"/>
      <c r="E1" s="1"/>
      <c r="F1" s="1"/>
      <c r="G1" s="1"/>
      <c r="H1" s="1"/>
      <c r="I1" s="1"/>
      <c r="J1" s="1"/>
      <c r="K1" s="1"/>
    </row>
    <row r="2" customFormat="false" ht="66" hidden="false" customHeight="true" outlineLevel="0" collapsed="false">
      <c r="B2" s="2" t="s">
        <v>238</v>
      </c>
      <c r="C2" s="2"/>
      <c r="D2" s="2"/>
      <c r="E2" s="2"/>
      <c r="F2" s="2"/>
      <c r="G2" s="2"/>
      <c r="H2" s="2"/>
      <c r="I2" s="2"/>
      <c r="J2" s="2"/>
      <c r="K2" s="2"/>
    </row>
    <row r="4" customFormat="false" ht="25.5" hidden="false" customHeight="true" outlineLevel="0" collapsed="false">
      <c r="B4" s="33" t="s">
        <v>239</v>
      </c>
      <c r="C4" s="33" t="s">
        <v>222</v>
      </c>
      <c r="D4" s="33" t="s">
        <v>240</v>
      </c>
      <c r="E4" s="33" t="s">
        <v>84</v>
      </c>
      <c r="F4" s="33" t="s">
        <v>180</v>
      </c>
      <c r="G4" s="33" t="s">
        <v>241</v>
      </c>
      <c r="H4" s="33" t="s">
        <v>242</v>
      </c>
      <c r="I4" s="33" t="s">
        <v>243</v>
      </c>
      <c r="J4" s="33" t="s">
        <v>244</v>
      </c>
      <c r="K4" s="33" t="s">
        <v>245</v>
      </c>
    </row>
    <row r="5" customFormat="false" ht="15" hidden="false" customHeight="false" outlineLevel="0" collapsed="false">
      <c r="B5" s="130" t="n">
        <v>2027</v>
      </c>
      <c r="C5" s="131" t="s">
        <v>246</v>
      </c>
      <c r="D5" s="132" t="n">
        <v>46478</v>
      </c>
      <c r="E5" s="131" t="s">
        <v>12</v>
      </c>
      <c r="F5" s="133" t="s">
        <v>11</v>
      </c>
      <c r="G5" s="134" t="n">
        <f aca="false">LEN('Saisie programme'!$G$13)+SUMIFS('Vols additionnels'!$E$7:$E$66,'Vols additionnels'!$C$7:$C$66,$E5,'Vols additionnels'!$D$7:$D$66,$F5,'Vols additionnels'!$B$7:$B$66,$D5)</f>
        <v>1</v>
      </c>
      <c r="H5" s="135" t="n">
        <f aca="false">$G5*'Analyse capacite'!$F$7</f>
        <v>438</v>
      </c>
      <c r="I5" s="135" t="n">
        <f aca="false">$G5*'Analyse capacite'!$C$7</f>
        <v>14</v>
      </c>
      <c r="J5" s="135" t="n">
        <f aca="false">$G5*'Analyse capacite'!$D$7</f>
        <v>40</v>
      </c>
      <c r="K5" s="135" t="n">
        <f aca="false">$G5*'Analyse capacite'!$E$7</f>
        <v>384</v>
      </c>
    </row>
    <row r="6" customFormat="false" ht="15" hidden="false" customHeight="false" outlineLevel="0" collapsed="false">
      <c r="B6" s="130" t="n">
        <v>2027</v>
      </c>
      <c r="C6" s="131" t="s">
        <v>246</v>
      </c>
      <c r="D6" s="132" t="n">
        <v>46478</v>
      </c>
      <c r="E6" s="131" t="s">
        <v>12</v>
      </c>
      <c r="F6" s="133" t="s">
        <v>19</v>
      </c>
      <c r="G6" s="134" t="n">
        <f aca="false">LEN('Saisie programme'!$G$14)+SUMIFS('Vols additionnels'!$E$7:$E$66,'Vols additionnels'!$C$7:$C$66,$E6,'Vols additionnels'!$D$7:$D$66,$F6,'Vols additionnels'!$B$7:$B$66,$D6)</f>
        <v>0</v>
      </c>
      <c r="H6" s="135" t="n">
        <f aca="false">$G6*'Analyse capacite'!$F$8</f>
        <v>0</v>
      </c>
      <c r="I6" s="135" t="n">
        <f aca="false">$G6*'Analyse capacite'!$C$8</f>
        <v>0</v>
      </c>
      <c r="J6" s="135" t="n">
        <f aca="false">$G6*'Analyse capacite'!$D$8</f>
        <v>0</v>
      </c>
      <c r="K6" s="135" t="n">
        <f aca="false">$G6*'Analyse capacite'!$E$8</f>
        <v>0</v>
      </c>
    </row>
    <row r="7" customFormat="false" ht="15" hidden="false" customHeight="false" outlineLevel="0" collapsed="false">
      <c r="B7" s="130" t="n">
        <v>2027</v>
      </c>
      <c r="C7" s="131" t="s">
        <v>246</v>
      </c>
      <c r="D7" s="132" t="n">
        <v>46478</v>
      </c>
      <c r="E7" s="131" t="s">
        <v>12</v>
      </c>
      <c r="F7" s="133" t="s">
        <v>24</v>
      </c>
      <c r="G7" s="134" t="n">
        <f aca="false">LEN('Saisie programme'!$G$15)+SUMIFS('Vols additionnels'!$E$7:$E$66,'Vols additionnels'!$C$7:$C$66,$E7,'Vols additionnels'!$D$7:$D$66,$F7,'Vols additionnels'!$B$7:$B$66,$D7)</f>
        <v>0</v>
      </c>
      <c r="H7" s="135" t="n">
        <f aca="false">$G7*'Analyse capacite'!$F$9</f>
        <v>0</v>
      </c>
      <c r="I7" s="135" t="n">
        <f aca="false">$G7*'Analyse capacite'!$C$9</f>
        <v>0</v>
      </c>
      <c r="J7" s="135" t="n">
        <f aca="false">$G7*'Analyse capacite'!$D$9</f>
        <v>0</v>
      </c>
      <c r="K7" s="135" t="n">
        <f aca="false">$G7*'Analyse capacite'!$E$9</f>
        <v>0</v>
      </c>
    </row>
    <row r="8" customFormat="false" ht="15" hidden="false" customHeight="false" outlineLevel="0" collapsed="false">
      <c r="B8" s="130" t="n">
        <v>2027</v>
      </c>
      <c r="C8" s="131" t="s">
        <v>246</v>
      </c>
      <c r="D8" s="132" t="n">
        <v>46478</v>
      </c>
      <c r="E8" s="131" t="s">
        <v>20</v>
      </c>
      <c r="F8" s="133" t="s">
        <v>11</v>
      </c>
      <c r="G8" s="134" t="n">
        <f aca="false">LEN('Saisie programme'!$G$16)+SUMIFS('Vols additionnels'!$E$7:$E$66,'Vols additionnels'!$C$7:$C$66,$E8,'Vols additionnels'!$D$7:$D$66,$F8,'Vols additionnels'!$B$7:$B$66,$D8)</f>
        <v>0</v>
      </c>
      <c r="H8" s="135" t="n">
        <f aca="false">$G8*'Analyse capacite'!$F$7</f>
        <v>0</v>
      </c>
      <c r="I8" s="135" t="n">
        <f aca="false">$G8*'Analyse capacite'!$C$7</f>
        <v>0</v>
      </c>
      <c r="J8" s="135" t="n">
        <f aca="false">$G8*'Analyse capacite'!$D$7</f>
        <v>0</v>
      </c>
      <c r="K8" s="135" t="n">
        <f aca="false">$G8*'Analyse capacite'!$E$7</f>
        <v>0</v>
      </c>
    </row>
    <row r="9" customFormat="false" ht="15" hidden="false" customHeight="false" outlineLevel="0" collapsed="false">
      <c r="B9" s="130" t="n">
        <v>2027</v>
      </c>
      <c r="C9" s="131" t="s">
        <v>246</v>
      </c>
      <c r="D9" s="132" t="n">
        <v>46478</v>
      </c>
      <c r="E9" s="131" t="s">
        <v>20</v>
      </c>
      <c r="F9" s="133" t="s">
        <v>19</v>
      </c>
      <c r="G9" s="134" t="n">
        <f aca="false">LEN('Saisie programme'!$G$17)+SUMIFS('Vols additionnels'!$E$7:$E$66,'Vols additionnels'!$C$7:$C$66,$E9,'Vols additionnels'!$D$7:$D$66,$F9,'Vols additionnels'!$B$7:$B$66,$D9)</f>
        <v>0</v>
      </c>
      <c r="H9" s="135" t="n">
        <f aca="false">$G9*'Analyse capacite'!$F$8</f>
        <v>0</v>
      </c>
      <c r="I9" s="135" t="n">
        <f aca="false">$G9*'Analyse capacite'!$C$8</f>
        <v>0</v>
      </c>
      <c r="J9" s="135" t="n">
        <f aca="false">$G9*'Analyse capacite'!$D$8</f>
        <v>0</v>
      </c>
      <c r="K9" s="135" t="n">
        <f aca="false">$G9*'Analyse capacite'!$E$8</f>
        <v>0</v>
      </c>
    </row>
    <row r="10" customFormat="false" ht="15" hidden="false" customHeight="false" outlineLevel="0" collapsed="false">
      <c r="B10" s="130" t="n">
        <v>2027</v>
      </c>
      <c r="C10" s="131" t="s">
        <v>246</v>
      </c>
      <c r="D10" s="132" t="n">
        <v>46478</v>
      </c>
      <c r="E10" s="131" t="s">
        <v>20</v>
      </c>
      <c r="F10" s="133" t="s">
        <v>24</v>
      </c>
      <c r="G10" s="134" t="n">
        <f aca="false">LEN('Saisie programme'!$G$18)+SUMIFS('Vols additionnels'!$E$7:$E$66,'Vols additionnels'!$C$7:$C$66,$E10,'Vols additionnels'!$D$7:$D$66,$F10,'Vols additionnels'!$B$7:$B$66,$D10)</f>
        <v>0</v>
      </c>
      <c r="H10" s="135" t="n">
        <f aca="false">$G10*'Analyse capacite'!$F$9</f>
        <v>0</v>
      </c>
      <c r="I10" s="135" t="n">
        <f aca="false">$G10*'Analyse capacite'!$C$9</f>
        <v>0</v>
      </c>
      <c r="J10" s="135" t="n">
        <f aca="false">$G10*'Analyse capacite'!$D$9</f>
        <v>0</v>
      </c>
      <c r="K10" s="135" t="n">
        <f aca="false">$G10*'Analyse capacite'!$E$9</f>
        <v>0</v>
      </c>
    </row>
    <row r="11" customFormat="false" ht="15" hidden="false" customHeight="false" outlineLevel="0" collapsed="false">
      <c r="B11" s="130" t="n">
        <v>2027</v>
      </c>
      <c r="C11" s="131" t="s">
        <v>246</v>
      </c>
      <c r="D11" s="132" t="n">
        <v>46478</v>
      </c>
      <c r="E11" s="131" t="s">
        <v>25</v>
      </c>
      <c r="F11" s="133" t="s">
        <v>11</v>
      </c>
      <c r="G11" s="134" t="n">
        <f aca="false">LEN('Saisie programme'!$G$19)+SUMIFS('Vols additionnels'!$E$7:$E$66,'Vols additionnels'!$C$7:$C$66,$E11,'Vols additionnels'!$D$7:$D$66,$F11,'Vols additionnels'!$B$7:$B$66,$D11)</f>
        <v>0</v>
      </c>
      <c r="H11" s="135" t="n">
        <f aca="false">$G11*'Analyse capacite'!$F$7</f>
        <v>0</v>
      </c>
      <c r="I11" s="135" t="n">
        <f aca="false">$G11*'Analyse capacite'!$C$7</f>
        <v>0</v>
      </c>
      <c r="J11" s="135" t="n">
        <f aca="false">$G11*'Analyse capacite'!$D$7</f>
        <v>0</v>
      </c>
      <c r="K11" s="135" t="n">
        <f aca="false">$G11*'Analyse capacite'!$E$7</f>
        <v>0</v>
      </c>
    </row>
    <row r="12" customFormat="false" ht="15" hidden="false" customHeight="false" outlineLevel="0" collapsed="false">
      <c r="B12" s="130" t="n">
        <v>2027</v>
      </c>
      <c r="C12" s="131" t="s">
        <v>246</v>
      </c>
      <c r="D12" s="132" t="n">
        <v>46478</v>
      </c>
      <c r="E12" s="131" t="s">
        <v>25</v>
      </c>
      <c r="F12" s="133" t="s">
        <v>19</v>
      </c>
      <c r="G12" s="134" t="n">
        <f aca="false">LEN('Saisie programme'!$G$20)+SUMIFS('Vols additionnels'!$E$7:$E$66,'Vols additionnels'!$C$7:$C$66,$E12,'Vols additionnels'!$D$7:$D$66,$F12,'Vols additionnels'!$B$7:$B$66,$D12)</f>
        <v>0</v>
      </c>
      <c r="H12" s="135" t="n">
        <f aca="false">$G12*'Analyse capacite'!$F$8</f>
        <v>0</v>
      </c>
      <c r="I12" s="135" t="n">
        <f aca="false">$G12*'Analyse capacite'!$C$8</f>
        <v>0</v>
      </c>
      <c r="J12" s="135" t="n">
        <f aca="false">$G12*'Analyse capacite'!$D$8</f>
        <v>0</v>
      </c>
      <c r="K12" s="135" t="n">
        <f aca="false">$G12*'Analyse capacite'!$E$8</f>
        <v>0</v>
      </c>
    </row>
    <row r="13" customFormat="false" ht="15" hidden="false" customHeight="false" outlineLevel="0" collapsed="false">
      <c r="B13" s="130" t="n">
        <v>2027</v>
      </c>
      <c r="C13" s="131" t="s">
        <v>246</v>
      </c>
      <c r="D13" s="132" t="n">
        <v>46478</v>
      </c>
      <c r="E13" s="131" t="s">
        <v>25</v>
      </c>
      <c r="F13" s="133" t="s">
        <v>24</v>
      </c>
      <c r="G13" s="134" t="n">
        <f aca="false">LEN('Saisie programme'!$G$21)+SUMIFS('Vols additionnels'!$E$7:$E$66,'Vols additionnels'!$C$7:$C$66,$E13,'Vols additionnels'!$D$7:$D$66,$F13,'Vols additionnels'!$B$7:$B$66,$D13)</f>
        <v>0</v>
      </c>
      <c r="H13" s="135" t="n">
        <f aca="false">$G13*'Analyse capacite'!$F$9</f>
        <v>0</v>
      </c>
      <c r="I13" s="135" t="n">
        <f aca="false">$G13*'Analyse capacite'!$C$9</f>
        <v>0</v>
      </c>
      <c r="J13" s="135" t="n">
        <f aca="false">$G13*'Analyse capacite'!$D$9</f>
        <v>0</v>
      </c>
      <c r="K13" s="135" t="n">
        <f aca="false">$G13*'Analyse capacite'!$E$9</f>
        <v>0</v>
      </c>
    </row>
    <row r="14" customFormat="false" ht="15" hidden="false" customHeight="false" outlineLevel="0" collapsed="false">
      <c r="B14" s="130" t="n">
        <v>2027</v>
      </c>
      <c r="C14" s="131" t="s">
        <v>246</v>
      </c>
      <c r="D14" s="132" t="n">
        <v>46478</v>
      </c>
      <c r="E14" s="131" t="s">
        <v>36</v>
      </c>
      <c r="F14" s="133" t="s">
        <v>11</v>
      </c>
      <c r="G14" s="134" t="n">
        <f aca="false">LEN('Saisie programme'!$G$22)+SUMIFS('Vols additionnels'!$E$7:$E$66,'Vols additionnels'!$C$7:$C$66,$E14,'Vols additionnels'!$D$7:$D$66,$F14,'Vols additionnels'!$B$7:$B$66,$D14)</f>
        <v>0</v>
      </c>
      <c r="H14" s="135" t="n">
        <f aca="false">$G14*'Analyse capacite'!$F$7</f>
        <v>0</v>
      </c>
      <c r="I14" s="135" t="n">
        <f aca="false">$G14*'Analyse capacite'!$C$7</f>
        <v>0</v>
      </c>
      <c r="J14" s="135" t="n">
        <f aca="false">$G14*'Analyse capacite'!$D$7</f>
        <v>0</v>
      </c>
      <c r="K14" s="135" t="n">
        <f aca="false">$G14*'Analyse capacite'!$E$7</f>
        <v>0</v>
      </c>
    </row>
    <row r="15" customFormat="false" ht="15" hidden="false" customHeight="false" outlineLevel="0" collapsed="false">
      <c r="B15" s="130" t="n">
        <v>2027</v>
      </c>
      <c r="C15" s="131" t="s">
        <v>246</v>
      </c>
      <c r="D15" s="132" t="n">
        <v>46478</v>
      </c>
      <c r="E15" s="131" t="s">
        <v>36</v>
      </c>
      <c r="F15" s="133" t="s">
        <v>19</v>
      </c>
      <c r="G15" s="134" t="n">
        <f aca="false">LEN('Saisie programme'!$G$23)+SUMIFS('Vols additionnels'!$E$7:$E$66,'Vols additionnels'!$C$7:$C$66,$E15,'Vols additionnels'!$D$7:$D$66,$F15,'Vols additionnels'!$B$7:$B$66,$D15)</f>
        <v>0</v>
      </c>
      <c r="H15" s="135" t="n">
        <f aca="false">$G15*'Analyse capacite'!$F$8</f>
        <v>0</v>
      </c>
      <c r="I15" s="135" t="n">
        <f aca="false">$G15*'Analyse capacite'!$C$8</f>
        <v>0</v>
      </c>
      <c r="J15" s="135" t="n">
        <f aca="false">$G15*'Analyse capacite'!$D$8</f>
        <v>0</v>
      </c>
      <c r="K15" s="135" t="n">
        <f aca="false">$G15*'Analyse capacite'!$E$8</f>
        <v>0</v>
      </c>
    </row>
    <row r="16" customFormat="false" ht="15" hidden="false" customHeight="false" outlineLevel="0" collapsed="false">
      <c r="B16" s="130" t="n">
        <v>2027</v>
      </c>
      <c r="C16" s="131" t="s">
        <v>246</v>
      </c>
      <c r="D16" s="132" t="n">
        <v>46478</v>
      </c>
      <c r="E16" s="131" t="s">
        <v>36</v>
      </c>
      <c r="F16" s="133" t="s">
        <v>24</v>
      </c>
      <c r="G16" s="134" t="n">
        <f aca="false">LEN('Saisie programme'!$G$24)+SUMIFS('Vols additionnels'!$E$7:$E$66,'Vols additionnels'!$C$7:$C$66,$E16,'Vols additionnels'!$D$7:$D$66,$F16,'Vols additionnels'!$B$7:$B$66,$D16)</f>
        <v>1</v>
      </c>
      <c r="H16" s="135" t="n">
        <f aca="false">$G16*'Analyse capacite'!$F$9</f>
        <v>174</v>
      </c>
      <c r="I16" s="135" t="n">
        <f aca="false">$G16*'Analyse capacite'!$C$9</f>
        <v>0</v>
      </c>
      <c r="J16" s="135" t="n">
        <f aca="false">$G16*'Analyse capacite'!$D$9</f>
        <v>12</v>
      </c>
      <c r="K16" s="135" t="n">
        <f aca="false">$G16*'Analyse capacite'!$E$9</f>
        <v>162</v>
      </c>
    </row>
    <row r="17" customFormat="false" ht="15" hidden="false" customHeight="false" outlineLevel="0" collapsed="false">
      <c r="B17" s="130" t="n">
        <v>2027</v>
      </c>
      <c r="C17" s="131" t="s">
        <v>246</v>
      </c>
      <c r="D17" s="132" t="n">
        <v>46478</v>
      </c>
      <c r="E17" s="131" t="s">
        <v>40</v>
      </c>
      <c r="F17" s="133" t="s">
        <v>11</v>
      </c>
      <c r="G17" s="134" t="n">
        <f aca="false">LEN('Saisie programme'!$G$25)+SUMIFS('Vols additionnels'!$E$7:$E$66,'Vols additionnels'!$C$7:$C$66,$E17,'Vols additionnels'!$D$7:$D$66,$F17,'Vols additionnels'!$B$7:$B$66,$D17)</f>
        <v>0</v>
      </c>
      <c r="H17" s="135" t="n">
        <f aca="false">$G17*'Analyse capacite'!$F$7</f>
        <v>0</v>
      </c>
      <c r="I17" s="135" t="n">
        <f aca="false">$G17*'Analyse capacite'!$C$7</f>
        <v>0</v>
      </c>
      <c r="J17" s="135" t="n">
        <f aca="false">$G17*'Analyse capacite'!$D$7</f>
        <v>0</v>
      </c>
      <c r="K17" s="135" t="n">
        <f aca="false">$G17*'Analyse capacite'!$E$7</f>
        <v>0</v>
      </c>
    </row>
    <row r="18" customFormat="false" ht="15" hidden="false" customHeight="false" outlineLevel="0" collapsed="false">
      <c r="B18" s="130" t="n">
        <v>2027</v>
      </c>
      <c r="C18" s="131" t="s">
        <v>246</v>
      </c>
      <c r="D18" s="132" t="n">
        <v>46478</v>
      </c>
      <c r="E18" s="131" t="s">
        <v>40</v>
      </c>
      <c r="F18" s="133" t="s">
        <v>19</v>
      </c>
      <c r="G18" s="134" t="n">
        <f aca="false">LEN('Saisie programme'!$G$26)+SUMIFS('Vols additionnels'!$E$7:$E$66,'Vols additionnels'!$C$7:$C$66,$E18,'Vols additionnels'!$D$7:$D$66,$F18,'Vols additionnels'!$B$7:$B$66,$D18)</f>
        <v>0</v>
      </c>
      <c r="H18" s="135" t="n">
        <f aca="false">$G18*'Analyse capacite'!$F$8</f>
        <v>0</v>
      </c>
      <c r="I18" s="135" t="n">
        <f aca="false">$G18*'Analyse capacite'!$C$8</f>
        <v>0</v>
      </c>
      <c r="J18" s="135" t="n">
        <f aca="false">$G18*'Analyse capacite'!$D$8</f>
        <v>0</v>
      </c>
      <c r="K18" s="135" t="n">
        <f aca="false">$G18*'Analyse capacite'!$E$8</f>
        <v>0</v>
      </c>
    </row>
    <row r="19" customFormat="false" ht="15" hidden="false" customHeight="false" outlineLevel="0" collapsed="false">
      <c r="B19" s="130" t="n">
        <v>2027</v>
      </c>
      <c r="C19" s="131" t="s">
        <v>246</v>
      </c>
      <c r="D19" s="132" t="n">
        <v>46478</v>
      </c>
      <c r="E19" s="131" t="s">
        <v>40</v>
      </c>
      <c r="F19" s="133" t="s">
        <v>24</v>
      </c>
      <c r="G19" s="134" t="n">
        <f aca="false">LEN('Saisie programme'!$G$27)+SUMIFS('Vols additionnels'!$E$7:$E$66,'Vols additionnels'!$C$7:$C$66,$E19,'Vols additionnels'!$D$7:$D$66,$F19,'Vols additionnels'!$B$7:$B$66,$D19)</f>
        <v>0</v>
      </c>
      <c r="H19" s="135" t="n">
        <f aca="false">$G19*'Analyse capacite'!$F$9</f>
        <v>0</v>
      </c>
      <c r="I19" s="135" t="n">
        <f aca="false">$G19*'Analyse capacite'!$C$9</f>
        <v>0</v>
      </c>
      <c r="J19" s="135" t="n">
        <f aca="false">$G19*'Analyse capacite'!$D$9</f>
        <v>0</v>
      </c>
      <c r="K19" s="135" t="n">
        <f aca="false">$G19*'Analyse capacite'!$E$9</f>
        <v>0</v>
      </c>
    </row>
    <row r="20" customFormat="false" ht="15" hidden="false" customHeight="false" outlineLevel="0" collapsed="false">
      <c r="B20" s="130" t="n">
        <v>2027</v>
      </c>
      <c r="C20" s="131" t="s">
        <v>246</v>
      </c>
      <c r="D20" s="132" t="n">
        <v>46478</v>
      </c>
      <c r="E20" s="131" t="s">
        <v>14</v>
      </c>
      <c r="F20" s="133" t="s">
        <v>11</v>
      </c>
      <c r="G20" s="134" t="n">
        <f aca="false">LEN('Saisie programme'!$G$28)+SUMIFS('Vols additionnels'!$E$7:$E$66,'Vols additionnels'!$C$7:$C$66,$E20,'Vols additionnels'!$D$7:$D$66,$F20,'Vols additionnels'!$B$7:$B$66,$D20)</f>
        <v>0</v>
      </c>
      <c r="H20" s="135" t="n">
        <f aca="false">$G20*'Analyse capacite'!$F$7</f>
        <v>0</v>
      </c>
      <c r="I20" s="135" t="n">
        <f aca="false">$G20*'Analyse capacite'!$C$7</f>
        <v>0</v>
      </c>
      <c r="J20" s="135" t="n">
        <f aca="false">$G20*'Analyse capacite'!$D$7</f>
        <v>0</v>
      </c>
      <c r="K20" s="135" t="n">
        <f aca="false">$G20*'Analyse capacite'!$E$7</f>
        <v>0</v>
      </c>
    </row>
    <row r="21" customFormat="false" ht="15" hidden="false" customHeight="false" outlineLevel="0" collapsed="false">
      <c r="B21" s="130" t="n">
        <v>2027</v>
      </c>
      <c r="C21" s="131" t="s">
        <v>246</v>
      </c>
      <c r="D21" s="132" t="n">
        <v>46478</v>
      </c>
      <c r="E21" s="131" t="s">
        <v>14</v>
      </c>
      <c r="F21" s="133" t="s">
        <v>19</v>
      </c>
      <c r="G21" s="134" t="n">
        <f aca="false">LEN('Saisie programme'!$G$29)+SUMIFS('Vols additionnels'!$E$7:$E$66,'Vols additionnels'!$C$7:$C$66,$E21,'Vols additionnels'!$D$7:$D$66,$F21,'Vols additionnels'!$B$7:$B$66,$D21)</f>
        <v>0</v>
      </c>
      <c r="H21" s="135" t="n">
        <f aca="false">$G21*'Analyse capacite'!$F$8</f>
        <v>0</v>
      </c>
      <c r="I21" s="135" t="n">
        <f aca="false">$G21*'Analyse capacite'!$C$8</f>
        <v>0</v>
      </c>
      <c r="J21" s="135" t="n">
        <f aca="false">$G21*'Analyse capacite'!$D$8</f>
        <v>0</v>
      </c>
      <c r="K21" s="135" t="n">
        <f aca="false">$G21*'Analyse capacite'!$E$8</f>
        <v>0</v>
      </c>
    </row>
    <row r="22" customFormat="false" ht="15" hidden="false" customHeight="false" outlineLevel="0" collapsed="false">
      <c r="B22" s="130" t="n">
        <v>2027</v>
      </c>
      <c r="C22" s="131" t="s">
        <v>246</v>
      </c>
      <c r="D22" s="132" t="n">
        <v>46478</v>
      </c>
      <c r="E22" s="131" t="s">
        <v>14</v>
      </c>
      <c r="F22" s="133" t="s">
        <v>24</v>
      </c>
      <c r="G22" s="134" t="n">
        <f aca="false">LEN('Saisie programme'!$G$30)+SUMIFS('Vols additionnels'!$E$7:$E$66,'Vols additionnels'!$C$7:$C$66,$E22,'Vols additionnels'!$D$7:$D$66,$F22,'Vols additionnels'!$B$7:$B$66,$D22)</f>
        <v>1</v>
      </c>
      <c r="H22" s="135" t="n">
        <f aca="false">$G22*'Analyse capacite'!$F$9</f>
        <v>174</v>
      </c>
      <c r="I22" s="135" t="n">
        <f aca="false">$G22*'Analyse capacite'!$C$9</f>
        <v>0</v>
      </c>
      <c r="J22" s="135" t="n">
        <f aca="false">$G22*'Analyse capacite'!$D$9</f>
        <v>12</v>
      </c>
      <c r="K22" s="135" t="n">
        <f aca="false">$G22*'Analyse capacite'!$E$9</f>
        <v>162</v>
      </c>
    </row>
    <row r="23" customFormat="false" ht="15" hidden="false" customHeight="false" outlineLevel="0" collapsed="false">
      <c r="B23" s="130" t="n">
        <v>2027</v>
      </c>
      <c r="C23" s="131" t="s">
        <v>246</v>
      </c>
      <c r="D23" s="132" t="n">
        <v>46478</v>
      </c>
      <c r="E23" s="131" t="s">
        <v>46</v>
      </c>
      <c r="F23" s="133" t="s">
        <v>11</v>
      </c>
      <c r="G23" s="134" t="n">
        <f aca="false">LEN('Saisie programme'!$G$31)+SUMIFS('Vols additionnels'!$E$7:$E$66,'Vols additionnels'!$C$7:$C$66,$E23,'Vols additionnels'!$D$7:$D$66,$F23,'Vols additionnels'!$B$7:$B$66,$D23)</f>
        <v>0</v>
      </c>
      <c r="H23" s="135" t="n">
        <f aca="false">$G23*'Analyse capacite'!$F$7</f>
        <v>0</v>
      </c>
      <c r="I23" s="135" t="n">
        <f aca="false">$G23*'Analyse capacite'!$C$7</f>
        <v>0</v>
      </c>
      <c r="J23" s="135" t="n">
        <f aca="false">$G23*'Analyse capacite'!$D$7</f>
        <v>0</v>
      </c>
      <c r="K23" s="135" t="n">
        <f aca="false">$G23*'Analyse capacite'!$E$7</f>
        <v>0</v>
      </c>
    </row>
    <row r="24" customFormat="false" ht="15" hidden="false" customHeight="false" outlineLevel="0" collapsed="false">
      <c r="B24" s="130" t="n">
        <v>2027</v>
      </c>
      <c r="C24" s="131" t="s">
        <v>246</v>
      </c>
      <c r="D24" s="132" t="n">
        <v>46478</v>
      </c>
      <c r="E24" s="131" t="s">
        <v>46</v>
      </c>
      <c r="F24" s="133" t="s">
        <v>19</v>
      </c>
      <c r="G24" s="134" t="n">
        <f aca="false">LEN('Saisie programme'!$G$32)+SUMIFS('Vols additionnels'!$E$7:$E$66,'Vols additionnels'!$C$7:$C$66,$E24,'Vols additionnels'!$D$7:$D$66,$F24,'Vols additionnels'!$B$7:$B$66,$D24)</f>
        <v>0</v>
      </c>
      <c r="H24" s="135" t="n">
        <f aca="false">$G24*'Analyse capacite'!$F$8</f>
        <v>0</v>
      </c>
      <c r="I24" s="135" t="n">
        <f aca="false">$G24*'Analyse capacite'!$C$8</f>
        <v>0</v>
      </c>
      <c r="J24" s="135" t="n">
        <f aca="false">$G24*'Analyse capacite'!$D$8</f>
        <v>0</v>
      </c>
      <c r="K24" s="135" t="n">
        <f aca="false">$G24*'Analyse capacite'!$E$8</f>
        <v>0</v>
      </c>
    </row>
    <row r="25" customFormat="false" ht="15" hidden="false" customHeight="false" outlineLevel="0" collapsed="false">
      <c r="B25" s="130" t="n">
        <v>2027</v>
      </c>
      <c r="C25" s="131" t="s">
        <v>246</v>
      </c>
      <c r="D25" s="132" t="n">
        <v>46478</v>
      </c>
      <c r="E25" s="131" t="s">
        <v>46</v>
      </c>
      <c r="F25" s="133" t="s">
        <v>24</v>
      </c>
      <c r="G25" s="134" t="n">
        <f aca="false">LEN('Saisie programme'!$G$33)+SUMIFS('Vols additionnels'!$E$7:$E$66,'Vols additionnels'!$C$7:$C$66,$E25,'Vols additionnels'!$D$7:$D$66,$F25,'Vols additionnels'!$B$7:$B$66,$D25)</f>
        <v>1</v>
      </c>
      <c r="H25" s="135" t="n">
        <f aca="false">$G25*'Analyse capacite'!$F$9</f>
        <v>174</v>
      </c>
      <c r="I25" s="135" t="n">
        <f aca="false">$G25*'Analyse capacite'!$C$9</f>
        <v>0</v>
      </c>
      <c r="J25" s="135" t="n">
        <f aca="false">$G25*'Analyse capacite'!$D$9</f>
        <v>12</v>
      </c>
      <c r="K25" s="135" t="n">
        <f aca="false">$G25*'Analyse capacite'!$E$9</f>
        <v>162</v>
      </c>
    </row>
    <row r="26" customFormat="false" ht="15" hidden="false" customHeight="false" outlineLevel="0" collapsed="false">
      <c r="B26" s="130" t="n">
        <v>2027</v>
      </c>
      <c r="C26" s="131" t="s">
        <v>246</v>
      </c>
      <c r="D26" s="132" t="n">
        <v>46478</v>
      </c>
      <c r="E26" s="131" t="s">
        <v>49</v>
      </c>
      <c r="F26" s="133" t="s">
        <v>11</v>
      </c>
      <c r="G26" s="134" t="n">
        <f aca="false">LEN('Saisie programme'!$G$34)+SUMIFS('Vols additionnels'!$E$7:$E$66,'Vols additionnels'!$C$7:$C$66,$E26,'Vols additionnels'!$D$7:$D$66,$F26,'Vols additionnels'!$B$7:$B$66,$D26)</f>
        <v>0</v>
      </c>
      <c r="H26" s="135" t="n">
        <f aca="false">$G26*'Analyse capacite'!$F$7</f>
        <v>0</v>
      </c>
      <c r="I26" s="135" t="n">
        <f aca="false">$G26*'Analyse capacite'!$C$7</f>
        <v>0</v>
      </c>
      <c r="J26" s="135" t="n">
        <f aca="false">$G26*'Analyse capacite'!$D$7</f>
        <v>0</v>
      </c>
      <c r="K26" s="135" t="n">
        <f aca="false">$G26*'Analyse capacite'!$E$7</f>
        <v>0</v>
      </c>
    </row>
    <row r="27" customFormat="false" ht="15" hidden="false" customHeight="false" outlineLevel="0" collapsed="false">
      <c r="B27" s="130" t="n">
        <v>2027</v>
      </c>
      <c r="C27" s="131" t="s">
        <v>246</v>
      </c>
      <c r="D27" s="132" t="n">
        <v>46478</v>
      </c>
      <c r="E27" s="131" t="s">
        <v>49</v>
      </c>
      <c r="F27" s="133" t="s">
        <v>19</v>
      </c>
      <c r="G27" s="134" t="n">
        <f aca="false">LEN('Saisie programme'!$G$35)+SUMIFS('Vols additionnels'!$E$7:$E$66,'Vols additionnels'!$C$7:$C$66,$E27,'Vols additionnels'!$D$7:$D$66,$F27,'Vols additionnels'!$B$7:$B$66,$D27)</f>
        <v>0</v>
      </c>
      <c r="H27" s="135" t="n">
        <f aca="false">$G27*'Analyse capacite'!$F$8</f>
        <v>0</v>
      </c>
      <c r="I27" s="135" t="n">
        <f aca="false">$G27*'Analyse capacite'!$C$8</f>
        <v>0</v>
      </c>
      <c r="J27" s="135" t="n">
        <f aca="false">$G27*'Analyse capacite'!$D$8</f>
        <v>0</v>
      </c>
      <c r="K27" s="135" t="n">
        <f aca="false">$G27*'Analyse capacite'!$E$8</f>
        <v>0</v>
      </c>
    </row>
    <row r="28" customFormat="false" ht="15" hidden="false" customHeight="false" outlineLevel="0" collapsed="false">
      <c r="B28" s="130" t="n">
        <v>2027</v>
      </c>
      <c r="C28" s="131" t="s">
        <v>246</v>
      </c>
      <c r="D28" s="132" t="n">
        <v>46478</v>
      </c>
      <c r="E28" s="131" t="s">
        <v>49</v>
      </c>
      <c r="F28" s="133" t="s">
        <v>24</v>
      </c>
      <c r="G28" s="134" t="n">
        <f aca="false">LEN('Saisie programme'!$G$36)+SUMIFS('Vols additionnels'!$E$7:$E$66,'Vols additionnels'!$C$7:$C$66,$E28,'Vols additionnels'!$D$7:$D$66,$F28,'Vols additionnels'!$B$7:$B$66,$D28)</f>
        <v>0</v>
      </c>
      <c r="H28" s="135" t="n">
        <f aca="false">$G28*'Analyse capacite'!$F$9</f>
        <v>0</v>
      </c>
      <c r="I28" s="135" t="n">
        <f aca="false">$G28*'Analyse capacite'!$C$9</f>
        <v>0</v>
      </c>
      <c r="J28" s="135" t="n">
        <f aca="false">$G28*'Analyse capacite'!$D$9</f>
        <v>0</v>
      </c>
      <c r="K28" s="135" t="n">
        <f aca="false">$G28*'Analyse capacite'!$E$9</f>
        <v>0</v>
      </c>
    </row>
    <row r="29" customFormat="false" ht="15" hidden="false" customHeight="false" outlineLevel="0" collapsed="false">
      <c r="B29" s="130" t="n">
        <v>2027</v>
      </c>
      <c r="C29" s="131" t="s">
        <v>246</v>
      </c>
      <c r="D29" s="132" t="n">
        <v>46478</v>
      </c>
      <c r="E29" s="131" t="s">
        <v>53</v>
      </c>
      <c r="F29" s="133" t="s">
        <v>11</v>
      </c>
      <c r="G29" s="134" t="n">
        <f aca="false">LEN('Saisie programme'!$G$37)+SUMIFS('Vols additionnels'!$E$7:$E$66,'Vols additionnels'!$C$7:$C$66,$E29,'Vols additionnels'!$D$7:$D$66,$F29,'Vols additionnels'!$B$7:$B$66,$D29)</f>
        <v>0</v>
      </c>
      <c r="H29" s="135" t="n">
        <f aca="false">$G29*'Analyse capacite'!$F$7</f>
        <v>0</v>
      </c>
      <c r="I29" s="135" t="n">
        <f aca="false">$G29*'Analyse capacite'!$C$7</f>
        <v>0</v>
      </c>
      <c r="J29" s="135" t="n">
        <f aca="false">$G29*'Analyse capacite'!$D$7</f>
        <v>0</v>
      </c>
      <c r="K29" s="135" t="n">
        <f aca="false">$G29*'Analyse capacite'!$E$7</f>
        <v>0</v>
      </c>
    </row>
    <row r="30" customFormat="false" ht="15" hidden="false" customHeight="false" outlineLevel="0" collapsed="false">
      <c r="B30" s="130" t="n">
        <v>2027</v>
      </c>
      <c r="C30" s="131" t="s">
        <v>246</v>
      </c>
      <c r="D30" s="132" t="n">
        <v>46478</v>
      </c>
      <c r="E30" s="131" t="s">
        <v>53</v>
      </c>
      <c r="F30" s="133" t="s">
        <v>19</v>
      </c>
      <c r="G30" s="134" t="n">
        <f aca="false">LEN('Saisie programme'!$G$38)+SUMIFS('Vols additionnels'!$E$7:$E$66,'Vols additionnels'!$C$7:$C$66,$E30,'Vols additionnels'!$D$7:$D$66,$F30,'Vols additionnels'!$B$7:$B$66,$D30)</f>
        <v>1</v>
      </c>
      <c r="H30" s="135" t="n">
        <f aca="false">$G30*'Analyse capacite'!$F$8</f>
        <v>262</v>
      </c>
      <c r="I30" s="135" t="n">
        <f aca="false">$G30*'Analyse capacite'!$C$8</f>
        <v>18</v>
      </c>
      <c r="J30" s="135" t="n">
        <f aca="false">$G30*'Analyse capacite'!$D$8</f>
        <v>0</v>
      </c>
      <c r="K30" s="135" t="n">
        <f aca="false">$G30*'Analyse capacite'!$E$8</f>
        <v>244</v>
      </c>
    </row>
    <row r="31" customFormat="false" ht="15" hidden="false" customHeight="false" outlineLevel="0" collapsed="false">
      <c r="B31" s="130" t="n">
        <v>2027</v>
      </c>
      <c r="C31" s="131" t="s">
        <v>246</v>
      </c>
      <c r="D31" s="132" t="n">
        <v>46478</v>
      </c>
      <c r="E31" s="131" t="s">
        <v>53</v>
      </c>
      <c r="F31" s="133" t="s">
        <v>24</v>
      </c>
      <c r="G31" s="134" t="n">
        <f aca="false">LEN('Saisie programme'!$G$39)+SUMIFS('Vols additionnels'!$E$7:$E$66,'Vols additionnels'!$C$7:$C$66,$E31,'Vols additionnels'!$D$7:$D$66,$F31,'Vols additionnels'!$B$7:$B$66,$D31)</f>
        <v>0</v>
      </c>
      <c r="H31" s="135" t="n">
        <f aca="false">$G31*'Analyse capacite'!$F$9</f>
        <v>0</v>
      </c>
      <c r="I31" s="135" t="n">
        <f aca="false">$G31*'Analyse capacite'!$C$9</f>
        <v>0</v>
      </c>
      <c r="J31" s="135" t="n">
        <f aca="false">$G31*'Analyse capacite'!$D$9</f>
        <v>0</v>
      </c>
      <c r="K31" s="135" t="n">
        <f aca="false">$G31*'Analyse capacite'!$E$9</f>
        <v>0</v>
      </c>
    </row>
    <row r="32" customFormat="false" ht="15" hidden="false" customHeight="false" outlineLevel="0" collapsed="false">
      <c r="B32" s="130" t="n">
        <v>2027</v>
      </c>
      <c r="C32" s="131" t="s">
        <v>246</v>
      </c>
      <c r="D32" s="132" t="n">
        <v>46478</v>
      </c>
      <c r="E32" s="131" t="s">
        <v>56</v>
      </c>
      <c r="F32" s="133" t="s">
        <v>11</v>
      </c>
      <c r="G32" s="134" t="n">
        <f aca="false">LEN('Saisie programme'!$G$40)+SUMIFS('Vols additionnels'!$E$7:$E$66,'Vols additionnels'!$C$7:$C$66,$E32,'Vols additionnels'!$D$7:$D$66,$F32,'Vols additionnels'!$B$7:$B$66,$D32)</f>
        <v>0</v>
      </c>
      <c r="H32" s="135" t="n">
        <f aca="false">$G32*'Analyse capacite'!$F$7</f>
        <v>0</v>
      </c>
      <c r="I32" s="135" t="n">
        <f aca="false">$G32*'Analyse capacite'!$C$7</f>
        <v>0</v>
      </c>
      <c r="J32" s="135" t="n">
        <f aca="false">$G32*'Analyse capacite'!$D$7</f>
        <v>0</v>
      </c>
      <c r="K32" s="135" t="n">
        <f aca="false">$G32*'Analyse capacite'!$E$7</f>
        <v>0</v>
      </c>
    </row>
    <row r="33" customFormat="false" ht="15" hidden="false" customHeight="false" outlineLevel="0" collapsed="false">
      <c r="B33" s="130" t="n">
        <v>2027</v>
      </c>
      <c r="C33" s="131" t="s">
        <v>246</v>
      </c>
      <c r="D33" s="132" t="n">
        <v>46478</v>
      </c>
      <c r="E33" s="131" t="s">
        <v>56</v>
      </c>
      <c r="F33" s="133" t="s">
        <v>19</v>
      </c>
      <c r="G33" s="134" t="n">
        <f aca="false">LEN('Saisie programme'!$G$41)+SUMIFS('Vols additionnels'!$E$7:$E$66,'Vols additionnels'!$C$7:$C$66,$E33,'Vols additionnels'!$D$7:$D$66,$F33,'Vols additionnels'!$B$7:$B$66,$D33)</f>
        <v>0</v>
      </c>
      <c r="H33" s="135" t="n">
        <f aca="false">$G33*'Analyse capacite'!$F$8</f>
        <v>0</v>
      </c>
      <c r="I33" s="135" t="n">
        <f aca="false">$G33*'Analyse capacite'!$C$8</f>
        <v>0</v>
      </c>
      <c r="J33" s="135" t="n">
        <f aca="false">$G33*'Analyse capacite'!$D$8</f>
        <v>0</v>
      </c>
      <c r="K33" s="135" t="n">
        <f aca="false">$G33*'Analyse capacite'!$E$8</f>
        <v>0</v>
      </c>
    </row>
    <row r="34" customFormat="false" ht="15" hidden="false" customHeight="false" outlineLevel="0" collapsed="false">
      <c r="B34" s="130" t="n">
        <v>2027</v>
      </c>
      <c r="C34" s="131" t="s">
        <v>246</v>
      </c>
      <c r="D34" s="132" t="n">
        <v>46478</v>
      </c>
      <c r="E34" s="131" t="s">
        <v>56</v>
      </c>
      <c r="F34" s="133" t="s">
        <v>24</v>
      </c>
      <c r="G34" s="134" t="n">
        <f aca="false">LEN('Saisie programme'!$G$42)+SUMIFS('Vols additionnels'!$E$7:$E$66,'Vols additionnels'!$C$7:$C$66,$E34,'Vols additionnels'!$D$7:$D$66,$F34,'Vols additionnels'!$B$7:$B$66,$D34)</f>
        <v>0</v>
      </c>
      <c r="H34" s="135" t="n">
        <f aca="false">$G34*'Analyse capacite'!$F$9</f>
        <v>0</v>
      </c>
      <c r="I34" s="135" t="n">
        <f aca="false">$G34*'Analyse capacite'!$C$9</f>
        <v>0</v>
      </c>
      <c r="J34" s="135" t="n">
        <f aca="false">$G34*'Analyse capacite'!$D$9</f>
        <v>0</v>
      </c>
      <c r="K34" s="135" t="n">
        <f aca="false">$G34*'Analyse capacite'!$E$9</f>
        <v>0</v>
      </c>
    </row>
    <row r="35" customFormat="false" ht="15" hidden="false" customHeight="false" outlineLevel="0" collapsed="false">
      <c r="B35" s="130" t="n">
        <v>2027</v>
      </c>
      <c r="C35" s="131" t="s">
        <v>246</v>
      </c>
      <c r="D35" s="132" t="n">
        <v>46478</v>
      </c>
      <c r="E35" s="131" t="s">
        <v>59</v>
      </c>
      <c r="F35" s="133" t="s">
        <v>11</v>
      </c>
      <c r="G35" s="134" t="n">
        <f aca="false">LEN('Saisie programme'!$G$43)+SUMIFS('Vols additionnels'!$E$7:$E$66,'Vols additionnels'!$C$7:$C$66,$E35,'Vols additionnels'!$D$7:$D$66,$F35,'Vols additionnels'!$B$7:$B$66,$D35)</f>
        <v>0</v>
      </c>
      <c r="H35" s="135" t="n">
        <f aca="false">$G35*'Analyse capacite'!$F$7</f>
        <v>0</v>
      </c>
      <c r="I35" s="135" t="n">
        <f aca="false">$G35*'Analyse capacite'!$C$7</f>
        <v>0</v>
      </c>
      <c r="J35" s="135" t="n">
        <f aca="false">$G35*'Analyse capacite'!$D$7</f>
        <v>0</v>
      </c>
      <c r="K35" s="135" t="n">
        <f aca="false">$G35*'Analyse capacite'!$E$7</f>
        <v>0</v>
      </c>
    </row>
    <row r="36" customFormat="false" ht="15" hidden="false" customHeight="false" outlineLevel="0" collapsed="false">
      <c r="B36" s="130" t="n">
        <v>2027</v>
      </c>
      <c r="C36" s="131" t="s">
        <v>246</v>
      </c>
      <c r="D36" s="132" t="n">
        <v>46478</v>
      </c>
      <c r="E36" s="131" t="s">
        <v>59</v>
      </c>
      <c r="F36" s="133" t="s">
        <v>19</v>
      </c>
      <c r="G36" s="134" t="n">
        <f aca="false">LEN('Saisie programme'!$G$44)+SUMIFS('Vols additionnels'!$E$7:$E$66,'Vols additionnels'!$C$7:$C$66,$E36,'Vols additionnels'!$D$7:$D$66,$F36,'Vols additionnels'!$B$7:$B$66,$D36)</f>
        <v>0</v>
      </c>
      <c r="H36" s="135" t="n">
        <f aca="false">$G36*'Analyse capacite'!$F$8</f>
        <v>0</v>
      </c>
      <c r="I36" s="135" t="n">
        <f aca="false">$G36*'Analyse capacite'!$C$8</f>
        <v>0</v>
      </c>
      <c r="J36" s="135" t="n">
        <f aca="false">$G36*'Analyse capacite'!$D$8</f>
        <v>0</v>
      </c>
      <c r="K36" s="135" t="n">
        <f aca="false">$G36*'Analyse capacite'!$E$8</f>
        <v>0</v>
      </c>
    </row>
    <row r="37" customFormat="false" ht="15" hidden="false" customHeight="false" outlineLevel="0" collapsed="false">
      <c r="B37" s="130" t="n">
        <v>2027</v>
      </c>
      <c r="C37" s="131" t="s">
        <v>246</v>
      </c>
      <c r="D37" s="132" t="n">
        <v>46478</v>
      </c>
      <c r="E37" s="131" t="s">
        <v>59</v>
      </c>
      <c r="F37" s="133" t="s">
        <v>24</v>
      </c>
      <c r="G37" s="134" t="n">
        <f aca="false">LEN('Saisie programme'!$G$45)+SUMIFS('Vols additionnels'!$E$7:$E$66,'Vols additionnels'!$C$7:$C$66,$E37,'Vols additionnels'!$D$7:$D$66,$F37,'Vols additionnels'!$B$7:$B$66,$D37)</f>
        <v>2</v>
      </c>
      <c r="H37" s="135" t="n">
        <f aca="false">$G37*'Analyse capacite'!$F$9</f>
        <v>348</v>
      </c>
      <c r="I37" s="135" t="n">
        <f aca="false">$G37*'Analyse capacite'!$C$9</f>
        <v>0</v>
      </c>
      <c r="J37" s="135" t="n">
        <f aca="false">$G37*'Analyse capacite'!$D$9</f>
        <v>24</v>
      </c>
      <c r="K37" s="135" t="n">
        <f aca="false">$G37*'Analyse capacite'!$E$9</f>
        <v>324</v>
      </c>
    </row>
    <row r="38" customFormat="false" ht="15" hidden="false" customHeight="false" outlineLevel="0" collapsed="false">
      <c r="B38" s="130" t="n">
        <v>2027</v>
      </c>
      <c r="C38" s="131" t="s">
        <v>246</v>
      </c>
      <c r="D38" s="132" t="n">
        <v>46478</v>
      </c>
      <c r="E38" s="131" t="s">
        <v>62</v>
      </c>
      <c r="F38" s="133" t="s">
        <v>11</v>
      </c>
      <c r="G38" s="134" t="n">
        <f aca="false">LEN('Saisie programme'!$G$46)+SUMIFS('Vols additionnels'!$E$7:$E$66,'Vols additionnels'!$C$7:$C$66,$E38,'Vols additionnels'!$D$7:$D$66,$F38,'Vols additionnels'!$B$7:$B$66,$D38)</f>
        <v>0</v>
      </c>
      <c r="H38" s="135" t="n">
        <f aca="false">$G38*'Analyse capacite'!$F$7</f>
        <v>0</v>
      </c>
      <c r="I38" s="135" t="n">
        <f aca="false">$G38*'Analyse capacite'!$C$7</f>
        <v>0</v>
      </c>
      <c r="J38" s="135" t="n">
        <f aca="false">$G38*'Analyse capacite'!$D$7</f>
        <v>0</v>
      </c>
      <c r="K38" s="135" t="n">
        <f aca="false">$G38*'Analyse capacite'!$E$7</f>
        <v>0</v>
      </c>
    </row>
    <row r="39" customFormat="false" ht="15" hidden="false" customHeight="false" outlineLevel="0" collapsed="false">
      <c r="B39" s="130" t="n">
        <v>2027</v>
      </c>
      <c r="C39" s="131" t="s">
        <v>246</v>
      </c>
      <c r="D39" s="132" t="n">
        <v>46478</v>
      </c>
      <c r="E39" s="131" t="s">
        <v>62</v>
      </c>
      <c r="F39" s="133" t="s">
        <v>19</v>
      </c>
      <c r="G39" s="134" t="n">
        <f aca="false">LEN('Saisie programme'!$G$47)+SUMIFS('Vols additionnels'!$E$7:$E$66,'Vols additionnels'!$C$7:$C$66,$E39,'Vols additionnels'!$D$7:$D$66,$F39,'Vols additionnels'!$B$7:$B$66,$D39)</f>
        <v>0</v>
      </c>
      <c r="H39" s="135" t="n">
        <f aca="false">$G39*'Analyse capacite'!$F$8</f>
        <v>0</v>
      </c>
      <c r="I39" s="135" t="n">
        <f aca="false">$G39*'Analyse capacite'!$C$8</f>
        <v>0</v>
      </c>
      <c r="J39" s="135" t="n">
        <f aca="false">$G39*'Analyse capacite'!$D$8</f>
        <v>0</v>
      </c>
      <c r="K39" s="135" t="n">
        <f aca="false">$G39*'Analyse capacite'!$E$8</f>
        <v>0</v>
      </c>
    </row>
    <row r="40" customFormat="false" ht="15" hidden="false" customHeight="false" outlineLevel="0" collapsed="false">
      <c r="B40" s="130" t="n">
        <v>2027</v>
      </c>
      <c r="C40" s="131" t="s">
        <v>246</v>
      </c>
      <c r="D40" s="132" t="n">
        <v>46478</v>
      </c>
      <c r="E40" s="131" t="s">
        <v>62</v>
      </c>
      <c r="F40" s="133" t="s">
        <v>24</v>
      </c>
      <c r="G40" s="134" t="n">
        <f aca="false">LEN('Saisie programme'!$G$48)+SUMIFS('Vols additionnels'!$E$7:$E$66,'Vols additionnels'!$C$7:$C$66,$E40,'Vols additionnels'!$D$7:$D$66,$F40,'Vols additionnels'!$B$7:$B$66,$D40)</f>
        <v>0</v>
      </c>
      <c r="H40" s="135" t="n">
        <f aca="false">$G40*'Analyse capacite'!$F$9</f>
        <v>0</v>
      </c>
      <c r="I40" s="135" t="n">
        <f aca="false">$G40*'Analyse capacite'!$C$9</f>
        <v>0</v>
      </c>
      <c r="J40" s="135" t="n">
        <f aca="false">$G40*'Analyse capacite'!$D$9</f>
        <v>0</v>
      </c>
      <c r="K40" s="135" t="n">
        <f aca="false">$G40*'Analyse capacite'!$E$9</f>
        <v>0</v>
      </c>
    </row>
    <row r="41" customFormat="false" ht="15" hidden="false" customHeight="false" outlineLevel="0" collapsed="false">
      <c r="B41" s="130" t="n">
        <v>2027</v>
      </c>
      <c r="C41" s="131" t="s">
        <v>246</v>
      </c>
      <c r="D41" s="132" t="n">
        <v>46479</v>
      </c>
      <c r="E41" s="131" t="s">
        <v>12</v>
      </c>
      <c r="F41" s="133" t="s">
        <v>11</v>
      </c>
      <c r="G41" s="134" t="n">
        <f aca="false">LEN('Saisie programme'!$H$13)+SUMIFS('Vols additionnels'!$E$7:$E$66,'Vols additionnels'!$C$7:$C$66,$E41,'Vols additionnels'!$D$7:$D$66,$F41,'Vols additionnels'!$B$7:$B$66,$D41)</f>
        <v>1</v>
      </c>
      <c r="H41" s="135" t="n">
        <f aca="false">$G41*'Analyse capacite'!$F$7</f>
        <v>438</v>
      </c>
      <c r="I41" s="135" t="n">
        <f aca="false">$G41*'Analyse capacite'!$C$7</f>
        <v>14</v>
      </c>
      <c r="J41" s="135" t="n">
        <f aca="false">$G41*'Analyse capacite'!$D$7</f>
        <v>40</v>
      </c>
      <c r="K41" s="135" t="n">
        <f aca="false">$G41*'Analyse capacite'!$E$7</f>
        <v>384</v>
      </c>
    </row>
    <row r="42" customFormat="false" ht="15" hidden="false" customHeight="false" outlineLevel="0" collapsed="false">
      <c r="B42" s="130" t="n">
        <v>2027</v>
      </c>
      <c r="C42" s="131" t="s">
        <v>246</v>
      </c>
      <c r="D42" s="132" t="n">
        <v>46479</v>
      </c>
      <c r="E42" s="131" t="s">
        <v>12</v>
      </c>
      <c r="F42" s="133" t="s">
        <v>19</v>
      </c>
      <c r="G42" s="134" t="n">
        <f aca="false">LEN('Saisie programme'!$H$14)+SUMIFS('Vols additionnels'!$E$7:$E$66,'Vols additionnels'!$C$7:$C$66,$E42,'Vols additionnels'!$D$7:$D$66,$F42,'Vols additionnels'!$B$7:$B$66,$D42)</f>
        <v>1</v>
      </c>
      <c r="H42" s="135" t="n">
        <f aca="false">$G42*'Analyse capacite'!$F$8</f>
        <v>262</v>
      </c>
      <c r="I42" s="135" t="n">
        <f aca="false">$G42*'Analyse capacite'!$C$8</f>
        <v>18</v>
      </c>
      <c r="J42" s="135" t="n">
        <f aca="false">$G42*'Analyse capacite'!$D$8</f>
        <v>0</v>
      </c>
      <c r="K42" s="135" t="n">
        <f aca="false">$G42*'Analyse capacite'!$E$8</f>
        <v>244</v>
      </c>
    </row>
    <row r="43" customFormat="false" ht="15" hidden="false" customHeight="false" outlineLevel="0" collapsed="false">
      <c r="B43" s="130" t="n">
        <v>2027</v>
      </c>
      <c r="C43" s="131" t="s">
        <v>246</v>
      </c>
      <c r="D43" s="132" t="n">
        <v>46479</v>
      </c>
      <c r="E43" s="131" t="s">
        <v>12</v>
      </c>
      <c r="F43" s="133" t="s">
        <v>24</v>
      </c>
      <c r="G43" s="134" t="n">
        <f aca="false">LEN('Saisie programme'!$H$15)+SUMIFS('Vols additionnels'!$E$7:$E$66,'Vols additionnels'!$C$7:$C$66,$E43,'Vols additionnels'!$D$7:$D$66,$F43,'Vols additionnels'!$B$7:$B$66,$D43)</f>
        <v>0</v>
      </c>
      <c r="H43" s="135" t="n">
        <f aca="false">$G43*'Analyse capacite'!$F$9</f>
        <v>0</v>
      </c>
      <c r="I43" s="135" t="n">
        <f aca="false">$G43*'Analyse capacite'!$C$9</f>
        <v>0</v>
      </c>
      <c r="J43" s="135" t="n">
        <f aca="false">$G43*'Analyse capacite'!$D$9</f>
        <v>0</v>
      </c>
      <c r="K43" s="135" t="n">
        <f aca="false">$G43*'Analyse capacite'!$E$9</f>
        <v>0</v>
      </c>
    </row>
    <row r="44" customFormat="false" ht="15" hidden="false" customHeight="false" outlineLevel="0" collapsed="false">
      <c r="B44" s="130" t="n">
        <v>2027</v>
      </c>
      <c r="C44" s="131" t="s">
        <v>246</v>
      </c>
      <c r="D44" s="132" t="n">
        <v>46479</v>
      </c>
      <c r="E44" s="131" t="s">
        <v>20</v>
      </c>
      <c r="F44" s="133" t="s">
        <v>11</v>
      </c>
      <c r="G44" s="134" t="n">
        <f aca="false">LEN('Saisie programme'!$H$16)+SUMIFS('Vols additionnels'!$E$7:$E$66,'Vols additionnels'!$C$7:$C$66,$E44,'Vols additionnels'!$D$7:$D$66,$F44,'Vols additionnels'!$B$7:$B$66,$D44)</f>
        <v>0</v>
      </c>
      <c r="H44" s="135" t="n">
        <f aca="false">$G44*'Analyse capacite'!$F$7</f>
        <v>0</v>
      </c>
      <c r="I44" s="135" t="n">
        <f aca="false">$G44*'Analyse capacite'!$C$7</f>
        <v>0</v>
      </c>
      <c r="J44" s="135" t="n">
        <f aca="false">$G44*'Analyse capacite'!$D$7</f>
        <v>0</v>
      </c>
      <c r="K44" s="135" t="n">
        <f aca="false">$G44*'Analyse capacite'!$E$7</f>
        <v>0</v>
      </c>
    </row>
    <row r="45" customFormat="false" ht="15" hidden="false" customHeight="false" outlineLevel="0" collapsed="false">
      <c r="B45" s="130" t="n">
        <v>2027</v>
      </c>
      <c r="C45" s="131" t="s">
        <v>246</v>
      </c>
      <c r="D45" s="132" t="n">
        <v>46479</v>
      </c>
      <c r="E45" s="131" t="s">
        <v>20</v>
      </c>
      <c r="F45" s="133" t="s">
        <v>19</v>
      </c>
      <c r="G45" s="134" t="n">
        <f aca="false">LEN('Saisie programme'!$H$17)+SUMIFS('Vols additionnels'!$E$7:$E$66,'Vols additionnels'!$C$7:$C$66,$E45,'Vols additionnels'!$D$7:$D$66,$F45,'Vols additionnels'!$B$7:$B$66,$D45)</f>
        <v>1</v>
      </c>
      <c r="H45" s="135" t="n">
        <f aca="false">$G45*'Analyse capacite'!$F$8</f>
        <v>262</v>
      </c>
      <c r="I45" s="135" t="n">
        <f aca="false">$G45*'Analyse capacite'!$C$8</f>
        <v>18</v>
      </c>
      <c r="J45" s="135" t="n">
        <f aca="false">$G45*'Analyse capacite'!$D$8</f>
        <v>0</v>
      </c>
      <c r="K45" s="135" t="n">
        <f aca="false">$G45*'Analyse capacite'!$E$8</f>
        <v>244</v>
      </c>
    </row>
    <row r="46" customFormat="false" ht="15" hidden="false" customHeight="false" outlineLevel="0" collapsed="false">
      <c r="B46" s="130" t="n">
        <v>2027</v>
      </c>
      <c r="C46" s="131" t="s">
        <v>246</v>
      </c>
      <c r="D46" s="132" t="n">
        <v>46479</v>
      </c>
      <c r="E46" s="131" t="s">
        <v>20</v>
      </c>
      <c r="F46" s="133" t="s">
        <v>24</v>
      </c>
      <c r="G46" s="134" t="n">
        <f aca="false">LEN('Saisie programme'!$H$18)+SUMIFS('Vols additionnels'!$E$7:$E$66,'Vols additionnels'!$C$7:$C$66,$E46,'Vols additionnels'!$D$7:$D$66,$F46,'Vols additionnels'!$B$7:$B$66,$D46)</f>
        <v>0</v>
      </c>
      <c r="H46" s="135" t="n">
        <f aca="false">$G46*'Analyse capacite'!$F$9</f>
        <v>0</v>
      </c>
      <c r="I46" s="135" t="n">
        <f aca="false">$G46*'Analyse capacite'!$C$9</f>
        <v>0</v>
      </c>
      <c r="J46" s="135" t="n">
        <f aca="false">$G46*'Analyse capacite'!$D$9</f>
        <v>0</v>
      </c>
      <c r="K46" s="135" t="n">
        <f aca="false">$G46*'Analyse capacite'!$E$9</f>
        <v>0</v>
      </c>
    </row>
    <row r="47" customFormat="false" ht="15" hidden="false" customHeight="false" outlineLevel="0" collapsed="false">
      <c r="B47" s="130" t="n">
        <v>2027</v>
      </c>
      <c r="C47" s="131" t="s">
        <v>246</v>
      </c>
      <c r="D47" s="132" t="n">
        <v>46479</v>
      </c>
      <c r="E47" s="131" t="s">
        <v>25</v>
      </c>
      <c r="F47" s="133" t="s">
        <v>11</v>
      </c>
      <c r="G47" s="134" t="n">
        <f aca="false">LEN('Saisie programme'!$H$19)+SUMIFS('Vols additionnels'!$E$7:$E$66,'Vols additionnels'!$C$7:$C$66,$E47,'Vols additionnels'!$D$7:$D$66,$F47,'Vols additionnels'!$B$7:$B$66,$D47)</f>
        <v>0</v>
      </c>
      <c r="H47" s="135" t="n">
        <f aca="false">$G47*'Analyse capacite'!$F$7</f>
        <v>0</v>
      </c>
      <c r="I47" s="135" t="n">
        <f aca="false">$G47*'Analyse capacite'!$C$7</f>
        <v>0</v>
      </c>
      <c r="J47" s="135" t="n">
        <f aca="false">$G47*'Analyse capacite'!$D$7</f>
        <v>0</v>
      </c>
      <c r="K47" s="135" t="n">
        <f aca="false">$G47*'Analyse capacite'!$E$7</f>
        <v>0</v>
      </c>
    </row>
    <row r="48" customFormat="false" ht="15" hidden="false" customHeight="false" outlineLevel="0" collapsed="false">
      <c r="B48" s="130" t="n">
        <v>2027</v>
      </c>
      <c r="C48" s="131" t="s">
        <v>246</v>
      </c>
      <c r="D48" s="132" t="n">
        <v>46479</v>
      </c>
      <c r="E48" s="131" t="s">
        <v>25</v>
      </c>
      <c r="F48" s="133" t="s">
        <v>19</v>
      </c>
      <c r="G48" s="134" t="n">
        <f aca="false">LEN('Saisie programme'!$H$20)+SUMIFS('Vols additionnels'!$E$7:$E$66,'Vols additionnels'!$C$7:$C$66,$E48,'Vols additionnels'!$D$7:$D$66,$F48,'Vols additionnels'!$B$7:$B$66,$D48)</f>
        <v>0</v>
      </c>
      <c r="H48" s="135" t="n">
        <f aca="false">$G48*'Analyse capacite'!$F$8</f>
        <v>0</v>
      </c>
      <c r="I48" s="135" t="n">
        <f aca="false">$G48*'Analyse capacite'!$C$8</f>
        <v>0</v>
      </c>
      <c r="J48" s="135" t="n">
        <f aca="false">$G48*'Analyse capacite'!$D$8</f>
        <v>0</v>
      </c>
      <c r="K48" s="135" t="n">
        <f aca="false">$G48*'Analyse capacite'!$E$8</f>
        <v>0</v>
      </c>
    </row>
    <row r="49" customFormat="false" ht="15" hidden="false" customHeight="false" outlineLevel="0" collapsed="false">
      <c r="B49" s="130" t="n">
        <v>2027</v>
      </c>
      <c r="C49" s="131" t="s">
        <v>246</v>
      </c>
      <c r="D49" s="132" t="n">
        <v>46479</v>
      </c>
      <c r="E49" s="131" t="s">
        <v>25</v>
      </c>
      <c r="F49" s="133" t="s">
        <v>24</v>
      </c>
      <c r="G49" s="134" t="n">
        <f aca="false">LEN('Saisie programme'!$H$21)+SUMIFS('Vols additionnels'!$E$7:$E$66,'Vols additionnels'!$C$7:$C$66,$E49,'Vols additionnels'!$D$7:$D$66,$F49,'Vols additionnels'!$B$7:$B$66,$D49)</f>
        <v>0</v>
      </c>
      <c r="H49" s="135" t="n">
        <f aca="false">$G49*'Analyse capacite'!$F$9</f>
        <v>0</v>
      </c>
      <c r="I49" s="135" t="n">
        <f aca="false">$G49*'Analyse capacite'!$C$9</f>
        <v>0</v>
      </c>
      <c r="J49" s="135" t="n">
        <f aca="false">$G49*'Analyse capacite'!$D$9</f>
        <v>0</v>
      </c>
      <c r="K49" s="135" t="n">
        <f aca="false">$G49*'Analyse capacite'!$E$9</f>
        <v>0</v>
      </c>
    </row>
    <row r="50" customFormat="false" ht="15" hidden="false" customHeight="false" outlineLevel="0" collapsed="false">
      <c r="B50" s="130" t="n">
        <v>2027</v>
      </c>
      <c r="C50" s="131" t="s">
        <v>246</v>
      </c>
      <c r="D50" s="132" t="n">
        <v>46479</v>
      </c>
      <c r="E50" s="131" t="s">
        <v>36</v>
      </c>
      <c r="F50" s="133" t="s">
        <v>11</v>
      </c>
      <c r="G50" s="134" t="n">
        <f aca="false">LEN('Saisie programme'!$H$22)+SUMIFS('Vols additionnels'!$E$7:$E$66,'Vols additionnels'!$C$7:$C$66,$E50,'Vols additionnels'!$D$7:$D$66,$F50,'Vols additionnels'!$B$7:$B$66,$D50)</f>
        <v>0</v>
      </c>
      <c r="H50" s="135" t="n">
        <f aca="false">$G50*'Analyse capacite'!$F$7</f>
        <v>0</v>
      </c>
      <c r="I50" s="135" t="n">
        <f aca="false">$G50*'Analyse capacite'!$C$7</f>
        <v>0</v>
      </c>
      <c r="J50" s="135" t="n">
        <f aca="false">$G50*'Analyse capacite'!$D$7</f>
        <v>0</v>
      </c>
      <c r="K50" s="135" t="n">
        <f aca="false">$G50*'Analyse capacite'!$E$7</f>
        <v>0</v>
      </c>
    </row>
    <row r="51" customFormat="false" ht="15" hidden="false" customHeight="false" outlineLevel="0" collapsed="false">
      <c r="B51" s="130" t="n">
        <v>2027</v>
      </c>
      <c r="C51" s="131" t="s">
        <v>246</v>
      </c>
      <c r="D51" s="132" t="n">
        <v>46479</v>
      </c>
      <c r="E51" s="131" t="s">
        <v>36</v>
      </c>
      <c r="F51" s="133" t="s">
        <v>19</v>
      </c>
      <c r="G51" s="134" t="n">
        <f aca="false">LEN('Saisie programme'!$H$23)+SUMIFS('Vols additionnels'!$E$7:$E$66,'Vols additionnels'!$C$7:$C$66,$E51,'Vols additionnels'!$D$7:$D$66,$F51,'Vols additionnels'!$B$7:$B$66,$D51)</f>
        <v>0</v>
      </c>
      <c r="H51" s="135" t="n">
        <f aca="false">$G51*'Analyse capacite'!$F$8</f>
        <v>0</v>
      </c>
      <c r="I51" s="135" t="n">
        <f aca="false">$G51*'Analyse capacite'!$C$8</f>
        <v>0</v>
      </c>
      <c r="J51" s="135" t="n">
        <f aca="false">$G51*'Analyse capacite'!$D$8</f>
        <v>0</v>
      </c>
      <c r="K51" s="135" t="n">
        <f aca="false">$G51*'Analyse capacite'!$E$8</f>
        <v>0</v>
      </c>
    </row>
    <row r="52" customFormat="false" ht="15" hidden="false" customHeight="false" outlineLevel="0" collapsed="false">
      <c r="B52" s="130" t="n">
        <v>2027</v>
      </c>
      <c r="C52" s="131" t="s">
        <v>246</v>
      </c>
      <c r="D52" s="132" t="n">
        <v>46479</v>
      </c>
      <c r="E52" s="131" t="s">
        <v>36</v>
      </c>
      <c r="F52" s="133" t="s">
        <v>24</v>
      </c>
      <c r="G52" s="134" t="n">
        <f aca="false">LEN('Saisie programme'!$H$24)+SUMIFS('Vols additionnels'!$E$7:$E$66,'Vols additionnels'!$C$7:$C$66,$E52,'Vols additionnels'!$D$7:$D$66,$F52,'Vols additionnels'!$B$7:$B$66,$D52)</f>
        <v>1</v>
      </c>
      <c r="H52" s="135" t="n">
        <f aca="false">$G52*'Analyse capacite'!$F$9</f>
        <v>174</v>
      </c>
      <c r="I52" s="135" t="n">
        <f aca="false">$G52*'Analyse capacite'!$C$9</f>
        <v>0</v>
      </c>
      <c r="J52" s="135" t="n">
        <f aca="false">$G52*'Analyse capacite'!$D$9</f>
        <v>12</v>
      </c>
      <c r="K52" s="135" t="n">
        <f aca="false">$G52*'Analyse capacite'!$E$9</f>
        <v>162</v>
      </c>
    </row>
    <row r="53" customFormat="false" ht="15" hidden="false" customHeight="false" outlineLevel="0" collapsed="false">
      <c r="B53" s="130" t="n">
        <v>2027</v>
      </c>
      <c r="C53" s="131" t="s">
        <v>246</v>
      </c>
      <c r="D53" s="132" t="n">
        <v>46479</v>
      </c>
      <c r="E53" s="131" t="s">
        <v>40</v>
      </c>
      <c r="F53" s="133" t="s">
        <v>11</v>
      </c>
      <c r="G53" s="134" t="n">
        <f aca="false">LEN('Saisie programme'!$H$25)+SUMIFS('Vols additionnels'!$E$7:$E$66,'Vols additionnels'!$C$7:$C$66,$E53,'Vols additionnels'!$D$7:$D$66,$F53,'Vols additionnels'!$B$7:$B$66,$D53)</f>
        <v>0</v>
      </c>
      <c r="H53" s="135" t="n">
        <f aca="false">$G53*'Analyse capacite'!$F$7</f>
        <v>0</v>
      </c>
      <c r="I53" s="135" t="n">
        <f aca="false">$G53*'Analyse capacite'!$C$7</f>
        <v>0</v>
      </c>
      <c r="J53" s="135" t="n">
        <f aca="false">$G53*'Analyse capacite'!$D$7</f>
        <v>0</v>
      </c>
      <c r="K53" s="135" t="n">
        <f aca="false">$G53*'Analyse capacite'!$E$7</f>
        <v>0</v>
      </c>
    </row>
    <row r="54" customFormat="false" ht="15" hidden="false" customHeight="false" outlineLevel="0" collapsed="false">
      <c r="B54" s="130" t="n">
        <v>2027</v>
      </c>
      <c r="C54" s="131" t="s">
        <v>246</v>
      </c>
      <c r="D54" s="132" t="n">
        <v>46479</v>
      </c>
      <c r="E54" s="131" t="s">
        <v>40</v>
      </c>
      <c r="F54" s="133" t="s">
        <v>19</v>
      </c>
      <c r="G54" s="134" t="n">
        <f aca="false">LEN('Saisie programme'!$H$26)+SUMIFS('Vols additionnels'!$E$7:$E$66,'Vols additionnels'!$C$7:$C$66,$E54,'Vols additionnels'!$D$7:$D$66,$F54,'Vols additionnels'!$B$7:$B$66,$D54)</f>
        <v>0</v>
      </c>
      <c r="H54" s="135" t="n">
        <f aca="false">$G54*'Analyse capacite'!$F$8</f>
        <v>0</v>
      </c>
      <c r="I54" s="135" t="n">
        <f aca="false">$G54*'Analyse capacite'!$C$8</f>
        <v>0</v>
      </c>
      <c r="J54" s="135" t="n">
        <f aca="false">$G54*'Analyse capacite'!$D$8</f>
        <v>0</v>
      </c>
      <c r="K54" s="135" t="n">
        <f aca="false">$G54*'Analyse capacite'!$E$8</f>
        <v>0</v>
      </c>
    </row>
    <row r="55" customFormat="false" ht="15" hidden="false" customHeight="false" outlineLevel="0" collapsed="false">
      <c r="B55" s="130" t="n">
        <v>2027</v>
      </c>
      <c r="C55" s="131" t="s">
        <v>246</v>
      </c>
      <c r="D55" s="132" t="n">
        <v>46479</v>
      </c>
      <c r="E55" s="131" t="s">
        <v>40</v>
      </c>
      <c r="F55" s="133" t="s">
        <v>24</v>
      </c>
      <c r="G55" s="134" t="n">
        <f aca="false">LEN('Saisie programme'!$H$27)+SUMIFS('Vols additionnels'!$E$7:$E$66,'Vols additionnels'!$C$7:$C$66,$E55,'Vols additionnels'!$D$7:$D$66,$F55,'Vols additionnels'!$B$7:$B$66,$D55)</f>
        <v>1</v>
      </c>
      <c r="H55" s="135" t="n">
        <f aca="false">$G55*'Analyse capacite'!$F$9</f>
        <v>174</v>
      </c>
      <c r="I55" s="135" t="n">
        <f aca="false">$G55*'Analyse capacite'!$C$9</f>
        <v>0</v>
      </c>
      <c r="J55" s="135" t="n">
        <f aca="false">$G55*'Analyse capacite'!$D$9</f>
        <v>12</v>
      </c>
      <c r="K55" s="135" t="n">
        <f aca="false">$G55*'Analyse capacite'!$E$9</f>
        <v>162</v>
      </c>
    </row>
    <row r="56" customFormat="false" ht="15" hidden="false" customHeight="false" outlineLevel="0" collapsed="false">
      <c r="B56" s="130" t="n">
        <v>2027</v>
      </c>
      <c r="C56" s="131" t="s">
        <v>246</v>
      </c>
      <c r="D56" s="132" t="n">
        <v>46479</v>
      </c>
      <c r="E56" s="131" t="s">
        <v>14</v>
      </c>
      <c r="F56" s="133" t="s">
        <v>11</v>
      </c>
      <c r="G56" s="134" t="n">
        <f aca="false">LEN('Saisie programme'!$H$28)+SUMIFS('Vols additionnels'!$E$7:$E$66,'Vols additionnels'!$C$7:$C$66,$E56,'Vols additionnels'!$D$7:$D$66,$F56,'Vols additionnels'!$B$7:$B$66,$D56)</f>
        <v>0</v>
      </c>
      <c r="H56" s="135" t="n">
        <f aca="false">$G56*'Analyse capacite'!$F$7</f>
        <v>0</v>
      </c>
      <c r="I56" s="135" t="n">
        <f aca="false">$G56*'Analyse capacite'!$C$7</f>
        <v>0</v>
      </c>
      <c r="J56" s="135" t="n">
        <f aca="false">$G56*'Analyse capacite'!$D$7</f>
        <v>0</v>
      </c>
      <c r="K56" s="135" t="n">
        <f aca="false">$G56*'Analyse capacite'!$E$7</f>
        <v>0</v>
      </c>
    </row>
    <row r="57" customFormat="false" ht="15" hidden="false" customHeight="false" outlineLevel="0" collapsed="false">
      <c r="B57" s="130" t="n">
        <v>2027</v>
      </c>
      <c r="C57" s="131" t="s">
        <v>246</v>
      </c>
      <c r="D57" s="132" t="n">
        <v>46479</v>
      </c>
      <c r="E57" s="131" t="s">
        <v>14</v>
      </c>
      <c r="F57" s="133" t="s">
        <v>19</v>
      </c>
      <c r="G57" s="134" t="n">
        <f aca="false">LEN('Saisie programme'!$H$29)+SUMIFS('Vols additionnels'!$E$7:$E$66,'Vols additionnels'!$C$7:$C$66,$E57,'Vols additionnels'!$D$7:$D$66,$F57,'Vols additionnels'!$B$7:$B$66,$D57)</f>
        <v>0</v>
      </c>
      <c r="H57" s="135" t="n">
        <f aca="false">$G57*'Analyse capacite'!$F$8</f>
        <v>0</v>
      </c>
      <c r="I57" s="135" t="n">
        <f aca="false">$G57*'Analyse capacite'!$C$8</f>
        <v>0</v>
      </c>
      <c r="J57" s="135" t="n">
        <f aca="false">$G57*'Analyse capacite'!$D$8</f>
        <v>0</v>
      </c>
      <c r="K57" s="135" t="n">
        <f aca="false">$G57*'Analyse capacite'!$E$8</f>
        <v>0</v>
      </c>
    </row>
    <row r="58" customFormat="false" ht="15" hidden="false" customHeight="false" outlineLevel="0" collapsed="false">
      <c r="B58" s="130" t="n">
        <v>2027</v>
      </c>
      <c r="C58" s="131" t="s">
        <v>246</v>
      </c>
      <c r="D58" s="132" t="n">
        <v>46479</v>
      </c>
      <c r="E58" s="131" t="s">
        <v>14</v>
      </c>
      <c r="F58" s="133" t="s">
        <v>24</v>
      </c>
      <c r="G58" s="134" t="n">
        <f aca="false">LEN('Saisie programme'!$H$30)+SUMIFS('Vols additionnels'!$E$7:$E$66,'Vols additionnels'!$C$7:$C$66,$E58,'Vols additionnels'!$D$7:$D$66,$F58,'Vols additionnels'!$B$7:$B$66,$D58)</f>
        <v>0</v>
      </c>
      <c r="H58" s="135" t="n">
        <f aca="false">$G58*'Analyse capacite'!$F$9</f>
        <v>0</v>
      </c>
      <c r="I58" s="135" t="n">
        <f aca="false">$G58*'Analyse capacite'!$C$9</f>
        <v>0</v>
      </c>
      <c r="J58" s="135" t="n">
        <f aca="false">$G58*'Analyse capacite'!$D$9</f>
        <v>0</v>
      </c>
      <c r="K58" s="135" t="n">
        <f aca="false">$G58*'Analyse capacite'!$E$9</f>
        <v>0</v>
      </c>
    </row>
    <row r="59" customFormat="false" ht="15" hidden="false" customHeight="false" outlineLevel="0" collapsed="false">
      <c r="B59" s="130" t="n">
        <v>2027</v>
      </c>
      <c r="C59" s="131" t="s">
        <v>246</v>
      </c>
      <c r="D59" s="132" t="n">
        <v>46479</v>
      </c>
      <c r="E59" s="131" t="s">
        <v>46</v>
      </c>
      <c r="F59" s="133" t="s">
        <v>11</v>
      </c>
      <c r="G59" s="134" t="n">
        <f aca="false">LEN('Saisie programme'!$H$31)+SUMIFS('Vols additionnels'!$E$7:$E$66,'Vols additionnels'!$C$7:$C$66,$E59,'Vols additionnels'!$D$7:$D$66,$F59,'Vols additionnels'!$B$7:$B$66,$D59)</f>
        <v>0</v>
      </c>
      <c r="H59" s="135" t="n">
        <f aca="false">$G59*'Analyse capacite'!$F$7</f>
        <v>0</v>
      </c>
      <c r="I59" s="135" t="n">
        <f aca="false">$G59*'Analyse capacite'!$C$7</f>
        <v>0</v>
      </c>
      <c r="J59" s="135" t="n">
        <f aca="false">$G59*'Analyse capacite'!$D$7</f>
        <v>0</v>
      </c>
      <c r="K59" s="135" t="n">
        <f aca="false">$G59*'Analyse capacite'!$E$7</f>
        <v>0</v>
      </c>
    </row>
    <row r="60" customFormat="false" ht="15" hidden="false" customHeight="false" outlineLevel="0" collapsed="false">
      <c r="B60" s="130" t="n">
        <v>2027</v>
      </c>
      <c r="C60" s="131" t="s">
        <v>246</v>
      </c>
      <c r="D60" s="132" t="n">
        <v>46479</v>
      </c>
      <c r="E60" s="131" t="s">
        <v>46</v>
      </c>
      <c r="F60" s="133" t="s">
        <v>19</v>
      </c>
      <c r="G60" s="134" t="n">
        <f aca="false">LEN('Saisie programme'!$H$32)+SUMIFS('Vols additionnels'!$E$7:$E$66,'Vols additionnels'!$C$7:$C$66,$E60,'Vols additionnels'!$D$7:$D$66,$F60,'Vols additionnels'!$B$7:$B$66,$D60)</f>
        <v>0</v>
      </c>
      <c r="H60" s="135" t="n">
        <f aca="false">$G60*'Analyse capacite'!$F$8</f>
        <v>0</v>
      </c>
      <c r="I60" s="135" t="n">
        <f aca="false">$G60*'Analyse capacite'!$C$8</f>
        <v>0</v>
      </c>
      <c r="J60" s="135" t="n">
        <f aca="false">$G60*'Analyse capacite'!$D$8</f>
        <v>0</v>
      </c>
      <c r="K60" s="135" t="n">
        <f aca="false">$G60*'Analyse capacite'!$E$8</f>
        <v>0</v>
      </c>
    </row>
    <row r="61" customFormat="false" ht="15" hidden="false" customHeight="false" outlineLevel="0" collapsed="false">
      <c r="B61" s="130" t="n">
        <v>2027</v>
      </c>
      <c r="C61" s="131" t="s">
        <v>246</v>
      </c>
      <c r="D61" s="132" t="n">
        <v>46479</v>
      </c>
      <c r="E61" s="131" t="s">
        <v>46</v>
      </c>
      <c r="F61" s="133" t="s">
        <v>24</v>
      </c>
      <c r="G61" s="134" t="n">
        <f aca="false">LEN('Saisie programme'!$H$33)+SUMIFS('Vols additionnels'!$E$7:$E$66,'Vols additionnels'!$C$7:$C$66,$E61,'Vols additionnels'!$D$7:$D$66,$F61,'Vols additionnels'!$B$7:$B$66,$D61)</f>
        <v>0</v>
      </c>
      <c r="H61" s="135" t="n">
        <f aca="false">$G61*'Analyse capacite'!$F$9</f>
        <v>0</v>
      </c>
      <c r="I61" s="135" t="n">
        <f aca="false">$G61*'Analyse capacite'!$C$9</f>
        <v>0</v>
      </c>
      <c r="J61" s="135" t="n">
        <f aca="false">$G61*'Analyse capacite'!$D$9</f>
        <v>0</v>
      </c>
      <c r="K61" s="135" t="n">
        <f aca="false">$G61*'Analyse capacite'!$E$9</f>
        <v>0</v>
      </c>
    </row>
    <row r="62" customFormat="false" ht="15" hidden="false" customHeight="false" outlineLevel="0" collapsed="false">
      <c r="B62" s="130" t="n">
        <v>2027</v>
      </c>
      <c r="C62" s="131" t="s">
        <v>246</v>
      </c>
      <c r="D62" s="132" t="n">
        <v>46479</v>
      </c>
      <c r="E62" s="131" t="s">
        <v>49</v>
      </c>
      <c r="F62" s="133" t="s">
        <v>11</v>
      </c>
      <c r="G62" s="134" t="n">
        <f aca="false">LEN('Saisie programme'!$H$34)+SUMIFS('Vols additionnels'!$E$7:$E$66,'Vols additionnels'!$C$7:$C$66,$E62,'Vols additionnels'!$D$7:$D$66,$F62,'Vols additionnels'!$B$7:$B$66,$D62)</f>
        <v>0</v>
      </c>
      <c r="H62" s="135" t="n">
        <f aca="false">$G62*'Analyse capacite'!$F$7</f>
        <v>0</v>
      </c>
      <c r="I62" s="135" t="n">
        <f aca="false">$G62*'Analyse capacite'!$C$7</f>
        <v>0</v>
      </c>
      <c r="J62" s="135" t="n">
        <f aca="false">$G62*'Analyse capacite'!$D$7</f>
        <v>0</v>
      </c>
      <c r="K62" s="135" t="n">
        <f aca="false">$G62*'Analyse capacite'!$E$7</f>
        <v>0</v>
      </c>
    </row>
    <row r="63" customFormat="false" ht="15" hidden="false" customHeight="false" outlineLevel="0" collapsed="false">
      <c r="B63" s="130" t="n">
        <v>2027</v>
      </c>
      <c r="C63" s="131" t="s">
        <v>246</v>
      </c>
      <c r="D63" s="132" t="n">
        <v>46479</v>
      </c>
      <c r="E63" s="131" t="s">
        <v>49</v>
      </c>
      <c r="F63" s="133" t="s">
        <v>19</v>
      </c>
      <c r="G63" s="134" t="n">
        <f aca="false">LEN('Saisie programme'!$H$35)+SUMIFS('Vols additionnels'!$E$7:$E$66,'Vols additionnels'!$C$7:$C$66,$E63,'Vols additionnels'!$D$7:$D$66,$F63,'Vols additionnels'!$B$7:$B$66,$D63)</f>
        <v>1</v>
      </c>
      <c r="H63" s="135" t="n">
        <f aca="false">$G63*'Analyse capacite'!$F$8</f>
        <v>262</v>
      </c>
      <c r="I63" s="135" t="n">
        <f aca="false">$G63*'Analyse capacite'!$C$8</f>
        <v>18</v>
      </c>
      <c r="J63" s="135" t="n">
        <f aca="false">$G63*'Analyse capacite'!$D$8</f>
        <v>0</v>
      </c>
      <c r="K63" s="135" t="n">
        <f aca="false">$G63*'Analyse capacite'!$E$8</f>
        <v>244</v>
      </c>
    </row>
    <row r="64" customFormat="false" ht="15" hidden="false" customHeight="false" outlineLevel="0" collapsed="false">
      <c r="B64" s="130" t="n">
        <v>2027</v>
      </c>
      <c r="C64" s="131" t="s">
        <v>246</v>
      </c>
      <c r="D64" s="132" t="n">
        <v>46479</v>
      </c>
      <c r="E64" s="131" t="s">
        <v>49</v>
      </c>
      <c r="F64" s="133" t="s">
        <v>24</v>
      </c>
      <c r="G64" s="134" t="n">
        <f aca="false">LEN('Saisie programme'!$H$36)+SUMIFS('Vols additionnels'!$E$7:$E$66,'Vols additionnels'!$C$7:$C$66,$E64,'Vols additionnels'!$D$7:$D$66,$F64,'Vols additionnels'!$B$7:$B$66,$D64)</f>
        <v>0</v>
      </c>
      <c r="H64" s="135" t="n">
        <f aca="false">$G64*'Analyse capacite'!$F$9</f>
        <v>0</v>
      </c>
      <c r="I64" s="135" t="n">
        <f aca="false">$G64*'Analyse capacite'!$C$9</f>
        <v>0</v>
      </c>
      <c r="J64" s="135" t="n">
        <f aca="false">$G64*'Analyse capacite'!$D$9</f>
        <v>0</v>
      </c>
      <c r="K64" s="135" t="n">
        <f aca="false">$G64*'Analyse capacite'!$E$9</f>
        <v>0</v>
      </c>
    </row>
    <row r="65" customFormat="false" ht="15" hidden="false" customHeight="false" outlineLevel="0" collapsed="false">
      <c r="B65" s="130" t="n">
        <v>2027</v>
      </c>
      <c r="C65" s="131" t="s">
        <v>246</v>
      </c>
      <c r="D65" s="132" t="n">
        <v>46479</v>
      </c>
      <c r="E65" s="131" t="s">
        <v>53</v>
      </c>
      <c r="F65" s="133" t="s">
        <v>11</v>
      </c>
      <c r="G65" s="134" t="n">
        <f aca="false">LEN('Saisie programme'!$H$37)+SUMIFS('Vols additionnels'!$E$7:$E$66,'Vols additionnels'!$C$7:$C$66,$E65,'Vols additionnels'!$D$7:$D$66,$F65,'Vols additionnels'!$B$7:$B$66,$D65)</f>
        <v>0</v>
      </c>
      <c r="H65" s="135" t="n">
        <f aca="false">$G65*'Analyse capacite'!$F$7</f>
        <v>0</v>
      </c>
      <c r="I65" s="135" t="n">
        <f aca="false">$G65*'Analyse capacite'!$C$7</f>
        <v>0</v>
      </c>
      <c r="J65" s="135" t="n">
        <f aca="false">$G65*'Analyse capacite'!$D$7</f>
        <v>0</v>
      </c>
      <c r="K65" s="135" t="n">
        <f aca="false">$G65*'Analyse capacite'!$E$7</f>
        <v>0</v>
      </c>
    </row>
    <row r="66" customFormat="false" ht="15" hidden="false" customHeight="false" outlineLevel="0" collapsed="false">
      <c r="B66" s="130" t="n">
        <v>2027</v>
      </c>
      <c r="C66" s="131" t="s">
        <v>246</v>
      </c>
      <c r="D66" s="132" t="n">
        <v>46479</v>
      </c>
      <c r="E66" s="131" t="s">
        <v>53</v>
      </c>
      <c r="F66" s="133" t="s">
        <v>19</v>
      </c>
      <c r="G66" s="134" t="n">
        <f aca="false">LEN('Saisie programme'!$H$38)+SUMIFS('Vols additionnels'!$E$7:$E$66,'Vols additionnels'!$C$7:$C$66,$E66,'Vols additionnels'!$D$7:$D$66,$F66,'Vols additionnels'!$B$7:$B$66,$D66)</f>
        <v>0</v>
      </c>
      <c r="H66" s="135" t="n">
        <f aca="false">$G66*'Analyse capacite'!$F$8</f>
        <v>0</v>
      </c>
      <c r="I66" s="135" t="n">
        <f aca="false">$G66*'Analyse capacite'!$C$8</f>
        <v>0</v>
      </c>
      <c r="J66" s="135" t="n">
        <f aca="false">$G66*'Analyse capacite'!$D$8</f>
        <v>0</v>
      </c>
      <c r="K66" s="135" t="n">
        <f aca="false">$G66*'Analyse capacite'!$E$8</f>
        <v>0</v>
      </c>
    </row>
    <row r="67" customFormat="false" ht="15" hidden="false" customHeight="false" outlineLevel="0" collapsed="false">
      <c r="B67" s="130" t="n">
        <v>2027</v>
      </c>
      <c r="C67" s="131" t="s">
        <v>246</v>
      </c>
      <c r="D67" s="132" t="n">
        <v>46479</v>
      </c>
      <c r="E67" s="131" t="s">
        <v>53</v>
      </c>
      <c r="F67" s="133" t="s">
        <v>24</v>
      </c>
      <c r="G67" s="134" t="n">
        <f aca="false">LEN('Saisie programme'!$H$39)+SUMIFS('Vols additionnels'!$E$7:$E$66,'Vols additionnels'!$C$7:$C$66,$E67,'Vols additionnels'!$D$7:$D$66,$F67,'Vols additionnels'!$B$7:$B$66,$D67)</f>
        <v>0</v>
      </c>
      <c r="H67" s="135" t="n">
        <f aca="false">$G67*'Analyse capacite'!$F$9</f>
        <v>0</v>
      </c>
      <c r="I67" s="135" t="n">
        <f aca="false">$G67*'Analyse capacite'!$C$9</f>
        <v>0</v>
      </c>
      <c r="J67" s="135" t="n">
        <f aca="false">$G67*'Analyse capacite'!$D$9</f>
        <v>0</v>
      </c>
      <c r="K67" s="135" t="n">
        <f aca="false">$G67*'Analyse capacite'!$E$9</f>
        <v>0</v>
      </c>
    </row>
    <row r="68" customFormat="false" ht="15" hidden="false" customHeight="false" outlineLevel="0" collapsed="false">
      <c r="B68" s="130" t="n">
        <v>2027</v>
      </c>
      <c r="C68" s="131" t="s">
        <v>246</v>
      </c>
      <c r="D68" s="132" t="n">
        <v>46479</v>
      </c>
      <c r="E68" s="131" t="s">
        <v>56</v>
      </c>
      <c r="F68" s="133" t="s">
        <v>11</v>
      </c>
      <c r="G68" s="134" t="n">
        <f aca="false">LEN('Saisie programme'!$H$40)+SUMIFS('Vols additionnels'!$E$7:$E$66,'Vols additionnels'!$C$7:$C$66,$E68,'Vols additionnels'!$D$7:$D$66,$F68,'Vols additionnels'!$B$7:$B$66,$D68)</f>
        <v>0</v>
      </c>
      <c r="H68" s="135" t="n">
        <f aca="false">$G68*'Analyse capacite'!$F$7</f>
        <v>0</v>
      </c>
      <c r="I68" s="135" t="n">
        <f aca="false">$G68*'Analyse capacite'!$C$7</f>
        <v>0</v>
      </c>
      <c r="J68" s="135" t="n">
        <f aca="false">$G68*'Analyse capacite'!$D$7</f>
        <v>0</v>
      </c>
      <c r="K68" s="135" t="n">
        <f aca="false">$G68*'Analyse capacite'!$E$7</f>
        <v>0</v>
      </c>
    </row>
    <row r="69" customFormat="false" ht="15" hidden="false" customHeight="false" outlineLevel="0" collapsed="false">
      <c r="B69" s="130" t="n">
        <v>2027</v>
      </c>
      <c r="C69" s="131" t="s">
        <v>246</v>
      </c>
      <c r="D69" s="132" t="n">
        <v>46479</v>
      </c>
      <c r="E69" s="131" t="s">
        <v>56</v>
      </c>
      <c r="F69" s="133" t="s">
        <v>19</v>
      </c>
      <c r="G69" s="134" t="n">
        <f aca="false">LEN('Saisie programme'!$H$41)+SUMIFS('Vols additionnels'!$E$7:$E$66,'Vols additionnels'!$C$7:$C$66,$E69,'Vols additionnels'!$D$7:$D$66,$F69,'Vols additionnels'!$B$7:$B$66,$D69)</f>
        <v>0</v>
      </c>
      <c r="H69" s="135" t="n">
        <f aca="false">$G69*'Analyse capacite'!$F$8</f>
        <v>0</v>
      </c>
      <c r="I69" s="135" t="n">
        <f aca="false">$G69*'Analyse capacite'!$C$8</f>
        <v>0</v>
      </c>
      <c r="J69" s="135" t="n">
        <f aca="false">$G69*'Analyse capacite'!$D$8</f>
        <v>0</v>
      </c>
      <c r="K69" s="135" t="n">
        <f aca="false">$G69*'Analyse capacite'!$E$8</f>
        <v>0</v>
      </c>
    </row>
    <row r="70" customFormat="false" ht="15" hidden="false" customHeight="false" outlineLevel="0" collapsed="false">
      <c r="B70" s="130" t="n">
        <v>2027</v>
      </c>
      <c r="C70" s="131" t="s">
        <v>246</v>
      </c>
      <c r="D70" s="132" t="n">
        <v>46479</v>
      </c>
      <c r="E70" s="131" t="s">
        <v>56</v>
      </c>
      <c r="F70" s="133" t="s">
        <v>24</v>
      </c>
      <c r="G70" s="134" t="n">
        <f aca="false">LEN('Saisie programme'!$H$42)+SUMIFS('Vols additionnels'!$E$7:$E$66,'Vols additionnels'!$C$7:$C$66,$E70,'Vols additionnels'!$D$7:$D$66,$F70,'Vols additionnels'!$B$7:$B$66,$D70)</f>
        <v>0</v>
      </c>
      <c r="H70" s="135" t="n">
        <f aca="false">$G70*'Analyse capacite'!$F$9</f>
        <v>0</v>
      </c>
      <c r="I70" s="135" t="n">
        <f aca="false">$G70*'Analyse capacite'!$C$9</f>
        <v>0</v>
      </c>
      <c r="J70" s="135" t="n">
        <f aca="false">$G70*'Analyse capacite'!$D$9</f>
        <v>0</v>
      </c>
      <c r="K70" s="135" t="n">
        <f aca="false">$G70*'Analyse capacite'!$E$9</f>
        <v>0</v>
      </c>
    </row>
    <row r="71" customFormat="false" ht="15" hidden="false" customHeight="false" outlineLevel="0" collapsed="false">
      <c r="B71" s="130" t="n">
        <v>2027</v>
      </c>
      <c r="C71" s="131" t="s">
        <v>246</v>
      </c>
      <c r="D71" s="132" t="n">
        <v>46479</v>
      </c>
      <c r="E71" s="131" t="s">
        <v>59</v>
      </c>
      <c r="F71" s="133" t="s">
        <v>11</v>
      </c>
      <c r="G71" s="134" t="n">
        <f aca="false">LEN('Saisie programme'!$H$43)+SUMIFS('Vols additionnels'!$E$7:$E$66,'Vols additionnels'!$C$7:$C$66,$E71,'Vols additionnels'!$D$7:$D$66,$F71,'Vols additionnels'!$B$7:$B$66,$D71)</f>
        <v>0</v>
      </c>
      <c r="H71" s="135" t="n">
        <f aca="false">$G71*'Analyse capacite'!$F$7</f>
        <v>0</v>
      </c>
      <c r="I71" s="135" t="n">
        <f aca="false">$G71*'Analyse capacite'!$C$7</f>
        <v>0</v>
      </c>
      <c r="J71" s="135" t="n">
        <f aca="false">$G71*'Analyse capacite'!$D$7</f>
        <v>0</v>
      </c>
      <c r="K71" s="135" t="n">
        <f aca="false">$G71*'Analyse capacite'!$E$7</f>
        <v>0</v>
      </c>
    </row>
    <row r="72" customFormat="false" ht="15" hidden="false" customHeight="false" outlineLevel="0" collapsed="false">
      <c r="B72" s="130" t="n">
        <v>2027</v>
      </c>
      <c r="C72" s="131" t="s">
        <v>246</v>
      </c>
      <c r="D72" s="132" t="n">
        <v>46479</v>
      </c>
      <c r="E72" s="131" t="s">
        <v>59</v>
      </c>
      <c r="F72" s="133" t="s">
        <v>19</v>
      </c>
      <c r="G72" s="134" t="n">
        <f aca="false">LEN('Saisie programme'!$H$44)+SUMIFS('Vols additionnels'!$E$7:$E$66,'Vols additionnels'!$C$7:$C$66,$E72,'Vols additionnels'!$D$7:$D$66,$F72,'Vols additionnels'!$B$7:$B$66,$D72)</f>
        <v>0</v>
      </c>
      <c r="H72" s="135" t="n">
        <f aca="false">$G72*'Analyse capacite'!$F$8</f>
        <v>0</v>
      </c>
      <c r="I72" s="135" t="n">
        <f aca="false">$G72*'Analyse capacite'!$C$8</f>
        <v>0</v>
      </c>
      <c r="J72" s="135" t="n">
        <f aca="false">$G72*'Analyse capacite'!$D$8</f>
        <v>0</v>
      </c>
      <c r="K72" s="135" t="n">
        <f aca="false">$G72*'Analyse capacite'!$E$8</f>
        <v>0</v>
      </c>
    </row>
    <row r="73" customFormat="false" ht="15" hidden="false" customHeight="false" outlineLevel="0" collapsed="false">
      <c r="B73" s="130" t="n">
        <v>2027</v>
      </c>
      <c r="C73" s="131" t="s">
        <v>246</v>
      </c>
      <c r="D73" s="132" t="n">
        <v>46479</v>
      </c>
      <c r="E73" s="131" t="s">
        <v>59</v>
      </c>
      <c r="F73" s="133" t="s">
        <v>24</v>
      </c>
      <c r="G73" s="134" t="n">
        <f aca="false">LEN('Saisie programme'!$H$45)+SUMIFS('Vols additionnels'!$E$7:$E$66,'Vols additionnels'!$C$7:$C$66,$E73,'Vols additionnels'!$D$7:$D$66,$F73,'Vols additionnels'!$B$7:$B$66,$D73)</f>
        <v>1</v>
      </c>
      <c r="H73" s="135" t="n">
        <f aca="false">$G73*'Analyse capacite'!$F$9</f>
        <v>174</v>
      </c>
      <c r="I73" s="135" t="n">
        <f aca="false">$G73*'Analyse capacite'!$C$9</f>
        <v>0</v>
      </c>
      <c r="J73" s="135" t="n">
        <f aca="false">$G73*'Analyse capacite'!$D$9</f>
        <v>12</v>
      </c>
      <c r="K73" s="135" t="n">
        <f aca="false">$G73*'Analyse capacite'!$E$9</f>
        <v>162</v>
      </c>
    </row>
    <row r="74" customFormat="false" ht="15" hidden="false" customHeight="false" outlineLevel="0" collapsed="false">
      <c r="B74" s="130" t="n">
        <v>2027</v>
      </c>
      <c r="C74" s="131" t="s">
        <v>246</v>
      </c>
      <c r="D74" s="132" t="n">
        <v>46479</v>
      </c>
      <c r="E74" s="131" t="s">
        <v>62</v>
      </c>
      <c r="F74" s="133" t="s">
        <v>11</v>
      </c>
      <c r="G74" s="134" t="n">
        <f aca="false">LEN('Saisie programme'!$H$46)+SUMIFS('Vols additionnels'!$E$7:$E$66,'Vols additionnels'!$C$7:$C$66,$E74,'Vols additionnels'!$D$7:$D$66,$F74,'Vols additionnels'!$B$7:$B$66,$D74)</f>
        <v>0</v>
      </c>
      <c r="H74" s="135" t="n">
        <f aca="false">$G74*'Analyse capacite'!$F$7</f>
        <v>0</v>
      </c>
      <c r="I74" s="135" t="n">
        <f aca="false">$G74*'Analyse capacite'!$C$7</f>
        <v>0</v>
      </c>
      <c r="J74" s="135" t="n">
        <f aca="false">$G74*'Analyse capacite'!$D$7</f>
        <v>0</v>
      </c>
      <c r="K74" s="135" t="n">
        <f aca="false">$G74*'Analyse capacite'!$E$7</f>
        <v>0</v>
      </c>
    </row>
    <row r="75" customFormat="false" ht="15" hidden="false" customHeight="false" outlineLevel="0" collapsed="false">
      <c r="B75" s="130" t="n">
        <v>2027</v>
      </c>
      <c r="C75" s="131" t="s">
        <v>246</v>
      </c>
      <c r="D75" s="132" t="n">
        <v>46479</v>
      </c>
      <c r="E75" s="131" t="s">
        <v>62</v>
      </c>
      <c r="F75" s="133" t="s">
        <v>19</v>
      </c>
      <c r="G75" s="134" t="n">
        <f aca="false">LEN('Saisie programme'!$H$47)+SUMIFS('Vols additionnels'!$E$7:$E$66,'Vols additionnels'!$C$7:$C$66,$E75,'Vols additionnels'!$D$7:$D$66,$F75,'Vols additionnels'!$B$7:$B$66,$D75)</f>
        <v>0</v>
      </c>
      <c r="H75" s="135" t="n">
        <f aca="false">$G75*'Analyse capacite'!$F$8</f>
        <v>0</v>
      </c>
      <c r="I75" s="135" t="n">
        <f aca="false">$G75*'Analyse capacite'!$C$8</f>
        <v>0</v>
      </c>
      <c r="J75" s="135" t="n">
        <f aca="false">$G75*'Analyse capacite'!$D$8</f>
        <v>0</v>
      </c>
      <c r="K75" s="135" t="n">
        <f aca="false">$G75*'Analyse capacite'!$E$8</f>
        <v>0</v>
      </c>
    </row>
    <row r="76" customFormat="false" ht="15" hidden="false" customHeight="false" outlineLevel="0" collapsed="false">
      <c r="B76" s="130" t="n">
        <v>2027</v>
      </c>
      <c r="C76" s="131" t="s">
        <v>246</v>
      </c>
      <c r="D76" s="132" t="n">
        <v>46479</v>
      </c>
      <c r="E76" s="131" t="s">
        <v>62</v>
      </c>
      <c r="F76" s="133" t="s">
        <v>24</v>
      </c>
      <c r="G76" s="134" t="n">
        <f aca="false">LEN('Saisie programme'!$H$48)+SUMIFS('Vols additionnels'!$E$7:$E$66,'Vols additionnels'!$C$7:$C$66,$E76,'Vols additionnels'!$D$7:$D$66,$F76,'Vols additionnels'!$B$7:$B$66,$D76)</f>
        <v>0</v>
      </c>
      <c r="H76" s="135" t="n">
        <f aca="false">$G76*'Analyse capacite'!$F$9</f>
        <v>0</v>
      </c>
      <c r="I76" s="135" t="n">
        <f aca="false">$G76*'Analyse capacite'!$C$9</f>
        <v>0</v>
      </c>
      <c r="J76" s="135" t="n">
        <f aca="false">$G76*'Analyse capacite'!$D$9</f>
        <v>0</v>
      </c>
      <c r="K76" s="135" t="n">
        <f aca="false">$G76*'Analyse capacite'!$E$9</f>
        <v>0</v>
      </c>
    </row>
    <row r="77" customFormat="false" ht="15" hidden="false" customHeight="false" outlineLevel="0" collapsed="false">
      <c r="B77" s="130" t="n">
        <v>2027</v>
      </c>
      <c r="C77" s="131" t="s">
        <v>246</v>
      </c>
      <c r="D77" s="132" t="n">
        <v>46480</v>
      </c>
      <c r="E77" s="131" t="s">
        <v>12</v>
      </c>
      <c r="F77" s="133" t="s">
        <v>11</v>
      </c>
      <c r="G77" s="134" t="n">
        <f aca="false">LEN('Saisie programme'!$I$13)+SUMIFS('Vols additionnels'!$E$7:$E$66,'Vols additionnels'!$C$7:$C$66,$E77,'Vols additionnels'!$D$7:$D$66,$F77,'Vols additionnels'!$B$7:$B$66,$D77)</f>
        <v>1</v>
      </c>
      <c r="H77" s="135" t="n">
        <f aca="false">$G77*'Analyse capacite'!$F$7</f>
        <v>438</v>
      </c>
      <c r="I77" s="135" t="n">
        <f aca="false">$G77*'Analyse capacite'!$C$7</f>
        <v>14</v>
      </c>
      <c r="J77" s="135" t="n">
        <f aca="false">$G77*'Analyse capacite'!$D$7</f>
        <v>40</v>
      </c>
      <c r="K77" s="135" t="n">
        <f aca="false">$G77*'Analyse capacite'!$E$7</f>
        <v>384</v>
      </c>
    </row>
    <row r="78" customFormat="false" ht="15" hidden="false" customHeight="false" outlineLevel="0" collapsed="false">
      <c r="B78" s="130" t="n">
        <v>2027</v>
      </c>
      <c r="C78" s="131" t="s">
        <v>246</v>
      </c>
      <c r="D78" s="132" t="n">
        <v>46480</v>
      </c>
      <c r="E78" s="131" t="s">
        <v>12</v>
      </c>
      <c r="F78" s="133" t="s">
        <v>19</v>
      </c>
      <c r="G78" s="134" t="n">
        <f aca="false">LEN('Saisie programme'!$I$14)+SUMIFS('Vols additionnels'!$E$7:$E$66,'Vols additionnels'!$C$7:$C$66,$E78,'Vols additionnels'!$D$7:$D$66,$F78,'Vols additionnels'!$B$7:$B$66,$D78)</f>
        <v>0</v>
      </c>
      <c r="H78" s="135" t="n">
        <f aca="false">$G78*'Analyse capacite'!$F$8</f>
        <v>0</v>
      </c>
      <c r="I78" s="135" t="n">
        <f aca="false">$G78*'Analyse capacite'!$C$8</f>
        <v>0</v>
      </c>
      <c r="J78" s="135" t="n">
        <f aca="false">$G78*'Analyse capacite'!$D$8</f>
        <v>0</v>
      </c>
      <c r="K78" s="135" t="n">
        <f aca="false">$G78*'Analyse capacite'!$E$8</f>
        <v>0</v>
      </c>
    </row>
    <row r="79" customFormat="false" ht="15" hidden="false" customHeight="false" outlineLevel="0" collapsed="false">
      <c r="B79" s="130" t="n">
        <v>2027</v>
      </c>
      <c r="C79" s="131" t="s">
        <v>246</v>
      </c>
      <c r="D79" s="132" t="n">
        <v>46480</v>
      </c>
      <c r="E79" s="131" t="s">
        <v>12</v>
      </c>
      <c r="F79" s="133" t="s">
        <v>24</v>
      </c>
      <c r="G79" s="134" t="n">
        <f aca="false">LEN('Saisie programme'!$I$15)+SUMIFS('Vols additionnels'!$E$7:$E$66,'Vols additionnels'!$C$7:$C$66,$E79,'Vols additionnels'!$D$7:$D$66,$F79,'Vols additionnels'!$B$7:$B$66,$D79)</f>
        <v>0</v>
      </c>
      <c r="H79" s="135" t="n">
        <f aca="false">$G79*'Analyse capacite'!$F$9</f>
        <v>0</v>
      </c>
      <c r="I79" s="135" t="n">
        <f aca="false">$G79*'Analyse capacite'!$C$9</f>
        <v>0</v>
      </c>
      <c r="J79" s="135" t="n">
        <f aca="false">$G79*'Analyse capacite'!$D$9</f>
        <v>0</v>
      </c>
      <c r="K79" s="135" t="n">
        <f aca="false">$G79*'Analyse capacite'!$E$9</f>
        <v>0</v>
      </c>
    </row>
    <row r="80" customFormat="false" ht="15" hidden="false" customHeight="false" outlineLevel="0" collapsed="false">
      <c r="B80" s="130" t="n">
        <v>2027</v>
      </c>
      <c r="C80" s="131" t="s">
        <v>246</v>
      </c>
      <c r="D80" s="132" t="n">
        <v>46480</v>
      </c>
      <c r="E80" s="131" t="s">
        <v>20</v>
      </c>
      <c r="F80" s="133" t="s">
        <v>11</v>
      </c>
      <c r="G80" s="134" t="n">
        <f aca="false">LEN('Saisie programme'!$I$16)+SUMIFS('Vols additionnels'!$E$7:$E$66,'Vols additionnels'!$C$7:$C$66,$E80,'Vols additionnels'!$D$7:$D$66,$F80,'Vols additionnels'!$B$7:$B$66,$D80)</f>
        <v>0</v>
      </c>
      <c r="H80" s="135" t="n">
        <f aca="false">$G80*'Analyse capacite'!$F$7</f>
        <v>0</v>
      </c>
      <c r="I80" s="135" t="n">
        <f aca="false">$G80*'Analyse capacite'!$C$7</f>
        <v>0</v>
      </c>
      <c r="J80" s="135" t="n">
        <f aca="false">$G80*'Analyse capacite'!$D$7</f>
        <v>0</v>
      </c>
      <c r="K80" s="135" t="n">
        <f aca="false">$G80*'Analyse capacite'!$E$7</f>
        <v>0</v>
      </c>
    </row>
    <row r="81" customFormat="false" ht="15" hidden="false" customHeight="false" outlineLevel="0" collapsed="false">
      <c r="B81" s="130" t="n">
        <v>2027</v>
      </c>
      <c r="C81" s="131" t="s">
        <v>246</v>
      </c>
      <c r="D81" s="132" t="n">
        <v>46480</v>
      </c>
      <c r="E81" s="131" t="s">
        <v>20</v>
      </c>
      <c r="F81" s="133" t="s">
        <v>19</v>
      </c>
      <c r="G81" s="134" t="n">
        <f aca="false">LEN('Saisie programme'!$I$17)+SUMIFS('Vols additionnels'!$E$7:$E$66,'Vols additionnels'!$C$7:$C$66,$E81,'Vols additionnels'!$D$7:$D$66,$F81,'Vols additionnels'!$B$7:$B$66,$D81)</f>
        <v>0</v>
      </c>
      <c r="H81" s="135" t="n">
        <f aca="false">$G81*'Analyse capacite'!$F$8</f>
        <v>0</v>
      </c>
      <c r="I81" s="135" t="n">
        <f aca="false">$G81*'Analyse capacite'!$C$8</f>
        <v>0</v>
      </c>
      <c r="J81" s="135" t="n">
        <f aca="false">$G81*'Analyse capacite'!$D$8</f>
        <v>0</v>
      </c>
      <c r="K81" s="135" t="n">
        <f aca="false">$G81*'Analyse capacite'!$E$8</f>
        <v>0</v>
      </c>
    </row>
    <row r="82" customFormat="false" ht="15" hidden="false" customHeight="false" outlineLevel="0" collapsed="false">
      <c r="B82" s="130" t="n">
        <v>2027</v>
      </c>
      <c r="C82" s="131" t="s">
        <v>246</v>
      </c>
      <c r="D82" s="132" t="n">
        <v>46480</v>
      </c>
      <c r="E82" s="131" t="s">
        <v>20</v>
      </c>
      <c r="F82" s="133" t="s">
        <v>24</v>
      </c>
      <c r="G82" s="134" t="n">
        <f aca="false">LEN('Saisie programme'!$I$18)+SUMIFS('Vols additionnels'!$E$7:$E$66,'Vols additionnels'!$C$7:$C$66,$E82,'Vols additionnels'!$D$7:$D$66,$F82,'Vols additionnels'!$B$7:$B$66,$D82)</f>
        <v>0</v>
      </c>
      <c r="H82" s="135" t="n">
        <f aca="false">$G82*'Analyse capacite'!$F$9</f>
        <v>0</v>
      </c>
      <c r="I82" s="135" t="n">
        <f aca="false">$G82*'Analyse capacite'!$C$9</f>
        <v>0</v>
      </c>
      <c r="J82" s="135" t="n">
        <f aca="false">$G82*'Analyse capacite'!$D$9</f>
        <v>0</v>
      </c>
      <c r="K82" s="135" t="n">
        <f aca="false">$G82*'Analyse capacite'!$E$9</f>
        <v>0</v>
      </c>
    </row>
    <row r="83" customFormat="false" ht="15" hidden="false" customHeight="false" outlineLevel="0" collapsed="false">
      <c r="B83" s="130" t="n">
        <v>2027</v>
      </c>
      <c r="C83" s="131" t="s">
        <v>246</v>
      </c>
      <c r="D83" s="132" t="n">
        <v>46480</v>
      </c>
      <c r="E83" s="131" t="s">
        <v>25</v>
      </c>
      <c r="F83" s="133" t="s">
        <v>11</v>
      </c>
      <c r="G83" s="134" t="n">
        <f aca="false">LEN('Saisie programme'!$I$19)+SUMIFS('Vols additionnels'!$E$7:$E$66,'Vols additionnels'!$C$7:$C$66,$E83,'Vols additionnels'!$D$7:$D$66,$F83,'Vols additionnels'!$B$7:$B$66,$D83)</f>
        <v>0</v>
      </c>
      <c r="H83" s="135" t="n">
        <f aca="false">$G83*'Analyse capacite'!$F$7</f>
        <v>0</v>
      </c>
      <c r="I83" s="135" t="n">
        <f aca="false">$G83*'Analyse capacite'!$C$7</f>
        <v>0</v>
      </c>
      <c r="J83" s="135" t="n">
        <f aca="false">$G83*'Analyse capacite'!$D$7</f>
        <v>0</v>
      </c>
      <c r="K83" s="135" t="n">
        <f aca="false">$G83*'Analyse capacite'!$E$7</f>
        <v>0</v>
      </c>
    </row>
    <row r="84" customFormat="false" ht="15" hidden="false" customHeight="false" outlineLevel="0" collapsed="false">
      <c r="B84" s="130" t="n">
        <v>2027</v>
      </c>
      <c r="C84" s="131" t="s">
        <v>246</v>
      </c>
      <c r="D84" s="132" t="n">
        <v>46480</v>
      </c>
      <c r="E84" s="131" t="s">
        <v>25</v>
      </c>
      <c r="F84" s="133" t="s">
        <v>19</v>
      </c>
      <c r="G84" s="134" t="n">
        <f aca="false">LEN('Saisie programme'!$I$20)+SUMIFS('Vols additionnels'!$E$7:$E$66,'Vols additionnels'!$C$7:$C$66,$E84,'Vols additionnels'!$D$7:$D$66,$F84,'Vols additionnels'!$B$7:$B$66,$D84)</f>
        <v>1</v>
      </c>
      <c r="H84" s="135" t="n">
        <f aca="false">$G84*'Analyse capacite'!$F$8</f>
        <v>262</v>
      </c>
      <c r="I84" s="135" t="n">
        <f aca="false">$G84*'Analyse capacite'!$C$8</f>
        <v>18</v>
      </c>
      <c r="J84" s="135" t="n">
        <f aca="false">$G84*'Analyse capacite'!$D$8</f>
        <v>0</v>
      </c>
      <c r="K84" s="135" t="n">
        <f aca="false">$G84*'Analyse capacite'!$E$8</f>
        <v>244</v>
      </c>
    </row>
    <row r="85" customFormat="false" ht="15" hidden="false" customHeight="false" outlineLevel="0" collapsed="false">
      <c r="B85" s="130" t="n">
        <v>2027</v>
      </c>
      <c r="C85" s="131" t="s">
        <v>246</v>
      </c>
      <c r="D85" s="132" t="n">
        <v>46480</v>
      </c>
      <c r="E85" s="131" t="s">
        <v>25</v>
      </c>
      <c r="F85" s="133" t="s">
        <v>24</v>
      </c>
      <c r="G85" s="134" t="n">
        <f aca="false">LEN('Saisie programme'!$I$21)+SUMIFS('Vols additionnels'!$E$7:$E$66,'Vols additionnels'!$C$7:$C$66,$E85,'Vols additionnels'!$D$7:$D$66,$F85,'Vols additionnels'!$B$7:$B$66,$D85)</f>
        <v>0</v>
      </c>
      <c r="H85" s="135" t="n">
        <f aca="false">$G85*'Analyse capacite'!$F$9</f>
        <v>0</v>
      </c>
      <c r="I85" s="135" t="n">
        <f aca="false">$G85*'Analyse capacite'!$C$9</f>
        <v>0</v>
      </c>
      <c r="J85" s="135" t="n">
        <f aca="false">$G85*'Analyse capacite'!$D$9</f>
        <v>0</v>
      </c>
      <c r="K85" s="135" t="n">
        <f aca="false">$G85*'Analyse capacite'!$E$9</f>
        <v>0</v>
      </c>
    </row>
    <row r="86" customFormat="false" ht="15" hidden="false" customHeight="false" outlineLevel="0" collapsed="false">
      <c r="B86" s="130" t="n">
        <v>2027</v>
      </c>
      <c r="C86" s="131" t="s">
        <v>246</v>
      </c>
      <c r="D86" s="132" t="n">
        <v>46480</v>
      </c>
      <c r="E86" s="131" t="s">
        <v>36</v>
      </c>
      <c r="F86" s="133" t="s">
        <v>11</v>
      </c>
      <c r="G86" s="134" t="n">
        <f aca="false">LEN('Saisie programme'!$I$22)+SUMIFS('Vols additionnels'!$E$7:$E$66,'Vols additionnels'!$C$7:$C$66,$E86,'Vols additionnels'!$D$7:$D$66,$F86,'Vols additionnels'!$B$7:$B$66,$D86)</f>
        <v>0</v>
      </c>
      <c r="H86" s="135" t="n">
        <f aca="false">$G86*'Analyse capacite'!$F$7</f>
        <v>0</v>
      </c>
      <c r="I86" s="135" t="n">
        <f aca="false">$G86*'Analyse capacite'!$C$7</f>
        <v>0</v>
      </c>
      <c r="J86" s="135" t="n">
        <f aca="false">$G86*'Analyse capacite'!$D$7</f>
        <v>0</v>
      </c>
      <c r="K86" s="135" t="n">
        <f aca="false">$G86*'Analyse capacite'!$E$7</f>
        <v>0</v>
      </c>
    </row>
    <row r="87" customFormat="false" ht="15" hidden="false" customHeight="false" outlineLevel="0" collapsed="false">
      <c r="B87" s="130" t="n">
        <v>2027</v>
      </c>
      <c r="C87" s="131" t="s">
        <v>246</v>
      </c>
      <c r="D87" s="132" t="n">
        <v>46480</v>
      </c>
      <c r="E87" s="131" t="s">
        <v>36</v>
      </c>
      <c r="F87" s="133" t="s">
        <v>19</v>
      </c>
      <c r="G87" s="134" t="n">
        <f aca="false">LEN('Saisie programme'!$I$23)+SUMIFS('Vols additionnels'!$E$7:$E$66,'Vols additionnels'!$C$7:$C$66,$E87,'Vols additionnels'!$D$7:$D$66,$F87,'Vols additionnels'!$B$7:$B$66,$D87)</f>
        <v>0</v>
      </c>
      <c r="H87" s="135" t="n">
        <f aca="false">$G87*'Analyse capacite'!$F$8</f>
        <v>0</v>
      </c>
      <c r="I87" s="135" t="n">
        <f aca="false">$G87*'Analyse capacite'!$C$8</f>
        <v>0</v>
      </c>
      <c r="J87" s="135" t="n">
        <f aca="false">$G87*'Analyse capacite'!$D$8</f>
        <v>0</v>
      </c>
      <c r="K87" s="135" t="n">
        <f aca="false">$G87*'Analyse capacite'!$E$8</f>
        <v>0</v>
      </c>
    </row>
    <row r="88" customFormat="false" ht="15" hidden="false" customHeight="false" outlineLevel="0" collapsed="false">
      <c r="B88" s="130" t="n">
        <v>2027</v>
      </c>
      <c r="C88" s="131" t="s">
        <v>246</v>
      </c>
      <c r="D88" s="132" t="n">
        <v>46480</v>
      </c>
      <c r="E88" s="131" t="s">
        <v>36</v>
      </c>
      <c r="F88" s="133" t="s">
        <v>24</v>
      </c>
      <c r="G88" s="134" t="n">
        <f aca="false">LEN('Saisie programme'!$I$24)+SUMIFS('Vols additionnels'!$E$7:$E$66,'Vols additionnels'!$C$7:$C$66,$E88,'Vols additionnels'!$D$7:$D$66,$F88,'Vols additionnels'!$B$7:$B$66,$D88)</f>
        <v>0</v>
      </c>
      <c r="H88" s="135" t="n">
        <f aca="false">$G88*'Analyse capacite'!$F$9</f>
        <v>0</v>
      </c>
      <c r="I88" s="135" t="n">
        <f aca="false">$G88*'Analyse capacite'!$C$9</f>
        <v>0</v>
      </c>
      <c r="J88" s="135" t="n">
        <f aca="false">$G88*'Analyse capacite'!$D$9</f>
        <v>0</v>
      </c>
      <c r="K88" s="135" t="n">
        <f aca="false">$G88*'Analyse capacite'!$E$9</f>
        <v>0</v>
      </c>
    </row>
    <row r="89" customFormat="false" ht="15" hidden="false" customHeight="false" outlineLevel="0" collapsed="false">
      <c r="B89" s="130" t="n">
        <v>2027</v>
      </c>
      <c r="C89" s="131" t="s">
        <v>246</v>
      </c>
      <c r="D89" s="132" t="n">
        <v>46480</v>
      </c>
      <c r="E89" s="131" t="s">
        <v>40</v>
      </c>
      <c r="F89" s="133" t="s">
        <v>11</v>
      </c>
      <c r="G89" s="134" t="n">
        <f aca="false">LEN('Saisie programme'!$I$25)+SUMIFS('Vols additionnels'!$E$7:$E$66,'Vols additionnels'!$C$7:$C$66,$E89,'Vols additionnels'!$D$7:$D$66,$F89,'Vols additionnels'!$B$7:$B$66,$D89)</f>
        <v>0</v>
      </c>
      <c r="H89" s="135" t="n">
        <f aca="false">$G89*'Analyse capacite'!$F$7</f>
        <v>0</v>
      </c>
      <c r="I89" s="135" t="n">
        <f aca="false">$G89*'Analyse capacite'!$C$7</f>
        <v>0</v>
      </c>
      <c r="J89" s="135" t="n">
        <f aca="false">$G89*'Analyse capacite'!$D$7</f>
        <v>0</v>
      </c>
      <c r="K89" s="135" t="n">
        <f aca="false">$G89*'Analyse capacite'!$E$7</f>
        <v>0</v>
      </c>
    </row>
    <row r="90" customFormat="false" ht="15" hidden="false" customHeight="false" outlineLevel="0" collapsed="false">
      <c r="B90" s="130" t="n">
        <v>2027</v>
      </c>
      <c r="C90" s="131" t="s">
        <v>246</v>
      </c>
      <c r="D90" s="132" t="n">
        <v>46480</v>
      </c>
      <c r="E90" s="131" t="s">
        <v>40</v>
      </c>
      <c r="F90" s="133" t="s">
        <v>19</v>
      </c>
      <c r="G90" s="134" t="n">
        <f aca="false">LEN('Saisie programme'!$I$26)+SUMIFS('Vols additionnels'!$E$7:$E$66,'Vols additionnels'!$C$7:$C$66,$E90,'Vols additionnels'!$D$7:$D$66,$F90,'Vols additionnels'!$B$7:$B$66,$D90)</f>
        <v>0</v>
      </c>
      <c r="H90" s="135" t="n">
        <f aca="false">$G90*'Analyse capacite'!$F$8</f>
        <v>0</v>
      </c>
      <c r="I90" s="135" t="n">
        <f aca="false">$G90*'Analyse capacite'!$C$8</f>
        <v>0</v>
      </c>
      <c r="J90" s="135" t="n">
        <f aca="false">$G90*'Analyse capacite'!$D$8</f>
        <v>0</v>
      </c>
      <c r="K90" s="135" t="n">
        <f aca="false">$G90*'Analyse capacite'!$E$8</f>
        <v>0</v>
      </c>
    </row>
    <row r="91" customFormat="false" ht="15" hidden="false" customHeight="false" outlineLevel="0" collapsed="false">
      <c r="B91" s="130" t="n">
        <v>2027</v>
      </c>
      <c r="C91" s="131" t="s">
        <v>246</v>
      </c>
      <c r="D91" s="132" t="n">
        <v>46480</v>
      </c>
      <c r="E91" s="131" t="s">
        <v>40</v>
      </c>
      <c r="F91" s="133" t="s">
        <v>24</v>
      </c>
      <c r="G91" s="134" t="n">
        <f aca="false">LEN('Saisie programme'!$I$27)+SUMIFS('Vols additionnels'!$E$7:$E$66,'Vols additionnels'!$C$7:$C$66,$E91,'Vols additionnels'!$D$7:$D$66,$F91,'Vols additionnels'!$B$7:$B$66,$D91)</f>
        <v>0</v>
      </c>
      <c r="H91" s="135" t="n">
        <f aca="false">$G91*'Analyse capacite'!$F$9</f>
        <v>0</v>
      </c>
      <c r="I91" s="135" t="n">
        <f aca="false">$G91*'Analyse capacite'!$C$9</f>
        <v>0</v>
      </c>
      <c r="J91" s="135" t="n">
        <f aca="false">$G91*'Analyse capacite'!$D$9</f>
        <v>0</v>
      </c>
      <c r="K91" s="135" t="n">
        <f aca="false">$G91*'Analyse capacite'!$E$9</f>
        <v>0</v>
      </c>
    </row>
    <row r="92" customFormat="false" ht="15" hidden="false" customHeight="false" outlineLevel="0" collapsed="false">
      <c r="B92" s="130" t="n">
        <v>2027</v>
      </c>
      <c r="C92" s="131" t="s">
        <v>246</v>
      </c>
      <c r="D92" s="132" t="n">
        <v>46480</v>
      </c>
      <c r="E92" s="131" t="s">
        <v>14</v>
      </c>
      <c r="F92" s="133" t="s">
        <v>11</v>
      </c>
      <c r="G92" s="134" t="n">
        <f aca="false">LEN('Saisie programme'!$I$28)+SUMIFS('Vols additionnels'!$E$7:$E$66,'Vols additionnels'!$C$7:$C$66,$E92,'Vols additionnels'!$D$7:$D$66,$F92,'Vols additionnels'!$B$7:$B$66,$D92)</f>
        <v>0</v>
      </c>
      <c r="H92" s="135" t="n">
        <f aca="false">$G92*'Analyse capacite'!$F$7</f>
        <v>0</v>
      </c>
      <c r="I92" s="135" t="n">
        <f aca="false">$G92*'Analyse capacite'!$C$7</f>
        <v>0</v>
      </c>
      <c r="J92" s="135" t="n">
        <f aca="false">$G92*'Analyse capacite'!$D$7</f>
        <v>0</v>
      </c>
      <c r="K92" s="135" t="n">
        <f aca="false">$G92*'Analyse capacite'!$E$7</f>
        <v>0</v>
      </c>
    </row>
    <row r="93" customFormat="false" ht="15" hidden="false" customHeight="false" outlineLevel="0" collapsed="false">
      <c r="B93" s="130" t="n">
        <v>2027</v>
      </c>
      <c r="C93" s="131" t="s">
        <v>246</v>
      </c>
      <c r="D93" s="132" t="n">
        <v>46480</v>
      </c>
      <c r="E93" s="131" t="s">
        <v>14</v>
      </c>
      <c r="F93" s="133" t="s">
        <v>19</v>
      </c>
      <c r="G93" s="134" t="n">
        <f aca="false">LEN('Saisie programme'!$I$29)+SUMIFS('Vols additionnels'!$E$7:$E$66,'Vols additionnels'!$C$7:$C$66,$E93,'Vols additionnels'!$D$7:$D$66,$F93,'Vols additionnels'!$B$7:$B$66,$D93)</f>
        <v>0</v>
      </c>
      <c r="H93" s="135" t="n">
        <f aca="false">$G93*'Analyse capacite'!$F$8</f>
        <v>0</v>
      </c>
      <c r="I93" s="135" t="n">
        <f aca="false">$G93*'Analyse capacite'!$C$8</f>
        <v>0</v>
      </c>
      <c r="J93" s="135" t="n">
        <f aca="false">$G93*'Analyse capacite'!$D$8</f>
        <v>0</v>
      </c>
      <c r="K93" s="135" t="n">
        <f aca="false">$G93*'Analyse capacite'!$E$8</f>
        <v>0</v>
      </c>
    </row>
    <row r="94" customFormat="false" ht="15" hidden="false" customHeight="false" outlineLevel="0" collapsed="false">
      <c r="B94" s="130" t="n">
        <v>2027</v>
      </c>
      <c r="C94" s="131" t="s">
        <v>246</v>
      </c>
      <c r="D94" s="132" t="n">
        <v>46480</v>
      </c>
      <c r="E94" s="131" t="s">
        <v>14</v>
      </c>
      <c r="F94" s="133" t="s">
        <v>24</v>
      </c>
      <c r="G94" s="134" t="n">
        <f aca="false">LEN('Saisie programme'!$I$30)+SUMIFS('Vols additionnels'!$E$7:$E$66,'Vols additionnels'!$C$7:$C$66,$E94,'Vols additionnels'!$D$7:$D$66,$F94,'Vols additionnels'!$B$7:$B$66,$D94)</f>
        <v>1</v>
      </c>
      <c r="H94" s="135" t="n">
        <f aca="false">$G94*'Analyse capacite'!$F$9</f>
        <v>174</v>
      </c>
      <c r="I94" s="135" t="n">
        <f aca="false">$G94*'Analyse capacite'!$C$9</f>
        <v>0</v>
      </c>
      <c r="J94" s="135" t="n">
        <f aca="false">$G94*'Analyse capacite'!$D$9</f>
        <v>12</v>
      </c>
      <c r="K94" s="135" t="n">
        <f aca="false">$G94*'Analyse capacite'!$E$9</f>
        <v>162</v>
      </c>
    </row>
    <row r="95" customFormat="false" ht="15" hidden="false" customHeight="false" outlineLevel="0" collapsed="false">
      <c r="B95" s="130" t="n">
        <v>2027</v>
      </c>
      <c r="C95" s="131" t="s">
        <v>246</v>
      </c>
      <c r="D95" s="132" t="n">
        <v>46480</v>
      </c>
      <c r="E95" s="131" t="s">
        <v>46</v>
      </c>
      <c r="F95" s="133" t="s">
        <v>11</v>
      </c>
      <c r="G95" s="134" t="n">
        <f aca="false">LEN('Saisie programme'!$I$31)+SUMIFS('Vols additionnels'!$E$7:$E$66,'Vols additionnels'!$C$7:$C$66,$E95,'Vols additionnels'!$D$7:$D$66,$F95,'Vols additionnels'!$B$7:$B$66,$D95)</f>
        <v>0</v>
      </c>
      <c r="H95" s="135" t="n">
        <f aca="false">$G95*'Analyse capacite'!$F$7</f>
        <v>0</v>
      </c>
      <c r="I95" s="135" t="n">
        <f aca="false">$G95*'Analyse capacite'!$C$7</f>
        <v>0</v>
      </c>
      <c r="J95" s="135" t="n">
        <f aca="false">$G95*'Analyse capacite'!$D$7</f>
        <v>0</v>
      </c>
      <c r="K95" s="135" t="n">
        <f aca="false">$G95*'Analyse capacite'!$E$7</f>
        <v>0</v>
      </c>
    </row>
    <row r="96" customFormat="false" ht="15" hidden="false" customHeight="false" outlineLevel="0" collapsed="false">
      <c r="B96" s="130" t="n">
        <v>2027</v>
      </c>
      <c r="C96" s="131" t="s">
        <v>246</v>
      </c>
      <c r="D96" s="132" t="n">
        <v>46480</v>
      </c>
      <c r="E96" s="131" t="s">
        <v>46</v>
      </c>
      <c r="F96" s="133" t="s">
        <v>19</v>
      </c>
      <c r="G96" s="134" t="n">
        <f aca="false">LEN('Saisie programme'!$I$32)+SUMIFS('Vols additionnels'!$E$7:$E$66,'Vols additionnels'!$C$7:$C$66,$E96,'Vols additionnels'!$D$7:$D$66,$F96,'Vols additionnels'!$B$7:$B$66,$D96)</f>
        <v>0</v>
      </c>
      <c r="H96" s="135" t="n">
        <f aca="false">$G96*'Analyse capacite'!$F$8</f>
        <v>0</v>
      </c>
      <c r="I96" s="135" t="n">
        <f aca="false">$G96*'Analyse capacite'!$C$8</f>
        <v>0</v>
      </c>
      <c r="J96" s="135" t="n">
        <f aca="false">$G96*'Analyse capacite'!$D$8</f>
        <v>0</v>
      </c>
      <c r="K96" s="135" t="n">
        <f aca="false">$G96*'Analyse capacite'!$E$8</f>
        <v>0</v>
      </c>
    </row>
    <row r="97" customFormat="false" ht="15" hidden="false" customHeight="false" outlineLevel="0" collapsed="false">
      <c r="B97" s="130" t="n">
        <v>2027</v>
      </c>
      <c r="C97" s="131" t="s">
        <v>246</v>
      </c>
      <c r="D97" s="132" t="n">
        <v>46480</v>
      </c>
      <c r="E97" s="131" t="s">
        <v>46</v>
      </c>
      <c r="F97" s="133" t="s">
        <v>24</v>
      </c>
      <c r="G97" s="134" t="n">
        <f aca="false">LEN('Saisie programme'!$I$33)+SUMIFS('Vols additionnels'!$E$7:$E$66,'Vols additionnels'!$C$7:$C$66,$E97,'Vols additionnels'!$D$7:$D$66,$F97,'Vols additionnels'!$B$7:$B$66,$D97)</f>
        <v>1</v>
      </c>
      <c r="H97" s="135" t="n">
        <f aca="false">$G97*'Analyse capacite'!$F$9</f>
        <v>174</v>
      </c>
      <c r="I97" s="135" t="n">
        <f aca="false">$G97*'Analyse capacite'!$C$9</f>
        <v>0</v>
      </c>
      <c r="J97" s="135" t="n">
        <f aca="false">$G97*'Analyse capacite'!$D$9</f>
        <v>12</v>
      </c>
      <c r="K97" s="135" t="n">
        <f aca="false">$G97*'Analyse capacite'!$E$9</f>
        <v>162</v>
      </c>
    </row>
    <row r="98" customFormat="false" ht="15" hidden="false" customHeight="false" outlineLevel="0" collapsed="false">
      <c r="B98" s="130" t="n">
        <v>2027</v>
      </c>
      <c r="C98" s="131" t="s">
        <v>246</v>
      </c>
      <c r="D98" s="132" t="n">
        <v>46480</v>
      </c>
      <c r="E98" s="131" t="s">
        <v>49</v>
      </c>
      <c r="F98" s="133" t="s">
        <v>11</v>
      </c>
      <c r="G98" s="134" t="n">
        <f aca="false">LEN('Saisie programme'!$I$34)+SUMIFS('Vols additionnels'!$E$7:$E$66,'Vols additionnels'!$C$7:$C$66,$E98,'Vols additionnels'!$D$7:$D$66,$F98,'Vols additionnels'!$B$7:$B$66,$D98)</f>
        <v>0</v>
      </c>
      <c r="H98" s="135" t="n">
        <f aca="false">$G98*'Analyse capacite'!$F$7</f>
        <v>0</v>
      </c>
      <c r="I98" s="135" t="n">
        <f aca="false">$G98*'Analyse capacite'!$C$7</f>
        <v>0</v>
      </c>
      <c r="J98" s="135" t="n">
        <f aca="false">$G98*'Analyse capacite'!$D$7</f>
        <v>0</v>
      </c>
      <c r="K98" s="135" t="n">
        <f aca="false">$G98*'Analyse capacite'!$E$7</f>
        <v>0</v>
      </c>
    </row>
    <row r="99" customFormat="false" ht="15" hidden="false" customHeight="false" outlineLevel="0" collapsed="false">
      <c r="B99" s="130" t="n">
        <v>2027</v>
      </c>
      <c r="C99" s="131" t="s">
        <v>246</v>
      </c>
      <c r="D99" s="132" t="n">
        <v>46480</v>
      </c>
      <c r="E99" s="131" t="s">
        <v>49</v>
      </c>
      <c r="F99" s="133" t="s">
        <v>19</v>
      </c>
      <c r="G99" s="134" t="n">
        <f aca="false">LEN('Saisie programme'!$I$35)+SUMIFS('Vols additionnels'!$E$7:$E$66,'Vols additionnels'!$C$7:$C$66,$E99,'Vols additionnels'!$D$7:$D$66,$F99,'Vols additionnels'!$B$7:$B$66,$D99)</f>
        <v>0</v>
      </c>
      <c r="H99" s="135" t="n">
        <f aca="false">$G99*'Analyse capacite'!$F$8</f>
        <v>0</v>
      </c>
      <c r="I99" s="135" t="n">
        <f aca="false">$G99*'Analyse capacite'!$C$8</f>
        <v>0</v>
      </c>
      <c r="J99" s="135" t="n">
        <f aca="false">$G99*'Analyse capacite'!$D$8</f>
        <v>0</v>
      </c>
      <c r="K99" s="135" t="n">
        <f aca="false">$G99*'Analyse capacite'!$E$8</f>
        <v>0</v>
      </c>
    </row>
    <row r="100" customFormat="false" ht="15" hidden="false" customHeight="false" outlineLevel="0" collapsed="false">
      <c r="B100" s="130" t="n">
        <v>2027</v>
      </c>
      <c r="C100" s="131" t="s">
        <v>246</v>
      </c>
      <c r="D100" s="132" t="n">
        <v>46480</v>
      </c>
      <c r="E100" s="131" t="s">
        <v>49</v>
      </c>
      <c r="F100" s="133" t="s">
        <v>24</v>
      </c>
      <c r="G100" s="134" t="n">
        <f aca="false">LEN('Saisie programme'!$I$36)+SUMIFS('Vols additionnels'!$E$7:$E$66,'Vols additionnels'!$C$7:$C$66,$E100,'Vols additionnels'!$D$7:$D$66,$F100,'Vols additionnels'!$B$7:$B$66,$D100)</f>
        <v>0</v>
      </c>
      <c r="H100" s="135" t="n">
        <f aca="false">$G100*'Analyse capacite'!$F$9</f>
        <v>0</v>
      </c>
      <c r="I100" s="135" t="n">
        <f aca="false">$G100*'Analyse capacite'!$C$9</f>
        <v>0</v>
      </c>
      <c r="J100" s="135" t="n">
        <f aca="false">$G100*'Analyse capacite'!$D$9</f>
        <v>0</v>
      </c>
      <c r="K100" s="135" t="n">
        <f aca="false">$G100*'Analyse capacite'!$E$9</f>
        <v>0</v>
      </c>
    </row>
    <row r="101" customFormat="false" ht="15" hidden="false" customHeight="false" outlineLevel="0" collapsed="false">
      <c r="B101" s="130" t="n">
        <v>2027</v>
      </c>
      <c r="C101" s="131" t="s">
        <v>246</v>
      </c>
      <c r="D101" s="132" t="n">
        <v>46480</v>
      </c>
      <c r="E101" s="131" t="s">
        <v>53</v>
      </c>
      <c r="F101" s="133" t="s">
        <v>11</v>
      </c>
      <c r="G101" s="134" t="n">
        <f aca="false">LEN('Saisie programme'!$I$37)+SUMIFS('Vols additionnels'!$E$7:$E$66,'Vols additionnels'!$C$7:$C$66,$E101,'Vols additionnels'!$D$7:$D$66,$F101,'Vols additionnels'!$B$7:$B$66,$D101)</f>
        <v>0</v>
      </c>
      <c r="H101" s="135" t="n">
        <f aca="false">$G101*'Analyse capacite'!$F$7</f>
        <v>0</v>
      </c>
      <c r="I101" s="135" t="n">
        <f aca="false">$G101*'Analyse capacite'!$C$7</f>
        <v>0</v>
      </c>
      <c r="J101" s="135" t="n">
        <f aca="false">$G101*'Analyse capacite'!$D$7</f>
        <v>0</v>
      </c>
      <c r="K101" s="135" t="n">
        <f aca="false">$G101*'Analyse capacite'!$E$7</f>
        <v>0</v>
      </c>
    </row>
    <row r="102" customFormat="false" ht="15" hidden="false" customHeight="false" outlineLevel="0" collapsed="false">
      <c r="B102" s="130" t="n">
        <v>2027</v>
      </c>
      <c r="C102" s="131" t="s">
        <v>246</v>
      </c>
      <c r="D102" s="132" t="n">
        <v>46480</v>
      </c>
      <c r="E102" s="131" t="s">
        <v>53</v>
      </c>
      <c r="F102" s="133" t="s">
        <v>19</v>
      </c>
      <c r="G102" s="134" t="n">
        <f aca="false">LEN('Saisie programme'!$I$38)+SUMIFS('Vols additionnels'!$E$7:$E$66,'Vols additionnels'!$C$7:$C$66,$E102,'Vols additionnels'!$D$7:$D$66,$F102,'Vols additionnels'!$B$7:$B$66,$D102)</f>
        <v>0</v>
      </c>
      <c r="H102" s="135" t="n">
        <f aca="false">$G102*'Analyse capacite'!$F$8</f>
        <v>0</v>
      </c>
      <c r="I102" s="135" t="n">
        <f aca="false">$G102*'Analyse capacite'!$C$8</f>
        <v>0</v>
      </c>
      <c r="J102" s="135" t="n">
        <f aca="false">$G102*'Analyse capacite'!$D$8</f>
        <v>0</v>
      </c>
      <c r="K102" s="135" t="n">
        <f aca="false">$G102*'Analyse capacite'!$E$8</f>
        <v>0</v>
      </c>
    </row>
    <row r="103" customFormat="false" ht="15" hidden="false" customHeight="false" outlineLevel="0" collapsed="false">
      <c r="B103" s="130" t="n">
        <v>2027</v>
      </c>
      <c r="C103" s="131" t="s">
        <v>246</v>
      </c>
      <c r="D103" s="132" t="n">
        <v>46480</v>
      </c>
      <c r="E103" s="131" t="s">
        <v>53</v>
      </c>
      <c r="F103" s="133" t="s">
        <v>24</v>
      </c>
      <c r="G103" s="134" t="n">
        <f aca="false">LEN('Saisie programme'!$I$39)+SUMIFS('Vols additionnels'!$E$7:$E$66,'Vols additionnels'!$C$7:$C$66,$E103,'Vols additionnels'!$D$7:$D$66,$F103,'Vols additionnels'!$B$7:$B$66,$D103)</f>
        <v>0</v>
      </c>
      <c r="H103" s="135" t="n">
        <f aca="false">$G103*'Analyse capacite'!$F$9</f>
        <v>0</v>
      </c>
      <c r="I103" s="135" t="n">
        <f aca="false">$G103*'Analyse capacite'!$C$9</f>
        <v>0</v>
      </c>
      <c r="J103" s="135" t="n">
        <f aca="false">$G103*'Analyse capacite'!$D$9</f>
        <v>0</v>
      </c>
      <c r="K103" s="135" t="n">
        <f aca="false">$G103*'Analyse capacite'!$E$9</f>
        <v>0</v>
      </c>
    </row>
    <row r="104" customFormat="false" ht="15" hidden="false" customHeight="false" outlineLevel="0" collapsed="false">
      <c r="B104" s="130" t="n">
        <v>2027</v>
      </c>
      <c r="C104" s="131" t="s">
        <v>246</v>
      </c>
      <c r="D104" s="132" t="n">
        <v>46480</v>
      </c>
      <c r="E104" s="131" t="s">
        <v>56</v>
      </c>
      <c r="F104" s="133" t="s">
        <v>11</v>
      </c>
      <c r="G104" s="134" t="n">
        <f aca="false">LEN('Saisie programme'!$I$40)+SUMIFS('Vols additionnels'!$E$7:$E$66,'Vols additionnels'!$C$7:$C$66,$E104,'Vols additionnels'!$D$7:$D$66,$F104,'Vols additionnels'!$B$7:$B$66,$D104)</f>
        <v>0</v>
      </c>
      <c r="H104" s="135" t="n">
        <f aca="false">$G104*'Analyse capacite'!$F$7</f>
        <v>0</v>
      </c>
      <c r="I104" s="135" t="n">
        <f aca="false">$G104*'Analyse capacite'!$C$7</f>
        <v>0</v>
      </c>
      <c r="J104" s="135" t="n">
        <f aca="false">$G104*'Analyse capacite'!$D$7</f>
        <v>0</v>
      </c>
      <c r="K104" s="135" t="n">
        <f aca="false">$G104*'Analyse capacite'!$E$7</f>
        <v>0</v>
      </c>
    </row>
    <row r="105" customFormat="false" ht="15" hidden="false" customHeight="false" outlineLevel="0" collapsed="false">
      <c r="B105" s="130" t="n">
        <v>2027</v>
      </c>
      <c r="C105" s="131" t="s">
        <v>246</v>
      </c>
      <c r="D105" s="132" t="n">
        <v>46480</v>
      </c>
      <c r="E105" s="131" t="s">
        <v>56</v>
      </c>
      <c r="F105" s="133" t="s">
        <v>19</v>
      </c>
      <c r="G105" s="134" t="n">
        <f aca="false">LEN('Saisie programme'!$I$41)+SUMIFS('Vols additionnels'!$E$7:$E$66,'Vols additionnels'!$C$7:$C$66,$E105,'Vols additionnels'!$D$7:$D$66,$F105,'Vols additionnels'!$B$7:$B$66,$D105)</f>
        <v>0</v>
      </c>
      <c r="H105" s="135" t="n">
        <f aca="false">$G105*'Analyse capacite'!$F$8</f>
        <v>0</v>
      </c>
      <c r="I105" s="135" t="n">
        <f aca="false">$G105*'Analyse capacite'!$C$8</f>
        <v>0</v>
      </c>
      <c r="J105" s="135" t="n">
        <f aca="false">$G105*'Analyse capacite'!$D$8</f>
        <v>0</v>
      </c>
      <c r="K105" s="135" t="n">
        <f aca="false">$G105*'Analyse capacite'!$E$8</f>
        <v>0</v>
      </c>
    </row>
    <row r="106" customFormat="false" ht="15" hidden="false" customHeight="false" outlineLevel="0" collapsed="false">
      <c r="B106" s="130" t="n">
        <v>2027</v>
      </c>
      <c r="C106" s="131" t="s">
        <v>246</v>
      </c>
      <c r="D106" s="132" t="n">
        <v>46480</v>
      </c>
      <c r="E106" s="131" t="s">
        <v>56</v>
      </c>
      <c r="F106" s="133" t="s">
        <v>24</v>
      </c>
      <c r="G106" s="134" t="n">
        <f aca="false">LEN('Saisie programme'!$I$42)+SUMIFS('Vols additionnels'!$E$7:$E$66,'Vols additionnels'!$C$7:$C$66,$E106,'Vols additionnels'!$D$7:$D$66,$F106,'Vols additionnels'!$B$7:$B$66,$D106)</f>
        <v>1</v>
      </c>
      <c r="H106" s="135" t="n">
        <f aca="false">$G106*'Analyse capacite'!$F$9</f>
        <v>174</v>
      </c>
      <c r="I106" s="135" t="n">
        <f aca="false">$G106*'Analyse capacite'!$C$9</f>
        <v>0</v>
      </c>
      <c r="J106" s="135" t="n">
        <f aca="false">$G106*'Analyse capacite'!$D$9</f>
        <v>12</v>
      </c>
      <c r="K106" s="135" t="n">
        <f aca="false">$G106*'Analyse capacite'!$E$9</f>
        <v>162</v>
      </c>
    </row>
    <row r="107" customFormat="false" ht="15" hidden="false" customHeight="false" outlineLevel="0" collapsed="false">
      <c r="B107" s="130" t="n">
        <v>2027</v>
      </c>
      <c r="C107" s="131" t="s">
        <v>246</v>
      </c>
      <c r="D107" s="132" t="n">
        <v>46480</v>
      </c>
      <c r="E107" s="131" t="s">
        <v>59</v>
      </c>
      <c r="F107" s="133" t="s">
        <v>11</v>
      </c>
      <c r="G107" s="134" t="n">
        <f aca="false">LEN('Saisie programme'!$I$43)+SUMIFS('Vols additionnels'!$E$7:$E$66,'Vols additionnels'!$C$7:$C$66,$E107,'Vols additionnels'!$D$7:$D$66,$F107,'Vols additionnels'!$B$7:$B$66,$D107)</f>
        <v>0</v>
      </c>
      <c r="H107" s="135" t="n">
        <f aca="false">$G107*'Analyse capacite'!$F$7</f>
        <v>0</v>
      </c>
      <c r="I107" s="135" t="n">
        <f aca="false">$G107*'Analyse capacite'!$C$7</f>
        <v>0</v>
      </c>
      <c r="J107" s="135" t="n">
        <f aca="false">$G107*'Analyse capacite'!$D$7</f>
        <v>0</v>
      </c>
      <c r="K107" s="135" t="n">
        <f aca="false">$G107*'Analyse capacite'!$E$7</f>
        <v>0</v>
      </c>
    </row>
    <row r="108" customFormat="false" ht="15" hidden="false" customHeight="false" outlineLevel="0" collapsed="false">
      <c r="B108" s="130" t="n">
        <v>2027</v>
      </c>
      <c r="C108" s="131" t="s">
        <v>246</v>
      </c>
      <c r="D108" s="132" t="n">
        <v>46480</v>
      </c>
      <c r="E108" s="131" t="s">
        <v>59</v>
      </c>
      <c r="F108" s="133" t="s">
        <v>19</v>
      </c>
      <c r="G108" s="134" t="n">
        <f aca="false">LEN('Saisie programme'!$I$44)+SUMIFS('Vols additionnels'!$E$7:$E$66,'Vols additionnels'!$C$7:$C$66,$E108,'Vols additionnels'!$D$7:$D$66,$F108,'Vols additionnels'!$B$7:$B$66,$D108)</f>
        <v>0</v>
      </c>
      <c r="H108" s="135" t="n">
        <f aca="false">$G108*'Analyse capacite'!$F$8</f>
        <v>0</v>
      </c>
      <c r="I108" s="135" t="n">
        <f aca="false">$G108*'Analyse capacite'!$C$8</f>
        <v>0</v>
      </c>
      <c r="J108" s="135" t="n">
        <f aca="false">$G108*'Analyse capacite'!$D$8</f>
        <v>0</v>
      </c>
      <c r="K108" s="135" t="n">
        <f aca="false">$G108*'Analyse capacite'!$E$8</f>
        <v>0</v>
      </c>
    </row>
    <row r="109" customFormat="false" ht="15" hidden="false" customHeight="false" outlineLevel="0" collapsed="false">
      <c r="B109" s="130" t="n">
        <v>2027</v>
      </c>
      <c r="C109" s="131" t="s">
        <v>246</v>
      </c>
      <c r="D109" s="132" t="n">
        <v>46480</v>
      </c>
      <c r="E109" s="131" t="s">
        <v>59</v>
      </c>
      <c r="F109" s="133" t="s">
        <v>24</v>
      </c>
      <c r="G109" s="134" t="n">
        <f aca="false">LEN('Saisie programme'!$I$45)+SUMIFS('Vols additionnels'!$E$7:$E$66,'Vols additionnels'!$C$7:$C$66,$E109,'Vols additionnels'!$D$7:$D$66,$F109,'Vols additionnels'!$B$7:$B$66,$D109)</f>
        <v>1</v>
      </c>
      <c r="H109" s="135" t="n">
        <f aca="false">$G109*'Analyse capacite'!$F$9</f>
        <v>174</v>
      </c>
      <c r="I109" s="135" t="n">
        <f aca="false">$G109*'Analyse capacite'!$C$9</f>
        <v>0</v>
      </c>
      <c r="J109" s="135" t="n">
        <f aca="false">$G109*'Analyse capacite'!$D$9</f>
        <v>12</v>
      </c>
      <c r="K109" s="135" t="n">
        <f aca="false">$G109*'Analyse capacite'!$E$9</f>
        <v>162</v>
      </c>
    </row>
    <row r="110" customFormat="false" ht="15" hidden="false" customHeight="false" outlineLevel="0" collapsed="false">
      <c r="B110" s="130" t="n">
        <v>2027</v>
      </c>
      <c r="C110" s="131" t="s">
        <v>246</v>
      </c>
      <c r="D110" s="132" t="n">
        <v>46480</v>
      </c>
      <c r="E110" s="131" t="s">
        <v>62</v>
      </c>
      <c r="F110" s="133" t="s">
        <v>11</v>
      </c>
      <c r="G110" s="134" t="n">
        <f aca="false">LEN('Saisie programme'!$I$46)+SUMIFS('Vols additionnels'!$E$7:$E$66,'Vols additionnels'!$C$7:$C$66,$E110,'Vols additionnels'!$D$7:$D$66,$F110,'Vols additionnels'!$B$7:$B$66,$D110)</f>
        <v>0</v>
      </c>
      <c r="H110" s="135" t="n">
        <f aca="false">$G110*'Analyse capacite'!$F$7</f>
        <v>0</v>
      </c>
      <c r="I110" s="135" t="n">
        <f aca="false">$G110*'Analyse capacite'!$C$7</f>
        <v>0</v>
      </c>
      <c r="J110" s="135" t="n">
        <f aca="false">$G110*'Analyse capacite'!$D$7</f>
        <v>0</v>
      </c>
      <c r="K110" s="135" t="n">
        <f aca="false">$G110*'Analyse capacite'!$E$7</f>
        <v>0</v>
      </c>
    </row>
    <row r="111" customFormat="false" ht="15" hidden="false" customHeight="false" outlineLevel="0" collapsed="false">
      <c r="B111" s="130" t="n">
        <v>2027</v>
      </c>
      <c r="C111" s="131" t="s">
        <v>246</v>
      </c>
      <c r="D111" s="132" t="n">
        <v>46480</v>
      </c>
      <c r="E111" s="131" t="s">
        <v>62</v>
      </c>
      <c r="F111" s="133" t="s">
        <v>19</v>
      </c>
      <c r="G111" s="134" t="n">
        <f aca="false">LEN('Saisie programme'!$I$47)+SUMIFS('Vols additionnels'!$E$7:$E$66,'Vols additionnels'!$C$7:$C$66,$E111,'Vols additionnels'!$D$7:$D$66,$F111,'Vols additionnels'!$B$7:$B$66,$D111)</f>
        <v>0</v>
      </c>
      <c r="H111" s="135" t="n">
        <f aca="false">$G111*'Analyse capacite'!$F$8</f>
        <v>0</v>
      </c>
      <c r="I111" s="135" t="n">
        <f aca="false">$G111*'Analyse capacite'!$C$8</f>
        <v>0</v>
      </c>
      <c r="J111" s="135" t="n">
        <f aca="false">$G111*'Analyse capacite'!$D$8</f>
        <v>0</v>
      </c>
      <c r="K111" s="135" t="n">
        <f aca="false">$G111*'Analyse capacite'!$E$8</f>
        <v>0</v>
      </c>
    </row>
    <row r="112" customFormat="false" ht="15" hidden="false" customHeight="false" outlineLevel="0" collapsed="false">
      <c r="B112" s="130" t="n">
        <v>2027</v>
      </c>
      <c r="C112" s="131" t="s">
        <v>246</v>
      </c>
      <c r="D112" s="132" t="n">
        <v>46480</v>
      </c>
      <c r="E112" s="131" t="s">
        <v>62</v>
      </c>
      <c r="F112" s="133" t="s">
        <v>24</v>
      </c>
      <c r="G112" s="134" t="n">
        <f aca="false">LEN('Saisie programme'!$I$48)+SUMIFS('Vols additionnels'!$E$7:$E$66,'Vols additionnels'!$C$7:$C$66,$E112,'Vols additionnels'!$D$7:$D$66,$F112,'Vols additionnels'!$B$7:$B$66,$D112)</f>
        <v>0</v>
      </c>
      <c r="H112" s="135" t="n">
        <f aca="false">$G112*'Analyse capacite'!$F$9</f>
        <v>0</v>
      </c>
      <c r="I112" s="135" t="n">
        <f aca="false">$G112*'Analyse capacite'!$C$9</f>
        <v>0</v>
      </c>
      <c r="J112" s="135" t="n">
        <f aca="false">$G112*'Analyse capacite'!$D$9</f>
        <v>0</v>
      </c>
      <c r="K112" s="135" t="n">
        <f aca="false">$G112*'Analyse capacite'!$E$9</f>
        <v>0</v>
      </c>
    </row>
    <row r="113" customFormat="false" ht="15" hidden="false" customHeight="false" outlineLevel="0" collapsed="false">
      <c r="B113" s="130" t="n">
        <v>2027</v>
      </c>
      <c r="C113" s="131" t="s">
        <v>246</v>
      </c>
      <c r="D113" s="132" t="n">
        <v>46481</v>
      </c>
      <c r="E113" s="131" t="s">
        <v>12</v>
      </c>
      <c r="F113" s="133" t="s">
        <v>11</v>
      </c>
      <c r="G113" s="134" t="n">
        <f aca="false">LEN('Saisie programme'!$J$13)+SUMIFS('Vols additionnels'!$E$7:$E$66,'Vols additionnels'!$C$7:$C$66,$E113,'Vols additionnels'!$D$7:$D$66,$F113,'Vols additionnels'!$B$7:$B$66,$D113)</f>
        <v>1</v>
      </c>
      <c r="H113" s="135" t="n">
        <f aca="false">$G113*'Analyse capacite'!$F$7</f>
        <v>438</v>
      </c>
      <c r="I113" s="135" t="n">
        <f aca="false">$G113*'Analyse capacite'!$C$7</f>
        <v>14</v>
      </c>
      <c r="J113" s="135" t="n">
        <f aca="false">$G113*'Analyse capacite'!$D$7</f>
        <v>40</v>
      </c>
      <c r="K113" s="135" t="n">
        <f aca="false">$G113*'Analyse capacite'!$E$7</f>
        <v>384</v>
      </c>
    </row>
    <row r="114" customFormat="false" ht="15" hidden="false" customHeight="false" outlineLevel="0" collapsed="false">
      <c r="B114" s="130" t="n">
        <v>2027</v>
      </c>
      <c r="C114" s="131" t="s">
        <v>246</v>
      </c>
      <c r="D114" s="132" t="n">
        <v>46481</v>
      </c>
      <c r="E114" s="131" t="s">
        <v>12</v>
      </c>
      <c r="F114" s="133" t="s">
        <v>19</v>
      </c>
      <c r="G114" s="134" t="n">
        <f aca="false">LEN('Saisie programme'!$J$14)+SUMIFS('Vols additionnels'!$E$7:$E$66,'Vols additionnels'!$C$7:$C$66,$E114,'Vols additionnels'!$D$7:$D$66,$F114,'Vols additionnels'!$B$7:$B$66,$D114)</f>
        <v>0</v>
      </c>
      <c r="H114" s="135" t="n">
        <f aca="false">$G114*'Analyse capacite'!$F$8</f>
        <v>0</v>
      </c>
      <c r="I114" s="135" t="n">
        <f aca="false">$G114*'Analyse capacite'!$C$8</f>
        <v>0</v>
      </c>
      <c r="J114" s="135" t="n">
        <f aca="false">$G114*'Analyse capacite'!$D$8</f>
        <v>0</v>
      </c>
      <c r="K114" s="135" t="n">
        <f aca="false">$G114*'Analyse capacite'!$E$8</f>
        <v>0</v>
      </c>
    </row>
    <row r="115" customFormat="false" ht="15" hidden="false" customHeight="false" outlineLevel="0" collapsed="false">
      <c r="B115" s="130" t="n">
        <v>2027</v>
      </c>
      <c r="C115" s="131" t="s">
        <v>246</v>
      </c>
      <c r="D115" s="132" t="n">
        <v>46481</v>
      </c>
      <c r="E115" s="131" t="s">
        <v>12</v>
      </c>
      <c r="F115" s="133" t="s">
        <v>24</v>
      </c>
      <c r="G115" s="134" t="n">
        <f aca="false">LEN('Saisie programme'!$J$15)+SUMIFS('Vols additionnels'!$E$7:$E$66,'Vols additionnels'!$C$7:$C$66,$E115,'Vols additionnels'!$D$7:$D$66,$F115,'Vols additionnels'!$B$7:$B$66,$D115)</f>
        <v>0</v>
      </c>
      <c r="H115" s="135" t="n">
        <f aca="false">$G115*'Analyse capacite'!$F$9</f>
        <v>0</v>
      </c>
      <c r="I115" s="135" t="n">
        <f aca="false">$G115*'Analyse capacite'!$C$9</f>
        <v>0</v>
      </c>
      <c r="J115" s="135" t="n">
        <f aca="false">$G115*'Analyse capacite'!$D$9</f>
        <v>0</v>
      </c>
      <c r="K115" s="135" t="n">
        <f aca="false">$G115*'Analyse capacite'!$E$9</f>
        <v>0</v>
      </c>
    </row>
    <row r="116" customFormat="false" ht="15" hidden="false" customHeight="false" outlineLevel="0" collapsed="false">
      <c r="B116" s="130" t="n">
        <v>2027</v>
      </c>
      <c r="C116" s="131" t="s">
        <v>246</v>
      </c>
      <c r="D116" s="132" t="n">
        <v>46481</v>
      </c>
      <c r="E116" s="131" t="s">
        <v>20</v>
      </c>
      <c r="F116" s="133" t="s">
        <v>11</v>
      </c>
      <c r="G116" s="134" t="n">
        <f aca="false">LEN('Saisie programme'!$J$16)+SUMIFS('Vols additionnels'!$E$7:$E$66,'Vols additionnels'!$C$7:$C$66,$E116,'Vols additionnels'!$D$7:$D$66,$F116,'Vols additionnels'!$B$7:$B$66,$D116)</f>
        <v>1</v>
      </c>
      <c r="H116" s="135" t="n">
        <f aca="false">$G116*'Analyse capacite'!$F$7</f>
        <v>438</v>
      </c>
      <c r="I116" s="135" t="n">
        <f aca="false">$G116*'Analyse capacite'!$C$7</f>
        <v>14</v>
      </c>
      <c r="J116" s="135" t="n">
        <f aca="false">$G116*'Analyse capacite'!$D$7</f>
        <v>40</v>
      </c>
      <c r="K116" s="135" t="n">
        <f aca="false">$G116*'Analyse capacite'!$E$7</f>
        <v>384</v>
      </c>
    </row>
    <row r="117" customFormat="false" ht="15" hidden="false" customHeight="false" outlineLevel="0" collapsed="false">
      <c r="B117" s="130" t="n">
        <v>2027</v>
      </c>
      <c r="C117" s="131" t="s">
        <v>246</v>
      </c>
      <c r="D117" s="132" t="n">
        <v>46481</v>
      </c>
      <c r="E117" s="131" t="s">
        <v>20</v>
      </c>
      <c r="F117" s="133" t="s">
        <v>19</v>
      </c>
      <c r="G117" s="134" t="n">
        <f aca="false">LEN('Saisie programme'!$J$17)+SUMIFS('Vols additionnels'!$E$7:$E$66,'Vols additionnels'!$C$7:$C$66,$E117,'Vols additionnels'!$D$7:$D$66,$F117,'Vols additionnels'!$B$7:$B$66,$D117)</f>
        <v>0</v>
      </c>
      <c r="H117" s="135" t="n">
        <f aca="false">$G117*'Analyse capacite'!$F$8</f>
        <v>0</v>
      </c>
      <c r="I117" s="135" t="n">
        <f aca="false">$G117*'Analyse capacite'!$C$8</f>
        <v>0</v>
      </c>
      <c r="J117" s="135" t="n">
        <f aca="false">$G117*'Analyse capacite'!$D$8</f>
        <v>0</v>
      </c>
      <c r="K117" s="135" t="n">
        <f aca="false">$G117*'Analyse capacite'!$E$8</f>
        <v>0</v>
      </c>
    </row>
    <row r="118" customFormat="false" ht="15" hidden="false" customHeight="false" outlineLevel="0" collapsed="false">
      <c r="B118" s="130" t="n">
        <v>2027</v>
      </c>
      <c r="C118" s="131" t="s">
        <v>246</v>
      </c>
      <c r="D118" s="132" t="n">
        <v>46481</v>
      </c>
      <c r="E118" s="131" t="s">
        <v>20</v>
      </c>
      <c r="F118" s="133" t="s">
        <v>24</v>
      </c>
      <c r="G118" s="134" t="n">
        <f aca="false">LEN('Saisie programme'!$J$18)+SUMIFS('Vols additionnels'!$E$7:$E$66,'Vols additionnels'!$C$7:$C$66,$E118,'Vols additionnels'!$D$7:$D$66,$F118,'Vols additionnels'!$B$7:$B$66,$D118)</f>
        <v>0</v>
      </c>
      <c r="H118" s="135" t="n">
        <f aca="false">$G118*'Analyse capacite'!$F$9</f>
        <v>0</v>
      </c>
      <c r="I118" s="135" t="n">
        <f aca="false">$G118*'Analyse capacite'!$C$9</f>
        <v>0</v>
      </c>
      <c r="J118" s="135" t="n">
        <f aca="false">$G118*'Analyse capacite'!$D$9</f>
        <v>0</v>
      </c>
      <c r="K118" s="135" t="n">
        <f aca="false">$G118*'Analyse capacite'!$E$9</f>
        <v>0</v>
      </c>
    </row>
    <row r="119" customFormat="false" ht="15" hidden="false" customHeight="false" outlineLevel="0" collapsed="false">
      <c r="B119" s="130" t="n">
        <v>2027</v>
      </c>
      <c r="C119" s="131" t="s">
        <v>246</v>
      </c>
      <c r="D119" s="132" t="n">
        <v>46481</v>
      </c>
      <c r="E119" s="131" t="s">
        <v>25</v>
      </c>
      <c r="F119" s="133" t="s">
        <v>11</v>
      </c>
      <c r="G119" s="134" t="n">
        <f aca="false">LEN('Saisie programme'!$J$19)+SUMIFS('Vols additionnels'!$E$7:$E$66,'Vols additionnels'!$C$7:$C$66,$E119,'Vols additionnels'!$D$7:$D$66,$F119,'Vols additionnels'!$B$7:$B$66,$D119)</f>
        <v>0</v>
      </c>
      <c r="H119" s="135" t="n">
        <f aca="false">$G119*'Analyse capacite'!$F$7</f>
        <v>0</v>
      </c>
      <c r="I119" s="135" t="n">
        <f aca="false">$G119*'Analyse capacite'!$C$7</f>
        <v>0</v>
      </c>
      <c r="J119" s="135" t="n">
        <f aca="false">$G119*'Analyse capacite'!$D$7</f>
        <v>0</v>
      </c>
      <c r="K119" s="135" t="n">
        <f aca="false">$G119*'Analyse capacite'!$E$7</f>
        <v>0</v>
      </c>
    </row>
    <row r="120" customFormat="false" ht="15" hidden="false" customHeight="false" outlineLevel="0" collapsed="false">
      <c r="B120" s="130" t="n">
        <v>2027</v>
      </c>
      <c r="C120" s="131" t="s">
        <v>246</v>
      </c>
      <c r="D120" s="132" t="n">
        <v>46481</v>
      </c>
      <c r="E120" s="131" t="s">
        <v>25</v>
      </c>
      <c r="F120" s="133" t="s">
        <v>19</v>
      </c>
      <c r="G120" s="134" t="n">
        <f aca="false">LEN('Saisie programme'!$J$20)+SUMIFS('Vols additionnels'!$E$7:$E$66,'Vols additionnels'!$C$7:$C$66,$E120,'Vols additionnels'!$D$7:$D$66,$F120,'Vols additionnels'!$B$7:$B$66,$D120)</f>
        <v>0</v>
      </c>
      <c r="H120" s="135" t="n">
        <f aca="false">$G120*'Analyse capacite'!$F$8</f>
        <v>0</v>
      </c>
      <c r="I120" s="135" t="n">
        <f aca="false">$G120*'Analyse capacite'!$C$8</f>
        <v>0</v>
      </c>
      <c r="J120" s="135" t="n">
        <f aca="false">$G120*'Analyse capacite'!$D$8</f>
        <v>0</v>
      </c>
      <c r="K120" s="135" t="n">
        <f aca="false">$G120*'Analyse capacite'!$E$8</f>
        <v>0</v>
      </c>
    </row>
    <row r="121" customFormat="false" ht="15" hidden="false" customHeight="false" outlineLevel="0" collapsed="false">
      <c r="B121" s="130" t="n">
        <v>2027</v>
      </c>
      <c r="C121" s="131" t="s">
        <v>246</v>
      </c>
      <c r="D121" s="132" t="n">
        <v>46481</v>
      </c>
      <c r="E121" s="131" t="s">
        <v>25</v>
      </c>
      <c r="F121" s="133" t="s">
        <v>24</v>
      </c>
      <c r="G121" s="134" t="n">
        <f aca="false">LEN('Saisie programme'!$J$21)+SUMIFS('Vols additionnels'!$E$7:$E$66,'Vols additionnels'!$C$7:$C$66,$E121,'Vols additionnels'!$D$7:$D$66,$F121,'Vols additionnels'!$B$7:$B$66,$D121)</f>
        <v>0</v>
      </c>
      <c r="H121" s="135" t="n">
        <f aca="false">$G121*'Analyse capacite'!$F$9</f>
        <v>0</v>
      </c>
      <c r="I121" s="135" t="n">
        <f aca="false">$G121*'Analyse capacite'!$C$9</f>
        <v>0</v>
      </c>
      <c r="J121" s="135" t="n">
        <f aca="false">$G121*'Analyse capacite'!$D$9</f>
        <v>0</v>
      </c>
      <c r="K121" s="135" t="n">
        <f aca="false">$G121*'Analyse capacite'!$E$9</f>
        <v>0</v>
      </c>
    </row>
    <row r="122" customFormat="false" ht="15" hidden="false" customHeight="false" outlineLevel="0" collapsed="false">
      <c r="B122" s="130" t="n">
        <v>2027</v>
      </c>
      <c r="C122" s="131" t="s">
        <v>246</v>
      </c>
      <c r="D122" s="132" t="n">
        <v>46481</v>
      </c>
      <c r="E122" s="131" t="s">
        <v>36</v>
      </c>
      <c r="F122" s="133" t="s">
        <v>11</v>
      </c>
      <c r="G122" s="134" t="n">
        <f aca="false">LEN('Saisie programme'!$J$22)+SUMIFS('Vols additionnels'!$E$7:$E$66,'Vols additionnels'!$C$7:$C$66,$E122,'Vols additionnels'!$D$7:$D$66,$F122,'Vols additionnels'!$B$7:$B$66,$D122)</f>
        <v>0</v>
      </c>
      <c r="H122" s="135" t="n">
        <f aca="false">$G122*'Analyse capacite'!$F$7</f>
        <v>0</v>
      </c>
      <c r="I122" s="135" t="n">
        <f aca="false">$G122*'Analyse capacite'!$C$7</f>
        <v>0</v>
      </c>
      <c r="J122" s="135" t="n">
        <f aca="false">$G122*'Analyse capacite'!$D$7</f>
        <v>0</v>
      </c>
      <c r="K122" s="135" t="n">
        <f aca="false">$G122*'Analyse capacite'!$E$7</f>
        <v>0</v>
      </c>
    </row>
    <row r="123" customFormat="false" ht="15" hidden="false" customHeight="false" outlineLevel="0" collapsed="false">
      <c r="B123" s="130" t="n">
        <v>2027</v>
      </c>
      <c r="C123" s="131" t="s">
        <v>246</v>
      </c>
      <c r="D123" s="132" t="n">
        <v>46481</v>
      </c>
      <c r="E123" s="131" t="s">
        <v>36</v>
      </c>
      <c r="F123" s="133" t="s">
        <v>19</v>
      </c>
      <c r="G123" s="134" t="n">
        <f aca="false">LEN('Saisie programme'!$J$23)+SUMIFS('Vols additionnels'!$E$7:$E$66,'Vols additionnels'!$C$7:$C$66,$E123,'Vols additionnels'!$D$7:$D$66,$F123,'Vols additionnels'!$B$7:$B$66,$D123)</f>
        <v>0</v>
      </c>
      <c r="H123" s="135" t="n">
        <f aca="false">$G123*'Analyse capacite'!$F$8</f>
        <v>0</v>
      </c>
      <c r="I123" s="135" t="n">
        <f aca="false">$G123*'Analyse capacite'!$C$8</f>
        <v>0</v>
      </c>
      <c r="J123" s="135" t="n">
        <f aca="false">$G123*'Analyse capacite'!$D$8</f>
        <v>0</v>
      </c>
      <c r="K123" s="135" t="n">
        <f aca="false">$G123*'Analyse capacite'!$E$8</f>
        <v>0</v>
      </c>
    </row>
    <row r="124" customFormat="false" ht="15" hidden="false" customHeight="false" outlineLevel="0" collapsed="false">
      <c r="B124" s="130" t="n">
        <v>2027</v>
      </c>
      <c r="C124" s="131" t="s">
        <v>246</v>
      </c>
      <c r="D124" s="132" t="n">
        <v>46481</v>
      </c>
      <c r="E124" s="131" t="s">
        <v>36</v>
      </c>
      <c r="F124" s="133" t="s">
        <v>24</v>
      </c>
      <c r="G124" s="134" t="n">
        <f aca="false">LEN('Saisie programme'!$J$24)+SUMIFS('Vols additionnels'!$E$7:$E$66,'Vols additionnels'!$C$7:$C$66,$E124,'Vols additionnels'!$D$7:$D$66,$F124,'Vols additionnels'!$B$7:$B$66,$D124)</f>
        <v>0</v>
      </c>
      <c r="H124" s="135" t="n">
        <f aca="false">$G124*'Analyse capacite'!$F$9</f>
        <v>0</v>
      </c>
      <c r="I124" s="135" t="n">
        <f aca="false">$G124*'Analyse capacite'!$C$9</f>
        <v>0</v>
      </c>
      <c r="J124" s="135" t="n">
        <f aca="false">$G124*'Analyse capacite'!$D$9</f>
        <v>0</v>
      </c>
      <c r="K124" s="135" t="n">
        <f aca="false">$G124*'Analyse capacite'!$E$9</f>
        <v>0</v>
      </c>
    </row>
    <row r="125" customFormat="false" ht="15" hidden="false" customHeight="false" outlineLevel="0" collapsed="false">
      <c r="B125" s="130" t="n">
        <v>2027</v>
      </c>
      <c r="C125" s="131" t="s">
        <v>246</v>
      </c>
      <c r="D125" s="132" t="n">
        <v>46481</v>
      </c>
      <c r="E125" s="131" t="s">
        <v>40</v>
      </c>
      <c r="F125" s="133" t="s">
        <v>11</v>
      </c>
      <c r="G125" s="134" t="n">
        <f aca="false">LEN('Saisie programme'!$J$25)+SUMIFS('Vols additionnels'!$E$7:$E$66,'Vols additionnels'!$C$7:$C$66,$E125,'Vols additionnels'!$D$7:$D$66,$F125,'Vols additionnels'!$B$7:$B$66,$D125)</f>
        <v>0</v>
      </c>
      <c r="H125" s="135" t="n">
        <f aca="false">$G125*'Analyse capacite'!$F$7</f>
        <v>0</v>
      </c>
      <c r="I125" s="135" t="n">
        <f aca="false">$G125*'Analyse capacite'!$C$7</f>
        <v>0</v>
      </c>
      <c r="J125" s="135" t="n">
        <f aca="false">$G125*'Analyse capacite'!$D$7</f>
        <v>0</v>
      </c>
      <c r="K125" s="135" t="n">
        <f aca="false">$G125*'Analyse capacite'!$E$7</f>
        <v>0</v>
      </c>
    </row>
    <row r="126" customFormat="false" ht="15" hidden="false" customHeight="false" outlineLevel="0" collapsed="false">
      <c r="B126" s="130" t="n">
        <v>2027</v>
      </c>
      <c r="C126" s="131" t="s">
        <v>246</v>
      </c>
      <c r="D126" s="132" t="n">
        <v>46481</v>
      </c>
      <c r="E126" s="131" t="s">
        <v>40</v>
      </c>
      <c r="F126" s="133" t="s">
        <v>19</v>
      </c>
      <c r="G126" s="134" t="n">
        <f aca="false">LEN('Saisie programme'!$J$26)+SUMIFS('Vols additionnels'!$E$7:$E$66,'Vols additionnels'!$C$7:$C$66,$E126,'Vols additionnels'!$D$7:$D$66,$F126,'Vols additionnels'!$B$7:$B$66,$D126)</f>
        <v>0</v>
      </c>
      <c r="H126" s="135" t="n">
        <f aca="false">$G126*'Analyse capacite'!$F$8</f>
        <v>0</v>
      </c>
      <c r="I126" s="135" t="n">
        <f aca="false">$G126*'Analyse capacite'!$C$8</f>
        <v>0</v>
      </c>
      <c r="J126" s="135" t="n">
        <f aca="false">$G126*'Analyse capacite'!$D$8</f>
        <v>0</v>
      </c>
      <c r="K126" s="135" t="n">
        <f aca="false">$G126*'Analyse capacite'!$E$8</f>
        <v>0</v>
      </c>
    </row>
    <row r="127" customFormat="false" ht="15" hidden="false" customHeight="false" outlineLevel="0" collapsed="false">
      <c r="B127" s="130" t="n">
        <v>2027</v>
      </c>
      <c r="C127" s="131" t="s">
        <v>246</v>
      </c>
      <c r="D127" s="132" t="n">
        <v>46481</v>
      </c>
      <c r="E127" s="131" t="s">
        <v>40</v>
      </c>
      <c r="F127" s="133" t="s">
        <v>24</v>
      </c>
      <c r="G127" s="134" t="n">
        <f aca="false">LEN('Saisie programme'!$J$27)+SUMIFS('Vols additionnels'!$E$7:$E$66,'Vols additionnels'!$C$7:$C$66,$E127,'Vols additionnels'!$D$7:$D$66,$F127,'Vols additionnels'!$B$7:$B$66,$D127)</f>
        <v>1</v>
      </c>
      <c r="H127" s="135" t="n">
        <f aca="false">$G127*'Analyse capacite'!$F$9</f>
        <v>174</v>
      </c>
      <c r="I127" s="135" t="n">
        <f aca="false">$G127*'Analyse capacite'!$C$9</f>
        <v>0</v>
      </c>
      <c r="J127" s="135" t="n">
        <f aca="false">$G127*'Analyse capacite'!$D$9</f>
        <v>12</v>
      </c>
      <c r="K127" s="135" t="n">
        <f aca="false">$G127*'Analyse capacite'!$E$9</f>
        <v>162</v>
      </c>
    </row>
    <row r="128" customFormat="false" ht="15" hidden="false" customHeight="false" outlineLevel="0" collapsed="false">
      <c r="B128" s="130" t="n">
        <v>2027</v>
      </c>
      <c r="C128" s="131" t="s">
        <v>246</v>
      </c>
      <c r="D128" s="132" t="n">
        <v>46481</v>
      </c>
      <c r="E128" s="131" t="s">
        <v>14</v>
      </c>
      <c r="F128" s="133" t="s">
        <v>11</v>
      </c>
      <c r="G128" s="134" t="n">
        <f aca="false">LEN('Saisie programme'!$J$28)+SUMIFS('Vols additionnels'!$E$7:$E$66,'Vols additionnels'!$C$7:$C$66,$E128,'Vols additionnels'!$D$7:$D$66,$F128,'Vols additionnels'!$B$7:$B$66,$D128)</f>
        <v>0</v>
      </c>
      <c r="H128" s="135" t="n">
        <f aca="false">$G128*'Analyse capacite'!$F$7</f>
        <v>0</v>
      </c>
      <c r="I128" s="135" t="n">
        <f aca="false">$G128*'Analyse capacite'!$C$7</f>
        <v>0</v>
      </c>
      <c r="J128" s="135" t="n">
        <f aca="false">$G128*'Analyse capacite'!$D$7</f>
        <v>0</v>
      </c>
      <c r="K128" s="135" t="n">
        <f aca="false">$G128*'Analyse capacite'!$E$7</f>
        <v>0</v>
      </c>
    </row>
    <row r="129" customFormat="false" ht="15" hidden="false" customHeight="false" outlineLevel="0" collapsed="false">
      <c r="B129" s="130" t="n">
        <v>2027</v>
      </c>
      <c r="C129" s="131" t="s">
        <v>246</v>
      </c>
      <c r="D129" s="132" t="n">
        <v>46481</v>
      </c>
      <c r="E129" s="131" t="s">
        <v>14</v>
      </c>
      <c r="F129" s="133" t="s">
        <v>19</v>
      </c>
      <c r="G129" s="134" t="n">
        <f aca="false">LEN('Saisie programme'!$J$29)+SUMIFS('Vols additionnels'!$E$7:$E$66,'Vols additionnels'!$C$7:$C$66,$E129,'Vols additionnels'!$D$7:$D$66,$F129,'Vols additionnels'!$B$7:$B$66,$D129)</f>
        <v>0</v>
      </c>
      <c r="H129" s="135" t="n">
        <f aca="false">$G129*'Analyse capacite'!$F$8</f>
        <v>0</v>
      </c>
      <c r="I129" s="135" t="n">
        <f aca="false">$G129*'Analyse capacite'!$C$8</f>
        <v>0</v>
      </c>
      <c r="J129" s="135" t="n">
        <f aca="false">$G129*'Analyse capacite'!$D$8</f>
        <v>0</v>
      </c>
      <c r="K129" s="135" t="n">
        <f aca="false">$G129*'Analyse capacite'!$E$8</f>
        <v>0</v>
      </c>
    </row>
    <row r="130" customFormat="false" ht="15" hidden="false" customHeight="false" outlineLevel="0" collapsed="false">
      <c r="B130" s="130" t="n">
        <v>2027</v>
      </c>
      <c r="C130" s="131" t="s">
        <v>246</v>
      </c>
      <c r="D130" s="132" t="n">
        <v>46481</v>
      </c>
      <c r="E130" s="131" t="s">
        <v>14</v>
      </c>
      <c r="F130" s="133" t="s">
        <v>24</v>
      </c>
      <c r="G130" s="134" t="n">
        <f aca="false">LEN('Saisie programme'!$J$30)+SUMIFS('Vols additionnels'!$E$7:$E$66,'Vols additionnels'!$C$7:$C$66,$E130,'Vols additionnels'!$D$7:$D$66,$F130,'Vols additionnels'!$B$7:$B$66,$D130)</f>
        <v>0</v>
      </c>
      <c r="H130" s="135" t="n">
        <f aca="false">$G130*'Analyse capacite'!$F$9</f>
        <v>0</v>
      </c>
      <c r="I130" s="135" t="n">
        <f aca="false">$G130*'Analyse capacite'!$C$9</f>
        <v>0</v>
      </c>
      <c r="J130" s="135" t="n">
        <f aca="false">$G130*'Analyse capacite'!$D$9</f>
        <v>0</v>
      </c>
      <c r="K130" s="135" t="n">
        <f aca="false">$G130*'Analyse capacite'!$E$9</f>
        <v>0</v>
      </c>
    </row>
    <row r="131" customFormat="false" ht="15" hidden="false" customHeight="false" outlineLevel="0" collapsed="false">
      <c r="B131" s="130" t="n">
        <v>2027</v>
      </c>
      <c r="C131" s="131" t="s">
        <v>246</v>
      </c>
      <c r="D131" s="132" t="n">
        <v>46481</v>
      </c>
      <c r="E131" s="131" t="s">
        <v>46</v>
      </c>
      <c r="F131" s="133" t="s">
        <v>11</v>
      </c>
      <c r="G131" s="134" t="n">
        <f aca="false">LEN('Saisie programme'!$J$31)+SUMIFS('Vols additionnels'!$E$7:$E$66,'Vols additionnels'!$C$7:$C$66,$E131,'Vols additionnels'!$D$7:$D$66,$F131,'Vols additionnels'!$B$7:$B$66,$D131)</f>
        <v>0</v>
      </c>
      <c r="H131" s="135" t="n">
        <f aca="false">$G131*'Analyse capacite'!$F$7</f>
        <v>0</v>
      </c>
      <c r="I131" s="135" t="n">
        <f aca="false">$G131*'Analyse capacite'!$C$7</f>
        <v>0</v>
      </c>
      <c r="J131" s="135" t="n">
        <f aca="false">$G131*'Analyse capacite'!$D$7</f>
        <v>0</v>
      </c>
      <c r="K131" s="135" t="n">
        <f aca="false">$G131*'Analyse capacite'!$E$7</f>
        <v>0</v>
      </c>
    </row>
    <row r="132" customFormat="false" ht="15" hidden="false" customHeight="false" outlineLevel="0" collapsed="false">
      <c r="B132" s="130" t="n">
        <v>2027</v>
      </c>
      <c r="C132" s="131" t="s">
        <v>246</v>
      </c>
      <c r="D132" s="132" t="n">
        <v>46481</v>
      </c>
      <c r="E132" s="131" t="s">
        <v>46</v>
      </c>
      <c r="F132" s="133" t="s">
        <v>19</v>
      </c>
      <c r="G132" s="134" t="n">
        <f aca="false">LEN('Saisie programme'!$J$32)+SUMIFS('Vols additionnels'!$E$7:$E$66,'Vols additionnels'!$C$7:$C$66,$E132,'Vols additionnels'!$D$7:$D$66,$F132,'Vols additionnels'!$B$7:$B$66,$D132)</f>
        <v>0</v>
      </c>
      <c r="H132" s="135" t="n">
        <f aca="false">$G132*'Analyse capacite'!$F$8</f>
        <v>0</v>
      </c>
      <c r="I132" s="135" t="n">
        <f aca="false">$G132*'Analyse capacite'!$C$8</f>
        <v>0</v>
      </c>
      <c r="J132" s="135" t="n">
        <f aca="false">$G132*'Analyse capacite'!$D$8</f>
        <v>0</v>
      </c>
      <c r="K132" s="135" t="n">
        <f aca="false">$G132*'Analyse capacite'!$E$8</f>
        <v>0</v>
      </c>
    </row>
    <row r="133" customFormat="false" ht="15" hidden="false" customHeight="false" outlineLevel="0" collapsed="false">
      <c r="B133" s="130" t="n">
        <v>2027</v>
      </c>
      <c r="C133" s="131" t="s">
        <v>246</v>
      </c>
      <c r="D133" s="132" t="n">
        <v>46481</v>
      </c>
      <c r="E133" s="131" t="s">
        <v>46</v>
      </c>
      <c r="F133" s="133" t="s">
        <v>24</v>
      </c>
      <c r="G133" s="134" t="n">
        <f aca="false">LEN('Saisie programme'!$J$33)+SUMIFS('Vols additionnels'!$E$7:$E$66,'Vols additionnels'!$C$7:$C$66,$E133,'Vols additionnels'!$D$7:$D$66,$F133,'Vols additionnels'!$B$7:$B$66,$D133)</f>
        <v>0</v>
      </c>
      <c r="H133" s="135" t="n">
        <f aca="false">$G133*'Analyse capacite'!$F$9</f>
        <v>0</v>
      </c>
      <c r="I133" s="135" t="n">
        <f aca="false">$G133*'Analyse capacite'!$C$9</f>
        <v>0</v>
      </c>
      <c r="J133" s="135" t="n">
        <f aca="false">$G133*'Analyse capacite'!$D$9</f>
        <v>0</v>
      </c>
      <c r="K133" s="135" t="n">
        <f aca="false">$G133*'Analyse capacite'!$E$9</f>
        <v>0</v>
      </c>
    </row>
    <row r="134" customFormat="false" ht="15" hidden="false" customHeight="false" outlineLevel="0" collapsed="false">
      <c r="B134" s="130" t="n">
        <v>2027</v>
      </c>
      <c r="C134" s="131" t="s">
        <v>246</v>
      </c>
      <c r="D134" s="132" t="n">
        <v>46481</v>
      </c>
      <c r="E134" s="131" t="s">
        <v>49</v>
      </c>
      <c r="F134" s="133" t="s">
        <v>11</v>
      </c>
      <c r="G134" s="134" t="n">
        <f aca="false">LEN('Saisie programme'!$J$34)+SUMIFS('Vols additionnels'!$E$7:$E$66,'Vols additionnels'!$C$7:$C$66,$E134,'Vols additionnels'!$D$7:$D$66,$F134,'Vols additionnels'!$B$7:$B$66,$D134)</f>
        <v>0</v>
      </c>
      <c r="H134" s="135" t="n">
        <f aca="false">$G134*'Analyse capacite'!$F$7</f>
        <v>0</v>
      </c>
      <c r="I134" s="135" t="n">
        <f aca="false">$G134*'Analyse capacite'!$C$7</f>
        <v>0</v>
      </c>
      <c r="J134" s="135" t="n">
        <f aca="false">$G134*'Analyse capacite'!$D$7</f>
        <v>0</v>
      </c>
      <c r="K134" s="135" t="n">
        <f aca="false">$G134*'Analyse capacite'!$E$7</f>
        <v>0</v>
      </c>
    </row>
    <row r="135" customFormat="false" ht="15" hidden="false" customHeight="false" outlineLevel="0" collapsed="false">
      <c r="B135" s="130" t="n">
        <v>2027</v>
      </c>
      <c r="C135" s="131" t="s">
        <v>246</v>
      </c>
      <c r="D135" s="132" t="n">
        <v>46481</v>
      </c>
      <c r="E135" s="131" t="s">
        <v>49</v>
      </c>
      <c r="F135" s="133" t="s">
        <v>19</v>
      </c>
      <c r="G135" s="134" t="n">
        <f aca="false">LEN('Saisie programme'!$J$35)+SUMIFS('Vols additionnels'!$E$7:$E$66,'Vols additionnels'!$C$7:$C$66,$E135,'Vols additionnels'!$D$7:$D$66,$F135,'Vols additionnels'!$B$7:$B$66,$D135)</f>
        <v>0</v>
      </c>
      <c r="H135" s="135" t="n">
        <f aca="false">$G135*'Analyse capacite'!$F$8</f>
        <v>0</v>
      </c>
      <c r="I135" s="135" t="n">
        <f aca="false">$G135*'Analyse capacite'!$C$8</f>
        <v>0</v>
      </c>
      <c r="J135" s="135" t="n">
        <f aca="false">$G135*'Analyse capacite'!$D$8</f>
        <v>0</v>
      </c>
      <c r="K135" s="135" t="n">
        <f aca="false">$G135*'Analyse capacite'!$E$8</f>
        <v>0</v>
      </c>
    </row>
    <row r="136" customFormat="false" ht="15" hidden="false" customHeight="false" outlineLevel="0" collapsed="false">
      <c r="B136" s="130" t="n">
        <v>2027</v>
      </c>
      <c r="C136" s="131" t="s">
        <v>246</v>
      </c>
      <c r="D136" s="132" t="n">
        <v>46481</v>
      </c>
      <c r="E136" s="131" t="s">
        <v>49</v>
      </c>
      <c r="F136" s="133" t="s">
        <v>24</v>
      </c>
      <c r="G136" s="134" t="n">
        <f aca="false">LEN('Saisie programme'!$J$36)+SUMIFS('Vols additionnels'!$E$7:$E$66,'Vols additionnels'!$C$7:$C$66,$E136,'Vols additionnels'!$D$7:$D$66,$F136,'Vols additionnels'!$B$7:$B$66,$D136)</f>
        <v>0</v>
      </c>
      <c r="H136" s="135" t="n">
        <f aca="false">$G136*'Analyse capacite'!$F$9</f>
        <v>0</v>
      </c>
      <c r="I136" s="135" t="n">
        <f aca="false">$G136*'Analyse capacite'!$C$9</f>
        <v>0</v>
      </c>
      <c r="J136" s="135" t="n">
        <f aca="false">$G136*'Analyse capacite'!$D$9</f>
        <v>0</v>
      </c>
      <c r="K136" s="135" t="n">
        <f aca="false">$G136*'Analyse capacite'!$E$9</f>
        <v>0</v>
      </c>
    </row>
    <row r="137" customFormat="false" ht="15" hidden="false" customHeight="false" outlineLevel="0" collapsed="false">
      <c r="B137" s="130" t="n">
        <v>2027</v>
      </c>
      <c r="C137" s="131" t="s">
        <v>246</v>
      </c>
      <c r="D137" s="132" t="n">
        <v>46481</v>
      </c>
      <c r="E137" s="131" t="s">
        <v>53</v>
      </c>
      <c r="F137" s="133" t="s">
        <v>11</v>
      </c>
      <c r="G137" s="134" t="n">
        <f aca="false">LEN('Saisie programme'!$J$37)+SUMIFS('Vols additionnels'!$E$7:$E$66,'Vols additionnels'!$C$7:$C$66,$E137,'Vols additionnels'!$D$7:$D$66,$F137,'Vols additionnels'!$B$7:$B$66,$D137)</f>
        <v>0</v>
      </c>
      <c r="H137" s="135" t="n">
        <f aca="false">$G137*'Analyse capacite'!$F$7</f>
        <v>0</v>
      </c>
      <c r="I137" s="135" t="n">
        <f aca="false">$G137*'Analyse capacite'!$C$7</f>
        <v>0</v>
      </c>
      <c r="J137" s="135" t="n">
        <f aca="false">$G137*'Analyse capacite'!$D$7</f>
        <v>0</v>
      </c>
      <c r="K137" s="135" t="n">
        <f aca="false">$G137*'Analyse capacite'!$E$7</f>
        <v>0</v>
      </c>
    </row>
    <row r="138" customFormat="false" ht="15" hidden="false" customHeight="false" outlineLevel="0" collapsed="false">
      <c r="B138" s="130" t="n">
        <v>2027</v>
      </c>
      <c r="C138" s="131" t="s">
        <v>246</v>
      </c>
      <c r="D138" s="132" t="n">
        <v>46481</v>
      </c>
      <c r="E138" s="131" t="s">
        <v>53</v>
      </c>
      <c r="F138" s="133" t="s">
        <v>19</v>
      </c>
      <c r="G138" s="134" t="n">
        <f aca="false">LEN('Saisie programme'!$J$38)+SUMIFS('Vols additionnels'!$E$7:$E$66,'Vols additionnels'!$C$7:$C$66,$E138,'Vols additionnels'!$D$7:$D$66,$F138,'Vols additionnels'!$B$7:$B$66,$D138)</f>
        <v>0</v>
      </c>
      <c r="H138" s="135" t="n">
        <f aca="false">$G138*'Analyse capacite'!$F$8</f>
        <v>0</v>
      </c>
      <c r="I138" s="135" t="n">
        <f aca="false">$G138*'Analyse capacite'!$C$8</f>
        <v>0</v>
      </c>
      <c r="J138" s="135" t="n">
        <f aca="false">$G138*'Analyse capacite'!$D$8</f>
        <v>0</v>
      </c>
      <c r="K138" s="135" t="n">
        <f aca="false">$G138*'Analyse capacite'!$E$8</f>
        <v>0</v>
      </c>
    </row>
    <row r="139" customFormat="false" ht="15" hidden="false" customHeight="false" outlineLevel="0" collapsed="false">
      <c r="B139" s="130" t="n">
        <v>2027</v>
      </c>
      <c r="C139" s="131" t="s">
        <v>246</v>
      </c>
      <c r="D139" s="132" t="n">
        <v>46481</v>
      </c>
      <c r="E139" s="131" t="s">
        <v>53</v>
      </c>
      <c r="F139" s="133" t="s">
        <v>24</v>
      </c>
      <c r="G139" s="134" t="n">
        <f aca="false">LEN('Saisie programme'!$J$39)+SUMIFS('Vols additionnels'!$E$7:$E$66,'Vols additionnels'!$C$7:$C$66,$E139,'Vols additionnels'!$D$7:$D$66,$F139,'Vols additionnels'!$B$7:$B$66,$D139)</f>
        <v>0</v>
      </c>
      <c r="H139" s="135" t="n">
        <f aca="false">$G139*'Analyse capacite'!$F$9</f>
        <v>0</v>
      </c>
      <c r="I139" s="135" t="n">
        <f aca="false">$G139*'Analyse capacite'!$C$9</f>
        <v>0</v>
      </c>
      <c r="J139" s="135" t="n">
        <f aca="false">$G139*'Analyse capacite'!$D$9</f>
        <v>0</v>
      </c>
      <c r="K139" s="135" t="n">
        <f aca="false">$G139*'Analyse capacite'!$E$9</f>
        <v>0</v>
      </c>
    </row>
    <row r="140" customFormat="false" ht="15" hidden="false" customHeight="false" outlineLevel="0" collapsed="false">
      <c r="B140" s="130" t="n">
        <v>2027</v>
      </c>
      <c r="C140" s="131" t="s">
        <v>246</v>
      </c>
      <c r="D140" s="132" t="n">
        <v>46481</v>
      </c>
      <c r="E140" s="131" t="s">
        <v>56</v>
      </c>
      <c r="F140" s="133" t="s">
        <v>11</v>
      </c>
      <c r="G140" s="134" t="n">
        <f aca="false">LEN('Saisie programme'!$J$40)+SUMIFS('Vols additionnels'!$E$7:$E$66,'Vols additionnels'!$C$7:$C$66,$E140,'Vols additionnels'!$D$7:$D$66,$F140,'Vols additionnels'!$B$7:$B$66,$D140)</f>
        <v>0</v>
      </c>
      <c r="H140" s="135" t="n">
        <f aca="false">$G140*'Analyse capacite'!$F$7</f>
        <v>0</v>
      </c>
      <c r="I140" s="135" t="n">
        <f aca="false">$G140*'Analyse capacite'!$C$7</f>
        <v>0</v>
      </c>
      <c r="J140" s="135" t="n">
        <f aca="false">$G140*'Analyse capacite'!$D$7</f>
        <v>0</v>
      </c>
      <c r="K140" s="135" t="n">
        <f aca="false">$G140*'Analyse capacite'!$E$7</f>
        <v>0</v>
      </c>
    </row>
    <row r="141" customFormat="false" ht="15" hidden="false" customHeight="false" outlineLevel="0" collapsed="false">
      <c r="B141" s="130" t="n">
        <v>2027</v>
      </c>
      <c r="C141" s="131" t="s">
        <v>246</v>
      </c>
      <c r="D141" s="132" t="n">
        <v>46481</v>
      </c>
      <c r="E141" s="131" t="s">
        <v>56</v>
      </c>
      <c r="F141" s="133" t="s">
        <v>19</v>
      </c>
      <c r="G141" s="134" t="n">
        <f aca="false">LEN('Saisie programme'!$J$41)+SUMIFS('Vols additionnels'!$E$7:$E$66,'Vols additionnels'!$C$7:$C$66,$E141,'Vols additionnels'!$D$7:$D$66,$F141,'Vols additionnels'!$B$7:$B$66,$D141)</f>
        <v>0</v>
      </c>
      <c r="H141" s="135" t="n">
        <f aca="false">$G141*'Analyse capacite'!$F$8</f>
        <v>0</v>
      </c>
      <c r="I141" s="135" t="n">
        <f aca="false">$G141*'Analyse capacite'!$C$8</f>
        <v>0</v>
      </c>
      <c r="J141" s="135" t="n">
        <f aca="false">$G141*'Analyse capacite'!$D$8</f>
        <v>0</v>
      </c>
      <c r="K141" s="135" t="n">
        <f aca="false">$G141*'Analyse capacite'!$E$8</f>
        <v>0</v>
      </c>
    </row>
    <row r="142" customFormat="false" ht="15" hidden="false" customHeight="false" outlineLevel="0" collapsed="false">
      <c r="B142" s="130" t="n">
        <v>2027</v>
      </c>
      <c r="C142" s="131" t="s">
        <v>246</v>
      </c>
      <c r="D142" s="132" t="n">
        <v>46481</v>
      </c>
      <c r="E142" s="131" t="s">
        <v>56</v>
      </c>
      <c r="F142" s="133" t="s">
        <v>24</v>
      </c>
      <c r="G142" s="134" t="n">
        <f aca="false">LEN('Saisie programme'!$J$42)+SUMIFS('Vols additionnels'!$E$7:$E$66,'Vols additionnels'!$C$7:$C$66,$E142,'Vols additionnels'!$D$7:$D$66,$F142,'Vols additionnels'!$B$7:$B$66,$D142)</f>
        <v>0</v>
      </c>
      <c r="H142" s="135" t="n">
        <f aca="false">$G142*'Analyse capacite'!$F$9</f>
        <v>0</v>
      </c>
      <c r="I142" s="135" t="n">
        <f aca="false">$G142*'Analyse capacite'!$C$9</f>
        <v>0</v>
      </c>
      <c r="J142" s="135" t="n">
        <f aca="false">$G142*'Analyse capacite'!$D$9</f>
        <v>0</v>
      </c>
      <c r="K142" s="135" t="n">
        <f aca="false">$G142*'Analyse capacite'!$E$9</f>
        <v>0</v>
      </c>
    </row>
    <row r="143" customFormat="false" ht="15" hidden="false" customHeight="false" outlineLevel="0" collapsed="false">
      <c r="B143" s="130" t="n">
        <v>2027</v>
      </c>
      <c r="C143" s="131" t="s">
        <v>246</v>
      </c>
      <c r="D143" s="132" t="n">
        <v>46481</v>
      </c>
      <c r="E143" s="131" t="s">
        <v>59</v>
      </c>
      <c r="F143" s="133" t="s">
        <v>11</v>
      </c>
      <c r="G143" s="134" t="n">
        <f aca="false">LEN('Saisie programme'!$J$43)+SUMIFS('Vols additionnels'!$E$7:$E$66,'Vols additionnels'!$C$7:$C$66,$E143,'Vols additionnels'!$D$7:$D$66,$F143,'Vols additionnels'!$B$7:$B$66,$D143)</f>
        <v>0</v>
      </c>
      <c r="H143" s="135" t="n">
        <f aca="false">$G143*'Analyse capacite'!$F$7</f>
        <v>0</v>
      </c>
      <c r="I143" s="135" t="n">
        <f aca="false">$G143*'Analyse capacite'!$C$7</f>
        <v>0</v>
      </c>
      <c r="J143" s="135" t="n">
        <f aca="false">$G143*'Analyse capacite'!$D$7</f>
        <v>0</v>
      </c>
      <c r="K143" s="135" t="n">
        <f aca="false">$G143*'Analyse capacite'!$E$7</f>
        <v>0</v>
      </c>
    </row>
    <row r="144" customFormat="false" ht="15" hidden="false" customHeight="false" outlineLevel="0" collapsed="false">
      <c r="B144" s="130" t="n">
        <v>2027</v>
      </c>
      <c r="C144" s="131" t="s">
        <v>246</v>
      </c>
      <c r="D144" s="132" t="n">
        <v>46481</v>
      </c>
      <c r="E144" s="131" t="s">
        <v>59</v>
      </c>
      <c r="F144" s="133" t="s">
        <v>19</v>
      </c>
      <c r="G144" s="134" t="n">
        <f aca="false">LEN('Saisie programme'!$J$44)+SUMIFS('Vols additionnels'!$E$7:$E$66,'Vols additionnels'!$C$7:$C$66,$E144,'Vols additionnels'!$D$7:$D$66,$F144,'Vols additionnels'!$B$7:$B$66,$D144)</f>
        <v>0</v>
      </c>
      <c r="H144" s="135" t="n">
        <f aca="false">$G144*'Analyse capacite'!$F$8</f>
        <v>0</v>
      </c>
      <c r="I144" s="135" t="n">
        <f aca="false">$G144*'Analyse capacite'!$C$8</f>
        <v>0</v>
      </c>
      <c r="J144" s="135" t="n">
        <f aca="false">$G144*'Analyse capacite'!$D$8</f>
        <v>0</v>
      </c>
      <c r="K144" s="135" t="n">
        <f aca="false">$G144*'Analyse capacite'!$E$8</f>
        <v>0</v>
      </c>
    </row>
    <row r="145" customFormat="false" ht="15" hidden="false" customHeight="false" outlineLevel="0" collapsed="false">
      <c r="B145" s="130" t="n">
        <v>2027</v>
      </c>
      <c r="C145" s="131" t="s">
        <v>246</v>
      </c>
      <c r="D145" s="132" t="n">
        <v>46481</v>
      </c>
      <c r="E145" s="131" t="s">
        <v>59</v>
      </c>
      <c r="F145" s="133" t="s">
        <v>24</v>
      </c>
      <c r="G145" s="134" t="n">
        <f aca="false">LEN('Saisie programme'!$J$45)+SUMIFS('Vols additionnels'!$E$7:$E$66,'Vols additionnels'!$C$7:$C$66,$E145,'Vols additionnels'!$D$7:$D$66,$F145,'Vols additionnels'!$B$7:$B$66,$D145)</f>
        <v>0</v>
      </c>
      <c r="H145" s="135" t="n">
        <f aca="false">$G145*'Analyse capacite'!$F$9</f>
        <v>0</v>
      </c>
      <c r="I145" s="135" t="n">
        <f aca="false">$G145*'Analyse capacite'!$C$9</f>
        <v>0</v>
      </c>
      <c r="J145" s="135" t="n">
        <f aca="false">$G145*'Analyse capacite'!$D$9</f>
        <v>0</v>
      </c>
      <c r="K145" s="135" t="n">
        <f aca="false">$G145*'Analyse capacite'!$E$9</f>
        <v>0</v>
      </c>
    </row>
    <row r="146" customFormat="false" ht="15" hidden="false" customHeight="false" outlineLevel="0" collapsed="false">
      <c r="B146" s="130" t="n">
        <v>2027</v>
      </c>
      <c r="C146" s="131" t="s">
        <v>246</v>
      </c>
      <c r="D146" s="132" t="n">
        <v>46481</v>
      </c>
      <c r="E146" s="131" t="s">
        <v>62</v>
      </c>
      <c r="F146" s="133" t="s">
        <v>11</v>
      </c>
      <c r="G146" s="134" t="n">
        <f aca="false">LEN('Saisie programme'!$J$46)+SUMIFS('Vols additionnels'!$E$7:$E$66,'Vols additionnels'!$C$7:$C$66,$E146,'Vols additionnels'!$D$7:$D$66,$F146,'Vols additionnels'!$B$7:$B$66,$D146)</f>
        <v>0</v>
      </c>
      <c r="H146" s="135" t="n">
        <f aca="false">$G146*'Analyse capacite'!$F$7</f>
        <v>0</v>
      </c>
      <c r="I146" s="135" t="n">
        <f aca="false">$G146*'Analyse capacite'!$C$7</f>
        <v>0</v>
      </c>
      <c r="J146" s="135" t="n">
        <f aca="false">$G146*'Analyse capacite'!$D$7</f>
        <v>0</v>
      </c>
      <c r="K146" s="135" t="n">
        <f aca="false">$G146*'Analyse capacite'!$E$7</f>
        <v>0</v>
      </c>
    </row>
    <row r="147" customFormat="false" ht="15" hidden="false" customHeight="false" outlineLevel="0" collapsed="false">
      <c r="B147" s="130" t="n">
        <v>2027</v>
      </c>
      <c r="C147" s="131" t="s">
        <v>246</v>
      </c>
      <c r="D147" s="132" t="n">
        <v>46481</v>
      </c>
      <c r="E147" s="131" t="s">
        <v>62</v>
      </c>
      <c r="F147" s="133" t="s">
        <v>19</v>
      </c>
      <c r="G147" s="134" t="n">
        <f aca="false">LEN('Saisie programme'!$J$47)+SUMIFS('Vols additionnels'!$E$7:$E$66,'Vols additionnels'!$C$7:$C$66,$E147,'Vols additionnels'!$D$7:$D$66,$F147,'Vols additionnels'!$B$7:$B$66,$D147)</f>
        <v>0</v>
      </c>
      <c r="H147" s="135" t="n">
        <f aca="false">$G147*'Analyse capacite'!$F$8</f>
        <v>0</v>
      </c>
      <c r="I147" s="135" t="n">
        <f aca="false">$G147*'Analyse capacite'!$C$8</f>
        <v>0</v>
      </c>
      <c r="J147" s="135" t="n">
        <f aca="false">$G147*'Analyse capacite'!$D$8</f>
        <v>0</v>
      </c>
      <c r="K147" s="135" t="n">
        <f aca="false">$G147*'Analyse capacite'!$E$8</f>
        <v>0</v>
      </c>
    </row>
    <row r="148" customFormat="false" ht="15" hidden="false" customHeight="false" outlineLevel="0" collapsed="false">
      <c r="B148" s="130" t="n">
        <v>2027</v>
      </c>
      <c r="C148" s="131" t="s">
        <v>246</v>
      </c>
      <c r="D148" s="132" t="n">
        <v>46481</v>
      </c>
      <c r="E148" s="131" t="s">
        <v>62</v>
      </c>
      <c r="F148" s="133" t="s">
        <v>24</v>
      </c>
      <c r="G148" s="134" t="n">
        <f aca="false">LEN('Saisie programme'!$J$48)+SUMIFS('Vols additionnels'!$E$7:$E$66,'Vols additionnels'!$C$7:$C$66,$E148,'Vols additionnels'!$D$7:$D$66,$F148,'Vols additionnels'!$B$7:$B$66,$D148)</f>
        <v>1</v>
      </c>
      <c r="H148" s="135" t="n">
        <f aca="false">$G148*'Analyse capacite'!$F$9</f>
        <v>174</v>
      </c>
      <c r="I148" s="135" t="n">
        <f aca="false">$G148*'Analyse capacite'!$C$9</f>
        <v>0</v>
      </c>
      <c r="J148" s="135" t="n">
        <f aca="false">$G148*'Analyse capacite'!$D$9</f>
        <v>12</v>
      </c>
      <c r="K148" s="135" t="n">
        <f aca="false">$G148*'Analyse capacite'!$E$9</f>
        <v>162</v>
      </c>
    </row>
    <row r="149" customFormat="false" ht="15" hidden="false" customHeight="false" outlineLevel="0" collapsed="false">
      <c r="B149" s="130" t="n">
        <v>2027</v>
      </c>
      <c r="C149" s="131" t="s">
        <v>246</v>
      </c>
      <c r="D149" s="132" t="n">
        <v>46482</v>
      </c>
      <c r="E149" s="131" t="s">
        <v>12</v>
      </c>
      <c r="F149" s="133" t="s">
        <v>11</v>
      </c>
      <c r="G149" s="134" t="n">
        <f aca="false">LEN('Saisie programme'!$D$13)+SUMIFS('Vols additionnels'!$E$7:$E$66,'Vols additionnels'!$C$7:$C$66,$E149,'Vols additionnels'!$D$7:$D$66,$F149,'Vols additionnels'!$B$7:$B$66,$D149)</f>
        <v>1</v>
      </c>
      <c r="H149" s="135" t="n">
        <f aca="false">$G149*'Analyse capacite'!$F$7</f>
        <v>438</v>
      </c>
      <c r="I149" s="135" t="n">
        <f aca="false">$G149*'Analyse capacite'!$C$7</f>
        <v>14</v>
      </c>
      <c r="J149" s="135" t="n">
        <f aca="false">$G149*'Analyse capacite'!$D$7</f>
        <v>40</v>
      </c>
      <c r="K149" s="135" t="n">
        <f aca="false">$G149*'Analyse capacite'!$E$7</f>
        <v>384</v>
      </c>
    </row>
    <row r="150" customFormat="false" ht="15" hidden="false" customHeight="false" outlineLevel="0" collapsed="false">
      <c r="B150" s="130" t="n">
        <v>2027</v>
      </c>
      <c r="C150" s="131" t="s">
        <v>246</v>
      </c>
      <c r="D150" s="132" t="n">
        <v>46482</v>
      </c>
      <c r="E150" s="131" t="s">
        <v>12</v>
      </c>
      <c r="F150" s="133" t="s">
        <v>19</v>
      </c>
      <c r="G150" s="134" t="n">
        <f aca="false">LEN('Saisie programme'!$D$14)+SUMIFS('Vols additionnels'!$E$7:$E$66,'Vols additionnels'!$C$7:$C$66,$E150,'Vols additionnels'!$D$7:$D$66,$F150,'Vols additionnels'!$B$7:$B$66,$D150)</f>
        <v>1</v>
      </c>
      <c r="H150" s="135" t="n">
        <f aca="false">$G150*'Analyse capacite'!$F$8</f>
        <v>262</v>
      </c>
      <c r="I150" s="135" t="n">
        <f aca="false">$G150*'Analyse capacite'!$C$8</f>
        <v>18</v>
      </c>
      <c r="J150" s="135" t="n">
        <f aca="false">$G150*'Analyse capacite'!$D$8</f>
        <v>0</v>
      </c>
      <c r="K150" s="135" t="n">
        <f aca="false">$G150*'Analyse capacite'!$E$8</f>
        <v>244</v>
      </c>
    </row>
    <row r="151" customFormat="false" ht="15" hidden="false" customHeight="false" outlineLevel="0" collapsed="false">
      <c r="B151" s="130" t="n">
        <v>2027</v>
      </c>
      <c r="C151" s="131" t="s">
        <v>246</v>
      </c>
      <c r="D151" s="132" t="n">
        <v>46482</v>
      </c>
      <c r="E151" s="131" t="s">
        <v>12</v>
      </c>
      <c r="F151" s="133" t="s">
        <v>24</v>
      </c>
      <c r="G151" s="134" t="n">
        <f aca="false">LEN('Saisie programme'!$D$15)+SUMIFS('Vols additionnels'!$E$7:$E$66,'Vols additionnels'!$C$7:$C$66,$E151,'Vols additionnels'!$D$7:$D$66,$F151,'Vols additionnels'!$B$7:$B$66,$D151)</f>
        <v>2</v>
      </c>
      <c r="H151" s="135" t="n">
        <f aca="false">$G151*'Analyse capacite'!$F$9</f>
        <v>348</v>
      </c>
      <c r="I151" s="135" t="n">
        <f aca="false">$G151*'Analyse capacite'!$C$9</f>
        <v>0</v>
      </c>
      <c r="J151" s="135" t="n">
        <f aca="false">$G151*'Analyse capacite'!$D$9</f>
        <v>24</v>
      </c>
      <c r="K151" s="135" t="n">
        <f aca="false">$G151*'Analyse capacite'!$E$9</f>
        <v>324</v>
      </c>
    </row>
    <row r="152" customFormat="false" ht="15" hidden="false" customHeight="false" outlineLevel="0" collapsed="false">
      <c r="B152" s="130" t="n">
        <v>2027</v>
      </c>
      <c r="C152" s="131" t="s">
        <v>246</v>
      </c>
      <c r="D152" s="132" t="n">
        <v>46482</v>
      </c>
      <c r="E152" s="131" t="s">
        <v>20</v>
      </c>
      <c r="F152" s="133" t="s">
        <v>11</v>
      </c>
      <c r="G152" s="134" t="n">
        <f aca="false">LEN('Saisie programme'!$D$16)+SUMIFS('Vols additionnels'!$E$7:$E$66,'Vols additionnels'!$C$7:$C$66,$E152,'Vols additionnels'!$D$7:$D$66,$F152,'Vols additionnels'!$B$7:$B$66,$D152)</f>
        <v>0</v>
      </c>
      <c r="H152" s="135" t="n">
        <f aca="false">$G152*'Analyse capacite'!$F$7</f>
        <v>0</v>
      </c>
      <c r="I152" s="135" t="n">
        <f aca="false">$G152*'Analyse capacite'!$C$7</f>
        <v>0</v>
      </c>
      <c r="J152" s="135" t="n">
        <f aca="false">$G152*'Analyse capacite'!$D$7</f>
        <v>0</v>
      </c>
      <c r="K152" s="135" t="n">
        <f aca="false">$G152*'Analyse capacite'!$E$7</f>
        <v>0</v>
      </c>
    </row>
    <row r="153" customFormat="false" ht="15" hidden="false" customHeight="false" outlineLevel="0" collapsed="false">
      <c r="B153" s="130" t="n">
        <v>2027</v>
      </c>
      <c r="C153" s="131" t="s">
        <v>246</v>
      </c>
      <c r="D153" s="132" t="n">
        <v>46482</v>
      </c>
      <c r="E153" s="131" t="s">
        <v>20</v>
      </c>
      <c r="F153" s="133" t="s">
        <v>19</v>
      </c>
      <c r="G153" s="134" t="n">
        <f aca="false">LEN('Saisie programme'!$D$17)+SUMIFS('Vols additionnels'!$E$7:$E$66,'Vols additionnels'!$C$7:$C$66,$E153,'Vols additionnels'!$D$7:$D$66,$F153,'Vols additionnels'!$B$7:$B$66,$D153)</f>
        <v>0</v>
      </c>
      <c r="H153" s="135" t="n">
        <f aca="false">$G153*'Analyse capacite'!$F$8</f>
        <v>0</v>
      </c>
      <c r="I153" s="135" t="n">
        <f aca="false">$G153*'Analyse capacite'!$C$8</f>
        <v>0</v>
      </c>
      <c r="J153" s="135" t="n">
        <f aca="false">$G153*'Analyse capacite'!$D$8</f>
        <v>0</v>
      </c>
      <c r="K153" s="135" t="n">
        <f aca="false">$G153*'Analyse capacite'!$E$8</f>
        <v>0</v>
      </c>
    </row>
    <row r="154" customFormat="false" ht="15" hidden="false" customHeight="false" outlineLevel="0" collapsed="false">
      <c r="B154" s="130" t="n">
        <v>2027</v>
      </c>
      <c r="C154" s="131" t="s">
        <v>246</v>
      </c>
      <c r="D154" s="132" t="n">
        <v>46482</v>
      </c>
      <c r="E154" s="131" t="s">
        <v>20</v>
      </c>
      <c r="F154" s="133" t="s">
        <v>24</v>
      </c>
      <c r="G154" s="134" t="n">
        <f aca="false">LEN('Saisie programme'!$D$18)+SUMIFS('Vols additionnels'!$E$7:$E$66,'Vols additionnels'!$C$7:$C$66,$E154,'Vols additionnels'!$D$7:$D$66,$F154,'Vols additionnels'!$B$7:$B$66,$D154)</f>
        <v>0</v>
      </c>
      <c r="H154" s="135" t="n">
        <f aca="false">$G154*'Analyse capacite'!$F$9</f>
        <v>0</v>
      </c>
      <c r="I154" s="135" t="n">
        <f aca="false">$G154*'Analyse capacite'!$C$9</f>
        <v>0</v>
      </c>
      <c r="J154" s="135" t="n">
        <f aca="false">$G154*'Analyse capacite'!$D$9</f>
        <v>0</v>
      </c>
      <c r="K154" s="135" t="n">
        <f aca="false">$G154*'Analyse capacite'!$E$9</f>
        <v>0</v>
      </c>
    </row>
    <row r="155" customFormat="false" ht="15" hidden="false" customHeight="false" outlineLevel="0" collapsed="false">
      <c r="B155" s="130" t="n">
        <v>2027</v>
      </c>
      <c r="C155" s="131" t="s">
        <v>246</v>
      </c>
      <c r="D155" s="132" t="n">
        <v>46482</v>
      </c>
      <c r="E155" s="131" t="s">
        <v>25</v>
      </c>
      <c r="F155" s="133" t="s">
        <v>11</v>
      </c>
      <c r="G155" s="134" t="n">
        <f aca="false">LEN('Saisie programme'!$D$19)+SUMIFS('Vols additionnels'!$E$7:$E$66,'Vols additionnels'!$C$7:$C$66,$E155,'Vols additionnels'!$D$7:$D$66,$F155,'Vols additionnels'!$B$7:$B$66,$D155)</f>
        <v>0</v>
      </c>
      <c r="H155" s="135" t="n">
        <f aca="false">$G155*'Analyse capacite'!$F$7</f>
        <v>0</v>
      </c>
      <c r="I155" s="135" t="n">
        <f aca="false">$G155*'Analyse capacite'!$C$7</f>
        <v>0</v>
      </c>
      <c r="J155" s="135" t="n">
        <f aca="false">$G155*'Analyse capacite'!$D$7</f>
        <v>0</v>
      </c>
      <c r="K155" s="135" t="n">
        <f aca="false">$G155*'Analyse capacite'!$E$7</f>
        <v>0</v>
      </c>
    </row>
    <row r="156" customFormat="false" ht="15" hidden="false" customHeight="false" outlineLevel="0" collapsed="false">
      <c r="B156" s="130" t="n">
        <v>2027</v>
      </c>
      <c r="C156" s="131" t="s">
        <v>246</v>
      </c>
      <c r="D156" s="132" t="n">
        <v>46482</v>
      </c>
      <c r="E156" s="131" t="s">
        <v>25</v>
      </c>
      <c r="F156" s="133" t="s">
        <v>19</v>
      </c>
      <c r="G156" s="134" t="n">
        <f aca="false">LEN('Saisie programme'!$D$20)+SUMIFS('Vols additionnels'!$E$7:$E$66,'Vols additionnels'!$C$7:$C$66,$E156,'Vols additionnels'!$D$7:$D$66,$F156,'Vols additionnels'!$B$7:$B$66,$D156)</f>
        <v>0</v>
      </c>
      <c r="H156" s="135" t="n">
        <f aca="false">$G156*'Analyse capacite'!$F$8</f>
        <v>0</v>
      </c>
      <c r="I156" s="135" t="n">
        <f aca="false">$G156*'Analyse capacite'!$C$8</f>
        <v>0</v>
      </c>
      <c r="J156" s="135" t="n">
        <f aca="false">$G156*'Analyse capacite'!$D$8</f>
        <v>0</v>
      </c>
      <c r="K156" s="135" t="n">
        <f aca="false">$G156*'Analyse capacite'!$E$8</f>
        <v>0</v>
      </c>
    </row>
    <row r="157" customFormat="false" ht="15" hidden="false" customHeight="false" outlineLevel="0" collapsed="false">
      <c r="B157" s="130" t="n">
        <v>2027</v>
      </c>
      <c r="C157" s="131" t="s">
        <v>246</v>
      </c>
      <c r="D157" s="132" t="n">
        <v>46482</v>
      </c>
      <c r="E157" s="131" t="s">
        <v>25</v>
      </c>
      <c r="F157" s="133" t="s">
        <v>24</v>
      </c>
      <c r="G157" s="134" t="n">
        <f aca="false">LEN('Saisie programme'!$D$21)+SUMIFS('Vols additionnels'!$E$7:$E$66,'Vols additionnels'!$C$7:$C$66,$E157,'Vols additionnels'!$D$7:$D$66,$F157,'Vols additionnels'!$B$7:$B$66,$D157)</f>
        <v>0</v>
      </c>
      <c r="H157" s="135" t="n">
        <f aca="false">$G157*'Analyse capacite'!$F$9</f>
        <v>0</v>
      </c>
      <c r="I157" s="135" t="n">
        <f aca="false">$G157*'Analyse capacite'!$C$9</f>
        <v>0</v>
      </c>
      <c r="J157" s="135" t="n">
        <f aca="false">$G157*'Analyse capacite'!$D$9</f>
        <v>0</v>
      </c>
      <c r="K157" s="135" t="n">
        <f aca="false">$G157*'Analyse capacite'!$E$9</f>
        <v>0</v>
      </c>
    </row>
    <row r="158" customFormat="false" ht="15" hidden="false" customHeight="false" outlineLevel="0" collapsed="false">
      <c r="B158" s="130" t="n">
        <v>2027</v>
      </c>
      <c r="C158" s="131" t="s">
        <v>246</v>
      </c>
      <c r="D158" s="132" t="n">
        <v>46482</v>
      </c>
      <c r="E158" s="131" t="s">
        <v>36</v>
      </c>
      <c r="F158" s="133" t="s">
        <v>11</v>
      </c>
      <c r="G158" s="134" t="n">
        <f aca="false">LEN('Saisie programme'!$D$22)+SUMIFS('Vols additionnels'!$E$7:$E$66,'Vols additionnels'!$C$7:$C$66,$E158,'Vols additionnels'!$D$7:$D$66,$F158,'Vols additionnels'!$B$7:$B$66,$D158)</f>
        <v>0</v>
      </c>
      <c r="H158" s="135" t="n">
        <f aca="false">$G158*'Analyse capacite'!$F$7</f>
        <v>0</v>
      </c>
      <c r="I158" s="135" t="n">
        <f aca="false">$G158*'Analyse capacite'!$C$7</f>
        <v>0</v>
      </c>
      <c r="J158" s="135" t="n">
        <f aca="false">$G158*'Analyse capacite'!$D$7</f>
        <v>0</v>
      </c>
      <c r="K158" s="135" t="n">
        <f aca="false">$G158*'Analyse capacite'!$E$7</f>
        <v>0</v>
      </c>
    </row>
    <row r="159" customFormat="false" ht="15" hidden="false" customHeight="false" outlineLevel="0" collapsed="false">
      <c r="B159" s="130" t="n">
        <v>2027</v>
      </c>
      <c r="C159" s="131" t="s">
        <v>246</v>
      </c>
      <c r="D159" s="132" t="n">
        <v>46482</v>
      </c>
      <c r="E159" s="131" t="s">
        <v>36</v>
      </c>
      <c r="F159" s="133" t="s">
        <v>19</v>
      </c>
      <c r="G159" s="134" t="n">
        <f aca="false">LEN('Saisie programme'!$D$23)+SUMIFS('Vols additionnels'!$E$7:$E$66,'Vols additionnels'!$C$7:$C$66,$E159,'Vols additionnels'!$D$7:$D$66,$F159,'Vols additionnels'!$B$7:$B$66,$D159)</f>
        <v>0</v>
      </c>
      <c r="H159" s="135" t="n">
        <f aca="false">$G159*'Analyse capacite'!$F$8</f>
        <v>0</v>
      </c>
      <c r="I159" s="135" t="n">
        <f aca="false">$G159*'Analyse capacite'!$C$8</f>
        <v>0</v>
      </c>
      <c r="J159" s="135" t="n">
        <f aca="false">$G159*'Analyse capacite'!$D$8</f>
        <v>0</v>
      </c>
      <c r="K159" s="135" t="n">
        <f aca="false">$G159*'Analyse capacite'!$E$8</f>
        <v>0</v>
      </c>
    </row>
    <row r="160" customFormat="false" ht="15" hidden="false" customHeight="false" outlineLevel="0" collapsed="false">
      <c r="B160" s="130" t="n">
        <v>2027</v>
      </c>
      <c r="C160" s="131" t="s">
        <v>246</v>
      </c>
      <c r="D160" s="132" t="n">
        <v>46482</v>
      </c>
      <c r="E160" s="131" t="s">
        <v>36</v>
      </c>
      <c r="F160" s="133" t="s">
        <v>24</v>
      </c>
      <c r="G160" s="134" t="n">
        <f aca="false">LEN('Saisie programme'!$D$24)+SUMIFS('Vols additionnels'!$E$7:$E$66,'Vols additionnels'!$C$7:$C$66,$E160,'Vols additionnels'!$D$7:$D$66,$F160,'Vols additionnels'!$B$7:$B$66,$D160)</f>
        <v>1</v>
      </c>
      <c r="H160" s="135" t="n">
        <f aca="false">$G160*'Analyse capacite'!$F$9</f>
        <v>174</v>
      </c>
      <c r="I160" s="135" t="n">
        <f aca="false">$G160*'Analyse capacite'!$C$9</f>
        <v>0</v>
      </c>
      <c r="J160" s="135" t="n">
        <f aca="false">$G160*'Analyse capacite'!$D$9</f>
        <v>12</v>
      </c>
      <c r="K160" s="135" t="n">
        <f aca="false">$G160*'Analyse capacite'!$E$9</f>
        <v>162</v>
      </c>
    </row>
    <row r="161" customFormat="false" ht="15" hidden="false" customHeight="false" outlineLevel="0" collapsed="false">
      <c r="B161" s="130" t="n">
        <v>2027</v>
      </c>
      <c r="C161" s="131" t="s">
        <v>246</v>
      </c>
      <c r="D161" s="132" t="n">
        <v>46482</v>
      </c>
      <c r="E161" s="131" t="s">
        <v>40</v>
      </c>
      <c r="F161" s="133" t="s">
        <v>11</v>
      </c>
      <c r="G161" s="134" t="n">
        <f aca="false">LEN('Saisie programme'!$D$25)+SUMIFS('Vols additionnels'!$E$7:$E$66,'Vols additionnels'!$C$7:$C$66,$E161,'Vols additionnels'!$D$7:$D$66,$F161,'Vols additionnels'!$B$7:$B$66,$D161)</f>
        <v>0</v>
      </c>
      <c r="H161" s="135" t="n">
        <f aca="false">$G161*'Analyse capacite'!$F$7</f>
        <v>0</v>
      </c>
      <c r="I161" s="135" t="n">
        <f aca="false">$G161*'Analyse capacite'!$C$7</f>
        <v>0</v>
      </c>
      <c r="J161" s="135" t="n">
        <f aca="false">$G161*'Analyse capacite'!$D$7</f>
        <v>0</v>
      </c>
      <c r="K161" s="135" t="n">
        <f aca="false">$G161*'Analyse capacite'!$E$7</f>
        <v>0</v>
      </c>
    </row>
    <row r="162" customFormat="false" ht="15" hidden="false" customHeight="false" outlineLevel="0" collapsed="false">
      <c r="B162" s="130" t="n">
        <v>2027</v>
      </c>
      <c r="C162" s="131" t="s">
        <v>246</v>
      </c>
      <c r="D162" s="132" t="n">
        <v>46482</v>
      </c>
      <c r="E162" s="131" t="s">
        <v>40</v>
      </c>
      <c r="F162" s="133" t="s">
        <v>19</v>
      </c>
      <c r="G162" s="134" t="n">
        <f aca="false">LEN('Saisie programme'!$D$26)+SUMIFS('Vols additionnels'!$E$7:$E$66,'Vols additionnels'!$C$7:$C$66,$E162,'Vols additionnels'!$D$7:$D$66,$F162,'Vols additionnels'!$B$7:$B$66,$D162)</f>
        <v>0</v>
      </c>
      <c r="H162" s="135" t="n">
        <f aca="false">$G162*'Analyse capacite'!$F$8</f>
        <v>0</v>
      </c>
      <c r="I162" s="135" t="n">
        <f aca="false">$G162*'Analyse capacite'!$C$8</f>
        <v>0</v>
      </c>
      <c r="J162" s="135" t="n">
        <f aca="false">$G162*'Analyse capacite'!$D$8</f>
        <v>0</v>
      </c>
      <c r="K162" s="135" t="n">
        <f aca="false">$G162*'Analyse capacite'!$E$8</f>
        <v>0</v>
      </c>
    </row>
    <row r="163" customFormat="false" ht="15" hidden="false" customHeight="false" outlineLevel="0" collapsed="false">
      <c r="B163" s="130" t="n">
        <v>2027</v>
      </c>
      <c r="C163" s="131" t="s">
        <v>246</v>
      </c>
      <c r="D163" s="132" t="n">
        <v>46482</v>
      </c>
      <c r="E163" s="131" t="s">
        <v>40</v>
      </c>
      <c r="F163" s="133" t="s">
        <v>24</v>
      </c>
      <c r="G163" s="134" t="n">
        <f aca="false">LEN('Saisie programme'!$D$27)+SUMIFS('Vols additionnels'!$E$7:$E$66,'Vols additionnels'!$C$7:$C$66,$E163,'Vols additionnels'!$D$7:$D$66,$F163,'Vols additionnels'!$B$7:$B$66,$D163)</f>
        <v>1</v>
      </c>
      <c r="H163" s="135" t="n">
        <f aca="false">$G163*'Analyse capacite'!$F$9</f>
        <v>174</v>
      </c>
      <c r="I163" s="135" t="n">
        <f aca="false">$G163*'Analyse capacite'!$C$9</f>
        <v>0</v>
      </c>
      <c r="J163" s="135" t="n">
        <f aca="false">$G163*'Analyse capacite'!$D$9</f>
        <v>12</v>
      </c>
      <c r="K163" s="135" t="n">
        <f aca="false">$G163*'Analyse capacite'!$E$9</f>
        <v>162</v>
      </c>
    </row>
    <row r="164" customFormat="false" ht="15" hidden="false" customHeight="false" outlineLevel="0" collapsed="false">
      <c r="B164" s="130" t="n">
        <v>2027</v>
      </c>
      <c r="C164" s="131" t="s">
        <v>246</v>
      </c>
      <c r="D164" s="132" t="n">
        <v>46482</v>
      </c>
      <c r="E164" s="131" t="s">
        <v>14</v>
      </c>
      <c r="F164" s="133" t="s">
        <v>11</v>
      </c>
      <c r="G164" s="134" t="n">
        <f aca="false">LEN('Saisie programme'!$D$28)+SUMIFS('Vols additionnels'!$E$7:$E$66,'Vols additionnels'!$C$7:$C$66,$E164,'Vols additionnels'!$D$7:$D$66,$F164,'Vols additionnels'!$B$7:$B$66,$D164)</f>
        <v>0</v>
      </c>
      <c r="H164" s="135" t="n">
        <f aca="false">$G164*'Analyse capacite'!$F$7</f>
        <v>0</v>
      </c>
      <c r="I164" s="135" t="n">
        <f aca="false">$G164*'Analyse capacite'!$C$7</f>
        <v>0</v>
      </c>
      <c r="J164" s="135" t="n">
        <f aca="false">$G164*'Analyse capacite'!$D$7</f>
        <v>0</v>
      </c>
      <c r="K164" s="135" t="n">
        <f aca="false">$G164*'Analyse capacite'!$E$7</f>
        <v>0</v>
      </c>
    </row>
    <row r="165" customFormat="false" ht="15" hidden="false" customHeight="false" outlineLevel="0" collapsed="false">
      <c r="B165" s="130" t="n">
        <v>2027</v>
      </c>
      <c r="C165" s="131" t="s">
        <v>246</v>
      </c>
      <c r="D165" s="132" t="n">
        <v>46482</v>
      </c>
      <c r="E165" s="131" t="s">
        <v>14</v>
      </c>
      <c r="F165" s="133" t="s">
        <v>19</v>
      </c>
      <c r="G165" s="134" t="n">
        <f aca="false">LEN('Saisie programme'!$D$29)+SUMIFS('Vols additionnels'!$E$7:$E$66,'Vols additionnels'!$C$7:$C$66,$E165,'Vols additionnels'!$D$7:$D$66,$F165,'Vols additionnels'!$B$7:$B$66,$D165)</f>
        <v>0</v>
      </c>
      <c r="H165" s="135" t="n">
        <f aca="false">$G165*'Analyse capacite'!$F$8</f>
        <v>0</v>
      </c>
      <c r="I165" s="135" t="n">
        <f aca="false">$G165*'Analyse capacite'!$C$8</f>
        <v>0</v>
      </c>
      <c r="J165" s="135" t="n">
        <f aca="false">$G165*'Analyse capacite'!$D$8</f>
        <v>0</v>
      </c>
      <c r="K165" s="135" t="n">
        <f aca="false">$G165*'Analyse capacite'!$E$8</f>
        <v>0</v>
      </c>
    </row>
    <row r="166" customFormat="false" ht="15" hidden="false" customHeight="false" outlineLevel="0" collapsed="false">
      <c r="B166" s="130" t="n">
        <v>2027</v>
      </c>
      <c r="C166" s="131" t="s">
        <v>246</v>
      </c>
      <c r="D166" s="132" t="n">
        <v>46482</v>
      </c>
      <c r="E166" s="131" t="s">
        <v>14</v>
      </c>
      <c r="F166" s="133" t="s">
        <v>24</v>
      </c>
      <c r="G166" s="134" t="n">
        <f aca="false">LEN('Saisie programme'!$D$30)+SUMIFS('Vols additionnels'!$E$7:$E$66,'Vols additionnels'!$C$7:$C$66,$E166,'Vols additionnels'!$D$7:$D$66,$F166,'Vols additionnels'!$B$7:$B$66,$D166)</f>
        <v>1</v>
      </c>
      <c r="H166" s="135" t="n">
        <f aca="false">$G166*'Analyse capacite'!$F$9</f>
        <v>174</v>
      </c>
      <c r="I166" s="135" t="n">
        <f aca="false">$G166*'Analyse capacite'!$C$9</f>
        <v>0</v>
      </c>
      <c r="J166" s="135" t="n">
        <f aca="false">$G166*'Analyse capacite'!$D$9</f>
        <v>12</v>
      </c>
      <c r="K166" s="135" t="n">
        <f aca="false">$G166*'Analyse capacite'!$E$9</f>
        <v>162</v>
      </c>
    </row>
    <row r="167" customFormat="false" ht="15" hidden="false" customHeight="false" outlineLevel="0" collapsed="false">
      <c r="B167" s="130" t="n">
        <v>2027</v>
      </c>
      <c r="C167" s="131" t="s">
        <v>246</v>
      </c>
      <c r="D167" s="132" t="n">
        <v>46482</v>
      </c>
      <c r="E167" s="131" t="s">
        <v>46</v>
      </c>
      <c r="F167" s="133" t="s">
        <v>11</v>
      </c>
      <c r="G167" s="134" t="n">
        <f aca="false">LEN('Saisie programme'!$D$31)+SUMIFS('Vols additionnels'!$E$7:$E$66,'Vols additionnels'!$C$7:$C$66,$E167,'Vols additionnels'!$D$7:$D$66,$F167,'Vols additionnels'!$B$7:$B$66,$D167)</f>
        <v>0</v>
      </c>
      <c r="H167" s="135" t="n">
        <f aca="false">$G167*'Analyse capacite'!$F$7</f>
        <v>0</v>
      </c>
      <c r="I167" s="135" t="n">
        <f aca="false">$G167*'Analyse capacite'!$C$7</f>
        <v>0</v>
      </c>
      <c r="J167" s="135" t="n">
        <f aca="false">$G167*'Analyse capacite'!$D$7</f>
        <v>0</v>
      </c>
      <c r="K167" s="135" t="n">
        <f aca="false">$G167*'Analyse capacite'!$E$7</f>
        <v>0</v>
      </c>
    </row>
    <row r="168" customFormat="false" ht="15" hidden="false" customHeight="false" outlineLevel="0" collapsed="false">
      <c r="B168" s="130" t="n">
        <v>2027</v>
      </c>
      <c r="C168" s="131" t="s">
        <v>246</v>
      </c>
      <c r="D168" s="132" t="n">
        <v>46482</v>
      </c>
      <c r="E168" s="131" t="s">
        <v>46</v>
      </c>
      <c r="F168" s="133" t="s">
        <v>19</v>
      </c>
      <c r="G168" s="134" t="n">
        <f aca="false">LEN('Saisie programme'!$D$32)+SUMIFS('Vols additionnels'!$E$7:$E$66,'Vols additionnels'!$C$7:$C$66,$E168,'Vols additionnels'!$D$7:$D$66,$F168,'Vols additionnels'!$B$7:$B$66,$D168)</f>
        <v>0</v>
      </c>
      <c r="H168" s="135" t="n">
        <f aca="false">$G168*'Analyse capacite'!$F$8</f>
        <v>0</v>
      </c>
      <c r="I168" s="135" t="n">
        <f aca="false">$G168*'Analyse capacite'!$C$8</f>
        <v>0</v>
      </c>
      <c r="J168" s="135" t="n">
        <f aca="false">$G168*'Analyse capacite'!$D$8</f>
        <v>0</v>
      </c>
      <c r="K168" s="135" t="n">
        <f aca="false">$G168*'Analyse capacite'!$E$8</f>
        <v>0</v>
      </c>
    </row>
    <row r="169" customFormat="false" ht="15" hidden="false" customHeight="false" outlineLevel="0" collapsed="false">
      <c r="B169" s="130" t="n">
        <v>2027</v>
      </c>
      <c r="C169" s="131" t="s">
        <v>246</v>
      </c>
      <c r="D169" s="132" t="n">
        <v>46482</v>
      </c>
      <c r="E169" s="131" t="s">
        <v>46</v>
      </c>
      <c r="F169" s="133" t="s">
        <v>24</v>
      </c>
      <c r="G169" s="134" t="n">
        <f aca="false">LEN('Saisie programme'!$D$33)+SUMIFS('Vols additionnels'!$E$7:$E$66,'Vols additionnels'!$C$7:$C$66,$E169,'Vols additionnels'!$D$7:$D$66,$F169,'Vols additionnels'!$B$7:$B$66,$D169)</f>
        <v>0</v>
      </c>
      <c r="H169" s="135" t="n">
        <f aca="false">$G169*'Analyse capacite'!$F$9</f>
        <v>0</v>
      </c>
      <c r="I169" s="135" t="n">
        <f aca="false">$G169*'Analyse capacite'!$C$9</f>
        <v>0</v>
      </c>
      <c r="J169" s="135" t="n">
        <f aca="false">$G169*'Analyse capacite'!$D$9</f>
        <v>0</v>
      </c>
      <c r="K169" s="135" t="n">
        <f aca="false">$G169*'Analyse capacite'!$E$9</f>
        <v>0</v>
      </c>
    </row>
    <row r="170" customFormat="false" ht="15" hidden="false" customHeight="false" outlineLevel="0" collapsed="false">
      <c r="B170" s="130" t="n">
        <v>2027</v>
      </c>
      <c r="C170" s="131" t="s">
        <v>246</v>
      </c>
      <c r="D170" s="132" t="n">
        <v>46482</v>
      </c>
      <c r="E170" s="131" t="s">
        <v>49</v>
      </c>
      <c r="F170" s="133" t="s">
        <v>11</v>
      </c>
      <c r="G170" s="134" t="n">
        <f aca="false">LEN('Saisie programme'!$D$34)+SUMIFS('Vols additionnels'!$E$7:$E$66,'Vols additionnels'!$C$7:$C$66,$E170,'Vols additionnels'!$D$7:$D$66,$F170,'Vols additionnels'!$B$7:$B$66,$D170)</f>
        <v>0</v>
      </c>
      <c r="H170" s="135" t="n">
        <f aca="false">$G170*'Analyse capacite'!$F$7</f>
        <v>0</v>
      </c>
      <c r="I170" s="135" t="n">
        <f aca="false">$G170*'Analyse capacite'!$C$7</f>
        <v>0</v>
      </c>
      <c r="J170" s="135" t="n">
        <f aca="false">$G170*'Analyse capacite'!$D$7</f>
        <v>0</v>
      </c>
      <c r="K170" s="135" t="n">
        <f aca="false">$G170*'Analyse capacite'!$E$7</f>
        <v>0</v>
      </c>
    </row>
    <row r="171" customFormat="false" ht="15" hidden="false" customHeight="false" outlineLevel="0" collapsed="false">
      <c r="B171" s="130" t="n">
        <v>2027</v>
      </c>
      <c r="C171" s="131" t="s">
        <v>246</v>
      </c>
      <c r="D171" s="132" t="n">
        <v>46482</v>
      </c>
      <c r="E171" s="131" t="s">
        <v>49</v>
      </c>
      <c r="F171" s="133" t="s">
        <v>19</v>
      </c>
      <c r="G171" s="134" t="n">
        <f aca="false">LEN('Saisie programme'!$D$35)+SUMIFS('Vols additionnels'!$E$7:$E$66,'Vols additionnels'!$C$7:$C$66,$E171,'Vols additionnels'!$D$7:$D$66,$F171,'Vols additionnels'!$B$7:$B$66,$D171)</f>
        <v>1</v>
      </c>
      <c r="H171" s="135" t="n">
        <f aca="false">$G171*'Analyse capacite'!$F$8</f>
        <v>262</v>
      </c>
      <c r="I171" s="135" t="n">
        <f aca="false">$G171*'Analyse capacite'!$C$8</f>
        <v>18</v>
      </c>
      <c r="J171" s="135" t="n">
        <f aca="false">$G171*'Analyse capacite'!$D$8</f>
        <v>0</v>
      </c>
      <c r="K171" s="135" t="n">
        <f aca="false">$G171*'Analyse capacite'!$E$8</f>
        <v>244</v>
      </c>
    </row>
    <row r="172" customFormat="false" ht="15" hidden="false" customHeight="false" outlineLevel="0" collapsed="false">
      <c r="B172" s="130" t="n">
        <v>2027</v>
      </c>
      <c r="C172" s="131" t="s">
        <v>246</v>
      </c>
      <c r="D172" s="132" t="n">
        <v>46482</v>
      </c>
      <c r="E172" s="131" t="s">
        <v>49</v>
      </c>
      <c r="F172" s="133" t="s">
        <v>24</v>
      </c>
      <c r="G172" s="134" t="n">
        <f aca="false">LEN('Saisie programme'!$D$36)+SUMIFS('Vols additionnels'!$E$7:$E$66,'Vols additionnels'!$C$7:$C$66,$E172,'Vols additionnels'!$D$7:$D$66,$F172,'Vols additionnels'!$B$7:$B$66,$D172)</f>
        <v>0</v>
      </c>
      <c r="H172" s="135" t="n">
        <f aca="false">$G172*'Analyse capacite'!$F$9</f>
        <v>0</v>
      </c>
      <c r="I172" s="135" t="n">
        <f aca="false">$G172*'Analyse capacite'!$C$9</f>
        <v>0</v>
      </c>
      <c r="J172" s="135" t="n">
        <f aca="false">$G172*'Analyse capacite'!$D$9</f>
        <v>0</v>
      </c>
      <c r="K172" s="135" t="n">
        <f aca="false">$G172*'Analyse capacite'!$E$9</f>
        <v>0</v>
      </c>
    </row>
    <row r="173" customFormat="false" ht="15" hidden="false" customHeight="false" outlineLevel="0" collapsed="false">
      <c r="B173" s="130" t="n">
        <v>2027</v>
      </c>
      <c r="C173" s="131" t="s">
        <v>246</v>
      </c>
      <c r="D173" s="132" t="n">
        <v>46482</v>
      </c>
      <c r="E173" s="131" t="s">
        <v>53</v>
      </c>
      <c r="F173" s="133" t="s">
        <v>11</v>
      </c>
      <c r="G173" s="134" t="n">
        <f aca="false">LEN('Saisie programme'!$D$37)+SUMIFS('Vols additionnels'!$E$7:$E$66,'Vols additionnels'!$C$7:$C$66,$E173,'Vols additionnels'!$D$7:$D$66,$F173,'Vols additionnels'!$B$7:$B$66,$D173)</f>
        <v>0</v>
      </c>
      <c r="H173" s="135" t="n">
        <f aca="false">$G173*'Analyse capacite'!$F$7</f>
        <v>0</v>
      </c>
      <c r="I173" s="135" t="n">
        <f aca="false">$G173*'Analyse capacite'!$C$7</f>
        <v>0</v>
      </c>
      <c r="J173" s="135" t="n">
        <f aca="false">$G173*'Analyse capacite'!$D$7</f>
        <v>0</v>
      </c>
      <c r="K173" s="135" t="n">
        <f aca="false">$G173*'Analyse capacite'!$E$7</f>
        <v>0</v>
      </c>
    </row>
    <row r="174" customFormat="false" ht="15" hidden="false" customHeight="false" outlineLevel="0" collapsed="false">
      <c r="B174" s="130" t="n">
        <v>2027</v>
      </c>
      <c r="C174" s="131" t="s">
        <v>246</v>
      </c>
      <c r="D174" s="132" t="n">
        <v>46482</v>
      </c>
      <c r="E174" s="131" t="s">
        <v>53</v>
      </c>
      <c r="F174" s="133" t="s">
        <v>19</v>
      </c>
      <c r="G174" s="134" t="n">
        <f aca="false">LEN('Saisie programme'!$D$38)+SUMIFS('Vols additionnels'!$E$7:$E$66,'Vols additionnels'!$C$7:$C$66,$E174,'Vols additionnels'!$D$7:$D$66,$F174,'Vols additionnels'!$B$7:$B$66,$D174)</f>
        <v>0</v>
      </c>
      <c r="H174" s="135" t="n">
        <f aca="false">$G174*'Analyse capacite'!$F$8</f>
        <v>0</v>
      </c>
      <c r="I174" s="135" t="n">
        <f aca="false">$G174*'Analyse capacite'!$C$8</f>
        <v>0</v>
      </c>
      <c r="J174" s="135" t="n">
        <f aca="false">$G174*'Analyse capacite'!$D$8</f>
        <v>0</v>
      </c>
      <c r="K174" s="135" t="n">
        <f aca="false">$G174*'Analyse capacite'!$E$8</f>
        <v>0</v>
      </c>
    </row>
    <row r="175" customFormat="false" ht="15" hidden="false" customHeight="false" outlineLevel="0" collapsed="false">
      <c r="B175" s="130" t="n">
        <v>2027</v>
      </c>
      <c r="C175" s="131" t="s">
        <v>246</v>
      </c>
      <c r="D175" s="132" t="n">
        <v>46482</v>
      </c>
      <c r="E175" s="131" t="s">
        <v>53</v>
      </c>
      <c r="F175" s="133" t="s">
        <v>24</v>
      </c>
      <c r="G175" s="134" t="n">
        <f aca="false">LEN('Saisie programme'!$D$39)+SUMIFS('Vols additionnels'!$E$7:$E$66,'Vols additionnels'!$C$7:$C$66,$E175,'Vols additionnels'!$D$7:$D$66,$F175,'Vols additionnels'!$B$7:$B$66,$D175)</f>
        <v>0</v>
      </c>
      <c r="H175" s="135" t="n">
        <f aca="false">$G175*'Analyse capacite'!$F$9</f>
        <v>0</v>
      </c>
      <c r="I175" s="135" t="n">
        <f aca="false">$G175*'Analyse capacite'!$C$9</f>
        <v>0</v>
      </c>
      <c r="J175" s="135" t="n">
        <f aca="false">$G175*'Analyse capacite'!$D$9</f>
        <v>0</v>
      </c>
      <c r="K175" s="135" t="n">
        <f aca="false">$G175*'Analyse capacite'!$E$9</f>
        <v>0</v>
      </c>
    </row>
    <row r="176" customFormat="false" ht="15" hidden="false" customHeight="false" outlineLevel="0" collapsed="false">
      <c r="B176" s="130" t="n">
        <v>2027</v>
      </c>
      <c r="C176" s="131" t="s">
        <v>246</v>
      </c>
      <c r="D176" s="132" t="n">
        <v>46482</v>
      </c>
      <c r="E176" s="131" t="s">
        <v>56</v>
      </c>
      <c r="F176" s="133" t="s">
        <v>11</v>
      </c>
      <c r="G176" s="134" t="n">
        <f aca="false">LEN('Saisie programme'!$D$40)+SUMIFS('Vols additionnels'!$E$7:$E$66,'Vols additionnels'!$C$7:$C$66,$E176,'Vols additionnels'!$D$7:$D$66,$F176,'Vols additionnels'!$B$7:$B$66,$D176)</f>
        <v>0</v>
      </c>
      <c r="H176" s="135" t="n">
        <f aca="false">$G176*'Analyse capacite'!$F$7</f>
        <v>0</v>
      </c>
      <c r="I176" s="135" t="n">
        <f aca="false">$G176*'Analyse capacite'!$C$7</f>
        <v>0</v>
      </c>
      <c r="J176" s="135" t="n">
        <f aca="false">$G176*'Analyse capacite'!$D$7</f>
        <v>0</v>
      </c>
      <c r="K176" s="135" t="n">
        <f aca="false">$G176*'Analyse capacite'!$E$7</f>
        <v>0</v>
      </c>
    </row>
    <row r="177" customFormat="false" ht="15" hidden="false" customHeight="false" outlineLevel="0" collapsed="false">
      <c r="B177" s="130" t="n">
        <v>2027</v>
      </c>
      <c r="C177" s="131" t="s">
        <v>246</v>
      </c>
      <c r="D177" s="132" t="n">
        <v>46482</v>
      </c>
      <c r="E177" s="131" t="s">
        <v>56</v>
      </c>
      <c r="F177" s="133" t="s">
        <v>19</v>
      </c>
      <c r="G177" s="134" t="n">
        <f aca="false">LEN('Saisie programme'!$D$41)+SUMIFS('Vols additionnels'!$E$7:$E$66,'Vols additionnels'!$C$7:$C$66,$E177,'Vols additionnels'!$D$7:$D$66,$F177,'Vols additionnels'!$B$7:$B$66,$D177)</f>
        <v>0</v>
      </c>
      <c r="H177" s="135" t="n">
        <f aca="false">$G177*'Analyse capacite'!$F$8</f>
        <v>0</v>
      </c>
      <c r="I177" s="135" t="n">
        <f aca="false">$G177*'Analyse capacite'!$C$8</f>
        <v>0</v>
      </c>
      <c r="J177" s="135" t="n">
        <f aca="false">$G177*'Analyse capacite'!$D$8</f>
        <v>0</v>
      </c>
      <c r="K177" s="135" t="n">
        <f aca="false">$G177*'Analyse capacite'!$E$8</f>
        <v>0</v>
      </c>
    </row>
    <row r="178" customFormat="false" ht="15" hidden="false" customHeight="false" outlineLevel="0" collapsed="false">
      <c r="B178" s="130" t="n">
        <v>2027</v>
      </c>
      <c r="C178" s="131" t="s">
        <v>246</v>
      </c>
      <c r="D178" s="132" t="n">
        <v>46482</v>
      </c>
      <c r="E178" s="131" t="s">
        <v>56</v>
      </c>
      <c r="F178" s="133" t="s">
        <v>24</v>
      </c>
      <c r="G178" s="134" t="n">
        <f aca="false">LEN('Saisie programme'!$D$42)+SUMIFS('Vols additionnels'!$E$7:$E$66,'Vols additionnels'!$C$7:$C$66,$E178,'Vols additionnels'!$D$7:$D$66,$F178,'Vols additionnels'!$B$7:$B$66,$D178)</f>
        <v>0</v>
      </c>
      <c r="H178" s="135" t="n">
        <f aca="false">$G178*'Analyse capacite'!$F$9</f>
        <v>0</v>
      </c>
      <c r="I178" s="135" t="n">
        <f aca="false">$G178*'Analyse capacite'!$C$9</f>
        <v>0</v>
      </c>
      <c r="J178" s="135" t="n">
        <f aca="false">$G178*'Analyse capacite'!$D$9</f>
        <v>0</v>
      </c>
      <c r="K178" s="135" t="n">
        <f aca="false">$G178*'Analyse capacite'!$E$9</f>
        <v>0</v>
      </c>
    </row>
    <row r="179" customFormat="false" ht="15" hidden="false" customHeight="false" outlineLevel="0" collapsed="false">
      <c r="B179" s="130" t="n">
        <v>2027</v>
      </c>
      <c r="C179" s="131" t="s">
        <v>246</v>
      </c>
      <c r="D179" s="132" t="n">
        <v>46482</v>
      </c>
      <c r="E179" s="131" t="s">
        <v>59</v>
      </c>
      <c r="F179" s="133" t="s">
        <v>11</v>
      </c>
      <c r="G179" s="134" t="n">
        <f aca="false">LEN('Saisie programme'!$D$43)+SUMIFS('Vols additionnels'!$E$7:$E$66,'Vols additionnels'!$C$7:$C$66,$E179,'Vols additionnels'!$D$7:$D$66,$F179,'Vols additionnels'!$B$7:$B$66,$D179)</f>
        <v>0</v>
      </c>
      <c r="H179" s="135" t="n">
        <f aca="false">$G179*'Analyse capacite'!$F$7</f>
        <v>0</v>
      </c>
      <c r="I179" s="135" t="n">
        <f aca="false">$G179*'Analyse capacite'!$C$7</f>
        <v>0</v>
      </c>
      <c r="J179" s="135" t="n">
        <f aca="false">$G179*'Analyse capacite'!$D$7</f>
        <v>0</v>
      </c>
      <c r="K179" s="135" t="n">
        <f aca="false">$G179*'Analyse capacite'!$E$7</f>
        <v>0</v>
      </c>
    </row>
    <row r="180" customFormat="false" ht="15" hidden="false" customHeight="false" outlineLevel="0" collapsed="false">
      <c r="B180" s="130" t="n">
        <v>2027</v>
      </c>
      <c r="C180" s="131" t="s">
        <v>246</v>
      </c>
      <c r="D180" s="132" t="n">
        <v>46482</v>
      </c>
      <c r="E180" s="131" t="s">
        <v>59</v>
      </c>
      <c r="F180" s="133" t="s">
        <v>19</v>
      </c>
      <c r="G180" s="134" t="n">
        <f aca="false">LEN('Saisie programme'!$D$44)+SUMIFS('Vols additionnels'!$E$7:$E$66,'Vols additionnels'!$C$7:$C$66,$E180,'Vols additionnels'!$D$7:$D$66,$F180,'Vols additionnels'!$B$7:$B$66,$D180)</f>
        <v>0</v>
      </c>
      <c r="H180" s="135" t="n">
        <f aca="false">$G180*'Analyse capacite'!$F$8</f>
        <v>0</v>
      </c>
      <c r="I180" s="135" t="n">
        <f aca="false">$G180*'Analyse capacite'!$C$8</f>
        <v>0</v>
      </c>
      <c r="J180" s="135" t="n">
        <f aca="false">$G180*'Analyse capacite'!$D$8</f>
        <v>0</v>
      </c>
      <c r="K180" s="135" t="n">
        <f aca="false">$G180*'Analyse capacite'!$E$8</f>
        <v>0</v>
      </c>
    </row>
    <row r="181" customFormat="false" ht="15" hidden="false" customHeight="false" outlineLevel="0" collapsed="false">
      <c r="B181" s="130" t="n">
        <v>2027</v>
      </c>
      <c r="C181" s="131" t="s">
        <v>246</v>
      </c>
      <c r="D181" s="132" t="n">
        <v>46482</v>
      </c>
      <c r="E181" s="131" t="s">
        <v>59</v>
      </c>
      <c r="F181" s="133" t="s">
        <v>24</v>
      </c>
      <c r="G181" s="134" t="n">
        <f aca="false">LEN('Saisie programme'!$D$45)+SUMIFS('Vols additionnels'!$E$7:$E$66,'Vols additionnels'!$C$7:$C$66,$E181,'Vols additionnels'!$D$7:$D$66,$F181,'Vols additionnels'!$B$7:$B$66,$D181)</f>
        <v>1</v>
      </c>
      <c r="H181" s="135" t="n">
        <f aca="false">$G181*'Analyse capacite'!$F$9</f>
        <v>174</v>
      </c>
      <c r="I181" s="135" t="n">
        <f aca="false">$G181*'Analyse capacite'!$C$9</f>
        <v>0</v>
      </c>
      <c r="J181" s="135" t="n">
        <f aca="false">$G181*'Analyse capacite'!$D$9</f>
        <v>12</v>
      </c>
      <c r="K181" s="135" t="n">
        <f aca="false">$G181*'Analyse capacite'!$E$9</f>
        <v>162</v>
      </c>
    </row>
    <row r="182" customFormat="false" ht="15" hidden="false" customHeight="false" outlineLevel="0" collapsed="false">
      <c r="B182" s="130" t="n">
        <v>2027</v>
      </c>
      <c r="C182" s="131" t="s">
        <v>246</v>
      </c>
      <c r="D182" s="132" t="n">
        <v>46482</v>
      </c>
      <c r="E182" s="131" t="s">
        <v>62</v>
      </c>
      <c r="F182" s="133" t="s">
        <v>11</v>
      </c>
      <c r="G182" s="134" t="n">
        <f aca="false">LEN('Saisie programme'!$D$46)+SUMIFS('Vols additionnels'!$E$7:$E$66,'Vols additionnels'!$C$7:$C$66,$E182,'Vols additionnels'!$D$7:$D$66,$F182,'Vols additionnels'!$B$7:$B$66,$D182)</f>
        <v>0</v>
      </c>
      <c r="H182" s="135" t="n">
        <f aca="false">$G182*'Analyse capacite'!$F$7</f>
        <v>0</v>
      </c>
      <c r="I182" s="135" t="n">
        <f aca="false">$G182*'Analyse capacite'!$C$7</f>
        <v>0</v>
      </c>
      <c r="J182" s="135" t="n">
        <f aca="false">$G182*'Analyse capacite'!$D$7</f>
        <v>0</v>
      </c>
      <c r="K182" s="135" t="n">
        <f aca="false">$G182*'Analyse capacite'!$E$7</f>
        <v>0</v>
      </c>
    </row>
    <row r="183" customFormat="false" ht="15" hidden="false" customHeight="false" outlineLevel="0" collapsed="false">
      <c r="B183" s="130" t="n">
        <v>2027</v>
      </c>
      <c r="C183" s="131" t="s">
        <v>246</v>
      </c>
      <c r="D183" s="132" t="n">
        <v>46482</v>
      </c>
      <c r="E183" s="131" t="s">
        <v>62</v>
      </c>
      <c r="F183" s="133" t="s">
        <v>19</v>
      </c>
      <c r="G183" s="134" t="n">
        <f aca="false">LEN('Saisie programme'!$D$47)+SUMIFS('Vols additionnels'!$E$7:$E$66,'Vols additionnels'!$C$7:$C$66,$E183,'Vols additionnels'!$D$7:$D$66,$F183,'Vols additionnels'!$B$7:$B$66,$D183)</f>
        <v>0</v>
      </c>
      <c r="H183" s="135" t="n">
        <f aca="false">$G183*'Analyse capacite'!$F$8</f>
        <v>0</v>
      </c>
      <c r="I183" s="135" t="n">
        <f aca="false">$G183*'Analyse capacite'!$C$8</f>
        <v>0</v>
      </c>
      <c r="J183" s="135" t="n">
        <f aca="false">$G183*'Analyse capacite'!$D$8</f>
        <v>0</v>
      </c>
      <c r="K183" s="135" t="n">
        <f aca="false">$G183*'Analyse capacite'!$E$8</f>
        <v>0</v>
      </c>
    </row>
    <row r="184" customFormat="false" ht="15" hidden="false" customHeight="false" outlineLevel="0" collapsed="false">
      <c r="B184" s="130" t="n">
        <v>2027</v>
      </c>
      <c r="C184" s="131" t="s">
        <v>246</v>
      </c>
      <c r="D184" s="132" t="n">
        <v>46482</v>
      </c>
      <c r="E184" s="131" t="s">
        <v>62</v>
      </c>
      <c r="F184" s="133" t="s">
        <v>24</v>
      </c>
      <c r="G184" s="134" t="n">
        <f aca="false">LEN('Saisie programme'!$D$48)+SUMIFS('Vols additionnels'!$E$7:$E$66,'Vols additionnels'!$C$7:$C$66,$E184,'Vols additionnels'!$D$7:$D$66,$F184,'Vols additionnels'!$B$7:$B$66,$D184)</f>
        <v>0</v>
      </c>
      <c r="H184" s="135" t="n">
        <f aca="false">$G184*'Analyse capacite'!$F$9</f>
        <v>0</v>
      </c>
      <c r="I184" s="135" t="n">
        <f aca="false">$G184*'Analyse capacite'!$C$9</f>
        <v>0</v>
      </c>
      <c r="J184" s="135" t="n">
        <f aca="false">$G184*'Analyse capacite'!$D$9</f>
        <v>0</v>
      </c>
      <c r="K184" s="135" t="n">
        <f aca="false">$G184*'Analyse capacite'!$E$9</f>
        <v>0</v>
      </c>
    </row>
    <row r="185" customFormat="false" ht="15" hidden="false" customHeight="false" outlineLevel="0" collapsed="false">
      <c r="B185" s="130" t="n">
        <v>2027</v>
      </c>
      <c r="C185" s="131" t="s">
        <v>246</v>
      </c>
      <c r="D185" s="132" t="n">
        <v>46483</v>
      </c>
      <c r="E185" s="131" t="s">
        <v>12</v>
      </c>
      <c r="F185" s="133" t="s">
        <v>11</v>
      </c>
      <c r="G185" s="134" t="n">
        <f aca="false">LEN('Saisie programme'!$E$13)+SUMIFS('Vols additionnels'!$E$7:$E$66,'Vols additionnels'!$C$7:$C$66,$E185,'Vols additionnels'!$D$7:$D$66,$F185,'Vols additionnels'!$B$7:$B$66,$D185)</f>
        <v>1</v>
      </c>
      <c r="H185" s="135" t="n">
        <f aca="false">$G185*'Analyse capacite'!$F$7</f>
        <v>438</v>
      </c>
      <c r="I185" s="135" t="n">
        <f aca="false">$G185*'Analyse capacite'!$C$7</f>
        <v>14</v>
      </c>
      <c r="J185" s="135" t="n">
        <f aca="false">$G185*'Analyse capacite'!$D$7</f>
        <v>40</v>
      </c>
      <c r="K185" s="135" t="n">
        <f aca="false">$G185*'Analyse capacite'!$E$7</f>
        <v>384</v>
      </c>
    </row>
    <row r="186" customFormat="false" ht="15" hidden="false" customHeight="false" outlineLevel="0" collapsed="false">
      <c r="B186" s="130" t="n">
        <v>2027</v>
      </c>
      <c r="C186" s="131" t="s">
        <v>246</v>
      </c>
      <c r="D186" s="132" t="n">
        <v>46483</v>
      </c>
      <c r="E186" s="131" t="s">
        <v>12</v>
      </c>
      <c r="F186" s="133" t="s">
        <v>19</v>
      </c>
      <c r="G186" s="134" t="n">
        <f aca="false">LEN('Saisie programme'!$E$14)+SUMIFS('Vols additionnels'!$E$7:$E$66,'Vols additionnels'!$C$7:$C$66,$E186,'Vols additionnels'!$D$7:$D$66,$F186,'Vols additionnels'!$B$7:$B$66,$D186)</f>
        <v>0</v>
      </c>
      <c r="H186" s="135" t="n">
        <f aca="false">$G186*'Analyse capacite'!$F$8</f>
        <v>0</v>
      </c>
      <c r="I186" s="135" t="n">
        <f aca="false">$G186*'Analyse capacite'!$C$8</f>
        <v>0</v>
      </c>
      <c r="J186" s="135" t="n">
        <f aca="false">$G186*'Analyse capacite'!$D$8</f>
        <v>0</v>
      </c>
      <c r="K186" s="135" t="n">
        <f aca="false">$G186*'Analyse capacite'!$E$8</f>
        <v>0</v>
      </c>
    </row>
    <row r="187" customFormat="false" ht="15" hidden="false" customHeight="false" outlineLevel="0" collapsed="false">
      <c r="B187" s="130" t="n">
        <v>2027</v>
      </c>
      <c r="C187" s="131" t="s">
        <v>246</v>
      </c>
      <c r="D187" s="132" t="n">
        <v>46483</v>
      </c>
      <c r="E187" s="131" t="s">
        <v>12</v>
      </c>
      <c r="F187" s="133" t="s">
        <v>24</v>
      </c>
      <c r="G187" s="134" t="n">
        <f aca="false">LEN('Saisie programme'!$E$15)+SUMIFS('Vols additionnels'!$E$7:$E$66,'Vols additionnels'!$C$7:$C$66,$E187,'Vols additionnels'!$D$7:$D$66,$F187,'Vols additionnels'!$B$7:$B$66,$D187)</f>
        <v>0</v>
      </c>
      <c r="H187" s="135" t="n">
        <f aca="false">$G187*'Analyse capacite'!$F$9</f>
        <v>0</v>
      </c>
      <c r="I187" s="135" t="n">
        <f aca="false">$G187*'Analyse capacite'!$C$9</f>
        <v>0</v>
      </c>
      <c r="J187" s="135" t="n">
        <f aca="false">$G187*'Analyse capacite'!$D$9</f>
        <v>0</v>
      </c>
      <c r="K187" s="135" t="n">
        <f aca="false">$G187*'Analyse capacite'!$E$9</f>
        <v>0</v>
      </c>
    </row>
    <row r="188" customFormat="false" ht="15" hidden="false" customHeight="false" outlineLevel="0" collapsed="false">
      <c r="B188" s="130" t="n">
        <v>2027</v>
      </c>
      <c r="C188" s="131" t="s">
        <v>246</v>
      </c>
      <c r="D188" s="132" t="n">
        <v>46483</v>
      </c>
      <c r="E188" s="131" t="s">
        <v>20</v>
      </c>
      <c r="F188" s="133" t="s">
        <v>11</v>
      </c>
      <c r="G188" s="134" t="n">
        <f aca="false">LEN('Saisie programme'!$E$16)+SUMIFS('Vols additionnels'!$E$7:$E$66,'Vols additionnels'!$C$7:$C$66,$E188,'Vols additionnels'!$D$7:$D$66,$F188,'Vols additionnels'!$B$7:$B$66,$D188)</f>
        <v>0</v>
      </c>
      <c r="H188" s="135" t="n">
        <f aca="false">$G188*'Analyse capacite'!$F$7</f>
        <v>0</v>
      </c>
      <c r="I188" s="135" t="n">
        <f aca="false">$G188*'Analyse capacite'!$C$7</f>
        <v>0</v>
      </c>
      <c r="J188" s="135" t="n">
        <f aca="false">$G188*'Analyse capacite'!$D$7</f>
        <v>0</v>
      </c>
      <c r="K188" s="135" t="n">
        <f aca="false">$G188*'Analyse capacite'!$E$7</f>
        <v>0</v>
      </c>
    </row>
    <row r="189" customFormat="false" ht="15" hidden="false" customHeight="false" outlineLevel="0" collapsed="false">
      <c r="B189" s="130" t="n">
        <v>2027</v>
      </c>
      <c r="C189" s="131" t="s">
        <v>246</v>
      </c>
      <c r="D189" s="132" t="n">
        <v>46483</v>
      </c>
      <c r="E189" s="131" t="s">
        <v>20</v>
      </c>
      <c r="F189" s="133" t="s">
        <v>19</v>
      </c>
      <c r="G189" s="134" t="n">
        <f aca="false">LEN('Saisie programme'!$E$17)+SUMIFS('Vols additionnels'!$E$7:$E$66,'Vols additionnels'!$C$7:$C$66,$E189,'Vols additionnels'!$D$7:$D$66,$F189,'Vols additionnels'!$B$7:$B$66,$D189)</f>
        <v>1</v>
      </c>
      <c r="H189" s="135" t="n">
        <f aca="false">$G189*'Analyse capacite'!$F$8</f>
        <v>262</v>
      </c>
      <c r="I189" s="135" t="n">
        <f aca="false">$G189*'Analyse capacite'!$C$8</f>
        <v>18</v>
      </c>
      <c r="J189" s="135" t="n">
        <f aca="false">$G189*'Analyse capacite'!$D$8</f>
        <v>0</v>
      </c>
      <c r="K189" s="135" t="n">
        <f aca="false">$G189*'Analyse capacite'!$E$8</f>
        <v>244</v>
      </c>
    </row>
    <row r="190" customFormat="false" ht="15" hidden="false" customHeight="false" outlineLevel="0" collapsed="false">
      <c r="B190" s="130" t="n">
        <v>2027</v>
      </c>
      <c r="C190" s="131" t="s">
        <v>246</v>
      </c>
      <c r="D190" s="132" t="n">
        <v>46483</v>
      </c>
      <c r="E190" s="131" t="s">
        <v>20</v>
      </c>
      <c r="F190" s="133" t="s">
        <v>24</v>
      </c>
      <c r="G190" s="134" t="n">
        <f aca="false">LEN('Saisie programme'!$E$18)+SUMIFS('Vols additionnels'!$E$7:$E$66,'Vols additionnels'!$C$7:$C$66,$E190,'Vols additionnels'!$D$7:$D$66,$F190,'Vols additionnels'!$B$7:$B$66,$D190)</f>
        <v>0</v>
      </c>
      <c r="H190" s="135" t="n">
        <f aca="false">$G190*'Analyse capacite'!$F$9</f>
        <v>0</v>
      </c>
      <c r="I190" s="135" t="n">
        <f aca="false">$G190*'Analyse capacite'!$C$9</f>
        <v>0</v>
      </c>
      <c r="J190" s="135" t="n">
        <f aca="false">$G190*'Analyse capacite'!$D$9</f>
        <v>0</v>
      </c>
      <c r="K190" s="135" t="n">
        <f aca="false">$G190*'Analyse capacite'!$E$9</f>
        <v>0</v>
      </c>
    </row>
    <row r="191" customFormat="false" ht="15" hidden="false" customHeight="false" outlineLevel="0" collapsed="false">
      <c r="B191" s="130" t="n">
        <v>2027</v>
      </c>
      <c r="C191" s="131" t="s">
        <v>246</v>
      </c>
      <c r="D191" s="132" t="n">
        <v>46483</v>
      </c>
      <c r="E191" s="131" t="s">
        <v>25</v>
      </c>
      <c r="F191" s="133" t="s">
        <v>11</v>
      </c>
      <c r="G191" s="134" t="n">
        <f aca="false">LEN('Saisie programme'!$E$19)+SUMIFS('Vols additionnels'!$E$7:$E$66,'Vols additionnels'!$C$7:$C$66,$E191,'Vols additionnels'!$D$7:$D$66,$F191,'Vols additionnels'!$B$7:$B$66,$D191)</f>
        <v>0</v>
      </c>
      <c r="H191" s="135" t="n">
        <f aca="false">$G191*'Analyse capacite'!$F$7</f>
        <v>0</v>
      </c>
      <c r="I191" s="135" t="n">
        <f aca="false">$G191*'Analyse capacite'!$C$7</f>
        <v>0</v>
      </c>
      <c r="J191" s="135" t="n">
        <f aca="false">$G191*'Analyse capacite'!$D$7</f>
        <v>0</v>
      </c>
      <c r="K191" s="135" t="n">
        <f aca="false">$G191*'Analyse capacite'!$E$7</f>
        <v>0</v>
      </c>
    </row>
    <row r="192" customFormat="false" ht="15" hidden="false" customHeight="false" outlineLevel="0" collapsed="false">
      <c r="B192" s="130" t="n">
        <v>2027</v>
      </c>
      <c r="C192" s="131" t="s">
        <v>246</v>
      </c>
      <c r="D192" s="132" t="n">
        <v>46483</v>
      </c>
      <c r="E192" s="131" t="s">
        <v>25</v>
      </c>
      <c r="F192" s="133" t="s">
        <v>19</v>
      </c>
      <c r="G192" s="134" t="n">
        <f aca="false">LEN('Saisie programme'!$E$20)+SUMIFS('Vols additionnels'!$E$7:$E$66,'Vols additionnels'!$C$7:$C$66,$E192,'Vols additionnels'!$D$7:$D$66,$F192,'Vols additionnels'!$B$7:$B$66,$D192)</f>
        <v>0</v>
      </c>
      <c r="H192" s="135" t="n">
        <f aca="false">$G192*'Analyse capacite'!$F$8</f>
        <v>0</v>
      </c>
      <c r="I192" s="135" t="n">
        <f aca="false">$G192*'Analyse capacite'!$C$8</f>
        <v>0</v>
      </c>
      <c r="J192" s="135" t="n">
        <f aca="false">$G192*'Analyse capacite'!$D$8</f>
        <v>0</v>
      </c>
      <c r="K192" s="135" t="n">
        <f aca="false">$G192*'Analyse capacite'!$E$8</f>
        <v>0</v>
      </c>
    </row>
    <row r="193" customFormat="false" ht="15" hidden="false" customHeight="false" outlineLevel="0" collapsed="false">
      <c r="B193" s="130" t="n">
        <v>2027</v>
      </c>
      <c r="C193" s="131" t="s">
        <v>246</v>
      </c>
      <c r="D193" s="132" t="n">
        <v>46483</v>
      </c>
      <c r="E193" s="131" t="s">
        <v>25</v>
      </c>
      <c r="F193" s="133" t="s">
        <v>24</v>
      </c>
      <c r="G193" s="134" t="n">
        <f aca="false">LEN('Saisie programme'!$E$21)+SUMIFS('Vols additionnels'!$E$7:$E$66,'Vols additionnels'!$C$7:$C$66,$E193,'Vols additionnels'!$D$7:$D$66,$F193,'Vols additionnels'!$B$7:$B$66,$D193)</f>
        <v>0</v>
      </c>
      <c r="H193" s="135" t="n">
        <f aca="false">$G193*'Analyse capacite'!$F$9</f>
        <v>0</v>
      </c>
      <c r="I193" s="135" t="n">
        <f aca="false">$G193*'Analyse capacite'!$C$9</f>
        <v>0</v>
      </c>
      <c r="J193" s="135" t="n">
        <f aca="false">$G193*'Analyse capacite'!$D$9</f>
        <v>0</v>
      </c>
      <c r="K193" s="135" t="n">
        <f aca="false">$G193*'Analyse capacite'!$E$9</f>
        <v>0</v>
      </c>
    </row>
    <row r="194" customFormat="false" ht="15" hidden="false" customHeight="false" outlineLevel="0" collapsed="false">
      <c r="B194" s="130" t="n">
        <v>2027</v>
      </c>
      <c r="C194" s="131" t="s">
        <v>246</v>
      </c>
      <c r="D194" s="132" t="n">
        <v>46483</v>
      </c>
      <c r="E194" s="131" t="s">
        <v>36</v>
      </c>
      <c r="F194" s="133" t="s">
        <v>11</v>
      </c>
      <c r="G194" s="134" t="n">
        <f aca="false">LEN('Saisie programme'!$E$22)+SUMIFS('Vols additionnels'!$E$7:$E$66,'Vols additionnels'!$C$7:$C$66,$E194,'Vols additionnels'!$D$7:$D$66,$F194,'Vols additionnels'!$B$7:$B$66,$D194)</f>
        <v>0</v>
      </c>
      <c r="H194" s="135" t="n">
        <f aca="false">$G194*'Analyse capacite'!$F$7</f>
        <v>0</v>
      </c>
      <c r="I194" s="135" t="n">
        <f aca="false">$G194*'Analyse capacite'!$C$7</f>
        <v>0</v>
      </c>
      <c r="J194" s="135" t="n">
        <f aca="false">$G194*'Analyse capacite'!$D$7</f>
        <v>0</v>
      </c>
      <c r="K194" s="135" t="n">
        <f aca="false">$G194*'Analyse capacite'!$E$7</f>
        <v>0</v>
      </c>
    </row>
    <row r="195" customFormat="false" ht="15" hidden="false" customHeight="false" outlineLevel="0" collapsed="false">
      <c r="B195" s="130" t="n">
        <v>2027</v>
      </c>
      <c r="C195" s="131" t="s">
        <v>246</v>
      </c>
      <c r="D195" s="132" t="n">
        <v>46483</v>
      </c>
      <c r="E195" s="131" t="s">
        <v>36</v>
      </c>
      <c r="F195" s="133" t="s">
        <v>19</v>
      </c>
      <c r="G195" s="134" t="n">
        <f aca="false">LEN('Saisie programme'!$E$23)+SUMIFS('Vols additionnels'!$E$7:$E$66,'Vols additionnels'!$C$7:$C$66,$E195,'Vols additionnels'!$D$7:$D$66,$F195,'Vols additionnels'!$B$7:$B$66,$D195)</f>
        <v>0</v>
      </c>
      <c r="H195" s="135" t="n">
        <f aca="false">$G195*'Analyse capacite'!$F$8</f>
        <v>0</v>
      </c>
      <c r="I195" s="135" t="n">
        <f aca="false">$G195*'Analyse capacite'!$C$8</f>
        <v>0</v>
      </c>
      <c r="J195" s="135" t="n">
        <f aca="false">$G195*'Analyse capacite'!$D$8</f>
        <v>0</v>
      </c>
      <c r="K195" s="135" t="n">
        <f aca="false">$G195*'Analyse capacite'!$E$8</f>
        <v>0</v>
      </c>
    </row>
    <row r="196" customFormat="false" ht="15" hidden="false" customHeight="false" outlineLevel="0" collapsed="false">
      <c r="B196" s="130" t="n">
        <v>2027</v>
      </c>
      <c r="C196" s="131" t="s">
        <v>246</v>
      </c>
      <c r="D196" s="132" t="n">
        <v>46483</v>
      </c>
      <c r="E196" s="131" t="s">
        <v>36</v>
      </c>
      <c r="F196" s="133" t="s">
        <v>24</v>
      </c>
      <c r="G196" s="134" t="n">
        <f aca="false">LEN('Saisie programme'!$E$24)+SUMIFS('Vols additionnels'!$E$7:$E$66,'Vols additionnels'!$C$7:$C$66,$E196,'Vols additionnels'!$D$7:$D$66,$F196,'Vols additionnels'!$B$7:$B$66,$D196)</f>
        <v>1</v>
      </c>
      <c r="H196" s="135" t="n">
        <f aca="false">$G196*'Analyse capacite'!$F$9</f>
        <v>174</v>
      </c>
      <c r="I196" s="135" t="n">
        <f aca="false">$G196*'Analyse capacite'!$C$9</f>
        <v>0</v>
      </c>
      <c r="J196" s="135" t="n">
        <f aca="false">$G196*'Analyse capacite'!$D$9</f>
        <v>12</v>
      </c>
      <c r="K196" s="135" t="n">
        <f aca="false">$G196*'Analyse capacite'!$E$9</f>
        <v>162</v>
      </c>
    </row>
    <row r="197" customFormat="false" ht="15" hidden="false" customHeight="false" outlineLevel="0" collapsed="false">
      <c r="B197" s="130" t="n">
        <v>2027</v>
      </c>
      <c r="C197" s="131" t="s">
        <v>246</v>
      </c>
      <c r="D197" s="132" t="n">
        <v>46483</v>
      </c>
      <c r="E197" s="131" t="s">
        <v>40</v>
      </c>
      <c r="F197" s="133" t="s">
        <v>11</v>
      </c>
      <c r="G197" s="134" t="n">
        <f aca="false">LEN('Saisie programme'!$E$25)+SUMIFS('Vols additionnels'!$E$7:$E$66,'Vols additionnels'!$C$7:$C$66,$E197,'Vols additionnels'!$D$7:$D$66,$F197,'Vols additionnels'!$B$7:$B$66,$D197)</f>
        <v>0</v>
      </c>
      <c r="H197" s="135" t="n">
        <f aca="false">$G197*'Analyse capacite'!$F$7</f>
        <v>0</v>
      </c>
      <c r="I197" s="135" t="n">
        <f aca="false">$G197*'Analyse capacite'!$C$7</f>
        <v>0</v>
      </c>
      <c r="J197" s="135" t="n">
        <f aca="false">$G197*'Analyse capacite'!$D$7</f>
        <v>0</v>
      </c>
      <c r="K197" s="135" t="n">
        <f aca="false">$G197*'Analyse capacite'!$E$7</f>
        <v>0</v>
      </c>
    </row>
    <row r="198" customFormat="false" ht="15" hidden="false" customHeight="false" outlineLevel="0" collapsed="false">
      <c r="B198" s="130" t="n">
        <v>2027</v>
      </c>
      <c r="C198" s="131" t="s">
        <v>246</v>
      </c>
      <c r="D198" s="132" t="n">
        <v>46483</v>
      </c>
      <c r="E198" s="131" t="s">
        <v>40</v>
      </c>
      <c r="F198" s="133" t="s">
        <v>19</v>
      </c>
      <c r="G198" s="134" t="n">
        <f aca="false">LEN('Saisie programme'!$E$26)+SUMIFS('Vols additionnels'!$E$7:$E$66,'Vols additionnels'!$C$7:$C$66,$E198,'Vols additionnels'!$D$7:$D$66,$F198,'Vols additionnels'!$B$7:$B$66,$D198)</f>
        <v>0</v>
      </c>
      <c r="H198" s="135" t="n">
        <f aca="false">$G198*'Analyse capacite'!$F$8</f>
        <v>0</v>
      </c>
      <c r="I198" s="135" t="n">
        <f aca="false">$G198*'Analyse capacite'!$C$8</f>
        <v>0</v>
      </c>
      <c r="J198" s="135" t="n">
        <f aca="false">$G198*'Analyse capacite'!$D$8</f>
        <v>0</v>
      </c>
      <c r="K198" s="135" t="n">
        <f aca="false">$G198*'Analyse capacite'!$E$8</f>
        <v>0</v>
      </c>
    </row>
    <row r="199" customFormat="false" ht="15" hidden="false" customHeight="false" outlineLevel="0" collapsed="false">
      <c r="B199" s="130" t="n">
        <v>2027</v>
      </c>
      <c r="C199" s="131" t="s">
        <v>246</v>
      </c>
      <c r="D199" s="132" t="n">
        <v>46483</v>
      </c>
      <c r="E199" s="131" t="s">
        <v>40</v>
      </c>
      <c r="F199" s="133" t="s">
        <v>24</v>
      </c>
      <c r="G199" s="134" t="n">
        <f aca="false">LEN('Saisie programme'!$E$27)+SUMIFS('Vols additionnels'!$E$7:$E$66,'Vols additionnels'!$C$7:$C$66,$E199,'Vols additionnels'!$D$7:$D$66,$F199,'Vols additionnels'!$B$7:$B$66,$D199)</f>
        <v>0</v>
      </c>
      <c r="H199" s="135" t="n">
        <f aca="false">$G199*'Analyse capacite'!$F$9</f>
        <v>0</v>
      </c>
      <c r="I199" s="135" t="n">
        <f aca="false">$G199*'Analyse capacite'!$C$9</f>
        <v>0</v>
      </c>
      <c r="J199" s="135" t="n">
        <f aca="false">$G199*'Analyse capacite'!$D$9</f>
        <v>0</v>
      </c>
      <c r="K199" s="135" t="n">
        <f aca="false">$G199*'Analyse capacite'!$E$9</f>
        <v>0</v>
      </c>
    </row>
    <row r="200" customFormat="false" ht="15" hidden="false" customHeight="false" outlineLevel="0" collapsed="false">
      <c r="B200" s="130" t="n">
        <v>2027</v>
      </c>
      <c r="C200" s="131" t="s">
        <v>246</v>
      </c>
      <c r="D200" s="132" t="n">
        <v>46483</v>
      </c>
      <c r="E200" s="131" t="s">
        <v>14</v>
      </c>
      <c r="F200" s="133" t="s">
        <v>11</v>
      </c>
      <c r="G200" s="134" t="n">
        <f aca="false">LEN('Saisie programme'!$E$28)+SUMIFS('Vols additionnels'!$E$7:$E$66,'Vols additionnels'!$C$7:$C$66,$E200,'Vols additionnels'!$D$7:$D$66,$F200,'Vols additionnels'!$B$7:$B$66,$D200)</f>
        <v>0</v>
      </c>
      <c r="H200" s="135" t="n">
        <f aca="false">$G200*'Analyse capacite'!$F$7</f>
        <v>0</v>
      </c>
      <c r="I200" s="135" t="n">
        <f aca="false">$G200*'Analyse capacite'!$C$7</f>
        <v>0</v>
      </c>
      <c r="J200" s="135" t="n">
        <f aca="false">$G200*'Analyse capacite'!$D$7</f>
        <v>0</v>
      </c>
      <c r="K200" s="135" t="n">
        <f aca="false">$G200*'Analyse capacite'!$E$7</f>
        <v>0</v>
      </c>
    </row>
    <row r="201" customFormat="false" ht="15" hidden="false" customHeight="false" outlineLevel="0" collapsed="false">
      <c r="B201" s="130" t="n">
        <v>2027</v>
      </c>
      <c r="C201" s="131" t="s">
        <v>246</v>
      </c>
      <c r="D201" s="132" t="n">
        <v>46483</v>
      </c>
      <c r="E201" s="131" t="s">
        <v>14</v>
      </c>
      <c r="F201" s="133" t="s">
        <v>19</v>
      </c>
      <c r="G201" s="134" t="n">
        <f aca="false">LEN('Saisie programme'!$E$29)+SUMIFS('Vols additionnels'!$E$7:$E$66,'Vols additionnels'!$C$7:$C$66,$E201,'Vols additionnels'!$D$7:$D$66,$F201,'Vols additionnels'!$B$7:$B$66,$D201)</f>
        <v>0</v>
      </c>
      <c r="H201" s="135" t="n">
        <f aca="false">$G201*'Analyse capacite'!$F$8</f>
        <v>0</v>
      </c>
      <c r="I201" s="135" t="n">
        <f aca="false">$G201*'Analyse capacite'!$C$8</f>
        <v>0</v>
      </c>
      <c r="J201" s="135" t="n">
        <f aca="false">$G201*'Analyse capacite'!$D$8</f>
        <v>0</v>
      </c>
      <c r="K201" s="135" t="n">
        <f aca="false">$G201*'Analyse capacite'!$E$8</f>
        <v>0</v>
      </c>
    </row>
    <row r="202" customFormat="false" ht="15" hidden="false" customHeight="false" outlineLevel="0" collapsed="false">
      <c r="B202" s="130" t="n">
        <v>2027</v>
      </c>
      <c r="C202" s="131" t="s">
        <v>246</v>
      </c>
      <c r="D202" s="132" t="n">
        <v>46483</v>
      </c>
      <c r="E202" s="131" t="s">
        <v>14</v>
      </c>
      <c r="F202" s="133" t="s">
        <v>24</v>
      </c>
      <c r="G202" s="134" t="n">
        <f aca="false">LEN('Saisie programme'!$E$30)+SUMIFS('Vols additionnels'!$E$7:$E$66,'Vols additionnels'!$C$7:$C$66,$E202,'Vols additionnels'!$D$7:$D$66,$F202,'Vols additionnels'!$B$7:$B$66,$D202)</f>
        <v>0</v>
      </c>
      <c r="H202" s="135" t="n">
        <f aca="false">$G202*'Analyse capacite'!$F$9</f>
        <v>0</v>
      </c>
      <c r="I202" s="135" t="n">
        <f aca="false">$G202*'Analyse capacite'!$C$9</f>
        <v>0</v>
      </c>
      <c r="J202" s="135" t="n">
        <f aca="false">$G202*'Analyse capacite'!$D$9</f>
        <v>0</v>
      </c>
      <c r="K202" s="135" t="n">
        <f aca="false">$G202*'Analyse capacite'!$E$9</f>
        <v>0</v>
      </c>
    </row>
    <row r="203" customFormat="false" ht="15" hidden="false" customHeight="false" outlineLevel="0" collapsed="false">
      <c r="B203" s="130" t="n">
        <v>2027</v>
      </c>
      <c r="C203" s="131" t="s">
        <v>246</v>
      </c>
      <c r="D203" s="132" t="n">
        <v>46483</v>
      </c>
      <c r="E203" s="131" t="s">
        <v>46</v>
      </c>
      <c r="F203" s="133" t="s">
        <v>11</v>
      </c>
      <c r="G203" s="134" t="n">
        <f aca="false">LEN('Saisie programme'!$E$31)+SUMIFS('Vols additionnels'!$E$7:$E$66,'Vols additionnels'!$C$7:$C$66,$E203,'Vols additionnels'!$D$7:$D$66,$F203,'Vols additionnels'!$B$7:$B$66,$D203)</f>
        <v>0</v>
      </c>
      <c r="H203" s="135" t="n">
        <f aca="false">$G203*'Analyse capacite'!$F$7</f>
        <v>0</v>
      </c>
      <c r="I203" s="135" t="n">
        <f aca="false">$G203*'Analyse capacite'!$C$7</f>
        <v>0</v>
      </c>
      <c r="J203" s="135" t="n">
        <f aca="false">$G203*'Analyse capacite'!$D$7</f>
        <v>0</v>
      </c>
      <c r="K203" s="135" t="n">
        <f aca="false">$G203*'Analyse capacite'!$E$7</f>
        <v>0</v>
      </c>
    </row>
    <row r="204" customFormat="false" ht="15" hidden="false" customHeight="false" outlineLevel="0" collapsed="false">
      <c r="B204" s="130" t="n">
        <v>2027</v>
      </c>
      <c r="C204" s="131" t="s">
        <v>246</v>
      </c>
      <c r="D204" s="132" t="n">
        <v>46483</v>
      </c>
      <c r="E204" s="131" t="s">
        <v>46</v>
      </c>
      <c r="F204" s="133" t="s">
        <v>19</v>
      </c>
      <c r="G204" s="134" t="n">
        <f aca="false">LEN('Saisie programme'!$E$32)+SUMIFS('Vols additionnels'!$E$7:$E$66,'Vols additionnels'!$C$7:$C$66,$E204,'Vols additionnels'!$D$7:$D$66,$F204,'Vols additionnels'!$B$7:$B$66,$D204)</f>
        <v>0</v>
      </c>
      <c r="H204" s="135" t="n">
        <f aca="false">$G204*'Analyse capacite'!$F$8</f>
        <v>0</v>
      </c>
      <c r="I204" s="135" t="n">
        <f aca="false">$G204*'Analyse capacite'!$C$8</f>
        <v>0</v>
      </c>
      <c r="J204" s="135" t="n">
        <f aca="false">$G204*'Analyse capacite'!$D$8</f>
        <v>0</v>
      </c>
      <c r="K204" s="135" t="n">
        <f aca="false">$G204*'Analyse capacite'!$E$8</f>
        <v>0</v>
      </c>
    </row>
    <row r="205" customFormat="false" ht="15" hidden="false" customHeight="false" outlineLevel="0" collapsed="false">
      <c r="B205" s="130" t="n">
        <v>2027</v>
      </c>
      <c r="C205" s="131" t="s">
        <v>246</v>
      </c>
      <c r="D205" s="132" t="n">
        <v>46483</v>
      </c>
      <c r="E205" s="131" t="s">
        <v>46</v>
      </c>
      <c r="F205" s="133" t="s">
        <v>24</v>
      </c>
      <c r="G205" s="134" t="n">
        <f aca="false">LEN('Saisie programme'!$E$33)+SUMIFS('Vols additionnels'!$E$7:$E$66,'Vols additionnels'!$C$7:$C$66,$E205,'Vols additionnels'!$D$7:$D$66,$F205,'Vols additionnels'!$B$7:$B$66,$D205)</f>
        <v>1</v>
      </c>
      <c r="H205" s="135" t="n">
        <f aca="false">$G205*'Analyse capacite'!$F$9</f>
        <v>174</v>
      </c>
      <c r="I205" s="135" t="n">
        <f aca="false">$G205*'Analyse capacite'!$C$9</f>
        <v>0</v>
      </c>
      <c r="J205" s="135" t="n">
        <f aca="false">$G205*'Analyse capacite'!$D$9</f>
        <v>12</v>
      </c>
      <c r="K205" s="135" t="n">
        <f aca="false">$G205*'Analyse capacite'!$E$9</f>
        <v>162</v>
      </c>
    </row>
    <row r="206" customFormat="false" ht="15" hidden="false" customHeight="false" outlineLevel="0" collapsed="false">
      <c r="B206" s="130" t="n">
        <v>2027</v>
      </c>
      <c r="C206" s="131" t="s">
        <v>246</v>
      </c>
      <c r="D206" s="132" t="n">
        <v>46483</v>
      </c>
      <c r="E206" s="131" t="s">
        <v>49</v>
      </c>
      <c r="F206" s="133" t="s">
        <v>11</v>
      </c>
      <c r="G206" s="134" t="n">
        <f aca="false">LEN('Saisie programme'!$E$34)+SUMIFS('Vols additionnels'!$E$7:$E$66,'Vols additionnels'!$C$7:$C$66,$E206,'Vols additionnels'!$D$7:$D$66,$F206,'Vols additionnels'!$B$7:$B$66,$D206)</f>
        <v>0</v>
      </c>
      <c r="H206" s="135" t="n">
        <f aca="false">$G206*'Analyse capacite'!$F$7</f>
        <v>0</v>
      </c>
      <c r="I206" s="135" t="n">
        <f aca="false">$G206*'Analyse capacite'!$C$7</f>
        <v>0</v>
      </c>
      <c r="J206" s="135" t="n">
        <f aca="false">$G206*'Analyse capacite'!$D$7</f>
        <v>0</v>
      </c>
      <c r="K206" s="135" t="n">
        <f aca="false">$G206*'Analyse capacite'!$E$7</f>
        <v>0</v>
      </c>
    </row>
    <row r="207" customFormat="false" ht="15" hidden="false" customHeight="false" outlineLevel="0" collapsed="false">
      <c r="B207" s="130" t="n">
        <v>2027</v>
      </c>
      <c r="C207" s="131" t="s">
        <v>246</v>
      </c>
      <c r="D207" s="132" t="n">
        <v>46483</v>
      </c>
      <c r="E207" s="131" t="s">
        <v>49</v>
      </c>
      <c r="F207" s="133" t="s">
        <v>19</v>
      </c>
      <c r="G207" s="134" t="n">
        <f aca="false">LEN('Saisie programme'!$E$35)+SUMIFS('Vols additionnels'!$E$7:$E$66,'Vols additionnels'!$C$7:$C$66,$E207,'Vols additionnels'!$D$7:$D$66,$F207,'Vols additionnels'!$B$7:$B$66,$D207)</f>
        <v>0</v>
      </c>
      <c r="H207" s="135" t="n">
        <f aca="false">$G207*'Analyse capacite'!$F$8</f>
        <v>0</v>
      </c>
      <c r="I207" s="135" t="n">
        <f aca="false">$G207*'Analyse capacite'!$C$8</f>
        <v>0</v>
      </c>
      <c r="J207" s="135" t="n">
        <f aca="false">$G207*'Analyse capacite'!$D$8</f>
        <v>0</v>
      </c>
      <c r="K207" s="135" t="n">
        <f aca="false">$G207*'Analyse capacite'!$E$8</f>
        <v>0</v>
      </c>
    </row>
    <row r="208" customFormat="false" ht="15" hidden="false" customHeight="false" outlineLevel="0" collapsed="false">
      <c r="B208" s="130" t="n">
        <v>2027</v>
      </c>
      <c r="C208" s="131" t="s">
        <v>246</v>
      </c>
      <c r="D208" s="132" t="n">
        <v>46483</v>
      </c>
      <c r="E208" s="131" t="s">
        <v>49</v>
      </c>
      <c r="F208" s="133" t="s">
        <v>24</v>
      </c>
      <c r="G208" s="134" t="n">
        <f aca="false">LEN('Saisie programme'!$E$36)+SUMIFS('Vols additionnels'!$E$7:$E$66,'Vols additionnels'!$C$7:$C$66,$E208,'Vols additionnels'!$D$7:$D$66,$F208,'Vols additionnels'!$B$7:$B$66,$D208)</f>
        <v>0</v>
      </c>
      <c r="H208" s="135" t="n">
        <f aca="false">$G208*'Analyse capacite'!$F$9</f>
        <v>0</v>
      </c>
      <c r="I208" s="135" t="n">
        <f aca="false">$G208*'Analyse capacite'!$C$9</f>
        <v>0</v>
      </c>
      <c r="J208" s="135" t="n">
        <f aca="false">$G208*'Analyse capacite'!$D$9</f>
        <v>0</v>
      </c>
      <c r="K208" s="135" t="n">
        <f aca="false">$G208*'Analyse capacite'!$E$9</f>
        <v>0</v>
      </c>
    </row>
    <row r="209" customFormat="false" ht="15" hidden="false" customHeight="false" outlineLevel="0" collapsed="false">
      <c r="B209" s="130" t="n">
        <v>2027</v>
      </c>
      <c r="C209" s="131" t="s">
        <v>246</v>
      </c>
      <c r="D209" s="132" t="n">
        <v>46483</v>
      </c>
      <c r="E209" s="131" t="s">
        <v>53</v>
      </c>
      <c r="F209" s="133" t="s">
        <v>11</v>
      </c>
      <c r="G209" s="134" t="n">
        <f aca="false">LEN('Saisie programme'!$E$37)+SUMIFS('Vols additionnels'!$E$7:$E$66,'Vols additionnels'!$C$7:$C$66,$E209,'Vols additionnels'!$D$7:$D$66,$F209,'Vols additionnels'!$B$7:$B$66,$D209)</f>
        <v>0</v>
      </c>
      <c r="H209" s="135" t="n">
        <f aca="false">$G209*'Analyse capacite'!$F$7</f>
        <v>0</v>
      </c>
      <c r="I209" s="135" t="n">
        <f aca="false">$G209*'Analyse capacite'!$C$7</f>
        <v>0</v>
      </c>
      <c r="J209" s="135" t="n">
        <f aca="false">$G209*'Analyse capacite'!$D$7</f>
        <v>0</v>
      </c>
      <c r="K209" s="135" t="n">
        <f aca="false">$G209*'Analyse capacite'!$E$7</f>
        <v>0</v>
      </c>
    </row>
    <row r="210" customFormat="false" ht="15" hidden="false" customHeight="false" outlineLevel="0" collapsed="false">
      <c r="B210" s="130" t="n">
        <v>2027</v>
      </c>
      <c r="C210" s="131" t="s">
        <v>246</v>
      </c>
      <c r="D210" s="132" t="n">
        <v>46483</v>
      </c>
      <c r="E210" s="131" t="s">
        <v>53</v>
      </c>
      <c r="F210" s="133" t="s">
        <v>19</v>
      </c>
      <c r="G210" s="134" t="n">
        <f aca="false">LEN('Saisie programme'!$E$38)+SUMIFS('Vols additionnels'!$E$7:$E$66,'Vols additionnels'!$C$7:$C$66,$E210,'Vols additionnels'!$D$7:$D$66,$F210,'Vols additionnels'!$B$7:$B$66,$D210)</f>
        <v>0</v>
      </c>
      <c r="H210" s="135" t="n">
        <f aca="false">$G210*'Analyse capacite'!$F$8</f>
        <v>0</v>
      </c>
      <c r="I210" s="135" t="n">
        <f aca="false">$G210*'Analyse capacite'!$C$8</f>
        <v>0</v>
      </c>
      <c r="J210" s="135" t="n">
        <f aca="false">$G210*'Analyse capacite'!$D$8</f>
        <v>0</v>
      </c>
      <c r="K210" s="135" t="n">
        <f aca="false">$G210*'Analyse capacite'!$E$8</f>
        <v>0</v>
      </c>
    </row>
    <row r="211" customFormat="false" ht="15" hidden="false" customHeight="false" outlineLevel="0" collapsed="false">
      <c r="B211" s="130" t="n">
        <v>2027</v>
      </c>
      <c r="C211" s="131" t="s">
        <v>246</v>
      </c>
      <c r="D211" s="132" t="n">
        <v>46483</v>
      </c>
      <c r="E211" s="131" t="s">
        <v>53</v>
      </c>
      <c r="F211" s="133" t="s">
        <v>24</v>
      </c>
      <c r="G211" s="134" t="n">
        <f aca="false">LEN('Saisie programme'!$E$39)+SUMIFS('Vols additionnels'!$E$7:$E$66,'Vols additionnels'!$C$7:$C$66,$E211,'Vols additionnels'!$D$7:$D$66,$F211,'Vols additionnels'!$B$7:$B$66,$D211)</f>
        <v>0</v>
      </c>
      <c r="H211" s="135" t="n">
        <f aca="false">$G211*'Analyse capacite'!$F$9</f>
        <v>0</v>
      </c>
      <c r="I211" s="135" t="n">
        <f aca="false">$G211*'Analyse capacite'!$C$9</f>
        <v>0</v>
      </c>
      <c r="J211" s="135" t="n">
        <f aca="false">$G211*'Analyse capacite'!$D$9</f>
        <v>0</v>
      </c>
      <c r="K211" s="135" t="n">
        <f aca="false">$G211*'Analyse capacite'!$E$9</f>
        <v>0</v>
      </c>
    </row>
    <row r="212" customFormat="false" ht="15" hidden="false" customHeight="false" outlineLevel="0" collapsed="false">
      <c r="B212" s="130" t="n">
        <v>2027</v>
      </c>
      <c r="C212" s="131" t="s">
        <v>246</v>
      </c>
      <c r="D212" s="132" t="n">
        <v>46483</v>
      </c>
      <c r="E212" s="131" t="s">
        <v>56</v>
      </c>
      <c r="F212" s="133" t="s">
        <v>11</v>
      </c>
      <c r="G212" s="134" t="n">
        <f aca="false">LEN('Saisie programme'!$E$40)+SUMIFS('Vols additionnels'!$E$7:$E$66,'Vols additionnels'!$C$7:$C$66,$E212,'Vols additionnels'!$D$7:$D$66,$F212,'Vols additionnels'!$B$7:$B$66,$D212)</f>
        <v>0</v>
      </c>
      <c r="H212" s="135" t="n">
        <f aca="false">$G212*'Analyse capacite'!$F$7</f>
        <v>0</v>
      </c>
      <c r="I212" s="135" t="n">
        <f aca="false">$G212*'Analyse capacite'!$C$7</f>
        <v>0</v>
      </c>
      <c r="J212" s="135" t="n">
        <f aca="false">$G212*'Analyse capacite'!$D$7</f>
        <v>0</v>
      </c>
      <c r="K212" s="135" t="n">
        <f aca="false">$G212*'Analyse capacite'!$E$7</f>
        <v>0</v>
      </c>
    </row>
    <row r="213" customFormat="false" ht="15" hidden="false" customHeight="false" outlineLevel="0" collapsed="false">
      <c r="B213" s="130" t="n">
        <v>2027</v>
      </c>
      <c r="C213" s="131" t="s">
        <v>246</v>
      </c>
      <c r="D213" s="132" t="n">
        <v>46483</v>
      </c>
      <c r="E213" s="131" t="s">
        <v>56</v>
      </c>
      <c r="F213" s="133" t="s">
        <v>19</v>
      </c>
      <c r="G213" s="134" t="n">
        <f aca="false">LEN('Saisie programme'!$E$41)+SUMIFS('Vols additionnels'!$E$7:$E$66,'Vols additionnels'!$C$7:$C$66,$E213,'Vols additionnels'!$D$7:$D$66,$F213,'Vols additionnels'!$B$7:$B$66,$D213)</f>
        <v>0</v>
      </c>
      <c r="H213" s="135" t="n">
        <f aca="false">$G213*'Analyse capacite'!$F$8</f>
        <v>0</v>
      </c>
      <c r="I213" s="135" t="n">
        <f aca="false">$G213*'Analyse capacite'!$C$8</f>
        <v>0</v>
      </c>
      <c r="J213" s="135" t="n">
        <f aca="false">$G213*'Analyse capacite'!$D$8</f>
        <v>0</v>
      </c>
      <c r="K213" s="135" t="n">
        <f aca="false">$G213*'Analyse capacite'!$E$8</f>
        <v>0</v>
      </c>
    </row>
    <row r="214" customFormat="false" ht="15" hidden="false" customHeight="false" outlineLevel="0" collapsed="false">
      <c r="B214" s="130" t="n">
        <v>2027</v>
      </c>
      <c r="C214" s="131" t="s">
        <v>246</v>
      </c>
      <c r="D214" s="132" t="n">
        <v>46483</v>
      </c>
      <c r="E214" s="131" t="s">
        <v>56</v>
      </c>
      <c r="F214" s="133" t="s">
        <v>24</v>
      </c>
      <c r="G214" s="134" t="n">
        <f aca="false">LEN('Saisie programme'!$E$42)+SUMIFS('Vols additionnels'!$E$7:$E$66,'Vols additionnels'!$C$7:$C$66,$E214,'Vols additionnels'!$D$7:$D$66,$F214,'Vols additionnels'!$B$7:$B$66,$D214)</f>
        <v>1</v>
      </c>
      <c r="H214" s="135" t="n">
        <f aca="false">$G214*'Analyse capacite'!$F$9</f>
        <v>174</v>
      </c>
      <c r="I214" s="135" t="n">
        <f aca="false">$G214*'Analyse capacite'!$C$9</f>
        <v>0</v>
      </c>
      <c r="J214" s="135" t="n">
        <f aca="false">$G214*'Analyse capacite'!$D$9</f>
        <v>12</v>
      </c>
      <c r="K214" s="135" t="n">
        <f aca="false">$G214*'Analyse capacite'!$E$9</f>
        <v>162</v>
      </c>
    </row>
    <row r="215" customFormat="false" ht="15" hidden="false" customHeight="false" outlineLevel="0" collapsed="false">
      <c r="B215" s="130" t="n">
        <v>2027</v>
      </c>
      <c r="C215" s="131" t="s">
        <v>246</v>
      </c>
      <c r="D215" s="132" t="n">
        <v>46483</v>
      </c>
      <c r="E215" s="131" t="s">
        <v>59</v>
      </c>
      <c r="F215" s="133" t="s">
        <v>11</v>
      </c>
      <c r="G215" s="134" t="n">
        <f aca="false">LEN('Saisie programme'!$E$43)+SUMIFS('Vols additionnels'!$E$7:$E$66,'Vols additionnels'!$C$7:$C$66,$E215,'Vols additionnels'!$D$7:$D$66,$F215,'Vols additionnels'!$B$7:$B$66,$D215)</f>
        <v>0</v>
      </c>
      <c r="H215" s="135" t="n">
        <f aca="false">$G215*'Analyse capacite'!$F$7</f>
        <v>0</v>
      </c>
      <c r="I215" s="135" t="n">
        <f aca="false">$G215*'Analyse capacite'!$C$7</f>
        <v>0</v>
      </c>
      <c r="J215" s="135" t="n">
        <f aca="false">$G215*'Analyse capacite'!$D$7</f>
        <v>0</v>
      </c>
      <c r="K215" s="135" t="n">
        <f aca="false">$G215*'Analyse capacite'!$E$7</f>
        <v>0</v>
      </c>
    </row>
    <row r="216" customFormat="false" ht="15" hidden="false" customHeight="false" outlineLevel="0" collapsed="false">
      <c r="B216" s="130" t="n">
        <v>2027</v>
      </c>
      <c r="C216" s="131" t="s">
        <v>246</v>
      </c>
      <c r="D216" s="132" t="n">
        <v>46483</v>
      </c>
      <c r="E216" s="131" t="s">
        <v>59</v>
      </c>
      <c r="F216" s="133" t="s">
        <v>19</v>
      </c>
      <c r="G216" s="134" t="n">
        <f aca="false">LEN('Saisie programme'!$E$44)+SUMIFS('Vols additionnels'!$E$7:$E$66,'Vols additionnels'!$C$7:$C$66,$E216,'Vols additionnels'!$D$7:$D$66,$F216,'Vols additionnels'!$B$7:$B$66,$D216)</f>
        <v>0</v>
      </c>
      <c r="H216" s="135" t="n">
        <f aca="false">$G216*'Analyse capacite'!$F$8</f>
        <v>0</v>
      </c>
      <c r="I216" s="135" t="n">
        <f aca="false">$G216*'Analyse capacite'!$C$8</f>
        <v>0</v>
      </c>
      <c r="J216" s="135" t="n">
        <f aca="false">$G216*'Analyse capacite'!$D$8</f>
        <v>0</v>
      </c>
      <c r="K216" s="135" t="n">
        <f aca="false">$G216*'Analyse capacite'!$E$8</f>
        <v>0</v>
      </c>
    </row>
    <row r="217" customFormat="false" ht="15" hidden="false" customHeight="false" outlineLevel="0" collapsed="false">
      <c r="B217" s="130" t="n">
        <v>2027</v>
      </c>
      <c r="C217" s="131" t="s">
        <v>246</v>
      </c>
      <c r="D217" s="132" t="n">
        <v>46483</v>
      </c>
      <c r="E217" s="131" t="s">
        <v>59</v>
      </c>
      <c r="F217" s="133" t="s">
        <v>24</v>
      </c>
      <c r="G217" s="134" t="n">
        <f aca="false">LEN('Saisie programme'!$E$45)+SUMIFS('Vols additionnels'!$E$7:$E$66,'Vols additionnels'!$C$7:$C$66,$E217,'Vols additionnels'!$D$7:$D$66,$F217,'Vols additionnels'!$B$7:$B$66,$D217)</f>
        <v>1</v>
      </c>
      <c r="H217" s="135" t="n">
        <f aca="false">$G217*'Analyse capacite'!$F$9</f>
        <v>174</v>
      </c>
      <c r="I217" s="135" t="n">
        <f aca="false">$G217*'Analyse capacite'!$C$9</f>
        <v>0</v>
      </c>
      <c r="J217" s="135" t="n">
        <f aca="false">$G217*'Analyse capacite'!$D$9</f>
        <v>12</v>
      </c>
      <c r="K217" s="135" t="n">
        <f aca="false">$G217*'Analyse capacite'!$E$9</f>
        <v>162</v>
      </c>
    </row>
    <row r="218" customFormat="false" ht="15" hidden="false" customHeight="false" outlineLevel="0" collapsed="false">
      <c r="B218" s="130" t="n">
        <v>2027</v>
      </c>
      <c r="C218" s="131" t="s">
        <v>246</v>
      </c>
      <c r="D218" s="132" t="n">
        <v>46483</v>
      </c>
      <c r="E218" s="131" t="s">
        <v>62</v>
      </c>
      <c r="F218" s="133" t="s">
        <v>11</v>
      </c>
      <c r="G218" s="134" t="n">
        <f aca="false">LEN('Saisie programme'!$E$46)+SUMIFS('Vols additionnels'!$E$7:$E$66,'Vols additionnels'!$C$7:$C$66,$E218,'Vols additionnels'!$D$7:$D$66,$F218,'Vols additionnels'!$B$7:$B$66,$D218)</f>
        <v>0</v>
      </c>
      <c r="H218" s="135" t="n">
        <f aca="false">$G218*'Analyse capacite'!$F$7</f>
        <v>0</v>
      </c>
      <c r="I218" s="135" t="n">
        <f aca="false">$G218*'Analyse capacite'!$C$7</f>
        <v>0</v>
      </c>
      <c r="J218" s="135" t="n">
        <f aca="false">$G218*'Analyse capacite'!$D$7</f>
        <v>0</v>
      </c>
      <c r="K218" s="135" t="n">
        <f aca="false">$G218*'Analyse capacite'!$E$7</f>
        <v>0</v>
      </c>
    </row>
    <row r="219" customFormat="false" ht="15" hidden="false" customHeight="false" outlineLevel="0" collapsed="false">
      <c r="B219" s="130" t="n">
        <v>2027</v>
      </c>
      <c r="C219" s="131" t="s">
        <v>246</v>
      </c>
      <c r="D219" s="132" t="n">
        <v>46483</v>
      </c>
      <c r="E219" s="131" t="s">
        <v>62</v>
      </c>
      <c r="F219" s="133" t="s">
        <v>19</v>
      </c>
      <c r="G219" s="134" t="n">
        <f aca="false">LEN('Saisie programme'!$E$47)+SUMIFS('Vols additionnels'!$E$7:$E$66,'Vols additionnels'!$C$7:$C$66,$E219,'Vols additionnels'!$D$7:$D$66,$F219,'Vols additionnels'!$B$7:$B$66,$D219)</f>
        <v>0</v>
      </c>
      <c r="H219" s="135" t="n">
        <f aca="false">$G219*'Analyse capacite'!$F$8</f>
        <v>0</v>
      </c>
      <c r="I219" s="135" t="n">
        <f aca="false">$G219*'Analyse capacite'!$C$8</f>
        <v>0</v>
      </c>
      <c r="J219" s="135" t="n">
        <f aca="false">$G219*'Analyse capacite'!$D$8</f>
        <v>0</v>
      </c>
      <c r="K219" s="135" t="n">
        <f aca="false">$G219*'Analyse capacite'!$E$8</f>
        <v>0</v>
      </c>
    </row>
    <row r="220" customFormat="false" ht="15" hidden="false" customHeight="false" outlineLevel="0" collapsed="false">
      <c r="B220" s="130" t="n">
        <v>2027</v>
      </c>
      <c r="C220" s="131" t="s">
        <v>246</v>
      </c>
      <c r="D220" s="132" t="n">
        <v>46483</v>
      </c>
      <c r="E220" s="131" t="s">
        <v>62</v>
      </c>
      <c r="F220" s="133" t="s">
        <v>24</v>
      </c>
      <c r="G220" s="134" t="n">
        <f aca="false">LEN('Saisie programme'!$E$48)+SUMIFS('Vols additionnels'!$E$7:$E$66,'Vols additionnels'!$C$7:$C$66,$E220,'Vols additionnels'!$D$7:$D$66,$F220,'Vols additionnels'!$B$7:$B$66,$D220)</f>
        <v>0</v>
      </c>
      <c r="H220" s="135" t="n">
        <f aca="false">$G220*'Analyse capacite'!$F$9</f>
        <v>0</v>
      </c>
      <c r="I220" s="135" t="n">
        <f aca="false">$G220*'Analyse capacite'!$C$9</f>
        <v>0</v>
      </c>
      <c r="J220" s="135" t="n">
        <f aca="false">$G220*'Analyse capacite'!$D$9</f>
        <v>0</v>
      </c>
      <c r="K220" s="135" t="n">
        <f aca="false">$G220*'Analyse capacite'!$E$9</f>
        <v>0</v>
      </c>
    </row>
    <row r="221" customFormat="false" ht="15" hidden="false" customHeight="false" outlineLevel="0" collapsed="false">
      <c r="B221" s="130" t="n">
        <v>2027</v>
      </c>
      <c r="C221" s="131" t="s">
        <v>246</v>
      </c>
      <c r="D221" s="132" t="n">
        <v>46484</v>
      </c>
      <c r="E221" s="131" t="s">
        <v>12</v>
      </c>
      <c r="F221" s="133" t="s">
        <v>11</v>
      </c>
      <c r="G221" s="134" t="n">
        <f aca="false">LEN('Saisie programme'!$F$13)+SUMIFS('Vols additionnels'!$E$7:$E$66,'Vols additionnels'!$C$7:$C$66,$E221,'Vols additionnels'!$D$7:$D$66,$F221,'Vols additionnels'!$B$7:$B$66,$D221)</f>
        <v>1</v>
      </c>
      <c r="H221" s="135" t="n">
        <f aca="false">$G221*'Analyse capacite'!$F$7</f>
        <v>438</v>
      </c>
      <c r="I221" s="135" t="n">
        <f aca="false">$G221*'Analyse capacite'!$C$7</f>
        <v>14</v>
      </c>
      <c r="J221" s="135" t="n">
        <f aca="false">$G221*'Analyse capacite'!$D$7</f>
        <v>40</v>
      </c>
      <c r="K221" s="135" t="n">
        <f aca="false">$G221*'Analyse capacite'!$E$7</f>
        <v>384</v>
      </c>
    </row>
    <row r="222" customFormat="false" ht="15" hidden="false" customHeight="false" outlineLevel="0" collapsed="false">
      <c r="B222" s="130" t="n">
        <v>2027</v>
      </c>
      <c r="C222" s="131" t="s">
        <v>246</v>
      </c>
      <c r="D222" s="132" t="n">
        <v>46484</v>
      </c>
      <c r="E222" s="131" t="s">
        <v>12</v>
      </c>
      <c r="F222" s="133" t="s">
        <v>19</v>
      </c>
      <c r="G222" s="134" t="n">
        <f aca="false">LEN('Saisie programme'!$F$14)+SUMIFS('Vols additionnels'!$E$7:$E$66,'Vols additionnels'!$C$7:$C$66,$E222,'Vols additionnels'!$D$7:$D$66,$F222,'Vols additionnels'!$B$7:$B$66,$D222)</f>
        <v>0</v>
      </c>
      <c r="H222" s="135" t="n">
        <f aca="false">$G222*'Analyse capacite'!$F$8</f>
        <v>0</v>
      </c>
      <c r="I222" s="135" t="n">
        <f aca="false">$G222*'Analyse capacite'!$C$8</f>
        <v>0</v>
      </c>
      <c r="J222" s="135" t="n">
        <f aca="false">$G222*'Analyse capacite'!$D$8</f>
        <v>0</v>
      </c>
      <c r="K222" s="135" t="n">
        <f aca="false">$G222*'Analyse capacite'!$E$8</f>
        <v>0</v>
      </c>
    </row>
    <row r="223" customFormat="false" ht="15" hidden="false" customHeight="false" outlineLevel="0" collapsed="false">
      <c r="B223" s="130" t="n">
        <v>2027</v>
      </c>
      <c r="C223" s="131" t="s">
        <v>246</v>
      </c>
      <c r="D223" s="132" t="n">
        <v>46484</v>
      </c>
      <c r="E223" s="131" t="s">
        <v>12</v>
      </c>
      <c r="F223" s="133" t="s">
        <v>24</v>
      </c>
      <c r="G223" s="134" t="n">
        <f aca="false">LEN('Saisie programme'!$F$15)+SUMIFS('Vols additionnels'!$E$7:$E$66,'Vols additionnels'!$C$7:$C$66,$E223,'Vols additionnels'!$D$7:$D$66,$F223,'Vols additionnels'!$B$7:$B$66,$D223)</f>
        <v>0</v>
      </c>
      <c r="H223" s="135" t="n">
        <f aca="false">$G223*'Analyse capacite'!$F$9</f>
        <v>0</v>
      </c>
      <c r="I223" s="135" t="n">
        <f aca="false">$G223*'Analyse capacite'!$C$9</f>
        <v>0</v>
      </c>
      <c r="J223" s="135" t="n">
        <f aca="false">$G223*'Analyse capacite'!$D$9</f>
        <v>0</v>
      </c>
      <c r="K223" s="135" t="n">
        <f aca="false">$G223*'Analyse capacite'!$E$9</f>
        <v>0</v>
      </c>
    </row>
    <row r="224" customFormat="false" ht="15" hidden="false" customHeight="false" outlineLevel="0" collapsed="false">
      <c r="B224" s="130" t="n">
        <v>2027</v>
      </c>
      <c r="C224" s="131" t="s">
        <v>246</v>
      </c>
      <c r="D224" s="132" t="n">
        <v>46484</v>
      </c>
      <c r="E224" s="131" t="s">
        <v>20</v>
      </c>
      <c r="F224" s="133" t="s">
        <v>11</v>
      </c>
      <c r="G224" s="134" t="n">
        <f aca="false">LEN('Saisie programme'!$F$16)+SUMIFS('Vols additionnels'!$E$7:$E$66,'Vols additionnels'!$C$7:$C$66,$E224,'Vols additionnels'!$D$7:$D$66,$F224,'Vols additionnels'!$B$7:$B$66,$D224)</f>
        <v>0</v>
      </c>
      <c r="H224" s="135" t="n">
        <f aca="false">$G224*'Analyse capacite'!$F$7</f>
        <v>0</v>
      </c>
      <c r="I224" s="135" t="n">
        <f aca="false">$G224*'Analyse capacite'!$C$7</f>
        <v>0</v>
      </c>
      <c r="J224" s="135" t="n">
        <f aca="false">$G224*'Analyse capacite'!$D$7</f>
        <v>0</v>
      </c>
      <c r="K224" s="135" t="n">
        <f aca="false">$G224*'Analyse capacite'!$E$7</f>
        <v>0</v>
      </c>
    </row>
    <row r="225" customFormat="false" ht="15" hidden="false" customHeight="false" outlineLevel="0" collapsed="false">
      <c r="B225" s="130" t="n">
        <v>2027</v>
      </c>
      <c r="C225" s="131" t="s">
        <v>246</v>
      </c>
      <c r="D225" s="132" t="n">
        <v>46484</v>
      </c>
      <c r="E225" s="131" t="s">
        <v>20</v>
      </c>
      <c r="F225" s="133" t="s">
        <v>19</v>
      </c>
      <c r="G225" s="134" t="n">
        <f aca="false">LEN('Saisie programme'!$F$17)+SUMIFS('Vols additionnels'!$E$7:$E$66,'Vols additionnels'!$C$7:$C$66,$E225,'Vols additionnels'!$D$7:$D$66,$F225,'Vols additionnels'!$B$7:$B$66,$D225)</f>
        <v>0</v>
      </c>
      <c r="H225" s="135" t="n">
        <f aca="false">$G225*'Analyse capacite'!$F$8</f>
        <v>0</v>
      </c>
      <c r="I225" s="135" t="n">
        <f aca="false">$G225*'Analyse capacite'!$C$8</f>
        <v>0</v>
      </c>
      <c r="J225" s="135" t="n">
        <f aca="false">$G225*'Analyse capacite'!$D$8</f>
        <v>0</v>
      </c>
      <c r="K225" s="135" t="n">
        <f aca="false">$G225*'Analyse capacite'!$E$8</f>
        <v>0</v>
      </c>
    </row>
    <row r="226" customFormat="false" ht="15" hidden="false" customHeight="false" outlineLevel="0" collapsed="false">
      <c r="B226" s="130" t="n">
        <v>2027</v>
      </c>
      <c r="C226" s="131" t="s">
        <v>246</v>
      </c>
      <c r="D226" s="132" t="n">
        <v>46484</v>
      </c>
      <c r="E226" s="131" t="s">
        <v>20</v>
      </c>
      <c r="F226" s="133" t="s">
        <v>24</v>
      </c>
      <c r="G226" s="134" t="n">
        <f aca="false">LEN('Saisie programme'!$F$18)+SUMIFS('Vols additionnels'!$E$7:$E$66,'Vols additionnels'!$C$7:$C$66,$E226,'Vols additionnels'!$D$7:$D$66,$F226,'Vols additionnels'!$B$7:$B$66,$D226)</f>
        <v>0</v>
      </c>
      <c r="H226" s="135" t="n">
        <f aca="false">$G226*'Analyse capacite'!$F$9</f>
        <v>0</v>
      </c>
      <c r="I226" s="135" t="n">
        <f aca="false">$G226*'Analyse capacite'!$C$9</f>
        <v>0</v>
      </c>
      <c r="J226" s="135" t="n">
        <f aca="false">$G226*'Analyse capacite'!$D$9</f>
        <v>0</v>
      </c>
      <c r="K226" s="135" t="n">
        <f aca="false">$G226*'Analyse capacite'!$E$9</f>
        <v>0</v>
      </c>
    </row>
    <row r="227" customFormat="false" ht="15" hidden="false" customHeight="false" outlineLevel="0" collapsed="false">
      <c r="B227" s="130" t="n">
        <v>2027</v>
      </c>
      <c r="C227" s="131" t="s">
        <v>246</v>
      </c>
      <c r="D227" s="132" t="n">
        <v>46484</v>
      </c>
      <c r="E227" s="131" t="s">
        <v>25</v>
      </c>
      <c r="F227" s="133" t="s">
        <v>11</v>
      </c>
      <c r="G227" s="134" t="n">
        <f aca="false">LEN('Saisie programme'!$F$19)+SUMIFS('Vols additionnels'!$E$7:$E$66,'Vols additionnels'!$C$7:$C$66,$E227,'Vols additionnels'!$D$7:$D$66,$F227,'Vols additionnels'!$B$7:$B$66,$D227)</f>
        <v>0</v>
      </c>
      <c r="H227" s="135" t="n">
        <f aca="false">$G227*'Analyse capacite'!$F$7</f>
        <v>0</v>
      </c>
      <c r="I227" s="135" t="n">
        <f aca="false">$G227*'Analyse capacite'!$C$7</f>
        <v>0</v>
      </c>
      <c r="J227" s="135" t="n">
        <f aca="false">$G227*'Analyse capacite'!$D$7</f>
        <v>0</v>
      </c>
      <c r="K227" s="135" t="n">
        <f aca="false">$G227*'Analyse capacite'!$E$7</f>
        <v>0</v>
      </c>
    </row>
    <row r="228" customFormat="false" ht="15" hidden="false" customHeight="false" outlineLevel="0" collapsed="false">
      <c r="B228" s="130" t="n">
        <v>2027</v>
      </c>
      <c r="C228" s="131" t="s">
        <v>246</v>
      </c>
      <c r="D228" s="132" t="n">
        <v>46484</v>
      </c>
      <c r="E228" s="131" t="s">
        <v>25</v>
      </c>
      <c r="F228" s="133" t="s">
        <v>19</v>
      </c>
      <c r="G228" s="134" t="n">
        <f aca="false">LEN('Saisie programme'!$F$20)+SUMIFS('Vols additionnels'!$E$7:$E$66,'Vols additionnels'!$C$7:$C$66,$E228,'Vols additionnels'!$D$7:$D$66,$F228,'Vols additionnels'!$B$7:$B$66,$D228)</f>
        <v>1</v>
      </c>
      <c r="H228" s="135" t="n">
        <f aca="false">$G228*'Analyse capacite'!$F$8</f>
        <v>262</v>
      </c>
      <c r="I228" s="135" t="n">
        <f aca="false">$G228*'Analyse capacite'!$C$8</f>
        <v>18</v>
      </c>
      <c r="J228" s="135" t="n">
        <f aca="false">$G228*'Analyse capacite'!$D$8</f>
        <v>0</v>
      </c>
      <c r="K228" s="135" t="n">
        <f aca="false">$G228*'Analyse capacite'!$E$8</f>
        <v>244</v>
      </c>
    </row>
    <row r="229" customFormat="false" ht="15" hidden="false" customHeight="false" outlineLevel="0" collapsed="false">
      <c r="B229" s="130" t="n">
        <v>2027</v>
      </c>
      <c r="C229" s="131" t="s">
        <v>246</v>
      </c>
      <c r="D229" s="132" t="n">
        <v>46484</v>
      </c>
      <c r="E229" s="131" t="s">
        <v>25</v>
      </c>
      <c r="F229" s="133" t="s">
        <v>24</v>
      </c>
      <c r="G229" s="134" t="n">
        <f aca="false">LEN('Saisie programme'!$F$21)+SUMIFS('Vols additionnels'!$E$7:$E$66,'Vols additionnels'!$C$7:$C$66,$E229,'Vols additionnels'!$D$7:$D$66,$F229,'Vols additionnels'!$B$7:$B$66,$D229)</f>
        <v>0</v>
      </c>
      <c r="H229" s="135" t="n">
        <f aca="false">$G229*'Analyse capacite'!$F$9</f>
        <v>0</v>
      </c>
      <c r="I229" s="135" t="n">
        <f aca="false">$G229*'Analyse capacite'!$C$9</f>
        <v>0</v>
      </c>
      <c r="J229" s="135" t="n">
        <f aca="false">$G229*'Analyse capacite'!$D$9</f>
        <v>0</v>
      </c>
      <c r="K229" s="135" t="n">
        <f aca="false">$G229*'Analyse capacite'!$E$9</f>
        <v>0</v>
      </c>
    </row>
    <row r="230" customFormat="false" ht="15" hidden="false" customHeight="false" outlineLevel="0" collapsed="false">
      <c r="B230" s="130" t="n">
        <v>2027</v>
      </c>
      <c r="C230" s="131" t="s">
        <v>246</v>
      </c>
      <c r="D230" s="132" t="n">
        <v>46484</v>
      </c>
      <c r="E230" s="131" t="s">
        <v>36</v>
      </c>
      <c r="F230" s="133" t="s">
        <v>11</v>
      </c>
      <c r="G230" s="134" t="n">
        <f aca="false">LEN('Saisie programme'!$F$22)+SUMIFS('Vols additionnels'!$E$7:$E$66,'Vols additionnels'!$C$7:$C$66,$E230,'Vols additionnels'!$D$7:$D$66,$F230,'Vols additionnels'!$B$7:$B$66,$D230)</f>
        <v>0</v>
      </c>
      <c r="H230" s="135" t="n">
        <f aca="false">$G230*'Analyse capacite'!$F$7</f>
        <v>0</v>
      </c>
      <c r="I230" s="135" t="n">
        <f aca="false">$G230*'Analyse capacite'!$C$7</f>
        <v>0</v>
      </c>
      <c r="J230" s="135" t="n">
        <f aca="false">$G230*'Analyse capacite'!$D$7</f>
        <v>0</v>
      </c>
      <c r="K230" s="135" t="n">
        <f aca="false">$G230*'Analyse capacite'!$E$7</f>
        <v>0</v>
      </c>
    </row>
    <row r="231" customFormat="false" ht="15" hidden="false" customHeight="false" outlineLevel="0" collapsed="false">
      <c r="B231" s="130" t="n">
        <v>2027</v>
      </c>
      <c r="C231" s="131" t="s">
        <v>246</v>
      </c>
      <c r="D231" s="132" t="n">
        <v>46484</v>
      </c>
      <c r="E231" s="131" t="s">
        <v>36</v>
      </c>
      <c r="F231" s="133" t="s">
        <v>19</v>
      </c>
      <c r="G231" s="134" t="n">
        <f aca="false">LEN('Saisie programme'!$F$23)+SUMIFS('Vols additionnels'!$E$7:$E$66,'Vols additionnels'!$C$7:$C$66,$E231,'Vols additionnels'!$D$7:$D$66,$F231,'Vols additionnels'!$B$7:$B$66,$D231)</f>
        <v>1</v>
      </c>
      <c r="H231" s="135" t="n">
        <f aca="false">$G231*'Analyse capacite'!$F$8</f>
        <v>262</v>
      </c>
      <c r="I231" s="135" t="n">
        <f aca="false">$G231*'Analyse capacite'!$C$8</f>
        <v>18</v>
      </c>
      <c r="J231" s="135" t="n">
        <f aca="false">$G231*'Analyse capacite'!$D$8</f>
        <v>0</v>
      </c>
      <c r="K231" s="135" t="n">
        <f aca="false">$G231*'Analyse capacite'!$E$8</f>
        <v>244</v>
      </c>
    </row>
    <row r="232" customFormat="false" ht="15" hidden="false" customHeight="false" outlineLevel="0" collapsed="false">
      <c r="B232" s="130" t="n">
        <v>2027</v>
      </c>
      <c r="C232" s="131" t="s">
        <v>246</v>
      </c>
      <c r="D232" s="132" t="n">
        <v>46484</v>
      </c>
      <c r="E232" s="131" t="s">
        <v>36</v>
      </c>
      <c r="F232" s="133" t="s">
        <v>24</v>
      </c>
      <c r="G232" s="134" t="n">
        <f aca="false">LEN('Saisie programme'!$F$24)+SUMIFS('Vols additionnels'!$E$7:$E$66,'Vols additionnels'!$C$7:$C$66,$E232,'Vols additionnels'!$D$7:$D$66,$F232,'Vols additionnels'!$B$7:$B$66,$D232)</f>
        <v>1</v>
      </c>
      <c r="H232" s="135" t="n">
        <f aca="false">$G232*'Analyse capacite'!$F$9</f>
        <v>174</v>
      </c>
      <c r="I232" s="135" t="n">
        <f aca="false">$G232*'Analyse capacite'!$C$9</f>
        <v>0</v>
      </c>
      <c r="J232" s="135" t="n">
        <f aca="false">$G232*'Analyse capacite'!$D$9</f>
        <v>12</v>
      </c>
      <c r="K232" s="135" t="n">
        <f aca="false">$G232*'Analyse capacite'!$E$9</f>
        <v>162</v>
      </c>
    </row>
    <row r="233" customFormat="false" ht="15" hidden="false" customHeight="false" outlineLevel="0" collapsed="false">
      <c r="B233" s="130" t="n">
        <v>2027</v>
      </c>
      <c r="C233" s="131" t="s">
        <v>246</v>
      </c>
      <c r="D233" s="132" t="n">
        <v>46484</v>
      </c>
      <c r="E233" s="131" t="s">
        <v>40</v>
      </c>
      <c r="F233" s="133" t="s">
        <v>11</v>
      </c>
      <c r="G233" s="134" t="n">
        <f aca="false">LEN('Saisie programme'!$F$25)+SUMIFS('Vols additionnels'!$E$7:$E$66,'Vols additionnels'!$C$7:$C$66,$E233,'Vols additionnels'!$D$7:$D$66,$F233,'Vols additionnels'!$B$7:$B$66,$D233)</f>
        <v>0</v>
      </c>
      <c r="H233" s="135" t="n">
        <f aca="false">$G233*'Analyse capacite'!$F$7</f>
        <v>0</v>
      </c>
      <c r="I233" s="135" t="n">
        <f aca="false">$G233*'Analyse capacite'!$C$7</f>
        <v>0</v>
      </c>
      <c r="J233" s="135" t="n">
        <f aca="false">$G233*'Analyse capacite'!$D$7</f>
        <v>0</v>
      </c>
      <c r="K233" s="135" t="n">
        <f aca="false">$G233*'Analyse capacite'!$E$7</f>
        <v>0</v>
      </c>
    </row>
    <row r="234" customFormat="false" ht="15" hidden="false" customHeight="false" outlineLevel="0" collapsed="false">
      <c r="B234" s="130" t="n">
        <v>2027</v>
      </c>
      <c r="C234" s="131" t="s">
        <v>246</v>
      </c>
      <c r="D234" s="132" t="n">
        <v>46484</v>
      </c>
      <c r="E234" s="131" t="s">
        <v>40</v>
      </c>
      <c r="F234" s="133" t="s">
        <v>19</v>
      </c>
      <c r="G234" s="134" t="n">
        <f aca="false">LEN('Saisie programme'!$F$26)+SUMIFS('Vols additionnels'!$E$7:$E$66,'Vols additionnels'!$C$7:$C$66,$E234,'Vols additionnels'!$D$7:$D$66,$F234,'Vols additionnels'!$B$7:$B$66,$D234)</f>
        <v>0</v>
      </c>
      <c r="H234" s="135" t="n">
        <f aca="false">$G234*'Analyse capacite'!$F$8</f>
        <v>0</v>
      </c>
      <c r="I234" s="135" t="n">
        <f aca="false">$G234*'Analyse capacite'!$C$8</f>
        <v>0</v>
      </c>
      <c r="J234" s="135" t="n">
        <f aca="false">$G234*'Analyse capacite'!$D$8</f>
        <v>0</v>
      </c>
      <c r="K234" s="135" t="n">
        <f aca="false">$G234*'Analyse capacite'!$E$8</f>
        <v>0</v>
      </c>
    </row>
    <row r="235" customFormat="false" ht="15" hidden="false" customHeight="false" outlineLevel="0" collapsed="false">
      <c r="B235" s="130" t="n">
        <v>2027</v>
      </c>
      <c r="C235" s="131" t="s">
        <v>246</v>
      </c>
      <c r="D235" s="132" t="n">
        <v>46484</v>
      </c>
      <c r="E235" s="131" t="s">
        <v>40</v>
      </c>
      <c r="F235" s="133" t="s">
        <v>24</v>
      </c>
      <c r="G235" s="134" t="n">
        <f aca="false">LEN('Saisie programme'!$F$27)+SUMIFS('Vols additionnels'!$E$7:$E$66,'Vols additionnels'!$C$7:$C$66,$E235,'Vols additionnels'!$D$7:$D$66,$F235,'Vols additionnels'!$B$7:$B$66,$D235)</f>
        <v>1</v>
      </c>
      <c r="H235" s="135" t="n">
        <f aca="false">$G235*'Analyse capacite'!$F$9</f>
        <v>174</v>
      </c>
      <c r="I235" s="135" t="n">
        <f aca="false">$G235*'Analyse capacite'!$C$9</f>
        <v>0</v>
      </c>
      <c r="J235" s="135" t="n">
        <f aca="false">$G235*'Analyse capacite'!$D$9</f>
        <v>12</v>
      </c>
      <c r="K235" s="135" t="n">
        <f aca="false">$G235*'Analyse capacite'!$E$9</f>
        <v>162</v>
      </c>
    </row>
    <row r="236" customFormat="false" ht="15" hidden="false" customHeight="false" outlineLevel="0" collapsed="false">
      <c r="B236" s="130" t="n">
        <v>2027</v>
      </c>
      <c r="C236" s="131" t="s">
        <v>246</v>
      </c>
      <c r="D236" s="132" t="n">
        <v>46484</v>
      </c>
      <c r="E236" s="131" t="s">
        <v>14</v>
      </c>
      <c r="F236" s="133" t="s">
        <v>11</v>
      </c>
      <c r="G236" s="134" t="n">
        <f aca="false">LEN('Saisie programme'!$F$28)+SUMIFS('Vols additionnels'!$E$7:$E$66,'Vols additionnels'!$C$7:$C$66,$E236,'Vols additionnels'!$D$7:$D$66,$F236,'Vols additionnels'!$B$7:$B$66,$D236)</f>
        <v>0</v>
      </c>
      <c r="H236" s="135" t="n">
        <f aca="false">$G236*'Analyse capacite'!$F$7</f>
        <v>0</v>
      </c>
      <c r="I236" s="135" t="n">
        <f aca="false">$G236*'Analyse capacite'!$C$7</f>
        <v>0</v>
      </c>
      <c r="J236" s="135" t="n">
        <f aca="false">$G236*'Analyse capacite'!$D$7</f>
        <v>0</v>
      </c>
      <c r="K236" s="135" t="n">
        <f aca="false">$G236*'Analyse capacite'!$E$7</f>
        <v>0</v>
      </c>
    </row>
    <row r="237" customFormat="false" ht="15" hidden="false" customHeight="false" outlineLevel="0" collapsed="false">
      <c r="B237" s="130" t="n">
        <v>2027</v>
      </c>
      <c r="C237" s="131" t="s">
        <v>246</v>
      </c>
      <c r="D237" s="132" t="n">
        <v>46484</v>
      </c>
      <c r="E237" s="131" t="s">
        <v>14</v>
      </c>
      <c r="F237" s="133" t="s">
        <v>19</v>
      </c>
      <c r="G237" s="134" t="n">
        <f aca="false">LEN('Saisie programme'!$F$29)+SUMIFS('Vols additionnels'!$E$7:$E$66,'Vols additionnels'!$C$7:$C$66,$E237,'Vols additionnels'!$D$7:$D$66,$F237,'Vols additionnels'!$B$7:$B$66,$D237)</f>
        <v>0</v>
      </c>
      <c r="H237" s="135" t="n">
        <f aca="false">$G237*'Analyse capacite'!$F$8</f>
        <v>0</v>
      </c>
      <c r="I237" s="135" t="n">
        <f aca="false">$G237*'Analyse capacite'!$C$8</f>
        <v>0</v>
      </c>
      <c r="J237" s="135" t="n">
        <f aca="false">$G237*'Analyse capacite'!$D$8</f>
        <v>0</v>
      </c>
      <c r="K237" s="135" t="n">
        <f aca="false">$G237*'Analyse capacite'!$E$8</f>
        <v>0</v>
      </c>
    </row>
    <row r="238" customFormat="false" ht="15" hidden="false" customHeight="false" outlineLevel="0" collapsed="false">
      <c r="B238" s="130" t="n">
        <v>2027</v>
      </c>
      <c r="C238" s="131" t="s">
        <v>246</v>
      </c>
      <c r="D238" s="132" t="n">
        <v>46484</v>
      </c>
      <c r="E238" s="131" t="s">
        <v>14</v>
      </c>
      <c r="F238" s="133" t="s">
        <v>24</v>
      </c>
      <c r="G238" s="134" t="n">
        <f aca="false">LEN('Saisie programme'!$F$30)+SUMIFS('Vols additionnels'!$E$7:$E$66,'Vols additionnels'!$C$7:$C$66,$E238,'Vols additionnels'!$D$7:$D$66,$F238,'Vols additionnels'!$B$7:$B$66,$D238)</f>
        <v>0</v>
      </c>
      <c r="H238" s="135" t="n">
        <f aca="false">$G238*'Analyse capacite'!$F$9</f>
        <v>0</v>
      </c>
      <c r="I238" s="135" t="n">
        <f aca="false">$G238*'Analyse capacite'!$C$9</f>
        <v>0</v>
      </c>
      <c r="J238" s="135" t="n">
        <f aca="false">$G238*'Analyse capacite'!$D$9</f>
        <v>0</v>
      </c>
      <c r="K238" s="135" t="n">
        <f aca="false">$G238*'Analyse capacite'!$E$9</f>
        <v>0</v>
      </c>
    </row>
    <row r="239" customFormat="false" ht="15" hidden="false" customHeight="false" outlineLevel="0" collapsed="false">
      <c r="B239" s="130" t="n">
        <v>2027</v>
      </c>
      <c r="C239" s="131" t="s">
        <v>246</v>
      </c>
      <c r="D239" s="132" t="n">
        <v>46484</v>
      </c>
      <c r="E239" s="131" t="s">
        <v>46</v>
      </c>
      <c r="F239" s="133" t="s">
        <v>11</v>
      </c>
      <c r="G239" s="134" t="n">
        <f aca="false">LEN('Saisie programme'!$F$31)+SUMIFS('Vols additionnels'!$E$7:$E$66,'Vols additionnels'!$C$7:$C$66,$E239,'Vols additionnels'!$D$7:$D$66,$F239,'Vols additionnels'!$B$7:$B$66,$D239)</f>
        <v>0</v>
      </c>
      <c r="H239" s="135" t="n">
        <f aca="false">$G239*'Analyse capacite'!$F$7</f>
        <v>0</v>
      </c>
      <c r="I239" s="135" t="n">
        <f aca="false">$G239*'Analyse capacite'!$C$7</f>
        <v>0</v>
      </c>
      <c r="J239" s="135" t="n">
        <f aca="false">$G239*'Analyse capacite'!$D$7</f>
        <v>0</v>
      </c>
      <c r="K239" s="135" t="n">
        <f aca="false">$G239*'Analyse capacite'!$E$7</f>
        <v>0</v>
      </c>
    </row>
    <row r="240" customFormat="false" ht="15" hidden="false" customHeight="false" outlineLevel="0" collapsed="false">
      <c r="B240" s="130" t="n">
        <v>2027</v>
      </c>
      <c r="C240" s="131" t="s">
        <v>246</v>
      </c>
      <c r="D240" s="132" t="n">
        <v>46484</v>
      </c>
      <c r="E240" s="131" t="s">
        <v>46</v>
      </c>
      <c r="F240" s="133" t="s">
        <v>19</v>
      </c>
      <c r="G240" s="134" t="n">
        <f aca="false">LEN('Saisie programme'!$F$32)+SUMIFS('Vols additionnels'!$E$7:$E$66,'Vols additionnels'!$C$7:$C$66,$E240,'Vols additionnels'!$D$7:$D$66,$F240,'Vols additionnels'!$B$7:$B$66,$D240)</f>
        <v>0</v>
      </c>
      <c r="H240" s="135" t="n">
        <f aca="false">$G240*'Analyse capacite'!$F$8</f>
        <v>0</v>
      </c>
      <c r="I240" s="135" t="n">
        <f aca="false">$G240*'Analyse capacite'!$C$8</f>
        <v>0</v>
      </c>
      <c r="J240" s="135" t="n">
        <f aca="false">$G240*'Analyse capacite'!$D$8</f>
        <v>0</v>
      </c>
      <c r="K240" s="135" t="n">
        <f aca="false">$G240*'Analyse capacite'!$E$8</f>
        <v>0</v>
      </c>
    </row>
    <row r="241" customFormat="false" ht="15" hidden="false" customHeight="false" outlineLevel="0" collapsed="false">
      <c r="B241" s="130" t="n">
        <v>2027</v>
      </c>
      <c r="C241" s="131" t="s">
        <v>246</v>
      </c>
      <c r="D241" s="132" t="n">
        <v>46484</v>
      </c>
      <c r="E241" s="131" t="s">
        <v>46</v>
      </c>
      <c r="F241" s="133" t="s">
        <v>24</v>
      </c>
      <c r="G241" s="134" t="n">
        <f aca="false">LEN('Saisie programme'!$F$33)+SUMIFS('Vols additionnels'!$E$7:$E$66,'Vols additionnels'!$C$7:$C$66,$E241,'Vols additionnels'!$D$7:$D$66,$F241,'Vols additionnels'!$B$7:$B$66,$D241)</f>
        <v>0</v>
      </c>
      <c r="H241" s="135" t="n">
        <f aca="false">$G241*'Analyse capacite'!$F$9</f>
        <v>0</v>
      </c>
      <c r="I241" s="135" t="n">
        <f aca="false">$G241*'Analyse capacite'!$C$9</f>
        <v>0</v>
      </c>
      <c r="J241" s="135" t="n">
        <f aca="false">$G241*'Analyse capacite'!$D$9</f>
        <v>0</v>
      </c>
      <c r="K241" s="135" t="n">
        <f aca="false">$G241*'Analyse capacite'!$E$9</f>
        <v>0</v>
      </c>
    </row>
    <row r="242" customFormat="false" ht="15" hidden="false" customHeight="false" outlineLevel="0" collapsed="false">
      <c r="B242" s="130" t="n">
        <v>2027</v>
      </c>
      <c r="C242" s="131" t="s">
        <v>246</v>
      </c>
      <c r="D242" s="132" t="n">
        <v>46484</v>
      </c>
      <c r="E242" s="131" t="s">
        <v>49</v>
      </c>
      <c r="F242" s="133" t="s">
        <v>11</v>
      </c>
      <c r="G242" s="134" t="n">
        <f aca="false">LEN('Saisie programme'!$F$34)+SUMIFS('Vols additionnels'!$E$7:$E$66,'Vols additionnels'!$C$7:$C$66,$E242,'Vols additionnels'!$D$7:$D$66,$F242,'Vols additionnels'!$B$7:$B$66,$D242)</f>
        <v>0</v>
      </c>
      <c r="H242" s="135" t="n">
        <f aca="false">$G242*'Analyse capacite'!$F$7</f>
        <v>0</v>
      </c>
      <c r="I242" s="135" t="n">
        <f aca="false">$G242*'Analyse capacite'!$C$7</f>
        <v>0</v>
      </c>
      <c r="J242" s="135" t="n">
        <f aca="false">$G242*'Analyse capacite'!$D$7</f>
        <v>0</v>
      </c>
      <c r="K242" s="135" t="n">
        <f aca="false">$G242*'Analyse capacite'!$E$7</f>
        <v>0</v>
      </c>
    </row>
    <row r="243" customFormat="false" ht="15" hidden="false" customHeight="false" outlineLevel="0" collapsed="false">
      <c r="B243" s="130" t="n">
        <v>2027</v>
      </c>
      <c r="C243" s="131" t="s">
        <v>246</v>
      </c>
      <c r="D243" s="132" t="n">
        <v>46484</v>
      </c>
      <c r="E243" s="131" t="s">
        <v>49</v>
      </c>
      <c r="F243" s="133" t="s">
        <v>19</v>
      </c>
      <c r="G243" s="134" t="n">
        <f aca="false">LEN('Saisie programme'!$F$35)+SUMIFS('Vols additionnels'!$E$7:$E$66,'Vols additionnels'!$C$7:$C$66,$E243,'Vols additionnels'!$D$7:$D$66,$F243,'Vols additionnels'!$B$7:$B$66,$D243)</f>
        <v>0</v>
      </c>
      <c r="H243" s="135" t="n">
        <f aca="false">$G243*'Analyse capacite'!$F$8</f>
        <v>0</v>
      </c>
      <c r="I243" s="135" t="n">
        <f aca="false">$G243*'Analyse capacite'!$C$8</f>
        <v>0</v>
      </c>
      <c r="J243" s="135" t="n">
        <f aca="false">$G243*'Analyse capacite'!$D$8</f>
        <v>0</v>
      </c>
      <c r="K243" s="135" t="n">
        <f aca="false">$G243*'Analyse capacite'!$E$8</f>
        <v>0</v>
      </c>
    </row>
    <row r="244" customFormat="false" ht="15" hidden="false" customHeight="false" outlineLevel="0" collapsed="false">
      <c r="B244" s="130" t="n">
        <v>2027</v>
      </c>
      <c r="C244" s="131" t="s">
        <v>246</v>
      </c>
      <c r="D244" s="132" t="n">
        <v>46484</v>
      </c>
      <c r="E244" s="131" t="s">
        <v>49</v>
      </c>
      <c r="F244" s="133" t="s">
        <v>24</v>
      </c>
      <c r="G244" s="134" t="n">
        <f aca="false">LEN('Saisie programme'!$F$36)+SUMIFS('Vols additionnels'!$E$7:$E$66,'Vols additionnels'!$C$7:$C$66,$E244,'Vols additionnels'!$D$7:$D$66,$F244,'Vols additionnels'!$B$7:$B$66,$D244)</f>
        <v>0</v>
      </c>
      <c r="H244" s="135" t="n">
        <f aca="false">$G244*'Analyse capacite'!$F$9</f>
        <v>0</v>
      </c>
      <c r="I244" s="135" t="n">
        <f aca="false">$G244*'Analyse capacite'!$C$9</f>
        <v>0</v>
      </c>
      <c r="J244" s="135" t="n">
        <f aca="false">$G244*'Analyse capacite'!$D$9</f>
        <v>0</v>
      </c>
      <c r="K244" s="135" t="n">
        <f aca="false">$G244*'Analyse capacite'!$E$9</f>
        <v>0</v>
      </c>
    </row>
    <row r="245" customFormat="false" ht="15" hidden="false" customHeight="false" outlineLevel="0" collapsed="false">
      <c r="B245" s="130" t="n">
        <v>2027</v>
      </c>
      <c r="C245" s="131" t="s">
        <v>246</v>
      </c>
      <c r="D245" s="132" t="n">
        <v>46484</v>
      </c>
      <c r="E245" s="131" t="s">
        <v>53</v>
      </c>
      <c r="F245" s="133" t="s">
        <v>11</v>
      </c>
      <c r="G245" s="134" t="n">
        <f aca="false">LEN('Saisie programme'!$F$37)+SUMIFS('Vols additionnels'!$E$7:$E$66,'Vols additionnels'!$C$7:$C$66,$E245,'Vols additionnels'!$D$7:$D$66,$F245,'Vols additionnels'!$B$7:$B$66,$D245)</f>
        <v>0</v>
      </c>
      <c r="H245" s="135" t="n">
        <f aca="false">$G245*'Analyse capacite'!$F$7</f>
        <v>0</v>
      </c>
      <c r="I245" s="135" t="n">
        <f aca="false">$G245*'Analyse capacite'!$C$7</f>
        <v>0</v>
      </c>
      <c r="J245" s="135" t="n">
        <f aca="false">$G245*'Analyse capacite'!$D$7</f>
        <v>0</v>
      </c>
      <c r="K245" s="135" t="n">
        <f aca="false">$G245*'Analyse capacite'!$E$7</f>
        <v>0</v>
      </c>
    </row>
    <row r="246" customFormat="false" ht="15" hidden="false" customHeight="false" outlineLevel="0" collapsed="false">
      <c r="B246" s="130" t="n">
        <v>2027</v>
      </c>
      <c r="C246" s="131" t="s">
        <v>246</v>
      </c>
      <c r="D246" s="132" t="n">
        <v>46484</v>
      </c>
      <c r="E246" s="131" t="s">
        <v>53</v>
      </c>
      <c r="F246" s="133" t="s">
        <v>19</v>
      </c>
      <c r="G246" s="134" t="n">
        <f aca="false">LEN('Saisie programme'!$F$38)+SUMIFS('Vols additionnels'!$E$7:$E$66,'Vols additionnels'!$C$7:$C$66,$E246,'Vols additionnels'!$D$7:$D$66,$F246,'Vols additionnels'!$B$7:$B$66,$D246)</f>
        <v>0</v>
      </c>
      <c r="H246" s="135" t="n">
        <f aca="false">$G246*'Analyse capacite'!$F$8</f>
        <v>0</v>
      </c>
      <c r="I246" s="135" t="n">
        <f aca="false">$G246*'Analyse capacite'!$C$8</f>
        <v>0</v>
      </c>
      <c r="J246" s="135" t="n">
        <f aca="false">$G246*'Analyse capacite'!$D$8</f>
        <v>0</v>
      </c>
      <c r="K246" s="135" t="n">
        <f aca="false">$G246*'Analyse capacite'!$E$8</f>
        <v>0</v>
      </c>
    </row>
    <row r="247" customFormat="false" ht="15" hidden="false" customHeight="false" outlineLevel="0" collapsed="false">
      <c r="B247" s="130" t="n">
        <v>2027</v>
      </c>
      <c r="C247" s="131" t="s">
        <v>246</v>
      </c>
      <c r="D247" s="132" t="n">
        <v>46484</v>
      </c>
      <c r="E247" s="131" t="s">
        <v>53</v>
      </c>
      <c r="F247" s="133" t="s">
        <v>24</v>
      </c>
      <c r="G247" s="134" t="n">
        <f aca="false">LEN('Saisie programme'!$F$39)+SUMIFS('Vols additionnels'!$E$7:$E$66,'Vols additionnels'!$C$7:$C$66,$E247,'Vols additionnels'!$D$7:$D$66,$F247,'Vols additionnels'!$B$7:$B$66,$D247)</f>
        <v>0</v>
      </c>
      <c r="H247" s="135" t="n">
        <f aca="false">$G247*'Analyse capacite'!$F$9</f>
        <v>0</v>
      </c>
      <c r="I247" s="135" t="n">
        <f aca="false">$G247*'Analyse capacite'!$C$9</f>
        <v>0</v>
      </c>
      <c r="J247" s="135" t="n">
        <f aca="false">$G247*'Analyse capacite'!$D$9</f>
        <v>0</v>
      </c>
      <c r="K247" s="135" t="n">
        <f aca="false">$G247*'Analyse capacite'!$E$9</f>
        <v>0</v>
      </c>
    </row>
    <row r="248" customFormat="false" ht="15" hidden="false" customHeight="false" outlineLevel="0" collapsed="false">
      <c r="B248" s="130" t="n">
        <v>2027</v>
      </c>
      <c r="C248" s="131" t="s">
        <v>246</v>
      </c>
      <c r="D248" s="132" t="n">
        <v>46484</v>
      </c>
      <c r="E248" s="131" t="s">
        <v>56</v>
      </c>
      <c r="F248" s="133" t="s">
        <v>11</v>
      </c>
      <c r="G248" s="134" t="n">
        <f aca="false">LEN('Saisie programme'!$F$40)+SUMIFS('Vols additionnels'!$E$7:$E$66,'Vols additionnels'!$C$7:$C$66,$E248,'Vols additionnels'!$D$7:$D$66,$F248,'Vols additionnels'!$B$7:$B$66,$D248)</f>
        <v>0</v>
      </c>
      <c r="H248" s="135" t="n">
        <f aca="false">$G248*'Analyse capacite'!$F$7</f>
        <v>0</v>
      </c>
      <c r="I248" s="135" t="n">
        <f aca="false">$G248*'Analyse capacite'!$C$7</f>
        <v>0</v>
      </c>
      <c r="J248" s="135" t="n">
        <f aca="false">$G248*'Analyse capacite'!$D$7</f>
        <v>0</v>
      </c>
      <c r="K248" s="135" t="n">
        <f aca="false">$G248*'Analyse capacite'!$E$7</f>
        <v>0</v>
      </c>
    </row>
    <row r="249" customFormat="false" ht="15" hidden="false" customHeight="false" outlineLevel="0" collapsed="false">
      <c r="B249" s="130" t="n">
        <v>2027</v>
      </c>
      <c r="C249" s="131" t="s">
        <v>246</v>
      </c>
      <c r="D249" s="132" t="n">
        <v>46484</v>
      </c>
      <c r="E249" s="131" t="s">
        <v>56</v>
      </c>
      <c r="F249" s="133" t="s">
        <v>19</v>
      </c>
      <c r="G249" s="134" t="n">
        <f aca="false">LEN('Saisie programme'!$F$41)+SUMIFS('Vols additionnels'!$E$7:$E$66,'Vols additionnels'!$C$7:$C$66,$E249,'Vols additionnels'!$D$7:$D$66,$F249,'Vols additionnels'!$B$7:$B$66,$D249)</f>
        <v>0</v>
      </c>
      <c r="H249" s="135" t="n">
        <f aca="false">$G249*'Analyse capacite'!$F$8</f>
        <v>0</v>
      </c>
      <c r="I249" s="135" t="n">
        <f aca="false">$G249*'Analyse capacite'!$C$8</f>
        <v>0</v>
      </c>
      <c r="J249" s="135" t="n">
        <f aca="false">$G249*'Analyse capacite'!$D$8</f>
        <v>0</v>
      </c>
      <c r="K249" s="135" t="n">
        <f aca="false">$G249*'Analyse capacite'!$E$8</f>
        <v>0</v>
      </c>
    </row>
    <row r="250" customFormat="false" ht="15" hidden="false" customHeight="false" outlineLevel="0" collapsed="false">
      <c r="B250" s="130" t="n">
        <v>2027</v>
      </c>
      <c r="C250" s="131" t="s">
        <v>246</v>
      </c>
      <c r="D250" s="132" t="n">
        <v>46484</v>
      </c>
      <c r="E250" s="131" t="s">
        <v>56</v>
      </c>
      <c r="F250" s="133" t="s">
        <v>24</v>
      </c>
      <c r="G250" s="134" t="n">
        <f aca="false">LEN('Saisie programme'!$F$42)+SUMIFS('Vols additionnels'!$E$7:$E$66,'Vols additionnels'!$C$7:$C$66,$E250,'Vols additionnels'!$D$7:$D$66,$F250,'Vols additionnels'!$B$7:$B$66,$D250)</f>
        <v>0</v>
      </c>
      <c r="H250" s="135" t="n">
        <f aca="false">$G250*'Analyse capacite'!$F$9</f>
        <v>0</v>
      </c>
      <c r="I250" s="135" t="n">
        <f aca="false">$G250*'Analyse capacite'!$C$9</f>
        <v>0</v>
      </c>
      <c r="J250" s="135" t="n">
        <f aca="false">$G250*'Analyse capacite'!$D$9</f>
        <v>0</v>
      </c>
      <c r="K250" s="135" t="n">
        <f aca="false">$G250*'Analyse capacite'!$E$9</f>
        <v>0</v>
      </c>
    </row>
    <row r="251" customFormat="false" ht="15" hidden="false" customHeight="false" outlineLevel="0" collapsed="false">
      <c r="B251" s="130" t="n">
        <v>2027</v>
      </c>
      <c r="C251" s="131" t="s">
        <v>246</v>
      </c>
      <c r="D251" s="132" t="n">
        <v>46484</v>
      </c>
      <c r="E251" s="131" t="s">
        <v>59</v>
      </c>
      <c r="F251" s="133" t="s">
        <v>11</v>
      </c>
      <c r="G251" s="134" t="n">
        <f aca="false">LEN('Saisie programme'!$F$43)+SUMIFS('Vols additionnels'!$E$7:$E$66,'Vols additionnels'!$C$7:$C$66,$E251,'Vols additionnels'!$D$7:$D$66,$F251,'Vols additionnels'!$B$7:$B$66,$D251)</f>
        <v>0</v>
      </c>
      <c r="H251" s="135" t="n">
        <f aca="false">$G251*'Analyse capacite'!$F$7</f>
        <v>0</v>
      </c>
      <c r="I251" s="135" t="n">
        <f aca="false">$G251*'Analyse capacite'!$C$7</f>
        <v>0</v>
      </c>
      <c r="J251" s="135" t="n">
        <f aca="false">$G251*'Analyse capacite'!$D$7</f>
        <v>0</v>
      </c>
      <c r="K251" s="135" t="n">
        <f aca="false">$G251*'Analyse capacite'!$E$7</f>
        <v>0</v>
      </c>
    </row>
    <row r="252" customFormat="false" ht="15" hidden="false" customHeight="false" outlineLevel="0" collapsed="false">
      <c r="B252" s="130" t="n">
        <v>2027</v>
      </c>
      <c r="C252" s="131" t="s">
        <v>246</v>
      </c>
      <c r="D252" s="132" t="n">
        <v>46484</v>
      </c>
      <c r="E252" s="131" t="s">
        <v>59</v>
      </c>
      <c r="F252" s="133" t="s">
        <v>19</v>
      </c>
      <c r="G252" s="134" t="n">
        <f aca="false">LEN('Saisie programme'!$F$44)+SUMIFS('Vols additionnels'!$E$7:$E$66,'Vols additionnels'!$C$7:$C$66,$E252,'Vols additionnels'!$D$7:$D$66,$F252,'Vols additionnels'!$B$7:$B$66,$D252)</f>
        <v>0</v>
      </c>
      <c r="H252" s="135" t="n">
        <f aca="false">$G252*'Analyse capacite'!$F$8</f>
        <v>0</v>
      </c>
      <c r="I252" s="135" t="n">
        <f aca="false">$G252*'Analyse capacite'!$C$8</f>
        <v>0</v>
      </c>
      <c r="J252" s="135" t="n">
        <f aca="false">$G252*'Analyse capacite'!$D$8</f>
        <v>0</v>
      </c>
      <c r="K252" s="135" t="n">
        <f aca="false">$G252*'Analyse capacite'!$E$8</f>
        <v>0</v>
      </c>
    </row>
    <row r="253" customFormat="false" ht="15" hidden="false" customHeight="false" outlineLevel="0" collapsed="false">
      <c r="B253" s="130" t="n">
        <v>2027</v>
      </c>
      <c r="C253" s="131" t="s">
        <v>246</v>
      </c>
      <c r="D253" s="132" t="n">
        <v>46484</v>
      </c>
      <c r="E253" s="131" t="s">
        <v>59</v>
      </c>
      <c r="F253" s="133" t="s">
        <v>24</v>
      </c>
      <c r="G253" s="134" t="n">
        <f aca="false">LEN('Saisie programme'!$F$45)+SUMIFS('Vols additionnels'!$E$7:$E$66,'Vols additionnels'!$C$7:$C$66,$E253,'Vols additionnels'!$D$7:$D$66,$F253,'Vols additionnels'!$B$7:$B$66,$D253)</f>
        <v>1</v>
      </c>
      <c r="H253" s="135" t="n">
        <f aca="false">$G253*'Analyse capacite'!$F$9</f>
        <v>174</v>
      </c>
      <c r="I253" s="135" t="n">
        <f aca="false">$G253*'Analyse capacite'!$C$9</f>
        <v>0</v>
      </c>
      <c r="J253" s="135" t="n">
        <f aca="false">$G253*'Analyse capacite'!$D$9</f>
        <v>12</v>
      </c>
      <c r="K253" s="135" t="n">
        <f aca="false">$G253*'Analyse capacite'!$E$9</f>
        <v>162</v>
      </c>
    </row>
    <row r="254" customFormat="false" ht="15" hidden="false" customHeight="false" outlineLevel="0" collapsed="false">
      <c r="B254" s="130" t="n">
        <v>2027</v>
      </c>
      <c r="C254" s="131" t="s">
        <v>246</v>
      </c>
      <c r="D254" s="132" t="n">
        <v>46484</v>
      </c>
      <c r="E254" s="131" t="s">
        <v>62</v>
      </c>
      <c r="F254" s="133" t="s">
        <v>11</v>
      </c>
      <c r="G254" s="134" t="n">
        <f aca="false">LEN('Saisie programme'!$F$46)+SUMIFS('Vols additionnels'!$E$7:$E$66,'Vols additionnels'!$C$7:$C$66,$E254,'Vols additionnels'!$D$7:$D$66,$F254,'Vols additionnels'!$B$7:$B$66,$D254)</f>
        <v>0</v>
      </c>
      <c r="H254" s="135" t="n">
        <f aca="false">$G254*'Analyse capacite'!$F$7</f>
        <v>0</v>
      </c>
      <c r="I254" s="135" t="n">
        <f aca="false">$G254*'Analyse capacite'!$C$7</f>
        <v>0</v>
      </c>
      <c r="J254" s="135" t="n">
        <f aca="false">$G254*'Analyse capacite'!$D$7</f>
        <v>0</v>
      </c>
      <c r="K254" s="135" t="n">
        <f aca="false">$G254*'Analyse capacite'!$E$7</f>
        <v>0</v>
      </c>
    </row>
    <row r="255" customFormat="false" ht="15" hidden="false" customHeight="false" outlineLevel="0" collapsed="false">
      <c r="B255" s="130" t="n">
        <v>2027</v>
      </c>
      <c r="C255" s="131" t="s">
        <v>246</v>
      </c>
      <c r="D255" s="132" t="n">
        <v>46484</v>
      </c>
      <c r="E255" s="131" t="s">
        <v>62</v>
      </c>
      <c r="F255" s="133" t="s">
        <v>19</v>
      </c>
      <c r="G255" s="134" t="n">
        <f aca="false">LEN('Saisie programme'!$F$47)+SUMIFS('Vols additionnels'!$E$7:$E$66,'Vols additionnels'!$C$7:$C$66,$E255,'Vols additionnels'!$D$7:$D$66,$F255,'Vols additionnels'!$B$7:$B$66,$D255)</f>
        <v>0</v>
      </c>
      <c r="H255" s="135" t="n">
        <f aca="false">$G255*'Analyse capacite'!$F$8</f>
        <v>0</v>
      </c>
      <c r="I255" s="135" t="n">
        <f aca="false">$G255*'Analyse capacite'!$C$8</f>
        <v>0</v>
      </c>
      <c r="J255" s="135" t="n">
        <f aca="false">$G255*'Analyse capacite'!$D$8</f>
        <v>0</v>
      </c>
      <c r="K255" s="135" t="n">
        <f aca="false">$G255*'Analyse capacite'!$E$8</f>
        <v>0</v>
      </c>
    </row>
    <row r="256" customFormat="false" ht="15" hidden="false" customHeight="false" outlineLevel="0" collapsed="false">
      <c r="B256" s="130" t="n">
        <v>2027</v>
      </c>
      <c r="C256" s="131" t="s">
        <v>246</v>
      </c>
      <c r="D256" s="132" t="n">
        <v>46484</v>
      </c>
      <c r="E256" s="131" t="s">
        <v>62</v>
      </c>
      <c r="F256" s="133" t="s">
        <v>24</v>
      </c>
      <c r="G256" s="134" t="n">
        <f aca="false">LEN('Saisie programme'!$F$48)+SUMIFS('Vols additionnels'!$E$7:$E$66,'Vols additionnels'!$C$7:$C$66,$E256,'Vols additionnels'!$D$7:$D$66,$F256,'Vols additionnels'!$B$7:$B$66,$D256)</f>
        <v>1</v>
      </c>
      <c r="H256" s="135" t="n">
        <f aca="false">$G256*'Analyse capacite'!$F$9</f>
        <v>174</v>
      </c>
      <c r="I256" s="135" t="n">
        <f aca="false">$G256*'Analyse capacite'!$C$9</f>
        <v>0</v>
      </c>
      <c r="J256" s="135" t="n">
        <f aca="false">$G256*'Analyse capacite'!$D$9</f>
        <v>12</v>
      </c>
      <c r="K256" s="135" t="n">
        <f aca="false">$G256*'Analyse capacite'!$E$9</f>
        <v>162</v>
      </c>
    </row>
    <row r="257" customFormat="false" ht="15" hidden="false" customHeight="false" outlineLevel="0" collapsed="false">
      <c r="B257" s="130" t="n">
        <v>2027</v>
      </c>
      <c r="C257" s="131" t="s">
        <v>246</v>
      </c>
      <c r="D257" s="132" t="n">
        <v>46485</v>
      </c>
      <c r="E257" s="131" t="s">
        <v>12</v>
      </c>
      <c r="F257" s="133" t="s">
        <v>11</v>
      </c>
      <c r="G257" s="134" t="n">
        <f aca="false">LEN('Saisie programme'!$G$13)+SUMIFS('Vols additionnels'!$E$7:$E$66,'Vols additionnels'!$C$7:$C$66,$E257,'Vols additionnels'!$D$7:$D$66,$F257,'Vols additionnels'!$B$7:$B$66,$D257)</f>
        <v>1</v>
      </c>
      <c r="H257" s="135" t="n">
        <f aca="false">$G257*'Analyse capacite'!$F$7</f>
        <v>438</v>
      </c>
      <c r="I257" s="135" t="n">
        <f aca="false">$G257*'Analyse capacite'!$C$7</f>
        <v>14</v>
      </c>
      <c r="J257" s="135" t="n">
        <f aca="false">$G257*'Analyse capacite'!$D$7</f>
        <v>40</v>
      </c>
      <c r="K257" s="135" t="n">
        <f aca="false">$G257*'Analyse capacite'!$E$7</f>
        <v>384</v>
      </c>
    </row>
    <row r="258" customFormat="false" ht="15" hidden="false" customHeight="false" outlineLevel="0" collapsed="false">
      <c r="B258" s="130" t="n">
        <v>2027</v>
      </c>
      <c r="C258" s="131" t="s">
        <v>246</v>
      </c>
      <c r="D258" s="132" t="n">
        <v>46485</v>
      </c>
      <c r="E258" s="131" t="s">
        <v>12</v>
      </c>
      <c r="F258" s="133" t="s">
        <v>19</v>
      </c>
      <c r="G258" s="134" t="n">
        <f aca="false">LEN('Saisie programme'!$G$14)+SUMIFS('Vols additionnels'!$E$7:$E$66,'Vols additionnels'!$C$7:$C$66,$E258,'Vols additionnels'!$D$7:$D$66,$F258,'Vols additionnels'!$B$7:$B$66,$D258)</f>
        <v>0</v>
      </c>
      <c r="H258" s="135" t="n">
        <f aca="false">$G258*'Analyse capacite'!$F$8</f>
        <v>0</v>
      </c>
      <c r="I258" s="135" t="n">
        <f aca="false">$G258*'Analyse capacite'!$C$8</f>
        <v>0</v>
      </c>
      <c r="J258" s="135" t="n">
        <f aca="false">$G258*'Analyse capacite'!$D$8</f>
        <v>0</v>
      </c>
      <c r="K258" s="135" t="n">
        <f aca="false">$G258*'Analyse capacite'!$E$8</f>
        <v>0</v>
      </c>
    </row>
    <row r="259" customFormat="false" ht="15" hidden="false" customHeight="false" outlineLevel="0" collapsed="false">
      <c r="B259" s="130" t="n">
        <v>2027</v>
      </c>
      <c r="C259" s="131" t="s">
        <v>246</v>
      </c>
      <c r="D259" s="132" t="n">
        <v>46485</v>
      </c>
      <c r="E259" s="131" t="s">
        <v>12</v>
      </c>
      <c r="F259" s="133" t="s">
        <v>24</v>
      </c>
      <c r="G259" s="134" t="n">
        <f aca="false">LEN('Saisie programme'!$G$15)+SUMIFS('Vols additionnels'!$E$7:$E$66,'Vols additionnels'!$C$7:$C$66,$E259,'Vols additionnels'!$D$7:$D$66,$F259,'Vols additionnels'!$B$7:$B$66,$D259)</f>
        <v>0</v>
      </c>
      <c r="H259" s="135" t="n">
        <f aca="false">$G259*'Analyse capacite'!$F$9</f>
        <v>0</v>
      </c>
      <c r="I259" s="135" t="n">
        <f aca="false">$G259*'Analyse capacite'!$C$9</f>
        <v>0</v>
      </c>
      <c r="J259" s="135" t="n">
        <f aca="false">$G259*'Analyse capacite'!$D$9</f>
        <v>0</v>
      </c>
      <c r="K259" s="135" t="n">
        <f aca="false">$G259*'Analyse capacite'!$E$9</f>
        <v>0</v>
      </c>
    </row>
    <row r="260" customFormat="false" ht="15" hidden="false" customHeight="false" outlineLevel="0" collapsed="false">
      <c r="B260" s="130" t="n">
        <v>2027</v>
      </c>
      <c r="C260" s="131" t="s">
        <v>246</v>
      </c>
      <c r="D260" s="132" t="n">
        <v>46485</v>
      </c>
      <c r="E260" s="131" t="s">
        <v>20</v>
      </c>
      <c r="F260" s="133" t="s">
        <v>11</v>
      </c>
      <c r="G260" s="134" t="n">
        <f aca="false">LEN('Saisie programme'!$G$16)+SUMIFS('Vols additionnels'!$E$7:$E$66,'Vols additionnels'!$C$7:$C$66,$E260,'Vols additionnels'!$D$7:$D$66,$F260,'Vols additionnels'!$B$7:$B$66,$D260)</f>
        <v>0</v>
      </c>
      <c r="H260" s="135" t="n">
        <f aca="false">$G260*'Analyse capacite'!$F$7</f>
        <v>0</v>
      </c>
      <c r="I260" s="135" t="n">
        <f aca="false">$G260*'Analyse capacite'!$C$7</f>
        <v>0</v>
      </c>
      <c r="J260" s="135" t="n">
        <f aca="false">$G260*'Analyse capacite'!$D$7</f>
        <v>0</v>
      </c>
      <c r="K260" s="135" t="n">
        <f aca="false">$G260*'Analyse capacite'!$E$7</f>
        <v>0</v>
      </c>
    </row>
    <row r="261" customFormat="false" ht="15" hidden="false" customHeight="false" outlineLevel="0" collapsed="false">
      <c r="B261" s="130" t="n">
        <v>2027</v>
      </c>
      <c r="C261" s="131" t="s">
        <v>246</v>
      </c>
      <c r="D261" s="132" t="n">
        <v>46485</v>
      </c>
      <c r="E261" s="131" t="s">
        <v>20</v>
      </c>
      <c r="F261" s="133" t="s">
        <v>19</v>
      </c>
      <c r="G261" s="134" t="n">
        <f aca="false">LEN('Saisie programme'!$G$17)+SUMIFS('Vols additionnels'!$E$7:$E$66,'Vols additionnels'!$C$7:$C$66,$E261,'Vols additionnels'!$D$7:$D$66,$F261,'Vols additionnels'!$B$7:$B$66,$D261)</f>
        <v>0</v>
      </c>
      <c r="H261" s="135" t="n">
        <f aca="false">$G261*'Analyse capacite'!$F$8</f>
        <v>0</v>
      </c>
      <c r="I261" s="135" t="n">
        <f aca="false">$G261*'Analyse capacite'!$C$8</f>
        <v>0</v>
      </c>
      <c r="J261" s="135" t="n">
        <f aca="false">$G261*'Analyse capacite'!$D$8</f>
        <v>0</v>
      </c>
      <c r="K261" s="135" t="n">
        <f aca="false">$G261*'Analyse capacite'!$E$8</f>
        <v>0</v>
      </c>
    </row>
    <row r="262" customFormat="false" ht="15" hidden="false" customHeight="false" outlineLevel="0" collapsed="false">
      <c r="B262" s="130" t="n">
        <v>2027</v>
      </c>
      <c r="C262" s="131" t="s">
        <v>246</v>
      </c>
      <c r="D262" s="132" t="n">
        <v>46485</v>
      </c>
      <c r="E262" s="131" t="s">
        <v>20</v>
      </c>
      <c r="F262" s="133" t="s">
        <v>24</v>
      </c>
      <c r="G262" s="134" t="n">
        <f aca="false">LEN('Saisie programme'!$G$18)+SUMIFS('Vols additionnels'!$E$7:$E$66,'Vols additionnels'!$C$7:$C$66,$E262,'Vols additionnels'!$D$7:$D$66,$F262,'Vols additionnels'!$B$7:$B$66,$D262)</f>
        <v>0</v>
      </c>
      <c r="H262" s="135" t="n">
        <f aca="false">$G262*'Analyse capacite'!$F$9</f>
        <v>0</v>
      </c>
      <c r="I262" s="135" t="n">
        <f aca="false">$G262*'Analyse capacite'!$C$9</f>
        <v>0</v>
      </c>
      <c r="J262" s="135" t="n">
        <f aca="false">$G262*'Analyse capacite'!$D$9</f>
        <v>0</v>
      </c>
      <c r="K262" s="135" t="n">
        <f aca="false">$G262*'Analyse capacite'!$E$9</f>
        <v>0</v>
      </c>
    </row>
    <row r="263" customFormat="false" ht="15" hidden="false" customHeight="false" outlineLevel="0" collapsed="false">
      <c r="B263" s="130" t="n">
        <v>2027</v>
      </c>
      <c r="C263" s="131" t="s">
        <v>246</v>
      </c>
      <c r="D263" s="132" t="n">
        <v>46485</v>
      </c>
      <c r="E263" s="131" t="s">
        <v>25</v>
      </c>
      <c r="F263" s="133" t="s">
        <v>11</v>
      </c>
      <c r="G263" s="134" t="n">
        <f aca="false">LEN('Saisie programme'!$G$19)+SUMIFS('Vols additionnels'!$E$7:$E$66,'Vols additionnels'!$C$7:$C$66,$E263,'Vols additionnels'!$D$7:$D$66,$F263,'Vols additionnels'!$B$7:$B$66,$D263)</f>
        <v>0</v>
      </c>
      <c r="H263" s="135" t="n">
        <f aca="false">$G263*'Analyse capacite'!$F$7</f>
        <v>0</v>
      </c>
      <c r="I263" s="135" t="n">
        <f aca="false">$G263*'Analyse capacite'!$C$7</f>
        <v>0</v>
      </c>
      <c r="J263" s="135" t="n">
        <f aca="false">$G263*'Analyse capacite'!$D$7</f>
        <v>0</v>
      </c>
      <c r="K263" s="135" t="n">
        <f aca="false">$G263*'Analyse capacite'!$E$7</f>
        <v>0</v>
      </c>
    </row>
    <row r="264" customFormat="false" ht="15" hidden="false" customHeight="false" outlineLevel="0" collapsed="false">
      <c r="B264" s="130" t="n">
        <v>2027</v>
      </c>
      <c r="C264" s="131" t="s">
        <v>246</v>
      </c>
      <c r="D264" s="132" t="n">
        <v>46485</v>
      </c>
      <c r="E264" s="131" t="s">
        <v>25</v>
      </c>
      <c r="F264" s="133" t="s">
        <v>19</v>
      </c>
      <c r="G264" s="134" t="n">
        <f aca="false">LEN('Saisie programme'!$G$20)+SUMIFS('Vols additionnels'!$E$7:$E$66,'Vols additionnels'!$C$7:$C$66,$E264,'Vols additionnels'!$D$7:$D$66,$F264,'Vols additionnels'!$B$7:$B$66,$D264)</f>
        <v>0</v>
      </c>
      <c r="H264" s="135" t="n">
        <f aca="false">$G264*'Analyse capacite'!$F$8</f>
        <v>0</v>
      </c>
      <c r="I264" s="135" t="n">
        <f aca="false">$G264*'Analyse capacite'!$C$8</f>
        <v>0</v>
      </c>
      <c r="J264" s="135" t="n">
        <f aca="false">$G264*'Analyse capacite'!$D$8</f>
        <v>0</v>
      </c>
      <c r="K264" s="135" t="n">
        <f aca="false">$G264*'Analyse capacite'!$E$8</f>
        <v>0</v>
      </c>
    </row>
    <row r="265" customFormat="false" ht="15" hidden="false" customHeight="false" outlineLevel="0" collapsed="false">
      <c r="B265" s="130" t="n">
        <v>2027</v>
      </c>
      <c r="C265" s="131" t="s">
        <v>246</v>
      </c>
      <c r="D265" s="132" t="n">
        <v>46485</v>
      </c>
      <c r="E265" s="131" t="s">
        <v>25</v>
      </c>
      <c r="F265" s="133" t="s">
        <v>24</v>
      </c>
      <c r="G265" s="134" t="n">
        <f aca="false">LEN('Saisie programme'!$G$21)+SUMIFS('Vols additionnels'!$E$7:$E$66,'Vols additionnels'!$C$7:$C$66,$E265,'Vols additionnels'!$D$7:$D$66,$F265,'Vols additionnels'!$B$7:$B$66,$D265)</f>
        <v>0</v>
      </c>
      <c r="H265" s="135" t="n">
        <f aca="false">$G265*'Analyse capacite'!$F$9</f>
        <v>0</v>
      </c>
      <c r="I265" s="135" t="n">
        <f aca="false">$G265*'Analyse capacite'!$C$9</f>
        <v>0</v>
      </c>
      <c r="J265" s="135" t="n">
        <f aca="false">$G265*'Analyse capacite'!$D$9</f>
        <v>0</v>
      </c>
      <c r="K265" s="135" t="n">
        <f aca="false">$G265*'Analyse capacite'!$E$9</f>
        <v>0</v>
      </c>
    </row>
    <row r="266" customFormat="false" ht="15" hidden="false" customHeight="false" outlineLevel="0" collapsed="false">
      <c r="B266" s="130" t="n">
        <v>2027</v>
      </c>
      <c r="C266" s="131" t="s">
        <v>246</v>
      </c>
      <c r="D266" s="132" t="n">
        <v>46485</v>
      </c>
      <c r="E266" s="131" t="s">
        <v>36</v>
      </c>
      <c r="F266" s="133" t="s">
        <v>11</v>
      </c>
      <c r="G266" s="134" t="n">
        <f aca="false">LEN('Saisie programme'!$G$22)+SUMIFS('Vols additionnels'!$E$7:$E$66,'Vols additionnels'!$C$7:$C$66,$E266,'Vols additionnels'!$D$7:$D$66,$F266,'Vols additionnels'!$B$7:$B$66,$D266)</f>
        <v>0</v>
      </c>
      <c r="H266" s="135" t="n">
        <f aca="false">$G266*'Analyse capacite'!$F$7</f>
        <v>0</v>
      </c>
      <c r="I266" s="135" t="n">
        <f aca="false">$G266*'Analyse capacite'!$C$7</f>
        <v>0</v>
      </c>
      <c r="J266" s="135" t="n">
        <f aca="false">$G266*'Analyse capacite'!$D$7</f>
        <v>0</v>
      </c>
      <c r="K266" s="135" t="n">
        <f aca="false">$G266*'Analyse capacite'!$E$7</f>
        <v>0</v>
      </c>
    </row>
    <row r="267" customFormat="false" ht="15" hidden="false" customHeight="false" outlineLevel="0" collapsed="false">
      <c r="B267" s="130" t="n">
        <v>2027</v>
      </c>
      <c r="C267" s="131" t="s">
        <v>246</v>
      </c>
      <c r="D267" s="132" t="n">
        <v>46485</v>
      </c>
      <c r="E267" s="131" t="s">
        <v>36</v>
      </c>
      <c r="F267" s="133" t="s">
        <v>19</v>
      </c>
      <c r="G267" s="134" t="n">
        <f aca="false">LEN('Saisie programme'!$G$23)+SUMIFS('Vols additionnels'!$E$7:$E$66,'Vols additionnels'!$C$7:$C$66,$E267,'Vols additionnels'!$D$7:$D$66,$F267,'Vols additionnels'!$B$7:$B$66,$D267)</f>
        <v>0</v>
      </c>
      <c r="H267" s="135" t="n">
        <f aca="false">$G267*'Analyse capacite'!$F$8</f>
        <v>0</v>
      </c>
      <c r="I267" s="135" t="n">
        <f aca="false">$G267*'Analyse capacite'!$C$8</f>
        <v>0</v>
      </c>
      <c r="J267" s="135" t="n">
        <f aca="false">$G267*'Analyse capacite'!$D$8</f>
        <v>0</v>
      </c>
      <c r="K267" s="135" t="n">
        <f aca="false">$G267*'Analyse capacite'!$E$8</f>
        <v>0</v>
      </c>
    </row>
    <row r="268" customFormat="false" ht="15" hidden="false" customHeight="false" outlineLevel="0" collapsed="false">
      <c r="B268" s="130" t="n">
        <v>2027</v>
      </c>
      <c r="C268" s="131" t="s">
        <v>246</v>
      </c>
      <c r="D268" s="132" t="n">
        <v>46485</v>
      </c>
      <c r="E268" s="131" t="s">
        <v>36</v>
      </c>
      <c r="F268" s="133" t="s">
        <v>24</v>
      </c>
      <c r="G268" s="134" t="n">
        <f aca="false">LEN('Saisie programme'!$G$24)+SUMIFS('Vols additionnels'!$E$7:$E$66,'Vols additionnels'!$C$7:$C$66,$E268,'Vols additionnels'!$D$7:$D$66,$F268,'Vols additionnels'!$B$7:$B$66,$D268)</f>
        <v>1</v>
      </c>
      <c r="H268" s="135" t="n">
        <f aca="false">$G268*'Analyse capacite'!$F$9</f>
        <v>174</v>
      </c>
      <c r="I268" s="135" t="n">
        <f aca="false">$G268*'Analyse capacite'!$C$9</f>
        <v>0</v>
      </c>
      <c r="J268" s="135" t="n">
        <f aca="false">$G268*'Analyse capacite'!$D$9</f>
        <v>12</v>
      </c>
      <c r="K268" s="135" t="n">
        <f aca="false">$G268*'Analyse capacite'!$E$9</f>
        <v>162</v>
      </c>
    </row>
    <row r="269" customFormat="false" ht="15" hidden="false" customHeight="false" outlineLevel="0" collapsed="false">
      <c r="B269" s="130" t="n">
        <v>2027</v>
      </c>
      <c r="C269" s="131" t="s">
        <v>246</v>
      </c>
      <c r="D269" s="132" t="n">
        <v>46485</v>
      </c>
      <c r="E269" s="131" t="s">
        <v>40</v>
      </c>
      <c r="F269" s="133" t="s">
        <v>11</v>
      </c>
      <c r="G269" s="134" t="n">
        <f aca="false">LEN('Saisie programme'!$G$25)+SUMIFS('Vols additionnels'!$E$7:$E$66,'Vols additionnels'!$C$7:$C$66,$E269,'Vols additionnels'!$D$7:$D$66,$F269,'Vols additionnels'!$B$7:$B$66,$D269)</f>
        <v>0</v>
      </c>
      <c r="H269" s="135" t="n">
        <f aca="false">$G269*'Analyse capacite'!$F$7</f>
        <v>0</v>
      </c>
      <c r="I269" s="135" t="n">
        <f aca="false">$G269*'Analyse capacite'!$C$7</f>
        <v>0</v>
      </c>
      <c r="J269" s="135" t="n">
        <f aca="false">$G269*'Analyse capacite'!$D$7</f>
        <v>0</v>
      </c>
      <c r="K269" s="135" t="n">
        <f aca="false">$G269*'Analyse capacite'!$E$7</f>
        <v>0</v>
      </c>
    </row>
    <row r="270" customFormat="false" ht="15" hidden="false" customHeight="false" outlineLevel="0" collapsed="false">
      <c r="B270" s="130" t="n">
        <v>2027</v>
      </c>
      <c r="C270" s="131" t="s">
        <v>246</v>
      </c>
      <c r="D270" s="132" t="n">
        <v>46485</v>
      </c>
      <c r="E270" s="131" t="s">
        <v>40</v>
      </c>
      <c r="F270" s="133" t="s">
        <v>19</v>
      </c>
      <c r="G270" s="134" t="n">
        <f aca="false">LEN('Saisie programme'!$G$26)+SUMIFS('Vols additionnels'!$E$7:$E$66,'Vols additionnels'!$C$7:$C$66,$E270,'Vols additionnels'!$D$7:$D$66,$F270,'Vols additionnels'!$B$7:$B$66,$D270)</f>
        <v>0</v>
      </c>
      <c r="H270" s="135" t="n">
        <f aca="false">$G270*'Analyse capacite'!$F$8</f>
        <v>0</v>
      </c>
      <c r="I270" s="135" t="n">
        <f aca="false">$G270*'Analyse capacite'!$C$8</f>
        <v>0</v>
      </c>
      <c r="J270" s="135" t="n">
        <f aca="false">$G270*'Analyse capacite'!$D$8</f>
        <v>0</v>
      </c>
      <c r="K270" s="135" t="n">
        <f aca="false">$G270*'Analyse capacite'!$E$8</f>
        <v>0</v>
      </c>
    </row>
    <row r="271" customFormat="false" ht="15" hidden="false" customHeight="false" outlineLevel="0" collapsed="false">
      <c r="B271" s="130" t="n">
        <v>2027</v>
      </c>
      <c r="C271" s="131" t="s">
        <v>246</v>
      </c>
      <c r="D271" s="132" t="n">
        <v>46485</v>
      </c>
      <c r="E271" s="131" t="s">
        <v>40</v>
      </c>
      <c r="F271" s="133" t="s">
        <v>24</v>
      </c>
      <c r="G271" s="134" t="n">
        <f aca="false">LEN('Saisie programme'!$G$27)+SUMIFS('Vols additionnels'!$E$7:$E$66,'Vols additionnels'!$C$7:$C$66,$E271,'Vols additionnels'!$D$7:$D$66,$F271,'Vols additionnels'!$B$7:$B$66,$D271)</f>
        <v>0</v>
      </c>
      <c r="H271" s="135" t="n">
        <f aca="false">$G271*'Analyse capacite'!$F$9</f>
        <v>0</v>
      </c>
      <c r="I271" s="135" t="n">
        <f aca="false">$G271*'Analyse capacite'!$C$9</f>
        <v>0</v>
      </c>
      <c r="J271" s="135" t="n">
        <f aca="false">$G271*'Analyse capacite'!$D$9</f>
        <v>0</v>
      </c>
      <c r="K271" s="135" t="n">
        <f aca="false">$G271*'Analyse capacite'!$E$9</f>
        <v>0</v>
      </c>
    </row>
    <row r="272" customFormat="false" ht="15" hidden="false" customHeight="false" outlineLevel="0" collapsed="false">
      <c r="B272" s="130" t="n">
        <v>2027</v>
      </c>
      <c r="C272" s="131" t="s">
        <v>246</v>
      </c>
      <c r="D272" s="132" t="n">
        <v>46485</v>
      </c>
      <c r="E272" s="131" t="s">
        <v>14</v>
      </c>
      <c r="F272" s="133" t="s">
        <v>11</v>
      </c>
      <c r="G272" s="134" t="n">
        <f aca="false">LEN('Saisie programme'!$G$28)+SUMIFS('Vols additionnels'!$E$7:$E$66,'Vols additionnels'!$C$7:$C$66,$E272,'Vols additionnels'!$D$7:$D$66,$F272,'Vols additionnels'!$B$7:$B$66,$D272)</f>
        <v>0</v>
      </c>
      <c r="H272" s="135" t="n">
        <f aca="false">$G272*'Analyse capacite'!$F$7</f>
        <v>0</v>
      </c>
      <c r="I272" s="135" t="n">
        <f aca="false">$G272*'Analyse capacite'!$C$7</f>
        <v>0</v>
      </c>
      <c r="J272" s="135" t="n">
        <f aca="false">$G272*'Analyse capacite'!$D$7</f>
        <v>0</v>
      </c>
      <c r="K272" s="135" t="n">
        <f aca="false">$G272*'Analyse capacite'!$E$7</f>
        <v>0</v>
      </c>
    </row>
    <row r="273" customFormat="false" ht="15" hidden="false" customHeight="false" outlineLevel="0" collapsed="false">
      <c r="B273" s="130" t="n">
        <v>2027</v>
      </c>
      <c r="C273" s="131" t="s">
        <v>246</v>
      </c>
      <c r="D273" s="132" t="n">
        <v>46485</v>
      </c>
      <c r="E273" s="131" t="s">
        <v>14</v>
      </c>
      <c r="F273" s="133" t="s">
        <v>19</v>
      </c>
      <c r="G273" s="134" t="n">
        <f aca="false">LEN('Saisie programme'!$G$29)+SUMIFS('Vols additionnels'!$E$7:$E$66,'Vols additionnels'!$C$7:$C$66,$E273,'Vols additionnels'!$D$7:$D$66,$F273,'Vols additionnels'!$B$7:$B$66,$D273)</f>
        <v>0</v>
      </c>
      <c r="H273" s="135" t="n">
        <f aca="false">$G273*'Analyse capacite'!$F$8</f>
        <v>0</v>
      </c>
      <c r="I273" s="135" t="n">
        <f aca="false">$G273*'Analyse capacite'!$C$8</f>
        <v>0</v>
      </c>
      <c r="J273" s="135" t="n">
        <f aca="false">$G273*'Analyse capacite'!$D$8</f>
        <v>0</v>
      </c>
      <c r="K273" s="135" t="n">
        <f aca="false">$G273*'Analyse capacite'!$E$8</f>
        <v>0</v>
      </c>
    </row>
    <row r="274" customFormat="false" ht="15" hidden="false" customHeight="false" outlineLevel="0" collapsed="false">
      <c r="B274" s="130" t="n">
        <v>2027</v>
      </c>
      <c r="C274" s="131" t="s">
        <v>246</v>
      </c>
      <c r="D274" s="132" t="n">
        <v>46485</v>
      </c>
      <c r="E274" s="131" t="s">
        <v>14</v>
      </c>
      <c r="F274" s="133" t="s">
        <v>24</v>
      </c>
      <c r="G274" s="134" t="n">
        <f aca="false">LEN('Saisie programme'!$G$30)+SUMIFS('Vols additionnels'!$E$7:$E$66,'Vols additionnels'!$C$7:$C$66,$E274,'Vols additionnels'!$D$7:$D$66,$F274,'Vols additionnels'!$B$7:$B$66,$D274)</f>
        <v>1</v>
      </c>
      <c r="H274" s="135" t="n">
        <f aca="false">$G274*'Analyse capacite'!$F$9</f>
        <v>174</v>
      </c>
      <c r="I274" s="135" t="n">
        <f aca="false">$G274*'Analyse capacite'!$C$9</f>
        <v>0</v>
      </c>
      <c r="J274" s="135" t="n">
        <f aca="false">$G274*'Analyse capacite'!$D$9</f>
        <v>12</v>
      </c>
      <c r="K274" s="135" t="n">
        <f aca="false">$G274*'Analyse capacite'!$E$9</f>
        <v>162</v>
      </c>
    </row>
    <row r="275" customFormat="false" ht="15" hidden="false" customHeight="false" outlineLevel="0" collapsed="false">
      <c r="B275" s="130" t="n">
        <v>2027</v>
      </c>
      <c r="C275" s="131" t="s">
        <v>246</v>
      </c>
      <c r="D275" s="132" t="n">
        <v>46485</v>
      </c>
      <c r="E275" s="131" t="s">
        <v>46</v>
      </c>
      <c r="F275" s="133" t="s">
        <v>11</v>
      </c>
      <c r="G275" s="134" t="n">
        <f aca="false">LEN('Saisie programme'!$G$31)+SUMIFS('Vols additionnels'!$E$7:$E$66,'Vols additionnels'!$C$7:$C$66,$E275,'Vols additionnels'!$D$7:$D$66,$F275,'Vols additionnels'!$B$7:$B$66,$D275)</f>
        <v>0</v>
      </c>
      <c r="H275" s="135" t="n">
        <f aca="false">$G275*'Analyse capacite'!$F$7</f>
        <v>0</v>
      </c>
      <c r="I275" s="135" t="n">
        <f aca="false">$G275*'Analyse capacite'!$C$7</f>
        <v>0</v>
      </c>
      <c r="J275" s="135" t="n">
        <f aca="false">$G275*'Analyse capacite'!$D$7</f>
        <v>0</v>
      </c>
      <c r="K275" s="135" t="n">
        <f aca="false">$G275*'Analyse capacite'!$E$7</f>
        <v>0</v>
      </c>
    </row>
    <row r="276" customFormat="false" ht="15" hidden="false" customHeight="false" outlineLevel="0" collapsed="false">
      <c r="B276" s="130" t="n">
        <v>2027</v>
      </c>
      <c r="C276" s="131" t="s">
        <v>246</v>
      </c>
      <c r="D276" s="132" t="n">
        <v>46485</v>
      </c>
      <c r="E276" s="131" t="s">
        <v>46</v>
      </c>
      <c r="F276" s="133" t="s">
        <v>19</v>
      </c>
      <c r="G276" s="134" t="n">
        <f aca="false">LEN('Saisie programme'!$G$32)+SUMIFS('Vols additionnels'!$E$7:$E$66,'Vols additionnels'!$C$7:$C$66,$E276,'Vols additionnels'!$D$7:$D$66,$F276,'Vols additionnels'!$B$7:$B$66,$D276)</f>
        <v>0</v>
      </c>
      <c r="H276" s="135" t="n">
        <f aca="false">$G276*'Analyse capacite'!$F$8</f>
        <v>0</v>
      </c>
      <c r="I276" s="135" t="n">
        <f aca="false">$G276*'Analyse capacite'!$C$8</f>
        <v>0</v>
      </c>
      <c r="J276" s="135" t="n">
        <f aca="false">$G276*'Analyse capacite'!$D$8</f>
        <v>0</v>
      </c>
      <c r="K276" s="135" t="n">
        <f aca="false">$G276*'Analyse capacite'!$E$8</f>
        <v>0</v>
      </c>
    </row>
    <row r="277" customFormat="false" ht="15" hidden="false" customHeight="false" outlineLevel="0" collapsed="false">
      <c r="B277" s="130" t="n">
        <v>2027</v>
      </c>
      <c r="C277" s="131" t="s">
        <v>246</v>
      </c>
      <c r="D277" s="132" t="n">
        <v>46485</v>
      </c>
      <c r="E277" s="131" t="s">
        <v>46</v>
      </c>
      <c r="F277" s="133" t="s">
        <v>24</v>
      </c>
      <c r="G277" s="134" t="n">
        <f aca="false">LEN('Saisie programme'!$G$33)+SUMIFS('Vols additionnels'!$E$7:$E$66,'Vols additionnels'!$C$7:$C$66,$E277,'Vols additionnels'!$D$7:$D$66,$F277,'Vols additionnels'!$B$7:$B$66,$D277)</f>
        <v>1</v>
      </c>
      <c r="H277" s="135" t="n">
        <f aca="false">$G277*'Analyse capacite'!$F$9</f>
        <v>174</v>
      </c>
      <c r="I277" s="135" t="n">
        <f aca="false">$G277*'Analyse capacite'!$C$9</f>
        <v>0</v>
      </c>
      <c r="J277" s="135" t="n">
        <f aca="false">$G277*'Analyse capacite'!$D$9</f>
        <v>12</v>
      </c>
      <c r="K277" s="135" t="n">
        <f aca="false">$G277*'Analyse capacite'!$E$9</f>
        <v>162</v>
      </c>
    </row>
    <row r="278" customFormat="false" ht="15" hidden="false" customHeight="false" outlineLevel="0" collapsed="false">
      <c r="B278" s="130" t="n">
        <v>2027</v>
      </c>
      <c r="C278" s="131" t="s">
        <v>246</v>
      </c>
      <c r="D278" s="132" t="n">
        <v>46485</v>
      </c>
      <c r="E278" s="131" t="s">
        <v>49</v>
      </c>
      <c r="F278" s="133" t="s">
        <v>11</v>
      </c>
      <c r="G278" s="134" t="n">
        <f aca="false">LEN('Saisie programme'!$G$34)+SUMIFS('Vols additionnels'!$E$7:$E$66,'Vols additionnels'!$C$7:$C$66,$E278,'Vols additionnels'!$D$7:$D$66,$F278,'Vols additionnels'!$B$7:$B$66,$D278)</f>
        <v>0</v>
      </c>
      <c r="H278" s="135" t="n">
        <f aca="false">$G278*'Analyse capacite'!$F$7</f>
        <v>0</v>
      </c>
      <c r="I278" s="135" t="n">
        <f aca="false">$G278*'Analyse capacite'!$C$7</f>
        <v>0</v>
      </c>
      <c r="J278" s="135" t="n">
        <f aca="false">$G278*'Analyse capacite'!$D$7</f>
        <v>0</v>
      </c>
      <c r="K278" s="135" t="n">
        <f aca="false">$G278*'Analyse capacite'!$E$7</f>
        <v>0</v>
      </c>
    </row>
    <row r="279" customFormat="false" ht="15" hidden="false" customHeight="false" outlineLevel="0" collapsed="false">
      <c r="B279" s="130" t="n">
        <v>2027</v>
      </c>
      <c r="C279" s="131" t="s">
        <v>246</v>
      </c>
      <c r="D279" s="132" t="n">
        <v>46485</v>
      </c>
      <c r="E279" s="131" t="s">
        <v>49</v>
      </c>
      <c r="F279" s="133" t="s">
        <v>19</v>
      </c>
      <c r="G279" s="134" t="n">
        <f aca="false">LEN('Saisie programme'!$G$35)+SUMIFS('Vols additionnels'!$E$7:$E$66,'Vols additionnels'!$C$7:$C$66,$E279,'Vols additionnels'!$D$7:$D$66,$F279,'Vols additionnels'!$B$7:$B$66,$D279)</f>
        <v>0</v>
      </c>
      <c r="H279" s="135" t="n">
        <f aca="false">$G279*'Analyse capacite'!$F$8</f>
        <v>0</v>
      </c>
      <c r="I279" s="135" t="n">
        <f aca="false">$G279*'Analyse capacite'!$C$8</f>
        <v>0</v>
      </c>
      <c r="J279" s="135" t="n">
        <f aca="false">$G279*'Analyse capacite'!$D$8</f>
        <v>0</v>
      </c>
      <c r="K279" s="135" t="n">
        <f aca="false">$G279*'Analyse capacite'!$E$8</f>
        <v>0</v>
      </c>
    </row>
    <row r="280" customFormat="false" ht="15" hidden="false" customHeight="false" outlineLevel="0" collapsed="false">
      <c r="B280" s="130" t="n">
        <v>2027</v>
      </c>
      <c r="C280" s="131" t="s">
        <v>246</v>
      </c>
      <c r="D280" s="132" t="n">
        <v>46485</v>
      </c>
      <c r="E280" s="131" t="s">
        <v>49</v>
      </c>
      <c r="F280" s="133" t="s">
        <v>24</v>
      </c>
      <c r="G280" s="134" t="n">
        <f aca="false">LEN('Saisie programme'!$G$36)+SUMIFS('Vols additionnels'!$E$7:$E$66,'Vols additionnels'!$C$7:$C$66,$E280,'Vols additionnels'!$D$7:$D$66,$F280,'Vols additionnels'!$B$7:$B$66,$D280)</f>
        <v>0</v>
      </c>
      <c r="H280" s="135" t="n">
        <f aca="false">$G280*'Analyse capacite'!$F$9</f>
        <v>0</v>
      </c>
      <c r="I280" s="135" t="n">
        <f aca="false">$G280*'Analyse capacite'!$C$9</f>
        <v>0</v>
      </c>
      <c r="J280" s="135" t="n">
        <f aca="false">$G280*'Analyse capacite'!$D$9</f>
        <v>0</v>
      </c>
      <c r="K280" s="135" t="n">
        <f aca="false">$G280*'Analyse capacite'!$E$9</f>
        <v>0</v>
      </c>
    </row>
    <row r="281" customFormat="false" ht="15" hidden="false" customHeight="false" outlineLevel="0" collapsed="false">
      <c r="B281" s="130" t="n">
        <v>2027</v>
      </c>
      <c r="C281" s="131" t="s">
        <v>246</v>
      </c>
      <c r="D281" s="132" t="n">
        <v>46485</v>
      </c>
      <c r="E281" s="131" t="s">
        <v>53</v>
      </c>
      <c r="F281" s="133" t="s">
        <v>11</v>
      </c>
      <c r="G281" s="134" t="n">
        <f aca="false">LEN('Saisie programme'!$G$37)+SUMIFS('Vols additionnels'!$E$7:$E$66,'Vols additionnels'!$C$7:$C$66,$E281,'Vols additionnels'!$D$7:$D$66,$F281,'Vols additionnels'!$B$7:$B$66,$D281)</f>
        <v>0</v>
      </c>
      <c r="H281" s="135" t="n">
        <f aca="false">$G281*'Analyse capacite'!$F$7</f>
        <v>0</v>
      </c>
      <c r="I281" s="135" t="n">
        <f aca="false">$G281*'Analyse capacite'!$C$7</f>
        <v>0</v>
      </c>
      <c r="J281" s="135" t="n">
        <f aca="false">$G281*'Analyse capacite'!$D$7</f>
        <v>0</v>
      </c>
      <c r="K281" s="135" t="n">
        <f aca="false">$G281*'Analyse capacite'!$E$7</f>
        <v>0</v>
      </c>
    </row>
    <row r="282" customFormat="false" ht="15" hidden="false" customHeight="false" outlineLevel="0" collapsed="false">
      <c r="B282" s="130" t="n">
        <v>2027</v>
      </c>
      <c r="C282" s="131" t="s">
        <v>246</v>
      </c>
      <c r="D282" s="132" t="n">
        <v>46485</v>
      </c>
      <c r="E282" s="131" t="s">
        <v>53</v>
      </c>
      <c r="F282" s="133" t="s">
        <v>19</v>
      </c>
      <c r="G282" s="134" t="n">
        <f aca="false">LEN('Saisie programme'!$G$38)+SUMIFS('Vols additionnels'!$E$7:$E$66,'Vols additionnels'!$C$7:$C$66,$E282,'Vols additionnels'!$D$7:$D$66,$F282,'Vols additionnels'!$B$7:$B$66,$D282)</f>
        <v>1</v>
      </c>
      <c r="H282" s="135" t="n">
        <f aca="false">$G282*'Analyse capacite'!$F$8</f>
        <v>262</v>
      </c>
      <c r="I282" s="135" t="n">
        <f aca="false">$G282*'Analyse capacite'!$C$8</f>
        <v>18</v>
      </c>
      <c r="J282" s="135" t="n">
        <f aca="false">$G282*'Analyse capacite'!$D$8</f>
        <v>0</v>
      </c>
      <c r="K282" s="135" t="n">
        <f aca="false">$G282*'Analyse capacite'!$E$8</f>
        <v>244</v>
      </c>
    </row>
    <row r="283" customFormat="false" ht="15" hidden="false" customHeight="false" outlineLevel="0" collapsed="false">
      <c r="B283" s="130" t="n">
        <v>2027</v>
      </c>
      <c r="C283" s="131" t="s">
        <v>246</v>
      </c>
      <c r="D283" s="132" t="n">
        <v>46485</v>
      </c>
      <c r="E283" s="131" t="s">
        <v>53</v>
      </c>
      <c r="F283" s="133" t="s">
        <v>24</v>
      </c>
      <c r="G283" s="134" t="n">
        <f aca="false">LEN('Saisie programme'!$G$39)+SUMIFS('Vols additionnels'!$E$7:$E$66,'Vols additionnels'!$C$7:$C$66,$E283,'Vols additionnels'!$D$7:$D$66,$F283,'Vols additionnels'!$B$7:$B$66,$D283)</f>
        <v>0</v>
      </c>
      <c r="H283" s="135" t="n">
        <f aca="false">$G283*'Analyse capacite'!$F$9</f>
        <v>0</v>
      </c>
      <c r="I283" s="135" t="n">
        <f aca="false">$G283*'Analyse capacite'!$C$9</f>
        <v>0</v>
      </c>
      <c r="J283" s="135" t="n">
        <f aca="false">$G283*'Analyse capacite'!$D$9</f>
        <v>0</v>
      </c>
      <c r="K283" s="135" t="n">
        <f aca="false">$G283*'Analyse capacite'!$E$9</f>
        <v>0</v>
      </c>
    </row>
    <row r="284" customFormat="false" ht="15" hidden="false" customHeight="false" outlineLevel="0" collapsed="false">
      <c r="B284" s="130" t="n">
        <v>2027</v>
      </c>
      <c r="C284" s="131" t="s">
        <v>246</v>
      </c>
      <c r="D284" s="132" t="n">
        <v>46485</v>
      </c>
      <c r="E284" s="131" t="s">
        <v>56</v>
      </c>
      <c r="F284" s="133" t="s">
        <v>11</v>
      </c>
      <c r="G284" s="134" t="n">
        <f aca="false">LEN('Saisie programme'!$G$40)+SUMIFS('Vols additionnels'!$E$7:$E$66,'Vols additionnels'!$C$7:$C$66,$E284,'Vols additionnels'!$D$7:$D$66,$F284,'Vols additionnels'!$B$7:$B$66,$D284)</f>
        <v>0</v>
      </c>
      <c r="H284" s="135" t="n">
        <f aca="false">$G284*'Analyse capacite'!$F$7</f>
        <v>0</v>
      </c>
      <c r="I284" s="135" t="n">
        <f aca="false">$G284*'Analyse capacite'!$C$7</f>
        <v>0</v>
      </c>
      <c r="J284" s="135" t="n">
        <f aca="false">$G284*'Analyse capacite'!$D$7</f>
        <v>0</v>
      </c>
      <c r="K284" s="135" t="n">
        <f aca="false">$G284*'Analyse capacite'!$E$7</f>
        <v>0</v>
      </c>
    </row>
    <row r="285" customFormat="false" ht="15" hidden="false" customHeight="false" outlineLevel="0" collapsed="false">
      <c r="B285" s="130" t="n">
        <v>2027</v>
      </c>
      <c r="C285" s="131" t="s">
        <v>246</v>
      </c>
      <c r="D285" s="132" t="n">
        <v>46485</v>
      </c>
      <c r="E285" s="131" t="s">
        <v>56</v>
      </c>
      <c r="F285" s="133" t="s">
        <v>19</v>
      </c>
      <c r="G285" s="134" t="n">
        <f aca="false">LEN('Saisie programme'!$G$41)+SUMIFS('Vols additionnels'!$E$7:$E$66,'Vols additionnels'!$C$7:$C$66,$E285,'Vols additionnels'!$D$7:$D$66,$F285,'Vols additionnels'!$B$7:$B$66,$D285)</f>
        <v>0</v>
      </c>
      <c r="H285" s="135" t="n">
        <f aca="false">$G285*'Analyse capacite'!$F$8</f>
        <v>0</v>
      </c>
      <c r="I285" s="135" t="n">
        <f aca="false">$G285*'Analyse capacite'!$C$8</f>
        <v>0</v>
      </c>
      <c r="J285" s="135" t="n">
        <f aca="false">$G285*'Analyse capacite'!$D$8</f>
        <v>0</v>
      </c>
      <c r="K285" s="135" t="n">
        <f aca="false">$G285*'Analyse capacite'!$E$8</f>
        <v>0</v>
      </c>
    </row>
    <row r="286" customFormat="false" ht="15" hidden="false" customHeight="false" outlineLevel="0" collapsed="false">
      <c r="B286" s="130" t="n">
        <v>2027</v>
      </c>
      <c r="C286" s="131" t="s">
        <v>246</v>
      </c>
      <c r="D286" s="132" t="n">
        <v>46485</v>
      </c>
      <c r="E286" s="131" t="s">
        <v>56</v>
      </c>
      <c r="F286" s="133" t="s">
        <v>24</v>
      </c>
      <c r="G286" s="134" t="n">
        <f aca="false">LEN('Saisie programme'!$G$42)+SUMIFS('Vols additionnels'!$E$7:$E$66,'Vols additionnels'!$C$7:$C$66,$E286,'Vols additionnels'!$D$7:$D$66,$F286,'Vols additionnels'!$B$7:$B$66,$D286)</f>
        <v>0</v>
      </c>
      <c r="H286" s="135" t="n">
        <f aca="false">$G286*'Analyse capacite'!$F$9</f>
        <v>0</v>
      </c>
      <c r="I286" s="135" t="n">
        <f aca="false">$G286*'Analyse capacite'!$C$9</f>
        <v>0</v>
      </c>
      <c r="J286" s="135" t="n">
        <f aca="false">$G286*'Analyse capacite'!$D$9</f>
        <v>0</v>
      </c>
      <c r="K286" s="135" t="n">
        <f aca="false">$G286*'Analyse capacite'!$E$9</f>
        <v>0</v>
      </c>
    </row>
    <row r="287" customFormat="false" ht="15" hidden="false" customHeight="false" outlineLevel="0" collapsed="false">
      <c r="B287" s="130" t="n">
        <v>2027</v>
      </c>
      <c r="C287" s="131" t="s">
        <v>246</v>
      </c>
      <c r="D287" s="132" t="n">
        <v>46485</v>
      </c>
      <c r="E287" s="131" t="s">
        <v>59</v>
      </c>
      <c r="F287" s="133" t="s">
        <v>11</v>
      </c>
      <c r="G287" s="134" t="n">
        <f aca="false">LEN('Saisie programme'!$G$43)+SUMIFS('Vols additionnels'!$E$7:$E$66,'Vols additionnels'!$C$7:$C$66,$E287,'Vols additionnels'!$D$7:$D$66,$F287,'Vols additionnels'!$B$7:$B$66,$D287)</f>
        <v>0</v>
      </c>
      <c r="H287" s="135" t="n">
        <f aca="false">$G287*'Analyse capacite'!$F$7</f>
        <v>0</v>
      </c>
      <c r="I287" s="135" t="n">
        <f aca="false">$G287*'Analyse capacite'!$C$7</f>
        <v>0</v>
      </c>
      <c r="J287" s="135" t="n">
        <f aca="false">$G287*'Analyse capacite'!$D$7</f>
        <v>0</v>
      </c>
      <c r="K287" s="135" t="n">
        <f aca="false">$G287*'Analyse capacite'!$E$7</f>
        <v>0</v>
      </c>
    </row>
    <row r="288" customFormat="false" ht="15" hidden="false" customHeight="false" outlineLevel="0" collapsed="false">
      <c r="B288" s="130" t="n">
        <v>2027</v>
      </c>
      <c r="C288" s="131" t="s">
        <v>246</v>
      </c>
      <c r="D288" s="132" t="n">
        <v>46485</v>
      </c>
      <c r="E288" s="131" t="s">
        <v>59</v>
      </c>
      <c r="F288" s="133" t="s">
        <v>19</v>
      </c>
      <c r="G288" s="134" t="n">
        <f aca="false">LEN('Saisie programme'!$G$44)+SUMIFS('Vols additionnels'!$E$7:$E$66,'Vols additionnels'!$C$7:$C$66,$E288,'Vols additionnels'!$D$7:$D$66,$F288,'Vols additionnels'!$B$7:$B$66,$D288)</f>
        <v>0</v>
      </c>
      <c r="H288" s="135" t="n">
        <f aca="false">$G288*'Analyse capacite'!$F$8</f>
        <v>0</v>
      </c>
      <c r="I288" s="135" t="n">
        <f aca="false">$G288*'Analyse capacite'!$C$8</f>
        <v>0</v>
      </c>
      <c r="J288" s="135" t="n">
        <f aca="false">$G288*'Analyse capacite'!$D$8</f>
        <v>0</v>
      </c>
      <c r="K288" s="135" t="n">
        <f aca="false">$G288*'Analyse capacite'!$E$8</f>
        <v>0</v>
      </c>
    </row>
    <row r="289" customFormat="false" ht="15" hidden="false" customHeight="false" outlineLevel="0" collapsed="false">
      <c r="B289" s="130" t="n">
        <v>2027</v>
      </c>
      <c r="C289" s="131" t="s">
        <v>246</v>
      </c>
      <c r="D289" s="132" t="n">
        <v>46485</v>
      </c>
      <c r="E289" s="131" t="s">
        <v>59</v>
      </c>
      <c r="F289" s="133" t="s">
        <v>24</v>
      </c>
      <c r="G289" s="134" t="n">
        <f aca="false">LEN('Saisie programme'!$G$45)+SUMIFS('Vols additionnels'!$E$7:$E$66,'Vols additionnels'!$C$7:$C$66,$E289,'Vols additionnels'!$D$7:$D$66,$F289,'Vols additionnels'!$B$7:$B$66,$D289)</f>
        <v>2</v>
      </c>
      <c r="H289" s="135" t="n">
        <f aca="false">$G289*'Analyse capacite'!$F$9</f>
        <v>348</v>
      </c>
      <c r="I289" s="135" t="n">
        <f aca="false">$G289*'Analyse capacite'!$C$9</f>
        <v>0</v>
      </c>
      <c r="J289" s="135" t="n">
        <f aca="false">$G289*'Analyse capacite'!$D$9</f>
        <v>24</v>
      </c>
      <c r="K289" s="135" t="n">
        <f aca="false">$G289*'Analyse capacite'!$E$9</f>
        <v>324</v>
      </c>
    </row>
    <row r="290" customFormat="false" ht="15" hidden="false" customHeight="false" outlineLevel="0" collapsed="false">
      <c r="B290" s="130" t="n">
        <v>2027</v>
      </c>
      <c r="C290" s="131" t="s">
        <v>246</v>
      </c>
      <c r="D290" s="132" t="n">
        <v>46485</v>
      </c>
      <c r="E290" s="131" t="s">
        <v>62</v>
      </c>
      <c r="F290" s="133" t="s">
        <v>11</v>
      </c>
      <c r="G290" s="134" t="n">
        <f aca="false">LEN('Saisie programme'!$G$46)+SUMIFS('Vols additionnels'!$E$7:$E$66,'Vols additionnels'!$C$7:$C$66,$E290,'Vols additionnels'!$D$7:$D$66,$F290,'Vols additionnels'!$B$7:$B$66,$D290)</f>
        <v>0</v>
      </c>
      <c r="H290" s="135" t="n">
        <f aca="false">$G290*'Analyse capacite'!$F$7</f>
        <v>0</v>
      </c>
      <c r="I290" s="135" t="n">
        <f aca="false">$G290*'Analyse capacite'!$C$7</f>
        <v>0</v>
      </c>
      <c r="J290" s="135" t="n">
        <f aca="false">$G290*'Analyse capacite'!$D$7</f>
        <v>0</v>
      </c>
      <c r="K290" s="135" t="n">
        <f aca="false">$G290*'Analyse capacite'!$E$7</f>
        <v>0</v>
      </c>
    </row>
    <row r="291" customFormat="false" ht="15" hidden="false" customHeight="false" outlineLevel="0" collapsed="false">
      <c r="B291" s="130" t="n">
        <v>2027</v>
      </c>
      <c r="C291" s="131" t="s">
        <v>246</v>
      </c>
      <c r="D291" s="132" t="n">
        <v>46485</v>
      </c>
      <c r="E291" s="131" t="s">
        <v>62</v>
      </c>
      <c r="F291" s="133" t="s">
        <v>19</v>
      </c>
      <c r="G291" s="134" t="n">
        <f aca="false">LEN('Saisie programme'!$G$47)+SUMIFS('Vols additionnels'!$E$7:$E$66,'Vols additionnels'!$C$7:$C$66,$E291,'Vols additionnels'!$D$7:$D$66,$F291,'Vols additionnels'!$B$7:$B$66,$D291)</f>
        <v>0</v>
      </c>
      <c r="H291" s="135" t="n">
        <f aca="false">$G291*'Analyse capacite'!$F$8</f>
        <v>0</v>
      </c>
      <c r="I291" s="135" t="n">
        <f aca="false">$G291*'Analyse capacite'!$C$8</f>
        <v>0</v>
      </c>
      <c r="J291" s="135" t="n">
        <f aca="false">$G291*'Analyse capacite'!$D$8</f>
        <v>0</v>
      </c>
      <c r="K291" s="135" t="n">
        <f aca="false">$G291*'Analyse capacite'!$E$8</f>
        <v>0</v>
      </c>
    </row>
    <row r="292" customFormat="false" ht="15" hidden="false" customHeight="false" outlineLevel="0" collapsed="false">
      <c r="B292" s="130" t="n">
        <v>2027</v>
      </c>
      <c r="C292" s="131" t="s">
        <v>246</v>
      </c>
      <c r="D292" s="132" t="n">
        <v>46485</v>
      </c>
      <c r="E292" s="131" t="s">
        <v>62</v>
      </c>
      <c r="F292" s="133" t="s">
        <v>24</v>
      </c>
      <c r="G292" s="134" t="n">
        <f aca="false">LEN('Saisie programme'!$G$48)+SUMIFS('Vols additionnels'!$E$7:$E$66,'Vols additionnels'!$C$7:$C$66,$E292,'Vols additionnels'!$D$7:$D$66,$F292,'Vols additionnels'!$B$7:$B$66,$D292)</f>
        <v>0</v>
      </c>
      <c r="H292" s="135" t="n">
        <f aca="false">$G292*'Analyse capacite'!$F$9</f>
        <v>0</v>
      </c>
      <c r="I292" s="135" t="n">
        <f aca="false">$G292*'Analyse capacite'!$C$9</f>
        <v>0</v>
      </c>
      <c r="J292" s="135" t="n">
        <f aca="false">$G292*'Analyse capacite'!$D$9</f>
        <v>0</v>
      </c>
      <c r="K292" s="135" t="n">
        <f aca="false">$G292*'Analyse capacite'!$E$9</f>
        <v>0</v>
      </c>
    </row>
    <row r="293" customFormat="false" ht="15" hidden="false" customHeight="false" outlineLevel="0" collapsed="false">
      <c r="B293" s="130" t="n">
        <v>2027</v>
      </c>
      <c r="C293" s="131" t="s">
        <v>246</v>
      </c>
      <c r="D293" s="132" t="n">
        <v>46486</v>
      </c>
      <c r="E293" s="131" t="s">
        <v>12</v>
      </c>
      <c r="F293" s="133" t="s">
        <v>11</v>
      </c>
      <c r="G293" s="134" t="n">
        <f aca="false">LEN('Saisie programme'!$H$13)+SUMIFS('Vols additionnels'!$E$7:$E$66,'Vols additionnels'!$C$7:$C$66,$E293,'Vols additionnels'!$D$7:$D$66,$F293,'Vols additionnels'!$B$7:$B$66,$D293)</f>
        <v>1</v>
      </c>
      <c r="H293" s="135" t="n">
        <f aca="false">$G293*'Analyse capacite'!$F$7</f>
        <v>438</v>
      </c>
      <c r="I293" s="135" t="n">
        <f aca="false">$G293*'Analyse capacite'!$C$7</f>
        <v>14</v>
      </c>
      <c r="J293" s="135" t="n">
        <f aca="false">$G293*'Analyse capacite'!$D$7</f>
        <v>40</v>
      </c>
      <c r="K293" s="135" t="n">
        <f aca="false">$G293*'Analyse capacite'!$E$7</f>
        <v>384</v>
      </c>
    </row>
    <row r="294" customFormat="false" ht="15" hidden="false" customHeight="false" outlineLevel="0" collapsed="false">
      <c r="B294" s="130" t="n">
        <v>2027</v>
      </c>
      <c r="C294" s="131" t="s">
        <v>246</v>
      </c>
      <c r="D294" s="132" t="n">
        <v>46486</v>
      </c>
      <c r="E294" s="131" t="s">
        <v>12</v>
      </c>
      <c r="F294" s="133" t="s">
        <v>19</v>
      </c>
      <c r="G294" s="134" t="n">
        <f aca="false">LEN('Saisie programme'!$H$14)+SUMIFS('Vols additionnels'!$E$7:$E$66,'Vols additionnels'!$C$7:$C$66,$E294,'Vols additionnels'!$D$7:$D$66,$F294,'Vols additionnels'!$B$7:$B$66,$D294)</f>
        <v>1</v>
      </c>
      <c r="H294" s="135" t="n">
        <f aca="false">$G294*'Analyse capacite'!$F$8</f>
        <v>262</v>
      </c>
      <c r="I294" s="135" t="n">
        <f aca="false">$G294*'Analyse capacite'!$C$8</f>
        <v>18</v>
      </c>
      <c r="J294" s="135" t="n">
        <f aca="false">$G294*'Analyse capacite'!$D$8</f>
        <v>0</v>
      </c>
      <c r="K294" s="135" t="n">
        <f aca="false">$G294*'Analyse capacite'!$E$8</f>
        <v>244</v>
      </c>
    </row>
    <row r="295" customFormat="false" ht="15" hidden="false" customHeight="false" outlineLevel="0" collapsed="false">
      <c r="B295" s="130" t="n">
        <v>2027</v>
      </c>
      <c r="C295" s="131" t="s">
        <v>246</v>
      </c>
      <c r="D295" s="132" t="n">
        <v>46486</v>
      </c>
      <c r="E295" s="131" t="s">
        <v>12</v>
      </c>
      <c r="F295" s="133" t="s">
        <v>24</v>
      </c>
      <c r="G295" s="134" t="n">
        <f aca="false">LEN('Saisie programme'!$H$15)+SUMIFS('Vols additionnels'!$E$7:$E$66,'Vols additionnels'!$C$7:$C$66,$E295,'Vols additionnels'!$D$7:$D$66,$F295,'Vols additionnels'!$B$7:$B$66,$D295)</f>
        <v>0</v>
      </c>
      <c r="H295" s="135" t="n">
        <f aca="false">$G295*'Analyse capacite'!$F$9</f>
        <v>0</v>
      </c>
      <c r="I295" s="135" t="n">
        <f aca="false">$G295*'Analyse capacite'!$C$9</f>
        <v>0</v>
      </c>
      <c r="J295" s="135" t="n">
        <f aca="false">$G295*'Analyse capacite'!$D$9</f>
        <v>0</v>
      </c>
      <c r="K295" s="135" t="n">
        <f aca="false">$G295*'Analyse capacite'!$E$9</f>
        <v>0</v>
      </c>
    </row>
    <row r="296" customFormat="false" ht="15" hidden="false" customHeight="false" outlineLevel="0" collapsed="false">
      <c r="B296" s="130" t="n">
        <v>2027</v>
      </c>
      <c r="C296" s="131" t="s">
        <v>246</v>
      </c>
      <c r="D296" s="132" t="n">
        <v>46486</v>
      </c>
      <c r="E296" s="131" t="s">
        <v>20</v>
      </c>
      <c r="F296" s="133" t="s">
        <v>11</v>
      </c>
      <c r="G296" s="134" t="n">
        <f aca="false">LEN('Saisie programme'!$H$16)+SUMIFS('Vols additionnels'!$E$7:$E$66,'Vols additionnels'!$C$7:$C$66,$E296,'Vols additionnels'!$D$7:$D$66,$F296,'Vols additionnels'!$B$7:$B$66,$D296)</f>
        <v>0</v>
      </c>
      <c r="H296" s="135" t="n">
        <f aca="false">$G296*'Analyse capacite'!$F$7</f>
        <v>0</v>
      </c>
      <c r="I296" s="135" t="n">
        <f aca="false">$G296*'Analyse capacite'!$C$7</f>
        <v>0</v>
      </c>
      <c r="J296" s="135" t="n">
        <f aca="false">$G296*'Analyse capacite'!$D$7</f>
        <v>0</v>
      </c>
      <c r="K296" s="135" t="n">
        <f aca="false">$G296*'Analyse capacite'!$E$7</f>
        <v>0</v>
      </c>
    </row>
    <row r="297" customFormat="false" ht="15" hidden="false" customHeight="false" outlineLevel="0" collapsed="false">
      <c r="B297" s="130" t="n">
        <v>2027</v>
      </c>
      <c r="C297" s="131" t="s">
        <v>246</v>
      </c>
      <c r="D297" s="132" t="n">
        <v>46486</v>
      </c>
      <c r="E297" s="131" t="s">
        <v>20</v>
      </c>
      <c r="F297" s="133" t="s">
        <v>19</v>
      </c>
      <c r="G297" s="134" t="n">
        <f aca="false">LEN('Saisie programme'!$H$17)+SUMIFS('Vols additionnels'!$E$7:$E$66,'Vols additionnels'!$C$7:$C$66,$E297,'Vols additionnels'!$D$7:$D$66,$F297,'Vols additionnels'!$B$7:$B$66,$D297)</f>
        <v>1</v>
      </c>
      <c r="H297" s="135" t="n">
        <f aca="false">$G297*'Analyse capacite'!$F$8</f>
        <v>262</v>
      </c>
      <c r="I297" s="135" t="n">
        <f aca="false">$G297*'Analyse capacite'!$C$8</f>
        <v>18</v>
      </c>
      <c r="J297" s="135" t="n">
        <f aca="false">$G297*'Analyse capacite'!$D$8</f>
        <v>0</v>
      </c>
      <c r="K297" s="135" t="n">
        <f aca="false">$G297*'Analyse capacite'!$E$8</f>
        <v>244</v>
      </c>
    </row>
    <row r="298" customFormat="false" ht="15" hidden="false" customHeight="false" outlineLevel="0" collapsed="false">
      <c r="B298" s="130" t="n">
        <v>2027</v>
      </c>
      <c r="C298" s="131" t="s">
        <v>246</v>
      </c>
      <c r="D298" s="132" t="n">
        <v>46486</v>
      </c>
      <c r="E298" s="131" t="s">
        <v>20</v>
      </c>
      <c r="F298" s="133" t="s">
        <v>24</v>
      </c>
      <c r="G298" s="134" t="n">
        <f aca="false">LEN('Saisie programme'!$H$18)+SUMIFS('Vols additionnels'!$E$7:$E$66,'Vols additionnels'!$C$7:$C$66,$E298,'Vols additionnels'!$D$7:$D$66,$F298,'Vols additionnels'!$B$7:$B$66,$D298)</f>
        <v>0</v>
      </c>
      <c r="H298" s="135" t="n">
        <f aca="false">$G298*'Analyse capacite'!$F$9</f>
        <v>0</v>
      </c>
      <c r="I298" s="135" t="n">
        <f aca="false">$G298*'Analyse capacite'!$C$9</f>
        <v>0</v>
      </c>
      <c r="J298" s="135" t="n">
        <f aca="false">$G298*'Analyse capacite'!$D$9</f>
        <v>0</v>
      </c>
      <c r="K298" s="135" t="n">
        <f aca="false">$G298*'Analyse capacite'!$E$9</f>
        <v>0</v>
      </c>
    </row>
    <row r="299" customFormat="false" ht="15" hidden="false" customHeight="false" outlineLevel="0" collapsed="false">
      <c r="B299" s="130" t="n">
        <v>2027</v>
      </c>
      <c r="C299" s="131" t="s">
        <v>246</v>
      </c>
      <c r="D299" s="132" t="n">
        <v>46486</v>
      </c>
      <c r="E299" s="131" t="s">
        <v>25</v>
      </c>
      <c r="F299" s="133" t="s">
        <v>11</v>
      </c>
      <c r="G299" s="134" t="n">
        <f aca="false">LEN('Saisie programme'!$H$19)+SUMIFS('Vols additionnels'!$E$7:$E$66,'Vols additionnels'!$C$7:$C$66,$E299,'Vols additionnels'!$D$7:$D$66,$F299,'Vols additionnels'!$B$7:$B$66,$D299)</f>
        <v>0</v>
      </c>
      <c r="H299" s="135" t="n">
        <f aca="false">$G299*'Analyse capacite'!$F$7</f>
        <v>0</v>
      </c>
      <c r="I299" s="135" t="n">
        <f aca="false">$G299*'Analyse capacite'!$C$7</f>
        <v>0</v>
      </c>
      <c r="J299" s="135" t="n">
        <f aca="false">$G299*'Analyse capacite'!$D$7</f>
        <v>0</v>
      </c>
      <c r="K299" s="135" t="n">
        <f aca="false">$G299*'Analyse capacite'!$E$7</f>
        <v>0</v>
      </c>
    </row>
    <row r="300" customFormat="false" ht="15" hidden="false" customHeight="false" outlineLevel="0" collapsed="false">
      <c r="B300" s="130" t="n">
        <v>2027</v>
      </c>
      <c r="C300" s="131" t="s">
        <v>246</v>
      </c>
      <c r="D300" s="132" t="n">
        <v>46486</v>
      </c>
      <c r="E300" s="131" t="s">
        <v>25</v>
      </c>
      <c r="F300" s="133" t="s">
        <v>19</v>
      </c>
      <c r="G300" s="134" t="n">
        <f aca="false">LEN('Saisie programme'!$H$20)+SUMIFS('Vols additionnels'!$E$7:$E$66,'Vols additionnels'!$C$7:$C$66,$E300,'Vols additionnels'!$D$7:$D$66,$F300,'Vols additionnels'!$B$7:$B$66,$D300)</f>
        <v>0</v>
      </c>
      <c r="H300" s="135" t="n">
        <f aca="false">$G300*'Analyse capacite'!$F$8</f>
        <v>0</v>
      </c>
      <c r="I300" s="135" t="n">
        <f aca="false">$G300*'Analyse capacite'!$C$8</f>
        <v>0</v>
      </c>
      <c r="J300" s="135" t="n">
        <f aca="false">$G300*'Analyse capacite'!$D$8</f>
        <v>0</v>
      </c>
      <c r="K300" s="135" t="n">
        <f aca="false">$G300*'Analyse capacite'!$E$8</f>
        <v>0</v>
      </c>
    </row>
    <row r="301" customFormat="false" ht="15" hidden="false" customHeight="false" outlineLevel="0" collapsed="false">
      <c r="B301" s="130" t="n">
        <v>2027</v>
      </c>
      <c r="C301" s="131" t="s">
        <v>246</v>
      </c>
      <c r="D301" s="132" t="n">
        <v>46486</v>
      </c>
      <c r="E301" s="131" t="s">
        <v>25</v>
      </c>
      <c r="F301" s="133" t="s">
        <v>24</v>
      </c>
      <c r="G301" s="134" t="n">
        <f aca="false">LEN('Saisie programme'!$H$21)+SUMIFS('Vols additionnels'!$E$7:$E$66,'Vols additionnels'!$C$7:$C$66,$E301,'Vols additionnels'!$D$7:$D$66,$F301,'Vols additionnels'!$B$7:$B$66,$D301)</f>
        <v>0</v>
      </c>
      <c r="H301" s="135" t="n">
        <f aca="false">$G301*'Analyse capacite'!$F$9</f>
        <v>0</v>
      </c>
      <c r="I301" s="135" t="n">
        <f aca="false">$G301*'Analyse capacite'!$C$9</f>
        <v>0</v>
      </c>
      <c r="J301" s="135" t="n">
        <f aca="false">$G301*'Analyse capacite'!$D$9</f>
        <v>0</v>
      </c>
      <c r="K301" s="135" t="n">
        <f aca="false">$G301*'Analyse capacite'!$E$9</f>
        <v>0</v>
      </c>
    </row>
    <row r="302" customFormat="false" ht="15" hidden="false" customHeight="false" outlineLevel="0" collapsed="false">
      <c r="B302" s="130" t="n">
        <v>2027</v>
      </c>
      <c r="C302" s="131" t="s">
        <v>246</v>
      </c>
      <c r="D302" s="132" t="n">
        <v>46486</v>
      </c>
      <c r="E302" s="131" t="s">
        <v>36</v>
      </c>
      <c r="F302" s="133" t="s">
        <v>11</v>
      </c>
      <c r="G302" s="134" t="n">
        <f aca="false">LEN('Saisie programme'!$H$22)+SUMIFS('Vols additionnels'!$E$7:$E$66,'Vols additionnels'!$C$7:$C$66,$E302,'Vols additionnels'!$D$7:$D$66,$F302,'Vols additionnels'!$B$7:$B$66,$D302)</f>
        <v>0</v>
      </c>
      <c r="H302" s="135" t="n">
        <f aca="false">$G302*'Analyse capacite'!$F$7</f>
        <v>0</v>
      </c>
      <c r="I302" s="135" t="n">
        <f aca="false">$G302*'Analyse capacite'!$C$7</f>
        <v>0</v>
      </c>
      <c r="J302" s="135" t="n">
        <f aca="false">$G302*'Analyse capacite'!$D$7</f>
        <v>0</v>
      </c>
      <c r="K302" s="135" t="n">
        <f aca="false">$G302*'Analyse capacite'!$E$7</f>
        <v>0</v>
      </c>
    </row>
    <row r="303" customFormat="false" ht="15" hidden="false" customHeight="false" outlineLevel="0" collapsed="false">
      <c r="B303" s="130" t="n">
        <v>2027</v>
      </c>
      <c r="C303" s="131" t="s">
        <v>246</v>
      </c>
      <c r="D303" s="132" t="n">
        <v>46486</v>
      </c>
      <c r="E303" s="131" t="s">
        <v>36</v>
      </c>
      <c r="F303" s="133" t="s">
        <v>19</v>
      </c>
      <c r="G303" s="134" t="n">
        <f aca="false">LEN('Saisie programme'!$H$23)+SUMIFS('Vols additionnels'!$E$7:$E$66,'Vols additionnels'!$C$7:$C$66,$E303,'Vols additionnels'!$D$7:$D$66,$F303,'Vols additionnels'!$B$7:$B$66,$D303)</f>
        <v>0</v>
      </c>
      <c r="H303" s="135" t="n">
        <f aca="false">$G303*'Analyse capacite'!$F$8</f>
        <v>0</v>
      </c>
      <c r="I303" s="135" t="n">
        <f aca="false">$G303*'Analyse capacite'!$C$8</f>
        <v>0</v>
      </c>
      <c r="J303" s="135" t="n">
        <f aca="false">$G303*'Analyse capacite'!$D$8</f>
        <v>0</v>
      </c>
      <c r="K303" s="135" t="n">
        <f aca="false">$G303*'Analyse capacite'!$E$8</f>
        <v>0</v>
      </c>
    </row>
    <row r="304" customFormat="false" ht="15" hidden="false" customHeight="false" outlineLevel="0" collapsed="false">
      <c r="B304" s="130" t="n">
        <v>2027</v>
      </c>
      <c r="C304" s="131" t="s">
        <v>246</v>
      </c>
      <c r="D304" s="132" t="n">
        <v>46486</v>
      </c>
      <c r="E304" s="131" t="s">
        <v>36</v>
      </c>
      <c r="F304" s="133" t="s">
        <v>24</v>
      </c>
      <c r="G304" s="134" t="n">
        <f aca="false">LEN('Saisie programme'!$H$24)+SUMIFS('Vols additionnels'!$E$7:$E$66,'Vols additionnels'!$C$7:$C$66,$E304,'Vols additionnels'!$D$7:$D$66,$F304,'Vols additionnels'!$B$7:$B$66,$D304)</f>
        <v>1</v>
      </c>
      <c r="H304" s="135" t="n">
        <f aca="false">$G304*'Analyse capacite'!$F$9</f>
        <v>174</v>
      </c>
      <c r="I304" s="135" t="n">
        <f aca="false">$G304*'Analyse capacite'!$C$9</f>
        <v>0</v>
      </c>
      <c r="J304" s="135" t="n">
        <f aca="false">$G304*'Analyse capacite'!$D$9</f>
        <v>12</v>
      </c>
      <c r="K304" s="135" t="n">
        <f aca="false">$G304*'Analyse capacite'!$E$9</f>
        <v>162</v>
      </c>
    </row>
    <row r="305" customFormat="false" ht="15" hidden="false" customHeight="false" outlineLevel="0" collapsed="false">
      <c r="B305" s="130" t="n">
        <v>2027</v>
      </c>
      <c r="C305" s="131" t="s">
        <v>246</v>
      </c>
      <c r="D305" s="132" t="n">
        <v>46486</v>
      </c>
      <c r="E305" s="131" t="s">
        <v>40</v>
      </c>
      <c r="F305" s="133" t="s">
        <v>11</v>
      </c>
      <c r="G305" s="134" t="n">
        <f aca="false">LEN('Saisie programme'!$H$25)+SUMIFS('Vols additionnels'!$E$7:$E$66,'Vols additionnels'!$C$7:$C$66,$E305,'Vols additionnels'!$D$7:$D$66,$F305,'Vols additionnels'!$B$7:$B$66,$D305)</f>
        <v>0</v>
      </c>
      <c r="H305" s="135" t="n">
        <f aca="false">$G305*'Analyse capacite'!$F$7</f>
        <v>0</v>
      </c>
      <c r="I305" s="135" t="n">
        <f aca="false">$G305*'Analyse capacite'!$C$7</f>
        <v>0</v>
      </c>
      <c r="J305" s="135" t="n">
        <f aca="false">$G305*'Analyse capacite'!$D$7</f>
        <v>0</v>
      </c>
      <c r="K305" s="135" t="n">
        <f aca="false">$G305*'Analyse capacite'!$E$7</f>
        <v>0</v>
      </c>
    </row>
    <row r="306" customFormat="false" ht="15" hidden="false" customHeight="false" outlineLevel="0" collapsed="false">
      <c r="B306" s="130" t="n">
        <v>2027</v>
      </c>
      <c r="C306" s="131" t="s">
        <v>246</v>
      </c>
      <c r="D306" s="132" t="n">
        <v>46486</v>
      </c>
      <c r="E306" s="131" t="s">
        <v>40</v>
      </c>
      <c r="F306" s="133" t="s">
        <v>19</v>
      </c>
      <c r="G306" s="134" t="n">
        <f aca="false">LEN('Saisie programme'!$H$26)+SUMIFS('Vols additionnels'!$E$7:$E$66,'Vols additionnels'!$C$7:$C$66,$E306,'Vols additionnels'!$D$7:$D$66,$F306,'Vols additionnels'!$B$7:$B$66,$D306)</f>
        <v>0</v>
      </c>
      <c r="H306" s="135" t="n">
        <f aca="false">$G306*'Analyse capacite'!$F$8</f>
        <v>0</v>
      </c>
      <c r="I306" s="135" t="n">
        <f aca="false">$G306*'Analyse capacite'!$C$8</f>
        <v>0</v>
      </c>
      <c r="J306" s="135" t="n">
        <f aca="false">$G306*'Analyse capacite'!$D$8</f>
        <v>0</v>
      </c>
      <c r="K306" s="135" t="n">
        <f aca="false">$G306*'Analyse capacite'!$E$8</f>
        <v>0</v>
      </c>
    </row>
    <row r="307" customFormat="false" ht="15" hidden="false" customHeight="false" outlineLevel="0" collapsed="false">
      <c r="B307" s="130" t="n">
        <v>2027</v>
      </c>
      <c r="C307" s="131" t="s">
        <v>246</v>
      </c>
      <c r="D307" s="132" t="n">
        <v>46486</v>
      </c>
      <c r="E307" s="131" t="s">
        <v>40</v>
      </c>
      <c r="F307" s="133" t="s">
        <v>24</v>
      </c>
      <c r="G307" s="134" t="n">
        <f aca="false">LEN('Saisie programme'!$H$27)+SUMIFS('Vols additionnels'!$E$7:$E$66,'Vols additionnels'!$C$7:$C$66,$E307,'Vols additionnels'!$D$7:$D$66,$F307,'Vols additionnels'!$B$7:$B$66,$D307)</f>
        <v>1</v>
      </c>
      <c r="H307" s="135" t="n">
        <f aca="false">$G307*'Analyse capacite'!$F$9</f>
        <v>174</v>
      </c>
      <c r="I307" s="135" t="n">
        <f aca="false">$G307*'Analyse capacite'!$C$9</f>
        <v>0</v>
      </c>
      <c r="J307" s="135" t="n">
        <f aca="false">$G307*'Analyse capacite'!$D$9</f>
        <v>12</v>
      </c>
      <c r="K307" s="135" t="n">
        <f aca="false">$G307*'Analyse capacite'!$E$9</f>
        <v>162</v>
      </c>
    </row>
    <row r="308" customFormat="false" ht="15" hidden="false" customHeight="false" outlineLevel="0" collapsed="false">
      <c r="B308" s="130" t="n">
        <v>2027</v>
      </c>
      <c r="C308" s="131" t="s">
        <v>246</v>
      </c>
      <c r="D308" s="132" t="n">
        <v>46486</v>
      </c>
      <c r="E308" s="131" t="s">
        <v>14</v>
      </c>
      <c r="F308" s="133" t="s">
        <v>11</v>
      </c>
      <c r="G308" s="134" t="n">
        <f aca="false">LEN('Saisie programme'!$H$28)+SUMIFS('Vols additionnels'!$E$7:$E$66,'Vols additionnels'!$C$7:$C$66,$E308,'Vols additionnels'!$D$7:$D$66,$F308,'Vols additionnels'!$B$7:$B$66,$D308)</f>
        <v>0</v>
      </c>
      <c r="H308" s="135" t="n">
        <f aca="false">$G308*'Analyse capacite'!$F$7</f>
        <v>0</v>
      </c>
      <c r="I308" s="135" t="n">
        <f aca="false">$G308*'Analyse capacite'!$C$7</f>
        <v>0</v>
      </c>
      <c r="J308" s="135" t="n">
        <f aca="false">$G308*'Analyse capacite'!$D$7</f>
        <v>0</v>
      </c>
      <c r="K308" s="135" t="n">
        <f aca="false">$G308*'Analyse capacite'!$E$7</f>
        <v>0</v>
      </c>
    </row>
    <row r="309" customFormat="false" ht="15" hidden="false" customHeight="false" outlineLevel="0" collapsed="false">
      <c r="B309" s="130" t="n">
        <v>2027</v>
      </c>
      <c r="C309" s="131" t="s">
        <v>246</v>
      </c>
      <c r="D309" s="132" t="n">
        <v>46486</v>
      </c>
      <c r="E309" s="131" t="s">
        <v>14</v>
      </c>
      <c r="F309" s="133" t="s">
        <v>19</v>
      </c>
      <c r="G309" s="134" t="n">
        <f aca="false">LEN('Saisie programme'!$H$29)+SUMIFS('Vols additionnels'!$E$7:$E$66,'Vols additionnels'!$C$7:$C$66,$E309,'Vols additionnels'!$D$7:$D$66,$F309,'Vols additionnels'!$B$7:$B$66,$D309)</f>
        <v>0</v>
      </c>
      <c r="H309" s="135" t="n">
        <f aca="false">$G309*'Analyse capacite'!$F$8</f>
        <v>0</v>
      </c>
      <c r="I309" s="135" t="n">
        <f aca="false">$G309*'Analyse capacite'!$C$8</f>
        <v>0</v>
      </c>
      <c r="J309" s="135" t="n">
        <f aca="false">$G309*'Analyse capacite'!$D$8</f>
        <v>0</v>
      </c>
      <c r="K309" s="135" t="n">
        <f aca="false">$G309*'Analyse capacite'!$E$8</f>
        <v>0</v>
      </c>
    </row>
    <row r="310" customFormat="false" ht="15" hidden="false" customHeight="false" outlineLevel="0" collapsed="false">
      <c r="B310" s="130" t="n">
        <v>2027</v>
      </c>
      <c r="C310" s="131" t="s">
        <v>246</v>
      </c>
      <c r="D310" s="132" t="n">
        <v>46486</v>
      </c>
      <c r="E310" s="131" t="s">
        <v>14</v>
      </c>
      <c r="F310" s="133" t="s">
        <v>24</v>
      </c>
      <c r="G310" s="134" t="n">
        <f aca="false">LEN('Saisie programme'!$H$30)+SUMIFS('Vols additionnels'!$E$7:$E$66,'Vols additionnels'!$C$7:$C$66,$E310,'Vols additionnels'!$D$7:$D$66,$F310,'Vols additionnels'!$B$7:$B$66,$D310)</f>
        <v>0</v>
      </c>
      <c r="H310" s="135" t="n">
        <f aca="false">$G310*'Analyse capacite'!$F$9</f>
        <v>0</v>
      </c>
      <c r="I310" s="135" t="n">
        <f aca="false">$G310*'Analyse capacite'!$C$9</f>
        <v>0</v>
      </c>
      <c r="J310" s="135" t="n">
        <f aca="false">$G310*'Analyse capacite'!$D$9</f>
        <v>0</v>
      </c>
      <c r="K310" s="135" t="n">
        <f aca="false">$G310*'Analyse capacite'!$E$9</f>
        <v>0</v>
      </c>
    </row>
    <row r="311" customFormat="false" ht="15" hidden="false" customHeight="false" outlineLevel="0" collapsed="false">
      <c r="B311" s="130" t="n">
        <v>2027</v>
      </c>
      <c r="C311" s="131" t="s">
        <v>246</v>
      </c>
      <c r="D311" s="132" t="n">
        <v>46486</v>
      </c>
      <c r="E311" s="131" t="s">
        <v>46</v>
      </c>
      <c r="F311" s="133" t="s">
        <v>11</v>
      </c>
      <c r="G311" s="134" t="n">
        <f aca="false">LEN('Saisie programme'!$H$31)+SUMIFS('Vols additionnels'!$E$7:$E$66,'Vols additionnels'!$C$7:$C$66,$E311,'Vols additionnels'!$D$7:$D$66,$F311,'Vols additionnels'!$B$7:$B$66,$D311)</f>
        <v>0</v>
      </c>
      <c r="H311" s="135" t="n">
        <f aca="false">$G311*'Analyse capacite'!$F$7</f>
        <v>0</v>
      </c>
      <c r="I311" s="135" t="n">
        <f aca="false">$G311*'Analyse capacite'!$C$7</f>
        <v>0</v>
      </c>
      <c r="J311" s="135" t="n">
        <f aca="false">$G311*'Analyse capacite'!$D$7</f>
        <v>0</v>
      </c>
      <c r="K311" s="135" t="n">
        <f aca="false">$G311*'Analyse capacite'!$E$7</f>
        <v>0</v>
      </c>
    </row>
    <row r="312" customFormat="false" ht="15" hidden="false" customHeight="false" outlineLevel="0" collapsed="false">
      <c r="B312" s="130" t="n">
        <v>2027</v>
      </c>
      <c r="C312" s="131" t="s">
        <v>246</v>
      </c>
      <c r="D312" s="132" t="n">
        <v>46486</v>
      </c>
      <c r="E312" s="131" t="s">
        <v>46</v>
      </c>
      <c r="F312" s="133" t="s">
        <v>19</v>
      </c>
      <c r="G312" s="134" t="n">
        <f aca="false">LEN('Saisie programme'!$H$32)+SUMIFS('Vols additionnels'!$E$7:$E$66,'Vols additionnels'!$C$7:$C$66,$E312,'Vols additionnels'!$D$7:$D$66,$F312,'Vols additionnels'!$B$7:$B$66,$D312)</f>
        <v>0</v>
      </c>
      <c r="H312" s="135" t="n">
        <f aca="false">$G312*'Analyse capacite'!$F$8</f>
        <v>0</v>
      </c>
      <c r="I312" s="135" t="n">
        <f aca="false">$G312*'Analyse capacite'!$C$8</f>
        <v>0</v>
      </c>
      <c r="J312" s="135" t="n">
        <f aca="false">$G312*'Analyse capacite'!$D$8</f>
        <v>0</v>
      </c>
      <c r="K312" s="135" t="n">
        <f aca="false">$G312*'Analyse capacite'!$E$8</f>
        <v>0</v>
      </c>
    </row>
    <row r="313" customFormat="false" ht="15" hidden="false" customHeight="false" outlineLevel="0" collapsed="false">
      <c r="B313" s="130" t="n">
        <v>2027</v>
      </c>
      <c r="C313" s="131" t="s">
        <v>246</v>
      </c>
      <c r="D313" s="132" t="n">
        <v>46486</v>
      </c>
      <c r="E313" s="131" t="s">
        <v>46</v>
      </c>
      <c r="F313" s="133" t="s">
        <v>24</v>
      </c>
      <c r="G313" s="134" t="n">
        <f aca="false">LEN('Saisie programme'!$H$33)+SUMIFS('Vols additionnels'!$E$7:$E$66,'Vols additionnels'!$C$7:$C$66,$E313,'Vols additionnels'!$D$7:$D$66,$F313,'Vols additionnels'!$B$7:$B$66,$D313)</f>
        <v>0</v>
      </c>
      <c r="H313" s="135" t="n">
        <f aca="false">$G313*'Analyse capacite'!$F$9</f>
        <v>0</v>
      </c>
      <c r="I313" s="135" t="n">
        <f aca="false">$G313*'Analyse capacite'!$C$9</f>
        <v>0</v>
      </c>
      <c r="J313" s="135" t="n">
        <f aca="false">$G313*'Analyse capacite'!$D$9</f>
        <v>0</v>
      </c>
      <c r="K313" s="135" t="n">
        <f aca="false">$G313*'Analyse capacite'!$E$9</f>
        <v>0</v>
      </c>
    </row>
    <row r="314" customFormat="false" ht="15" hidden="false" customHeight="false" outlineLevel="0" collapsed="false">
      <c r="B314" s="130" t="n">
        <v>2027</v>
      </c>
      <c r="C314" s="131" t="s">
        <v>246</v>
      </c>
      <c r="D314" s="132" t="n">
        <v>46486</v>
      </c>
      <c r="E314" s="131" t="s">
        <v>49</v>
      </c>
      <c r="F314" s="133" t="s">
        <v>11</v>
      </c>
      <c r="G314" s="134" t="n">
        <f aca="false">LEN('Saisie programme'!$H$34)+SUMIFS('Vols additionnels'!$E$7:$E$66,'Vols additionnels'!$C$7:$C$66,$E314,'Vols additionnels'!$D$7:$D$66,$F314,'Vols additionnels'!$B$7:$B$66,$D314)</f>
        <v>0</v>
      </c>
      <c r="H314" s="135" t="n">
        <f aca="false">$G314*'Analyse capacite'!$F$7</f>
        <v>0</v>
      </c>
      <c r="I314" s="135" t="n">
        <f aca="false">$G314*'Analyse capacite'!$C$7</f>
        <v>0</v>
      </c>
      <c r="J314" s="135" t="n">
        <f aca="false">$G314*'Analyse capacite'!$D$7</f>
        <v>0</v>
      </c>
      <c r="K314" s="135" t="n">
        <f aca="false">$G314*'Analyse capacite'!$E$7</f>
        <v>0</v>
      </c>
    </row>
    <row r="315" customFormat="false" ht="15" hidden="false" customHeight="false" outlineLevel="0" collapsed="false">
      <c r="B315" s="130" t="n">
        <v>2027</v>
      </c>
      <c r="C315" s="131" t="s">
        <v>246</v>
      </c>
      <c r="D315" s="132" t="n">
        <v>46486</v>
      </c>
      <c r="E315" s="131" t="s">
        <v>49</v>
      </c>
      <c r="F315" s="133" t="s">
        <v>19</v>
      </c>
      <c r="G315" s="134" t="n">
        <f aca="false">LEN('Saisie programme'!$H$35)+SUMIFS('Vols additionnels'!$E$7:$E$66,'Vols additionnels'!$C$7:$C$66,$E315,'Vols additionnels'!$D$7:$D$66,$F315,'Vols additionnels'!$B$7:$B$66,$D315)</f>
        <v>1</v>
      </c>
      <c r="H315" s="135" t="n">
        <f aca="false">$G315*'Analyse capacite'!$F$8</f>
        <v>262</v>
      </c>
      <c r="I315" s="135" t="n">
        <f aca="false">$G315*'Analyse capacite'!$C$8</f>
        <v>18</v>
      </c>
      <c r="J315" s="135" t="n">
        <f aca="false">$G315*'Analyse capacite'!$D$8</f>
        <v>0</v>
      </c>
      <c r="K315" s="135" t="n">
        <f aca="false">$G315*'Analyse capacite'!$E$8</f>
        <v>244</v>
      </c>
    </row>
    <row r="316" customFormat="false" ht="15" hidden="false" customHeight="false" outlineLevel="0" collapsed="false">
      <c r="B316" s="130" t="n">
        <v>2027</v>
      </c>
      <c r="C316" s="131" t="s">
        <v>246</v>
      </c>
      <c r="D316" s="132" t="n">
        <v>46486</v>
      </c>
      <c r="E316" s="131" t="s">
        <v>49</v>
      </c>
      <c r="F316" s="133" t="s">
        <v>24</v>
      </c>
      <c r="G316" s="134" t="n">
        <f aca="false">LEN('Saisie programme'!$H$36)+SUMIFS('Vols additionnels'!$E$7:$E$66,'Vols additionnels'!$C$7:$C$66,$E316,'Vols additionnels'!$D$7:$D$66,$F316,'Vols additionnels'!$B$7:$B$66,$D316)</f>
        <v>0</v>
      </c>
      <c r="H316" s="135" t="n">
        <f aca="false">$G316*'Analyse capacite'!$F$9</f>
        <v>0</v>
      </c>
      <c r="I316" s="135" t="n">
        <f aca="false">$G316*'Analyse capacite'!$C$9</f>
        <v>0</v>
      </c>
      <c r="J316" s="135" t="n">
        <f aca="false">$G316*'Analyse capacite'!$D$9</f>
        <v>0</v>
      </c>
      <c r="K316" s="135" t="n">
        <f aca="false">$G316*'Analyse capacite'!$E$9</f>
        <v>0</v>
      </c>
    </row>
    <row r="317" customFormat="false" ht="15" hidden="false" customHeight="false" outlineLevel="0" collapsed="false">
      <c r="B317" s="130" t="n">
        <v>2027</v>
      </c>
      <c r="C317" s="131" t="s">
        <v>246</v>
      </c>
      <c r="D317" s="132" t="n">
        <v>46486</v>
      </c>
      <c r="E317" s="131" t="s">
        <v>53</v>
      </c>
      <c r="F317" s="133" t="s">
        <v>11</v>
      </c>
      <c r="G317" s="134" t="n">
        <f aca="false">LEN('Saisie programme'!$H$37)+SUMIFS('Vols additionnels'!$E$7:$E$66,'Vols additionnels'!$C$7:$C$66,$E317,'Vols additionnels'!$D$7:$D$66,$F317,'Vols additionnels'!$B$7:$B$66,$D317)</f>
        <v>0</v>
      </c>
      <c r="H317" s="135" t="n">
        <f aca="false">$G317*'Analyse capacite'!$F$7</f>
        <v>0</v>
      </c>
      <c r="I317" s="135" t="n">
        <f aca="false">$G317*'Analyse capacite'!$C$7</f>
        <v>0</v>
      </c>
      <c r="J317" s="135" t="n">
        <f aca="false">$G317*'Analyse capacite'!$D$7</f>
        <v>0</v>
      </c>
      <c r="K317" s="135" t="n">
        <f aca="false">$G317*'Analyse capacite'!$E$7</f>
        <v>0</v>
      </c>
    </row>
    <row r="318" customFormat="false" ht="15" hidden="false" customHeight="false" outlineLevel="0" collapsed="false">
      <c r="B318" s="130" t="n">
        <v>2027</v>
      </c>
      <c r="C318" s="131" t="s">
        <v>246</v>
      </c>
      <c r="D318" s="132" t="n">
        <v>46486</v>
      </c>
      <c r="E318" s="131" t="s">
        <v>53</v>
      </c>
      <c r="F318" s="133" t="s">
        <v>19</v>
      </c>
      <c r="G318" s="134" t="n">
        <f aca="false">LEN('Saisie programme'!$H$38)+SUMIFS('Vols additionnels'!$E$7:$E$66,'Vols additionnels'!$C$7:$C$66,$E318,'Vols additionnels'!$D$7:$D$66,$F318,'Vols additionnels'!$B$7:$B$66,$D318)</f>
        <v>0</v>
      </c>
      <c r="H318" s="135" t="n">
        <f aca="false">$G318*'Analyse capacite'!$F$8</f>
        <v>0</v>
      </c>
      <c r="I318" s="135" t="n">
        <f aca="false">$G318*'Analyse capacite'!$C$8</f>
        <v>0</v>
      </c>
      <c r="J318" s="135" t="n">
        <f aca="false">$G318*'Analyse capacite'!$D$8</f>
        <v>0</v>
      </c>
      <c r="K318" s="135" t="n">
        <f aca="false">$G318*'Analyse capacite'!$E$8</f>
        <v>0</v>
      </c>
    </row>
    <row r="319" customFormat="false" ht="15" hidden="false" customHeight="false" outlineLevel="0" collapsed="false">
      <c r="B319" s="130" t="n">
        <v>2027</v>
      </c>
      <c r="C319" s="131" t="s">
        <v>246</v>
      </c>
      <c r="D319" s="132" t="n">
        <v>46486</v>
      </c>
      <c r="E319" s="131" t="s">
        <v>53</v>
      </c>
      <c r="F319" s="133" t="s">
        <v>24</v>
      </c>
      <c r="G319" s="134" t="n">
        <f aca="false">LEN('Saisie programme'!$H$39)+SUMIFS('Vols additionnels'!$E$7:$E$66,'Vols additionnels'!$C$7:$C$66,$E319,'Vols additionnels'!$D$7:$D$66,$F319,'Vols additionnels'!$B$7:$B$66,$D319)</f>
        <v>0</v>
      </c>
      <c r="H319" s="135" t="n">
        <f aca="false">$G319*'Analyse capacite'!$F$9</f>
        <v>0</v>
      </c>
      <c r="I319" s="135" t="n">
        <f aca="false">$G319*'Analyse capacite'!$C$9</f>
        <v>0</v>
      </c>
      <c r="J319" s="135" t="n">
        <f aca="false">$G319*'Analyse capacite'!$D$9</f>
        <v>0</v>
      </c>
      <c r="K319" s="135" t="n">
        <f aca="false">$G319*'Analyse capacite'!$E$9</f>
        <v>0</v>
      </c>
    </row>
    <row r="320" customFormat="false" ht="15" hidden="false" customHeight="false" outlineLevel="0" collapsed="false">
      <c r="B320" s="130" t="n">
        <v>2027</v>
      </c>
      <c r="C320" s="131" t="s">
        <v>246</v>
      </c>
      <c r="D320" s="132" t="n">
        <v>46486</v>
      </c>
      <c r="E320" s="131" t="s">
        <v>56</v>
      </c>
      <c r="F320" s="133" t="s">
        <v>11</v>
      </c>
      <c r="G320" s="134" t="n">
        <f aca="false">LEN('Saisie programme'!$H$40)+SUMIFS('Vols additionnels'!$E$7:$E$66,'Vols additionnels'!$C$7:$C$66,$E320,'Vols additionnels'!$D$7:$D$66,$F320,'Vols additionnels'!$B$7:$B$66,$D320)</f>
        <v>0</v>
      </c>
      <c r="H320" s="135" t="n">
        <f aca="false">$G320*'Analyse capacite'!$F$7</f>
        <v>0</v>
      </c>
      <c r="I320" s="135" t="n">
        <f aca="false">$G320*'Analyse capacite'!$C$7</f>
        <v>0</v>
      </c>
      <c r="J320" s="135" t="n">
        <f aca="false">$G320*'Analyse capacite'!$D$7</f>
        <v>0</v>
      </c>
      <c r="K320" s="135" t="n">
        <f aca="false">$G320*'Analyse capacite'!$E$7</f>
        <v>0</v>
      </c>
    </row>
    <row r="321" customFormat="false" ht="15" hidden="false" customHeight="false" outlineLevel="0" collapsed="false">
      <c r="B321" s="130" t="n">
        <v>2027</v>
      </c>
      <c r="C321" s="131" t="s">
        <v>246</v>
      </c>
      <c r="D321" s="132" t="n">
        <v>46486</v>
      </c>
      <c r="E321" s="131" t="s">
        <v>56</v>
      </c>
      <c r="F321" s="133" t="s">
        <v>19</v>
      </c>
      <c r="G321" s="134" t="n">
        <f aca="false">LEN('Saisie programme'!$H$41)+SUMIFS('Vols additionnels'!$E$7:$E$66,'Vols additionnels'!$C$7:$C$66,$E321,'Vols additionnels'!$D$7:$D$66,$F321,'Vols additionnels'!$B$7:$B$66,$D321)</f>
        <v>0</v>
      </c>
      <c r="H321" s="135" t="n">
        <f aca="false">$G321*'Analyse capacite'!$F$8</f>
        <v>0</v>
      </c>
      <c r="I321" s="135" t="n">
        <f aca="false">$G321*'Analyse capacite'!$C$8</f>
        <v>0</v>
      </c>
      <c r="J321" s="135" t="n">
        <f aca="false">$G321*'Analyse capacite'!$D$8</f>
        <v>0</v>
      </c>
      <c r="K321" s="135" t="n">
        <f aca="false">$G321*'Analyse capacite'!$E$8</f>
        <v>0</v>
      </c>
    </row>
    <row r="322" customFormat="false" ht="15" hidden="false" customHeight="false" outlineLevel="0" collapsed="false">
      <c r="B322" s="130" t="n">
        <v>2027</v>
      </c>
      <c r="C322" s="131" t="s">
        <v>246</v>
      </c>
      <c r="D322" s="132" t="n">
        <v>46486</v>
      </c>
      <c r="E322" s="131" t="s">
        <v>56</v>
      </c>
      <c r="F322" s="133" t="s">
        <v>24</v>
      </c>
      <c r="G322" s="134" t="n">
        <f aca="false">LEN('Saisie programme'!$H$42)+SUMIFS('Vols additionnels'!$E$7:$E$66,'Vols additionnels'!$C$7:$C$66,$E322,'Vols additionnels'!$D$7:$D$66,$F322,'Vols additionnels'!$B$7:$B$66,$D322)</f>
        <v>0</v>
      </c>
      <c r="H322" s="135" t="n">
        <f aca="false">$G322*'Analyse capacite'!$F$9</f>
        <v>0</v>
      </c>
      <c r="I322" s="135" t="n">
        <f aca="false">$G322*'Analyse capacite'!$C$9</f>
        <v>0</v>
      </c>
      <c r="J322" s="135" t="n">
        <f aca="false">$G322*'Analyse capacite'!$D$9</f>
        <v>0</v>
      </c>
      <c r="K322" s="135" t="n">
        <f aca="false">$G322*'Analyse capacite'!$E$9</f>
        <v>0</v>
      </c>
    </row>
    <row r="323" customFormat="false" ht="15" hidden="false" customHeight="false" outlineLevel="0" collapsed="false">
      <c r="B323" s="130" t="n">
        <v>2027</v>
      </c>
      <c r="C323" s="131" t="s">
        <v>246</v>
      </c>
      <c r="D323" s="132" t="n">
        <v>46486</v>
      </c>
      <c r="E323" s="131" t="s">
        <v>59</v>
      </c>
      <c r="F323" s="133" t="s">
        <v>11</v>
      </c>
      <c r="G323" s="134" t="n">
        <f aca="false">LEN('Saisie programme'!$H$43)+SUMIFS('Vols additionnels'!$E$7:$E$66,'Vols additionnels'!$C$7:$C$66,$E323,'Vols additionnels'!$D$7:$D$66,$F323,'Vols additionnels'!$B$7:$B$66,$D323)</f>
        <v>0</v>
      </c>
      <c r="H323" s="135" t="n">
        <f aca="false">$G323*'Analyse capacite'!$F$7</f>
        <v>0</v>
      </c>
      <c r="I323" s="135" t="n">
        <f aca="false">$G323*'Analyse capacite'!$C$7</f>
        <v>0</v>
      </c>
      <c r="J323" s="135" t="n">
        <f aca="false">$G323*'Analyse capacite'!$D$7</f>
        <v>0</v>
      </c>
      <c r="K323" s="135" t="n">
        <f aca="false">$G323*'Analyse capacite'!$E$7</f>
        <v>0</v>
      </c>
    </row>
    <row r="324" customFormat="false" ht="15" hidden="false" customHeight="false" outlineLevel="0" collapsed="false">
      <c r="B324" s="130" t="n">
        <v>2027</v>
      </c>
      <c r="C324" s="131" t="s">
        <v>246</v>
      </c>
      <c r="D324" s="132" t="n">
        <v>46486</v>
      </c>
      <c r="E324" s="131" t="s">
        <v>59</v>
      </c>
      <c r="F324" s="133" t="s">
        <v>19</v>
      </c>
      <c r="G324" s="134" t="n">
        <f aca="false">LEN('Saisie programme'!$H$44)+SUMIFS('Vols additionnels'!$E$7:$E$66,'Vols additionnels'!$C$7:$C$66,$E324,'Vols additionnels'!$D$7:$D$66,$F324,'Vols additionnels'!$B$7:$B$66,$D324)</f>
        <v>0</v>
      </c>
      <c r="H324" s="135" t="n">
        <f aca="false">$G324*'Analyse capacite'!$F$8</f>
        <v>0</v>
      </c>
      <c r="I324" s="135" t="n">
        <f aca="false">$G324*'Analyse capacite'!$C$8</f>
        <v>0</v>
      </c>
      <c r="J324" s="135" t="n">
        <f aca="false">$G324*'Analyse capacite'!$D$8</f>
        <v>0</v>
      </c>
      <c r="K324" s="135" t="n">
        <f aca="false">$G324*'Analyse capacite'!$E$8</f>
        <v>0</v>
      </c>
    </row>
    <row r="325" customFormat="false" ht="15" hidden="false" customHeight="false" outlineLevel="0" collapsed="false">
      <c r="B325" s="130" t="n">
        <v>2027</v>
      </c>
      <c r="C325" s="131" t="s">
        <v>246</v>
      </c>
      <c r="D325" s="132" t="n">
        <v>46486</v>
      </c>
      <c r="E325" s="131" t="s">
        <v>59</v>
      </c>
      <c r="F325" s="133" t="s">
        <v>24</v>
      </c>
      <c r="G325" s="134" t="n">
        <f aca="false">LEN('Saisie programme'!$H$45)+SUMIFS('Vols additionnels'!$E$7:$E$66,'Vols additionnels'!$C$7:$C$66,$E325,'Vols additionnels'!$D$7:$D$66,$F325,'Vols additionnels'!$B$7:$B$66,$D325)</f>
        <v>1</v>
      </c>
      <c r="H325" s="135" t="n">
        <f aca="false">$G325*'Analyse capacite'!$F$9</f>
        <v>174</v>
      </c>
      <c r="I325" s="135" t="n">
        <f aca="false">$G325*'Analyse capacite'!$C$9</f>
        <v>0</v>
      </c>
      <c r="J325" s="135" t="n">
        <f aca="false">$G325*'Analyse capacite'!$D$9</f>
        <v>12</v>
      </c>
      <c r="K325" s="135" t="n">
        <f aca="false">$G325*'Analyse capacite'!$E$9</f>
        <v>162</v>
      </c>
    </row>
    <row r="326" customFormat="false" ht="15" hidden="false" customHeight="false" outlineLevel="0" collapsed="false">
      <c r="B326" s="130" t="n">
        <v>2027</v>
      </c>
      <c r="C326" s="131" t="s">
        <v>246</v>
      </c>
      <c r="D326" s="132" t="n">
        <v>46486</v>
      </c>
      <c r="E326" s="131" t="s">
        <v>62</v>
      </c>
      <c r="F326" s="133" t="s">
        <v>11</v>
      </c>
      <c r="G326" s="134" t="n">
        <f aca="false">LEN('Saisie programme'!$H$46)+SUMIFS('Vols additionnels'!$E$7:$E$66,'Vols additionnels'!$C$7:$C$66,$E326,'Vols additionnels'!$D$7:$D$66,$F326,'Vols additionnels'!$B$7:$B$66,$D326)</f>
        <v>0</v>
      </c>
      <c r="H326" s="135" t="n">
        <f aca="false">$G326*'Analyse capacite'!$F$7</f>
        <v>0</v>
      </c>
      <c r="I326" s="135" t="n">
        <f aca="false">$G326*'Analyse capacite'!$C$7</f>
        <v>0</v>
      </c>
      <c r="J326" s="135" t="n">
        <f aca="false">$G326*'Analyse capacite'!$D$7</f>
        <v>0</v>
      </c>
      <c r="K326" s="135" t="n">
        <f aca="false">$G326*'Analyse capacite'!$E$7</f>
        <v>0</v>
      </c>
    </row>
    <row r="327" customFormat="false" ht="15" hidden="false" customHeight="false" outlineLevel="0" collapsed="false">
      <c r="B327" s="130" t="n">
        <v>2027</v>
      </c>
      <c r="C327" s="131" t="s">
        <v>246</v>
      </c>
      <c r="D327" s="132" t="n">
        <v>46486</v>
      </c>
      <c r="E327" s="131" t="s">
        <v>62</v>
      </c>
      <c r="F327" s="133" t="s">
        <v>19</v>
      </c>
      <c r="G327" s="134" t="n">
        <f aca="false">LEN('Saisie programme'!$H$47)+SUMIFS('Vols additionnels'!$E$7:$E$66,'Vols additionnels'!$C$7:$C$66,$E327,'Vols additionnels'!$D$7:$D$66,$F327,'Vols additionnels'!$B$7:$B$66,$D327)</f>
        <v>0</v>
      </c>
      <c r="H327" s="135" t="n">
        <f aca="false">$G327*'Analyse capacite'!$F$8</f>
        <v>0</v>
      </c>
      <c r="I327" s="135" t="n">
        <f aca="false">$G327*'Analyse capacite'!$C$8</f>
        <v>0</v>
      </c>
      <c r="J327" s="135" t="n">
        <f aca="false">$G327*'Analyse capacite'!$D$8</f>
        <v>0</v>
      </c>
      <c r="K327" s="135" t="n">
        <f aca="false">$G327*'Analyse capacite'!$E$8</f>
        <v>0</v>
      </c>
    </row>
    <row r="328" customFormat="false" ht="15" hidden="false" customHeight="false" outlineLevel="0" collapsed="false">
      <c r="B328" s="130" t="n">
        <v>2027</v>
      </c>
      <c r="C328" s="131" t="s">
        <v>246</v>
      </c>
      <c r="D328" s="132" t="n">
        <v>46486</v>
      </c>
      <c r="E328" s="131" t="s">
        <v>62</v>
      </c>
      <c r="F328" s="133" t="s">
        <v>24</v>
      </c>
      <c r="G328" s="134" t="n">
        <f aca="false">LEN('Saisie programme'!$H$48)+SUMIFS('Vols additionnels'!$E$7:$E$66,'Vols additionnels'!$C$7:$C$66,$E328,'Vols additionnels'!$D$7:$D$66,$F328,'Vols additionnels'!$B$7:$B$66,$D328)</f>
        <v>0</v>
      </c>
      <c r="H328" s="135" t="n">
        <f aca="false">$G328*'Analyse capacite'!$F$9</f>
        <v>0</v>
      </c>
      <c r="I328" s="135" t="n">
        <f aca="false">$G328*'Analyse capacite'!$C$9</f>
        <v>0</v>
      </c>
      <c r="J328" s="135" t="n">
        <f aca="false">$G328*'Analyse capacite'!$D$9</f>
        <v>0</v>
      </c>
      <c r="K328" s="135" t="n">
        <f aca="false">$G328*'Analyse capacite'!$E$9</f>
        <v>0</v>
      </c>
    </row>
    <row r="329" customFormat="false" ht="15" hidden="false" customHeight="false" outlineLevel="0" collapsed="false">
      <c r="B329" s="130" t="n">
        <v>2027</v>
      </c>
      <c r="C329" s="131" t="s">
        <v>246</v>
      </c>
      <c r="D329" s="132" t="n">
        <v>46487</v>
      </c>
      <c r="E329" s="131" t="s">
        <v>12</v>
      </c>
      <c r="F329" s="133" t="s">
        <v>11</v>
      </c>
      <c r="G329" s="134" t="n">
        <f aca="false">LEN('Saisie programme'!$I$13)+SUMIFS('Vols additionnels'!$E$7:$E$66,'Vols additionnels'!$C$7:$C$66,$E329,'Vols additionnels'!$D$7:$D$66,$F329,'Vols additionnels'!$B$7:$B$66,$D329)</f>
        <v>1</v>
      </c>
      <c r="H329" s="135" t="n">
        <f aca="false">$G329*'Analyse capacite'!$F$7</f>
        <v>438</v>
      </c>
      <c r="I329" s="135" t="n">
        <f aca="false">$G329*'Analyse capacite'!$C$7</f>
        <v>14</v>
      </c>
      <c r="J329" s="135" t="n">
        <f aca="false">$G329*'Analyse capacite'!$D$7</f>
        <v>40</v>
      </c>
      <c r="K329" s="135" t="n">
        <f aca="false">$G329*'Analyse capacite'!$E$7</f>
        <v>384</v>
      </c>
    </row>
    <row r="330" customFormat="false" ht="15" hidden="false" customHeight="false" outlineLevel="0" collapsed="false">
      <c r="B330" s="130" t="n">
        <v>2027</v>
      </c>
      <c r="C330" s="131" t="s">
        <v>246</v>
      </c>
      <c r="D330" s="132" t="n">
        <v>46487</v>
      </c>
      <c r="E330" s="131" t="s">
        <v>12</v>
      </c>
      <c r="F330" s="133" t="s">
        <v>19</v>
      </c>
      <c r="G330" s="134" t="n">
        <f aca="false">LEN('Saisie programme'!$I$14)+SUMIFS('Vols additionnels'!$E$7:$E$66,'Vols additionnels'!$C$7:$C$66,$E330,'Vols additionnels'!$D$7:$D$66,$F330,'Vols additionnels'!$B$7:$B$66,$D330)</f>
        <v>0</v>
      </c>
      <c r="H330" s="135" t="n">
        <f aca="false">$G330*'Analyse capacite'!$F$8</f>
        <v>0</v>
      </c>
      <c r="I330" s="135" t="n">
        <f aca="false">$G330*'Analyse capacite'!$C$8</f>
        <v>0</v>
      </c>
      <c r="J330" s="135" t="n">
        <f aca="false">$G330*'Analyse capacite'!$D$8</f>
        <v>0</v>
      </c>
      <c r="K330" s="135" t="n">
        <f aca="false">$G330*'Analyse capacite'!$E$8</f>
        <v>0</v>
      </c>
    </row>
    <row r="331" customFormat="false" ht="15" hidden="false" customHeight="false" outlineLevel="0" collapsed="false">
      <c r="B331" s="130" t="n">
        <v>2027</v>
      </c>
      <c r="C331" s="131" t="s">
        <v>246</v>
      </c>
      <c r="D331" s="132" t="n">
        <v>46487</v>
      </c>
      <c r="E331" s="131" t="s">
        <v>12</v>
      </c>
      <c r="F331" s="133" t="s">
        <v>24</v>
      </c>
      <c r="G331" s="134" t="n">
        <f aca="false">LEN('Saisie programme'!$I$15)+SUMIFS('Vols additionnels'!$E$7:$E$66,'Vols additionnels'!$C$7:$C$66,$E331,'Vols additionnels'!$D$7:$D$66,$F331,'Vols additionnels'!$B$7:$B$66,$D331)</f>
        <v>0</v>
      </c>
      <c r="H331" s="135" t="n">
        <f aca="false">$G331*'Analyse capacite'!$F$9</f>
        <v>0</v>
      </c>
      <c r="I331" s="135" t="n">
        <f aca="false">$G331*'Analyse capacite'!$C$9</f>
        <v>0</v>
      </c>
      <c r="J331" s="135" t="n">
        <f aca="false">$G331*'Analyse capacite'!$D$9</f>
        <v>0</v>
      </c>
      <c r="K331" s="135" t="n">
        <f aca="false">$G331*'Analyse capacite'!$E$9</f>
        <v>0</v>
      </c>
    </row>
    <row r="332" customFormat="false" ht="15" hidden="false" customHeight="false" outlineLevel="0" collapsed="false">
      <c r="B332" s="130" t="n">
        <v>2027</v>
      </c>
      <c r="C332" s="131" t="s">
        <v>246</v>
      </c>
      <c r="D332" s="132" t="n">
        <v>46487</v>
      </c>
      <c r="E332" s="131" t="s">
        <v>20</v>
      </c>
      <c r="F332" s="133" t="s">
        <v>11</v>
      </c>
      <c r="G332" s="134" t="n">
        <f aca="false">LEN('Saisie programme'!$I$16)+SUMIFS('Vols additionnels'!$E$7:$E$66,'Vols additionnels'!$C$7:$C$66,$E332,'Vols additionnels'!$D$7:$D$66,$F332,'Vols additionnels'!$B$7:$B$66,$D332)</f>
        <v>0</v>
      </c>
      <c r="H332" s="135" t="n">
        <f aca="false">$G332*'Analyse capacite'!$F$7</f>
        <v>0</v>
      </c>
      <c r="I332" s="135" t="n">
        <f aca="false">$G332*'Analyse capacite'!$C$7</f>
        <v>0</v>
      </c>
      <c r="J332" s="135" t="n">
        <f aca="false">$G332*'Analyse capacite'!$D$7</f>
        <v>0</v>
      </c>
      <c r="K332" s="135" t="n">
        <f aca="false">$G332*'Analyse capacite'!$E$7</f>
        <v>0</v>
      </c>
    </row>
    <row r="333" customFormat="false" ht="15" hidden="false" customHeight="false" outlineLevel="0" collapsed="false">
      <c r="B333" s="130" t="n">
        <v>2027</v>
      </c>
      <c r="C333" s="131" t="s">
        <v>246</v>
      </c>
      <c r="D333" s="132" t="n">
        <v>46487</v>
      </c>
      <c r="E333" s="131" t="s">
        <v>20</v>
      </c>
      <c r="F333" s="133" t="s">
        <v>19</v>
      </c>
      <c r="G333" s="134" t="n">
        <f aca="false">LEN('Saisie programme'!$I$17)+SUMIFS('Vols additionnels'!$E$7:$E$66,'Vols additionnels'!$C$7:$C$66,$E333,'Vols additionnels'!$D$7:$D$66,$F333,'Vols additionnels'!$B$7:$B$66,$D333)</f>
        <v>0</v>
      </c>
      <c r="H333" s="135" t="n">
        <f aca="false">$G333*'Analyse capacite'!$F$8</f>
        <v>0</v>
      </c>
      <c r="I333" s="135" t="n">
        <f aca="false">$G333*'Analyse capacite'!$C$8</f>
        <v>0</v>
      </c>
      <c r="J333" s="135" t="n">
        <f aca="false">$G333*'Analyse capacite'!$D$8</f>
        <v>0</v>
      </c>
      <c r="K333" s="135" t="n">
        <f aca="false">$G333*'Analyse capacite'!$E$8</f>
        <v>0</v>
      </c>
    </row>
    <row r="334" customFormat="false" ht="15" hidden="false" customHeight="false" outlineLevel="0" collapsed="false">
      <c r="B334" s="130" t="n">
        <v>2027</v>
      </c>
      <c r="C334" s="131" t="s">
        <v>246</v>
      </c>
      <c r="D334" s="132" t="n">
        <v>46487</v>
      </c>
      <c r="E334" s="131" t="s">
        <v>20</v>
      </c>
      <c r="F334" s="133" t="s">
        <v>24</v>
      </c>
      <c r="G334" s="134" t="n">
        <f aca="false">LEN('Saisie programme'!$I$18)+SUMIFS('Vols additionnels'!$E$7:$E$66,'Vols additionnels'!$C$7:$C$66,$E334,'Vols additionnels'!$D$7:$D$66,$F334,'Vols additionnels'!$B$7:$B$66,$D334)</f>
        <v>0</v>
      </c>
      <c r="H334" s="135" t="n">
        <f aca="false">$G334*'Analyse capacite'!$F$9</f>
        <v>0</v>
      </c>
      <c r="I334" s="135" t="n">
        <f aca="false">$G334*'Analyse capacite'!$C$9</f>
        <v>0</v>
      </c>
      <c r="J334" s="135" t="n">
        <f aca="false">$G334*'Analyse capacite'!$D$9</f>
        <v>0</v>
      </c>
      <c r="K334" s="135" t="n">
        <f aca="false">$G334*'Analyse capacite'!$E$9</f>
        <v>0</v>
      </c>
    </row>
    <row r="335" customFormat="false" ht="15" hidden="false" customHeight="false" outlineLevel="0" collapsed="false">
      <c r="B335" s="130" t="n">
        <v>2027</v>
      </c>
      <c r="C335" s="131" t="s">
        <v>246</v>
      </c>
      <c r="D335" s="132" t="n">
        <v>46487</v>
      </c>
      <c r="E335" s="131" t="s">
        <v>25</v>
      </c>
      <c r="F335" s="133" t="s">
        <v>11</v>
      </c>
      <c r="G335" s="134" t="n">
        <f aca="false">LEN('Saisie programme'!$I$19)+SUMIFS('Vols additionnels'!$E$7:$E$66,'Vols additionnels'!$C$7:$C$66,$E335,'Vols additionnels'!$D$7:$D$66,$F335,'Vols additionnels'!$B$7:$B$66,$D335)</f>
        <v>0</v>
      </c>
      <c r="H335" s="135" t="n">
        <f aca="false">$G335*'Analyse capacite'!$F$7</f>
        <v>0</v>
      </c>
      <c r="I335" s="135" t="n">
        <f aca="false">$G335*'Analyse capacite'!$C$7</f>
        <v>0</v>
      </c>
      <c r="J335" s="135" t="n">
        <f aca="false">$G335*'Analyse capacite'!$D$7</f>
        <v>0</v>
      </c>
      <c r="K335" s="135" t="n">
        <f aca="false">$G335*'Analyse capacite'!$E$7</f>
        <v>0</v>
      </c>
    </row>
    <row r="336" customFormat="false" ht="15" hidden="false" customHeight="false" outlineLevel="0" collapsed="false">
      <c r="B336" s="130" t="n">
        <v>2027</v>
      </c>
      <c r="C336" s="131" t="s">
        <v>246</v>
      </c>
      <c r="D336" s="132" t="n">
        <v>46487</v>
      </c>
      <c r="E336" s="131" t="s">
        <v>25</v>
      </c>
      <c r="F336" s="133" t="s">
        <v>19</v>
      </c>
      <c r="G336" s="134" t="n">
        <f aca="false">LEN('Saisie programme'!$I$20)+SUMIFS('Vols additionnels'!$E$7:$E$66,'Vols additionnels'!$C$7:$C$66,$E336,'Vols additionnels'!$D$7:$D$66,$F336,'Vols additionnels'!$B$7:$B$66,$D336)</f>
        <v>1</v>
      </c>
      <c r="H336" s="135" t="n">
        <f aca="false">$G336*'Analyse capacite'!$F$8</f>
        <v>262</v>
      </c>
      <c r="I336" s="135" t="n">
        <f aca="false">$G336*'Analyse capacite'!$C$8</f>
        <v>18</v>
      </c>
      <c r="J336" s="135" t="n">
        <f aca="false">$G336*'Analyse capacite'!$D$8</f>
        <v>0</v>
      </c>
      <c r="K336" s="135" t="n">
        <f aca="false">$G336*'Analyse capacite'!$E$8</f>
        <v>244</v>
      </c>
    </row>
    <row r="337" customFormat="false" ht="15" hidden="false" customHeight="false" outlineLevel="0" collapsed="false">
      <c r="B337" s="130" t="n">
        <v>2027</v>
      </c>
      <c r="C337" s="131" t="s">
        <v>246</v>
      </c>
      <c r="D337" s="132" t="n">
        <v>46487</v>
      </c>
      <c r="E337" s="131" t="s">
        <v>25</v>
      </c>
      <c r="F337" s="133" t="s">
        <v>24</v>
      </c>
      <c r="G337" s="134" t="n">
        <f aca="false">LEN('Saisie programme'!$I$21)+SUMIFS('Vols additionnels'!$E$7:$E$66,'Vols additionnels'!$C$7:$C$66,$E337,'Vols additionnels'!$D$7:$D$66,$F337,'Vols additionnels'!$B$7:$B$66,$D337)</f>
        <v>0</v>
      </c>
      <c r="H337" s="135" t="n">
        <f aca="false">$G337*'Analyse capacite'!$F$9</f>
        <v>0</v>
      </c>
      <c r="I337" s="135" t="n">
        <f aca="false">$G337*'Analyse capacite'!$C$9</f>
        <v>0</v>
      </c>
      <c r="J337" s="135" t="n">
        <f aca="false">$G337*'Analyse capacite'!$D$9</f>
        <v>0</v>
      </c>
      <c r="K337" s="135" t="n">
        <f aca="false">$G337*'Analyse capacite'!$E$9</f>
        <v>0</v>
      </c>
    </row>
    <row r="338" customFormat="false" ht="15" hidden="false" customHeight="false" outlineLevel="0" collapsed="false">
      <c r="B338" s="130" t="n">
        <v>2027</v>
      </c>
      <c r="C338" s="131" t="s">
        <v>246</v>
      </c>
      <c r="D338" s="132" t="n">
        <v>46487</v>
      </c>
      <c r="E338" s="131" t="s">
        <v>36</v>
      </c>
      <c r="F338" s="133" t="s">
        <v>11</v>
      </c>
      <c r="G338" s="134" t="n">
        <f aca="false">LEN('Saisie programme'!$I$22)+SUMIFS('Vols additionnels'!$E$7:$E$66,'Vols additionnels'!$C$7:$C$66,$E338,'Vols additionnels'!$D$7:$D$66,$F338,'Vols additionnels'!$B$7:$B$66,$D338)</f>
        <v>0</v>
      </c>
      <c r="H338" s="135" t="n">
        <f aca="false">$G338*'Analyse capacite'!$F$7</f>
        <v>0</v>
      </c>
      <c r="I338" s="135" t="n">
        <f aca="false">$G338*'Analyse capacite'!$C$7</f>
        <v>0</v>
      </c>
      <c r="J338" s="135" t="n">
        <f aca="false">$G338*'Analyse capacite'!$D$7</f>
        <v>0</v>
      </c>
      <c r="K338" s="135" t="n">
        <f aca="false">$G338*'Analyse capacite'!$E$7</f>
        <v>0</v>
      </c>
    </row>
    <row r="339" customFormat="false" ht="15" hidden="false" customHeight="false" outlineLevel="0" collapsed="false">
      <c r="B339" s="130" t="n">
        <v>2027</v>
      </c>
      <c r="C339" s="131" t="s">
        <v>246</v>
      </c>
      <c r="D339" s="132" t="n">
        <v>46487</v>
      </c>
      <c r="E339" s="131" t="s">
        <v>36</v>
      </c>
      <c r="F339" s="133" t="s">
        <v>19</v>
      </c>
      <c r="G339" s="134" t="n">
        <f aca="false">LEN('Saisie programme'!$I$23)+SUMIFS('Vols additionnels'!$E$7:$E$66,'Vols additionnels'!$C$7:$C$66,$E339,'Vols additionnels'!$D$7:$D$66,$F339,'Vols additionnels'!$B$7:$B$66,$D339)</f>
        <v>0</v>
      </c>
      <c r="H339" s="135" t="n">
        <f aca="false">$G339*'Analyse capacite'!$F$8</f>
        <v>0</v>
      </c>
      <c r="I339" s="135" t="n">
        <f aca="false">$G339*'Analyse capacite'!$C$8</f>
        <v>0</v>
      </c>
      <c r="J339" s="135" t="n">
        <f aca="false">$G339*'Analyse capacite'!$D$8</f>
        <v>0</v>
      </c>
      <c r="K339" s="135" t="n">
        <f aca="false">$G339*'Analyse capacite'!$E$8</f>
        <v>0</v>
      </c>
    </row>
    <row r="340" customFormat="false" ht="15" hidden="false" customHeight="false" outlineLevel="0" collapsed="false">
      <c r="B340" s="130" t="n">
        <v>2027</v>
      </c>
      <c r="C340" s="131" t="s">
        <v>246</v>
      </c>
      <c r="D340" s="132" t="n">
        <v>46487</v>
      </c>
      <c r="E340" s="131" t="s">
        <v>36</v>
      </c>
      <c r="F340" s="133" t="s">
        <v>24</v>
      </c>
      <c r="G340" s="134" t="n">
        <f aca="false">LEN('Saisie programme'!$I$24)+SUMIFS('Vols additionnels'!$E$7:$E$66,'Vols additionnels'!$C$7:$C$66,$E340,'Vols additionnels'!$D$7:$D$66,$F340,'Vols additionnels'!$B$7:$B$66,$D340)</f>
        <v>0</v>
      </c>
      <c r="H340" s="135" t="n">
        <f aca="false">$G340*'Analyse capacite'!$F$9</f>
        <v>0</v>
      </c>
      <c r="I340" s="135" t="n">
        <f aca="false">$G340*'Analyse capacite'!$C$9</f>
        <v>0</v>
      </c>
      <c r="J340" s="135" t="n">
        <f aca="false">$G340*'Analyse capacite'!$D$9</f>
        <v>0</v>
      </c>
      <c r="K340" s="135" t="n">
        <f aca="false">$G340*'Analyse capacite'!$E$9</f>
        <v>0</v>
      </c>
    </row>
    <row r="341" customFormat="false" ht="15" hidden="false" customHeight="false" outlineLevel="0" collapsed="false">
      <c r="B341" s="130" t="n">
        <v>2027</v>
      </c>
      <c r="C341" s="131" t="s">
        <v>246</v>
      </c>
      <c r="D341" s="132" t="n">
        <v>46487</v>
      </c>
      <c r="E341" s="131" t="s">
        <v>40</v>
      </c>
      <c r="F341" s="133" t="s">
        <v>11</v>
      </c>
      <c r="G341" s="134" t="n">
        <f aca="false">LEN('Saisie programme'!$I$25)+SUMIFS('Vols additionnels'!$E$7:$E$66,'Vols additionnels'!$C$7:$C$66,$E341,'Vols additionnels'!$D$7:$D$66,$F341,'Vols additionnels'!$B$7:$B$66,$D341)</f>
        <v>0</v>
      </c>
      <c r="H341" s="135" t="n">
        <f aca="false">$G341*'Analyse capacite'!$F$7</f>
        <v>0</v>
      </c>
      <c r="I341" s="135" t="n">
        <f aca="false">$G341*'Analyse capacite'!$C$7</f>
        <v>0</v>
      </c>
      <c r="J341" s="135" t="n">
        <f aca="false">$G341*'Analyse capacite'!$D$7</f>
        <v>0</v>
      </c>
      <c r="K341" s="135" t="n">
        <f aca="false">$G341*'Analyse capacite'!$E$7</f>
        <v>0</v>
      </c>
    </row>
    <row r="342" customFormat="false" ht="15" hidden="false" customHeight="false" outlineLevel="0" collapsed="false">
      <c r="B342" s="130" t="n">
        <v>2027</v>
      </c>
      <c r="C342" s="131" t="s">
        <v>246</v>
      </c>
      <c r="D342" s="132" t="n">
        <v>46487</v>
      </c>
      <c r="E342" s="131" t="s">
        <v>40</v>
      </c>
      <c r="F342" s="133" t="s">
        <v>19</v>
      </c>
      <c r="G342" s="134" t="n">
        <f aca="false">LEN('Saisie programme'!$I$26)+SUMIFS('Vols additionnels'!$E$7:$E$66,'Vols additionnels'!$C$7:$C$66,$E342,'Vols additionnels'!$D$7:$D$66,$F342,'Vols additionnels'!$B$7:$B$66,$D342)</f>
        <v>0</v>
      </c>
      <c r="H342" s="135" t="n">
        <f aca="false">$G342*'Analyse capacite'!$F$8</f>
        <v>0</v>
      </c>
      <c r="I342" s="135" t="n">
        <f aca="false">$G342*'Analyse capacite'!$C$8</f>
        <v>0</v>
      </c>
      <c r="J342" s="135" t="n">
        <f aca="false">$G342*'Analyse capacite'!$D$8</f>
        <v>0</v>
      </c>
      <c r="K342" s="135" t="n">
        <f aca="false">$G342*'Analyse capacite'!$E$8</f>
        <v>0</v>
      </c>
    </row>
    <row r="343" customFormat="false" ht="15" hidden="false" customHeight="false" outlineLevel="0" collapsed="false">
      <c r="B343" s="130" t="n">
        <v>2027</v>
      </c>
      <c r="C343" s="131" t="s">
        <v>246</v>
      </c>
      <c r="D343" s="132" t="n">
        <v>46487</v>
      </c>
      <c r="E343" s="131" t="s">
        <v>40</v>
      </c>
      <c r="F343" s="133" t="s">
        <v>24</v>
      </c>
      <c r="G343" s="134" t="n">
        <f aca="false">LEN('Saisie programme'!$I$27)+SUMIFS('Vols additionnels'!$E$7:$E$66,'Vols additionnels'!$C$7:$C$66,$E343,'Vols additionnels'!$D$7:$D$66,$F343,'Vols additionnels'!$B$7:$B$66,$D343)</f>
        <v>0</v>
      </c>
      <c r="H343" s="135" t="n">
        <f aca="false">$G343*'Analyse capacite'!$F$9</f>
        <v>0</v>
      </c>
      <c r="I343" s="135" t="n">
        <f aca="false">$G343*'Analyse capacite'!$C$9</f>
        <v>0</v>
      </c>
      <c r="J343" s="135" t="n">
        <f aca="false">$G343*'Analyse capacite'!$D$9</f>
        <v>0</v>
      </c>
      <c r="K343" s="135" t="n">
        <f aca="false">$G343*'Analyse capacite'!$E$9</f>
        <v>0</v>
      </c>
    </row>
    <row r="344" customFormat="false" ht="15" hidden="false" customHeight="false" outlineLevel="0" collapsed="false">
      <c r="B344" s="130" t="n">
        <v>2027</v>
      </c>
      <c r="C344" s="131" t="s">
        <v>246</v>
      </c>
      <c r="D344" s="132" t="n">
        <v>46487</v>
      </c>
      <c r="E344" s="131" t="s">
        <v>14</v>
      </c>
      <c r="F344" s="133" t="s">
        <v>11</v>
      </c>
      <c r="G344" s="134" t="n">
        <f aca="false">LEN('Saisie programme'!$I$28)+SUMIFS('Vols additionnels'!$E$7:$E$66,'Vols additionnels'!$C$7:$C$66,$E344,'Vols additionnels'!$D$7:$D$66,$F344,'Vols additionnels'!$B$7:$B$66,$D344)</f>
        <v>0</v>
      </c>
      <c r="H344" s="135" t="n">
        <f aca="false">$G344*'Analyse capacite'!$F$7</f>
        <v>0</v>
      </c>
      <c r="I344" s="135" t="n">
        <f aca="false">$G344*'Analyse capacite'!$C$7</f>
        <v>0</v>
      </c>
      <c r="J344" s="135" t="n">
        <f aca="false">$G344*'Analyse capacite'!$D$7</f>
        <v>0</v>
      </c>
      <c r="K344" s="135" t="n">
        <f aca="false">$G344*'Analyse capacite'!$E$7</f>
        <v>0</v>
      </c>
    </row>
    <row r="345" customFormat="false" ht="15" hidden="false" customHeight="false" outlineLevel="0" collapsed="false">
      <c r="B345" s="130" t="n">
        <v>2027</v>
      </c>
      <c r="C345" s="131" t="s">
        <v>246</v>
      </c>
      <c r="D345" s="132" t="n">
        <v>46487</v>
      </c>
      <c r="E345" s="131" t="s">
        <v>14</v>
      </c>
      <c r="F345" s="133" t="s">
        <v>19</v>
      </c>
      <c r="G345" s="134" t="n">
        <f aca="false">LEN('Saisie programme'!$I$29)+SUMIFS('Vols additionnels'!$E$7:$E$66,'Vols additionnels'!$C$7:$C$66,$E345,'Vols additionnels'!$D$7:$D$66,$F345,'Vols additionnels'!$B$7:$B$66,$D345)</f>
        <v>0</v>
      </c>
      <c r="H345" s="135" t="n">
        <f aca="false">$G345*'Analyse capacite'!$F$8</f>
        <v>0</v>
      </c>
      <c r="I345" s="135" t="n">
        <f aca="false">$G345*'Analyse capacite'!$C$8</f>
        <v>0</v>
      </c>
      <c r="J345" s="135" t="n">
        <f aca="false">$G345*'Analyse capacite'!$D$8</f>
        <v>0</v>
      </c>
      <c r="K345" s="135" t="n">
        <f aca="false">$G345*'Analyse capacite'!$E$8</f>
        <v>0</v>
      </c>
    </row>
    <row r="346" customFormat="false" ht="15" hidden="false" customHeight="false" outlineLevel="0" collapsed="false">
      <c r="B346" s="130" t="n">
        <v>2027</v>
      </c>
      <c r="C346" s="131" t="s">
        <v>246</v>
      </c>
      <c r="D346" s="132" t="n">
        <v>46487</v>
      </c>
      <c r="E346" s="131" t="s">
        <v>14</v>
      </c>
      <c r="F346" s="133" t="s">
        <v>24</v>
      </c>
      <c r="G346" s="134" t="n">
        <f aca="false">LEN('Saisie programme'!$I$30)+SUMIFS('Vols additionnels'!$E$7:$E$66,'Vols additionnels'!$C$7:$C$66,$E346,'Vols additionnels'!$D$7:$D$66,$F346,'Vols additionnels'!$B$7:$B$66,$D346)</f>
        <v>1</v>
      </c>
      <c r="H346" s="135" t="n">
        <f aca="false">$G346*'Analyse capacite'!$F$9</f>
        <v>174</v>
      </c>
      <c r="I346" s="135" t="n">
        <f aca="false">$G346*'Analyse capacite'!$C$9</f>
        <v>0</v>
      </c>
      <c r="J346" s="135" t="n">
        <f aca="false">$G346*'Analyse capacite'!$D$9</f>
        <v>12</v>
      </c>
      <c r="K346" s="135" t="n">
        <f aca="false">$G346*'Analyse capacite'!$E$9</f>
        <v>162</v>
      </c>
    </row>
    <row r="347" customFormat="false" ht="15" hidden="false" customHeight="false" outlineLevel="0" collapsed="false">
      <c r="B347" s="130" t="n">
        <v>2027</v>
      </c>
      <c r="C347" s="131" t="s">
        <v>246</v>
      </c>
      <c r="D347" s="132" t="n">
        <v>46487</v>
      </c>
      <c r="E347" s="131" t="s">
        <v>46</v>
      </c>
      <c r="F347" s="133" t="s">
        <v>11</v>
      </c>
      <c r="G347" s="134" t="n">
        <f aca="false">LEN('Saisie programme'!$I$31)+SUMIFS('Vols additionnels'!$E$7:$E$66,'Vols additionnels'!$C$7:$C$66,$E347,'Vols additionnels'!$D$7:$D$66,$F347,'Vols additionnels'!$B$7:$B$66,$D347)</f>
        <v>0</v>
      </c>
      <c r="H347" s="135" t="n">
        <f aca="false">$G347*'Analyse capacite'!$F$7</f>
        <v>0</v>
      </c>
      <c r="I347" s="135" t="n">
        <f aca="false">$G347*'Analyse capacite'!$C$7</f>
        <v>0</v>
      </c>
      <c r="J347" s="135" t="n">
        <f aca="false">$G347*'Analyse capacite'!$D$7</f>
        <v>0</v>
      </c>
      <c r="K347" s="135" t="n">
        <f aca="false">$G347*'Analyse capacite'!$E$7</f>
        <v>0</v>
      </c>
    </row>
    <row r="348" customFormat="false" ht="15" hidden="false" customHeight="false" outlineLevel="0" collapsed="false">
      <c r="B348" s="130" t="n">
        <v>2027</v>
      </c>
      <c r="C348" s="131" t="s">
        <v>246</v>
      </c>
      <c r="D348" s="132" t="n">
        <v>46487</v>
      </c>
      <c r="E348" s="131" t="s">
        <v>46</v>
      </c>
      <c r="F348" s="133" t="s">
        <v>19</v>
      </c>
      <c r="G348" s="134" t="n">
        <f aca="false">LEN('Saisie programme'!$I$32)+SUMIFS('Vols additionnels'!$E$7:$E$66,'Vols additionnels'!$C$7:$C$66,$E348,'Vols additionnels'!$D$7:$D$66,$F348,'Vols additionnels'!$B$7:$B$66,$D348)</f>
        <v>0</v>
      </c>
      <c r="H348" s="135" t="n">
        <f aca="false">$G348*'Analyse capacite'!$F$8</f>
        <v>0</v>
      </c>
      <c r="I348" s="135" t="n">
        <f aca="false">$G348*'Analyse capacite'!$C$8</f>
        <v>0</v>
      </c>
      <c r="J348" s="135" t="n">
        <f aca="false">$G348*'Analyse capacite'!$D$8</f>
        <v>0</v>
      </c>
      <c r="K348" s="135" t="n">
        <f aca="false">$G348*'Analyse capacite'!$E$8</f>
        <v>0</v>
      </c>
    </row>
    <row r="349" customFormat="false" ht="15" hidden="false" customHeight="false" outlineLevel="0" collapsed="false">
      <c r="B349" s="130" t="n">
        <v>2027</v>
      </c>
      <c r="C349" s="131" t="s">
        <v>246</v>
      </c>
      <c r="D349" s="132" t="n">
        <v>46487</v>
      </c>
      <c r="E349" s="131" t="s">
        <v>46</v>
      </c>
      <c r="F349" s="133" t="s">
        <v>24</v>
      </c>
      <c r="G349" s="134" t="n">
        <f aca="false">LEN('Saisie programme'!$I$33)+SUMIFS('Vols additionnels'!$E$7:$E$66,'Vols additionnels'!$C$7:$C$66,$E349,'Vols additionnels'!$D$7:$D$66,$F349,'Vols additionnels'!$B$7:$B$66,$D349)</f>
        <v>1</v>
      </c>
      <c r="H349" s="135" t="n">
        <f aca="false">$G349*'Analyse capacite'!$F$9</f>
        <v>174</v>
      </c>
      <c r="I349" s="135" t="n">
        <f aca="false">$G349*'Analyse capacite'!$C$9</f>
        <v>0</v>
      </c>
      <c r="J349" s="135" t="n">
        <f aca="false">$G349*'Analyse capacite'!$D$9</f>
        <v>12</v>
      </c>
      <c r="K349" s="135" t="n">
        <f aca="false">$G349*'Analyse capacite'!$E$9</f>
        <v>162</v>
      </c>
    </row>
    <row r="350" customFormat="false" ht="15" hidden="false" customHeight="false" outlineLevel="0" collapsed="false">
      <c r="B350" s="130" t="n">
        <v>2027</v>
      </c>
      <c r="C350" s="131" t="s">
        <v>246</v>
      </c>
      <c r="D350" s="132" t="n">
        <v>46487</v>
      </c>
      <c r="E350" s="131" t="s">
        <v>49</v>
      </c>
      <c r="F350" s="133" t="s">
        <v>11</v>
      </c>
      <c r="G350" s="134" t="n">
        <f aca="false">LEN('Saisie programme'!$I$34)+SUMIFS('Vols additionnels'!$E$7:$E$66,'Vols additionnels'!$C$7:$C$66,$E350,'Vols additionnels'!$D$7:$D$66,$F350,'Vols additionnels'!$B$7:$B$66,$D350)</f>
        <v>0</v>
      </c>
      <c r="H350" s="135" t="n">
        <f aca="false">$G350*'Analyse capacite'!$F$7</f>
        <v>0</v>
      </c>
      <c r="I350" s="135" t="n">
        <f aca="false">$G350*'Analyse capacite'!$C$7</f>
        <v>0</v>
      </c>
      <c r="J350" s="135" t="n">
        <f aca="false">$G350*'Analyse capacite'!$D$7</f>
        <v>0</v>
      </c>
      <c r="K350" s="135" t="n">
        <f aca="false">$G350*'Analyse capacite'!$E$7</f>
        <v>0</v>
      </c>
    </row>
    <row r="351" customFormat="false" ht="15" hidden="false" customHeight="false" outlineLevel="0" collapsed="false">
      <c r="B351" s="130" t="n">
        <v>2027</v>
      </c>
      <c r="C351" s="131" t="s">
        <v>246</v>
      </c>
      <c r="D351" s="132" t="n">
        <v>46487</v>
      </c>
      <c r="E351" s="131" t="s">
        <v>49</v>
      </c>
      <c r="F351" s="133" t="s">
        <v>19</v>
      </c>
      <c r="G351" s="134" t="n">
        <f aca="false">LEN('Saisie programme'!$I$35)+SUMIFS('Vols additionnels'!$E$7:$E$66,'Vols additionnels'!$C$7:$C$66,$E351,'Vols additionnels'!$D$7:$D$66,$F351,'Vols additionnels'!$B$7:$B$66,$D351)</f>
        <v>0</v>
      </c>
      <c r="H351" s="135" t="n">
        <f aca="false">$G351*'Analyse capacite'!$F$8</f>
        <v>0</v>
      </c>
      <c r="I351" s="135" t="n">
        <f aca="false">$G351*'Analyse capacite'!$C$8</f>
        <v>0</v>
      </c>
      <c r="J351" s="135" t="n">
        <f aca="false">$G351*'Analyse capacite'!$D$8</f>
        <v>0</v>
      </c>
      <c r="K351" s="135" t="n">
        <f aca="false">$G351*'Analyse capacite'!$E$8</f>
        <v>0</v>
      </c>
    </row>
    <row r="352" customFormat="false" ht="15" hidden="false" customHeight="false" outlineLevel="0" collapsed="false">
      <c r="B352" s="130" t="n">
        <v>2027</v>
      </c>
      <c r="C352" s="131" t="s">
        <v>246</v>
      </c>
      <c r="D352" s="132" t="n">
        <v>46487</v>
      </c>
      <c r="E352" s="131" t="s">
        <v>49</v>
      </c>
      <c r="F352" s="133" t="s">
        <v>24</v>
      </c>
      <c r="G352" s="134" t="n">
        <f aca="false">LEN('Saisie programme'!$I$36)+SUMIFS('Vols additionnels'!$E$7:$E$66,'Vols additionnels'!$C$7:$C$66,$E352,'Vols additionnels'!$D$7:$D$66,$F352,'Vols additionnels'!$B$7:$B$66,$D352)</f>
        <v>0</v>
      </c>
      <c r="H352" s="135" t="n">
        <f aca="false">$G352*'Analyse capacite'!$F$9</f>
        <v>0</v>
      </c>
      <c r="I352" s="135" t="n">
        <f aca="false">$G352*'Analyse capacite'!$C$9</f>
        <v>0</v>
      </c>
      <c r="J352" s="135" t="n">
        <f aca="false">$G352*'Analyse capacite'!$D$9</f>
        <v>0</v>
      </c>
      <c r="K352" s="135" t="n">
        <f aca="false">$G352*'Analyse capacite'!$E$9</f>
        <v>0</v>
      </c>
    </row>
    <row r="353" customFormat="false" ht="15" hidden="false" customHeight="false" outlineLevel="0" collapsed="false">
      <c r="B353" s="130" t="n">
        <v>2027</v>
      </c>
      <c r="C353" s="131" t="s">
        <v>246</v>
      </c>
      <c r="D353" s="132" t="n">
        <v>46487</v>
      </c>
      <c r="E353" s="131" t="s">
        <v>53</v>
      </c>
      <c r="F353" s="133" t="s">
        <v>11</v>
      </c>
      <c r="G353" s="134" t="n">
        <f aca="false">LEN('Saisie programme'!$I$37)+SUMIFS('Vols additionnels'!$E$7:$E$66,'Vols additionnels'!$C$7:$C$66,$E353,'Vols additionnels'!$D$7:$D$66,$F353,'Vols additionnels'!$B$7:$B$66,$D353)</f>
        <v>0</v>
      </c>
      <c r="H353" s="135" t="n">
        <f aca="false">$G353*'Analyse capacite'!$F$7</f>
        <v>0</v>
      </c>
      <c r="I353" s="135" t="n">
        <f aca="false">$G353*'Analyse capacite'!$C$7</f>
        <v>0</v>
      </c>
      <c r="J353" s="135" t="n">
        <f aca="false">$G353*'Analyse capacite'!$D$7</f>
        <v>0</v>
      </c>
      <c r="K353" s="135" t="n">
        <f aca="false">$G353*'Analyse capacite'!$E$7</f>
        <v>0</v>
      </c>
    </row>
    <row r="354" customFormat="false" ht="15" hidden="false" customHeight="false" outlineLevel="0" collapsed="false">
      <c r="B354" s="130" t="n">
        <v>2027</v>
      </c>
      <c r="C354" s="131" t="s">
        <v>246</v>
      </c>
      <c r="D354" s="132" t="n">
        <v>46487</v>
      </c>
      <c r="E354" s="131" t="s">
        <v>53</v>
      </c>
      <c r="F354" s="133" t="s">
        <v>19</v>
      </c>
      <c r="G354" s="134" t="n">
        <f aca="false">LEN('Saisie programme'!$I$38)+SUMIFS('Vols additionnels'!$E$7:$E$66,'Vols additionnels'!$C$7:$C$66,$E354,'Vols additionnels'!$D$7:$D$66,$F354,'Vols additionnels'!$B$7:$B$66,$D354)</f>
        <v>0</v>
      </c>
      <c r="H354" s="135" t="n">
        <f aca="false">$G354*'Analyse capacite'!$F$8</f>
        <v>0</v>
      </c>
      <c r="I354" s="135" t="n">
        <f aca="false">$G354*'Analyse capacite'!$C$8</f>
        <v>0</v>
      </c>
      <c r="J354" s="135" t="n">
        <f aca="false">$G354*'Analyse capacite'!$D$8</f>
        <v>0</v>
      </c>
      <c r="K354" s="135" t="n">
        <f aca="false">$G354*'Analyse capacite'!$E$8</f>
        <v>0</v>
      </c>
    </row>
    <row r="355" customFormat="false" ht="15" hidden="false" customHeight="false" outlineLevel="0" collapsed="false">
      <c r="B355" s="130" t="n">
        <v>2027</v>
      </c>
      <c r="C355" s="131" t="s">
        <v>246</v>
      </c>
      <c r="D355" s="132" t="n">
        <v>46487</v>
      </c>
      <c r="E355" s="131" t="s">
        <v>53</v>
      </c>
      <c r="F355" s="133" t="s">
        <v>24</v>
      </c>
      <c r="G355" s="134" t="n">
        <f aca="false">LEN('Saisie programme'!$I$39)+SUMIFS('Vols additionnels'!$E$7:$E$66,'Vols additionnels'!$C$7:$C$66,$E355,'Vols additionnels'!$D$7:$D$66,$F355,'Vols additionnels'!$B$7:$B$66,$D355)</f>
        <v>0</v>
      </c>
      <c r="H355" s="135" t="n">
        <f aca="false">$G355*'Analyse capacite'!$F$9</f>
        <v>0</v>
      </c>
      <c r="I355" s="135" t="n">
        <f aca="false">$G355*'Analyse capacite'!$C$9</f>
        <v>0</v>
      </c>
      <c r="J355" s="135" t="n">
        <f aca="false">$G355*'Analyse capacite'!$D$9</f>
        <v>0</v>
      </c>
      <c r="K355" s="135" t="n">
        <f aca="false">$G355*'Analyse capacite'!$E$9</f>
        <v>0</v>
      </c>
    </row>
    <row r="356" customFormat="false" ht="15" hidden="false" customHeight="false" outlineLevel="0" collapsed="false">
      <c r="B356" s="130" t="n">
        <v>2027</v>
      </c>
      <c r="C356" s="131" t="s">
        <v>246</v>
      </c>
      <c r="D356" s="132" t="n">
        <v>46487</v>
      </c>
      <c r="E356" s="131" t="s">
        <v>56</v>
      </c>
      <c r="F356" s="133" t="s">
        <v>11</v>
      </c>
      <c r="G356" s="134" t="n">
        <f aca="false">LEN('Saisie programme'!$I$40)+SUMIFS('Vols additionnels'!$E$7:$E$66,'Vols additionnels'!$C$7:$C$66,$E356,'Vols additionnels'!$D$7:$D$66,$F356,'Vols additionnels'!$B$7:$B$66,$D356)</f>
        <v>0</v>
      </c>
      <c r="H356" s="135" t="n">
        <f aca="false">$G356*'Analyse capacite'!$F$7</f>
        <v>0</v>
      </c>
      <c r="I356" s="135" t="n">
        <f aca="false">$G356*'Analyse capacite'!$C$7</f>
        <v>0</v>
      </c>
      <c r="J356" s="135" t="n">
        <f aca="false">$G356*'Analyse capacite'!$D$7</f>
        <v>0</v>
      </c>
      <c r="K356" s="135" t="n">
        <f aca="false">$G356*'Analyse capacite'!$E$7</f>
        <v>0</v>
      </c>
    </row>
    <row r="357" customFormat="false" ht="15" hidden="false" customHeight="false" outlineLevel="0" collapsed="false">
      <c r="B357" s="130" t="n">
        <v>2027</v>
      </c>
      <c r="C357" s="131" t="s">
        <v>246</v>
      </c>
      <c r="D357" s="132" t="n">
        <v>46487</v>
      </c>
      <c r="E357" s="131" t="s">
        <v>56</v>
      </c>
      <c r="F357" s="133" t="s">
        <v>19</v>
      </c>
      <c r="G357" s="134" t="n">
        <f aca="false">LEN('Saisie programme'!$I$41)+SUMIFS('Vols additionnels'!$E$7:$E$66,'Vols additionnels'!$C$7:$C$66,$E357,'Vols additionnels'!$D$7:$D$66,$F357,'Vols additionnels'!$B$7:$B$66,$D357)</f>
        <v>0</v>
      </c>
      <c r="H357" s="135" t="n">
        <f aca="false">$G357*'Analyse capacite'!$F$8</f>
        <v>0</v>
      </c>
      <c r="I357" s="135" t="n">
        <f aca="false">$G357*'Analyse capacite'!$C$8</f>
        <v>0</v>
      </c>
      <c r="J357" s="135" t="n">
        <f aca="false">$G357*'Analyse capacite'!$D$8</f>
        <v>0</v>
      </c>
      <c r="K357" s="135" t="n">
        <f aca="false">$G357*'Analyse capacite'!$E$8</f>
        <v>0</v>
      </c>
    </row>
    <row r="358" customFormat="false" ht="15" hidden="false" customHeight="false" outlineLevel="0" collapsed="false">
      <c r="B358" s="130" t="n">
        <v>2027</v>
      </c>
      <c r="C358" s="131" t="s">
        <v>246</v>
      </c>
      <c r="D358" s="132" t="n">
        <v>46487</v>
      </c>
      <c r="E358" s="131" t="s">
        <v>56</v>
      </c>
      <c r="F358" s="133" t="s">
        <v>24</v>
      </c>
      <c r="G358" s="134" t="n">
        <f aca="false">LEN('Saisie programme'!$I$42)+SUMIFS('Vols additionnels'!$E$7:$E$66,'Vols additionnels'!$C$7:$C$66,$E358,'Vols additionnels'!$D$7:$D$66,$F358,'Vols additionnels'!$B$7:$B$66,$D358)</f>
        <v>1</v>
      </c>
      <c r="H358" s="135" t="n">
        <f aca="false">$G358*'Analyse capacite'!$F$9</f>
        <v>174</v>
      </c>
      <c r="I358" s="135" t="n">
        <f aca="false">$G358*'Analyse capacite'!$C$9</f>
        <v>0</v>
      </c>
      <c r="J358" s="135" t="n">
        <f aca="false">$G358*'Analyse capacite'!$D$9</f>
        <v>12</v>
      </c>
      <c r="K358" s="135" t="n">
        <f aca="false">$G358*'Analyse capacite'!$E$9</f>
        <v>162</v>
      </c>
    </row>
    <row r="359" customFormat="false" ht="15" hidden="false" customHeight="false" outlineLevel="0" collapsed="false">
      <c r="B359" s="130" t="n">
        <v>2027</v>
      </c>
      <c r="C359" s="131" t="s">
        <v>246</v>
      </c>
      <c r="D359" s="132" t="n">
        <v>46487</v>
      </c>
      <c r="E359" s="131" t="s">
        <v>59</v>
      </c>
      <c r="F359" s="133" t="s">
        <v>11</v>
      </c>
      <c r="G359" s="134" t="n">
        <f aca="false">LEN('Saisie programme'!$I$43)+SUMIFS('Vols additionnels'!$E$7:$E$66,'Vols additionnels'!$C$7:$C$66,$E359,'Vols additionnels'!$D$7:$D$66,$F359,'Vols additionnels'!$B$7:$B$66,$D359)</f>
        <v>0</v>
      </c>
      <c r="H359" s="135" t="n">
        <f aca="false">$G359*'Analyse capacite'!$F$7</f>
        <v>0</v>
      </c>
      <c r="I359" s="135" t="n">
        <f aca="false">$G359*'Analyse capacite'!$C$7</f>
        <v>0</v>
      </c>
      <c r="J359" s="135" t="n">
        <f aca="false">$G359*'Analyse capacite'!$D$7</f>
        <v>0</v>
      </c>
      <c r="K359" s="135" t="n">
        <f aca="false">$G359*'Analyse capacite'!$E$7</f>
        <v>0</v>
      </c>
    </row>
    <row r="360" customFormat="false" ht="15" hidden="false" customHeight="false" outlineLevel="0" collapsed="false">
      <c r="B360" s="130" t="n">
        <v>2027</v>
      </c>
      <c r="C360" s="131" t="s">
        <v>246</v>
      </c>
      <c r="D360" s="132" t="n">
        <v>46487</v>
      </c>
      <c r="E360" s="131" t="s">
        <v>59</v>
      </c>
      <c r="F360" s="133" t="s">
        <v>19</v>
      </c>
      <c r="G360" s="134" t="n">
        <f aca="false">LEN('Saisie programme'!$I$44)+SUMIFS('Vols additionnels'!$E$7:$E$66,'Vols additionnels'!$C$7:$C$66,$E360,'Vols additionnels'!$D$7:$D$66,$F360,'Vols additionnels'!$B$7:$B$66,$D360)</f>
        <v>0</v>
      </c>
      <c r="H360" s="135" t="n">
        <f aca="false">$G360*'Analyse capacite'!$F$8</f>
        <v>0</v>
      </c>
      <c r="I360" s="135" t="n">
        <f aca="false">$G360*'Analyse capacite'!$C$8</f>
        <v>0</v>
      </c>
      <c r="J360" s="135" t="n">
        <f aca="false">$G360*'Analyse capacite'!$D$8</f>
        <v>0</v>
      </c>
      <c r="K360" s="135" t="n">
        <f aca="false">$G360*'Analyse capacite'!$E$8</f>
        <v>0</v>
      </c>
    </row>
    <row r="361" customFormat="false" ht="15" hidden="false" customHeight="false" outlineLevel="0" collapsed="false">
      <c r="B361" s="130" t="n">
        <v>2027</v>
      </c>
      <c r="C361" s="131" t="s">
        <v>246</v>
      </c>
      <c r="D361" s="132" t="n">
        <v>46487</v>
      </c>
      <c r="E361" s="131" t="s">
        <v>59</v>
      </c>
      <c r="F361" s="133" t="s">
        <v>24</v>
      </c>
      <c r="G361" s="134" t="n">
        <f aca="false">LEN('Saisie programme'!$I$45)+SUMIFS('Vols additionnels'!$E$7:$E$66,'Vols additionnels'!$C$7:$C$66,$E361,'Vols additionnels'!$D$7:$D$66,$F361,'Vols additionnels'!$B$7:$B$66,$D361)</f>
        <v>1</v>
      </c>
      <c r="H361" s="135" t="n">
        <f aca="false">$G361*'Analyse capacite'!$F$9</f>
        <v>174</v>
      </c>
      <c r="I361" s="135" t="n">
        <f aca="false">$G361*'Analyse capacite'!$C$9</f>
        <v>0</v>
      </c>
      <c r="J361" s="135" t="n">
        <f aca="false">$G361*'Analyse capacite'!$D$9</f>
        <v>12</v>
      </c>
      <c r="K361" s="135" t="n">
        <f aca="false">$G361*'Analyse capacite'!$E$9</f>
        <v>162</v>
      </c>
    </row>
    <row r="362" customFormat="false" ht="15" hidden="false" customHeight="false" outlineLevel="0" collapsed="false">
      <c r="B362" s="130" t="n">
        <v>2027</v>
      </c>
      <c r="C362" s="131" t="s">
        <v>246</v>
      </c>
      <c r="D362" s="132" t="n">
        <v>46487</v>
      </c>
      <c r="E362" s="131" t="s">
        <v>62</v>
      </c>
      <c r="F362" s="133" t="s">
        <v>11</v>
      </c>
      <c r="G362" s="134" t="n">
        <f aca="false">LEN('Saisie programme'!$I$46)+SUMIFS('Vols additionnels'!$E$7:$E$66,'Vols additionnels'!$C$7:$C$66,$E362,'Vols additionnels'!$D$7:$D$66,$F362,'Vols additionnels'!$B$7:$B$66,$D362)</f>
        <v>0</v>
      </c>
      <c r="H362" s="135" t="n">
        <f aca="false">$G362*'Analyse capacite'!$F$7</f>
        <v>0</v>
      </c>
      <c r="I362" s="135" t="n">
        <f aca="false">$G362*'Analyse capacite'!$C$7</f>
        <v>0</v>
      </c>
      <c r="J362" s="135" t="n">
        <f aca="false">$G362*'Analyse capacite'!$D$7</f>
        <v>0</v>
      </c>
      <c r="K362" s="135" t="n">
        <f aca="false">$G362*'Analyse capacite'!$E$7</f>
        <v>0</v>
      </c>
    </row>
    <row r="363" customFormat="false" ht="15" hidden="false" customHeight="false" outlineLevel="0" collapsed="false">
      <c r="B363" s="130" t="n">
        <v>2027</v>
      </c>
      <c r="C363" s="131" t="s">
        <v>246</v>
      </c>
      <c r="D363" s="132" t="n">
        <v>46487</v>
      </c>
      <c r="E363" s="131" t="s">
        <v>62</v>
      </c>
      <c r="F363" s="133" t="s">
        <v>19</v>
      </c>
      <c r="G363" s="134" t="n">
        <f aca="false">LEN('Saisie programme'!$I$47)+SUMIFS('Vols additionnels'!$E$7:$E$66,'Vols additionnels'!$C$7:$C$66,$E363,'Vols additionnels'!$D$7:$D$66,$F363,'Vols additionnels'!$B$7:$B$66,$D363)</f>
        <v>0</v>
      </c>
      <c r="H363" s="135" t="n">
        <f aca="false">$G363*'Analyse capacite'!$F$8</f>
        <v>0</v>
      </c>
      <c r="I363" s="135" t="n">
        <f aca="false">$G363*'Analyse capacite'!$C$8</f>
        <v>0</v>
      </c>
      <c r="J363" s="135" t="n">
        <f aca="false">$G363*'Analyse capacite'!$D$8</f>
        <v>0</v>
      </c>
      <c r="K363" s="135" t="n">
        <f aca="false">$G363*'Analyse capacite'!$E$8</f>
        <v>0</v>
      </c>
    </row>
    <row r="364" customFormat="false" ht="15" hidden="false" customHeight="false" outlineLevel="0" collapsed="false">
      <c r="B364" s="130" t="n">
        <v>2027</v>
      </c>
      <c r="C364" s="131" t="s">
        <v>246</v>
      </c>
      <c r="D364" s="132" t="n">
        <v>46487</v>
      </c>
      <c r="E364" s="131" t="s">
        <v>62</v>
      </c>
      <c r="F364" s="133" t="s">
        <v>24</v>
      </c>
      <c r="G364" s="134" t="n">
        <f aca="false">LEN('Saisie programme'!$I$48)+SUMIFS('Vols additionnels'!$E$7:$E$66,'Vols additionnels'!$C$7:$C$66,$E364,'Vols additionnels'!$D$7:$D$66,$F364,'Vols additionnels'!$B$7:$B$66,$D364)</f>
        <v>0</v>
      </c>
      <c r="H364" s="135" t="n">
        <f aca="false">$G364*'Analyse capacite'!$F$9</f>
        <v>0</v>
      </c>
      <c r="I364" s="135" t="n">
        <f aca="false">$G364*'Analyse capacite'!$C$9</f>
        <v>0</v>
      </c>
      <c r="J364" s="135" t="n">
        <f aca="false">$G364*'Analyse capacite'!$D$9</f>
        <v>0</v>
      </c>
      <c r="K364" s="135" t="n">
        <f aca="false">$G364*'Analyse capacite'!$E$9</f>
        <v>0</v>
      </c>
    </row>
    <row r="365" customFormat="false" ht="15" hidden="false" customHeight="false" outlineLevel="0" collapsed="false">
      <c r="B365" s="130" t="n">
        <v>2027</v>
      </c>
      <c r="C365" s="131" t="s">
        <v>246</v>
      </c>
      <c r="D365" s="132" t="n">
        <v>46488</v>
      </c>
      <c r="E365" s="131" t="s">
        <v>12</v>
      </c>
      <c r="F365" s="133" t="s">
        <v>11</v>
      </c>
      <c r="G365" s="134" t="n">
        <f aca="false">LEN('Saisie programme'!$J$13)+SUMIFS('Vols additionnels'!$E$7:$E$66,'Vols additionnels'!$C$7:$C$66,$E365,'Vols additionnels'!$D$7:$D$66,$F365,'Vols additionnels'!$B$7:$B$66,$D365)</f>
        <v>1</v>
      </c>
      <c r="H365" s="135" t="n">
        <f aca="false">$G365*'Analyse capacite'!$F$7</f>
        <v>438</v>
      </c>
      <c r="I365" s="135" t="n">
        <f aca="false">$G365*'Analyse capacite'!$C$7</f>
        <v>14</v>
      </c>
      <c r="J365" s="135" t="n">
        <f aca="false">$G365*'Analyse capacite'!$D$7</f>
        <v>40</v>
      </c>
      <c r="K365" s="135" t="n">
        <f aca="false">$G365*'Analyse capacite'!$E$7</f>
        <v>384</v>
      </c>
    </row>
    <row r="366" customFormat="false" ht="15" hidden="false" customHeight="false" outlineLevel="0" collapsed="false">
      <c r="B366" s="130" t="n">
        <v>2027</v>
      </c>
      <c r="C366" s="131" t="s">
        <v>246</v>
      </c>
      <c r="D366" s="132" t="n">
        <v>46488</v>
      </c>
      <c r="E366" s="131" t="s">
        <v>12</v>
      </c>
      <c r="F366" s="133" t="s">
        <v>19</v>
      </c>
      <c r="G366" s="134" t="n">
        <f aca="false">LEN('Saisie programme'!$J$14)+SUMIFS('Vols additionnels'!$E$7:$E$66,'Vols additionnels'!$C$7:$C$66,$E366,'Vols additionnels'!$D$7:$D$66,$F366,'Vols additionnels'!$B$7:$B$66,$D366)</f>
        <v>0</v>
      </c>
      <c r="H366" s="135" t="n">
        <f aca="false">$G366*'Analyse capacite'!$F$8</f>
        <v>0</v>
      </c>
      <c r="I366" s="135" t="n">
        <f aca="false">$G366*'Analyse capacite'!$C$8</f>
        <v>0</v>
      </c>
      <c r="J366" s="135" t="n">
        <f aca="false">$G366*'Analyse capacite'!$D$8</f>
        <v>0</v>
      </c>
      <c r="K366" s="135" t="n">
        <f aca="false">$G366*'Analyse capacite'!$E$8</f>
        <v>0</v>
      </c>
    </row>
    <row r="367" customFormat="false" ht="15" hidden="false" customHeight="false" outlineLevel="0" collapsed="false">
      <c r="B367" s="130" t="n">
        <v>2027</v>
      </c>
      <c r="C367" s="131" t="s">
        <v>246</v>
      </c>
      <c r="D367" s="132" t="n">
        <v>46488</v>
      </c>
      <c r="E367" s="131" t="s">
        <v>12</v>
      </c>
      <c r="F367" s="133" t="s">
        <v>24</v>
      </c>
      <c r="G367" s="134" t="n">
        <f aca="false">LEN('Saisie programme'!$J$15)+SUMIFS('Vols additionnels'!$E$7:$E$66,'Vols additionnels'!$C$7:$C$66,$E367,'Vols additionnels'!$D$7:$D$66,$F367,'Vols additionnels'!$B$7:$B$66,$D367)</f>
        <v>0</v>
      </c>
      <c r="H367" s="135" t="n">
        <f aca="false">$G367*'Analyse capacite'!$F$9</f>
        <v>0</v>
      </c>
      <c r="I367" s="135" t="n">
        <f aca="false">$G367*'Analyse capacite'!$C$9</f>
        <v>0</v>
      </c>
      <c r="J367" s="135" t="n">
        <f aca="false">$G367*'Analyse capacite'!$D$9</f>
        <v>0</v>
      </c>
      <c r="K367" s="135" t="n">
        <f aca="false">$G367*'Analyse capacite'!$E$9</f>
        <v>0</v>
      </c>
    </row>
    <row r="368" customFormat="false" ht="15" hidden="false" customHeight="false" outlineLevel="0" collapsed="false">
      <c r="B368" s="130" t="n">
        <v>2027</v>
      </c>
      <c r="C368" s="131" t="s">
        <v>246</v>
      </c>
      <c r="D368" s="132" t="n">
        <v>46488</v>
      </c>
      <c r="E368" s="131" t="s">
        <v>20</v>
      </c>
      <c r="F368" s="133" t="s">
        <v>11</v>
      </c>
      <c r="G368" s="134" t="n">
        <f aca="false">LEN('Saisie programme'!$J$16)+SUMIFS('Vols additionnels'!$E$7:$E$66,'Vols additionnels'!$C$7:$C$66,$E368,'Vols additionnels'!$D$7:$D$66,$F368,'Vols additionnels'!$B$7:$B$66,$D368)</f>
        <v>1</v>
      </c>
      <c r="H368" s="135" t="n">
        <f aca="false">$G368*'Analyse capacite'!$F$7</f>
        <v>438</v>
      </c>
      <c r="I368" s="135" t="n">
        <f aca="false">$G368*'Analyse capacite'!$C$7</f>
        <v>14</v>
      </c>
      <c r="J368" s="135" t="n">
        <f aca="false">$G368*'Analyse capacite'!$D$7</f>
        <v>40</v>
      </c>
      <c r="K368" s="135" t="n">
        <f aca="false">$G368*'Analyse capacite'!$E$7</f>
        <v>384</v>
      </c>
    </row>
    <row r="369" customFormat="false" ht="15" hidden="false" customHeight="false" outlineLevel="0" collapsed="false">
      <c r="B369" s="130" t="n">
        <v>2027</v>
      </c>
      <c r="C369" s="131" t="s">
        <v>246</v>
      </c>
      <c r="D369" s="132" t="n">
        <v>46488</v>
      </c>
      <c r="E369" s="131" t="s">
        <v>20</v>
      </c>
      <c r="F369" s="133" t="s">
        <v>19</v>
      </c>
      <c r="G369" s="134" t="n">
        <f aca="false">LEN('Saisie programme'!$J$17)+SUMIFS('Vols additionnels'!$E$7:$E$66,'Vols additionnels'!$C$7:$C$66,$E369,'Vols additionnels'!$D$7:$D$66,$F369,'Vols additionnels'!$B$7:$B$66,$D369)</f>
        <v>0</v>
      </c>
      <c r="H369" s="135" t="n">
        <f aca="false">$G369*'Analyse capacite'!$F$8</f>
        <v>0</v>
      </c>
      <c r="I369" s="135" t="n">
        <f aca="false">$G369*'Analyse capacite'!$C$8</f>
        <v>0</v>
      </c>
      <c r="J369" s="135" t="n">
        <f aca="false">$G369*'Analyse capacite'!$D$8</f>
        <v>0</v>
      </c>
      <c r="K369" s="135" t="n">
        <f aca="false">$G369*'Analyse capacite'!$E$8</f>
        <v>0</v>
      </c>
    </row>
    <row r="370" customFormat="false" ht="15" hidden="false" customHeight="false" outlineLevel="0" collapsed="false">
      <c r="B370" s="130" t="n">
        <v>2027</v>
      </c>
      <c r="C370" s="131" t="s">
        <v>246</v>
      </c>
      <c r="D370" s="132" t="n">
        <v>46488</v>
      </c>
      <c r="E370" s="131" t="s">
        <v>20</v>
      </c>
      <c r="F370" s="133" t="s">
        <v>24</v>
      </c>
      <c r="G370" s="134" t="n">
        <f aca="false">LEN('Saisie programme'!$J$18)+SUMIFS('Vols additionnels'!$E$7:$E$66,'Vols additionnels'!$C$7:$C$66,$E370,'Vols additionnels'!$D$7:$D$66,$F370,'Vols additionnels'!$B$7:$B$66,$D370)</f>
        <v>0</v>
      </c>
      <c r="H370" s="135" t="n">
        <f aca="false">$G370*'Analyse capacite'!$F$9</f>
        <v>0</v>
      </c>
      <c r="I370" s="135" t="n">
        <f aca="false">$G370*'Analyse capacite'!$C$9</f>
        <v>0</v>
      </c>
      <c r="J370" s="135" t="n">
        <f aca="false">$G370*'Analyse capacite'!$D$9</f>
        <v>0</v>
      </c>
      <c r="K370" s="135" t="n">
        <f aca="false">$G370*'Analyse capacite'!$E$9</f>
        <v>0</v>
      </c>
    </row>
    <row r="371" customFormat="false" ht="15" hidden="false" customHeight="false" outlineLevel="0" collapsed="false">
      <c r="B371" s="130" t="n">
        <v>2027</v>
      </c>
      <c r="C371" s="131" t="s">
        <v>246</v>
      </c>
      <c r="D371" s="132" t="n">
        <v>46488</v>
      </c>
      <c r="E371" s="131" t="s">
        <v>25</v>
      </c>
      <c r="F371" s="133" t="s">
        <v>11</v>
      </c>
      <c r="G371" s="134" t="n">
        <f aca="false">LEN('Saisie programme'!$J$19)+SUMIFS('Vols additionnels'!$E$7:$E$66,'Vols additionnels'!$C$7:$C$66,$E371,'Vols additionnels'!$D$7:$D$66,$F371,'Vols additionnels'!$B$7:$B$66,$D371)</f>
        <v>0</v>
      </c>
      <c r="H371" s="135" t="n">
        <f aca="false">$G371*'Analyse capacite'!$F$7</f>
        <v>0</v>
      </c>
      <c r="I371" s="135" t="n">
        <f aca="false">$G371*'Analyse capacite'!$C$7</f>
        <v>0</v>
      </c>
      <c r="J371" s="135" t="n">
        <f aca="false">$G371*'Analyse capacite'!$D$7</f>
        <v>0</v>
      </c>
      <c r="K371" s="135" t="n">
        <f aca="false">$G371*'Analyse capacite'!$E$7</f>
        <v>0</v>
      </c>
    </row>
    <row r="372" customFormat="false" ht="15" hidden="false" customHeight="false" outlineLevel="0" collapsed="false">
      <c r="B372" s="130" t="n">
        <v>2027</v>
      </c>
      <c r="C372" s="131" t="s">
        <v>246</v>
      </c>
      <c r="D372" s="132" t="n">
        <v>46488</v>
      </c>
      <c r="E372" s="131" t="s">
        <v>25</v>
      </c>
      <c r="F372" s="133" t="s">
        <v>19</v>
      </c>
      <c r="G372" s="134" t="n">
        <f aca="false">LEN('Saisie programme'!$J$20)+SUMIFS('Vols additionnels'!$E$7:$E$66,'Vols additionnels'!$C$7:$C$66,$E372,'Vols additionnels'!$D$7:$D$66,$F372,'Vols additionnels'!$B$7:$B$66,$D372)</f>
        <v>0</v>
      </c>
      <c r="H372" s="135" t="n">
        <f aca="false">$G372*'Analyse capacite'!$F$8</f>
        <v>0</v>
      </c>
      <c r="I372" s="135" t="n">
        <f aca="false">$G372*'Analyse capacite'!$C$8</f>
        <v>0</v>
      </c>
      <c r="J372" s="135" t="n">
        <f aca="false">$G372*'Analyse capacite'!$D$8</f>
        <v>0</v>
      </c>
      <c r="K372" s="135" t="n">
        <f aca="false">$G372*'Analyse capacite'!$E$8</f>
        <v>0</v>
      </c>
    </row>
    <row r="373" customFormat="false" ht="15" hidden="false" customHeight="false" outlineLevel="0" collapsed="false">
      <c r="B373" s="130" t="n">
        <v>2027</v>
      </c>
      <c r="C373" s="131" t="s">
        <v>246</v>
      </c>
      <c r="D373" s="132" t="n">
        <v>46488</v>
      </c>
      <c r="E373" s="131" t="s">
        <v>25</v>
      </c>
      <c r="F373" s="133" t="s">
        <v>24</v>
      </c>
      <c r="G373" s="134" t="n">
        <f aca="false">LEN('Saisie programme'!$J$21)+SUMIFS('Vols additionnels'!$E$7:$E$66,'Vols additionnels'!$C$7:$C$66,$E373,'Vols additionnels'!$D$7:$D$66,$F373,'Vols additionnels'!$B$7:$B$66,$D373)</f>
        <v>0</v>
      </c>
      <c r="H373" s="135" t="n">
        <f aca="false">$G373*'Analyse capacite'!$F$9</f>
        <v>0</v>
      </c>
      <c r="I373" s="135" t="n">
        <f aca="false">$G373*'Analyse capacite'!$C$9</f>
        <v>0</v>
      </c>
      <c r="J373" s="135" t="n">
        <f aca="false">$G373*'Analyse capacite'!$D$9</f>
        <v>0</v>
      </c>
      <c r="K373" s="135" t="n">
        <f aca="false">$G373*'Analyse capacite'!$E$9</f>
        <v>0</v>
      </c>
    </row>
    <row r="374" customFormat="false" ht="15" hidden="false" customHeight="false" outlineLevel="0" collapsed="false">
      <c r="B374" s="130" t="n">
        <v>2027</v>
      </c>
      <c r="C374" s="131" t="s">
        <v>246</v>
      </c>
      <c r="D374" s="132" t="n">
        <v>46488</v>
      </c>
      <c r="E374" s="131" t="s">
        <v>36</v>
      </c>
      <c r="F374" s="133" t="s">
        <v>11</v>
      </c>
      <c r="G374" s="134" t="n">
        <f aca="false">LEN('Saisie programme'!$J$22)+SUMIFS('Vols additionnels'!$E$7:$E$66,'Vols additionnels'!$C$7:$C$66,$E374,'Vols additionnels'!$D$7:$D$66,$F374,'Vols additionnels'!$B$7:$B$66,$D374)</f>
        <v>0</v>
      </c>
      <c r="H374" s="135" t="n">
        <f aca="false">$G374*'Analyse capacite'!$F$7</f>
        <v>0</v>
      </c>
      <c r="I374" s="135" t="n">
        <f aca="false">$G374*'Analyse capacite'!$C$7</f>
        <v>0</v>
      </c>
      <c r="J374" s="135" t="n">
        <f aca="false">$G374*'Analyse capacite'!$D$7</f>
        <v>0</v>
      </c>
      <c r="K374" s="135" t="n">
        <f aca="false">$G374*'Analyse capacite'!$E$7</f>
        <v>0</v>
      </c>
    </row>
    <row r="375" customFormat="false" ht="15" hidden="false" customHeight="false" outlineLevel="0" collapsed="false">
      <c r="B375" s="130" t="n">
        <v>2027</v>
      </c>
      <c r="C375" s="131" t="s">
        <v>246</v>
      </c>
      <c r="D375" s="132" t="n">
        <v>46488</v>
      </c>
      <c r="E375" s="131" t="s">
        <v>36</v>
      </c>
      <c r="F375" s="133" t="s">
        <v>19</v>
      </c>
      <c r="G375" s="134" t="n">
        <f aca="false">LEN('Saisie programme'!$J$23)+SUMIFS('Vols additionnels'!$E$7:$E$66,'Vols additionnels'!$C$7:$C$66,$E375,'Vols additionnels'!$D$7:$D$66,$F375,'Vols additionnels'!$B$7:$B$66,$D375)</f>
        <v>0</v>
      </c>
      <c r="H375" s="135" t="n">
        <f aca="false">$G375*'Analyse capacite'!$F$8</f>
        <v>0</v>
      </c>
      <c r="I375" s="135" t="n">
        <f aca="false">$G375*'Analyse capacite'!$C$8</f>
        <v>0</v>
      </c>
      <c r="J375" s="135" t="n">
        <f aca="false">$G375*'Analyse capacite'!$D$8</f>
        <v>0</v>
      </c>
      <c r="K375" s="135" t="n">
        <f aca="false">$G375*'Analyse capacite'!$E$8</f>
        <v>0</v>
      </c>
    </row>
    <row r="376" customFormat="false" ht="15" hidden="false" customHeight="false" outlineLevel="0" collapsed="false">
      <c r="B376" s="130" t="n">
        <v>2027</v>
      </c>
      <c r="C376" s="131" t="s">
        <v>246</v>
      </c>
      <c r="D376" s="132" t="n">
        <v>46488</v>
      </c>
      <c r="E376" s="131" t="s">
        <v>36</v>
      </c>
      <c r="F376" s="133" t="s">
        <v>24</v>
      </c>
      <c r="G376" s="134" t="n">
        <f aca="false">LEN('Saisie programme'!$J$24)+SUMIFS('Vols additionnels'!$E$7:$E$66,'Vols additionnels'!$C$7:$C$66,$E376,'Vols additionnels'!$D$7:$D$66,$F376,'Vols additionnels'!$B$7:$B$66,$D376)</f>
        <v>0</v>
      </c>
      <c r="H376" s="135" t="n">
        <f aca="false">$G376*'Analyse capacite'!$F$9</f>
        <v>0</v>
      </c>
      <c r="I376" s="135" t="n">
        <f aca="false">$G376*'Analyse capacite'!$C$9</f>
        <v>0</v>
      </c>
      <c r="J376" s="135" t="n">
        <f aca="false">$G376*'Analyse capacite'!$D$9</f>
        <v>0</v>
      </c>
      <c r="K376" s="135" t="n">
        <f aca="false">$G376*'Analyse capacite'!$E$9</f>
        <v>0</v>
      </c>
    </row>
    <row r="377" customFormat="false" ht="15" hidden="false" customHeight="false" outlineLevel="0" collapsed="false">
      <c r="B377" s="130" t="n">
        <v>2027</v>
      </c>
      <c r="C377" s="131" t="s">
        <v>246</v>
      </c>
      <c r="D377" s="132" t="n">
        <v>46488</v>
      </c>
      <c r="E377" s="131" t="s">
        <v>40</v>
      </c>
      <c r="F377" s="133" t="s">
        <v>11</v>
      </c>
      <c r="G377" s="134" t="n">
        <f aca="false">LEN('Saisie programme'!$J$25)+SUMIFS('Vols additionnels'!$E$7:$E$66,'Vols additionnels'!$C$7:$C$66,$E377,'Vols additionnels'!$D$7:$D$66,$F377,'Vols additionnels'!$B$7:$B$66,$D377)</f>
        <v>0</v>
      </c>
      <c r="H377" s="135" t="n">
        <f aca="false">$G377*'Analyse capacite'!$F$7</f>
        <v>0</v>
      </c>
      <c r="I377" s="135" t="n">
        <f aca="false">$G377*'Analyse capacite'!$C$7</f>
        <v>0</v>
      </c>
      <c r="J377" s="135" t="n">
        <f aca="false">$G377*'Analyse capacite'!$D$7</f>
        <v>0</v>
      </c>
      <c r="K377" s="135" t="n">
        <f aca="false">$G377*'Analyse capacite'!$E$7</f>
        <v>0</v>
      </c>
    </row>
    <row r="378" customFormat="false" ht="15" hidden="false" customHeight="false" outlineLevel="0" collapsed="false">
      <c r="B378" s="130" t="n">
        <v>2027</v>
      </c>
      <c r="C378" s="131" t="s">
        <v>246</v>
      </c>
      <c r="D378" s="132" t="n">
        <v>46488</v>
      </c>
      <c r="E378" s="131" t="s">
        <v>40</v>
      </c>
      <c r="F378" s="133" t="s">
        <v>19</v>
      </c>
      <c r="G378" s="134" t="n">
        <f aca="false">LEN('Saisie programme'!$J$26)+SUMIFS('Vols additionnels'!$E$7:$E$66,'Vols additionnels'!$C$7:$C$66,$E378,'Vols additionnels'!$D$7:$D$66,$F378,'Vols additionnels'!$B$7:$B$66,$D378)</f>
        <v>0</v>
      </c>
      <c r="H378" s="135" t="n">
        <f aca="false">$G378*'Analyse capacite'!$F$8</f>
        <v>0</v>
      </c>
      <c r="I378" s="135" t="n">
        <f aca="false">$G378*'Analyse capacite'!$C$8</f>
        <v>0</v>
      </c>
      <c r="J378" s="135" t="n">
        <f aca="false">$G378*'Analyse capacite'!$D$8</f>
        <v>0</v>
      </c>
      <c r="K378" s="135" t="n">
        <f aca="false">$G378*'Analyse capacite'!$E$8</f>
        <v>0</v>
      </c>
    </row>
    <row r="379" customFormat="false" ht="15" hidden="false" customHeight="false" outlineLevel="0" collapsed="false">
      <c r="B379" s="130" t="n">
        <v>2027</v>
      </c>
      <c r="C379" s="131" t="s">
        <v>246</v>
      </c>
      <c r="D379" s="132" t="n">
        <v>46488</v>
      </c>
      <c r="E379" s="131" t="s">
        <v>40</v>
      </c>
      <c r="F379" s="133" t="s">
        <v>24</v>
      </c>
      <c r="G379" s="134" t="n">
        <f aca="false">LEN('Saisie programme'!$J$27)+SUMIFS('Vols additionnels'!$E$7:$E$66,'Vols additionnels'!$C$7:$C$66,$E379,'Vols additionnels'!$D$7:$D$66,$F379,'Vols additionnels'!$B$7:$B$66,$D379)</f>
        <v>1</v>
      </c>
      <c r="H379" s="135" t="n">
        <f aca="false">$G379*'Analyse capacite'!$F$9</f>
        <v>174</v>
      </c>
      <c r="I379" s="135" t="n">
        <f aca="false">$G379*'Analyse capacite'!$C$9</f>
        <v>0</v>
      </c>
      <c r="J379" s="135" t="n">
        <f aca="false">$G379*'Analyse capacite'!$D$9</f>
        <v>12</v>
      </c>
      <c r="K379" s="135" t="n">
        <f aca="false">$G379*'Analyse capacite'!$E$9</f>
        <v>162</v>
      </c>
    </row>
    <row r="380" customFormat="false" ht="15" hidden="false" customHeight="false" outlineLevel="0" collapsed="false">
      <c r="B380" s="130" t="n">
        <v>2027</v>
      </c>
      <c r="C380" s="131" t="s">
        <v>246</v>
      </c>
      <c r="D380" s="132" t="n">
        <v>46488</v>
      </c>
      <c r="E380" s="131" t="s">
        <v>14</v>
      </c>
      <c r="F380" s="133" t="s">
        <v>11</v>
      </c>
      <c r="G380" s="134" t="n">
        <f aca="false">LEN('Saisie programme'!$J$28)+SUMIFS('Vols additionnels'!$E$7:$E$66,'Vols additionnels'!$C$7:$C$66,$E380,'Vols additionnels'!$D$7:$D$66,$F380,'Vols additionnels'!$B$7:$B$66,$D380)</f>
        <v>0</v>
      </c>
      <c r="H380" s="135" t="n">
        <f aca="false">$G380*'Analyse capacite'!$F$7</f>
        <v>0</v>
      </c>
      <c r="I380" s="135" t="n">
        <f aca="false">$G380*'Analyse capacite'!$C$7</f>
        <v>0</v>
      </c>
      <c r="J380" s="135" t="n">
        <f aca="false">$G380*'Analyse capacite'!$D$7</f>
        <v>0</v>
      </c>
      <c r="K380" s="135" t="n">
        <f aca="false">$G380*'Analyse capacite'!$E$7</f>
        <v>0</v>
      </c>
    </row>
    <row r="381" customFormat="false" ht="15" hidden="false" customHeight="false" outlineLevel="0" collapsed="false">
      <c r="B381" s="130" t="n">
        <v>2027</v>
      </c>
      <c r="C381" s="131" t="s">
        <v>246</v>
      </c>
      <c r="D381" s="132" t="n">
        <v>46488</v>
      </c>
      <c r="E381" s="131" t="s">
        <v>14</v>
      </c>
      <c r="F381" s="133" t="s">
        <v>19</v>
      </c>
      <c r="G381" s="134" t="n">
        <f aca="false">LEN('Saisie programme'!$J$29)+SUMIFS('Vols additionnels'!$E$7:$E$66,'Vols additionnels'!$C$7:$C$66,$E381,'Vols additionnels'!$D$7:$D$66,$F381,'Vols additionnels'!$B$7:$B$66,$D381)</f>
        <v>0</v>
      </c>
      <c r="H381" s="135" t="n">
        <f aca="false">$G381*'Analyse capacite'!$F$8</f>
        <v>0</v>
      </c>
      <c r="I381" s="135" t="n">
        <f aca="false">$G381*'Analyse capacite'!$C$8</f>
        <v>0</v>
      </c>
      <c r="J381" s="135" t="n">
        <f aca="false">$G381*'Analyse capacite'!$D$8</f>
        <v>0</v>
      </c>
      <c r="K381" s="135" t="n">
        <f aca="false">$G381*'Analyse capacite'!$E$8</f>
        <v>0</v>
      </c>
    </row>
    <row r="382" customFormat="false" ht="15" hidden="false" customHeight="false" outlineLevel="0" collapsed="false">
      <c r="B382" s="130" t="n">
        <v>2027</v>
      </c>
      <c r="C382" s="131" t="s">
        <v>246</v>
      </c>
      <c r="D382" s="132" t="n">
        <v>46488</v>
      </c>
      <c r="E382" s="131" t="s">
        <v>14</v>
      </c>
      <c r="F382" s="133" t="s">
        <v>24</v>
      </c>
      <c r="G382" s="134" t="n">
        <f aca="false">LEN('Saisie programme'!$J$30)+SUMIFS('Vols additionnels'!$E$7:$E$66,'Vols additionnels'!$C$7:$C$66,$E382,'Vols additionnels'!$D$7:$D$66,$F382,'Vols additionnels'!$B$7:$B$66,$D382)</f>
        <v>0</v>
      </c>
      <c r="H382" s="135" t="n">
        <f aca="false">$G382*'Analyse capacite'!$F$9</f>
        <v>0</v>
      </c>
      <c r="I382" s="135" t="n">
        <f aca="false">$G382*'Analyse capacite'!$C$9</f>
        <v>0</v>
      </c>
      <c r="J382" s="135" t="n">
        <f aca="false">$G382*'Analyse capacite'!$D$9</f>
        <v>0</v>
      </c>
      <c r="K382" s="135" t="n">
        <f aca="false">$G382*'Analyse capacite'!$E$9</f>
        <v>0</v>
      </c>
    </row>
    <row r="383" customFormat="false" ht="15" hidden="false" customHeight="false" outlineLevel="0" collapsed="false">
      <c r="B383" s="130" t="n">
        <v>2027</v>
      </c>
      <c r="C383" s="131" t="s">
        <v>246</v>
      </c>
      <c r="D383" s="132" t="n">
        <v>46488</v>
      </c>
      <c r="E383" s="131" t="s">
        <v>46</v>
      </c>
      <c r="F383" s="133" t="s">
        <v>11</v>
      </c>
      <c r="G383" s="134" t="n">
        <f aca="false">LEN('Saisie programme'!$J$31)+SUMIFS('Vols additionnels'!$E$7:$E$66,'Vols additionnels'!$C$7:$C$66,$E383,'Vols additionnels'!$D$7:$D$66,$F383,'Vols additionnels'!$B$7:$B$66,$D383)</f>
        <v>0</v>
      </c>
      <c r="H383" s="135" t="n">
        <f aca="false">$G383*'Analyse capacite'!$F$7</f>
        <v>0</v>
      </c>
      <c r="I383" s="135" t="n">
        <f aca="false">$G383*'Analyse capacite'!$C$7</f>
        <v>0</v>
      </c>
      <c r="J383" s="135" t="n">
        <f aca="false">$G383*'Analyse capacite'!$D$7</f>
        <v>0</v>
      </c>
      <c r="K383" s="135" t="n">
        <f aca="false">$G383*'Analyse capacite'!$E$7</f>
        <v>0</v>
      </c>
    </row>
    <row r="384" customFormat="false" ht="15" hidden="false" customHeight="false" outlineLevel="0" collapsed="false">
      <c r="B384" s="130" t="n">
        <v>2027</v>
      </c>
      <c r="C384" s="131" t="s">
        <v>246</v>
      </c>
      <c r="D384" s="132" t="n">
        <v>46488</v>
      </c>
      <c r="E384" s="131" t="s">
        <v>46</v>
      </c>
      <c r="F384" s="133" t="s">
        <v>19</v>
      </c>
      <c r="G384" s="134" t="n">
        <f aca="false">LEN('Saisie programme'!$J$32)+SUMIFS('Vols additionnels'!$E$7:$E$66,'Vols additionnels'!$C$7:$C$66,$E384,'Vols additionnels'!$D$7:$D$66,$F384,'Vols additionnels'!$B$7:$B$66,$D384)</f>
        <v>0</v>
      </c>
      <c r="H384" s="135" t="n">
        <f aca="false">$G384*'Analyse capacite'!$F$8</f>
        <v>0</v>
      </c>
      <c r="I384" s="135" t="n">
        <f aca="false">$G384*'Analyse capacite'!$C$8</f>
        <v>0</v>
      </c>
      <c r="J384" s="135" t="n">
        <f aca="false">$G384*'Analyse capacite'!$D$8</f>
        <v>0</v>
      </c>
      <c r="K384" s="135" t="n">
        <f aca="false">$G384*'Analyse capacite'!$E$8</f>
        <v>0</v>
      </c>
    </row>
    <row r="385" customFormat="false" ht="15" hidden="false" customHeight="false" outlineLevel="0" collapsed="false">
      <c r="B385" s="130" t="n">
        <v>2027</v>
      </c>
      <c r="C385" s="131" t="s">
        <v>246</v>
      </c>
      <c r="D385" s="132" t="n">
        <v>46488</v>
      </c>
      <c r="E385" s="131" t="s">
        <v>46</v>
      </c>
      <c r="F385" s="133" t="s">
        <v>24</v>
      </c>
      <c r="G385" s="134" t="n">
        <f aca="false">LEN('Saisie programme'!$J$33)+SUMIFS('Vols additionnels'!$E$7:$E$66,'Vols additionnels'!$C$7:$C$66,$E385,'Vols additionnels'!$D$7:$D$66,$F385,'Vols additionnels'!$B$7:$B$66,$D385)</f>
        <v>0</v>
      </c>
      <c r="H385" s="135" t="n">
        <f aca="false">$G385*'Analyse capacite'!$F$9</f>
        <v>0</v>
      </c>
      <c r="I385" s="135" t="n">
        <f aca="false">$G385*'Analyse capacite'!$C$9</f>
        <v>0</v>
      </c>
      <c r="J385" s="135" t="n">
        <f aca="false">$G385*'Analyse capacite'!$D$9</f>
        <v>0</v>
      </c>
      <c r="K385" s="135" t="n">
        <f aca="false">$G385*'Analyse capacite'!$E$9</f>
        <v>0</v>
      </c>
    </row>
    <row r="386" customFormat="false" ht="15" hidden="false" customHeight="false" outlineLevel="0" collapsed="false">
      <c r="B386" s="130" t="n">
        <v>2027</v>
      </c>
      <c r="C386" s="131" t="s">
        <v>246</v>
      </c>
      <c r="D386" s="132" t="n">
        <v>46488</v>
      </c>
      <c r="E386" s="131" t="s">
        <v>49</v>
      </c>
      <c r="F386" s="133" t="s">
        <v>11</v>
      </c>
      <c r="G386" s="134" t="n">
        <f aca="false">LEN('Saisie programme'!$J$34)+SUMIFS('Vols additionnels'!$E$7:$E$66,'Vols additionnels'!$C$7:$C$66,$E386,'Vols additionnels'!$D$7:$D$66,$F386,'Vols additionnels'!$B$7:$B$66,$D386)</f>
        <v>0</v>
      </c>
      <c r="H386" s="135" t="n">
        <f aca="false">$G386*'Analyse capacite'!$F$7</f>
        <v>0</v>
      </c>
      <c r="I386" s="135" t="n">
        <f aca="false">$G386*'Analyse capacite'!$C$7</f>
        <v>0</v>
      </c>
      <c r="J386" s="135" t="n">
        <f aca="false">$G386*'Analyse capacite'!$D$7</f>
        <v>0</v>
      </c>
      <c r="K386" s="135" t="n">
        <f aca="false">$G386*'Analyse capacite'!$E$7</f>
        <v>0</v>
      </c>
    </row>
    <row r="387" customFormat="false" ht="15" hidden="false" customHeight="false" outlineLevel="0" collapsed="false">
      <c r="B387" s="130" t="n">
        <v>2027</v>
      </c>
      <c r="C387" s="131" t="s">
        <v>246</v>
      </c>
      <c r="D387" s="132" t="n">
        <v>46488</v>
      </c>
      <c r="E387" s="131" t="s">
        <v>49</v>
      </c>
      <c r="F387" s="133" t="s">
        <v>19</v>
      </c>
      <c r="G387" s="134" t="n">
        <f aca="false">LEN('Saisie programme'!$J$35)+SUMIFS('Vols additionnels'!$E$7:$E$66,'Vols additionnels'!$C$7:$C$66,$E387,'Vols additionnels'!$D$7:$D$66,$F387,'Vols additionnels'!$B$7:$B$66,$D387)</f>
        <v>0</v>
      </c>
      <c r="H387" s="135" t="n">
        <f aca="false">$G387*'Analyse capacite'!$F$8</f>
        <v>0</v>
      </c>
      <c r="I387" s="135" t="n">
        <f aca="false">$G387*'Analyse capacite'!$C$8</f>
        <v>0</v>
      </c>
      <c r="J387" s="135" t="n">
        <f aca="false">$G387*'Analyse capacite'!$D$8</f>
        <v>0</v>
      </c>
      <c r="K387" s="135" t="n">
        <f aca="false">$G387*'Analyse capacite'!$E$8</f>
        <v>0</v>
      </c>
    </row>
    <row r="388" customFormat="false" ht="15" hidden="false" customHeight="false" outlineLevel="0" collapsed="false">
      <c r="B388" s="130" t="n">
        <v>2027</v>
      </c>
      <c r="C388" s="131" t="s">
        <v>246</v>
      </c>
      <c r="D388" s="132" t="n">
        <v>46488</v>
      </c>
      <c r="E388" s="131" t="s">
        <v>49</v>
      </c>
      <c r="F388" s="133" t="s">
        <v>24</v>
      </c>
      <c r="G388" s="134" t="n">
        <f aca="false">LEN('Saisie programme'!$J$36)+SUMIFS('Vols additionnels'!$E$7:$E$66,'Vols additionnels'!$C$7:$C$66,$E388,'Vols additionnels'!$D$7:$D$66,$F388,'Vols additionnels'!$B$7:$B$66,$D388)</f>
        <v>0</v>
      </c>
      <c r="H388" s="135" t="n">
        <f aca="false">$G388*'Analyse capacite'!$F$9</f>
        <v>0</v>
      </c>
      <c r="I388" s="135" t="n">
        <f aca="false">$G388*'Analyse capacite'!$C$9</f>
        <v>0</v>
      </c>
      <c r="J388" s="135" t="n">
        <f aca="false">$G388*'Analyse capacite'!$D$9</f>
        <v>0</v>
      </c>
      <c r="K388" s="135" t="n">
        <f aca="false">$G388*'Analyse capacite'!$E$9</f>
        <v>0</v>
      </c>
    </row>
    <row r="389" customFormat="false" ht="15" hidden="false" customHeight="false" outlineLevel="0" collapsed="false">
      <c r="B389" s="130" t="n">
        <v>2027</v>
      </c>
      <c r="C389" s="131" t="s">
        <v>246</v>
      </c>
      <c r="D389" s="132" t="n">
        <v>46488</v>
      </c>
      <c r="E389" s="131" t="s">
        <v>53</v>
      </c>
      <c r="F389" s="133" t="s">
        <v>11</v>
      </c>
      <c r="G389" s="134" t="n">
        <f aca="false">LEN('Saisie programme'!$J$37)+SUMIFS('Vols additionnels'!$E$7:$E$66,'Vols additionnels'!$C$7:$C$66,$E389,'Vols additionnels'!$D$7:$D$66,$F389,'Vols additionnels'!$B$7:$B$66,$D389)</f>
        <v>0</v>
      </c>
      <c r="H389" s="135" t="n">
        <f aca="false">$G389*'Analyse capacite'!$F$7</f>
        <v>0</v>
      </c>
      <c r="I389" s="135" t="n">
        <f aca="false">$G389*'Analyse capacite'!$C$7</f>
        <v>0</v>
      </c>
      <c r="J389" s="135" t="n">
        <f aca="false">$G389*'Analyse capacite'!$D$7</f>
        <v>0</v>
      </c>
      <c r="K389" s="135" t="n">
        <f aca="false">$G389*'Analyse capacite'!$E$7</f>
        <v>0</v>
      </c>
    </row>
    <row r="390" customFormat="false" ht="15" hidden="false" customHeight="false" outlineLevel="0" collapsed="false">
      <c r="B390" s="130" t="n">
        <v>2027</v>
      </c>
      <c r="C390" s="131" t="s">
        <v>246</v>
      </c>
      <c r="D390" s="132" t="n">
        <v>46488</v>
      </c>
      <c r="E390" s="131" t="s">
        <v>53</v>
      </c>
      <c r="F390" s="133" t="s">
        <v>19</v>
      </c>
      <c r="G390" s="134" t="n">
        <f aca="false">LEN('Saisie programme'!$J$38)+SUMIFS('Vols additionnels'!$E$7:$E$66,'Vols additionnels'!$C$7:$C$66,$E390,'Vols additionnels'!$D$7:$D$66,$F390,'Vols additionnels'!$B$7:$B$66,$D390)</f>
        <v>0</v>
      </c>
      <c r="H390" s="135" t="n">
        <f aca="false">$G390*'Analyse capacite'!$F$8</f>
        <v>0</v>
      </c>
      <c r="I390" s="135" t="n">
        <f aca="false">$G390*'Analyse capacite'!$C$8</f>
        <v>0</v>
      </c>
      <c r="J390" s="135" t="n">
        <f aca="false">$G390*'Analyse capacite'!$D$8</f>
        <v>0</v>
      </c>
      <c r="K390" s="135" t="n">
        <f aca="false">$G390*'Analyse capacite'!$E$8</f>
        <v>0</v>
      </c>
    </row>
    <row r="391" customFormat="false" ht="15" hidden="false" customHeight="false" outlineLevel="0" collapsed="false">
      <c r="B391" s="130" t="n">
        <v>2027</v>
      </c>
      <c r="C391" s="131" t="s">
        <v>246</v>
      </c>
      <c r="D391" s="132" t="n">
        <v>46488</v>
      </c>
      <c r="E391" s="131" t="s">
        <v>53</v>
      </c>
      <c r="F391" s="133" t="s">
        <v>24</v>
      </c>
      <c r="G391" s="134" t="n">
        <f aca="false">LEN('Saisie programme'!$J$39)+SUMIFS('Vols additionnels'!$E$7:$E$66,'Vols additionnels'!$C$7:$C$66,$E391,'Vols additionnels'!$D$7:$D$66,$F391,'Vols additionnels'!$B$7:$B$66,$D391)</f>
        <v>0</v>
      </c>
      <c r="H391" s="135" t="n">
        <f aca="false">$G391*'Analyse capacite'!$F$9</f>
        <v>0</v>
      </c>
      <c r="I391" s="135" t="n">
        <f aca="false">$G391*'Analyse capacite'!$C$9</f>
        <v>0</v>
      </c>
      <c r="J391" s="135" t="n">
        <f aca="false">$G391*'Analyse capacite'!$D$9</f>
        <v>0</v>
      </c>
      <c r="K391" s="135" t="n">
        <f aca="false">$G391*'Analyse capacite'!$E$9</f>
        <v>0</v>
      </c>
    </row>
    <row r="392" customFormat="false" ht="15" hidden="false" customHeight="false" outlineLevel="0" collapsed="false">
      <c r="B392" s="130" t="n">
        <v>2027</v>
      </c>
      <c r="C392" s="131" t="s">
        <v>246</v>
      </c>
      <c r="D392" s="132" t="n">
        <v>46488</v>
      </c>
      <c r="E392" s="131" t="s">
        <v>56</v>
      </c>
      <c r="F392" s="133" t="s">
        <v>11</v>
      </c>
      <c r="G392" s="134" t="n">
        <f aca="false">LEN('Saisie programme'!$J$40)+SUMIFS('Vols additionnels'!$E$7:$E$66,'Vols additionnels'!$C$7:$C$66,$E392,'Vols additionnels'!$D$7:$D$66,$F392,'Vols additionnels'!$B$7:$B$66,$D392)</f>
        <v>0</v>
      </c>
      <c r="H392" s="135" t="n">
        <f aca="false">$G392*'Analyse capacite'!$F$7</f>
        <v>0</v>
      </c>
      <c r="I392" s="135" t="n">
        <f aca="false">$G392*'Analyse capacite'!$C$7</f>
        <v>0</v>
      </c>
      <c r="J392" s="135" t="n">
        <f aca="false">$G392*'Analyse capacite'!$D$7</f>
        <v>0</v>
      </c>
      <c r="K392" s="135" t="n">
        <f aca="false">$G392*'Analyse capacite'!$E$7</f>
        <v>0</v>
      </c>
    </row>
    <row r="393" customFormat="false" ht="15" hidden="false" customHeight="false" outlineLevel="0" collapsed="false">
      <c r="B393" s="130" t="n">
        <v>2027</v>
      </c>
      <c r="C393" s="131" t="s">
        <v>246</v>
      </c>
      <c r="D393" s="132" t="n">
        <v>46488</v>
      </c>
      <c r="E393" s="131" t="s">
        <v>56</v>
      </c>
      <c r="F393" s="133" t="s">
        <v>19</v>
      </c>
      <c r="G393" s="134" t="n">
        <f aca="false">LEN('Saisie programme'!$J$41)+SUMIFS('Vols additionnels'!$E$7:$E$66,'Vols additionnels'!$C$7:$C$66,$E393,'Vols additionnels'!$D$7:$D$66,$F393,'Vols additionnels'!$B$7:$B$66,$D393)</f>
        <v>0</v>
      </c>
      <c r="H393" s="135" t="n">
        <f aca="false">$G393*'Analyse capacite'!$F$8</f>
        <v>0</v>
      </c>
      <c r="I393" s="135" t="n">
        <f aca="false">$G393*'Analyse capacite'!$C$8</f>
        <v>0</v>
      </c>
      <c r="J393" s="135" t="n">
        <f aca="false">$G393*'Analyse capacite'!$D$8</f>
        <v>0</v>
      </c>
      <c r="K393" s="135" t="n">
        <f aca="false">$G393*'Analyse capacite'!$E$8</f>
        <v>0</v>
      </c>
    </row>
    <row r="394" customFormat="false" ht="15" hidden="false" customHeight="false" outlineLevel="0" collapsed="false">
      <c r="B394" s="130" t="n">
        <v>2027</v>
      </c>
      <c r="C394" s="131" t="s">
        <v>246</v>
      </c>
      <c r="D394" s="132" t="n">
        <v>46488</v>
      </c>
      <c r="E394" s="131" t="s">
        <v>56</v>
      </c>
      <c r="F394" s="133" t="s">
        <v>24</v>
      </c>
      <c r="G394" s="134" t="n">
        <f aca="false">LEN('Saisie programme'!$J$42)+SUMIFS('Vols additionnels'!$E$7:$E$66,'Vols additionnels'!$C$7:$C$66,$E394,'Vols additionnels'!$D$7:$D$66,$F394,'Vols additionnels'!$B$7:$B$66,$D394)</f>
        <v>0</v>
      </c>
      <c r="H394" s="135" t="n">
        <f aca="false">$G394*'Analyse capacite'!$F$9</f>
        <v>0</v>
      </c>
      <c r="I394" s="135" t="n">
        <f aca="false">$G394*'Analyse capacite'!$C$9</f>
        <v>0</v>
      </c>
      <c r="J394" s="135" t="n">
        <f aca="false">$G394*'Analyse capacite'!$D$9</f>
        <v>0</v>
      </c>
      <c r="K394" s="135" t="n">
        <f aca="false">$G394*'Analyse capacite'!$E$9</f>
        <v>0</v>
      </c>
    </row>
    <row r="395" customFormat="false" ht="15" hidden="false" customHeight="false" outlineLevel="0" collapsed="false">
      <c r="B395" s="130" t="n">
        <v>2027</v>
      </c>
      <c r="C395" s="131" t="s">
        <v>246</v>
      </c>
      <c r="D395" s="132" t="n">
        <v>46488</v>
      </c>
      <c r="E395" s="131" t="s">
        <v>59</v>
      </c>
      <c r="F395" s="133" t="s">
        <v>11</v>
      </c>
      <c r="G395" s="134" t="n">
        <f aca="false">LEN('Saisie programme'!$J$43)+SUMIFS('Vols additionnels'!$E$7:$E$66,'Vols additionnels'!$C$7:$C$66,$E395,'Vols additionnels'!$D$7:$D$66,$F395,'Vols additionnels'!$B$7:$B$66,$D395)</f>
        <v>0</v>
      </c>
      <c r="H395" s="135" t="n">
        <f aca="false">$G395*'Analyse capacite'!$F$7</f>
        <v>0</v>
      </c>
      <c r="I395" s="135" t="n">
        <f aca="false">$G395*'Analyse capacite'!$C$7</f>
        <v>0</v>
      </c>
      <c r="J395" s="135" t="n">
        <f aca="false">$G395*'Analyse capacite'!$D$7</f>
        <v>0</v>
      </c>
      <c r="K395" s="135" t="n">
        <f aca="false">$G395*'Analyse capacite'!$E$7</f>
        <v>0</v>
      </c>
    </row>
    <row r="396" customFormat="false" ht="15" hidden="false" customHeight="false" outlineLevel="0" collapsed="false">
      <c r="B396" s="130" t="n">
        <v>2027</v>
      </c>
      <c r="C396" s="131" t="s">
        <v>246</v>
      </c>
      <c r="D396" s="132" t="n">
        <v>46488</v>
      </c>
      <c r="E396" s="131" t="s">
        <v>59</v>
      </c>
      <c r="F396" s="133" t="s">
        <v>19</v>
      </c>
      <c r="G396" s="134" t="n">
        <f aca="false">LEN('Saisie programme'!$J$44)+SUMIFS('Vols additionnels'!$E$7:$E$66,'Vols additionnels'!$C$7:$C$66,$E396,'Vols additionnels'!$D$7:$D$66,$F396,'Vols additionnels'!$B$7:$B$66,$D396)</f>
        <v>0</v>
      </c>
      <c r="H396" s="135" t="n">
        <f aca="false">$G396*'Analyse capacite'!$F$8</f>
        <v>0</v>
      </c>
      <c r="I396" s="135" t="n">
        <f aca="false">$G396*'Analyse capacite'!$C$8</f>
        <v>0</v>
      </c>
      <c r="J396" s="135" t="n">
        <f aca="false">$G396*'Analyse capacite'!$D$8</f>
        <v>0</v>
      </c>
      <c r="K396" s="135" t="n">
        <f aca="false">$G396*'Analyse capacite'!$E$8</f>
        <v>0</v>
      </c>
    </row>
    <row r="397" customFormat="false" ht="15" hidden="false" customHeight="false" outlineLevel="0" collapsed="false">
      <c r="B397" s="130" t="n">
        <v>2027</v>
      </c>
      <c r="C397" s="131" t="s">
        <v>246</v>
      </c>
      <c r="D397" s="132" t="n">
        <v>46488</v>
      </c>
      <c r="E397" s="131" t="s">
        <v>59</v>
      </c>
      <c r="F397" s="133" t="s">
        <v>24</v>
      </c>
      <c r="G397" s="134" t="n">
        <f aca="false">LEN('Saisie programme'!$J$45)+SUMIFS('Vols additionnels'!$E$7:$E$66,'Vols additionnels'!$C$7:$C$66,$E397,'Vols additionnels'!$D$7:$D$66,$F397,'Vols additionnels'!$B$7:$B$66,$D397)</f>
        <v>0</v>
      </c>
      <c r="H397" s="135" t="n">
        <f aca="false">$G397*'Analyse capacite'!$F$9</f>
        <v>0</v>
      </c>
      <c r="I397" s="135" t="n">
        <f aca="false">$G397*'Analyse capacite'!$C$9</f>
        <v>0</v>
      </c>
      <c r="J397" s="135" t="n">
        <f aca="false">$G397*'Analyse capacite'!$D$9</f>
        <v>0</v>
      </c>
      <c r="K397" s="135" t="n">
        <f aca="false">$G397*'Analyse capacite'!$E$9</f>
        <v>0</v>
      </c>
    </row>
    <row r="398" customFormat="false" ht="15" hidden="false" customHeight="false" outlineLevel="0" collapsed="false">
      <c r="B398" s="130" t="n">
        <v>2027</v>
      </c>
      <c r="C398" s="131" t="s">
        <v>246</v>
      </c>
      <c r="D398" s="132" t="n">
        <v>46488</v>
      </c>
      <c r="E398" s="131" t="s">
        <v>62</v>
      </c>
      <c r="F398" s="133" t="s">
        <v>11</v>
      </c>
      <c r="G398" s="134" t="n">
        <f aca="false">LEN('Saisie programme'!$J$46)+SUMIFS('Vols additionnels'!$E$7:$E$66,'Vols additionnels'!$C$7:$C$66,$E398,'Vols additionnels'!$D$7:$D$66,$F398,'Vols additionnels'!$B$7:$B$66,$D398)</f>
        <v>0</v>
      </c>
      <c r="H398" s="135" t="n">
        <f aca="false">$G398*'Analyse capacite'!$F$7</f>
        <v>0</v>
      </c>
      <c r="I398" s="135" t="n">
        <f aca="false">$G398*'Analyse capacite'!$C$7</f>
        <v>0</v>
      </c>
      <c r="J398" s="135" t="n">
        <f aca="false">$G398*'Analyse capacite'!$D$7</f>
        <v>0</v>
      </c>
      <c r="K398" s="135" t="n">
        <f aca="false">$G398*'Analyse capacite'!$E$7</f>
        <v>0</v>
      </c>
    </row>
    <row r="399" customFormat="false" ht="15" hidden="false" customHeight="false" outlineLevel="0" collapsed="false">
      <c r="B399" s="130" t="n">
        <v>2027</v>
      </c>
      <c r="C399" s="131" t="s">
        <v>246</v>
      </c>
      <c r="D399" s="132" t="n">
        <v>46488</v>
      </c>
      <c r="E399" s="131" t="s">
        <v>62</v>
      </c>
      <c r="F399" s="133" t="s">
        <v>19</v>
      </c>
      <c r="G399" s="134" t="n">
        <f aca="false">LEN('Saisie programme'!$J$47)+SUMIFS('Vols additionnels'!$E$7:$E$66,'Vols additionnels'!$C$7:$C$66,$E399,'Vols additionnels'!$D$7:$D$66,$F399,'Vols additionnels'!$B$7:$B$66,$D399)</f>
        <v>0</v>
      </c>
      <c r="H399" s="135" t="n">
        <f aca="false">$G399*'Analyse capacite'!$F$8</f>
        <v>0</v>
      </c>
      <c r="I399" s="135" t="n">
        <f aca="false">$G399*'Analyse capacite'!$C$8</f>
        <v>0</v>
      </c>
      <c r="J399" s="135" t="n">
        <f aca="false">$G399*'Analyse capacite'!$D$8</f>
        <v>0</v>
      </c>
      <c r="K399" s="135" t="n">
        <f aca="false">$G399*'Analyse capacite'!$E$8</f>
        <v>0</v>
      </c>
    </row>
    <row r="400" customFormat="false" ht="15" hidden="false" customHeight="false" outlineLevel="0" collapsed="false">
      <c r="B400" s="130" t="n">
        <v>2027</v>
      </c>
      <c r="C400" s="131" t="s">
        <v>246</v>
      </c>
      <c r="D400" s="132" t="n">
        <v>46488</v>
      </c>
      <c r="E400" s="131" t="s">
        <v>62</v>
      </c>
      <c r="F400" s="133" t="s">
        <v>24</v>
      </c>
      <c r="G400" s="134" t="n">
        <f aca="false">LEN('Saisie programme'!$J$48)+SUMIFS('Vols additionnels'!$E$7:$E$66,'Vols additionnels'!$C$7:$C$66,$E400,'Vols additionnels'!$D$7:$D$66,$F400,'Vols additionnels'!$B$7:$B$66,$D400)</f>
        <v>1</v>
      </c>
      <c r="H400" s="135" t="n">
        <f aca="false">$G400*'Analyse capacite'!$F$9</f>
        <v>174</v>
      </c>
      <c r="I400" s="135" t="n">
        <f aca="false">$G400*'Analyse capacite'!$C$9</f>
        <v>0</v>
      </c>
      <c r="J400" s="135" t="n">
        <f aca="false">$G400*'Analyse capacite'!$D$9</f>
        <v>12</v>
      </c>
      <c r="K400" s="135" t="n">
        <f aca="false">$G400*'Analyse capacite'!$E$9</f>
        <v>162</v>
      </c>
    </row>
    <row r="401" customFormat="false" ht="15" hidden="false" customHeight="false" outlineLevel="0" collapsed="false">
      <c r="B401" s="130" t="n">
        <v>2027</v>
      </c>
      <c r="C401" s="131" t="s">
        <v>246</v>
      </c>
      <c r="D401" s="132" t="n">
        <v>46489</v>
      </c>
      <c r="E401" s="131" t="s">
        <v>12</v>
      </c>
      <c r="F401" s="133" t="s">
        <v>11</v>
      </c>
      <c r="G401" s="134" t="n">
        <f aca="false">LEN('Saisie programme'!$D$13)+SUMIFS('Vols additionnels'!$E$7:$E$66,'Vols additionnels'!$C$7:$C$66,$E401,'Vols additionnels'!$D$7:$D$66,$F401,'Vols additionnels'!$B$7:$B$66,$D401)</f>
        <v>1</v>
      </c>
      <c r="H401" s="135" t="n">
        <f aca="false">$G401*'Analyse capacite'!$F$7</f>
        <v>438</v>
      </c>
      <c r="I401" s="135" t="n">
        <f aca="false">$G401*'Analyse capacite'!$C$7</f>
        <v>14</v>
      </c>
      <c r="J401" s="135" t="n">
        <f aca="false">$G401*'Analyse capacite'!$D$7</f>
        <v>40</v>
      </c>
      <c r="K401" s="135" t="n">
        <f aca="false">$G401*'Analyse capacite'!$E$7</f>
        <v>384</v>
      </c>
    </row>
    <row r="402" customFormat="false" ht="15" hidden="false" customHeight="false" outlineLevel="0" collapsed="false">
      <c r="B402" s="130" t="n">
        <v>2027</v>
      </c>
      <c r="C402" s="131" t="s">
        <v>246</v>
      </c>
      <c r="D402" s="132" t="n">
        <v>46489</v>
      </c>
      <c r="E402" s="131" t="s">
        <v>12</v>
      </c>
      <c r="F402" s="133" t="s">
        <v>19</v>
      </c>
      <c r="G402" s="134" t="n">
        <f aca="false">LEN('Saisie programme'!$D$14)+SUMIFS('Vols additionnels'!$E$7:$E$66,'Vols additionnels'!$C$7:$C$66,$E402,'Vols additionnels'!$D$7:$D$66,$F402,'Vols additionnels'!$B$7:$B$66,$D402)</f>
        <v>1</v>
      </c>
      <c r="H402" s="135" t="n">
        <f aca="false">$G402*'Analyse capacite'!$F$8</f>
        <v>262</v>
      </c>
      <c r="I402" s="135" t="n">
        <f aca="false">$G402*'Analyse capacite'!$C$8</f>
        <v>18</v>
      </c>
      <c r="J402" s="135" t="n">
        <f aca="false">$G402*'Analyse capacite'!$D$8</f>
        <v>0</v>
      </c>
      <c r="K402" s="135" t="n">
        <f aca="false">$G402*'Analyse capacite'!$E$8</f>
        <v>244</v>
      </c>
    </row>
    <row r="403" customFormat="false" ht="15" hidden="false" customHeight="false" outlineLevel="0" collapsed="false">
      <c r="B403" s="130" t="n">
        <v>2027</v>
      </c>
      <c r="C403" s="131" t="s">
        <v>246</v>
      </c>
      <c r="D403" s="132" t="n">
        <v>46489</v>
      </c>
      <c r="E403" s="131" t="s">
        <v>12</v>
      </c>
      <c r="F403" s="133" t="s">
        <v>24</v>
      </c>
      <c r="G403" s="134" t="n">
        <f aca="false">LEN('Saisie programme'!$D$15)+SUMIFS('Vols additionnels'!$E$7:$E$66,'Vols additionnels'!$C$7:$C$66,$E403,'Vols additionnels'!$D$7:$D$66,$F403,'Vols additionnels'!$B$7:$B$66,$D403)</f>
        <v>2</v>
      </c>
      <c r="H403" s="135" t="n">
        <f aca="false">$G403*'Analyse capacite'!$F$9</f>
        <v>348</v>
      </c>
      <c r="I403" s="135" t="n">
        <f aca="false">$G403*'Analyse capacite'!$C$9</f>
        <v>0</v>
      </c>
      <c r="J403" s="135" t="n">
        <f aca="false">$G403*'Analyse capacite'!$D$9</f>
        <v>24</v>
      </c>
      <c r="K403" s="135" t="n">
        <f aca="false">$G403*'Analyse capacite'!$E$9</f>
        <v>324</v>
      </c>
    </row>
    <row r="404" customFormat="false" ht="15" hidden="false" customHeight="false" outlineLevel="0" collapsed="false">
      <c r="B404" s="130" t="n">
        <v>2027</v>
      </c>
      <c r="C404" s="131" t="s">
        <v>246</v>
      </c>
      <c r="D404" s="132" t="n">
        <v>46489</v>
      </c>
      <c r="E404" s="131" t="s">
        <v>20</v>
      </c>
      <c r="F404" s="133" t="s">
        <v>11</v>
      </c>
      <c r="G404" s="134" t="n">
        <f aca="false">LEN('Saisie programme'!$D$16)+SUMIFS('Vols additionnels'!$E$7:$E$66,'Vols additionnels'!$C$7:$C$66,$E404,'Vols additionnels'!$D$7:$D$66,$F404,'Vols additionnels'!$B$7:$B$66,$D404)</f>
        <v>0</v>
      </c>
      <c r="H404" s="135" t="n">
        <f aca="false">$G404*'Analyse capacite'!$F$7</f>
        <v>0</v>
      </c>
      <c r="I404" s="135" t="n">
        <f aca="false">$G404*'Analyse capacite'!$C$7</f>
        <v>0</v>
      </c>
      <c r="J404" s="135" t="n">
        <f aca="false">$G404*'Analyse capacite'!$D$7</f>
        <v>0</v>
      </c>
      <c r="K404" s="135" t="n">
        <f aca="false">$G404*'Analyse capacite'!$E$7</f>
        <v>0</v>
      </c>
    </row>
    <row r="405" customFormat="false" ht="15" hidden="false" customHeight="false" outlineLevel="0" collapsed="false">
      <c r="B405" s="130" t="n">
        <v>2027</v>
      </c>
      <c r="C405" s="131" t="s">
        <v>246</v>
      </c>
      <c r="D405" s="132" t="n">
        <v>46489</v>
      </c>
      <c r="E405" s="131" t="s">
        <v>20</v>
      </c>
      <c r="F405" s="133" t="s">
        <v>19</v>
      </c>
      <c r="G405" s="134" t="n">
        <f aca="false">LEN('Saisie programme'!$D$17)+SUMIFS('Vols additionnels'!$E$7:$E$66,'Vols additionnels'!$C$7:$C$66,$E405,'Vols additionnels'!$D$7:$D$66,$F405,'Vols additionnels'!$B$7:$B$66,$D405)</f>
        <v>0</v>
      </c>
      <c r="H405" s="135" t="n">
        <f aca="false">$G405*'Analyse capacite'!$F$8</f>
        <v>0</v>
      </c>
      <c r="I405" s="135" t="n">
        <f aca="false">$G405*'Analyse capacite'!$C$8</f>
        <v>0</v>
      </c>
      <c r="J405" s="135" t="n">
        <f aca="false">$G405*'Analyse capacite'!$D$8</f>
        <v>0</v>
      </c>
      <c r="K405" s="135" t="n">
        <f aca="false">$G405*'Analyse capacite'!$E$8</f>
        <v>0</v>
      </c>
    </row>
    <row r="406" customFormat="false" ht="15" hidden="false" customHeight="false" outlineLevel="0" collapsed="false">
      <c r="B406" s="130" t="n">
        <v>2027</v>
      </c>
      <c r="C406" s="131" t="s">
        <v>246</v>
      </c>
      <c r="D406" s="132" t="n">
        <v>46489</v>
      </c>
      <c r="E406" s="131" t="s">
        <v>20</v>
      </c>
      <c r="F406" s="133" t="s">
        <v>24</v>
      </c>
      <c r="G406" s="134" t="n">
        <f aca="false">LEN('Saisie programme'!$D$18)+SUMIFS('Vols additionnels'!$E$7:$E$66,'Vols additionnels'!$C$7:$C$66,$E406,'Vols additionnels'!$D$7:$D$66,$F406,'Vols additionnels'!$B$7:$B$66,$D406)</f>
        <v>0</v>
      </c>
      <c r="H406" s="135" t="n">
        <f aca="false">$G406*'Analyse capacite'!$F$9</f>
        <v>0</v>
      </c>
      <c r="I406" s="135" t="n">
        <f aca="false">$G406*'Analyse capacite'!$C$9</f>
        <v>0</v>
      </c>
      <c r="J406" s="135" t="n">
        <f aca="false">$G406*'Analyse capacite'!$D$9</f>
        <v>0</v>
      </c>
      <c r="K406" s="135" t="n">
        <f aca="false">$G406*'Analyse capacite'!$E$9</f>
        <v>0</v>
      </c>
    </row>
    <row r="407" customFormat="false" ht="15" hidden="false" customHeight="false" outlineLevel="0" collapsed="false">
      <c r="B407" s="130" t="n">
        <v>2027</v>
      </c>
      <c r="C407" s="131" t="s">
        <v>246</v>
      </c>
      <c r="D407" s="132" t="n">
        <v>46489</v>
      </c>
      <c r="E407" s="131" t="s">
        <v>25</v>
      </c>
      <c r="F407" s="133" t="s">
        <v>11</v>
      </c>
      <c r="G407" s="134" t="n">
        <f aca="false">LEN('Saisie programme'!$D$19)+SUMIFS('Vols additionnels'!$E$7:$E$66,'Vols additionnels'!$C$7:$C$66,$E407,'Vols additionnels'!$D$7:$D$66,$F407,'Vols additionnels'!$B$7:$B$66,$D407)</f>
        <v>0</v>
      </c>
      <c r="H407" s="135" t="n">
        <f aca="false">$G407*'Analyse capacite'!$F$7</f>
        <v>0</v>
      </c>
      <c r="I407" s="135" t="n">
        <f aca="false">$G407*'Analyse capacite'!$C$7</f>
        <v>0</v>
      </c>
      <c r="J407" s="135" t="n">
        <f aca="false">$G407*'Analyse capacite'!$D$7</f>
        <v>0</v>
      </c>
      <c r="K407" s="135" t="n">
        <f aca="false">$G407*'Analyse capacite'!$E$7</f>
        <v>0</v>
      </c>
    </row>
    <row r="408" customFormat="false" ht="15" hidden="false" customHeight="false" outlineLevel="0" collapsed="false">
      <c r="B408" s="130" t="n">
        <v>2027</v>
      </c>
      <c r="C408" s="131" t="s">
        <v>246</v>
      </c>
      <c r="D408" s="132" t="n">
        <v>46489</v>
      </c>
      <c r="E408" s="131" t="s">
        <v>25</v>
      </c>
      <c r="F408" s="133" t="s">
        <v>19</v>
      </c>
      <c r="G408" s="134" t="n">
        <f aca="false">LEN('Saisie programme'!$D$20)+SUMIFS('Vols additionnels'!$E$7:$E$66,'Vols additionnels'!$C$7:$C$66,$E408,'Vols additionnels'!$D$7:$D$66,$F408,'Vols additionnels'!$B$7:$B$66,$D408)</f>
        <v>0</v>
      </c>
      <c r="H408" s="135" t="n">
        <f aca="false">$G408*'Analyse capacite'!$F$8</f>
        <v>0</v>
      </c>
      <c r="I408" s="135" t="n">
        <f aca="false">$G408*'Analyse capacite'!$C$8</f>
        <v>0</v>
      </c>
      <c r="J408" s="135" t="n">
        <f aca="false">$G408*'Analyse capacite'!$D$8</f>
        <v>0</v>
      </c>
      <c r="K408" s="135" t="n">
        <f aca="false">$G408*'Analyse capacite'!$E$8</f>
        <v>0</v>
      </c>
    </row>
    <row r="409" customFormat="false" ht="15" hidden="false" customHeight="false" outlineLevel="0" collapsed="false">
      <c r="B409" s="130" t="n">
        <v>2027</v>
      </c>
      <c r="C409" s="131" t="s">
        <v>246</v>
      </c>
      <c r="D409" s="132" t="n">
        <v>46489</v>
      </c>
      <c r="E409" s="131" t="s">
        <v>25</v>
      </c>
      <c r="F409" s="133" t="s">
        <v>24</v>
      </c>
      <c r="G409" s="134" t="n">
        <f aca="false">LEN('Saisie programme'!$D$21)+SUMIFS('Vols additionnels'!$E$7:$E$66,'Vols additionnels'!$C$7:$C$66,$E409,'Vols additionnels'!$D$7:$D$66,$F409,'Vols additionnels'!$B$7:$B$66,$D409)</f>
        <v>0</v>
      </c>
      <c r="H409" s="135" t="n">
        <f aca="false">$G409*'Analyse capacite'!$F$9</f>
        <v>0</v>
      </c>
      <c r="I409" s="135" t="n">
        <f aca="false">$G409*'Analyse capacite'!$C$9</f>
        <v>0</v>
      </c>
      <c r="J409" s="135" t="n">
        <f aca="false">$G409*'Analyse capacite'!$D$9</f>
        <v>0</v>
      </c>
      <c r="K409" s="135" t="n">
        <f aca="false">$G409*'Analyse capacite'!$E$9</f>
        <v>0</v>
      </c>
    </row>
    <row r="410" customFormat="false" ht="15" hidden="false" customHeight="false" outlineLevel="0" collapsed="false">
      <c r="B410" s="130" t="n">
        <v>2027</v>
      </c>
      <c r="C410" s="131" t="s">
        <v>246</v>
      </c>
      <c r="D410" s="132" t="n">
        <v>46489</v>
      </c>
      <c r="E410" s="131" t="s">
        <v>36</v>
      </c>
      <c r="F410" s="133" t="s">
        <v>11</v>
      </c>
      <c r="G410" s="134" t="n">
        <f aca="false">LEN('Saisie programme'!$D$22)+SUMIFS('Vols additionnels'!$E$7:$E$66,'Vols additionnels'!$C$7:$C$66,$E410,'Vols additionnels'!$D$7:$D$66,$F410,'Vols additionnels'!$B$7:$B$66,$D410)</f>
        <v>0</v>
      </c>
      <c r="H410" s="135" t="n">
        <f aca="false">$G410*'Analyse capacite'!$F$7</f>
        <v>0</v>
      </c>
      <c r="I410" s="135" t="n">
        <f aca="false">$G410*'Analyse capacite'!$C$7</f>
        <v>0</v>
      </c>
      <c r="J410" s="135" t="n">
        <f aca="false">$G410*'Analyse capacite'!$D$7</f>
        <v>0</v>
      </c>
      <c r="K410" s="135" t="n">
        <f aca="false">$G410*'Analyse capacite'!$E$7</f>
        <v>0</v>
      </c>
    </row>
    <row r="411" customFormat="false" ht="15" hidden="false" customHeight="false" outlineLevel="0" collapsed="false">
      <c r="B411" s="130" t="n">
        <v>2027</v>
      </c>
      <c r="C411" s="131" t="s">
        <v>246</v>
      </c>
      <c r="D411" s="132" t="n">
        <v>46489</v>
      </c>
      <c r="E411" s="131" t="s">
        <v>36</v>
      </c>
      <c r="F411" s="133" t="s">
        <v>19</v>
      </c>
      <c r="G411" s="134" t="n">
        <f aca="false">LEN('Saisie programme'!$D$23)+SUMIFS('Vols additionnels'!$E$7:$E$66,'Vols additionnels'!$C$7:$C$66,$E411,'Vols additionnels'!$D$7:$D$66,$F411,'Vols additionnels'!$B$7:$B$66,$D411)</f>
        <v>0</v>
      </c>
      <c r="H411" s="135" t="n">
        <f aca="false">$G411*'Analyse capacite'!$F$8</f>
        <v>0</v>
      </c>
      <c r="I411" s="135" t="n">
        <f aca="false">$G411*'Analyse capacite'!$C$8</f>
        <v>0</v>
      </c>
      <c r="J411" s="135" t="n">
        <f aca="false">$G411*'Analyse capacite'!$D$8</f>
        <v>0</v>
      </c>
      <c r="K411" s="135" t="n">
        <f aca="false">$G411*'Analyse capacite'!$E$8</f>
        <v>0</v>
      </c>
    </row>
    <row r="412" customFormat="false" ht="15" hidden="false" customHeight="false" outlineLevel="0" collapsed="false">
      <c r="B412" s="130" t="n">
        <v>2027</v>
      </c>
      <c r="C412" s="131" t="s">
        <v>246</v>
      </c>
      <c r="D412" s="132" t="n">
        <v>46489</v>
      </c>
      <c r="E412" s="131" t="s">
        <v>36</v>
      </c>
      <c r="F412" s="133" t="s">
        <v>24</v>
      </c>
      <c r="G412" s="134" t="n">
        <f aca="false">LEN('Saisie programme'!$D$24)+SUMIFS('Vols additionnels'!$E$7:$E$66,'Vols additionnels'!$C$7:$C$66,$E412,'Vols additionnels'!$D$7:$D$66,$F412,'Vols additionnels'!$B$7:$B$66,$D412)</f>
        <v>1</v>
      </c>
      <c r="H412" s="135" t="n">
        <f aca="false">$G412*'Analyse capacite'!$F$9</f>
        <v>174</v>
      </c>
      <c r="I412" s="135" t="n">
        <f aca="false">$G412*'Analyse capacite'!$C$9</f>
        <v>0</v>
      </c>
      <c r="J412" s="135" t="n">
        <f aca="false">$G412*'Analyse capacite'!$D$9</f>
        <v>12</v>
      </c>
      <c r="K412" s="135" t="n">
        <f aca="false">$G412*'Analyse capacite'!$E$9</f>
        <v>162</v>
      </c>
    </row>
    <row r="413" customFormat="false" ht="15" hidden="false" customHeight="false" outlineLevel="0" collapsed="false">
      <c r="B413" s="130" t="n">
        <v>2027</v>
      </c>
      <c r="C413" s="131" t="s">
        <v>246</v>
      </c>
      <c r="D413" s="132" t="n">
        <v>46489</v>
      </c>
      <c r="E413" s="131" t="s">
        <v>40</v>
      </c>
      <c r="F413" s="133" t="s">
        <v>11</v>
      </c>
      <c r="G413" s="134" t="n">
        <f aca="false">LEN('Saisie programme'!$D$25)+SUMIFS('Vols additionnels'!$E$7:$E$66,'Vols additionnels'!$C$7:$C$66,$E413,'Vols additionnels'!$D$7:$D$66,$F413,'Vols additionnels'!$B$7:$B$66,$D413)</f>
        <v>0</v>
      </c>
      <c r="H413" s="135" t="n">
        <f aca="false">$G413*'Analyse capacite'!$F$7</f>
        <v>0</v>
      </c>
      <c r="I413" s="135" t="n">
        <f aca="false">$G413*'Analyse capacite'!$C$7</f>
        <v>0</v>
      </c>
      <c r="J413" s="135" t="n">
        <f aca="false">$G413*'Analyse capacite'!$D$7</f>
        <v>0</v>
      </c>
      <c r="K413" s="135" t="n">
        <f aca="false">$G413*'Analyse capacite'!$E$7</f>
        <v>0</v>
      </c>
    </row>
    <row r="414" customFormat="false" ht="15" hidden="false" customHeight="false" outlineLevel="0" collapsed="false">
      <c r="B414" s="130" t="n">
        <v>2027</v>
      </c>
      <c r="C414" s="131" t="s">
        <v>246</v>
      </c>
      <c r="D414" s="132" t="n">
        <v>46489</v>
      </c>
      <c r="E414" s="131" t="s">
        <v>40</v>
      </c>
      <c r="F414" s="133" t="s">
        <v>19</v>
      </c>
      <c r="G414" s="134" t="n">
        <f aca="false">LEN('Saisie programme'!$D$26)+SUMIFS('Vols additionnels'!$E$7:$E$66,'Vols additionnels'!$C$7:$C$66,$E414,'Vols additionnels'!$D$7:$D$66,$F414,'Vols additionnels'!$B$7:$B$66,$D414)</f>
        <v>0</v>
      </c>
      <c r="H414" s="135" t="n">
        <f aca="false">$G414*'Analyse capacite'!$F$8</f>
        <v>0</v>
      </c>
      <c r="I414" s="135" t="n">
        <f aca="false">$G414*'Analyse capacite'!$C$8</f>
        <v>0</v>
      </c>
      <c r="J414" s="135" t="n">
        <f aca="false">$G414*'Analyse capacite'!$D$8</f>
        <v>0</v>
      </c>
      <c r="K414" s="135" t="n">
        <f aca="false">$G414*'Analyse capacite'!$E$8</f>
        <v>0</v>
      </c>
    </row>
    <row r="415" customFormat="false" ht="15" hidden="false" customHeight="false" outlineLevel="0" collapsed="false">
      <c r="B415" s="130" t="n">
        <v>2027</v>
      </c>
      <c r="C415" s="131" t="s">
        <v>246</v>
      </c>
      <c r="D415" s="132" t="n">
        <v>46489</v>
      </c>
      <c r="E415" s="131" t="s">
        <v>40</v>
      </c>
      <c r="F415" s="133" t="s">
        <v>24</v>
      </c>
      <c r="G415" s="134" t="n">
        <f aca="false">LEN('Saisie programme'!$D$27)+SUMIFS('Vols additionnels'!$E$7:$E$66,'Vols additionnels'!$C$7:$C$66,$E415,'Vols additionnels'!$D$7:$D$66,$F415,'Vols additionnels'!$B$7:$B$66,$D415)</f>
        <v>1</v>
      </c>
      <c r="H415" s="135" t="n">
        <f aca="false">$G415*'Analyse capacite'!$F$9</f>
        <v>174</v>
      </c>
      <c r="I415" s="135" t="n">
        <f aca="false">$G415*'Analyse capacite'!$C$9</f>
        <v>0</v>
      </c>
      <c r="J415" s="135" t="n">
        <f aca="false">$G415*'Analyse capacite'!$D$9</f>
        <v>12</v>
      </c>
      <c r="K415" s="135" t="n">
        <f aca="false">$G415*'Analyse capacite'!$E$9</f>
        <v>162</v>
      </c>
    </row>
    <row r="416" customFormat="false" ht="15" hidden="false" customHeight="false" outlineLevel="0" collapsed="false">
      <c r="B416" s="130" t="n">
        <v>2027</v>
      </c>
      <c r="C416" s="131" t="s">
        <v>246</v>
      </c>
      <c r="D416" s="132" t="n">
        <v>46489</v>
      </c>
      <c r="E416" s="131" t="s">
        <v>14</v>
      </c>
      <c r="F416" s="133" t="s">
        <v>11</v>
      </c>
      <c r="G416" s="134" t="n">
        <f aca="false">LEN('Saisie programme'!$D$28)+SUMIFS('Vols additionnels'!$E$7:$E$66,'Vols additionnels'!$C$7:$C$66,$E416,'Vols additionnels'!$D$7:$D$66,$F416,'Vols additionnels'!$B$7:$B$66,$D416)</f>
        <v>0</v>
      </c>
      <c r="H416" s="135" t="n">
        <f aca="false">$G416*'Analyse capacite'!$F$7</f>
        <v>0</v>
      </c>
      <c r="I416" s="135" t="n">
        <f aca="false">$G416*'Analyse capacite'!$C$7</f>
        <v>0</v>
      </c>
      <c r="J416" s="135" t="n">
        <f aca="false">$G416*'Analyse capacite'!$D$7</f>
        <v>0</v>
      </c>
      <c r="K416" s="135" t="n">
        <f aca="false">$G416*'Analyse capacite'!$E$7</f>
        <v>0</v>
      </c>
    </row>
    <row r="417" customFormat="false" ht="15" hidden="false" customHeight="false" outlineLevel="0" collapsed="false">
      <c r="B417" s="130" t="n">
        <v>2027</v>
      </c>
      <c r="C417" s="131" t="s">
        <v>246</v>
      </c>
      <c r="D417" s="132" t="n">
        <v>46489</v>
      </c>
      <c r="E417" s="131" t="s">
        <v>14</v>
      </c>
      <c r="F417" s="133" t="s">
        <v>19</v>
      </c>
      <c r="G417" s="134" t="n">
        <f aca="false">LEN('Saisie programme'!$D$29)+SUMIFS('Vols additionnels'!$E$7:$E$66,'Vols additionnels'!$C$7:$C$66,$E417,'Vols additionnels'!$D$7:$D$66,$F417,'Vols additionnels'!$B$7:$B$66,$D417)</f>
        <v>0</v>
      </c>
      <c r="H417" s="135" t="n">
        <f aca="false">$G417*'Analyse capacite'!$F$8</f>
        <v>0</v>
      </c>
      <c r="I417" s="135" t="n">
        <f aca="false">$G417*'Analyse capacite'!$C$8</f>
        <v>0</v>
      </c>
      <c r="J417" s="135" t="n">
        <f aca="false">$G417*'Analyse capacite'!$D$8</f>
        <v>0</v>
      </c>
      <c r="K417" s="135" t="n">
        <f aca="false">$G417*'Analyse capacite'!$E$8</f>
        <v>0</v>
      </c>
    </row>
    <row r="418" customFormat="false" ht="15" hidden="false" customHeight="false" outlineLevel="0" collapsed="false">
      <c r="B418" s="130" t="n">
        <v>2027</v>
      </c>
      <c r="C418" s="131" t="s">
        <v>246</v>
      </c>
      <c r="D418" s="132" t="n">
        <v>46489</v>
      </c>
      <c r="E418" s="131" t="s">
        <v>14</v>
      </c>
      <c r="F418" s="133" t="s">
        <v>24</v>
      </c>
      <c r="G418" s="134" t="n">
        <f aca="false">LEN('Saisie programme'!$D$30)+SUMIFS('Vols additionnels'!$E$7:$E$66,'Vols additionnels'!$C$7:$C$66,$E418,'Vols additionnels'!$D$7:$D$66,$F418,'Vols additionnels'!$B$7:$B$66,$D418)</f>
        <v>1</v>
      </c>
      <c r="H418" s="135" t="n">
        <f aca="false">$G418*'Analyse capacite'!$F$9</f>
        <v>174</v>
      </c>
      <c r="I418" s="135" t="n">
        <f aca="false">$G418*'Analyse capacite'!$C$9</f>
        <v>0</v>
      </c>
      <c r="J418" s="135" t="n">
        <f aca="false">$G418*'Analyse capacite'!$D$9</f>
        <v>12</v>
      </c>
      <c r="K418" s="135" t="n">
        <f aca="false">$G418*'Analyse capacite'!$E$9</f>
        <v>162</v>
      </c>
    </row>
    <row r="419" customFormat="false" ht="15" hidden="false" customHeight="false" outlineLevel="0" collapsed="false">
      <c r="B419" s="130" t="n">
        <v>2027</v>
      </c>
      <c r="C419" s="131" t="s">
        <v>246</v>
      </c>
      <c r="D419" s="132" t="n">
        <v>46489</v>
      </c>
      <c r="E419" s="131" t="s">
        <v>46</v>
      </c>
      <c r="F419" s="133" t="s">
        <v>11</v>
      </c>
      <c r="G419" s="134" t="n">
        <f aca="false">LEN('Saisie programme'!$D$31)+SUMIFS('Vols additionnels'!$E$7:$E$66,'Vols additionnels'!$C$7:$C$66,$E419,'Vols additionnels'!$D$7:$D$66,$F419,'Vols additionnels'!$B$7:$B$66,$D419)</f>
        <v>0</v>
      </c>
      <c r="H419" s="135" t="n">
        <f aca="false">$G419*'Analyse capacite'!$F$7</f>
        <v>0</v>
      </c>
      <c r="I419" s="135" t="n">
        <f aca="false">$G419*'Analyse capacite'!$C$7</f>
        <v>0</v>
      </c>
      <c r="J419" s="135" t="n">
        <f aca="false">$G419*'Analyse capacite'!$D$7</f>
        <v>0</v>
      </c>
      <c r="K419" s="135" t="n">
        <f aca="false">$G419*'Analyse capacite'!$E$7</f>
        <v>0</v>
      </c>
    </row>
    <row r="420" customFormat="false" ht="15" hidden="false" customHeight="false" outlineLevel="0" collapsed="false">
      <c r="B420" s="130" t="n">
        <v>2027</v>
      </c>
      <c r="C420" s="131" t="s">
        <v>246</v>
      </c>
      <c r="D420" s="132" t="n">
        <v>46489</v>
      </c>
      <c r="E420" s="131" t="s">
        <v>46</v>
      </c>
      <c r="F420" s="133" t="s">
        <v>19</v>
      </c>
      <c r="G420" s="134" t="n">
        <f aca="false">LEN('Saisie programme'!$D$32)+SUMIFS('Vols additionnels'!$E$7:$E$66,'Vols additionnels'!$C$7:$C$66,$E420,'Vols additionnels'!$D$7:$D$66,$F420,'Vols additionnels'!$B$7:$B$66,$D420)</f>
        <v>0</v>
      </c>
      <c r="H420" s="135" t="n">
        <f aca="false">$G420*'Analyse capacite'!$F$8</f>
        <v>0</v>
      </c>
      <c r="I420" s="135" t="n">
        <f aca="false">$G420*'Analyse capacite'!$C$8</f>
        <v>0</v>
      </c>
      <c r="J420" s="135" t="n">
        <f aca="false">$G420*'Analyse capacite'!$D$8</f>
        <v>0</v>
      </c>
      <c r="K420" s="135" t="n">
        <f aca="false">$G420*'Analyse capacite'!$E$8</f>
        <v>0</v>
      </c>
    </row>
    <row r="421" customFormat="false" ht="15" hidden="false" customHeight="false" outlineLevel="0" collapsed="false">
      <c r="B421" s="130" t="n">
        <v>2027</v>
      </c>
      <c r="C421" s="131" t="s">
        <v>246</v>
      </c>
      <c r="D421" s="132" t="n">
        <v>46489</v>
      </c>
      <c r="E421" s="131" t="s">
        <v>46</v>
      </c>
      <c r="F421" s="133" t="s">
        <v>24</v>
      </c>
      <c r="G421" s="134" t="n">
        <f aca="false">LEN('Saisie programme'!$D$33)+SUMIFS('Vols additionnels'!$E$7:$E$66,'Vols additionnels'!$C$7:$C$66,$E421,'Vols additionnels'!$D$7:$D$66,$F421,'Vols additionnels'!$B$7:$B$66,$D421)</f>
        <v>0</v>
      </c>
      <c r="H421" s="135" t="n">
        <f aca="false">$G421*'Analyse capacite'!$F$9</f>
        <v>0</v>
      </c>
      <c r="I421" s="135" t="n">
        <f aca="false">$G421*'Analyse capacite'!$C$9</f>
        <v>0</v>
      </c>
      <c r="J421" s="135" t="n">
        <f aca="false">$G421*'Analyse capacite'!$D$9</f>
        <v>0</v>
      </c>
      <c r="K421" s="135" t="n">
        <f aca="false">$G421*'Analyse capacite'!$E$9</f>
        <v>0</v>
      </c>
    </row>
    <row r="422" customFormat="false" ht="15" hidden="false" customHeight="false" outlineLevel="0" collapsed="false">
      <c r="B422" s="130" t="n">
        <v>2027</v>
      </c>
      <c r="C422" s="131" t="s">
        <v>246</v>
      </c>
      <c r="D422" s="132" t="n">
        <v>46489</v>
      </c>
      <c r="E422" s="131" t="s">
        <v>49</v>
      </c>
      <c r="F422" s="133" t="s">
        <v>11</v>
      </c>
      <c r="G422" s="134" t="n">
        <f aca="false">LEN('Saisie programme'!$D$34)+SUMIFS('Vols additionnels'!$E$7:$E$66,'Vols additionnels'!$C$7:$C$66,$E422,'Vols additionnels'!$D$7:$D$66,$F422,'Vols additionnels'!$B$7:$B$66,$D422)</f>
        <v>0</v>
      </c>
      <c r="H422" s="135" t="n">
        <f aca="false">$G422*'Analyse capacite'!$F$7</f>
        <v>0</v>
      </c>
      <c r="I422" s="135" t="n">
        <f aca="false">$G422*'Analyse capacite'!$C$7</f>
        <v>0</v>
      </c>
      <c r="J422" s="135" t="n">
        <f aca="false">$G422*'Analyse capacite'!$D$7</f>
        <v>0</v>
      </c>
      <c r="K422" s="135" t="n">
        <f aca="false">$G422*'Analyse capacite'!$E$7</f>
        <v>0</v>
      </c>
    </row>
    <row r="423" customFormat="false" ht="15" hidden="false" customHeight="false" outlineLevel="0" collapsed="false">
      <c r="B423" s="130" t="n">
        <v>2027</v>
      </c>
      <c r="C423" s="131" t="s">
        <v>246</v>
      </c>
      <c r="D423" s="132" t="n">
        <v>46489</v>
      </c>
      <c r="E423" s="131" t="s">
        <v>49</v>
      </c>
      <c r="F423" s="133" t="s">
        <v>19</v>
      </c>
      <c r="G423" s="134" t="n">
        <f aca="false">LEN('Saisie programme'!$D$35)+SUMIFS('Vols additionnels'!$E$7:$E$66,'Vols additionnels'!$C$7:$C$66,$E423,'Vols additionnels'!$D$7:$D$66,$F423,'Vols additionnels'!$B$7:$B$66,$D423)</f>
        <v>1</v>
      </c>
      <c r="H423" s="135" t="n">
        <f aca="false">$G423*'Analyse capacite'!$F$8</f>
        <v>262</v>
      </c>
      <c r="I423" s="135" t="n">
        <f aca="false">$G423*'Analyse capacite'!$C$8</f>
        <v>18</v>
      </c>
      <c r="J423" s="135" t="n">
        <f aca="false">$G423*'Analyse capacite'!$D$8</f>
        <v>0</v>
      </c>
      <c r="K423" s="135" t="n">
        <f aca="false">$G423*'Analyse capacite'!$E$8</f>
        <v>244</v>
      </c>
    </row>
    <row r="424" customFormat="false" ht="15" hidden="false" customHeight="false" outlineLevel="0" collapsed="false">
      <c r="B424" s="130" t="n">
        <v>2027</v>
      </c>
      <c r="C424" s="131" t="s">
        <v>246</v>
      </c>
      <c r="D424" s="132" t="n">
        <v>46489</v>
      </c>
      <c r="E424" s="131" t="s">
        <v>49</v>
      </c>
      <c r="F424" s="133" t="s">
        <v>24</v>
      </c>
      <c r="G424" s="134" t="n">
        <f aca="false">LEN('Saisie programme'!$D$36)+SUMIFS('Vols additionnels'!$E$7:$E$66,'Vols additionnels'!$C$7:$C$66,$E424,'Vols additionnels'!$D$7:$D$66,$F424,'Vols additionnels'!$B$7:$B$66,$D424)</f>
        <v>0</v>
      </c>
      <c r="H424" s="135" t="n">
        <f aca="false">$G424*'Analyse capacite'!$F$9</f>
        <v>0</v>
      </c>
      <c r="I424" s="135" t="n">
        <f aca="false">$G424*'Analyse capacite'!$C$9</f>
        <v>0</v>
      </c>
      <c r="J424" s="135" t="n">
        <f aca="false">$G424*'Analyse capacite'!$D$9</f>
        <v>0</v>
      </c>
      <c r="K424" s="135" t="n">
        <f aca="false">$G424*'Analyse capacite'!$E$9</f>
        <v>0</v>
      </c>
    </row>
    <row r="425" customFormat="false" ht="15" hidden="false" customHeight="false" outlineLevel="0" collapsed="false">
      <c r="B425" s="130" t="n">
        <v>2027</v>
      </c>
      <c r="C425" s="131" t="s">
        <v>246</v>
      </c>
      <c r="D425" s="132" t="n">
        <v>46489</v>
      </c>
      <c r="E425" s="131" t="s">
        <v>53</v>
      </c>
      <c r="F425" s="133" t="s">
        <v>11</v>
      </c>
      <c r="G425" s="134" t="n">
        <f aca="false">LEN('Saisie programme'!$D$37)+SUMIFS('Vols additionnels'!$E$7:$E$66,'Vols additionnels'!$C$7:$C$66,$E425,'Vols additionnels'!$D$7:$D$66,$F425,'Vols additionnels'!$B$7:$B$66,$D425)</f>
        <v>0</v>
      </c>
      <c r="H425" s="135" t="n">
        <f aca="false">$G425*'Analyse capacite'!$F$7</f>
        <v>0</v>
      </c>
      <c r="I425" s="135" t="n">
        <f aca="false">$G425*'Analyse capacite'!$C$7</f>
        <v>0</v>
      </c>
      <c r="J425" s="135" t="n">
        <f aca="false">$G425*'Analyse capacite'!$D$7</f>
        <v>0</v>
      </c>
      <c r="K425" s="135" t="n">
        <f aca="false">$G425*'Analyse capacite'!$E$7</f>
        <v>0</v>
      </c>
    </row>
    <row r="426" customFormat="false" ht="15" hidden="false" customHeight="false" outlineLevel="0" collapsed="false">
      <c r="B426" s="130" t="n">
        <v>2027</v>
      </c>
      <c r="C426" s="131" t="s">
        <v>246</v>
      </c>
      <c r="D426" s="132" t="n">
        <v>46489</v>
      </c>
      <c r="E426" s="131" t="s">
        <v>53</v>
      </c>
      <c r="F426" s="133" t="s">
        <v>19</v>
      </c>
      <c r="G426" s="134" t="n">
        <f aca="false">LEN('Saisie programme'!$D$38)+SUMIFS('Vols additionnels'!$E$7:$E$66,'Vols additionnels'!$C$7:$C$66,$E426,'Vols additionnels'!$D$7:$D$66,$F426,'Vols additionnels'!$B$7:$B$66,$D426)</f>
        <v>0</v>
      </c>
      <c r="H426" s="135" t="n">
        <f aca="false">$G426*'Analyse capacite'!$F$8</f>
        <v>0</v>
      </c>
      <c r="I426" s="135" t="n">
        <f aca="false">$G426*'Analyse capacite'!$C$8</f>
        <v>0</v>
      </c>
      <c r="J426" s="135" t="n">
        <f aca="false">$G426*'Analyse capacite'!$D$8</f>
        <v>0</v>
      </c>
      <c r="K426" s="135" t="n">
        <f aca="false">$G426*'Analyse capacite'!$E$8</f>
        <v>0</v>
      </c>
    </row>
    <row r="427" customFormat="false" ht="15" hidden="false" customHeight="false" outlineLevel="0" collapsed="false">
      <c r="B427" s="130" t="n">
        <v>2027</v>
      </c>
      <c r="C427" s="131" t="s">
        <v>246</v>
      </c>
      <c r="D427" s="132" t="n">
        <v>46489</v>
      </c>
      <c r="E427" s="131" t="s">
        <v>53</v>
      </c>
      <c r="F427" s="133" t="s">
        <v>24</v>
      </c>
      <c r="G427" s="134" t="n">
        <f aca="false">LEN('Saisie programme'!$D$39)+SUMIFS('Vols additionnels'!$E$7:$E$66,'Vols additionnels'!$C$7:$C$66,$E427,'Vols additionnels'!$D$7:$D$66,$F427,'Vols additionnels'!$B$7:$B$66,$D427)</f>
        <v>0</v>
      </c>
      <c r="H427" s="135" t="n">
        <f aca="false">$G427*'Analyse capacite'!$F$9</f>
        <v>0</v>
      </c>
      <c r="I427" s="135" t="n">
        <f aca="false">$G427*'Analyse capacite'!$C$9</f>
        <v>0</v>
      </c>
      <c r="J427" s="135" t="n">
        <f aca="false">$G427*'Analyse capacite'!$D$9</f>
        <v>0</v>
      </c>
      <c r="K427" s="135" t="n">
        <f aca="false">$G427*'Analyse capacite'!$E$9</f>
        <v>0</v>
      </c>
    </row>
    <row r="428" customFormat="false" ht="15" hidden="false" customHeight="false" outlineLevel="0" collapsed="false">
      <c r="B428" s="130" t="n">
        <v>2027</v>
      </c>
      <c r="C428" s="131" t="s">
        <v>246</v>
      </c>
      <c r="D428" s="132" t="n">
        <v>46489</v>
      </c>
      <c r="E428" s="131" t="s">
        <v>56</v>
      </c>
      <c r="F428" s="133" t="s">
        <v>11</v>
      </c>
      <c r="G428" s="134" t="n">
        <f aca="false">LEN('Saisie programme'!$D$40)+SUMIFS('Vols additionnels'!$E$7:$E$66,'Vols additionnels'!$C$7:$C$66,$E428,'Vols additionnels'!$D$7:$D$66,$F428,'Vols additionnels'!$B$7:$B$66,$D428)</f>
        <v>0</v>
      </c>
      <c r="H428" s="135" t="n">
        <f aca="false">$G428*'Analyse capacite'!$F$7</f>
        <v>0</v>
      </c>
      <c r="I428" s="135" t="n">
        <f aca="false">$G428*'Analyse capacite'!$C$7</f>
        <v>0</v>
      </c>
      <c r="J428" s="135" t="n">
        <f aca="false">$G428*'Analyse capacite'!$D$7</f>
        <v>0</v>
      </c>
      <c r="K428" s="135" t="n">
        <f aca="false">$G428*'Analyse capacite'!$E$7</f>
        <v>0</v>
      </c>
    </row>
    <row r="429" customFormat="false" ht="15" hidden="false" customHeight="false" outlineLevel="0" collapsed="false">
      <c r="B429" s="130" t="n">
        <v>2027</v>
      </c>
      <c r="C429" s="131" t="s">
        <v>246</v>
      </c>
      <c r="D429" s="132" t="n">
        <v>46489</v>
      </c>
      <c r="E429" s="131" t="s">
        <v>56</v>
      </c>
      <c r="F429" s="133" t="s">
        <v>19</v>
      </c>
      <c r="G429" s="134" t="n">
        <f aca="false">LEN('Saisie programme'!$D$41)+SUMIFS('Vols additionnels'!$E$7:$E$66,'Vols additionnels'!$C$7:$C$66,$E429,'Vols additionnels'!$D$7:$D$66,$F429,'Vols additionnels'!$B$7:$B$66,$D429)</f>
        <v>0</v>
      </c>
      <c r="H429" s="135" t="n">
        <f aca="false">$G429*'Analyse capacite'!$F$8</f>
        <v>0</v>
      </c>
      <c r="I429" s="135" t="n">
        <f aca="false">$G429*'Analyse capacite'!$C$8</f>
        <v>0</v>
      </c>
      <c r="J429" s="135" t="n">
        <f aca="false">$G429*'Analyse capacite'!$D$8</f>
        <v>0</v>
      </c>
      <c r="K429" s="135" t="n">
        <f aca="false">$G429*'Analyse capacite'!$E$8</f>
        <v>0</v>
      </c>
    </row>
    <row r="430" customFormat="false" ht="15" hidden="false" customHeight="false" outlineLevel="0" collapsed="false">
      <c r="B430" s="130" t="n">
        <v>2027</v>
      </c>
      <c r="C430" s="131" t="s">
        <v>246</v>
      </c>
      <c r="D430" s="132" t="n">
        <v>46489</v>
      </c>
      <c r="E430" s="131" t="s">
        <v>56</v>
      </c>
      <c r="F430" s="133" t="s">
        <v>24</v>
      </c>
      <c r="G430" s="134" t="n">
        <f aca="false">LEN('Saisie programme'!$D$42)+SUMIFS('Vols additionnels'!$E$7:$E$66,'Vols additionnels'!$C$7:$C$66,$E430,'Vols additionnels'!$D$7:$D$66,$F430,'Vols additionnels'!$B$7:$B$66,$D430)</f>
        <v>0</v>
      </c>
      <c r="H430" s="135" t="n">
        <f aca="false">$G430*'Analyse capacite'!$F$9</f>
        <v>0</v>
      </c>
      <c r="I430" s="135" t="n">
        <f aca="false">$G430*'Analyse capacite'!$C$9</f>
        <v>0</v>
      </c>
      <c r="J430" s="135" t="n">
        <f aca="false">$G430*'Analyse capacite'!$D$9</f>
        <v>0</v>
      </c>
      <c r="K430" s="135" t="n">
        <f aca="false">$G430*'Analyse capacite'!$E$9</f>
        <v>0</v>
      </c>
    </row>
    <row r="431" customFormat="false" ht="15" hidden="false" customHeight="false" outlineLevel="0" collapsed="false">
      <c r="B431" s="130" t="n">
        <v>2027</v>
      </c>
      <c r="C431" s="131" t="s">
        <v>246</v>
      </c>
      <c r="D431" s="132" t="n">
        <v>46489</v>
      </c>
      <c r="E431" s="131" t="s">
        <v>59</v>
      </c>
      <c r="F431" s="133" t="s">
        <v>11</v>
      </c>
      <c r="G431" s="134" t="n">
        <f aca="false">LEN('Saisie programme'!$D$43)+SUMIFS('Vols additionnels'!$E$7:$E$66,'Vols additionnels'!$C$7:$C$66,$E431,'Vols additionnels'!$D$7:$D$66,$F431,'Vols additionnels'!$B$7:$B$66,$D431)</f>
        <v>0</v>
      </c>
      <c r="H431" s="135" t="n">
        <f aca="false">$G431*'Analyse capacite'!$F$7</f>
        <v>0</v>
      </c>
      <c r="I431" s="135" t="n">
        <f aca="false">$G431*'Analyse capacite'!$C$7</f>
        <v>0</v>
      </c>
      <c r="J431" s="135" t="n">
        <f aca="false">$G431*'Analyse capacite'!$D$7</f>
        <v>0</v>
      </c>
      <c r="K431" s="135" t="n">
        <f aca="false">$G431*'Analyse capacite'!$E$7</f>
        <v>0</v>
      </c>
    </row>
    <row r="432" customFormat="false" ht="15" hidden="false" customHeight="false" outlineLevel="0" collapsed="false">
      <c r="B432" s="130" t="n">
        <v>2027</v>
      </c>
      <c r="C432" s="131" t="s">
        <v>246</v>
      </c>
      <c r="D432" s="132" t="n">
        <v>46489</v>
      </c>
      <c r="E432" s="131" t="s">
        <v>59</v>
      </c>
      <c r="F432" s="133" t="s">
        <v>19</v>
      </c>
      <c r="G432" s="134" t="n">
        <f aca="false">LEN('Saisie programme'!$D$44)+SUMIFS('Vols additionnels'!$E$7:$E$66,'Vols additionnels'!$C$7:$C$66,$E432,'Vols additionnels'!$D$7:$D$66,$F432,'Vols additionnels'!$B$7:$B$66,$D432)</f>
        <v>0</v>
      </c>
      <c r="H432" s="135" t="n">
        <f aca="false">$G432*'Analyse capacite'!$F$8</f>
        <v>0</v>
      </c>
      <c r="I432" s="135" t="n">
        <f aca="false">$G432*'Analyse capacite'!$C$8</f>
        <v>0</v>
      </c>
      <c r="J432" s="135" t="n">
        <f aca="false">$G432*'Analyse capacite'!$D$8</f>
        <v>0</v>
      </c>
      <c r="K432" s="135" t="n">
        <f aca="false">$G432*'Analyse capacite'!$E$8</f>
        <v>0</v>
      </c>
    </row>
    <row r="433" customFormat="false" ht="15" hidden="false" customHeight="false" outlineLevel="0" collapsed="false">
      <c r="B433" s="130" t="n">
        <v>2027</v>
      </c>
      <c r="C433" s="131" t="s">
        <v>246</v>
      </c>
      <c r="D433" s="132" t="n">
        <v>46489</v>
      </c>
      <c r="E433" s="131" t="s">
        <v>59</v>
      </c>
      <c r="F433" s="133" t="s">
        <v>24</v>
      </c>
      <c r="G433" s="134" t="n">
        <f aca="false">LEN('Saisie programme'!$D$45)+SUMIFS('Vols additionnels'!$E$7:$E$66,'Vols additionnels'!$C$7:$C$66,$E433,'Vols additionnels'!$D$7:$D$66,$F433,'Vols additionnels'!$B$7:$B$66,$D433)</f>
        <v>1</v>
      </c>
      <c r="H433" s="135" t="n">
        <f aca="false">$G433*'Analyse capacite'!$F$9</f>
        <v>174</v>
      </c>
      <c r="I433" s="135" t="n">
        <f aca="false">$G433*'Analyse capacite'!$C$9</f>
        <v>0</v>
      </c>
      <c r="J433" s="135" t="n">
        <f aca="false">$G433*'Analyse capacite'!$D$9</f>
        <v>12</v>
      </c>
      <c r="K433" s="135" t="n">
        <f aca="false">$G433*'Analyse capacite'!$E$9</f>
        <v>162</v>
      </c>
    </row>
    <row r="434" customFormat="false" ht="15" hidden="false" customHeight="false" outlineLevel="0" collapsed="false">
      <c r="B434" s="130" t="n">
        <v>2027</v>
      </c>
      <c r="C434" s="131" t="s">
        <v>246</v>
      </c>
      <c r="D434" s="132" t="n">
        <v>46489</v>
      </c>
      <c r="E434" s="131" t="s">
        <v>62</v>
      </c>
      <c r="F434" s="133" t="s">
        <v>11</v>
      </c>
      <c r="G434" s="134" t="n">
        <f aca="false">LEN('Saisie programme'!$D$46)+SUMIFS('Vols additionnels'!$E$7:$E$66,'Vols additionnels'!$C$7:$C$66,$E434,'Vols additionnels'!$D$7:$D$66,$F434,'Vols additionnels'!$B$7:$B$66,$D434)</f>
        <v>0</v>
      </c>
      <c r="H434" s="135" t="n">
        <f aca="false">$G434*'Analyse capacite'!$F$7</f>
        <v>0</v>
      </c>
      <c r="I434" s="135" t="n">
        <f aca="false">$G434*'Analyse capacite'!$C$7</f>
        <v>0</v>
      </c>
      <c r="J434" s="135" t="n">
        <f aca="false">$G434*'Analyse capacite'!$D$7</f>
        <v>0</v>
      </c>
      <c r="K434" s="135" t="n">
        <f aca="false">$G434*'Analyse capacite'!$E$7</f>
        <v>0</v>
      </c>
    </row>
    <row r="435" customFormat="false" ht="15" hidden="false" customHeight="false" outlineLevel="0" collapsed="false">
      <c r="B435" s="130" t="n">
        <v>2027</v>
      </c>
      <c r="C435" s="131" t="s">
        <v>246</v>
      </c>
      <c r="D435" s="132" t="n">
        <v>46489</v>
      </c>
      <c r="E435" s="131" t="s">
        <v>62</v>
      </c>
      <c r="F435" s="133" t="s">
        <v>19</v>
      </c>
      <c r="G435" s="134" t="n">
        <f aca="false">LEN('Saisie programme'!$D$47)+SUMIFS('Vols additionnels'!$E$7:$E$66,'Vols additionnels'!$C$7:$C$66,$E435,'Vols additionnels'!$D$7:$D$66,$F435,'Vols additionnels'!$B$7:$B$66,$D435)</f>
        <v>0</v>
      </c>
      <c r="H435" s="135" t="n">
        <f aca="false">$G435*'Analyse capacite'!$F$8</f>
        <v>0</v>
      </c>
      <c r="I435" s="135" t="n">
        <f aca="false">$G435*'Analyse capacite'!$C$8</f>
        <v>0</v>
      </c>
      <c r="J435" s="135" t="n">
        <f aca="false">$G435*'Analyse capacite'!$D$8</f>
        <v>0</v>
      </c>
      <c r="K435" s="135" t="n">
        <f aca="false">$G435*'Analyse capacite'!$E$8</f>
        <v>0</v>
      </c>
    </row>
    <row r="436" customFormat="false" ht="15" hidden="false" customHeight="false" outlineLevel="0" collapsed="false">
      <c r="B436" s="130" t="n">
        <v>2027</v>
      </c>
      <c r="C436" s="131" t="s">
        <v>246</v>
      </c>
      <c r="D436" s="132" t="n">
        <v>46489</v>
      </c>
      <c r="E436" s="131" t="s">
        <v>62</v>
      </c>
      <c r="F436" s="133" t="s">
        <v>24</v>
      </c>
      <c r="G436" s="134" t="n">
        <f aca="false">LEN('Saisie programme'!$D$48)+SUMIFS('Vols additionnels'!$E$7:$E$66,'Vols additionnels'!$C$7:$C$66,$E436,'Vols additionnels'!$D$7:$D$66,$F436,'Vols additionnels'!$B$7:$B$66,$D436)</f>
        <v>0</v>
      </c>
      <c r="H436" s="135" t="n">
        <f aca="false">$G436*'Analyse capacite'!$F$9</f>
        <v>0</v>
      </c>
      <c r="I436" s="135" t="n">
        <f aca="false">$G436*'Analyse capacite'!$C$9</f>
        <v>0</v>
      </c>
      <c r="J436" s="135" t="n">
        <f aca="false">$G436*'Analyse capacite'!$D$9</f>
        <v>0</v>
      </c>
      <c r="K436" s="135" t="n">
        <f aca="false">$G436*'Analyse capacite'!$E$9</f>
        <v>0</v>
      </c>
    </row>
    <row r="437" customFormat="false" ht="15" hidden="false" customHeight="false" outlineLevel="0" collapsed="false">
      <c r="B437" s="130" t="n">
        <v>2027</v>
      </c>
      <c r="C437" s="131" t="s">
        <v>246</v>
      </c>
      <c r="D437" s="132" t="n">
        <v>46490</v>
      </c>
      <c r="E437" s="131" t="s">
        <v>12</v>
      </c>
      <c r="F437" s="133" t="s">
        <v>11</v>
      </c>
      <c r="G437" s="134" t="n">
        <f aca="false">LEN('Saisie programme'!$E$13)+SUMIFS('Vols additionnels'!$E$7:$E$66,'Vols additionnels'!$C$7:$C$66,$E437,'Vols additionnels'!$D$7:$D$66,$F437,'Vols additionnels'!$B$7:$B$66,$D437)</f>
        <v>1</v>
      </c>
      <c r="H437" s="135" t="n">
        <f aca="false">$G437*'Analyse capacite'!$F$7</f>
        <v>438</v>
      </c>
      <c r="I437" s="135" t="n">
        <f aca="false">$G437*'Analyse capacite'!$C$7</f>
        <v>14</v>
      </c>
      <c r="J437" s="135" t="n">
        <f aca="false">$G437*'Analyse capacite'!$D$7</f>
        <v>40</v>
      </c>
      <c r="K437" s="135" t="n">
        <f aca="false">$G437*'Analyse capacite'!$E$7</f>
        <v>384</v>
      </c>
    </row>
    <row r="438" customFormat="false" ht="15" hidden="false" customHeight="false" outlineLevel="0" collapsed="false">
      <c r="B438" s="130" t="n">
        <v>2027</v>
      </c>
      <c r="C438" s="131" t="s">
        <v>246</v>
      </c>
      <c r="D438" s="132" t="n">
        <v>46490</v>
      </c>
      <c r="E438" s="131" t="s">
        <v>12</v>
      </c>
      <c r="F438" s="133" t="s">
        <v>19</v>
      </c>
      <c r="G438" s="134" t="n">
        <f aca="false">LEN('Saisie programme'!$E$14)+SUMIFS('Vols additionnels'!$E$7:$E$66,'Vols additionnels'!$C$7:$C$66,$E438,'Vols additionnels'!$D$7:$D$66,$F438,'Vols additionnels'!$B$7:$B$66,$D438)</f>
        <v>0</v>
      </c>
      <c r="H438" s="135" t="n">
        <f aca="false">$G438*'Analyse capacite'!$F$8</f>
        <v>0</v>
      </c>
      <c r="I438" s="135" t="n">
        <f aca="false">$G438*'Analyse capacite'!$C$8</f>
        <v>0</v>
      </c>
      <c r="J438" s="135" t="n">
        <f aca="false">$G438*'Analyse capacite'!$D$8</f>
        <v>0</v>
      </c>
      <c r="K438" s="135" t="n">
        <f aca="false">$G438*'Analyse capacite'!$E$8</f>
        <v>0</v>
      </c>
    </row>
    <row r="439" customFormat="false" ht="15" hidden="false" customHeight="false" outlineLevel="0" collapsed="false">
      <c r="B439" s="130" t="n">
        <v>2027</v>
      </c>
      <c r="C439" s="131" t="s">
        <v>246</v>
      </c>
      <c r="D439" s="132" t="n">
        <v>46490</v>
      </c>
      <c r="E439" s="131" t="s">
        <v>12</v>
      </c>
      <c r="F439" s="133" t="s">
        <v>24</v>
      </c>
      <c r="G439" s="134" t="n">
        <f aca="false">LEN('Saisie programme'!$E$15)+SUMIFS('Vols additionnels'!$E$7:$E$66,'Vols additionnels'!$C$7:$C$66,$E439,'Vols additionnels'!$D$7:$D$66,$F439,'Vols additionnels'!$B$7:$B$66,$D439)</f>
        <v>0</v>
      </c>
      <c r="H439" s="135" t="n">
        <f aca="false">$G439*'Analyse capacite'!$F$9</f>
        <v>0</v>
      </c>
      <c r="I439" s="135" t="n">
        <f aca="false">$G439*'Analyse capacite'!$C$9</f>
        <v>0</v>
      </c>
      <c r="J439" s="135" t="n">
        <f aca="false">$G439*'Analyse capacite'!$D$9</f>
        <v>0</v>
      </c>
      <c r="K439" s="135" t="n">
        <f aca="false">$G439*'Analyse capacite'!$E$9</f>
        <v>0</v>
      </c>
    </row>
    <row r="440" customFormat="false" ht="15" hidden="false" customHeight="false" outlineLevel="0" collapsed="false">
      <c r="B440" s="130" t="n">
        <v>2027</v>
      </c>
      <c r="C440" s="131" t="s">
        <v>246</v>
      </c>
      <c r="D440" s="132" t="n">
        <v>46490</v>
      </c>
      <c r="E440" s="131" t="s">
        <v>20</v>
      </c>
      <c r="F440" s="133" t="s">
        <v>11</v>
      </c>
      <c r="G440" s="134" t="n">
        <f aca="false">LEN('Saisie programme'!$E$16)+SUMIFS('Vols additionnels'!$E$7:$E$66,'Vols additionnels'!$C$7:$C$66,$E440,'Vols additionnels'!$D$7:$D$66,$F440,'Vols additionnels'!$B$7:$B$66,$D440)</f>
        <v>0</v>
      </c>
      <c r="H440" s="135" t="n">
        <f aca="false">$G440*'Analyse capacite'!$F$7</f>
        <v>0</v>
      </c>
      <c r="I440" s="135" t="n">
        <f aca="false">$G440*'Analyse capacite'!$C$7</f>
        <v>0</v>
      </c>
      <c r="J440" s="135" t="n">
        <f aca="false">$G440*'Analyse capacite'!$D$7</f>
        <v>0</v>
      </c>
      <c r="K440" s="135" t="n">
        <f aca="false">$G440*'Analyse capacite'!$E$7</f>
        <v>0</v>
      </c>
    </row>
    <row r="441" customFormat="false" ht="15" hidden="false" customHeight="false" outlineLevel="0" collapsed="false">
      <c r="B441" s="130" t="n">
        <v>2027</v>
      </c>
      <c r="C441" s="131" t="s">
        <v>246</v>
      </c>
      <c r="D441" s="132" t="n">
        <v>46490</v>
      </c>
      <c r="E441" s="131" t="s">
        <v>20</v>
      </c>
      <c r="F441" s="133" t="s">
        <v>19</v>
      </c>
      <c r="G441" s="134" t="n">
        <f aca="false">LEN('Saisie programme'!$E$17)+SUMIFS('Vols additionnels'!$E$7:$E$66,'Vols additionnels'!$C$7:$C$66,$E441,'Vols additionnels'!$D$7:$D$66,$F441,'Vols additionnels'!$B$7:$B$66,$D441)</f>
        <v>1</v>
      </c>
      <c r="H441" s="135" t="n">
        <f aca="false">$G441*'Analyse capacite'!$F$8</f>
        <v>262</v>
      </c>
      <c r="I441" s="135" t="n">
        <f aca="false">$G441*'Analyse capacite'!$C$8</f>
        <v>18</v>
      </c>
      <c r="J441" s="135" t="n">
        <f aca="false">$G441*'Analyse capacite'!$D$8</f>
        <v>0</v>
      </c>
      <c r="K441" s="135" t="n">
        <f aca="false">$G441*'Analyse capacite'!$E$8</f>
        <v>244</v>
      </c>
    </row>
    <row r="442" customFormat="false" ht="15" hidden="false" customHeight="false" outlineLevel="0" collapsed="false">
      <c r="B442" s="130" t="n">
        <v>2027</v>
      </c>
      <c r="C442" s="131" t="s">
        <v>246</v>
      </c>
      <c r="D442" s="132" t="n">
        <v>46490</v>
      </c>
      <c r="E442" s="131" t="s">
        <v>20</v>
      </c>
      <c r="F442" s="133" t="s">
        <v>24</v>
      </c>
      <c r="G442" s="134" t="n">
        <f aca="false">LEN('Saisie programme'!$E$18)+SUMIFS('Vols additionnels'!$E$7:$E$66,'Vols additionnels'!$C$7:$C$66,$E442,'Vols additionnels'!$D$7:$D$66,$F442,'Vols additionnels'!$B$7:$B$66,$D442)</f>
        <v>0</v>
      </c>
      <c r="H442" s="135" t="n">
        <f aca="false">$G442*'Analyse capacite'!$F$9</f>
        <v>0</v>
      </c>
      <c r="I442" s="135" t="n">
        <f aca="false">$G442*'Analyse capacite'!$C$9</f>
        <v>0</v>
      </c>
      <c r="J442" s="135" t="n">
        <f aca="false">$G442*'Analyse capacite'!$D$9</f>
        <v>0</v>
      </c>
      <c r="K442" s="135" t="n">
        <f aca="false">$G442*'Analyse capacite'!$E$9</f>
        <v>0</v>
      </c>
    </row>
    <row r="443" customFormat="false" ht="15" hidden="false" customHeight="false" outlineLevel="0" collapsed="false">
      <c r="B443" s="130" t="n">
        <v>2027</v>
      </c>
      <c r="C443" s="131" t="s">
        <v>246</v>
      </c>
      <c r="D443" s="132" t="n">
        <v>46490</v>
      </c>
      <c r="E443" s="131" t="s">
        <v>25</v>
      </c>
      <c r="F443" s="133" t="s">
        <v>11</v>
      </c>
      <c r="G443" s="134" t="n">
        <f aca="false">LEN('Saisie programme'!$E$19)+SUMIFS('Vols additionnels'!$E$7:$E$66,'Vols additionnels'!$C$7:$C$66,$E443,'Vols additionnels'!$D$7:$D$66,$F443,'Vols additionnels'!$B$7:$B$66,$D443)</f>
        <v>0</v>
      </c>
      <c r="H443" s="135" t="n">
        <f aca="false">$G443*'Analyse capacite'!$F$7</f>
        <v>0</v>
      </c>
      <c r="I443" s="135" t="n">
        <f aca="false">$G443*'Analyse capacite'!$C$7</f>
        <v>0</v>
      </c>
      <c r="J443" s="135" t="n">
        <f aca="false">$G443*'Analyse capacite'!$D$7</f>
        <v>0</v>
      </c>
      <c r="K443" s="135" t="n">
        <f aca="false">$G443*'Analyse capacite'!$E$7</f>
        <v>0</v>
      </c>
    </row>
    <row r="444" customFormat="false" ht="15" hidden="false" customHeight="false" outlineLevel="0" collapsed="false">
      <c r="B444" s="130" t="n">
        <v>2027</v>
      </c>
      <c r="C444" s="131" t="s">
        <v>246</v>
      </c>
      <c r="D444" s="132" t="n">
        <v>46490</v>
      </c>
      <c r="E444" s="131" t="s">
        <v>25</v>
      </c>
      <c r="F444" s="133" t="s">
        <v>19</v>
      </c>
      <c r="G444" s="134" t="n">
        <f aca="false">LEN('Saisie programme'!$E$20)+SUMIFS('Vols additionnels'!$E$7:$E$66,'Vols additionnels'!$C$7:$C$66,$E444,'Vols additionnels'!$D$7:$D$66,$F444,'Vols additionnels'!$B$7:$B$66,$D444)</f>
        <v>0</v>
      </c>
      <c r="H444" s="135" t="n">
        <f aca="false">$G444*'Analyse capacite'!$F$8</f>
        <v>0</v>
      </c>
      <c r="I444" s="135" t="n">
        <f aca="false">$G444*'Analyse capacite'!$C$8</f>
        <v>0</v>
      </c>
      <c r="J444" s="135" t="n">
        <f aca="false">$G444*'Analyse capacite'!$D$8</f>
        <v>0</v>
      </c>
      <c r="K444" s="135" t="n">
        <f aca="false">$G444*'Analyse capacite'!$E$8</f>
        <v>0</v>
      </c>
    </row>
    <row r="445" customFormat="false" ht="15" hidden="false" customHeight="false" outlineLevel="0" collapsed="false">
      <c r="B445" s="130" t="n">
        <v>2027</v>
      </c>
      <c r="C445" s="131" t="s">
        <v>246</v>
      </c>
      <c r="D445" s="132" t="n">
        <v>46490</v>
      </c>
      <c r="E445" s="131" t="s">
        <v>25</v>
      </c>
      <c r="F445" s="133" t="s">
        <v>24</v>
      </c>
      <c r="G445" s="134" t="n">
        <f aca="false">LEN('Saisie programme'!$E$21)+SUMIFS('Vols additionnels'!$E$7:$E$66,'Vols additionnels'!$C$7:$C$66,$E445,'Vols additionnels'!$D$7:$D$66,$F445,'Vols additionnels'!$B$7:$B$66,$D445)</f>
        <v>0</v>
      </c>
      <c r="H445" s="135" t="n">
        <f aca="false">$G445*'Analyse capacite'!$F$9</f>
        <v>0</v>
      </c>
      <c r="I445" s="135" t="n">
        <f aca="false">$G445*'Analyse capacite'!$C$9</f>
        <v>0</v>
      </c>
      <c r="J445" s="135" t="n">
        <f aca="false">$G445*'Analyse capacite'!$D$9</f>
        <v>0</v>
      </c>
      <c r="K445" s="135" t="n">
        <f aca="false">$G445*'Analyse capacite'!$E$9</f>
        <v>0</v>
      </c>
    </row>
    <row r="446" customFormat="false" ht="15" hidden="false" customHeight="false" outlineLevel="0" collapsed="false">
      <c r="B446" s="130" t="n">
        <v>2027</v>
      </c>
      <c r="C446" s="131" t="s">
        <v>246</v>
      </c>
      <c r="D446" s="132" t="n">
        <v>46490</v>
      </c>
      <c r="E446" s="131" t="s">
        <v>36</v>
      </c>
      <c r="F446" s="133" t="s">
        <v>11</v>
      </c>
      <c r="G446" s="134" t="n">
        <f aca="false">LEN('Saisie programme'!$E$22)+SUMIFS('Vols additionnels'!$E$7:$E$66,'Vols additionnels'!$C$7:$C$66,$E446,'Vols additionnels'!$D$7:$D$66,$F446,'Vols additionnels'!$B$7:$B$66,$D446)</f>
        <v>0</v>
      </c>
      <c r="H446" s="135" t="n">
        <f aca="false">$G446*'Analyse capacite'!$F$7</f>
        <v>0</v>
      </c>
      <c r="I446" s="135" t="n">
        <f aca="false">$G446*'Analyse capacite'!$C$7</f>
        <v>0</v>
      </c>
      <c r="J446" s="135" t="n">
        <f aca="false">$G446*'Analyse capacite'!$D$7</f>
        <v>0</v>
      </c>
      <c r="K446" s="135" t="n">
        <f aca="false">$G446*'Analyse capacite'!$E$7</f>
        <v>0</v>
      </c>
    </row>
    <row r="447" customFormat="false" ht="15" hidden="false" customHeight="false" outlineLevel="0" collapsed="false">
      <c r="B447" s="130" t="n">
        <v>2027</v>
      </c>
      <c r="C447" s="131" t="s">
        <v>246</v>
      </c>
      <c r="D447" s="132" t="n">
        <v>46490</v>
      </c>
      <c r="E447" s="131" t="s">
        <v>36</v>
      </c>
      <c r="F447" s="133" t="s">
        <v>19</v>
      </c>
      <c r="G447" s="134" t="n">
        <f aca="false">LEN('Saisie programme'!$E$23)+SUMIFS('Vols additionnels'!$E$7:$E$66,'Vols additionnels'!$C$7:$C$66,$E447,'Vols additionnels'!$D$7:$D$66,$F447,'Vols additionnels'!$B$7:$B$66,$D447)</f>
        <v>0</v>
      </c>
      <c r="H447" s="135" t="n">
        <f aca="false">$G447*'Analyse capacite'!$F$8</f>
        <v>0</v>
      </c>
      <c r="I447" s="135" t="n">
        <f aca="false">$G447*'Analyse capacite'!$C$8</f>
        <v>0</v>
      </c>
      <c r="J447" s="135" t="n">
        <f aca="false">$G447*'Analyse capacite'!$D$8</f>
        <v>0</v>
      </c>
      <c r="K447" s="135" t="n">
        <f aca="false">$G447*'Analyse capacite'!$E$8</f>
        <v>0</v>
      </c>
    </row>
    <row r="448" customFormat="false" ht="15" hidden="false" customHeight="false" outlineLevel="0" collapsed="false">
      <c r="B448" s="130" t="n">
        <v>2027</v>
      </c>
      <c r="C448" s="131" t="s">
        <v>246</v>
      </c>
      <c r="D448" s="132" t="n">
        <v>46490</v>
      </c>
      <c r="E448" s="131" t="s">
        <v>36</v>
      </c>
      <c r="F448" s="133" t="s">
        <v>24</v>
      </c>
      <c r="G448" s="134" t="n">
        <f aca="false">LEN('Saisie programme'!$E$24)+SUMIFS('Vols additionnels'!$E$7:$E$66,'Vols additionnels'!$C$7:$C$66,$E448,'Vols additionnels'!$D$7:$D$66,$F448,'Vols additionnels'!$B$7:$B$66,$D448)</f>
        <v>1</v>
      </c>
      <c r="H448" s="135" t="n">
        <f aca="false">$G448*'Analyse capacite'!$F$9</f>
        <v>174</v>
      </c>
      <c r="I448" s="135" t="n">
        <f aca="false">$G448*'Analyse capacite'!$C$9</f>
        <v>0</v>
      </c>
      <c r="J448" s="135" t="n">
        <f aca="false">$G448*'Analyse capacite'!$D$9</f>
        <v>12</v>
      </c>
      <c r="K448" s="135" t="n">
        <f aca="false">$G448*'Analyse capacite'!$E$9</f>
        <v>162</v>
      </c>
    </row>
    <row r="449" customFormat="false" ht="15" hidden="false" customHeight="false" outlineLevel="0" collapsed="false">
      <c r="B449" s="130" t="n">
        <v>2027</v>
      </c>
      <c r="C449" s="131" t="s">
        <v>246</v>
      </c>
      <c r="D449" s="132" t="n">
        <v>46490</v>
      </c>
      <c r="E449" s="131" t="s">
        <v>40</v>
      </c>
      <c r="F449" s="133" t="s">
        <v>11</v>
      </c>
      <c r="G449" s="134" t="n">
        <f aca="false">LEN('Saisie programme'!$E$25)+SUMIFS('Vols additionnels'!$E$7:$E$66,'Vols additionnels'!$C$7:$C$66,$E449,'Vols additionnels'!$D$7:$D$66,$F449,'Vols additionnels'!$B$7:$B$66,$D449)</f>
        <v>0</v>
      </c>
      <c r="H449" s="135" t="n">
        <f aca="false">$G449*'Analyse capacite'!$F$7</f>
        <v>0</v>
      </c>
      <c r="I449" s="135" t="n">
        <f aca="false">$G449*'Analyse capacite'!$C$7</f>
        <v>0</v>
      </c>
      <c r="J449" s="135" t="n">
        <f aca="false">$G449*'Analyse capacite'!$D$7</f>
        <v>0</v>
      </c>
      <c r="K449" s="135" t="n">
        <f aca="false">$G449*'Analyse capacite'!$E$7</f>
        <v>0</v>
      </c>
    </row>
    <row r="450" customFormat="false" ht="15" hidden="false" customHeight="false" outlineLevel="0" collapsed="false">
      <c r="B450" s="130" t="n">
        <v>2027</v>
      </c>
      <c r="C450" s="131" t="s">
        <v>246</v>
      </c>
      <c r="D450" s="132" t="n">
        <v>46490</v>
      </c>
      <c r="E450" s="131" t="s">
        <v>40</v>
      </c>
      <c r="F450" s="133" t="s">
        <v>19</v>
      </c>
      <c r="G450" s="134" t="n">
        <f aca="false">LEN('Saisie programme'!$E$26)+SUMIFS('Vols additionnels'!$E$7:$E$66,'Vols additionnels'!$C$7:$C$66,$E450,'Vols additionnels'!$D$7:$D$66,$F450,'Vols additionnels'!$B$7:$B$66,$D450)</f>
        <v>0</v>
      </c>
      <c r="H450" s="135" t="n">
        <f aca="false">$G450*'Analyse capacite'!$F$8</f>
        <v>0</v>
      </c>
      <c r="I450" s="135" t="n">
        <f aca="false">$G450*'Analyse capacite'!$C$8</f>
        <v>0</v>
      </c>
      <c r="J450" s="135" t="n">
        <f aca="false">$G450*'Analyse capacite'!$D$8</f>
        <v>0</v>
      </c>
      <c r="K450" s="135" t="n">
        <f aca="false">$G450*'Analyse capacite'!$E$8</f>
        <v>0</v>
      </c>
    </row>
    <row r="451" customFormat="false" ht="15" hidden="false" customHeight="false" outlineLevel="0" collapsed="false">
      <c r="B451" s="130" t="n">
        <v>2027</v>
      </c>
      <c r="C451" s="131" t="s">
        <v>246</v>
      </c>
      <c r="D451" s="132" t="n">
        <v>46490</v>
      </c>
      <c r="E451" s="131" t="s">
        <v>40</v>
      </c>
      <c r="F451" s="133" t="s">
        <v>24</v>
      </c>
      <c r="G451" s="134" t="n">
        <f aca="false">LEN('Saisie programme'!$E$27)+SUMIFS('Vols additionnels'!$E$7:$E$66,'Vols additionnels'!$C$7:$C$66,$E451,'Vols additionnels'!$D$7:$D$66,$F451,'Vols additionnels'!$B$7:$B$66,$D451)</f>
        <v>0</v>
      </c>
      <c r="H451" s="135" t="n">
        <f aca="false">$G451*'Analyse capacite'!$F$9</f>
        <v>0</v>
      </c>
      <c r="I451" s="135" t="n">
        <f aca="false">$G451*'Analyse capacite'!$C$9</f>
        <v>0</v>
      </c>
      <c r="J451" s="135" t="n">
        <f aca="false">$G451*'Analyse capacite'!$D$9</f>
        <v>0</v>
      </c>
      <c r="K451" s="135" t="n">
        <f aca="false">$G451*'Analyse capacite'!$E$9</f>
        <v>0</v>
      </c>
    </row>
    <row r="452" customFormat="false" ht="15" hidden="false" customHeight="false" outlineLevel="0" collapsed="false">
      <c r="B452" s="130" t="n">
        <v>2027</v>
      </c>
      <c r="C452" s="131" t="s">
        <v>246</v>
      </c>
      <c r="D452" s="132" t="n">
        <v>46490</v>
      </c>
      <c r="E452" s="131" t="s">
        <v>14</v>
      </c>
      <c r="F452" s="133" t="s">
        <v>11</v>
      </c>
      <c r="G452" s="134" t="n">
        <f aca="false">LEN('Saisie programme'!$E$28)+SUMIFS('Vols additionnels'!$E$7:$E$66,'Vols additionnels'!$C$7:$C$66,$E452,'Vols additionnels'!$D$7:$D$66,$F452,'Vols additionnels'!$B$7:$B$66,$D452)</f>
        <v>0</v>
      </c>
      <c r="H452" s="135" t="n">
        <f aca="false">$G452*'Analyse capacite'!$F$7</f>
        <v>0</v>
      </c>
      <c r="I452" s="135" t="n">
        <f aca="false">$G452*'Analyse capacite'!$C$7</f>
        <v>0</v>
      </c>
      <c r="J452" s="135" t="n">
        <f aca="false">$G452*'Analyse capacite'!$D$7</f>
        <v>0</v>
      </c>
      <c r="K452" s="135" t="n">
        <f aca="false">$G452*'Analyse capacite'!$E$7</f>
        <v>0</v>
      </c>
    </row>
    <row r="453" customFormat="false" ht="15" hidden="false" customHeight="false" outlineLevel="0" collapsed="false">
      <c r="B453" s="130" t="n">
        <v>2027</v>
      </c>
      <c r="C453" s="131" t="s">
        <v>246</v>
      </c>
      <c r="D453" s="132" t="n">
        <v>46490</v>
      </c>
      <c r="E453" s="131" t="s">
        <v>14</v>
      </c>
      <c r="F453" s="133" t="s">
        <v>19</v>
      </c>
      <c r="G453" s="134" t="n">
        <f aca="false">LEN('Saisie programme'!$E$29)+SUMIFS('Vols additionnels'!$E$7:$E$66,'Vols additionnels'!$C$7:$C$66,$E453,'Vols additionnels'!$D$7:$D$66,$F453,'Vols additionnels'!$B$7:$B$66,$D453)</f>
        <v>0</v>
      </c>
      <c r="H453" s="135" t="n">
        <f aca="false">$G453*'Analyse capacite'!$F$8</f>
        <v>0</v>
      </c>
      <c r="I453" s="135" t="n">
        <f aca="false">$G453*'Analyse capacite'!$C$8</f>
        <v>0</v>
      </c>
      <c r="J453" s="135" t="n">
        <f aca="false">$G453*'Analyse capacite'!$D$8</f>
        <v>0</v>
      </c>
      <c r="K453" s="135" t="n">
        <f aca="false">$G453*'Analyse capacite'!$E$8</f>
        <v>0</v>
      </c>
    </row>
    <row r="454" customFormat="false" ht="15" hidden="false" customHeight="false" outlineLevel="0" collapsed="false">
      <c r="B454" s="130" t="n">
        <v>2027</v>
      </c>
      <c r="C454" s="131" t="s">
        <v>246</v>
      </c>
      <c r="D454" s="132" t="n">
        <v>46490</v>
      </c>
      <c r="E454" s="131" t="s">
        <v>14</v>
      </c>
      <c r="F454" s="133" t="s">
        <v>24</v>
      </c>
      <c r="G454" s="134" t="n">
        <f aca="false">LEN('Saisie programme'!$E$30)+SUMIFS('Vols additionnels'!$E$7:$E$66,'Vols additionnels'!$C$7:$C$66,$E454,'Vols additionnels'!$D$7:$D$66,$F454,'Vols additionnels'!$B$7:$B$66,$D454)</f>
        <v>0</v>
      </c>
      <c r="H454" s="135" t="n">
        <f aca="false">$G454*'Analyse capacite'!$F$9</f>
        <v>0</v>
      </c>
      <c r="I454" s="135" t="n">
        <f aca="false">$G454*'Analyse capacite'!$C$9</f>
        <v>0</v>
      </c>
      <c r="J454" s="135" t="n">
        <f aca="false">$G454*'Analyse capacite'!$D$9</f>
        <v>0</v>
      </c>
      <c r="K454" s="135" t="n">
        <f aca="false">$G454*'Analyse capacite'!$E$9</f>
        <v>0</v>
      </c>
    </row>
    <row r="455" customFormat="false" ht="15" hidden="false" customHeight="false" outlineLevel="0" collapsed="false">
      <c r="B455" s="130" t="n">
        <v>2027</v>
      </c>
      <c r="C455" s="131" t="s">
        <v>246</v>
      </c>
      <c r="D455" s="132" t="n">
        <v>46490</v>
      </c>
      <c r="E455" s="131" t="s">
        <v>46</v>
      </c>
      <c r="F455" s="133" t="s">
        <v>11</v>
      </c>
      <c r="G455" s="134" t="n">
        <f aca="false">LEN('Saisie programme'!$E$31)+SUMIFS('Vols additionnels'!$E$7:$E$66,'Vols additionnels'!$C$7:$C$66,$E455,'Vols additionnels'!$D$7:$D$66,$F455,'Vols additionnels'!$B$7:$B$66,$D455)</f>
        <v>0</v>
      </c>
      <c r="H455" s="135" t="n">
        <f aca="false">$G455*'Analyse capacite'!$F$7</f>
        <v>0</v>
      </c>
      <c r="I455" s="135" t="n">
        <f aca="false">$G455*'Analyse capacite'!$C$7</f>
        <v>0</v>
      </c>
      <c r="J455" s="135" t="n">
        <f aca="false">$G455*'Analyse capacite'!$D$7</f>
        <v>0</v>
      </c>
      <c r="K455" s="135" t="n">
        <f aca="false">$G455*'Analyse capacite'!$E$7</f>
        <v>0</v>
      </c>
    </row>
    <row r="456" customFormat="false" ht="15" hidden="false" customHeight="false" outlineLevel="0" collapsed="false">
      <c r="B456" s="130" t="n">
        <v>2027</v>
      </c>
      <c r="C456" s="131" t="s">
        <v>246</v>
      </c>
      <c r="D456" s="132" t="n">
        <v>46490</v>
      </c>
      <c r="E456" s="131" t="s">
        <v>46</v>
      </c>
      <c r="F456" s="133" t="s">
        <v>19</v>
      </c>
      <c r="G456" s="134" t="n">
        <f aca="false">LEN('Saisie programme'!$E$32)+SUMIFS('Vols additionnels'!$E$7:$E$66,'Vols additionnels'!$C$7:$C$66,$E456,'Vols additionnels'!$D$7:$D$66,$F456,'Vols additionnels'!$B$7:$B$66,$D456)</f>
        <v>0</v>
      </c>
      <c r="H456" s="135" t="n">
        <f aca="false">$G456*'Analyse capacite'!$F$8</f>
        <v>0</v>
      </c>
      <c r="I456" s="135" t="n">
        <f aca="false">$G456*'Analyse capacite'!$C$8</f>
        <v>0</v>
      </c>
      <c r="J456" s="135" t="n">
        <f aca="false">$G456*'Analyse capacite'!$D$8</f>
        <v>0</v>
      </c>
      <c r="K456" s="135" t="n">
        <f aca="false">$G456*'Analyse capacite'!$E$8</f>
        <v>0</v>
      </c>
    </row>
    <row r="457" customFormat="false" ht="15" hidden="false" customHeight="false" outlineLevel="0" collapsed="false">
      <c r="B457" s="130" t="n">
        <v>2027</v>
      </c>
      <c r="C457" s="131" t="s">
        <v>246</v>
      </c>
      <c r="D457" s="132" t="n">
        <v>46490</v>
      </c>
      <c r="E457" s="131" t="s">
        <v>46</v>
      </c>
      <c r="F457" s="133" t="s">
        <v>24</v>
      </c>
      <c r="G457" s="134" t="n">
        <f aca="false">LEN('Saisie programme'!$E$33)+SUMIFS('Vols additionnels'!$E$7:$E$66,'Vols additionnels'!$C$7:$C$66,$E457,'Vols additionnels'!$D$7:$D$66,$F457,'Vols additionnels'!$B$7:$B$66,$D457)</f>
        <v>1</v>
      </c>
      <c r="H457" s="135" t="n">
        <f aca="false">$G457*'Analyse capacite'!$F$9</f>
        <v>174</v>
      </c>
      <c r="I457" s="135" t="n">
        <f aca="false">$G457*'Analyse capacite'!$C$9</f>
        <v>0</v>
      </c>
      <c r="J457" s="135" t="n">
        <f aca="false">$G457*'Analyse capacite'!$D$9</f>
        <v>12</v>
      </c>
      <c r="K457" s="135" t="n">
        <f aca="false">$G457*'Analyse capacite'!$E$9</f>
        <v>162</v>
      </c>
    </row>
    <row r="458" customFormat="false" ht="15" hidden="false" customHeight="false" outlineLevel="0" collapsed="false">
      <c r="B458" s="130" t="n">
        <v>2027</v>
      </c>
      <c r="C458" s="131" t="s">
        <v>246</v>
      </c>
      <c r="D458" s="132" t="n">
        <v>46490</v>
      </c>
      <c r="E458" s="131" t="s">
        <v>49</v>
      </c>
      <c r="F458" s="133" t="s">
        <v>11</v>
      </c>
      <c r="G458" s="134" t="n">
        <f aca="false">LEN('Saisie programme'!$E$34)+SUMIFS('Vols additionnels'!$E$7:$E$66,'Vols additionnels'!$C$7:$C$66,$E458,'Vols additionnels'!$D$7:$D$66,$F458,'Vols additionnels'!$B$7:$B$66,$D458)</f>
        <v>0</v>
      </c>
      <c r="H458" s="135" t="n">
        <f aca="false">$G458*'Analyse capacite'!$F$7</f>
        <v>0</v>
      </c>
      <c r="I458" s="135" t="n">
        <f aca="false">$G458*'Analyse capacite'!$C$7</f>
        <v>0</v>
      </c>
      <c r="J458" s="135" t="n">
        <f aca="false">$G458*'Analyse capacite'!$D$7</f>
        <v>0</v>
      </c>
      <c r="K458" s="135" t="n">
        <f aca="false">$G458*'Analyse capacite'!$E$7</f>
        <v>0</v>
      </c>
    </row>
    <row r="459" customFormat="false" ht="15" hidden="false" customHeight="false" outlineLevel="0" collapsed="false">
      <c r="B459" s="130" t="n">
        <v>2027</v>
      </c>
      <c r="C459" s="131" t="s">
        <v>246</v>
      </c>
      <c r="D459" s="132" t="n">
        <v>46490</v>
      </c>
      <c r="E459" s="131" t="s">
        <v>49</v>
      </c>
      <c r="F459" s="133" t="s">
        <v>19</v>
      </c>
      <c r="G459" s="134" t="n">
        <f aca="false">LEN('Saisie programme'!$E$35)+SUMIFS('Vols additionnels'!$E$7:$E$66,'Vols additionnels'!$C$7:$C$66,$E459,'Vols additionnels'!$D$7:$D$66,$F459,'Vols additionnels'!$B$7:$B$66,$D459)</f>
        <v>0</v>
      </c>
      <c r="H459" s="135" t="n">
        <f aca="false">$G459*'Analyse capacite'!$F$8</f>
        <v>0</v>
      </c>
      <c r="I459" s="135" t="n">
        <f aca="false">$G459*'Analyse capacite'!$C$8</f>
        <v>0</v>
      </c>
      <c r="J459" s="135" t="n">
        <f aca="false">$G459*'Analyse capacite'!$D$8</f>
        <v>0</v>
      </c>
      <c r="K459" s="135" t="n">
        <f aca="false">$G459*'Analyse capacite'!$E$8</f>
        <v>0</v>
      </c>
    </row>
    <row r="460" customFormat="false" ht="15" hidden="false" customHeight="false" outlineLevel="0" collapsed="false">
      <c r="B460" s="130" t="n">
        <v>2027</v>
      </c>
      <c r="C460" s="131" t="s">
        <v>246</v>
      </c>
      <c r="D460" s="132" t="n">
        <v>46490</v>
      </c>
      <c r="E460" s="131" t="s">
        <v>49</v>
      </c>
      <c r="F460" s="133" t="s">
        <v>24</v>
      </c>
      <c r="G460" s="134" t="n">
        <f aca="false">LEN('Saisie programme'!$E$36)+SUMIFS('Vols additionnels'!$E$7:$E$66,'Vols additionnels'!$C$7:$C$66,$E460,'Vols additionnels'!$D$7:$D$66,$F460,'Vols additionnels'!$B$7:$B$66,$D460)</f>
        <v>0</v>
      </c>
      <c r="H460" s="135" t="n">
        <f aca="false">$G460*'Analyse capacite'!$F$9</f>
        <v>0</v>
      </c>
      <c r="I460" s="135" t="n">
        <f aca="false">$G460*'Analyse capacite'!$C$9</f>
        <v>0</v>
      </c>
      <c r="J460" s="135" t="n">
        <f aca="false">$G460*'Analyse capacite'!$D$9</f>
        <v>0</v>
      </c>
      <c r="K460" s="135" t="n">
        <f aca="false">$G460*'Analyse capacite'!$E$9</f>
        <v>0</v>
      </c>
    </row>
    <row r="461" customFormat="false" ht="15" hidden="false" customHeight="false" outlineLevel="0" collapsed="false">
      <c r="B461" s="130" t="n">
        <v>2027</v>
      </c>
      <c r="C461" s="131" t="s">
        <v>246</v>
      </c>
      <c r="D461" s="132" t="n">
        <v>46490</v>
      </c>
      <c r="E461" s="131" t="s">
        <v>53</v>
      </c>
      <c r="F461" s="133" t="s">
        <v>11</v>
      </c>
      <c r="G461" s="134" t="n">
        <f aca="false">LEN('Saisie programme'!$E$37)+SUMIFS('Vols additionnels'!$E$7:$E$66,'Vols additionnels'!$C$7:$C$66,$E461,'Vols additionnels'!$D$7:$D$66,$F461,'Vols additionnels'!$B$7:$B$66,$D461)</f>
        <v>0</v>
      </c>
      <c r="H461" s="135" t="n">
        <f aca="false">$G461*'Analyse capacite'!$F$7</f>
        <v>0</v>
      </c>
      <c r="I461" s="135" t="n">
        <f aca="false">$G461*'Analyse capacite'!$C$7</f>
        <v>0</v>
      </c>
      <c r="J461" s="135" t="n">
        <f aca="false">$G461*'Analyse capacite'!$D$7</f>
        <v>0</v>
      </c>
      <c r="K461" s="135" t="n">
        <f aca="false">$G461*'Analyse capacite'!$E$7</f>
        <v>0</v>
      </c>
    </row>
    <row r="462" customFormat="false" ht="15" hidden="false" customHeight="false" outlineLevel="0" collapsed="false">
      <c r="B462" s="130" t="n">
        <v>2027</v>
      </c>
      <c r="C462" s="131" t="s">
        <v>246</v>
      </c>
      <c r="D462" s="132" t="n">
        <v>46490</v>
      </c>
      <c r="E462" s="131" t="s">
        <v>53</v>
      </c>
      <c r="F462" s="133" t="s">
        <v>19</v>
      </c>
      <c r="G462" s="134" t="n">
        <f aca="false">LEN('Saisie programme'!$E$38)+SUMIFS('Vols additionnels'!$E$7:$E$66,'Vols additionnels'!$C$7:$C$66,$E462,'Vols additionnels'!$D$7:$D$66,$F462,'Vols additionnels'!$B$7:$B$66,$D462)</f>
        <v>0</v>
      </c>
      <c r="H462" s="135" t="n">
        <f aca="false">$G462*'Analyse capacite'!$F$8</f>
        <v>0</v>
      </c>
      <c r="I462" s="135" t="n">
        <f aca="false">$G462*'Analyse capacite'!$C$8</f>
        <v>0</v>
      </c>
      <c r="J462" s="135" t="n">
        <f aca="false">$G462*'Analyse capacite'!$D$8</f>
        <v>0</v>
      </c>
      <c r="K462" s="135" t="n">
        <f aca="false">$G462*'Analyse capacite'!$E$8</f>
        <v>0</v>
      </c>
    </row>
    <row r="463" customFormat="false" ht="15" hidden="false" customHeight="false" outlineLevel="0" collapsed="false">
      <c r="B463" s="130" t="n">
        <v>2027</v>
      </c>
      <c r="C463" s="131" t="s">
        <v>246</v>
      </c>
      <c r="D463" s="132" t="n">
        <v>46490</v>
      </c>
      <c r="E463" s="131" t="s">
        <v>53</v>
      </c>
      <c r="F463" s="133" t="s">
        <v>24</v>
      </c>
      <c r="G463" s="134" t="n">
        <f aca="false">LEN('Saisie programme'!$E$39)+SUMIFS('Vols additionnels'!$E$7:$E$66,'Vols additionnels'!$C$7:$C$66,$E463,'Vols additionnels'!$D$7:$D$66,$F463,'Vols additionnels'!$B$7:$B$66,$D463)</f>
        <v>0</v>
      </c>
      <c r="H463" s="135" t="n">
        <f aca="false">$G463*'Analyse capacite'!$F$9</f>
        <v>0</v>
      </c>
      <c r="I463" s="135" t="n">
        <f aca="false">$G463*'Analyse capacite'!$C$9</f>
        <v>0</v>
      </c>
      <c r="J463" s="135" t="n">
        <f aca="false">$G463*'Analyse capacite'!$D$9</f>
        <v>0</v>
      </c>
      <c r="K463" s="135" t="n">
        <f aca="false">$G463*'Analyse capacite'!$E$9</f>
        <v>0</v>
      </c>
    </row>
    <row r="464" customFormat="false" ht="15" hidden="false" customHeight="false" outlineLevel="0" collapsed="false">
      <c r="B464" s="130" t="n">
        <v>2027</v>
      </c>
      <c r="C464" s="131" t="s">
        <v>246</v>
      </c>
      <c r="D464" s="132" t="n">
        <v>46490</v>
      </c>
      <c r="E464" s="131" t="s">
        <v>56</v>
      </c>
      <c r="F464" s="133" t="s">
        <v>11</v>
      </c>
      <c r="G464" s="134" t="n">
        <f aca="false">LEN('Saisie programme'!$E$40)+SUMIFS('Vols additionnels'!$E$7:$E$66,'Vols additionnels'!$C$7:$C$66,$E464,'Vols additionnels'!$D$7:$D$66,$F464,'Vols additionnels'!$B$7:$B$66,$D464)</f>
        <v>0</v>
      </c>
      <c r="H464" s="135" t="n">
        <f aca="false">$G464*'Analyse capacite'!$F$7</f>
        <v>0</v>
      </c>
      <c r="I464" s="135" t="n">
        <f aca="false">$G464*'Analyse capacite'!$C$7</f>
        <v>0</v>
      </c>
      <c r="J464" s="135" t="n">
        <f aca="false">$G464*'Analyse capacite'!$D$7</f>
        <v>0</v>
      </c>
      <c r="K464" s="135" t="n">
        <f aca="false">$G464*'Analyse capacite'!$E$7</f>
        <v>0</v>
      </c>
    </row>
    <row r="465" customFormat="false" ht="15" hidden="false" customHeight="false" outlineLevel="0" collapsed="false">
      <c r="B465" s="130" t="n">
        <v>2027</v>
      </c>
      <c r="C465" s="131" t="s">
        <v>246</v>
      </c>
      <c r="D465" s="132" t="n">
        <v>46490</v>
      </c>
      <c r="E465" s="131" t="s">
        <v>56</v>
      </c>
      <c r="F465" s="133" t="s">
        <v>19</v>
      </c>
      <c r="G465" s="134" t="n">
        <f aca="false">LEN('Saisie programme'!$E$41)+SUMIFS('Vols additionnels'!$E$7:$E$66,'Vols additionnels'!$C$7:$C$66,$E465,'Vols additionnels'!$D$7:$D$66,$F465,'Vols additionnels'!$B$7:$B$66,$D465)</f>
        <v>0</v>
      </c>
      <c r="H465" s="135" t="n">
        <f aca="false">$G465*'Analyse capacite'!$F$8</f>
        <v>0</v>
      </c>
      <c r="I465" s="135" t="n">
        <f aca="false">$G465*'Analyse capacite'!$C$8</f>
        <v>0</v>
      </c>
      <c r="J465" s="135" t="n">
        <f aca="false">$G465*'Analyse capacite'!$D$8</f>
        <v>0</v>
      </c>
      <c r="K465" s="135" t="n">
        <f aca="false">$G465*'Analyse capacite'!$E$8</f>
        <v>0</v>
      </c>
    </row>
    <row r="466" customFormat="false" ht="15" hidden="false" customHeight="false" outlineLevel="0" collapsed="false">
      <c r="B466" s="130" t="n">
        <v>2027</v>
      </c>
      <c r="C466" s="131" t="s">
        <v>246</v>
      </c>
      <c r="D466" s="132" t="n">
        <v>46490</v>
      </c>
      <c r="E466" s="131" t="s">
        <v>56</v>
      </c>
      <c r="F466" s="133" t="s">
        <v>24</v>
      </c>
      <c r="G466" s="134" t="n">
        <f aca="false">LEN('Saisie programme'!$E$42)+SUMIFS('Vols additionnels'!$E$7:$E$66,'Vols additionnels'!$C$7:$C$66,$E466,'Vols additionnels'!$D$7:$D$66,$F466,'Vols additionnels'!$B$7:$B$66,$D466)</f>
        <v>1</v>
      </c>
      <c r="H466" s="135" t="n">
        <f aca="false">$G466*'Analyse capacite'!$F$9</f>
        <v>174</v>
      </c>
      <c r="I466" s="135" t="n">
        <f aca="false">$G466*'Analyse capacite'!$C$9</f>
        <v>0</v>
      </c>
      <c r="J466" s="135" t="n">
        <f aca="false">$G466*'Analyse capacite'!$D$9</f>
        <v>12</v>
      </c>
      <c r="K466" s="135" t="n">
        <f aca="false">$G466*'Analyse capacite'!$E$9</f>
        <v>162</v>
      </c>
    </row>
    <row r="467" customFormat="false" ht="15" hidden="false" customHeight="false" outlineLevel="0" collapsed="false">
      <c r="B467" s="130" t="n">
        <v>2027</v>
      </c>
      <c r="C467" s="131" t="s">
        <v>246</v>
      </c>
      <c r="D467" s="132" t="n">
        <v>46490</v>
      </c>
      <c r="E467" s="131" t="s">
        <v>59</v>
      </c>
      <c r="F467" s="133" t="s">
        <v>11</v>
      </c>
      <c r="G467" s="134" t="n">
        <f aca="false">LEN('Saisie programme'!$E$43)+SUMIFS('Vols additionnels'!$E$7:$E$66,'Vols additionnels'!$C$7:$C$66,$E467,'Vols additionnels'!$D$7:$D$66,$F467,'Vols additionnels'!$B$7:$B$66,$D467)</f>
        <v>0</v>
      </c>
      <c r="H467" s="135" t="n">
        <f aca="false">$G467*'Analyse capacite'!$F$7</f>
        <v>0</v>
      </c>
      <c r="I467" s="135" t="n">
        <f aca="false">$G467*'Analyse capacite'!$C$7</f>
        <v>0</v>
      </c>
      <c r="J467" s="135" t="n">
        <f aca="false">$G467*'Analyse capacite'!$D$7</f>
        <v>0</v>
      </c>
      <c r="K467" s="135" t="n">
        <f aca="false">$G467*'Analyse capacite'!$E$7</f>
        <v>0</v>
      </c>
    </row>
    <row r="468" customFormat="false" ht="15" hidden="false" customHeight="false" outlineLevel="0" collapsed="false">
      <c r="B468" s="130" t="n">
        <v>2027</v>
      </c>
      <c r="C468" s="131" t="s">
        <v>246</v>
      </c>
      <c r="D468" s="132" t="n">
        <v>46490</v>
      </c>
      <c r="E468" s="131" t="s">
        <v>59</v>
      </c>
      <c r="F468" s="133" t="s">
        <v>19</v>
      </c>
      <c r="G468" s="134" t="n">
        <f aca="false">LEN('Saisie programme'!$E$44)+SUMIFS('Vols additionnels'!$E$7:$E$66,'Vols additionnels'!$C$7:$C$66,$E468,'Vols additionnels'!$D$7:$D$66,$F468,'Vols additionnels'!$B$7:$B$66,$D468)</f>
        <v>0</v>
      </c>
      <c r="H468" s="135" t="n">
        <f aca="false">$G468*'Analyse capacite'!$F$8</f>
        <v>0</v>
      </c>
      <c r="I468" s="135" t="n">
        <f aca="false">$G468*'Analyse capacite'!$C$8</f>
        <v>0</v>
      </c>
      <c r="J468" s="135" t="n">
        <f aca="false">$G468*'Analyse capacite'!$D$8</f>
        <v>0</v>
      </c>
      <c r="K468" s="135" t="n">
        <f aca="false">$G468*'Analyse capacite'!$E$8</f>
        <v>0</v>
      </c>
    </row>
    <row r="469" customFormat="false" ht="15" hidden="false" customHeight="false" outlineLevel="0" collapsed="false">
      <c r="B469" s="130" t="n">
        <v>2027</v>
      </c>
      <c r="C469" s="131" t="s">
        <v>246</v>
      </c>
      <c r="D469" s="132" t="n">
        <v>46490</v>
      </c>
      <c r="E469" s="131" t="s">
        <v>59</v>
      </c>
      <c r="F469" s="133" t="s">
        <v>24</v>
      </c>
      <c r="G469" s="134" t="n">
        <f aca="false">LEN('Saisie programme'!$E$45)+SUMIFS('Vols additionnels'!$E$7:$E$66,'Vols additionnels'!$C$7:$C$66,$E469,'Vols additionnels'!$D$7:$D$66,$F469,'Vols additionnels'!$B$7:$B$66,$D469)</f>
        <v>1</v>
      </c>
      <c r="H469" s="135" t="n">
        <f aca="false">$G469*'Analyse capacite'!$F$9</f>
        <v>174</v>
      </c>
      <c r="I469" s="135" t="n">
        <f aca="false">$G469*'Analyse capacite'!$C$9</f>
        <v>0</v>
      </c>
      <c r="J469" s="135" t="n">
        <f aca="false">$G469*'Analyse capacite'!$D$9</f>
        <v>12</v>
      </c>
      <c r="K469" s="135" t="n">
        <f aca="false">$G469*'Analyse capacite'!$E$9</f>
        <v>162</v>
      </c>
    </row>
    <row r="470" customFormat="false" ht="15" hidden="false" customHeight="false" outlineLevel="0" collapsed="false">
      <c r="B470" s="130" t="n">
        <v>2027</v>
      </c>
      <c r="C470" s="131" t="s">
        <v>246</v>
      </c>
      <c r="D470" s="132" t="n">
        <v>46490</v>
      </c>
      <c r="E470" s="131" t="s">
        <v>62</v>
      </c>
      <c r="F470" s="133" t="s">
        <v>11</v>
      </c>
      <c r="G470" s="134" t="n">
        <f aca="false">LEN('Saisie programme'!$E$46)+SUMIFS('Vols additionnels'!$E$7:$E$66,'Vols additionnels'!$C$7:$C$66,$E470,'Vols additionnels'!$D$7:$D$66,$F470,'Vols additionnels'!$B$7:$B$66,$D470)</f>
        <v>0</v>
      </c>
      <c r="H470" s="135" t="n">
        <f aca="false">$G470*'Analyse capacite'!$F$7</f>
        <v>0</v>
      </c>
      <c r="I470" s="135" t="n">
        <f aca="false">$G470*'Analyse capacite'!$C$7</f>
        <v>0</v>
      </c>
      <c r="J470" s="135" t="n">
        <f aca="false">$G470*'Analyse capacite'!$D$7</f>
        <v>0</v>
      </c>
      <c r="K470" s="135" t="n">
        <f aca="false">$G470*'Analyse capacite'!$E$7</f>
        <v>0</v>
      </c>
    </row>
    <row r="471" customFormat="false" ht="15" hidden="false" customHeight="false" outlineLevel="0" collapsed="false">
      <c r="B471" s="130" t="n">
        <v>2027</v>
      </c>
      <c r="C471" s="131" t="s">
        <v>246</v>
      </c>
      <c r="D471" s="132" t="n">
        <v>46490</v>
      </c>
      <c r="E471" s="131" t="s">
        <v>62</v>
      </c>
      <c r="F471" s="133" t="s">
        <v>19</v>
      </c>
      <c r="G471" s="134" t="n">
        <f aca="false">LEN('Saisie programme'!$E$47)+SUMIFS('Vols additionnels'!$E$7:$E$66,'Vols additionnels'!$C$7:$C$66,$E471,'Vols additionnels'!$D$7:$D$66,$F471,'Vols additionnels'!$B$7:$B$66,$D471)</f>
        <v>0</v>
      </c>
      <c r="H471" s="135" t="n">
        <f aca="false">$G471*'Analyse capacite'!$F$8</f>
        <v>0</v>
      </c>
      <c r="I471" s="135" t="n">
        <f aca="false">$G471*'Analyse capacite'!$C$8</f>
        <v>0</v>
      </c>
      <c r="J471" s="135" t="n">
        <f aca="false">$G471*'Analyse capacite'!$D$8</f>
        <v>0</v>
      </c>
      <c r="K471" s="135" t="n">
        <f aca="false">$G471*'Analyse capacite'!$E$8</f>
        <v>0</v>
      </c>
    </row>
    <row r="472" customFormat="false" ht="15" hidden="false" customHeight="false" outlineLevel="0" collapsed="false">
      <c r="B472" s="130" t="n">
        <v>2027</v>
      </c>
      <c r="C472" s="131" t="s">
        <v>246</v>
      </c>
      <c r="D472" s="132" t="n">
        <v>46490</v>
      </c>
      <c r="E472" s="131" t="s">
        <v>62</v>
      </c>
      <c r="F472" s="133" t="s">
        <v>24</v>
      </c>
      <c r="G472" s="134" t="n">
        <f aca="false">LEN('Saisie programme'!$E$48)+SUMIFS('Vols additionnels'!$E$7:$E$66,'Vols additionnels'!$C$7:$C$66,$E472,'Vols additionnels'!$D$7:$D$66,$F472,'Vols additionnels'!$B$7:$B$66,$D472)</f>
        <v>0</v>
      </c>
      <c r="H472" s="135" t="n">
        <f aca="false">$G472*'Analyse capacite'!$F$9</f>
        <v>0</v>
      </c>
      <c r="I472" s="135" t="n">
        <f aca="false">$G472*'Analyse capacite'!$C$9</f>
        <v>0</v>
      </c>
      <c r="J472" s="135" t="n">
        <f aca="false">$G472*'Analyse capacite'!$D$9</f>
        <v>0</v>
      </c>
      <c r="K472" s="135" t="n">
        <f aca="false">$G472*'Analyse capacite'!$E$9</f>
        <v>0</v>
      </c>
    </row>
    <row r="473" customFormat="false" ht="15" hidden="false" customHeight="false" outlineLevel="0" collapsed="false">
      <c r="B473" s="130" t="n">
        <v>2027</v>
      </c>
      <c r="C473" s="131" t="s">
        <v>246</v>
      </c>
      <c r="D473" s="132" t="n">
        <v>46491</v>
      </c>
      <c r="E473" s="131" t="s">
        <v>12</v>
      </c>
      <c r="F473" s="133" t="s">
        <v>11</v>
      </c>
      <c r="G473" s="134" t="n">
        <f aca="false">LEN('Saisie programme'!$F$13)+SUMIFS('Vols additionnels'!$E$7:$E$66,'Vols additionnels'!$C$7:$C$66,$E473,'Vols additionnels'!$D$7:$D$66,$F473,'Vols additionnels'!$B$7:$B$66,$D473)</f>
        <v>1</v>
      </c>
      <c r="H473" s="135" t="n">
        <f aca="false">$G473*'Analyse capacite'!$F$7</f>
        <v>438</v>
      </c>
      <c r="I473" s="135" t="n">
        <f aca="false">$G473*'Analyse capacite'!$C$7</f>
        <v>14</v>
      </c>
      <c r="J473" s="135" t="n">
        <f aca="false">$G473*'Analyse capacite'!$D$7</f>
        <v>40</v>
      </c>
      <c r="K473" s="135" t="n">
        <f aca="false">$G473*'Analyse capacite'!$E$7</f>
        <v>384</v>
      </c>
    </row>
    <row r="474" customFormat="false" ht="15" hidden="false" customHeight="false" outlineLevel="0" collapsed="false">
      <c r="B474" s="130" t="n">
        <v>2027</v>
      </c>
      <c r="C474" s="131" t="s">
        <v>246</v>
      </c>
      <c r="D474" s="132" t="n">
        <v>46491</v>
      </c>
      <c r="E474" s="131" t="s">
        <v>12</v>
      </c>
      <c r="F474" s="133" t="s">
        <v>19</v>
      </c>
      <c r="G474" s="134" t="n">
        <f aca="false">LEN('Saisie programme'!$F$14)+SUMIFS('Vols additionnels'!$E$7:$E$66,'Vols additionnels'!$C$7:$C$66,$E474,'Vols additionnels'!$D$7:$D$66,$F474,'Vols additionnels'!$B$7:$B$66,$D474)</f>
        <v>0</v>
      </c>
      <c r="H474" s="135" t="n">
        <f aca="false">$G474*'Analyse capacite'!$F$8</f>
        <v>0</v>
      </c>
      <c r="I474" s="135" t="n">
        <f aca="false">$G474*'Analyse capacite'!$C$8</f>
        <v>0</v>
      </c>
      <c r="J474" s="135" t="n">
        <f aca="false">$G474*'Analyse capacite'!$D$8</f>
        <v>0</v>
      </c>
      <c r="K474" s="135" t="n">
        <f aca="false">$G474*'Analyse capacite'!$E$8</f>
        <v>0</v>
      </c>
    </row>
    <row r="475" customFormat="false" ht="15" hidden="false" customHeight="false" outlineLevel="0" collapsed="false">
      <c r="B475" s="130" t="n">
        <v>2027</v>
      </c>
      <c r="C475" s="131" t="s">
        <v>246</v>
      </c>
      <c r="D475" s="132" t="n">
        <v>46491</v>
      </c>
      <c r="E475" s="131" t="s">
        <v>12</v>
      </c>
      <c r="F475" s="133" t="s">
        <v>24</v>
      </c>
      <c r="G475" s="134" t="n">
        <f aca="false">LEN('Saisie programme'!$F$15)+SUMIFS('Vols additionnels'!$E$7:$E$66,'Vols additionnels'!$C$7:$C$66,$E475,'Vols additionnels'!$D$7:$D$66,$F475,'Vols additionnels'!$B$7:$B$66,$D475)</f>
        <v>0</v>
      </c>
      <c r="H475" s="135" t="n">
        <f aca="false">$G475*'Analyse capacite'!$F$9</f>
        <v>0</v>
      </c>
      <c r="I475" s="135" t="n">
        <f aca="false">$G475*'Analyse capacite'!$C$9</f>
        <v>0</v>
      </c>
      <c r="J475" s="135" t="n">
        <f aca="false">$G475*'Analyse capacite'!$D$9</f>
        <v>0</v>
      </c>
      <c r="K475" s="135" t="n">
        <f aca="false">$G475*'Analyse capacite'!$E$9</f>
        <v>0</v>
      </c>
    </row>
    <row r="476" customFormat="false" ht="15" hidden="false" customHeight="false" outlineLevel="0" collapsed="false">
      <c r="B476" s="130" t="n">
        <v>2027</v>
      </c>
      <c r="C476" s="131" t="s">
        <v>246</v>
      </c>
      <c r="D476" s="132" t="n">
        <v>46491</v>
      </c>
      <c r="E476" s="131" t="s">
        <v>20</v>
      </c>
      <c r="F476" s="133" t="s">
        <v>11</v>
      </c>
      <c r="G476" s="134" t="n">
        <f aca="false">LEN('Saisie programme'!$F$16)+SUMIFS('Vols additionnels'!$E$7:$E$66,'Vols additionnels'!$C$7:$C$66,$E476,'Vols additionnels'!$D$7:$D$66,$F476,'Vols additionnels'!$B$7:$B$66,$D476)</f>
        <v>0</v>
      </c>
      <c r="H476" s="135" t="n">
        <f aca="false">$G476*'Analyse capacite'!$F$7</f>
        <v>0</v>
      </c>
      <c r="I476" s="135" t="n">
        <f aca="false">$G476*'Analyse capacite'!$C$7</f>
        <v>0</v>
      </c>
      <c r="J476" s="135" t="n">
        <f aca="false">$G476*'Analyse capacite'!$D$7</f>
        <v>0</v>
      </c>
      <c r="K476" s="135" t="n">
        <f aca="false">$G476*'Analyse capacite'!$E$7</f>
        <v>0</v>
      </c>
    </row>
    <row r="477" customFormat="false" ht="15" hidden="false" customHeight="false" outlineLevel="0" collapsed="false">
      <c r="B477" s="130" t="n">
        <v>2027</v>
      </c>
      <c r="C477" s="131" t="s">
        <v>246</v>
      </c>
      <c r="D477" s="132" t="n">
        <v>46491</v>
      </c>
      <c r="E477" s="131" t="s">
        <v>20</v>
      </c>
      <c r="F477" s="133" t="s">
        <v>19</v>
      </c>
      <c r="G477" s="134" t="n">
        <f aca="false">LEN('Saisie programme'!$F$17)+SUMIFS('Vols additionnels'!$E$7:$E$66,'Vols additionnels'!$C$7:$C$66,$E477,'Vols additionnels'!$D$7:$D$66,$F477,'Vols additionnels'!$B$7:$B$66,$D477)</f>
        <v>0</v>
      </c>
      <c r="H477" s="135" t="n">
        <f aca="false">$G477*'Analyse capacite'!$F$8</f>
        <v>0</v>
      </c>
      <c r="I477" s="135" t="n">
        <f aca="false">$G477*'Analyse capacite'!$C$8</f>
        <v>0</v>
      </c>
      <c r="J477" s="135" t="n">
        <f aca="false">$G477*'Analyse capacite'!$D$8</f>
        <v>0</v>
      </c>
      <c r="K477" s="135" t="n">
        <f aca="false">$G477*'Analyse capacite'!$E$8</f>
        <v>0</v>
      </c>
    </row>
    <row r="478" customFormat="false" ht="15" hidden="false" customHeight="false" outlineLevel="0" collapsed="false">
      <c r="B478" s="130" t="n">
        <v>2027</v>
      </c>
      <c r="C478" s="131" t="s">
        <v>246</v>
      </c>
      <c r="D478" s="132" t="n">
        <v>46491</v>
      </c>
      <c r="E478" s="131" t="s">
        <v>20</v>
      </c>
      <c r="F478" s="133" t="s">
        <v>24</v>
      </c>
      <c r="G478" s="134" t="n">
        <f aca="false">LEN('Saisie programme'!$F$18)+SUMIFS('Vols additionnels'!$E$7:$E$66,'Vols additionnels'!$C$7:$C$66,$E478,'Vols additionnels'!$D$7:$D$66,$F478,'Vols additionnels'!$B$7:$B$66,$D478)</f>
        <v>0</v>
      </c>
      <c r="H478" s="135" t="n">
        <f aca="false">$G478*'Analyse capacite'!$F$9</f>
        <v>0</v>
      </c>
      <c r="I478" s="135" t="n">
        <f aca="false">$G478*'Analyse capacite'!$C$9</f>
        <v>0</v>
      </c>
      <c r="J478" s="135" t="n">
        <f aca="false">$G478*'Analyse capacite'!$D$9</f>
        <v>0</v>
      </c>
      <c r="K478" s="135" t="n">
        <f aca="false">$G478*'Analyse capacite'!$E$9</f>
        <v>0</v>
      </c>
    </row>
    <row r="479" customFormat="false" ht="15" hidden="false" customHeight="false" outlineLevel="0" collapsed="false">
      <c r="B479" s="130" t="n">
        <v>2027</v>
      </c>
      <c r="C479" s="131" t="s">
        <v>246</v>
      </c>
      <c r="D479" s="132" t="n">
        <v>46491</v>
      </c>
      <c r="E479" s="131" t="s">
        <v>25</v>
      </c>
      <c r="F479" s="133" t="s">
        <v>11</v>
      </c>
      <c r="G479" s="134" t="n">
        <f aca="false">LEN('Saisie programme'!$F$19)+SUMIFS('Vols additionnels'!$E$7:$E$66,'Vols additionnels'!$C$7:$C$66,$E479,'Vols additionnels'!$D$7:$D$66,$F479,'Vols additionnels'!$B$7:$B$66,$D479)</f>
        <v>0</v>
      </c>
      <c r="H479" s="135" t="n">
        <f aca="false">$G479*'Analyse capacite'!$F$7</f>
        <v>0</v>
      </c>
      <c r="I479" s="135" t="n">
        <f aca="false">$G479*'Analyse capacite'!$C$7</f>
        <v>0</v>
      </c>
      <c r="J479" s="135" t="n">
        <f aca="false">$G479*'Analyse capacite'!$D$7</f>
        <v>0</v>
      </c>
      <c r="K479" s="135" t="n">
        <f aca="false">$G479*'Analyse capacite'!$E$7</f>
        <v>0</v>
      </c>
    </row>
    <row r="480" customFormat="false" ht="15" hidden="false" customHeight="false" outlineLevel="0" collapsed="false">
      <c r="B480" s="130" t="n">
        <v>2027</v>
      </c>
      <c r="C480" s="131" t="s">
        <v>246</v>
      </c>
      <c r="D480" s="132" t="n">
        <v>46491</v>
      </c>
      <c r="E480" s="131" t="s">
        <v>25</v>
      </c>
      <c r="F480" s="133" t="s">
        <v>19</v>
      </c>
      <c r="G480" s="134" t="n">
        <f aca="false">LEN('Saisie programme'!$F$20)+SUMIFS('Vols additionnels'!$E$7:$E$66,'Vols additionnels'!$C$7:$C$66,$E480,'Vols additionnels'!$D$7:$D$66,$F480,'Vols additionnels'!$B$7:$B$66,$D480)</f>
        <v>1</v>
      </c>
      <c r="H480" s="135" t="n">
        <f aca="false">$G480*'Analyse capacite'!$F$8</f>
        <v>262</v>
      </c>
      <c r="I480" s="135" t="n">
        <f aca="false">$G480*'Analyse capacite'!$C$8</f>
        <v>18</v>
      </c>
      <c r="J480" s="135" t="n">
        <f aca="false">$G480*'Analyse capacite'!$D$8</f>
        <v>0</v>
      </c>
      <c r="K480" s="135" t="n">
        <f aca="false">$G480*'Analyse capacite'!$E$8</f>
        <v>244</v>
      </c>
    </row>
    <row r="481" customFormat="false" ht="15" hidden="false" customHeight="false" outlineLevel="0" collapsed="false">
      <c r="B481" s="130" t="n">
        <v>2027</v>
      </c>
      <c r="C481" s="131" t="s">
        <v>246</v>
      </c>
      <c r="D481" s="132" t="n">
        <v>46491</v>
      </c>
      <c r="E481" s="131" t="s">
        <v>25</v>
      </c>
      <c r="F481" s="133" t="s">
        <v>24</v>
      </c>
      <c r="G481" s="134" t="n">
        <f aca="false">LEN('Saisie programme'!$F$21)+SUMIFS('Vols additionnels'!$E$7:$E$66,'Vols additionnels'!$C$7:$C$66,$E481,'Vols additionnels'!$D$7:$D$66,$F481,'Vols additionnels'!$B$7:$B$66,$D481)</f>
        <v>0</v>
      </c>
      <c r="H481" s="135" t="n">
        <f aca="false">$G481*'Analyse capacite'!$F$9</f>
        <v>0</v>
      </c>
      <c r="I481" s="135" t="n">
        <f aca="false">$G481*'Analyse capacite'!$C$9</f>
        <v>0</v>
      </c>
      <c r="J481" s="135" t="n">
        <f aca="false">$G481*'Analyse capacite'!$D$9</f>
        <v>0</v>
      </c>
      <c r="K481" s="135" t="n">
        <f aca="false">$G481*'Analyse capacite'!$E$9</f>
        <v>0</v>
      </c>
    </row>
    <row r="482" customFormat="false" ht="15" hidden="false" customHeight="false" outlineLevel="0" collapsed="false">
      <c r="B482" s="130" t="n">
        <v>2027</v>
      </c>
      <c r="C482" s="131" t="s">
        <v>246</v>
      </c>
      <c r="D482" s="132" t="n">
        <v>46491</v>
      </c>
      <c r="E482" s="131" t="s">
        <v>36</v>
      </c>
      <c r="F482" s="133" t="s">
        <v>11</v>
      </c>
      <c r="G482" s="134" t="n">
        <f aca="false">LEN('Saisie programme'!$F$22)+SUMIFS('Vols additionnels'!$E$7:$E$66,'Vols additionnels'!$C$7:$C$66,$E482,'Vols additionnels'!$D$7:$D$66,$F482,'Vols additionnels'!$B$7:$B$66,$D482)</f>
        <v>0</v>
      </c>
      <c r="H482" s="135" t="n">
        <f aca="false">$G482*'Analyse capacite'!$F$7</f>
        <v>0</v>
      </c>
      <c r="I482" s="135" t="n">
        <f aca="false">$G482*'Analyse capacite'!$C$7</f>
        <v>0</v>
      </c>
      <c r="J482" s="135" t="n">
        <f aca="false">$G482*'Analyse capacite'!$D$7</f>
        <v>0</v>
      </c>
      <c r="K482" s="135" t="n">
        <f aca="false">$G482*'Analyse capacite'!$E$7</f>
        <v>0</v>
      </c>
    </row>
    <row r="483" customFormat="false" ht="15" hidden="false" customHeight="false" outlineLevel="0" collapsed="false">
      <c r="B483" s="130" t="n">
        <v>2027</v>
      </c>
      <c r="C483" s="131" t="s">
        <v>246</v>
      </c>
      <c r="D483" s="132" t="n">
        <v>46491</v>
      </c>
      <c r="E483" s="131" t="s">
        <v>36</v>
      </c>
      <c r="F483" s="133" t="s">
        <v>19</v>
      </c>
      <c r="G483" s="134" t="n">
        <f aca="false">LEN('Saisie programme'!$F$23)+SUMIFS('Vols additionnels'!$E$7:$E$66,'Vols additionnels'!$C$7:$C$66,$E483,'Vols additionnels'!$D$7:$D$66,$F483,'Vols additionnels'!$B$7:$B$66,$D483)</f>
        <v>1</v>
      </c>
      <c r="H483" s="135" t="n">
        <f aca="false">$G483*'Analyse capacite'!$F$8</f>
        <v>262</v>
      </c>
      <c r="I483" s="135" t="n">
        <f aca="false">$G483*'Analyse capacite'!$C$8</f>
        <v>18</v>
      </c>
      <c r="J483" s="135" t="n">
        <f aca="false">$G483*'Analyse capacite'!$D$8</f>
        <v>0</v>
      </c>
      <c r="K483" s="135" t="n">
        <f aca="false">$G483*'Analyse capacite'!$E$8</f>
        <v>244</v>
      </c>
    </row>
    <row r="484" customFormat="false" ht="15" hidden="false" customHeight="false" outlineLevel="0" collapsed="false">
      <c r="B484" s="130" t="n">
        <v>2027</v>
      </c>
      <c r="C484" s="131" t="s">
        <v>246</v>
      </c>
      <c r="D484" s="132" t="n">
        <v>46491</v>
      </c>
      <c r="E484" s="131" t="s">
        <v>36</v>
      </c>
      <c r="F484" s="133" t="s">
        <v>24</v>
      </c>
      <c r="G484" s="134" t="n">
        <f aca="false">LEN('Saisie programme'!$F$24)+SUMIFS('Vols additionnels'!$E$7:$E$66,'Vols additionnels'!$C$7:$C$66,$E484,'Vols additionnels'!$D$7:$D$66,$F484,'Vols additionnels'!$B$7:$B$66,$D484)</f>
        <v>1</v>
      </c>
      <c r="H484" s="135" t="n">
        <f aca="false">$G484*'Analyse capacite'!$F$9</f>
        <v>174</v>
      </c>
      <c r="I484" s="135" t="n">
        <f aca="false">$G484*'Analyse capacite'!$C$9</f>
        <v>0</v>
      </c>
      <c r="J484" s="135" t="n">
        <f aca="false">$G484*'Analyse capacite'!$D$9</f>
        <v>12</v>
      </c>
      <c r="K484" s="135" t="n">
        <f aca="false">$G484*'Analyse capacite'!$E$9</f>
        <v>162</v>
      </c>
    </row>
    <row r="485" customFormat="false" ht="15" hidden="false" customHeight="false" outlineLevel="0" collapsed="false">
      <c r="B485" s="130" t="n">
        <v>2027</v>
      </c>
      <c r="C485" s="131" t="s">
        <v>246</v>
      </c>
      <c r="D485" s="132" t="n">
        <v>46491</v>
      </c>
      <c r="E485" s="131" t="s">
        <v>40</v>
      </c>
      <c r="F485" s="133" t="s">
        <v>11</v>
      </c>
      <c r="G485" s="134" t="n">
        <f aca="false">LEN('Saisie programme'!$F$25)+SUMIFS('Vols additionnels'!$E$7:$E$66,'Vols additionnels'!$C$7:$C$66,$E485,'Vols additionnels'!$D$7:$D$66,$F485,'Vols additionnels'!$B$7:$B$66,$D485)</f>
        <v>0</v>
      </c>
      <c r="H485" s="135" t="n">
        <f aca="false">$G485*'Analyse capacite'!$F$7</f>
        <v>0</v>
      </c>
      <c r="I485" s="135" t="n">
        <f aca="false">$G485*'Analyse capacite'!$C$7</f>
        <v>0</v>
      </c>
      <c r="J485" s="135" t="n">
        <f aca="false">$G485*'Analyse capacite'!$D$7</f>
        <v>0</v>
      </c>
      <c r="K485" s="135" t="n">
        <f aca="false">$G485*'Analyse capacite'!$E$7</f>
        <v>0</v>
      </c>
    </row>
    <row r="486" customFormat="false" ht="15" hidden="false" customHeight="false" outlineLevel="0" collapsed="false">
      <c r="B486" s="130" t="n">
        <v>2027</v>
      </c>
      <c r="C486" s="131" t="s">
        <v>246</v>
      </c>
      <c r="D486" s="132" t="n">
        <v>46491</v>
      </c>
      <c r="E486" s="131" t="s">
        <v>40</v>
      </c>
      <c r="F486" s="133" t="s">
        <v>19</v>
      </c>
      <c r="G486" s="134" t="n">
        <f aca="false">LEN('Saisie programme'!$F$26)+SUMIFS('Vols additionnels'!$E$7:$E$66,'Vols additionnels'!$C$7:$C$66,$E486,'Vols additionnels'!$D$7:$D$66,$F486,'Vols additionnels'!$B$7:$B$66,$D486)</f>
        <v>0</v>
      </c>
      <c r="H486" s="135" t="n">
        <f aca="false">$G486*'Analyse capacite'!$F$8</f>
        <v>0</v>
      </c>
      <c r="I486" s="135" t="n">
        <f aca="false">$G486*'Analyse capacite'!$C$8</f>
        <v>0</v>
      </c>
      <c r="J486" s="135" t="n">
        <f aca="false">$G486*'Analyse capacite'!$D$8</f>
        <v>0</v>
      </c>
      <c r="K486" s="135" t="n">
        <f aca="false">$G486*'Analyse capacite'!$E$8</f>
        <v>0</v>
      </c>
    </row>
    <row r="487" customFormat="false" ht="15" hidden="false" customHeight="false" outlineLevel="0" collapsed="false">
      <c r="B487" s="130" t="n">
        <v>2027</v>
      </c>
      <c r="C487" s="131" t="s">
        <v>246</v>
      </c>
      <c r="D487" s="132" t="n">
        <v>46491</v>
      </c>
      <c r="E487" s="131" t="s">
        <v>40</v>
      </c>
      <c r="F487" s="133" t="s">
        <v>24</v>
      </c>
      <c r="G487" s="134" t="n">
        <f aca="false">LEN('Saisie programme'!$F$27)+SUMIFS('Vols additionnels'!$E$7:$E$66,'Vols additionnels'!$C$7:$C$66,$E487,'Vols additionnels'!$D$7:$D$66,$F487,'Vols additionnels'!$B$7:$B$66,$D487)</f>
        <v>1</v>
      </c>
      <c r="H487" s="135" t="n">
        <f aca="false">$G487*'Analyse capacite'!$F$9</f>
        <v>174</v>
      </c>
      <c r="I487" s="135" t="n">
        <f aca="false">$G487*'Analyse capacite'!$C$9</f>
        <v>0</v>
      </c>
      <c r="J487" s="135" t="n">
        <f aca="false">$G487*'Analyse capacite'!$D$9</f>
        <v>12</v>
      </c>
      <c r="K487" s="135" t="n">
        <f aca="false">$G487*'Analyse capacite'!$E$9</f>
        <v>162</v>
      </c>
    </row>
    <row r="488" customFormat="false" ht="15" hidden="false" customHeight="false" outlineLevel="0" collapsed="false">
      <c r="B488" s="130" t="n">
        <v>2027</v>
      </c>
      <c r="C488" s="131" t="s">
        <v>246</v>
      </c>
      <c r="D488" s="132" t="n">
        <v>46491</v>
      </c>
      <c r="E488" s="131" t="s">
        <v>14</v>
      </c>
      <c r="F488" s="133" t="s">
        <v>11</v>
      </c>
      <c r="G488" s="134" t="n">
        <f aca="false">LEN('Saisie programme'!$F$28)+SUMIFS('Vols additionnels'!$E$7:$E$66,'Vols additionnels'!$C$7:$C$66,$E488,'Vols additionnels'!$D$7:$D$66,$F488,'Vols additionnels'!$B$7:$B$66,$D488)</f>
        <v>0</v>
      </c>
      <c r="H488" s="135" t="n">
        <f aca="false">$G488*'Analyse capacite'!$F$7</f>
        <v>0</v>
      </c>
      <c r="I488" s="135" t="n">
        <f aca="false">$G488*'Analyse capacite'!$C$7</f>
        <v>0</v>
      </c>
      <c r="J488" s="135" t="n">
        <f aca="false">$G488*'Analyse capacite'!$D$7</f>
        <v>0</v>
      </c>
      <c r="K488" s="135" t="n">
        <f aca="false">$G488*'Analyse capacite'!$E$7</f>
        <v>0</v>
      </c>
    </row>
    <row r="489" customFormat="false" ht="15" hidden="false" customHeight="false" outlineLevel="0" collapsed="false">
      <c r="B489" s="130" t="n">
        <v>2027</v>
      </c>
      <c r="C489" s="131" t="s">
        <v>246</v>
      </c>
      <c r="D489" s="132" t="n">
        <v>46491</v>
      </c>
      <c r="E489" s="131" t="s">
        <v>14</v>
      </c>
      <c r="F489" s="133" t="s">
        <v>19</v>
      </c>
      <c r="G489" s="134" t="n">
        <f aca="false">LEN('Saisie programme'!$F$29)+SUMIFS('Vols additionnels'!$E$7:$E$66,'Vols additionnels'!$C$7:$C$66,$E489,'Vols additionnels'!$D$7:$D$66,$F489,'Vols additionnels'!$B$7:$B$66,$D489)</f>
        <v>0</v>
      </c>
      <c r="H489" s="135" t="n">
        <f aca="false">$G489*'Analyse capacite'!$F$8</f>
        <v>0</v>
      </c>
      <c r="I489" s="135" t="n">
        <f aca="false">$G489*'Analyse capacite'!$C$8</f>
        <v>0</v>
      </c>
      <c r="J489" s="135" t="n">
        <f aca="false">$G489*'Analyse capacite'!$D$8</f>
        <v>0</v>
      </c>
      <c r="K489" s="135" t="n">
        <f aca="false">$G489*'Analyse capacite'!$E$8</f>
        <v>0</v>
      </c>
    </row>
    <row r="490" customFormat="false" ht="15" hidden="false" customHeight="false" outlineLevel="0" collapsed="false">
      <c r="B490" s="130" t="n">
        <v>2027</v>
      </c>
      <c r="C490" s="131" t="s">
        <v>246</v>
      </c>
      <c r="D490" s="132" t="n">
        <v>46491</v>
      </c>
      <c r="E490" s="131" t="s">
        <v>14</v>
      </c>
      <c r="F490" s="133" t="s">
        <v>24</v>
      </c>
      <c r="G490" s="134" t="n">
        <f aca="false">LEN('Saisie programme'!$F$30)+SUMIFS('Vols additionnels'!$E$7:$E$66,'Vols additionnels'!$C$7:$C$66,$E490,'Vols additionnels'!$D$7:$D$66,$F490,'Vols additionnels'!$B$7:$B$66,$D490)</f>
        <v>0</v>
      </c>
      <c r="H490" s="135" t="n">
        <f aca="false">$G490*'Analyse capacite'!$F$9</f>
        <v>0</v>
      </c>
      <c r="I490" s="135" t="n">
        <f aca="false">$G490*'Analyse capacite'!$C$9</f>
        <v>0</v>
      </c>
      <c r="J490" s="135" t="n">
        <f aca="false">$G490*'Analyse capacite'!$D$9</f>
        <v>0</v>
      </c>
      <c r="K490" s="135" t="n">
        <f aca="false">$G490*'Analyse capacite'!$E$9</f>
        <v>0</v>
      </c>
    </row>
    <row r="491" customFormat="false" ht="15" hidden="false" customHeight="false" outlineLevel="0" collapsed="false">
      <c r="B491" s="130" t="n">
        <v>2027</v>
      </c>
      <c r="C491" s="131" t="s">
        <v>246</v>
      </c>
      <c r="D491" s="132" t="n">
        <v>46491</v>
      </c>
      <c r="E491" s="131" t="s">
        <v>46</v>
      </c>
      <c r="F491" s="133" t="s">
        <v>11</v>
      </c>
      <c r="G491" s="134" t="n">
        <f aca="false">LEN('Saisie programme'!$F$31)+SUMIFS('Vols additionnels'!$E$7:$E$66,'Vols additionnels'!$C$7:$C$66,$E491,'Vols additionnels'!$D$7:$D$66,$F491,'Vols additionnels'!$B$7:$B$66,$D491)</f>
        <v>0</v>
      </c>
      <c r="H491" s="135" t="n">
        <f aca="false">$G491*'Analyse capacite'!$F$7</f>
        <v>0</v>
      </c>
      <c r="I491" s="135" t="n">
        <f aca="false">$G491*'Analyse capacite'!$C$7</f>
        <v>0</v>
      </c>
      <c r="J491" s="135" t="n">
        <f aca="false">$G491*'Analyse capacite'!$D$7</f>
        <v>0</v>
      </c>
      <c r="K491" s="135" t="n">
        <f aca="false">$G491*'Analyse capacite'!$E$7</f>
        <v>0</v>
      </c>
    </row>
    <row r="492" customFormat="false" ht="15" hidden="false" customHeight="false" outlineLevel="0" collapsed="false">
      <c r="B492" s="130" t="n">
        <v>2027</v>
      </c>
      <c r="C492" s="131" t="s">
        <v>246</v>
      </c>
      <c r="D492" s="132" t="n">
        <v>46491</v>
      </c>
      <c r="E492" s="131" t="s">
        <v>46</v>
      </c>
      <c r="F492" s="133" t="s">
        <v>19</v>
      </c>
      <c r="G492" s="134" t="n">
        <f aca="false">LEN('Saisie programme'!$F$32)+SUMIFS('Vols additionnels'!$E$7:$E$66,'Vols additionnels'!$C$7:$C$66,$E492,'Vols additionnels'!$D$7:$D$66,$F492,'Vols additionnels'!$B$7:$B$66,$D492)</f>
        <v>0</v>
      </c>
      <c r="H492" s="135" t="n">
        <f aca="false">$G492*'Analyse capacite'!$F$8</f>
        <v>0</v>
      </c>
      <c r="I492" s="135" t="n">
        <f aca="false">$G492*'Analyse capacite'!$C$8</f>
        <v>0</v>
      </c>
      <c r="J492" s="135" t="n">
        <f aca="false">$G492*'Analyse capacite'!$D$8</f>
        <v>0</v>
      </c>
      <c r="K492" s="135" t="n">
        <f aca="false">$G492*'Analyse capacite'!$E$8</f>
        <v>0</v>
      </c>
    </row>
    <row r="493" customFormat="false" ht="15" hidden="false" customHeight="false" outlineLevel="0" collapsed="false">
      <c r="B493" s="130" t="n">
        <v>2027</v>
      </c>
      <c r="C493" s="131" t="s">
        <v>246</v>
      </c>
      <c r="D493" s="132" t="n">
        <v>46491</v>
      </c>
      <c r="E493" s="131" t="s">
        <v>46</v>
      </c>
      <c r="F493" s="133" t="s">
        <v>24</v>
      </c>
      <c r="G493" s="134" t="n">
        <f aca="false">LEN('Saisie programme'!$F$33)+SUMIFS('Vols additionnels'!$E$7:$E$66,'Vols additionnels'!$C$7:$C$66,$E493,'Vols additionnels'!$D$7:$D$66,$F493,'Vols additionnels'!$B$7:$B$66,$D493)</f>
        <v>0</v>
      </c>
      <c r="H493" s="135" t="n">
        <f aca="false">$G493*'Analyse capacite'!$F$9</f>
        <v>0</v>
      </c>
      <c r="I493" s="135" t="n">
        <f aca="false">$G493*'Analyse capacite'!$C$9</f>
        <v>0</v>
      </c>
      <c r="J493" s="135" t="n">
        <f aca="false">$G493*'Analyse capacite'!$D$9</f>
        <v>0</v>
      </c>
      <c r="K493" s="135" t="n">
        <f aca="false">$G493*'Analyse capacite'!$E$9</f>
        <v>0</v>
      </c>
    </row>
    <row r="494" customFormat="false" ht="15" hidden="false" customHeight="false" outlineLevel="0" collapsed="false">
      <c r="B494" s="130" t="n">
        <v>2027</v>
      </c>
      <c r="C494" s="131" t="s">
        <v>246</v>
      </c>
      <c r="D494" s="132" t="n">
        <v>46491</v>
      </c>
      <c r="E494" s="131" t="s">
        <v>49</v>
      </c>
      <c r="F494" s="133" t="s">
        <v>11</v>
      </c>
      <c r="G494" s="134" t="n">
        <f aca="false">LEN('Saisie programme'!$F$34)+SUMIFS('Vols additionnels'!$E$7:$E$66,'Vols additionnels'!$C$7:$C$66,$E494,'Vols additionnels'!$D$7:$D$66,$F494,'Vols additionnels'!$B$7:$B$66,$D494)</f>
        <v>0</v>
      </c>
      <c r="H494" s="135" t="n">
        <f aca="false">$G494*'Analyse capacite'!$F$7</f>
        <v>0</v>
      </c>
      <c r="I494" s="135" t="n">
        <f aca="false">$G494*'Analyse capacite'!$C$7</f>
        <v>0</v>
      </c>
      <c r="J494" s="135" t="n">
        <f aca="false">$G494*'Analyse capacite'!$D$7</f>
        <v>0</v>
      </c>
      <c r="K494" s="135" t="n">
        <f aca="false">$G494*'Analyse capacite'!$E$7</f>
        <v>0</v>
      </c>
    </row>
    <row r="495" customFormat="false" ht="15" hidden="false" customHeight="false" outlineLevel="0" collapsed="false">
      <c r="B495" s="130" t="n">
        <v>2027</v>
      </c>
      <c r="C495" s="131" t="s">
        <v>246</v>
      </c>
      <c r="D495" s="132" t="n">
        <v>46491</v>
      </c>
      <c r="E495" s="131" t="s">
        <v>49</v>
      </c>
      <c r="F495" s="133" t="s">
        <v>19</v>
      </c>
      <c r="G495" s="134" t="n">
        <f aca="false">LEN('Saisie programme'!$F$35)+SUMIFS('Vols additionnels'!$E$7:$E$66,'Vols additionnels'!$C$7:$C$66,$E495,'Vols additionnels'!$D$7:$D$66,$F495,'Vols additionnels'!$B$7:$B$66,$D495)</f>
        <v>0</v>
      </c>
      <c r="H495" s="135" t="n">
        <f aca="false">$G495*'Analyse capacite'!$F$8</f>
        <v>0</v>
      </c>
      <c r="I495" s="135" t="n">
        <f aca="false">$G495*'Analyse capacite'!$C$8</f>
        <v>0</v>
      </c>
      <c r="J495" s="135" t="n">
        <f aca="false">$G495*'Analyse capacite'!$D$8</f>
        <v>0</v>
      </c>
      <c r="K495" s="135" t="n">
        <f aca="false">$G495*'Analyse capacite'!$E$8</f>
        <v>0</v>
      </c>
    </row>
    <row r="496" customFormat="false" ht="15" hidden="false" customHeight="false" outlineLevel="0" collapsed="false">
      <c r="B496" s="130" t="n">
        <v>2027</v>
      </c>
      <c r="C496" s="131" t="s">
        <v>246</v>
      </c>
      <c r="D496" s="132" t="n">
        <v>46491</v>
      </c>
      <c r="E496" s="131" t="s">
        <v>49</v>
      </c>
      <c r="F496" s="133" t="s">
        <v>24</v>
      </c>
      <c r="G496" s="134" t="n">
        <f aca="false">LEN('Saisie programme'!$F$36)+SUMIFS('Vols additionnels'!$E$7:$E$66,'Vols additionnels'!$C$7:$C$66,$E496,'Vols additionnels'!$D$7:$D$66,$F496,'Vols additionnels'!$B$7:$B$66,$D496)</f>
        <v>0</v>
      </c>
      <c r="H496" s="135" t="n">
        <f aca="false">$G496*'Analyse capacite'!$F$9</f>
        <v>0</v>
      </c>
      <c r="I496" s="135" t="n">
        <f aca="false">$G496*'Analyse capacite'!$C$9</f>
        <v>0</v>
      </c>
      <c r="J496" s="135" t="n">
        <f aca="false">$G496*'Analyse capacite'!$D$9</f>
        <v>0</v>
      </c>
      <c r="K496" s="135" t="n">
        <f aca="false">$G496*'Analyse capacite'!$E$9</f>
        <v>0</v>
      </c>
    </row>
    <row r="497" customFormat="false" ht="15" hidden="false" customHeight="false" outlineLevel="0" collapsed="false">
      <c r="B497" s="130" t="n">
        <v>2027</v>
      </c>
      <c r="C497" s="131" t="s">
        <v>246</v>
      </c>
      <c r="D497" s="132" t="n">
        <v>46491</v>
      </c>
      <c r="E497" s="131" t="s">
        <v>53</v>
      </c>
      <c r="F497" s="133" t="s">
        <v>11</v>
      </c>
      <c r="G497" s="134" t="n">
        <f aca="false">LEN('Saisie programme'!$F$37)+SUMIFS('Vols additionnels'!$E$7:$E$66,'Vols additionnels'!$C$7:$C$66,$E497,'Vols additionnels'!$D$7:$D$66,$F497,'Vols additionnels'!$B$7:$B$66,$D497)</f>
        <v>0</v>
      </c>
      <c r="H497" s="135" t="n">
        <f aca="false">$G497*'Analyse capacite'!$F$7</f>
        <v>0</v>
      </c>
      <c r="I497" s="135" t="n">
        <f aca="false">$G497*'Analyse capacite'!$C$7</f>
        <v>0</v>
      </c>
      <c r="J497" s="135" t="n">
        <f aca="false">$G497*'Analyse capacite'!$D$7</f>
        <v>0</v>
      </c>
      <c r="K497" s="135" t="n">
        <f aca="false">$G497*'Analyse capacite'!$E$7</f>
        <v>0</v>
      </c>
    </row>
    <row r="498" customFormat="false" ht="15" hidden="false" customHeight="false" outlineLevel="0" collapsed="false">
      <c r="B498" s="130" t="n">
        <v>2027</v>
      </c>
      <c r="C498" s="131" t="s">
        <v>246</v>
      </c>
      <c r="D498" s="132" t="n">
        <v>46491</v>
      </c>
      <c r="E498" s="131" t="s">
        <v>53</v>
      </c>
      <c r="F498" s="133" t="s">
        <v>19</v>
      </c>
      <c r="G498" s="134" t="n">
        <f aca="false">LEN('Saisie programme'!$F$38)+SUMIFS('Vols additionnels'!$E$7:$E$66,'Vols additionnels'!$C$7:$C$66,$E498,'Vols additionnels'!$D$7:$D$66,$F498,'Vols additionnels'!$B$7:$B$66,$D498)</f>
        <v>0</v>
      </c>
      <c r="H498" s="135" t="n">
        <f aca="false">$G498*'Analyse capacite'!$F$8</f>
        <v>0</v>
      </c>
      <c r="I498" s="135" t="n">
        <f aca="false">$G498*'Analyse capacite'!$C$8</f>
        <v>0</v>
      </c>
      <c r="J498" s="135" t="n">
        <f aca="false">$G498*'Analyse capacite'!$D$8</f>
        <v>0</v>
      </c>
      <c r="K498" s="135" t="n">
        <f aca="false">$G498*'Analyse capacite'!$E$8</f>
        <v>0</v>
      </c>
    </row>
    <row r="499" customFormat="false" ht="15" hidden="false" customHeight="false" outlineLevel="0" collapsed="false">
      <c r="B499" s="130" t="n">
        <v>2027</v>
      </c>
      <c r="C499" s="131" t="s">
        <v>246</v>
      </c>
      <c r="D499" s="132" t="n">
        <v>46491</v>
      </c>
      <c r="E499" s="131" t="s">
        <v>53</v>
      </c>
      <c r="F499" s="133" t="s">
        <v>24</v>
      </c>
      <c r="G499" s="134" t="n">
        <f aca="false">LEN('Saisie programme'!$F$39)+SUMIFS('Vols additionnels'!$E$7:$E$66,'Vols additionnels'!$C$7:$C$66,$E499,'Vols additionnels'!$D$7:$D$66,$F499,'Vols additionnels'!$B$7:$B$66,$D499)</f>
        <v>0</v>
      </c>
      <c r="H499" s="135" t="n">
        <f aca="false">$G499*'Analyse capacite'!$F$9</f>
        <v>0</v>
      </c>
      <c r="I499" s="135" t="n">
        <f aca="false">$G499*'Analyse capacite'!$C$9</f>
        <v>0</v>
      </c>
      <c r="J499" s="135" t="n">
        <f aca="false">$G499*'Analyse capacite'!$D$9</f>
        <v>0</v>
      </c>
      <c r="K499" s="135" t="n">
        <f aca="false">$G499*'Analyse capacite'!$E$9</f>
        <v>0</v>
      </c>
    </row>
    <row r="500" customFormat="false" ht="15" hidden="false" customHeight="false" outlineLevel="0" collapsed="false">
      <c r="B500" s="130" t="n">
        <v>2027</v>
      </c>
      <c r="C500" s="131" t="s">
        <v>246</v>
      </c>
      <c r="D500" s="132" t="n">
        <v>46491</v>
      </c>
      <c r="E500" s="131" t="s">
        <v>56</v>
      </c>
      <c r="F500" s="133" t="s">
        <v>11</v>
      </c>
      <c r="G500" s="134" t="n">
        <f aca="false">LEN('Saisie programme'!$F$40)+SUMIFS('Vols additionnels'!$E$7:$E$66,'Vols additionnels'!$C$7:$C$66,$E500,'Vols additionnels'!$D$7:$D$66,$F500,'Vols additionnels'!$B$7:$B$66,$D500)</f>
        <v>0</v>
      </c>
      <c r="H500" s="135" t="n">
        <f aca="false">$G500*'Analyse capacite'!$F$7</f>
        <v>0</v>
      </c>
      <c r="I500" s="135" t="n">
        <f aca="false">$G500*'Analyse capacite'!$C$7</f>
        <v>0</v>
      </c>
      <c r="J500" s="135" t="n">
        <f aca="false">$G500*'Analyse capacite'!$D$7</f>
        <v>0</v>
      </c>
      <c r="K500" s="135" t="n">
        <f aca="false">$G500*'Analyse capacite'!$E$7</f>
        <v>0</v>
      </c>
    </row>
    <row r="501" customFormat="false" ht="15" hidden="false" customHeight="false" outlineLevel="0" collapsed="false">
      <c r="B501" s="130" t="n">
        <v>2027</v>
      </c>
      <c r="C501" s="131" t="s">
        <v>246</v>
      </c>
      <c r="D501" s="132" t="n">
        <v>46491</v>
      </c>
      <c r="E501" s="131" t="s">
        <v>56</v>
      </c>
      <c r="F501" s="133" t="s">
        <v>19</v>
      </c>
      <c r="G501" s="134" t="n">
        <f aca="false">LEN('Saisie programme'!$F$41)+SUMIFS('Vols additionnels'!$E$7:$E$66,'Vols additionnels'!$C$7:$C$66,$E501,'Vols additionnels'!$D$7:$D$66,$F501,'Vols additionnels'!$B$7:$B$66,$D501)</f>
        <v>0</v>
      </c>
      <c r="H501" s="135" t="n">
        <f aca="false">$G501*'Analyse capacite'!$F$8</f>
        <v>0</v>
      </c>
      <c r="I501" s="135" t="n">
        <f aca="false">$G501*'Analyse capacite'!$C$8</f>
        <v>0</v>
      </c>
      <c r="J501" s="135" t="n">
        <f aca="false">$G501*'Analyse capacite'!$D$8</f>
        <v>0</v>
      </c>
      <c r="K501" s="135" t="n">
        <f aca="false">$G501*'Analyse capacite'!$E$8</f>
        <v>0</v>
      </c>
    </row>
    <row r="502" customFormat="false" ht="15" hidden="false" customHeight="false" outlineLevel="0" collapsed="false">
      <c r="B502" s="130" t="n">
        <v>2027</v>
      </c>
      <c r="C502" s="131" t="s">
        <v>246</v>
      </c>
      <c r="D502" s="132" t="n">
        <v>46491</v>
      </c>
      <c r="E502" s="131" t="s">
        <v>56</v>
      </c>
      <c r="F502" s="133" t="s">
        <v>24</v>
      </c>
      <c r="G502" s="134" t="n">
        <f aca="false">LEN('Saisie programme'!$F$42)+SUMIFS('Vols additionnels'!$E$7:$E$66,'Vols additionnels'!$C$7:$C$66,$E502,'Vols additionnels'!$D$7:$D$66,$F502,'Vols additionnels'!$B$7:$B$66,$D502)</f>
        <v>0</v>
      </c>
      <c r="H502" s="135" t="n">
        <f aca="false">$G502*'Analyse capacite'!$F$9</f>
        <v>0</v>
      </c>
      <c r="I502" s="135" t="n">
        <f aca="false">$G502*'Analyse capacite'!$C$9</f>
        <v>0</v>
      </c>
      <c r="J502" s="135" t="n">
        <f aca="false">$G502*'Analyse capacite'!$D$9</f>
        <v>0</v>
      </c>
      <c r="K502" s="135" t="n">
        <f aca="false">$G502*'Analyse capacite'!$E$9</f>
        <v>0</v>
      </c>
    </row>
    <row r="503" customFormat="false" ht="15" hidden="false" customHeight="false" outlineLevel="0" collapsed="false">
      <c r="B503" s="130" t="n">
        <v>2027</v>
      </c>
      <c r="C503" s="131" t="s">
        <v>246</v>
      </c>
      <c r="D503" s="132" t="n">
        <v>46491</v>
      </c>
      <c r="E503" s="131" t="s">
        <v>59</v>
      </c>
      <c r="F503" s="133" t="s">
        <v>11</v>
      </c>
      <c r="G503" s="134" t="n">
        <f aca="false">LEN('Saisie programme'!$F$43)+SUMIFS('Vols additionnels'!$E$7:$E$66,'Vols additionnels'!$C$7:$C$66,$E503,'Vols additionnels'!$D$7:$D$66,$F503,'Vols additionnels'!$B$7:$B$66,$D503)</f>
        <v>0</v>
      </c>
      <c r="H503" s="135" t="n">
        <f aca="false">$G503*'Analyse capacite'!$F$7</f>
        <v>0</v>
      </c>
      <c r="I503" s="135" t="n">
        <f aca="false">$G503*'Analyse capacite'!$C$7</f>
        <v>0</v>
      </c>
      <c r="J503" s="135" t="n">
        <f aca="false">$G503*'Analyse capacite'!$D$7</f>
        <v>0</v>
      </c>
      <c r="K503" s="135" t="n">
        <f aca="false">$G503*'Analyse capacite'!$E$7</f>
        <v>0</v>
      </c>
    </row>
    <row r="504" customFormat="false" ht="15" hidden="false" customHeight="false" outlineLevel="0" collapsed="false">
      <c r="B504" s="130" t="n">
        <v>2027</v>
      </c>
      <c r="C504" s="131" t="s">
        <v>246</v>
      </c>
      <c r="D504" s="132" t="n">
        <v>46491</v>
      </c>
      <c r="E504" s="131" t="s">
        <v>59</v>
      </c>
      <c r="F504" s="133" t="s">
        <v>19</v>
      </c>
      <c r="G504" s="134" t="n">
        <f aca="false">LEN('Saisie programme'!$F$44)+SUMIFS('Vols additionnels'!$E$7:$E$66,'Vols additionnels'!$C$7:$C$66,$E504,'Vols additionnels'!$D$7:$D$66,$F504,'Vols additionnels'!$B$7:$B$66,$D504)</f>
        <v>0</v>
      </c>
      <c r="H504" s="135" t="n">
        <f aca="false">$G504*'Analyse capacite'!$F$8</f>
        <v>0</v>
      </c>
      <c r="I504" s="135" t="n">
        <f aca="false">$G504*'Analyse capacite'!$C$8</f>
        <v>0</v>
      </c>
      <c r="J504" s="135" t="n">
        <f aca="false">$G504*'Analyse capacite'!$D$8</f>
        <v>0</v>
      </c>
      <c r="K504" s="135" t="n">
        <f aca="false">$G504*'Analyse capacite'!$E$8</f>
        <v>0</v>
      </c>
    </row>
    <row r="505" customFormat="false" ht="15" hidden="false" customHeight="false" outlineLevel="0" collapsed="false">
      <c r="B505" s="130" t="n">
        <v>2027</v>
      </c>
      <c r="C505" s="131" t="s">
        <v>246</v>
      </c>
      <c r="D505" s="132" t="n">
        <v>46491</v>
      </c>
      <c r="E505" s="131" t="s">
        <v>59</v>
      </c>
      <c r="F505" s="133" t="s">
        <v>24</v>
      </c>
      <c r="G505" s="134" t="n">
        <f aca="false">LEN('Saisie programme'!$F$45)+SUMIFS('Vols additionnels'!$E$7:$E$66,'Vols additionnels'!$C$7:$C$66,$E505,'Vols additionnels'!$D$7:$D$66,$F505,'Vols additionnels'!$B$7:$B$66,$D505)</f>
        <v>1</v>
      </c>
      <c r="H505" s="135" t="n">
        <f aca="false">$G505*'Analyse capacite'!$F$9</f>
        <v>174</v>
      </c>
      <c r="I505" s="135" t="n">
        <f aca="false">$G505*'Analyse capacite'!$C$9</f>
        <v>0</v>
      </c>
      <c r="J505" s="135" t="n">
        <f aca="false">$G505*'Analyse capacite'!$D$9</f>
        <v>12</v>
      </c>
      <c r="K505" s="135" t="n">
        <f aca="false">$G505*'Analyse capacite'!$E$9</f>
        <v>162</v>
      </c>
    </row>
    <row r="506" customFormat="false" ht="15" hidden="false" customHeight="false" outlineLevel="0" collapsed="false">
      <c r="B506" s="130" t="n">
        <v>2027</v>
      </c>
      <c r="C506" s="131" t="s">
        <v>246</v>
      </c>
      <c r="D506" s="132" t="n">
        <v>46491</v>
      </c>
      <c r="E506" s="131" t="s">
        <v>62</v>
      </c>
      <c r="F506" s="133" t="s">
        <v>11</v>
      </c>
      <c r="G506" s="134" t="n">
        <f aca="false">LEN('Saisie programme'!$F$46)+SUMIFS('Vols additionnels'!$E$7:$E$66,'Vols additionnels'!$C$7:$C$66,$E506,'Vols additionnels'!$D$7:$D$66,$F506,'Vols additionnels'!$B$7:$B$66,$D506)</f>
        <v>0</v>
      </c>
      <c r="H506" s="135" t="n">
        <f aca="false">$G506*'Analyse capacite'!$F$7</f>
        <v>0</v>
      </c>
      <c r="I506" s="135" t="n">
        <f aca="false">$G506*'Analyse capacite'!$C$7</f>
        <v>0</v>
      </c>
      <c r="J506" s="135" t="n">
        <f aca="false">$G506*'Analyse capacite'!$D$7</f>
        <v>0</v>
      </c>
      <c r="K506" s="135" t="n">
        <f aca="false">$G506*'Analyse capacite'!$E$7</f>
        <v>0</v>
      </c>
    </row>
    <row r="507" customFormat="false" ht="15" hidden="false" customHeight="false" outlineLevel="0" collapsed="false">
      <c r="B507" s="130" t="n">
        <v>2027</v>
      </c>
      <c r="C507" s="131" t="s">
        <v>246</v>
      </c>
      <c r="D507" s="132" t="n">
        <v>46491</v>
      </c>
      <c r="E507" s="131" t="s">
        <v>62</v>
      </c>
      <c r="F507" s="133" t="s">
        <v>19</v>
      </c>
      <c r="G507" s="134" t="n">
        <f aca="false">LEN('Saisie programme'!$F$47)+SUMIFS('Vols additionnels'!$E$7:$E$66,'Vols additionnels'!$C$7:$C$66,$E507,'Vols additionnels'!$D$7:$D$66,$F507,'Vols additionnels'!$B$7:$B$66,$D507)</f>
        <v>0</v>
      </c>
      <c r="H507" s="135" t="n">
        <f aca="false">$G507*'Analyse capacite'!$F$8</f>
        <v>0</v>
      </c>
      <c r="I507" s="135" t="n">
        <f aca="false">$G507*'Analyse capacite'!$C$8</f>
        <v>0</v>
      </c>
      <c r="J507" s="135" t="n">
        <f aca="false">$G507*'Analyse capacite'!$D$8</f>
        <v>0</v>
      </c>
      <c r="K507" s="135" t="n">
        <f aca="false">$G507*'Analyse capacite'!$E$8</f>
        <v>0</v>
      </c>
    </row>
    <row r="508" customFormat="false" ht="15" hidden="false" customHeight="false" outlineLevel="0" collapsed="false">
      <c r="B508" s="130" t="n">
        <v>2027</v>
      </c>
      <c r="C508" s="131" t="s">
        <v>246</v>
      </c>
      <c r="D508" s="132" t="n">
        <v>46491</v>
      </c>
      <c r="E508" s="131" t="s">
        <v>62</v>
      </c>
      <c r="F508" s="133" t="s">
        <v>24</v>
      </c>
      <c r="G508" s="134" t="n">
        <f aca="false">LEN('Saisie programme'!$F$48)+SUMIFS('Vols additionnels'!$E$7:$E$66,'Vols additionnels'!$C$7:$C$66,$E508,'Vols additionnels'!$D$7:$D$66,$F508,'Vols additionnels'!$B$7:$B$66,$D508)</f>
        <v>1</v>
      </c>
      <c r="H508" s="135" t="n">
        <f aca="false">$G508*'Analyse capacite'!$F$9</f>
        <v>174</v>
      </c>
      <c r="I508" s="135" t="n">
        <f aca="false">$G508*'Analyse capacite'!$C$9</f>
        <v>0</v>
      </c>
      <c r="J508" s="135" t="n">
        <f aca="false">$G508*'Analyse capacite'!$D$9</f>
        <v>12</v>
      </c>
      <c r="K508" s="135" t="n">
        <f aca="false">$G508*'Analyse capacite'!$E$9</f>
        <v>162</v>
      </c>
    </row>
    <row r="509" customFormat="false" ht="15" hidden="false" customHeight="false" outlineLevel="0" collapsed="false">
      <c r="B509" s="130" t="n">
        <v>2027</v>
      </c>
      <c r="C509" s="131" t="s">
        <v>246</v>
      </c>
      <c r="D509" s="132" t="n">
        <v>46492</v>
      </c>
      <c r="E509" s="131" t="s">
        <v>12</v>
      </c>
      <c r="F509" s="133" t="s">
        <v>11</v>
      </c>
      <c r="G509" s="134" t="n">
        <f aca="false">LEN('Saisie programme'!$G$13)+SUMIFS('Vols additionnels'!$E$7:$E$66,'Vols additionnels'!$C$7:$C$66,$E509,'Vols additionnels'!$D$7:$D$66,$F509,'Vols additionnels'!$B$7:$B$66,$D509)</f>
        <v>1</v>
      </c>
      <c r="H509" s="135" t="n">
        <f aca="false">$G509*'Analyse capacite'!$F$7</f>
        <v>438</v>
      </c>
      <c r="I509" s="135" t="n">
        <f aca="false">$G509*'Analyse capacite'!$C$7</f>
        <v>14</v>
      </c>
      <c r="J509" s="135" t="n">
        <f aca="false">$G509*'Analyse capacite'!$D$7</f>
        <v>40</v>
      </c>
      <c r="K509" s="135" t="n">
        <f aca="false">$G509*'Analyse capacite'!$E$7</f>
        <v>384</v>
      </c>
    </row>
    <row r="510" customFormat="false" ht="15" hidden="false" customHeight="false" outlineLevel="0" collapsed="false">
      <c r="B510" s="130" t="n">
        <v>2027</v>
      </c>
      <c r="C510" s="131" t="s">
        <v>246</v>
      </c>
      <c r="D510" s="132" t="n">
        <v>46492</v>
      </c>
      <c r="E510" s="131" t="s">
        <v>12</v>
      </c>
      <c r="F510" s="133" t="s">
        <v>19</v>
      </c>
      <c r="G510" s="134" t="n">
        <f aca="false">LEN('Saisie programme'!$G$14)+SUMIFS('Vols additionnels'!$E$7:$E$66,'Vols additionnels'!$C$7:$C$66,$E510,'Vols additionnels'!$D$7:$D$66,$F510,'Vols additionnels'!$B$7:$B$66,$D510)</f>
        <v>0</v>
      </c>
      <c r="H510" s="135" t="n">
        <f aca="false">$G510*'Analyse capacite'!$F$8</f>
        <v>0</v>
      </c>
      <c r="I510" s="135" t="n">
        <f aca="false">$G510*'Analyse capacite'!$C$8</f>
        <v>0</v>
      </c>
      <c r="J510" s="135" t="n">
        <f aca="false">$G510*'Analyse capacite'!$D$8</f>
        <v>0</v>
      </c>
      <c r="K510" s="135" t="n">
        <f aca="false">$G510*'Analyse capacite'!$E$8</f>
        <v>0</v>
      </c>
    </row>
    <row r="511" customFormat="false" ht="15" hidden="false" customHeight="false" outlineLevel="0" collapsed="false">
      <c r="B511" s="130" t="n">
        <v>2027</v>
      </c>
      <c r="C511" s="131" t="s">
        <v>246</v>
      </c>
      <c r="D511" s="132" t="n">
        <v>46492</v>
      </c>
      <c r="E511" s="131" t="s">
        <v>12</v>
      </c>
      <c r="F511" s="133" t="s">
        <v>24</v>
      </c>
      <c r="G511" s="134" t="n">
        <f aca="false">LEN('Saisie programme'!$G$15)+SUMIFS('Vols additionnels'!$E$7:$E$66,'Vols additionnels'!$C$7:$C$66,$E511,'Vols additionnels'!$D$7:$D$66,$F511,'Vols additionnels'!$B$7:$B$66,$D511)</f>
        <v>0</v>
      </c>
      <c r="H511" s="135" t="n">
        <f aca="false">$G511*'Analyse capacite'!$F$9</f>
        <v>0</v>
      </c>
      <c r="I511" s="135" t="n">
        <f aca="false">$G511*'Analyse capacite'!$C$9</f>
        <v>0</v>
      </c>
      <c r="J511" s="135" t="n">
        <f aca="false">$G511*'Analyse capacite'!$D$9</f>
        <v>0</v>
      </c>
      <c r="K511" s="135" t="n">
        <f aca="false">$G511*'Analyse capacite'!$E$9</f>
        <v>0</v>
      </c>
    </row>
    <row r="512" customFormat="false" ht="15" hidden="false" customHeight="false" outlineLevel="0" collapsed="false">
      <c r="B512" s="130" t="n">
        <v>2027</v>
      </c>
      <c r="C512" s="131" t="s">
        <v>246</v>
      </c>
      <c r="D512" s="132" t="n">
        <v>46492</v>
      </c>
      <c r="E512" s="131" t="s">
        <v>20</v>
      </c>
      <c r="F512" s="133" t="s">
        <v>11</v>
      </c>
      <c r="G512" s="134" t="n">
        <f aca="false">LEN('Saisie programme'!$G$16)+SUMIFS('Vols additionnels'!$E$7:$E$66,'Vols additionnels'!$C$7:$C$66,$E512,'Vols additionnels'!$D$7:$D$66,$F512,'Vols additionnels'!$B$7:$B$66,$D512)</f>
        <v>0</v>
      </c>
      <c r="H512" s="135" t="n">
        <f aca="false">$G512*'Analyse capacite'!$F$7</f>
        <v>0</v>
      </c>
      <c r="I512" s="135" t="n">
        <f aca="false">$G512*'Analyse capacite'!$C$7</f>
        <v>0</v>
      </c>
      <c r="J512" s="135" t="n">
        <f aca="false">$G512*'Analyse capacite'!$D$7</f>
        <v>0</v>
      </c>
      <c r="K512" s="135" t="n">
        <f aca="false">$G512*'Analyse capacite'!$E$7</f>
        <v>0</v>
      </c>
    </row>
    <row r="513" customFormat="false" ht="15" hidden="false" customHeight="false" outlineLevel="0" collapsed="false">
      <c r="B513" s="130" t="n">
        <v>2027</v>
      </c>
      <c r="C513" s="131" t="s">
        <v>246</v>
      </c>
      <c r="D513" s="132" t="n">
        <v>46492</v>
      </c>
      <c r="E513" s="131" t="s">
        <v>20</v>
      </c>
      <c r="F513" s="133" t="s">
        <v>19</v>
      </c>
      <c r="G513" s="134" t="n">
        <f aca="false">LEN('Saisie programme'!$G$17)+SUMIFS('Vols additionnels'!$E$7:$E$66,'Vols additionnels'!$C$7:$C$66,$E513,'Vols additionnels'!$D$7:$D$66,$F513,'Vols additionnels'!$B$7:$B$66,$D513)</f>
        <v>0</v>
      </c>
      <c r="H513" s="135" t="n">
        <f aca="false">$G513*'Analyse capacite'!$F$8</f>
        <v>0</v>
      </c>
      <c r="I513" s="135" t="n">
        <f aca="false">$G513*'Analyse capacite'!$C$8</f>
        <v>0</v>
      </c>
      <c r="J513" s="135" t="n">
        <f aca="false">$G513*'Analyse capacite'!$D$8</f>
        <v>0</v>
      </c>
      <c r="K513" s="135" t="n">
        <f aca="false">$G513*'Analyse capacite'!$E$8</f>
        <v>0</v>
      </c>
    </row>
    <row r="514" customFormat="false" ht="15" hidden="false" customHeight="false" outlineLevel="0" collapsed="false">
      <c r="B514" s="130" t="n">
        <v>2027</v>
      </c>
      <c r="C514" s="131" t="s">
        <v>246</v>
      </c>
      <c r="D514" s="132" t="n">
        <v>46492</v>
      </c>
      <c r="E514" s="131" t="s">
        <v>20</v>
      </c>
      <c r="F514" s="133" t="s">
        <v>24</v>
      </c>
      <c r="G514" s="134" t="n">
        <f aca="false">LEN('Saisie programme'!$G$18)+SUMIFS('Vols additionnels'!$E$7:$E$66,'Vols additionnels'!$C$7:$C$66,$E514,'Vols additionnels'!$D$7:$D$66,$F514,'Vols additionnels'!$B$7:$B$66,$D514)</f>
        <v>0</v>
      </c>
      <c r="H514" s="135" t="n">
        <f aca="false">$G514*'Analyse capacite'!$F$9</f>
        <v>0</v>
      </c>
      <c r="I514" s="135" t="n">
        <f aca="false">$G514*'Analyse capacite'!$C$9</f>
        <v>0</v>
      </c>
      <c r="J514" s="135" t="n">
        <f aca="false">$G514*'Analyse capacite'!$D$9</f>
        <v>0</v>
      </c>
      <c r="K514" s="135" t="n">
        <f aca="false">$G514*'Analyse capacite'!$E$9</f>
        <v>0</v>
      </c>
    </row>
    <row r="515" customFormat="false" ht="15" hidden="false" customHeight="false" outlineLevel="0" collapsed="false">
      <c r="B515" s="130" t="n">
        <v>2027</v>
      </c>
      <c r="C515" s="131" t="s">
        <v>246</v>
      </c>
      <c r="D515" s="132" t="n">
        <v>46492</v>
      </c>
      <c r="E515" s="131" t="s">
        <v>25</v>
      </c>
      <c r="F515" s="133" t="s">
        <v>11</v>
      </c>
      <c r="G515" s="134" t="n">
        <f aca="false">LEN('Saisie programme'!$G$19)+SUMIFS('Vols additionnels'!$E$7:$E$66,'Vols additionnels'!$C$7:$C$66,$E515,'Vols additionnels'!$D$7:$D$66,$F515,'Vols additionnels'!$B$7:$B$66,$D515)</f>
        <v>0</v>
      </c>
      <c r="H515" s="135" t="n">
        <f aca="false">$G515*'Analyse capacite'!$F$7</f>
        <v>0</v>
      </c>
      <c r="I515" s="135" t="n">
        <f aca="false">$G515*'Analyse capacite'!$C$7</f>
        <v>0</v>
      </c>
      <c r="J515" s="135" t="n">
        <f aca="false">$G515*'Analyse capacite'!$D$7</f>
        <v>0</v>
      </c>
      <c r="K515" s="135" t="n">
        <f aca="false">$G515*'Analyse capacite'!$E$7</f>
        <v>0</v>
      </c>
    </row>
    <row r="516" customFormat="false" ht="15" hidden="false" customHeight="false" outlineLevel="0" collapsed="false">
      <c r="B516" s="130" t="n">
        <v>2027</v>
      </c>
      <c r="C516" s="131" t="s">
        <v>246</v>
      </c>
      <c r="D516" s="132" t="n">
        <v>46492</v>
      </c>
      <c r="E516" s="131" t="s">
        <v>25</v>
      </c>
      <c r="F516" s="133" t="s">
        <v>19</v>
      </c>
      <c r="G516" s="134" t="n">
        <f aca="false">LEN('Saisie programme'!$G$20)+SUMIFS('Vols additionnels'!$E$7:$E$66,'Vols additionnels'!$C$7:$C$66,$E516,'Vols additionnels'!$D$7:$D$66,$F516,'Vols additionnels'!$B$7:$B$66,$D516)</f>
        <v>0</v>
      </c>
      <c r="H516" s="135" t="n">
        <f aca="false">$G516*'Analyse capacite'!$F$8</f>
        <v>0</v>
      </c>
      <c r="I516" s="135" t="n">
        <f aca="false">$G516*'Analyse capacite'!$C$8</f>
        <v>0</v>
      </c>
      <c r="J516" s="135" t="n">
        <f aca="false">$G516*'Analyse capacite'!$D$8</f>
        <v>0</v>
      </c>
      <c r="K516" s="135" t="n">
        <f aca="false">$G516*'Analyse capacite'!$E$8</f>
        <v>0</v>
      </c>
    </row>
    <row r="517" customFormat="false" ht="15" hidden="false" customHeight="false" outlineLevel="0" collapsed="false">
      <c r="B517" s="130" t="n">
        <v>2027</v>
      </c>
      <c r="C517" s="131" t="s">
        <v>246</v>
      </c>
      <c r="D517" s="132" t="n">
        <v>46492</v>
      </c>
      <c r="E517" s="131" t="s">
        <v>25</v>
      </c>
      <c r="F517" s="133" t="s">
        <v>24</v>
      </c>
      <c r="G517" s="134" t="n">
        <f aca="false">LEN('Saisie programme'!$G$21)+SUMIFS('Vols additionnels'!$E$7:$E$66,'Vols additionnels'!$C$7:$C$66,$E517,'Vols additionnels'!$D$7:$D$66,$F517,'Vols additionnels'!$B$7:$B$66,$D517)</f>
        <v>0</v>
      </c>
      <c r="H517" s="135" t="n">
        <f aca="false">$G517*'Analyse capacite'!$F$9</f>
        <v>0</v>
      </c>
      <c r="I517" s="135" t="n">
        <f aca="false">$G517*'Analyse capacite'!$C$9</f>
        <v>0</v>
      </c>
      <c r="J517" s="135" t="n">
        <f aca="false">$G517*'Analyse capacite'!$D$9</f>
        <v>0</v>
      </c>
      <c r="K517" s="135" t="n">
        <f aca="false">$G517*'Analyse capacite'!$E$9</f>
        <v>0</v>
      </c>
    </row>
    <row r="518" customFormat="false" ht="15" hidden="false" customHeight="false" outlineLevel="0" collapsed="false">
      <c r="B518" s="130" t="n">
        <v>2027</v>
      </c>
      <c r="C518" s="131" t="s">
        <v>246</v>
      </c>
      <c r="D518" s="132" t="n">
        <v>46492</v>
      </c>
      <c r="E518" s="131" t="s">
        <v>36</v>
      </c>
      <c r="F518" s="133" t="s">
        <v>11</v>
      </c>
      <c r="G518" s="134" t="n">
        <f aca="false">LEN('Saisie programme'!$G$22)+SUMIFS('Vols additionnels'!$E$7:$E$66,'Vols additionnels'!$C$7:$C$66,$E518,'Vols additionnels'!$D$7:$D$66,$F518,'Vols additionnels'!$B$7:$B$66,$D518)</f>
        <v>0</v>
      </c>
      <c r="H518" s="135" t="n">
        <f aca="false">$G518*'Analyse capacite'!$F$7</f>
        <v>0</v>
      </c>
      <c r="I518" s="135" t="n">
        <f aca="false">$G518*'Analyse capacite'!$C$7</f>
        <v>0</v>
      </c>
      <c r="J518" s="135" t="n">
        <f aca="false">$G518*'Analyse capacite'!$D$7</f>
        <v>0</v>
      </c>
      <c r="K518" s="135" t="n">
        <f aca="false">$G518*'Analyse capacite'!$E$7</f>
        <v>0</v>
      </c>
    </row>
    <row r="519" customFormat="false" ht="15" hidden="false" customHeight="false" outlineLevel="0" collapsed="false">
      <c r="B519" s="130" t="n">
        <v>2027</v>
      </c>
      <c r="C519" s="131" t="s">
        <v>246</v>
      </c>
      <c r="D519" s="132" t="n">
        <v>46492</v>
      </c>
      <c r="E519" s="131" t="s">
        <v>36</v>
      </c>
      <c r="F519" s="133" t="s">
        <v>19</v>
      </c>
      <c r="G519" s="134" t="n">
        <f aca="false">LEN('Saisie programme'!$G$23)+SUMIFS('Vols additionnels'!$E$7:$E$66,'Vols additionnels'!$C$7:$C$66,$E519,'Vols additionnels'!$D$7:$D$66,$F519,'Vols additionnels'!$B$7:$B$66,$D519)</f>
        <v>0</v>
      </c>
      <c r="H519" s="135" t="n">
        <f aca="false">$G519*'Analyse capacite'!$F$8</f>
        <v>0</v>
      </c>
      <c r="I519" s="135" t="n">
        <f aca="false">$G519*'Analyse capacite'!$C$8</f>
        <v>0</v>
      </c>
      <c r="J519" s="135" t="n">
        <f aca="false">$G519*'Analyse capacite'!$D$8</f>
        <v>0</v>
      </c>
      <c r="K519" s="135" t="n">
        <f aca="false">$G519*'Analyse capacite'!$E$8</f>
        <v>0</v>
      </c>
    </row>
    <row r="520" customFormat="false" ht="15" hidden="false" customHeight="false" outlineLevel="0" collapsed="false">
      <c r="B520" s="130" t="n">
        <v>2027</v>
      </c>
      <c r="C520" s="131" t="s">
        <v>246</v>
      </c>
      <c r="D520" s="132" t="n">
        <v>46492</v>
      </c>
      <c r="E520" s="131" t="s">
        <v>36</v>
      </c>
      <c r="F520" s="133" t="s">
        <v>24</v>
      </c>
      <c r="G520" s="134" t="n">
        <f aca="false">LEN('Saisie programme'!$G$24)+SUMIFS('Vols additionnels'!$E$7:$E$66,'Vols additionnels'!$C$7:$C$66,$E520,'Vols additionnels'!$D$7:$D$66,$F520,'Vols additionnels'!$B$7:$B$66,$D520)</f>
        <v>1</v>
      </c>
      <c r="H520" s="135" t="n">
        <f aca="false">$G520*'Analyse capacite'!$F$9</f>
        <v>174</v>
      </c>
      <c r="I520" s="135" t="n">
        <f aca="false">$G520*'Analyse capacite'!$C$9</f>
        <v>0</v>
      </c>
      <c r="J520" s="135" t="n">
        <f aca="false">$G520*'Analyse capacite'!$D$9</f>
        <v>12</v>
      </c>
      <c r="K520" s="135" t="n">
        <f aca="false">$G520*'Analyse capacite'!$E$9</f>
        <v>162</v>
      </c>
    </row>
    <row r="521" customFormat="false" ht="15" hidden="false" customHeight="false" outlineLevel="0" collapsed="false">
      <c r="B521" s="130" t="n">
        <v>2027</v>
      </c>
      <c r="C521" s="131" t="s">
        <v>246</v>
      </c>
      <c r="D521" s="132" t="n">
        <v>46492</v>
      </c>
      <c r="E521" s="131" t="s">
        <v>40</v>
      </c>
      <c r="F521" s="133" t="s">
        <v>11</v>
      </c>
      <c r="G521" s="134" t="n">
        <f aca="false">LEN('Saisie programme'!$G$25)+SUMIFS('Vols additionnels'!$E$7:$E$66,'Vols additionnels'!$C$7:$C$66,$E521,'Vols additionnels'!$D$7:$D$66,$F521,'Vols additionnels'!$B$7:$B$66,$D521)</f>
        <v>0</v>
      </c>
      <c r="H521" s="135" t="n">
        <f aca="false">$G521*'Analyse capacite'!$F$7</f>
        <v>0</v>
      </c>
      <c r="I521" s="135" t="n">
        <f aca="false">$G521*'Analyse capacite'!$C$7</f>
        <v>0</v>
      </c>
      <c r="J521" s="135" t="n">
        <f aca="false">$G521*'Analyse capacite'!$D$7</f>
        <v>0</v>
      </c>
      <c r="K521" s="135" t="n">
        <f aca="false">$G521*'Analyse capacite'!$E$7</f>
        <v>0</v>
      </c>
    </row>
    <row r="522" customFormat="false" ht="15" hidden="false" customHeight="false" outlineLevel="0" collapsed="false">
      <c r="B522" s="130" t="n">
        <v>2027</v>
      </c>
      <c r="C522" s="131" t="s">
        <v>246</v>
      </c>
      <c r="D522" s="132" t="n">
        <v>46492</v>
      </c>
      <c r="E522" s="131" t="s">
        <v>40</v>
      </c>
      <c r="F522" s="133" t="s">
        <v>19</v>
      </c>
      <c r="G522" s="134" t="n">
        <f aca="false">LEN('Saisie programme'!$G$26)+SUMIFS('Vols additionnels'!$E$7:$E$66,'Vols additionnels'!$C$7:$C$66,$E522,'Vols additionnels'!$D$7:$D$66,$F522,'Vols additionnels'!$B$7:$B$66,$D522)</f>
        <v>0</v>
      </c>
      <c r="H522" s="135" t="n">
        <f aca="false">$G522*'Analyse capacite'!$F$8</f>
        <v>0</v>
      </c>
      <c r="I522" s="135" t="n">
        <f aca="false">$G522*'Analyse capacite'!$C$8</f>
        <v>0</v>
      </c>
      <c r="J522" s="135" t="n">
        <f aca="false">$G522*'Analyse capacite'!$D$8</f>
        <v>0</v>
      </c>
      <c r="K522" s="135" t="n">
        <f aca="false">$G522*'Analyse capacite'!$E$8</f>
        <v>0</v>
      </c>
    </row>
    <row r="523" customFormat="false" ht="15" hidden="false" customHeight="false" outlineLevel="0" collapsed="false">
      <c r="B523" s="130" t="n">
        <v>2027</v>
      </c>
      <c r="C523" s="131" t="s">
        <v>246</v>
      </c>
      <c r="D523" s="132" t="n">
        <v>46492</v>
      </c>
      <c r="E523" s="131" t="s">
        <v>40</v>
      </c>
      <c r="F523" s="133" t="s">
        <v>24</v>
      </c>
      <c r="G523" s="134" t="n">
        <f aca="false">LEN('Saisie programme'!$G$27)+SUMIFS('Vols additionnels'!$E$7:$E$66,'Vols additionnels'!$C$7:$C$66,$E523,'Vols additionnels'!$D$7:$D$66,$F523,'Vols additionnels'!$B$7:$B$66,$D523)</f>
        <v>0</v>
      </c>
      <c r="H523" s="135" t="n">
        <f aca="false">$G523*'Analyse capacite'!$F$9</f>
        <v>0</v>
      </c>
      <c r="I523" s="135" t="n">
        <f aca="false">$G523*'Analyse capacite'!$C$9</f>
        <v>0</v>
      </c>
      <c r="J523" s="135" t="n">
        <f aca="false">$G523*'Analyse capacite'!$D$9</f>
        <v>0</v>
      </c>
      <c r="K523" s="135" t="n">
        <f aca="false">$G523*'Analyse capacite'!$E$9</f>
        <v>0</v>
      </c>
    </row>
    <row r="524" customFormat="false" ht="15" hidden="false" customHeight="false" outlineLevel="0" collapsed="false">
      <c r="B524" s="130" t="n">
        <v>2027</v>
      </c>
      <c r="C524" s="131" t="s">
        <v>246</v>
      </c>
      <c r="D524" s="132" t="n">
        <v>46492</v>
      </c>
      <c r="E524" s="131" t="s">
        <v>14</v>
      </c>
      <c r="F524" s="133" t="s">
        <v>11</v>
      </c>
      <c r="G524" s="134" t="n">
        <f aca="false">LEN('Saisie programme'!$G$28)+SUMIFS('Vols additionnels'!$E$7:$E$66,'Vols additionnels'!$C$7:$C$66,$E524,'Vols additionnels'!$D$7:$D$66,$F524,'Vols additionnels'!$B$7:$B$66,$D524)</f>
        <v>0</v>
      </c>
      <c r="H524" s="135" t="n">
        <f aca="false">$G524*'Analyse capacite'!$F$7</f>
        <v>0</v>
      </c>
      <c r="I524" s="135" t="n">
        <f aca="false">$G524*'Analyse capacite'!$C$7</f>
        <v>0</v>
      </c>
      <c r="J524" s="135" t="n">
        <f aca="false">$G524*'Analyse capacite'!$D$7</f>
        <v>0</v>
      </c>
      <c r="K524" s="135" t="n">
        <f aca="false">$G524*'Analyse capacite'!$E$7</f>
        <v>0</v>
      </c>
    </row>
    <row r="525" customFormat="false" ht="15" hidden="false" customHeight="false" outlineLevel="0" collapsed="false">
      <c r="B525" s="130" t="n">
        <v>2027</v>
      </c>
      <c r="C525" s="131" t="s">
        <v>246</v>
      </c>
      <c r="D525" s="132" t="n">
        <v>46492</v>
      </c>
      <c r="E525" s="131" t="s">
        <v>14</v>
      </c>
      <c r="F525" s="133" t="s">
        <v>19</v>
      </c>
      <c r="G525" s="134" t="n">
        <f aca="false">LEN('Saisie programme'!$G$29)+SUMIFS('Vols additionnels'!$E$7:$E$66,'Vols additionnels'!$C$7:$C$66,$E525,'Vols additionnels'!$D$7:$D$66,$F525,'Vols additionnels'!$B$7:$B$66,$D525)</f>
        <v>0</v>
      </c>
      <c r="H525" s="135" t="n">
        <f aca="false">$G525*'Analyse capacite'!$F$8</f>
        <v>0</v>
      </c>
      <c r="I525" s="135" t="n">
        <f aca="false">$G525*'Analyse capacite'!$C$8</f>
        <v>0</v>
      </c>
      <c r="J525" s="135" t="n">
        <f aca="false">$G525*'Analyse capacite'!$D$8</f>
        <v>0</v>
      </c>
      <c r="K525" s="135" t="n">
        <f aca="false">$G525*'Analyse capacite'!$E$8</f>
        <v>0</v>
      </c>
    </row>
    <row r="526" customFormat="false" ht="15" hidden="false" customHeight="false" outlineLevel="0" collapsed="false">
      <c r="B526" s="130" t="n">
        <v>2027</v>
      </c>
      <c r="C526" s="131" t="s">
        <v>246</v>
      </c>
      <c r="D526" s="132" t="n">
        <v>46492</v>
      </c>
      <c r="E526" s="131" t="s">
        <v>14</v>
      </c>
      <c r="F526" s="133" t="s">
        <v>24</v>
      </c>
      <c r="G526" s="134" t="n">
        <f aca="false">LEN('Saisie programme'!$G$30)+SUMIFS('Vols additionnels'!$E$7:$E$66,'Vols additionnels'!$C$7:$C$66,$E526,'Vols additionnels'!$D$7:$D$66,$F526,'Vols additionnels'!$B$7:$B$66,$D526)</f>
        <v>1</v>
      </c>
      <c r="H526" s="135" t="n">
        <f aca="false">$G526*'Analyse capacite'!$F$9</f>
        <v>174</v>
      </c>
      <c r="I526" s="135" t="n">
        <f aca="false">$G526*'Analyse capacite'!$C$9</f>
        <v>0</v>
      </c>
      <c r="J526" s="135" t="n">
        <f aca="false">$G526*'Analyse capacite'!$D$9</f>
        <v>12</v>
      </c>
      <c r="K526" s="135" t="n">
        <f aca="false">$G526*'Analyse capacite'!$E$9</f>
        <v>162</v>
      </c>
    </row>
    <row r="527" customFormat="false" ht="15" hidden="false" customHeight="false" outlineLevel="0" collapsed="false">
      <c r="B527" s="130" t="n">
        <v>2027</v>
      </c>
      <c r="C527" s="131" t="s">
        <v>246</v>
      </c>
      <c r="D527" s="132" t="n">
        <v>46492</v>
      </c>
      <c r="E527" s="131" t="s">
        <v>46</v>
      </c>
      <c r="F527" s="133" t="s">
        <v>11</v>
      </c>
      <c r="G527" s="134" t="n">
        <f aca="false">LEN('Saisie programme'!$G$31)+SUMIFS('Vols additionnels'!$E$7:$E$66,'Vols additionnels'!$C$7:$C$66,$E527,'Vols additionnels'!$D$7:$D$66,$F527,'Vols additionnels'!$B$7:$B$66,$D527)</f>
        <v>0</v>
      </c>
      <c r="H527" s="135" t="n">
        <f aca="false">$G527*'Analyse capacite'!$F$7</f>
        <v>0</v>
      </c>
      <c r="I527" s="135" t="n">
        <f aca="false">$G527*'Analyse capacite'!$C$7</f>
        <v>0</v>
      </c>
      <c r="J527" s="135" t="n">
        <f aca="false">$G527*'Analyse capacite'!$D$7</f>
        <v>0</v>
      </c>
      <c r="K527" s="135" t="n">
        <f aca="false">$G527*'Analyse capacite'!$E$7</f>
        <v>0</v>
      </c>
    </row>
    <row r="528" customFormat="false" ht="15" hidden="false" customHeight="false" outlineLevel="0" collapsed="false">
      <c r="B528" s="130" t="n">
        <v>2027</v>
      </c>
      <c r="C528" s="131" t="s">
        <v>246</v>
      </c>
      <c r="D528" s="132" t="n">
        <v>46492</v>
      </c>
      <c r="E528" s="131" t="s">
        <v>46</v>
      </c>
      <c r="F528" s="133" t="s">
        <v>19</v>
      </c>
      <c r="G528" s="134" t="n">
        <f aca="false">LEN('Saisie programme'!$G$32)+SUMIFS('Vols additionnels'!$E$7:$E$66,'Vols additionnels'!$C$7:$C$66,$E528,'Vols additionnels'!$D$7:$D$66,$F528,'Vols additionnels'!$B$7:$B$66,$D528)</f>
        <v>0</v>
      </c>
      <c r="H528" s="135" t="n">
        <f aca="false">$G528*'Analyse capacite'!$F$8</f>
        <v>0</v>
      </c>
      <c r="I528" s="135" t="n">
        <f aca="false">$G528*'Analyse capacite'!$C$8</f>
        <v>0</v>
      </c>
      <c r="J528" s="135" t="n">
        <f aca="false">$G528*'Analyse capacite'!$D$8</f>
        <v>0</v>
      </c>
      <c r="K528" s="135" t="n">
        <f aca="false">$G528*'Analyse capacite'!$E$8</f>
        <v>0</v>
      </c>
    </row>
    <row r="529" customFormat="false" ht="15" hidden="false" customHeight="false" outlineLevel="0" collapsed="false">
      <c r="B529" s="130" t="n">
        <v>2027</v>
      </c>
      <c r="C529" s="131" t="s">
        <v>246</v>
      </c>
      <c r="D529" s="132" t="n">
        <v>46492</v>
      </c>
      <c r="E529" s="131" t="s">
        <v>46</v>
      </c>
      <c r="F529" s="133" t="s">
        <v>24</v>
      </c>
      <c r="G529" s="134" t="n">
        <f aca="false">LEN('Saisie programme'!$G$33)+SUMIFS('Vols additionnels'!$E$7:$E$66,'Vols additionnels'!$C$7:$C$66,$E529,'Vols additionnels'!$D$7:$D$66,$F529,'Vols additionnels'!$B$7:$B$66,$D529)</f>
        <v>1</v>
      </c>
      <c r="H529" s="135" t="n">
        <f aca="false">$G529*'Analyse capacite'!$F$9</f>
        <v>174</v>
      </c>
      <c r="I529" s="135" t="n">
        <f aca="false">$G529*'Analyse capacite'!$C$9</f>
        <v>0</v>
      </c>
      <c r="J529" s="135" t="n">
        <f aca="false">$G529*'Analyse capacite'!$D$9</f>
        <v>12</v>
      </c>
      <c r="K529" s="135" t="n">
        <f aca="false">$G529*'Analyse capacite'!$E$9</f>
        <v>162</v>
      </c>
    </row>
    <row r="530" customFormat="false" ht="15" hidden="false" customHeight="false" outlineLevel="0" collapsed="false">
      <c r="B530" s="130" t="n">
        <v>2027</v>
      </c>
      <c r="C530" s="131" t="s">
        <v>246</v>
      </c>
      <c r="D530" s="132" t="n">
        <v>46492</v>
      </c>
      <c r="E530" s="131" t="s">
        <v>49</v>
      </c>
      <c r="F530" s="133" t="s">
        <v>11</v>
      </c>
      <c r="G530" s="134" t="n">
        <f aca="false">LEN('Saisie programme'!$G$34)+SUMIFS('Vols additionnels'!$E$7:$E$66,'Vols additionnels'!$C$7:$C$66,$E530,'Vols additionnels'!$D$7:$D$66,$F530,'Vols additionnels'!$B$7:$B$66,$D530)</f>
        <v>0</v>
      </c>
      <c r="H530" s="135" t="n">
        <f aca="false">$G530*'Analyse capacite'!$F$7</f>
        <v>0</v>
      </c>
      <c r="I530" s="135" t="n">
        <f aca="false">$G530*'Analyse capacite'!$C$7</f>
        <v>0</v>
      </c>
      <c r="J530" s="135" t="n">
        <f aca="false">$G530*'Analyse capacite'!$D$7</f>
        <v>0</v>
      </c>
      <c r="K530" s="135" t="n">
        <f aca="false">$G530*'Analyse capacite'!$E$7</f>
        <v>0</v>
      </c>
    </row>
    <row r="531" customFormat="false" ht="15" hidden="false" customHeight="false" outlineLevel="0" collapsed="false">
      <c r="B531" s="130" t="n">
        <v>2027</v>
      </c>
      <c r="C531" s="131" t="s">
        <v>246</v>
      </c>
      <c r="D531" s="132" t="n">
        <v>46492</v>
      </c>
      <c r="E531" s="131" t="s">
        <v>49</v>
      </c>
      <c r="F531" s="133" t="s">
        <v>19</v>
      </c>
      <c r="G531" s="134" t="n">
        <f aca="false">LEN('Saisie programme'!$G$35)+SUMIFS('Vols additionnels'!$E$7:$E$66,'Vols additionnels'!$C$7:$C$66,$E531,'Vols additionnels'!$D$7:$D$66,$F531,'Vols additionnels'!$B$7:$B$66,$D531)</f>
        <v>0</v>
      </c>
      <c r="H531" s="135" t="n">
        <f aca="false">$G531*'Analyse capacite'!$F$8</f>
        <v>0</v>
      </c>
      <c r="I531" s="135" t="n">
        <f aca="false">$G531*'Analyse capacite'!$C$8</f>
        <v>0</v>
      </c>
      <c r="J531" s="135" t="n">
        <f aca="false">$G531*'Analyse capacite'!$D$8</f>
        <v>0</v>
      </c>
      <c r="K531" s="135" t="n">
        <f aca="false">$G531*'Analyse capacite'!$E$8</f>
        <v>0</v>
      </c>
    </row>
    <row r="532" customFormat="false" ht="15" hidden="false" customHeight="false" outlineLevel="0" collapsed="false">
      <c r="B532" s="130" t="n">
        <v>2027</v>
      </c>
      <c r="C532" s="131" t="s">
        <v>246</v>
      </c>
      <c r="D532" s="132" t="n">
        <v>46492</v>
      </c>
      <c r="E532" s="131" t="s">
        <v>49</v>
      </c>
      <c r="F532" s="133" t="s">
        <v>24</v>
      </c>
      <c r="G532" s="134" t="n">
        <f aca="false">LEN('Saisie programme'!$G$36)+SUMIFS('Vols additionnels'!$E$7:$E$66,'Vols additionnels'!$C$7:$C$66,$E532,'Vols additionnels'!$D$7:$D$66,$F532,'Vols additionnels'!$B$7:$B$66,$D532)</f>
        <v>0</v>
      </c>
      <c r="H532" s="135" t="n">
        <f aca="false">$G532*'Analyse capacite'!$F$9</f>
        <v>0</v>
      </c>
      <c r="I532" s="135" t="n">
        <f aca="false">$G532*'Analyse capacite'!$C$9</f>
        <v>0</v>
      </c>
      <c r="J532" s="135" t="n">
        <f aca="false">$G532*'Analyse capacite'!$D$9</f>
        <v>0</v>
      </c>
      <c r="K532" s="135" t="n">
        <f aca="false">$G532*'Analyse capacite'!$E$9</f>
        <v>0</v>
      </c>
    </row>
    <row r="533" customFormat="false" ht="15" hidden="false" customHeight="false" outlineLevel="0" collapsed="false">
      <c r="B533" s="130" t="n">
        <v>2027</v>
      </c>
      <c r="C533" s="131" t="s">
        <v>246</v>
      </c>
      <c r="D533" s="132" t="n">
        <v>46492</v>
      </c>
      <c r="E533" s="131" t="s">
        <v>53</v>
      </c>
      <c r="F533" s="133" t="s">
        <v>11</v>
      </c>
      <c r="G533" s="134" t="n">
        <f aca="false">LEN('Saisie programme'!$G$37)+SUMIFS('Vols additionnels'!$E$7:$E$66,'Vols additionnels'!$C$7:$C$66,$E533,'Vols additionnels'!$D$7:$D$66,$F533,'Vols additionnels'!$B$7:$B$66,$D533)</f>
        <v>0</v>
      </c>
      <c r="H533" s="135" t="n">
        <f aca="false">$G533*'Analyse capacite'!$F$7</f>
        <v>0</v>
      </c>
      <c r="I533" s="135" t="n">
        <f aca="false">$G533*'Analyse capacite'!$C$7</f>
        <v>0</v>
      </c>
      <c r="J533" s="135" t="n">
        <f aca="false">$G533*'Analyse capacite'!$D$7</f>
        <v>0</v>
      </c>
      <c r="K533" s="135" t="n">
        <f aca="false">$G533*'Analyse capacite'!$E$7</f>
        <v>0</v>
      </c>
    </row>
    <row r="534" customFormat="false" ht="15" hidden="false" customHeight="false" outlineLevel="0" collapsed="false">
      <c r="B534" s="130" t="n">
        <v>2027</v>
      </c>
      <c r="C534" s="131" t="s">
        <v>246</v>
      </c>
      <c r="D534" s="132" t="n">
        <v>46492</v>
      </c>
      <c r="E534" s="131" t="s">
        <v>53</v>
      </c>
      <c r="F534" s="133" t="s">
        <v>19</v>
      </c>
      <c r="G534" s="134" t="n">
        <f aca="false">LEN('Saisie programme'!$G$38)+SUMIFS('Vols additionnels'!$E$7:$E$66,'Vols additionnels'!$C$7:$C$66,$E534,'Vols additionnels'!$D$7:$D$66,$F534,'Vols additionnels'!$B$7:$B$66,$D534)</f>
        <v>1</v>
      </c>
      <c r="H534" s="135" t="n">
        <f aca="false">$G534*'Analyse capacite'!$F$8</f>
        <v>262</v>
      </c>
      <c r="I534" s="135" t="n">
        <f aca="false">$G534*'Analyse capacite'!$C$8</f>
        <v>18</v>
      </c>
      <c r="J534" s="135" t="n">
        <f aca="false">$G534*'Analyse capacite'!$D$8</f>
        <v>0</v>
      </c>
      <c r="K534" s="135" t="n">
        <f aca="false">$G534*'Analyse capacite'!$E$8</f>
        <v>244</v>
      </c>
    </row>
    <row r="535" customFormat="false" ht="15" hidden="false" customHeight="false" outlineLevel="0" collapsed="false">
      <c r="B535" s="130" t="n">
        <v>2027</v>
      </c>
      <c r="C535" s="131" t="s">
        <v>246</v>
      </c>
      <c r="D535" s="132" t="n">
        <v>46492</v>
      </c>
      <c r="E535" s="131" t="s">
        <v>53</v>
      </c>
      <c r="F535" s="133" t="s">
        <v>24</v>
      </c>
      <c r="G535" s="134" t="n">
        <f aca="false">LEN('Saisie programme'!$G$39)+SUMIFS('Vols additionnels'!$E$7:$E$66,'Vols additionnels'!$C$7:$C$66,$E535,'Vols additionnels'!$D$7:$D$66,$F535,'Vols additionnels'!$B$7:$B$66,$D535)</f>
        <v>0</v>
      </c>
      <c r="H535" s="135" t="n">
        <f aca="false">$G535*'Analyse capacite'!$F$9</f>
        <v>0</v>
      </c>
      <c r="I535" s="135" t="n">
        <f aca="false">$G535*'Analyse capacite'!$C$9</f>
        <v>0</v>
      </c>
      <c r="J535" s="135" t="n">
        <f aca="false">$G535*'Analyse capacite'!$D$9</f>
        <v>0</v>
      </c>
      <c r="K535" s="135" t="n">
        <f aca="false">$G535*'Analyse capacite'!$E$9</f>
        <v>0</v>
      </c>
    </row>
    <row r="536" customFormat="false" ht="15" hidden="false" customHeight="false" outlineLevel="0" collapsed="false">
      <c r="B536" s="130" t="n">
        <v>2027</v>
      </c>
      <c r="C536" s="131" t="s">
        <v>246</v>
      </c>
      <c r="D536" s="132" t="n">
        <v>46492</v>
      </c>
      <c r="E536" s="131" t="s">
        <v>56</v>
      </c>
      <c r="F536" s="133" t="s">
        <v>11</v>
      </c>
      <c r="G536" s="134" t="n">
        <f aca="false">LEN('Saisie programme'!$G$40)+SUMIFS('Vols additionnels'!$E$7:$E$66,'Vols additionnels'!$C$7:$C$66,$E536,'Vols additionnels'!$D$7:$D$66,$F536,'Vols additionnels'!$B$7:$B$66,$D536)</f>
        <v>0</v>
      </c>
      <c r="H536" s="135" t="n">
        <f aca="false">$G536*'Analyse capacite'!$F$7</f>
        <v>0</v>
      </c>
      <c r="I536" s="135" t="n">
        <f aca="false">$G536*'Analyse capacite'!$C$7</f>
        <v>0</v>
      </c>
      <c r="J536" s="135" t="n">
        <f aca="false">$G536*'Analyse capacite'!$D$7</f>
        <v>0</v>
      </c>
      <c r="K536" s="135" t="n">
        <f aca="false">$G536*'Analyse capacite'!$E$7</f>
        <v>0</v>
      </c>
    </row>
    <row r="537" customFormat="false" ht="15" hidden="false" customHeight="false" outlineLevel="0" collapsed="false">
      <c r="B537" s="130" t="n">
        <v>2027</v>
      </c>
      <c r="C537" s="131" t="s">
        <v>246</v>
      </c>
      <c r="D537" s="132" t="n">
        <v>46492</v>
      </c>
      <c r="E537" s="131" t="s">
        <v>56</v>
      </c>
      <c r="F537" s="133" t="s">
        <v>19</v>
      </c>
      <c r="G537" s="134" t="n">
        <f aca="false">LEN('Saisie programme'!$G$41)+SUMIFS('Vols additionnels'!$E$7:$E$66,'Vols additionnels'!$C$7:$C$66,$E537,'Vols additionnels'!$D$7:$D$66,$F537,'Vols additionnels'!$B$7:$B$66,$D537)</f>
        <v>0</v>
      </c>
      <c r="H537" s="135" t="n">
        <f aca="false">$G537*'Analyse capacite'!$F$8</f>
        <v>0</v>
      </c>
      <c r="I537" s="135" t="n">
        <f aca="false">$G537*'Analyse capacite'!$C$8</f>
        <v>0</v>
      </c>
      <c r="J537" s="135" t="n">
        <f aca="false">$G537*'Analyse capacite'!$D$8</f>
        <v>0</v>
      </c>
      <c r="K537" s="135" t="n">
        <f aca="false">$G537*'Analyse capacite'!$E$8</f>
        <v>0</v>
      </c>
    </row>
    <row r="538" customFormat="false" ht="15" hidden="false" customHeight="false" outlineLevel="0" collapsed="false">
      <c r="B538" s="130" t="n">
        <v>2027</v>
      </c>
      <c r="C538" s="131" t="s">
        <v>246</v>
      </c>
      <c r="D538" s="132" t="n">
        <v>46492</v>
      </c>
      <c r="E538" s="131" t="s">
        <v>56</v>
      </c>
      <c r="F538" s="133" t="s">
        <v>24</v>
      </c>
      <c r="G538" s="134" t="n">
        <f aca="false">LEN('Saisie programme'!$G$42)+SUMIFS('Vols additionnels'!$E$7:$E$66,'Vols additionnels'!$C$7:$C$66,$E538,'Vols additionnels'!$D$7:$D$66,$F538,'Vols additionnels'!$B$7:$B$66,$D538)</f>
        <v>0</v>
      </c>
      <c r="H538" s="135" t="n">
        <f aca="false">$G538*'Analyse capacite'!$F$9</f>
        <v>0</v>
      </c>
      <c r="I538" s="135" t="n">
        <f aca="false">$G538*'Analyse capacite'!$C$9</f>
        <v>0</v>
      </c>
      <c r="J538" s="135" t="n">
        <f aca="false">$G538*'Analyse capacite'!$D$9</f>
        <v>0</v>
      </c>
      <c r="K538" s="135" t="n">
        <f aca="false">$G538*'Analyse capacite'!$E$9</f>
        <v>0</v>
      </c>
    </row>
    <row r="539" customFormat="false" ht="15" hidden="false" customHeight="false" outlineLevel="0" collapsed="false">
      <c r="B539" s="130" t="n">
        <v>2027</v>
      </c>
      <c r="C539" s="131" t="s">
        <v>246</v>
      </c>
      <c r="D539" s="132" t="n">
        <v>46492</v>
      </c>
      <c r="E539" s="131" t="s">
        <v>59</v>
      </c>
      <c r="F539" s="133" t="s">
        <v>11</v>
      </c>
      <c r="G539" s="134" t="n">
        <f aca="false">LEN('Saisie programme'!$G$43)+SUMIFS('Vols additionnels'!$E$7:$E$66,'Vols additionnels'!$C$7:$C$66,$E539,'Vols additionnels'!$D$7:$D$66,$F539,'Vols additionnels'!$B$7:$B$66,$D539)</f>
        <v>0</v>
      </c>
      <c r="H539" s="135" t="n">
        <f aca="false">$G539*'Analyse capacite'!$F$7</f>
        <v>0</v>
      </c>
      <c r="I539" s="135" t="n">
        <f aca="false">$G539*'Analyse capacite'!$C$7</f>
        <v>0</v>
      </c>
      <c r="J539" s="135" t="n">
        <f aca="false">$G539*'Analyse capacite'!$D$7</f>
        <v>0</v>
      </c>
      <c r="K539" s="135" t="n">
        <f aca="false">$G539*'Analyse capacite'!$E$7</f>
        <v>0</v>
      </c>
    </row>
    <row r="540" customFormat="false" ht="15" hidden="false" customHeight="false" outlineLevel="0" collapsed="false">
      <c r="B540" s="130" t="n">
        <v>2027</v>
      </c>
      <c r="C540" s="131" t="s">
        <v>246</v>
      </c>
      <c r="D540" s="132" t="n">
        <v>46492</v>
      </c>
      <c r="E540" s="131" t="s">
        <v>59</v>
      </c>
      <c r="F540" s="133" t="s">
        <v>19</v>
      </c>
      <c r="G540" s="134" t="n">
        <f aca="false">LEN('Saisie programme'!$G$44)+SUMIFS('Vols additionnels'!$E$7:$E$66,'Vols additionnels'!$C$7:$C$66,$E540,'Vols additionnels'!$D$7:$D$66,$F540,'Vols additionnels'!$B$7:$B$66,$D540)</f>
        <v>0</v>
      </c>
      <c r="H540" s="135" t="n">
        <f aca="false">$G540*'Analyse capacite'!$F$8</f>
        <v>0</v>
      </c>
      <c r="I540" s="135" t="n">
        <f aca="false">$G540*'Analyse capacite'!$C$8</f>
        <v>0</v>
      </c>
      <c r="J540" s="135" t="n">
        <f aca="false">$G540*'Analyse capacite'!$D$8</f>
        <v>0</v>
      </c>
      <c r="K540" s="135" t="n">
        <f aca="false">$G540*'Analyse capacite'!$E$8</f>
        <v>0</v>
      </c>
    </row>
    <row r="541" customFormat="false" ht="15" hidden="false" customHeight="false" outlineLevel="0" collapsed="false">
      <c r="B541" s="130" t="n">
        <v>2027</v>
      </c>
      <c r="C541" s="131" t="s">
        <v>246</v>
      </c>
      <c r="D541" s="132" t="n">
        <v>46492</v>
      </c>
      <c r="E541" s="131" t="s">
        <v>59</v>
      </c>
      <c r="F541" s="133" t="s">
        <v>24</v>
      </c>
      <c r="G541" s="134" t="n">
        <f aca="false">LEN('Saisie programme'!$G$45)+SUMIFS('Vols additionnels'!$E$7:$E$66,'Vols additionnels'!$C$7:$C$66,$E541,'Vols additionnels'!$D$7:$D$66,$F541,'Vols additionnels'!$B$7:$B$66,$D541)</f>
        <v>2</v>
      </c>
      <c r="H541" s="135" t="n">
        <f aca="false">$G541*'Analyse capacite'!$F$9</f>
        <v>348</v>
      </c>
      <c r="I541" s="135" t="n">
        <f aca="false">$G541*'Analyse capacite'!$C$9</f>
        <v>0</v>
      </c>
      <c r="J541" s="135" t="n">
        <f aca="false">$G541*'Analyse capacite'!$D$9</f>
        <v>24</v>
      </c>
      <c r="K541" s="135" t="n">
        <f aca="false">$G541*'Analyse capacite'!$E$9</f>
        <v>324</v>
      </c>
    </row>
    <row r="542" customFormat="false" ht="15" hidden="false" customHeight="false" outlineLevel="0" collapsed="false">
      <c r="B542" s="130" t="n">
        <v>2027</v>
      </c>
      <c r="C542" s="131" t="s">
        <v>246</v>
      </c>
      <c r="D542" s="132" t="n">
        <v>46492</v>
      </c>
      <c r="E542" s="131" t="s">
        <v>62</v>
      </c>
      <c r="F542" s="133" t="s">
        <v>11</v>
      </c>
      <c r="G542" s="134" t="n">
        <f aca="false">LEN('Saisie programme'!$G$46)+SUMIFS('Vols additionnels'!$E$7:$E$66,'Vols additionnels'!$C$7:$C$66,$E542,'Vols additionnels'!$D$7:$D$66,$F542,'Vols additionnels'!$B$7:$B$66,$D542)</f>
        <v>0</v>
      </c>
      <c r="H542" s="135" t="n">
        <f aca="false">$G542*'Analyse capacite'!$F$7</f>
        <v>0</v>
      </c>
      <c r="I542" s="135" t="n">
        <f aca="false">$G542*'Analyse capacite'!$C$7</f>
        <v>0</v>
      </c>
      <c r="J542" s="135" t="n">
        <f aca="false">$G542*'Analyse capacite'!$D$7</f>
        <v>0</v>
      </c>
      <c r="K542" s="135" t="n">
        <f aca="false">$G542*'Analyse capacite'!$E$7</f>
        <v>0</v>
      </c>
    </row>
    <row r="543" customFormat="false" ht="15" hidden="false" customHeight="false" outlineLevel="0" collapsed="false">
      <c r="B543" s="130" t="n">
        <v>2027</v>
      </c>
      <c r="C543" s="131" t="s">
        <v>246</v>
      </c>
      <c r="D543" s="132" t="n">
        <v>46492</v>
      </c>
      <c r="E543" s="131" t="s">
        <v>62</v>
      </c>
      <c r="F543" s="133" t="s">
        <v>19</v>
      </c>
      <c r="G543" s="134" t="n">
        <f aca="false">LEN('Saisie programme'!$G$47)+SUMIFS('Vols additionnels'!$E$7:$E$66,'Vols additionnels'!$C$7:$C$66,$E543,'Vols additionnels'!$D$7:$D$66,$F543,'Vols additionnels'!$B$7:$B$66,$D543)</f>
        <v>0</v>
      </c>
      <c r="H543" s="135" t="n">
        <f aca="false">$G543*'Analyse capacite'!$F$8</f>
        <v>0</v>
      </c>
      <c r="I543" s="135" t="n">
        <f aca="false">$G543*'Analyse capacite'!$C$8</f>
        <v>0</v>
      </c>
      <c r="J543" s="135" t="n">
        <f aca="false">$G543*'Analyse capacite'!$D$8</f>
        <v>0</v>
      </c>
      <c r="K543" s="135" t="n">
        <f aca="false">$G543*'Analyse capacite'!$E$8</f>
        <v>0</v>
      </c>
    </row>
    <row r="544" customFormat="false" ht="15" hidden="false" customHeight="false" outlineLevel="0" collapsed="false">
      <c r="B544" s="130" t="n">
        <v>2027</v>
      </c>
      <c r="C544" s="131" t="s">
        <v>246</v>
      </c>
      <c r="D544" s="132" t="n">
        <v>46492</v>
      </c>
      <c r="E544" s="131" t="s">
        <v>62</v>
      </c>
      <c r="F544" s="133" t="s">
        <v>24</v>
      </c>
      <c r="G544" s="134" t="n">
        <f aca="false">LEN('Saisie programme'!$G$48)+SUMIFS('Vols additionnels'!$E$7:$E$66,'Vols additionnels'!$C$7:$C$66,$E544,'Vols additionnels'!$D$7:$D$66,$F544,'Vols additionnels'!$B$7:$B$66,$D544)</f>
        <v>0</v>
      </c>
      <c r="H544" s="135" t="n">
        <f aca="false">$G544*'Analyse capacite'!$F$9</f>
        <v>0</v>
      </c>
      <c r="I544" s="135" t="n">
        <f aca="false">$G544*'Analyse capacite'!$C$9</f>
        <v>0</v>
      </c>
      <c r="J544" s="135" t="n">
        <f aca="false">$G544*'Analyse capacite'!$D$9</f>
        <v>0</v>
      </c>
      <c r="K544" s="135" t="n">
        <f aca="false">$G544*'Analyse capacite'!$E$9</f>
        <v>0</v>
      </c>
    </row>
    <row r="545" customFormat="false" ht="15" hidden="false" customHeight="false" outlineLevel="0" collapsed="false">
      <c r="B545" s="130" t="n">
        <v>2027</v>
      </c>
      <c r="C545" s="131" t="s">
        <v>246</v>
      </c>
      <c r="D545" s="132" t="n">
        <v>46493</v>
      </c>
      <c r="E545" s="131" t="s">
        <v>12</v>
      </c>
      <c r="F545" s="133" t="s">
        <v>11</v>
      </c>
      <c r="G545" s="134" t="n">
        <f aca="false">LEN('Saisie programme'!$H$13)+SUMIFS('Vols additionnels'!$E$7:$E$66,'Vols additionnels'!$C$7:$C$66,$E545,'Vols additionnels'!$D$7:$D$66,$F545,'Vols additionnels'!$B$7:$B$66,$D545)</f>
        <v>1</v>
      </c>
      <c r="H545" s="135" t="n">
        <f aca="false">$G545*'Analyse capacite'!$F$7</f>
        <v>438</v>
      </c>
      <c r="I545" s="135" t="n">
        <f aca="false">$G545*'Analyse capacite'!$C$7</f>
        <v>14</v>
      </c>
      <c r="J545" s="135" t="n">
        <f aca="false">$G545*'Analyse capacite'!$D$7</f>
        <v>40</v>
      </c>
      <c r="K545" s="135" t="n">
        <f aca="false">$G545*'Analyse capacite'!$E$7</f>
        <v>384</v>
      </c>
    </row>
    <row r="546" customFormat="false" ht="15" hidden="false" customHeight="false" outlineLevel="0" collapsed="false">
      <c r="B546" s="130" t="n">
        <v>2027</v>
      </c>
      <c r="C546" s="131" t="s">
        <v>246</v>
      </c>
      <c r="D546" s="132" t="n">
        <v>46493</v>
      </c>
      <c r="E546" s="131" t="s">
        <v>12</v>
      </c>
      <c r="F546" s="133" t="s">
        <v>19</v>
      </c>
      <c r="G546" s="134" t="n">
        <f aca="false">LEN('Saisie programme'!$H$14)+SUMIFS('Vols additionnels'!$E$7:$E$66,'Vols additionnels'!$C$7:$C$66,$E546,'Vols additionnels'!$D$7:$D$66,$F546,'Vols additionnels'!$B$7:$B$66,$D546)</f>
        <v>1</v>
      </c>
      <c r="H546" s="135" t="n">
        <f aca="false">$G546*'Analyse capacite'!$F$8</f>
        <v>262</v>
      </c>
      <c r="I546" s="135" t="n">
        <f aca="false">$G546*'Analyse capacite'!$C$8</f>
        <v>18</v>
      </c>
      <c r="J546" s="135" t="n">
        <f aca="false">$G546*'Analyse capacite'!$D$8</f>
        <v>0</v>
      </c>
      <c r="K546" s="135" t="n">
        <f aca="false">$G546*'Analyse capacite'!$E$8</f>
        <v>244</v>
      </c>
    </row>
    <row r="547" customFormat="false" ht="15" hidden="false" customHeight="false" outlineLevel="0" collapsed="false">
      <c r="B547" s="130" t="n">
        <v>2027</v>
      </c>
      <c r="C547" s="131" t="s">
        <v>246</v>
      </c>
      <c r="D547" s="132" t="n">
        <v>46493</v>
      </c>
      <c r="E547" s="131" t="s">
        <v>12</v>
      </c>
      <c r="F547" s="133" t="s">
        <v>24</v>
      </c>
      <c r="G547" s="134" t="n">
        <f aca="false">LEN('Saisie programme'!$H$15)+SUMIFS('Vols additionnels'!$E$7:$E$66,'Vols additionnels'!$C$7:$C$66,$E547,'Vols additionnels'!$D$7:$D$66,$F547,'Vols additionnels'!$B$7:$B$66,$D547)</f>
        <v>0</v>
      </c>
      <c r="H547" s="135" t="n">
        <f aca="false">$G547*'Analyse capacite'!$F$9</f>
        <v>0</v>
      </c>
      <c r="I547" s="135" t="n">
        <f aca="false">$G547*'Analyse capacite'!$C$9</f>
        <v>0</v>
      </c>
      <c r="J547" s="135" t="n">
        <f aca="false">$G547*'Analyse capacite'!$D$9</f>
        <v>0</v>
      </c>
      <c r="K547" s="135" t="n">
        <f aca="false">$G547*'Analyse capacite'!$E$9</f>
        <v>0</v>
      </c>
    </row>
    <row r="548" customFormat="false" ht="15" hidden="false" customHeight="false" outlineLevel="0" collapsed="false">
      <c r="B548" s="130" t="n">
        <v>2027</v>
      </c>
      <c r="C548" s="131" t="s">
        <v>246</v>
      </c>
      <c r="D548" s="132" t="n">
        <v>46493</v>
      </c>
      <c r="E548" s="131" t="s">
        <v>20</v>
      </c>
      <c r="F548" s="133" t="s">
        <v>11</v>
      </c>
      <c r="G548" s="134" t="n">
        <f aca="false">LEN('Saisie programme'!$H$16)+SUMIFS('Vols additionnels'!$E$7:$E$66,'Vols additionnels'!$C$7:$C$66,$E548,'Vols additionnels'!$D$7:$D$66,$F548,'Vols additionnels'!$B$7:$B$66,$D548)</f>
        <v>0</v>
      </c>
      <c r="H548" s="135" t="n">
        <f aca="false">$G548*'Analyse capacite'!$F$7</f>
        <v>0</v>
      </c>
      <c r="I548" s="135" t="n">
        <f aca="false">$G548*'Analyse capacite'!$C$7</f>
        <v>0</v>
      </c>
      <c r="J548" s="135" t="n">
        <f aca="false">$G548*'Analyse capacite'!$D$7</f>
        <v>0</v>
      </c>
      <c r="K548" s="135" t="n">
        <f aca="false">$G548*'Analyse capacite'!$E$7</f>
        <v>0</v>
      </c>
    </row>
    <row r="549" customFormat="false" ht="15" hidden="false" customHeight="false" outlineLevel="0" collapsed="false">
      <c r="B549" s="130" t="n">
        <v>2027</v>
      </c>
      <c r="C549" s="131" t="s">
        <v>246</v>
      </c>
      <c r="D549" s="132" t="n">
        <v>46493</v>
      </c>
      <c r="E549" s="131" t="s">
        <v>20</v>
      </c>
      <c r="F549" s="133" t="s">
        <v>19</v>
      </c>
      <c r="G549" s="134" t="n">
        <f aca="false">LEN('Saisie programme'!$H$17)+SUMIFS('Vols additionnels'!$E$7:$E$66,'Vols additionnels'!$C$7:$C$66,$E549,'Vols additionnels'!$D$7:$D$66,$F549,'Vols additionnels'!$B$7:$B$66,$D549)</f>
        <v>1</v>
      </c>
      <c r="H549" s="135" t="n">
        <f aca="false">$G549*'Analyse capacite'!$F$8</f>
        <v>262</v>
      </c>
      <c r="I549" s="135" t="n">
        <f aca="false">$G549*'Analyse capacite'!$C$8</f>
        <v>18</v>
      </c>
      <c r="J549" s="135" t="n">
        <f aca="false">$G549*'Analyse capacite'!$D$8</f>
        <v>0</v>
      </c>
      <c r="K549" s="135" t="n">
        <f aca="false">$G549*'Analyse capacite'!$E$8</f>
        <v>244</v>
      </c>
    </row>
    <row r="550" customFormat="false" ht="15" hidden="false" customHeight="false" outlineLevel="0" collapsed="false">
      <c r="B550" s="130" t="n">
        <v>2027</v>
      </c>
      <c r="C550" s="131" t="s">
        <v>246</v>
      </c>
      <c r="D550" s="132" t="n">
        <v>46493</v>
      </c>
      <c r="E550" s="131" t="s">
        <v>20</v>
      </c>
      <c r="F550" s="133" t="s">
        <v>24</v>
      </c>
      <c r="G550" s="134" t="n">
        <f aca="false">LEN('Saisie programme'!$H$18)+SUMIFS('Vols additionnels'!$E$7:$E$66,'Vols additionnels'!$C$7:$C$66,$E550,'Vols additionnels'!$D$7:$D$66,$F550,'Vols additionnels'!$B$7:$B$66,$D550)</f>
        <v>0</v>
      </c>
      <c r="H550" s="135" t="n">
        <f aca="false">$G550*'Analyse capacite'!$F$9</f>
        <v>0</v>
      </c>
      <c r="I550" s="135" t="n">
        <f aca="false">$G550*'Analyse capacite'!$C$9</f>
        <v>0</v>
      </c>
      <c r="J550" s="135" t="n">
        <f aca="false">$G550*'Analyse capacite'!$D$9</f>
        <v>0</v>
      </c>
      <c r="K550" s="135" t="n">
        <f aca="false">$G550*'Analyse capacite'!$E$9</f>
        <v>0</v>
      </c>
    </row>
    <row r="551" customFormat="false" ht="15" hidden="false" customHeight="false" outlineLevel="0" collapsed="false">
      <c r="B551" s="130" t="n">
        <v>2027</v>
      </c>
      <c r="C551" s="131" t="s">
        <v>246</v>
      </c>
      <c r="D551" s="132" t="n">
        <v>46493</v>
      </c>
      <c r="E551" s="131" t="s">
        <v>25</v>
      </c>
      <c r="F551" s="133" t="s">
        <v>11</v>
      </c>
      <c r="G551" s="134" t="n">
        <f aca="false">LEN('Saisie programme'!$H$19)+SUMIFS('Vols additionnels'!$E$7:$E$66,'Vols additionnels'!$C$7:$C$66,$E551,'Vols additionnels'!$D$7:$D$66,$F551,'Vols additionnels'!$B$7:$B$66,$D551)</f>
        <v>0</v>
      </c>
      <c r="H551" s="135" t="n">
        <f aca="false">$G551*'Analyse capacite'!$F$7</f>
        <v>0</v>
      </c>
      <c r="I551" s="135" t="n">
        <f aca="false">$G551*'Analyse capacite'!$C$7</f>
        <v>0</v>
      </c>
      <c r="J551" s="135" t="n">
        <f aca="false">$G551*'Analyse capacite'!$D$7</f>
        <v>0</v>
      </c>
      <c r="K551" s="135" t="n">
        <f aca="false">$G551*'Analyse capacite'!$E$7</f>
        <v>0</v>
      </c>
    </row>
    <row r="552" customFormat="false" ht="15" hidden="false" customHeight="false" outlineLevel="0" collapsed="false">
      <c r="B552" s="130" t="n">
        <v>2027</v>
      </c>
      <c r="C552" s="131" t="s">
        <v>246</v>
      </c>
      <c r="D552" s="132" t="n">
        <v>46493</v>
      </c>
      <c r="E552" s="131" t="s">
        <v>25</v>
      </c>
      <c r="F552" s="133" t="s">
        <v>19</v>
      </c>
      <c r="G552" s="134" t="n">
        <f aca="false">LEN('Saisie programme'!$H$20)+SUMIFS('Vols additionnels'!$E$7:$E$66,'Vols additionnels'!$C$7:$C$66,$E552,'Vols additionnels'!$D$7:$D$66,$F552,'Vols additionnels'!$B$7:$B$66,$D552)</f>
        <v>0</v>
      </c>
      <c r="H552" s="135" t="n">
        <f aca="false">$G552*'Analyse capacite'!$F$8</f>
        <v>0</v>
      </c>
      <c r="I552" s="135" t="n">
        <f aca="false">$G552*'Analyse capacite'!$C$8</f>
        <v>0</v>
      </c>
      <c r="J552" s="135" t="n">
        <f aca="false">$G552*'Analyse capacite'!$D$8</f>
        <v>0</v>
      </c>
      <c r="K552" s="135" t="n">
        <f aca="false">$G552*'Analyse capacite'!$E$8</f>
        <v>0</v>
      </c>
    </row>
    <row r="553" customFormat="false" ht="15" hidden="false" customHeight="false" outlineLevel="0" collapsed="false">
      <c r="B553" s="130" t="n">
        <v>2027</v>
      </c>
      <c r="C553" s="131" t="s">
        <v>246</v>
      </c>
      <c r="D553" s="132" t="n">
        <v>46493</v>
      </c>
      <c r="E553" s="131" t="s">
        <v>25</v>
      </c>
      <c r="F553" s="133" t="s">
        <v>24</v>
      </c>
      <c r="G553" s="134" t="n">
        <f aca="false">LEN('Saisie programme'!$H$21)+SUMIFS('Vols additionnels'!$E$7:$E$66,'Vols additionnels'!$C$7:$C$66,$E553,'Vols additionnels'!$D$7:$D$66,$F553,'Vols additionnels'!$B$7:$B$66,$D553)</f>
        <v>0</v>
      </c>
      <c r="H553" s="135" t="n">
        <f aca="false">$G553*'Analyse capacite'!$F$9</f>
        <v>0</v>
      </c>
      <c r="I553" s="135" t="n">
        <f aca="false">$G553*'Analyse capacite'!$C$9</f>
        <v>0</v>
      </c>
      <c r="J553" s="135" t="n">
        <f aca="false">$G553*'Analyse capacite'!$D$9</f>
        <v>0</v>
      </c>
      <c r="K553" s="135" t="n">
        <f aca="false">$G553*'Analyse capacite'!$E$9</f>
        <v>0</v>
      </c>
    </row>
    <row r="554" customFormat="false" ht="15" hidden="false" customHeight="false" outlineLevel="0" collapsed="false">
      <c r="B554" s="130" t="n">
        <v>2027</v>
      </c>
      <c r="C554" s="131" t="s">
        <v>246</v>
      </c>
      <c r="D554" s="132" t="n">
        <v>46493</v>
      </c>
      <c r="E554" s="131" t="s">
        <v>36</v>
      </c>
      <c r="F554" s="133" t="s">
        <v>11</v>
      </c>
      <c r="G554" s="134" t="n">
        <f aca="false">LEN('Saisie programme'!$H$22)+SUMIFS('Vols additionnels'!$E$7:$E$66,'Vols additionnels'!$C$7:$C$66,$E554,'Vols additionnels'!$D$7:$D$66,$F554,'Vols additionnels'!$B$7:$B$66,$D554)</f>
        <v>0</v>
      </c>
      <c r="H554" s="135" t="n">
        <f aca="false">$G554*'Analyse capacite'!$F$7</f>
        <v>0</v>
      </c>
      <c r="I554" s="135" t="n">
        <f aca="false">$G554*'Analyse capacite'!$C$7</f>
        <v>0</v>
      </c>
      <c r="J554" s="135" t="n">
        <f aca="false">$G554*'Analyse capacite'!$D$7</f>
        <v>0</v>
      </c>
      <c r="K554" s="135" t="n">
        <f aca="false">$G554*'Analyse capacite'!$E$7</f>
        <v>0</v>
      </c>
    </row>
    <row r="555" customFormat="false" ht="15" hidden="false" customHeight="false" outlineLevel="0" collapsed="false">
      <c r="B555" s="130" t="n">
        <v>2027</v>
      </c>
      <c r="C555" s="131" t="s">
        <v>246</v>
      </c>
      <c r="D555" s="132" t="n">
        <v>46493</v>
      </c>
      <c r="E555" s="131" t="s">
        <v>36</v>
      </c>
      <c r="F555" s="133" t="s">
        <v>19</v>
      </c>
      <c r="G555" s="134" t="n">
        <f aca="false">LEN('Saisie programme'!$H$23)+SUMIFS('Vols additionnels'!$E$7:$E$66,'Vols additionnels'!$C$7:$C$66,$E555,'Vols additionnels'!$D$7:$D$66,$F555,'Vols additionnels'!$B$7:$B$66,$D555)</f>
        <v>0</v>
      </c>
      <c r="H555" s="135" t="n">
        <f aca="false">$G555*'Analyse capacite'!$F$8</f>
        <v>0</v>
      </c>
      <c r="I555" s="135" t="n">
        <f aca="false">$G555*'Analyse capacite'!$C$8</f>
        <v>0</v>
      </c>
      <c r="J555" s="135" t="n">
        <f aca="false">$G555*'Analyse capacite'!$D$8</f>
        <v>0</v>
      </c>
      <c r="K555" s="135" t="n">
        <f aca="false">$G555*'Analyse capacite'!$E$8</f>
        <v>0</v>
      </c>
    </row>
    <row r="556" customFormat="false" ht="15" hidden="false" customHeight="false" outlineLevel="0" collapsed="false">
      <c r="B556" s="130" t="n">
        <v>2027</v>
      </c>
      <c r="C556" s="131" t="s">
        <v>246</v>
      </c>
      <c r="D556" s="132" t="n">
        <v>46493</v>
      </c>
      <c r="E556" s="131" t="s">
        <v>36</v>
      </c>
      <c r="F556" s="133" t="s">
        <v>24</v>
      </c>
      <c r="G556" s="134" t="n">
        <f aca="false">LEN('Saisie programme'!$H$24)+SUMIFS('Vols additionnels'!$E$7:$E$66,'Vols additionnels'!$C$7:$C$66,$E556,'Vols additionnels'!$D$7:$D$66,$F556,'Vols additionnels'!$B$7:$B$66,$D556)</f>
        <v>1</v>
      </c>
      <c r="H556" s="135" t="n">
        <f aca="false">$G556*'Analyse capacite'!$F$9</f>
        <v>174</v>
      </c>
      <c r="I556" s="135" t="n">
        <f aca="false">$G556*'Analyse capacite'!$C$9</f>
        <v>0</v>
      </c>
      <c r="J556" s="135" t="n">
        <f aca="false">$G556*'Analyse capacite'!$D$9</f>
        <v>12</v>
      </c>
      <c r="K556" s="135" t="n">
        <f aca="false">$G556*'Analyse capacite'!$E$9</f>
        <v>162</v>
      </c>
    </row>
    <row r="557" customFormat="false" ht="15" hidden="false" customHeight="false" outlineLevel="0" collapsed="false">
      <c r="B557" s="130" t="n">
        <v>2027</v>
      </c>
      <c r="C557" s="131" t="s">
        <v>246</v>
      </c>
      <c r="D557" s="132" t="n">
        <v>46493</v>
      </c>
      <c r="E557" s="131" t="s">
        <v>40</v>
      </c>
      <c r="F557" s="133" t="s">
        <v>11</v>
      </c>
      <c r="G557" s="134" t="n">
        <f aca="false">LEN('Saisie programme'!$H$25)+SUMIFS('Vols additionnels'!$E$7:$E$66,'Vols additionnels'!$C$7:$C$66,$E557,'Vols additionnels'!$D$7:$D$66,$F557,'Vols additionnels'!$B$7:$B$66,$D557)</f>
        <v>0</v>
      </c>
      <c r="H557" s="135" t="n">
        <f aca="false">$G557*'Analyse capacite'!$F$7</f>
        <v>0</v>
      </c>
      <c r="I557" s="135" t="n">
        <f aca="false">$G557*'Analyse capacite'!$C$7</f>
        <v>0</v>
      </c>
      <c r="J557" s="135" t="n">
        <f aca="false">$G557*'Analyse capacite'!$D$7</f>
        <v>0</v>
      </c>
      <c r="K557" s="135" t="n">
        <f aca="false">$G557*'Analyse capacite'!$E$7</f>
        <v>0</v>
      </c>
    </row>
    <row r="558" customFormat="false" ht="15" hidden="false" customHeight="false" outlineLevel="0" collapsed="false">
      <c r="B558" s="130" t="n">
        <v>2027</v>
      </c>
      <c r="C558" s="131" t="s">
        <v>246</v>
      </c>
      <c r="D558" s="132" t="n">
        <v>46493</v>
      </c>
      <c r="E558" s="131" t="s">
        <v>40</v>
      </c>
      <c r="F558" s="133" t="s">
        <v>19</v>
      </c>
      <c r="G558" s="134" t="n">
        <f aca="false">LEN('Saisie programme'!$H$26)+SUMIFS('Vols additionnels'!$E$7:$E$66,'Vols additionnels'!$C$7:$C$66,$E558,'Vols additionnels'!$D$7:$D$66,$F558,'Vols additionnels'!$B$7:$B$66,$D558)</f>
        <v>0</v>
      </c>
      <c r="H558" s="135" t="n">
        <f aca="false">$G558*'Analyse capacite'!$F$8</f>
        <v>0</v>
      </c>
      <c r="I558" s="135" t="n">
        <f aca="false">$G558*'Analyse capacite'!$C$8</f>
        <v>0</v>
      </c>
      <c r="J558" s="135" t="n">
        <f aca="false">$G558*'Analyse capacite'!$D$8</f>
        <v>0</v>
      </c>
      <c r="K558" s="135" t="n">
        <f aca="false">$G558*'Analyse capacite'!$E$8</f>
        <v>0</v>
      </c>
    </row>
    <row r="559" customFormat="false" ht="15" hidden="false" customHeight="false" outlineLevel="0" collapsed="false">
      <c r="B559" s="130" t="n">
        <v>2027</v>
      </c>
      <c r="C559" s="131" t="s">
        <v>246</v>
      </c>
      <c r="D559" s="132" t="n">
        <v>46493</v>
      </c>
      <c r="E559" s="131" t="s">
        <v>40</v>
      </c>
      <c r="F559" s="133" t="s">
        <v>24</v>
      </c>
      <c r="G559" s="134" t="n">
        <f aca="false">LEN('Saisie programme'!$H$27)+SUMIFS('Vols additionnels'!$E$7:$E$66,'Vols additionnels'!$C$7:$C$66,$E559,'Vols additionnels'!$D$7:$D$66,$F559,'Vols additionnels'!$B$7:$B$66,$D559)</f>
        <v>1</v>
      </c>
      <c r="H559" s="135" t="n">
        <f aca="false">$G559*'Analyse capacite'!$F$9</f>
        <v>174</v>
      </c>
      <c r="I559" s="135" t="n">
        <f aca="false">$G559*'Analyse capacite'!$C$9</f>
        <v>0</v>
      </c>
      <c r="J559" s="135" t="n">
        <f aca="false">$G559*'Analyse capacite'!$D$9</f>
        <v>12</v>
      </c>
      <c r="K559" s="135" t="n">
        <f aca="false">$G559*'Analyse capacite'!$E$9</f>
        <v>162</v>
      </c>
    </row>
    <row r="560" customFormat="false" ht="15" hidden="false" customHeight="false" outlineLevel="0" collapsed="false">
      <c r="B560" s="130" t="n">
        <v>2027</v>
      </c>
      <c r="C560" s="131" t="s">
        <v>246</v>
      </c>
      <c r="D560" s="132" t="n">
        <v>46493</v>
      </c>
      <c r="E560" s="131" t="s">
        <v>14</v>
      </c>
      <c r="F560" s="133" t="s">
        <v>11</v>
      </c>
      <c r="G560" s="134" t="n">
        <f aca="false">LEN('Saisie programme'!$H$28)+SUMIFS('Vols additionnels'!$E$7:$E$66,'Vols additionnels'!$C$7:$C$66,$E560,'Vols additionnels'!$D$7:$D$66,$F560,'Vols additionnels'!$B$7:$B$66,$D560)</f>
        <v>0</v>
      </c>
      <c r="H560" s="135" t="n">
        <f aca="false">$G560*'Analyse capacite'!$F$7</f>
        <v>0</v>
      </c>
      <c r="I560" s="135" t="n">
        <f aca="false">$G560*'Analyse capacite'!$C$7</f>
        <v>0</v>
      </c>
      <c r="J560" s="135" t="n">
        <f aca="false">$G560*'Analyse capacite'!$D$7</f>
        <v>0</v>
      </c>
      <c r="K560" s="135" t="n">
        <f aca="false">$G560*'Analyse capacite'!$E$7</f>
        <v>0</v>
      </c>
    </row>
    <row r="561" customFormat="false" ht="15" hidden="false" customHeight="false" outlineLevel="0" collapsed="false">
      <c r="B561" s="130" t="n">
        <v>2027</v>
      </c>
      <c r="C561" s="131" t="s">
        <v>246</v>
      </c>
      <c r="D561" s="132" t="n">
        <v>46493</v>
      </c>
      <c r="E561" s="131" t="s">
        <v>14</v>
      </c>
      <c r="F561" s="133" t="s">
        <v>19</v>
      </c>
      <c r="G561" s="134" t="n">
        <f aca="false">LEN('Saisie programme'!$H$29)+SUMIFS('Vols additionnels'!$E$7:$E$66,'Vols additionnels'!$C$7:$C$66,$E561,'Vols additionnels'!$D$7:$D$66,$F561,'Vols additionnels'!$B$7:$B$66,$D561)</f>
        <v>0</v>
      </c>
      <c r="H561" s="135" t="n">
        <f aca="false">$G561*'Analyse capacite'!$F$8</f>
        <v>0</v>
      </c>
      <c r="I561" s="135" t="n">
        <f aca="false">$G561*'Analyse capacite'!$C$8</f>
        <v>0</v>
      </c>
      <c r="J561" s="135" t="n">
        <f aca="false">$G561*'Analyse capacite'!$D$8</f>
        <v>0</v>
      </c>
      <c r="K561" s="135" t="n">
        <f aca="false">$G561*'Analyse capacite'!$E$8</f>
        <v>0</v>
      </c>
    </row>
    <row r="562" customFormat="false" ht="15" hidden="false" customHeight="false" outlineLevel="0" collapsed="false">
      <c r="B562" s="130" t="n">
        <v>2027</v>
      </c>
      <c r="C562" s="131" t="s">
        <v>246</v>
      </c>
      <c r="D562" s="132" t="n">
        <v>46493</v>
      </c>
      <c r="E562" s="131" t="s">
        <v>14</v>
      </c>
      <c r="F562" s="133" t="s">
        <v>24</v>
      </c>
      <c r="G562" s="134" t="n">
        <f aca="false">LEN('Saisie programme'!$H$30)+SUMIFS('Vols additionnels'!$E$7:$E$66,'Vols additionnels'!$C$7:$C$66,$E562,'Vols additionnels'!$D$7:$D$66,$F562,'Vols additionnels'!$B$7:$B$66,$D562)</f>
        <v>0</v>
      </c>
      <c r="H562" s="135" t="n">
        <f aca="false">$G562*'Analyse capacite'!$F$9</f>
        <v>0</v>
      </c>
      <c r="I562" s="135" t="n">
        <f aca="false">$G562*'Analyse capacite'!$C$9</f>
        <v>0</v>
      </c>
      <c r="J562" s="135" t="n">
        <f aca="false">$G562*'Analyse capacite'!$D$9</f>
        <v>0</v>
      </c>
      <c r="K562" s="135" t="n">
        <f aca="false">$G562*'Analyse capacite'!$E$9</f>
        <v>0</v>
      </c>
    </row>
    <row r="563" customFormat="false" ht="15" hidden="false" customHeight="false" outlineLevel="0" collapsed="false">
      <c r="B563" s="130" t="n">
        <v>2027</v>
      </c>
      <c r="C563" s="131" t="s">
        <v>246</v>
      </c>
      <c r="D563" s="132" t="n">
        <v>46493</v>
      </c>
      <c r="E563" s="131" t="s">
        <v>46</v>
      </c>
      <c r="F563" s="133" t="s">
        <v>11</v>
      </c>
      <c r="G563" s="134" t="n">
        <f aca="false">LEN('Saisie programme'!$H$31)+SUMIFS('Vols additionnels'!$E$7:$E$66,'Vols additionnels'!$C$7:$C$66,$E563,'Vols additionnels'!$D$7:$D$66,$F563,'Vols additionnels'!$B$7:$B$66,$D563)</f>
        <v>0</v>
      </c>
      <c r="H563" s="135" t="n">
        <f aca="false">$G563*'Analyse capacite'!$F$7</f>
        <v>0</v>
      </c>
      <c r="I563" s="135" t="n">
        <f aca="false">$G563*'Analyse capacite'!$C$7</f>
        <v>0</v>
      </c>
      <c r="J563" s="135" t="n">
        <f aca="false">$G563*'Analyse capacite'!$D$7</f>
        <v>0</v>
      </c>
      <c r="K563" s="135" t="n">
        <f aca="false">$G563*'Analyse capacite'!$E$7</f>
        <v>0</v>
      </c>
    </row>
    <row r="564" customFormat="false" ht="15" hidden="false" customHeight="false" outlineLevel="0" collapsed="false">
      <c r="B564" s="130" t="n">
        <v>2027</v>
      </c>
      <c r="C564" s="131" t="s">
        <v>246</v>
      </c>
      <c r="D564" s="132" t="n">
        <v>46493</v>
      </c>
      <c r="E564" s="131" t="s">
        <v>46</v>
      </c>
      <c r="F564" s="133" t="s">
        <v>19</v>
      </c>
      <c r="G564" s="134" t="n">
        <f aca="false">LEN('Saisie programme'!$H$32)+SUMIFS('Vols additionnels'!$E$7:$E$66,'Vols additionnels'!$C$7:$C$66,$E564,'Vols additionnels'!$D$7:$D$66,$F564,'Vols additionnels'!$B$7:$B$66,$D564)</f>
        <v>0</v>
      </c>
      <c r="H564" s="135" t="n">
        <f aca="false">$G564*'Analyse capacite'!$F$8</f>
        <v>0</v>
      </c>
      <c r="I564" s="135" t="n">
        <f aca="false">$G564*'Analyse capacite'!$C$8</f>
        <v>0</v>
      </c>
      <c r="J564" s="135" t="n">
        <f aca="false">$G564*'Analyse capacite'!$D$8</f>
        <v>0</v>
      </c>
      <c r="K564" s="135" t="n">
        <f aca="false">$G564*'Analyse capacite'!$E$8</f>
        <v>0</v>
      </c>
    </row>
    <row r="565" customFormat="false" ht="15" hidden="false" customHeight="false" outlineLevel="0" collapsed="false">
      <c r="B565" s="130" t="n">
        <v>2027</v>
      </c>
      <c r="C565" s="131" t="s">
        <v>246</v>
      </c>
      <c r="D565" s="132" t="n">
        <v>46493</v>
      </c>
      <c r="E565" s="131" t="s">
        <v>46</v>
      </c>
      <c r="F565" s="133" t="s">
        <v>24</v>
      </c>
      <c r="G565" s="134" t="n">
        <f aca="false">LEN('Saisie programme'!$H$33)+SUMIFS('Vols additionnels'!$E$7:$E$66,'Vols additionnels'!$C$7:$C$66,$E565,'Vols additionnels'!$D$7:$D$66,$F565,'Vols additionnels'!$B$7:$B$66,$D565)</f>
        <v>0</v>
      </c>
      <c r="H565" s="135" t="n">
        <f aca="false">$G565*'Analyse capacite'!$F$9</f>
        <v>0</v>
      </c>
      <c r="I565" s="135" t="n">
        <f aca="false">$G565*'Analyse capacite'!$C$9</f>
        <v>0</v>
      </c>
      <c r="J565" s="135" t="n">
        <f aca="false">$G565*'Analyse capacite'!$D$9</f>
        <v>0</v>
      </c>
      <c r="K565" s="135" t="n">
        <f aca="false">$G565*'Analyse capacite'!$E$9</f>
        <v>0</v>
      </c>
    </row>
    <row r="566" customFormat="false" ht="15" hidden="false" customHeight="false" outlineLevel="0" collapsed="false">
      <c r="B566" s="130" t="n">
        <v>2027</v>
      </c>
      <c r="C566" s="131" t="s">
        <v>246</v>
      </c>
      <c r="D566" s="132" t="n">
        <v>46493</v>
      </c>
      <c r="E566" s="131" t="s">
        <v>49</v>
      </c>
      <c r="F566" s="133" t="s">
        <v>11</v>
      </c>
      <c r="G566" s="134" t="n">
        <f aca="false">LEN('Saisie programme'!$H$34)+SUMIFS('Vols additionnels'!$E$7:$E$66,'Vols additionnels'!$C$7:$C$66,$E566,'Vols additionnels'!$D$7:$D$66,$F566,'Vols additionnels'!$B$7:$B$66,$D566)</f>
        <v>0</v>
      </c>
      <c r="H566" s="135" t="n">
        <f aca="false">$G566*'Analyse capacite'!$F$7</f>
        <v>0</v>
      </c>
      <c r="I566" s="135" t="n">
        <f aca="false">$G566*'Analyse capacite'!$C$7</f>
        <v>0</v>
      </c>
      <c r="J566" s="135" t="n">
        <f aca="false">$G566*'Analyse capacite'!$D$7</f>
        <v>0</v>
      </c>
      <c r="K566" s="135" t="n">
        <f aca="false">$G566*'Analyse capacite'!$E$7</f>
        <v>0</v>
      </c>
    </row>
    <row r="567" customFormat="false" ht="15" hidden="false" customHeight="false" outlineLevel="0" collapsed="false">
      <c r="B567" s="130" t="n">
        <v>2027</v>
      </c>
      <c r="C567" s="131" t="s">
        <v>246</v>
      </c>
      <c r="D567" s="132" t="n">
        <v>46493</v>
      </c>
      <c r="E567" s="131" t="s">
        <v>49</v>
      </c>
      <c r="F567" s="133" t="s">
        <v>19</v>
      </c>
      <c r="G567" s="134" t="n">
        <f aca="false">LEN('Saisie programme'!$H$35)+SUMIFS('Vols additionnels'!$E$7:$E$66,'Vols additionnels'!$C$7:$C$66,$E567,'Vols additionnels'!$D$7:$D$66,$F567,'Vols additionnels'!$B$7:$B$66,$D567)</f>
        <v>1</v>
      </c>
      <c r="H567" s="135" t="n">
        <f aca="false">$G567*'Analyse capacite'!$F$8</f>
        <v>262</v>
      </c>
      <c r="I567" s="135" t="n">
        <f aca="false">$G567*'Analyse capacite'!$C$8</f>
        <v>18</v>
      </c>
      <c r="J567" s="135" t="n">
        <f aca="false">$G567*'Analyse capacite'!$D$8</f>
        <v>0</v>
      </c>
      <c r="K567" s="135" t="n">
        <f aca="false">$G567*'Analyse capacite'!$E$8</f>
        <v>244</v>
      </c>
    </row>
    <row r="568" customFormat="false" ht="15" hidden="false" customHeight="false" outlineLevel="0" collapsed="false">
      <c r="B568" s="130" t="n">
        <v>2027</v>
      </c>
      <c r="C568" s="131" t="s">
        <v>246</v>
      </c>
      <c r="D568" s="132" t="n">
        <v>46493</v>
      </c>
      <c r="E568" s="131" t="s">
        <v>49</v>
      </c>
      <c r="F568" s="133" t="s">
        <v>24</v>
      </c>
      <c r="G568" s="134" t="n">
        <f aca="false">LEN('Saisie programme'!$H$36)+SUMIFS('Vols additionnels'!$E$7:$E$66,'Vols additionnels'!$C$7:$C$66,$E568,'Vols additionnels'!$D$7:$D$66,$F568,'Vols additionnels'!$B$7:$B$66,$D568)</f>
        <v>0</v>
      </c>
      <c r="H568" s="135" t="n">
        <f aca="false">$G568*'Analyse capacite'!$F$9</f>
        <v>0</v>
      </c>
      <c r="I568" s="135" t="n">
        <f aca="false">$G568*'Analyse capacite'!$C$9</f>
        <v>0</v>
      </c>
      <c r="J568" s="135" t="n">
        <f aca="false">$G568*'Analyse capacite'!$D$9</f>
        <v>0</v>
      </c>
      <c r="K568" s="135" t="n">
        <f aca="false">$G568*'Analyse capacite'!$E$9</f>
        <v>0</v>
      </c>
    </row>
    <row r="569" customFormat="false" ht="15" hidden="false" customHeight="false" outlineLevel="0" collapsed="false">
      <c r="B569" s="130" t="n">
        <v>2027</v>
      </c>
      <c r="C569" s="131" t="s">
        <v>246</v>
      </c>
      <c r="D569" s="132" t="n">
        <v>46493</v>
      </c>
      <c r="E569" s="131" t="s">
        <v>53</v>
      </c>
      <c r="F569" s="133" t="s">
        <v>11</v>
      </c>
      <c r="G569" s="134" t="n">
        <f aca="false">LEN('Saisie programme'!$H$37)+SUMIFS('Vols additionnels'!$E$7:$E$66,'Vols additionnels'!$C$7:$C$66,$E569,'Vols additionnels'!$D$7:$D$66,$F569,'Vols additionnels'!$B$7:$B$66,$D569)</f>
        <v>0</v>
      </c>
      <c r="H569" s="135" t="n">
        <f aca="false">$G569*'Analyse capacite'!$F$7</f>
        <v>0</v>
      </c>
      <c r="I569" s="135" t="n">
        <f aca="false">$G569*'Analyse capacite'!$C$7</f>
        <v>0</v>
      </c>
      <c r="J569" s="135" t="n">
        <f aca="false">$G569*'Analyse capacite'!$D$7</f>
        <v>0</v>
      </c>
      <c r="K569" s="135" t="n">
        <f aca="false">$G569*'Analyse capacite'!$E$7</f>
        <v>0</v>
      </c>
    </row>
    <row r="570" customFormat="false" ht="15" hidden="false" customHeight="false" outlineLevel="0" collapsed="false">
      <c r="B570" s="130" t="n">
        <v>2027</v>
      </c>
      <c r="C570" s="131" t="s">
        <v>246</v>
      </c>
      <c r="D570" s="132" t="n">
        <v>46493</v>
      </c>
      <c r="E570" s="131" t="s">
        <v>53</v>
      </c>
      <c r="F570" s="133" t="s">
        <v>19</v>
      </c>
      <c r="G570" s="134" t="n">
        <f aca="false">LEN('Saisie programme'!$H$38)+SUMIFS('Vols additionnels'!$E$7:$E$66,'Vols additionnels'!$C$7:$C$66,$E570,'Vols additionnels'!$D$7:$D$66,$F570,'Vols additionnels'!$B$7:$B$66,$D570)</f>
        <v>0</v>
      </c>
      <c r="H570" s="135" t="n">
        <f aca="false">$G570*'Analyse capacite'!$F$8</f>
        <v>0</v>
      </c>
      <c r="I570" s="135" t="n">
        <f aca="false">$G570*'Analyse capacite'!$C$8</f>
        <v>0</v>
      </c>
      <c r="J570" s="135" t="n">
        <f aca="false">$G570*'Analyse capacite'!$D$8</f>
        <v>0</v>
      </c>
      <c r="K570" s="135" t="n">
        <f aca="false">$G570*'Analyse capacite'!$E$8</f>
        <v>0</v>
      </c>
    </row>
    <row r="571" customFormat="false" ht="15" hidden="false" customHeight="false" outlineLevel="0" collapsed="false">
      <c r="B571" s="130" t="n">
        <v>2027</v>
      </c>
      <c r="C571" s="131" t="s">
        <v>246</v>
      </c>
      <c r="D571" s="132" t="n">
        <v>46493</v>
      </c>
      <c r="E571" s="131" t="s">
        <v>53</v>
      </c>
      <c r="F571" s="133" t="s">
        <v>24</v>
      </c>
      <c r="G571" s="134" t="n">
        <f aca="false">LEN('Saisie programme'!$H$39)+SUMIFS('Vols additionnels'!$E$7:$E$66,'Vols additionnels'!$C$7:$C$66,$E571,'Vols additionnels'!$D$7:$D$66,$F571,'Vols additionnels'!$B$7:$B$66,$D571)</f>
        <v>0</v>
      </c>
      <c r="H571" s="135" t="n">
        <f aca="false">$G571*'Analyse capacite'!$F$9</f>
        <v>0</v>
      </c>
      <c r="I571" s="135" t="n">
        <f aca="false">$G571*'Analyse capacite'!$C$9</f>
        <v>0</v>
      </c>
      <c r="J571" s="135" t="n">
        <f aca="false">$G571*'Analyse capacite'!$D$9</f>
        <v>0</v>
      </c>
      <c r="K571" s="135" t="n">
        <f aca="false">$G571*'Analyse capacite'!$E$9</f>
        <v>0</v>
      </c>
    </row>
    <row r="572" customFormat="false" ht="15" hidden="false" customHeight="false" outlineLevel="0" collapsed="false">
      <c r="B572" s="130" t="n">
        <v>2027</v>
      </c>
      <c r="C572" s="131" t="s">
        <v>246</v>
      </c>
      <c r="D572" s="132" t="n">
        <v>46493</v>
      </c>
      <c r="E572" s="131" t="s">
        <v>56</v>
      </c>
      <c r="F572" s="133" t="s">
        <v>11</v>
      </c>
      <c r="G572" s="134" t="n">
        <f aca="false">LEN('Saisie programme'!$H$40)+SUMIFS('Vols additionnels'!$E$7:$E$66,'Vols additionnels'!$C$7:$C$66,$E572,'Vols additionnels'!$D$7:$D$66,$F572,'Vols additionnels'!$B$7:$B$66,$D572)</f>
        <v>0</v>
      </c>
      <c r="H572" s="135" t="n">
        <f aca="false">$G572*'Analyse capacite'!$F$7</f>
        <v>0</v>
      </c>
      <c r="I572" s="135" t="n">
        <f aca="false">$G572*'Analyse capacite'!$C$7</f>
        <v>0</v>
      </c>
      <c r="J572" s="135" t="n">
        <f aca="false">$G572*'Analyse capacite'!$D$7</f>
        <v>0</v>
      </c>
      <c r="K572" s="135" t="n">
        <f aca="false">$G572*'Analyse capacite'!$E$7</f>
        <v>0</v>
      </c>
    </row>
    <row r="573" customFormat="false" ht="15" hidden="false" customHeight="false" outlineLevel="0" collapsed="false">
      <c r="B573" s="130" t="n">
        <v>2027</v>
      </c>
      <c r="C573" s="131" t="s">
        <v>246</v>
      </c>
      <c r="D573" s="132" t="n">
        <v>46493</v>
      </c>
      <c r="E573" s="131" t="s">
        <v>56</v>
      </c>
      <c r="F573" s="133" t="s">
        <v>19</v>
      </c>
      <c r="G573" s="134" t="n">
        <f aca="false">LEN('Saisie programme'!$H$41)+SUMIFS('Vols additionnels'!$E$7:$E$66,'Vols additionnels'!$C$7:$C$66,$E573,'Vols additionnels'!$D$7:$D$66,$F573,'Vols additionnels'!$B$7:$B$66,$D573)</f>
        <v>0</v>
      </c>
      <c r="H573" s="135" t="n">
        <f aca="false">$G573*'Analyse capacite'!$F$8</f>
        <v>0</v>
      </c>
      <c r="I573" s="135" t="n">
        <f aca="false">$G573*'Analyse capacite'!$C$8</f>
        <v>0</v>
      </c>
      <c r="J573" s="135" t="n">
        <f aca="false">$G573*'Analyse capacite'!$D$8</f>
        <v>0</v>
      </c>
      <c r="K573" s="135" t="n">
        <f aca="false">$G573*'Analyse capacite'!$E$8</f>
        <v>0</v>
      </c>
    </row>
    <row r="574" customFormat="false" ht="15" hidden="false" customHeight="false" outlineLevel="0" collapsed="false">
      <c r="B574" s="130" t="n">
        <v>2027</v>
      </c>
      <c r="C574" s="131" t="s">
        <v>246</v>
      </c>
      <c r="D574" s="132" t="n">
        <v>46493</v>
      </c>
      <c r="E574" s="131" t="s">
        <v>56</v>
      </c>
      <c r="F574" s="133" t="s">
        <v>24</v>
      </c>
      <c r="G574" s="134" t="n">
        <f aca="false">LEN('Saisie programme'!$H$42)+SUMIFS('Vols additionnels'!$E$7:$E$66,'Vols additionnels'!$C$7:$C$66,$E574,'Vols additionnels'!$D$7:$D$66,$F574,'Vols additionnels'!$B$7:$B$66,$D574)</f>
        <v>0</v>
      </c>
      <c r="H574" s="135" t="n">
        <f aca="false">$G574*'Analyse capacite'!$F$9</f>
        <v>0</v>
      </c>
      <c r="I574" s="135" t="n">
        <f aca="false">$G574*'Analyse capacite'!$C$9</f>
        <v>0</v>
      </c>
      <c r="J574" s="135" t="n">
        <f aca="false">$G574*'Analyse capacite'!$D$9</f>
        <v>0</v>
      </c>
      <c r="K574" s="135" t="n">
        <f aca="false">$G574*'Analyse capacite'!$E$9</f>
        <v>0</v>
      </c>
    </row>
    <row r="575" customFormat="false" ht="15" hidden="false" customHeight="false" outlineLevel="0" collapsed="false">
      <c r="B575" s="130" t="n">
        <v>2027</v>
      </c>
      <c r="C575" s="131" t="s">
        <v>246</v>
      </c>
      <c r="D575" s="132" t="n">
        <v>46493</v>
      </c>
      <c r="E575" s="131" t="s">
        <v>59</v>
      </c>
      <c r="F575" s="133" t="s">
        <v>11</v>
      </c>
      <c r="G575" s="134" t="n">
        <f aca="false">LEN('Saisie programme'!$H$43)+SUMIFS('Vols additionnels'!$E$7:$E$66,'Vols additionnels'!$C$7:$C$66,$E575,'Vols additionnels'!$D$7:$D$66,$F575,'Vols additionnels'!$B$7:$B$66,$D575)</f>
        <v>0</v>
      </c>
      <c r="H575" s="135" t="n">
        <f aca="false">$G575*'Analyse capacite'!$F$7</f>
        <v>0</v>
      </c>
      <c r="I575" s="135" t="n">
        <f aca="false">$G575*'Analyse capacite'!$C$7</f>
        <v>0</v>
      </c>
      <c r="J575" s="135" t="n">
        <f aca="false">$G575*'Analyse capacite'!$D$7</f>
        <v>0</v>
      </c>
      <c r="K575" s="135" t="n">
        <f aca="false">$G575*'Analyse capacite'!$E$7</f>
        <v>0</v>
      </c>
    </row>
    <row r="576" customFormat="false" ht="15" hidden="false" customHeight="false" outlineLevel="0" collapsed="false">
      <c r="B576" s="130" t="n">
        <v>2027</v>
      </c>
      <c r="C576" s="131" t="s">
        <v>246</v>
      </c>
      <c r="D576" s="132" t="n">
        <v>46493</v>
      </c>
      <c r="E576" s="131" t="s">
        <v>59</v>
      </c>
      <c r="F576" s="133" t="s">
        <v>19</v>
      </c>
      <c r="G576" s="134" t="n">
        <f aca="false">LEN('Saisie programme'!$H$44)+SUMIFS('Vols additionnels'!$E$7:$E$66,'Vols additionnels'!$C$7:$C$66,$E576,'Vols additionnels'!$D$7:$D$66,$F576,'Vols additionnels'!$B$7:$B$66,$D576)</f>
        <v>0</v>
      </c>
      <c r="H576" s="135" t="n">
        <f aca="false">$G576*'Analyse capacite'!$F$8</f>
        <v>0</v>
      </c>
      <c r="I576" s="135" t="n">
        <f aca="false">$G576*'Analyse capacite'!$C$8</f>
        <v>0</v>
      </c>
      <c r="J576" s="135" t="n">
        <f aca="false">$G576*'Analyse capacite'!$D$8</f>
        <v>0</v>
      </c>
      <c r="K576" s="135" t="n">
        <f aca="false">$G576*'Analyse capacite'!$E$8</f>
        <v>0</v>
      </c>
    </row>
    <row r="577" customFormat="false" ht="15" hidden="false" customHeight="false" outlineLevel="0" collapsed="false">
      <c r="B577" s="130" t="n">
        <v>2027</v>
      </c>
      <c r="C577" s="131" t="s">
        <v>246</v>
      </c>
      <c r="D577" s="132" t="n">
        <v>46493</v>
      </c>
      <c r="E577" s="131" t="s">
        <v>59</v>
      </c>
      <c r="F577" s="133" t="s">
        <v>24</v>
      </c>
      <c r="G577" s="134" t="n">
        <f aca="false">LEN('Saisie programme'!$H$45)+SUMIFS('Vols additionnels'!$E$7:$E$66,'Vols additionnels'!$C$7:$C$66,$E577,'Vols additionnels'!$D$7:$D$66,$F577,'Vols additionnels'!$B$7:$B$66,$D577)</f>
        <v>1</v>
      </c>
      <c r="H577" s="135" t="n">
        <f aca="false">$G577*'Analyse capacite'!$F$9</f>
        <v>174</v>
      </c>
      <c r="I577" s="135" t="n">
        <f aca="false">$G577*'Analyse capacite'!$C$9</f>
        <v>0</v>
      </c>
      <c r="J577" s="135" t="n">
        <f aca="false">$G577*'Analyse capacite'!$D$9</f>
        <v>12</v>
      </c>
      <c r="K577" s="135" t="n">
        <f aca="false">$G577*'Analyse capacite'!$E$9</f>
        <v>162</v>
      </c>
    </row>
    <row r="578" customFormat="false" ht="15" hidden="false" customHeight="false" outlineLevel="0" collapsed="false">
      <c r="B578" s="130" t="n">
        <v>2027</v>
      </c>
      <c r="C578" s="131" t="s">
        <v>246</v>
      </c>
      <c r="D578" s="132" t="n">
        <v>46493</v>
      </c>
      <c r="E578" s="131" t="s">
        <v>62</v>
      </c>
      <c r="F578" s="133" t="s">
        <v>11</v>
      </c>
      <c r="G578" s="134" t="n">
        <f aca="false">LEN('Saisie programme'!$H$46)+SUMIFS('Vols additionnels'!$E$7:$E$66,'Vols additionnels'!$C$7:$C$66,$E578,'Vols additionnels'!$D$7:$D$66,$F578,'Vols additionnels'!$B$7:$B$66,$D578)</f>
        <v>0</v>
      </c>
      <c r="H578" s="135" t="n">
        <f aca="false">$G578*'Analyse capacite'!$F$7</f>
        <v>0</v>
      </c>
      <c r="I578" s="135" t="n">
        <f aca="false">$G578*'Analyse capacite'!$C$7</f>
        <v>0</v>
      </c>
      <c r="J578" s="135" t="n">
        <f aca="false">$G578*'Analyse capacite'!$D$7</f>
        <v>0</v>
      </c>
      <c r="K578" s="135" t="n">
        <f aca="false">$G578*'Analyse capacite'!$E$7</f>
        <v>0</v>
      </c>
    </row>
    <row r="579" customFormat="false" ht="15" hidden="false" customHeight="false" outlineLevel="0" collapsed="false">
      <c r="B579" s="130" t="n">
        <v>2027</v>
      </c>
      <c r="C579" s="131" t="s">
        <v>246</v>
      </c>
      <c r="D579" s="132" t="n">
        <v>46493</v>
      </c>
      <c r="E579" s="131" t="s">
        <v>62</v>
      </c>
      <c r="F579" s="133" t="s">
        <v>19</v>
      </c>
      <c r="G579" s="134" t="n">
        <f aca="false">LEN('Saisie programme'!$H$47)+SUMIFS('Vols additionnels'!$E$7:$E$66,'Vols additionnels'!$C$7:$C$66,$E579,'Vols additionnels'!$D$7:$D$66,$F579,'Vols additionnels'!$B$7:$B$66,$D579)</f>
        <v>0</v>
      </c>
      <c r="H579" s="135" t="n">
        <f aca="false">$G579*'Analyse capacite'!$F$8</f>
        <v>0</v>
      </c>
      <c r="I579" s="135" t="n">
        <f aca="false">$G579*'Analyse capacite'!$C$8</f>
        <v>0</v>
      </c>
      <c r="J579" s="135" t="n">
        <f aca="false">$G579*'Analyse capacite'!$D$8</f>
        <v>0</v>
      </c>
      <c r="K579" s="135" t="n">
        <f aca="false">$G579*'Analyse capacite'!$E$8</f>
        <v>0</v>
      </c>
    </row>
    <row r="580" customFormat="false" ht="15" hidden="false" customHeight="false" outlineLevel="0" collapsed="false">
      <c r="B580" s="130" t="n">
        <v>2027</v>
      </c>
      <c r="C580" s="131" t="s">
        <v>246</v>
      </c>
      <c r="D580" s="132" t="n">
        <v>46493</v>
      </c>
      <c r="E580" s="131" t="s">
        <v>62</v>
      </c>
      <c r="F580" s="133" t="s">
        <v>24</v>
      </c>
      <c r="G580" s="134" t="n">
        <f aca="false">LEN('Saisie programme'!$H$48)+SUMIFS('Vols additionnels'!$E$7:$E$66,'Vols additionnels'!$C$7:$C$66,$E580,'Vols additionnels'!$D$7:$D$66,$F580,'Vols additionnels'!$B$7:$B$66,$D580)</f>
        <v>0</v>
      </c>
      <c r="H580" s="135" t="n">
        <f aca="false">$G580*'Analyse capacite'!$F$9</f>
        <v>0</v>
      </c>
      <c r="I580" s="135" t="n">
        <f aca="false">$G580*'Analyse capacite'!$C$9</f>
        <v>0</v>
      </c>
      <c r="J580" s="135" t="n">
        <f aca="false">$G580*'Analyse capacite'!$D$9</f>
        <v>0</v>
      </c>
      <c r="K580" s="135" t="n">
        <f aca="false">$G580*'Analyse capacite'!$E$9</f>
        <v>0</v>
      </c>
    </row>
    <row r="581" customFormat="false" ht="15" hidden="false" customHeight="false" outlineLevel="0" collapsed="false">
      <c r="B581" s="130" t="n">
        <v>2027</v>
      </c>
      <c r="C581" s="131" t="s">
        <v>246</v>
      </c>
      <c r="D581" s="132" t="n">
        <v>46494</v>
      </c>
      <c r="E581" s="131" t="s">
        <v>12</v>
      </c>
      <c r="F581" s="133" t="s">
        <v>11</v>
      </c>
      <c r="G581" s="134" t="n">
        <f aca="false">LEN('Saisie programme'!$I$13)+SUMIFS('Vols additionnels'!$E$7:$E$66,'Vols additionnels'!$C$7:$C$66,$E581,'Vols additionnels'!$D$7:$D$66,$F581,'Vols additionnels'!$B$7:$B$66,$D581)</f>
        <v>1</v>
      </c>
      <c r="H581" s="135" t="n">
        <f aca="false">$G581*'Analyse capacite'!$F$7</f>
        <v>438</v>
      </c>
      <c r="I581" s="135" t="n">
        <f aca="false">$G581*'Analyse capacite'!$C$7</f>
        <v>14</v>
      </c>
      <c r="J581" s="135" t="n">
        <f aca="false">$G581*'Analyse capacite'!$D$7</f>
        <v>40</v>
      </c>
      <c r="K581" s="135" t="n">
        <f aca="false">$G581*'Analyse capacite'!$E$7</f>
        <v>384</v>
      </c>
    </row>
    <row r="582" customFormat="false" ht="15" hidden="false" customHeight="false" outlineLevel="0" collapsed="false">
      <c r="B582" s="130" t="n">
        <v>2027</v>
      </c>
      <c r="C582" s="131" t="s">
        <v>246</v>
      </c>
      <c r="D582" s="132" t="n">
        <v>46494</v>
      </c>
      <c r="E582" s="131" t="s">
        <v>12</v>
      </c>
      <c r="F582" s="133" t="s">
        <v>19</v>
      </c>
      <c r="G582" s="134" t="n">
        <f aca="false">LEN('Saisie programme'!$I$14)+SUMIFS('Vols additionnels'!$E$7:$E$66,'Vols additionnels'!$C$7:$C$66,$E582,'Vols additionnels'!$D$7:$D$66,$F582,'Vols additionnels'!$B$7:$B$66,$D582)</f>
        <v>0</v>
      </c>
      <c r="H582" s="135" t="n">
        <f aca="false">$G582*'Analyse capacite'!$F$8</f>
        <v>0</v>
      </c>
      <c r="I582" s="135" t="n">
        <f aca="false">$G582*'Analyse capacite'!$C$8</f>
        <v>0</v>
      </c>
      <c r="J582" s="135" t="n">
        <f aca="false">$G582*'Analyse capacite'!$D$8</f>
        <v>0</v>
      </c>
      <c r="K582" s="135" t="n">
        <f aca="false">$G582*'Analyse capacite'!$E$8</f>
        <v>0</v>
      </c>
    </row>
    <row r="583" customFormat="false" ht="15" hidden="false" customHeight="false" outlineLevel="0" collapsed="false">
      <c r="B583" s="130" t="n">
        <v>2027</v>
      </c>
      <c r="C583" s="131" t="s">
        <v>246</v>
      </c>
      <c r="D583" s="132" t="n">
        <v>46494</v>
      </c>
      <c r="E583" s="131" t="s">
        <v>12</v>
      </c>
      <c r="F583" s="133" t="s">
        <v>24</v>
      </c>
      <c r="G583" s="134" t="n">
        <f aca="false">LEN('Saisie programme'!$I$15)+SUMIFS('Vols additionnels'!$E$7:$E$66,'Vols additionnels'!$C$7:$C$66,$E583,'Vols additionnels'!$D$7:$D$66,$F583,'Vols additionnels'!$B$7:$B$66,$D583)</f>
        <v>0</v>
      </c>
      <c r="H583" s="135" t="n">
        <f aca="false">$G583*'Analyse capacite'!$F$9</f>
        <v>0</v>
      </c>
      <c r="I583" s="135" t="n">
        <f aca="false">$G583*'Analyse capacite'!$C$9</f>
        <v>0</v>
      </c>
      <c r="J583" s="135" t="n">
        <f aca="false">$G583*'Analyse capacite'!$D$9</f>
        <v>0</v>
      </c>
      <c r="K583" s="135" t="n">
        <f aca="false">$G583*'Analyse capacite'!$E$9</f>
        <v>0</v>
      </c>
    </row>
    <row r="584" customFormat="false" ht="15" hidden="false" customHeight="false" outlineLevel="0" collapsed="false">
      <c r="B584" s="130" t="n">
        <v>2027</v>
      </c>
      <c r="C584" s="131" t="s">
        <v>246</v>
      </c>
      <c r="D584" s="132" t="n">
        <v>46494</v>
      </c>
      <c r="E584" s="131" t="s">
        <v>20</v>
      </c>
      <c r="F584" s="133" t="s">
        <v>11</v>
      </c>
      <c r="G584" s="134" t="n">
        <f aca="false">LEN('Saisie programme'!$I$16)+SUMIFS('Vols additionnels'!$E$7:$E$66,'Vols additionnels'!$C$7:$C$66,$E584,'Vols additionnels'!$D$7:$D$66,$F584,'Vols additionnels'!$B$7:$B$66,$D584)</f>
        <v>0</v>
      </c>
      <c r="H584" s="135" t="n">
        <f aca="false">$G584*'Analyse capacite'!$F$7</f>
        <v>0</v>
      </c>
      <c r="I584" s="135" t="n">
        <f aca="false">$G584*'Analyse capacite'!$C$7</f>
        <v>0</v>
      </c>
      <c r="J584" s="135" t="n">
        <f aca="false">$G584*'Analyse capacite'!$D$7</f>
        <v>0</v>
      </c>
      <c r="K584" s="135" t="n">
        <f aca="false">$G584*'Analyse capacite'!$E$7</f>
        <v>0</v>
      </c>
    </row>
    <row r="585" customFormat="false" ht="15" hidden="false" customHeight="false" outlineLevel="0" collapsed="false">
      <c r="B585" s="130" t="n">
        <v>2027</v>
      </c>
      <c r="C585" s="131" t="s">
        <v>246</v>
      </c>
      <c r="D585" s="132" t="n">
        <v>46494</v>
      </c>
      <c r="E585" s="131" t="s">
        <v>20</v>
      </c>
      <c r="F585" s="133" t="s">
        <v>19</v>
      </c>
      <c r="G585" s="134" t="n">
        <f aca="false">LEN('Saisie programme'!$I$17)+SUMIFS('Vols additionnels'!$E$7:$E$66,'Vols additionnels'!$C$7:$C$66,$E585,'Vols additionnels'!$D$7:$D$66,$F585,'Vols additionnels'!$B$7:$B$66,$D585)</f>
        <v>0</v>
      </c>
      <c r="H585" s="135" t="n">
        <f aca="false">$G585*'Analyse capacite'!$F$8</f>
        <v>0</v>
      </c>
      <c r="I585" s="135" t="n">
        <f aca="false">$G585*'Analyse capacite'!$C$8</f>
        <v>0</v>
      </c>
      <c r="J585" s="135" t="n">
        <f aca="false">$G585*'Analyse capacite'!$D$8</f>
        <v>0</v>
      </c>
      <c r="K585" s="135" t="n">
        <f aca="false">$G585*'Analyse capacite'!$E$8</f>
        <v>0</v>
      </c>
    </row>
    <row r="586" customFormat="false" ht="15" hidden="false" customHeight="false" outlineLevel="0" collapsed="false">
      <c r="B586" s="130" t="n">
        <v>2027</v>
      </c>
      <c r="C586" s="131" t="s">
        <v>246</v>
      </c>
      <c r="D586" s="132" t="n">
        <v>46494</v>
      </c>
      <c r="E586" s="131" t="s">
        <v>20</v>
      </c>
      <c r="F586" s="133" t="s">
        <v>24</v>
      </c>
      <c r="G586" s="134" t="n">
        <f aca="false">LEN('Saisie programme'!$I$18)+SUMIFS('Vols additionnels'!$E$7:$E$66,'Vols additionnels'!$C$7:$C$66,$E586,'Vols additionnels'!$D$7:$D$66,$F586,'Vols additionnels'!$B$7:$B$66,$D586)</f>
        <v>0</v>
      </c>
      <c r="H586" s="135" t="n">
        <f aca="false">$G586*'Analyse capacite'!$F$9</f>
        <v>0</v>
      </c>
      <c r="I586" s="135" t="n">
        <f aca="false">$G586*'Analyse capacite'!$C$9</f>
        <v>0</v>
      </c>
      <c r="J586" s="135" t="n">
        <f aca="false">$G586*'Analyse capacite'!$D$9</f>
        <v>0</v>
      </c>
      <c r="K586" s="135" t="n">
        <f aca="false">$G586*'Analyse capacite'!$E$9</f>
        <v>0</v>
      </c>
    </row>
    <row r="587" customFormat="false" ht="15" hidden="false" customHeight="false" outlineLevel="0" collapsed="false">
      <c r="B587" s="130" t="n">
        <v>2027</v>
      </c>
      <c r="C587" s="131" t="s">
        <v>246</v>
      </c>
      <c r="D587" s="132" t="n">
        <v>46494</v>
      </c>
      <c r="E587" s="131" t="s">
        <v>25</v>
      </c>
      <c r="F587" s="133" t="s">
        <v>11</v>
      </c>
      <c r="G587" s="134" t="n">
        <f aca="false">LEN('Saisie programme'!$I$19)+SUMIFS('Vols additionnels'!$E$7:$E$66,'Vols additionnels'!$C$7:$C$66,$E587,'Vols additionnels'!$D$7:$D$66,$F587,'Vols additionnels'!$B$7:$B$66,$D587)</f>
        <v>0</v>
      </c>
      <c r="H587" s="135" t="n">
        <f aca="false">$G587*'Analyse capacite'!$F$7</f>
        <v>0</v>
      </c>
      <c r="I587" s="135" t="n">
        <f aca="false">$G587*'Analyse capacite'!$C$7</f>
        <v>0</v>
      </c>
      <c r="J587" s="135" t="n">
        <f aca="false">$G587*'Analyse capacite'!$D$7</f>
        <v>0</v>
      </c>
      <c r="K587" s="135" t="n">
        <f aca="false">$G587*'Analyse capacite'!$E$7</f>
        <v>0</v>
      </c>
    </row>
    <row r="588" customFormat="false" ht="15" hidden="false" customHeight="false" outlineLevel="0" collapsed="false">
      <c r="B588" s="130" t="n">
        <v>2027</v>
      </c>
      <c r="C588" s="131" t="s">
        <v>246</v>
      </c>
      <c r="D588" s="132" t="n">
        <v>46494</v>
      </c>
      <c r="E588" s="131" t="s">
        <v>25</v>
      </c>
      <c r="F588" s="133" t="s">
        <v>19</v>
      </c>
      <c r="G588" s="134" t="n">
        <f aca="false">LEN('Saisie programme'!$I$20)+SUMIFS('Vols additionnels'!$E$7:$E$66,'Vols additionnels'!$C$7:$C$66,$E588,'Vols additionnels'!$D$7:$D$66,$F588,'Vols additionnels'!$B$7:$B$66,$D588)</f>
        <v>1</v>
      </c>
      <c r="H588" s="135" t="n">
        <f aca="false">$G588*'Analyse capacite'!$F$8</f>
        <v>262</v>
      </c>
      <c r="I588" s="135" t="n">
        <f aca="false">$G588*'Analyse capacite'!$C$8</f>
        <v>18</v>
      </c>
      <c r="J588" s="135" t="n">
        <f aca="false">$G588*'Analyse capacite'!$D$8</f>
        <v>0</v>
      </c>
      <c r="K588" s="135" t="n">
        <f aca="false">$G588*'Analyse capacite'!$E$8</f>
        <v>244</v>
      </c>
    </row>
    <row r="589" customFormat="false" ht="15" hidden="false" customHeight="false" outlineLevel="0" collapsed="false">
      <c r="B589" s="130" t="n">
        <v>2027</v>
      </c>
      <c r="C589" s="131" t="s">
        <v>246</v>
      </c>
      <c r="D589" s="132" t="n">
        <v>46494</v>
      </c>
      <c r="E589" s="131" t="s">
        <v>25</v>
      </c>
      <c r="F589" s="133" t="s">
        <v>24</v>
      </c>
      <c r="G589" s="134" t="n">
        <f aca="false">LEN('Saisie programme'!$I$21)+SUMIFS('Vols additionnels'!$E$7:$E$66,'Vols additionnels'!$C$7:$C$66,$E589,'Vols additionnels'!$D$7:$D$66,$F589,'Vols additionnels'!$B$7:$B$66,$D589)</f>
        <v>0</v>
      </c>
      <c r="H589" s="135" t="n">
        <f aca="false">$G589*'Analyse capacite'!$F$9</f>
        <v>0</v>
      </c>
      <c r="I589" s="135" t="n">
        <f aca="false">$G589*'Analyse capacite'!$C$9</f>
        <v>0</v>
      </c>
      <c r="J589" s="135" t="n">
        <f aca="false">$G589*'Analyse capacite'!$D$9</f>
        <v>0</v>
      </c>
      <c r="K589" s="135" t="n">
        <f aca="false">$G589*'Analyse capacite'!$E$9</f>
        <v>0</v>
      </c>
    </row>
    <row r="590" customFormat="false" ht="15" hidden="false" customHeight="false" outlineLevel="0" collapsed="false">
      <c r="B590" s="130" t="n">
        <v>2027</v>
      </c>
      <c r="C590" s="131" t="s">
        <v>246</v>
      </c>
      <c r="D590" s="132" t="n">
        <v>46494</v>
      </c>
      <c r="E590" s="131" t="s">
        <v>36</v>
      </c>
      <c r="F590" s="133" t="s">
        <v>11</v>
      </c>
      <c r="G590" s="134" t="n">
        <f aca="false">LEN('Saisie programme'!$I$22)+SUMIFS('Vols additionnels'!$E$7:$E$66,'Vols additionnels'!$C$7:$C$66,$E590,'Vols additionnels'!$D$7:$D$66,$F590,'Vols additionnels'!$B$7:$B$66,$D590)</f>
        <v>0</v>
      </c>
      <c r="H590" s="135" t="n">
        <f aca="false">$G590*'Analyse capacite'!$F$7</f>
        <v>0</v>
      </c>
      <c r="I590" s="135" t="n">
        <f aca="false">$G590*'Analyse capacite'!$C$7</f>
        <v>0</v>
      </c>
      <c r="J590" s="135" t="n">
        <f aca="false">$G590*'Analyse capacite'!$D$7</f>
        <v>0</v>
      </c>
      <c r="K590" s="135" t="n">
        <f aca="false">$G590*'Analyse capacite'!$E$7</f>
        <v>0</v>
      </c>
    </row>
    <row r="591" customFormat="false" ht="15" hidden="false" customHeight="false" outlineLevel="0" collapsed="false">
      <c r="B591" s="130" t="n">
        <v>2027</v>
      </c>
      <c r="C591" s="131" t="s">
        <v>246</v>
      </c>
      <c r="D591" s="132" t="n">
        <v>46494</v>
      </c>
      <c r="E591" s="131" t="s">
        <v>36</v>
      </c>
      <c r="F591" s="133" t="s">
        <v>19</v>
      </c>
      <c r="G591" s="134" t="n">
        <f aca="false">LEN('Saisie programme'!$I$23)+SUMIFS('Vols additionnels'!$E$7:$E$66,'Vols additionnels'!$C$7:$C$66,$E591,'Vols additionnels'!$D$7:$D$66,$F591,'Vols additionnels'!$B$7:$B$66,$D591)</f>
        <v>0</v>
      </c>
      <c r="H591" s="135" t="n">
        <f aca="false">$G591*'Analyse capacite'!$F$8</f>
        <v>0</v>
      </c>
      <c r="I591" s="135" t="n">
        <f aca="false">$G591*'Analyse capacite'!$C$8</f>
        <v>0</v>
      </c>
      <c r="J591" s="135" t="n">
        <f aca="false">$G591*'Analyse capacite'!$D$8</f>
        <v>0</v>
      </c>
      <c r="K591" s="135" t="n">
        <f aca="false">$G591*'Analyse capacite'!$E$8</f>
        <v>0</v>
      </c>
    </row>
    <row r="592" customFormat="false" ht="15" hidden="false" customHeight="false" outlineLevel="0" collapsed="false">
      <c r="B592" s="130" t="n">
        <v>2027</v>
      </c>
      <c r="C592" s="131" t="s">
        <v>246</v>
      </c>
      <c r="D592" s="132" t="n">
        <v>46494</v>
      </c>
      <c r="E592" s="131" t="s">
        <v>36</v>
      </c>
      <c r="F592" s="133" t="s">
        <v>24</v>
      </c>
      <c r="G592" s="134" t="n">
        <f aca="false">LEN('Saisie programme'!$I$24)+SUMIFS('Vols additionnels'!$E$7:$E$66,'Vols additionnels'!$C$7:$C$66,$E592,'Vols additionnels'!$D$7:$D$66,$F592,'Vols additionnels'!$B$7:$B$66,$D592)</f>
        <v>0</v>
      </c>
      <c r="H592" s="135" t="n">
        <f aca="false">$G592*'Analyse capacite'!$F$9</f>
        <v>0</v>
      </c>
      <c r="I592" s="135" t="n">
        <f aca="false">$G592*'Analyse capacite'!$C$9</f>
        <v>0</v>
      </c>
      <c r="J592" s="135" t="n">
        <f aca="false">$G592*'Analyse capacite'!$D$9</f>
        <v>0</v>
      </c>
      <c r="K592" s="135" t="n">
        <f aca="false">$G592*'Analyse capacite'!$E$9</f>
        <v>0</v>
      </c>
    </row>
    <row r="593" customFormat="false" ht="15" hidden="false" customHeight="false" outlineLevel="0" collapsed="false">
      <c r="B593" s="130" t="n">
        <v>2027</v>
      </c>
      <c r="C593" s="131" t="s">
        <v>246</v>
      </c>
      <c r="D593" s="132" t="n">
        <v>46494</v>
      </c>
      <c r="E593" s="131" t="s">
        <v>40</v>
      </c>
      <c r="F593" s="133" t="s">
        <v>11</v>
      </c>
      <c r="G593" s="134" t="n">
        <f aca="false">LEN('Saisie programme'!$I$25)+SUMIFS('Vols additionnels'!$E$7:$E$66,'Vols additionnels'!$C$7:$C$66,$E593,'Vols additionnels'!$D$7:$D$66,$F593,'Vols additionnels'!$B$7:$B$66,$D593)</f>
        <v>0</v>
      </c>
      <c r="H593" s="135" t="n">
        <f aca="false">$G593*'Analyse capacite'!$F$7</f>
        <v>0</v>
      </c>
      <c r="I593" s="135" t="n">
        <f aca="false">$G593*'Analyse capacite'!$C$7</f>
        <v>0</v>
      </c>
      <c r="J593" s="135" t="n">
        <f aca="false">$G593*'Analyse capacite'!$D$7</f>
        <v>0</v>
      </c>
      <c r="K593" s="135" t="n">
        <f aca="false">$G593*'Analyse capacite'!$E$7</f>
        <v>0</v>
      </c>
    </row>
    <row r="594" customFormat="false" ht="15" hidden="false" customHeight="false" outlineLevel="0" collapsed="false">
      <c r="B594" s="130" t="n">
        <v>2027</v>
      </c>
      <c r="C594" s="131" t="s">
        <v>246</v>
      </c>
      <c r="D594" s="132" t="n">
        <v>46494</v>
      </c>
      <c r="E594" s="131" t="s">
        <v>40</v>
      </c>
      <c r="F594" s="133" t="s">
        <v>19</v>
      </c>
      <c r="G594" s="134" t="n">
        <f aca="false">LEN('Saisie programme'!$I$26)+SUMIFS('Vols additionnels'!$E$7:$E$66,'Vols additionnels'!$C$7:$C$66,$E594,'Vols additionnels'!$D$7:$D$66,$F594,'Vols additionnels'!$B$7:$B$66,$D594)</f>
        <v>0</v>
      </c>
      <c r="H594" s="135" t="n">
        <f aca="false">$G594*'Analyse capacite'!$F$8</f>
        <v>0</v>
      </c>
      <c r="I594" s="135" t="n">
        <f aca="false">$G594*'Analyse capacite'!$C$8</f>
        <v>0</v>
      </c>
      <c r="J594" s="135" t="n">
        <f aca="false">$G594*'Analyse capacite'!$D$8</f>
        <v>0</v>
      </c>
      <c r="K594" s="135" t="n">
        <f aca="false">$G594*'Analyse capacite'!$E$8</f>
        <v>0</v>
      </c>
    </row>
    <row r="595" customFormat="false" ht="15" hidden="false" customHeight="false" outlineLevel="0" collapsed="false">
      <c r="B595" s="130" t="n">
        <v>2027</v>
      </c>
      <c r="C595" s="131" t="s">
        <v>246</v>
      </c>
      <c r="D595" s="132" t="n">
        <v>46494</v>
      </c>
      <c r="E595" s="131" t="s">
        <v>40</v>
      </c>
      <c r="F595" s="133" t="s">
        <v>24</v>
      </c>
      <c r="G595" s="134" t="n">
        <f aca="false">LEN('Saisie programme'!$I$27)+SUMIFS('Vols additionnels'!$E$7:$E$66,'Vols additionnels'!$C$7:$C$66,$E595,'Vols additionnels'!$D$7:$D$66,$F595,'Vols additionnels'!$B$7:$B$66,$D595)</f>
        <v>0</v>
      </c>
      <c r="H595" s="135" t="n">
        <f aca="false">$G595*'Analyse capacite'!$F$9</f>
        <v>0</v>
      </c>
      <c r="I595" s="135" t="n">
        <f aca="false">$G595*'Analyse capacite'!$C$9</f>
        <v>0</v>
      </c>
      <c r="J595" s="135" t="n">
        <f aca="false">$G595*'Analyse capacite'!$D$9</f>
        <v>0</v>
      </c>
      <c r="K595" s="135" t="n">
        <f aca="false">$G595*'Analyse capacite'!$E$9</f>
        <v>0</v>
      </c>
    </row>
    <row r="596" customFormat="false" ht="15" hidden="false" customHeight="false" outlineLevel="0" collapsed="false">
      <c r="B596" s="130" t="n">
        <v>2027</v>
      </c>
      <c r="C596" s="131" t="s">
        <v>246</v>
      </c>
      <c r="D596" s="132" t="n">
        <v>46494</v>
      </c>
      <c r="E596" s="131" t="s">
        <v>14</v>
      </c>
      <c r="F596" s="133" t="s">
        <v>11</v>
      </c>
      <c r="G596" s="134" t="n">
        <f aca="false">LEN('Saisie programme'!$I$28)+SUMIFS('Vols additionnels'!$E$7:$E$66,'Vols additionnels'!$C$7:$C$66,$E596,'Vols additionnels'!$D$7:$D$66,$F596,'Vols additionnels'!$B$7:$B$66,$D596)</f>
        <v>0</v>
      </c>
      <c r="H596" s="135" t="n">
        <f aca="false">$G596*'Analyse capacite'!$F$7</f>
        <v>0</v>
      </c>
      <c r="I596" s="135" t="n">
        <f aca="false">$G596*'Analyse capacite'!$C$7</f>
        <v>0</v>
      </c>
      <c r="J596" s="135" t="n">
        <f aca="false">$G596*'Analyse capacite'!$D$7</f>
        <v>0</v>
      </c>
      <c r="K596" s="135" t="n">
        <f aca="false">$G596*'Analyse capacite'!$E$7</f>
        <v>0</v>
      </c>
    </row>
    <row r="597" customFormat="false" ht="15" hidden="false" customHeight="false" outlineLevel="0" collapsed="false">
      <c r="B597" s="130" t="n">
        <v>2027</v>
      </c>
      <c r="C597" s="131" t="s">
        <v>246</v>
      </c>
      <c r="D597" s="132" t="n">
        <v>46494</v>
      </c>
      <c r="E597" s="131" t="s">
        <v>14</v>
      </c>
      <c r="F597" s="133" t="s">
        <v>19</v>
      </c>
      <c r="G597" s="134" t="n">
        <f aca="false">LEN('Saisie programme'!$I$29)+SUMIFS('Vols additionnels'!$E$7:$E$66,'Vols additionnels'!$C$7:$C$66,$E597,'Vols additionnels'!$D$7:$D$66,$F597,'Vols additionnels'!$B$7:$B$66,$D597)</f>
        <v>0</v>
      </c>
      <c r="H597" s="135" t="n">
        <f aca="false">$G597*'Analyse capacite'!$F$8</f>
        <v>0</v>
      </c>
      <c r="I597" s="135" t="n">
        <f aca="false">$G597*'Analyse capacite'!$C$8</f>
        <v>0</v>
      </c>
      <c r="J597" s="135" t="n">
        <f aca="false">$G597*'Analyse capacite'!$D$8</f>
        <v>0</v>
      </c>
      <c r="K597" s="135" t="n">
        <f aca="false">$G597*'Analyse capacite'!$E$8</f>
        <v>0</v>
      </c>
    </row>
    <row r="598" customFormat="false" ht="15" hidden="false" customHeight="false" outlineLevel="0" collapsed="false">
      <c r="B598" s="130" t="n">
        <v>2027</v>
      </c>
      <c r="C598" s="131" t="s">
        <v>246</v>
      </c>
      <c r="D598" s="132" t="n">
        <v>46494</v>
      </c>
      <c r="E598" s="131" t="s">
        <v>14</v>
      </c>
      <c r="F598" s="133" t="s">
        <v>24</v>
      </c>
      <c r="G598" s="134" t="n">
        <f aca="false">LEN('Saisie programme'!$I$30)+SUMIFS('Vols additionnels'!$E$7:$E$66,'Vols additionnels'!$C$7:$C$66,$E598,'Vols additionnels'!$D$7:$D$66,$F598,'Vols additionnels'!$B$7:$B$66,$D598)</f>
        <v>1</v>
      </c>
      <c r="H598" s="135" t="n">
        <f aca="false">$G598*'Analyse capacite'!$F$9</f>
        <v>174</v>
      </c>
      <c r="I598" s="135" t="n">
        <f aca="false">$G598*'Analyse capacite'!$C$9</f>
        <v>0</v>
      </c>
      <c r="J598" s="135" t="n">
        <f aca="false">$G598*'Analyse capacite'!$D$9</f>
        <v>12</v>
      </c>
      <c r="K598" s="135" t="n">
        <f aca="false">$G598*'Analyse capacite'!$E$9</f>
        <v>162</v>
      </c>
    </row>
    <row r="599" customFormat="false" ht="15" hidden="false" customHeight="false" outlineLevel="0" collapsed="false">
      <c r="B599" s="130" t="n">
        <v>2027</v>
      </c>
      <c r="C599" s="131" t="s">
        <v>246</v>
      </c>
      <c r="D599" s="132" t="n">
        <v>46494</v>
      </c>
      <c r="E599" s="131" t="s">
        <v>46</v>
      </c>
      <c r="F599" s="133" t="s">
        <v>11</v>
      </c>
      <c r="G599" s="134" t="n">
        <f aca="false">LEN('Saisie programme'!$I$31)+SUMIFS('Vols additionnels'!$E$7:$E$66,'Vols additionnels'!$C$7:$C$66,$E599,'Vols additionnels'!$D$7:$D$66,$F599,'Vols additionnels'!$B$7:$B$66,$D599)</f>
        <v>0</v>
      </c>
      <c r="H599" s="135" t="n">
        <f aca="false">$G599*'Analyse capacite'!$F$7</f>
        <v>0</v>
      </c>
      <c r="I599" s="135" t="n">
        <f aca="false">$G599*'Analyse capacite'!$C$7</f>
        <v>0</v>
      </c>
      <c r="J599" s="135" t="n">
        <f aca="false">$G599*'Analyse capacite'!$D$7</f>
        <v>0</v>
      </c>
      <c r="K599" s="135" t="n">
        <f aca="false">$G599*'Analyse capacite'!$E$7</f>
        <v>0</v>
      </c>
    </row>
    <row r="600" customFormat="false" ht="15" hidden="false" customHeight="false" outlineLevel="0" collapsed="false">
      <c r="B600" s="130" t="n">
        <v>2027</v>
      </c>
      <c r="C600" s="131" t="s">
        <v>246</v>
      </c>
      <c r="D600" s="132" t="n">
        <v>46494</v>
      </c>
      <c r="E600" s="131" t="s">
        <v>46</v>
      </c>
      <c r="F600" s="133" t="s">
        <v>19</v>
      </c>
      <c r="G600" s="134" t="n">
        <f aca="false">LEN('Saisie programme'!$I$32)+SUMIFS('Vols additionnels'!$E$7:$E$66,'Vols additionnels'!$C$7:$C$66,$E600,'Vols additionnels'!$D$7:$D$66,$F600,'Vols additionnels'!$B$7:$B$66,$D600)</f>
        <v>0</v>
      </c>
      <c r="H600" s="135" t="n">
        <f aca="false">$G600*'Analyse capacite'!$F$8</f>
        <v>0</v>
      </c>
      <c r="I600" s="135" t="n">
        <f aca="false">$G600*'Analyse capacite'!$C$8</f>
        <v>0</v>
      </c>
      <c r="J600" s="135" t="n">
        <f aca="false">$G600*'Analyse capacite'!$D$8</f>
        <v>0</v>
      </c>
      <c r="K600" s="135" t="n">
        <f aca="false">$G600*'Analyse capacite'!$E$8</f>
        <v>0</v>
      </c>
    </row>
    <row r="601" customFormat="false" ht="15" hidden="false" customHeight="false" outlineLevel="0" collapsed="false">
      <c r="B601" s="130" t="n">
        <v>2027</v>
      </c>
      <c r="C601" s="131" t="s">
        <v>246</v>
      </c>
      <c r="D601" s="132" t="n">
        <v>46494</v>
      </c>
      <c r="E601" s="131" t="s">
        <v>46</v>
      </c>
      <c r="F601" s="133" t="s">
        <v>24</v>
      </c>
      <c r="G601" s="134" t="n">
        <f aca="false">LEN('Saisie programme'!$I$33)+SUMIFS('Vols additionnels'!$E$7:$E$66,'Vols additionnels'!$C$7:$C$66,$E601,'Vols additionnels'!$D$7:$D$66,$F601,'Vols additionnels'!$B$7:$B$66,$D601)</f>
        <v>1</v>
      </c>
      <c r="H601" s="135" t="n">
        <f aca="false">$G601*'Analyse capacite'!$F$9</f>
        <v>174</v>
      </c>
      <c r="I601" s="135" t="n">
        <f aca="false">$G601*'Analyse capacite'!$C$9</f>
        <v>0</v>
      </c>
      <c r="J601" s="135" t="n">
        <f aca="false">$G601*'Analyse capacite'!$D$9</f>
        <v>12</v>
      </c>
      <c r="K601" s="135" t="n">
        <f aca="false">$G601*'Analyse capacite'!$E$9</f>
        <v>162</v>
      </c>
    </row>
    <row r="602" customFormat="false" ht="15" hidden="false" customHeight="false" outlineLevel="0" collapsed="false">
      <c r="B602" s="130" t="n">
        <v>2027</v>
      </c>
      <c r="C602" s="131" t="s">
        <v>246</v>
      </c>
      <c r="D602" s="132" t="n">
        <v>46494</v>
      </c>
      <c r="E602" s="131" t="s">
        <v>49</v>
      </c>
      <c r="F602" s="133" t="s">
        <v>11</v>
      </c>
      <c r="G602" s="134" t="n">
        <f aca="false">LEN('Saisie programme'!$I$34)+SUMIFS('Vols additionnels'!$E$7:$E$66,'Vols additionnels'!$C$7:$C$66,$E602,'Vols additionnels'!$D$7:$D$66,$F602,'Vols additionnels'!$B$7:$B$66,$D602)</f>
        <v>0</v>
      </c>
      <c r="H602" s="135" t="n">
        <f aca="false">$G602*'Analyse capacite'!$F$7</f>
        <v>0</v>
      </c>
      <c r="I602" s="135" t="n">
        <f aca="false">$G602*'Analyse capacite'!$C$7</f>
        <v>0</v>
      </c>
      <c r="J602" s="135" t="n">
        <f aca="false">$G602*'Analyse capacite'!$D$7</f>
        <v>0</v>
      </c>
      <c r="K602" s="135" t="n">
        <f aca="false">$G602*'Analyse capacite'!$E$7</f>
        <v>0</v>
      </c>
    </row>
    <row r="603" customFormat="false" ht="15" hidden="false" customHeight="false" outlineLevel="0" collapsed="false">
      <c r="B603" s="130" t="n">
        <v>2027</v>
      </c>
      <c r="C603" s="131" t="s">
        <v>246</v>
      </c>
      <c r="D603" s="132" t="n">
        <v>46494</v>
      </c>
      <c r="E603" s="131" t="s">
        <v>49</v>
      </c>
      <c r="F603" s="133" t="s">
        <v>19</v>
      </c>
      <c r="G603" s="134" t="n">
        <f aca="false">LEN('Saisie programme'!$I$35)+SUMIFS('Vols additionnels'!$E$7:$E$66,'Vols additionnels'!$C$7:$C$66,$E603,'Vols additionnels'!$D$7:$D$66,$F603,'Vols additionnels'!$B$7:$B$66,$D603)</f>
        <v>0</v>
      </c>
      <c r="H603" s="135" t="n">
        <f aca="false">$G603*'Analyse capacite'!$F$8</f>
        <v>0</v>
      </c>
      <c r="I603" s="135" t="n">
        <f aca="false">$G603*'Analyse capacite'!$C$8</f>
        <v>0</v>
      </c>
      <c r="J603" s="135" t="n">
        <f aca="false">$G603*'Analyse capacite'!$D$8</f>
        <v>0</v>
      </c>
      <c r="K603" s="135" t="n">
        <f aca="false">$G603*'Analyse capacite'!$E$8</f>
        <v>0</v>
      </c>
    </row>
    <row r="604" customFormat="false" ht="15" hidden="false" customHeight="false" outlineLevel="0" collapsed="false">
      <c r="B604" s="130" t="n">
        <v>2027</v>
      </c>
      <c r="C604" s="131" t="s">
        <v>246</v>
      </c>
      <c r="D604" s="132" t="n">
        <v>46494</v>
      </c>
      <c r="E604" s="131" t="s">
        <v>49</v>
      </c>
      <c r="F604" s="133" t="s">
        <v>24</v>
      </c>
      <c r="G604" s="134" t="n">
        <f aca="false">LEN('Saisie programme'!$I$36)+SUMIFS('Vols additionnels'!$E$7:$E$66,'Vols additionnels'!$C$7:$C$66,$E604,'Vols additionnels'!$D$7:$D$66,$F604,'Vols additionnels'!$B$7:$B$66,$D604)</f>
        <v>0</v>
      </c>
      <c r="H604" s="135" t="n">
        <f aca="false">$G604*'Analyse capacite'!$F$9</f>
        <v>0</v>
      </c>
      <c r="I604" s="135" t="n">
        <f aca="false">$G604*'Analyse capacite'!$C$9</f>
        <v>0</v>
      </c>
      <c r="J604" s="135" t="n">
        <f aca="false">$G604*'Analyse capacite'!$D$9</f>
        <v>0</v>
      </c>
      <c r="K604" s="135" t="n">
        <f aca="false">$G604*'Analyse capacite'!$E$9</f>
        <v>0</v>
      </c>
    </row>
    <row r="605" customFormat="false" ht="15" hidden="false" customHeight="false" outlineLevel="0" collapsed="false">
      <c r="B605" s="130" t="n">
        <v>2027</v>
      </c>
      <c r="C605" s="131" t="s">
        <v>246</v>
      </c>
      <c r="D605" s="132" t="n">
        <v>46494</v>
      </c>
      <c r="E605" s="131" t="s">
        <v>53</v>
      </c>
      <c r="F605" s="133" t="s">
        <v>11</v>
      </c>
      <c r="G605" s="134" t="n">
        <f aca="false">LEN('Saisie programme'!$I$37)+SUMIFS('Vols additionnels'!$E$7:$E$66,'Vols additionnels'!$C$7:$C$66,$E605,'Vols additionnels'!$D$7:$D$66,$F605,'Vols additionnels'!$B$7:$B$66,$D605)</f>
        <v>0</v>
      </c>
      <c r="H605" s="135" t="n">
        <f aca="false">$G605*'Analyse capacite'!$F$7</f>
        <v>0</v>
      </c>
      <c r="I605" s="135" t="n">
        <f aca="false">$G605*'Analyse capacite'!$C$7</f>
        <v>0</v>
      </c>
      <c r="J605" s="135" t="n">
        <f aca="false">$G605*'Analyse capacite'!$D$7</f>
        <v>0</v>
      </c>
      <c r="K605" s="135" t="n">
        <f aca="false">$G605*'Analyse capacite'!$E$7</f>
        <v>0</v>
      </c>
    </row>
    <row r="606" customFormat="false" ht="15" hidden="false" customHeight="false" outlineLevel="0" collapsed="false">
      <c r="B606" s="130" t="n">
        <v>2027</v>
      </c>
      <c r="C606" s="131" t="s">
        <v>246</v>
      </c>
      <c r="D606" s="132" t="n">
        <v>46494</v>
      </c>
      <c r="E606" s="131" t="s">
        <v>53</v>
      </c>
      <c r="F606" s="133" t="s">
        <v>19</v>
      </c>
      <c r="G606" s="134" t="n">
        <f aca="false">LEN('Saisie programme'!$I$38)+SUMIFS('Vols additionnels'!$E$7:$E$66,'Vols additionnels'!$C$7:$C$66,$E606,'Vols additionnels'!$D$7:$D$66,$F606,'Vols additionnels'!$B$7:$B$66,$D606)</f>
        <v>0</v>
      </c>
      <c r="H606" s="135" t="n">
        <f aca="false">$G606*'Analyse capacite'!$F$8</f>
        <v>0</v>
      </c>
      <c r="I606" s="135" t="n">
        <f aca="false">$G606*'Analyse capacite'!$C$8</f>
        <v>0</v>
      </c>
      <c r="J606" s="135" t="n">
        <f aca="false">$G606*'Analyse capacite'!$D$8</f>
        <v>0</v>
      </c>
      <c r="K606" s="135" t="n">
        <f aca="false">$G606*'Analyse capacite'!$E$8</f>
        <v>0</v>
      </c>
    </row>
    <row r="607" customFormat="false" ht="15" hidden="false" customHeight="false" outlineLevel="0" collapsed="false">
      <c r="B607" s="130" t="n">
        <v>2027</v>
      </c>
      <c r="C607" s="131" t="s">
        <v>246</v>
      </c>
      <c r="D607" s="132" t="n">
        <v>46494</v>
      </c>
      <c r="E607" s="131" t="s">
        <v>53</v>
      </c>
      <c r="F607" s="133" t="s">
        <v>24</v>
      </c>
      <c r="G607" s="134" t="n">
        <f aca="false">LEN('Saisie programme'!$I$39)+SUMIFS('Vols additionnels'!$E$7:$E$66,'Vols additionnels'!$C$7:$C$66,$E607,'Vols additionnels'!$D$7:$D$66,$F607,'Vols additionnels'!$B$7:$B$66,$D607)</f>
        <v>0</v>
      </c>
      <c r="H607" s="135" t="n">
        <f aca="false">$G607*'Analyse capacite'!$F$9</f>
        <v>0</v>
      </c>
      <c r="I607" s="135" t="n">
        <f aca="false">$G607*'Analyse capacite'!$C$9</f>
        <v>0</v>
      </c>
      <c r="J607" s="135" t="n">
        <f aca="false">$G607*'Analyse capacite'!$D$9</f>
        <v>0</v>
      </c>
      <c r="K607" s="135" t="n">
        <f aca="false">$G607*'Analyse capacite'!$E$9</f>
        <v>0</v>
      </c>
    </row>
    <row r="608" customFormat="false" ht="15" hidden="false" customHeight="false" outlineLevel="0" collapsed="false">
      <c r="B608" s="130" t="n">
        <v>2027</v>
      </c>
      <c r="C608" s="131" t="s">
        <v>246</v>
      </c>
      <c r="D608" s="132" t="n">
        <v>46494</v>
      </c>
      <c r="E608" s="131" t="s">
        <v>56</v>
      </c>
      <c r="F608" s="133" t="s">
        <v>11</v>
      </c>
      <c r="G608" s="134" t="n">
        <f aca="false">LEN('Saisie programme'!$I$40)+SUMIFS('Vols additionnels'!$E$7:$E$66,'Vols additionnels'!$C$7:$C$66,$E608,'Vols additionnels'!$D$7:$D$66,$F608,'Vols additionnels'!$B$7:$B$66,$D608)</f>
        <v>0</v>
      </c>
      <c r="H608" s="135" t="n">
        <f aca="false">$G608*'Analyse capacite'!$F$7</f>
        <v>0</v>
      </c>
      <c r="I608" s="135" t="n">
        <f aca="false">$G608*'Analyse capacite'!$C$7</f>
        <v>0</v>
      </c>
      <c r="J608" s="135" t="n">
        <f aca="false">$G608*'Analyse capacite'!$D$7</f>
        <v>0</v>
      </c>
      <c r="K608" s="135" t="n">
        <f aca="false">$G608*'Analyse capacite'!$E$7</f>
        <v>0</v>
      </c>
    </row>
    <row r="609" customFormat="false" ht="15" hidden="false" customHeight="false" outlineLevel="0" collapsed="false">
      <c r="B609" s="130" t="n">
        <v>2027</v>
      </c>
      <c r="C609" s="131" t="s">
        <v>246</v>
      </c>
      <c r="D609" s="132" t="n">
        <v>46494</v>
      </c>
      <c r="E609" s="131" t="s">
        <v>56</v>
      </c>
      <c r="F609" s="133" t="s">
        <v>19</v>
      </c>
      <c r="G609" s="134" t="n">
        <f aca="false">LEN('Saisie programme'!$I$41)+SUMIFS('Vols additionnels'!$E$7:$E$66,'Vols additionnels'!$C$7:$C$66,$E609,'Vols additionnels'!$D$7:$D$66,$F609,'Vols additionnels'!$B$7:$B$66,$D609)</f>
        <v>0</v>
      </c>
      <c r="H609" s="135" t="n">
        <f aca="false">$G609*'Analyse capacite'!$F$8</f>
        <v>0</v>
      </c>
      <c r="I609" s="135" t="n">
        <f aca="false">$G609*'Analyse capacite'!$C$8</f>
        <v>0</v>
      </c>
      <c r="J609" s="135" t="n">
        <f aca="false">$G609*'Analyse capacite'!$D$8</f>
        <v>0</v>
      </c>
      <c r="K609" s="135" t="n">
        <f aca="false">$G609*'Analyse capacite'!$E$8</f>
        <v>0</v>
      </c>
    </row>
    <row r="610" customFormat="false" ht="15" hidden="false" customHeight="false" outlineLevel="0" collapsed="false">
      <c r="B610" s="130" t="n">
        <v>2027</v>
      </c>
      <c r="C610" s="131" t="s">
        <v>246</v>
      </c>
      <c r="D610" s="132" t="n">
        <v>46494</v>
      </c>
      <c r="E610" s="131" t="s">
        <v>56</v>
      </c>
      <c r="F610" s="133" t="s">
        <v>24</v>
      </c>
      <c r="G610" s="134" t="n">
        <f aca="false">LEN('Saisie programme'!$I$42)+SUMIFS('Vols additionnels'!$E$7:$E$66,'Vols additionnels'!$C$7:$C$66,$E610,'Vols additionnels'!$D$7:$D$66,$F610,'Vols additionnels'!$B$7:$B$66,$D610)</f>
        <v>1</v>
      </c>
      <c r="H610" s="135" t="n">
        <f aca="false">$G610*'Analyse capacite'!$F$9</f>
        <v>174</v>
      </c>
      <c r="I610" s="135" t="n">
        <f aca="false">$G610*'Analyse capacite'!$C$9</f>
        <v>0</v>
      </c>
      <c r="J610" s="135" t="n">
        <f aca="false">$G610*'Analyse capacite'!$D$9</f>
        <v>12</v>
      </c>
      <c r="K610" s="135" t="n">
        <f aca="false">$G610*'Analyse capacite'!$E$9</f>
        <v>162</v>
      </c>
    </row>
    <row r="611" customFormat="false" ht="15" hidden="false" customHeight="false" outlineLevel="0" collapsed="false">
      <c r="B611" s="130" t="n">
        <v>2027</v>
      </c>
      <c r="C611" s="131" t="s">
        <v>246</v>
      </c>
      <c r="D611" s="132" t="n">
        <v>46494</v>
      </c>
      <c r="E611" s="131" t="s">
        <v>59</v>
      </c>
      <c r="F611" s="133" t="s">
        <v>11</v>
      </c>
      <c r="G611" s="134" t="n">
        <f aca="false">LEN('Saisie programme'!$I$43)+SUMIFS('Vols additionnels'!$E$7:$E$66,'Vols additionnels'!$C$7:$C$66,$E611,'Vols additionnels'!$D$7:$D$66,$F611,'Vols additionnels'!$B$7:$B$66,$D611)</f>
        <v>0</v>
      </c>
      <c r="H611" s="135" t="n">
        <f aca="false">$G611*'Analyse capacite'!$F$7</f>
        <v>0</v>
      </c>
      <c r="I611" s="135" t="n">
        <f aca="false">$G611*'Analyse capacite'!$C$7</f>
        <v>0</v>
      </c>
      <c r="J611" s="135" t="n">
        <f aca="false">$G611*'Analyse capacite'!$D$7</f>
        <v>0</v>
      </c>
      <c r="K611" s="135" t="n">
        <f aca="false">$G611*'Analyse capacite'!$E$7</f>
        <v>0</v>
      </c>
    </row>
    <row r="612" customFormat="false" ht="15" hidden="false" customHeight="false" outlineLevel="0" collapsed="false">
      <c r="B612" s="130" t="n">
        <v>2027</v>
      </c>
      <c r="C612" s="131" t="s">
        <v>246</v>
      </c>
      <c r="D612" s="132" t="n">
        <v>46494</v>
      </c>
      <c r="E612" s="131" t="s">
        <v>59</v>
      </c>
      <c r="F612" s="133" t="s">
        <v>19</v>
      </c>
      <c r="G612" s="134" t="n">
        <f aca="false">LEN('Saisie programme'!$I$44)+SUMIFS('Vols additionnels'!$E$7:$E$66,'Vols additionnels'!$C$7:$C$66,$E612,'Vols additionnels'!$D$7:$D$66,$F612,'Vols additionnels'!$B$7:$B$66,$D612)</f>
        <v>0</v>
      </c>
      <c r="H612" s="135" t="n">
        <f aca="false">$G612*'Analyse capacite'!$F$8</f>
        <v>0</v>
      </c>
      <c r="I612" s="135" t="n">
        <f aca="false">$G612*'Analyse capacite'!$C$8</f>
        <v>0</v>
      </c>
      <c r="J612" s="135" t="n">
        <f aca="false">$G612*'Analyse capacite'!$D$8</f>
        <v>0</v>
      </c>
      <c r="K612" s="135" t="n">
        <f aca="false">$G612*'Analyse capacite'!$E$8</f>
        <v>0</v>
      </c>
    </row>
    <row r="613" customFormat="false" ht="15" hidden="false" customHeight="false" outlineLevel="0" collapsed="false">
      <c r="B613" s="130" t="n">
        <v>2027</v>
      </c>
      <c r="C613" s="131" t="s">
        <v>246</v>
      </c>
      <c r="D613" s="132" t="n">
        <v>46494</v>
      </c>
      <c r="E613" s="131" t="s">
        <v>59</v>
      </c>
      <c r="F613" s="133" t="s">
        <v>24</v>
      </c>
      <c r="G613" s="134" t="n">
        <f aca="false">LEN('Saisie programme'!$I$45)+SUMIFS('Vols additionnels'!$E$7:$E$66,'Vols additionnels'!$C$7:$C$66,$E613,'Vols additionnels'!$D$7:$D$66,$F613,'Vols additionnels'!$B$7:$B$66,$D613)</f>
        <v>1</v>
      </c>
      <c r="H613" s="135" t="n">
        <f aca="false">$G613*'Analyse capacite'!$F$9</f>
        <v>174</v>
      </c>
      <c r="I613" s="135" t="n">
        <f aca="false">$G613*'Analyse capacite'!$C$9</f>
        <v>0</v>
      </c>
      <c r="J613" s="135" t="n">
        <f aca="false">$G613*'Analyse capacite'!$D$9</f>
        <v>12</v>
      </c>
      <c r="K613" s="135" t="n">
        <f aca="false">$G613*'Analyse capacite'!$E$9</f>
        <v>162</v>
      </c>
    </row>
    <row r="614" customFormat="false" ht="15" hidden="false" customHeight="false" outlineLevel="0" collapsed="false">
      <c r="B614" s="130" t="n">
        <v>2027</v>
      </c>
      <c r="C614" s="131" t="s">
        <v>246</v>
      </c>
      <c r="D614" s="132" t="n">
        <v>46494</v>
      </c>
      <c r="E614" s="131" t="s">
        <v>62</v>
      </c>
      <c r="F614" s="133" t="s">
        <v>11</v>
      </c>
      <c r="G614" s="134" t="n">
        <f aca="false">LEN('Saisie programme'!$I$46)+SUMIFS('Vols additionnels'!$E$7:$E$66,'Vols additionnels'!$C$7:$C$66,$E614,'Vols additionnels'!$D$7:$D$66,$F614,'Vols additionnels'!$B$7:$B$66,$D614)</f>
        <v>0</v>
      </c>
      <c r="H614" s="135" t="n">
        <f aca="false">$G614*'Analyse capacite'!$F$7</f>
        <v>0</v>
      </c>
      <c r="I614" s="135" t="n">
        <f aca="false">$G614*'Analyse capacite'!$C$7</f>
        <v>0</v>
      </c>
      <c r="J614" s="135" t="n">
        <f aca="false">$G614*'Analyse capacite'!$D$7</f>
        <v>0</v>
      </c>
      <c r="K614" s="135" t="n">
        <f aca="false">$G614*'Analyse capacite'!$E$7</f>
        <v>0</v>
      </c>
    </row>
    <row r="615" customFormat="false" ht="15" hidden="false" customHeight="false" outlineLevel="0" collapsed="false">
      <c r="B615" s="130" t="n">
        <v>2027</v>
      </c>
      <c r="C615" s="131" t="s">
        <v>246</v>
      </c>
      <c r="D615" s="132" t="n">
        <v>46494</v>
      </c>
      <c r="E615" s="131" t="s">
        <v>62</v>
      </c>
      <c r="F615" s="133" t="s">
        <v>19</v>
      </c>
      <c r="G615" s="134" t="n">
        <f aca="false">LEN('Saisie programme'!$I$47)+SUMIFS('Vols additionnels'!$E$7:$E$66,'Vols additionnels'!$C$7:$C$66,$E615,'Vols additionnels'!$D$7:$D$66,$F615,'Vols additionnels'!$B$7:$B$66,$D615)</f>
        <v>0</v>
      </c>
      <c r="H615" s="135" t="n">
        <f aca="false">$G615*'Analyse capacite'!$F$8</f>
        <v>0</v>
      </c>
      <c r="I615" s="135" t="n">
        <f aca="false">$G615*'Analyse capacite'!$C$8</f>
        <v>0</v>
      </c>
      <c r="J615" s="135" t="n">
        <f aca="false">$G615*'Analyse capacite'!$D$8</f>
        <v>0</v>
      </c>
      <c r="K615" s="135" t="n">
        <f aca="false">$G615*'Analyse capacite'!$E$8</f>
        <v>0</v>
      </c>
    </row>
    <row r="616" customFormat="false" ht="15" hidden="false" customHeight="false" outlineLevel="0" collapsed="false">
      <c r="B616" s="130" t="n">
        <v>2027</v>
      </c>
      <c r="C616" s="131" t="s">
        <v>246</v>
      </c>
      <c r="D616" s="132" t="n">
        <v>46494</v>
      </c>
      <c r="E616" s="131" t="s">
        <v>62</v>
      </c>
      <c r="F616" s="133" t="s">
        <v>24</v>
      </c>
      <c r="G616" s="134" t="n">
        <f aca="false">LEN('Saisie programme'!$I$48)+SUMIFS('Vols additionnels'!$E$7:$E$66,'Vols additionnels'!$C$7:$C$66,$E616,'Vols additionnels'!$D$7:$D$66,$F616,'Vols additionnels'!$B$7:$B$66,$D616)</f>
        <v>0</v>
      </c>
      <c r="H616" s="135" t="n">
        <f aca="false">$G616*'Analyse capacite'!$F$9</f>
        <v>0</v>
      </c>
      <c r="I616" s="135" t="n">
        <f aca="false">$G616*'Analyse capacite'!$C$9</f>
        <v>0</v>
      </c>
      <c r="J616" s="135" t="n">
        <f aca="false">$G616*'Analyse capacite'!$D$9</f>
        <v>0</v>
      </c>
      <c r="K616" s="135" t="n">
        <f aca="false">$G616*'Analyse capacite'!$E$9</f>
        <v>0</v>
      </c>
    </row>
    <row r="617" customFormat="false" ht="15" hidden="false" customHeight="false" outlineLevel="0" collapsed="false">
      <c r="B617" s="130" t="n">
        <v>2027</v>
      </c>
      <c r="C617" s="131" t="s">
        <v>246</v>
      </c>
      <c r="D617" s="132" t="n">
        <v>46495</v>
      </c>
      <c r="E617" s="131" t="s">
        <v>12</v>
      </c>
      <c r="F617" s="133" t="s">
        <v>11</v>
      </c>
      <c r="G617" s="134" t="n">
        <f aca="false">LEN('Saisie programme'!$J$13)+SUMIFS('Vols additionnels'!$E$7:$E$66,'Vols additionnels'!$C$7:$C$66,$E617,'Vols additionnels'!$D$7:$D$66,$F617,'Vols additionnels'!$B$7:$B$66,$D617)</f>
        <v>1</v>
      </c>
      <c r="H617" s="135" t="n">
        <f aca="false">$G617*'Analyse capacite'!$F$7</f>
        <v>438</v>
      </c>
      <c r="I617" s="135" t="n">
        <f aca="false">$G617*'Analyse capacite'!$C$7</f>
        <v>14</v>
      </c>
      <c r="J617" s="135" t="n">
        <f aca="false">$G617*'Analyse capacite'!$D$7</f>
        <v>40</v>
      </c>
      <c r="K617" s="135" t="n">
        <f aca="false">$G617*'Analyse capacite'!$E$7</f>
        <v>384</v>
      </c>
    </row>
    <row r="618" customFormat="false" ht="15" hidden="false" customHeight="false" outlineLevel="0" collapsed="false">
      <c r="B618" s="130" t="n">
        <v>2027</v>
      </c>
      <c r="C618" s="131" t="s">
        <v>246</v>
      </c>
      <c r="D618" s="132" t="n">
        <v>46495</v>
      </c>
      <c r="E618" s="131" t="s">
        <v>12</v>
      </c>
      <c r="F618" s="133" t="s">
        <v>19</v>
      </c>
      <c r="G618" s="134" t="n">
        <f aca="false">LEN('Saisie programme'!$J$14)+SUMIFS('Vols additionnels'!$E$7:$E$66,'Vols additionnels'!$C$7:$C$66,$E618,'Vols additionnels'!$D$7:$D$66,$F618,'Vols additionnels'!$B$7:$B$66,$D618)</f>
        <v>0</v>
      </c>
      <c r="H618" s="135" t="n">
        <f aca="false">$G618*'Analyse capacite'!$F$8</f>
        <v>0</v>
      </c>
      <c r="I618" s="135" t="n">
        <f aca="false">$G618*'Analyse capacite'!$C$8</f>
        <v>0</v>
      </c>
      <c r="J618" s="135" t="n">
        <f aca="false">$G618*'Analyse capacite'!$D$8</f>
        <v>0</v>
      </c>
      <c r="K618" s="135" t="n">
        <f aca="false">$G618*'Analyse capacite'!$E$8</f>
        <v>0</v>
      </c>
    </row>
    <row r="619" customFormat="false" ht="15" hidden="false" customHeight="false" outlineLevel="0" collapsed="false">
      <c r="B619" s="130" t="n">
        <v>2027</v>
      </c>
      <c r="C619" s="131" t="s">
        <v>246</v>
      </c>
      <c r="D619" s="132" t="n">
        <v>46495</v>
      </c>
      <c r="E619" s="131" t="s">
        <v>12</v>
      </c>
      <c r="F619" s="133" t="s">
        <v>24</v>
      </c>
      <c r="G619" s="134" t="n">
        <f aca="false">LEN('Saisie programme'!$J$15)+SUMIFS('Vols additionnels'!$E$7:$E$66,'Vols additionnels'!$C$7:$C$66,$E619,'Vols additionnels'!$D$7:$D$66,$F619,'Vols additionnels'!$B$7:$B$66,$D619)</f>
        <v>0</v>
      </c>
      <c r="H619" s="135" t="n">
        <f aca="false">$G619*'Analyse capacite'!$F$9</f>
        <v>0</v>
      </c>
      <c r="I619" s="135" t="n">
        <f aca="false">$G619*'Analyse capacite'!$C$9</f>
        <v>0</v>
      </c>
      <c r="J619" s="135" t="n">
        <f aca="false">$G619*'Analyse capacite'!$D$9</f>
        <v>0</v>
      </c>
      <c r="K619" s="135" t="n">
        <f aca="false">$G619*'Analyse capacite'!$E$9</f>
        <v>0</v>
      </c>
    </row>
    <row r="620" customFormat="false" ht="15" hidden="false" customHeight="false" outlineLevel="0" collapsed="false">
      <c r="B620" s="130" t="n">
        <v>2027</v>
      </c>
      <c r="C620" s="131" t="s">
        <v>246</v>
      </c>
      <c r="D620" s="132" t="n">
        <v>46495</v>
      </c>
      <c r="E620" s="131" t="s">
        <v>20</v>
      </c>
      <c r="F620" s="133" t="s">
        <v>11</v>
      </c>
      <c r="G620" s="134" t="n">
        <f aca="false">LEN('Saisie programme'!$J$16)+SUMIFS('Vols additionnels'!$E$7:$E$66,'Vols additionnels'!$C$7:$C$66,$E620,'Vols additionnels'!$D$7:$D$66,$F620,'Vols additionnels'!$B$7:$B$66,$D620)</f>
        <v>1</v>
      </c>
      <c r="H620" s="135" t="n">
        <f aca="false">$G620*'Analyse capacite'!$F$7</f>
        <v>438</v>
      </c>
      <c r="I620" s="135" t="n">
        <f aca="false">$G620*'Analyse capacite'!$C$7</f>
        <v>14</v>
      </c>
      <c r="J620" s="135" t="n">
        <f aca="false">$G620*'Analyse capacite'!$D$7</f>
        <v>40</v>
      </c>
      <c r="K620" s="135" t="n">
        <f aca="false">$G620*'Analyse capacite'!$E$7</f>
        <v>384</v>
      </c>
    </row>
    <row r="621" customFormat="false" ht="15" hidden="false" customHeight="false" outlineLevel="0" collapsed="false">
      <c r="B621" s="130" t="n">
        <v>2027</v>
      </c>
      <c r="C621" s="131" t="s">
        <v>246</v>
      </c>
      <c r="D621" s="132" t="n">
        <v>46495</v>
      </c>
      <c r="E621" s="131" t="s">
        <v>20</v>
      </c>
      <c r="F621" s="133" t="s">
        <v>19</v>
      </c>
      <c r="G621" s="134" t="n">
        <f aca="false">LEN('Saisie programme'!$J$17)+SUMIFS('Vols additionnels'!$E$7:$E$66,'Vols additionnels'!$C$7:$C$66,$E621,'Vols additionnels'!$D$7:$D$66,$F621,'Vols additionnels'!$B$7:$B$66,$D621)</f>
        <v>0</v>
      </c>
      <c r="H621" s="135" t="n">
        <f aca="false">$G621*'Analyse capacite'!$F$8</f>
        <v>0</v>
      </c>
      <c r="I621" s="135" t="n">
        <f aca="false">$G621*'Analyse capacite'!$C$8</f>
        <v>0</v>
      </c>
      <c r="J621" s="135" t="n">
        <f aca="false">$G621*'Analyse capacite'!$D$8</f>
        <v>0</v>
      </c>
      <c r="K621" s="135" t="n">
        <f aca="false">$G621*'Analyse capacite'!$E$8</f>
        <v>0</v>
      </c>
    </row>
    <row r="622" customFormat="false" ht="15" hidden="false" customHeight="false" outlineLevel="0" collapsed="false">
      <c r="B622" s="130" t="n">
        <v>2027</v>
      </c>
      <c r="C622" s="131" t="s">
        <v>246</v>
      </c>
      <c r="D622" s="132" t="n">
        <v>46495</v>
      </c>
      <c r="E622" s="131" t="s">
        <v>20</v>
      </c>
      <c r="F622" s="133" t="s">
        <v>24</v>
      </c>
      <c r="G622" s="134" t="n">
        <f aca="false">LEN('Saisie programme'!$J$18)+SUMIFS('Vols additionnels'!$E$7:$E$66,'Vols additionnels'!$C$7:$C$66,$E622,'Vols additionnels'!$D$7:$D$66,$F622,'Vols additionnels'!$B$7:$B$66,$D622)</f>
        <v>0</v>
      </c>
      <c r="H622" s="135" t="n">
        <f aca="false">$G622*'Analyse capacite'!$F$9</f>
        <v>0</v>
      </c>
      <c r="I622" s="135" t="n">
        <f aca="false">$G622*'Analyse capacite'!$C$9</f>
        <v>0</v>
      </c>
      <c r="J622" s="135" t="n">
        <f aca="false">$G622*'Analyse capacite'!$D$9</f>
        <v>0</v>
      </c>
      <c r="K622" s="135" t="n">
        <f aca="false">$G622*'Analyse capacite'!$E$9</f>
        <v>0</v>
      </c>
    </row>
    <row r="623" customFormat="false" ht="15" hidden="false" customHeight="false" outlineLevel="0" collapsed="false">
      <c r="B623" s="130" t="n">
        <v>2027</v>
      </c>
      <c r="C623" s="131" t="s">
        <v>246</v>
      </c>
      <c r="D623" s="132" t="n">
        <v>46495</v>
      </c>
      <c r="E623" s="131" t="s">
        <v>25</v>
      </c>
      <c r="F623" s="133" t="s">
        <v>11</v>
      </c>
      <c r="G623" s="134" t="n">
        <f aca="false">LEN('Saisie programme'!$J$19)+SUMIFS('Vols additionnels'!$E$7:$E$66,'Vols additionnels'!$C$7:$C$66,$E623,'Vols additionnels'!$D$7:$D$66,$F623,'Vols additionnels'!$B$7:$B$66,$D623)</f>
        <v>0</v>
      </c>
      <c r="H623" s="135" t="n">
        <f aca="false">$G623*'Analyse capacite'!$F$7</f>
        <v>0</v>
      </c>
      <c r="I623" s="135" t="n">
        <f aca="false">$G623*'Analyse capacite'!$C$7</f>
        <v>0</v>
      </c>
      <c r="J623" s="135" t="n">
        <f aca="false">$G623*'Analyse capacite'!$D$7</f>
        <v>0</v>
      </c>
      <c r="K623" s="135" t="n">
        <f aca="false">$G623*'Analyse capacite'!$E$7</f>
        <v>0</v>
      </c>
    </row>
    <row r="624" customFormat="false" ht="15" hidden="false" customHeight="false" outlineLevel="0" collapsed="false">
      <c r="B624" s="130" t="n">
        <v>2027</v>
      </c>
      <c r="C624" s="131" t="s">
        <v>246</v>
      </c>
      <c r="D624" s="132" t="n">
        <v>46495</v>
      </c>
      <c r="E624" s="131" t="s">
        <v>25</v>
      </c>
      <c r="F624" s="133" t="s">
        <v>19</v>
      </c>
      <c r="G624" s="134" t="n">
        <f aca="false">LEN('Saisie programme'!$J$20)+SUMIFS('Vols additionnels'!$E$7:$E$66,'Vols additionnels'!$C$7:$C$66,$E624,'Vols additionnels'!$D$7:$D$66,$F624,'Vols additionnels'!$B$7:$B$66,$D624)</f>
        <v>0</v>
      </c>
      <c r="H624" s="135" t="n">
        <f aca="false">$G624*'Analyse capacite'!$F$8</f>
        <v>0</v>
      </c>
      <c r="I624" s="135" t="n">
        <f aca="false">$G624*'Analyse capacite'!$C$8</f>
        <v>0</v>
      </c>
      <c r="J624" s="135" t="n">
        <f aca="false">$G624*'Analyse capacite'!$D$8</f>
        <v>0</v>
      </c>
      <c r="K624" s="135" t="n">
        <f aca="false">$G624*'Analyse capacite'!$E$8</f>
        <v>0</v>
      </c>
    </row>
    <row r="625" customFormat="false" ht="15" hidden="false" customHeight="false" outlineLevel="0" collapsed="false">
      <c r="B625" s="130" t="n">
        <v>2027</v>
      </c>
      <c r="C625" s="131" t="s">
        <v>246</v>
      </c>
      <c r="D625" s="132" t="n">
        <v>46495</v>
      </c>
      <c r="E625" s="131" t="s">
        <v>25</v>
      </c>
      <c r="F625" s="133" t="s">
        <v>24</v>
      </c>
      <c r="G625" s="134" t="n">
        <f aca="false">LEN('Saisie programme'!$J$21)+SUMIFS('Vols additionnels'!$E$7:$E$66,'Vols additionnels'!$C$7:$C$66,$E625,'Vols additionnels'!$D$7:$D$66,$F625,'Vols additionnels'!$B$7:$B$66,$D625)</f>
        <v>0</v>
      </c>
      <c r="H625" s="135" t="n">
        <f aca="false">$G625*'Analyse capacite'!$F$9</f>
        <v>0</v>
      </c>
      <c r="I625" s="135" t="n">
        <f aca="false">$G625*'Analyse capacite'!$C$9</f>
        <v>0</v>
      </c>
      <c r="J625" s="135" t="n">
        <f aca="false">$G625*'Analyse capacite'!$D$9</f>
        <v>0</v>
      </c>
      <c r="K625" s="135" t="n">
        <f aca="false">$G625*'Analyse capacite'!$E$9</f>
        <v>0</v>
      </c>
    </row>
    <row r="626" customFormat="false" ht="15" hidden="false" customHeight="false" outlineLevel="0" collapsed="false">
      <c r="B626" s="130" t="n">
        <v>2027</v>
      </c>
      <c r="C626" s="131" t="s">
        <v>246</v>
      </c>
      <c r="D626" s="132" t="n">
        <v>46495</v>
      </c>
      <c r="E626" s="131" t="s">
        <v>36</v>
      </c>
      <c r="F626" s="133" t="s">
        <v>11</v>
      </c>
      <c r="G626" s="134" t="n">
        <f aca="false">LEN('Saisie programme'!$J$22)+SUMIFS('Vols additionnels'!$E$7:$E$66,'Vols additionnels'!$C$7:$C$66,$E626,'Vols additionnels'!$D$7:$D$66,$F626,'Vols additionnels'!$B$7:$B$66,$D626)</f>
        <v>0</v>
      </c>
      <c r="H626" s="135" t="n">
        <f aca="false">$G626*'Analyse capacite'!$F$7</f>
        <v>0</v>
      </c>
      <c r="I626" s="135" t="n">
        <f aca="false">$G626*'Analyse capacite'!$C$7</f>
        <v>0</v>
      </c>
      <c r="J626" s="135" t="n">
        <f aca="false">$G626*'Analyse capacite'!$D$7</f>
        <v>0</v>
      </c>
      <c r="K626" s="135" t="n">
        <f aca="false">$G626*'Analyse capacite'!$E$7</f>
        <v>0</v>
      </c>
    </row>
    <row r="627" customFormat="false" ht="15" hidden="false" customHeight="false" outlineLevel="0" collapsed="false">
      <c r="B627" s="130" t="n">
        <v>2027</v>
      </c>
      <c r="C627" s="131" t="s">
        <v>246</v>
      </c>
      <c r="D627" s="132" t="n">
        <v>46495</v>
      </c>
      <c r="E627" s="131" t="s">
        <v>36</v>
      </c>
      <c r="F627" s="133" t="s">
        <v>19</v>
      </c>
      <c r="G627" s="134" t="n">
        <f aca="false">LEN('Saisie programme'!$J$23)+SUMIFS('Vols additionnels'!$E$7:$E$66,'Vols additionnels'!$C$7:$C$66,$E627,'Vols additionnels'!$D$7:$D$66,$F627,'Vols additionnels'!$B$7:$B$66,$D627)</f>
        <v>0</v>
      </c>
      <c r="H627" s="135" t="n">
        <f aca="false">$G627*'Analyse capacite'!$F$8</f>
        <v>0</v>
      </c>
      <c r="I627" s="135" t="n">
        <f aca="false">$G627*'Analyse capacite'!$C$8</f>
        <v>0</v>
      </c>
      <c r="J627" s="135" t="n">
        <f aca="false">$G627*'Analyse capacite'!$D$8</f>
        <v>0</v>
      </c>
      <c r="K627" s="135" t="n">
        <f aca="false">$G627*'Analyse capacite'!$E$8</f>
        <v>0</v>
      </c>
    </row>
    <row r="628" customFormat="false" ht="15" hidden="false" customHeight="false" outlineLevel="0" collapsed="false">
      <c r="B628" s="130" t="n">
        <v>2027</v>
      </c>
      <c r="C628" s="131" t="s">
        <v>246</v>
      </c>
      <c r="D628" s="132" t="n">
        <v>46495</v>
      </c>
      <c r="E628" s="131" t="s">
        <v>36</v>
      </c>
      <c r="F628" s="133" t="s">
        <v>24</v>
      </c>
      <c r="G628" s="134" t="n">
        <f aca="false">LEN('Saisie programme'!$J$24)+SUMIFS('Vols additionnels'!$E$7:$E$66,'Vols additionnels'!$C$7:$C$66,$E628,'Vols additionnels'!$D$7:$D$66,$F628,'Vols additionnels'!$B$7:$B$66,$D628)</f>
        <v>0</v>
      </c>
      <c r="H628" s="135" t="n">
        <f aca="false">$G628*'Analyse capacite'!$F$9</f>
        <v>0</v>
      </c>
      <c r="I628" s="135" t="n">
        <f aca="false">$G628*'Analyse capacite'!$C$9</f>
        <v>0</v>
      </c>
      <c r="J628" s="135" t="n">
        <f aca="false">$G628*'Analyse capacite'!$D$9</f>
        <v>0</v>
      </c>
      <c r="K628" s="135" t="n">
        <f aca="false">$G628*'Analyse capacite'!$E$9</f>
        <v>0</v>
      </c>
    </row>
    <row r="629" customFormat="false" ht="15" hidden="false" customHeight="false" outlineLevel="0" collapsed="false">
      <c r="B629" s="130" t="n">
        <v>2027</v>
      </c>
      <c r="C629" s="131" t="s">
        <v>246</v>
      </c>
      <c r="D629" s="132" t="n">
        <v>46495</v>
      </c>
      <c r="E629" s="131" t="s">
        <v>40</v>
      </c>
      <c r="F629" s="133" t="s">
        <v>11</v>
      </c>
      <c r="G629" s="134" t="n">
        <f aca="false">LEN('Saisie programme'!$J$25)+SUMIFS('Vols additionnels'!$E$7:$E$66,'Vols additionnels'!$C$7:$C$66,$E629,'Vols additionnels'!$D$7:$D$66,$F629,'Vols additionnels'!$B$7:$B$66,$D629)</f>
        <v>0</v>
      </c>
      <c r="H629" s="135" t="n">
        <f aca="false">$G629*'Analyse capacite'!$F$7</f>
        <v>0</v>
      </c>
      <c r="I629" s="135" t="n">
        <f aca="false">$G629*'Analyse capacite'!$C$7</f>
        <v>0</v>
      </c>
      <c r="J629" s="135" t="n">
        <f aca="false">$G629*'Analyse capacite'!$D$7</f>
        <v>0</v>
      </c>
      <c r="K629" s="135" t="n">
        <f aca="false">$G629*'Analyse capacite'!$E$7</f>
        <v>0</v>
      </c>
    </row>
    <row r="630" customFormat="false" ht="15" hidden="false" customHeight="false" outlineLevel="0" collapsed="false">
      <c r="B630" s="130" t="n">
        <v>2027</v>
      </c>
      <c r="C630" s="131" t="s">
        <v>246</v>
      </c>
      <c r="D630" s="132" t="n">
        <v>46495</v>
      </c>
      <c r="E630" s="131" t="s">
        <v>40</v>
      </c>
      <c r="F630" s="133" t="s">
        <v>19</v>
      </c>
      <c r="G630" s="134" t="n">
        <f aca="false">LEN('Saisie programme'!$J$26)+SUMIFS('Vols additionnels'!$E$7:$E$66,'Vols additionnels'!$C$7:$C$66,$E630,'Vols additionnels'!$D$7:$D$66,$F630,'Vols additionnels'!$B$7:$B$66,$D630)</f>
        <v>0</v>
      </c>
      <c r="H630" s="135" t="n">
        <f aca="false">$G630*'Analyse capacite'!$F$8</f>
        <v>0</v>
      </c>
      <c r="I630" s="135" t="n">
        <f aca="false">$G630*'Analyse capacite'!$C$8</f>
        <v>0</v>
      </c>
      <c r="J630" s="135" t="n">
        <f aca="false">$G630*'Analyse capacite'!$D$8</f>
        <v>0</v>
      </c>
      <c r="K630" s="135" t="n">
        <f aca="false">$G630*'Analyse capacite'!$E$8</f>
        <v>0</v>
      </c>
    </row>
    <row r="631" customFormat="false" ht="15" hidden="false" customHeight="false" outlineLevel="0" collapsed="false">
      <c r="B631" s="130" t="n">
        <v>2027</v>
      </c>
      <c r="C631" s="131" t="s">
        <v>246</v>
      </c>
      <c r="D631" s="132" t="n">
        <v>46495</v>
      </c>
      <c r="E631" s="131" t="s">
        <v>40</v>
      </c>
      <c r="F631" s="133" t="s">
        <v>24</v>
      </c>
      <c r="G631" s="134" t="n">
        <f aca="false">LEN('Saisie programme'!$J$27)+SUMIFS('Vols additionnels'!$E$7:$E$66,'Vols additionnels'!$C$7:$C$66,$E631,'Vols additionnels'!$D$7:$D$66,$F631,'Vols additionnels'!$B$7:$B$66,$D631)</f>
        <v>1</v>
      </c>
      <c r="H631" s="135" t="n">
        <f aca="false">$G631*'Analyse capacite'!$F$9</f>
        <v>174</v>
      </c>
      <c r="I631" s="135" t="n">
        <f aca="false">$G631*'Analyse capacite'!$C$9</f>
        <v>0</v>
      </c>
      <c r="J631" s="135" t="n">
        <f aca="false">$G631*'Analyse capacite'!$D$9</f>
        <v>12</v>
      </c>
      <c r="K631" s="135" t="n">
        <f aca="false">$G631*'Analyse capacite'!$E$9</f>
        <v>162</v>
      </c>
    </row>
    <row r="632" customFormat="false" ht="15" hidden="false" customHeight="false" outlineLevel="0" collapsed="false">
      <c r="B632" s="130" t="n">
        <v>2027</v>
      </c>
      <c r="C632" s="131" t="s">
        <v>246</v>
      </c>
      <c r="D632" s="132" t="n">
        <v>46495</v>
      </c>
      <c r="E632" s="131" t="s">
        <v>14</v>
      </c>
      <c r="F632" s="133" t="s">
        <v>11</v>
      </c>
      <c r="G632" s="134" t="n">
        <f aca="false">LEN('Saisie programme'!$J$28)+SUMIFS('Vols additionnels'!$E$7:$E$66,'Vols additionnels'!$C$7:$C$66,$E632,'Vols additionnels'!$D$7:$D$66,$F632,'Vols additionnels'!$B$7:$B$66,$D632)</f>
        <v>0</v>
      </c>
      <c r="H632" s="135" t="n">
        <f aca="false">$G632*'Analyse capacite'!$F$7</f>
        <v>0</v>
      </c>
      <c r="I632" s="135" t="n">
        <f aca="false">$G632*'Analyse capacite'!$C$7</f>
        <v>0</v>
      </c>
      <c r="J632" s="135" t="n">
        <f aca="false">$G632*'Analyse capacite'!$D$7</f>
        <v>0</v>
      </c>
      <c r="K632" s="135" t="n">
        <f aca="false">$G632*'Analyse capacite'!$E$7</f>
        <v>0</v>
      </c>
    </row>
    <row r="633" customFormat="false" ht="15" hidden="false" customHeight="false" outlineLevel="0" collapsed="false">
      <c r="B633" s="130" t="n">
        <v>2027</v>
      </c>
      <c r="C633" s="131" t="s">
        <v>246</v>
      </c>
      <c r="D633" s="132" t="n">
        <v>46495</v>
      </c>
      <c r="E633" s="131" t="s">
        <v>14</v>
      </c>
      <c r="F633" s="133" t="s">
        <v>19</v>
      </c>
      <c r="G633" s="134" t="n">
        <f aca="false">LEN('Saisie programme'!$J$29)+SUMIFS('Vols additionnels'!$E$7:$E$66,'Vols additionnels'!$C$7:$C$66,$E633,'Vols additionnels'!$D$7:$D$66,$F633,'Vols additionnels'!$B$7:$B$66,$D633)</f>
        <v>0</v>
      </c>
      <c r="H633" s="135" t="n">
        <f aca="false">$G633*'Analyse capacite'!$F$8</f>
        <v>0</v>
      </c>
      <c r="I633" s="135" t="n">
        <f aca="false">$G633*'Analyse capacite'!$C$8</f>
        <v>0</v>
      </c>
      <c r="J633" s="135" t="n">
        <f aca="false">$G633*'Analyse capacite'!$D$8</f>
        <v>0</v>
      </c>
      <c r="K633" s="135" t="n">
        <f aca="false">$G633*'Analyse capacite'!$E$8</f>
        <v>0</v>
      </c>
    </row>
    <row r="634" customFormat="false" ht="15" hidden="false" customHeight="false" outlineLevel="0" collapsed="false">
      <c r="B634" s="130" t="n">
        <v>2027</v>
      </c>
      <c r="C634" s="131" t="s">
        <v>246</v>
      </c>
      <c r="D634" s="132" t="n">
        <v>46495</v>
      </c>
      <c r="E634" s="131" t="s">
        <v>14</v>
      </c>
      <c r="F634" s="133" t="s">
        <v>24</v>
      </c>
      <c r="G634" s="134" t="n">
        <f aca="false">LEN('Saisie programme'!$J$30)+SUMIFS('Vols additionnels'!$E$7:$E$66,'Vols additionnels'!$C$7:$C$66,$E634,'Vols additionnels'!$D$7:$D$66,$F634,'Vols additionnels'!$B$7:$B$66,$D634)</f>
        <v>0</v>
      </c>
      <c r="H634" s="135" t="n">
        <f aca="false">$G634*'Analyse capacite'!$F$9</f>
        <v>0</v>
      </c>
      <c r="I634" s="135" t="n">
        <f aca="false">$G634*'Analyse capacite'!$C$9</f>
        <v>0</v>
      </c>
      <c r="J634" s="135" t="n">
        <f aca="false">$G634*'Analyse capacite'!$D$9</f>
        <v>0</v>
      </c>
      <c r="K634" s="135" t="n">
        <f aca="false">$G634*'Analyse capacite'!$E$9</f>
        <v>0</v>
      </c>
    </row>
    <row r="635" customFormat="false" ht="15" hidden="false" customHeight="false" outlineLevel="0" collapsed="false">
      <c r="B635" s="130" t="n">
        <v>2027</v>
      </c>
      <c r="C635" s="131" t="s">
        <v>246</v>
      </c>
      <c r="D635" s="132" t="n">
        <v>46495</v>
      </c>
      <c r="E635" s="131" t="s">
        <v>46</v>
      </c>
      <c r="F635" s="133" t="s">
        <v>11</v>
      </c>
      <c r="G635" s="134" t="n">
        <f aca="false">LEN('Saisie programme'!$J$31)+SUMIFS('Vols additionnels'!$E$7:$E$66,'Vols additionnels'!$C$7:$C$66,$E635,'Vols additionnels'!$D$7:$D$66,$F635,'Vols additionnels'!$B$7:$B$66,$D635)</f>
        <v>0</v>
      </c>
      <c r="H635" s="135" t="n">
        <f aca="false">$G635*'Analyse capacite'!$F$7</f>
        <v>0</v>
      </c>
      <c r="I635" s="135" t="n">
        <f aca="false">$G635*'Analyse capacite'!$C$7</f>
        <v>0</v>
      </c>
      <c r="J635" s="135" t="n">
        <f aca="false">$G635*'Analyse capacite'!$D$7</f>
        <v>0</v>
      </c>
      <c r="K635" s="135" t="n">
        <f aca="false">$G635*'Analyse capacite'!$E$7</f>
        <v>0</v>
      </c>
    </row>
    <row r="636" customFormat="false" ht="15" hidden="false" customHeight="false" outlineLevel="0" collapsed="false">
      <c r="B636" s="130" t="n">
        <v>2027</v>
      </c>
      <c r="C636" s="131" t="s">
        <v>246</v>
      </c>
      <c r="D636" s="132" t="n">
        <v>46495</v>
      </c>
      <c r="E636" s="131" t="s">
        <v>46</v>
      </c>
      <c r="F636" s="133" t="s">
        <v>19</v>
      </c>
      <c r="G636" s="134" t="n">
        <f aca="false">LEN('Saisie programme'!$J$32)+SUMIFS('Vols additionnels'!$E$7:$E$66,'Vols additionnels'!$C$7:$C$66,$E636,'Vols additionnels'!$D$7:$D$66,$F636,'Vols additionnels'!$B$7:$B$66,$D636)</f>
        <v>0</v>
      </c>
      <c r="H636" s="135" t="n">
        <f aca="false">$G636*'Analyse capacite'!$F$8</f>
        <v>0</v>
      </c>
      <c r="I636" s="135" t="n">
        <f aca="false">$G636*'Analyse capacite'!$C$8</f>
        <v>0</v>
      </c>
      <c r="J636" s="135" t="n">
        <f aca="false">$G636*'Analyse capacite'!$D$8</f>
        <v>0</v>
      </c>
      <c r="K636" s="135" t="n">
        <f aca="false">$G636*'Analyse capacite'!$E$8</f>
        <v>0</v>
      </c>
    </row>
    <row r="637" customFormat="false" ht="15" hidden="false" customHeight="false" outlineLevel="0" collapsed="false">
      <c r="B637" s="130" t="n">
        <v>2027</v>
      </c>
      <c r="C637" s="131" t="s">
        <v>246</v>
      </c>
      <c r="D637" s="132" t="n">
        <v>46495</v>
      </c>
      <c r="E637" s="131" t="s">
        <v>46</v>
      </c>
      <c r="F637" s="133" t="s">
        <v>24</v>
      </c>
      <c r="G637" s="134" t="n">
        <f aca="false">LEN('Saisie programme'!$J$33)+SUMIFS('Vols additionnels'!$E$7:$E$66,'Vols additionnels'!$C$7:$C$66,$E637,'Vols additionnels'!$D$7:$D$66,$F637,'Vols additionnels'!$B$7:$B$66,$D637)</f>
        <v>0</v>
      </c>
      <c r="H637" s="135" t="n">
        <f aca="false">$G637*'Analyse capacite'!$F$9</f>
        <v>0</v>
      </c>
      <c r="I637" s="135" t="n">
        <f aca="false">$G637*'Analyse capacite'!$C$9</f>
        <v>0</v>
      </c>
      <c r="J637" s="135" t="n">
        <f aca="false">$G637*'Analyse capacite'!$D$9</f>
        <v>0</v>
      </c>
      <c r="K637" s="135" t="n">
        <f aca="false">$G637*'Analyse capacite'!$E$9</f>
        <v>0</v>
      </c>
    </row>
    <row r="638" customFormat="false" ht="15" hidden="false" customHeight="false" outlineLevel="0" collapsed="false">
      <c r="B638" s="130" t="n">
        <v>2027</v>
      </c>
      <c r="C638" s="131" t="s">
        <v>246</v>
      </c>
      <c r="D638" s="132" t="n">
        <v>46495</v>
      </c>
      <c r="E638" s="131" t="s">
        <v>49</v>
      </c>
      <c r="F638" s="133" t="s">
        <v>11</v>
      </c>
      <c r="G638" s="134" t="n">
        <f aca="false">LEN('Saisie programme'!$J$34)+SUMIFS('Vols additionnels'!$E$7:$E$66,'Vols additionnels'!$C$7:$C$66,$E638,'Vols additionnels'!$D$7:$D$66,$F638,'Vols additionnels'!$B$7:$B$66,$D638)</f>
        <v>0</v>
      </c>
      <c r="H638" s="135" t="n">
        <f aca="false">$G638*'Analyse capacite'!$F$7</f>
        <v>0</v>
      </c>
      <c r="I638" s="135" t="n">
        <f aca="false">$G638*'Analyse capacite'!$C$7</f>
        <v>0</v>
      </c>
      <c r="J638" s="135" t="n">
        <f aca="false">$G638*'Analyse capacite'!$D$7</f>
        <v>0</v>
      </c>
      <c r="K638" s="135" t="n">
        <f aca="false">$G638*'Analyse capacite'!$E$7</f>
        <v>0</v>
      </c>
    </row>
    <row r="639" customFormat="false" ht="15" hidden="false" customHeight="false" outlineLevel="0" collapsed="false">
      <c r="B639" s="130" t="n">
        <v>2027</v>
      </c>
      <c r="C639" s="131" t="s">
        <v>246</v>
      </c>
      <c r="D639" s="132" t="n">
        <v>46495</v>
      </c>
      <c r="E639" s="131" t="s">
        <v>49</v>
      </c>
      <c r="F639" s="133" t="s">
        <v>19</v>
      </c>
      <c r="G639" s="134" t="n">
        <f aca="false">LEN('Saisie programme'!$J$35)+SUMIFS('Vols additionnels'!$E$7:$E$66,'Vols additionnels'!$C$7:$C$66,$E639,'Vols additionnels'!$D$7:$D$66,$F639,'Vols additionnels'!$B$7:$B$66,$D639)</f>
        <v>0</v>
      </c>
      <c r="H639" s="135" t="n">
        <f aca="false">$G639*'Analyse capacite'!$F$8</f>
        <v>0</v>
      </c>
      <c r="I639" s="135" t="n">
        <f aca="false">$G639*'Analyse capacite'!$C$8</f>
        <v>0</v>
      </c>
      <c r="J639" s="135" t="n">
        <f aca="false">$G639*'Analyse capacite'!$D$8</f>
        <v>0</v>
      </c>
      <c r="K639" s="135" t="n">
        <f aca="false">$G639*'Analyse capacite'!$E$8</f>
        <v>0</v>
      </c>
    </row>
    <row r="640" customFormat="false" ht="15" hidden="false" customHeight="false" outlineLevel="0" collapsed="false">
      <c r="B640" s="130" t="n">
        <v>2027</v>
      </c>
      <c r="C640" s="131" t="s">
        <v>246</v>
      </c>
      <c r="D640" s="132" t="n">
        <v>46495</v>
      </c>
      <c r="E640" s="131" t="s">
        <v>49</v>
      </c>
      <c r="F640" s="133" t="s">
        <v>24</v>
      </c>
      <c r="G640" s="134" t="n">
        <f aca="false">LEN('Saisie programme'!$J$36)+SUMIFS('Vols additionnels'!$E$7:$E$66,'Vols additionnels'!$C$7:$C$66,$E640,'Vols additionnels'!$D$7:$D$66,$F640,'Vols additionnels'!$B$7:$B$66,$D640)</f>
        <v>0</v>
      </c>
      <c r="H640" s="135" t="n">
        <f aca="false">$G640*'Analyse capacite'!$F$9</f>
        <v>0</v>
      </c>
      <c r="I640" s="135" t="n">
        <f aca="false">$G640*'Analyse capacite'!$C$9</f>
        <v>0</v>
      </c>
      <c r="J640" s="135" t="n">
        <f aca="false">$G640*'Analyse capacite'!$D$9</f>
        <v>0</v>
      </c>
      <c r="K640" s="135" t="n">
        <f aca="false">$G640*'Analyse capacite'!$E$9</f>
        <v>0</v>
      </c>
    </row>
    <row r="641" customFormat="false" ht="15" hidden="false" customHeight="false" outlineLevel="0" collapsed="false">
      <c r="B641" s="130" t="n">
        <v>2027</v>
      </c>
      <c r="C641" s="131" t="s">
        <v>246</v>
      </c>
      <c r="D641" s="132" t="n">
        <v>46495</v>
      </c>
      <c r="E641" s="131" t="s">
        <v>53</v>
      </c>
      <c r="F641" s="133" t="s">
        <v>11</v>
      </c>
      <c r="G641" s="134" t="n">
        <f aca="false">LEN('Saisie programme'!$J$37)+SUMIFS('Vols additionnels'!$E$7:$E$66,'Vols additionnels'!$C$7:$C$66,$E641,'Vols additionnels'!$D$7:$D$66,$F641,'Vols additionnels'!$B$7:$B$66,$D641)</f>
        <v>0</v>
      </c>
      <c r="H641" s="135" t="n">
        <f aca="false">$G641*'Analyse capacite'!$F$7</f>
        <v>0</v>
      </c>
      <c r="I641" s="135" t="n">
        <f aca="false">$G641*'Analyse capacite'!$C$7</f>
        <v>0</v>
      </c>
      <c r="J641" s="135" t="n">
        <f aca="false">$G641*'Analyse capacite'!$D$7</f>
        <v>0</v>
      </c>
      <c r="K641" s="135" t="n">
        <f aca="false">$G641*'Analyse capacite'!$E$7</f>
        <v>0</v>
      </c>
    </row>
    <row r="642" customFormat="false" ht="15" hidden="false" customHeight="false" outlineLevel="0" collapsed="false">
      <c r="B642" s="130" t="n">
        <v>2027</v>
      </c>
      <c r="C642" s="131" t="s">
        <v>246</v>
      </c>
      <c r="D642" s="132" t="n">
        <v>46495</v>
      </c>
      <c r="E642" s="131" t="s">
        <v>53</v>
      </c>
      <c r="F642" s="133" t="s">
        <v>19</v>
      </c>
      <c r="G642" s="134" t="n">
        <f aca="false">LEN('Saisie programme'!$J$38)+SUMIFS('Vols additionnels'!$E$7:$E$66,'Vols additionnels'!$C$7:$C$66,$E642,'Vols additionnels'!$D$7:$D$66,$F642,'Vols additionnels'!$B$7:$B$66,$D642)</f>
        <v>0</v>
      </c>
      <c r="H642" s="135" t="n">
        <f aca="false">$G642*'Analyse capacite'!$F$8</f>
        <v>0</v>
      </c>
      <c r="I642" s="135" t="n">
        <f aca="false">$G642*'Analyse capacite'!$C$8</f>
        <v>0</v>
      </c>
      <c r="J642" s="135" t="n">
        <f aca="false">$G642*'Analyse capacite'!$D$8</f>
        <v>0</v>
      </c>
      <c r="K642" s="135" t="n">
        <f aca="false">$G642*'Analyse capacite'!$E$8</f>
        <v>0</v>
      </c>
    </row>
    <row r="643" customFormat="false" ht="15" hidden="false" customHeight="false" outlineLevel="0" collapsed="false">
      <c r="B643" s="130" t="n">
        <v>2027</v>
      </c>
      <c r="C643" s="131" t="s">
        <v>246</v>
      </c>
      <c r="D643" s="132" t="n">
        <v>46495</v>
      </c>
      <c r="E643" s="131" t="s">
        <v>53</v>
      </c>
      <c r="F643" s="133" t="s">
        <v>24</v>
      </c>
      <c r="G643" s="134" t="n">
        <f aca="false">LEN('Saisie programme'!$J$39)+SUMIFS('Vols additionnels'!$E$7:$E$66,'Vols additionnels'!$C$7:$C$66,$E643,'Vols additionnels'!$D$7:$D$66,$F643,'Vols additionnels'!$B$7:$B$66,$D643)</f>
        <v>0</v>
      </c>
      <c r="H643" s="135" t="n">
        <f aca="false">$G643*'Analyse capacite'!$F$9</f>
        <v>0</v>
      </c>
      <c r="I643" s="135" t="n">
        <f aca="false">$G643*'Analyse capacite'!$C$9</f>
        <v>0</v>
      </c>
      <c r="J643" s="135" t="n">
        <f aca="false">$G643*'Analyse capacite'!$D$9</f>
        <v>0</v>
      </c>
      <c r="K643" s="135" t="n">
        <f aca="false">$G643*'Analyse capacite'!$E$9</f>
        <v>0</v>
      </c>
    </row>
    <row r="644" customFormat="false" ht="15" hidden="false" customHeight="false" outlineLevel="0" collapsed="false">
      <c r="B644" s="130" t="n">
        <v>2027</v>
      </c>
      <c r="C644" s="131" t="s">
        <v>246</v>
      </c>
      <c r="D644" s="132" t="n">
        <v>46495</v>
      </c>
      <c r="E644" s="131" t="s">
        <v>56</v>
      </c>
      <c r="F644" s="133" t="s">
        <v>11</v>
      </c>
      <c r="G644" s="134" t="n">
        <f aca="false">LEN('Saisie programme'!$J$40)+SUMIFS('Vols additionnels'!$E$7:$E$66,'Vols additionnels'!$C$7:$C$66,$E644,'Vols additionnels'!$D$7:$D$66,$F644,'Vols additionnels'!$B$7:$B$66,$D644)</f>
        <v>0</v>
      </c>
      <c r="H644" s="135" t="n">
        <f aca="false">$G644*'Analyse capacite'!$F$7</f>
        <v>0</v>
      </c>
      <c r="I644" s="135" t="n">
        <f aca="false">$G644*'Analyse capacite'!$C$7</f>
        <v>0</v>
      </c>
      <c r="J644" s="135" t="n">
        <f aca="false">$G644*'Analyse capacite'!$D$7</f>
        <v>0</v>
      </c>
      <c r="K644" s="135" t="n">
        <f aca="false">$G644*'Analyse capacite'!$E$7</f>
        <v>0</v>
      </c>
    </row>
    <row r="645" customFormat="false" ht="15" hidden="false" customHeight="false" outlineLevel="0" collapsed="false">
      <c r="B645" s="130" t="n">
        <v>2027</v>
      </c>
      <c r="C645" s="131" t="s">
        <v>246</v>
      </c>
      <c r="D645" s="132" t="n">
        <v>46495</v>
      </c>
      <c r="E645" s="131" t="s">
        <v>56</v>
      </c>
      <c r="F645" s="133" t="s">
        <v>19</v>
      </c>
      <c r="G645" s="134" t="n">
        <f aca="false">LEN('Saisie programme'!$J$41)+SUMIFS('Vols additionnels'!$E$7:$E$66,'Vols additionnels'!$C$7:$C$66,$E645,'Vols additionnels'!$D$7:$D$66,$F645,'Vols additionnels'!$B$7:$B$66,$D645)</f>
        <v>0</v>
      </c>
      <c r="H645" s="135" t="n">
        <f aca="false">$G645*'Analyse capacite'!$F$8</f>
        <v>0</v>
      </c>
      <c r="I645" s="135" t="n">
        <f aca="false">$G645*'Analyse capacite'!$C$8</f>
        <v>0</v>
      </c>
      <c r="J645" s="135" t="n">
        <f aca="false">$G645*'Analyse capacite'!$D$8</f>
        <v>0</v>
      </c>
      <c r="K645" s="135" t="n">
        <f aca="false">$G645*'Analyse capacite'!$E$8</f>
        <v>0</v>
      </c>
    </row>
    <row r="646" customFormat="false" ht="15" hidden="false" customHeight="false" outlineLevel="0" collapsed="false">
      <c r="B646" s="130" t="n">
        <v>2027</v>
      </c>
      <c r="C646" s="131" t="s">
        <v>246</v>
      </c>
      <c r="D646" s="132" t="n">
        <v>46495</v>
      </c>
      <c r="E646" s="131" t="s">
        <v>56</v>
      </c>
      <c r="F646" s="133" t="s">
        <v>24</v>
      </c>
      <c r="G646" s="134" t="n">
        <f aca="false">LEN('Saisie programme'!$J$42)+SUMIFS('Vols additionnels'!$E$7:$E$66,'Vols additionnels'!$C$7:$C$66,$E646,'Vols additionnels'!$D$7:$D$66,$F646,'Vols additionnels'!$B$7:$B$66,$D646)</f>
        <v>0</v>
      </c>
      <c r="H646" s="135" t="n">
        <f aca="false">$G646*'Analyse capacite'!$F$9</f>
        <v>0</v>
      </c>
      <c r="I646" s="135" t="n">
        <f aca="false">$G646*'Analyse capacite'!$C$9</f>
        <v>0</v>
      </c>
      <c r="J646" s="135" t="n">
        <f aca="false">$G646*'Analyse capacite'!$D$9</f>
        <v>0</v>
      </c>
      <c r="K646" s="135" t="n">
        <f aca="false">$G646*'Analyse capacite'!$E$9</f>
        <v>0</v>
      </c>
    </row>
    <row r="647" customFormat="false" ht="15" hidden="false" customHeight="false" outlineLevel="0" collapsed="false">
      <c r="B647" s="130" t="n">
        <v>2027</v>
      </c>
      <c r="C647" s="131" t="s">
        <v>246</v>
      </c>
      <c r="D647" s="132" t="n">
        <v>46495</v>
      </c>
      <c r="E647" s="131" t="s">
        <v>59</v>
      </c>
      <c r="F647" s="133" t="s">
        <v>11</v>
      </c>
      <c r="G647" s="134" t="n">
        <f aca="false">LEN('Saisie programme'!$J$43)+SUMIFS('Vols additionnels'!$E$7:$E$66,'Vols additionnels'!$C$7:$C$66,$E647,'Vols additionnels'!$D$7:$D$66,$F647,'Vols additionnels'!$B$7:$B$66,$D647)</f>
        <v>0</v>
      </c>
      <c r="H647" s="135" t="n">
        <f aca="false">$G647*'Analyse capacite'!$F$7</f>
        <v>0</v>
      </c>
      <c r="I647" s="135" t="n">
        <f aca="false">$G647*'Analyse capacite'!$C$7</f>
        <v>0</v>
      </c>
      <c r="J647" s="135" t="n">
        <f aca="false">$G647*'Analyse capacite'!$D$7</f>
        <v>0</v>
      </c>
      <c r="K647" s="135" t="n">
        <f aca="false">$G647*'Analyse capacite'!$E$7</f>
        <v>0</v>
      </c>
    </row>
    <row r="648" customFormat="false" ht="15" hidden="false" customHeight="false" outlineLevel="0" collapsed="false">
      <c r="B648" s="130" t="n">
        <v>2027</v>
      </c>
      <c r="C648" s="131" t="s">
        <v>246</v>
      </c>
      <c r="D648" s="132" t="n">
        <v>46495</v>
      </c>
      <c r="E648" s="131" t="s">
        <v>59</v>
      </c>
      <c r="F648" s="133" t="s">
        <v>19</v>
      </c>
      <c r="G648" s="134" t="n">
        <f aca="false">LEN('Saisie programme'!$J$44)+SUMIFS('Vols additionnels'!$E$7:$E$66,'Vols additionnels'!$C$7:$C$66,$E648,'Vols additionnels'!$D$7:$D$66,$F648,'Vols additionnels'!$B$7:$B$66,$D648)</f>
        <v>0</v>
      </c>
      <c r="H648" s="135" t="n">
        <f aca="false">$G648*'Analyse capacite'!$F$8</f>
        <v>0</v>
      </c>
      <c r="I648" s="135" t="n">
        <f aca="false">$G648*'Analyse capacite'!$C$8</f>
        <v>0</v>
      </c>
      <c r="J648" s="135" t="n">
        <f aca="false">$G648*'Analyse capacite'!$D$8</f>
        <v>0</v>
      </c>
      <c r="K648" s="135" t="n">
        <f aca="false">$G648*'Analyse capacite'!$E$8</f>
        <v>0</v>
      </c>
    </row>
    <row r="649" customFormat="false" ht="15" hidden="false" customHeight="false" outlineLevel="0" collapsed="false">
      <c r="B649" s="130" t="n">
        <v>2027</v>
      </c>
      <c r="C649" s="131" t="s">
        <v>246</v>
      </c>
      <c r="D649" s="132" t="n">
        <v>46495</v>
      </c>
      <c r="E649" s="131" t="s">
        <v>59</v>
      </c>
      <c r="F649" s="133" t="s">
        <v>24</v>
      </c>
      <c r="G649" s="134" t="n">
        <f aca="false">LEN('Saisie programme'!$J$45)+SUMIFS('Vols additionnels'!$E$7:$E$66,'Vols additionnels'!$C$7:$C$66,$E649,'Vols additionnels'!$D$7:$D$66,$F649,'Vols additionnels'!$B$7:$B$66,$D649)</f>
        <v>0</v>
      </c>
      <c r="H649" s="135" t="n">
        <f aca="false">$G649*'Analyse capacite'!$F$9</f>
        <v>0</v>
      </c>
      <c r="I649" s="135" t="n">
        <f aca="false">$G649*'Analyse capacite'!$C$9</f>
        <v>0</v>
      </c>
      <c r="J649" s="135" t="n">
        <f aca="false">$G649*'Analyse capacite'!$D$9</f>
        <v>0</v>
      </c>
      <c r="K649" s="135" t="n">
        <f aca="false">$G649*'Analyse capacite'!$E$9</f>
        <v>0</v>
      </c>
    </row>
    <row r="650" customFormat="false" ht="15" hidden="false" customHeight="false" outlineLevel="0" collapsed="false">
      <c r="B650" s="130" t="n">
        <v>2027</v>
      </c>
      <c r="C650" s="131" t="s">
        <v>246</v>
      </c>
      <c r="D650" s="132" t="n">
        <v>46495</v>
      </c>
      <c r="E650" s="131" t="s">
        <v>62</v>
      </c>
      <c r="F650" s="133" t="s">
        <v>11</v>
      </c>
      <c r="G650" s="134" t="n">
        <f aca="false">LEN('Saisie programme'!$J$46)+SUMIFS('Vols additionnels'!$E$7:$E$66,'Vols additionnels'!$C$7:$C$66,$E650,'Vols additionnels'!$D$7:$D$66,$F650,'Vols additionnels'!$B$7:$B$66,$D650)</f>
        <v>0</v>
      </c>
      <c r="H650" s="135" t="n">
        <f aca="false">$G650*'Analyse capacite'!$F$7</f>
        <v>0</v>
      </c>
      <c r="I650" s="135" t="n">
        <f aca="false">$G650*'Analyse capacite'!$C$7</f>
        <v>0</v>
      </c>
      <c r="J650" s="135" t="n">
        <f aca="false">$G650*'Analyse capacite'!$D$7</f>
        <v>0</v>
      </c>
      <c r="K650" s="135" t="n">
        <f aca="false">$G650*'Analyse capacite'!$E$7</f>
        <v>0</v>
      </c>
    </row>
    <row r="651" customFormat="false" ht="15" hidden="false" customHeight="false" outlineLevel="0" collapsed="false">
      <c r="B651" s="130" t="n">
        <v>2027</v>
      </c>
      <c r="C651" s="131" t="s">
        <v>246</v>
      </c>
      <c r="D651" s="132" t="n">
        <v>46495</v>
      </c>
      <c r="E651" s="131" t="s">
        <v>62</v>
      </c>
      <c r="F651" s="133" t="s">
        <v>19</v>
      </c>
      <c r="G651" s="134" t="n">
        <f aca="false">LEN('Saisie programme'!$J$47)+SUMIFS('Vols additionnels'!$E$7:$E$66,'Vols additionnels'!$C$7:$C$66,$E651,'Vols additionnels'!$D$7:$D$66,$F651,'Vols additionnels'!$B$7:$B$66,$D651)</f>
        <v>0</v>
      </c>
      <c r="H651" s="135" t="n">
        <f aca="false">$G651*'Analyse capacite'!$F$8</f>
        <v>0</v>
      </c>
      <c r="I651" s="135" t="n">
        <f aca="false">$G651*'Analyse capacite'!$C$8</f>
        <v>0</v>
      </c>
      <c r="J651" s="135" t="n">
        <f aca="false">$G651*'Analyse capacite'!$D$8</f>
        <v>0</v>
      </c>
      <c r="K651" s="135" t="n">
        <f aca="false">$G651*'Analyse capacite'!$E$8</f>
        <v>0</v>
      </c>
    </row>
    <row r="652" customFormat="false" ht="15" hidden="false" customHeight="false" outlineLevel="0" collapsed="false">
      <c r="B652" s="130" t="n">
        <v>2027</v>
      </c>
      <c r="C652" s="131" t="s">
        <v>246</v>
      </c>
      <c r="D652" s="132" t="n">
        <v>46495</v>
      </c>
      <c r="E652" s="131" t="s">
        <v>62</v>
      </c>
      <c r="F652" s="133" t="s">
        <v>24</v>
      </c>
      <c r="G652" s="134" t="n">
        <f aca="false">LEN('Saisie programme'!$J$48)+SUMIFS('Vols additionnels'!$E$7:$E$66,'Vols additionnels'!$C$7:$C$66,$E652,'Vols additionnels'!$D$7:$D$66,$F652,'Vols additionnels'!$B$7:$B$66,$D652)</f>
        <v>1</v>
      </c>
      <c r="H652" s="135" t="n">
        <f aca="false">$G652*'Analyse capacite'!$F$9</f>
        <v>174</v>
      </c>
      <c r="I652" s="135" t="n">
        <f aca="false">$G652*'Analyse capacite'!$C$9</f>
        <v>0</v>
      </c>
      <c r="J652" s="135" t="n">
        <f aca="false">$G652*'Analyse capacite'!$D$9</f>
        <v>12</v>
      </c>
      <c r="K652" s="135" t="n">
        <f aca="false">$G652*'Analyse capacite'!$E$9</f>
        <v>162</v>
      </c>
    </row>
    <row r="653" customFormat="false" ht="15" hidden="false" customHeight="false" outlineLevel="0" collapsed="false">
      <c r="B653" s="130" t="n">
        <v>2027</v>
      </c>
      <c r="C653" s="131" t="s">
        <v>246</v>
      </c>
      <c r="D653" s="132" t="n">
        <v>46496</v>
      </c>
      <c r="E653" s="131" t="s">
        <v>12</v>
      </c>
      <c r="F653" s="133" t="s">
        <v>11</v>
      </c>
      <c r="G653" s="134" t="n">
        <f aca="false">LEN('Saisie programme'!$D$13)+SUMIFS('Vols additionnels'!$E$7:$E$66,'Vols additionnels'!$C$7:$C$66,$E653,'Vols additionnels'!$D$7:$D$66,$F653,'Vols additionnels'!$B$7:$B$66,$D653)</f>
        <v>1</v>
      </c>
      <c r="H653" s="135" t="n">
        <f aca="false">$G653*'Analyse capacite'!$F$7</f>
        <v>438</v>
      </c>
      <c r="I653" s="135" t="n">
        <f aca="false">$G653*'Analyse capacite'!$C$7</f>
        <v>14</v>
      </c>
      <c r="J653" s="135" t="n">
        <f aca="false">$G653*'Analyse capacite'!$D$7</f>
        <v>40</v>
      </c>
      <c r="K653" s="135" t="n">
        <f aca="false">$G653*'Analyse capacite'!$E$7</f>
        <v>384</v>
      </c>
    </row>
    <row r="654" customFormat="false" ht="15" hidden="false" customHeight="false" outlineLevel="0" collapsed="false">
      <c r="B654" s="130" t="n">
        <v>2027</v>
      </c>
      <c r="C654" s="131" t="s">
        <v>246</v>
      </c>
      <c r="D654" s="132" t="n">
        <v>46496</v>
      </c>
      <c r="E654" s="131" t="s">
        <v>12</v>
      </c>
      <c r="F654" s="133" t="s">
        <v>19</v>
      </c>
      <c r="G654" s="134" t="n">
        <f aca="false">LEN('Saisie programme'!$D$14)+SUMIFS('Vols additionnels'!$E$7:$E$66,'Vols additionnels'!$C$7:$C$66,$E654,'Vols additionnels'!$D$7:$D$66,$F654,'Vols additionnels'!$B$7:$B$66,$D654)</f>
        <v>1</v>
      </c>
      <c r="H654" s="135" t="n">
        <f aca="false">$G654*'Analyse capacite'!$F$8</f>
        <v>262</v>
      </c>
      <c r="I654" s="135" t="n">
        <f aca="false">$G654*'Analyse capacite'!$C$8</f>
        <v>18</v>
      </c>
      <c r="J654" s="135" t="n">
        <f aca="false">$G654*'Analyse capacite'!$D$8</f>
        <v>0</v>
      </c>
      <c r="K654" s="135" t="n">
        <f aca="false">$G654*'Analyse capacite'!$E$8</f>
        <v>244</v>
      </c>
    </row>
    <row r="655" customFormat="false" ht="15" hidden="false" customHeight="false" outlineLevel="0" collapsed="false">
      <c r="B655" s="130" t="n">
        <v>2027</v>
      </c>
      <c r="C655" s="131" t="s">
        <v>246</v>
      </c>
      <c r="D655" s="132" t="n">
        <v>46496</v>
      </c>
      <c r="E655" s="131" t="s">
        <v>12</v>
      </c>
      <c r="F655" s="133" t="s">
        <v>24</v>
      </c>
      <c r="G655" s="134" t="n">
        <f aca="false">LEN('Saisie programme'!$D$15)+SUMIFS('Vols additionnels'!$E$7:$E$66,'Vols additionnels'!$C$7:$C$66,$E655,'Vols additionnels'!$D$7:$D$66,$F655,'Vols additionnels'!$B$7:$B$66,$D655)</f>
        <v>2</v>
      </c>
      <c r="H655" s="135" t="n">
        <f aca="false">$G655*'Analyse capacite'!$F$9</f>
        <v>348</v>
      </c>
      <c r="I655" s="135" t="n">
        <f aca="false">$G655*'Analyse capacite'!$C$9</f>
        <v>0</v>
      </c>
      <c r="J655" s="135" t="n">
        <f aca="false">$G655*'Analyse capacite'!$D$9</f>
        <v>24</v>
      </c>
      <c r="K655" s="135" t="n">
        <f aca="false">$G655*'Analyse capacite'!$E$9</f>
        <v>324</v>
      </c>
    </row>
    <row r="656" customFormat="false" ht="15" hidden="false" customHeight="false" outlineLevel="0" collapsed="false">
      <c r="B656" s="130" t="n">
        <v>2027</v>
      </c>
      <c r="C656" s="131" t="s">
        <v>246</v>
      </c>
      <c r="D656" s="132" t="n">
        <v>46496</v>
      </c>
      <c r="E656" s="131" t="s">
        <v>20</v>
      </c>
      <c r="F656" s="133" t="s">
        <v>11</v>
      </c>
      <c r="G656" s="134" t="n">
        <f aca="false">LEN('Saisie programme'!$D$16)+SUMIFS('Vols additionnels'!$E$7:$E$66,'Vols additionnels'!$C$7:$C$66,$E656,'Vols additionnels'!$D$7:$D$66,$F656,'Vols additionnels'!$B$7:$B$66,$D656)</f>
        <v>0</v>
      </c>
      <c r="H656" s="135" t="n">
        <f aca="false">$G656*'Analyse capacite'!$F$7</f>
        <v>0</v>
      </c>
      <c r="I656" s="135" t="n">
        <f aca="false">$G656*'Analyse capacite'!$C$7</f>
        <v>0</v>
      </c>
      <c r="J656" s="135" t="n">
        <f aca="false">$G656*'Analyse capacite'!$D$7</f>
        <v>0</v>
      </c>
      <c r="K656" s="135" t="n">
        <f aca="false">$G656*'Analyse capacite'!$E$7</f>
        <v>0</v>
      </c>
    </row>
    <row r="657" customFormat="false" ht="15" hidden="false" customHeight="false" outlineLevel="0" collapsed="false">
      <c r="B657" s="130" t="n">
        <v>2027</v>
      </c>
      <c r="C657" s="131" t="s">
        <v>246</v>
      </c>
      <c r="D657" s="132" t="n">
        <v>46496</v>
      </c>
      <c r="E657" s="131" t="s">
        <v>20</v>
      </c>
      <c r="F657" s="133" t="s">
        <v>19</v>
      </c>
      <c r="G657" s="134" t="n">
        <f aca="false">LEN('Saisie programme'!$D$17)+SUMIFS('Vols additionnels'!$E$7:$E$66,'Vols additionnels'!$C$7:$C$66,$E657,'Vols additionnels'!$D$7:$D$66,$F657,'Vols additionnels'!$B$7:$B$66,$D657)</f>
        <v>0</v>
      </c>
      <c r="H657" s="135" t="n">
        <f aca="false">$G657*'Analyse capacite'!$F$8</f>
        <v>0</v>
      </c>
      <c r="I657" s="135" t="n">
        <f aca="false">$G657*'Analyse capacite'!$C$8</f>
        <v>0</v>
      </c>
      <c r="J657" s="135" t="n">
        <f aca="false">$G657*'Analyse capacite'!$D$8</f>
        <v>0</v>
      </c>
      <c r="K657" s="135" t="n">
        <f aca="false">$G657*'Analyse capacite'!$E$8</f>
        <v>0</v>
      </c>
    </row>
    <row r="658" customFormat="false" ht="15" hidden="false" customHeight="false" outlineLevel="0" collapsed="false">
      <c r="B658" s="130" t="n">
        <v>2027</v>
      </c>
      <c r="C658" s="131" t="s">
        <v>246</v>
      </c>
      <c r="D658" s="132" t="n">
        <v>46496</v>
      </c>
      <c r="E658" s="131" t="s">
        <v>20</v>
      </c>
      <c r="F658" s="133" t="s">
        <v>24</v>
      </c>
      <c r="G658" s="134" t="n">
        <f aca="false">LEN('Saisie programme'!$D$18)+SUMIFS('Vols additionnels'!$E$7:$E$66,'Vols additionnels'!$C$7:$C$66,$E658,'Vols additionnels'!$D$7:$D$66,$F658,'Vols additionnels'!$B$7:$B$66,$D658)</f>
        <v>0</v>
      </c>
      <c r="H658" s="135" t="n">
        <f aca="false">$G658*'Analyse capacite'!$F$9</f>
        <v>0</v>
      </c>
      <c r="I658" s="135" t="n">
        <f aca="false">$G658*'Analyse capacite'!$C$9</f>
        <v>0</v>
      </c>
      <c r="J658" s="135" t="n">
        <f aca="false">$G658*'Analyse capacite'!$D$9</f>
        <v>0</v>
      </c>
      <c r="K658" s="135" t="n">
        <f aca="false">$G658*'Analyse capacite'!$E$9</f>
        <v>0</v>
      </c>
    </row>
    <row r="659" customFormat="false" ht="15" hidden="false" customHeight="false" outlineLevel="0" collapsed="false">
      <c r="B659" s="130" t="n">
        <v>2027</v>
      </c>
      <c r="C659" s="131" t="s">
        <v>246</v>
      </c>
      <c r="D659" s="132" t="n">
        <v>46496</v>
      </c>
      <c r="E659" s="131" t="s">
        <v>25</v>
      </c>
      <c r="F659" s="133" t="s">
        <v>11</v>
      </c>
      <c r="G659" s="134" t="n">
        <f aca="false">LEN('Saisie programme'!$D$19)+SUMIFS('Vols additionnels'!$E$7:$E$66,'Vols additionnels'!$C$7:$C$66,$E659,'Vols additionnels'!$D$7:$D$66,$F659,'Vols additionnels'!$B$7:$B$66,$D659)</f>
        <v>0</v>
      </c>
      <c r="H659" s="135" t="n">
        <f aca="false">$G659*'Analyse capacite'!$F$7</f>
        <v>0</v>
      </c>
      <c r="I659" s="135" t="n">
        <f aca="false">$G659*'Analyse capacite'!$C$7</f>
        <v>0</v>
      </c>
      <c r="J659" s="135" t="n">
        <f aca="false">$G659*'Analyse capacite'!$D$7</f>
        <v>0</v>
      </c>
      <c r="K659" s="135" t="n">
        <f aca="false">$G659*'Analyse capacite'!$E$7</f>
        <v>0</v>
      </c>
    </row>
    <row r="660" customFormat="false" ht="15" hidden="false" customHeight="false" outlineLevel="0" collapsed="false">
      <c r="B660" s="130" t="n">
        <v>2027</v>
      </c>
      <c r="C660" s="131" t="s">
        <v>246</v>
      </c>
      <c r="D660" s="132" t="n">
        <v>46496</v>
      </c>
      <c r="E660" s="131" t="s">
        <v>25</v>
      </c>
      <c r="F660" s="133" t="s">
        <v>19</v>
      </c>
      <c r="G660" s="134" t="n">
        <f aca="false">LEN('Saisie programme'!$D$20)+SUMIFS('Vols additionnels'!$E$7:$E$66,'Vols additionnels'!$C$7:$C$66,$E660,'Vols additionnels'!$D$7:$D$66,$F660,'Vols additionnels'!$B$7:$B$66,$D660)</f>
        <v>0</v>
      </c>
      <c r="H660" s="135" t="n">
        <f aca="false">$G660*'Analyse capacite'!$F$8</f>
        <v>0</v>
      </c>
      <c r="I660" s="135" t="n">
        <f aca="false">$G660*'Analyse capacite'!$C$8</f>
        <v>0</v>
      </c>
      <c r="J660" s="135" t="n">
        <f aca="false">$G660*'Analyse capacite'!$D$8</f>
        <v>0</v>
      </c>
      <c r="K660" s="135" t="n">
        <f aca="false">$G660*'Analyse capacite'!$E$8</f>
        <v>0</v>
      </c>
    </row>
    <row r="661" customFormat="false" ht="15" hidden="false" customHeight="false" outlineLevel="0" collapsed="false">
      <c r="B661" s="130" t="n">
        <v>2027</v>
      </c>
      <c r="C661" s="131" t="s">
        <v>246</v>
      </c>
      <c r="D661" s="132" t="n">
        <v>46496</v>
      </c>
      <c r="E661" s="131" t="s">
        <v>25</v>
      </c>
      <c r="F661" s="133" t="s">
        <v>24</v>
      </c>
      <c r="G661" s="134" t="n">
        <f aca="false">LEN('Saisie programme'!$D$21)+SUMIFS('Vols additionnels'!$E$7:$E$66,'Vols additionnels'!$C$7:$C$66,$E661,'Vols additionnels'!$D$7:$D$66,$F661,'Vols additionnels'!$B$7:$B$66,$D661)</f>
        <v>0</v>
      </c>
      <c r="H661" s="135" t="n">
        <f aca="false">$G661*'Analyse capacite'!$F$9</f>
        <v>0</v>
      </c>
      <c r="I661" s="135" t="n">
        <f aca="false">$G661*'Analyse capacite'!$C$9</f>
        <v>0</v>
      </c>
      <c r="J661" s="135" t="n">
        <f aca="false">$G661*'Analyse capacite'!$D$9</f>
        <v>0</v>
      </c>
      <c r="K661" s="135" t="n">
        <f aca="false">$G661*'Analyse capacite'!$E$9</f>
        <v>0</v>
      </c>
    </row>
    <row r="662" customFormat="false" ht="15" hidden="false" customHeight="false" outlineLevel="0" collapsed="false">
      <c r="B662" s="130" t="n">
        <v>2027</v>
      </c>
      <c r="C662" s="131" t="s">
        <v>246</v>
      </c>
      <c r="D662" s="132" t="n">
        <v>46496</v>
      </c>
      <c r="E662" s="131" t="s">
        <v>36</v>
      </c>
      <c r="F662" s="133" t="s">
        <v>11</v>
      </c>
      <c r="G662" s="134" t="n">
        <f aca="false">LEN('Saisie programme'!$D$22)+SUMIFS('Vols additionnels'!$E$7:$E$66,'Vols additionnels'!$C$7:$C$66,$E662,'Vols additionnels'!$D$7:$D$66,$F662,'Vols additionnels'!$B$7:$B$66,$D662)</f>
        <v>0</v>
      </c>
      <c r="H662" s="135" t="n">
        <f aca="false">$G662*'Analyse capacite'!$F$7</f>
        <v>0</v>
      </c>
      <c r="I662" s="135" t="n">
        <f aca="false">$G662*'Analyse capacite'!$C$7</f>
        <v>0</v>
      </c>
      <c r="J662" s="135" t="n">
        <f aca="false">$G662*'Analyse capacite'!$D$7</f>
        <v>0</v>
      </c>
      <c r="K662" s="135" t="n">
        <f aca="false">$G662*'Analyse capacite'!$E$7</f>
        <v>0</v>
      </c>
    </row>
    <row r="663" customFormat="false" ht="15" hidden="false" customHeight="false" outlineLevel="0" collapsed="false">
      <c r="B663" s="130" t="n">
        <v>2027</v>
      </c>
      <c r="C663" s="131" t="s">
        <v>246</v>
      </c>
      <c r="D663" s="132" t="n">
        <v>46496</v>
      </c>
      <c r="E663" s="131" t="s">
        <v>36</v>
      </c>
      <c r="F663" s="133" t="s">
        <v>19</v>
      </c>
      <c r="G663" s="134" t="n">
        <f aca="false">LEN('Saisie programme'!$D$23)+SUMIFS('Vols additionnels'!$E$7:$E$66,'Vols additionnels'!$C$7:$C$66,$E663,'Vols additionnels'!$D$7:$D$66,$F663,'Vols additionnels'!$B$7:$B$66,$D663)</f>
        <v>0</v>
      </c>
      <c r="H663" s="135" t="n">
        <f aca="false">$G663*'Analyse capacite'!$F$8</f>
        <v>0</v>
      </c>
      <c r="I663" s="135" t="n">
        <f aca="false">$G663*'Analyse capacite'!$C$8</f>
        <v>0</v>
      </c>
      <c r="J663" s="135" t="n">
        <f aca="false">$G663*'Analyse capacite'!$D$8</f>
        <v>0</v>
      </c>
      <c r="K663" s="135" t="n">
        <f aca="false">$G663*'Analyse capacite'!$E$8</f>
        <v>0</v>
      </c>
    </row>
    <row r="664" customFormat="false" ht="15" hidden="false" customHeight="false" outlineLevel="0" collapsed="false">
      <c r="B664" s="130" t="n">
        <v>2027</v>
      </c>
      <c r="C664" s="131" t="s">
        <v>246</v>
      </c>
      <c r="D664" s="132" t="n">
        <v>46496</v>
      </c>
      <c r="E664" s="131" t="s">
        <v>36</v>
      </c>
      <c r="F664" s="133" t="s">
        <v>24</v>
      </c>
      <c r="G664" s="134" t="n">
        <f aca="false">LEN('Saisie programme'!$D$24)+SUMIFS('Vols additionnels'!$E$7:$E$66,'Vols additionnels'!$C$7:$C$66,$E664,'Vols additionnels'!$D$7:$D$66,$F664,'Vols additionnels'!$B$7:$B$66,$D664)</f>
        <v>1</v>
      </c>
      <c r="H664" s="135" t="n">
        <f aca="false">$G664*'Analyse capacite'!$F$9</f>
        <v>174</v>
      </c>
      <c r="I664" s="135" t="n">
        <f aca="false">$G664*'Analyse capacite'!$C$9</f>
        <v>0</v>
      </c>
      <c r="J664" s="135" t="n">
        <f aca="false">$G664*'Analyse capacite'!$D$9</f>
        <v>12</v>
      </c>
      <c r="K664" s="135" t="n">
        <f aca="false">$G664*'Analyse capacite'!$E$9</f>
        <v>162</v>
      </c>
    </row>
    <row r="665" customFormat="false" ht="15" hidden="false" customHeight="false" outlineLevel="0" collapsed="false">
      <c r="B665" s="130" t="n">
        <v>2027</v>
      </c>
      <c r="C665" s="131" t="s">
        <v>246</v>
      </c>
      <c r="D665" s="132" t="n">
        <v>46496</v>
      </c>
      <c r="E665" s="131" t="s">
        <v>40</v>
      </c>
      <c r="F665" s="133" t="s">
        <v>11</v>
      </c>
      <c r="G665" s="134" t="n">
        <f aca="false">LEN('Saisie programme'!$D$25)+SUMIFS('Vols additionnels'!$E$7:$E$66,'Vols additionnels'!$C$7:$C$66,$E665,'Vols additionnels'!$D$7:$D$66,$F665,'Vols additionnels'!$B$7:$B$66,$D665)</f>
        <v>0</v>
      </c>
      <c r="H665" s="135" t="n">
        <f aca="false">$G665*'Analyse capacite'!$F$7</f>
        <v>0</v>
      </c>
      <c r="I665" s="135" t="n">
        <f aca="false">$G665*'Analyse capacite'!$C$7</f>
        <v>0</v>
      </c>
      <c r="J665" s="135" t="n">
        <f aca="false">$G665*'Analyse capacite'!$D$7</f>
        <v>0</v>
      </c>
      <c r="K665" s="135" t="n">
        <f aca="false">$G665*'Analyse capacite'!$E$7</f>
        <v>0</v>
      </c>
    </row>
    <row r="666" customFormat="false" ht="15" hidden="false" customHeight="false" outlineLevel="0" collapsed="false">
      <c r="B666" s="130" t="n">
        <v>2027</v>
      </c>
      <c r="C666" s="131" t="s">
        <v>246</v>
      </c>
      <c r="D666" s="132" t="n">
        <v>46496</v>
      </c>
      <c r="E666" s="131" t="s">
        <v>40</v>
      </c>
      <c r="F666" s="133" t="s">
        <v>19</v>
      </c>
      <c r="G666" s="134" t="n">
        <f aca="false">LEN('Saisie programme'!$D$26)+SUMIFS('Vols additionnels'!$E$7:$E$66,'Vols additionnels'!$C$7:$C$66,$E666,'Vols additionnels'!$D$7:$D$66,$F666,'Vols additionnels'!$B$7:$B$66,$D666)</f>
        <v>0</v>
      </c>
      <c r="H666" s="135" t="n">
        <f aca="false">$G666*'Analyse capacite'!$F$8</f>
        <v>0</v>
      </c>
      <c r="I666" s="135" t="n">
        <f aca="false">$G666*'Analyse capacite'!$C$8</f>
        <v>0</v>
      </c>
      <c r="J666" s="135" t="n">
        <f aca="false">$G666*'Analyse capacite'!$D$8</f>
        <v>0</v>
      </c>
      <c r="K666" s="135" t="n">
        <f aca="false">$G666*'Analyse capacite'!$E$8</f>
        <v>0</v>
      </c>
    </row>
    <row r="667" customFormat="false" ht="15" hidden="false" customHeight="false" outlineLevel="0" collapsed="false">
      <c r="B667" s="130" t="n">
        <v>2027</v>
      </c>
      <c r="C667" s="131" t="s">
        <v>246</v>
      </c>
      <c r="D667" s="132" t="n">
        <v>46496</v>
      </c>
      <c r="E667" s="131" t="s">
        <v>40</v>
      </c>
      <c r="F667" s="133" t="s">
        <v>24</v>
      </c>
      <c r="G667" s="134" t="n">
        <f aca="false">LEN('Saisie programme'!$D$27)+SUMIFS('Vols additionnels'!$E$7:$E$66,'Vols additionnels'!$C$7:$C$66,$E667,'Vols additionnels'!$D$7:$D$66,$F667,'Vols additionnels'!$B$7:$B$66,$D667)</f>
        <v>1</v>
      </c>
      <c r="H667" s="135" t="n">
        <f aca="false">$G667*'Analyse capacite'!$F$9</f>
        <v>174</v>
      </c>
      <c r="I667" s="135" t="n">
        <f aca="false">$G667*'Analyse capacite'!$C$9</f>
        <v>0</v>
      </c>
      <c r="J667" s="135" t="n">
        <f aca="false">$G667*'Analyse capacite'!$D$9</f>
        <v>12</v>
      </c>
      <c r="K667" s="135" t="n">
        <f aca="false">$G667*'Analyse capacite'!$E$9</f>
        <v>162</v>
      </c>
    </row>
    <row r="668" customFormat="false" ht="15" hidden="false" customHeight="false" outlineLevel="0" collapsed="false">
      <c r="B668" s="130" t="n">
        <v>2027</v>
      </c>
      <c r="C668" s="131" t="s">
        <v>246</v>
      </c>
      <c r="D668" s="132" t="n">
        <v>46496</v>
      </c>
      <c r="E668" s="131" t="s">
        <v>14</v>
      </c>
      <c r="F668" s="133" t="s">
        <v>11</v>
      </c>
      <c r="G668" s="134" t="n">
        <f aca="false">LEN('Saisie programme'!$D$28)+SUMIFS('Vols additionnels'!$E$7:$E$66,'Vols additionnels'!$C$7:$C$66,$E668,'Vols additionnels'!$D$7:$D$66,$F668,'Vols additionnels'!$B$7:$B$66,$D668)</f>
        <v>0</v>
      </c>
      <c r="H668" s="135" t="n">
        <f aca="false">$G668*'Analyse capacite'!$F$7</f>
        <v>0</v>
      </c>
      <c r="I668" s="135" t="n">
        <f aca="false">$G668*'Analyse capacite'!$C$7</f>
        <v>0</v>
      </c>
      <c r="J668" s="135" t="n">
        <f aca="false">$G668*'Analyse capacite'!$D$7</f>
        <v>0</v>
      </c>
      <c r="K668" s="135" t="n">
        <f aca="false">$G668*'Analyse capacite'!$E$7</f>
        <v>0</v>
      </c>
    </row>
    <row r="669" customFormat="false" ht="15" hidden="false" customHeight="false" outlineLevel="0" collapsed="false">
      <c r="B669" s="130" t="n">
        <v>2027</v>
      </c>
      <c r="C669" s="131" t="s">
        <v>246</v>
      </c>
      <c r="D669" s="132" t="n">
        <v>46496</v>
      </c>
      <c r="E669" s="131" t="s">
        <v>14</v>
      </c>
      <c r="F669" s="133" t="s">
        <v>19</v>
      </c>
      <c r="G669" s="134" t="n">
        <f aca="false">LEN('Saisie programme'!$D$29)+SUMIFS('Vols additionnels'!$E$7:$E$66,'Vols additionnels'!$C$7:$C$66,$E669,'Vols additionnels'!$D$7:$D$66,$F669,'Vols additionnels'!$B$7:$B$66,$D669)</f>
        <v>0</v>
      </c>
      <c r="H669" s="135" t="n">
        <f aca="false">$G669*'Analyse capacite'!$F$8</f>
        <v>0</v>
      </c>
      <c r="I669" s="135" t="n">
        <f aca="false">$G669*'Analyse capacite'!$C$8</f>
        <v>0</v>
      </c>
      <c r="J669" s="135" t="n">
        <f aca="false">$G669*'Analyse capacite'!$D$8</f>
        <v>0</v>
      </c>
      <c r="K669" s="135" t="n">
        <f aca="false">$G669*'Analyse capacite'!$E$8</f>
        <v>0</v>
      </c>
    </row>
    <row r="670" customFormat="false" ht="15" hidden="false" customHeight="false" outlineLevel="0" collapsed="false">
      <c r="B670" s="130" t="n">
        <v>2027</v>
      </c>
      <c r="C670" s="131" t="s">
        <v>246</v>
      </c>
      <c r="D670" s="132" t="n">
        <v>46496</v>
      </c>
      <c r="E670" s="131" t="s">
        <v>14</v>
      </c>
      <c r="F670" s="133" t="s">
        <v>24</v>
      </c>
      <c r="G670" s="134" t="n">
        <f aca="false">LEN('Saisie programme'!$D$30)+SUMIFS('Vols additionnels'!$E$7:$E$66,'Vols additionnels'!$C$7:$C$66,$E670,'Vols additionnels'!$D$7:$D$66,$F670,'Vols additionnels'!$B$7:$B$66,$D670)</f>
        <v>1</v>
      </c>
      <c r="H670" s="135" t="n">
        <f aca="false">$G670*'Analyse capacite'!$F$9</f>
        <v>174</v>
      </c>
      <c r="I670" s="135" t="n">
        <f aca="false">$G670*'Analyse capacite'!$C$9</f>
        <v>0</v>
      </c>
      <c r="J670" s="135" t="n">
        <f aca="false">$G670*'Analyse capacite'!$D$9</f>
        <v>12</v>
      </c>
      <c r="K670" s="135" t="n">
        <f aca="false">$G670*'Analyse capacite'!$E$9</f>
        <v>162</v>
      </c>
    </row>
    <row r="671" customFormat="false" ht="15" hidden="false" customHeight="false" outlineLevel="0" collapsed="false">
      <c r="B671" s="130" t="n">
        <v>2027</v>
      </c>
      <c r="C671" s="131" t="s">
        <v>246</v>
      </c>
      <c r="D671" s="132" t="n">
        <v>46496</v>
      </c>
      <c r="E671" s="131" t="s">
        <v>46</v>
      </c>
      <c r="F671" s="133" t="s">
        <v>11</v>
      </c>
      <c r="G671" s="134" t="n">
        <f aca="false">LEN('Saisie programme'!$D$31)+SUMIFS('Vols additionnels'!$E$7:$E$66,'Vols additionnels'!$C$7:$C$66,$E671,'Vols additionnels'!$D$7:$D$66,$F671,'Vols additionnels'!$B$7:$B$66,$D671)</f>
        <v>0</v>
      </c>
      <c r="H671" s="135" t="n">
        <f aca="false">$G671*'Analyse capacite'!$F$7</f>
        <v>0</v>
      </c>
      <c r="I671" s="135" t="n">
        <f aca="false">$G671*'Analyse capacite'!$C$7</f>
        <v>0</v>
      </c>
      <c r="J671" s="135" t="n">
        <f aca="false">$G671*'Analyse capacite'!$D$7</f>
        <v>0</v>
      </c>
      <c r="K671" s="135" t="n">
        <f aca="false">$G671*'Analyse capacite'!$E$7</f>
        <v>0</v>
      </c>
    </row>
    <row r="672" customFormat="false" ht="15" hidden="false" customHeight="false" outlineLevel="0" collapsed="false">
      <c r="B672" s="130" t="n">
        <v>2027</v>
      </c>
      <c r="C672" s="131" t="s">
        <v>246</v>
      </c>
      <c r="D672" s="132" t="n">
        <v>46496</v>
      </c>
      <c r="E672" s="131" t="s">
        <v>46</v>
      </c>
      <c r="F672" s="133" t="s">
        <v>19</v>
      </c>
      <c r="G672" s="134" t="n">
        <f aca="false">LEN('Saisie programme'!$D$32)+SUMIFS('Vols additionnels'!$E$7:$E$66,'Vols additionnels'!$C$7:$C$66,$E672,'Vols additionnels'!$D$7:$D$66,$F672,'Vols additionnels'!$B$7:$B$66,$D672)</f>
        <v>0</v>
      </c>
      <c r="H672" s="135" t="n">
        <f aca="false">$G672*'Analyse capacite'!$F$8</f>
        <v>0</v>
      </c>
      <c r="I672" s="135" t="n">
        <f aca="false">$G672*'Analyse capacite'!$C$8</f>
        <v>0</v>
      </c>
      <c r="J672" s="135" t="n">
        <f aca="false">$G672*'Analyse capacite'!$D$8</f>
        <v>0</v>
      </c>
      <c r="K672" s="135" t="n">
        <f aca="false">$G672*'Analyse capacite'!$E$8</f>
        <v>0</v>
      </c>
    </row>
    <row r="673" customFormat="false" ht="15" hidden="false" customHeight="false" outlineLevel="0" collapsed="false">
      <c r="B673" s="130" t="n">
        <v>2027</v>
      </c>
      <c r="C673" s="131" t="s">
        <v>246</v>
      </c>
      <c r="D673" s="132" t="n">
        <v>46496</v>
      </c>
      <c r="E673" s="131" t="s">
        <v>46</v>
      </c>
      <c r="F673" s="133" t="s">
        <v>24</v>
      </c>
      <c r="G673" s="134" t="n">
        <f aca="false">LEN('Saisie programme'!$D$33)+SUMIFS('Vols additionnels'!$E$7:$E$66,'Vols additionnels'!$C$7:$C$66,$E673,'Vols additionnels'!$D$7:$D$66,$F673,'Vols additionnels'!$B$7:$B$66,$D673)</f>
        <v>0</v>
      </c>
      <c r="H673" s="135" t="n">
        <f aca="false">$G673*'Analyse capacite'!$F$9</f>
        <v>0</v>
      </c>
      <c r="I673" s="135" t="n">
        <f aca="false">$G673*'Analyse capacite'!$C$9</f>
        <v>0</v>
      </c>
      <c r="J673" s="135" t="n">
        <f aca="false">$G673*'Analyse capacite'!$D$9</f>
        <v>0</v>
      </c>
      <c r="K673" s="135" t="n">
        <f aca="false">$G673*'Analyse capacite'!$E$9</f>
        <v>0</v>
      </c>
    </row>
    <row r="674" customFormat="false" ht="15" hidden="false" customHeight="false" outlineLevel="0" collapsed="false">
      <c r="B674" s="130" t="n">
        <v>2027</v>
      </c>
      <c r="C674" s="131" t="s">
        <v>246</v>
      </c>
      <c r="D674" s="132" t="n">
        <v>46496</v>
      </c>
      <c r="E674" s="131" t="s">
        <v>49</v>
      </c>
      <c r="F674" s="133" t="s">
        <v>11</v>
      </c>
      <c r="G674" s="134" t="n">
        <f aca="false">LEN('Saisie programme'!$D$34)+SUMIFS('Vols additionnels'!$E$7:$E$66,'Vols additionnels'!$C$7:$C$66,$E674,'Vols additionnels'!$D$7:$D$66,$F674,'Vols additionnels'!$B$7:$B$66,$D674)</f>
        <v>0</v>
      </c>
      <c r="H674" s="135" t="n">
        <f aca="false">$G674*'Analyse capacite'!$F$7</f>
        <v>0</v>
      </c>
      <c r="I674" s="135" t="n">
        <f aca="false">$G674*'Analyse capacite'!$C$7</f>
        <v>0</v>
      </c>
      <c r="J674" s="135" t="n">
        <f aca="false">$G674*'Analyse capacite'!$D$7</f>
        <v>0</v>
      </c>
      <c r="K674" s="135" t="n">
        <f aca="false">$G674*'Analyse capacite'!$E$7</f>
        <v>0</v>
      </c>
    </row>
    <row r="675" customFormat="false" ht="15" hidden="false" customHeight="false" outlineLevel="0" collapsed="false">
      <c r="B675" s="130" t="n">
        <v>2027</v>
      </c>
      <c r="C675" s="131" t="s">
        <v>246</v>
      </c>
      <c r="D675" s="132" t="n">
        <v>46496</v>
      </c>
      <c r="E675" s="131" t="s">
        <v>49</v>
      </c>
      <c r="F675" s="133" t="s">
        <v>19</v>
      </c>
      <c r="G675" s="134" t="n">
        <f aca="false">LEN('Saisie programme'!$D$35)+SUMIFS('Vols additionnels'!$E$7:$E$66,'Vols additionnels'!$C$7:$C$66,$E675,'Vols additionnels'!$D$7:$D$66,$F675,'Vols additionnels'!$B$7:$B$66,$D675)</f>
        <v>1</v>
      </c>
      <c r="H675" s="135" t="n">
        <f aca="false">$G675*'Analyse capacite'!$F$8</f>
        <v>262</v>
      </c>
      <c r="I675" s="135" t="n">
        <f aca="false">$G675*'Analyse capacite'!$C$8</f>
        <v>18</v>
      </c>
      <c r="J675" s="135" t="n">
        <f aca="false">$G675*'Analyse capacite'!$D$8</f>
        <v>0</v>
      </c>
      <c r="K675" s="135" t="n">
        <f aca="false">$G675*'Analyse capacite'!$E$8</f>
        <v>244</v>
      </c>
    </row>
    <row r="676" customFormat="false" ht="15" hidden="false" customHeight="false" outlineLevel="0" collapsed="false">
      <c r="B676" s="130" t="n">
        <v>2027</v>
      </c>
      <c r="C676" s="131" t="s">
        <v>246</v>
      </c>
      <c r="D676" s="132" t="n">
        <v>46496</v>
      </c>
      <c r="E676" s="131" t="s">
        <v>49</v>
      </c>
      <c r="F676" s="133" t="s">
        <v>24</v>
      </c>
      <c r="G676" s="134" t="n">
        <f aca="false">LEN('Saisie programme'!$D$36)+SUMIFS('Vols additionnels'!$E$7:$E$66,'Vols additionnels'!$C$7:$C$66,$E676,'Vols additionnels'!$D$7:$D$66,$F676,'Vols additionnels'!$B$7:$B$66,$D676)</f>
        <v>0</v>
      </c>
      <c r="H676" s="135" t="n">
        <f aca="false">$G676*'Analyse capacite'!$F$9</f>
        <v>0</v>
      </c>
      <c r="I676" s="135" t="n">
        <f aca="false">$G676*'Analyse capacite'!$C$9</f>
        <v>0</v>
      </c>
      <c r="J676" s="135" t="n">
        <f aca="false">$G676*'Analyse capacite'!$D$9</f>
        <v>0</v>
      </c>
      <c r="K676" s="135" t="n">
        <f aca="false">$G676*'Analyse capacite'!$E$9</f>
        <v>0</v>
      </c>
    </row>
    <row r="677" customFormat="false" ht="15" hidden="false" customHeight="false" outlineLevel="0" collapsed="false">
      <c r="B677" s="130" t="n">
        <v>2027</v>
      </c>
      <c r="C677" s="131" t="s">
        <v>246</v>
      </c>
      <c r="D677" s="132" t="n">
        <v>46496</v>
      </c>
      <c r="E677" s="131" t="s">
        <v>53</v>
      </c>
      <c r="F677" s="133" t="s">
        <v>11</v>
      </c>
      <c r="G677" s="134" t="n">
        <f aca="false">LEN('Saisie programme'!$D$37)+SUMIFS('Vols additionnels'!$E$7:$E$66,'Vols additionnels'!$C$7:$C$66,$E677,'Vols additionnels'!$D$7:$D$66,$F677,'Vols additionnels'!$B$7:$B$66,$D677)</f>
        <v>0</v>
      </c>
      <c r="H677" s="135" t="n">
        <f aca="false">$G677*'Analyse capacite'!$F$7</f>
        <v>0</v>
      </c>
      <c r="I677" s="135" t="n">
        <f aca="false">$G677*'Analyse capacite'!$C$7</f>
        <v>0</v>
      </c>
      <c r="J677" s="135" t="n">
        <f aca="false">$G677*'Analyse capacite'!$D$7</f>
        <v>0</v>
      </c>
      <c r="K677" s="135" t="n">
        <f aca="false">$G677*'Analyse capacite'!$E$7</f>
        <v>0</v>
      </c>
    </row>
    <row r="678" customFormat="false" ht="15" hidden="false" customHeight="false" outlineLevel="0" collapsed="false">
      <c r="B678" s="130" t="n">
        <v>2027</v>
      </c>
      <c r="C678" s="131" t="s">
        <v>246</v>
      </c>
      <c r="D678" s="132" t="n">
        <v>46496</v>
      </c>
      <c r="E678" s="131" t="s">
        <v>53</v>
      </c>
      <c r="F678" s="133" t="s">
        <v>19</v>
      </c>
      <c r="G678" s="134" t="n">
        <f aca="false">LEN('Saisie programme'!$D$38)+SUMIFS('Vols additionnels'!$E$7:$E$66,'Vols additionnels'!$C$7:$C$66,$E678,'Vols additionnels'!$D$7:$D$66,$F678,'Vols additionnels'!$B$7:$B$66,$D678)</f>
        <v>0</v>
      </c>
      <c r="H678" s="135" t="n">
        <f aca="false">$G678*'Analyse capacite'!$F$8</f>
        <v>0</v>
      </c>
      <c r="I678" s="135" t="n">
        <f aca="false">$G678*'Analyse capacite'!$C$8</f>
        <v>0</v>
      </c>
      <c r="J678" s="135" t="n">
        <f aca="false">$G678*'Analyse capacite'!$D$8</f>
        <v>0</v>
      </c>
      <c r="K678" s="135" t="n">
        <f aca="false">$G678*'Analyse capacite'!$E$8</f>
        <v>0</v>
      </c>
    </row>
    <row r="679" customFormat="false" ht="15" hidden="false" customHeight="false" outlineLevel="0" collapsed="false">
      <c r="B679" s="130" t="n">
        <v>2027</v>
      </c>
      <c r="C679" s="131" t="s">
        <v>246</v>
      </c>
      <c r="D679" s="132" t="n">
        <v>46496</v>
      </c>
      <c r="E679" s="131" t="s">
        <v>53</v>
      </c>
      <c r="F679" s="133" t="s">
        <v>24</v>
      </c>
      <c r="G679" s="134" t="n">
        <f aca="false">LEN('Saisie programme'!$D$39)+SUMIFS('Vols additionnels'!$E$7:$E$66,'Vols additionnels'!$C$7:$C$66,$E679,'Vols additionnels'!$D$7:$D$66,$F679,'Vols additionnels'!$B$7:$B$66,$D679)</f>
        <v>0</v>
      </c>
      <c r="H679" s="135" t="n">
        <f aca="false">$G679*'Analyse capacite'!$F$9</f>
        <v>0</v>
      </c>
      <c r="I679" s="135" t="n">
        <f aca="false">$G679*'Analyse capacite'!$C$9</f>
        <v>0</v>
      </c>
      <c r="J679" s="135" t="n">
        <f aca="false">$G679*'Analyse capacite'!$D$9</f>
        <v>0</v>
      </c>
      <c r="K679" s="135" t="n">
        <f aca="false">$G679*'Analyse capacite'!$E$9</f>
        <v>0</v>
      </c>
    </row>
    <row r="680" customFormat="false" ht="15" hidden="false" customHeight="false" outlineLevel="0" collapsed="false">
      <c r="B680" s="130" t="n">
        <v>2027</v>
      </c>
      <c r="C680" s="131" t="s">
        <v>246</v>
      </c>
      <c r="D680" s="132" t="n">
        <v>46496</v>
      </c>
      <c r="E680" s="131" t="s">
        <v>56</v>
      </c>
      <c r="F680" s="133" t="s">
        <v>11</v>
      </c>
      <c r="G680" s="134" t="n">
        <f aca="false">LEN('Saisie programme'!$D$40)+SUMIFS('Vols additionnels'!$E$7:$E$66,'Vols additionnels'!$C$7:$C$66,$E680,'Vols additionnels'!$D$7:$D$66,$F680,'Vols additionnels'!$B$7:$B$66,$D680)</f>
        <v>0</v>
      </c>
      <c r="H680" s="135" t="n">
        <f aca="false">$G680*'Analyse capacite'!$F$7</f>
        <v>0</v>
      </c>
      <c r="I680" s="135" t="n">
        <f aca="false">$G680*'Analyse capacite'!$C$7</f>
        <v>0</v>
      </c>
      <c r="J680" s="135" t="n">
        <f aca="false">$G680*'Analyse capacite'!$D$7</f>
        <v>0</v>
      </c>
      <c r="K680" s="135" t="n">
        <f aca="false">$G680*'Analyse capacite'!$E$7</f>
        <v>0</v>
      </c>
    </row>
    <row r="681" customFormat="false" ht="15" hidden="false" customHeight="false" outlineLevel="0" collapsed="false">
      <c r="B681" s="130" t="n">
        <v>2027</v>
      </c>
      <c r="C681" s="131" t="s">
        <v>246</v>
      </c>
      <c r="D681" s="132" t="n">
        <v>46496</v>
      </c>
      <c r="E681" s="131" t="s">
        <v>56</v>
      </c>
      <c r="F681" s="133" t="s">
        <v>19</v>
      </c>
      <c r="G681" s="134" t="n">
        <f aca="false">LEN('Saisie programme'!$D$41)+SUMIFS('Vols additionnels'!$E$7:$E$66,'Vols additionnels'!$C$7:$C$66,$E681,'Vols additionnels'!$D$7:$D$66,$F681,'Vols additionnels'!$B$7:$B$66,$D681)</f>
        <v>0</v>
      </c>
      <c r="H681" s="135" t="n">
        <f aca="false">$G681*'Analyse capacite'!$F$8</f>
        <v>0</v>
      </c>
      <c r="I681" s="135" t="n">
        <f aca="false">$G681*'Analyse capacite'!$C$8</f>
        <v>0</v>
      </c>
      <c r="J681" s="135" t="n">
        <f aca="false">$G681*'Analyse capacite'!$D$8</f>
        <v>0</v>
      </c>
      <c r="K681" s="135" t="n">
        <f aca="false">$G681*'Analyse capacite'!$E$8</f>
        <v>0</v>
      </c>
    </row>
    <row r="682" customFormat="false" ht="15" hidden="false" customHeight="false" outlineLevel="0" collapsed="false">
      <c r="B682" s="130" t="n">
        <v>2027</v>
      </c>
      <c r="C682" s="131" t="s">
        <v>246</v>
      </c>
      <c r="D682" s="132" t="n">
        <v>46496</v>
      </c>
      <c r="E682" s="131" t="s">
        <v>56</v>
      </c>
      <c r="F682" s="133" t="s">
        <v>24</v>
      </c>
      <c r="G682" s="134" t="n">
        <f aca="false">LEN('Saisie programme'!$D$42)+SUMIFS('Vols additionnels'!$E$7:$E$66,'Vols additionnels'!$C$7:$C$66,$E682,'Vols additionnels'!$D$7:$D$66,$F682,'Vols additionnels'!$B$7:$B$66,$D682)</f>
        <v>0</v>
      </c>
      <c r="H682" s="135" t="n">
        <f aca="false">$G682*'Analyse capacite'!$F$9</f>
        <v>0</v>
      </c>
      <c r="I682" s="135" t="n">
        <f aca="false">$G682*'Analyse capacite'!$C$9</f>
        <v>0</v>
      </c>
      <c r="J682" s="135" t="n">
        <f aca="false">$G682*'Analyse capacite'!$D$9</f>
        <v>0</v>
      </c>
      <c r="K682" s="135" t="n">
        <f aca="false">$G682*'Analyse capacite'!$E$9</f>
        <v>0</v>
      </c>
    </row>
    <row r="683" customFormat="false" ht="15" hidden="false" customHeight="false" outlineLevel="0" collapsed="false">
      <c r="B683" s="130" t="n">
        <v>2027</v>
      </c>
      <c r="C683" s="131" t="s">
        <v>246</v>
      </c>
      <c r="D683" s="132" t="n">
        <v>46496</v>
      </c>
      <c r="E683" s="131" t="s">
        <v>59</v>
      </c>
      <c r="F683" s="133" t="s">
        <v>11</v>
      </c>
      <c r="G683" s="134" t="n">
        <f aca="false">LEN('Saisie programme'!$D$43)+SUMIFS('Vols additionnels'!$E$7:$E$66,'Vols additionnels'!$C$7:$C$66,$E683,'Vols additionnels'!$D$7:$D$66,$F683,'Vols additionnels'!$B$7:$B$66,$D683)</f>
        <v>0</v>
      </c>
      <c r="H683" s="135" t="n">
        <f aca="false">$G683*'Analyse capacite'!$F$7</f>
        <v>0</v>
      </c>
      <c r="I683" s="135" t="n">
        <f aca="false">$G683*'Analyse capacite'!$C$7</f>
        <v>0</v>
      </c>
      <c r="J683" s="135" t="n">
        <f aca="false">$G683*'Analyse capacite'!$D$7</f>
        <v>0</v>
      </c>
      <c r="K683" s="135" t="n">
        <f aca="false">$G683*'Analyse capacite'!$E$7</f>
        <v>0</v>
      </c>
    </row>
    <row r="684" customFormat="false" ht="15" hidden="false" customHeight="false" outlineLevel="0" collapsed="false">
      <c r="B684" s="130" t="n">
        <v>2027</v>
      </c>
      <c r="C684" s="131" t="s">
        <v>246</v>
      </c>
      <c r="D684" s="132" t="n">
        <v>46496</v>
      </c>
      <c r="E684" s="131" t="s">
        <v>59</v>
      </c>
      <c r="F684" s="133" t="s">
        <v>19</v>
      </c>
      <c r="G684" s="134" t="n">
        <f aca="false">LEN('Saisie programme'!$D$44)+SUMIFS('Vols additionnels'!$E$7:$E$66,'Vols additionnels'!$C$7:$C$66,$E684,'Vols additionnels'!$D$7:$D$66,$F684,'Vols additionnels'!$B$7:$B$66,$D684)</f>
        <v>0</v>
      </c>
      <c r="H684" s="135" t="n">
        <f aca="false">$G684*'Analyse capacite'!$F$8</f>
        <v>0</v>
      </c>
      <c r="I684" s="135" t="n">
        <f aca="false">$G684*'Analyse capacite'!$C$8</f>
        <v>0</v>
      </c>
      <c r="J684" s="135" t="n">
        <f aca="false">$G684*'Analyse capacite'!$D$8</f>
        <v>0</v>
      </c>
      <c r="K684" s="135" t="n">
        <f aca="false">$G684*'Analyse capacite'!$E$8</f>
        <v>0</v>
      </c>
    </row>
    <row r="685" customFormat="false" ht="15" hidden="false" customHeight="false" outlineLevel="0" collapsed="false">
      <c r="B685" s="130" t="n">
        <v>2027</v>
      </c>
      <c r="C685" s="131" t="s">
        <v>246</v>
      </c>
      <c r="D685" s="132" t="n">
        <v>46496</v>
      </c>
      <c r="E685" s="131" t="s">
        <v>59</v>
      </c>
      <c r="F685" s="133" t="s">
        <v>24</v>
      </c>
      <c r="G685" s="134" t="n">
        <f aca="false">LEN('Saisie programme'!$D$45)+SUMIFS('Vols additionnels'!$E$7:$E$66,'Vols additionnels'!$C$7:$C$66,$E685,'Vols additionnels'!$D$7:$D$66,$F685,'Vols additionnels'!$B$7:$B$66,$D685)</f>
        <v>1</v>
      </c>
      <c r="H685" s="135" t="n">
        <f aca="false">$G685*'Analyse capacite'!$F$9</f>
        <v>174</v>
      </c>
      <c r="I685" s="135" t="n">
        <f aca="false">$G685*'Analyse capacite'!$C$9</f>
        <v>0</v>
      </c>
      <c r="J685" s="135" t="n">
        <f aca="false">$G685*'Analyse capacite'!$D$9</f>
        <v>12</v>
      </c>
      <c r="K685" s="135" t="n">
        <f aca="false">$G685*'Analyse capacite'!$E$9</f>
        <v>162</v>
      </c>
    </row>
    <row r="686" customFormat="false" ht="15" hidden="false" customHeight="false" outlineLevel="0" collapsed="false">
      <c r="B686" s="130" t="n">
        <v>2027</v>
      </c>
      <c r="C686" s="131" t="s">
        <v>246</v>
      </c>
      <c r="D686" s="132" t="n">
        <v>46496</v>
      </c>
      <c r="E686" s="131" t="s">
        <v>62</v>
      </c>
      <c r="F686" s="133" t="s">
        <v>11</v>
      </c>
      <c r="G686" s="134" t="n">
        <f aca="false">LEN('Saisie programme'!$D$46)+SUMIFS('Vols additionnels'!$E$7:$E$66,'Vols additionnels'!$C$7:$C$66,$E686,'Vols additionnels'!$D$7:$D$66,$F686,'Vols additionnels'!$B$7:$B$66,$D686)</f>
        <v>0</v>
      </c>
      <c r="H686" s="135" t="n">
        <f aca="false">$G686*'Analyse capacite'!$F$7</f>
        <v>0</v>
      </c>
      <c r="I686" s="135" t="n">
        <f aca="false">$G686*'Analyse capacite'!$C$7</f>
        <v>0</v>
      </c>
      <c r="J686" s="135" t="n">
        <f aca="false">$G686*'Analyse capacite'!$D$7</f>
        <v>0</v>
      </c>
      <c r="K686" s="135" t="n">
        <f aca="false">$G686*'Analyse capacite'!$E$7</f>
        <v>0</v>
      </c>
    </row>
    <row r="687" customFormat="false" ht="15" hidden="false" customHeight="false" outlineLevel="0" collapsed="false">
      <c r="B687" s="130" t="n">
        <v>2027</v>
      </c>
      <c r="C687" s="131" t="s">
        <v>246</v>
      </c>
      <c r="D687" s="132" t="n">
        <v>46496</v>
      </c>
      <c r="E687" s="131" t="s">
        <v>62</v>
      </c>
      <c r="F687" s="133" t="s">
        <v>19</v>
      </c>
      <c r="G687" s="134" t="n">
        <f aca="false">LEN('Saisie programme'!$D$47)+SUMIFS('Vols additionnels'!$E$7:$E$66,'Vols additionnels'!$C$7:$C$66,$E687,'Vols additionnels'!$D$7:$D$66,$F687,'Vols additionnels'!$B$7:$B$66,$D687)</f>
        <v>0</v>
      </c>
      <c r="H687" s="135" t="n">
        <f aca="false">$G687*'Analyse capacite'!$F$8</f>
        <v>0</v>
      </c>
      <c r="I687" s="135" t="n">
        <f aca="false">$G687*'Analyse capacite'!$C$8</f>
        <v>0</v>
      </c>
      <c r="J687" s="135" t="n">
        <f aca="false">$G687*'Analyse capacite'!$D$8</f>
        <v>0</v>
      </c>
      <c r="K687" s="135" t="n">
        <f aca="false">$G687*'Analyse capacite'!$E$8</f>
        <v>0</v>
      </c>
    </row>
    <row r="688" customFormat="false" ht="15" hidden="false" customHeight="false" outlineLevel="0" collapsed="false">
      <c r="B688" s="130" t="n">
        <v>2027</v>
      </c>
      <c r="C688" s="131" t="s">
        <v>246</v>
      </c>
      <c r="D688" s="132" t="n">
        <v>46496</v>
      </c>
      <c r="E688" s="131" t="s">
        <v>62</v>
      </c>
      <c r="F688" s="133" t="s">
        <v>24</v>
      </c>
      <c r="G688" s="134" t="n">
        <f aca="false">LEN('Saisie programme'!$D$48)+SUMIFS('Vols additionnels'!$E$7:$E$66,'Vols additionnels'!$C$7:$C$66,$E688,'Vols additionnels'!$D$7:$D$66,$F688,'Vols additionnels'!$B$7:$B$66,$D688)</f>
        <v>0</v>
      </c>
      <c r="H688" s="135" t="n">
        <f aca="false">$G688*'Analyse capacite'!$F$9</f>
        <v>0</v>
      </c>
      <c r="I688" s="135" t="n">
        <f aca="false">$G688*'Analyse capacite'!$C$9</f>
        <v>0</v>
      </c>
      <c r="J688" s="135" t="n">
        <f aca="false">$G688*'Analyse capacite'!$D$9</f>
        <v>0</v>
      </c>
      <c r="K688" s="135" t="n">
        <f aca="false">$G688*'Analyse capacite'!$E$9</f>
        <v>0</v>
      </c>
    </row>
    <row r="689" customFormat="false" ht="15" hidden="false" customHeight="false" outlineLevel="0" collapsed="false">
      <c r="B689" s="130" t="n">
        <v>2027</v>
      </c>
      <c r="C689" s="131" t="s">
        <v>246</v>
      </c>
      <c r="D689" s="132" t="n">
        <v>46497</v>
      </c>
      <c r="E689" s="131" t="s">
        <v>12</v>
      </c>
      <c r="F689" s="133" t="s">
        <v>11</v>
      </c>
      <c r="G689" s="134" t="n">
        <f aca="false">LEN('Saisie programme'!$E$13)+SUMIFS('Vols additionnels'!$E$7:$E$66,'Vols additionnels'!$C$7:$C$66,$E689,'Vols additionnels'!$D$7:$D$66,$F689,'Vols additionnels'!$B$7:$B$66,$D689)</f>
        <v>1</v>
      </c>
      <c r="H689" s="135" t="n">
        <f aca="false">$G689*'Analyse capacite'!$F$7</f>
        <v>438</v>
      </c>
      <c r="I689" s="135" t="n">
        <f aca="false">$G689*'Analyse capacite'!$C$7</f>
        <v>14</v>
      </c>
      <c r="J689" s="135" t="n">
        <f aca="false">$G689*'Analyse capacite'!$D$7</f>
        <v>40</v>
      </c>
      <c r="K689" s="135" t="n">
        <f aca="false">$G689*'Analyse capacite'!$E$7</f>
        <v>384</v>
      </c>
    </row>
    <row r="690" customFormat="false" ht="15" hidden="false" customHeight="false" outlineLevel="0" collapsed="false">
      <c r="B690" s="130" t="n">
        <v>2027</v>
      </c>
      <c r="C690" s="131" t="s">
        <v>246</v>
      </c>
      <c r="D690" s="132" t="n">
        <v>46497</v>
      </c>
      <c r="E690" s="131" t="s">
        <v>12</v>
      </c>
      <c r="F690" s="133" t="s">
        <v>19</v>
      </c>
      <c r="G690" s="134" t="n">
        <f aca="false">LEN('Saisie programme'!$E$14)+SUMIFS('Vols additionnels'!$E$7:$E$66,'Vols additionnels'!$C$7:$C$66,$E690,'Vols additionnels'!$D$7:$D$66,$F690,'Vols additionnels'!$B$7:$B$66,$D690)</f>
        <v>0</v>
      </c>
      <c r="H690" s="135" t="n">
        <f aca="false">$G690*'Analyse capacite'!$F$8</f>
        <v>0</v>
      </c>
      <c r="I690" s="135" t="n">
        <f aca="false">$G690*'Analyse capacite'!$C$8</f>
        <v>0</v>
      </c>
      <c r="J690" s="135" t="n">
        <f aca="false">$G690*'Analyse capacite'!$D$8</f>
        <v>0</v>
      </c>
      <c r="K690" s="135" t="n">
        <f aca="false">$G690*'Analyse capacite'!$E$8</f>
        <v>0</v>
      </c>
    </row>
    <row r="691" customFormat="false" ht="15" hidden="false" customHeight="false" outlineLevel="0" collapsed="false">
      <c r="B691" s="130" t="n">
        <v>2027</v>
      </c>
      <c r="C691" s="131" t="s">
        <v>246</v>
      </c>
      <c r="D691" s="132" t="n">
        <v>46497</v>
      </c>
      <c r="E691" s="131" t="s">
        <v>12</v>
      </c>
      <c r="F691" s="133" t="s">
        <v>24</v>
      </c>
      <c r="G691" s="134" t="n">
        <f aca="false">LEN('Saisie programme'!$E$15)+SUMIFS('Vols additionnels'!$E$7:$E$66,'Vols additionnels'!$C$7:$C$66,$E691,'Vols additionnels'!$D$7:$D$66,$F691,'Vols additionnels'!$B$7:$B$66,$D691)</f>
        <v>0</v>
      </c>
      <c r="H691" s="135" t="n">
        <f aca="false">$G691*'Analyse capacite'!$F$9</f>
        <v>0</v>
      </c>
      <c r="I691" s="135" t="n">
        <f aca="false">$G691*'Analyse capacite'!$C$9</f>
        <v>0</v>
      </c>
      <c r="J691" s="135" t="n">
        <f aca="false">$G691*'Analyse capacite'!$D$9</f>
        <v>0</v>
      </c>
      <c r="K691" s="135" t="n">
        <f aca="false">$G691*'Analyse capacite'!$E$9</f>
        <v>0</v>
      </c>
    </row>
    <row r="692" customFormat="false" ht="15" hidden="false" customHeight="false" outlineLevel="0" collapsed="false">
      <c r="B692" s="130" t="n">
        <v>2027</v>
      </c>
      <c r="C692" s="131" t="s">
        <v>246</v>
      </c>
      <c r="D692" s="132" t="n">
        <v>46497</v>
      </c>
      <c r="E692" s="131" t="s">
        <v>20</v>
      </c>
      <c r="F692" s="133" t="s">
        <v>11</v>
      </c>
      <c r="G692" s="134" t="n">
        <f aca="false">LEN('Saisie programme'!$E$16)+SUMIFS('Vols additionnels'!$E$7:$E$66,'Vols additionnels'!$C$7:$C$66,$E692,'Vols additionnels'!$D$7:$D$66,$F692,'Vols additionnels'!$B$7:$B$66,$D692)</f>
        <v>0</v>
      </c>
      <c r="H692" s="135" t="n">
        <f aca="false">$G692*'Analyse capacite'!$F$7</f>
        <v>0</v>
      </c>
      <c r="I692" s="135" t="n">
        <f aca="false">$G692*'Analyse capacite'!$C$7</f>
        <v>0</v>
      </c>
      <c r="J692" s="135" t="n">
        <f aca="false">$G692*'Analyse capacite'!$D$7</f>
        <v>0</v>
      </c>
      <c r="K692" s="135" t="n">
        <f aca="false">$G692*'Analyse capacite'!$E$7</f>
        <v>0</v>
      </c>
    </row>
    <row r="693" customFormat="false" ht="15" hidden="false" customHeight="false" outlineLevel="0" collapsed="false">
      <c r="B693" s="130" t="n">
        <v>2027</v>
      </c>
      <c r="C693" s="131" t="s">
        <v>246</v>
      </c>
      <c r="D693" s="132" t="n">
        <v>46497</v>
      </c>
      <c r="E693" s="131" t="s">
        <v>20</v>
      </c>
      <c r="F693" s="133" t="s">
        <v>19</v>
      </c>
      <c r="G693" s="134" t="n">
        <f aca="false">LEN('Saisie programme'!$E$17)+SUMIFS('Vols additionnels'!$E$7:$E$66,'Vols additionnels'!$C$7:$C$66,$E693,'Vols additionnels'!$D$7:$D$66,$F693,'Vols additionnels'!$B$7:$B$66,$D693)</f>
        <v>1</v>
      </c>
      <c r="H693" s="135" t="n">
        <f aca="false">$G693*'Analyse capacite'!$F$8</f>
        <v>262</v>
      </c>
      <c r="I693" s="135" t="n">
        <f aca="false">$G693*'Analyse capacite'!$C$8</f>
        <v>18</v>
      </c>
      <c r="J693" s="135" t="n">
        <f aca="false">$G693*'Analyse capacite'!$D$8</f>
        <v>0</v>
      </c>
      <c r="K693" s="135" t="n">
        <f aca="false">$G693*'Analyse capacite'!$E$8</f>
        <v>244</v>
      </c>
    </row>
    <row r="694" customFormat="false" ht="15" hidden="false" customHeight="false" outlineLevel="0" collapsed="false">
      <c r="B694" s="130" t="n">
        <v>2027</v>
      </c>
      <c r="C694" s="131" t="s">
        <v>246</v>
      </c>
      <c r="D694" s="132" t="n">
        <v>46497</v>
      </c>
      <c r="E694" s="131" t="s">
        <v>20</v>
      </c>
      <c r="F694" s="133" t="s">
        <v>24</v>
      </c>
      <c r="G694" s="134" t="n">
        <f aca="false">LEN('Saisie programme'!$E$18)+SUMIFS('Vols additionnels'!$E$7:$E$66,'Vols additionnels'!$C$7:$C$66,$E694,'Vols additionnels'!$D$7:$D$66,$F694,'Vols additionnels'!$B$7:$B$66,$D694)</f>
        <v>0</v>
      </c>
      <c r="H694" s="135" t="n">
        <f aca="false">$G694*'Analyse capacite'!$F$9</f>
        <v>0</v>
      </c>
      <c r="I694" s="135" t="n">
        <f aca="false">$G694*'Analyse capacite'!$C$9</f>
        <v>0</v>
      </c>
      <c r="J694" s="135" t="n">
        <f aca="false">$G694*'Analyse capacite'!$D$9</f>
        <v>0</v>
      </c>
      <c r="K694" s="135" t="n">
        <f aca="false">$G694*'Analyse capacite'!$E$9</f>
        <v>0</v>
      </c>
    </row>
    <row r="695" customFormat="false" ht="15" hidden="false" customHeight="false" outlineLevel="0" collapsed="false">
      <c r="B695" s="130" t="n">
        <v>2027</v>
      </c>
      <c r="C695" s="131" t="s">
        <v>246</v>
      </c>
      <c r="D695" s="132" t="n">
        <v>46497</v>
      </c>
      <c r="E695" s="131" t="s">
        <v>25</v>
      </c>
      <c r="F695" s="133" t="s">
        <v>11</v>
      </c>
      <c r="G695" s="134" t="n">
        <f aca="false">LEN('Saisie programme'!$E$19)+SUMIFS('Vols additionnels'!$E$7:$E$66,'Vols additionnels'!$C$7:$C$66,$E695,'Vols additionnels'!$D$7:$D$66,$F695,'Vols additionnels'!$B$7:$B$66,$D695)</f>
        <v>0</v>
      </c>
      <c r="H695" s="135" t="n">
        <f aca="false">$G695*'Analyse capacite'!$F$7</f>
        <v>0</v>
      </c>
      <c r="I695" s="135" t="n">
        <f aca="false">$G695*'Analyse capacite'!$C$7</f>
        <v>0</v>
      </c>
      <c r="J695" s="135" t="n">
        <f aca="false">$G695*'Analyse capacite'!$D$7</f>
        <v>0</v>
      </c>
      <c r="K695" s="135" t="n">
        <f aca="false">$G695*'Analyse capacite'!$E$7</f>
        <v>0</v>
      </c>
    </row>
    <row r="696" customFormat="false" ht="15" hidden="false" customHeight="false" outlineLevel="0" collapsed="false">
      <c r="B696" s="130" t="n">
        <v>2027</v>
      </c>
      <c r="C696" s="131" t="s">
        <v>246</v>
      </c>
      <c r="D696" s="132" t="n">
        <v>46497</v>
      </c>
      <c r="E696" s="131" t="s">
        <v>25</v>
      </c>
      <c r="F696" s="133" t="s">
        <v>19</v>
      </c>
      <c r="G696" s="134" t="n">
        <f aca="false">LEN('Saisie programme'!$E$20)+SUMIFS('Vols additionnels'!$E$7:$E$66,'Vols additionnels'!$C$7:$C$66,$E696,'Vols additionnels'!$D$7:$D$66,$F696,'Vols additionnels'!$B$7:$B$66,$D696)</f>
        <v>0</v>
      </c>
      <c r="H696" s="135" t="n">
        <f aca="false">$G696*'Analyse capacite'!$F$8</f>
        <v>0</v>
      </c>
      <c r="I696" s="135" t="n">
        <f aca="false">$G696*'Analyse capacite'!$C$8</f>
        <v>0</v>
      </c>
      <c r="J696" s="135" t="n">
        <f aca="false">$G696*'Analyse capacite'!$D$8</f>
        <v>0</v>
      </c>
      <c r="K696" s="135" t="n">
        <f aca="false">$G696*'Analyse capacite'!$E$8</f>
        <v>0</v>
      </c>
    </row>
    <row r="697" customFormat="false" ht="15" hidden="false" customHeight="false" outlineLevel="0" collapsed="false">
      <c r="B697" s="130" t="n">
        <v>2027</v>
      </c>
      <c r="C697" s="131" t="s">
        <v>246</v>
      </c>
      <c r="D697" s="132" t="n">
        <v>46497</v>
      </c>
      <c r="E697" s="131" t="s">
        <v>25</v>
      </c>
      <c r="F697" s="133" t="s">
        <v>24</v>
      </c>
      <c r="G697" s="134" t="n">
        <f aca="false">LEN('Saisie programme'!$E$21)+SUMIFS('Vols additionnels'!$E$7:$E$66,'Vols additionnels'!$C$7:$C$66,$E697,'Vols additionnels'!$D$7:$D$66,$F697,'Vols additionnels'!$B$7:$B$66,$D697)</f>
        <v>0</v>
      </c>
      <c r="H697" s="135" t="n">
        <f aca="false">$G697*'Analyse capacite'!$F$9</f>
        <v>0</v>
      </c>
      <c r="I697" s="135" t="n">
        <f aca="false">$G697*'Analyse capacite'!$C$9</f>
        <v>0</v>
      </c>
      <c r="J697" s="135" t="n">
        <f aca="false">$G697*'Analyse capacite'!$D$9</f>
        <v>0</v>
      </c>
      <c r="K697" s="135" t="n">
        <f aca="false">$G697*'Analyse capacite'!$E$9</f>
        <v>0</v>
      </c>
    </row>
    <row r="698" customFormat="false" ht="15" hidden="false" customHeight="false" outlineLevel="0" collapsed="false">
      <c r="B698" s="130" t="n">
        <v>2027</v>
      </c>
      <c r="C698" s="131" t="s">
        <v>246</v>
      </c>
      <c r="D698" s="132" t="n">
        <v>46497</v>
      </c>
      <c r="E698" s="131" t="s">
        <v>36</v>
      </c>
      <c r="F698" s="133" t="s">
        <v>11</v>
      </c>
      <c r="G698" s="134" t="n">
        <f aca="false">LEN('Saisie programme'!$E$22)+SUMIFS('Vols additionnels'!$E$7:$E$66,'Vols additionnels'!$C$7:$C$66,$E698,'Vols additionnels'!$D$7:$D$66,$F698,'Vols additionnels'!$B$7:$B$66,$D698)</f>
        <v>0</v>
      </c>
      <c r="H698" s="135" t="n">
        <f aca="false">$G698*'Analyse capacite'!$F$7</f>
        <v>0</v>
      </c>
      <c r="I698" s="135" t="n">
        <f aca="false">$G698*'Analyse capacite'!$C$7</f>
        <v>0</v>
      </c>
      <c r="J698" s="135" t="n">
        <f aca="false">$G698*'Analyse capacite'!$D$7</f>
        <v>0</v>
      </c>
      <c r="K698" s="135" t="n">
        <f aca="false">$G698*'Analyse capacite'!$E$7</f>
        <v>0</v>
      </c>
    </row>
    <row r="699" customFormat="false" ht="15" hidden="false" customHeight="false" outlineLevel="0" collapsed="false">
      <c r="B699" s="130" t="n">
        <v>2027</v>
      </c>
      <c r="C699" s="131" t="s">
        <v>246</v>
      </c>
      <c r="D699" s="132" t="n">
        <v>46497</v>
      </c>
      <c r="E699" s="131" t="s">
        <v>36</v>
      </c>
      <c r="F699" s="133" t="s">
        <v>19</v>
      </c>
      <c r="G699" s="134" t="n">
        <f aca="false">LEN('Saisie programme'!$E$23)+SUMIFS('Vols additionnels'!$E$7:$E$66,'Vols additionnels'!$C$7:$C$66,$E699,'Vols additionnels'!$D$7:$D$66,$F699,'Vols additionnels'!$B$7:$B$66,$D699)</f>
        <v>0</v>
      </c>
      <c r="H699" s="135" t="n">
        <f aca="false">$G699*'Analyse capacite'!$F$8</f>
        <v>0</v>
      </c>
      <c r="I699" s="135" t="n">
        <f aca="false">$G699*'Analyse capacite'!$C$8</f>
        <v>0</v>
      </c>
      <c r="J699" s="135" t="n">
        <f aca="false">$G699*'Analyse capacite'!$D$8</f>
        <v>0</v>
      </c>
      <c r="K699" s="135" t="n">
        <f aca="false">$G699*'Analyse capacite'!$E$8</f>
        <v>0</v>
      </c>
    </row>
    <row r="700" customFormat="false" ht="15" hidden="false" customHeight="false" outlineLevel="0" collapsed="false">
      <c r="B700" s="130" t="n">
        <v>2027</v>
      </c>
      <c r="C700" s="131" t="s">
        <v>246</v>
      </c>
      <c r="D700" s="132" t="n">
        <v>46497</v>
      </c>
      <c r="E700" s="131" t="s">
        <v>36</v>
      </c>
      <c r="F700" s="133" t="s">
        <v>24</v>
      </c>
      <c r="G700" s="134" t="n">
        <f aca="false">LEN('Saisie programme'!$E$24)+SUMIFS('Vols additionnels'!$E$7:$E$66,'Vols additionnels'!$C$7:$C$66,$E700,'Vols additionnels'!$D$7:$D$66,$F700,'Vols additionnels'!$B$7:$B$66,$D700)</f>
        <v>1</v>
      </c>
      <c r="H700" s="135" t="n">
        <f aca="false">$G700*'Analyse capacite'!$F$9</f>
        <v>174</v>
      </c>
      <c r="I700" s="135" t="n">
        <f aca="false">$G700*'Analyse capacite'!$C$9</f>
        <v>0</v>
      </c>
      <c r="J700" s="135" t="n">
        <f aca="false">$G700*'Analyse capacite'!$D$9</f>
        <v>12</v>
      </c>
      <c r="K700" s="135" t="n">
        <f aca="false">$G700*'Analyse capacite'!$E$9</f>
        <v>162</v>
      </c>
    </row>
    <row r="701" customFormat="false" ht="15" hidden="false" customHeight="false" outlineLevel="0" collapsed="false">
      <c r="B701" s="130" t="n">
        <v>2027</v>
      </c>
      <c r="C701" s="131" t="s">
        <v>246</v>
      </c>
      <c r="D701" s="132" t="n">
        <v>46497</v>
      </c>
      <c r="E701" s="131" t="s">
        <v>40</v>
      </c>
      <c r="F701" s="133" t="s">
        <v>11</v>
      </c>
      <c r="G701" s="134" t="n">
        <f aca="false">LEN('Saisie programme'!$E$25)+SUMIFS('Vols additionnels'!$E$7:$E$66,'Vols additionnels'!$C$7:$C$66,$E701,'Vols additionnels'!$D$7:$D$66,$F701,'Vols additionnels'!$B$7:$B$66,$D701)</f>
        <v>0</v>
      </c>
      <c r="H701" s="135" t="n">
        <f aca="false">$G701*'Analyse capacite'!$F$7</f>
        <v>0</v>
      </c>
      <c r="I701" s="135" t="n">
        <f aca="false">$G701*'Analyse capacite'!$C$7</f>
        <v>0</v>
      </c>
      <c r="J701" s="135" t="n">
        <f aca="false">$G701*'Analyse capacite'!$D$7</f>
        <v>0</v>
      </c>
      <c r="K701" s="135" t="n">
        <f aca="false">$G701*'Analyse capacite'!$E$7</f>
        <v>0</v>
      </c>
    </row>
    <row r="702" customFormat="false" ht="15" hidden="false" customHeight="false" outlineLevel="0" collapsed="false">
      <c r="B702" s="130" t="n">
        <v>2027</v>
      </c>
      <c r="C702" s="131" t="s">
        <v>246</v>
      </c>
      <c r="D702" s="132" t="n">
        <v>46497</v>
      </c>
      <c r="E702" s="131" t="s">
        <v>40</v>
      </c>
      <c r="F702" s="133" t="s">
        <v>19</v>
      </c>
      <c r="G702" s="134" t="n">
        <f aca="false">LEN('Saisie programme'!$E$26)+SUMIFS('Vols additionnels'!$E$7:$E$66,'Vols additionnels'!$C$7:$C$66,$E702,'Vols additionnels'!$D$7:$D$66,$F702,'Vols additionnels'!$B$7:$B$66,$D702)</f>
        <v>0</v>
      </c>
      <c r="H702" s="135" t="n">
        <f aca="false">$G702*'Analyse capacite'!$F$8</f>
        <v>0</v>
      </c>
      <c r="I702" s="135" t="n">
        <f aca="false">$G702*'Analyse capacite'!$C$8</f>
        <v>0</v>
      </c>
      <c r="J702" s="135" t="n">
        <f aca="false">$G702*'Analyse capacite'!$D$8</f>
        <v>0</v>
      </c>
      <c r="K702" s="135" t="n">
        <f aca="false">$G702*'Analyse capacite'!$E$8</f>
        <v>0</v>
      </c>
    </row>
    <row r="703" customFormat="false" ht="15" hidden="false" customHeight="false" outlineLevel="0" collapsed="false">
      <c r="B703" s="130" t="n">
        <v>2027</v>
      </c>
      <c r="C703" s="131" t="s">
        <v>246</v>
      </c>
      <c r="D703" s="132" t="n">
        <v>46497</v>
      </c>
      <c r="E703" s="131" t="s">
        <v>40</v>
      </c>
      <c r="F703" s="133" t="s">
        <v>24</v>
      </c>
      <c r="G703" s="134" t="n">
        <f aca="false">LEN('Saisie programme'!$E$27)+SUMIFS('Vols additionnels'!$E$7:$E$66,'Vols additionnels'!$C$7:$C$66,$E703,'Vols additionnels'!$D$7:$D$66,$F703,'Vols additionnels'!$B$7:$B$66,$D703)</f>
        <v>0</v>
      </c>
      <c r="H703" s="135" t="n">
        <f aca="false">$G703*'Analyse capacite'!$F$9</f>
        <v>0</v>
      </c>
      <c r="I703" s="135" t="n">
        <f aca="false">$G703*'Analyse capacite'!$C$9</f>
        <v>0</v>
      </c>
      <c r="J703" s="135" t="n">
        <f aca="false">$G703*'Analyse capacite'!$D$9</f>
        <v>0</v>
      </c>
      <c r="K703" s="135" t="n">
        <f aca="false">$G703*'Analyse capacite'!$E$9</f>
        <v>0</v>
      </c>
    </row>
    <row r="704" customFormat="false" ht="15" hidden="false" customHeight="false" outlineLevel="0" collapsed="false">
      <c r="B704" s="130" t="n">
        <v>2027</v>
      </c>
      <c r="C704" s="131" t="s">
        <v>246</v>
      </c>
      <c r="D704" s="132" t="n">
        <v>46497</v>
      </c>
      <c r="E704" s="131" t="s">
        <v>14</v>
      </c>
      <c r="F704" s="133" t="s">
        <v>11</v>
      </c>
      <c r="G704" s="134" t="n">
        <f aca="false">LEN('Saisie programme'!$E$28)+SUMIFS('Vols additionnels'!$E$7:$E$66,'Vols additionnels'!$C$7:$C$66,$E704,'Vols additionnels'!$D$7:$D$66,$F704,'Vols additionnels'!$B$7:$B$66,$D704)</f>
        <v>0</v>
      </c>
      <c r="H704" s="135" t="n">
        <f aca="false">$G704*'Analyse capacite'!$F$7</f>
        <v>0</v>
      </c>
      <c r="I704" s="135" t="n">
        <f aca="false">$G704*'Analyse capacite'!$C$7</f>
        <v>0</v>
      </c>
      <c r="J704" s="135" t="n">
        <f aca="false">$G704*'Analyse capacite'!$D$7</f>
        <v>0</v>
      </c>
      <c r="K704" s="135" t="n">
        <f aca="false">$G704*'Analyse capacite'!$E$7</f>
        <v>0</v>
      </c>
    </row>
    <row r="705" customFormat="false" ht="15" hidden="false" customHeight="false" outlineLevel="0" collapsed="false">
      <c r="B705" s="130" t="n">
        <v>2027</v>
      </c>
      <c r="C705" s="131" t="s">
        <v>246</v>
      </c>
      <c r="D705" s="132" t="n">
        <v>46497</v>
      </c>
      <c r="E705" s="131" t="s">
        <v>14</v>
      </c>
      <c r="F705" s="133" t="s">
        <v>19</v>
      </c>
      <c r="G705" s="134" t="n">
        <f aca="false">LEN('Saisie programme'!$E$29)+SUMIFS('Vols additionnels'!$E$7:$E$66,'Vols additionnels'!$C$7:$C$66,$E705,'Vols additionnels'!$D$7:$D$66,$F705,'Vols additionnels'!$B$7:$B$66,$D705)</f>
        <v>0</v>
      </c>
      <c r="H705" s="135" t="n">
        <f aca="false">$G705*'Analyse capacite'!$F$8</f>
        <v>0</v>
      </c>
      <c r="I705" s="135" t="n">
        <f aca="false">$G705*'Analyse capacite'!$C$8</f>
        <v>0</v>
      </c>
      <c r="J705" s="135" t="n">
        <f aca="false">$G705*'Analyse capacite'!$D$8</f>
        <v>0</v>
      </c>
      <c r="K705" s="135" t="n">
        <f aca="false">$G705*'Analyse capacite'!$E$8</f>
        <v>0</v>
      </c>
    </row>
    <row r="706" customFormat="false" ht="15" hidden="false" customHeight="false" outlineLevel="0" collapsed="false">
      <c r="B706" s="130" t="n">
        <v>2027</v>
      </c>
      <c r="C706" s="131" t="s">
        <v>246</v>
      </c>
      <c r="D706" s="132" t="n">
        <v>46497</v>
      </c>
      <c r="E706" s="131" t="s">
        <v>14</v>
      </c>
      <c r="F706" s="133" t="s">
        <v>24</v>
      </c>
      <c r="G706" s="134" t="n">
        <f aca="false">LEN('Saisie programme'!$E$30)+SUMIFS('Vols additionnels'!$E$7:$E$66,'Vols additionnels'!$C$7:$C$66,$E706,'Vols additionnels'!$D$7:$D$66,$F706,'Vols additionnels'!$B$7:$B$66,$D706)</f>
        <v>0</v>
      </c>
      <c r="H706" s="135" t="n">
        <f aca="false">$G706*'Analyse capacite'!$F$9</f>
        <v>0</v>
      </c>
      <c r="I706" s="135" t="n">
        <f aca="false">$G706*'Analyse capacite'!$C$9</f>
        <v>0</v>
      </c>
      <c r="J706" s="135" t="n">
        <f aca="false">$G706*'Analyse capacite'!$D$9</f>
        <v>0</v>
      </c>
      <c r="K706" s="135" t="n">
        <f aca="false">$G706*'Analyse capacite'!$E$9</f>
        <v>0</v>
      </c>
    </row>
    <row r="707" customFormat="false" ht="15" hidden="false" customHeight="false" outlineLevel="0" collapsed="false">
      <c r="B707" s="130" t="n">
        <v>2027</v>
      </c>
      <c r="C707" s="131" t="s">
        <v>246</v>
      </c>
      <c r="D707" s="132" t="n">
        <v>46497</v>
      </c>
      <c r="E707" s="131" t="s">
        <v>46</v>
      </c>
      <c r="F707" s="133" t="s">
        <v>11</v>
      </c>
      <c r="G707" s="134" t="n">
        <f aca="false">LEN('Saisie programme'!$E$31)+SUMIFS('Vols additionnels'!$E$7:$E$66,'Vols additionnels'!$C$7:$C$66,$E707,'Vols additionnels'!$D$7:$D$66,$F707,'Vols additionnels'!$B$7:$B$66,$D707)</f>
        <v>0</v>
      </c>
      <c r="H707" s="135" t="n">
        <f aca="false">$G707*'Analyse capacite'!$F$7</f>
        <v>0</v>
      </c>
      <c r="I707" s="135" t="n">
        <f aca="false">$G707*'Analyse capacite'!$C$7</f>
        <v>0</v>
      </c>
      <c r="J707" s="135" t="n">
        <f aca="false">$G707*'Analyse capacite'!$D$7</f>
        <v>0</v>
      </c>
      <c r="K707" s="135" t="n">
        <f aca="false">$G707*'Analyse capacite'!$E$7</f>
        <v>0</v>
      </c>
    </row>
    <row r="708" customFormat="false" ht="15" hidden="false" customHeight="false" outlineLevel="0" collapsed="false">
      <c r="B708" s="130" t="n">
        <v>2027</v>
      </c>
      <c r="C708" s="131" t="s">
        <v>246</v>
      </c>
      <c r="D708" s="132" t="n">
        <v>46497</v>
      </c>
      <c r="E708" s="131" t="s">
        <v>46</v>
      </c>
      <c r="F708" s="133" t="s">
        <v>19</v>
      </c>
      <c r="G708" s="134" t="n">
        <f aca="false">LEN('Saisie programme'!$E$32)+SUMIFS('Vols additionnels'!$E$7:$E$66,'Vols additionnels'!$C$7:$C$66,$E708,'Vols additionnels'!$D$7:$D$66,$F708,'Vols additionnels'!$B$7:$B$66,$D708)</f>
        <v>0</v>
      </c>
      <c r="H708" s="135" t="n">
        <f aca="false">$G708*'Analyse capacite'!$F$8</f>
        <v>0</v>
      </c>
      <c r="I708" s="135" t="n">
        <f aca="false">$G708*'Analyse capacite'!$C$8</f>
        <v>0</v>
      </c>
      <c r="J708" s="135" t="n">
        <f aca="false">$G708*'Analyse capacite'!$D$8</f>
        <v>0</v>
      </c>
      <c r="K708" s="135" t="n">
        <f aca="false">$G708*'Analyse capacite'!$E$8</f>
        <v>0</v>
      </c>
    </row>
    <row r="709" customFormat="false" ht="15" hidden="false" customHeight="false" outlineLevel="0" collapsed="false">
      <c r="B709" s="130" t="n">
        <v>2027</v>
      </c>
      <c r="C709" s="131" t="s">
        <v>246</v>
      </c>
      <c r="D709" s="132" t="n">
        <v>46497</v>
      </c>
      <c r="E709" s="131" t="s">
        <v>46</v>
      </c>
      <c r="F709" s="133" t="s">
        <v>24</v>
      </c>
      <c r="G709" s="134" t="n">
        <f aca="false">LEN('Saisie programme'!$E$33)+SUMIFS('Vols additionnels'!$E$7:$E$66,'Vols additionnels'!$C$7:$C$66,$E709,'Vols additionnels'!$D$7:$D$66,$F709,'Vols additionnels'!$B$7:$B$66,$D709)</f>
        <v>1</v>
      </c>
      <c r="H709" s="135" t="n">
        <f aca="false">$G709*'Analyse capacite'!$F$9</f>
        <v>174</v>
      </c>
      <c r="I709" s="135" t="n">
        <f aca="false">$G709*'Analyse capacite'!$C$9</f>
        <v>0</v>
      </c>
      <c r="J709" s="135" t="n">
        <f aca="false">$G709*'Analyse capacite'!$D$9</f>
        <v>12</v>
      </c>
      <c r="K709" s="135" t="n">
        <f aca="false">$G709*'Analyse capacite'!$E$9</f>
        <v>162</v>
      </c>
    </row>
    <row r="710" customFormat="false" ht="15" hidden="false" customHeight="false" outlineLevel="0" collapsed="false">
      <c r="B710" s="130" t="n">
        <v>2027</v>
      </c>
      <c r="C710" s="131" t="s">
        <v>246</v>
      </c>
      <c r="D710" s="132" t="n">
        <v>46497</v>
      </c>
      <c r="E710" s="131" t="s">
        <v>49</v>
      </c>
      <c r="F710" s="133" t="s">
        <v>11</v>
      </c>
      <c r="G710" s="134" t="n">
        <f aca="false">LEN('Saisie programme'!$E$34)+SUMIFS('Vols additionnels'!$E$7:$E$66,'Vols additionnels'!$C$7:$C$66,$E710,'Vols additionnels'!$D$7:$D$66,$F710,'Vols additionnels'!$B$7:$B$66,$D710)</f>
        <v>0</v>
      </c>
      <c r="H710" s="135" t="n">
        <f aca="false">$G710*'Analyse capacite'!$F$7</f>
        <v>0</v>
      </c>
      <c r="I710" s="135" t="n">
        <f aca="false">$G710*'Analyse capacite'!$C$7</f>
        <v>0</v>
      </c>
      <c r="J710" s="135" t="n">
        <f aca="false">$G710*'Analyse capacite'!$D$7</f>
        <v>0</v>
      </c>
      <c r="K710" s="135" t="n">
        <f aca="false">$G710*'Analyse capacite'!$E$7</f>
        <v>0</v>
      </c>
    </row>
    <row r="711" customFormat="false" ht="15" hidden="false" customHeight="false" outlineLevel="0" collapsed="false">
      <c r="B711" s="130" t="n">
        <v>2027</v>
      </c>
      <c r="C711" s="131" t="s">
        <v>246</v>
      </c>
      <c r="D711" s="132" t="n">
        <v>46497</v>
      </c>
      <c r="E711" s="131" t="s">
        <v>49</v>
      </c>
      <c r="F711" s="133" t="s">
        <v>19</v>
      </c>
      <c r="G711" s="134" t="n">
        <f aca="false">LEN('Saisie programme'!$E$35)+SUMIFS('Vols additionnels'!$E$7:$E$66,'Vols additionnels'!$C$7:$C$66,$E711,'Vols additionnels'!$D$7:$D$66,$F711,'Vols additionnels'!$B$7:$B$66,$D711)</f>
        <v>0</v>
      </c>
      <c r="H711" s="135" t="n">
        <f aca="false">$G711*'Analyse capacite'!$F$8</f>
        <v>0</v>
      </c>
      <c r="I711" s="135" t="n">
        <f aca="false">$G711*'Analyse capacite'!$C$8</f>
        <v>0</v>
      </c>
      <c r="J711" s="135" t="n">
        <f aca="false">$G711*'Analyse capacite'!$D$8</f>
        <v>0</v>
      </c>
      <c r="K711" s="135" t="n">
        <f aca="false">$G711*'Analyse capacite'!$E$8</f>
        <v>0</v>
      </c>
    </row>
    <row r="712" customFormat="false" ht="15" hidden="false" customHeight="false" outlineLevel="0" collapsed="false">
      <c r="B712" s="130" t="n">
        <v>2027</v>
      </c>
      <c r="C712" s="131" t="s">
        <v>246</v>
      </c>
      <c r="D712" s="132" t="n">
        <v>46497</v>
      </c>
      <c r="E712" s="131" t="s">
        <v>49</v>
      </c>
      <c r="F712" s="133" t="s">
        <v>24</v>
      </c>
      <c r="G712" s="134" t="n">
        <f aca="false">LEN('Saisie programme'!$E$36)+SUMIFS('Vols additionnels'!$E$7:$E$66,'Vols additionnels'!$C$7:$C$66,$E712,'Vols additionnels'!$D$7:$D$66,$F712,'Vols additionnels'!$B$7:$B$66,$D712)</f>
        <v>0</v>
      </c>
      <c r="H712" s="135" t="n">
        <f aca="false">$G712*'Analyse capacite'!$F$9</f>
        <v>0</v>
      </c>
      <c r="I712" s="135" t="n">
        <f aca="false">$G712*'Analyse capacite'!$C$9</f>
        <v>0</v>
      </c>
      <c r="J712" s="135" t="n">
        <f aca="false">$G712*'Analyse capacite'!$D$9</f>
        <v>0</v>
      </c>
      <c r="K712" s="135" t="n">
        <f aca="false">$G712*'Analyse capacite'!$E$9</f>
        <v>0</v>
      </c>
    </row>
    <row r="713" customFormat="false" ht="15" hidden="false" customHeight="false" outlineLevel="0" collapsed="false">
      <c r="B713" s="130" t="n">
        <v>2027</v>
      </c>
      <c r="C713" s="131" t="s">
        <v>246</v>
      </c>
      <c r="D713" s="132" t="n">
        <v>46497</v>
      </c>
      <c r="E713" s="131" t="s">
        <v>53</v>
      </c>
      <c r="F713" s="133" t="s">
        <v>11</v>
      </c>
      <c r="G713" s="134" t="n">
        <f aca="false">LEN('Saisie programme'!$E$37)+SUMIFS('Vols additionnels'!$E$7:$E$66,'Vols additionnels'!$C$7:$C$66,$E713,'Vols additionnels'!$D$7:$D$66,$F713,'Vols additionnels'!$B$7:$B$66,$D713)</f>
        <v>0</v>
      </c>
      <c r="H713" s="135" t="n">
        <f aca="false">$G713*'Analyse capacite'!$F$7</f>
        <v>0</v>
      </c>
      <c r="I713" s="135" t="n">
        <f aca="false">$G713*'Analyse capacite'!$C$7</f>
        <v>0</v>
      </c>
      <c r="J713" s="135" t="n">
        <f aca="false">$G713*'Analyse capacite'!$D$7</f>
        <v>0</v>
      </c>
      <c r="K713" s="135" t="n">
        <f aca="false">$G713*'Analyse capacite'!$E$7</f>
        <v>0</v>
      </c>
    </row>
    <row r="714" customFormat="false" ht="15" hidden="false" customHeight="false" outlineLevel="0" collapsed="false">
      <c r="B714" s="130" t="n">
        <v>2027</v>
      </c>
      <c r="C714" s="131" t="s">
        <v>246</v>
      </c>
      <c r="D714" s="132" t="n">
        <v>46497</v>
      </c>
      <c r="E714" s="131" t="s">
        <v>53</v>
      </c>
      <c r="F714" s="133" t="s">
        <v>19</v>
      </c>
      <c r="G714" s="134" t="n">
        <f aca="false">LEN('Saisie programme'!$E$38)+SUMIFS('Vols additionnels'!$E$7:$E$66,'Vols additionnels'!$C$7:$C$66,$E714,'Vols additionnels'!$D$7:$D$66,$F714,'Vols additionnels'!$B$7:$B$66,$D714)</f>
        <v>0</v>
      </c>
      <c r="H714" s="135" t="n">
        <f aca="false">$G714*'Analyse capacite'!$F$8</f>
        <v>0</v>
      </c>
      <c r="I714" s="135" t="n">
        <f aca="false">$G714*'Analyse capacite'!$C$8</f>
        <v>0</v>
      </c>
      <c r="J714" s="135" t="n">
        <f aca="false">$G714*'Analyse capacite'!$D$8</f>
        <v>0</v>
      </c>
      <c r="K714" s="135" t="n">
        <f aca="false">$G714*'Analyse capacite'!$E$8</f>
        <v>0</v>
      </c>
    </row>
    <row r="715" customFormat="false" ht="15" hidden="false" customHeight="false" outlineLevel="0" collapsed="false">
      <c r="B715" s="130" t="n">
        <v>2027</v>
      </c>
      <c r="C715" s="131" t="s">
        <v>246</v>
      </c>
      <c r="D715" s="132" t="n">
        <v>46497</v>
      </c>
      <c r="E715" s="131" t="s">
        <v>53</v>
      </c>
      <c r="F715" s="133" t="s">
        <v>24</v>
      </c>
      <c r="G715" s="134" t="n">
        <f aca="false">LEN('Saisie programme'!$E$39)+SUMIFS('Vols additionnels'!$E$7:$E$66,'Vols additionnels'!$C$7:$C$66,$E715,'Vols additionnels'!$D$7:$D$66,$F715,'Vols additionnels'!$B$7:$B$66,$D715)</f>
        <v>0</v>
      </c>
      <c r="H715" s="135" t="n">
        <f aca="false">$G715*'Analyse capacite'!$F$9</f>
        <v>0</v>
      </c>
      <c r="I715" s="135" t="n">
        <f aca="false">$G715*'Analyse capacite'!$C$9</f>
        <v>0</v>
      </c>
      <c r="J715" s="135" t="n">
        <f aca="false">$G715*'Analyse capacite'!$D$9</f>
        <v>0</v>
      </c>
      <c r="K715" s="135" t="n">
        <f aca="false">$G715*'Analyse capacite'!$E$9</f>
        <v>0</v>
      </c>
    </row>
    <row r="716" customFormat="false" ht="15" hidden="false" customHeight="false" outlineLevel="0" collapsed="false">
      <c r="B716" s="130" t="n">
        <v>2027</v>
      </c>
      <c r="C716" s="131" t="s">
        <v>246</v>
      </c>
      <c r="D716" s="132" t="n">
        <v>46497</v>
      </c>
      <c r="E716" s="131" t="s">
        <v>56</v>
      </c>
      <c r="F716" s="133" t="s">
        <v>11</v>
      </c>
      <c r="G716" s="134" t="n">
        <f aca="false">LEN('Saisie programme'!$E$40)+SUMIFS('Vols additionnels'!$E$7:$E$66,'Vols additionnels'!$C$7:$C$66,$E716,'Vols additionnels'!$D$7:$D$66,$F716,'Vols additionnels'!$B$7:$B$66,$D716)</f>
        <v>0</v>
      </c>
      <c r="H716" s="135" t="n">
        <f aca="false">$G716*'Analyse capacite'!$F$7</f>
        <v>0</v>
      </c>
      <c r="I716" s="135" t="n">
        <f aca="false">$G716*'Analyse capacite'!$C$7</f>
        <v>0</v>
      </c>
      <c r="J716" s="135" t="n">
        <f aca="false">$G716*'Analyse capacite'!$D$7</f>
        <v>0</v>
      </c>
      <c r="K716" s="135" t="n">
        <f aca="false">$G716*'Analyse capacite'!$E$7</f>
        <v>0</v>
      </c>
    </row>
    <row r="717" customFormat="false" ht="15" hidden="false" customHeight="false" outlineLevel="0" collapsed="false">
      <c r="B717" s="130" t="n">
        <v>2027</v>
      </c>
      <c r="C717" s="131" t="s">
        <v>246</v>
      </c>
      <c r="D717" s="132" t="n">
        <v>46497</v>
      </c>
      <c r="E717" s="131" t="s">
        <v>56</v>
      </c>
      <c r="F717" s="133" t="s">
        <v>19</v>
      </c>
      <c r="G717" s="134" t="n">
        <f aca="false">LEN('Saisie programme'!$E$41)+SUMIFS('Vols additionnels'!$E$7:$E$66,'Vols additionnels'!$C$7:$C$66,$E717,'Vols additionnels'!$D$7:$D$66,$F717,'Vols additionnels'!$B$7:$B$66,$D717)</f>
        <v>0</v>
      </c>
      <c r="H717" s="135" t="n">
        <f aca="false">$G717*'Analyse capacite'!$F$8</f>
        <v>0</v>
      </c>
      <c r="I717" s="135" t="n">
        <f aca="false">$G717*'Analyse capacite'!$C$8</f>
        <v>0</v>
      </c>
      <c r="J717" s="135" t="n">
        <f aca="false">$G717*'Analyse capacite'!$D$8</f>
        <v>0</v>
      </c>
      <c r="K717" s="135" t="n">
        <f aca="false">$G717*'Analyse capacite'!$E$8</f>
        <v>0</v>
      </c>
    </row>
    <row r="718" customFormat="false" ht="15" hidden="false" customHeight="false" outlineLevel="0" collapsed="false">
      <c r="B718" s="130" t="n">
        <v>2027</v>
      </c>
      <c r="C718" s="131" t="s">
        <v>246</v>
      </c>
      <c r="D718" s="132" t="n">
        <v>46497</v>
      </c>
      <c r="E718" s="131" t="s">
        <v>56</v>
      </c>
      <c r="F718" s="133" t="s">
        <v>24</v>
      </c>
      <c r="G718" s="134" t="n">
        <f aca="false">LEN('Saisie programme'!$E$42)+SUMIFS('Vols additionnels'!$E$7:$E$66,'Vols additionnels'!$C$7:$C$66,$E718,'Vols additionnels'!$D$7:$D$66,$F718,'Vols additionnels'!$B$7:$B$66,$D718)</f>
        <v>1</v>
      </c>
      <c r="H718" s="135" t="n">
        <f aca="false">$G718*'Analyse capacite'!$F$9</f>
        <v>174</v>
      </c>
      <c r="I718" s="135" t="n">
        <f aca="false">$G718*'Analyse capacite'!$C$9</f>
        <v>0</v>
      </c>
      <c r="J718" s="135" t="n">
        <f aca="false">$G718*'Analyse capacite'!$D$9</f>
        <v>12</v>
      </c>
      <c r="K718" s="135" t="n">
        <f aca="false">$G718*'Analyse capacite'!$E$9</f>
        <v>162</v>
      </c>
    </row>
    <row r="719" customFormat="false" ht="15" hidden="false" customHeight="false" outlineLevel="0" collapsed="false">
      <c r="B719" s="130" t="n">
        <v>2027</v>
      </c>
      <c r="C719" s="131" t="s">
        <v>246</v>
      </c>
      <c r="D719" s="132" t="n">
        <v>46497</v>
      </c>
      <c r="E719" s="131" t="s">
        <v>59</v>
      </c>
      <c r="F719" s="133" t="s">
        <v>11</v>
      </c>
      <c r="G719" s="134" t="n">
        <f aca="false">LEN('Saisie programme'!$E$43)+SUMIFS('Vols additionnels'!$E$7:$E$66,'Vols additionnels'!$C$7:$C$66,$E719,'Vols additionnels'!$D$7:$D$66,$F719,'Vols additionnels'!$B$7:$B$66,$D719)</f>
        <v>0</v>
      </c>
      <c r="H719" s="135" t="n">
        <f aca="false">$G719*'Analyse capacite'!$F$7</f>
        <v>0</v>
      </c>
      <c r="I719" s="135" t="n">
        <f aca="false">$G719*'Analyse capacite'!$C$7</f>
        <v>0</v>
      </c>
      <c r="J719" s="135" t="n">
        <f aca="false">$G719*'Analyse capacite'!$D$7</f>
        <v>0</v>
      </c>
      <c r="K719" s="135" t="n">
        <f aca="false">$G719*'Analyse capacite'!$E$7</f>
        <v>0</v>
      </c>
    </row>
    <row r="720" customFormat="false" ht="15" hidden="false" customHeight="false" outlineLevel="0" collapsed="false">
      <c r="B720" s="130" t="n">
        <v>2027</v>
      </c>
      <c r="C720" s="131" t="s">
        <v>246</v>
      </c>
      <c r="D720" s="132" t="n">
        <v>46497</v>
      </c>
      <c r="E720" s="131" t="s">
        <v>59</v>
      </c>
      <c r="F720" s="133" t="s">
        <v>19</v>
      </c>
      <c r="G720" s="134" t="n">
        <f aca="false">LEN('Saisie programme'!$E$44)+SUMIFS('Vols additionnels'!$E$7:$E$66,'Vols additionnels'!$C$7:$C$66,$E720,'Vols additionnels'!$D$7:$D$66,$F720,'Vols additionnels'!$B$7:$B$66,$D720)</f>
        <v>0</v>
      </c>
      <c r="H720" s="135" t="n">
        <f aca="false">$G720*'Analyse capacite'!$F$8</f>
        <v>0</v>
      </c>
      <c r="I720" s="135" t="n">
        <f aca="false">$G720*'Analyse capacite'!$C$8</f>
        <v>0</v>
      </c>
      <c r="J720" s="135" t="n">
        <f aca="false">$G720*'Analyse capacite'!$D$8</f>
        <v>0</v>
      </c>
      <c r="K720" s="135" t="n">
        <f aca="false">$G720*'Analyse capacite'!$E$8</f>
        <v>0</v>
      </c>
    </row>
    <row r="721" customFormat="false" ht="15" hidden="false" customHeight="false" outlineLevel="0" collapsed="false">
      <c r="B721" s="130" t="n">
        <v>2027</v>
      </c>
      <c r="C721" s="131" t="s">
        <v>246</v>
      </c>
      <c r="D721" s="132" t="n">
        <v>46497</v>
      </c>
      <c r="E721" s="131" t="s">
        <v>59</v>
      </c>
      <c r="F721" s="133" t="s">
        <v>24</v>
      </c>
      <c r="G721" s="134" t="n">
        <f aca="false">LEN('Saisie programme'!$E$45)+SUMIFS('Vols additionnels'!$E$7:$E$66,'Vols additionnels'!$C$7:$C$66,$E721,'Vols additionnels'!$D$7:$D$66,$F721,'Vols additionnels'!$B$7:$B$66,$D721)</f>
        <v>1</v>
      </c>
      <c r="H721" s="135" t="n">
        <f aca="false">$G721*'Analyse capacite'!$F$9</f>
        <v>174</v>
      </c>
      <c r="I721" s="135" t="n">
        <f aca="false">$G721*'Analyse capacite'!$C$9</f>
        <v>0</v>
      </c>
      <c r="J721" s="135" t="n">
        <f aca="false">$G721*'Analyse capacite'!$D$9</f>
        <v>12</v>
      </c>
      <c r="K721" s="135" t="n">
        <f aca="false">$G721*'Analyse capacite'!$E$9</f>
        <v>162</v>
      </c>
    </row>
    <row r="722" customFormat="false" ht="15" hidden="false" customHeight="false" outlineLevel="0" collapsed="false">
      <c r="B722" s="130" t="n">
        <v>2027</v>
      </c>
      <c r="C722" s="131" t="s">
        <v>246</v>
      </c>
      <c r="D722" s="132" t="n">
        <v>46497</v>
      </c>
      <c r="E722" s="131" t="s">
        <v>62</v>
      </c>
      <c r="F722" s="133" t="s">
        <v>11</v>
      </c>
      <c r="G722" s="134" t="n">
        <f aca="false">LEN('Saisie programme'!$E$46)+SUMIFS('Vols additionnels'!$E$7:$E$66,'Vols additionnels'!$C$7:$C$66,$E722,'Vols additionnels'!$D$7:$D$66,$F722,'Vols additionnels'!$B$7:$B$66,$D722)</f>
        <v>0</v>
      </c>
      <c r="H722" s="135" t="n">
        <f aca="false">$G722*'Analyse capacite'!$F$7</f>
        <v>0</v>
      </c>
      <c r="I722" s="135" t="n">
        <f aca="false">$G722*'Analyse capacite'!$C$7</f>
        <v>0</v>
      </c>
      <c r="J722" s="135" t="n">
        <f aca="false">$G722*'Analyse capacite'!$D$7</f>
        <v>0</v>
      </c>
      <c r="K722" s="135" t="n">
        <f aca="false">$G722*'Analyse capacite'!$E$7</f>
        <v>0</v>
      </c>
    </row>
    <row r="723" customFormat="false" ht="15" hidden="false" customHeight="false" outlineLevel="0" collapsed="false">
      <c r="B723" s="130" t="n">
        <v>2027</v>
      </c>
      <c r="C723" s="131" t="s">
        <v>246</v>
      </c>
      <c r="D723" s="132" t="n">
        <v>46497</v>
      </c>
      <c r="E723" s="131" t="s">
        <v>62</v>
      </c>
      <c r="F723" s="133" t="s">
        <v>19</v>
      </c>
      <c r="G723" s="134" t="n">
        <f aca="false">LEN('Saisie programme'!$E$47)+SUMIFS('Vols additionnels'!$E$7:$E$66,'Vols additionnels'!$C$7:$C$66,$E723,'Vols additionnels'!$D$7:$D$66,$F723,'Vols additionnels'!$B$7:$B$66,$D723)</f>
        <v>0</v>
      </c>
      <c r="H723" s="135" t="n">
        <f aca="false">$G723*'Analyse capacite'!$F$8</f>
        <v>0</v>
      </c>
      <c r="I723" s="135" t="n">
        <f aca="false">$G723*'Analyse capacite'!$C$8</f>
        <v>0</v>
      </c>
      <c r="J723" s="135" t="n">
        <f aca="false">$G723*'Analyse capacite'!$D$8</f>
        <v>0</v>
      </c>
      <c r="K723" s="135" t="n">
        <f aca="false">$G723*'Analyse capacite'!$E$8</f>
        <v>0</v>
      </c>
    </row>
    <row r="724" customFormat="false" ht="15" hidden="false" customHeight="false" outlineLevel="0" collapsed="false">
      <c r="B724" s="130" t="n">
        <v>2027</v>
      </c>
      <c r="C724" s="131" t="s">
        <v>246</v>
      </c>
      <c r="D724" s="132" t="n">
        <v>46497</v>
      </c>
      <c r="E724" s="131" t="s">
        <v>62</v>
      </c>
      <c r="F724" s="133" t="s">
        <v>24</v>
      </c>
      <c r="G724" s="134" t="n">
        <f aca="false">LEN('Saisie programme'!$E$48)+SUMIFS('Vols additionnels'!$E$7:$E$66,'Vols additionnels'!$C$7:$C$66,$E724,'Vols additionnels'!$D$7:$D$66,$F724,'Vols additionnels'!$B$7:$B$66,$D724)</f>
        <v>0</v>
      </c>
      <c r="H724" s="135" t="n">
        <f aca="false">$G724*'Analyse capacite'!$F$9</f>
        <v>0</v>
      </c>
      <c r="I724" s="135" t="n">
        <f aca="false">$G724*'Analyse capacite'!$C$9</f>
        <v>0</v>
      </c>
      <c r="J724" s="135" t="n">
        <f aca="false">$G724*'Analyse capacite'!$D$9</f>
        <v>0</v>
      </c>
      <c r="K724" s="135" t="n">
        <f aca="false">$G724*'Analyse capacite'!$E$9</f>
        <v>0</v>
      </c>
    </row>
    <row r="725" customFormat="false" ht="15" hidden="false" customHeight="false" outlineLevel="0" collapsed="false">
      <c r="B725" s="130" t="n">
        <v>2027</v>
      </c>
      <c r="C725" s="131" t="s">
        <v>246</v>
      </c>
      <c r="D725" s="132" t="n">
        <v>46498</v>
      </c>
      <c r="E725" s="131" t="s">
        <v>12</v>
      </c>
      <c r="F725" s="133" t="s">
        <v>11</v>
      </c>
      <c r="G725" s="134" t="n">
        <f aca="false">LEN('Saisie programme'!$F$13)+SUMIFS('Vols additionnels'!$E$7:$E$66,'Vols additionnels'!$C$7:$C$66,$E725,'Vols additionnels'!$D$7:$D$66,$F725,'Vols additionnels'!$B$7:$B$66,$D725)</f>
        <v>1</v>
      </c>
      <c r="H725" s="135" t="n">
        <f aca="false">$G725*'Analyse capacite'!$F$7</f>
        <v>438</v>
      </c>
      <c r="I725" s="135" t="n">
        <f aca="false">$G725*'Analyse capacite'!$C$7</f>
        <v>14</v>
      </c>
      <c r="J725" s="135" t="n">
        <f aca="false">$G725*'Analyse capacite'!$D$7</f>
        <v>40</v>
      </c>
      <c r="K725" s="135" t="n">
        <f aca="false">$G725*'Analyse capacite'!$E$7</f>
        <v>384</v>
      </c>
    </row>
    <row r="726" customFormat="false" ht="15" hidden="false" customHeight="false" outlineLevel="0" collapsed="false">
      <c r="B726" s="130" t="n">
        <v>2027</v>
      </c>
      <c r="C726" s="131" t="s">
        <v>246</v>
      </c>
      <c r="D726" s="132" t="n">
        <v>46498</v>
      </c>
      <c r="E726" s="131" t="s">
        <v>12</v>
      </c>
      <c r="F726" s="133" t="s">
        <v>19</v>
      </c>
      <c r="G726" s="134" t="n">
        <f aca="false">LEN('Saisie programme'!$F$14)+SUMIFS('Vols additionnels'!$E$7:$E$66,'Vols additionnels'!$C$7:$C$66,$E726,'Vols additionnels'!$D$7:$D$66,$F726,'Vols additionnels'!$B$7:$B$66,$D726)</f>
        <v>0</v>
      </c>
      <c r="H726" s="135" t="n">
        <f aca="false">$G726*'Analyse capacite'!$F$8</f>
        <v>0</v>
      </c>
      <c r="I726" s="135" t="n">
        <f aca="false">$G726*'Analyse capacite'!$C$8</f>
        <v>0</v>
      </c>
      <c r="J726" s="135" t="n">
        <f aca="false">$G726*'Analyse capacite'!$D$8</f>
        <v>0</v>
      </c>
      <c r="K726" s="135" t="n">
        <f aca="false">$G726*'Analyse capacite'!$E$8</f>
        <v>0</v>
      </c>
    </row>
    <row r="727" customFormat="false" ht="15" hidden="false" customHeight="false" outlineLevel="0" collapsed="false">
      <c r="B727" s="130" t="n">
        <v>2027</v>
      </c>
      <c r="C727" s="131" t="s">
        <v>246</v>
      </c>
      <c r="D727" s="132" t="n">
        <v>46498</v>
      </c>
      <c r="E727" s="131" t="s">
        <v>12</v>
      </c>
      <c r="F727" s="133" t="s">
        <v>24</v>
      </c>
      <c r="G727" s="134" t="n">
        <f aca="false">LEN('Saisie programme'!$F$15)+SUMIFS('Vols additionnels'!$E$7:$E$66,'Vols additionnels'!$C$7:$C$66,$E727,'Vols additionnels'!$D$7:$D$66,$F727,'Vols additionnels'!$B$7:$B$66,$D727)</f>
        <v>0</v>
      </c>
      <c r="H727" s="135" t="n">
        <f aca="false">$G727*'Analyse capacite'!$F$9</f>
        <v>0</v>
      </c>
      <c r="I727" s="135" t="n">
        <f aca="false">$G727*'Analyse capacite'!$C$9</f>
        <v>0</v>
      </c>
      <c r="J727" s="135" t="n">
        <f aca="false">$G727*'Analyse capacite'!$D$9</f>
        <v>0</v>
      </c>
      <c r="K727" s="135" t="n">
        <f aca="false">$G727*'Analyse capacite'!$E$9</f>
        <v>0</v>
      </c>
    </row>
    <row r="728" customFormat="false" ht="15" hidden="false" customHeight="false" outlineLevel="0" collapsed="false">
      <c r="B728" s="130" t="n">
        <v>2027</v>
      </c>
      <c r="C728" s="131" t="s">
        <v>246</v>
      </c>
      <c r="D728" s="132" t="n">
        <v>46498</v>
      </c>
      <c r="E728" s="131" t="s">
        <v>20</v>
      </c>
      <c r="F728" s="133" t="s">
        <v>11</v>
      </c>
      <c r="G728" s="134" t="n">
        <f aca="false">LEN('Saisie programme'!$F$16)+SUMIFS('Vols additionnels'!$E$7:$E$66,'Vols additionnels'!$C$7:$C$66,$E728,'Vols additionnels'!$D$7:$D$66,$F728,'Vols additionnels'!$B$7:$B$66,$D728)</f>
        <v>0</v>
      </c>
      <c r="H728" s="135" t="n">
        <f aca="false">$G728*'Analyse capacite'!$F$7</f>
        <v>0</v>
      </c>
      <c r="I728" s="135" t="n">
        <f aca="false">$G728*'Analyse capacite'!$C$7</f>
        <v>0</v>
      </c>
      <c r="J728" s="135" t="n">
        <f aca="false">$G728*'Analyse capacite'!$D$7</f>
        <v>0</v>
      </c>
      <c r="K728" s="135" t="n">
        <f aca="false">$G728*'Analyse capacite'!$E$7</f>
        <v>0</v>
      </c>
    </row>
    <row r="729" customFormat="false" ht="15" hidden="false" customHeight="false" outlineLevel="0" collapsed="false">
      <c r="B729" s="130" t="n">
        <v>2027</v>
      </c>
      <c r="C729" s="131" t="s">
        <v>246</v>
      </c>
      <c r="D729" s="132" t="n">
        <v>46498</v>
      </c>
      <c r="E729" s="131" t="s">
        <v>20</v>
      </c>
      <c r="F729" s="133" t="s">
        <v>19</v>
      </c>
      <c r="G729" s="134" t="n">
        <f aca="false">LEN('Saisie programme'!$F$17)+SUMIFS('Vols additionnels'!$E$7:$E$66,'Vols additionnels'!$C$7:$C$66,$E729,'Vols additionnels'!$D$7:$D$66,$F729,'Vols additionnels'!$B$7:$B$66,$D729)</f>
        <v>0</v>
      </c>
      <c r="H729" s="135" t="n">
        <f aca="false">$G729*'Analyse capacite'!$F$8</f>
        <v>0</v>
      </c>
      <c r="I729" s="135" t="n">
        <f aca="false">$G729*'Analyse capacite'!$C$8</f>
        <v>0</v>
      </c>
      <c r="J729" s="135" t="n">
        <f aca="false">$G729*'Analyse capacite'!$D$8</f>
        <v>0</v>
      </c>
      <c r="K729" s="135" t="n">
        <f aca="false">$G729*'Analyse capacite'!$E$8</f>
        <v>0</v>
      </c>
    </row>
    <row r="730" customFormat="false" ht="15" hidden="false" customHeight="false" outlineLevel="0" collapsed="false">
      <c r="B730" s="130" t="n">
        <v>2027</v>
      </c>
      <c r="C730" s="131" t="s">
        <v>246</v>
      </c>
      <c r="D730" s="132" t="n">
        <v>46498</v>
      </c>
      <c r="E730" s="131" t="s">
        <v>20</v>
      </c>
      <c r="F730" s="133" t="s">
        <v>24</v>
      </c>
      <c r="G730" s="134" t="n">
        <f aca="false">LEN('Saisie programme'!$F$18)+SUMIFS('Vols additionnels'!$E$7:$E$66,'Vols additionnels'!$C$7:$C$66,$E730,'Vols additionnels'!$D$7:$D$66,$F730,'Vols additionnels'!$B$7:$B$66,$D730)</f>
        <v>0</v>
      </c>
      <c r="H730" s="135" t="n">
        <f aca="false">$G730*'Analyse capacite'!$F$9</f>
        <v>0</v>
      </c>
      <c r="I730" s="135" t="n">
        <f aca="false">$G730*'Analyse capacite'!$C$9</f>
        <v>0</v>
      </c>
      <c r="J730" s="135" t="n">
        <f aca="false">$G730*'Analyse capacite'!$D$9</f>
        <v>0</v>
      </c>
      <c r="K730" s="135" t="n">
        <f aca="false">$G730*'Analyse capacite'!$E$9</f>
        <v>0</v>
      </c>
    </row>
    <row r="731" customFormat="false" ht="15" hidden="false" customHeight="false" outlineLevel="0" collapsed="false">
      <c r="B731" s="130" t="n">
        <v>2027</v>
      </c>
      <c r="C731" s="131" t="s">
        <v>246</v>
      </c>
      <c r="D731" s="132" t="n">
        <v>46498</v>
      </c>
      <c r="E731" s="131" t="s">
        <v>25</v>
      </c>
      <c r="F731" s="133" t="s">
        <v>11</v>
      </c>
      <c r="G731" s="134" t="n">
        <f aca="false">LEN('Saisie programme'!$F$19)+SUMIFS('Vols additionnels'!$E$7:$E$66,'Vols additionnels'!$C$7:$C$66,$E731,'Vols additionnels'!$D$7:$D$66,$F731,'Vols additionnels'!$B$7:$B$66,$D731)</f>
        <v>0</v>
      </c>
      <c r="H731" s="135" t="n">
        <f aca="false">$G731*'Analyse capacite'!$F$7</f>
        <v>0</v>
      </c>
      <c r="I731" s="135" t="n">
        <f aca="false">$G731*'Analyse capacite'!$C$7</f>
        <v>0</v>
      </c>
      <c r="J731" s="135" t="n">
        <f aca="false">$G731*'Analyse capacite'!$D$7</f>
        <v>0</v>
      </c>
      <c r="K731" s="135" t="n">
        <f aca="false">$G731*'Analyse capacite'!$E$7</f>
        <v>0</v>
      </c>
    </row>
    <row r="732" customFormat="false" ht="15" hidden="false" customHeight="false" outlineLevel="0" collapsed="false">
      <c r="B732" s="130" t="n">
        <v>2027</v>
      </c>
      <c r="C732" s="131" t="s">
        <v>246</v>
      </c>
      <c r="D732" s="132" t="n">
        <v>46498</v>
      </c>
      <c r="E732" s="131" t="s">
        <v>25</v>
      </c>
      <c r="F732" s="133" t="s">
        <v>19</v>
      </c>
      <c r="G732" s="134" t="n">
        <f aca="false">LEN('Saisie programme'!$F$20)+SUMIFS('Vols additionnels'!$E$7:$E$66,'Vols additionnels'!$C$7:$C$66,$E732,'Vols additionnels'!$D$7:$D$66,$F732,'Vols additionnels'!$B$7:$B$66,$D732)</f>
        <v>1</v>
      </c>
      <c r="H732" s="135" t="n">
        <f aca="false">$G732*'Analyse capacite'!$F$8</f>
        <v>262</v>
      </c>
      <c r="I732" s="135" t="n">
        <f aca="false">$G732*'Analyse capacite'!$C$8</f>
        <v>18</v>
      </c>
      <c r="J732" s="135" t="n">
        <f aca="false">$G732*'Analyse capacite'!$D$8</f>
        <v>0</v>
      </c>
      <c r="K732" s="135" t="n">
        <f aca="false">$G732*'Analyse capacite'!$E$8</f>
        <v>244</v>
      </c>
    </row>
    <row r="733" customFormat="false" ht="15" hidden="false" customHeight="false" outlineLevel="0" collapsed="false">
      <c r="B733" s="130" t="n">
        <v>2027</v>
      </c>
      <c r="C733" s="131" t="s">
        <v>246</v>
      </c>
      <c r="D733" s="132" t="n">
        <v>46498</v>
      </c>
      <c r="E733" s="131" t="s">
        <v>25</v>
      </c>
      <c r="F733" s="133" t="s">
        <v>24</v>
      </c>
      <c r="G733" s="134" t="n">
        <f aca="false">LEN('Saisie programme'!$F$21)+SUMIFS('Vols additionnels'!$E$7:$E$66,'Vols additionnels'!$C$7:$C$66,$E733,'Vols additionnels'!$D$7:$D$66,$F733,'Vols additionnels'!$B$7:$B$66,$D733)</f>
        <v>0</v>
      </c>
      <c r="H733" s="135" t="n">
        <f aca="false">$G733*'Analyse capacite'!$F$9</f>
        <v>0</v>
      </c>
      <c r="I733" s="135" t="n">
        <f aca="false">$G733*'Analyse capacite'!$C$9</f>
        <v>0</v>
      </c>
      <c r="J733" s="135" t="n">
        <f aca="false">$G733*'Analyse capacite'!$D$9</f>
        <v>0</v>
      </c>
      <c r="K733" s="135" t="n">
        <f aca="false">$G733*'Analyse capacite'!$E$9</f>
        <v>0</v>
      </c>
    </row>
    <row r="734" customFormat="false" ht="15" hidden="false" customHeight="false" outlineLevel="0" collapsed="false">
      <c r="B734" s="130" t="n">
        <v>2027</v>
      </c>
      <c r="C734" s="131" t="s">
        <v>246</v>
      </c>
      <c r="D734" s="132" t="n">
        <v>46498</v>
      </c>
      <c r="E734" s="131" t="s">
        <v>36</v>
      </c>
      <c r="F734" s="133" t="s">
        <v>11</v>
      </c>
      <c r="G734" s="134" t="n">
        <f aca="false">LEN('Saisie programme'!$F$22)+SUMIFS('Vols additionnels'!$E$7:$E$66,'Vols additionnels'!$C$7:$C$66,$E734,'Vols additionnels'!$D$7:$D$66,$F734,'Vols additionnels'!$B$7:$B$66,$D734)</f>
        <v>0</v>
      </c>
      <c r="H734" s="135" t="n">
        <f aca="false">$G734*'Analyse capacite'!$F$7</f>
        <v>0</v>
      </c>
      <c r="I734" s="135" t="n">
        <f aca="false">$G734*'Analyse capacite'!$C$7</f>
        <v>0</v>
      </c>
      <c r="J734" s="135" t="n">
        <f aca="false">$G734*'Analyse capacite'!$D$7</f>
        <v>0</v>
      </c>
      <c r="K734" s="135" t="n">
        <f aca="false">$G734*'Analyse capacite'!$E$7</f>
        <v>0</v>
      </c>
    </row>
    <row r="735" customFormat="false" ht="15" hidden="false" customHeight="false" outlineLevel="0" collapsed="false">
      <c r="B735" s="130" t="n">
        <v>2027</v>
      </c>
      <c r="C735" s="131" t="s">
        <v>246</v>
      </c>
      <c r="D735" s="132" t="n">
        <v>46498</v>
      </c>
      <c r="E735" s="131" t="s">
        <v>36</v>
      </c>
      <c r="F735" s="133" t="s">
        <v>19</v>
      </c>
      <c r="G735" s="134" t="n">
        <f aca="false">LEN('Saisie programme'!$F$23)+SUMIFS('Vols additionnels'!$E$7:$E$66,'Vols additionnels'!$C$7:$C$66,$E735,'Vols additionnels'!$D$7:$D$66,$F735,'Vols additionnels'!$B$7:$B$66,$D735)</f>
        <v>1</v>
      </c>
      <c r="H735" s="135" t="n">
        <f aca="false">$G735*'Analyse capacite'!$F$8</f>
        <v>262</v>
      </c>
      <c r="I735" s="135" t="n">
        <f aca="false">$G735*'Analyse capacite'!$C$8</f>
        <v>18</v>
      </c>
      <c r="J735" s="135" t="n">
        <f aca="false">$G735*'Analyse capacite'!$D$8</f>
        <v>0</v>
      </c>
      <c r="K735" s="135" t="n">
        <f aca="false">$G735*'Analyse capacite'!$E$8</f>
        <v>244</v>
      </c>
    </row>
    <row r="736" customFormat="false" ht="15" hidden="false" customHeight="false" outlineLevel="0" collapsed="false">
      <c r="B736" s="130" t="n">
        <v>2027</v>
      </c>
      <c r="C736" s="131" t="s">
        <v>246</v>
      </c>
      <c r="D736" s="132" t="n">
        <v>46498</v>
      </c>
      <c r="E736" s="131" t="s">
        <v>36</v>
      </c>
      <c r="F736" s="133" t="s">
        <v>24</v>
      </c>
      <c r="G736" s="134" t="n">
        <f aca="false">LEN('Saisie programme'!$F$24)+SUMIFS('Vols additionnels'!$E$7:$E$66,'Vols additionnels'!$C$7:$C$66,$E736,'Vols additionnels'!$D$7:$D$66,$F736,'Vols additionnels'!$B$7:$B$66,$D736)</f>
        <v>1</v>
      </c>
      <c r="H736" s="135" t="n">
        <f aca="false">$G736*'Analyse capacite'!$F$9</f>
        <v>174</v>
      </c>
      <c r="I736" s="135" t="n">
        <f aca="false">$G736*'Analyse capacite'!$C$9</f>
        <v>0</v>
      </c>
      <c r="J736" s="135" t="n">
        <f aca="false">$G736*'Analyse capacite'!$D$9</f>
        <v>12</v>
      </c>
      <c r="K736" s="135" t="n">
        <f aca="false">$G736*'Analyse capacite'!$E$9</f>
        <v>162</v>
      </c>
    </row>
    <row r="737" customFormat="false" ht="15" hidden="false" customHeight="false" outlineLevel="0" collapsed="false">
      <c r="B737" s="130" t="n">
        <v>2027</v>
      </c>
      <c r="C737" s="131" t="s">
        <v>246</v>
      </c>
      <c r="D737" s="132" t="n">
        <v>46498</v>
      </c>
      <c r="E737" s="131" t="s">
        <v>40</v>
      </c>
      <c r="F737" s="133" t="s">
        <v>11</v>
      </c>
      <c r="G737" s="134" t="n">
        <f aca="false">LEN('Saisie programme'!$F$25)+SUMIFS('Vols additionnels'!$E$7:$E$66,'Vols additionnels'!$C$7:$C$66,$E737,'Vols additionnels'!$D$7:$D$66,$F737,'Vols additionnels'!$B$7:$B$66,$D737)</f>
        <v>0</v>
      </c>
      <c r="H737" s="135" t="n">
        <f aca="false">$G737*'Analyse capacite'!$F$7</f>
        <v>0</v>
      </c>
      <c r="I737" s="135" t="n">
        <f aca="false">$G737*'Analyse capacite'!$C$7</f>
        <v>0</v>
      </c>
      <c r="J737" s="135" t="n">
        <f aca="false">$G737*'Analyse capacite'!$D$7</f>
        <v>0</v>
      </c>
      <c r="K737" s="135" t="n">
        <f aca="false">$G737*'Analyse capacite'!$E$7</f>
        <v>0</v>
      </c>
    </row>
    <row r="738" customFormat="false" ht="15" hidden="false" customHeight="false" outlineLevel="0" collapsed="false">
      <c r="B738" s="130" t="n">
        <v>2027</v>
      </c>
      <c r="C738" s="131" t="s">
        <v>246</v>
      </c>
      <c r="D738" s="132" t="n">
        <v>46498</v>
      </c>
      <c r="E738" s="131" t="s">
        <v>40</v>
      </c>
      <c r="F738" s="133" t="s">
        <v>19</v>
      </c>
      <c r="G738" s="134" t="n">
        <f aca="false">LEN('Saisie programme'!$F$26)+SUMIFS('Vols additionnels'!$E$7:$E$66,'Vols additionnels'!$C$7:$C$66,$E738,'Vols additionnels'!$D$7:$D$66,$F738,'Vols additionnels'!$B$7:$B$66,$D738)</f>
        <v>0</v>
      </c>
      <c r="H738" s="135" t="n">
        <f aca="false">$G738*'Analyse capacite'!$F$8</f>
        <v>0</v>
      </c>
      <c r="I738" s="135" t="n">
        <f aca="false">$G738*'Analyse capacite'!$C$8</f>
        <v>0</v>
      </c>
      <c r="J738" s="135" t="n">
        <f aca="false">$G738*'Analyse capacite'!$D$8</f>
        <v>0</v>
      </c>
      <c r="K738" s="135" t="n">
        <f aca="false">$G738*'Analyse capacite'!$E$8</f>
        <v>0</v>
      </c>
    </row>
    <row r="739" customFormat="false" ht="15" hidden="false" customHeight="false" outlineLevel="0" collapsed="false">
      <c r="B739" s="130" t="n">
        <v>2027</v>
      </c>
      <c r="C739" s="131" t="s">
        <v>246</v>
      </c>
      <c r="D739" s="132" t="n">
        <v>46498</v>
      </c>
      <c r="E739" s="131" t="s">
        <v>40</v>
      </c>
      <c r="F739" s="133" t="s">
        <v>24</v>
      </c>
      <c r="G739" s="134" t="n">
        <f aca="false">LEN('Saisie programme'!$F$27)+SUMIFS('Vols additionnels'!$E$7:$E$66,'Vols additionnels'!$C$7:$C$66,$E739,'Vols additionnels'!$D$7:$D$66,$F739,'Vols additionnels'!$B$7:$B$66,$D739)</f>
        <v>1</v>
      </c>
      <c r="H739" s="135" t="n">
        <f aca="false">$G739*'Analyse capacite'!$F$9</f>
        <v>174</v>
      </c>
      <c r="I739" s="135" t="n">
        <f aca="false">$G739*'Analyse capacite'!$C$9</f>
        <v>0</v>
      </c>
      <c r="J739" s="135" t="n">
        <f aca="false">$G739*'Analyse capacite'!$D$9</f>
        <v>12</v>
      </c>
      <c r="K739" s="135" t="n">
        <f aca="false">$G739*'Analyse capacite'!$E$9</f>
        <v>162</v>
      </c>
    </row>
    <row r="740" customFormat="false" ht="15" hidden="false" customHeight="false" outlineLevel="0" collapsed="false">
      <c r="B740" s="130" t="n">
        <v>2027</v>
      </c>
      <c r="C740" s="131" t="s">
        <v>246</v>
      </c>
      <c r="D740" s="132" t="n">
        <v>46498</v>
      </c>
      <c r="E740" s="131" t="s">
        <v>14</v>
      </c>
      <c r="F740" s="133" t="s">
        <v>11</v>
      </c>
      <c r="G740" s="134" t="n">
        <f aca="false">LEN('Saisie programme'!$F$28)+SUMIFS('Vols additionnels'!$E$7:$E$66,'Vols additionnels'!$C$7:$C$66,$E740,'Vols additionnels'!$D$7:$D$66,$F740,'Vols additionnels'!$B$7:$B$66,$D740)</f>
        <v>0</v>
      </c>
      <c r="H740" s="135" t="n">
        <f aca="false">$G740*'Analyse capacite'!$F$7</f>
        <v>0</v>
      </c>
      <c r="I740" s="135" t="n">
        <f aca="false">$G740*'Analyse capacite'!$C$7</f>
        <v>0</v>
      </c>
      <c r="J740" s="135" t="n">
        <f aca="false">$G740*'Analyse capacite'!$D$7</f>
        <v>0</v>
      </c>
      <c r="K740" s="135" t="n">
        <f aca="false">$G740*'Analyse capacite'!$E$7</f>
        <v>0</v>
      </c>
    </row>
    <row r="741" customFormat="false" ht="15" hidden="false" customHeight="false" outlineLevel="0" collapsed="false">
      <c r="B741" s="130" t="n">
        <v>2027</v>
      </c>
      <c r="C741" s="131" t="s">
        <v>246</v>
      </c>
      <c r="D741" s="132" t="n">
        <v>46498</v>
      </c>
      <c r="E741" s="131" t="s">
        <v>14</v>
      </c>
      <c r="F741" s="133" t="s">
        <v>19</v>
      </c>
      <c r="G741" s="134" t="n">
        <f aca="false">LEN('Saisie programme'!$F$29)+SUMIFS('Vols additionnels'!$E$7:$E$66,'Vols additionnels'!$C$7:$C$66,$E741,'Vols additionnels'!$D$7:$D$66,$F741,'Vols additionnels'!$B$7:$B$66,$D741)</f>
        <v>0</v>
      </c>
      <c r="H741" s="135" t="n">
        <f aca="false">$G741*'Analyse capacite'!$F$8</f>
        <v>0</v>
      </c>
      <c r="I741" s="135" t="n">
        <f aca="false">$G741*'Analyse capacite'!$C$8</f>
        <v>0</v>
      </c>
      <c r="J741" s="135" t="n">
        <f aca="false">$G741*'Analyse capacite'!$D$8</f>
        <v>0</v>
      </c>
      <c r="K741" s="135" t="n">
        <f aca="false">$G741*'Analyse capacite'!$E$8</f>
        <v>0</v>
      </c>
    </row>
    <row r="742" customFormat="false" ht="15" hidden="false" customHeight="false" outlineLevel="0" collapsed="false">
      <c r="B742" s="130" t="n">
        <v>2027</v>
      </c>
      <c r="C742" s="131" t="s">
        <v>246</v>
      </c>
      <c r="D742" s="132" t="n">
        <v>46498</v>
      </c>
      <c r="E742" s="131" t="s">
        <v>14</v>
      </c>
      <c r="F742" s="133" t="s">
        <v>24</v>
      </c>
      <c r="G742" s="134" t="n">
        <f aca="false">LEN('Saisie programme'!$F$30)+SUMIFS('Vols additionnels'!$E$7:$E$66,'Vols additionnels'!$C$7:$C$66,$E742,'Vols additionnels'!$D$7:$D$66,$F742,'Vols additionnels'!$B$7:$B$66,$D742)</f>
        <v>0</v>
      </c>
      <c r="H742" s="135" t="n">
        <f aca="false">$G742*'Analyse capacite'!$F$9</f>
        <v>0</v>
      </c>
      <c r="I742" s="135" t="n">
        <f aca="false">$G742*'Analyse capacite'!$C$9</f>
        <v>0</v>
      </c>
      <c r="J742" s="135" t="n">
        <f aca="false">$G742*'Analyse capacite'!$D$9</f>
        <v>0</v>
      </c>
      <c r="K742" s="135" t="n">
        <f aca="false">$G742*'Analyse capacite'!$E$9</f>
        <v>0</v>
      </c>
    </row>
    <row r="743" customFormat="false" ht="15" hidden="false" customHeight="false" outlineLevel="0" collapsed="false">
      <c r="B743" s="130" t="n">
        <v>2027</v>
      </c>
      <c r="C743" s="131" t="s">
        <v>246</v>
      </c>
      <c r="D743" s="132" t="n">
        <v>46498</v>
      </c>
      <c r="E743" s="131" t="s">
        <v>46</v>
      </c>
      <c r="F743" s="133" t="s">
        <v>11</v>
      </c>
      <c r="G743" s="134" t="n">
        <f aca="false">LEN('Saisie programme'!$F$31)+SUMIFS('Vols additionnels'!$E$7:$E$66,'Vols additionnels'!$C$7:$C$66,$E743,'Vols additionnels'!$D$7:$D$66,$F743,'Vols additionnels'!$B$7:$B$66,$D743)</f>
        <v>0</v>
      </c>
      <c r="H743" s="135" t="n">
        <f aca="false">$G743*'Analyse capacite'!$F$7</f>
        <v>0</v>
      </c>
      <c r="I743" s="135" t="n">
        <f aca="false">$G743*'Analyse capacite'!$C$7</f>
        <v>0</v>
      </c>
      <c r="J743" s="135" t="n">
        <f aca="false">$G743*'Analyse capacite'!$D$7</f>
        <v>0</v>
      </c>
      <c r="K743" s="135" t="n">
        <f aca="false">$G743*'Analyse capacite'!$E$7</f>
        <v>0</v>
      </c>
    </row>
    <row r="744" customFormat="false" ht="15" hidden="false" customHeight="false" outlineLevel="0" collapsed="false">
      <c r="B744" s="130" t="n">
        <v>2027</v>
      </c>
      <c r="C744" s="131" t="s">
        <v>246</v>
      </c>
      <c r="D744" s="132" t="n">
        <v>46498</v>
      </c>
      <c r="E744" s="131" t="s">
        <v>46</v>
      </c>
      <c r="F744" s="133" t="s">
        <v>19</v>
      </c>
      <c r="G744" s="134" t="n">
        <f aca="false">LEN('Saisie programme'!$F$32)+SUMIFS('Vols additionnels'!$E$7:$E$66,'Vols additionnels'!$C$7:$C$66,$E744,'Vols additionnels'!$D$7:$D$66,$F744,'Vols additionnels'!$B$7:$B$66,$D744)</f>
        <v>0</v>
      </c>
      <c r="H744" s="135" t="n">
        <f aca="false">$G744*'Analyse capacite'!$F$8</f>
        <v>0</v>
      </c>
      <c r="I744" s="135" t="n">
        <f aca="false">$G744*'Analyse capacite'!$C$8</f>
        <v>0</v>
      </c>
      <c r="J744" s="135" t="n">
        <f aca="false">$G744*'Analyse capacite'!$D$8</f>
        <v>0</v>
      </c>
      <c r="K744" s="135" t="n">
        <f aca="false">$G744*'Analyse capacite'!$E$8</f>
        <v>0</v>
      </c>
    </row>
    <row r="745" customFormat="false" ht="15" hidden="false" customHeight="false" outlineLevel="0" collapsed="false">
      <c r="B745" s="130" t="n">
        <v>2027</v>
      </c>
      <c r="C745" s="131" t="s">
        <v>246</v>
      </c>
      <c r="D745" s="132" t="n">
        <v>46498</v>
      </c>
      <c r="E745" s="131" t="s">
        <v>46</v>
      </c>
      <c r="F745" s="133" t="s">
        <v>24</v>
      </c>
      <c r="G745" s="134" t="n">
        <f aca="false">LEN('Saisie programme'!$F$33)+SUMIFS('Vols additionnels'!$E$7:$E$66,'Vols additionnels'!$C$7:$C$66,$E745,'Vols additionnels'!$D$7:$D$66,$F745,'Vols additionnels'!$B$7:$B$66,$D745)</f>
        <v>0</v>
      </c>
      <c r="H745" s="135" t="n">
        <f aca="false">$G745*'Analyse capacite'!$F$9</f>
        <v>0</v>
      </c>
      <c r="I745" s="135" t="n">
        <f aca="false">$G745*'Analyse capacite'!$C$9</f>
        <v>0</v>
      </c>
      <c r="J745" s="135" t="n">
        <f aca="false">$G745*'Analyse capacite'!$D$9</f>
        <v>0</v>
      </c>
      <c r="K745" s="135" t="n">
        <f aca="false">$G745*'Analyse capacite'!$E$9</f>
        <v>0</v>
      </c>
    </row>
    <row r="746" customFormat="false" ht="15" hidden="false" customHeight="false" outlineLevel="0" collapsed="false">
      <c r="B746" s="130" t="n">
        <v>2027</v>
      </c>
      <c r="C746" s="131" t="s">
        <v>246</v>
      </c>
      <c r="D746" s="132" t="n">
        <v>46498</v>
      </c>
      <c r="E746" s="131" t="s">
        <v>49</v>
      </c>
      <c r="F746" s="133" t="s">
        <v>11</v>
      </c>
      <c r="G746" s="134" t="n">
        <f aca="false">LEN('Saisie programme'!$F$34)+SUMIFS('Vols additionnels'!$E$7:$E$66,'Vols additionnels'!$C$7:$C$66,$E746,'Vols additionnels'!$D$7:$D$66,$F746,'Vols additionnels'!$B$7:$B$66,$D746)</f>
        <v>0</v>
      </c>
      <c r="H746" s="135" t="n">
        <f aca="false">$G746*'Analyse capacite'!$F$7</f>
        <v>0</v>
      </c>
      <c r="I746" s="135" t="n">
        <f aca="false">$G746*'Analyse capacite'!$C$7</f>
        <v>0</v>
      </c>
      <c r="J746" s="135" t="n">
        <f aca="false">$G746*'Analyse capacite'!$D$7</f>
        <v>0</v>
      </c>
      <c r="K746" s="135" t="n">
        <f aca="false">$G746*'Analyse capacite'!$E$7</f>
        <v>0</v>
      </c>
    </row>
    <row r="747" customFormat="false" ht="15" hidden="false" customHeight="false" outlineLevel="0" collapsed="false">
      <c r="B747" s="130" t="n">
        <v>2027</v>
      </c>
      <c r="C747" s="131" t="s">
        <v>246</v>
      </c>
      <c r="D747" s="132" t="n">
        <v>46498</v>
      </c>
      <c r="E747" s="131" t="s">
        <v>49</v>
      </c>
      <c r="F747" s="133" t="s">
        <v>19</v>
      </c>
      <c r="G747" s="134" t="n">
        <f aca="false">LEN('Saisie programme'!$F$35)+SUMIFS('Vols additionnels'!$E$7:$E$66,'Vols additionnels'!$C$7:$C$66,$E747,'Vols additionnels'!$D$7:$D$66,$F747,'Vols additionnels'!$B$7:$B$66,$D747)</f>
        <v>0</v>
      </c>
      <c r="H747" s="135" t="n">
        <f aca="false">$G747*'Analyse capacite'!$F$8</f>
        <v>0</v>
      </c>
      <c r="I747" s="135" t="n">
        <f aca="false">$G747*'Analyse capacite'!$C$8</f>
        <v>0</v>
      </c>
      <c r="J747" s="135" t="n">
        <f aca="false">$G747*'Analyse capacite'!$D$8</f>
        <v>0</v>
      </c>
      <c r="K747" s="135" t="n">
        <f aca="false">$G747*'Analyse capacite'!$E$8</f>
        <v>0</v>
      </c>
    </row>
    <row r="748" customFormat="false" ht="15" hidden="false" customHeight="false" outlineLevel="0" collapsed="false">
      <c r="B748" s="130" t="n">
        <v>2027</v>
      </c>
      <c r="C748" s="131" t="s">
        <v>246</v>
      </c>
      <c r="D748" s="132" t="n">
        <v>46498</v>
      </c>
      <c r="E748" s="131" t="s">
        <v>49</v>
      </c>
      <c r="F748" s="133" t="s">
        <v>24</v>
      </c>
      <c r="G748" s="134" t="n">
        <f aca="false">LEN('Saisie programme'!$F$36)+SUMIFS('Vols additionnels'!$E$7:$E$66,'Vols additionnels'!$C$7:$C$66,$E748,'Vols additionnels'!$D$7:$D$66,$F748,'Vols additionnels'!$B$7:$B$66,$D748)</f>
        <v>0</v>
      </c>
      <c r="H748" s="135" t="n">
        <f aca="false">$G748*'Analyse capacite'!$F$9</f>
        <v>0</v>
      </c>
      <c r="I748" s="135" t="n">
        <f aca="false">$G748*'Analyse capacite'!$C$9</f>
        <v>0</v>
      </c>
      <c r="J748" s="135" t="n">
        <f aca="false">$G748*'Analyse capacite'!$D$9</f>
        <v>0</v>
      </c>
      <c r="K748" s="135" t="n">
        <f aca="false">$G748*'Analyse capacite'!$E$9</f>
        <v>0</v>
      </c>
    </row>
    <row r="749" customFormat="false" ht="15" hidden="false" customHeight="false" outlineLevel="0" collapsed="false">
      <c r="B749" s="130" t="n">
        <v>2027</v>
      </c>
      <c r="C749" s="131" t="s">
        <v>246</v>
      </c>
      <c r="D749" s="132" t="n">
        <v>46498</v>
      </c>
      <c r="E749" s="131" t="s">
        <v>53</v>
      </c>
      <c r="F749" s="133" t="s">
        <v>11</v>
      </c>
      <c r="G749" s="134" t="n">
        <f aca="false">LEN('Saisie programme'!$F$37)+SUMIFS('Vols additionnels'!$E$7:$E$66,'Vols additionnels'!$C$7:$C$66,$E749,'Vols additionnels'!$D$7:$D$66,$F749,'Vols additionnels'!$B$7:$B$66,$D749)</f>
        <v>0</v>
      </c>
      <c r="H749" s="135" t="n">
        <f aca="false">$G749*'Analyse capacite'!$F$7</f>
        <v>0</v>
      </c>
      <c r="I749" s="135" t="n">
        <f aca="false">$G749*'Analyse capacite'!$C$7</f>
        <v>0</v>
      </c>
      <c r="J749" s="135" t="n">
        <f aca="false">$G749*'Analyse capacite'!$D$7</f>
        <v>0</v>
      </c>
      <c r="K749" s="135" t="n">
        <f aca="false">$G749*'Analyse capacite'!$E$7</f>
        <v>0</v>
      </c>
    </row>
    <row r="750" customFormat="false" ht="15" hidden="false" customHeight="false" outlineLevel="0" collapsed="false">
      <c r="B750" s="130" t="n">
        <v>2027</v>
      </c>
      <c r="C750" s="131" t="s">
        <v>246</v>
      </c>
      <c r="D750" s="132" t="n">
        <v>46498</v>
      </c>
      <c r="E750" s="131" t="s">
        <v>53</v>
      </c>
      <c r="F750" s="133" t="s">
        <v>19</v>
      </c>
      <c r="G750" s="134" t="n">
        <f aca="false">LEN('Saisie programme'!$F$38)+SUMIFS('Vols additionnels'!$E$7:$E$66,'Vols additionnels'!$C$7:$C$66,$E750,'Vols additionnels'!$D$7:$D$66,$F750,'Vols additionnels'!$B$7:$B$66,$D750)</f>
        <v>0</v>
      </c>
      <c r="H750" s="135" t="n">
        <f aca="false">$G750*'Analyse capacite'!$F$8</f>
        <v>0</v>
      </c>
      <c r="I750" s="135" t="n">
        <f aca="false">$G750*'Analyse capacite'!$C$8</f>
        <v>0</v>
      </c>
      <c r="J750" s="135" t="n">
        <f aca="false">$G750*'Analyse capacite'!$D$8</f>
        <v>0</v>
      </c>
      <c r="K750" s="135" t="n">
        <f aca="false">$G750*'Analyse capacite'!$E$8</f>
        <v>0</v>
      </c>
    </row>
    <row r="751" customFormat="false" ht="15" hidden="false" customHeight="false" outlineLevel="0" collapsed="false">
      <c r="B751" s="130" t="n">
        <v>2027</v>
      </c>
      <c r="C751" s="131" t="s">
        <v>246</v>
      </c>
      <c r="D751" s="132" t="n">
        <v>46498</v>
      </c>
      <c r="E751" s="131" t="s">
        <v>53</v>
      </c>
      <c r="F751" s="133" t="s">
        <v>24</v>
      </c>
      <c r="G751" s="134" t="n">
        <f aca="false">LEN('Saisie programme'!$F$39)+SUMIFS('Vols additionnels'!$E$7:$E$66,'Vols additionnels'!$C$7:$C$66,$E751,'Vols additionnels'!$D$7:$D$66,$F751,'Vols additionnels'!$B$7:$B$66,$D751)</f>
        <v>0</v>
      </c>
      <c r="H751" s="135" t="n">
        <f aca="false">$G751*'Analyse capacite'!$F$9</f>
        <v>0</v>
      </c>
      <c r="I751" s="135" t="n">
        <f aca="false">$G751*'Analyse capacite'!$C$9</f>
        <v>0</v>
      </c>
      <c r="J751" s="135" t="n">
        <f aca="false">$G751*'Analyse capacite'!$D$9</f>
        <v>0</v>
      </c>
      <c r="K751" s="135" t="n">
        <f aca="false">$G751*'Analyse capacite'!$E$9</f>
        <v>0</v>
      </c>
    </row>
    <row r="752" customFormat="false" ht="15" hidden="false" customHeight="false" outlineLevel="0" collapsed="false">
      <c r="B752" s="130" t="n">
        <v>2027</v>
      </c>
      <c r="C752" s="131" t="s">
        <v>246</v>
      </c>
      <c r="D752" s="132" t="n">
        <v>46498</v>
      </c>
      <c r="E752" s="131" t="s">
        <v>56</v>
      </c>
      <c r="F752" s="133" t="s">
        <v>11</v>
      </c>
      <c r="G752" s="134" t="n">
        <f aca="false">LEN('Saisie programme'!$F$40)+SUMIFS('Vols additionnels'!$E$7:$E$66,'Vols additionnels'!$C$7:$C$66,$E752,'Vols additionnels'!$D$7:$D$66,$F752,'Vols additionnels'!$B$7:$B$66,$D752)</f>
        <v>0</v>
      </c>
      <c r="H752" s="135" t="n">
        <f aca="false">$G752*'Analyse capacite'!$F$7</f>
        <v>0</v>
      </c>
      <c r="I752" s="135" t="n">
        <f aca="false">$G752*'Analyse capacite'!$C$7</f>
        <v>0</v>
      </c>
      <c r="J752" s="135" t="n">
        <f aca="false">$G752*'Analyse capacite'!$D$7</f>
        <v>0</v>
      </c>
      <c r="K752" s="135" t="n">
        <f aca="false">$G752*'Analyse capacite'!$E$7</f>
        <v>0</v>
      </c>
    </row>
    <row r="753" customFormat="false" ht="15" hidden="false" customHeight="false" outlineLevel="0" collapsed="false">
      <c r="B753" s="130" t="n">
        <v>2027</v>
      </c>
      <c r="C753" s="131" t="s">
        <v>246</v>
      </c>
      <c r="D753" s="132" t="n">
        <v>46498</v>
      </c>
      <c r="E753" s="131" t="s">
        <v>56</v>
      </c>
      <c r="F753" s="133" t="s">
        <v>19</v>
      </c>
      <c r="G753" s="134" t="n">
        <f aca="false">LEN('Saisie programme'!$F$41)+SUMIFS('Vols additionnels'!$E$7:$E$66,'Vols additionnels'!$C$7:$C$66,$E753,'Vols additionnels'!$D$7:$D$66,$F753,'Vols additionnels'!$B$7:$B$66,$D753)</f>
        <v>0</v>
      </c>
      <c r="H753" s="135" t="n">
        <f aca="false">$G753*'Analyse capacite'!$F$8</f>
        <v>0</v>
      </c>
      <c r="I753" s="135" t="n">
        <f aca="false">$G753*'Analyse capacite'!$C$8</f>
        <v>0</v>
      </c>
      <c r="J753" s="135" t="n">
        <f aca="false">$G753*'Analyse capacite'!$D$8</f>
        <v>0</v>
      </c>
      <c r="K753" s="135" t="n">
        <f aca="false">$G753*'Analyse capacite'!$E$8</f>
        <v>0</v>
      </c>
    </row>
    <row r="754" customFormat="false" ht="15" hidden="false" customHeight="false" outlineLevel="0" collapsed="false">
      <c r="B754" s="130" t="n">
        <v>2027</v>
      </c>
      <c r="C754" s="131" t="s">
        <v>246</v>
      </c>
      <c r="D754" s="132" t="n">
        <v>46498</v>
      </c>
      <c r="E754" s="131" t="s">
        <v>56</v>
      </c>
      <c r="F754" s="133" t="s">
        <v>24</v>
      </c>
      <c r="G754" s="134" t="n">
        <f aca="false">LEN('Saisie programme'!$F$42)+SUMIFS('Vols additionnels'!$E$7:$E$66,'Vols additionnels'!$C$7:$C$66,$E754,'Vols additionnels'!$D$7:$D$66,$F754,'Vols additionnels'!$B$7:$B$66,$D754)</f>
        <v>0</v>
      </c>
      <c r="H754" s="135" t="n">
        <f aca="false">$G754*'Analyse capacite'!$F$9</f>
        <v>0</v>
      </c>
      <c r="I754" s="135" t="n">
        <f aca="false">$G754*'Analyse capacite'!$C$9</f>
        <v>0</v>
      </c>
      <c r="J754" s="135" t="n">
        <f aca="false">$G754*'Analyse capacite'!$D$9</f>
        <v>0</v>
      </c>
      <c r="K754" s="135" t="n">
        <f aca="false">$G754*'Analyse capacite'!$E$9</f>
        <v>0</v>
      </c>
    </row>
    <row r="755" customFormat="false" ht="15" hidden="false" customHeight="false" outlineLevel="0" collapsed="false">
      <c r="B755" s="130" t="n">
        <v>2027</v>
      </c>
      <c r="C755" s="131" t="s">
        <v>246</v>
      </c>
      <c r="D755" s="132" t="n">
        <v>46498</v>
      </c>
      <c r="E755" s="131" t="s">
        <v>59</v>
      </c>
      <c r="F755" s="133" t="s">
        <v>11</v>
      </c>
      <c r="G755" s="134" t="n">
        <f aca="false">LEN('Saisie programme'!$F$43)+SUMIFS('Vols additionnels'!$E$7:$E$66,'Vols additionnels'!$C$7:$C$66,$E755,'Vols additionnels'!$D$7:$D$66,$F755,'Vols additionnels'!$B$7:$B$66,$D755)</f>
        <v>0</v>
      </c>
      <c r="H755" s="135" t="n">
        <f aca="false">$G755*'Analyse capacite'!$F$7</f>
        <v>0</v>
      </c>
      <c r="I755" s="135" t="n">
        <f aca="false">$G755*'Analyse capacite'!$C$7</f>
        <v>0</v>
      </c>
      <c r="J755" s="135" t="n">
        <f aca="false">$G755*'Analyse capacite'!$D$7</f>
        <v>0</v>
      </c>
      <c r="K755" s="135" t="n">
        <f aca="false">$G755*'Analyse capacite'!$E$7</f>
        <v>0</v>
      </c>
    </row>
    <row r="756" customFormat="false" ht="15" hidden="false" customHeight="false" outlineLevel="0" collapsed="false">
      <c r="B756" s="130" t="n">
        <v>2027</v>
      </c>
      <c r="C756" s="131" t="s">
        <v>246</v>
      </c>
      <c r="D756" s="132" t="n">
        <v>46498</v>
      </c>
      <c r="E756" s="131" t="s">
        <v>59</v>
      </c>
      <c r="F756" s="133" t="s">
        <v>19</v>
      </c>
      <c r="G756" s="134" t="n">
        <f aca="false">LEN('Saisie programme'!$F$44)+SUMIFS('Vols additionnels'!$E$7:$E$66,'Vols additionnels'!$C$7:$C$66,$E756,'Vols additionnels'!$D$7:$D$66,$F756,'Vols additionnels'!$B$7:$B$66,$D756)</f>
        <v>0</v>
      </c>
      <c r="H756" s="135" t="n">
        <f aca="false">$G756*'Analyse capacite'!$F$8</f>
        <v>0</v>
      </c>
      <c r="I756" s="135" t="n">
        <f aca="false">$G756*'Analyse capacite'!$C$8</f>
        <v>0</v>
      </c>
      <c r="J756" s="135" t="n">
        <f aca="false">$G756*'Analyse capacite'!$D$8</f>
        <v>0</v>
      </c>
      <c r="K756" s="135" t="n">
        <f aca="false">$G756*'Analyse capacite'!$E$8</f>
        <v>0</v>
      </c>
    </row>
    <row r="757" customFormat="false" ht="15" hidden="false" customHeight="false" outlineLevel="0" collapsed="false">
      <c r="B757" s="130" t="n">
        <v>2027</v>
      </c>
      <c r="C757" s="131" t="s">
        <v>246</v>
      </c>
      <c r="D757" s="132" t="n">
        <v>46498</v>
      </c>
      <c r="E757" s="131" t="s">
        <v>59</v>
      </c>
      <c r="F757" s="133" t="s">
        <v>24</v>
      </c>
      <c r="G757" s="134" t="n">
        <f aca="false">LEN('Saisie programme'!$F$45)+SUMIFS('Vols additionnels'!$E$7:$E$66,'Vols additionnels'!$C$7:$C$66,$E757,'Vols additionnels'!$D$7:$D$66,$F757,'Vols additionnels'!$B$7:$B$66,$D757)</f>
        <v>1</v>
      </c>
      <c r="H757" s="135" t="n">
        <f aca="false">$G757*'Analyse capacite'!$F$9</f>
        <v>174</v>
      </c>
      <c r="I757" s="135" t="n">
        <f aca="false">$G757*'Analyse capacite'!$C$9</f>
        <v>0</v>
      </c>
      <c r="J757" s="135" t="n">
        <f aca="false">$G757*'Analyse capacite'!$D$9</f>
        <v>12</v>
      </c>
      <c r="K757" s="135" t="n">
        <f aca="false">$G757*'Analyse capacite'!$E$9</f>
        <v>162</v>
      </c>
    </row>
    <row r="758" customFormat="false" ht="15" hidden="false" customHeight="false" outlineLevel="0" collapsed="false">
      <c r="B758" s="130" t="n">
        <v>2027</v>
      </c>
      <c r="C758" s="131" t="s">
        <v>246</v>
      </c>
      <c r="D758" s="132" t="n">
        <v>46498</v>
      </c>
      <c r="E758" s="131" t="s">
        <v>62</v>
      </c>
      <c r="F758" s="133" t="s">
        <v>11</v>
      </c>
      <c r="G758" s="134" t="n">
        <f aca="false">LEN('Saisie programme'!$F$46)+SUMIFS('Vols additionnels'!$E$7:$E$66,'Vols additionnels'!$C$7:$C$66,$E758,'Vols additionnels'!$D$7:$D$66,$F758,'Vols additionnels'!$B$7:$B$66,$D758)</f>
        <v>0</v>
      </c>
      <c r="H758" s="135" t="n">
        <f aca="false">$G758*'Analyse capacite'!$F$7</f>
        <v>0</v>
      </c>
      <c r="I758" s="135" t="n">
        <f aca="false">$G758*'Analyse capacite'!$C$7</f>
        <v>0</v>
      </c>
      <c r="J758" s="135" t="n">
        <f aca="false">$G758*'Analyse capacite'!$D$7</f>
        <v>0</v>
      </c>
      <c r="K758" s="135" t="n">
        <f aca="false">$G758*'Analyse capacite'!$E$7</f>
        <v>0</v>
      </c>
    </row>
    <row r="759" customFormat="false" ht="15" hidden="false" customHeight="false" outlineLevel="0" collapsed="false">
      <c r="B759" s="130" t="n">
        <v>2027</v>
      </c>
      <c r="C759" s="131" t="s">
        <v>246</v>
      </c>
      <c r="D759" s="132" t="n">
        <v>46498</v>
      </c>
      <c r="E759" s="131" t="s">
        <v>62</v>
      </c>
      <c r="F759" s="133" t="s">
        <v>19</v>
      </c>
      <c r="G759" s="134" t="n">
        <f aca="false">LEN('Saisie programme'!$F$47)+SUMIFS('Vols additionnels'!$E$7:$E$66,'Vols additionnels'!$C$7:$C$66,$E759,'Vols additionnels'!$D$7:$D$66,$F759,'Vols additionnels'!$B$7:$B$66,$D759)</f>
        <v>0</v>
      </c>
      <c r="H759" s="135" t="n">
        <f aca="false">$G759*'Analyse capacite'!$F$8</f>
        <v>0</v>
      </c>
      <c r="I759" s="135" t="n">
        <f aca="false">$G759*'Analyse capacite'!$C$8</f>
        <v>0</v>
      </c>
      <c r="J759" s="135" t="n">
        <f aca="false">$G759*'Analyse capacite'!$D$8</f>
        <v>0</v>
      </c>
      <c r="K759" s="135" t="n">
        <f aca="false">$G759*'Analyse capacite'!$E$8</f>
        <v>0</v>
      </c>
    </row>
    <row r="760" customFormat="false" ht="15" hidden="false" customHeight="false" outlineLevel="0" collapsed="false">
      <c r="B760" s="130" t="n">
        <v>2027</v>
      </c>
      <c r="C760" s="131" t="s">
        <v>246</v>
      </c>
      <c r="D760" s="132" t="n">
        <v>46498</v>
      </c>
      <c r="E760" s="131" t="s">
        <v>62</v>
      </c>
      <c r="F760" s="133" t="s">
        <v>24</v>
      </c>
      <c r="G760" s="134" t="n">
        <f aca="false">LEN('Saisie programme'!$F$48)+SUMIFS('Vols additionnels'!$E$7:$E$66,'Vols additionnels'!$C$7:$C$66,$E760,'Vols additionnels'!$D$7:$D$66,$F760,'Vols additionnels'!$B$7:$B$66,$D760)</f>
        <v>1</v>
      </c>
      <c r="H760" s="135" t="n">
        <f aca="false">$G760*'Analyse capacite'!$F$9</f>
        <v>174</v>
      </c>
      <c r="I760" s="135" t="n">
        <f aca="false">$G760*'Analyse capacite'!$C$9</f>
        <v>0</v>
      </c>
      <c r="J760" s="135" t="n">
        <f aca="false">$G760*'Analyse capacite'!$D$9</f>
        <v>12</v>
      </c>
      <c r="K760" s="135" t="n">
        <f aca="false">$G760*'Analyse capacite'!$E$9</f>
        <v>162</v>
      </c>
    </row>
    <row r="761" customFormat="false" ht="15" hidden="false" customHeight="false" outlineLevel="0" collapsed="false">
      <c r="B761" s="130" t="n">
        <v>2027</v>
      </c>
      <c r="C761" s="131" t="s">
        <v>246</v>
      </c>
      <c r="D761" s="132" t="n">
        <v>46499</v>
      </c>
      <c r="E761" s="131" t="s">
        <v>12</v>
      </c>
      <c r="F761" s="133" t="s">
        <v>11</v>
      </c>
      <c r="G761" s="134" t="n">
        <f aca="false">LEN('Saisie programme'!$G$13)+SUMIFS('Vols additionnels'!$E$7:$E$66,'Vols additionnels'!$C$7:$C$66,$E761,'Vols additionnels'!$D$7:$D$66,$F761,'Vols additionnels'!$B$7:$B$66,$D761)</f>
        <v>1</v>
      </c>
      <c r="H761" s="135" t="n">
        <f aca="false">$G761*'Analyse capacite'!$F$7</f>
        <v>438</v>
      </c>
      <c r="I761" s="135" t="n">
        <f aca="false">$G761*'Analyse capacite'!$C$7</f>
        <v>14</v>
      </c>
      <c r="J761" s="135" t="n">
        <f aca="false">$G761*'Analyse capacite'!$D$7</f>
        <v>40</v>
      </c>
      <c r="K761" s="135" t="n">
        <f aca="false">$G761*'Analyse capacite'!$E$7</f>
        <v>384</v>
      </c>
    </row>
    <row r="762" customFormat="false" ht="15" hidden="false" customHeight="false" outlineLevel="0" collapsed="false">
      <c r="B762" s="130" t="n">
        <v>2027</v>
      </c>
      <c r="C762" s="131" t="s">
        <v>246</v>
      </c>
      <c r="D762" s="132" t="n">
        <v>46499</v>
      </c>
      <c r="E762" s="131" t="s">
        <v>12</v>
      </c>
      <c r="F762" s="133" t="s">
        <v>19</v>
      </c>
      <c r="G762" s="134" t="n">
        <f aca="false">LEN('Saisie programme'!$G$14)+SUMIFS('Vols additionnels'!$E$7:$E$66,'Vols additionnels'!$C$7:$C$66,$E762,'Vols additionnels'!$D$7:$D$66,$F762,'Vols additionnels'!$B$7:$B$66,$D762)</f>
        <v>0</v>
      </c>
      <c r="H762" s="135" t="n">
        <f aca="false">$G762*'Analyse capacite'!$F$8</f>
        <v>0</v>
      </c>
      <c r="I762" s="135" t="n">
        <f aca="false">$G762*'Analyse capacite'!$C$8</f>
        <v>0</v>
      </c>
      <c r="J762" s="135" t="n">
        <f aca="false">$G762*'Analyse capacite'!$D$8</f>
        <v>0</v>
      </c>
      <c r="K762" s="135" t="n">
        <f aca="false">$G762*'Analyse capacite'!$E$8</f>
        <v>0</v>
      </c>
    </row>
    <row r="763" customFormat="false" ht="15" hidden="false" customHeight="false" outlineLevel="0" collapsed="false">
      <c r="B763" s="130" t="n">
        <v>2027</v>
      </c>
      <c r="C763" s="131" t="s">
        <v>246</v>
      </c>
      <c r="D763" s="132" t="n">
        <v>46499</v>
      </c>
      <c r="E763" s="131" t="s">
        <v>12</v>
      </c>
      <c r="F763" s="133" t="s">
        <v>24</v>
      </c>
      <c r="G763" s="134" t="n">
        <f aca="false">LEN('Saisie programme'!$G$15)+SUMIFS('Vols additionnels'!$E$7:$E$66,'Vols additionnels'!$C$7:$C$66,$E763,'Vols additionnels'!$D$7:$D$66,$F763,'Vols additionnels'!$B$7:$B$66,$D763)</f>
        <v>0</v>
      </c>
      <c r="H763" s="135" t="n">
        <f aca="false">$G763*'Analyse capacite'!$F$9</f>
        <v>0</v>
      </c>
      <c r="I763" s="135" t="n">
        <f aca="false">$G763*'Analyse capacite'!$C$9</f>
        <v>0</v>
      </c>
      <c r="J763" s="135" t="n">
        <f aca="false">$G763*'Analyse capacite'!$D$9</f>
        <v>0</v>
      </c>
      <c r="K763" s="135" t="n">
        <f aca="false">$G763*'Analyse capacite'!$E$9</f>
        <v>0</v>
      </c>
    </row>
    <row r="764" customFormat="false" ht="15" hidden="false" customHeight="false" outlineLevel="0" collapsed="false">
      <c r="B764" s="130" t="n">
        <v>2027</v>
      </c>
      <c r="C764" s="131" t="s">
        <v>246</v>
      </c>
      <c r="D764" s="132" t="n">
        <v>46499</v>
      </c>
      <c r="E764" s="131" t="s">
        <v>20</v>
      </c>
      <c r="F764" s="133" t="s">
        <v>11</v>
      </c>
      <c r="G764" s="134" t="n">
        <f aca="false">LEN('Saisie programme'!$G$16)+SUMIFS('Vols additionnels'!$E$7:$E$66,'Vols additionnels'!$C$7:$C$66,$E764,'Vols additionnels'!$D$7:$D$66,$F764,'Vols additionnels'!$B$7:$B$66,$D764)</f>
        <v>0</v>
      </c>
      <c r="H764" s="135" t="n">
        <f aca="false">$G764*'Analyse capacite'!$F$7</f>
        <v>0</v>
      </c>
      <c r="I764" s="135" t="n">
        <f aca="false">$G764*'Analyse capacite'!$C$7</f>
        <v>0</v>
      </c>
      <c r="J764" s="135" t="n">
        <f aca="false">$G764*'Analyse capacite'!$D$7</f>
        <v>0</v>
      </c>
      <c r="K764" s="135" t="n">
        <f aca="false">$G764*'Analyse capacite'!$E$7</f>
        <v>0</v>
      </c>
    </row>
    <row r="765" customFormat="false" ht="15" hidden="false" customHeight="false" outlineLevel="0" collapsed="false">
      <c r="B765" s="130" t="n">
        <v>2027</v>
      </c>
      <c r="C765" s="131" t="s">
        <v>246</v>
      </c>
      <c r="D765" s="132" t="n">
        <v>46499</v>
      </c>
      <c r="E765" s="131" t="s">
        <v>20</v>
      </c>
      <c r="F765" s="133" t="s">
        <v>19</v>
      </c>
      <c r="G765" s="134" t="n">
        <f aca="false">LEN('Saisie programme'!$G$17)+SUMIFS('Vols additionnels'!$E$7:$E$66,'Vols additionnels'!$C$7:$C$66,$E765,'Vols additionnels'!$D$7:$D$66,$F765,'Vols additionnels'!$B$7:$B$66,$D765)</f>
        <v>0</v>
      </c>
      <c r="H765" s="135" t="n">
        <f aca="false">$G765*'Analyse capacite'!$F$8</f>
        <v>0</v>
      </c>
      <c r="I765" s="135" t="n">
        <f aca="false">$G765*'Analyse capacite'!$C$8</f>
        <v>0</v>
      </c>
      <c r="J765" s="135" t="n">
        <f aca="false">$G765*'Analyse capacite'!$D$8</f>
        <v>0</v>
      </c>
      <c r="K765" s="135" t="n">
        <f aca="false">$G765*'Analyse capacite'!$E$8</f>
        <v>0</v>
      </c>
    </row>
    <row r="766" customFormat="false" ht="15" hidden="false" customHeight="false" outlineLevel="0" collapsed="false">
      <c r="B766" s="130" t="n">
        <v>2027</v>
      </c>
      <c r="C766" s="131" t="s">
        <v>246</v>
      </c>
      <c r="D766" s="132" t="n">
        <v>46499</v>
      </c>
      <c r="E766" s="131" t="s">
        <v>20</v>
      </c>
      <c r="F766" s="133" t="s">
        <v>24</v>
      </c>
      <c r="G766" s="134" t="n">
        <f aca="false">LEN('Saisie programme'!$G$18)+SUMIFS('Vols additionnels'!$E$7:$E$66,'Vols additionnels'!$C$7:$C$66,$E766,'Vols additionnels'!$D$7:$D$66,$F766,'Vols additionnels'!$B$7:$B$66,$D766)</f>
        <v>0</v>
      </c>
      <c r="H766" s="135" t="n">
        <f aca="false">$G766*'Analyse capacite'!$F$9</f>
        <v>0</v>
      </c>
      <c r="I766" s="135" t="n">
        <f aca="false">$G766*'Analyse capacite'!$C$9</f>
        <v>0</v>
      </c>
      <c r="J766" s="135" t="n">
        <f aca="false">$G766*'Analyse capacite'!$D$9</f>
        <v>0</v>
      </c>
      <c r="K766" s="135" t="n">
        <f aca="false">$G766*'Analyse capacite'!$E$9</f>
        <v>0</v>
      </c>
    </row>
    <row r="767" customFormat="false" ht="15" hidden="false" customHeight="false" outlineLevel="0" collapsed="false">
      <c r="B767" s="130" t="n">
        <v>2027</v>
      </c>
      <c r="C767" s="131" t="s">
        <v>246</v>
      </c>
      <c r="D767" s="132" t="n">
        <v>46499</v>
      </c>
      <c r="E767" s="131" t="s">
        <v>25</v>
      </c>
      <c r="F767" s="133" t="s">
        <v>11</v>
      </c>
      <c r="G767" s="134" t="n">
        <f aca="false">LEN('Saisie programme'!$G$19)+SUMIFS('Vols additionnels'!$E$7:$E$66,'Vols additionnels'!$C$7:$C$66,$E767,'Vols additionnels'!$D$7:$D$66,$F767,'Vols additionnels'!$B$7:$B$66,$D767)</f>
        <v>0</v>
      </c>
      <c r="H767" s="135" t="n">
        <f aca="false">$G767*'Analyse capacite'!$F$7</f>
        <v>0</v>
      </c>
      <c r="I767" s="135" t="n">
        <f aca="false">$G767*'Analyse capacite'!$C$7</f>
        <v>0</v>
      </c>
      <c r="J767" s="135" t="n">
        <f aca="false">$G767*'Analyse capacite'!$D$7</f>
        <v>0</v>
      </c>
      <c r="K767" s="135" t="n">
        <f aca="false">$G767*'Analyse capacite'!$E$7</f>
        <v>0</v>
      </c>
    </row>
    <row r="768" customFormat="false" ht="15" hidden="false" customHeight="false" outlineLevel="0" collapsed="false">
      <c r="B768" s="130" t="n">
        <v>2027</v>
      </c>
      <c r="C768" s="131" t="s">
        <v>246</v>
      </c>
      <c r="D768" s="132" t="n">
        <v>46499</v>
      </c>
      <c r="E768" s="131" t="s">
        <v>25</v>
      </c>
      <c r="F768" s="133" t="s">
        <v>19</v>
      </c>
      <c r="G768" s="134" t="n">
        <f aca="false">LEN('Saisie programme'!$G$20)+SUMIFS('Vols additionnels'!$E$7:$E$66,'Vols additionnels'!$C$7:$C$66,$E768,'Vols additionnels'!$D$7:$D$66,$F768,'Vols additionnels'!$B$7:$B$66,$D768)</f>
        <v>0</v>
      </c>
      <c r="H768" s="135" t="n">
        <f aca="false">$G768*'Analyse capacite'!$F$8</f>
        <v>0</v>
      </c>
      <c r="I768" s="135" t="n">
        <f aca="false">$G768*'Analyse capacite'!$C$8</f>
        <v>0</v>
      </c>
      <c r="J768" s="135" t="n">
        <f aca="false">$G768*'Analyse capacite'!$D$8</f>
        <v>0</v>
      </c>
      <c r="K768" s="135" t="n">
        <f aca="false">$G768*'Analyse capacite'!$E$8</f>
        <v>0</v>
      </c>
    </row>
    <row r="769" customFormat="false" ht="15" hidden="false" customHeight="false" outlineLevel="0" collapsed="false">
      <c r="B769" s="130" t="n">
        <v>2027</v>
      </c>
      <c r="C769" s="131" t="s">
        <v>246</v>
      </c>
      <c r="D769" s="132" t="n">
        <v>46499</v>
      </c>
      <c r="E769" s="131" t="s">
        <v>25</v>
      </c>
      <c r="F769" s="133" t="s">
        <v>24</v>
      </c>
      <c r="G769" s="134" t="n">
        <f aca="false">LEN('Saisie programme'!$G$21)+SUMIFS('Vols additionnels'!$E$7:$E$66,'Vols additionnels'!$C$7:$C$66,$E769,'Vols additionnels'!$D$7:$D$66,$F769,'Vols additionnels'!$B$7:$B$66,$D769)</f>
        <v>0</v>
      </c>
      <c r="H769" s="135" t="n">
        <f aca="false">$G769*'Analyse capacite'!$F$9</f>
        <v>0</v>
      </c>
      <c r="I769" s="135" t="n">
        <f aca="false">$G769*'Analyse capacite'!$C$9</f>
        <v>0</v>
      </c>
      <c r="J769" s="135" t="n">
        <f aca="false">$G769*'Analyse capacite'!$D$9</f>
        <v>0</v>
      </c>
      <c r="K769" s="135" t="n">
        <f aca="false">$G769*'Analyse capacite'!$E$9</f>
        <v>0</v>
      </c>
    </row>
    <row r="770" customFormat="false" ht="15" hidden="false" customHeight="false" outlineLevel="0" collapsed="false">
      <c r="B770" s="130" t="n">
        <v>2027</v>
      </c>
      <c r="C770" s="131" t="s">
        <v>246</v>
      </c>
      <c r="D770" s="132" t="n">
        <v>46499</v>
      </c>
      <c r="E770" s="131" t="s">
        <v>36</v>
      </c>
      <c r="F770" s="133" t="s">
        <v>11</v>
      </c>
      <c r="G770" s="134" t="n">
        <f aca="false">LEN('Saisie programme'!$G$22)+SUMIFS('Vols additionnels'!$E$7:$E$66,'Vols additionnels'!$C$7:$C$66,$E770,'Vols additionnels'!$D$7:$D$66,$F770,'Vols additionnels'!$B$7:$B$66,$D770)</f>
        <v>0</v>
      </c>
      <c r="H770" s="135" t="n">
        <f aca="false">$G770*'Analyse capacite'!$F$7</f>
        <v>0</v>
      </c>
      <c r="I770" s="135" t="n">
        <f aca="false">$G770*'Analyse capacite'!$C$7</f>
        <v>0</v>
      </c>
      <c r="J770" s="135" t="n">
        <f aca="false">$G770*'Analyse capacite'!$D$7</f>
        <v>0</v>
      </c>
      <c r="K770" s="135" t="n">
        <f aca="false">$G770*'Analyse capacite'!$E$7</f>
        <v>0</v>
      </c>
    </row>
    <row r="771" customFormat="false" ht="15" hidden="false" customHeight="false" outlineLevel="0" collapsed="false">
      <c r="B771" s="130" t="n">
        <v>2027</v>
      </c>
      <c r="C771" s="131" t="s">
        <v>246</v>
      </c>
      <c r="D771" s="132" t="n">
        <v>46499</v>
      </c>
      <c r="E771" s="131" t="s">
        <v>36</v>
      </c>
      <c r="F771" s="133" t="s">
        <v>19</v>
      </c>
      <c r="G771" s="134" t="n">
        <f aca="false">LEN('Saisie programme'!$G$23)+SUMIFS('Vols additionnels'!$E$7:$E$66,'Vols additionnels'!$C$7:$C$66,$E771,'Vols additionnels'!$D$7:$D$66,$F771,'Vols additionnels'!$B$7:$B$66,$D771)</f>
        <v>0</v>
      </c>
      <c r="H771" s="135" t="n">
        <f aca="false">$G771*'Analyse capacite'!$F$8</f>
        <v>0</v>
      </c>
      <c r="I771" s="135" t="n">
        <f aca="false">$G771*'Analyse capacite'!$C$8</f>
        <v>0</v>
      </c>
      <c r="J771" s="135" t="n">
        <f aca="false">$G771*'Analyse capacite'!$D$8</f>
        <v>0</v>
      </c>
      <c r="K771" s="135" t="n">
        <f aca="false">$G771*'Analyse capacite'!$E$8</f>
        <v>0</v>
      </c>
    </row>
    <row r="772" customFormat="false" ht="15" hidden="false" customHeight="false" outlineLevel="0" collapsed="false">
      <c r="B772" s="130" t="n">
        <v>2027</v>
      </c>
      <c r="C772" s="131" t="s">
        <v>246</v>
      </c>
      <c r="D772" s="132" t="n">
        <v>46499</v>
      </c>
      <c r="E772" s="131" t="s">
        <v>36</v>
      </c>
      <c r="F772" s="133" t="s">
        <v>24</v>
      </c>
      <c r="G772" s="134" t="n">
        <f aca="false">LEN('Saisie programme'!$G$24)+SUMIFS('Vols additionnels'!$E$7:$E$66,'Vols additionnels'!$C$7:$C$66,$E772,'Vols additionnels'!$D$7:$D$66,$F772,'Vols additionnels'!$B$7:$B$66,$D772)</f>
        <v>1</v>
      </c>
      <c r="H772" s="135" t="n">
        <f aca="false">$G772*'Analyse capacite'!$F$9</f>
        <v>174</v>
      </c>
      <c r="I772" s="135" t="n">
        <f aca="false">$G772*'Analyse capacite'!$C$9</f>
        <v>0</v>
      </c>
      <c r="J772" s="135" t="n">
        <f aca="false">$G772*'Analyse capacite'!$D$9</f>
        <v>12</v>
      </c>
      <c r="K772" s="135" t="n">
        <f aca="false">$G772*'Analyse capacite'!$E$9</f>
        <v>162</v>
      </c>
    </row>
    <row r="773" customFormat="false" ht="15" hidden="false" customHeight="false" outlineLevel="0" collapsed="false">
      <c r="B773" s="130" t="n">
        <v>2027</v>
      </c>
      <c r="C773" s="131" t="s">
        <v>246</v>
      </c>
      <c r="D773" s="132" t="n">
        <v>46499</v>
      </c>
      <c r="E773" s="131" t="s">
        <v>40</v>
      </c>
      <c r="F773" s="133" t="s">
        <v>11</v>
      </c>
      <c r="G773" s="134" t="n">
        <f aca="false">LEN('Saisie programme'!$G$25)+SUMIFS('Vols additionnels'!$E$7:$E$66,'Vols additionnels'!$C$7:$C$66,$E773,'Vols additionnels'!$D$7:$D$66,$F773,'Vols additionnels'!$B$7:$B$66,$D773)</f>
        <v>0</v>
      </c>
      <c r="H773" s="135" t="n">
        <f aca="false">$G773*'Analyse capacite'!$F$7</f>
        <v>0</v>
      </c>
      <c r="I773" s="135" t="n">
        <f aca="false">$G773*'Analyse capacite'!$C$7</f>
        <v>0</v>
      </c>
      <c r="J773" s="135" t="n">
        <f aca="false">$G773*'Analyse capacite'!$D$7</f>
        <v>0</v>
      </c>
      <c r="K773" s="135" t="n">
        <f aca="false">$G773*'Analyse capacite'!$E$7</f>
        <v>0</v>
      </c>
    </row>
    <row r="774" customFormat="false" ht="15" hidden="false" customHeight="false" outlineLevel="0" collapsed="false">
      <c r="B774" s="130" t="n">
        <v>2027</v>
      </c>
      <c r="C774" s="131" t="s">
        <v>246</v>
      </c>
      <c r="D774" s="132" t="n">
        <v>46499</v>
      </c>
      <c r="E774" s="131" t="s">
        <v>40</v>
      </c>
      <c r="F774" s="133" t="s">
        <v>19</v>
      </c>
      <c r="G774" s="134" t="n">
        <f aca="false">LEN('Saisie programme'!$G$26)+SUMIFS('Vols additionnels'!$E$7:$E$66,'Vols additionnels'!$C$7:$C$66,$E774,'Vols additionnels'!$D$7:$D$66,$F774,'Vols additionnels'!$B$7:$B$66,$D774)</f>
        <v>0</v>
      </c>
      <c r="H774" s="135" t="n">
        <f aca="false">$G774*'Analyse capacite'!$F$8</f>
        <v>0</v>
      </c>
      <c r="I774" s="135" t="n">
        <f aca="false">$G774*'Analyse capacite'!$C$8</f>
        <v>0</v>
      </c>
      <c r="J774" s="135" t="n">
        <f aca="false">$G774*'Analyse capacite'!$D$8</f>
        <v>0</v>
      </c>
      <c r="K774" s="135" t="n">
        <f aca="false">$G774*'Analyse capacite'!$E$8</f>
        <v>0</v>
      </c>
    </row>
    <row r="775" customFormat="false" ht="15" hidden="false" customHeight="false" outlineLevel="0" collapsed="false">
      <c r="B775" s="130" t="n">
        <v>2027</v>
      </c>
      <c r="C775" s="131" t="s">
        <v>246</v>
      </c>
      <c r="D775" s="132" t="n">
        <v>46499</v>
      </c>
      <c r="E775" s="131" t="s">
        <v>40</v>
      </c>
      <c r="F775" s="133" t="s">
        <v>24</v>
      </c>
      <c r="G775" s="134" t="n">
        <f aca="false">LEN('Saisie programme'!$G$27)+SUMIFS('Vols additionnels'!$E$7:$E$66,'Vols additionnels'!$C$7:$C$66,$E775,'Vols additionnels'!$D$7:$D$66,$F775,'Vols additionnels'!$B$7:$B$66,$D775)</f>
        <v>0</v>
      </c>
      <c r="H775" s="135" t="n">
        <f aca="false">$G775*'Analyse capacite'!$F$9</f>
        <v>0</v>
      </c>
      <c r="I775" s="135" t="n">
        <f aca="false">$G775*'Analyse capacite'!$C$9</f>
        <v>0</v>
      </c>
      <c r="J775" s="135" t="n">
        <f aca="false">$G775*'Analyse capacite'!$D$9</f>
        <v>0</v>
      </c>
      <c r="K775" s="135" t="n">
        <f aca="false">$G775*'Analyse capacite'!$E$9</f>
        <v>0</v>
      </c>
    </row>
    <row r="776" customFormat="false" ht="15" hidden="false" customHeight="false" outlineLevel="0" collapsed="false">
      <c r="B776" s="130" t="n">
        <v>2027</v>
      </c>
      <c r="C776" s="131" t="s">
        <v>246</v>
      </c>
      <c r="D776" s="132" t="n">
        <v>46499</v>
      </c>
      <c r="E776" s="131" t="s">
        <v>14</v>
      </c>
      <c r="F776" s="133" t="s">
        <v>11</v>
      </c>
      <c r="G776" s="134" t="n">
        <f aca="false">LEN('Saisie programme'!$G$28)+SUMIFS('Vols additionnels'!$E$7:$E$66,'Vols additionnels'!$C$7:$C$66,$E776,'Vols additionnels'!$D$7:$D$66,$F776,'Vols additionnels'!$B$7:$B$66,$D776)</f>
        <v>0</v>
      </c>
      <c r="H776" s="135" t="n">
        <f aca="false">$G776*'Analyse capacite'!$F$7</f>
        <v>0</v>
      </c>
      <c r="I776" s="135" t="n">
        <f aca="false">$G776*'Analyse capacite'!$C$7</f>
        <v>0</v>
      </c>
      <c r="J776" s="135" t="n">
        <f aca="false">$G776*'Analyse capacite'!$D$7</f>
        <v>0</v>
      </c>
      <c r="K776" s="135" t="n">
        <f aca="false">$G776*'Analyse capacite'!$E$7</f>
        <v>0</v>
      </c>
    </row>
    <row r="777" customFormat="false" ht="15" hidden="false" customHeight="false" outlineLevel="0" collapsed="false">
      <c r="B777" s="130" t="n">
        <v>2027</v>
      </c>
      <c r="C777" s="131" t="s">
        <v>246</v>
      </c>
      <c r="D777" s="132" t="n">
        <v>46499</v>
      </c>
      <c r="E777" s="131" t="s">
        <v>14</v>
      </c>
      <c r="F777" s="133" t="s">
        <v>19</v>
      </c>
      <c r="G777" s="134" t="n">
        <f aca="false">LEN('Saisie programme'!$G$29)+SUMIFS('Vols additionnels'!$E$7:$E$66,'Vols additionnels'!$C$7:$C$66,$E777,'Vols additionnels'!$D$7:$D$66,$F777,'Vols additionnels'!$B$7:$B$66,$D777)</f>
        <v>0</v>
      </c>
      <c r="H777" s="135" t="n">
        <f aca="false">$G777*'Analyse capacite'!$F$8</f>
        <v>0</v>
      </c>
      <c r="I777" s="135" t="n">
        <f aca="false">$G777*'Analyse capacite'!$C$8</f>
        <v>0</v>
      </c>
      <c r="J777" s="135" t="n">
        <f aca="false">$G777*'Analyse capacite'!$D$8</f>
        <v>0</v>
      </c>
      <c r="K777" s="135" t="n">
        <f aca="false">$G777*'Analyse capacite'!$E$8</f>
        <v>0</v>
      </c>
    </row>
    <row r="778" customFormat="false" ht="15" hidden="false" customHeight="false" outlineLevel="0" collapsed="false">
      <c r="B778" s="130" t="n">
        <v>2027</v>
      </c>
      <c r="C778" s="131" t="s">
        <v>246</v>
      </c>
      <c r="D778" s="132" t="n">
        <v>46499</v>
      </c>
      <c r="E778" s="131" t="s">
        <v>14</v>
      </c>
      <c r="F778" s="133" t="s">
        <v>24</v>
      </c>
      <c r="G778" s="134" t="n">
        <f aca="false">LEN('Saisie programme'!$G$30)+SUMIFS('Vols additionnels'!$E$7:$E$66,'Vols additionnels'!$C$7:$C$66,$E778,'Vols additionnels'!$D$7:$D$66,$F778,'Vols additionnels'!$B$7:$B$66,$D778)</f>
        <v>1</v>
      </c>
      <c r="H778" s="135" t="n">
        <f aca="false">$G778*'Analyse capacite'!$F$9</f>
        <v>174</v>
      </c>
      <c r="I778" s="135" t="n">
        <f aca="false">$G778*'Analyse capacite'!$C$9</f>
        <v>0</v>
      </c>
      <c r="J778" s="135" t="n">
        <f aca="false">$G778*'Analyse capacite'!$D$9</f>
        <v>12</v>
      </c>
      <c r="K778" s="135" t="n">
        <f aca="false">$G778*'Analyse capacite'!$E$9</f>
        <v>162</v>
      </c>
    </row>
    <row r="779" customFormat="false" ht="15" hidden="false" customHeight="false" outlineLevel="0" collapsed="false">
      <c r="B779" s="130" t="n">
        <v>2027</v>
      </c>
      <c r="C779" s="131" t="s">
        <v>246</v>
      </c>
      <c r="D779" s="132" t="n">
        <v>46499</v>
      </c>
      <c r="E779" s="131" t="s">
        <v>46</v>
      </c>
      <c r="F779" s="133" t="s">
        <v>11</v>
      </c>
      <c r="G779" s="134" t="n">
        <f aca="false">LEN('Saisie programme'!$G$31)+SUMIFS('Vols additionnels'!$E$7:$E$66,'Vols additionnels'!$C$7:$C$66,$E779,'Vols additionnels'!$D$7:$D$66,$F779,'Vols additionnels'!$B$7:$B$66,$D779)</f>
        <v>0</v>
      </c>
      <c r="H779" s="135" t="n">
        <f aca="false">$G779*'Analyse capacite'!$F$7</f>
        <v>0</v>
      </c>
      <c r="I779" s="135" t="n">
        <f aca="false">$G779*'Analyse capacite'!$C$7</f>
        <v>0</v>
      </c>
      <c r="J779" s="135" t="n">
        <f aca="false">$G779*'Analyse capacite'!$D$7</f>
        <v>0</v>
      </c>
      <c r="K779" s="135" t="n">
        <f aca="false">$G779*'Analyse capacite'!$E$7</f>
        <v>0</v>
      </c>
    </row>
    <row r="780" customFormat="false" ht="15" hidden="false" customHeight="false" outlineLevel="0" collapsed="false">
      <c r="B780" s="130" t="n">
        <v>2027</v>
      </c>
      <c r="C780" s="131" t="s">
        <v>246</v>
      </c>
      <c r="D780" s="132" t="n">
        <v>46499</v>
      </c>
      <c r="E780" s="131" t="s">
        <v>46</v>
      </c>
      <c r="F780" s="133" t="s">
        <v>19</v>
      </c>
      <c r="G780" s="134" t="n">
        <f aca="false">LEN('Saisie programme'!$G$32)+SUMIFS('Vols additionnels'!$E$7:$E$66,'Vols additionnels'!$C$7:$C$66,$E780,'Vols additionnels'!$D$7:$D$66,$F780,'Vols additionnels'!$B$7:$B$66,$D780)</f>
        <v>0</v>
      </c>
      <c r="H780" s="135" t="n">
        <f aca="false">$G780*'Analyse capacite'!$F$8</f>
        <v>0</v>
      </c>
      <c r="I780" s="135" t="n">
        <f aca="false">$G780*'Analyse capacite'!$C$8</f>
        <v>0</v>
      </c>
      <c r="J780" s="135" t="n">
        <f aca="false">$G780*'Analyse capacite'!$D$8</f>
        <v>0</v>
      </c>
      <c r="K780" s="135" t="n">
        <f aca="false">$G780*'Analyse capacite'!$E$8</f>
        <v>0</v>
      </c>
    </row>
    <row r="781" customFormat="false" ht="15" hidden="false" customHeight="false" outlineLevel="0" collapsed="false">
      <c r="B781" s="130" t="n">
        <v>2027</v>
      </c>
      <c r="C781" s="131" t="s">
        <v>246</v>
      </c>
      <c r="D781" s="132" t="n">
        <v>46499</v>
      </c>
      <c r="E781" s="131" t="s">
        <v>46</v>
      </c>
      <c r="F781" s="133" t="s">
        <v>24</v>
      </c>
      <c r="G781" s="134" t="n">
        <f aca="false">LEN('Saisie programme'!$G$33)+SUMIFS('Vols additionnels'!$E$7:$E$66,'Vols additionnels'!$C$7:$C$66,$E781,'Vols additionnels'!$D$7:$D$66,$F781,'Vols additionnels'!$B$7:$B$66,$D781)</f>
        <v>1</v>
      </c>
      <c r="H781" s="135" t="n">
        <f aca="false">$G781*'Analyse capacite'!$F$9</f>
        <v>174</v>
      </c>
      <c r="I781" s="135" t="n">
        <f aca="false">$G781*'Analyse capacite'!$C$9</f>
        <v>0</v>
      </c>
      <c r="J781" s="135" t="n">
        <f aca="false">$G781*'Analyse capacite'!$D$9</f>
        <v>12</v>
      </c>
      <c r="K781" s="135" t="n">
        <f aca="false">$G781*'Analyse capacite'!$E$9</f>
        <v>162</v>
      </c>
    </row>
    <row r="782" customFormat="false" ht="15" hidden="false" customHeight="false" outlineLevel="0" collapsed="false">
      <c r="B782" s="130" t="n">
        <v>2027</v>
      </c>
      <c r="C782" s="131" t="s">
        <v>246</v>
      </c>
      <c r="D782" s="132" t="n">
        <v>46499</v>
      </c>
      <c r="E782" s="131" t="s">
        <v>49</v>
      </c>
      <c r="F782" s="133" t="s">
        <v>11</v>
      </c>
      <c r="G782" s="134" t="n">
        <f aca="false">LEN('Saisie programme'!$G$34)+SUMIFS('Vols additionnels'!$E$7:$E$66,'Vols additionnels'!$C$7:$C$66,$E782,'Vols additionnels'!$D$7:$D$66,$F782,'Vols additionnels'!$B$7:$B$66,$D782)</f>
        <v>0</v>
      </c>
      <c r="H782" s="135" t="n">
        <f aca="false">$G782*'Analyse capacite'!$F$7</f>
        <v>0</v>
      </c>
      <c r="I782" s="135" t="n">
        <f aca="false">$G782*'Analyse capacite'!$C$7</f>
        <v>0</v>
      </c>
      <c r="J782" s="135" t="n">
        <f aca="false">$G782*'Analyse capacite'!$D$7</f>
        <v>0</v>
      </c>
      <c r="K782" s="135" t="n">
        <f aca="false">$G782*'Analyse capacite'!$E$7</f>
        <v>0</v>
      </c>
    </row>
    <row r="783" customFormat="false" ht="15" hidden="false" customHeight="false" outlineLevel="0" collapsed="false">
      <c r="B783" s="130" t="n">
        <v>2027</v>
      </c>
      <c r="C783" s="131" t="s">
        <v>246</v>
      </c>
      <c r="D783" s="132" t="n">
        <v>46499</v>
      </c>
      <c r="E783" s="131" t="s">
        <v>49</v>
      </c>
      <c r="F783" s="133" t="s">
        <v>19</v>
      </c>
      <c r="G783" s="134" t="n">
        <f aca="false">LEN('Saisie programme'!$G$35)+SUMIFS('Vols additionnels'!$E$7:$E$66,'Vols additionnels'!$C$7:$C$66,$E783,'Vols additionnels'!$D$7:$D$66,$F783,'Vols additionnels'!$B$7:$B$66,$D783)</f>
        <v>0</v>
      </c>
      <c r="H783" s="135" t="n">
        <f aca="false">$G783*'Analyse capacite'!$F$8</f>
        <v>0</v>
      </c>
      <c r="I783" s="135" t="n">
        <f aca="false">$G783*'Analyse capacite'!$C$8</f>
        <v>0</v>
      </c>
      <c r="J783" s="135" t="n">
        <f aca="false">$G783*'Analyse capacite'!$D$8</f>
        <v>0</v>
      </c>
      <c r="K783" s="135" t="n">
        <f aca="false">$G783*'Analyse capacite'!$E$8</f>
        <v>0</v>
      </c>
    </row>
    <row r="784" customFormat="false" ht="15" hidden="false" customHeight="false" outlineLevel="0" collapsed="false">
      <c r="B784" s="130" t="n">
        <v>2027</v>
      </c>
      <c r="C784" s="131" t="s">
        <v>246</v>
      </c>
      <c r="D784" s="132" t="n">
        <v>46499</v>
      </c>
      <c r="E784" s="131" t="s">
        <v>49</v>
      </c>
      <c r="F784" s="133" t="s">
        <v>24</v>
      </c>
      <c r="G784" s="134" t="n">
        <f aca="false">LEN('Saisie programme'!$G$36)+SUMIFS('Vols additionnels'!$E$7:$E$66,'Vols additionnels'!$C$7:$C$66,$E784,'Vols additionnels'!$D$7:$D$66,$F784,'Vols additionnels'!$B$7:$B$66,$D784)</f>
        <v>0</v>
      </c>
      <c r="H784" s="135" t="n">
        <f aca="false">$G784*'Analyse capacite'!$F$9</f>
        <v>0</v>
      </c>
      <c r="I784" s="135" t="n">
        <f aca="false">$G784*'Analyse capacite'!$C$9</f>
        <v>0</v>
      </c>
      <c r="J784" s="135" t="n">
        <f aca="false">$G784*'Analyse capacite'!$D$9</f>
        <v>0</v>
      </c>
      <c r="K784" s="135" t="n">
        <f aca="false">$G784*'Analyse capacite'!$E$9</f>
        <v>0</v>
      </c>
    </row>
    <row r="785" customFormat="false" ht="15" hidden="false" customHeight="false" outlineLevel="0" collapsed="false">
      <c r="B785" s="130" t="n">
        <v>2027</v>
      </c>
      <c r="C785" s="131" t="s">
        <v>246</v>
      </c>
      <c r="D785" s="132" t="n">
        <v>46499</v>
      </c>
      <c r="E785" s="131" t="s">
        <v>53</v>
      </c>
      <c r="F785" s="133" t="s">
        <v>11</v>
      </c>
      <c r="G785" s="134" t="n">
        <f aca="false">LEN('Saisie programme'!$G$37)+SUMIFS('Vols additionnels'!$E$7:$E$66,'Vols additionnels'!$C$7:$C$66,$E785,'Vols additionnels'!$D$7:$D$66,$F785,'Vols additionnels'!$B$7:$B$66,$D785)</f>
        <v>0</v>
      </c>
      <c r="H785" s="135" t="n">
        <f aca="false">$G785*'Analyse capacite'!$F$7</f>
        <v>0</v>
      </c>
      <c r="I785" s="135" t="n">
        <f aca="false">$G785*'Analyse capacite'!$C$7</f>
        <v>0</v>
      </c>
      <c r="J785" s="135" t="n">
        <f aca="false">$G785*'Analyse capacite'!$D$7</f>
        <v>0</v>
      </c>
      <c r="K785" s="135" t="n">
        <f aca="false">$G785*'Analyse capacite'!$E$7</f>
        <v>0</v>
      </c>
    </row>
    <row r="786" customFormat="false" ht="15" hidden="false" customHeight="false" outlineLevel="0" collapsed="false">
      <c r="B786" s="130" t="n">
        <v>2027</v>
      </c>
      <c r="C786" s="131" t="s">
        <v>246</v>
      </c>
      <c r="D786" s="132" t="n">
        <v>46499</v>
      </c>
      <c r="E786" s="131" t="s">
        <v>53</v>
      </c>
      <c r="F786" s="133" t="s">
        <v>19</v>
      </c>
      <c r="G786" s="134" t="n">
        <f aca="false">LEN('Saisie programme'!$G$38)+SUMIFS('Vols additionnels'!$E$7:$E$66,'Vols additionnels'!$C$7:$C$66,$E786,'Vols additionnels'!$D$7:$D$66,$F786,'Vols additionnels'!$B$7:$B$66,$D786)</f>
        <v>1</v>
      </c>
      <c r="H786" s="135" t="n">
        <f aca="false">$G786*'Analyse capacite'!$F$8</f>
        <v>262</v>
      </c>
      <c r="I786" s="135" t="n">
        <f aca="false">$G786*'Analyse capacite'!$C$8</f>
        <v>18</v>
      </c>
      <c r="J786" s="135" t="n">
        <f aca="false">$G786*'Analyse capacite'!$D$8</f>
        <v>0</v>
      </c>
      <c r="K786" s="135" t="n">
        <f aca="false">$G786*'Analyse capacite'!$E$8</f>
        <v>244</v>
      </c>
    </row>
    <row r="787" customFormat="false" ht="15" hidden="false" customHeight="false" outlineLevel="0" collapsed="false">
      <c r="B787" s="130" t="n">
        <v>2027</v>
      </c>
      <c r="C787" s="131" t="s">
        <v>246</v>
      </c>
      <c r="D787" s="132" t="n">
        <v>46499</v>
      </c>
      <c r="E787" s="131" t="s">
        <v>53</v>
      </c>
      <c r="F787" s="133" t="s">
        <v>24</v>
      </c>
      <c r="G787" s="134" t="n">
        <f aca="false">LEN('Saisie programme'!$G$39)+SUMIFS('Vols additionnels'!$E$7:$E$66,'Vols additionnels'!$C$7:$C$66,$E787,'Vols additionnels'!$D$7:$D$66,$F787,'Vols additionnels'!$B$7:$B$66,$D787)</f>
        <v>0</v>
      </c>
      <c r="H787" s="135" t="n">
        <f aca="false">$G787*'Analyse capacite'!$F$9</f>
        <v>0</v>
      </c>
      <c r="I787" s="135" t="n">
        <f aca="false">$G787*'Analyse capacite'!$C$9</f>
        <v>0</v>
      </c>
      <c r="J787" s="135" t="n">
        <f aca="false">$G787*'Analyse capacite'!$D$9</f>
        <v>0</v>
      </c>
      <c r="K787" s="135" t="n">
        <f aca="false">$G787*'Analyse capacite'!$E$9</f>
        <v>0</v>
      </c>
    </row>
    <row r="788" customFormat="false" ht="15" hidden="false" customHeight="false" outlineLevel="0" collapsed="false">
      <c r="B788" s="130" t="n">
        <v>2027</v>
      </c>
      <c r="C788" s="131" t="s">
        <v>246</v>
      </c>
      <c r="D788" s="132" t="n">
        <v>46499</v>
      </c>
      <c r="E788" s="131" t="s">
        <v>56</v>
      </c>
      <c r="F788" s="133" t="s">
        <v>11</v>
      </c>
      <c r="G788" s="134" t="n">
        <f aca="false">LEN('Saisie programme'!$G$40)+SUMIFS('Vols additionnels'!$E$7:$E$66,'Vols additionnels'!$C$7:$C$66,$E788,'Vols additionnels'!$D$7:$D$66,$F788,'Vols additionnels'!$B$7:$B$66,$D788)</f>
        <v>0</v>
      </c>
      <c r="H788" s="135" t="n">
        <f aca="false">$G788*'Analyse capacite'!$F$7</f>
        <v>0</v>
      </c>
      <c r="I788" s="135" t="n">
        <f aca="false">$G788*'Analyse capacite'!$C$7</f>
        <v>0</v>
      </c>
      <c r="J788" s="135" t="n">
        <f aca="false">$G788*'Analyse capacite'!$D$7</f>
        <v>0</v>
      </c>
      <c r="K788" s="135" t="n">
        <f aca="false">$G788*'Analyse capacite'!$E$7</f>
        <v>0</v>
      </c>
    </row>
    <row r="789" customFormat="false" ht="15" hidden="false" customHeight="false" outlineLevel="0" collapsed="false">
      <c r="B789" s="130" t="n">
        <v>2027</v>
      </c>
      <c r="C789" s="131" t="s">
        <v>246</v>
      </c>
      <c r="D789" s="132" t="n">
        <v>46499</v>
      </c>
      <c r="E789" s="131" t="s">
        <v>56</v>
      </c>
      <c r="F789" s="133" t="s">
        <v>19</v>
      </c>
      <c r="G789" s="134" t="n">
        <f aca="false">LEN('Saisie programme'!$G$41)+SUMIFS('Vols additionnels'!$E$7:$E$66,'Vols additionnels'!$C$7:$C$66,$E789,'Vols additionnels'!$D$7:$D$66,$F789,'Vols additionnels'!$B$7:$B$66,$D789)</f>
        <v>0</v>
      </c>
      <c r="H789" s="135" t="n">
        <f aca="false">$G789*'Analyse capacite'!$F$8</f>
        <v>0</v>
      </c>
      <c r="I789" s="135" t="n">
        <f aca="false">$G789*'Analyse capacite'!$C$8</f>
        <v>0</v>
      </c>
      <c r="J789" s="135" t="n">
        <f aca="false">$G789*'Analyse capacite'!$D$8</f>
        <v>0</v>
      </c>
      <c r="K789" s="135" t="n">
        <f aca="false">$G789*'Analyse capacite'!$E$8</f>
        <v>0</v>
      </c>
    </row>
    <row r="790" customFormat="false" ht="15" hidden="false" customHeight="false" outlineLevel="0" collapsed="false">
      <c r="B790" s="130" t="n">
        <v>2027</v>
      </c>
      <c r="C790" s="131" t="s">
        <v>246</v>
      </c>
      <c r="D790" s="132" t="n">
        <v>46499</v>
      </c>
      <c r="E790" s="131" t="s">
        <v>56</v>
      </c>
      <c r="F790" s="133" t="s">
        <v>24</v>
      </c>
      <c r="G790" s="134" t="n">
        <f aca="false">LEN('Saisie programme'!$G$42)+SUMIFS('Vols additionnels'!$E$7:$E$66,'Vols additionnels'!$C$7:$C$66,$E790,'Vols additionnels'!$D$7:$D$66,$F790,'Vols additionnels'!$B$7:$B$66,$D790)</f>
        <v>0</v>
      </c>
      <c r="H790" s="135" t="n">
        <f aca="false">$G790*'Analyse capacite'!$F$9</f>
        <v>0</v>
      </c>
      <c r="I790" s="135" t="n">
        <f aca="false">$G790*'Analyse capacite'!$C$9</f>
        <v>0</v>
      </c>
      <c r="J790" s="135" t="n">
        <f aca="false">$G790*'Analyse capacite'!$D$9</f>
        <v>0</v>
      </c>
      <c r="K790" s="135" t="n">
        <f aca="false">$G790*'Analyse capacite'!$E$9</f>
        <v>0</v>
      </c>
    </row>
    <row r="791" customFormat="false" ht="15" hidden="false" customHeight="false" outlineLevel="0" collapsed="false">
      <c r="B791" s="130" t="n">
        <v>2027</v>
      </c>
      <c r="C791" s="131" t="s">
        <v>246</v>
      </c>
      <c r="D791" s="132" t="n">
        <v>46499</v>
      </c>
      <c r="E791" s="131" t="s">
        <v>59</v>
      </c>
      <c r="F791" s="133" t="s">
        <v>11</v>
      </c>
      <c r="G791" s="134" t="n">
        <f aca="false">LEN('Saisie programme'!$G$43)+SUMIFS('Vols additionnels'!$E$7:$E$66,'Vols additionnels'!$C$7:$C$66,$E791,'Vols additionnels'!$D$7:$D$66,$F791,'Vols additionnels'!$B$7:$B$66,$D791)</f>
        <v>0</v>
      </c>
      <c r="H791" s="135" t="n">
        <f aca="false">$G791*'Analyse capacite'!$F$7</f>
        <v>0</v>
      </c>
      <c r="I791" s="135" t="n">
        <f aca="false">$G791*'Analyse capacite'!$C$7</f>
        <v>0</v>
      </c>
      <c r="J791" s="135" t="n">
        <f aca="false">$G791*'Analyse capacite'!$D$7</f>
        <v>0</v>
      </c>
      <c r="K791" s="135" t="n">
        <f aca="false">$G791*'Analyse capacite'!$E$7</f>
        <v>0</v>
      </c>
    </row>
    <row r="792" customFormat="false" ht="15" hidden="false" customHeight="false" outlineLevel="0" collapsed="false">
      <c r="B792" s="130" t="n">
        <v>2027</v>
      </c>
      <c r="C792" s="131" t="s">
        <v>246</v>
      </c>
      <c r="D792" s="132" t="n">
        <v>46499</v>
      </c>
      <c r="E792" s="131" t="s">
        <v>59</v>
      </c>
      <c r="F792" s="133" t="s">
        <v>19</v>
      </c>
      <c r="G792" s="134" t="n">
        <f aca="false">LEN('Saisie programme'!$G$44)+SUMIFS('Vols additionnels'!$E$7:$E$66,'Vols additionnels'!$C$7:$C$66,$E792,'Vols additionnels'!$D$7:$D$66,$F792,'Vols additionnels'!$B$7:$B$66,$D792)</f>
        <v>0</v>
      </c>
      <c r="H792" s="135" t="n">
        <f aca="false">$G792*'Analyse capacite'!$F$8</f>
        <v>0</v>
      </c>
      <c r="I792" s="135" t="n">
        <f aca="false">$G792*'Analyse capacite'!$C$8</f>
        <v>0</v>
      </c>
      <c r="J792" s="135" t="n">
        <f aca="false">$G792*'Analyse capacite'!$D$8</f>
        <v>0</v>
      </c>
      <c r="K792" s="135" t="n">
        <f aca="false">$G792*'Analyse capacite'!$E$8</f>
        <v>0</v>
      </c>
    </row>
    <row r="793" customFormat="false" ht="15" hidden="false" customHeight="false" outlineLevel="0" collapsed="false">
      <c r="B793" s="130" t="n">
        <v>2027</v>
      </c>
      <c r="C793" s="131" t="s">
        <v>246</v>
      </c>
      <c r="D793" s="132" t="n">
        <v>46499</v>
      </c>
      <c r="E793" s="131" t="s">
        <v>59</v>
      </c>
      <c r="F793" s="133" t="s">
        <v>24</v>
      </c>
      <c r="G793" s="134" t="n">
        <f aca="false">LEN('Saisie programme'!$G$45)+SUMIFS('Vols additionnels'!$E$7:$E$66,'Vols additionnels'!$C$7:$C$66,$E793,'Vols additionnels'!$D$7:$D$66,$F793,'Vols additionnels'!$B$7:$B$66,$D793)</f>
        <v>2</v>
      </c>
      <c r="H793" s="135" t="n">
        <f aca="false">$G793*'Analyse capacite'!$F$9</f>
        <v>348</v>
      </c>
      <c r="I793" s="135" t="n">
        <f aca="false">$G793*'Analyse capacite'!$C$9</f>
        <v>0</v>
      </c>
      <c r="J793" s="135" t="n">
        <f aca="false">$G793*'Analyse capacite'!$D$9</f>
        <v>24</v>
      </c>
      <c r="K793" s="135" t="n">
        <f aca="false">$G793*'Analyse capacite'!$E$9</f>
        <v>324</v>
      </c>
    </row>
    <row r="794" customFormat="false" ht="15" hidden="false" customHeight="false" outlineLevel="0" collapsed="false">
      <c r="B794" s="130" t="n">
        <v>2027</v>
      </c>
      <c r="C794" s="131" t="s">
        <v>246</v>
      </c>
      <c r="D794" s="132" t="n">
        <v>46499</v>
      </c>
      <c r="E794" s="131" t="s">
        <v>62</v>
      </c>
      <c r="F794" s="133" t="s">
        <v>11</v>
      </c>
      <c r="G794" s="134" t="n">
        <f aca="false">LEN('Saisie programme'!$G$46)+SUMIFS('Vols additionnels'!$E$7:$E$66,'Vols additionnels'!$C$7:$C$66,$E794,'Vols additionnels'!$D$7:$D$66,$F794,'Vols additionnels'!$B$7:$B$66,$D794)</f>
        <v>0</v>
      </c>
      <c r="H794" s="135" t="n">
        <f aca="false">$G794*'Analyse capacite'!$F$7</f>
        <v>0</v>
      </c>
      <c r="I794" s="135" t="n">
        <f aca="false">$G794*'Analyse capacite'!$C$7</f>
        <v>0</v>
      </c>
      <c r="J794" s="135" t="n">
        <f aca="false">$G794*'Analyse capacite'!$D$7</f>
        <v>0</v>
      </c>
      <c r="K794" s="135" t="n">
        <f aca="false">$G794*'Analyse capacite'!$E$7</f>
        <v>0</v>
      </c>
    </row>
    <row r="795" customFormat="false" ht="15" hidden="false" customHeight="false" outlineLevel="0" collapsed="false">
      <c r="B795" s="130" t="n">
        <v>2027</v>
      </c>
      <c r="C795" s="131" t="s">
        <v>246</v>
      </c>
      <c r="D795" s="132" t="n">
        <v>46499</v>
      </c>
      <c r="E795" s="131" t="s">
        <v>62</v>
      </c>
      <c r="F795" s="133" t="s">
        <v>19</v>
      </c>
      <c r="G795" s="134" t="n">
        <f aca="false">LEN('Saisie programme'!$G$47)+SUMIFS('Vols additionnels'!$E$7:$E$66,'Vols additionnels'!$C$7:$C$66,$E795,'Vols additionnels'!$D$7:$D$66,$F795,'Vols additionnels'!$B$7:$B$66,$D795)</f>
        <v>0</v>
      </c>
      <c r="H795" s="135" t="n">
        <f aca="false">$G795*'Analyse capacite'!$F$8</f>
        <v>0</v>
      </c>
      <c r="I795" s="135" t="n">
        <f aca="false">$G795*'Analyse capacite'!$C$8</f>
        <v>0</v>
      </c>
      <c r="J795" s="135" t="n">
        <f aca="false">$G795*'Analyse capacite'!$D$8</f>
        <v>0</v>
      </c>
      <c r="K795" s="135" t="n">
        <f aca="false">$G795*'Analyse capacite'!$E$8</f>
        <v>0</v>
      </c>
    </row>
    <row r="796" customFormat="false" ht="15" hidden="false" customHeight="false" outlineLevel="0" collapsed="false">
      <c r="B796" s="130" t="n">
        <v>2027</v>
      </c>
      <c r="C796" s="131" t="s">
        <v>246</v>
      </c>
      <c r="D796" s="132" t="n">
        <v>46499</v>
      </c>
      <c r="E796" s="131" t="s">
        <v>62</v>
      </c>
      <c r="F796" s="133" t="s">
        <v>24</v>
      </c>
      <c r="G796" s="134" t="n">
        <f aca="false">LEN('Saisie programme'!$G$48)+SUMIFS('Vols additionnels'!$E$7:$E$66,'Vols additionnels'!$C$7:$C$66,$E796,'Vols additionnels'!$D$7:$D$66,$F796,'Vols additionnels'!$B$7:$B$66,$D796)</f>
        <v>0</v>
      </c>
      <c r="H796" s="135" t="n">
        <f aca="false">$G796*'Analyse capacite'!$F$9</f>
        <v>0</v>
      </c>
      <c r="I796" s="135" t="n">
        <f aca="false">$G796*'Analyse capacite'!$C$9</f>
        <v>0</v>
      </c>
      <c r="J796" s="135" t="n">
        <f aca="false">$G796*'Analyse capacite'!$D$9</f>
        <v>0</v>
      </c>
      <c r="K796" s="135" t="n">
        <f aca="false">$G796*'Analyse capacite'!$E$9</f>
        <v>0</v>
      </c>
    </row>
    <row r="797" customFormat="false" ht="15" hidden="false" customHeight="false" outlineLevel="0" collapsed="false">
      <c r="B797" s="130" t="n">
        <v>2027</v>
      </c>
      <c r="C797" s="131" t="s">
        <v>246</v>
      </c>
      <c r="D797" s="132" t="n">
        <v>46500</v>
      </c>
      <c r="E797" s="131" t="s">
        <v>12</v>
      </c>
      <c r="F797" s="133" t="s">
        <v>11</v>
      </c>
      <c r="G797" s="134" t="n">
        <f aca="false">LEN('Saisie programme'!$H$13)+SUMIFS('Vols additionnels'!$E$7:$E$66,'Vols additionnels'!$C$7:$C$66,$E797,'Vols additionnels'!$D$7:$D$66,$F797,'Vols additionnels'!$B$7:$B$66,$D797)</f>
        <v>1</v>
      </c>
      <c r="H797" s="135" t="n">
        <f aca="false">$G797*'Analyse capacite'!$F$7</f>
        <v>438</v>
      </c>
      <c r="I797" s="135" t="n">
        <f aca="false">$G797*'Analyse capacite'!$C$7</f>
        <v>14</v>
      </c>
      <c r="J797" s="135" t="n">
        <f aca="false">$G797*'Analyse capacite'!$D$7</f>
        <v>40</v>
      </c>
      <c r="K797" s="135" t="n">
        <f aca="false">$G797*'Analyse capacite'!$E$7</f>
        <v>384</v>
      </c>
    </row>
    <row r="798" customFormat="false" ht="15" hidden="false" customHeight="false" outlineLevel="0" collapsed="false">
      <c r="B798" s="130" t="n">
        <v>2027</v>
      </c>
      <c r="C798" s="131" t="s">
        <v>246</v>
      </c>
      <c r="D798" s="132" t="n">
        <v>46500</v>
      </c>
      <c r="E798" s="131" t="s">
        <v>12</v>
      </c>
      <c r="F798" s="133" t="s">
        <v>19</v>
      </c>
      <c r="G798" s="134" t="n">
        <f aca="false">LEN('Saisie programme'!$H$14)+SUMIFS('Vols additionnels'!$E$7:$E$66,'Vols additionnels'!$C$7:$C$66,$E798,'Vols additionnels'!$D$7:$D$66,$F798,'Vols additionnels'!$B$7:$B$66,$D798)</f>
        <v>1</v>
      </c>
      <c r="H798" s="135" t="n">
        <f aca="false">$G798*'Analyse capacite'!$F$8</f>
        <v>262</v>
      </c>
      <c r="I798" s="135" t="n">
        <f aca="false">$G798*'Analyse capacite'!$C$8</f>
        <v>18</v>
      </c>
      <c r="J798" s="135" t="n">
        <f aca="false">$G798*'Analyse capacite'!$D$8</f>
        <v>0</v>
      </c>
      <c r="K798" s="135" t="n">
        <f aca="false">$G798*'Analyse capacite'!$E$8</f>
        <v>244</v>
      </c>
    </row>
    <row r="799" customFormat="false" ht="15" hidden="false" customHeight="false" outlineLevel="0" collapsed="false">
      <c r="B799" s="130" t="n">
        <v>2027</v>
      </c>
      <c r="C799" s="131" t="s">
        <v>246</v>
      </c>
      <c r="D799" s="132" t="n">
        <v>46500</v>
      </c>
      <c r="E799" s="131" t="s">
        <v>12</v>
      </c>
      <c r="F799" s="133" t="s">
        <v>24</v>
      </c>
      <c r="G799" s="134" t="n">
        <f aca="false">LEN('Saisie programme'!$H$15)+SUMIFS('Vols additionnels'!$E$7:$E$66,'Vols additionnels'!$C$7:$C$66,$E799,'Vols additionnels'!$D$7:$D$66,$F799,'Vols additionnels'!$B$7:$B$66,$D799)</f>
        <v>0</v>
      </c>
      <c r="H799" s="135" t="n">
        <f aca="false">$G799*'Analyse capacite'!$F$9</f>
        <v>0</v>
      </c>
      <c r="I799" s="135" t="n">
        <f aca="false">$G799*'Analyse capacite'!$C$9</f>
        <v>0</v>
      </c>
      <c r="J799" s="135" t="n">
        <f aca="false">$G799*'Analyse capacite'!$D$9</f>
        <v>0</v>
      </c>
      <c r="K799" s="135" t="n">
        <f aca="false">$G799*'Analyse capacite'!$E$9</f>
        <v>0</v>
      </c>
    </row>
    <row r="800" customFormat="false" ht="15" hidden="false" customHeight="false" outlineLevel="0" collapsed="false">
      <c r="B800" s="130" t="n">
        <v>2027</v>
      </c>
      <c r="C800" s="131" t="s">
        <v>246</v>
      </c>
      <c r="D800" s="132" t="n">
        <v>46500</v>
      </c>
      <c r="E800" s="131" t="s">
        <v>20</v>
      </c>
      <c r="F800" s="133" t="s">
        <v>11</v>
      </c>
      <c r="G800" s="134" t="n">
        <f aca="false">LEN('Saisie programme'!$H$16)+SUMIFS('Vols additionnels'!$E$7:$E$66,'Vols additionnels'!$C$7:$C$66,$E800,'Vols additionnels'!$D$7:$D$66,$F800,'Vols additionnels'!$B$7:$B$66,$D800)</f>
        <v>0</v>
      </c>
      <c r="H800" s="135" t="n">
        <f aca="false">$G800*'Analyse capacite'!$F$7</f>
        <v>0</v>
      </c>
      <c r="I800" s="135" t="n">
        <f aca="false">$G800*'Analyse capacite'!$C$7</f>
        <v>0</v>
      </c>
      <c r="J800" s="135" t="n">
        <f aca="false">$G800*'Analyse capacite'!$D$7</f>
        <v>0</v>
      </c>
      <c r="K800" s="135" t="n">
        <f aca="false">$G800*'Analyse capacite'!$E$7</f>
        <v>0</v>
      </c>
    </row>
    <row r="801" customFormat="false" ht="15" hidden="false" customHeight="false" outlineLevel="0" collapsed="false">
      <c r="B801" s="130" t="n">
        <v>2027</v>
      </c>
      <c r="C801" s="131" t="s">
        <v>246</v>
      </c>
      <c r="D801" s="132" t="n">
        <v>46500</v>
      </c>
      <c r="E801" s="131" t="s">
        <v>20</v>
      </c>
      <c r="F801" s="133" t="s">
        <v>19</v>
      </c>
      <c r="G801" s="134" t="n">
        <f aca="false">LEN('Saisie programme'!$H$17)+SUMIFS('Vols additionnels'!$E$7:$E$66,'Vols additionnels'!$C$7:$C$66,$E801,'Vols additionnels'!$D$7:$D$66,$F801,'Vols additionnels'!$B$7:$B$66,$D801)</f>
        <v>1</v>
      </c>
      <c r="H801" s="135" t="n">
        <f aca="false">$G801*'Analyse capacite'!$F$8</f>
        <v>262</v>
      </c>
      <c r="I801" s="135" t="n">
        <f aca="false">$G801*'Analyse capacite'!$C$8</f>
        <v>18</v>
      </c>
      <c r="J801" s="135" t="n">
        <f aca="false">$G801*'Analyse capacite'!$D$8</f>
        <v>0</v>
      </c>
      <c r="K801" s="135" t="n">
        <f aca="false">$G801*'Analyse capacite'!$E$8</f>
        <v>244</v>
      </c>
    </row>
    <row r="802" customFormat="false" ht="15" hidden="false" customHeight="false" outlineLevel="0" collapsed="false">
      <c r="B802" s="130" t="n">
        <v>2027</v>
      </c>
      <c r="C802" s="131" t="s">
        <v>246</v>
      </c>
      <c r="D802" s="132" t="n">
        <v>46500</v>
      </c>
      <c r="E802" s="131" t="s">
        <v>20</v>
      </c>
      <c r="F802" s="133" t="s">
        <v>24</v>
      </c>
      <c r="G802" s="134" t="n">
        <f aca="false">LEN('Saisie programme'!$H$18)+SUMIFS('Vols additionnels'!$E$7:$E$66,'Vols additionnels'!$C$7:$C$66,$E802,'Vols additionnels'!$D$7:$D$66,$F802,'Vols additionnels'!$B$7:$B$66,$D802)</f>
        <v>0</v>
      </c>
      <c r="H802" s="135" t="n">
        <f aca="false">$G802*'Analyse capacite'!$F$9</f>
        <v>0</v>
      </c>
      <c r="I802" s="135" t="n">
        <f aca="false">$G802*'Analyse capacite'!$C$9</f>
        <v>0</v>
      </c>
      <c r="J802" s="135" t="n">
        <f aca="false">$G802*'Analyse capacite'!$D$9</f>
        <v>0</v>
      </c>
      <c r="K802" s="135" t="n">
        <f aca="false">$G802*'Analyse capacite'!$E$9</f>
        <v>0</v>
      </c>
    </row>
    <row r="803" customFormat="false" ht="15" hidden="false" customHeight="false" outlineLevel="0" collapsed="false">
      <c r="B803" s="130" t="n">
        <v>2027</v>
      </c>
      <c r="C803" s="131" t="s">
        <v>246</v>
      </c>
      <c r="D803" s="132" t="n">
        <v>46500</v>
      </c>
      <c r="E803" s="131" t="s">
        <v>25</v>
      </c>
      <c r="F803" s="133" t="s">
        <v>11</v>
      </c>
      <c r="G803" s="134" t="n">
        <f aca="false">LEN('Saisie programme'!$H$19)+SUMIFS('Vols additionnels'!$E$7:$E$66,'Vols additionnels'!$C$7:$C$66,$E803,'Vols additionnels'!$D$7:$D$66,$F803,'Vols additionnels'!$B$7:$B$66,$D803)</f>
        <v>0</v>
      </c>
      <c r="H803" s="135" t="n">
        <f aca="false">$G803*'Analyse capacite'!$F$7</f>
        <v>0</v>
      </c>
      <c r="I803" s="135" t="n">
        <f aca="false">$G803*'Analyse capacite'!$C$7</f>
        <v>0</v>
      </c>
      <c r="J803" s="135" t="n">
        <f aca="false">$G803*'Analyse capacite'!$D$7</f>
        <v>0</v>
      </c>
      <c r="K803" s="135" t="n">
        <f aca="false">$G803*'Analyse capacite'!$E$7</f>
        <v>0</v>
      </c>
    </row>
    <row r="804" customFormat="false" ht="15" hidden="false" customHeight="false" outlineLevel="0" collapsed="false">
      <c r="B804" s="130" t="n">
        <v>2027</v>
      </c>
      <c r="C804" s="131" t="s">
        <v>246</v>
      </c>
      <c r="D804" s="132" t="n">
        <v>46500</v>
      </c>
      <c r="E804" s="131" t="s">
        <v>25</v>
      </c>
      <c r="F804" s="133" t="s">
        <v>19</v>
      </c>
      <c r="G804" s="134" t="n">
        <f aca="false">LEN('Saisie programme'!$H$20)+SUMIFS('Vols additionnels'!$E$7:$E$66,'Vols additionnels'!$C$7:$C$66,$E804,'Vols additionnels'!$D$7:$D$66,$F804,'Vols additionnels'!$B$7:$B$66,$D804)</f>
        <v>0</v>
      </c>
      <c r="H804" s="135" t="n">
        <f aca="false">$G804*'Analyse capacite'!$F$8</f>
        <v>0</v>
      </c>
      <c r="I804" s="135" t="n">
        <f aca="false">$G804*'Analyse capacite'!$C$8</f>
        <v>0</v>
      </c>
      <c r="J804" s="135" t="n">
        <f aca="false">$G804*'Analyse capacite'!$D$8</f>
        <v>0</v>
      </c>
      <c r="K804" s="135" t="n">
        <f aca="false">$G804*'Analyse capacite'!$E$8</f>
        <v>0</v>
      </c>
    </row>
    <row r="805" customFormat="false" ht="15" hidden="false" customHeight="false" outlineLevel="0" collapsed="false">
      <c r="B805" s="130" t="n">
        <v>2027</v>
      </c>
      <c r="C805" s="131" t="s">
        <v>246</v>
      </c>
      <c r="D805" s="132" t="n">
        <v>46500</v>
      </c>
      <c r="E805" s="131" t="s">
        <v>25</v>
      </c>
      <c r="F805" s="133" t="s">
        <v>24</v>
      </c>
      <c r="G805" s="134" t="n">
        <f aca="false">LEN('Saisie programme'!$H$21)+SUMIFS('Vols additionnels'!$E$7:$E$66,'Vols additionnels'!$C$7:$C$66,$E805,'Vols additionnels'!$D$7:$D$66,$F805,'Vols additionnels'!$B$7:$B$66,$D805)</f>
        <v>0</v>
      </c>
      <c r="H805" s="135" t="n">
        <f aca="false">$G805*'Analyse capacite'!$F$9</f>
        <v>0</v>
      </c>
      <c r="I805" s="135" t="n">
        <f aca="false">$G805*'Analyse capacite'!$C$9</f>
        <v>0</v>
      </c>
      <c r="J805" s="135" t="n">
        <f aca="false">$G805*'Analyse capacite'!$D$9</f>
        <v>0</v>
      </c>
      <c r="K805" s="135" t="n">
        <f aca="false">$G805*'Analyse capacite'!$E$9</f>
        <v>0</v>
      </c>
    </row>
    <row r="806" customFormat="false" ht="15" hidden="false" customHeight="false" outlineLevel="0" collapsed="false">
      <c r="B806" s="130" t="n">
        <v>2027</v>
      </c>
      <c r="C806" s="131" t="s">
        <v>246</v>
      </c>
      <c r="D806" s="132" t="n">
        <v>46500</v>
      </c>
      <c r="E806" s="131" t="s">
        <v>36</v>
      </c>
      <c r="F806" s="133" t="s">
        <v>11</v>
      </c>
      <c r="G806" s="134" t="n">
        <f aca="false">LEN('Saisie programme'!$H$22)+SUMIFS('Vols additionnels'!$E$7:$E$66,'Vols additionnels'!$C$7:$C$66,$E806,'Vols additionnels'!$D$7:$D$66,$F806,'Vols additionnels'!$B$7:$B$66,$D806)</f>
        <v>0</v>
      </c>
      <c r="H806" s="135" t="n">
        <f aca="false">$G806*'Analyse capacite'!$F$7</f>
        <v>0</v>
      </c>
      <c r="I806" s="135" t="n">
        <f aca="false">$G806*'Analyse capacite'!$C$7</f>
        <v>0</v>
      </c>
      <c r="J806" s="135" t="n">
        <f aca="false">$G806*'Analyse capacite'!$D$7</f>
        <v>0</v>
      </c>
      <c r="K806" s="135" t="n">
        <f aca="false">$G806*'Analyse capacite'!$E$7</f>
        <v>0</v>
      </c>
    </row>
    <row r="807" customFormat="false" ht="15" hidden="false" customHeight="false" outlineLevel="0" collapsed="false">
      <c r="B807" s="130" t="n">
        <v>2027</v>
      </c>
      <c r="C807" s="131" t="s">
        <v>246</v>
      </c>
      <c r="D807" s="132" t="n">
        <v>46500</v>
      </c>
      <c r="E807" s="131" t="s">
        <v>36</v>
      </c>
      <c r="F807" s="133" t="s">
        <v>19</v>
      </c>
      <c r="G807" s="134" t="n">
        <f aca="false">LEN('Saisie programme'!$H$23)+SUMIFS('Vols additionnels'!$E$7:$E$66,'Vols additionnels'!$C$7:$C$66,$E807,'Vols additionnels'!$D$7:$D$66,$F807,'Vols additionnels'!$B$7:$B$66,$D807)</f>
        <v>0</v>
      </c>
      <c r="H807" s="135" t="n">
        <f aca="false">$G807*'Analyse capacite'!$F$8</f>
        <v>0</v>
      </c>
      <c r="I807" s="135" t="n">
        <f aca="false">$G807*'Analyse capacite'!$C$8</f>
        <v>0</v>
      </c>
      <c r="J807" s="135" t="n">
        <f aca="false">$G807*'Analyse capacite'!$D$8</f>
        <v>0</v>
      </c>
      <c r="K807" s="135" t="n">
        <f aca="false">$G807*'Analyse capacite'!$E$8</f>
        <v>0</v>
      </c>
    </row>
    <row r="808" customFormat="false" ht="15" hidden="false" customHeight="false" outlineLevel="0" collapsed="false">
      <c r="B808" s="130" t="n">
        <v>2027</v>
      </c>
      <c r="C808" s="131" t="s">
        <v>246</v>
      </c>
      <c r="D808" s="132" t="n">
        <v>46500</v>
      </c>
      <c r="E808" s="131" t="s">
        <v>36</v>
      </c>
      <c r="F808" s="133" t="s">
        <v>24</v>
      </c>
      <c r="G808" s="134" t="n">
        <f aca="false">LEN('Saisie programme'!$H$24)+SUMIFS('Vols additionnels'!$E$7:$E$66,'Vols additionnels'!$C$7:$C$66,$E808,'Vols additionnels'!$D$7:$D$66,$F808,'Vols additionnels'!$B$7:$B$66,$D808)</f>
        <v>1</v>
      </c>
      <c r="H808" s="135" t="n">
        <f aca="false">$G808*'Analyse capacite'!$F$9</f>
        <v>174</v>
      </c>
      <c r="I808" s="135" t="n">
        <f aca="false">$G808*'Analyse capacite'!$C$9</f>
        <v>0</v>
      </c>
      <c r="J808" s="135" t="n">
        <f aca="false">$G808*'Analyse capacite'!$D$9</f>
        <v>12</v>
      </c>
      <c r="K808" s="135" t="n">
        <f aca="false">$G808*'Analyse capacite'!$E$9</f>
        <v>162</v>
      </c>
    </row>
    <row r="809" customFormat="false" ht="15" hidden="false" customHeight="false" outlineLevel="0" collapsed="false">
      <c r="B809" s="130" t="n">
        <v>2027</v>
      </c>
      <c r="C809" s="131" t="s">
        <v>246</v>
      </c>
      <c r="D809" s="132" t="n">
        <v>46500</v>
      </c>
      <c r="E809" s="131" t="s">
        <v>40</v>
      </c>
      <c r="F809" s="133" t="s">
        <v>11</v>
      </c>
      <c r="G809" s="134" t="n">
        <f aca="false">LEN('Saisie programme'!$H$25)+SUMIFS('Vols additionnels'!$E$7:$E$66,'Vols additionnels'!$C$7:$C$66,$E809,'Vols additionnels'!$D$7:$D$66,$F809,'Vols additionnels'!$B$7:$B$66,$D809)</f>
        <v>0</v>
      </c>
      <c r="H809" s="135" t="n">
        <f aca="false">$G809*'Analyse capacite'!$F$7</f>
        <v>0</v>
      </c>
      <c r="I809" s="135" t="n">
        <f aca="false">$G809*'Analyse capacite'!$C$7</f>
        <v>0</v>
      </c>
      <c r="J809" s="135" t="n">
        <f aca="false">$G809*'Analyse capacite'!$D$7</f>
        <v>0</v>
      </c>
      <c r="K809" s="135" t="n">
        <f aca="false">$G809*'Analyse capacite'!$E$7</f>
        <v>0</v>
      </c>
    </row>
    <row r="810" customFormat="false" ht="15" hidden="false" customHeight="false" outlineLevel="0" collapsed="false">
      <c r="B810" s="130" t="n">
        <v>2027</v>
      </c>
      <c r="C810" s="131" t="s">
        <v>246</v>
      </c>
      <c r="D810" s="132" t="n">
        <v>46500</v>
      </c>
      <c r="E810" s="131" t="s">
        <v>40</v>
      </c>
      <c r="F810" s="133" t="s">
        <v>19</v>
      </c>
      <c r="G810" s="134" t="n">
        <f aca="false">LEN('Saisie programme'!$H$26)+SUMIFS('Vols additionnels'!$E$7:$E$66,'Vols additionnels'!$C$7:$C$66,$E810,'Vols additionnels'!$D$7:$D$66,$F810,'Vols additionnels'!$B$7:$B$66,$D810)</f>
        <v>0</v>
      </c>
      <c r="H810" s="135" t="n">
        <f aca="false">$G810*'Analyse capacite'!$F$8</f>
        <v>0</v>
      </c>
      <c r="I810" s="135" t="n">
        <f aca="false">$G810*'Analyse capacite'!$C$8</f>
        <v>0</v>
      </c>
      <c r="J810" s="135" t="n">
        <f aca="false">$G810*'Analyse capacite'!$D$8</f>
        <v>0</v>
      </c>
      <c r="K810" s="135" t="n">
        <f aca="false">$G810*'Analyse capacite'!$E$8</f>
        <v>0</v>
      </c>
    </row>
    <row r="811" customFormat="false" ht="15" hidden="false" customHeight="false" outlineLevel="0" collapsed="false">
      <c r="B811" s="130" t="n">
        <v>2027</v>
      </c>
      <c r="C811" s="131" t="s">
        <v>246</v>
      </c>
      <c r="D811" s="132" t="n">
        <v>46500</v>
      </c>
      <c r="E811" s="131" t="s">
        <v>40</v>
      </c>
      <c r="F811" s="133" t="s">
        <v>24</v>
      </c>
      <c r="G811" s="134" t="n">
        <f aca="false">LEN('Saisie programme'!$H$27)+SUMIFS('Vols additionnels'!$E$7:$E$66,'Vols additionnels'!$C$7:$C$66,$E811,'Vols additionnels'!$D$7:$D$66,$F811,'Vols additionnels'!$B$7:$B$66,$D811)</f>
        <v>1</v>
      </c>
      <c r="H811" s="135" t="n">
        <f aca="false">$G811*'Analyse capacite'!$F$9</f>
        <v>174</v>
      </c>
      <c r="I811" s="135" t="n">
        <f aca="false">$G811*'Analyse capacite'!$C$9</f>
        <v>0</v>
      </c>
      <c r="J811" s="135" t="n">
        <f aca="false">$G811*'Analyse capacite'!$D$9</f>
        <v>12</v>
      </c>
      <c r="K811" s="135" t="n">
        <f aca="false">$G811*'Analyse capacite'!$E$9</f>
        <v>162</v>
      </c>
    </row>
    <row r="812" customFormat="false" ht="15" hidden="false" customHeight="false" outlineLevel="0" collapsed="false">
      <c r="B812" s="130" t="n">
        <v>2027</v>
      </c>
      <c r="C812" s="131" t="s">
        <v>246</v>
      </c>
      <c r="D812" s="132" t="n">
        <v>46500</v>
      </c>
      <c r="E812" s="131" t="s">
        <v>14</v>
      </c>
      <c r="F812" s="133" t="s">
        <v>11</v>
      </c>
      <c r="G812" s="134" t="n">
        <f aca="false">LEN('Saisie programme'!$H$28)+SUMIFS('Vols additionnels'!$E$7:$E$66,'Vols additionnels'!$C$7:$C$66,$E812,'Vols additionnels'!$D$7:$D$66,$F812,'Vols additionnels'!$B$7:$B$66,$D812)</f>
        <v>0</v>
      </c>
      <c r="H812" s="135" t="n">
        <f aca="false">$G812*'Analyse capacite'!$F$7</f>
        <v>0</v>
      </c>
      <c r="I812" s="135" t="n">
        <f aca="false">$G812*'Analyse capacite'!$C$7</f>
        <v>0</v>
      </c>
      <c r="J812" s="135" t="n">
        <f aca="false">$G812*'Analyse capacite'!$D$7</f>
        <v>0</v>
      </c>
      <c r="K812" s="135" t="n">
        <f aca="false">$G812*'Analyse capacite'!$E$7</f>
        <v>0</v>
      </c>
    </row>
    <row r="813" customFormat="false" ht="15" hidden="false" customHeight="false" outlineLevel="0" collapsed="false">
      <c r="B813" s="130" t="n">
        <v>2027</v>
      </c>
      <c r="C813" s="131" t="s">
        <v>246</v>
      </c>
      <c r="D813" s="132" t="n">
        <v>46500</v>
      </c>
      <c r="E813" s="131" t="s">
        <v>14</v>
      </c>
      <c r="F813" s="133" t="s">
        <v>19</v>
      </c>
      <c r="G813" s="134" t="n">
        <f aca="false">LEN('Saisie programme'!$H$29)+SUMIFS('Vols additionnels'!$E$7:$E$66,'Vols additionnels'!$C$7:$C$66,$E813,'Vols additionnels'!$D$7:$D$66,$F813,'Vols additionnels'!$B$7:$B$66,$D813)</f>
        <v>0</v>
      </c>
      <c r="H813" s="135" t="n">
        <f aca="false">$G813*'Analyse capacite'!$F$8</f>
        <v>0</v>
      </c>
      <c r="I813" s="135" t="n">
        <f aca="false">$G813*'Analyse capacite'!$C$8</f>
        <v>0</v>
      </c>
      <c r="J813" s="135" t="n">
        <f aca="false">$G813*'Analyse capacite'!$D$8</f>
        <v>0</v>
      </c>
      <c r="K813" s="135" t="n">
        <f aca="false">$G813*'Analyse capacite'!$E$8</f>
        <v>0</v>
      </c>
    </row>
    <row r="814" customFormat="false" ht="15" hidden="false" customHeight="false" outlineLevel="0" collapsed="false">
      <c r="B814" s="130" t="n">
        <v>2027</v>
      </c>
      <c r="C814" s="131" t="s">
        <v>246</v>
      </c>
      <c r="D814" s="132" t="n">
        <v>46500</v>
      </c>
      <c r="E814" s="131" t="s">
        <v>14</v>
      </c>
      <c r="F814" s="133" t="s">
        <v>24</v>
      </c>
      <c r="G814" s="134" t="n">
        <f aca="false">LEN('Saisie programme'!$H$30)+SUMIFS('Vols additionnels'!$E$7:$E$66,'Vols additionnels'!$C$7:$C$66,$E814,'Vols additionnels'!$D$7:$D$66,$F814,'Vols additionnels'!$B$7:$B$66,$D814)</f>
        <v>0</v>
      </c>
      <c r="H814" s="135" t="n">
        <f aca="false">$G814*'Analyse capacite'!$F$9</f>
        <v>0</v>
      </c>
      <c r="I814" s="135" t="n">
        <f aca="false">$G814*'Analyse capacite'!$C$9</f>
        <v>0</v>
      </c>
      <c r="J814" s="135" t="n">
        <f aca="false">$G814*'Analyse capacite'!$D$9</f>
        <v>0</v>
      </c>
      <c r="K814" s="135" t="n">
        <f aca="false">$G814*'Analyse capacite'!$E$9</f>
        <v>0</v>
      </c>
    </row>
    <row r="815" customFormat="false" ht="15" hidden="false" customHeight="false" outlineLevel="0" collapsed="false">
      <c r="B815" s="130" t="n">
        <v>2027</v>
      </c>
      <c r="C815" s="131" t="s">
        <v>246</v>
      </c>
      <c r="D815" s="132" t="n">
        <v>46500</v>
      </c>
      <c r="E815" s="131" t="s">
        <v>46</v>
      </c>
      <c r="F815" s="133" t="s">
        <v>11</v>
      </c>
      <c r="G815" s="134" t="n">
        <f aca="false">LEN('Saisie programme'!$H$31)+SUMIFS('Vols additionnels'!$E$7:$E$66,'Vols additionnels'!$C$7:$C$66,$E815,'Vols additionnels'!$D$7:$D$66,$F815,'Vols additionnels'!$B$7:$B$66,$D815)</f>
        <v>0</v>
      </c>
      <c r="H815" s="135" t="n">
        <f aca="false">$G815*'Analyse capacite'!$F$7</f>
        <v>0</v>
      </c>
      <c r="I815" s="135" t="n">
        <f aca="false">$G815*'Analyse capacite'!$C$7</f>
        <v>0</v>
      </c>
      <c r="J815" s="135" t="n">
        <f aca="false">$G815*'Analyse capacite'!$D$7</f>
        <v>0</v>
      </c>
      <c r="K815" s="135" t="n">
        <f aca="false">$G815*'Analyse capacite'!$E$7</f>
        <v>0</v>
      </c>
    </row>
    <row r="816" customFormat="false" ht="15" hidden="false" customHeight="false" outlineLevel="0" collapsed="false">
      <c r="B816" s="130" t="n">
        <v>2027</v>
      </c>
      <c r="C816" s="131" t="s">
        <v>246</v>
      </c>
      <c r="D816" s="132" t="n">
        <v>46500</v>
      </c>
      <c r="E816" s="131" t="s">
        <v>46</v>
      </c>
      <c r="F816" s="133" t="s">
        <v>19</v>
      </c>
      <c r="G816" s="134" t="n">
        <f aca="false">LEN('Saisie programme'!$H$32)+SUMIFS('Vols additionnels'!$E$7:$E$66,'Vols additionnels'!$C$7:$C$66,$E816,'Vols additionnels'!$D$7:$D$66,$F816,'Vols additionnels'!$B$7:$B$66,$D816)</f>
        <v>0</v>
      </c>
      <c r="H816" s="135" t="n">
        <f aca="false">$G816*'Analyse capacite'!$F$8</f>
        <v>0</v>
      </c>
      <c r="I816" s="135" t="n">
        <f aca="false">$G816*'Analyse capacite'!$C$8</f>
        <v>0</v>
      </c>
      <c r="J816" s="135" t="n">
        <f aca="false">$G816*'Analyse capacite'!$D$8</f>
        <v>0</v>
      </c>
      <c r="K816" s="135" t="n">
        <f aca="false">$G816*'Analyse capacite'!$E$8</f>
        <v>0</v>
      </c>
    </row>
    <row r="817" customFormat="false" ht="15" hidden="false" customHeight="false" outlineLevel="0" collapsed="false">
      <c r="B817" s="130" t="n">
        <v>2027</v>
      </c>
      <c r="C817" s="131" t="s">
        <v>246</v>
      </c>
      <c r="D817" s="132" t="n">
        <v>46500</v>
      </c>
      <c r="E817" s="131" t="s">
        <v>46</v>
      </c>
      <c r="F817" s="133" t="s">
        <v>24</v>
      </c>
      <c r="G817" s="134" t="n">
        <f aca="false">LEN('Saisie programme'!$H$33)+SUMIFS('Vols additionnels'!$E$7:$E$66,'Vols additionnels'!$C$7:$C$66,$E817,'Vols additionnels'!$D$7:$D$66,$F817,'Vols additionnels'!$B$7:$B$66,$D817)</f>
        <v>0</v>
      </c>
      <c r="H817" s="135" t="n">
        <f aca="false">$G817*'Analyse capacite'!$F$9</f>
        <v>0</v>
      </c>
      <c r="I817" s="135" t="n">
        <f aca="false">$G817*'Analyse capacite'!$C$9</f>
        <v>0</v>
      </c>
      <c r="J817" s="135" t="n">
        <f aca="false">$G817*'Analyse capacite'!$D$9</f>
        <v>0</v>
      </c>
      <c r="K817" s="135" t="n">
        <f aca="false">$G817*'Analyse capacite'!$E$9</f>
        <v>0</v>
      </c>
    </row>
    <row r="818" customFormat="false" ht="15" hidden="false" customHeight="false" outlineLevel="0" collapsed="false">
      <c r="B818" s="130" t="n">
        <v>2027</v>
      </c>
      <c r="C818" s="131" t="s">
        <v>246</v>
      </c>
      <c r="D818" s="132" t="n">
        <v>46500</v>
      </c>
      <c r="E818" s="131" t="s">
        <v>49</v>
      </c>
      <c r="F818" s="133" t="s">
        <v>11</v>
      </c>
      <c r="G818" s="134" t="n">
        <f aca="false">LEN('Saisie programme'!$H$34)+SUMIFS('Vols additionnels'!$E$7:$E$66,'Vols additionnels'!$C$7:$C$66,$E818,'Vols additionnels'!$D$7:$D$66,$F818,'Vols additionnels'!$B$7:$B$66,$D818)</f>
        <v>0</v>
      </c>
      <c r="H818" s="135" t="n">
        <f aca="false">$G818*'Analyse capacite'!$F$7</f>
        <v>0</v>
      </c>
      <c r="I818" s="135" t="n">
        <f aca="false">$G818*'Analyse capacite'!$C$7</f>
        <v>0</v>
      </c>
      <c r="J818" s="135" t="n">
        <f aca="false">$G818*'Analyse capacite'!$D$7</f>
        <v>0</v>
      </c>
      <c r="K818" s="135" t="n">
        <f aca="false">$G818*'Analyse capacite'!$E$7</f>
        <v>0</v>
      </c>
    </row>
    <row r="819" customFormat="false" ht="15" hidden="false" customHeight="false" outlineLevel="0" collapsed="false">
      <c r="B819" s="130" t="n">
        <v>2027</v>
      </c>
      <c r="C819" s="131" t="s">
        <v>246</v>
      </c>
      <c r="D819" s="132" t="n">
        <v>46500</v>
      </c>
      <c r="E819" s="131" t="s">
        <v>49</v>
      </c>
      <c r="F819" s="133" t="s">
        <v>19</v>
      </c>
      <c r="G819" s="134" t="n">
        <f aca="false">LEN('Saisie programme'!$H$35)+SUMIFS('Vols additionnels'!$E$7:$E$66,'Vols additionnels'!$C$7:$C$66,$E819,'Vols additionnels'!$D$7:$D$66,$F819,'Vols additionnels'!$B$7:$B$66,$D819)</f>
        <v>1</v>
      </c>
      <c r="H819" s="135" t="n">
        <f aca="false">$G819*'Analyse capacite'!$F$8</f>
        <v>262</v>
      </c>
      <c r="I819" s="135" t="n">
        <f aca="false">$G819*'Analyse capacite'!$C$8</f>
        <v>18</v>
      </c>
      <c r="J819" s="135" t="n">
        <f aca="false">$G819*'Analyse capacite'!$D$8</f>
        <v>0</v>
      </c>
      <c r="K819" s="135" t="n">
        <f aca="false">$G819*'Analyse capacite'!$E$8</f>
        <v>244</v>
      </c>
    </row>
    <row r="820" customFormat="false" ht="15" hidden="false" customHeight="false" outlineLevel="0" collapsed="false">
      <c r="B820" s="130" t="n">
        <v>2027</v>
      </c>
      <c r="C820" s="131" t="s">
        <v>246</v>
      </c>
      <c r="D820" s="132" t="n">
        <v>46500</v>
      </c>
      <c r="E820" s="131" t="s">
        <v>49</v>
      </c>
      <c r="F820" s="133" t="s">
        <v>24</v>
      </c>
      <c r="G820" s="134" t="n">
        <f aca="false">LEN('Saisie programme'!$H$36)+SUMIFS('Vols additionnels'!$E$7:$E$66,'Vols additionnels'!$C$7:$C$66,$E820,'Vols additionnels'!$D$7:$D$66,$F820,'Vols additionnels'!$B$7:$B$66,$D820)</f>
        <v>0</v>
      </c>
      <c r="H820" s="135" t="n">
        <f aca="false">$G820*'Analyse capacite'!$F$9</f>
        <v>0</v>
      </c>
      <c r="I820" s="135" t="n">
        <f aca="false">$G820*'Analyse capacite'!$C$9</f>
        <v>0</v>
      </c>
      <c r="J820" s="135" t="n">
        <f aca="false">$G820*'Analyse capacite'!$D$9</f>
        <v>0</v>
      </c>
      <c r="K820" s="135" t="n">
        <f aca="false">$G820*'Analyse capacite'!$E$9</f>
        <v>0</v>
      </c>
    </row>
    <row r="821" customFormat="false" ht="15" hidden="false" customHeight="false" outlineLevel="0" collapsed="false">
      <c r="B821" s="130" t="n">
        <v>2027</v>
      </c>
      <c r="C821" s="131" t="s">
        <v>246</v>
      </c>
      <c r="D821" s="132" t="n">
        <v>46500</v>
      </c>
      <c r="E821" s="131" t="s">
        <v>53</v>
      </c>
      <c r="F821" s="133" t="s">
        <v>11</v>
      </c>
      <c r="G821" s="134" t="n">
        <f aca="false">LEN('Saisie programme'!$H$37)+SUMIFS('Vols additionnels'!$E$7:$E$66,'Vols additionnels'!$C$7:$C$66,$E821,'Vols additionnels'!$D$7:$D$66,$F821,'Vols additionnels'!$B$7:$B$66,$D821)</f>
        <v>0</v>
      </c>
      <c r="H821" s="135" t="n">
        <f aca="false">$G821*'Analyse capacite'!$F$7</f>
        <v>0</v>
      </c>
      <c r="I821" s="135" t="n">
        <f aca="false">$G821*'Analyse capacite'!$C$7</f>
        <v>0</v>
      </c>
      <c r="J821" s="135" t="n">
        <f aca="false">$G821*'Analyse capacite'!$D$7</f>
        <v>0</v>
      </c>
      <c r="K821" s="135" t="n">
        <f aca="false">$G821*'Analyse capacite'!$E$7</f>
        <v>0</v>
      </c>
    </row>
    <row r="822" customFormat="false" ht="15" hidden="false" customHeight="false" outlineLevel="0" collapsed="false">
      <c r="B822" s="130" t="n">
        <v>2027</v>
      </c>
      <c r="C822" s="131" t="s">
        <v>246</v>
      </c>
      <c r="D822" s="132" t="n">
        <v>46500</v>
      </c>
      <c r="E822" s="131" t="s">
        <v>53</v>
      </c>
      <c r="F822" s="133" t="s">
        <v>19</v>
      </c>
      <c r="G822" s="134" t="n">
        <f aca="false">LEN('Saisie programme'!$H$38)+SUMIFS('Vols additionnels'!$E$7:$E$66,'Vols additionnels'!$C$7:$C$66,$E822,'Vols additionnels'!$D$7:$D$66,$F822,'Vols additionnels'!$B$7:$B$66,$D822)</f>
        <v>0</v>
      </c>
      <c r="H822" s="135" t="n">
        <f aca="false">$G822*'Analyse capacite'!$F$8</f>
        <v>0</v>
      </c>
      <c r="I822" s="135" t="n">
        <f aca="false">$G822*'Analyse capacite'!$C$8</f>
        <v>0</v>
      </c>
      <c r="J822" s="135" t="n">
        <f aca="false">$G822*'Analyse capacite'!$D$8</f>
        <v>0</v>
      </c>
      <c r="K822" s="135" t="n">
        <f aca="false">$G822*'Analyse capacite'!$E$8</f>
        <v>0</v>
      </c>
    </row>
    <row r="823" customFormat="false" ht="15" hidden="false" customHeight="false" outlineLevel="0" collapsed="false">
      <c r="B823" s="130" t="n">
        <v>2027</v>
      </c>
      <c r="C823" s="131" t="s">
        <v>246</v>
      </c>
      <c r="D823" s="132" t="n">
        <v>46500</v>
      </c>
      <c r="E823" s="131" t="s">
        <v>53</v>
      </c>
      <c r="F823" s="133" t="s">
        <v>24</v>
      </c>
      <c r="G823" s="134" t="n">
        <f aca="false">LEN('Saisie programme'!$H$39)+SUMIFS('Vols additionnels'!$E$7:$E$66,'Vols additionnels'!$C$7:$C$66,$E823,'Vols additionnels'!$D$7:$D$66,$F823,'Vols additionnels'!$B$7:$B$66,$D823)</f>
        <v>0</v>
      </c>
      <c r="H823" s="135" t="n">
        <f aca="false">$G823*'Analyse capacite'!$F$9</f>
        <v>0</v>
      </c>
      <c r="I823" s="135" t="n">
        <f aca="false">$G823*'Analyse capacite'!$C$9</f>
        <v>0</v>
      </c>
      <c r="J823" s="135" t="n">
        <f aca="false">$G823*'Analyse capacite'!$D$9</f>
        <v>0</v>
      </c>
      <c r="K823" s="135" t="n">
        <f aca="false">$G823*'Analyse capacite'!$E$9</f>
        <v>0</v>
      </c>
    </row>
    <row r="824" customFormat="false" ht="15" hidden="false" customHeight="false" outlineLevel="0" collapsed="false">
      <c r="B824" s="130" t="n">
        <v>2027</v>
      </c>
      <c r="C824" s="131" t="s">
        <v>246</v>
      </c>
      <c r="D824" s="132" t="n">
        <v>46500</v>
      </c>
      <c r="E824" s="131" t="s">
        <v>56</v>
      </c>
      <c r="F824" s="133" t="s">
        <v>11</v>
      </c>
      <c r="G824" s="134" t="n">
        <f aca="false">LEN('Saisie programme'!$H$40)+SUMIFS('Vols additionnels'!$E$7:$E$66,'Vols additionnels'!$C$7:$C$66,$E824,'Vols additionnels'!$D$7:$D$66,$F824,'Vols additionnels'!$B$7:$B$66,$D824)</f>
        <v>0</v>
      </c>
      <c r="H824" s="135" t="n">
        <f aca="false">$G824*'Analyse capacite'!$F$7</f>
        <v>0</v>
      </c>
      <c r="I824" s="135" t="n">
        <f aca="false">$G824*'Analyse capacite'!$C$7</f>
        <v>0</v>
      </c>
      <c r="J824" s="135" t="n">
        <f aca="false">$G824*'Analyse capacite'!$D$7</f>
        <v>0</v>
      </c>
      <c r="K824" s="135" t="n">
        <f aca="false">$G824*'Analyse capacite'!$E$7</f>
        <v>0</v>
      </c>
    </row>
    <row r="825" customFormat="false" ht="15" hidden="false" customHeight="false" outlineLevel="0" collapsed="false">
      <c r="B825" s="130" t="n">
        <v>2027</v>
      </c>
      <c r="C825" s="131" t="s">
        <v>246</v>
      </c>
      <c r="D825" s="132" t="n">
        <v>46500</v>
      </c>
      <c r="E825" s="131" t="s">
        <v>56</v>
      </c>
      <c r="F825" s="133" t="s">
        <v>19</v>
      </c>
      <c r="G825" s="134" t="n">
        <f aca="false">LEN('Saisie programme'!$H$41)+SUMIFS('Vols additionnels'!$E$7:$E$66,'Vols additionnels'!$C$7:$C$66,$E825,'Vols additionnels'!$D$7:$D$66,$F825,'Vols additionnels'!$B$7:$B$66,$D825)</f>
        <v>0</v>
      </c>
      <c r="H825" s="135" t="n">
        <f aca="false">$G825*'Analyse capacite'!$F$8</f>
        <v>0</v>
      </c>
      <c r="I825" s="135" t="n">
        <f aca="false">$G825*'Analyse capacite'!$C$8</f>
        <v>0</v>
      </c>
      <c r="J825" s="135" t="n">
        <f aca="false">$G825*'Analyse capacite'!$D$8</f>
        <v>0</v>
      </c>
      <c r="K825" s="135" t="n">
        <f aca="false">$G825*'Analyse capacite'!$E$8</f>
        <v>0</v>
      </c>
    </row>
    <row r="826" customFormat="false" ht="15" hidden="false" customHeight="false" outlineLevel="0" collapsed="false">
      <c r="B826" s="130" t="n">
        <v>2027</v>
      </c>
      <c r="C826" s="131" t="s">
        <v>246</v>
      </c>
      <c r="D826" s="132" t="n">
        <v>46500</v>
      </c>
      <c r="E826" s="131" t="s">
        <v>56</v>
      </c>
      <c r="F826" s="133" t="s">
        <v>24</v>
      </c>
      <c r="G826" s="134" t="n">
        <f aca="false">LEN('Saisie programme'!$H$42)+SUMIFS('Vols additionnels'!$E$7:$E$66,'Vols additionnels'!$C$7:$C$66,$E826,'Vols additionnels'!$D$7:$D$66,$F826,'Vols additionnels'!$B$7:$B$66,$D826)</f>
        <v>0</v>
      </c>
      <c r="H826" s="135" t="n">
        <f aca="false">$G826*'Analyse capacite'!$F$9</f>
        <v>0</v>
      </c>
      <c r="I826" s="135" t="n">
        <f aca="false">$G826*'Analyse capacite'!$C$9</f>
        <v>0</v>
      </c>
      <c r="J826" s="135" t="n">
        <f aca="false">$G826*'Analyse capacite'!$D$9</f>
        <v>0</v>
      </c>
      <c r="K826" s="135" t="n">
        <f aca="false">$G826*'Analyse capacite'!$E$9</f>
        <v>0</v>
      </c>
    </row>
    <row r="827" customFormat="false" ht="15" hidden="false" customHeight="false" outlineLevel="0" collapsed="false">
      <c r="B827" s="130" t="n">
        <v>2027</v>
      </c>
      <c r="C827" s="131" t="s">
        <v>246</v>
      </c>
      <c r="D827" s="132" t="n">
        <v>46500</v>
      </c>
      <c r="E827" s="131" t="s">
        <v>59</v>
      </c>
      <c r="F827" s="133" t="s">
        <v>11</v>
      </c>
      <c r="G827" s="134" t="n">
        <f aca="false">LEN('Saisie programme'!$H$43)+SUMIFS('Vols additionnels'!$E$7:$E$66,'Vols additionnels'!$C$7:$C$66,$E827,'Vols additionnels'!$D$7:$D$66,$F827,'Vols additionnels'!$B$7:$B$66,$D827)</f>
        <v>0</v>
      </c>
      <c r="H827" s="135" t="n">
        <f aca="false">$G827*'Analyse capacite'!$F$7</f>
        <v>0</v>
      </c>
      <c r="I827" s="135" t="n">
        <f aca="false">$G827*'Analyse capacite'!$C$7</f>
        <v>0</v>
      </c>
      <c r="J827" s="135" t="n">
        <f aca="false">$G827*'Analyse capacite'!$D$7</f>
        <v>0</v>
      </c>
      <c r="K827" s="135" t="n">
        <f aca="false">$G827*'Analyse capacite'!$E$7</f>
        <v>0</v>
      </c>
    </row>
    <row r="828" customFormat="false" ht="15" hidden="false" customHeight="false" outlineLevel="0" collapsed="false">
      <c r="B828" s="130" t="n">
        <v>2027</v>
      </c>
      <c r="C828" s="131" t="s">
        <v>246</v>
      </c>
      <c r="D828" s="132" t="n">
        <v>46500</v>
      </c>
      <c r="E828" s="131" t="s">
        <v>59</v>
      </c>
      <c r="F828" s="133" t="s">
        <v>19</v>
      </c>
      <c r="G828" s="134" t="n">
        <f aca="false">LEN('Saisie programme'!$H$44)+SUMIFS('Vols additionnels'!$E$7:$E$66,'Vols additionnels'!$C$7:$C$66,$E828,'Vols additionnels'!$D$7:$D$66,$F828,'Vols additionnels'!$B$7:$B$66,$D828)</f>
        <v>0</v>
      </c>
      <c r="H828" s="135" t="n">
        <f aca="false">$G828*'Analyse capacite'!$F$8</f>
        <v>0</v>
      </c>
      <c r="I828" s="135" t="n">
        <f aca="false">$G828*'Analyse capacite'!$C$8</f>
        <v>0</v>
      </c>
      <c r="J828" s="135" t="n">
        <f aca="false">$G828*'Analyse capacite'!$D$8</f>
        <v>0</v>
      </c>
      <c r="K828" s="135" t="n">
        <f aca="false">$G828*'Analyse capacite'!$E$8</f>
        <v>0</v>
      </c>
    </row>
    <row r="829" customFormat="false" ht="15" hidden="false" customHeight="false" outlineLevel="0" collapsed="false">
      <c r="B829" s="130" t="n">
        <v>2027</v>
      </c>
      <c r="C829" s="131" t="s">
        <v>246</v>
      </c>
      <c r="D829" s="132" t="n">
        <v>46500</v>
      </c>
      <c r="E829" s="131" t="s">
        <v>59</v>
      </c>
      <c r="F829" s="133" t="s">
        <v>24</v>
      </c>
      <c r="G829" s="134" t="n">
        <f aca="false">LEN('Saisie programme'!$H$45)+SUMIFS('Vols additionnels'!$E$7:$E$66,'Vols additionnels'!$C$7:$C$66,$E829,'Vols additionnels'!$D$7:$D$66,$F829,'Vols additionnels'!$B$7:$B$66,$D829)</f>
        <v>1</v>
      </c>
      <c r="H829" s="135" t="n">
        <f aca="false">$G829*'Analyse capacite'!$F$9</f>
        <v>174</v>
      </c>
      <c r="I829" s="135" t="n">
        <f aca="false">$G829*'Analyse capacite'!$C$9</f>
        <v>0</v>
      </c>
      <c r="J829" s="135" t="n">
        <f aca="false">$G829*'Analyse capacite'!$D$9</f>
        <v>12</v>
      </c>
      <c r="K829" s="135" t="n">
        <f aca="false">$G829*'Analyse capacite'!$E$9</f>
        <v>162</v>
      </c>
    </row>
    <row r="830" customFormat="false" ht="15" hidden="false" customHeight="false" outlineLevel="0" collapsed="false">
      <c r="B830" s="130" t="n">
        <v>2027</v>
      </c>
      <c r="C830" s="131" t="s">
        <v>246</v>
      </c>
      <c r="D830" s="132" t="n">
        <v>46500</v>
      </c>
      <c r="E830" s="131" t="s">
        <v>62</v>
      </c>
      <c r="F830" s="133" t="s">
        <v>11</v>
      </c>
      <c r="G830" s="134" t="n">
        <f aca="false">LEN('Saisie programme'!$H$46)+SUMIFS('Vols additionnels'!$E$7:$E$66,'Vols additionnels'!$C$7:$C$66,$E830,'Vols additionnels'!$D$7:$D$66,$F830,'Vols additionnels'!$B$7:$B$66,$D830)</f>
        <v>0</v>
      </c>
      <c r="H830" s="135" t="n">
        <f aca="false">$G830*'Analyse capacite'!$F$7</f>
        <v>0</v>
      </c>
      <c r="I830" s="135" t="n">
        <f aca="false">$G830*'Analyse capacite'!$C$7</f>
        <v>0</v>
      </c>
      <c r="J830" s="135" t="n">
        <f aca="false">$G830*'Analyse capacite'!$D$7</f>
        <v>0</v>
      </c>
      <c r="K830" s="135" t="n">
        <f aca="false">$G830*'Analyse capacite'!$E$7</f>
        <v>0</v>
      </c>
    </row>
    <row r="831" customFormat="false" ht="15" hidden="false" customHeight="false" outlineLevel="0" collapsed="false">
      <c r="B831" s="130" t="n">
        <v>2027</v>
      </c>
      <c r="C831" s="131" t="s">
        <v>246</v>
      </c>
      <c r="D831" s="132" t="n">
        <v>46500</v>
      </c>
      <c r="E831" s="131" t="s">
        <v>62</v>
      </c>
      <c r="F831" s="133" t="s">
        <v>19</v>
      </c>
      <c r="G831" s="134" t="n">
        <f aca="false">LEN('Saisie programme'!$H$47)+SUMIFS('Vols additionnels'!$E$7:$E$66,'Vols additionnels'!$C$7:$C$66,$E831,'Vols additionnels'!$D$7:$D$66,$F831,'Vols additionnels'!$B$7:$B$66,$D831)</f>
        <v>0</v>
      </c>
      <c r="H831" s="135" t="n">
        <f aca="false">$G831*'Analyse capacite'!$F$8</f>
        <v>0</v>
      </c>
      <c r="I831" s="135" t="n">
        <f aca="false">$G831*'Analyse capacite'!$C$8</f>
        <v>0</v>
      </c>
      <c r="J831" s="135" t="n">
        <f aca="false">$G831*'Analyse capacite'!$D$8</f>
        <v>0</v>
      </c>
      <c r="K831" s="135" t="n">
        <f aca="false">$G831*'Analyse capacite'!$E$8</f>
        <v>0</v>
      </c>
    </row>
    <row r="832" customFormat="false" ht="15" hidden="false" customHeight="false" outlineLevel="0" collapsed="false">
      <c r="B832" s="130" t="n">
        <v>2027</v>
      </c>
      <c r="C832" s="131" t="s">
        <v>246</v>
      </c>
      <c r="D832" s="132" t="n">
        <v>46500</v>
      </c>
      <c r="E832" s="131" t="s">
        <v>62</v>
      </c>
      <c r="F832" s="133" t="s">
        <v>24</v>
      </c>
      <c r="G832" s="134" t="n">
        <f aca="false">LEN('Saisie programme'!$H$48)+SUMIFS('Vols additionnels'!$E$7:$E$66,'Vols additionnels'!$C$7:$C$66,$E832,'Vols additionnels'!$D$7:$D$66,$F832,'Vols additionnels'!$B$7:$B$66,$D832)</f>
        <v>0</v>
      </c>
      <c r="H832" s="135" t="n">
        <f aca="false">$G832*'Analyse capacite'!$F$9</f>
        <v>0</v>
      </c>
      <c r="I832" s="135" t="n">
        <f aca="false">$G832*'Analyse capacite'!$C$9</f>
        <v>0</v>
      </c>
      <c r="J832" s="135" t="n">
        <f aca="false">$G832*'Analyse capacite'!$D$9</f>
        <v>0</v>
      </c>
      <c r="K832" s="135" t="n">
        <f aca="false">$G832*'Analyse capacite'!$E$9</f>
        <v>0</v>
      </c>
    </row>
    <row r="833" customFormat="false" ht="15" hidden="false" customHeight="false" outlineLevel="0" collapsed="false">
      <c r="B833" s="130" t="n">
        <v>2027</v>
      </c>
      <c r="C833" s="131" t="s">
        <v>246</v>
      </c>
      <c r="D833" s="132" t="n">
        <v>46501</v>
      </c>
      <c r="E833" s="131" t="s">
        <v>12</v>
      </c>
      <c r="F833" s="133" t="s">
        <v>11</v>
      </c>
      <c r="G833" s="134" t="n">
        <f aca="false">LEN('Saisie programme'!$I$13)+SUMIFS('Vols additionnels'!$E$7:$E$66,'Vols additionnels'!$C$7:$C$66,$E833,'Vols additionnels'!$D$7:$D$66,$F833,'Vols additionnels'!$B$7:$B$66,$D833)</f>
        <v>1</v>
      </c>
      <c r="H833" s="135" t="n">
        <f aca="false">$G833*'Analyse capacite'!$F$7</f>
        <v>438</v>
      </c>
      <c r="I833" s="135" t="n">
        <f aca="false">$G833*'Analyse capacite'!$C$7</f>
        <v>14</v>
      </c>
      <c r="J833" s="135" t="n">
        <f aca="false">$G833*'Analyse capacite'!$D$7</f>
        <v>40</v>
      </c>
      <c r="K833" s="135" t="n">
        <f aca="false">$G833*'Analyse capacite'!$E$7</f>
        <v>384</v>
      </c>
    </row>
    <row r="834" customFormat="false" ht="15" hidden="false" customHeight="false" outlineLevel="0" collapsed="false">
      <c r="B834" s="130" t="n">
        <v>2027</v>
      </c>
      <c r="C834" s="131" t="s">
        <v>246</v>
      </c>
      <c r="D834" s="132" t="n">
        <v>46501</v>
      </c>
      <c r="E834" s="131" t="s">
        <v>12</v>
      </c>
      <c r="F834" s="133" t="s">
        <v>19</v>
      </c>
      <c r="G834" s="134" t="n">
        <f aca="false">LEN('Saisie programme'!$I$14)+SUMIFS('Vols additionnels'!$E$7:$E$66,'Vols additionnels'!$C$7:$C$66,$E834,'Vols additionnels'!$D$7:$D$66,$F834,'Vols additionnels'!$B$7:$B$66,$D834)</f>
        <v>0</v>
      </c>
      <c r="H834" s="135" t="n">
        <f aca="false">$G834*'Analyse capacite'!$F$8</f>
        <v>0</v>
      </c>
      <c r="I834" s="135" t="n">
        <f aca="false">$G834*'Analyse capacite'!$C$8</f>
        <v>0</v>
      </c>
      <c r="J834" s="135" t="n">
        <f aca="false">$G834*'Analyse capacite'!$D$8</f>
        <v>0</v>
      </c>
      <c r="K834" s="135" t="n">
        <f aca="false">$G834*'Analyse capacite'!$E$8</f>
        <v>0</v>
      </c>
    </row>
    <row r="835" customFormat="false" ht="15" hidden="false" customHeight="false" outlineLevel="0" collapsed="false">
      <c r="B835" s="130" t="n">
        <v>2027</v>
      </c>
      <c r="C835" s="131" t="s">
        <v>246</v>
      </c>
      <c r="D835" s="132" t="n">
        <v>46501</v>
      </c>
      <c r="E835" s="131" t="s">
        <v>12</v>
      </c>
      <c r="F835" s="133" t="s">
        <v>24</v>
      </c>
      <c r="G835" s="134" t="n">
        <f aca="false">LEN('Saisie programme'!$I$15)+SUMIFS('Vols additionnels'!$E$7:$E$66,'Vols additionnels'!$C$7:$C$66,$E835,'Vols additionnels'!$D$7:$D$66,$F835,'Vols additionnels'!$B$7:$B$66,$D835)</f>
        <v>0</v>
      </c>
      <c r="H835" s="135" t="n">
        <f aca="false">$G835*'Analyse capacite'!$F$9</f>
        <v>0</v>
      </c>
      <c r="I835" s="135" t="n">
        <f aca="false">$G835*'Analyse capacite'!$C$9</f>
        <v>0</v>
      </c>
      <c r="J835" s="135" t="n">
        <f aca="false">$G835*'Analyse capacite'!$D$9</f>
        <v>0</v>
      </c>
      <c r="K835" s="135" t="n">
        <f aca="false">$G835*'Analyse capacite'!$E$9</f>
        <v>0</v>
      </c>
    </row>
    <row r="836" customFormat="false" ht="15" hidden="false" customHeight="false" outlineLevel="0" collapsed="false">
      <c r="B836" s="130" t="n">
        <v>2027</v>
      </c>
      <c r="C836" s="131" t="s">
        <v>246</v>
      </c>
      <c r="D836" s="132" t="n">
        <v>46501</v>
      </c>
      <c r="E836" s="131" t="s">
        <v>20</v>
      </c>
      <c r="F836" s="133" t="s">
        <v>11</v>
      </c>
      <c r="G836" s="134" t="n">
        <f aca="false">LEN('Saisie programme'!$I$16)+SUMIFS('Vols additionnels'!$E$7:$E$66,'Vols additionnels'!$C$7:$C$66,$E836,'Vols additionnels'!$D$7:$D$66,$F836,'Vols additionnels'!$B$7:$B$66,$D836)</f>
        <v>0</v>
      </c>
      <c r="H836" s="135" t="n">
        <f aca="false">$G836*'Analyse capacite'!$F$7</f>
        <v>0</v>
      </c>
      <c r="I836" s="135" t="n">
        <f aca="false">$G836*'Analyse capacite'!$C$7</f>
        <v>0</v>
      </c>
      <c r="J836" s="135" t="n">
        <f aca="false">$G836*'Analyse capacite'!$D$7</f>
        <v>0</v>
      </c>
      <c r="K836" s="135" t="n">
        <f aca="false">$G836*'Analyse capacite'!$E$7</f>
        <v>0</v>
      </c>
    </row>
    <row r="837" customFormat="false" ht="15" hidden="false" customHeight="false" outlineLevel="0" collapsed="false">
      <c r="B837" s="130" t="n">
        <v>2027</v>
      </c>
      <c r="C837" s="131" t="s">
        <v>246</v>
      </c>
      <c r="D837" s="132" t="n">
        <v>46501</v>
      </c>
      <c r="E837" s="131" t="s">
        <v>20</v>
      </c>
      <c r="F837" s="133" t="s">
        <v>19</v>
      </c>
      <c r="G837" s="134" t="n">
        <f aca="false">LEN('Saisie programme'!$I$17)+SUMIFS('Vols additionnels'!$E$7:$E$66,'Vols additionnels'!$C$7:$C$66,$E837,'Vols additionnels'!$D$7:$D$66,$F837,'Vols additionnels'!$B$7:$B$66,$D837)</f>
        <v>0</v>
      </c>
      <c r="H837" s="135" t="n">
        <f aca="false">$G837*'Analyse capacite'!$F$8</f>
        <v>0</v>
      </c>
      <c r="I837" s="135" t="n">
        <f aca="false">$G837*'Analyse capacite'!$C$8</f>
        <v>0</v>
      </c>
      <c r="J837" s="135" t="n">
        <f aca="false">$G837*'Analyse capacite'!$D$8</f>
        <v>0</v>
      </c>
      <c r="K837" s="135" t="n">
        <f aca="false">$G837*'Analyse capacite'!$E$8</f>
        <v>0</v>
      </c>
    </row>
    <row r="838" customFormat="false" ht="15" hidden="false" customHeight="false" outlineLevel="0" collapsed="false">
      <c r="B838" s="130" t="n">
        <v>2027</v>
      </c>
      <c r="C838" s="131" t="s">
        <v>246</v>
      </c>
      <c r="D838" s="132" t="n">
        <v>46501</v>
      </c>
      <c r="E838" s="131" t="s">
        <v>20</v>
      </c>
      <c r="F838" s="133" t="s">
        <v>24</v>
      </c>
      <c r="G838" s="134" t="n">
        <f aca="false">LEN('Saisie programme'!$I$18)+SUMIFS('Vols additionnels'!$E$7:$E$66,'Vols additionnels'!$C$7:$C$66,$E838,'Vols additionnels'!$D$7:$D$66,$F838,'Vols additionnels'!$B$7:$B$66,$D838)</f>
        <v>0</v>
      </c>
      <c r="H838" s="135" t="n">
        <f aca="false">$G838*'Analyse capacite'!$F$9</f>
        <v>0</v>
      </c>
      <c r="I838" s="135" t="n">
        <f aca="false">$G838*'Analyse capacite'!$C$9</f>
        <v>0</v>
      </c>
      <c r="J838" s="135" t="n">
        <f aca="false">$G838*'Analyse capacite'!$D$9</f>
        <v>0</v>
      </c>
      <c r="K838" s="135" t="n">
        <f aca="false">$G838*'Analyse capacite'!$E$9</f>
        <v>0</v>
      </c>
    </row>
    <row r="839" customFormat="false" ht="15" hidden="false" customHeight="false" outlineLevel="0" collapsed="false">
      <c r="B839" s="130" t="n">
        <v>2027</v>
      </c>
      <c r="C839" s="131" t="s">
        <v>246</v>
      </c>
      <c r="D839" s="132" t="n">
        <v>46501</v>
      </c>
      <c r="E839" s="131" t="s">
        <v>25</v>
      </c>
      <c r="F839" s="133" t="s">
        <v>11</v>
      </c>
      <c r="G839" s="134" t="n">
        <f aca="false">LEN('Saisie programme'!$I$19)+SUMIFS('Vols additionnels'!$E$7:$E$66,'Vols additionnels'!$C$7:$C$66,$E839,'Vols additionnels'!$D$7:$D$66,$F839,'Vols additionnels'!$B$7:$B$66,$D839)</f>
        <v>0</v>
      </c>
      <c r="H839" s="135" t="n">
        <f aca="false">$G839*'Analyse capacite'!$F$7</f>
        <v>0</v>
      </c>
      <c r="I839" s="135" t="n">
        <f aca="false">$G839*'Analyse capacite'!$C$7</f>
        <v>0</v>
      </c>
      <c r="J839" s="135" t="n">
        <f aca="false">$G839*'Analyse capacite'!$D$7</f>
        <v>0</v>
      </c>
      <c r="K839" s="135" t="n">
        <f aca="false">$G839*'Analyse capacite'!$E$7</f>
        <v>0</v>
      </c>
    </row>
    <row r="840" customFormat="false" ht="15" hidden="false" customHeight="false" outlineLevel="0" collapsed="false">
      <c r="B840" s="130" t="n">
        <v>2027</v>
      </c>
      <c r="C840" s="131" t="s">
        <v>246</v>
      </c>
      <c r="D840" s="132" t="n">
        <v>46501</v>
      </c>
      <c r="E840" s="131" t="s">
        <v>25</v>
      </c>
      <c r="F840" s="133" t="s">
        <v>19</v>
      </c>
      <c r="G840" s="134" t="n">
        <f aca="false">LEN('Saisie programme'!$I$20)+SUMIFS('Vols additionnels'!$E$7:$E$66,'Vols additionnels'!$C$7:$C$66,$E840,'Vols additionnels'!$D$7:$D$66,$F840,'Vols additionnels'!$B$7:$B$66,$D840)</f>
        <v>1</v>
      </c>
      <c r="H840" s="135" t="n">
        <f aca="false">$G840*'Analyse capacite'!$F$8</f>
        <v>262</v>
      </c>
      <c r="I840" s="135" t="n">
        <f aca="false">$G840*'Analyse capacite'!$C$8</f>
        <v>18</v>
      </c>
      <c r="J840" s="135" t="n">
        <f aca="false">$G840*'Analyse capacite'!$D$8</f>
        <v>0</v>
      </c>
      <c r="K840" s="135" t="n">
        <f aca="false">$G840*'Analyse capacite'!$E$8</f>
        <v>244</v>
      </c>
    </row>
    <row r="841" customFormat="false" ht="15" hidden="false" customHeight="false" outlineLevel="0" collapsed="false">
      <c r="B841" s="130" t="n">
        <v>2027</v>
      </c>
      <c r="C841" s="131" t="s">
        <v>246</v>
      </c>
      <c r="D841" s="132" t="n">
        <v>46501</v>
      </c>
      <c r="E841" s="131" t="s">
        <v>25</v>
      </c>
      <c r="F841" s="133" t="s">
        <v>24</v>
      </c>
      <c r="G841" s="134" t="n">
        <f aca="false">LEN('Saisie programme'!$I$21)+SUMIFS('Vols additionnels'!$E$7:$E$66,'Vols additionnels'!$C$7:$C$66,$E841,'Vols additionnels'!$D$7:$D$66,$F841,'Vols additionnels'!$B$7:$B$66,$D841)</f>
        <v>0</v>
      </c>
      <c r="H841" s="135" t="n">
        <f aca="false">$G841*'Analyse capacite'!$F$9</f>
        <v>0</v>
      </c>
      <c r="I841" s="135" t="n">
        <f aca="false">$G841*'Analyse capacite'!$C$9</f>
        <v>0</v>
      </c>
      <c r="J841" s="135" t="n">
        <f aca="false">$G841*'Analyse capacite'!$D$9</f>
        <v>0</v>
      </c>
      <c r="K841" s="135" t="n">
        <f aca="false">$G841*'Analyse capacite'!$E$9</f>
        <v>0</v>
      </c>
    </row>
    <row r="842" customFormat="false" ht="15" hidden="false" customHeight="false" outlineLevel="0" collapsed="false">
      <c r="B842" s="130" t="n">
        <v>2027</v>
      </c>
      <c r="C842" s="131" t="s">
        <v>246</v>
      </c>
      <c r="D842" s="132" t="n">
        <v>46501</v>
      </c>
      <c r="E842" s="131" t="s">
        <v>36</v>
      </c>
      <c r="F842" s="133" t="s">
        <v>11</v>
      </c>
      <c r="G842" s="134" t="n">
        <f aca="false">LEN('Saisie programme'!$I$22)+SUMIFS('Vols additionnels'!$E$7:$E$66,'Vols additionnels'!$C$7:$C$66,$E842,'Vols additionnels'!$D$7:$D$66,$F842,'Vols additionnels'!$B$7:$B$66,$D842)</f>
        <v>0</v>
      </c>
      <c r="H842" s="135" t="n">
        <f aca="false">$G842*'Analyse capacite'!$F$7</f>
        <v>0</v>
      </c>
      <c r="I842" s="135" t="n">
        <f aca="false">$G842*'Analyse capacite'!$C$7</f>
        <v>0</v>
      </c>
      <c r="J842" s="135" t="n">
        <f aca="false">$G842*'Analyse capacite'!$D$7</f>
        <v>0</v>
      </c>
      <c r="K842" s="135" t="n">
        <f aca="false">$G842*'Analyse capacite'!$E$7</f>
        <v>0</v>
      </c>
    </row>
    <row r="843" customFormat="false" ht="15" hidden="false" customHeight="false" outlineLevel="0" collapsed="false">
      <c r="B843" s="130" t="n">
        <v>2027</v>
      </c>
      <c r="C843" s="131" t="s">
        <v>246</v>
      </c>
      <c r="D843" s="132" t="n">
        <v>46501</v>
      </c>
      <c r="E843" s="131" t="s">
        <v>36</v>
      </c>
      <c r="F843" s="133" t="s">
        <v>19</v>
      </c>
      <c r="G843" s="134" t="n">
        <f aca="false">LEN('Saisie programme'!$I$23)+SUMIFS('Vols additionnels'!$E$7:$E$66,'Vols additionnels'!$C$7:$C$66,$E843,'Vols additionnels'!$D$7:$D$66,$F843,'Vols additionnels'!$B$7:$B$66,$D843)</f>
        <v>0</v>
      </c>
      <c r="H843" s="135" t="n">
        <f aca="false">$G843*'Analyse capacite'!$F$8</f>
        <v>0</v>
      </c>
      <c r="I843" s="135" t="n">
        <f aca="false">$G843*'Analyse capacite'!$C$8</f>
        <v>0</v>
      </c>
      <c r="J843" s="135" t="n">
        <f aca="false">$G843*'Analyse capacite'!$D$8</f>
        <v>0</v>
      </c>
      <c r="K843" s="135" t="n">
        <f aca="false">$G843*'Analyse capacite'!$E$8</f>
        <v>0</v>
      </c>
    </row>
    <row r="844" customFormat="false" ht="15" hidden="false" customHeight="false" outlineLevel="0" collapsed="false">
      <c r="B844" s="130" t="n">
        <v>2027</v>
      </c>
      <c r="C844" s="131" t="s">
        <v>246</v>
      </c>
      <c r="D844" s="132" t="n">
        <v>46501</v>
      </c>
      <c r="E844" s="131" t="s">
        <v>36</v>
      </c>
      <c r="F844" s="133" t="s">
        <v>24</v>
      </c>
      <c r="G844" s="134" t="n">
        <f aca="false">LEN('Saisie programme'!$I$24)+SUMIFS('Vols additionnels'!$E$7:$E$66,'Vols additionnels'!$C$7:$C$66,$E844,'Vols additionnels'!$D$7:$D$66,$F844,'Vols additionnels'!$B$7:$B$66,$D844)</f>
        <v>0</v>
      </c>
      <c r="H844" s="135" t="n">
        <f aca="false">$G844*'Analyse capacite'!$F$9</f>
        <v>0</v>
      </c>
      <c r="I844" s="135" t="n">
        <f aca="false">$G844*'Analyse capacite'!$C$9</f>
        <v>0</v>
      </c>
      <c r="J844" s="135" t="n">
        <f aca="false">$G844*'Analyse capacite'!$D$9</f>
        <v>0</v>
      </c>
      <c r="K844" s="135" t="n">
        <f aca="false">$G844*'Analyse capacite'!$E$9</f>
        <v>0</v>
      </c>
    </row>
    <row r="845" customFormat="false" ht="15" hidden="false" customHeight="false" outlineLevel="0" collapsed="false">
      <c r="B845" s="130" t="n">
        <v>2027</v>
      </c>
      <c r="C845" s="131" t="s">
        <v>246</v>
      </c>
      <c r="D845" s="132" t="n">
        <v>46501</v>
      </c>
      <c r="E845" s="131" t="s">
        <v>40</v>
      </c>
      <c r="F845" s="133" t="s">
        <v>11</v>
      </c>
      <c r="G845" s="134" t="n">
        <f aca="false">LEN('Saisie programme'!$I$25)+SUMIFS('Vols additionnels'!$E$7:$E$66,'Vols additionnels'!$C$7:$C$66,$E845,'Vols additionnels'!$D$7:$D$66,$F845,'Vols additionnels'!$B$7:$B$66,$D845)</f>
        <v>0</v>
      </c>
      <c r="H845" s="135" t="n">
        <f aca="false">$G845*'Analyse capacite'!$F$7</f>
        <v>0</v>
      </c>
      <c r="I845" s="135" t="n">
        <f aca="false">$G845*'Analyse capacite'!$C$7</f>
        <v>0</v>
      </c>
      <c r="J845" s="135" t="n">
        <f aca="false">$G845*'Analyse capacite'!$D$7</f>
        <v>0</v>
      </c>
      <c r="K845" s="135" t="n">
        <f aca="false">$G845*'Analyse capacite'!$E$7</f>
        <v>0</v>
      </c>
    </row>
    <row r="846" customFormat="false" ht="15" hidden="false" customHeight="false" outlineLevel="0" collapsed="false">
      <c r="B846" s="130" t="n">
        <v>2027</v>
      </c>
      <c r="C846" s="131" t="s">
        <v>246</v>
      </c>
      <c r="D846" s="132" t="n">
        <v>46501</v>
      </c>
      <c r="E846" s="131" t="s">
        <v>40</v>
      </c>
      <c r="F846" s="133" t="s">
        <v>19</v>
      </c>
      <c r="G846" s="134" t="n">
        <f aca="false">LEN('Saisie programme'!$I$26)+SUMIFS('Vols additionnels'!$E$7:$E$66,'Vols additionnels'!$C$7:$C$66,$E846,'Vols additionnels'!$D$7:$D$66,$F846,'Vols additionnels'!$B$7:$B$66,$D846)</f>
        <v>0</v>
      </c>
      <c r="H846" s="135" t="n">
        <f aca="false">$G846*'Analyse capacite'!$F$8</f>
        <v>0</v>
      </c>
      <c r="I846" s="135" t="n">
        <f aca="false">$G846*'Analyse capacite'!$C$8</f>
        <v>0</v>
      </c>
      <c r="J846" s="135" t="n">
        <f aca="false">$G846*'Analyse capacite'!$D$8</f>
        <v>0</v>
      </c>
      <c r="K846" s="135" t="n">
        <f aca="false">$G846*'Analyse capacite'!$E$8</f>
        <v>0</v>
      </c>
    </row>
    <row r="847" customFormat="false" ht="15" hidden="false" customHeight="false" outlineLevel="0" collapsed="false">
      <c r="B847" s="130" t="n">
        <v>2027</v>
      </c>
      <c r="C847" s="131" t="s">
        <v>246</v>
      </c>
      <c r="D847" s="132" t="n">
        <v>46501</v>
      </c>
      <c r="E847" s="131" t="s">
        <v>40</v>
      </c>
      <c r="F847" s="133" t="s">
        <v>24</v>
      </c>
      <c r="G847" s="134" t="n">
        <f aca="false">LEN('Saisie programme'!$I$27)+SUMIFS('Vols additionnels'!$E$7:$E$66,'Vols additionnels'!$C$7:$C$66,$E847,'Vols additionnels'!$D$7:$D$66,$F847,'Vols additionnels'!$B$7:$B$66,$D847)</f>
        <v>0</v>
      </c>
      <c r="H847" s="135" t="n">
        <f aca="false">$G847*'Analyse capacite'!$F$9</f>
        <v>0</v>
      </c>
      <c r="I847" s="135" t="n">
        <f aca="false">$G847*'Analyse capacite'!$C$9</f>
        <v>0</v>
      </c>
      <c r="J847" s="135" t="n">
        <f aca="false">$G847*'Analyse capacite'!$D$9</f>
        <v>0</v>
      </c>
      <c r="K847" s="135" t="n">
        <f aca="false">$G847*'Analyse capacite'!$E$9</f>
        <v>0</v>
      </c>
    </row>
    <row r="848" customFormat="false" ht="15" hidden="false" customHeight="false" outlineLevel="0" collapsed="false">
      <c r="B848" s="130" t="n">
        <v>2027</v>
      </c>
      <c r="C848" s="131" t="s">
        <v>246</v>
      </c>
      <c r="D848" s="132" t="n">
        <v>46501</v>
      </c>
      <c r="E848" s="131" t="s">
        <v>14</v>
      </c>
      <c r="F848" s="133" t="s">
        <v>11</v>
      </c>
      <c r="G848" s="134" t="n">
        <f aca="false">LEN('Saisie programme'!$I$28)+SUMIFS('Vols additionnels'!$E$7:$E$66,'Vols additionnels'!$C$7:$C$66,$E848,'Vols additionnels'!$D$7:$D$66,$F848,'Vols additionnels'!$B$7:$B$66,$D848)</f>
        <v>0</v>
      </c>
      <c r="H848" s="135" t="n">
        <f aca="false">$G848*'Analyse capacite'!$F$7</f>
        <v>0</v>
      </c>
      <c r="I848" s="135" t="n">
        <f aca="false">$G848*'Analyse capacite'!$C$7</f>
        <v>0</v>
      </c>
      <c r="J848" s="135" t="n">
        <f aca="false">$G848*'Analyse capacite'!$D$7</f>
        <v>0</v>
      </c>
      <c r="K848" s="135" t="n">
        <f aca="false">$G848*'Analyse capacite'!$E$7</f>
        <v>0</v>
      </c>
    </row>
    <row r="849" customFormat="false" ht="15" hidden="false" customHeight="false" outlineLevel="0" collapsed="false">
      <c r="B849" s="130" t="n">
        <v>2027</v>
      </c>
      <c r="C849" s="131" t="s">
        <v>246</v>
      </c>
      <c r="D849" s="132" t="n">
        <v>46501</v>
      </c>
      <c r="E849" s="131" t="s">
        <v>14</v>
      </c>
      <c r="F849" s="133" t="s">
        <v>19</v>
      </c>
      <c r="G849" s="134" t="n">
        <f aca="false">LEN('Saisie programme'!$I$29)+SUMIFS('Vols additionnels'!$E$7:$E$66,'Vols additionnels'!$C$7:$C$66,$E849,'Vols additionnels'!$D$7:$D$66,$F849,'Vols additionnels'!$B$7:$B$66,$D849)</f>
        <v>0</v>
      </c>
      <c r="H849" s="135" t="n">
        <f aca="false">$G849*'Analyse capacite'!$F$8</f>
        <v>0</v>
      </c>
      <c r="I849" s="135" t="n">
        <f aca="false">$G849*'Analyse capacite'!$C$8</f>
        <v>0</v>
      </c>
      <c r="J849" s="135" t="n">
        <f aca="false">$G849*'Analyse capacite'!$D$8</f>
        <v>0</v>
      </c>
      <c r="K849" s="135" t="n">
        <f aca="false">$G849*'Analyse capacite'!$E$8</f>
        <v>0</v>
      </c>
    </row>
    <row r="850" customFormat="false" ht="15" hidden="false" customHeight="false" outlineLevel="0" collapsed="false">
      <c r="B850" s="130" t="n">
        <v>2027</v>
      </c>
      <c r="C850" s="131" t="s">
        <v>246</v>
      </c>
      <c r="D850" s="132" t="n">
        <v>46501</v>
      </c>
      <c r="E850" s="131" t="s">
        <v>14</v>
      </c>
      <c r="F850" s="133" t="s">
        <v>24</v>
      </c>
      <c r="G850" s="134" t="n">
        <f aca="false">LEN('Saisie programme'!$I$30)+SUMIFS('Vols additionnels'!$E$7:$E$66,'Vols additionnels'!$C$7:$C$66,$E850,'Vols additionnels'!$D$7:$D$66,$F850,'Vols additionnels'!$B$7:$B$66,$D850)</f>
        <v>1</v>
      </c>
      <c r="H850" s="135" t="n">
        <f aca="false">$G850*'Analyse capacite'!$F$9</f>
        <v>174</v>
      </c>
      <c r="I850" s="135" t="n">
        <f aca="false">$G850*'Analyse capacite'!$C$9</f>
        <v>0</v>
      </c>
      <c r="J850" s="135" t="n">
        <f aca="false">$G850*'Analyse capacite'!$D$9</f>
        <v>12</v>
      </c>
      <c r="K850" s="135" t="n">
        <f aca="false">$G850*'Analyse capacite'!$E$9</f>
        <v>162</v>
      </c>
    </row>
    <row r="851" customFormat="false" ht="15" hidden="false" customHeight="false" outlineLevel="0" collapsed="false">
      <c r="B851" s="130" t="n">
        <v>2027</v>
      </c>
      <c r="C851" s="131" t="s">
        <v>246</v>
      </c>
      <c r="D851" s="132" t="n">
        <v>46501</v>
      </c>
      <c r="E851" s="131" t="s">
        <v>46</v>
      </c>
      <c r="F851" s="133" t="s">
        <v>11</v>
      </c>
      <c r="G851" s="134" t="n">
        <f aca="false">LEN('Saisie programme'!$I$31)+SUMIFS('Vols additionnels'!$E$7:$E$66,'Vols additionnels'!$C$7:$C$66,$E851,'Vols additionnels'!$D$7:$D$66,$F851,'Vols additionnels'!$B$7:$B$66,$D851)</f>
        <v>0</v>
      </c>
      <c r="H851" s="135" t="n">
        <f aca="false">$G851*'Analyse capacite'!$F$7</f>
        <v>0</v>
      </c>
      <c r="I851" s="135" t="n">
        <f aca="false">$G851*'Analyse capacite'!$C$7</f>
        <v>0</v>
      </c>
      <c r="J851" s="135" t="n">
        <f aca="false">$G851*'Analyse capacite'!$D$7</f>
        <v>0</v>
      </c>
      <c r="K851" s="135" t="n">
        <f aca="false">$G851*'Analyse capacite'!$E$7</f>
        <v>0</v>
      </c>
    </row>
    <row r="852" customFormat="false" ht="15" hidden="false" customHeight="false" outlineLevel="0" collapsed="false">
      <c r="B852" s="130" t="n">
        <v>2027</v>
      </c>
      <c r="C852" s="131" t="s">
        <v>246</v>
      </c>
      <c r="D852" s="132" t="n">
        <v>46501</v>
      </c>
      <c r="E852" s="131" t="s">
        <v>46</v>
      </c>
      <c r="F852" s="133" t="s">
        <v>19</v>
      </c>
      <c r="G852" s="134" t="n">
        <f aca="false">LEN('Saisie programme'!$I$32)+SUMIFS('Vols additionnels'!$E$7:$E$66,'Vols additionnels'!$C$7:$C$66,$E852,'Vols additionnels'!$D$7:$D$66,$F852,'Vols additionnels'!$B$7:$B$66,$D852)</f>
        <v>0</v>
      </c>
      <c r="H852" s="135" t="n">
        <f aca="false">$G852*'Analyse capacite'!$F$8</f>
        <v>0</v>
      </c>
      <c r="I852" s="135" t="n">
        <f aca="false">$G852*'Analyse capacite'!$C$8</f>
        <v>0</v>
      </c>
      <c r="J852" s="135" t="n">
        <f aca="false">$G852*'Analyse capacite'!$D$8</f>
        <v>0</v>
      </c>
      <c r="K852" s="135" t="n">
        <f aca="false">$G852*'Analyse capacite'!$E$8</f>
        <v>0</v>
      </c>
    </row>
    <row r="853" customFormat="false" ht="15" hidden="false" customHeight="false" outlineLevel="0" collapsed="false">
      <c r="B853" s="130" t="n">
        <v>2027</v>
      </c>
      <c r="C853" s="131" t="s">
        <v>246</v>
      </c>
      <c r="D853" s="132" t="n">
        <v>46501</v>
      </c>
      <c r="E853" s="131" t="s">
        <v>46</v>
      </c>
      <c r="F853" s="133" t="s">
        <v>24</v>
      </c>
      <c r="G853" s="134" t="n">
        <f aca="false">LEN('Saisie programme'!$I$33)+SUMIFS('Vols additionnels'!$E$7:$E$66,'Vols additionnels'!$C$7:$C$66,$E853,'Vols additionnels'!$D$7:$D$66,$F853,'Vols additionnels'!$B$7:$B$66,$D853)</f>
        <v>1</v>
      </c>
      <c r="H853" s="135" t="n">
        <f aca="false">$G853*'Analyse capacite'!$F$9</f>
        <v>174</v>
      </c>
      <c r="I853" s="135" t="n">
        <f aca="false">$G853*'Analyse capacite'!$C$9</f>
        <v>0</v>
      </c>
      <c r="J853" s="135" t="n">
        <f aca="false">$G853*'Analyse capacite'!$D$9</f>
        <v>12</v>
      </c>
      <c r="K853" s="135" t="n">
        <f aca="false">$G853*'Analyse capacite'!$E$9</f>
        <v>162</v>
      </c>
    </row>
    <row r="854" customFormat="false" ht="15" hidden="false" customHeight="false" outlineLevel="0" collapsed="false">
      <c r="B854" s="130" t="n">
        <v>2027</v>
      </c>
      <c r="C854" s="131" t="s">
        <v>246</v>
      </c>
      <c r="D854" s="132" t="n">
        <v>46501</v>
      </c>
      <c r="E854" s="131" t="s">
        <v>49</v>
      </c>
      <c r="F854" s="133" t="s">
        <v>11</v>
      </c>
      <c r="G854" s="134" t="n">
        <f aca="false">LEN('Saisie programme'!$I$34)+SUMIFS('Vols additionnels'!$E$7:$E$66,'Vols additionnels'!$C$7:$C$66,$E854,'Vols additionnels'!$D$7:$D$66,$F854,'Vols additionnels'!$B$7:$B$66,$D854)</f>
        <v>0</v>
      </c>
      <c r="H854" s="135" t="n">
        <f aca="false">$G854*'Analyse capacite'!$F$7</f>
        <v>0</v>
      </c>
      <c r="I854" s="135" t="n">
        <f aca="false">$G854*'Analyse capacite'!$C$7</f>
        <v>0</v>
      </c>
      <c r="J854" s="135" t="n">
        <f aca="false">$G854*'Analyse capacite'!$D$7</f>
        <v>0</v>
      </c>
      <c r="K854" s="135" t="n">
        <f aca="false">$G854*'Analyse capacite'!$E$7</f>
        <v>0</v>
      </c>
    </row>
    <row r="855" customFormat="false" ht="15" hidden="false" customHeight="false" outlineLevel="0" collapsed="false">
      <c r="B855" s="130" t="n">
        <v>2027</v>
      </c>
      <c r="C855" s="131" t="s">
        <v>246</v>
      </c>
      <c r="D855" s="132" t="n">
        <v>46501</v>
      </c>
      <c r="E855" s="131" t="s">
        <v>49</v>
      </c>
      <c r="F855" s="133" t="s">
        <v>19</v>
      </c>
      <c r="G855" s="134" t="n">
        <f aca="false">LEN('Saisie programme'!$I$35)+SUMIFS('Vols additionnels'!$E$7:$E$66,'Vols additionnels'!$C$7:$C$66,$E855,'Vols additionnels'!$D$7:$D$66,$F855,'Vols additionnels'!$B$7:$B$66,$D855)</f>
        <v>0</v>
      </c>
      <c r="H855" s="135" t="n">
        <f aca="false">$G855*'Analyse capacite'!$F$8</f>
        <v>0</v>
      </c>
      <c r="I855" s="135" t="n">
        <f aca="false">$G855*'Analyse capacite'!$C$8</f>
        <v>0</v>
      </c>
      <c r="J855" s="135" t="n">
        <f aca="false">$G855*'Analyse capacite'!$D$8</f>
        <v>0</v>
      </c>
      <c r="K855" s="135" t="n">
        <f aca="false">$G855*'Analyse capacite'!$E$8</f>
        <v>0</v>
      </c>
    </row>
    <row r="856" customFormat="false" ht="15" hidden="false" customHeight="false" outlineLevel="0" collapsed="false">
      <c r="B856" s="130" t="n">
        <v>2027</v>
      </c>
      <c r="C856" s="131" t="s">
        <v>246</v>
      </c>
      <c r="D856" s="132" t="n">
        <v>46501</v>
      </c>
      <c r="E856" s="131" t="s">
        <v>49</v>
      </c>
      <c r="F856" s="133" t="s">
        <v>24</v>
      </c>
      <c r="G856" s="134" t="n">
        <f aca="false">LEN('Saisie programme'!$I$36)+SUMIFS('Vols additionnels'!$E$7:$E$66,'Vols additionnels'!$C$7:$C$66,$E856,'Vols additionnels'!$D$7:$D$66,$F856,'Vols additionnels'!$B$7:$B$66,$D856)</f>
        <v>0</v>
      </c>
      <c r="H856" s="135" t="n">
        <f aca="false">$G856*'Analyse capacite'!$F$9</f>
        <v>0</v>
      </c>
      <c r="I856" s="135" t="n">
        <f aca="false">$G856*'Analyse capacite'!$C$9</f>
        <v>0</v>
      </c>
      <c r="J856" s="135" t="n">
        <f aca="false">$G856*'Analyse capacite'!$D$9</f>
        <v>0</v>
      </c>
      <c r="K856" s="135" t="n">
        <f aca="false">$G856*'Analyse capacite'!$E$9</f>
        <v>0</v>
      </c>
    </row>
    <row r="857" customFormat="false" ht="15" hidden="false" customHeight="false" outlineLevel="0" collapsed="false">
      <c r="B857" s="130" t="n">
        <v>2027</v>
      </c>
      <c r="C857" s="131" t="s">
        <v>246</v>
      </c>
      <c r="D857" s="132" t="n">
        <v>46501</v>
      </c>
      <c r="E857" s="131" t="s">
        <v>53</v>
      </c>
      <c r="F857" s="133" t="s">
        <v>11</v>
      </c>
      <c r="G857" s="134" t="n">
        <f aca="false">LEN('Saisie programme'!$I$37)+SUMIFS('Vols additionnels'!$E$7:$E$66,'Vols additionnels'!$C$7:$C$66,$E857,'Vols additionnels'!$D$7:$D$66,$F857,'Vols additionnels'!$B$7:$B$66,$D857)</f>
        <v>0</v>
      </c>
      <c r="H857" s="135" t="n">
        <f aca="false">$G857*'Analyse capacite'!$F$7</f>
        <v>0</v>
      </c>
      <c r="I857" s="135" t="n">
        <f aca="false">$G857*'Analyse capacite'!$C$7</f>
        <v>0</v>
      </c>
      <c r="J857" s="135" t="n">
        <f aca="false">$G857*'Analyse capacite'!$D$7</f>
        <v>0</v>
      </c>
      <c r="K857" s="135" t="n">
        <f aca="false">$G857*'Analyse capacite'!$E$7</f>
        <v>0</v>
      </c>
    </row>
    <row r="858" customFormat="false" ht="15" hidden="false" customHeight="false" outlineLevel="0" collapsed="false">
      <c r="B858" s="130" t="n">
        <v>2027</v>
      </c>
      <c r="C858" s="131" t="s">
        <v>246</v>
      </c>
      <c r="D858" s="132" t="n">
        <v>46501</v>
      </c>
      <c r="E858" s="131" t="s">
        <v>53</v>
      </c>
      <c r="F858" s="133" t="s">
        <v>19</v>
      </c>
      <c r="G858" s="134" t="n">
        <f aca="false">LEN('Saisie programme'!$I$38)+SUMIFS('Vols additionnels'!$E$7:$E$66,'Vols additionnels'!$C$7:$C$66,$E858,'Vols additionnels'!$D$7:$D$66,$F858,'Vols additionnels'!$B$7:$B$66,$D858)</f>
        <v>0</v>
      </c>
      <c r="H858" s="135" t="n">
        <f aca="false">$G858*'Analyse capacite'!$F$8</f>
        <v>0</v>
      </c>
      <c r="I858" s="135" t="n">
        <f aca="false">$G858*'Analyse capacite'!$C$8</f>
        <v>0</v>
      </c>
      <c r="J858" s="135" t="n">
        <f aca="false">$G858*'Analyse capacite'!$D$8</f>
        <v>0</v>
      </c>
      <c r="K858" s="135" t="n">
        <f aca="false">$G858*'Analyse capacite'!$E$8</f>
        <v>0</v>
      </c>
    </row>
    <row r="859" customFormat="false" ht="15" hidden="false" customHeight="false" outlineLevel="0" collapsed="false">
      <c r="B859" s="130" t="n">
        <v>2027</v>
      </c>
      <c r="C859" s="131" t="s">
        <v>246</v>
      </c>
      <c r="D859" s="132" t="n">
        <v>46501</v>
      </c>
      <c r="E859" s="131" t="s">
        <v>53</v>
      </c>
      <c r="F859" s="133" t="s">
        <v>24</v>
      </c>
      <c r="G859" s="134" t="n">
        <f aca="false">LEN('Saisie programme'!$I$39)+SUMIFS('Vols additionnels'!$E$7:$E$66,'Vols additionnels'!$C$7:$C$66,$E859,'Vols additionnels'!$D$7:$D$66,$F859,'Vols additionnels'!$B$7:$B$66,$D859)</f>
        <v>0</v>
      </c>
      <c r="H859" s="135" t="n">
        <f aca="false">$G859*'Analyse capacite'!$F$9</f>
        <v>0</v>
      </c>
      <c r="I859" s="135" t="n">
        <f aca="false">$G859*'Analyse capacite'!$C$9</f>
        <v>0</v>
      </c>
      <c r="J859" s="135" t="n">
        <f aca="false">$G859*'Analyse capacite'!$D$9</f>
        <v>0</v>
      </c>
      <c r="K859" s="135" t="n">
        <f aca="false">$G859*'Analyse capacite'!$E$9</f>
        <v>0</v>
      </c>
    </row>
    <row r="860" customFormat="false" ht="15" hidden="false" customHeight="false" outlineLevel="0" collapsed="false">
      <c r="B860" s="130" t="n">
        <v>2027</v>
      </c>
      <c r="C860" s="131" t="s">
        <v>246</v>
      </c>
      <c r="D860" s="132" t="n">
        <v>46501</v>
      </c>
      <c r="E860" s="131" t="s">
        <v>56</v>
      </c>
      <c r="F860" s="133" t="s">
        <v>11</v>
      </c>
      <c r="G860" s="134" t="n">
        <f aca="false">LEN('Saisie programme'!$I$40)+SUMIFS('Vols additionnels'!$E$7:$E$66,'Vols additionnels'!$C$7:$C$66,$E860,'Vols additionnels'!$D$7:$D$66,$F860,'Vols additionnels'!$B$7:$B$66,$D860)</f>
        <v>0</v>
      </c>
      <c r="H860" s="135" t="n">
        <f aca="false">$G860*'Analyse capacite'!$F$7</f>
        <v>0</v>
      </c>
      <c r="I860" s="135" t="n">
        <f aca="false">$G860*'Analyse capacite'!$C$7</f>
        <v>0</v>
      </c>
      <c r="J860" s="135" t="n">
        <f aca="false">$G860*'Analyse capacite'!$D$7</f>
        <v>0</v>
      </c>
      <c r="K860" s="135" t="n">
        <f aca="false">$G860*'Analyse capacite'!$E$7</f>
        <v>0</v>
      </c>
    </row>
    <row r="861" customFormat="false" ht="15" hidden="false" customHeight="false" outlineLevel="0" collapsed="false">
      <c r="B861" s="130" t="n">
        <v>2027</v>
      </c>
      <c r="C861" s="131" t="s">
        <v>246</v>
      </c>
      <c r="D861" s="132" t="n">
        <v>46501</v>
      </c>
      <c r="E861" s="131" t="s">
        <v>56</v>
      </c>
      <c r="F861" s="133" t="s">
        <v>19</v>
      </c>
      <c r="G861" s="134" t="n">
        <f aca="false">LEN('Saisie programme'!$I$41)+SUMIFS('Vols additionnels'!$E$7:$E$66,'Vols additionnels'!$C$7:$C$66,$E861,'Vols additionnels'!$D$7:$D$66,$F861,'Vols additionnels'!$B$7:$B$66,$D861)</f>
        <v>0</v>
      </c>
      <c r="H861" s="135" t="n">
        <f aca="false">$G861*'Analyse capacite'!$F$8</f>
        <v>0</v>
      </c>
      <c r="I861" s="135" t="n">
        <f aca="false">$G861*'Analyse capacite'!$C$8</f>
        <v>0</v>
      </c>
      <c r="J861" s="135" t="n">
        <f aca="false">$G861*'Analyse capacite'!$D$8</f>
        <v>0</v>
      </c>
      <c r="K861" s="135" t="n">
        <f aca="false">$G861*'Analyse capacite'!$E$8</f>
        <v>0</v>
      </c>
    </row>
    <row r="862" customFormat="false" ht="15" hidden="false" customHeight="false" outlineLevel="0" collapsed="false">
      <c r="B862" s="130" t="n">
        <v>2027</v>
      </c>
      <c r="C862" s="131" t="s">
        <v>246</v>
      </c>
      <c r="D862" s="132" t="n">
        <v>46501</v>
      </c>
      <c r="E862" s="131" t="s">
        <v>56</v>
      </c>
      <c r="F862" s="133" t="s">
        <v>24</v>
      </c>
      <c r="G862" s="134" t="n">
        <f aca="false">LEN('Saisie programme'!$I$42)+SUMIFS('Vols additionnels'!$E$7:$E$66,'Vols additionnels'!$C$7:$C$66,$E862,'Vols additionnels'!$D$7:$D$66,$F862,'Vols additionnels'!$B$7:$B$66,$D862)</f>
        <v>1</v>
      </c>
      <c r="H862" s="135" t="n">
        <f aca="false">$G862*'Analyse capacite'!$F$9</f>
        <v>174</v>
      </c>
      <c r="I862" s="135" t="n">
        <f aca="false">$G862*'Analyse capacite'!$C$9</f>
        <v>0</v>
      </c>
      <c r="J862" s="135" t="n">
        <f aca="false">$G862*'Analyse capacite'!$D$9</f>
        <v>12</v>
      </c>
      <c r="K862" s="135" t="n">
        <f aca="false">$G862*'Analyse capacite'!$E$9</f>
        <v>162</v>
      </c>
    </row>
    <row r="863" customFormat="false" ht="15" hidden="false" customHeight="false" outlineLevel="0" collapsed="false">
      <c r="B863" s="130" t="n">
        <v>2027</v>
      </c>
      <c r="C863" s="131" t="s">
        <v>246</v>
      </c>
      <c r="D863" s="132" t="n">
        <v>46501</v>
      </c>
      <c r="E863" s="131" t="s">
        <v>59</v>
      </c>
      <c r="F863" s="133" t="s">
        <v>11</v>
      </c>
      <c r="G863" s="134" t="n">
        <f aca="false">LEN('Saisie programme'!$I$43)+SUMIFS('Vols additionnels'!$E$7:$E$66,'Vols additionnels'!$C$7:$C$66,$E863,'Vols additionnels'!$D$7:$D$66,$F863,'Vols additionnels'!$B$7:$B$66,$D863)</f>
        <v>0</v>
      </c>
      <c r="H863" s="135" t="n">
        <f aca="false">$G863*'Analyse capacite'!$F$7</f>
        <v>0</v>
      </c>
      <c r="I863" s="135" t="n">
        <f aca="false">$G863*'Analyse capacite'!$C$7</f>
        <v>0</v>
      </c>
      <c r="J863" s="135" t="n">
        <f aca="false">$G863*'Analyse capacite'!$D$7</f>
        <v>0</v>
      </c>
      <c r="K863" s="135" t="n">
        <f aca="false">$G863*'Analyse capacite'!$E$7</f>
        <v>0</v>
      </c>
    </row>
    <row r="864" customFormat="false" ht="15" hidden="false" customHeight="false" outlineLevel="0" collapsed="false">
      <c r="B864" s="130" t="n">
        <v>2027</v>
      </c>
      <c r="C864" s="131" t="s">
        <v>246</v>
      </c>
      <c r="D864" s="132" t="n">
        <v>46501</v>
      </c>
      <c r="E864" s="131" t="s">
        <v>59</v>
      </c>
      <c r="F864" s="133" t="s">
        <v>19</v>
      </c>
      <c r="G864" s="134" t="n">
        <f aca="false">LEN('Saisie programme'!$I$44)+SUMIFS('Vols additionnels'!$E$7:$E$66,'Vols additionnels'!$C$7:$C$66,$E864,'Vols additionnels'!$D$7:$D$66,$F864,'Vols additionnels'!$B$7:$B$66,$D864)</f>
        <v>0</v>
      </c>
      <c r="H864" s="135" t="n">
        <f aca="false">$G864*'Analyse capacite'!$F$8</f>
        <v>0</v>
      </c>
      <c r="I864" s="135" t="n">
        <f aca="false">$G864*'Analyse capacite'!$C$8</f>
        <v>0</v>
      </c>
      <c r="J864" s="135" t="n">
        <f aca="false">$G864*'Analyse capacite'!$D$8</f>
        <v>0</v>
      </c>
      <c r="K864" s="135" t="n">
        <f aca="false">$G864*'Analyse capacite'!$E$8</f>
        <v>0</v>
      </c>
    </row>
    <row r="865" customFormat="false" ht="15" hidden="false" customHeight="false" outlineLevel="0" collapsed="false">
      <c r="B865" s="130" t="n">
        <v>2027</v>
      </c>
      <c r="C865" s="131" t="s">
        <v>246</v>
      </c>
      <c r="D865" s="132" t="n">
        <v>46501</v>
      </c>
      <c r="E865" s="131" t="s">
        <v>59</v>
      </c>
      <c r="F865" s="133" t="s">
        <v>24</v>
      </c>
      <c r="G865" s="134" t="n">
        <f aca="false">LEN('Saisie programme'!$I$45)+SUMIFS('Vols additionnels'!$E$7:$E$66,'Vols additionnels'!$C$7:$C$66,$E865,'Vols additionnels'!$D$7:$D$66,$F865,'Vols additionnels'!$B$7:$B$66,$D865)</f>
        <v>1</v>
      </c>
      <c r="H865" s="135" t="n">
        <f aca="false">$G865*'Analyse capacite'!$F$9</f>
        <v>174</v>
      </c>
      <c r="I865" s="135" t="n">
        <f aca="false">$G865*'Analyse capacite'!$C$9</f>
        <v>0</v>
      </c>
      <c r="J865" s="135" t="n">
        <f aca="false">$G865*'Analyse capacite'!$D$9</f>
        <v>12</v>
      </c>
      <c r="K865" s="135" t="n">
        <f aca="false">$G865*'Analyse capacite'!$E$9</f>
        <v>162</v>
      </c>
    </row>
    <row r="866" customFormat="false" ht="15" hidden="false" customHeight="false" outlineLevel="0" collapsed="false">
      <c r="B866" s="130" t="n">
        <v>2027</v>
      </c>
      <c r="C866" s="131" t="s">
        <v>246</v>
      </c>
      <c r="D866" s="132" t="n">
        <v>46501</v>
      </c>
      <c r="E866" s="131" t="s">
        <v>62</v>
      </c>
      <c r="F866" s="133" t="s">
        <v>11</v>
      </c>
      <c r="G866" s="134" t="n">
        <f aca="false">LEN('Saisie programme'!$I$46)+SUMIFS('Vols additionnels'!$E$7:$E$66,'Vols additionnels'!$C$7:$C$66,$E866,'Vols additionnels'!$D$7:$D$66,$F866,'Vols additionnels'!$B$7:$B$66,$D866)</f>
        <v>0</v>
      </c>
      <c r="H866" s="135" t="n">
        <f aca="false">$G866*'Analyse capacite'!$F$7</f>
        <v>0</v>
      </c>
      <c r="I866" s="135" t="n">
        <f aca="false">$G866*'Analyse capacite'!$C$7</f>
        <v>0</v>
      </c>
      <c r="J866" s="135" t="n">
        <f aca="false">$G866*'Analyse capacite'!$D$7</f>
        <v>0</v>
      </c>
      <c r="K866" s="135" t="n">
        <f aca="false">$G866*'Analyse capacite'!$E$7</f>
        <v>0</v>
      </c>
    </row>
    <row r="867" customFormat="false" ht="15" hidden="false" customHeight="false" outlineLevel="0" collapsed="false">
      <c r="B867" s="130" t="n">
        <v>2027</v>
      </c>
      <c r="C867" s="131" t="s">
        <v>246</v>
      </c>
      <c r="D867" s="132" t="n">
        <v>46501</v>
      </c>
      <c r="E867" s="131" t="s">
        <v>62</v>
      </c>
      <c r="F867" s="133" t="s">
        <v>19</v>
      </c>
      <c r="G867" s="134" t="n">
        <f aca="false">LEN('Saisie programme'!$I$47)+SUMIFS('Vols additionnels'!$E$7:$E$66,'Vols additionnels'!$C$7:$C$66,$E867,'Vols additionnels'!$D$7:$D$66,$F867,'Vols additionnels'!$B$7:$B$66,$D867)</f>
        <v>0</v>
      </c>
      <c r="H867" s="135" t="n">
        <f aca="false">$G867*'Analyse capacite'!$F$8</f>
        <v>0</v>
      </c>
      <c r="I867" s="135" t="n">
        <f aca="false">$G867*'Analyse capacite'!$C$8</f>
        <v>0</v>
      </c>
      <c r="J867" s="135" t="n">
        <f aca="false">$G867*'Analyse capacite'!$D$8</f>
        <v>0</v>
      </c>
      <c r="K867" s="135" t="n">
        <f aca="false">$G867*'Analyse capacite'!$E$8</f>
        <v>0</v>
      </c>
    </row>
    <row r="868" customFormat="false" ht="15" hidden="false" customHeight="false" outlineLevel="0" collapsed="false">
      <c r="B868" s="130" t="n">
        <v>2027</v>
      </c>
      <c r="C868" s="131" t="s">
        <v>246</v>
      </c>
      <c r="D868" s="132" t="n">
        <v>46501</v>
      </c>
      <c r="E868" s="131" t="s">
        <v>62</v>
      </c>
      <c r="F868" s="133" t="s">
        <v>24</v>
      </c>
      <c r="G868" s="134" t="n">
        <f aca="false">LEN('Saisie programme'!$I$48)+SUMIFS('Vols additionnels'!$E$7:$E$66,'Vols additionnels'!$C$7:$C$66,$E868,'Vols additionnels'!$D$7:$D$66,$F868,'Vols additionnels'!$B$7:$B$66,$D868)</f>
        <v>0</v>
      </c>
      <c r="H868" s="135" t="n">
        <f aca="false">$G868*'Analyse capacite'!$F$9</f>
        <v>0</v>
      </c>
      <c r="I868" s="135" t="n">
        <f aca="false">$G868*'Analyse capacite'!$C$9</f>
        <v>0</v>
      </c>
      <c r="J868" s="135" t="n">
        <f aca="false">$G868*'Analyse capacite'!$D$9</f>
        <v>0</v>
      </c>
      <c r="K868" s="135" t="n">
        <f aca="false">$G868*'Analyse capacite'!$E$9</f>
        <v>0</v>
      </c>
    </row>
    <row r="869" customFormat="false" ht="15" hidden="false" customHeight="false" outlineLevel="0" collapsed="false">
      <c r="B869" s="130" t="n">
        <v>2027</v>
      </c>
      <c r="C869" s="131" t="s">
        <v>246</v>
      </c>
      <c r="D869" s="132" t="n">
        <v>46502</v>
      </c>
      <c r="E869" s="131" t="s">
        <v>12</v>
      </c>
      <c r="F869" s="133" t="s">
        <v>11</v>
      </c>
      <c r="G869" s="134" t="n">
        <f aca="false">LEN('Saisie programme'!$J$13)+SUMIFS('Vols additionnels'!$E$7:$E$66,'Vols additionnels'!$C$7:$C$66,$E869,'Vols additionnels'!$D$7:$D$66,$F869,'Vols additionnels'!$B$7:$B$66,$D869)</f>
        <v>1</v>
      </c>
      <c r="H869" s="135" t="n">
        <f aca="false">$G869*'Analyse capacite'!$F$7</f>
        <v>438</v>
      </c>
      <c r="I869" s="135" t="n">
        <f aca="false">$G869*'Analyse capacite'!$C$7</f>
        <v>14</v>
      </c>
      <c r="J869" s="135" t="n">
        <f aca="false">$G869*'Analyse capacite'!$D$7</f>
        <v>40</v>
      </c>
      <c r="K869" s="135" t="n">
        <f aca="false">$G869*'Analyse capacite'!$E$7</f>
        <v>384</v>
      </c>
    </row>
    <row r="870" customFormat="false" ht="15" hidden="false" customHeight="false" outlineLevel="0" collapsed="false">
      <c r="B870" s="130" t="n">
        <v>2027</v>
      </c>
      <c r="C870" s="131" t="s">
        <v>246</v>
      </c>
      <c r="D870" s="132" t="n">
        <v>46502</v>
      </c>
      <c r="E870" s="131" t="s">
        <v>12</v>
      </c>
      <c r="F870" s="133" t="s">
        <v>19</v>
      </c>
      <c r="G870" s="134" t="n">
        <f aca="false">LEN('Saisie programme'!$J$14)+SUMIFS('Vols additionnels'!$E$7:$E$66,'Vols additionnels'!$C$7:$C$66,$E870,'Vols additionnels'!$D$7:$D$66,$F870,'Vols additionnels'!$B$7:$B$66,$D870)</f>
        <v>0</v>
      </c>
      <c r="H870" s="135" t="n">
        <f aca="false">$G870*'Analyse capacite'!$F$8</f>
        <v>0</v>
      </c>
      <c r="I870" s="135" t="n">
        <f aca="false">$G870*'Analyse capacite'!$C$8</f>
        <v>0</v>
      </c>
      <c r="J870" s="135" t="n">
        <f aca="false">$G870*'Analyse capacite'!$D$8</f>
        <v>0</v>
      </c>
      <c r="K870" s="135" t="n">
        <f aca="false">$G870*'Analyse capacite'!$E$8</f>
        <v>0</v>
      </c>
    </row>
    <row r="871" customFormat="false" ht="15" hidden="false" customHeight="false" outlineLevel="0" collapsed="false">
      <c r="B871" s="130" t="n">
        <v>2027</v>
      </c>
      <c r="C871" s="131" t="s">
        <v>246</v>
      </c>
      <c r="D871" s="132" t="n">
        <v>46502</v>
      </c>
      <c r="E871" s="131" t="s">
        <v>12</v>
      </c>
      <c r="F871" s="133" t="s">
        <v>24</v>
      </c>
      <c r="G871" s="134" t="n">
        <f aca="false">LEN('Saisie programme'!$J$15)+SUMIFS('Vols additionnels'!$E$7:$E$66,'Vols additionnels'!$C$7:$C$66,$E871,'Vols additionnels'!$D$7:$D$66,$F871,'Vols additionnels'!$B$7:$B$66,$D871)</f>
        <v>0</v>
      </c>
      <c r="H871" s="135" t="n">
        <f aca="false">$G871*'Analyse capacite'!$F$9</f>
        <v>0</v>
      </c>
      <c r="I871" s="135" t="n">
        <f aca="false">$G871*'Analyse capacite'!$C$9</f>
        <v>0</v>
      </c>
      <c r="J871" s="135" t="n">
        <f aca="false">$G871*'Analyse capacite'!$D$9</f>
        <v>0</v>
      </c>
      <c r="K871" s="135" t="n">
        <f aca="false">$G871*'Analyse capacite'!$E$9</f>
        <v>0</v>
      </c>
    </row>
    <row r="872" customFormat="false" ht="15" hidden="false" customHeight="false" outlineLevel="0" collapsed="false">
      <c r="B872" s="130" t="n">
        <v>2027</v>
      </c>
      <c r="C872" s="131" t="s">
        <v>246</v>
      </c>
      <c r="D872" s="132" t="n">
        <v>46502</v>
      </c>
      <c r="E872" s="131" t="s">
        <v>20</v>
      </c>
      <c r="F872" s="133" t="s">
        <v>11</v>
      </c>
      <c r="G872" s="134" t="n">
        <f aca="false">LEN('Saisie programme'!$J$16)+SUMIFS('Vols additionnels'!$E$7:$E$66,'Vols additionnels'!$C$7:$C$66,$E872,'Vols additionnels'!$D$7:$D$66,$F872,'Vols additionnels'!$B$7:$B$66,$D872)</f>
        <v>1</v>
      </c>
      <c r="H872" s="135" t="n">
        <f aca="false">$G872*'Analyse capacite'!$F$7</f>
        <v>438</v>
      </c>
      <c r="I872" s="135" t="n">
        <f aca="false">$G872*'Analyse capacite'!$C$7</f>
        <v>14</v>
      </c>
      <c r="J872" s="135" t="n">
        <f aca="false">$G872*'Analyse capacite'!$D$7</f>
        <v>40</v>
      </c>
      <c r="K872" s="135" t="n">
        <f aca="false">$G872*'Analyse capacite'!$E$7</f>
        <v>384</v>
      </c>
    </row>
    <row r="873" customFormat="false" ht="15" hidden="false" customHeight="false" outlineLevel="0" collapsed="false">
      <c r="B873" s="130" t="n">
        <v>2027</v>
      </c>
      <c r="C873" s="131" t="s">
        <v>246</v>
      </c>
      <c r="D873" s="132" t="n">
        <v>46502</v>
      </c>
      <c r="E873" s="131" t="s">
        <v>20</v>
      </c>
      <c r="F873" s="133" t="s">
        <v>19</v>
      </c>
      <c r="G873" s="134" t="n">
        <f aca="false">LEN('Saisie programme'!$J$17)+SUMIFS('Vols additionnels'!$E$7:$E$66,'Vols additionnels'!$C$7:$C$66,$E873,'Vols additionnels'!$D$7:$D$66,$F873,'Vols additionnels'!$B$7:$B$66,$D873)</f>
        <v>0</v>
      </c>
      <c r="H873" s="135" t="n">
        <f aca="false">$G873*'Analyse capacite'!$F$8</f>
        <v>0</v>
      </c>
      <c r="I873" s="135" t="n">
        <f aca="false">$G873*'Analyse capacite'!$C$8</f>
        <v>0</v>
      </c>
      <c r="J873" s="135" t="n">
        <f aca="false">$G873*'Analyse capacite'!$D$8</f>
        <v>0</v>
      </c>
      <c r="K873" s="135" t="n">
        <f aca="false">$G873*'Analyse capacite'!$E$8</f>
        <v>0</v>
      </c>
    </row>
    <row r="874" customFormat="false" ht="15" hidden="false" customHeight="false" outlineLevel="0" collapsed="false">
      <c r="B874" s="130" t="n">
        <v>2027</v>
      </c>
      <c r="C874" s="131" t="s">
        <v>246</v>
      </c>
      <c r="D874" s="132" t="n">
        <v>46502</v>
      </c>
      <c r="E874" s="131" t="s">
        <v>20</v>
      </c>
      <c r="F874" s="133" t="s">
        <v>24</v>
      </c>
      <c r="G874" s="134" t="n">
        <f aca="false">LEN('Saisie programme'!$J$18)+SUMIFS('Vols additionnels'!$E$7:$E$66,'Vols additionnels'!$C$7:$C$66,$E874,'Vols additionnels'!$D$7:$D$66,$F874,'Vols additionnels'!$B$7:$B$66,$D874)</f>
        <v>0</v>
      </c>
      <c r="H874" s="135" t="n">
        <f aca="false">$G874*'Analyse capacite'!$F$9</f>
        <v>0</v>
      </c>
      <c r="I874" s="135" t="n">
        <f aca="false">$G874*'Analyse capacite'!$C$9</f>
        <v>0</v>
      </c>
      <c r="J874" s="135" t="n">
        <f aca="false">$G874*'Analyse capacite'!$D$9</f>
        <v>0</v>
      </c>
      <c r="K874" s="135" t="n">
        <f aca="false">$G874*'Analyse capacite'!$E$9</f>
        <v>0</v>
      </c>
    </row>
    <row r="875" customFormat="false" ht="15" hidden="false" customHeight="false" outlineLevel="0" collapsed="false">
      <c r="B875" s="130" t="n">
        <v>2027</v>
      </c>
      <c r="C875" s="131" t="s">
        <v>246</v>
      </c>
      <c r="D875" s="132" t="n">
        <v>46502</v>
      </c>
      <c r="E875" s="131" t="s">
        <v>25</v>
      </c>
      <c r="F875" s="133" t="s">
        <v>11</v>
      </c>
      <c r="G875" s="134" t="n">
        <f aca="false">LEN('Saisie programme'!$J$19)+SUMIFS('Vols additionnels'!$E$7:$E$66,'Vols additionnels'!$C$7:$C$66,$E875,'Vols additionnels'!$D$7:$D$66,$F875,'Vols additionnels'!$B$7:$B$66,$D875)</f>
        <v>0</v>
      </c>
      <c r="H875" s="135" t="n">
        <f aca="false">$G875*'Analyse capacite'!$F$7</f>
        <v>0</v>
      </c>
      <c r="I875" s="135" t="n">
        <f aca="false">$G875*'Analyse capacite'!$C$7</f>
        <v>0</v>
      </c>
      <c r="J875" s="135" t="n">
        <f aca="false">$G875*'Analyse capacite'!$D$7</f>
        <v>0</v>
      </c>
      <c r="K875" s="135" t="n">
        <f aca="false">$G875*'Analyse capacite'!$E$7</f>
        <v>0</v>
      </c>
    </row>
    <row r="876" customFormat="false" ht="15" hidden="false" customHeight="false" outlineLevel="0" collapsed="false">
      <c r="B876" s="130" t="n">
        <v>2027</v>
      </c>
      <c r="C876" s="131" t="s">
        <v>246</v>
      </c>
      <c r="D876" s="132" t="n">
        <v>46502</v>
      </c>
      <c r="E876" s="131" t="s">
        <v>25</v>
      </c>
      <c r="F876" s="133" t="s">
        <v>19</v>
      </c>
      <c r="G876" s="134" t="n">
        <f aca="false">LEN('Saisie programme'!$J$20)+SUMIFS('Vols additionnels'!$E$7:$E$66,'Vols additionnels'!$C$7:$C$66,$E876,'Vols additionnels'!$D$7:$D$66,$F876,'Vols additionnels'!$B$7:$B$66,$D876)</f>
        <v>0</v>
      </c>
      <c r="H876" s="135" t="n">
        <f aca="false">$G876*'Analyse capacite'!$F$8</f>
        <v>0</v>
      </c>
      <c r="I876" s="135" t="n">
        <f aca="false">$G876*'Analyse capacite'!$C$8</f>
        <v>0</v>
      </c>
      <c r="J876" s="135" t="n">
        <f aca="false">$G876*'Analyse capacite'!$D$8</f>
        <v>0</v>
      </c>
      <c r="K876" s="135" t="n">
        <f aca="false">$G876*'Analyse capacite'!$E$8</f>
        <v>0</v>
      </c>
    </row>
    <row r="877" customFormat="false" ht="15" hidden="false" customHeight="false" outlineLevel="0" collapsed="false">
      <c r="B877" s="130" t="n">
        <v>2027</v>
      </c>
      <c r="C877" s="131" t="s">
        <v>246</v>
      </c>
      <c r="D877" s="132" t="n">
        <v>46502</v>
      </c>
      <c r="E877" s="131" t="s">
        <v>25</v>
      </c>
      <c r="F877" s="133" t="s">
        <v>24</v>
      </c>
      <c r="G877" s="134" t="n">
        <f aca="false">LEN('Saisie programme'!$J$21)+SUMIFS('Vols additionnels'!$E$7:$E$66,'Vols additionnels'!$C$7:$C$66,$E877,'Vols additionnels'!$D$7:$D$66,$F877,'Vols additionnels'!$B$7:$B$66,$D877)</f>
        <v>0</v>
      </c>
      <c r="H877" s="135" t="n">
        <f aca="false">$G877*'Analyse capacite'!$F$9</f>
        <v>0</v>
      </c>
      <c r="I877" s="135" t="n">
        <f aca="false">$G877*'Analyse capacite'!$C$9</f>
        <v>0</v>
      </c>
      <c r="J877" s="135" t="n">
        <f aca="false">$G877*'Analyse capacite'!$D$9</f>
        <v>0</v>
      </c>
      <c r="K877" s="135" t="n">
        <f aca="false">$G877*'Analyse capacite'!$E$9</f>
        <v>0</v>
      </c>
    </row>
    <row r="878" customFormat="false" ht="15" hidden="false" customHeight="false" outlineLevel="0" collapsed="false">
      <c r="B878" s="130" t="n">
        <v>2027</v>
      </c>
      <c r="C878" s="131" t="s">
        <v>246</v>
      </c>
      <c r="D878" s="132" t="n">
        <v>46502</v>
      </c>
      <c r="E878" s="131" t="s">
        <v>36</v>
      </c>
      <c r="F878" s="133" t="s">
        <v>11</v>
      </c>
      <c r="G878" s="134" t="n">
        <f aca="false">LEN('Saisie programme'!$J$22)+SUMIFS('Vols additionnels'!$E$7:$E$66,'Vols additionnels'!$C$7:$C$66,$E878,'Vols additionnels'!$D$7:$D$66,$F878,'Vols additionnels'!$B$7:$B$66,$D878)</f>
        <v>0</v>
      </c>
      <c r="H878" s="135" t="n">
        <f aca="false">$G878*'Analyse capacite'!$F$7</f>
        <v>0</v>
      </c>
      <c r="I878" s="135" t="n">
        <f aca="false">$G878*'Analyse capacite'!$C$7</f>
        <v>0</v>
      </c>
      <c r="J878" s="135" t="n">
        <f aca="false">$G878*'Analyse capacite'!$D$7</f>
        <v>0</v>
      </c>
      <c r="K878" s="135" t="n">
        <f aca="false">$G878*'Analyse capacite'!$E$7</f>
        <v>0</v>
      </c>
    </row>
    <row r="879" customFormat="false" ht="15" hidden="false" customHeight="false" outlineLevel="0" collapsed="false">
      <c r="B879" s="130" t="n">
        <v>2027</v>
      </c>
      <c r="C879" s="131" t="s">
        <v>246</v>
      </c>
      <c r="D879" s="132" t="n">
        <v>46502</v>
      </c>
      <c r="E879" s="131" t="s">
        <v>36</v>
      </c>
      <c r="F879" s="133" t="s">
        <v>19</v>
      </c>
      <c r="G879" s="134" t="n">
        <f aca="false">LEN('Saisie programme'!$J$23)+SUMIFS('Vols additionnels'!$E$7:$E$66,'Vols additionnels'!$C$7:$C$66,$E879,'Vols additionnels'!$D$7:$D$66,$F879,'Vols additionnels'!$B$7:$B$66,$D879)</f>
        <v>0</v>
      </c>
      <c r="H879" s="135" t="n">
        <f aca="false">$G879*'Analyse capacite'!$F$8</f>
        <v>0</v>
      </c>
      <c r="I879" s="135" t="n">
        <f aca="false">$G879*'Analyse capacite'!$C$8</f>
        <v>0</v>
      </c>
      <c r="J879" s="135" t="n">
        <f aca="false">$G879*'Analyse capacite'!$D$8</f>
        <v>0</v>
      </c>
      <c r="K879" s="135" t="n">
        <f aca="false">$G879*'Analyse capacite'!$E$8</f>
        <v>0</v>
      </c>
    </row>
    <row r="880" customFormat="false" ht="15" hidden="false" customHeight="false" outlineLevel="0" collapsed="false">
      <c r="B880" s="130" t="n">
        <v>2027</v>
      </c>
      <c r="C880" s="131" t="s">
        <v>246</v>
      </c>
      <c r="D880" s="132" t="n">
        <v>46502</v>
      </c>
      <c r="E880" s="131" t="s">
        <v>36</v>
      </c>
      <c r="F880" s="133" t="s">
        <v>24</v>
      </c>
      <c r="G880" s="134" t="n">
        <f aca="false">LEN('Saisie programme'!$J$24)+SUMIFS('Vols additionnels'!$E$7:$E$66,'Vols additionnels'!$C$7:$C$66,$E880,'Vols additionnels'!$D$7:$D$66,$F880,'Vols additionnels'!$B$7:$B$66,$D880)</f>
        <v>0</v>
      </c>
      <c r="H880" s="135" t="n">
        <f aca="false">$G880*'Analyse capacite'!$F$9</f>
        <v>0</v>
      </c>
      <c r="I880" s="135" t="n">
        <f aca="false">$G880*'Analyse capacite'!$C$9</f>
        <v>0</v>
      </c>
      <c r="J880" s="135" t="n">
        <f aca="false">$G880*'Analyse capacite'!$D$9</f>
        <v>0</v>
      </c>
      <c r="K880" s="135" t="n">
        <f aca="false">$G880*'Analyse capacite'!$E$9</f>
        <v>0</v>
      </c>
    </row>
    <row r="881" customFormat="false" ht="15" hidden="false" customHeight="false" outlineLevel="0" collapsed="false">
      <c r="B881" s="130" t="n">
        <v>2027</v>
      </c>
      <c r="C881" s="131" t="s">
        <v>246</v>
      </c>
      <c r="D881" s="132" t="n">
        <v>46502</v>
      </c>
      <c r="E881" s="131" t="s">
        <v>40</v>
      </c>
      <c r="F881" s="133" t="s">
        <v>11</v>
      </c>
      <c r="G881" s="134" t="n">
        <f aca="false">LEN('Saisie programme'!$J$25)+SUMIFS('Vols additionnels'!$E$7:$E$66,'Vols additionnels'!$C$7:$C$66,$E881,'Vols additionnels'!$D$7:$D$66,$F881,'Vols additionnels'!$B$7:$B$66,$D881)</f>
        <v>0</v>
      </c>
      <c r="H881" s="135" t="n">
        <f aca="false">$G881*'Analyse capacite'!$F$7</f>
        <v>0</v>
      </c>
      <c r="I881" s="135" t="n">
        <f aca="false">$G881*'Analyse capacite'!$C$7</f>
        <v>0</v>
      </c>
      <c r="J881" s="135" t="n">
        <f aca="false">$G881*'Analyse capacite'!$D$7</f>
        <v>0</v>
      </c>
      <c r="K881" s="135" t="n">
        <f aca="false">$G881*'Analyse capacite'!$E$7</f>
        <v>0</v>
      </c>
    </row>
    <row r="882" customFormat="false" ht="15" hidden="false" customHeight="false" outlineLevel="0" collapsed="false">
      <c r="B882" s="130" t="n">
        <v>2027</v>
      </c>
      <c r="C882" s="131" t="s">
        <v>246</v>
      </c>
      <c r="D882" s="132" t="n">
        <v>46502</v>
      </c>
      <c r="E882" s="131" t="s">
        <v>40</v>
      </c>
      <c r="F882" s="133" t="s">
        <v>19</v>
      </c>
      <c r="G882" s="134" t="n">
        <f aca="false">LEN('Saisie programme'!$J$26)+SUMIFS('Vols additionnels'!$E$7:$E$66,'Vols additionnels'!$C$7:$C$66,$E882,'Vols additionnels'!$D$7:$D$66,$F882,'Vols additionnels'!$B$7:$B$66,$D882)</f>
        <v>0</v>
      </c>
      <c r="H882" s="135" t="n">
        <f aca="false">$G882*'Analyse capacite'!$F$8</f>
        <v>0</v>
      </c>
      <c r="I882" s="135" t="n">
        <f aca="false">$G882*'Analyse capacite'!$C$8</f>
        <v>0</v>
      </c>
      <c r="J882" s="135" t="n">
        <f aca="false">$G882*'Analyse capacite'!$D$8</f>
        <v>0</v>
      </c>
      <c r="K882" s="135" t="n">
        <f aca="false">$G882*'Analyse capacite'!$E$8</f>
        <v>0</v>
      </c>
    </row>
    <row r="883" customFormat="false" ht="15" hidden="false" customHeight="false" outlineLevel="0" collapsed="false">
      <c r="B883" s="130" t="n">
        <v>2027</v>
      </c>
      <c r="C883" s="131" t="s">
        <v>246</v>
      </c>
      <c r="D883" s="132" t="n">
        <v>46502</v>
      </c>
      <c r="E883" s="131" t="s">
        <v>40</v>
      </c>
      <c r="F883" s="133" t="s">
        <v>24</v>
      </c>
      <c r="G883" s="134" t="n">
        <f aca="false">LEN('Saisie programme'!$J$27)+SUMIFS('Vols additionnels'!$E$7:$E$66,'Vols additionnels'!$C$7:$C$66,$E883,'Vols additionnels'!$D$7:$D$66,$F883,'Vols additionnels'!$B$7:$B$66,$D883)</f>
        <v>1</v>
      </c>
      <c r="H883" s="135" t="n">
        <f aca="false">$G883*'Analyse capacite'!$F$9</f>
        <v>174</v>
      </c>
      <c r="I883" s="135" t="n">
        <f aca="false">$G883*'Analyse capacite'!$C$9</f>
        <v>0</v>
      </c>
      <c r="J883" s="135" t="n">
        <f aca="false">$G883*'Analyse capacite'!$D$9</f>
        <v>12</v>
      </c>
      <c r="K883" s="135" t="n">
        <f aca="false">$G883*'Analyse capacite'!$E$9</f>
        <v>162</v>
      </c>
    </row>
    <row r="884" customFormat="false" ht="15" hidden="false" customHeight="false" outlineLevel="0" collapsed="false">
      <c r="B884" s="130" t="n">
        <v>2027</v>
      </c>
      <c r="C884" s="131" t="s">
        <v>246</v>
      </c>
      <c r="D884" s="132" t="n">
        <v>46502</v>
      </c>
      <c r="E884" s="131" t="s">
        <v>14</v>
      </c>
      <c r="F884" s="133" t="s">
        <v>11</v>
      </c>
      <c r="G884" s="134" t="n">
        <f aca="false">LEN('Saisie programme'!$J$28)+SUMIFS('Vols additionnels'!$E$7:$E$66,'Vols additionnels'!$C$7:$C$66,$E884,'Vols additionnels'!$D$7:$D$66,$F884,'Vols additionnels'!$B$7:$B$66,$D884)</f>
        <v>0</v>
      </c>
      <c r="H884" s="135" t="n">
        <f aca="false">$G884*'Analyse capacite'!$F$7</f>
        <v>0</v>
      </c>
      <c r="I884" s="135" t="n">
        <f aca="false">$G884*'Analyse capacite'!$C$7</f>
        <v>0</v>
      </c>
      <c r="J884" s="135" t="n">
        <f aca="false">$G884*'Analyse capacite'!$D$7</f>
        <v>0</v>
      </c>
      <c r="K884" s="135" t="n">
        <f aca="false">$G884*'Analyse capacite'!$E$7</f>
        <v>0</v>
      </c>
    </row>
    <row r="885" customFormat="false" ht="15" hidden="false" customHeight="false" outlineLevel="0" collapsed="false">
      <c r="B885" s="130" t="n">
        <v>2027</v>
      </c>
      <c r="C885" s="131" t="s">
        <v>246</v>
      </c>
      <c r="D885" s="132" t="n">
        <v>46502</v>
      </c>
      <c r="E885" s="131" t="s">
        <v>14</v>
      </c>
      <c r="F885" s="133" t="s">
        <v>19</v>
      </c>
      <c r="G885" s="134" t="n">
        <f aca="false">LEN('Saisie programme'!$J$29)+SUMIFS('Vols additionnels'!$E$7:$E$66,'Vols additionnels'!$C$7:$C$66,$E885,'Vols additionnels'!$D$7:$D$66,$F885,'Vols additionnels'!$B$7:$B$66,$D885)</f>
        <v>0</v>
      </c>
      <c r="H885" s="135" t="n">
        <f aca="false">$G885*'Analyse capacite'!$F$8</f>
        <v>0</v>
      </c>
      <c r="I885" s="135" t="n">
        <f aca="false">$G885*'Analyse capacite'!$C$8</f>
        <v>0</v>
      </c>
      <c r="J885" s="135" t="n">
        <f aca="false">$G885*'Analyse capacite'!$D$8</f>
        <v>0</v>
      </c>
      <c r="K885" s="135" t="n">
        <f aca="false">$G885*'Analyse capacite'!$E$8</f>
        <v>0</v>
      </c>
    </row>
    <row r="886" customFormat="false" ht="15" hidden="false" customHeight="false" outlineLevel="0" collapsed="false">
      <c r="B886" s="130" t="n">
        <v>2027</v>
      </c>
      <c r="C886" s="131" t="s">
        <v>246</v>
      </c>
      <c r="D886" s="132" t="n">
        <v>46502</v>
      </c>
      <c r="E886" s="131" t="s">
        <v>14</v>
      </c>
      <c r="F886" s="133" t="s">
        <v>24</v>
      </c>
      <c r="G886" s="134" t="n">
        <f aca="false">LEN('Saisie programme'!$J$30)+SUMIFS('Vols additionnels'!$E$7:$E$66,'Vols additionnels'!$C$7:$C$66,$E886,'Vols additionnels'!$D$7:$D$66,$F886,'Vols additionnels'!$B$7:$B$66,$D886)</f>
        <v>0</v>
      </c>
      <c r="H886" s="135" t="n">
        <f aca="false">$G886*'Analyse capacite'!$F$9</f>
        <v>0</v>
      </c>
      <c r="I886" s="135" t="n">
        <f aca="false">$G886*'Analyse capacite'!$C$9</f>
        <v>0</v>
      </c>
      <c r="J886" s="135" t="n">
        <f aca="false">$G886*'Analyse capacite'!$D$9</f>
        <v>0</v>
      </c>
      <c r="K886" s="135" t="n">
        <f aca="false">$G886*'Analyse capacite'!$E$9</f>
        <v>0</v>
      </c>
    </row>
    <row r="887" customFormat="false" ht="15" hidden="false" customHeight="false" outlineLevel="0" collapsed="false">
      <c r="B887" s="130" t="n">
        <v>2027</v>
      </c>
      <c r="C887" s="131" t="s">
        <v>246</v>
      </c>
      <c r="D887" s="132" t="n">
        <v>46502</v>
      </c>
      <c r="E887" s="131" t="s">
        <v>46</v>
      </c>
      <c r="F887" s="133" t="s">
        <v>11</v>
      </c>
      <c r="G887" s="134" t="n">
        <f aca="false">LEN('Saisie programme'!$J$31)+SUMIFS('Vols additionnels'!$E$7:$E$66,'Vols additionnels'!$C$7:$C$66,$E887,'Vols additionnels'!$D$7:$D$66,$F887,'Vols additionnels'!$B$7:$B$66,$D887)</f>
        <v>0</v>
      </c>
      <c r="H887" s="135" t="n">
        <f aca="false">$G887*'Analyse capacite'!$F$7</f>
        <v>0</v>
      </c>
      <c r="I887" s="135" t="n">
        <f aca="false">$G887*'Analyse capacite'!$C$7</f>
        <v>0</v>
      </c>
      <c r="J887" s="135" t="n">
        <f aca="false">$G887*'Analyse capacite'!$D$7</f>
        <v>0</v>
      </c>
      <c r="K887" s="135" t="n">
        <f aca="false">$G887*'Analyse capacite'!$E$7</f>
        <v>0</v>
      </c>
    </row>
    <row r="888" customFormat="false" ht="15" hidden="false" customHeight="false" outlineLevel="0" collapsed="false">
      <c r="B888" s="130" t="n">
        <v>2027</v>
      </c>
      <c r="C888" s="131" t="s">
        <v>246</v>
      </c>
      <c r="D888" s="132" t="n">
        <v>46502</v>
      </c>
      <c r="E888" s="131" t="s">
        <v>46</v>
      </c>
      <c r="F888" s="133" t="s">
        <v>19</v>
      </c>
      <c r="G888" s="134" t="n">
        <f aca="false">LEN('Saisie programme'!$J$32)+SUMIFS('Vols additionnels'!$E$7:$E$66,'Vols additionnels'!$C$7:$C$66,$E888,'Vols additionnels'!$D$7:$D$66,$F888,'Vols additionnels'!$B$7:$B$66,$D888)</f>
        <v>0</v>
      </c>
      <c r="H888" s="135" t="n">
        <f aca="false">$G888*'Analyse capacite'!$F$8</f>
        <v>0</v>
      </c>
      <c r="I888" s="135" t="n">
        <f aca="false">$G888*'Analyse capacite'!$C$8</f>
        <v>0</v>
      </c>
      <c r="J888" s="135" t="n">
        <f aca="false">$G888*'Analyse capacite'!$D$8</f>
        <v>0</v>
      </c>
      <c r="K888" s="135" t="n">
        <f aca="false">$G888*'Analyse capacite'!$E$8</f>
        <v>0</v>
      </c>
    </row>
    <row r="889" customFormat="false" ht="15" hidden="false" customHeight="false" outlineLevel="0" collapsed="false">
      <c r="B889" s="130" t="n">
        <v>2027</v>
      </c>
      <c r="C889" s="131" t="s">
        <v>246</v>
      </c>
      <c r="D889" s="132" t="n">
        <v>46502</v>
      </c>
      <c r="E889" s="131" t="s">
        <v>46</v>
      </c>
      <c r="F889" s="133" t="s">
        <v>24</v>
      </c>
      <c r="G889" s="134" t="n">
        <f aca="false">LEN('Saisie programme'!$J$33)+SUMIFS('Vols additionnels'!$E$7:$E$66,'Vols additionnels'!$C$7:$C$66,$E889,'Vols additionnels'!$D$7:$D$66,$F889,'Vols additionnels'!$B$7:$B$66,$D889)</f>
        <v>0</v>
      </c>
      <c r="H889" s="135" t="n">
        <f aca="false">$G889*'Analyse capacite'!$F$9</f>
        <v>0</v>
      </c>
      <c r="I889" s="135" t="n">
        <f aca="false">$G889*'Analyse capacite'!$C$9</f>
        <v>0</v>
      </c>
      <c r="J889" s="135" t="n">
        <f aca="false">$G889*'Analyse capacite'!$D$9</f>
        <v>0</v>
      </c>
      <c r="K889" s="135" t="n">
        <f aca="false">$G889*'Analyse capacite'!$E$9</f>
        <v>0</v>
      </c>
    </row>
    <row r="890" customFormat="false" ht="15" hidden="false" customHeight="false" outlineLevel="0" collapsed="false">
      <c r="B890" s="130" t="n">
        <v>2027</v>
      </c>
      <c r="C890" s="131" t="s">
        <v>246</v>
      </c>
      <c r="D890" s="132" t="n">
        <v>46502</v>
      </c>
      <c r="E890" s="131" t="s">
        <v>49</v>
      </c>
      <c r="F890" s="133" t="s">
        <v>11</v>
      </c>
      <c r="G890" s="134" t="n">
        <f aca="false">LEN('Saisie programme'!$J$34)+SUMIFS('Vols additionnels'!$E$7:$E$66,'Vols additionnels'!$C$7:$C$66,$E890,'Vols additionnels'!$D$7:$D$66,$F890,'Vols additionnels'!$B$7:$B$66,$D890)</f>
        <v>0</v>
      </c>
      <c r="H890" s="135" t="n">
        <f aca="false">$G890*'Analyse capacite'!$F$7</f>
        <v>0</v>
      </c>
      <c r="I890" s="135" t="n">
        <f aca="false">$G890*'Analyse capacite'!$C$7</f>
        <v>0</v>
      </c>
      <c r="J890" s="135" t="n">
        <f aca="false">$G890*'Analyse capacite'!$D$7</f>
        <v>0</v>
      </c>
      <c r="K890" s="135" t="n">
        <f aca="false">$G890*'Analyse capacite'!$E$7</f>
        <v>0</v>
      </c>
    </row>
    <row r="891" customFormat="false" ht="15" hidden="false" customHeight="false" outlineLevel="0" collapsed="false">
      <c r="B891" s="130" t="n">
        <v>2027</v>
      </c>
      <c r="C891" s="131" t="s">
        <v>246</v>
      </c>
      <c r="D891" s="132" t="n">
        <v>46502</v>
      </c>
      <c r="E891" s="131" t="s">
        <v>49</v>
      </c>
      <c r="F891" s="133" t="s">
        <v>19</v>
      </c>
      <c r="G891" s="134" t="n">
        <f aca="false">LEN('Saisie programme'!$J$35)+SUMIFS('Vols additionnels'!$E$7:$E$66,'Vols additionnels'!$C$7:$C$66,$E891,'Vols additionnels'!$D$7:$D$66,$F891,'Vols additionnels'!$B$7:$B$66,$D891)</f>
        <v>0</v>
      </c>
      <c r="H891" s="135" t="n">
        <f aca="false">$G891*'Analyse capacite'!$F$8</f>
        <v>0</v>
      </c>
      <c r="I891" s="135" t="n">
        <f aca="false">$G891*'Analyse capacite'!$C$8</f>
        <v>0</v>
      </c>
      <c r="J891" s="135" t="n">
        <f aca="false">$G891*'Analyse capacite'!$D$8</f>
        <v>0</v>
      </c>
      <c r="K891" s="135" t="n">
        <f aca="false">$G891*'Analyse capacite'!$E$8</f>
        <v>0</v>
      </c>
    </row>
    <row r="892" customFormat="false" ht="15" hidden="false" customHeight="false" outlineLevel="0" collapsed="false">
      <c r="B892" s="130" t="n">
        <v>2027</v>
      </c>
      <c r="C892" s="131" t="s">
        <v>246</v>
      </c>
      <c r="D892" s="132" t="n">
        <v>46502</v>
      </c>
      <c r="E892" s="131" t="s">
        <v>49</v>
      </c>
      <c r="F892" s="133" t="s">
        <v>24</v>
      </c>
      <c r="G892" s="134" t="n">
        <f aca="false">LEN('Saisie programme'!$J$36)+SUMIFS('Vols additionnels'!$E$7:$E$66,'Vols additionnels'!$C$7:$C$66,$E892,'Vols additionnels'!$D$7:$D$66,$F892,'Vols additionnels'!$B$7:$B$66,$D892)</f>
        <v>0</v>
      </c>
      <c r="H892" s="135" t="n">
        <f aca="false">$G892*'Analyse capacite'!$F$9</f>
        <v>0</v>
      </c>
      <c r="I892" s="135" t="n">
        <f aca="false">$G892*'Analyse capacite'!$C$9</f>
        <v>0</v>
      </c>
      <c r="J892" s="135" t="n">
        <f aca="false">$G892*'Analyse capacite'!$D$9</f>
        <v>0</v>
      </c>
      <c r="K892" s="135" t="n">
        <f aca="false">$G892*'Analyse capacite'!$E$9</f>
        <v>0</v>
      </c>
    </row>
    <row r="893" customFormat="false" ht="15" hidden="false" customHeight="false" outlineLevel="0" collapsed="false">
      <c r="B893" s="130" t="n">
        <v>2027</v>
      </c>
      <c r="C893" s="131" t="s">
        <v>246</v>
      </c>
      <c r="D893" s="132" t="n">
        <v>46502</v>
      </c>
      <c r="E893" s="131" t="s">
        <v>53</v>
      </c>
      <c r="F893" s="133" t="s">
        <v>11</v>
      </c>
      <c r="G893" s="134" t="n">
        <f aca="false">LEN('Saisie programme'!$J$37)+SUMIFS('Vols additionnels'!$E$7:$E$66,'Vols additionnels'!$C$7:$C$66,$E893,'Vols additionnels'!$D$7:$D$66,$F893,'Vols additionnels'!$B$7:$B$66,$D893)</f>
        <v>0</v>
      </c>
      <c r="H893" s="135" t="n">
        <f aca="false">$G893*'Analyse capacite'!$F$7</f>
        <v>0</v>
      </c>
      <c r="I893" s="135" t="n">
        <f aca="false">$G893*'Analyse capacite'!$C$7</f>
        <v>0</v>
      </c>
      <c r="J893" s="135" t="n">
        <f aca="false">$G893*'Analyse capacite'!$D$7</f>
        <v>0</v>
      </c>
      <c r="K893" s="135" t="n">
        <f aca="false">$G893*'Analyse capacite'!$E$7</f>
        <v>0</v>
      </c>
    </row>
    <row r="894" customFormat="false" ht="15" hidden="false" customHeight="false" outlineLevel="0" collapsed="false">
      <c r="B894" s="130" t="n">
        <v>2027</v>
      </c>
      <c r="C894" s="131" t="s">
        <v>246</v>
      </c>
      <c r="D894" s="132" t="n">
        <v>46502</v>
      </c>
      <c r="E894" s="131" t="s">
        <v>53</v>
      </c>
      <c r="F894" s="133" t="s">
        <v>19</v>
      </c>
      <c r="G894" s="134" t="n">
        <f aca="false">LEN('Saisie programme'!$J$38)+SUMIFS('Vols additionnels'!$E$7:$E$66,'Vols additionnels'!$C$7:$C$66,$E894,'Vols additionnels'!$D$7:$D$66,$F894,'Vols additionnels'!$B$7:$B$66,$D894)</f>
        <v>0</v>
      </c>
      <c r="H894" s="135" t="n">
        <f aca="false">$G894*'Analyse capacite'!$F$8</f>
        <v>0</v>
      </c>
      <c r="I894" s="135" t="n">
        <f aca="false">$G894*'Analyse capacite'!$C$8</f>
        <v>0</v>
      </c>
      <c r="J894" s="135" t="n">
        <f aca="false">$G894*'Analyse capacite'!$D$8</f>
        <v>0</v>
      </c>
      <c r="K894" s="135" t="n">
        <f aca="false">$G894*'Analyse capacite'!$E$8</f>
        <v>0</v>
      </c>
    </row>
    <row r="895" customFormat="false" ht="15" hidden="false" customHeight="false" outlineLevel="0" collapsed="false">
      <c r="B895" s="130" t="n">
        <v>2027</v>
      </c>
      <c r="C895" s="131" t="s">
        <v>246</v>
      </c>
      <c r="D895" s="132" t="n">
        <v>46502</v>
      </c>
      <c r="E895" s="131" t="s">
        <v>53</v>
      </c>
      <c r="F895" s="133" t="s">
        <v>24</v>
      </c>
      <c r="G895" s="134" t="n">
        <f aca="false">LEN('Saisie programme'!$J$39)+SUMIFS('Vols additionnels'!$E$7:$E$66,'Vols additionnels'!$C$7:$C$66,$E895,'Vols additionnels'!$D$7:$D$66,$F895,'Vols additionnels'!$B$7:$B$66,$D895)</f>
        <v>0</v>
      </c>
      <c r="H895" s="135" t="n">
        <f aca="false">$G895*'Analyse capacite'!$F$9</f>
        <v>0</v>
      </c>
      <c r="I895" s="135" t="n">
        <f aca="false">$G895*'Analyse capacite'!$C$9</f>
        <v>0</v>
      </c>
      <c r="J895" s="135" t="n">
        <f aca="false">$G895*'Analyse capacite'!$D$9</f>
        <v>0</v>
      </c>
      <c r="K895" s="135" t="n">
        <f aca="false">$G895*'Analyse capacite'!$E$9</f>
        <v>0</v>
      </c>
    </row>
    <row r="896" customFormat="false" ht="15" hidden="false" customHeight="false" outlineLevel="0" collapsed="false">
      <c r="B896" s="130" t="n">
        <v>2027</v>
      </c>
      <c r="C896" s="131" t="s">
        <v>246</v>
      </c>
      <c r="D896" s="132" t="n">
        <v>46502</v>
      </c>
      <c r="E896" s="131" t="s">
        <v>56</v>
      </c>
      <c r="F896" s="133" t="s">
        <v>11</v>
      </c>
      <c r="G896" s="134" t="n">
        <f aca="false">LEN('Saisie programme'!$J$40)+SUMIFS('Vols additionnels'!$E$7:$E$66,'Vols additionnels'!$C$7:$C$66,$E896,'Vols additionnels'!$D$7:$D$66,$F896,'Vols additionnels'!$B$7:$B$66,$D896)</f>
        <v>0</v>
      </c>
      <c r="H896" s="135" t="n">
        <f aca="false">$G896*'Analyse capacite'!$F$7</f>
        <v>0</v>
      </c>
      <c r="I896" s="135" t="n">
        <f aca="false">$G896*'Analyse capacite'!$C$7</f>
        <v>0</v>
      </c>
      <c r="J896" s="135" t="n">
        <f aca="false">$G896*'Analyse capacite'!$D$7</f>
        <v>0</v>
      </c>
      <c r="K896" s="135" t="n">
        <f aca="false">$G896*'Analyse capacite'!$E$7</f>
        <v>0</v>
      </c>
    </row>
    <row r="897" customFormat="false" ht="15" hidden="false" customHeight="false" outlineLevel="0" collapsed="false">
      <c r="B897" s="130" t="n">
        <v>2027</v>
      </c>
      <c r="C897" s="131" t="s">
        <v>246</v>
      </c>
      <c r="D897" s="132" t="n">
        <v>46502</v>
      </c>
      <c r="E897" s="131" t="s">
        <v>56</v>
      </c>
      <c r="F897" s="133" t="s">
        <v>19</v>
      </c>
      <c r="G897" s="134" t="n">
        <f aca="false">LEN('Saisie programme'!$J$41)+SUMIFS('Vols additionnels'!$E$7:$E$66,'Vols additionnels'!$C$7:$C$66,$E897,'Vols additionnels'!$D$7:$D$66,$F897,'Vols additionnels'!$B$7:$B$66,$D897)</f>
        <v>0</v>
      </c>
      <c r="H897" s="135" t="n">
        <f aca="false">$G897*'Analyse capacite'!$F$8</f>
        <v>0</v>
      </c>
      <c r="I897" s="135" t="n">
        <f aca="false">$G897*'Analyse capacite'!$C$8</f>
        <v>0</v>
      </c>
      <c r="J897" s="135" t="n">
        <f aca="false">$G897*'Analyse capacite'!$D$8</f>
        <v>0</v>
      </c>
      <c r="K897" s="135" t="n">
        <f aca="false">$G897*'Analyse capacite'!$E$8</f>
        <v>0</v>
      </c>
    </row>
    <row r="898" customFormat="false" ht="15" hidden="false" customHeight="false" outlineLevel="0" collapsed="false">
      <c r="B898" s="130" t="n">
        <v>2027</v>
      </c>
      <c r="C898" s="131" t="s">
        <v>246</v>
      </c>
      <c r="D898" s="132" t="n">
        <v>46502</v>
      </c>
      <c r="E898" s="131" t="s">
        <v>56</v>
      </c>
      <c r="F898" s="133" t="s">
        <v>24</v>
      </c>
      <c r="G898" s="134" t="n">
        <f aca="false">LEN('Saisie programme'!$J$42)+SUMIFS('Vols additionnels'!$E$7:$E$66,'Vols additionnels'!$C$7:$C$66,$E898,'Vols additionnels'!$D$7:$D$66,$F898,'Vols additionnels'!$B$7:$B$66,$D898)</f>
        <v>0</v>
      </c>
      <c r="H898" s="135" t="n">
        <f aca="false">$G898*'Analyse capacite'!$F$9</f>
        <v>0</v>
      </c>
      <c r="I898" s="135" t="n">
        <f aca="false">$G898*'Analyse capacite'!$C$9</f>
        <v>0</v>
      </c>
      <c r="J898" s="135" t="n">
        <f aca="false">$G898*'Analyse capacite'!$D$9</f>
        <v>0</v>
      </c>
      <c r="K898" s="135" t="n">
        <f aca="false">$G898*'Analyse capacite'!$E$9</f>
        <v>0</v>
      </c>
    </row>
    <row r="899" customFormat="false" ht="15" hidden="false" customHeight="false" outlineLevel="0" collapsed="false">
      <c r="B899" s="130" t="n">
        <v>2027</v>
      </c>
      <c r="C899" s="131" t="s">
        <v>246</v>
      </c>
      <c r="D899" s="132" t="n">
        <v>46502</v>
      </c>
      <c r="E899" s="131" t="s">
        <v>59</v>
      </c>
      <c r="F899" s="133" t="s">
        <v>11</v>
      </c>
      <c r="G899" s="134" t="n">
        <f aca="false">LEN('Saisie programme'!$J$43)+SUMIFS('Vols additionnels'!$E$7:$E$66,'Vols additionnels'!$C$7:$C$66,$E899,'Vols additionnels'!$D$7:$D$66,$F899,'Vols additionnels'!$B$7:$B$66,$D899)</f>
        <v>0</v>
      </c>
      <c r="H899" s="135" t="n">
        <f aca="false">$G899*'Analyse capacite'!$F$7</f>
        <v>0</v>
      </c>
      <c r="I899" s="135" t="n">
        <f aca="false">$G899*'Analyse capacite'!$C$7</f>
        <v>0</v>
      </c>
      <c r="J899" s="135" t="n">
        <f aca="false">$G899*'Analyse capacite'!$D$7</f>
        <v>0</v>
      </c>
      <c r="K899" s="135" t="n">
        <f aca="false">$G899*'Analyse capacite'!$E$7</f>
        <v>0</v>
      </c>
    </row>
    <row r="900" customFormat="false" ht="15" hidden="false" customHeight="false" outlineLevel="0" collapsed="false">
      <c r="B900" s="130" t="n">
        <v>2027</v>
      </c>
      <c r="C900" s="131" t="s">
        <v>246</v>
      </c>
      <c r="D900" s="132" t="n">
        <v>46502</v>
      </c>
      <c r="E900" s="131" t="s">
        <v>59</v>
      </c>
      <c r="F900" s="133" t="s">
        <v>19</v>
      </c>
      <c r="G900" s="134" t="n">
        <f aca="false">LEN('Saisie programme'!$J$44)+SUMIFS('Vols additionnels'!$E$7:$E$66,'Vols additionnels'!$C$7:$C$66,$E900,'Vols additionnels'!$D$7:$D$66,$F900,'Vols additionnels'!$B$7:$B$66,$D900)</f>
        <v>0</v>
      </c>
      <c r="H900" s="135" t="n">
        <f aca="false">$G900*'Analyse capacite'!$F$8</f>
        <v>0</v>
      </c>
      <c r="I900" s="135" t="n">
        <f aca="false">$G900*'Analyse capacite'!$C$8</f>
        <v>0</v>
      </c>
      <c r="J900" s="135" t="n">
        <f aca="false">$G900*'Analyse capacite'!$D$8</f>
        <v>0</v>
      </c>
      <c r="K900" s="135" t="n">
        <f aca="false">$G900*'Analyse capacite'!$E$8</f>
        <v>0</v>
      </c>
    </row>
    <row r="901" customFormat="false" ht="15" hidden="false" customHeight="false" outlineLevel="0" collapsed="false">
      <c r="B901" s="130" t="n">
        <v>2027</v>
      </c>
      <c r="C901" s="131" t="s">
        <v>246</v>
      </c>
      <c r="D901" s="132" t="n">
        <v>46502</v>
      </c>
      <c r="E901" s="131" t="s">
        <v>59</v>
      </c>
      <c r="F901" s="133" t="s">
        <v>24</v>
      </c>
      <c r="G901" s="134" t="n">
        <f aca="false">LEN('Saisie programme'!$J$45)+SUMIFS('Vols additionnels'!$E$7:$E$66,'Vols additionnels'!$C$7:$C$66,$E901,'Vols additionnels'!$D$7:$D$66,$F901,'Vols additionnels'!$B$7:$B$66,$D901)</f>
        <v>0</v>
      </c>
      <c r="H901" s="135" t="n">
        <f aca="false">$G901*'Analyse capacite'!$F$9</f>
        <v>0</v>
      </c>
      <c r="I901" s="135" t="n">
        <f aca="false">$G901*'Analyse capacite'!$C$9</f>
        <v>0</v>
      </c>
      <c r="J901" s="135" t="n">
        <f aca="false">$G901*'Analyse capacite'!$D$9</f>
        <v>0</v>
      </c>
      <c r="K901" s="135" t="n">
        <f aca="false">$G901*'Analyse capacite'!$E$9</f>
        <v>0</v>
      </c>
    </row>
    <row r="902" customFormat="false" ht="15" hidden="false" customHeight="false" outlineLevel="0" collapsed="false">
      <c r="B902" s="130" t="n">
        <v>2027</v>
      </c>
      <c r="C902" s="131" t="s">
        <v>246</v>
      </c>
      <c r="D902" s="132" t="n">
        <v>46502</v>
      </c>
      <c r="E902" s="131" t="s">
        <v>62</v>
      </c>
      <c r="F902" s="133" t="s">
        <v>11</v>
      </c>
      <c r="G902" s="134" t="n">
        <f aca="false">LEN('Saisie programme'!$J$46)+SUMIFS('Vols additionnels'!$E$7:$E$66,'Vols additionnels'!$C$7:$C$66,$E902,'Vols additionnels'!$D$7:$D$66,$F902,'Vols additionnels'!$B$7:$B$66,$D902)</f>
        <v>0</v>
      </c>
      <c r="H902" s="135" t="n">
        <f aca="false">$G902*'Analyse capacite'!$F$7</f>
        <v>0</v>
      </c>
      <c r="I902" s="135" t="n">
        <f aca="false">$G902*'Analyse capacite'!$C$7</f>
        <v>0</v>
      </c>
      <c r="J902" s="135" t="n">
        <f aca="false">$G902*'Analyse capacite'!$D$7</f>
        <v>0</v>
      </c>
      <c r="K902" s="135" t="n">
        <f aca="false">$G902*'Analyse capacite'!$E$7</f>
        <v>0</v>
      </c>
    </row>
    <row r="903" customFormat="false" ht="15" hidden="false" customHeight="false" outlineLevel="0" collapsed="false">
      <c r="B903" s="130" t="n">
        <v>2027</v>
      </c>
      <c r="C903" s="131" t="s">
        <v>246</v>
      </c>
      <c r="D903" s="132" t="n">
        <v>46502</v>
      </c>
      <c r="E903" s="131" t="s">
        <v>62</v>
      </c>
      <c r="F903" s="133" t="s">
        <v>19</v>
      </c>
      <c r="G903" s="134" t="n">
        <f aca="false">LEN('Saisie programme'!$J$47)+SUMIFS('Vols additionnels'!$E$7:$E$66,'Vols additionnels'!$C$7:$C$66,$E903,'Vols additionnels'!$D$7:$D$66,$F903,'Vols additionnels'!$B$7:$B$66,$D903)</f>
        <v>0</v>
      </c>
      <c r="H903" s="135" t="n">
        <f aca="false">$G903*'Analyse capacite'!$F$8</f>
        <v>0</v>
      </c>
      <c r="I903" s="135" t="n">
        <f aca="false">$G903*'Analyse capacite'!$C$8</f>
        <v>0</v>
      </c>
      <c r="J903" s="135" t="n">
        <f aca="false">$G903*'Analyse capacite'!$D$8</f>
        <v>0</v>
      </c>
      <c r="K903" s="135" t="n">
        <f aca="false">$G903*'Analyse capacite'!$E$8</f>
        <v>0</v>
      </c>
    </row>
    <row r="904" customFormat="false" ht="15" hidden="false" customHeight="false" outlineLevel="0" collapsed="false">
      <c r="B904" s="130" t="n">
        <v>2027</v>
      </c>
      <c r="C904" s="131" t="s">
        <v>246</v>
      </c>
      <c r="D904" s="132" t="n">
        <v>46502</v>
      </c>
      <c r="E904" s="131" t="s">
        <v>62</v>
      </c>
      <c r="F904" s="133" t="s">
        <v>24</v>
      </c>
      <c r="G904" s="134" t="n">
        <f aca="false">LEN('Saisie programme'!$J$48)+SUMIFS('Vols additionnels'!$E$7:$E$66,'Vols additionnels'!$C$7:$C$66,$E904,'Vols additionnels'!$D$7:$D$66,$F904,'Vols additionnels'!$B$7:$B$66,$D904)</f>
        <v>1</v>
      </c>
      <c r="H904" s="135" t="n">
        <f aca="false">$G904*'Analyse capacite'!$F$9</f>
        <v>174</v>
      </c>
      <c r="I904" s="135" t="n">
        <f aca="false">$G904*'Analyse capacite'!$C$9</f>
        <v>0</v>
      </c>
      <c r="J904" s="135" t="n">
        <f aca="false">$G904*'Analyse capacite'!$D$9</f>
        <v>12</v>
      </c>
      <c r="K904" s="135" t="n">
        <f aca="false">$G904*'Analyse capacite'!$E$9</f>
        <v>162</v>
      </c>
    </row>
    <row r="905" customFormat="false" ht="15" hidden="false" customHeight="false" outlineLevel="0" collapsed="false">
      <c r="B905" s="130" t="n">
        <v>2027</v>
      </c>
      <c r="C905" s="131" t="s">
        <v>246</v>
      </c>
      <c r="D905" s="132" t="n">
        <v>46503</v>
      </c>
      <c r="E905" s="131" t="s">
        <v>12</v>
      </c>
      <c r="F905" s="133" t="s">
        <v>11</v>
      </c>
      <c r="G905" s="134" t="n">
        <f aca="false">LEN('Saisie programme'!$D$13)+SUMIFS('Vols additionnels'!$E$7:$E$66,'Vols additionnels'!$C$7:$C$66,$E905,'Vols additionnels'!$D$7:$D$66,$F905,'Vols additionnels'!$B$7:$B$66,$D905)</f>
        <v>1</v>
      </c>
      <c r="H905" s="135" t="n">
        <f aca="false">$G905*'Analyse capacite'!$F$7</f>
        <v>438</v>
      </c>
      <c r="I905" s="135" t="n">
        <f aca="false">$G905*'Analyse capacite'!$C$7</f>
        <v>14</v>
      </c>
      <c r="J905" s="135" t="n">
        <f aca="false">$G905*'Analyse capacite'!$D$7</f>
        <v>40</v>
      </c>
      <c r="K905" s="135" t="n">
        <f aca="false">$G905*'Analyse capacite'!$E$7</f>
        <v>384</v>
      </c>
    </row>
    <row r="906" customFormat="false" ht="15" hidden="false" customHeight="false" outlineLevel="0" collapsed="false">
      <c r="B906" s="130" t="n">
        <v>2027</v>
      </c>
      <c r="C906" s="131" t="s">
        <v>246</v>
      </c>
      <c r="D906" s="132" t="n">
        <v>46503</v>
      </c>
      <c r="E906" s="131" t="s">
        <v>12</v>
      </c>
      <c r="F906" s="133" t="s">
        <v>19</v>
      </c>
      <c r="G906" s="134" t="n">
        <f aca="false">LEN('Saisie programme'!$D$14)+SUMIFS('Vols additionnels'!$E$7:$E$66,'Vols additionnels'!$C$7:$C$66,$E906,'Vols additionnels'!$D$7:$D$66,$F906,'Vols additionnels'!$B$7:$B$66,$D906)</f>
        <v>1</v>
      </c>
      <c r="H906" s="135" t="n">
        <f aca="false">$G906*'Analyse capacite'!$F$8</f>
        <v>262</v>
      </c>
      <c r="I906" s="135" t="n">
        <f aca="false">$G906*'Analyse capacite'!$C$8</f>
        <v>18</v>
      </c>
      <c r="J906" s="135" t="n">
        <f aca="false">$G906*'Analyse capacite'!$D$8</f>
        <v>0</v>
      </c>
      <c r="K906" s="135" t="n">
        <f aca="false">$G906*'Analyse capacite'!$E$8</f>
        <v>244</v>
      </c>
    </row>
    <row r="907" customFormat="false" ht="15" hidden="false" customHeight="false" outlineLevel="0" collapsed="false">
      <c r="B907" s="130" t="n">
        <v>2027</v>
      </c>
      <c r="C907" s="131" t="s">
        <v>246</v>
      </c>
      <c r="D907" s="132" t="n">
        <v>46503</v>
      </c>
      <c r="E907" s="131" t="s">
        <v>12</v>
      </c>
      <c r="F907" s="133" t="s">
        <v>24</v>
      </c>
      <c r="G907" s="134" t="n">
        <f aca="false">LEN('Saisie programme'!$D$15)+SUMIFS('Vols additionnels'!$E$7:$E$66,'Vols additionnels'!$C$7:$C$66,$E907,'Vols additionnels'!$D$7:$D$66,$F907,'Vols additionnels'!$B$7:$B$66,$D907)</f>
        <v>2</v>
      </c>
      <c r="H907" s="135" t="n">
        <f aca="false">$G907*'Analyse capacite'!$F$9</f>
        <v>348</v>
      </c>
      <c r="I907" s="135" t="n">
        <f aca="false">$G907*'Analyse capacite'!$C$9</f>
        <v>0</v>
      </c>
      <c r="J907" s="135" t="n">
        <f aca="false">$G907*'Analyse capacite'!$D$9</f>
        <v>24</v>
      </c>
      <c r="K907" s="135" t="n">
        <f aca="false">$G907*'Analyse capacite'!$E$9</f>
        <v>324</v>
      </c>
    </row>
    <row r="908" customFormat="false" ht="15" hidden="false" customHeight="false" outlineLevel="0" collapsed="false">
      <c r="B908" s="130" t="n">
        <v>2027</v>
      </c>
      <c r="C908" s="131" t="s">
        <v>246</v>
      </c>
      <c r="D908" s="132" t="n">
        <v>46503</v>
      </c>
      <c r="E908" s="131" t="s">
        <v>20</v>
      </c>
      <c r="F908" s="133" t="s">
        <v>11</v>
      </c>
      <c r="G908" s="134" t="n">
        <f aca="false">LEN('Saisie programme'!$D$16)+SUMIFS('Vols additionnels'!$E$7:$E$66,'Vols additionnels'!$C$7:$C$66,$E908,'Vols additionnels'!$D$7:$D$66,$F908,'Vols additionnels'!$B$7:$B$66,$D908)</f>
        <v>0</v>
      </c>
      <c r="H908" s="135" t="n">
        <f aca="false">$G908*'Analyse capacite'!$F$7</f>
        <v>0</v>
      </c>
      <c r="I908" s="135" t="n">
        <f aca="false">$G908*'Analyse capacite'!$C$7</f>
        <v>0</v>
      </c>
      <c r="J908" s="135" t="n">
        <f aca="false">$G908*'Analyse capacite'!$D$7</f>
        <v>0</v>
      </c>
      <c r="K908" s="135" t="n">
        <f aca="false">$G908*'Analyse capacite'!$E$7</f>
        <v>0</v>
      </c>
    </row>
    <row r="909" customFormat="false" ht="15" hidden="false" customHeight="false" outlineLevel="0" collapsed="false">
      <c r="B909" s="130" t="n">
        <v>2027</v>
      </c>
      <c r="C909" s="131" t="s">
        <v>246</v>
      </c>
      <c r="D909" s="132" t="n">
        <v>46503</v>
      </c>
      <c r="E909" s="131" t="s">
        <v>20</v>
      </c>
      <c r="F909" s="133" t="s">
        <v>19</v>
      </c>
      <c r="G909" s="134" t="n">
        <f aca="false">LEN('Saisie programme'!$D$17)+SUMIFS('Vols additionnels'!$E$7:$E$66,'Vols additionnels'!$C$7:$C$66,$E909,'Vols additionnels'!$D$7:$D$66,$F909,'Vols additionnels'!$B$7:$B$66,$D909)</f>
        <v>0</v>
      </c>
      <c r="H909" s="135" t="n">
        <f aca="false">$G909*'Analyse capacite'!$F$8</f>
        <v>0</v>
      </c>
      <c r="I909" s="135" t="n">
        <f aca="false">$G909*'Analyse capacite'!$C$8</f>
        <v>0</v>
      </c>
      <c r="J909" s="135" t="n">
        <f aca="false">$G909*'Analyse capacite'!$D$8</f>
        <v>0</v>
      </c>
      <c r="K909" s="135" t="n">
        <f aca="false">$G909*'Analyse capacite'!$E$8</f>
        <v>0</v>
      </c>
    </row>
    <row r="910" customFormat="false" ht="15" hidden="false" customHeight="false" outlineLevel="0" collapsed="false">
      <c r="B910" s="130" t="n">
        <v>2027</v>
      </c>
      <c r="C910" s="131" t="s">
        <v>246</v>
      </c>
      <c r="D910" s="132" t="n">
        <v>46503</v>
      </c>
      <c r="E910" s="131" t="s">
        <v>20</v>
      </c>
      <c r="F910" s="133" t="s">
        <v>24</v>
      </c>
      <c r="G910" s="134" t="n">
        <f aca="false">LEN('Saisie programme'!$D$18)+SUMIFS('Vols additionnels'!$E$7:$E$66,'Vols additionnels'!$C$7:$C$66,$E910,'Vols additionnels'!$D$7:$D$66,$F910,'Vols additionnels'!$B$7:$B$66,$D910)</f>
        <v>0</v>
      </c>
      <c r="H910" s="135" t="n">
        <f aca="false">$G910*'Analyse capacite'!$F$9</f>
        <v>0</v>
      </c>
      <c r="I910" s="135" t="n">
        <f aca="false">$G910*'Analyse capacite'!$C$9</f>
        <v>0</v>
      </c>
      <c r="J910" s="135" t="n">
        <f aca="false">$G910*'Analyse capacite'!$D$9</f>
        <v>0</v>
      </c>
      <c r="K910" s="135" t="n">
        <f aca="false">$G910*'Analyse capacite'!$E$9</f>
        <v>0</v>
      </c>
    </row>
    <row r="911" customFormat="false" ht="15" hidden="false" customHeight="false" outlineLevel="0" collapsed="false">
      <c r="B911" s="130" t="n">
        <v>2027</v>
      </c>
      <c r="C911" s="131" t="s">
        <v>246</v>
      </c>
      <c r="D911" s="132" t="n">
        <v>46503</v>
      </c>
      <c r="E911" s="131" t="s">
        <v>25</v>
      </c>
      <c r="F911" s="133" t="s">
        <v>11</v>
      </c>
      <c r="G911" s="134" t="n">
        <f aca="false">LEN('Saisie programme'!$D$19)+SUMIFS('Vols additionnels'!$E$7:$E$66,'Vols additionnels'!$C$7:$C$66,$E911,'Vols additionnels'!$D$7:$D$66,$F911,'Vols additionnels'!$B$7:$B$66,$D911)</f>
        <v>0</v>
      </c>
      <c r="H911" s="135" t="n">
        <f aca="false">$G911*'Analyse capacite'!$F$7</f>
        <v>0</v>
      </c>
      <c r="I911" s="135" t="n">
        <f aca="false">$G911*'Analyse capacite'!$C$7</f>
        <v>0</v>
      </c>
      <c r="J911" s="135" t="n">
        <f aca="false">$G911*'Analyse capacite'!$D$7</f>
        <v>0</v>
      </c>
      <c r="K911" s="135" t="n">
        <f aca="false">$G911*'Analyse capacite'!$E$7</f>
        <v>0</v>
      </c>
    </row>
    <row r="912" customFormat="false" ht="15" hidden="false" customHeight="false" outlineLevel="0" collapsed="false">
      <c r="B912" s="130" t="n">
        <v>2027</v>
      </c>
      <c r="C912" s="131" t="s">
        <v>246</v>
      </c>
      <c r="D912" s="132" t="n">
        <v>46503</v>
      </c>
      <c r="E912" s="131" t="s">
        <v>25</v>
      </c>
      <c r="F912" s="133" t="s">
        <v>19</v>
      </c>
      <c r="G912" s="134" t="n">
        <f aca="false">LEN('Saisie programme'!$D$20)+SUMIFS('Vols additionnels'!$E$7:$E$66,'Vols additionnels'!$C$7:$C$66,$E912,'Vols additionnels'!$D$7:$D$66,$F912,'Vols additionnels'!$B$7:$B$66,$D912)</f>
        <v>0</v>
      </c>
      <c r="H912" s="135" t="n">
        <f aca="false">$G912*'Analyse capacite'!$F$8</f>
        <v>0</v>
      </c>
      <c r="I912" s="135" t="n">
        <f aca="false">$G912*'Analyse capacite'!$C$8</f>
        <v>0</v>
      </c>
      <c r="J912" s="135" t="n">
        <f aca="false">$G912*'Analyse capacite'!$D$8</f>
        <v>0</v>
      </c>
      <c r="K912" s="135" t="n">
        <f aca="false">$G912*'Analyse capacite'!$E$8</f>
        <v>0</v>
      </c>
    </row>
    <row r="913" customFormat="false" ht="15" hidden="false" customHeight="false" outlineLevel="0" collapsed="false">
      <c r="B913" s="130" t="n">
        <v>2027</v>
      </c>
      <c r="C913" s="131" t="s">
        <v>246</v>
      </c>
      <c r="D913" s="132" t="n">
        <v>46503</v>
      </c>
      <c r="E913" s="131" t="s">
        <v>25</v>
      </c>
      <c r="F913" s="133" t="s">
        <v>24</v>
      </c>
      <c r="G913" s="134" t="n">
        <f aca="false">LEN('Saisie programme'!$D$21)+SUMIFS('Vols additionnels'!$E$7:$E$66,'Vols additionnels'!$C$7:$C$66,$E913,'Vols additionnels'!$D$7:$D$66,$F913,'Vols additionnels'!$B$7:$B$66,$D913)</f>
        <v>0</v>
      </c>
      <c r="H913" s="135" t="n">
        <f aca="false">$G913*'Analyse capacite'!$F$9</f>
        <v>0</v>
      </c>
      <c r="I913" s="135" t="n">
        <f aca="false">$G913*'Analyse capacite'!$C$9</f>
        <v>0</v>
      </c>
      <c r="J913" s="135" t="n">
        <f aca="false">$G913*'Analyse capacite'!$D$9</f>
        <v>0</v>
      </c>
      <c r="K913" s="135" t="n">
        <f aca="false">$G913*'Analyse capacite'!$E$9</f>
        <v>0</v>
      </c>
    </row>
    <row r="914" customFormat="false" ht="15" hidden="false" customHeight="false" outlineLevel="0" collapsed="false">
      <c r="B914" s="130" t="n">
        <v>2027</v>
      </c>
      <c r="C914" s="131" t="s">
        <v>246</v>
      </c>
      <c r="D914" s="132" t="n">
        <v>46503</v>
      </c>
      <c r="E914" s="131" t="s">
        <v>36</v>
      </c>
      <c r="F914" s="133" t="s">
        <v>11</v>
      </c>
      <c r="G914" s="134" t="n">
        <f aca="false">LEN('Saisie programme'!$D$22)+SUMIFS('Vols additionnels'!$E$7:$E$66,'Vols additionnels'!$C$7:$C$66,$E914,'Vols additionnels'!$D$7:$D$66,$F914,'Vols additionnels'!$B$7:$B$66,$D914)</f>
        <v>0</v>
      </c>
      <c r="H914" s="135" t="n">
        <f aca="false">$G914*'Analyse capacite'!$F$7</f>
        <v>0</v>
      </c>
      <c r="I914" s="135" t="n">
        <f aca="false">$G914*'Analyse capacite'!$C$7</f>
        <v>0</v>
      </c>
      <c r="J914" s="135" t="n">
        <f aca="false">$G914*'Analyse capacite'!$D$7</f>
        <v>0</v>
      </c>
      <c r="K914" s="135" t="n">
        <f aca="false">$G914*'Analyse capacite'!$E$7</f>
        <v>0</v>
      </c>
    </row>
    <row r="915" customFormat="false" ht="15" hidden="false" customHeight="false" outlineLevel="0" collapsed="false">
      <c r="B915" s="130" t="n">
        <v>2027</v>
      </c>
      <c r="C915" s="131" t="s">
        <v>246</v>
      </c>
      <c r="D915" s="132" t="n">
        <v>46503</v>
      </c>
      <c r="E915" s="131" t="s">
        <v>36</v>
      </c>
      <c r="F915" s="133" t="s">
        <v>19</v>
      </c>
      <c r="G915" s="134" t="n">
        <f aca="false">LEN('Saisie programme'!$D$23)+SUMIFS('Vols additionnels'!$E$7:$E$66,'Vols additionnels'!$C$7:$C$66,$E915,'Vols additionnels'!$D$7:$D$66,$F915,'Vols additionnels'!$B$7:$B$66,$D915)</f>
        <v>0</v>
      </c>
      <c r="H915" s="135" t="n">
        <f aca="false">$G915*'Analyse capacite'!$F$8</f>
        <v>0</v>
      </c>
      <c r="I915" s="135" t="n">
        <f aca="false">$G915*'Analyse capacite'!$C$8</f>
        <v>0</v>
      </c>
      <c r="J915" s="135" t="n">
        <f aca="false">$G915*'Analyse capacite'!$D$8</f>
        <v>0</v>
      </c>
      <c r="K915" s="135" t="n">
        <f aca="false">$G915*'Analyse capacite'!$E$8</f>
        <v>0</v>
      </c>
    </row>
    <row r="916" customFormat="false" ht="15" hidden="false" customHeight="false" outlineLevel="0" collapsed="false">
      <c r="B916" s="130" t="n">
        <v>2027</v>
      </c>
      <c r="C916" s="131" t="s">
        <v>246</v>
      </c>
      <c r="D916" s="132" t="n">
        <v>46503</v>
      </c>
      <c r="E916" s="131" t="s">
        <v>36</v>
      </c>
      <c r="F916" s="133" t="s">
        <v>24</v>
      </c>
      <c r="G916" s="134" t="n">
        <f aca="false">LEN('Saisie programme'!$D$24)+SUMIFS('Vols additionnels'!$E$7:$E$66,'Vols additionnels'!$C$7:$C$66,$E916,'Vols additionnels'!$D$7:$D$66,$F916,'Vols additionnels'!$B$7:$B$66,$D916)</f>
        <v>1</v>
      </c>
      <c r="H916" s="135" t="n">
        <f aca="false">$G916*'Analyse capacite'!$F$9</f>
        <v>174</v>
      </c>
      <c r="I916" s="135" t="n">
        <f aca="false">$G916*'Analyse capacite'!$C$9</f>
        <v>0</v>
      </c>
      <c r="J916" s="135" t="n">
        <f aca="false">$G916*'Analyse capacite'!$D$9</f>
        <v>12</v>
      </c>
      <c r="K916" s="135" t="n">
        <f aca="false">$G916*'Analyse capacite'!$E$9</f>
        <v>162</v>
      </c>
    </row>
    <row r="917" customFormat="false" ht="15" hidden="false" customHeight="false" outlineLevel="0" collapsed="false">
      <c r="B917" s="130" t="n">
        <v>2027</v>
      </c>
      <c r="C917" s="131" t="s">
        <v>246</v>
      </c>
      <c r="D917" s="132" t="n">
        <v>46503</v>
      </c>
      <c r="E917" s="131" t="s">
        <v>40</v>
      </c>
      <c r="F917" s="133" t="s">
        <v>11</v>
      </c>
      <c r="G917" s="134" t="n">
        <f aca="false">LEN('Saisie programme'!$D$25)+SUMIFS('Vols additionnels'!$E$7:$E$66,'Vols additionnels'!$C$7:$C$66,$E917,'Vols additionnels'!$D$7:$D$66,$F917,'Vols additionnels'!$B$7:$B$66,$D917)</f>
        <v>0</v>
      </c>
      <c r="H917" s="135" t="n">
        <f aca="false">$G917*'Analyse capacite'!$F$7</f>
        <v>0</v>
      </c>
      <c r="I917" s="135" t="n">
        <f aca="false">$G917*'Analyse capacite'!$C$7</f>
        <v>0</v>
      </c>
      <c r="J917" s="135" t="n">
        <f aca="false">$G917*'Analyse capacite'!$D$7</f>
        <v>0</v>
      </c>
      <c r="K917" s="135" t="n">
        <f aca="false">$G917*'Analyse capacite'!$E$7</f>
        <v>0</v>
      </c>
    </row>
    <row r="918" customFormat="false" ht="15" hidden="false" customHeight="false" outlineLevel="0" collapsed="false">
      <c r="B918" s="130" t="n">
        <v>2027</v>
      </c>
      <c r="C918" s="131" t="s">
        <v>246</v>
      </c>
      <c r="D918" s="132" t="n">
        <v>46503</v>
      </c>
      <c r="E918" s="131" t="s">
        <v>40</v>
      </c>
      <c r="F918" s="133" t="s">
        <v>19</v>
      </c>
      <c r="G918" s="134" t="n">
        <f aca="false">LEN('Saisie programme'!$D$26)+SUMIFS('Vols additionnels'!$E$7:$E$66,'Vols additionnels'!$C$7:$C$66,$E918,'Vols additionnels'!$D$7:$D$66,$F918,'Vols additionnels'!$B$7:$B$66,$D918)</f>
        <v>0</v>
      </c>
      <c r="H918" s="135" t="n">
        <f aca="false">$G918*'Analyse capacite'!$F$8</f>
        <v>0</v>
      </c>
      <c r="I918" s="135" t="n">
        <f aca="false">$G918*'Analyse capacite'!$C$8</f>
        <v>0</v>
      </c>
      <c r="J918" s="135" t="n">
        <f aca="false">$G918*'Analyse capacite'!$D$8</f>
        <v>0</v>
      </c>
      <c r="K918" s="135" t="n">
        <f aca="false">$G918*'Analyse capacite'!$E$8</f>
        <v>0</v>
      </c>
    </row>
    <row r="919" customFormat="false" ht="15" hidden="false" customHeight="false" outlineLevel="0" collapsed="false">
      <c r="B919" s="130" t="n">
        <v>2027</v>
      </c>
      <c r="C919" s="131" t="s">
        <v>246</v>
      </c>
      <c r="D919" s="132" t="n">
        <v>46503</v>
      </c>
      <c r="E919" s="131" t="s">
        <v>40</v>
      </c>
      <c r="F919" s="133" t="s">
        <v>24</v>
      </c>
      <c r="G919" s="134" t="n">
        <f aca="false">LEN('Saisie programme'!$D$27)+SUMIFS('Vols additionnels'!$E$7:$E$66,'Vols additionnels'!$C$7:$C$66,$E919,'Vols additionnels'!$D$7:$D$66,$F919,'Vols additionnels'!$B$7:$B$66,$D919)</f>
        <v>1</v>
      </c>
      <c r="H919" s="135" t="n">
        <f aca="false">$G919*'Analyse capacite'!$F$9</f>
        <v>174</v>
      </c>
      <c r="I919" s="135" t="n">
        <f aca="false">$G919*'Analyse capacite'!$C$9</f>
        <v>0</v>
      </c>
      <c r="J919" s="135" t="n">
        <f aca="false">$G919*'Analyse capacite'!$D$9</f>
        <v>12</v>
      </c>
      <c r="K919" s="135" t="n">
        <f aca="false">$G919*'Analyse capacite'!$E$9</f>
        <v>162</v>
      </c>
    </row>
    <row r="920" customFormat="false" ht="15" hidden="false" customHeight="false" outlineLevel="0" collapsed="false">
      <c r="B920" s="130" t="n">
        <v>2027</v>
      </c>
      <c r="C920" s="131" t="s">
        <v>246</v>
      </c>
      <c r="D920" s="132" t="n">
        <v>46503</v>
      </c>
      <c r="E920" s="131" t="s">
        <v>14</v>
      </c>
      <c r="F920" s="133" t="s">
        <v>11</v>
      </c>
      <c r="G920" s="134" t="n">
        <f aca="false">LEN('Saisie programme'!$D$28)+SUMIFS('Vols additionnels'!$E$7:$E$66,'Vols additionnels'!$C$7:$C$66,$E920,'Vols additionnels'!$D$7:$D$66,$F920,'Vols additionnels'!$B$7:$B$66,$D920)</f>
        <v>0</v>
      </c>
      <c r="H920" s="135" t="n">
        <f aca="false">$G920*'Analyse capacite'!$F$7</f>
        <v>0</v>
      </c>
      <c r="I920" s="135" t="n">
        <f aca="false">$G920*'Analyse capacite'!$C$7</f>
        <v>0</v>
      </c>
      <c r="J920" s="135" t="n">
        <f aca="false">$G920*'Analyse capacite'!$D$7</f>
        <v>0</v>
      </c>
      <c r="K920" s="135" t="n">
        <f aca="false">$G920*'Analyse capacite'!$E$7</f>
        <v>0</v>
      </c>
    </row>
    <row r="921" customFormat="false" ht="15" hidden="false" customHeight="false" outlineLevel="0" collapsed="false">
      <c r="B921" s="130" t="n">
        <v>2027</v>
      </c>
      <c r="C921" s="131" t="s">
        <v>246</v>
      </c>
      <c r="D921" s="132" t="n">
        <v>46503</v>
      </c>
      <c r="E921" s="131" t="s">
        <v>14</v>
      </c>
      <c r="F921" s="133" t="s">
        <v>19</v>
      </c>
      <c r="G921" s="134" t="n">
        <f aca="false">LEN('Saisie programme'!$D$29)+SUMIFS('Vols additionnels'!$E$7:$E$66,'Vols additionnels'!$C$7:$C$66,$E921,'Vols additionnels'!$D$7:$D$66,$F921,'Vols additionnels'!$B$7:$B$66,$D921)</f>
        <v>0</v>
      </c>
      <c r="H921" s="135" t="n">
        <f aca="false">$G921*'Analyse capacite'!$F$8</f>
        <v>0</v>
      </c>
      <c r="I921" s="135" t="n">
        <f aca="false">$G921*'Analyse capacite'!$C$8</f>
        <v>0</v>
      </c>
      <c r="J921" s="135" t="n">
        <f aca="false">$G921*'Analyse capacite'!$D$8</f>
        <v>0</v>
      </c>
      <c r="K921" s="135" t="n">
        <f aca="false">$G921*'Analyse capacite'!$E$8</f>
        <v>0</v>
      </c>
    </row>
    <row r="922" customFormat="false" ht="15" hidden="false" customHeight="false" outlineLevel="0" collapsed="false">
      <c r="B922" s="130" t="n">
        <v>2027</v>
      </c>
      <c r="C922" s="131" t="s">
        <v>246</v>
      </c>
      <c r="D922" s="132" t="n">
        <v>46503</v>
      </c>
      <c r="E922" s="131" t="s">
        <v>14</v>
      </c>
      <c r="F922" s="133" t="s">
        <v>24</v>
      </c>
      <c r="G922" s="134" t="n">
        <f aca="false">LEN('Saisie programme'!$D$30)+SUMIFS('Vols additionnels'!$E$7:$E$66,'Vols additionnels'!$C$7:$C$66,$E922,'Vols additionnels'!$D$7:$D$66,$F922,'Vols additionnels'!$B$7:$B$66,$D922)</f>
        <v>1</v>
      </c>
      <c r="H922" s="135" t="n">
        <f aca="false">$G922*'Analyse capacite'!$F$9</f>
        <v>174</v>
      </c>
      <c r="I922" s="135" t="n">
        <f aca="false">$G922*'Analyse capacite'!$C$9</f>
        <v>0</v>
      </c>
      <c r="J922" s="135" t="n">
        <f aca="false">$G922*'Analyse capacite'!$D$9</f>
        <v>12</v>
      </c>
      <c r="K922" s="135" t="n">
        <f aca="false">$G922*'Analyse capacite'!$E$9</f>
        <v>162</v>
      </c>
    </row>
    <row r="923" customFormat="false" ht="15" hidden="false" customHeight="false" outlineLevel="0" collapsed="false">
      <c r="B923" s="130" t="n">
        <v>2027</v>
      </c>
      <c r="C923" s="131" t="s">
        <v>246</v>
      </c>
      <c r="D923" s="132" t="n">
        <v>46503</v>
      </c>
      <c r="E923" s="131" t="s">
        <v>46</v>
      </c>
      <c r="F923" s="133" t="s">
        <v>11</v>
      </c>
      <c r="G923" s="134" t="n">
        <f aca="false">LEN('Saisie programme'!$D$31)+SUMIFS('Vols additionnels'!$E$7:$E$66,'Vols additionnels'!$C$7:$C$66,$E923,'Vols additionnels'!$D$7:$D$66,$F923,'Vols additionnels'!$B$7:$B$66,$D923)</f>
        <v>0</v>
      </c>
      <c r="H923" s="135" t="n">
        <f aca="false">$G923*'Analyse capacite'!$F$7</f>
        <v>0</v>
      </c>
      <c r="I923" s="135" t="n">
        <f aca="false">$G923*'Analyse capacite'!$C$7</f>
        <v>0</v>
      </c>
      <c r="J923" s="135" t="n">
        <f aca="false">$G923*'Analyse capacite'!$D$7</f>
        <v>0</v>
      </c>
      <c r="K923" s="135" t="n">
        <f aca="false">$G923*'Analyse capacite'!$E$7</f>
        <v>0</v>
      </c>
    </row>
    <row r="924" customFormat="false" ht="15" hidden="false" customHeight="false" outlineLevel="0" collapsed="false">
      <c r="B924" s="130" t="n">
        <v>2027</v>
      </c>
      <c r="C924" s="131" t="s">
        <v>246</v>
      </c>
      <c r="D924" s="132" t="n">
        <v>46503</v>
      </c>
      <c r="E924" s="131" t="s">
        <v>46</v>
      </c>
      <c r="F924" s="133" t="s">
        <v>19</v>
      </c>
      <c r="G924" s="134" t="n">
        <f aca="false">LEN('Saisie programme'!$D$32)+SUMIFS('Vols additionnels'!$E$7:$E$66,'Vols additionnels'!$C$7:$C$66,$E924,'Vols additionnels'!$D$7:$D$66,$F924,'Vols additionnels'!$B$7:$B$66,$D924)</f>
        <v>0</v>
      </c>
      <c r="H924" s="135" t="n">
        <f aca="false">$G924*'Analyse capacite'!$F$8</f>
        <v>0</v>
      </c>
      <c r="I924" s="135" t="n">
        <f aca="false">$G924*'Analyse capacite'!$C$8</f>
        <v>0</v>
      </c>
      <c r="J924" s="135" t="n">
        <f aca="false">$G924*'Analyse capacite'!$D$8</f>
        <v>0</v>
      </c>
      <c r="K924" s="135" t="n">
        <f aca="false">$G924*'Analyse capacite'!$E$8</f>
        <v>0</v>
      </c>
    </row>
    <row r="925" customFormat="false" ht="15" hidden="false" customHeight="false" outlineLevel="0" collapsed="false">
      <c r="B925" s="130" t="n">
        <v>2027</v>
      </c>
      <c r="C925" s="131" t="s">
        <v>246</v>
      </c>
      <c r="D925" s="132" t="n">
        <v>46503</v>
      </c>
      <c r="E925" s="131" t="s">
        <v>46</v>
      </c>
      <c r="F925" s="133" t="s">
        <v>24</v>
      </c>
      <c r="G925" s="134" t="n">
        <f aca="false">LEN('Saisie programme'!$D$33)+SUMIFS('Vols additionnels'!$E$7:$E$66,'Vols additionnels'!$C$7:$C$66,$E925,'Vols additionnels'!$D$7:$D$66,$F925,'Vols additionnels'!$B$7:$B$66,$D925)</f>
        <v>0</v>
      </c>
      <c r="H925" s="135" t="n">
        <f aca="false">$G925*'Analyse capacite'!$F$9</f>
        <v>0</v>
      </c>
      <c r="I925" s="135" t="n">
        <f aca="false">$G925*'Analyse capacite'!$C$9</f>
        <v>0</v>
      </c>
      <c r="J925" s="135" t="n">
        <f aca="false">$G925*'Analyse capacite'!$D$9</f>
        <v>0</v>
      </c>
      <c r="K925" s="135" t="n">
        <f aca="false">$G925*'Analyse capacite'!$E$9</f>
        <v>0</v>
      </c>
    </row>
    <row r="926" customFormat="false" ht="15" hidden="false" customHeight="false" outlineLevel="0" collapsed="false">
      <c r="B926" s="130" t="n">
        <v>2027</v>
      </c>
      <c r="C926" s="131" t="s">
        <v>246</v>
      </c>
      <c r="D926" s="132" t="n">
        <v>46503</v>
      </c>
      <c r="E926" s="131" t="s">
        <v>49</v>
      </c>
      <c r="F926" s="133" t="s">
        <v>11</v>
      </c>
      <c r="G926" s="134" t="n">
        <f aca="false">LEN('Saisie programme'!$D$34)+SUMIFS('Vols additionnels'!$E$7:$E$66,'Vols additionnels'!$C$7:$C$66,$E926,'Vols additionnels'!$D$7:$D$66,$F926,'Vols additionnels'!$B$7:$B$66,$D926)</f>
        <v>0</v>
      </c>
      <c r="H926" s="135" t="n">
        <f aca="false">$G926*'Analyse capacite'!$F$7</f>
        <v>0</v>
      </c>
      <c r="I926" s="135" t="n">
        <f aca="false">$G926*'Analyse capacite'!$C$7</f>
        <v>0</v>
      </c>
      <c r="J926" s="135" t="n">
        <f aca="false">$G926*'Analyse capacite'!$D$7</f>
        <v>0</v>
      </c>
      <c r="K926" s="135" t="n">
        <f aca="false">$G926*'Analyse capacite'!$E$7</f>
        <v>0</v>
      </c>
    </row>
    <row r="927" customFormat="false" ht="15" hidden="false" customHeight="false" outlineLevel="0" collapsed="false">
      <c r="B927" s="130" t="n">
        <v>2027</v>
      </c>
      <c r="C927" s="131" t="s">
        <v>246</v>
      </c>
      <c r="D927" s="132" t="n">
        <v>46503</v>
      </c>
      <c r="E927" s="131" t="s">
        <v>49</v>
      </c>
      <c r="F927" s="133" t="s">
        <v>19</v>
      </c>
      <c r="G927" s="134" t="n">
        <f aca="false">LEN('Saisie programme'!$D$35)+SUMIFS('Vols additionnels'!$E$7:$E$66,'Vols additionnels'!$C$7:$C$66,$E927,'Vols additionnels'!$D$7:$D$66,$F927,'Vols additionnels'!$B$7:$B$66,$D927)</f>
        <v>1</v>
      </c>
      <c r="H927" s="135" t="n">
        <f aca="false">$G927*'Analyse capacite'!$F$8</f>
        <v>262</v>
      </c>
      <c r="I927" s="135" t="n">
        <f aca="false">$G927*'Analyse capacite'!$C$8</f>
        <v>18</v>
      </c>
      <c r="J927" s="135" t="n">
        <f aca="false">$G927*'Analyse capacite'!$D$8</f>
        <v>0</v>
      </c>
      <c r="K927" s="135" t="n">
        <f aca="false">$G927*'Analyse capacite'!$E$8</f>
        <v>244</v>
      </c>
    </row>
    <row r="928" customFormat="false" ht="15" hidden="false" customHeight="false" outlineLevel="0" collapsed="false">
      <c r="B928" s="130" t="n">
        <v>2027</v>
      </c>
      <c r="C928" s="131" t="s">
        <v>246</v>
      </c>
      <c r="D928" s="132" t="n">
        <v>46503</v>
      </c>
      <c r="E928" s="131" t="s">
        <v>49</v>
      </c>
      <c r="F928" s="133" t="s">
        <v>24</v>
      </c>
      <c r="G928" s="134" t="n">
        <f aca="false">LEN('Saisie programme'!$D$36)+SUMIFS('Vols additionnels'!$E$7:$E$66,'Vols additionnels'!$C$7:$C$66,$E928,'Vols additionnels'!$D$7:$D$66,$F928,'Vols additionnels'!$B$7:$B$66,$D928)</f>
        <v>0</v>
      </c>
      <c r="H928" s="135" t="n">
        <f aca="false">$G928*'Analyse capacite'!$F$9</f>
        <v>0</v>
      </c>
      <c r="I928" s="135" t="n">
        <f aca="false">$G928*'Analyse capacite'!$C$9</f>
        <v>0</v>
      </c>
      <c r="J928" s="135" t="n">
        <f aca="false">$G928*'Analyse capacite'!$D$9</f>
        <v>0</v>
      </c>
      <c r="K928" s="135" t="n">
        <f aca="false">$G928*'Analyse capacite'!$E$9</f>
        <v>0</v>
      </c>
    </row>
    <row r="929" customFormat="false" ht="15" hidden="false" customHeight="false" outlineLevel="0" collapsed="false">
      <c r="B929" s="130" t="n">
        <v>2027</v>
      </c>
      <c r="C929" s="131" t="s">
        <v>246</v>
      </c>
      <c r="D929" s="132" t="n">
        <v>46503</v>
      </c>
      <c r="E929" s="131" t="s">
        <v>53</v>
      </c>
      <c r="F929" s="133" t="s">
        <v>11</v>
      </c>
      <c r="G929" s="134" t="n">
        <f aca="false">LEN('Saisie programme'!$D$37)+SUMIFS('Vols additionnels'!$E$7:$E$66,'Vols additionnels'!$C$7:$C$66,$E929,'Vols additionnels'!$D$7:$D$66,$F929,'Vols additionnels'!$B$7:$B$66,$D929)</f>
        <v>0</v>
      </c>
      <c r="H929" s="135" t="n">
        <f aca="false">$G929*'Analyse capacite'!$F$7</f>
        <v>0</v>
      </c>
      <c r="I929" s="135" t="n">
        <f aca="false">$G929*'Analyse capacite'!$C$7</f>
        <v>0</v>
      </c>
      <c r="J929" s="135" t="n">
        <f aca="false">$G929*'Analyse capacite'!$D$7</f>
        <v>0</v>
      </c>
      <c r="K929" s="135" t="n">
        <f aca="false">$G929*'Analyse capacite'!$E$7</f>
        <v>0</v>
      </c>
    </row>
    <row r="930" customFormat="false" ht="15" hidden="false" customHeight="false" outlineLevel="0" collapsed="false">
      <c r="B930" s="130" t="n">
        <v>2027</v>
      </c>
      <c r="C930" s="131" t="s">
        <v>246</v>
      </c>
      <c r="D930" s="132" t="n">
        <v>46503</v>
      </c>
      <c r="E930" s="131" t="s">
        <v>53</v>
      </c>
      <c r="F930" s="133" t="s">
        <v>19</v>
      </c>
      <c r="G930" s="134" t="n">
        <f aca="false">LEN('Saisie programme'!$D$38)+SUMIFS('Vols additionnels'!$E$7:$E$66,'Vols additionnels'!$C$7:$C$66,$E930,'Vols additionnels'!$D$7:$D$66,$F930,'Vols additionnels'!$B$7:$B$66,$D930)</f>
        <v>0</v>
      </c>
      <c r="H930" s="135" t="n">
        <f aca="false">$G930*'Analyse capacite'!$F$8</f>
        <v>0</v>
      </c>
      <c r="I930" s="135" t="n">
        <f aca="false">$G930*'Analyse capacite'!$C$8</f>
        <v>0</v>
      </c>
      <c r="J930" s="135" t="n">
        <f aca="false">$G930*'Analyse capacite'!$D$8</f>
        <v>0</v>
      </c>
      <c r="K930" s="135" t="n">
        <f aca="false">$G930*'Analyse capacite'!$E$8</f>
        <v>0</v>
      </c>
    </row>
    <row r="931" customFormat="false" ht="15" hidden="false" customHeight="false" outlineLevel="0" collapsed="false">
      <c r="B931" s="130" t="n">
        <v>2027</v>
      </c>
      <c r="C931" s="131" t="s">
        <v>246</v>
      </c>
      <c r="D931" s="132" t="n">
        <v>46503</v>
      </c>
      <c r="E931" s="131" t="s">
        <v>53</v>
      </c>
      <c r="F931" s="133" t="s">
        <v>24</v>
      </c>
      <c r="G931" s="134" t="n">
        <f aca="false">LEN('Saisie programme'!$D$39)+SUMIFS('Vols additionnels'!$E$7:$E$66,'Vols additionnels'!$C$7:$C$66,$E931,'Vols additionnels'!$D$7:$D$66,$F931,'Vols additionnels'!$B$7:$B$66,$D931)</f>
        <v>0</v>
      </c>
      <c r="H931" s="135" t="n">
        <f aca="false">$G931*'Analyse capacite'!$F$9</f>
        <v>0</v>
      </c>
      <c r="I931" s="135" t="n">
        <f aca="false">$G931*'Analyse capacite'!$C$9</f>
        <v>0</v>
      </c>
      <c r="J931" s="135" t="n">
        <f aca="false">$G931*'Analyse capacite'!$D$9</f>
        <v>0</v>
      </c>
      <c r="K931" s="135" t="n">
        <f aca="false">$G931*'Analyse capacite'!$E$9</f>
        <v>0</v>
      </c>
    </row>
    <row r="932" customFormat="false" ht="15" hidden="false" customHeight="false" outlineLevel="0" collapsed="false">
      <c r="B932" s="130" t="n">
        <v>2027</v>
      </c>
      <c r="C932" s="131" t="s">
        <v>246</v>
      </c>
      <c r="D932" s="132" t="n">
        <v>46503</v>
      </c>
      <c r="E932" s="131" t="s">
        <v>56</v>
      </c>
      <c r="F932" s="133" t="s">
        <v>11</v>
      </c>
      <c r="G932" s="134" t="n">
        <f aca="false">LEN('Saisie programme'!$D$40)+SUMIFS('Vols additionnels'!$E$7:$E$66,'Vols additionnels'!$C$7:$C$66,$E932,'Vols additionnels'!$D$7:$D$66,$F932,'Vols additionnels'!$B$7:$B$66,$D932)</f>
        <v>0</v>
      </c>
      <c r="H932" s="135" t="n">
        <f aca="false">$G932*'Analyse capacite'!$F$7</f>
        <v>0</v>
      </c>
      <c r="I932" s="135" t="n">
        <f aca="false">$G932*'Analyse capacite'!$C$7</f>
        <v>0</v>
      </c>
      <c r="J932" s="135" t="n">
        <f aca="false">$G932*'Analyse capacite'!$D$7</f>
        <v>0</v>
      </c>
      <c r="K932" s="135" t="n">
        <f aca="false">$G932*'Analyse capacite'!$E$7</f>
        <v>0</v>
      </c>
    </row>
    <row r="933" customFormat="false" ht="15" hidden="false" customHeight="false" outlineLevel="0" collapsed="false">
      <c r="B933" s="130" t="n">
        <v>2027</v>
      </c>
      <c r="C933" s="131" t="s">
        <v>246</v>
      </c>
      <c r="D933" s="132" t="n">
        <v>46503</v>
      </c>
      <c r="E933" s="131" t="s">
        <v>56</v>
      </c>
      <c r="F933" s="133" t="s">
        <v>19</v>
      </c>
      <c r="G933" s="134" t="n">
        <f aca="false">LEN('Saisie programme'!$D$41)+SUMIFS('Vols additionnels'!$E$7:$E$66,'Vols additionnels'!$C$7:$C$66,$E933,'Vols additionnels'!$D$7:$D$66,$F933,'Vols additionnels'!$B$7:$B$66,$D933)</f>
        <v>0</v>
      </c>
      <c r="H933" s="135" t="n">
        <f aca="false">$G933*'Analyse capacite'!$F$8</f>
        <v>0</v>
      </c>
      <c r="I933" s="135" t="n">
        <f aca="false">$G933*'Analyse capacite'!$C$8</f>
        <v>0</v>
      </c>
      <c r="J933" s="135" t="n">
        <f aca="false">$G933*'Analyse capacite'!$D$8</f>
        <v>0</v>
      </c>
      <c r="K933" s="135" t="n">
        <f aca="false">$G933*'Analyse capacite'!$E$8</f>
        <v>0</v>
      </c>
    </row>
    <row r="934" customFormat="false" ht="15" hidden="false" customHeight="false" outlineLevel="0" collapsed="false">
      <c r="B934" s="130" t="n">
        <v>2027</v>
      </c>
      <c r="C934" s="131" t="s">
        <v>246</v>
      </c>
      <c r="D934" s="132" t="n">
        <v>46503</v>
      </c>
      <c r="E934" s="131" t="s">
        <v>56</v>
      </c>
      <c r="F934" s="133" t="s">
        <v>24</v>
      </c>
      <c r="G934" s="134" t="n">
        <f aca="false">LEN('Saisie programme'!$D$42)+SUMIFS('Vols additionnels'!$E$7:$E$66,'Vols additionnels'!$C$7:$C$66,$E934,'Vols additionnels'!$D$7:$D$66,$F934,'Vols additionnels'!$B$7:$B$66,$D934)</f>
        <v>0</v>
      </c>
      <c r="H934" s="135" t="n">
        <f aca="false">$G934*'Analyse capacite'!$F$9</f>
        <v>0</v>
      </c>
      <c r="I934" s="135" t="n">
        <f aca="false">$G934*'Analyse capacite'!$C$9</f>
        <v>0</v>
      </c>
      <c r="J934" s="135" t="n">
        <f aca="false">$G934*'Analyse capacite'!$D$9</f>
        <v>0</v>
      </c>
      <c r="K934" s="135" t="n">
        <f aca="false">$G934*'Analyse capacite'!$E$9</f>
        <v>0</v>
      </c>
    </row>
    <row r="935" customFormat="false" ht="15" hidden="false" customHeight="false" outlineLevel="0" collapsed="false">
      <c r="B935" s="130" t="n">
        <v>2027</v>
      </c>
      <c r="C935" s="131" t="s">
        <v>246</v>
      </c>
      <c r="D935" s="132" t="n">
        <v>46503</v>
      </c>
      <c r="E935" s="131" t="s">
        <v>59</v>
      </c>
      <c r="F935" s="133" t="s">
        <v>11</v>
      </c>
      <c r="G935" s="134" t="n">
        <f aca="false">LEN('Saisie programme'!$D$43)+SUMIFS('Vols additionnels'!$E$7:$E$66,'Vols additionnels'!$C$7:$C$66,$E935,'Vols additionnels'!$D$7:$D$66,$F935,'Vols additionnels'!$B$7:$B$66,$D935)</f>
        <v>0</v>
      </c>
      <c r="H935" s="135" t="n">
        <f aca="false">$G935*'Analyse capacite'!$F$7</f>
        <v>0</v>
      </c>
      <c r="I935" s="135" t="n">
        <f aca="false">$G935*'Analyse capacite'!$C$7</f>
        <v>0</v>
      </c>
      <c r="J935" s="135" t="n">
        <f aca="false">$G935*'Analyse capacite'!$D$7</f>
        <v>0</v>
      </c>
      <c r="K935" s="135" t="n">
        <f aca="false">$G935*'Analyse capacite'!$E$7</f>
        <v>0</v>
      </c>
    </row>
    <row r="936" customFormat="false" ht="15" hidden="false" customHeight="false" outlineLevel="0" collapsed="false">
      <c r="B936" s="130" t="n">
        <v>2027</v>
      </c>
      <c r="C936" s="131" t="s">
        <v>246</v>
      </c>
      <c r="D936" s="132" t="n">
        <v>46503</v>
      </c>
      <c r="E936" s="131" t="s">
        <v>59</v>
      </c>
      <c r="F936" s="133" t="s">
        <v>19</v>
      </c>
      <c r="G936" s="134" t="n">
        <f aca="false">LEN('Saisie programme'!$D$44)+SUMIFS('Vols additionnels'!$E$7:$E$66,'Vols additionnels'!$C$7:$C$66,$E936,'Vols additionnels'!$D$7:$D$66,$F936,'Vols additionnels'!$B$7:$B$66,$D936)</f>
        <v>0</v>
      </c>
      <c r="H936" s="135" t="n">
        <f aca="false">$G936*'Analyse capacite'!$F$8</f>
        <v>0</v>
      </c>
      <c r="I936" s="135" t="n">
        <f aca="false">$G936*'Analyse capacite'!$C$8</f>
        <v>0</v>
      </c>
      <c r="J936" s="135" t="n">
        <f aca="false">$G936*'Analyse capacite'!$D$8</f>
        <v>0</v>
      </c>
      <c r="K936" s="135" t="n">
        <f aca="false">$G936*'Analyse capacite'!$E$8</f>
        <v>0</v>
      </c>
    </row>
    <row r="937" customFormat="false" ht="15" hidden="false" customHeight="false" outlineLevel="0" collapsed="false">
      <c r="B937" s="130" t="n">
        <v>2027</v>
      </c>
      <c r="C937" s="131" t="s">
        <v>246</v>
      </c>
      <c r="D937" s="132" t="n">
        <v>46503</v>
      </c>
      <c r="E937" s="131" t="s">
        <v>59</v>
      </c>
      <c r="F937" s="133" t="s">
        <v>24</v>
      </c>
      <c r="G937" s="134" t="n">
        <f aca="false">LEN('Saisie programme'!$D$45)+SUMIFS('Vols additionnels'!$E$7:$E$66,'Vols additionnels'!$C$7:$C$66,$E937,'Vols additionnels'!$D$7:$D$66,$F937,'Vols additionnels'!$B$7:$B$66,$D937)</f>
        <v>1</v>
      </c>
      <c r="H937" s="135" t="n">
        <f aca="false">$G937*'Analyse capacite'!$F$9</f>
        <v>174</v>
      </c>
      <c r="I937" s="135" t="n">
        <f aca="false">$G937*'Analyse capacite'!$C$9</f>
        <v>0</v>
      </c>
      <c r="J937" s="135" t="n">
        <f aca="false">$G937*'Analyse capacite'!$D$9</f>
        <v>12</v>
      </c>
      <c r="K937" s="135" t="n">
        <f aca="false">$G937*'Analyse capacite'!$E$9</f>
        <v>162</v>
      </c>
    </row>
    <row r="938" customFormat="false" ht="15" hidden="false" customHeight="false" outlineLevel="0" collapsed="false">
      <c r="B938" s="130" t="n">
        <v>2027</v>
      </c>
      <c r="C938" s="131" t="s">
        <v>246</v>
      </c>
      <c r="D938" s="132" t="n">
        <v>46503</v>
      </c>
      <c r="E938" s="131" t="s">
        <v>62</v>
      </c>
      <c r="F938" s="133" t="s">
        <v>11</v>
      </c>
      <c r="G938" s="134" t="n">
        <f aca="false">LEN('Saisie programme'!$D$46)+SUMIFS('Vols additionnels'!$E$7:$E$66,'Vols additionnels'!$C$7:$C$66,$E938,'Vols additionnels'!$D$7:$D$66,$F938,'Vols additionnels'!$B$7:$B$66,$D938)</f>
        <v>0</v>
      </c>
      <c r="H938" s="135" t="n">
        <f aca="false">$G938*'Analyse capacite'!$F$7</f>
        <v>0</v>
      </c>
      <c r="I938" s="135" t="n">
        <f aca="false">$G938*'Analyse capacite'!$C$7</f>
        <v>0</v>
      </c>
      <c r="J938" s="135" t="n">
        <f aca="false">$G938*'Analyse capacite'!$D$7</f>
        <v>0</v>
      </c>
      <c r="K938" s="135" t="n">
        <f aca="false">$G938*'Analyse capacite'!$E$7</f>
        <v>0</v>
      </c>
    </row>
    <row r="939" customFormat="false" ht="15" hidden="false" customHeight="false" outlineLevel="0" collapsed="false">
      <c r="B939" s="130" t="n">
        <v>2027</v>
      </c>
      <c r="C939" s="131" t="s">
        <v>246</v>
      </c>
      <c r="D939" s="132" t="n">
        <v>46503</v>
      </c>
      <c r="E939" s="131" t="s">
        <v>62</v>
      </c>
      <c r="F939" s="133" t="s">
        <v>19</v>
      </c>
      <c r="G939" s="134" t="n">
        <f aca="false">LEN('Saisie programme'!$D$47)+SUMIFS('Vols additionnels'!$E$7:$E$66,'Vols additionnels'!$C$7:$C$66,$E939,'Vols additionnels'!$D$7:$D$66,$F939,'Vols additionnels'!$B$7:$B$66,$D939)</f>
        <v>0</v>
      </c>
      <c r="H939" s="135" t="n">
        <f aca="false">$G939*'Analyse capacite'!$F$8</f>
        <v>0</v>
      </c>
      <c r="I939" s="135" t="n">
        <f aca="false">$G939*'Analyse capacite'!$C$8</f>
        <v>0</v>
      </c>
      <c r="J939" s="135" t="n">
        <f aca="false">$G939*'Analyse capacite'!$D$8</f>
        <v>0</v>
      </c>
      <c r="K939" s="135" t="n">
        <f aca="false">$G939*'Analyse capacite'!$E$8</f>
        <v>0</v>
      </c>
    </row>
    <row r="940" customFormat="false" ht="15" hidden="false" customHeight="false" outlineLevel="0" collapsed="false">
      <c r="B940" s="130" t="n">
        <v>2027</v>
      </c>
      <c r="C940" s="131" t="s">
        <v>246</v>
      </c>
      <c r="D940" s="132" t="n">
        <v>46503</v>
      </c>
      <c r="E940" s="131" t="s">
        <v>62</v>
      </c>
      <c r="F940" s="133" t="s">
        <v>24</v>
      </c>
      <c r="G940" s="134" t="n">
        <f aca="false">LEN('Saisie programme'!$D$48)+SUMIFS('Vols additionnels'!$E$7:$E$66,'Vols additionnels'!$C$7:$C$66,$E940,'Vols additionnels'!$D$7:$D$66,$F940,'Vols additionnels'!$B$7:$B$66,$D940)</f>
        <v>0</v>
      </c>
      <c r="H940" s="135" t="n">
        <f aca="false">$G940*'Analyse capacite'!$F$9</f>
        <v>0</v>
      </c>
      <c r="I940" s="135" t="n">
        <f aca="false">$G940*'Analyse capacite'!$C$9</f>
        <v>0</v>
      </c>
      <c r="J940" s="135" t="n">
        <f aca="false">$G940*'Analyse capacite'!$D$9</f>
        <v>0</v>
      </c>
      <c r="K940" s="135" t="n">
        <f aca="false">$G940*'Analyse capacite'!$E$9</f>
        <v>0</v>
      </c>
    </row>
    <row r="941" customFormat="false" ht="15" hidden="false" customHeight="false" outlineLevel="0" collapsed="false">
      <c r="B941" s="130" t="n">
        <v>2027</v>
      </c>
      <c r="C941" s="131" t="s">
        <v>246</v>
      </c>
      <c r="D941" s="132" t="n">
        <v>46504</v>
      </c>
      <c r="E941" s="131" t="s">
        <v>12</v>
      </c>
      <c r="F941" s="133" t="s">
        <v>11</v>
      </c>
      <c r="G941" s="134" t="n">
        <f aca="false">LEN('Saisie programme'!$E$13)+SUMIFS('Vols additionnels'!$E$7:$E$66,'Vols additionnels'!$C$7:$C$66,$E941,'Vols additionnels'!$D$7:$D$66,$F941,'Vols additionnels'!$B$7:$B$66,$D941)</f>
        <v>1</v>
      </c>
      <c r="H941" s="135" t="n">
        <f aca="false">$G941*'Analyse capacite'!$F$7</f>
        <v>438</v>
      </c>
      <c r="I941" s="135" t="n">
        <f aca="false">$G941*'Analyse capacite'!$C$7</f>
        <v>14</v>
      </c>
      <c r="J941" s="135" t="n">
        <f aca="false">$G941*'Analyse capacite'!$D$7</f>
        <v>40</v>
      </c>
      <c r="K941" s="135" t="n">
        <f aca="false">$G941*'Analyse capacite'!$E$7</f>
        <v>384</v>
      </c>
    </row>
    <row r="942" customFormat="false" ht="15" hidden="false" customHeight="false" outlineLevel="0" collapsed="false">
      <c r="B942" s="130" t="n">
        <v>2027</v>
      </c>
      <c r="C942" s="131" t="s">
        <v>246</v>
      </c>
      <c r="D942" s="132" t="n">
        <v>46504</v>
      </c>
      <c r="E942" s="131" t="s">
        <v>12</v>
      </c>
      <c r="F942" s="133" t="s">
        <v>19</v>
      </c>
      <c r="G942" s="134" t="n">
        <f aca="false">LEN('Saisie programme'!$E$14)+SUMIFS('Vols additionnels'!$E$7:$E$66,'Vols additionnels'!$C$7:$C$66,$E942,'Vols additionnels'!$D$7:$D$66,$F942,'Vols additionnels'!$B$7:$B$66,$D942)</f>
        <v>0</v>
      </c>
      <c r="H942" s="135" t="n">
        <f aca="false">$G942*'Analyse capacite'!$F$8</f>
        <v>0</v>
      </c>
      <c r="I942" s="135" t="n">
        <f aca="false">$G942*'Analyse capacite'!$C$8</f>
        <v>0</v>
      </c>
      <c r="J942" s="135" t="n">
        <f aca="false">$G942*'Analyse capacite'!$D$8</f>
        <v>0</v>
      </c>
      <c r="K942" s="135" t="n">
        <f aca="false">$G942*'Analyse capacite'!$E$8</f>
        <v>0</v>
      </c>
    </row>
    <row r="943" customFormat="false" ht="15" hidden="false" customHeight="false" outlineLevel="0" collapsed="false">
      <c r="B943" s="130" t="n">
        <v>2027</v>
      </c>
      <c r="C943" s="131" t="s">
        <v>246</v>
      </c>
      <c r="D943" s="132" t="n">
        <v>46504</v>
      </c>
      <c r="E943" s="131" t="s">
        <v>12</v>
      </c>
      <c r="F943" s="133" t="s">
        <v>24</v>
      </c>
      <c r="G943" s="134" t="n">
        <f aca="false">LEN('Saisie programme'!$E$15)+SUMIFS('Vols additionnels'!$E$7:$E$66,'Vols additionnels'!$C$7:$C$66,$E943,'Vols additionnels'!$D$7:$D$66,$F943,'Vols additionnels'!$B$7:$B$66,$D943)</f>
        <v>0</v>
      </c>
      <c r="H943" s="135" t="n">
        <f aca="false">$G943*'Analyse capacite'!$F$9</f>
        <v>0</v>
      </c>
      <c r="I943" s="135" t="n">
        <f aca="false">$G943*'Analyse capacite'!$C$9</f>
        <v>0</v>
      </c>
      <c r="J943" s="135" t="n">
        <f aca="false">$G943*'Analyse capacite'!$D$9</f>
        <v>0</v>
      </c>
      <c r="K943" s="135" t="n">
        <f aca="false">$G943*'Analyse capacite'!$E$9</f>
        <v>0</v>
      </c>
    </row>
    <row r="944" customFormat="false" ht="15" hidden="false" customHeight="false" outlineLevel="0" collapsed="false">
      <c r="B944" s="130" t="n">
        <v>2027</v>
      </c>
      <c r="C944" s="131" t="s">
        <v>246</v>
      </c>
      <c r="D944" s="132" t="n">
        <v>46504</v>
      </c>
      <c r="E944" s="131" t="s">
        <v>20</v>
      </c>
      <c r="F944" s="133" t="s">
        <v>11</v>
      </c>
      <c r="G944" s="134" t="n">
        <f aca="false">LEN('Saisie programme'!$E$16)+SUMIFS('Vols additionnels'!$E$7:$E$66,'Vols additionnels'!$C$7:$C$66,$E944,'Vols additionnels'!$D$7:$D$66,$F944,'Vols additionnels'!$B$7:$B$66,$D944)</f>
        <v>0</v>
      </c>
      <c r="H944" s="135" t="n">
        <f aca="false">$G944*'Analyse capacite'!$F$7</f>
        <v>0</v>
      </c>
      <c r="I944" s="135" t="n">
        <f aca="false">$G944*'Analyse capacite'!$C$7</f>
        <v>0</v>
      </c>
      <c r="J944" s="135" t="n">
        <f aca="false">$G944*'Analyse capacite'!$D$7</f>
        <v>0</v>
      </c>
      <c r="K944" s="135" t="n">
        <f aca="false">$G944*'Analyse capacite'!$E$7</f>
        <v>0</v>
      </c>
    </row>
    <row r="945" customFormat="false" ht="15" hidden="false" customHeight="false" outlineLevel="0" collapsed="false">
      <c r="B945" s="130" t="n">
        <v>2027</v>
      </c>
      <c r="C945" s="131" t="s">
        <v>246</v>
      </c>
      <c r="D945" s="132" t="n">
        <v>46504</v>
      </c>
      <c r="E945" s="131" t="s">
        <v>20</v>
      </c>
      <c r="F945" s="133" t="s">
        <v>19</v>
      </c>
      <c r="G945" s="134" t="n">
        <f aca="false">LEN('Saisie programme'!$E$17)+SUMIFS('Vols additionnels'!$E$7:$E$66,'Vols additionnels'!$C$7:$C$66,$E945,'Vols additionnels'!$D$7:$D$66,$F945,'Vols additionnels'!$B$7:$B$66,$D945)</f>
        <v>1</v>
      </c>
      <c r="H945" s="135" t="n">
        <f aca="false">$G945*'Analyse capacite'!$F$8</f>
        <v>262</v>
      </c>
      <c r="I945" s="135" t="n">
        <f aca="false">$G945*'Analyse capacite'!$C$8</f>
        <v>18</v>
      </c>
      <c r="J945" s="135" t="n">
        <f aca="false">$G945*'Analyse capacite'!$D$8</f>
        <v>0</v>
      </c>
      <c r="K945" s="135" t="n">
        <f aca="false">$G945*'Analyse capacite'!$E$8</f>
        <v>244</v>
      </c>
    </row>
    <row r="946" customFormat="false" ht="15" hidden="false" customHeight="false" outlineLevel="0" collapsed="false">
      <c r="B946" s="130" t="n">
        <v>2027</v>
      </c>
      <c r="C946" s="131" t="s">
        <v>246</v>
      </c>
      <c r="D946" s="132" t="n">
        <v>46504</v>
      </c>
      <c r="E946" s="131" t="s">
        <v>20</v>
      </c>
      <c r="F946" s="133" t="s">
        <v>24</v>
      </c>
      <c r="G946" s="134" t="n">
        <f aca="false">LEN('Saisie programme'!$E$18)+SUMIFS('Vols additionnels'!$E$7:$E$66,'Vols additionnels'!$C$7:$C$66,$E946,'Vols additionnels'!$D$7:$D$66,$F946,'Vols additionnels'!$B$7:$B$66,$D946)</f>
        <v>0</v>
      </c>
      <c r="H946" s="135" t="n">
        <f aca="false">$G946*'Analyse capacite'!$F$9</f>
        <v>0</v>
      </c>
      <c r="I946" s="135" t="n">
        <f aca="false">$G946*'Analyse capacite'!$C$9</f>
        <v>0</v>
      </c>
      <c r="J946" s="135" t="n">
        <f aca="false">$G946*'Analyse capacite'!$D$9</f>
        <v>0</v>
      </c>
      <c r="K946" s="135" t="n">
        <f aca="false">$G946*'Analyse capacite'!$E$9</f>
        <v>0</v>
      </c>
    </row>
    <row r="947" customFormat="false" ht="15" hidden="false" customHeight="false" outlineLevel="0" collapsed="false">
      <c r="B947" s="130" t="n">
        <v>2027</v>
      </c>
      <c r="C947" s="131" t="s">
        <v>246</v>
      </c>
      <c r="D947" s="132" t="n">
        <v>46504</v>
      </c>
      <c r="E947" s="131" t="s">
        <v>25</v>
      </c>
      <c r="F947" s="133" t="s">
        <v>11</v>
      </c>
      <c r="G947" s="134" t="n">
        <f aca="false">LEN('Saisie programme'!$E$19)+SUMIFS('Vols additionnels'!$E$7:$E$66,'Vols additionnels'!$C$7:$C$66,$E947,'Vols additionnels'!$D$7:$D$66,$F947,'Vols additionnels'!$B$7:$B$66,$D947)</f>
        <v>0</v>
      </c>
      <c r="H947" s="135" t="n">
        <f aca="false">$G947*'Analyse capacite'!$F$7</f>
        <v>0</v>
      </c>
      <c r="I947" s="135" t="n">
        <f aca="false">$G947*'Analyse capacite'!$C$7</f>
        <v>0</v>
      </c>
      <c r="J947" s="135" t="n">
        <f aca="false">$G947*'Analyse capacite'!$D$7</f>
        <v>0</v>
      </c>
      <c r="K947" s="135" t="n">
        <f aca="false">$G947*'Analyse capacite'!$E$7</f>
        <v>0</v>
      </c>
    </row>
    <row r="948" customFormat="false" ht="15" hidden="false" customHeight="false" outlineLevel="0" collapsed="false">
      <c r="B948" s="130" t="n">
        <v>2027</v>
      </c>
      <c r="C948" s="131" t="s">
        <v>246</v>
      </c>
      <c r="D948" s="132" t="n">
        <v>46504</v>
      </c>
      <c r="E948" s="131" t="s">
        <v>25</v>
      </c>
      <c r="F948" s="133" t="s">
        <v>19</v>
      </c>
      <c r="G948" s="134" t="n">
        <f aca="false">LEN('Saisie programme'!$E$20)+SUMIFS('Vols additionnels'!$E$7:$E$66,'Vols additionnels'!$C$7:$C$66,$E948,'Vols additionnels'!$D$7:$D$66,$F948,'Vols additionnels'!$B$7:$B$66,$D948)</f>
        <v>0</v>
      </c>
      <c r="H948" s="135" t="n">
        <f aca="false">$G948*'Analyse capacite'!$F$8</f>
        <v>0</v>
      </c>
      <c r="I948" s="135" t="n">
        <f aca="false">$G948*'Analyse capacite'!$C$8</f>
        <v>0</v>
      </c>
      <c r="J948" s="135" t="n">
        <f aca="false">$G948*'Analyse capacite'!$D$8</f>
        <v>0</v>
      </c>
      <c r="K948" s="135" t="n">
        <f aca="false">$G948*'Analyse capacite'!$E$8</f>
        <v>0</v>
      </c>
    </row>
    <row r="949" customFormat="false" ht="15" hidden="false" customHeight="false" outlineLevel="0" collapsed="false">
      <c r="B949" s="130" t="n">
        <v>2027</v>
      </c>
      <c r="C949" s="131" t="s">
        <v>246</v>
      </c>
      <c r="D949" s="132" t="n">
        <v>46504</v>
      </c>
      <c r="E949" s="131" t="s">
        <v>25</v>
      </c>
      <c r="F949" s="133" t="s">
        <v>24</v>
      </c>
      <c r="G949" s="134" t="n">
        <f aca="false">LEN('Saisie programme'!$E$21)+SUMIFS('Vols additionnels'!$E$7:$E$66,'Vols additionnels'!$C$7:$C$66,$E949,'Vols additionnels'!$D$7:$D$66,$F949,'Vols additionnels'!$B$7:$B$66,$D949)</f>
        <v>0</v>
      </c>
      <c r="H949" s="135" t="n">
        <f aca="false">$G949*'Analyse capacite'!$F$9</f>
        <v>0</v>
      </c>
      <c r="I949" s="135" t="n">
        <f aca="false">$G949*'Analyse capacite'!$C$9</f>
        <v>0</v>
      </c>
      <c r="J949" s="135" t="n">
        <f aca="false">$G949*'Analyse capacite'!$D$9</f>
        <v>0</v>
      </c>
      <c r="K949" s="135" t="n">
        <f aca="false">$G949*'Analyse capacite'!$E$9</f>
        <v>0</v>
      </c>
    </row>
    <row r="950" customFormat="false" ht="15" hidden="false" customHeight="false" outlineLevel="0" collapsed="false">
      <c r="B950" s="130" t="n">
        <v>2027</v>
      </c>
      <c r="C950" s="131" t="s">
        <v>246</v>
      </c>
      <c r="D950" s="132" t="n">
        <v>46504</v>
      </c>
      <c r="E950" s="131" t="s">
        <v>36</v>
      </c>
      <c r="F950" s="133" t="s">
        <v>11</v>
      </c>
      <c r="G950" s="134" t="n">
        <f aca="false">LEN('Saisie programme'!$E$22)+SUMIFS('Vols additionnels'!$E$7:$E$66,'Vols additionnels'!$C$7:$C$66,$E950,'Vols additionnels'!$D$7:$D$66,$F950,'Vols additionnels'!$B$7:$B$66,$D950)</f>
        <v>0</v>
      </c>
      <c r="H950" s="135" t="n">
        <f aca="false">$G950*'Analyse capacite'!$F$7</f>
        <v>0</v>
      </c>
      <c r="I950" s="135" t="n">
        <f aca="false">$G950*'Analyse capacite'!$C$7</f>
        <v>0</v>
      </c>
      <c r="J950" s="135" t="n">
        <f aca="false">$G950*'Analyse capacite'!$D$7</f>
        <v>0</v>
      </c>
      <c r="K950" s="135" t="n">
        <f aca="false">$G950*'Analyse capacite'!$E$7</f>
        <v>0</v>
      </c>
    </row>
    <row r="951" customFormat="false" ht="15" hidden="false" customHeight="false" outlineLevel="0" collapsed="false">
      <c r="B951" s="130" t="n">
        <v>2027</v>
      </c>
      <c r="C951" s="131" t="s">
        <v>246</v>
      </c>
      <c r="D951" s="132" t="n">
        <v>46504</v>
      </c>
      <c r="E951" s="131" t="s">
        <v>36</v>
      </c>
      <c r="F951" s="133" t="s">
        <v>19</v>
      </c>
      <c r="G951" s="134" t="n">
        <f aca="false">LEN('Saisie programme'!$E$23)+SUMIFS('Vols additionnels'!$E$7:$E$66,'Vols additionnels'!$C$7:$C$66,$E951,'Vols additionnels'!$D$7:$D$66,$F951,'Vols additionnels'!$B$7:$B$66,$D951)</f>
        <v>0</v>
      </c>
      <c r="H951" s="135" t="n">
        <f aca="false">$G951*'Analyse capacite'!$F$8</f>
        <v>0</v>
      </c>
      <c r="I951" s="135" t="n">
        <f aca="false">$G951*'Analyse capacite'!$C$8</f>
        <v>0</v>
      </c>
      <c r="J951" s="135" t="n">
        <f aca="false">$G951*'Analyse capacite'!$D$8</f>
        <v>0</v>
      </c>
      <c r="K951" s="135" t="n">
        <f aca="false">$G951*'Analyse capacite'!$E$8</f>
        <v>0</v>
      </c>
    </row>
    <row r="952" customFormat="false" ht="15" hidden="false" customHeight="false" outlineLevel="0" collapsed="false">
      <c r="B952" s="130" t="n">
        <v>2027</v>
      </c>
      <c r="C952" s="131" t="s">
        <v>246</v>
      </c>
      <c r="D952" s="132" t="n">
        <v>46504</v>
      </c>
      <c r="E952" s="131" t="s">
        <v>36</v>
      </c>
      <c r="F952" s="133" t="s">
        <v>24</v>
      </c>
      <c r="G952" s="134" t="n">
        <f aca="false">LEN('Saisie programme'!$E$24)+SUMIFS('Vols additionnels'!$E$7:$E$66,'Vols additionnels'!$C$7:$C$66,$E952,'Vols additionnels'!$D$7:$D$66,$F952,'Vols additionnels'!$B$7:$B$66,$D952)</f>
        <v>1</v>
      </c>
      <c r="H952" s="135" t="n">
        <f aca="false">$G952*'Analyse capacite'!$F$9</f>
        <v>174</v>
      </c>
      <c r="I952" s="135" t="n">
        <f aca="false">$G952*'Analyse capacite'!$C$9</f>
        <v>0</v>
      </c>
      <c r="J952" s="135" t="n">
        <f aca="false">$G952*'Analyse capacite'!$D$9</f>
        <v>12</v>
      </c>
      <c r="K952" s="135" t="n">
        <f aca="false">$G952*'Analyse capacite'!$E$9</f>
        <v>162</v>
      </c>
    </row>
    <row r="953" customFormat="false" ht="15" hidden="false" customHeight="false" outlineLevel="0" collapsed="false">
      <c r="B953" s="130" t="n">
        <v>2027</v>
      </c>
      <c r="C953" s="131" t="s">
        <v>246</v>
      </c>
      <c r="D953" s="132" t="n">
        <v>46504</v>
      </c>
      <c r="E953" s="131" t="s">
        <v>40</v>
      </c>
      <c r="F953" s="133" t="s">
        <v>11</v>
      </c>
      <c r="G953" s="134" t="n">
        <f aca="false">LEN('Saisie programme'!$E$25)+SUMIFS('Vols additionnels'!$E$7:$E$66,'Vols additionnels'!$C$7:$C$66,$E953,'Vols additionnels'!$D$7:$D$66,$F953,'Vols additionnels'!$B$7:$B$66,$D953)</f>
        <v>0</v>
      </c>
      <c r="H953" s="135" t="n">
        <f aca="false">$G953*'Analyse capacite'!$F$7</f>
        <v>0</v>
      </c>
      <c r="I953" s="135" t="n">
        <f aca="false">$G953*'Analyse capacite'!$C$7</f>
        <v>0</v>
      </c>
      <c r="J953" s="135" t="n">
        <f aca="false">$G953*'Analyse capacite'!$D$7</f>
        <v>0</v>
      </c>
      <c r="K953" s="135" t="n">
        <f aca="false">$G953*'Analyse capacite'!$E$7</f>
        <v>0</v>
      </c>
    </row>
    <row r="954" customFormat="false" ht="15" hidden="false" customHeight="false" outlineLevel="0" collapsed="false">
      <c r="B954" s="130" t="n">
        <v>2027</v>
      </c>
      <c r="C954" s="131" t="s">
        <v>246</v>
      </c>
      <c r="D954" s="132" t="n">
        <v>46504</v>
      </c>
      <c r="E954" s="131" t="s">
        <v>40</v>
      </c>
      <c r="F954" s="133" t="s">
        <v>19</v>
      </c>
      <c r="G954" s="134" t="n">
        <f aca="false">LEN('Saisie programme'!$E$26)+SUMIFS('Vols additionnels'!$E$7:$E$66,'Vols additionnels'!$C$7:$C$66,$E954,'Vols additionnels'!$D$7:$D$66,$F954,'Vols additionnels'!$B$7:$B$66,$D954)</f>
        <v>0</v>
      </c>
      <c r="H954" s="135" t="n">
        <f aca="false">$G954*'Analyse capacite'!$F$8</f>
        <v>0</v>
      </c>
      <c r="I954" s="135" t="n">
        <f aca="false">$G954*'Analyse capacite'!$C$8</f>
        <v>0</v>
      </c>
      <c r="J954" s="135" t="n">
        <f aca="false">$G954*'Analyse capacite'!$D$8</f>
        <v>0</v>
      </c>
      <c r="K954" s="135" t="n">
        <f aca="false">$G954*'Analyse capacite'!$E$8</f>
        <v>0</v>
      </c>
    </row>
    <row r="955" customFormat="false" ht="15" hidden="false" customHeight="false" outlineLevel="0" collapsed="false">
      <c r="B955" s="130" t="n">
        <v>2027</v>
      </c>
      <c r="C955" s="131" t="s">
        <v>246</v>
      </c>
      <c r="D955" s="132" t="n">
        <v>46504</v>
      </c>
      <c r="E955" s="131" t="s">
        <v>40</v>
      </c>
      <c r="F955" s="133" t="s">
        <v>24</v>
      </c>
      <c r="G955" s="134" t="n">
        <f aca="false">LEN('Saisie programme'!$E$27)+SUMIFS('Vols additionnels'!$E$7:$E$66,'Vols additionnels'!$C$7:$C$66,$E955,'Vols additionnels'!$D$7:$D$66,$F955,'Vols additionnels'!$B$7:$B$66,$D955)</f>
        <v>0</v>
      </c>
      <c r="H955" s="135" t="n">
        <f aca="false">$G955*'Analyse capacite'!$F$9</f>
        <v>0</v>
      </c>
      <c r="I955" s="135" t="n">
        <f aca="false">$G955*'Analyse capacite'!$C$9</f>
        <v>0</v>
      </c>
      <c r="J955" s="135" t="n">
        <f aca="false">$G955*'Analyse capacite'!$D$9</f>
        <v>0</v>
      </c>
      <c r="K955" s="135" t="n">
        <f aca="false">$G955*'Analyse capacite'!$E$9</f>
        <v>0</v>
      </c>
    </row>
    <row r="956" customFormat="false" ht="15" hidden="false" customHeight="false" outlineLevel="0" collapsed="false">
      <c r="B956" s="130" t="n">
        <v>2027</v>
      </c>
      <c r="C956" s="131" t="s">
        <v>246</v>
      </c>
      <c r="D956" s="132" t="n">
        <v>46504</v>
      </c>
      <c r="E956" s="131" t="s">
        <v>14</v>
      </c>
      <c r="F956" s="133" t="s">
        <v>11</v>
      </c>
      <c r="G956" s="134" t="n">
        <f aca="false">LEN('Saisie programme'!$E$28)+SUMIFS('Vols additionnels'!$E$7:$E$66,'Vols additionnels'!$C$7:$C$66,$E956,'Vols additionnels'!$D$7:$D$66,$F956,'Vols additionnels'!$B$7:$B$66,$D956)</f>
        <v>0</v>
      </c>
      <c r="H956" s="135" t="n">
        <f aca="false">$G956*'Analyse capacite'!$F$7</f>
        <v>0</v>
      </c>
      <c r="I956" s="135" t="n">
        <f aca="false">$G956*'Analyse capacite'!$C$7</f>
        <v>0</v>
      </c>
      <c r="J956" s="135" t="n">
        <f aca="false">$G956*'Analyse capacite'!$D$7</f>
        <v>0</v>
      </c>
      <c r="K956" s="135" t="n">
        <f aca="false">$G956*'Analyse capacite'!$E$7</f>
        <v>0</v>
      </c>
    </row>
    <row r="957" customFormat="false" ht="15" hidden="false" customHeight="false" outlineLevel="0" collapsed="false">
      <c r="B957" s="130" t="n">
        <v>2027</v>
      </c>
      <c r="C957" s="131" t="s">
        <v>246</v>
      </c>
      <c r="D957" s="132" t="n">
        <v>46504</v>
      </c>
      <c r="E957" s="131" t="s">
        <v>14</v>
      </c>
      <c r="F957" s="133" t="s">
        <v>19</v>
      </c>
      <c r="G957" s="134" t="n">
        <f aca="false">LEN('Saisie programme'!$E$29)+SUMIFS('Vols additionnels'!$E$7:$E$66,'Vols additionnels'!$C$7:$C$66,$E957,'Vols additionnels'!$D$7:$D$66,$F957,'Vols additionnels'!$B$7:$B$66,$D957)</f>
        <v>0</v>
      </c>
      <c r="H957" s="135" t="n">
        <f aca="false">$G957*'Analyse capacite'!$F$8</f>
        <v>0</v>
      </c>
      <c r="I957" s="135" t="n">
        <f aca="false">$G957*'Analyse capacite'!$C$8</f>
        <v>0</v>
      </c>
      <c r="J957" s="135" t="n">
        <f aca="false">$G957*'Analyse capacite'!$D$8</f>
        <v>0</v>
      </c>
      <c r="K957" s="135" t="n">
        <f aca="false">$G957*'Analyse capacite'!$E$8</f>
        <v>0</v>
      </c>
    </row>
    <row r="958" customFormat="false" ht="15" hidden="false" customHeight="false" outlineLevel="0" collapsed="false">
      <c r="B958" s="130" t="n">
        <v>2027</v>
      </c>
      <c r="C958" s="131" t="s">
        <v>246</v>
      </c>
      <c r="D958" s="132" t="n">
        <v>46504</v>
      </c>
      <c r="E958" s="131" t="s">
        <v>14</v>
      </c>
      <c r="F958" s="133" t="s">
        <v>24</v>
      </c>
      <c r="G958" s="134" t="n">
        <f aca="false">LEN('Saisie programme'!$E$30)+SUMIFS('Vols additionnels'!$E$7:$E$66,'Vols additionnels'!$C$7:$C$66,$E958,'Vols additionnels'!$D$7:$D$66,$F958,'Vols additionnels'!$B$7:$B$66,$D958)</f>
        <v>0</v>
      </c>
      <c r="H958" s="135" t="n">
        <f aca="false">$G958*'Analyse capacite'!$F$9</f>
        <v>0</v>
      </c>
      <c r="I958" s="135" t="n">
        <f aca="false">$G958*'Analyse capacite'!$C$9</f>
        <v>0</v>
      </c>
      <c r="J958" s="135" t="n">
        <f aca="false">$G958*'Analyse capacite'!$D$9</f>
        <v>0</v>
      </c>
      <c r="K958" s="135" t="n">
        <f aca="false">$G958*'Analyse capacite'!$E$9</f>
        <v>0</v>
      </c>
    </row>
    <row r="959" customFormat="false" ht="15" hidden="false" customHeight="false" outlineLevel="0" collapsed="false">
      <c r="B959" s="130" t="n">
        <v>2027</v>
      </c>
      <c r="C959" s="131" t="s">
        <v>246</v>
      </c>
      <c r="D959" s="132" t="n">
        <v>46504</v>
      </c>
      <c r="E959" s="131" t="s">
        <v>46</v>
      </c>
      <c r="F959" s="133" t="s">
        <v>11</v>
      </c>
      <c r="G959" s="134" t="n">
        <f aca="false">LEN('Saisie programme'!$E$31)+SUMIFS('Vols additionnels'!$E$7:$E$66,'Vols additionnels'!$C$7:$C$66,$E959,'Vols additionnels'!$D$7:$D$66,$F959,'Vols additionnels'!$B$7:$B$66,$D959)</f>
        <v>0</v>
      </c>
      <c r="H959" s="135" t="n">
        <f aca="false">$G959*'Analyse capacite'!$F$7</f>
        <v>0</v>
      </c>
      <c r="I959" s="135" t="n">
        <f aca="false">$G959*'Analyse capacite'!$C$7</f>
        <v>0</v>
      </c>
      <c r="J959" s="135" t="n">
        <f aca="false">$G959*'Analyse capacite'!$D$7</f>
        <v>0</v>
      </c>
      <c r="K959" s="135" t="n">
        <f aca="false">$G959*'Analyse capacite'!$E$7</f>
        <v>0</v>
      </c>
    </row>
    <row r="960" customFormat="false" ht="15" hidden="false" customHeight="false" outlineLevel="0" collapsed="false">
      <c r="B960" s="130" t="n">
        <v>2027</v>
      </c>
      <c r="C960" s="131" t="s">
        <v>246</v>
      </c>
      <c r="D960" s="132" t="n">
        <v>46504</v>
      </c>
      <c r="E960" s="131" t="s">
        <v>46</v>
      </c>
      <c r="F960" s="133" t="s">
        <v>19</v>
      </c>
      <c r="G960" s="134" t="n">
        <f aca="false">LEN('Saisie programme'!$E$32)+SUMIFS('Vols additionnels'!$E$7:$E$66,'Vols additionnels'!$C$7:$C$66,$E960,'Vols additionnels'!$D$7:$D$66,$F960,'Vols additionnels'!$B$7:$B$66,$D960)</f>
        <v>0</v>
      </c>
      <c r="H960" s="135" t="n">
        <f aca="false">$G960*'Analyse capacite'!$F$8</f>
        <v>0</v>
      </c>
      <c r="I960" s="135" t="n">
        <f aca="false">$G960*'Analyse capacite'!$C$8</f>
        <v>0</v>
      </c>
      <c r="J960" s="135" t="n">
        <f aca="false">$G960*'Analyse capacite'!$D$8</f>
        <v>0</v>
      </c>
      <c r="K960" s="135" t="n">
        <f aca="false">$G960*'Analyse capacite'!$E$8</f>
        <v>0</v>
      </c>
    </row>
    <row r="961" customFormat="false" ht="15" hidden="false" customHeight="false" outlineLevel="0" collapsed="false">
      <c r="B961" s="130" t="n">
        <v>2027</v>
      </c>
      <c r="C961" s="131" t="s">
        <v>246</v>
      </c>
      <c r="D961" s="132" t="n">
        <v>46504</v>
      </c>
      <c r="E961" s="131" t="s">
        <v>46</v>
      </c>
      <c r="F961" s="133" t="s">
        <v>24</v>
      </c>
      <c r="G961" s="134" t="n">
        <f aca="false">LEN('Saisie programme'!$E$33)+SUMIFS('Vols additionnels'!$E$7:$E$66,'Vols additionnels'!$C$7:$C$66,$E961,'Vols additionnels'!$D$7:$D$66,$F961,'Vols additionnels'!$B$7:$B$66,$D961)</f>
        <v>1</v>
      </c>
      <c r="H961" s="135" t="n">
        <f aca="false">$G961*'Analyse capacite'!$F$9</f>
        <v>174</v>
      </c>
      <c r="I961" s="135" t="n">
        <f aca="false">$G961*'Analyse capacite'!$C$9</f>
        <v>0</v>
      </c>
      <c r="J961" s="135" t="n">
        <f aca="false">$G961*'Analyse capacite'!$D$9</f>
        <v>12</v>
      </c>
      <c r="K961" s="135" t="n">
        <f aca="false">$G961*'Analyse capacite'!$E$9</f>
        <v>162</v>
      </c>
    </row>
    <row r="962" customFormat="false" ht="15" hidden="false" customHeight="false" outlineLevel="0" collapsed="false">
      <c r="B962" s="130" t="n">
        <v>2027</v>
      </c>
      <c r="C962" s="131" t="s">
        <v>246</v>
      </c>
      <c r="D962" s="132" t="n">
        <v>46504</v>
      </c>
      <c r="E962" s="131" t="s">
        <v>49</v>
      </c>
      <c r="F962" s="133" t="s">
        <v>11</v>
      </c>
      <c r="G962" s="134" t="n">
        <f aca="false">LEN('Saisie programme'!$E$34)+SUMIFS('Vols additionnels'!$E$7:$E$66,'Vols additionnels'!$C$7:$C$66,$E962,'Vols additionnels'!$D$7:$D$66,$F962,'Vols additionnels'!$B$7:$B$66,$D962)</f>
        <v>0</v>
      </c>
      <c r="H962" s="135" t="n">
        <f aca="false">$G962*'Analyse capacite'!$F$7</f>
        <v>0</v>
      </c>
      <c r="I962" s="135" t="n">
        <f aca="false">$G962*'Analyse capacite'!$C$7</f>
        <v>0</v>
      </c>
      <c r="J962" s="135" t="n">
        <f aca="false">$G962*'Analyse capacite'!$D$7</f>
        <v>0</v>
      </c>
      <c r="K962" s="135" t="n">
        <f aca="false">$G962*'Analyse capacite'!$E$7</f>
        <v>0</v>
      </c>
    </row>
    <row r="963" customFormat="false" ht="15" hidden="false" customHeight="false" outlineLevel="0" collapsed="false">
      <c r="B963" s="130" t="n">
        <v>2027</v>
      </c>
      <c r="C963" s="131" t="s">
        <v>246</v>
      </c>
      <c r="D963" s="132" t="n">
        <v>46504</v>
      </c>
      <c r="E963" s="131" t="s">
        <v>49</v>
      </c>
      <c r="F963" s="133" t="s">
        <v>19</v>
      </c>
      <c r="G963" s="134" t="n">
        <f aca="false">LEN('Saisie programme'!$E$35)+SUMIFS('Vols additionnels'!$E$7:$E$66,'Vols additionnels'!$C$7:$C$66,$E963,'Vols additionnels'!$D$7:$D$66,$F963,'Vols additionnels'!$B$7:$B$66,$D963)</f>
        <v>0</v>
      </c>
      <c r="H963" s="135" t="n">
        <f aca="false">$G963*'Analyse capacite'!$F$8</f>
        <v>0</v>
      </c>
      <c r="I963" s="135" t="n">
        <f aca="false">$G963*'Analyse capacite'!$C$8</f>
        <v>0</v>
      </c>
      <c r="J963" s="135" t="n">
        <f aca="false">$G963*'Analyse capacite'!$D$8</f>
        <v>0</v>
      </c>
      <c r="K963" s="135" t="n">
        <f aca="false">$G963*'Analyse capacite'!$E$8</f>
        <v>0</v>
      </c>
    </row>
    <row r="964" customFormat="false" ht="15" hidden="false" customHeight="false" outlineLevel="0" collapsed="false">
      <c r="B964" s="130" t="n">
        <v>2027</v>
      </c>
      <c r="C964" s="131" t="s">
        <v>246</v>
      </c>
      <c r="D964" s="132" t="n">
        <v>46504</v>
      </c>
      <c r="E964" s="131" t="s">
        <v>49</v>
      </c>
      <c r="F964" s="133" t="s">
        <v>24</v>
      </c>
      <c r="G964" s="134" t="n">
        <f aca="false">LEN('Saisie programme'!$E$36)+SUMIFS('Vols additionnels'!$E$7:$E$66,'Vols additionnels'!$C$7:$C$66,$E964,'Vols additionnels'!$D$7:$D$66,$F964,'Vols additionnels'!$B$7:$B$66,$D964)</f>
        <v>0</v>
      </c>
      <c r="H964" s="135" t="n">
        <f aca="false">$G964*'Analyse capacite'!$F$9</f>
        <v>0</v>
      </c>
      <c r="I964" s="135" t="n">
        <f aca="false">$G964*'Analyse capacite'!$C$9</f>
        <v>0</v>
      </c>
      <c r="J964" s="135" t="n">
        <f aca="false">$G964*'Analyse capacite'!$D$9</f>
        <v>0</v>
      </c>
      <c r="K964" s="135" t="n">
        <f aca="false">$G964*'Analyse capacite'!$E$9</f>
        <v>0</v>
      </c>
    </row>
    <row r="965" customFormat="false" ht="15" hidden="false" customHeight="false" outlineLevel="0" collapsed="false">
      <c r="B965" s="130" t="n">
        <v>2027</v>
      </c>
      <c r="C965" s="131" t="s">
        <v>246</v>
      </c>
      <c r="D965" s="132" t="n">
        <v>46504</v>
      </c>
      <c r="E965" s="131" t="s">
        <v>53</v>
      </c>
      <c r="F965" s="133" t="s">
        <v>11</v>
      </c>
      <c r="G965" s="134" t="n">
        <f aca="false">LEN('Saisie programme'!$E$37)+SUMIFS('Vols additionnels'!$E$7:$E$66,'Vols additionnels'!$C$7:$C$66,$E965,'Vols additionnels'!$D$7:$D$66,$F965,'Vols additionnels'!$B$7:$B$66,$D965)</f>
        <v>0</v>
      </c>
      <c r="H965" s="135" t="n">
        <f aca="false">$G965*'Analyse capacite'!$F$7</f>
        <v>0</v>
      </c>
      <c r="I965" s="135" t="n">
        <f aca="false">$G965*'Analyse capacite'!$C$7</f>
        <v>0</v>
      </c>
      <c r="J965" s="135" t="n">
        <f aca="false">$G965*'Analyse capacite'!$D$7</f>
        <v>0</v>
      </c>
      <c r="K965" s="135" t="n">
        <f aca="false">$G965*'Analyse capacite'!$E$7</f>
        <v>0</v>
      </c>
    </row>
    <row r="966" customFormat="false" ht="15" hidden="false" customHeight="false" outlineLevel="0" collapsed="false">
      <c r="B966" s="130" t="n">
        <v>2027</v>
      </c>
      <c r="C966" s="131" t="s">
        <v>246</v>
      </c>
      <c r="D966" s="132" t="n">
        <v>46504</v>
      </c>
      <c r="E966" s="131" t="s">
        <v>53</v>
      </c>
      <c r="F966" s="133" t="s">
        <v>19</v>
      </c>
      <c r="G966" s="134" t="n">
        <f aca="false">LEN('Saisie programme'!$E$38)+SUMIFS('Vols additionnels'!$E$7:$E$66,'Vols additionnels'!$C$7:$C$66,$E966,'Vols additionnels'!$D$7:$D$66,$F966,'Vols additionnels'!$B$7:$B$66,$D966)</f>
        <v>0</v>
      </c>
      <c r="H966" s="135" t="n">
        <f aca="false">$G966*'Analyse capacite'!$F$8</f>
        <v>0</v>
      </c>
      <c r="I966" s="135" t="n">
        <f aca="false">$G966*'Analyse capacite'!$C$8</f>
        <v>0</v>
      </c>
      <c r="J966" s="135" t="n">
        <f aca="false">$G966*'Analyse capacite'!$D$8</f>
        <v>0</v>
      </c>
      <c r="K966" s="135" t="n">
        <f aca="false">$G966*'Analyse capacite'!$E$8</f>
        <v>0</v>
      </c>
    </row>
    <row r="967" customFormat="false" ht="15" hidden="false" customHeight="false" outlineLevel="0" collapsed="false">
      <c r="B967" s="130" t="n">
        <v>2027</v>
      </c>
      <c r="C967" s="131" t="s">
        <v>246</v>
      </c>
      <c r="D967" s="132" t="n">
        <v>46504</v>
      </c>
      <c r="E967" s="131" t="s">
        <v>53</v>
      </c>
      <c r="F967" s="133" t="s">
        <v>24</v>
      </c>
      <c r="G967" s="134" t="n">
        <f aca="false">LEN('Saisie programme'!$E$39)+SUMIFS('Vols additionnels'!$E$7:$E$66,'Vols additionnels'!$C$7:$C$66,$E967,'Vols additionnels'!$D$7:$D$66,$F967,'Vols additionnels'!$B$7:$B$66,$D967)</f>
        <v>0</v>
      </c>
      <c r="H967" s="135" t="n">
        <f aca="false">$G967*'Analyse capacite'!$F$9</f>
        <v>0</v>
      </c>
      <c r="I967" s="135" t="n">
        <f aca="false">$G967*'Analyse capacite'!$C$9</f>
        <v>0</v>
      </c>
      <c r="J967" s="135" t="n">
        <f aca="false">$G967*'Analyse capacite'!$D$9</f>
        <v>0</v>
      </c>
      <c r="K967" s="135" t="n">
        <f aca="false">$G967*'Analyse capacite'!$E$9</f>
        <v>0</v>
      </c>
    </row>
    <row r="968" customFormat="false" ht="15" hidden="false" customHeight="false" outlineLevel="0" collapsed="false">
      <c r="B968" s="130" t="n">
        <v>2027</v>
      </c>
      <c r="C968" s="131" t="s">
        <v>246</v>
      </c>
      <c r="D968" s="132" t="n">
        <v>46504</v>
      </c>
      <c r="E968" s="131" t="s">
        <v>56</v>
      </c>
      <c r="F968" s="133" t="s">
        <v>11</v>
      </c>
      <c r="G968" s="134" t="n">
        <f aca="false">LEN('Saisie programme'!$E$40)+SUMIFS('Vols additionnels'!$E$7:$E$66,'Vols additionnels'!$C$7:$C$66,$E968,'Vols additionnels'!$D$7:$D$66,$F968,'Vols additionnels'!$B$7:$B$66,$D968)</f>
        <v>0</v>
      </c>
      <c r="H968" s="135" t="n">
        <f aca="false">$G968*'Analyse capacite'!$F$7</f>
        <v>0</v>
      </c>
      <c r="I968" s="135" t="n">
        <f aca="false">$G968*'Analyse capacite'!$C$7</f>
        <v>0</v>
      </c>
      <c r="J968" s="135" t="n">
        <f aca="false">$G968*'Analyse capacite'!$D$7</f>
        <v>0</v>
      </c>
      <c r="K968" s="135" t="n">
        <f aca="false">$G968*'Analyse capacite'!$E$7</f>
        <v>0</v>
      </c>
    </row>
    <row r="969" customFormat="false" ht="15" hidden="false" customHeight="false" outlineLevel="0" collapsed="false">
      <c r="B969" s="130" t="n">
        <v>2027</v>
      </c>
      <c r="C969" s="131" t="s">
        <v>246</v>
      </c>
      <c r="D969" s="132" t="n">
        <v>46504</v>
      </c>
      <c r="E969" s="131" t="s">
        <v>56</v>
      </c>
      <c r="F969" s="133" t="s">
        <v>19</v>
      </c>
      <c r="G969" s="134" t="n">
        <f aca="false">LEN('Saisie programme'!$E$41)+SUMIFS('Vols additionnels'!$E$7:$E$66,'Vols additionnels'!$C$7:$C$66,$E969,'Vols additionnels'!$D$7:$D$66,$F969,'Vols additionnels'!$B$7:$B$66,$D969)</f>
        <v>0</v>
      </c>
      <c r="H969" s="135" t="n">
        <f aca="false">$G969*'Analyse capacite'!$F$8</f>
        <v>0</v>
      </c>
      <c r="I969" s="135" t="n">
        <f aca="false">$G969*'Analyse capacite'!$C$8</f>
        <v>0</v>
      </c>
      <c r="J969" s="135" t="n">
        <f aca="false">$G969*'Analyse capacite'!$D$8</f>
        <v>0</v>
      </c>
      <c r="K969" s="135" t="n">
        <f aca="false">$G969*'Analyse capacite'!$E$8</f>
        <v>0</v>
      </c>
    </row>
    <row r="970" customFormat="false" ht="15" hidden="false" customHeight="false" outlineLevel="0" collapsed="false">
      <c r="B970" s="130" t="n">
        <v>2027</v>
      </c>
      <c r="C970" s="131" t="s">
        <v>246</v>
      </c>
      <c r="D970" s="132" t="n">
        <v>46504</v>
      </c>
      <c r="E970" s="131" t="s">
        <v>56</v>
      </c>
      <c r="F970" s="133" t="s">
        <v>24</v>
      </c>
      <c r="G970" s="134" t="n">
        <f aca="false">LEN('Saisie programme'!$E$42)+SUMIFS('Vols additionnels'!$E$7:$E$66,'Vols additionnels'!$C$7:$C$66,$E970,'Vols additionnels'!$D$7:$D$66,$F970,'Vols additionnels'!$B$7:$B$66,$D970)</f>
        <v>1</v>
      </c>
      <c r="H970" s="135" t="n">
        <f aca="false">$G970*'Analyse capacite'!$F$9</f>
        <v>174</v>
      </c>
      <c r="I970" s="135" t="n">
        <f aca="false">$G970*'Analyse capacite'!$C$9</f>
        <v>0</v>
      </c>
      <c r="J970" s="135" t="n">
        <f aca="false">$G970*'Analyse capacite'!$D$9</f>
        <v>12</v>
      </c>
      <c r="K970" s="135" t="n">
        <f aca="false">$G970*'Analyse capacite'!$E$9</f>
        <v>162</v>
      </c>
    </row>
    <row r="971" customFormat="false" ht="15" hidden="false" customHeight="false" outlineLevel="0" collapsed="false">
      <c r="B971" s="130" t="n">
        <v>2027</v>
      </c>
      <c r="C971" s="131" t="s">
        <v>246</v>
      </c>
      <c r="D971" s="132" t="n">
        <v>46504</v>
      </c>
      <c r="E971" s="131" t="s">
        <v>59</v>
      </c>
      <c r="F971" s="133" t="s">
        <v>11</v>
      </c>
      <c r="G971" s="134" t="n">
        <f aca="false">LEN('Saisie programme'!$E$43)+SUMIFS('Vols additionnels'!$E$7:$E$66,'Vols additionnels'!$C$7:$C$66,$E971,'Vols additionnels'!$D$7:$D$66,$F971,'Vols additionnels'!$B$7:$B$66,$D971)</f>
        <v>0</v>
      </c>
      <c r="H971" s="135" t="n">
        <f aca="false">$G971*'Analyse capacite'!$F$7</f>
        <v>0</v>
      </c>
      <c r="I971" s="135" t="n">
        <f aca="false">$G971*'Analyse capacite'!$C$7</f>
        <v>0</v>
      </c>
      <c r="J971" s="135" t="n">
        <f aca="false">$G971*'Analyse capacite'!$D$7</f>
        <v>0</v>
      </c>
      <c r="K971" s="135" t="n">
        <f aca="false">$G971*'Analyse capacite'!$E$7</f>
        <v>0</v>
      </c>
    </row>
    <row r="972" customFormat="false" ht="15" hidden="false" customHeight="false" outlineLevel="0" collapsed="false">
      <c r="B972" s="130" t="n">
        <v>2027</v>
      </c>
      <c r="C972" s="131" t="s">
        <v>246</v>
      </c>
      <c r="D972" s="132" t="n">
        <v>46504</v>
      </c>
      <c r="E972" s="131" t="s">
        <v>59</v>
      </c>
      <c r="F972" s="133" t="s">
        <v>19</v>
      </c>
      <c r="G972" s="134" t="n">
        <f aca="false">LEN('Saisie programme'!$E$44)+SUMIFS('Vols additionnels'!$E$7:$E$66,'Vols additionnels'!$C$7:$C$66,$E972,'Vols additionnels'!$D$7:$D$66,$F972,'Vols additionnels'!$B$7:$B$66,$D972)</f>
        <v>0</v>
      </c>
      <c r="H972" s="135" t="n">
        <f aca="false">$G972*'Analyse capacite'!$F$8</f>
        <v>0</v>
      </c>
      <c r="I972" s="135" t="n">
        <f aca="false">$G972*'Analyse capacite'!$C$8</f>
        <v>0</v>
      </c>
      <c r="J972" s="135" t="n">
        <f aca="false">$G972*'Analyse capacite'!$D$8</f>
        <v>0</v>
      </c>
      <c r="K972" s="135" t="n">
        <f aca="false">$G972*'Analyse capacite'!$E$8</f>
        <v>0</v>
      </c>
    </row>
    <row r="973" customFormat="false" ht="15" hidden="false" customHeight="false" outlineLevel="0" collapsed="false">
      <c r="B973" s="130" t="n">
        <v>2027</v>
      </c>
      <c r="C973" s="131" t="s">
        <v>246</v>
      </c>
      <c r="D973" s="132" t="n">
        <v>46504</v>
      </c>
      <c r="E973" s="131" t="s">
        <v>59</v>
      </c>
      <c r="F973" s="133" t="s">
        <v>24</v>
      </c>
      <c r="G973" s="134" t="n">
        <f aca="false">LEN('Saisie programme'!$E$45)+SUMIFS('Vols additionnels'!$E$7:$E$66,'Vols additionnels'!$C$7:$C$66,$E973,'Vols additionnels'!$D$7:$D$66,$F973,'Vols additionnels'!$B$7:$B$66,$D973)</f>
        <v>1</v>
      </c>
      <c r="H973" s="135" t="n">
        <f aca="false">$G973*'Analyse capacite'!$F$9</f>
        <v>174</v>
      </c>
      <c r="I973" s="135" t="n">
        <f aca="false">$G973*'Analyse capacite'!$C$9</f>
        <v>0</v>
      </c>
      <c r="J973" s="135" t="n">
        <f aca="false">$G973*'Analyse capacite'!$D$9</f>
        <v>12</v>
      </c>
      <c r="K973" s="135" t="n">
        <f aca="false">$G973*'Analyse capacite'!$E$9</f>
        <v>162</v>
      </c>
    </row>
    <row r="974" customFormat="false" ht="15" hidden="false" customHeight="false" outlineLevel="0" collapsed="false">
      <c r="B974" s="130" t="n">
        <v>2027</v>
      </c>
      <c r="C974" s="131" t="s">
        <v>246</v>
      </c>
      <c r="D974" s="132" t="n">
        <v>46504</v>
      </c>
      <c r="E974" s="131" t="s">
        <v>62</v>
      </c>
      <c r="F974" s="133" t="s">
        <v>11</v>
      </c>
      <c r="G974" s="134" t="n">
        <f aca="false">LEN('Saisie programme'!$E$46)+SUMIFS('Vols additionnels'!$E$7:$E$66,'Vols additionnels'!$C$7:$C$66,$E974,'Vols additionnels'!$D$7:$D$66,$F974,'Vols additionnels'!$B$7:$B$66,$D974)</f>
        <v>0</v>
      </c>
      <c r="H974" s="135" t="n">
        <f aca="false">$G974*'Analyse capacite'!$F$7</f>
        <v>0</v>
      </c>
      <c r="I974" s="135" t="n">
        <f aca="false">$G974*'Analyse capacite'!$C$7</f>
        <v>0</v>
      </c>
      <c r="J974" s="135" t="n">
        <f aca="false">$G974*'Analyse capacite'!$D$7</f>
        <v>0</v>
      </c>
      <c r="K974" s="135" t="n">
        <f aca="false">$G974*'Analyse capacite'!$E$7</f>
        <v>0</v>
      </c>
    </row>
    <row r="975" customFormat="false" ht="15" hidden="false" customHeight="false" outlineLevel="0" collapsed="false">
      <c r="B975" s="130" t="n">
        <v>2027</v>
      </c>
      <c r="C975" s="131" t="s">
        <v>246</v>
      </c>
      <c r="D975" s="132" t="n">
        <v>46504</v>
      </c>
      <c r="E975" s="131" t="s">
        <v>62</v>
      </c>
      <c r="F975" s="133" t="s">
        <v>19</v>
      </c>
      <c r="G975" s="134" t="n">
        <f aca="false">LEN('Saisie programme'!$E$47)+SUMIFS('Vols additionnels'!$E$7:$E$66,'Vols additionnels'!$C$7:$C$66,$E975,'Vols additionnels'!$D$7:$D$66,$F975,'Vols additionnels'!$B$7:$B$66,$D975)</f>
        <v>0</v>
      </c>
      <c r="H975" s="135" t="n">
        <f aca="false">$G975*'Analyse capacite'!$F$8</f>
        <v>0</v>
      </c>
      <c r="I975" s="135" t="n">
        <f aca="false">$G975*'Analyse capacite'!$C$8</f>
        <v>0</v>
      </c>
      <c r="J975" s="135" t="n">
        <f aca="false">$G975*'Analyse capacite'!$D$8</f>
        <v>0</v>
      </c>
      <c r="K975" s="135" t="n">
        <f aca="false">$G975*'Analyse capacite'!$E$8</f>
        <v>0</v>
      </c>
    </row>
    <row r="976" customFormat="false" ht="15" hidden="false" customHeight="false" outlineLevel="0" collapsed="false">
      <c r="B976" s="130" t="n">
        <v>2027</v>
      </c>
      <c r="C976" s="131" t="s">
        <v>246</v>
      </c>
      <c r="D976" s="132" t="n">
        <v>46504</v>
      </c>
      <c r="E976" s="131" t="s">
        <v>62</v>
      </c>
      <c r="F976" s="133" t="s">
        <v>24</v>
      </c>
      <c r="G976" s="134" t="n">
        <f aca="false">LEN('Saisie programme'!$E$48)+SUMIFS('Vols additionnels'!$E$7:$E$66,'Vols additionnels'!$C$7:$C$66,$E976,'Vols additionnels'!$D$7:$D$66,$F976,'Vols additionnels'!$B$7:$B$66,$D976)</f>
        <v>0</v>
      </c>
      <c r="H976" s="135" t="n">
        <f aca="false">$G976*'Analyse capacite'!$F$9</f>
        <v>0</v>
      </c>
      <c r="I976" s="135" t="n">
        <f aca="false">$G976*'Analyse capacite'!$C$9</f>
        <v>0</v>
      </c>
      <c r="J976" s="135" t="n">
        <f aca="false">$G976*'Analyse capacite'!$D$9</f>
        <v>0</v>
      </c>
      <c r="K976" s="135" t="n">
        <f aca="false">$G976*'Analyse capacite'!$E$9</f>
        <v>0</v>
      </c>
    </row>
    <row r="977" customFormat="false" ht="15" hidden="false" customHeight="false" outlineLevel="0" collapsed="false">
      <c r="B977" s="130" t="n">
        <v>2027</v>
      </c>
      <c r="C977" s="131" t="s">
        <v>246</v>
      </c>
      <c r="D977" s="132" t="n">
        <v>46505</v>
      </c>
      <c r="E977" s="131" t="s">
        <v>12</v>
      </c>
      <c r="F977" s="133" t="s">
        <v>11</v>
      </c>
      <c r="G977" s="134" t="n">
        <f aca="false">LEN('Saisie programme'!$F$13)+SUMIFS('Vols additionnels'!$E$7:$E$66,'Vols additionnels'!$C$7:$C$66,$E977,'Vols additionnels'!$D$7:$D$66,$F977,'Vols additionnels'!$B$7:$B$66,$D977)</f>
        <v>1</v>
      </c>
      <c r="H977" s="135" t="n">
        <f aca="false">$G977*'Analyse capacite'!$F$7</f>
        <v>438</v>
      </c>
      <c r="I977" s="135" t="n">
        <f aca="false">$G977*'Analyse capacite'!$C$7</f>
        <v>14</v>
      </c>
      <c r="J977" s="135" t="n">
        <f aca="false">$G977*'Analyse capacite'!$D$7</f>
        <v>40</v>
      </c>
      <c r="K977" s="135" t="n">
        <f aca="false">$G977*'Analyse capacite'!$E$7</f>
        <v>384</v>
      </c>
    </row>
    <row r="978" customFormat="false" ht="15" hidden="false" customHeight="false" outlineLevel="0" collapsed="false">
      <c r="B978" s="130" t="n">
        <v>2027</v>
      </c>
      <c r="C978" s="131" t="s">
        <v>246</v>
      </c>
      <c r="D978" s="132" t="n">
        <v>46505</v>
      </c>
      <c r="E978" s="131" t="s">
        <v>12</v>
      </c>
      <c r="F978" s="133" t="s">
        <v>19</v>
      </c>
      <c r="G978" s="134" t="n">
        <f aca="false">LEN('Saisie programme'!$F$14)+SUMIFS('Vols additionnels'!$E$7:$E$66,'Vols additionnels'!$C$7:$C$66,$E978,'Vols additionnels'!$D$7:$D$66,$F978,'Vols additionnels'!$B$7:$B$66,$D978)</f>
        <v>0</v>
      </c>
      <c r="H978" s="135" t="n">
        <f aca="false">$G978*'Analyse capacite'!$F$8</f>
        <v>0</v>
      </c>
      <c r="I978" s="135" t="n">
        <f aca="false">$G978*'Analyse capacite'!$C$8</f>
        <v>0</v>
      </c>
      <c r="J978" s="135" t="n">
        <f aca="false">$G978*'Analyse capacite'!$D$8</f>
        <v>0</v>
      </c>
      <c r="K978" s="135" t="n">
        <f aca="false">$G978*'Analyse capacite'!$E$8</f>
        <v>0</v>
      </c>
    </row>
    <row r="979" customFormat="false" ht="15" hidden="false" customHeight="false" outlineLevel="0" collapsed="false">
      <c r="B979" s="130" t="n">
        <v>2027</v>
      </c>
      <c r="C979" s="131" t="s">
        <v>246</v>
      </c>
      <c r="D979" s="132" t="n">
        <v>46505</v>
      </c>
      <c r="E979" s="131" t="s">
        <v>12</v>
      </c>
      <c r="F979" s="133" t="s">
        <v>24</v>
      </c>
      <c r="G979" s="134" t="n">
        <f aca="false">LEN('Saisie programme'!$F$15)+SUMIFS('Vols additionnels'!$E$7:$E$66,'Vols additionnels'!$C$7:$C$66,$E979,'Vols additionnels'!$D$7:$D$66,$F979,'Vols additionnels'!$B$7:$B$66,$D979)</f>
        <v>0</v>
      </c>
      <c r="H979" s="135" t="n">
        <f aca="false">$G979*'Analyse capacite'!$F$9</f>
        <v>0</v>
      </c>
      <c r="I979" s="135" t="n">
        <f aca="false">$G979*'Analyse capacite'!$C$9</f>
        <v>0</v>
      </c>
      <c r="J979" s="135" t="n">
        <f aca="false">$G979*'Analyse capacite'!$D$9</f>
        <v>0</v>
      </c>
      <c r="K979" s="135" t="n">
        <f aca="false">$G979*'Analyse capacite'!$E$9</f>
        <v>0</v>
      </c>
    </row>
    <row r="980" customFormat="false" ht="15" hidden="false" customHeight="false" outlineLevel="0" collapsed="false">
      <c r="B980" s="130" t="n">
        <v>2027</v>
      </c>
      <c r="C980" s="131" t="s">
        <v>246</v>
      </c>
      <c r="D980" s="132" t="n">
        <v>46505</v>
      </c>
      <c r="E980" s="131" t="s">
        <v>20</v>
      </c>
      <c r="F980" s="133" t="s">
        <v>11</v>
      </c>
      <c r="G980" s="134" t="n">
        <f aca="false">LEN('Saisie programme'!$F$16)+SUMIFS('Vols additionnels'!$E$7:$E$66,'Vols additionnels'!$C$7:$C$66,$E980,'Vols additionnels'!$D$7:$D$66,$F980,'Vols additionnels'!$B$7:$B$66,$D980)</f>
        <v>0</v>
      </c>
      <c r="H980" s="135" t="n">
        <f aca="false">$G980*'Analyse capacite'!$F$7</f>
        <v>0</v>
      </c>
      <c r="I980" s="135" t="n">
        <f aca="false">$G980*'Analyse capacite'!$C$7</f>
        <v>0</v>
      </c>
      <c r="J980" s="135" t="n">
        <f aca="false">$G980*'Analyse capacite'!$D$7</f>
        <v>0</v>
      </c>
      <c r="K980" s="135" t="n">
        <f aca="false">$G980*'Analyse capacite'!$E$7</f>
        <v>0</v>
      </c>
    </row>
    <row r="981" customFormat="false" ht="15" hidden="false" customHeight="false" outlineLevel="0" collapsed="false">
      <c r="B981" s="130" t="n">
        <v>2027</v>
      </c>
      <c r="C981" s="131" t="s">
        <v>246</v>
      </c>
      <c r="D981" s="132" t="n">
        <v>46505</v>
      </c>
      <c r="E981" s="131" t="s">
        <v>20</v>
      </c>
      <c r="F981" s="133" t="s">
        <v>19</v>
      </c>
      <c r="G981" s="134" t="n">
        <f aca="false">LEN('Saisie programme'!$F$17)+SUMIFS('Vols additionnels'!$E$7:$E$66,'Vols additionnels'!$C$7:$C$66,$E981,'Vols additionnels'!$D$7:$D$66,$F981,'Vols additionnels'!$B$7:$B$66,$D981)</f>
        <v>0</v>
      </c>
      <c r="H981" s="135" t="n">
        <f aca="false">$G981*'Analyse capacite'!$F$8</f>
        <v>0</v>
      </c>
      <c r="I981" s="135" t="n">
        <f aca="false">$G981*'Analyse capacite'!$C$8</f>
        <v>0</v>
      </c>
      <c r="J981" s="135" t="n">
        <f aca="false">$G981*'Analyse capacite'!$D$8</f>
        <v>0</v>
      </c>
      <c r="K981" s="135" t="n">
        <f aca="false">$G981*'Analyse capacite'!$E$8</f>
        <v>0</v>
      </c>
    </row>
    <row r="982" customFormat="false" ht="15" hidden="false" customHeight="false" outlineLevel="0" collapsed="false">
      <c r="B982" s="130" t="n">
        <v>2027</v>
      </c>
      <c r="C982" s="131" t="s">
        <v>246</v>
      </c>
      <c r="D982" s="132" t="n">
        <v>46505</v>
      </c>
      <c r="E982" s="131" t="s">
        <v>20</v>
      </c>
      <c r="F982" s="133" t="s">
        <v>24</v>
      </c>
      <c r="G982" s="134" t="n">
        <f aca="false">LEN('Saisie programme'!$F$18)+SUMIFS('Vols additionnels'!$E$7:$E$66,'Vols additionnels'!$C$7:$C$66,$E982,'Vols additionnels'!$D$7:$D$66,$F982,'Vols additionnels'!$B$7:$B$66,$D982)</f>
        <v>0</v>
      </c>
      <c r="H982" s="135" t="n">
        <f aca="false">$G982*'Analyse capacite'!$F$9</f>
        <v>0</v>
      </c>
      <c r="I982" s="135" t="n">
        <f aca="false">$G982*'Analyse capacite'!$C$9</f>
        <v>0</v>
      </c>
      <c r="J982" s="135" t="n">
        <f aca="false">$G982*'Analyse capacite'!$D$9</f>
        <v>0</v>
      </c>
      <c r="K982" s="135" t="n">
        <f aca="false">$G982*'Analyse capacite'!$E$9</f>
        <v>0</v>
      </c>
    </row>
    <row r="983" customFormat="false" ht="15" hidden="false" customHeight="false" outlineLevel="0" collapsed="false">
      <c r="B983" s="130" t="n">
        <v>2027</v>
      </c>
      <c r="C983" s="131" t="s">
        <v>246</v>
      </c>
      <c r="D983" s="132" t="n">
        <v>46505</v>
      </c>
      <c r="E983" s="131" t="s">
        <v>25</v>
      </c>
      <c r="F983" s="133" t="s">
        <v>11</v>
      </c>
      <c r="G983" s="134" t="n">
        <f aca="false">LEN('Saisie programme'!$F$19)+SUMIFS('Vols additionnels'!$E$7:$E$66,'Vols additionnels'!$C$7:$C$66,$E983,'Vols additionnels'!$D$7:$D$66,$F983,'Vols additionnels'!$B$7:$B$66,$D983)</f>
        <v>0</v>
      </c>
      <c r="H983" s="135" t="n">
        <f aca="false">$G983*'Analyse capacite'!$F$7</f>
        <v>0</v>
      </c>
      <c r="I983" s="135" t="n">
        <f aca="false">$G983*'Analyse capacite'!$C$7</f>
        <v>0</v>
      </c>
      <c r="J983" s="135" t="n">
        <f aca="false">$G983*'Analyse capacite'!$D$7</f>
        <v>0</v>
      </c>
      <c r="K983" s="135" t="n">
        <f aca="false">$G983*'Analyse capacite'!$E$7</f>
        <v>0</v>
      </c>
    </row>
    <row r="984" customFormat="false" ht="15" hidden="false" customHeight="false" outlineLevel="0" collapsed="false">
      <c r="B984" s="130" t="n">
        <v>2027</v>
      </c>
      <c r="C984" s="131" t="s">
        <v>246</v>
      </c>
      <c r="D984" s="132" t="n">
        <v>46505</v>
      </c>
      <c r="E984" s="131" t="s">
        <v>25</v>
      </c>
      <c r="F984" s="133" t="s">
        <v>19</v>
      </c>
      <c r="G984" s="134" t="n">
        <f aca="false">LEN('Saisie programme'!$F$20)+SUMIFS('Vols additionnels'!$E$7:$E$66,'Vols additionnels'!$C$7:$C$66,$E984,'Vols additionnels'!$D$7:$D$66,$F984,'Vols additionnels'!$B$7:$B$66,$D984)</f>
        <v>1</v>
      </c>
      <c r="H984" s="135" t="n">
        <f aca="false">$G984*'Analyse capacite'!$F$8</f>
        <v>262</v>
      </c>
      <c r="I984" s="135" t="n">
        <f aca="false">$G984*'Analyse capacite'!$C$8</f>
        <v>18</v>
      </c>
      <c r="J984" s="135" t="n">
        <f aca="false">$G984*'Analyse capacite'!$D$8</f>
        <v>0</v>
      </c>
      <c r="K984" s="135" t="n">
        <f aca="false">$G984*'Analyse capacite'!$E$8</f>
        <v>244</v>
      </c>
    </row>
    <row r="985" customFormat="false" ht="15" hidden="false" customHeight="false" outlineLevel="0" collapsed="false">
      <c r="B985" s="130" t="n">
        <v>2027</v>
      </c>
      <c r="C985" s="131" t="s">
        <v>246</v>
      </c>
      <c r="D985" s="132" t="n">
        <v>46505</v>
      </c>
      <c r="E985" s="131" t="s">
        <v>25</v>
      </c>
      <c r="F985" s="133" t="s">
        <v>24</v>
      </c>
      <c r="G985" s="134" t="n">
        <f aca="false">LEN('Saisie programme'!$F$21)+SUMIFS('Vols additionnels'!$E$7:$E$66,'Vols additionnels'!$C$7:$C$66,$E985,'Vols additionnels'!$D$7:$D$66,$F985,'Vols additionnels'!$B$7:$B$66,$D985)</f>
        <v>0</v>
      </c>
      <c r="H985" s="135" t="n">
        <f aca="false">$G985*'Analyse capacite'!$F$9</f>
        <v>0</v>
      </c>
      <c r="I985" s="135" t="n">
        <f aca="false">$G985*'Analyse capacite'!$C$9</f>
        <v>0</v>
      </c>
      <c r="J985" s="135" t="n">
        <f aca="false">$G985*'Analyse capacite'!$D$9</f>
        <v>0</v>
      </c>
      <c r="K985" s="135" t="n">
        <f aca="false">$G985*'Analyse capacite'!$E$9</f>
        <v>0</v>
      </c>
    </row>
    <row r="986" customFormat="false" ht="15" hidden="false" customHeight="false" outlineLevel="0" collapsed="false">
      <c r="B986" s="130" t="n">
        <v>2027</v>
      </c>
      <c r="C986" s="131" t="s">
        <v>246</v>
      </c>
      <c r="D986" s="132" t="n">
        <v>46505</v>
      </c>
      <c r="E986" s="131" t="s">
        <v>36</v>
      </c>
      <c r="F986" s="133" t="s">
        <v>11</v>
      </c>
      <c r="G986" s="134" t="n">
        <f aca="false">LEN('Saisie programme'!$F$22)+SUMIFS('Vols additionnels'!$E$7:$E$66,'Vols additionnels'!$C$7:$C$66,$E986,'Vols additionnels'!$D$7:$D$66,$F986,'Vols additionnels'!$B$7:$B$66,$D986)</f>
        <v>0</v>
      </c>
      <c r="H986" s="135" t="n">
        <f aca="false">$G986*'Analyse capacite'!$F$7</f>
        <v>0</v>
      </c>
      <c r="I986" s="135" t="n">
        <f aca="false">$G986*'Analyse capacite'!$C$7</f>
        <v>0</v>
      </c>
      <c r="J986" s="135" t="n">
        <f aca="false">$G986*'Analyse capacite'!$D$7</f>
        <v>0</v>
      </c>
      <c r="K986" s="135" t="n">
        <f aca="false">$G986*'Analyse capacite'!$E$7</f>
        <v>0</v>
      </c>
    </row>
    <row r="987" customFormat="false" ht="15" hidden="false" customHeight="false" outlineLevel="0" collapsed="false">
      <c r="B987" s="130" t="n">
        <v>2027</v>
      </c>
      <c r="C987" s="131" t="s">
        <v>246</v>
      </c>
      <c r="D987" s="132" t="n">
        <v>46505</v>
      </c>
      <c r="E987" s="131" t="s">
        <v>36</v>
      </c>
      <c r="F987" s="133" t="s">
        <v>19</v>
      </c>
      <c r="G987" s="134" t="n">
        <f aca="false">LEN('Saisie programme'!$F$23)+SUMIFS('Vols additionnels'!$E$7:$E$66,'Vols additionnels'!$C$7:$C$66,$E987,'Vols additionnels'!$D$7:$D$66,$F987,'Vols additionnels'!$B$7:$B$66,$D987)</f>
        <v>1</v>
      </c>
      <c r="H987" s="135" t="n">
        <f aca="false">$G987*'Analyse capacite'!$F$8</f>
        <v>262</v>
      </c>
      <c r="I987" s="135" t="n">
        <f aca="false">$G987*'Analyse capacite'!$C$8</f>
        <v>18</v>
      </c>
      <c r="J987" s="135" t="n">
        <f aca="false">$G987*'Analyse capacite'!$D$8</f>
        <v>0</v>
      </c>
      <c r="K987" s="135" t="n">
        <f aca="false">$G987*'Analyse capacite'!$E$8</f>
        <v>244</v>
      </c>
    </row>
    <row r="988" customFormat="false" ht="15" hidden="false" customHeight="false" outlineLevel="0" collapsed="false">
      <c r="B988" s="130" t="n">
        <v>2027</v>
      </c>
      <c r="C988" s="131" t="s">
        <v>246</v>
      </c>
      <c r="D988" s="132" t="n">
        <v>46505</v>
      </c>
      <c r="E988" s="131" t="s">
        <v>36</v>
      </c>
      <c r="F988" s="133" t="s">
        <v>24</v>
      </c>
      <c r="G988" s="134" t="n">
        <f aca="false">LEN('Saisie programme'!$F$24)+SUMIFS('Vols additionnels'!$E$7:$E$66,'Vols additionnels'!$C$7:$C$66,$E988,'Vols additionnels'!$D$7:$D$66,$F988,'Vols additionnels'!$B$7:$B$66,$D988)</f>
        <v>1</v>
      </c>
      <c r="H988" s="135" t="n">
        <f aca="false">$G988*'Analyse capacite'!$F$9</f>
        <v>174</v>
      </c>
      <c r="I988" s="135" t="n">
        <f aca="false">$G988*'Analyse capacite'!$C$9</f>
        <v>0</v>
      </c>
      <c r="J988" s="135" t="n">
        <f aca="false">$G988*'Analyse capacite'!$D$9</f>
        <v>12</v>
      </c>
      <c r="K988" s="135" t="n">
        <f aca="false">$G988*'Analyse capacite'!$E$9</f>
        <v>162</v>
      </c>
    </row>
    <row r="989" customFormat="false" ht="15" hidden="false" customHeight="false" outlineLevel="0" collapsed="false">
      <c r="B989" s="130" t="n">
        <v>2027</v>
      </c>
      <c r="C989" s="131" t="s">
        <v>246</v>
      </c>
      <c r="D989" s="132" t="n">
        <v>46505</v>
      </c>
      <c r="E989" s="131" t="s">
        <v>40</v>
      </c>
      <c r="F989" s="133" t="s">
        <v>11</v>
      </c>
      <c r="G989" s="134" t="n">
        <f aca="false">LEN('Saisie programme'!$F$25)+SUMIFS('Vols additionnels'!$E$7:$E$66,'Vols additionnels'!$C$7:$C$66,$E989,'Vols additionnels'!$D$7:$D$66,$F989,'Vols additionnels'!$B$7:$B$66,$D989)</f>
        <v>0</v>
      </c>
      <c r="H989" s="135" t="n">
        <f aca="false">$G989*'Analyse capacite'!$F$7</f>
        <v>0</v>
      </c>
      <c r="I989" s="135" t="n">
        <f aca="false">$G989*'Analyse capacite'!$C$7</f>
        <v>0</v>
      </c>
      <c r="J989" s="135" t="n">
        <f aca="false">$G989*'Analyse capacite'!$D$7</f>
        <v>0</v>
      </c>
      <c r="K989" s="135" t="n">
        <f aca="false">$G989*'Analyse capacite'!$E$7</f>
        <v>0</v>
      </c>
    </row>
    <row r="990" customFormat="false" ht="15" hidden="false" customHeight="false" outlineLevel="0" collapsed="false">
      <c r="B990" s="130" t="n">
        <v>2027</v>
      </c>
      <c r="C990" s="131" t="s">
        <v>246</v>
      </c>
      <c r="D990" s="132" t="n">
        <v>46505</v>
      </c>
      <c r="E990" s="131" t="s">
        <v>40</v>
      </c>
      <c r="F990" s="133" t="s">
        <v>19</v>
      </c>
      <c r="G990" s="134" t="n">
        <f aca="false">LEN('Saisie programme'!$F$26)+SUMIFS('Vols additionnels'!$E$7:$E$66,'Vols additionnels'!$C$7:$C$66,$E990,'Vols additionnels'!$D$7:$D$66,$F990,'Vols additionnels'!$B$7:$B$66,$D990)</f>
        <v>0</v>
      </c>
      <c r="H990" s="135" t="n">
        <f aca="false">$G990*'Analyse capacite'!$F$8</f>
        <v>0</v>
      </c>
      <c r="I990" s="135" t="n">
        <f aca="false">$G990*'Analyse capacite'!$C$8</f>
        <v>0</v>
      </c>
      <c r="J990" s="135" t="n">
        <f aca="false">$G990*'Analyse capacite'!$D$8</f>
        <v>0</v>
      </c>
      <c r="K990" s="135" t="n">
        <f aca="false">$G990*'Analyse capacite'!$E$8</f>
        <v>0</v>
      </c>
    </row>
    <row r="991" customFormat="false" ht="15" hidden="false" customHeight="false" outlineLevel="0" collapsed="false">
      <c r="B991" s="130" t="n">
        <v>2027</v>
      </c>
      <c r="C991" s="131" t="s">
        <v>246</v>
      </c>
      <c r="D991" s="132" t="n">
        <v>46505</v>
      </c>
      <c r="E991" s="131" t="s">
        <v>40</v>
      </c>
      <c r="F991" s="133" t="s">
        <v>24</v>
      </c>
      <c r="G991" s="134" t="n">
        <f aca="false">LEN('Saisie programme'!$F$27)+SUMIFS('Vols additionnels'!$E$7:$E$66,'Vols additionnels'!$C$7:$C$66,$E991,'Vols additionnels'!$D$7:$D$66,$F991,'Vols additionnels'!$B$7:$B$66,$D991)</f>
        <v>1</v>
      </c>
      <c r="H991" s="135" t="n">
        <f aca="false">$G991*'Analyse capacite'!$F$9</f>
        <v>174</v>
      </c>
      <c r="I991" s="135" t="n">
        <f aca="false">$G991*'Analyse capacite'!$C$9</f>
        <v>0</v>
      </c>
      <c r="J991" s="135" t="n">
        <f aca="false">$G991*'Analyse capacite'!$D$9</f>
        <v>12</v>
      </c>
      <c r="K991" s="135" t="n">
        <f aca="false">$G991*'Analyse capacite'!$E$9</f>
        <v>162</v>
      </c>
    </row>
    <row r="992" customFormat="false" ht="15" hidden="false" customHeight="false" outlineLevel="0" collapsed="false">
      <c r="B992" s="130" t="n">
        <v>2027</v>
      </c>
      <c r="C992" s="131" t="s">
        <v>246</v>
      </c>
      <c r="D992" s="132" t="n">
        <v>46505</v>
      </c>
      <c r="E992" s="131" t="s">
        <v>14</v>
      </c>
      <c r="F992" s="133" t="s">
        <v>11</v>
      </c>
      <c r="G992" s="134" t="n">
        <f aca="false">LEN('Saisie programme'!$F$28)+SUMIFS('Vols additionnels'!$E$7:$E$66,'Vols additionnels'!$C$7:$C$66,$E992,'Vols additionnels'!$D$7:$D$66,$F992,'Vols additionnels'!$B$7:$B$66,$D992)</f>
        <v>0</v>
      </c>
      <c r="H992" s="135" t="n">
        <f aca="false">$G992*'Analyse capacite'!$F$7</f>
        <v>0</v>
      </c>
      <c r="I992" s="135" t="n">
        <f aca="false">$G992*'Analyse capacite'!$C$7</f>
        <v>0</v>
      </c>
      <c r="J992" s="135" t="n">
        <f aca="false">$G992*'Analyse capacite'!$D$7</f>
        <v>0</v>
      </c>
      <c r="K992" s="135" t="n">
        <f aca="false">$G992*'Analyse capacite'!$E$7</f>
        <v>0</v>
      </c>
    </row>
    <row r="993" customFormat="false" ht="15" hidden="false" customHeight="false" outlineLevel="0" collapsed="false">
      <c r="B993" s="130" t="n">
        <v>2027</v>
      </c>
      <c r="C993" s="131" t="s">
        <v>246</v>
      </c>
      <c r="D993" s="132" t="n">
        <v>46505</v>
      </c>
      <c r="E993" s="131" t="s">
        <v>14</v>
      </c>
      <c r="F993" s="133" t="s">
        <v>19</v>
      </c>
      <c r="G993" s="134" t="n">
        <f aca="false">LEN('Saisie programme'!$F$29)+SUMIFS('Vols additionnels'!$E$7:$E$66,'Vols additionnels'!$C$7:$C$66,$E993,'Vols additionnels'!$D$7:$D$66,$F993,'Vols additionnels'!$B$7:$B$66,$D993)</f>
        <v>0</v>
      </c>
      <c r="H993" s="135" t="n">
        <f aca="false">$G993*'Analyse capacite'!$F$8</f>
        <v>0</v>
      </c>
      <c r="I993" s="135" t="n">
        <f aca="false">$G993*'Analyse capacite'!$C$8</f>
        <v>0</v>
      </c>
      <c r="J993" s="135" t="n">
        <f aca="false">$G993*'Analyse capacite'!$D$8</f>
        <v>0</v>
      </c>
      <c r="K993" s="135" t="n">
        <f aca="false">$G993*'Analyse capacite'!$E$8</f>
        <v>0</v>
      </c>
    </row>
    <row r="994" customFormat="false" ht="15" hidden="false" customHeight="false" outlineLevel="0" collapsed="false">
      <c r="B994" s="130" t="n">
        <v>2027</v>
      </c>
      <c r="C994" s="131" t="s">
        <v>246</v>
      </c>
      <c r="D994" s="132" t="n">
        <v>46505</v>
      </c>
      <c r="E994" s="131" t="s">
        <v>14</v>
      </c>
      <c r="F994" s="133" t="s">
        <v>24</v>
      </c>
      <c r="G994" s="134" t="n">
        <f aca="false">LEN('Saisie programme'!$F$30)+SUMIFS('Vols additionnels'!$E$7:$E$66,'Vols additionnels'!$C$7:$C$66,$E994,'Vols additionnels'!$D$7:$D$66,$F994,'Vols additionnels'!$B$7:$B$66,$D994)</f>
        <v>0</v>
      </c>
      <c r="H994" s="135" t="n">
        <f aca="false">$G994*'Analyse capacite'!$F$9</f>
        <v>0</v>
      </c>
      <c r="I994" s="135" t="n">
        <f aca="false">$G994*'Analyse capacite'!$C$9</f>
        <v>0</v>
      </c>
      <c r="J994" s="135" t="n">
        <f aca="false">$G994*'Analyse capacite'!$D$9</f>
        <v>0</v>
      </c>
      <c r="K994" s="135" t="n">
        <f aca="false">$G994*'Analyse capacite'!$E$9</f>
        <v>0</v>
      </c>
    </row>
    <row r="995" customFormat="false" ht="15" hidden="false" customHeight="false" outlineLevel="0" collapsed="false">
      <c r="B995" s="130" t="n">
        <v>2027</v>
      </c>
      <c r="C995" s="131" t="s">
        <v>246</v>
      </c>
      <c r="D995" s="132" t="n">
        <v>46505</v>
      </c>
      <c r="E995" s="131" t="s">
        <v>46</v>
      </c>
      <c r="F995" s="133" t="s">
        <v>11</v>
      </c>
      <c r="G995" s="134" t="n">
        <f aca="false">LEN('Saisie programme'!$F$31)+SUMIFS('Vols additionnels'!$E$7:$E$66,'Vols additionnels'!$C$7:$C$66,$E995,'Vols additionnels'!$D$7:$D$66,$F995,'Vols additionnels'!$B$7:$B$66,$D995)</f>
        <v>0</v>
      </c>
      <c r="H995" s="135" t="n">
        <f aca="false">$G995*'Analyse capacite'!$F$7</f>
        <v>0</v>
      </c>
      <c r="I995" s="135" t="n">
        <f aca="false">$G995*'Analyse capacite'!$C$7</f>
        <v>0</v>
      </c>
      <c r="J995" s="135" t="n">
        <f aca="false">$G995*'Analyse capacite'!$D$7</f>
        <v>0</v>
      </c>
      <c r="K995" s="135" t="n">
        <f aca="false">$G995*'Analyse capacite'!$E$7</f>
        <v>0</v>
      </c>
    </row>
    <row r="996" customFormat="false" ht="15" hidden="false" customHeight="false" outlineLevel="0" collapsed="false">
      <c r="B996" s="130" t="n">
        <v>2027</v>
      </c>
      <c r="C996" s="131" t="s">
        <v>246</v>
      </c>
      <c r="D996" s="132" t="n">
        <v>46505</v>
      </c>
      <c r="E996" s="131" t="s">
        <v>46</v>
      </c>
      <c r="F996" s="133" t="s">
        <v>19</v>
      </c>
      <c r="G996" s="134" t="n">
        <f aca="false">LEN('Saisie programme'!$F$32)+SUMIFS('Vols additionnels'!$E$7:$E$66,'Vols additionnels'!$C$7:$C$66,$E996,'Vols additionnels'!$D$7:$D$66,$F996,'Vols additionnels'!$B$7:$B$66,$D996)</f>
        <v>0</v>
      </c>
      <c r="H996" s="135" t="n">
        <f aca="false">$G996*'Analyse capacite'!$F$8</f>
        <v>0</v>
      </c>
      <c r="I996" s="135" t="n">
        <f aca="false">$G996*'Analyse capacite'!$C$8</f>
        <v>0</v>
      </c>
      <c r="J996" s="135" t="n">
        <f aca="false">$G996*'Analyse capacite'!$D$8</f>
        <v>0</v>
      </c>
      <c r="K996" s="135" t="n">
        <f aca="false">$G996*'Analyse capacite'!$E$8</f>
        <v>0</v>
      </c>
    </row>
    <row r="997" customFormat="false" ht="15" hidden="false" customHeight="false" outlineLevel="0" collapsed="false">
      <c r="B997" s="130" t="n">
        <v>2027</v>
      </c>
      <c r="C997" s="131" t="s">
        <v>246</v>
      </c>
      <c r="D997" s="132" t="n">
        <v>46505</v>
      </c>
      <c r="E997" s="131" t="s">
        <v>46</v>
      </c>
      <c r="F997" s="133" t="s">
        <v>24</v>
      </c>
      <c r="G997" s="134" t="n">
        <f aca="false">LEN('Saisie programme'!$F$33)+SUMIFS('Vols additionnels'!$E$7:$E$66,'Vols additionnels'!$C$7:$C$66,$E997,'Vols additionnels'!$D$7:$D$66,$F997,'Vols additionnels'!$B$7:$B$66,$D997)</f>
        <v>0</v>
      </c>
      <c r="H997" s="135" t="n">
        <f aca="false">$G997*'Analyse capacite'!$F$9</f>
        <v>0</v>
      </c>
      <c r="I997" s="135" t="n">
        <f aca="false">$G997*'Analyse capacite'!$C$9</f>
        <v>0</v>
      </c>
      <c r="J997" s="135" t="n">
        <f aca="false">$G997*'Analyse capacite'!$D$9</f>
        <v>0</v>
      </c>
      <c r="K997" s="135" t="n">
        <f aca="false">$G997*'Analyse capacite'!$E$9</f>
        <v>0</v>
      </c>
    </row>
    <row r="998" customFormat="false" ht="15" hidden="false" customHeight="false" outlineLevel="0" collapsed="false">
      <c r="B998" s="130" t="n">
        <v>2027</v>
      </c>
      <c r="C998" s="131" t="s">
        <v>246</v>
      </c>
      <c r="D998" s="132" t="n">
        <v>46505</v>
      </c>
      <c r="E998" s="131" t="s">
        <v>49</v>
      </c>
      <c r="F998" s="133" t="s">
        <v>11</v>
      </c>
      <c r="G998" s="134" t="n">
        <f aca="false">LEN('Saisie programme'!$F$34)+SUMIFS('Vols additionnels'!$E$7:$E$66,'Vols additionnels'!$C$7:$C$66,$E998,'Vols additionnels'!$D$7:$D$66,$F998,'Vols additionnels'!$B$7:$B$66,$D998)</f>
        <v>0</v>
      </c>
      <c r="H998" s="135" t="n">
        <f aca="false">$G998*'Analyse capacite'!$F$7</f>
        <v>0</v>
      </c>
      <c r="I998" s="135" t="n">
        <f aca="false">$G998*'Analyse capacite'!$C$7</f>
        <v>0</v>
      </c>
      <c r="J998" s="135" t="n">
        <f aca="false">$G998*'Analyse capacite'!$D$7</f>
        <v>0</v>
      </c>
      <c r="K998" s="135" t="n">
        <f aca="false">$G998*'Analyse capacite'!$E$7</f>
        <v>0</v>
      </c>
    </row>
    <row r="999" customFormat="false" ht="15" hidden="false" customHeight="false" outlineLevel="0" collapsed="false">
      <c r="B999" s="130" t="n">
        <v>2027</v>
      </c>
      <c r="C999" s="131" t="s">
        <v>246</v>
      </c>
      <c r="D999" s="132" t="n">
        <v>46505</v>
      </c>
      <c r="E999" s="131" t="s">
        <v>49</v>
      </c>
      <c r="F999" s="133" t="s">
        <v>19</v>
      </c>
      <c r="G999" s="134" t="n">
        <f aca="false">LEN('Saisie programme'!$F$35)+SUMIFS('Vols additionnels'!$E$7:$E$66,'Vols additionnels'!$C$7:$C$66,$E999,'Vols additionnels'!$D$7:$D$66,$F999,'Vols additionnels'!$B$7:$B$66,$D999)</f>
        <v>0</v>
      </c>
      <c r="H999" s="135" t="n">
        <f aca="false">$G999*'Analyse capacite'!$F$8</f>
        <v>0</v>
      </c>
      <c r="I999" s="135" t="n">
        <f aca="false">$G999*'Analyse capacite'!$C$8</f>
        <v>0</v>
      </c>
      <c r="J999" s="135" t="n">
        <f aca="false">$G999*'Analyse capacite'!$D$8</f>
        <v>0</v>
      </c>
      <c r="K999" s="135" t="n">
        <f aca="false">$G999*'Analyse capacite'!$E$8</f>
        <v>0</v>
      </c>
    </row>
    <row r="1000" customFormat="false" ht="15" hidden="false" customHeight="false" outlineLevel="0" collapsed="false">
      <c r="B1000" s="130" t="n">
        <v>2027</v>
      </c>
      <c r="C1000" s="131" t="s">
        <v>246</v>
      </c>
      <c r="D1000" s="132" t="n">
        <v>46505</v>
      </c>
      <c r="E1000" s="131" t="s">
        <v>49</v>
      </c>
      <c r="F1000" s="133" t="s">
        <v>24</v>
      </c>
      <c r="G1000" s="134" t="n">
        <f aca="false">LEN('Saisie programme'!$F$36)+SUMIFS('Vols additionnels'!$E$7:$E$66,'Vols additionnels'!$C$7:$C$66,$E1000,'Vols additionnels'!$D$7:$D$66,$F1000,'Vols additionnels'!$B$7:$B$66,$D1000)</f>
        <v>0</v>
      </c>
      <c r="H1000" s="135" t="n">
        <f aca="false">$G1000*'Analyse capacite'!$F$9</f>
        <v>0</v>
      </c>
      <c r="I1000" s="135" t="n">
        <f aca="false">$G1000*'Analyse capacite'!$C$9</f>
        <v>0</v>
      </c>
      <c r="J1000" s="135" t="n">
        <f aca="false">$G1000*'Analyse capacite'!$D$9</f>
        <v>0</v>
      </c>
      <c r="K1000" s="135" t="n">
        <f aca="false">$G1000*'Analyse capacite'!$E$9</f>
        <v>0</v>
      </c>
    </row>
    <row r="1001" customFormat="false" ht="15" hidden="false" customHeight="false" outlineLevel="0" collapsed="false">
      <c r="B1001" s="130" t="n">
        <v>2027</v>
      </c>
      <c r="C1001" s="131" t="s">
        <v>246</v>
      </c>
      <c r="D1001" s="132" t="n">
        <v>46505</v>
      </c>
      <c r="E1001" s="131" t="s">
        <v>53</v>
      </c>
      <c r="F1001" s="133" t="s">
        <v>11</v>
      </c>
      <c r="G1001" s="134" t="n">
        <f aca="false">LEN('Saisie programme'!$F$37)+SUMIFS('Vols additionnels'!$E$7:$E$66,'Vols additionnels'!$C$7:$C$66,$E1001,'Vols additionnels'!$D$7:$D$66,$F1001,'Vols additionnels'!$B$7:$B$66,$D1001)</f>
        <v>0</v>
      </c>
      <c r="H1001" s="135" t="n">
        <f aca="false">$G1001*'Analyse capacite'!$F$7</f>
        <v>0</v>
      </c>
      <c r="I1001" s="135" t="n">
        <f aca="false">$G1001*'Analyse capacite'!$C$7</f>
        <v>0</v>
      </c>
      <c r="J1001" s="135" t="n">
        <f aca="false">$G1001*'Analyse capacite'!$D$7</f>
        <v>0</v>
      </c>
      <c r="K1001" s="135" t="n">
        <f aca="false">$G1001*'Analyse capacite'!$E$7</f>
        <v>0</v>
      </c>
    </row>
    <row r="1002" customFormat="false" ht="15" hidden="false" customHeight="false" outlineLevel="0" collapsed="false">
      <c r="B1002" s="130" t="n">
        <v>2027</v>
      </c>
      <c r="C1002" s="131" t="s">
        <v>246</v>
      </c>
      <c r="D1002" s="132" t="n">
        <v>46505</v>
      </c>
      <c r="E1002" s="131" t="s">
        <v>53</v>
      </c>
      <c r="F1002" s="133" t="s">
        <v>19</v>
      </c>
      <c r="G1002" s="134" t="n">
        <f aca="false">LEN('Saisie programme'!$F$38)+SUMIFS('Vols additionnels'!$E$7:$E$66,'Vols additionnels'!$C$7:$C$66,$E1002,'Vols additionnels'!$D$7:$D$66,$F1002,'Vols additionnels'!$B$7:$B$66,$D1002)</f>
        <v>0</v>
      </c>
      <c r="H1002" s="135" t="n">
        <f aca="false">$G1002*'Analyse capacite'!$F$8</f>
        <v>0</v>
      </c>
      <c r="I1002" s="135" t="n">
        <f aca="false">$G1002*'Analyse capacite'!$C$8</f>
        <v>0</v>
      </c>
      <c r="J1002" s="135" t="n">
        <f aca="false">$G1002*'Analyse capacite'!$D$8</f>
        <v>0</v>
      </c>
      <c r="K1002" s="135" t="n">
        <f aca="false">$G1002*'Analyse capacite'!$E$8</f>
        <v>0</v>
      </c>
    </row>
    <row r="1003" customFormat="false" ht="15" hidden="false" customHeight="false" outlineLevel="0" collapsed="false">
      <c r="B1003" s="130" t="n">
        <v>2027</v>
      </c>
      <c r="C1003" s="131" t="s">
        <v>246</v>
      </c>
      <c r="D1003" s="132" t="n">
        <v>46505</v>
      </c>
      <c r="E1003" s="131" t="s">
        <v>53</v>
      </c>
      <c r="F1003" s="133" t="s">
        <v>24</v>
      </c>
      <c r="G1003" s="134" t="n">
        <f aca="false">LEN('Saisie programme'!$F$39)+SUMIFS('Vols additionnels'!$E$7:$E$66,'Vols additionnels'!$C$7:$C$66,$E1003,'Vols additionnels'!$D$7:$D$66,$F1003,'Vols additionnels'!$B$7:$B$66,$D1003)</f>
        <v>0</v>
      </c>
      <c r="H1003" s="135" t="n">
        <f aca="false">$G1003*'Analyse capacite'!$F$9</f>
        <v>0</v>
      </c>
      <c r="I1003" s="135" t="n">
        <f aca="false">$G1003*'Analyse capacite'!$C$9</f>
        <v>0</v>
      </c>
      <c r="J1003" s="135" t="n">
        <f aca="false">$G1003*'Analyse capacite'!$D$9</f>
        <v>0</v>
      </c>
      <c r="K1003" s="135" t="n">
        <f aca="false">$G1003*'Analyse capacite'!$E$9</f>
        <v>0</v>
      </c>
    </row>
    <row r="1004" customFormat="false" ht="15" hidden="false" customHeight="false" outlineLevel="0" collapsed="false">
      <c r="B1004" s="130" t="n">
        <v>2027</v>
      </c>
      <c r="C1004" s="131" t="s">
        <v>246</v>
      </c>
      <c r="D1004" s="132" t="n">
        <v>46505</v>
      </c>
      <c r="E1004" s="131" t="s">
        <v>56</v>
      </c>
      <c r="F1004" s="133" t="s">
        <v>11</v>
      </c>
      <c r="G1004" s="134" t="n">
        <f aca="false">LEN('Saisie programme'!$F$40)+SUMIFS('Vols additionnels'!$E$7:$E$66,'Vols additionnels'!$C$7:$C$66,$E1004,'Vols additionnels'!$D$7:$D$66,$F1004,'Vols additionnels'!$B$7:$B$66,$D1004)</f>
        <v>0</v>
      </c>
      <c r="H1004" s="135" t="n">
        <f aca="false">$G1004*'Analyse capacite'!$F$7</f>
        <v>0</v>
      </c>
      <c r="I1004" s="135" t="n">
        <f aca="false">$G1004*'Analyse capacite'!$C$7</f>
        <v>0</v>
      </c>
      <c r="J1004" s="135" t="n">
        <f aca="false">$G1004*'Analyse capacite'!$D$7</f>
        <v>0</v>
      </c>
      <c r="K1004" s="135" t="n">
        <f aca="false">$G1004*'Analyse capacite'!$E$7</f>
        <v>0</v>
      </c>
    </row>
    <row r="1005" customFormat="false" ht="15" hidden="false" customHeight="false" outlineLevel="0" collapsed="false">
      <c r="B1005" s="130" t="n">
        <v>2027</v>
      </c>
      <c r="C1005" s="131" t="s">
        <v>246</v>
      </c>
      <c r="D1005" s="132" t="n">
        <v>46505</v>
      </c>
      <c r="E1005" s="131" t="s">
        <v>56</v>
      </c>
      <c r="F1005" s="133" t="s">
        <v>19</v>
      </c>
      <c r="G1005" s="134" t="n">
        <f aca="false">LEN('Saisie programme'!$F$41)+SUMIFS('Vols additionnels'!$E$7:$E$66,'Vols additionnels'!$C$7:$C$66,$E1005,'Vols additionnels'!$D$7:$D$66,$F1005,'Vols additionnels'!$B$7:$B$66,$D1005)</f>
        <v>0</v>
      </c>
      <c r="H1005" s="135" t="n">
        <f aca="false">$G1005*'Analyse capacite'!$F$8</f>
        <v>0</v>
      </c>
      <c r="I1005" s="135" t="n">
        <f aca="false">$G1005*'Analyse capacite'!$C$8</f>
        <v>0</v>
      </c>
      <c r="J1005" s="135" t="n">
        <f aca="false">$G1005*'Analyse capacite'!$D$8</f>
        <v>0</v>
      </c>
      <c r="K1005" s="135" t="n">
        <f aca="false">$G1005*'Analyse capacite'!$E$8</f>
        <v>0</v>
      </c>
    </row>
    <row r="1006" customFormat="false" ht="15" hidden="false" customHeight="false" outlineLevel="0" collapsed="false">
      <c r="B1006" s="130" t="n">
        <v>2027</v>
      </c>
      <c r="C1006" s="131" t="s">
        <v>246</v>
      </c>
      <c r="D1006" s="132" t="n">
        <v>46505</v>
      </c>
      <c r="E1006" s="131" t="s">
        <v>56</v>
      </c>
      <c r="F1006" s="133" t="s">
        <v>24</v>
      </c>
      <c r="G1006" s="134" t="n">
        <f aca="false">LEN('Saisie programme'!$F$42)+SUMIFS('Vols additionnels'!$E$7:$E$66,'Vols additionnels'!$C$7:$C$66,$E1006,'Vols additionnels'!$D$7:$D$66,$F1006,'Vols additionnels'!$B$7:$B$66,$D1006)</f>
        <v>0</v>
      </c>
      <c r="H1006" s="135" t="n">
        <f aca="false">$G1006*'Analyse capacite'!$F$9</f>
        <v>0</v>
      </c>
      <c r="I1006" s="135" t="n">
        <f aca="false">$G1006*'Analyse capacite'!$C$9</f>
        <v>0</v>
      </c>
      <c r="J1006" s="135" t="n">
        <f aca="false">$G1006*'Analyse capacite'!$D$9</f>
        <v>0</v>
      </c>
      <c r="K1006" s="135" t="n">
        <f aca="false">$G1006*'Analyse capacite'!$E$9</f>
        <v>0</v>
      </c>
    </row>
    <row r="1007" customFormat="false" ht="15" hidden="false" customHeight="false" outlineLevel="0" collapsed="false">
      <c r="B1007" s="130" t="n">
        <v>2027</v>
      </c>
      <c r="C1007" s="131" t="s">
        <v>246</v>
      </c>
      <c r="D1007" s="132" t="n">
        <v>46505</v>
      </c>
      <c r="E1007" s="131" t="s">
        <v>59</v>
      </c>
      <c r="F1007" s="133" t="s">
        <v>11</v>
      </c>
      <c r="G1007" s="134" t="n">
        <f aca="false">LEN('Saisie programme'!$F$43)+SUMIFS('Vols additionnels'!$E$7:$E$66,'Vols additionnels'!$C$7:$C$66,$E1007,'Vols additionnels'!$D$7:$D$66,$F1007,'Vols additionnels'!$B$7:$B$66,$D1007)</f>
        <v>0</v>
      </c>
      <c r="H1007" s="135" t="n">
        <f aca="false">$G1007*'Analyse capacite'!$F$7</f>
        <v>0</v>
      </c>
      <c r="I1007" s="135" t="n">
        <f aca="false">$G1007*'Analyse capacite'!$C$7</f>
        <v>0</v>
      </c>
      <c r="J1007" s="135" t="n">
        <f aca="false">$G1007*'Analyse capacite'!$D$7</f>
        <v>0</v>
      </c>
      <c r="K1007" s="135" t="n">
        <f aca="false">$G1007*'Analyse capacite'!$E$7</f>
        <v>0</v>
      </c>
    </row>
    <row r="1008" customFormat="false" ht="15" hidden="false" customHeight="false" outlineLevel="0" collapsed="false">
      <c r="B1008" s="130" t="n">
        <v>2027</v>
      </c>
      <c r="C1008" s="131" t="s">
        <v>246</v>
      </c>
      <c r="D1008" s="132" t="n">
        <v>46505</v>
      </c>
      <c r="E1008" s="131" t="s">
        <v>59</v>
      </c>
      <c r="F1008" s="133" t="s">
        <v>19</v>
      </c>
      <c r="G1008" s="134" t="n">
        <f aca="false">LEN('Saisie programme'!$F$44)+SUMIFS('Vols additionnels'!$E$7:$E$66,'Vols additionnels'!$C$7:$C$66,$E1008,'Vols additionnels'!$D$7:$D$66,$F1008,'Vols additionnels'!$B$7:$B$66,$D1008)</f>
        <v>0</v>
      </c>
      <c r="H1008" s="135" t="n">
        <f aca="false">$G1008*'Analyse capacite'!$F$8</f>
        <v>0</v>
      </c>
      <c r="I1008" s="135" t="n">
        <f aca="false">$G1008*'Analyse capacite'!$C$8</f>
        <v>0</v>
      </c>
      <c r="J1008" s="135" t="n">
        <f aca="false">$G1008*'Analyse capacite'!$D$8</f>
        <v>0</v>
      </c>
      <c r="K1008" s="135" t="n">
        <f aca="false">$G1008*'Analyse capacite'!$E$8</f>
        <v>0</v>
      </c>
    </row>
    <row r="1009" customFormat="false" ht="15" hidden="false" customHeight="false" outlineLevel="0" collapsed="false">
      <c r="B1009" s="130" t="n">
        <v>2027</v>
      </c>
      <c r="C1009" s="131" t="s">
        <v>246</v>
      </c>
      <c r="D1009" s="132" t="n">
        <v>46505</v>
      </c>
      <c r="E1009" s="131" t="s">
        <v>59</v>
      </c>
      <c r="F1009" s="133" t="s">
        <v>24</v>
      </c>
      <c r="G1009" s="134" t="n">
        <f aca="false">LEN('Saisie programme'!$F$45)+SUMIFS('Vols additionnels'!$E$7:$E$66,'Vols additionnels'!$C$7:$C$66,$E1009,'Vols additionnels'!$D$7:$D$66,$F1009,'Vols additionnels'!$B$7:$B$66,$D1009)</f>
        <v>1</v>
      </c>
      <c r="H1009" s="135" t="n">
        <f aca="false">$G1009*'Analyse capacite'!$F$9</f>
        <v>174</v>
      </c>
      <c r="I1009" s="135" t="n">
        <f aca="false">$G1009*'Analyse capacite'!$C$9</f>
        <v>0</v>
      </c>
      <c r="J1009" s="135" t="n">
        <f aca="false">$G1009*'Analyse capacite'!$D$9</f>
        <v>12</v>
      </c>
      <c r="K1009" s="135" t="n">
        <f aca="false">$G1009*'Analyse capacite'!$E$9</f>
        <v>162</v>
      </c>
    </row>
    <row r="1010" customFormat="false" ht="15" hidden="false" customHeight="false" outlineLevel="0" collapsed="false">
      <c r="B1010" s="130" t="n">
        <v>2027</v>
      </c>
      <c r="C1010" s="131" t="s">
        <v>246</v>
      </c>
      <c r="D1010" s="132" t="n">
        <v>46505</v>
      </c>
      <c r="E1010" s="131" t="s">
        <v>62</v>
      </c>
      <c r="F1010" s="133" t="s">
        <v>11</v>
      </c>
      <c r="G1010" s="134" t="n">
        <f aca="false">LEN('Saisie programme'!$F$46)+SUMIFS('Vols additionnels'!$E$7:$E$66,'Vols additionnels'!$C$7:$C$66,$E1010,'Vols additionnels'!$D$7:$D$66,$F1010,'Vols additionnels'!$B$7:$B$66,$D1010)</f>
        <v>0</v>
      </c>
      <c r="H1010" s="135" t="n">
        <f aca="false">$G1010*'Analyse capacite'!$F$7</f>
        <v>0</v>
      </c>
      <c r="I1010" s="135" t="n">
        <f aca="false">$G1010*'Analyse capacite'!$C$7</f>
        <v>0</v>
      </c>
      <c r="J1010" s="135" t="n">
        <f aca="false">$G1010*'Analyse capacite'!$D$7</f>
        <v>0</v>
      </c>
      <c r="K1010" s="135" t="n">
        <f aca="false">$G1010*'Analyse capacite'!$E$7</f>
        <v>0</v>
      </c>
    </row>
    <row r="1011" customFormat="false" ht="15" hidden="false" customHeight="false" outlineLevel="0" collapsed="false">
      <c r="B1011" s="130" t="n">
        <v>2027</v>
      </c>
      <c r="C1011" s="131" t="s">
        <v>246</v>
      </c>
      <c r="D1011" s="132" t="n">
        <v>46505</v>
      </c>
      <c r="E1011" s="131" t="s">
        <v>62</v>
      </c>
      <c r="F1011" s="133" t="s">
        <v>19</v>
      </c>
      <c r="G1011" s="134" t="n">
        <f aca="false">LEN('Saisie programme'!$F$47)+SUMIFS('Vols additionnels'!$E$7:$E$66,'Vols additionnels'!$C$7:$C$66,$E1011,'Vols additionnels'!$D$7:$D$66,$F1011,'Vols additionnels'!$B$7:$B$66,$D1011)</f>
        <v>0</v>
      </c>
      <c r="H1011" s="135" t="n">
        <f aca="false">$G1011*'Analyse capacite'!$F$8</f>
        <v>0</v>
      </c>
      <c r="I1011" s="135" t="n">
        <f aca="false">$G1011*'Analyse capacite'!$C$8</f>
        <v>0</v>
      </c>
      <c r="J1011" s="135" t="n">
        <f aca="false">$G1011*'Analyse capacite'!$D$8</f>
        <v>0</v>
      </c>
      <c r="K1011" s="135" t="n">
        <f aca="false">$G1011*'Analyse capacite'!$E$8</f>
        <v>0</v>
      </c>
    </row>
    <row r="1012" customFormat="false" ht="15" hidden="false" customHeight="false" outlineLevel="0" collapsed="false">
      <c r="B1012" s="130" t="n">
        <v>2027</v>
      </c>
      <c r="C1012" s="131" t="s">
        <v>246</v>
      </c>
      <c r="D1012" s="132" t="n">
        <v>46505</v>
      </c>
      <c r="E1012" s="131" t="s">
        <v>62</v>
      </c>
      <c r="F1012" s="133" t="s">
        <v>24</v>
      </c>
      <c r="G1012" s="134" t="n">
        <f aca="false">LEN('Saisie programme'!$F$48)+SUMIFS('Vols additionnels'!$E$7:$E$66,'Vols additionnels'!$C$7:$C$66,$E1012,'Vols additionnels'!$D$7:$D$66,$F1012,'Vols additionnels'!$B$7:$B$66,$D1012)</f>
        <v>1</v>
      </c>
      <c r="H1012" s="135" t="n">
        <f aca="false">$G1012*'Analyse capacite'!$F$9</f>
        <v>174</v>
      </c>
      <c r="I1012" s="135" t="n">
        <f aca="false">$G1012*'Analyse capacite'!$C$9</f>
        <v>0</v>
      </c>
      <c r="J1012" s="135" t="n">
        <f aca="false">$G1012*'Analyse capacite'!$D$9</f>
        <v>12</v>
      </c>
      <c r="K1012" s="135" t="n">
        <f aca="false">$G1012*'Analyse capacite'!$E$9</f>
        <v>162</v>
      </c>
    </row>
    <row r="1013" customFormat="false" ht="15" hidden="false" customHeight="false" outlineLevel="0" collapsed="false">
      <c r="B1013" s="130" t="n">
        <v>2027</v>
      </c>
      <c r="C1013" s="131" t="s">
        <v>246</v>
      </c>
      <c r="D1013" s="132" t="n">
        <v>46506</v>
      </c>
      <c r="E1013" s="131" t="s">
        <v>12</v>
      </c>
      <c r="F1013" s="133" t="s">
        <v>11</v>
      </c>
      <c r="G1013" s="134" t="n">
        <f aca="false">LEN('Saisie programme'!$G$13)+SUMIFS('Vols additionnels'!$E$7:$E$66,'Vols additionnels'!$C$7:$C$66,$E1013,'Vols additionnels'!$D$7:$D$66,$F1013,'Vols additionnels'!$B$7:$B$66,$D1013)</f>
        <v>1</v>
      </c>
      <c r="H1013" s="135" t="n">
        <f aca="false">$G1013*'Analyse capacite'!$F$7</f>
        <v>438</v>
      </c>
      <c r="I1013" s="135" t="n">
        <f aca="false">$G1013*'Analyse capacite'!$C$7</f>
        <v>14</v>
      </c>
      <c r="J1013" s="135" t="n">
        <f aca="false">$G1013*'Analyse capacite'!$D$7</f>
        <v>40</v>
      </c>
      <c r="K1013" s="135" t="n">
        <f aca="false">$G1013*'Analyse capacite'!$E$7</f>
        <v>384</v>
      </c>
    </row>
    <row r="1014" customFormat="false" ht="15" hidden="false" customHeight="false" outlineLevel="0" collapsed="false">
      <c r="B1014" s="130" t="n">
        <v>2027</v>
      </c>
      <c r="C1014" s="131" t="s">
        <v>246</v>
      </c>
      <c r="D1014" s="132" t="n">
        <v>46506</v>
      </c>
      <c r="E1014" s="131" t="s">
        <v>12</v>
      </c>
      <c r="F1014" s="133" t="s">
        <v>19</v>
      </c>
      <c r="G1014" s="134" t="n">
        <f aca="false">LEN('Saisie programme'!$G$14)+SUMIFS('Vols additionnels'!$E$7:$E$66,'Vols additionnels'!$C$7:$C$66,$E1014,'Vols additionnels'!$D$7:$D$66,$F1014,'Vols additionnels'!$B$7:$B$66,$D1014)</f>
        <v>0</v>
      </c>
      <c r="H1014" s="135" t="n">
        <f aca="false">$G1014*'Analyse capacite'!$F$8</f>
        <v>0</v>
      </c>
      <c r="I1014" s="135" t="n">
        <f aca="false">$G1014*'Analyse capacite'!$C$8</f>
        <v>0</v>
      </c>
      <c r="J1014" s="135" t="n">
        <f aca="false">$G1014*'Analyse capacite'!$D$8</f>
        <v>0</v>
      </c>
      <c r="K1014" s="135" t="n">
        <f aca="false">$G1014*'Analyse capacite'!$E$8</f>
        <v>0</v>
      </c>
    </row>
    <row r="1015" customFormat="false" ht="15" hidden="false" customHeight="false" outlineLevel="0" collapsed="false">
      <c r="B1015" s="130" t="n">
        <v>2027</v>
      </c>
      <c r="C1015" s="131" t="s">
        <v>246</v>
      </c>
      <c r="D1015" s="132" t="n">
        <v>46506</v>
      </c>
      <c r="E1015" s="131" t="s">
        <v>12</v>
      </c>
      <c r="F1015" s="133" t="s">
        <v>24</v>
      </c>
      <c r="G1015" s="134" t="n">
        <f aca="false">LEN('Saisie programme'!$G$15)+SUMIFS('Vols additionnels'!$E$7:$E$66,'Vols additionnels'!$C$7:$C$66,$E1015,'Vols additionnels'!$D$7:$D$66,$F1015,'Vols additionnels'!$B$7:$B$66,$D1015)</f>
        <v>0</v>
      </c>
      <c r="H1015" s="135" t="n">
        <f aca="false">$G1015*'Analyse capacite'!$F$9</f>
        <v>0</v>
      </c>
      <c r="I1015" s="135" t="n">
        <f aca="false">$G1015*'Analyse capacite'!$C$9</f>
        <v>0</v>
      </c>
      <c r="J1015" s="135" t="n">
        <f aca="false">$G1015*'Analyse capacite'!$D$9</f>
        <v>0</v>
      </c>
      <c r="K1015" s="135" t="n">
        <f aca="false">$G1015*'Analyse capacite'!$E$9</f>
        <v>0</v>
      </c>
    </row>
    <row r="1016" customFormat="false" ht="15" hidden="false" customHeight="false" outlineLevel="0" collapsed="false">
      <c r="B1016" s="130" t="n">
        <v>2027</v>
      </c>
      <c r="C1016" s="131" t="s">
        <v>246</v>
      </c>
      <c r="D1016" s="132" t="n">
        <v>46506</v>
      </c>
      <c r="E1016" s="131" t="s">
        <v>20</v>
      </c>
      <c r="F1016" s="133" t="s">
        <v>11</v>
      </c>
      <c r="G1016" s="134" t="n">
        <f aca="false">LEN('Saisie programme'!$G$16)+SUMIFS('Vols additionnels'!$E$7:$E$66,'Vols additionnels'!$C$7:$C$66,$E1016,'Vols additionnels'!$D$7:$D$66,$F1016,'Vols additionnels'!$B$7:$B$66,$D1016)</f>
        <v>0</v>
      </c>
      <c r="H1016" s="135" t="n">
        <f aca="false">$G1016*'Analyse capacite'!$F$7</f>
        <v>0</v>
      </c>
      <c r="I1016" s="135" t="n">
        <f aca="false">$G1016*'Analyse capacite'!$C$7</f>
        <v>0</v>
      </c>
      <c r="J1016" s="135" t="n">
        <f aca="false">$G1016*'Analyse capacite'!$D$7</f>
        <v>0</v>
      </c>
      <c r="K1016" s="135" t="n">
        <f aca="false">$G1016*'Analyse capacite'!$E$7</f>
        <v>0</v>
      </c>
    </row>
    <row r="1017" customFormat="false" ht="15" hidden="false" customHeight="false" outlineLevel="0" collapsed="false">
      <c r="B1017" s="130" t="n">
        <v>2027</v>
      </c>
      <c r="C1017" s="131" t="s">
        <v>246</v>
      </c>
      <c r="D1017" s="132" t="n">
        <v>46506</v>
      </c>
      <c r="E1017" s="131" t="s">
        <v>20</v>
      </c>
      <c r="F1017" s="133" t="s">
        <v>19</v>
      </c>
      <c r="G1017" s="134" t="n">
        <f aca="false">LEN('Saisie programme'!$G$17)+SUMIFS('Vols additionnels'!$E$7:$E$66,'Vols additionnels'!$C$7:$C$66,$E1017,'Vols additionnels'!$D$7:$D$66,$F1017,'Vols additionnels'!$B$7:$B$66,$D1017)</f>
        <v>0</v>
      </c>
      <c r="H1017" s="135" t="n">
        <f aca="false">$G1017*'Analyse capacite'!$F$8</f>
        <v>0</v>
      </c>
      <c r="I1017" s="135" t="n">
        <f aca="false">$G1017*'Analyse capacite'!$C$8</f>
        <v>0</v>
      </c>
      <c r="J1017" s="135" t="n">
        <f aca="false">$G1017*'Analyse capacite'!$D$8</f>
        <v>0</v>
      </c>
      <c r="K1017" s="135" t="n">
        <f aca="false">$G1017*'Analyse capacite'!$E$8</f>
        <v>0</v>
      </c>
    </row>
    <row r="1018" customFormat="false" ht="15" hidden="false" customHeight="false" outlineLevel="0" collapsed="false">
      <c r="B1018" s="130" t="n">
        <v>2027</v>
      </c>
      <c r="C1018" s="131" t="s">
        <v>246</v>
      </c>
      <c r="D1018" s="132" t="n">
        <v>46506</v>
      </c>
      <c r="E1018" s="131" t="s">
        <v>20</v>
      </c>
      <c r="F1018" s="133" t="s">
        <v>24</v>
      </c>
      <c r="G1018" s="134" t="n">
        <f aca="false">LEN('Saisie programme'!$G$18)+SUMIFS('Vols additionnels'!$E$7:$E$66,'Vols additionnels'!$C$7:$C$66,$E1018,'Vols additionnels'!$D$7:$D$66,$F1018,'Vols additionnels'!$B$7:$B$66,$D1018)</f>
        <v>0</v>
      </c>
      <c r="H1018" s="135" t="n">
        <f aca="false">$G1018*'Analyse capacite'!$F$9</f>
        <v>0</v>
      </c>
      <c r="I1018" s="135" t="n">
        <f aca="false">$G1018*'Analyse capacite'!$C$9</f>
        <v>0</v>
      </c>
      <c r="J1018" s="135" t="n">
        <f aca="false">$G1018*'Analyse capacite'!$D$9</f>
        <v>0</v>
      </c>
      <c r="K1018" s="135" t="n">
        <f aca="false">$G1018*'Analyse capacite'!$E$9</f>
        <v>0</v>
      </c>
    </row>
    <row r="1019" customFormat="false" ht="15" hidden="false" customHeight="false" outlineLevel="0" collapsed="false">
      <c r="B1019" s="130" t="n">
        <v>2027</v>
      </c>
      <c r="C1019" s="131" t="s">
        <v>246</v>
      </c>
      <c r="D1019" s="132" t="n">
        <v>46506</v>
      </c>
      <c r="E1019" s="131" t="s">
        <v>25</v>
      </c>
      <c r="F1019" s="133" t="s">
        <v>11</v>
      </c>
      <c r="G1019" s="134" t="n">
        <f aca="false">LEN('Saisie programme'!$G$19)+SUMIFS('Vols additionnels'!$E$7:$E$66,'Vols additionnels'!$C$7:$C$66,$E1019,'Vols additionnels'!$D$7:$D$66,$F1019,'Vols additionnels'!$B$7:$B$66,$D1019)</f>
        <v>0</v>
      </c>
      <c r="H1019" s="135" t="n">
        <f aca="false">$G1019*'Analyse capacite'!$F$7</f>
        <v>0</v>
      </c>
      <c r="I1019" s="135" t="n">
        <f aca="false">$G1019*'Analyse capacite'!$C$7</f>
        <v>0</v>
      </c>
      <c r="J1019" s="135" t="n">
        <f aca="false">$G1019*'Analyse capacite'!$D$7</f>
        <v>0</v>
      </c>
      <c r="K1019" s="135" t="n">
        <f aca="false">$G1019*'Analyse capacite'!$E$7</f>
        <v>0</v>
      </c>
    </row>
    <row r="1020" customFormat="false" ht="15" hidden="false" customHeight="false" outlineLevel="0" collapsed="false">
      <c r="B1020" s="130" t="n">
        <v>2027</v>
      </c>
      <c r="C1020" s="131" t="s">
        <v>246</v>
      </c>
      <c r="D1020" s="132" t="n">
        <v>46506</v>
      </c>
      <c r="E1020" s="131" t="s">
        <v>25</v>
      </c>
      <c r="F1020" s="133" t="s">
        <v>19</v>
      </c>
      <c r="G1020" s="134" t="n">
        <f aca="false">LEN('Saisie programme'!$G$20)+SUMIFS('Vols additionnels'!$E$7:$E$66,'Vols additionnels'!$C$7:$C$66,$E1020,'Vols additionnels'!$D$7:$D$66,$F1020,'Vols additionnels'!$B$7:$B$66,$D1020)</f>
        <v>0</v>
      </c>
      <c r="H1020" s="135" t="n">
        <f aca="false">$G1020*'Analyse capacite'!$F$8</f>
        <v>0</v>
      </c>
      <c r="I1020" s="135" t="n">
        <f aca="false">$G1020*'Analyse capacite'!$C$8</f>
        <v>0</v>
      </c>
      <c r="J1020" s="135" t="n">
        <f aca="false">$G1020*'Analyse capacite'!$D$8</f>
        <v>0</v>
      </c>
      <c r="K1020" s="135" t="n">
        <f aca="false">$G1020*'Analyse capacite'!$E$8</f>
        <v>0</v>
      </c>
    </row>
    <row r="1021" customFormat="false" ht="15" hidden="false" customHeight="false" outlineLevel="0" collapsed="false">
      <c r="B1021" s="130" t="n">
        <v>2027</v>
      </c>
      <c r="C1021" s="131" t="s">
        <v>246</v>
      </c>
      <c r="D1021" s="132" t="n">
        <v>46506</v>
      </c>
      <c r="E1021" s="131" t="s">
        <v>25</v>
      </c>
      <c r="F1021" s="133" t="s">
        <v>24</v>
      </c>
      <c r="G1021" s="134" t="n">
        <f aca="false">LEN('Saisie programme'!$G$21)+SUMIFS('Vols additionnels'!$E$7:$E$66,'Vols additionnels'!$C$7:$C$66,$E1021,'Vols additionnels'!$D$7:$D$66,$F1021,'Vols additionnels'!$B$7:$B$66,$D1021)</f>
        <v>0</v>
      </c>
      <c r="H1021" s="135" t="n">
        <f aca="false">$G1021*'Analyse capacite'!$F$9</f>
        <v>0</v>
      </c>
      <c r="I1021" s="135" t="n">
        <f aca="false">$G1021*'Analyse capacite'!$C$9</f>
        <v>0</v>
      </c>
      <c r="J1021" s="135" t="n">
        <f aca="false">$G1021*'Analyse capacite'!$D$9</f>
        <v>0</v>
      </c>
      <c r="K1021" s="135" t="n">
        <f aca="false">$G1021*'Analyse capacite'!$E$9</f>
        <v>0</v>
      </c>
    </row>
    <row r="1022" customFormat="false" ht="15" hidden="false" customHeight="false" outlineLevel="0" collapsed="false">
      <c r="B1022" s="130" t="n">
        <v>2027</v>
      </c>
      <c r="C1022" s="131" t="s">
        <v>246</v>
      </c>
      <c r="D1022" s="132" t="n">
        <v>46506</v>
      </c>
      <c r="E1022" s="131" t="s">
        <v>36</v>
      </c>
      <c r="F1022" s="133" t="s">
        <v>11</v>
      </c>
      <c r="G1022" s="134" t="n">
        <f aca="false">LEN('Saisie programme'!$G$22)+SUMIFS('Vols additionnels'!$E$7:$E$66,'Vols additionnels'!$C$7:$C$66,$E1022,'Vols additionnels'!$D$7:$D$66,$F1022,'Vols additionnels'!$B$7:$B$66,$D1022)</f>
        <v>0</v>
      </c>
      <c r="H1022" s="135" t="n">
        <f aca="false">$G1022*'Analyse capacite'!$F$7</f>
        <v>0</v>
      </c>
      <c r="I1022" s="135" t="n">
        <f aca="false">$G1022*'Analyse capacite'!$C$7</f>
        <v>0</v>
      </c>
      <c r="J1022" s="135" t="n">
        <f aca="false">$G1022*'Analyse capacite'!$D$7</f>
        <v>0</v>
      </c>
      <c r="K1022" s="135" t="n">
        <f aca="false">$G1022*'Analyse capacite'!$E$7</f>
        <v>0</v>
      </c>
    </row>
    <row r="1023" customFormat="false" ht="15" hidden="false" customHeight="false" outlineLevel="0" collapsed="false">
      <c r="B1023" s="130" t="n">
        <v>2027</v>
      </c>
      <c r="C1023" s="131" t="s">
        <v>246</v>
      </c>
      <c r="D1023" s="132" t="n">
        <v>46506</v>
      </c>
      <c r="E1023" s="131" t="s">
        <v>36</v>
      </c>
      <c r="F1023" s="133" t="s">
        <v>19</v>
      </c>
      <c r="G1023" s="134" t="n">
        <f aca="false">LEN('Saisie programme'!$G$23)+SUMIFS('Vols additionnels'!$E$7:$E$66,'Vols additionnels'!$C$7:$C$66,$E1023,'Vols additionnels'!$D$7:$D$66,$F1023,'Vols additionnels'!$B$7:$B$66,$D1023)</f>
        <v>0</v>
      </c>
      <c r="H1023" s="135" t="n">
        <f aca="false">$G1023*'Analyse capacite'!$F$8</f>
        <v>0</v>
      </c>
      <c r="I1023" s="135" t="n">
        <f aca="false">$G1023*'Analyse capacite'!$C$8</f>
        <v>0</v>
      </c>
      <c r="J1023" s="135" t="n">
        <f aca="false">$G1023*'Analyse capacite'!$D$8</f>
        <v>0</v>
      </c>
      <c r="K1023" s="135" t="n">
        <f aca="false">$G1023*'Analyse capacite'!$E$8</f>
        <v>0</v>
      </c>
    </row>
    <row r="1024" customFormat="false" ht="15" hidden="false" customHeight="false" outlineLevel="0" collapsed="false">
      <c r="B1024" s="130" t="n">
        <v>2027</v>
      </c>
      <c r="C1024" s="131" t="s">
        <v>246</v>
      </c>
      <c r="D1024" s="132" t="n">
        <v>46506</v>
      </c>
      <c r="E1024" s="131" t="s">
        <v>36</v>
      </c>
      <c r="F1024" s="133" t="s">
        <v>24</v>
      </c>
      <c r="G1024" s="134" t="n">
        <f aca="false">LEN('Saisie programme'!$G$24)+SUMIFS('Vols additionnels'!$E$7:$E$66,'Vols additionnels'!$C$7:$C$66,$E1024,'Vols additionnels'!$D$7:$D$66,$F1024,'Vols additionnels'!$B$7:$B$66,$D1024)</f>
        <v>1</v>
      </c>
      <c r="H1024" s="135" t="n">
        <f aca="false">$G1024*'Analyse capacite'!$F$9</f>
        <v>174</v>
      </c>
      <c r="I1024" s="135" t="n">
        <f aca="false">$G1024*'Analyse capacite'!$C$9</f>
        <v>0</v>
      </c>
      <c r="J1024" s="135" t="n">
        <f aca="false">$G1024*'Analyse capacite'!$D$9</f>
        <v>12</v>
      </c>
      <c r="K1024" s="135" t="n">
        <f aca="false">$G1024*'Analyse capacite'!$E$9</f>
        <v>162</v>
      </c>
    </row>
    <row r="1025" customFormat="false" ht="15" hidden="false" customHeight="false" outlineLevel="0" collapsed="false">
      <c r="B1025" s="130" t="n">
        <v>2027</v>
      </c>
      <c r="C1025" s="131" t="s">
        <v>246</v>
      </c>
      <c r="D1025" s="132" t="n">
        <v>46506</v>
      </c>
      <c r="E1025" s="131" t="s">
        <v>40</v>
      </c>
      <c r="F1025" s="133" t="s">
        <v>11</v>
      </c>
      <c r="G1025" s="134" t="n">
        <f aca="false">LEN('Saisie programme'!$G$25)+SUMIFS('Vols additionnels'!$E$7:$E$66,'Vols additionnels'!$C$7:$C$66,$E1025,'Vols additionnels'!$D$7:$D$66,$F1025,'Vols additionnels'!$B$7:$B$66,$D1025)</f>
        <v>0</v>
      </c>
      <c r="H1025" s="135" t="n">
        <f aca="false">$G1025*'Analyse capacite'!$F$7</f>
        <v>0</v>
      </c>
      <c r="I1025" s="135" t="n">
        <f aca="false">$G1025*'Analyse capacite'!$C$7</f>
        <v>0</v>
      </c>
      <c r="J1025" s="135" t="n">
        <f aca="false">$G1025*'Analyse capacite'!$D$7</f>
        <v>0</v>
      </c>
      <c r="K1025" s="135" t="n">
        <f aca="false">$G1025*'Analyse capacite'!$E$7</f>
        <v>0</v>
      </c>
    </row>
    <row r="1026" customFormat="false" ht="15" hidden="false" customHeight="false" outlineLevel="0" collapsed="false">
      <c r="B1026" s="130" t="n">
        <v>2027</v>
      </c>
      <c r="C1026" s="131" t="s">
        <v>246</v>
      </c>
      <c r="D1026" s="132" t="n">
        <v>46506</v>
      </c>
      <c r="E1026" s="131" t="s">
        <v>40</v>
      </c>
      <c r="F1026" s="133" t="s">
        <v>19</v>
      </c>
      <c r="G1026" s="134" t="n">
        <f aca="false">LEN('Saisie programme'!$G$26)+SUMIFS('Vols additionnels'!$E$7:$E$66,'Vols additionnels'!$C$7:$C$66,$E1026,'Vols additionnels'!$D$7:$D$66,$F1026,'Vols additionnels'!$B$7:$B$66,$D1026)</f>
        <v>0</v>
      </c>
      <c r="H1026" s="135" t="n">
        <f aca="false">$G1026*'Analyse capacite'!$F$8</f>
        <v>0</v>
      </c>
      <c r="I1026" s="135" t="n">
        <f aca="false">$G1026*'Analyse capacite'!$C$8</f>
        <v>0</v>
      </c>
      <c r="J1026" s="135" t="n">
        <f aca="false">$G1026*'Analyse capacite'!$D$8</f>
        <v>0</v>
      </c>
      <c r="K1026" s="135" t="n">
        <f aca="false">$G1026*'Analyse capacite'!$E$8</f>
        <v>0</v>
      </c>
    </row>
    <row r="1027" customFormat="false" ht="15" hidden="false" customHeight="false" outlineLevel="0" collapsed="false">
      <c r="B1027" s="130" t="n">
        <v>2027</v>
      </c>
      <c r="C1027" s="131" t="s">
        <v>246</v>
      </c>
      <c r="D1027" s="132" t="n">
        <v>46506</v>
      </c>
      <c r="E1027" s="131" t="s">
        <v>40</v>
      </c>
      <c r="F1027" s="133" t="s">
        <v>24</v>
      </c>
      <c r="G1027" s="134" t="n">
        <f aca="false">LEN('Saisie programme'!$G$27)+SUMIFS('Vols additionnels'!$E$7:$E$66,'Vols additionnels'!$C$7:$C$66,$E1027,'Vols additionnels'!$D$7:$D$66,$F1027,'Vols additionnels'!$B$7:$B$66,$D1027)</f>
        <v>0</v>
      </c>
      <c r="H1027" s="135" t="n">
        <f aca="false">$G1027*'Analyse capacite'!$F$9</f>
        <v>0</v>
      </c>
      <c r="I1027" s="135" t="n">
        <f aca="false">$G1027*'Analyse capacite'!$C$9</f>
        <v>0</v>
      </c>
      <c r="J1027" s="135" t="n">
        <f aca="false">$G1027*'Analyse capacite'!$D$9</f>
        <v>0</v>
      </c>
      <c r="K1027" s="135" t="n">
        <f aca="false">$G1027*'Analyse capacite'!$E$9</f>
        <v>0</v>
      </c>
    </row>
    <row r="1028" customFormat="false" ht="15" hidden="false" customHeight="false" outlineLevel="0" collapsed="false">
      <c r="B1028" s="130" t="n">
        <v>2027</v>
      </c>
      <c r="C1028" s="131" t="s">
        <v>246</v>
      </c>
      <c r="D1028" s="132" t="n">
        <v>46506</v>
      </c>
      <c r="E1028" s="131" t="s">
        <v>14</v>
      </c>
      <c r="F1028" s="133" t="s">
        <v>11</v>
      </c>
      <c r="G1028" s="134" t="n">
        <f aca="false">LEN('Saisie programme'!$G$28)+SUMIFS('Vols additionnels'!$E$7:$E$66,'Vols additionnels'!$C$7:$C$66,$E1028,'Vols additionnels'!$D$7:$D$66,$F1028,'Vols additionnels'!$B$7:$B$66,$D1028)</f>
        <v>0</v>
      </c>
      <c r="H1028" s="135" t="n">
        <f aca="false">$G1028*'Analyse capacite'!$F$7</f>
        <v>0</v>
      </c>
      <c r="I1028" s="135" t="n">
        <f aca="false">$G1028*'Analyse capacite'!$C$7</f>
        <v>0</v>
      </c>
      <c r="J1028" s="135" t="n">
        <f aca="false">$G1028*'Analyse capacite'!$D$7</f>
        <v>0</v>
      </c>
      <c r="K1028" s="135" t="n">
        <f aca="false">$G1028*'Analyse capacite'!$E$7</f>
        <v>0</v>
      </c>
    </row>
    <row r="1029" customFormat="false" ht="15" hidden="false" customHeight="false" outlineLevel="0" collapsed="false">
      <c r="B1029" s="130" t="n">
        <v>2027</v>
      </c>
      <c r="C1029" s="131" t="s">
        <v>246</v>
      </c>
      <c r="D1029" s="132" t="n">
        <v>46506</v>
      </c>
      <c r="E1029" s="131" t="s">
        <v>14</v>
      </c>
      <c r="F1029" s="133" t="s">
        <v>19</v>
      </c>
      <c r="G1029" s="134" t="n">
        <f aca="false">LEN('Saisie programme'!$G$29)+SUMIFS('Vols additionnels'!$E$7:$E$66,'Vols additionnels'!$C$7:$C$66,$E1029,'Vols additionnels'!$D$7:$D$66,$F1029,'Vols additionnels'!$B$7:$B$66,$D1029)</f>
        <v>0</v>
      </c>
      <c r="H1029" s="135" t="n">
        <f aca="false">$G1029*'Analyse capacite'!$F$8</f>
        <v>0</v>
      </c>
      <c r="I1029" s="135" t="n">
        <f aca="false">$G1029*'Analyse capacite'!$C$8</f>
        <v>0</v>
      </c>
      <c r="J1029" s="135" t="n">
        <f aca="false">$G1029*'Analyse capacite'!$D$8</f>
        <v>0</v>
      </c>
      <c r="K1029" s="135" t="n">
        <f aca="false">$G1029*'Analyse capacite'!$E$8</f>
        <v>0</v>
      </c>
    </row>
    <row r="1030" customFormat="false" ht="15" hidden="false" customHeight="false" outlineLevel="0" collapsed="false">
      <c r="B1030" s="130" t="n">
        <v>2027</v>
      </c>
      <c r="C1030" s="131" t="s">
        <v>246</v>
      </c>
      <c r="D1030" s="132" t="n">
        <v>46506</v>
      </c>
      <c r="E1030" s="131" t="s">
        <v>14</v>
      </c>
      <c r="F1030" s="133" t="s">
        <v>24</v>
      </c>
      <c r="G1030" s="134" t="n">
        <f aca="false">LEN('Saisie programme'!$G$30)+SUMIFS('Vols additionnels'!$E$7:$E$66,'Vols additionnels'!$C$7:$C$66,$E1030,'Vols additionnels'!$D$7:$D$66,$F1030,'Vols additionnels'!$B$7:$B$66,$D1030)</f>
        <v>1</v>
      </c>
      <c r="H1030" s="135" t="n">
        <f aca="false">$G1030*'Analyse capacite'!$F$9</f>
        <v>174</v>
      </c>
      <c r="I1030" s="135" t="n">
        <f aca="false">$G1030*'Analyse capacite'!$C$9</f>
        <v>0</v>
      </c>
      <c r="J1030" s="135" t="n">
        <f aca="false">$G1030*'Analyse capacite'!$D$9</f>
        <v>12</v>
      </c>
      <c r="K1030" s="135" t="n">
        <f aca="false">$G1030*'Analyse capacite'!$E$9</f>
        <v>162</v>
      </c>
    </row>
    <row r="1031" customFormat="false" ht="15" hidden="false" customHeight="false" outlineLevel="0" collapsed="false">
      <c r="B1031" s="130" t="n">
        <v>2027</v>
      </c>
      <c r="C1031" s="131" t="s">
        <v>246</v>
      </c>
      <c r="D1031" s="132" t="n">
        <v>46506</v>
      </c>
      <c r="E1031" s="131" t="s">
        <v>46</v>
      </c>
      <c r="F1031" s="133" t="s">
        <v>11</v>
      </c>
      <c r="G1031" s="134" t="n">
        <f aca="false">LEN('Saisie programme'!$G$31)+SUMIFS('Vols additionnels'!$E$7:$E$66,'Vols additionnels'!$C$7:$C$66,$E1031,'Vols additionnels'!$D$7:$D$66,$F1031,'Vols additionnels'!$B$7:$B$66,$D1031)</f>
        <v>0</v>
      </c>
      <c r="H1031" s="135" t="n">
        <f aca="false">$G1031*'Analyse capacite'!$F$7</f>
        <v>0</v>
      </c>
      <c r="I1031" s="135" t="n">
        <f aca="false">$G1031*'Analyse capacite'!$C$7</f>
        <v>0</v>
      </c>
      <c r="J1031" s="135" t="n">
        <f aca="false">$G1031*'Analyse capacite'!$D$7</f>
        <v>0</v>
      </c>
      <c r="K1031" s="135" t="n">
        <f aca="false">$G1031*'Analyse capacite'!$E$7</f>
        <v>0</v>
      </c>
    </row>
    <row r="1032" customFormat="false" ht="15" hidden="false" customHeight="false" outlineLevel="0" collapsed="false">
      <c r="B1032" s="130" t="n">
        <v>2027</v>
      </c>
      <c r="C1032" s="131" t="s">
        <v>246</v>
      </c>
      <c r="D1032" s="132" t="n">
        <v>46506</v>
      </c>
      <c r="E1032" s="131" t="s">
        <v>46</v>
      </c>
      <c r="F1032" s="133" t="s">
        <v>19</v>
      </c>
      <c r="G1032" s="134" t="n">
        <f aca="false">LEN('Saisie programme'!$G$32)+SUMIFS('Vols additionnels'!$E$7:$E$66,'Vols additionnels'!$C$7:$C$66,$E1032,'Vols additionnels'!$D$7:$D$66,$F1032,'Vols additionnels'!$B$7:$B$66,$D1032)</f>
        <v>0</v>
      </c>
      <c r="H1032" s="135" t="n">
        <f aca="false">$G1032*'Analyse capacite'!$F$8</f>
        <v>0</v>
      </c>
      <c r="I1032" s="135" t="n">
        <f aca="false">$G1032*'Analyse capacite'!$C$8</f>
        <v>0</v>
      </c>
      <c r="J1032" s="135" t="n">
        <f aca="false">$G1032*'Analyse capacite'!$D$8</f>
        <v>0</v>
      </c>
      <c r="K1032" s="135" t="n">
        <f aca="false">$G1032*'Analyse capacite'!$E$8</f>
        <v>0</v>
      </c>
    </row>
    <row r="1033" customFormat="false" ht="15" hidden="false" customHeight="false" outlineLevel="0" collapsed="false">
      <c r="B1033" s="130" t="n">
        <v>2027</v>
      </c>
      <c r="C1033" s="131" t="s">
        <v>246</v>
      </c>
      <c r="D1033" s="132" t="n">
        <v>46506</v>
      </c>
      <c r="E1033" s="131" t="s">
        <v>46</v>
      </c>
      <c r="F1033" s="133" t="s">
        <v>24</v>
      </c>
      <c r="G1033" s="134" t="n">
        <f aca="false">LEN('Saisie programme'!$G$33)+SUMIFS('Vols additionnels'!$E$7:$E$66,'Vols additionnels'!$C$7:$C$66,$E1033,'Vols additionnels'!$D$7:$D$66,$F1033,'Vols additionnels'!$B$7:$B$66,$D1033)</f>
        <v>1</v>
      </c>
      <c r="H1033" s="135" t="n">
        <f aca="false">$G1033*'Analyse capacite'!$F$9</f>
        <v>174</v>
      </c>
      <c r="I1033" s="135" t="n">
        <f aca="false">$G1033*'Analyse capacite'!$C$9</f>
        <v>0</v>
      </c>
      <c r="J1033" s="135" t="n">
        <f aca="false">$G1033*'Analyse capacite'!$D$9</f>
        <v>12</v>
      </c>
      <c r="K1033" s="135" t="n">
        <f aca="false">$G1033*'Analyse capacite'!$E$9</f>
        <v>162</v>
      </c>
    </row>
    <row r="1034" customFormat="false" ht="15" hidden="false" customHeight="false" outlineLevel="0" collapsed="false">
      <c r="B1034" s="130" t="n">
        <v>2027</v>
      </c>
      <c r="C1034" s="131" t="s">
        <v>246</v>
      </c>
      <c r="D1034" s="132" t="n">
        <v>46506</v>
      </c>
      <c r="E1034" s="131" t="s">
        <v>49</v>
      </c>
      <c r="F1034" s="133" t="s">
        <v>11</v>
      </c>
      <c r="G1034" s="134" t="n">
        <f aca="false">LEN('Saisie programme'!$G$34)+SUMIFS('Vols additionnels'!$E$7:$E$66,'Vols additionnels'!$C$7:$C$66,$E1034,'Vols additionnels'!$D$7:$D$66,$F1034,'Vols additionnels'!$B$7:$B$66,$D1034)</f>
        <v>0</v>
      </c>
      <c r="H1034" s="135" t="n">
        <f aca="false">$G1034*'Analyse capacite'!$F$7</f>
        <v>0</v>
      </c>
      <c r="I1034" s="135" t="n">
        <f aca="false">$G1034*'Analyse capacite'!$C$7</f>
        <v>0</v>
      </c>
      <c r="J1034" s="135" t="n">
        <f aca="false">$G1034*'Analyse capacite'!$D$7</f>
        <v>0</v>
      </c>
      <c r="K1034" s="135" t="n">
        <f aca="false">$G1034*'Analyse capacite'!$E$7</f>
        <v>0</v>
      </c>
    </row>
    <row r="1035" customFormat="false" ht="15" hidden="false" customHeight="false" outlineLevel="0" collapsed="false">
      <c r="B1035" s="130" t="n">
        <v>2027</v>
      </c>
      <c r="C1035" s="131" t="s">
        <v>246</v>
      </c>
      <c r="D1035" s="132" t="n">
        <v>46506</v>
      </c>
      <c r="E1035" s="131" t="s">
        <v>49</v>
      </c>
      <c r="F1035" s="133" t="s">
        <v>19</v>
      </c>
      <c r="G1035" s="134" t="n">
        <f aca="false">LEN('Saisie programme'!$G$35)+SUMIFS('Vols additionnels'!$E$7:$E$66,'Vols additionnels'!$C$7:$C$66,$E1035,'Vols additionnels'!$D$7:$D$66,$F1035,'Vols additionnels'!$B$7:$B$66,$D1035)</f>
        <v>0</v>
      </c>
      <c r="H1035" s="135" t="n">
        <f aca="false">$G1035*'Analyse capacite'!$F$8</f>
        <v>0</v>
      </c>
      <c r="I1035" s="135" t="n">
        <f aca="false">$G1035*'Analyse capacite'!$C$8</f>
        <v>0</v>
      </c>
      <c r="J1035" s="135" t="n">
        <f aca="false">$G1035*'Analyse capacite'!$D$8</f>
        <v>0</v>
      </c>
      <c r="K1035" s="135" t="n">
        <f aca="false">$G1035*'Analyse capacite'!$E$8</f>
        <v>0</v>
      </c>
    </row>
    <row r="1036" customFormat="false" ht="15" hidden="false" customHeight="false" outlineLevel="0" collapsed="false">
      <c r="B1036" s="130" t="n">
        <v>2027</v>
      </c>
      <c r="C1036" s="131" t="s">
        <v>246</v>
      </c>
      <c r="D1036" s="132" t="n">
        <v>46506</v>
      </c>
      <c r="E1036" s="131" t="s">
        <v>49</v>
      </c>
      <c r="F1036" s="133" t="s">
        <v>24</v>
      </c>
      <c r="G1036" s="134" t="n">
        <f aca="false">LEN('Saisie programme'!$G$36)+SUMIFS('Vols additionnels'!$E$7:$E$66,'Vols additionnels'!$C$7:$C$66,$E1036,'Vols additionnels'!$D$7:$D$66,$F1036,'Vols additionnels'!$B$7:$B$66,$D1036)</f>
        <v>0</v>
      </c>
      <c r="H1036" s="135" t="n">
        <f aca="false">$G1036*'Analyse capacite'!$F$9</f>
        <v>0</v>
      </c>
      <c r="I1036" s="135" t="n">
        <f aca="false">$G1036*'Analyse capacite'!$C$9</f>
        <v>0</v>
      </c>
      <c r="J1036" s="135" t="n">
        <f aca="false">$G1036*'Analyse capacite'!$D$9</f>
        <v>0</v>
      </c>
      <c r="K1036" s="135" t="n">
        <f aca="false">$G1036*'Analyse capacite'!$E$9</f>
        <v>0</v>
      </c>
    </row>
    <row r="1037" customFormat="false" ht="15" hidden="false" customHeight="false" outlineLevel="0" collapsed="false">
      <c r="B1037" s="130" t="n">
        <v>2027</v>
      </c>
      <c r="C1037" s="131" t="s">
        <v>246</v>
      </c>
      <c r="D1037" s="132" t="n">
        <v>46506</v>
      </c>
      <c r="E1037" s="131" t="s">
        <v>53</v>
      </c>
      <c r="F1037" s="133" t="s">
        <v>11</v>
      </c>
      <c r="G1037" s="134" t="n">
        <f aca="false">LEN('Saisie programme'!$G$37)+SUMIFS('Vols additionnels'!$E$7:$E$66,'Vols additionnels'!$C$7:$C$66,$E1037,'Vols additionnels'!$D$7:$D$66,$F1037,'Vols additionnels'!$B$7:$B$66,$D1037)</f>
        <v>0</v>
      </c>
      <c r="H1037" s="135" t="n">
        <f aca="false">$G1037*'Analyse capacite'!$F$7</f>
        <v>0</v>
      </c>
      <c r="I1037" s="135" t="n">
        <f aca="false">$G1037*'Analyse capacite'!$C$7</f>
        <v>0</v>
      </c>
      <c r="J1037" s="135" t="n">
        <f aca="false">$G1037*'Analyse capacite'!$D$7</f>
        <v>0</v>
      </c>
      <c r="K1037" s="135" t="n">
        <f aca="false">$G1037*'Analyse capacite'!$E$7</f>
        <v>0</v>
      </c>
    </row>
    <row r="1038" customFormat="false" ht="15" hidden="false" customHeight="false" outlineLevel="0" collapsed="false">
      <c r="B1038" s="130" t="n">
        <v>2027</v>
      </c>
      <c r="C1038" s="131" t="s">
        <v>246</v>
      </c>
      <c r="D1038" s="132" t="n">
        <v>46506</v>
      </c>
      <c r="E1038" s="131" t="s">
        <v>53</v>
      </c>
      <c r="F1038" s="133" t="s">
        <v>19</v>
      </c>
      <c r="G1038" s="134" t="n">
        <f aca="false">LEN('Saisie programme'!$G$38)+SUMIFS('Vols additionnels'!$E$7:$E$66,'Vols additionnels'!$C$7:$C$66,$E1038,'Vols additionnels'!$D$7:$D$66,$F1038,'Vols additionnels'!$B$7:$B$66,$D1038)</f>
        <v>1</v>
      </c>
      <c r="H1038" s="135" t="n">
        <f aca="false">$G1038*'Analyse capacite'!$F$8</f>
        <v>262</v>
      </c>
      <c r="I1038" s="135" t="n">
        <f aca="false">$G1038*'Analyse capacite'!$C$8</f>
        <v>18</v>
      </c>
      <c r="J1038" s="135" t="n">
        <f aca="false">$G1038*'Analyse capacite'!$D$8</f>
        <v>0</v>
      </c>
      <c r="K1038" s="135" t="n">
        <f aca="false">$G1038*'Analyse capacite'!$E$8</f>
        <v>244</v>
      </c>
    </row>
    <row r="1039" customFormat="false" ht="15" hidden="false" customHeight="false" outlineLevel="0" collapsed="false">
      <c r="B1039" s="130" t="n">
        <v>2027</v>
      </c>
      <c r="C1039" s="131" t="s">
        <v>246</v>
      </c>
      <c r="D1039" s="132" t="n">
        <v>46506</v>
      </c>
      <c r="E1039" s="131" t="s">
        <v>53</v>
      </c>
      <c r="F1039" s="133" t="s">
        <v>24</v>
      </c>
      <c r="G1039" s="134" t="n">
        <f aca="false">LEN('Saisie programme'!$G$39)+SUMIFS('Vols additionnels'!$E$7:$E$66,'Vols additionnels'!$C$7:$C$66,$E1039,'Vols additionnels'!$D$7:$D$66,$F1039,'Vols additionnels'!$B$7:$B$66,$D1039)</f>
        <v>0</v>
      </c>
      <c r="H1039" s="135" t="n">
        <f aca="false">$G1039*'Analyse capacite'!$F$9</f>
        <v>0</v>
      </c>
      <c r="I1039" s="135" t="n">
        <f aca="false">$G1039*'Analyse capacite'!$C$9</f>
        <v>0</v>
      </c>
      <c r="J1039" s="135" t="n">
        <f aca="false">$G1039*'Analyse capacite'!$D$9</f>
        <v>0</v>
      </c>
      <c r="K1039" s="135" t="n">
        <f aca="false">$G1039*'Analyse capacite'!$E$9</f>
        <v>0</v>
      </c>
    </row>
    <row r="1040" customFormat="false" ht="15" hidden="false" customHeight="false" outlineLevel="0" collapsed="false">
      <c r="B1040" s="130" t="n">
        <v>2027</v>
      </c>
      <c r="C1040" s="131" t="s">
        <v>246</v>
      </c>
      <c r="D1040" s="132" t="n">
        <v>46506</v>
      </c>
      <c r="E1040" s="131" t="s">
        <v>56</v>
      </c>
      <c r="F1040" s="133" t="s">
        <v>11</v>
      </c>
      <c r="G1040" s="134" t="n">
        <f aca="false">LEN('Saisie programme'!$G$40)+SUMIFS('Vols additionnels'!$E$7:$E$66,'Vols additionnels'!$C$7:$C$66,$E1040,'Vols additionnels'!$D$7:$D$66,$F1040,'Vols additionnels'!$B$7:$B$66,$D1040)</f>
        <v>0</v>
      </c>
      <c r="H1040" s="135" t="n">
        <f aca="false">$G1040*'Analyse capacite'!$F$7</f>
        <v>0</v>
      </c>
      <c r="I1040" s="135" t="n">
        <f aca="false">$G1040*'Analyse capacite'!$C$7</f>
        <v>0</v>
      </c>
      <c r="J1040" s="135" t="n">
        <f aca="false">$G1040*'Analyse capacite'!$D$7</f>
        <v>0</v>
      </c>
      <c r="K1040" s="135" t="n">
        <f aca="false">$G1040*'Analyse capacite'!$E$7</f>
        <v>0</v>
      </c>
    </row>
    <row r="1041" customFormat="false" ht="15" hidden="false" customHeight="false" outlineLevel="0" collapsed="false">
      <c r="B1041" s="130" t="n">
        <v>2027</v>
      </c>
      <c r="C1041" s="131" t="s">
        <v>246</v>
      </c>
      <c r="D1041" s="132" t="n">
        <v>46506</v>
      </c>
      <c r="E1041" s="131" t="s">
        <v>56</v>
      </c>
      <c r="F1041" s="133" t="s">
        <v>19</v>
      </c>
      <c r="G1041" s="134" t="n">
        <f aca="false">LEN('Saisie programme'!$G$41)+SUMIFS('Vols additionnels'!$E$7:$E$66,'Vols additionnels'!$C$7:$C$66,$E1041,'Vols additionnels'!$D$7:$D$66,$F1041,'Vols additionnels'!$B$7:$B$66,$D1041)</f>
        <v>0</v>
      </c>
      <c r="H1041" s="135" t="n">
        <f aca="false">$G1041*'Analyse capacite'!$F$8</f>
        <v>0</v>
      </c>
      <c r="I1041" s="135" t="n">
        <f aca="false">$G1041*'Analyse capacite'!$C$8</f>
        <v>0</v>
      </c>
      <c r="J1041" s="135" t="n">
        <f aca="false">$G1041*'Analyse capacite'!$D$8</f>
        <v>0</v>
      </c>
      <c r="K1041" s="135" t="n">
        <f aca="false">$G1041*'Analyse capacite'!$E$8</f>
        <v>0</v>
      </c>
    </row>
    <row r="1042" customFormat="false" ht="15" hidden="false" customHeight="false" outlineLevel="0" collapsed="false">
      <c r="B1042" s="130" t="n">
        <v>2027</v>
      </c>
      <c r="C1042" s="131" t="s">
        <v>246</v>
      </c>
      <c r="D1042" s="132" t="n">
        <v>46506</v>
      </c>
      <c r="E1042" s="131" t="s">
        <v>56</v>
      </c>
      <c r="F1042" s="133" t="s">
        <v>24</v>
      </c>
      <c r="G1042" s="134" t="n">
        <f aca="false">LEN('Saisie programme'!$G$42)+SUMIFS('Vols additionnels'!$E$7:$E$66,'Vols additionnels'!$C$7:$C$66,$E1042,'Vols additionnels'!$D$7:$D$66,$F1042,'Vols additionnels'!$B$7:$B$66,$D1042)</f>
        <v>0</v>
      </c>
      <c r="H1042" s="135" t="n">
        <f aca="false">$G1042*'Analyse capacite'!$F$9</f>
        <v>0</v>
      </c>
      <c r="I1042" s="135" t="n">
        <f aca="false">$G1042*'Analyse capacite'!$C$9</f>
        <v>0</v>
      </c>
      <c r="J1042" s="135" t="n">
        <f aca="false">$G1042*'Analyse capacite'!$D$9</f>
        <v>0</v>
      </c>
      <c r="K1042" s="135" t="n">
        <f aca="false">$G1042*'Analyse capacite'!$E$9</f>
        <v>0</v>
      </c>
    </row>
    <row r="1043" customFormat="false" ht="15" hidden="false" customHeight="false" outlineLevel="0" collapsed="false">
      <c r="B1043" s="130" t="n">
        <v>2027</v>
      </c>
      <c r="C1043" s="131" t="s">
        <v>246</v>
      </c>
      <c r="D1043" s="132" t="n">
        <v>46506</v>
      </c>
      <c r="E1043" s="131" t="s">
        <v>59</v>
      </c>
      <c r="F1043" s="133" t="s">
        <v>11</v>
      </c>
      <c r="G1043" s="134" t="n">
        <f aca="false">LEN('Saisie programme'!$G$43)+SUMIFS('Vols additionnels'!$E$7:$E$66,'Vols additionnels'!$C$7:$C$66,$E1043,'Vols additionnels'!$D$7:$D$66,$F1043,'Vols additionnels'!$B$7:$B$66,$D1043)</f>
        <v>0</v>
      </c>
      <c r="H1043" s="135" t="n">
        <f aca="false">$G1043*'Analyse capacite'!$F$7</f>
        <v>0</v>
      </c>
      <c r="I1043" s="135" t="n">
        <f aca="false">$G1043*'Analyse capacite'!$C$7</f>
        <v>0</v>
      </c>
      <c r="J1043" s="135" t="n">
        <f aca="false">$G1043*'Analyse capacite'!$D$7</f>
        <v>0</v>
      </c>
      <c r="K1043" s="135" t="n">
        <f aca="false">$G1043*'Analyse capacite'!$E$7</f>
        <v>0</v>
      </c>
    </row>
    <row r="1044" customFormat="false" ht="15" hidden="false" customHeight="false" outlineLevel="0" collapsed="false">
      <c r="B1044" s="130" t="n">
        <v>2027</v>
      </c>
      <c r="C1044" s="131" t="s">
        <v>246</v>
      </c>
      <c r="D1044" s="132" t="n">
        <v>46506</v>
      </c>
      <c r="E1044" s="131" t="s">
        <v>59</v>
      </c>
      <c r="F1044" s="133" t="s">
        <v>19</v>
      </c>
      <c r="G1044" s="134" t="n">
        <f aca="false">LEN('Saisie programme'!$G$44)+SUMIFS('Vols additionnels'!$E$7:$E$66,'Vols additionnels'!$C$7:$C$66,$E1044,'Vols additionnels'!$D$7:$D$66,$F1044,'Vols additionnels'!$B$7:$B$66,$D1044)</f>
        <v>0</v>
      </c>
      <c r="H1044" s="135" t="n">
        <f aca="false">$G1044*'Analyse capacite'!$F$8</f>
        <v>0</v>
      </c>
      <c r="I1044" s="135" t="n">
        <f aca="false">$G1044*'Analyse capacite'!$C$8</f>
        <v>0</v>
      </c>
      <c r="J1044" s="135" t="n">
        <f aca="false">$G1044*'Analyse capacite'!$D$8</f>
        <v>0</v>
      </c>
      <c r="K1044" s="135" t="n">
        <f aca="false">$G1044*'Analyse capacite'!$E$8</f>
        <v>0</v>
      </c>
    </row>
    <row r="1045" customFormat="false" ht="15" hidden="false" customHeight="false" outlineLevel="0" collapsed="false">
      <c r="B1045" s="130" t="n">
        <v>2027</v>
      </c>
      <c r="C1045" s="131" t="s">
        <v>246</v>
      </c>
      <c r="D1045" s="132" t="n">
        <v>46506</v>
      </c>
      <c r="E1045" s="131" t="s">
        <v>59</v>
      </c>
      <c r="F1045" s="133" t="s">
        <v>24</v>
      </c>
      <c r="G1045" s="134" t="n">
        <f aca="false">LEN('Saisie programme'!$G$45)+SUMIFS('Vols additionnels'!$E$7:$E$66,'Vols additionnels'!$C$7:$C$66,$E1045,'Vols additionnels'!$D$7:$D$66,$F1045,'Vols additionnels'!$B$7:$B$66,$D1045)</f>
        <v>2</v>
      </c>
      <c r="H1045" s="135" t="n">
        <f aca="false">$G1045*'Analyse capacite'!$F$9</f>
        <v>348</v>
      </c>
      <c r="I1045" s="135" t="n">
        <f aca="false">$G1045*'Analyse capacite'!$C$9</f>
        <v>0</v>
      </c>
      <c r="J1045" s="135" t="n">
        <f aca="false">$G1045*'Analyse capacite'!$D$9</f>
        <v>24</v>
      </c>
      <c r="K1045" s="135" t="n">
        <f aca="false">$G1045*'Analyse capacite'!$E$9</f>
        <v>324</v>
      </c>
    </row>
    <row r="1046" customFormat="false" ht="15" hidden="false" customHeight="false" outlineLevel="0" collapsed="false">
      <c r="B1046" s="130" t="n">
        <v>2027</v>
      </c>
      <c r="C1046" s="131" t="s">
        <v>246</v>
      </c>
      <c r="D1046" s="132" t="n">
        <v>46506</v>
      </c>
      <c r="E1046" s="131" t="s">
        <v>62</v>
      </c>
      <c r="F1046" s="133" t="s">
        <v>11</v>
      </c>
      <c r="G1046" s="134" t="n">
        <f aca="false">LEN('Saisie programme'!$G$46)+SUMIFS('Vols additionnels'!$E$7:$E$66,'Vols additionnels'!$C$7:$C$66,$E1046,'Vols additionnels'!$D$7:$D$66,$F1046,'Vols additionnels'!$B$7:$B$66,$D1046)</f>
        <v>0</v>
      </c>
      <c r="H1046" s="135" t="n">
        <f aca="false">$G1046*'Analyse capacite'!$F$7</f>
        <v>0</v>
      </c>
      <c r="I1046" s="135" t="n">
        <f aca="false">$G1046*'Analyse capacite'!$C$7</f>
        <v>0</v>
      </c>
      <c r="J1046" s="135" t="n">
        <f aca="false">$G1046*'Analyse capacite'!$D$7</f>
        <v>0</v>
      </c>
      <c r="K1046" s="135" t="n">
        <f aca="false">$G1046*'Analyse capacite'!$E$7</f>
        <v>0</v>
      </c>
    </row>
    <row r="1047" customFormat="false" ht="15" hidden="false" customHeight="false" outlineLevel="0" collapsed="false">
      <c r="B1047" s="130" t="n">
        <v>2027</v>
      </c>
      <c r="C1047" s="131" t="s">
        <v>246</v>
      </c>
      <c r="D1047" s="132" t="n">
        <v>46506</v>
      </c>
      <c r="E1047" s="131" t="s">
        <v>62</v>
      </c>
      <c r="F1047" s="133" t="s">
        <v>19</v>
      </c>
      <c r="G1047" s="134" t="n">
        <f aca="false">LEN('Saisie programme'!$G$47)+SUMIFS('Vols additionnels'!$E$7:$E$66,'Vols additionnels'!$C$7:$C$66,$E1047,'Vols additionnels'!$D$7:$D$66,$F1047,'Vols additionnels'!$B$7:$B$66,$D1047)</f>
        <v>0</v>
      </c>
      <c r="H1047" s="135" t="n">
        <f aca="false">$G1047*'Analyse capacite'!$F$8</f>
        <v>0</v>
      </c>
      <c r="I1047" s="135" t="n">
        <f aca="false">$G1047*'Analyse capacite'!$C$8</f>
        <v>0</v>
      </c>
      <c r="J1047" s="135" t="n">
        <f aca="false">$G1047*'Analyse capacite'!$D$8</f>
        <v>0</v>
      </c>
      <c r="K1047" s="135" t="n">
        <f aca="false">$G1047*'Analyse capacite'!$E$8</f>
        <v>0</v>
      </c>
    </row>
    <row r="1048" customFormat="false" ht="15" hidden="false" customHeight="false" outlineLevel="0" collapsed="false">
      <c r="B1048" s="130" t="n">
        <v>2027</v>
      </c>
      <c r="C1048" s="131" t="s">
        <v>246</v>
      </c>
      <c r="D1048" s="132" t="n">
        <v>46506</v>
      </c>
      <c r="E1048" s="131" t="s">
        <v>62</v>
      </c>
      <c r="F1048" s="133" t="s">
        <v>24</v>
      </c>
      <c r="G1048" s="134" t="n">
        <f aca="false">LEN('Saisie programme'!$G$48)+SUMIFS('Vols additionnels'!$E$7:$E$66,'Vols additionnels'!$C$7:$C$66,$E1048,'Vols additionnels'!$D$7:$D$66,$F1048,'Vols additionnels'!$B$7:$B$66,$D1048)</f>
        <v>0</v>
      </c>
      <c r="H1048" s="135" t="n">
        <f aca="false">$G1048*'Analyse capacite'!$F$9</f>
        <v>0</v>
      </c>
      <c r="I1048" s="135" t="n">
        <f aca="false">$G1048*'Analyse capacite'!$C$9</f>
        <v>0</v>
      </c>
      <c r="J1048" s="135" t="n">
        <f aca="false">$G1048*'Analyse capacite'!$D$9</f>
        <v>0</v>
      </c>
      <c r="K1048" s="135" t="n">
        <f aca="false">$G1048*'Analyse capacite'!$E$9</f>
        <v>0</v>
      </c>
    </row>
    <row r="1049" customFormat="false" ht="15" hidden="false" customHeight="false" outlineLevel="0" collapsed="false">
      <c r="B1049" s="130" t="n">
        <v>2027</v>
      </c>
      <c r="C1049" s="131" t="s">
        <v>246</v>
      </c>
      <c r="D1049" s="132" t="n">
        <v>46507</v>
      </c>
      <c r="E1049" s="131" t="s">
        <v>12</v>
      </c>
      <c r="F1049" s="133" t="s">
        <v>11</v>
      </c>
      <c r="G1049" s="134" t="n">
        <f aca="false">LEN('Saisie programme'!$H$13)+SUMIFS('Vols additionnels'!$E$7:$E$66,'Vols additionnels'!$C$7:$C$66,$E1049,'Vols additionnels'!$D$7:$D$66,$F1049,'Vols additionnels'!$B$7:$B$66,$D1049)</f>
        <v>1</v>
      </c>
      <c r="H1049" s="135" t="n">
        <f aca="false">$G1049*'Analyse capacite'!$F$7</f>
        <v>438</v>
      </c>
      <c r="I1049" s="135" t="n">
        <f aca="false">$G1049*'Analyse capacite'!$C$7</f>
        <v>14</v>
      </c>
      <c r="J1049" s="135" t="n">
        <f aca="false">$G1049*'Analyse capacite'!$D$7</f>
        <v>40</v>
      </c>
      <c r="K1049" s="135" t="n">
        <f aca="false">$G1049*'Analyse capacite'!$E$7</f>
        <v>384</v>
      </c>
    </row>
    <row r="1050" customFormat="false" ht="15" hidden="false" customHeight="false" outlineLevel="0" collapsed="false">
      <c r="B1050" s="130" t="n">
        <v>2027</v>
      </c>
      <c r="C1050" s="131" t="s">
        <v>246</v>
      </c>
      <c r="D1050" s="132" t="n">
        <v>46507</v>
      </c>
      <c r="E1050" s="131" t="s">
        <v>12</v>
      </c>
      <c r="F1050" s="133" t="s">
        <v>19</v>
      </c>
      <c r="G1050" s="134" t="n">
        <f aca="false">LEN('Saisie programme'!$H$14)+SUMIFS('Vols additionnels'!$E$7:$E$66,'Vols additionnels'!$C$7:$C$66,$E1050,'Vols additionnels'!$D$7:$D$66,$F1050,'Vols additionnels'!$B$7:$B$66,$D1050)</f>
        <v>1</v>
      </c>
      <c r="H1050" s="135" t="n">
        <f aca="false">$G1050*'Analyse capacite'!$F$8</f>
        <v>262</v>
      </c>
      <c r="I1050" s="135" t="n">
        <f aca="false">$G1050*'Analyse capacite'!$C$8</f>
        <v>18</v>
      </c>
      <c r="J1050" s="135" t="n">
        <f aca="false">$G1050*'Analyse capacite'!$D$8</f>
        <v>0</v>
      </c>
      <c r="K1050" s="135" t="n">
        <f aca="false">$G1050*'Analyse capacite'!$E$8</f>
        <v>244</v>
      </c>
    </row>
    <row r="1051" customFormat="false" ht="15" hidden="false" customHeight="false" outlineLevel="0" collapsed="false">
      <c r="B1051" s="130" t="n">
        <v>2027</v>
      </c>
      <c r="C1051" s="131" t="s">
        <v>246</v>
      </c>
      <c r="D1051" s="132" t="n">
        <v>46507</v>
      </c>
      <c r="E1051" s="131" t="s">
        <v>12</v>
      </c>
      <c r="F1051" s="133" t="s">
        <v>24</v>
      </c>
      <c r="G1051" s="134" t="n">
        <f aca="false">LEN('Saisie programme'!$H$15)+SUMIFS('Vols additionnels'!$E$7:$E$66,'Vols additionnels'!$C$7:$C$66,$E1051,'Vols additionnels'!$D$7:$D$66,$F1051,'Vols additionnels'!$B$7:$B$66,$D1051)</f>
        <v>0</v>
      </c>
      <c r="H1051" s="135" t="n">
        <f aca="false">$G1051*'Analyse capacite'!$F$9</f>
        <v>0</v>
      </c>
      <c r="I1051" s="135" t="n">
        <f aca="false">$G1051*'Analyse capacite'!$C$9</f>
        <v>0</v>
      </c>
      <c r="J1051" s="135" t="n">
        <f aca="false">$G1051*'Analyse capacite'!$D$9</f>
        <v>0</v>
      </c>
      <c r="K1051" s="135" t="n">
        <f aca="false">$G1051*'Analyse capacite'!$E$9</f>
        <v>0</v>
      </c>
    </row>
    <row r="1052" customFormat="false" ht="15" hidden="false" customHeight="false" outlineLevel="0" collapsed="false">
      <c r="B1052" s="130" t="n">
        <v>2027</v>
      </c>
      <c r="C1052" s="131" t="s">
        <v>246</v>
      </c>
      <c r="D1052" s="132" t="n">
        <v>46507</v>
      </c>
      <c r="E1052" s="131" t="s">
        <v>20</v>
      </c>
      <c r="F1052" s="133" t="s">
        <v>11</v>
      </c>
      <c r="G1052" s="134" t="n">
        <f aca="false">LEN('Saisie programme'!$H$16)+SUMIFS('Vols additionnels'!$E$7:$E$66,'Vols additionnels'!$C$7:$C$66,$E1052,'Vols additionnels'!$D$7:$D$66,$F1052,'Vols additionnels'!$B$7:$B$66,$D1052)</f>
        <v>0</v>
      </c>
      <c r="H1052" s="135" t="n">
        <f aca="false">$G1052*'Analyse capacite'!$F$7</f>
        <v>0</v>
      </c>
      <c r="I1052" s="135" t="n">
        <f aca="false">$G1052*'Analyse capacite'!$C$7</f>
        <v>0</v>
      </c>
      <c r="J1052" s="135" t="n">
        <f aca="false">$G1052*'Analyse capacite'!$D$7</f>
        <v>0</v>
      </c>
      <c r="K1052" s="135" t="n">
        <f aca="false">$G1052*'Analyse capacite'!$E$7</f>
        <v>0</v>
      </c>
    </row>
    <row r="1053" customFormat="false" ht="15" hidden="false" customHeight="false" outlineLevel="0" collapsed="false">
      <c r="B1053" s="130" t="n">
        <v>2027</v>
      </c>
      <c r="C1053" s="131" t="s">
        <v>246</v>
      </c>
      <c r="D1053" s="132" t="n">
        <v>46507</v>
      </c>
      <c r="E1053" s="131" t="s">
        <v>20</v>
      </c>
      <c r="F1053" s="133" t="s">
        <v>19</v>
      </c>
      <c r="G1053" s="134" t="n">
        <f aca="false">LEN('Saisie programme'!$H$17)+SUMIFS('Vols additionnels'!$E$7:$E$66,'Vols additionnels'!$C$7:$C$66,$E1053,'Vols additionnels'!$D$7:$D$66,$F1053,'Vols additionnels'!$B$7:$B$66,$D1053)</f>
        <v>1</v>
      </c>
      <c r="H1053" s="135" t="n">
        <f aca="false">$G1053*'Analyse capacite'!$F$8</f>
        <v>262</v>
      </c>
      <c r="I1053" s="135" t="n">
        <f aca="false">$G1053*'Analyse capacite'!$C$8</f>
        <v>18</v>
      </c>
      <c r="J1053" s="135" t="n">
        <f aca="false">$G1053*'Analyse capacite'!$D$8</f>
        <v>0</v>
      </c>
      <c r="K1053" s="135" t="n">
        <f aca="false">$G1053*'Analyse capacite'!$E$8</f>
        <v>244</v>
      </c>
    </row>
    <row r="1054" customFormat="false" ht="15" hidden="false" customHeight="false" outlineLevel="0" collapsed="false">
      <c r="B1054" s="130" t="n">
        <v>2027</v>
      </c>
      <c r="C1054" s="131" t="s">
        <v>246</v>
      </c>
      <c r="D1054" s="132" t="n">
        <v>46507</v>
      </c>
      <c r="E1054" s="131" t="s">
        <v>20</v>
      </c>
      <c r="F1054" s="133" t="s">
        <v>24</v>
      </c>
      <c r="G1054" s="134" t="n">
        <f aca="false">LEN('Saisie programme'!$H$18)+SUMIFS('Vols additionnels'!$E$7:$E$66,'Vols additionnels'!$C$7:$C$66,$E1054,'Vols additionnels'!$D$7:$D$66,$F1054,'Vols additionnels'!$B$7:$B$66,$D1054)</f>
        <v>0</v>
      </c>
      <c r="H1054" s="135" t="n">
        <f aca="false">$G1054*'Analyse capacite'!$F$9</f>
        <v>0</v>
      </c>
      <c r="I1054" s="135" t="n">
        <f aca="false">$G1054*'Analyse capacite'!$C$9</f>
        <v>0</v>
      </c>
      <c r="J1054" s="135" t="n">
        <f aca="false">$G1054*'Analyse capacite'!$D$9</f>
        <v>0</v>
      </c>
      <c r="K1054" s="135" t="n">
        <f aca="false">$G1054*'Analyse capacite'!$E$9</f>
        <v>0</v>
      </c>
    </row>
    <row r="1055" customFormat="false" ht="15" hidden="false" customHeight="false" outlineLevel="0" collapsed="false">
      <c r="B1055" s="130" t="n">
        <v>2027</v>
      </c>
      <c r="C1055" s="131" t="s">
        <v>246</v>
      </c>
      <c r="D1055" s="132" t="n">
        <v>46507</v>
      </c>
      <c r="E1055" s="131" t="s">
        <v>25</v>
      </c>
      <c r="F1055" s="133" t="s">
        <v>11</v>
      </c>
      <c r="G1055" s="134" t="n">
        <f aca="false">LEN('Saisie programme'!$H$19)+SUMIFS('Vols additionnels'!$E$7:$E$66,'Vols additionnels'!$C$7:$C$66,$E1055,'Vols additionnels'!$D$7:$D$66,$F1055,'Vols additionnels'!$B$7:$B$66,$D1055)</f>
        <v>0</v>
      </c>
      <c r="H1055" s="135" t="n">
        <f aca="false">$G1055*'Analyse capacite'!$F$7</f>
        <v>0</v>
      </c>
      <c r="I1055" s="135" t="n">
        <f aca="false">$G1055*'Analyse capacite'!$C$7</f>
        <v>0</v>
      </c>
      <c r="J1055" s="135" t="n">
        <f aca="false">$G1055*'Analyse capacite'!$D$7</f>
        <v>0</v>
      </c>
      <c r="K1055" s="135" t="n">
        <f aca="false">$G1055*'Analyse capacite'!$E$7</f>
        <v>0</v>
      </c>
    </row>
    <row r="1056" customFormat="false" ht="15" hidden="false" customHeight="false" outlineLevel="0" collapsed="false">
      <c r="B1056" s="130" t="n">
        <v>2027</v>
      </c>
      <c r="C1056" s="131" t="s">
        <v>246</v>
      </c>
      <c r="D1056" s="132" t="n">
        <v>46507</v>
      </c>
      <c r="E1056" s="131" t="s">
        <v>25</v>
      </c>
      <c r="F1056" s="133" t="s">
        <v>19</v>
      </c>
      <c r="G1056" s="134" t="n">
        <f aca="false">LEN('Saisie programme'!$H$20)+SUMIFS('Vols additionnels'!$E$7:$E$66,'Vols additionnels'!$C$7:$C$66,$E1056,'Vols additionnels'!$D$7:$D$66,$F1056,'Vols additionnels'!$B$7:$B$66,$D1056)</f>
        <v>0</v>
      </c>
      <c r="H1056" s="135" t="n">
        <f aca="false">$G1056*'Analyse capacite'!$F$8</f>
        <v>0</v>
      </c>
      <c r="I1056" s="135" t="n">
        <f aca="false">$G1056*'Analyse capacite'!$C$8</f>
        <v>0</v>
      </c>
      <c r="J1056" s="135" t="n">
        <f aca="false">$G1056*'Analyse capacite'!$D$8</f>
        <v>0</v>
      </c>
      <c r="K1056" s="135" t="n">
        <f aca="false">$G1056*'Analyse capacite'!$E$8</f>
        <v>0</v>
      </c>
    </row>
    <row r="1057" customFormat="false" ht="15" hidden="false" customHeight="false" outlineLevel="0" collapsed="false">
      <c r="B1057" s="130" t="n">
        <v>2027</v>
      </c>
      <c r="C1057" s="131" t="s">
        <v>246</v>
      </c>
      <c r="D1057" s="132" t="n">
        <v>46507</v>
      </c>
      <c r="E1057" s="131" t="s">
        <v>25</v>
      </c>
      <c r="F1057" s="133" t="s">
        <v>24</v>
      </c>
      <c r="G1057" s="134" t="n">
        <f aca="false">LEN('Saisie programme'!$H$21)+SUMIFS('Vols additionnels'!$E$7:$E$66,'Vols additionnels'!$C$7:$C$66,$E1057,'Vols additionnels'!$D$7:$D$66,$F1057,'Vols additionnels'!$B$7:$B$66,$D1057)</f>
        <v>0</v>
      </c>
      <c r="H1057" s="135" t="n">
        <f aca="false">$G1057*'Analyse capacite'!$F$9</f>
        <v>0</v>
      </c>
      <c r="I1057" s="135" t="n">
        <f aca="false">$G1057*'Analyse capacite'!$C$9</f>
        <v>0</v>
      </c>
      <c r="J1057" s="135" t="n">
        <f aca="false">$G1057*'Analyse capacite'!$D$9</f>
        <v>0</v>
      </c>
      <c r="K1057" s="135" t="n">
        <f aca="false">$G1057*'Analyse capacite'!$E$9</f>
        <v>0</v>
      </c>
    </row>
    <row r="1058" customFormat="false" ht="15" hidden="false" customHeight="false" outlineLevel="0" collapsed="false">
      <c r="B1058" s="130" t="n">
        <v>2027</v>
      </c>
      <c r="C1058" s="131" t="s">
        <v>246</v>
      </c>
      <c r="D1058" s="132" t="n">
        <v>46507</v>
      </c>
      <c r="E1058" s="131" t="s">
        <v>36</v>
      </c>
      <c r="F1058" s="133" t="s">
        <v>11</v>
      </c>
      <c r="G1058" s="134" t="n">
        <f aca="false">LEN('Saisie programme'!$H$22)+SUMIFS('Vols additionnels'!$E$7:$E$66,'Vols additionnels'!$C$7:$C$66,$E1058,'Vols additionnels'!$D$7:$D$66,$F1058,'Vols additionnels'!$B$7:$B$66,$D1058)</f>
        <v>0</v>
      </c>
      <c r="H1058" s="135" t="n">
        <f aca="false">$G1058*'Analyse capacite'!$F$7</f>
        <v>0</v>
      </c>
      <c r="I1058" s="135" t="n">
        <f aca="false">$G1058*'Analyse capacite'!$C$7</f>
        <v>0</v>
      </c>
      <c r="J1058" s="135" t="n">
        <f aca="false">$G1058*'Analyse capacite'!$D$7</f>
        <v>0</v>
      </c>
      <c r="K1058" s="135" t="n">
        <f aca="false">$G1058*'Analyse capacite'!$E$7</f>
        <v>0</v>
      </c>
    </row>
    <row r="1059" customFormat="false" ht="15" hidden="false" customHeight="false" outlineLevel="0" collapsed="false">
      <c r="B1059" s="130" t="n">
        <v>2027</v>
      </c>
      <c r="C1059" s="131" t="s">
        <v>246</v>
      </c>
      <c r="D1059" s="132" t="n">
        <v>46507</v>
      </c>
      <c r="E1059" s="131" t="s">
        <v>36</v>
      </c>
      <c r="F1059" s="133" t="s">
        <v>19</v>
      </c>
      <c r="G1059" s="134" t="n">
        <f aca="false">LEN('Saisie programme'!$H$23)+SUMIFS('Vols additionnels'!$E$7:$E$66,'Vols additionnels'!$C$7:$C$66,$E1059,'Vols additionnels'!$D$7:$D$66,$F1059,'Vols additionnels'!$B$7:$B$66,$D1059)</f>
        <v>0</v>
      </c>
      <c r="H1059" s="135" t="n">
        <f aca="false">$G1059*'Analyse capacite'!$F$8</f>
        <v>0</v>
      </c>
      <c r="I1059" s="135" t="n">
        <f aca="false">$G1059*'Analyse capacite'!$C$8</f>
        <v>0</v>
      </c>
      <c r="J1059" s="135" t="n">
        <f aca="false">$G1059*'Analyse capacite'!$D$8</f>
        <v>0</v>
      </c>
      <c r="K1059" s="135" t="n">
        <f aca="false">$G1059*'Analyse capacite'!$E$8</f>
        <v>0</v>
      </c>
    </row>
    <row r="1060" customFormat="false" ht="15" hidden="false" customHeight="false" outlineLevel="0" collapsed="false">
      <c r="B1060" s="130" t="n">
        <v>2027</v>
      </c>
      <c r="C1060" s="131" t="s">
        <v>246</v>
      </c>
      <c r="D1060" s="132" t="n">
        <v>46507</v>
      </c>
      <c r="E1060" s="131" t="s">
        <v>36</v>
      </c>
      <c r="F1060" s="133" t="s">
        <v>24</v>
      </c>
      <c r="G1060" s="134" t="n">
        <f aca="false">LEN('Saisie programme'!$H$24)+SUMIFS('Vols additionnels'!$E$7:$E$66,'Vols additionnels'!$C$7:$C$66,$E1060,'Vols additionnels'!$D$7:$D$66,$F1060,'Vols additionnels'!$B$7:$B$66,$D1060)</f>
        <v>1</v>
      </c>
      <c r="H1060" s="135" t="n">
        <f aca="false">$G1060*'Analyse capacite'!$F$9</f>
        <v>174</v>
      </c>
      <c r="I1060" s="135" t="n">
        <f aca="false">$G1060*'Analyse capacite'!$C$9</f>
        <v>0</v>
      </c>
      <c r="J1060" s="135" t="n">
        <f aca="false">$G1060*'Analyse capacite'!$D$9</f>
        <v>12</v>
      </c>
      <c r="K1060" s="135" t="n">
        <f aca="false">$G1060*'Analyse capacite'!$E$9</f>
        <v>162</v>
      </c>
    </row>
    <row r="1061" customFormat="false" ht="15" hidden="false" customHeight="false" outlineLevel="0" collapsed="false">
      <c r="B1061" s="130" t="n">
        <v>2027</v>
      </c>
      <c r="C1061" s="131" t="s">
        <v>246</v>
      </c>
      <c r="D1061" s="132" t="n">
        <v>46507</v>
      </c>
      <c r="E1061" s="131" t="s">
        <v>40</v>
      </c>
      <c r="F1061" s="133" t="s">
        <v>11</v>
      </c>
      <c r="G1061" s="134" t="n">
        <f aca="false">LEN('Saisie programme'!$H$25)+SUMIFS('Vols additionnels'!$E$7:$E$66,'Vols additionnels'!$C$7:$C$66,$E1061,'Vols additionnels'!$D$7:$D$66,$F1061,'Vols additionnels'!$B$7:$B$66,$D1061)</f>
        <v>0</v>
      </c>
      <c r="H1061" s="135" t="n">
        <f aca="false">$G1061*'Analyse capacite'!$F$7</f>
        <v>0</v>
      </c>
      <c r="I1061" s="135" t="n">
        <f aca="false">$G1061*'Analyse capacite'!$C$7</f>
        <v>0</v>
      </c>
      <c r="J1061" s="135" t="n">
        <f aca="false">$G1061*'Analyse capacite'!$D$7</f>
        <v>0</v>
      </c>
      <c r="K1061" s="135" t="n">
        <f aca="false">$G1061*'Analyse capacite'!$E$7</f>
        <v>0</v>
      </c>
    </row>
    <row r="1062" customFormat="false" ht="15" hidden="false" customHeight="false" outlineLevel="0" collapsed="false">
      <c r="B1062" s="130" t="n">
        <v>2027</v>
      </c>
      <c r="C1062" s="131" t="s">
        <v>246</v>
      </c>
      <c r="D1062" s="132" t="n">
        <v>46507</v>
      </c>
      <c r="E1062" s="131" t="s">
        <v>40</v>
      </c>
      <c r="F1062" s="133" t="s">
        <v>19</v>
      </c>
      <c r="G1062" s="134" t="n">
        <f aca="false">LEN('Saisie programme'!$H$26)+SUMIFS('Vols additionnels'!$E$7:$E$66,'Vols additionnels'!$C$7:$C$66,$E1062,'Vols additionnels'!$D$7:$D$66,$F1062,'Vols additionnels'!$B$7:$B$66,$D1062)</f>
        <v>0</v>
      </c>
      <c r="H1062" s="135" t="n">
        <f aca="false">$G1062*'Analyse capacite'!$F$8</f>
        <v>0</v>
      </c>
      <c r="I1062" s="135" t="n">
        <f aca="false">$G1062*'Analyse capacite'!$C$8</f>
        <v>0</v>
      </c>
      <c r="J1062" s="135" t="n">
        <f aca="false">$G1062*'Analyse capacite'!$D$8</f>
        <v>0</v>
      </c>
      <c r="K1062" s="135" t="n">
        <f aca="false">$G1062*'Analyse capacite'!$E$8</f>
        <v>0</v>
      </c>
    </row>
    <row r="1063" customFormat="false" ht="15" hidden="false" customHeight="false" outlineLevel="0" collapsed="false">
      <c r="B1063" s="130" t="n">
        <v>2027</v>
      </c>
      <c r="C1063" s="131" t="s">
        <v>246</v>
      </c>
      <c r="D1063" s="132" t="n">
        <v>46507</v>
      </c>
      <c r="E1063" s="131" t="s">
        <v>40</v>
      </c>
      <c r="F1063" s="133" t="s">
        <v>24</v>
      </c>
      <c r="G1063" s="134" t="n">
        <f aca="false">LEN('Saisie programme'!$H$27)+SUMIFS('Vols additionnels'!$E$7:$E$66,'Vols additionnels'!$C$7:$C$66,$E1063,'Vols additionnels'!$D$7:$D$66,$F1063,'Vols additionnels'!$B$7:$B$66,$D1063)</f>
        <v>1</v>
      </c>
      <c r="H1063" s="135" t="n">
        <f aca="false">$G1063*'Analyse capacite'!$F$9</f>
        <v>174</v>
      </c>
      <c r="I1063" s="135" t="n">
        <f aca="false">$G1063*'Analyse capacite'!$C$9</f>
        <v>0</v>
      </c>
      <c r="J1063" s="135" t="n">
        <f aca="false">$G1063*'Analyse capacite'!$D$9</f>
        <v>12</v>
      </c>
      <c r="K1063" s="135" t="n">
        <f aca="false">$G1063*'Analyse capacite'!$E$9</f>
        <v>162</v>
      </c>
    </row>
    <row r="1064" customFormat="false" ht="15" hidden="false" customHeight="false" outlineLevel="0" collapsed="false">
      <c r="B1064" s="130" t="n">
        <v>2027</v>
      </c>
      <c r="C1064" s="131" t="s">
        <v>246</v>
      </c>
      <c r="D1064" s="132" t="n">
        <v>46507</v>
      </c>
      <c r="E1064" s="131" t="s">
        <v>14</v>
      </c>
      <c r="F1064" s="133" t="s">
        <v>11</v>
      </c>
      <c r="G1064" s="134" t="n">
        <f aca="false">LEN('Saisie programme'!$H$28)+SUMIFS('Vols additionnels'!$E$7:$E$66,'Vols additionnels'!$C$7:$C$66,$E1064,'Vols additionnels'!$D$7:$D$66,$F1064,'Vols additionnels'!$B$7:$B$66,$D1064)</f>
        <v>0</v>
      </c>
      <c r="H1064" s="135" t="n">
        <f aca="false">$G1064*'Analyse capacite'!$F$7</f>
        <v>0</v>
      </c>
      <c r="I1064" s="135" t="n">
        <f aca="false">$G1064*'Analyse capacite'!$C$7</f>
        <v>0</v>
      </c>
      <c r="J1064" s="135" t="n">
        <f aca="false">$G1064*'Analyse capacite'!$D$7</f>
        <v>0</v>
      </c>
      <c r="K1064" s="135" t="n">
        <f aca="false">$G1064*'Analyse capacite'!$E$7</f>
        <v>0</v>
      </c>
    </row>
    <row r="1065" customFormat="false" ht="15" hidden="false" customHeight="false" outlineLevel="0" collapsed="false">
      <c r="B1065" s="130" t="n">
        <v>2027</v>
      </c>
      <c r="C1065" s="131" t="s">
        <v>246</v>
      </c>
      <c r="D1065" s="132" t="n">
        <v>46507</v>
      </c>
      <c r="E1065" s="131" t="s">
        <v>14</v>
      </c>
      <c r="F1065" s="133" t="s">
        <v>19</v>
      </c>
      <c r="G1065" s="134" t="n">
        <f aca="false">LEN('Saisie programme'!$H$29)+SUMIFS('Vols additionnels'!$E$7:$E$66,'Vols additionnels'!$C$7:$C$66,$E1065,'Vols additionnels'!$D$7:$D$66,$F1065,'Vols additionnels'!$B$7:$B$66,$D1065)</f>
        <v>0</v>
      </c>
      <c r="H1065" s="135" t="n">
        <f aca="false">$G1065*'Analyse capacite'!$F$8</f>
        <v>0</v>
      </c>
      <c r="I1065" s="135" t="n">
        <f aca="false">$G1065*'Analyse capacite'!$C$8</f>
        <v>0</v>
      </c>
      <c r="J1065" s="135" t="n">
        <f aca="false">$G1065*'Analyse capacite'!$D$8</f>
        <v>0</v>
      </c>
      <c r="K1065" s="135" t="n">
        <f aca="false">$G1065*'Analyse capacite'!$E$8</f>
        <v>0</v>
      </c>
    </row>
    <row r="1066" customFormat="false" ht="15" hidden="false" customHeight="false" outlineLevel="0" collapsed="false">
      <c r="B1066" s="130" t="n">
        <v>2027</v>
      </c>
      <c r="C1066" s="131" t="s">
        <v>246</v>
      </c>
      <c r="D1066" s="132" t="n">
        <v>46507</v>
      </c>
      <c r="E1066" s="131" t="s">
        <v>14</v>
      </c>
      <c r="F1066" s="133" t="s">
        <v>24</v>
      </c>
      <c r="G1066" s="134" t="n">
        <f aca="false">LEN('Saisie programme'!$H$30)+SUMIFS('Vols additionnels'!$E$7:$E$66,'Vols additionnels'!$C$7:$C$66,$E1066,'Vols additionnels'!$D$7:$D$66,$F1066,'Vols additionnels'!$B$7:$B$66,$D1066)</f>
        <v>0</v>
      </c>
      <c r="H1066" s="135" t="n">
        <f aca="false">$G1066*'Analyse capacite'!$F$9</f>
        <v>0</v>
      </c>
      <c r="I1066" s="135" t="n">
        <f aca="false">$G1066*'Analyse capacite'!$C$9</f>
        <v>0</v>
      </c>
      <c r="J1066" s="135" t="n">
        <f aca="false">$G1066*'Analyse capacite'!$D$9</f>
        <v>0</v>
      </c>
      <c r="K1066" s="135" t="n">
        <f aca="false">$G1066*'Analyse capacite'!$E$9</f>
        <v>0</v>
      </c>
    </row>
    <row r="1067" customFormat="false" ht="15" hidden="false" customHeight="false" outlineLevel="0" collapsed="false">
      <c r="B1067" s="130" t="n">
        <v>2027</v>
      </c>
      <c r="C1067" s="131" t="s">
        <v>246</v>
      </c>
      <c r="D1067" s="132" t="n">
        <v>46507</v>
      </c>
      <c r="E1067" s="131" t="s">
        <v>46</v>
      </c>
      <c r="F1067" s="133" t="s">
        <v>11</v>
      </c>
      <c r="G1067" s="134" t="n">
        <f aca="false">LEN('Saisie programme'!$H$31)+SUMIFS('Vols additionnels'!$E$7:$E$66,'Vols additionnels'!$C$7:$C$66,$E1067,'Vols additionnels'!$D$7:$D$66,$F1067,'Vols additionnels'!$B$7:$B$66,$D1067)</f>
        <v>0</v>
      </c>
      <c r="H1067" s="135" t="n">
        <f aca="false">$G1067*'Analyse capacite'!$F$7</f>
        <v>0</v>
      </c>
      <c r="I1067" s="135" t="n">
        <f aca="false">$G1067*'Analyse capacite'!$C$7</f>
        <v>0</v>
      </c>
      <c r="J1067" s="135" t="n">
        <f aca="false">$G1067*'Analyse capacite'!$D$7</f>
        <v>0</v>
      </c>
      <c r="K1067" s="135" t="n">
        <f aca="false">$G1067*'Analyse capacite'!$E$7</f>
        <v>0</v>
      </c>
    </row>
    <row r="1068" customFormat="false" ht="15" hidden="false" customHeight="false" outlineLevel="0" collapsed="false">
      <c r="B1068" s="130" t="n">
        <v>2027</v>
      </c>
      <c r="C1068" s="131" t="s">
        <v>246</v>
      </c>
      <c r="D1068" s="132" t="n">
        <v>46507</v>
      </c>
      <c r="E1068" s="131" t="s">
        <v>46</v>
      </c>
      <c r="F1068" s="133" t="s">
        <v>19</v>
      </c>
      <c r="G1068" s="134" t="n">
        <f aca="false">LEN('Saisie programme'!$H$32)+SUMIFS('Vols additionnels'!$E$7:$E$66,'Vols additionnels'!$C$7:$C$66,$E1068,'Vols additionnels'!$D$7:$D$66,$F1068,'Vols additionnels'!$B$7:$B$66,$D1068)</f>
        <v>0</v>
      </c>
      <c r="H1068" s="135" t="n">
        <f aca="false">$G1068*'Analyse capacite'!$F$8</f>
        <v>0</v>
      </c>
      <c r="I1068" s="135" t="n">
        <f aca="false">$G1068*'Analyse capacite'!$C$8</f>
        <v>0</v>
      </c>
      <c r="J1068" s="135" t="n">
        <f aca="false">$G1068*'Analyse capacite'!$D$8</f>
        <v>0</v>
      </c>
      <c r="K1068" s="135" t="n">
        <f aca="false">$G1068*'Analyse capacite'!$E$8</f>
        <v>0</v>
      </c>
    </row>
    <row r="1069" customFormat="false" ht="15" hidden="false" customHeight="false" outlineLevel="0" collapsed="false">
      <c r="B1069" s="130" t="n">
        <v>2027</v>
      </c>
      <c r="C1069" s="131" t="s">
        <v>246</v>
      </c>
      <c r="D1069" s="132" t="n">
        <v>46507</v>
      </c>
      <c r="E1069" s="131" t="s">
        <v>46</v>
      </c>
      <c r="F1069" s="133" t="s">
        <v>24</v>
      </c>
      <c r="G1069" s="134" t="n">
        <f aca="false">LEN('Saisie programme'!$H$33)+SUMIFS('Vols additionnels'!$E$7:$E$66,'Vols additionnels'!$C$7:$C$66,$E1069,'Vols additionnels'!$D$7:$D$66,$F1069,'Vols additionnels'!$B$7:$B$66,$D1069)</f>
        <v>0</v>
      </c>
      <c r="H1069" s="135" t="n">
        <f aca="false">$G1069*'Analyse capacite'!$F$9</f>
        <v>0</v>
      </c>
      <c r="I1069" s="135" t="n">
        <f aca="false">$G1069*'Analyse capacite'!$C$9</f>
        <v>0</v>
      </c>
      <c r="J1069" s="135" t="n">
        <f aca="false">$G1069*'Analyse capacite'!$D$9</f>
        <v>0</v>
      </c>
      <c r="K1069" s="135" t="n">
        <f aca="false">$G1069*'Analyse capacite'!$E$9</f>
        <v>0</v>
      </c>
    </row>
    <row r="1070" customFormat="false" ht="15" hidden="false" customHeight="false" outlineLevel="0" collapsed="false">
      <c r="B1070" s="130" t="n">
        <v>2027</v>
      </c>
      <c r="C1070" s="131" t="s">
        <v>246</v>
      </c>
      <c r="D1070" s="132" t="n">
        <v>46507</v>
      </c>
      <c r="E1070" s="131" t="s">
        <v>49</v>
      </c>
      <c r="F1070" s="133" t="s">
        <v>11</v>
      </c>
      <c r="G1070" s="134" t="n">
        <f aca="false">LEN('Saisie programme'!$H$34)+SUMIFS('Vols additionnels'!$E$7:$E$66,'Vols additionnels'!$C$7:$C$66,$E1070,'Vols additionnels'!$D$7:$D$66,$F1070,'Vols additionnels'!$B$7:$B$66,$D1070)</f>
        <v>0</v>
      </c>
      <c r="H1070" s="135" t="n">
        <f aca="false">$G1070*'Analyse capacite'!$F$7</f>
        <v>0</v>
      </c>
      <c r="I1070" s="135" t="n">
        <f aca="false">$G1070*'Analyse capacite'!$C$7</f>
        <v>0</v>
      </c>
      <c r="J1070" s="135" t="n">
        <f aca="false">$G1070*'Analyse capacite'!$D$7</f>
        <v>0</v>
      </c>
      <c r="K1070" s="135" t="n">
        <f aca="false">$G1070*'Analyse capacite'!$E$7</f>
        <v>0</v>
      </c>
    </row>
    <row r="1071" customFormat="false" ht="15" hidden="false" customHeight="false" outlineLevel="0" collapsed="false">
      <c r="B1071" s="130" t="n">
        <v>2027</v>
      </c>
      <c r="C1071" s="131" t="s">
        <v>246</v>
      </c>
      <c r="D1071" s="132" t="n">
        <v>46507</v>
      </c>
      <c r="E1071" s="131" t="s">
        <v>49</v>
      </c>
      <c r="F1071" s="133" t="s">
        <v>19</v>
      </c>
      <c r="G1071" s="134" t="n">
        <f aca="false">LEN('Saisie programme'!$H$35)+SUMIFS('Vols additionnels'!$E$7:$E$66,'Vols additionnels'!$C$7:$C$66,$E1071,'Vols additionnels'!$D$7:$D$66,$F1071,'Vols additionnels'!$B$7:$B$66,$D1071)</f>
        <v>1</v>
      </c>
      <c r="H1071" s="135" t="n">
        <f aca="false">$G1071*'Analyse capacite'!$F$8</f>
        <v>262</v>
      </c>
      <c r="I1071" s="135" t="n">
        <f aca="false">$G1071*'Analyse capacite'!$C$8</f>
        <v>18</v>
      </c>
      <c r="J1071" s="135" t="n">
        <f aca="false">$G1071*'Analyse capacite'!$D$8</f>
        <v>0</v>
      </c>
      <c r="K1071" s="135" t="n">
        <f aca="false">$G1071*'Analyse capacite'!$E$8</f>
        <v>244</v>
      </c>
    </row>
    <row r="1072" customFormat="false" ht="15" hidden="false" customHeight="false" outlineLevel="0" collapsed="false">
      <c r="B1072" s="130" t="n">
        <v>2027</v>
      </c>
      <c r="C1072" s="131" t="s">
        <v>246</v>
      </c>
      <c r="D1072" s="132" t="n">
        <v>46507</v>
      </c>
      <c r="E1072" s="131" t="s">
        <v>49</v>
      </c>
      <c r="F1072" s="133" t="s">
        <v>24</v>
      </c>
      <c r="G1072" s="134" t="n">
        <f aca="false">LEN('Saisie programme'!$H$36)+SUMIFS('Vols additionnels'!$E$7:$E$66,'Vols additionnels'!$C$7:$C$66,$E1072,'Vols additionnels'!$D$7:$D$66,$F1072,'Vols additionnels'!$B$7:$B$66,$D1072)</f>
        <v>0</v>
      </c>
      <c r="H1072" s="135" t="n">
        <f aca="false">$G1072*'Analyse capacite'!$F$9</f>
        <v>0</v>
      </c>
      <c r="I1072" s="135" t="n">
        <f aca="false">$G1072*'Analyse capacite'!$C$9</f>
        <v>0</v>
      </c>
      <c r="J1072" s="135" t="n">
        <f aca="false">$G1072*'Analyse capacite'!$D$9</f>
        <v>0</v>
      </c>
      <c r="K1072" s="135" t="n">
        <f aca="false">$G1072*'Analyse capacite'!$E$9</f>
        <v>0</v>
      </c>
    </row>
    <row r="1073" customFormat="false" ht="15" hidden="false" customHeight="false" outlineLevel="0" collapsed="false">
      <c r="B1073" s="130" t="n">
        <v>2027</v>
      </c>
      <c r="C1073" s="131" t="s">
        <v>246</v>
      </c>
      <c r="D1073" s="132" t="n">
        <v>46507</v>
      </c>
      <c r="E1073" s="131" t="s">
        <v>53</v>
      </c>
      <c r="F1073" s="133" t="s">
        <v>11</v>
      </c>
      <c r="G1073" s="134" t="n">
        <f aca="false">LEN('Saisie programme'!$H$37)+SUMIFS('Vols additionnels'!$E$7:$E$66,'Vols additionnels'!$C$7:$C$66,$E1073,'Vols additionnels'!$D$7:$D$66,$F1073,'Vols additionnels'!$B$7:$B$66,$D1073)</f>
        <v>0</v>
      </c>
      <c r="H1073" s="135" t="n">
        <f aca="false">$G1073*'Analyse capacite'!$F$7</f>
        <v>0</v>
      </c>
      <c r="I1073" s="135" t="n">
        <f aca="false">$G1073*'Analyse capacite'!$C$7</f>
        <v>0</v>
      </c>
      <c r="J1073" s="135" t="n">
        <f aca="false">$G1073*'Analyse capacite'!$D$7</f>
        <v>0</v>
      </c>
      <c r="K1073" s="135" t="n">
        <f aca="false">$G1073*'Analyse capacite'!$E$7</f>
        <v>0</v>
      </c>
    </row>
    <row r="1074" customFormat="false" ht="15" hidden="false" customHeight="false" outlineLevel="0" collapsed="false">
      <c r="B1074" s="130" t="n">
        <v>2027</v>
      </c>
      <c r="C1074" s="131" t="s">
        <v>246</v>
      </c>
      <c r="D1074" s="132" t="n">
        <v>46507</v>
      </c>
      <c r="E1074" s="131" t="s">
        <v>53</v>
      </c>
      <c r="F1074" s="133" t="s">
        <v>19</v>
      </c>
      <c r="G1074" s="134" t="n">
        <f aca="false">LEN('Saisie programme'!$H$38)+SUMIFS('Vols additionnels'!$E$7:$E$66,'Vols additionnels'!$C$7:$C$66,$E1074,'Vols additionnels'!$D$7:$D$66,$F1074,'Vols additionnels'!$B$7:$B$66,$D1074)</f>
        <v>0</v>
      </c>
      <c r="H1074" s="135" t="n">
        <f aca="false">$G1074*'Analyse capacite'!$F$8</f>
        <v>0</v>
      </c>
      <c r="I1074" s="135" t="n">
        <f aca="false">$G1074*'Analyse capacite'!$C$8</f>
        <v>0</v>
      </c>
      <c r="J1074" s="135" t="n">
        <f aca="false">$G1074*'Analyse capacite'!$D$8</f>
        <v>0</v>
      </c>
      <c r="K1074" s="135" t="n">
        <f aca="false">$G1074*'Analyse capacite'!$E$8</f>
        <v>0</v>
      </c>
    </row>
    <row r="1075" customFormat="false" ht="15" hidden="false" customHeight="false" outlineLevel="0" collapsed="false">
      <c r="B1075" s="130" t="n">
        <v>2027</v>
      </c>
      <c r="C1075" s="131" t="s">
        <v>246</v>
      </c>
      <c r="D1075" s="132" t="n">
        <v>46507</v>
      </c>
      <c r="E1075" s="131" t="s">
        <v>53</v>
      </c>
      <c r="F1075" s="133" t="s">
        <v>24</v>
      </c>
      <c r="G1075" s="134" t="n">
        <f aca="false">LEN('Saisie programme'!$H$39)+SUMIFS('Vols additionnels'!$E$7:$E$66,'Vols additionnels'!$C$7:$C$66,$E1075,'Vols additionnels'!$D$7:$D$66,$F1075,'Vols additionnels'!$B$7:$B$66,$D1075)</f>
        <v>0</v>
      </c>
      <c r="H1075" s="135" t="n">
        <f aca="false">$G1075*'Analyse capacite'!$F$9</f>
        <v>0</v>
      </c>
      <c r="I1075" s="135" t="n">
        <f aca="false">$G1075*'Analyse capacite'!$C$9</f>
        <v>0</v>
      </c>
      <c r="J1075" s="135" t="n">
        <f aca="false">$G1075*'Analyse capacite'!$D$9</f>
        <v>0</v>
      </c>
      <c r="K1075" s="135" t="n">
        <f aca="false">$G1075*'Analyse capacite'!$E$9</f>
        <v>0</v>
      </c>
    </row>
    <row r="1076" customFormat="false" ht="15" hidden="false" customHeight="false" outlineLevel="0" collapsed="false">
      <c r="B1076" s="130" t="n">
        <v>2027</v>
      </c>
      <c r="C1076" s="131" t="s">
        <v>246</v>
      </c>
      <c r="D1076" s="132" t="n">
        <v>46507</v>
      </c>
      <c r="E1076" s="131" t="s">
        <v>56</v>
      </c>
      <c r="F1076" s="133" t="s">
        <v>11</v>
      </c>
      <c r="G1076" s="134" t="n">
        <f aca="false">LEN('Saisie programme'!$H$40)+SUMIFS('Vols additionnels'!$E$7:$E$66,'Vols additionnels'!$C$7:$C$66,$E1076,'Vols additionnels'!$D$7:$D$66,$F1076,'Vols additionnels'!$B$7:$B$66,$D1076)</f>
        <v>0</v>
      </c>
      <c r="H1076" s="135" t="n">
        <f aca="false">$G1076*'Analyse capacite'!$F$7</f>
        <v>0</v>
      </c>
      <c r="I1076" s="135" t="n">
        <f aca="false">$G1076*'Analyse capacite'!$C$7</f>
        <v>0</v>
      </c>
      <c r="J1076" s="135" t="n">
        <f aca="false">$G1076*'Analyse capacite'!$D$7</f>
        <v>0</v>
      </c>
      <c r="K1076" s="135" t="n">
        <f aca="false">$G1076*'Analyse capacite'!$E$7</f>
        <v>0</v>
      </c>
    </row>
    <row r="1077" customFormat="false" ht="15" hidden="false" customHeight="false" outlineLevel="0" collapsed="false">
      <c r="B1077" s="130" t="n">
        <v>2027</v>
      </c>
      <c r="C1077" s="131" t="s">
        <v>246</v>
      </c>
      <c r="D1077" s="132" t="n">
        <v>46507</v>
      </c>
      <c r="E1077" s="131" t="s">
        <v>56</v>
      </c>
      <c r="F1077" s="133" t="s">
        <v>19</v>
      </c>
      <c r="G1077" s="134" t="n">
        <f aca="false">LEN('Saisie programme'!$H$41)+SUMIFS('Vols additionnels'!$E$7:$E$66,'Vols additionnels'!$C$7:$C$66,$E1077,'Vols additionnels'!$D$7:$D$66,$F1077,'Vols additionnels'!$B$7:$B$66,$D1077)</f>
        <v>0</v>
      </c>
      <c r="H1077" s="135" t="n">
        <f aca="false">$G1077*'Analyse capacite'!$F$8</f>
        <v>0</v>
      </c>
      <c r="I1077" s="135" t="n">
        <f aca="false">$G1077*'Analyse capacite'!$C$8</f>
        <v>0</v>
      </c>
      <c r="J1077" s="135" t="n">
        <f aca="false">$G1077*'Analyse capacite'!$D$8</f>
        <v>0</v>
      </c>
      <c r="K1077" s="135" t="n">
        <f aca="false">$G1077*'Analyse capacite'!$E$8</f>
        <v>0</v>
      </c>
    </row>
    <row r="1078" customFormat="false" ht="15" hidden="false" customHeight="false" outlineLevel="0" collapsed="false">
      <c r="B1078" s="130" t="n">
        <v>2027</v>
      </c>
      <c r="C1078" s="131" t="s">
        <v>246</v>
      </c>
      <c r="D1078" s="132" t="n">
        <v>46507</v>
      </c>
      <c r="E1078" s="131" t="s">
        <v>56</v>
      </c>
      <c r="F1078" s="133" t="s">
        <v>24</v>
      </c>
      <c r="G1078" s="134" t="n">
        <f aca="false">LEN('Saisie programme'!$H$42)+SUMIFS('Vols additionnels'!$E$7:$E$66,'Vols additionnels'!$C$7:$C$66,$E1078,'Vols additionnels'!$D$7:$D$66,$F1078,'Vols additionnels'!$B$7:$B$66,$D1078)</f>
        <v>0</v>
      </c>
      <c r="H1078" s="135" t="n">
        <f aca="false">$G1078*'Analyse capacite'!$F$9</f>
        <v>0</v>
      </c>
      <c r="I1078" s="135" t="n">
        <f aca="false">$G1078*'Analyse capacite'!$C$9</f>
        <v>0</v>
      </c>
      <c r="J1078" s="135" t="n">
        <f aca="false">$G1078*'Analyse capacite'!$D$9</f>
        <v>0</v>
      </c>
      <c r="K1078" s="135" t="n">
        <f aca="false">$G1078*'Analyse capacite'!$E$9</f>
        <v>0</v>
      </c>
    </row>
    <row r="1079" customFormat="false" ht="15" hidden="false" customHeight="false" outlineLevel="0" collapsed="false">
      <c r="B1079" s="130" t="n">
        <v>2027</v>
      </c>
      <c r="C1079" s="131" t="s">
        <v>246</v>
      </c>
      <c r="D1079" s="132" t="n">
        <v>46507</v>
      </c>
      <c r="E1079" s="131" t="s">
        <v>59</v>
      </c>
      <c r="F1079" s="133" t="s">
        <v>11</v>
      </c>
      <c r="G1079" s="134" t="n">
        <f aca="false">LEN('Saisie programme'!$H$43)+SUMIFS('Vols additionnels'!$E$7:$E$66,'Vols additionnels'!$C$7:$C$66,$E1079,'Vols additionnels'!$D$7:$D$66,$F1079,'Vols additionnels'!$B$7:$B$66,$D1079)</f>
        <v>0</v>
      </c>
      <c r="H1079" s="135" t="n">
        <f aca="false">$G1079*'Analyse capacite'!$F$7</f>
        <v>0</v>
      </c>
      <c r="I1079" s="135" t="n">
        <f aca="false">$G1079*'Analyse capacite'!$C$7</f>
        <v>0</v>
      </c>
      <c r="J1079" s="135" t="n">
        <f aca="false">$G1079*'Analyse capacite'!$D$7</f>
        <v>0</v>
      </c>
      <c r="K1079" s="135" t="n">
        <f aca="false">$G1079*'Analyse capacite'!$E$7</f>
        <v>0</v>
      </c>
    </row>
    <row r="1080" customFormat="false" ht="15" hidden="false" customHeight="false" outlineLevel="0" collapsed="false">
      <c r="B1080" s="130" t="n">
        <v>2027</v>
      </c>
      <c r="C1080" s="131" t="s">
        <v>246</v>
      </c>
      <c r="D1080" s="132" t="n">
        <v>46507</v>
      </c>
      <c r="E1080" s="131" t="s">
        <v>59</v>
      </c>
      <c r="F1080" s="133" t="s">
        <v>19</v>
      </c>
      <c r="G1080" s="134" t="n">
        <f aca="false">LEN('Saisie programme'!$H$44)+SUMIFS('Vols additionnels'!$E$7:$E$66,'Vols additionnels'!$C$7:$C$66,$E1080,'Vols additionnels'!$D$7:$D$66,$F1080,'Vols additionnels'!$B$7:$B$66,$D1080)</f>
        <v>0</v>
      </c>
      <c r="H1080" s="135" t="n">
        <f aca="false">$G1080*'Analyse capacite'!$F$8</f>
        <v>0</v>
      </c>
      <c r="I1080" s="135" t="n">
        <f aca="false">$G1080*'Analyse capacite'!$C$8</f>
        <v>0</v>
      </c>
      <c r="J1080" s="135" t="n">
        <f aca="false">$G1080*'Analyse capacite'!$D$8</f>
        <v>0</v>
      </c>
      <c r="K1080" s="135" t="n">
        <f aca="false">$G1080*'Analyse capacite'!$E$8</f>
        <v>0</v>
      </c>
    </row>
    <row r="1081" customFormat="false" ht="15" hidden="false" customHeight="false" outlineLevel="0" collapsed="false">
      <c r="B1081" s="130" t="n">
        <v>2027</v>
      </c>
      <c r="C1081" s="131" t="s">
        <v>246</v>
      </c>
      <c r="D1081" s="132" t="n">
        <v>46507</v>
      </c>
      <c r="E1081" s="131" t="s">
        <v>59</v>
      </c>
      <c r="F1081" s="133" t="s">
        <v>24</v>
      </c>
      <c r="G1081" s="134" t="n">
        <f aca="false">LEN('Saisie programme'!$H$45)+SUMIFS('Vols additionnels'!$E$7:$E$66,'Vols additionnels'!$C$7:$C$66,$E1081,'Vols additionnels'!$D$7:$D$66,$F1081,'Vols additionnels'!$B$7:$B$66,$D1081)</f>
        <v>1</v>
      </c>
      <c r="H1081" s="135" t="n">
        <f aca="false">$G1081*'Analyse capacite'!$F$9</f>
        <v>174</v>
      </c>
      <c r="I1081" s="135" t="n">
        <f aca="false">$G1081*'Analyse capacite'!$C$9</f>
        <v>0</v>
      </c>
      <c r="J1081" s="135" t="n">
        <f aca="false">$G1081*'Analyse capacite'!$D$9</f>
        <v>12</v>
      </c>
      <c r="K1081" s="135" t="n">
        <f aca="false">$G1081*'Analyse capacite'!$E$9</f>
        <v>162</v>
      </c>
    </row>
    <row r="1082" customFormat="false" ht="15" hidden="false" customHeight="false" outlineLevel="0" collapsed="false">
      <c r="B1082" s="130" t="n">
        <v>2027</v>
      </c>
      <c r="C1082" s="131" t="s">
        <v>246</v>
      </c>
      <c r="D1082" s="132" t="n">
        <v>46507</v>
      </c>
      <c r="E1082" s="131" t="s">
        <v>62</v>
      </c>
      <c r="F1082" s="133" t="s">
        <v>11</v>
      </c>
      <c r="G1082" s="134" t="n">
        <f aca="false">LEN('Saisie programme'!$H$46)+SUMIFS('Vols additionnels'!$E$7:$E$66,'Vols additionnels'!$C$7:$C$66,$E1082,'Vols additionnels'!$D$7:$D$66,$F1082,'Vols additionnels'!$B$7:$B$66,$D1082)</f>
        <v>0</v>
      </c>
      <c r="H1082" s="135" t="n">
        <f aca="false">$G1082*'Analyse capacite'!$F$7</f>
        <v>0</v>
      </c>
      <c r="I1082" s="135" t="n">
        <f aca="false">$G1082*'Analyse capacite'!$C$7</f>
        <v>0</v>
      </c>
      <c r="J1082" s="135" t="n">
        <f aca="false">$G1082*'Analyse capacite'!$D$7</f>
        <v>0</v>
      </c>
      <c r="K1082" s="135" t="n">
        <f aca="false">$G1082*'Analyse capacite'!$E$7</f>
        <v>0</v>
      </c>
    </row>
    <row r="1083" customFormat="false" ht="15" hidden="false" customHeight="false" outlineLevel="0" collapsed="false">
      <c r="B1083" s="130" t="n">
        <v>2027</v>
      </c>
      <c r="C1083" s="131" t="s">
        <v>246</v>
      </c>
      <c r="D1083" s="132" t="n">
        <v>46507</v>
      </c>
      <c r="E1083" s="131" t="s">
        <v>62</v>
      </c>
      <c r="F1083" s="133" t="s">
        <v>19</v>
      </c>
      <c r="G1083" s="134" t="n">
        <f aca="false">LEN('Saisie programme'!$H$47)+SUMIFS('Vols additionnels'!$E$7:$E$66,'Vols additionnels'!$C$7:$C$66,$E1083,'Vols additionnels'!$D$7:$D$66,$F1083,'Vols additionnels'!$B$7:$B$66,$D1083)</f>
        <v>0</v>
      </c>
      <c r="H1083" s="135" t="n">
        <f aca="false">$G1083*'Analyse capacite'!$F$8</f>
        <v>0</v>
      </c>
      <c r="I1083" s="135" t="n">
        <f aca="false">$G1083*'Analyse capacite'!$C$8</f>
        <v>0</v>
      </c>
      <c r="J1083" s="135" t="n">
        <f aca="false">$G1083*'Analyse capacite'!$D$8</f>
        <v>0</v>
      </c>
      <c r="K1083" s="135" t="n">
        <f aca="false">$G1083*'Analyse capacite'!$E$8</f>
        <v>0</v>
      </c>
    </row>
    <row r="1084" customFormat="false" ht="15" hidden="false" customHeight="false" outlineLevel="0" collapsed="false">
      <c r="B1084" s="130" t="n">
        <v>2027</v>
      </c>
      <c r="C1084" s="131" t="s">
        <v>246</v>
      </c>
      <c r="D1084" s="132" t="n">
        <v>46507</v>
      </c>
      <c r="E1084" s="131" t="s">
        <v>62</v>
      </c>
      <c r="F1084" s="133" t="s">
        <v>24</v>
      </c>
      <c r="G1084" s="134" t="n">
        <f aca="false">LEN('Saisie programme'!$H$48)+SUMIFS('Vols additionnels'!$E$7:$E$66,'Vols additionnels'!$C$7:$C$66,$E1084,'Vols additionnels'!$D$7:$D$66,$F1084,'Vols additionnels'!$B$7:$B$66,$D1084)</f>
        <v>0</v>
      </c>
      <c r="H1084" s="135" t="n">
        <f aca="false">$G1084*'Analyse capacite'!$F$9</f>
        <v>0</v>
      </c>
      <c r="I1084" s="135" t="n">
        <f aca="false">$G1084*'Analyse capacite'!$C$9</f>
        <v>0</v>
      </c>
      <c r="J1084" s="135" t="n">
        <f aca="false">$G1084*'Analyse capacite'!$D$9</f>
        <v>0</v>
      </c>
      <c r="K1084" s="135" t="n">
        <f aca="false">$G1084*'Analyse capacite'!$E$9</f>
        <v>0</v>
      </c>
    </row>
    <row r="1085" customFormat="false" ht="15" hidden="false" customHeight="false" outlineLevel="0" collapsed="false">
      <c r="B1085" s="130" t="n">
        <v>2027</v>
      </c>
      <c r="C1085" s="131" t="s">
        <v>247</v>
      </c>
      <c r="D1085" s="132" t="n">
        <v>46508</v>
      </c>
      <c r="E1085" s="131" t="s">
        <v>12</v>
      </c>
      <c r="F1085" s="133" t="s">
        <v>11</v>
      </c>
      <c r="G1085" s="134" t="n">
        <f aca="false">LEN('Saisie programme'!$I$52)+SUMIFS('Vols additionnels'!$E$7:$E$66,'Vols additionnels'!$C$7:$C$66,$E1085,'Vols additionnels'!$D$7:$D$66,$F1085,'Vols additionnels'!$B$7:$B$66,$D1085)</f>
        <v>1</v>
      </c>
      <c r="H1085" s="135" t="n">
        <f aca="false">$G1085*'Analyse capacite'!$F$7</f>
        <v>438</v>
      </c>
      <c r="I1085" s="135" t="n">
        <f aca="false">$G1085*'Analyse capacite'!$C$7</f>
        <v>14</v>
      </c>
      <c r="J1085" s="135" t="n">
        <f aca="false">$G1085*'Analyse capacite'!$D$7</f>
        <v>40</v>
      </c>
      <c r="K1085" s="135" t="n">
        <f aca="false">$G1085*'Analyse capacite'!$E$7</f>
        <v>384</v>
      </c>
    </row>
    <row r="1086" customFormat="false" ht="15" hidden="false" customHeight="false" outlineLevel="0" collapsed="false">
      <c r="B1086" s="130" t="n">
        <v>2027</v>
      </c>
      <c r="C1086" s="131" t="s">
        <v>247</v>
      </c>
      <c r="D1086" s="132" t="n">
        <v>46508</v>
      </c>
      <c r="E1086" s="131" t="s">
        <v>12</v>
      </c>
      <c r="F1086" s="133" t="s">
        <v>19</v>
      </c>
      <c r="G1086" s="134" t="n">
        <f aca="false">LEN('Saisie programme'!$I$53)+SUMIFS('Vols additionnels'!$E$7:$E$66,'Vols additionnels'!$C$7:$C$66,$E1086,'Vols additionnels'!$D$7:$D$66,$F1086,'Vols additionnels'!$B$7:$B$66,$D1086)</f>
        <v>0</v>
      </c>
      <c r="H1086" s="135" t="n">
        <f aca="false">$G1086*'Analyse capacite'!$F$8</f>
        <v>0</v>
      </c>
      <c r="I1086" s="135" t="n">
        <f aca="false">$G1086*'Analyse capacite'!$C$8</f>
        <v>0</v>
      </c>
      <c r="J1086" s="135" t="n">
        <f aca="false">$G1086*'Analyse capacite'!$D$8</f>
        <v>0</v>
      </c>
      <c r="K1086" s="135" t="n">
        <f aca="false">$G1086*'Analyse capacite'!$E$8</f>
        <v>0</v>
      </c>
    </row>
    <row r="1087" customFormat="false" ht="15" hidden="false" customHeight="false" outlineLevel="0" collapsed="false">
      <c r="B1087" s="130" t="n">
        <v>2027</v>
      </c>
      <c r="C1087" s="131" t="s">
        <v>247</v>
      </c>
      <c r="D1087" s="132" t="n">
        <v>46508</v>
      </c>
      <c r="E1087" s="131" t="s">
        <v>12</v>
      </c>
      <c r="F1087" s="133" t="s">
        <v>24</v>
      </c>
      <c r="G1087" s="134" t="n">
        <f aca="false">LEN('Saisie programme'!$I$54)+SUMIFS('Vols additionnels'!$E$7:$E$66,'Vols additionnels'!$C$7:$C$66,$E1087,'Vols additionnels'!$D$7:$D$66,$F1087,'Vols additionnels'!$B$7:$B$66,$D1087)</f>
        <v>0</v>
      </c>
      <c r="H1087" s="135" t="n">
        <f aca="false">$G1087*'Analyse capacite'!$F$9</f>
        <v>0</v>
      </c>
      <c r="I1087" s="135" t="n">
        <f aca="false">$G1087*'Analyse capacite'!$C$9</f>
        <v>0</v>
      </c>
      <c r="J1087" s="135" t="n">
        <f aca="false">$G1087*'Analyse capacite'!$D$9</f>
        <v>0</v>
      </c>
      <c r="K1087" s="135" t="n">
        <f aca="false">$G1087*'Analyse capacite'!$E$9</f>
        <v>0</v>
      </c>
    </row>
    <row r="1088" customFormat="false" ht="15" hidden="false" customHeight="false" outlineLevel="0" collapsed="false">
      <c r="B1088" s="130" t="n">
        <v>2027</v>
      </c>
      <c r="C1088" s="131" t="s">
        <v>247</v>
      </c>
      <c r="D1088" s="132" t="n">
        <v>46508</v>
      </c>
      <c r="E1088" s="131" t="s">
        <v>20</v>
      </c>
      <c r="F1088" s="133" t="s">
        <v>11</v>
      </c>
      <c r="G1088" s="134" t="n">
        <f aca="false">LEN('Saisie programme'!$I$55)+SUMIFS('Vols additionnels'!$E$7:$E$66,'Vols additionnels'!$C$7:$C$66,$E1088,'Vols additionnels'!$D$7:$D$66,$F1088,'Vols additionnels'!$B$7:$B$66,$D1088)</f>
        <v>0</v>
      </c>
      <c r="H1088" s="135" t="n">
        <f aca="false">$G1088*'Analyse capacite'!$F$7</f>
        <v>0</v>
      </c>
      <c r="I1088" s="135" t="n">
        <f aca="false">$G1088*'Analyse capacite'!$C$7</f>
        <v>0</v>
      </c>
      <c r="J1088" s="135" t="n">
        <f aca="false">$G1088*'Analyse capacite'!$D$7</f>
        <v>0</v>
      </c>
      <c r="K1088" s="135" t="n">
        <f aca="false">$G1088*'Analyse capacite'!$E$7</f>
        <v>0</v>
      </c>
    </row>
    <row r="1089" customFormat="false" ht="15" hidden="false" customHeight="false" outlineLevel="0" collapsed="false">
      <c r="B1089" s="130" t="n">
        <v>2027</v>
      </c>
      <c r="C1089" s="131" t="s">
        <v>247</v>
      </c>
      <c r="D1089" s="132" t="n">
        <v>46508</v>
      </c>
      <c r="E1089" s="131" t="s">
        <v>20</v>
      </c>
      <c r="F1089" s="133" t="s">
        <v>19</v>
      </c>
      <c r="G1089" s="134" t="n">
        <f aca="false">LEN('Saisie programme'!$I$56)+SUMIFS('Vols additionnels'!$E$7:$E$66,'Vols additionnels'!$C$7:$C$66,$E1089,'Vols additionnels'!$D$7:$D$66,$F1089,'Vols additionnels'!$B$7:$B$66,$D1089)</f>
        <v>0</v>
      </c>
      <c r="H1089" s="135" t="n">
        <f aca="false">$G1089*'Analyse capacite'!$F$8</f>
        <v>0</v>
      </c>
      <c r="I1089" s="135" t="n">
        <f aca="false">$G1089*'Analyse capacite'!$C$8</f>
        <v>0</v>
      </c>
      <c r="J1089" s="135" t="n">
        <f aca="false">$G1089*'Analyse capacite'!$D$8</f>
        <v>0</v>
      </c>
      <c r="K1089" s="135" t="n">
        <f aca="false">$G1089*'Analyse capacite'!$E$8</f>
        <v>0</v>
      </c>
    </row>
    <row r="1090" customFormat="false" ht="15" hidden="false" customHeight="false" outlineLevel="0" collapsed="false">
      <c r="B1090" s="130" t="n">
        <v>2027</v>
      </c>
      <c r="C1090" s="131" t="s">
        <v>247</v>
      </c>
      <c r="D1090" s="132" t="n">
        <v>46508</v>
      </c>
      <c r="E1090" s="131" t="s">
        <v>20</v>
      </c>
      <c r="F1090" s="133" t="s">
        <v>24</v>
      </c>
      <c r="G1090" s="134" t="n">
        <f aca="false">LEN('Saisie programme'!$I$57)+SUMIFS('Vols additionnels'!$E$7:$E$66,'Vols additionnels'!$C$7:$C$66,$E1090,'Vols additionnels'!$D$7:$D$66,$F1090,'Vols additionnels'!$B$7:$B$66,$D1090)</f>
        <v>0</v>
      </c>
      <c r="H1090" s="135" t="n">
        <f aca="false">$G1090*'Analyse capacite'!$F$9</f>
        <v>0</v>
      </c>
      <c r="I1090" s="135" t="n">
        <f aca="false">$G1090*'Analyse capacite'!$C$9</f>
        <v>0</v>
      </c>
      <c r="J1090" s="135" t="n">
        <f aca="false">$G1090*'Analyse capacite'!$D$9</f>
        <v>0</v>
      </c>
      <c r="K1090" s="135" t="n">
        <f aca="false">$G1090*'Analyse capacite'!$E$9</f>
        <v>0</v>
      </c>
    </row>
    <row r="1091" customFormat="false" ht="15" hidden="false" customHeight="false" outlineLevel="0" collapsed="false">
      <c r="B1091" s="130" t="n">
        <v>2027</v>
      </c>
      <c r="C1091" s="131" t="s">
        <v>247</v>
      </c>
      <c r="D1091" s="132" t="n">
        <v>46508</v>
      </c>
      <c r="E1091" s="131" t="s">
        <v>25</v>
      </c>
      <c r="F1091" s="133" t="s">
        <v>11</v>
      </c>
      <c r="G1091" s="134" t="n">
        <f aca="false">LEN('Saisie programme'!$I$58)+SUMIFS('Vols additionnels'!$E$7:$E$66,'Vols additionnels'!$C$7:$C$66,$E1091,'Vols additionnels'!$D$7:$D$66,$F1091,'Vols additionnels'!$B$7:$B$66,$D1091)</f>
        <v>0</v>
      </c>
      <c r="H1091" s="135" t="n">
        <f aca="false">$G1091*'Analyse capacite'!$F$7</f>
        <v>0</v>
      </c>
      <c r="I1091" s="135" t="n">
        <f aca="false">$G1091*'Analyse capacite'!$C$7</f>
        <v>0</v>
      </c>
      <c r="J1091" s="135" t="n">
        <f aca="false">$G1091*'Analyse capacite'!$D$7</f>
        <v>0</v>
      </c>
      <c r="K1091" s="135" t="n">
        <f aca="false">$G1091*'Analyse capacite'!$E$7</f>
        <v>0</v>
      </c>
    </row>
    <row r="1092" customFormat="false" ht="15" hidden="false" customHeight="false" outlineLevel="0" collapsed="false">
      <c r="B1092" s="130" t="n">
        <v>2027</v>
      </c>
      <c r="C1092" s="131" t="s">
        <v>247</v>
      </c>
      <c r="D1092" s="132" t="n">
        <v>46508</v>
      </c>
      <c r="E1092" s="131" t="s">
        <v>25</v>
      </c>
      <c r="F1092" s="133" t="s">
        <v>19</v>
      </c>
      <c r="G1092" s="134" t="n">
        <f aca="false">LEN('Saisie programme'!$I$59)+SUMIFS('Vols additionnels'!$E$7:$E$66,'Vols additionnels'!$C$7:$C$66,$E1092,'Vols additionnels'!$D$7:$D$66,$F1092,'Vols additionnels'!$B$7:$B$66,$D1092)</f>
        <v>1</v>
      </c>
      <c r="H1092" s="135" t="n">
        <f aca="false">$G1092*'Analyse capacite'!$F$8</f>
        <v>262</v>
      </c>
      <c r="I1092" s="135" t="n">
        <f aca="false">$G1092*'Analyse capacite'!$C$8</f>
        <v>18</v>
      </c>
      <c r="J1092" s="135" t="n">
        <f aca="false">$G1092*'Analyse capacite'!$D$8</f>
        <v>0</v>
      </c>
      <c r="K1092" s="135" t="n">
        <f aca="false">$G1092*'Analyse capacite'!$E$8</f>
        <v>244</v>
      </c>
    </row>
    <row r="1093" customFormat="false" ht="15" hidden="false" customHeight="false" outlineLevel="0" collapsed="false">
      <c r="B1093" s="130" t="n">
        <v>2027</v>
      </c>
      <c r="C1093" s="131" t="s">
        <v>247</v>
      </c>
      <c r="D1093" s="132" t="n">
        <v>46508</v>
      </c>
      <c r="E1093" s="131" t="s">
        <v>25</v>
      </c>
      <c r="F1093" s="133" t="s">
        <v>24</v>
      </c>
      <c r="G1093" s="134" t="n">
        <f aca="false">LEN('Saisie programme'!$I$60)+SUMIFS('Vols additionnels'!$E$7:$E$66,'Vols additionnels'!$C$7:$C$66,$E1093,'Vols additionnels'!$D$7:$D$66,$F1093,'Vols additionnels'!$B$7:$B$66,$D1093)</f>
        <v>0</v>
      </c>
      <c r="H1093" s="135" t="n">
        <f aca="false">$G1093*'Analyse capacite'!$F$9</f>
        <v>0</v>
      </c>
      <c r="I1093" s="135" t="n">
        <f aca="false">$G1093*'Analyse capacite'!$C$9</f>
        <v>0</v>
      </c>
      <c r="J1093" s="135" t="n">
        <f aca="false">$G1093*'Analyse capacite'!$D$9</f>
        <v>0</v>
      </c>
      <c r="K1093" s="135" t="n">
        <f aca="false">$G1093*'Analyse capacite'!$E$9</f>
        <v>0</v>
      </c>
    </row>
    <row r="1094" customFormat="false" ht="15" hidden="false" customHeight="false" outlineLevel="0" collapsed="false">
      <c r="B1094" s="130" t="n">
        <v>2027</v>
      </c>
      <c r="C1094" s="131" t="s">
        <v>247</v>
      </c>
      <c r="D1094" s="132" t="n">
        <v>46508</v>
      </c>
      <c r="E1094" s="131" t="s">
        <v>36</v>
      </c>
      <c r="F1094" s="133" t="s">
        <v>11</v>
      </c>
      <c r="G1094" s="134" t="n">
        <f aca="false">LEN('Saisie programme'!$I$61)+SUMIFS('Vols additionnels'!$E$7:$E$66,'Vols additionnels'!$C$7:$C$66,$E1094,'Vols additionnels'!$D$7:$D$66,$F1094,'Vols additionnels'!$B$7:$B$66,$D1094)</f>
        <v>0</v>
      </c>
      <c r="H1094" s="135" t="n">
        <f aca="false">$G1094*'Analyse capacite'!$F$7</f>
        <v>0</v>
      </c>
      <c r="I1094" s="135" t="n">
        <f aca="false">$G1094*'Analyse capacite'!$C$7</f>
        <v>0</v>
      </c>
      <c r="J1094" s="135" t="n">
        <f aca="false">$G1094*'Analyse capacite'!$D$7</f>
        <v>0</v>
      </c>
      <c r="K1094" s="135" t="n">
        <f aca="false">$G1094*'Analyse capacite'!$E$7</f>
        <v>0</v>
      </c>
    </row>
    <row r="1095" customFormat="false" ht="15" hidden="false" customHeight="false" outlineLevel="0" collapsed="false">
      <c r="B1095" s="130" t="n">
        <v>2027</v>
      </c>
      <c r="C1095" s="131" t="s">
        <v>247</v>
      </c>
      <c r="D1095" s="132" t="n">
        <v>46508</v>
      </c>
      <c r="E1095" s="131" t="s">
        <v>36</v>
      </c>
      <c r="F1095" s="133" t="s">
        <v>19</v>
      </c>
      <c r="G1095" s="134" t="n">
        <f aca="false">LEN('Saisie programme'!$I$62)+SUMIFS('Vols additionnels'!$E$7:$E$66,'Vols additionnels'!$C$7:$C$66,$E1095,'Vols additionnels'!$D$7:$D$66,$F1095,'Vols additionnels'!$B$7:$B$66,$D1095)</f>
        <v>0</v>
      </c>
      <c r="H1095" s="135" t="n">
        <f aca="false">$G1095*'Analyse capacite'!$F$8</f>
        <v>0</v>
      </c>
      <c r="I1095" s="135" t="n">
        <f aca="false">$G1095*'Analyse capacite'!$C$8</f>
        <v>0</v>
      </c>
      <c r="J1095" s="135" t="n">
        <f aca="false">$G1095*'Analyse capacite'!$D$8</f>
        <v>0</v>
      </c>
      <c r="K1095" s="135" t="n">
        <f aca="false">$G1095*'Analyse capacite'!$E$8</f>
        <v>0</v>
      </c>
    </row>
    <row r="1096" customFormat="false" ht="15" hidden="false" customHeight="false" outlineLevel="0" collapsed="false">
      <c r="B1096" s="130" t="n">
        <v>2027</v>
      </c>
      <c r="C1096" s="131" t="s">
        <v>247</v>
      </c>
      <c r="D1096" s="132" t="n">
        <v>46508</v>
      </c>
      <c r="E1096" s="131" t="s">
        <v>36</v>
      </c>
      <c r="F1096" s="133" t="s">
        <v>24</v>
      </c>
      <c r="G1096" s="134" t="n">
        <f aca="false">LEN('Saisie programme'!$I$63)+SUMIFS('Vols additionnels'!$E$7:$E$66,'Vols additionnels'!$C$7:$C$66,$E1096,'Vols additionnels'!$D$7:$D$66,$F1096,'Vols additionnels'!$B$7:$B$66,$D1096)</f>
        <v>0</v>
      </c>
      <c r="H1096" s="135" t="n">
        <f aca="false">$G1096*'Analyse capacite'!$F$9</f>
        <v>0</v>
      </c>
      <c r="I1096" s="135" t="n">
        <f aca="false">$G1096*'Analyse capacite'!$C$9</f>
        <v>0</v>
      </c>
      <c r="J1096" s="135" t="n">
        <f aca="false">$G1096*'Analyse capacite'!$D$9</f>
        <v>0</v>
      </c>
      <c r="K1096" s="135" t="n">
        <f aca="false">$G1096*'Analyse capacite'!$E$9</f>
        <v>0</v>
      </c>
    </row>
    <row r="1097" customFormat="false" ht="15" hidden="false" customHeight="false" outlineLevel="0" collapsed="false">
      <c r="B1097" s="130" t="n">
        <v>2027</v>
      </c>
      <c r="C1097" s="131" t="s">
        <v>247</v>
      </c>
      <c r="D1097" s="132" t="n">
        <v>46508</v>
      </c>
      <c r="E1097" s="131" t="s">
        <v>40</v>
      </c>
      <c r="F1097" s="133" t="s">
        <v>11</v>
      </c>
      <c r="G1097" s="134" t="n">
        <f aca="false">LEN('Saisie programme'!$I$64)+SUMIFS('Vols additionnels'!$E$7:$E$66,'Vols additionnels'!$C$7:$C$66,$E1097,'Vols additionnels'!$D$7:$D$66,$F1097,'Vols additionnels'!$B$7:$B$66,$D1097)</f>
        <v>0</v>
      </c>
      <c r="H1097" s="135" t="n">
        <f aca="false">$G1097*'Analyse capacite'!$F$7</f>
        <v>0</v>
      </c>
      <c r="I1097" s="135" t="n">
        <f aca="false">$G1097*'Analyse capacite'!$C$7</f>
        <v>0</v>
      </c>
      <c r="J1097" s="135" t="n">
        <f aca="false">$G1097*'Analyse capacite'!$D$7</f>
        <v>0</v>
      </c>
      <c r="K1097" s="135" t="n">
        <f aca="false">$G1097*'Analyse capacite'!$E$7</f>
        <v>0</v>
      </c>
    </row>
    <row r="1098" customFormat="false" ht="15" hidden="false" customHeight="false" outlineLevel="0" collapsed="false">
      <c r="B1098" s="130" t="n">
        <v>2027</v>
      </c>
      <c r="C1098" s="131" t="s">
        <v>247</v>
      </c>
      <c r="D1098" s="132" t="n">
        <v>46508</v>
      </c>
      <c r="E1098" s="131" t="s">
        <v>40</v>
      </c>
      <c r="F1098" s="133" t="s">
        <v>19</v>
      </c>
      <c r="G1098" s="134" t="n">
        <f aca="false">LEN('Saisie programme'!$I$65)+SUMIFS('Vols additionnels'!$E$7:$E$66,'Vols additionnels'!$C$7:$C$66,$E1098,'Vols additionnels'!$D$7:$D$66,$F1098,'Vols additionnels'!$B$7:$B$66,$D1098)</f>
        <v>0</v>
      </c>
      <c r="H1098" s="135" t="n">
        <f aca="false">$G1098*'Analyse capacite'!$F$8</f>
        <v>0</v>
      </c>
      <c r="I1098" s="135" t="n">
        <f aca="false">$G1098*'Analyse capacite'!$C$8</f>
        <v>0</v>
      </c>
      <c r="J1098" s="135" t="n">
        <f aca="false">$G1098*'Analyse capacite'!$D$8</f>
        <v>0</v>
      </c>
      <c r="K1098" s="135" t="n">
        <f aca="false">$G1098*'Analyse capacite'!$E$8</f>
        <v>0</v>
      </c>
    </row>
    <row r="1099" customFormat="false" ht="15" hidden="false" customHeight="false" outlineLevel="0" collapsed="false">
      <c r="B1099" s="130" t="n">
        <v>2027</v>
      </c>
      <c r="C1099" s="131" t="s">
        <v>247</v>
      </c>
      <c r="D1099" s="132" t="n">
        <v>46508</v>
      </c>
      <c r="E1099" s="131" t="s">
        <v>40</v>
      </c>
      <c r="F1099" s="133" t="s">
        <v>24</v>
      </c>
      <c r="G1099" s="134" t="n">
        <f aca="false">LEN('Saisie programme'!$I$66)+SUMIFS('Vols additionnels'!$E$7:$E$66,'Vols additionnels'!$C$7:$C$66,$E1099,'Vols additionnels'!$D$7:$D$66,$F1099,'Vols additionnels'!$B$7:$B$66,$D1099)</f>
        <v>0</v>
      </c>
      <c r="H1099" s="135" t="n">
        <f aca="false">$G1099*'Analyse capacite'!$F$9</f>
        <v>0</v>
      </c>
      <c r="I1099" s="135" t="n">
        <f aca="false">$G1099*'Analyse capacite'!$C$9</f>
        <v>0</v>
      </c>
      <c r="J1099" s="135" t="n">
        <f aca="false">$G1099*'Analyse capacite'!$D$9</f>
        <v>0</v>
      </c>
      <c r="K1099" s="135" t="n">
        <f aca="false">$G1099*'Analyse capacite'!$E$9</f>
        <v>0</v>
      </c>
    </row>
    <row r="1100" customFormat="false" ht="15" hidden="false" customHeight="false" outlineLevel="0" collapsed="false">
      <c r="B1100" s="130" t="n">
        <v>2027</v>
      </c>
      <c r="C1100" s="131" t="s">
        <v>247</v>
      </c>
      <c r="D1100" s="132" t="n">
        <v>46508</v>
      </c>
      <c r="E1100" s="131" t="s">
        <v>14</v>
      </c>
      <c r="F1100" s="133" t="s">
        <v>11</v>
      </c>
      <c r="G1100" s="134" t="n">
        <f aca="false">LEN('Saisie programme'!$I$67)+SUMIFS('Vols additionnels'!$E$7:$E$66,'Vols additionnels'!$C$7:$C$66,$E1100,'Vols additionnels'!$D$7:$D$66,$F1100,'Vols additionnels'!$B$7:$B$66,$D1100)</f>
        <v>0</v>
      </c>
      <c r="H1100" s="135" t="n">
        <f aca="false">$G1100*'Analyse capacite'!$F$7</f>
        <v>0</v>
      </c>
      <c r="I1100" s="135" t="n">
        <f aca="false">$G1100*'Analyse capacite'!$C$7</f>
        <v>0</v>
      </c>
      <c r="J1100" s="135" t="n">
        <f aca="false">$G1100*'Analyse capacite'!$D$7</f>
        <v>0</v>
      </c>
      <c r="K1100" s="135" t="n">
        <f aca="false">$G1100*'Analyse capacite'!$E$7</f>
        <v>0</v>
      </c>
    </row>
    <row r="1101" customFormat="false" ht="15" hidden="false" customHeight="false" outlineLevel="0" collapsed="false">
      <c r="B1101" s="130" t="n">
        <v>2027</v>
      </c>
      <c r="C1101" s="131" t="s">
        <v>247</v>
      </c>
      <c r="D1101" s="132" t="n">
        <v>46508</v>
      </c>
      <c r="E1101" s="131" t="s">
        <v>14</v>
      </c>
      <c r="F1101" s="133" t="s">
        <v>19</v>
      </c>
      <c r="G1101" s="134" t="n">
        <f aca="false">LEN('Saisie programme'!$I$68)+SUMIFS('Vols additionnels'!$E$7:$E$66,'Vols additionnels'!$C$7:$C$66,$E1101,'Vols additionnels'!$D$7:$D$66,$F1101,'Vols additionnels'!$B$7:$B$66,$D1101)</f>
        <v>0</v>
      </c>
      <c r="H1101" s="135" t="n">
        <f aca="false">$G1101*'Analyse capacite'!$F$8</f>
        <v>0</v>
      </c>
      <c r="I1101" s="135" t="n">
        <f aca="false">$G1101*'Analyse capacite'!$C$8</f>
        <v>0</v>
      </c>
      <c r="J1101" s="135" t="n">
        <f aca="false">$G1101*'Analyse capacite'!$D$8</f>
        <v>0</v>
      </c>
      <c r="K1101" s="135" t="n">
        <f aca="false">$G1101*'Analyse capacite'!$E$8</f>
        <v>0</v>
      </c>
    </row>
    <row r="1102" customFormat="false" ht="15" hidden="false" customHeight="false" outlineLevel="0" collapsed="false">
      <c r="B1102" s="130" t="n">
        <v>2027</v>
      </c>
      <c r="C1102" s="131" t="s">
        <v>247</v>
      </c>
      <c r="D1102" s="132" t="n">
        <v>46508</v>
      </c>
      <c r="E1102" s="131" t="s">
        <v>14</v>
      </c>
      <c r="F1102" s="133" t="s">
        <v>24</v>
      </c>
      <c r="G1102" s="134" t="n">
        <f aca="false">LEN('Saisie programme'!$I$69)+SUMIFS('Vols additionnels'!$E$7:$E$66,'Vols additionnels'!$C$7:$C$66,$E1102,'Vols additionnels'!$D$7:$D$66,$F1102,'Vols additionnels'!$B$7:$B$66,$D1102)</f>
        <v>1</v>
      </c>
      <c r="H1102" s="135" t="n">
        <f aca="false">$G1102*'Analyse capacite'!$F$9</f>
        <v>174</v>
      </c>
      <c r="I1102" s="135" t="n">
        <f aca="false">$G1102*'Analyse capacite'!$C$9</f>
        <v>0</v>
      </c>
      <c r="J1102" s="135" t="n">
        <f aca="false">$G1102*'Analyse capacite'!$D$9</f>
        <v>12</v>
      </c>
      <c r="K1102" s="135" t="n">
        <f aca="false">$G1102*'Analyse capacite'!$E$9</f>
        <v>162</v>
      </c>
    </row>
    <row r="1103" customFormat="false" ht="15" hidden="false" customHeight="false" outlineLevel="0" collapsed="false">
      <c r="B1103" s="130" t="n">
        <v>2027</v>
      </c>
      <c r="C1103" s="131" t="s">
        <v>247</v>
      </c>
      <c r="D1103" s="132" t="n">
        <v>46508</v>
      </c>
      <c r="E1103" s="131" t="s">
        <v>46</v>
      </c>
      <c r="F1103" s="133" t="s">
        <v>11</v>
      </c>
      <c r="G1103" s="134" t="n">
        <f aca="false">LEN('Saisie programme'!$I$70)+SUMIFS('Vols additionnels'!$E$7:$E$66,'Vols additionnels'!$C$7:$C$66,$E1103,'Vols additionnels'!$D$7:$D$66,$F1103,'Vols additionnels'!$B$7:$B$66,$D1103)</f>
        <v>0</v>
      </c>
      <c r="H1103" s="135" t="n">
        <f aca="false">$G1103*'Analyse capacite'!$F$7</f>
        <v>0</v>
      </c>
      <c r="I1103" s="135" t="n">
        <f aca="false">$G1103*'Analyse capacite'!$C$7</f>
        <v>0</v>
      </c>
      <c r="J1103" s="135" t="n">
        <f aca="false">$G1103*'Analyse capacite'!$D$7</f>
        <v>0</v>
      </c>
      <c r="K1103" s="135" t="n">
        <f aca="false">$G1103*'Analyse capacite'!$E$7</f>
        <v>0</v>
      </c>
    </row>
    <row r="1104" customFormat="false" ht="15" hidden="false" customHeight="false" outlineLevel="0" collapsed="false">
      <c r="B1104" s="130" t="n">
        <v>2027</v>
      </c>
      <c r="C1104" s="131" t="s">
        <v>247</v>
      </c>
      <c r="D1104" s="132" t="n">
        <v>46508</v>
      </c>
      <c r="E1104" s="131" t="s">
        <v>46</v>
      </c>
      <c r="F1104" s="133" t="s">
        <v>19</v>
      </c>
      <c r="G1104" s="134" t="n">
        <f aca="false">LEN('Saisie programme'!$I$71)+SUMIFS('Vols additionnels'!$E$7:$E$66,'Vols additionnels'!$C$7:$C$66,$E1104,'Vols additionnels'!$D$7:$D$66,$F1104,'Vols additionnels'!$B$7:$B$66,$D1104)</f>
        <v>0</v>
      </c>
      <c r="H1104" s="135" t="n">
        <f aca="false">$G1104*'Analyse capacite'!$F$8</f>
        <v>0</v>
      </c>
      <c r="I1104" s="135" t="n">
        <f aca="false">$G1104*'Analyse capacite'!$C$8</f>
        <v>0</v>
      </c>
      <c r="J1104" s="135" t="n">
        <f aca="false">$G1104*'Analyse capacite'!$D$8</f>
        <v>0</v>
      </c>
      <c r="K1104" s="135" t="n">
        <f aca="false">$G1104*'Analyse capacite'!$E$8</f>
        <v>0</v>
      </c>
    </row>
    <row r="1105" customFormat="false" ht="15" hidden="false" customHeight="false" outlineLevel="0" collapsed="false">
      <c r="B1105" s="130" t="n">
        <v>2027</v>
      </c>
      <c r="C1105" s="131" t="s">
        <v>247</v>
      </c>
      <c r="D1105" s="132" t="n">
        <v>46508</v>
      </c>
      <c r="E1105" s="131" t="s">
        <v>46</v>
      </c>
      <c r="F1105" s="133" t="s">
        <v>24</v>
      </c>
      <c r="G1105" s="134" t="n">
        <f aca="false">LEN('Saisie programme'!$I$72)+SUMIFS('Vols additionnels'!$E$7:$E$66,'Vols additionnels'!$C$7:$C$66,$E1105,'Vols additionnels'!$D$7:$D$66,$F1105,'Vols additionnels'!$B$7:$B$66,$D1105)</f>
        <v>1</v>
      </c>
      <c r="H1105" s="135" t="n">
        <f aca="false">$G1105*'Analyse capacite'!$F$9</f>
        <v>174</v>
      </c>
      <c r="I1105" s="135" t="n">
        <f aca="false">$G1105*'Analyse capacite'!$C$9</f>
        <v>0</v>
      </c>
      <c r="J1105" s="135" t="n">
        <f aca="false">$G1105*'Analyse capacite'!$D$9</f>
        <v>12</v>
      </c>
      <c r="K1105" s="135" t="n">
        <f aca="false">$G1105*'Analyse capacite'!$E$9</f>
        <v>162</v>
      </c>
    </row>
    <row r="1106" customFormat="false" ht="15" hidden="false" customHeight="false" outlineLevel="0" collapsed="false">
      <c r="B1106" s="130" t="n">
        <v>2027</v>
      </c>
      <c r="C1106" s="131" t="s">
        <v>247</v>
      </c>
      <c r="D1106" s="132" t="n">
        <v>46508</v>
      </c>
      <c r="E1106" s="131" t="s">
        <v>49</v>
      </c>
      <c r="F1106" s="133" t="s">
        <v>11</v>
      </c>
      <c r="G1106" s="134" t="n">
        <f aca="false">LEN('Saisie programme'!$I$73)+SUMIFS('Vols additionnels'!$E$7:$E$66,'Vols additionnels'!$C$7:$C$66,$E1106,'Vols additionnels'!$D$7:$D$66,$F1106,'Vols additionnels'!$B$7:$B$66,$D1106)</f>
        <v>0</v>
      </c>
      <c r="H1106" s="135" t="n">
        <f aca="false">$G1106*'Analyse capacite'!$F$7</f>
        <v>0</v>
      </c>
      <c r="I1106" s="135" t="n">
        <f aca="false">$G1106*'Analyse capacite'!$C$7</f>
        <v>0</v>
      </c>
      <c r="J1106" s="135" t="n">
        <f aca="false">$G1106*'Analyse capacite'!$D$7</f>
        <v>0</v>
      </c>
      <c r="K1106" s="135" t="n">
        <f aca="false">$G1106*'Analyse capacite'!$E$7</f>
        <v>0</v>
      </c>
    </row>
    <row r="1107" customFormat="false" ht="15" hidden="false" customHeight="false" outlineLevel="0" collapsed="false">
      <c r="B1107" s="130" t="n">
        <v>2027</v>
      </c>
      <c r="C1107" s="131" t="s">
        <v>247</v>
      </c>
      <c r="D1107" s="132" t="n">
        <v>46508</v>
      </c>
      <c r="E1107" s="131" t="s">
        <v>49</v>
      </c>
      <c r="F1107" s="133" t="s">
        <v>19</v>
      </c>
      <c r="G1107" s="134" t="n">
        <f aca="false">LEN('Saisie programme'!$I$74)+SUMIFS('Vols additionnels'!$E$7:$E$66,'Vols additionnels'!$C$7:$C$66,$E1107,'Vols additionnels'!$D$7:$D$66,$F1107,'Vols additionnels'!$B$7:$B$66,$D1107)</f>
        <v>0</v>
      </c>
      <c r="H1107" s="135" t="n">
        <f aca="false">$G1107*'Analyse capacite'!$F$8</f>
        <v>0</v>
      </c>
      <c r="I1107" s="135" t="n">
        <f aca="false">$G1107*'Analyse capacite'!$C$8</f>
        <v>0</v>
      </c>
      <c r="J1107" s="135" t="n">
        <f aca="false">$G1107*'Analyse capacite'!$D$8</f>
        <v>0</v>
      </c>
      <c r="K1107" s="135" t="n">
        <f aca="false">$G1107*'Analyse capacite'!$E$8</f>
        <v>0</v>
      </c>
    </row>
    <row r="1108" customFormat="false" ht="15" hidden="false" customHeight="false" outlineLevel="0" collapsed="false">
      <c r="B1108" s="130" t="n">
        <v>2027</v>
      </c>
      <c r="C1108" s="131" t="s">
        <v>247</v>
      </c>
      <c r="D1108" s="132" t="n">
        <v>46508</v>
      </c>
      <c r="E1108" s="131" t="s">
        <v>49</v>
      </c>
      <c r="F1108" s="133" t="s">
        <v>24</v>
      </c>
      <c r="G1108" s="134" t="n">
        <f aca="false">LEN('Saisie programme'!$I$75)+SUMIFS('Vols additionnels'!$E$7:$E$66,'Vols additionnels'!$C$7:$C$66,$E1108,'Vols additionnels'!$D$7:$D$66,$F1108,'Vols additionnels'!$B$7:$B$66,$D1108)</f>
        <v>0</v>
      </c>
      <c r="H1108" s="135" t="n">
        <f aca="false">$G1108*'Analyse capacite'!$F$9</f>
        <v>0</v>
      </c>
      <c r="I1108" s="135" t="n">
        <f aca="false">$G1108*'Analyse capacite'!$C$9</f>
        <v>0</v>
      </c>
      <c r="J1108" s="135" t="n">
        <f aca="false">$G1108*'Analyse capacite'!$D$9</f>
        <v>0</v>
      </c>
      <c r="K1108" s="135" t="n">
        <f aca="false">$G1108*'Analyse capacite'!$E$9</f>
        <v>0</v>
      </c>
    </row>
    <row r="1109" customFormat="false" ht="15" hidden="false" customHeight="false" outlineLevel="0" collapsed="false">
      <c r="B1109" s="130" t="n">
        <v>2027</v>
      </c>
      <c r="C1109" s="131" t="s">
        <v>247</v>
      </c>
      <c r="D1109" s="132" t="n">
        <v>46508</v>
      </c>
      <c r="E1109" s="131" t="s">
        <v>53</v>
      </c>
      <c r="F1109" s="133" t="s">
        <v>11</v>
      </c>
      <c r="G1109" s="134" t="n">
        <f aca="false">LEN('Saisie programme'!$I$76)+SUMIFS('Vols additionnels'!$E$7:$E$66,'Vols additionnels'!$C$7:$C$66,$E1109,'Vols additionnels'!$D$7:$D$66,$F1109,'Vols additionnels'!$B$7:$B$66,$D1109)</f>
        <v>0</v>
      </c>
      <c r="H1109" s="135" t="n">
        <f aca="false">$G1109*'Analyse capacite'!$F$7</f>
        <v>0</v>
      </c>
      <c r="I1109" s="135" t="n">
        <f aca="false">$G1109*'Analyse capacite'!$C$7</f>
        <v>0</v>
      </c>
      <c r="J1109" s="135" t="n">
        <f aca="false">$G1109*'Analyse capacite'!$D$7</f>
        <v>0</v>
      </c>
      <c r="K1109" s="135" t="n">
        <f aca="false">$G1109*'Analyse capacite'!$E$7</f>
        <v>0</v>
      </c>
    </row>
    <row r="1110" customFormat="false" ht="15" hidden="false" customHeight="false" outlineLevel="0" collapsed="false">
      <c r="B1110" s="130" t="n">
        <v>2027</v>
      </c>
      <c r="C1110" s="131" t="s">
        <v>247</v>
      </c>
      <c r="D1110" s="132" t="n">
        <v>46508</v>
      </c>
      <c r="E1110" s="131" t="s">
        <v>53</v>
      </c>
      <c r="F1110" s="133" t="s">
        <v>19</v>
      </c>
      <c r="G1110" s="134" t="n">
        <f aca="false">LEN('Saisie programme'!$I$77)+SUMIFS('Vols additionnels'!$E$7:$E$66,'Vols additionnels'!$C$7:$C$66,$E1110,'Vols additionnels'!$D$7:$D$66,$F1110,'Vols additionnels'!$B$7:$B$66,$D1110)</f>
        <v>0</v>
      </c>
      <c r="H1110" s="135" t="n">
        <f aca="false">$G1110*'Analyse capacite'!$F$8</f>
        <v>0</v>
      </c>
      <c r="I1110" s="135" t="n">
        <f aca="false">$G1110*'Analyse capacite'!$C$8</f>
        <v>0</v>
      </c>
      <c r="J1110" s="135" t="n">
        <f aca="false">$G1110*'Analyse capacite'!$D$8</f>
        <v>0</v>
      </c>
      <c r="K1110" s="135" t="n">
        <f aca="false">$G1110*'Analyse capacite'!$E$8</f>
        <v>0</v>
      </c>
    </row>
    <row r="1111" customFormat="false" ht="15" hidden="false" customHeight="false" outlineLevel="0" collapsed="false">
      <c r="B1111" s="130" t="n">
        <v>2027</v>
      </c>
      <c r="C1111" s="131" t="s">
        <v>247</v>
      </c>
      <c r="D1111" s="132" t="n">
        <v>46508</v>
      </c>
      <c r="E1111" s="131" t="s">
        <v>53</v>
      </c>
      <c r="F1111" s="133" t="s">
        <v>24</v>
      </c>
      <c r="G1111" s="134" t="n">
        <f aca="false">LEN('Saisie programme'!$I$78)+SUMIFS('Vols additionnels'!$E$7:$E$66,'Vols additionnels'!$C$7:$C$66,$E1111,'Vols additionnels'!$D$7:$D$66,$F1111,'Vols additionnels'!$B$7:$B$66,$D1111)</f>
        <v>0</v>
      </c>
      <c r="H1111" s="135" t="n">
        <f aca="false">$G1111*'Analyse capacite'!$F$9</f>
        <v>0</v>
      </c>
      <c r="I1111" s="135" t="n">
        <f aca="false">$G1111*'Analyse capacite'!$C$9</f>
        <v>0</v>
      </c>
      <c r="J1111" s="135" t="n">
        <f aca="false">$G1111*'Analyse capacite'!$D$9</f>
        <v>0</v>
      </c>
      <c r="K1111" s="135" t="n">
        <f aca="false">$G1111*'Analyse capacite'!$E$9</f>
        <v>0</v>
      </c>
    </row>
    <row r="1112" customFormat="false" ht="15" hidden="false" customHeight="false" outlineLevel="0" collapsed="false">
      <c r="B1112" s="130" t="n">
        <v>2027</v>
      </c>
      <c r="C1112" s="131" t="s">
        <v>247</v>
      </c>
      <c r="D1112" s="132" t="n">
        <v>46508</v>
      </c>
      <c r="E1112" s="131" t="s">
        <v>56</v>
      </c>
      <c r="F1112" s="133" t="s">
        <v>11</v>
      </c>
      <c r="G1112" s="134" t="n">
        <f aca="false">LEN('Saisie programme'!$I$79)+SUMIFS('Vols additionnels'!$E$7:$E$66,'Vols additionnels'!$C$7:$C$66,$E1112,'Vols additionnels'!$D$7:$D$66,$F1112,'Vols additionnels'!$B$7:$B$66,$D1112)</f>
        <v>0</v>
      </c>
      <c r="H1112" s="135" t="n">
        <f aca="false">$G1112*'Analyse capacite'!$F$7</f>
        <v>0</v>
      </c>
      <c r="I1112" s="135" t="n">
        <f aca="false">$G1112*'Analyse capacite'!$C$7</f>
        <v>0</v>
      </c>
      <c r="J1112" s="135" t="n">
        <f aca="false">$G1112*'Analyse capacite'!$D$7</f>
        <v>0</v>
      </c>
      <c r="K1112" s="135" t="n">
        <f aca="false">$G1112*'Analyse capacite'!$E$7</f>
        <v>0</v>
      </c>
    </row>
    <row r="1113" customFormat="false" ht="15" hidden="false" customHeight="false" outlineLevel="0" collapsed="false">
      <c r="B1113" s="130" t="n">
        <v>2027</v>
      </c>
      <c r="C1113" s="131" t="s">
        <v>247</v>
      </c>
      <c r="D1113" s="132" t="n">
        <v>46508</v>
      </c>
      <c r="E1113" s="131" t="s">
        <v>56</v>
      </c>
      <c r="F1113" s="133" t="s">
        <v>19</v>
      </c>
      <c r="G1113" s="134" t="n">
        <f aca="false">LEN('Saisie programme'!$I$80)+SUMIFS('Vols additionnels'!$E$7:$E$66,'Vols additionnels'!$C$7:$C$66,$E1113,'Vols additionnels'!$D$7:$D$66,$F1113,'Vols additionnels'!$B$7:$B$66,$D1113)</f>
        <v>0</v>
      </c>
      <c r="H1113" s="135" t="n">
        <f aca="false">$G1113*'Analyse capacite'!$F$8</f>
        <v>0</v>
      </c>
      <c r="I1113" s="135" t="n">
        <f aca="false">$G1113*'Analyse capacite'!$C$8</f>
        <v>0</v>
      </c>
      <c r="J1113" s="135" t="n">
        <f aca="false">$G1113*'Analyse capacite'!$D$8</f>
        <v>0</v>
      </c>
      <c r="K1113" s="135" t="n">
        <f aca="false">$G1113*'Analyse capacite'!$E$8</f>
        <v>0</v>
      </c>
    </row>
    <row r="1114" customFormat="false" ht="15" hidden="false" customHeight="false" outlineLevel="0" collapsed="false">
      <c r="B1114" s="130" t="n">
        <v>2027</v>
      </c>
      <c r="C1114" s="131" t="s">
        <v>247</v>
      </c>
      <c r="D1114" s="132" t="n">
        <v>46508</v>
      </c>
      <c r="E1114" s="131" t="s">
        <v>56</v>
      </c>
      <c r="F1114" s="133" t="s">
        <v>24</v>
      </c>
      <c r="G1114" s="134" t="n">
        <f aca="false">LEN('Saisie programme'!$I$81)+SUMIFS('Vols additionnels'!$E$7:$E$66,'Vols additionnels'!$C$7:$C$66,$E1114,'Vols additionnels'!$D$7:$D$66,$F1114,'Vols additionnels'!$B$7:$B$66,$D1114)</f>
        <v>1</v>
      </c>
      <c r="H1114" s="135" t="n">
        <f aca="false">$G1114*'Analyse capacite'!$F$9</f>
        <v>174</v>
      </c>
      <c r="I1114" s="135" t="n">
        <f aca="false">$G1114*'Analyse capacite'!$C$9</f>
        <v>0</v>
      </c>
      <c r="J1114" s="135" t="n">
        <f aca="false">$G1114*'Analyse capacite'!$D$9</f>
        <v>12</v>
      </c>
      <c r="K1114" s="135" t="n">
        <f aca="false">$G1114*'Analyse capacite'!$E$9</f>
        <v>162</v>
      </c>
    </row>
    <row r="1115" customFormat="false" ht="15" hidden="false" customHeight="false" outlineLevel="0" collapsed="false">
      <c r="B1115" s="130" t="n">
        <v>2027</v>
      </c>
      <c r="C1115" s="131" t="s">
        <v>247</v>
      </c>
      <c r="D1115" s="132" t="n">
        <v>46508</v>
      </c>
      <c r="E1115" s="131" t="s">
        <v>59</v>
      </c>
      <c r="F1115" s="133" t="s">
        <v>11</v>
      </c>
      <c r="G1115" s="134" t="n">
        <f aca="false">LEN('Saisie programme'!$I$82)+SUMIFS('Vols additionnels'!$E$7:$E$66,'Vols additionnels'!$C$7:$C$66,$E1115,'Vols additionnels'!$D$7:$D$66,$F1115,'Vols additionnels'!$B$7:$B$66,$D1115)</f>
        <v>0</v>
      </c>
      <c r="H1115" s="135" t="n">
        <f aca="false">$G1115*'Analyse capacite'!$F$7</f>
        <v>0</v>
      </c>
      <c r="I1115" s="135" t="n">
        <f aca="false">$G1115*'Analyse capacite'!$C$7</f>
        <v>0</v>
      </c>
      <c r="J1115" s="135" t="n">
        <f aca="false">$G1115*'Analyse capacite'!$D$7</f>
        <v>0</v>
      </c>
      <c r="K1115" s="135" t="n">
        <f aca="false">$G1115*'Analyse capacite'!$E$7</f>
        <v>0</v>
      </c>
    </row>
    <row r="1116" customFormat="false" ht="15" hidden="false" customHeight="false" outlineLevel="0" collapsed="false">
      <c r="B1116" s="130" t="n">
        <v>2027</v>
      </c>
      <c r="C1116" s="131" t="s">
        <v>247</v>
      </c>
      <c r="D1116" s="132" t="n">
        <v>46508</v>
      </c>
      <c r="E1116" s="131" t="s">
        <v>59</v>
      </c>
      <c r="F1116" s="133" t="s">
        <v>19</v>
      </c>
      <c r="G1116" s="134" t="n">
        <f aca="false">LEN('Saisie programme'!$I$83)+SUMIFS('Vols additionnels'!$E$7:$E$66,'Vols additionnels'!$C$7:$C$66,$E1116,'Vols additionnels'!$D$7:$D$66,$F1116,'Vols additionnels'!$B$7:$B$66,$D1116)</f>
        <v>0</v>
      </c>
      <c r="H1116" s="135" t="n">
        <f aca="false">$G1116*'Analyse capacite'!$F$8</f>
        <v>0</v>
      </c>
      <c r="I1116" s="135" t="n">
        <f aca="false">$G1116*'Analyse capacite'!$C$8</f>
        <v>0</v>
      </c>
      <c r="J1116" s="135" t="n">
        <f aca="false">$G1116*'Analyse capacite'!$D$8</f>
        <v>0</v>
      </c>
      <c r="K1116" s="135" t="n">
        <f aca="false">$G1116*'Analyse capacite'!$E$8</f>
        <v>0</v>
      </c>
    </row>
    <row r="1117" customFormat="false" ht="15" hidden="false" customHeight="false" outlineLevel="0" collapsed="false">
      <c r="B1117" s="130" t="n">
        <v>2027</v>
      </c>
      <c r="C1117" s="131" t="s">
        <v>247</v>
      </c>
      <c r="D1117" s="132" t="n">
        <v>46508</v>
      </c>
      <c r="E1117" s="131" t="s">
        <v>59</v>
      </c>
      <c r="F1117" s="133" t="s">
        <v>24</v>
      </c>
      <c r="G1117" s="134" t="n">
        <f aca="false">LEN('Saisie programme'!$I$84)+SUMIFS('Vols additionnels'!$E$7:$E$66,'Vols additionnels'!$C$7:$C$66,$E1117,'Vols additionnels'!$D$7:$D$66,$F1117,'Vols additionnels'!$B$7:$B$66,$D1117)</f>
        <v>1</v>
      </c>
      <c r="H1117" s="135" t="n">
        <f aca="false">$G1117*'Analyse capacite'!$F$9</f>
        <v>174</v>
      </c>
      <c r="I1117" s="135" t="n">
        <f aca="false">$G1117*'Analyse capacite'!$C$9</f>
        <v>0</v>
      </c>
      <c r="J1117" s="135" t="n">
        <f aca="false">$G1117*'Analyse capacite'!$D$9</f>
        <v>12</v>
      </c>
      <c r="K1117" s="135" t="n">
        <f aca="false">$G1117*'Analyse capacite'!$E$9</f>
        <v>162</v>
      </c>
    </row>
    <row r="1118" customFormat="false" ht="15" hidden="false" customHeight="false" outlineLevel="0" collapsed="false">
      <c r="B1118" s="130" t="n">
        <v>2027</v>
      </c>
      <c r="C1118" s="131" t="s">
        <v>247</v>
      </c>
      <c r="D1118" s="132" t="n">
        <v>46508</v>
      </c>
      <c r="E1118" s="131" t="s">
        <v>62</v>
      </c>
      <c r="F1118" s="133" t="s">
        <v>11</v>
      </c>
      <c r="G1118" s="134" t="n">
        <f aca="false">LEN('Saisie programme'!$I$85)+SUMIFS('Vols additionnels'!$E$7:$E$66,'Vols additionnels'!$C$7:$C$66,$E1118,'Vols additionnels'!$D$7:$D$66,$F1118,'Vols additionnels'!$B$7:$B$66,$D1118)</f>
        <v>0</v>
      </c>
      <c r="H1118" s="135" t="n">
        <f aca="false">$G1118*'Analyse capacite'!$F$7</f>
        <v>0</v>
      </c>
      <c r="I1118" s="135" t="n">
        <f aca="false">$G1118*'Analyse capacite'!$C$7</f>
        <v>0</v>
      </c>
      <c r="J1118" s="135" t="n">
        <f aca="false">$G1118*'Analyse capacite'!$D$7</f>
        <v>0</v>
      </c>
      <c r="K1118" s="135" t="n">
        <f aca="false">$G1118*'Analyse capacite'!$E$7</f>
        <v>0</v>
      </c>
    </row>
    <row r="1119" customFormat="false" ht="15" hidden="false" customHeight="false" outlineLevel="0" collapsed="false">
      <c r="B1119" s="130" t="n">
        <v>2027</v>
      </c>
      <c r="C1119" s="131" t="s">
        <v>247</v>
      </c>
      <c r="D1119" s="132" t="n">
        <v>46508</v>
      </c>
      <c r="E1119" s="131" t="s">
        <v>62</v>
      </c>
      <c r="F1119" s="133" t="s">
        <v>19</v>
      </c>
      <c r="G1119" s="134" t="n">
        <f aca="false">LEN('Saisie programme'!$I$86)+SUMIFS('Vols additionnels'!$E$7:$E$66,'Vols additionnels'!$C$7:$C$66,$E1119,'Vols additionnels'!$D$7:$D$66,$F1119,'Vols additionnels'!$B$7:$B$66,$D1119)</f>
        <v>0</v>
      </c>
      <c r="H1119" s="135" t="n">
        <f aca="false">$G1119*'Analyse capacite'!$F$8</f>
        <v>0</v>
      </c>
      <c r="I1119" s="135" t="n">
        <f aca="false">$G1119*'Analyse capacite'!$C$8</f>
        <v>0</v>
      </c>
      <c r="J1119" s="135" t="n">
        <f aca="false">$G1119*'Analyse capacite'!$D$8</f>
        <v>0</v>
      </c>
      <c r="K1119" s="135" t="n">
        <f aca="false">$G1119*'Analyse capacite'!$E$8</f>
        <v>0</v>
      </c>
    </row>
    <row r="1120" customFormat="false" ht="15" hidden="false" customHeight="false" outlineLevel="0" collapsed="false">
      <c r="B1120" s="130" t="n">
        <v>2027</v>
      </c>
      <c r="C1120" s="131" t="s">
        <v>247</v>
      </c>
      <c r="D1120" s="132" t="n">
        <v>46508</v>
      </c>
      <c r="E1120" s="131" t="s">
        <v>62</v>
      </c>
      <c r="F1120" s="133" t="s">
        <v>24</v>
      </c>
      <c r="G1120" s="134" t="n">
        <f aca="false">LEN('Saisie programme'!$I$87)+SUMIFS('Vols additionnels'!$E$7:$E$66,'Vols additionnels'!$C$7:$C$66,$E1120,'Vols additionnels'!$D$7:$D$66,$F1120,'Vols additionnels'!$B$7:$B$66,$D1120)</f>
        <v>0</v>
      </c>
      <c r="H1120" s="135" t="n">
        <f aca="false">$G1120*'Analyse capacite'!$F$9</f>
        <v>0</v>
      </c>
      <c r="I1120" s="135" t="n">
        <f aca="false">$G1120*'Analyse capacite'!$C$9</f>
        <v>0</v>
      </c>
      <c r="J1120" s="135" t="n">
        <f aca="false">$G1120*'Analyse capacite'!$D$9</f>
        <v>0</v>
      </c>
      <c r="K1120" s="135" t="n">
        <f aca="false">$G1120*'Analyse capacite'!$E$9</f>
        <v>0</v>
      </c>
    </row>
    <row r="1121" customFormat="false" ht="15" hidden="false" customHeight="false" outlineLevel="0" collapsed="false">
      <c r="B1121" s="130" t="n">
        <v>2027</v>
      </c>
      <c r="C1121" s="131" t="s">
        <v>247</v>
      </c>
      <c r="D1121" s="132" t="n">
        <v>46509</v>
      </c>
      <c r="E1121" s="131" t="s">
        <v>12</v>
      </c>
      <c r="F1121" s="133" t="s">
        <v>11</v>
      </c>
      <c r="G1121" s="134" t="n">
        <f aca="false">LEN('Saisie programme'!$J$52)+SUMIFS('Vols additionnels'!$E$7:$E$66,'Vols additionnels'!$C$7:$C$66,$E1121,'Vols additionnels'!$D$7:$D$66,$F1121,'Vols additionnels'!$B$7:$B$66,$D1121)</f>
        <v>1</v>
      </c>
      <c r="H1121" s="135" t="n">
        <f aca="false">$G1121*'Analyse capacite'!$F$7</f>
        <v>438</v>
      </c>
      <c r="I1121" s="135" t="n">
        <f aca="false">$G1121*'Analyse capacite'!$C$7</f>
        <v>14</v>
      </c>
      <c r="J1121" s="135" t="n">
        <f aca="false">$G1121*'Analyse capacite'!$D$7</f>
        <v>40</v>
      </c>
      <c r="K1121" s="135" t="n">
        <f aca="false">$G1121*'Analyse capacite'!$E$7</f>
        <v>384</v>
      </c>
    </row>
    <row r="1122" customFormat="false" ht="15" hidden="false" customHeight="false" outlineLevel="0" collapsed="false">
      <c r="B1122" s="130" t="n">
        <v>2027</v>
      </c>
      <c r="C1122" s="131" t="s">
        <v>247</v>
      </c>
      <c r="D1122" s="132" t="n">
        <v>46509</v>
      </c>
      <c r="E1122" s="131" t="s">
        <v>12</v>
      </c>
      <c r="F1122" s="133" t="s">
        <v>19</v>
      </c>
      <c r="G1122" s="134" t="n">
        <f aca="false">LEN('Saisie programme'!$J$53)+SUMIFS('Vols additionnels'!$E$7:$E$66,'Vols additionnels'!$C$7:$C$66,$E1122,'Vols additionnels'!$D$7:$D$66,$F1122,'Vols additionnels'!$B$7:$B$66,$D1122)</f>
        <v>0</v>
      </c>
      <c r="H1122" s="135" t="n">
        <f aca="false">$G1122*'Analyse capacite'!$F$8</f>
        <v>0</v>
      </c>
      <c r="I1122" s="135" t="n">
        <f aca="false">$G1122*'Analyse capacite'!$C$8</f>
        <v>0</v>
      </c>
      <c r="J1122" s="135" t="n">
        <f aca="false">$G1122*'Analyse capacite'!$D$8</f>
        <v>0</v>
      </c>
      <c r="K1122" s="135" t="n">
        <f aca="false">$G1122*'Analyse capacite'!$E$8</f>
        <v>0</v>
      </c>
    </row>
    <row r="1123" customFormat="false" ht="15" hidden="false" customHeight="false" outlineLevel="0" collapsed="false">
      <c r="B1123" s="130" t="n">
        <v>2027</v>
      </c>
      <c r="C1123" s="131" t="s">
        <v>247</v>
      </c>
      <c r="D1123" s="132" t="n">
        <v>46509</v>
      </c>
      <c r="E1123" s="131" t="s">
        <v>12</v>
      </c>
      <c r="F1123" s="133" t="s">
        <v>24</v>
      </c>
      <c r="G1123" s="134" t="n">
        <f aca="false">LEN('Saisie programme'!$J$54)+SUMIFS('Vols additionnels'!$E$7:$E$66,'Vols additionnels'!$C$7:$C$66,$E1123,'Vols additionnels'!$D$7:$D$66,$F1123,'Vols additionnels'!$B$7:$B$66,$D1123)</f>
        <v>0</v>
      </c>
      <c r="H1123" s="135" t="n">
        <f aca="false">$G1123*'Analyse capacite'!$F$9</f>
        <v>0</v>
      </c>
      <c r="I1123" s="135" t="n">
        <f aca="false">$G1123*'Analyse capacite'!$C$9</f>
        <v>0</v>
      </c>
      <c r="J1123" s="135" t="n">
        <f aca="false">$G1123*'Analyse capacite'!$D$9</f>
        <v>0</v>
      </c>
      <c r="K1123" s="135" t="n">
        <f aca="false">$G1123*'Analyse capacite'!$E$9</f>
        <v>0</v>
      </c>
    </row>
    <row r="1124" customFormat="false" ht="15" hidden="false" customHeight="false" outlineLevel="0" collapsed="false">
      <c r="B1124" s="130" t="n">
        <v>2027</v>
      </c>
      <c r="C1124" s="131" t="s">
        <v>247</v>
      </c>
      <c r="D1124" s="132" t="n">
        <v>46509</v>
      </c>
      <c r="E1124" s="131" t="s">
        <v>20</v>
      </c>
      <c r="F1124" s="133" t="s">
        <v>11</v>
      </c>
      <c r="G1124" s="134" t="n">
        <f aca="false">LEN('Saisie programme'!$J$55)+SUMIFS('Vols additionnels'!$E$7:$E$66,'Vols additionnels'!$C$7:$C$66,$E1124,'Vols additionnels'!$D$7:$D$66,$F1124,'Vols additionnels'!$B$7:$B$66,$D1124)</f>
        <v>1</v>
      </c>
      <c r="H1124" s="135" t="n">
        <f aca="false">$G1124*'Analyse capacite'!$F$7</f>
        <v>438</v>
      </c>
      <c r="I1124" s="135" t="n">
        <f aca="false">$G1124*'Analyse capacite'!$C$7</f>
        <v>14</v>
      </c>
      <c r="J1124" s="135" t="n">
        <f aca="false">$G1124*'Analyse capacite'!$D$7</f>
        <v>40</v>
      </c>
      <c r="K1124" s="135" t="n">
        <f aca="false">$G1124*'Analyse capacite'!$E$7</f>
        <v>384</v>
      </c>
    </row>
    <row r="1125" customFormat="false" ht="15" hidden="false" customHeight="false" outlineLevel="0" collapsed="false">
      <c r="B1125" s="130" t="n">
        <v>2027</v>
      </c>
      <c r="C1125" s="131" t="s">
        <v>247</v>
      </c>
      <c r="D1125" s="132" t="n">
        <v>46509</v>
      </c>
      <c r="E1125" s="131" t="s">
        <v>20</v>
      </c>
      <c r="F1125" s="133" t="s">
        <v>19</v>
      </c>
      <c r="G1125" s="134" t="n">
        <f aca="false">LEN('Saisie programme'!$J$56)+SUMIFS('Vols additionnels'!$E$7:$E$66,'Vols additionnels'!$C$7:$C$66,$E1125,'Vols additionnels'!$D$7:$D$66,$F1125,'Vols additionnels'!$B$7:$B$66,$D1125)</f>
        <v>0</v>
      </c>
      <c r="H1125" s="135" t="n">
        <f aca="false">$G1125*'Analyse capacite'!$F$8</f>
        <v>0</v>
      </c>
      <c r="I1125" s="135" t="n">
        <f aca="false">$G1125*'Analyse capacite'!$C$8</f>
        <v>0</v>
      </c>
      <c r="J1125" s="135" t="n">
        <f aca="false">$G1125*'Analyse capacite'!$D$8</f>
        <v>0</v>
      </c>
      <c r="K1125" s="135" t="n">
        <f aca="false">$G1125*'Analyse capacite'!$E$8</f>
        <v>0</v>
      </c>
    </row>
    <row r="1126" customFormat="false" ht="15" hidden="false" customHeight="false" outlineLevel="0" collapsed="false">
      <c r="B1126" s="130" t="n">
        <v>2027</v>
      </c>
      <c r="C1126" s="131" t="s">
        <v>247</v>
      </c>
      <c r="D1126" s="132" t="n">
        <v>46509</v>
      </c>
      <c r="E1126" s="131" t="s">
        <v>20</v>
      </c>
      <c r="F1126" s="133" t="s">
        <v>24</v>
      </c>
      <c r="G1126" s="134" t="n">
        <f aca="false">LEN('Saisie programme'!$J$57)+SUMIFS('Vols additionnels'!$E$7:$E$66,'Vols additionnels'!$C$7:$C$66,$E1126,'Vols additionnels'!$D$7:$D$66,$F1126,'Vols additionnels'!$B$7:$B$66,$D1126)</f>
        <v>0</v>
      </c>
      <c r="H1126" s="135" t="n">
        <f aca="false">$G1126*'Analyse capacite'!$F$9</f>
        <v>0</v>
      </c>
      <c r="I1126" s="135" t="n">
        <f aca="false">$G1126*'Analyse capacite'!$C$9</f>
        <v>0</v>
      </c>
      <c r="J1126" s="135" t="n">
        <f aca="false">$G1126*'Analyse capacite'!$D$9</f>
        <v>0</v>
      </c>
      <c r="K1126" s="135" t="n">
        <f aca="false">$G1126*'Analyse capacite'!$E$9</f>
        <v>0</v>
      </c>
    </row>
    <row r="1127" customFormat="false" ht="15" hidden="false" customHeight="false" outlineLevel="0" collapsed="false">
      <c r="B1127" s="130" t="n">
        <v>2027</v>
      </c>
      <c r="C1127" s="131" t="s">
        <v>247</v>
      </c>
      <c r="D1127" s="132" t="n">
        <v>46509</v>
      </c>
      <c r="E1127" s="131" t="s">
        <v>25</v>
      </c>
      <c r="F1127" s="133" t="s">
        <v>11</v>
      </c>
      <c r="G1127" s="134" t="n">
        <f aca="false">LEN('Saisie programme'!$J$58)+SUMIFS('Vols additionnels'!$E$7:$E$66,'Vols additionnels'!$C$7:$C$66,$E1127,'Vols additionnels'!$D$7:$D$66,$F1127,'Vols additionnels'!$B$7:$B$66,$D1127)</f>
        <v>0</v>
      </c>
      <c r="H1127" s="135" t="n">
        <f aca="false">$G1127*'Analyse capacite'!$F$7</f>
        <v>0</v>
      </c>
      <c r="I1127" s="135" t="n">
        <f aca="false">$G1127*'Analyse capacite'!$C$7</f>
        <v>0</v>
      </c>
      <c r="J1127" s="135" t="n">
        <f aca="false">$G1127*'Analyse capacite'!$D$7</f>
        <v>0</v>
      </c>
      <c r="K1127" s="135" t="n">
        <f aca="false">$G1127*'Analyse capacite'!$E$7</f>
        <v>0</v>
      </c>
    </row>
    <row r="1128" customFormat="false" ht="15" hidden="false" customHeight="false" outlineLevel="0" collapsed="false">
      <c r="B1128" s="130" t="n">
        <v>2027</v>
      </c>
      <c r="C1128" s="131" t="s">
        <v>247</v>
      </c>
      <c r="D1128" s="132" t="n">
        <v>46509</v>
      </c>
      <c r="E1128" s="131" t="s">
        <v>25</v>
      </c>
      <c r="F1128" s="133" t="s">
        <v>19</v>
      </c>
      <c r="G1128" s="134" t="n">
        <f aca="false">LEN('Saisie programme'!$J$59)+SUMIFS('Vols additionnels'!$E$7:$E$66,'Vols additionnels'!$C$7:$C$66,$E1128,'Vols additionnels'!$D$7:$D$66,$F1128,'Vols additionnels'!$B$7:$B$66,$D1128)</f>
        <v>0</v>
      </c>
      <c r="H1128" s="135" t="n">
        <f aca="false">$G1128*'Analyse capacite'!$F$8</f>
        <v>0</v>
      </c>
      <c r="I1128" s="135" t="n">
        <f aca="false">$G1128*'Analyse capacite'!$C$8</f>
        <v>0</v>
      </c>
      <c r="J1128" s="135" t="n">
        <f aca="false">$G1128*'Analyse capacite'!$D$8</f>
        <v>0</v>
      </c>
      <c r="K1128" s="135" t="n">
        <f aca="false">$G1128*'Analyse capacite'!$E$8</f>
        <v>0</v>
      </c>
    </row>
    <row r="1129" customFormat="false" ht="15" hidden="false" customHeight="false" outlineLevel="0" collapsed="false">
      <c r="B1129" s="130" t="n">
        <v>2027</v>
      </c>
      <c r="C1129" s="131" t="s">
        <v>247</v>
      </c>
      <c r="D1129" s="132" t="n">
        <v>46509</v>
      </c>
      <c r="E1129" s="131" t="s">
        <v>25</v>
      </c>
      <c r="F1129" s="133" t="s">
        <v>24</v>
      </c>
      <c r="G1129" s="134" t="n">
        <f aca="false">LEN('Saisie programme'!$J$60)+SUMIFS('Vols additionnels'!$E$7:$E$66,'Vols additionnels'!$C$7:$C$66,$E1129,'Vols additionnels'!$D$7:$D$66,$F1129,'Vols additionnels'!$B$7:$B$66,$D1129)</f>
        <v>0</v>
      </c>
      <c r="H1129" s="135" t="n">
        <f aca="false">$G1129*'Analyse capacite'!$F$9</f>
        <v>0</v>
      </c>
      <c r="I1129" s="135" t="n">
        <f aca="false">$G1129*'Analyse capacite'!$C$9</f>
        <v>0</v>
      </c>
      <c r="J1129" s="135" t="n">
        <f aca="false">$G1129*'Analyse capacite'!$D$9</f>
        <v>0</v>
      </c>
      <c r="K1129" s="135" t="n">
        <f aca="false">$G1129*'Analyse capacite'!$E$9</f>
        <v>0</v>
      </c>
    </row>
    <row r="1130" customFormat="false" ht="15" hidden="false" customHeight="false" outlineLevel="0" collapsed="false">
      <c r="B1130" s="130" t="n">
        <v>2027</v>
      </c>
      <c r="C1130" s="131" t="s">
        <v>247</v>
      </c>
      <c r="D1130" s="132" t="n">
        <v>46509</v>
      </c>
      <c r="E1130" s="131" t="s">
        <v>36</v>
      </c>
      <c r="F1130" s="133" t="s">
        <v>11</v>
      </c>
      <c r="G1130" s="134" t="n">
        <f aca="false">LEN('Saisie programme'!$J$61)+SUMIFS('Vols additionnels'!$E$7:$E$66,'Vols additionnels'!$C$7:$C$66,$E1130,'Vols additionnels'!$D$7:$D$66,$F1130,'Vols additionnels'!$B$7:$B$66,$D1130)</f>
        <v>0</v>
      </c>
      <c r="H1130" s="135" t="n">
        <f aca="false">$G1130*'Analyse capacite'!$F$7</f>
        <v>0</v>
      </c>
      <c r="I1130" s="135" t="n">
        <f aca="false">$G1130*'Analyse capacite'!$C$7</f>
        <v>0</v>
      </c>
      <c r="J1130" s="135" t="n">
        <f aca="false">$G1130*'Analyse capacite'!$D$7</f>
        <v>0</v>
      </c>
      <c r="K1130" s="135" t="n">
        <f aca="false">$G1130*'Analyse capacite'!$E$7</f>
        <v>0</v>
      </c>
    </row>
    <row r="1131" customFormat="false" ht="15" hidden="false" customHeight="false" outlineLevel="0" collapsed="false">
      <c r="B1131" s="130" t="n">
        <v>2027</v>
      </c>
      <c r="C1131" s="131" t="s">
        <v>247</v>
      </c>
      <c r="D1131" s="132" t="n">
        <v>46509</v>
      </c>
      <c r="E1131" s="131" t="s">
        <v>36</v>
      </c>
      <c r="F1131" s="133" t="s">
        <v>19</v>
      </c>
      <c r="G1131" s="134" t="n">
        <f aca="false">LEN('Saisie programme'!$J$62)+SUMIFS('Vols additionnels'!$E$7:$E$66,'Vols additionnels'!$C$7:$C$66,$E1131,'Vols additionnels'!$D$7:$D$66,$F1131,'Vols additionnels'!$B$7:$B$66,$D1131)</f>
        <v>0</v>
      </c>
      <c r="H1131" s="135" t="n">
        <f aca="false">$G1131*'Analyse capacite'!$F$8</f>
        <v>0</v>
      </c>
      <c r="I1131" s="135" t="n">
        <f aca="false">$G1131*'Analyse capacite'!$C$8</f>
        <v>0</v>
      </c>
      <c r="J1131" s="135" t="n">
        <f aca="false">$G1131*'Analyse capacite'!$D$8</f>
        <v>0</v>
      </c>
      <c r="K1131" s="135" t="n">
        <f aca="false">$G1131*'Analyse capacite'!$E$8</f>
        <v>0</v>
      </c>
    </row>
    <row r="1132" customFormat="false" ht="15" hidden="false" customHeight="false" outlineLevel="0" collapsed="false">
      <c r="B1132" s="130" t="n">
        <v>2027</v>
      </c>
      <c r="C1132" s="131" t="s">
        <v>247</v>
      </c>
      <c r="D1132" s="132" t="n">
        <v>46509</v>
      </c>
      <c r="E1132" s="131" t="s">
        <v>36</v>
      </c>
      <c r="F1132" s="133" t="s">
        <v>24</v>
      </c>
      <c r="G1132" s="134" t="n">
        <f aca="false">LEN('Saisie programme'!$J$63)+SUMIFS('Vols additionnels'!$E$7:$E$66,'Vols additionnels'!$C$7:$C$66,$E1132,'Vols additionnels'!$D$7:$D$66,$F1132,'Vols additionnels'!$B$7:$B$66,$D1132)</f>
        <v>0</v>
      </c>
      <c r="H1132" s="135" t="n">
        <f aca="false">$G1132*'Analyse capacite'!$F$9</f>
        <v>0</v>
      </c>
      <c r="I1132" s="135" t="n">
        <f aca="false">$G1132*'Analyse capacite'!$C$9</f>
        <v>0</v>
      </c>
      <c r="J1132" s="135" t="n">
        <f aca="false">$G1132*'Analyse capacite'!$D$9</f>
        <v>0</v>
      </c>
      <c r="K1132" s="135" t="n">
        <f aca="false">$G1132*'Analyse capacite'!$E$9</f>
        <v>0</v>
      </c>
    </row>
    <row r="1133" customFormat="false" ht="15" hidden="false" customHeight="false" outlineLevel="0" collapsed="false">
      <c r="B1133" s="130" t="n">
        <v>2027</v>
      </c>
      <c r="C1133" s="131" t="s">
        <v>247</v>
      </c>
      <c r="D1133" s="132" t="n">
        <v>46509</v>
      </c>
      <c r="E1133" s="131" t="s">
        <v>40</v>
      </c>
      <c r="F1133" s="133" t="s">
        <v>11</v>
      </c>
      <c r="G1133" s="134" t="n">
        <f aca="false">LEN('Saisie programme'!$J$64)+SUMIFS('Vols additionnels'!$E$7:$E$66,'Vols additionnels'!$C$7:$C$66,$E1133,'Vols additionnels'!$D$7:$D$66,$F1133,'Vols additionnels'!$B$7:$B$66,$D1133)</f>
        <v>0</v>
      </c>
      <c r="H1133" s="135" t="n">
        <f aca="false">$G1133*'Analyse capacite'!$F$7</f>
        <v>0</v>
      </c>
      <c r="I1133" s="135" t="n">
        <f aca="false">$G1133*'Analyse capacite'!$C$7</f>
        <v>0</v>
      </c>
      <c r="J1133" s="135" t="n">
        <f aca="false">$G1133*'Analyse capacite'!$D$7</f>
        <v>0</v>
      </c>
      <c r="K1133" s="135" t="n">
        <f aca="false">$G1133*'Analyse capacite'!$E$7</f>
        <v>0</v>
      </c>
    </row>
    <row r="1134" customFormat="false" ht="15" hidden="false" customHeight="false" outlineLevel="0" collapsed="false">
      <c r="B1134" s="130" t="n">
        <v>2027</v>
      </c>
      <c r="C1134" s="131" t="s">
        <v>247</v>
      </c>
      <c r="D1134" s="132" t="n">
        <v>46509</v>
      </c>
      <c r="E1134" s="131" t="s">
        <v>40</v>
      </c>
      <c r="F1134" s="133" t="s">
        <v>19</v>
      </c>
      <c r="G1134" s="134" t="n">
        <f aca="false">LEN('Saisie programme'!$J$65)+SUMIFS('Vols additionnels'!$E$7:$E$66,'Vols additionnels'!$C$7:$C$66,$E1134,'Vols additionnels'!$D$7:$D$66,$F1134,'Vols additionnels'!$B$7:$B$66,$D1134)</f>
        <v>0</v>
      </c>
      <c r="H1134" s="135" t="n">
        <f aca="false">$G1134*'Analyse capacite'!$F$8</f>
        <v>0</v>
      </c>
      <c r="I1134" s="135" t="n">
        <f aca="false">$G1134*'Analyse capacite'!$C$8</f>
        <v>0</v>
      </c>
      <c r="J1134" s="135" t="n">
        <f aca="false">$G1134*'Analyse capacite'!$D$8</f>
        <v>0</v>
      </c>
      <c r="K1134" s="135" t="n">
        <f aca="false">$G1134*'Analyse capacite'!$E$8</f>
        <v>0</v>
      </c>
    </row>
    <row r="1135" customFormat="false" ht="15" hidden="false" customHeight="false" outlineLevel="0" collapsed="false">
      <c r="B1135" s="130" t="n">
        <v>2027</v>
      </c>
      <c r="C1135" s="131" t="s">
        <v>247</v>
      </c>
      <c r="D1135" s="132" t="n">
        <v>46509</v>
      </c>
      <c r="E1135" s="131" t="s">
        <v>40</v>
      </c>
      <c r="F1135" s="133" t="s">
        <v>24</v>
      </c>
      <c r="G1135" s="134" t="n">
        <f aca="false">LEN('Saisie programme'!$J$66)+SUMIFS('Vols additionnels'!$E$7:$E$66,'Vols additionnels'!$C$7:$C$66,$E1135,'Vols additionnels'!$D$7:$D$66,$F1135,'Vols additionnels'!$B$7:$B$66,$D1135)</f>
        <v>1</v>
      </c>
      <c r="H1135" s="135" t="n">
        <f aca="false">$G1135*'Analyse capacite'!$F$9</f>
        <v>174</v>
      </c>
      <c r="I1135" s="135" t="n">
        <f aca="false">$G1135*'Analyse capacite'!$C$9</f>
        <v>0</v>
      </c>
      <c r="J1135" s="135" t="n">
        <f aca="false">$G1135*'Analyse capacite'!$D$9</f>
        <v>12</v>
      </c>
      <c r="K1135" s="135" t="n">
        <f aca="false">$G1135*'Analyse capacite'!$E$9</f>
        <v>162</v>
      </c>
    </row>
    <row r="1136" customFormat="false" ht="15" hidden="false" customHeight="false" outlineLevel="0" collapsed="false">
      <c r="B1136" s="130" t="n">
        <v>2027</v>
      </c>
      <c r="C1136" s="131" t="s">
        <v>247</v>
      </c>
      <c r="D1136" s="132" t="n">
        <v>46509</v>
      </c>
      <c r="E1136" s="131" t="s">
        <v>14</v>
      </c>
      <c r="F1136" s="133" t="s">
        <v>11</v>
      </c>
      <c r="G1136" s="134" t="n">
        <f aca="false">LEN('Saisie programme'!$J$67)+SUMIFS('Vols additionnels'!$E$7:$E$66,'Vols additionnels'!$C$7:$C$66,$E1136,'Vols additionnels'!$D$7:$D$66,$F1136,'Vols additionnels'!$B$7:$B$66,$D1136)</f>
        <v>0</v>
      </c>
      <c r="H1136" s="135" t="n">
        <f aca="false">$G1136*'Analyse capacite'!$F$7</f>
        <v>0</v>
      </c>
      <c r="I1136" s="135" t="n">
        <f aca="false">$G1136*'Analyse capacite'!$C$7</f>
        <v>0</v>
      </c>
      <c r="J1136" s="135" t="n">
        <f aca="false">$G1136*'Analyse capacite'!$D$7</f>
        <v>0</v>
      </c>
      <c r="K1136" s="135" t="n">
        <f aca="false">$G1136*'Analyse capacite'!$E$7</f>
        <v>0</v>
      </c>
    </row>
    <row r="1137" customFormat="false" ht="15" hidden="false" customHeight="false" outlineLevel="0" collapsed="false">
      <c r="B1137" s="130" t="n">
        <v>2027</v>
      </c>
      <c r="C1137" s="131" t="s">
        <v>247</v>
      </c>
      <c r="D1137" s="132" t="n">
        <v>46509</v>
      </c>
      <c r="E1137" s="131" t="s">
        <v>14</v>
      </c>
      <c r="F1137" s="133" t="s">
        <v>19</v>
      </c>
      <c r="G1137" s="134" t="n">
        <f aca="false">LEN('Saisie programme'!$J$68)+SUMIFS('Vols additionnels'!$E$7:$E$66,'Vols additionnels'!$C$7:$C$66,$E1137,'Vols additionnels'!$D$7:$D$66,$F1137,'Vols additionnels'!$B$7:$B$66,$D1137)</f>
        <v>0</v>
      </c>
      <c r="H1137" s="135" t="n">
        <f aca="false">$G1137*'Analyse capacite'!$F$8</f>
        <v>0</v>
      </c>
      <c r="I1137" s="135" t="n">
        <f aca="false">$G1137*'Analyse capacite'!$C$8</f>
        <v>0</v>
      </c>
      <c r="J1137" s="135" t="n">
        <f aca="false">$G1137*'Analyse capacite'!$D$8</f>
        <v>0</v>
      </c>
      <c r="K1137" s="135" t="n">
        <f aca="false">$G1137*'Analyse capacite'!$E$8</f>
        <v>0</v>
      </c>
    </row>
    <row r="1138" customFormat="false" ht="15" hidden="false" customHeight="false" outlineLevel="0" collapsed="false">
      <c r="B1138" s="130" t="n">
        <v>2027</v>
      </c>
      <c r="C1138" s="131" t="s">
        <v>247</v>
      </c>
      <c r="D1138" s="132" t="n">
        <v>46509</v>
      </c>
      <c r="E1138" s="131" t="s">
        <v>14</v>
      </c>
      <c r="F1138" s="133" t="s">
        <v>24</v>
      </c>
      <c r="G1138" s="134" t="n">
        <f aca="false">LEN('Saisie programme'!$J$69)+SUMIFS('Vols additionnels'!$E$7:$E$66,'Vols additionnels'!$C$7:$C$66,$E1138,'Vols additionnels'!$D$7:$D$66,$F1138,'Vols additionnels'!$B$7:$B$66,$D1138)</f>
        <v>0</v>
      </c>
      <c r="H1138" s="135" t="n">
        <f aca="false">$G1138*'Analyse capacite'!$F$9</f>
        <v>0</v>
      </c>
      <c r="I1138" s="135" t="n">
        <f aca="false">$G1138*'Analyse capacite'!$C$9</f>
        <v>0</v>
      </c>
      <c r="J1138" s="135" t="n">
        <f aca="false">$G1138*'Analyse capacite'!$D$9</f>
        <v>0</v>
      </c>
      <c r="K1138" s="135" t="n">
        <f aca="false">$G1138*'Analyse capacite'!$E$9</f>
        <v>0</v>
      </c>
    </row>
    <row r="1139" customFormat="false" ht="15" hidden="false" customHeight="false" outlineLevel="0" collapsed="false">
      <c r="B1139" s="130" t="n">
        <v>2027</v>
      </c>
      <c r="C1139" s="131" t="s">
        <v>247</v>
      </c>
      <c r="D1139" s="132" t="n">
        <v>46509</v>
      </c>
      <c r="E1139" s="131" t="s">
        <v>46</v>
      </c>
      <c r="F1139" s="133" t="s">
        <v>11</v>
      </c>
      <c r="G1139" s="134" t="n">
        <f aca="false">LEN('Saisie programme'!$J$70)+SUMIFS('Vols additionnels'!$E$7:$E$66,'Vols additionnels'!$C$7:$C$66,$E1139,'Vols additionnels'!$D$7:$D$66,$F1139,'Vols additionnels'!$B$7:$B$66,$D1139)</f>
        <v>0</v>
      </c>
      <c r="H1139" s="135" t="n">
        <f aca="false">$G1139*'Analyse capacite'!$F$7</f>
        <v>0</v>
      </c>
      <c r="I1139" s="135" t="n">
        <f aca="false">$G1139*'Analyse capacite'!$C$7</f>
        <v>0</v>
      </c>
      <c r="J1139" s="135" t="n">
        <f aca="false">$G1139*'Analyse capacite'!$D$7</f>
        <v>0</v>
      </c>
      <c r="K1139" s="135" t="n">
        <f aca="false">$G1139*'Analyse capacite'!$E$7</f>
        <v>0</v>
      </c>
    </row>
    <row r="1140" customFormat="false" ht="15" hidden="false" customHeight="false" outlineLevel="0" collapsed="false">
      <c r="B1140" s="130" t="n">
        <v>2027</v>
      </c>
      <c r="C1140" s="131" t="s">
        <v>247</v>
      </c>
      <c r="D1140" s="132" t="n">
        <v>46509</v>
      </c>
      <c r="E1140" s="131" t="s">
        <v>46</v>
      </c>
      <c r="F1140" s="133" t="s">
        <v>19</v>
      </c>
      <c r="G1140" s="134" t="n">
        <f aca="false">LEN('Saisie programme'!$J$71)+SUMIFS('Vols additionnels'!$E$7:$E$66,'Vols additionnels'!$C$7:$C$66,$E1140,'Vols additionnels'!$D$7:$D$66,$F1140,'Vols additionnels'!$B$7:$B$66,$D1140)</f>
        <v>0</v>
      </c>
      <c r="H1140" s="135" t="n">
        <f aca="false">$G1140*'Analyse capacite'!$F$8</f>
        <v>0</v>
      </c>
      <c r="I1140" s="135" t="n">
        <f aca="false">$G1140*'Analyse capacite'!$C$8</f>
        <v>0</v>
      </c>
      <c r="J1140" s="135" t="n">
        <f aca="false">$G1140*'Analyse capacite'!$D$8</f>
        <v>0</v>
      </c>
      <c r="K1140" s="135" t="n">
        <f aca="false">$G1140*'Analyse capacite'!$E$8</f>
        <v>0</v>
      </c>
    </row>
    <row r="1141" customFormat="false" ht="15" hidden="false" customHeight="false" outlineLevel="0" collapsed="false">
      <c r="B1141" s="130" t="n">
        <v>2027</v>
      </c>
      <c r="C1141" s="131" t="s">
        <v>247</v>
      </c>
      <c r="D1141" s="132" t="n">
        <v>46509</v>
      </c>
      <c r="E1141" s="131" t="s">
        <v>46</v>
      </c>
      <c r="F1141" s="133" t="s">
        <v>24</v>
      </c>
      <c r="G1141" s="134" t="n">
        <f aca="false">LEN('Saisie programme'!$J$72)+SUMIFS('Vols additionnels'!$E$7:$E$66,'Vols additionnels'!$C$7:$C$66,$E1141,'Vols additionnels'!$D$7:$D$66,$F1141,'Vols additionnels'!$B$7:$B$66,$D1141)</f>
        <v>0</v>
      </c>
      <c r="H1141" s="135" t="n">
        <f aca="false">$G1141*'Analyse capacite'!$F$9</f>
        <v>0</v>
      </c>
      <c r="I1141" s="135" t="n">
        <f aca="false">$G1141*'Analyse capacite'!$C$9</f>
        <v>0</v>
      </c>
      <c r="J1141" s="135" t="n">
        <f aca="false">$G1141*'Analyse capacite'!$D$9</f>
        <v>0</v>
      </c>
      <c r="K1141" s="135" t="n">
        <f aca="false">$G1141*'Analyse capacite'!$E$9</f>
        <v>0</v>
      </c>
    </row>
    <row r="1142" customFormat="false" ht="15" hidden="false" customHeight="false" outlineLevel="0" collapsed="false">
      <c r="B1142" s="130" t="n">
        <v>2027</v>
      </c>
      <c r="C1142" s="131" t="s">
        <v>247</v>
      </c>
      <c r="D1142" s="132" t="n">
        <v>46509</v>
      </c>
      <c r="E1142" s="131" t="s">
        <v>49</v>
      </c>
      <c r="F1142" s="133" t="s">
        <v>11</v>
      </c>
      <c r="G1142" s="134" t="n">
        <f aca="false">LEN('Saisie programme'!$J$73)+SUMIFS('Vols additionnels'!$E$7:$E$66,'Vols additionnels'!$C$7:$C$66,$E1142,'Vols additionnels'!$D$7:$D$66,$F1142,'Vols additionnels'!$B$7:$B$66,$D1142)</f>
        <v>0</v>
      </c>
      <c r="H1142" s="135" t="n">
        <f aca="false">$G1142*'Analyse capacite'!$F$7</f>
        <v>0</v>
      </c>
      <c r="I1142" s="135" t="n">
        <f aca="false">$G1142*'Analyse capacite'!$C$7</f>
        <v>0</v>
      </c>
      <c r="J1142" s="135" t="n">
        <f aca="false">$G1142*'Analyse capacite'!$D$7</f>
        <v>0</v>
      </c>
      <c r="K1142" s="135" t="n">
        <f aca="false">$G1142*'Analyse capacite'!$E$7</f>
        <v>0</v>
      </c>
    </row>
    <row r="1143" customFormat="false" ht="15" hidden="false" customHeight="false" outlineLevel="0" collapsed="false">
      <c r="B1143" s="130" t="n">
        <v>2027</v>
      </c>
      <c r="C1143" s="131" t="s">
        <v>247</v>
      </c>
      <c r="D1143" s="132" t="n">
        <v>46509</v>
      </c>
      <c r="E1143" s="131" t="s">
        <v>49</v>
      </c>
      <c r="F1143" s="133" t="s">
        <v>19</v>
      </c>
      <c r="G1143" s="134" t="n">
        <f aca="false">LEN('Saisie programme'!$J$74)+SUMIFS('Vols additionnels'!$E$7:$E$66,'Vols additionnels'!$C$7:$C$66,$E1143,'Vols additionnels'!$D$7:$D$66,$F1143,'Vols additionnels'!$B$7:$B$66,$D1143)</f>
        <v>0</v>
      </c>
      <c r="H1143" s="135" t="n">
        <f aca="false">$G1143*'Analyse capacite'!$F$8</f>
        <v>0</v>
      </c>
      <c r="I1143" s="135" t="n">
        <f aca="false">$G1143*'Analyse capacite'!$C$8</f>
        <v>0</v>
      </c>
      <c r="J1143" s="135" t="n">
        <f aca="false">$G1143*'Analyse capacite'!$D$8</f>
        <v>0</v>
      </c>
      <c r="K1143" s="135" t="n">
        <f aca="false">$G1143*'Analyse capacite'!$E$8</f>
        <v>0</v>
      </c>
    </row>
    <row r="1144" customFormat="false" ht="15" hidden="false" customHeight="false" outlineLevel="0" collapsed="false">
      <c r="B1144" s="130" t="n">
        <v>2027</v>
      </c>
      <c r="C1144" s="131" t="s">
        <v>247</v>
      </c>
      <c r="D1144" s="132" t="n">
        <v>46509</v>
      </c>
      <c r="E1144" s="131" t="s">
        <v>49</v>
      </c>
      <c r="F1144" s="133" t="s">
        <v>24</v>
      </c>
      <c r="G1144" s="134" t="n">
        <f aca="false">LEN('Saisie programme'!$J$75)+SUMIFS('Vols additionnels'!$E$7:$E$66,'Vols additionnels'!$C$7:$C$66,$E1144,'Vols additionnels'!$D$7:$D$66,$F1144,'Vols additionnels'!$B$7:$B$66,$D1144)</f>
        <v>0</v>
      </c>
      <c r="H1144" s="135" t="n">
        <f aca="false">$G1144*'Analyse capacite'!$F$9</f>
        <v>0</v>
      </c>
      <c r="I1144" s="135" t="n">
        <f aca="false">$G1144*'Analyse capacite'!$C$9</f>
        <v>0</v>
      </c>
      <c r="J1144" s="135" t="n">
        <f aca="false">$G1144*'Analyse capacite'!$D$9</f>
        <v>0</v>
      </c>
      <c r="K1144" s="135" t="n">
        <f aca="false">$G1144*'Analyse capacite'!$E$9</f>
        <v>0</v>
      </c>
    </row>
    <row r="1145" customFormat="false" ht="15" hidden="false" customHeight="false" outlineLevel="0" collapsed="false">
      <c r="B1145" s="130" t="n">
        <v>2027</v>
      </c>
      <c r="C1145" s="131" t="s">
        <v>247</v>
      </c>
      <c r="D1145" s="132" t="n">
        <v>46509</v>
      </c>
      <c r="E1145" s="131" t="s">
        <v>53</v>
      </c>
      <c r="F1145" s="133" t="s">
        <v>11</v>
      </c>
      <c r="G1145" s="134" t="n">
        <f aca="false">LEN('Saisie programme'!$J$76)+SUMIFS('Vols additionnels'!$E$7:$E$66,'Vols additionnels'!$C$7:$C$66,$E1145,'Vols additionnels'!$D$7:$D$66,$F1145,'Vols additionnels'!$B$7:$B$66,$D1145)</f>
        <v>0</v>
      </c>
      <c r="H1145" s="135" t="n">
        <f aca="false">$G1145*'Analyse capacite'!$F$7</f>
        <v>0</v>
      </c>
      <c r="I1145" s="135" t="n">
        <f aca="false">$G1145*'Analyse capacite'!$C$7</f>
        <v>0</v>
      </c>
      <c r="J1145" s="135" t="n">
        <f aca="false">$G1145*'Analyse capacite'!$D$7</f>
        <v>0</v>
      </c>
      <c r="K1145" s="135" t="n">
        <f aca="false">$G1145*'Analyse capacite'!$E$7</f>
        <v>0</v>
      </c>
    </row>
    <row r="1146" customFormat="false" ht="15" hidden="false" customHeight="false" outlineLevel="0" collapsed="false">
      <c r="B1146" s="130" t="n">
        <v>2027</v>
      </c>
      <c r="C1146" s="131" t="s">
        <v>247</v>
      </c>
      <c r="D1146" s="132" t="n">
        <v>46509</v>
      </c>
      <c r="E1146" s="131" t="s">
        <v>53</v>
      </c>
      <c r="F1146" s="133" t="s">
        <v>19</v>
      </c>
      <c r="G1146" s="134" t="n">
        <f aca="false">LEN('Saisie programme'!$J$77)+SUMIFS('Vols additionnels'!$E$7:$E$66,'Vols additionnels'!$C$7:$C$66,$E1146,'Vols additionnels'!$D$7:$D$66,$F1146,'Vols additionnels'!$B$7:$B$66,$D1146)</f>
        <v>0</v>
      </c>
      <c r="H1146" s="135" t="n">
        <f aca="false">$G1146*'Analyse capacite'!$F$8</f>
        <v>0</v>
      </c>
      <c r="I1146" s="135" t="n">
        <f aca="false">$G1146*'Analyse capacite'!$C$8</f>
        <v>0</v>
      </c>
      <c r="J1146" s="135" t="n">
        <f aca="false">$G1146*'Analyse capacite'!$D$8</f>
        <v>0</v>
      </c>
      <c r="K1146" s="135" t="n">
        <f aca="false">$G1146*'Analyse capacite'!$E$8</f>
        <v>0</v>
      </c>
    </row>
    <row r="1147" customFormat="false" ht="15" hidden="false" customHeight="false" outlineLevel="0" collapsed="false">
      <c r="B1147" s="130" t="n">
        <v>2027</v>
      </c>
      <c r="C1147" s="131" t="s">
        <v>247</v>
      </c>
      <c r="D1147" s="132" t="n">
        <v>46509</v>
      </c>
      <c r="E1147" s="131" t="s">
        <v>53</v>
      </c>
      <c r="F1147" s="133" t="s">
        <v>24</v>
      </c>
      <c r="G1147" s="134" t="n">
        <f aca="false">LEN('Saisie programme'!$J$78)+SUMIFS('Vols additionnels'!$E$7:$E$66,'Vols additionnels'!$C$7:$C$66,$E1147,'Vols additionnels'!$D$7:$D$66,$F1147,'Vols additionnels'!$B$7:$B$66,$D1147)</f>
        <v>0</v>
      </c>
      <c r="H1147" s="135" t="n">
        <f aca="false">$G1147*'Analyse capacite'!$F$9</f>
        <v>0</v>
      </c>
      <c r="I1147" s="135" t="n">
        <f aca="false">$G1147*'Analyse capacite'!$C$9</f>
        <v>0</v>
      </c>
      <c r="J1147" s="135" t="n">
        <f aca="false">$G1147*'Analyse capacite'!$D$9</f>
        <v>0</v>
      </c>
      <c r="K1147" s="135" t="n">
        <f aca="false">$G1147*'Analyse capacite'!$E$9</f>
        <v>0</v>
      </c>
    </row>
    <row r="1148" customFormat="false" ht="15" hidden="false" customHeight="false" outlineLevel="0" collapsed="false">
      <c r="B1148" s="130" t="n">
        <v>2027</v>
      </c>
      <c r="C1148" s="131" t="s">
        <v>247</v>
      </c>
      <c r="D1148" s="132" t="n">
        <v>46509</v>
      </c>
      <c r="E1148" s="131" t="s">
        <v>56</v>
      </c>
      <c r="F1148" s="133" t="s">
        <v>11</v>
      </c>
      <c r="G1148" s="134" t="n">
        <f aca="false">LEN('Saisie programme'!$J$79)+SUMIFS('Vols additionnels'!$E$7:$E$66,'Vols additionnels'!$C$7:$C$66,$E1148,'Vols additionnels'!$D$7:$D$66,$F1148,'Vols additionnels'!$B$7:$B$66,$D1148)</f>
        <v>0</v>
      </c>
      <c r="H1148" s="135" t="n">
        <f aca="false">$G1148*'Analyse capacite'!$F$7</f>
        <v>0</v>
      </c>
      <c r="I1148" s="135" t="n">
        <f aca="false">$G1148*'Analyse capacite'!$C$7</f>
        <v>0</v>
      </c>
      <c r="J1148" s="135" t="n">
        <f aca="false">$G1148*'Analyse capacite'!$D$7</f>
        <v>0</v>
      </c>
      <c r="K1148" s="135" t="n">
        <f aca="false">$G1148*'Analyse capacite'!$E$7</f>
        <v>0</v>
      </c>
    </row>
    <row r="1149" customFormat="false" ht="15" hidden="false" customHeight="false" outlineLevel="0" collapsed="false">
      <c r="B1149" s="130" t="n">
        <v>2027</v>
      </c>
      <c r="C1149" s="131" t="s">
        <v>247</v>
      </c>
      <c r="D1149" s="132" t="n">
        <v>46509</v>
      </c>
      <c r="E1149" s="131" t="s">
        <v>56</v>
      </c>
      <c r="F1149" s="133" t="s">
        <v>19</v>
      </c>
      <c r="G1149" s="134" t="n">
        <f aca="false">LEN('Saisie programme'!$J$80)+SUMIFS('Vols additionnels'!$E$7:$E$66,'Vols additionnels'!$C$7:$C$66,$E1149,'Vols additionnels'!$D$7:$D$66,$F1149,'Vols additionnels'!$B$7:$B$66,$D1149)</f>
        <v>0</v>
      </c>
      <c r="H1149" s="135" t="n">
        <f aca="false">$G1149*'Analyse capacite'!$F$8</f>
        <v>0</v>
      </c>
      <c r="I1149" s="135" t="n">
        <f aca="false">$G1149*'Analyse capacite'!$C$8</f>
        <v>0</v>
      </c>
      <c r="J1149" s="135" t="n">
        <f aca="false">$G1149*'Analyse capacite'!$D$8</f>
        <v>0</v>
      </c>
      <c r="K1149" s="135" t="n">
        <f aca="false">$G1149*'Analyse capacite'!$E$8</f>
        <v>0</v>
      </c>
    </row>
    <row r="1150" customFormat="false" ht="15" hidden="false" customHeight="false" outlineLevel="0" collapsed="false">
      <c r="B1150" s="130" t="n">
        <v>2027</v>
      </c>
      <c r="C1150" s="131" t="s">
        <v>247</v>
      </c>
      <c r="D1150" s="132" t="n">
        <v>46509</v>
      </c>
      <c r="E1150" s="131" t="s">
        <v>56</v>
      </c>
      <c r="F1150" s="133" t="s">
        <v>24</v>
      </c>
      <c r="G1150" s="134" t="n">
        <f aca="false">LEN('Saisie programme'!$J$81)+SUMIFS('Vols additionnels'!$E$7:$E$66,'Vols additionnels'!$C$7:$C$66,$E1150,'Vols additionnels'!$D$7:$D$66,$F1150,'Vols additionnels'!$B$7:$B$66,$D1150)</f>
        <v>0</v>
      </c>
      <c r="H1150" s="135" t="n">
        <f aca="false">$G1150*'Analyse capacite'!$F$9</f>
        <v>0</v>
      </c>
      <c r="I1150" s="135" t="n">
        <f aca="false">$G1150*'Analyse capacite'!$C$9</f>
        <v>0</v>
      </c>
      <c r="J1150" s="135" t="n">
        <f aca="false">$G1150*'Analyse capacite'!$D$9</f>
        <v>0</v>
      </c>
      <c r="K1150" s="135" t="n">
        <f aca="false">$G1150*'Analyse capacite'!$E$9</f>
        <v>0</v>
      </c>
    </row>
    <row r="1151" customFormat="false" ht="15" hidden="false" customHeight="false" outlineLevel="0" collapsed="false">
      <c r="B1151" s="130" t="n">
        <v>2027</v>
      </c>
      <c r="C1151" s="131" t="s">
        <v>247</v>
      </c>
      <c r="D1151" s="132" t="n">
        <v>46509</v>
      </c>
      <c r="E1151" s="131" t="s">
        <v>59</v>
      </c>
      <c r="F1151" s="133" t="s">
        <v>11</v>
      </c>
      <c r="G1151" s="134" t="n">
        <f aca="false">LEN('Saisie programme'!$J$82)+SUMIFS('Vols additionnels'!$E$7:$E$66,'Vols additionnels'!$C$7:$C$66,$E1151,'Vols additionnels'!$D$7:$D$66,$F1151,'Vols additionnels'!$B$7:$B$66,$D1151)</f>
        <v>0</v>
      </c>
      <c r="H1151" s="135" t="n">
        <f aca="false">$G1151*'Analyse capacite'!$F$7</f>
        <v>0</v>
      </c>
      <c r="I1151" s="135" t="n">
        <f aca="false">$G1151*'Analyse capacite'!$C$7</f>
        <v>0</v>
      </c>
      <c r="J1151" s="135" t="n">
        <f aca="false">$G1151*'Analyse capacite'!$D$7</f>
        <v>0</v>
      </c>
      <c r="K1151" s="135" t="n">
        <f aca="false">$G1151*'Analyse capacite'!$E$7</f>
        <v>0</v>
      </c>
    </row>
    <row r="1152" customFormat="false" ht="15" hidden="false" customHeight="false" outlineLevel="0" collapsed="false">
      <c r="B1152" s="130" t="n">
        <v>2027</v>
      </c>
      <c r="C1152" s="131" t="s">
        <v>247</v>
      </c>
      <c r="D1152" s="132" t="n">
        <v>46509</v>
      </c>
      <c r="E1152" s="131" t="s">
        <v>59</v>
      </c>
      <c r="F1152" s="133" t="s">
        <v>19</v>
      </c>
      <c r="G1152" s="134" t="n">
        <f aca="false">LEN('Saisie programme'!$J$83)+SUMIFS('Vols additionnels'!$E$7:$E$66,'Vols additionnels'!$C$7:$C$66,$E1152,'Vols additionnels'!$D$7:$D$66,$F1152,'Vols additionnels'!$B$7:$B$66,$D1152)</f>
        <v>0</v>
      </c>
      <c r="H1152" s="135" t="n">
        <f aca="false">$G1152*'Analyse capacite'!$F$8</f>
        <v>0</v>
      </c>
      <c r="I1152" s="135" t="n">
        <f aca="false">$G1152*'Analyse capacite'!$C$8</f>
        <v>0</v>
      </c>
      <c r="J1152" s="135" t="n">
        <f aca="false">$G1152*'Analyse capacite'!$D$8</f>
        <v>0</v>
      </c>
      <c r="K1152" s="135" t="n">
        <f aca="false">$G1152*'Analyse capacite'!$E$8</f>
        <v>0</v>
      </c>
    </row>
    <row r="1153" customFormat="false" ht="15" hidden="false" customHeight="false" outlineLevel="0" collapsed="false">
      <c r="B1153" s="130" t="n">
        <v>2027</v>
      </c>
      <c r="C1153" s="131" t="s">
        <v>247</v>
      </c>
      <c r="D1153" s="132" t="n">
        <v>46509</v>
      </c>
      <c r="E1153" s="131" t="s">
        <v>59</v>
      </c>
      <c r="F1153" s="133" t="s">
        <v>24</v>
      </c>
      <c r="G1153" s="134" t="n">
        <f aca="false">LEN('Saisie programme'!$J$84)+SUMIFS('Vols additionnels'!$E$7:$E$66,'Vols additionnels'!$C$7:$C$66,$E1153,'Vols additionnels'!$D$7:$D$66,$F1153,'Vols additionnels'!$B$7:$B$66,$D1153)</f>
        <v>0</v>
      </c>
      <c r="H1153" s="135" t="n">
        <f aca="false">$G1153*'Analyse capacite'!$F$9</f>
        <v>0</v>
      </c>
      <c r="I1153" s="135" t="n">
        <f aca="false">$G1153*'Analyse capacite'!$C$9</f>
        <v>0</v>
      </c>
      <c r="J1153" s="135" t="n">
        <f aca="false">$G1153*'Analyse capacite'!$D$9</f>
        <v>0</v>
      </c>
      <c r="K1153" s="135" t="n">
        <f aca="false">$G1153*'Analyse capacite'!$E$9</f>
        <v>0</v>
      </c>
    </row>
    <row r="1154" customFormat="false" ht="15" hidden="false" customHeight="false" outlineLevel="0" collapsed="false">
      <c r="B1154" s="130" t="n">
        <v>2027</v>
      </c>
      <c r="C1154" s="131" t="s">
        <v>247</v>
      </c>
      <c r="D1154" s="132" t="n">
        <v>46509</v>
      </c>
      <c r="E1154" s="131" t="s">
        <v>62</v>
      </c>
      <c r="F1154" s="133" t="s">
        <v>11</v>
      </c>
      <c r="G1154" s="134" t="n">
        <f aca="false">LEN('Saisie programme'!$J$85)+SUMIFS('Vols additionnels'!$E$7:$E$66,'Vols additionnels'!$C$7:$C$66,$E1154,'Vols additionnels'!$D$7:$D$66,$F1154,'Vols additionnels'!$B$7:$B$66,$D1154)</f>
        <v>0</v>
      </c>
      <c r="H1154" s="135" t="n">
        <f aca="false">$G1154*'Analyse capacite'!$F$7</f>
        <v>0</v>
      </c>
      <c r="I1154" s="135" t="n">
        <f aca="false">$G1154*'Analyse capacite'!$C$7</f>
        <v>0</v>
      </c>
      <c r="J1154" s="135" t="n">
        <f aca="false">$G1154*'Analyse capacite'!$D$7</f>
        <v>0</v>
      </c>
      <c r="K1154" s="135" t="n">
        <f aca="false">$G1154*'Analyse capacite'!$E$7</f>
        <v>0</v>
      </c>
    </row>
    <row r="1155" customFormat="false" ht="15" hidden="false" customHeight="false" outlineLevel="0" collapsed="false">
      <c r="B1155" s="130" t="n">
        <v>2027</v>
      </c>
      <c r="C1155" s="131" t="s">
        <v>247</v>
      </c>
      <c r="D1155" s="132" t="n">
        <v>46509</v>
      </c>
      <c r="E1155" s="131" t="s">
        <v>62</v>
      </c>
      <c r="F1155" s="133" t="s">
        <v>19</v>
      </c>
      <c r="G1155" s="134" t="n">
        <f aca="false">LEN('Saisie programme'!$J$86)+SUMIFS('Vols additionnels'!$E$7:$E$66,'Vols additionnels'!$C$7:$C$66,$E1155,'Vols additionnels'!$D$7:$D$66,$F1155,'Vols additionnels'!$B$7:$B$66,$D1155)</f>
        <v>0</v>
      </c>
      <c r="H1155" s="135" t="n">
        <f aca="false">$G1155*'Analyse capacite'!$F$8</f>
        <v>0</v>
      </c>
      <c r="I1155" s="135" t="n">
        <f aca="false">$G1155*'Analyse capacite'!$C$8</f>
        <v>0</v>
      </c>
      <c r="J1155" s="135" t="n">
        <f aca="false">$G1155*'Analyse capacite'!$D$8</f>
        <v>0</v>
      </c>
      <c r="K1155" s="135" t="n">
        <f aca="false">$G1155*'Analyse capacite'!$E$8</f>
        <v>0</v>
      </c>
    </row>
    <row r="1156" customFormat="false" ht="15" hidden="false" customHeight="false" outlineLevel="0" collapsed="false">
      <c r="B1156" s="130" t="n">
        <v>2027</v>
      </c>
      <c r="C1156" s="131" t="s">
        <v>247</v>
      </c>
      <c r="D1156" s="132" t="n">
        <v>46509</v>
      </c>
      <c r="E1156" s="131" t="s">
        <v>62</v>
      </c>
      <c r="F1156" s="133" t="s">
        <v>24</v>
      </c>
      <c r="G1156" s="134" t="n">
        <f aca="false">LEN('Saisie programme'!$J$87)+SUMIFS('Vols additionnels'!$E$7:$E$66,'Vols additionnels'!$C$7:$C$66,$E1156,'Vols additionnels'!$D$7:$D$66,$F1156,'Vols additionnels'!$B$7:$B$66,$D1156)</f>
        <v>1</v>
      </c>
      <c r="H1156" s="135" t="n">
        <f aca="false">$G1156*'Analyse capacite'!$F$9</f>
        <v>174</v>
      </c>
      <c r="I1156" s="135" t="n">
        <f aca="false">$G1156*'Analyse capacite'!$C$9</f>
        <v>0</v>
      </c>
      <c r="J1156" s="135" t="n">
        <f aca="false">$G1156*'Analyse capacite'!$D$9</f>
        <v>12</v>
      </c>
      <c r="K1156" s="135" t="n">
        <f aca="false">$G1156*'Analyse capacite'!$E$9</f>
        <v>162</v>
      </c>
    </row>
    <row r="1157" customFormat="false" ht="15" hidden="false" customHeight="false" outlineLevel="0" collapsed="false">
      <c r="B1157" s="130" t="n">
        <v>2027</v>
      </c>
      <c r="C1157" s="131" t="s">
        <v>247</v>
      </c>
      <c r="D1157" s="132" t="n">
        <v>46510</v>
      </c>
      <c r="E1157" s="131" t="s">
        <v>12</v>
      </c>
      <c r="F1157" s="133" t="s">
        <v>11</v>
      </c>
      <c r="G1157" s="134" t="n">
        <f aca="false">LEN('Saisie programme'!$D$52)+SUMIFS('Vols additionnels'!$E$7:$E$66,'Vols additionnels'!$C$7:$C$66,$E1157,'Vols additionnels'!$D$7:$D$66,$F1157,'Vols additionnels'!$B$7:$B$66,$D1157)</f>
        <v>1</v>
      </c>
      <c r="H1157" s="135" t="n">
        <f aca="false">$G1157*'Analyse capacite'!$F$7</f>
        <v>438</v>
      </c>
      <c r="I1157" s="135" t="n">
        <f aca="false">$G1157*'Analyse capacite'!$C$7</f>
        <v>14</v>
      </c>
      <c r="J1157" s="135" t="n">
        <f aca="false">$G1157*'Analyse capacite'!$D$7</f>
        <v>40</v>
      </c>
      <c r="K1157" s="135" t="n">
        <f aca="false">$G1157*'Analyse capacite'!$E$7</f>
        <v>384</v>
      </c>
    </row>
    <row r="1158" customFormat="false" ht="15" hidden="false" customHeight="false" outlineLevel="0" collapsed="false">
      <c r="B1158" s="130" t="n">
        <v>2027</v>
      </c>
      <c r="C1158" s="131" t="s">
        <v>247</v>
      </c>
      <c r="D1158" s="132" t="n">
        <v>46510</v>
      </c>
      <c r="E1158" s="131" t="s">
        <v>12</v>
      </c>
      <c r="F1158" s="133" t="s">
        <v>19</v>
      </c>
      <c r="G1158" s="134" t="n">
        <f aca="false">LEN('Saisie programme'!$D$53)+SUMIFS('Vols additionnels'!$E$7:$E$66,'Vols additionnels'!$C$7:$C$66,$E1158,'Vols additionnels'!$D$7:$D$66,$F1158,'Vols additionnels'!$B$7:$B$66,$D1158)</f>
        <v>1</v>
      </c>
      <c r="H1158" s="135" t="n">
        <f aca="false">$G1158*'Analyse capacite'!$F$8</f>
        <v>262</v>
      </c>
      <c r="I1158" s="135" t="n">
        <f aca="false">$G1158*'Analyse capacite'!$C$8</f>
        <v>18</v>
      </c>
      <c r="J1158" s="135" t="n">
        <f aca="false">$G1158*'Analyse capacite'!$D$8</f>
        <v>0</v>
      </c>
      <c r="K1158" s="135" t="n">
        <f aca="false">$G1158*'Analyse capacite'!$E$8</f>
        <v>244</v>
      </c>
    </row>
    <row r="1159" customFormat="false" ht="15" hidden="false" customHeight="false" outlineLevel="0" collapsed="false">
      <c r="B1159" s="130" t="n">
        <v>2027</v>
      </c>
      <c r="C1159" s="131" t="s">
        <v>247</v>
      </c>
      <c r="D1159" s="132" t="n">
        <v>46510</v>
      </c>
      <c r="E1159" s="131" t="s">
        <v>12</v>
      </c>
      <c r="F1159" s="133" t="s">
        <v>24</v>
      </c>
      <c r="G1159" s="134" t="n">
        <f aca="false">LEN('Saisie programme'!$D$54)+SUMIFS('Vols additionnels'!$E$7:$E$66,'Vols additionnels'!$C$7:$C$66,$E1159,'Vols additionnels'!$D$7:$D$66,$F1159,'Vols additionnels'!$B$7:$B$66,$D1159)</f>
        <v>2</v>
      </c>
      <c r="H1159" s="135" t="n">
        <f aca="false">$G1159*'Analyse capacite'!$F$9</f>
        <v>348</v>
      </c>
      <c r="I1159" s="135" t="n">
        <f aca="false">$G1159*'Analyse capacite'!$C$9</f>
        <v>0</v>
      </c>
      <c r="J1159" s="135" t="n">
        <f aca="false">$G1159*'Analyse capacite'!$D$9</f>
        <v>24</v>
      </c>
      <c r="K1159" s="135" t="n">
        <f aca="false">$G1159*'Analyse capacite'!$E$9</f>
        <v>324</v>
      </c>
    </row>
    <row r="1160" customFormat="false" ht="15" hidden="false" customHeight="false" outlineLevel="0" collapsed="false">
      <c r="B1160" s="130" t="n">
        <v>2027</v>
      </c>
      <c r="C1160" s="131" t="s">
        <v>247</v>
      </c>
      <c r="D1160" s="132" t="n">
        <v>46510</v>
      </c>
      <c r="E1160" s="131" t="s">
        <v>20</v>
      </c>
      <c r="F1160" s="133" t="s">
        <v>11</v>
      </c>
      <c r="G1160" s="134" t="n">
        <f aca="false">LEN('Saisie programme'!$D$55)+SUMIFS('Vols additionnels'!$E$7:$E$66,'Vols additionnels'!$C$7:$C$66,$E1160,'Vols additionnels'!$D$7:$D$66,$F1160,'Vols additionnels'!$B$7:$B$66,$D1160)</f>
        <v>0</v>
      </c>
      <c r="H1160" s="135" t="n">
        <f aca="false">$G1160*'Analyse capacite'!$F$7</f>
        <v>0</v>
      </c>
      <c r="I1160" s="135" t="n">
        <f aca="false">$G1160*'Analyse capacite'!$C$7</f>
        <v>0</v>
      </c>
      <c r="J1160" s="135" t="n">
        <f aca="false">$G1160*'Analyse capacite'!$D$7</f>
        <v>0</v>
      </c>
      <c r="K1160" s="135" t="n">
        <f aca="false">$G1160*'Analyse capacite'!$E$7</f>
        <v>0</v>
      </c>
    </row>
    <row r="1161" customFormat="false" ht="15" hidden="false" customHeight="false" outlineLevel="0" collapsed="false">
      <c r="B1161" s="130" t="n">
        <v>2027</v>
      </c>
      <c r="C1161" s="131" t="s">
        <v>247</v>
      </c>
      <c r="D1161" s="132" t="n">
        <v>46510</v>
      </c>
      <c r="E1161" s="131" t="s">
        <v>20</v>
      </c>
      <c r="F1161" s="133" t="s">
        <v>19</v>
      </c>
      <c r="G1161" s="134" t="n">
        <f aca="false">LEN('Saisie programme'!$D$56)+SUMIFS('Vols additionnels'!$E$7:$E$66,'Vols additionnels'!$C$7:$C$66,$E1161,'Vols additionnels'!$D$7:$D$66,$F1161,'Vols additionnels'!$B$7:$B$66,$D1161)</f>
        <v>0</v>
      </c>
      <c r="H1161" s="135" t="n">
        <f aca="false">$G1161*'Analyse capacite'!$F$8</f>
        <v>0</v>
      </c>
      <c r="I1161" s="135" t="n">
        <f aca="false">$G1161*'Analyse capacite'!$C$8</f>
        <v>0</v>
      </c>
      <c r="J1161" s="135" t="n">
        <f aca="false">$G1161*'Analyse capacite'!$D$8</f>
        <v>0</v>
      </c>
      <c r="K1161" s="135" t="n">
        <f aca="false">$G1161*'Analyse capacite'!$E$8</f>
        <v>0</v>
      </c>
    </row>
    <row r="1162" customFormat="false" ht="15" hidden="false" customHeight="false" outlineLevel="0" collapsed="false">
      <c r="B1162" s="130" t="n">
        <v>2027</v>
      </c>
      <c r="C1162" s="131" t="s">
        <v>247</v>
      </c>
      <c r="D1162" s="132" t="n">
        <v>46510</v>
      </c>
      <c r="E1162" s="131" t="s">
        <v>20</v>
      </c>
      <c r="F1162" s="133" t="s">
        <v>24</v>
      </c>
      <c r="G1162" s="134" t="n">
        <f aca="false">LEN('Saisie programme'!$D$57)+SUMIFS('Vols additionnels'!$E$7:$E$66,'Vols additionnels'!$C$7:$C$66,$E1162,'Vols additionnels'!$D$7:$D$66,$F1162,'Vols additionnels'!$B$7:$B$66,$D1162)</f>
        <v>0</v>
      </c>
      <c r="H1162" s="135" t="n">
        <f aca="false">$G1162*'Analyse capacite'!$F$9</f>
        <v>0</v>
      </c>
      <c r="I1162" s="135" t="n">
        <f aca="false">$G1162*'Analyse capacite'!$C$9</f>
        <v>0</v>
      </c>
      <c r="J1162" s="135" t="n">
        <f aca="false">$G1162*'Analyse capacite'!$D$9</f>
        <v>0</v>
      </c>
      <c r="K1162" s="135" t="n">
        <f aca="false">$G1162*'Analyse capacite'!$E$9</f>
        <v>0</v>
      </c>
    </row>
    <row r="1163" customFormat="false" ht="15" hidden="false" customHeight="false" outlineLevel="0" collapsed="false">
      <c r="B1163" s="130" t="n">
        <v>2027</v>
      </c>
      <c r="C1163" s="131" t="s">
        <v>247</v>
      </c>
      <c r="D1163" s="132" t="n">
        <v>46510</v>
      </c>
      <c r="E1163" s="131" t="s">
        <v>25</v>
      </c>
      <c r="F1163" s="133" t="s">
        <v>11</v>
      </c>
      <c r="G1163" s="134" t="n">
        <f aca="false">LEN('Saisie programme'!$D$58)+SUMIFS('Vols additionnels'!$E$7:$E$66,'Vols additionnels'!$C$7:$C$66,$E1163,'Vols additionnels'!$D$7:$D$66,$F1163,'Vols additionnels'!$B$7:$B$66,$D1163)</f>
        <v>0</v>
      </c>
      <c r="H1163" s="135" t="n">
        <f aca="false">$G1163*'Analyse capacite'!$F$7</f>
        <v>0</v>
      </c>
      <c r="I1163" s="135" t="n">
        <f aca="false">$G1163*'Analyse capacite'!$C$7</f>
        <v>0</v>
      </c>
      <c r="J1163" s="135" t="n">
        <f aca="false">$G1163*'Analyse capacite'!$D$7</f>
        <v>0</v>
      </c>
      <c r="K1163" s="135" t="n">
        <f aca="false">$G1163*'Analyse capacite'!$E$7</f>
        <v>0</v>
      </c>
    </row>
    <row r="1164" customFormat="false" ht="15" hidden="false" customHeight="false" outlineLevel="0" collapsed="false">
      <c r="B1164" s="130" t="n">
        <v>2027</v>
      </c>
      <c r="C1164" s="131" t="s">
        <v>247</v>
      </c>
      <c r="D1164" s="132" t="n">
        <v>46510</v>
      </c>
      <c r="E1164" s="131" t="s">
        <v>25</v>
      </c>
      <c r="F1164" s="133" t="s">
        <v>19</v>
      </c>
      <c r="G1164" s="134" t="n">
        <f aca="false">LEN('Saisie programme'!$D$59)+SUMIFS('Vols additionnels'!$E$7:$E$66,'Vols additionnels'!$C$7:$C$66,$E1164,'Vols additionnels'!$D$7:$D$66,$F1164,'Vols additionnels'!$B$7:$B$66,$D1164)</f>
        <v>0</v>
      </c>
      <c r="H1164" s="135" t="n">
        <f aca="false">$G1164*'Analyse capacite'!$F$8</f>
        <v>0</v>
      </c>
      <c r="I1164" s="135" t="n">
        <f aca="false">$G1164*'Analyse capacite'!$C$8</f>
        <v>0</v>
      </c>
      <c r="J1164" s="135" t="n">
        <f aca="false">$G1164*'Analyse capacite'!$D$8</f>
        <v>0</v>
      </c>
      <c r="K1164" s="135" t="n">
        <f aca="false">$G1164*'Analyse capacite'!$E$8</f>
        <v>0</v>
      </c>
    </row>
    <row r="1165" customFormat="false" ht="15" hidden="false" customHeight="false" outlineLevel="0" collapsed="false">
      <c r="B1165" s="130" t="n">
        <v>2027</v>
      </c>
      <c r="C1165" s="131" t="s">
        <v>247</v>
      </c>
      <c r="D1165" s="132" t="n">
        <v>46510</v>
      </c>
      <c r="E1165" s="131" t="s">
        <v>25</v>
      </c>
      <c r="F1165" s="133" t="s">
        <v>24</v>
      </c>
      <c r="G1165" s="134" t="n">
        <f aca="false">LEN('Saisie programme'!$D$60)+SUMIFS('Vols additionnels'!$E$7:$E$66,'Vols additionnels'!$C$7:$C$66,$E1165,'Vols additionnels'!$D$7:$D$66,$F1165,'Vols additionnels'!$B$7:$B$66,$D1165)</f>
        <v>0</v>
      </c>
      <c r="H1165" s="135" t="n">
        <f aca="false">$G1165*'Analyse capacite'!$F$9</f>
        <v>0</v>
      </c>
      <c r="I1165" s="135" t="n">
        <f aca="false">$G1165*'Analyse capacite'!$C$9</f>
        <v>0</v>
      </c>
      <c r="J1165" s="135" t="n">
        <f aca="false">$G1165*'Analyse capacite'!$D$9</f>
        <v>0</v>
      </c>
      <c r="K1165" s="135" t="n">
        <f aca="false">$G1165*'Analyse capacite'!$E$9</f>
        <v>0</v>
      </c>
    </row>
    <row r="1166" customFormat="false" ht="15" hidden="false" customHeight="false" outlineLevel="0" collapsed="false">
      <c r="B1166" s="130" t="n">
        <v>2027</v>
      </c>
      <c r="C1166" s="131" t="s">
        <v>247</v>
      </c>
      <c r="D1166" s="132" t="n">
        <v>46510</v>
      </c>
      <c r="E1166" s="131" t="s">
        <v>36</v>
      </c>
      <c r="F1166" s="133" t="s">
        <v>11</v>
      </c>
      <c r="G1166" s="134" t="n">
        <f aca="false">LEN('Saisie programme'!$D$61)+SUMIFS('Vols additionnels'!$E$7:$E$66,'Vols additionnels'!$C$7:$C$66,$E1166,'Vols additionnels'!$D$7:$D$66,$F1166,'Vols additionnels'!$B$7:$B$66,$D1166)</f>
        <v>0</v>
      </c>
      <c r="H1166" s="135" t="n">
        <f aca="false">$G1166*'Analyse capacite'!$F$7</f>
        <v>0</v>
      </c>
      <c r="I1166" s="135" t="n">
        <f aca="false">$G1166*'Analyse capacite'!$C$7</f>
        <v>0</v>
      </c>
      <c r="J1166" s="135" t="n">
        <f aca="false">$G1166*'Analyse capacite'!$D$7</f>
        <v>0</v>
      </c>
      <c r="K1166" s="135" t="n">
        <f aca="false">$G1166*'Analyse capacite'!$E$7</f>
        <v>0</v>
      </c>
    </row>
    <row r="1167" customFormat="false" ht="15" hidden="false" customHeight="false" outlineLevel="0" collapsed="false">
      <c r="B1167" s="130" t="n">
        <v>2027</v>
      </c>
      <c r="C1167" s="131" t="s">
        <v>247</v>
      </c>
      <c r="D1167" s="132" t="n">
        <v>46510</v>
      </c>
      <c r="E1167" s="131" t="s">
        <v>36</v>
      </c>
      <c r="F1167" s="133" t="s">
        <v>19</v>
      </c>
      <c r="G1167" s="134" t="n">
        <f aca="false">LEN('Saisie programme'!$D$62)+SUMIFS('Vols additionnels'!$E$7:$E$66,'Vols additionnels'!$C$7:$C$66,$E1167,'Vols additionnels'!$D$7:$D$66,$F1167,'Vols additionnels'!$B$7:$B$66,$D1167)</f>
        <v>0</v>
      </c>
      <c r="H1167" s="135" t="n">
        <f aca="false">$G1167*'Analyse capacite'!$F$8</f>
        <v>0</v>
      </c>
      <c r="I1167" s="135" t="n">
        <f aca="false">$G1167*'Analyse capacite'!$C$8</f>
        <v>0</v>
      </c>
      <c r="J1167" s="135" t="n">
        <f aca="false">$G1167*'Analyse capacite'!$D$8</f>
        <v>0</v>
      </c>
      <c r="K1167" s="135" t="n">
        <f aca="false">$G1167*'Analyse capacite'!$E$8</f>
        <v>0</v>
      </c>
    </row>
    <row r="1168" customFormat="false" ht="15" hidden="false" customHeight="false" outlineLevel="0" collapsed="false">
      <c r="B1168" s="130" t="n">
        <v>2027</v>
      </c>
      <c r="C1168" s="131" t="s">
        <v>247</v>
      </c>
      <c r="D1168" s="132" t="n">
        <v>46510</v>
      </c>
      <c r="E1168" s="131" t="s">
        <v>36</v>
      </c>
      <c r="F1168" s="133" t="s">
        <v>24</v>
      </c>
      <c r="G1168" s="134" t="n">
        <f aca="false">LEN('Saisie programme'!$D$63)+SUMIFS('Vols additionnels'!$E$7:$E$66,'Vols additionnels'!$C$7:$C$66,$E1168,'Vols additionnels'!$D$7:$D$66,$F1168,'Vols additionnels'!$B$7:$B$66,$D1168)</f>
        <v>1</v>
      </c>
      <c r="H1168" s="135" t="n">
        <f aca="false">$G1168*'Analyse capacite'!$F$9</f>
        <v>174</v>
      </c>
      <c r="I1168" s="135" t="n">
        <f aca="false">$G1168*'Analyse capacite'!$C$9</f>
        <v>0</v>
      </c>
      <c r="J1168" s="135" t="n">
        <f aca="false">$G1168*'Analyse capacite'!$D$9</f>
        <v>12</v>
      </c>
      <c r="K1168" s="135" t="n">
        <f aca="false">$G1168*'Analyse capacite'!$E$9</f>
        <v>162</v>
      </c>
    </row>
    <row r="1169" customFormat="false" ht="15" hidden="false" customHeight="false" outlineLevel="0" collapsed="false">
      <c r="B1169" s="130" t="n">
        <v>2027</v>
      </c>
      <c r="C1169" s="131" t="s">
        <v>247</v>
      </c>
      <c r="D1169" s="132" t="n">
        <v>46510</v>
      </c>
      <c r="E1169" s="131" t="s">
        <v>40</v>
      </c>
      <c r="F1169" s="133" t="s">
        <v>11</v>
      </c>
      <c r="G1169" s="134" t="n">
        <f aca="false">LEN('Saisie programme'!$D$64)+SUMIFS('Vols additionnels'!$E$7:$E$66,'Vols additionnels'!$C$7:$C$66,$E1169,'Vols additionnels'!$D$7:$D$66,$F1169,'Vols additionnels'!$B$7:$B$66,$D1169)</f>
        <v>0</v>
      </c>
      <c r="H1169" s="135" t="n">
        <f aca="false">$G1169*'Analyse capacite'!$F$7</f>
        <v>0</v>
      </c>
      <c r="I1169" s="135" t="n">
        <f aca="false">$G1169*'Analyse capacite'!$C$7</f>
        <v>0</v>
      </c>
      <c r="J1169" s="135" t="n">
        <f aca="false">$G1169*'Analyse capacite'!$D$7</f>
        <v>0</v>
      </c>
      <c r="K1169" s="135" t="n">
        <f aca="false">$G1169*'Analyse capacite'!$E$7</f>
        <v>0</v>
      </c>
    </row>
    <row r="1170" customFormat="false" ht="15" hidden="false" customHeight="false" outlineLevel="0" collapsed="false">
      <c r="B1170" s="130" t="n">
        <v>2027</v>
      </c>
      <c r="C1170" s="131" t="s">
        <v>247</v>
      </c>
      <c r="D1170" s="132" t="n">
        <v>46510</v>
      </c>
      <c r="E1170" s="131" t="s">
        <v>40</v>
      </c>
      <c r="F1170" s="133" t="s">
        <v>19</v>
      </c>
      <c r="G1170" s="134" t="n">
        <f aca="false">LEN('Saisie programme'!$D$65)+SUMIFS('Vols additionnels'!$E$7:$E$66,'Vols additionnels'!$C$7:$C$66,$E1170,'Vols additionnels'!$D$7:$D$66,$F1170,'Vols additionnels'!$B$7:$B$66,$D1170)</f>
        <v>0</v>
      </c>
      <c r="H1170" s="135" t="n">
        <f aca="false">$G1170*'Analyse capacite'!$F$8</f>
        <v>0</v>
      </c>
      <c r="I1170" s="135" t="n">
        <f aca="false">$G1170*'Analyse capacite'!$C$8</f>
        <v>0</v>
      </c>
      <c r="J1170" s="135" t="n">
        <f aca="false">$G1170*'Analyse capacite'!$D$8</f>
        <v>0</v>
      </c>
      <c r="K1170" s="135" t="n">
        <f aca="false">$G1170*'Analyse capacite'!$E$8</f>
        <v>0</v>
      </c>
    </row>
    <row r="1171" customFormat="false" ht="15" hidden="false" customHeight="false" outlineLevel="0" collapsed="false">
      <c r="B1171" s="130" t="n">
        <v>2027</v>
      </c>
      <c r="C1171" s="131" t="s">
        <v>247</v>
      </c>
      <c r="D1171" s="132" t="n">
        <v>46510</v>
      </c>
      <c r="E1171" s="131" t="s">
        <v>40</v>
      </c>
      <c r="F1171" s="133" t="s">
        <v>24</v>
      </c>
      <c r="G1171" s="134" t="n">
        <f aca="false">LEN('Saisie programme'!$D$66)+SUMIFS('Vols additionnels'!$E$7:$E$66,'Vols additionnels'!$C$7:$C$66,$E1171,'Vols additionnels'!$D$7:$D$66,$F1171,'Vols additionnels'!$B$7:$B$66,$D1171)</f>
        <v>1</v>
      </c>
      <c r="H1171" s="135" t="n">
        <f aca="false">$G1171*'Analyse capacite'!$F$9</f>
        <v>174</v>
      </c>
      <c r="I1171" s="135" t="n">
        <f aca="false">$G1171*'Analyse capacite'!$C$9</f>
        <v>0</v>
      </c>
      <c r="J1171" s="135" t="n">
        <f aca="false">$G1171*'Analyse capacite'!$D$9</f>
        <v>12</v>
      </c>
      <c r="K1171" s="135" t="n">
        <f aca="false">$G1171*'Analyse capacite'!$E$9</f>
        <v>162</v>
      </c>
    </row>
    <row r="1172" customFormat="false" ht="15" hidden="false" customHeight="false" outlineLevel="0" collapsed="false">
      <c r="B1172" s="130" t="n">
        <v>2027</v>
      </c>
      <c r="C1172" s="131" t="s">
        <v>247</v>
      </c>
      <c r="D1172" s="132" t="n">
        <v>46510</v>
      </c>
      <c r="E1172" s="131" t="s">
        <v>14</v>
      </c>
      <c r="F1172" s="133" t="s">
        <v>11</v>
      </c>
      <c r="G1172" s="134" t="n">
        <f aca="false">LEN('Saisie programme'!$D$67)+SUMIFS('Vols additionnels'!$E$7:$E$66,'Vols additionnels'!$C$7:$C$66,$E1172,'Vols additionnels'!$D$7:$D$66,$F1172,'Vols additionnels'!$B$7:$B$66,$D1172)</f>
        <v>0</v>
      </c>
      <c r="H1172" s="135" t="n">
        <f aca="false">$G1172*'Analyse capacite'!$F$7</f>
        <v>0</v>
      </c>
      <c r="I1172" s="135" t="n">
        <f aca="false">$G1172*'Analyse capacite'!$C$7</f>
        <v>0</v>
      </c>
      <c r="J1172" s="135" t="n">
        <f aca="false">$G1172*'Analyse capacite'!$D$7</f>
        <v>0</v>
      </c>
      <c r="K1172" s="135" t="n">
        <f aca="false">$G1172*'Analyse capacite'!$E$7</f>
        <v>0</v>
      </c>
    </row>
    <row r="1173" customFormat="false" ht="15" hidden="false" customHeight="false" outlineLevel="0" collapsed="false">
      <c r="B1173" s="130" t="n">
        <v>2027</v>
      </c>
      <c r="C1173" s="131" t="s">
        <v>247</v>
      </c>
      <c r="D1173" s="132" t="n">
        <v>46510</v>
      </c>
      <c r="E1173" s="131" t="s">
        <v>14</v>
      </c>
      <c r="F1173" s="133" t="s">
        <v>19</v>
      </c>
      <c r="G1173" s="134" t="n">
        <f aca="false">LEN('Saisie programme'!$D$68)+SUMIFS('Vols additionnels'!$E$7:$E$66,'Vols additionnels'!$C$7:$C$66,$E1173,'Vols additionnels'!$D$7:$D$66,$F1173,'Vols additionnels'!$B$7:$B$66,$D1173)</f>
        <v>0</v>
      </c>
      <c r="H1173" s="135" t="n">
        <f aca="false">$G1173*'Analyse capacite'!$F$8</f>
        <v>0</v>
      </c>
      <c r="I1173" s="135" t="n">
        <f aca="false">$G1173*'Analyse capacite'!$C$8</f>
        <v>0</v>
      </c>
      <c r="J1173" s="135" t="n">
        <f aca="false">$G1173*'Analyse capacite'!$D$8</f>
        <v>0</v>
      </c>
      <c r="K1173" s="135" t="n">
        <f aca="false">$G1173*'Analyse capacite'!$E$8</f>
        <v>0</v>
      </c>
    </row>
    <row r="1174" customFormat="false" ht="15" hidden="false" customHeight="false" outlineLevel="0" collapsed="false">
      <c r="B1174" s="130" t="n">
        <v>2027</v>
      </c>
      <c r="C1174" s="131" t="s">
        <v>247</v>
      </c>
      <c r="D1174" s="132" t="n">
        <v>46510</v>
      </c>
      <c r="E1174" s="131" t="s">
        <v>14</v>
      </c>
      <c r="F1174" s="133" t="s">
        <v>24</v>
      </c>
      <c r="G1174" s="134" t="n">
        <f aca="false">LEN('Saisie programme'!$D$69)+SUMIFS('Vols additionnels'!$E$7:$E$66,'Vols additionnels'!$C$7:$C$66,$E1174,'Vols additionnels'!$D$7:$D$66,$F1174,'Vols additionnels'!$B$7:$B$66,$D1174)</f>
        <v>1</v>
      </c>
      <c r="H1174" s="135" t="n">
        <f aca="false">$G1174*'Analyse capacite'!$F$9</f>
        <v>174</v>
      </c>
      <c r="I1174" s="135" t="n">
        <f aca="false">$G1174*'Analyse capacite'!$C$9</f>
        <v>0</v>
      </c>
      <c r="J1174" s="135" t="n">
        <f aca="false">$G1174*'Analyse capacite'!$D$9</f>
        <v>12</v>
      </c>
      <c r="K1174" s="135" t="n">
        <f aca="false">$G1174*'Analyse capacite'!$E$9</f>
        <v>162</v>
      </c>
    </row>
    <row r="1175" customFormat="false" ht="15" hidden="false" customHeight="false" outlineLevel="0" collapsed="false">
      <c r="B1175" s="130" t="n">
        <v>2027</v>
      </c>
      <c r="C1175" s="131" t="s">
        <v>247</v>
      </c>
      <c r="D1175" s="132" t="n">
        <v>46510</v>
      </c>
      <c r="E1175" s="131" t="s">
        <v>46</v>
      </c>
      <c r="F1175" s="133" t="s">
        <v>11</v>
      </c>
      <c r="G1175" s="134" t="n">
        <f aca="false">LEN('Saisie programme'!$D$70)+SUMIFS('Vols additionnels'!$E$7:$E$66,'Vols additionnels'!$C$7:$C$66,$E1175,'Vols additionnels'!$D$7:$D$66,$F1175,'Vols additionnels'!$B$7:$B$66,$D1175)</f>
        <v>0</v>
      </c>
      <c r="H1175" s="135" t="n">
        <f aca="false">$G1175*'Analyse capacite'!$F$7</f>
        <v>0</v>
      </c>
      <c r="I1175" s="135" t="n">
        <f aca="false">$G1175*'Analyse capacite'!$C$7</f>
        <v>0</v>
      </c>
      <c r="J1175" s="135" t="n">
        <f aca="false">$G1175*'Analyse capacite'!$D$7</f>
        <v>0</v>
      </c>
      <c r="K1175" s="135" t="n">
        <f aca="false">$G1175*'Analyse capacite'!$E$7</f>
        <v>0</v>
      </c>
    </row>
    <row r="1176" customFormat="false" ht="15" hidden="false" customHeight="false" outlineLevel="0" collapsed="false">
      <c r="B1176" s="130" t="n">
        <v>2027</v>
      </c>
      <c r="C1176" s="131" t="s">
        <v>247</v>
      </c>
      <c r="D1176" s="132" t="n">
        <v>46510</v>
      </c>
      <c r="E1176" s="131" t="s">
        <v>46</v>
      </c>
      <c r="F1176" s="133" t="s">
        <v>19</v>
      </c>
      <c r="G1176" s="134" t="n">
        <f aca="false">LEN('Saisie programme'!$D$71)+SUMIFS('Vols additionnels'!$E$7:$E$66,'Vols additionnels'!$C$7:$C$66,$E1176,'Vols additionnels'!$D$7:$D$66,$F1176,'Vols additionnels'!$B$7:$B$66,$D1176)</f>
        <v>0</v>
      </c>
      <c r="H1176" s="135" t="n">
        <f aca="false">$G1176*'Analyse capacite'!$F$8</f>
        <v>0</v>
      </c>
      <c r="I1176" s="135" t="n">
        <f aca="false">$G1176*'Analyse capacite'!$C$8</f>
        <v>0</v>
      </c>
      <c r="J1176" s="135" t="n">
        <f aca="false">$G1176*'Analyse capacite'!$D$8</f>
        <v>0</v>
      </c>
      <c r="K1176" s="135" t="n">
        <f aca="false">$G1176*'Analyse capacite'!$E$8</f>
        <v>0</v>
      </c>
    </row>
    <row r="1177" customFormat="false" ht="15" hidden="false" customHeight="false" outlineLevel="0" collapsed="false">
      <c r="B1177" s="130" t="n">
        <v>2027</v>
      </c>
      <c r="C1177" s="131" t="s">
        <v>247</v>
      </c>
      <c r="D1177" s="132" t="n">
        <v>46510</v>
      </c>
      <c r="E1177" s="131" t="s">
        <v>46</v>
      </c>
      <c r="F1177" s="133" t="s">
        <v>24</v>
      </c>
      <c r="G1177" s="134" t="n">
        <f aca="false">LEN('Saisie programme'!$D$72)+SUMIFS('Vols additionnels'!$E$7:$E$66,'Vols additionnels'!$C$7:$C$66,$E1177,'Vols additionnels'!$D$7:$D$66,$F1177,'Vols additionnels'!$B$7:$B$66,$D1177)</f>
        <v>0</v>
      </c>
      <c r="H1177" s="135" t="n">
        <f aca="false">$G1177*'Analyse capacite'!$F$9</f>
        <v>0</v>
      </c>
      <c r="I1177" s="135" t="n">
        <f aca="false">$G1177*'Analyse capacite'!$C$9</f>
        <v>0</v>
      </c>
      <c r="J1177" s="135" t="n">
        <f aca="false">$G1177*'Analyse capacite'!$D$9</f>
        <v>0</v>
      </c>
      <c r="K1177" s="135" t="n">
        <f aca="false">$G1177*'Analyse capacite'!$E$9</f>
        <v>0</v>
      </c>
    </row>
    <row r="1178" customFormat="false" ht="15" hidden="false" customHeight="false" outlineLevel="0" collapsed="false">
      <c r="B1178" s="130" t="n">
        <v>2027</v>
      </c>
      <c r="C1178" s="131" t="s">
        <v>247</v>
      </c>
      <c r="D1178" s="132" t="n">
        <v>46510</v>
      </c>
      <c r="E1178" s="131" t="s">
        <v>49</v>
      </c>
      <c r="F1178" s="133" t="s">
        <v>11</v>
      </c>
      <c r="G1178" s="134" t="n">
        <f aca="false">LEN('Saisie programme'!$D$73)+SUMIFS('Vols additionnels'!$E$7:$E$66,'Vols additionnels'!$C$7:$C$66,$E1178,'Vols additionnels'!$D$7:$D$66,$F1178,'Vols additionnels'!$B$7:$B$66,$D1178)</f>
        <v>0</v>
      </c>
      <c r="H1178" s="135" t="n">
        <f aca="false">$G1178*'Analyse capacite'!$F$7</f>
        <v>0</v>
      </c>
      <c r="I1178" s="135" t="n">
        <f aca="false">$G1178*'Analyse capacite'!$C$7</f>
        <v>0</v>
      </c>
      <c r="J1178" s="135" t="n">
        <f aca="false">$G1178*'Analyse capacite'!$D$7</f>
        <v>0</v>
      </c>
      <c r="K1178" s="135" t="n">
        <f aca="false">$G1178*'Analyse capacite'!$E$7</f>
        <v>0</v>
      </c>
    </row>
    <row r="1179" customFormat="false" ht="15" hidden="false" customHeight="false" outlineLevel="0" collapsed="false">
      <c r="B1179" s="130" t="n">
        <v>2027</v>
      </c>
      <c r="C1179" s="131" t="s">
        <v>247</v>
      </c>
      <c r="D1179" s="132" t="n">
        <v>46510</v>
      </c>
      <c r="E1179" s="131" t="s">
        <v>49</v>
      </c>
      <c r="F1179" s="133" t="s">
        <v>19</v>
      </c>
      <c r="G1179" s="134" t="n">
        <f aca="false">LEN('Saisie programme'!$D$74)+SUMIFS('Vols additionnels'!$E$7:$E$66,'Vols additionnels'!$C$7:$C$66,$E1179,'Vols additionnels'!$D$7:$D$66,$F1179,'Vols additionnels'!$B$7:$B$66,$D1179)</f>
        <v>1</v>
      </c>
      <c r="H1179" s="135" t="n">
        <f aca="false">$G1179*'Analyse capacite'!$F$8</f>
        <v>262</v>
      </c>
      <c r="I1179" s="135" t="n">
        <f aca="false">$G1179*'Analyse capacite'!$C$8</f>
        <v>18</v>
      </c>
      <c r="J1179" s="135" t="n">
        <f aca="false">$G1179*'Analyse capacite'!$D$8</f>
        <v>0</v>
      </c>
      <c r="K1179" s="135" t="n">
        <f aca="false">$G1179*'Analyse capacite'!$E$8</f>
        <v>244</v>
      </c>
    </row>
    <row r="1180" customFormat="false" ht="15" hidden="false" customHeight="false" outlineLevel="0" collapsed="false">
      <c r="B1180" s="130" t="n">
        <v>2027</v>
      </c>
      <c r="C1180" s="131" t="s">
        <v>247</v>
      </c>
      <c r="D1180" s="132" t="n">
        <v>46510</v>
      </c>
      <c r="E1180" s="131" t="s">
        <v>49</v>
      </c>
      <c r="F1180" s="133" t="s">
        <v>24</v>
      </c>
      <c r="G1180" s="134" t="n">
        <f aca="false">LEN('Saisie programme'!$D$75)+SUMIFS('Vols additionnels'!$E$7:$E$66,'Vols additionnels'!$C$7:$C$66,$E1180,'Vols additionnels'!$D$7:$D$66,$F1180,'Vols additionnels'!$B$7:$B$66,$D1180)</f>
        <v>0</v>
      </c>
      <c r="H1180" s="135" t="n">
        <f aca="false">$G1180*'Analyse capacite'!$F$9</f>
        <v>0</v>
      </c>
      <c r="I1180" s="135" t="n">
        <f aca="false">$G1180*'Analyse capacite'!$C$9</f>
        <v>0</v>
      </c>
      <c r="J1180" s="135" t="n">
        <f aca="false">$G1180*'Analyse capacite'!$D$9</f>
        <v>0</v>
      </c>
      <c r="K1180" s="135" t="n">
        <f aca="false">$G1180*'Analyse capacite'!$E$9</f>
        <v>0</v>
      </c>
    </row>
    <row r="1181" customFormat="false" ht="15" hidden="false" customHeight="false" outlineLevel="0" collapsed="false">
      <c r="B1181" s="130" t="n">
        <v>2027</v>
      </c>
      <c r="C1181" s="131" t="s">
        <v>247</v>
      </c>
      <c r="D1181" s="132" t="n">
        <v>46510</v>
      </c>
      <c r="E1181" s="131" t="s">
        <v>53</v>
      </c>
      <c r="F1181" s="133" t="s">
        <v>11</v>
      </c>
      <c r="G1181" s="134" t="n">
        <f aca="false">LEN('Saisie programme'!$D$76)+SUMIFS('Vols additionnels'!$E$7:$E$66,'Vols additionnels'!$C$7:$C$66,$E1181,'Vols additionnels'!$D$7:$D$66,$F1181,'Vols additionnels'!$B$7:$B$66,$D1181)</f>
        <v>0</v>
      </c>
      <c r="H1181" s="135" t="n">
        <f aca="false">$G1181*'Analyse capacite'!$F$7</f>
        <v>0</v>
      </c>
      <c r="I1181" s="135" t="n">
        <f aca="false">$G1181*'Analyse capacite'!$C$7</f>
        <v>0</v>
      </c>
      <c r="J1181" s="135" t="n">
        <f aca="false">$G1181*'Analyse capacite'!$D$7</f>
        <v>0</v>
      </c>
      <c r="K1181" s="135" t="n">
        <f aca="false">$G1181*'Analyse capacite'!$E$7</f>
        <v>0</v>
      </c>
    </row>
    <row r="1182" customFormat="false" ht="15" hidden="false" customHeight="false" outlineLevel="0" collapsed="false">
      <c r="B1182" s="130" t="n">
        <v>2027</v>
      </c>
      <c r="C1182" s="131" t="s">
        <v>247</v>
      </c>
      <c r="D1182" s="132" t="n">
        <v>46510</v>
      </c>
      <c r="E1182" s="131" t="s">
        <v>53</v>
      </c>
      <c r="F1182" s="133" t="s">
        <v>19</v>
      </c>
      <c r="G1182" s="134" t="n">
        <f aca="false">LEN('Saisie programme'!$D$77)+SUMIFS('Vols additionnels'!$E$7:$E$66,'Vols additionnels'!$C$7:$C$66,$E1182,'Vols additionnels'!$D$7:$D$66,$F1182,'Vols additionnels'!$B$7:$B$66,$D1182)</f>
        <v>0</v>
      </c>
      <c r="H1182" s="135" t="n">
        <f aca="false">$G1182*'Analyse capacite'!$F$8</f>
        <v>0</v>
      </c>
      <c r="I1182" s="135" t="n">
        <f aca="false">$G1182*'Analyse capacite'!$C$8</f>
        <v>0</v>
      </c>
      <c r="J1182" s="135" t="n">
        <f aca="false">$G1182*'Analyse capacite'!$D$8</f>
        <v>0</v>
      </c>
      <c r="K1182" s="135" t="n">
        <f aca="false">$G1182*'Analyse capacite'!$E$8</f>
        <v>0</v>
      </c>
    </row>
    <row r="1183" customFormat="false" ht="15" hidden="false" customHeight="false" outlineLevel="0" collapsed="false">
      <c r="B1183" s="130" t="n">
        <v>2027</v>
      </c>
      <c r="C1183" s="131" t="s">
        <v>247</v>
      </c>
      <c r="D1183" s="132" t="n">
        <v>46510</v>
      </c>
      <c r="E1183" s="131" t="s">
        <v>53</v>
      </c>
      <c r="F1183" s="133" t="s">
        <v>24</v>
      </c>
      <c r="G1183" s="134" t="n">
        <f aca="false">LEN('Saisie programme'!$D$78)+SUMIFS('Vols additionnels'!$E$7:$E$66,'Vols additionnels'!$C$7:$C$66,$E1183,'Vols additionnels'!$D$7:$D$66,$F1183,'Vols additionnels'!$B$7:$B$66,$D1183)</f>
        <v>0</v>
      </c>
      <c r="H1183" s="135" t="n">
        <f aca="false">$G1183*'Analyse capacite'!$F$9</f>
        <v>0</v>
      </c>
      <c r="I1183" s="135" t="n">
        <f aca="false">$G1183*'Analyse capacite'!$C$9</f>
        <v>0</v>
      </c>
      <c r="J1183" s="135" t="n">
        <f aca="false">$G1183*'Analyse capacite'!$D$9</f>
        <v>0</v>
      </c>
      <c r="K1183" s="135" t="n">
        <f aca="false">$G1183*'Analyse capacite'!$E$9</f>
        <v>0</v>
      </c>
    </row>
    <row r="1184" customFormat="false" ht="15" hidden="false" customHeight="false" outlineLevel="0" collapsed="false">
      <c r="B1184" s="130" t="n">
        <v>2027</v>
      </c>
      <c r="C1184" s="131" t="s">
        <v>247</v>
      </c>
      <c r="D1184" s="132" t="n">
        <v>46510</v>
      </c>
      <c r="E1184" s="131" t="s">
        <v>56</v>
      </c>
      <c r="F1184" s="133" t="s">
        <v>11</v>
      </c>
      <c r="G1184" s="134" t="n">
        <f aca="false">LEN('Saisie programme'!$D$79)+SUMIFS('Vols additionnels'!$E$7:$E$66,'Vols additionnels'!$C$7:$C$66,$E1184,'Vols additionnels'!$D$7:$D$66,$F1184,'Vols additionnels'!$B$7:$B$66,$D1184)</f>
        <v>0</v>
      </c>
      <c r="H1184" s="135" t="n">
        <f aca="false">$G1184*'Analyse capacite'!$F$7</f>
        <v>0</v>
      </c>
      <c r="I1184" s="135" t="n">
        <f aca="false">$G1184*'Analyse capacite'!$C$7</f>
        <v>0</v>
      </c>
      <c r="J1184" s="135" t="n">
        <f aca="false">$G1184*'Analyse capacite'!$D$7</f>
        <v>0</v>
      </c>
      <c r="K1184" s="135" t="n">
        <f aca="false">$G1184*'Analyse capacite'!$E$7</f>
        <v>0</v>
      </c>
    </row>
    <row r="1185" customFormat="false" ht="15" hidden="false" customHeight="false" outlineLevel="0" collapsed="false">
      <c r="B1185" s="130" t="n">
        <v>2027</v>
      </c>
      <c r="C1185" s="131" t="s">
        <v>247</v>
      </c>
      <c r="D1185" s="132" t="n">
        <v>46510</v>
      </c>
      <c r="E1185" s="131" t="s">
        <v>56</v>
      </c>
      <c r="F1185" s="133" t="s">
        <v>19</v>
      </c>
      <c r="G1185" s="134" t="n">
        <f aca="false">LEN('Saisie programme'!$D$80)+SUMIFS('Vols additionnels'!$E$7:$E$66,'Vols additionnels'!$C$7:$C$66,$E1185,'Vols additionnels'!$D$7:$D$66,$F1185,'Vols additionnels'!$B$7:$B$66,$D1185)</f>
        <v>0</v>
      </c>
      <c r="H1185" s="135" t="n">
        <f aca="false">$G1185*'Analyse capacite'!$F$8</f>
        <v>0</v>
      </c>
      <c r="I1185" s="135" t="n">
        <f aca="false">$G1185*'Analyse capacite'!$C$8</f>
        <v>0</v>
      </c>
      <c r="J1185" s="135" t="n">
        <f aca="false">$G1185*'Analyse capacite'!$D$8</f>
        <v>0</v>
      </c>
      <c r="K1185" s="135" t="n">
        <f aca="false">$G1185*'Analyse capacite'!$E$8</f>
        <v>0</v>
      </c>
    </row>
    <row r="1186" customFormat="false" ht="15" hidden="false" customHeight="false" outlineLevel="0" collapsed="false">
      <c r="B1186" s="130" t="n">
        <v>2027</v>
      </c>
      <c r="C1186" s="131" t="s">
        <v>247</v>
      </c>
      <c r="D1186" s="132" t="n">
        <v>46510</v>
      </c>
      <c r="E1186" s="131" t="s">
        <v>56</v>
      </c>
      <c r="F1186" s="133" t="s">
        <v>24</v>
      </c>
      <c r="G1186" s="134" t="n">
        <f aca="false">LEN('Saisie programme'!$D$81)+SUMIFS('Vols additionnels'!$E$7:$E$66,'Vols additionnels'!$C$7:$C$66,$E1186,'Vols additionnels'!$D$7:$D$66,$F1186,'Vols additionnels'!$B$7:$B$66,$D1186)</f>
        <v>0</v>
      </c>
      <c r="H1186" s="135" t="n">
        <f aca="false">$G1186*'Analyse capacite'!$F$9</f>
        <v>0</v>
      </c>
      <c r="I1186" s="135" t="n">
        <f aca="false">$G1186*'Analyse capacite'!$C$9</f>
        <v>0</v>
      </c>
      <c r="J1186" s="135" t="n">
        <f aca="false">$G1186*'Analyse capacite'!$D$9</f>
        <v>0</v>
      </c>
      <c r="K1186" s="135" t="n">
        <f aca="false">$G1186*'Analyse capacite'!$E$9</f>
        <v>0</v>
      </c>
    </row>
    <row r="1187" customFormat="false" ht="15" hidden="false" customHeight="false" outlineLevel="0" collapsed="false">
      <c r="B1187" s="130" t="n">
        <v>2027</v>
      </c>
      <c r="C1187" s="131" t="s">
        <v>247</v>
      </c>
      <c r="D1187" s="132" t="n">
        <v>46510</v>
      </c>
      <c r="E1187" s="131" t="s">
        <v>59</v>
      </c>
      <c r="F1187" s="133" t="s">
        <v>11</v>
      </c>
      <c r="G1187" s="134" t="n">
        <f aca="false">LEN('Saisie programme'!$D$82)+SUMIFS('Vols additionnels'!$E$7:$E$66,'Vols additionnels'!$C$7:$C$66,$E1187,'Vols additionnels'!$D$7:$D$66,$F1187,'Vols additionnels'!$B$7:$B$66,$D1187)</f>
        <v>0</v>
      </c>
      <c r="H1187" s="135" t="n">
        <f aca="false">$G1187*'Analyse capacite'!$F$7</f>
        <v>0</v>
      </c>
      <c r="I1187" s="135" t="n">
        <f aca="false">$G1187*'Analyse capacite'!$C$7</f>
        <v>0</v>
      </c>
      <c r="J1187" s="135" t="n">
        <f aca="false">$G1187*'Analyse capacite'!$D$7</f>
        <v>0</v>
      </c>
      <c r="K1187" s="135" t="n">
        <f aca="false">$G1187*'Analyse capacite'!$E$7</f>
        <v>0</v>
      </c>
    </row>
    <row r="1188" customFormat="false" ht="15" hidden="false" customHeight="false" outlineLevel="0" collapsed="false">
      <c r="B1188" s="130" t="n">
        <v>2027</v>
      </c>
      <c r="C1188" s="131" t="s">
        <v>247</v>
      </c>
      <c r="D1188" s="132" t="n">
        <v>46510</v>
      </c>
      <c r="E1188" s="131" t="s">
        <v>59</v>
      </c>
      <c r="F1188" s="133" t="s">
        <v>19</v>
      </c>
      <c r="G1188" s="134" t="n">
        <f aca="false">LEN('Saisie programme'!$D$83)+SUMIFS('Vols additionnels'!$E$7:$E$66,'Vols additionnels'!$C$7:$C$66,$E1188,'Vols additionnels'!$D$7:$D$66,$F1188,'Vols additionnels'!$B$7:$B$66,$D1188)</f>
        <v>0</v>
      </c>
      <c r="H1188" s="135" t="n">
        <f aca="false">$G1188*'Analyse capacite'!$F$8</f>
        <v>0</v>
      </c>
      <c r="I1188" s="135" t="n">
        <f aca="false">$G1188*'Analyse capacite'!$C$8</f>
        <v>0</v>
      </c>
      <c r="J1188" s="135" t="n">
        <f aca="false">$G1188*'Analyse capacite'!$D$8</f>
        <v>0</v>
      </c>
      <c r="K1188" s="135" t="n">
        <f aca="false">$G1188*'Analyse capacite'!$E$8</f>
        <v>0</v>
      </c>
    </row>
    <row r="1189" customFormat="false" ht="15" hidden="false" customHeight="false" outlineLevel="0" collapsed="false">
      <c r="B1189" s="130" t="n">
        <v>2027</v>
      </c>
      <c r="C1189" s="131" t="s">
        <v>247</v>
      </c>
      <c r="D1189" s="132" t="n">
        <v>46510</v>
      </c>
      <c r="E1189" s="131" t="s">
        <v>59</v>
      </c>
      <c r="F1189" s="133" t="s">
        <v>24</v>
      </c>
      <c r="G1189" s="134" t="n">
        <f aca="false">LEN('Saisie programme'!$D$84)+SUMIFS('Vols additionnels'!$E$7:$E$66,'Vols additionnels'!$C$7:$C$66,$E1189,'Vols additionnels'!$D$7:$D$66,$F1189,'Vols additionnels'!$B$7:$B$66,$D1189)</f>
        <v>1</v>
      </c>
      <c r="H1189" s="135" t="n">
        <f aca="false">$G1189*'Analyse capacite'!$F$9</f>
        <v>174</v>
      </c>
      <c r="I1189" s="135" t="n">
        <f aca="false">$G1189*'Analyse capacite'!$C$9</f>
        <v>0</v>
      </c>
      <c r="J1189" s="135" t="n">
        <f aca="false">$G1189*'Analyse capacite'!$D$9</f>
        <v>12</v>
      </c>
      <c r="K1189" s="135" t="n">
        <f aca="false">$G1189*'Analyse capacite'!$E$9</f>
        <v>162</v>
      </c>
    </row>
    <row r="1190" customFormat="false" ht="15" hidden="false" customHeight="false" outlineLevel="0" collapsed="false">
      <c r="B1190" s="130" t="n">
        <v>2027</v>
      </c>
      <c r="C1190" s="131" t="s">
        <v>247</v>
      </c>
      <c r="D1190" s="132" t="n">
        <v>46510</v>
      </c>
      <c r="E1190" s="131" t="s">
        <v>62</v>
      </c>
      <c r="F1190" s="133" t="s">
        <v>11</v>
      </c>
      <c r="G1190" s="134" t="n">
        <f aca="false">LEN('Saisie programme'!$D$85)+SUMIFS('Vols additionnels'!$E$7:$E$66,'Vols additionnels'!$C$7:$C$66,$E1190,'Vols additionnels'!$D$7:$D$66,$F1190,'Vols additionnels'!$B$7:$B$66,$D1190)</f>
        <v>0</v>
      </c>
      <c r="H1190" s="135" t="n">
        <f aca="false">$G1190*'Analyse capacite'!$F$7</f>
        <v>0</v>
      </c>
      <c r="I1190" s="135" t="n">
        <f aca="false">$G1190*'Analyse capacite'!$C$7</f>
        <v>0</v>
      </c>
      <c r="J1190" s="135" t="n">
        <f aca="false">$G1190*'Analyse capacite'!$D$7</f>
        <v>0</v>
      </c>
      <c r="K1190" s="135" t="n">
        <f aca="false">$G1190*'Analyse capacite'!$E$7</f>
        <v>0</v>
      </c>
    </row>
    <row r="1191" customFormat="false" ht="15" hidden="false" customHeight="false" outlineLevel="0" collapsed="false">
      <c r="B1191" s="130" t="n">
        <v>2027</v>
      </c>
      <c r="C1191" s="131" t="s">
        <v>247</v>
      </c>
      <c r="D1191" s="132" t="n">
        <v>46510</v>
      </c>
      <c r="E1191" s="131" t="s">
        <v>62</v>
      </c>
      <c r="F1191" s="133" t="s">
        <v>19</v>
      </c>
      <c r="G1191" s="134" t="n">
        <f aca="false">LEN('Saisie programme'!$D$86)+SUMIFS('Vols additionnels'!$E$7:$E$66,'Vols additionnels'!$C$7:$C$66,$E1191,'Vols additionnels'!$D$7:$D$66,$F1191,'Vols additionnels'!$B$7:$B$66,$D1191)</f>
        <v>0</v>
      </c>
      <c r="H1191" s="135" t="n">
        <f aca="false">$G1191*'Analyse capacite'!$F$8</f>
        <v>0</v>
      </c>
      <c r="I1191" s="135" t="n">
        <f aca="false">$G1191*'Analyse capacite'!$C$8</f>
        <v>0</v>
      </c>
      <c r="J1191" s="135" t="n">
        <f aca="false">$G1191*'Analyse capacite'!$D$8</f>
        <v>0</v>
      </c>
      <c r="K1191" s="135" t="n">
        <f aca="false">$G1191*'Analyse capacite'!$E$8</f>
        <v>0</v>
      </c>
    </row>
    <row r="1192" customFormat="false" ht="15" hidden="false" customHeight="false" outlineLevel="0" collapsed="false">
      <c r="B1192" s="130" t="n">
        <v>2027</v>
      </c>
      <c r="C1192" s="131" t="s">
        <v>247</v>
      </c>
      <c r="D1192" s="132" t="n">
        <v>46510</v>
      </c>
      <c r="E1192" s="131" t="s">
        <v>62</v>
      </c>
      <c r="F1192" s="133" t="s">
        <v>24</v>
      </c>
      <c r="G1192" s="134" t="n">
        <f aca="false">LEN('Saisie programme'!$D$87)+SUMIFS('Vols additionnels'!$E$7:$E$66,'Vols additionnels'!$C$7:$C$66,$E1192,'Vols additionnels'!$D$7:$D$66,$F1192,'Vols additionnels'!$B$7:$B$66,$D1192)</f>
        <v>0</v>
      </c>
      <c r="H1192" s="135" t="n">
        <f aca="false">$G1192*'Analyse capacite'!$F$9</f>
        <v>0</v>
      </c>
      <c r="I1192" s="135" t="n">
        <f aca="false">$G1192*'Analyse capacite'!$C$9</f>
        <v>0</v>
      </c>
      <c r="J1192" s="135" t="n">
        <f aca="false">$G1192*'Analyse capacite'!$D$9</f>
        <v>0</v>
      </c>
      <c r="K1192" s="135" t="n">
        <f aca="false">$G1192*'Analyse capacite'!$E$9</f>
        <v>0</v>
      </c>
    </row>
    <row r="1193" customFormat="false" ht="15" hidden="false" customHeight="false" outlineLevel="0" collapsed="false">
      <c r="B1193" s="130" t="n">
        <v>2027</v>
      </c>
      <c r="C1193" s="131" t="s">
        <v>247</v>
      </c>
      <c r="D1193" s="132" t="n">
        <v>46511</v>
      </c>
      <c r="E1193" s="131" t="s">
        <v>12</v>
      </c>
      <c r="F1193" s="133" t="s">
        <v>11</v>
      </c>
      <c r="G1193" s="134" t="n">
        <f aca="false">LEN('Saisie programme'!$E$52)+SUMIFS('Vols additionnels'!$E$7:$E$66,'Vols additionnels'!$C$7:$C$66,$E1193,'Vols additionnels'!$D$7:$D$66,$F1193,'Vols additionnels'!$B$7:$B$66,$D1193)</f>
        <v>1</v>
      </c>
      <c r="H1193" s="135" t="n">
        <f aca="false">$G1193*'Analyse capacite'!$F$7</f>
        <v>438</v>
      </c>
      <c r="I1193" s="135" t="n">
        <f aca="false">$G1193*'Analyse capacite'!$C$7</f>
        <v>14</v>
      </c>
      <c r="J1193" s="135" t="n">
        <f aca="false">$G1193*'Analyse capacite'!$D$7</f>
        <v>40</v>
      </c>
      <c r="K1193" s="135" t="n">
        <f aca="false">$G1193*'Analyse capacite'!$E$7</f>
        <v>384</v>
      </c>
    </row>
    <row r="1194" customFormat="false" ht="15" hidden="false" customHeight="false" outlineLevel="0" collapsed="false">
      <c r="B1194" s="130" t="n">
        <v>2027</v>
      </c>
      <c r="C1194" s="131" t="s">
        <v>247</v>
      </c>
      <c r="D1194" s="132" t="n">
        <v>46511</v>
      </c>
      <c r="E1194" s="131" t="s">
        <v>12</v>
      </c>
      <c r="F1194" s="133" t="s">
        <v>19</v>
      </c>
      <c r="G1194" s="134" t="n">
        <f aca="false">LEN('Saisie programme'!$E$53)+SUMIFS('Vols additionnels'!$E$7:$E$66,'Vols additionnels'!$C$7:$C$66,$E1194,'Vols additionnels'!$D$7:$D$66,$F1194,'Vols additionnels'!$B$7:$B$66,$D1194)</f>
        <v>0</v>
      </c>
      <c r="H1194" s="135" t="n">
        <f aca="false">$G1194*'Analyse capacite'!$F$8</f>
        <v>0</v>
      </c>
      <c r="I1194" s="135" t="n">
        <f aca="false">$G1194*'Analyse capacite'!$C$8</f>
        <v>0</v>
      </c>
      <c r="J1194" s="135" t="n">
        <f aca="false">$G1194*'Analyse capacite'!$D$8</f>
        <v>0</v>
      </c>
      <c r="K1194" s="135" t="n">
        <f aca="false">$G1194*'Analyse capacite'!$E$8</f>
        <v>0</v>
      </c>
    </row>
    <row r="1195" customFormat="false" ht="15" hidden="false" customHeight="false" outlineLevel="0" collapsed="false">
      <c r="B1195" s="130" t="n">
        <v>2027</v>
      </c>
      <c r="C1195" s="131" t="s">
        <v>247</v>
      </c>
      <c r="D1195" s="132" t="n">
        <v>46511</v>
      </c>
      <c r="E1195" s="131" t="s">
        <v>12</v>
      </c>
      <c r="F1195" s="133" t="s">
        <v>24</v>
      </c>
      <c r="G1195" s="134" t="n">
        <f aca="false">LEN('Saisie programme'!$E$54)+SUMIFS('Vols additionnels'!$E$7:$E$66,'Vols additionnels'!$C$7:$C$66,$E1195,'Vols additionnels'!$D$7:$D$66,$F1195,'Vols additionnels'!$B$7:$B$66,$D1195)</f>
        <v>0</v>
      </c>
      <c r="H1195" s="135" t="n">
        <f aca="false">$G1195*'Analyse capacite'!$F$9</f>
        <v>0</v>
      </c>
      <c r="I1195" s="135" t="n">
        <f aca="false">$G1195*'Analyse capacite'!$C$9</f>
        <v>0</v>
      </c>
      <c r="J1195" s="135" t="n">
        <f aca="false">$G1195*'Analyse capacite'!$D$9</f>
        <v>0</v>
      </c>
      <c r="K1195" s="135" t="n">
        <f aca="false">$G1195*'Analyse capacite'!$E$9</f>
        <v>0</v>
      </c>
    </row>
    <row r="1196" customFormat="false" ht="15" hidden="false" customHeight="false" outlineLevel="0" collapsed="false">
      <c r="B1196" s="130" t="n">
        <v>2027</v>
      </c>
      <c r="C1196" s="131" t="s">
        <v>247</v>
      </c>
      <c r="D1196" s="132" t="n">
        <v>46511</v>
      </c>
      <c r="E1196" s="131" t="s">
        <v>20</v>
      </c>
      <c r="F1196" s="133" t="s">
        <v>11</v>
      </c>
      <c r="G1196" s="134" t="n">
        <f aca="false">LEN('Saisie programme'!$E$55)+SUMIFS('Vols additionnels'!$E$7:$E$66,'Vols additionnels'!$C$7:$C$66,$E1196,'Vols additionnels'!$D$7:$D$66,$F1196,'Vols additionnels'!$B$7:$B$66,$D1196)</f>
        <v>0</v>
      </c>
      <c r="H1196" s="135" t="n">
        <f aca="false">$G1196*'Analyse capacite'!$F$7</f>
        <v>0</v>
      </c>
      <c r="I1196" s="135" t="n">
        <f aca="false">$G1196*'Analyse capacite'!$C$7</f>
        <v>0</v>
      </c>
      <c r="J1196" s="135" t="n">
        <f aca="false">$G1196*'Analyse capacite'!$D$7</f>
        <v>0</v>
      </c>
      <c r="K1196" s="135" t="n">
        <f aca="false">$G1196*'Analyse capacite'!$E$7</f>
        <v>0</v>
      </c>
    </row>
    <row r="1197" customFormat="false" ht="15" hidden="false" customHeight="false" outlineLevel="0" collapsed="false">
      <c r="B1197" s="130" t="n">
        <v>2027</v>
      </c>
      <c r="C1197" s="131" t="s">
        <v>247</v>
      </c>
      <c r="D1197" s="132" t="n">
        <v>46511</v>
      </c>
      <c r="E1197" s="131" t="s">
        <v>20</v>
      </c>
      <c r="F1197" s="133" t="s">
        <v>19</v>
      </c>
      <c r="G1197" s="134" t="n">
        <f aca="false">LEN('Saisie programme'!$E$56)+SUMIFS('Vols additionnels'!$E$7:$E$66,'Vols additionnels'!$C$7:$C$66,$E1197,'Vols additionnels'!$D$7:$D$66,$F1197,'Vols additionnels'!$B$7:$B$66,$D1197)</f>
        <v>1</v>
      </c>
      <c r="H1197" s="135" t="n">
        <f aca="false">$G1197*'Analyse capacite'!$F$8</f>
        <v>262</v>
      </c>
      <c r="I1197" s="135" t="n">
        <f aca="false">$G1197*'Analyse capacite'!$C$8</f>
        <v>18</v>
      </c>
      <c r="J1197" s="135" t="n">
        <f aca="false">$G1197*'Analyse capacite'!$D$8</f>
        <v>0</v>
      </c>
      <c r="K1197" s="135" t="n">
        <f aca="false">$G1197*'Analyse capacite'!$E$8</f>
        <v>244</v>
      </c>
    </row>
    <row r="1198" customFormat="false" ht="15" hidden="false" customHeight="false" outlineLevel="0" collapsed="false">
      <c r="B1198" s="130" t="n">
        <v>2027</v>
      </c>
      <c r="C1198" s="131" t="s">
        <v>247</v>
      </c>
      <c r="D1198" s="132" t="n">
        <v>46511</v>
      </c>
      <c r="E1198" s="131" t="s">
        <v>20</v>
      </c>
      <c r="F1198" s="133" t="s">
        <v>24</v>
      </c>
      <c r="G1198" s="134" t="n">
        <f aca="false">LEN('Saisie programme'!$E$57)+SUMIFS('Vols additionnels'!$E$7:$E$66,'Vols additionnels'!$C$7:$C$66,$E1198,'Vols additionnels'!$D$7:$D$66,$F1198,'Vols additionnels'!$B$7:$B$66,$D1198)</f>
        <v>0</v>
      </c>
      <c r="H1198" s="135" t="n">
        <f aca="false">$G1198*'Analyse capacite'!$F$9</f>
        <v>0</v>
      </c>
      <c r="I1198" s="135" t="n">
        <f aca="false">$G1198*'Analyse capacite'!$C$9</f>
        <v>0</v>
      </c>
      <c r="J1198" s="135" t="n">
        <f aca="false">$G1198*'Analyse capacite'!$D$9</f>
        <v>0</v>
      </c>
      <c r="K1198" s="135" t="n">
        <f aca="false">$G1198*'Analyse capacite'!$E$9</f>
        <v>0</v>
      </c>
    </row>
    <row r="1199" customFormat="false" ht="15" hidden="false" customHeight="false" outlineLevel="0" collapsed="false">
      <c r="B1199" s="130" t="n">
        <v>2027</v>
      </c>
      <c r="C1199" s="131" t="s">
        <v>247</v>
      </c>
      <c r="D1199" s="132" t="n">
        <v>46511</v>
      </c>
      <c r="E1199" s="131" t="s">
        <v>25</v>
      </c>
      <c r="F1199" s="133" t="s">
        <v>11</v>
      </c>
      <c r="G1199" s="134" t="n">
        <f aca="false">LEN('Saisie programme'!$E$58)+SUMIFS('Vols additionnels'!$E$7:$E$66,'Vols additionnels'!$C$7:$C$66,$E1199,'Vols additionnels'!$D$7:$D$66,$F1199,'Vols additionnels'!$B$7:$B$66,$D1199)</f>
        <v>0</v>
      </c>
      <c r="H1199" s="135" t="n">
        <f aca="false">$G1199*'Analyse capacite'!$F$7</f>
        <v>0</v>
      </c>
      <c r="I1199" s="135" t="n">
        <f aca="false">$G1199*'Analyse capacite'!$C$7</f>
        <v>0</v>
      </c>
      <c r="J1199" s="135" t="n">
        <f aca="false">$G1199*'Analyse capacite'!$D$7</f>
        <v>0</v>
      </c>
      <c r="K1199" s="135" t="n">
        <f aca="false">$G1199*'Analyse capacite'!$E$7</f>
        <v>0</v>
      </c>
    </row>
    <row r="1200" customFormat="false" ht="15" hidden="false" customHeight="false" outlineLevel="0" collapsed="false">
      <c r="B1200" s="130" t="n">
        <v>2027</v>
      </c>
      <c r="C1200" s="131" t="s">
        <v>247</v>
      </c>
      <c r="D1200" s="132" t="n">
        <v>46511</v>
      </c>
      <c r="E1200" s="131" t="s">
        <v>25</v>
      </c>
      <c r="F1200" s="133" t="s">
        <v>19</v>
      </c>
      <c r="G1200" s="134" t="n">
        <f aca="false">LEN('Saisie programme'!$E$59)+SUMIFS('Vols additionnels'!$E$7:$E$66,'Vols additionnels'!$C$7:$C$66,$E1200,'Vols additionnels'!$D$7:$D$66,$F1200,'Vols additionnels'!$B$7:$B$66,$D1200)</f>
        <v>0</v>
      </c>
      <c r="H1200" s="135" t="n">
        <f aca="false">$G1200*'Analyse capacite'!$F$8</f>
        <v>0</v>
      </c>
      <c r="I1200" s="135" t="n">
        <f aca="false">$G1200*'Analyse capacite'!$C$8</f>
        <v>0</v>
      </c>
      <c r="J1200" s="135" t="n">
        <f aca="false">$G1200*'Analyse capacite'!$D$8</f>
        <v>0</v>
      </c>
      <c r="K1200" s="135" t="n">
        <f aca="false">$G1200*'Analyse capacite'!$E$8</f>
        <v>0</v>
      </c>
    </row>
    <row r="1201" customFormat="false" ht="15" hidden="false" customHeight="false" outlineLevel="0" collapsed="false">
      <c r="B1201" s="130" t="n">
        <v>2027</v>
      </c>
      <c r="C1201" s="131" t="s">
        <v>247</v>
      </c>
      <c r="D1201" s="132" t="n">
        <v>46511</v>
      </c>
      <c r="E1201" s="131" t="s">
        <v>25</v>
      </c>
      <c r="F1201" s="133" t="s">
        <v>24</v>
      </c>
      <c r="G1201" s="134" t="n">
        <f aca="false">LEN('Saisie programme'!$E$60)+SUMIFS('Vols additionnels'!$E$7:$E$66,'Vols additionnels'!$C$7:$C$66,$E1201,'Vols additionnels'!$D$7:$D$66,$F1201,'Vols additionnels'!$B$7:$B$66,$D1201)</f>
        <v>0</v>
      </c>
      <c r="H1201" s="135" t="n">
        <f aca="false">$G1201*'Analyse capacite'!$F$9</f>
        <v>0</v>
      </c>
      <c r="I1201" s="135" t="n">
        <f aca="false">$G1201*'Analyse capacite'!$C$9</f>
        <v>0</v>
      </c>
      <c r="J1201" s="135" t="n">
        <f aca="false">$G1201*'Analyse capacite'!$D$9</f>
        <v>0</v>
      </c>
      <c r="K1201" s="135" t="n">
        <f aca="false">$G1201*'Analyse capacite'!$E$9</f>
        <v>0</v>
      </c>
    </row>
    <row r="1202" customFormat="false" ht="15" hidden="false" customHeight="false" outlineLevel="0" collapsed="false">
      <c r="B1202" s="130" t="n">
        <v>2027</v>
      </c>
      <c r="C1202" s="131" t="s">
        <v>247</v>
      </c>
      <c r="D1202" s="132" t="n">
        <v>46511</v>
      </c>
      <c r="E1202" s="131" t="s">
        <v>36</v>
      </c>
      <c r="F1202" s="133" t="s">
        <v>11</v>
      </c>
      <c r="G1202" s="134" t="n">
        <f aca="false">LEN('Saisie programme'!$E$61)+SUMIFS('Vols additionnels'!$E$7:$E$66,'Vols additionnels'!$C$7:$C$66,$E1202,'Vols additionnels'!$D$7:$D$66,$F1202,'Vols additionnels'!$B$7:$B$66,$D1202)</f>
        <v>0</v>
      </c>
      <c r="H1202" s="135" t="n">
        <f aca="false">$G1202*'Analyse capacite'!$F$7</f>
        <v>0</v>
      </c>
      <c r="I1202" s="135" t="n">
        <f aca="false">$G1202*'Analyse capacite'!$C$7</f>
        <v>0</v>
      </c>
      <c r="J1202" s="135" t="n">
        <f aca="false">$G1202*'Analyse capacite'!$D$7</f>
        <v>0</v>
      </c>
      <c r="K1202" s="135" t="n">
        <f aca="false">$G1202*'Analyse capacite'!$E$7</f>
        <v>0</v>
      </c>
    </row>
    <row r="1203" customFormat="false" ht="15" hidden="false" customHeight="false" outlineLevel="0" collapsed="false">
      <c r="B1203" s="130" t="n">
        <v>2027</v>
      </c>
      <c r="C1203" s="131" t="s">
        <v>247</v>
      </c>
      <c r="D1203" s="132" t="n">
        <v>46511</v>
      </c>
      <c r="E1203" s="131" t="s">
        <v>36</v>
      </c>
      <c r="F1203" s="133" t="s">
        <v>19</v>
      </c>
      <c r="G1203" s="134" t="n">
        <f aca="false">LEN('Saisie programme'!$E$62)+SUMIFS('Vols additionnels'!$E$7:$E$66,'Vols additionnels'!$C$7:$C$66,$E1203,'Vols additionnels'!$D$7:$D$66,$F1203,'Vols additionnels'!$B$7:$B$66,$D1203)</f>
        <v>0</v>
      </c>
      <c r="H1203" s="135" t="n">
        <f aca="false">$G1203*'Analyse capacite'!$F$8</f>
        <v>0</v>
      </c>
      <c r="I1203" s="135" t="n">
        <f aca="false">$G1203*'Analyse capacite'!$C$8</f>
        <v>0</v>
      </c>
      <c r="J1203" s="135" t="n">
        <f aca="false">$G1203*'Analyse capacite'!$D$8</f>
        <v>0</v>
      </c>
      <c r="K1203" s="135" t="n">
        <f aca="false">$G1203*'Analyse capacite'!$E$8</f>
        <v>0</v>
      </c>
    </row>
    <row r="1204" customFormat="false" ht="15" hidden="false" customHeight="false" outlineLevel="0" collapsed="false">
      <c r="B1204" s="130" t="n">
        <v>2027</v>
      </c>
      <c r="C1204" s="131" t="s">
        <v>247</v>
      </c>
      <c r="D1204" s="132" t="n">
        <v>46511</v>
      </c>
      <c r="E1204" s="131" t="s">
        <v>36</v>
      </c>
      <c r="F1204" s="133" t="s">
        <v>24</v>
      </c>
      <c r="G1204" s="134" t="n">
        <f aca="false">LEN('Saisie programme'!$E$63)+SUMIFS('Vols additionnels'!$E$7:$E$66,'Vols additionnels'!$C$7:$C$66,$E1204,'Vols additionnels'!$D$7:$D$66,$F1204,'Vols additionnels'!$B$7:$B$66,$D1204)</f>
        <v>1</v>
      </c>
      <c r="H1204" s="135" t="n">
        <f aca="false">$G1204*'Analyse capacite'!$F$9</f>
        <v>174</v>
      </c>
      <c r="I1204" s="135" t="n">
        <f aca="false">$G1204*'Analyse capacite'!$C$9</f>
        <v>0</v>
      </c>
      <c r="J1204" s="135" t="n">
        <f aca="false">$G1204*'Analyse capacite'!$D$9</f>
        <v>12</v>
      </c>
      <c r="K1204" s="135" t="n">
        <f aca="false">$G1204*'Analyse capacite'!$E$9</f>
        <v>162</v>
      </c>
    </row>
    <row r="1205" customFormat="false" ht="15" hidden="false" customHeight="false" outlineLevel="0" collapsed="false">
      <c r="B1205" s="130" t="n">
        <v>2027</v>
      </c>
      <c r="C1205" s="131" t="s">
        <v>247</v>
      </c>
      <c r="D1205" s="132" t="n">
        <v>46511</v>
      </c>
      <c r="E1205" s="131" t="s">
        <v>40</v>
      </c>
      <c r="F1205" s="133" t="s">
        <v>11</v>
      </c>
      <c r="G1205" s="134" t="n">
        <f aca="false">LEN('Saisie programme'!$E$64)+SUMIFS('Vols additionnels'!$E$7:$E$66,'Vols additionnels'!$C$7:$C$66,$E1205,'Vols additionnels'!$D$7:$D$66,$F1205,'Vols additionnels'!$B$7:$B$66,$D1205)</f>
        <v>0</v>
      </c>
      <c r="H1205" s="135" t="n">
        <f aca="false">$G1205*'Analyse capacite'!$F$7</f>
        <v>0</v>
      </c>
      <c r="I1205" s="135" t="n">
        <f aca="false">$G1205*'Analyse capacite'!$C$7</f>
        <v>0</v>
      </c>
      <c r="J1205" s="135" t="n">
        <f aca="false">$G1205*'Analyse capacite'!$D$7</f>
        <v>0</v>
      </c>
      <c r="K1205" s="135" t="n">
        <f aca="false">$G1205*'Analyse capacite'!$E$7</f>
        <v>0</v>
      </c>
    </row>
    <row r="1206" customFormat="false" ht="15" hidden="false" customHeight="false" outlineLevel="0" collapsed="false">
      <c r="B1206" s="130" t="n">
        <v>2027</v>
      </c>
      <c r="C1206" s="131" t="s">
        <v>247</v>
      </c>
      <c r="D1206" s="132" t="n">
        <v>46511</v>
      </c>
      <c r="E1206" s="131" t="s">
        <v>40</v>
      </c>
      <c r="F1206" s="133" t="s">
        <v>19</v>
      </c>
      <c r="G1206" s="134" t="n">
        <f aca="false">LEN('Saisie programme'!$E$65)+SUMIFS('Vols additionnels'!$E$7:$E$66,'Vols additionnels'!$C$7:$C$66,$E1206,'Vols additionnels'!$D$7:$D$66,$F1206,'Vols additionnels'!$B$7:$B$66,$D1206)</f>
        <v>0</v>
      </c>
      <c r="H1206" s="135" t="n">
        <f aca="false">$G1206*'Analyse capacite'!$F$8</f>
        <v>0</v>
      </c>
      <c r="I1206" s="135" t="n">
        <f aca="false">$G1206*'Analyse capacite'!$C$8</f>
        <v>0</v>
      </c>
      <c r="J1206" s="135" t="n">
        <f aca="false">$G1206*'Analyse capacite'!$D$8</f>
        <v>0</v>
      </c>
      <c r="K1206" s="135" t="n">
        <f aca="false">$G1206*'Analyse capacite'!$E$8</f>
        <v>0</v>
      </c>
    </row>
    <row r="1207" customFormat="false" ht="15" hidden="false" customHeight="false" outlineLevel="0" collapsed="false">
      <c r="B1207" s="130" t="n">
        <v>2027</v>
      </c>
      <c r="C1207" s="131" t="s">
        <v>247</v>
      </c>
      <c r="D1207" s="132" t="n">
        <v>46511</v>
      </c>
      <c r="E1207" s="131" t="s">
        <v>40</v>
      </c>
      <c r="F1207" s="133" t="s">
        <v>24</v>
      </c>
      <c r="G1207" s="134" t="n">
        <f aca="false">LEN('Saisie programme'!$E$66)+SUMIFS('Vols additionnels'!$E$7:$E$66,'Vols additionnels'!$C$7:$C$66,$E1207,'Vols additionnels'!$D$7:$D$66,$F1207,'Vols additionnels'!$B$7:$B$66,$D1207)</f>
        <v>0</v>
      </c>
      <c r="H1207" s="135" t="n">
        <f aca="false">$G1207*'Analyse capacite'!$F$9</f>
        <v>0</v>
      </c>
      <c r="I1207" s="135" t="n">
        <f aca="false">$G1207*'Analyse capacite'!$C$9</f>
        <v>0</v>
      </c>
      <c r="J1207" s="135" t="n">
        <f aca="false">$G1207*'Analyse capacite'!$D$9</f>
        <v>0</v>
      </c>
      <c r="K1207" s="135" t="n">
        <f aca="false">$G1207*'Analyse capacite'!$E$9</f>
        <v>0</v>
      </c>
    </row>
    <row r="1208" customFormat="false" ht="15" hidden="false" customHeight="false" outlineLevel="0" collapsed="false">
      <c r="B1208" s="130" t="n">
        <v>2027</v>
      </c>
      <c r="C1208" s="131" t="s">
        <v>247</v>
      </c>
      <c r="D1208" s="132" t="n">
        <v>46511</v>
      </c>
      <c r="E1208" s="131" t="s">
        <v>14</v>
      </c>
      <c r="F1208" s="133" t="s">
        <v>11</v>
      </c>
      <c r="G1208" s="134" t="n">
        <f aca="false">LEN('Saisie programme'!$E$67)+SUMIFS('Vols additionnels'!$E$7:$E$66,'Vols additionnels'!$C$7:$C$66,$E1208,'Vols additionnels'!$D$7:$D$66,$F1208,'Vols additionnels'!$B$7:$B$66,$D1208)</f>
        <v>0</v>
      </c>
      <c r="H1208" s="135" t="n">
        <f aca="false">$G1208*'Analyse capacite'!$F$7</f>
        <v>0</v>
      </c>
      <c r="I1208" s="135" t="n">
        <f aca="false">$G1208*'Analyse capacite'!$C$7</f>
        <v>0</v>
      </c>
      <c r="J1208" s="135" t="n">
        <f aca="false">$G1208*'Analyse capacite'!$D$7</f>
        <v>0</v>
      </c>
      <c r="K1208" s="135" t="n">
        <f aca="false">$G1208*'Analyse capacite'!$E$7</f>
        <v>0</v>
      </c>
    </row>
    <row r="1209" customFormat="false" ht="15" hidden="false" customHeight="false" outlineLevel="0" collapsed="false">
      <c r="B1209" s="130" t="n">
        <v>2027</v>
      </c>
      <c r="C1209" s="131" t="s">
        <v>247</v>
      </c>
      <c r="D1209" s="132" t="n">
        <v>46511</v>
      </c>
      <c r="E1209" s="131" t="s">
        <v>14</v>
      </c>
      <c r="F1209" s="133" t="s">
        <v>19</v>
      </c>
      <c r="G1209" s="134" t="n">
        <f aca="false">LEN('Saisie programme'!$E$68)+SUMIFS('Vols additionnels'!$E$7:$E$66,'Vols additionnels'!$C$7:$C$66,$E1209,'Vols additionnels'!$D$7:$D$66,$F1209,'Vols additionnels'!$B$7:$B$66,$D1209)</f>
        <v>0</v>
      </c>
      <c r="H1209" s="135" t="n">
        <f aca="false">$G1209*'Analyse capacite'!$F$8</f>
        <v>0</v>
      </c>
      <c r="I1209" s="135" t="n">
        <f aca="false">$G1209*'Analyse capacite'!$C$8</f>
        <v>0</v>
      </c>
      <c r="J1209" s="135" t="n">
        <f aca="false">$G1209*'Analyse capacite'!$D$8</f>
        <v>0</v>
      </c>
      <c r="K1209" s="135" t="n">
        <f aca="false">$G1209*'Analyse capacite'!$E$8</f>
        <v>0</v>
      </c>
    </row>
    <row r="1210" customFormat="false" ht="15" hidden="false" customHeight="false" outlineLevel="0" collapsed="false">
      <c r="B1210" s="130" t="n">
        <v>2027</v>
      </c>
      <c r="C1210" s="131" t="s">
        <v>247</v>
      </c>
      <c r="D1210" s="132" t="n">
        <v>46511</v>
      </c>
      <c r="E1210" s="131" t="s">
        <v>14</v>
      </c>
      <c r="F1210" s="133" t="s">
        <v>24</v>
      </c>
      <c r="G1210" s="134" t="n">
        <f aca="false">LEN('Saisie programme'!$E$69)+SUMIFS('Vols additionnels'!$E$7:$E$66,'Vols additionnels'!$C$7:$C$66,$E1210,'Vols additionnels'!$D$7:$D$66,$F1210,'Vols additionnels'!$B$7:$B$66,$D1210)</f>
        <v>0</v>
      </c>
      <c r="H1210" s="135" t="n">
        <f aca="false">$G1210*'Analyse capacite'!$F$9</f>
        <v>0</v>
      </c>
      <c r="I1210" s="135" t="n">
        <f aca="false">$G1210*'Analyse capacite'!$C$9</f>
        <v>0</v>
      </c>
      <c r="J1210" s="135" t="n">
        <f aca="false">$G1210*'Analyse capacite'!$D$9</f>
        <v>0</v>
      </c>
      <c r="K1210" s="135" t="n">
        <f aca="false">$G1210*'Analyse capacite'!$E$9</f>
        <v>0</v>
      </c>
    </row>
    <row r="1211" customFormat="false" ht="15" hidden="false" customHeight="false" outlineLevel="0" collapsed="false">
      <c r="B1211" s="130" t="n">
        <v>2027</v>
      </c>
      <c r="C1211" s="131" t="s">
        <v>247</v>
      </c>
      <c r="D1211" s="132" t="n">
        <v>46511</v>
      </c>
      <c r="E1211" s="131" t="s">
        <v>46</v>
      </c>
      <c r="F1211" s="133" t="s">
        <v>11</v>
      </c>
      <c r="G1211" s="134" t="n">
        <f aca="false">LEN('Saisie programme'!$E$70)+SUMIFS('Vols additionnels'!$E$7:$E$66,'Vols additionnels'!$C$7:$C$66,$E1211,'Vols additionnels'!$D$7:$D$66,$F1211,'Vols additionnels'!$B$7:$B$66,$D1211)</f>
        <v>0</v>
      </c>
      <c r="H1211" s="135" t="n">
        <f aca="false">$G1211*'Analyse capacite'!$F$7</f>
        <v>0</v>
      </c>
      <c r="I1211" s="135" t="n">
        <f aca="false">$G1211*'Analyse capacite'!$C$7</f>
        <v>0</v>
      </c>
      <c r="J1211" s="135" t="n">
        <f aca="false">$G1211*'Analyse capacite'!$D$7</f>
        <v>0</v>
      </c>
      <c r="K1211" s="135" t="n">
        <f aca="false">$G1211*'Analyse capacite'!$E$7</f>
        <v>0</v>
      </c>
    </row>
    <row r="1212" customFormat="false" ht="15" hidden="false" customHeight="false" outlineLevel="0" collapsed="false">
      <c r="B1212" s="130" t="n">
        <v>2027</v>
      </c>
      <c r="C1212" s="131" t="s">
        <v>247</v>
      </c>
      <c r="D1212" s="132" t="n">
        <v>46511</v>
      </c>
      <c r="E1212" s="131" t="s">
        <v>46</v>
      </c>
      <c r="F1212" s="133" t="s">
        <v>19</v>
      </c>
      <c r="G1212" s="134" t="n">
        <f aca="false">LEN('Saisie programme'!$E$71)+SUMIFS('Vols additionnels'!$E$7:$E$66,'Vols additionnels'!$C$7:$C$66,$E1212,'Vols additionnels'!$D$7:$D$66,$F1212,'Vols additionnels'!$B$7:$B$66,$D1212)</f>
        <v>0</v>
      </c>
      <c r="H1212" s="135" t="n">
        <f aca="false">$G1212*'Analyse capacite'!$F$8</f>
        <v>0</v>
      </c>
      <c r="I1212" s="135" t="n">
        <f aca="false">$G1212*'Analyse capacite'!$C$8</f>
        <v>0</v>
      </c>
      <c r="J1212" s="135" t="n">
        <f aca="false">$G1212*'Analyse capacite'!$D$8</f>
        <v>0</v>
      </c>
      <c r="K1212" s="135" t="n">
        <f aca="false">$G1212*'Analyse capacite'!$E$8</f>
        <v>0</v>
      </c>
    </row>
    <row r="1213" customFormat="false" ht="15" hidden="false" customHeight="false" outlineLevel="0" collapsed="false">
      <c r="B1213" s="130" t="n">
        <v>2027</v>
      </c>
      <c r="C1213" s="131" t="s">
        <v>247</v>
      </c>
      <c r="D1213" s="132" t="n">
        <v>46511</v>
      </c>
      <c r="E1213" s="131" t="s">
        <v>46</v>
      </c>
      <c r="F1213" s="133" t="s">
        <v>24</v>
      </c>
      <c r="G1213" s="134" t="n">
        <f aca="false">LEN('Saisie programme'!$E$72)+SUMIFS('Vols additionnels'!$E$7:$E$66,'Vols additionnels'!$C$7:$C$66,$E1213,'Vols additionnels'!$D$7:$D$66,$F1213,'Vols additionnels'!$B$7:$B$66,$D1213)</f>
        <v>1</v>
      </c>
      <c r="H1213" s="135" t="n">
        <f aca="false">$G1213*'Analyse capacite'!$F$9</f>
        <v>174</v>
      </c>
      <c r="I1213" s="135" t="n">
        <f aca="false">$G1213*'Analyse capacite'!$C$9</f>
        <v>0</v>
      </c>
      <c r="J1213" s="135" t="n">
        <f aca="false">$G1213*'Analyse capacite'!$D$9</f>
        <v>12</v>
      </c>
      <c r="K1213" s="135" t="n">
        <f aca="false">$G1213*'Analyse capacite'!$E$9</f>
        <v>162</v>
      </c>
    </row>
    <row r="1214" customFormat="false" ht="15" hidden="false" customHeight="false" outlineLevel="0" collapsed="false">
      <c r="B1214" s="130" t="n">
        <v>2027</v>
      </c>
      <c r="C1214" s="131" t="s">
        <v>247</v>
      </c>
      <c r="D1214" s="132" t="n">
        <v>46511</v>
      </c>
      <c r="E1214" s="131" t="s">
        <v>49</v>
      </c>
      <c r="F1214" s="133" t="s">
        <v>11</v>
      </c>
      <c r="G1214" s="134" t="n">
        <f aca="false">LEN('Saisie programme'!$E$73)+SUMIFS('Vols additionnels'!$E$7:$E$66,'Vols additionnels'!$C$7:$C$66,$E1214,'Vols additionnels'!$D$7:$D$66,$F1214,'Vols additionnels'!$B$7:$B$66,$D1214)</f>
        <v>0</v>
      </c>
      <c r="H1214" s="135" t="n">
        <f aca="false">$G1214*'Analyse capacite'!$F$7</f>
        <v>0</v>
      </c>
      <c r="I1214" s="135" t="n">
        <f aca="false">$G1214*'Analyse capacite'!$C$7</f>
        <v>0</v>
      </c>
      <c r="J1214" s="135" t="n">
        <f aca="false">$G1214*'Analyse capacite'!$D$7</f>
        <v>0</v>
      </c>
      <c r="K1214" s="135" t="n">
        <f aca="false">$G1214*'Analyse capacite'!$E$7</f>
        <v>0</v>
      </c>
    </row>
    <row r="1215" customFormat="false" ht="15" hidden="false" customHeight="false" outlineLevel="0" collapsed="false">
      <c r="B1215" s="130" t="n">
        <v>2027</v>
      </c>
      <c r="C1215" s="131" t="s">
        <v>247</v>
      </c>
      <c r="D1215" s="132" t="n">
        <v>46511</v>
      </c>
      <c r="E1215" s="131" t="s">
        <v>49</v>
      </c>
      <c r="F1215" s="133" t="s">
        <v>19</v>
      </c>
      <c r="G1215" s="134" t="n">
        <f aca="false">LEN('Saisie programme'!$E$74)+SUMIFS('Vols additionnels'!$E$7:$E$66,'Vols additionnels'!$C$7:$C$66,$E1215,'Vols additionnels'!$D$7:$D$66,$F1215,'Vols additionnels'!$B$7:$B$66,$D1215)</f>
        <v>0</v>
      </c>
      <c r="H1215" s="135" t="n">
        <f aca="false">$G1215*'Analyse capacite'!$F$8</f>
        <v>0</v>
      </c>
      <c r="I1215" s="135" t="n">
        <f aca="false">$G1215*'Analyse capacite'!$C$8</f>
        <v>0</v>
      </c>
      <c r="J1215" s="135" t="n">
        <f aca="false">$G1215*'Analyse capacite'!$D$8</f>
        <v>0</v>
      </c>
      <c r="K1215" s="135" t="n">
        <f aca="false">$G1215*'Analyse capacite'!$E$8</f>
        <v>0</v>
      </c>
    </row>
    <row r="1216" customFormat="false" ht="15" hidden="false" customHeight="false" outlineLevel="0" collapsed="false">
      <c r="B1216" s="130" t="n">
        <v>2027</v>
      </c>
      <c r="C1216" s="131" t="s">
        <v>247</v>
      </c>
      <c r="D1216" s="132" t="n">
        <v>46511</v>
      </c>
      <c r="E1216" s="131" t="s">
        <v>49</v>
      </c>
      <c r="F1216" s="133" t="s">
        <v>24</v>
      </c>
      <c r="G1216" s="134" t="n">
        <f aca="false">LEN('Saisie programme'!$E$75)+SUMIFS('Vols additionnels'!$E$7:$E$66,'Vols additionnels'!$C$7:$C$66,$E1216,'Vols additionnels'!$D$7:$D$66,$F1216,'Vols additionnels'!$B$7:$B$66,$D1216)</f>
        <v>0</v>
      </c>
      <c r="H1216" s="135" t="n">
        <f aca="false">$G1216*'Analyse capacite'!$F$9</f>
        <v>0</v>
      </c>
      <c r="I1216" s="135" t="n">
        <f aca="false">$G1216*'Analyse capacite'!$C$9</f>
        <v>0</v>
      </c>
      <c r="J1216" s="135" t="n">
        <f aca="false">$G1216*'Analyse capacite'!$D$9</f>
        <v>0</v>
      </c>
      <c r="K1216" s="135" t="n">
        <f aca="false">$G1216*'Analyse capacite'!$E$9</f>
        <v>0</v>
      </c>
    </row>
    <row r="1217" customFormat="false" ht="15" hidden="false" customHeight="false" outlineLevel="0" collapsed="false">
      <c r="B1217" s="130" t="n">
        <v>2027</v>
      </c>
      <c r="C1217" s="131" t="s">
        <v>247</v>
      </c>
      <c r="D1217" s="132" t="n">
        <v>46511</v>
      </c>
      <c r="E1217" s="131" t="s">
        <v>53</v>
      </c>
      <c r="F1217" s="133" t="s">
        <v>11</v>
      </c>
      <c r="G1217" s="134" t="n">
        <f aca="false">LEN('Saisie programme'!$E$76)+SUMIFS('Vols additionnels'!$E$7:$E$66,'Vols additionnels'!$C$7:$C$66,$E1217,'Vols additionnels'!$D$7:$D$66,$F1217,'Vols additionnels'!$B$7:$B$66,$D1217)</f>
        <v>0</v>
      </c>
      <c r="H1217" s="135" t="n">
        <f aca="false">$G1217*'Analyse capacite'!$F$7</f>
        <v>0</v>
      </c>
      <c r="I1217" s="135" t="n">
        <f aca="false">$G1217*'Analyse capacite'!$C$7</f>
        <v>0</v>
      </c>
      <c r="J1217" s="135" t="n">
        <f aca="false">$G1217*'Analyse capacite'!$D$7</f>
        <v>0</v>
      </c>
      <c r="K1217" s="135" t="n">
        <f aca="false">$G1217*'Analyse capacite'!$E$7</f>
        <v>0</v>
      </c>
    </row>
    <row r="1218" customFormat="false" ht="15" hidden="false" customHeight="false" outlineLevel="0" collapsed="false">
      <c r="B1218" s="130" t="n">
        <v>2027</v>
      </c>
      <c r="C1218" s="131" t="s">
        <v>247</v>
      </c>
      <c r="D1218" s="132" t="n">
        <v>46511</v>
      </c>
      <c r="E1218" s="131" t="s">
        <v>53</v>
      </c>
      <c r="F1218" s="133" t="s">
        <v>19</v>
      </c>
      <c r="G1218" s="134" t="n">
        <f aca="false">LEN('Saisie programme'!$E$77)+SUMIFS('Vols additionnels'!$E$7:$E$66,'Vols additionnels'!$C$7:$C$66,$E1218,'Vols additionnels'!$D$7:$D$66,$F1218,'Vols additionnels'!$B$7:$B$66,$D1218)</f>
        <v>0</v>
      </c>
      <c r="H1218" s="135" t="n">
        <f aca="false">$G1218*'Analyse capacite'!$F$8</f>
        <v>0</v>
      </c>
      <c r="I1218" s="135" t="n">
        <f aca="false">$G1218*'Analyse capacite'!$C$8</f>
        <v>0</v>
      </c>
      <c r="J1218" s="135" t="n">
        <f aca="false">$G1218*'Analyse capacite'!$D$8</f>
        <v>0</v>
      </c>
      <c r="K1218" s="135" t="n">
        <f aca="false">$G1218*'Analyse capacite'!$E$8</f>
        <v>0</v>
      </c>
    </row>
    <row r="1219" customFormat="false" ht="15" hidden="false" customHeight="false" outlineLevel="0" collapsed="false">
      <c r="B1219" s="130" t="n">
        <v>2027</v>
      </c>
      <c r="C1219" s="131" t="s">
        <v>247</v>
      </c>
      <c r="D1219" s="132" t="n">
        <v>46511</v>
      </c>
      <c r="E1219" s="131" t="s">
        <v>53</v>
      </c>
      <c r="F1219" s="133" t="s">
        <v>24</v>
      </c>
      <c r="G1219" s="134" t="n">
        <f aca="false">LEN('Saisie programme'!$E$78)+SUMIFS('Vols additionnels'!$E$7:$E$66,'Vols additionnels'!$C$7:$C$66,$E1219,'Vols additionnels'!$D$7:$D$66,$F1219,'Vols additionnels'!$B$7:$B$66,$D1219)</f>
        <v>0</v>
      </c>
      <c r="H1219" s="135" t="n">
        <f aca="false">$G1219*'Analyse capacite'!$F$9</f>
        <v>0</v>
      </c>
      <c r="I1219" s="135" t="n">
        <f aca="false">$G1219*'Analyse capacite'!$C$9</f>
        <v>0</v>
      </c>
      <c r="J1219" s="135" t="n">
        <f aca="false">$G1219*'Analyse capacite'!$D$9</f>
        <v>0</v>
      </c>
      <c r="K1219" s="135" t="n">
        <f aca="false">$G1219*'Analyse capacite'!$E$9</f>
        <v>0</v>
      </c>
    </row>
    <row r="1220" customFormat="false" ht="15" hidden="false" customHeight="false" outlineLevel="0" collapsed="false">
      <c r="B1220" s="130" t="n">
        <v>2027</v>
      </c>
      <c r="C1220" s="131" t="s">
        <v>247</v>
      </c>
      <c r="D1220" s="132" t="n">
        <v>46511</v>
      </c>
      <c r="E1220" s="131" t="s">
        <v>56</v>
      </c>
      <c r="F1220" s="133" t="s">
        <v>11</v>
      </c>
      <c r="G1220" s="134" t="n">
        <f aca="false">LEN('Saisie programme'!$E$79)+SUMIFS('Vols additionnels'!$E$7:$E$66,'Vols additionnels'!$C$7:$C$66,$E1220,'Vols additionnels'!$D$7:$D$66,$F1220,'Vols additionnels'!$B$7:$B$66,$D1220)</f>
        <v>0</v>
      </c>
      <c r="H1220" s="135" t="n">
        <f aca="false">$G1220*'Analyse capacite'!$F$7</f>
        <v>0</v>
      </c>
      <c r="I1220" s="135" t="n">
        <f aca="false">$G1220*'Analyse capacite'!$C$7</f>
        <v>0</v>
      </c>
      <c r="J1220" s="135" t="n">
        <f aca="false">$G1220*'Analyse capacite'!$D$7</f>
        <v>0</v>
      </c>
      <c r="K1220" s="135" t="n">
        <f aca="false">$G1220*'Analyse capacite'!$E$7</f>
        <v>0</v>
      </c>
    </row>
    <row r="1221" customFormat="false" ht="15" hidden="false" customHeight="false" outlineLevel="0" collapsed="false">
      <c r="B1221" s="130" t="n">
        <v>2027</v>
      </c>
      <c r="C1221" s="131" t="s">
        <v>247</v>
      </c>
      <c r="D1221" s="132" t="n">
        <v>46511</v>
      </c>
      <c r="E1221" s="131" t="s">
        <v>56</v>
      </c>
      <c r="F1221" s="133" t="s">
        <v>19</v>
      </c>
      <c r="G1221" s="134" t="n">
        <f aca="false">LEN('Saisie programme'!$E$80)+SUMIFS('Vols additionnels'!$E$7:$E$66,'Vols additionnels'!$C$7:$C$66,$E1221,'Vols additionnels'!$D$7:$D$66,$F1221,'Vols additionnels'!$B$7:$B$66,$D1221)</f>
        <v>0</v>
      </c>
      <c r="H1221" s="135" t="n">
        <f aca="false">$G1221*'Analyse capacite'!$F$8</f>
        <v>0</v>
      </c>
      <c r="I1221" s="135" t="n">
        <f aca="false">$G1221*'Analyse capacite'!$C$8</f>
        <v>0</v>
      </c>
      <c r="J1221" s="135" t="n">
        <f aca="false">$G1221*'Analyse capacite'!$D$8</f>
        <v>0</v>
      </c>
      <c r="K1221" s="135" t="n">
        <f aca="false">$G1221*'Analyse capacite'!$E$8</f>
        <v>0</v>
      </c>
    </row>
    <row r="1222" customFormat="false" ht="15" hidden="false" customHeight="false" outlineLevel="0" collapsed="false">
      <c r="B1222" s="130" t="n">
        <v>2027</v>
      </c>
      <c r="C1222" s="131" t="s">
        <v>247</v>
      </c>
      <c r="D1222" s="132" t="n">
        <v>46511</v>
      </c>
      <c r="E1222" s="131" t="s">
        <v>56</v>
      </c>
      <c r="F1222" s="133" t="s">
        <v>24</v>
      </c>
      <c r="G1222" s="134" t="n">
        <f aca="false">LEN('Saisie programme'!$E$81)+SUMIFS('Vols additionnels'!$E$7:$E$66,'Vols additionnels'!$C$7:$C$66,$E1222,'Vols additionnels'!$D$7:$D$66,$F1222,'Vols additionnels'!$B$7:$B$66,$D1222)</f>
        <v>1</v>
      </c>
      <c r="H1222" s="135" t="n">
        <f aca="false">$G1222*'Analyse capacite'!$F$9</f>
        <v>174</v>
      </c>
      <c r="I1222" s="135" t="n">
        <f aca="false">$G1222*'Analyse capacite'!$C$9</f>
        <v>0</v>
      </c>
      <c r="J1222" s="135" t="n">
        <f aca="false">$G1222*'Analyse capacite'!$D$9</f>
        <v>12</v>
      </c>
      <c r="K1222" s="135" t="n">
        <f aca="false">$G1222*'Analyse capacite'!$E$9</f>
        <v>162</v>
      </c>
    </row>
    <row r="1223" customFormat="false" ht="15" hidden="false" customHeight="false" outlineLevel="0" collapsed="false">
      <c r="B1223" s="130" t="n">
        <v>2027</v>
      </c>
      <c r="C1223" s="131" t="s">
        <v>247</v>
      </c>
      <c r="D1223" s="132" t="n">
        <v>46511</v>
      </c>
      <c r="E1223" s="131" t="s">
        <v>59</v>
      </c>
      <c r="F1223" s="133" t="s">
        <v>11</v>
      </c>
      <c r="G1223" s="134" t="n">
        <f aca="false">LEN('Saisie programme'!$E$82)+SUMIFS('Vols additionnels'!$E$7:$E$66,'Vols additionnels'!$C$7:$C$66,$E1223,'Vols additionnels'!$D$7:$D$66,$F1223,'Vols additionnels'!$B$7:$B$66,$D1223)</f>
        <v>0</v>
      </c>
      <c r="H1223" s="135" t="n">
        <f aca="false">$G1223*'Analyse capacite'!$F$7</f>
        <v>0</v>
      </c>
      <c r="I1223" s="135" t="n">
        <f aca="false">$G1223*'Analyse capacite'!$C$7</f>
        <v>0</v>
      </c>
      <c r="J1223" s="135" t="n">
        <f aca="false">$G1223*'Analyse capacite'!$D$7</f>
        <v>0</v>
      </c>
      <c r="K1223" s="135" t="n">
        <f aca="false">$G1223*'Analyse capacite'!$E$7</f>
        <v>0</v>
      </c>
    </row>
    <row r="1224" customFormat="false" ht="15" hidden="false" customHeight="false" outlineLevel="0" collapsed="false">
      <c r="B1224" s="130" t="n">
        <v>2027</v>
      </c>
      <c r="C1224" s="131" t="s">
        <v>247</v>
      </c>
      <c r="D1224" s="132" t="n">
        <v>46511</v>
      </c>
      <c r="E1224" s="131" t="s">
        <v>59</v>
      </c>
      <c r="F1224" s="133" t="s">
        <v>19</v>
      </c>
      <c r="G1224" s="134" t="n">
        <f aca="false">LEN('Saisie programme'!$E$83)+SUMIFS('Vols additionnels'!$E$7:$E$66,'Vols additionnels'!$C$7:$C$66,$E1224,'Vols additionnels'!$D$7:$D$66,$F1224,'Vols additionnels'!$B$7:$B$66,$D1224)</f>
        <v>0</v>
      </c>
      <c r="H1224" s="135" t="n">
        <f aca="false">$G1224*'Analyse capacite'!$F$8</f>
        <v>0</v>
      </c>
      <c r="I1224" s="135" t="n">
        <f aca="false">$G1224*'Analyse capacite'!$C$8</f>
        <v>0</v>
      </c>
      <c r="J1224" s="135" t="n">
        <f aca="false">$G1224*'Analyse capacite'!$D$8</f>
        <v>0</v>
      </c>
      <c r="K1224" s="135" t="n">
        <f aca="false">$G1224*'Analyse capacite'!$E$8</f>
        <v>0</v>
      </c>
    </row>
    <row r="1225" customFormat="false" ht="15" hidden="false" customHeight="false" outlineLevel="0" collapsed="false">
      <c r="B1225" s="130" t="n">
        <v>2027</v>
      </c>
      <c r="C1225" s="131" t="s">
        <v>247</v>
      </c>
      <c r="D1225" s="132" t="n">
        <v>46511</v>
      </c>
      <c r="E1225" s="131" t="s">
        <v>59</v>
      </c>
      <c r="F1225" s="133" t="s">
        <v>24</v>
      </c>
      <c r="G1225" s="134" t="n">
        <f aca="false">LEN('Saisie programme'!$E$84)+SUMIFS('Vols additionnels'!$E$7:$E$66,'Vols additionnels'!$C$7:$C$66,$E1225,'Vols additionnels'!$D$7:$D$66,$F1225,'Vols additionnels'!$B$7:$B$66,$D1225)</f>
        <v>1</v>
      </c>
      <c r="H1225" s="135" t="n">
        <f aca="false">$G1225*'Analyse capacite'!$F$9</f>
        <v>174</v>
      </c>
      <c r="I1225" s="135" t="n">
        <f aca="false">$G1225*'Analyse capacite'!$C$9</f>
        <v>0</v>
      </c>
      <c r="J1225" s="135" t="n">
        <f aca="false">$G1225*'Analyse capacite'!$D$9</f>
        <v>12</v>
      </c>
      <c r="K1225" s="135" t="n">
        <f aca="false">$G1225*'Analyse capacite'!$E$9</f>
        <v>162</v>
      </c>
    </row>
    <row r="1226" customFormat="false" ht="15" hidden="false" customHeight="false" outlineLevel="0" collapsed="false">
      <c r="B1226" s="130" t="n">
        <v>2027</v>
      </c>
      <c r="C1226" s="131" t="s">
        <v>247</v>
      </c>
      <c r="D1226" s="132" t="n">
        <v>46511</v>
      </c>
      <c r="E1226" s="131" t="s">
        <v>62</v>
      </c>
      <c r="F1226" s="133" t="s">
        <v>11</v>
      </c>
      <c r="G1226" s="134" t="n">
        <f aca="false">LEN('Saisie programme'!$E$85)+SUMIFS('Vols additionnels'!$E$7:$E$66,'Vols additionnels'!$C$7:$C$66,$E1226,'Vols additionnels'!$D$7:$D$66,$F1226,'Vols additionnels'!$B$7:$B$66,$D1226)</f>
        <v>0</v>
      </c>
      <c r="H1226" s="135" t="n">
        <f aca="false">$G1226*'Analyse capacite'!$F$7</f>
        <v>0</v>
      </c>
      <c r="I1226" s="135" t="n">
        <f aca="false">$G1226*'Analyse capacite'!$C$7</f>
        <v>0</v>
      </c>
      <c r="J1226" s="135" t="n">
        <f aca="false">$G1226*'Analyse capacite'!$D$7</f>
        <v>0</v>
      </c>
      <c r="K1226" s="135" t="n">
        <f aca="false">$G1226*'Analyse capacite'!$E$7</f>
        <v>0</v>
      </c>
    </row>
    <row r="1227" customFormat="false" ht="15" hidden="false" customHeight="false" outlineLevel="0" collapsed="false">
      <c r="B1227" s="130" t="n">
        <v>2027</v>
      </c>
      <c r="C1227" s="131" t="s">
        <v>247</v>
      </c>
      <c r="D1227" s="132" t="n">
        <v>46511</v>
      </c>
      <c r="E1227" s="131" t="s">
        <v>62</v>
      </c>
      <c r="F1227" s="133" t="s">
        <v>19</v>
      </c>
      <c r="G1227" s="134" t="n">
        <f aca="false">LEN('Saisie programme'!$E$86)+SUMIFS('Vols additionnels'!$E$7:$E$66,'Vols additionnels'!$C$7:$C$66,$E1227,'Vols additionnels'!$D$7:$D$66,$F1227,'Vols additionnels'!$B$7:$B$66,$D1227)</f>
        <v>0</v>
      </c>
      <c r="H1227" s="135" t="n">
        <f aca="false">$G1227*'Analyse capacite'!$F$8</f>
        <v>0</v>
      </c>
      <c r="I1227" s="135" t="n">
        <f aca="false">$G1227*'Analyse capacite'!$C$8</f>
        <v>0</v>
      </c>
      <c r="J1227" s="135" t="n">
        <f aca="false">$G1227*'Analyse capacite'!$D$8</f>
        <v>0</v>
      </c>
      <c r="K1227" s="135" t="n">
        <f aca="false">$G1227*'Analyse capacite'!$E$8</f>
        <v>0</v>
      </c>
    </row>
    <row r="1228" customFormat="false" ht="15" hidden="false" customHeight="false" outlineLevel="0" collapsed="false">
      <c r="B1228" s="130" t="n">
        <v>2027</v>
      </c>
      <c r="C1228" s="131" t="s">
        <v>247</v>
      </c>
      <c r="D1228" s="132" t="n">
        <v>46511</v>
      </c>
      <c r="E1228" s="131" t="s">
        <v>62</v>
      </c>
      <c r="F1228" s="133" t="s">
        <v>24</v>
      </c>
      <c r="G1228" s="134" t="n">
        <f aca="false">LEN('Saisie programme'!$E$87)+SUMIFS('Vols additionnels'!$E$7:$E$66,'Vols additionnels'!$C$7:$C$66,$E1228,'Vols additionnels'!$D$7:$D$66,$F1228,'Vols additionnels'!$B$7:$B$66,$D1228)</f>
        <v>0</v>
      </c>
      <c r="H1228" s="135" t="n">
        <f aca="false">$G1228*'Analyse capacite'!$F$9</f>
        <v>0</v>
      </c>
      <c r="I1228" s="135" t="n">
        <f aca="false">$G1228*'Analyse capacite'!$C$9</f>
        <v>0</v>
      </c>
      <c r="J1228" s="135" t="n">
        <f aca="false">$G1228*'Analyse capacite'!$D$9</f>
        <v>0</v>
      </c>
      <c r="K1228" s="135" t="n">
        <f aca="false">$G1228*'Analyse capacite'!$E$9</f>
        <v>0</v>
      </c>
    </row>
    <row r="1229" customFormat="false" ht="15" hidden="false" customHeight="false" outlineLevel="0" collapsed="false">
      <c r="B1229" s="130" t="n">
        <v>2027</v>
      </c>
      <c r="C1229" s="131" t="s">
        <v>247</v>
      </c>
      <c r="D1229" s="132" t="n">
        <v>46512</v>
      </c>
      <c r="E1229" s="131" t="s">
        <v>12</v>
      </c>
      <c r="F1229" s="133" t="s">
        <v>11</v>
      </c>
      <c r="G1229" s="134" t="n">
        <f aca="false">LEN('Saisie programme'!$F$52)+SUMIFS('Vols additionnels'!$E$7:$E$66,'Vols additionnels'!$C$7:$C$66,$E1229,'Vols additionnels'!$D$7:$D$66,$F1229,'Vols additionnels'!$B$7:$B$66,$D1229)</f>
        <v>1</v>
      </c>
      <c r="H1229" s="135" t="n">
        <f aca="false">$G1229*'Analyse capacite'!$F$7</f>
        <v>438</v>
      </c>
      <c r="I1229" s="135" t="n">
        <f aca="false">$G1229*'Analyse capacite'!$C$7</f>
        <v>14</v>
      </c>
      <c r="J1229" s="135" t="n">
        <f aca="false">$G1229*'Analyse capacite'!$D$7</f>
        <v>40</v>
      </c>
      <c r="K1229" s="135" t="n">
        <f aca="false">$G1229*'Analyse capacite'!$E$7</f>
        <v>384</v>
      </c>
    </row>
    <row r="1230" customFormat="false" ht="15" hidden="false" customHeight="false" outlineLevel="0" collapsed="false">
      <c r="B1230" s="130" t="n">
        <v>2027</v>
      </c>
      <c r="C1230" s="131" t="s">
        <v>247</v>
      </c>
      <c r="D1230" s="132" t="n">
        <v>46512</v>
      </c>
      <c r="E1230" s="131" t="s">
        <v>12</v>
      </c>
      <c r="F1230" s="133" t="s">
        <v>19</v>
      </c>
      <c r="G1230" s="134" t="n">
        <f aca="false">LEN('Saisie programme'!$F$53)+SUMIFS('Vols additionnels'!$E$7:$E$66,'Vols additionnels'!$C$7:$C$66,$E1230,'Vols additionnels'!$D$7:$D$66,$F1230,'Vols additionnels'!$B$7:$B$66,$D1230)</f>
        <v>0</v>
      </c>
      <c r="H1230" s="135" t="n">
        <f aca="false">$G1230*'Analyse capacite'!$F$8</f>
        <v>0</v>
      </c>
      <c r="I1230" s="135" t="n">
        <f aca="false">$G1230*'Analyse capacite'!$C$8</f>
        <v>0</v>
      </c>
      <c r="J1230" s="135" t="n">
        <f aca="false">$G1230*'Analyse capacite'!$D$8</f>
        <v>0</v>
      </c>
      <c r="K1230" s="135" t="n">
        <f aca="false">$G1230*'Analyse capacite'!$E$8</f>
        <v>0</v>
      </c>
    </row>
    <row r="1231" customFormat="false" ht="15" hidden="false" customHeight="false" outlineLevel="0" collapsed="false">
      <c r="B1231" s="130" t="n">
        <v>2027</v>
      </c>
      <c r="C1231" s="131" t="s">
        <v>247</v>
      </c>
      <c r="D1231" s="132" t="n">
        <v>46512</v>
      </c>
      <c r="E1231" s="131" t="s">
        <v>12</v>
      </c>
      <c r="F1231" s="133" t="s">
        <v>24</v>
      </c>
      <c r="G1231" s="134" t="n">
        <f aca="false">LEN('Saisie programme'!$F$54)+SUMIFS('Vols additionnels'!$E$7:$E$66,'Vols additionnels'!$C$7:$C$66,$E1231,'Vols additionnels'!$D$7:$D$66,$F1231,'Vols additionnels'!$B$7:$B$66,$D1231)</f>
        <v>0</v>
      </c>
      <c r="H1231" s="135" t="n">
        <f aca="false">$G1231*'Analyse capacite'!$F$9</f>
        <v>0</v>
      </c>
      <c r="I1231" s="135" t="n">
        <f aca="false">$G1231*'Analyse capacite'!$C$9</f>
        <v>0</v>
      </c>
      <c r="J1231" s="135" t="n">
        <f aca="false">$G1231*'Analyse capacite'!$D$9</f>
        <v>0</v>
      </c>
      <c r="K1231" s="135" t="n">
        <f aca="false">$G1231*'Analyse capacite'!$E$9</f>
        <v>0</v>
      </c>
    </row>
    <row r="1232" customFormat="false" ht="15" hidden="false" customHeight="false" outlineLevel="0" collapsed="false">
      <c r="B1232" s="130" t="n">
        <v>2027</v>
      </c>
      <c r="C1232" s="131" t="s">
        <v>247</v>
      </c>
      <c r="D1232" s="132" t="n">
        <v>46512</v>
      </c>
      <c r="E1232" s="131" t="s">
        <v>20</v>
      </c>
      <c r="F1232" s="133" t="s">
        <v>11</v>
      </c>
      <c r="G1232" s="134" t="n">
        <f aca="false">LEN('Saisie programme'!$F$55)+SUMIFS('Vols additionnels'!$E$7:$E$66,'Vols additionnels'!$C$7:$C$66,$E1232,'Vols additionnels'!$D$7:$D$66,$F1232,'Vols additionnels'!$B$7:$B$66,$D1232)</f>
        <v>0</v>
      </c>
      <c r="H1232" s="135" t="n">
        <f aca="false">$G1232*'Analyse capacite'!$F$7</f>
        <v>0</v>
      </c>
      <c r="I1232" s="135" t="n">
        <f aca="false">$G1232*'Analyse capacite'!$C$7</f>
        <v>0</v>
      </c>
      <c r="J1232" s="135" t="n">
        <f aca="false">$G1232*'Analyse capacite'!$D$7</f>
        <v>0</v>
      </c>
      <c r="K1232" s="135" t="n">
        <f aca="false">$G1232*'Analyse capacite'!$E$7</f>
        <v>0</v>
      </c>
    </row>
    <row r="1233" customFormat="false" ht="15" hidden="false" customHeight="false" outlineLevel="0" collapsed="false">
      <c r="B1233" s="130" t="n">
        <v>2027</v>
      </c>
      <c r="C1233" s="131" t="s">
        <v>247</v>
      </c>
      <c r="D1233" s="132" t="n">
        <v>46512</v>
      </c>
      <c r="E1233" s="131" t="s">
        <v>20</v>
      </c>
      <c r="F1233" s="133" t="s">
        <v>19</v>
      </c>
      <c r="G1233" s="134" t="n">
        <f aca="false">LEN('Saisie programme'!$F$56)+SUMIFS('Vols additionnels'!$E$7:$E$66,'Vols additionnels'!$C$7:$C$66,$E1233,'Vols additionnels'!$D$7:$D$66,$F1233,'Vols additionnels'!$B$7:$B$66,$D1233)</f>
        <v>0</v>
      </c>
      <c r="H1233" s="135" t="n">
        <f aca="false">$G1233*'Analyse capacite'!$F$8</f>
        <v>0</v>
      </c>
      <c r="I1233" s="135" t="n">
        <f aca="false">$G1233*'Analyse capacite'!$C$8</f>
        <v>0</v>
      </c>
      <c r="J1233" s="135" t="n">
        <f aca="false">$G1233*'Analyse capacite'!$D$8</f>
        <v>0</v>
      </c>
      <c r="K1233" s="135" t="n">
        <f aca="false">$G1233*'Analyse capacite'!$E$8</f>
        <v>0</v>
      </c>
    </row>
    <row r="1234" customFormat="false" ht="15" hidden="false" customHeight="false" outlineLevel="0" collapsed="false">
      <c r="B1234" s="130" t="n">
        <v>2027</v>
      </c>
      <c r="C1234" s="131" t="s">
        <v>247</v>
      </c>
      <c r="D1234" s="132" t="n">
        <v>46512</v>
      </c>
      <c r="E1234" s="131" t="s">
        <v>20</v>
      </c>
      <c r="F1234" s="133" t="s">
        <v>24</v>
      </c>
      <c r="G1234" s="134" t="n">
        <f aca="false">LEN('Saisie programme'!$F$57)+SUMIFS('Vols additionnels'!$E$7:$E$66,'Vols additionnels'!$C$7:$C$66,$E1234,'Vols additionnels'!$D$7:$D$66,$F1234,'Vols additionnels'!$B$7:$B$66,$D1234)</f>
        <v>0</v>
      </c>
      <c r="H1234" s="135" t="n">
        <f aca="false">$G1234*'Analyse capacite'!$F$9</f>
        <v>0</v>
      </c>
      <c r="I1234" s="135" t="n">
        <f aca="false">$G1234*'Analyse capacite'!$C$9</f>
        <v>0</v>
      </c>
      <c r="J1234" s="135" t="n">
        <f aca="false">$G1234*'Analyse capacite'!$D$9</f>
        <v>0</v>
      </c>
      <c r="K1234" s="135" t="n">
        <f aca="false">$G1234*'Analyse capacite'!$E$9</f>
        <v>0</v>
      </c>
    </row>
    <row r="1235" customFormat="false" ht="15" hidden="false" customHeight="false" outlineLevel="0" collapsed="false">
      <c r="B1235" s="130" t="n">
        <v>2027</v>
      </c>
      <c r="C1235" s="131" t="s">
        <v>247</v>
      </c>
      <c r="D1235" s="132" t="n">
        <v>46512</v>
      </c>
      <c r="E1235" s="131" t="s">
        <v>25</v>
      </c>
      <c r="F1235" s="133" t="s">
        <v>11</v>
      </c>
      <c r="G1235" s="134" t="n">
        <f aca="false">LEN('Saisie programme'!$F$58)+SUMIFS('Vols additionnels'!$E$7:$E$66,'Vols additionnels'!$C$7:$C$66,$E1235,'Vols additionnels'!$D$7:$D$66,$F1235,'Vols additionnels'!$B$7:$B$66,$D1235)</f>
        <v>0</v>
      </c>
      <c r="H1235" s="135" t="n">
        <f aca="false">$G1235*'Analyse capacite'!$F$7</f>
        <v>0</v>
      </c>
      <c r="I1235" s="135" t="n">
        <f aca="false">$G1235*'Analyse capacite'!$C$7</f>
        <v>0</v>
      </c>
      <c r="J1235" s="135" t="n">
        <f aca="false">$G1235*'Analyse capacite'!$D$7</f>
        <v>0</v>
      </c>
      <c r="K1235" s="135" t="n">
        <f aca="false">$G1235*'Analyse capacite'!$E$7</f>
        <v>0</v>
      </c>
    </row>
    <row r="1236" customFormat="false" ht="15" hidden="false" customHeight="false" outlineLevel="0" collapsed="false">
      <c r="B1236" s="130" t="n">
        <v>2027</v>
      </c>
      <c r="C1236" s="131" t="s">
        <v>247</v>
      </c>
      <c r="D1236" s="132" t="n">
        <v>46512</v>
      </c>
      <c r="E1236" s="131" t="s">
        <v>25</v>
      </c>
      <c r="F1236" s="133" t="s">
        <v>19</v>
      </c>
      <c r="G1236" s="134" t="n">
        <f aca="false">LEN('Saisie programme'!$F$59)+SUMIFS('Vols additionnels'!$E$7:$E$66,'Vols additionnels'!$C$7:$C$66,$E1236,'Vols additionnels'!$D$7:$D$66,$F1236,'Vols additionnels'!$B$7:$B$66,$D1236)</f>
        <v>1</v>
      </c>
      <c r="H1236" s="135" t="n">
        <f aca="false">$G1236*'Analyse capacite'!$F$8</f>
        <v>262</v>
      </c>
      <c r="I1236" s="135" t="n">
        <f aca="false">$G1236*'Analyse capacite'!$C$8</f>
        <v>18</v>
      </c>
      <c r="J1236" s="135" t="n">
        <f aca="false">$G1236*'Analyse capacite'!$D$8</f>
        <v>0</v>
      </c>
      <c r="K1236" s="135" t="n">
        <f aca="false">$G1236*'Analyse capacite'!$E$8</f>
        <v>244</v>
      </c>
    </row>
    <row r="1237" customFormat="false" ht="15" hidden="false" customHeight="false" outlineLevel="0" collapsed="false">
      <c r="B1237" s="130" t="n">
        <v>2027</v>
      </c>
      <c r="C1237" s="131" t="s">
        <v>247</v>
      </c>
      <c r="D1237" s="132" t="n">
        <v>46512</v>
      </c>
      <c r="E1237" s="131" t="s">
        <v>25</v>
      </c>
      <c r="F1237" s="133" t="s">
        <v>24</v>
      </c>
      <c r="G1237" s="134" t="n">
        <f aca="false">LEN('Saisie programme'!$F$60)+SUMIFS('Vols additionnels'!$E$7:$E$66,'Vols additionnels'!$C$7:$C$66,$E1237,'Vols additionnels'!$D$7:$D$66,$F1237,'Vols additionnels'!$B$7:$B$66,$D1237)</f>
        <v>0</v>
      </c>
      <c r="H1237" s="135" t="n">
        <f aca="false">$G1237*'Analyse capacite'!$F$9</f>
        <v>0</v>
      </c>
      <c r="I1237" s="135" t="n">
        <f aca="false">$G1237*'Analyse capacite'!$C$9</f>
        <v>0</v>
      </c>
      <c r="J1237" s="135" t="n">
        <f aca="false">$G1237*'Analyse capacite'!$D$9</f>
        <v>0</v>
      </c>
      <c r="K1237" s="135" t="n">
        <f aca="false">$G1237*'Analyse capacite'!$E$9</f>
        <v>0</v>
      </c>
    </row>
    <row r="1238" customFormat="false" ht="15" hidden="false" customHeight="false" outlineLevel="0" collapsed="false">
      <c r="B1238" s="130" t="n">
        <v>2027</v>
      </c>
      <c r="C1238" s="131" t="s">
        <v>247</v>
      </c>
      <c r="D1238" s="132" t="n">
        <v>46512</v>
      </c>
      <c r="E1238" s="131" t="s">
        <v>36</v>
      </c>
      <c r="F1238" s="133" t="s">
        <v>11</v>
      </c>
      <c r="G1238" s="134" t="n">
        <f aca="false">LEN('Saisie programme'!$F$61)+SUMIFS('Vols additionnels'!$E$7:$E$66,'Vols additionnels'!$C$7:$C$66,$E1238,'Vols additionnels'!$D$7:$D$66,$F1238,'Vols additionnels'!$B$7:$B$66,$D1238)</f>
        <v>0</v>
      </c>
      <c r="H1238" s="135" t="n">
        <f aca="false">$G1238*'Analyse capacite'!$F$7</f>
        <v>0</v>
      </c>
      <c r="I1238" s="135" t="n">
        <f aca="false">$G1238*'Analyse capacite'!$C$7</f>
        <v>0</v>
      </c>
      <c r="J1238" s="135" t="n">
        <f aca="false">$G1238*'Analyse capacite'!$D$7</f>
        <v>0</v>
      </c>
      <c r="K1238" s="135" t="n">
        <f aca="false">$G1238*'Analyse capacite'!$E$7</f>
        <v>0</v>
      </c>
    </row>
    <row r="1239" customFormat="false" ht="15" hidden="false" customHeight="false" outlineLevel="0" collapsed="false">
      <c r="B1239" s="130" t="n">
        <v>2027</v>
      </c>
      <c r="C1239" s="131" t="s">
        <v>247</v>
      </c>
      <c r="D1239" s="132" t="n">
        <v>46512</v>
      </c>
      <c r="E1239" s="131" t="s">
        <v>36</v>
      </c>
      <c r="F1239" s="133" t="s">
        <v>19</v>
      </c>
      <c r="G1239" s="134" t="n">
        <f aca="false">LEN('Saisie programme'!$F$62)+SUMIFS('Vols additionnels'!$E$7:$E$66,'Vols additionnels'!$C$7:$C$66,$E1239,'Vols additionnels'!$D$7:$D$66,$F1239,'Vols additionnels'!$B$7:$B$66,$D1239)</f>
        <v>1</v>
      </c>
      <c r="H1239" s="135" t="n">
        <f aca="false">$G1239*'Analyse capacite'!$F$8</f>
        <v>262</v>
      </c>
      <c r="I1239" s="135" t="n">
        <f aca="false">$G1239*'Analyse capacite'!$C$8</f>
        <v>18</v>
      </c>
      <c r="J1239" s="135" t="n">
        <f aca="false">$G1239*'Analyse capacite'!$D$8</f>
        <v>0</v>
      </c>
      <c r="K1239" s="135" t="n">
        <f aca="false">$G1239*'Analyse capacite'!$E$8</f>
        <v>244</v>
      </c>
    </row>
    <row r="1240" customFormat="false" ht="15" hidden="false" customHeight="false" outlineLevel="0" collapsed="false">
      <c r="B1240" s="130" t="n">
        <v>2027</v>
      </c>
      <c r="C1240" s="131" t="s">
        <v>247</v>
      </c>
      <c r="D1240" s="132" t="n">
        <v>46512</v>
      </c>
      <c r="E1240" s="131" t="s">
        <v>36</v>
      </c>
      <c r="F1240" s="133" t="s">
        <v>24</v>
      </c>
      <c r="G1240" s="134" t="n">
        <f aca="false">LEN('Saisie programme'!$F$63)+SUMIFS('Vols additionnels'!$E$7:$E$66,'Vols additionnels'!$C$7:$C$66,$E1240,'Vols additionnels'!$D$7:$D$66,$F1240,'Vols additionnels'!$B$7:$B$66,$D1240)</f>
        <v>1</v>
      </c>
      <c r="H1240" s="135" t="n">
        <f aca="false">$G1240*'Analyse capacite'!$F$9</f>
        <v>174</v>
      </c>
      <c r="I1240" s="135" t="n">
        <f aca="false">$G1240*'Analyse capacite'!$C$9</f>
        <v>0</v>
      </c>
      <c r="J1240" s="135" t="n">
        <f aca="false">$G1240*'Analyse capacite'!$D$9</f>
        <v>12</v>
      </c>
      <c r="K1240" s="135" t="n">
        <f aca="false">$G1240*'Analyse capacite'!$E$9</f>
        <v>162</v>
      </c>
    </row>
    <row r="1241" customFormat="false" ht="15" hidden="false" customHeight="false" outlineLevel="0" collapsed="false">
      <c r="B1241" s="130" t="n">
        <v>2027</v>
      </c>
      <c r="C1241" s="131" t="s">
        <v>247</v>
      </c>
      <c r="D1241" s="132" t="n">
        <v>46512</v>
      </c>
      <c r="E1241" s="131" t="s">
        <v>40</v>
      </c>
      <c r="F1241" s="133" t="s">
        <v>11</v>
      </c>
      <c r="G1241" s="134" t="n">
        <f aca="false">LEN('Saisie programme'!$F$64)+SUMIFS('Vols additionnels'!$E$7:$E$66,'Vols additionnels'!$C$7:$C$66,$E1241,'Vols additionnels'!$D$7:$D$66,$F1241,'Vols additionnels'!$B$7:$B$66,$D1241)</f>
        <v>0</v>
      </c>
      <c r="H1241" s="135" t="n">
        <f aca="false">$G1241*'Analyse capacite'!$F$7</f>
        <v>0</v>
      </c>
      <c r="I1241" s="135" t="n">
        <f aca="false">$G1241*'Analyse capacite'!$C$7</f>
        <v>0</v>
      </c>
      <c r="J1241" s="135" t="n">
        <f aca="false">$G1241*'Analyse capacite'!$D$7</f>
        <v>0</v>
      </c>
      <c r="K1241" s="135" t="n">
        <f aca="false">$G1241*'Analyse capacite'!$E$7</f>
        <v>0</v>
      </c>
    </row>
    <row r="1242" customFormat="false" ht="15" hidden="false" customHeight="false" outlineLevel="0" collapsed="false">
      <c r="B1242" s="130" t="n">
        <v>2027</v>
      </c>
      <c r="C1242" s="131" t="s">
        <v>247</v>
      </c>
      <c r="D1242" s="132" t="n">
        <v>46512</v>
      </c>
      <c r="E1242" s="131" t="s">
        <v>40</v>
      </c>
      <c r="F1242" s="133" t="s">
        <v>19</v>
      </c>
      <c r="G1242" s="134" t="n">
        <f aca="false">LEN('Saisie programme'!$F$65)+SUMIFS('Vols additionnels'!$E$7:$E$66,'Vols additionnels'!$C$7:$C$66,$E1242,'Vols additionnels'!$D$7:$D$66,$F1242,'Vols additionnels'!$B$7:$B$66,$D1242)</f>
        <v>0</v>
      </c>
      <c r="H1242" s="135" t="n">
        <f aca="false">$G1242*'Analyse capacite'!$F$8</f>
        <v>0</v>
      </c>
      <c r="I1242" s="135" t="n">
        <f aca="false">$G1242*'Analyse capacite'!$C$8</f>
        <v>0</v>
      </c>
      <c r="J1242" s="135" t="n">
        <f aca="false">$G1242*'Analyse capacite'!$D$8</f>
        <v>0</v>
      </c>
      <c r="K1242" s="135" t="n">
        <f aca="false">$G1242*'Analyse capacite'!$E$8</f>
        <v>0</v>
      </c>
    </row>
    <row r="1243" customFormat="false" ht="15" hidden="false" customHeight="false" outlineLevel="0" collapsed="false">
      <c r="B1243" s="130" t="n">
        <v>2027</v>
      </c>
      <c r="C1243" s="131" t="s">
        <v>247</v>
      </c>
      <c r="D1243" s="132" t="n">
        <v>46512</v>
      </c>
      <c r="E1243" s="131" t="s">
        <v>40</v>
      </c>
      <c r="F1243" s="133" t="s">
        <v>24</v>
      </c>
      <c r="G1243" s="134" t="n">
        <f aca="false">LEN('Saisie programme'!$F$66)+SUMIFS('Vols additionnels'!$E$7:$E$66,'Vols additionnels'!$C$7:$C$66,$E1243,'Vols additionnels'!$D$7:$D$66,$F1243,'Vols additionnels'!$B$7:$B$66,$D1243)</f>
        <v>1</v>
      </c>
      <c r="H1243" s="135" t="n">
        <f aca="false">$G1243*'Analyse capacite'!$F$9</f>
        <v>174</v>
      </c>
      <c r="I1243" s="135" t="n">
        <f aca="false">$G1243*'Analyse capacite'!$C$9</f>
        <v>0</v>
      </c>
      <c r="J1243" s="135" t="n">
        <f aca="false">$G1243*'Analyse capacite'!$D$9</f>
        <v>12</v>
      </c>
      <c r="K1243" s="135" t="n">
        <f aca="false">$G1243*'Analyse capacite'!$E$9</f>
        <v>162</v>
      </c>
    </row>
    <row r="1244" customFormat="false" ht="15" hidden="false" customHeight="false" outlineLevel="0" collapsed="false">
      <c r="B1244" s="130" t="n">
        <v>2027</v>
      </c>
      <c r="C1244" s="131" t="s">
        <v>247</v>
      </c>
      <c r="D1244" s="132" t="n">
        <v>46512</v>
      </c>
      <c r="E1244" s="131" t="s">
        <v>14</v>
      </c>
      <c r="F1244" s="133" t="s">
        <v>11</v>
      </c>
      <c r="G1244" s="134" t="n">
        <f aca="false">LEN('Saisie programme'!$F$67)+SUMIFS('Vols additionnels'!$E$7:$E$66,'Vols additionnels'!$C$7:$C$66,$E1244,'Vols additionnels'!$D$7:$D$66,$F1244,'Vols additionnels'!$B$7:$B$66,$D1244)</f>
        <v>0</v>
      </c>
      <c r="H1244" s="135" t="n">
        <f aca="false">$G1244*'Analyse capacite'!$F$7</f>
        <v>0</v>
      </c>
      <c r="I1244" s="135" t="n">
        <f aca="false">$G1244*'Analyse capacite'!$C$7</f>
        <v>0</v>
      </c>
      <c r="J1244" s="135" t="n">
        <f aca="false">$G1244*'Analyse capacite'!$D$7</f>
        <v>0</v>
      </c>
      <c r="K1244" s="135" t="n">
        <f aca="false">$G1244*'Analyse capacite'!$E$7</f>
        <v>0</v>
      </c>
    </row>
    <row r="1245" customFormat="false" ht="15" hidden="false" customHeight="false" outlineLevel="0" collapsed="false">
      <c r="B1245" s="130" t="n">
        <v>2027</v>
      </c>
      <c r="C1245" s="131" t="s">
        <v>247</v>
      </c>
      <c r="D1245" s="132" t="n">
        <v>46512</v>
      </c>
      <c r="E1245" s="131" t="s">
        <v>14</v>
      </c>
      <c r="F1245" s="133" t="s">
        <v>19</v>
      </c>
      <c r="G1245" s="134" t="n">
        <f aca="false">LEN('Saisie programme'!$F$68)+SUMIFS('Vols additionnels'!$E$7:$E$66,'Vols additionnels'!$C$7:$C$66,$E1245,'Vols additionnels'!$D$7:$D$66,$F1245,'Vols additionnels'!$B$7:$B$66,$D1245)</f>
        <v>0</v>
      </c>
      <c r="H1245" s="135" t="n">
        <f aca="false">$G1245*'Analyse capacite'!$F$8</f>
        <v>0</v>
      </c>
      <c r="I1245" s="135" t="n">
        <f aca="false">$G1245*'Analyse capacite'!$C$8</f>
        <v>0</v>
      </c>
      <c r="J1245" s="135" t="n">
        <f aca="false">$G1245*'Analyse capacite'!$D$8</f>
        <v>0</v>
      </c>
      <c r="K1245" s="135" t="n">
        <f aca="false">$G1245*'Analyse capacite'!$E$8</f>
        <v>0</v>
      </c>
    </row>
    <row r="1246" customFormat="false" ht="15" hidden="false" customHeight="false" outlineLevel="0" collapsed="false">
      <c r="B1246" s="130" t="n">
        <v>2027</v>
      </c>
      <c r="C1246" s="131" t="s">
        <v>247</v>
      </c>
      <c r="D1246" s="132" t="n">
        <v>46512</v>
      </c>
      <c r="E1246" s="131" t="s">
        <v>14</v>
      </c>
      <c r="F1246" s="133" t="s">
        <v>24</v>
      </c>
      <c r="G1246" s="134" t="n">
        <f aca="false">LEN('Saisie programme'!$F$69)+SUMIFS('Vols additionnels'!$E$7:$E$66,'Vols additionnels'!$C$7:$C$66,$E1246,'Vols additionnels'!$D$7:$D$66,$F1246,'Vols additionnels'!$B$7:$B$66,$D1246)</f>
        <v>0</v>
      </c>
      <c r="H1246" s="135" t="n">
        <f aca="false">$G1246*'Analyse capacite'!$F$9</f>
        <v>0</v>
      </c>
      <c r="I1246" s="135" t="n">
        <f aca="false">$G1246*'Analyse capacite'!$C$9</f>
        <v>0</v>
      </c>
      <c r="J1246" s="135" t="n">
        <f aca="false">$G1246*'Analyse capacite'!$D$9</f>
        <v>0</v>
      </c>
      <c r="K1246" s="135" t="n">
        <f aca="false">$G1246*'Analyse capacite'!$E$9</f>
        <v>0</v>
      </c>
    </row>
    <row r="1247" customFormat="false" ht="15" hidden="false" customHeight="false" outlineLevel="0" collapsed="false">
      <c r="B1247" s="130" t="n">
        <v>2027</v>
      </c>
      <c r="C1247" s="131" t="s">
        <v>247</v>
      </c>
      <c r="D1247" s="132" t="n">
        <v>46512</v>
      </c>
      <c r="E1247" s="131" t="s">
        <v>46</v>
      </c>
      <c r="F1247" s="133" t="s">
        <v>11</v>
      </c>
      <c r="G1247" s="134" t="n">
        <f aca="false">LEN('Saisie programme'!$F$70)+SUMIFS('Vols additionnels'!$E$7:$E$66,'Vols additionnels'!$C$7:$C$66,$E1247,'Vols additionnels'!$D$7:$D$66,$F1247,'Vols additionnels'!$B$7:$B$66,$D1247)</f>
        <v>0</v>
      </c>
      <c r="H1247" s="135" t="n">
        <f aca="false">$G1247*'Analyse capacite'!$F$7</f>
        <v>0</v>
      </c>
      <c r="I1247" s="135" t="n">
        <f aca="false">$G1247*'Analyse capacite'!$C$7</f>
        <v>0</v>
      </c>
      <c r="J1247" s="135" t="n">
        <f aca="false">$G1247*'Analyse capacite'!$D$7</f>
        <v>0</v>
      </c>
      <c r="K1247" s="135" t="n">
        <f aca="false">$G1247*'Analyse capacite'!$E$7</f>
        <v>0</v>
      </c>
    </row>
    <row r="1248" customFormat="false" ht="15" hidden="false" customHeight="false" outlineLevel="0" collapsed="false">
      <c r="B1248" s="130" t="n">
        <v>2027</v>
      </c>
      <c r="C1248" s="131" t="s">
        <v>247</v>
      </c>
      <c r="D1248" s="132" t="n">
        <v>46512</v>
      </c>
      <c r="E1248" s="131" t="s">
        <v>46</v>
      </c>
      <c r="F1248" s="133" t="s">
        <v>19</v>
      </c>
      <c r="G1248" s="134" t="n">
        <f aca="false">LEN('Saisie programme'!$F$71)+SUMIFS('Vols additionnels'!$E$7:$E$66,'Vols additionnels'!$C$7:$C$66,$E1248,'Vols additionnels'!$D$7:$D$66,$F1248,'Vols additionnels'!$B$7:$B$66,$D1248)</f>
        <v>0</v>
      </c>
      <c r="H1248" s="135" t="n">
        <f aca="false">$G1248*'Analyse capacite'!$F$8</f>
        <v>0</v>
      </c>
      <c r="I1248" s="135" t="n">
        <f aca="false">$G1248*'Analyse capacite'!$C$8</f>
        <v>0</v>
      </c>
      <c r="J1248" s="135" t="n">
        <f aca="false">$G1248*'Analyse capacite'!$D$8</f>
        <v>0</v>
      </c>
      <c r="K1248" s="135" t="n">
        <f aca="false">$G1248*'Analyse capacite'!$E$8</f>
        <v>0</v>
      </c>
    </row>
    <row r="1249" customFormat="false" ht="15" hidden="false" customHeight="false" outlineLevel="0" collapsed="false">
      <c r="B1249" s="130" t="n">
        <v>2027</v>
      </c>
      <c r="C1249" s="131" t="s">
        <v>247</v>
      </c>
      <c r="D1249" s="132" t="n">
        <v>46512</v>
      </c>
      <c r="E1249" s="131" t="s">
        <v>46</v>
      </c>
      <c r="F1249" s="133" t="s">
        <v>24</v>
      </c>
      <c r="G1249" s="134" t="n">
        <f aca="false">LEN('Saisie programme'!$F$72)+SUMIFS('Vols additionnels'!$E$7:$E$66,'Vols additionnels'!$C$7:$C$66,$E1249,'Vols additionnels'!$D$7:$D$66,$F1249,'Vols additionnels'!$B$7:$B$66,$D1249)</f>
        <v>0</v>
      </c>
      <c r="H1249" s="135" t="n">
        <f aca="false">$G1249*'Analyse capacite'!$F$9</f>
        <v>0</v>
      </c>
      <c r="I1249" s="135" t="n">
        <f aca="false">$G1249*'Analyse capacite'!$C$9</f>
        <v>0</v>
      </c>
      <c r="J1249" s="135" t="n">
        <f aca="false">$G1249*'Analyse capacite'!$D$9</f>
        <v>0</v>
      </c>
      <c r="K1249" s="135" t="n">
        <f aca="false">$G1249*'Analyse capacite'!$E$9</f>
        <v>0</v>
      </c>
    </row>
    <row r="1250" customFormat="false" ht="15" hidden="false" customHeight="false" outlineLevel="0" collapsed="false">
      <c r="B1250" s="130" t="n">
        <v>2027</v>
      </c>
      <c r="C1250" s="131" t="s">
        <v>247</v>
      </c>
      <c r="D1250" s="132" t="n">
        <v>46512</v>
      </c>
      <c r="E1250" s="131" t="s">
        <v>49</v>
      </c>
      <c r="F1250" s="133" t="s">
        <v>11</v>
      </c>
      <c r="G1250" s="134" t="n">
        <f aca="false">LEN('Saisie programme'!$F$73)+SUMIFS('Vols additionnels'!$E$7:$E$66,'Vols additionnels'!$C$7:$C$66,$E1250,'Vols additionnels'!$D$7:$D$66,$F1250,'Vols additionnels'!$B$7:$B$66,$D1250)</f>
        <v>0</v>
      </c>
      <c r="H1250" s="135" t="n">
        <f aca="false">$G1250*'Analyse capacite'!$F$7</f>
        <v>0</v>
      </c>
      <c r="I1250" s="135" t="n">
        <f aca="false">$G1250*'Analyse capacite'!$C$7</f>
        <v>0</v>
      </c>
      <c r="J1250" s="135" t="n">
        <f aca="false">$G1250*'Analyse capacite'!$D$7</f>
        <v>0</v>
      </c>
      <c r="K1250" s="135" t="n">
        <f aca="false">$G1250*'Analyse capacite'!$E$7</f>
        <v>0</v>
      </c>
    </row>
    <row r="1251" customFormat="false" ht="15" hidden="false" customHeight="false" outlineLevel="0" collapsed="false">
      <c r="B1251" s="130" t="n">
        <v>2027</v>
      </c>
      <c r="C1251" s="131" t="s">
        <v>247</v>
      </c>
      <c r="D1251" s="132" t="n">
        <v>46512</v>
      </c>
      <c r="E1251" s="131" t="s">
        <v>49</v>
      </c>
      <c r="F1251" s="133" t="s">
        <v>19</v>
      </c>
      <c r="G1251" s="134" t="n">
        <f aca="false">LEN('Saisie programme'!$F$74)+SUMIFS('Vols additionnels'!$E$7:$E$66,'Vols additionnels'!$C$7:$C$66,$E1251,'Vols additionnels'!$D$7:$D$66,$F1251,'Vols additionnels'!$B$7:$B$66,$D1251)</f>
        <v>0</v>
      </c>
      <c r="H1251" s="135" t="n">
        <f aca="false">$G1251*'Analyse capacite'!$F$8</f>
        <v>0</v>
      </c>
      <c r="I1251" s="135" t="n">
        <f aca="false">$G1251*'Analyse capacite'!$C$8</f>
        <v>0</v>
      </c>
      <c r="J1251" s="135" t="n">
        <f aca="false">$G1251*'Analyse capacite'!$D$8</f>
        <v>0</v>
      </c>
      <c r="K1251" s="135" t="n">
        <f aca="false">$G1251*'Analyse capacite'!$E$8</f>
        <v>0</v>
      </c>
    </row>
    <row r="1252" customFormat="false" ht="15" hidden="false" customHeight="false" outlineLevel="0" collapsed="false">
      <c r="B1252" s="130" t="n">
        <v>2027</v>
      </c>
      <c r="C1252" s="131" t="s">
        <v>247</v>
      </c>
      <c r="D1252" s="132" t="n">
        <v>46512</v>
      </c>
      <c r="E1252" s="131" t="s">
        <v>49</v>
      </c>
      <c r="F1252" s="133" t="s">
        <v>24</v>
      </c>
      <c r="G1252" s="134" t="n">
        <f aca="false">LEN('Saisie programme'!$F$75)+SUMIFS('Vols additionnels'!$E$7:$E$66,'Vols additionnels'!$C$7:$C$66,$E1252,'Vols additionnels'!$D$7:$D$66,$F1252,'Vols additionnels'!$B$7:$B$66,$D1252)</f>
        <v>0</v>
      </c>
      <c r="H1252" s="135" t="n">
        <f aca="false">$G1252*'Analyse capacite'!$F$9</f>
        <v>0</v>
      </c>
      <c r="I1252" s="135" t="n">
        <f aca="false">$G1252*'Analyse capacite'!$C$9</f>
        <v>0</v>
      </c>
      <c r="J1252" s="135" t="n">
        <f aca="false">$G1252*'Analyse capacite'!$D$9</f>
        <v>0</v>
      </c>
      <c r="K1252" s="135" t="n">
        <f aca="false">$G1252*'Analyse capacite'!$E$9</f>
        <v>0</v>
      </c>
    </row>
    <row r="1253" customFormat="false" ht="15" hidden="false" customHeight="false" outlineLevel="0" collapsed="false">
      <c r="B1253" s="130" t="n">
        <v>2027</v>
      </c>
      <c r="C1253" s="131" t="s">
        <v>247</v>
      </c>
      <c r="D1253" s="132" t="n">
        <v>46512</v>
      </c>
      <c r="E1253" s="131" t="s">
        <v>53</v>
      </c>
      <c r="F1253" s="133" t="s">
        <v>11</v>
      </c>
      <c r="G1253" s="134" t="n">
        <f aca="false">LEN('Saisie programme'!$F$76)+SUMIFS('Vols additionnels'!$E$7:$E$66,'Vols additionnels'!$C$7:$C$66,$E1253,'Vols additionnels'!$D$7:$D$66,$F1253,'Vols additionnels'!$B$7:$B$66,$D1253)</f>
        <v>0</v>
      </c>
      <c r="H1253" s="135" t="n">
        <f aca="false">$G1253*'Analyse capacite'!$F$7</f>
        <v>0</v>
      </c>
      <c r="I1253" s="135" t="n">
        <f aca="false">$G1253*'Analyse capacite'!$C$7</f>
        <v>0</v>
      </c>
      <c r="J1253" s="135" t="n">
        <f aca="false">$G1253*'Analyse capacite'!$D$7</f>
        <v>0</v>
      </c>
      <c r="K1253" s="135" t="n">
        <f aca="false">$G1253*'Analyse capacite'!$E$7</f>
        <v>0</v>
      </c>
    </row>
    <row r="1254" customFormat="false" ht="15" hidden="false" customHeight="false" outlineLevel="0" collapsed="false">
      <c r="B1254" s="130" t="n">
        <v>2027</v>
      </c>
      <c r="C1254" s="131" t="s">
        <v>247</v>
      </c>
      <c r="D1254" s="132" t="n">
        <v>46512</v>
      </c>
      <c r="E1254" s="131" t="s">
        <v>53</v>
      </c>
      <c r="F1254" s="133" t="s">
        <v>19</v>
      </c>
      <c r="G1254" s="134" t="n">
        <f aca="false">LEN('Saisie programme'!$F$77)+SUMIFS('Vols additionnels'!$E$7:$E$66,'Vols additionnels'!$C$7:$C$66,$E1254,'Vols additionnels'!$D$7:$D$66,$F1254,'Vols additionnels'!$B$7:$B$66,$D1254)</f>
        <v>0</v>
      </c>
      <c r="H1254" s="135" t="n">
        <f aca="false">$G1254*'Analyse capacite'!$F$8</f>
        <v>0</v>
      </c>
      <c r="I1254" s="135" t="n">
        <f aca="false">$G1254*'Analyse capacite'!$C$8</f>
        <v>0</v>
      </c>
      <c r="J1254" s="135" t="n">
        <f aca="false">$G1254*'Analyse capacite'!$D$8</f>
        <v>0</v>
      </c>
      <c r="K1254" s="135" t="n">
        <f aca="false">$G1254*'Analyse capacite'!$E$8</f>
        <v>0</v>
      </c>
    </row>
    <row r="1255" customFormat="false" ht="15" hidden="false" customHeight="false" outlineLevel="0" collapsed="false">
      <c r="B1255" s="130" t="n">
        <v>2027</v>
      </c>
      <c r="C1255" s="131" t="s">
        <v>247</v>
      </c>
      <c r="D1255" s="132" t="n">
        <v>46512</v>
      </c>
      <c r="E1255" s="131" t="s">
        <v>53</v>
      </c>
      <c r="F1255" s="133" t="s">
        <v>24</v>
      </c>
      <c r="G1255" s="134" t="n">
        <f aca="false">LEN('Saisie programme'!$F$78)+SUMIFS('Vols additionnels'!$E$7:$E$66,'Vols additionnels'!$C$7:$C$66,$E1255,'Vols additionnels'!$D$7:$D$66,$F1255,'Vols additionnels'!$B$7:$B$66,$D1255)</f>
        <v>0</v>
      </c>
      <c r="H1255" s="135" t="n">
        <f aca="false">$G1255*'Analyse capacite'!$F$9</f>
        <v>0</v>
      </c>
      <c r="I1255" s="135" t="n">
        <f aca="false">$G1255*'Analyse capacite'!$C$9</f>
        <v>0</v>
      </c>
      <c r="J1255" s="135" t="n">
        <f aca="false">$G1255*'Analyse capacite'!$D$9</f>
        <v>0</v>
      </c>
      <c r="K1255" s="135" t="n">
        <f aca="false">$G1255*'Analyse capacite'!$E$9</f>
        <v>0</v>
      </c>
    </row>
    <row r="1256" customFormat="false" ht="15" hidden="false" customHeight="false" outlineLevel="0" collapsed="false">
      <c r="B1256" s="130" t="n">
        <v>2027</v>
      </c>
      <c r="C1256" s="131" t="s">
        <v>247</v>
      </c>
      <c r="D1256" s="132" t="n">
        <v>46512</v>
      </c>
      <c r="E1256" s="131" t="s">
        <v>56</v>
      </c>
      <c r="F1256" s="133" t="s">
        <v>11</v>
      </c>
      <c r="G1256" s="134" t="n">
        <f aca="false">LEN('Saisie programme'!$F$79)+SUMIFS('Vols additionnels'!$E$7:$E$66,'Vols additionnels'!$C$7:$C$66,$E1256,'Vols additionnels'!$D$7:$D$66,$F1256,'Vols additionnels'!$B$7:$B$66,$D1256)</f>
        <v>0</v>
      </c>
      <c r="H1256" s="135" t="n">
        <f aca="false">$G1256*'Analyse capacite'!$F$7</f>
        <v>0</v>
      </c>
      <c r="I1256" s="135" t="n">
        <f aca="false">$G1256*'Analyse capacite'!$C$7</f>
        <v>0</v>
      </c>
      <c r="J1256" s="135" t="n">
        <f aca="false">$G1256*'Analyse capacite'!$D$7</f>
        <v>0</v>
      </c>
      <c r="K1256" s="135" t="n">
        <f aca="false">$G1256*'Analyse capacite'!$E$7</f>
        <v>0</v>
      </c>
    </row>
    <row r="1257" customFormat="false" ht="15" hidden="false" customHeight="false" outlineLevel="0" collapsed="false">
      <c r="B1257" s="130" t="n">
        <v>2027</v>
      </c>
      <c r="C1257" s="131" t="s">
        <v>247</v>
      </c>
      <c r="D1257" s="132" t="n">
        <v>46512</v>
      </c>
      <c r="E1257" s="131" t="s">
        <v>56</v>
      </c>
      <c r="F1257" s="133" t="s">
        <v>19</v>
      </c>
      <c r="G1257" s="134" t="n">
        <f aca="false">LEN('Saisie programme'!$F$80)+SUMIFS('Vols additionnels'!$E$7:$E$66,'Vols additionnels'!$C$7:$C$66,$E1257,'Vols additionnels'!$D$7:$D$66,$F1257,'Vols additionnels'!$B$7:$B$66,$D1257)</f>
        <v>0</v>
      </c>
      <c r="H1257" s="135" t="n">
        <f aca="false">$G1257*'Analyse capacite'!$F$8</f>
        <v>0</v>
      </c>
      <c r="I1257" s="135" t="n">
        <f aca="false">$G1257*'Analyse capacite'!$C$8</f>
        <v>0</v>
      </c>
      <c r="J1257" s="135" t="n">
        <f aca="false">$G1257*'Analyse capacite'!$D$8</f>
        <v>0</v>
      </c>
      <c r="K1257" s="135" t="n">
        <f aca="false">$G1257*'Analyse capacite'!$E$8</f>
        <v>0</v>
      </c>
    </row>
    <row r="1258" customFormat="false" ht="15" hidden="false" customHeight="false" outlineLevel="0" collapsed="false">
      <c r="B1258" s="130" t="n">
        <v>2027</v>
      </c>
      <c r="C1258" s="131" t="s">
        <v>247</v>
      </c>
      <c r="D1258" s="132" t="n">
        <v>46512</v>
      </c>
      <c r="E1258" s="131" t="s">
        <v>56</v>
      </c>
      <c r="F1258" s="133" t="s">
        <v>24</v>
      </c>
      <c r="G1258" s="134" t="n">
        <f aca="false">LEN('Saisie programme'!$F$81)+SUMIFS('Vols additionnels'!$E$7:$E$66,'Vols additionnels'!$C$7:$C$66,$E1258,'Vols additionnels'!$D$7:$D$66,$F1258,'Vols additionnels'!$B$7:$B$66,$D1258)</f>
        <v>0</v>
      </c>
      <c r="H1258" s="135" t="n">
        <f aca="false">$G1258*'Analyse capacite'!$F$9</f>
        <v>0</v>
      </c>
      <c r="I1258" s="135" t="n">
        <f aca="false">$G1258*'Analyse capacite'!$C$9</f>
        <v>0</v>
      </c>
      <c r="J1258" s="135" t="n">
        <f aca="false">$G1258*'Analyse capacite'!$D$9</f>
        <v>0</v>
      </c>
      <c r="K1258" s="135" t="n">
        <f aca="false">$G1258*'Analyse capacite'!$E$9</f>
        <v>0</v>
      </c>
    </row>
    <row r="1259" customFormat="false" ht="15" hidden="false" customHeight="false" outlineLevel="0" collapsed="false">
      <c r="B1259" s="130" t="n">
        <v>2027</v>
      </c>
      <c r="C1259" s="131" t="s">
        <v>247</v>
      </c>
      <c r="D1259" s="132" t="n">
        <v>46512</v>
      </c>
      <c r="E1259" s="131" t="s">
        <v>59</v>
      </c>
      <c r="F1259" s="133" t="s">
        <v>11</v>
      </c>
      <c r="G1259" s="134" t="n">
        <f aca="false">LEN('Saisie programme'!$F$82)+SUMIFS('Vols additionnels'!$E$7:$E$66,'Vols additionnels'!$C$7:$C$66,$E1259,'Vols additionnels'!$D$7:$D$66,$F1259,'Vols additionnels'!$B$7:$B$66,$D1259)</f>
        <v>0</v>
      </c>
      <c r="H1259" s="135" t="n">
        <f aca="false">$G1259*'Analyse capacite'!$F$7</f>
        <v>0</v>
      </c>
      <c r="I1259" s="135" t="n">
        <f aca="false">$G1259*'Analyse capacite'!$C$7</f>
        <v>0</v>
      </c>
      <c r="J1259" s="135" t="n">
        <f aca="false">$G1259*'Analyse capacite'!$D$7</f>
        <v>0</v>
      </c>
      <c r="K1259" s="135" t="n">
        <f aca="false">$G1259*'Analyse capacite'!$E$7</f>
        <v>0</v>
      </c>
    </row>
    <row r="1260" customFormat="false" ht="15" hidden="false" customHeight="false" outlineLevel="0" collapsed="false">
      <c r="B1260" s="130" t="n">
        <v>2027</v>
      </c>
      <c r="C1260" s="131" t="s">
        <v>247</v>
      </c>
      <c r="D1260" s="132" t="n">
        <v>46512</v>
      </c>
      <c r="E1260" s="131" t="s">
        <v>59</v>
      </c>
      <c r="F1260" s="133" t="s">
        <v>19</v>
      </c>
      <c r="G1260" s="134" t="n">
        <f aca="false">LEN('Saisie programme'!$F$83)+SUMIFS('Vols additionnels'!$E$7:$E$66,'Vols additionnels'!$C$7:$C$66,$E1260,'Vols additionnels'!$D$7:$D$66,$F1260,'Vols additionnels'!$B$7:$B$66,$D1260)</f>
        <v>0</v>
      </c>
      <c r="H1260" s="135" t="n">
        <f aca="false">$G1260*'Analyse capacite'!$F$8</f>
        <v>0</v>
      </c>
      <c r="I1260" s="135" t="n">
        <f aca="false">$G1260*'Analyse capacite'!$C$8</f>
        <v>0</v>
      </c>
      <c r="J1260" s="135" t="n">
        <f aca="false">$G1260*'Analyse capacite'!$D$8</f>
        <v>0</v>
      </c>
      <c r="K1260" s="135" t="n">
        <f aca="false">$G1260*'Analyse capacite'!$E$8</f>
        <v>0</v>
      </c>
    </row>
    <row r="1261" customFormat="false" ht="15" hidden="false" customHeight="false" outlineLevel="0" collapsed="false">
      <c r="B1261" s="130" t="n">
        <v>2027</v>
      </c>
      <c r="C1261" s="131" t="s">
        <v>247</v>
      </c>
      <c r="D1261" s="132" t="n">
        <v>46512</v>
      </c>
      <c r="E1261" s="131" t="s">
        <v>59</v>
      </c>
      <c r="F1261" s="133" t="s">
        <v>24</v>
      </c>
      <c r="G1261" s="134" t="n">
        <f aca="false">LEN('Saisie programme'!$F$84)+SUMIFS('Vols additionnels'!$E$7:$E$66,'Vols additionnels'!$C$7:$C$66,$E1261,'Vols additionnels'!$D$7:$D$66,$F1261,'Vols additionnels'!$B$7:$B$66,$D1261)</f>
        <v>1</v>
      </c>
      <c r="H1261" s="135" t="n">
        <f aca="false">$G1261*'Analyse capacite'!$F$9</f>
        <v>174</v>
      </c>
      <c r="I1261" s="135" t="n">
        <f aca="false">$G1261*'Analyse capacite'!$C$9</f>
        <v>0</v>
      </c>
      <c r="J1261" s="135" t="n">
        <f aca="false">$G1261*'Analyse capacite'!$D$9</f>
        <v>12</v>
      </c>
      <c r="K1261" s="135" t="n">
        <f aca="false">$G1261*'Analyse capacite'!$E$9</f>
        <v>162</v>
      </c>
    </row>
    <row r="1262" customFormat="false" ht="15" hidden="false" customHeight="false" outlineLevel="0" collapsed="false">
      <c r="B1262" s="130" t="n">
        <v>2027</v>
      </c>
      <c r="C1262" s="131" t="s">
        <v>247</v>
      </c>
      <c r="D1262" s="132" t="n">
        <v>46512</v>
      </c>
      <c r="E1262" s="131" t="s">
        <v>62</v>
      </c>
      <c r="F1262" s="133" t="s">
        <v>11</v>
      </c>
      <c r="G1262" s="134" t="n">
        <f aca="false">LEN('Saisie programme'!$F$85)+SUMIFS('Vols additionnels'!$E$7:$E$66,'Vols additionnels'!$C$7:$C$66,$E1262,'Vols additionnels'!$D$7:$D$66,$F1262,'Vols additionnels'!$B$7:$B$66,$D1262)</f>
        <v>0</v>
      </c>
      <c r="H1262" s="135" t="n">
        <f aca="false">$G1262*'Analyse capacite'!$F$7</f>
        <v>0</v>
      </c>
      <c r="I1262" s="135" t="n">
        <f aca="false">$G1262*'Analyse capacite'!$C$7</f>
        <v>0</v>
      </c>
      <c r="J1262" s="135" t="n">
        <f aca="false">$G1262*'Analyse capacite'!$D$7</f>
        <v>0</v>
      </c>
      <c r="K1262" s="135" t="n">
        <f aca="false">$G1262*'Analyse capacite'!$E$7</f>
        <v>0</v>
      </c>
    </row>
    <row r="1263" customFormat="false" ht="15" hidden="false" customHeight="false" outlineLevel="0" collapsed="false">
      <c r="B1263" s="130" t="n">
        <v>2027</v>
      </c>
      <c r="C1263" s="131" t="s">
        <v>247</v>
      </c>
      <c r="D1263" s="132" t="n">
        <v>46512</v>
      </c>
      <c r="E1263" s="131" t="s">
        <v>62</v>
      </c>
      <c r="F1263" s="133" t="s">
        <v>19</v>
      </c>
      <c r="G1263" s="134" t="n">
        <f aca="false">LEN('Saisie programme'!$F$86)+SUMIFS('Vols additionnels'!$E$7:$E$66,'Vols additionnels'!$C$7:$C$66,$E1263,'Vols additionnels'!$D$7:$D$66,$F1263,'Vols additionnels'!$B$7:$B$66,$D1263)</f>
        <v>0</v>
      </c>
      <c r="H1263" s="135" t="n">
        <f aca="false">$G1263*'Analyse capacite'!$F$8</f>
        <v>0</v>
      </c>
      <c r="I1263" s="135" t="n">
        <f aca="false">$G1263*'Analyse capacite'!$C$8</f>
        <v>0</v>
      </c>
      <c r="J1263" s="135" t="n">
        <f aca="false">$G1263*'Analyse capacite'!$D$8</f>
        <v>0</v>
      </c>
      <c r="K1263" s="135" t="n">
        <f aca="false">$G1263*'Analyse capacite'!$E$8</f>
        <v>0</v>
      </c>
    </row>
    <row r="1264" customFormat="false" ht="15" hidden="false" customHeight="false" outlineLevel="0" collapsed="false">
      <c r="B1264" s="130" t="n">
        <v>2027</v>
      </c>
      <c r="C1264" s="131" t="s">
        <v>247</v>
      </c>
      <c r="D1264" s="132" t="n">
        <v>46512</v>
      </c>
      <c r="E1264" s="131" t="s">
        <v>62</v>
      </c>
      <c r="F1264" s="133" t="s">
        <v>24</v>
      </c>
      <c r="G1264" s="134" t="n">
        <f aca="false">LEN('Saisie programme'!$F$87)+SUMIFS('Vols additionnels'!$E$7:$E$66,'Vols additionnels'!$C$7:$C$66,$E1264,'Vols additionnels'!$D$7:$D$66,$F1264,'Vols additionnels'!$B$7:$B$66,$D1264)</f>
        <v>1</v>
      </c>
      <c r="H1264" s="135" t="n">
        <f aca="false">$G1264*'Analyse capacite'!$F$9</f>
        <v>174</v>
      </c>
      <c r="I1264" s="135" t="n">
        <f aca="false">$G1264*'Analyse capacite'!$C$9</f>
        <v>0</v>
      </c>
      <c r="J1264" s="135" t="n">
        <f aca="false">$G1264*'Analyse capacite'!$D$9</f>
        <v>12</v>
      </c>
      <c r="K1264" s="135" t="n">
        <f aca="false">$G1264*'Analyse capacite'!$E$9</f>
        <v>162</v>
      </c>
    </row>
    <row r="1265" customFormat="false" ht="15" hidden="false" customHeight="false" outlineLevel="0" collapsed="false">
      <c r="B1265" s="130" t="n">
        <v>2027</v>
      </c>
      <c r="C1265" s="131" t="s">
        <v>247</v>
      </c>
      <c r="D1265" s="132" t="n">
        <v>46513</v>
      </c>
      <c r="E1265" s="131" t="s">
        <v>12</v>
      </c>
      <c r="F1265" s="133" t="s">
        <v>11</v>
      </c>
      <c r="G1265" s="134" t="n">
        <f aca="false">LEN('Saisie programme'!$G$52)+SUMIFS('Vols additionnels'!$E$7:$E$66,'Vols additionnels'!$C$7:$C$66,$E1265,'Vols additionnels'!$D$7:$D$66,$F1265,'Vols additionnels'!$B$7:$B$66,$D1265)</f>
        <v>1</v>
      </c>
      <c r="H1265" s="135" t="n">
        <f aca="false">$G1265*'Analyse capacite'!$F$7</f>
        <v>438</v>
      </c>
      <c r="I1265" s="135" t="n">
        <f aca="false">$G1265*'Analyse capacite'!$C$7</f>
        <v>14</v>
      </c>
      <c r="J1265" s="135" t="n">
        <f aca="false">$G1265*'Analyse capacite'!$D$7</f>
        <v>40</v>
      </c>
      <c r="K1265" s="135" t="n">
        <f aca="false">$G1265*'Analyse capacite'!$E$7</f>
        <v>384</v>
      </c>
    </row>
    <row r="1266" customFormat="false" ht="15" hidden="false" customHeight="false" outlineLevel="0" collapsed="false">
      <c r="B1266" s="130" t="n">
        <v>2027</v>
      </c>
      <c r="C1266" s="131" t="s">
        <v>247</v>
      </c>
      <c r="D1266" s="132" t="n">
        <v>46513</v>
      </c>
      <c r="E1266" s="131" t="s">
        <v>12</v>
      </c>
      <c r="F1266" s="133" t="s">
        <v>19</v>
      </c>
      <c r="G1266" s="134" t="n">
        <f aca="false">LEN('Saisie programme'!$G$53)+SUMIFS('Vols additionnels'!$E$7:$E$66,'Vols additionnels'!$C$7:$C$66,$E1266,'Vols additionnels'!$D$7:$D$66,$F1266,'Vols additionnels'!$B$7:$B$66,$D1266)</f>
        <v>0</v>
      </c>
      <c r="H1266" s="135" t="n">
        <f aca="false">$G1266*'Analyse capacite'!$F$8</f>
        <v>0</v>
      </c>
      <c r="I1266" s="135" t="n">
        <f aca="false">$G1266*'Analyse capacite'!$C$8</f>
        <v>0</v>
      </c>
      <c r="J1266" s="135" t="n">
        <f aca="false">$G1266*'Analyse capacite'!$D$8</f>
        <v>0</v>
      </c>
      <c r="K1266" s="135" t="n">
        <f aca="false">$G1266*'Analyse capacite'!$E$8</f>
        <v>0</v>
      </c>
    </row>
    <row r="1267" customFormat="false" ht="15" hidden="false" customHeight="false" outlineLevel="0" collapsed="false">
      <c r="B1267" s="130" t="n">
        <v>2027</v>
      </c>
      <c r="C1267" s="131" t="s">
        <v>247</v>
      </c>
      <c r="D1267" s="132" t="n">
        <v>46513</v>
      </c>
      <c r="E1267" s="131" t="s">
        <v>12</v>
      </c>
      <c r="F1267" s="133" t="s">
        <v>24</v>
      </c>
      <c r="G1267" s="134" t="n">
        <f aca="false">LEN('Saisie programme'!$G$54)+SUMIFS('Vols additionnels'!$E$7:$E$66,'Vols additionnels'!$C$7:$C$66,$E1267,'Vols additionnels'!$D$7:$D$66,$F1267,'Vols additionnels'!$B$7:$B$66,$D1267)</f>
        <v>0</v>
      </c>
      <c r="H1267" s="135" t="n">
        <f aca="false">$G1267*'Analyse capacite'!$F$9</f>
        <v>0</v>
      </c>
      <c r="I1267" s="135" t="n">
        <f aca="false">$G1267*'Analyse capacite'!$C$9</f>
        <v>0</v>
      </c>
      <c r="J1267" s="135" t="n">
        <f aca="false">$G1267*'Analyse capacite'!$D$9</f>
        <v>0</v>
      </c>
      <c r="K1267" s="135" t="n">
        <f aca="false">$G1267*'Analyse capacite'!$E$9</f>
        <v>0</v>
      </c>
    </row>
    <row r="1268" customFormat="false" ht="15" hidden="false" customHeight="false" outlineLevel="0" collapsed="false">
      <c r="B1268" s="130" t="n">
        <v>2027</v>
      </c>
      <c r="C1268" s="131" t="s">
        <v>247</v>
      </c>
      <c r="D1268" s="132" t="n">
        <v>46513</v>
      </c>
      <c r="E1268" s="131" t="s">
        <v>20</v>
      </c>
      <c r="F1268" s="133" t="s">
        <v>11</v>
      </c>
      <c r="G1268" s="134" t="n">
        <f aca="false">LEN('Saisie programme'!$G$55)+SUMIFS('Vols additionnels'!$E$7:$E$66,'Vols additionnels'!$C$7:$C$66,$E1268,'Vols additionnels'!$D$7:$D$66,$F1268,'Vols additionnels'!$B$7:$B$66,$D1268)</f>
        <v>0</v>
      </c>
      <c r="H1268" s="135" t="n">
        <f aca="false">$G1268*'Analyse capacite'!$F$7</f>
        <v>0</v>
      </c>
      <c r="I1268" s="135" t="n">
        <f aca="false">$G1268*'Analyse capacite'!$C$7</f>
        <v>0</v>
      </c>
      <c r="J1268" s="135" t="n">
        <f aca="false">$G1268*'Analyse capacite'!$D$7</f>
        <v>0</v>
      </c>
      <c r="K1268" s="135" t="n">
        <f aca="false">$G1268*'Analyse capacite'!$E$7</f>
        <v>0</v>
      </c>
    </row>
    <row r="1269" customFormat="false" ht="15" hidden="false" customHeight="false" outlineLevel="0" collapsed="false">
      <c r="B1269" s="130" t="n">
        <v>2027</v>
      </c>
      <c r="C1269" s="131" t="s">
        <v>247</v>
      </c>
      <c r="D1269" s="132" t="n">
        <v>46513</v>
      </c>
      <c r="E1269" s="131" t="s">
        <v>20</v>
      </c>
      <c r="F1269" s="133" t="s">
        <v>19</v>
      </c>
      <c r="G1269" s="134" t="n">
        <f aca="false">LEN('Saisie programme'!$G$56)+SUMIFS('Vols additionnels'!$E$7:$E$66,'Vols additionnels'!$C$7:$C$66,$E1269,'Vols additionnels'!$D$7:$D$66,$F1269,'Vols additionnels'!$B$7:$B$66,$D1269)</f>
        <v>0</v>
      </c>
      <c r="H1269" s="135" t="n">
        <f aca="false">$G1269*'Analyse capacite'!$F$8</f>
        <v>0</v>
      </c>
      <c r="I1269" s="135" t="n">
        <f aca="false">$G1269*'Analyse capacite'!$C$8</f>
        <v>0</v>
      </c>
      <c r="J1269" s="135" t="n">
        <f aca="false">$G1269*'Analyse capacite'!$D$8</f>
        <v>0</v>
      </c>
      <c r="K1269" s="135" t="n">
        <f aca="false">$G1269*'Analyse capacite'!$E$8</f>
        <v>0</v>
      </c>
    </row>
    <row r="1270" customFormat="false" ht="15" hidden="false" customHeight="false" outlineLevel="0" collapsed="false">
      <c r="B1270" s="130" t="n">
        <v>2027</v>
      </c>
      <c r="C1270" s="131" t="s">
        <v>247</v>
      </c>
      <c r="D1270" s="132" t="n">
        <v>46513</v>
      </c>
      <c r="E1270" s="131" t="s">
        <v>20</v>
      </c>
      <c r="F1270" s="133" t="s">
        <v>24</v>
      </c>
      <c r="G1270" s="134" t="n">
        <f aca="false">LEN('Saisie programme'!$G$57)+SUMIFS('Vols additionnels'!$E$7:$E$66,'Vols additionnels'!$C$7:$C$66,$E1270,'Vols additionnels'!$D$7:$D$66,$F1270,'Vols additionnels'!$B$7:$B$66,$D1270)</f>
        <v>0</v>
      </c>
      <c r="H1270" s="135" t="n">
        <f aca="false">$G1270*'Analyse capacite'!$F$9</f>
        <v>0</v>
      </c>
      <c r="I1270" s="135" t="n">
        <f aca="false">$G1270*'Analyse capacite'!$C$9</f>
        <v>0</v>
      </c>
      <c r="J1270" s="135" t="n">
        <f aca="false">$G1270*'Analyse capacite'!$D$9</f>
        <v>0</v>
      </c>
      <c r="K1270" s="135" t="n">
        <f aca="false">$G1270*'Analyse capacite'!$E$9</f>
        <v>0</v>
      </c>
    </row>
    <row r="1271" customFormat="false" ht="15" hidden="false" customHeight="false" outlineLevel="0" collapsed="false">
      <c r="B1271" s="130" t="n">
        <v>2027</v>
      </c>
      <c r="C1271" s="131" t="s">
        <v>247</v>
      </c>
      <c r="D1271" s="132" t="n">
        <v>46513</v>
      </c>
      <c r="E1271" s="131" t="s">
        <v>25</v>
      </c>
      <c r="F1271" s="133" t="s">
        <v>11</v>
      </c>
      <c r="G1271" s="134" t="n">
        <f aca="false">LEN('Saisie programme'!$G$58)+SUMIFS('Vols additionnels'!$E$7:$E$66,'Vols additionnels'!$C$7:$C$66,$E1271,'Vols additionnels'!$D$7:$D$66,$F1271,'Vols additionnels'!$B$7:$B$66,$D1271)</f>
        <v>0</v>
      </c>
      <c r="H1271" s="135" t="n">
        <f aca="false">$G1271*'Analyse capacite'!$F$7</f>
        <v>0</v>
      </c>
      <c r="I1271" s="135" t="n">
        <f aca="false">$G1271*'Analyse capacite'!$C$7</f>
        <v>0</v>
      </c>
      <c r="J1271" s="135" t="n">
        <f aca="false">$G1271*'Analyse capacite'!$D$7</f>
        <v>0</v>
      </c>
      <c r="K1271" s="135" t="n">
        <f aca="false">$G1271*'Analyse capacite'!$E$7</f>
        <v>0</v>
      </c>
    </row>
    <row r="1272" customFormat="false" ht="15" hidden="false" customHeight="false" outlineLevel="0" collapsed="false">
      <c r="B1272" s="130" t="n">
        <v>2027</v>
      </c>
      <c r="C1272" s="131" t="s">
        <v>247</v>
      </c>
      <c r="D1272" s="132" t="n">
        <v>46513</v>
      </c>
      <c r="E1272" s="131" t="s">
        <v>25</v>
      </c>
      <c r="F1272" s="133" t="s">
        <v>19</v>
      </c>
      <c r="G1272" s="134" t="n">
        <f aca="false">LEN('Saisie programme'!$G$59)+SUMIFS('Vols additionnels'!$E$7:$E$66,'Vols additionnels'!$C$7:$C$66,$E1272,'Vols additionnels'!$D$7:$D$66,$F1272,'Vols additionnels'!$B$7:$B$66,$D1272)</f>
        <v>0</v>
      </c>
      <c r="H1272" s="135" t="n">
        <f aca="false">$G1272*'Analyse capacite'!$F$8</f>
        <v>0</v>
      </c>
      <c r="I1272" s="135" t="n">
        <f aca="false">$G1272*'Analyse capacite'!$C$8</f>
        <v>0</v>
      </c>
      <c r="J1272" s="135" t="n">
        <f aca="false">$G1272*'Analyse capacite'!$D$8</f>
        <v>0</v>
      </c>
      <c r="K1272" s="135" t="n">
        <f aca="false">$G1272*'Analyse capacite'!$E$8</f>
        <v>0</v>
      </c>
    </row>
    <row r="1273" customFormat="false" ht="15" hidden="false" customHeight="false" outlineLevel="0" collapsed="false">
      <c r="B1273" s="130" t="n">
        <v>2027</v>
      </c>
      <c r="C1273" s="131" t="s">
        <v>247</v>
      </c>
      <c r="D1273" s="132" t="n">
        <v>46513</v>
      </c>
      <c r="E1273" s="131" t="s">
        <v>25</v>
      </c>
      <c r="F1273" s="133" t="s">
        <v>24</v>
      </c>
      <c r="G1273" s="134" t="n">
        <f aca="false">LEN('Saisie programme'!$G$60)+SUMIFS('Vols additionnels'!$E$7:$E$66,'Vols additionnels'!$C$7:$C$66,$E1273,'Vols additionnels'!$D$7:$D$66,$F1273,'Vols additionnels'!$B$7:$B$66,$D1273)</f>
        <v>0</v>
      </c>
      <c r="H1273" s="135" t="n">
        <f aca="false">$G1273*'Analyse capacite'!$F$9</f>
        <v>0</v>
      </c>
      <c r="I1273" s="135" t="n">
        <f aca="false">$G1273*'Analyse capacite'!$C$9</f>
        <v>0</v>
      </c>
      <c r="J1273" s="135" t="n">
        <f aca="false">$G1273*'Analyse capacite'!$D$9</f>
        <v>0</v>
      </c>
      <c r="K1273" s="135" t="n">
        <f aca="false">$G1273*'Analyse capacite'!$E$9</f>
        <v>0</v>
      </c>
    </row>
    <row r="1274" customFormat="false" ht="15" hidden="false" customHeight="false" outlineLevel="0" collapsed="false">
      <c r="B1274" s="130" t="n">
        <v>2027</v>
      </c>
      <c r="C1274" s="131" t="s">
        <v>247</v>
      </c>
      <c r="D1274" s="132" t="n">
        <v>46513</v>
      </c>
      <c r="E1274" s="131" t="s">
        <v>36</v>
      </c>
      <c r="F1274" s="133" t="s">
        <v>11</v>
      </c>
      <c r="G1274" s="134" t="n">
        <f aca="false">LEN('Saisie programme'!$G$61)+SUMIFS('Vols additionnels'!$E$7:$E$66,'Vols additionnels'!$C$7:$C$66,$E1274,'Vols additionnels'!$D$7:$D$66,$F1274,'Vols additionnels'!$B$7:$B$66,$D1274)</f>
        <v>0</v>
      </c>
      <c r="H1274" s="135" t="n">
        <f aca="false">$G1274*'Analyse capacite'!$F$7</f>
        <v>0</v>
      </c>
      <c r="I1274" s="135" t="n">
        <f aca="false">$G1274*'Analyse capacite'!$C$7</f>
        <v>0</v>
      </c>
      <c r="J1274" s="135" t="n">
        <f aca="false">$G1274*'Analyse capacite'!$D$7</f>
        <v>0</v>
      </c>
      <c r="K1274" s="135" t="n">
        <f aca="false">$G1274*'Analyse capacite'!$E$7</f>
        <v>0</v>
      </c>
    </row>
    <row r="1275" customFormat="false" ht="15" hidden="false" customHeight="false" outlineLevel="0" collapsed="false">
      <c r="B1275" s="130" t="n">
        <v>2027</v>
      </c>
      <c r="C1275" s="131" t="s">
        <v>247</v>
      </c>
      <c r="D1275" s="132" t="n">
        <v>46513</v>
      </c>
      <c r="E1275" s="131" t="s">
        <v>36</v>
      </c>
      <c r="F1275" s="133" t="s">
        <v>19</v>
      </c>
      <c r="G1275" s="134" t="n">
        <f aca="false">LEN('Saisie programme'!$G$62)+SUMIFS('Vols additionnels'!$E$7:$E$66,'Vols additionnels'!$C$7:$C$66,$E1275,'Vols additionnels'!$D$7:$D$66,$F1275,'Vols additionnels'!$B$7:$B$66,$D1275)</f>
        <v>0</v>
      </c>
      <c r="H1275" s="135" t="n">
        <f aca="false">$G1275*'Analyse capacite'!$F$8</f>
        <v>0</v>
      </c>
      <c r="I1275" s="135" t="n">
        <f aca="false">$G1275*'Analyse capacite'!$C$8</f>
        <v>0</v>
      </c>
      <c r="J1275" s="135" t="n">
        <f aca="false">$G1275*'Analyse capacite'!$D$8</f>
        <v>0</v>
      </c>
      <c r="K1275" s="135" t="n">
        <f aca="false">$G1275*'Analyse capacite'!$E$8</f>
        <v>0</v>
      </c>
    </row>
    <row r="1276" customFormat="false" ht="15" hidden="false" customHeight="false" outlineLevel="0" collapsed="false">
      <c r="B1276" s="130" t="n">
        <v>2027</v>
      </c>
      <c r="C1276" s="131" t="s">
        <v>247</v>
      </c>
      <c r="D1276" s="132" t="n">
        <v>46513</v>
      </c>
      <c r="E1276" s="131" t="s">
        <v>36</v>
      </c>
      <c r="F1276" s="133" t="s">
        <v>24</v>
      </c>
      <c r="G1276" s="134" t="n">
        <f aca="false">LEN('Saisie programme'!$G$63)+SUMIFS('Vols additionnels'!$E$7:$E$66,'Vols additionnels'!$C$7:$C$66,$E1276,'Vols additionnels'!$D$7:$D$66,$F1276,'Vols additionnels'!$B$7:$B$66,$D1276)</f>
        <v>1</v>
      </c>
      <c r="H1276" s="135" t="n">
        <f aca="false">$G1276*'Analyse capacite'!$F$9</f>
        <v>174</v>
      </c>
      <c r="I1276" s="135" t="n">
        <f aca="false">$G1276*'Analyse capacite'!$C$9</f>
        <v>0</v>
      </c>
      <c r="J1276" s="135" t="n">
        <f aca="false">$G1276*'Analyse capacite'!$D$9</f>
        <v>12</v>
      </c>
      <c r="K1276" s="135" t="n">
        <f aca="false">$G1276*'Analyse capacite'!$E$9</f>
        <v>162</v>
      </c>
    </row>
    <row r="1277" customFormat="false" ht="15" hidden="false" customHeight="false" outlineLevel="0" collapsed="false">
      <c r="B1277" s="130" t="n">
        <v>2027</v>
      </c>
      <c r="C1277" s="131" t="s">
        <v>247</v>
      </c>
      <c r="D1277" s="132" t="n">
        <v>46513</v>
      </c>
      <c r="E1277" s="131" t="s">
        <v>40</v>
      </c>
      <c r="F1277" s="133" t="s">
        <v>11</v>
      </c>
      <c r="G1277" s="134" t="n">
        <f aca="false">LEN('Saisie programme'!$G$64)+SUMIFS('Vols additionnels'!$E$7:$E$66,'Vols additionnels'!$C$7:$C$66,$E1277,'Vols additionnels'!$D$7:$D$66,$F1277,'Vols additionnels'!$B$7:$B$66,$D1277)</f>
        <v>0</v>
      </c>
      <c r="H1277" s="135" t="n">
        <f aca="false">$G1277*'Analyse capacite'!$F$7</f>
        <v>0</v>
      </c>
      <c r="I1277" s="135" t="n">
        <f aca="false">$G1277*'Analyse capacite'!$C$7</f>
        <v>0</v>
      </c>
      <c r="J1277" s="135" t="n">
        <f aca="false">$G1277*'Analyse capacite'!$D$7</f>
        <v>0</v>
      </c>
      <c r="K1277" s="135" t="n">
        <f aca="false">$G1277*'Analyse capacite'!$E$7</f>
        <v>0</v>
      </c>
    </row>
    <row r="1278" customFormat="false" ht="15" hidden="false" customHeight="false" outlineLevel="0" collapsed="false">
      <c r="B1278" s="130" t="n">
        <v>2027</v>
      </c>
      <c r="C1278" s="131" t="s">
        <v>247</v>
      </c>
      <c r="D1278" s="132" t="n">
        <v>46513</v>
      </c>
      <c r="E1278" s="131" t="s">
        <v>40</v>
      </c>
      <c r="F1278" s="133" t="s">
        <v>19</v>
      </c>
      <c r="G1278" s="134" t="n">
        <f aca="false">LEN('Saisie programme'!$G$65)+SUMIFS('Vols additionnels'!$E$7:$E$66,'Vols additionnels'!$C$7:$C$66,$E1278,'Vols additionnels'!$D$7:$D$66,$F1278,'Vols additionnels'!$B$7:$B$66,$D1278)</f>
        <v>0</v>
      </c>
      <c r="H1278" s="135" t="n">
        <f aca="false">$G1278*'Analyse capacite'!$F$8</f>
        <v>0</v>
      </c>
      <c r="I1278" s="135" t="n">
        <f aca="false">$G1278*'Analyse capacite'!$C$8</f>
        <v>0</v>
      </c>
      <c r="J1278" s="135" t="n">
        <f aca="false">$G1278*'Analyse capacite'!$D$8</f>
        <v>0</v>
      </c>
      <c r="K1278" s="135" t="n">
        <f aca="false">$G1278*'Analyse capacite'!$E$8</f>
        <v>0</v>
      </c>
    </row>
    <row r="1279" customFormat="false" ht="15" hidden="false" customHeight="false" outlineLevel="0" collapsed="false">
      <c r="B1279" s="130" t="n">
        <v>2027</v>
      </c>
      <c r="C1279" s="131" t="s">
        <v>247</v>
      </c>
      <c r="D1279" s="132" t="n">
        <v>46513</v>
      </c>
      <c r="E1279" s="131" t="s">
        <v>40</v>
      </c>
      <c r="F1279" s="133" t="s">
        <v>24</v>
      </c>
      <c r="G1279" s="134" t="n">
        <f aca="false">LEN('Saisie programme'!$G$66)+SUMIFS('Vols additionnels'!$E$7:$E$66,'Vols additionnels'!$C$7:$C$66,$E1279,'Vols additionnels'!$D$7:$D$66,$F1279,'Vols additionnels'!$B$7:$B$66,$D1279)</f>
        <v>0</v>
      </c>
      <c r="H1279" s="135" t="n">
        <f aca="false">$G1279*'Analyse capacite'!$F$9</f>
        <v>0</v>
      </c>
      <c r="I1279" s="135" t="n">
        <f aca="false">$G1279*'Analyse capacite'!$C$9</f>
        <v>0</v>
      </c>
      <c r="J1279" s="135" t="n">
        <f aca="false">$G1279*'Analyse capacite'!$D$9</f>
        <v>0</v>
      </c>
      <c r="K1279" s="135" t="n">
        <f aca="false">$G1279*'Analyse capacite'!$E$9</f>
        <v>0</v>
      </c>
    </row>
    <row r="1280" customFormat="false" ht="15" hidden="false" customHeight="false" outlineLevel="0" collapsed="false">
      <c r="B1280" s="130" t="n">
        <v>2027</v>
      </c>
      <c r="C1280" s="131" t="s">
        <v>247</v>
      </c>
      <c r="D1280" s="132" t="n">
        <v>46513</v>
      </c>
      <c r="E1280" s="131" t="s">
        <v>14</v>
      </c>
      <c r="F1280" s="133" t="s">
        <v>11</v>
      </c>
      <c r="G1280" s="134" t="n">
        <f aca="false">LEN('Saisie programme'!$G$67)+SUMIFS('Vols additionnels'!$E$7:$E$66,'Vols additionnels'!$C$7:$C$66,$E1280,'Vols additionnels'!$D$7:$D$66,$F1280,'Vols additionnels'!$B$7:$B$66,$D1280)</f>
        <v>0</v>
      </c>
      <c r="H1280" s="135" t="n">
        <f aca="false">$G1280*'Analyse capacite'!$F$7</f>
        <v>0</v>
      </c>
      <c r="I1280" s="135" t="n">
        <f aca="false">$G1280*'Analyse capacite'!$C$7</f>
        <v>0</v>
      </c>
      <c r="J1280" s="135" t="n">
        <f aca="false">$G1280*'Analyse capacite'!$D$7</f>
        <v>0</v>
      </c>
      <c r="K1280" s="135" t="n">
        <f aca="false">$G1280*'Analyse capacite'!$E$7</f>
        <v>0</v>
      </c>
    </row>
    <row r="1281" customFormat="false" ht="15" hidden="false" customHeight="false" outlineLevel="0" collapsed="false">
      <c r="B1281" s="130" t="n">
        <v>2027</v>
      </c>
      <c r="C1281" s="131" t="s">
        <v>247</v>
      </c>
      <c r="D1281" s="132" t="n">
        <v>46513</v>
      </c>
      <c r="E1281" s="131" t="s">
        <v>14</v>
      </c>
      <c r="F1281" s="133" t="s">
        <v>19</v>
      </c>
      <c r="G1281" s="134" t="n">
        <f aca="false">LEN('Saisie programme'!$G$68)+SUMIFS('Vols additionnels'!$E$7:$E$66,'Vols additionnels'!$C$7:$C$66,$E1281,'Vols additionnels'!$D$7:$D$66,$F1281,'Vols additionnels'!$B$7:$B$66,$D1281)</f>
        <v>0</v>
      </c>
      <c r="H1281" s="135" t="n">
        <f aca="false">$G1281*'Analyse capacite'!$F$8</f>
        <v>0</v>
      </c>
      <c r="I1281" s="135" t="n">
        <f aca="false">$G1281*'Analyse capacite'!$C$8</f>
        <v>0</v>
      </c>
      <c r="J1281" s="135" t="n">
        <f aca="false">$G1281*'Analyse capacite'!$D$8</f>
        <v>0</v>
      </c>
      <c r="K1281" s="135" t="n">
        <f aca="false">$G1281*'Analyse capacite'!$E$8</f>
        <v>0</v>
      </c>
    </row>
    <row r="1282" customFormat="false" ht="15" hidden="false" customHeight="false" outlineLevel="0" collapsed="false">
      <c r="B1282" s="130" t="n">
        <v>2027</v>
      </c>
      <c r="C1282" s="131" t="s">
        <v>247</v>
      </c>
      <c r="D1282" s="132" t="n">
        <v>46513</v>
      </c>
      <c r="E1282" s="131" t="s">
        <v>14</v>
      </c>
      <c r="F1282" s="133" t="s">
        <v>24</v>
      </c>
      <c r="G1282" s="134" t="n">
        <f aca="false">LEN('Saisie programme'!$G$69)+SUMIFS('Vols additionnels'!$E$7:$E$66,'Vols additionnels'!$C$7:$C$66,$E1282,'Vols additionnels'!$D$7:$D$66,$F1282,'Vols additionnels'!$B$7:$B$66,$D1282)</f>
        <v>1</v>
      </c>
      <c r="H1282" s="135" t="n">
        <f aca="false">$G1282*'Analyse capacite'!$F$9</f>
        <v>174</v>
      </c>
      <c r="I1282" s="135" t="n">
        <f aca="false">$G1282*'Analyse capacite'!$C$9</f>
        <v>0</v>
      </c>
      <c r="J1282" s="135" t="n">
        <f aca="false">$G1282*'Analyse capacite'!$D$9</f>
        <v>12</v>
      </c>
      <c r="K1282" s="135" t="n">
        <f aca="false">$G1282*'Analyse capacite'!$E$9</f>
        <v>162</v>
      </c>
    </row>
    <row r="1283" customFormat="false" ht="15" hidden="false" customHeight="false" outlineLevel="0" collapsed="false">
      <c r="B1283" s="130" t="n">
        <v>2027</v>
      </c>
      <c r="C1283" s="131" t="s">
        <v>247</v>
      </c>
      <c r="D1283" s="132" t="n">
        <v>46513</v>
      </c>
      <c r="E1283" s="131" t="s">
        <v>46</v>
      </c>
      <c r="F1283" s="133" t="s">
        <v>11</v>
      </c>
      <c r="G1283" s="134" t="n">
        <f aca="false">LEN('Saisie programme'!$G$70)+SUMIFS('Vols additionnels'!$E$7:$E$66,'Vols additionnels'!$C$7:$C$66,$E1283,'Vols additionnels'!$D$7:$D$66,$F1283,'Vols additionnels'!$B$7:$B$66,$D1283)</f>
        <v>0</v>
      </c>
      <c r="H1283" s="135" t="n">
        <f aca="false">$G1283*'Analyse capacite'!$F$7</f>
        <v>0</v>
      </c>
      <c r="I1283" s="135" t="n">
        <f aca="false">$G1283*'Analyse capacite'!$C$7</f>
        <v>0</v>
      </c>
      <c r="J1283" s="135" t="n">
        <f aca="false">$G1283*'Analyse capacite'!$D$7</f>
        <v>0</v>
      </c>
      <c r="K1283" s="135" t="n">
        <f aca="false">$G1283*'Analyse capacite'!$E$7</f>
        <v>0</v>
      </c>
    </row>
    <row r="1284" customFormat="false" ht="15" hidden="false" customHeight="false" outlineLevel="0" collapsed="false">
      <c r="B1284" s="130" t="n">
        <v>2027</v>
      </c>
      <c r="C1284" s="131" t="s">
        <v>247</v>
      </c>
      <c r="D1284" s="132" t="n">
        <v>46513</v>
      </c>
      <c r="E1284" s="131" t="s">
        <v>46</v>
      </c>
      <c r="F1284" s="133" t="s">
        <v>19</v>
      </c>
      <c r="G1284" s="134" t="n">
        <f aca="false">LEN('Saisie programme'!$G$71)+SUMIFS('Vols additionnels'!$E$7:$E$66,'Vols additionnels'!$C$7:$C$66,$E1284,'Vols additionnels'!$D$7:$D$66,$F1284,'Vols additionnels'!$B$7:$B$66,$D1284)</f>
        <v>0</v>
      </c>
      <c r="H1284" s="135" t="n">
        <f aca="false">$G1284*'Analyse capacite'!$F$8</f>
        <v>0</v>
      </c>
      <c r="I1284" s="135" t="n">
        <f aca="false">$G1284*'Analyse capacite'!$C$8</f>
        <v>0</v>
      </c>
      <c r="J1284" s="135" t="n">
        <f aca="false">$G1284*'Analyse capacite'!$D$8</f>
        <v>0</v>
      </c>
      <c r="K1284" s="135" t="n">
        <f aca="false">$G1284*'Analyse capacite'!$E$8</f>
        <v>0</v>
      </c>
    </row>
    <row r="1285" customFormat="false" ht="15" hidden="false" customHeight="false" outlineLevel="0" collapsed="false">
      <c r="B1285" s="130" t="n">
        <v>2027</v>
      </c>
      <c r="C1285" s="131" t="s">
        <v>247</v>
      </c>
      <c r="D1285" s="132" t="n">
        <v>46513</v>
      </c>
      <c r="E1285" s="131" t="s">
        <v>46</v>
      </c>
      <c r="F1285" s="133" t="s">
        <v>24</v>
      </c>
      <c r="G1285" s="134" t="n">
        <f aca="false">LEN('Saisie programme'!$G$72)+SUMIFS('Vols additionnels'!$E$7:$E$66,'Vols additionnels'!$C$7:$C$66,$E1285,'Vols additionnels'!$D$7:$D$66,$F1285,'Vols additionnels'!$B$7:$B$66,$D1285)</f>
        <v>1</v>
      </c>
      <c r="H1285" s="135" t="n">
        <f aca="false">$G1285*'Analyse capacite'!$F$9</f>
        <v>174</v>
      </c>
      <c r="I1285" s="135" t="n">
        <f aca="false">$G1285*'Analyse capacite'!$C$9</f>
        <v>0</v>
      </c>
      <c r="J1285" s="135" t="n">
        <f aca="false">$G1285*'Analyse capacite'!$D$9</f>
        <v>12</v>
      </c>
      <c r="K1285" s="135" t="n">
        <f aca="false">$G1285*'Analyse capacite'!$E$9</f>
        <v>162</v>
      </c>
    </row>
    <row r="1286" customFormat="false" ht="15" hidden="false" customHeight="false" outlineLevel="0" collapsed="false">
      <c r="B1286" s="130" t="n">
        <v>2027</v>
      </c>
      <c r="C1286" s="131" t="s">
        <v>247</v>
      </c>
      <c r="D1286" s="132" t="n">
        <v>46513</v>
      </c>
      <c r="E1286" s="131" t="s">
        <v>49</v>
      </c>
      <c r="F1286" s="133" t="s">
        <v>11</v>
      </c>
      <c r="G1286" s="134" t="n">
        <f aca="false">LEN('Saisie programme'!$G$73)+SUMIFS('Vols additionnels'!$E$7:$E$66,'Vols additionnels'!$C$7:$C$66,$E1286,'Vols additionnels'!$D$7:$D$66,$F1286,'Vols additionnels'!$B$7:$B$66,$D1286)</f>
        <v>0</v>
      </c>
      <c r="H1286" s="135" t="n">
        <f aca="false">$G1286*'Analyse capacite'!$F$7</f>
        <v>0</v>
      </c>
      <c r="I1286" s="135" t="n">
        <f aca="false">$G1286*'Analyse capacite'!$C$7</f>
        <v>0</v>
      </c>
      <c r="J1286" s="135" t="n">
        <f aca="false">$G1286*'Analyse capacite'!$D$7</f>
        <v>0</v>
      </c>
      <c r="K1286" s="135" t="n">
        <f aca="false">$G1286*'Analyse capacite'!$E$7</f>
        <v>0</v>
      </c>
    </row>
    <row r="1287" customFormat="false" ht="15" hidden="false" customHeight="false" outlineLevel="0" collapsed="false">
      <c r="B1287" s="130" t="n">
        <v>2027</v>
      </c>
      <c r="C1287" s="131" t="s">
        <v>247</v>
      </c>
      <c r="D1287" s="132" t="n">
        <v>46513</v>
      </c>
      <c r="E1287" s="131" t="s">
        <v>49</v>
      </c>
      <c r="F1287" s="133" t="s">
        <v>19</v>
      </c>
      <c r="G1287" s="134" t="n">
        <f aca="false">LEN('Saisie programme'!$G$74)+SUMIFS('Vols additionnels'!$E$7:$E$66,'Vols additionnels'!$C$7:$C$66,$E1287,'Vols additionnels'!$D$7:$D$66,$F1287,'Vols additionnels'!$B$7:$B$66,$D1287)</f>
        <v>0</v>
      </c>
      <c r="H1287" s="135" t="n">
        <f aca="false">$G1287*'Analyse capacite'!$F$8</f>
        <v>0</v>
      </c>
      <c r="I1287" s="135" t="n">
        <f aca="false">$G1287*'Analyse capacite'!$C$8</f>
        <v>0</v>
      </c>
      <c r="J1287" s="135" t="n">
        <f aca="false">$G1287*'Analyse capacite'!$D$8</f>
        <v>0</v>
      </c>
      <c r="K1287" s="135" t="n">
        <f aca="false">$G1287*'Analyse capacite'!$E$8</f>
        <v>0</v>
      </c>
    </row>
    <row r="1288" customFormat="false" ht="15" hidden="false" customHeight="false" outlineLevel="0" collapsed="false">
      <c r="B1288" s="130" t="n">
        <v>2027</v>
      </c>
      <c r="C1288" s="131" t="s">
        <v>247</v>
      </c>
      <c r="D1288" s="132" t="n">
        <v>46513</v>
      </c>
      <c r="E1288" s="131" t="s">
        <v>49</v>
      </c>
      <c r="F1288" s="133" t="s">
        <v>24</v>
      </c>
      <c r="G1288" s="134" t="n">
        <f aca="false">LEN('Saisie programme'!$G$75)+SUMIFS('Vols additionnels'!$E$7:$E$66,'Vols additionnels'!$C$7:$C$66,$E1288,'Vols additionnels'!$D$7:$D$66,$F1288,'Vols additionnels'!$B$7:$B$66,$D1288)</f>
        <v>0</v>
      </c>
      <c r="H1288" s="135" t="n">
        <f aca="false">$G1288*'Analyse capacite'!$F$9</f>
        <v>0</v>
      </c>
      <c r="I1288" s="135" t="n">
        <f aca="false">$G1288*'Analyse capacite'!$C$9</f>
        <v>0</v>
      </c>
      <c r="J1288" s="135" t="n">
        <f aca="false">$G1288*'Analyse capacite'!$D$9</f>
        <v>0</v>
      </c>
      <c r="K1288" s="135" t="n">
        <f aca="false">$G1288*'Analyse capacite'!$E$9</f>
        <v>0</v>
      </c>
    </row>
    <row r="1289" customFormat="false" ht="15" hidden="false" customHeight="false" outlineLevel="0" collapsed="false">
      <c r="B1289" s="130" t="n">
        <v>2027</v>
      </c>
      <c r="C1289" s="131" t="s">
        <v>247</v>
      </c>
      <c r="D1289" s="132" t="n">
        <v>46513</v>
      </c>
      <c r="E1289" s="131" t="s">
        <v>53</v>
      </c>
      <c r="F1289" s="133" t="s">
        <v>11</v>
      </c>
      <c r="G1289" s="134" t="n">
        <f aca="false">LEN('Saisie programme'!$G$76)+SUMIFS('Vols additionnels'!$E$7:$E$66,'Vols additionnels'!$C$7:$C$66,$E1289,'Vols additionnels'!$D$7:$D$66,$F1289,'Vols additionnels'!$B$7:$B$66,$D1289)</f>
        <v>0</v>
      </c>
      <c r="H1289" s="135" t="n">
        <f aca="false">$G1289*'Analyse capacite'!$F$7</f>
        <v>0</v>
      </c>
      <c r="I1289" s="135" t="n">
        <f aca="false">$G1289*'Analyse capacite'!$C$7</f>
        <v>0</v>
      </c>
      <c r="J1289" s="135" t="n">
        <f aca="false">$G1289*'Analyse capacite'!$D$7</f>
        <v>0</v>
      </c>
      <c r="K1289" s="135" t="n">
        <f aca="false">$G1289*'Analyse capacite'!$E$7</f>
        <v>0</v>
      </c>
    </row>
    <row r="1290" customFormat="false" ht="15" hidden="false" customHeight="false" outlineLevel="0" collapsed="false">
      <c r="B1290" s="130" t="n">
        <v>2027</v>
      </c>
      <c r="C1290" s="131" t="s">
        <v>247</v>
      </c>
      <c r="D1290" s="132" t="n">
        <v>46513</v>
      </c>
      <c r="E1290" s="131" t="s">
        <v>53</v>
      </c>
      <c r="F1290" s="133" t="s">
        <v>19</v>
      </c>
      <c r="G1290" s="134" t="n">
        <f aca="false">LEN('Saisie programme'!$G$77)+SUMIFS('Vols additionnels'!$E$7:$E$66,'Vols additionnels'!$C$7:$C$66,$E1290,'Vols additionnels'!$D$7:$D$66,$F1290,'Vols additionnels'!$B$7:$B$66,$D1290)</f>
        <v>1</v>
      </c>
      <c r="H1290" s="135" t="n">
        <f aca="false">$G1290*'Analyse capacite'!$F$8</f>
        <v>262</v>
      </c>
      <c r="I1290" s="135" t="n">
        <f aca="false">$G1290*'Analyse capacite'!$C$8</f>
        <v>18</v>
      </c>
      <c r="J1290" s="135" t="n">
        <f aca="false">$G1290*'Analyse capacite'!$D$8</f>
        <v>0</v>
      </c>
      <c r="K1290" s="135" t="n">
        <f aca="false">$G1290*'Analyse capacite'!$E$8</f>
        <v>244</v>
      </c>
    </row>
    <row r="1291" customFormat="false" ht="15" hidden="false" customHeight="false" outlineLevel="0" collapsed="false">
      <c r="B1291" s="130" t="n">
        <v>2027</v>
      </c>
      <c r="C1291" s="131" t="s">
        <v>247</v>
      </c>
      <c r="D1291" s="132" t="n">
        <v>46513</v>
      </c>
      <c r="E1291" s="131" t="s">
        <v>53</v>
      </c>
      <c r="F1291" s="133" t="s">
        <v>24</v>
      </c>
      <c r="G1291" s="134" t="n">
        <f aca="false">LEN('Saisie programme'!$G$78)+SUMIFS('Vols additionnels'!$E$7:$E$66,'Vols additionnels'!$C$7:$C$66,$E1291,'Vols additionnels'!$D$7:$D$66,$F1291,'Vols additionnels'!$B$7:$B$66,$D1291)</f>
        <v>0</v>
      </c>
      <c r="H1291" s="135" t="n">
        <f aca="false">$G1291*'Analyse capacite'!$F$9</f>
        <v>0</v>
      </c>
      <c r="I1291" s="135" t="n">
        <f aca="false">$G1291*'Analyse capacite'!$C$9</f>
        <v>0</v>
      </c>
      <c r="J1291" s="135" t="n">
        <f aca="false">$G1291*'Analyse capacite'!$D$9</f>
        <v>0</v>
      </c>
      <c r="K1291" s="135" t="n">
        <f aca="false">$G1291*'Analyse capacite'!$E$9</f>
        <v>0</v>
      </c>
    </row>
    <row r="1292" customFormat="false" ht="15" hidden="false" customHeight="false" outlineLevel="0" collapsed="false">
      <c r="B1292" s="130" t="n">
        <v>2027</v>
      </c>
      <c r="C1292" s="131" t="s">
        <v>247</v>
      </c>
      <c r="D1292" s="132" t="n">
        <v>46513</v>
      </c>
      <c r="E1292" s="131" t="s">
        <v>56</v>
      </c>
      <c r="F1292" s="133" t="s">
        <v>11</v>
      </c>
      <c r="G1292" s="134" t="n">
        <f aca="false">LEN('Saisie programme'!$G$79)+SUMIFS('Vols additionnels'!$E$7:$E$66,'Vols additionnels'!$C$7:$C$66,$E1292,'Vols additionnels'!$D$7:$D$66,$F1292,'Vols additionnels'!$B$7:$B$66,$D1292)</f>
        <v>0</v>
      </c>
      <c r="H1292" s="135" t="n">
        <f aca="false">$G1292*'Analyse capacite'!$F$7</f>
        <v>0</v>
      </c>
      <c r="I1292" s="135" t="n">
        <f aca="false">$G1292*'Analyse capacite'!$C$7</f>
        <v>0</v>
      </c>
      <c r="J1292" s="135" t="n">
        <f aca="false">$G1292*'Analyse capacite'!$D$7</f>
        <v>0</v>
      </c>
      <c r="K1292" s="135" t="n">
        <f aca="false">$G1292*'Analyse capacite'!$E$7</f>
        <v>0</v>
      </c>
    </row>
    <row r="1293" customFormat="false" ht="15" hidden="false" customHeight="false" outlineLevel="0" collapsed="false">
      <c r="B1293" s="130" t="n">
        <v>2027</v>
      </c>
      <c r="C1293" s="131" t="s">
        <v>247</v>
      </c>
      <c r="D1293" s="132" t="n">
        <v>46513</v>
      </c>
      <c r="E1293" s="131" t="s">
        <v>56</v>
      </c>
      <c r="F1293" s="133" t="s">
        <v>19</v>
      </c>
      <c r="G1293" s="134" t="n">
        <f aca="false">LEN('Saisie programme'!$G$80)+SUMIFS('Vols additionnels'!$E$7:$E$66,'Vols additionnels'!$C$7:$C$66,$E1293,'Vols additionnels'!$D$7:$D$66,$F1293,'Vols additionnels'!$B$7:$B$66,$D1293)</f>
        <v>0</v>
      </c>
      <c r="H1293" s="135" t="n">
        <f aca="false">$G1293*'Analyse capacite'!$F$8</f>
        <v>0</v>
      </c>
      <c r="I1293" s="135" t="n">
        <f aca="false">$G1293*'Analyse capacite'!$C$8</f>
        <v>0</v>
      </c>
      <c r="J1293" s="135" t="n">
        <f aca="false">$G1293*'Analyse capacite'!$D$8</f>
        <v>0</v>
      </c>
      <c r="K1293" s="135" t="n">
        <f aca="false">$G1293*'Analyse capacite'!$E$8</f>
        <v>0</v>
      </c>
    </row>
    <row r="1294" customFormat="false" ht="15" hidden="false" customHeight="false" outlineLevel="0" collapsed="false">
      <c r="B1294" s="130" t="n">
        <v>2027</v>
      </c>
      <c r="C1294" s="131" t="s">
        <v>247</v>
      </c>
      <c r="D1294" s="132" t="n">
        <v>46513</v>
      </c>
      <c r="E1294" s="131" t="s">
        <v>56</v>
      </c>
      <c r="F1294" s="133" t="s">
        <v>24</v>
      </c>
      <c r="G1294" s="134" t="n">
        <f aca="false">LEN('Saisie programme'!$G$81)+SUMIFS('Vols additionnels'!$E$7:$E$66,'Vols additionnels'!$C$7:$C$66,$E1294,'Vols additionnels'!$D$7:$D$66,$F1294,'Vols additionnels'!$B$7:$B$66,$D1294)</f>
        <v>0</v>
      </c>
      <c r="H1294" s="135" t="n">
        <f aca="false">$G1294*'Analyse capacite'!$F$9</f>
        <v>0</v>
      </c>
      <c r="I1294" s="135" t="n">
        <f aca="false">$G1294*'Analyse capacite'!$C$9</f>
        <v>0</v>
      </c>
      <c r="J1294" s="135" t="n">
        <f aca="false">$G1294*'Analyse capacite'!$D$9</f>
        <v>0</v>
      </c>
      <c r="K1294" s="135" t="n">
        <f aca="false">$G1294*'Analyse capacite'!$E$9</f>
        <v>0</v>
      </c>
    </row>
    <row r="1295" customFormat="false" ht="15" hidden="false" customHeight="false" outlineLevel="0" collapsed="false">
      <c r="B1295" s="130" t="n">
        <v>2027</v>
      </c>
      <c r="C1295" s="131" t="s">
        <v>247</v>
      </c>
      <c r="D1295" s="132" t="n">
        <v>46513</v>
      </c>
      <c r="E1295" s="131" t="s">
        <v>59</v>
      </c>
      <c r="F1295" s="133" t="s">
        <v>11</v>
      </c>
      <c r="G1295" s="134" t="n">
        <f aca="false">LEN('Saisie programme'!$G$82)+SUMIFS('Vols additionnels'!$E$7:$E$66,'Vols additionnels'!$C$7:$C$66,$E1295,'Vols additionnels'!$D$7:$D$66,$F1295,'Vols additionnels'!$B$7:$B$66,$D1295)</f>
        <v>0</v>
      </c>
      <c r="H1295" s="135" t="n">
        <f aca="false">$G1295*'Analyse capacite'!$F$7</f>
        <v>0</v>
      </c>
      <c r="I1295" s="135" t="n">
        <f aca="false">$G1295*'Analyse capacite'!$C$7</f>
        <v>0</v>
      </c>
      <c r="J1295" s="135" t="n">
        <f aca="false">$G1295*'Analyse capacite'!$D$7</f>
        <v>0</v>
      </c>
      <c r="K1295" s="135" t="n">
        <f aca="false">$G1295*'Analyse capacite'!$E$7</f>
        <v>0</v>
      </c>
    </row>
    <row r="1296" customFormat="false" ht="15" hidden="false" customHeight="false" outlineLevel="0" collapsed="false">
      <c r="B1296" s="130" t="n">
        <v>2027</v>
      </c>
      <c r="C1296" s="131" t="s">
        <v>247</v>
      </c>
      <c r="D1296" s="132" t="n">
        <v>46513</v>
      </c>
      <c r="E1296" s="131" t="s">
        <v>59</v>
      </c>
      <c r="F1296" s="133" t="s">
        <v>19</v>
      </c>
      <c r="G1296" s="134" t="n">
        <f aca="false">LEN('Saisie programme'!$G$83)+SUMIFS('Vols additionnels'!$E$7:$E$66,'Vols additionnels'!$C$7:$C$66,$E1296,'Vols additionnels'!$D$7:$D$66,$F1296,'Vols additionnels'!$B$7:$B$66,$D1296)</f>
        <v>0</v>
      </c>
      <c r="H1296" s="135" t="n">
        <f aca="false">$G1296*'Analyse capacite'!$F$8</f>
        <v>0</v>
      </c>
      <c r="I1296" s="135" t="n">
        <f aca="false">$G1296*'Analyse capacite'!$C$8</f>
        <v>0</v>
      </c>
      <c r="J1296" s="135" t="n">
        <f aca="false">$G1296*'Analyse capacite'!$D$8</f>
        <v>0</v>
      </c>
      <c r="K1296" s="135" t="n">
        <f aca="false">$G1296*'Analyse capacite'!$E$8</f>
        <v>0</v>
      </c>
    </row>
    <row r="1297" customFormat="false" ht="15" hidden="false" customHeight="false" outlineLevel="0" collapsed="false">
      <c r="B1297" s="130" t="n">
        <v>2027</v>
      </c>
      <c r="C1297" s="131" t="s">
        <v>247</v>
      </c>
      <c r="D1297" s="132" t="n">
        <v>46513</v>
      </c>
      <c r="E1297" s="131" t="s">
        <v>59</v>
      </c>
      <c r="F1297" s="133" t="s">
        <v>24</v>
      </c>
      <c r="G1297" s="134" t="n">
        <f aca="false">LEN('Saisie programme'!$G$84)+SUMIFS('Vols additionnels'!$E$7:$E$66,'Vols additionnels'!$C$7:$C$66,$E1297,'Vols additionnels'!$D$7:$D$66,$F1297,'Vols additionnels'!$B$7:$B$66,$D1297)</f>
        <v>2</v>
      </c>
      <c r="H1297" s="135" t="n">
        <f aca="false">$G1297*'Analyse capacite'!$F$9</f>
        <v>348</v>
      </c>
      <c r="I1297" s="135" t="n">
        <f aca="false">$G1297*'Analyse capacite'!$C$9</f>
        <v>0</v>
      </c>
      <c r="J1297" s="135" t="n">
        <f aca="false">$G1297*'Analyse capacite'!$D$9</f>
        <v>24</v>
      </c>
      <c r="K1297" s="135" t="n">
        <f aca="false">$G1297*'Analyse capacite'!$E$9</f>
        <v>324</v>
      </c>
    </row>
    <row r="1298" customFormat="false" ht="15" hidden="false" customHeight="false" outlineLevel="0" collapsed="false">
      <c r="B1298" s="130" t="n">
        <v>2027</v>
      </c>
      <c r="C1298" s="131" t="s">
        <v>247</v>
      </c>
      <c r="D1298" s="132" t="n">
        <v>46513</v>
      </c>
      <c r="E1298" s="131" t="s">
        <v>62</v>
      </c>
      <c r="F1298" s="133" t="s">
        <v>11</v>
      </c>
      <c r="G1298" s="134" t="n">
        <f aca="false">LEN('Saisie programme'!$G$85)+SUMIFS('Vols additionnels'!$E$7:$E$66,'Vols additionnels'!$C$7:$C$66,$E1298,'Vols additionnels'!$D$7:$D$66,$F1298,'Vols additionnels'!$B$7:$B$66,$D1298)</f>
        <v>0</v>
      </c>
      <c r="H1298" s="135" t="n">
        <f aca="false">$G1298*'Analyse capacite'!$F$7</f>
        <v>0</v>
      </c>
      <c r="I1298" s="135" t="n">
        <f aca="false">$G1298*'Analyse capacite'!$C$7</f>
        <v>0</v>
      </c>
      <c r="J1298" s="135" t="n">
        <f aca="false">$G1298*'Analyse capacite'!$D$7</f>
        <v>0</v>
      </c>
      <c r="K1298" s="135" t="n">
        <f aca="false">$G1298*'Analyse capacite'!$E$7</f>
        <v>0</v>
      </c>
    </row>
    <row r="1299" customFormat="false" ht="15" hidden="false" customHeight="false" outlineLevel="0" collapsed="false">
      <c r="B1299" s="130" t="n">
        <v>2027</v>
      </c>
      <c r="C1299" s="131" t="s">
        <v>247</v>
      </c>
      <c r="D1299" s="132" t="n">
        <v>46513</v>
      </c>
      <c r="E1299" s="131" t="s">
        <v>62</v>
      </c>
      <c r="F1299" s="133" t="s">
        <v>19</v>
      </c>
      <c r="G1299" s="134" t="n">
        <f aca="false">LEN('Saisie programme'!$G$86)+SUMIFS('Vols additionnels'!$E$7:$E$66,'Vols additionnels'!$C$7:$C$66,$E1299,'Vols additionnels'!$D$7:$D$66,$F1299,'Vols additionnels'!$B$7:$B$66,$D1299)</f>
        <v>0</v>
      </c>
      <c r="H1299" s="135" t="n">
        <f aca="false">$G1299*'Analyse capacite'!$F$8</f>
        <v>0</v>
      </c>
      <c r="I1299" s="135" t="n">
        <f aca="false">$G1299*'Analyse capacite'!$C$8</f>
        <v>0</v>
      </c>
      <c r="J1299" s="135" t="n">
        <f aca="false">$G1299*'Analyse capacite'!$D$8</f>
        <v>0</v>
      </c>
      <c r="K1299" s="135" t="n">
        <f aca="false">$G1299*'Analyse capacite'!$E$8</f>
        <v>0</v>
      </c>
    </row>
    <row r="1300" customFormat="false" ht="15" hidden="false" customHeight="false" outlineLevel="0" collapsed="false">
      <c r="B1300" s="130" t="n">
        <v>2027</v>
      </c>
      <c r="C1300" s="131" t="s">
        <v>247</v>
      </c>
      <c r="D1300" s="132" t="n">
        <v>46513</v>
      </c>
      <c r="E1300" s="131" t="s">
        <v>62</v>
      </c>
      <c r="F1300" s="133" t="s">
        <v>24</v>
      </c>
      <c r="G1300" s="134" t="n">
        <f aca="false">LEN('Saisie programme'!$G$87)+SUMIFS('Vols additionnels'!$E$7:$E$66,'Vols additionnels'!$C$7:$C$66,$E1300,'Vols additionnels'!$D$7:$D$66,$F1300,'Vols additionnels'!$B$7:$B$66,$D1300)</f>
        <v>0</v>
      </c>
      <c r="H1300" s="135" t="n">
        <f aca="false">$G1300*'Analyse capacite'!$F$9</f>
        <v>0</v>
      </c>
      <c r="I1300" s="135" t="n">
        <f aca="false">$G1300*'Analyse capacite'!$C$9</f>
        <v>0</v>
      </c>
      <c r="J1300" s="135" t="n">
        <f aca="false">$G1300*'Analyse capacite'!$D$9</f>
        <v>0</v>
      </c>
      <c r="K1300" s="135" t="n">
        <f aca="false">$G1300*'Analyse capacite'!$E$9</f>
        <v>0</v>
      </c>
    </row>
    <row r="1301" customFormat="false" ht="15" hidden="false" customHeight="false" outlineLevel="0" collapsed="false">
      <c r="B1301" s="130" t="n">
        <v>2027</v>
      </c>
      <c r="C1301" s="131" t="s">
        <v>247</v>
      </c>
      <c r="D1301" s="132" t="n">
        <v>46514</v>
      </c>
      <c r="E1301" s="131" t="s">
        <v>12</v>
      </c>
      <c r="F1301" s="133" t="s">
        <v>11</v>
      </c>
      <c r="G1301" s="134" t="n">
        <f aca="false">LEN('Saisie programme'!$H$52)+SUMIFS('Vols additionnels'!$E$7:$E$66,'Vols additionnels'!$C$7:$C$66,$E1301,'Vols additionnels'!$D$7:$D$66,$F1301,'Vols additionnels'!$B$7:$B$66,$D1301)</f>
        <v>1</v>
      </c>
      <c r="H1301" s="135" t="n">
        <f aca="false">$G1301*'Analyse capacite'!$F$7</f>
        <v>438</v>
      </c>
      <c r="I1301" s="135" t="n">
        <f aca="false">$G1301*'Analyse capacite'!$C$7</f>
        <v>14</v>
      </c>
      <c r="J1301" s="135" t="n">
        <f aca="false">$G1301*'Analyse capacite'!$D$7</f>
        <v>40</v>
      </c>
      <c r="K1301" s="135" t="n">
        <f aca="false">$G1301*'Analyse capacite'!$E$7</f>
        <v>384</v>
      </c>
    </row>
    <row r="1302" customFormat="false" ht="15" hidden="false" customHeight="false" outlineLevel="0" collapsed="false">
      <c r="B1302" s="130" t="n">
        <v>2027</v>
      </c>
      <c r="C1302" s="131" t="s">
        <v>247</v>
      </c>
      <c r="D1302" s="132" t="n">
        <v>46514</v>
      </c>
      <c r="E1302" s="131" t="s">
        <v>12</v>
      </c>
      <c r="F1302" s="133" t="s">
        <v>19</v>
      </c>
      <c r="G1302" s="134" t="n">
        <f aca="false">LEN('Saisie programme'!$H$53)+SUMIFS('Vols additionnels'!$E$7:$E$66,'Vols additionnels'!$C$7:$C$66,$E1302,'Vols additionnels'!$D$7:$D$66,$F1302,'Vols additionnels'!$B$7:$B$66,$D1302)</f>
        <v>1</v>
      </c>
      <c r="H1302" s="135" t="n">
        <f aca="false">$G1302*'Analyse capacite'!$F$8</f>
        <v>262</v>
      </c>
      <c r="I1302" s="135" t="n">
        <f aca="false">$G1302*'Analyse capacite'!$C$8</f>
        <v>18</v>
      </c>
      <c r="J1302" s="135" t="n">
        <f aca="false">$G1302*'Analyse capacite'!$D$8</f>
        <v>0</v>
      </c>
      <c r="K1302" s="135" t="n">
        <f aca="false">$G1302*'Analyse capacite'!$E$8</f>
        <v>244</v>
      </c>
    </row>
    <row r="1303" customFormat="false" ht="15" hidden="false" customHeight="false" outlineLevel="0" collapsed="false">
      <c r="B1303" s="130" t="n">
        <v>2027</v>
      </c>
      <c r="C1303" s="131" t="s">
        <v>247</v>
      </c>
      <c r="D1303" s="132" t="n">
        <v>46514</v>
      </c>
      <c r="E1303" s="131" t="s">
        <v>12</v>
      </c>
      <c r="F1303" s="133" t="s">
        <v>24</v>
      </c>
      <c r="G1303" s="134" t="n">
        <f aca="false">LEN('Saisie programme'!$H$54)+SUMIFS('Vols additionnels'!$E$7:$E$66,'Vols additionnels'!$C$7:$C$66,$E1303,'Vols additionnels'!$D$7:$D$66,$F1303,'Vols additionnels'!$B$7:$B$66,$D1303)</f>
        <v>0</v>
      </c>
      <c r="H1303" s="135" t="n">
        <f aca="false">$G1303*'Analyse capacite'!$F$9</f>
        <v>0</v>
      </c>
      <c r="I1303" s="135" t="n">
        <f aca="false">$G1303*'Analyse capacite'!$C$9</f>
        <v>0</v>
      </c>
      <c r="J1303" s="135" t="n">
        <f aca="false">$G1303*'Analyse capacite'!$D$9</f>
        <v>0</v>
      </c>
      <c r="K1303" s="135" t="n">
        <f aca="false">$G1303*'Analyse capacite'!$E$9</f>
        <v>0</v>
      </c>
    </row>
    <row r="1304" customFormat="false" ht="15" hidden="false" customHeight="false" outlineLevel="0" collapsed="false">
      <c r="B1304" s="130" t="n">
        <v>2027</v>
      </c>
      <c r="C1304" s="131" t="s">
        <v>247</v>
      </c>
      <c r="D1304" s="132" t="n">
        <v>46514</v>
      </c>
      <c r="E1304" s="131" t="s">
        <v>20</v>
      </c>
      <c r="F1304" s="133" t="s">
        <v>11</v>
      </c>
      <c r="G1304" s="134" t="n">
        <f aca="false">LEN('Saisie programme'!$H$55)+SUMIFS('Vols additionnels'!$E$7:$E$66,'Vols additionnels'!$C$7:$C$66,$E1304,'Vols additionnels'!$D$7:$D$66,$F1304,'Vols additionnels'!$B$7:$B$66,$D1304)</f>
        <v>0</v>
      </c>
      <c r="H1304" s="135" t="n">
        <f aca="false">$G1304*'Analyse capacite'!$F$7</f>
        <v>0</v>
      </c>
      <c r="I1304" s="135" t="n">
        <f aca="false">$G1304*'Analyse capacite'!$C$7</f>
        <v>0</v>
      </c>
      <c r="J1304" s="135" t="n">
        <f aca="false">$G1304*'Analyse capacite'!$D$7</f>
        <v>0</v>
      </c>
      <c r="K1304" s="135" t="n">
        <f aca="false">$G1304*'Analyse capacite'!$E$7</f>
        <v>0</v>
      </c>
    </row>
    <row r="1305" customFormat="false" ht="15" hidden="false" customHeight="false" outlineLevel="0" collapsed="false">
      <c r="B1305" s="130" t="n">
        <v>2027</v>
      </c>
      <c r="C1305" s="131" t="s">
        <v>247</v>
      </c>
      <c r="D1305" s="132" t="n">
        <v>46514</v>
      </c>
      <c r="E1305" s="131" t="s">
        <v>20</v>
      </c>
      <c r="F1305" s="133" t="s">
        <v>19</v>
      </c>
      <c r="G1305" s="134" t="n">
        <f aca="false">LEN('Saisie programme'!$H$56)+SUMIFS('Vols additionnels'!$E$7:$E$66,'Vols additionnels'!$C$7:$C$66,$E1305,'Vols additionnels'!$D$7:$D$66,$F1305,'Vols additionnels'!$B$7:$B$66,$D1305)</f>
        <v>1</v>
      </c>
      <c r="H1305" s="135" t="n">
        <f aca="false">$G1305*'Analyse capacite'!$F$8</f>
        <v>262</v>
      </c>
      <c r="I1305" s="135" t="n">
        <f aca="false">$G1305*'Analyse capacite'!$C$8</f>
        <v>18</v>
      </c>
      <c r="J1305" s="135" t="n">
        <f aca="false">$G1305*'Analyse capacite'!$D$8</f>
        <v>0</v>
      </c>
      <c r="K1305" s="135" t="n">
        <f aca="false">$G1305*'Analyse capacite'!$E$8</f>
        <v>244</v>
      </c>
    </row>
    <row r="1306" customFormat="false" ht="15" hidden="false" customHeight="false" outlineLevel="0" collapsed="false">
      <c r="B1306" s="130" t="n">
        <v>2027</v>
      </c>
      <c r="C1306" s="131" t="s">
        <v>247</v>
      </c>
      <c r="D1306" s="132" t="n">
        <v>46514</v>
      </c>
      <c r="E1306" s="131" t="s">
        <v>20</v>
      </c>
      <c r="F1306" s="133" t="s">
        <v>24</v>
      </c>
      <c r="G1306" s="134" t="n">
        <f aca="false">LEN('Saisie programme'!$H$57)+SUMIFS('Vols additionnels'!$E$7:$E$66,'Vols additionnels'!$C$7:$C$66,$E1306,'Vols additionnels'!$D$7:$D$66,$F1306,'Vols additionnels'!$B$7:$B$66,$D1306)</f>
        <v>0</v>
      </c>
      <c r="H1306" s="135" t="n">
        <f aca="false">$G1306*'Analyse capacite'!$F$9</f>
        <v>0</v>
      </c>
      <c r="I1306" s="135" t="n">
        <f aca="false">$G1306*'Analyse capacite'!$C$9</f>
        <v>0</v>
      </c>
      <c r="J1306" s="135" t="n">
        <f aca="false">$G1306*'Analyse capacite'!$D$9</f>
        <v>0</v>
      </c>
      <c r="K1306" s="135" t="n">
        <f aca="false">$G1306*'Analyse capacite'!$E$9</f>
        <v>0</v>
      </c>
    </row>
    <row r="1307" customFormat="false" ht="15" hidden="false" customHeight="false" outlineLevel="0" collapsed="false">
      <c r="B1307" s="130" t="n">
        <v>2027</v>
      </c>
      <c r="C1307" s="131" t="s">
        <v>247</v>
      </c>
      <c r="D1307" s="132" t="n">
        <v>46514</v>
      </c>
      <c r="E1307" s="131" t="s">
        <v>25</v>
      </c>
      <c r="F1307" s="133" t="s">
        <v>11</v>
      </c>
      <c r="G1307" s="134" t="n">
        <f aca="false">LEN('Saisie programme'!$H$58)+SUMIFS('Vols additionnels'!$E$7:$E$66,'Vols additionnels'!$C$7:$C$66,$E1307,'Vols additionnels'!$D$7:$D$66,$F1307,'Vols additionnels'!$B$7:$B$66,$D1307)</f>
        <v>0</v>
      </c>
      <c r="H1307" s="135" t="n">
        <f aca="false">$G1307*'Analyse capacite'!$F$7</f>
        <v>0</v>
      </c>
      <c r="I1307" s="135" t="n">
        <f aca="false">$G1307*'Analyse capacite'!$C$7</f>
        <v>0</v>
      </c>
      <c r="J1307" s="135" t="n">
        <f aca="false">$G1307*'Analyse capacite'!$D$7</f>
        <v>0</v>
      </c>
      <c r="K1307" s="135" t="n">
        <f aca="false">$G1307*'Analyse capacite'!$E$7</f>
        <v>0</v>
      </c>
    </row>
    <row r="1308" customFormat="false" ht="15" hidden="false" customHeight="false" outlineLevel="0" collapsed="false">
      <c r="B1308" s="130" t="n">
        <v>2027</v>
      </c>
      <c r="C1308" s="131" t="s">
        <v>247</v>
      </c>
      <c r="D1308" s="132" t="n">
        <v>46514</v>
      </c>
      <c r="E1308" s="131" t="s">
        <v>25</v>
      </c>
      <c r="F1308" s="133" t="s">
        <v>19</v>
      </c>
      <c r="G1308" s="134" t="n">
        <f aca="false">LEN('Saisie programme'!$H$59)+SUMIFS('Vols additionnels'!$E$7:$E$66,'Vols additionnels'!$C$7:$C$66,$E1308,'Vols additionnels'!$D$7:$D$66,$F1308,'Vols additionnels'!$B$7:$B$66,$D1308)</f>
        <v>0</v>
      </c>
      <c r="H1308" s="135" t="n">
        <f aca="false">$G1308*'Analyse capacite'!$F$8</f>
        <v>0</v>
      </c>
      <c r="I1308" s="135" t="n">
        <f aca="false">$G1308*'Analyse capacite'!$C$8</f>
        <v>0</v>
      </c>
      <c r="J1308" s="135" t="n">
        <f aca="false">$G1308*'Analyse capacite'!$D$8</f>
        <v>0</v>
      </c>
      <c r="K1308" s="135" t="n">
        <f aca="false">$G1308*'Analyse capacite'!$E$8</f>
        <v>0</v>
      </c>
    </row>
    <row r="1309" customFormat="false" ht="15" hidden="false" customHeight="false" outlineLevel="0" collapsed="false">
      <c r="B1309" s="130" t="n">
        <v>2027</v>
      </c>
      <c r="C1309" s="131" t="s">
        <v>247</v>
      </c>
      <c r="D1309" s="132" t="n">
        <v>46514</v>
      </c>
      <c r="E1309" s="131" t="s">
        <v>25</v>
      </c>
      <c r="F1309" s="133" t="s">
        <v>24</v>
      </c>
      <c r="G1309" s="134" t="n">
        <f aca="false">LEN('Saisie programme'!$H$60)+SUMIFS('Vols additionnels'!$E$7:$E$66,'Vols additionnels'!$C$7:$C$66,$E1309,'Vols additionnels'!$D$7:$D$66,$F1309,'Vols additionnels'!$B$7:$B$66,$D1309)</f>
        <v>0</v>
      </c>
      <c r="H1309" s="135" t="n">
        <f aca="false">$G1309*'Analyse capacite'!$F$9</f>
        <v>0</v>
      </c>
      <c r="I1309" s="135" t="n">
        <f aca="false">$G1309*'Analyse capacite'!$C$9</f>
        <v>0</v>
      </c>
      <c r="J1309" s="135" t="n">
        <f aca="false">$G1309*'Analyse capacite'!$D$9</f>
        <v>0</v>
      </c>
      <c r="K1309" s="135" t="n">
        <f aca="false">$G1309*'Analyse capacite'!$E$9</f>
        <v>0</v>
      </c>
    </row>
    <row r="1310" customFormat="false" ht="15" hidden="false" customHeight="false" outlineLevel="0" collapsed="false">
      <c r="B1310" s="130" t="n">
        <v>2027</v>
      </c>
      <c r="C1310" s="131" t="s">
        <v>247</v>
      </c>
      <c r="D1310" s="132" t="n">
        <v>46514</v>
      </c>
      <c r="E1310" s="131" t="s">
        <v>36</v>
      </c>
      <c r="F1310" s="133" t="s">
        <v>11</v>
      </c>
      <c r="G1310" s="134" t="n">
        <f aca="false">LEN('Saisie programme'!$H$61)+SUMIFS('Vols additionnels'!$E$7:$E$66,'Vols additionnels'!$C$7:$C$66,$E1310,'Vols additionnels'!$D$7:$D$66,$F1310,'Vols additionnels'!$B$7:$B$66,$D1310)</f>
        <v>0</v>
      </c>
      <c r="H1310" s="135" t="n">
        <f aca="false">$G1310*'Analyse capacite'!$F$7</f>
        <v>0</v>
      </c>
      <c r="I1310" s="135" t="n">
        <f aca="false">$G1310*'Analyse capacite'!$C$7</f>
        <v>0</v>
      </c>
      <c r="J1310" s="135" t="n">
        <f aca="false">$G1310*'Analyse capacite'!$D$7</f>
        <v>0</v>
      </c>
      <c r="K1310" s="135" t="n">
        <f aca="false">$G1310*'Analyse capacite'!$E$7</f>
        <v>0</v>
      </c>
    </row>
    <row r="1311" customFormat="false" ht="15" hidden="false" customHeight="false" outlineLevel="0" collapsed="false">
      <c r="B1311" s="130" t="n">
        <v>2027</v>
      </c>
      <c r="C1311" s="131" t="s">
        <v>247</v>
      </c>
      <c r="D1311" s="132" t="n">
        <v>46514</v>
      </c>
      <c r="E1311" s="131" t="s">
        <v>36</v>
      </c>
      <c r="F1311" s="133" t="s">
        <v>19</v>
      </c>
      <c r="G1311" s="134" t="n">
        <f aca="false">LEN('Saisie programme'!$H$62)+SUMIFS('Vols additionnels'!$E$7:$E$66,'Vols additionnels'!$C$7:$C$66,$E1311,'Vols additionnels'!$D$7:$D$66,$F1311,'Vols additionnels'!$B$7:$B$66,$D1311)</f>
        <v>0</v>
      </c>
      <c r="H1311" s="135" t="n">
        <f aca="false">$G1311*'Analyse capacite'!$F$8</f>
        <v>0</v>
      </c>
      <c r="I1311" s="135" t="n">
        <f aca="false">$G1311*'Analyse capacite'!$C$8</f>
        <v>0</v>
      </c>
      <c r="J1311" s="135" t="n">
        <f aca="false">$G1311*'Analyse capacite'!$D$8</f>
        <v>0</v>
      </c>
      <c r="K1311" s="135" t="n">
        <f aca="false">$G1311*'Analyse capacite'!$E$8</f>
        <v>0</v>
      </c>
    </row>
    <row r="1312" customFormat="false" ht="15" hidden="false" customHeight="false" outlineLevel="0" collapsed="false">
      <c r="B1312" s="130" t="n">
        <v>2027</v>
      </c>
      <c r="C1312" s="131" t="s">
        <v>247</v>
      </c>
      <c r="D1312" s="132" t="n">
        <v>46514</v>
      </c>
      <c r="E1312" s="131" t="s">
        <v>36</v>
      </c>
      <c r="F1312" s="133" t="s">
        <v>24</v>
      </c>
      <c r="G1312" s="134" t="n">
        <f aca="false">LEN('Saisie programme'!$H$63)+SUMIFS('Vols additionnels'!$E$7:$E$66,'Vols additionnels'!$C$7:$C$66,$E1312,'Vols additionnels'!$D$7:$D$66,$F1312,'Vols additionnels'!$B$7:$B$66,$D1312)</f>
        <v>1</v>
      </c>
      <c r="H1312" s="135" t="n">
        <f aca="false">$G1312*'Analyse capacite'!$F$9</f>
        <v>174</v>
      </c>
      <c r="I1312" s="135" t="n">
        <f aca="false">$G1312*'Analyse capacite'!$C$9</f>
        <v>0</v>
      </c>
      <c r="J1312" s="135" t="n">
        <f aca="false">$G1312*'Analyse capacite'!$D$9</f>
        <v>12</v>
      </c>
      <c r="K1312" s="135" t="n">
        <f aca="false">$G1312*'Analyse capacite'!$E$9</f>
        <v>162</v>
      </c>
    </row>
    <row r="1313" customFormat="false" ht="15" hidden="false" customHeight="false" outlineLevel="0" collapsed="false">
      <c r="B1313" s="130" t="n">
        <v>2027</v>
      </c>
      <c r="C1313" s="131" t="s">
        <v>247</v>
      </c>
      <c r="D1313" s="132" t="n">
        <v>46514</v>
      </c>
      <c r="E1313" s="131" t="s">
        <v>40</v>
      </c>
      <c r="F1313" s="133" t="s">
        <v>11</v>
      </c>
      <c r="G1313" s="134" t="n">
        <f aca="false">LEN('Saisie programme'!$H$64)+SUMIFS('Vols additionnels'!$E$7:$E$66,'Vols additionnels'!$C$7:$C$66,$E1313,'Vols additionnels'!$D$7:$D$66,$F1313,'Vols additionnels'!$B$7:$B$66,$D1313)</f>
        <v>0</v>
      </c>
      <c r="H1313" s="135" t="n">
        <f aca="false">$G1313*'Analyse capacite'!$F$7</f>
        <v>0</v>
      </c>
      <c r="I1313" s="135" t="n">
        <f aca="false">$G1313*'Analyse capacite'!$C$7</f>
        <v>0</v>
      </c>
      <c r="J1313" s="135" t="n">
        <f aca="false">$G1313*'Analyse capacite'!$D$7</f>
        <v>0</v>
      </c>
      <c r="K1313" s="135" t="n">
        <f aca="false">$G1313*'Analyse capacite'!$E$7</f>
        <v>0</v>
      </c>
    </row>
    <row r="1314" customFormat="false" ht="15" hidden="false" customHeight="false" outlineLevel="0" collapsed="false">
      <c r="B1314" s="130" t="n">
        <v>2027</v>
      </c>
      <c r="C1314" s="131" t="s">
        <v>247</v>
      </c>
      <c r="D1314" s="132" t="n">
        <v>46514</v>
      </c>
      <c r="E1314" s="131" t="s">
        <v>40</v>
      </c>
      <c r="F1314" s="133" t="s">
        <v>19</v>
      </c>
      <c r="G1314" s="134" t="n">
        <f aca="false">LEN('Saisie programme'!$H$65)+SUMIFS('Vols additionnels'!$E$7:$E$66,'Vols additionnels'!$C$7:$C$66,$E1314,'Vols additionnels'!$D$7:$D$66,$F1314,'Vols additionnels'!$B$7:$B$66,$D1314)</f>
        <v>0</v>
      </c>
      <c r="H1314" s="135" t="n">
        <f aca="false">$G1314*'Analyse capacite'!$F$8</f>
        <v>0</v>
      </c>
      <c r="I1314" s="135" t="n">
        <f aca="false">$G1314*'Analyse capacite'!$C$8</f>
        <v>0</v>
      </c>
      <c r="J1314" s="135" t="n">
        <f aca="false">$G1314*'Analyse capacite'!$D$8</f>
        <v>0</v>
      </c>
      <c r="K1314" s="135" t="n">
        <f aca="false">$G1314*'Analyse capacite'!$E$8</f>
        <v>0</v>
      </c>
    </row>
    <row r="1315" customFormat="false" ht="15" hidden="false" customHeight="false" outlineLevel="0" collapsed="false">
      <c r="B1315" s="130" t="n">
        <v>2027</v>
      </c>
      <c r="C1315" s="131" t="s">
        <v>247</v>
      </c>
      <c r="D1315" s="132" t="n">
        <v>46514</v>
      </c>
      <c r="E1315" s="131" t="s">
        <v>40</v>
      </c>
      <c r="F1315" s="133" t="s">
        <v>24</v>
      </c>
      <c r="G1315" s="134" t="n">
        <f aca="false">LEN('Saisie programme'!$H$66)+SUMIFS('Vols additionnels'!$E$7:$E$66,'Vols additionnels'!$C$7:$C$66,$E1315,'Vols additionnels'!$D$7:$D$66,$F1315,'Vols additionnels'!$B$7:$B$66,$D1315)</f>
        <v>1</v>
      </c>
      <c r="H1315" s="135" t="n">
        <f aca="false">$G1315*'Analyse capacite'!$F$9</f>
        <v>174</v>
      </c>
      <c r="I1315" s="135" t="n">
        <f aca="false">$G1315*'Analyse capacite'!$C$9</f>
        <v>0</v>
      </c>
      <c r="J1315" s="135" t="n">
        <f aca="false">$G1315*'Analyse capacite'!$D$9</f>
        <v>12</v>
      </c>
      <c r="K1315" s="135" t="n">
        <f aca="false">$G1315*'Analyse capacite'!$E$9</f>
        <v>162</v>
      </c>
    </row>
    <row r="1316" customFormat="false" ht="15" hidden="false" customHeight="false" outlineLevel="0" collapsed="false">
      <c r="B1316" s="130" t="n">
        <v>2027</v>
      </c>
      <c r="C1316" s="131" t="s">
        <v>247</v>
      </c>
      <c r="D1316" s="132" t="n">
        <v>46514</v>
      </c>
      <c r="E1316" s="131" t="s">
        <v>14</v>
      </c>
      <c r="F1316" s="133" t="s">
        <v>11</v>
      </c>
      <c r="G1316" s="134" t="n">
        <f aca="false">LEN('Saisie programme'!$H$67)+SUMIFS('Vols additionnels'!$E$7:$E$66,'Vols additionnels'!$C$7:$C$66,$E1316,'Vols additionnels'!$D$7:$D$66,$F1316,'Vols additionnels'!$B$7:$B$66,$D1316)</f>
        <v>0</v>
      </c>
      <c r="H1316" s="135" t="n">
        <f aca="false">$G1316*'Analyse capacite'!$F$7</f>
        <v>0</v>
      </c>
      <c r="I1316" s="135" t="n">
        <f aca="false">$G1316*'Analyse capacite'!$C$7</f>
        <v>0</v>
      </c>
      <c r="J1316" s="135" t="n">
        <f aca="false">$G1316*'Analyse capacite'!$D$7</f>
        <v>0</v>
      </c>
      <c r="K1316" s="135" t="n">
        <f aca="false">$G1316*'Analyse capacite'!$E$7</f>
        <v>0</v>
      </c>
    </row>
    <row r="1317" customFormat="false" ht="15" hidden="false" customHeight="false" outlineLevel="0" collapsed="false">
      <c r="B1317" s="130" t="n">
        <v>2027</v>
      </c>
      <c r="C1317" s="131" t="s">
        <v>247</v>
      </c>
      <c r="D1317" s="132" t="n">
        <v>46514</v>
      </c>
      <c r="E1317" s="131" t="s">
        <v>14</v>
      </c>
      <c r="F1317" s="133" t="s">
        <v>19</v>
      </c>
      <c r="G1317" s="134" t="n">
        <f aca="false">LEN('Saisie programme'!$H$68)+SUMIFS('Vols additionnels'!$E$7:$E$66,'Vols additionnels'!$C$7:$C$66,$E1317,'Vols additionnels'!$D$7:$D$66,$F1317,'Vols additionnels'!$B$7:$B$66,$D1317)</f>
        <v>0</v>
      </c>
      <c r="H1317" s="135" t="n">
        <f aca="false">$G1317*'Analyse capacite'!$F$8</f>
        <v>0</v>
      </c>
      <c r="I1317" s="135" t="n">
        <f aca="false">$G1317*'Analyse capacite'!$C$8</f>
        <v>0</v>
      </c>
      <c r="J1317" s="135" t="n">
        <f aca="false">$G1317*'Analyse capacite'!$D$8</f>
        <v>0</v>
      </c>
      <c r="K1317" s="135" t="n">
        <f aca="false">$G1317*'Analyse capacite'!$E$8</f>
        <v>0</v>
      </c>
    </row>
    <row r="1318" customFormat="false" ht="15" hidden="false" customHeight="false" outlineLevel="0" collapsed="false">
      <c r="B1318" s="130" t="n">
        <v>2027</v>
      </c>
      <c r="C1318" s="131" t="s">
        <v>247</v>
      </c>
      <c r="D1318" s="132" t="n">
        <v>46514</v>
      </c>
      <c r="E1318" s="131" t="s">
        <v>14</v>
      </c>
      <c r="F1318" s="133" t="s">
        <v>24</v>
      </c>
      <c r="G1318" s="134" t="n">
        <f aca="false">LEN('Saisie programme'!$H$69)+SUMIFS('Vols additionnels'!$E$7:$E$66,'Vols additionnels'!$C$7:$C$66,$E1318,'Vols additionnels'!$D$7:$D$66,$F1318,'Vols additionnels'!$B$7:$B$66,$D1318)</f>
        <v>0</v>
      </c>
      <c r="H1318" s="135" t="n">
        <f aca="false">$G1318*'Analyse capacite'!$F$9</f>
        <v>0</v>
      </c>
      <c r="I1318" s="135" t="n">
        <f aca="false">$G1318*'Analyse capacite'!$C$9</f>
        <v>0</v>
      </c>
      <c r="J1318" s="135" t="n">
        <f aca="false">$G1318*'Analyse capacite'!$D$9</f>
        <v>0</v>
      </c>
      <c r="K1318" s="135" t="n">
        <f aca="false">$G1318*'Analyse capacite'!$E$9</f>
        <v>0</v>
      </c>
    </row>
    <row r="1319" customFormat="false" ht="15" hidden="false" customHeight="false" outlineLevel="0" collapsed="false">
      <c r="B1319" s="130" t="n">
        <v>2027</v>
      </c>
      <c r="C1319" s="131" t="s">
        <v>247</v>
      </c>
      <c r="D1319" s="132" t="n">
        <v>46514</v>
      </c>
      <c r="E1319" s="131" t="s">
        <v>46</v>
      </c>
      <c r="F1319" s="133" t="s">
        <v>11</v>
      </c>
      <c r="G1319" s="134" t="n">
        <f aca="false">LEN('Saisie programme'!$H$70)+SUMIFS('Vols additionnels'!$E$7:$E$66,'Vols additionnels'!$C$7:$C$66,$E1319,'Vols additionnels'!$D$7:$D$66,$F1319,'Vols additionnels'!$B$7:$B$66,$D1319)</f>
        <v>0</v>
      </c>
      <c r="H1319" s="135" t="n">
        <f aca="false">$G1319*'Analyse capacite'!$F$7</f>
        <v>0</v>
      </c>
      <c r="I1319" s="135" t="n">
        <f aca="false">$G1319*'Analyse capacite'!$C$7</f>
        <v>0</v>
      </c>
      <c r="J1319" s="135" t="n">
        <f aca="false">$G1319*'Analyse capacite'!$D$7</f>
        <v>0</v>
      </c>
      <c r="K1319" s="135" t="n">
        <f aca="false">$G1319*'Analyse capacite'!$E$7</f>
        <v>0</v>
      </c>
    </row>
    <row r="1320" customFormat="false" ht="15" hidden="false" customHeight="false" outlineLevel="0" collapsed="false">
      <c r="B1320" s="130" t="n">
        <v>2027</v>
      </c>
      <c r="C1320" s="131" t="s">
        <v>247</v>
      </c>
      <c r="D1320" s="132" t="n">
        <v>46514</v>
      </c>
      <c r="E1320" s="131" t="s">
        <v>46</v>
      </c>
      <c r="F1320" s="133" t="s">
        <v>19</v>
      </c>
      <c r="G1320" s="134" t="n">
        <f aca="false">LEN('Saisie programme'!$H$71)+SUMIFS('Vols additionnels'!$E$7:$E$66,'Vols additionnels'!$C$7:$C$66,$E1320,'Vols additionnels'!$D$7:$D$66,$F1320,'Vols additionnels'!$B$7:$B$66,$D1320)</f>
        <v>0</v>
      </c>
      <c r="H1320" s="135" t="n">
        <f aca="false">$G1320*'Analyse capacite'!$F$8</f>
        <v>0</v>
      </c>
      <c r="I1320" s="135" t="n">
        <f aca="false">$G1320*'Analyse capacite'!$C$8</f>
        <v>0</v>
      </c>
      <c r="J1320" s="135" t="n">
        <f aca="false">$G1320*'Analyse capacite'!$D$8</f>
        <v>0</v>
      </c>
      <c r="K1320" s="135" t="n">
        <f aca="false">$G1320*'Analyse capacite'!$E$8</f>
        <v>0</v>
      </c>
    </row>
    <row r="1321" customFormat="false" ht="15" hidden="false" customHeight="false" outlineLevel="0" collapsed="false">
      <c r="B1321" s="130" t="n">
        <v>2027</v>
      </c>
      <c r="C1321" s="131" t="s">
        <v>247</v>
      </c>
      <c r="D1321" s="132" t="n">
        <v>46514</v>
      </c>
      <c r="E1321" s="131" t="s">
        <v>46</v>
      </c>
      <c r="F1321" s="133" t="s">
        <v>24</v>
      </c>
      <c r="G1321" s="134" t="n">
        <f aca="false">LEN('Saisie programme'!$H$72)+SUMIFS('Vols additionnels'!$E$7:$E$66,'Vols additionnels'!$C$7:$C$66,$E1321,'Vols additionnels'!$D$7:$D$66,$F1321,'Vols additionnels'!$B$7:$B$66,$D1321)</f>
        <v>0</v>
      </c>
      <c r="H1321" s="135" t="n">
        <f aca="false">$G1321*'Analyse capacite'!$F$9</f>
        <v>0</v>
      </c>
      <c r="I1321" s="135" t="n">
        <f aca="false">$G1321*'Analyse capacite'!$C$9</f>
        <v>0</v>
      </c>
      <c r="J1321" s="135" t="n">
        <f aca="false">$G1321*'Analyse capacite'!$D$9</f>
        <v>0</v>
      </c>
      <c r="K1321" s="135" t="n">
        <f aca="false">$G1321*'Analyse capacite'!$E$9</f>
        <v>0</v>
      </c>
    </row>
    <row r="1322" customFormat="false" ht="15" hidden="false" customHeight="false" outlineLevel="0" collapsed="false">
      <c r="B1322" s="130" t="n">
        <v>2027</v>
      </c>
      <c r="C1322" s="131" t="s">
        <v>247</v>
      </c>
      <c r="D1322" s="132" t="n">
        <v>46514</v>
      </c>
      <c r="E1322" s="131" t="s">
        <v>49</v>
      </c>
      <c r="F1322" s="133" t="s">
        <v>11</v>
      </c>
      <c r="G1322" s="134" t="n">
        <f aca="false">LEN('Saisie programme'!$H$73)+SUMIFS('Vols additionnels'!$E$7:$E$66,'Vols additionnels'!$C$7:$C$66,$E1322,'Vols additionnels'!$D$7:$D$66,$F1322,'Vols additionnels'!$B$7:$B$66,$D1322)</f>
        <v>0</v>
      </c>
      <c r="H1322" s="135" t="n">
        <f aca="false">$G1322*'Analyse capacite'!$F$7</f>
        <v>0</v>
      </c>
      <c r="I1322" s="135" t="n">
        <f aca="false">$G1322*'Analyse capacite'!$C$7</f>
        <v>0</v>
      </c>
      <c r="J1322" s="135" t="n">
        <f aca="false">$G1322*'Analyse capacite'!$D$7</f>
        <v>0</v>
      </c>
      <c r="K1322" s="135" t="n">
        <f aca="false">$G1322*'Analyse capacite'!$E$7</f>
        <v>0</v>
      </c>
    </row>
    <row r="1323" customFormat="false" ht="15" hidden="false" customHeight="false" outlineLevel="0" collapsed="false">
      <c r="B1323" s="130" t="n">
        <v>2027</v>
      </c>
      <c r="C1323" s="131" t="s">
        <v>247</v>
      </c>
      <c r="D1323" s="132" t="n">
        <v>46514</v>
      </c>
      <c r="E1323" s="131" t="s">
        <v>49</v>
      </c>
      <c r="F1323" s="133" t="s">
        <v>19</v>
      </c>
      <c r="G1323" s="134" t="n">
        <f aca="false">LEN('Saisie programme'!$H$74)+SUMIFS('Vols additionnels'!$E$7:$E$66,'Vols additionnels'!$C$7:$C$66,$E1323,'Vols additionnels'!$D$7:$D$66,$F1323,'Vols additionnels'!$B$7:$B$66,$D1323)</f>
        <v>1</v>
      </c>
      <c r="H1323" s="135" t="n">
        <f aca="false">$G1323*'Analyse capacite'!$F$8</f>
        <v>262</v>
      </c>
      <c r="I1323" s="135" t="n">
        <f aca="false">$G1323*'Analyse capacite'!$C$8</f>
        <v>18</v>
      </c>
      <c r="J1323" s="135" t="n">
        <f aca="false">$G1323*'Analyse capacite'!$D$8</f>
        <v>0</v>
      </c>
      <c r="K1323" s="135" t="n">
        <f aca="false">$G1323*'Analyse capacite'!$E$8</f>
        <v>244</v>
      </c>
    </row>
    <row r="1324" customFormat="false" ht="15" hidden="false" customHeight="false" outlineLevel="0" collapsed="false">
      <c r="B1324" s="130" t="n">
        <v>2027</v>
      </c>
      <c r="C1324" s="131" t="s">
        <v>247</v>
      </c>
      <c r="D1324" s="132" t="n">
        <v>46514</v>
      </c>
      <c r="E1324" s="131" t="s">
        <v>49</v>
      </c>
      <c r="F1324" s="133" t="s">
        <v>24</v>
      </c>
      <c r="G1324" s="134" t="n">
        <f aca="false">LEN('Saisie programme'!$H$75)+SUMIFS('Vols additionnels'!$E$7:$E$66,'Vols additionnels'!$C$7:$C$66,$E1324,'Vols additionnels'!$D$7:$D$66,$F1324,'Vols additionnels'!$B$7:$B$66,$D1324)</f>
        <v>0</v>
      </c>
      <c r="H1324" s="135" t="n">
        <f aca="false">$G1324*'Analyse capacite'!$F$9</f>
        <v>0</v>
      </c>
      <c r="I1324" s="135" t="n">
        <f aca="false">$G1324*'Analyse capacite'!$C$9</f>
        <v>0</v>
      </c>
      <c r="J1324" s="135" t="n">
        <f aca="false">$G1324*'Analyse capacite'!$D$9</f>
        <v>0</v>
      </c>
      <c r="K1324" s="135" t="n">
        <f aca="false">$G1324*'Analyse capacite'!$E$9</f>
        <v>0</v>
      </c>
    </row>
    <row r="1325" customFormat="false" ht="15" hidden="false" customHeight="false" outlineLevel="0" collapsed="false">
      <c r="B1325" s="130" t="n">
        <v>2027</v>
      </c>
      <c r="C1325" s="131" t="s">
        <v>247</v>
      </c>
      <c r="D1325" s="132" t="n">
        <v>46514</v>
      </c>
      <c r="E1325" s="131" t="s">
        <v>53</v>
      </c>
      <c r="F1325" s="133" t="s">
        <v>11</v>
      </c>
      <c r="G1325" s="134" t="n">
        <f aca="false">LEN('Saisie programme'!$H$76)+SUMIFS('Vols additionnels'!$E$7:$E$66,'Vols additionnels'!$C$7:$C$66,$E1325,'Vols additionnels'!$D$7:$D$66,$F1325,'Vols additionnels'!$B$7:$B$66,$D1325)</f>
        <v>0</v>
      </c>
      <c r="H1325" s="135" t="n">
        <f aca="false">$G1325*'Analyse capacite'!$F$7</f>
        <v>0</v>
      </c>
      <c r="I1325" s="135" t="n">
        <f aca="false">$G1325*'Analyse capacite'!$C$7</f>
        <v>0</v>
      </c>
      <c r="J1325" s="135" t="n">
        <f aca="false">$G1325*'Analyse capacite'!$D$7</f>
        <v>0</v>
      </c>
      <c r="K1325" s="135" t="n">
        <f aca="false">$G1325*'Analyse capacite'!$E$7</f>
        <v>0</v>
      </c>
    </row>
    <row r="1326" customFormat="false" ht="15" hidden="false" customHeight="false" outlineLevel="0" collapsed="false">
      <c r="B1326" s="130" t="n">
        <v>2027</v>
      </c>
      <c r="C1326" s="131" t="s">
        <v>247</v>
      </c>
      <c r="D1326" s="132" t="n">
        <v>46514</v>
      </c>
      <c r="E1326" s="131" t="s">
        <v>53</v>
      </c>
      <c r="F1326" s="133" t="s">
        <v>19</v>
      </c>
      <c r="G1326" s="134" t="n">
        <f aca="false">LEN('Saisie programme'!$H$77)+SUMIFS('Vols additionnels'!$E$7:$E$66,'Vols additionnels'!$C$7:$C$66,$E1326,'Vols additionnels'!$D$7:$D$66,$F1326,'Vols additionnels'!$B$7:$B$66,$D1326)</f>
        <v>0</v>
      </c>
      <c r="H1326" s="135" t="n">
        <f aca="false">$G1326*'Analyse capacite'!$F$8</f>
        <v>0</v>
      </c>
      <c r="I1326" s="135" t="n">
        <f aca="false">$G1326*'Analyse capacite'!$C$8</f>
        <v>0</v>
      </c>
      <c r="J1326" s="135" t="n">
        <f aca="false">$G1326*'Analyse capacite'!$D$8</f>
        <v>0</v>
      </c>
      <c r="K1326" s="135" t="n">
        <f aca="false">$G1326*'Analyse capacite'!$E$8</f>
        <v>0</v>
      </c>
    </row>
    <row r="1327" customFormat="false" ht="15" hidden="false" customHeight="false" outlineLevel="0" collapsed="false">
      <c r="B1327" s="130" t="n">
        <v>2027</v>
      </c>
      <c r="C1327" s="131" t="s">
        <v>247</v>
      </c>
      <c r="D1327" s="132" t="n">
        <v>46514</v>
      </c>
      <c r="E1327" s="131" t="s">
        <v>53</v>
      </c>
      <c r="F1327" s="133" t="s">
        <v>24</v>
      </c>
      <c r="G1327" s="134" t="n">
        <f aca="false">LEN('Saisie programme'!$H$78)+SUMIFS('Vols additionnels'!$E$7:$E$66,'Vols additionnels'!$C$7:$C$66,$E1327,'Vols additionnels'!$D$7:$D$66,$F1327,'Vols additionnels'!$B$7:$B$66,$D1327)</f>
        <v>0</v>
      </c>
      <c r="H1327" s="135" t="n">
        <f aca="false">$G1327*'Analyse capacite'!$F$9</f>
        <v>0</v>
      </c>
      <c r="I1327" s="135" t="n">
        <f aca="false">$G1327*'Analyse capacite'!$C$9</f>
        <v>0</v>
      </c>
      <c r="J1327" s="135" t="n">
        <f aca="false">$G1327*'Analyse capacite'!$D$9</f>
        <v>0</v>
      </c>
      <c r="K1327" s="135" t="n">
        <f aca="false">$G1327*'Analyse capacite'!$E$9</f>
        <v>0</v>
      </c>
    </row>
    <row r="1328" customFormat="false" ht="15" hidden="false" customHeight="false" outlineLevel="0" collapsed="false">
      <c r="B1328" s="130" t="n">
        <v>2027</v>
      </c>
      <c r="C1328" s="131" t="s">
        <v>247</v>
      </c>
      <c r="D1328" s="132" t="n">
        <v>46514</v>
      </c>
      <c r="E1328" s="131" t="s">
        <v>56</v>
      </c>
      <c r="F1328" s="133" t="s">
        <v>11</v>
      </c>
      <c r="G1328" s="134" t="n">
        <f aca="false">LEN('Saisie programme'!$H$79)+SUMIFS('Vols additionnels'!$E$7:$E$66,'Vols additionnels'!$C$7:$C$66,$E1328,'Vols additionnels'!$D$7:$D$66,$F1328,'Vols additionnels'!$B$7:$B$66,$D1328)</f>
        <v>0</v>
      </c>
      <c r="H1328" s="135" t="n">
        <f aca="false">$G1328*'Analyse capacite'!$F$7</f>
        <v>0</v>
      </c>
      <c r="I1328" s="135" t="n">
        <f aca="false">$G1328*'Analyse capacite'!$C$7</f>
        <v>0</v>
      </c>
      <c r="J1328" s="135" t="n">
        <f aca="false">$G1328*'Analyse capacite'!$D$7</f>
        <v>0</v>
      </c>
      <c r="K1328" s="135" t="n">
        <f aca="false">$G1328*'Analyse capacite'!$E$7</f>
        <v>0</v>
      </c>
    </row>
    <row r="1329" customFormat="false" ht="15" hidden="false" customHeight="false" outlineLevel="0" collapsed="false">
      <c r="B1329" s="130" t="n">
        <v>2027</v>
      </c>
      <c r="C1329" s="131" t="s">
        <v>247</v>
      </c>
      <c r="D1329" s="132" t="n">
        <v>46514</v>
      </c>
      <c r="E1329" s="131" t="s">
        <v>56</v>
      </c>
      <c r="F1329" s="133" t="s">
        <v>19</v>
      </c>
      <c r="G1329" s="134" t="n">
        <f aca="false">LEN('Saisie programme'!$H$80)+SUMIFS('Vols additionnels'!$E$7:$E$66,'Vols additionnels'!$C$7:$C$66,$E1329,'Vols additionnels'!$D$7:$D$66,$F1329,'Vols additionnels'!$B$7:$B$66,$D1329)</f>
        <v>0</v>
      </c>
      <c r="H1329" s="135" t="n">
        <f aca="false">$G1329*'Analyse capacite'!$F$8</f>
        <v>0</v>
      </c>
      <c r="I1329" s="135" t="n">
        <f aca="false">$G1329*'Analyse capacite'!$C$8</f>
        <v>0</v>
      </c>
      <c r="J1329" s="135" t="n">
        <f aca="false">$G1329*'Analyse capacite'!$D$8</f>
        <v>0</v>
      </c>
      <c r="K1329" s="135" t="n">
        <f aca="false">$G1329*'Analyse capacite'!$E$8</f>
        <v>0</v>
      </c>
    </row>
    <row r="1330" customFormat="false" ht="15" hidden="false" customHeight="false" outlineLevel="0" collapsed="false">
      <c r="B1330" s="130" t="n">
        <v>2027</v>
      </c>
      <c r="C1330" s="131" t="s">
        <v>247</v>
      </c>
      <c r="D1330" s="132" t="n">
        <v>46514</v>
      </c>
      <c r="E1330" s="131" t="s">
        <v>56</v>
      </c>
      <c r="F1330" s="133" t="s">
        <v>24</v>
      </c>
      <c r="G1330" s="134" t="n">
        <f aca="false">LEN('Saisie programme'!$H$81)+SUMIFS('Vols additionnels'!$E$7:$E$66,'Vols additionnels'!$C$7:$C$66,$E1330,'Vols additionnels'!$D$7:$D$66,$F1330,'Vols additionnels'!$B$7:$B$66,$D1330)</f>
        <v>0</v>
      </c>
      <c r="H1330" s="135" t="n">
        <f aca="false">$G1330*'Analyse capacite'!$F$9</f>
        <v>0</v>
      </c>
      <c r="I1330" s="135" t="n">
        <f aca="false">$G1330*'Analyse capacite'!$C$9</f>
        <v>0</v>
      </c>
      <c r="J1330" s="135" t="n">
        <f aca="false">$G1330*'Analyse capacite'!$D$9</f>
        <v>0</v>
      </c>
      <c r="K1330" s="135" t="n">
        <f aca="false">$G1330*'Analyse capacite'!$E$9</f>
        <v>0</v>
      </c>
    </row>
    <row r="1331" customFormat="false" ht="15" hidden="false" customHeight="false" outlineLevel="0" collapsed="false">
      <c r="B1331" s="130" t="n">
        <v>2027</v>
      </c>
      <c r="C1331" s="131" t="s">
        <v>247</v>
      </c>
      <c r="D1331" s="132" t="n">
        <v>46514</v>
      </c>
      <c r="E1331" s="131" t="s">
        <v>59</v>
      </c>
      <c r="F1331" s="133" t="s">
        <v>11</v>
      </c>
      <c r="G1331" s="134" t="n">
        <f aca="false">LEN('Saisie programme'!$H$82)+SUMIFS('Vols additionnels'!$E$7:$E$66,'Vols additionnels'!$C$7:$C$66,$E1331,'Vols additionnels'!$D$7:$D$66,$F1331,'Vols additionnels'!$B$7:$B$66,$D1331)</f>
        <v>0</v>
      </c>
      <c r="H1331" s="135" t="n">
        <f aca="false">$G1331*'Analyse capacite'!$F$7</f>
        <v>0</v>
      </c>
      <c r="I1331" s="135" t="n">
        <f aca="false">$G1331*'Analyse capacite'!$C$7</f>
        <v>0</v>
      </c>
      <c r="J1331" s="135" t="n">
        <f aca="false">$G1331*'Analyse capacite'!$D$7</f>
        <v>0</v>
      </c>
      <c r="K1331" s="135" t="n">
        <f aca="false">$G1331*'Analyse capacite'!$E$7</f>
        <v>0</v>
      </c>
    </row>
    <row r="1332" customFormat="false" ht="15" hidden="false" customHeight="false" outlineLevel="0" collapsed="false">
      <c r="B1332" s="130" t="n">
        <v>2027</v>
      </c>
      <c r="C1332" s="131" t="s">
        <v>247</v>
      </c>
      <c r="D1332" s="132" t="n">
        <v>46514</v>
      </c>
      <c r="E1332" s="131" t="s">
        <v>59</v>
      </c>
      <c r="F1332" s="133" t="s">
        <v>19</v>
      </c>
      <c r="G1332" s="134" t="n">
        <f aca="false">LEN('Saisie programme'!$H$83)+SUMIFS('Vols additionnels'!$E$7:$E$66,'Vols additionnels'!$C$7:$C$66,$E1332,'Vols additionnels'!$D$7:$D$66,$F1332,'Vols additionnels'!$B$7:$B$66,$D1332)</f>
        <v>0</v>
      </c>
      <c r="H1332" s="135" t="n">
        <f aca="false">$G1332*'Analyse capacite'!$F$8</f>
        <v>0</v>
      </c>
      <c r="I1332" s="135" t="n">
        <f aca="false">$G1332*'Analyse capacite'!$C$8</f>
        <v>0</v>
      </c>
      <c r="J1332" s="135" t="n">
        <f aca="false">$G1332*'Analyse capacite'!$D$8</f>
        <v>0</v>
      </c>
      <c r="K1332" s="135" t="n">
        <f aca="false">$G1332*'Analyse capacite'!$E$8</f>
        <v>0</v>
      </c>
    </row>
    <row r="1333" customFormat="false" ht="15" hidden="false" customHeight="false" outlineLevel="0" collapsed="false">
      <c r="B1333" s="130" t="n">
        <v>2027</v>
      </c>
      <c r="C1333" s="131" t="s">
        <v>247</v>
      </c>
      <c r="D1333" s="132" t="n">
        <v>46514</v>
      </c>
      <c r="E1333" s="131" t="s">
        <v>59</v>
      </c>
      <c r="F1333" s="133" t="s">
        <v>24</v>
      </c>
      <c r="G1333" s="134" t="n">
        <f aca="false">LEN('Saisie programme'!$H$84)+SUMIFS('Vols additionnels'!$E$7:$E$66,'Vols additionnels'!$C$7:$C$66,$E1333,'Vols additionnels'!$D$7:$D$66,$F1333,'Vols additionnels'!$B$7:$B$66,$D1333)</f>
        <v>1</v>
      </c>
      <c r="H1333" s="135" t="n">
        <f aca="false">$G1333*'Analyse capacite'!$F$9</f>
        <v>174</v>
      </c>
      <c r="I1333" s="135" t="n">
        <f aca="false">$G1333*'Analyse capacite'!$C$9</f>
        <v>0</v>
      </c>
      <c r="J1333" s="135" t="n">
        <f aca="false">$G1333*'Analyse capacite'!$D$9</f>
        <v>12</v>
      </c>
      <c r="K1333" s="135" t="n">
        <f aca="false">$G1333*'Analyse capacite'!$E$9</f>
        <v>162</v>
      </c>
    </row>
    <row r="1334" customFormat="false" ht="15" hidden="false" customHeight="false" outlineLevel="0" collapsed="false">
      <c r="B1334" s="130" t="n">
        <v>2027</v>
      </c>
      <c r="C1334" s="131" t="s">
        <v>247</v>
      </c>
      <c r="D1334" s="132" t="n">
        <v>46514</v>
      </c>
      <c r="E1334" s="131" t="s">
        <v>62</v>
      </c>
      <c r="F1334" s="133" t="s">
        <v>11</v>
      </c>
      <c r="G1334" s="134" t="n">
        <f aca="false">LEN('Saisie programme'!$H$85)+SUMIFS('Vols additionnels'!$E$7:$E$66,'Vols additionnels'!$C$7:$C$66,$E1334,'Vols additionnels'!$D$7:$D$66,$F1334,'Vols additionnels'!$B$7:$B$66,$D1334)</f>
        <v>0</v>
      </c>
      <c r="H1334" s="135" t="n">
        <f aca="false">$G1334*'Analyse capacite'!$F$7</f>
        <v>0</v>
      </c>
      <c r="I1334" s="135" t="n">
        <f aca="false">$G1334*'Analyse capacite'!$C$7</f>
        <v>0</v>
      </c>
      <c r="J1334" s="135" t="n">
        <f aca="false">$G1334*'Analyse capacite'!$D$7</f>
        <v>0</v>
      </c>
      <c r="K1334" s="135" t="n">
        <f aca="false">$G1334*'Analyse capacite'!$E$7</f>
        <v>0</v>
      </c>
    </row>
    <row r="1335" customFormat="false" ht="15" hidden="false" customHeight="false" outlineLevel="0" collapsed="false">
      <c r="B1335" s="130" t="n">
        <v>2027</v>
      </c>
      <c r="C1335" s="131" t="s">
        <v>247</v>
      </c>
      <c r="D1335" s="132" t="n">
        <v>46514</v>
      </c>
      <c r="E1335" s="131" t="s">
        <v>62</v>
      </c>
      <c r="F1335" s="133" t="s">
        <v>19</v>
      </c>
      <c r="G1335" s="134" t="n">
        <f aca="false">LEN('Saisie programme'!$H$86)+SUMIFS('Vols additionnels'!$E$7:$E$66,'Vols additionnels'!$C$7:$C$66,$E1335,'Vols additionnels'!$D$7:$D$66,$F1335,'Vols additionnels'!$B$7:$B$66,$D1335)</f>
        <v>0</v>
      </c>
      <c r="H1335" s="135" t="n">
        <f aca="false">$G1335*'Analyse capacite'!$F$8</f>
        <v>0</v>
      </c>
      <c r="I1335" s="135" t="n">
        <f aca="false">$G1335*'Analyse capacite'!$C$8</f>
        <v>0</v>
      </c>
      <c r="J1335" s="135" t="n">
        <f aca="false">$G1335*'Analyse capacite'!$D$8</f>
        <v>0</v>
      </c>
      <c r="K1335" s="135" t="n">
        <f aca="false">$G1335*'Analyse capacite'!$E$8</f>
        <v>0</v>
      </c>
    </row>
    <row r="1336" customFormat="false" ht="15" hidden="false" customHeight="false" outlineLevel="0" collapsed="false">
      <c r="B1336" s="130" t="n">
        <v>2027</v>
      </c>
      <c r="C1336" s="131" t="s">
        <v>247</v>
      </c>
      <c r="D1336" s="132" t="n">
        <v>46514</v>
      </c>
      <c r="E1336" s="131" t="s">
        <v>62</v>
      </c>
      <c r="F1336" s="133" t="s">
        <v>24</v>
      </c>
      <c r="G1336" s="134" t="n">
        <f aca="false">LEN('Saisie programme'!$H$87)+SUMIFS('Vols additionnels'!$E$7:$E$66,'Vols additionnels'!$C$7:$C$66,$E1336,'Vols additionnels'!$D$7:$D$66,$F1336,'Vols additionnels'!$B$7:$B$66,$D1336)</f>
        <v>0</v>
      </c>
      <c r="H1336" s="135" t="n">
        <f aca="false">$G1336*'Analyse capacite'!$F$9</f>
        <v>0</v>
      </c>
      <c r="I1336" s="135" t="n">
        <f aca="false">$G1336*'Analyse capacite'!$C$9</f>
        <v>0</v>
      </c>
      <c r="J1336" s="135" t="n">
        <f aca="false">$G1336*'Analyse capacite'!$D$9</f>
        <v>0</v>
      </c>
      <c r="K1336" s="135" t="n">
        <f aca="false">$G1336*'Analyse capacite'!$E$9</f>
        <v>0</v>
      </c>
    </row>
    <row r="1337" customFormat="false" ht="15" hidden="false" customHeight="false" outlineLevel="0" collapsed="false">
      <c r="B1337" s="130" t="n">
        <v>2027</v>
      </c>
      <c r="C1337" s="131" t="s">
        <v>247</v>
      </c>
      <c r="D1337" s="132" t="n">
        <v>46515</v>
      </c>
      <c r="E1337" s="131" t="s">
        <v>12</v>
      </c>
      <c r="F1337" s="133" t="s">
        <v>11</v>
      </c>
      <c r="G1337" s="134" t="n">
        <f aca="false">LEN('Saisie programme'!$I$52)+SUMIFS('Vols additionnels'!$E$7:$E$66,'Vols additionnels'!$C$7:$C$66,$E1337,'Vols additionnels'!$D$7:$D$66,$F1337,'Vols additionnels'!$B$7:$B$66,$D1337)</f>
        <v>1</v>
      </c>
      <c r="H1337" s="135" t="n">
        <f aca="false">$G1337*'Analyse capacite'!$F$7</f>
        <v>438</v>
      </c>
      <c r="I1337" s="135" t="n">
        <f aca="false">$G1337*'Analyse capacite'!$C$7</f>
        <v>14</v>
      </c>
      <c r="J1337" s="135" t="n">
        <f aca="false">$G1337*'Analyse capacite'!$D$7</f>
        <v>40</v>
      </c>
      <c r="K1337" s="135" t="n">
        <f aca="false">$G1337*'Analyse capacite'!$E$7</f>
        <v>384</v>
      </c>
    </row>
    <row r="1338" customFormat="false" ht="15" hidden="false" customHeight="false" outlineLevel="0" collapsed="false">
      <c r="B1338" s="130" t="n">
        <v>2027</v>
      </c>
      <c r="C1338" s="131" t="s">
        <v>247</v>
      </c>
      <c r="D1338" s="132" t="n">
        <v>46515</v>
      </c>
      <c r="E1338" s="131" t="s">
        <v>12</v>
      </c>
      <c r="F1338" s="133" t="s">
        <v>19</v>
      </c>
      <c r="G1338" s="134" t="n">
        <f aca="false">LEN('Saisie programme'!$I$53)+SUMIFS('Vols additionnels'!$E$7:$E$66,'Vols additionnels'!$C$7:$C$66,$E1338,'Vols additionnels'!$D$7:$D$66,$F1338,'Vols additionnels'!$B$7:$B$66,$D1338)</f>
        <v>0</v>
      </c>
      <c r="H1338" s="135" t="n">
        <f aca="false">$G1338*'Analyse capacite'!$F$8</f>
        <v>0</v>
      </c>
      <c r="I1338" s="135" t="n">
        <f aca="false">$G1338*'Analyse capacite'!$C$8</f>
        <v>0</v>
      </c>
      <c r="J1338" s="135" t="n">
        <f aca="false">$G1338*'Analyse capacite'!$D$8</f>
        <v>0</v>
      </c>
      <c r="K1338" s="135" t="n">
        <f aca="false">$G1338*'Analyse capacite'!$E$8</f>
        <v>0</v>
      </c>
    </row>
    <row r="1339" customFormat="false" ht="15" hidden="false" customHeight="false" outlineLevel="0" collapsed="false">
      <c r="B1339" s="130" t="n">
        <v>2027</v>
      </c>
      <c r="C1339" s="131" t="s">
        <v>247</v>
      </c>
      <c r="D1339" s="132" t="n">
        <v>46515</v>
      </c>
      <c r="E1339" s="131" t="s">
        <v>12</v>
      </c>
      <c r="F1339" s="133" t="s">
        <v>24</v>
      </c>
      <c r="G1339" s="134" t="n">
        <f aca="false">LEN('Saisie programme'!$I$54)+SUMIFS('Vols additionnels'!$E$7:$E$66,'Vols additionnels'!$C$7:$C$66,$E1339,'Vols additionnels'!$D$7:$D$66,$F1339,'Vols additionnels'!$B$7:$B$66,$D1339)</f>
        <v>0</v>
      </c>
      <c r="H1339" s="135" t="n">
        <f aca="false">$G1339*'Analyse capacite'!$F$9</f>
        <v>0</v>
      </c>
      <c r="I1339" s="135" t="n">
        <f aca="false">$G1339*'Analyse capacite'!$C$9</f>
        <v>0</v>
      </c>
      <c r="J1339" s="135" t="n">
        <f aca="false">$G1339*'Analyse capacite'!$D$9</f>
        <v>0</v>
      </c>
      <c r="K1339" s="135" t="n">
        <f aca="false">$G1339*'Analyse capacite'!$E$9</f>
        <v>0</v>
      </c>
    </row>
    <row r="1340" customFormat="false" ht="15" hidden="false" customHeight="false" outlineLevel="0" collapsed="false">
      <c r="B1340" s="130" t="n">
        <v>2027</v>
      </c>
      <c r="C1340" s="131" t="s">
        <v>247</v>
      </c>
      <c r="D1340" s="132" t="n">
        <v>46515</v>
      </c>
      <c r="E1340" s="131" t="s">
        <v>20</v>
      </c>
      <c r="F1340" s="133" t="s">
        <v>11</v>
      </c>
      <c r="G1340" s="134" t="n">
        <f aca="false">LEN('Saisie programme'!$I$55)+SUMIFS('Vols additionnels'!$E$7:$E$66,'Vols additionnels'!$C$7:$C$66,$E1340,'Vols additionnels'!$D$7:$D$66,$F1340,'Vols additionnels'!$B$7:$B$66,$D1340)</f>
        <v>0</v>
      </c>
      <c r="H1340" s="135" t="n">
        <f aca="false">$G1340*'Analyse capacite'!$F$7</f>
        <v>0</v>
      </c>
      <c r="I1340" s="135" t="n">
        <f aca="false">$G1340*'Analyse capacite'!$C$7</f>
        <v>0</v>
      </c>
      <c r="J1340" s="135" t="n">
        <f aca="false">$G1340*'Analyse capacite'!$D$7</f>
        <v>0</v>
      </c>
      <c r="K1340" s="135" t="n">
        <f aca="false">$G1340*'Analyse capacite'!$E$7</f>
        <v>0</v>
      </c>
    </row>
    <row r="1341" customFormat="false" ht="15" hidden="false" customHeight="false" outlineLevel="0" collapsed="false">
      <c r="B1341" s="130" t="n">
        <v>2027</v>
      </c>
      <c r="C1341" s="131" t="s">
        <v>247</v>
      </c>
      <c r="D1341" s="132" t="n">
        <v>46515</v>
      </c>
      <c r="E1341" s="131" t="s">
        <v>20</v>
      </c>
      <c r="F1341" s="133" t="s">
        <v>19</v>
      </c>
      <c r="G1341" s="134" t="n">
        <f aca="false">LEN('Saisie programme'!$I$56)+SUMIFS('Vols additionnels'!$E$7:$E$66,'Vols additionnels'!$C$7:$C$66,$E1341,'Vols additionnels'!$D$7:$D$66,$F1341,'Vols additionnels'!$B$7:$B$66,$D1341)</f>
        <v>0</v>
      </c>
      <c r="H1341" s="135" t="n">
        <f aca="false">$G1341*'Analyse capacite'!$F$8</f>
        <v>0</v>
      </c>
      <c r="I1341" s="135" t="n">
        <f aca="false">$G1341*'Analyse capacite'!$C$8</f>
        <v>0</v>
      </c>
      <c r="J1341" s="135" t="n">
        <f aca="false">$G1341*'Analyse capacite'!$D$8</f>
        <v>0</v>
      </c>
      <c r="K1341" s="135" t="n">
        <f aca="false">$G1341*'Analyse capacite'!$E$8</f>
        <v>0</v>
      </c>
    </row>
    <row r="1342" customFormat="false" ht="15" hidden="false" customHeight="false" outlineLevel="0" collapsed="false">
      <c r="B1342" s="130" t="n">
        <v>2027</v>
      </c>
      <c r="C1342" s="131" t="s">
        <v>247</v>
      </c>
      <c r="D1342" s="132" t="n">
        <v>46515</v>
      </c>
      <c r="E1342" s="131" t="s">
        <v>20</v>
      </c>
      <c r="F1342" s="133" t="s">
        <v>24</v>
      </c>
      <c r="G1342" s="134" t="n">
        <f aca="false">LEN('Saisie programme'!$I$57)+SUMIFS('Vols additionnels'!$E$7:$E$66,'Vols additionnels'!$C$7:$C$66,$E1342,'Vols additionnels'!$D$7:$D$66,$F1342,'Vols additionnels'!$B$7:$B$66,$D1342)</f>
        <v>0</v>
      </c>
      <c r="H1342" s="135" t="n">
        <f aca="false">$G1342*'Analyse capacite'!$F$9</f>
        <v>0</v>
      </c>
      <c r="I1342" s="135" t="n">
        <f aca="false">$G1342*'Analyse capacite'!$C$9</f>
        <v>0</v>
      </c>
      <c r="J1342" s="135" t="n">
        <f aca="false">$G1342*'Analyse capacite'!$D$9</f>
        <v>0</v>
      </c>
      <c r="K1342" s="135" t="n">
        <f aca="false">$G1342*'Analyse capacite'!$E$9</f>
        <v>0</v>
      </c>
    </row>
    <row r="1343" customFormat="false" ht="15" hidden="false" customHeight="false" outlineLevel="0" collapsed="false">
      <c r="B1343" s="130" t="n">
        <v>2027</v>
      </c>
      <c r="C1343" s="131" t="s">
        <v>247</v>
      </c>
      <c r="D1343" s="132" t="n">
        <v>46515</v>
      </c>
      <c r="E1343" s="131" t="s">
        <v>25</v>
      </c>
      <c r="F1343" s="133" t="s">
        <v>11</v>
      </c>
      <c r="G1343" s="134" t="n">
        <f aca="false">LEN('Saisie programme'!$I$58)+SUMIFS('Vols additionnels'!$E$7:$E$66,'Vols additionnels'!$C$7:$C$66,$E1343,'Vols additionnels'!$D$7:$D$66,$F1343,'Vols additionnels'!$B$7:$B$66,$D1343)</f>
        <v>0</v>
      </c>
      <c r="H1343" s="135" t="n">
        <f aca="false">$G1343*'Analyse capacite'!$F$7</f>
        <v>0</v>
      </c>
      <c r="I1343" s="135" t="n">
        <f aca="false">$G1343*'Analyse capacite'!$C$7</f>
        <v>0</v>
      </c>
      <c r="J1343" s="135" t="n">
        <f aca="false">$G1343*'Analyse capacite'!$D$7</f>
        <v>0</v>
      </c>
      <c r="K1343" s="135" t="n">
        <f aca="false">$G1343*'Analyse capacite'!$E$7</f>
        <v>0</v>
      </c>
    </row>
    <row r="1344" customFormat="false" ht="15" hidden="false" customHeight="false" outlineLevel="0" collapsed="false">
      <c r="B1344" s="130" t="n">
        <v>2027</v>
      </c>
      <c r="C1344" s="131" t="s">
        <v>247</v>
      </c>
      <c r="D1344" s="132" t="n">
        <v>46515</v>
      </c>
      <c r="E1344" s="131" t="s">
        <v>25</v>
      </c>
      <c r="F1344" s="133" t="s">
        <v>19</v>
      </c>
      <c r="G1344" s="134" t="n">
        <f aca="false">LEN('Saisie programme'!$I$59)+SUMIFS('Vols additionnels'!$E$7:$E$66,'Vols additionnels'!$C$7:$C$66,$E1344,'Vols additionnels'!$D$7:$D$66,$F1344,'Vols additionnels'!$B$7:$B$66,$D1344)</f>
        <v>1</v>
      </c>
      <c r="H1344" s="135" t="n">
        <f aca="false">$G1344*'Analyse capacite'!$F$8</f>
        <v>262</v>
      </c>
      <c r="I1344" s="135" t="n">
        <f aca="false">$G1344*'Analyse capacite'!$C$8</f>
        <v>18</v>
      </c>
      <c r="J1344" s="135" t="n">
        <f aca="false">$G1344*'Analyse capacite'!$D$8</f>
        <v>0</v>
      </c>
      <c r="K1344" s="135" t="n">
        <f aca="false">$G1344*'Analyse capacite'!$E$8</f>
        <v>244</v>
      </c>
    </row>
    <row r="1345" customFormat="false" ht="15" hidden="false" customHeight="false" outlineLevel="0" collapsed="false">
      <c r="B1345" s="130" t="n">
        <v>2027</v>
      </c>
      <c r="C1345" s="131" t="s">
        <v>247</v>
      </c>
      <c r="D1345" s="132" t="n">
        <v>46515</v>
      </c>
      <c r="E1345" s="131" t="s">
        <v>25</v>
      </c>
      <c r="F1345" s="133" t="s">
        <v>24</v>
      </c>
      <c r="G1345" s="134" t="n">
        <f aca="false">LEN('Saisie programme'!$I$60)+SUMIFS('Vols additionnels'!$E$7:$E$66,'Vols additionnels'!$C$7:$C$66,$E1345,'Vols additionnels'!$D$7:$D$66,$F1345,'Vols additionnels'!$B$7:$B$66,$D1345)</f>
        <v>0</v>
      </c>
      <c r="H1345" s="135" t="n">
        <f aca="false">$G1345*'Analyse capacite'!$F$9</f>
        <v>0</v>
      </c>
      <c r="I1345" s="135" t="n">
        <f aca="false">$G1345*'Analyse capacite'!$C$9</f>
        <v>0</v>
      </c>
      <c r="J1345" s="135" t="n">
        <f aca="false">$G1345*'Analyse capacite'!$D$9</f>
        <v>0</v>
      </c>
      <c r="K1345" s="135" t="n">
        <f aca="false">$G1345*'Analyse capacite'!$E$9</f>
        <v>0</v>
      </c>
    </row>
    <row r="1346" customFormat="false" ht="15" hidden="false" customHeight="false" outlineLevel="0" collapsed="false">
      <c r="B1346" s="130" t="n">
        <v>2027</v>
      </c>
      <c r="C1346" s="131" t="s">
        <v>247</v>
      </c>
      <c r="D1346" s="132" t="n">
        <v>46515</v>
      </c>
      <c r="E1346" s="131" t="s">
        <v>36</v>
      </c>
      <c r="F1346" s="133" t="s">
        <v>11</v>
      </c>
      <c r="G1346" s="134" t="n">
        <f aca="false">LEN('Saisie programme'!$I$61)+SUMIFS('Vols additionnels'!$E$7:$E$66,'Vols additionnels'!$C$7:$C$66,$E1346,'Vols additionnels'!$D$7:$D$66,$F1346,'Vols additionnels'!$B$7:$B$66,$D1346)</f>
        <v>0</v>
      </c>
      <c r="H1346" s="135" t="n">
        <f aca="false">$G1346*'Analyse capacite'!$F$7</f>
        <v>0</v>
      </c>
      <c r="I1346" s="135" t="n">
        <f aca="false">$G1346*'Analyse capacite'!$C$7</f>
        <v>0</v>
      </c>
      <c r="J1346" s="135" t="n">
        <f aca="false">$G1346*'Analyse capacite'!$D$7</f>
        <v>0</v>
      </c>
      <c r="K1346" s="135" t="n">
        <f aca="false">$G1346*'Analyse capacite'!$E$7</f>
        <v>0</v>
      </c>
    </row>
    <row r="1347" customFormat="false" ht="15" hidden="false" customHeight="false" outlineLevel="0" collapsed="false">
      <c r="B1347" s="130" t="n">
        <v>2027</v>
      </c>
      <c r="C1347" s="131" t="s">
        <v>247</v>
      </c>
      <c r="D1347" s="132" t="n">
        <v>46515</v>
      </c>
      <c r="E1347" s="131" t="s">
        <v>36</v>
      </c>
      <c r="F1347" s="133" t="s">
        <v>19</v>
      </c>
      <c r="G1347" s="134" t="n">
        <f aca="false">LEN('Saisie programme'!$I$62)+SUMIFS('Vols additionnels'!$E$7:$E$66,'Vols additionnels'!$C$7:$C$66,$E1347,'Vols additionnels'!$D$7:$D$66,$F1347,'Vols additionnels'!$B$7:$B$66,$D1347)</f>
        <v>0</v>
      </c>
      <c r="H1347" s="135" t="n">
        <f aca="false">$G1347*'Analyse capacite'!$F$8</f>
        <v>0</v>
      </c>
      <c r="I1347" s="135" t="n">
        <f aca="false">$G1347*'Analyse capacite'!$C$8</f>
        <v>0</v>
      </c>
      <c r="J1347" s="135" t="n">
        <f aca="false">$G1347*'Analyse capacite'!$D$8</f>
        <v>0</v>
      </c>
      <c r="K1347" s="135" t="n">
        <f aca="false">$G1347*'Analyse capacite'!$E$8</f>
        <v>0</v>
      </c>
    </row>
    <row r="1348" customFormat="false" ht="15" hidden="false" customHeight="false" outlineLevel="0" collapsed="false">
      <c r="B1348" s="130" t="n">
        <v>2027</v>
      </c>
      <c r="C1348" s="131" t="s">
        <v>247</v>
      </c>
      <c r="D1348" s="132" t="n">
        <v>46515</v>
      </c>
      <c r="E1348" s="131" t="s">
        <v>36</v>
      </c>
      <c r="F1348" s="133" t="s">
        <v>24</v>
      </c>
      <c r="G1348" s="134" t="n">
        <f aca="false">LEN('Saisie programme'!$I$63)+SUMIFS('Vols additionnels'!$E$7:$E$66,'Vols additionnels'!$C$7:$C$66,$E1348,'Vols additionnels'!$D$7:$D$66,$F1348,'Vols additionnels'!$B$7:$B$66,$D1348)</f>
        <v>0</v>
      </c>
      <c r="H1348" s="135" t="n">
        <f aca="false">$G1348*'Analyse capacite'!$F$9</f>
        <v>0</v>
      </c>
      <c r="I1348" s="135" t="n">
        <f aca="false">$G1348*'Analyse capacite'!$C$9</f>
        <v>0</v>
      </c>
      <c r="J1348" s="135" t="n">
        <f aca="false">$G1348*'Analyse capacite'!$D$9</f>
        <v>0</v>
      </c>
      <c r="K1348" s="135" t="n">
        <f aca="false">$G1348*'Analyse capacite'!$E$9</f>
        <v>0</v>
      </c>
    </row>
    <row r="1349" customFormat="false" ht="15" hidden="false" customHeight="false" outlineLevel="0" collapsed="false">
      <c r="B1349" s="130" t="n">
        <v>2027</v>
      </c>
      <c r="C1349" s="131" t="s">
        <v>247</v>
      </c>
      <c r="D1349" s="132" t="n">
        <v>46515</v>
      </c>
      <c r="E1349" s="131" t="s">
        <v>40</v>
      </c>
      <c r="F1349" s="133" t="s">
        <v>11</v>
      </c>
      <c r="G1349" s="134" t="n">
        <f aca="false">LEN('Saisie programme'!$I$64)+SUMIFS('Vols additionnels'!$E$7:$E$66,'Vols additionnels'!$C$7:$C$66,$E1349,'Vols additionnels'!$D$7:$D$66,$F1349,'Vols additionnels'!$B$7:$B$66,$D1349)</f>
        <v>0</v>
      </c>
      <c r="H1349" s="135" t="n">
        <f aca="false">$G1349*'Analyse capacite'!$F$7</f>
        <v>0</v>
      </c>
      <c r="I1349" s="135" t="n">
        <f aca="false">$G1349*'Analyse capacite'!$C$7</f>
        <v>0</v>
      </c>
      <c r="J1349" s="135" t="n">
        <f aca="false">$G1349*'Analyse capacite'!$D$7</f>
        <v>0</v>
      </c>
      <c r="K1349" s="135" t="n">
        <f aca="false">$G1349*'Analyse capacite'!$E$7</f>
        <v>0</v>
      </c>
    </row>
    <row r="1350" customFormat="false" ht="15" hidden="false" customHeight="false" outlineLevel="0" collapsed="false">
      <c r="B1350" s="130" t="n">
        <v>2027</v>
      </c>
      <c r="C1350" s="131" t="s">
        <v>247</v>
      </c>
      <c r="D1350" s="132" t="n">
        <v>46515</v>
      </c>
      <c r="E1350" s="131" t="s">
        <v>40</v>
      </c>
      <c r="F1350" s="133" t="s">
        <v>19</v>
      </c>
      <c r="G1350" s="134" t="n">
        <f aca="false">LEN('Saisie programme'!$I$65)+SUMIFS('Vols additionnels'!$E$7:$E$66,'Vols additionnels'!$C$7:$C$66,$E1350,'Vols additionnels'!$D$7:$D$66,$F1350,'Vols additionnels'!$B$7:$B$66,$D1350)</f>
        <v>0</v>
      </c>
      <c r="H1350" s="135" t="n">
        <f aca="false">$G1350*'Analyse capacite'!$F$8</f>
        <v>0</v>
      </c>
      <c r="I1350" s="135" t="n">
        <f aca="false">$G1350*'Analyse capacite'!$C$8</f>
        <v>0</v>
      </c>
      <c r="J1350" s="135" t="n">
        <f aca="false">$G1350*'Analyse capacite'!$D$8</f>
        <v>0</v>
      </c>
      <c r="K1350" s="135" t="n">
        <f aca="false">$G1350*'Analyse capacite'!$E$8</f>
        <v>0</v>
      </c>
    </row>
    <row r="1351" customFormat="false" ht="15" hidden="false" customHeight="false" outlineLevel="0" collapsed="false">
      <c r="B1351" s="130" t="n">
        <v>2027</v>
      </c>
      <c r="C1351" s="131" t="s">
        <v>247</v>
      </c>
      <c r="D1351" s="132" t="n">
        <v>46515</v>
      </c>
      <c r="E1351" s="131" t="s">
        <v>40</v>
      </c>
      <c r="F1351" s="133" t="s">
        <v>24</v>
      </c>
      <c r="G1351" s="134" t="n">
        <f aca="false">LEN('Saisie programme'!$I$66)+SUMIFS('Vols additionnels'!$E$7:$E$66,'Vols additionnels'!$C$7:$C$66,$E1351,'Vols additionnels'!$D$7:$D$66,$F1351,'Vols additionnels'!$B$7:$B$66,$D1351)</f>
        <v>0</v>
      </c>
      <c r="H1351" s="135" t="n">
        <f aca="false">$G1351*'Analyse capacite'!$F$9</f>
        <v>0</v>
      </c>
      <c r="I1351" s="135" t="n">
        <f aca="false">$G1351*'Analyse capacite'!$C$9</f>
        <v>0</v>
      </c>
      <c r="J1351" s="135" t="n">
        <f aca="false">$G1351*'Analyse capacite'!$D$9</f>
        <v>0</v>
      </c>
      <c r="K1351" s="135" t="n">
        <f aca="false">$G1351*'Analyse capacite'!$E$9</f>
        <v>0</v>
      </c>
    </row>
    <row r="1352" customFormat="false" ht="15" hidden="false" customHeight="false" outlineLevel="0" collapsed="false">
      <c r="B1352" s="130" t="n">
        <v>2027</v>
      </c>
      <c r="C1352" s="131" t="s">
        <v>247</v>
      </c>
      <c r="D1352" s="132" t="n">
        <v>46515</v>
      </c>
      <c r="E1352" s="131" t="s">
        <v>14</v>
      </c>
      <c r="F1352" s="133" t="s">
        <v>11</v>
      </c>
      <c r="G1352" s="134" t="n">
        <f aca="false">LEN('Saisie programme'!$I$67)+SUMIFS('Vols additionnels'!$E$7:$E$66,'Vols additionnels'!$C$7:$C$66,$E1352,'Vols additionnels'!$D$7:$D$66,$F1352,'Vols additionnels'!$B$7:$B$66,$D1352)</f>
        <v>0</v>
      </c>
      <c r="H1352" s="135" t="n">
        <f aca="false">$G1352*'Analyse capacite'!$F$7</f>
        <v>0</v>
      </c>
      <c r="I1352" s="135" t="n">
        <f aca="false">$G1352*'Analyse capacite'!$C$7</f>
        <v>0</v>
      </c>
      <c r="J1352" s="135" t="n">
        <f aca="false">$G1352*'Analyse capacite'!$D$7</f>
        <v>0</v>
      </c>
      <c r="K1352" s="135" t="n">
        <f aca="false">$G1352*'Analyse capacite'!$E$7</f>
        <v>0</v>
      </c>
    </row>
    <row r="1353" customFormat="false" ht="15" hidden="false" customHeight="false" outlineLevel="0" collapsed="false">
      <c r="B1353" s="130" t="n">
        <v>2027</v>
      </c>
      <c r="C1353" s="131" t="s">
        <v>247</v>
      </c>
      <c r="D1353" s="132" t="n">
        <v>46515</v>
      </c>
      <c r="E1353" s="131" t="s">
        <v>14</v>
      </c>
      <c r="F1353" s="133" t="s">
        <v>19</v>
      </c>
      <c r="G1353" s="134" t="n">
        <f aca="false">LEN('Saisie programme'!$I$68)+SUMIFS('Vols additionnels'!$E$7:$E$66,'Vols additionnels'!$C$7:$C$66,$E1353,'Vols additionnels'!$D$7:$D$66,$F1353,'Vols additionnels'!$B$7:$B$66,$D1353)</f>
        <v>0</v>
      </c>
      <c r="H1353" s="135" t="n">
        <f aca="false">$G1353*'Analyse capacite'!$F$8</f>
        <v>0</v>
      </c>
      <c r="I1353" s="135" t="n">
        <f aca="false">$G1353*'Analyse capacite'!$C$8</f>
        <v>0</v>
      </c>
      <c r="J1353" s="135" t="n">
        <f aca="false">$G1353*'Analyse capacite'!$D$8</f>
        <v>0</v>
      </c>
      <c r="K1353" s="135" t="n">
        <f aca="false">$G1353*'Analyse capacite'!$E$8</f>
        <v>0</v>
      </c>
    </row>
    <row r="1354" customFormat="false" ht="15" hidden="false" customHeight="false" outlineLevel="0" collapsed="false">
      <c r="B1354" s="130" t="n">
        <v>2027</v>
      </c>
      <c r="C1354" s="131" t="s">
        <v>247</v>
      </c>
      <c r="D1354" s="132" t="n">
        <v>46515</v>
      </c>
      <c r="E1354" s="131" t="s">
        <v>14</v>
      </c>
      <c r="F1354" s="133" t="s">
        <v>24</v>
      </c>
      <c r="G1354" s="134" t="n">
        <f aca="false">LEN('Saisie programme'!$I$69)+SUMIFS('Vols additionnels'!$E$7:$E$66,'Vols additionnels'!$C$7:$C$66,$E1354,'Vols additionnels'!$D$7:$D$66,$F1354,'Vols additionnels'!$B$7:$B$66,$D1354)</f>
        <v>1</v>
      </c>
      <c r="H1354" s="135" t="n">
        <f aca="false">$G1354*'Analyse capacite'!$F$9</f>
        <v>174</v>
      </c>
      <c r="I1354" s="135" t="n">
        <f aca="false">$G1354*'Analyse capacite'!$C$9</f>
        <v>0</v>
      </c>
      <c r="J1354" s="135" t="n">
        <f aca="false">$G1354*'Analyse capacite'!$D$9</f>
        <v>12</v>
      </c>
      <c r="K1354" s="135" t="n">
        <f aca="false">$G1354*'Analyse capacite'!$E$9</f>
        <v>162</v>
      </c>
    </row>
    <row r="1355" customFormat="false" ht="15" hidden="false" customHeight="false" outlineLevel="0" collapsed="false">
      <c r="B1355" s="130" t="n">
        <v>2027</v>
      </c>
      <c r="C1355" s="131" t="s">
        <v>247</v>
      </c>
      <c r="D1355" s="132" t="n">
        <v>46515</v>
      </c>
      <c r="E1355" s="131" t="s">
        <v>46</v>
      </c>
      <c r="F1355" s="133" t="s">
        <v>11</v>
      </c>
      <c r="G1355" s="134" t="n">
        <f aca="false">LEN('Saisie programme'!$I$70)+SUMIFS('Vols additionnels'!$E$7:$E$66,'Vols additionnels'!$C$7:$C$66,$E1355,'Vols additionnels'!$D$7:$D$66,$F1355,'Vols additionnels'!$B$7:$B$66,$D1355)</f>
        <v>0</v>
      </c>
      <c r="H1355" s="135" t="n">
        <f aca="false">$G1355*'Analyse capacite'!$F$7</f>
        <v>0</v>
      </c>
      <c r="I1355" s="135" t="n">
        <f aca="false">$G1355*'Analyse capacite'!$C$7</f>
        <v>0</v>
      </c>
      <c r="J1355" s="135" t="n">
        <f aca="false">$G1355*'Analyse capacite'!$D$7</f>
        <v>0</v>
      </c>
      <c r="K1355" s="135" t="n">
        <f aca="false">$G1355*'Analyse capacite'!$E$7</f>
        <v>0</v>
      </c>
    </row>
    <row r="1356" customFormat="false" ht="15" hidden="false" customHeight="false" outlineLevel="0" collapsed="false">
      <c r="B1356" s="130" t="n">
        <v>2027</v>
      </c>
      <c r="C1356" s="131" t="s">
        <v>247</v>
      </c>
      <c r="D1356" s="132" t="n">
        <v>46515</v>
      </c>
      <c r="E1356" s="131" t="s">
        <v>46</v>
      </c>
      <c r="F1356" s="133" t="s">
        <v>19</v>
      </c>
      <c r="G1356" s="134" t="n">
        <f aca="false">LEN('Saisie programme'!$I$71)+SUMIFS('Vols additionnels'!$E$7:$E$66,'Vols additionnels'!$C$7:$C$66,$E1356,'Vols additionnels'!$D$7:$D$66,$F1356,'Vols additionnels'!$B$7:$B$66,$D1356)</f>
        <v>0</v>
      </c>
      <c r="H1356" s="135" t="n">
        <f aca="false">$G1356*'Analyse capacite'!$F$8</f>
        <v>0</v>
      </c>
      <c r="I1356" s="135" t="n">
        <f aca="false">$G1356*'Analyse capacite'!$C$8</f>
        <v>0</v>
      </c>
      <c r="J1356" s="135" t="n">
        <f aca="false">$G1356*'Analyse capacite'!$D$8</f>
        <v>0</v>
      </c>
      <c r="K1356" s="135" t="n">
        <f aca="false">$G1356*'Analyse capacite'!$E$8</f>
        <v>0</v>
      </c>
    </row>
    <row r="1357" customFormat="false" ht="15" hidden="false" customHeight="false" outlineLevel="0" collapsed="false">
      <c r="B1357" s="130" t="n">
        <v>2027</v>
      </c>
      <c r="C1357" s="131" t="s">
        <v>247</v>
      </c>
      <c r="D1357" s="132" t="n">
        <v>46515</v>
      </c>
      <c r="E1357" s="131" t="s">
        <v>46</v>
      </c>
      <c r="F1357" s="133" t="s">
        <v>24</v>
      </c>
      <c r="G1357" s="134" t="n">
        <f aca="false">LEN('Saisie programme'!$I$72)+SUMIFS('Vols additionnels'!$E$7:$E$66,'Vols additionnels'!$C$7:$C$66,$E1357,'Vols additionnels'!$D$7:$D$66,$F1357,'Vols additionnels'!$B$7:$B$66,$D1357)</f>
        <v>1</v>
      </c>
      <c r="H1357" s="135" t="n">
        <f aca="false">$G1357*'Analyse capacite'!$F$9</f>
        <v>174</v>
      </c>
      <c r="I1357" s="135" t="n">
        <f aca="false">$G1357*'Analyse capacite'!$C$9</f>
        <v>0</v>
      </c>
      <c r="J1357" s="135" t="n">
        <f aca="false">$G1357*'Analyse capacite'!$D$9</f>
        <v>12</v>
      </c>
      <c r="K1357" s="135" t="n">
        <f aca="false">$G1357*'Analyse capacite'!$E$9</f>
        <v>162</v>
      </c>
    </row>
    <row r="1358" customFormat="false" ht="15" hidden="false" customHeight="false" outlineLevel="0" collapsed="false">
      <c r="B1358" s="130" t="n">
        <v>2027</v>
      </c>
      <c r="C1358" s="131" t="s">
        <v>247</v>
      </c>
      <c r="D1358" s="132" t="n">
        <v>46515</v>
      </c>
      <c r="E1358" s="131" t="s">
        <v>49</v>
      </c>
      <c r="F1358" s="133" t="s">
        <v>11</v>
      </c>
      <c r="G1358" s="134" t="n">
        <f aca="false">LEN('Saisie programme'!$I$73)+SUMIFS('Vols additionnels'!$E$7:$E$66,'Vols additionnels'!$C$7:$C$66,$E1358,'Vols additionnels'!$D$7:$D$66,$F1358,'Vols additionnels'!$B$7:$B$66,$D1358)</f>
        <v>0</v>
      </c>
      <c r="H1358" s="135" t="n">
        <f aca="false">$G1358*'Analyse capacite'!$F$7</f>
        <v>0</v>
      </c>
      <c r="I1358" s="135" t="n">
        <f aca="false">$G1358*'Analyse capacite'!$C$7</f>
        <v>0</v>
      </c>
      <c r="J1358" s="135" t="n">
        <f aca="false">$G1358*'Analyse capacite'!$D$7</f>
        <v>0</v>
      </c>
      <c r="K1358" s="135" t="n">
        <f aca="false">$G1358*'Analyse capacite'!$E$7</f>
        <v>0</v>
      </c>
    </row>
    <row r="1359" customFormat="false" ht="15" hidden="false" customHeight="false" outlineLevel="0" collapsed="false">
      <c r="B1359" s="130" t="n">
        <v>2027</v>
      </c>
      <c r="C1359" s="131" t="s">
        <v>247</v>
      </c>
      <c r="D1359" s="132" t="n">
        <v>46515</v>
      </c>
      <c r="E1359" s="131" t="s">
        <v>49</v>
      </c>
      <c r="F1359" s="133" t="s">
        <v>19</v>
      </c>
      <c r="G1359" s="134" t="n">
        <f aca="false">LEN('Saisie programme'!$I$74)+SUMIFS('Vols additionnels'!$E$7:$E$66,'Vols additionnels'!$C$7:$C$66,$E1359,'Vols additionnels'!$D$7:$D$66,$F1359,'Vols additionnels'!$B$7:$B$66,$D1359)</f>
        <v>0</v>
      </c>
      <c r="H1359" s="135" t="n">
        <f aca="false">$G1359*'Analyse capacite'!$F$8</f>
        <v>0</v>
      </c>
      <c r="I1359" s="135" t="n">
        <f aca="false">$G1359*'Analyse capacite'!$C$8</f>
        <v>0</v>
      </c>
      <c r="J1359" s="135" t="n">
        <f aca="false">$G1359*'Analyse capacite'!$D$8</f>
        <v>0</v>
      </c>
      <c r="K1359" s="135" t="n">
        <f aca="false">$G1359*'Analyse capacite'!$E$8</f>
        <v>0</v>
      </c>
    </row>
    <row r="1360" customFormat="false" ht="15" hidden="false" customHeight="false" outlineLevel="0" collapsed="false">
      <c r="B1360" s="130" t="n">
        <v>2027</v>
      </c>
      <c r="C1360" s="131" t="s">
        <v>247</v>
      </c>
      <c r="D1360" s="132" t="n">
        <v>46515</v>
      </c>
      <c r="E1360" s="131" t="s">
        <v>49</v>
      </c>
      <c r="F1360" s="133" t="s">
        <v>24</v>
      </c>
      <c r="G1360" s="134" t="n">
        <f aca="false">LEN('Saisie programme'!$I$75)+SUMIFS('Vols additionnels'!$E$7:$E$66,'Vols additionnels'!$C$7:$C$66,$E1360,'Vols additionnels'!$D$7:$D$66,$F1360,'Vols additionnels'!$B$7:$B$66,$D1360)</f>
        <v>0</v>
      </c>
      <c r="H1360" s="135" t="n">
        <f aca="false">$G1360*'Analyse capacite'!$F$9</f>
        <v>0</v>
      </c>
      <c r="I1360" s="135" t="n">
        <f aca="false">$G1360*'Analyse capacite'!$C$9</f>
        <v>0</v>
      </c>
      <c r="J1360" s="135" t="n">
        <f aca="false">$G1360*'Analyse capacite'!$D$9</f>
        <v>0</v>
      </c>
      <c r="K1360" s="135" t="n">
        <f aca="false">$G1360*'Analyse capacite'!$E$9</f>
        <v>0</v>
      </c>
    </row>
    <row r="1361" customFormat="false" ht="15" hidden="false" customHeight="false" outlineLevel="0" collapsed="false">
      <c r="B1361" s="130" t="n">
        <v>2027</v>
      </c>
      <c r="C1361" s="131" t="s">
        <v>247</v>
      </c>
      <c r="D1361" s="132" t="n">
        <v>46515</v>
      </c>
      <c r="E1361" s="131" t="s">
        <v>53</v>
      </c>
      <c r="F1361" s="133" t="s">
        <v>11</v>
      </c>
      <c r="G1361" s="134" t="n">
        <f aca="false">LEN('Saisie programme'!$I$76)+SUMIFS('Vols additionnels'!$E$7:$E$66,'Vols additionnels'!$C$7:$C$66,$E1361,'Vols additionnels'!$D$7:$D$66,$F1361,'Vols additionnels'!$B$7:$B$66,$D1361)</f>
        <v>0</v>
      </c>
      <c r="H1361" s="135" t="n">
        <f aca="false">$G1361*'Analyse capacite'!$F$7</f>
        <v>0</v>
      </c>
      <c r="I1361" s="135" t="n">
        <f aca="false">$G1361*'Analyse capacite'!$C$7</f>
        <v>0</v>
      </c>
      <c r="J1361" s="135" t="n">
        <f aca="false">$G1361*'Analyse capacite'!$D$7</f>
        <v>0</v>
      </c>
      <c r="K1361" s="135" t="n">
        <f aca="false">$G1361*'Analyse capacite'!$E$7</f>
        <v>0</v>
      </c>
    </row>
    <row r="1362" customFormat="false" ht="15" hidden="false" customHeight="false" outlineLevel="0" collapsed="false">
      <c r="B1362" s="130" t="n">
        <v>2027</v>
      </c>
      <c r="C1362" s="131" t="s">
        <v>247</v>
      </c>
      <c r="D1362" s="132" t="n">
        <v>46515</v>
      </c>
      <c r="E1362" s="131" t="s">
        <v>53</v>
      </c>
      <c r="F1362" s="133" t="s">
        <v>19</v>
      </c>
      <c r="G1362" s="134" t="n">
        <f aca="false">LEN('Saisie programme'!$I$77)+SUMIFS('Vols additionnels'!$E$7:$E$66,'Vols additionnels'!$C$7:$C$66,$E1362,'Vols additionnels'!$D$7:$D$66,$F1362,'Vols additionnels'!$B$7:$B$66,$D1362)</f>
        <v>0</v>
      </c>
      <c r="H1362" s="135" t="n">
        <f aca="false">$G1362*'Analyse capacite'!$F$8</f>
        <v>0</v>
      </c>
      <c r="I1362" s="135" t="n">
        <f aca="false">$G1362*'Analyse capacite'!$C$8</f>
        <v>0</v>
      </c>
      <c r="J1362" s="135" t="n">
        <f aca="false">$G1362*'Analyse capacite'!$D$8</f>
        <v>0</v>
      </c>
      <c r="K1362" s="135" t="n">
        <f aca="false">$G1362*'Analyse capacite'!$E$8</f>
        <v>0</v>
      </c>
    </row>
    <row r="1363" customFormat="false" ht="15" hidden="false" customHeight="false" outlineLevel="0" collapsed="false">
      <c r="B1363" s="130" t="n">
        <v>2027</v>
      </c>
      <c r="C1363" s="131" t="s">
        <v>247</v>
      </c>
      <c r="D1363" s="132" t="n">
        <v>46515</v>
      </c>
      <c r="E1363" s="131" t="s">
        <v>53</v>
      </c>
      <c r="F1363" s="133" t="s">
        <v>24</v>
      </c>
      <c r="G1363" s="134" t="n">
        <f aca="false">LEN('Saisie programme'!$I$78)+SUMIFS('Vols additionnels'!$E$7:$E$66,'Vols additionnels'!$C$7:$C$66,$E1363,'Vols additionnels'!$D$7:$D$66,$F1363,'Vols additionnels'!$B$7:$B$66,$D1363)</f>
        <v>0</v>
      </c>
      <c r="H1363" s="135" t="n">
        <f aca="false">$G1363*'Analyse capacite'!$F$9</f>
        <v>0</v>
      </c>
      <c r="I1363" s="135" t="n">
        <f aca="false">$G1363*'Analyse capacite'!$C$9</f>
        <v>0</v>
      </c>
      <c r="J1363" s="135" t="n">
        <f aca="false">$G1363*'Analyse capacite'!$D$9</f>
        <v>0</v>
      </c>
      <c r="K1363" s="135" t="n">
        <f aca="false">$G1363*'Analyse capacite'!$E$9</f>
        <v>0</v>
      </c>
    </row>
    <row r="1364" customFormat="false" ht="15" hidden="false" customHeight="false" outlineLevel="0" collapsed="false">
      <c r="B1364" s="130" t="n">
        <v>2027</v>
      </c>
      <c r="C1364" s="131" t="s">
        <v>247</v>
      </c>
      <c r="D1364" s="132" t="n">
        <v>46515</v>
      </c>
      <c r="E1364" s="131" t="s">
        <v>56</v>
      </c>
      <c r="F1364" s="133" t="s">
        <v>11</v>
      </c>
      <c r="G1364" s="134" t="n">
        <f aca="false">LEN('Saisie programme'!$I$79)+SUMIFS('Vols additionnels'!$E$7:$E$66,'Vols additionnels'!$C$7:$C$66,$E1364,'Vols additionnels'!$D$7:$D$66,$F1364,'Vols additionnels'!$B$7:$B$66,$D1364)</f>
        <v>0</v>
      </c>
      <c r="H1364" s="135" t="n">
        <f aca="false">$G1364*'Analyse capacite'!$F$7</f>
        <v>0</v>
      </c>
      <c r="I1364" s="135" t="n">
        <f aca="false">$G1364*'Analyse capacite'!$C$7</f>
        <v>0</v>
      </c>
      <c r="J1364" s="135" t="n">
        <f aca="false">$G1364*'Analyse capacite'!$D$7</f>
        <v>0</v>
      </c>
      <c r="K1364" s="135" t="n">
        <f aca="false">$G1364*'Analyse capacite'!$E$7</f>
        <v>0</v>
      </c>
    </row>
    <row r="1365" customFormat="false" ht="15" hidden="false" customHeight="false" outlineLevel="0" collapsed="false">
      <c r="B1365" s="130" t="n">
        <v>2027</v>
      </c>
      <c r="C1365" s="131" t="s">
        <v>247</v>
      </c>
      <c r="D1365" s="132" t="n">
        <v>46515</v>
      </c>
      <c r="E1365" s="131" t="s">
        <v>56</v>
      </c>
      <c r="F1365" s="133" t="s">
        <v>19</v>
      </c>
      <c r="G1365" s="134" t="n">
        <f aca="false">LEN('Saisie programme'!$I$80)+SUMIFS('Vols additionnels'!$E$7:$E$66,'Vols additionnels'!$C$7:$C$66,$E1365,'Vols additionnels'!$D$7:$D$66,$F1365,'Vols additionnels'!$B$7:$B$66,$D1365)</f>
        <v>0</v>
      </c>
      <c r="H1365" s="135" t="n">
        <f aca="false">$G1365*'Analyse capacite'!$F$8</f>
        <v>0</v>
      </c>
      <c r="I1365" s="135" t="n">
        <f aca="false">$G1365*'Analyse capacite'!$C$8</f>
        <v>0</v>
      </c>
      <c r="J1365" s="135" t="n">
        <f aca="false">$G1365*'Analyse capacite'!$D$8</f>
        <v>0</v>
      </c>
      <c r="K1365" s="135" t="n">
        <f aca="false">$G1365*'Analyse capacite'!$E$8</f>
        <v>0</v>
      </c>
    </row>
    <row r="1366" customFormat="false" ht="15" hidden="false" customHeight="false" outlineLevel="0" collapsed="false">
      <c r="B1366" s="130" t="n">
        <v>2027</v>
      </c>
      <c r="C1366" s="131" t="s">
        <v>247</v>
      </c>
      <c r="D1366" s="132" t="n">
        <v>46515</v>
      </c>
      <c r="E1366" s="131" t="s">
        <v>56</v>
      </c>
      <c r="F1366" s="133" t="s">
        <v>24</v>
      </c>
      <c r="G1366" s="134" t="n">
        <f aca="false">LEN('Saisie programme'!$I$81)+SUMIFS('Vols additionnels'!$E$7:$E$66,'Vols additionnels'!$C$7:$C$66,$E1366,'Vols additionnels'!$D$7:$D$66,$F1366,'Vols additionnels'!$B$7:$B$66,$D1366)</f>
        <v>1</v>
      </c>
      <c r="H1366" s="135" t="n">
        <f aca="false">$G1366*'Analyse capacite'!$F$9</f>
        <v>174</v>
      </c>
      <c r="I1366" s="135" t="n">
        <f aca="false">$G1366*'Analyse capacite'!$C$9</f>
        <v>0</v>
      </c>
      <c r="J1366" s="135" t="n">
        <f aca="false">$G1366*'Analyse capacite'!$D$9</f>
        <v>12</v>
      </c>
      <c r="K1366" s="135" t="n">
        <f aca="false">$G1366*'Analyse capacite'!$E$9</f>
        <v>162</v>
      </c>
    </row>
    <row r="1367" customFormat="false" ht="15" hidden="false" customHeight="false" outlineLevel="0" collapsed="false">
      <c r="B1367" s="130" t="n">
        <v>2027</v>
      </c>
      <c r="C1367" s="131" t="s">
        <v>247</v>
      </c>
      <c r="D1367" s="132" t="n">
        <v>46515</v>
      </c>
      <c r="E1367" s="131" t="s">
        <v>59</v>
      </c>
      <c r="F1367" s="133" t="s">
        <v>11</v>
      </c>
      <c r="G1367" s="134" t="n">
        <f aca="false">LEN('Saisie programme'!$I$82)+SUMIFS('Vols additionnels'!$E$7:$E$66,'Vols additionnels'!$C$7:$C$66,$E1367,'Vols additionnels'!$D$7:$D$66,$F1367,'Vols additionnels'!$B$7:$B$66,$D1367)</f>
        <v>0</v>
      </c>
      <c r="H1367" s="135" t="n">
        <f aca="false">$G1367*'Analyse capacite'!$F$7</f>
        <v>0</v>
      </c>
      <c r="I1367" s="135" t="n">
        <f aca="false">$G1367*'Analyse capacite'!$C$7</f>
        <v>0</v>
      </c>
      <c r="J1367" s="135" t="n">
        <f aca="false">$G1367*'Analyse capacite'!$D$7</f>
        <v>0</v>
      </c>
      <c r="K1367" s="135" t="n">
        <f aca="false">$G1367*'Analyse capacite'!$E$7</f>
        <v>0</v>
      </c>
    </row>
    <row r="1368" customFormat="false" ht="15" hidden="false" customHeight="false" outlineLevel="0" collapsed="false">
      <c r="B1368" s="130" t="n">
        <v>2027</v>
      </c>
      <c r="C1368" s="131" t="s">
        <v>247</v>
      </c>
      <c r="D1368" s="132" t="n">
        <v>46515</v>
      </c>
      <c r="E1368" s="131" t="s">
        <v>59</v>
      </c>
      <c r="F1368" s="133" t="s">
        <v>19</v>
      </c>
      <c r="G1368" s="134" t="n">
        <f aca="false">LEN('Saisie programme'!$I$83)+SUMIFS('Vols additionnels'!$E$7:$E$66,'Vols additionnels'!$C$7:$C$66,$E1368,'Vols additionnels'!$D$7:$D$66,$F1368,'Vols additionnels'!$B$7:$B$66,$D1368)</f>
        <v>0</v>
      </c>
      <c r="H1368" s="135" t="n">
        <f aca="false">$G1368*'Analyse capacite'!$F$8</f>
        <v>0</v>
      </c>
      <c r="I1368" s="135" t="n">
        <f aca="false">$G1368*'Analyse capacite'!$C$8</f>
        <v>0</v>
      </c>
      <c r="J1368" s="135" t="n">
        <f aca="false">$G1368*'Analyse capacite'!$D$8</f>
        <v>0</v>
      </c>
      <c r="K1368" s="135" t="n">
        <f aca="false">$G1368*'Analyse capacite'!$E$8</f>
        <v>0</v>
      </c>
    </row>
    <row r="1369" customFormat="false" ht="15" hidden="false" customHeight="false" outlineLevel="0" collapsed="false">
      <c r="B1369" s="130" t="n">
        <v>2027</v>
      </c>
      <c r="C1369" s="131" t="s">
        <v>247</v>
      </c>
      <c r="D1369" s="132" t="n">
        <v>46515</v>
      </c>
      <c r="E1369" s="131" t="s">
        <v>59</v>
      </c>
      <c r="F1369" s="133" t="s">
        <v>24</v>
      </c>
      <c r="G1369" s="134" t="n">
        <f aca="false">LEN('Saisie programme'!$I$84)+SUMIFS('Vols additionnels'!$E$7:$E$66,'Vols additionnels'!$C$7:$C$66,$E1369,'Vols additionnels'!$D$7:$D$66,$F1369,'Vols additionnels'!$B$7:$B$66,$D1369)</f>
        <v>1</v>
      </c>
      <c r="H1369" s="135" t="n">
        <f aca="false">$G1369*'Analyse capacite'!$F$9</f>
        <v>174</v>
      </c>
      <c r="I1369" s="135" t="n">
        <f aca="false">$G1369*'Analyse capacite'!$C$9</f>
        <v>0</v>
      </c>
      <c r="J1369" s="135" t="n">
        <f aca="false">$G1369*'Analyse capacite'!$D$9</f>
        <v>12</v>
      </c>
      <c r="K1369" s="135" t="n">
        <f aca="false">$G1369*'Analyse capacite'!$E$9</f>
        <v>162</v>
      </c>
    </row>
    <row r="1370" customFormat="false" ht="15" hidden="false" customHeight="false" outlineLevel="0" collapsed="false">
      <c r="B1370" s="130" t="n">
        <v>2027</v>
      </c>
      <c r="C1370" s="131" t="s">
        <v>247</v>
      </c>
      <c r="D1370" s="132" t="n">
        <v>46515</v>
      </c>
      <c r="E1370" s="131" t="s">
        <v>62</v>
      </c>
      <c r="F1370" s="133" t="s">
        <v>11</v>
      </c>
      <c r="G1370" s="134" t="n">
        <f aca="false">LEN('Saisie programme'!$I$85)+SUMIFS('Vols additionnels'!$E$7:$E$66,'Vols additionnels'!$C$7:$C$66,$E1370,'Vols additionnels'!$D$7:$D$66,$F1370,'Vols additionnels'!$B$7:$B$66,$D1370)</f>
        <v>0</v>
      </c>
      <c r="H1370" s="135" t="n">
        <f aca="false">$G1370*'Analyse capacite'!$F$7</f>
        <v>0</v>
      </c>
      <c r="I1370" s="135" t="n">
        <f aca="false">$G1370*'Analyse capacite'!$C$7</f>
        <v>0</v>
      </c>
      <c r="J1370" s="135" t="n">
        <f aca="false">$G1370*'Analyse capacite'!$D$7</f>
        <v>0</v>
      </c>
      <c r="K1370" s="135" t="n">
        <f aca="false">$G1370*'Analyse capacite'!$E$7</f>
        <v>0</v>
      </c>
    </row>
    <row r="1371" customFormat="false" ht="15" hidden="false" customHeight="false" outlineLevel="0" collapsed="false">
      <c r="B1371" s="130" t="n">
        <v>2027</v>
      </c>
      <c r="C1371" s="131" t="s">
        <v>247</v>
      </c>
      <c r="D1371" s="132" t="n">
        <v>46515</v>
      </c>
      <c r="E1371" s="131" t="s">
        <v>62</v>
      </c>
      <c r="F1371" s="133" t="s">
        <v>19</v>
      </c>
      <c r="G1371" s="134" t="n">
        <f aca="false">LEN('Saisie programme'!$I$86)+SUMIFS('Vols additionnels'!$E$7:$E$66,'Vols additionnels'!$C$7:$C$66,$E1371,'Vols additionnels'!$D$7:$D$66,$F1371,'Vols additionnels'!$B$7:$B$66,$D1371)</f>
        <v>0</v>
      </c>
      <c r="H1371" s="135" t="n">
        <f aca="false">$G1371*'Analyse capacite'!$F$8</f>
        <v>0</v>
      </c>
      <c r="I1371" s="135" t="n">
        <f aca="false">$G1371*'Analyse capacite'!$C$8</f>
        <v>0</v>
      </c>
      <c r="J1371" s="135" t="n">
        <f aca="false">$G1371*'Analyse capacite'!$D$8</f>
        <v>0</v>
      </c>
      <c r="K1371" s="135" t="n">
        <f aca="false">$G1371*'Analyse capacite'!$E$8</f>
        <v>0</v>
      </c>
    </row>
    <row r="1372" customFormat="false" ht="15" hidden="false" customHeight="false" outlineLevel="0" collapsed="false">
      <c r="B1372" s="130" t="n">
        <v>2027</v>
      </c>
      <c r="C1372" s="131" t="s">
        <v>247</v>
      </c>
      <c r="D1372" s="132" t="n">
        <v>46515</v>
      </c>
      <c r="E1372" s="131" t="s">
        <v>62</v>
      </c>
      <c r="F1372" s="133" t="s">
        <v>24</v>
      </c>
      <c r="G1372" s="134" t="n">
        <f aca="false">LEN('Saisie programme'!$I$87)+SUMIFS('Vols additionnels'!$E$7:$E$66,'Vols additionnels'!$C$7:$C$66,$E1372,'Vols additionnels'!$D$7:$D$66,$F1372,'Vols additionnels'!$B$7:$B$66,$D1372)</f>
        <v>0</v>
      </c>
      <c r="H1372" s="135" t="n">
        <f aca="false">$G1372*'Analyse capacite'!$F$9</f>
        <v>0</v>
      </c>
      <c r="I1372" s="135" t="n">
        <f aca="false">$G1372*'Analyse capacite'!$C$9</f>
        <v>0</v>
      </c>
      <c r="J1372" s="135" t="n">
        <f aca="false">$G1372*'Analyse capacite'!$D$9</f>
        <v>0</v>
      </c>
      <c r="K1372" s="135" t="n">
        <f aca="false">$G1372*'Analyse capacite'!$E$9</f>
        <v>0</v>
      </c>
    </row>
    <row r="1373" customFormat="false" ht="15" hidden="false" customHeight="false" outlineLevel="0" collapsed="false">
      <c r="B1373" s="130" t="n">
        <v>2027</v>
      </c>
      <c r="C1373" s="131" t="s">
        <v>247</v>
      </c>
      <c r="D1373" s="132" t="n">
        <v>46516</v>
      </c>
      <c r="E1373" s="131" t="s">
        <v>12</v>
      </c>
      <c r="F1373" s="133" t="s">
        <v>11</v>
      </c>
      <c r="G1373" s="134" t="n">
        <f aca="false">LEN('Saisie programme'!$J$52)+SUMIFS('Vols additionnels'!$E$7:$E$66,'Vols additionnels'!$C$7:$C$66,$E1373,'Vols additionnels'!$D$7:$D$66,$F1373,'Vols additionnels'!$B$7:$B$66,$D1373)</f>
        <v>1</v>
      </c>
      <c r="H1373" s="135" t="n">
        <f aca="false">$G1373*'Analyse capacite'!$F$7</f>
        <v>438</v>
      </c>
      <c r="I1373" s="135" t="n">
        <f aca="false">$G1373*'Analyse capacite'!$C$7</f>
        <v>14</v>
      </c>
      <c r="J1373" s="135" t="n">
        <f aca="false">$G1373*'Analyse capacite'!$D$7</f>
        <v>40</v>
      </c>
      <c r="K1373" s="135" t="n">
        <f aca="false">$G1373*'Analyse capacite'!$E$7</f>
        <v>384</v>
      </c>
    </row>
    <row r="1374" customFormat="false" ht="15" hidden="false" customHeight="false" outlineLevel="0" collapsed="false">
      <c r="B1374" s="130" t="n">
        <v>2027</v>
      </c>
      <c r="C1374" s="131" t="s">
        <v>247</v>
      </c>
      <c r="D1374" s="132" t="n">
        <v>46516</v>
      </c>
      <c r="E1374" s="131" t="s">
        <v>12</v>
      </c>
      <c r="F1374" s="133" t="s">
        <v>19</v>
      </c>
      <c r="G1374" s="134" t="n">
        <f aca="false">LEN('Saisie programme'!$J$53)+SUMIFS('Vols additionnels'!$E$7:$E$66,'Vols additionnels'!$C$7:$C$66,$E1374,'Vols additionnels'!$D$7:$D$66,$F1374,'Vols additionnels'!$B$7:$B$66,$D1374)</f>
        <v>0</v>
      </c>
      <c r="H1374" s="135" t="n">
        <f aca="false">$G1374*'Analyse capacite'!$F$8</f>
        <v>0</v>
      </c>
      <c r="I1374" s="135" t="n">
        <f aca="false">$G1374*'Analyse capacite'!$C$8</f>
        <v>0</v>
      </c>
      <c r="J1374" s="135" t="n">
        <f aca="false">$G1374*'Analyse capacite'!$D$8</f>
        <v>0</v>
      </c>
      <c r="K1374" s="135" t="n">
        <f aca="false">$G1374*'Analyse capacite'!$E$8</f>
        <v>0</v>
      </c>
    </row>
    <row r="1375" customFormat="false" ht="15" hidden="false" customHeight="false" outlineLevel="0" collapsed="false">
      <c r="B1375" s="130" t="n">
        <v>2027</v>
      </c>
      <c r="C1375" s="131" t="s">
        <v>247</v>
      </c>
      <c r="D1375" s="132" t="n">
        <v>46516</v>
      </c>
      <c r="E1375" s="131" t="s">
        <v>12</v>
      </c>
      <c r="F1375" s="133" t="s">
        <v>24</v>
      </c>
      <c r="G1375" s="134" t="n">
        <f aca="false">LEN('Saisie programme'!$J$54)+SUMIFS('Vols additionnels'!$E$7:$E$66,'Vols additionnels'!$C$7:$C$66,$E1375,'Vols additionnels'!$D$7:$D$66,$F1375,'Vols additionnels'!$B$7:$B$66,$D1375)</f>
        <v>0</v>
      </c>
      <c r="H1375" s="135" t="n">
        <f aca="false">$G1375*'Analyse capacite'!$F$9</f>
        <v>0</v>
      </c>
      <c r="I1375" s="135" t="n">
        <f aca="false">$G1375*'Analyse capacite'!$C$9</f>
        <v>0</v>
      </c>
      <c r="J1375" s="135" t="n">
        <f aca="false">$G1375*'Analyse capacite'!$D$9</f>
        <v>0</v>
      </c>
      <c r="K1375" s="135" t="n">
        <f aca="false">$G1375*'Analyse capacite'!$E$9</f>
        <v>0</v>
      </c>
    </row>
    <row r="1376" customFormat="false" ht="15" hidden="false" customHeight="false" outlineLevel="0" collapsed="false">
      <c r="B1376" s="130" t="n">
        <v>2027</v>
      </c>
      <c r="C1376" s="131" t="s">
        <v>247</v>
      </c>
      <c r="D1376" s="132" t="n">
        <v>46516</v>
      </c>
      <c r="E1376" s="131" t="s">
        <v>20</v>
      </c>
      <c r="F1376" s="133" t="s">
        <v>11</v>
      </c>
      <c r="G1376" s="134" t="n">
        <f aca="false">LEN('Saisie programme'!$J$55)+SUMIFS('Vols additionnels'!$E$7:$E$66,'Vols additionnels'!$C$7:$C$66,$E1376,'Vols additionnels'!$D$7:$D$66,$F1376,'Vols additionnels'!$B$7:$B$66,$D1376)</f>
        <v>1</v>
      </c>
      <c r="H1376" s="135" t="n">
        <f aca="false">$G1376*'Analyse capacite'!$F$7</f>
        <v>438</v>
      </c>
      <c r="I1376" s="135" t="n">
        <f aca="false">$G1376*'Analyse capacite'!$C$7</f>
        <v>14</v>
      </c>
      <c r="J1376" s="135" t="n">
        <f aca="false">$G1376*'Analyse capacite'!$D$7</f>
        <v>40</v>
      </c>
      <c r="K1376" s="135" t="n">
        <f aca="false">$G1376*'Analyse capacite'!$E$7</f>
        <v>384</v>
      </c>
    </row>
    <row r="1377" customFormat="false" ht="15" hidden="false" customHeight="false" outlineLevel="0" collapsed="false">
      <c r="B1377" s="130" t="n">
        <v>2027</v>
      </c>
      <c r="C1377" s="131" t="s">
        <v>247</v>
      </c>
      <c r="D1377" s="132" t="n">
        <v>46516</v>
      </c>
      <c r="E1377" s="131" t="s">
        <v>20</v>
      </c>
      <c r="F1377" s="133" t="s">
        <v>19</v>
      </c>
      <c r="G1377" s="134" t="n">
        <f aca="false">LEN('Saisie programme'!$J$56)+SUMIFS('Vols additionnels'!$E$7:$E$66,'Vols additionnels'!$C$7:$C$66,$E1377,'Vols additionnels'!$D$7:$D$66,$F1377,'Vols additionnels'!$B$7:$B$66,$D1377)</f>
        <v>0</v>
      </c>
      <c r="H1377" s="135" t="n">
        <f aca="false">$G1377*'Analyse capacite'!$F$8</f>
        <v>0</v>
      </c>
      <c r="I1377" s="135" t="n">
        <f aca="false">$G1377*'Analyse capacite'!$C$8</f>
        <v>0</v>
      </c>
      <c r="J1377" s="135" t="n">
        <f aca="false">$G1377*'Analyse capacite'!$D$8</f>
        <v>0</v>
      </c>
      <c r="K1377" s="135" t="n">
        <f aca="false">$G1377*'Analyse capacite'!$E$8</f>
        <v>0</v>
      </c>
    </row>
    <row r="1378" customFormat="false" ht="15" hidden="false" customHeight="false" outlineLevel="0" collapsed="false">
      <c r="B1378" s="130" t="n">
        <v>2027</v>
      </c>
      <c r="C1378" s="131" t="s">
        <v>247</v>
      </c>
      <c r="D1378" s="132" t="n">
        <v>46516</v>
      </c>
      <c r="E1378" s="131" t="s">
        <v>20</v>
      </c>
      <c r="F1378" s="133" t="s">
        <v>24</v>
      </c>
      <c r="G1378" s="134" t="n">
        <f aca="false">LEN('Saisie programme'!$J$57)+SUMIFS('Vols additionnels'!$E$7:$E$66,'Vols additionnels'!$C$7:$C$66,$E1378,'Vols additionnels'!$D$7:$D$66,$F1378,'Vols additionnels'!$B$7:$B$66,$D1378)</f>
        <v>0</v>
      </c>
      <c r="H1378" s="135" t="n">
        <f aca="false">$G1378*'Analyse capacite'!$F$9</f>
        <v>0</v>
      </c>
      <c r="I1378" s="135" t="n">
        <f aca="false">$G1378*'Analyse capacite'!$C$9</f>
        <v>0</v>
      </c>
      <c r="J1378" s="135" t="n">
        <f aca="false">$G1378*'Analyse capacite'!$D$9</f>
        <v>0</v>
      </c>
      <c r="K1378" s="135" t="n">
        <f aca="false">$G1378*'Analyse capacite'!$E$9</f>
        <v>0</v>
      </c>
    </row>
    <row r="1379" customFormat="false" ht="15" hidden="false" customHeight="false" outlineLevel="0" collapsed="false">
      <c r="B1379" s="130" t="n">
        <v>2027</v>
      </c>
      <c r="C1379" s="131" t="s">
        <v>247</v>
      </c>
      <c r="D1379" s="132" t="n">
        <v>46516</v>
      </c>
      <c r="E1379" s="131" t="s">
        <v>25</v>
      </c>
      <c r="F1379" s="133" t="s">
        <v>11</v>
      </c>
      <c r="G1379" s="134" t="n">
        <f aca="false">LEN('Saisie programme'!$J$58)+SUMIFS('Vols additionnels'!$E$7:$E$66,'Vols additionnels'!$C$7:$C$66,$E1379,'Vols additionnels'!$D$7:$D$66,$F1379,'Vols additionnels'!$B$7:$B$66,$D1379)</f>
        <v>0</v>
      </c>
      <c r="H1379" s="135" t="n">
        <f aca="false">$G1379*'Analyse capacite'!$F$7</f>
        <v>0</v>
      </c>
      <c r="I1379" s="135" t="n">
        <f aca="false">$G1379*'Analyse capacite'!$C$7</f>
        <v>0</v>
      </c>
      <c r="J1379" s="135" t="n">
        <f aca="false">$G1379*'Analyse capacite'!$D$7</f>
        <v>0</v>
      </c>
      <c r="K1379" s="135" t="n">
        <f aca="false">$G1379*'Analyse capacite'!$E$7</f>
        <v>0</v>
      </c>
    </row>
    <row r="1380" customFormat="false" ht="15" hidden="false" customHeight="false" outlineLevel="0" collapsed="false">
      <c r="B1380" s="130" t="n">
        <v>2027</v>
      </c>
      <c r="C1380" s="131" t="s">
        <v>247</v>
      </c>
      <c r="D1380" s="132" t="n">
        <v>46516</v>
      </c>
      <c r="E1380" s="131" t="s">
        <v>25</v>
      </c>
      <c r="F1380" s="133" t="s">
        <v>19</v>
      </c>
      <c r="G1380" s="134" t="n">
        <f aca="false">LEN('Saisie programme'!$J$59)+SUMIFS('Vols additionnels'!$E$7:$E$66,'Vols additionnels'!$C$7:$C$66,$E1380,'Vols additionnels'!$D$7:$D$66,$F1380,'Vols additionnels'!$B$7:$B$66,$D1380)</f>
        <v>0</v>
      </c>
      <c r="H1380" s="135" t="n">
        <f aca="false">$G1380*'Analyse capacite'!$F$8</f>
        <v>0</v>
      </c>
      <c r="I1380" s="135" t="n">
        <f aca="false">$G1380*'Analyse capacite'!$C$8</f>
        <v>0</v>
      </c>
      <c r="J1380" s="135" t="n">
        <f aca="false">$G1380*'Analyse capacite'!$D$8</f>
        <v>0</v>
      </c>
      <c r="K1380" s="135" t="n">
        <f aca="false">$G1380*'Analyse capacite'!$E$8</f>
        <v>0</v>
      </c>
    </row>
    <row r="1381" customFormat="false" ht="15" hidden="false" customHeight="false" outlineLevel="0" collapsed="false">
      <c r="B1381" s="130" t="n">
        <v>2027</v>
      </c>
      <c r="C1381" s="131" t="s">
        <v>247</v>
      </c>
      <c r="D1381" s="132" t="n">
        <v>46516</v>
      </c>
      <c r="E1381" s="131" t="s">
        <v>25</v>
      </c>
      <c r="F1381" s="133" t="s">
        <v>24</v>
      </c>
      <c r="G1381" s="134" t="n">
        <f aca="false">LEN('Saisie programme'!$J$60)+SUMIFS('Vols additionnels'!$E$7:$E$66,'Vols additionnels'!$C$7:$C$66,$E1381,'Vols additionnels'!$D$7:$D$66,$F1381,'Vols additionnels'!$B$7:$B$66,$D1381)</f>
        <v>0</v>
      </c>
      <c r="H1381" s="135" t="n">
        <f aca="false">$G1381*'Analyse capacite'!$F$9</f>
        <v>0</v>
      </c>
      <c r="I1381" s="135" t="n">
        <f aca="false">$G1381*'Analyse capacite'!$C$9</f>
        <v>0</v>
      </c>
      <c r="J1381" s="135" t="n">
        <f aca="false">$G1381*'Analyse capacite'!$D$9</f>
        <v>0</v>
      </c>
      <c r="K1381" s="135" t="n">
        <f aca="false">$G1381*'Analyse capacite'!$E$9</f>
        <v>0</v>
      </c>
    </row>
    <row r="1382" customFormat="false" ht="15" hidden="false" customHeight="false" outlineLevel="0" collapsed="false">
      <c r="B1382" s="130" t="n">
        <v>2027</v>
      </c>
      <c r="C1382" s="131" t="s">
        <v>247</v>
      </c>
      <c r="D1382" s="132" t="n">
        <v>46516</v>
      </c>
      <c r="E1382" s="131" t="s">
        <v>36</v>
      </c>
      <c r="F1382" s="133" t="s">
        <v>11</v>
      </c>
      <c r="G1382" s="134" t="n">
        <f aca="false">LEN('Saisie programme'!$J$61)+SUMIFS('Vols additionnels'!$E$7:$E$66,'Vols additionnels'!$C$7:$C$66,$E1382,'Vols additionnels'!$D$7:$D$66,$F1382,'Vols additionnels'!$B$7:$B$66,$D1382)</f>
        <v>0</v>
      </c>
      <c r="H1382" s="135" t="n">
        <f aca="false">$G1382*'Analyse capacite'!$F$7</f>
        <v>0</v>
      </c>
      <c r="I1382" s="135" t="n">
        <f aca="false">$G1382*'Analyse capacite'!$C$7</f>
        <v>0</v>
      </c>
      <c r="J1382" s="135" t="n">
        <f aca="false">$G1382*'Analyse capacite'!$D$7</f>
        <v>0</v>
      </c>
      <c r="K1382" s="135" t="n">
        <f aca="false">$G1382*'Analyse capacite'!$E$7</f>
        <v>0</v>
      </c>
    </row>
    <row r="1383" customFormat="false" ht="15" hidden="false" customHeight="false" outlineLevel="0" collapsed="false">
      <c r="B1383" s="130" t="n">
        <v>2027</v>
      </c>
      <c r="C1383" s="131" t="s">
        <v>247</v>
      </c>
      <c r="D1383" s="132" t="n">
        <v>46516</v>
      </c>
      <c r="E1383" s="131" t="s">
        <v>36</v>
      </c>
      <c r="F1383" s="133" t="s">
        <v>19</v>
      </c>
      <c r="G1383" s="134" t="n">
        <f aca="false">LEN('Saisie programme'!$J$62)+SUMIFS('Vols additionnels'!$E$7:$E$66,'Vols additionnels'!$C$7:$C$66,$E1383,'Vols additionnels'!$D$7:$D$66,$F1383,'Vols additionnels'!$B$7:$B$66,$D1383)</f>
        <v>0</v>
      </c>
      <c r="H1383" s="135" t="n">
        <f aca="false">$G1383*'Analyse capacite'!$F$8</f>
        <v>0</v>
      </c>
      <c r="I1383" s="135" t="n">
        <f aca="false">$G1383*'Analyse capacite'!$C$8</f>
        <v>0</v>
      </c>
      <c r="J1383" s="135" t="n">
        <f aca="false">$G1383*'Analyse capacite'!$D$8</f>
        <v>0</v>
      </c>
      <c r="K1383" s="135" t="n">
        <f aca="false">$G1383*'Analyse capacite'!$E$8</f>
        <v>0</v>
      </c>
    </row>
    <row r="1384" customFormat="false" ht="15" hidden="false" customHeight="false" outlineLevel="0" collapsed="false">
      <c r="B1384" s="130" t="n">
        <v>2027</v>
      </c>
      <c r="C1384" s="131" t="s">
        <v>247</v>
      </c>
      <c r="D1384" s="132" t="n">
        <v>46516</v>
      </c>
      <c r="E1384" s="131" t="s">
        <v>36</v>
      </c>
      <c r="F1384" s="133" t="s">
        <v>24</v>
      </c>
      <c r="G1384" s="134" t="n">
        <f aca="false">LEN('Saisie programme'!$J$63)+SUMIFS('Vols additionnels'!$E$7:$E$66,'Vols additionnels'!$C$7:$C$66,$E1384,'Vols additionnels'!$D$7:$D$66,$F1384,'Vols additionnels'!$B$7:$B$66,$D1384)</f>
        <v>0</v>
      </c>
      <c r="H1384" s="135" t="n">
        <f aca="false">$G1384*'Analyse capacite'!$F$9</f>
        <v>0</v>
      </c>
      <c r="I1384" s="135" t="n">
        <f aca="false">$G1384*'Analyse capacite'!$C$9</f>
        <v>0</v>
      </c>
      <c r="J1384" s="135" t="n">
        <f aca="false">$G1384*'Analyse capacite'!$D$9</f>
        <v>0</v>
      </c>
      <c r="K1384" s="135" t="n">
        <f aca="false">$G1384*'Analyse capacite'!$E$9</f>
        <v>0</v>
      </c>
    </row>
    <row r="1385" customFormat="false" ht="15" hidden="false" customHeight="false" outlineLevel="0" collapsed="false">
      <c r="B1385" s="130" t="n">
        <v>2027</v>
      </c>
      <c r="C1385" s="131" t="s">
        <v>247</v>
      </c>
      <c r="D1385" s="132" t="n">
        <v>46516</v>
      </c>
      <c r="E1385" s="131" t="s">
        <v>40</v>
      </c>
      <c r="F1385" s="133" t="s">
        <v>11</v>
      </c>
      <c r="G1385" s="134" t="n">
        <f aca="false">LEN('Saisie programme'!$J$64)+SUMIFS('Vols additionnels'!$E$7:$E$66,'Vols additionnels'!$C$7:$C$66,$E1385,'Vols additionnels'!$D$7:$D$66,$F1385,'Vols additionnels'!$B$7:$B$66,$D1385)</f>
        <v>0</v>
      </c>
      <c r="H1385" s="135" t="n">
        <f aca="false">$G1385*'Analyse capacite'!$F$7</f>
        <v>0</v>
      </c>
      <c r="I1385" s="135" t="n">
        <f aca="false">$G1385*'Analyse capacite'!$C$7</f>
        <v>0</v>
      </c>
      <c r="J1385" s="135" t="n">
        <f aca="false">$G1385*'Analyse capacite'!$D$7</f>
        <v>0</v>
      </c>
      <c r="K1385" s="135" t="n">
        <f aca="false">$G1385*'Analyse capacite'!$E$7</f>
        <v>0</v>
      </c>
    </row>
    <row r="1386" customFormat="false" ht="15" hidden="false" customHeight="false" outlineLevel="0" collapsed="false">
      <c r="B1386" s="130" t="n">
        <v>2027</v>
      </c>
      <c r="C1386" s="131" t="s">
        <v>247</v>
      </c>
      <c r="D1386" s="132" t="n">
        <v>46516</v>
      </c>
      <c r="E1386" s="131" t="s">
        <v>40</v>
      </c>
      <c r="F1386" s="133" t="s">
        <v>19</v>
      </c>
      <c r="G1386" s="134" t="n">
        <f aca="false">LEN('Saisie programme'!$J$65)+SUMIFS('Vols additionnels'!$E$7:$E$66,'Vols additionnels'!$C$7:$C$66,$E1386,'Vols additionnels'!$D$7:$D$66,$F1386,'Vols additionnels'!$B$7:$B$66,$D1386)</f>
        <v>0</v>
      </c>
      <c r="H1386" s="135" t="n">
        <f aca="false">$G1386*'Analyse capacite'!$F$8</f>
        <v>0</v>
      </c>
      <c r="I1386" s="135" t="n">
        <f aca="false">$G1386*'Analyse capacite'!$C$8</f>
        <v>0</v>
      </c>
      <c r="J1386" s="135" t="n">
        <f aca="false">$G1386*'Analyse capacite'!$D$8</f>
        <v>0</v>
      </c>
      <c r="K1386" s="135" t="n">
        <f aca="false">$G1386*'Analyse capacite'!$E$8</f>
        <v>0</v>
      </c>
    </row>
    <row r="1387" customFormat="false" ht="15" hidden="false" customHeight="false" outlineLevel="0" collapsed="false">
      <c r="B1387" s="130" t="n">
        <v>2027</v>
      </c>
      <c r="C1387" s="131" t="s">
        <v>247</v>
      </c>
      <c r="D1387" s="132" t="n">
        <v>46516</v>
      </c>
      <c r="E1387" s="131" t="s">
        <v>40</v>
      </c>
      <c r="F1387" s="133" t="s">
        <v>24</v>
      </c>
      <c r="G1387" s="134" t="n">
        <f aca="false">LEN('Saisie programme'!$J$66)+SUMIFS('Vols additionnels'!$E$7:$E$66,'Vols additionnels'!$C$7:$C$66,$E1387,'Vols additionnels'!$D$7:$D$66,$F1387,'Vols additionnels'!$B$7:$B$66,$D1387)</f>
        <v>1</v>
      </c>
      <c r="H1387" s="135" t="n">
        <f aca="false">$G1387*'Analyse capacite'!$F$9</f>
        <v>174</v>
      </c>
      <c r="I1387" s="135" t="n">
        <f aca="false">$G1387*'Analyse capacite'!$C$9</f>
        <v>0</v>
      </c>
      <c r="J1387" s="135" t="n">
        <f aca="false">$G1387*'Analyse capacite'!$D$9</f>
        <v>12</v>
      </c>
      <c r="K1387" s="135" t="n">
        <f aca="false">$G1387*'Analyse capacite'!$E$9</f>
        <v>162</v>
      </c>
    </row>
    <row r="1388" customFormat="false" ht="15" hidden="false" customHeight="false" outlineLevel="0" collapsed="false">
      <c r="B1388" s="130" t="n">
        <v>2027</v>
      </c>
      <c r="C1388" s="131" t="s">
        <v>247</v>
      </c>
      <c r="D1388" s="132" t="n">
        <v>46516</v>
      </c>
      <c r="E1388" s="131" t="s">
        <v>14</v>
      </c>
      <c r="F1388" s="133" t="s">
        <v>11</v>
      </c>
      <c r="G1388" s="134" t="n">
        <f aca="false">LEN('Saisie programme'!$J$67)+SUMIFS('Vols additionnels'!$E$7:$E$66,'Vols additionnels'!$C$7:$C$66,$E1388,'Vols additionnels'!$D$7:$D$66,$F1388,'Vols additionnels'!$B$7:$B$66,$D1388)</f>
        <v>0</v>
      </c>
      <c r="H1388" s="135" t="n">
        <f aca="false">$G1388*'Analyse capacite'!$F$7</f>
        <v>0</v>
      </c>
      <c r="I1388" s="135" t="n">
        <f aca="false">$G1388*'Analyse capacite'!$C$7</f>
        <v>0</v>
      </c>
      <c r="J1388" s="135" t="n">
        <f aca="false">$G1388*'Analyse capacite'!$D$7</f>
        <v>0</v>
      </c>
      <c r="K1388" s="135" t="n">
        <f aca="false">$G1388*'Analyse capacite'!$E$7</f>
        <v>0</v>
      </c>
    </row>
    <row r="1389" customFormat="false" ht="15" hidden="false" customHeight="false" outlineLevel="0" collapsed="false">
      <c r="B1389" s="130" t="n">
        <v>2027</v>
      </c>
      <c r="C1389" s="131" t="s">
        <v>247</v>
      </c>
      <c r="D1389" s="132" t="n">
        <v>46516</v>
      </c>
      <c r="E1389" s="131" t="s">
        <v>14</v>
      </c>
      <c r="F1389" s="133" t="s">
        <v>19</v>
      </c>
      <c r="G1389" s="134" t="n">
        <f aca="false">LEN('Saisie programme'!$J$68)+SUMIFS('Vols additionnels'!$E$7:$E$66,'Vols additionnels'!$C$7:$C$66,$E1389,'Vols additionnels'!$D$7:$D$66,$F1389,'Vols additionnels'!$B$7:$B$66,$D1389)</f>
        <v>0</v>
      </c>
      <c r="H1389" s="135" t="n">
        <f aca="false">$G1389*'Analyse capacite'!$F$8</f>
        <v>0</v>
      </c>
      <c r="I1389" s="135" t="n">
        <f aca="false">$G1389*'Analyse capacite'!$C$8</f>
        <v>0</v>
      </c>
      <c r="J1389" s="135" t="n">
        <f aca="false">$G1389*'Analyse capacite'!$D$8</f>
        <v>0</v>
      </c>
      <c r="K1389" s="135" t="n">
        <f aca="false">$G1389*'Analyse capacite'!$E$8</f>
        <v>0</v>
      </c>
    </row>
    <row r="1390" customFormat="false" ht="15" hidden="false" customHeight="false" outlineLevel="0" collapsed="false">
      <c r="B1390" s="130" t="n">
        <v>2027</v>
      </c>
      <c r="C1390" s="131" t="s">
        <v>247</v>
      </c>
      <c r="D1390" s="132" t="n">
        <v>46516</v>
      </c>
      <c r="E1390" s="131" t="s">
        <v>14</v>
      </c>
      <c r="F1390" s="133" t="s">
        <v>24</v>
      </c>
      <c r="G1390" s="134" t="n">
        <f aca="false">LEN('Saisie programme'!$J$69)+SUMIFS('Vols additionnels'!$E$7:$E$66,'Vols additionnels'!$C$7:$C$66,$E1390,'Vols additionnels'!$D$7:$D$66,$F1390,'Vols additionnels'!$B$7:$B$66,$D1390)</f>
        <v>0</v>
      </c>
      <c r="H1390" s="135" t="n">
        <f aca="false">$G1390*'Analyse capacite'!$F$9</f>
        <v>0</v>
      </c>
      <c r="I1390" s="135" t="n">
        <f aca="false">$G1390*'Analyse capacite'!$C$9</f>
        <v>0</v>
      </c>
      <c r="J1390" s="135" t="n">
        <f aca="false">$G1390*'Analyse capacite'!$D$9</f>
        <v>0</v>
      </c>
      <c r="K1390" s="135" t="n">
        <f aca="false">$G1390*'Analyse capacite'!$E$9</f>
        <v>0</v>
      </c>
    </row>
    <row r="1391" customFormat="false" ht="15" hidden="false" customHeight="false" outlineLevel="0" collapsed="false">
      <c r="B1391" s="130" t="n">
        <v>2027</v>
      </c>
      <c r="C1391" s="131" t="s">
        <v>247</v>
      </c>
      <c r="D1391" s="132" t="n">
        <v>46516</v>
      </c>
      <c r="E1391" s="131" t="s">
        <v>46</v>
      </c>
      <c r="F1391" s="133" t="s">
        <v>11</v>
      </c>
      <c r="G1391" s="134" t="n">
        <f aca="false">LEN('Saisie programme'!$J$70)+SUMIFS('Vols additionnels'!$E$7:$E$66,'Vols additionnels'!$C$7:$C$66,$E1391,'Vols additionnels'!$D$7:$D$66,$F1391,'Vols additionnels'!$B$7:$B$66,$D1391)</f>
        <v>0</v>
      </c>
      <c r="H1391" s="135" t="n">
        <f aca="false">$G1391*'Analyse capacite'!$F$7</f>
        <v>0</v>
      </c>
      <c r="I1391" s="135" t="n">
        <f aca="false">$G1391*'Analyse capacite'!$C$7</f>
        <v>0</v>
      </c>
      <c r="J1391" s="135" t="n">
        <f aca="false">$G1391*'Analyse capacite'!$D$7</f>
        <v>0</v>
      </c>
      <c r="K1391" s="135" t="n">
        <f aca="false">$G1391*'Analyse capacite'!$E$7</f>
        <v>0</v>
      </c>
    </row>
    <row r="1392" customFormat="false" ht="15" hidden="false" customHeight="false" outlineLevel="0" collapsed="false">
      <c r="B1392" s="130" t="n">
        <v>2027</v>
      </c>
      <c r="C1392" s="131" t="s">
        <v>247</v>
      </c>
      <c r="D1392" s="132" t="n">
        <v>46516</v>
      </c>
      <c r="E1392" s="131" t="s">
        <v>46</v>
      </c>
      <c r="F1392" s="133" t="s">
        <v>19</v>
      </c>
      <c r="G1392" s="134" t="n">
        <f aca="false">LEN('Saisie programme'!$J$71)+SUMIFS('Vols additionnels'!$E$7:$E$66,'Vols additionnels'!$C$7:$C$66,$E1392,'Vols additionnels'!$D$7:$D$66,$F1392,'Vols additionnels'!$B$7:$B$66,$D1392)</f>
        <v>0</v>
      </c>
      <c r="H1392" s="135" t="n">
        <f aca="false">$G1392*'Analyse capacite'!$F$8</f>
        <v>0</v>
      </c>
      <c r="I1392" s="135" t="n">
        <f aca="false">$G1392*'Analyse capacite'!$C$8</f>
        <v>0</v>
      </c>
      <c r="J1392" s="135" t="n">
        <f aca="false">$G1392*'Analyse capacite'!$D$8</f>
        <v>0</v>
      </c>
      <c r="K1392" s="135" t="n">
        <f aca="false">$G1392*'Analyse capacite'!$E$8</f>
        <v>0</v>
      </c>
    </row>
    <row r="1393" customFormat="false" ht="15" hidden="false" customHeight="false" outlineLevel="0" collapsed="false">
      <c r="B1393" s="130" t="n">
        <v>2027</v>
      </c>
      <c r="C1393" s="131" t="s">
        <v>247</v>
      </c>
      <c r="D1393" s="132" t="n">
        <v>46516</v>
      </c>
      <c r="E1393" s="131" t="s">
        <v>46</v>
      </c>
      <c r="F1393" s="133" t="s">
        <v>24</v>
      </c>
      <c r="G1393" s="134" t="n">
        <f aca="false">LEN('Saisie programme'!$J$72)+SUMIFS('Vols additionnels'!$E$7:$E$66,'Vols additionnels'!$C$7:$C$66,$E1393,'Vols additionnels'!$D$7:$D$66,$F1393,'Vols additionnels'!$B$7:$B$66,$D1393)</f>
        <v>0</v>
      </c>
      <c r="H1393" s="135" t="n">
        <f aca="false">$G1393*'Analyse capacite'!$F$9</f>
        <v>0</v>
      </c>
      <c r="I1393" s="135" t="n">
        <f aca="false">$G1393*'Analyse capacite'!$C$9</f>
        <v>0</v>
      </c>
      <c r="J1393" s="135" t="n">
        <f aca="false">$G1393*'Analyse capacite'!$D$9</f>
        <v>0</v>
      </c>
      <c r="K1393" s="135" t="n">
        <f aca="false">$G1393*'Analyse capacite'!$E$9</f>
        <v>0</v>
      </c>
    </row>
    <row r="1394" customFormat="false" ht="15" hidden="false" customHeight="false" outlineLevel="0" collapsed="false">
      <c r="B1394" s="130" t="n">
        <v>2027</v>
      </c>
      <c r="C1394" s="131" t="s">
        <v>247</v>
      </c>
      <c r="D1394" s="132" t="n">
        <v>46516</v>
      </c>
      <c r="E1394" s="131" t="s">
        <v>49</v>
      </c>
      <c r="F1394" s="133" t="s">
        <v>11</v>
      </c>
      <c r="G1394" s="134" t="n">
        <f aca="false">LEN('Saisie programme'!$J$73)+SUMIFS('Vols additionnels'!$E$7:$E$66,'Vols additionnels'!$C$7:$C$66,$E1394,'Vols additionnels'!$D$7:$D$66,$F1394,'Vols additionnels'!$B$7:$B$66,$D1394)</f>
        <v>0</v>
      </c>
      <c r="H1394" s="135" t="n">
        <f aca="false">$G1394*'Analyse capacite'!$F$7</f>
        <v>0</v>
      </c>
      <c r="I1394" s="135" t="n">
        <f aca="false">$G1394*'Analyse capacite'!$C$7</f>
        <v>0</v>
      </c>
      <c r="J1394" s="135" t="n">
        <f aca="false">$G1394*'Analyse capacite'!$D$7</f>
        <v>0</v>
      </c>
      <c r="K1394" s="135" t="n">
        <f aca="false">$G1394*'Analyse capacite'!$E$7</f>
        <v>0</v>
      </c>
    </row>
    <row r="1395" customFormat="false" ht="15" hidden="false" customHeight="false" outlineLevel="0" collapsed="false">
      <c r="B1395" s="130" t="n">
        <v>2027</v>
      </c>
      <c r="C1395" s="131" t="s">
        <v>247</v>
      </c>
      <c r="D1395" s="132" t="n">
        <v>46516</v>
      </c>
      <c r="E1395" s="131" t="s">
        <v>49</v>
      </c>
      <c r="F1395" s="133" t="s">
        <v>19</v>
      </c>
      <c r="G1395" s="134" t="n">
        <f aca="false">LEN('Saisie programme'!$J$74)+SUMIFS('Vols additionnels'!$E$7:$E$66,'Vols additionnels'!$C$7:$C$66,$E1395,'Vols additionnels'!$D$7:$D$66,$F1395,'Vols additionnels'!$B$7:$B$66,$D1395)</f>
        <v>0</v>
      </c>
      <c r="H1395" s="135" t="n">
        <f aca="false">$G1395*'Analyse capacite'!$F$8</f>
        <v>0</v>
      </c>
      <c r="I1395" s="135" t="n">
        <f aca="false">$G1395*'Analyse capacite'!$C$8</f>
        <v>0</v>
      </c>
      <c r="J1395" s="135" t="n">
        <f aca="false">$G1395*'Analyse capacite'!$D$8</f>
        <v>0</v>
      </c>
      <c r="K1395" s="135" t="n">
        <f aca="false">$G1395*'Analyse capacite'!$E$8</f>
        <v>0</v>
      </c>
    </row>
    <row r="1396" customFormat="false" ht="15" hidden="false" customHeight="false" outlineLevel="0" collapsed="false">
      <c r="B1396" s="130" t="n">
        <v>2027</v>
      </c>
      <c r="C1396" s="131" t="s">
        <v>247</v>
      </c>
      <c r="D1396" s="132" t="n">
        <v>46516</v>
      </c>
      <c r="E1396" s="131" t="s">
        <v>49</v>
      </c>
      <c r="F1396" s="133" t="s">
        <v>24</v>
      </c>
      <c r="G1396" s="134" t="n">
        <f aca="false">LEN('Saisie programme'!$J$75)+SUMIFS('Vols additionnels'!$E$7:$E$66,'Vols additionnels'!$C$7:$C$66,$E1396,'Vols additionnels'!$D$7:$D$66,$F1396,'Vols additionnels'!$B$7:$B$66,$D1396)</f>
        <v>0</v>
      </c>
      <c r="H1396" s="135" t="n">
        <f aca="false">$G1396*'Analyse capacite'!$F$9</f>
        <v>0</v>
      </c>
      <c r="I1396" s="135" t="n">
        <f aca="false">$G1396*'Analyse capacite'!$C$9</f>
        <v>0</v>
      </c>
      <c r="J1396" s="135" t="n">
        <f aca="false">$G1396*'Analyse capacite'!$D$9</f>
        <v>0</v>
      </c>
      <c r="K1396" s="135" t="n">
        <f aca="false">$G1396*'Analyse capacite'!$E$9</f>
        <v>0</v>
      </c>
    </row>
    <row r="1397" customFormat="false" ht="15" hidden="false" customHeight="false" outlineLevel="0" collapsed="false">
      <c r="B1397" s="130" t="n">
        <v>2027</v>
      </c>
      <c r="C1397" s="131" t="s">
        <v>247</v>
      </c>
      <c r="D1397" s="132" t="n">
        <v>46516</v>
      </c>
      <c r="E1397" s="131" t="s">
        <v>53</v>
      </c>
      <c r="F1397" s="133" t="s">
        <v>11</v>
      </c>
      <c r="G1397" s="134" t="n">
        <f aca="false">LEN('Saisie programme'!$J$76)+SUMIFS('Vols additionnels'!$E$7:$E$66,'Vols additionnels'!$C$7:$C$66,$E1397,'Vols additionnels'!$D$7:$D$66,$F1397,'Vols additionnels'!$B$7:$B$66,$D1397)</f>
        <v>0</v>
      </c>
      <c r="H1397" s="135" t="n">
        <f aca="false">$G1397*'Analyse capacite'!$F$7</f>
        <v>0</v>
      </c>
      <c r="I1397" s="135" t="n">
        <f aca="false">$G1397*'Analyse capacite'!$C$7</f>
        <v>0</v>
      </c>
      <c r="J1397" s="135" t="n">
        <f aca="false">$G1397*'Analyse capacite'!$D$7</f>
        <v>0</v>
      </c>
      <c r="K1397" s="135" t="n">
        <f aca="false">$G1397*'Analyse capacite'!$E$7</f>
        <v>0</v>
      </c>
    </row>
    <row r="1398" customFormat="false" ht="15" hidden="false" customHeight="false" outlineLevel="0" collapsed="false">
      <c r="B1398" s="130" t="n">
        <v>2027</v>
      </c>
      <c r="C1398" s="131" t="s">
        <v>247</v>
      </c>
      <c r="D1398" s="132" t="n">
        <v>46516</v>
      </c>
      <c r="E1398" s="131" t="s">
        <v>53</v>
      </c>
      <c r="F1398" s="133" t="s">
        <v>19</v>
      </c>
      <c r="G1398" s="134" t="n">
        <f aca="false">LEN('Saisie programme'!$J$77)+SUMIFS('Vols additionnels'!$E$7:$E$66,'Vols additionnels'!$C$7:$C$66,$E1398,'Vols additionnels'!$D$7:$D$66,$F1398,'Vols additionnels'!$B$7:$B$66,$D1398)</f>
        <v>0</v>
      </c>
      <c r="H1398" s="135" t="n">
        <f aca="false">$G1398*'Analyse capacite'!$F$8</f>
        <v>0</v>
      </c>
      <c r="I1398" s="135" t="n">
        <f aca="false">$G1398*'Analyse capacite'!$C$8</f>
        <v>0</v>
      </c>
      <c r="J1398" s="135" t="n">
        <f aca="false">$G1398*'Analyse capacite'!$D$8</f>
        <v>0</v>
      </c>
      <c r="K1398" s="135" t="n">
        <f aca="false">$G1398*'Analyse capacite'!$E$8</f>
        <v>0</v>
      </c>
    </row>
    <row r="1399" customFormat="false" ht="15" hidden="false" customHeight="false" outlineLevel="0" collapsed="false">
      <c r="B1399" s="130" t="n">
        <v>2027</v>
      </c>
      <c r="C1399" s="131" t="s">
        <v>247</v>
      </c>
      <c r="D1399" s="132" t="n">
        <v>46516</v>
      </c>
      <c r="E1399" s="131" t="s">
        <v>53</v>
      </c>
      <c r="F1399" s="133" t="s">
        <v>24</v>
      </c>
      <c r="G1399" s="134" t="n">
        <f aca="false">LEN('Saisie programme'!$J$78)+SUMIFS('Vols additionnels'!$E$7:$E$66,'Vols additionnels'!$C$7:$C$66,$E1399,'Vols additionnels'!$D$7:$D$66,$F1399,'Vols additionnels'!$B$7:$B$66,$D1399)</f>
        <v>0</v>
      </c>
      <c r="H1399" s="135" t="n">
        <f aca="false">$G1399*'Analyse capacite'!$F$9</f>
        <v>0</v>
      </c>
      <c r="I1399" s="135" t="n">
        <f aca="false">$G1399*'Analyse capacite'!$C$9</f>
        <v>0</v>
      </c>
      <c r="J1399" s="135" t="n">
        <f aca="false">$G1399*'Analyse capacite'!$D$9</f>
        <v>0</v>
      </c>
      <c r="K1399" s="135" t="n">
        <f aca="false">$G1399*'Analyse capacite'!$E$9</f>
        <v>0</v>
      </c>
    </row>
    <row r="1400" customFormat="false" ht="15" hidden="false" customHeight="false" outlineLevel="0" collapsed="false">
      <c r="B1400" s="130" t="n">
        <v>2027</v>
      </c>
      <c r="C1400" s="131" t="s">
        <v>247</v>
      </c>
      <c r="D1400" s="132" t="n">
        <v>46516</v>
      </c>
      <c r="E1400" s="131" t="s">
        <v>56</v>
      </c>
      <c r="F1400" s="133" t="s">
        <v>11</v>
      </c>
      <c r="G1400" s="134" t="n">
        <f aca="false">LEN('Saisie programme'!$J$79)+SUMIFS('Vols additionnels'!$E$7:$E$66,'Vols additionnels'!$C$7:$C$66,$E1400,'Vols additionnels'!$D$7:$D$66,$F1400,'Vols additionnels'!$B$7:$B$66,$D1400)</f>
        <v>0</v>
      </c>
      <c r="H1400" s="135" t="n">
        <f aca="false">$G1400*'Analyse capacite'!$F$7</f>
        <v>0</v>
      </c>
      <c r="I1400" s="135" t="n">
        <f aca="false">$G1400*'Analyse capacite'!$C$7</f>
        <v>0</v>
      </c>
      <c r="J1400" s="135" t="n">
        <f aca="false">$G1400*'Analyse capacite'!$D$7</f>
        <v>0</v>
      </c>
      <c r="K1400" s="135" t="n">
        <f aca="false">$G1400*'Analyse capacite'!$E$7</f>
        <v>0</v>
      </c>
    </row>
    <row r="1401" customFormat="false" ht="15" hidden="false" customHeight="false" outlineLevel="0" collapsed="false">
      <c r="B1401" s="130" t="n">
        <v>2027</v>
      </c>
      <c r="C1401" s="131" t="s">
        <v>247</v>
      </c>
      <c r="D1401" s="132" t="n">
        <v>46516</v>
      </c>
      <c r="E1401" s="131" t="s">
        <v>56</v>
      </c>
      <c r="F1401" s="133" t="s">
        <v>19</v>
      </c>
      <c r="G1401" s="134" t="n">
        <f aca="false">LEN('Saisie programme'!$J$80)+SUMIFS('Vols additionnels'!$E$7:$E$66,'Vols additionnels'!$C$7:$C$66,$E1401,'Vols additionnels'!$D$7:$D$66,$F1401,'Vols additionnels'!$B$7:$B$66,$D1401)</f>
        <v>0</v>
      </c>
      <c r="H1401" s="135" t="n">
        <f aca="false">$G1401*'Analyse capacite'!$F$8</f>
        <v>0</v>
      </c>
      <c r="I1401" s="135" t="n">
        <f aca="false">$G1401*'Analyse capacite'!$C$8</f>
        <v>0</v>
      </c>
      <c r="J1401" s="135" t="n">
        <f aca="false">$G1401*'Analyse capacite'!$D$8</f>
        <v>0</v>
      </c>
      <c r="K1401" s="135" t="n">
        <f aca="false">$G1401*'Analyse capacite'!$E$8</f>
        <v>0</v>
      </c>
    </row>
    <row r="1402" customFormat="false" ht="15" hidden="false" customHeight="false" outlineLevel="0" collapsed="false">
      <c r="B1402" s="130" t="n">
        <v>2027</v>
      </c>
      <c r="C1402" s="131" t="s">
        <v>247</v>
      </c>
      <c r="D1402" s="132" t="n">
        <v>46516</v>
      </c>
      <c r="E1402" s="131" t="s">
        <v>56</v>
      </c>
      <c r="F1402" s="133" t="s">
        <v>24</v>
      </c>
      <c r="G1402" s="134" t="n">
        <f aca="false">LEN('Saisie programme'!$J$81)+SUMIFS('Vols additionnels'!$E$7:$E$66,'Vols additionnels'!$C$7:$C$66,$E1402,'Vols additionnels'!$D$7:$D$66,$F1402,'Vols additionnels'!$B$7:$B$66,$D1402)</f>
        <v>0</v>
      </c>
      <c r="H1402" s="135" t="n">
        <f aca="false">$G1402*'Analyse capacite'!$F$9</f>
        <v>0</v>
      </c>
      <c r="I1402" s="135" t="n">
        <f aca="false">$G1402*'Analyse capacite'!$C$9</f>
        <v>0</v>
      </c>
      <c r="J1402" s="135" t="n">
        <f aca="false">$G1402*'Analyse capacite'!$D$9</f>
        <v>0</v>
      </c>
      <c r="K1402" s="135" t="n">
        <f aca="false">$G1402*'Analyse capacite'!$E$9</f>
        <v>0</v>
      </c>
    </row>
    <row r="1403" customFormat="false" ht="15" hidden="false" customHeight="false" outlineLevel="0" collapsed="false">
      <c r="B1403" s="130" t="n">
        <v>2027</v>
      </c>
      <c r="C1403" s="131" t="s">
        <v>247</v>
      </c>
      <c r="D1403" s="132" t="n">
        <v>46516</v>
      </c>
      <c r="E1403" s="131" t="s">
        <v>59</v>
      </c>
      <c r="F1403" s="133" t="s">
        <v>11</v>
      </c>
      <c r="G1403" s="134" t="n">
        <f aca="false">LEN('Saisie programme'!$J$82)+SUMIFS('Vols additionnels'!$E$7:$E$66,'Vols additionnels'!$C$7:$C$66,$E1403,'Vols additionnels'!$D$7:$D$66,$F1403,'Vols additionnels'!$B$7:$B$66,$D1403)</f>
        <v>0</v>
      </c>
      <c r="H1403" s="135" t="n">
        <f aca="false">$G1403*'Analyse capacite'!$F$7</f>
        <v>0</v>
      </c>
      <c r="I1403" s="135" t="n">
        <f aca="false">$G1403*'Analyse capacite'!$C$7</f>
        <v>0</v>
      </c>
      <c r="J1403" s="135" t="n">
        <f aca="false">$G1403*'Analyse capacite'!$D$7</f>
        <v>0</v>
      </c>
      <c r="K1403" s="135" t="n">
        <f aca="false">$G1403*'Analyse capacite'!$E$7</f>
        <v>0</v>
      </c>
    </row>
    <row r="1404" customFormat="false" ht="15" hidden="false" customHeight="false" outlineLevel="0" collapsed="false">
      <c r="B1404" s="130" t="n">
        <v>2027</v>
      </c>
      <c r="C1404" s="131" t="s">
        <v>247</v>
      </c>
      <c r="D1404" s="132" t="n">
        <v>46516</v>
      </c>
      <c r="E1404" s="131" t="s">
        <v>59</v>
      </c>
      <c r="F1404" s="133" t="s">
        <v>19</v>
      </c>
      <c r="G1404" s="134" t="n">
        <f aca="false">LEN('Saisie programme'!$J$83)+SUMIFS('Vols additionnels'!$E$7:$E$66,'Vols additionnels'!$C$7:$C$66,$E1404,'Vols additionnels'!$D$7:$D$66,$F1404,'Vols additionnels'!$B$7:$B$66,$D1404)</f>
        <v>0</v>
      </c>
      <c r="H1404" s="135" t="n">
        <f aca="false">$G1404*'Analyse capacite'!$F$8</f>
        <v>0</v>
      </c>
      <c r="I1404" s="135" t="n">
        <f aca="false">$G1404*'Analyse capacite'!$C$8</f>
        <v>0</v>
      </c>
      <c r="J1404" s="135" t="n">
        <f aca="false">$G1404*'Analyse capacite'!$D$8</f>
        <v>0</v>
      </c>
      <c r="K1404" s="135" t="n">
        <f aca="false">$G1404*'Analyse capacite'!$E$8</f>
        <v>0</v>
      </c>
    </row>
    <row r="1405" customFormat="false" ht="15" hidden="false" customHeight="false" outlineLevel="0" collapsed="false">
      <c r="B1405" s="130" t="n">
        <v>2027</v>
      </c>
      <c r="C1405" s="131" t="s">
        <v>247</v>
      </c>
      <c r="D1405" s="132" t="n">
        <v>46516</v>
      </c>
      <c r="E1405" s="131" t="s">
        <v>59</v>
      </c>
      <c r="F1405" s="133" t="s">
        <v>24</v>
      </c>
      <c r="G1405" s="134" t="n">
        <f aca="false">LEN('Saisie programme'!$J$84)+SUMIFS('Vols additionnels'!$E$7:$E$66,'Vols additionnels'!$C$7:$C$66,$E1405,'Vols additionnels'!$D$7:$D$66,$F1405,'Vols additionnels'!$B$7:$B$66,$D1405)</f>
        <v>0</v>
      </c>
      <c r="H1405" s="135" t="n">
        <f aca="false">$G1405*'Analyse capacite'!$F$9</f>
        <v>0</v>
      </c>
      <c r="I1405" s="135" t="n">
        <f aca="false">$G1405*'Analyse capacite'!$C$9</f>
        <v>0</v>
      </c>
      <c r="J1405" s="135" t="n">
        <f aca="false">$G1405*'Analyse capacite'!$D$9</f>
        <v>0</v>
      </c>
      <c r="K1405" s="135" t="n">
        <f aca="false">$G1405*'Analyse capacite'!$E$9</f>
        <v>0</v>
      </c>
    </row>
    <row r="1406" customFormat="false" ht="15" hidden="false" customHeight="false" outlineLevel="0" collapsed="false">
      <c r="B1406" s="130" t="n">
        <v>2027</v>
      </c>
      <c r="C1406" s="131" t="s">
        <v>247</v>
      </c>
      <c r="D1406" s="132" t="n">
        <v>46516</v>
      </c>
      <c r="E1406" s="131" t="s">
        <v>62</v>
      </c>
      <c r="F1406" s="133" t="s">
        <v>11</v>
      </c>
      <c r="G1406" s="134" t="n">
        <f aca="false">LEN('Saisie programme'!$J$85)+SUMIFS('Vols additionnels'!$E$7:$E$66,'Vols additionnels'!$C$7:$C$66,$E1406,'Vols additionnels'!$D$7:$D$66,$F1406,'Vols additionnels'!$B$7:$B$66,$D1406)</f>
        <v>0</v>
      </c>
      <c r="H1406" s="135" t="n">
        <f aca="false">$G1406*'Analyse capacite'!$F$7</f>
        <v>0</v>
      </c>
      <c r="I1406" s="135" t="n">
        <f aca="false">$G1406*'Analyse capacite'!$C$7</f>
        <v>0</v>
      </c>
      <c r="J1406" s="135" t="n">
        <f aca="false">$G1406*'Analyse capacite'!$D$7</f>
        <v>0</v>
      </c>
      <c r="K1406" s="135" t="n">
        <f aca="false">$G1406*'Analyse capacite'!$E$7</f>
        <v>0</v>
      </c>
    </row>
    <row r="1407" customFormat="false" ht="15" hidden="false" customHeight="false" outlineLevel="0" collapsed="false">
      <c r="B1407" s="130" t="n">
        <v>2027</v>
      </c>
      <c r="C1407" s="131" t="s">
        <v>247</v>
      </c>
      <c r="D1407" s="132" t="n">
        <v>46516</v>
      </c>
      <c r="E1407" s="131" t="s">
        <v>62</v>
      </c>
      <c r="F1407" s="133" t="s">
        <v>19</v>
      </c>
      <c r="G1407" s="134" t="n">
        <f aca="false">LEN('Saisie programme'!$J$86)+SUMIFS('Vols additionnels'!$E$7:$E$66,'Vols additionnels'!$C$7:$C$66,$E1407,'Vols additionnels'!$D$7:$D$66,$F1407,'Vols additionnels'!$B$7:$B$66,$D1407)</f>
        <v>0</v>
      </c>
      <c r="H1407" s="135" t="n">
        <f aca="false">$G1407*'Analyse capacite'!$F$8</f>
        <v>0</v>
      </c>
      <c r="I1407" s="135" t="n">
        <f aca="false">$G1407*'Analyse capacite'!$C$8</f>
        <v>0</v>
      </c>
      <c r="J1407" s="135" t="n">
        <f aca="false">$G1407*'Analyse capacite'!$D$8</f>
        <v>0</v>
      </c>
      <c r="K1407" s="135" t="n">
        <f aca="false">$G1407*'Analyse capacite'!$E$8</f>
        <v>0</v>
      </c>
    </row>
    <row r="1408" customFormat="false" ht="15" hidden="false" customHeight="false" outlineLevel="0" collapsed="false">
      <c r="B1408" s="130" t="n">
        <v>2027</v>
      </c>
      <c r="C1408" s="131" t="s">
        <v>247</v>
      </c>
      <c r="D1408" s="132" t="n">
        <v>46516</v>
      </c>
      <c r="E1408" s="131" t="s">
        <v>62</v>
      </c>
      <c r="F1408" s="133" t="s">
        <v>24</v>
      </c>
      <c r="G1408" s="134" t="n">
        <f aca="false">LEN('Saisie programme'!$J$87)+SUMIFS('Vols additionnels'!$E$7:$E$66,'Vols additionnels'!$C$7:$C$66,$E1408,'Vols additionnels'!$D$7:$D$66,$F1408,'Vols additionnels'!$B$7:$B$66,$D1408)</f>
        <v>1</v>
      </c>
      <c r="H1408" s="135" t="n">
        <f aca="false">$G1408*'Analyse capacite'!$F$9</f>
        <v>174</v>
      </c>
      <c r="I1408" s="135" t="n">
        <f aca="false">$G1408*'Analyse capacite'!$C$9</f>
        <v>0</v>
      </c>
      <c r="J1408" s="135" t="n">
        <f aca="false">$G1408*'Analyse capacite'!$D$9</f>
        <v>12</v>
      </c>
      <c r="K1408" s="135" t="n">
        <f aca="false">$G1408*'Analyse capacite'!$E$9</f>
        <v>162</v>
      </c>
    </row>
    <row r="1409" customFormat="false" ht="15" hidden="false" customHeight="false" outlineLevel="0" collapsed="false">
      <c r="B1409" s="130" t="n">
        <v>2027</v>
      </c>
      <c r="C1409" s="131" t="s">
        <v>247</v>
      </c>
      <c r="D1409" s="132" t="n">
        <v>46517</v>
      </c>
      <c r="E1409" s="131" t="s">
        <v>12</v>
      </c>
      <c r="F1409" s="133" t="s">
        <v>11</v>
      </c>
      <c r="G1409" s="134" t="n">
        <f aca="false">LEN('Saisie programme'!$D$52)+SUMIFS('Vols additionnels'!$E$7:$E$66,'Vols additionnels'!$C$7:$C$66,$E1409,'Vols additionnels'!$D$7:$D$66,$F1409,'Vols additionnels'!$B$7:$B$66,$D1409)</f>
        <v>1</v>
      </c>
      <c r="H1409" s="135" t="n">
        <f aca="false">$G1409*'Analyse capacite'!$F$7</f>
        <v>438</v>
      </c>
      <c r="I1409" s="135" t="n">
        <f aca="false">$G1409*'Analyse capacite'!$C$7</f>
        <v>14</v>
      </c>
      <c r="J1409" s="135" t="n">
        <f aca="false">$G1409*'Analyse capacite'!$D$7</f>
        <v>40</v>
      </c>
      <c r="K1409" s="135" t="n">
        <f aca="false">$G1409*'Analyse capacite'!$E$7</f>
        <v>384</v>
      </c>
    </row>
    <row r="1410" customFormat="false" ht="15" hidden="false" customHeight="false" outlineLevel="0" collapsed="false">
      <c r="B1410" s="130" t="n">
        <v>2027</v>
      </c>
      <c r="C1410" s="131" t="s">
        <v>247</v>
      </c>
      <c r="D1410" s="132" t="n">
        <v>46517</v>
      </c>
      <c r="E1410" s="131" t="s">
        <v>12</v>
      </c>
      <c r="F1410" s="133" t="s">
        <v>19</v>
      </c>
      <c r="G1410" s="134" t="n">
        <f aca="false">LEN('Saisie programme'!$D$53)+SUMIFS('Vols additionnels'!$E$7:$E$66,'Vols additionnels'!$C$7:$C$66,$E1410,'Vols additionnels'!$D$7:$D$66,$F1410,'Vols additionnels'!$B$7:$B$66,$D1410)</f>
        <v>1</v>
      </c>
      <c r="H1410" s="135" t="n">
        <f aca="false">$G1410*'Analyse capacite'!$F$8</f>
        <v>262</v>
      </c>
      <c r="I1410" s="135" t="n">
        <f aca="false">$G1410*'Analyse capacite'!$C$8</f>
        <v>18</v>
      </c>
      <c r="J1410" s="135" t="n">
        <f aca="false">$G1410*'Analyse capacite'!$D$8</f>
        <v>0</v>
      </c>
      <c r="K1410" s="135" t="n">
        <f aca="false">$G1410*'Analyse capacite'!$E$8</f>
        <v>244</v>
      </c>
    </row>
    <row r="1411" customFormat="false" ht="15" hidden="false" customHeight="false" outlineLevel="0" collapsed="false">
      <c r="B1411" s="130" t="n">
        <v>2027</v>
      </c>
      <c r="C1411" s="131" t="s">
        <v>247</v>
      </c>
      <c r="D1411" s="132" t="n">
        <v>46517</v>
      </c>
      <c r="E1411" s="131" t="s">
        <v>12</v>
      </c>
      <c r="F1411" s="133" t="s">
        <v>24</v>
      </c>
      <c r="G1411" s="134" t="n">
        <f aca="false">LEN('Saisie programme'!$D$54)+SUMIFS('Vols additionnels'!$E$7:$E$66,'Vols additionnels'!$C$7:$C$66,$E1411,'Vols additionnels'!$D$7:$D$66,$F1411,'Vols additionnels'!$B$7:$B$66,$D1411)</f>
        <v>2</v>
      </c>
      <c r="H1411" s="135" t="n">
        <f aca="false">$G1411*'Analyse capacite'!$F$9</f>
        <v>348</v>
      </c>
      <c r="I1411" s="135" t="n">
        <f aca="false">$G1411*'Analyse capacite'!$C$9</f>
        <v>0</v>
      </c>
      <c r="J1411" s="135" t="n">
        <f aca="false">$G1411*'Analyse capacite'!$D$9</f>
        <v>24</v>
      </c>
      <c r="K1411" s="135" t="n">
        <f aca="false">$G1411*'Analyse capacite'!$E$9</f>
        <v>324</v>
      </c>
    </row>
    <row r="1412" customFormat="false" ht="15" hidden="false" customHeight="false" outlineLevel="0" collapsed="false">
      <c r="B1412" s="130" t="n">
        <v>2027</v>
      </c>
      <c r="C1412" s="131" t="s">
        <v>247</v>
      </c>
      <c r="D1412" s="132" t="n">
        <v>46517</v>
      </c>
      <c r="E1412" s="131" t="s">
        <v>20</v>
      </c>
      <c r="F1412" s="133" t="s">
        <v>11</v>
      </c>
      <c r="G1412" s="134" t="n">
        <f aca="false">LEN('Saisie programme'!$D$55)+SUMIFS('Vols additionnels'!$E$7:$E$66,'Vols additionnels'!$C$7:$C$66,$E1412,'Vols additionnels'!$D$7:$D$66,$F1412,'Vols additionnels'!$B$7:$B$66,$D1412)</f>
        <v>0</v>
      </c>
      <c r="H1412" s="135" t="n">
        <f aca="false">$G1412*'Analyse capacite'!$F$7</f>
        <v>0</v>
      </c>
      <c r="I1412" s="135" t="n">
        <f aca="false">$G1412*'Analyse capacite'!$C$7</f>
        <v>0</v>
      </c>
      <c r="J1412" s="135" t="n">
        <f aca="false">$G1412*'Analyse capacite'!$D$7</f>
        <v>0</v>
      </c>
      <c r="K1412" s="135" t="n">
        <f aca="false">$G1412*'Analyse capacite'!$E$7</f>
        <v>0</v>
      </c>
    </row>
    <row r="1413" customFormat="false" ht="15" hidden="false" customHeight="false" outlineLevel="0" collapsed="false">
      <c r="B1413" s="130" t="n">
        <v>2027</v>
      </c>
      <c r="C1413" s="131" t="s">
        <v>247</v>
      </c>
      <c r="D1413" s="132" t="n">
        <v>46517</v>
      </c>
      <c r="E1413" s="131" t="s">
        <v>20</v>
      </c>
      <c r="F1413" s="133" t="s">
        <v>19</v>
      </c>
      <c r="G1413" s="134" t="n">
        <f aca="false">LEN('Saisie programme'!$D$56)+SUMIFS('Vols additionnels'!$E$7:$E$66,'Vols additionnels'!$C$7:$C$66,$E1413,'Vols additionnels'!$D$7:$D$66,$F1413,'Vols additionnels'!$B$7:$B$66,$D1413)</f>
        <v>0</v>
      </c>
      <c r="H1413" s="135" t="n">
        <f aca="false">$G1413*'Analyse capacite'!$F$8</f>
        <v>0</v>
      </c>
      <c r="I1413" s="135" t="n">
        <f aca="false">$G1413*'Analyse capacite'!$C$8</f>
        <v>0</v>
      </c>
      <c r="J1413" s="135" t="n">
        <f aca="false">$G1413*'Analyse capacite'!$D$8</f>
        <v>0</v>
      </c>
      <c r="K1413" s="135" t="n">
        <f aca="false">$G1413*'Analyse capacite'!$E$8</f>
        <v>0</v>
      </c>
    </row>
    <row r="1414" customFormat="false" ht="15" hidden="false" customHeight="false" outlineLevel="0" collapsed="false">
      <c r="B1414" s="130" t="n">
        <v>2027</v>
      </c>
      <c r="C1414" s="131" t="s">
        <v>247</v>
      </c>
      <c r="D1414" s="132" t="n">
        <v>46517</v>
      </c>
      <c r="E1414" s="131" t="s">
        <v>20</v>
      </c>
      <c r="F1414" s="133" t="s">
        <v>24</v>
      </c>
      <c r="G1414" s="134" t="n">
        <f aca="false">LEN('Saisie programme'!$D$57)+SUMIFS('Vols additionnels'!$E$7:$E$66,'Vols additionnels'!$C$7:$C$66,$E1414,'Vols additionnels'!$D$7:$D$66,$F1414,'Vols additionnels'!$B$7:$B$66,$D1414)</f>
        <v>0</v>
      </c>
      <c r="H1414" s="135" t="n">
        <f aca="false">$G1414*'Analyse capacite'!$F$9</f>
        <v>0</v>
      </c>
      <c r="I1414" s="135" t="n">
        <f aca="false">$G1414*'Analyse capacite'!$C$9</f>
        <v>0</v>
      </c>
      <c r="J1414" s="135" t="n">
        <f aca="false">$G1414*'Analyse capacite'!$D$9</f>
        <v>0</v>
      </c>
      <c r="K1414" s="135" t="n">
        <f aca="false">$G1414*'Analyse capacite'!$E$9</f>
        <v>0</v>
      </c>
    </row>
    <row r="1415" customFormat="false" ht="15" hidden="false" customHeight="false" outlineLevel="0" collapsed="false">
      <c r="B1415" s="130" t="n">
        <v>2027</v>
      </c>
      <c r="C1415" s="131" t="s">
        <v>247</v>
      </c>
      <c r="D1415" s="132" t="n">
        <v>46517</v>
      </c>
      <c r="E1415" s="131" t="s">
        <v>25</v>
      </c>
      <c r="F1415" s="133" t="s">
        <v>11</v>
      </c>
      <c r="G1415" s="134" t="n">
        <f aca="false">LEN('Saisie programme'!$D$58)+SUMIFS('Vols additionnels'!$E$7:$E$66,'Vols additionnels'!$C$7:$C$66,$E1415,'Vols additionnels'!$D$7:$D$66,$F1415,'Vols additionnels'!$B$7:$B$66,$D1415)</f>
        <v>0</v>
      </c>
      <c r="H1415" s="135" t="n">
        <f aca="false">$G1415*'Analyse capacite'!$F$7</f>
        <v>0</v>
      </c>
      <c r="I1415" s="135" t="n">
        <f aca="false">$G1415*'Analyse capacite'!$C$7</f>
        <v>0</v>
      </c>
      <c r="J1415" s="135" t="n">
        <f aca="false">$G1415*'Analyse capacite'!$D$7</f>
        <v>0</v>
      </c>
      <c r="K1415" s="135" t="n">
        <f aca="false">$G1415*'Analyse capacite'!$E$7</f>
        <v>0</v>
      </c>
    </row>
    <row r="1416" customFormat="false" ht="15" hidden="false" customHeight="false" outlineLevel="0" collapsed="false">
      <c r="B1416" s="130" t="n">
        <v>2027</v>
      </c>
      <c r="C1416" s="131" t="s">
        <v>247</v>
      </c>
      <c r="D1416" s="132" t="n">
        <v>46517</v>
      </c>
      <c r="E1416" s="131" t="s">
        <v>25</v>
      </c>
      <c r="F1416" s="133" t="s">
        <v>19</v>
      </c>
      <c r="G1416" s="134" t="n">
        <f aca="false">LEN('Saisie programme'!$D$59)+SUMIFS('Vols additionnels'!$E$7:$E$66,'Vols additionnels'!$C$7:$C$66,$E1416,'Vols additionnels'!$D$7:$D$66,$F1416,'Vols additionnels'!$B$7:$B$66,$D1416)</f>
        <v>0</v>
      </c>
      <c r="H1416" s="135" t="n">
        <f aca="false">$G1416*'Analyse capacite'!$F$8</f>
        <v>0</v>
      </c>
      <c r="I1416" s="135" t="n">
        <f aca="false">$G1416*'Analyse capacite'!$C$8</f>
        <v>0</v>
      </c>
      <c r="J1416" s="135" t="n">
        <f aca="false">$G1416*'Analyse capacite'!$D$8</f>
        <v>0</v>
      </c>
      <c r="K1416" s="135" t="n">
        <f aca="false">$G1416*'Analyse capacite'!$E$8</f>
        <v>0</v>
      </c>
    </row>
    <row r="1417" customFormat="false" ht="15" hidden="false" customHeight="false" outlineLevel="0" collapsed="false">
      <c r="B1417" s="130" t="n">
        <v>2027</v>
      </c>
      <c r="C1417" s="131" t="s">
        <v>247</v>
      </c>
      <c r="D1417" s="132" t="n">
        <v>46517</v>
      </c>
      <c r="E1417" s="131" t="s">
        <v>25</v>
      </c>
      <c r="F1417" s="133" t="s">
        <v>24</v>
      </c>
      <c r="G1417" s="134" t="n">
        <f aca="false">LEN('Saisie programme'!$D$60)+SUMIFS('Vols additionnels'!$E$7:$E$66,'Vols additionnels'!$C$7:$C$66,$E1417,'Vols additionnels'!$D$7:$D$66,$F1417,'Vols additionnels'!$B$7:$B$66,$D1417)</f>
        <v>0</v>
      </c>
      <c r="H1417" s="135" t="n">
        <f aca="false">$G1417*'Analyse capacite'!$F$9</f>
        <v>0</v>
      </c>
      <c r="I1417" s="135" t="n">
        <f aca="false">$G1417*'Analyse capacite'!$C$9</f>
        <v>0</v>
      </c>
      <c r="J1417" s="135" t="n">
        <f aca="false">$G1417*'Analyse capacite'!$D$9</f>
        <v>0</v>
      </c>
      <c r="K1417" s="135" t="n">
        <f aca="false">$G1417*'Analyse capacite'!$E$9</f>
        <v>0</v>
      </c>
    </row>
    <row r="1418" customFormat="false" ht="15" hidden="false" customHeight="false" outlineLevel="0" collapsed="false">
      <c r="B1418" s="130" t="n">
        <v>2027</v>
      </c>
      <c r="C1418" s="131" t="s">
        <v>247</v>
      </c>
      <c r="D1418" s="132" t="n">
        <v>46517</v>
      </c>
      <c r="E1418" s="131" t="s">
        <v>36</v>
      </c>
      <c r="F1418" s="133" t="s">
        <v>11</v>
      </c>
      <c r="G1418" s="134" t="n">
        <f aca="false">LEN('Saisie programme'!$D$61)+SUMIFS('Vols additionnels'!$E$7:$E$66,'Vols additionnels'!$C$7:$C$66,$E1418,'Vols additionnels'!$D$7:$D$66,$F1418,'Vols additionnels'!$B$7:$B$66,$D1418)</f>
        <v>0</v>
      </c>
      <c r="H1418" s="135" t="n">
        <f aca="false">$G1418*'Analyse capacite'!$F$7</f>
        <v>0</v>
      </c>
      <c r="I1418" s="135" t="n">
        <f aca="false">$G1418*'Analyse capacite'!$C$7</f>
        <v>0</v>
      </c>
      <c r="J1418" s="135" t="n">
        <f aca="false">$G1418*'Analyse capacite'!$D$7</f>
        <v>0</v>
      </c>
      <c r="K1418" s="135" t="n">
        <f aca="false">$G1418*'Analyse capacite'!$E$7</f>
        <v>0</v>
      </c>
    </row>
    <row r="1419" customFormat="false" ht="15" hidden="false" customHeight="false" outlineLevel="0" collapsed="false">
      <c r="B1419" s="130" t="n">
        <v>2027</v>
      </c>
      <c r="C1419" s="131" t="s">
        <v>247</v>
      </c>
      <c r="D1419" s="132" t="n">
        <v>46517</v>
      </c>
      <c r="E1419" s="131" t="s">
        <v>36</v>
      </c>
      <c r="F1419" s="133" t="s">
        <v>19</v>
      </c>
      <c r="G1419" s="134" t="n">
        <f aca="false">LEN('Saisie programme'!$D$62)+SUMIFS('Vols additionnels'!$E$7:$E$66,'Vols additionnels'!$C$7:$C$66,$E1419,'Vols additionnels'!$D$7:$D$66,$F1419,'Vols additionnels'!$B$7:$B$66,$D1419)</f>
        <v>0</v>
      </c>
      <c r="H1419" s="135" t="n">
        <f aca="false">$G1419*'Analyse capacite'!$F$8</f>
        <v>0</v>
      </c>
      <c r="I1419" s="135" t="n">
        <f aca="false">$G1419*'Analyse capacite'!$C$8</f>
        <v>0</v>
      </c>
      <c r="J1419" s="135" t="n">
        <f aca="false">$G1419*'Analyse capacite'!$D$8</f>
        <v>0</v>
      </c>
      <c r="K1419" s="135" t="n">
        <f aca="false">$G1419*'Analyse capacite'!$E$8</f>
        <v>0</v>
      </c>
    </row>
    <row r="1420" customFormat="false" ht="15" hidden="false" customHeight="false" outlineLevel="0" collapsed="false">
      <c r="B1420" s="130" t="n">
        <v>2027</v>
      </c>
      <c r="C1420" s="131" t="s">
        <v>247</v>
      </c>
      <c r="D1420" s="132" t="n">
        <v>46517</v>
      </c>
      <c r="E1420" s="131" t="s">
        <v>36</v>
      </c>
      <c r="F1420" s="133" t="s">
        <v>24</v>
      </c>
      <c r="G1420" s="134" t="n">
        <f aca="false">LEN('Saisie programme'!$D$63)+SUMIFS('Vols additionnels'!$E$7:$E$66,'Vols additionnels'!$C$7:$C$66,$E1420,'Vols additionnels'!$D$7:$D$66,$F1420,'Vols additionnels'!$B$7:$B$66,$D1420)</f>
        <v>1</v>
      </c>
      <c r="H1420" s="135" t="n">
        <f aca="false">$G1420*'Analyse capacite'!$F$9</f>
        <v>174</v>
      </c>
      <c r="I1420" s="135" t="n">
        <f aca="false">$G1420*'Analyse capacite'!$C$9</f>
        <v>0</v>
      </c>
      <c r="J1420" s="135" t="n">
        <f aca="false">$G1420*'Analyse capacite'!$D$9</f>
        <v>12</v>
      </c>
      <c r="K1420" s="135" t="n">
        <f aca="false">$G1420*'Analyse capacite'!$E$9</f>
        <v>162</v>
      </c>
    </row>
    <row r="1421" customFormat="false" ht="15" hidden="false" customHeight="false" outlineLevel="0" collapsed="false">
      <c r="B1421" s="130" t="n">
        <v>2027</v>
      </c>
      <c r="C1421" s="131" t="s">
        <v>247</v>
      </c>
      <c r="D1421" s="132" t="n">
        <v>46517</v>
      </c>
      <c r="E1421" s="131" t="s">
        <v>40</v>
      </c>
      <c r="F1421" s="133" t="s">
        <v>11</v>
      </c>
      <c r="G1421" s="134" t="n">
        <f aca="false">LEN('Saisie programme'!$D$64)+SUMIFS('Vols additionnels'!$E$7:$E$66,'Vols additionnels'!$C$7:$C$66,$E1421,'Vols additionnels'!$D$7:$D$66,$F1421,'Vols additionnels'!$B$7:$B$66,$D1421)</f>
        <v>0</v>
      </c>
      <c r="H1421" s="135" t="n">
        <f aca="false">$G1421*'Analyse capacite'!$F$7</f>
        <v>0</v>
      </c>
      <c r="I1421" s="135" t="n">
        <f aca="false">$G1421*'Analyse capacite'!$C$7</f>
        <v>0</v>
      </c>
      <c r="J1421" s="135" t="n">
        <f aca="false">$G1421*'Analyse capacite'!$D$7</f>
        <v>0</v>
      </c>
      <c r="K1421" s="135" t="n">
        <f aca="false">$G1421*'Analyse capacite'!$E$7</f>
        <v>0</v>
      </c>
    </row>
    <row r="1422" customFormat="false" ht="15" hidden="false" customHeight="false" outlineLevel="0" collapsed="false">
      <c r="B1422" s="130" t="n">
        <v>2027</v>
      </c>
      <c r="C1422" s="131" t="s">
        <v>247</v>
      </c>
      <c r="D1422" s="132" t="n">
        <v>46517</v>
      </c>
      <c r="E1422" s="131" t="s">
        <v>40</v>
      </c>
      <c r="F1422" s="133" t="s">
        <v>19</v>
      </c>
      <c r="G1422" s="134" t="n">
        <f aca="false">LEN('Saisie programme'!$D$65)+SUMIFS('Vols additionnels'!$E$7:$E$66,'Vols additionnels'!$C$7:$C$66,$E1422,'Vols additionnels'!$D$7:$D$66,$F1422,'Vols additionnels'!$B$7:$B$66,$D1422)</f>
        <v>0</v>
      </c>
      <c r="H1422" s="135" t="n">
        <f aca="false">$G1422*'Analyse capacite'!$F$8</f>
        <v>0</v>
      </c>
      <c r="I1422" s="135" t="n">
        <f aca="false">$G1422*'Analyse capacite'!$C$8</f>
        <v>0</v>
      </c>
      <c r="J1422" s="135" t="n">
        <f aca="false">$G1422*'Analyse capacite'!$D$8</f>
        <v>0</v>
      </c>
      <c r="K1422" s="135" t="n">
        <f aca="false">$G1422*'Analyse capacite'!$E$8</f>
        <v>0</v>
      </c>
    </row>
    <row r="1423" customFormat="false" ht="15" hidden="false" customHeight="false" outlineLevel="0" collapsed="false">
      <c r="B1423" s="130" t="n">
        <v>2027</v>
      </c>
      <c r="C1423" s="131" t="s">
        <v>247</v>
      </c>
      <c r="D1423" s="132" t="n">
        <v>46517</v>
      </c>
      <c r="E1423" s="131" t="s">
        <v>40</v>
      </c>
      <c r="F1423" s="133" t="s">
        <v>24</v>
      </c>
      <c r="G1423" s="134" t="n">
        <f aca="false">LEN('Saisie programme'!$D$66)+SUMIFS('Vols additionnels'!$E$7:$E$66,'Vols additionnels'!$C$7:$C$66,$E1423,'Vols additionnels'!$D$7:$D$66,$F1423,'Vols additionnels'!$B$7:$B$66,$D1423)</f>
        <v>1</v>
      </c>
      <c r="H1423" s="135" t="n">
        <f aca="false">$G1423*'Analyse capacite'!$F$9</f>
        <v>174</v>
      </c>
      <c r="I1423" s="135" t="n">
        <f aca="false">$G1423*'Analyse capacite'!$C$9</f>
        <v>0</v>
      </c>
      <c r="J1423" s="135" t="n">
        <f aca="false">$G1423*'Analyse capacite'!$D$9</f>
        <v>12</v>
      </c>
      <c r="K1423" s="135" t="n">
        <f aca="false">$G1423*'Analyse capacite'!$E$9</f>
        <v>162</v>
      </c>
    </row>
    <row r="1424" customFormat="false" ht="15" hidden="false" customHeight="false" outlineLevel="0" collapsed="false">
      <c r="B1424" s="130" t="n">
        <v>2027</v>
      </c>
      <c r="C1424" s="131" t="s">
        <v>247</v>
      </c>
      <c r="D1424" s="132" t="n">
        <v>46517</v>
      </c>
      <c r="E1424" s="131" t="s">
        <v>14</v>
      </c>
      <c r="F1424" s="133" t="s">
        <v>11</v>
      </c>
      <c r="G1424" s="134" t="n">
        <f aca="false">LEN('Saisie programme'!$D$67)+SUMIFS('Vols additionnels'!$E$7:$E$66,'Vols additionnels'!$C$7:$C$66,$E1424,'Vols additionnels'!$D$7:$D$66,$F1424,'Vols additionnels'!$B$7:$B$66,$D1424)</f>
        <v>0</v>
      </c>
      <c r="H1424" s="135" t="n">
        <f aca="false">$G1424*'Analyse capacite'!$F$7</f>
        <v>0</v>
      </c>
      <c r="I1424" s="135" t="n">
        <f aca="false">$G1424*'Analyse capacite'!$C$7</f>
        <v>0</v>
      </c>
      <c r="J1424" s="135" t="n">
        <f aca="false">$G1424*'Analyse capacite'!$D$7</f>
        <v>0</v>
      </c>
      <c r="K1424" s="135" t="n">
        <f aca="false">$G1424*'Analyse capacite'!$E$7</f>
        <v>0</v>
      </c>
    </row>
    <row r="1425" customFormat="false" ht="15" hidden="false" customHeight="false" outlineLevel="0" collapsed="false">
      <c r="B1425" s="130" t="n">
        <v>2027</v>
      </c>
      <c r="C1425" s="131" t="s">
        <v>247</v>
      </c>
      <c r="D1425" s="132" t="n">
        <v>46517</v>
      </c>
      <c r="E1425" s="131" t="s">
        <v>14</v>
      </c>
      <c r="F1425" s="133" t="s">
        <v>19</v>
      </c>
      <c r="G1425" s="134" t="n">
        <f aca="false">LEN('Saisie programme'!$D$68)+SUMIFS('Vols additionnels'!$E$7:$E$66,'Vols additionnels'!$C$7:$C$66,$E1425,'Vols additionnels'!$D$7:$D$66,$F1425,'Vols additionnels'!$B$7:$B$66,$D1425)</f>
        <v>0</v>
      </c>
      <c r="H1425" s="135" t="n">
        <f aca="false">$G1425*'Analyse capacite'!$F$8</f>
        <v>0</v>
      </c>
      <c r="I1425" s="135" t="n">
        <f aca="false">$G1425*'Analyse capacite'!$C$8</f>
        <v>0</v>
      </c>
      <c r="J1425" s="135" t="n">
        <f aca="false">$G1425*'Analyse capacite'!$D$8</f>
        <v>0</v>
      </c>
      <c r="K1425" s="135" t="n">
        <f aca="false">$G1425*'Analyse capacite'!$E$8</f>
        <v>0</v>
      </c>
    </row>
    <row r="1426" customFormat="false" ht="15" hidden="false" customHeight="false" outlineLevel="0" collapsed="false">
      <c r="B1426" s="130" t="n">
        <v>2027</v>
      </c>
      <c r="C1426" s="131" t="s">
        <v>247</v>
      </c>
      <c r="D1426" s="132" t="n">
        <v>46517</v>
      </c>
      <c r="E1426" s="131" t="s">
        <v>14</v>
      </c>
      <c r="F1426" s="133" t="s">
        <v>24</v>
      </c>
      <c r="G1426" s="134" t="n">
        <f aca="false">LEN('Saisie programme'!$D$69)+SUMIFS('Vols additionnels'!$E$7:$E$66,'Vols additionnels'!$C$7:$C$66,$E1426,'Vols additionnels'!$D$7:$D$66,$F1426,'Vols additionnels'!$B$7:$B$66,$D1426)</f>
        <v>1</v>
      </c>
      <c r="H1426" s="135" t="n">
        <f aca="false">$G1426*'Analyse capacite'!$F$9</f>
        <v>174</v>
      </c>
      <c r="I1426" s="135" t="n">
        <f aca="false">$G1426*'Analyse capacite'!$C$9</f>
        <v>0</v>
      </c>
      <c r="J1426" s="135" t="n">
        <f aca="false">$G1426*'Analyse capacite'!$D$9</f>
        <v>12</v>
      </c>
      <c r="K1426" s="135" t="n">
        <f aca="false">$G1426*'Analyse capacite'!$E$9</f>
        <v>162</v>
      </c>
    </row>
    <row r="1427" customFormat="false" ht="15" hidden="false" customHeight="false" outlineLevel="0" collapsed="false">
      <c r="B1427" s="130" t="n">
        <v>2027</v>
      </c>
      <c r="C1427" s="131" t="s">
        <v>247</v>
      </c>
      <c r="D1427" s="132" t="n">
        <v>46517</v>
      </c>
      <c r="E1427" s="131" t="s">
        <v>46</v>
      </c>
      <c r="F1427" s="133" t="s">
        <v>11</v>
      </c>
      <c r="G1427" s="134" t="n">
        <f aca="false">LEN('Saisie programme'!$D$70)+SUMIFS('Vols additionnels'!$E$7:$E$66,'Vols additionnels'!$C$7:$C$66,$E1427,'Vols additionnels'!$D$7:$D$66,$F1427,'Vols additionnels'!$B$7:$B$66,$D1427)</f>
        <v>0</v>
      </c>
      <c r="H1427" s="135" t="n">
        <f aca="false">$G1427*'Analyse capacite'!$F$7</f>
        <v>0</v>
      </c>
      <c r="I1427" s="135" t="n">
        <f aca="false">$G1427*'Analyse capacite'!$C$7</f>
        <v>0</v>
      </c>
      <c r="J1427" s="135" t="n">
        <f aca="false">$G1427*'Analyse capacite'!$D$7</f>
        <v>0</v>
      </c>
      <c r="K1427" s="135" t="n">
        <f aca="false">$G1427*'Analyse capacite'!$E$7</f>
        <v>0</v>
      </c>
    </row>
    <row r="1428" customFormat="false" ht="15" hidden="false" customHeight="false" outlineLevel="0" collapsed="false">
      <c r="B1428" s="130" t="n">
        <v>2027</v>
      </c>
      <c r="C1428" s="131" t="s">
        <v>247</v>
      </c>
      <c r="D1428" s="132" t="n">
        <v>46517</v>
      </c>
      <c r="E1428" s="131" t="s">
        <v>46</v>
      </c>
      <c r="F1428" s="133" t="s">
        <v>19</v>
      </c>
      <c r="G1428" s="134" t="n">
        <f aca="false">LEN('Saisie programme'!$D$71)+SUMIFS('Vols additionnels'!$E$7:$E$66,'Vols additionnels'!$C$7:$C$66,$E1428,'Vols additionnels'!$D$7:$D$66,$F1428,'Vols additionnels'!$B$7:$B$66,$D1428)</f>
        <v>0</v>
      </c>
      <c r="H1428" s="135" t="n">
        <f aca="false">$G1428*'Analyse capacite'!$F$8</f>
        <v>0</v>
      </c>
      <c r="I1428" s="135" t="n">
        <f aca="false">$G1428*'Analyse capacite'!$C$8</f>
        <v>0</v>
      </c>
      <c r="J1428" s="135" t="n">
        <f aca="false">$G1428*'Analyse capacite'!$D$8</f>
        <v>0</v>
      </c>
      <c r="K1428" s="135" t="n">
        <f aca="false">$G1428*'Analyse capacite'!$E$8</f>
        <v>0</v>
      </c>
    </row>
    <row r="1429" customFormat="false" ht="15" hidden="false" customHeight="false" outlineLevel="0" collapsed="false">
      <c r="B1429" s="130" t="n">
        <v>2027</v>
      </c>
      <c r="C1429" s="131" t="s">
        <v>247</v>
      </c>
      <c r="D1429" s="132" t="n">
        <v>46517</v>
      </c>
      <c r="E1429" s="131" t="s">
        <v>46</v>
      </c>
      <c r="F1429" s="133" t="s">
        <v>24</v>
      </c>
      <c r="G1429" s="134" t="n">
        <f aca="false">LEN('Saisie programme'!$D$72)+SUMIFS('Vols additionnels'!$E$7:$E$66,'Vols additionnels'!$C$7:$C$66,$E1429,'Vols additionnels'!$D$7:$D$66,$F1429,'Vols additionnels'!$B$7:$B$66,$D1429)</f>
        <v>0</v>
      </c>
      <c r="H1429" s="135" t="n">
        <f aca="false">$G1429*'Analyse capacite'!$F$9</f>
        <v>0</v>
      </c>
      <c r="I1429" s="135" t="n">
        <f aca="false">$G1429*'Analyse capacite'!$C$9</f>
        <v>0</v>
      </c>
      <c r="J1429" s="135" t="n">
        <f aca="false">$G1429*'Analyse capacite'!$D$9</f>
        <v>0</v>
      </c>
      <c r="K1429" s="135" t="n">
        <f aca="false">$G1429*'Analyse capacite'!$E$9</f>
        <v>0</v>
      </c>
    </row>
    <row r="1430" customFormat="false" ht="15" hidden="false" customHeight="false" outlineLevel="0" collapsed="false">
      <c r="B1430" s="130" t="n">
        <v>2027</v>
      </c>
      <c r="C1430" s="131" t="s">
        <v>247</v>
      </c>
      <c r="D1430" s="132" t="n">
        <v>46517</v>
      </c>
      <c r="E1430" s="131" t="s">
        <v>49</v>
      </c>
      <c r="F1430" s="133" t="s">
        <v>11</v>
      </c>
      <c r="G1430" s="134" t="n">
        <f aca="false">LEN('Saisie programme'!$D$73)+SUMIFS('Vols additionnels'!$E$7:$E$66,'Vols additionnels'!$C$7:$C$66,$E1430,'Vols additionnels'!$D$7:$D$66,$F1430,'Vols additionnels'!$B$7:$B$66,$D1430)</f>
        <v>0</v>
      </c>
      <c r="H1430" s="135" t="n">
        <f aca="false">$G1430*'Analyse capacite'!$F$7</f>
        <v>0</v>
      </c>
      <c r="I1430" s="135" t="n">
        <f aca="false">$G1430*'Analyse capacite'!$C$7</f>
        <v>0</v>
      </c>
      <c r="J1430" s="135" t="n">
        <f aca="false">$G1430*'Analyse capacite'!$D$7</f>
        <v>0</v>
      </c>
      <c r="K1430" s="135" t="n">
        <f aca="false">$G1430*'Analyse capacite'!$E$7</f>
        <v>0</v>
      </c>
    </row>
    <row r="1431" customFormat="false" ht="15" hidden="false" customHeight="false" outlineLevel="0" collapsed="false">
      <c r="B1431" s="130" t="n">
        <v>2027</v>
      </c>
      <c r="C1431" s="131" t="s">
        <v>247</v>
      </c>
      <c r="D1431" s="132" t="n">
        <v>46517</v>
      </c>
      <c r="E1431" s="131" t="s">
        <v>49</v>
      </c>
      <c r="F1431" s="133" t="s">
        <v>19</v>
      </c>
      <c r="G1431" s="134" t="n">
        <f aca="false">LEN('Saisie programme'!$D$74)+SUMIFS('Vols additionnels'!$E$7:$E$66,'Vols additionnels'!$C$7:$C$66,$E1431,'Vols additionnels'!$D$7:$D$66,$F1431,'Vols additionnels'!$B$7:$B$66,$D1431)</f>
        <v>1</v>
      </c>
      <c r="H1431" s="135" t="n">
        <f aca="false">$G1431*'Analyse capacite'!$F$8</f>
        <v>262</v>
      </c>
      <c r="I1431" s="135" t="n">
        <f aca="false">$G1431*'Analyse capacite'!$C$8</f>
        <v>18</v>
      </c>
      <c r="J1431" s="135" t="n">
        <f aca="false">$G1431*'Analyse capacite'!$D$8</f>
        <v>0</v>
      </c>
      <c r="K1431" s="135" t="n">
        <f aca="false">$G1431*'Analyse capacite'!$E$8</f>
        <v>244</v>
      </c>
    </row>
    <row r="1432" customFormat="false" ht="15" hidden="false" customHeight="false" outlineLevel="0" collapsed="false">
      <c r="B1432" s="130" t="n">
        <v>2027</v>
      </c>
      <c r="C1432" s="131" t="s">
        <v>247</v>
      </c>
      <c r="D1432" s="132" t="n">
        <v>46517</v>
      </c>
      <c r="E1432" s="131" t="s">
        <v>49</v>
      </c>
      <c r="F1432" s="133" t="s">
        <v>24</v>
      </c>
      <c r="G1432" s="134" t="n">
        <f aca="false">LEN('Saisie programme'!$D$75)+SUMIFS('Vols additionnels'!$E$7:$E$66,'Vols additionnels'!$C$7:$C$66,$E1432,'Vols additionnels'!$D$7:$D$66,$F1432,'Vols additionnels'!$B$7:$B$66,$D1432)</f>
        <v>0</v>
      </c>
      <c r="H1432" s="135" t="n">
        <f aca="false">$G1432*'Analyse capacite'!$F$9</f>
        <v>0</v>
      </c>
      <c r="I1432" s="135" t="n">
        <f aca="false">$G1432*'Analyse capacite'!$C$9</f>
        <v>0</v>
      </c>
      <c r="J1432" s="135" t="n">
        <f aca="false">$G1432*'Analyse capacite'!$D$9</f>
        <v>0</v>
      </c>
      <c r="K1432" s="135" t="n">
        <f aca="false">$G1432*'Analyse capacite'!$E$9</f>
        <v>0</v>
      </c>
    </row>
    <row r="1433" customFormat="false" ht="15" hidden="false" customHeight="false" outlineLevel="0" collapsed="false">
      <c r="B1433" s="130" t="n">
        <v>2027</v>
      </c>
      <c r="C1433" s="131" t="s">
        <v>247</v>
      </c>
      <c r="D1433" s="132" t="n">
        <v>46517</v>
      </c>
      <c r="E1433" s="131" t="s">
        <v>53</v>
      </c>
      <c r="F1433" s="133" t="s">
        <v>11</v>
      </c>
      <c r="G1433" s="134" t="n">
        <f aca="false">LEN('Saisie programme'!$D$76)+SUMIFS('Vols additionnels'!$E$7:$E$66,'Vols additionnels'!$C$7:$C$66,$E1433,'Vols additionnels'!$D$7:$D$66,$F1433,'Vols additionnels'!$B$7:$B$66,$D1433)</f>
        <v>0</v>
      </c>
      <c r="H1433" s="135" t="n">
        <f aca="false">$G1433*'Analyse capacite'!$F$7</f>
        <v>0</v>
      </c>
      <c r="I1433" s="135" t="n">
        <f aca="false">$G1433*'Analyse capacite'!$C$7</f>
        <v>0</v>
      </c>
      <c r="J1433" s="135" t="n">
        <f aca="false">$G1433*'Analyse capacite'!$D$7</f>
        <v>0</v>
      </c>
      <c r="K1433" s="135" t="n">
        <f aca="false">$G1433*'Analyse capacite'!$E$7</f>
        <v>0</v>
      </c>
    </row>
    <row r="1434" customFormat="false" ht="15" hidden="false" customHeight="false" outlineLevel="0" collapsed="false">
      <c r="B1434" s="130" t="n">
        <v>2027</v>
      </c>
      <c r="C1434" s="131" t="s">
        <v>247</v>
      </c>
      <c r="D1434" s="132" t="n">
        <v>46517</v>
      </c>
      <c r="E1434" s="131" t="s">
        <v>53</v>
      </c>
      <c r="F1434" s="133" t="s">
        <v>19</v>
      </c>
      <c r="G1434" s="134" t="n">
        <f aca="false">LEN('Saisie programme'!$D$77)+SUMIFS('Vols additionnels'!$E$7:$E$66,'Vols additionnels'!$C$7:$C$66,$E1434,'Vols additionnels'!$D$7:$D$66,$F1434,'Vols additionnels'!$B$7:$B$66,$D1434)</f>
        <v>0</v>
      </c>
      <c r="H1434" s="135" t="n">
        <f aca="false">$G1434*'Analyse capacite'!$F$8</f>
        <v>0</v>
      </c>
      <c r="I1434" s="135" t="n">
        <f aca="false">$G1434*'Analyse capacite'!$C$8</f>
        <v>0</v>
      </c>
      <c r="J1434" s="135" t="n">
        <f aca="false">$G1434*'Analyse capacite'!$D$8</f>
        <v>0</v>
      </c>
      <c r="K1434" s="135" t="n">
        <f aca="false">$G1434*'Analyse capacite'!$E$8</f>
        <v>0</v>
      </c>
    </row>
    <row r="1435" customFormat="false" ht="15" hidden="false" customHeight="false" outlineLevel="0" collapsed="false">
      <c r="B1435" s="130" t="n">
        <v>2027</v>
      </c>
      <c r="C1435" s="131" t="s">
        <v>247</v>
      </c>
      <c r="D1435" s="132" t="n">
        <v>46517</v>
      </c>
      <c r="E1435" s="131" t="s">
        <v>53</v>
      </c>
      <c r="F1435" s="133" t="s">
        <v>24</v>
      </c>
      <c r="G1435" s="134" t="n">
        <f aca="false">LEN('Saisie programme'!$D$78)+SUMIFS('Vols additionnels'!$E$7:$E$66,'Vols additionnels'!$C$7:$C$66,$E1435,'Vols additionnels'!$D$7:$D$66,$F1435,'Vols additionnels'!$B$7:$B$66,$D1435)</f>
        <v>0</v>
      </c>
      <c r="H1435" s="135" t="n">
        <f aca="false">$G1435*'Analyse capacite'!$F$9</f>
        <v>0</v>
      </c>
      <c r="I1435" s="135" t="n">
        <f aca="false">$G1435*'Analyse capacite'!$C$9</f>
        <v>0</v>
      </c>
      <c r="J1435" s="135" t="n">
        <f aca="false">$G1435*'Analyse capacite'!$D$9</f>
        <v>0</v>
      </c>
      <c r="K1435" s="135" t="n">
        <f aca="false">$G1435*'Analyse capacite'!$E$9</f>
        <v>0</v>
      </c>
    </row>
    <row r="1436" customFormat="false" ht="15" hidden="false" customHeight="false" outlineLevel="0" collapsed="false">
      <c r="B1436" s="130" t="n">
        <v>2027</v>
      </c>
      <c r="C1436" s="131" t="s">
        <v>247</v>
      </c>
      <c r="D1436" s="132" t="n">
        <v>46517</v>
      </c>
      <c r="E1436" s="131" t="s">
        <v>56</v>
      </c>
      <c r="F1436" s="133" t="s">
        <v>11</v>
      </c>
      <c r="G1436" s="134" t="n">
        <f aca="false">LEN('Saisie programme'!$D$79)+SUMIFS('Vols additionnels'!$E$7:$E$66,'Vols additionnels'!$C$7:$C$66,$E1436,'Vols additionnels'!$D$7:$D$66,$F1436,'Vols additionnels'!$B$7:$B$66,$D1436)</f>
        <v>0</v>
      </c>
      <c r="H1436" s="135" t="n">
        <f aca="false">$G1436*'Analyse capacite'!$F$7</f>
        <v>0</v>
      </c>
      <c r="I1436" s="135" t="n">
        <f aca="false">$G1436*'Analyse capacite'!$C$7</f>
        <v>0</v>
      </c>
      <c r="J1436" s="135" t="n">
        <f aca="false">$G1436*'Analyse capacite'!$D$7</f>
        <v>0</v>
      </c>
      <c r="K1436" s="135" t="n">
        <f aca="false">$G1436*'Analyse capacite'!$E$7</f>
        <v>0</v>
      </c>
    </row>
    <row r="1437" customFormat="false" ht="15" hidden="false" customHeight="false" outlineLevel="0" collapsed="false">
      <c r="B1437" s="130" t="n">
        <v>2027</v>
      </c>
      <c r="C1437" s="131" t="s">
        <v>247</v>
      </c>
      <c r="D1437" s="132" t="n">
        <v>46517</v>
      </c>
      <c r="E1437" s="131" t="s">
        <v>56</v>
      </c>
      <c r="F1437" s="133" t="s">
        <v>19</v>
      </c>
      <c r="G1437" s="134" t="n">
        <f aca="false">LEN('Saisie programme'!$D$80)+SUMIFS('Vols additionnels'!$E$7:$E$66,'Vols additionnels'!$C$7:$C$66,$E1437,'Vols additionnels'!$D$7:$D$66,$F1437,'Vols additionnels'!$B$7:$B$66,$D1437)</f>
        <v>0</v>
      </c>
      <c r="H1437" s="135" t="n">
        <f aca="false">$G1437*'Analyse capacite'!$F$8</f>
        <v>0</v>
      </c>
      <c r="I1437" s="135" t="n">
        <f aca="false">$G1437*'Analyse capacite'!$C$8</f>
        <v>0</v>
      </c>
      <c r="J1437" s="135" t="n">
        <f aca="false">$G1437*'Analyse capacite'!$D$8</f>
        <v>0</v>
      </c>
      <c r="K1437" s="135" t="n">
        <f aca="false">$G1437*'Analyse capacite'!$E$8</f>
        <v>0</v>
      </c>
    </row>
    <row r="1438" customFormat="false" ht="15" hidden="false" customHeight="false" outlineLevel="0" collapsed="false">
      <c r="B1438" s="130" t="n">
        <v>2027</v>
      </c>
      <c r="C1438" s="131" t="s">
        <v>247</v>
      </c>
      <c r="D1438" s="132" t="n">
        <v>46517</v>
      </c>
      <c r="E1438" s="131" t="s">
        <v>56</v>
      </c>
      <c r="F1438" s="133" t="s">
        <v>24</v>
      </c>
      <c r="G1438" s="134" t="n">
        <f aca="false">LEN('Saisie programme'!$D$81)+SUMIFS('Vols additionnels'!$E$7:$E$66,'Vols additionnels'!$C$7:$C$66,$E1438,'Vols additionnels'!$D$7:$D$66,$F1438,'Vols additionnels'!$B$7:$B$66,$D1438)</f>
        <v>0</v>
      </c>
      <c r="H1438" s="135" t="n">
        <f aca="false">$G1438*'Analyse capacite'!$F$9</f>
        <v>0</v>
      </c>
      <c r="I1438" s="135" t="n">
        <f aca="false">$G1438*'Analyse capacite'!$C$9</f>
        <v>0</v>
      </c>
      <c r="J1438" s="135" t="n">
        <f aca="false">$G1438*'Analyse capacite'!$D$9</f>
        <v>0</v>
      </c>
      <c r="K1438" s="135" t="n">
        <f aca="false">$G1438*'Analyse capacite'!$E$9</f>
        <v>0</v>
      </c>
    </row>
    <row r="1439" customFormat="false" ht="15" hidden="false" customHeight="false" outlineLevel="0" collapsed="false">
      <c r="B1439" s="130" t="n">
        <v>2027</v>
      </c>
      <c r="C1439" s="131" t="s">
        <v>247</v>
      </c>
      <c r="D1439" s="132" t="n">
        <v>46517</v>
      </c>
      <c r="E1439" s="131" t="s">
        <v>59</v>
      </c>
      <c r="F1439" s="133" t="s">
        <v>11</v>
      </c>
      <c r="G1439" s="134" t="n">
        <f aca="false">LEN('Saisie programme'!$D$82)+SUMIFS('Vols additionnels'!$E$7:$E$66,'Vols additionnels'!$C$7:$C$66,$E1439,'Vols additionnels'!$D$7:$D$66,$F1439,'Vols additionnels'!$B$7:$B$66,$D1439)</f>
        <v>0</v>
      </c>
      <c r="H1439" s="135" t="n">
        <f aca="false">$G1439*'Analyse capacite'!$F$7</f>
        <v>0</v>
      </c>
      <c r="I1439" s="135" t="n">
        <f aca="false">$G1439*'Analyse capacite'!$C$7</f>
        <v>0</v>
      </c>
      <c r="J1439" s="135" t="n">
        <f aca="false">$G1439*'Analyse capacite'!$D$7</f>
        <v>0</v>
      </c>
      <c r="K1439" s="135" t="n">
        <f aca="false">$G1439*'Analyse capacite'!$E$7</f>
        <v>0</v>
      </c>
    </row>
    <row r="1440" customFormat="false" ht="15" hidden="false" customHeight="false" outlineLevel="0" collapsed="false">
      <c r="B1440" s="130" t="n">
        <v>2027</v>
      </c>
      <c r="C1440" s="131" t="s">
        <v>247</v>
      </c>
      <c r="D1440" s="132" t="n">
        <v>46517</v>
      </c>
      <c r="E1440" s="131" t="s">
        <v>59</v>
      </c>
      <c r="F1440" s="133" t="s">
        <v>19</v>
      </c>
      <c r="G1440" s="134" t="n">
        <f aca="false">LEN('Saisie programme'!$D$83)+SUMIFS('Vols additionnels'!$E$7:$E$66,'Vols additionnels'!$C$7:$C$66,$E1440,'Vols additionnels'!$D$7:$D$66,$F1440,'Vols additionnels'!$B$7:$B$66,$D1440)</f>
        <v>0</v>
      </c>
      <c r="H1440" s="135" t="n">
        <f aca="false">$G1440*'Analyse capacite'!$F$8</f>
        <v>0</v>
      </c>
      <c r="I1440" s="135" t="n">
        <f aca="false">$G1440*'Analyse capacite'!$C$8</f>
        <v>0</v>
      </c>
      <c r="J1440" s="135" t="n">
        <f aca="false">$G1440*'Analyse capacite'!$D$8</f>
        <v>0</v>
      </c>
      <c r="K1440" s="135" t="n">
        <f aca="false">$G1440*'Analyse capacite'!$E$8</f>
        <v>0</v>
      </c>
    </row>
    <row r="1441" customFormat="false" ht="15" hidden="false" customHeight="false" outlineLevel="0" collapsed="false">
      <c r="B1441" s="130" t="n">
        <v>2027</v>
      </c>
      <c r="C1441" s="131" t="s">
        <v>247</v>
      </c>
      <c r="D1441" s="132" t="n">
        <v>46517</v>
      </c>
      <c r="E1441" s="131" t="s">
        <v>59</v>
      </c>
      <c r="F1441" s="133" t="s">
        <v>24</v>
      </c>
      <c r="G1441" s="134" t="n">
        <f aca="false">LEN('Saisie programme'!$D$84)+SUMIFS('Vols additionnels'!$E$7:$E$66,'Vols additionnels'!$C$7:$C$66,$E1441,'Vols additionnels'!$D$7:$D$66,$F1441,'Vols additionnels'!$B$7:$B$66,$D1441)</f>
        <v>1</v>
      </c>
      <c r="H1441" s="135" t="n">
        <f aca="false">$G1441*'Analyse capacite'!$F$9</f>
        <v>174</v>
      </c>
      <c r="I1441" s="135" t="n">
        <f aca="false">$G1441*'Analyse capacite'!$C$9</f>
        <v>0</v>
      </c>
      <c r="J1441" s="135" t="n">
        <f aca="false">$G1441*'Analyse capacite'!$D$9</f>
        <v>12</v>
      </c>
      <c r="K1441" s="135" t="n">
        <f aca="false">$G1441*'Analyse capacite'!$E$9</f>
        <v>162</v>
      </c>
    </row>
    <row r="1442" customFormat="false" ht="15" hidden="false" customHeight="false" outlineLevel="0" collapsed="false">
      <c r="B1442" s="130" t="n">
        <v>2027</v>
      </c>
      <c r="C1442" s="131" t="s">
        <v>247</v>
      </c>
      <c r="D1442" s="132" t="n">
        <v>46517</v>
      </c>
      <c r="E1442" s="131" t="s">
        <v>62</v>
      </c>
      <c r="F1442" s="133" t="s">
        <v>11</v>
      </c>
      <c r="G1442" s="134" t="n">
        <f aca="false">LEN('Saisie programme'!$D$85)+SUMIFS('Vols additionnels'!$E$7:$E$66,'Vols additionnels'!$C$7:$C$66,$E1442,'Vols additionnels'!$D$7:$D$66,$F1442,'Vols additionnels'!$B$7:$B$66,$D1442)</f>
        <v>0</v>
      </c>
      <c r="H1442" s="135" t="n">
        <f aca="false">$G1442*'Analyse capacite'!$F$7</f>
        <v>0</v>
      </c>
      <c r="I1442" s="135" t="n">
        <f aca="false">$G1442*'Analyse capacite'!$C$7</f>
        <v>0</v>
      </c>
      <c r="J1442" s="135" t="n">
        <f aca="false">$G1442*'Analyse capacite'!$D$7</f>
        <v>0</v>
      </c>
      <c r="K1442" s="135" t="n">
        <f aca="false">$G1442*'Analyse capacite'!$E$7</f>
        <v>0</v>
      </c>
    </row>
    <row r="1443" customFormat="false" ht="15" hidden="false" customHeight="false" outlineLevel="0" collapsed="false">
      <c r="B1443" s="130" t="n">
        <v>2027</v>
      </c>
      <c r="C1443" s="131" t="s">
        <v>247</v>
      </c>
      <c r="D1443" s="132" t="n">
        <v>46517</v>
      </c>
      <c r="E1443" s="131" t="s">
        <v>62</v>
      </c>
      <c r="F1443" s="133" t="s">
        <v>19</v>
      </c>
      <c r="G1443" s="134" t="n">
        <f aca="false">LEN('Saisie programme'!$D$86)+SUMIFS('Vols additionnels'!$E$7:$E$66,'Vols additionnels'!$C$7:$C$66,$E1443,'Vols additionnels'!$D$7:$D$66,$F1443,'Vols additionnels'!$B$7:$B$66,$D1443)</f>
        <v>0</v>
      </c>
      <c r="H1443" s="135" t="n">
        <f aca="false">$G1443*'Analyse capacite'!$F$8</f>
        <v>0</v>
      </c>
      <c r="I1443" s="135" t="n">
        <f aca="false">$G1443*'Analyse capacite'!$C$8</f>
        <v>0</v>
      </c>
      <c r="J1443" s="135" t="n">
        <f aca="false">$G1443*'Analyse capacite'!$D$8</f>
        <v>0</v>
      </c>
      <c r="K1443" s="135" t="n">
        <f aca="false">$G1443*'Analyse capacite'!$E$8</f>
        <v>0</v>
      </c>
    </row>
    <row r="1444" customFormat="false" ht="15" hidden="false" customHeight="false" outlineLevel="0" collapsed="false">
      <c r="B1444" s="130" t="n">
        <v>2027</v>
      </c>
      <c r="C1444" s="131" t="s">
        <v>247</v>
      </c>
      <c r="D1444" s="132" t="n">
        <v>46517</v>
      </c>
      <c r="E1444" s="131" t="s">
        <v>62</v>
      </c>
      <c r="F1444" s="133" t="s">
        <v>24</v>
      </c>
      <c r="G1444" s="134" t="n">
        <f aca="false">LEN('Saisie programme'!$D$87)+SUMIFS('Vols additionnels'!$E$7:$E$66,'Vols additionnels'!$C$7:$C$66,$E1444,'Vols additionnels'!$D$7:$D$66,$F1444,'Vols additionnels'!$B$7:$B$66,$D1444)</f>
        <v>0</v>
      </c>
      <c r="H1444" s="135" t="n">
        <f aca="false">$G1444*'Analyse capacite'!$F$9</f>
        <v>0</v>
      </c>
      <c r="I1444" s="135" t="n">
        <f aca="false">$G1444*'Analyse capacite'!$C$9</f>
        <v>0</v>
      </c>
      <c r="J1444" s="135" t="n">
        <f aca="false">$G1444*'Analyse capacite'!$D$9</f>
        <v>0</v>
      </c>
      <c r="K1444" s="135" t="n">
        <f aca="false">$G1444*'Analyse capacite'!$E$9</f>
        <v>0</v>
      </c>
    </row>
    <row r="1445" customFormat="false" ht="15" hidden="false" customHeight="false" outlineLevel="0" collapsed="false">
      <c r="B1445" s="130" t="n">
        <v>2027</v>
      </c>
      <c r="C1445" s="131" t="s">
        <v>247</v>
      </c>
      <c r="D1445" s="132" t="n">
        <v>46518</v>
      </c>
      <c r="E1445" s="131" t="s">
        <v>12</v>
      </c>
      <c r="F1445" s="133" t="s">
        <v>11</v>
      </c>
      <c r="G1445" s="134" t="n">
        <f aca="false">LEN('Saisie programme'!$E$52)+SUMIFS('Vols additionnels'!$E$7:$E$66,'Vols additionnels'!$C$7:$C$66,$E1445,'Vols additionnels'!$D$7:$D$66,$F1445,'Vols additionnels'!$B$7:$B$66,$D1445)</f>
        <v>1</v>
      </c>
      <c r="H1445" s="135" t="n">
        <f aca="false">$G1445*'Analyse capacite'!$F$7</f>
        <v>438</v>
      </c>
      <c r="I1445" s="135" t="n">
        <f aca="false">$G1445*'Analyse capacite'!$C$7</f>
        <v>14</v>
      </c>
      <c r="J1445" s="135" t="n">
        <f aca="false">$G1445*'Analyse capacite'!$D$7</f>
        <v>40</v>
      </c>
      <c r="K1445" s="135" t="n">
        <f aca="false">$G1445*'Analyse capacite'!$E$7</f>
        <v>384</v>
      </c>
    </row>
    <row r="1446" customFormat="false" ht="15" hidden="false" customHeight="false" outlineLevel="0" collapsed="false">
      <c r="B1446" s="130" t="n">
        <v>2027</v>
      </c>
      <c r="C1446" s="131" t="s">
        <v>247</v>
      </c>
      <c r="D1446" s="132" t="n">
        <v>46518</v>
      </c>
      <c r="E1446" s="131" t="s">
        <v>12</v>
      </c>
      <c r="F1446" s="133" t="s">
        <v>19</v>
      </c>
      <c r="G1446" s="134" t="n">
        <f aca="false">LEN('Saisie programme'!$E$53)+SUMIFS('Vols additionnels'!$E$7:$E$66,'Vols additionnels'!$C$7:$C$66,$E1446,'Vols additionnels'!$D$7:$D$66,$F1446,'Vols additionnels'!$B$7:$B$66,$D1446)</f>
        <v>0</v>
      </c>
      <c r="H1446" s="135" t="n">
        <f aca="false">$G1446*'Analyse capacite'!$F$8</f>
        <v>0</v>
      </c>
      <c r="I1446" s="135" t="n">
        <f aca="false">$G1446*'Analyse capacite'!$C$8</f>
        <v>0</v>
      </c>
      <c r="J1446" s="135" t="n">
        <f aca="false">$G1446*'Analyse capacite'!$D$8</f>
        <v>0</v>
      </c>
      <c r="K1446" s="135" t="n">
        <f aca="false">$G1446*'Analyse capacite'!$E$8</f>
        <v>0</v>
      </c>
    </row>
    <row r="1447" customFormat="false" ht="15" hidden="false" customHeight="false" outlineLevel="0" collapsed="false">
      <c r="B1447" s="130" t="n">
        <v>2027</v>
      </c>
      <c r="C1447" s="131" t="s">
        <v>247</v>
      </c>
      <c r="D1447" s="132" t="n">
        <v>46518</v>
      </c>
      <c r="E1447" s="131" t="s">
        <v>12</v>
      </c>
      <c r="F1447" s="133" t="s">
        <v>24</v>
      </c>
      <c r="G1447" s="134" t="n">
        <f aca="false">LEN('Saisie programme'!$E$54)+SUMIFS('Vols additionnels'!$E$7:$E$66,'Vols additionnels'!$C$7:$C$66,$E1447,'Vols additionnels'!$D$7:$D$66,$F1447,'Vols additionnels'!$B$7:$B$66,$D1447)</f>
        <v>0</v>
      </c>
      <c r="H1447" s="135" t="n">
        <f aca="false">$G1447*'Analyse capacite'!$F$9</f>
        <v>0</v>
      </c>
      <c r="I1447" s="135" t="n">
        <f aca="false">$G1447*'Analyse capacite'!$C$9</f>
        <v>0</v>
      </c>
      <c r="J1447" s="135" t="n">
        <f aca="false">$G1447*'Analyse capacite'!$D$9</f>
        <v>0</v>
      </c>
      <c r="K1447" s="135" t="n">
        <f aca="false">$G1447*'Analyse capacite'!$E$9</f>
        <v>0</v>
      </c>
    </row>
    <row r="1448" customFormat="false" ht="15" hidden="false" customHeight="false" outlineLevel="0" collapsed="false">
      <c r="B1448" s="130" t="n">
        <v>2027</v>
      </c>
      <c r="C1448" s="131" t="s">
        <v>247</v>
      </c>
      <c r="D1448" s="132" t="n">
        <v>46518</v>
      </c>
      <c r="E1448" s="131" t="s">
        <v>20</v>
      </c>
      <c r="F1448" s="133" t="s">
        <v>11</v>
      </c>
      <c r="G1448" s="134" t="n">
        <f aca="false">LEN('Saisie programme'!$E$55)+SUMIFS('Vols additionnels'!$E$7:$E$66,'Vols additionnels'!$C$7:$C$66,$E1448,'Vols additionnels'!$D$7:$D$66,$F1448,'Vols additionnels'!$B$7:$B$66,$D1448)</f>
        <v>0</v>
      </c>
      <c r="H1448" s="135" t="n">
        <f aca="false">$G1448*'Analyse capacite'!$F$7</f>
        <v>0</v>
      </c>
      <c r="I1448" s="135" t="n">
        <f aca="false">$G1448*'Analyse capacite'!$C$7</f>
        <v>0</v>
      </c>
      <c r="J1448" s="135" t="n">
        <f aca="false">$G1448*'Analyse capacite'!$D$7</f>
        <v>0</v>
      </c>
      <c r="K1448" s="135" t="n">
        <f aca="false">$G1448*'Analyse capacite'!$E$7</f>
        <v>0</v>
      </c>
    </row>
    <row r="1449" customFormat="false" ht="15" hidden="false" customHeight="false" outlineLevel="0" collapsed="false">
      <c r="B1449" s="130" t="n">
        <v>2027</v>
      </c>
      <c r="C1449" s="131" t="s">
        <v>247</v>
      </c>
      <c r="D1449" s="132" t="n">
        <v>46518</v>
      </c>
      <c r="E1449" s="131" t="s">
        <v>20</v>
      </c>
      <c r="F1449" s="133" t="s">
        <v>19</v>
      </c>
      <c r="G1449" s="134" t="n">
        <f aca="false">LEN('Saisie programme'!$E$56)+SUMIFS('Vols additionnels'!$E$7:$E$66,'Vols additionnels'!$C$7:$C$66,$E1449,'Vols additionnels'!$D$7:$D$66,$F1449,'Vols additionnels'!$B$7:$B$66,$D1449)</f>
        <v>1</v>
      </c>
      <c r="H1449" s="135" t="n">
        <f aca="false">$G1449*'Analyse capacite'!$F$8</f>
        <v>262</v>
      </c>
      <c r="I1449" s="135" t="n">
        <f aca="false">$G1449*'Analyse capacite'!$C$8</f>
        <v>18</v>
      </c>
      <c r="J1449" s="135" t="n">
        <f aca="false">$G1449*'Analyse capacite'!$D$8</f>
        <v>0</v>
      </c>
      <c r="K1449" s="135" t="n">
        <f aca="false">$G1449*'Analyse capacite'!$E$8</f>
        <v>244</v>
      </c>
    </row>
    <row r="1450" customFormat="false" ht="15" hidden="false" customHeight="false" outlineLevel="0" collapsed="false">
      <c r="B1450" s="130" t="n">
        <v>2027</v>
      </c>
      <c r="C1450" s="131" t="s">
        <v>247</v>
      </c>
      <c r="D1450" s="132" t="n">
        <v>46518</v>
      </c>
      <c r="E1450" s="131" t="s">
        <v>20</v>
      </c>
      <c r="F1450" s="133" t="s">
        <v>24</v>
      </c>
      <c r="G1450" s="134" t="n">
        <f aca="false">LEN('Saisie programme'!$E$57)+SUMIFS('Vols additionnels'!$E$7:$E$66,'Vols additionnels'!$C$7:$C$66,$E1450,'Vols additionnels'!$D$7:$D$66,$F1450,'Vols additionnels'!$B$7:$B$66,$D1450)</f>
        <v>0</v>
      </c>
      <c r="H1450" s="135" t="n">
        <f aca="false">$G1450*'Analyse capacite'!$F$9</f>
        <v>0</v>
      </c>
      <c r="I1450" s="135" t="n">
        <f aca="false">$G1450*'Analyse capacite'!$C$9</f>
        <v>0</v>
      </c>
      <c r="J1450" s="135" t="n">
        <f aca="false">$G1450*'Analyse capacite'!$D$9</f>
        <v>0</v>
      </c>
      <c r="K1450" s="135" t="n">
        <f aca="false">$G1450*'Analyse capacite'!$E$9</f>
        <v>0</v>
      </c>
    </row>
    <row r="1451" customFormat="false" ht="15" hidden="false" customHeight="false" outlineLevel="0" collapsed="false">
      <c r="B1451" s="130" t="n">
        <v>2027</v>
      </c>
      <c r="C1451" s="131" t="s">
        <v>247</v>
      </c>
      <c r="D1451" s="132" t="n">
        <v>46518</v>
      </c>
      <c r="E1451" s="131" t="s">
        <v>25</v>
      </c>
      <c r="F1451" s="133" t="s">
        <v>11</v>
      </c>
      <c r="G1451" s="134" t="n">
        <f aca="false">LEN('Saisie programme'!$E$58)+SUMIFS('Vols additionnels'!$E$7:$E$66,'Vols additionnels'!$C$7:$C$66,$E1451,'Vols additionnels'!$D$7:$D$66,$F1451,'Vols additionnels'!$B$7:$B$66,$D1451)</f>
        <v>0</v>
      </c>
      <c r="H1451" s="135" t="n">
        <f aca="false">$G1451*'Analyse capacite'!$F$7</f>
        <v>0</v>
      </c>
      <c r="I1451" s="135" t="n">
        <f aca="false">$G1451*'Analyse capacite'!$C$7</f>
        <v>0</v>
      </c>
      <c r="J1451" s="135" t="n">
        <f aca="false">$G1451*'Analyse capacite'!$D$7</f>
        <v>0</v>
      </c>
      <c r="K1451" s="135" t="n">
        <f aca="false">$G1451*'Analyse capacite'!$E$7</f>
        <v>0</v>
      </c>
    </row>
    <row r="1452" customFormat="false" ht="15" hidden="false" customHeight="false" outlineLevel="0" collapsed="false">
      <c r="B1452" s="130" t="n">
        <v>2027</v>
      </c>
      <c r="C1452" s="131" t="s">
        <v>247</v>
      </c>
      <c r="D1452" s="132" t="n">
        <v>46518</v>
      </c>
      <c r="E1452" s="131" t="s">
        <v>25</v>
      </c>
      <c r="F1452" s="133" t="s">
        <v>19</v>
      </c>
      <c r="G1452" s="134" t="n">
        <f aca="false">LEN('Saisie programme'!$E$59)+SUMIFS('Vols additionnels'!$E$7:$E$66,'Vols additionnels'!$C$7:$C$66,$E1452,'Vols additionnels'!$D$7:$D$66,$F1452,'Vols additionnels'!$B$7:$B$66,$D1452)</f>
        <v>0</v>
      </c>
      <c r="H1452" s="135" t="n">
        <f aca="false">$G1452*'Analyse capacite'!$F$8</f>
        <v>0</v>
      </c>
      <c r="I1452" s="135" t="n">
        <f aca="false">$G1452*'Analyse capacite'!$C$8</f>
        <v>0</v>
      </c>
      <c r="J1452" s="135" t="n">
        <f aca="false">$G1452*'Analyse capacite'!$D$8</f>
        <v>0</v>
      </c>
      <c r="K1452" s="135" t="n">
        <f aca="false">$G1452*'Analyse capacite'!$E$8</f>
        <v>0</v>
      </c>
    </row>
    <row r="1453" customFormat="false" ht="15" hidden="false" customHeight="false" outlineLevel="0" collapsed="false">
      <c r="B1453" s="130" t="n">
        <v>2027</v>
      </c>
      <c r="C1453" s="131" t="s">
        <v>247</v>
      </c>
      <c r="D1453" s="132" t="n">
        <v>46518</v>
      </c>
      <c r="E1453" s="131" t="s">
        <v>25</v>
      </c>
      <c r="F1453" s="133" t="s">
        <v>24</v>
      </c>
      <c r="G1453" s="134" t="n">
        <f aca="false">LEN('Saisie programme'!$E$60)+SUMIFS('Vols additionnels'!$E$7:$E$66,'Vols additionnels'!$C$7:$C$66,$E1453,'Vols additionnels'!$D$7:$D$66,$F1453,'Vols additionnels'!$B$7:$B$66,$D1453)</f>
        <v>0</v>
      </c>
      <c r="H1453" s="135" t="n">
        <f aca="false">$G1453*'Analyse capacite'!$F$9</f>
        <v>0</v>
      </c>
      <c r="I1453" s="135" t="n">
        <f aca="false">$G1453*'Analyse capacite'!$C$9</f>
        <v>0</v>
      </c>
      <c r="J1453" s="135" t="n">
        <f aca="false">$G1453*'Analyse capacite'!$D$9</f>
        <v>0</v>
      </c>
      <c r="K1453" s="135" t="n">
        <f aca="false">$G1453*'Analyse capacite'!$E$9</f>
        <v>0</v>
      </c>
    </row>
    <row r="1454" customFormat="false" ht="15" hidden="false" customHeight="false" outlineLevel="0" collapsed="false">
      <c r="B1454" s="130" t="n">
        <v>2027</v>
      </c>
      <c r="C1454" s="131" t="s">
        <v>247</v>
      </c>
      <c r="D1454" s="132" t="n">
        <v>46518</v>
      </c>
      <c r="E1454" s="131" t="s">
        <v>36</v>
      </c>
      <c r="F1454" s="133" t="s">
        <v>11</v>
      </c>
      <c r="G1454" s="134" t="n">
        <f aca="false">LEN('Saisie programme'!$E$61)+SUMIFS('Vols additionnels'!$E$7:$E$66,'Vols additionnels'!$C$7:$C$66,$E1454,'Vols additionnels'!$D$7:$D$66,$F1454,'Vols additionnels'!$B$7:$B$66,$D1454)</f>
        <v>0</v>
      </c>
      <c r="H1454" s="135" t="n">
        <f aca="false">$G1454*'Analyse capacite'!$F$7</f>
        <v>0</v>
      </c>
      <c r="I1454" s="135" t="n">
        <f aca="false">$G1454*'Analyse capacite'!$C$7</f>
        <v>0</v>
      </c>
      <c r="J1454" s="135" t="n">
        <f aca="false">$G1454*'Analyse capacite'!$D$7</f>
        <v>0</v>
      </c>
      <c r="K1454" s="135" t="n">
        <f aca="false">$G1454*'Analyse capacite'!$E$7</f>
        <v>0</v>
      </c>
    </row>
    <row r="1455" customFormat="false" ht="15" hidden="false" customHeight="false" outlineLevel="0" collapsed="false">
      <c r="B1455" s="130" t="n">
        <v>2027</v>
      </c>
      <c r="C1455" s="131" t="s">
        <v>247</v>
      </c>
      <c r="D1455" s="132" t="n">
        <v>46518</v>
      </c>
      <c r="E1455" s="131" t="s">
        <v>36</v>
      </c>
      <c r="F1455" s="133" t="s">
        <v>19</v>
      </c>
      <c r="G1455" s="134" t="n">
        <f aca="false">LEN('Saisie programme'!$E$62)+SUMIFS('Vols additionnels'!$E$7:$E$66,'Vols additionnels'!$C$7:$C$66,$E1455,'Vols additionnels'!$D$7:$D$66,$F1455,'Vols additionnels'!$B$7:$B$66,$D1455)</f>
        <v>0</v>
      </c>
      <c r="H1455" s="135" t="n">
        <f aca="false">$G1455*'Analyse capacite'!$F$8</f>
        <v>0</v>
      </c>
      <c r="I1455" s="135" t="n">
        <f aca="false">$G1455*'Analyse capacite'!$C$8</f>
        <v>0</v>
      </c>
      <c r="J1455" s="135" t="n">
        <f aca="false">$G1455*'Analyse capacite'!$D$8</f>
        <v>0</v>
      </c>
      <c r="K1455" s="135" t="n">
        <f aca="false">$G1455*'Analyse capacite'!$E$8</f>
        <v>0</v>
      </c>
    </row>
    <row r="1456" customFormat="false" ht="15" hidden="false" customHeight="false" outlineLevel="0" collapsed="false">
      <c r="B1456" s="130" t="n">
        <v>2027</v>
      </c>
      <c r="C1456" s="131" t="s">
        <v>247</v>
      </c>
      <c r="D1456" s="132" t="n">
        <v>46518</v>
      </c>
      <c r="E1456" s="131" t="s">
        <v>36</v>
      </c>
      <c r="F1456" s="133" t="s">
        <v>24</v>
      </c>
      <c r="G1456" s="134" t="n">
        <f aca="false">LEN('Saisie programme'!$E$63)+SUMIFS('Vols additionnels'!$E$7:$E$66,'Vols additionnels'!$C$7:$C$66,$E1456,'Vols additionnels'!$D$7:$D$66,$F1456,'Vols additionnels'!$B$7:$B$66,$D1456)</f>
        <v>1</v>
      </c>
      <c r="H1456" s="135" t="n">
        <f aca="false">$G1456*'Analyse capacite'!$F$9</f>
        <v>174</v>
      </c>
      <c r="I1456" s="135" t="n">
        <f aca="false">$G1456*'Analyse capacite'!$C$9</f>
        <v>0</v>
      </c>
      <c r="J1456" s="135" t="n">
        <f aca="false">$G1456*'Analyse capacite'!$D$9</f>
        <v>12</v>
      </c>
      <c r="K1456" s="135" t="n">
        <f aca="false">$G1456*'Analyse capacite'!$E$9</f>
        <v>162</v>
      </c>
    </row>
    <row r="1457" customFormat="false" ht="15" hidden="false" customHeight="false" outlineLevel="0" collapsed="false">
      <c r="B1457" s="130" t="n">
        <v>2027</v>
      </c>
      <c r="C1457" s="131" t="s">
        <v>247</v>
      </c>
      <c r="D1457" s="132" t="n">
        <v>46518</v>
      </c>
      <c r="E1457" s="131" t="s">
        <v>40</v>
      </c>
      <c r="F1457" s="133" t="s">
        <v>11</v>
      </c>
      <c r="G1457" s="134" t="n">
        <f aca="false">LEN('Saisie programme'!$E$64)+SUMIFS('Vols additionnels'!$E$7:$E$66,'Vols additionnels'!$C$7:$C$66,$E1457,'Vols additionnels'!$D$7:$D$66,$F1457,'Vols additionnels'!$B$7:$B$66,$D1457)</f>
        <v>0</v>
      </c>
      <c r="H1457" s="135" t="n">
        <f aca="false">$G1457*'Analyse capacite'!$F$7</f>
        <v>0</v>
      </c>
      <c r="I1457" s="135" t="n">
        <f aca="false">$G1457*'Analyse capacite'!$C$7</f>
        <v>0</v>
      </c>
      <c r="J1457" s="135" t="n">
        <f aca="false">$G1457*'Analyse capacite'!$D$7</f>
        <v>0</v>
      </c>
      <c r="K1457" s="135" t="n">
        <f aca="false">$G1457*'Analyse capacite'!$E$7</f>
        <v>0</v>
      </c>
    </row>
    <row r="1458" customFormat="false" ht="15" hidden="false" customHeight="false" outlineLevel="0" collapsed="false">
      <c r="B1458" s="130" t="n">
        <v>2027</v>
      </c>
      <c r="C1458" s="131" t="s">
        <v>247</v>
      </c>
      <c r="D1458" s="132" t="n">
        <v>46518</v>
      </c>
      <c r="E1458" s="131" t="s">
        <v>40</v>
      </c>
      <c r="F1458" s="133" t="s">
        <v>19</v>
      </c>
      <c r="G1458" s="134" t="n">
        <f aca="false">LEN('Saisie programme'!$E$65)+SUMIFS('Vols additionnels'!$E$7:$E$66,'Vols additionnels'!$C$7:$C$66,$E1458,'Vols additionnels'!$D$7:$D$66,$F1458,'Vols additionnels'!$B$7:$B$66,$D1458)</f>
        <v>0</v>
      </c>
      <c r="H1458" s="135" t="n">
        <f aca="false">$G1458*'Analyse capacite'!$F$8</f>
        <v>0</v>
      </c>
      <c r="I1458" s="135" t="n">
        <f aca="false">$G1458*'Analyse capacite'!$C$8</f>
        <v>0</v>
      </c>
      <c r="J1458" s="135" t="n">
        <f aca="false">$G1458*'Analyse capacite'!$D$8</f>
        <v>0</v>
      </c>
      <c r="K1458" s="135" t="n">
        <f aca="false">$G1458*'Analyse capacite'!$E$8</f>
        <v>0</v>
      </c>
    </row>
    <row r="1459" customFormat="false" ht="15" hidden="false" customHeight="false" outlineLevel="0" collapsed="false">
      <c r="B1459" s="130" t="n">
        <v>2027</v>
      </c>
      <c r="C1459" s="131" t="s">
        <v>247</v>
      </c>
      <c r="D1459" s="132" t="n">
        <v>46518</v>
      </c>
      <c r="E1459" s="131" t="s">
        <v>40</v>
      </c>
      <c r="F1459" s="133" t="s">
        <v>24</v>
      </c>
      <c r="G1459" s="134" t="n">
        <f aca="false">LEN('Saisie programme'!$E$66)+SUMIFS('Vols additionnels'!$E$7:$E$66,'Vols additionnels'!$C$7:$C$66,$E1459,'Vols additionnels'!$D$7:$D$66,$F1459,'Vols additionnels'!$B$7:$B$66,$D1459)</f>
        <v>0</v>
      </c>
      <c r="H1459" s="135" t="n">
        <f aca="false">$G1459*'Analyse capacite'!$F$9</f>
        <v>0</v>
      </c>
      <c r="I1459" s="135" t="n">
        <f aca="false">$G1459*'Analyse capacite'!$C$9</f>
        <v>0</v>
      </c>
      <c r="J1459" s="135" t="n">
        <f aca="false">$G1459*'Analyse capacite'!$D$9</f>
        <v>0</v>
      </c>
      <c r="K1459" s="135" t="n">
        <f aca="false">$G1459*'Analyse capacite'!$E$9</f>
        <v>0</v>
      </c>
    </row>
    <row r="1460" customFormat="false" ht="15" hidden="false" customHeight="false" outlineLevel="0" collapsed="false">
      <c r="B1460" s="130" t="n">
        <v>2027</v>
      </c>
      <c r="C1460" s="131" t="s">
        <v>247</v>
      </c>
      <c r="D1460" s="132" t="n">
        <v>46518</v>
      </c>
      <c r="E1460" s="131" t="s">
        <v>14</v>
      </c>
      <c r="F1460" s="133" t="s">
        <v>11</v>
      </c>
      <c r="G1460" s="134" t="n">
        <f aca="false">LEN('Saisie programme'!$E$67)+SUMIFS('Vols additionnels'!$E$7:$E$66,'Vols additionnels'!$C$7:$C$66,$E1460,'Vols additionnels'!$D$7:$D$66,$F1460,'Vols additionnels'!$B$7:$B$66,$D1460)</f>
        <v>0</v>
      </c>
      <c r="H1460" s="135" t="n">
        <f aca="false">$G1460*'Analyse capacite'!$F$7</f>
        <v>0</v>
      </c>
      <c r="I1460" s="135" t="n">
        <f aca="false">$G1460*'Analyse capacite'!$C$7</f>
        <v>0</v>
      </c>
      <c r="J1460" s="135" t="n">
        <f aca="false">$G1460*'Analyse capacite'!$D$7</f>
        <v>0</v>
      </c>
      <c r="K1460" s="135" t="n">
        <f aca="false">$G1460*'Analyse capacite'!$E$7</f>
        <v>0</v>
      </c>
    </row>
    <row r="1461" customFormat="false" ht="15" hidden="false" customHeight="false" outlineLevel="0" collapsed="false">
      <c r="B1461" s="130" t="n">
        <v>2027</v>
      </c>
      <c r="C1461" s="131" t="s">
        <v>247</v>
      </c>
      <c r="D1461" s="132" t="n">
        <v>46518</v>
      </c>
      <c r="E1461" s="131" t="s">
        <v>14</v>
      </c>
      <c r="F1461" s="133" t="s">
        <v>19</v>
      </c>
      <c r="G1461" s="134" t="n">
        <f aca="false">LEN('Saisie programme'!$E$68)+SUMIFS('Vols additionnels'!$E$7:$E$66,'Vols additionnels'!$C$7:$C$66,$E1461,'Vols additionnels'!$D$7:$D$66,$F1461,'Vols additionnels'!$B$7:$B$66,$D1461)</f>
        <v>0</v>
      </c>
      <c r="H1461" s="135" t="n">
        <f aca="false">$G1461*'Analyse capacite'!$F$8</f>
        <v>0</v>
      </c>
      <c r="I1461" s="135" t="n">
        <f aca="false">$G1461*'Analyse capacite'!$C$8</f>
        <v>0</v>
      </c>
      <c r="J1461" s="135" t="n">
        <f aca="false">$G1461*'Analyse capacite'!$D$8</f>
        <v>0</v>
      </c>
      <c r="K1461" s="135" t="n">
        <f aca="false">$G1461*'Analyse capacite'!$E$8</f>
        <v>0</v>
      </c>
    </row>
    <row r="1462" customFormat="false" ht="15" hidden="false" customHeight="false" outlineLevel="0" collapsed="false">
      <c r="B1462" s="130" t="n">
        <v>2027</v>
      </c>
      <c r="C1462" s="131" t="s">
        <v>247</v>
      </c>
      <c r="D1462" s="132" t="n">
        <v>46518</v>
      </c>
      <c r="E1462" s="131" t="s">
        <v>14</v>
      </c>
      <c r="F1462" s="133" t="s">
        <v>24</v>
      </c>
      <c r="G1462" s="134" t="n">
        <f aca="false">LEN('Saisie programme'!$E$69)+SUMIFS('Vols additionnels'!$E$7:$E$66,'Vols additionnels'!$C$7:$C$66,$E1462,'Vols additionnels'!$D$7:$D$66,$F1462,'Vols additionnels'!$B$7:$B$66,$D1462)</f>
        <v>0</v>
      </c>
      <c r="H1462" s="135" t="n">
        <f aca="false">$G1462*'Analyse capacite'!$F$9</f>
        <v>0</v>
      </c>
      <c r="I1462" s="135" t="n">
        <f aca="false">$G1462*'Analyse capacite'!$C$9</f>
        <v>0</v>
      </c>
      <c r="J1462" s="135" t="n">
        <f aca="false">$G1462*'Analyse capacite'!$D$9</f>
        <v>0</v>
      </c>
      <c r="K1462" s="135" t="n">
        <f aca="false">$G1462*'Analyse capacite'!$E$9</f>
        <v>0</v>
      </c>
    </row>
    <row r="1463" customFormat="false" ht="15" hidden="false" customHeight="false" outlineLevel="0" collapsed="false">
      <c r="B1463" s="130" t="n">
        <v>2027</v>
      </c>
      <c r="C1463" s="131" t="s">
        <v>247</v>
      </c>
      <c r="D1463" s="132" t="n">
        <v>46518</v>
      </c>
      <c r="E1463" s="131" t="s">
        <v>46</v>
      </c>
      <c r="F1463" s="133" t="s">
        <v>11</v>
      </c>
      <c r="G1463" s="134" t="n">
        <f aca="false">LEN('Saisie programme'!$E$70)+SUMIFS('Vols additionnels'!$E$7:$E$66,'Vols additionnels'!$C$7:$C$66,$E1463,'Vols additionnels'!$D$7:$D$66,$F1463,'Vols additionnels'!$B$7:$B$66,$D1463)</f>
        <v>0</v>
      </c>
      <c r="H1463" s="135" t="n">
        <f aca="false">$G1463*'Analyse capacite'!$F$7</f>
        <v>0</v>
      </c>
      <c r="I1463" s="135" t="n">
        <f aca="false">$G1463*'Analyse capacite'!$C$7</f>
        <v>0</v>
      </c>
      <c r="J1463" s="135" t="n">
        <f aca="false">$G1463*'Analyse capacite'!$D$7</f>
        <v>0</v>
      </c>
      <c r="K1463" s="135" t="n">
        <f aca="false">$G1463*'Analyse capacite'!$E$7</f>
        <v>0</v>
      </c>
    </row>
    <row r="1464" customFormat="false" ht="15" hidden="false" customHeight="false" outlineLevel="0" collapsed="false">
      <c r="B1464" s="130" t="n">
        <v>2027</v>
      </c>
      <c r="C1464" s="131" t="s">
        <v>247</v>
      </c>
      <c r="D1464" s="132" t="n">
        <v>46518</v>
      </c>
      <c r="E1464" s="131" t="s">
        <v>46</v>
      </c>
      <c r="F1464" s="133" t="s">
        <v>19</v>
      </c>
      <c r="G1464" s="134" t="n">
        <f aca="false">LEN('Saisie programme'!$E$71)+SUMIFS('Vols additionnels'!$E$7:$E$66,'Vols additionnels'!$C$7:$C$66,$E1464,'Vols additionnels'!$D$7:$D$66,$F1464,'Vols additionnels'!$B$7:$B$66,$D1464)</f>
        <v>0</v>
      </c>
      <c r="H1464" s="135" t="n">
        <f aca="false">$G1464*'Analyse capacite'!$F$8</f>
        <v>0</v>
      </c>
      <c r="I1464" s="135" t="n">
        <f aca="false">$G1464*'Analyse capacite'!$C$8</f>
        <v>0</v>
      </c>
      <c r="J1464" s="135" t="n">
        <f aca="false">$G1464*'Analyse capacite'!$D$8</f>
        <v>0</v>
      </c>
      <c r="K1464" s="135" t="n">
        <f aca="false">$G1464*'Analyse capacite'!$E$8</f>
        <v>0</v>
      </c>
    </row>
    <row r="1465" customFormat="false" ht="15" hidden="false" customHeight="false" outlineLevel="0" collapsed="false">
      <c r="B1465" s="130" t="n">
        <v>2027</v>
      </c>
      <c r="C1465" s="131" t="s">
        <v>247</v>
      </c>
      <c r="D1465" s="132" t="n">
        <v>46518</v>
      </c>
      <c r="E1465" s="131" t="s">
        <v>46</v>
      </c>
      <c r="F1465" s="133" t="s">
        <v>24</v>
      </c>
      <c r="G1465" s="134" t="n">
        <f aca="false">LEN('Saisie programme'!$E$72)+SUMIFS('Vols additionnels'!$E$7:$E$66,'Vols additionnels'!$C$7:$C$66,$E1465,'Vols additionnels'!$D$7:$D$66,$F1465,'Vols additionnels'!$B$7:$B$66,$D1465)</f>
        <v>1</v>
      </c>
      <c r="H1465" s="135" t="n">
        <f aca="false">$G1465*'Analyse capacite'!$F$9</f>
        <v>174</v>
      </c>
      <c r="I1465" s="135" t="n">
        <f aca="false">$G1465*'Analyse capacite'!$C$9</f>
        <v>0</v>
      </c>
      <c r="J1465" s="135" t="n">
        <f aca="false">$G1465*'Analyse capacite'!$D$9</f>
        <v>12</v>
      </c>
      <c r="K1465" s="135" t="n">
        <f aca="false">$G1465*'Analyse capacite'!$E$9</f>
        <v>162</v>
      </c>
    </row>
    <row r="1466" customFormat="false" ht="15" hidden="false" customHeight="false" outlineLevel="0" collapsed="false">
      <c r="B1466" s="130" t="n">
        <v>2027</v>
      </c>
      <c r="C1466" s="131" t="s">
        <v>247</v>
      </c>
      <c r="D1466" s="132" t="n">
        <v>46518</v>
      </c>
      <c r="E1466" s="131" t="s">
        <v>49</v>
      </c>
      <c r="F1466" s="133" t="s">
        <v>11</v>
      </c>
      <c r="G1466" s="134" t="n">
        <f aca="false">LEN('Saisie programme'!$E$73)+SUMIFS('Vols additionnels'!$E$7:$E$66,'Vols additionnels'!$C$7:$C$66,$E1466,'Vols additionnels'!$D$7:$D$66,$F1466,'Vols additionnels'!$B$7:$B$66,$D1466)</f>
        <v>0</v>
      </c>
      <c r="H1466" s="135" t="n">
        <f aca="false">$G1466*'Analyse capacite'!$F$7</f>
        <v>0</v>
      </c>
      <c r="I1466" s="135" t="n">
        <f aca="false">$G1466*'Analyse capacite'!$C$7</f>
        <v>0</v>
      </c>
      <c r="J1466" s="135" t="n">
        <f aca="false">$G1466*'Analyse capacite'!$D$7</f>
        <v>0</v>
      </c>
      <c r="K1466" s="135" t="n">
        <f aca="false">$G1466*'Analyse capacite'!$E$7</f>
        <v>0</v>
      </c>
    </row>
    <row r="1467" customFormat="false" ht="15" hidden="false" customHeight="false" outlineLevel="0" collapsed="false">
      <c r="B1467" s="130" t="n">
        <v>2027</v>
      </c>
      <c r="C1467" s="131" t="s">
        <v>247</v>
      </c>
      <c r="D1467" s="132" t="n">
        <v>46518</v>
      </c>
      <c r="E1467" s="131" t="s">
        <v>49</v>
      </c>
      <c r="F1467" s="133" t="s">
        <v>19</v>
      </c>
      <c r="G1467" s="134" t="n">
        <f aca="false">LEN('Saisie programme'!$E$74)+SUMIFS('Vols additionnels'!$E$7:$E$66,'Vols additionnels'!$C$7:$C$66,$E1467,'Vols additionnels'!$D$7:$D$66,$F1467,'Vols additionnels'!$B$7:$B$66,$D1467)</f>
        <v>0</v>
      </c>
      <c r="H1467" s="135" t="n">
        <f aca="false">$G1467*'Analyse capacite'!$F$8</f>
        <v>0</v>
      </c>
      <c r="I1467" s="135" t="n">
        <f aca="false">$G1467*'Analyse capacite'!$C$8</f>
        <v>0</v>
      </c>
      <c r="J1467" s="135" t="n">
        <f aca="false">$G1467*'Analyse capacite'!$D$8</f>
        <v>0</v>
      </c>
      <c r="K1467" s="135" t="n">
        <f aca="false">$G1467*'Analyse capacite'!$E$8</f>
        <v>0</v>
      </c>
    </row>
    <row r="1468" customFormat="false" ht="15" hidden="false" customHeight="false" outlineLevel="0" collapsed="false">
      <c r="B1468" s="130" t="n">
        <v>2027</v>
      </c>
      <c r="C1468" s="131" t="s">
        <v>247</v>
      </c>
      <c r="D1468" s="132" t="n">
        <v>46518</v>
      </c>
      <c r="E1468" s="131" t="s">
        <v>49</v>
      </c>
      <c r="F1468" s="133" t="s">
        <v>24</v>
      </c>
      <c r="G1468" s="134" t="n">
        <f aca="false">LEN('Saisie programme'!$E$75)+SUMIFS('Vols additionnels'!$E$7:$E$66,'Vols additionnels'!$C$7:$C$66,$E1468,'Vols additionnels'!$D$7:$D$66,$F1468,'Vols additionnels'!$B$7:$B$66,$D1468)</f>
        <v>0</v>
      </c>
      <c r="H1468" s="135" t="n">
        <f aca="false">$G1468*'Analyse capacite'!$F$9</f>
        <v>0</v>
      </c>
      <c r="I1468" s="135" t="n">
        <f aca="false">$G1468*'Analyse capacite'!$C$9</f>
        <v>0</v>
      </c>
      <c r="J1468" s="135" t="n">
        <f aca="false">$G1468*'Analyse capacite'!$D$9</f>
        <v>0</v>
      </c>
      <c r="K1468" s="135" t="n">
        <f aca="false">$G1468*'Analyse capacite'!$E$9</f>
        <v>0</v>
      </c>
    </row>
    <row r="1469" customFormat="false" ht="15" hidden="false" customHeight="false" outlineLevel="0" collapsed="false">
      <c r="B1469" s="130" t="n">
        <v>2027</v>
      </c>
      <c r="C1469" s="131" t="s">
        <v>247</v>
      </c>
      <c r="D1469" s="132" t="n">
        <v>46518</v>
      </c>
      <c r="E1469" s="131" t="s">
        <v>53</v>
      </c>
      <c r="F1469" s="133" t="s">
        <v>11</v>
      </c>
      <c r="G1469" s="134" t="n">
        <f aca="false">LEN('Saisie programme'!$E$76)+SUMIFS('Vols additionnels'!$E$7:$E$66,'Vols additionnels'!$C$7:$C$66,$E1469,'Vols additionnels'!$D$7:$D$66,$F1469,'Vols additionnels'!$B$7:$B$66,$D1469)</f>
        <v>0</v>
      </c>
      <c r="H1469" s="135" t="n">
        <f aca="false">$G1469*'Analyse capacite'!$F$7</f>
        <v>0</v>
      </c>
      <c r="I1469" s="135" t="n">
        <f aca="false">$G1469*'Analyse capacite'!$C$7</f>
        <v>0</v>
      </c>
      <c r="J1469" s="135" t="n">
        <f aca="false">$G1469*'Analyse capacite'!$D$7</f>
        <v>0</v>
      </c>
      <c r="K1469" s="135" t="n">
        <f aca="false">$G1469*'Analyse capacite'!$E$7</f>
        <v>0</v>
      </c>
    </row>
    <row r="1470" customFormat="false" ht="15" hidden="false" customHeight="false" outlineLevel="0" collapsed="false">
      <c r="B1470" s="130" t="n">
        <v>2027</v>
      </c>
      <c r="C1470" s="131" t="s">
        <v>247</v>
      </c>
      <c r="D1470" s="132" t="n">
        <v>46518</v>
      </c>
      <c r="E1470" s="131" t="s">
        <v>53</v>
      </c>
      <c r="F1470" s="133" t="s">
        <v>19</v>
      </c>
      <c r="G1470" s="134" t="n">
        <f aca="false">LEN('Saisie programme'!$E$77)+SUMIFS('Vols additionnels'!$E$7:$E$66,'Vols additionnels'!$C$7:$C$66,$E1470,'Vols additionnels'!$D$7:$D$66,$F1470,'Vols additionnels'!$B$7:$B$66,$D1470)</f>
        <v>0</v>
      </c>
      <c r="H1470" s="135" t="n">
        <f aca="false">$G1470*'Analyse capacite'!$F$8</f>
        <v>0</v>
      </c>
      <c r="I1470" s="135" t="n">
        <f aca="false">$G1470*'Analyse capacite'!$C$8</f>
        <v>0</v>
      </c>
      <c r="J1470" s="135" t="n">
        <f aca="false">$G1470*'Analyse capacite'!$D$8</f>
        <v>0</v>
      </c>
      <c r="K1470" s="135" t="n">
        <f aca="false">$G1470*'Analyse capacite'!$E$8</f>
        <v>0</v>
      </c>
    </row>
    <row r="1471" customFormat="false" ht="15" hidden="false" customHeight="false" outlineLevel="0" collapsed="false">
      <c r="B1471" s="130" t="n">
        <v>2027</v>
      </c>
      <c r="C1471" s="131" t="s">
        <v>247</v>
      </c>
      <c r="D1471" s="132" t="n">
        <v>46518</v>
      </c>
      <c r="E1471" s="131" t="s">
        <v>53</v>
      </c>
      <c r="F1471" s="133" t="s">
        <v>24</v>
      </c>
      <c r="G1471" s="134" t="n">
        <f aca="false">LEN('Saisie programme'!$E$78)+SUMIFS('Vols additionnels'!$E$7:$E$66,'Vols additionnels'!$C$7:$C$66,$E1471,'Vols additionnels'!$D$7:$D$66,$F1471,'Vols additionnels'!$B$7:$B$66,$D1471)</f>
        <v>0</v>
      </c>
      <c r="H1471" s="135" t="n">
        <f aca="false">$G1471*'Analyse capacite'!$F$9</f>
        <v>0</v>
      </c>
      <c r="I1471" s="135" t="n">
        <f aca="false">$G1471*'Analyse capacite'!$C$9</f>
        <v>0</v>
      </c>
      <c r="J1471" s="135" t="n">
        <f aca="false">$G1471*'Analyse capacite'!$D$9</f>
        <v>0</v>
      </c>
      <c r="K1471" s="135" t="n">
        <f aca="false">$G1471*'Analyse capacite'!$E$9</f>
        <v>0</v>
      </c>
    </row>
    <row r="1472" customFormat="false" ht="15" hidden="false" customHeight="false" outlineLevel="0" collapsed="false">
      <c r="B1472" s="130" t="n">
        <v>2027</v>
      </c>
      <c r="C1472" s="131" t="s">
        <v>247</v>
      </c>
      <c r="D1472" s="132" t="n">
        <v>46518</v>
      </c>
      <c r="E1472" s="131" t="s">
        <v>56</v>
      </c>
      <c r="F1472" s="133" t="s">
        <v>11</v>
      </c>
      <c r="G1472" s="134" t="n">
        <f aca="false">LEN('Saisie programme'!$E$79)+SUMIFS('Vols additionnels'!$E$7:$E$66,'Vols additionnels'!$C$7:$C$66,$E1472,'Vols additionnels'!$D$7:$D$66,$F1472,'Vols additionnels'!$B$7:$B$66,$D1472)</f>
        <v>0</v>
      </c>
      <c r="H1472" s="135" t="n">
        <f aca="false">$G1472*'Analyse capacite'!$F$7</f>
        <v>0</v>
      </c>
      <c r="I1472" s="135" t="n">
        <f aca="false">$G1472*'Analyse capacite'!$C$7</f>
        <v>0</v>
      </c>
      <c r="J1472" s="135" t="n">
        <f aca="false">$G1472*'Analyse capacite'!$D$7</f>
        <v>0</v>
      </c>
      <c r="K1472" s="135" t="n">
        <f aca="false">$G1472*'Analyse capacite'!$E$7</f>
        <v>0</v>
      </c>
    </row>
    <row r="1473" customFormat="false" ht="15" hidden="false" customHeight="false" outlineLevel="0" collapsed="false">
      <c r="B1473" s="130" t="n">
        <v>2027</v>
      </c>
      <c r="C1473" s="131" t="s">
        <v>247</v>
      </c>
      <c r="D1473" s="132" t="n">
        <v>46518</v>
      </c>
      <c r="E1473" s="131" t="s">
        <v>56</v>
      </c>
      <c r="F1473" s="133" t="s">
        <v>19</v>
      </c>
      <c r="G1473" s="134" t="n">
        <f aca="false">LEN('Saisie programme'!$E$80)+SUMIFS('Vols additionnels'!$E$7:$E$66,'Vols additionnels'!$C$7:$C$66,$E1473,'Vols additionnels'!$D$7:$D$66,$F1473,'Vols additionnels'!$B$7:$B$66,$D1473)</f>
        <v>0</v>
      </c>
      <c r="H1473" s="135" t="n">
        <f aca="false">$G1473*'Analyse capacite'!$F$8</f>
        <v>0</v>
      </c>
      <c r="I1473" s="135" t="n">
        <f aca="false">$G1473*'Analyse capacite'!$C$8</f>
        <v>0</v>
      </c>
      <c r="J1473" s="135" t="n">
        <f aca="false">$G1473*'Analyse capacite'!$D$8</f>
        <v>0</v>
      </c>
      <c r="K1473" s="135" t="n">
        <f aca="false">$G1473*'Analyse capacite'!$E$8</f>
        <v>0</v>
      </c>
    </row>
    <row r="1474" customFormat="false" ht="15" hidden="false" customHeight="false" outlineLevel="0" collapsed="false">
      <c r="B1474" s="130" t="n">
        <v>2027</v>
      </c>
      <c r="C1474" s="131" t="s">
        <v>247</v>
      </c>
      <c r="D1474" s="132" t="n">
        <v>46518</v>
      </c>
      <c r="E1474" s="131" t="s">
        <v>56</v>
      </c>
      <c r="F1474" s="133" t="s">
        <v>24</v>
      </c>
      <c r="G1474" s="134" t="n">
        <f aca="false">LEN('Saisie programme'!$E$81)+SUMIFS('Vols additionnels'!$E$7:$E$66,'Vols additionnels'!$C$7:$C$66,$E1474,'Vols additionnels'!$D$7:$D$66,$F1474,'Vols additionnels'!$B$7:$B$66,$D1474)</f>
        <v>1</v>
      </c>
      <c r="H1474" s="135" t="n">
        <f aca="false">$G1474*'Analyse capacite'!$F$9</f>
        <v>174</v>
      </c>
      <c r="I1474" s="135" t="n">
        <f aca="false">$G1474*'Analyse capacite'!$C$9</f>
        <v>0</v>
      </c>
      <c r="J1474" s="135" t="n">
        <f aca="false">$G1474*'Analyse capacite'!$D$9</f>
        <v>12</v>
      </c>
      <c r="K1474" s="135" t="n">
        <f aca="false">$G1474*'Analyse capacite'!$E$9</f>
        <v>162</v>
      </c>
    </row>
    <row r="1475" customFormat="false" ht="15" hidden="false" customHeight="false" outlineLevel="0" collapsed="false">
      <c r="B1475" s="130" t="n">
        <v>2027</v>
      </c>
      <c r="C1475" s="131" t="s">
        <v>247</v>
      </c>
      <c r="D1475" s="132" t="n">
        <v>46518</v>
      </c>
      <c r="E1475" s="131" t="s">
        <v>59</v>
      </c>
      <c r="F1475" s="133" t="s">
        <v>11</v>
      </c>
      <c r="G1475" s="134" t="n">
        <f aca="false">LEN('Saisie programme'!$E$82)+SUMIFS('Vols additionnels'!$E$7:$E$66,'Vols additionnels'!$C$7:$C$66,$E1475,'Vols additionnels'!$D$7:$D$66,$F1475,'Vols additionnels'!$B$7:$B$66,$D1475)</f>
        <v>0</v>
      </c>
      <c r="H1475" s="135" t="n">
        <f aca="false">$G1475*'Analyse capacite'!$F$7</f>
        <v>0</v>
      </c>
      <c r="I1475" s="135" t="n">
        <f aca="false">$G1475*'Analyse capacite'!$C$7</f>
        <v>0</v>
      </c>
      <c r="J1475" s="135" t="n">
        <f aca="false">$G1475*'Analyse capacite'!$D$7</f>
        <v>0</v>
      </c>
      <c r="K1475" s="135" t="n">
        <f aca="false">$G1475*'Analyse capacite'!$E$7</f>
        <v>0</v>
      </c>
    </row>
    <row r="1476" customFormat="false" ht="15" hidden="false" customHeight="false" outlineLevel="0" collapsed="false">
      <c r="B1476" s="130" t="n">
        <v>2027</v>
      </c>
      <c r="C1476" s="131" t="s">
        <v>247</v>
      </c>
      <c r="D1476" s="132" t="n">
        <v>46518</v>
      </c>
      <c r="E1476" s="131" t="s">
        <v>59</v>
      </c>
      <c r="F1476" s="133" t="s">
        <v>19</v>
      </c>
      <c r="G1476" s="134" t="n">
        <f aca="false">LEN('Saisie programme'!$E$83)+SUMIFS('Vols additionnels'!$E$7:$E$66,'Vols additionnels'!$C$7:$C$66,$E1476,'Vols additionnels'!$D$7:$D$66,$F1476,'Vols additionnels'!$B$7:$B$66,$D1476)</f>
        <v>0</v>
      </c>
      <c r="H1476" s="135" t="n">
        <f aca="false">$G1476*'Analyse capacite'!$F$8</f>
        <v>0</v>
      </c>
      <c r="I1476" s="135" t="n">
        <f aca="false">$G1476*'Analyse capacite'!$C$8</f>
        <v>0</v>
      </c>
      <c r="J1476" s="135" t="n">
        <f aca="false">$G1476*'Analyse capacite'!$D$8</f>
        <v>0</v>
      </c>
      <c r="K1476" s="135" t="n">
        <f aca="false">$G1476*'Analyse capacite'!$E$8</f>
        <v>0</v>
      </c>
    </row>
    <row r="1477" customFormat="false" ht="15" hidden="false" customHeight="false" outlineLevel="0" collapsed="false">
      <c r="B1477" s="130" t="n">
        <v>2027</v>
      </c>
      <c r="C1477" s="131" t="s">
        <v>247</v>
      </c>
      <c r="D1477" s="132" t="n">
        <v>46518</v>
      </c>
      <c r="E1477" s="131" t="s">
        <v>59</v>
      </c>
      <c r="F1477" s="133" t="s">
        <v>24</v>
      </c>
      <c r="G1477" s="134" t="n">
        <f aca="false">LEN('Saisie programme'!$E$84)+SUMIFS('Vols additionnels'!$E$7:$E$66,'Vols additionnels'!$C$7:$C$66,$E1477,'Vols additionnels'!$D$7:$D$66,$F1477,'Vols additionnels'!$B$7:$B$66,$D1477)</f>
        <v>1</v>
      </c>
      <c r="H1477" s="135" t="n">
        <f aca="false">$G1477*'Analyse capacite'!$F$9</f>
        <v>174</v>
      </c>
      <c r="I1477" s="135" t="n">
        <f aca="false">$G1477*'Analyse capacite'!$C$9</f>
        <v>0</v>
      </c>
      <c r="J1477" s="135" t="n">
        <f aca="false">$G1477*'Analyse capacite'!$D$9</f>
        <v>12</v>
      </c>
      <c r="K1477" s="135" t="n">
        <f aca="false">$G1477*'Analyse capacite'!$E$9</f>
        <v>162</v>
      </c>
    </row>
    <row r="1478" customFormat="false" ht="15" hidden="false" customHeight="false" outlineLevel="0" collapsed="false">
      <c r="B1478" s="130" t="n">
        <v>2027</v>
      </c>
      <c r="C1478" s="131" t="s">
        <v>247</v>
      </c>
      <c r="D1478" s="132" t="n">
        <v>46518</v>
      </c>
      <c r="E1478" s="131" t="s">
        <v>62</v>
      </c>
      <c r="F1478" s="133" t="s">
        <v>11</v>
      </c>
      <c r="G1478" s="134" t="n">
        <f aca="false">LEN('Saisie programme'!$E$85)+SUMIFS('Vols additionnels'!$E$7:$E$66,'Vols additionnels'!$C$7:$C$66,$E1478,'Vols additionnels'!$D$7:$D$66,$F1478,'Vols additionnels'!$B$7:$B$66,$D1478)</f>
        <v>0</v>
      </c>
      <c r="H1478" s="135" t="n">
        <f aca="false">$G1478*'Analyse capacite'!$F$7</f>
        <v>0</v>
      </c>
      <c r="I1478" s="135" t="n">
        <f aca="false">$G1478*'Analyse capacite'!$C$7</f>
        <v>0</v>
      </c>
      <c r="J1478" s="135" t="n">
        <f aca="false">$G1478*'Analyse capacite'!$D$7</f>
        <v>0</v>
      </c>
      <c r="K1478" s="135" t="n">
        <f aca="false">$G1478*'Analyse capacite'!$E$7</f>
        <v>0</v>
      </c>
    </row>
    <row r="1479" customFormat="false" ht="15" hidden="false" customHeight="false" outlineLevel="0" collapsed="false">
      <c r="B1479" s="130" t="n">
        <v>2027</v>
      </c>
      <c r="C1479" s="131" t="s">
        <v>247</v>
      </c>
      <c r="D1479" s="132" t="n">
        <v>46518</v>
      </c>
      <c r="E1479" s="131" t="s">
        <v>62</v>
      </c>
      <c r="F1479" s="133" t="s">
        <v>19</v>
      </c>
      <c r="G1479" s="134" t="n">
        <f aca="false">LEN('Saisie programme'!$E$86)+SUMIFS('Vols additionnels'!$E$7:$E$66,'Vols additionnels'!$C$7:$C$66,$E1479,'Vols additionnels'!$D$7:$D$66,$F1479,'Vols additionnels'!$B$7:$B$66,$D1479)</f>
        <v>0</v>
      </c>
      <c r="H1479" s="135" t="n">
        <f aca="false">$G1479*'Analyse capacite'!$F$8</f>
        <v>0</v>
      </c>
      <c r="I1479" s="135" t="n">
        <f aca="false">$G1479*'Analyse capacite'!$C$8</f>
        <v>0</v>
      </c>
      <c r="J1479" s="135" t="n">
        <f aca="false">$G1479*'Analyse capacite'!$D$8</f>
        <v>0</v>
      </c>
      <c r="K1479" s="135" t="n">
        <f aca="false">$G1479*'Analyse capacite'!$E$8</f>
        <v>0</v>
      </c>
    </row>
    <row r="1480" customFormat="false" ht="15" hidden="false" customHeight="false" outlineLevel="0" collapsed="false">
      <c r="B1480" s="130" t="n">
        <v>2027</v>
      </c>
      <c r="C1480" s="131" t="s">
        <v>247</v>
      </c>
      <c r="D1480" s="132" t="n">
        <v>46518</v>
      </c>
      <c r="E1480" s="131" t="s">
        <v>62</v>
      </c>
      <c r="F1480" s="133" t="s">
        <v>24</v>
      </c>
      <c r="G1480" s="134" t="n">
        <f aca="false">LEN('Saisie programme'!$E$87)+SUMIFS('Vols additionnels'!$E$7:$E$66,'Vols additionnels'!$C$7:$C$66,$E1480,'Vols additionnels'!$D$7:$D$66,$F1480,'Vols additionnels'!$B$7:$B$66,$D1480)</f>
        <v>0</v>
      </c>
      <c r="H1480" s="135" t="n">
        <f aca="false">$G1480*'Analyse capacite'!$F$9</f>
        <v>0</v>
      </c>
      <c r="I1480" s="135" t="n">
        <f aca="false">$G1480*'Analyse capacite'!$C$9</f>
        <v>0</v>
      </c>
      <c r="J1480" s="135" t="n">
        <f aca="false">$G1480*'Analyse capacite'!$D$9</f>
        <v>0</v>
      </c>
      <c r="K1480" s="135" t="n">
        <f aca="false">$G1480*'Analyse capacite'!$E$9</f>
        <v>0</v>
      </c>
    </row>
    <row r="1481" customFormat="false" ht="15" hidden="false" customHeight="false" outlineLevel="0" collapsed="false">
      <c r="B1481" s="130" t="n">
        <v>2027</v>
      </c>
      <c r="C1481" s="131" t="s">
        <v>247</v>
      </c>
      <c r="D1481" s="132" t="n">
        <v>46519</v>
      </c>
      <c r="E1481" s="131" t="s">
        <v>12</v>
      </c>
      <c r="F1481" s="133" t="s">
        <v>11</v>
      </c>
      <c r="G1481" s="134" t="n">
        <f aca="false">LEN('Saisie programme'!$F$52)+SUMIFS('Vols additionnels'!$E$7:$E$66,'Vols additionnels'!$C$7:$C$66,$E1481,'Vols additionnels'!$D$7:$D$66,$F1481,'Vols additionnels'!$B$7:$B$66,$D1481)</f>
        <v>1</v>
      </c>
      <c r="H1481" s="135" t="n">
        <f aca="false">$G1481*'Analyse capacite'!$F$7</f>
        <v>438</v>
      </c>
      <c r="I1481" s="135" t="n">
        <f aca="false">$G1481*'Analyse capacite'!$C$7</f>
        <v>14</v>
      </c>
      <c r="J1481" s="135" t="n">
        <f aca="false">$G1481*'Analyse capacite'!$D$7</f>
        <v>40</v>
      </c>
      <c r="K1481" s="135" t="n">
        <f aca="false">$G1481*'Analyse capacite'!$E$7</f>
        <v>384</v>
      </c>
    </row>
    <row r="1482" customFormat="false" ht="15" hidden="false" customHeight="false" outlineLevel="0" collapsed="false">
      <c r="B1482" s="130" t="n">
        <v>2027</v>
      </c>
      <c r="C1482" s="131" t="s">
        <v>247</v>
      </c>
      <c r="D1482" s="132" t="n">
        <v>46519</v>
      </c>
      <c r="E1482" s="131" t="s">
        <v>12</v>
      </c>
      <c r="F1482" s="133" t="s">
        <v>19</v>
      </c>
      <c r="G1482" s="134" t="n">
        <f aca="false">LEN('Saisie programme'!$F$53)+SUMIFS('Vols additionnels'!$E$7:$E$66,'Vols additionnels'!$C$7:$C$66,$E1482,'Vols additionnels'!$D$7:$D$66,$F1482,'Vols additionnels'!$B$7:$B$66,$D1482)</f>
        <v>0</v>
      </c>
      <c r="H1482" s="135" t="n">
        <f aca="false">$G1482*'Analyse capacite'!$F$8</f>
        <v>0</v>
      </c>
      <c r="I1482" s="135" t="n">
        <f aca="false">$G1482*'Analyse capacite'!$C$8</f>
        <v>0</v>
      </c>
      <c r="J1482" s="135" t="n">
        <f aca="false">$G1482*'Analyse capacite'!$D$8</f>
        <v>0</v>
      </c>
      <c r="K1482" s="135" t="n">
        <f aca="false">$G1482*'Analyse capacite'!$E$8</f>
        <v>0</v>
      </c>
    </row>
    <row r="1483" customFormat="false" ht="15" hidden="false" customHeight="false" outlineLevel="0" collapsed="false">
      <c r="B1483" s="130" t="n">
        <v>2027</v>
      </c>
      <c r="C1483" s="131" t="s">
        <v>247</v>
      </c>
      <c r="D1483" s="132" t="n">
        <v>46519</v>
      </c>
      <c r="E1483" s="131" t="s">
        <v>12</v>
      </c>
      <c r="F1483" s="133" t="s">
        <v>24</v>
      </c>
      <c r="G1483" s="134" t="n">
        <f aca="false">LEN('Saisie programme'!$F$54)+SUMIFS('Vols additionnels'!$E$7:$E$66,'Vols additionnels'!$C$7:$C$66,$E1483,'Vols additionnels'!$D$7:$D$66,$F1483,'Vols additionnels'!$B$7:$B$66,$D1483)</f>
        <v>0</v>
      </c>
      <c r="H1483" s="135" t="n">
        <f aca="false">$G1483*'Analyse capacite'!$F$9</f>
        <v>0</v>
      </c>
      <c r="I1483" s="135" t="n">
        <f aca="false">$G1483*'Analyse capacite'!$C$9</f>
        <v>0</v>
      </c>
      <c r="J1483" s="135" t="n">
        <f aca="false">$G1483*'Analyse capacite'!$D$9</f>
        <v>0</v>
      </c>
      <c r="K1483" s="135" t="n">
        <f aca="false">$G1483*'Analyse capacite'!$E$9</f>
        <v>0</v>
      </c>
    </row>
    <row r="1484" customFormat="false" ht="15" hidden="false" customHeight="false" outlineLevel="0" collapsed="false">
      <c r="B1484" s="130" t="n">
        <v>2027</v>
      </c>
      <c r="C1484" s="131" t="s">
        <v>247</v>
      </c>
      <c r="D1484" s="132" t="n">
        <v>46519</v>
      </c>
      <c r="E1484" s="131" t="s">
        <v>20</v>
      </c>
      <c r="F1484" s="133" t="s">
        <v>11</v>
      </c>
      <c r="G1484" s="134" t="n">
        <f aca="false">LEN('Saisie programme'!$F$55)+SUMIFS('Vols additionnels'!$E$7:$E$66,'Vols additionnels'!$C$7:$C$66,$E1484,'Vols additionnels'!$D$7:$D$66,$F1484,'Vols additionnels'!$B$7:$B$66,$D1484)</f>
        <v>0</v>
      </c>
      <c r="H1484" s="135" t="n">
        <f aca="false">$G1484*'Analyse capacite'!$F$7</f>
        <v>0</v>
      </c>
      <c r="I1484" s="135" t="n">
        <f aca="false">$G1484*'Analyse capacite'!$C$7</f>
        <v>0</v>
      </c>
      <c r="J1484" s="135" t="n">
        <f aca="false">$G1484*'Analyse capacite'!$D$7</f>
        <v>0</v>
      </c>
      <c r="K1484" s="135" t="n">
        <f aca="false">$G1484*'Analyse capacite'!$E$7</f>
        <v>0</v>
      </c>
    </row>
    <row r="1485" customFormat="false" ht="15" hidden="false" customHeight="false" outlineLevel="0" collapsed="false">
      <c r="B1485" s="130" t="n">
        <v>2027</v>
      </c>
      <c r="C1485" s="131" t="s">
        <v>247</v>
      </c>
      <c r="D1485" s="132" t="n">
        <v>46519</v>
      </c>
      <c r="E1485" s="131" t="s">
        <v>20</v>
      </c>
      <c r="F1485" s="133" t="s">
        <v>19</v>
      </c>
      <c r="G1485" s="134" t="n">
        <f aca="false">LEN('Saisie programme'!$F$56)+SUMIFS('Vols additionnels'!$E$7:$E$66,'Vols additionnels'!$C$7:$C$66,$E1485,'Vols additionnels'!$D$7:$D$66,$F1485,'Vols additionnels'!$B$7:$B$66,$D1485)</f>
        <v>0</v>
      </c>
      <c r="H1485" s="135" t="n">
        <f aca="false">$G1485*'Analyse capacite'!$F$8</f>
        <v>0</v>
      </c>
      <c r="I1485" s="135" t="n">
        <f aca="false">$G1485*'Analyse capacite'!$C$8</f>
        <v>0</v>
      </c>
      <c r="J1485" s="135" t="n">
        <f aca="false">$G1485*'Analyse capacite'!$D$8</f>
        <v>0</v>
      </c>
      <c r="K1485" s="135" t="n">
        <f aca="false">$G1485*'Analyse capacite'!$E$8</f>
        <v>0</v>
      </c>
    </row>
    <row r="1486" customFormat="false" ht="15" hidden="false" customHeight="false" outlineLevel="0" collapsed="false">
      <c r="B1486" s="130" t="n">
        <v>2027</v>
      </c>
      <c r="C1486" s="131" t="s">
        <v>247</v>
      </c>
      <c r="D1486" s="132" t="n">
        <v>46519</v>
      </c>
      <c r="E1486" s="131" t="s">
        <v>20</v>
      </c>
      <c r="F1486" s="133" t="s">
        <v>24</v>
      </c>
      <c r="G1486" s="134" t="n">
        <f aca="false">LEN('Saisie programme'!$F$57)+SUMIFS('Vols additionnels'!$E$7:$E$66,'Vols additionnels'!$C$7:$C$66,$E1486,'Vols additionnels'!$D$7:$D$66,$F1486,'Vols additionnels'!$B$7:$B$66,$D1486)</f>
        <v>0</v>
      </c>
      <c r="H1486" s="135" t="n">
        <f aca="false">$G1486*'Analyse capacite'!$F$9</f>
        <v>0</v>
      </c>
      <c r="I1486" s="135" t="n">
        <f aca="false">$G1486*'Analyse capacite'!$C$9</f>
        <v>0</v>
      </c>
      <c r="J1486" s="135" t="n">
        <f aca="false">$G1486*'Analyse capacite'!$D$9</f>
        <v>0</v>
      </c>
      <c r="K1486" s="135" t="n">
        <f aca="false">$G1486*'Analyse capacite'!$E$9</f>
        <v>0</v>
      </c>
    </row>
    <row r="1487" customFormat="false" ht="15" hidden="false" customHeight="false" outlineLevel="0" collapsed="false">
      <c r="B1487" s="130" t="n">
        <v>2027</v>
      </c>
      <c r="C1487" s="131" t="s">
        <v>247</v>
      </c>
      <c r="D1487" s="132" t="n">
        <v>46519</v>
      </c>
      <c r="E1487" s="131" t="s">
        <v>25</v>
      </c>
      <c r="F1487" s="133" t="s">
        <v>11</v>
      </c>
      <c r="G1487" s="134" t="n">
        <f aca="false">LEN('Saisie programme'!$F$58)+SUMIFS('Vols additionnels'!$E$7:$E$66,'Vols additionnels'!$C$7:$C$66,$E1487,'Vols additionnels'!$D$7:$D$66,$F1487,'Vols additionnels'!$B$7:$B$66,$D1487)</f>
        <v>0</v>
      </c>
      <c r="H1487" s="135" t="n">
        <f aca="false">$G1487*'Analyse capacite'!$F$7</f>
        <v>0</v>
      </c>
      <c r="I1487" s="135" t="n">
        <f aca="false">$G1487*'Analyse capacite'!$C$7</f>
        <v>0</v>
      </c>
      <c r="J1487" s="135" t="n">
        <f aca="false">$G1487*'Analyse capacite'!$D$7</f>
        <v>0</v>
      </c>
      <c r="K1487" s="135" t="n">
        <f aca="false">$G1487*'Analyse capacite'!$E$7</f>
        <v>0</v>
      </c>
    </row>
    <row r="1488" customFormat="false" ht="15" hidden="false" customHeight="false" outlineLevel="0" collapsed="false">
      <c r="B1488" s="130" t="n">
        <v>2027</v>
      </c>
      <c r="C1488" s="131" t="s">
        <v>247</v>
      </c>
      <c r="D1488" s="132" t="n">
        <v>46519</v>
      </c>
      <c r="E1488" s="131" t="s">
        <v>25</v>
      </c>
      <c r="F1488" s="133" t="s">
        <v>19</v>
      </c>
      <c r="G1488" s="134" t="n">
        <f aca="false">LEN('Saisie programme'!$F$59)+SUMIFS('Vols additionnels'!$E$7:$E$66,'Vols additionnels'!$C$7:$C$66,$E1488,'Vols additionnels'!$D$7:$D$66,$F1488,'Vols additionnels'!$B$7:$B$66,$D1488)</f>
        <v>1</v>
      </c>
      <c r="H1488" s="135" t="n">
        <f aca="false">$G1488*'Analyse capacite'!$F$8</f>
        <v>262</v>
      </c>
      <c r="I1488" s="135" t="n">
        <f aca="false">$G1488*'Analyse capacite'!$C$8</f>
        <v>18</v>
      </c>
      <c r="J1488" s="135" t="n">
        <f aca="false">$G1488*'Analyse capacite'!$D$8</f>
        <v>0</v>
      </c>
      <c r="K1488" s="135" t="n">
        <f aca="false">$G1488*'Analyse capacite'!$E$8</f>
        <v>244</v>
      </c>
    </row>
    <row r="1489" customFormat="false" ht="15" hidden="false" customHeight="false" outlineLevel="0" collapsed="false">
      <c r="B1489" s="130" t="n">
        <v>2027</v>
      </c>
      <c r="C1489" s="131" t="s">
        <v>247</v>
      </c>
      <c r="D1489" s="132" t="n">
        <v>46519</v>
      </c>
      <c r="E1489" s="131" t="s">
        <v>25</v>
      </c>
      <c r="F1489" s="133" t="s">
        <v>24</v>
      </c>
      <c r="G1489" s="134" t="n">
        <f aca="false">LEN('Saisie programme'!$F$60)+SUMIFS('Vols additionnels'!$E$7:$E$66,'Vols additionnels'!$C$7:$C$66,$E1489,'Vols additionnels'!$D$7:$D$66,$F1489,'Vols additionnels'!$B$7:$B$66,$D1489)</f>
        <v>0</v>
      </c>
      <c r="H1489" s="135" t="n">
        <f aca="false">$G1489*'Analyse capacite'!$F$9</f>
        <v>0</v>
      </c>
      <c r="I1489" s="135" t="n">
        <f aca="false">$G1489*'Analyse capacite'!$C$9</f>
        <v>0</v>
      </c>
      <c r="J1489" s="135" t="n">
        <f aca="false">$G1489*'Analyse capacite'!$D$9</f>
        <v>0</v>
      </c>
      <c r="K1489" s="135" t="n">
        <f aca="false">$G1489*'Analyse capacite'!$E$9</f>
        <v>0</v>
      </c>
    </row>
    <row r="1490" customFormat="false" ht="15" hidden="false" customHeight="false" outlineLevel="0" collapsed="false">
      <c r="B1490" s="130" t="n">
        <v>2027</v>
      </c>
      <c r="C1490" s="131" t="s">
        <v>247</v>
      </c>
      <c r="D1490" s="132" t="n">
        <v>46519</v>
      </c>
      <c r="E1490" s="131" t="s">
        <v>36</v>
      </c>
      <c r="F1490" s="133" t="s">
        <v>11</v>
      </c>
      <c r="G1490" s="134" t="n">
        <f aca="false">LEN('Saisie programme'!$F$61)+SUMIFS('Vols additionnels'!$E$7:$E$66,'Vols additionnels'!$C$7:$C$66,$E1490,'Vols additionnels'!$D$7:$D$66,$F1490,'Vols additionnels'!$B$7:$B$66,$D1490)</f>
        <v>0</v>
      </c>
      <c r="H1490" s="135" t="n">
        <f aca="false">$G1490*'Analyse capacite'!$F$7</f>
        <v>0</v>
      </c>
      <c r="I1490" s="135" t="n">
        <f aca="false">$G1490*'Analyse capacite'!$C$7</f>
        <v>0</v>
      </c>
      <c r="J1490" s="135" t="n">
        <f aca="false">$G1490*'Analyse capacite'!$D$7</f>
        <v>0</v>
      </c>
      <c r="K1490" s="135" t="n">
        <f aca="false">$G1490*'Analyse capacite'!$E$7</f>
        <v>0</v>
      </c>
    </row>
    <row r="1491" customFormat="false" ht="15" hidden="false" customHeight="false" outlineLevel="0" collapsed="false">
      <c r="B1491" s="130" t="n">
        <v>2027</v>
      </c>
      <c r="C1491" s="131" t="s">
        <v>247</v>
      </c>
      <c r="D1491" s="132" t="n">
        <v>46519</v>
      </c>
      <c r="E1491" s="131" t="s">
        <v>36</v>
      </c>
      <c r="F1491" s="133" t="s">
        <v>19</v>
      </c>
      <c r="G1491" s="134" t="n">
        <f aca="false">LEN('Saisie programme'!$F$62)+SUMIFS('Vols additionnels'!$E$7:$E$66,'Vols additionnels'!$C$7:$C$66,$E1491,'Vols additionnels'!$D$7:$D$66,$F1491,'Vols additionnels'!$B$7:$B$66,$D1491)</f>
        <v>1</v>
      </c>
      <c r="H1491" s="135" t="n">
        <f aca="false">$G1491*'Analyse capacite'!$F$8</f>
        <v>262</v>
      </c>
      <c r="I1491" s="135" t="n">
        <f aca="false">$G1491*'Analyse capacite'!$C$8</f>
        <v>18</v>
      </c>
      <c r="J1491" s="135" t="n">
        <f aca="false">$G1491*'Analyse capacite'!$D$8</f>
        <v>0</v>
      </c>
      <c r="K1491" s="135" t="n">
        <f aca="false">$G1491*'Analyse capacite'!$E$8</f>
        <v>244</v>
      </c>
    </row>
    <row r="1492" customFormat="false" ht="15" hidden="false" customHeight="false" outlineLevel="0" collapsed="false">
      <c r="B1492" s="130" t="n">
        <v>2027</v>
      </c>
      <c r="C1492" s="131" t="s">
        <v>247</v>
      </c>
      <c r="D1492" s="132" t="n">
        <v>46519</v>
      </c>
      <c r="E1492" s="131" t="s">
        <v>36</v>
      </c>
      <c r="F1492" s="133" t="s">
        <v>24</v>
      </c>
      <c r="G1492" s="134" t="n">
        <f aca="false">LEN('Saisie programme'!$F$63)+SUMIFS('Vols additionnels'!$E$7:$E$66,'Vols additionnels'!$C$7:$C$66,$E1492,'Vols additionnels'!$D$7:$D$66,$F1492,'Vols additionnels'!$B$7:$B$66,$D1492)</f>
        <v>1</v>
      </c>
      <c r="H1492" s="135" t="n">
        <f aca="false">$G1492*'Analyse capacite'!$F$9</f>
        <v>174</v>
      </c>
      <c r="I1492" s="135" t="n">
        <f aca="false">$G1492*'Analyse capacite'!$C$9</f>
        <v>0</v>
      </c>
      <c r="J1492" s="135" t="n">
        <f aca="false">$G1492*'Analyse capacite'!$D$9</f>
        <v>12</v>
      </c>
      <c r="K1492" s="135" t="n">
        <f aca="false">$G1492*'Analyse capacite'!$E$9</f>
        <v>162</v>
      </c>
    </row>
    <row r="1493" customFormat="false" ht="15" hidden="false" customHeight="false" outlineLevel="0" collapsed="false">
      <c r="B1493" s="130" t="n">
        <v>2027</v>
      </c>
      <c r="C1493" s="131" t="s">
        <v>247</v>
      </c>
      <c r="D1493" s="132" t="n">
        <v>46519</v>
      </c>
      <c r="E1493" s="131" t="s">
        <v>40</v>
      </c>
      <c r="F1493" s="133" t="s">
        <v>11</v>
      </c>
      <c r="G1493" s="134" t="n">
        <f aca="false">LEN('Saisie programme'!$F$64)+SUMIFS('Vols additionnels'!$E$7:$E$66,'Vols additionnels'!$C$7:$C$66,$E1493,'Vols additionnels'!$D$7:$D$66,$F1493,'Vols additionnels'!$B$7:$B$66,$D1493)</f>
        <v>0</v>
      </c>
      <c r="H1493" s="135" t="n">
        <f aca="false">$G1493*'Analyse capacite'!$F$7</f>
        <v>0</v>
      </c>
      <c r="I1493" s="135" t="n">
        <f aca="false">$G1493*'Analyse capacite'!$C$7</f>
        <v>0</v>
      </c>
      <c r="J1493" s="135" t="n">
        <f aca="false">$G1493*'Analyse capacite'!$D$7</f>
        <v>0</v>
      </c>
      <c r="K1493" s="135" t="n">
        <f aca="false">$G1493*'Analyse capacite'!$E$7</f>
        <v>0</v>
      </c>
    </row>
    <row r="1494" customFormat="false" ht="15" hidden="false" customHeight="false" outlineLevel="0" collapsed="false">
      <c r="B1494" s="130" t="n">
        <v>2027</v>
      </c>
      <c r="C1494" s="131" t="s">
        <v>247</v>
      </c>
      <c r="D1494" s="132" t="n">
        <v>46519</v>
      </c>
      <c r="E1494" s="131" t="s">
        <v>40</v>
      </c>
      <c r="F1494" s="133" t="s">
        <v>19</v>
      </c>
      <c r="G1494" s="134" t="n">
        <f aca="false">LEN('Saisie programme'!$F$65)+SUMIFS('Vols additionnels'!$E$7:$E$66,'Vols additionnels'!$C$7:$C$66,$E1494,'Vols additionnels'!$D$7:$D$66,$F1494,'Vols additionnels'!$B$7:$B$66,$D1494)</f>
        <v>0</v>
      </c>
      <c r="H1494" s="135" t="n">
        <f aca="false">$G1494*'Analyse capacite'!$F$8</f>
        <v>0</v>
      </c>
      <c r="I1494" s="135" t="n">
        <f aca="false">$G1494*'Analyse capacite'!$C$8</f>
        <v>0</v>
      </c>
      <c r="J1494" s="135" t="n">
        <f aca="false">$G1494*'Analyse capacite'!$D$8</f>
        <v>0</v>
      </c>
      <c r="K1494" s="135" t="n">
        <f aca="false">$G1494*'Analyse capacite'!$E$8</f>
        <v>0</v>
      </c>
    </row>
    <row r="1495" customFormat="false" ht="15" hidden="false" customHeight="false" outlineLevel="0" collapsed="false">
      <c r="B1495" s="130" t="n">
        <v>2027</v>
      </c>
      <c r="C1495" s="131" t="s">
        <v>247</v>
      </c>
      <c r="D1495" s="132" t="n">
        <v>46519</v>
      </c>
      <c r="E1495" s="131" t="s">
        <v>40</v>
      </c>
      <c r="F1495" s="133" t="s">
        <v>24</v>
      </c>
      <c r="G1495" s="134" t="n">
        <f aca="false">LEN('Saisie programme'!$F$66)+SUMIFS('Vols additionnels'!$E$7:$E$66,'Vols additionnels'!$C$7:$C$66,$E1495,'Vols additionnels'!$D$7:$D$66,$F1495,'Vols additionnels'!$B$7:$B$66,$D1495)</f>
        <v>1</v>
      </c>
      <c r="H1495" s="135" t="n">
        <f aca="false">$G1495*'Analyse capacite'!$F$9</f>
        <v>174</v>
      </c>
      <c r="I1495" s="135" t="n">
        <f aca="false">$G1495*'Analyse capacite'!$C$9</f>
        <v>0</v>
      </c>
      <c r="J1495" s="135" t="n">
        <f aca="false">$G1495*'Analyse capacite'!$D$9</f>
        <v>12</v>
      </c>
      <c r="K1495" s="135" t="n">
        <f aca="false">$G1495*'Analyse capacite'!$E$9</f>
        <v>162</v>
      </c>
    </row>
    <row r="1496" customFormat="false" ht="15" hidden="false" customHeight="false" outlineLevel="0" collapsed="false">
      <c r="B1496" s="130" t="n">
        <v>2027</v>
      </c>
      <c r="C1496" s="131" t="s">
        <v>247</v>
      </c>
      <c r="D1496" s="132" t="n">
        <v>46519</v>
      </c>
      <c r="E1496" s="131" t="s">
        <v>14</v>
      </c>
      <c r="F1496" s="133" t="s">
        <v>11</v>
      </c>
      <c r="G1496" s="134" t="n">
        <f aca="false">LEN('Saisie programme'!$F$67)+SUMIFS('Vols additionnels'!$E$7:$E$66,'Vols additionnels'!$C$7:$C$66,$E1496,'Vols additionnels'!$D$7:$D$66,$F1496,'Vols additionnels'!$B$7:$B$66,$D1496)</f>
        <v>0</v>
      </c>
      <c r="H1496" s="135" t="n">
        <f aca="false">$G1496*'Analyse capacite'!$F$7</f>
        <v>0</v>
      </c>
      <c r="I1496" s="135" t="n">
        <f aca="false">$G1496*'Analyse capacite'!$C$7</f>
        <v>0</v>
      </c>
      <c r="J1496" s="135" t="n">
        <f aca="false">$G1496*'Analyse capacite'!$D$7</f>
        <v>0</v>
      </c>
      <c r="K1496" s="135" t="n">
        <f aca="false">$G1496*'Analyse capacite'!$E$7</f>
        <v>0</v>
      </c>
    </row>
    <row r="1497" customFormat="false" ht="15" hidden="false" customHeight="false" outlineLevel="0" collapsed="false">
      <c r="B1497" s="130" t="n">
        <v>2027</v>
      </c>
      <c r="C1497" s="131" t="s">
        <v>247</v>
      </c>
      <c r="D1497" s="132" t="n">
        <v>46519</v>
      </c>
      <c r="E1497" s="131" t="s">
        <v>14</v>
      </c>
      <c r="F1497" s="133" t="s">
        <v>19</v>
      </c>
      <c r="G1497" s="134" t="n">
        <f aca="false">LEN('Saisie programme'!$F$68)+SUMIFS('Vols additionnels'!$E$7:$E$66,'Vols additionnels'!$C$7:$C$66,$E1497,'Vols additionnels'!$D$7:$D$66,$F1497,'Vols additionnels'!$B$7:$B$66,$D1497)</f>
        <v>0</v>
      </c>
      <c r="H1497" s="135" t="n">
        <f aca="false">$G1497*'Analyse capacite'!$F$8</f>
        <v>0</v>
      </c>
      <c r="I1497" s="135" t="n">
        <f aca="false">$G1497*'Analyse capacite'!$C$8</f>
        <v>0</v>
      </c>
      <c r="J1497" s="135" t="n">
        <f aca="false">$G1497*'Analyse capacite'!$D$8</f>
        <v>0</v>
      </c>
      <c r="K1497" s="135" t="n">
        <f aca="false">$G1497*'Analyse capacite'!$E$8</f>
        <v>0</v>
      </c>
    </row>
    <row r="1498" customFormat="false" ht="15" hidden="false" customHeight="false" outlineLevel="0" collapsed="false">
      <c r="B1498" s="130" t="n">
        <v>2027</v>
      </c>
      <c r="C1498" s="131" t="s">
        <v>247</v>
      </c>
      <c r="D1498" s="132" t="n">
        <v>46519</v>
      </c>
      <c r="E1498" s="131" t="s">
        <v>14</v>
      </c>
      <c r="F1498" s="133" t="s">
        <v>24</v>
      </c>
      <c r="G1498" s="134" t="n">
        <f aca="false">LEN('Saisie programme'!$F$69)+SUMIFS('Vols additionnels'!$E$7:$E$66,'Vols additionnels'!$C$7:$C$66,$E1498,'Vols additionnels'!$D$7:$D$66,$F1498,'Vols additionnels'!$B$7:$B$66,$D1498)</f>
        <v>0</v>
      </c>
      <c r="H1498" s="135" t="n">
        <f aca="false">$G1498*'Analyse capacite'!$F$9</f>
        <v>0</v>
      </c>
      <c r="I1498" s="135" t="n">
        <f aca="false">$G1498*'Analyse capacite'!$C$9</f>
        <v>0</v>
      </c>
      <c r="J1498" s="135" t="n">
        <f aca="false">$G1498*'Analyse capacite'!$D$9</f>
        <v>0</v>
      </c>
      <c r="K1498" s="135" t="n">
        <f aca="false">$G1498*'Analyse capacite'!$E$9</f>
        <v>0</v>
      </c>
    </row>
    <row r="1499" customFormat="false" ht="15" hidden="false" customHeight="false" outlineLevel="0" collapsed="false">
      <c r="B1499" s="130" t="n">
        <v>2027</v>
      </c>
      <c r="C1499" s="131" t="s">
        <v>247</v>
      </c>
      <c r="D1499" s="132" t="n">
        <v>46519</v>
      </c>
      <c r="E1499" s="131" t="s">
        <v>46</v>
      </c>
      <c r="F1499" s="133" t="s">
        <v>11</v>
      </c>
      <c r="G1499" s="134" t="n">
        <f aca="false">LEN('Saisie programme'!$F$70)+SUMIFS('Vols additionnels'!$E$7:$E$66,'Vols additionnels'!$C$7:$C$66,$E1499,'Vols additionnels'!$D$7:$D$66,$F1499,'Vols additionnels'!$B$7:$B$66,$D1499)</f>
        <v>0</v>
      </c>
      <c r="H1499" s="135" t="n">
        <f aca="false">$G1499*'Analyse capacite'!$F$7</f>
        <v>0</v>
      </c>
      <c r="I1499" s="135" t="n">
        <f aca="false">$G1499*'Analyse capacite'!$C$7</f>
        <v>0</v>
      </c>
      <c r="J1499" s="135" t="n">
        <f aca="false">$G1499*'Analyse capacite'!$D$7</f>
        <v>0</v>
      </c>
      <c r="K1499" s="135" t="n">
        <f aca="false">$G1499*'Analyse capacite'!$E$7</f>
        <v>0</v>
      </c>
    </row>
    <row r="1500" customFormat="false" ht="15" hidden="false" customHeight="false" outlineLevel="0" collapsed="false">
      <c r="B1500" s="130" t="n">
        <v>2027</v>
      </c>
      <c r="C1500" s="131" t="s">
        <v>247</v>
      </c>
      <c r="D1500" s="132" t="n">
        <v>46519</v>
      </c>
      <c r="E1500" s="131" t="s">
        <v>46</v>
      </c>
      <c r="F1500" s="133" t="s">
        <v>19</v>
      </c>
      <c r="G1500" s="134" t="n">
        <f aca="false">LEN('Saisie programme'!$F$71)+SUMIFS('Vols additionnels'!$E$7:$E$66,'Vols additionnels'!$C$7:$C$66,$E1500,'Vols additionnels'!$D$7:$D$66,$F1500,'Vols additionnels'!$B$7:$B$66,$D1500)</f>
        <v>0</v>
      </c>
      <c r="H1500" s="135" t="n">
        <f aca="false">$G1500*'Analyse capacite'!$F$8</f>
        <v>0</v>
      </c>
      <c r="I1500" s="135" t="n">
        <f aca="false">$G1500*'Analyse capacite'!$C$8</f>
        <v>0</v>
      </c>
      <c r="J1500" s="135" t="n">
        <f aca="false">$G1500*'Analyse capacite'!$D$8</f>
        <v>0</v>
      </c>
      <c r="K1500" s="135" t="n">
        <f aca="false">$G1500*'Analyse capacite'!$E$8</f>
        <v>0</v>
      </c>
    </row>
    <row r="1501" customFormat="false" ht="15" hidden="false" customHeight="false" outlineLevel="0" collapsed="false">
      <c r="B1501" s="130" t="n">
        <v>2027</v>
      </c>
      <c r="C1501" s="131" t="s">
        <v>247</v>
      </c>
      <c r="D1501" s="132" t="n">
        <v>46519</v>
      </c>
      <c r="E1501" s="131" t="s">
        <v>46</v>
      </c>
      <c r="F1501" s="133" t="s">
        <v>24</v>
      </c>
      <c r="G1501" s="134" t="n">
        <f aca="false">LEN('Saisie programme'!$F$72)+SUMIFS('Vols additionnels'!$E$7:$E$66,'Vols additionnels'!$C$7:$C$66,$E1501,'Vols additionnels'!$D$7:$D$66,$F1501,'Vols additionnels'!$B$7:$B$66,$D1501)</f>
        <v>0</v>
      </c>
      <c r="H1501" s="135" t="n">
        <f aca="false">$G1501*'Analyse capacite'!$F$9</f>
        <v>0</v>
      </c>
      <c r="I1501" s="135" t="n">
        <f aca="false">$G1501*'Analyse capacite'!$C$9</f>
        <v>0</v>
      </c>
      <c r="J1501" s="135" t="n">
        <f aca="false">$G1501*'Analyse capacite'!$D$9</f>
        <v>0</v>
      </c>
      <c r="K1501" s="135" t="n">
        <f aca="false">$G1501*'Analyse capacite'!$E$9</f>
        <v>0</v>
      </c>
    </row>
    <row r="1502" customFormat="false" ht="15" hidden="false" customHeight="false" outlineLevel="0" collapsed="false">
      <c r="B1502" s="130" t="n">
        <v>2027</v>
      </c>
      <c r="C1502" s="131" t="s">
        <v>247</v>
      </c>
      <c r="D1502" s="132" t="n">
        <v>46519</v>
      </c>
      <c r="E1502" s="131" t="s">
        <v>49</v>
      </c>
      <c r="F1502" s="133" t="s">
        <v>11</v>
      </c>
      <c r="G1502" s="134" t="n">
        <f aca="false">LEN('Saisie programme'!$F$73)+SUMIFS('Vols additionnels'!$E$7:$E$66,'Vols additionnels'!$C$7:$C$66,$E1502,'Vols additionnels'!$D$7:$D$66,$F1502,'Vols additionnels'!$B$7:$B$66,$D1502)</f>
        <v>0</v>
      </c>
      <c r="H1502" s="135" t="n">
        <f aca="false">$G1502*'Analyse capacite'!$F$7</f>
        <v>0</v>
      </c>
      <c r="I1502" s="135" t="n">
        <f aca="false">$G1502*'Analyse capacite'!$C$7</f>
        <v>0</v>
      </c>
      <c r="J1502" s="135" t="n">
        <f aca="false">$G1502*'Analyse capacite'!$D$7</f>
        <v>0</v>
      </c>
      <c r="K1502" s="135" t="n">
        <f aca="false">$G1502*'Analyse capacite'!$E$7</f>
        <v>0</v>
      </c>
    </row>
    <row r="1503" customFormat="false" ht="15" hidden="false" customHeight="false" outlineLevel="0" collapsed="false">
      <c r="B1503" s="130" t="n">
        <v>2027</v>
      </c>
      <c r="C1503" s="131" t="s">
        <v>247</v>
      </c>
      <c r="D1503" s="132" t="n">
        <v>46519</v>
      </c>
      <c r="E1503" s="131" t="s">
        <v>49</v>
      </c>
      <c r="F1503" s="133" t="s">
        <v>19</v>
      </c>
      <c r="G1503" s="134" t="n">
        <f aca="false">LEN('Saisie programme'!$F$74)+SUMIFS('Vols additionnels'!$E$7:$E$66,'Vols additionnels'!$C$7:$C$66,$E1503,'Vols additionnels'!$D$7:$D$66,$F1503,'Vols additionnels'!$B$7:$B$66,$D1503)</f>
        <v>0</v>
      </c>
      <c r="H1503" s="135" t="n">
        <f aca="false">$G1503*'Analyse capacite'!$F$8</f>
        <v>0</v>
      </c>
      <c r="I1503" s="135" t="n">
        <f aca="false">$G1503*'Analyse capacite'!$C$8</f>
        <v>0</v>
      </c>
      <c r="J1503" s="135" t="n">
        <f aca="false">$G1503*'Analyse capacite'!$D$8</f>
        <v>0</v>
      </c>
      <c r="K1503" s="135" t="n">
        <f aca="false">$G1503*'Analyse capacite'!$E$8</f>
        <v>0</v>
      </c>
    </row>
    <row r="1504" customFormat="false" ht="15" hidden="false" customHeight="false" outlineLevel="0" collapsed="false">
      <c r="B1504" s="130" t="n">
        <v>2027</v>
      </c>
      <c r="C1504" s="131" t="s">
        <v>247</v>
      </c>
      <c r="D1504" s="132" t="n">
        <v>46519</v>
      </c>
      <c r="E1504" s="131" t="s">
        <v>49</v>
      </c>
      <c r="F1504" s="133" t="s">
        <v>24</v>
      </c>
      <c r="G1504" s="134" t="n">
        <f aca="false">LEN('Saisie programme'!$F$75)+SUMIFS('Vols additionnels'!$E$7:$E$66,'Vols additionnels'!$C$7:$C$66,$E1504,'Vols additionnels'!$D$7:$D$66,$F1504,'Vols additionnels'!$B$7:$B$66,$D1504)</f>
        <v>0</v>
      </c>
      <c r="H1504" s="135" t="n">
        <f aca="false">$G1504*'Analyse capacite'!$F$9</f>
        <v>0</v>
      </c>
      <c r="I1504" s="135" t="n">
        <f aca="false">$G1504*'Analyse capacite'!$C$9</f>
        <v>0</v>
      </c>
      <c r="J1504" s="135" t="n">
        <f aca="false">$G1504*'Analyse capacite'!$D$9</f>
        <v>0</v>
      </c>
      <c r="K1504" s="135" t="n">
        <f aca="false">$G1504*'Analyse capacite'!$E$9</f>
        <v>0</v>
      </c>
    </row>
    <row r="1505" customFormat="false" ht="15" hidden="false" customHeight="false" outlineLevel="0" collapsed="false">
      <c r="B1505" s="130" t="n">
        <v>2027</v>
      </c>
      <c r="C1505" s="131" t="s">
        <v>247</v>
      </c>
      <c r="D1505" s="132" t="n">
        <v>46519</v>
      </c>
      <c r="E1505" s="131" t="s">
        <v>53</v>
      </c>
      <c r="F1505" s="133" t="s">
        <v>11</v>
      </c>
      <c r="G1505" s="134" t="n">
        <f aca="false">LEN('Saisie programme'!$F$76)+SUMIFS('Vols additionnels'!$E$7:$E$66,'Vols additionnels'!$C$7:$C$66,$E1505,'Vols additionnels'!$D$7:$D$66,$F1505,'Vols additionnels'!$B$7:$B$66,$D1505)</f>
        <v>0</v>
      </c>
      <c r="H1505" s="135" t="n">
        <f aca="false">$G1505*'Analyse capacite'!$F$7</f>
        <v>0</v>
      </c>
      <c r="I1505" s="135" t="n">
        <f aca="false">$G1505*'Analyse capacite'!$C$7</f>
        <v>0</v>
      </c>
      <c r="J1505" s="135" t="n">
        <f aca="false">$G1505*'Analyse capacite'!$D$7</f>
        <v>0</v>
      </c>
      <c r="K1505" s="135" t="n">
        <f aca="false">$G1505*'Analyse capacite'!$E$7</f>
        <v>0</v>
      </c>
    </row>
    <row r="1506" customFormat="false" ht="15" hidden="false" customHeight="false" outlineLevel="0" collapsed="false">
      <c r="B1506" s="130" t="n">
        <v>2027</v>
      </c>
      <c r="C1506" s="131" t="s">
        <v>247</v>
      </c>
      <c r="D1506" s="132" t="n">
        <v>46519</v>
      </c>
      <c r="E1506" s="131" t="s">
        <v>53</v>
      </c>
      <c r="F1506" s="133" t="s">
        <v>19</v>
      </c>
      <c r="G1506" s="134" t="n">
        <f aca="false">LEN('Saisie programme'!$F$77)+SUMIFS('Vols additionnels'!$E$7:$E$66,'Vols additionnels'!$C$7:$C$66,$E1506,'Vols additionnels'!$D$7:$D$66,$F1506,'Vols additionnels'!$B$7:$B$66,$D1506)</f>
        <v>0</v>
      </c>
      <c r="H1506" s="135" t="n">
        <f aca="false">$G1506*'Analyse capacite'!$F$8</f>
        <v>0</v>
      </c>
      <c r="I1506" s="135" t="n">
        <f aca="false">$G1506*'Analyse capacite'!$C$8</f>
        <v>0</v>
      </c>
      <c r="J1506" s="135" t="n">
        <f aca="false">$G1506*'Analyse capacite'!$D$8</f>
        <v>0</v>
      </c>
      <c r="K1506" s="135" t="n">
        <f aca="false">$G1506*'Analyse capacite'!$E$8</f>
        <v>0</v>
      </c>
    </row>
    <row r="1507" customFormat="false" ht="15" hidden="false" customHeight="false" outlineLevel="0" collapsed="false">
      <c r="B1507" s="130" t="n">
        <v>2027</v>
      </c>
      <c r="C1507" s="131" t="s">
        <v>247</v>
      </c>
      <c r="D1507" s="132" t="n">
        <v>46519</v>
      </c>
      <c r="E1507" s="131" t="s">
        <v>53</v>
      </c>
      <c r="F1507" s="133" t="s">
        <v>24</v>
      </c>
      <c r="G1507" s="134" t="n">
        <f aca="false">LEN('Saisie programme'!$F$78)+SUMIFS('Vols additionnels'!$E$7:$E$66,'Vols additionnels'!$C$7:$C$66,$E1507,'Vols additionnels'!$D$7:$D$66,$F1507,'Vols additionnels'!$B$7:$B$66,$D1507)</f>
        <v>0</v>
      </c>
      <c r="H1507" s="135" t="n">
        <f aca="false">$G1507*'Analyse capacite'!$F$9</f>
        <v>0</v>
      </c>
      <c r="I1507" s="135" t="n">
        <f aca="false">$G1507*'Analyse capacite'!$C$9</f>
        <v>0</v>
      </c>
      <c r="J1507" s="135" t="n">
        <f aca="false">$G1507*'Analyse capacite'!$D$9</f>
        <v>0</v>
      </c>
      <c r="K1507" s="135" t="n">
        <f aca="false">$G1507*'Analyse capacite'!$E$9</f>
        <v>0</v>
      </c>
    </row>
    <row r="1508" customFormat="false" ht="15" hidden="false" customHeight="false" outlineLevel="0" collapsed="false">
      <c r="B1508" s="130" t="n">
        <v>2027</v>
      </c>
      <c r="C1508" s="131" t="s">
        <v>247</v>
      </c>
      <c r="D1508" s="132" t="n">
        <v>46519</v>
      </c>
      <c r="E1508" s="131" t="s">
        <v>56</v>
      </c>
      <c r="F1508" s="133" t="s">
        <v>11</v>
      </c>
      <c r="G1508" s="134" t="n">
        <f aca="false">LEN('Saisie programme'!$F$79)+SUMIFS('Vols additionnels'!$E$7:$E$66,'Vols additionnels'!$C$7:$C$66,$E1508,'Vols additionnels'!$D$7:$D$66,$F1508,'Vols additionnels'!$B$7:$B$66,$D1508)</f>
        <v>0</v>
      </c>
      <c r="H1508" s="135" t="n">
        <f aca="false">$G1508*'Analyse capacite'!$F$7</f>
        <v>0</v>
      </c>
      <c r="I1508" s="135" t="n">
        <f aca="false">$G1508*'Analyse capacite'!$C$7</f>
        <v>0</v>
      </c>
      <c r="J1508" s="135" t="n">
        <f aca="false">$G1508*'Analyse capacite'!$D$7</f>
        <v>0</v>
      </c>
      <c r="K1508" s="135" t="n">
        <f aca="false">$G1508*'Analyse capacite'!$E$7</f>
        <v>0</v>
      </c>
    </row>
    <row r="1509" customFormat="false" ht="15" hidden="false" customHeight="false" outlineLevel="0" collapsed="false">
      <c r="B1509" s="130" t="n">
        <v>2027</v>
      </c>
      <c r="C1509" s="131" t="s">
        <v>247</v>
      </c>
      <c r="D1509" s="132" t="n">
        <v>46519</v>
      </c>
      <c r="E1509" s="131" t="s">
        <v>56</v>
      </c>
      <c r="F1509" s="133" t="s">
        <v>19</v>
      </c>
      <c r="G1509" s="134" t="n">
        <f aca="false">LEN('Saisie programme'!$F$80)+SUMIFS('Vols additionnels'!$E$7:$E$66,'Vols additionnels'!$C$7:$C$66,$E1509,'Vols additionnels'!$D$7:$D$66,$F1509,'Vols additionnels'!$B$7:$B$66,$D1509)</f>
        <v>0</v>
      </c>
      <c r="H1509" s="135" t="n">
        <f aca="false">$G1509*'Analyse capacite'!$F$8</f>
        <v>0</v>
      </c>
      <c r="I1509" s="135" t="n">
        <f aca="false">$G1509*'Analyse capacite'!$C$8</f>
        <v>0</v>
      </c>
      <c r="J1509" s="135" t="n">
        <f aca="false">$G1509*'Analyse capacite'!$D$8</f>
        <v>0</v>
      </c>
      <c r="K1509" s="135" t="n">
        <f aca="false">$G1509*'Analyse capacite'!$E$8</f>
        <v>0</v>
      </c>
    </row>
    <row r="1510" customFormat="false" ht="15" hidden="false" customHeight="false" outlineLevel="0" collapsed="false">
      <c r="B1510" s="130" t="n">
        <v>2027</v>
      </c>
      <c r="C1510" s="131" t="s">
        <v>247</v>
      </c>
      <c r="D1510" s="132" t="n">
        <v>46519</v>
      </c>
      <c r="E1510" s="131" t="s">
        <v>56</v>
      </c>
      <c r="F1510" s="133" t="s">
        <v>24</v>
      </c>
      <c r="G1510" s="134" t="n">
        <f aca="false">LEN('Saisie programme'!$F$81)+SUMIFS('Vols additionnels'!$E$7:$E$66,'Vols additionnels'!$C$7:$C$66,$E1510,'Vols additionnels'!$D$7:$D$66,$F1510,'Vols additionnels'!$B$7:$B$66,$D1510)</f>
        <v>0</v>
      </c>
      <c r="H1510" s="135" t="n">
        <f aca="false">$G1510*'Analyse capacite'!$F$9</f>
        <v>0</v>
      </c>
      <c r="I1510" s="135" t="n">
        <f aca="false">$G1510*'Analyse capacite'!$C$9</f>
        <v>0</v>
      </c>
      <c r="J1510" s="135" t="n">
        <f aca="false">$G1510*'Analyse capacite'!$D$9</f>
        <v>0</v>
      </c>
      <c r="K1510" s="135" t="n">
        <f aca="false">$G1510*'Analyse capacite'!$E$9</f>
        <v>0</v>
      </c>
    </row>
    <row r="1511" customFormat="false" ht="15" hidden="false" customHeight="false" outlineLevel="0" collapsed="false">
      <c r="B1511" s="130" t="n">
        <v>2027</v>
      </c>
      <c r="C1511" s="131" t="s">
        <v>247</v>
      </c>
      <c r="D1511" s="132" t="n">
        <v>46519</v>
      </c>
      <c r="E1511" s="131" t="s">
        <v>59</v>
      </c>
      <c r="F1511" s="133" t="s">
        <v>11</v>
      </c>
      <c r="G1511" s="134" t="n">
        <f aca="false">LEN('Saisie programme'!$F$82)+SUMIFS('Vols additionnels'!$E$7:$E$66,'Vols additionnels'!$C$7:$C$66,$E1511,'Vols additionnels'!$D$7:$D$66,$F1511,'Vols additionnels'!$B$7:$B$66,$D1511)</f>
        <v>0</v>
      </c>
      <c r="H1511" s="135" t="n">
        <f aca="false">$G1511*'Analyse capacite'!$F$7</f>
        <v>0</v>
      </c>
      <c r="I1511" s="135" t="n">
        <f aca="false">$G1511*'Analyse capacite'!$C$7</f>
        <v>0</v>
      </c>
      <c r="J1511" s="135" t="n">
        <f aca="false">$G1511*'Analyse capacite'!$D$7</f>
        <v>0</v>
      </c>
      <c r="K1511" s="135" t="n">
        <f aca="false">$G1511*'Analyse capacite'!$E$7</f>
        <v>0</v>
      </c>
    </row>
    <row r="1512" customFormat="false" ht="15" hidden="false" customHeight="false" outlineLevel="0" collapsed="false">
      <c r="B1512" s="130" t="n">
        <v>2027</v>
      </c>
      <c r="C1512" s="131" t="s">
        <v>247</v>
      </c>
      <c r="D1512" s="132" t="n">
        <v>46519</v>
      </c>
      <c r="E1512" s="131" t="s">
        <v>59</v>
      </c>
      <c r="F1512" s="133" t="s">
        <v>19</v>
      </c>
      <c r="G1512" s="134" t="n">
        <f aca="false">LEN('Saisie programme'!$F$83)+SUMIFS('Vols additionnels'!$E$7:$E$66,'Vols additionnels'!$C$7:$C$66,$E1512,'Vols additionnels'!$D$7:$D$66,$F1512,'Vols additionnels'!$B$7:$B$66,$D1512)</f>
        <v>0</v>
      </c>
      <c r="H1512" s="135" t="n">
        <f aca="false">$G1512*'Analyse capacite'!$F$8</f>
        <v>0</v>
      </c>
      <c r="I1512" s="135" t="n">
        <f aca="false">$G1512*'Analyse capacite'!$C$8</f>
        <v>0</v>
      </c>
      <c r="J1512" s="135" t="n">
        <f aca="false">$G1512*'Analyse capacite'!$D$8</f>
        <v>0</v>
      </c>
      <c r="K1512" s="135" t="n">
        <f aca="false">$G1512*'Analyse capacite'!$E$8</f>
        <v>0</v>
      </c>
    </row>
    <row r="1513" customFormat="false" ht="15" hidden="false" customHeight="false" outlineLevel="0" collapsed="false">
      <c r="B1513" s="130" t="n">
        <v>2027</v>
      </c>
      <c r="C1513" s="131" t="s">
        <v>247</v>
      </c>
      <c r="D1513" s="132" t="n">
        <v>46519</v>
      </c>
      <c r="E1513" s="131" t="s">
        <v>59</v>
      </c>
      <c r="F1513" s="133" t="s">
        <v>24</v>
      </c>
      <c r="G1513" s="134" t="n">
        <f aca="false">LEN('Saisie programme'!$F$84)+SUMIFS('Vols additionnels'!$E$7:$E$66,'Vols additionnels'!$C$7:$C$66,$E1513,'Vols additionnels'!$D$7:$D$66,$F1513,'Vols additionnels'!$B$7:$B$66,$D1513)</f>
        <v>1</v>
      </c>
      <c r="H1513" s="135" t="n">
        <f aca="false">$G1513*'Analyse capacite'!$F$9</f>
        <v>174</v>
      </c>
      <c r="I1513" s="135" t="n">
        <f aca="false">$G1513*'Analyse capacite'!$C$9</f>
        <v>0</v>
      </c>
      <c r="J1513" s="135" t="n">
        <f aca="false">$G1513*'Analyse capacite'!$D$9</f>
        <v>12</v>
      </c>
      <c r="K1513" s="135" t="n">
        <f aca="false">$G1513*'Analyse capacite'!$E$9</f>
        <v>162</v>
      </c>
    </row>
    <row r="1514" customFormat="false" ht="15" hidden="false" customHeight="false" outlineLevel="0" collapsed="false">
      <c r="B1514" s="130" t="n">
        <v>2027</v>
      </c>
      <c r="C1514" s="131" t="s">
        <v>247</v>
      </c>
      <c r="D1514" s="132" t="n">
        <v>46519</v>
      </c>
      <c r="E1514" s="131" t="s">
        <v>62</v>
      </c>
      <c r="F1514" s="133" t="s">
        <v>11</v>
      </c>
      <c r="G1514" s="134" t="n">
        <f aca="false">LEN('Saisie programme'!$F$85)+SUMIFS('Vols additionnels'!$E$7:$E$66,'Vols additionnels'!$C$7:$C$66,$E1514,'Vols additionnels'!$D$7:$D$66,$F1514,'Vols additionnels'!$B$7:$B$66,$D1514)</f>
        <v>0</v>
      </c>
      <c r="H1514" s="135" t="n">
        <f aca="false">$G1514*'Analyse capacite'!$F$7</f>
        <v>0</v>
      </c>
      <c r="I1514" s="135" t="n">
        <f aca="false">$G1514*'Analyse capacite'!$C$7</f>
        <v>0</v>
      </c>
      <c r="J1514" s="135" t="n">
        <f aca="false">$G1514*'Analyse capacite'!$D$7</f>
        <v>0</v>
      </c>
      <c r="K1514" s="135" t="n">
        <f aca="false">$G1514*'Analyse capacite'!$E$7</f>
        <v>0</v>
      </c>
    </row>
    <row r="1515" customFormat="false" ht="15" hidden="false" customHeight="false" outlineLevel="0" collapsed="false">
      <c r="B1515" s="130" t="n">
        <v>2027</v>
      </c>
      <c r="C1515" s="131" t="s">
        <v>247</v>
      </c>
      <c r="D1515" s="132" t="n">
        <v>46519</v>
      </c>
      <c r="E1515" s="131" t="s">
        <v>62</v>
      </c>
      <c r="F1515" s="133" t="s">
        <v>19</v>
      </c>
      <c r="G1515" s="134" t="n">
        <f aca="false">LEN('Saisie programme'!$F$86)+SUMIFS('Vols additionnels'!$E$7:$E$66,'Vols additionnels'!$C$7:$C$66,$E1515,'Vols additionnels'!$D$7:$D$66,$F1515,'Vols additionnels'!$B$7:$B$66,$D1515)</f>
        <v>0</v>
      </c>
      <c r="H1515" s="135" t="n">
        <f aca="false">$G1515*'Analyse capacite'!$F$8</f>
        <v>0</v>
      </c>
      <c r="I1515" s="135" t="n">
        <f aca="false">$G1515*'Analyse capacite'!$C$8</f>
        <v>0</v>
      </c>
      <c r="J1515" s="135" t="n">
        <f aca="false">$G1515*'Analyse capacite'!$D$8</f>
        <v>0</v>
      </c>
      <c r="K1515" s="135" t="n">
        <f aca="false">$G1515*'Analyse capacite'!$E$8</f>
        <v>0</v>
      </c>
    </row>
    <row r="1516" customFormat="false" ht="15" hidden="false" customHeight="false" outlineLevel="0" collapsed="false">
      <c r="B1516" s="130" t="n">
        <v>2027</v>
      </c>
      <c r="C1516" s="131" t="s">
        <v>247</v>
      </c>
      <c r="D1516" s="132" t="n">
        <v>46519</v>
      </c>
      <c r="E1516" s="131" t="s">
        <v>62</v>
      </c>
      <c r="F1516" s="133" t="s">
        <v>24</v>
      </c>
      <c r="G1516" s="134" t="n">
        <f aca="false">LEN('Saisie programme'!$F$87)+SUMIFS('Vols additionnels'!$E$7:$E$66,'Vols additionnels'!$C$7:$C$66,$E1516,'Vols additionnels'!$D$7:$D$66,$F1516,'Vols additionnels'!$B$7:$B$66,$D1516)</f>
        <v>1</v>
      </c>
      <c r="H1516" s="135" t="n">
        <f aca="false">$G1516*'Analyse capacite'!$F$9</f>
        <v>174</v>
      </c>
      <c r="I1516" s="135" t="n">
        <f aca="false">$G1516*'Analyse capacite'!$C$9</f>
        <v>0</v>
      </c>
      <c r="J1516" s="135" t="n">
        <f aca="false">$G1516*'Analyse capacite'!$D$9</f>
        <v>12</v>
      </c>
      <c r="K1516" s="135" t="n">
        <f aca="false">$G1516*'Analyse capacite'!$E$9</f>
        <v>162</v>
      </c>
    </row>
    <row r="1517" customFormat="false" ht="15" hidden="false" customHeight="false" outlineLevel="0" collapsed="false">
      <c r="B1517" s="130" t="n">
        <v>2027</v>
      </c>
      <c r="C1517" s="131" t="s">
        <v>247</v>
      </c>
      <c r="D1517" s="132" t="n">
        <v>46520</v>
      </c>
      <c r="E1517" s="131" t="s">
        <v>12</v>
      </c>
      <c r="F1517" s="133" t="s">
        <v>11</v>
      </c>
      <c r="G1517" s="134" t="n">
        <f aca="false">LEN('Saisie programme'!$G$52)+SUMIFS('Vols additionnels'!$E$7:$E$66,'Vols additionnels'!$C$7:$C$66,$E1517,'Vols additionnels'!$D$7:$D$66,$F1517,'Vols additionnels'!$B$7:$B$66,$D1517)</f>
        <v>1</v>
      </c>
      <c r="H1517" s="135" t="n">
        <f aca="false">$G1517*'Analyse capacite'!$F$7</f>
        <v>438</v>
      </c>
      <c r="I1517" s="135" t="n">
        <f aca="false">$G1517*'Analyse capacite'!$C$7</f>
        <v>14</v>
      </c>
      <c r="J1517" s="135" t="n">
        <f aca="false">$G1517*'Analyse capacite'!$D$7</f>
        <v>40</v>
      </c>
      <c r="K1517" s="135" t="n">
        <f aca="false">$G1517*'Analyse capacite'!$E$7</f>
        <v>384</v>
      </c>
    </row>
    <row r="1518" customFormat="false" ht="15" hidden="false" customHeight="false" outlineLevel="0" collapsed="false">
      <c r="B1518" s="130" t="n">
        <v>2027</v>
      </c>
      <c r="C1518" s="131" t="s">
        <v>247</v>
      </c>
      <c r="D1518" s="132" t="n">
        <v>46520</v>
      </c>
      <c r="E1518" s="131" t="s">
        <v>12</v>
      </c>
      <c r="F1518" s="133" t="s">
        <v>19</v>
      </c>
      <c r="G1518" s="134" t="n">
        <f aca="false">LEN('Saisie programme'!$G$53)+SUMIFS('Vols additionnels'!$E$7:$E$66,'Vols additionnels'!$C$7:$C$66,$E1518,'Vols additionnels'!$D$7:$D$66,$F1518,'Vols additionnels'!$B$7:$B$66,$D1518)</f>
        <v>0</v>
      </c>
      <c r="H1518" s="135" t="n">
        <f aca="false">$G1518*'Analyse capacite'!$F$8</f>
        <v>0</v>
      </c>
      <c r="I1518" s="135" t="n">
        <f aca="false">$G1518*'Analyse capacite'!$C$8</f>
        <v>0</v>
      </c>
      <c r="J1518" s="135" t="n">
        <f aca="false">$G1518*'Analyse capacite'!$D$8</f>
        <v>0</v>
      </c>
      <c r="K1518" s="135" t="n">
        <f aca="false">$G1518*'Analyse capacite'!$E$8</f>
        <v>0</v>
      </c>
    </row>
    <row r="1519" customFormat="false" ht="15" hidden="false" customHeight="false" outlineLevel="0" collapsed="false">
      <c r="B1519" s="130" t="n">
        <v>2027</v>
      </c>
      <c r="C1519" s="131" t="s">
        <v>247</v>
      </c>
      <c r="D1519" s="132" t="n">
        <v>46520</v>
      </c>
      <c r="E1519" s="131" t="s">
        <v>12</v>
      </c>
      <c r="F1519" s="133" t="s">
        <v>24</v>
      </c>
      <c r="G1519" s="134" t="n">
        <f aca="false">LEN('Saisie programme'!$G$54)+SUMIFS('Vols additionnels'!$E$7:$E$66,'Vols additionnels'!$C$7:$C$66,$E1519,'Vols additionnels'!$D$7:$D$66,$F1519,'Vols additionnels'!$B$7:$B$66,$D1519)</f>
        <v>0</v>
      </c>
      <c r="H1519" s="135" t="n">
        <f aca="false">$G1519*'Analyse capacite'!$F$9</f>
        <v>0</v>
      </c>
      <c r="I1519" s="135" t="n">
        <f aca="false">$G1519*'Analyse capacite'!$C$9</f>
        <v>0</v>
      </c>
      <c r="J1519" s="135" t="n">
        <f aca="false">$G1519*'Analyse capacite'!$D$9</f>
        <v>0</v>
      </c>
      <c r="K1519" s="135" t="n">
        <f aca="false">$G1519*'Analyse capacite'!$E$9</f>
        <v>0</v>
      </c>
    </row>
    <row r="1520" customFormat="false" ht="15" hidden="false" customHeight="false" outlineLevel="0" collapsed="false">
      <c r="B1520" s="130" t="n">
        <v>2027</v>
      </c>
      <c r="C1520" s="131" t="s">
        <v>247</v>
      </c>
      <c r="D1520" s="132" t="n">
        <v>46520</v>
      </c>
      <c r="E1520" s="131" t="s">
        <v>20</v>
      </c>
      <c r="F1520" s="133" t="s">
        <v>11</v>
      </c>
      <c r="G1520" s="134" t="n">
        <f aca="false">LEN('Saisie programme'!$G$55)+SUMIFS('Vols additionnels'!$E$7:$E$66,'Vols additionnels'!$C$7:$C$66,$E1520,'Vols additionnels'!$D$7:$D$66,$F1520,'Vols additionnels'!$B$7:$B$66,$D1520)</f>
        <v>0</v>
      </c>
      <c r="H1520" s="135" t="n">
        <f aca="false">$G1520*'Analyse capacite'!$F$7</f>
        <v>0</v>
      </c>
      <c r="I1520" s="135" t="n">
        <f aca="false">$G1520*'Analyse capacite'!$C$7</f>
        <v>0</v>
      </c>
      <c r="J1520" s="135" t="n">
        <f aca="false">$G1520*'Analyse capacite'!$D$7</f>
        <v>0</v>
      </c>
      <c r="K1520" s="135" t="n">
        <f aca="false">$G1520*'Analyse capacite'!$E$7</f>
        <v>0</v>
      </c>
    </row>
    <row r="1521" customFormat="false" ht="15" hidden="false" customHeight="false" outlineLevel="0" collapsed="false">
      <c r="B1521" s="130" t="n">
        <v>2027</v>
      </c>
      <c r="C1521" s="131" t="s">
        <v>247</v>
      </c>
      <c r="D1521" s="132" t="n">
        <v>46520</v>
      </c>
      <c r="E1521" s="131" t="s">
        <v>20</v>
      </c>
      <c r="F1521" s="133" t="s">
        <v>19</v>
      </c>
      <c r="G1521" s="134" t="n">
        <f aca="false">LEN('Saisie programme'!$G$56)+SUMIFS('Vols additionnels'!$E$7:$E$66,'Vols additionnels'!$C$7:$C$66,$E1521,'Vols additionnels'!$D$7:$D$66,$F1521,'Vols additionnels'!$B$7:$B$66,$D1521)</f>
        <v>0</v>
      </c>
      <c r="H1521" s="135" t="n">
        <f aca="false">$G1521*'Analyse capacite'!$F$8</f>
        <v>0</v>
      </c>
      <c r="I1521" s="135" t="n">
        <f aca="false">$G1521*'Analyse capacite'!$C$8</f>
        <v>0</v>
      </c>
      <c r="J1521" s="135" t="n">
        <f aca="false">$G1521*'Analyse capacite'!$D$8</f>
        <v>0</v>
      </c>
      <c r="K1521" s="135" t="n">
        <f aca="false">$G1521*'Analyse capacite'!$E$8</f>
        <v>0</v>
      </c>
    </row>
    <row r="1522" customFormat="false" ht="15" hidden="false" customHeight="false" outlineLevel="0" collapsed="false">
      <c r="B1522" s="130" t="n">
        <v>2027</v>
      </c>
      <c r="C1522" s="131" t="s">
        <v>247</v>
      </c>
      <c r="D1522" s="132" t="n">
        <v>46520</v>
      </c>
      <c r="E1522" s="131" t="s">
        <v>20</v>
      </c>
      <c r="F1522" s="133" t="s">
        <v>24</v>
      </c>
      <c r="G1522" s="134" t="n">
        <f aca="false">LEN('Saisie programme'!$G$57)+SUMIFS('Vols additionnels'!$E$7:$E$66,'Vols additionnels'!$C$7:$C$66,$E1522,'Vols additionnels'!$D$7:$D$66,$F1522,'Vols additionnels'!$B$7:$B$66,$D1522)</f>
        <v>0</v>
      </c>
      <c r="H1522" s="135" t="n">
        <f aca="false">$G1522*'Analyse capacite'!$F$9</f>
        <v>0</v>
      </c>
      <c r="I1522" s="135" t="n">
        <f aca="false">$G1522*'Analyse capacite'!$C$9</f>
        <v>0</v>
      </c>
      <c r="J1522" s="135" t="n">
        <f aca="false">$G1522*'Analyse capacite'!$D$9</f>
        <v>0</v>
      </c>
      <c r="K1522" s="135" t="n">
        <f aca="false">$G1522*'Analyse capacite'!$E$9</f>
        <v>0</v>
      </c>
    </row>
    <row r="1523" customFormat="false" ht="15" hidden="false" customHeight="false" outlineLevel="0" collapsed="false">
      <c r="B1523" s="130" t="n">
        <v>2027</v>
      </c>
      <c r="C1523" s="131" t="s">
        <v>247</v>
      </c>
      <c r="D1523" s="132" t="n">
        <v>46520</v>
      </c>
      <c r="E1523" s="131" t="s">
        <v>25</v>
      </c>
      <c r="F1523" s="133" t="s">
        <v>11</v>
      </c>
      <c r="G1523" s="134" t="n">
        <f aca="false">LEN('Saisie programme'!$G$58)+SUMIFS('Vols additionnels'!$E$7:$E$66,'Vols additionnels'!$C$7:$C$66,$E1523,'Vols additionnels'!$D$7:$D$66,$F1523,'Vols additionnels'!$B$7:$B$66,$D1523)</f>
        <v>0</v>
      </c>
      <c r="H1523" s="135" t="n">
        <f aca="false">$G1523*'Analyse capacite'!$F$7</f>
        <v>0</v>
      </c>
      <c r="I1523" s="135" t="n">
        <f aca="false">$G1523*'Analyse capacite'!$C$7</f>
        <v>0</v>
      </c>
      <c r="J1523" s="135" t="n">
        <f aca="false">$G1523*'Analyse capacite'!$D$7</f>
        <v>0</v>
      </c>
      <c r="K1523" s="135" t="n">
        <f aca="false">$G1523*'Analyse capacite'!$E$7</f>
        <v>0</v>
      </c>
    </row>
    <row r="1524" customFormat="false" ht="15" hidden="false" customHeight="false" outlineLevel="0" collapsed="false">
      <c r="B1524" s="130" t="n">
        <v>2027</v>
      </c>
      <c r="C1524" s="131" t="s">
        <v>247</v>
      </c>
      <c r="D1524" s="132" t="n">
        <v>46520</v>
      </c>
      <c r="E1524" s="131" t="s">
        <v>25</v>
      </c>
      <c r="F1524" s="133" t="s">
        <v>19</v>
      </c>
      <c r="G1524" s="134" t="n">
        <f aca="false">LEN('Saisie programme'!$G$59)+SUMIFS('Vols additionnels'!$E$7:$E$66,'Vols additionnels'!$C$7:$C$66,$E1524,'Vols additionnels'!$D$7:$D$66,$F1524,'Vols additionnels'!$B$7:$B$66,$D1524)</f>
        <v>0</v>
      </c>
      <c r="H1524" s="135" t="n">
        <f aca="false">$G1524*'Analyse capacite'!$F$8</f>
        <v>0</v>
      </c>
      <c r="I1524" s="135" t="n">
        <f aca="false">$G1524*'Analyse capacite'!$C$8</f>
        <v>0</v>
      </c>
      <c r="J1524" s="135" t="n">
        <f aca="false">$G1524*'Analyse capacite'!$D$8</f>
        <v>0</v>
      </c>
      <c r="K1524" s="135" t="n">
        <f aca="false">$G1524*'Analyse capacite'!$E$8</f>
        <v>0</v>
      </c>
    </row>
    <row r="1525" customFormat="false" ht="15" hidden="false" customHeight="false" outlineLevel="0" collapsed="false">
      <c r="B1525" s="130" t="n">
        <v>2027</v>
      </c>
      <c r="C1525" s="131" t="s">
        <v>247</v>
      </c>
      <c r="D1525" s="132" t="n">
        <v>46520</v>
      </c>
      <c r="E1525" s="131" t="s">
        <v>25</v>
      </c>
      <c r="F1525" s="133" t="s">
        <v>24</v>
      </c>
      <c r="G1525" s="134" t="n">
        <f aca="false">LEN('Saisie programme'!$G$60)+SUMIFS('Vols additionnels'!$E$7:$E$66,'Vols additionnels'!$C$7:$C$66,$E1525,'Vols additionnels'!$D$7:$D$66,$F1525,'Vols additionnels'!$B$7:$B$66,$D1525)</f>
        <v>0</v>
      </c>
      <c r="H1525" s="135" t="n">
        <f aca="false">$G1525*'Analyse capacite'!$F$9</f>
        <v>0</v>
      </c>
      <c r="I1525" s="135" t="n">
        <f aca="false">$G1525*'Analyse capacite'!$C$9</f>
        <v>0</v>
      </c>
      <c r="J1525" s="135" t="n">
        <f aca="false">$G1525*'Analyse capacite'!$D$9</f>
        <v>0</v>
      </c>
      <c r="K1525" s="135" t="n">
        <f aca="false">$G1525*'Analyse capacite'!$E$9</f>
        <v>0</v>
      </c>
    </row>
    <row r="1526" customFormat="false" ht="15" hidden="false" customHeight="false" outlineLevel="0" collapsed="false">
      <c r="B1526" s="130" t="n">
        <v>2027</v>
      </c>
      <c r="C1526" s="131" t="s">
        <v>247</v>
      </c>
      <c r="D1526" s="132" t="n">
        <v>46520</v>
      </c>
      <c r="E1526" s="131" t="s">
        <v>36</v>
      </c>
      <c r="F1526" s="133" t="s">
        <v>11</v>
      </c>
      <c r="G1526" s="134" t="n">
        <f aca="false">LEN('Saisie programme'!$G$61)+SUMIFS('Vols additionnels'!$E$7:$E$66,'Vols additionnels'!$C$7:$C$66,$E1526,'Vols additionnels'!$D$7:$D$66,$F1526,'Vols additionnels'!$B$7:$B$66,$D1526)</f>
        <v>0</v>
      </c>
      <c r="H1526" s="135" t="n">
        <f aca="false">$G1526*'Analyse capacite'!$F$7</f>
        <v>0</v>
      </c>
      <c r="I1526" s="135" t="n">
        <f aca="false">$G1526*'Analyse capacite'!$C$7</f>
        <v>0</v>
      </c>
      <c r="J1526" s="135" t="n">
        <f aca="false">$G1526*'Analyse capacite'!$D$7</f>
        <v>0</v>
      </c>
      <c r="K1526" s="135" t="n">
        <f aca="false">$G1526*'Analyse capacite'!$E$7</f>
        <v>0</v>
      </c>
    </row>
    <row r="1527" customFormat="false" ht="15" hidden="false" customHeight="false" outlineLevel="0" collapsed="false">
      <c r="B1527" s="130" t="n">
        <v>2027</v>
      </c>
      <c r="C1527" s="131" t="s">
        <v>247</v>
      </c>
      <c r="D1527" s="132" t="n">
        <v>46520</v>
      </c>
      <c r="E1527" s="131" t="s">
        <v>36</v>
      </c>
      <c r="F1527" s="133" t="s">
        <v>19</v>
      </c>
      <c r="G1527" s="134" t="n">
        <f aca="false">LEN('Saisie programme'!$G$62)+SUMIFS('Vols additionnels'!$E$7:$E$66,'Vols additionnels'!$C$7:$C$66,$E1527,'Vols additionnels'!$D$7:$D$66,$F1527,'Vols additionnels'!$B$7:$B$66,$D1527)</f>
        <v>0</v>
      </c>
      <c r="H1527" s="135" t="n">
        <f aca="false">$G1527*'Analyse capacite'!$F$8</f>
        <v>0</v>
      </c>
      <c r="I1527" s="135" t="n">
        <f aca="false">$G1527*'Analyse capacite'!$C$8</f>
        <v>0</v>
      </c>
      <c r="J1527" s="135" t="n">
        <f aca="false">$G1527*'Analyse capacite'!$D$8</f>
        <v>0</v>
      </c>
      <c r="K1527" s="135" t="n">
        <f aca="false">$G1527*'Analyse capacite'!$E$8</f>
        <v>0</v>
      </c>
    </row>
    <row r="1528" customFormat="false" ht="15" hidden="false" customHeight="false" outlineLevel="0" collapsed="false">
      <c r="B1528" s="130" t="n">
        <v>2027</v>
      </c>
      <c r="C1528" s="131" t="s">
        <v>247</v>
      </c>
      <c r="D1528" s="132" t="n">
        <v>46520</v>
      </c>
      <c r="E1528" s="131" t="s">
        <v>36</v>
      </c>
      <c r="F1528" s="133" t="s">
        <v>24</v>
      </c>
      <c r="G1528" s="134" t="n">
        <f aca="false">LEN('Saisie programme'!$G$63)+SUMIFS('Vols additionnels'!$E$7:$E$66,'Vols additionnels'!$C$7:$C$66,$E1528,'Vols additionnels'!$D$7:$D$66,$F1528,'Vols additionnels'!$B$7:$B$66,$D1528)</f>
        <v>1</v>
      </c>
      <c r="H1528" s="135" t="n">
        <f aca="false">$G1528*'Analyse capacite'!$F$9</f>
        <v>174</v>
      </c>
      <c r="I1528" s="135" t="n">
        <f aca="false">$G1528*'Analyse capacite'!$C$9</f>
        <v>0</v>
      </c>
      <c r="J1528" s="135" t="n">
        <f aca="false">$G1528*'Analyse capacite'!$D$9</f>
        <v>12</v>
      </c>
      <c r="K1528" s="135" t="n">
        <f aca="false">$G1528*'Analyse capacite'!$E$9</f>
        <v>162</v>
      </c>
    </row>
    <row r="1529" customFormat="false" ht="15" hidden="false" customHeight="false" outlineLevel="0" collapsed="false">
      <c r="B1529" s="130" t="n">
        <v>2027</v>
      </c>
      <c r="C1529" s="131" t="s">
        <v>247</v>
      </c>
      <c r="D1529" s="132" t="n">
        <v>46520</v>
      </c>
      <c r="E1529" s="131" t="s">
        <v>40</v>
      </c>
      <c r="F1529" s="133" t="s">
        <v>11</v>
      </c>
      <c r="G1529" s="134" t="n">
        <f aca="false">LEN('Saisie programme'!$G$64)+SUMIFS('Vols additionnels'!$E$7:$E$66,'Vols additionnels'!$C$7:$C$66,$E1529,'Vols additionnels'!$D$7:$D$66,$F1529,'Vols additionnels'!$B$7:$B$66,$D1529)</f>
        <v>0</v>
      </c>
      <c r="H1529" s="135" t="n">
        <f aca="false">$G1529*'Analyse capacite'!$F$7</f>
        <v>0</v>
      </c>
      <c r="I1529" s="135" t="n">
        <f aca="false">$G1529*'Analyse capacite'!$C$7</f>
        <v>0</v>
      </c>
      <c r="J1529" s="135" t="n">
        <f aca="false">$G1529*'Analyse capacite'!$D$7</f>
        <v>0</v>
      </c>
      <c r="K1529" s="135" t="n">
        <f aca="false">$G1529*'Analyse capacite'!$E$7</f>
        <v>0</v>
      </c>
    </row>
    <row r="1530" customFormat="false" ht="15" hidden="false" customHeight="false" outlineLevel="0" collapsed="false">
      <c r="B1530" s="130" t="n">
        <v>2027</v>
      </c>
      <c r="C1530" s="131" t="s">
        <v>247</v>
      </c>
      <c r="D1530" s="132" t="n">
        <v>46520</v>
      </c>
      <c r="E1530" s="131" t="s">
        <v>40</v>
      </c>
      <c r="F1530" s="133" t="s">
        <v>19</v>
      </c>
      <c r="G1530" s="134" t="n">
        <f aca="false">LEN('Saisie programme'!$G$65)+SUMIFS('Vols additionnels'!$E$7:$E$66,'Vols additionnels'!$C$7:$C$66,$E1530,'Vols additionnels'!$D$7:$D$66,$F1530,'Vols additionnels'!$B$7:$B$66,$D1530)</f>
        <v>0</v>
      </c>
      <c r="H1530" s="135" t="n">
        <f aca="false">$G1530*'Analyse capacite'!$F$8</f>
        <v>0</v>
      </c>
      <c r="I1530" s="135" t="n">
        <f aca="false">$G1530*'Analyse capacite'!$C$8</f>
        <v>0</v>
      </c>
      <c r="J1530" s="135" t="n">
        <f aca="false">$G1530*'Analyse capacite'!$D$8</f>
        <v>0</v>
      </c>
      <c r="K1530" s="135" t="n">
        <f aca="false">$G1530*'Analyse capacite'!$E$8</f>
        <v>0</v>
      </c>
    </row>
    <row r="1531" customFormat="false" ht="15" hidden="false" customHeight="false" outlineLevel="0" collapsed="false">
      <c r="B1531" s="130" t="n">
        <v>2027</v>
      </c>
      <c r="C1531" s="131" t="s">
        <v>247</v>
      </c>
      <c r="D1531" s="132" t="n">
        <v>46520</v>
      </c>
      <c r="E1531" s="131" t="s">
        <v>40</v>
      </c>
      <c r="F1531" s="133" t="s">
        <v>24</v>
      </c>
      <c r="G1531" s="134" t="n">
        <f aca="false">LEN('Saisie programme'!$G$66)+SUMIFS('Vols additionnels'!$E$7:$E$66,'Vols additionnels'!$C$7:$C$66,$E1531,'Vols additionnels'!$D$7:$D$66,$F1531,'Vols additionnels'!$B$7:$B$66,$D1531)</f>
        <v>0</v>
      </c>
      <c r="H1531" s="135" t="n">
        <f aca="false">$G1531*'Analyse capacite'!$F$9</f>
        <v>0</v>
      </c>
      <c r="I1531" s="135" t="n">
        <f aca="false">$G1531*'Analyse capacite'!$C$9</f>
        <v>0</v>
      </c>
      <c r="J1531" s="135" t="n">
        <f aca="false">$G1531*'Analyse capacite'!$D$9</f>
        <v>0</v>
      </c>
      <c r="K1531" s="135" t="n">
        <f aca="false">$G1531*'Analyse capacite'!$E$9</f>
        <v>0</v>
      </c>
    </row>
    <row r="1532" customFormat="false" ht="15" hidden="false" customHeight="false" outlineLevel="0" collapsed="false">
      <c r="B1532" s="130" t="n">
        <v>2027</v>
      </c>
      <c r="C1532" s="131" t="s">
        <v>247</v>
      </c>
      <c r="D1532" s="132" t="n">
        <v>46520</v>
      </c>
      <c r="E1532" s="131" t="s">
        <v>14</v>
      </c>
      <c r="F1532" s="133" t="s">
        <v>11</v>
      </c>
      <c r="G1532" s="134" t="n">
        <f aca="false">LEN('Saisie programme'!$G$67)+SUMIFS('Vols additionnels'!$E$7:$E$66,'Vols additionnels'!$C$7:$C$66,$E1532,'Vols additionnels'!$D$7:$D$66,$F1532,'Vols additionnels'!$B$7:$B$66,$D1532)</f>
        <v>0</v>
      </c>
      <c r="H1532" s="135" t="n">
        <f aca="false">$G1532*'Analyse capacite'!$F$7</f>
        <v>0</v>
      </c>
      <c r="I1532" s="135" t="n">
        <f aca="false">$G1532*'Analyse capacite'!$C$7</f>
        <v>0</v>
      </c>
      <c r="J1532" s="135" t="n">
        <f aca="false">$G1532*'Analyse capacite'!$D$7</f>
        <v>0</v>
      </c>
      <c r="K1532" s="135" t="n">
        <f aca="false">$G1532*'Analyse capacite'!$E$7</f>
        <v>0</v>
      </c>
    </row>
    <row r="1533" customFormat="false" ht="15" hidden="false" customHeight="false" outlineLevel="0" collapsed="false">
      <c r="B1533" s="130" t="n">
        <v>2027</v>
      </c>
      <c r="C1533" s="131" t="s">
        <v>247</v>
      </c>
      <c r="D1533" s="132" t="n">
        <v>46520</v>
      </c>
      <c r="E1533" s="131" t="s">
        <v>14</v>
      </c>
      <c r="F1533" s="133" t="s">
        <v>19</v>
      </c>
      <c r="G1533" s="134" t="n">
        <f aca="false">LEN('Saisie programme'!$G$68)+SUMIFS('Vols additionnels'!$E$7:$E$66,'Vols additionnels'!$C$7:$C$66,$E1533,'Vols additionnels'!$D$7:$D$66,$F1533,'Vols additionnels'!$B$7:$B$66,$D1533)</f>
        <v>0</v>
      </c>
      <c r="H1533" s="135" t="n">
        <f aca="false">$G1533*'Analyse capacite'!$F$8</f>
        <v>0</v>
      </c>
      <c r="I1533" s="135" t="n">
        <f aca="false">$G1533*'Analyse capacite'!$C$8</f>
        <v>0</v>
      </c>
      <c r="J1533" s="135" t="n">
        <f aca="false">$G1533*'Analyse capacite'!$D$8</f>
        <v>0</v>
      </c>
      <c r="K1533" s="135" t="n">
        <f aca="false">$G1533*'Analyse capacite'!$E$8</f>
        <v>0</v>
      </c>
    </row>
    <row r="1534" customFormat="false" ht="15" hidden="false" customHeight="false" outlineLevel="0" collapsed="false">
      <c r="B1534" s="130" t="n">
        <v>2027</v>
      </c>
      <c r="C1534" s="131" t="s">
        <v>247</v>
      </c>
      <c r="D1534" s="132" t="n">
        <v>46520</v>
      </c>
      <c r="E1534" s="131" t="s">
        <v>14</v>
      </c>
      <c r="F1534" s="133" t="s">
        <v>24</v>
      </c>
      <c r="G1534" s="134" t="n">
        <f aca="false">LEN('Saisie programme'!$G$69)+SUMIFS('Vols additionnels'!$E$7:$E$66,'Vols additionnels'!$C$7:$C$66,$E1534,'Vols additionnels'!$D$7:$D$66,$F1534,'Vols additionnels'!$B$7:$B$66,$D1534)</f>
        <v>1</v>
      </c>
      <c r="H1534" s="135" t="n">
        <f aca="false">$G1534*'Analyse capacite'!$F$9</f>
        <v>174</v>
      </c>
      <c r="I1534" s="135" t="n">
        <f aca="false">$G1534*'Analyse capacite'!$C$9</f>
        <v>0</v>
      </c>
      <c r="J1534" s="135" t="n">
        <f aca="false">$G1534*'Analyse capacite'!$D$9</f>
        <v>12</v>
      </c>
      <c r="K1534" s="135" t="n">
        <f aca="false">$G1534*'Analyse capacite'!$E$9</f>
        <v>162</v>
      </c>
    </row>
    <row r="1535" customFormat="false" ht="15" hidden="false" customHeight="false" outlineLevel="0" collapsed="false">
      <c r="B1535" s="130" t="n">
        <v>2027</v>
      </c>
      <c r="C1535" s="131" t="s">
        <v>247</v>
      </c>
      <c r="D1535" s="132" t="n">
        <v>46520</v>
      </c>
      <c r="E1535" s="131" t="s">
        <v>46</v>
      </c>
      <c r="F1535" s="133" t="s">
        <v>11</v>
      </c>
      <c r="G1535" s="134" t="n">
        <f aca="false">LEN('Saisie programme'!$G$70)+SUMIFS('Vols additionnels'!$E$7:$E$66,'Vols additionnels'!$C$7:$C$66,$E1535,'Vols additionnels'!$D$7:$D$66,$F1535,'Vols additionnels'!$B$7:$B$66,$D1535)</f>
        <v>0</v>
      </c>
      <c r="H1535" s="135" t="n">
        <f aca="false">$G1535*'Analyse capacite'!$F$7</f>
        <v>0</v>
      </c>
      <c r="I1535" s="135" t="n">
        <f aca="false">$G1535*'Analyse capacite'!$C$7</f>
        <v>0</v>
      </c>
      <c r="J1535" s="135" t="n">
        <f aca="false">$G1535*'Analyse capacite'!$D$7</f>
        <v>0</v>
      </c>
      <c r="K1535" s="135" t="n">
        <f aca="false">$G1535*'Analyse capacite'!$E$7</f>
        <v>0</v>
      </c>
    </row>
    <row r="1536" customFormat="false" ht="15" hidden="false" customHeight="false" outlineLevel="0" collapsed="false">
      <c r="B1536" s="130" t="n">
        <v>2027</v>
      </c>
      <c r="C1536" s="131" t="s">
        <v>247</v>
      </c>
      <c r="D1536" s="132" t="n">
        <v>46520</v>
      </c>
      <c r="E1536" s="131" t="s">
        <v>46</v>
      </c>
      <c r="F1536" s="133" t="s">
        <v>19</v>
      </c>
      <c r="G1536" s="134" t="n">
        <f aca="false">LEN('Saisie programme'!$G$71)+SUMIFS('Vols additionnels'!$E$7:$E$66,'Vols additionnels'!$C$7:$C$66,$E1536,'Vols additionnels'!$D$7:$D$66,$F1536,'Vols additionnels'!$B$7:$B$66,$D1536)</f>
        <v>0</v>
      </c>
      <c r="H1536" s="135" t="n">
        <f aca="false">$G1536*'Analyse capacite'!$F$8</f>
        <v>0</v>
      </c>
      <c r="I1536" s="135" t="n">
        <f aca="false">$G1536*'Analyse capacite'!$C$8</f>
        <v>0</v>
      </c>
      <c r="J1536" s="135" t="n">
        <f aca="false">$G1536*'Analyse capacite'!$D$8</f>
        <v>0</v>
      </c>
      <c r="K1536" s="135" t="n">
        <f aca="false">$G1536*'Analyse capacite'!$E$8</f>
        <v>0</v>
      </c>
    </row>
    <row r="1537" customFormat="false" ht="15" hidden="false" customHeight="false" outlineLevel="0" collapsed="false">
      <c r="B1537" s="130" t="n">
        <v>2027</v>
      </c>
      <c r="C1537" s="131" t="s">
        <v>247</v>
      </c>
      <c r="D1537" s="132" t="n">
        <v>46520</v>
      </c>
      <c r="E1537" s="131" t="s">
        <v>46</v>
      </c>
      <c r="F1537" s="133" t="s">
        <v>24</v>
      </c>
      <c r="G1537" s="134" t="n">
        <f aca="false">LEN('Saisie programme'!$G$72)+SUMIFS('Vols additionnels'!$E$7:$E$66,'Vols additionnels'!$C$7:$C$66,$E1537,'Vols additionnels'!$D$7:$D$66,$F1537,'Vols additionnels'!$B$7:$B$66,$D1537)</f>
        <v>1</v>
      </c>
      <c r="H1537" s="135" t="n">
        <f aca="false">$G1537*'Analyse capacite'!$F$9</f>
        <v>174</v>
      </c>
      <c r="I1537" s="135" t="n">
        <f aca="false">$G1537*'Analyse capacite'!$C$9</f>
        <v>0</v>
      </c>
      <c r="J1537" s="135" t="n">
        <f aca="false">$G1537*'Analyse capacite'!$D$9</f>
        <v>12</v>
      </c>
      <c r="K1537" s="135" t="n">
        <f aca="false">$G1537*'Analyse capacite'!$E$9</f>
        <v>162</v>
      </c>
    </row>
    <row r="1538" customFormat="false" ht="15" hidden="false" customHeight="false" outlineLevel="0" collapsed="false">
      <c r="B1538" s="130" t="n">
        <v>2027</v>
      </c>
      <c r="C1538" s="131" t="s">
        <v>247</v>
      </c>
      <c r="D1538" s="132" t="n">
        <v>46520</v>
      </c>
      <c r="E1538" s="131" t="s">
        <v>49</v>
      </c>
      <c r="F1538" s="133" t="s">
        <v>11</v>
      </c>
      <c r="G1538" s="134" t="n">
        <f aca="false">LEN('Saisie programme'!$G$73)+SUMIFS('Vols additionnels'!$E$7:$E$66,'Vols additionnels'!$C$7:$C$66,$E1538,'Vols additionnels'!$D$7:$D$66,$F1538,'Vols additionnels'!$B$7:$B$66,$D1538)</f>
        <v>0</v>
      </c>
      <c r="H1538" s="135" t="n">
        <f aca="false">$G1538*'Analyse capacite'!$F$7</f>
        <v>0</v>
      </c>
      <c r="I1538" s="135" t="n">
        <f aca="false">$G1538*'Analyse capacite'!$C$7</f>
        <v>0</v>
      </c>
      <c r="J1538" s="135" t="n">
        <f aca="false">$G1538*'Analyse capacite'!$D$7</f>
        <v>0</v>
      </c>
      <c r="K1538" s="135" t="n">
        <f aca="false">$G1538*'Analyse capacite'!$E$7</f>
        <v>0</v>
      </c>
    </row>
    <row r="1539" customFormat="false" ht="15" hidden="false" customHeight="false" outlineLevel="0" collapsed="false">
      <c r="B1539" s="130" t="n">
        <v>2027</v>
      </c>
      <c r="C1539" s="131" t="s">
        <v>247</v>
      </c>
      <c r="D1539" s="132" t="n">
        <v>46520</v>
      </c>
      <c r="E1539" s="131" t="s">
        <v>49</v>
      </c>
      <c r="F1539" s="133" t="s">
        <v>19</v>
      </c>
      <c r="G1539" s="134" t="n">
        <f aca="false">LEN('Saisie programme'!$G$74)+SUMIFS('Vols additionnels'!$E$7:$E$66,'Vols additionnels'!$C$7:$C$66,$E1539,'Vols additionnels'!$D$7:$D$66,$F1539,'Vols additionnels'!$B$7:$B$66,$D1539)</f>
        <v>0</v>
      </c>
      <c r="H1539" s="135" t="n">
        <f aca="false">$G1539*'Analyse capacite'!$F$8</f>
        <v>0</v>
      </c>
      <c r="I1539" s="135" t="n">
        <f aca="false">$G1539*'Analyse capacite'!$C$8</f>
        <v>0</v>
      </c>
      <c r="J1539" s="135" t="n">
        <f aca="false">$G1539*'Analyse capacite'!$D$8</f>
        <v>0</v>
      </c>
      <c r="K1539" s="135" t="n">
        <f aca="false">$G1539*'Analyse capacite'!$E$8</f>
        <v>0</v>
      </c>
    </row>
    <row r="1540" customFormat="false" ht="15" hidden="false" customHeight="false" outlineLevel="0" collapsed="false">
      <c r="B1540" s="130" t="n">
        <v>2027</v>
      </c>
      <c r="C1540" s="131" t="s">
        <v>247</v>
      </c>
      <c r="D1540" s="132" t="n">
        <v>46520</v>
      </c>
      <c r="E1540" s="131" t="s">
        <v>49</v>
      </c>
      <c r="F1540" s="133" t="s">
        <v>24</v>
      </c>
      <c r="G1540" s="134" t="n">
        <f aca="false">LEN('Saisie programme'!$G$75)+SUMIFS('Vols additionnels'!$E$7:$E$66,'Vols additionnels'!$C$7:$C$66,$E1540,'Vols additionnels'!$D$7:$D$66,$F1540,'Vols additionnels'!$B$7:$B$66,$D1540)</f>
        <v>0</v>
      </c>
      <c r="H1540" s="135" t="n">
        <f aca="false">$G1540*'Analyse capacite'!$F$9</f>
        <v>0</v>
      </c>
      <c r="I1540" s="135" t="n">
        <f aca="false">$G1540*'Analyse capacite'!$C$9</f>
        <v>0</v>
      </c>
      <c r="J1540" s="135" t="n">
        <f aca="false">$G1540*'Analyse capacite'!$D$9</f>
        <v>0</v>
      </c>
      <c r="K1540" s="135" t="n">
        <f aca="false">$G1540*'Analyse capacite'!$E$9</f>
        <v>0</v>
      </c>
    </row>
    <row r="1541" customFormat="false" ht="15" hidden="false" customHeight="false" outlineLevel="0" collapsed="false">
      <c r="B1541" s="130" t="n">
        <v>2027</v>
      </c>
      <c r="C1541" s="131" t="s">
        <v>247</v>
      </c>
      <c r="D1541" s="132" t="n">
        <v>46520</v>
      </c>
      <c r="E1541" s="131" t="s">
        <v>53</v>
      </c>
      <c r="F1541" s="133" t="s">
        <v>11</v>
      </c>
      <c r="G1541" s="134" t="n">
        <f aca="false">LEN('Saisie programme'!$G$76)+SUMIFS('Vols additionnels'!$E$7:$E$66,'Vols additionnels'!$C$7:$C$66,$E1541,'Vols additionnels'!$D$7:$D$66,$F1541,'Vols additionnels'!$B$7:$B$66,$D1541)</f>
        <v>0</v>
      </c>
      <c r="H1541" s="135" t="n">
        <f aca="false">$G1541*'Analyse capacite'!$F$7</f>
        <v>0</v>
      </c>
      <c r="I1541" s="135" t="n">
        <f aca="false">$G1541*'Analyse capacite'!$C$7</f>
        <v>0</v>
      </c>
      <c r="J1541" s="135" t="n">
        <f aca="false">$G1541*'Analyse capacite'!$D$7</f>
        <v>0</v>
      </c>
      <c r="K1541" s="135" t="n">
        <f aca="false">$G1541*'Analyse capacite'!$E$7</f>
        <v>0</v>
      </c>
    </row>
    <row r="1542" customFormat="false" ht="15" hidden="false" customHeight="false" outlineLevel="0" collapsed="false">
      <c r="B1542" s="130" t="n">
        <v>2027</v>
      </c>
      <c r="C1542" s="131" t="s">
        <v>247</v>
      </c>
      <c r="D1542" s="132" t="n">
        <v>46520</v>
      </c>
      <c r="E1542" s="131" t="s">
        <v>53</v>
      </c>
      <c r="F1542" s="133" t="s">
        <v>19</v>
      </c>
      <c r="G1542" s="134" t="n">
        <f aca="false">LEN('Saisie programme'!$G$77)+SUMIFS('Vols additionnels'!$E$7:$E$66,'Vols additionnels'!$C$7:$C$66,$E1542,'Vols additionnels'!$D$7:$D$66,$F1542,'Vols additionnels'!$B$7:$B$66,$D1542)</f>
        <v>1</v>
      </c>
      <c r="H1542" s="135" t="n">
        <f aca="false">$G1542*'Analyse capacite'!$F$8</f>
        <v>262</v>
      </c>
      <c r="I1542" s="135" t="n">
        <f aca="false">$G1542*'Analyse capacite'!$C$8</f>
        <v>18</v>
      </c>
      <c r="J1542" s="135" t="n">
        <f aca="false">$G1542*'Analyse capacite'!$D$8</f>
        <v>0</v>
      </c>
      <c r="K1542" s="135" t="n">
        <f aca="false">$G1542*'Analyse capacite'!$E$8</f>
        <v>244</v>
      </c>
    </row>
    <row r="1543" customFormat="false" ht="15" hidden="false" customHeight="false" outlineLevel="0" collapsed="false">
      <c r="B1543" s="130" t="n">
        <v>2027</v>
      </c>
      <c r="C1543" s="131" t="s">
        <v>247</v>
      </c>
      <c r="D1543" s="132" t="n">
        <v>46520</v>
      </c>
      <c r="E1543" s="131" t="s">
        <v>53</v>
      </c>
      <c r="F1543" s="133" t="s">
        <v>24</v>
      </c>
      <c r="G1543" s="134" t="n">
        <f aca="false">LEN('Saisie programme'!$G$78)+SUMIFS('Vols additionnels'!$E$7:$E$66,'Vols additionnels'!$C$7:$C$66,$E1543,'Vols additionnels'!$D$7:$D$66,$F1543,'Vols additionnels'!$B$7:$B$66,$D1543)</f>
        <v>0</v>
      </c>
      <c r="H1543" s="135" t="n">
        <f aca="false">$G1543*'Analyse capacite'!$F$9</f>
        <v>0</v>
      </c>
      <c r="I1543" s="135" t="n">
        <f aca="false">$G1543*'Analyse capacite'!$C$9</f>
        <v>0</v>
      </c>
      <c r="J1543" s="135" t="n">
        <f aca="false">$G1543*'Analyse capacite'!$D$9</f>
        <v>0</v>
      </c>
      <c r="K1543" s="135" t="n">
        <f aca="false">$G1543*'Analyse capacite'!$E$9</f>
        <v>0</v>
      </c>
    </row>
    <row r="1544" customFormat="false" ht="15" hidden="false" customHeight="false" outlineLevel="0" collapsed="false">
      <c r="B1544" s="130" t="n">
        <v>2027</v>
      </c>
      <c r="C1544" s="131" t="s">
        <v>247</v>
      </c>
      <c r="D1544" s="132" t="n">
        <v>46520</v>
      </c>
      <c r="E1544" s="131" t="s">
        <v>56</v>
      </c>
      <c r="F1544" s="133" t="s">
        <v>11</v>
      </c>
      <c r="G1544" s="134" t="n">
        <f aca="false">LEN('Saisie programme'!$G$79)+SUMIFS('Vols additionnels'!$E$7:$E$66,'Vols additionnels'!$C$7:$C$66,$E1544,'Vols additionnels'!$D$7:$D$66,$F1544,'Vols additionnels'!$B$7:$B$66,$D1544)</f>
        <v>0</v>
      </c>
      <c r="H1544" s="135" t="n">
        <f aca="false">$G1544*'Analyse capacite'!$F$7</f>
        <v>0</v>
      </c>
      <c r="I1544" s="135" t="n">
        <f aca="false">$G1544*'Analyse capacite'!$C$7</f>
        <v>0</v>
      </c>
      <c r="J1544" s="135" t="n">
        <f aca="false">$G1544*'Analyse capacite'!$D$7</f>
        <v>0</v>
      </c>
      <c r="K1544" s="135" t="n">
        <f aca="false">$G1544*'Analyse capacite'!$E$7</f>
        <v>0</v>
      </c>
    </row>
    <row r="1545" customFormat="false" ht="15" hidden="false" customHeight="false" outlineLevel="0" collapsed="false">
      <c r="B1545" s="130" t="n">
        <v>2027</v>
      </c>
      <c r="C1545" s="131" t="s">
        <v>247</v>
      </c>
      <c r="D1545" s="132" t="n">
        <v>46520</v>
      </c>
      <c r="E1545" s="131" t="s">
        <v>56</v>
      </c>
      <c r="F1545" s="133" t="s">
        <v>19</v>
      </c>
      <c r="G1545" s="134" t="n">
        <f aca="false">LEN('Saisie programme'!$G$80)+SUMIFS('Vols additionnels'!$E$7:$E$66,'Vols additionnels'!$C$7:$C$66,$E1545,'Vols additionnels'!$D$7:$D$66,$F1545,'Vols additionnels'!$B$7:$B$66,$D1545)</f>
        <v>0</v>
      </c>
      <c r="H1545" s="135" t="n">
        <f aca="false">$G1545*'Analyse capacite'!$F$8</f>
        <v>0</v>
      </c>
      <c r="I1545" s="135" t="n">
        <f aca="false">$G1545*'Analyse capacite'!$C$8</f>
        <v>0</v>
      </c>
      <c r="J1545" s="135" t="n">
        <f aca="false">$G1545*'Analyse capacite'!$D$8</f>
        <v>0</v>
      </c>
      <c r="K1545" s="135" t="n">
        <f aca="false">$G1545*'Analyse capacite'!$E$8</f>
        <v>0</v>
      </c>
    </row>
    <row r="1546" customFormat="false" ht="15" hidden="false" customHeight="false" outlineLevel="0" collapsed="false">
      <c r="B1546" s="130" t="n">
        <v>2027</v>
      </c>
      <c r="C1546" s="131" t="s">
        <v>247</v>
      </c>
      <c r="D1546" s="132" t="n">
        <v>46520</v>
      </c>
      <c r="E1546" s="131" t="s">
        <v>56</v>
      </c>
      <c r="F1546" s="133" t="s">
        <v>24</v>
      </c>
      <c r="G1546" s="134" t="n">
        <f aca="false">LEN('Saisie programme'!$G$81)+SUMIFS('Vols additionnels'!$E$7:$E$66,'Vols additionnels'!$C$7:$C$66,$E1546,'Vols additionnels'!$D$7:$D$66,$F1546,'Vols additionnels'!$B$7:$B$66,$D1546)</f>
        <v>0</v>
      </c>
      <c r="H1546" s="135" t="n">
        <f aca="false">$G1546*'Analyse capacite'!$F$9</f>
        <v>0</v>
      </c>
      <c r="I1546" s="135" t="n">
        <f aca="false">$G1546*'Analyse capacite'!$C$9</f>
        <v>0</v>
      </c>
      <c r="J1546" s="135" t="n">
        <f aca="false">$G1546*'Analyse capacite'!$D$9</f>
        <v>0</v>
      </c>
      <c r="K1546" s="135" t="n">
        <f aca="false">$G1546*'Analyse capacite'!$E$9</f>
        <v>0</v>
      </c>
    </row>
    <row r="1547" customFormat="false" ht="15" hidden="false" customHeight="false" outlineLevel="0" collapsed="false">
      <c r="B1547" s="130" t="n">
        <v>2027</v>
      </c>
      <c r="C1547" s="131" t="s">
        <v>247</v>
      </c>
      <c r="D1547" s="132" t="n">
        <v>46520</v>
      </c>
      <c r="E1547" s="131" t="s">
        <v>59</v>
      </c>
      <c r="F1547" s="133" t="s">
        <v>11</v>
      </c>
      <c r="G1547" s="134" t="n">
        <f aca="false">LEN('Saisie programme'!$G$82)+SUMIFS('Vols additionnels'!$E$7:$E$66,'Vols additionnels'!$C$7:$C$66,$E1547,'Vols additionnels'!$D$7:$D$66,$F1547,'Vols additionnels'!$B$7:$B$66,$D1547)</f>
        <v>0</v>
      </c>
      <c r="H1547" s="135" t="n">
        <f aca="false">$G1547*'Analyse capacite'!$F$7</f>
        <v>0</v>
      </c>
      <c r="I1547" s="135" t="n">
        <f aca="false">$G1547*'Analyse capacite'!$C$7</f>
        <v>0</v>
      </c>
      <c r="J1547" s="135" t="n">
        <f aca="false">$G1547*'Analyse capacite'!$D$7</f>
        <v>0</v>
      </c>
      <c r="K1547" s="135" t="n">
        <f aca="false">$G1547*'Analyse capacite'!$E$7</f>
        <v>0</v>
      </c>
    </row>
    <row r="1548" customFormat="false" ht="15" hidden="false" customHeight="false" outlineLevel="0" collapsed="false">
      <c r="B1548" s="130" t="n">
        <v>2027</v>
      </c>
      <c r="C1548" s="131" t="s">
        <v>247</v>
      </c>
      <c r="D1548" s="132" t="n">
        <v>46520</v>
      </c>
      <c r="E1548" s="131" t="s">
        <v>59</v>
      </c>
      <c r="F1548" s="133" t="s">
        <v>19</v>
      </c>
      <c r="G1548" s="134" t="n">
        <f aca="false">LEN('Saisie programme'!$G$83)+SUMIFS('Vols additionnels'!$E$7:$E$66,'Vols additionnels'!$C$7:$C$66,$E1548,'Vols additionnels'!$D$7:$D$66,$F1548,'Vols additionnels'!$B$7:$B$66,$D1548)</f>
        <v>0</v>
      </c>
      <c r="H1548" s="135" t="n">
        <f aca="false">$G1548*'Analyse capacite'!$F$8</f>
        <v>0</v>
      </c>
      <c r="I1548" s="135" t="n">
        <f aca="false">$G1548*'Analyse capacite'!$C$8</f>
        <v>0</v>
      </c>
      <c r="J1548" s="135" t="n">
        <f aca="false">$G1548*'Analyse capacite'!$D$8</f>
        <v>0</v>
      </c>
      <c r="K1548" s="135" t="n">
        <f aca="false">$G1548*'Analyse capacite'!$E$8</f>
        <v>0</v>
      </c>
    </row>
    <row r="1549" customFormat="false" ht="15" hidden="false" customHeight="false" outlineLevel="0" collapsed="false">
      <c r="B1549" s="130" t="n">
        <v>2027</v>
      </c>
      <c r="C1549" s="131" t="s">
        <v>247</v>
      </c>
      <c r="D1549" s="132" t="n">
        <v>46520</v>
      </c>
      <c r="E1549" s="131" t="s">
        <v>59</v>
      </c>
      <c r="F1549" s="133" t="s">
        <v>24</v>
      </c>
      <c r="G1549" s="134" t="n">
        <f aca="false">LEN('Saisie programme'!$G$84)+SUMIFS('Vols additionnels'!$E$7:$E$66,'Vols additionnels'!$C$7:$C$66,$E1549,'Vols additionnels'!$D$7:$D$66,$F1549,'Vols additionnels'!$B$7:$B$66,$D1549)</f>
        <v>2</v>
      </c>
      <c r="H1549" s="135" t="n">
        <f aca="false">$G1549*'Analyse capacite'!$F$9</f>
        <v>348</v>
      </c>
      <c r="I1549" s="135" t="n">
        <f aca="false">$G1549*'Analyse capacite'!$C$9</f>
        <v>0</v>
      </c>
      <c r="J1549" s="135" t="n">
        <f aca="false">$G1549*'Analyse capacite'!$D$9</f>
        <v>24</v>
      </c>
      <c r="K1549" s="135" t="n">
        <f aca="false">$G1549*'Analyse capacite'!$E$9</f>
        <v>324</v>
      </c>
    </row>
    <row r="1550" customFormat="false" ht="15" hidden="false" customHeight="false" outlineLevel="0" collapsed="false">
      <c r="B1550" s="130" t="n">
        <v>2027</v>
      </c>
      <c r="C1550" s="131" t="s">
        <v>247</v>
      </c>
      <c r="D1550" s="132" t="n">
        <v>46520</v>
      </c>
      <c r="E1550" s="131" t="s">
        <v>62</v>
      </c>
      <c r="F1550" s="133" t="s">
        <v>11</v>
      </c>
      <c r="G1550" s="134" t="n">
        <f aca="false">LEN('Saisie programme'!$G$85)+SUMIFS('Vols additionnels'!$E$7:$E$66,'Vols additionnels'!$C$7:$C$66,$E1550,'Vols additionnels'!$D$7:$D$66,$F1550,'Vols additionnels'!$B$7:$B$66,$D1550)</f>
        <v>0</v>
      </c>
      <c r="H1550" s="135" t="n">
        <f aca="false">$G1550*'Analyse capacite'!$F$7</f>
        <v>0</v>
      </c>
      <c r="I1550" s="135" t="n">
        <f aca="false">$G1550*'Analyse capacite'!$C$7</f>
        <v>0</v>
      </c>
      <c r="J1550" s="135" t="n">
        <f aca="false">$G1550*'Analyse capacite'!$D$7</f>
        <v>0</v>
      </c>
      <c r="K1550" s="135" t="n">
        <f aca="false">$G1550*'Analyse capacite'!$E$7</f>
        <v>0</v>
      </c>
    </row>
    <row r="1551" customFormat="false" ht="15" hidden="false" customHeight="false" outlineLevel="0" collapsed="false">
      <c r="B1551" s="130" t="n">
        <v>2027</v>
      </c>
      <c r="C1551" s="131" t="s">
        <v>247</v>
      </c>
      <c r="D1551" s="132" t="n">
        <v>46520</v>
      </c>
      <c r="E1551" s="131" t="s">
        <v>62</v>
      </c>
      <c r="F1551" s="133" t="s">
        <v>19</v>
      </c>
      <c r="G1551" s="134" t="n">
        <f aca="false">LEN('Saisie programme'!$G$86)+SUMIFS('Vols additionnels'!$E$7:$E$66,'Vols additionnels'!$C$7:$C$66,$E1551,'Vols additionnels'!$D$7:$D$66,$F1551,'Vols additionnels'!$B$7:$B$66,$D1551)</f>
        <v>0</v>
      </c>
      <c r="H1551" s="135" t="n">
        <f aca="false">$G1551*'Analyse capacite'!$F$8</f>
        <v>0</v>
      </c>
      <c r="I1551" s="135" t="n">
        <f aca="false">$G1551*'Analyse capacite'!$C$8</f>
        <v>0</v>
      </c>
      <c r="J1551" s="135" t="n">
        <f aca="false">$G1551*'Analyse capacite'!$D$8</f>
        <v>0</v>
      </c>
      <c r="K1551" s="135" t="n">
        <f aca="false">$G1551*'Analyse capacite'!$E$8</f>
        <v>0</v>
      </c>
    </row>
    <row r="1552" customFormat="false" ht="15" hidden="false" customHeight="false" outlineLevel="0" collapsed="false">
      <c r="B1552" s="130" t="n">
        <v>2027</v>
      </c>
      <c r="C1552" s="131" t="s">
        <v>247</v>
      </c>
      <c r="D1552" s="132" t="n">
        <v>46520</v>
      </c>
      <c r="E1552" s="131" t="s">
        <v>62</v>
      </c>
      <c r="F1552" s="133" t="s">
        <v>24</v>
      </c>
      <c r="G1552" s="134" t="n">
        <f aca="false">LEN('Saisie programme'!$G$87)+SUMIFS('Vols additionnels'!$E$7:$E$66,'Vols additionnels'!$C$7:$C$66,$E1552,'Vols additionnels'!$D$7:$D$66,$F1552,'Vols additionnels'!$B$7:$B$66,$D1552)</f>
        <v>0</v>
      </c>
      <c r="H1552" s="135" t="n">
        <f aca="false">$G1552*'Analyse capacite'!$F$9</f>
        <v>0</v>
      </c>
      <c r="I1552" s="135" t="n">
        <f aca="false">$G1552*'Analyse capacite'!$C$9</f>
        <v>0</v>
      </c>
      <c r="J1552" s="135" t="n">
        <f aca="false">$G1552*'Analyse capacite'!$D$9</f>
        <v>0</v>
      </c>
      <c r="K1552" s="135" t="n">
        <f aca="false">$G1552*'Analyse capacite'!$E$9</f>
        <v>0</v>
      </c>
    </row>
    <row r="1553" customFormat="false" ht="15" hidden="false" customHeight="false" outlineLevel="0" collapsed="false">
      <c r="B1553" s="130" t="n">
        <v>2027</v>
      </c>
      <c r="C1553" s="131" t="s">
        <v>247</v>
      </c>
      <c r="D1553" s="132" t="n">
        <v>46521</v>
      </c>
      <c r="E1553" s="131" t="s">
        <v>12</v>
      </c>
      <c r="F1553" s="133" t="s">
        <v>11</v>
      </c>
      <c r="G1553" s="134" t="n">
        <f aca="false">LEN('Saisie programme'!$H$52)+SUMIFS('Vols additionnels'!$E$7:$E$66,'Vols additionnels'!$C$7:$C$66,$E1553,'Vols additionnels'!$D$7:$D$66,$F1553,'Vols additionnels'!$B$7:$B$66,$D1553)</f>
        <v>1</v>
      </c>
      <c r="H1553" s="135" t="n">
        <f aca="false">$G1553*'Analyse capacite'!$F$7</f>
        <v>438</v>
      </c>
      <c r="I1553" s="135" t="n">
        <f aca="false">$G1553*'Analyse capacite'!$C$7</f>
        <v>14</v>
      </c>
      <c r="J1553" s="135" t="n">
        <f aca="false">$G1553*'Analyse capacite'!$D$7</f>
        <v>40</v>
      </c>
      <c r="K1553" s="135" t="n">
        <f aca="false">$G1553*'Analyse capacite'!$E$7</f>
        <v>384</v>
      </c>
    </row>
    <row r="1554" customFormat="false" ht="15" hidden="false" customHeight="false" outlineLevel="0" collapsed="false">
      <c r="B1554" s="130" t="n">
        <v>2027</v>
      </c>
      <c r="C1554" s="131" t="s">
        <v>247</v>
      </c>
      <c r="D1554" s="132" t="n">
        <v>46521</v>
      </c>
      <c r="E1554" s="131" t="s">
        <v>12</v>
      </c>
      <c r="F1554" s="133" t="s">
        <v>19</v>
      </c>
      <c r="G1554" s="134" t="n">
        <f aca="false">LEN('Saisie programme'!$H$53)+SUMIFS('Vols additionnels'!$E$7:$E$66,'Vols additionnels'!$C$7:$C$66,$E1554,'Vols additionnels'!$D$7:$D$66,$F1554,'Vols additionnels'!$B$7:$B$66,$D1554)</f>
        <v>1</v>
      </c>
      <c r="H1554" s="135" t="n">
        <f aca="false">$G1554*'Analyse capacite'!$F$8</f>
        <v>262</v>
      </c>
      <c r="I1554" s="135" t="n">
        <f aca="false">$G1554*'Analyse capacite'!$C$8</f>
        <v>18</v>
      </c>
      <c r="J1554" s="135" t="n">
        <f aca="false">$G1554*'Analyse capacite'!$D$8</f>
        <v>0</v>
      </c>
      <c r="K1554" s="135" t="n">
        <f aca="false">$G1554*'Analyse capacite'!$E$8</f>
        <v>244</v>
      </c>
    </row>
    <row r="1555" customFormat="false" ht="15" hidden="false" customHeight="false" outlineLevel="0" collapsed="false">
      <c r="B1555" s="130" t="n">
        <v>2027</v>
      </c>
      <c r="C1555" s="131" t="s">
        <v>247</v>
      </c>
      <c r="D1555" s="132" t="n">
        <v>46521</v>
      </c>
      <c r="E1555" s="131" t="s">
        <v>12</v>
      </c>
      <c r="F1555" s="133" t="s">
        <v>24</v>
      </c>
      <c r="G1555" s="134" t="n">
        <f aca="false">LEN('Saisie programme'!$H$54)+SUMIFS('Vols additionnels'!$E$7:$E$66,'Vols additionnels'!$C$7:$C$66,$E1555,'Vols additionnels'!$D$7:$D$66,$F1555,'Vols additionnels'!$B$7:$B$66,$D1555)</f>
        <v>0</v>
      </c>
      <c r="H1555" s="135" t="n">
        <f aca="false">$G1555*'Analyse capacite'!$F$9</f>
        <v>0</v>
      </c>
      <c r="I1555" s="135" t="n">
        <f aca="false">$G1555*'Analyse capacite'!$C$9</f>
        <v>0</v>
      </c>
      <c r="J1555" s="135" t="n">
        <f aca="false">$G1555*'Analyse capacite'!$D$9</f>
        <v>0</v>
      </c>
      <c r="K1555" s="135" t="n">
        <f aca="false">$G1555*'Analyse capacite'!$E$9</f>
        <v>0</v>
      </c>
    </row>
    <row r="1556" customFormat="false" ht="15" hidden="false" customHeight="false" outlineLevel="0" collapsed="false">
      <c r="B1556" s="130" t="n">
        <v>2027</v>
      </c>
      <c r="C1556" s="131" t="s">
        <v>247</v>
      </c>
      <c r="D1556" s="132" t="n">
        <v>46521</v>
      </c>
      <c r="E1556" s="131" t="s">
        <v>20</v>
      </c>
      <c r="F1556" s="133" t="s">
        <v>11</v>
      </c>
      <c r="G1556" s="134" t="n">
        <f aca="false">LEN('Saisie programme'!$H$55)+SUMIFS('Vols additionnels'!$E$7:$E$66,'Vols additionnels'!$C$7:$C$66,$E1556,'Vols additionnels'!$D$7:$D$66,$F1556,'Vols additionnels'!$B$7:$B$66,$D1556)</f>
        <v>0</v>
      </c>
      <c r="H1556" s="135" t="n">
        <f aca="false">$G1556*'Analyse capacite'!$F$7</f>
        <v>0</v>
      </c>
      <c r="I1556" s="135" t="n">
        <f aca="false">$G1556*'Analyse capacite'!$C$7</f>
        <v>0</v>
      </c>
      <c r="J1556" s="135" t="n">
        <f aca="false">$G1556*'Analyse capacite'!$D$7</f>
        <v>0</v>
      </c>
      <c r="K1556" s="135" t="n">
        <f aca="false">$G1556*'Analyse capacite'!$E$7</f>
        <v>0</v>
      </c>
    </row>
    <row r="1557" customFormat="false" ht="15" hidden="false" customHeight="false" outlineLevel="0" collapsed="false">
      <c r="B1557" s="130" t="n">
        <v>2027</v>
      </c>
      <c r="C1557" s="131" t="s">
        <v>247</v>
      </c>
      <c r="D1557" s="132" t="n">
        <v>46521</v>
      </c>
      <c r="E1557" s="131" t="s">
        <v>20</v>
      </c>
      <c r="F1557" s="133" t="s">
        <v>19</v>
      </c>
      <c r="G1557" s="134" t="n">
        <f aca="false">LEN('Saisie programme'!$H$56)+SUMIFS('Vols additionnels'!$E$7:$E$66,'Vols additionnels'!$C$7:$C$66,$E1557,'Vols additionnels'!$D$7:$D$66,$F1557,'Vols additionnels'!$B$7:$B$66,$D1557)</f>
        <v>1</v>
      </c>
      <c r="H1557" s="135" t="n">
        <f aca="false">$G1557*'Analyse capacite'!$F$8</f>
        <v>262</v>
      </c>
      <c r="I1557" s="135" t="n">
        <f aca="false">$G1557*'Analyse capacite'!$C$8</f>
        <v>18</v>
      </c>
      <c r="J1557" s="135" t="n">
        <f aca="false">$G1557*'Analyse capacite'!$D$8</f>
        <v>0</v>
      </c>
      <c r="K1557" s="135" t="n">
        <f aca="false">$G1557*'Analyse capacite'!$E$8</f>
        <v>244</v>
      </c>
    </row>
    <row r="1558" customFormat="false" ht="15" hidden="false" customHeight="false" outlineLevel="0" collapsed="false">
      <c r="B1558" s="130" t="n">
        <v>2027</v>
      </c>
      <c r="C1558" s="131" t="s">
        <v>247</v>
      </c>
      <c r="D1558" s="132" t="n">
        <v>46521</v>
      </c>
      <c r="E1558" s="131" t="s">
        <v>20</v>
      </c>
      <c r="F1558" s="133" t="s">
        <v>24</v>
      </c>
      <c r="G1558" s="134" t="n">
        <f aca="false">LEN('Saisie programme'!$H$57)+SUMIFS('Vols additionnels'!$E$7:$E$66,'Vols additionnels'!$C$7:$C$66,$E1558,'Vols additionnels'!$D$7:$D$66,$F1558,'Vols additionnels'!$B$7:$B$66,$D1558)</f>
        <v>0</v>
      </c>
      <c r="H1558" s="135" t="n">
        <f aca="false">$G1558*'Analyse capacite'!$F$9</f>
        <v>0</v>
      </c>
      <c r="I1558" s="135" t="n">
        <f aca="false">$G1558*'Analyse capacite'!$C$9</f>
        <v>0</v>
      </c>
      <c r="J1558" s="135" t="n">
        <f aca="false">$G1558*'Analyse capacite'!$D$9</f>
        <v>0</v>
      </c>
      <c r="K1558" s="135" t="n">
        <f aca="false">$G1558*'Analyse capacite'!$E$9</f>
        <v>0</v>
      </c>
    </row>
    <row r="1559" customFormat="false" ht="15" hidden="false" customHeight="false" outlineLevel="0" collapsed="false">
      <c r="B1559" s="130" t="n">
        <v>2027</v>
      </c>
      <c r="C1559" s="131" t="s">
        <v>247</v>
      </c>
      <c r="D1559" s="132" t="n">
        <v>46521</v>
      </c>
      <c r="E1559" s="131" t="s">
        <v>25</v>
      </c>
      <c r="F1559" s="133" t="s">
        <v>11</v>
      </c>
      <c r="G1559" s="134" t="n">
        <f aca="false">LEN('Saisie programme'!$H$58)+SUMIFS('Vols additionnels'!$E$7:$E$66,'Vols additionnels'!$C$7:$C$66,$E1559,'Vols additionnels'!$D$7:$D$66,$F1559,'Vols additionnels'!$B$7:$B$66,$D1559)</f>
        <v>0</v>
      </c>
      <c r="H1559" s="135" t="n">
        <f aca="false">$G1559*'Analyse capacite'!$F$7</f>
        <v>0</v>
      </c>
      <c r="I1559" s="135" t="n">
        <f aca="false">$G1559*'Analyse capacite'!$C$7</f>
        <v>0</v>
      </c>
      <c r="J1559" s="135" t="n">
        <f aca="false">$G1559*'Analyse capacite'!$D$7</f>
        <v>0</v>
      </c>
      <c r="K1559" s="135" t="n">
        <f aca="false">$G1559*'Analyse capacite'!$E$7</f>
        <v>0</v>
      </c>
    </row>
    <row r="1560" customFormat="false" ht="15" hidden="false" customHeight="false" outlineLevel="0" collapsed="false">
      <c r="B1560" s="130" t="n">
        <v>2027</v>
      </c>
      <c r="C1560" s="131" t="s">
        <v>247</v>
      </c>
      <c r="D1560" s="132" t="n">
        <v>46521</v>
      </c>
      <c r="E1560" s="131" t="s">
        <v>25</v>
      </c>
      <c r="F1560" s="133" t="s">
        <v>19</v>
      </c>
      <c r="G1560" s="134" t="n">
        <f aca="false">LEN('Saisie programme'!$H$59)+SUMIFS('Vols additionnels'!$E$7:$E$66,'Vols additionnels'!$C$7:$C$66,$E1560,'Vols additionnels'!$D$7:$D$66,$F1560,'Vols additionnels'!$B$7:$B$66,$D1560)</f>
        <v>0</v>
      </c>
      <c r="H1560" s="135" t="n">
        <f aca="false">$G1560*'Analyse capacite'!$F$8</f>
        <v>0</v>
      </c>
      <c r="I1560" s="135" t="n">
        <f aca="false">$G1560*'Analyse capacite'!$C$8</f>
        <v>0</v>
      </c>
      <c r="J1560" s="135" t="n">
        <f aca="false">$G1560*'Analyse capacite'!$D$8</f>
        <v>0</v>
      </c>
      <c r="K1560" s="135" t="n">
        <f aca="false">$G1560*'Analyse capacite'!$E$8</f>
        <v>0</v>
      </c>
    </row>
    <row r="1561" customFormat="false" ht="15" hidden="false" customHeight="false" outlineLevel="0" collapsed="false">
      <c r="B1561" s="130" t="n">
        <v>2027</v>
      </c>
      <c r="C1561" s="131" t="s">
        <v>247</v>
      </c>
      <c r="D1561" s="132" t="n">
        <v>46521</v>
      </c>
      <c r="E1561" s="131" t="s">
        <v>25</v>
      </c>
      <c r="F1561" s="133" t="s">
        <v>24</v>
      </c>
      <c r="G1561" s="134" t="n">
        <f aca="false">LEN('Saisie programme'!$H$60)+SUMIFS('Vols additionnels'!$E$7:$E$66,'Vols additionnels'!$C$7:$C$66,$E1561,'Vols additionnels'!$D$7:$D$66,$F1561,'Vols additionnels'!$B$7:$B$66,$D1561)</f>
        <v>0</v>
      </c>
      <c r="H1561" s="135" t="n">
        <f aca="false">$G1561*'Analyse capacite'!$F$9</f>
        <v>0</v>
      </c>
      <c r="I1561" s="135" t="n">
        <f aca="false">$G1561*'Analyse capacite'!$C$9</f>
        <v>0</v>
      </c>
      <c r="J1561" s="135" t="n">
        <f aca="false">$G1561*'Analyse capacite'!$D$9</f>
        <v>0</v>
      </c>
      <c r="K1561" s="135" t="n">
        <f aca="false">$G1561*'Analyse capacite'!$E$9</f>
        <v>0</v>
      </c>
    </row>
    <row r="1562" customFormat="false" ht="15" hidden="false" customHeight="false" outlineLevel="0" collapsed="false">
      <c r="B1562" s="130" t="n">
        <v>2027</v>
      </c>
      <c r="C1562" s="131" t="s">
        <v>247</v>
      </c>
      <c r="D1562" s="132" t="n">
        <v>46521</v>
      </c>
      <c r="E1562" s="131" t="s">
        <v>36</v>
      </c>
      <c r="F1562" s="133" t="s">
        <v>11</v>
      </c>
      <c r="G1562" s="134" t="n">
        <f aca="false">LEN('Saisie programme'!$H$61)+SUMIFS('Vols additionnels'!$E$7:$E$66,'Vols additionnels'!$C$7:$C$66,$E1562,'Vols additionnels'!$D$7:$D$66,$F1562,'Vols additionnels'!$B$7:$B$66,$D1562)</f>
        <v>0</v>
      </c>
      <c r="H1562" s="135" t="n">
        <f aca="false">$G1562*'Analyse capacite'!$F$7</f>
        <v>0</v>
      </c>
      <c r="I1562" s="135" t="n">
        <f aca="false">$G1562*'Analyse capacite'!$C$7</f>
        <v>0</v>
      </c>
      <c r="J1562" s="135" t="n">
        <f aca="false">$G1562*'Analyse capacite'!$D$7</f>
        <v>0</v>
      </c>
      <c r="K1562" s="135" t="n">
        <f aca="false">$G1562*'Analyse capacite'!$E$7</f>
        <v>0</v>
      </c>
    </row>
    <row r="1563" customFormat="false" ht="15" hidden="false" customHeight="false" outlineLevel="0" collapsed="false">
      <c r="B1563" s="130" t="n">
        <v>2027</v>
      </c>
      <c r="C1563" s="131" t="s">
        <v>247</v>
      </c>
      <c r="D1563" s="132" t="n">
        <v>46521</v>
      </c>
      <c r="E1563" s="131" t="s">
        <v>36</v>
      </c>
      <c r="F1563" s="133" t="s">
        <v>19</v>
      </c>
      <c r="G1563" s="134" t="n">
        <f aca="false">LEN('Saisie programme'!$H$62)+SUMIFS('Vols additionnels'!$E$7:$E$66,'Vols additionnels'!$C$7:$C$66,$E1563,'Vols additionnels'!$D$7:$D$66,$F1563,'Vols additionnels'!$B$7:$B$66,$D1563)</f>
        <v>0</v>
      </c>
      <c r="H1563" s="135" t="n">
        <f aca="false">$G1563*'Analyse capacite'!$F$8</f>
        <v>0</v>
      </c>
      <c r="I1563" s="135" t="n">
        <f aca="false">$G1563*'Analyse capacite'!$C$8</f>
        <v>0</v>
      </c>
      <c r="J1563" s="135" t="n">
        <f aca="false">$G1563*'Analyse capacite'!$D$8</f>
        <v>0</v>
      </c>
      <c r="K1563" s="135" t="n">
        <f aca="false">$G1563*'Analyse capacite'!$E$8</f>
        <v>0</v>
      </c>
    </row>
    <row r="1564" customFormat="false" ht="15" hidden="false" customHeight="false" outlineLevel="0" collapsed="false">
      <c r="B1564" s="130" t="n">
        <v>2027</v>
      </c>
      <c r="C1564" s="131" t="s">
        <v>247</v>
      </c>
      <c r="D1564" s="132" t="n">
        <v>46521</v>
      </c>
      <c r="E1564" s="131" t="s">
        <v>36</v>
      </c>
      <c r="F1564" s="133" t="s">
        <v>24</v>
      </c>
      <c r="G1564" s="134" t="n">
        <f aca="false">LEN('Saisie programme'!$H$63)+SUMIFS('Vols additionnels'!$E$7:$E$66,'Vols additionnels'!$C$7:$C$66,$E1564,'Vols additionnels'!$D$7:$D$66,$F1564,'Vols additionnels'!$B$7:$B$66,$D1564)</f>
        <v>1</v>
      </c>
      <c r="H1564" s="135" t="n">
        <f aca="false">$G1564*'Analyse capacite'!$F$9</f>
        <v>174</v>
      </c>
      <c r="I1564" s="135" t="n">
        <f aca="false">$G1564*'Analyse capacite'!$C$9</f>
        <v>0</v>
      </c>
      <c r="J1564" s="135" t="n">
        <f aca="false">$G1564*'Analyse capacite'!$D$9</f>
        <v>12</v>
      </c>
      <c r="K1564" s="135" t="n">
        <f aca="false">$G1564*'Analyse capacite'!$E$9</f>
        <v>162</v>
      </c>
    </row>
    <row r="1565" customFormat="false" ht="15" hidden="false" customHeight="false" outlineLevel="0" collapsed="false">
      <c r="B1565" s="130" t="n">
        <v>2027</v>
      </c>
      <c r="C1565" s="131" t="s">
        <v>247</v>
      </c>
      <c r="D1565" s="132" t="n">
        <v>46521</v>
      </c>
      <c r="E1565" s="131" t="s">
        <v>40</v>
      </c>
      <c r="F1565" s="133" t="s">
        <v>11</v>
      </c>
      <c r="G1565" s="134" t="n">
        <f aca="false">LEN('Saisie programme'!$H$64)+SUMIFS('Vols additionnels'!$E$7:$E$66,'Vols additionnels'!$C$7:$C$66,$E1565,'Vols additionnels'!$D$7:$D$66,$F1565,'Vols additionnels'!$B$7:$B$66,$D1565)</f>
        <v>0</v>
      </c>
      <c r="H1565" s="135" t="n">
        <f aca="false">$G1565*'Analyse capacite'!$F$7</f>
        <v>0</v>
      </c>
      <c r="I1565" s="135" t="n">
        <f aca="false">$G1565*'Analyse capacite'!$C$7</f>
        <v>0</v>
      </c>
      <c r="J1565" s="135" t="n">
        <f aca="false">$G1565*'Analyse capacite'!$D$7</f>
        <v>0</v>
      </c>
      <c r="K1565" s="135" t="n">
        <f aca="false">$G1565*'Analyse capacite'!$E$7</f>
        <v>0</v>
      </c>
    </row>
    <row r="1566" customFormat="false" ht="15" hidden="false" customHeight="false" outlineLevel="0" collapsed="false">
      <c r="B1566" s="130" t="n">
        <v>2027</v>
      </c>
      <c r="C1566" s="131" t="s">
        <v>247</v>
      </c>
      <c r="D1566" s="132" t="n">
        <v>46521</v>
      </c>
      <c r="E1566" s="131" t="s">
        <v>40</v>
      </c>
      <c r="F1566" s="133" t="s">
        <v>19</v>
      </c>
      <c r="G1566" s="134" t="n">
        <f aca="false">LEN('Saisie programme'!$H$65)+SUMIFS('Vols additionnels'!$E$7:$E$66,'Vols additionnels'!$C$7:$C$66,$E1566,'Vols additionnels'!$D$7:$D$66,$F1566,'Vols additionnels'!$B$7:$B$66,$D1566)</f>
        <v>0</v>
      </c>
      <c r="H1566" s="135" t="n">
        <f aca="false">$G1566*'Analyse capacite'!$F$8</f>
        <v>0</v>
      </c>
      <c r="I1566" s="135" t="n">
        <f aca="false">$G1566*'Analyse capacite'!$C$8</f>
        <v>0</v>
      </c>
      <c r="J1566" s="135" t="n">
        <f aca="false">$G1566*'Analyse capacite'!$D$8</f>
        <v>0</v>
      </c>
      <c r="K1566" s="135" t="n">
        <f aca="false">$G1566*'Analyse capacite'!$E$8</f>
        <v>0</v>
      </c>
    </row>
    <row r="1567" customFormat="false" ht="15" hidden="false" customHeight="false" outlineLevel="0" collapsed="false">
      <c r="B1567" s="130" t="n">
        <v>2027</v>
      </c>
      <c r="C1567" s="131" t="s">
        <v>247</v>
      </c>
      <c r="D1567" s="132" t="n">
        <v>46521</v>
      </c>
      <c r="E1567" s="131" t="s">
        <v>40</v>
      </c>
      <c r="F1567" s="133" t="s">
        <v>24</v>
      </c>
      <c r="G1567" s="134" t="n">
        <f aca="false">LEN('Saisie programme'!$H$66)+SUMIFS('Vols additionnels'!$E$7:$E$66,'Vols additionnels'!$C$7:$C$66,$E1567,'Vols additionnels'!$D$7:$D$66,$F1567,'Vols additionnels'!$B$7:$B$66,$D1567)</f>
        <v>1</v>
      </c>
      <c r="H1567" s="135" t="n">
        <f aca="false">$G1567*'Analyse capacite'!$F$9</f>
        <v>174</v>
      </c>
      <c r="I1567" s="135" t="n">
        <f aca="false">$G1567*'Analyse capacite'!$C$9</f>
        <v>0</v>
      </c>
      <c r="J1567" s="135" t="n">
        <f aca="false">$G1567*'Analyse capacite'!$D$9</f>
        <v>12</v>
      </c>
      <c r="K1567" s="135" t="n">
        <f aca="false">$G1567*'Analyse capacite'!$E$9</f>
        <v>162</v>
      </c>
    </row>
    <row r="1568" customFormat="false" ht="15" hidden="false" customHeight="false" outlineLevel="0" collapsed="false">
      <c r="B1568" s="130" t="n">
        <v>2027</v>
      </c>
      <c r="C1568" s="131" t="s">
        <v>247</v>
      </c>
      <c r="D1568" s="132" t="n">
        <v>46521</v>
      </c>
      <c r="E1568" s="131" t="s">
        <v>14</v>
      </c>
      <c r="F1568" s="133" t="s">
        <v>11</v>
      </c>
      <c r="G1568" s="134" t="n">
        <f aca="false">LEN('Saisie programme'!$H$67)+SUMIFS('Vols additionnels'!$E$7:$E$66,'Vols additionnels'!$C$7:$C$66,$E1568,'Vols additionnels'!$D$7:$D$66,$F1568,'Vols additionnels'!$B$7:$B$66,$D1568)</f>
        <v>0</v>
      </c>
      <c r="H1568" s="135" t="n">
        <f aca="false">$G1568*'Analyse capacite'!$F$7</f>
        <v>0</v>
      </c>
      <c r="I1568" s="135" t="n">
        <f aca="false">$G1568*'Analyse capacite'!$C$7</f>
        <v>0</v>
      </c>
      <c r="J1568" s="135" t="n">
        <f aca="false">$G1568*'Analyse capacite'!$D$7</f>
        <v>0</v>
      </c>
      <c r="K1568" s="135" t="n">
        <f aca="false">$G1568*'Analyse capacite'!$E$7</f>
        <v>0</v>
      </c>
    </row>
    <row r="1569" customFormat="false" ht="15" hidden="false" customHeight="false" outlineLevel="0" collapsed="false">
      <c r="B1569" s="130" t="n">
        <v>2027</v>
      </c>
      <c r="C1569" s="131" t="s">
        <v>247</v>
      </c>
      <c r="D1569" s="132" t="n">
        <v>46521</v>
      </c>
      <c r="E1569" s="131" t="s">
        <v>14</v>
      </c>
      <c r="F1569" s="133" t="s">
        <v>19</v>
      </c>
      <c r="G1569" s="134" t="n">
        <f aca="false">LEN('Saisie programme'!$H$68)+SUMIFS('Vols additionnels'!$E$7:$E$66,'Vols additionnels'!$C$7:$C$66,$E1569,'Vols additionnels'!$D$7:$D$66,$F1569,'Vols additionnels'!$B$7:$B$66,$D1569)</f>
        <v>0</v>
      </c>
      <c r="H1569" s="135" t="n">
        <f aca="false">$G1569*'Analyse capacite'!$F$8</f>
        <v>0</v>
      </c>
      <c r="I1569" s="135" t="n">
        <f aca="false">$G1569*'Analyse capacite'!$C$8</f>
        <v>0</v>
      </c>
      <c r="J1569" s="135" t="n">
        <f aca="false">$G1569*'Analyse capacite'!$D$8</f>
        <v>0</v>
      </c>
      <c r="K1569" s="135" t="n">
        <f aca="false">$G1569*'Analyse capacite'!$E$8</f>
        <v>0</v>
      </c>
    </row>
    <row r="1570" customFormat="false" ht="15" hidden="false" customHeight="false" outlineLevel="0" collapsed="false">
      <c r="B1570" s="130" t="n">
        <v>2027</v>
      </c>
      <c r="C1570" s="131" t="s">
        <v>247</v>
      </c>
      <c r="D1570" s="132" t="n">
        <v>46521</v>
      </c>
      <c r="E1570" s="131" t="s">
        <v>14</v>
      </c>
      <c r="F1570" s="133" t="s">
        <v>24</v>
      </c>
      <c r="G1570" s="134" t="n">
        <f aca="false">LEN('Saisie programme'!$H$69)+SUMIFS('Vols additionnels'!$E$7:$E$66,'Vols additionnels'!$C$7:$C$66,$E1570,'Vols additionnels'!$D$7:$D$66,$F1570,'Vols additionnels'!$B$7:$B$66,$D1570)</f>
        <v>0</v>
      </c>
      <c r="H1570" s="135" t="n">
        <f aca="false">$G1570*'Analyse capacite'!$F$9</f>
        <v>0</v>
      </c>
      <c r="I1570" s="135" t="n">
        <f aca="false">$G1570*'Analyse capacite'!$C$9</f>
        <v>0</v>
      </c>
      <c r="J1570" s="135" t="n">
        <f aca="false">$G1570*'Analyse capacite'!$D$9</f>
        <v>0</v>
      </c>
      <c r="K1570" s="135" t="n">
        <f aca="false">$G1570*'Analyse capacite'!$E$9</f>
        <v>0</v>
      </c>
    </row>
    <row r="1571" customFormat="false" ht="15" hidden="false" customHeight="false" outlineLevel="0" collapsed="false">
      <c r="B1571" s="130" t="n">
        <v>2027</v>
      </c>
      <c r="C1571" s="131" t="s">
        <v>247</v>
      </c>
      <c r="D1571" s="132" t="n">
        <v>46521</v>
      </c>
      <c r="E1571" s="131" t="s">
        <v>46</v>
      </c>
      <c r="F1571" s="133" t="s">
        <v>11</v>
      </c>
      <c r="G1571" s="134" t="n">
        <f aca="false">LEN('Saisie programme'!$H$70)+SUMIFS('Vols additionnels'!$E$7:$E$66,'Vols additionnels'!$C$7:$C$66,$E1571,'Vols additionnels'!$D$7:$D$66,$F1571,'Vols additionnels'!$B$7:$B$66,$D1571)</f>
        <v>0</v>
      </c>
      <c r="H1571" s="135" t="n">
        <f aca="false">$G1571*'Analyse capacite'!$F$7</f>
        <v>0</v>
      </c>
      <c r="I1571" s="135" t="n">
        <f aca="false">$G1571*'Analyse capacite'!$C$7</f>
        <v>0</v>
      </c>
      <c r="J1571" s="135" t="n">
        <f aca="false">$G1571*'Analyse capacite'!$D$7</f>
        <v>0</v>
      </c>
      <c r="K1571" s="135" t="n">
        <f aca="false">$G1571*'Analyse capacite'!$E$7</f>
        <v>0</v>
      </c>
    </row>
    <row r="1572" customFormat="false" ht="15" hidden="false" customHeight="false" outlineLevel="0" collapsed="false">
      <c r="B1572" s="130" t="n">
        <v>2027</v>
      </c>
      <c r="C1572" s="131" t="s">
        <v>247</v>
      </c>
      <c r="D1572" s="132" t="n">
        <v>46521</v>
      </c>
      <c r="E1572" s="131" t="s">
        <v>46</v>
      </c>
      <c r="F1572" s="133" t="s">
        <v>19</v>
      </c>
      <c r="G1572" s="134" t="n">
        <f aca="false">LEN('Saisie programme'!$H$71)+SUMIFS('Vols additionnels'!$E$7:$E$66,'Vols additionnels'!$C$7:$C$66,$E1572,'Vols additionnels'!$D$7:$D$66,$F1572,'Vols additionnels'!$B$7:$B$66,$D1572)</f>
        <v>0</v>
      </c>
      <c r="H1572" s="135" t="n">
        <f aca="false">$G1572*'Analyse capacite'!$F$8</f>
        <v>0</v>
      </c>
      <c r="I1572" s="135" t="n">
        <f aca="false">$G1572*'Analyse capacite'!$C$8</f>
        <v>0</v>
      </c>
      <c r="J1572" s="135" t="n">
        <f aca="false">$G1572*'Analyse capacite'!$D$8</f>
        <v>0</v>
      </c>
      <c r="K1572" s="135" t="n">
        <f aca="false">$G1572*'Analyse capacite'!$E$8</f>
        <v>0</v>
      </c>
    </row>
    <row r="1573" customFormat="false" ht="15" hidden="false" customHeight="false" outlineLevel="0" collapsed="false">
      <c r="B1573" s="130" t="n">
        <v>2027</v>
      </c>
      <c r="C1573" s="131" t="s">
        <v>247</v>
      </c>
      <c r="D1573" s="132" t="n">
        <v>46521</v>
      </c>
      <c r="E1573" s="131" t="s">
        <v>46</v>
      </c>
      <c r="F1573" s="133" t="s">
        <v>24</v>
      </c>
      <c r="G1573" s="134" t="n">
        <f aca="false">LEN('Saisie programme'!$H$72)+SUMIFS('Vols additionnels'!$E$7:$E$66,'Vols additionnels'!$C$7:$C$66,$E1573,'Vols additionnels'!$D$7:$D$66,$F1573,'Vols additionnels'!$B$7:$B$66,$D1573)</f>
        <v>0</v>
      </c>
      <c r="H1573" s="135" t="n">
        <f aca="false">$G1573*'Analyse capacite'!$F$9</f>
        <v>0</v>
      </c>
      <c r="I1573" s="135" t="n">
        <f aca="false">$G1573*'Analyse capacite'!$C$9</f>
        <v>0</v>
      </c>
      <c r="J1573" s="135" t="n">
        <f aca="false">$G1573*'Analyse capacite'!$D$9</f>
        <v>0</v>
      </c>
      <c r="K1573" s="135" t="n">
        <f aca="false">$G1573*'Analyse capacite'!$E$9</f>
        <v>0</v>
      </c>
    </row>
    <row r="1574" customFormat="false" ht="15" hidden="false" customHeight="false" outlineLevel="0" collapsed="false">
      <c r="B1574" s="130" t="n">
        <v>2027</v>
      </c>
      <c r="C1574" s="131" t="s">
        <v>247</v>
      </c>
      <c r="D1574" s="132" t="n">
        <v>46521</v>
      </c>
      <c r="E1574" s="131" t="s">
        <v>49</v>
      </c>
      <c r="F1574" s="133" t="s">
        <v>11</v>
      </c>
      <c r="G1574" s="134" t="n">
        <f aca="false">LEN('Saisie programme'!$H$73)+SUMIFS('Vols additionnels'!$E$7:$E$66,'Vols additionnels'!$C$7:$C$66,$E1574,'Vols additionnels'!$D$7:$D$66,$F1574,'Vols additionnels'!$B$7:$B$66,$D1574)</f>
        <v>0</v>
      </c>
      <c r="H1574" s="135" t="n">
        <f aca="false">$G1574*'Analyse capacite'!$F$7</f>
        <v>0</v>
      </c>
      <c r="I1574" s="135" t="n">
        <f aca="false">$G1574*'Analyse capacite'!$C$7</f>
        <v>0</v>
      </c>
      <c r="J1574" s="135" t="n">
        <f aca="false">$G1574*'Analyse capacite'!$D$7</f>
        <v>0</v>
      </c>
      <c r="K1574" s="135" t="n">
        <f aca="false">$G1574*'Analyse capacite'!$E$7</f>
        <v>0</v>
      </c>
    </row>
    <row r="1575" customFormat="false" ht="15" hidden="false" customHeight="false" outlineLevel="0" collapsed="false">
      <c r="B1575" s="130" t="n">
        <v>2027</v>
      </c>
      <c r="C1575" s="131" t="s">
        <v>247</v>
      </c>
      <c r="D1575" s="132" t="n">
        <v>46521</v>
      </c>
      <c r="E1575" s="131" t="s">
        <v>49</v>
      </c>
      <c r="F1575" s="133" t="s">
        <v>19</v>
      </c>
      <c r="G1575" s="134" t="n">
        <f aca="false">LEN('Saisie programme'!$H$74)+SUMIFS('Vols additionnels'!$E$7:$E$66,'Vols additionnels'!$C$7:$C$66,$E1575,'Vols additionnels'!$D$7:$D$66,$F1575,'Vols additionnels'!$B$7:$B$66,$D1575)</f>
        <v>1</v>
      </c>
      <c r="H1575" s="135" t="n">
        <f aca="false">$G1575*'Analyse capacite'!$F$8</f>
        <v>262</v>
      </c>
      <c r="I1575" s="135" t="n">
        <f aca="false">$G1575*'Analyse capacite'!$C$8</f>
        <v>18</v>
      </c>
      <c r="J1575" s="135" t="n">
        <f aca="false">$G1575*'Analyse capacite'!$D$8</f>
        <v>0</v>
      </c>
      <c r="K1575" s="135" t="n">
        <f aca="false">$G1575*'Analyse capacite'!$E$8</f>
        <v>244</v>
      </c>
    </row>
    <row r="1576" customFormat="false" ht="15" hidden="false" customHeight="false" outlineLevel="0" collapsed="false">
      <c r="B1576" s="130" t="n">
        <v>2027</v>
      </c>
      <c r="C1576" s="131" t="s">
        <v>247</v>
      </c>
      <c r="D1576" s="132" t="n">
        <v>46521</v>
      </c>
      <c r="E1576" s="131" t="s">
        <v>49</v>
      </c>
      <c r="F1576" s="133" t="s">
        <v>24</v>
      </c>
      <c r="G1576" s="134" t="n">
        <f aca="false">LEN('Saisie programme'!$H$75)+SUMIFS('Vols additionnels'!$E$7:$E$66,'Vols additionnels'!$C$7:$C$66,$E1576,'Vols additionnels'!$D$7:$D$66,$F1576,'Vols additionnels'!$B$7:$B$66,$D1576)</f>
        <v>0</v>
      </c>
      <c r="H1576" s="135" t="n">
        <f aca="false">$G1576*'Analyse capacite'!$F$9</f>
        <v>0</v>
      </c>
      <c r="I1576" s="135" t="n">
        <f aca="false">$G1576*'Analyse capacite'!$C$9</f>
        <v>0</v>
      </c>
      <c r="J1576" s="135" t="n">
        <f aca="false">$G1576*'Analyse capacite'!$D$9</f>
        <v>0</v>
      </c>
      <c r="K1576" s="135" t="n">
        <f aca="false">$G1576*'Analyse capacite'!$E$9</f>
        <v>0</v>
      </c>
    </row>
    <row r="1577" customFormat="false" ht="15" hidden="false" customHeight="false" outlineLevel="0" collapsed="false">
      <c r="B1577" s="130" t="n">
        <v>2027</v>
      </c>
      <c r="C1577" s="131" t="s">
        <v>247</v>
      </c>
      <c r="D1577" s="132" t="n">
        <v>46521</v>
      </c>
      <c r="E1577" s="131" t="s">
        <v>53</v>
      </c>
      <c r="F1577" s="133" t="s">
        <v>11</v>
      </c>
      <c r="G1577" s="134" t="n">
        <f aca="false">LEN('Saisie programme'!$H$76)+SUMIFS('Vols additionnels'!$E$7:$E$66,'Vols additionnels'!$C$7:$C$66,$E1577,'Vols additionnels'!$D$7:$D$66,$F1577,'Vols additionnels'!$B$7:$B$66,$D1577)</f>
        <v>0</v>
      </c>
      <c r="H1577" s="135" t="n">
        <f aca="false">$G1577*'Analyse capacite'!$F$7</f>
        <v>0</v>
      </c>
      <c r="I1577" s="135" t="n">
        <f aca="false">$G1577*'Analyse capacite'!$C$7</f>
        <v>0</v>
      </c>
      <c r="J1577" s="135" t="n">
        <f aca="false">$G1577*'Analyse capacite'!$D$7</f>
        <v>0</v>
      </c>
      <c r="K1577" s="135" t="n">
        <f aca="false">$G1577*'Analyse capacite'!$E$7</f>
        <v>0</v>
      </c>
    </row>
    <row r="1578" customFormat="false" ht="15" hidden="false" customHeight="false" outlineLevel="0" collapsed="false">
      <c r="B1578" s="130" t="n">
        <v>2027</v>
      </c>
      <c r="C1578" s="131" t="s">
        <v>247</v>
      </c>
      <c r="D1578" s="132" t="n">
        <v>46521</v>
      </c>
      <c r="E1578" s="131" t="s">
        <v>53</v>
      </c>
      <c r="F1578" s="133" t="s">
        <v>19</v>
      </c>
      <c r="G1578" s="134" t="n">
        <f aca="false">LEN('Saisie programme'!$H$77)+SUMIFS('Vols additionnels'!$E$7:$E$66,'Vols additionnels'!$C$7:$C$66,$E1578,'Vols additionnels'!$D$7:$D$66,$F1578,'Vols additionnels'!$B$7:$B$66,$D1578)</f>
        <v>0</v>
      </c>
      <c r="H1578" s="135" t="n">
        <f aca="false">$G1578*'Analyse capacite'!$F$8</f>
        <v>0</v>
      </c>
      <c r="I1578" s="135" t="n">
        <f aca="false">$G1578*'Analyse capacite'!$C$8</f>
        <v>0</v>
      </c>
      <c r="J1578" s="135" t="n">
        <f aca="false">$G1578*'Analyse capacite'!$D$8</f>
        <v>0</v>
      </c>
      <c r="K1578" s="135" t="n">
        <f aca="false">$G1578*'Analyse capacite'!$E$8</f>
        <v>0</v>
      </c>
    </row>
    <row r="1579" customFormat="false" ht="15" hidden="false" customHeight="false" outlineLevel="0" collapsed="false">
      <c r="B1579" s="130" t="n">
        <v>2027</v>
      </c>
      <c r="C1579" s="131" t="s">
        <v>247</v>
      </c>
      <c r="D1579" s="132" t="n">
        <v>46521</v>
      </c>
      <c r="E1579" s="131" t="s">
        <v>53</v>
      </c>
      <c r="F1579" s="133" t="s">
        <v>24</v>
      </c>
      <c r="G1579" s="134" t="n">
        <f aca="false">LEN('Saisie programme'!$H$78)+SUMIFS('Vols additionnels'!$E$7:$E$66,'Vols additionnels'!$C$7:$C$66,$E1579,'Vols additionnels'!$D$7:$D$66,$F1579,'Vols additionnels'!$B$7:$B$66,$D1579)</f>
        <v>0</v>
      </c>
      <c r="H1579" s="135" t="n">
        <f aca="false">$G1579*'Analyse capacite'!$F$9</f>
        <v>0</v>
      </c>
      <c r="I1579" s="135" t="n">
        <f aca="false">$G1579*'Analyse capacite'!$C$9</f>
        <v>0</v>
      </c>
      <c r="J1579" s="135" t="n">
        <f aca="false">$G1579*'Analyse capacite'!$D$9</f>
        <v>0</v>
      </c>
      <c r="K1579" s="135" t="n">
        <f aca="false">$G1579*'Analyse capacite'!$E$9</f>
        <v>0</v>
      </c>
    </row>
    <row r="1580" customFormat="false" ht="15" hidden="false" customHeight="false" outlineLevel="0" collapsed="false">
      <c r="B1580" s="130" t="n">
        <v>2027</v>
      </c>
      <c r="C1580" s="131" t="s">
        <v>247</v>
      </c>
      <c r="D1580" s="132" t="n">
        <v>46521</v>
      </c>
      <c r="E1580" s="131" t="s">
        <v>56</v>
      </c>
      <c r="F1580" s="133" t="s">
        <v>11</v>
      </c>
      <c r="G1580" s="134" t="n">
        <f aca="false">LEN('Saisie programme'!$H$79)+SUMIFS('Vols additionnels'!$E$7:$E$66,'Vols additionnels'!$C$7:$C$66,$E1580,'Vols additionnels'!$D$7:$D$66,$F1580,'Vols additionnels'!$B$7:$B$66,$D1580)</f>
        <v>0</v>
      </c>
      <c r="H1580" s="135" t="n">
        <f aca="false">$G1580*'Analyse capacite'!$F$7</f>
        <v>0</v>
      </c>
      <c r="I1580" s="135" t="n">
        <f aca="false">$G1580*'Analyse capacite'!$C$7</f>
        <v>0</v>
      </c>
      <c r="J1580" s="135" t="n">
        <f aca="false">$G1580*'Analyse capacite'!$D$7</f>
        <v>0</v>
      </c>
      <c r="K1580" s="135" t="n">
        <f aca="false">$G1580*'Analyse capacite'!$E$7</f>
        <v>0</v>
      </c>
    </row>
    <row r="1581" customFormat="false" ht="15" hidden="false" customHeight="false" outlineLevel="0" collapsed="false">
      <c r="B1581" s="130" t="n">
        <v>2027</v>
      </c>
      <c r="C1581" s="131" t="s">
        <v>247</v>
      </c>
      <c r="D1581" s="132" t="n">
        <v>46521</v>
      </c>
      <c r="E1581" s="131" t="s">
        <v>56</v>
      </c>
      <c r="F1581" s="133" t="s">
        <v>19</v>
      </c>
      <c r="G1581" s="134" t="n">
        <f aca="false">LEN('Saisie programme'!$H$80)+SUMIFS('Vols additionnels'!$E$7:$E$66,'Vols additionnels'!$C$7:$C$66,$E1581,'Vols additionnels'!$D$7:$D$66,$F1581,'Vols additionnels'!$B$7:$B$66,$D1581)</f>
        <v>0</v>
      </c>
      <c r="H1581" s="135" t="n">
        <f aca="false">$G1581*'Analyse capacite'!$F$8</f>
        <v>0</v>
      </c>
      <c r="I1581" s="135" t="n">
        <f aca="false">$G1581*'Analyse capacite'!$C$8</f>
        <v>0</v>
      </c>
      <c r="J1581" s="135" t="n">
        <f aca="false">$G1581*'Analyse capacite'!$D$8</f>
        <v>0</v>
      </c>
      <c r="K1581" s="135" t="n">
        <f aca="false">$G1581*'Analyse capacite'!$E$8</f>
        <v>0</v>
      </c>
    </row>
    <row r="1582" customFormat="false" ht="15" hidden="false" customHeight="false" outlineLevel="0" collapsed="false">
      <c r="B1582" s="130" t="n">
        <v>2027</v>
      </c>
      <c r="C1582" s="131" t="s">
        <v>247</v>
      </c>
      <c r="D1582" s="132" t="n">
        <v>46521</v>
      </c>
      <c r="E1582" s="131" t="s">
        <v>56</v>
      </c>
      <c r="F1582" s="133" t="s">
        <v>24</v>
      </c>
      <c r="G1582" s="134" t="n">
        <f aca="false">LEN('Saisie programme'!$H$81)+SUMIFS('Vols additionnels'!$E$7:$E$66,'Vols additionnels'!$C$7:$C$66,$E1582,'Vols additionnels'!$D$7:$D$66,$F1582,'Vols additionnels'!$B$7:$B$66,$D1582)</f>
        <v>0</v>
      </c>
      <c r="H1582" s="135" t="n">
        <f aca="false">$G1582*'Analyse capacite'!$F$9</f>
        <v>0</v>
      </c>
      <c r="I1582" s="135" t="n">
        <f aca="false">$G1582*'Analyse capacite'!$C$9</f>
        <v>0</v>
      </c>
      <c r="J1582" s="135" t="n">
        <f aca="false">$G1582*'Analyse capacite'!$D$9</f>
        <v>0</v>
      </c>
      <c r="K1582" s="135" t="n">
        <f aca="false">$G1582*'Analyse capacite'!$E$9</f>
        <v>0</v>
      </c>
    </row>
    <row r="1583" customFormat="false" ht="15" hidden="false" customHeight="false" outlineLevel="0" collapsed="false">
      <c r="B1583" s="130" t="n">
        <v>2027</v>
      </c>
      <c r="C1583" s="131" t="s">
        <v>247</v>
      </c>
      <c r="D1583" s="132" t="n">
        <v>46521</v>
      </c>
      <c r="E1583" s="131" t="s">
        <v>59</v>
      </c>
      <c r="F1583" s="133" t="s">
        <v>11</v>
      </c>
      <c r="G1583" s="134" t="n">
        <f aca="false">LEN('Saisie programme'!$H$82)+SUMIFS('Vols additionnels'!$E$7:$E$66,'Vols additionnels'!$C$7:$C$66,$E1583,'Vols additionnels'!$D$7:$D$66,$F1583,'Vols additionnels'!$B$7:$B$66,$D1583)</f>
        <v>0</v>
      </c>
      <c r="H1583" s="135" t="n">
        <f aca="false">$G1583*'Analyse capacite'!$F$7</f>
        <v>0</v>
      </c>
      <c r="I1583" s="135" t="n">
        <f aca="false">$G1583*'Analyse capacite'!$C$7</f>
        <v>0</v>
      </c>
      <c r="J1583" s="135" t="n">
        <f aca="false">$G1583*'Analyse capacite'!$D$7</f>
        <v>0</v>
      </c>
      <c r="K1583" s="135" t="n">
        <f aca="false">$G1583*'Analyse capacite'!$E$7</f>
        <v>0</v>
      </c>
    </row>
    <row r="1584" customFormat="false" ht="15" hidden="false" customHeight="false" outlineLevel="0" collapsed="false">
      <c r="B1584" s="130" t="n">
        <v>2027</v>
      </c>
      <c r="C1584" s="131" t="s">
        <v>247</v>
      </c>
      <c r="D1584" s="132" t="n">
        <v>46521</v>
      </c>
      <c r="E1584" s="131" t="s">
        <v>59</v>
      </c>
      <c r="F1584" s="133" t="s">
        <v>19</v>
      </c>
      <c r="G1584" s="134" t="n">
        <f aca="false">LEN('Saisie programme'!$H$83)+SUMIFS('Vols additionnels'!$E$7:$E$66,'Vols additionnels'!$C$7:$C$66,$E1584,'Vols additionnels'!$D$7:$D$66,$F1584,'Vols additionnels'!$B$7:$B$66,$D1584)</f>
        <v>0</v>
      </c>
      <c r="H1584" s="135" t="n">
        <f aca="false">$G1584*'Analyse capacite'!$F$8</f>
        <v>0</v>
      </c>
      <c r="I1584" s="135" t="n">
        <f aca="false">$G1584*'Analyse capacite'!$C$8</f>
        <v>0</v>
      </c>
      <c r="J1584" s="135" t="n">
        <f aca="false">$G1584*'Analyse capacite'!$D$8</f>
        <v>0</v>
      </c>
      <c r="K1584" s="135" t="n">
        <f aca="false">$G1584*'Analyse capacite'!$E$8</f>
        <v>0</v>
      </c>
    </row>
    <row r="1585" customFormat="false" ht="15" hidden="false" customHeight="false" outlineLevel="0" collapsed="false">
      <c r="B1585" s="130" t="n">
        <v>2027</v>
      </c>
      <c r="C1585" s="131" t="s">
        <v>247</v>
      </c>
      <c r="D1585" s="132" t="n">
        <v>46521</v>
      </c>
      <c r="E1585" s="131" t="s">
        <v>59</v>
      </c>
      <c r="F1585" s="133" t="s">
        <v>24</v>
      </c>
      <c r="G1585" s="134" t="n">
        <f aca="false">LEN('Saisie programme'!$H$84)+SUMIFS('Vols additionnels'!$E$7:$E$66,'Vols additionnels'!$C$7:$C$66,$E1585,'Vols additionnels'!$D$7:$D$66,$F1585,'Vols additionnels'!$B$7:$B$66,$D1585)</f>
        <v>1</v>
      </c>
      <c r="H1585" s="135" t="n">
        <f aca="false">$G1585*'Analyse capacite'!$F$9</f>
        <v>174</v>
      </c>
      <c r="I1585" s="135" t="n">
        <f aca="false">$G1585*'Analyse capacite'!$C$9</f>
        <v>0</v>
      </c>
      <c r="J1585" s="135" t="n">
        <f aca="false">$G1585*'Analyse capacite'!$D$9</f>
        <v>12</v>
      </c>
      <c r="K1585" s="135" t="n">
        <f aca="false">$G1585*'Analyse capacite'!$E$9</f>
        <v>162</v>
      </c>
    </row>
    <row r="1586" customFormat="false" ht="15" hidden="false" customHeight="false" outlineLevel="0" collapsed="false">
      <c r="B1586" s="130" t="n">
        <v>2027</v>
      </c>
      <c r="C1586" s="131" t="s">
        <v>247</v>
      </c>
      <c r="D1586" s="132" t="n">
        <v>46521</v>
      </c>
      <c r="E1586" s="131" t="s">
        <v>62</v>
      </c>
      <c r="F1586" s="133" t="s">
        <v>11</v>
      </c>
      <c r="G1586" s="134" t="n">
        <f aca="false">LEN('Saisie programme'!$H$85)+SUMIFS('Vols additionnels'!$E$7:$E$66,'Vols additionnels'!$C$7:$C$66,$E1586,'Vols additionnels'!$D$7:$D$66,$F1586,'Vols additionnels'!$B$7:$B$66,$D1586)</f>
        <v>0</v>
      </c>
      <c r="H1586" s="135" t="n">
        <f aca="false">$G1586*'Analyse capacite'!$F$7</f>
        <v>0</v>
      </c>
      <c r="I1586" s="135" t="n">
        <f aca="false">$G1586*'Analyse capacite'!$C$7</f>
        <v>0</v>
      </c>
      <c r="J1586" s="135" t="n">
        <f aca="false">$G1586*'Analyse capacite'!$D$7</f>
        <v>0</v>
      </c>
      <c r="K1586" s="135" t="n">
        <f aca="false">$G1586*'Analyse capacite'!$E$7</f>
        <v>0</v>
      </c>
    </row>
    <row r="1587" customFormat="false" ht="15" hidden="false" customHeight="false" outlineLevel="0" collapsed="false">
      <c r="B1587" s="130" t="n">
        <v>2027</v>
      </c>
      <c r="C1587" s="131" t="s">
        <v>247</v>
      </c>
      <c r="D1587" s="132" t="n">
        <v>46521</v>
      </c>
      <c r="E1587" s="131" t="s">
        <v>62</v>
      </c>
      <c r="F1587" s="133" t="s">
        <v>19</v>
      </c>
      <c r="G1587" s="134" t="n">
        <f aca="false">LEN('Saisie programme'!$H$86)+SUMIFS('Vols additionnels'!$E$7:$E$66,'Vols additionnels'!$C$7:$C$66,$E1587,'Vols additionnels'!$D$7:$D$66,$F1587,'Vols additionnels'!$B$7:$B$66,$D1587)</f>
        <v>0</v>
      </c>
      <c r="H1587" s="135" t="n">
        <f aca="false">$G1587*'Analyse capacite'!$F$8</f>
        <v>0</v>
      </c>
      <c r="I1587" s="135" t="n">
        <f aca="false">$G1587*'Analyse capacite'!$C$8</f>
        <v>0</v>
      </c>
      <c r="J1587" s="135" t="n">
        <f aca="false">$G1587*'Analyse capacite'!$D$8</f>
        <v>0</v>
      </c>
      <c r="K1587" s="135" t="n">
        <f aca="false">$G1587*'Analyse capacite'!$E$8</f>
        <v>0</v>
      </c>
    </row>
    <row r="1588" customFormat="false" ht="15" hidden="false" customHeight="false" outlineLevel="0" collapsed="false">
      <c r="B1588" s="130" t="n">
        <v>2027</v>
      </c>
      <c r="C1588" s="131" t="s">
        <v>247</v>
      </c>
      <c r="D1588" s="132" t="n">
        <v>46521</v>
      </c>
      <c r="E1588" s="131" t="s">
        <v>62</v>
      </c>
      <c r="F1588" s="133" t="s">
        <v>24</v>
      </c>
      <c r="G1588" s="134" t="n">
        <f aca="false">LEN('Saisie programme'!$H$87)+SUMIFS('Vols additionnels'!$E$7:$E$66,'Vols additionnels'!$C$7:$C$66,$E1588,'Vols additionnels'!$D$7:$D$66,$F1588,'Vols additionnels'!$B$7:$B$66,$D1588)</f>
        <v>0</v>
      </c>
      <c r="H1588" s="135" t="n">
        <f aca="false">$G1588*'Analyse capacite'!$F$9</f>
        <v>0</v>
      </c>
      <c r="I1588" s="135" t="n">
        <f aca="false">$G1588*'Analyse capacite'!$C$9</f>
        <v>0</v>
      </c>
      <c r="J1588" s="135" t="n">
        <f aca="false">$G1588*'Analyse capacite'!$D$9</f>
        <v>0</v>
      </c>
      <c r="K1588" s="135" t="n">
        <f aca="false">$G1588*'Analyse capacite'!$E$9</f>
        <v>0</v>
      </c>
    </row>
    <row r="1589" customFormat="false" ht="15" hidden="false" customHeight="false" outlineLevel="0" collapsed="false">
      <c r="B1589" s="130" t="n">
        <v>2027</v>
      </c>
      <c r="C1589" s="131" t="s">
        <v>247</v>
      </c>
      <c r="D1589" s="132" t="n">
        <v>46522</v>
      </c>
      <c r="E1589" s="131" t="s">
        <v>12</v>
      </c>
      <c r="F1589" s="133" t="s">
        <v>11</v>
      </c>
      <c r="G1589" s="134" t="n">
        <f aca="false">LEN('Saisie programme'!$I$52)+SUMIFS('Vols additionnels'!$E$7:$E$66,'Vols additionnels'!$C$7:$C$66,$E1589,'Vols additionnels'!$D$7:$D$66,$F1589,'Vols additionnels'!$B$7:$B$66,$D1589)</f>
        <v>1</v>
      </c>
      <c r="H1589" s="135" t="n">
        <f aca="false">$G1589*'Analyse capacite'!$F$7</f>
        <v>438</v>
      </c>
      <c r="I1589" s="135" t="n">
        <f aca="false">$G1589*'Analyse capacite'!$C$7</f>
        <v>14</v>
      </c>
      <c r="J1589" s="135" t="n">
        <f aca="false">$G1589*'Analyse capacite'!$D$7</f>
        <v>40</v>
      </c>
      <c r="K1589" s="135" t="n">
        <f aca="false">$G1589*'Analyse capacite'!$E$7</f>
        <v>384</v>
      </c>
    </row>
    <row r="1590" customFormat="false" ht="15" hidden="false" customHeight="false" outlineLevel="0" collapsed="false">
      <c r="B1590" s="130" t="n">
        <v>2027</v>
      </c>
      <c r="C1590" s="131" t="s">
        <v>247</v>
      </c>
      <c r="D1590" s="132" t="n">
        <v>46522</v>
      </c>
      <c r="E1590" s="131" t="s">
        <v>12</v>
      </c>
      <c r="F1590" s="133" t="s">
        <v>19</v>
      </c>
      <c r="G1590" s="134" t="n">
        <f aca="false">LEN('Saisie programme'!$I$53)+SUMIFS('Vols additionnels'!$E$7:$E$66,'Vols additionnels'!$C$7:$C$66,$E1590,'Vols additionnels'!$D$7:$D$66,$F1590,'Vols additionnels'!$B$7:$B$66,$D1590)</f>
        <v>0</v>
      </c>
      <c r="H1590" s="135" t="n">
        <f aca="false">$G1590*'Analyse capacite'!$F$8</f>
        <v>0</v>
      </c>
      <c r="I1590" s="135" t="n">
        <f aca="false">$G1590*'Analyse capacite'!$C$8</f>
        <v>0</v>
      </c>
      <c r="J1590" s="135" t="n">
        <f aca="false">$G1590*'Analyse capacite'!$D$8</f>
        <v>0</v>
      </c>
      <c r="K1590" s="135" t="n">
        <f aca="false">$G1590*'Analyse capacite'!$E$8</f>
        <v>0</v>
      </c>
    </row>
    <row r="1591" customFormat="false" ht="15" hidden="false" customHeight="false" outlineLevel="0" collapsed="false">
      <c r="B1591" s="130" t="n">
        <v>2027</v>
      </c>
      <c r="C1591" s="131" t="s">
        <v>247</v>
      </c>
      <c r="D1591" s="132" t="n">
        <v>46522</v>
      </c>
      <c r="E1591" s="131" t="s">
        <v>12</v>
      </c>
      <c r="F1591" s="133" t="s">
        <v>24</v>
      </c>
      <c r="G1591" s="134" t="n">
        <f aca="false">LEN('Saisie programme'!$I$54)+SUMIFS('Vols additionnels'!$E$7:$E$66,'Vols additionnels'!$C$7:$C$66,$E1591,'Vols additionnels'!$D$7:$D$66,$F1591,'Vols additionnels'!$B$7:$B$66,$D1591)</f>
        <v>0</v>
      </c>
      <c r="H1591" s="135" t="n">
        <f aca="false">$G1591*'Analyse capacite'!$F$9</f>
        <v>0</v>
      </c>
      <c r="I1591" s="135" t="n">
        <f aca="false">$G1591*'Analyse capacite'!$C$9</f>
        <v>0</v>
      </c>
      <c r="J1591" s="135" t="n">
        <f aca="false">$G1591*'Analyse capacite'!$D$9</f>
        <v>0</v>
      </c>
      <c r="K1591" s="135" t="n">
        <f aca="false">$G1591*'Analyse capacite'!$E$9</f>
        <v>0</v>
      </c>
    </row>
    <row r="1592" customFormat="false" ht="15" hidden="false" customHeight="false" outlineLevel="0" collapsed="false">
      <c r="B1592" s="130" t="n">
        <v>2027</v>
      </c>
      <c r="C1592" s="131" t="s">
        <v>247</v>
      </c>
      <c r="D1592" s="132" t="n">
        <v>46522</v>
      </c>
      <c r="E1592" s="131" t="s">
        <v>20</v>
      </c>
      <c r="F1592" s="133" t="s">
        <v>11</v>
      </c>
      <c r="G1592" s="134" t="n">
        <f aca="false">LEN('Saisie programme'!$I$55)+SUMIFS('Vols additionnels'!$E$7:$E$66,'Vols additionnels'!$C$7:$C$66,$E1592,'Vols additionnels'!$D$7:$D$66,$F1592,'Vols additionnels'!$B$7:$B$66,$D1592)</f>
        <v>0</v>
      </c>
      <c r="H1592" s="135" t="n">
        <f aca="false">$G1592*'Analyse capacite'!$F$7</f>
        <v>0</v>
      </c>
      <c r="I1592" s="135" t="n">
        <f aca="false">$G1592*'Analyse capacite'!$C$7</f>
        <v>0</v>
      </c>
      <c r="J1592" s="135" t="n">
        <f aca="false">$G1592*'Analyse capacite'!$D$7</f>
        <v>0</v>
      </c>
      <c r="K1592" s="135" t="n">
        <f aca="false">$G1592*'Analyse capacite'!$E$7</f>
        <v>0</v>
      </c>
    </row>
    <row r="1593" customFormat="false" ht="15" hidden="false" customHeight="false" outlineLevel="0" collapsed="false">
      <c r="B1593" s="130" t="n">
        <v>2027</v>
      </c>
      <c r="C1593" s="131" t="s">
        <v>247</v>
      </c>
      <c r="D1593" s="132" t="n">
        <v>46522</v>
      </c>
      <c r="E1593" s="131" t="s">
        <v>20</v>
      </c>
      <c r="F1593" s="133" t="s">
        <v>19</v>
      </c>
      <c r="G1593" s="134" t="n">
        <f aca="false">LEN('Saisie programme'!$I$56)+SUMIFS('Vols additionnels'!$E$7:$E$66,'Vols additionnels'!$C$7:$C$66,$E1593,'Vols additionnels'!$D$7:$D$66,$F1593,'Vols additionnels'!$B$7:$B$66,$D1593)</f>
        <v>0</v>
      </c>
      <c r="H1593" s="135" t="n">
        <f aca="false">$G1593*'Analyse capacite'!$F$8</f>
        <v>0</v>
      </c>
      <c r="I1593" s="135" t="n">
        <f aca="false">$G1593*'Analyse capacite'!$C$8</f>
        <v>0</v>
      </c>
      <c r="J1593" s="135" t="n">
        <f aca="false">$G1593*'Analyse capacite'!$D$8</f>
        <v>0</v>
      </c>
      <c r="K1593" s="135" t="n">
        <f aca="false">$G1593*'Analyse capacite'!$E$8</f>
        <v>0</v>
      </c>
    </row>
    <row r="1594" customFormat="false" ht="15" hidden="false" customHeight="false" outlineLevel="0" collapsed="false">
      <c r="B1594" s="130" t="n">
        <v>2027</v>
      </c>
      <c r="C1594" s="131" t="s">
        <v>247</v>
      </c>
      <c r="D1594" s="132" t="n">
        <v>46522</v>
      </c>
      <c r="E1594" s="131" t="s">
        <v>20</v>
      </c>
      <c r="F1594" s="133" t="s">
        <v>24</v>
      </c>
      <c r="G1594" s="134" t="n">
        <f aca="false">LEN('Saisie programme'!$I$57)+SUMIFS('Vols additionnels'!$E$7:$E$66,'Vols additionnels'!$C$7:$C$66,$E1594,'Vols additionnels'!$D$7:$D$66,$F1594,'Vols additionnels'!$B$7:$B$66,$D1594)</f>
        <v>0</v>
      </c>
      <c r="H1594" s="135" t="n">
        <f aca="false">$G1594*'Analyse capacite'!$F$9</f>
        <v>0</v>
      </c>
      <c r="I1594" s="135" t="n">
        <f aca="false">$G1594*'Analyse capacite'!$C$9</f>
        <v>0</v>
      </c>
      <c r="J1594" s="135" t="n">
        <f aca="false">$G1594*'Analyse capacite'!$D$9</f>
        <v>0</v>
      </c>
      <c r="K1594" s="135" t="n">
        <f aca="false">$G1594*'Analyse capacite'!$E$9</f>
        <v>0</v>
      </c>
    </row>
    <row r="1595" customFormat="false" ht="15" hidden="false" customHeight="false" outlineLevel="0" collapsed="false">
      <c r="B1595" s="130" t="n">
        <v>2027</v>
      </c>
      <c r="C1595" s="131" t="s">
        <v>247</v>
      </c>
      <c r="D1595" s="132" t="n">
        <v>46522</v>
      </c>
      <c r="E1595" s="131" t="s">
        <v>25</v>
      </c>
      <c r="F1595" s="133" t="s">
        <v>11</v>
      </c>
      <c r="G1595" s="134" t="n">
        <f aca="false">LEN('Saisie programme'!$I$58)+SUMIFS('Vols additionnels'!$E$7:$E$66,'Vols additionnels'!$C$7:$C$66,$E1595,'Vols additionnels'!$D$7:$D$66,$F1595,'Vols additionnels'!$B$7:$B$66,$D1595)</f>
        <v>0</v>
      </c>
      <c r="H1595" s="135" t="n">
        <f aca="false">$G1595*'Analyse capacite'!$F$7</f>
        <v>0</v>
      </c>
      <c r="I1595" s="135" t="n">
        <f aca="false">$G1595*'Analyse capacite'!$C$7</f>
        <v>0</v>
      </c>
      <c r="J1595" s="135" t="n">
        <f aca="false">$G1595*'Analyse capacite'!$D$7</f>
        <v>0</v>
      </c>
      <c r="K1595" s="135" t="n">
        <f aca="false">$G1595*'Analyse capacite'!$E$7</f>
        <v>0</v>
      </c>
    </row>
    <row r="1596" customFormat="false" ht="15" hidden="false" customHeight="false" outlineLevel="0" collapsed="false">
      <c r="B1596" s="130" t="n">
        <v>2027</v>
      </c>
      <c r="C1596" s="131" t="s">
        <v>247</v>
      </c>
      <c r="D1596" s="132" t="n">
        <v>46522</v>
      </c>
      <c r="E1596" s="131" t="s">
        <v>25</v>
      </c>
      <c r="F1596" s="133" t="s">
        <v>19</v>
      </c>
      <c r="G1596" s="134" t="n">
        <f aca="false">LEN('Saisie programme'!$I$59)+SUMIFS('Vols additionnels'!$E$7:$E$66,'Vols additionnels'!$C$7:$C$66,$E1596,'Vols additionnels'!$D$7:$D$66,$F1596,'Vols additionnels'!$B$7:$B$66,$D1596)</f>
        <v>1</v>
      </c>
      <c r="H1596" s="135" t="n">
        <f aca="false">$G1596*'Analyse capacite'!$F$8</f>
        <v>262</v>
      </c>
      <c r="I1596" s="135" t="n">
        <f aca="false">$G1596*'Analyse capacite'!$C$8</f>
        <v>18</v>
      </c>
      <c r="J1596" s="135" t="n">
        <f aca="false">$G1596*'Analyse capacite'!$D$8</f>
        <v>0</v>
      </c>
      <c r="K1596" s="135" t="n">
        <f aca="false">$G1596*'Analyse capacite'!$E$8</f>
        <v>244</v>
      </c>
    </row>
    <row r="1597" customFormat="false" ht="15" hidden="false" customHeight="false" outlineLevel="0" collapsed="false">
      <c r="B1597" s="130" t="n">
        <v>2027</v>
      </c>
      <c r="C1597" s="131" t="s">
        <v>247</v>
      </c>
      <c r="D1597" s="132" t="n">
        <v>46522</v>
      </c>
      <c r="E1597" s="131" t="s">
        <v>25</v>
      </c>
      <c r="F1597" s="133" t="s">
        <v>24</v>
      </c>
      <c r="G1597" s="134" t="n">
        <f aca="false">LEN('Saisie programme'!$I$60)+SUMIFS('Vols additionnels'!$E$7:$E$66,'Vols additionnels'!$C$7:$C$66,$E1597,'Vols additionnels'!$D$7:$D$66,$F1597,'Vols additionnels'!$B$7:$B$66,$D1597)</f>
        <v>0</v>
      </c>
      <c r="H1597" s="135" t="n">
        <f aca="false">$G1597*'Analyse capacite'!$F$9</f>
        <v>0</v>
      </c>
      <c r="I1597" s="135" t="n">
        <f aca="false">$G1597*'Analyse capacite'!$C$9</f>
        <v>0</v>
      </c>
      <c r="J1597" s="135" t="n">
        <f aca="false">$G1597*'Analyse capacite'!$D$9</f>
        <v>0</v>
      </c>
      <c r="K1597" s="135" t="n">
        <f aca="false">$G1597*'Analyse capacite'!$E$9</f>
        <v>0</v>
      </c>
    </row>
    <row r="1598" customFormat="false" ht="15" hidden="false" customHeight="false" outlineLevel="0" collapsed="false">
      <c r="B1598" s="130" t="n">
        <v>2027</v>
      </c>
      <c r="C1598" s="131" t="s">
        <v>247</v>
      </c>
      <c r="D1598" s="132" t="n">
        <v>46522</v>
      </c>
      <c r="E1598" s="131" t="s">
        <v>36</v>
      </c>
      <c r="F1598" s="133" t="s">
        <v>11</v>
      </c>
      <c r="G1598" s="134" t="n">
        <f aca="false">LEN('Saisie programme'!$I$61)+SUMIFS('Vols additionnels'!$E$7:$E$66,'Vols additionnels'!$C$7:$C$66,$E1598,'Vols additionnels'!$D$7:$D$66,$F1598,'Vols additionnels'!$B$7:$B$66,$D1598)</f>
        <v>0</v>
      </c>
      <c r="H1598" s="135" t="n">
        <f aca="false">$G1598*'Analyse capacite'!$F$7</f>
        <v>0</v>
      </c>
      <c r="I1598" s="135" t="n">
        <f aca="false">$G1598*'Analyse capacite'!$C$7</f>
        <v>0</v>
      </c>
      <c r="J1598" s="135" t="n">
        <f aca="false">$G1598*'Analyse capacite'!$D$7</f>
        <v>0</v>
      </c>
      <c r="K1598" s="135" t="n">
        <f aca="false">$G1598*'Analyse capacite'!$E$7</f>
        <v>0</v>
      </c>
    </row>
    <row r="1599" customFormat="false" ht="15" hidden="false" customHeight="false" outlineLevel="0" collapsed="false">
      <c r="B1599" s="130" t="n">
        <v>2027</v>
      </c>
      <c r="C1599" s="131" t="s">
        <v>247</v>
      </c>
      <c r="D1599" s="132" t="n">
        <v>46522</v>
      </c>
      <c r="E1599" s="131" t="s">
        <v>36</v>
      </c>
      <c r="F1599" s="133" t="s">
        <v>19</v>
      </c>
      <c r="G1599" s="134" t="n">
        <f aca="false">LEN('Saisie programme'!$I$62)+SUMIFS('Vols additionnels'!$E$7:$E$66,'Vols additionnels'!$C$7:$C$66,$E1599,'Vols additionnels'!$D$7:$D$66,$F1599,'Vols additionnels'!$B$7:$B$66,$D1599)</f>
        <v>0</v>
      </c>
      <c r="H1599" s="135" t="n">
        <f aca="false">$G1599*'Analyse capacite'!$F$8</f>
        <v>0</v>
      </c>
      <c r="I1599" s="135" t="n">
        <f aca="false">$G1599*'Analyse capacite'!$C$8</f>
        <v>0</v>
      </c>
      <c r="J1599" s="135" t="n">
        <f aca="false">$G1599*'Analyse capacite'!$D$8</f>
        <v>0</v>
      </c>
      <c r="K1599" s="135" t="n">
        <f aca="false">$G1599*'Analyse capacite'!$E$8</f>
        <v>0</v>
      </c>
    </row>
    <row r="1600" customFormat="false" ht="15" hidden="false" customHeight="false" outlineLevel="0" collapsed="false">
      <c r="B1600" s="130" t="n">
        <v>2027</v>
      </c>
      <c r="C1600" s="131" t="s">
        <v>247</v>
      </c>
      <c r="D1600" s="132" t="n">
        <v>46522</v>
      </c>
      <c r="E1600" s="131" t="s">
        <v>36</v>
      </c>
      <c r="F1600" s="133" t="s">
        <v>24</v>
      </c>
      <c r="G1600" s="134" t="n">
        <f aca="false">LEN('Saisie programme'!$I$63)+SUMIFS('Vols additionnels'!$E$7:$E$66,'Vols additionnels'!$C$7:$C$66,$E1600,'Vols additionnels'!$D$7:$D$66,$F1600,'Vols additionnels'!$B$7:$B$66,$D1600)</f>
        <v>0</v>
      </c>
      <c r="H1600" s="135" t="n">
        <f aca="false">$G1600*'Analyse capacite'!$F$9</f>
        <v>0</v>
      </c>
      <c r="I1600" s="135" t="n">
        <f aca="false">$G1600*'Analyse capacite'!$C$9</f>
        <v>0</v>
      </c>
      <c r="J1600" s="135" t="n">
        <f aca="false">$G1600*'Analyse capacite'!$D$9</f>
        <v>0</v>
      </c>
      <c r="K1600" s="135" t="n">
        <f aca="false">$G1600*'Analyse capacite'!$E$9</f>
        <v>0</v>
      </c>
    </row>
    <row r="1601" customFormat="false" ht="15" hidden="false" customHeight="false" outlineLevel="0" collapsed="false">
      <c r="B1601" s="130" t="n">
        <v>2027</v>
      </c>
      <c r="C1601" s="131" t="s">
        <v>247</v>
      </c>
      <c r="D1601" s="132" t="n">
        <v>46522</v>
      </c>
      <c r="E1601" s="131" t="s">
        <v>40</v>
      </c>
      <c r="F1601" s="133" t="s">
        <v>11</v>
      </c>
      <c r="G1601" s="134" t="n">
        <f aca="false">LEN('Saisie programme'!$I$64)+SUMIFS('Vols additionnels'!$E$7:$E$66,'Vols additionnels'!$C$7:$C$66,$E1601,'Vols additionnels'!$D$7:$D$66,$F1601,'Vols additionnels'!$B$7:$B$66,$D1601)</f>
        <v>0</v>
      </c>
      <c r="H1601" s="135" t="n">
        <f aca="false">$G1601*'Analyse capacite'!$F$7</f>
        <v>0</v>
      </c>
      <c r="I1601" s="135" t="n">
        <f aca="false">$G1601*'Analyse capacite'!$C$7</f>
        <v>0</v>
      </c>
      <c r="J1601" s="135" t="n">
        <f aca="false">$G1601*'Analyse capacite'!$D$7</f>
        <v>0</v>
      </c>
      <c r="K1601" s="135" t="n">
        <f aca="false">$G1601*'Analyse capacite'!$E$7</f>
        <v>0</v>
      </c>
    </row>
    <row r="1602" customFormat="false" ht="15" hidden="false" customHeight="false" outlineLevel="0" collapsed="false">
      <c r="B1602" s="130" t="n">
        <v>2027</v>
      </c>
      <c r="C1602" s="131" t="s">
        <v>247</v>
      </c>
      <c r="D1602" s="132" t="n">
        <v>46522</v>
      </c>
      <c r="E1602" s="131" t="s">
        <v>40</v>
      </c>
      <c r="F1602" s="133" t="s">
        <v>19</v>
      </c>
      <c r="G1602" s="134" t="n">
        <f aca="false">LEN('Saisie programme'!$I$65)+SUMIFS('Vols additionnels'!$E$7:$E$66,'Vols additionnels'!$C$7:$C$66,$E1602,'Vols additionnels'!$D$7:$D$66,$F1602,'Vols additionnels'!$B$7:$B$66,$D1602)</f>
        <v>0</v>
      </c>
      <c r="H1602" s="135" t="n">
        <f aca="false">$G1602*'Analyse capacite'!$F$8</f>
        <v>0</v>
      </c>
      <c r="I1602" s="135" t="n">
        <f aca="false">$G1602*'Analyse capacite'!$C$8</f>
        <v>0</v>
      </c>
      <c r="J1602" s="135" t="n">
        <f aca="false">$G1602*'Analyse capacite'!$D$8</f>
        <v>0</v>
      </c>
      <c r="K1602" s="135" t="n">
        <f aca="false">$G1602*'Analyse capacite'!$E$8</f>
        <v>0</v>
      </c>
    </row>
    <row r="1603" customFormat="false" ht="15" hidden="false" customHeight="false" outlineLevel="0" collapsed="false">
      <c r="B1603" s="130" t="n">
        <v>2027</v>
      </c>
      <c r="C1603" s="131" t="s">
        <v>247</v>
      </c>
      <c r="D1603" s="132" t="n">
        <v>46522</v>
      </c>
      <c r="E1603" s="131" t="s">
        <v>40</v>
      </c>
      <c r="F1603" s="133" t="s">
        <v>24</v>
      </c>
      <c r="G1603" s="134" t="n">
        <f aca="false">LEN('Saisie programme'!$I$66)+SUMIFS('Vols additionnels'!$E$7:$E$66,'Vols additionnels'!$C$7:$C$66,$E1603,'Vols additionnels'!$D$7:$D$66,$F1603,'Vols additionnels'!$B$7:$B$66,$D1603)</f>
        <v>0</v>
      </c>
      <c r="H1603" s="135" t="n">
        <f aca="false">$G1603*'Analyse capacite'!$F$9</f>
        <v>0</v>
      </c>
      <c r="I1603" s="135" t="n">
        <f aca="false">$G1603*'Analyse capacite'!$C$9</f>
        <v>0</v>
      </c>
      <c r="J1603" s="135" t="n">
        <f aca="false">$G1603*'Analyse capacite'!$D$9</f>
        <v>0</v>
      </c>
      <c r="K1603" s="135" t="n">
        <f aca="false">$G1603*'Analyse capacite'!$E$9</f>
        <v>0</v>
      </c>
    </row>
    <row r="1604" customFormat="false" ht="15" hidden="false" customHeight="false" outlineLevel="0" collapsed="false">
      <c r="B1604" s="130" t="n">
        <v>2027</v>
      </c>
      <c r="C1604" s="131" t="s">
        <v>247</v>
      </c>
      <c r="D1604" s="132" t="n">
        <v>46522</v>
      </c>
      <c r="E1604" s="131" t="s">
        <v>14</v>
      </c>
      <c r="F1604" s="133" t="s">
        <v>11</v>
      </c>
      <c r="G1604" s="134" t="n">
        <f aca="false">LEN('Saisie programme'!$I$67)+SUMIFS('Vols additionnels'!$E$7:$E$66,'Vols additionnels'!$C$7:$C$66,$E1604,'Vols additionnels'!$D$7:$D$66,$F1604,'Vols additionnels'!$B$7:$B$66,$D1604)</f>
        <v>0</v>
      </c>
      <c r="H1604" s="135" t="n">
        <f aca="false">$G1604*'Analyse capacite'!$F$7</f>
        <v>0</v>
      </c>
      <c r="I1604" s="135" t="n">
        <f aca="false">$G1604*'Analyse capacite'!$C$7</f>
        <v>0</v>
      </c>
      <c r="J1604" s="135" t="n">
        <f aca="false">$G1604*'Analyse capacite'!$D$7</f>
        <v>0</v>
      </c>
      <c r="K1604" s="135" t="n">
        <f aca="false">$G1604*'Analyse capacite'!$E$7</f>
        <v>0</v>
      </c>
    </row>
    <row r="1605" customFormat="false" ht="15" hidden="false" customHeight="false" outlineLevel="0" collapsed="false">
      <c r="B1605" s="130" t="n">
        <v>2027</v>
      </c>
      <c r="C1605" s="131" t="s">
        <v>247</v>
      </c>
      <c r="D1605" s="132" t="n">
        <v>46522</v>
      </c>
      <c r="E1605" s="131" t="s">
        <v>14</v>
      </c>
      <c r="F1605" s="133" t="s">
        <v>19</v>
      </c>
      <c r="G1605" s="134" t="n">
        <f aca="false">LEN('Saisie programme'!$I$68)+SUMIFS('Vols additionnels'!$E$7:$E$66,'Vols additionnels'!$C$7:$C$66,$E1605,'Vols additionnels'!$D$7:$D$66,$F1605,'Vols additionnels'!$B$7:$B$66,$D1605)</f>
        <v>0</v>
      </c>
      <c r="H1605" s="135" t="n">
        <f aca="false">$G1605*'Analyse capacite'!$F$8</f>
        <v>0</v>
      </c>
      <c r="I1605" s="135" t="n">
        <f aca="false">$G1605*'Analyse capacite'!$C$8</f>
        <v>0</v>
      </c>
      <c r="J1605" s="135" t="n">
        <f aca="false">$G1605*'Analyse capacite'!$D$8</f>
        <v>0</v>
      </c>
      <c r="K1605" s="135" t="n">
        <f aca="false">$G1605*'Analyse capacite'!$E$8</f>
        <v>0</v>
      </c>
    </row>
    <row r="1606" customFormat="false" ht="15" hidden="false" customHeight="false" outlineLevel="0" collapsed="false">
      <c r="B1606" s="130" t="n">
        <v>2027</v>
      </c>
      <c r="C1606" s="131" t="s">
        <v>247</v>
      </c>
      <c r="D1606" s="132" t="n">
        <v>46522</v>
      </c>
      <c r="E1606" s="131" t="s">
        <v>14</v>
      </c>
      <c r="F1606" s="133" t="s">
        <v>24</v>
      </c>
      <c r="G1606" s="134" t="n">
        <f aca="false">LEN('Saisie programme'!$I$69)+SUMIFS('Vols additionnels'!$E$7:$E$66,'Vols additionnels'!$C$7:$C$66,$E1606,'Vols additionnels'!$D$7:$D$66,$F1606,'Vols additionnels'!$B$7:$B$66,$D1606)</f>
        <v>1</v>
      </c>
      <c r="H1606" s="135" t="n">
        <f aca="false">$G1606*'Analyse capacite'!$F$9</f>
        <v>174</v>
      </c>
      <c r="I1606" s="135" t="n">
        <f aca="false">$G1606*'Analyse capacite'!$C$9</f>
        <v>0</v>
      </c>
      <c r="J1606" s="135" t="n">
        <f aca="false">$G1606*'Analyse capacite'!$D$9</f>
        <v>12</v>
      </c>
      <c r="K1606" s="135" t="n">
        <f aca="false">$G1606*'Analyse capacite'!$E$9</f>
        <v>162</v>
      </c>
    </row>
    <row r="1607" customFormat="false" ht="15" hidden="false" customHeight="false" outlineLevel="0" collapsed="false">
      <c r="B1607" s="130" t="n">
        <v>2027</v>
      </c>
      <c r="C1607" s="131" t="s">
        <v>247</v>
      </c>
      <c r="D1607" s="132" t="n">
        <v>46522</v>
      </c>
      <c r="E1607" s="131" t="s">
        <v>46</v>
      </c>
      <c r="F1607" s="133" t="s">
        <v>11</v>
      </c>
      <c r="G1607" s="134" t="n">
        <f aca="false">LEN('Saisie programme'!$I$70)+SUMIFS('Vols additionnels'!$E$7:$E$66,'Vols additionnels'!$C$7:$C$66,$E1607,'Vols additionnels'!$D$7:$D$66,$F1607,'Vols additionnels'!$B$7:$B$66,$D1607)</f>
        <v>0</v>
      </c>
      <c r="H1607" s="135" t="n">
        <f aca="false">$G1607*'Analyse capacite'!$F$7</f>
        <v>0</v>
      </c>
      <c r="I1607" s="135" t="n">
        <f aca="false">$G1607*'Analyse capacite'!$C$7</f>
        <v>0</v>
      </c>
      <c r="J1607" s="135" t="n">
        <f aca="false">$G1607*'Analyse capacite'!$D$7</f>
        <v>0</v>
      </c>
      <c r="K1607" s="135" t="n">
        <f aca="false">$G1607*'Analyse capacite'!$E$7</f>
        <v>0</v>
      </c>
    </row>
    <row r="1608" customFormat="false" ht="15" hidden="false" customHeight="false" outlineLevel="0" collapsed="false">
      <c r="B1608" s="130" t="n">
        <v>2027</v>
      </c>
      <c r="C1608" s="131" t="s">
        <v>247</v>
      </c>
      <c r="D1608" s="132" t="n">
        <v>46522</v>
      </c>
      <c r="E1608" s="131" t="s">
        <v>46</v>
      </c>
      <c r="F1608" s="133" t="s">
        <v>19</v>
      </c>
      <c r="G1608" s="134" t="n">
        <f aca="false">LEN('Saisie programme'!$I$71)+SUMIFS('Vols additionnels'!$E$7:$E$66,'Vols additionnels'!$C$7:$C$66,$E1608,'Vols additionnels'!$D$7:$D$66,$F1608,'Vols additionnels'!$B$7:$B$66,$D1608)</f>
        <v>0</v>
      </c>
      <c r="H1608" s="135" t="n">
        <f aca="false">$G1608*'Analyse capacite'!$F$8</f>
        <v>0</v>
      </c>
      <c r="I1608" s="135" t="n">
        <f aca="false">$G1608*'Analyse capacite'!$C$8</f>
        <v>0</v>
      </c>
      <c r="J1608" s="135" t="n">
        <f aca="false">$G1608*'Analyse capacite'!$D$8</f>
        <v>0</v>
      </c>
      <c r="K1608" s="135" t="n">
        <f aca="false">$G1608*'Analyse capacite'!$E$8</f>
        <v>0</v>
      </c>
    </row>
    <row r="1609" customFormat="false" ht="15" hidden="false" customHeight="false" outlineLevel="0" collapsed="false">
      <c r="B1609" s="130" t="n">
        <v>2027</v>
      </c>
      <c r="C1609" s="131" t="s">
        <v>247</v>
      </c>
      <c r="D1609" s="132" t="n">
        <v>46522</v>
      </c>
      <c r="E1609" s="131" t="s">
        <v>46</v>
      </c>
      <c r="F1609" s="133" t="s">
        <v>24</v>
      </c>
      <c r="G1609" s="134" t="n">
        <f aca="false">LEN('Saisie programme'!$I$72)+SUMIFS('Vols additionnels'!$E$7:$E$66,'Vols additionnels'!$C$7:$C$66,$E1609,'Vols additionnels'!$D$7:$D$66,$F1609,'Vols additionnels'!$B$7:$B$66,$D1609)</f>
        <v>1</v>
      </c>
      <c r="H1609" s="135" t="n">
        <f aca="false">$G1609*'Analyse capacite'!$F$9</f>
        <v>174</v>
      </c>
      <c r="I1609" s="135" t="n">
        <f aca="false">$G1609*'Analyse capacite'!$C$9</f>
        <v>0</v>
      </c>
      <c r="J1609" s="135" t="n">
        <f aca="false">$G1609*'Analyse capacite'!$D$9</f>
        <v>12</v>
      </c>
      <c r="K1609" s="135" t="n">
        <f aca="false">$G1609*'Analyse capacite'!$E$9</f>
        <v>162</v>
      </c>
    </row>
    <row r="1610" customFormat="false" ht="15" hidden="false" customHeight="false" outlineLevel="0" collapsed="false">
      <c r="B1610" s="130" t="n">
        <v>2027</v>
      </c>
      <c r="C1610" s="131" t="s">
        <v>247</v>
      </c>
      <c r="D1610" s="132" t="n">
        <v>46522</v>
      </c>
      <c r="E1610" s="131" t="s">
        <v>49</v>
      </c>
      <c r="F1610" s="133" t="s">
        <v>11</v>
      </c>
      <c r="G1610" s="134" t="n">
        <f aca="false">LEN('Saisie programme'!$I$73)+SUMIFS('Vols additionnels'!$E$7:$E$66,'Vols additionnels'!$C$7:$C$66,$E1610,'Vols additionnels'!$D$7:$D$66,$F1610,'Vols additionnels'!$B$7:$B$66,$D1610)</f>
        <v>0</v>
      </c>
      <c r="H1610" s="135" t="n">
        <f aca="false">$G1610*'Analyse capacite'!$F$7</f>
        <v>0</v>
      </c>
      <c r="I1610" s="135" t="n">
        <f aca="false">$G1610*'Analyse capacite'!$C$7</f>
        <v>0</v>
      </c>
      <c r="J1610" s="135" t="n">
        <f aca="false">$G1610*'Analyse capacite'!$D$7</f>
        <v>0</v>
      </c>
      <c r="K1610" s="135" t="n">
        <f aca="false">$G1610*'Analyse capacite'!$E$7</f>
        <v>0</v>
      </c>
    </row>
    <row r="1611" customFormat="false" ht="15" hidden="false" customHeight="false" outlineLevel="0" collapsed="false">
      <c r="B1611" s="130" t="n">
        <v>2027</v>
      </c>
      <c r="C1611" s="131" t="s">
        <v>247</v>
      </c>
      <c r="D1611" s="132" t="n">
        <v>46522</v>
      </c>
      <c r="E1611" s="131" t="s">
        <v>49</v>
      </c>
      <c r="F1611" s="133" t="s">
        <v>19</v>
      </c>
      <c r="G1611" s="134" t="n">
        <f aca="false">LEN('Saisie programme'!$I$74)+SUMIFS('Vols additionnels'!$E$7:$E$66,'Vols additionnels'!$C$7:$C$66,$E1611,'Vols additionnels'!$D$7:$D$66,$F1611,'Vols additionnels'!$B$7:$B$66,$D1611)</f>
        <v>0</v>
      </c>
      <c r="H1611" s="135" t="n">
        <f aca="false">$G1611*'Analyse capacite'!$F$8</f>
        <v>0</v>
      </c>
      <c r="I1611" s="135" t="n">
        <f aca="false">$G1611*'Analyse capacite'!$C$8</f>
        <v>0</v>
      </c>
      <c r="J1611" s="135" t="n">
        <f aca="false">$G1611*'Analyse capacite'!$D$8</f>
        <v>0</v>
      </c>
      <c r="K1611" s="135" t="n">
        <f aca="false">$G1611*'Analyse capacite'!$E$8</f>
        <v>0</v>
      </c>
    </row>
    <row r="1612" customFormat="false" ht="15" hidden="false" customHeight="false" outlineLevel="0" collapsed="false">
      <c r="B1612" s="130" t="n">
        <v>2027</v>
      </c>
      <c r="C1612" s="131" t="s">
        <v>247</v>
      </c>
      <c r="D1612" s="132" t="n">
        <v>46522</v>
      </c>
      <c r="E1612" s="131" t="s">
        <v>49</v>
      </c>
      <c r="F1612" s="133" t="s">
        <v>24</v>
      </c>
      <c r="G1612" s="134" t="n">
        <f aca="false">LEN('Saisie programme'!$I$75)+SUMIFS('Vols additionnels'!$E$7:$E$66,'Vols additionnels'!$C$7:$C$66,$E1612,'Vols additionnels'!$D$7:$D$66,$F1612,'Vols additionnels'!$B$7:$B$66,$D1612)</f>
        <v>0</v>
      </c>
      <c r="H1612" s="135" t="n">
        <f aca="false">$G1612*'Analyse capacite'!$F$9</f>
        <v>0</v>
      </c>
      <c r="I1612" s="135" t="n">
        <f aca="false">$G1612*'Analyse capacite'!$C$9</f>
        <v>0</v>
      </c>
      <c r="J1612" s="135" t="n">
        <f aca="false">$G1612*'Analyse capacite'!$D$9</f>
        <v>0</v>
      </c>
      <c r="K1612" s="135" t="n">
        <f aca="false">$G1612*'Analyse capacite'!$E$9</f>
        <v>0</v>
      </c>
    </row>
    <row r="1613" customFormat="false" ht="15" hidden="false" customHeight="false" outlineLevel="0" collapsed="false">
      <c r="B1613" s="130" t="n">
        <v>2027</v>
      </c>
      <c r="C1613" s="131" t="s">
        <v>247</v>
      </c>
      <c r="D1613" s="132" t="n">
        <v>46522</v>
      </c>
      <c r="E1613" s="131" t="s">
        <v>53</v>
      </c>
      <c r="F1613" s="133" t="s">
        <v>11</v>
      </c>
      <c r="G1613" s="134" t="n">
        <f aca="false">LEN('Saisie programme'!$I$76)+SUMIFS('Vols additionnels'!$E$7:$E$66,'Vols additionnels'!$C$7:$C$66,$E1613,'Vols additionnels'!$D$7:$D$66,$F1613,'Vols additionnels'!$B$7:$B$66,$D1613)</f>
        <v>0</v>
      </c>
      <c r="H1613" s="135" t="n">
        <f aca="false">$G1613*'Analyse capacite'!$F$7</f>
        <v>0</v>
      </c>
      <c r="I1613" s="135" t="n">
        <f aca="false">$G1613*'Analyse capacite'!$C$7</f>
        <v>0</v>
      </c>
      <c r="J1613" s="135" t="n">
        <f aca="false">$G1613*'Analyse capacite'!$D$7</f>
        <v>0</v>
      </c>
      <c r="K1613" s="135" t="n">
        <f aca="false">$G1613*'Analyse capacite'!$E$7</f>
        <v>0</v>
      </c>
    </row>
    <row r="1614" customFormat="false" ht="15" hidden="false" customHeight="false" outlineLevel="0" collapsed="false">
      <c r="B1614" s="130" t="n">
        <v>2027</v>
      </c>
      <c r="C1614" s="131" t="s">
        <v>247</v>
      </c>
      <c r="D1614" s="132" t="n">
        <v>46522</v>
      </c>
      <c r="E1614" s="131" t="s">
        <v>53</v>
      </c>
      <c r="F1614" s="133" t="s">
        <v>19</v>
      </c>
      <c r="G1614" s="134" t="n">
        <f aca="false">LEN('Saisie programme'!$I$77)+SUMIFS('Vols additionnels'!$E$7:$E$66,'Vols additionnels'!$C$7:$C$66,$E1614,'Vols additionnels'!$D$7:$D$66,$F1614,'Vols additionnels'!$B$7:$B$66,$D1614)</f>
        <v>0</v>
      </c>
      <c r="H1614" s="135" t="n">
        <f aca="false">$G1614*'Analyse capacite'!$F$8</f>
        <v>0</v>
      </c>
      <c r="I1614" s="135" t="n">
        <f aca="false">$G1614*'Analyse capacite'!$C$8</f>
        <v>0</v>
      </c>
      <c r="J1614" s="135" t="n">
        <f aca="false">$G1614*'Analyse capacite'!$D$8</f>
        <v>0</v>
      </c>
      <c r="K1614" s="135" t="n">
        <f aca="false">$G1614*'Analyse capacite'!$E$8</f>
        <v>0</v>
      </c>
    </row>
    <row r="1615" customFormat="false" ht="15" hidden="false" customHeight="false" outlineLevel="0" collapsed="false">
      <c r="B1615" s="130" t="n">
        <v>2027</v>
      </c>
      <c r="C1615" s="131" t="s">
        <v>247</v>
      </c>
      <c r="D1615" s="132" t="n">
        <v>46522</v>
      </c>
      <c r="E1615" s="131" t="s">
        <v>53</v>
      </c>
      <c r="F1615" s="133" t="s">
        <v>24</v>
      </c>
      <c r="G1615" s="134" t="n">
        <f aca="false">LEN('Saisie programme'!$I$78)+SUMIFS('Vols additionnels'!$E$7:$E$66,'Vols additionnels'!$C$7:$C$66,$E1615,'Vols additionnels'!$D$7:$D$66,$F1615,'Vols additionnels'!$B$7:$B$66,$D1615)</f>
        <v>0</v>
      </c>
      <c r="H1615" s="135" t="n">
        <f aca="false">$G1615*'Analyse capacite'!$F$9</f>
        <v>0</v>
      </c>
      <c r="I1615" s="135" t="n">
        <f aca="false">$G1615*'Analyse capacite'!$C$9</f>
        <v>0</v>
      </c>
      <c r="J1615" s="135" t="n">
        <f aca="false">$G1615*'Analyse capacite'!$D$9</f>
        <v>0</v>
      </c>
      <c r="K1615" s="135" t="n">
        <f aca="false">$G1615*'Analyse capacite'!$E$9</f>
        <v>0</v>
      </c>
    </row>
    <row r="1616" customFormat="false" ht="15" hidden="false" customHeight="false" outlineLevel="0" collapsed="false">
      <c r="B1616" s="130" t="n">
        <v>2027</v>
      </c>
      <c r="C1616" s="131" t="s">
        <v>247</v>
      </c>
      <c r="D1616" s="132" t="n">
        <v>46522</v>
      </c>
      <c r="E1616" s="131" t="s">
        <v>56</v>
      </c>
      <c r="F1616" s="133" t="s">
        <v>11</v>
      </c>
      <c r="G1616" s="134" t="n">
        <f aca="false">LEN('Saisie programme'!$I$79)+SUMIFS('Vols additionnels'!$E$7:$E$66,'Vols additionnels'!$C$7:$C$66,$E1616,'Vols additionnels'!$D$7:$D$66,$F1616,'Vols additionnels'!$B$7:$B$66,$D1616)</f>
        <v>0</v>
      </c>
      <c r="H1616" s="135" t="n">
        <f aca="false">$G1616*'Analyse capacite'!$F$7</f>
        <v>0</v>
      </c>
      <c r="I1616" s="135" t="n">
        <f aca="false">$G1616*'Analyse capacite'!$C$7</f>
        <v>0</v>
      </c>
      <c r="J1616" s="135" t="n">
        <f aca="false">$G1616*'Analyse capacite'!$D$7</f>
        <v>0</v>
      </c>
      <c r="K1616" s="135" t="n">
        <f aca="false">$G1616*'Analyse capacite'!$E$7</f>
        <v>0</v>
      </c>
    </row>
    <row r="1617" customFormat="false" ht="15" hidden="false" customHeight="false" outlineLevel="0" collapsed="false">
      <c r="B1617" s="130" t="n">
        <v>2027</v>
      </c>
      <c r="C1617" s="131" t="s">
        <v>247</v>
      </c>
      <c r="D1617" s="132" t="n">
        <v>46522</v>
      </c>
      <c r="E1617" s="131" t="s">
        <v>56</v>
      </c>
      <c r="F1617" s="133" t="s">
        <v>19</v>
      </c>
      <c r="G1617" s="134" t="n">
        <f aca="false">LEN('Saisie programme'!$I$80)+SUMIFS('Vols additionnels'!$E$7:$E$66,'Vols additionnels'!$C$7:$C$66,$E1617,'Vols additionnels'!$D$7:$D$66,$F1617,'Vols additionnels'!$B$7:$B$66,$D1617)</f>
        <v>0</v>
      </c>
      <c r="H1617" s="135" t="n">
        <f aca="false">$G1617*'Analyse capacite'!$F$8</f>
        <v>0</v>
      </c>
      <c r="I1617" s="135" t="n">
        <f aca="false">$G1617*'Analyse capacite'!$C$8</f>
        <v>0</v>
      </c>
      <c r="J1617" s="135" t="n">
        <f aca="false">$G1617*'Analyse capacite'!$D$8</f>
        <v>0</v>
      </c>
      <c r="K1617" s="135" t="n">
        <f aca="false">$G1617*'Analyse capacite'!$E$8</f>
        <v>0</v>
      </c>
    </row>
    <row r="1618" customFormat="false" ht="15" hidden="false" customHeight="false" outlineLevel="0" collapsed="false">
      <c r="B1618" s="130" t="n">
        <v>2027</v>
      </c>
      <c r="C1618" s="131" t="s">
        <v>247</v>
      </c>
      <c r="D1618" s="132" t="n">
        <v>46522</v>
      </c>
      <c r="E1618" s="131" t="s">
        <v>56</v>
      </c>
      <c r="F1618" s="133" t="s">
        <v>24</v>
      </c>
      <c r="G1618" s="134" t="n">
        <f aca="false">LEN('Saisie programme'!$I$81)+SUMIFS('Vols additionnels'!$E$7:$E$66,'Vols additionnels'!$C$7:$C$66,$E1618,'Vols additionnels'!$D$7:$D$66,$F1618,'Vols additionnels'!$B$7:$B$66,$D1618)</f>
        <v>1</v>
      </c>
      <c r="H1618" s="135" t="n">
        <f aca="false">$G1618*'Analyse capacite'!$F$9</f>
        <v>174</v>
      </c>
      <c r="I1618" s="135" t="n">
        <f aca="false">$G1618*'Analyse capacite'!$C$9</f>
        <v>0</v>
      </c>
      <c r="J1618" s="135" t="n">
        <f aca="false">$G1618*'Analyse capacite'!$D$9</f>
        <v>12</v>
      </c>
      <c r="K1618" s="135" t="n">
        <f aca="false">$G1618*'Analyse capacite'!$E$9</f>
        <v>162</v>
      </c>
    </row>
    <row r="1619" customFormat="false" ht="15" hidden="false" customHeight="false" outlineLevel="0" collapsed="false">
      <c r="B1619" s="130" t="n">
        <v>2027</v>
      </c>
      <c r="C1619" s="131" t="s">
        <v>247</v>
      </c>
      <c r="D1619" s="132" t="n">
        <v>46522</v>
      </c>
      <c r="E1619" s="131" t="s">
        <v>59</v>
      </c>
      <c r="F1619" s="133" t="s">
        <v>11</v>
      </c>
      <c r="G1619" s="134" t="n">
        <f aca="false">LEN('Saisie programme'!$I$82)+SUMIFS('Vols additionnels'!$E$7:$E$66,'Vols additionnels'!$C$7:$C$66,$E1619,'Vols additionnels'!$D$7:$D$66,$F1619,'Vols additionnels'!$B$7:$B$66,$D1619)</f>
        <v>0</v>
      </c>
      <c r="H1619" s="135" t="n">
        <f aca="false">$G1619*'Analyse capacite'!$F$7</f>
        <v>0</v>
      </c>
      <c r="I1619" s="135" t="n">
        <f aca="false">$G1619*'Analyse capacite'!$C$7</f>
        <v>0</v>
      </c>
      <c r="J1619" s="135" t="n">
        <f aca="false">$G1619*'Analyse capacite'!$D$7</f>
        <v>0</v>
      </c>
      <c r="K1619" s="135" t="n">
        <f aca="false">$G1619*'Analyse capacite'!$E$7</f>
        <v>0</v>
      </c>
    </row>
    <row r="1620" customFormat="false" ht="15" hidden="false" customHeight="false" outlineLevel="0" collapsed="false">
      <c r="B1620" s="130" t="n">
        <v>2027</v>
      </c>
      <c r="C1620" s="131" t="s">
        <v>247</v>
      </c>
      <c r="D1620" s="132" t="n">
        <v>46522</v>
      </c>
      <c r="E1620" s="131" t="s">
        <v>59</v>
      </c>
      <c r="F1620" s="133" t="s">
        <v>19</v>
      </c>
      <c r="G1620" s="134" t="n">
        <f aca="false">LEN('Saisie programme'!$I$83)+SUMIFS('Vols additionnels'!$E$7:$E$66,'Vols additionnels'!$C$7:$C$66,$E1620,'Vols additionnels'!$D$7:$D$66,$F1620,'Vols additionnels'!$B$7:$B$66,$D1620)</f>
        <v>0</v>
      </c>
      <c r="H1620" s="135" t="n">
        <f aca="false">$G1620*'Analyse capacite'!$F$8</f>
        <v>0</v>
      </c>
      <c r="I1620" s="135" t="n">
        <f aca="false">$G1620*'Analyse capacite'!$C$8</f>
        <v>0</v>
      </c>
      <c r="J1620" s="135" t="n">
        <f aca="false">$G1620*'Analyse capacite'!$D$8</f>
        <v>0</v>
      </c>
      <c r="K1620" s="135" t="n">
        <f aca="false">$G1620*'Analyse capacite'!$E$8</f>
        <v>0</v>
      </c>
    </row>
    <row r="1621" customFormat="false" ht="15" hidden="false" customHeight="false" outlineLevel="0" collapsed="false">
      <c r="B1621" s="130" t="n">
        <v>2027</v>
      </c>
      <c r="C1621" s="131" t="s">
        <v>247</v>
      </c>
      <c r="D1621" s="132" t="n">
        <v>46522</v>
      </c>
      <c r="E1621" s="131" t="s">
        <v>59</v>
      </c>
      <c r="F1621" s="133" t="s">
        <v>24</v>
      </c>
      <c r="G1621" s="134" t="n">
        <f aca="false">LEN('Saisie programme'!$I$84)+SUMIFS('Vols additionnels'!$E$7:$E$66,'Vols additionnels'!$C$7:$C$66,$E1621,'Vols additionnels'!$D$7:$D$66,$F1621,'Vols additionnels'!$B$7:$B$66,$D1621)</f>
        <v>1</v>
      </c>
      <c r="H1621" s="135" t="n">
        <f aca="false">$G1621*'Analyse capacite'!$F$9</f>
        <v>174</v>
      </c>
      <c r="I1621" s="135" t="n">
        <f aca="false">$G1621*'Analyse capacite'!$C$9</f>
        <v>0</v>
      </c>
      <c r="J1621" s="135" t="n">
        <f aca="false">$G1621*'Analyse capacite'!$D$9</f>
        <v>12</v>
      </c>
      <c r="K1621" s="135" t="n">
        <f aca="false">$G1621*'Analyse capacite'!$E$9</f>
        <v>162</v>
      </c>
    </row>
    <row r="1622" customFormat="false" ht="15" hidden="false" customHeight="false" outlineLevel="0" collapsed="false">
      <c r="B1622" s="130" t="n">
        <v>2027</v>
      </c>
      <c r="C1622" s="131" t="s">
        <v>247</v>
      </c>
      <c r="D1622" s="132" t="n">
        <v>46522</v>
      </c>
      <c r="E1622" s="131" t="s">
        <v>62</v>
      </c>
      <c r="F1622" s="133" t="s">
        <v>11</v>
      </c>
      <c r="G1622" s="134" t="n">
        <f aca="false">LEN('Saisie programme'!$I$85)+SUMIFS('Vols additionnels'!$E$7:$E$66,'Vols additionnels'!$C$7:$C$66,$E1622,'Vols additionnels'!$D$7:$D$66,$F1622,'Vols additionnels'!$B$7:$B$66,$D1622)</f>
        <v>0</v>
      </c>
      <c r="H1622" s="135" t="n">
        <f aca="false">$G1622*'Analyse capacite'!$F$7</f>
        <v>0</v>
      </c>
      <c r="I1622" s="135" t="n">
        <f aca="false">$G1622*'Analyse capacite'!$C$7</f>
        <v>0</v>
      </c>
      <c r="J1622" s="135" t="n">
        <f aca="false">$G1622*'Analyse capacite'!$D$7</f>
        <v>0</v>
      </c>
      <c r="K1622" s="135" t="n">
        <f aca="false">$G1622*'Analyse capacite'!$E$7</f>
        <v>0</v>
      </c>
    </row>
    <row r="1623" customFormat="false" ht="15" hidden="false" customHeight="false" outlineLevel="0" collapsed="false">
      <c r="B1623" s="130" t="n">
        <v>2027</v>
      </c>
      <c r="C1623" s="131" t="s">
        <v>247</v>
      </c>
      <c r="D1623" s="132" t="n">
        <v>46522</v>
      </c>
      <c r="E1623" s="131" t="s">
        <v>62</v>
      </c>
      <c r="F1623" s="133" t="s">
        <v>19</v>
      </c>
      <c r="G1623" s="134" t="n">
        <f aca="false">LEN('Saisie programme'!$I$86)+SUMIFS('Vols additionnels'!$E$7:$E$66,'Vols additionnels'!$C$7:$C$66,$E1623,'Vols additionnels'!$D$7:$D$66,$F1623,'Vols additionnels'!$B$7:$B$66,$D1623)</f>
        <v>0</v>
      </c>
      <c r="H1623" s="135" t="n">
        <f aca="false">$G1623*'Analyse capacite'!$F$8</f>
        <v>0</v>
      </c>
      <c r="I1623" s="135" t="n">
        <f aca="false">$G1623*'Analyse capacite'!$C$8</f>
        <v>0</v>
      </c>
      <c r="J1623" s="135" t="n">
        <f aca="false">$G1623*'Analyse capacite'!$D$8</f>
        <v>0</v>
      </c>
      <c r="K1623" s="135" t="n">
        <f aca="false">$G1623*'Analyse capacite'!$E$8</f>
        <v>0</v>
      </c>
    </row>
    <row r="1624" customFormat="false" ht="15" hidden="false" customHeight="false" outlineLevel="0" collapsed="false">
      <c r="B1624" s="130" t="n">
        <v>2027</v>
      </c>
      <c r="C1624" s="131" t="s">
        <v>247</v>
      </c>
      <c r="D1624" s="132" t="n">
        <v>46522</v>
      </c>
      <c r="E1624" s="131" t="s">
        <v>62</v>
      </c>
      <c r="F1624" s="133" t="s">
        <v>24</v>
      </c>
      <c r="G1624" s="134" t="n">
        <f aca="false">LEN('Saisie programme'!$I$87)+SUMIFS('Vols additionnels'!$E$7:$E$66,'Vols additionnels'!$C$7:$C$66,$E1624,'Vols additionnels'!$D$7:$D$66,$F1624,'Vols additionnels'!$B$7:$B$66,$D1624)</f>
        <v>0</v>
      </c>
      <c r="H1624" s="135" t="n">
        <f aca="false">$G1624*'Analyse capacite'!$F$9</f>
        <v>0</v>
      </c>
      <c r="I1624" s="135" t="n">
        <f aca="false">$G1624*'Analyse capacite'!$C$9</f>
        <v>0</v>
      </c>
      <c r="J1624" s="135" t="n">
        <f aca="false">$G1624*'Analyse capacite'!$D$9</f>
        <v>0</v>
      </c>
      <c r="K1624" s="135" t="n">
        <f aca="false">$G1624*'Analyse capacite'!$E$9</f>
        <v>0</v>
      </c>
    </row>
    <row r="1625" customFormat="false" ht="15" hidden="false" customHeight="false" outlineLevel="0" collapsed="false">
      <c r="B1625" s="130" t="n">
        <v>2027</v>
      </c>
      <c r="C1625" s="131" t="s">
        <v>247</v>
      </c>
      <c r="D1625" s="132" t="n">
        <v>46523</v>
      </c>
      <c r="E1625" s="131" t="s">
        <v>12</v>
      </c>
      <c r="F1625" s="133" t="s">
        <v>11</v>
      </c>
      <c r="G1625" s="134" t="n">
        <f aca="false">LEN('Saisie programme'!$J$52)+SUMIFS('Vols additionnels'!$E$7:$E$66,'Vols additionnels'!$C$7:$C$66,$E1625,'Vols additionnels'!$D$7:$D$66,$F1625,'Vols additionnels'!$B$7:$B$66,$D1625)</f>
        <v>1</v>
      </c>
      <c r="H1625" s="135" t="n">
        <f aca="false">$G1625*'Analyse capacite'!$F$7</f>
        <v>438</v>
      </c>
      <c r="I1625" s="135" t="n">
        <f aca="false">$G1625*'Analyse capacite'!$C$7</f>
        <v>14</v>
      </c>
      <c r="J1625" s="135" t="n">
        <f aca="false">$G1625*'Analyse capacite'!$D$7</f>
        <v>40</v>
      </c>
      <c r="K1625" s="135" t="n">
        <f aca="false">$G1625*'Analyse capacite'!$E$7</f>
        <v>384</v>
      </c>
    </row>
    <row r="1626" customFormat="false" ht="15" hidden="false" customHeight="false" outlineLevel="0" collapsed="false">
      <c r="B1626" s="130" t="n">
        <v>2027</v>
      </c>
      <c r="C1626" s="131" t="s">
        <v>247</v>
      </c>
      <c r="D1626" s="132" t="n">
        <v>46523</v>
      </c>
      <c r="E1626" s="131" t="s">
        <v>12</v>
      </c>
      <c r="F1626" s="133" t="s">
        <v>19</v>
      </c>
      <c r="G1626" s="134" t="n">
        <f aca="false">LEN('Saisie programme'!$J$53)+SUMIFS('Vols additionnels'!$E$7:$E$66,'Vols additionnels'!$C$7:$C$66,$E1626,'Vols additionnels'!$D$7:$D$66,$F1626,'Vols additionnels'!$B$7:$B$66,$D1626)</f>
        <v>0</v>
      </c>
      <c r="H1626" s="135" t="n">
        <f aca="false">$G1626*'Analyse capacite'!$F$8</f>
        <v>0</v>
      </c>
      <c r="I1626" s="135" t="n">
        <f aca="false">$G1626*'Analyse capacite'!$C$8</f>
        <v>0</v>
      </c>
      <c r="J1626" s="135" t="n">
        <f aca="false">$G1626*'Analyse capacite'!$D$8</f>
        <v>0</v>
      </c>
      <c r="K1626" s="135" t="n">
        <f aca="false">$G1626*'Analyse capacite'!$E$8</f>
        <v>0</v>
      </c>
    </row>
    <row r="1627" customFormat="false" ht="15" hidden="false" customHeight="false" outlineLevel="0" collapsed="false">
      <c r="B1627" s="130" t="n">
        <v>2027</v>
      </c>
      <c r="C1627" s="131" t="s">
        <v>247</v>
      </c>
      <c r="D1627" s="132" t="n">
        <v>46523</v>
      </c>
      <c r="E1627" s="131" t="s">
        <v>12</v>
      </c>
      <c r="F1627" s="133" t="s">
        <v>24</v>
      </c>
      <c r="G1627" s="134" t="n">
        <f aca="false">LEN('Saisie programme'!$J$54)+SUMIFS('Vols additionnels'!$E$7:$E$66,'Vols additionnels'!$C$7:$C$66,$E1627,'Vols additionnels'!$D$7:$D$66,$F1627,'Vols additionnels'!$B$7:$B$66,$D1627)</f>
        <v>0</v>
      </c>
      <c r="H1627" s="135" t="n">
        <f aca="false">$G1627*'Analyse capacite'!$F$9</f>
        <v>0</v>
      </c>
      <c r="I1627" s="135" t="n">
        <f aca="false">$G1627*'Analyse capacite'!$C$9</f>
        <v>0</v>
      </c>
      <c r="J1627" s="135" t="n">
        <f aca="false">$G1627*'Analyse capacite'!$D$9</f>
        <v>0</v>
      </c>
      <c r="K1627" s="135" t="n">
        <f aca="false">$G1627*'Analyse capacite'!$E$9</f>
        <v>0</v>
      </c>
    </row>
    <row r="1628" customFormat="false" ht="15" hidden="false" customHeight="false" outlineLevel="0" collapsed="false">
      <c r="B1628" s="130" t="n">
        <v>2027</v>
      </c>
      <c r="C1628" s="131" t="s">
        <v>247</v>
      </c>
      <c r="D1628" s="132" t="n">
        <v>46523</v>
      </c>
      <c r="E1628" s="131" t="s">
        <v>20</v>
      </c>
      <c r="F1628" s="133" t="s">
        <v>11</v>
      </c>
      <c r="G1628" s="134" t="n">
        <f aca="false">LEN('Saisie programme'!$J$55)+SUMIFS('Vols additionnels'!$E$7:$E$66,'Vols additionnels'!$C$7:$C$66,$E1628,'Vols additionnels'!$D$7:$D$66,$F1628,'Vols additionnels'!$B$7:$B$66,$D1628)</f>
        <v>1</v>
      </c>
      <c r="H1628" s="135" t="n">
        <f aca="false">$G1628*'Analyse capacite'!$F$7</f>
        <v>438</v>
      </c>
      <c r="I1628" s="135" t="n">
        <f aca="false">$G1628*'Analyse capacite'!$C$7</f>
        <v>14</v>
      </c>
      <c r="J1628" s="135" t="n">
        <f aca="false">$G1628*'Analyse capacite'!$D$7</f>
        <v>40</v>
      </c>
      <c r="K1628" s="135" t="n">
        <f aca="false">$G1628*'Analyse capacite'!$E$7</f>
        <v>384</v>
      </c>
    </row>
    <row r="1629" customFormat="false" ht="15" hidden="false" customHeight="false" outlineLevel="0" collapsed="false">
      <c r="B1629" s="130" t="n">
        <v>2027</v>
      </c>
      <c r="C1629" s="131" t="s">
        <v>247</v>
      </c>
      <c r="D1629" s="132" t="n">
        <v>46523</v>
      </c>
      <c r="E1629" s="131" t="s">
        <v>20</v>
      </c>
      <c r="F1629" s="133" t="s">
        <v>19</v>
      </c>
      <c r="G1629" s="134" t="n">
        <f aca="false">LEN('Saisie programme'!$J$56)+SUMIFS('Vols additionnels'!$E$7:$E$66,'Vols additionnels'!$C$7:$C$66,$E1629,'Vols additionnels'!$D$7:$D$66,$F1629,'Vols additionnels'!$B$7:$B$66,$D1629)</f>
        <v>0</v>
      </c>
      <c r="H1629" s="135" t="n">
        <f aca="false">$G1629*'Analyse capacite'!$F$8</f>
        <v>0</v>
      </c>
      <c r="I1629" s="135" t="n">
        <f aca="false">$G1629*'Analyse capacite'!$C$8</f>
        <v>0</v>
      </c>
      <c r="J1629" s="135" t="n">
        <f aca="false">$G1629*'Analyse capacite'!$D$8</f>
        <v>0</v>
      </c>
      <c r="K1629" s="135" t="n">
        <f aca="false">$G1629*'Analyse capacite'!$E$8</f>
        <v>0</v>
      </c>
    </row>
    <row r="1630" customFormat="false" ht="15" hidden="false" customHeight="false" outlineLevel="0" collapsed="false">
      <c r="B1630" s="130" t="n">
        <v>2027</v>
      </c>
      <c r="C1630" s="131" t="s">
        <v>247</v>
      </c>
      <c r="D1630" s="132" t="n">
        <v>46523</v>
      </c>
      <c r="E1630" s="131" t="s">
        <v>20</v>
      </c>
      <c r="F1630" s="133" t="s">
        <v>24</v>
      </c>
      <c r="G1630" s="134" t="n">
        <f aca="false">LEN('Saisie programme'!$J$57)+SUMIFS('Vols additionnels'!$E$7:$E$66,'Vols additionnels'!$C$7:$C$66,$E1630,'Vols additionnels'!$D$7:$D$66,$F1630,'Vols additionnels'!$B$7:$B$66,$D1630)</f>
        <v>0</v>
      </c>
      <c r="H1630" s="135" t="n">
        <f aca="false">$G1630*'Analyse capacite'!$F$9</f>
        <v>0</v>
      </c>
      <c r="I1630" s="135" t="n">
        <f aca="false">$G1630*'Analyse capacite'!$C$9</f>
        <v>0</v>
      </c>
      <c r="J1630" s="135" t="n">
        <f aca="false">$G1630*'Analyse capacite'!$D$9</f>
        <v>0</v>
      </c>
      <c r="K1630" s="135" t="n">
        <f aca="false">$G1630*'Analyse capacite'!$E$9</f>
        <v>0</v>
      </c>
    </row>
    <row r="1631" customFormat="false" ht="15" hidden="false" customHeight="false" outlineLevel="0" collapsed="false">
      <c r="B1631" s="130" t="n">
        <v>2027</v>
      </c>
      <c r="C1631" s="131" t="s">
        <v>247</v>
      </c>
      <c r="D1631" s="132" t="n">
        <v>46523</v>
      </c>
      <c r="E1631" s="131" t="s">
        <v>25</v>
      </c>
      <c r="F1631" s="133" t="s">
        <v>11</v>
      </c>
      <c r="G1631" s="134" t="n">
        <f aca="false">LEN('Saisie programme'!$J$58)+SUMIFS('Vols additionnels'!$E$7:$E$66,'Vols additionnels'!$C$7:$C$66,$E1631,'Vols additionnels'!$D$7:$D$66,$F1631,'Vols additionnels'!$B$7:$B$66,$D1631)</f>
        <v>0</v>
      </c>
      <c r="H1631" s="135" t="n">
        <f aca="false">$G1631*'Analyse capacite'!$F$7</f>
        <v>0</v>
      </c>
      <c r="I1631" s="135" t="n">
        <f aca="false">$G1631*'Analyse capacite'!$C$7</f>
        <v>0</v>
      </c>
      <c r="J1631" s="135" t="n">
        <f aca="false">$G1631*'Analyse capacite'!$D$7</f>
        <v>0</v>
      </c>
      <c r="K1631" s="135" t="n">
        <f aca="false">$G1631*'Analyse capacite'!$E$7</f>
        <v>0</v>
      </c>
    </row>
    <row r="1632" customFormat="false" ht="15" hidden="false" customHeight="false" outlineLevel="0" collapsed="false">
      <c r="B1632" s="130" t="n">
        <v>2027</v>
      </c>
      <c r="C1632" s="131" t="s">
        <v>247</v>
      </c>
      <c r="D1632" s="132" t="n">
        <v>46523</v>
      </c>
      <c r="E1632" s="131" t="s">
        <v>25</v>
      </c>
      <c r="F1632" s="133" t="s">
        <v>19</v>
      </c>
      <c r="G1632" s="134" t="n">
        <f aca="false">LEN('Saisie programme'!$J$59)+SUMIFS('Vols additionnels'!$E$7:$E$66,'Vols additionnels'!$C$7:$C$66,$E1632,'Vols additionnels'!$D$7:$D$66,$F1632,'Vols additionnels'!$B$7:$B$66,$D1632)</f>
        <v>0</v>
      </c>
      <c r="H1632" s="135" t="n">
        <f aca="false">$G1632*'Analyse capacite'!$F$8</f>
        <v>0</v>
      </c>
      <c r="I1632" s="135" t="n">
        <f aca="false">$G1632*'Analyse capacite'!$C$8</f>
        <v>0</v>
      </c>
      <c r="J1632" s="135" t="n">
        <f aca="false">$G1632*'Analyse capacite'!$D$8</f>
        <v>0</v>
      </c>
      <c r="K1632" s="135" t="n">
        <f aca="false">$G1632*'Analyse capacite'!$E$8</f>
        <v>0</v>
      </c>
    </row>
    <row r="1633" customFormat="false" ht="15" hidden="false" customHeight="false" outlineLevel="0" collapsed="false">
      <c r="B1633" s="130" t="n">
        <v>2027</v>
      </c>
      <c r="C1633" s="131" t="s">
        <v>247</v>
      </c>
      <c r="D1633" s="132" t="n">
        <v>46523</v>
      </c>
      <c r="E1633" s="131" t="s">
        <v>25</v>
      </c>
      <c r="F1633" s="133" t="s">
        <v>24</v>
      </c>
      <c r="G1633" s="134" t="n">
        <f aca="false">LEN('Saisie programme'!$J$60)+SUMIFS('Vols additionnels'!$E$7:$E$66,'Vols additionnels'!$C$7:$C$66,$E1633,'Vols additionnels'!$D$7:$D$66,$F1633,'Vols additionnels'!$B$7:$B$66,$D1633)</f>
        <v>0</v>
      </c>
      <c r="H1633" s="135" t="n">
        <f aca="false">$G1633*'Analyse capacite'!$F$9</f>
        <v>0</v>
      </c>
      <c r="I1633" s="135" t="n">
        <f aca="false">$G1633*'Analyse capacite'!$C$9</f>
        <v>0</v>
      </c>
      <c r="J1633" s="135" t="n">
        <f aca="false">$G1633*'Analyse capacite'!$D$9</f>
        <v>0</v>
      </c>
      <c r="K1633" s="135" t="n">
        <f aca="false">$G1633*'Analyse capacite'!$E$9</f>
        <v>0</v>
      </c>
    </row>
    <row r="1634" customFormat="false" ht="15" hidden="false" customHeight="false" outlineLevel="0" collapsed="false">
      <c r="B1634" s="130" t="n">
        <v>2027</v>
      </c>
      <c r="C1634" s="131" t="s">
        <v>247</v>
      </c>
      <c r="D1634" s="132" t="n">
        <v>46523</v>
      </c>
      <c r="E1634" s="131" t="s">
        <v>36</v>
      </c>
      <c r="F1634" s="133" t="s">
        <v>11</v>
      </c>
      <c r="G1634" s="134" t="n">
        <f aca="false">LEN('Saisie programme'!$J$61)+SUMIFS('Vols additionnels'!$E$7:$E$66,'Vols additionnels'!$C$7:$C$66,$E1634,'Vols additionnels'!$D$7:$D$66,$F1634,'Vols additionnels'!$B$7:$B$66,$D1634)</f>
        <v>0</v>
      </c>
      <c r="H1634" s="135" t="n">
        <f aca="false">$G1634*'Analyse capacite'!$F$7</f>
        <v>0</v>
      </c>
      <c r="I1634" s="135" t="n">
        <f aca="false">$G1634*'Analyse capacite'!$C$7</f>
        <v>0</v>
      </c>
      <c r="J1634" s="135" t="n">
        <f aca="false">$G1634*'Analyse capacite'!$D$7</f>
        <v>0</v>
      </c>
      <c r="K1634" s="135" t="n">
        <f aca="false">$G1634*'Analyse capacite'!$E$7</f>
        <v>0</v>
      </c>
    </row>
    <row r="1635" customFormat="false" ht="15" hidden="false" customHeight="false" outlineLevel="0" collapsed="false">
      <c r="B1635" s="130" t="n">
        <v>2027</v>
      </c>
      <c r="C1635" s="131" t="s">
        <v>247</v>
      </c>
      <c r="D1635" s="132" t="n">
        <v>46523</v>
      </c>
      <c r="E1635" s="131" t="s">
        <v>36</v>
      </c>
      <c r="F1635" s="133" t="s">
        <v>19</v>
      </c>
      <c r="G1635" s="134" t="n">
        <f aca="false">LEN('Saisie programme'!$J$62)+SUMIFS('Vols additionnels'!$E$7:$E$66,'Vols additionnels'!$C$7:$C$66,$E1635,'Vols additionnels'!$D$7:$D$66,$F1635,'Vols additionnels'!$B$7:$B$66,$D1635)</f>
        <v>0</v>
      </c>
      <c r="H1635" s="135" t="n">
        <f aca="false">$G1635*'Analyse capacite'!$F$8</f>
        <v>0</v>
      </c>
      <c r="I1635" s="135" t="n">
        <f aca="false">$G1635*'Analyse capacite'!$C$8</f>
        <v>0</v>
      </c>
      <c r="J1635" s="135" t="n">
        <f aca="false">$G1635*'Analyse capacite'!$D$8</f>
        <v>0</v>
      </c>
      <c r="K1635" s="135" t="n">
        <f aca="false">$G1635*'Analyse capacite'!$E$8</f>
        <v>0</v>
      </c>
    </row>
    <row r="1636" customFormat="false" ht="15" hidden="false" customHeight="false" outlineLevel="0" collapsed="false">
      <c r="B1636" s="130" t="n">
        <v>2027</v>
      </c>
      <c r="C1636" s="131" t="s">
        <v>247</v>
      </c>
      <c r="D1636" s="132" t="n">
        <v>46523</v>
      </c>
      <c r="E1636" s="131" t="s">
        <v>36</v>
      </c>
      <c r="F1636" s="133" t="s">
        <v>24</v>
      </c>
      <c r="G1636" s="134" t="n">
        <f aca="false">LEN('Saisie programme'!$J$63)+SUMIFS('Vols additionnels'!$E$7:$E$66,'Vols additionnels'!$C$7:$C$66,$E1636,'Vols additionnels'!$D$7:$D$66,$F1636,'Vols additionnels'!$B$7:$B$66,$D1636)</f>
        <v>0</v>
      </c>
      <c r="H1636" s="135" t="n">
        <f aca="false">$G1636*'Analyse capacite'!$F$9</f>
        <v>0</v>
      </c>
      <c r="I1636" s="135" t="n">
        <f aca="false">$G1636*'Analyse capacite'!$C$9</f>
        <v>0</v>
      </c>
      <c r="J1636" s="135" t="n">
        <f aca="false">$G1636*'Analyse capacite'!$D$9</f>
        <v>0</v>
      </c>
      <c r="K1636" s="135" t="n">
        <f aca="false">$G1636*'Analyse capacite'!$E$9</f>
        <v>0</v>
      </c>
    </row>
    <row r="1637" customFormat="false" ht="15" hidden="false" customHeight="false" outlineLevel="0" collapsed="false">
      <c r="B1637" s="130" t="n">
        <v>2027</v>
      </c>
      <c r="C1637" s="131" t="s">
        <v>247</v>
      </c>
      <c r="D1637" s="132" t="n">
        <v>46523</v>
      </c>
      <c r="E1637" s="131" t="s">
        <v>40</v>
      </c>
      <c r="F1637" s="133" t="s">
        <v>11</v>
      </c>
      <c r="G1637" s="134" t="n">
        <f aca="false">LEN('Saisie programme'!$J$64)+SUMIFS('Vols additionnels'!$E$7:$E$66,'Vols additionnels'!$C$7:$C$66,$E1637,'Vols additionnels'!$D$7:$D$66,$F1637,'Vols additionnels'!$B$7:$B$66,$D1637)</f>
        <v>0</v>
      </c>
      <c r="H1637" s="135" t="n">
        <f aca="false">$G1637*'Analyse capacite'!$F$7</f>
        <v>0</v>
      </c>
      <c r="I1637" s="135" t="n">
        <f aca="false">$G1637*'Analyse capacite'!$C$7</f>
        <v>0</v>
      </c>
      <c r="J1637" s="135" t="n">
        <f aca="false">$G1637*'Analyse capacite'!$D$7</f>
        <v>0</v>
      </c>
      <c r="K1637" s="135" t="n">
        <f aca="false">$G1637*'Analyse capacite'!$E$7</f>
        <v>0</v>
      </c>
    </row>
    <row r="1638" customFormat="false" ht="15" hidden="false" customHeight="false" outlineLevel="0" collapsed="false">
      <c r="B1638" s="130" t="n">
        <v>2027</v>
      </c>
      <c r="C1638" s="131" t="s">
        <v>247</v>
      </c>
      <c r="D1638" s="132" t="n">
        <v>46523</v>
      </c>
      <c r="E1638" s="131" t="s">
        <v>40</v>
      </c>
      <c r="F1638" s="133" t="s">
        <v>19</v>
      </c>
      <c r="G1638" s="134" t="n">
        <f aca="false">LEN('Saisie programme'!$J$65)+SUMIFS('Vols additionnels'!$E$7:$E$66,'Vols additionnels'!$C$7:$C$66,$E1638,'Vols additionnels'!$D$7:$D$66,$F1638,'Vols additionnels'!$B$7:$B$66,$D1638)</f>
        <v>0</v>
      </c>
      <c r="H1638" s="135" t="n">
        <f aca="false">$G1638*'Analyse capacite'!$F$8</f>
        <v>0</v>
      </c>
      <c r="I1638" s="135" t="n">
        <f aca="false">$G1638*'Analyse capacite'!$C$8</f>
        <v>0</v>
      </c>
      <c r="J1638" s="135" t="n">
        <f aca="false">$G1638*'Analyse capacite'!$D$8</f>
        <v>0</v>
      </c>
      <c r="K1638" s="135" t="n">
        <f aca="false">$G1638*'Analyse capacite'!$E$8</f>
        <v>0</v>
      </c>
    </row>
    <row r="1639" customFormat="false" ht="15" hidden="false" customHeight="false" outlineLevel="0" collapsed="false">
      <c r="B1639" s="130" t="n">
        <v>2027</v>
      </c>
      <c r="C1639" s="131" t="s">
        <v>247</v>
      </c>
      <c r="D1639" s="132" t="n">
        <v>46523</v>
      </c>
      <c r="E1639" s="131" t="s">
        <v>40</v>
      </c>
      <c r="F1639" s="133" t="s">
        <v>24</v>
      </c>
      <c r="G1639" s="134" t="n">
        <f aca="false">LEN('Saisie programme'!$J$66)+SUMIFS('Vols additionnels'!$E$7:$E$66,'Vols additionnels'!$C$7:$C$66,$E1639,'Vols additionnels'!$D$7:$D$66,$F1639,'Vols additionnels'!$B$7:$B$66,$D1639)</f>
        <v>1</v>
      </c>
      <c r="H1639" s="135" t="n">
        <f aca="false">$G1639*'Analyse capacite'!$F$9</f>
        <v>174</v>
      </c>
      <c r="I1639" s="135" t="n">
        <f aca="false">$G1639*'Analyse capacite'!$C$9</f>
        <v>0</v>
      </c>
      <c r="J1639" s="135" t="n">
        <f aca="false">$G1639*'Analyse capacite'!$D$9</f>
        <v>12</v>
      </c>
      <c r="K1639" s="135" t="n">
        <f aca="false">$G1639*'Analyse capacite'!$E$9</f>
        <v>162</v>
      </c>
    </row>
    <row r="1640" customFormat="false" ht="15" hidden="false" customHeight="false" outlineLevel="0" collapsed="false">
      <c r="B1640" s="130" t="n">
        <v>2027</v>
      </c>
      <c r="C1640" s="131" t="s">
        <v>247</v>
      </c>
      <c r="D1640" s="132" t="n">
        <v>46523</v>
      </c>
      <c r="E1640" s="131" t="s">
        <v>14</v>
      </c>
      <c r="F1640" s="133" t="s">
        <v>11</v>
      </c>
      <c r="G1640" s="134" t="n">
        <f aca="false">LEN('Saisie programme'!$J$67)+SUMIFS('Vols additionnels'!$E$7:$E$66,'Vols additionnels'!$C$7:$C$66,$E1640,'Vols additionnels'!$D$7:$D$66,$F1640,'Vols additionnels'!$B$7:$B$66,$D1640)</f>
        <v>0</v>
      </c>
      <c r="H1640" s="135" t="n">
        <f aca="false">$G1640*'Analyse capacite'!$F$7</f>
        <v>0</v>
      </c>
      <c r="I1640" s="135" t="n">
        <f aca="false">$G1640*'Analyse capacite'!$C$7</f>
        <v>0</v>
      </c>
      <c r="J1640" s="135" t="n">
        <f aca="false">$G1640*'Analyse capacite'!$D$7</f>
        <v>0</v>
      </c>
      <c r="K1640" s="135" t="n">
        <f aca="false">$G1640*'Analyse capacite'!$E$7</f>
        <v>0</v>
      </c>
    </row>
    <row r="1641" customFormat="false" ht="15" hidden="false" customHeight="false" outlineLevel="0" collapsed="false">
      <c r="B1641" s="130" t="n">
        <v>2027</v>
      </c>
      <c r="C1641" s="131" t="s">
        <v>247</v>
      </c>
      <c r="D1641" s="132" t="n">
        <v>46523</v>
      </c>
      <c r="E1641" s="131" t="s">
        <v>14</v>
      </c>
      <c r="F1641" s="133" t="s">
        <v>19</v>
      </c>
      <c r="G1641" s="134" t="n">
        <f aca="false">LEN('Saisie programme'!$J$68)+SUMIFS('Vols additionnels'!$E$7:$E$66,'Vols additionnels'!$C$7:$C$66,$E1641,'Vols additionnels'!$D$7:$D$66,$F1641,'Vols additionnels'!$B$7:$B$66,$D1641)</f>
        <v>0</v>
      </c>
      <c r="H1641" s="135" t="n">
        <f aca="false">$G1641*'Analyse capacite'!$F$8</f>
        <v>0</v>
      </c>
      <c r="I1641" s="135" t="n">
        <f aca="false">$G1641*'Analyse capacite'!$C$8</f>
        <v>0</v>
      </c>
      <c r="J1641" s="135" t="n">
        <f aca="false">$G1641*'Analyse capacite'!$D$8</f>
        <v>0</v>
      </c>
      <c r="K1641" s="135" t="n">
        <f aca="false">$G1641*'Analyse capacite'!$E$8</f>
        <v>0</v>
      </c>
    </row>
    <row r="1642" customFormat="false" ht="15" hidden="false" customHeight="false" outlineLevel="0" collapsed="false">
      <c r="B1642" s="130" t="n">
        <v>2027</v>
      </c>
      <c r="C1642" s="131" t="s">
        <v>247</v>
      </c>
      <c r="D1642" s="132" t="n">
        <v>46523</v>
      </c>
      <c r="E1642" s="131" t="s">
        <v>14</v>
      </c>
      <c r="F1642" s="133" t="s">
        <v>24</v>
      </c>
      <c r="G1642" s="134" t="n">
        <f aca="false">LEN('Saisie programme'!$J$69)+SUMIFS('Vols additionnels'!$E$7:$E$66,'Vols additionnels'!$C$7:$C$66,$E1642,'Vols additionnels'!$D$7:$D$66,$F1642,'Vols additionnels'!$B$7:$B$66,$D1642)</f>
        <v>0</v>
      </c>
      <c r="H1642" s="135" t="n">
        <f aca="false">$G1642*'Analyse capacite'!$F$9</f>
        <v>0</v>
      </c>
      <c r="I1642" s="135" t="n">
        <f aca="false">$G1642*'Analyse capacite'!$C$9</f>
        <v>0</v>
      </c>
      <c r="J1642" s="135" t="n">
        <f aca="false">$G1642*'Analyse capacite'!$D$9</f>
        <v>0</v>
      </c>
      <c r="K1642" s="135" t="n">
        <f aca="false">$G1642*'Analyse capacite'!$E$9</f>
        <v>0</v>
      </c>
    </row>
    <row r="1643" customFormat="false" ht="15" hidden="false" customHeight="false" outlineLevel="0" collapsed="false">
      <c r="B1643" s="130" t="n">
        <v>2027</v>
      </c>
      <c r="C1643" s="131" t="s">
        <v>247</v>
      </c>
      <c r="D1643" s="132" t="n">
        <v>46523</v>
      </c>
      <c r="E1643" s="131" t="s">
        <v>46</v>
      </c>
      <c r="F1643" s="133" t="s">
        <v>11</v>
      </c>
      <c r="G1643" s="134" t="n">
        <f aca="false">LEN('Saisie programme'!$J$70)+SUMIFS('Vols additionnels'!$E$7:$E$66,'Vols additionnels'!$C$7:$C$66,$E1643,'Vols additionnels'!$D$7:$D$66,$F1643,'Vols additionnels'!$B$7:$B$66,$D1643)</f>
        <v>0</v>
      </c>
      <c r="H1643" s="135" t="n">
        <f aca="false">$G1643*'Analyse capacite'!$F$7</f>
        <v>0</v>
      </c>
      <c r="I1643" s="135" t="n">
        <f aca="false">$G1643*'Analyse capacite'!$C$7</f>
        <v>0</v>
      </c>
      <c r="J1643" s="135" t="n">
        <f aca="false">$G1643*'Analyse capacite'!$D$7</f>
        <v>0</v>
      </c>
      <c r="K1643" s="135" t="n">
        <f aca="false">$G1643*'Analyse capacite'!$E$7</f>
        <v>0</v>
      </c>
    </row>
    <row r="1644" customFormat="false" ht="15" hidden="false" customHeight="false" outlineLevel="0" collapsed="false">
      <c r="B1644" s="130" t="n">
        <v>2027</v>
      </c>
      <c r="C1644" s="131" t="s">
        <v>247</v>
      </c>
      <c r="D1644" s="132" t="n">
        <v>46523</v>
      </c>
      <c r="E1644" s="131" t="s">
        <v>46</v>
      </c>
      <c r="F1644" s="133" t="s">
        <v>19</v>
      </c>
      <c r="G1644" s="134" t="n">
        <f aca="false">LEN('Saisie programme'!$J$71)+SUMIFS('Vols additionnels'!$E$7:$E$66,'Vols additionnels'!$C$7:$C$66,$E1644,'Vols additionnels'!$D$7:$D$66,$F1644,'Vols additionnels'!$B$7:$B$66,$D1644)</f>
        <v>0</v>
      </c>
      <c r="H1644" s="135" t="n">
        <f aca="false">$G1644*'Analyse capacite'!$F$8</f>
        <v>0</v>
      </c>
      <c r="I1644" s="135" t="n">
        <f aca="false">$G1644*'Analyse capacite'!$C$8</f>
        <v>0</v>
      </c>
      <c r="J1644" s="135" t="n">
        <f aca="false">$G1644*'Analyse capacite'!$D$8</f>
        <v>0</v>
      </c>
      <c r="K1644" s="135" t="n">
        <f aca="false">$G1644*'Analyse capacite'!$E$8</f>
        <v>0</v>
      </c>
    </row>
    <row r="1645" customFormat="false" ht="15" hidden="false" customHeight="false" outlineLevel="0" collapsed="false">
      <c r="B1645" s="130" t="n">
        <v>2027</v>
      </c>
      <c r="C1645" s="131" t="s">
        <v>247</v>
      </c>
      <c r="D1645" s="132" t="n">
        <v>46523</v>
      </c>
      <c r="E1645" s="131" t="s">
        <v>46</v>
      </c>
      <c r="F1645" s="133" t="s">
        <v>24</v>
      </c>
      <c r="G1645" s="134" t="n">
        <f aca="false">LEN('Saisie programme'!$J$72)+SUMIFS('Vols additionnels'!$E$7:$E$66,'Vols additionnels'!$C$7:$C$66,$E1645,'Vols additionnels'!$D$7:$D$66,$F1645,'Vols additionnels'!$B$7:$B$66,$D1645)</f>
        <v>0</v>
      </c>
      <c r="H1645" s="135" t="n">
        <f aca="false">$G1645*'Analyse capacite'!$F$9</f>
        <v>0</v>
      </c>
      <c r="I1645" s="135" t="n">
        <f aca="false">$G1645*'Analyse capacite'!$C$9</f>
        <v>0</v>
      </c>
      <c r="J1645" s="135" t="n">
        <f aca="false">$G1645*'Analyse capacite'!$D$9</f>
        <v>0</v>
      </c>
      <c r="K1645" s="135" t="n">
        <f aca="false">$G1645*'Analyse capacite'!$E$9</f>
        <v>0</v>
      </c>
    </row>
    <row r="1646" customFormat="false" ht="15" hidden="false" customHeight="false" outlineLevel="0" collapsed="false">
      <c r="B1646" s="130" t="n">
        <v>2027</v>
      </c>
      <c r="C1646" s="131" t="s">
        <v>247</v>
      </c>
      <c r="D1646" s="132" t="n">
        <v>46523</v>
      </c>
      <c r="E1646" s="131" t="s">
        <v>49</v>
      </c>
      <c r="F1646" s="133" t="s">
        <v>11</v>
      </c>
      <c r="G1646" s="134" t="n">
        <f aca="false">LEN('Saisie programme'!$J$73)+SUMIFS('Vols additionnels'!$E$7:$E$66,'Vols additionnels'!$C$7:$C$66,$E1646,'Vols additionnels'!$D$7:$D$66,$F1646,'Vols additionnels'!$B$7:$B$66,$D1646)</f>
        <v>0</v>
      </c>
      <c r="H1646" s="135" t="n">
        <f aca="false">$G1646*'Analyse capacite'!$F$7</f>
        <v>0</v>
      </c>
      <c r="I1646" s="135" t="n">
        <f aca="false">$G1646*'Analyse capacite'!$C$7</f>
        <v>0</v>
      </c>
      <c r="J1646" s="135" t="n">
        <f aca="false">$G1646*'Analyse capacite'!$D$7</f>
        <v>0</v>
      </c>
      <c r="K1646" s="135" t="n">
        <f aca="false">$G1646*'Analyse capacite'!$E$7</f>
        <v>0</v>
      </c>
    </row>
    <row r="1647" customFormat="false" ht="15" hidden="false" customHeight="false" outlineLevel="0" collapsed="false">
      <c r="B1647" s="130" t="n">
        <v>2027</v>
      </c>
      <c r="C1647" s="131" t="s">
        <v>247</v>
      </c>
      <c r="D1647" s="132" t="n">
        <v>46523</v>
      </c>
      <c r="E1647" s="131" t="s">
        <v>49</v>
      </c>
      <c r="F1647" s="133" t="s">
        <v>19</v>
      </c>
      <c r="G1647" s="134" t="n">
        <f aca="false">LEN('Saisie programme'!$J$74)+SUMIFS('Vols additionnels'!$E$7:$E$66,'Vols additionnels'!$C$7:$C$66,$E1647,'Vols additionnels'!$D$7:$D$66,$F1647,'Vols additionnels'!$B$7:$B$66,$D1647)</f>
        <v>0</v>
      </c>
      <c r="H1647" s="135" t="n">
        <f aca="false">$G1647*'Analyse capacite'!$F$8</f>
        <v>0</v>
      </c>
      <c r="I1647" s="135" t="n">
        <f aca="false">$G1647*'Analyse capacite'!$C$8</f>
        <v>0</v>
      </c>
      <c r="J1647" s="135" t="n">
        <f aca="false">$G1647*'Analyse capacite'!$D$8</f>
        <v>0</v>
      </c>
      <c r="K1647" s="135" t="n">
        <f aca="false">$G1647*'Analyse capacite'!$E$8</f>
        <v>0</v>
      </c>
    </row>
    <row r="1648" customFormat="false" ht="15" hidden="false" customHeight="false" outlineLevel="0" collapsed="false">
      <c r="B1648" s="130" t="n">
        <v>2027</v>
      </c>
      <c r="C1648" s="131" t="s">
        <v>247</v>
      </c>
      <c r="D1648" s="132" t="n">
        <v>46523</v>
      </c>
      <c r="E1648" s="131" t="s">
        <v>49</v>
      </c>
      <c r="F1648" s="133" t="s">
        <v>24</v>
      </c>
      <c r="G1648" s="134" t="n">
        <f aca="false">LEN('Saisie programme'!$J$75)+SUMIFS('Vols additionnels'!$E$7:$E$66,'Vols additionnels'!$C$7:$C$66,$E1648,'Vols additionnels'!$D$7:$D$66,$F1648,'Vols additionnels'!$B$7:$B$66,$D1648)</f>
        <v>0</v>
      </c>
      <c r="H1648" s="135" t="n">
        <f aca="false">$G1648*'Analyse capacite'!$F$9</f>
        <v>0</v>
      </c>
      <c r="I1648" s="135" t="n">
        <f aca="false">$G1648*'Analyse capacite'!$C$9</f>
        <v>0</v>
      </c>
      <c r="J1648" s="135" t="n">
        <f aca="false">$G1648*'Analyse capacite'!$D$9</f>
        <v>0</v>
      </c>
      <c r="K1648" s="135" t="n">
        <f aca="false">$G1648*'Analyse capacite'!$E$9</f>
        <v>0</v>
      </c>
    </row>
    <row r="1649" customFormat="false" ht="15" hidden="false" customHeight="false" outlineLevel="0" collapsed="false">
      <c r="B1649" s="130" t="n">
        <v>2027</v>
      </c>
      <c r="C1649" s="131" t="s">
        <v>247</v>
      </c>
      <c r="D1649" s="132" t="n">
        <v>46523</v>
      </c>
      <c r="E1649" s="131" t="s">
        <v>53</v>
      </c>
      <c r="F1649" s="133" t="s">
        <v>11</v>
      </c>
      <c r="G1649" s="134" t="n">
        <f aca="false">LEN('Saisie programme'!$J$76)+SUMIFS('Vols additionnels'!$E$7:$E$66,'Vols additionnels'!$C$7:$C$66,$E1649,'Vols additionnels'!$D$7:$D$66,$F1649,'Vols additionnels'!$B$7:$B$66,$D1649)</f>
        <v>0</v>
      </c>
      <c r="H1649" s="135" t="n">
        <f aca="false">$G1649*'Analyse capacite'!$F$7</f>
        <v>0</v>
      </c>
      <c r="I1649" s="135" t="n">
        <f aca="false">$G1649*'Analyse capacite'!$C$7</f>
        <v>0</v>
      </c>
      <c r="J1649" s="135" t="n">
        <f aca="false">$G1649*'Analyse capacite'!$D$7</f>
        <v>0</v>
      </c>
      <c r="K1649" s="135" t="n">
        <f aca="false">$G1649*'Analyse capacite'!$E$7</f>
        <v>0</v>
      </c>
    </row>
    <row r="1650" customFormat="false" ht="15" hidden="false" customHeight="false" outlineLevel="0" collapsed="false">
      <c r="B1650" s="130" t="n">
        <v>2027</v>
      </c>
      <c r="C1650" s="131" t="s">
        <v>247</v>
      </c>
      <c r="D1650" s="132" t="n">
        <v>46523</v>
      </c>
      <c r="E1650" s="131" t="s">
        <v>53</v>
      </c>
      <c r="F1650" s="133" t="s">
        <v>19</v>
      </c>
      <c r="G1650" s="134" t="n">
        <f aca="false">LEN('Saisie programme'!$J$77)+SUMIFS('Vols additionnels'!$E$7:$E$66,'Vols additionnels'!$C$7:$C$66,$E1650,'Vols additionnels'!$D$7:$D$66,$F1650,'Vols additionnels'!$B$7:$B$66,$D1650)</f>
        <v>0</v>
      </c>
      <c r="H1650" s="135" t="n">
        <f aca="false">$G1650*'Analyse capacite'!$F$8</f>
        <v>0</v>
      </c>
      <c r="I1650" s="135" t="n">
        <f aca="false">$G1650*'Analyse capacite'!$C$8</f>
        <v>0</v>
      </c>
      <c r="J1650" s="135" t="n">
        <f aca="false">$G1650*'Analyse capacite'!$D$8</f>
        <v>0</v>
      </c>
      <c r="K1650" s="135" t="n">
        <f aca="false">$G1650*'Analyse capacite'!$E$8</f>
        <v>0</v>
      </c>
    </row>
    <row r="1651" customFormat="false" ht="15" hidden="false" customHeight="false" outlineLevel="0" collapsed="false">
      <c r="B1651" s="130" t="n">
        <v>2027</v>
      </c>
      <c r="C1651" s="131" t="s">
        <v>247</v>
      </c>
      <c r="D1651" s="132" t="n">
        <v>46523</v>
      </c>
      <c r="E1651" s="131" t="s">
        <v>53</v>
      </c>
      <c r="F1651" s="133" t="s">
        <v>24</v>
      </c>
      <c r="G1651" s="134" t="n">
        <f aca="false">LEN('Saisie programme'!$J$78)+SUMIFS('Vols additionnels'!$E$7:$E$66,'Vols additionnels'!$C$7:$C$66,$E1651,'Vols additionnels'!$D$7:$D$66,$F1651,'Vols additionnels'!$B$7:$B$66,$D1651)</f>
        <v>0</v>
      </c>
      <c r="H1651" s="135" t="n">
        <f aca="false">$G1651*'Analyse capacite'!$F$9</f>
        <v>0</v>
      </c>
      <c r="I1651" s="135" t="n">
        <f aca="false">$G1651*'Analyse capacite'!$C$9</f>
        <v>0</v>
      </c>
      <c r="J1651" s="135" t="n">
        <f aca="false">$G1651*'Analyse capacite'!$D$9</f>
        <v>0</v>
      </c>
      <c r="K1651" s="135" t="n">
        <f aca="false">$G1651*'Analyse capacite'!$E$9</f>
        <v>0</v>
      </c>
    </row>
    <row r="1652" customFormat="false" ht="15" hidden="false" customHeight="false" outlineLevel="0" collapsed="false">
      <c r="B1652" s="130" t="n">
        <v>2027</v>
      </c>
      <c r="C1652" s="131" t="s">
        <v>247</v>
      </c>
      <c r="D1652" s="132" t="n">
        <v>46523</v>
      </c>
      <c r="E1652" s="131" t="s">
        <v>56</v>
      </c>
      <c r="F1652" s="133" t="s">
        <v>11</v>
      </c>
      <c r="G1652" s="134" t="n">
        <f aca="false">LEN('Saisie programme'!$J$79)+SUMIFS('Vols additionnels'!$E$7:$E$66,'Vols additionnels'!$C$7:$C$66,$E1652,'Vols additionnels'!$D$7:$D$66,$F1652,'Vols additionnels'!$B$7:$B$66,$D1652)</f>
        <v>0</v>
      </c>
      <c r="H1652" s="135" t="n">
        <f aca="false">$G1652*'Analyse capacite'!$F$7</f>
        <v>0</v>
      </c>
      <c r="I1652" s="135" t="n">
        <f aca="false">$G1652*'Analyse capacite'!$C$7</f>
        <v>0</v>
      </c>
      <c r="J1652" s="135" t="n">
        <f aca="false">$G1652*'Analyse capacite'!$D$7</f>
        <v>0</v>
      </c>
      <c r="K1652" s="135" t="n">
        <f aca="false">$G1652*'Analyse capacite'!$E$7</f>
        <v>0</v>
      </c>
    </row>
    <row r="1653" customFormat="false" ht="15" hidden="false" customHeight="false" outlineLevel="0" collapsed="false">
      <c r="B1653" s="130" t="n">
        <v>2027</v>
      </c>
      <c r="C1653" s="131" t="s">
        <v>247</v>
      </c>
      <c r="D1653" s="132" t="n">
        <v>46523</v>
      </c>
      <c r="E1653" s="131" t="s">
        <v>56</v>
      </c>
      <c r="F1653" s="133" t="s">
        <v>19</v>
      </c>
      <c r="G1653" s="134" t="n">
        <f aca="false">LEN('Saisie programme'!$J$80)+SUMIFS('Vols additionnels'!$E$7:$E$66,'Vols additionnels'!$C$7:$C$66,$E1653,'Vols additionnels'!$D$7:$D$66,$F1653,'Vols additionnels'!$B$7:$B$66,$D1653)</f>
        <v>0</v>
      </c>
      <c r="H1653" s="135" t="n">
        <f aca="false">$G1653*'Analyse capacite'!$F$8</f>
        <v>0</v>
      </c>
      <c r="I1653" s="135" t="n">
        <f aca="false">$G1653*'Analyse capacite'!$C$8</f>
        <v>0</v>
      </c>
      <c r="J1653" s="135" t="n">
        <f aca="false">$G1653*'Analyse capacite'!$D$8</f>
        <v>0</v>
      </c>
      <c r="K1653" s="135" t="n">
        <f aca="false">$G1653*'Analyse capacite'!$E$8</f>
        <v>0</v>
      </c>
    </row>
    <row r="1654" customFormat="false" ht="15" hidden="false" customHeight="false" outlineLevel="0" collapsed="false">
      <c r="B1654" s="130" t="n">
        <v>2027</v>
      </c>
      <c r="C1654" s="131" t="s">
        <v>247</v>
      </c>
      <c r="D1654" s="132" t="n">
        <v>46523</v>
      </c>
      <c r="E1654" s="131" t="s">
        <v>56</v>
      </c>
      <c r="F1654" s="133" t="s">
        <v>24</v>
      </c>
      <c r="G1654" s="134" t="n">
        <f aca="false">LEN('Saisie programme'!$J$81)+SUMIFS('Vols additionnels'!$E$7:$E$66,'Vols additionnels'!$C$7:$C$66,$E1654,'Vols additionnels'!$D$7:$D$66,$F1654,'Vols additionnels'!$B$7:$B$66,$D1654)</f>
        <v>0</v>
      </c>
      <c r="H1654" s="135" t="n">
        <f aca="false">$G1654*'Analyse capacite'!$F$9</f>
        <v>0</v>
      </c>
      <c r="I1654" s="135" t="n">
        <f aca="false">$G1654*'Analyse capacite'!$C$9</f>
        <v>0</v>
      </c>
      <c r="J1654" s="135" t="n">
        <f aca="false">$G1654*'Analyse capacite'!$D$9</f>
        <v>0</v>
      </c>
      <c r="K1654" s="135" t="n">
        <f aca="false">$G1654*'Analyse capacite'!$E$9</f>
        <v>0</v>
      </c>
    </row>
    <row r="1655" customFormat="false" ht="15" hidden="false" customHeight="false" outlineLevel="0" collapsed="false">
      <c r="B1655" s="130" t="n">
        <v>2027</v>
      </c>
      <c r="C1655" s="131" t="s">
        <v>247</v>
      </c>
      <c r="D1655" s="132" t="n">
        <v>46523</v>
      </c>
      <c r="E1655" s="131" t="s">
        <v>59</v>
      </c>
      <c r="F1655" s="133" t="s">
        <v>11</v>
      </c>
      <c r="G1655" s="134" t="n">
        <f aca="false">LEN('Saisie programme'!$J$82)+SUMIFS('Vols additionnels'!$E$7:$E$66,'Vols additionnels'!$C$7:$C$66,$E1655,'Vols additionnels'!$D$7:$D$66,$F1655,'Vols additionnels'!$B$7:$B$66,$D1655)</f>
        <v>0</v>
      </c>
      <c r="H1655" s="135" t="n">
        <f aca="false">$G1655*'Analyse capacite'!$F$7</f>
        <v>0</v>
      </c>
      <c r="I1655" s="135" t="n">
        <f aca="false">$G1655*'Analyse capacite'!$C$7</f>
        <v>0</v>
      </c>
      <c r="J1655" s="135" t="n">
        <f aca="false">$G1655*'Analyse capacite'!$D$7</f>
        <v>0</v>
      </c>
      <c r="K1655" s="135" t="n">
        <f aca="false">$G1655*'Analyse capacite'!$E$7</f>
        <v>0</v>
      </c>
    </row>
    <row r="1656" customFormat="false" ht="15" hidden="false" customHeight="false" outlineLevel="0" collapsed="false">
      <c r="B1656" s="130" t="n">
        <v>2027</v>
      </c>
      <c r="C1656" s="131" t="s">
        <v>247</v>
      </c>
      <c r="D1656" s="132" t="n">
        <v>46523</v>
      </c>
      <c r="E1656" s="131" t="s">
        <v>59</v>
      </c>
      <c r="F1656" s="133" t="s">
        <v>19</v>
      </c>
      <c r="G1656" s="134" t="n">
        <f aca="false">LEN('Saisie programme'!$J$83)+SUMIFS('Vols additionnels'!$E$7:$E$66,'Vols additionnels'!$C$7:$C$66,$E1656,'Vols additionnels'!$D$7:$D$66,$F1656,'Vols additionnels'!$B$7:$B$66,$D1656)</f>
        <v>0</v>
      </c>
      <c r="H1656" s="135" t="n">
        <f aca="false">$G1656*'Analyse capacite'!$F$8</f>
        <v>0</v>
      </c>
      <c r="I1656" s="135" t="n">
        <f aca="false">$G1656*'Analyse capacite'!$C$8</f>
        <v>0</v>
      </c>
      <c r="J1656" s="135" t="n">
        <f aca="false">$G1656*'Analyse capacite'!$D$8</f>
        <v>0</v>
      </c>
      <c r="K1656" s="135" t="n">
        <f aca="false">$G1656*'Analyse capacite'!$E$8</f>
        <v>0</v>
      </c>
    </row>
    <row r="1657" customFormat="false" ht="15" hidden="false" customHeight="false" outlineLevel="0" collapsed="false">
      <c r="B1657" s="130" t="n">
        <v>2027</v>
      </c>
      <c r="C1657" s="131" t="s">
        <v>247</v>
      </c>
      <c r="D1657" s="132" t="n">
        <v>46523</v>
      </c>
      <c r="E1657" s="131" t="s">
        <v>59</v>
      </c>
      <c r="F1657" s="133" t="s">
        <v>24</v>
      </c>
      <c r="G1657" s="134" t="n">
        <f aca="false">LEN('Saisie programme'!$J$84)+SUMIFS('Vols additionnels'!$E$7:$E$66,'Vols additionnels'!$C$7:$C$66,$E1657,'Vols additionnels'!$D$7:$D$66,$F1657,'Vols additionnels'!$B$7:$B$66,$D1657)</f>
        <v>0</v>
      </c>
      <c r="H1657" s="135" t="n">
        <f aca="false">$G1657*'Analyse capacite'!$F$9</f>
        <v>0</v>
      </c>
      <c r="I1657" s="135" t="n">
        <f aca="false">$G1657*'Analyse capacite'!$C$9</f>
        <v>0</v>
      </c>
      <c r="J1657" s="135" t="n">
        <f aca="false">$G1657*'Analyse capacite'!$D$9</f>
        <v>0</v>
      </c>
      <c r="K1657" s="135" t="n">
        <f aca="false">$G1657*'Analyse capacite'!$E$9</f>
        <v>0</v>
      </c>
    </row>
    <row r="1658" customFormat="false" ht="15" hidden="false" customHeight="false" outlineLevel="0" collapsed="false">
      <c r="B1658" s="130" t="n">
        <v>2027</v>
      </c>
      <c r="C1658" s="131" t="s">
        <v>247</v>
      </c>
      <c r="D1658" s="132" t="n">
        <v>46523</v>
      </c>
      <c r="E1658" s="131" t="s">
        <v>62</v>
      </c>
      <c r="F1658" s="133" t="s">
        <v>11</v>
      </c>
      <c r="G1658" s="134" t="n">
        <f aca="false">LEN('Saisie programme'!$J$85)+SUMIFS('Vols additionnels'!$E$7:$E$66,'Vols additionnels'!$C$7:$C$66,$E1658,'Vols additionnels'!$D$7:$D$66,$F1658,'Vols additionnels'!$B$7:$B$66,$D1658)</f>
        <v>0</v>
      </c>
      <c r="H1658" s="135" t="n">
        <f aca="false">$G1658*'Analyse capacite'!$F$7</f>
        <v>0</v>
      </c>
      <c r="I1658" s="135" t="n">
        <f aca="false">$G1658*'Analyse capacite'!$C$7</f>
        <v>0</v>
      </c>
      <c r="J1658" s="135" t="n">
        <f aca="false">$G1658*'Analyse capacite'!$D$7</f>
        <v>0</v>
      </c>
      <c r="K1658" s="135" t="n">
        <f aca="false">$G1658*'Analyse capacite'!$E$7</f>
        <v>0</v>
      </c>
    </row>
    <row r="1659" customFormat="false" ht="15" hidden="false" customHeight="false" outlineLevel="0" collapsed="false">
      <c r="B1659" s="130" t="n">
        <v>2027</v>
      </c>
      <c r="C1659" s="131" t="s">
        <v>247</v>
      </c>
      <c r="D1659" s="132" t="n">
        <v>46523</v>
      </c>
      <c r="E1659" s="131" t="s">
        <v>62</v>
      </c>
      <c r="F1659" s="133" t="s">
        <v>19</v>
      </c>
      <c r="G1659" s="134" t="n">
        <f aca="false">LEN('Saisie programme'!$J$86)+SUMIFS('Vols additionnels'!$E$7:$E$66,'Vols additionnels'!$C$7:$C$66,$E1659,'Vols additionnels'!$D$7:$D$66,$F1659,'Vols additionnels'!$B$7:$B$66,$D1659)</f>
        <v>0</v>
      </c>
      <c r="H1659" s="135" t="n">
        <f aca="false">$G1659*'Analyse capacite'!$F$8</f>
        <v>0</v>
      </c>
      <c r="I1659" s="135" t="n">
        <f aca="false">$G1659*'Analyse capacite'!$C$8</f>
        <v>0</v>
      </c>
      <c r="J1659" s="135" t="n">
        <f aca="false">$G1659*'Analyse capacite'!$D$8</f>
        <v>0</v>
      </c>
      <c r="K1659" s="135" t="n">
        <f aca="false">$G1659*'Analyse capacite'!$E$8</f>
        <v>0</v>
      </c>
    </row>
    <row r="1660" customFormat="false" ht="15" hidden="false" customHeight="false" outlineLevel="0" collapsed="false">
      <c r="B1660" s="130" t="n">
        <v>2027</v>
      </c>
      <c r="C1660" s="131" t="s">
        <v>247</v>
      </c>
      <c r="D1660" s="132" t="n">
        <v>46523</v>
      </c>
      <c r="E1660" s="131" t="s">
        <v>62</v>
      </c>
      <c r="F1660" s="133" t="s">
        <v>24</v>
      </c>
      <c r="G1660" s="134" t="n">
        <f aca="false">LEN('Saisie programme'!$J$87)+SUMIFS('Vols additionnels'!$E$7:$E$66,'Vols additionnels'!$C$7:$C$66,$E1660,'Vols additionnels'!$D$7:$D$66,$F1660,'Vols additionnels'!$B$7:$B$66,$D1660)</f>
        <v>1</v>
      </c>
      <c r="H1660" s="135" t="n">
        <f aca="false">$G1660*'Analyse capacite'!$F$9</f>
        <v>174</v>
      </c>
      <c r="I1660" s="135" t="n">
        <f aca="false">$G1660*'Analyse capacite'!$C$9</f>
        <v>0</v>
      </c>
      <c r="J1660" s="135" t="n">
        <f aca="false">$G1660*'Analyse capacite'!$D$9</f>
        <v>12</v>
      </c>
      <c r="K1660" s="135" t="n">
        <f aca="false">$G1660*'Analyse capacite'!$E$9</f>
        <v>162</v>
      </c>
    </row>
    <row r="1661" customFormat="false" ht="15" hidden="false" customHeight="false" outlineLevel="0" collapsed="false">
      <c r="B1661" s="130" t="n">
        <v>2027</v>
      </c>
      <c r="C1661" s="131" t="s">
        <v>247</v>
      </c>
      <c r="D1661" s="132" t="n">
        <v>46524</v>
      </c>
      <c r="E1661" s="131" t="s">
        <v>12</v>
      </c>
      <c r="F1661" s="133" t="s">
        <v>11</v>
      </c>
      <c r="G1661" s="134" t="n">
        <f aca="false">LEN('Saisie programme'!$D$52)+SUMIFS('Vols additionnels'!$E$7:$E$66,'Vols additionnels'!$C$7:$C$66,$E1661,'Vols additionnels'!$D$7:$D$66,$F1661,'Vols additionnels'!$B$7:$B$66,$D1661)</f>
        <v>1</v>
      </c>
      <c r="H1661" s="135" t="n">
        <f aca="false">$G1661*'Analyse capacite'!$F$7</f>
        <v>438</v>
      </c>
      <c r="I1661" s="135" t="n">
        <f aca="false">$G1661*'Analyse capacite'!$C$7</f>
        <v>14</v>
      </c>
      <c r="J1661" s="135" t="n">
        <f aca="false">$G1661*'Analyse capacite'!$D$7</f>
        <v>40</v>
      </c>
      <c r="K1661" s="135" t="n">
        <f aca="false">$G1661*'Analyse capacite'!$E$7</f>
        <v>384</v>
      </c>
    </row>
    <row r="1662" customFormat="false" ht="15" hidden="false" customHeight="false" outlineLevel="0" collapsed="false">
      <c r="B1662" s="130" t="n">
        <v>2027</v>
      </c>
      <c r="C1662" s="131" t="s">
        <v>247</v>
      </c>
      <c r="D1662" s="132" t="n">
        <v>46524</v>
      </c>
      <c r="E1662" s="131" t="s">
        <v>12</v>
      </c>
      <c r="F1662" s="133" t="s">
        <v>19</v>
      </c>
      <c r="G1662" s="134" t="n">
        <f aca="false">LEN('Saisie programme'!$D$53)+SUMIFS('Vols additionnels'!$E$7:$E$66,'Vols additionnels'!$C$7:$C$66,$E1662,'Vols additionnels'!$D$7:$D$66,$F1662,'Vols additionnels'!$B$7:$B$66,$D1662)</f>
        <v>1</v>
      </c>
      <c r="H1662" s="135" t="n">
        <f aca="false">$G1662*'Analyse capacite'!$F$8</f>
        <v>262</v>
      </c>
      <c r="I1662" s="135" t="n">
        <f aca="false">$G1662*'Analyse capacite'!$C$8</f>
        <v>18</v>
      </c>
      <c r="J1662" s="135" t="n">
        <f aca="false">$G1662*'Analyse capacite'!$D$8</f>
        <v>0</v>
      </c>
      <c r="K1662" s="135" t="n">
        <f aca="false">$G1662*'Analyse capacite'!$E$8</f>
        <v>244</v>
      </c>
    </row>
    <row r="1663" customFormat="false" ht="15" hidden="false" customHeight="false" outlineLevel="0" collapsed="false">
      <c r="B1663" s="130" t="n">
        <v>2027</v>
      </c>
      <c r="C1663" s="131" t="s">
        <v>247</v>
      </c>
      <c r="D1663" s="132" t="n">
        <v>46524</v>
      </c>
      <c r="E1663" s="131" t="s">
        <v>12</v>
      </c>
      <c r="F1663" s="133" t="s">
        <v>24</v>
      </c>
      <c r="G1663" s="134" t="n">
        <f aca="false">LEN('Saisie programme'!$D$54)+SUMIFS('Vols additionnels'!$E$7:$E$66,'Vols additionnels'!$C$7:$C$66,$E1663,'Vols additionnels'!$D$7:$D$66,$F1663,'Vols additionnels'!$B$7:$B$66,$D1663)</f>
        <v>2</v>
      </c>
      <c r="H1663" s="135" t="n">
        <f aca="false">$G1663*'Analyse capacite'!$F$9</f>
        <v>348</v>
      </c>
      <c r="I1663" s="135" t="n">
        <f aca="false">$G1663*'Analyse capacite'!$C$9</f>
        <v>0</v>
      </c>
      <c r="J1663" s="135" t="n">
        <f aca="false">$G1663*'Analyse capacite'!$D$9</f>
        <v>24</v>
      </c>
      <c r="K1663" s="135" t="n">
        <f aca="false">$G1663*'Analyse capacite'!$E$9</f>
        <v>324</v>
      </c>
    </row>
    <row r="1664" customFormat="false" ht="15" hidden="false" customHeight="false" outlineLevel="0" collapsed="false">
      <c r="B1664" s="130" t="n">
        <v>2027</v>
      </c>
      <c r="C1664" s="131" t="s">
        <v>247</v>
      </c>
      <c r="D1664" s="132" t="n">
        <v>46524</v>
      </c>
      <c r="E1664" s="131" t="s">
        <v>20</v>
      </c>
      <c r="F1664" s="133" t="s">
        <v>11</v>
      </c>
      <c r="G1664" s="134" t="n">
        <f aca="false">LEN('Saisie programme'!$D$55)+SUMIFS('Vols additionnels'!$E$7:$E$66,'Vols additionnels'!$C$7:$C$66,$E1664,'Vols additionnels'!$D$7:$D$66,$F1664,'Vols additionnels'!$B$7:$B$66,$D1664)</f>
        <v>0</v>
      </c>
      <c r="H1664" s="135" t="n">
        <f aca="false">$G1664*'Analyse capacite'!$F$7</f>
        <v>0</v>
      </c>
      <c r="I1664" s="135" t="n">
        <f aca="false">$G1664*'Analyse capacite'!$C$7</f>
        <v>0</v>
      </c>
      <c r="J1664" s="135" t="n">
        <f aca="false">$G1664*'Analyse capacite'!$D$7</f>
        <v>0</v>
      </c>
      <c r="K1664" s="135" t="n">
        <f aca="false">$G1664*'Analyse capacite'!$E$7</f>
        <v>0</v>
      </c>
    </row>
    <row r="1665" customFormat="false" ht="15" hidden="false" customHeight="false" outlineLevel="0" collapsed="false">
      <c r="B1665" s="130" t="n">
        <v>2027</v>
      </c>
      <c r="C1665" s="131" t="s">
        <v>247</v>
      </c>
      <c r="D1665" s="132" t="n">
        <v>46524</v>
      </c>
      <c r="E1665" s="131" t="s">
        <v>20</v>
      </c>
      <c r="F1665" s="133" t="s">
        <v>19</v>
      </c>
      <c r="G1665" s="134" t="n">
        <f aca="false">LEN('Saisie programme'!$D$56)+SUMIFS('Vols additionnels'!$E$7:$E$66,'Vols additionnels'!$C$7:$C$66,$E1665,'Vols additionnels'!$D$7:$D$66,$F1665,'Vols additionnels'!$B$7:$B$66,$D1665)</f>
        <v>0</v>
      </c>
      <c r="H1665" s="135" t="n">
        <f aca="false">$G1665*'Analyse capacite'!$F$8</f>
        <v>0</v>
      </c>
      <c r="I1665" s="135" t="n">
        <f aca="false">$G1665*'Analyse capacite'!$C$8</f>
        <v>0</v>
      </c>
      <c r="J1665" s="135" t="n">
        <f aca="false">$G1665*'Analyse capacite'!$D$8</f>
        <v>0</v>
      </c>
      <c r="K1665" s="135" t="n">
        <f aca="false">$G1665*'Analyse capacite'!$E$8</f>
        <v>0</v>
      </c>
    </row>
    <row r="1666" customFormat="false" ht="15" hidden="false" customHeight="false" outlineLevel="0" collapsed="false">
      <c r="B1666" s="130" t="n">
        <v>2027</v>
      </c>
      <c r="C1666" s="131" t="s">
        <v>247</v>
      </c>
      <c r="D1666" s="132" t="n">
        <v>46524</v>
      </c>
      <c r="E1666" s="131" t="s">
        <v>20</v>
      </c>
      <c r="F1666" s="133" t="s">
        <v>24</v>
      </c>
      <c r="G1666" s="134" t="n">
        <f aca="false">LEN('Saisie programme'!$D$57)+SUMIFS('Vols additionnels'!$E$7:$E$66,'Vols additionnels'!$C$7:$C$66,$E1666,'Vols additionnels'!$D$7:$D$66,$F1666,'Vols additionnels'!$B$7:$B$66,$D1666)</f>
        <v>0</v>
      </c>
      <c r="H1666" s="135" t="n">
        <f aca="false">$G1666*'Analyse capacite'!$F$9</f>
        <v>0</v>
      </c>
      <c r="I1666" s="135" t="n">
        <f aca="false">$G1666*'Analyse capacite'!$C$9</f>
        <v>0</v>
      </c>
      <c r="J1666" s="135" t="n">
        <f aca="false">$G1666*'Analyse capacite'!$D$9</f>
        <v>0</v>
      </c>
      <c r="K1666" s="135" t="n">
        <f aca="false">$G1666*'Analyse capacite'!$E$9</f>
        <v>0</v>
      </c>
    </row>
    <row r="1667" customFormat="false" ht="15" hidden="false" customHeight="false" outlineLevel="0" collapsed="false">
      <c r="B1667" s="130" t="n">
        <v>2027</v>
      </c>
      <c r="C1667" s="131" t="s">
        <v>247</v>
      </c>
      <c r="D1667" s="132" t="n">
        <v>46524</v>
      </c>
      <c r="E1667" s="131" t="s">
        <v>25</v>
      </c>
      <c r="F1667" s="133" t="s">
        <v>11</v>
      </c>
      <c r="G1667" s="134" t="n">
        <f aca="false">LEN('Saisie programme'!$D$58)+SUMIFS('Vols additionnels'!$E$7:$E$66,'Vols additionnels'!$C$7:$C$66,$E1667,'Vols additionnels'!$D$7:$D$66,$F1667,'Vols additionnels'!$B$7:$B$66,$D1667)</f>
        <v>0</v>
      </c>
      <c r="H1667" s="135" t="n">
        <f aca="false">$G1667*'Analyse capacite'!$F$7</f>
        <v>0</v>
      </c>
      <c r="I1667" s="135" t="n">
        <f aca="false">$G1667*'Analyse capacite'!$C$7</f>
        <v>0</v>
      </c>
      <c r="J1667" s="135" t="n">
        <f aca="false">$G1667*'Analyse capacite'!$D$7</f>
        <v>0</v>
      </c>
      <c r="K1667" s="135" t="n">
        <f aca="false">$G1667*'Analyse capacite'!$E$7</f>
        <v>0</v>
      </c>
    </row>
    <row r="1668" customFormat="false" ht="15" hidden="false" customHeight="false" outlineLevel="0" collapsed="false">
      <c r="B1668" s="130" t="n">
        <v>2027</v>
      </c>
      <c r="C1668" s="131" t="s">
        <v>247</v>
      </c>
      <c r="D1668" s="132" t="n">
        <v>46524</v>
      </c>
      <c r="E1668" s="131" t="s">
        <v>25</v>
      </c>
      <c r="F1668" s="133" t="s">
        <v>19</v>
      </c>
      <c r="G1668" s="134" t="n">
        <f aca="false">LEN('Saisie programme'!$D$59)+SUMIFS('Vols additionnels'!$E$7:$E$66,'Vols additionnels'!$C$7:$C$66,$E1668,'Vols additionnels'!$D$7:$D$66,$F1668,'Vols additionnels'!$B$7:$B$66,$D1668)</f>
        <v>0</v>
      </c>
      <c r="H1668" s="135" t="n">
        <f aca="false">$G1668*'Analyse capacite'!$F$8</f>
        <v>0</v>
      </c>
      <c r="I1668" s="135" t="n">
        <f aca="false">$G1668*'Analyse capacite'!$C$8</f>
        <v>0</v>
      </c>
      <c r="J1668" s="135" t="n">
        <f aca="false">$G1668*'Analyse capacite'!$D$8</f>
        <v>0</v>
      </c>
      <c r="K1668" s="135" t="n">
        <f aca="false">$G1668*'Analyse capacite'!$E$8</f>
        <v>0</v>
      </c>
    </row>
    <row r="1669" customFormat="false" ht="15" hidden="false" customHeight="false" outlineLevel="0" collapsed="false">
      <c r="B1669" s="130" t="n">
        <v>2027</v>
      </c>
      <c r="C1669" s="131" t="s">
        <v>247</v>
      </c>
      <c r="D1669" s="132" t="n">
        <v>46524</v>
      </c>
      <c r="E1669" s="131" t="s">
        <v>25</v>
      </c>
      <c r="F1669" s="133" t="s">
        <v>24</v>
      </c>
      <c r="G1669" s="134" t="n">
        <f aca="false">LEN('Saisie programme'!$D$60)+SUMIFS('Vols additionnels'!$E$7:$E$66,'Vols additionnels'!$C$7:$C$66,$E1669,'Vols additionnels'!$D$7:$D$66,$F1669,'Vols additionnels'!$B$7:$B$66,$D1669)</f>
        <v>0</v>
      </c>
      <c r="H1669" s="135" t="n">
        <f aca="false">$G1669*'Analyse capacite'!$F$9</f>
        <v>0</v>
      </c>
      <c r="I1669" s="135" t="n">
        <f aca="false">$G1669*'Analyse capacite'!$C$9</f>
        <v>0</v>
      </c>
      <c r="J1669" s="135" t="n">
        <f aca="false">$G1669*'Analyse capacite'!$D$9</f>
        <v>0</v>
      </c>
      <c r="K1669" s="135" t="n">
        <f aca="false">$G1669*'Analyse capacite'!$E$9</f>
        <v>0</v>
      </c>
    </row>
    <row r="1670" customFormat="false" ht="15" hidden="false" customHeight="false" outlineLevel="0" collapsed="false">
      <c r="B1670" s="130" t="n">
        <v>2027</v>
      </c>
      <c r="C1670" s="131" t="s">
        <v>247</v>
      </c>
      <c r="D1670" s="132" t="n">
        <v>46524</v>
      </c>
      <c r="E1670" s="131" t="s">
        <v>36</v>
      </c>
      <c r="F1670" s="133" t="s">
        <v>11</v>
      </c>
      <c r="G1670" s="134" t="n">
        <f aca="false">LEN('Saisie programme'!$D$61)+SUMIFS('Vols additionnels'!$E$7:$E$66,'Vols additionnels'!$C$7:$C$66,$E1670,'Vols additionnels'!$D$7:$D$66,$F1670,'Vols additionnels'!$B$7:$B$66,$D1670)</f>
        <v>0</v>
      </c>
      <c r="H1670" s="135" t="n">
        <f aca="false">$G1670*'Analyse capacite'!$F$7</f>
        <v>0</v>
      </c>
      <c r="I1670" s="135" t="n">
        <f aca="false">$G1670*'Analyse capacite'!$C$7</f>
        <v>0</v>
      </c>
      <c r="J1670" s="135" t="n">
        <f aca="false">$G1670*'Analyse capacite'!$D$7</f>
        <v>0</v>
      </c>
      <c r="K1670" s="135" t="n">
        <f aca="false">$G1670*'Analyse capacite'!$E$7</f>
        <v>0</v>
      </c>
    </row>
    <row r="1671" customFormat="false" ht="15" hidden="false" customHeight="false" outlineLevel="0" collapsed="false">
      <c r="B1671" s="130" t="n">
        <v>2027</v>
      </c>
      <c r="C1671" s="131" t="s">
        <v>247</v>
      </c>
      <c r="D1671" s="132" t="n">
        <v>46524</v>
      </c>
      <c r="E1671" s="131" t="s">
        <v>36</v>
      </c>
      <c r="F1671" s="133" t="s">
        <v>19</v>
      </c>
      <c r="G1671" s="134" t="n">
        <f aca="false">LEN('Saisie programme'!$D$62)+SUMIFS('Vols additionnels'!$E$7:$E$66,'Vols additionnels'!$C$7:$C$66,$E1671,'Vols additionnels'!$D$7:$D$66,$F1671,'Vols additionnels'!$B$7:$B$66,$D1671)</f>
        <v>0</v>
      </c>
      <c r="H1671" s="135" t="n">
        <f aca="false">$G1671*'Analyse capacite'!$F$8</f>
        <v>0</v>
      </c>
      <c r="I1671" s="135" t="n">
        <f aca="false">$G1671*'Analyse capacite'!$C$8</f>
        <v>0</v>
      </c>
      <c r="J1671" s="135" t="n">
        <f aca="false">$G1671*'Analyse capacite'!$D$8</f>
        <v>0</v>
      </c>
      <c r="K1671" s="135" t="n">
        <f aca="false">$G1671*'Analyse capacite'!$E$8</f>
        <v>0</v>
      </c>
    </row>
    <row r="1672" customFormat="false" ht="15" hidden="false" customHeight="false" outlineLevel="0" collapsed="false">
      <c r="B1672" s="130" t="n">
        <v>2027</v>
      </c>
      <c r="C1672" s="131" t="s">
        <v>247</v>
      </c>
      <c r="D1672" s="132" t="n">
        <v>46524</v>
      </c>
      <c r="E1672" s="131" t="s">
        <v>36</v>
      </c>
      <c r="F1672" s="133" t="s">
        <v>24</v>
      </c>
      <c r="G1672" s="134" t="n">
        <f aca="false">LEN('Saisie programme'!$D$63)+SUMIFS('Vols additionnels'!$E$7:$E$66,'Vols additionnels'!$C$7:$C$66,$E1672,'Vols additionnels'!$D$7:$D$66,$F1672,'Vols additionnels'!$B$7:$B$66,$D1672)</f>
        <v>1</v>
      </c>
      <c r="H1672" s="135" t="n">
        <f aca="false">$G1672*'Analyse capacite'!$F$9</f>
        <v>174</v>
      </c>
      <c r="I1672" s="135" t="n">
        <f aca="false">$G1672*'Analyse capacite'!$C$9</f>
        <v>0</v>
      </c>
      <c r="J1672" s="135" t="n">
        <f aca="false">$G1672*'Analyse capacite'!$D$9</f>
        <v>12</v>
      </c>
      <c r="K1672" s="135" t="n">
        <f aca="false">$G1672*'Analyse capacite'!$E$9</f>
        <v>162</v>
      </c>
    </row>
    <row r="1673" customFormat="false" ht="15" hidden="false" customHeight="false" outlineLevel="0" collapsed="false">
      <c r="B1673" s="130" t="n">
        <v>2027</v>
      </c>
      <c r="C1673" s="131" t="s">
        <v>247</v>
      </c>
      <c r="D1673" s="132" t="n">
        <v>46524</v>
      </c>
      <c r="E1673" s="131" t="s">
        <v>40</v>
      </c>
      <c r="F1673" s="133" t="s">
        <v>11</v>
      </c>
      <c r="G1673" s="134" t="n">
        <f aca="false">LEN('Saisie programme'!$D$64)+SUMIFS('Vols additionnels'!$E$7:$E$66,'Vols additionnels'!$C$7:$C$66,$E1673,'Vols additionnels'!$D$7:$D$66,$F1673,'Vols additionnels'!$B$7:$B$66,$D1673)</f>
        <v>0</v>
      </c>
      <c r="H1673" s="135" t="n">
        <f aca="false">$G1673*'Analyse capacite'!$F$7</f>
        <v>0</v>
      </c>
      <c r="I1673" s="135" t="n">
        <f aca="false">$G1673*'Analyse capacite'!$C$7</f>
        <v>0</v>
      </c>
      <c r="J1673" s="135" t="n">
        <f aca="false">$G1673*'Analyse capacite'!$D$7</f>
        <v>0</v>
      </c>
      <c r="K1673" s="135" t="n">
        <f aca="false">$G1673*'Analyse capacite'!$E$7</f>
        <v>0</v>
      </c>
    </row>
    <row r="1674" customFormat="false" ht="15" hidden="false" customHeight="false" outlineLevel="0" collapsed="false">
      <c r="B1674" s="130" t="n">
        <v>2027</v>
      </c>
      <c r="C1674" s="131" t="s">
        <v>247</v>
      </c>
      <c r="D1674" s="132" t="n">
        <v>46524</v>
      </c>
      <c r="E1674" s="131" t="s">
        <v>40</v>
      </c>
      <c r="F1674" s="133" t="s">
        <v>19</v>
      </c>
      <c r="G1674" s="134" t="n">
        <f aca="false">LEN('Saisie programme'!$D$65)+SUMIFS('Vols additionnels'!$E$7:$E$66,'Vols additionnels'!$C$7:$C$66,$E1674,'Vols additionnels'!$D$7:$D$66,$F1674,'Vols additionnels'!$B$7:$B$66,$D1674)</f>
        <v>0</v>
      </c>
      <c r="H1674" s="135" t="n">
        <f aca="false">$G1674*'Analyse capacite'!$F$8</f>
        <v>0</v>
      </c>
      <c r="I1674" s="135" t="n">
        <f aca="false">$G1674*'Analyse capacite'!$C$8</f>
        <v>0</v>
      </c>
      <c r="J1674" s="135" t="n">
        <f aca="false">$G1674*'Analyse capacite'!$D$8</f>
        <v>0</v>
      </c>
      <c r="K1674" s="135" t="n">
        <f aca="false">$G1674*'Analyse capacite'!$E$8</f>
        <v>0</v>
      </c>
    </row>
    <row r="1675" customFormat="false" ht="15" hidden="false" customHeight="false" outlineLevel="0" collapsed="false">
      <c r="B1675" s="130" t="n">
        <v>2027</v>
      </c>
      <c r="C1675" s="131" t="s">
        <v>247</v>
      </c>
      <c r="D1675" s="132" t="n">
        <v>46524</v>
      </c>
      <c r="E1675" s="131" t="s">
        <v>40</v>
      </c>
      <c r="F1675" s="133" t="s">
        <v>24</v>
      </c>
      <c r="G1675" s="134" t="n">
        <f aca="false">LEN('Saisie programme'!$D$66)+SUMIFS('Vols additionnels'!$E$7:$E$66,'Vols additionnels'!$C$7:$C$66,$E1675,'Vols additionnels'!$D$7:$D$66,$F1675,'Vols additionnels'!$B$7:$B$66,$D1675)</f>
        <v>1</v>
      </c>
      <c r="H1675" s="135" t="n">
        <f aca="false">$G1675*'Analyse capacite'!$F$9</f>
        <v>174</v>
      </c>
      <c r="I1675" s="135" t="n">
        <f aca="false">$G1675*'Analyse capacite'!$C$9</f>
        <v>0</v>
      </c>
      <c r="J1675" s="135" t="n">
        <f aca="false">$G1675*'Analyse capacite'!$D$9</f>
        <v>12</v>
      </c>
      <c r="K1675" s="135" t="n">
        <f aca="false">$G1675*'Analyse capacite'!$E$9</f>
        <v>162</v>
      </c>
    </row>
    <row r="1676" customFormat="false" ht="15" hidden="false" customHeight="false" outlineLevel="0" collapsed="false">
      <c r="B1676" s="130" t="n">
        <v>2027</v>
      </c>
      <c r="C1676" s="131" t="s">
        <v>247</v>
      </c>
      <c r="D1676" s="132" t="n">
        <v>46524</v>
      </c>
      <c r="E1676" s="131" t="s">
        <v>14</v>
      </c>
      <c r="F1676" s="133" t="s">
        <v>11</v>
      </c>
      <c r="G1676" s="134" t="n">
        <f aca="false">LEN('Saisie programme'!$D$67)+SUMIFS('Vols additionnels'!$E$7:$E$66,'Vols additionnels'!$C$7:$C$66,$E1676,'Vols additionnels'!$D$7:$D$66,$F1676,'Vols additionnels'!$B$7:$B$66,$D1676)</f>
        <v>0</v>
      </c>
      <c r="H1676" s="135" t="n">
        <f aca="false">$G1676*'Analyse capacite'!$F$7</f>
        <v>0</v>
      </c>
      <c r="I1676" s="135" t="n">
        <f aca="false">$G1676*'Analyse capacite'!$C$7</f>
        <v>0</v>
      </c>
      <c r="J1676" s="135" t="n">
        <f aca="false">$G1676*'Analyse capacite'!$D$7</f>
        <v>0</v>
      </c>
      <c r="K1676" s="135" t="n">
        <f aca="false">$G1676*'Analyse capacite'!$E$7</f>
        <v>0</v>
      </c>
    </row>
    <row r="1677" customFormat="false" ht="15" hidden="false" customHeight="false" outlineLevel="0" collapsed="false">
      <c r="B1677" s="130" t="n">
        <v>2027</v>
      </c>
      <c r="C1677" s="131" t="s">
        <v>247</v>
      </c>
      <c r="D1677" s="132" t="n">
        <v>46524</v>
      </c>
      <c r="E1677" s="131" t="s">
        <v>14</v>
      </c>
      <c r="F1677" s="133" t="s">
        <v>19</v>
      </c>
      <c r="G1677" s="134" t="n">
        <f aca="false">LEN('Saisie programme'!$D$68)+SUMIFS('Vols additionnels'!$E$7:$E$66,'Vols additionnels'!$C$7:$C$66,$E1677,'Vols additionnels'!$D$7:$D$66,$F1677,'Vols additionnels'!$B$7:$B$66,$D1677)</f>
        <v>0</v>
      </c>
      <c r="H1677" s="135" t="n">
        <f aca="false">$G1677*'Analyse capacite'!$F$8</f>
        <v>0</v>
      </c>
      <c r="I1677" s="135" t="n">
        <f aca="false">$G1677*'Analyse capacite'!$C$8</f>
        <v>0</v>
      </c>
      <c r="J1677" s="135" t="n">
        <f aca="false">$G1677*'Analyse capacite'!$D$8</f>
        <v>0</v>
      </c>
      <c r="K1677" s="135" t="n">
        <f aca="false">$G1677*'Analyse capacite'!$E$8</f>
        <v>0</v>
      </c>
    </row>
    <row r="1678" customFormat="false" ht="15" hidden="false" customHeight="false" outlineLevel="0" collapsed="false">
      <c r="B1678" s="130" t="n">
        <v>2027</v>
      </c>
      <c r="C1678" s="131" t="s">
        <v>247</v>
      </c>
      <c r="D1678" s="132" t="n">
        <v>46524</v>
      </c>
      <c r="E1678" s="131" t="s">
        <v>14</v>
      </c>
      <c r="F1678" s="133" t="s">
        <v>24</v>
      </c>
      <c r="G1678" s="134" t="n">
        <f aca="false">LEN('Saisie programme'!$D$69)+SUMIFS('Vols additionnels'!$E$7:$E$66,'Vols additionnels'!$C$7:$C$66,$E1678,'Vols additionnels'!$D$7:$D$66,$F1678,'Vols additionnels'!$B$7:$B$66,$D1678)</f>
        <v>1</v>
      </c>
      <c r="H1678" s="135" t="n">
        <f aca="false">$G1678*'Analyse capacite'!$F$9</f>
        <v>174</v>
      </c>
      <c r="I1678" s="135" t="n">
        <f aca="false">$G1678*'Analyse capacite'!$C$9</f>
        <v>0</v>
      </c>
      <c r="J1678" s="135" t="n">
        <f aca="false">$G1678*'Analyse capacite'!$D$9</f>
        <v>12</v>
      </c>
      <c r="K1678" s="135" t="n">
        <f aca="false">$G1678*'Analyse capacite'!$E$9</f>
        <v>162</v>
      </c>
    </row>
    <row r="1679" customFormat="false" ht="15" hidden="false" customHeight="false" outlineLevel="0" collapsed="false">
      <c r="B1679" s="130" t="n">
        <v>2027</v>
      </c>
      <c r="C1679" s="131" t="s">
        <v>247</v>
      </c>
      <c r="D1679" s="132" t="n">
        <v>46524</v>
      </c>
      <c r="E1679" s="131" t="s">
        <v>46</v>
      </c>
      <c r="F1679" s="133" t="s">
        <v>11</v>
      </c>
      <c r="G1679" s="134" t="n">
        <f aca="false">LEN('Saisie programme'!$D$70)+SUMIFS('Vols additionnels'!$E$7:$E$66,'Vols additionnels'!$C$7:$C$66,$E1679,'Vols additionnels'!$D$7:$D$66,$F1679,'Vols additionnels'!$B$7:$B$66,$D1679)</f>
        <v>0</v>
      </c>
      <c r="H1679" s="135" t="n">
        <f aca="false">$G1679*'Analyse capacite'!$F$7</f>
        <v>0</v>
      </c>
      <c r="I1679" s="135" t="n">
        <f aca="false">$G1679*'Analyse capacite'!$C$7</f>
        <v>0</v>
      </c>
      <c r="J1679" s="135" t="n">
        <f aca="false">$G1679*'Analyse capacite'!$D$7</f>
        <v>0</v>
      </c>
      <c r="K1679" s="135" t="n">
        <f aca="false">$G1679*'Analyse capacite'!$E$7</f>
        <v>0</v>
      </c>
    </row>
    <row r="1680" customFormat="false" ht="15" hidden="false" customHeight="false" outlineLevel="0" collapsed="false">
      <c r="B1680" s="130" t="n">
        <v>2027</v>
      </c>
      <c r="C1680" s="131" t="s">
        <v>247</v>
      </c>
      <c r="D1680" s="132" t="n">
        <v>46524</v>
      </c>
      <c r="E1680" s="131" t="s">
        <v>46</v>
      </c>
      <c r="F1680" s="133" t="s">
        <v>19</v>
      </c>
      <c r="G1680" s="134" t="n">
        <f aca="false">LEN('Saisie programme'!$D$71)+SUMIFS('Vols additionnels'!$E$7:$E$66,'Vols additionnels'!$C$7:$C$66,$E1680,'Vols additionnels'!$D$7:$D$66,$F1680,'Vols additionnels'!$B$7:$B$66,$D1680)</f>
        <v>0</v>
      </c>
      <c r="H1680" s="135" t="n">
        <f aca="false">$G1680*'Analyse capacite'!$F$8</f>
        <v>0</v>
      </c>
      <c r="I1680" s="135" t="n">
        <f aca="false">$G1680*'Analyse capacite'!$C$8</f>
        <v>0</v>
      </c>
      <c r="J1680" s="135" t="n">
        <f aca="false">$G1680*'Analyse capacite'!$D$8</f>
        <v>0</v>
      </c>
      <c r="K1680" s="135" t="n">
        <f aca="false">$G1680*'Analyse capacite'!$E$8</f>
        <v>0</v>
      </c>
    </row>
    <row r="1681" customFormat="false" ht="15" hidden="false" customHeight="false" outlineLevel="0" collapsed="false">
      <c r="B1681" s="130" t="n">
        <v>2027</v>
      </c>
      <c r="C1681" s="131" t="s">
        <v>247</v>
      </c>
      <c r="D1681" s="132" t="n">
        <v>46524</v>
      </c>
      <c r="E1681" s="131" t="s">
        <v>46</v>
      </c>
      <c r="F1681" s="133" t="s">
        <v>24</v>
      </c>
      <c r="G1681" s="134" t="n">
        <f aca="false">LEN('Saisie programme'!$D$72)+SUMIFS('Vols additionnels'!$E$7:$E$66,'Vols additionnels'!$C$7:$C$66,$E1681,'Vols additionnels'!$D$7:$D$66,$F1681,'Vols additionnels'!$B$7:$B$66,$D1681)</f>
        <v>0</v>
      </c>
      <c r="H1681" s="135" t="n">
        <f aca="false">$G1681*'Analyse capacite'!$F$9</f>
        <v>0</v>
      </c>
      <c r="I1681" s="135" t="n">
        <f aca="false">$G1681*'Analyse capacite'!$C$9</f>
        <v>0</v>
      </c>
      <c r="J1681" s="135" t="n">
        <f aca="false">$G1681*'Analyse capacite'!$D$9</f>
        <v>0</v>
      </c>
      <c r="K1681" s="135" t="n">
        <f aca="false">$G1681*'Analyse capacite'!$E$9</f>
        <v>0</v>
      </c>
    </row>
    <row r="1682" customFormat="false" ht="15" hidden="false" customHeight="false" outlineLevel="0" collapsed="false">
      <c r="B1682" s="130" t="n">
        <v>2027</v>
      </c>
      <c r="C1682" s="131" t="s">
        <v>247</v>
      </c>
      <c r="D1682" s="132" t="n">
        <v>46524</v>
      </c>
      <c r="E1682" s="131" t="s">
        <v>49</v>
      </c>
      <c r="F1682" s="133" t="s">
        <v>11</v>
      </c>
      <c r="G1682" s="134" t="n">
        <f aca="false">LEN('Saisie programme'!$D$73)+SUMIFS('Vols additionnels'!$E$7:$E$66,'Vols additionnels'!$C$7:$C$66,$E1682,'Vols additionnels'!$D$7:$D$66,$F1682,'Vols additionnels'!$B$7:$B$66,$D1682)</f>
        <v>0</v>
      </c>
      <c r="H1682" s="135" t="n">
        <f aca="false">$G1682*'Analyse capacite'!$F$7</f>
        <v>0</v>
      </c>
      <c r="I1682" s="135" t="n">
        <f aca="false">$G1682*'Analyse capacite'!$C$7</f>
        <v>0</v>
      </c>
      <c r="J1682" s="135" t="n">
        <f aca="false">$G1682*'Analyse capacite'!$D$7</f>
        <v>0</v>
      </c>
      <c r="K1682" s="135" t="n">
        <f aca="false">$G1682*'Analyse capacite'!$E$7</f>
        <v>0</v>
      </c>
    </row>
    <row r="1683" customFormat="false" ht="15" hidden="false" customHeight="false" outlineLevel="0" collapsed="false">
      <c r="B1683" s="130" t="n">
        <v>2027</v>
      </c>
      <c r="C1683" s="131" t="s">
        <v>247</v>
      </c>
      <c r="D1683" s="132" t="n">
        <v>46524</v>
      </c>
      <c r="E1683" s="131" t="s">
        <v>49</v>
      </c>
      <c r="F1683" s="133" t="s">
        <v>19</v>
      </c>
      <c r="G1683" s="134" t="n">
        <f aca="false">LEN('Saisie programme'!$D$74)+SUMIFS('Vols additionnels'!$E$7:$E$66,'Vols additionnels'!$C$7:$C$66,$E1683,'Vols additionnels'!$D$7:$D$66,$F1683,'Vols additionnels'!$B$7:$B$66,$D1683)</f>
        <v>1</v>
      </c>
      <c r="H1683" s="135" t="n">
        <f aca="false">$G1683*'Analyse capacite'!$F$8</f>
        <v>262</v>
      </c>
      <c r="I1683" s="135" t="n">
        <f aca="false">$G1683*'Analyse capacite'!$C$8</f>
        <v>18</v>
      </c>
      <c r="J1683" s="135" t="n">
        <f aca="false">$G1683*'Analyse capacite'!$D$8</f>
        <v>0</v>
      </c>
      <c r="K1683" s="135" t="n">
        <f aca="false">$G1683*'Analyse capacite'!$E$8</f>
        <v>244</v>
      </c>
    </row>
    <row r="1684" customFormat="false" ht="15" hidden="false" customHeight="false" outlineLevel="0" collapsed="false">
      <c r="B1684" s="130" t="n">
        <v>2027</v>
      </c>
      <c r="C1684" s="131" t="s">
        <v>247</v>
      </c>
      <c r="D1684" s="132" t="n">
        <v>46524</v>
      </c>
      <c r="E1684" s="131" t="s">
        <v>49</v>
      </c>
      <c r="F1684" s="133" t="s">
        <v>24</v>
      </c>
      <c r="G1684" s="134" t="n">
        <f aca="false">LEN('Saisie programme'!$D$75)+SUMIFS('Vols additionnels'!$E$7:$E$66,'Vols additionnels'!$C$7:$C$66,$E1684,'Vols additionnels'!$D$7:$D$66,$F1684,'Vols additionnels'!$B$7:$B$66,$D1684)</f>
        <v>0</v>
      </c>
      <c r="H1684" s="135" t="n">
        <f aca="false">$G1684*'Analyse capacite'!$F$9</f>
        <v>0</v>
      </c>
      <c r="I1684" s="135" t="n">
        <f aca="false">$G1684*'Analyse capacite'!$C$9</f>
        <v>0</v>
      </c>
      <c r="J1684" s="135" t="n">
        <f aca="false">$G1684*'Analyse capacite'!$D$9</f>
        <v>0</v>
      </c>
      <c r="K1684" s="135" t="n">
        <f aca="false">$G1684*'Analyse capacite'!$E$9</f>
        <v>0</v>
      </c>
    </row>
    <row r="1685" customFormat="false" ht="15" hidden="false" customHeight="false" outlineLevel="0" collapsed="false">
      <c r="B1685" s="130" t="n">
        <v>2027</v>
      </c>
      <c r="C1685" s="131" t="s">
        <v>247</v>
      </c>
      <c r="D1685" s="132" t="n">
        <v>46524</v>
      </c>
      <c r="E1685" s="131" t="s">
        <v>53</v>
      </c>
      <c r="F1685" s="133" t="s">
        <v>11</v>
      </c>
      <c r="G1685" s="134" t="n">
        <f aca="false">LEN('Saisie programme'!$D$76)+SUMIFS('Vols additionnels'!$E$7:$E$66,'Vols additionnels'!$C$7:$C$66,$E1685,'Vols additionnels'!$D$7:$D$66,$F1685,'Vols additionnels'!$B$7:$B$66,$D1685)</f>
        <v>0</v>
      </c>
      <c r="H1685" s="135" t="n">
        <f aca="false">$G1685*'Analyse capacite'!$F$7</f>
        <v>0</v>
      </c>
      <c r="I1685" s="135" t="n">
        <f aca="false">$G1685*'Analyse capacite'!$C$7</f>
        <v>0</v>
      </c>
      <c r="J1685" s="135" t="n">
        <f aca="false">$G1685*'Analyse capacite'!$D$7</f>
        <v>0</v>
      </c>
      <c r="K1685" s="135" t="n">
        <f aca="false">$G1685*'Analyse capacite'!$E$7</f>
        <v>0</v>
      </c>
    </row>
    <row r="1686" customFormat="false" ht="15" hidden="false" customHeight="false" outlineLevel="0" collapsed="false">
      <c r="B1686" s="130" t="n">
        <v>2027</v>
      </c>
      <c r="C1686" s="131" t="s">
        <v>247</v>
      </c>
      <c r="D1686" s="132" t="n">
        <v>46524</v>
      </c>
      <c r="E1686" s="131" t="s">
        <v>53</v>
      </c>
      <c r="F1686" s="133" t="s">
        <v>19</v>
      </c>
      <c r="G1686" s="134" t="n">
        <f aca="false">LEN('Saisie programme'!$D$77)+SUMIFS('Vols additionnels'!$E$7:$E$66,'Vols additionnels'!$C$7:$C$66,$E1686,'Vols additionnels'!$D$7:$D$66,$F1686,'Vols additionnels'!$B$7:$B$66,$D1686)</f>
        <v>0</v>
      </c>
      <c r="H1686" s="135" t="n">
        <f aca="false">$G1686*'Analyse capacite'!$F$8</f>
        <v>0</v>
      </c>
      <c r="I1686" s="135" t="n">
        <f aca="false">$G1686*'Analyse capacite'!$C$8</f>
        <v>0</v>
      </c>
      <c r="J1686" s="135" t="n">
        <f aca="false">$G1686*'Analyse capacite'!$D$8</f>
        <v>0</v>
      </c>
      <c r="K1686" s="135" t="n">
        <f aca="false">$G1686*'Analyse capacite'!$E$8</f>
        <v>0</v>
      </c>
    </row>
    <row r="1687" customFormat="false" ht="15" hidden="false" customHeight="false" outlineLevel="0" collapsed="false">
      <c r="B1687" s="130" t="n">
        <v>2027</v>
      </c>
      <c r="C1687" s="131" t="s">
        <v>247</v>
      </c>
      <c r="D1687" s="132" t="n">
        <v>46524</v>
      </c>
      <c r="E1687" s="131" t="s">
        <v>53</v>
      </c>
      <c r="F1687" s="133" t="s">
        <v>24</v>
      </c>
      <c r="G1687" s="134" t="n">
        <f aca="false">LEN('Saisie programme'!$D$78)+SUMIFS('Vols additionnels'!$E$7:$E$66,'Vols additionnels'!$C$7:$C$66,$E1687,'Vols additionnels'!$D$7:$D$66,$F1687,'Vols additionnels'!$B$7:$B$66,$D1687)</f>
        <v>0</v>
      </c>
      <c r="H1687" s="135" t="n">
        <f aca="false">$G1687*'Analyse capacite'!$F$9</f>
        <v>0</v>
      </c>
      <c r="I1687" s="135" t="n">
        <f aca="false">$G1687*'Analyse capacite'!$C$9</f>
        <v>0</v>
      </c>
      <c r="J1687" s="135" t="n">
        <f aca="false">$G1687*'Analyse capacite'!$D$9</f>
        <v>0</v>
      </c>
      <c r="K1687" s="135" t="n">
        <f aca="false">$G1687*'Analyse capacite'!$E$9</f>
        <v>0</v>
      </c>
    </row>
    <row r="1688" customFormat="false" ht="15" hidden="false" customHeight="false" outlineLevel="0" collapsed="false">
      <c r="B1688" s="130" t="n">
        <v>2027</v>
      </c>
      <c r="C1688" s="131" t="s">
        <v>247</v>
      </c>
      <c r="D1688" s="132" t="n">
        <v>46524</v>
      </c>
      <c r="E1688" s="131" t="s">
        <v>56</v>
      </c>
      <c r="F1688" s="133" t="s">
        <v>11</v>
      </c>
      <c r="G1688" s="134" t="n">
        <f aca="false">LEN('Saisie programme'!$D$79)+SUMIFS('Vols additionnels'!$E$7:$E$66,'Vols additionnels'!$C$7:$C$66,$E1688,'Vols additionnels'!$D$7:$D$66,$F1688,'Vols additionnels'!$B$7:$B$66,$D1688)</f>
        <v>0</v>
      </c>
      <c r="H1688" s="135" t="n">
        <f aca="false">$G1688*'Analyse capacite'!$F$7</f>
        <v>0</v>
      </c>
      <c r="I1688" s="135" t="n">
        <f aca="false">$G1688*'Analyse capacite'!$C$7</f>
        <v>0</v>
      </c>
      <c r="J1688" s="135" t="n">
        <f aca="false">$G1688*'Analyse capacite'!$D$7</f>
        <v>0</v>
      </c>
      <c r="K1688" s="135" t="n">
        <f aca="false">$G1688*'Analyse capacite'!$E$7</f>
        <v>0</v>
      </c>
    </row>
    <row r="1689" customFormat="false" ht="15" hidden="false" customHeight="false" outlineLevel="0" collapsed="false">
      <c r="B1689" s="130" t="n">
        <v>2027</v>
      </c>
      <c r="C1689" s="131" t="s">
        <v>247</v>
      </c>
      <c r="D1689" s="132" t="n">
        <v>46524</v>
      </c>
      <c r="E1689" s="131" t="s">
        <v>56</v>
      </c>
      <c r="F1689" s="133" t="s">
        <v>19</v>
      </c>
      <c r="G1689" s="134" t="n">
        <f aca="false">LEN('Saisie programme'!$D$80)+SUMIFS('Vols additionnels'!$E$7:$E$66,'Vols additionnels'!$C$7:$C$66,$E1689,'Vols additionnels'!$D$7:$D$66,$F1689,'Vols additionnels'!$B$7:$B$66,$D1689)</f>
        <v>0</v>
      </c>
      <c r="H1689" s="135" t="n">
        <f aca="false">$G1689*'Analyse capacite'!$F$8</f>
        <v>0</v>
      </c>
      <c r="I1689" s="135" t="n">
        <f aca="false">$G1689*'Analyse capacite'!$C$8</f>
        <v>0</v>
      </c>
      <c r="J1689" s="135" t="n">
        <f aca="false">$G1689*'Analyse capacite'!$D$8</f>
        <v>0</v>
      </c>
      <c r="K1689" s="135" t="n">
        <f aca="false">$G1689*'Analyse capacite'!$E$8</f>
        <v>0</v>
      </c>
    </row>
    <row r="1690" customFormat="false" ht="15" hidden="false" customHeight="false" outlineLevel="0" collapsed="false">
      <c r="B1690" s="130" t="n">
        <v>2027</v>
      </c>
      <c r="C1690" s="131" t="s">
        <v>247</v>
      </c>
      <c r="D1690" s="132" t="n">
        <v>46524</v>
      </c>
      <c r="E1690" s="131" t="s">
        <v>56</v>
      </c>
      <c r="F1690" s="133" t="s">
        <v>24</v>
      </c>
      <c r="G1690" s="134" t="n">
        <f aca="false">LEN('Saisie programme'!$D$81)+SUMIFS('Vols additionnels'!$E$7:$E$66,'Vols additionnels'!$C$7:$C$66,$E1690,'Vols additionnels'!$D$7:$D$66,$F1690,'Vols additionnels'!$B$7:$B$66,$D1690)</f>
        <v>0</v>
      </c>
      <c r="H1690" s="135" t="n">
        <f aca="false">$G1690*'Analyse capacite'!$F$9</f>
        <v>0</v>
      </c>
      <c r="I1690" s="135" t="n">
        <f aca="false">$G1690*'Analyse capacite'!$C$9</f>
        <v>0</v>
      </c>
      <c r="J1690" s="135" t="n">
        <f aca="false">$G1690*'Analyse capacite'!$D$9</f>
        <v>0</v>
      </c>
      <c r="K1690" s="135" t="n">
        <f aca="false">$G1690*'Analyse capacite'!$E$9</f>
        <v>0</v>
      </c>
    </row>
    <row r="1691" customFormat="false" ht="15" hidden="false" customHeight="false" outlineLevel="0" collapsed="false">
      <c r="B1691" s="130" t="n">
        <v>2027</v>
      </c>
      <c r="C1691" s="131" t="s">
        <v>247</v>
      </c>
      <c r="D1691" s="132" t="n">
        <v>46524</v>
      </c>
      <c r="E1691" s="131" t="s">
        <v>59</v>
      </c>
      <c r="F1691" s="133" t="s">
        <v>11</v>
      </c>
      <c r="G1691" s="134" t="n">
        <f aca="false">LEN('Saisie programme'!$D$82)+SUMIFS('Vols additionnels'!$E$7:$E$66,'Vols additionnels'!$C$7:$C$66,$E1691,'Vols additionnels'!$D$7:$D$66,$F1691,'Vols additionnels'!$B$7:$B$66,$D1691)</f>
        <v>0</v>
      </c>
      <c r="H1691" s="135" t="n">
        <f aca="false">$G1691*'Analyse capacite'!$F$7</f>
        <v>0</v>
      </c>
      <c r="I1691" s="135" t="n">
        <f aca="false">$G1691*'Analyse capacite'!$C$7</f>
        <v>0</v>
      </c>
      <c r="J1691" s="135" t="n">
        <f aca="false">$G1691*'Analyse capacite'!$D$7</f>
        <v>0</v>
      </c>
      <c r="K1691" s="135" t="n">
        <f aca="false">$G1691*'Analyse capacite'!$E$7</f>
        <v>0</v>
      </c>
    </row>
    <row r="1692" customFormat="false" ht="15" hidden="false" customHeight="false" outlineLevel="0" collapsed="false">
      <c r="B1692" s="130" t="n">
        <v>2027</v>
      </c>
      <c r="C1692" s="131" t="s">
        <v>247</v>
      </c>
      <c r="D1692" s="132" t="n">
        <v>46524</v>
      </c>
      <c r="E1692" s="131" t="s">
        <v>59</v>
      </c>
      <c r="F1692" s="133" t="s">
        <v>19</v>
      </c>
      <c r="G1692" s="134" t="n">
        <f aca="false">LEN('Saisie programme'!$D$83)+SUMIFS('Vols additionnels'!$E$7:$E$66,'Vols additionnels'!$C$7:$C$66,$E1692,'Vols additionnels'!$D$7:$D$66,$F1692,'Vols additionnels'!$B$7:$B$66,$D1692)</f>
        <v>0</v>
      </c>
      <c r="H1692" s="135" t="n">
        <f aca="false">$G1692*'Analyse capacite'!$F$8</f>
        <v>0</v>
      </c>
      <c r="I1692" s="135" t="n">
        <f aca="false">$G1692*'Analyse capacite'!$C$8</f>
        <v>0</v>
      </c>
      <c r="J1692" s="135" t="n">
        <f aca="false">$G1692*'Analyse capacite'!$D$8</f>
        <v>0</v>
      </c>
      <c r="K1692" s="135" t="n">
        <f aca="false">$G1692*'Analyse capacite'!$E$8</f>
        <v>0</v>
      </c>
    </row>
    <row r="1693" customFormat="false" ht="15" hidden="false" customHeight="false" outlineLevel="0" collapsed="false">
      <c r="B1693" s="130" t="n">
        <v>2027</v>
      </c>
      <c r="C1693" s="131" t="s">
        <v>247</v>
      </c>
      <c r="D1693" s="132" t="n">
        <v>46524</v>
      </c>
      <c r="E1693" s="131" t="s">
        <v>59</v>
      </c>
      <c r="F1693" s="133" t="s">
        <v>24</v>
      </c>
      <c r="G1693" s="134" t="n">
        <f aca="false">LEN('Saisie programme'!$D$84)+SUMIFS('Vols additionnels'!$E$7:$E$66,'Vols additionnels'!$C$7:$C$66,$E1693,'Vols additionnels'!$D$7:$D$66,$F1693,'Vols additionnels'!$B$7:$B$66,$D1693)</f>
        <v>1</v>
      </c>
      <c r="H1693" s="135" t="n">
        <f aca="false">$G1693*'Analyse capacite'!$F$9</f>
        <v>174</v>
      </c>
      <c r="I1693" s="135" t="n">
        <f aca="false">$G1693*'Analyse capacite'!$C$9</f>
        <v>0</v>
      </c>
      <c r="J1693" s="135" t="n">
        <f aca="false">$G1693*'Analyse capacite'!$D$9</f>
        <v>12</v>
      </c>
      <c r="K1693" s="135" t="n">
        <f aca="false">$G1693*'Analyse capacite'!$E$9</f>
        <v>162</v>
      </c>
    </row>
    <row r="1694" customFormat="false" ht="15" hidden="false" customHeight="false" outlineLevel="0" collapsed="false">
      <c r="B1694" s="130" t="n">
        <v>2027</v>
      </c>
      <c r="C1694" s="131" t="s">
        <v>247</v>
      </c>
      <c r="D1694" s="132" t="n">
        <v>46524</v>
      </c>
      <c r="E1694" s="131" t="s">
        <v>62</v>
      </c>
      <c r="F1694" s="133" t="s">
        <v>11</v>
      </c>
      <c r="G1694" s="134" t="n">
        <f aca="false">LEN('Saisie programme'!$D$85)+SUMIFS('Vols additionnels'!$E$7:$E$66,'Vols additionnels'!$C$7:$C$66,$E1694,'Vols additionnels'!$D$7:$D$66,$F1694,'Vols additionnels'!$B$7:$B$66,$D1694)</f>
        <v>0</v>
      </c>
      <c r="H1694" s="135" t="n">
        <f aca="false">$G1694*'Analyse capacite'!$F$7</f>
        <v>0</v>
      </c>
      <c r="I1694" s="135" t="n">
        <f aca="false">$G1694*'Analyse capacite'!$C$7</f>
        <v>0</v>
      </c>
      <c r="J1694" s="135" t="n">
        <f aca="false">$G1694*'Analyse capacite'!$D$7</f>
        <v>0</v>
      </c>
      <c r="K1694" s="135" t="n">
        <f aca="false">$G1694*'Analyse capacite'!$E$7</f>
        <v>0</v>
      </c>
    </row>
    <row r="1695" customFormat="false" ht="15" hidden="false" customHeight="false" outlineLevel="0" collapsed="false">
      <c r="B1695" s="130" t="n">
        <v>2027</v>
      </c>
      <c r="C1695" s="131" t="s">
        <v>247</v>
      </c>
      <c r="D1695" s="132" t="n">
        <v>46524</v>
      </c>
      <c r="E1695" s="131" t="s">
        <v>62</v>
      </c>
      <c r="F1695" s="133" t="s">
        <v>19</v>
      </c>
      <c r="G1695" s="134" t="n">
        <f aca="false">LEN('Saisie programme'!$D$86)+SUMIFS('Vols additionnels'!$E$7:$E$66,'Vols additionnels'!$C$7:$C$66,$E1695,'Vols additionnels'!$D$7:$D$66,$F1695,'Vols additionnels'!$B$7:$B$66,$D1695)</f>
        <v>0</v>
      </c>
      <c r="H1695" s="135" t="n">
        <f aca="false">$G1695*'Analyse capacite'!$F$8</f>
        <v>0</v>
      </c>
      <c r="I1695" s="135" t="n">
        <f aca="false">$G1695*'Analyse capacite'!$C$8</f>
        <v>0</v>
      </c>
      <c r="J1695" s="135" t="n">
        <f aca="false">$G1695*'Analyse capacite'!$D$8</f>
        <v>0</v>
      </c>
      <c r="K1695" s="135" t="n">
        <f aca="false">$G1695*'Analyse capacite'!$E$8</f>
        <v>0</v>
      </c>
    </row>
    <row r="1696" customFormat="false" ht="15" hidden="false" customHeight="false" outlineLevel="0" collapsed="false">
      <c r="B1696" s="130" t="n">
        <v>2027</v>
      </c>
      <c r="C1696" s="131" t="s">
        <v>247</v>
      </c>
      <c r="D1696" s="132" t="n">
        <v>46524</v>
      </c>
      <c r="E1696" s="131" t="s">
        <v>62</v>
      </c>
      <c r="F1696" s="133" t="s">
        <v>24</v>
      </c>
      <c r="G1696" s="134" t="n">
        <f aca="false">LEN('Saisie programme'!$D$87)+SUMIFS('Vols additionnels'!$E$7:$E$66,'Vols additionnels'!$C$7:$C$66,$E1696,'Vols additionnels'!$D$7:$D$66,$F1696,'Vols additionnels'!$B$7:$B$66,$D1696)</f>
        <v>0</v>
      </c>
      <c r="H1696" s="135" t="n">
        <f aca="false">$G1696*'Analyse capacite'!$F$9</f>
        <v>0</v>
      </c>
      <c r="I1696" s="135" t="n">
        <f aca="false">$G1696*'Analyse capacite'!$C$9</f>
        <v>0</v>
      </c>
      <c r="J1696" s="135" t="n">
        <f aca="false">$G1696*'Analyse capacite'!$D$9</f>
        <v>0</v>
      </c>
      <c r="K1696" s="135" t="n">
        <f aca="false">$G1696*'Analyse capacite'!$E$9</f>
        <v>0</v>
      </c>
    </row>
    <row r="1697" customFormat="false" ht="15" hidden="false" customHeight="false" outlineLevel="0" collapsed="false">
      <c r="B1697" s="130" t="n">
        <v>2027</v>
      </c>
      <c r="C1697" s="131" t="s">
        <v>247</v>
      </c>
      <c r="D1697" s="132" t="n">
        <v>46525</v>
      </c>
      <c r="E1697" s="131" t="s">
        <v>12</v>
      </c>
      <c r="F1697" s="133" t="s">
        <v>11</v>
      </c>
      <c r="G1697" s="134" t="n">
        <f aca="false">LEN('Saisie programme'!$E$52)+SUMIFS('Vols additionnels'!$E$7:$E$66,'Vols additionnels'!$C$7:$C$66,$E1697,'Vols additionnels'!$D$7:$D$66,$F1697,'Vols additionnels'!$B$7:$B$66,$D1697)</f>
        <v>1</v>
      </c>
      <c r="H1697" s="135" t="n">
        <f aca="false">$G1697*'Analyse capacite'!$F$7</f>
        <v>438</v>
      </c>
      <c r="I1697" s="135" t="n">
        <f aca="false">$G1697*'Analyse capacite'!$C$7</f>
        <v>14</v>
      </c>
      <c r="J1697" s="135" t="n">
        <f aca="false">$G1697*'Analyse capacite'!$D$7</f>
        <v>40</v>
      </c>
      <c r="K1697" s="135" t="n">
        <f aca="false">$G1697*'Analyse capacite'!$E$7</f>
        <v>384</v>
      </c>
    </row>
    <row r="1698" customFormat="false" ht="15" hidden="false" customHeight="false" outlineLevel="0" collapsed="false">
      <c r="B1698" s="130" t="n">
        <v>2027</v>
      </c>
      <c r="C1698" s="131" t="s">
        <v>247</v>
      </c>
      <c r="D1698" s="132" t="n">
        <v>46525</v>
      </c>
      <c r="E1698" s="131" t="s">
        <v>12</v>
      </c>
      <c r="F1698" s="133" t="s">
        <v>19</v>
      </c>
      <c r="G1698" s="134" t="n">
        <f aca="false">LEN('Saisie programme'!$E$53)+SUMIFS('Vols additionnels'!$E$7:$E$66,'Vols additionnels'!$C$7:$C$66,$E1698,'Vols additionnels'!$D$7:$D$66,$F1698,'Vols additionnels'!$B$7:$B$66,$D1698)</f>
        <v>0</v>
      </c>
      <c r="H1698" s="135" t="n">
        <f aca="false">$G1698*'Analyse capacite'!$F$8</f>
        <v>0</v>
      </c>
      <c r="I1698" s="135" t="n">
        <f aca="false">$G1698*'Analyse capacite'!$C$8</f>
        <v>0</v>
      </c>
      <c r="J1698" s="135" t="n">
        <f aca="false">$G1698*'Analyse capacite'!$D$8</f>
        <v>0</v>
      </c>
      <c r="K1698" s="135" t="n">
        <f aca="false">$G1698*'Analyse capacite'!$E$8</f>
        <v>0</v>
      </c>
    </row>
    <row r="1699" customFormat="false" ht="15" hidden="false" customHeight="false" outlineLevel="0" collapsed="false">
      <c r="B1699" s="130" t="n">
        <v>2027</v>
      </c>
      <c r="C1699" s="131" t="s">
        <v>247</v>
      </c>
      <c r="D1699" s="132" t="n">
        <v>46525</v>
      </c>
      <c r="E1699" s="131" t="s">
        <v>12</v>
      </c>
      <c r="F1699" s="133" t="s">
        <v>24</v>
      </c>
      <c r="G1699" s="134" t="n">
        <f aca="false">LEN('Saisie programme'!$E$54)+SUMIFS('Vols additionnels'!$E$7:$E$66,'Vols additionnels'!$C$7:$C$66,$E1699,'Vols additionnels'!$D$7:$D$66,$F1699,'Vols additionnels'!$B$7:$B$66,$D1699)</f>
        <v>0</v>
      </c>
      <c r="H1699" s="135" t="n">
        <f aca="false">$G1699*'Analyse capacite'!$F$9</f>
        <v>0</v>
      </c>
      <c r="I1699" s="135" t="n">
        <f aca="false">$G1699*'Analyse capacite'!$C$9</f>
        <v>0</v>
      </c>
      <c r="J1699" s="135" t="n">
        <f aca="false">$G1699*'Analyse capacite'!$D$9</f>
        <v>0</v>
      </c>
      <c r="K1699" s="135" t="n">
        <f aca="false">$G1699*'Analyse capacite'!$E$9</f>
        <v>0</v>
      </c>
    </row>
    <row r="1700" customFormat="false" ht="15" hidden="false" customHeight="false" outlineLevel="0" collapsed="false">
      <c r="B1700" s="130" t="n">
        <v>2027</v>
      </c>
      <c r="C1700" s="131" t="s">
        <v>247</v>
      </c>
      <c r="D1700" s="132" t="n">
        <v>46525</v>
      </c>
      <c r="E1700" s="131" t="s">
        <v>20</v>
      </c>
      <c r="F1700" s="133" t="s">
        <v>11</v>
      </c>
      <c r="G1700" s="134" t="n">
        <f aca="false">LEN('Saisie programme'!$E$55)+SUMIFS('Vols additionnels'!$E$7:$E$66,'Vols additionnels'!$C$7:$C$66,$E1700,'Vols additionnels'!$D$7:$D$66,$F1700,'Vols additionnels'!$B$7:$B$66,$D1700)</f>
        <v>0</v>
      </c>
      <c r="H1700" s="135" t="n">
        <f aca="false">$G1700*'Analyse capacite'!$F$7</f>
        <v>0</v>
      </c>
      <c r="I1700" s="135" t="n">
        <f aca="false">$G1700*'Analyse capacite'!$C$7</f>
        <v>0</v>
      </c>
      <c r="J1700" s="135" t="n">
        <f aca="false">$G1700*'Analyse capacite'!$D$7</f>
        <v>0</v>
      </c>
      <c r="K1700" s="135" t="n">
        <f aca="false">$G1700*'Analyse capacite'!$E$7</f>
        <v>0</v>
      </c>
    </row>
    <row r="1701" customFormat="false" ht="15" hidden="false" customHeight="false" outlineLevel="0" collapsed="false">
      <c r="B1701" s="130" t="n">
        <v>2027</v>
      </c>
      <c r="C1701" s="131" t="s">
        <v>247</v>
      </c>
      <c r="D1701" s="132" t="n">
        <v>46525</v>
      </c>
      <c r="E1701" s="131" t="s">
        <v>20</v>
      </c>
      <c r="F1701" s="133" t="s">
        <v>19</v>
      </c>
      <c r="G1701" s="134" t="n">
        <f aca="false">LEN('Saisie programme'!$E$56)+SUMIFS('Vols additionnels'!$E$7:$E$66,'Vols additionnels'!$C$7:$C$66,$E1701,'Vols additionnels'!$D$7:$D$66,$F1701,'Vols additionnels'!$B$7:$B$66,$D1701)</f>
        <v>1</v>
      </c>
      <c r="H1701" s="135" t="n">
        <f aca="false">$G1701*'Analyse capacite'!$F$8</f>
        <v>262</v>
      </c>
      <c r="I1701" s="135" t="n">
        <f aca="false">$G1701*'Analyse capacite'!$C$8</f>
        <v>18</v>
      </c>
      <c r="J1701" s="135" t="n">
        <f aca="false">$G1701*'Analyse capacite'!$D$8</f>
        <v>0</v>
      </c>
      <c r="K1701" s="135" t="n">
        <f aca="false">$G1701*'Analyse capacite'!$E$8</f>
        <v>244</v>
      </c>
    </row>
    <row r="1702" customFormat="false" ht="15" hidden="false" customHeight="false" outlineLevel="0" collapsed="false">
      <c r="B1702" s="130" t="n">
        <v>2027</v>
      </c>
      <c r="C1702" s="131" t="s">
        <v>247</v>
      </c>
      <c r="D1702" s="132" t="n">
        <v>46525</v>
      </c>
      <c r="E1702" s="131" t="s">
        <v>20</v>
      </c>
      <c r="F1702" s="133" t="s">
        <v>24</v>
      </c>
      <c r="G1702" s="134" t="n">
        <f aca="false">LEN('Saisie programme'!$E$57)+SUMIFS('Vols additionnels'!$E$7:$E$66,'Vols additionnels'!$C$7:$C$66,$E1702,'Vols additionnels'!$D$7:$D$66,$F1702,'Vols additionnels'!$B$7:$B$66,$D1702)</f>
        <v>0</v>
      </c>
      <c r="H1702" s="135" t="n">
        <f aca="false">$G1702*'Analyse capacite'!$F$9</f>
        <v>0</v>
      </c>
      <c r="I1702" s="135" t="n">
        <f aca="false">$G1702*'Analyse capacite'!$C$9</f>
        <v>0</v>
      </c>
      <c r="J1702" s="135" t="n">
        <f aca="false">$G1702*'Analyse capacite'!$D$9</f>
        <v>0</v>
      </c>
      <c r="K1702" s="135" t="n">
        <f aca="false">$G1702*'Analyse capacite'!$E$9</f>
        <v>0</v>
      </c>
    </row>
    <row r="1703" customFormat="false" ht="15" hidden="false" customHeight="false" outlineLevel="0" collapsed="false">
      <c r="B1703" s="130" t="n">
        <v>2027</v>
      </c>
      <c r="C1703" s="131" t="s">
        <v>247</v>
      </c>
      <c r="D1703" s="132" t="n">
        <v>46525</v>
      </c>
      <c r="E1703" s="131" t="s">
        <v>25</v>
      </c>
      <c r="F1703" s="133" t="s">
        <v>11</v>
      </c>
      <c r="G1703" s="134" t="n">
        <f aca="false">LEN('Saisie programme'!$E$58)+SUMIFS('Vols additionnels'!$E$7:$E$66,'Vols additionnels'!$C$7:$C$66,$E1703,'Vols additionnels'!$D$7:$D$66,$F1703,'Vols additionnels'!$B$7:$B$66,$D1703)</f>
        <v>0</v>
      </c>
      <c r="H1703" s="135" t="n">
        <f aca="false">$G1703*'Analyse capacite'!$F$7</f>
        <v>0</v>
      </c>
      <c r="I1703" s="135" t="n">
        <f aca="false">$G1703*'Analyse capacite'!$C$7</f>
        <v>0</v>
      </c>
      <c r="J1703" s="135" t="n">
        <f aca="false">$G1703*'Analyse capacite'!$D$7</f>
        <v>0</v>
      </c>
      <c r="K1703" s="135" t="n">
        <f aca="false">$G1703*'Analyse capacite'!$E$7</f>
        <v>0</v>
      </c>
    </row>
    <row r="1704" customFormat="false" ht="15" hidden="false" customHeight="false" outlineLevel="0" collapsed="false">
      <c r="B1704" s="130" t="n">
        <v>2027</v>
      </c>
      <c r="C1704" s="131" t="s">
        <v>247</v>
      </c>
      <c r="D1704" s="132" t="n">
        <v>46525</v>
      </c>
      <c r="E1704" s="131" t="s">
        <v>25</v>
      </c>
      <c r="F1704" s="133" t="s">
        <v>19</v>
      </c>
      <c r="G1704" s="134" t="n">
        <f aca="false">LEN('Saisie programme'!$E$59)+SUMIFS('Vols additionnels'!$E$7:$E$66,'Vols additionnels'!$C$7:$C$66,$E1704,'Vols additionnels'!$D$7:$D$66,$F1704,'Vols additionnels'!$B$7:$B$66,$D1704)</f>
        <v>0</v>
      </c>
      <c r="H1704" s="135" t="n">
        <f aca="false">$G1704*'Analyse capacite'!$F$8</f>
        <v>0</v>
      </c>
      <c r="I1704" s="135" t="n">
        <f aca="false">$G1704*'Analyse capacite'!$C$8</f>
        <v>0</v>
      </c>
      <c r="J1704" s="135" t="n">
        <f aca="false">$G1704*'Analyse capacite'!$D$8</f>
        <v>0</v>
      </c>
      <c r="K1704" s="135" t="n">
        <f aca="false">$G1704*'Analyse capacite'!$E$8</f>
        <v>0</v>
      </c>
    </row>
    <row r="1705" customFormat="false" ht="15" hidden="false" customHeight="false" outlineLevel="0" collapsed="false">
      <c r="B1705" s="130" t="n">
        <v>2027</v>
      </c>
      <c r="C1705" s="131" t="s">
        <v>247</v>
      </c>
      <c r="D1705" s="132" t="n">
        <v>46525</v>
      </c>
      <c r="E1705" s="131" t="s">
        <v>25</v>
      </c>
      <c r="F1705" s="133" t="s">
        <v>24</v>
      </c>
      <c r="G1705" s="134" t="n">
        <f aca="false">LEN('Saisie programme'!$E$60)+SUMIFS('Vols additionnels'!$E$7:$E$66,'Vols additionnels'!$C$7:$C$66,$E1705,'Vols additionnels'!$D$7:$D$66,$F1705,'Vols additionnels'!$B$7:$B$66,$D1705)</f>
        <v>0</v>
      </c>
      <c r="H1705" s="135" t="n">
        <f aca="false">$G1705*'Analyse capacite'!$F$9</f>
        <v>0</v>
      </c>
      <c r="I1705" s="135" t="n">
        <f aca="false">$G1705*'Analyse capacite'!$C$9</f>
        <v>0</v>
      </c>
      <c r="J1705" s="135" t="n">
        <f aca="false">$G1705*'Analyse capacite'!$D$9</f>
        <v>0</v>
      </c>
      <c r="K1705" s="135" t="n">
        <f aca="false">$G1705*'Analyse capacite'!$E$9</f>
        <v>0</v>
      </c>
    </row>
    <row r="1706" customFormat="false" ht="15" hidden="false" customHeight="false" outlineLevel="0" collapsed="false">
      <c r="B1706" s="130" t="n">
        <v>2027</v>
      </c>
      <c r="C1706" s="131" t="s">
        <v>247</v>
      </c>
      <c r="D1706" s="132" t="n">
        <v>46525</v>
      </c>
      <c r="E1706" s="131" t="s">
        <v>36</v>
      </c>
      <c r="F1706" s="133" t="s">
        <v>11</v>
      </c>
      <c r="G1706" s="134" t="n">
        <f aca="false">LEN('Saisie programme'!$E$61)+SUMIFS('Vols additionnels'!$E$7:$E$66,'Vols additionnels'!$C$7:$C$66,$E1706,'Vols additionnels'!$D$7:$D$66,$F1706,'Vols additionnels'!$B$7:$B$66,$D1706)</f>
        <v>0</v>
      </c>
      <c r="H1706" s="135" t="n">
        <f aca="false">$G1706*'Analyse capacite'!$F$7</f>
        <v>0</v>
      </c>
      <c r="I1706" s="135" t="n">
        <f aca="false">$G1706*'Analyse capacite'!$C$7</f>
        <v>0</v>
      </c>
      <c r="J1706" s="135" t="n">
        <f aca="false">$G1706*'Analyse capacite'!$D$7</f>
        <v>0</v>
      </c>
      <c r="K1706" s="135" t="n">
        <f aca="false">$G1706*'Analyse capacite'!$E$7</f>
        <v>0</v>
      </c>
    </row>
    <row r="1707" customFormat="false" ht="15" hidden="false" customHeight="false" outlineLevel="0" collapsed="false">
      <c r="B1707" s="130" t="n">
        <v>2027</v>
      </c>
      <c r="C1707" s="131" t="s">
        <v>247</v>
      </c>
      <c r="D1707" s="132" t="n">
        <v>46525</v>
      </c>
      <c r="E1707" s="131" t="s">
        <v>36</v>
      </c>
      <c r="F1707" s="133" t="s">
        <v>19</v>
      </c>
      <c r="G1707" s="134" t="n">
        <f aca="false">LEN('Saisie programme'!$E$62)+SUMIFS('Vols additionnels'!$E$7:$E$66,'Vols additionnels'!$C$7:$C$66,$E1707,'Vols additionnels'!$D$7:$D$66,$F1707,'Vols additionnels'!$B$7:$B$66,$D1707)</f>
        <v>0</v>
      </c>
      <c r="H1707" s="135" t="n">
        <f aca="false">$G1707*'Analyse capacite'!$F$8</f>
        <v>0</v>
      </c>
      <c r="I1707" s="135" t="n">
        <f aca="false">$G1707*'Analyse capacite'!$C$8</f>
        <v>0</v>
      </c>
      <c r="J1707" s="135" t="n">
        <f aca="false">$G1707*'Analyse capacite'!$D$8</f>
        <v>0</v>
      </c>
      <c r="K1707" s="135" t="n">
        <f aca="false">$G1707*'Analyse capacite'!$E$8</f>
        <v>0</v>
      </c>
    </row>
    <row r="1708" customFormat="false" ht="15" hidden="false" customHeight="false" outlineLevel="0" collapsed="false">
      <c r="B1708" s="130" t="n">
        <v>2027</v>
      </c>
      <c r="C1708" s="131" t="s">
        <v>247</v>
      </c>
      <c r="D1708" s="132" t="n">
        <v>46525</v>
      </c>
      <c r="E1708" s="131" t="s">
        <v>36</v>
      </c>
      <c r="F1708" s="133" t="s">
        <v>24</v>
      </c>
      <c r="G1708" s="134" t="n">
        <f aca="false">LEN('Saisie programme'!$E$63)+SUMIFS('Vols additionnels'!$E$7:$E$66,'Vols additionnels'!$C$7:$C$66,$E1708,'Vols additionnels'!$D$7:$D$66,$F1708,'Vols additionnels'!$B$7:$B$66,$D1708)</f>
        <v>1</v>
      </c>
      <c r="H1708" s="135" t="n">
        <f aca="false">$G1708*'Analyse capacite'!$F$9</f>
        <v>174</v>
      </c>
      <c r="I1708" s="135" t="n">
        <f aca="false">$G1708*'Analyse capacite'!$C$9</f>
        <v>0</v>
      </c>
      <c r="J1708" s="135" t="n">
        <f aca="false">$G1708*'Analyse capacite'!$D$9</f>
        <v>12</v>
      </c>
      <c r="K1708" s="135" t="n">
        <f aca="false">$G1708*'Analyse capacite'!$E$9</f>
        <v>162</v>
      </c>
    </row>
    <row r="1709" customFormat="false" ht="15" hidden="false" customHeight="false" outlineLevel="0" collapsed="false">
      <c r="B1709" s="130" t="n">
        <v>2027</v>
      </c>
      <c r="C1709" s="131" t="s">
        <v>247</v>
      </c>
      <c r="D1709" s="132" t="n">
        <v>46525</v>
      </c>
      <c r="E1709" s="131" t="s">
        <v>40</v>
      </c>
      <c r="F1709" s="133" t="s">
        <v>11</v>
      </c>
      <c r="G1709" s="134" t="n">
        <f aca="false">LEN('Saisie programme'!$E$64)+SUMIFS('Vols additionnels'!$E$7:$E$66,'Vols additionnels'!$C$7:$C$66,$E1709,'Vols additionnels'!$D$7:$D$66,$F1709,'Vols additionnels'!$B$7:$B$66,$D1709)</f>
        <v>0</v>
      </c>
      <c r="H1709" s="135" t="n">
        <f aca="false">$G1709*'Analyse capacite'!$F$7</f>
        <v>0</v>
      </c>
      <c r="I1709" s="135" t="n">
        <f aca="false">$G1709*'Analyse capacite'!$C$7</f>
        <v>0</v>
      </c>
      <c r="J1709" s="135" t="n">
        <f aca="false">$G1709*'Analyse capacite'!$D$7</f>
        <v>0</v>
      </c>
      <c r="K1709" s="135" t="n">
        <f aca="false">$G1709*'Analyse capacite'!$E$7</f>
        <v>0</v>
      </c>
    </row>
    <row r="1710" customFormat="false" ht="15" hidden="false" customHeight="false" outlineLevel="0" collapsed="false">
      <c r="B1710" s="130" t="n">
        <v>2027</v>
      </c>
      <c r="C1710" s="131" t="s">
        <v>247</v>
      </c>
      <c r="D1710" s="132" t="n">
        <v>46525</v>
      </c>
      <c r="E1710" s="131" t="s">
        <v>40</v>
      </c>
      <c r="F1710" s="133" t="s">
        <v>19</v>
      </c>
      <c r="G1710" s="134" t="n">
        <f aca="false">LEN('Saisie programme'!$E$65)+SUMIFS('Vols additionnels'!$E$7:$E$66,'Vols additionnels'!$C$7:$C$66,$E1710,'Vols additionnels'!$D$7:$D$66,$F1710,'Vols additionnels'!$B$7:$B$66,$D1710)</f>
        <v>0</v>
      </c>
      <c r="H1710" s="135" t="n">
        <f aca="false">$G1710*'Analyse capacite'!$F$8</f>
        <v>0</v>
      </c>
      <c r="I1710" s="135" t="n">
        <f aca="false">$G1710*'Analyse capacite'!$C$8</f>
        <v>0</v>
      </c>
      <c r="J1710" s="135" t="n">
        <f aca="false">$G1710*'Analyse capacite'!$D$8</f>
        <v>0</v>
      </c>
      <c r="K1710" s="135" t="n">
        <f aca="false">$G1710*'Analyse capacite'!$E$8</f>
        <v>0</v>
      </c>
    </row>
    <row r="1711" customFormat="false" ht="15" hidden="false" customHeight="false" outlineLevel="0" collapsed="false">
      <c r="B1711" s="130" t="n">
        <v>2027</v>
      </c>
      <c r="C1711" s="131" t="s">
        <v>247</v>
      </c>
      <c r="D1711" s="132" t="n">
        <v>46525</v>
      </c>
      <c r="E1711" s="131" t="s">
        <v>40</v>
      </c>
      <c r="F1711" s="133" t="s">
        <v>24</v>
      </c>
      <c r="G1711" s="134" t="n">
        <f aca="false">LEN('Saisie programme'!$E$66)+SUMIFS('Vols additionnels'!$E$7:$E$66,'Vols additionnels'!$C$7:$C$66,$E1711,'Vols additionnels'!$D$7:$D$66,$F1711,'Vols additionnels'!$B$7:$B$66,$D1711)</f>
        <v>0</v>
      </c>
      <c r="H1711" s="135" t="n">
        <f aca="false">$G1711*'Analyse capacite'!$F$9</f>
        <v>0</v>
      </c>
      <c r="I1711" s="135" t="n">
        <f aca="false">$G1711*'Analyse capacite'!$C$9</f>
        <v>0</v>
      </c>
      <c r="J1711" s="135" t="n">
        <f aca="false">$G1711*'Analyse capacite'!$D$9</f>
        <v>0</v>
      </c>
      <c r="K1711" s="135" t="n">
        <f aca="false">$G1711*'Analyse capacite'!$E$9</f>
        <v>0</v>
      </c>
    </row>
    <row r="1712" customFormat="false" ht="15" hidden="false" customHeight="false" outlineLevel="0" collapsed="false">
      <c r="B1712" s="130" t="n">
        <v>2027</v>
      </c>
      <c r="C1712" s="131" t="s">
        <v>247</v>
      </c>
      <c r="D1712" s="132" t="n">
        <v>46525</v>
      </c>
      <c r="E1712" s="131" t="s">
        <v>14</v>
      </c>
      <c r="F1712" s="133" t="s">
        <v>11</v>
      </c>
      <c r="G1712" s="134" t="n">
        <f aca="false">LEN('Saisie programme'!$E$67)+SUMIFS('Vols additionnels'!$E$7:$E$66,'Vols additionnels'!$C$7:$C$66,$E1712,'Vols additionnels'!$D$7:$D$66,$F1712,'Vols additionnels'!$B$7:$B$66,$D1712)</f>
        <v>0</v>
      </c>
      <c r="H1712" s="135" t="n">
        <f aca="false">$G1712*'Analyse capacite'!$F$7</f>
        <v>0</v>
      </c>
      <c r="I1712" s="135" t="n">
        <f aca="false">$G1712*'Analyse capacite'!$C$7</f>
        <v>0</v>
      </c>
      <c r="J1712" s="135" t="n">
        <f aca="false">$G1712*'Analyse capacite'!$D$7</f>
        <v>0</v>
      </c>
      <c r="K1712" s="135" t="n">
        <f aca="false">$G1712*'Analyse capacite'!$E$7</f>
        <v>0</v>
      </c>
    </row>
    <row r="1713" customFormat="false" ht="15" hidden="false" customHeight="false" outlineLevel="0" collapsed="false">
      <c r="B1713" s="130" t="n">
        <v>2027</v>
      </c>
      <c r="C1713" s="131" t="s">
        <v>247</v>
      </c>
      <c r="D1713" s="132" t="n">
        <v>46525</v>
      </c>
      <c r="E1713" s="131" t="s">
        <v>14</v>
      </c>
      <c r="F1713" s="133" t="s">
        <v>19</v>
      </c>
      <c r="G1713" s="134" t="n">
        <f aca="false">LEN('Saisie programme'!$E$68)+SUMIFS('Vols additionnels'!$E$7:$E$66,'Vols additionnels'!$C$7:$C$66,$E1713,'Vols additionnels'!$D$7:$D$66,$F1713,'Vols additionnels'!$B$7:$B$66,$D1713)</f>
        <v>0</v>
      </c>
      <c r="H1713" s="135" t="n">
        <f aca="false">$G1713*'Analyse capacite'!$F$8</f>
        <v>0</v>
      </c>
      <c r="I1713" s="135" t="n">
        <f aca="false">$G1713*'Analyse capacite'!$C$8</f>
        <v>0</v>
      </c>
      <c r="J1713" s="135" t="n">
        <f aca="false">$G1713*'Analyse capacite'!$D$8</f>
        <v>0</v>
      </c>
      <c r="K1713" s="135" t="n">
        <f aca="false">$G1713*'Analyse capacite'!$E$8</f>
        <v>0</v>
      </c>
    </row>
    <row r="1714" customFormat="false" ht="15" hidden="false" customHeight="false" outlineLevel="0" collapsed="false">
      <c r="B1714" s="130" t="n">
        <v>2027</v>
      </c>
      <c r="C1714" s="131" t="s">
        <v>247</v>
      </c>
      <c r="D1714" s="132" t="n">
        <v>46525</v>
      </c>
      <c r="E1714" s="131" t="s">
        <v>14</v>
      </c>
      <c r="F1714" s="133" t="s">
        <v>24</v>
      </c>
      <c r="G1714" s="134" t="n">
        <f aca="false">LEN('Saisie programme'!$E$69)+SUMIFS('Vols additionnels'!$E$7:$E$66,'Vols additionnels'!$C$7:$C$66,$E1714,'Vols additionnels'!$D$7:$D$66,$F1714,'Vols additionnels'!$B$7:$B$66,$D1714)</f>
        <v>0</v>
      </c>
      <c r="H1714" s="135" t="n">
        <f aca="false">$G1714*'Analyse capacite'!$F$9</f>
        <v>0</v>
      </c>
      <c r="I1714" s="135" t="n">
        <f aca="false">$G1714*'Analyse capacite'!$C$9</f>
        <v>0</v>
      </c>
      <c r="J1714" s="135" t="n">
        <f aca="false">$G1714*'Analyse capacite'!$D$9</f>
        <v>0</v>
      </c>
      <c r="K1714" s="135" t="n">
        <f aca="false">$G1714*'Analyse capacite'!$E$9</f>
        <v>0</v>
      </c>
    </row>
    <row r="1715" customFormat="false" ht="15" hidden="false" customHeight="false" outlineLevel="0" collapsed="false">
      <c r="B1715" s="130" t="n">
        <v>2027</v>
      </c>
      <c r="C1715" s="131" t="s">
        <v>247</v>
      </c>
      <c r="D1715" s="132" t="n">
        <v>46525</v>
      </c>
      <c r="E1715" s="131" t="s">
        <v>46</v>
      </c>
      <c r="F1715" s="133" t="s">
        <v>11</v>
      </c>
      <c r="G1715" s="134" t="n">
        <f aca="false">LEN('Saisie programme'!$E$70)+SUMIFS('Vols additionnels'!$E$7:$E$66,'Vols additionnels'!$C$7:$C$66,$E1715,'Vols additionnels'!$D$7:$D$66,$F1715,'Vols additionnels'!$B$7:$B$66,$D1715)</f>
        <v>0</v>
      </c>
      <c r="H1715" s="135" t="n">
        <f aca="false">$G1715*'Analyse capacite'!$F$7</f>
        <v>0</v>
      </c>
      <c r="I1715" s="135" t="n">
        <f aca="false">$G1715*'Analyse capacite'!$C$7</f>
        <v>0</v>
      </c>
      <c r="J1715" s="135" t="n">
        <f aca="false">$G1715*'Analyse capacite'!$D$7</f>
        <v>0</v>
      </c>
      <c r="K1715" s="135" t="n">
        <f aca="false">$G1715*'Analyse capacite'!$E$7</f>
        <v>0</v>
      </c>
    </row>
    <row r="1716" customFormat="false" ht="15" hidden="false" customHeight="false" outlineLevel="0" collapsed="false">
      <c r="B1716" s="130" t="n">
        <v>2027</v>
      </c>
      <c r="C1716" s="131" t="s">
        <v>247</v>
      </c>
      <c r="D1716" s="132" t="n">
        <v>46525</v>
      </c>
      <c r="E1716" s="131" t="s">
        <v>46</v>
      </c>
      <c r="F1716" s="133" t="s">
        <v>19</v>
      </c>
      <c r="G1716" s="134" t="n">
        <f aca="false">LEN('Saisie programme'!$E$71)+SUMIFS('Vols additionnels'!$E$7:$E$66,'Vols additionnels'!$C$7:$C$66,$E1716,'Vols additionnels'!$D$7:$D$66,$F1716,'Vols additionnels'!$B$7:$B$66,$D1716)</f>
        <v>0</v>
      </c>
      <c r="H1716" s="135" t="n">
        <f aca="false">$G1716*'Analyse capacite'!$F$8</f>
        <v>0</v>
      </c>
      <c r="I1716" s="135" t="n">
        <f aca="false">$G1716*'Analyse capacite'!$C$8</f>
        <v>0</v>
      </c>
      <c r="J1716" s="135" t="n">
        <f aca="false">$G1716*'Analyse capacite'!$D$8</f>
        <v>0</v>
      </c>
      <c r="K1716" s="135" t="n">
        <f aca="false">$G1716*'Analyse capacite'!$E$8</f>
        <v>0</v>
      </c>
    </row>
    <row r="1717" customFormat="false" ht="15" hidden="false" customHeight="false" outlineLevel="0" collapsed="false">
      <c r="B1717" s="130" t="n">
        <v>2027</v>
      </c>
      <c r="C1717" s="131" t="s">
        <v>247</v>
      </c>
      <c r="D1717" s="132" t="n">
        <v>46525</v>
      </c>
      <c r="E1717" s="131" t="s">
        <v>46</v>
      </c>
      <c r="F1717" s="133" t="s">
        <v>24</v>
      </c>
      <c r="G1717" s="134" t="n">
        <f aca="false">LEN('Saisie programme'!$E$72)+SUMIFS('Vols additionnels'!$E$7:$E$66,'Vols additionnels'!$C$7:$C$66,$E1717,'Vols additionnels'!$D$7:$D$66,$F1717,'Vols additionnels'!$B$7:$B$66,$D1717)</f>
        <v>1</v>
      </c>
      <c r="H1717" s="135" t="n">
        <f aca="false">$G1717*'Analyse capacite'!$F$9</f>
        <v>174</v>
      </c>
      <c r="I1717" s="135" t="n">
        <f aca="false">$G1717*'Analyse capacite'!$C$9</f>
        <v>0</v>
      </c>
      <c r="J1717" s="135" t="n">
        <f aca="false">$G1717*'Analyse capacite'!$D$9</f>
        <v>12</v>
      </c>
      <c r="K1717" s="135" t="n">
        <f aca="false">$G1717*'Analyse capacite'!$E$9</f>
        <v>162</v>
      </c>
    </row>
    <row r="1718" customFormat="false" ht="15" hidden="false" customHeight="false" outlineLevel="0" collapsed="false">
      <c r="B1718" s="130" t="n">
        <v>2027</v>
      </c>
      <c r="C1718" s="131" t="s">
        <v>247</v>
      </c>
      <c r="D1718" s="132" t="n">
        <v>46525</v>
      </c>
      <c r="E1718" s="131" t="s">
        <v>49</v>
      </c>
      <c r="F1718" s="133" t="s">
        <v>11</v>
      </c>
      <c r="G1718" s="134" t="n">
        <f aca="false">LEN('Saisie programme'!$E$73)+SUMIFS('Vols additionnels'!$E$7:$E$66,'Vols additionnels'!$C$7:$C$66,$E1718,'Vols additionnels'!$D$7:$D$66,$F1718,'Vols additionnels'!$B$7:$B$66,$D1718)</f>
        <v>0</v>
      </c>
      <c r="H1718" s="135" t="n">
        <f aca="false">$G1718*'Analyse capacite'!$F$7</f>
        <v>0</v>
      </c>
      <c r="I1718" s="135" t="n">
        <f aca="false">$G1718*'Analyse capacite'!$C$7</f>
        <v>0</v>
      </c>
      <c r="J1718" s="135" t="n">
        <f aca="false">$G1718*'Analyse capacite'!$D$7</f>
        <v>0</v>
      </c>
      <c r="K1718" s="135" t="n">
        <f aca="false">$G1718*'Analyse capacite'!$E$7</f>
        <v>0</v>
      </c>
    </row>
    <row r="1719" customFormat="false" ht="15" hidden="false" customHeight="false" outlineLevel="0" collapsed="false">
      <c r="B1719" s="130" t="n">
        <v>2027</v>
      </c>
      <c r="C1719" s="131" t="s">
        <v>247</v>
      </c>
      <c r="D1719" s="132" t="n">
        <v>46525</v>
      </c>
      <c r="E1719" s="131" t="s">
        <v>49</v>
      </c>
      <c r="F1719" s="133" t="s">
        <v>19</v>
      </c>
      <c r="G1719" s="134" t="n">
        <f aca="false">LEN('Saisie programme'!$E$74)+SUMIFS('Vols additionnels'!$E$7:$E$66,'Vols additionnels'!$C$7:$C$66,$E1719,'Vols additionnels'!$D$7:$D$66,$F1719,'Vols additionnels'!$B$7:$B$66,$D1719)</f>
        <v>0</v>
      </c>
      <c r="H1719" s="135" t="n">
        <f aca="false">$G1719*'Analyse capacite'!$F$8</f>
        <v>0</v>
      </c>
      <c r="I1719" s="135" t="n">
        <f aca="false">$G1719*'Analyse capacite'!$C$8</f>
        <v>0</v>
      </c>
      <c r="J1719" s="135" t="n">
        <f aca="false">$G1719*'Analyse capacite'!$D$8</f>
        <v>0</v>
      </c>
      <c r="K1719" s="135" t="n">
        <f aca="false">$G1719*'Analyse capacite'!$E$8</f>
        <v>0</v>
      </c>
    </row>
    <row r="1720" customFormat="false" ht="15" hidden="false" customHeight="false" outlineLevel="0" collapsed="false">
      <c r="B1720" s="130" t="n">
        <v>2027</v>
      </c>
      <c r="C1720" s="131" t="s">
        <v>247</v>
      </c>
      <c r="D1720" s="132" t="n">
        <v>46525</v>
      </c>
      <c r="E1720" s="131" t="s">
        <v>49</v>
      </c>
      <c r="F1720" s="133" t="s">
        <v>24</v>
      </c>
      <c r="G1720" s="134" t="n">
        <f aca="false">LEN('Saisie programme'!$E$75)+SUMIFS('Vols additionnels'!$E$7:$E$66,'Vols additionnels'!$C$7:$C$66,$E1720,'Vols additionnels'!$D$7:$D$66,$F1720,'Vols additionnels'!$B$7:$B$66,$D1720)</f>
        <v>0</v>
      </c>
      <c r="H1720" s="135" t="n">
        <f aca="false">$G1720*'Analyse capacite'!$F$9</f>
        <v>0</v>
      </c>
      <c r="I1720" s="135" t="n">
        <f aca="false">$G1720*'Analyse capacite'!$C$9</f>
        <v>0</v>
      </c>
      <c r="J1720" s="135" t="n">
        <f aca="false">$G1720*'Analyse capacite'!$D$9</f>
        <v>0</v>
      </c>
      <c r="K1720" s="135" t="n">
        <f aca="false">$G1720*'Analyse capacite'!$E$9</f>
        <v>0</v>
      </c>
    </row>
    <row r="1721" customFormat="false" ht="15" hidden="false" customHeight="false" outlineLevel="0" collapsed="false">
      <c r="B1721" s="130" t="n">
        <v>2027</v>
      </c>
      <c r="C1721" s="131" t="s">
        <v>247</v>
      </c>
      <c r="D1721" s="132" t="n">
        <v>46525</v>
      </c>
      <c r="E1721" s="131" t="s">
        <v>53</v>
      </c>
      <c r="F1721" s="133" t="s">
        <v>11</v>
      </c>
      <c r="G1721" s="134" t="n">
        <f aca="false">LEN('Saisie programme'!$E$76)+SUMIFS('Vols additionnels'!$E$7:$E$66,'Vols additionnels'!$C$7:$C$66,$E1721,'Vols additionnels'!$D$7:$D$66,$F1721,'Vols additionnels'!$B$7:$B$66,$D1721)</f>
        <v>0</v>
      </c>
      <c r="H1721" s="135" t="n">
        <f aca="false">$G1721*'Analyse capacite'!$F$7</f>
        <v>0</v>
      </c>
      <c r="I1721" s="135" t="n">
        <f aca="false">$G1721*'Analyse capacite'!$C$7</f>
        <v>0</v>
      </c>
      <c r="J1721" s="135" t="n">
        <f aca="false">$G1721*'Analyse capacite'!$D$7</f>
        <v>0</v>
      </c>
      <c r="K1721" s="135" t="n">
        <f aca="false">$G1721*'Analyse capacite'!$E$7</f>
        <v>0</v>
      </c>
    </row>
    <row r="1722" customFormat="false" ht="15" hidden="false" customHeight="false" outlineLevel="0" collapsed="false">
      <c r="B1722" s="130" t="n">
        <v>2027</v>
      </c>
      <c r="C1722" s="131" t="s">
        <v>247</v>
      </c>
      <c r="D1722" s="132" t="n">
        <v>46525</v>
      </c>
      <c r="E1722" s="131" t="s">
        <v>53</v>
      </c>
      <c r="F1722" s="133" t="s">
        <v>19</v>
      </c>
      <c r="G1722" s="134" t="n">
        <f aca="false">LEN('Saisie programme'!$E$77)+SUMIFS('Vols additionnels'!$E$7:$E$66,'Vols additionnels'!$C$7:$C$66,$E1722,'Vols additionnels'!$D$7:$D$66,$F1722,'Vols additionnels'!$B$7:$B$66,$D1722)</f>
        <v>0</v>
      </c>
      <c r="H1722" s="135" t="n">
        <f aca="false">$G1722*'Analyse capacite'!$F$8</f>
        <v>0</v>
      </c>
      <c r="I1722" s="135" t="n">
        <f aca="false">$G1722*'Analyse capacite'!$C$8</f>
        <v>0</v>
      </c>
      <c r="J1722" s="135" t="n">
        <f aca="false">$G1722*'Analyse capacite'!$D$8</f>
        <v>0</v>
      </c>
      <c r="K1722" s="135" t="n">
        <f aca="false">$G1722*'Analyse capacite'!$E$8</f>
        <v>0</v>
      </c>
    </row>
    <row r="1723" customFormat="false" ht="15" hidden="false" customHeight="false" outlineLevel="0" collapsed="false">
      <c r="B1723" s="130" t="n">
        <v>2027</v>
      </c>
      <c r="C1723" s="131" t="s">
        <v>247</v>
      </c>
      <c r="D1723" s="132" t="n">
        <v>46525</v>
      </c>
      <c r="E1723" s="131" t="s">
        <v>53</v>
      </c>
      <c r="F1723" s="133" t="s">
        <v>24</v>
      </c>
      <c r="G1723" s="134" t="n">
        <f aca="false">LEN('Saisie programme'!$E$78)+SUMIFS('Vols additionnels'!$E$7:$E$66,'Vols additionnels'!$C$7:$C$66,$E1723,'Vols additionnels'!$D$7:$D$66,$F1723,'Vols additionnels'!$B$7:$B$66,$D1723)</f>
        <v>0</v>
      </c>
      <c r="H1723" s="135" t="n">
        <f aca="false">$G1723*'Analyse capacite'!$F$9</f>
        <v>0</v>
      </c>
      <c r="I1723" s="135" t="n">
        <f aca="false">$G1723*'Analyse capacite'!$C$9</f>
        <v>0</v>
      </c>
      <c r="J1723" s="135" t="n">
        <f aca="false">$G1723*'Analyse capacite'!$D$9</f>
        <v>0</v>
      </c>
      <c r="K1723" s="135" t="n">
        <f aca="false">$G1723*'Analyse capacite'!$E$9</f>
        <v>0</v>
      </c>
    </row>
    <row r="1724" customFormat="false" ht="15" hidden="false" customHeight="false" outlineLevel="0" collapsed="false">
      <c r="B1724" s="130" t="n">
        <v>2027</v>
      </c>
      <c r="C1724" s="131" t="s">
        <v>247</v>
      </c>
      <c r="D1724" s="132" t="n">
        <v>46525</v>
      </c>
      <c r="E1724" s="131" t="s">
        <v>56</v>
      </c>
      <c r="F1724" s="133" t="s">
        <v>11</v>
      </c>
      <c r="G1724" s="134" t="n">
        <f aca="false">LEN('Saisie programme'!$E$79)+SUMIFS('Vols additionnels'!$E$7:$E$66,'Vols additionnels'!$C$7:$C$66,$E1724,'Vols additionnels'!$D$7:$D$66,$F1724,'Vols additionnels'!$B$7:$B$66,$D1724)</f>
        <v>0</v>
      </c>
      <c r="H1724" s="135" t="n">
        <f aca="false">$G1724*'Analyse capacite'!$F$7</f>
        <v>0</v>
      </c>
      <c r="I1724" s="135" t="n">
        <f aca="false">$G1724*'Analyse capacite'!$C$7</f>
        <v>0</v>
      </c>
      <c r="J1724" s="135" t="n">
        <f aca="false">$G1724*'Analyse capacite'!$D$7</f>
        <v>0</v>
      </c>
      <c r="K1724" s="135" t="n">
        <f aca="false">$G1724*'Analyse capacite'!$E$7</f>
        <v>0</v>
      </c>
    </row>
    <row r="1725" customFormat="false" ht="15" hidden="false" customHeight="false" outlineLevel="0" collapsed="false">
      <c r="B1725" s="130" t="n">
        <v>2027</v>
      </c>
      <c r="C1725" s="131" t="s">
        <v>247</v>
      </c>
      <c r="D1725" s="132" t="n">
        <v>46525</v>
      </c>
      <c r="E1725" s="131" t="s">
        <v>56</v>
      </c>
      <c r="F1725" s="133" t="s">
        <v>19</v>
      </c>
      <c r="G1725" s="134" t="n">
        <f aca="false">LEN('Saisie programme'!$E$80)+SUMIFS('Vols additionnels'!$E$7:$E$66,'Vols additionnels'!$C$7:$C$66,$E1725,'Vols additionnels'!$D$7:$D$66,$F1725,'Vols additionnels'!$B$7:$B$66,$D1725)</f>
        <v>0</v>
      </c>
      <c r="H1725" s="135" t="n">
        <f aca="false">$G1725*'Analyse capacite'!$F$8</f>
        <v>0</v>
      </c>
      <c r="I1725" s="135" t="n">
        <f aca="false">$G1725*'Analyse capacite'!$C$8</f>
        <v>0</v>
      </c>
      <c r="J1725" s="135" t="n">
        <f aca="false">$G1725*'Analyse capacite'!$D$8</f>
        <v>0</v>
      </c>
      <c r="K1725" s="135" t="n">
        <f aca="false">$G1725*'Analyse capacite'!$E$8</f>
        <v>0</v>
      </c>
    </row>
    <row r="1726" customFormat="false" ht="15" hidden="false" customHeight="false" outlineLevel="0" collapsed="false">
      <c r="B1726" s="130" t="n">
        <v>2027</v>
      </c>
      <c r="C1726" s="131" t="s">
        <v>247</v>
      </c>
      <c r="D1726" s="132" t="n">
        <v>46525</v>
      </c>
      <c r="E1726" s="131" t="s">
        <v>56</v>
      </c>
      <c r="F1726" s="133" t="s">
        <v>24</v>
      </c>
      <c r="G1726" s="134" t="n">
        <f aca="false">LEN('Saisie programme'!$E$81)+SUMIFS('Vols additionnels'!$E$7:$E$66,'Vols additionnels'!$C$7:$C$66,$E1726,'Vols additionnels'!$D$7:$D$66,$F1726,'Vols additionnels'!$B$7:$B$66,$D1726)</f>
        <v>1</v>
      </c>
      <c r="H1726" s="135" t="n">
        <f aca="false">$G1726*'Analyse capacite'!$F$9</f>
        <v>174</v>
      </c>
      <c r="I1726" s="135" t="n">
        <f aca="false">$G1726*'Analyse capacite'!$C$9</f>
        <v>0</v>
      </c>
      <c r="J1726" s="135" t="n">
        <f aca="false">$G1726*'Analyse capacite'!$D$9</f>
        <v>12</v>
      </c>
      <c r="K1726" s="135" t="n">
        <f aca="false">$G1726*'Analyse capacite'!$E$9</f>
        <v>162</v>
      </c>
    </row>
    <row r="1727" customFormat="false" ht="15" hidden="false" customHeight="false" outlineLevel="0" collapsed="false">
      <c r="B1727" s="130" t="n">
        <v>2027</v>
      </c>
      <c r="C1727" s="131" t="s">
        <v>247</v>
      </c>
      <c r="D1727" s="132" t="n">
        <v>46525</v>
      </c>
      <c r="E1727" s="131" t="s">
        <v>59</v>
      </c>
      <c r="F1727" s="133" t="s">
        <v>11</v>
      </c>
      <c r="G1727" s="134" t="n">
        <f aca="false">LEN('Saisie programme'!$E$82)+SUMIFS('Vols additionnels'!$E$7:$E$66,'Vols additionnels'!$C$7:$C$66,$E1727,'Vols additionnels'!$D$7:$D$66,$F1727,'Vols additionnels'!$B$7:$B$66,$D1727)</f>
        <v>0</v>
      </c>
      <c r="H1727" s="135" t="n">
        <f aca="false">$G1727*'Analyse capacite'!$F$7</f>
        <v>0</v>
      </c>
      <c r="I1727" s="135" t="n">
        <f aca="false">$G1727*'Analyse capacite'!$C$7</f>
        <v>0</v>
      </c>
      <c r="J1727" s="135" t="n">
        <f aca="false">$G1727*'Analyse capacite'!$D$7</f>
        <v>0</v>
      </c>
      <c r="K1727" s="135" t="n">
        <f aca="false">$G1727*'Analyse capacite'!$E$7</f>
        <v>0</v>
      </c>
    </row>
    <row r="1728" customFormat="false" ht="15" hidden="false" customHeight="false" outlineLevel="0" collapsed="false">
      <c r="B1728" s="130" t="n">
        <v>2027</v>
      </c>
      <c r="C1728" s="131" t="s">
        <v>247</v>
      </c>
      <c r="D1728" s="132" t="n">
        <v>46525</v>
      </c>
      <c r="E1728" s="131" t="s">
        <v>59</v>
      </c>
      <c r="F1728" s="133" t="s">
        <v>19</v>
      </c>
      <c r="G1728" s="134" t="n">
        <f aca="false">LEN('Saisie programme'!$E$83)+SUMIFS('Vols additionnels'!$E$7:$E$66,'Vols additionnels'!$C$7:$C$66,$E1728,'Vols additionnels'!$D$7:$D$66,$F1728,'Vols additionnels'!$B$7:$B$66,$D1728)</f>
        <v>0</v>
      </c>
      <c r="H1728" s="135" t="n">
        <f aca="false">$G1728*'Analyse capacite'!$F$8</f>
        <v>0</v>
      </c>
      <c r="I1728" s="135" t="n">
        <f aca="false">$G1728*'Analyse capacite'!$C$8</f>
        <v>0</v>
      </c>
      <c r="J1728" s="135" t="n">
        <f aca="false">$G1728*'Analyse capacite'!$D$8</f>
        <v>0</v>
      </c>
      <c r="K1728" s="135" t="n">
        <f aca="false">$G1728*'Analyse capacite'!$E$8</f>
        <v>0</v>
      </c>
    </row>
    <row r="1729" customFormat="false" ht="15" hidden="false" customHeight="false" outlineLevel="0" collapsed="false">
      <c r="B1729" s="130" t="n">
        <v>2027</v>
      </c>
      <c r="C1729" s="131" t="s">
        <v>247</v>
      </c>
      <c r="D1729" s="132" t="n">
        <v>46525</v>
      </c>
      <c r="E1729" s="131" t="s">
        <v>59</v>
      </c>
      <c r="F1729" s="133" t="s">
        <v>24</v>
      </c>
      <c r="G1729" s="134" t="n">
        <f aca="false">LEN('Saisie programme'!$E$84)+SUMIFS('Vols additionnels'!$E$7:$E$66,'Vols additionnels'!$C$7:$C$66,$E1729,'Vols additionnels'!$D$7:$D$66,$F1729,'Vols additionnels'!$B$7:$B$66,$D1729)</f>
        <v>1</v>
      </c>
      <c r="H1729" s="135" t="n">
        <f aca="false">$G1729*'Analyse capacite'!$F$9</f>
        <v>174</v>
      </c>
      <c r="I1729" s="135" t="n">
        <f aca="false">$G1729*'Analyse capacite'!$C$9</f>
        <v>0</v>
      </c>
      <c r="J1729" s="135" t="n">
        <f aca="false">$G1729*'Analyse capacite'!$D$9</f>
        <v>12</v>
      </c>
      <c r="K1729" s="135" t="n">
        <f aca="false">$G1729*'Analyse capacite'!$E$9</f>
        <v>162</v>
      </c>
    </row>
    <row r="1730" customFormat="false" ht="15" hidden="false" customHeight="false" outlineLevel="0" collapsed="false">
      <c r="B1730" s="130" t="n">
        <v>2027</v>
      </c>
      <c r="C1730" s="131" t="s">
        <v>247</v>
      </c>
      <c r="D1730" s="132" t="n">
        <v>46525</v>
      </c>
      <c r="E1730" s="131" t="s">
        <v>62</v>
      </c>
      <c r="F1730" s="133" t="s">
        <v>11</v>
      </c>
      <c r="G1730" s="134" t="n">
        <f aca="false">LEN('Saisie programme'!$E$85)+SUMIFS('Vols additionnels'!$E$7:$E$66,'Vols additionnels'!$C$7:$C$66,$E1730,'Vols additionnels'!$D$7:$D$66,$F1730,'Vols additionnels'!$B$7:$B$66,$D1730)</f>
        <v>0</v>
      </c>
      <c r="H1730" s="135" t="n">
        <f aca="false">$G1730*'Analyse capacite'!$F$7</f>
        <v>0</v>
      </c>
      <c r="I1730" s="135" t="n">
        <f aca="false">$G1730*'Analyse capacite'!$C$7</f>
        <v>0</v>
      </c>
      <c r="J1730" s="135" t="n">
        <f aca="false">$G1730*'Analyse capacite'!$D$7</f>
        <v>0</v>
      </c>
      <c r="K1730" s="135" t="n">
        <f aca="false">$G1730*'Analyse capacite'!$E$7</f>
        <v>0</v>
      </c>
    </row>
    <row r="1731" customFormat="false" ht="15" hidden="false" customHeight="false" outlineLevel="0" collapsed="false">
      <c r="B1731" s="130" t="n">
        <v>2027</v>
      </c>
      <c r="C1731" s="131" t="s">
        <v>247</v>
      </c>
      <c r="D1731" s="132" t="n">
        <v>46525</v>
      </c>
      <c r="E1731" s="131" t="s">
        <v>62</v>
      </c>
      <c r="F1731" s="133" t="s">
        <v>19</v>
      </c>
      <c r="G1731" s="134" t="n">
        <f aca="false">LEN('Saisie programme'!$E$86)+SUMIFS('Vols additionnels'!$E$7:$E$66,'Vols additionnels'!$C$7:$C$66,$E1731,'Vols additionnels'!$D$7:$D$66,$F1731,'Vols additionnels'!$B$7:$B$66,$D1731)</f>
        <v>0</v>
      </c>
      <c r="H1731" s="135" t="n">
        <f aca="false">$G1731*'Analyse capacite'!$F$8</f>
        <v>0</v>
      </c>
      <c r="I1731" s="135" t="n">
        <f aca="false">$G1731*'Analyse capacite'!$C$8</f>
        <v>0</v>
      </c>
      <c r="J1731" s="135" t="n">
        <f aca="false">$G1731*'Analyse capacite'!$D$8</f>
        <v>0</v>
      </c>
      <c r="K1731" s="135" t="n">
        <f aca="false">$G1731*'Analyse capacite'!$E$8</f>
        <v>0</v>
      </c>
    </row>
    <row r="1732" customFormat="false" ht="15" hidden="false" customHeight="false" outlineLevel="0" collapsed="false">
      <c r="B1732" s="130" t="n">
        <v>2027</v>
      </c>
      <c r="C1732" s="131" t="s">
        <v>247</v>
      </c>
      <c r="D1732" s="132" t="n">
        <v>46525</v>
      </c>
      <c r="E1732" s="131" t="s">
        <v>62</v>
      </c>
      <c r="F1732" s="133" t="s">
        <v>24</v>
      </c>
      <c r="G1732" s="134" t="n">
        <f aca="false">LEN('Saisie programme'!$E$87)+SUMIFS('Vols additionnels'!$E$7:$E$66,'Vols additionnels'!$C$7:$C$66,$E1732,'Vols additionnels'!$D$7:$D$66,$F1732,'Vols additionnels'!$B$7:$B$66,$D1732)</f>
        <v>0</v>
      </c>
      <c r="H1732" s="135" t="n">
        <f aca="false">$G1732*'Analyse capacite'!$F$9</f>
        <v>0</v>
      </c>
      <c r="I1732" s="135" t="n">
        <f aca="false">$G1732*'Analyse capacite'!$C$9</f>
        <v>0</v>
      </c>
      <c r="J1732" s="135" t="n">
        <f aca="false">$G1732*'Analyse capacite'!$D$9</f>
        <v>0</v>
      </c>
      <c r="K1732" s="135" t="n">
        <f aca="false">$G1732*'Analyse capacite'!$E$9</f>
        <v>0</v>
      </c>
    </row>
    <row r="1733" customFormat="false" ht="15" hidden="false" customHeight="false" outlineLevel="0" collapsed="false">
      <c r="B1733" s="130" t="n">
        <v>2027</v>
      </c>
      <c r="C1733" s="131" t="s">
        <v>247</v>
      </c>
      <c r="D1733" s="132" t="n">
        <v>46526</v>
      </c>
      <c r="E1733" s="131" t="s">
        <v>12</v>
      </c>
      <c r="F1733" s="133" t="s">
        <v>11</v>
      </c>
      <c r="G1733" s="134" t="n">
        <f aca="false">LEN('Saisie programme'!$F$52)+SUMIFS('Vols additionnels'!$E$7:$E$66,'Vols additionnels'!$C$7:$C$66,$E1733,'Vols additionnels'!$D$7:$D$66,$F1733,'Vols additionnels'!$B$7:$B$66,$D1733)</f>
        <v>1</v>
      </c>
      <c r="H1733" s="135" t="n">
        <f aca="false">$G1733*'Analyse capacite'!$F$7</f>
        <v>438</v>
      </c>
      <c r="I1733" s="135" t="n">
        <f aca="false">$G1733*'Analyse capacite'!$C$7</f>
        <v>14</v>
      </c>
      <c r="J1733" s="135" t="n">
        <f aca="false">$G1733*'Analyse capacite'!$D$7</f>
        <v>40</v>
      </c>
      <c r="K1733" s="135" t="n">
        <f aca="false">$G1733*'Analyse capacite'!$E$7</f>
        <v>384</v>
      </c>
    </row>
    <row r="1734" customFormat="false" ht="15" hidden="false" customHeight="false" outlineLevel="0" collapsed="false">
      <c r="B1734" s="130" t="n">
        <v>2027</v>
      </c>
      <c r="C1734" s="131" t="s">
        <v>247</v>
      </c>
      <c r="D1734" s="132" t="n">
        <v>46526</v>
      </c>
      <c r="E1734" s="131" t="s">
        <v>12</v>
      </c>
      <c r="F1734" s="133" t="s">
        <v>19</v>
      </c>
      <c r="G1734" s="134" t="n">
        <f aca="false">LEN('Saisie programme'!$F$53)+SUMIFS('Vols additionnels'!$E$7:$E$66,'Vols additionnels'!$C$7:$C$66,$E1734,'Vols additionnels'!$D$7:$D$66,$F1734,'Vols additionnels'!$B$7:$B$66,$D1734)</f>
        <v>0</v>
      </c>
      <c r="H1734" s="135" t="n">
        <f aca="false">$G1734*'Analyse capacite'!$F$8</f>
        <v>0</v>
      </c>
      <c r="I1734" s="135" t="n">
        <f aca="false">$G1734*'Analyse capacite'!$C$8</f>
        <v>0</v>
      </c>
      <c r="J1734" s="135" t="n">
        <f aca="false">$G1734*'Analyse capacite'!$D$8</f>
        <v>0</v>
      </c>
      <c r="K1734" s="135" t="n">
        <f aca="false">$G1734*'Analyse capacite'!$E$8</f>
        <v>0</v>
      </c>
    </row>
    <row r="1735" customFormat="false" ht="15" hidden="false" customHeight="false" outlineLevel="0" collapsed="false">
      <c r="B1735" s="130" t="n">
        <v>2027</v>
      </c>
      <c r="C1735" s="131" t="s">
        <v>247</v>
      </c>
      <c r="D1735" s="132" t="n">
        <v>46526</v>
      </c>
      <c r="E1735" s="131" t="s">
        <v>12</v>
      </c>
      <c r="F1735" s="133" t="s">
        <v>24</v>
      </c>
      <c r="G1735" s="134" t="n">
        <f aca="false">LEN('Saisie programme'!$F$54)+SUMIFS('Vols additionnels'!$E$7:$E$66,'Vols additionnels'!$C$7:$C$66,$E1735,'Vols additionnels'!$D$7:$D$66,$F1735,'Vols additionnels'!$B$7:$B$66,$D1735)</f>
        <v>0</v>
      </c>
      <c r="H1735" s="135" t="n">
        <f aca="false">$G1735*'Analyse capacite'!$F$9</f>
        <v>0</v>
      </c>
      <c r="I1735" s="135" t="n">
        <f aca="false">$G1735*'Analyse capacite'!$C$9</f>
        <v>0</v>
      </c>
      <c r="J1735" s="135" t="n">
        <f aca="false">$G1735*'Analyse capacite'!$D$9</f>
        <v>0</v>
      </c>
      <c r="K1735" s="135" t="n">
        <f aca="false">$G1735*'Analyse capacite'!$E$9</f>
        <v>0</v>
      </c>
    </row>
    <row r="1736" customFormat="false" ht="15" hidden="false" customHeight="false" outlineLevel="0" collapsed="false">
      <c r="B1736" s="130" t="n">
        <v>2027</v>
      </c>
      <c r="C1736" s="131" t="s">
        <v>247</v>
      </c>
      <c r="D1736" s="132" t="n">
        <v>46526</v>
      </c>
      <c r="E1736" s="131" t="s">
        <v>20</v>
      </c>
      <c r="F1736" s="133" t="s">
        <v>11</v>
      </c>
      <c r="G1736" s="134" t="n">
        <f aca="false">LEN('Saisie programme'!$F$55)+SUMIFS('Vols additionnels'!$E$7:$E$66,'Vols additionnels'!$C$7:$C$66,$E1736,'Vols additionnels'!$D$7:$D$66,$F1736,'Vols additionnels'!$B$7:$B$66,$D1736)</f>
        <v>0</v>
      </c>
      <c r="H1736" s="135" t="n">
        <f aca="false">$G1736*'Analyse capacite'!$F$7</f>
        <v>0</v>
      </c>
      <c r="I1736" s="135" t="n">
        <f aca="false">$G1736*'Analyse capacite'!$C$7</f>
        <v>0</v>
      </c>
      <c r="J1736" s="135" t="n">
        <f aca="false">$G1736*'Analyse capacite'!$D$7</f>
        <v>0</v>
      </c>
      <c r="K1736" s="135" t="n">
        <f aca="false">$G1736*'Analyse capacite'!$E$7</f>
        <v>0</v>
      </c>
    </row>
    <row r="1737" customFormat="false" ht="15" hidden="false" customHeight="false" outlineLevel="0" collapsed="false">
      <c r="B1737" s="130" t="n">
        <v>2027</v>
      </c>
      <c r="C1737" s="131" t="s">
        <v>247</v>
      </c>
      <c r="D1737" s="132" t="n">
        <v>46526</v>
      </c>
      <c r="E1737" s="131" t="s">
        <v>20</v>
      </c>
      <c r="F1737" s="133" t="s">
        <v>19</v>
      </c>
      <c r="G1737" s="134" t="n">
        <f aca="false">LEN('Saisie programme'!$F$56)+SUMIFS('Vols additionnels'!$E$7:$E$66,'Vols additionnels'!$C$7:$C$66,$E1737,'Vols additionnels'!$D$7:$D$66,$F1737,'Vols additionnels'!$B$7:$B$66,$D1737)</f>
        <v>0</v>
      </c>
      <c r="H1737" s="135" t="n">
        <f aca="false">$G1737*'Analyse capacite'!$F$8</f>
        <v>0</v>
      </c>
      <c r="I1737" s="135" t="n">
        <f aca="false">$G1737*'Analyse capacite'!$C$8</f>
        <v>0</v>
      </c>
      <c r="J1737" s="135" t="n">
        <f aca="false">$G1737*'Analyse capacite'!$D$8</f>
        <v>0</v>
      </c>
      <c r="K1737" s="135" t="n">
        <f aca="false">$G1737*'Analyse capacite'!$E$8</f>
        <v>0</v>
      </c>
    </row>
    <row r="1738" customFormat="false" ht="15" hidden="false" customHeight="false" outlineLevel="0" collapsed="false">
      <c r="B1738" s="130" t="n">
        <v>2027</v>
      </c>
      <c r="C1738" s="131" t="s">
        <v>247</v>
      </c>
      <c r="D1738" s="132" t="n">
        <v>46526</v>
      </c>
      <c r="E1738" s="131" t="s">
        <v>20</v>
      </c>
      <c r="F1738" s="133" t="s">
        <v>24</v>
      </c>
      <c r="G1738" s="134" t="n">
        <f aca="false">LEN('Saisie programme'!$F$57)+SUMIFS('Vols additionnels'!$E$7:$E$66,'Vols additionnels'!$C$7:$C$66,$E1738,'Vols additionnels'!$D$7:$D$66,$F1738,'Vols additionnels'!$B$7:$B$66,$D1738)</f>
        <v>0</v>
      </c>
      <c r="H1738" s="135" t="n">
        <f aca="false">$G1738*'Analyse capacite'!$F$9</f>
        <v>0</v>
      </c>
      <c r="I1738" s="135" t="n">
        <f aca="false">$G1738*'Analyse capacite'!$C$9</f>
        <v>0</v>
      </c>
      <c r="J1738" s="135" t="n">
        <f aca="false">$G1738*'Analyse capacite'!$D$9</f>
        <v>0</v>
      </c>
      <c r="K1738" s="135" t="n">
        <f aca="false">$G1738*'Analyse capacite'!$E$9</f>
        <v>0</v>
      </c>
    </row>
    <row r="1739" customFormat="false" ht="15" hidden="false" customHeight="false" outlineLevel="0" collapsed="false">
      <c r="B1739" s="130" t="n">
        <v>2027</v>
      </c>
      <c r="C1739" s="131" t="s">
        <v>247</v>
      </c>
      <c r="D1739" s="132" t="n">
        <v>46526</v>
      </c>
      <c r="E1739" s="131" t="s">
        <v>25</v>
      </c>
      <c r="F1739" s="133" t="s">
        <v>11</v>
      </c>
      <c r="G1739" s="134" t="n">
        <f aca="false">LEN('Saisie programme'!$F$58)+SUMIFS('Vols additionnels'!$E$7:$E$66,'Vols additionnels'!$C$7:$C$66,$E1739,'Vols additionnels'!$D$7:$D$66,$F1739,'Vols additionnels'!$B$7:$B$66,$D1739)</f>
        <v>0</v>
      </c>
      <c r="H1739" s="135" t="n">
        <f aca="false">$G1739*'Analyse capacite'!$F$7</f>
        <v>0</v>
      </c>
      <c r="I1739" s="135" t="n">
        <f aca="false">$G1739*'Analyse capacite'!$C$7</f>
        <v>0</v>
      </c>
      <c r="J1739" s="135" t="n">
        <f aca="false">$G1739*'Analyse capacite'!$D$7</f>
        <v>0</v>
      </c>
      <c r="K1739" s="135" t="n">
        <f aca="false">$G1739*'Analyse capacite'!$E$7</f>
        <v>0</v>
      </c>
    </row>
    <row r="1740" customFormat="false" ht="15" hidden="false" customHeight="false" outlineLevel="0" collapsed="false">
      <c r="B1740" s="130" t="n">
        <v>2027</v>
      </c>
      <c r="C1740" s="131" t="s">
        <v>247</v>
      </c>
      <c r="D1740" s="132" t="n">
        <v>46526</v>
      </c>
      <c r="E1740" s="131" t="s">
        <v>25</v>
      </c>
      <c r="F1740" s="133" t="s">
        <v>19</v>
      </c>
      <c r="G1740" s="134" t="n">
        <f aca="false">LEN('Saisie programme'!$F$59)+SUMIFS('Vols additionnels'!$E$7:$E$66,'Vols additionnels'!$C$7:$C$66,$E1740,'Vols additionnels'!$D$7:$D$66,$F1740,'Vols additionnels'!$B$7:$B$66,$D1740)</f>
        <v>1</v>
      </c>
      <c r="H1740" s="135" t="n">
        <f aca="false">$G1740*'Analyse capacite'!$F$8</f>
        <v>262</v>
      </c>
      <c r="I1740" s="135" t="n">
        <f aca="false">$G1740*'Analyse capacite'!$C$8</f>
        <v>18</v>
      </c>
      <c r="J1740" s="135" t="n">
        <f aca="false">$G1740*'Analyse capacite'!$D$8</f>
        <v>0</v>
      </c>
      <c r="K1740" s="135" t="n">
        <f aca="false">$G1740*'Analyse capacite'!$E$8</f>
        <v>244</v>
      </c>
    </row>
    <row r="1741" customFormat="false" ht="15" hidden="false" customHeight="false" outlineLevel="0" collapsed="false">
      <c r="B1741" s="130" t="n">
        <v>2027</v>
      </c>
      <c r="C1741" s="131" t="s">
        <v>247</v>
      </c>
      <c r="D1741" s="132" t="n">
        <v>46526</v>
      </c>
      <c r="E1741" s="131" t="s">
        <v>25</v>
      </c>
      <c r="F1741" s="133" t="s">
        <v>24</v>
      </c>
      <c r="G1741" s="134" t="n">
        <f aca="false">LEN('Saisie programme'!$F$60)+SUMIFS('Vols additionnels'!$E$7:$E$66,'Vols additionnels'!$C$7:$C$66,$E1741,'Vols additionnels'!$D$7:$D$66,$F1741,'Vols additionnels'!$B$7:$B$66,$D1741)</f>
        <v>0</v>
      </c>
      <c r="H1741" s="135" t="n">
        <f aca="false">$G1741*'Analyse capacite'!$F$9</f>
        <v>0</v>
      </c>
      <c r="I1741" s="135" t="n">
        <f aca="false">$G1741*'Analyse capacite'!$C$9</f>
        <v>0</v>
      </c>
      <c r="J1741" s="135" t="n">
        <f aca="false">$G1741*'Analyse capacite'!$D$9</f>
        <v>0</v>
      </c>
      <c r="K1741" s="135" t="n">
        <f aca="false">$G1741*'Analyse capacite'!$E$9</f>
        <v>0</v>
      </c>
    </row>
    <row r="1742" customFormat="false" ht="15" hidden="false" customHeight="false" outlineLevel="0" collapsed="false">
      <c r="B1742" s="130" t="n">
        <v>2027</v>
      </c>
      <c r="C1742" s="131" t="s">
        <v>247</v>
      </c>
      <c r="D1742" s="132" t="n">
        <v>46526</v>
      </c>
      <c r="E1742" s="131" t="s">
        <v>36</v>
      </c>
      <c r="F1742" s="133" t="s">
        <v>11</v>
      </c>
      <c r="G1742" s="134" t="n">
        <f aca="false">LEN('Saisie programme'!$F$61)+SUMIFS('Vols additionnels'!$E$7:$E$66,'Vols additionnels'!$C$7:$C$66,$E1742,'Vols additionnels'!$D$7:$D$66,$F1742,'Vols additionnels'!$B$7:$B$66,$D1742)</f>
        <v>0</v>
      </c>
      <c r="H1742" s="135" t="n">
        <f aca="false">$G1742*'Analyse capacite'!$F$7</f>
        <v>0</v>
      </c>
      <c r="I1742" s="135" t="n">
        <f aca="false">$G1742*'Analyse capacite'!$C$7</f>
        <v>0</v>
      </c>
      <c r="J1742" s="135" t="n">
        <f aca="false">$G1742*'Analyse capacite'!$D$7</f>
        <v>0</v>
      </c>
      <c r="K1742" s="135" t="n">
        <f aca="false">$G1742*'Analyse capacite'!$E$7</f>
        <v>0</v>
      </c>
    </row>
    <row r="1743" customFormat="false" ht="15" hidden="false" customHeight="false" outlineLevel="0" collapsed="false">
      <c r="B1743" s="130" t="n">
        <v>2027</v>
      </c>
      <c r="C1743" s="131" t="s">
        <v>247</v>
      </c>
      <c r="D1743" s="132" t="n">
        <v>46526</v>
      </c>
      <c r="E1743" s="131" t="s">
        <v>36</v>
      </c>
      <c r="F1743" s="133" t="s">
        <v>19</v>
      </c>
      <c r="G1743" s="134" t="n">
        <f aca="false">LEN('Saisie programme'!$F$62)+SUMIFS('Vols additionnels'!$E$7:$E$66,'Vols additionnels'!$C$7:$C$66,$E1743,'Vols additionnels'!$D$7:$D$66,$F1743,'Vols additionnels'!$B$7:$B$66,$D1743)</f>
        <v>1</v>
      </c>
      <c r="H1743" s="135" t="n">
        <f aca="false">$G1743*'Analyse capacite'!$F$8</f>
        <v>262</v>
      </c>
      <c r="I1743" s="135" t="n">
        <f aca="false">$G1743*'Analyse capacite'!$C$8</f>
        <v>18</v>
      </c>
      <c r="J1743" s="135" t="n">
        <f aca="false">$G1743*'Analyse capacite'!$D$8</f>
        <v>0</v>
      </c>
      <c r="K1743" s="135" t="n">
        <f aca="false">$G1743*'Analyse capacite'!$E$8</f>
        <v>244</v>
      </c>
    </row>
    <row r="1744" customFormat="false" ht="15" hidden="false" customHeight="false" outlineLevel="0" collapsed="false">
      <c r="B1744" s="130" t="n">
        <v>2027</v>
      </c>
      <c r="C1744" s="131" t="s">
        <v>247</v>
      </c>
      <c r="D1744" s="132" t="n">
        <v>46526</v>
      </c>
      <c r="E1744" s="131" t="s">
        <v>36</v>
      </c>
      <c r="F1744" s="133" t="s">
        <v>24</v>
      </c>
      <c r="G1744" s="134" t="n">
        <f aca="false">LEN('Saisie programme'!$F$63)+SUMIFS('Vols additionnels'!$E$7:$E$66,'Vols additionnels'!$C$7:$C$66,$E1744,'Vols additionnels'!$D$7:$D$66,$F1744,'Vols additionnels'!$B$7:$B$66,$D1744)</f>
        <v>1</v>
      </c>
      <c r="H1744" s="135" t="n">
        <f aca="false">$G1744*'Analyse capacite'!$F$9</f>
        <v>174</v>
      </c>
      <c r="I1744" s="135" t="n">
        <f aca="false">$G1744*'Analyse capacite'!$C$9</f>
        <v>0</v>
      </c>
      <c r="J1744" s="135" t="n">
        <f aca="false">$G1744*'Analyse capacite'!$D$9</f>
        <v>12</v>
      </c>
      <c r="K1744" s="135" t="n">
        <f aca="false">$G1744*'Analyse capacite'!$E$9</f>
        <v>162</v>
      </c>
    </row>
    <row r="1745" customFormat="false" ht="15" hidden="false" customHeight="false" outlineLevel="0" collapsed="false">
      <c r="B1745" s="130" t="n">
        <v>2027</v>
      </c>
      <c r="C1745" s="131" t="s">
        <v>247</v>
      </c>
      <c r="D1745" s="132" t="n">
        <v>46526</v>
      </c>
      <c r="E1745" s="131" t="s">
        <v>40</v>
      </c>
      <c r="F1745" s="133" t="s">
        <v>11</v>
      </c>
      <c r="G1745" s="134" t="n">
        <f aca="false">LEN('Saisie programme'!$F$64)+SUMIFS('Vols additionnels'!$E$7:$E$66,'Vols additionnels'!$C$7:$C$66,$E1745,'Vols additionnels'!$D$7:$D$66,$F1745,'Vols additionnels'!$B$7:$B$66,$D1745)</f>
        <v>0</v>
      </c>
      <c r="H1745" s="135" t="n">
        <f aca="false">$G1745*'Analyse capacite'!$F$7</f>
        <v>0</v>
      </c>
      <c r="I1745" s="135" t="n">
        <f aca="false">$G1745*'Analyse capacite'!$C$7</f>
        <v>0</v>
      </c>
      <c r="J1745" s="135" t="n">
        <f aca="false">$G1745*'Analyse capacite'!$D$7</f>
        <v>0</v>
      </c>
      <c r="K1745" s="135" t="n">
        <f aca="false">$G1745*'Analyse capacite'!$E$7</f>
        <v>0</v>
      </c>
    </row>
    <row r="1746" customFormat="false" ht="15" hidden="false" customHeight="false" outlineLevel="0" collapsed="false">
      <c r="B1746" s="130" t="n">
        <v>2027</v>
      </c>
      <c r="C1746" s="131" t="s">
        <v>247</v>
      </c>
      <c r="D1746" s="132" t="n">
        <v>46526</v>
      </c>
      <c r="E1746" s="131" t="s">
        <v>40</v>
      </c>
      <c r="F1746" s="133" t="s">
        <v>19</v>
      </c>
      <c r="G1746" s="134" t="n">
        <f aca="false">LEN('Saisie programme'!$F$65)+SUMIFS('Vols additionnels'!$E$7:$E$66,'Vols additionnels'!$C$7:$C$66,$E1746,'Vols additionnels'!$D$7:$D$66,$F1746,'Vols additionnels'!$B$7:$B$66,$D1746)</f>
        <v>0</v>
      </c>
      <c r="H1746" s="135" t="n">
        <f aca="false">$G1746*'Analyse capacite'!$F$8</f>
        <v>0</v>
      </c>
      <c r="I1746" s="135" t="n">
        <f aca="false">$G1746*'Analyse capacite'!$C$8</f>
        <v>0</v>
      </c>
      <c r="J1746" s="135" t="n">
        <f aca="false">$G1746*'Analyse capacite'!$D$8</f>
        <v>0</v>
      </c>
      <c r="K1746" s="135" t="n">
        <f aca="false">$G1746*'Analyse capacite'!$E$8</f>
        <v>0</v>
      </c>
    </row>
    <row r="1747" customFormat="false" ht="15" hidden="false" customHeight="false" outlineLevel="0" collapsed="false">
      <c r="B1747" s="130" t="n">
        <v>2027</v>
      </c>
      <c r="C1747" s="131" t="s">
        <v>247</v>
      </c>
      <c r="D1747" s="132" t="n">
        <v>46526</v>
      </c>
      <c r="E1747" s="131" t="s">
        <v>40</v>
      </c>
      <c r="F1747" s="133" t="s">
        <v>24</v>
      </c>
      <c r="G1747" s="134" t="n">
        <f aca="false">LEN('Saisie programme'!$F$66)+SUMIFS('Vols additionnels'!$E$7:$E$66,'Vols additionnels'!$C$7:$C$66,$E1747,'Vols additionnels'!$D$7:$D$66,$F1747,'Vols additionnels'!$B$7:$B$66,$D1747)</f>
        <v>1</v>
      </c>
      <c r="H1747" s="135" t="n">
        <f aca="false">$G1747*'Analyse capacite'!$F$9</f>
        <v>174</v>
      </c>
      <c r="I1747" s="135" t="n">
        <f aca="false">$G1747*'Analyse capacite'!$C$9</f>
        <v>0</v>
      </c>
      <c r="J1747" s="135" t="n">
        <f aca="false">$G1747*'Analyse capacite'!$D$9</f>
        <v>12</v>
      </c>
      <c r="K1747" s="135" t="n">
        <f aca="false">$G1747*'Analyse capacite'!$E$9</f>
        <v>162</v>
      </c>
    </row>
    <row r="1748" customFormat="false" ht="15" hidden="false" customHeight="false" outlineLevel="0" collapsed="false">
      <c r="B1748" s="130" t="n">
        <v>2027</v>
      </c>
      <c r="C1748" s="131" t="s">
        <v>247</v>
      </c>
      <c r="D1748" s="132" t="n">
        <v>46526</v>
      </c>
      <c r="E1748" s="131" t="s">
        <v>14</v>
      </c>
      <c r="F1748" s="133" t="s">
        <v>11</v>
      </c>
      <c r="G1748" s="134" t="n">
        <f aca="false">LEN('Saisie programme'!$F$67)+SUMIFS('Vols additionnels'!$E$7:$E$66,'Vols additionnels'!$C$7:$C$66,$E1748,'Vols additionnels'!$D$7:$D$66,$F1748,'Vols additionnels'!$B$7:$B$66,$D1748)</f>
        <v>0</v>
      </c>
      <c r="H1748" s="135" t="n">
        <f aca="false">$G1748*'Analyse capacite'!$F$7</f>
        <v>0</v>
      </c>
      <c r="I1748" s="135" t="n">
        <f aca="false">$G1748*'Analyse capacite'!$C$7</f>
        <v>0</v>
      </c>
      <c r="J1748" s="135" t="n">
        <f aca="false">$G1748*'Analyse capacite'!$D$7</f>
        <v>0</v>
      </c>
      <c r="K1748" s="135" t="n">
        <f aca="false">$G1748*'Analyse capacite'!$E$7</f>
        <v>0</v>
      </c>
    </row>
    <row r="1749" customFormat="false" ht="15" hidden="false" customHeight="false" outlineLevel="0" collapsed="false">
      <c r="B1749" s="130" t="n">
        <v>2027</v>
      </c>
      <c r="C1749" s="131" t="s">
        <v>247</v>
      </c>
      <c r="D1749" s="132" t="n">
        <v>46526</v>
      </c>
      <c r="E1749" s="131" t="s">
        <v>14</v>
      </c>
      <c r="F1749" s="133" t="s">
        <v>19</v>
      </c>
      <c r="G1749" s="134" t="n">
        <f aca="false">LEN('Saisie programme'!$F$68)+SUMIFS('Vols additionnels'!$E$7:$E$66,'Vols additionnels'!$C$7:$C$66,$E1749,'Vols additionnels'!$D$7:$D$66,$F1749,'Vols additionnels'!$B$7:$B$66,$D1749)</f>
        <v>0</v>
      </c>
      <c r="H1749" s="135" t="n">
        <f aca="false">$G1749*'Analyse capacite'!$F$8</f>
        <v>0</v>
      </c>
      <c r="I1749" s="135" t="n">
        <f aca="false">$G1749*'Analyse capacite'!$C$8</f>
        <v>0</v>
      </c>
      <c r="J1749" s="135" t="n">
        <f aca="false">$G1749*'Analyse capacite'!$D$8</f>
        <v>0</v>
      </c>
      <c r="K1749" s="135" t="n">
        <f aca="false">$G1749*'Analyse capacite'!$E$8</f>
        <v>0</v>
      </c>
    </row>
    <row r="1750" customFormat="false" ht="15" hidden="false" customHeight="false" outlineLevel="0" collapsed="false">
      <c r="B1750" s="130" t="n">
        <v>2027</v>
      </c>
      <c r="C1750" s="131" t="s">
        <v>247</v>
      </c>
      <c r="D1750" s="132" t="n">
        <v>46526</v>
      </c>
      <c r="E1750" s="131" t="s">
        <v>14</v>
      </c>
      <c r="F1750" s="133" t="s">
        <v>24</v>
      </c>
      <c r="G1750" s="134" t="n">
        <f aca="false">LEN('Saisie programme'!$F$69)+SUMIFS('Vols additionnels'!$E$7:$E$66,'Vols additionnels'!$C$7:$C$66,$E1750,'Vols additionnels'!$D$7:$D$66,$F1750,'Vols additionnels'!$B$7:$B$66,$D1750)</f>
        <v>0</v>
      </c>
      <c r="H1750" s="135" t="n">
        <f aca="false">$G1750*'Analyse capacite'!$F$9</f>
        <v>0</v>
      </c>
      <c r="I1750" s="135" t="n">
        <f aca="false">$G1750*'Analyse capacite'!$C$9</f>
        <v>0</v>
      </c>
      <c r="J1750" s="135" t="n">
        <f aca="false">$G1750*'Analyse capacite'!$D$9</f>
        <v>0</v>
      </c>
      <c r="K1750" s="135" t="n">
        <f aca="false">$G1750*'Analyse capacite'!$E$9</f>
        <v>0</v>
      </c>
    </row>
    <row r="1751" customFormat="false" ht="15" hidden="false" customHeight="false" outlineLevel="0" collapsed="false">
      <c r="B1751" s="130" t="n">
        <v>2027</v>
      </c>
      <c r="C1751" s="131" t="s">
        <v>247</v>
      </c>
      <c r="D1751" s="132" t="n">
        <v>46526</v>
      </c>
      <c r="E1751" s="131" t="s">
        <v>46</v>
      </c>
      <c r="F1751" s="133" t="s">
        <v>11</v>
      </c>
      <c r="G1751" s="134" t="n">
        <f aca="false">LEN('Saisie programme'!$F$70)+SUMIFS('Vols additionnels'!$E$7:$E$66,'Vols additionnels'!$C$7:$C$66,$E1751,'Vols additionnels'!$D$7:$D$66,$F1751,'Vols additionnels'!$B$7:$B$66,$D1751)</f>
        <v>0</v>
      </c>
      <c r="H1751" s="135" t="n">
        <f aca="false">$G1751*'Analyse capacite'!$F$7</f>
        <v>0</v>
      </c>
      <c r="I1751" s="135" t="n">
        <f aca="false">$G1751*'Analyse capacite'!$C$7</f>
        <v>0</v>
      </c>
      <c r="J1751" s="135" t="n">
        <f aca="false">$G1751*'Analyse capacite'!$D$7</f>
        <v>0</v>
      </c>
      <c r="K1751" s="135" t="n">
        <f aca="false">$G1751*'Analyse capacite'!$E$7</f>
        <v>0</v>
      </c>
    </row>
    <row r="1752" customFormat="false" ht="15" hidden="false" customHeight="false" outlineLevel="0" collapsed="false">
      <c r="B1752" s="130" t="n">
        <v>2027</v>
      </c>
      <c r="C1752" s="131" t="s">
        <v>247</v>
      </c>
      <c r="D1752" s="132" t="n">
        <v>46526</v>
      </c>
      <c r="E1752" s="131" t="s">
        <v>46</v>
      </c>
      <c r="F1752" s="133" t="s">
        <v>19</v>
      </c>
      <c r="G1752" s="134" t="n">
        <f aca="false">LEN('Saisie programme'!$F$71)+SUMIFS('Vols additionnels'!$E$7:$E$66,'Vols additionnels'!$C$7:$C$66,$E1752,'Vols additionnels'!$D$7:$D$66,$F1752,'Vols additionnels'!$B$7:$B$66,$D1752)</f>
        <v>0</v>
      </c>
      <c r="H1752" s="135" t="n">
        <f aca="false">$G1752*'Analyse capacite'!$F$8</f>
        <v>0</v>
      </c>
      <c r="I1752" s="135" t="n">
        <f aca="false">$G1752*'Analyse capacite'!$C$8</f>
        <v>0</v>
      </c>
      <c r="J1752" s="135" t="n">
        <f aca="false">$G1752*'Analyse capacite'!$D$8</f>
        <v>0</v>
      </c>
      <c r="K1752" s="135" t="n">
        <f aca="false">$G1752*'Analyse capacite'!$E$8</f>
        <v>0</v>
      </c>
    </row>
    <row r="1753" customFormat="false" ht="15" hidden="false" customHeight="false" outlineLevel="0" collapsed="false">
      <c r="B1753" s="130" t="n">
        <v>2027</v>
      </c>
      <c r="C1753" s="131" t="s">
        <v>247</v>
      </c>
      <c r="D1753" s="132" t="n">
        <v>46526</v>
      </c>
      <c r="E1753" s="131" t="s">
        <v>46</v>
      </c>
      <c r="F1753" s="133" t="s">
        <v>24</v>
      </c>
      <c r="G1753" s="134" t="n">
        <f aca="false">LEN('Saisie programme'!$F$72)+SUMIFS('Vols additionnels'!$E$7:$E$66,'Vols additionnels'!$C$7:$C$66,$E1753,'Vols additionnels'!$D$7:$D$66,$F1753,'Vols additionnels'!$B$7:$B$66,$D1753)</f>
        <v>0</v>
      </c>
      <c r="H1753" s="135" t="n">
        <f aca="false">$G1753*'Analyse capacite'!$F$9</f>
        <v>0</v>
      </c>
      <c r="I1753" s="135" t="n">
        <f aca="false">$G1753*'Analyse capacite'!$C$9</f>
        <v>0</v>
      </c>
      <c r="J1753" s="135" t="n">
        <f aca="false">$G1753*'Analyse capacite'!$D$9</f>
        <v>0</v>
      </c>
      <c r="K1753" s="135" t="n">
        <f aca="false">$G1753*'Analyse capacite'!$E$9</f>
        <v>0</v>
      </c>
    </row>
    <row r="1754" customFormat="false" ht="15" hidden="false" customHeight="false" outlineLevel="0" collapsed="false">
      <c r="B1754" s="130" t="n">
        <v>2027</v>
      </c>
      <c r="C1754" s="131" t="s">
        <v>247</v>
      </c>
      <c r="D1754" s="132" t="n">
        <v>46526</v>
      </c>
      <c r="E1754" s="131" t="s">
        <v>49</v>
      </c>
      <c r="F1754" s="133" t="s">
        <v>11</v>
      </c>
      <c r="G1754" s="134" t="n">
        <f aca="false">LEN('Saisie programme'!$F$73)+SUMIFS('Vols additionnels'!$E$7:$E$66,'Vols additionnels'!$C$7:$C$66,$E1754,'Vols additionnels'!$D$7:$D$66,$F1754,'Vols additionnels'!$B$7:$B$66,$D1754)</f>
        <v>0</v>
      </c>
      <c r="H1754" s="135" t="n">
        <f aca="false">$G1754*'Analyse capacite'!$F$7</f>
        <v>0</v>
      </c>
      <c r="I1754" s="135" t="n">
        <f aca="false">$G1754*'Analyse capacite'!$C$7</f>
        <v>0</v>
      </c>
      <c r="J1754" s="135" t="n">
        <f aca="false">$G1754*'Analyse capacite'!$D$7</f>
        <v>0</v>
      </c>
      <c r="K1754" s="135" t="n">
        <f aca="false">$G1754*'Analyse capacite'!$E$7</f>
        <v>0</v>
      </c>
    </row>
    <row r="1755" customFormat="false" ht="15" hidden="false" customHeight="false" outlineLevel="0" collapsed="false">
      <c r="B1755" s="130" t="n">
        <v>2027</v>
      </c>
      <c r="C1755" s="131" t="s">
        <v>247</v>
      </c>
      <c r="D1755" s="132" t="n">
        <v>46526</v>
      </c>
      <c r="E1755" s="131" t="s">
        <v>49</v>
      </c>
      <c r="F1755" s="133" t="s">
        <v>19</v>
      </c>
      <c r="G1755" s="134" t="n">
        <f aca="false">LEN('Saisie programme'!$F$74)+SUMIFS('Vols additionnels'!$E$7:$E$66,'Vols additionnels'!$C$7:$C$66,$E1755,'Vols additionnels'!$D$7:$D$66,$F1755,'Vols additionnels'!$B$7:$B$66,$D1755)</f>
        <v>0</v>
      </c>
      <c r="H1755" s="135" t="n">
        <f aca="false">$G1755*'Analyse capacite'!$F$8</f>
        <v>0</v>
      </c>
      <c r="I1755" s="135" t="n">
        <f aca="false">$G1755*'Analyse capacite'!$C$8</f>
        <v>0</v>
      </c>
      <c r="J1755" s="135" t="n">
        <f aca="false">$G1755*'Analyse capacite'!$D$8</f>
        <v>0</v>
      </c>
      <c r="K1755" s="135" t="n">
        <f aca="false">$G1755*'Analyse capacite'!$E$8</f>
        <v>0</v>
      </c>
    </row>
    <row r="1756" customFormat="false" ht="15" hidden="false" customHeight="false" outlineLevel="0" collapsed="false">
      <c r="B1756" s="130" t="n">
        <v>2027</v>
      </c>
      <c r="C1756" s="131" t="s">
        <v>247</v>
      </c>
      <c r="D1756" s="132" t="n">
        <v>46526</v>
      </c>
      <c r="E1756" s="131" t="s">
        <v>49</v>
      </c>
      <c r="F1756" s="133" t="s">
        <v>24</v>
      </c>
      <c r="G1756" s="134" t="n">
        <f aca="false">LEN('Saisie programme'!$F$75)+SUMIFS('Vols additionnels'!$E$7:$E$66,'Vols additionnels'!$C$7:$C$66,$E1756,'Vols additionnels'!$D$7:$D$66,$F1756,'Vols additionnels'!$B$7:$B$66,$D1756)</f>
        <v>0</v>
      </c>
      <c r="H1756" s="135" t="n">
        <f aca="false">$G1756*'Analyse capacite'!$F$9</f>
        <v>0</v>
      </c>
      <c r="I1756" s="135" t="n">
        <f aca="false">$G1756*'Analyse capacite'!$C$9</f>
        <v>0</v>
      </c>
      <c r="J1756" s="135" t="n">
        <f aca="false">$G1756*'Analyse capacite'!$D$9</f>
        <v>0</v>
      </c>
      <c r="K1756" s="135" t="n">
        <f aca="false">$G1756*'Analyse capacite'!$E$9</f>
        <v>0</v>
      </c>
    </row>
    <row r="1757" customFormat="false" ht="15" hidden="false" customHeight="false" outlineLevel="0" collapsed="false">
      <c r="B1757" s="130" t="n">
        <v>2027</v>
      </c>
      <c r="C1757" s="131" t="s">
        <v>247</v>
      </c>
      <c r="D1757" s="132" t="n">
        <v>46526</v>
      </c>
      <c r="E1757" s="131" t="s">
        <v>53</v>
      </c>
      <c r="F1757" s="133" t="s">
        <v>11</v>
      </c>
      <c r="G1757" s="134" t="n">
        <f aca="false">LEN('Saisie programme'!$F$76)+SUMIFS('Vols additionnels'!$E$7:$E$66,'Vols additionnels'!$C$7:$C$66,$E1757,'Vols additionnels'!$D$7:$D$66,$F1757,'Vols additionnels'!$B$7:$B$66,$D1757)</f>
        <v>0</v>
      </c>
      <c r="H1757" s="135" t="n">
        <f aca="false">$G1757*'Analyse capacite'!$F$7</f>
        <v>0</v>
      </c>
      <c r="I1757" s="135" t="n">
        <f aca="false">$G1757*'Analyse capacite'!$C$7</f>
        <v>0</v>
      </c>
      <c r="J1757" s="135" t="n">
        <f aca="false">$G1757*'Analyse capacite'!$D$7</f>
        <v>0</v>
      </c>
      <c r="K1757" s="135" t="n">
        <f aca="false">$G1757*'Analyse capacite'!$E$7</f>
        <v>0</v>
      </c>
    </row>
    <row r="1758" customFormat="false" ht="15" hidden="false" customHeight="false" outlineLevel="0" collapsed="false">
      <c r="B1758" s="130" t="n">
        <v>2027</v>
      </c>
      <c r="C1758" s="131" t="s">
        <v>247</v>
      </c>
      <c r="D1758" s="132" t="n">
        <v>46526</v>
      </c>
      <c r="E1758" s="131" t="s">
        <v>53</v>
      </c>
      <c r="F1758" s="133" t="s">
        <v>19</v>
      </c>
      <c r="G1758" s="134" t="n">
        <f aca="false">LEN('Saisie programme'!$F$77)+SUMIFS('Vols additionnels'!$E$7:$E$66,'Vols additionnels'!$C$7:$C$66,$E1758,'Vols additionnels'!$D$7:$D$66,$F1758,'Vols additionnels'!$B$7:$B$66,$D1758)</f>
        <v>0</v>
      </c>
      <c r="H1758" s="135" t="n">
        <f aca="false">$G1758*'Analyse capacite'!$F$8</f>
        <v>0</v>
      </c>
      <c r="I1758" s="135" t="n">
        <f aca="false">$G1758*'Analyse capacite'!$C$8</f>
        <v>0</v>
      </c>
      <c r="J1758" s="135" t="n">
        <f aca="false">$G1758*'Analyse capacite'!$D$8</f>
        <v>0</v>
      </c>
      <c r="K1758" s="135" t="n">
        <f aca="false">$G1758*'Analyse capacite'!$E$8</f>
        <v>0</v>
      </c>
    </row>
    <row r="1759" customFormat="false" ht="15" hidden="false" customHeight="false" outlineLevel="0" collapsed="false">
      <c r="B1759" s="130" t="n">
        <v>2027</v>
      </c>
      <c r="C1759" s="131" t="s">
        <v>247</v>
      </c>
      <c r="D1759" s="132" t="n">
        <v>46526</v>
      </c>
      <c r="E1759" s="131" t="s">
        <v>53</v>
      </c>
      <c r="F1759" s="133" t="s">
        <v>24</v>
      </c>
      <c r="G1759" s="134" t="n">
        <f aca="false">LEN('Saisie programme'!$F$78)+SUMIFS('Vols additionnels'!$E$7:$E$66,'Vols additionnels'!$C$7:$C$66,$E1759,'Vols additionnels'!$D$7:$D$66,$F1759,'Vols additionnels'!$B$7:$B$66,$D1759)</f>
        <v>0</v>
      </c>
      <c r="H1759" s="135" t="n">
        <f aca="false">$G1759*'Analyse capacite'!$F$9</f>
        <v>0</v>
      </c>
      <c r="I1759" s="135" t="n">
        <f aca="false">$G1759*'Analyse capacite'!$C$9</f>
        <v>0</v>
      </c>
      <c r="J1759" s="135" t="n">
        <f aca="false">$G1759*'Analyse capacite'!$D$9</f>
        <v>0</v>
      </c>
      <c r="K1759" s="135" t="n">
        <f aca="false">$G1759*'Analyse capacite'!$E$9</f>
        <v>0</v>
      </c>
    </row>
    <row r="1760" customFormat="false" ht="15" hidden="false" customHeight="false" outlineLevel="0" collapsed="false">
      <c r="B1760" s="130" t="n">
        <v>2027</v>
      </c>
      <c r="C1760" s="131" t="s">
        <v>247</v>
      </c>
      <c r="D1760" s="132" t="n">
        <v>46526</v>
      </c>
      <c r="E1760" s="131" t="s">
        <v>56</v>
      </c>
      <c r="F1760" s="133" t="s">
        <v>11</v>
      </c>
      <c r="G1760" s="134" t="n">
        <f aca="false">LEN('Saisie programme'!$F$79)+SUMIFS('Vols additionnels'!$E$7:$E$66,'Vols additionnels'!$C$7:$C$66,$E1760,'Vols additionnels'!$D$7:$D$66,$F1760,'Vols additionnels'!$B$7:$B$66,$D1760)</f>
        <v>0</v>
      </c>
      <c r="H1760" s="135" t="n">
        <f aca="false">$G1760*'Analyse capacite'!$F$7</f>
        <v>0</v>
      </c>
      <c r="I1760" s="135" t="n">
        <f aca="false">$G1760*'Analyse capacite'!$C$7</f>
        <v>0</v>
      </c>
      <c r="J1760" s="135" t="n">
        <f aca="false">$G1760*'Analyse capacite'!$D$7</f>
        <v>0</v>
      </c>
      <c r="K1760" s="135" t="n">
        <f aca="false">$G1760*'Analyse capacite'!$E$7</f>
        <v>0</v>
      </c>
    </row>
    <row r="1761" customFormat="false" ht="15" hidden="false" customHeight="false" outlineLevel="0" collapsed="false">
      <c r="B1761" s="130" t="n">
        <v>2027</v>
      </c>
      <c r="C1761" s="131" t="s">
        <v>247</v>
      </c>
      <c r="D1761" s="132" t="n">
        <v>46526</v>
      </c>
      <c r="E1761" s="131" t="s">
        <v>56</v>
      </c>
      <c r="F1761" s="133" t="s">
        <v>19</v>
      </c>
      <c r="G1761" s="134" t="n">
        <f aca="false">LEN('Saisie programme'!$F$80)+SUMIFS('Vols additionnels'!$E$7:$E$66,'Vols additionnels'!$C$7:$C$66,$E1761,'Vols additionnels'!$D$7:$D$66,$F1761,'Vols additionnels'!$B$7:$B$66,$D1761)</f>
        <v>0</v>
      </c>
      <c r="H1761" s="135" t="n">
        <f aca="false">$G1761*'Analyse capacite'!$F$8</f>
        <v>0</v>
      </c>
      <c r="I1761" s="135" t="n">
        <f aca="false">$G1761*'Analyse capacite'!$C$8</f>
        <v>0</v>
      </c>
      <c r="J1761" s="135" t="n">
        <f aca="false">$G1761*'Analyse capacite'!$D$8</f>
        <v>0</v>
      </c>
      <c r="K1761" s="135" t="n">
        <f aca="false">$G1761*'Analyse capacite'!$E$8</f>
        <v>0</v>
      </c>
    </row>
    <row r="1762" customFormat="false" ht="15" hidden="false" customHeight="false" outlineLevel="0" collapsed="false">
      <c r="B1762" s="130" t="n">
        <v>2027</v>
      </c>
      <c r="C1762" s="131" t="s">
        <v>247</v>
      </c>
      <c r="D1762" s="132" t="n">
        <v>46526</v>
      </c>
      <c r="E1762" s="131" t="s">
        <v>56</v>
      </c>
      <c r="F1762" s="133" t="s">
        <v>24</v>
      </c>
      <c r="G1762" s="134" t="n">
        <f aca="false">LEN('Saisie programme'!$F$81)+SUMIFS('Vols additionnels'!$E$7:$E$66,'Vols additionnels'!$C$7:$C$66,$E1762,'Vols additionnels'!$D$7:$D$66,$F1762,'Vols additionnels'!$B$7:$B$66,$D1762)</f>
        <v>0</v>
      </c>
      <c r="H1762" s="135" t="n">
        <f aca="false">$G1762*'Analyse capacite'!$F$9</f>
        <v>0</v>
      </c>
      <c r="I1762" s="135" t="n">
        <f aca="false">$G1762*'Analyse capacite'!$C$9</f>
        <v>0</v>
      </c>
      <c r="J1762" s="135" t="n">
        <f aca="false">$G1762*'Analyse capacite'!$D$9</f>
        <v>0</v>
      </c>
      <c r="K1762" s="135" t="n">
        <f aca="false">$G1762*'Analyse capacite'!$E$9</f>
        <v>0</v>
      </c>
    </row>
    <row r="1763" customFormat="false" ht="15" hidden="false" customHeight="false" outlineLevel="0" collapsed="false">
      <c r="B1763" s="130" t="n">
        <v>2027</v>
      </c>
      <c r="C1763" s="131" t="s">
        <v>247</v>
      </c>
      <c r="D1763" s="132" t="n">
        <v>46526</v>
      </c>
      <c r="E1763" s="131" t="s">
        <v>59</v>
      </c>
      <c r="F1763" s="133" t="s">
        <v>11</v>
      </c>
      <c r="G1763" s="134" t="n">
        <f aca="false">LEN('Saisie programme'!$F$82)+SUMIFS('Vols additionnels'!$E$7:$E$66,'Vols additionnels'!$C$7:$C$66,$E1763,'Vols additionnels'!$D$7:$D$66,$F1763,'Vols additionnels'!$B$7:$B$66,$D1763)</f>
        <v>0</v>
      </c>
      <c r="H1763" s="135" t="n">
        <f aca="false">$G1763*'Analyse capacite'!$F$7</f>
        <v>0</v>
      </c>
      <c r="I1763" s="135" t="n">
        <f aca="false">$G1763*'Analyse capacite'!$C$7</f>
        <v>0</v>
      </c>
      <c r="J1763" s="135" t="n">
        <f aca="false">$G1763*'Analyse capacite'!$D$7</f>
        <v>0</v>
      </c>
      <c r="K1763" s="135" t="n">
        <f aca="false">$G1763*'Analyse capacite'!$E$7</f>
        <v>0</v>
      </c>
    </row>
    <row r="1764" customFormat="false" ht="15" hidden="false" customHeight="false" outlineLevel="0" collapsed="false">
      <c r="B1764" s="130" t="n">
        <v>2027</v>
      </c>
      <c r="C1764" s="131" t="s">
        <v>247</v>
      </c>
      <c r="D1764" s="132" t="n">
        <v>46526</v>
      </c>
      <c r="E1764" s="131" t="s">
        <v>59</v>
      </c>
      <c r="F1764" s="133" t="s">
        <v>19</v>
      </c>
      <c r="G1764" s="134" t="n">
        <f aca="false">LEN('Saisie programme'!$F$83)+SUMIFS('Vols additionnels'!$E$7:$E$66,'Vols additionnels'!$C$7:$C$66,$E1764,'Vols additionnels'!$D$7:$D$66,$F1764,'Vols additionnels'!$B$7:$B$66,$D1764)</f>
        <v>0</v>
      </c>
      <c r="H1764" s="135" t="n">
        <f aca="false">$G1764*'Analyse capacite'!$F$8</f>
        <v>0</v>
      </c>
      <c r="I1764" s="135" t="n">
        <f aca="false">$G1764*'Analyse capacite'!$C$8</f>
        <v>0</v>
      </c>
      <c r="J1764" s="135" t="n">
        <f aca="false">$G1764*'Analyse capacite'!$D$8</f>
        <v>0</v>
      </c>
      <c r="K1764" s="135" t="n">
        <f aca="false">$G1764*'Analyse capacite'!$E$8</f>
        <v>0</v>
      </c>
    </row>
    <row r="1765" customFormat="false" ht="15" hidden="false" customHeight="false" outlineLevel="0" collapsed="false">
      <c r="B1765" s="130" t="n">
        <v>2027</v>
      </c>
      <c r="C1765" s="131" t="s">
        <v>247</v>
      </c>
      <c r="D1765" s="132" t="n">
        <v>46526</v>
      </c>
      <c r="E1765" s="131" t="s">
        <v>59</v>
      </c>
      <c r="F1765" s="133" t="s">
        <v>24</v>
      </c>
      <c r="G1765" s="134" t="n">
        <f aca="false">LEN('Saisie programme'!$F$84)+SUMIFS('Vols additionnels'!$E$7:$E$66,'Vols additionnels'!$C$7:$C$66,$E1765,'Vols additionnels'!$D$7:$D$66,$F1765,'Vols additionnels'!$B$7:$B$66,$D1765)</f>
        <v>1</v>
      </c>
      <c r="H1765" s="135" t="n">
        <f aca="false">$G1765*'Analyse capacite'!$F$9</f>
        <v>174</v>
      </c>
      <c r="I1765" s="135" t="n">
        <f aca="false">$G1765*'Analyse capacite'!$C$9</f>
        <v>0</v>
      </c>
      <c r="J1765" s="135" t="n">
        <f aca="false">$G1765*'Analyse capacite'!$D$9</f>
        <v>12</v>
      </c>
      <c r="K1765" s="135" t="n">
        <f aca="false">$G1765*'Analyse capacite'!$E$9</f>
        <v>162</v>
      </c>
    </row>
    <row r="1766" customFormat="false" ht="15" hidden="false" customHeight="false" outlineLevel="0" collapsed="false">
      <c r="B1766" s="130" t="n">
        <v>2027</v>
      </c>
      <c r="C1766" s="131" t="s">
        <v>247</v>
      </c>
      <c r="D1766" s="132" t="n">
        <v>46526</v>
      </c>
      <c r="E1766" s="131" t="s">
        <v>62</v>
      </c>
      <c r="F1766" s="133" t="s">
        <v>11</v>
      </c>
      <c r="G1766" s="134" t="n">
        <f aca="false">LEN('Saisie programme'!$F$85)+SUMIFS('Vols additionnels'!$E$7:$E$66,'Vols additionnels'!$C$7:$C$66,$E1766,'Vols additionnels'!$D$7:$D$66,$F1766,'Vols additionnels'!$B$7:$B$66,$D1766)</f>
        <v>0</v>
      </c>
      <c r="H1766" s="135" t="n">
        <f aca="false">$G1766*'Analyse capacite'!$F$7</f>
        <v>0</v>
      </c>
      <c r="I1766" s="135" t="n">
        <f aca="false">$G1766*'Analyse capacite'!$C$7</f>
        <v>0</v>
      </c>
      <c r="J1766" s="135" t="n">
        <f aca="false">$G1766*'Analyse capacite'!$D$7</f>
        <v>0</v>
      </c>
      <c r="K1766" s="135" t="n">
        <f aca="false">$G1766*'Analyse capacite'!$E$7</f>
        <v>0</v>
      </c>
    </row>
    <row r="1767" customFormat="false" ht="15" hidden="false" customHeight="false" outlineLevel="0" collapsed="false">
      <c r="B1767" s="130" t="n">
        <v>2027</v>
      </c>
      <c r="C1767" s="131" t="s">
        <v>247</v>
      </c>
      <c r="D1767" s="132" t="n">
        <v>46526</v>
      </c>
      <c r="E1767" s="131" t="s">
        <v>62</v>
      </c>
      <c r="F1767" s="133" t="s">
        <v>19</v>
      </c>
      <c r="G1767" s="134" t="n">
        <f aca="false">LEN('Saisie programme'!$F$86)+SUMIFS('Vols additionnels'!$E$7:$E$66,'Vols additionnels'!$C$7:$C$66,$E1767,'Vols additionnels'!$D$7:$D$66,$F1767,'Vols additionnels'!$B$7:$B$66,$D1767)</f>
        <v>0</v>
      </c>
      <c r="H1767" s="135" t="n">
        <f aca="false">$G1767*'Analyse capacite'!$F$8</f>
        <v>0</v>
      </c>
      <c r="I1767" s="135" t="n">
        <f aca="false">$G1767*'Analyse capacite'!$C$8</f>
        <v>0</v>
      </c>
      <c r="J1767" s="135" t="n">
        <f aca="false">$G1767*'Analyse capacite'!$D$8</f>
        <v>0</v>
      </c>
      <c r="K1767" s="135" t="n">
        <f aca="false">$G1767*'Analyse capacite'!$E$8</f>
        <v>0</v>
      </c>
    </row>
    <row r="1768" customFormat="false" ht="15" hidden="false" customHeight="false" outlineLevel="0" collapsed="false">
      <c r="B1768" s="130" t="n">
        <v>2027</v>
      </c>
      <c r="C1768" s="131" t="s">
        <v>247</v>
      </c>
      <c r="D1768" s="132" t="n">
        <v>46526</v>
      </c>
      <c r="E1768" s="131" t="s">
        <v>62</v>
      </c>
      <c r="F1768" s="133" t="s">
        <v>24</v>
      </c>
      <c r="G1768" s="134" t="n">
        <f aca="false">LEN('Saisie programme'!$F$87)+SUMIFS('Vols additionnels'!$E$7:$E$66,'Vols additionnels'!$C$7:$C$66,$E1768,'Vols additionnels'!$D$7:$D$66,$F1768,'Vols additionnels'!$B$7:$B$66,$D1768)</f>
        <v>1</v>
      </c>
      <c r="H1768" s="135" t="n">
        <f aca="false">$G1768*'Analyse capacite'!$F$9</f>
        <v>174</v>
      </c>
      <c r="I1768" s="135" t="n">
        <f aca="false">$G1768*'Analyse capacite'!$C$9</f>
        <v>0</v>
      </c>
      <c r="J1768" s="135" t="n">
        <f aca="false">$G1768*'Analyse capacite'!$D$9</f>
        <v>12</v>
      </c>
      <c r="K1768" s="135" t="n">
        <f aca="false">$G1768*'Analyse capacite'!$E$9</f>
        <v>162</v>
      </c>
    </row>
    <row r="1769" customFormat="false" ht="15" hidden="false" customHeight="false" outlineLevel="0" collapsed="false">
      <c r="B1769" s="130" t="n">
        <v>2027</v>
      </c>
      <c r="C1769" s="131" t="s">
        <v>247</v>
      </c>
      <c r="D1769" s="132" t="n">
        <v>46527</v>
      </c>
      <c r="E1769" s="131" t="s">
        <v>12</v>
      </c>
      <c r="F1769" s="133" t="s">
        <v>11</v>
      </c>
      <c r="G1769" s="134" t="n">
        <f aca="false">LEN('Saisie programme'!$G$52)+SUMIFS('Vols additionnels'!$E$7:$E$66,'Vols additionnels'!$C$7:$C$66,$E1769,'Vols additionnels'!$D$7:$D$66,$F1769,'Vols additionnels'!$B$7:$B$66,$D1769)</f>
        <v>1</v>
      </c>
      <c r="H1769" s="135" t="n">
        <f aca="false">$G1769*'Analyse capacite'!$F$7</f>
        <v>438</v>
      </c>
      <c r="I1769" s="135" t="n">
        <f aca="false">$G1769*'Analyse capacite'!$C$7</f>
        <v>14</v>
      </c>
      <c r="J1769" s="135" t="n">
        <f aca="false">$G1769*'Analyse capacite'!$D$7</f>
        <v>40</v>
      </c>
      <c r="K1769" s="135" t="n">
        <f aca="false">$G1769*'Analyse capacite'!$E$7</f>
        <v>384</v>
      </c>
    </row>
    <row r="1770" customFormat="false" ht="15" hidden="false" customHeight="false" outlineLevel="0" collapsed="false">
      <c r="B1770" s="130" t="n">
        <v>2027</v>
      </c>
      <c r="C1770" s="131" t="s">
        <v>247</v>
      </c>
      <c r="D1770" s="132" t="n">
        <v>46527</v>
      </c>
      <c r="E1770" s="131" t="s">
        <v>12</v>
      </c>
      <c r="F1770" s="133" t="s">
        <v>19</v>
      </c>
      <c r="G1770" s="134" t="n">
        <f aca="false">LEN('Saisie programme'!$G$53)+SUMIFS('Vols additionnels'!$E$7:$E$66,'Vols additionnels'!$C$7:$C$66,$E1770,'Vols additionnels'!$D$7:$D$66,$F1770,'Vols additionnels'!$B$7:$B$66,$D1770)</f>
        <v>0</v>
      </c>
      <c r="H1770" s="135" t="n">
        <f aca="false">$G1770*'Analyse capacite'!$F$8</f>
        <v>0</v>
      </c>
      <c r="I1770" s="135" t="n">
        <f aca="false">$G1770*'Analyse capacite'!$C$8</f>
        <v>0</v>
      </c>
      <c r="J1770" s="135" t="n">
        <f aca="false">$G1770*'Analyse capacite'!$D$8</f>
        <v>0</v>
      </c>
      <c r="K1770" s="135" t="n">
        <f aca="false">$G1770*'Analyse capacite'!$E$8</f>
        <v>0</v>
      </c>
    </row>
    <row r="1771" customFormat="false" ht="15" hidden="false" customHeight="false" outlineLevel="0" collapsed="false">
      <c r="B1771" s="130" t="n">
        <v>2027</v>
      </c>
      <c r="C1771" s="131" t="s">
        <v>247</v>
      </c>
      <c r="D1771" s="132" t="n">
        <v>46527</v>
      </c>
      <c r="E1771" s="131" t="s">
        <v>12</v>
      </c>
      <c r="F1771" s="133" t="s">
        <v>24</v>
      </c>
      <c r="G1771" s="134" t="n">
        <f aca="false">LEN('Saisie programme'!$G$54)+SUMIFS('Vols additionnels'!$E$7:$E$66,'Vols additionnels'!$C$7:$C$66,$E1771,'Vols additionnels'!$D$7:$D$66,$F1771,'Vols additionnels'!$B$7:$B$66,$D1771)</f>
        <v>0</v>
      </c>
      <c r="H1771" s="135" t="n">
        <f aca="false">$G1771*'Analyse capacite'!$F$9</f>
        <v>0</v>
      </c>
      <c r="I1771" s="135" t="n">
        <f aca="false">$G1771*'Analyse capacite'!$C$9</f>
        <v>0</v>
      </c>
      <c r="J1771" s="135" t="n">
        <f aca="false">$G1771*'Analyse capacite'!$D$9</f>
        <v>0</v>
      </c>
      <c r="K1771" s="135" t="n">
        <f aca="false">$G1771*'Analyse capacite'!$E$9</f>
        <v>0</v>
      </c>
    </row>
    <row r="1772" customFormat="false" ht="15" hidden="false" customHeight="false" outlineLevel="0" collapsed="false">
      <c r="B1772" s="130" t="n">
        <v>2027</v>
      </c>
      <c r="C1772" s="131" t="s">
        <v>247</v>
      </c>
      <c r="D1772" s="132" t="n">
        <v>46527</v>
      </c>
      <c r="E1772" s="131" t="s">
        <v>20</v>
      </c>
      <c r="F1772" s="133" t="s">
        <v>11</v>
      </c>
      <c r="G1772" s="134" t="n">
        <f aca="false">LEN('Saisie programme'!$G$55)+SUMIFS('Vols additionnels'!$E$7:$E$66,'Vols additionnels'!$C$7:$C$66,$E1772,'Vols additionnels'!$D$7:$D$66,$F1772,'Vols additionnels'!$B$7:$B$66,$D1772)</f>
        <v>0</v>
      </c>
      <c r="H1772" s="135" t="n">
        <f aca="false">$G1772*'Analyse capacite'!$F$7</f>
        <v>0</v>
      </c>
      <c r="I1772" s="135" t="n">
        <f aca="false">$G1772*'Analyse capacite'!$C$7</f>
        <v>0</v>
      </c>
      <c r="J1772" s="135" t="n">
        <f aca="false">$G1772*'Analyse capacite'!$D$7</f>
        <v>0</v>
      </c>
      <c r="K1772" s="135" t="n">
        <f aca="false">$G1772*'Analyse capacite'!$E$7</f>
        <v>0</v>
      </c>
    </row>
    <row r="1773" customFormat="false" ht="15" hidden="false" customHeight="false" outlineLevel="0" collapsed="false">
      <c r="B1773" s="130" t="n">
        <v>2027</v>
      </c>
      <c r="C1773" s="131" t="s">
        <v>247</v>
      </c>
      <c r="D1773" s="132" t="n">
        <v>46527</v>
      </c>
      <c r="E1773" s="131" t="s">
        <v>20</v>
      </c>
      <c r="F1773" s="133" t="s">
        <v>19</v>
      </c>
      <c r="G1773" s="134" t="n">
        <f aca="false">LEN('Saisie programme'!$G$56)+SUMIFS('Vols additionnels'!$E$7:$E$66,'Vols additionnels'!$C$7:$C$66,$E1773,'Vols additionnels'!$D$7:$D$66,$F1773,'Vols additionnels'!$B$7:$B$66,$D1773)</f>
        <v>0</v>
      </c>
      <c r="H1773" s="135" t="n">
        <f aca="false">$G1773*'Analyse capacite'!$F$8</f>
        <v>0</v>
      </c>
      <c r="I1773" s="135" t="n">
        <f aca="false">$G1773*'Analyse capacite'!$C$8</f>
        <v>0</v>
      </c>
      <c r="J1773" s="135" t="n">
        <f aca="false">$G1773*'Analyse capacite'!$D$8</f>
        <v>0</v>
      </c>
      <c r="K1773" s="135" t="n">
        <f aca="false">$G1773*'Analyse capacite'!$E$8</f>
        <v>0</v>
      </c>
    </row>
    <row r="1774" customFormat="false" ht="15" hidden="false" customHeight="false" outlineLevel="0" collapsed="false">
      <c r="B1774" s="130" t="n">
        <v>2027</v>
      </c>
      <c r="C1774" s="131" t="s">
        <v>247</v>
      </c>
      <c r="D1774" s="132" t="n">
        <v>46527</v>
      </c>
      <c r="E1774" s="131" t="s">
        <v>20</v>
      </c>
      <c r="F1774" s="133" t="s">
        <v>24</v>
      </c>
      <c r="G1774" s="134" t="n">
        <f aca="false">LEN('Saisie programme'!$G$57)+SUMIFS('Vols additionnels'!$E$7:$E$66,'Vols additionnels'!$C$7:$C$66,$E1774,'Vols additionnels'!$D$7:$D$66,$F1774,'Vols additionnels'!$B$7:$B$66,$D1774)</f>
        <v>0</v>
      </c>
      <c r="H1774" s="135" t="n">
        <f aca="false">$G1774*'Analyse capacite'!$F$9</f>
        <v>0</v>
      </c>
      <c r="I1774" s="135" t="n">
        <f aca="false">$G1774*'Analyse capacite'!$C$9</f>
        <v>0</v>
      </c>
      <c r="J1774" s="135" t="n">
        <f aca="false">$G1774*'Analyse capacite'!$D$9</f>
        <v>0</v>
      </c>
      <c r="K1774" s="135" t="n">
        <f aca="false">$G1774*'Analyse capacite'!$E$9</f>
        <v>0</v>
      </c>
    </row>
    <row r="1775" customFormat="false" ht="15" hidden="false" customHeight="false" outlineLevel="0" collapsed="false">
      <c r="B1775" s="130" t="n">
        <v>2027</v>
      </c>
      <c r="C1775" s="131" t="s">
        <v>247</v>
      </c>
      <c r="D1775" s="132" t="n">
        <v>46527</v>
      </c>
      <c r="E1775" s="131" t="s">
        <v>25</v>
      </c>
      <c r="F1775" s="133" t="s">
        <v>11</v>
      </c>
      <c r="G1775" s="134" t="n">
        <f aca="false">LEN('Saisie programme'!$G$58)+SUMIFS('Vols additionnels'!$E$7:$E$66,'Vols additionnels'!$C$7:$C$66,$E1775,'Vols additionnels'!$D$7:$D$66,$F1775,'Vols additionnels'!$B$7:$B$66,$D1775)</f>
        <v>0</v>
      </c>
      <c r="H1775" s="135" t="n">
        <f aca="false">$G1775*'Analyse capacite'!$F$7</f>
        <v>0</v>
      </c>
      <c r="I1775" s="135" t="n">
        <f aca="false">$G1775*'Analyse capacite'!$C$7</f>
        <v>0</v>
      </c>
      <c r="J1775" s="135" t="n">
        <f aca="false">$G1775*'Analyse capacite'!$D$7</f>
        <v>0</v>
      </c>
      <c r="K1775" s="135" t="n">
        <f aca="false">$G1775*'Analyse capacite'!$E$7</f>
        <v>0</v>
      </c>
    </row>
    <row r="1776" customFormat="false" ht="15" hidden="false" customHeight="false" outlineLevel="0" collapsed="false">
      <c r="B1776" s="130" t="n">
        <v>2027</v>
      </c>
      <c r="C1776" s="131" t="s">
        <v>247</v>
      </c>
      <c r="D1776" s="132" t="n">
        <v>46527</v>
      </c>
      <c r="E1776" s="131" t="s">
        <v>25</v>
      </c>
      <c r="F1776" s="133" t="s">
        <v>19</v>
      </c>
      <c r="G1776" s="134" t="n">
        <f aca="false">LEN('Saisie programme'!$G$59)+SUMIFS('Vols additionnels'!$E$7:$E$66,'Vols additionnels'!$C$7:$C$66,$E1776,'Vols additionnels'!$D$7:$D$66,$F1776,'Vols additionnels'!$B$7:$B$66,$D1776)</f>
        <v>0</v>
      </c>
      <c r="H1776" s="135" t="n">
        <f aca="false">$G1776*'Analyse capacite'!$F$8</f>
        <v>0</v>
      </c>
      <c r="I1776" s="135" t="n">
        <f aca="false">$G1776*'Analyse capacite'!$C$8</f>
        <v>0</v>
      </c>
      <c r="J1776" s="135" t="n">
        <f aca="false">$G1776*'Analyse capacite'!$D$8</f>
        <v>0</v>
      </c>
      <c r="K1776" s="135" t="n">
        <f aca="false">$G1776*'Analyse capacite'!$E$8</f>
        <v>0</v>
      </c>
    </row>
    <row r="1777" customFormat="false" ht="15" hidden="false" customHeight="false" outlineLevel="0" collapsed="false">
      <c r="B1777" s="130" t="n">
        <v>2027</v>
      </c>
      <c r="C1777" s="131" t="s">
        <v>247</v>
      </c>
      <c r="D1777" s="132" t="n">
        <v>46527</v>
      </c>
      <c r="E1777" s="131" t="s">
        <v>25</v>
      </c>
      <c r="F1777" s="133" t="s">
        <v>24</v>
      </c>
      <c r="G1777" s="134" t="n">
        <f aca="false">LEN('Saisie programme'!$G$60)+SUMIFS('Vols additionnels'!$E$7:$E$66,'Vols additionnels'!$C$7:$C$66,$E1777,'Vols additionnels'!$D$7:$D$66,$F1777,'Vols additionnels'!$B$7:$B$66,$D1777)</f>
        <v>0</v>
      </c>
      <c r="H1777" s="135" t="n">
        <f aca="false">$G1777*'Analyse capacite'!$F$9</f>
        <v>0</v>
      </c>
      <c r="I1777" s="135" t="n">
        <f aca="false">$G1777*'Analyse capacite'!$C$9</f>
        <v>0</v>
      </c>
      <c r="J1777" s="135" t="n">
        <f aca="false">$G1777*'Analyse capacite'!$D$9</f>
        <v>0</v>
      </c>
      <c r="K1777" s="135" t="n">
        <f aca="false">$G1777*'Analyse capacite'!$E$9</f>
        <v>0</v>
      </c>
    </row>
    <row r="1778" customFormat="false" ht="15" hidden="false" customHeight="false" outlineLevel="0" collapsed="false">
      <c r="B1778" s="130" t="n">
        <v>2027</v>
      </c>
      <c r="C1778" s="131" t="s">
        <v>247</v>
      </c>
      <c r="D1778" s="132" t="n">
        <v>46527</v>
      </c>
      <c r="E1778" s="131" t="s">
        <v>36</v>
      </c>
      <c r="F1778" s="133" t="s">
        <v>11</v>
      </c>
      <c r="G1778" s="134" t="n">
        <f aca="false">LEN('Saisie programme'!$G$61)+SUMIFS('Vols additionnels'!$E$7:$E$66,'Vols additionnels'!$C$7:$C$66,$E1778,'Vols additionnels'!$D$7:$D$66,$F1778,'Vols additionnels'!$B$7:$B$66,$D1778)</f>
        <v>0</v>
      </c>
      <c r="H1778" s="135" t="n">
        <f aca="false">$G1778*'Analyse capacite'!$F$7</f>
        <v>0</v>
      </c>
      <c r="I1778" s="135" t="n">
        <f aca="false">$G1778*'Analyse capacite'!$C$7</f>
        <v>0</v>
      </c>
      <c r="J1778" s="135" t="n">
        <f aca="false">$G1778*'Analyse capacite'!$D$7</f>
        <v>0</v>
      </c>
      <c r="K1778" s="135" t="n">
        <f aca="false">$G1778*'Analyse capacite'!$E$7</f>
        <v>0</v>
      </c>
    </row>
    <row r="1779" customFormat="false" ht="15" hidden="false" customHeight="false" outlineLevel="0" collapsed="false">
      <c r="B1779" s="130" t="n">
        <v>2027</v>
      </c>
      <c r="C1779" s="131" t="s">
        <v>247</v>
      </c>
      <c r="D1779" s="132" t="n">
        <v>46527</v>
      </c>
      <c r="E1779" s="131" t="s">
        <v>36</v>
      </c>
      <c r="F1779" s="133" t="s">
        <v>19</v>
      </c>
      <c r="G1779" s="134" t="n">
        <f aca="false">LEN('Saisie programme'!$G$62)+SUMIFS('Vols additionnels'!$E$7:$E$66,'Vols additionnels'!$C$7:$C$66,$E1779,'Vols additionnels'!$D$7:$D$66,$F1779,'Vols additionnels'!$B$7:$B$66,$D1779)</f>
        <v>0</v>
      </c>
      <c r="H1779" s="135" t="n">
        <f aca="false">$G1779*'Analyse capacite'!$F$8</f>
        <v>0</v>
      </c>
      <c r="I1779" s="135" t="n">
        <f aca="false">$G1779*'Analyse capacite'!$C$8</f>
        <v>0</v>
      </c>
      <c r="J1779" s="135" t="n">
        <f aca="false">$G1779*'Analyse capacite'!$D$8</f>
        <v>0</v>
      </c>
      <c r="K1779" s="135" t="n">
        <f aca="false">$G1779*'Analyse capacite'!$E$8</f>
        <v>0</v>
      </c>
    </row>
    <row r="1780" customFormat="false" ht="15" hidden="false" customHeight="false" outlineLevel="0" collapsed="false">
      <c r="B1780" s="130" t="n">
        <v>2027</v>
      </c>
      <c r="C1780" s="131" t="s">
        <v>247</v>
      </c>
      <c r="D1780" s="132" t="n">
        <v>46527</v>
      </c>
      <c r="E1780" s="131" t="s">
        <v>36</v>
      </c>
      <c r="F1780" s="133" t="s">
        <v>24</v>
      </c>
      <c r="G1780" s="134" t="n">
        <f aca="false">LEN('Saisie programme'!$G$63)+SUMIFS('Vols additionnels'!$E$7:$E$66,'Vols additionnels'!$C$7:$C$66,$E1780,'Vols additionnels'!$D$7:$D$66,$F1780,'Vols additionnels'!$B$7:$B$66,$D1780)</f>
        <v>1</v>
      </c>
      <c r="H1780" s="135" t="n">
        <f aca="false">$G1780*'Analyse capacite'!$F$9</f>
        <v>174</v>
      </c>
      <c r="I1780" s="135" t="n">
        <f aca="false">$G1780*'Analyse capacite'!$C$9</f>
        <v>0</v>
      </c>
      <c r="J1780" s="135" t="n">
        <f aca="false">$G1780*'Analyse capacite'!$D$9</f>
        <v>12</v>
      </c>
      <c r="K1780" s="135" t="n">
        <f aca="false">$G1780*'Analyse capacite'!$E$9</f>
        <v>162</v>
      </c>
    </row>
    <row r="1781" customFormat="false" ht="15" hidden="false" customHeight="false" outlineLevel="0" collapsed="false">
      <c r="B1781" s="130" t="n">
        <v>2027</v>
      </c>
      <c r="C1781" s="131" t="s">
        <v>247</v>
      </c>
      <c r="D1781" s="132" t="n">
        <v>46527</v>
      </c>
      <c r="E1781" s="131" t="s">
        <v>40</v>
      </c>
      <c r="F1781" s="133" t="s">
        <v>11</v>
      </c>
      <c r="G1781" s="134" t="n">
        <f aca="false">LEN('Saisie programme'!$G$64)+SUMIFS('Vols additionnels'!$E$7:$E$66,'Vols additionnels'!$C$7:$C$66,$E1781,'Vols additionnels'!$D$7:$D$66,$F1781,'Vols additionnels'!$B$7:$B$66,$D1781)</f>
        <v>0</v>
      </c>
      <c r="H1781" s="135" t="n">
        <f aca="false">$G1781*'Analyse capacite'!$F$7</f>
        <v>0</v>
      </c>
      <c r="I1781" s="135" t="n">
        <f aca="false">$G1781*'Analyse capacite'!$C$7</f>
        <v>0</v>
      </c>
      <c r="J1781" s="135" t="n">
        <f aca="false">$G1781*'Analyse capacite'!$D$7</f>
        <v>0</v>
      </c>
      <c r="K1781" s="135" t="n">
        <f aca="false">$G1781*'Analyse capacite'!$E$7</f>
        <v>0</v>
      </c>
    </row>
    <row r="1782" customFormat="false" ht="15" hidden="false" customHeight="false" outlineLevel="0" collapsed="false">
      <c r="B1782" s="130" t="n">
        <v>2027</v>
      </c>
      <c r="C1782" s="131" t="s">
        <v>247</v>
      </c>
      <c r="D1782" s="132" t="n">
        <v>46527</v>
      </c>
      <c r="E1782" s="131" t="s">
        <v>40</v>
      </c>
      <c r="F1782" s="133" t="s">
        <v>19</v>
      </c>
      <c r="G1782" s="134" t="n">
        <f aca="false">LEN('Saisie programme'!$G$65)+SUMIFS('Vols additionnels'!$E$7:$E$66,'Vols additionnels'!$C$7:$C$66,$E1782,'Vols additionnels'!$D$7:$D$66,$F1782,'Vols additionnels'!$B$7:$B$66,$D1782)</f>
        <v>0</v>
      </c>
      <c r="H1782" s="135" t="n">
        <f aca="false">$G1782*'Analyse capacite'!$F$8</f>
        <v>0</v>
      </c>
      <c r="I1782" s="135" t="n">
        <f aca="false">$G1782*'Analyse capacite'!$C$8</f>
        <v>0</v>
      </c>
      <c r="J1782" s="135" t="n">
        <f aca="false">$G1782*'Analyse capacite'!$D$8</f>
        <v>0</v>
      </c>
      <c r="K1782" s="135" t="n">
        <f aca="false">$G1782*'Analyse capacite'!$E$8</f>
        <v>0</v>
      </c>
    </row>
    <row r="1783" customFormat="false" ht="15" hidden="false" customHeight="false" outlineLevel="0" collapsed="false">
      <c r="B1783" s="130" t="n">
        <v>2027</v>
      </c>
      <c r="C1783" s="131" t="s">
        <v>247</v>
      </c>
      <c r="D1783" s="132" t="n">
        <v>46527</v>
      </c>
      <c r="E1783" s="131" t="s">
        <v>40</v>
      </c>
      <c r="F1783" s="133" t="s">
        <v>24</v>
      </c>
      <c r="G1783" s="134" t="n">
        <f aca="false">LEN('Saisie programme'!$G$66)+SUMIFS('Vols additionnels'!$E$7:$E$66,'Vols additionnels'!$C$7:$C$66,$E1783,'Vols additionnels'!$D$7:$D$66,$F1783,'Vols additionnels'!$B$7:$B$66,$D1783)</f>
        <v>0</v>
      </c>
      <c r="H1783" s="135" t="n">
        <f aca="false">$G1783*'Analyse capacite'!$F$9</f>
        <v>0</v>
      </c>
      <c r="I1783" s="135" t="n">
        <f aca="false">$G1783*'Analyse capacite'!$C$9</f>
        <v>0</v>
      </c>
      <c r="J1783" s="135" t="n">
        <f aca="false">$G1783*'Analyse capacite'!$D$9</f>
        <v>0</v>
      </c>
      <c r="K1783" s="135" t="n">
        <f aca="false">$G1783*'Analyse capacite'!$E$9</f>
        <v>0</v>
      </c>
    </row>
    <row r="1784" customFormat="false" ht="15" hidden="false" customHeight="false" outlineLevel="0" collapsed="false">
      <c r="B1784" s="130" t="n">
        <v>2027</v>
      </c>
      <c r="C1784" s="131" t="s">
        <v>247</v>
      </c>
      <c r="D1784" s="132" t="n">
        <v>46527</v>
      </c>
      <c r="E1784" s="131" t="s">
        <v>14</v>
      </c>
      <c r="F1784" s="133" t="s">
        <v>11</v>
      </c>
      <c r="G1784" s="134" t="n">
        <f aca="false">LEN('Saisie programme'!$G$67)+SUMIFS('Vols additionnels'!$E$7:$E$66,'Vols additionnels'!$C$7:$C$66,$E1784,'Vols additionnels'!$D$7:$D$66,$F1784,'Vols additionnels'!$B$7:$B$66,$D1784)</f>
        <v>0</v>
      </c>
      <c r="H1784" s="135" t="n">
        <f aca="false">$G1784*'Analyse capacite'!$F$7</f>
        <v>0</v>
      </c>
      <c r="I1784" s="135" t="n">
        <f aca="false">$G1784*'Analyse capacite'!$C$7</f>
        <v>0</v>
      </c>
      <c r="J1784" s="135" t="n">
        <f aca="false">$G1784*'Analyse capacite'!$D$7</f>
        <v>0</v>
      </c>
      <c r="K1784" s="135" t="n">
        <f aca="false">$G1784*'Analyse capacite'!$E$7</f>
        <v>0</v>
      </c>
    </row>
    <row r="1785" customFormat="false" ht="15" hidden="false" customHeight="false" outlineLevel="0" collapsed="false">
      <c r="B1785" s="130" t="n">
        <v>2027</v>
      </c>
      <c r="C1785" s="131" t="s">
        <v>247</v>
      </c>
      <c r="D1785" s="132" t="n">
        <v>46527</v>
      </c>
      <c r="E1785" s="131" t="s">
        <v>14</v>
      </c>
      <c r="F1785" s="133" t="s">
        <v>19</v>
      </c>
      <c r="G1785" s="134" t="n">
        <f aca="false">LEN('Saisie programme'!$G$68)+SUMIFS('Vols additionnels'!$E$7:$E$66,'Vols additionnels'!$C$7:$C$66,$E1785,'Vols additionnels'!$D$7:$D$66,$F1785,'Vols additionnels'!$B$7:$B$66,$D1785)</f>
        <v>0</v>
      </c>
      <c r="H1785" s="135" t="n">
        <f aca="false">$G1785*'Analyse capacite'!$F$8</f>
        <v>0</v>
      </c>
      <c r="I1785" s="135" t="n">
        <f aca="false">$G1785*'Analyse capacite'!$C$8</f>
        <v>0</v>
      </c>
      <c r="J1785" s="135" t="n">
        <f aca="false">$G1785*'Analyse capacite'!$D$8</f>
        <v>0</v>
      </c>
      <c r="K1785" s="135" t="n">
        <f aca="false">$G1785*'Analyse capacite'!$E$8</f>
        <v>0</v>
      </c>
    </row>
    <row r="1786" customFormat="false" ht="15" hidden="false" customHeight="false" outlineLevel="0" collapsed="false">
      <c r="B1786" s="130" t="n">
        <v>2027</v>
      </c>
      <c r="C1786" s="131" t="s">
        <v>247</v>
      </c>
      <c r="D1786" s="132" t="n">
        <v>46527</v>
      </c>
      <c r="E1786" s="131" t="s">
        <v>14</v>
      </c>
      <c r="F1786" s="133" t="s">
        <v>24</v>
      </c>
      <c r="G1786" s="134" t="n">
        <f aca="false">LEN('Saisie programme'!$G$69)+SUMIFS('Vols additionnels'!$E$7:$E$66,'Vols additionnels'!$C$7:$C$66,$E1786,'Vols additionnels'!$D$7:$D$66,$F1786,'Vols additionnels'!$B$7:$B$66,$D1786)</f>
        <v>1</v>
      </c>
      <c r="H1786" s="135" t="n">
        <f aca="false">$G1786*'Analyse capacite'!$F$9</f>
        <v>174</v>
      </c>
      <c r="I1786" s="135" t="n">
        <f aca="false">$G1786*'Analyse capacite'!$C$9</f>
        <v>0</v>
      </c>
      <c r="J1786" s="135" t="n">
        <f aca="false">$G1786*'Analyse capacite'!$D$9</f>
        <v>12</v>
      </c>
      <c r="K1786" s="135" t="n">
        <f aca="false">$G1786*'Analyse capacite'!$E$9</f>
        <v>162</v>
      </c>
    </row>
    <row r="1787" customFormat="false" ht="15" hidden="false" customHeight="false" outlineLevel="0" collapsed="false">
      <c r="B1787" s="130" t="n">
        <v>2027</v>
      </c>
      <c r="C1787" s="131" t="s">
        <v>247</v>
      </c>
      <c r="D1787" s="132" t="n">
        <v>46527</v>
      </c>
      <c r="E1787" s="131" t="s">
        <v>46</v>
      </c>
      <c r="F1787" s="133" t="s">
        <v>11</v>
      </c>
      <c r="G1787" s="134" t="n">
        <f aca="false">LEN('Saisie programme'!$G$70)+SUMIFS('Vols additionnels'!$E$7:$E$66,'Vols additionnels'!$C$7:$C$66,$E1787,'Vols additionnels'!$D$7:$D$66,$F1787,'Vols additionnels'!$B$7:$B$66,$D1787)</f>
        <v>0</v>
      </c>
      <c r="H1787" s="135" t="n">
        <f aca="false">$G1787*'Analyse capacite'!$F$7</f>
        <v>0</v>
      </c>
      <c r="I1787" s="135" t="n">
        <f aca="false">$G1787*'Analyse capacite'!$C$7</f>
        <v>0</v>
      </c>
      <c r="J1787" s="135" t="n">
        <f aca="false">$G1787*'Analyse capacite'!$D$7</f>
        <v>0</v>
      </c>
      <c r="K1787" s="135" t="n">
        <f aca="false">$G1787*'Analyse capacite'!$E$7</f>
        <v>0</v>
      </c>
    </row>
    <row r="1788" customFormat="false" ht="15" hidden="false" customHeight="false" outlineLevel="0" collapsed="false">
      <c r="B1788" s="130" t="n">
        <v>2027</v>
      </c>
      <c r="C1788" s="131" t="s">
        <v>247</v>
      </c>
      <c r="D1788" s="132" t="n">
        <v>46527</v>
      </c>
      <c r="E1788" s="131" t="s">
        <v>46</v>
      </c>
      <c r="F1788" s="133" t="s">
        <v>19</v>
      </c>
      <c r="G1788" s="134" t="n">
        <f aca="false">LEN('Saisie programme'!$G$71)+SUMIFS('Vols additionnels'!$E$7:$E$66,'Vols additionnels'!$C$7:$C$66,$E1788,'Vols additionnels'!$D$7:$D$66,$F1788,'Vols additionnels'!$B$7:$B$66,$D1788)</f>
        <v>0</v>
      </c>
      <c r="H1788" s="135" t="n">
        <f aca="false">$G1788*'Analyse capacite'!$F$8</f>
        <v>0</v>
      </c>
      <c r="I1788" s="135" t="n">
        <f aca="false">$G1788*'Analyse capacite'!$C$8</f>
        <v>0</v>
      </c>
      <c r="J1788" s="135" t="n">
        <f aca="false">$G1788*'Analyse capacite'!$D$8</f>
        <v>0</v>
      </c>
      <c r="K1788" s="135" t="n">
        <f aca="false">$G1788*'Analyse capacite'!$E$8</f>
        <v>0</v>
      </c>
    </row>
    <row r="1789" customFormat="false" ht="15" hidden="false" customHeight="false" outlineLevel="0" collapsed="false">
      <c r="B1789" s="130" t="n">
        <v>2027</v>
      </c>
      <c r="C1789" s="131" t="s">
        <v>247</v>
      </c>
      <c r="D1789" s="132" t="n">
        <v>46527</v>
      </c>
      <c r="E1789" s="131" t="s">
        <v>46</v>
      </c>
      <c r="F1789" s="133" t="s">
        <v>24</v>
      </c>
      <c r="G1789" s="134" t="n">
        <f aca="false">LEN('Saisie programme'!$G$72)+SUMIFS('Vols additionnels'!$E$7:$E$66,'Vols additionnels'!$C$7:$C$66,$E1789,'Vols additionnels'!$D$7:$D$66,$F1789,'Vols additionnels'!$B$7:$B$66,$D1789)</f>
        <v>1</v>
      </c>
      <c r="H1789" s="135" t="n">
        <f aca="false">$G1789*'Analyse capacite'!$F$9</f>
        <v>174</v>
      </c>
      <c r="I1789" s="135" t="n">
        <f aca="false">$G1789*'Analyse capacite'!$C$9</f>
        <v>0</v>
      </c>
      <c r="J1789" s="135" t="n">
        <f aca="false">$G1789*'Analyse capacite'!$D$9</f>
        <v>12</v>
      </c>
      <c r="K1789" s="135" t="n">
        <f aca="false">$G1789*'Analyse capacite'!$E$9</f>
        <v>162</v>
      </c>
    </row>
    <row r="1790" customFormat="false" ht="15" hidden="false" customHeight="false" outlineLevel="0" collapsed="false">
      <c r="B1790" s="130" t="n">
        <v>2027</v>
      </c>
      <c r="C1790" s="131" t="s">
        <v>247</v>
      </c>
      <c r="D1790" s="132" t="n">
        <v>46527</v>
      </c>
      <c r="E1790" s="131" t="s">
        <v>49</v>
      </c>
      <c r="F1790" s="133" t="s">
        <v>11</v>
      </c>
      <c r="G1790" s="134" t="n">
        <f aca="false">LEN('Saisie programme'!$G$73)+SUMIFS('Vols additionnels'!$E$7:$E$66,'Vols additionnels'!$C$7:$C$66,$E1790,'Vols additionnels'!$D$7:$D$66,$F1790,'Vols additionnels'!$B$7:$B$66,$D1790)</f>
        <v>0</v>
      </c>
      <c r="H1790" s="135" t="n">
        <f aca="false">$G1790*'Analyse capacite'!$F$7</f>
        <v>0</v>
      </c>
      <c r="I1790" s="135" t="n">
        <f aca="false">$G1790*'Analyse capacite'!$C$7</f>
        <v>0</v>
      </c>
      <c r="J1790" s="135" t="n">
        <f aca="false">$G1790*'Analyse capacite'!$D$7</f>
        <v>0</v>
      </c>
      <c r="K1790" s="135" t="n">
        <f aca="false">$G1790*'Analyse capacite'!$E$7</f>
        <v>0</v>
      </c>
    </row>
    <row r="1791" customFormat="false" ht="15" hidden="false" customHeight="false" outlineLevel="0" collapsed="false">
      <c r="B1791" s="130" t="n">
        <v>2027</v>
      </c>
      <c r="C1791" s="131" t="s">
        <v>247</v>
      </c>
      <c r="D1791" s="132" t="n">
        <v>46527</v>
      </c>
      <c r="E1791" s="131" t="s">
        <v>49</v>
      </c>
      <c r="F1791" s="133" t="s">
        <v>19</v>
      </c>
      <c r="G1791" s="134" t="n">
        <f aca="false">LEN('Saisie programme'!$G$74)+SUMIFS('Vols additionnels'!$E$7:$E$66,'Vols additionnels'!$C$7:$C$66,$E1791,'Vols additionnels'!$D$7:$D$66,$F1791,'Vols additionnels'!$B$7:$B$66,$D1791)</f>
        <v>0</v>
      </c>
      <c r="H1791" s="135" t="n">
        <f aca="false">$G1791*'Analyse capacite'!$F$8</f>
        <v>0</v>
      </c>
      <c r="I1791" s="135" t="n">
        <f aca="false">$G1791*'Analyse capacite'!$C$8</f>
        <v>0</v>
      </c>
      <c r="J1791" s="135" t="n">
        <f aca="false">$G1791*'Analyse capacite'!$D$8</f>
        <v>0</v>
      </c>
      <c r="K1791" s="135" t="n">
        <f aca="false">$G1791*'Analyse capacite'!$E$8</f>
        <v>0</v>
      </c>
    </row>
    <row r="1792" customFormat="false" ht="15" hidden="false" customHeight="false" outlineLevel="0" collapsed="false">
      <c r="B1792" s="130" t="n">
        <v>2027</v>
      </c>
      <c r="C1792" s="131" t="s">
        <v>247</v>
      </c>
      <c r="D1792" s="132" t="n">
        <v>46527</v>
      </c>
      <c r="E1792" s="131" t="s">
        <v>49</v>
      </c>
      <c r="F1792" s="133" t="s">
        <v>24</v>
      </c>
      <c r="G1792" s="134" t="n">
        <f aca="false">LEN('Saisie programme'!$G$75)+SUMIFS('Vols additionnels'!$E$7:$E$66,'Vols additionnels'!$C$7:$C$66,$E1792,'Vols additionnels'!$D$7:$D$66,$F1792,'Vols additionnels'!$B$7:$B$66,$D1792)</f>
        <v>0</v>
      </c>
      <c r="H1792" s="135" t="n">
        <f aca="false">$G1792*'Analyse capacite'!$F$9</f>
        <v>0</v>
      </c>
      <c r="I1792" s="135" t="n">
        <f aca="false">$G1792*'Analyse capacite'!$C$9</f>
        <v>0</v>
      </c>
      <c r="J1792" s="135" t="n">
        <f aca="false">$G1792*'Analyse capacite'!$D$9</f>
        <v>0</v>
      </c>
      <c r="K1792" s="135" t="n">
        <f aca="false">$G1792*'Analyse capacite'!$E$9</f>
        <v>0</v>
      </c>
    </row>
    <row r="1793" customFormat="false" ht="15" hidden="false" customHeight="false" outlineLevel="0" collapsed="false">
      <c r="B1793" s="130" t="n">
        <v>2027</v>
      </c>
      <c r="C1793" s="131" t="s">
        <v>247</v>
      </c>
      <c r="D1793" s="132" t="n">
        <v>46527</v>
      </c>
      <c r="E1793" s="131" t="s">
        <v>53</v>
      </c>
      <c r="F1793" s="133" t="s">
        <v>11</v>
      </c>
      <c r="G1793" s="134" t="n">
        <f aca="false">LEN('Saisie programme'!$G$76)+SUMIFS('Vols additionnels'!$E$7:$E$66,'Vols additionnels'!$C$7:$C$66,$E1793,'Vols additionnels'!$D$7:$D$66,$F1793,'Vols additionnels'!$B$7:$B$66,$D1793)</f>
        <v>0</v>
      </c>
      <c r="H1793" s="135" t="n">
        <f aca="false">$G1793*'Analyse capacite'!$F$7</f>
        <v>0</v>
      </c>
      <c r="I1793" s="135" t="n">
        <f aca="false">$G1793*'Analyse capacite'!$C$7</f>
        <v>0</v>
      </c>
      <c r="J1793" s="135" t="n">
        <f aca="false">$G1793*'Analyse capacite'!$D$7</f>
        <v>0</v>
      </c>
      <c r="K1793" s="135" t="n">
        <f aca="false">$G1793*'Analyse capacite'!$E$7</f>
        <v>0</v>
      </c>
    </row>
    <row r="1794" customFormat="false" ht="15" hidden="false" customHeight="false" outlineLevel="0" collapsed="false">
      <c r="B1794" s="130" t="n">
        <v>2027</v>
      </c>
      <c r="C1794" s="131" t="s">
        <v>247</v>
      </c>
      <c r="D1794" s="132" t="n">
        <v>46527</v>
      </c>
      <c r="E1794" s="131" t="s">
        <v>53</v>
      </c>
      <c r="F1794" s="133" t="s">
        <v>19</v>
      </c>
      <c r="G1794" s="134" t="n">
        <f aca="false">LEN('Saisie programme'!$G$77)+SUMIFS('Vols additionnels'!$E$7:$E$66,'Vols additionnels'!$C$7:$C$66,$E1794,'Vols additionnels'!$D$7:$D$66,$F1794,'Vols additionnels'!$B$7:$B$66,$D1794)</f>
        <v>1</v>
      </c>
      <c r="H1794" s="135" t="n">
        <f aca="false">$G1794*'Analyse capacite'!$F$8</f>
        <v>262</v>
      </c>
      <c r="I1794" s="135" t="n">
        <f aca="false">$G1794*'Analyse capacite'!$C$8</f>
        <v>18</v>
      </c>
      <c r="J1794" s="135" t="n">
        <f aca="false">$G1794*'Analyse capacite'!$D$8</f>
        <v>0</v>
      </c>
      <c r="K1794" s="135" t="n">
        <f aca="false">$G1794*'Analyse capacite'!$E$8</f>
        <v>244</v>
      </c>
    </row>
    <row r="1795" customFormat="false" ht="15" hidden="false" customHeight="false" outlineLevel="0" collapsed="false">
      <c r="B1795" s="130" t="n">
        <v>2027</v>
      </c>
      <c r="C1795" s="131" t="s">
        <v>247</v>
      </c>
      <c r="D1795" s="132" t="n">
        <v>46527</v>
      </c>
      <c r="E1795" s="131" t="s">
        <v>53</v>
      </c>
      <c r="F1795" s="133" t="s">
        <v>24</v>
      </c>
      <c r="G1795" s="134" t="n">
        <f aca="false">LEN('Saisie programme'!$G$78)+SUMIFS('Vols additionnels'!$E$7:$E$66,'Vols additionnels'!$C$7:$C$66,$E1795,'Vols additionnels'!$D$7:$D$66,$F1795,'Vols additionnels'!$B$7:$B$66,$D1795)</f>
        <v>0</v>
      </c>
      <c r="H1795" s="135" t="n">
        <f aca="false">$G1795*'Analyse capacite'!$F$9</f>
        <v>0</v>
      </c>
      <c r="I1795" s="135" t="n">
        <f aca="false">$G1795*'Analyse capacite'!$C$9</f>
        <v>0</v>
      </c>
      <c r="J1795" s="135" t="n">
        <f aca="false">$G1795*'Analyse capacite'!$D$9</f>
        <v>0</v>
      </c>
      <c r="K1795" s="135" t="n">
        <f aca="false">$G1795*'Analyse capacite'!$E$9</f>
        <v>0</v>
      </c>
    </row>
    <row r="1796" customFormat="false" ht="15" hidden="false" customHeight="false" outlineLevel="0" collapsed="false">
      <c r="B1796" s="130" t="n">
        <v>2027</v>
      </c>
      <c r="C1796" s="131" t="s">
        <v>247</v>
      </c>
      <c r="D1796" s="132" t="n">
        <v>46527</v>
      </c>
      <c r="E1796" s="131" t="s">
        <v>56</v>
      </c>
      <c r="F1796" s="133" t="s">
        <v>11</v>
      </c>
      <c r="G1796" s="134" t="n">
        <f aca="false">LEN('Saisie programme'!$G$79)+SUMIFS('Vols additionnels'!$E$7:$E$66,'Vols additionnels'!$C$7:$C$66,$E1796,'Vols additionnels'!$D$7:$D$66,$F1796,'Vols additionnels'!$B$7:$B$66,$D1796)</f>
        <v>0</v>
      </c>
      <c r="H1796" s="135" t="n">
        <f aca="false">$G1796*'Analyse capacite'!$F$7</f>
        <v>0</v>
      </c>
      <c r="I1796" s="135" t="n">
        <f aca="false">$G1796*'Analyse capacite'!$C$7</f>
        <v>0</v>
      </c>
      <c r="J1796" s="135" t="n">
        <f aca="false">$G1796*'Analyse capacite'!$D$7</f>
        <v>0</v>
      </c>
      <c r="K1796" s="135" t="n">
        <f aca="false">$G1796*'Analyse capacite'!$E$7</f>
        <v>0</v>
      </c>
    </row>
    <row r="1797" customFormat="false" ht="15" hidden="false" customHeight="false" outlineLevel="0" collapsed="false">
      <c r="B1797" s="130" t="n">
        <v>2027</v>
      </c>
      <c r="C1797" s="131" t="s">
        <v>247</v>
      </c>
      <c r="D1797" s="132" t="n">
        <v>46527</v>
      </c>
      <c r="E1797" s="131" t="s">
        <v>56</v>
      </c>
      <c r="F1797" s="133" t="s">
        <v>19</v>
      </c>
      <c r="G1797" s="134" t="n">
        <f aca="false">LEN('Saisie programme'!$G$80)+SUMIFS('Vols additionnels'!$E$7:$E$66,'Vols additionnels'!$C$7:$C$66,$E1797,'Vols additionnels'!$D$7:$D$66,$F1797,'Vols additionnels'!$B$7:$B$66,$D1797)</f>
        <v>0</v>
      </c>
      <c r="H1797" s="135" t="n">
        <f aca="false">$G1797*'Analyse capacite'!$F$8</f>
        <v>0</v>
      </c>
      <c r="I1797" s="135" t="n">
        <f aca="false">$G1797*'Analyse capacite'!$C$8</f>
        <v>0</v>
      </c>
      <c r="J1797" s="135" t="n">
        <f aca="false">$G1797*'Analyse capacite'!$D$8</f>
        <v>0</v>
      </c>
      <c r="K1797" s="135" t="n">
        <f aca="false">$G1797*'Analyse capacite'!$E$8</f>
        <v>0</v>
      </c>
    </row>
    <row r="1798" customFormat="false" ht="15" hidden="false" customHeight="false" outlineLevel="0" collapsed="false">
      <c r="B1798" s="130" t="n">
        <v>2027</v>
      </c>
      <c r="C1798" s="131" t="s">
        <v>247</v>
      </c>
      <c r="D1798" s="132" t="n">
        <v>46527</v>
      </c>
      <c r="E1798" s="131" t="s">
        <v>56</v>
      </c>
      <c r="F1798" s="133" t="s">
        <v>24</v>
      </c>
      <c r="G1798" s="134" t="n">
        <f aca="false">LEN('Saisie programme'!$G$81)+SUMIFS('Vols additionnels'!$E$7:$E$66,'Vols additionnels'!$C$7:$C$66,$E1798,'Vols additionnels'!$D$7:$D$66,$F1798,'Vols additionnels'!$B$7:$B$66,$D1798)</f>
        <v>0</v>
      </c>
      <c r="H1798" s="135" t="n">
        <f aca="false">$G1798*'Analyse capacite'!$F$9</f>
        <v>0</v>
      </c>
      <c r="I1798" s="135" t="n">
        <f aca="false">$G1798*'Analyse capacite'!$C$9</f>
        <v>0</v>
      </c>
      <c r="J1798" s="135" t="n">
        <f aca="false">$G1798*'Analyse capacite'!$D$9</f>
        <v>0</v>
      </c>
      <c r="K1798" s="135" t="n">
        <f aca="false">$G1798*'Analyse capacite'!$E$9</f>
        <v>0</v>
      </c>
    </row>
    <row r="1799" customFormat="false" ht="15" hidden="false" customHeight="false" outlineLevel="0" collapsed="false">
      <c r="B1799" s="130" t="n">
        <v>2027</v>
      </c>
      <c r="C1799" s="131" t="s">
        <v>247</v>
      </c>
      <c r="D1799" s="132" t="n">
        <v>46527</v>
      </c>
      <c r="E1799" s="131" t="s">
        <v>59</v>
      </c>
      <c r="F1799" s="133" t="s">
        <v>11</v>
      </c>
      <c r="G1799" s="134" t="n">
        <f aca="false">LEN('Saisie programme'!$G$82)+SUMIFS('Vols additionnels'!$E$7:$E$66,'Vols additionnels'!$C$7:$C$66,$E1799,'Vols additionnels'!$D$7:$D$66,$F1799,'Vols additionnels'!$B$7:$B$66,$D1799)</f>
        <v>0</v>
      </c>
      <c r="H1799" s="135" t="n">
        <f aca="false">$G1799*'Analyse capacite'!$F$7</f>
        <v>0</v>
      </c>
      <c r="I1799" s="135" t="n">
        <f aca="false">$G1799*'Analyse capacite'!$C$7</f>
        <v>0</v>
      </c>
      <c r="J1799" s="135" t="n">
        <f aca="false">$G1799*'Analyse capacite'!$D$7</f>
        <v>0</v>
      </c>
      <c r="K1799" s="135" t="n">
        <f aca="false">$G1799*'Analyse capacite'!$E$7</f>
        <v>0</v>
      </c>
    </row>
    <row r="1800" customFormat="false" ht="15" hidden="false" customHeight="false" outlineLevel="0" collapsed="false">
      <c r="B1800" s="130" t="n">
        <v>2027</v>
      </c>
      <c r="C1800" s="131" t="s">
        <v>247</v>
      </c>
      <c r="D1800" s="132" t="n">
        <v>46527</v>
      </c>
      <c r="E1800" s="131" t="s">
        <v>59</v>
      </c>
      <c r="F1800" s="133" t="s">
        <v>19</v>
      </c>
      <c r="G1800" s="134" t="n">
        <f aca="false">LEN('Saisie programme'!$G$83)+SUMIFS('Vols additionnels'!$E$7:$E$66,'Vols additionnels'!$C$7:$C$66,$E1800,'Vols additionnels'!$D$7:$D$66,$F1800,'Vols additionnels'!$B$7:$B$66,$D1800)</f>
        <v>0</v>
      </c>
      <c r="H1800" s="135" t="n">
        <f aca="false">$G1800*'Analyse capacite'!$F$8</f>
        <v>0</v>
      </c>
      <c r="I1800" s="135" t="n">
        <f aca="false">$G1800*'Analyse capacite'!$C$8</f>
        <v>0</v>
      </c>
      <c r="J1800" s="135" t="n">
        <f aca="false">$G1800*'Analyse capacite'!$D$8</f>
        <v>0</v>
      </c>
      <c r="K1800" s="135" t="n">
        <f aca="false">$G1800*'Analyse capacite'!$E$8</f>
        <v>0</v>
      </c>
    </row>
    <row r="1801" customFormat="false" ht="15" hidden="false" customHeight="false" outlineLevel="0" collapsed="false">
      <c r="B1801" s="130" t="n">
        <v>2027</v>
      </c>
      <c r="C1801" s="131" t="s">
        <v>247</v>
      </c>
      <c r="D1801" s="132" t="n">
        <v>46527</v>
      </c>
      <c r="E1801" s="131" t="s">
        <v>59</v>
      </c>
      <c r="F1801" s="133" t="s">
        <v>24</v>
      </c>
      <c r="G1801" s="134" t="n">
        <f aca="false">LEN('Saisie programme'!$G$84)+SUMIFS('Vols additionnels'!$E$7:$E$66,'Vols additionnels'!$C$7:$C$66,$E1801,'Vols additionnels'!$D$7:$D$66,$F1801,'Vols additionnels'!$B$7:$B$66,$D1801)</f>
        <v>2</v>
      </c>
      <c r="H1801" s="135" t="n">
        <f aca="false">$G1801*'Analyse capacite'!$F$9</f>
        <v>348</v>
      </c>
      <c r="I1801" s="135" t="n">
        <f aca="false">$G1801*'Analyse capacite'!$C$9</f>
        <v>0</v>
      </c>
      <c r="J1801" s="135" t="n">
        <f aca="false">$G1801*'Analyse capacite'!$D$9</f>
        <v>24</v>
      </c>
      <c r="K1801" s="135" t="n">
        <f aca="false">$G1801*'Analyse capacite'!$E$9</f>
        <v>324</v>
      </c>
    </row>
    <row r="1802" customFormat="false" ht="15" hidden="false" customHeight="false" outlineLevel="0" collapsed="false">
      <c r="B1802" s="130" t="n">
        <v>2027</v>
      </c>
      <c r="C1802" s="131" t="s">
        <v>247</v>
      </c>
      <c r="D1802" s="132" t="n">
        <v>46527</v>
      </c>
      <c r="E1802" s="131" t="s">
        <v>62</v>
      </c>
      <c r="F1802" s="133" t="s">
        <v>11</v>
      </c>
      <c r="G1802" s="134" t="n">
        <f aca="false">LEN('Saisie programme'!$G$85)+SUMIFS('Vols additionnels'!$E$7:$E$66,'Vols additionnels'!$C$7:$C$66,$E1802,'Vols additionnels'!$D$7:$D$66,$F1802,'Vols additionnels'!$B$7:$B$66,$D1802)</f>
        <v>0</v>
      </c>
      <c r="H1802" s="135" t="n">
        <f aca="false">$G1802*'Analyse capacite'!$F$7</f>
        <v>0</v>
      </c>
      <c r="I1802" s="135" t="n">
        <f aca="false">$G1802*'Analyse capacite'!$C$7</f>
        <v>0</v>
      </c>
      <c r="J1802" s="135" t="n">
        <f aca="false">$G1802*'Analyse capacite'!$D$7</f>
        <v>0</v>
      </c>
      <c r="K1802" s="135" t="n">
        <f aca="false">$G1802*'Analyse capacite'!$E$7</f>
        <v>0</v>
      </c>
    </row>
    <row r="1803" customFormat="false" ht="15" hidden="false" customHeight="false" outlineLevel="0" collapsed="false">
      <c r="B1803" s="130" t="n">
        <v>2027</v>
      </c>
      <c r="C1803" s="131" t="s">
        <v>247</v>
      </c>
      <c r="D1803" s="132" t="n">
        <v>46527</v>
      </c>
      <c r="E1803" s="131" t="s">
        <v>62</v>
      </c>
      <c r="F1803" s="133" t="s">
        <v>19</v>
      </c>
      <c r="G1803" s="134" t="n">
        <f aca="false">LEN('Saisie programme'!$G$86)+SUMIFS('Vols additionnels'!$E$7:$E$66,'Vols additionnels'!$C$7:$C$66,$E1803,'Vols additionnels'!$D$7:$D$66,$F1803,'Vols additionnels'!$B$7:$B$66,$D1803)</f>
        <v>0</v>
      </c>
      <c r="H1803" s="135" t="n">
        <f aca="false">$G1803*'Analyse capacite'!$F$8</f>
        <v>0</v>
      </c>
      <c r="I1803" s="135" t="n">
        <f aca="false">$G1803*'Analyse capacite'!$C$8</f>
        <v>0</v>
      </c>
      <c r="J1803" s="135" t="n">
        <f aca="false">$G1803*'Analyse capacite'!$D$8</f>
        <v>0</v>
      </c>
      <c r="K1803" s="135" t="n">
        <f aca="false">$G1803*'Analyse capacite'!$E$8</f>
        <v>0</v>
      </c>
    </row>
    <row r="1804" customFormat="false" ht="15" hidden="false" customHeight="false" outlineLevel="0" collapsed="false">
      <c r="B1804" s="130" t="n">
        <v>2027</v>
      </c>
      <c r="C1804" s="131" t="s">
        <v>247</v>
      </c>
      <c r="D1804" s="132" t="n">
        <v>46527</v>
      </c>
      <c r="E1804" s="131" t="s">
        <v>62</v>
      </c>
      <c r="F1804" s="133" t="s">
        <v>24</v>
      </c>
      <c r="G1804" s="134" t="n">
        <f aca="false">LEN('Saisie programme'!$G$87)+SUMIFS('Vols additionnels'!$E$7:$E$66,'Vols additionnels'!$C$7:$C$66,$E1804,'Vols additionnels'!$D$7:$D$66,$F1804,'Vols additionnels'!$B$7:$B$66,$D1804)</f>
        <v>0</v>
      </c>
      <c r="H1804" s="135" t="n">
        <f aca="false">$G1804*'Analyse capacite'!$F$9</f>
        <v>0</v>
      </c>
      <c r="I1804" s="135" t="n">
        <f aca="false">$G1804*'Analyse capacite'!$C$9</f>
        <v>0</v>
      </c>
      <c r="J1804" s="135" t="n">
        <f aca="false">$G1804*'Analyse capacite'!$D$9</f>
        <v>0</v>
      </c>
      <c r="K1804" s="135" t="n">
        <f aca="false">$G1804*'Analyse capacite'!$E$9</f>
        <v>0</v>
      </c>
    </row>
    <row r="1805" customFormat="false" ht="15" hidden="false" customHeight="false" outlineLevel="0" collapsed="false">
      <c r="B1805" s="130" t="n">
        <v>2027</v>
      </c>
      <c r="C1805" s="131" t="s">
        <v>247</v>
      </c>
      <c r="D1805" s="132" t="n">
        <v>46528</v>
      </c>
      <c r="E1805" s="131" t="s">
        <v>12</v>
      </c>
      <c r="F1805" s="133" t="s">
        <v>11</v>
      </c>
      <c r="G1805" s="134" t="n">
        <f aca="false">LEN('Saisie programme'!$H$52)+SUMIFS('Vols additionnels'!$E$7:$E$66,'Vols additionnels'!$C$7:$C$66,$E1805,'Vols additionnels'!$D$7:$D$66,$F1805,'Vols additionnels'!$B$7:$B$66,$D1805)</f>
        <v>1</v>
      </c>
      <c r="H1805" s="135" t="n">
        <f aca="false">$G1805*'Analyse capacite'!$F$7</f>
        <v>438</v>
      </c>
      <c r="I1805" s="135" t="n">
        <f aca="false">$G1805*'Analyse capacite'!$C$7</f>
        <v>14</v>
      </c>
      <c r="J1805" s="135" t="n">
        <f aca="false">$G1805*'Analyse capacite'!$D$7</f>
        <v>40</v>
      </c>
      <c r="K1805" s="135" t="n">
        <f aca="false">$G1805*'Analyse capacite'!$E$7</f>
        <v>384</v>
      </c>
    </row>
    <row r="1806" customFormat="false" ht="15" hidden="false" customHeight="false" outlineLevel="0" collapsed="false">
      <c r="B1806" s="130" t="n">
        <v>2027</v>
      </c>
      <c r="C1806" s="131" t="s">
        <v>247</v>
      </c>
      <c r="D1806" s="132" t="n">
        <v>46528</v>
      </c>
      <c r="E1806" s="131" t="s">
        <v>12</v>
      </c>
      <c r="F1806" s="133" t="s">
        <v>19</v>
      </c>
      <c r="G1806" s="134" t="n">
        <f aca="false">LEN('Saisie programme'!$H$53)+SUMIFS('Vols additionnels'!$E$7:$E$66,'Vols additionnels'!$C$7:$C$66,$E1806,'Vols additionnels'!$D$7:$D$66,$F1806,'Vols additionnels'!$B$7:$B$66,$D1806)</f>
        <v>1</v>
      </c>
      <c r="H1806" s="135" t="n">
        <f aca="false">$G1806*'Analyse capacite'!$F$8</f>
        <v>262</v>
      </c>
      <c r="I1806" s="135" t="n">
        <f aca="false">$G1806*'Analyse capacite'!$C$8</f>
        <v>18</v>
      </c>
      <c r="J1806" s="135" t="n">
        <f aca="false">$G1806*'Analyse capacite'!$D$8</f>
        <v>0</v>
      </c>
      <c r="K1806" s="135" t="n">
        <f aca="false">$G1806*'Analyse capacite'!$E$8</f>
        <v>244</v>
      </c>
    </row>
    <row r="1807" customFormat="false" ht="15" hidden="false" customHeight="false" outlineLevel="0" collapsed="false">
      <c r="B1807" s="130" t="n">
        <v>2027</v>
      </c>
      <c r="C1807" s="131" t="s">
        <v>247</v>
      </c>
      <c r="D1807" s="132" t="n">
        <v>46528</v>
      </c>
      <c r="E1807" s="131" t="s">
        <v>12</v>
      </c>
      <c r="F1807" s="133" t="s">
        <v>24</v>
      </c>
      <c r="G1807" s="134" t="n">
        <f aca="false">LEN('Saisie programme'!$H$54)+SUMIFS('Vols additionnels'!$E$7:$E$66,'Vols additionnels'!$C$7:$C$66,$E1807,'Vols additionnels'!$D$7:$D$66,$F1807,'Vols additionnels'!$B$7:$B$66,$D1807)</f>
        <v>0</v>
      </c>
      <c r="H1807" s="135" t="n">
        <f aca="false">$G1807*'Analyse capacite'!$F$9</f>
        <v>0</v>
      </c>
      <c r="I1807" s="135" t="n">
        <f aca="false">$G1807*'Analyse capacite'!$C$9</f>
        <v>0</v>
      </c>
      <c r="J1807" s="135" t="n">
        <f aca="false">$G1807*'Analyse capacite'!$D$9</f>
        <v>0</v>
      </c>
      <c r="K1807" s="135" t="n">
        <f aca="false">$G1807*'Analyse capacite'!$E$9</f>
        <v>0</v>
      </c>
    </row>
    <row r="1808" customFormat="false" ht="15" hidden="false" customHeight="false" outlineLevel="0" collapsed="false">
      <c r="B1808" s="130" t="n">
        <v>2027</v>
      </c>
      <c r="C1808" s="131" t="s">
        <v>247</v>
      </c>
      <c r="D1808" s="132" t="n">
        <v>46528</v>
      </c>
      <c r="E1808" s="131" t="s">
        <v>20</v>
      </c>
      <c r="F1808" s="133" t="s">
        <v>11</v>
      </c>
      <c r="G1808" s="134" t="n">
        <f aca="false">LEN('Saisie programme'!$H$55)+SUMIFS('Vols additionnels'!$E$7:$E$66,'Vols additionnels'!$C$7:$C$66,$E1808,'Vols additionnels'!$D$7:$D$66,$F1808,'Vols additionnels'!$B$7:$B$66,$D1808)</f>
        <v>0</v>
      </c>
      <c r="H1808" s="135" t="n">
        <f aca="false">$G1808*'Analyse capacite'!$F$7</f>
        <v>0</v>
      </c>
      <c r="I1808" s="135" t="n">
        <f aca="false">$G1808*'Analyse capacite'!$C$7</f>
        <v>0</v>
      </c>
      <c r="J1808" s="135" t="n">
        <f aca="false">$G1808*'Analyse capacite'!$D$7</f>
        <v>0</v>
      </c>
      <c r="K1808" s="135" t="n">
        <f aca="false">$G1808*'Analyse capacite'!$E$7</f>
        <v>0</v>
      </c>
    </row>
    <row r="1809" customFormat="false" ht="15" hidden="false" customHeight="false" outlineLevel="0" collapsed="false">
      <c r="B1809" s="130" t="n">
        <v>2027</v>
      </c>
      <c r="C1809" s="131" t="s">
        <v>247</v>
      </c>
      <c r="D1809" s="132" t="n">
        <v>46528</v>
      </c>
      <c r="E1809" s="131" t="s">
        <v>20</v>
      </c>
      <c r="F1809" s="133" t="s">
        <v>19</v>
      </c>
      <c r="G1809" s="134" t="n">
        <f aca="false">LEN('Saisie programme'!$H$56)+SUMIFS('Vols additionnels'!$E$7:$E$66,'Vols additionnels'!$C$7:$C$66,$E1809,'Vols additionnels'!$D$7:$D$66,$F1809,'Vols additionnels'!$B$7:$B$66,$D1809)</f>
        <v>1</v>
      </c>
      <c r="H1809" s="135" t="n">
        <f aca="false">$G1809*'Analyse capacite'!$F$8</f>
        <v>262</v>
      </c>
      <c r="I1809" s="135" t="n">
        <f aca="false">$G1809*'Analyse capacite'!$C$8</f>
        <v>18</v>
      </c>
      <c r="J1809" s="135" t="n">
        <f aca="false">$G1809*'Analyse capacite'!$D$8</f>
        <v>0</v>
      </c>
      <c r="K1809" s="135" t="n">
        <f aca="false">$G1809*'Analyse capacite'!$E$8</f>
        <v>244</v>
      </c>
    </row>
    <row r="1810" customFormat="false" ht="15" hidden="false" customHeight="false" outlineLevel="0" collapsed="false">
      <c r="B1810" s="130" t="n">
        <v>2027</v>
      </c>
      <c r="C1810" s="131" t="s">
        <v>247</v>
      </c>
      <c r="D1810" s="132" t="n">
        <v>46528</v>
      </c>
      <c r="E1810" s="131" t="s">
        <v>20</v>
      </c>
      <c r="F1810" s="133" t="s">
        <v>24</v>
      </c>
      <c r="G1810" s="134" t="n">
        <f aca="false">LEN('Saisie programme'!$H$57)+SUMIFS('Vols additionnels'!$E$7:$E$66,'Vols additionnels'!$C$7:$C$66,$E1810,'Vols additionnels'!$D$7:$D$66,$F1810,'Vols additionnels'!$B$7:$B$66,$D1810)</f>
        <v>0</v>
      </c>
      <c r="H1810" s="135" t="n">
        <f aca="false">$G1810*'Analyse capacite'!$F$9</f>
        <v>0</v>
      </c>
      <c r="I1810" s="135" t="n">
        <f aca="false">$G1810*'Analyse capacite'!$C$9</f>
        <v>0</v>
      </c>
      <c r="J1810" s="135" t="n">
        <f aca="false">$G1810*'Analyse capacite'!$D$9</f>
        <v>0</v>
      </c>
      <c r="K1810" s="135" t="n">
        <f aca="false">$G1810*'Analyse capacite'!$E$9</f>
        <v>0</v>
      </c>
    </row>
    <row r="1811" customFormat="false" ht="15" hidden="false" customHeight="false" outlineLevel="0" collapsed="false">
      <c r="B1811" s="130" t="n">
        <v>2027</v>
      </c>
      <c r="C1811" s="131" t="s">
        <v>247</v>
      </c>
      <c r="D1811" s="132" t="n">
        <v>46528</v>
      </c>
      <c r="E1811" s="131" t="s">
        <v>25</v>
      </c>
      <c r="F1811" s="133" t="s">
        <v>11</v>
      </c>
      <c r="G1811" s="134" t="n">
        <f aca="false">LEN('Saisie programme'!$H$58)+SUMIFS('Vols additionnels'!$E$7:$E$66,'Vols additionnels'!$C$7:$C$66,$E1811,'Vols additionnels'!$D$7:$D$66,$F1811,'Vols additionnels'!$B$7:$B$66,$D1811)</f>
        <v>0</v>
      </c>
      <c r="H1811" s="135" t="n">
        <f aca="false">$G1811*'Analyse capacite'!$F$7</f>
        <v>0</v>
      </c>
      <c r="I1811" s="135" t="n">
        <f aca="false">$G1811*'Analyse capacite'!$C$7</f>
        <v>0</v>
      </c>
      <c r="J1811" s="135" t="n">
        <f aca="false">$G1811*'Analyse capacite'!$D$7</f>
        <v>0</v>
      </c>
      <c r="K1811" s="135" t="n">
        <f aca="false">$G1811*'Analyse capacite'!$E$7</f>
        <v>0</v>
      </c>
    </row>
    <row r="1812" customFormat="false" ht="15" hidden="false" customHeight="false" outlineLevel="0" collapsed="false">
      <c r="B1812" s="130" t="n">
        <v>2027</v>
      </c>
      <c r="C1812" s="131" t="s">
        <v>247</v>
      </c>
      <c r="D1812" s="132" t="n">
        <v>46528</v>
      </c>
      <c r="E1812" s="131" t="s">
        <v>25</v>
      </c>
      <c r="F1812" s="133" t="s">
        <v>19</v>
      </c>
      <c r="G1812" s="134" t="n">
        <f aca="false">LEN('Saisie programme'!$H$59)+SUMIFS('Vols additionnels'!$E$7:$E$66,'Vols additionnels'!$C$7:$C$66,$E1812,'Vols additionnels'!$D$7:$D$66,$F1812,'Vols additionnels'!$B$7:$B$66,$D1812)</f>
        <v>0</v>
      </c>
      <c r="H1812" s="135" t="n">
        <f aca="false">$G1812*'Analyse capacite'!$F$8</f>
        <v>0</v>
      </c>
      <c r="I1812" s="135" t="n">
        <f aca="false">$G1812*'Analyse capacite'!$C$8</f>
        <v>0</v>
      </c>
      <c r="J1812" s="135" t="n">
        <f aca="false">$G1812*'Analyse capacite'!$D$8</f>
        <v>0</v>
      </c>
      <c r="K1812" s="135" t="n">
        <f aca="false">$G1812*'Analyse capacite'!$E$8</f>
        <v>0</v>
      </c>
    </row>
    <row r="1813" customFormat="false" ht="15" hidden="false" customHeight="false" outlineLevel="0" collapsed="false">
      <c r="B1813" s="130" t="n">
        <v>2027</v>
      </c>
      <c r="C1813" s="131" t="s">
        <v>247</v>
      </c>
      <c r="D1813" s="132" t="n">
        <v>46528</v>
      </c>
      <c r="E1813" s="131" t="s">
        <v>25</v>
      </c>
      <c r="F1813" s="133" t="s">
        <v>24</v>
      </c>
      <c r="G1813" s="134" t="n">
        <f aca="false">LEN('Saisie programme'!$H$60)+SUMIFS('Vols additionnels'!$E$7:$E$66,'Vols additionnels'!$C$7:$C$66,$E1813,'Vols additionnels'!$D$7:$D$66,$F1813,'Vols additionnels'!$B$7:$B$66,$D1813)</f>
        <v>0</v>
      </c>
      <c r="H1813" s="135" t="n">
        <f aca="false">$G1813*'Analyse capacite'!$F$9</f>
        <v>0</v>
      </c>
      <c r="I1813" s="135" t="n">
        <f aca="false">$G1813*'Analyse capacite'!$C$9</f>
        <v>0</v>
      </c>
      <c r="J1813" s="135" t="n">
        <f aca="false">$G1813*'Analyse capacite'!$D$9</f>
        <v>0</v>
      </c>
      <c r="K1813" s="135" t="n">
        <f aca="false">$G1813*'Analyse capacite'!$E$9</f>
        <v>0</v>
      </c>
    </row>
    <row r="1814" customFormat="false" ht="15" hidden="false" customHeight="false" outlineLevel="0" collapsed="false">
      <c r="B1814" s="130" t="n">
        <v>2027</v>
      </c>
      <c r="C1814" s="131" t="s">
        <v>247</v>
      </c>
      <c r="D1814" s="132" t="n">
        <v>46528</v>
      </c>
      <c r="E1814" s="131" t="s">
        <v>36</v>
      </c>
      <c r="F1814" s="133" t="s">
        <v>11</v>
      </c>
      <c r="G1814" s="134" t="n">
        <f aca="false">LEN('Saisie programme'!$H$61)+SUMIFS('Vols additionnels'!$E$7:$E$66,'Vols additionnels'!$C$7:$C$66,$E1814,'Vols additionnels'!$D$7:$D$66,$F1814,'Vols additionnels'!$B$7:$B$66,$D1814)</f>
        <v>0</v>
      </c>
      <c r="H1814" s="135" t="n">
        <f aca="false">$G1814*'Analyse capacite'!$F$7</f>
        <v>0</v>
      </c>
      <c r="I1814" s="135" t="n">
        <f aca="false">$G1814*'Analyse capacite'!$C$7</f>
        <v>0</v>
      </c>
      <c r="J1814" s="135" t="n">
        <f aca="false">$G1814*'Analyse capacite'!$D$7</f>
        <v>0</v>
      </c>
      <c r="K1814" s="135" t="n">
        <f aca="false">$G1814*'Analyse capacite'!$E$7</f>
        <v>0</v>
      </c>
    </row>
    <row r="1815" customFormat="false" ht="15" hidden="false" customHeight="false" outlineLevel="0" collapsed="false">
      <c r="B1815" s="130" t="n">
        <v>2027</v>
      </c>
      <c r="C1815" s="131" t="s">
        <v>247</v>
      </c>
      <c r="D1815" s="132" t="n">
        <v>46528</v>
      </c>
      <c r="E1815" s="131" t="s">
        <v>36</v>
      </c>
      <c r="F1815" s="133" t="s">
        <v>19</v>
      </c>
      <c r="G1815" s="134" t="n">
        <f aca="false">LEN('Saisie programme'!$H$62)+SUMIFS('Vols additionnels'!$E$7:$E$66,'Vols additionnels'!$C$7:$C$66,$E1815,'Vols additionnels'!$D$7:$D$66,$F1815,'Vols additionnels'!$B$7:$B$66,$D1815)</f>
        <v>0</v>
      </c>
      <c r="H1815" s="135" t="n">
        <f aca="false">$G1815*'Analyse capacite'!$F$8</f>
        <v>0</v>
      </c>
      <c r="I1815" s="135" t="n">
        <f aca="false">$G1815*'Analyse capacite'!$C$8</f>
        <v>0</v>
      </c>
      <c r="J1815" s="135" t="n">
        <f aca="false">$G1815*'Analyse capacite'!$D$8</f>
        <v>0</v>
      </c>
      <c r="K1815" s="135" t="n">
        <f aca="false">$G1815*'Analyse capacite'!$E$8</f>
        <v>0</v>
      </c>
    </row>
    <row r="1816" customFormat="false" ht="15" hidden="false" customHeight="false" outlineLevel="0" collapsed="false">
      <c r="B1816" s="130" t="n">
        <v>2027</v>
      </c>
      <c r="C1816" s="131" t="s">
        <v>247</v>
      </c>
      <c r="D1816" s="132" t="n">
        <v>46528</v>
      </c>
      <c r="E1816" s="131" t="s">
        <v>36</v>
      </c>
      <c r="F1816" s="133" t="s">
        <v>24</v>
      </c>
      <c r="G1816" s="134" t="n">
        <f aca="false">LEN('Saisie programme'!$H$63)+SUMIFS('Vols additionnels'!$E$7:$E$66,'Vols additionnels'!$C$7:$C$66,$E1816,'Vols additionnels'!$D$7:$D$66,$F1816,'Vols additionnels'!$B$7:$B$66,$D1816)</f>
        <v>1</v>
      </c>
      <c r="H1816" s="135" t="n">
        <f aca="false">$G1816*'Analyse capacite'!$F$9</f>
        <v>174</v>
      </c>
      <c r="I1816" s="135" t="n">
        <f aca="false">$G1816*'Analyse capacite'!$C$9</f>
        <v>0</v>
      </c>
      <c r="J1816" s="135" t="n">
        <f aca="false">$G1816*'Analyse capacite'!$D$9</f>
        <v>12</v>
      </c>
      <c r="K1816" s="135" t="n">
        <f aca="false">$G1816*'Analyse capacite'!$E$9</f>
        <v>162</v>
      </c>
    </row>
    <row r="1817" customFormat="false" ht="15" hidden="false" customHeight="false" outlineLevel="0" collapsed="false">
      <c r="B1817" s="130" t="n">
        <v>2027</v>
      </c>
      <c r="C1817" s="131" t="s">
        <v>247</v>
      </c>
      <c r="D1817" s="132" t="n">
        <v>46528</v>
      </c>
      <c r="E1817" s="131" t="s">
        <v>40</v>
      </c>
      <c r="F1817" s="133" t="s">
        <v>11</v>
      </c>
      <c r="G1817" s="134" t="n">
        <f aca="false">LEN('Saisie programme'!$H$64)+SUMIFS('Vols additionnels'!$E$7:$E$66,'Vols additionnels'!$C$7:$C$66,$E1817,'Vols additionnels'!$D$7:$D$66,$F1817,'Vols additionnels'!$B$7:$B$66,$D1817)</f>
        <v>0</v>
      </c>
      <c r="H1817" s="135" t="n">
        <f aca="false">$G1817*'Analyse capacite'!$F$7</f>
        <v>0</v>
      </c>
      <c r="I1817" s="135" t="n">
        <f aca="false">$G1817*'Analyse capacite'!$C$7</f>
        <v>0</v>
      </c>
      <c r="J1817" s="135" t="n">
        <f aca="false">$G1817*'Analyse capacite'!$D$7</f>
        <v>0</v>
      </c>
      <c r="K1817" s="135" t="n">
        <f aca="false">$G1817*'Analyse capacite'!$E$7</f>
        <v>0</v>
      </c>
    </row>
    <row r="1818" customFormat="false" ht="15" hidden="false" customHeight="false" outlineLevel="0" collapsed="false">
      <c r="B1818" s="130" t="n">
        <v>2027</v>
      </c>
      <c r="C1818" s="131" t="s">
        <v>247</v>
      </c>
      <c r="D1818" s="132" t="n">
        <v>46528</v>
      </c>
      <c r="E1818" s="131" t="s">
        <v>40</v>
      </c>
      <c r="F1818" s="133" t="s">
        <v>19</v>
      </c>
      <c r="G1818" s="134" t="n">
        <f aca="false">LEN('Saisie programme'!$H$65)+SUMIFS('Vols additionnels'!$E$7:$E$66,'Vols additionnels'!$C$7:$C$66,$E1818,'Vols additionnels'!$D$7:$D$66,$F1818,'Vols additionnels'!$B$7:$B$66,$D1818)</f>
        <v>0</v>
      </c>
      <c r="H1818" s="135" t="n">
        <f aca="false">$G1818*'Analyse capacite'!$F$8</f>
        <v>0</v>
      </c>
      <c r="I1818" s="135" t="n">
        <f aca="false">$G1818*'Analyse capacite'!$C$8</f>
        <v>0</v>
      </c>
      <c r="J1818" s="135" t="n">
        <f aca="false">$G1818*'Analyse capacite'!$D$8</f>
        <v>0</v>
      </c>
      <c r="K1818" s="135" t="n">
        <f aca="false">$G1818*'Analyse capacite'!$E$8</f>
        <v>0</v>
      </c>
    </row>
    <row r="1819" customFormat="false" ht="15" hidden="false" customHeight="false" outlineLevel="0" collapsed="false">
      <c r="B1819" s="130" t="n">
        <v>2027</v>
      </c>
      <c r="C1819" s="131" t="s">
        <v>247</v>
      </c>
      <c r="D1819" s="132" t="n">
        <v>46528</v>
      </c>
      <c r="E1819" s="131" t="s">
        <v>40</v>
      </c>
      <c r="F1819" s="133" t="s">
        <v>24</v>
      </c>
      <c r="G1819" s="134" t="n">
        <f aca="false">LEN('Saisie programme'!$H$66)+SUMIFS('Vols additionnels'!$E$7:$E$66,'Vols additionnels'!$C$7:$C$66,$E1819,'Vols additionnels'!$D$7:$D$66,$F1819,'Vols additionnels'!$B$7:$B$66,$D1819)</f>
        <v>1</v>
      </c>
      <c r="H1819" s="135" t="n">
        <f aca="false">$G1819*'Analyse capacite'!$F$9</f>
        <v>174</v>
      </c>
      <c r="I1819" s="135" t="n">
        <f aca="false">$G1819*'Analyse capacite'!$C$9</f>
        <v>0</v>
      </c>
      <c r="J1819" s="135" t="n">
        <f aca="false">$G1819*'Analyse capacite'!$D$9</f>
        <v>12</v>
      </c>
      <c r="K1819" s="135" t="n">
        <f aca="false">$G1819*'Analyse capacite'!$E$9</f>
        <v>162</v>
      </c>
    </row>
    <row r="1820" customFormat="false" ht="15" hidden="false" customHeight="false" outlineLevel="0" collapsed="false">
      <c r="B1820" s="130" t="n">
        <v>2027</v>
      </c>
      <c r="C1820" s="131" t="s">
        <v>247</v>
      </c>
      <c r="D1820" s="132" t="n">
        <v>46528</v>
      </c>
      <c r="E1820" s="131" t="s">
        <v>14</v>
      </c>
      <c r="F1820" s="133" t="s">
        <v>11</v>
      </c>
      <c r="G1820" s="134" t="n">
        <f aca="false">LEN('Saisie programme'!$H$67)+SUMIFS('Vols additionnels'!$E$7:$E$66,'Vols additionnels'!$C$7:$C$66,$E1820,'Vols additionnels'!$D$7:$D$66,$F1820,'Vols additionnels'!$B$7:$B$66,$D1820)</f>
        <v>0</v>
      </c>
      <c r="H1820" s="135" t="n">
        <f aca="false">$G1820*'Analyse capacite'!$F$7</f>
        <v>0</v>
      </c>
      <c r="I1820" s="135" t="n">
        <f aca="false">$G1820*'Analyse capacite'!$C$7</f>
        <v>0</v>
      </c>
      <c r="J1820" s="135" t="n">
        <f aca="false">$G1820*'Analyse capacite'!$D$7</f>
        <v>0</v>
      </c>
      <c r="K1820" s="135" t="n">
        <f aca="false">$G1820*'Analyse capacite'!$E$7</f>
        <v>0</v>
      </c>
    </row>
    <row r="1821" customFormat="false" ht="15" hidden="false" customHeight="false" outlineLevel="0" collapsed="false">
      <c r="B1821" s="130" t="n">
        <v>2027</v>
      </c>
      <c r="C1821" s="131" t="s">
        <v>247</v>
      </c>
      <c r="D1821" s="132" t="n">
        <v>46528</v>
      </c>
      <c r="E1821" s="131" t="s">
        <v>14</v>
      </c>
      <c r="F1821" s="133" t="s">
        <v>19</v>
      </c>
      <c r="G1821" s="134" t="n">
        <f aca="false">LEN('Saisie programme'!$H$68)+SUMIFS('Vols additionnels'!$E$7:$E$66,'Vols additionnels'!$C$7:$C$66,$E1821,'Vols additionnels'!$D$7:$D$66,$F1821,'Vols additionnels'!$B$7:$B$66,$D1821)</f>
        <v>0</v>
      </c>
      <c r="H1821" s="135" t="n">
        <f aca="false">$G1821*'Analyse capacite'!$F$8</f>
        <v>0</v>
      </c>
      <c r="I1821" s="135" t="n">
        <f aca="false">$G1821*'Analyse capacite'!$C$8</f>
        <v>0</v>
      </c>
      <c r="J1821" s="135" t="n">
        <f aca="false">$G1821*'Analyse capacite'!$D$8</f>
        <v>0</v>
      </c>
      <c r="K1821" s="135" t="n">
        <f aca="false">$G1821*'Analyse capacite'!$E$8</f>
        <v>0</v>
      </c>
    </row>
    <row r="1822" customFormat="false" ht="15" hidden="false" customHeight="false" outlineLevel="0" collapsed="false">
      <c r="B1822" s="130" t="n">
        <v>2027</v>
      </c>
      <c r="C1822" s="131" t="s">
        <v>247</v>
      </c>
      <c r="D1822" s="132" t="n">
        <v>46528</v>
      </c>
      <c r="E1822" s="131" t="s">
        <v>14</v>
      </c>
      <c r="F1822" s="133" t="s">
        <v>24</v>
      </c>
      <c r="G1822" s="134" t="n">
        <f aca="false">LEN('Saisie programme'!$H$69)+SUMIFS('Vols additionnels'!$E$7:$E$66,'Vols additionnels'!$C$7:$C$66,$E1822,'Vols additionnels'!$D$7:$D$66,$F1822,'Vols additionnels'!$B$7:$B$66,$D1822)</f>
        <v>0</v>
      </c>
      <c r="H1822" s="135" t="n">
        <f aca="false">$G1822*'Analyse capacite'!$F$9</f>
        <v>0</v>
      </c>
      <c r="I1822" s="135" t="n">
        <f aca="false">$G1822*'Analyse capacite'!$C$9</f>
        <v>0</v>
      </c>
      <c r="J1822" s="135" t="n">
        <f aca="false">$G1822*'Analyse capacite'!$D$9</f>
        <v>0</v>
      </c>
      <c r="K1822" s="135" t="n">
        <f aca="false">$G1822*'Analyse capacite'!$E$9</f>
        <v>0</v>
      </c>
    </row>
    <row r="1823" customFormat="false" ht="15" hidden="false" customHeight="false" outlineLevel="0" collapsed="false">
      <c r="B1823" s="130" t="n">
        <v>2027</v>
      </c>
      <c r="C1823" s="131" t="s">
        <v>247</v>
      </c>
      <c r="D1823" s="132" t="n">
        <v>46528</v>
      </c>
      <c r="E1823" s="131" t="s">
        <v>46</v>
      </c>
      <c r="F1823" s="133" t="s">
        <v>11</v>
      </c>
      <c r="G1823" s="134" t="n">
        <f aca="false">LEN('Saisie programme'!$H$70)+SUMIFS('Vols additionnels'!$E$7:$E$66,'Vols additionnels'!$C$7:$C$66,$E1823,'Vols additionnels'!$D$7:$D$66,$F1823,'Vols additionnels'!$B$7:$B$66,$D1823)</f>
        <v>0</v>
      </c>
      <c r="H1823" s="135" t="n">
        <f aca="false">$G1823*'Analyse capacite'!$F$7</f>
        <v>0</v>
      </c>
      <c r="I1823" s="135" t="n">
        <f aca="false">$G1823*'Analyse capacite'!$C$7</f>
        <v>0</v>
      </c>
      <c r="J1823" s="135" t="n">
        <f aca="false">$G1823*'Analyse capacite'!$D$7</f>
        <v>0</v>
      </c>
      <c r="K1823" s="135" t="n">
        <f aca="false">$G1823*'Analyse capacite'!$E$7</f>
        <v>0</v>
      </c>
    </row>
    <row r="1824" customFormat="false" ht="15" hidden="false" customHeight="false" outlineLevel="0" collapsed="false">
      <c r="B1824" s="130" t="n">
        <v>2027</v>
      </c>
      <c r="C1824" s="131" t="s">
        <v>247</v>
      </c>
      <c r="D1824" s="132" t="n">
        <v>46528</v>
      </c>
      <c r="E1824" s="131" t="s">
        <v>46</v>
      </c>
      <c r="F1824" s="133" t="s">
        <v>19</v>
      </c>
      <c r="G1824" s="134" t="n">
        <f aca="false">LEN('Saisie programme'!$H$71)+SUMIFS('Vols additionnels'!$E$7:$E$66,'Vols additionnels'!$C$7:$C$66,$E1824,'Vols additionnels'!$D$7:$D$66,$F1824,'Vols additionnels'!$B$7:$B$66,$D1824)</f>
        <v>0</v>
      </c>
      <c r="H1824" s="135" t="n">
        <f aca="false">$G1824*'Analyse capacite'!$F$8</f>
        <v>0</v>
      </c>
      <c r="I1824" s="135" t="n">
        <f aca="false">$G1824*'Analyse capacite'!$C$8</f>
        <v>0</v>
      </c>
      <c r="J1824" s="135" t="n">
        <f aca="false">$G1824*'Analyse capacite'!$D$8</f>
        <v>0</v>
      </c>
      <c r="K1824" s="135" t="n">
        <f aca="false">$G1824*'Analyse capacite'!$E$8</f>
        <v>0</v>
      </c>
    </row>
    <row r="1825" customFormat="false" ht="15" hidden="false" customHeight="false" outlineLevel="0" collapsed="false">
      <c r="B1825" s="130" t="n">
        <v>2027</v>
      </c>
      <c r="C1825" s="131" t="s">
        <v>247</v>
      </c>
      <c r="D1825" s="132" t="n">
        <v>46528</v>
      </c>
      <c r="E1825" s="131" t="s">
        <v>46</v>
      </c>
      <c r="F1825" s="133" t="s">
        <v>24</v>
      </c>
      <c r="G1825" s="134" t="n">
        <f aca="false">LEN('Saisie programme'!$H$72)+SUMIFS('Vols additionnels'!$E$7:$E$66,'Vols additionnels'!$C$7:$C$66,$E1825,'Vols additionnels'!$D$7:$D$66,$F1825,'Vols additionnels'!$B$7:$B$66,$D1825)</f>
        <v>0</v>
      </c>
      <c r="H1825" s="135" t="n">
        <f aca="false">$G1825*'Analyse capacite'!$F$9</f>
        <v>0</v>
      </c>
      <c r="I1825" s="135" t="n">
        <f aca="false">$G1825*'Analyse capacite'!$C$9</f>
        <v>0</v>
      </c>
      <c r="J1825" s="135" t="n">
        <f aca="false">$G1825*'Analyse capacite'!$D$9</f>
        <v>0</v>
      </c>
      <c r="K1825" s="135" t="n">
        <f aca="false">$G1825*'Analyse capacite'!$E$9</f>
        <v>0</v>
      </c>
    </row>
    <row r="1826" customFormat="false" ht="15" hidden="false" customHeight="false" outlineLevel="0" collapsed="false">
      <c r="B1826" s="130" t="n">
        <v>2027</v>
      </c>
      <c r="C1826" s="131" t="s">
        <v>247</v>
      </c>
      <c r="D1826" s="132" t="n">
        <v>46528</v>
      </c>
      <c r="E1826" s="131" t="s">
        <v>49</v>
      </c>
      <c r="F1826" s="133" t="s">
        <v>11</v>
      </c>
      <c r="G1826" s="134" t="n">
        <f aca="false">LEN('Saisie programme'!$H$73)+SUMIFS('Vols additionnels'!$E$7:$E$66,'Vols additionnels'!$C$7:$C$66,$E1826,'Vols additionnels'!$D$7:$D$66,$F1826,'Vols additionnels'!$B$7:$B$66,$D1826)</f>
        <v>0</v>
      </c>
      <c r="H1826" s="135" t="n">
        <f aca="false">$G1826*'Analyse capacite'!$F$7</f>
        <v>0</v>
      </c>
      <c r="I1826" s="135" t="n">
        <f aca="false">$G1826*'Analyse capacite'!$C$7</f>
        <v>0</v>
      </c>
      <c r="J1826" s="135" t="n">
        <f aca="false">$G1826*'Analyse capacite'!$D$7</f>
        <v>0</v>
      </c>
      <c r="K1826" s="135" t="n">
        <f aca="false">$G1826*'Analyse capacite'!$E$7</f>
        <v>0</v>
      </c>
    </row>
    <row r="1827" customFormat="false" ht="15" hidden="false" customHeight="false" outlineLevel="0" collapsed="false">
      <c r="B1827" s="130" t="n">
        <v>2027</v>
      </c>
      <c r="C1827" s="131" t="s">
        <v>247</v>
      </c>
      <c r="D1827" s="132" t="n">
        <v>46528</v>
      </c>
      <c r="E1827" s="131" t="s">
        <v>49</v>
      </c>
      <c r="F1827" s="133" t="s">
        <v>19</v>
      </c>
      <c r="G1827" s="134" t="n">
        <f aca="false">LEN('Saisie programme'!$H$74)+SUMIFS('Vols additionnels'!$E$7:$E$66,'Vols additionnels'!$C$7:$C$66,$E1827,'Vols additionnels'!$D$7:$D$66,$F1827,'Vols additionnels'!$B$7:$B$66,$D1827)</f>
        <v>1</v>
      </c>
      <c r="H1827" s="135" t="n">
        <f aca="false">$G1827*'Analyse capacite'!$F$8</f>
        <v>262</v>
      </c>
      <c r="I1827" s="135" t="n">
        <f aca="false">$G1827*'Analyse capacite'!$C$8</f>
        <v>18</v>
      </c>
      <c r="J1827" s="135" t="n">
        <f aca="false">$G1827*'Analyse capacite'!$D$8</f>
        <v>0</v>
      </c>
      <c r="K1827" s="135" t="n">
        <f aca="false">$G1827*'Analyse capacite'!$E$8</f>
        <v>244</v>
      </c>
    </row>
    <row r="1828" customFormat="false" ht="15" hidden="false" customHeight="false" outlineLevel="0" collapsed="false">
      <c r="B1828" s="130" t="n">
        <v>2027</v>
      </c>
      <c r="C1828" s="131" t="s">
        <v>247</v>
      </c>
      <c r="D1828" s="132" t="n">
        <v>46528</v>
      </c>
      <c r="E1828" s="131" t="s">
        <v>49</v>
      </c>
      <c r="F1828" s="133" t="s">
        <v>24</v>
      </c>
      <c r="G1828" s="134" t="n">
        <f aca="false">LEN('Saisie programme'!$H$75)+SUMIFS('Vols additionnels'!$E$7:$E$66,'Vols additionnels'!$C$7:$C$66,$E1828,'Vols additionnels'!$D$7:$D$66,$F1828,'Vols additionnels'!$B$7:$B$66,$D1828)</f>
        <v>0</v>
      </c>
      <c r="H1828" s="135" t="n">
        <f aca="false">$G1828*'Analyse capacite'!$F$9</f>
        <v>0</v>
      </c>
      <c r="I1828" s="135" t="n">
        <f aca="false">$G1828*'Analyse capacite'!$C$9</f>
        <v>0</v>
      </c>
      <c r="J1828" s="135" t="n">
        <f aca="false">$G1828*'Analyse capacite'!$D$9</f>
        <v>0</v>
      </c>
      <c r="K1828" s="135" t="n">
        <f aca="false">$G1828*'Analyse capacite'!$E$9</f>
        <v>0</v>
      </c>
    </row>
    <row r="1829" customFormat="false" ht="15" hidden="false" customHeight="false" outlineLevel="0" collapsed="false">
      <c r="B1829" s="130" t="n">
        <v>2027</v>
      </c>
      <c r="C1829" s="131" t="s">
        <v>247</v>
      </c>
      <c r="D1829" s="132" t="n">
        <v>46528</v>
      </c>
      <c r="E1829" s="131" t="s">
        <v>53</v>
      </c>
      <c r="F1829" s="133" t="s">
        <v>11</v>
      </c>
      <c r="G1829" s="134" t="n">
        <f aca="false">LEN('Saisie programme'!$H$76)+SUMIFS('Vols additionnels'!$E$7:$E$66,'Vols additionnels'!$C$7:$C$66,$E1829,'Vols additionnels'!$D$7:$D$66,$F1829,'Vols additionnels'!$B$7:$B$66,$D1829)</f>
        <v>0</v>
      </c>
      <c r="H1829" s="135" t="n">
        <f aca="false">$G1829*'Analyse capacite'!$F$7</f>
        <v>0</v>
      </c>
      <c r="I1829" s="135" t="n">
        <f aca="false">$G1829*'Analyse capacite'!$C$7</f>
        <v>0</v>
      </c>
      <c r="J1829" s="135" t="n">
        <f aca="false">$G1829*'Analyse capacite'!$D$7</f>
        <v>0</v>
      </c>
      <c r="K1829" s="135" t="n">
        <f aca="false">$G1829*'Analyse capacite'!$E$7</f>
        <v>0</v>
      </c>
    </row>
    <row r="1830" customFormat="false" ht="15" hidden="false" customHeight="false" outlineLevel="0" collapsed="false">
      <c r="B1830" s="130" t="n">
        <v>2027</v>
      </c>
      <c r="C1830" s="131" t="s">
        <v>247</v>
      </c>
      <c r="D1830" s="132" t="n">
        <v>46528</v>
      </c>
      <c r="E1830" s="131" t="s">
        <v>53</v>
      </c>
      <c r="F1830" s="133" t="s">
        <v>19</v>
      </c>
      <c r="G1830" s="134" t="n">
        <f aca="false">LEN('Saisie programme'!$H$77)+SUMIFS('Vols additionnels'!$E$7:$E$66,'Vols additionnels'!$C$7:$C$66,$E1830,'Vols additionnels'!$D$7:$D$66,$F1830,'Vols additionnels'!$B$7:$B$66,$D1830)</f>
        <v>0</v>
      </c>
      <c r="H1830" s="135" t="n">
        <f aca="false">$G1830*'Analyse capacite'!$F$8</f>
        <v>0</v>
      </c>
      <c r="I1830" s="135" t="n">
        <f aca="false">$G1830*'Analyse capacite'!$C$8</f>
        <v>0</v>
      </c>
      <c r="J1830" s="135" t="n">
        <f aca="false">$G1830*'Analyse capacite'!$D$8</f>
        <v>0</v>
      </c>
      <c r="K1830" s="135" t="n">
        <f aca="false">$G1830*'Analyse capacite'!$E$8</f>
        <v>0</v>
      </c>
    </row>
    <row r="1831" customFormat="false" ht="15" hidden="false" customHeight="false" outlineLevel="0" collapsed="false">
      <c r="B1831" s="130" t="n">
        <v>2027</v>
      </c>
      <c r="C1831" s="131" t="s">
        <v>247</v>
      </c>
      <c r="D1831" s="132" t="n">
        <v>46528</v>
      </c>
      <c r="E1831" s="131" t="s">
        <v>53</v>
      </c>
      <c r="F1831" s="133" t="s">
        <v>24</v>
      </c>
      <c r="G1831" s="134" t="n">
        <f aca="false">LEN('Saisie programme'!$H$78)+SUMIFS('Vols additionnels'!$E$7:$E$66,'Vols additionnels'!$C$7:$C$66,$E1831,'Vols additionnels'!$D$7:$D$66,$F1831,'Vols additionnels'!$B$7:$B$66,$D1831)</f>
        <v>0</v>
      </c>
      <c r="H1831" s="135" t="n">
        <f aca="false">$G1831*'Analyse capacite'!$F$9</f>
        <v>0</v>
      </c>
      <c r="I1831" s="135" t="n">
        <f aca="false">$G1831*'Analyse capacite'!$C$9</f>
        <v>0</v>
      </c>
      <c r="J1831" s="135" t="n">
        <f aca="false">$G1831*'Analyse capacite'!$D$9</f>
        <v>0</v>
      </c>
      <c r="K1831" s="135" t="n">
        <f aca="false">$G1831*'Analyse capacite'!$E$9</f>
        <v>0</v>
      </c>
    </row>
    <row r="1832" customFormat="false" ht="15" hidden="false" customHeight="false" outlineLevel="0" collapsed="false">
      <c r="B1832" s="130" t="n">
        <v>2027</v>
      </c>
      <c r="C1832" s="131" t="s">
        <v>247</v>
      </c>
      <c r="D1832" s="132" t="n">
        <v>46528</v>
      </c>
      <c r="E1832" s="131" t="s">
        <v>56</v>
      </c>
      <c r="F1832" s="133" t="s">
        <v>11</v>
      </c>
      <c r="G1832" s="134" t="n">
        <f aca="false">LEN('Saisie programme'!$H$79)+SUMIFS('Vols additionnels'!$E$7:$E$66,'Vols additionnels'!$C$7:$C$66,$E1832,'Vols additionnels'!$D$7:$D$66,$F1832,'Vols additionnels'!$B$7:$B$66,$D1832)</f>
        <v>0</v>
      </c>
      <c r="H1832" s="135" t="n">
        <f aca="false">$G1832*'Analyse capacite'!$F$7</f>
        <v>0</v>
      </c>
      <c r="I1832" s="135" t="n">
        <f aca="false">$G1832*'Analyse capacite'!$C$7</f>
        <v>0</v>
      </c>
      <c r="J1832" s="135" t="n">
        <f aca="false">$G1832*'Analyse capacite'!$D$7</f>
        <v>0</v>
      </c>
      <c r="K1832" s="135" t="n">
        <f aca="false">$G1832*'Analyse capacite'!$E$7</f>
        <v>0</v>
      </c>
    </row>
    <row r="1833" customFormat="false" ht="15" hidden="false" customHeight="false" outlineLevel="0" collapsed="false">
      <c r="B1833" s="130" t="n">
        <v>2027</v>
      </c>
      <c r="C1833" s="131" t="s">
        <v>247</v>
      </c>
      <c r="D1833" s="132" t="n">
        <v>46528</v>
      </c>
      <c r="E1833" s="131" t="s">
        <v>56</v>
      </c>
      <c r="F1833" s="133" t="s">
        <v>19</v>
      </c>
      <c r="G1833" s="134" t="n">
        <f aca="false">LEN('Saisie programme'!$H$80)+SUMIFS('Vols additionnels'!$E$7:$E$66,'Vols additionnels'!$C$7:$C$66,$E1833,'Vols additionnels'!$D$7:$D$66,$F1833,'Vols additionnels'!$B$7:$B$66,$D1833)</f>
        <v>0</v>
      </c>
      <c r="H1833" s="135" t="n">
        <f aca="false">$G1833*'Analyse capacite'!$F$8</f>
        <v>0</v>
      </c>
      <c r="I1833" s="135" t="n">
        <f aca="false">$G1833*'Analyse capacite'!$C$8</f>
        <v>0</v>
      </c>
      <c r="J1833" s="135" t="n">
        <f aca="false">$G1833*'Analyse capacite'!$D$8</f>
        <v>0</v>
      </c>
      <c r="K1833" s="135" t="n">
        <f aca="false">$G1833*'Analyse capacite'!$E$8</f>
        <v>0</v>
      </c>
    </row>
    <row r="1834" customFormat="false" ht="15" hidden="false" customHeight="false" outlineLevel="0" collapsed="false">
      <c r="B1834" s="130" t="n">
        <v>2027</v>
      </c>
      <c r="C1834" s="131" t="s">
        <v>247</v>
      </c>
      <c r="D1834" s="132" t="n">
        <v>46528</v>
      </c>
      <c r="E1834" s="131" t="s">
        <v>56</v>
      </c>
      <c r="F1834" s="133" t="s">
        <v>24</v>
      </c>
      <c r="G1834" s="134" t="n">
        <f aca="false">LEN('Saisie programme'!$H$81)+SUMIFS('Vols additionnels'!$E$7:$E$66,'Vols additionnels'!$C$7:$C$66,$E1834,'Vols additionnels'!$D$7:$D$66,$F1834,'Vols additionnels'!$B$7:$B$66,$D1834)</f>
        <v>0</v>
      </c>
      <c r="H1834" s="135" t="n">
        <f aca="false">$G1834*'Analyse capacite'!$F$9</f>
        <v>0</v>
      </c>
      <c r="I1834" s="135" t="n">
        <f aca="false">$G1834*'Analyse capacite'!$C$9</f>
        <v>0</v>
      </c>
      <c r="J1834" s="135" t="n">
        <f aca="false">$G1834*'Analyse capacite'!$D$9</f>
        <v>0</v>
      </c>
      <c r="K1834" s="135" t="n">
        <f aca="false">$G1834*'Analyse capacite'!$E$9</f>
        <v>0</v>
      </c>
    </row>
    <row r="1835" customFormat="false" ht="15" hidden="false" customHeight="false" outlineLevel="0" collapsed="false">
      <c r="B1835" s="130" t="n">
        <v>2027</v>
      </c>
      <c r="C1835" s="131" t="s">
        <v>247</v>
      </c>
      <c r="D1835" s="132" t="n">
        <v>46528</v>
      </c>
      <c r="E1835" s="131" t="s">
        <v>59</v>
      </c>
      <c r="F1835" s="133" t="s">
        <v>11</v>
      </c>
      <c r="G1835" s="134" t="n">
        <f aca="false">LEN('Saisie programme'!$H$82)+SUMIFS('Vols additionnels'!$E$7:$E$66,'Vols additionnels'!$C$7:$C$66,$E1835,'Vols additionnels'!$D$7:$D$66,$F1835,'Vols additionnels'!$B$7:$B$66,$D1835)</f>
        <v>0</v>
      </c>
      <c r="H1835" s="135" t="n">
        <f aca="false">$G1835*'Analyse capacite'!$F$7</f>
        <v>0</v>
      </c>
      <c r="I1835" s="135" t="n">
        <f aca="false">$G1835*'Analyse capacite'!$C$7</f>
        <v>0</v>
      </c>
      <c r="J1835" s="135" t="n">
        <f aca="false">$G1835*'Analyse capacite'!$D$7</f>
        <v>0</v>
      </c>
      <c r="K1835" s="135" t="n">
        <f aca="false">$G1835*'Analyse capacite'!$E$7</f>
        <v>0</v>
      </c>
    </row>
    <row r="1836" customFormat="false" ht="15" hidden="false" customHeight="false" outlineLevel="0" collapsed="false">
      <c r="B1836" s="130" t="n">
        <v>2027</v>
      </c>
      <c r="C1836" s="131" t="s">
        <v>247</v>
      </c>
      <c r="D1836" s="132" t="n">
        <v>46528</v>
      </c>
      <c r="E1836" s="131" t="s">
        <v>59</v>
      </c>
      <c r="F1836" s="133" t="s">
        <v>19</v>
      </c>
      <c r="G1836" s="134" t="n">
        <f aca="false">LEN('Saisie programme'!$H$83)+SUMIFS('Vols additionnels'!$E$7:$E$66,'Vols additionnels'!$C$7:$C$66,$E1836,'Vols additionnels'!$D$7:$D$66,$F1836,'Vols additionnels'!$B$7:$B$66,$D1836)</f>
        <v>0</v>
      </c>
      <c r="H1836" s="135" t="n">
        <f aca="false">$G1836*'Analyse capacite'!$F$8</f>
        <v>0</v>
      </c>
      <c r="I1836" s="135" t="n">
        <f aca="false">$G1836*'Analyse capacite'!$C$8</f>
        <v>0</v>
      </c>
      <c r="J1836" s="135" t="n">
        <f aca="false">$G1836*'Analyse capacite'!$D$8</f>
        <v>0</v>
      </c>
      <c r="K1836" s="135" t="n">
        <f aca="false">$G1836*'Analyse capacite'!$E$8</f>
        <v>0</v>
      </c>
    </row>
    <row r="1837" customFormat="false" ht="15" hidden="false" customHeight="false" outlineLevel="0" collapsed="false">
      <c r="B1837" s="130" t="n">
        <v>2027</v>
      </c>
      <c r="C1837" s="131" t="s">
        <v>247</v>
      </c>
      <c r="D1837" s="132" t="n">
        <v>46528</v>
      </c>
      <c r="E1837" s="131" t="s">
        <v>59</v>
      </c>
      <c r="F1837" s="133" t="s">
        <v>24</v>
      </c>
      <c r="G1837" s="134" t="n">
        <f aca="false">LEN('Saisie programme'!$H$84)+SUMIFS('Vols additionnels'!$E$7:$E$66,'Vols additionnels'!$C$7:$C$66,$E1837,'Vols additionnels'!$D$7:$D$66,$F1837,'Vols additionnels'!$B$7:$B$66,$D1837)</f>
        <v>1</v>
      </c>
      <c r="H1837" s="135" t="n">
        <f aca="false">$G1837*'Analyse capacite'!$F$9</f>
        <v>174</v>
      </c>
      <c r="I1837" s="135" t="n">
        <f aca="false">$G1837*'Analyse capacite'!$C$9</f>
        <v>0</v>
      </c>
      <c r="J1837" s="135" t="n">
        <f aca="false">$G1837*'Analyse capacite'!$D$9</f>
        <v>12</v>
      </c>
      <c r="K1837" s="135" t="n">
        <f aca="false">$G1837*'Analyse capacite'!$E$9</f>
        <v>162</v>
      </c>
    </row>
    <row r="1838" customFormat="false" ht="15" hidden="false" customHeight="false" outlineLevel="0" collapsed="false">
      <c r="B1838" s="130" t="n">
        <v>2027</v>
      </c>
      <c r="C1838" s="131" t="s">
        <v>247</v>
      </c>
      <c r="D1838" s="132" t="n">
        <v>46528</v>
      </c>
      <c r="E1838" s="131" t="s">
        <v>62</v>
      </c>
      <c r="F1838" s="133" t="s">
        <v>11</v>
      </c>
      <c r="G1838" s="134" t="n">
        <f aca="false">LEN('Saisie programme'!$H$85)+SUMIFS('Vols additionnels'!$E$7:$E$66,'Vols additionnels'!$C$7:$C$66,$E1838,'Vols additionnels'!$D$7:$D$66,$F1838,'Vols additionnels'!$B$7:$B$66,$D1838)</f>
        <v>0</v>
      </c>
      <c r="H1838" s="135" t="n">
        <f aca="false">$G1838*'Analyse capacite'!$F$7</f>
        <v>0</v>
      </c>
      <c r="I1838" s="135" t="n">
        <f aca="false">$G1838*'Analyse capacite'!$C$7</f>
        <v>0</v>
      </c>
      <c r="J1838" s="135" t="n">
        <f aca="false">$G1838*'Analyse capacite'!$D$7</f>
        <v>0</v>
      </c>
      <c r="K1838" s="135" t="n">
        <f aca="false">$G1838*'Analyse capacite'!$E$7</f>
        <v>0</v>
      </c>
    </row>
    <row r="1839" customFormat="false" ht="15" hidden="false" customHeight="false" outlineLevel="0" collapsed="false">
      <c r="B1839" s="130" t="n">
        <v>2027</v>
      </c>
      <c r="C1839" s="131" t="s">
        <v>247</v>
      </c>
      <c r="D1839" s="132" t="n">
        <v>46528</v>
      </c>
      <c r="E1839" s="131" t="s">
        <v>62</v>
      </c>
      <c r="F1839" s="133" t="s">
        <v>19</v>
      </c>
      <c r="G1839" s="134" t="n">
        <f aca="false">LEN('Saisie programme'!$H$86)+SUMIFS('Vols additionnels'!$E$7:$E$66,'Vols additionnels'!$C$7:$C$66,$E1839,'Vols additionnels'!$D$7:$D$66,$F1839,'Vols additionnels'!$B$7:$B$66,$D1839)</f>
        <v>0</v>
      </c>
      <c r="H1839" s="135" t="n">
        <f aca="false">$G1839*'Analyse capacite'!$F$8</f>
        <v>0</v>
      </c>
      <c r="I1839" s="135" t="n">
        <f aca="false">$G1839*'Analyse capacite'!$C$8</f>
        <v>0</v>
      </c>
      <c r="J1839" s="135" t="n">
        <f aca="false">$G1839*'Analyse capacite'!$D$8</f>
        <v>0</v>
      </c>
      <c r="K1839" s="135" t="n">
        <f aca="false">$G1839*'Analyse capacite'!$E$8</f>
        <v>0</v>
      </c>
    </row>
    <row r="1840" customFormat="false" ht="15" hidden="false" customHeight="false" outlineLevel="0" collapsed="false">
      <c r="B1840" s="130" t="n">
        <v>2027</v>
      </c>
      <c r="C1840" s="131" t="s">
        <v>247</v>
      </c>
      <c r="D1840" s="132" t="n">
        <v>46528</v>
      </c>
      <c r="E1840" s="131" t="s">
        <v>62</v>
      </c>
      <c r="F1840" s="133" t="s">
        <v>24</v>
      </c>
      <c r="G1840" s="134" t="n">
        <f aca="false">LEN('Saisie programme'!$H$87)+SUMIFS('Vols additionnels'!$E$7:$E$66,'Vols additionnels'!$C$7:$C$66,$E1840,'Vols additionnels'!$D$7:$D$66,$F1840,'Vols additionnels'!$B$7:$B$66,$D1840)</f>
        <v>0</v>
      </c>
      <c r="H1840" s="135" t="n">
        <f aca="false">$G1840*'Analyse capacite'!$F$9</f>
        <v>0</v>
      </c>
      <c r="I1840" s="135" t="n">
        <f aca="false">$G1840*'Analyse capacite'!$C$9</f>
        <v>0</v>
      </c>
      <c r="J1840" s="135" t="n">
        <f aca="false">$G1840*'Analyse capacite'!$D$9</f>
        <v>0</v>
      </c>
      <c r="K1840" s="135" t="n">
        <f aca="false">$G1840*'Analyse capacite'!$E$9</f>
        <v>0</v>
      </c>
    </row>
    <row r="1841" customFormat="false" ht="15" hidden="false" customHeight="false" outlineLevel="0" collapsed="false">
      <c r="B1841" s="130" t="n">
        <v>2027</v>
      </c>
      <c r="C1841" s="131" t="s">
        <v>247</v>
      </c>
      <c r="D1841" s="132" t="n">
        <v>46529</v>
      </c>
      <c r="E1841" s="131" t="s">
        <v>12</v>
      </c>
      <c r="F1841" s="133" t="s">
        <v>11</v>
      </c>
      <c r="G1841" s="134" t="n">
        <f aca="false">LEN('Saisie programme'!$I$52)+SUMIFS('Vols additionnels'!$E$7:$E$66,'Vols additionnels'!$C$7:$C$66,$E1841,'Vols additionnels'!$D$7:$D$66,$F1841,'Vols additionnels'!$B$7:$B$66,$D1841)</f>
        <v>1</v>
      </c>
      <c r="H1841" s="135" t="n">
        <f aca="false">$G1841*'Analyse capacite'!$F$7</f>
        <v>438</v>
      </c>
      <c r="I1841" s="135" t="n">
        <f aca="false">$G1841*'Analyse capacite'!$C$7</f>
        <v>14</v>
      </c>
      <c r="J1841" s="135" t="n">
        <f aca="false">$G1841*'Analyse capacite'!$D$7</f>
        <v>40</v>
      </c>
      <c r="K1841" s="135" t="n">
        <f aca="false">$G1841*'Analyse capacite'!$E$7</f>
        <v>384</v>
      </c>
    </row>
    <row r="1842" customFormat="false" ht="15" hidden="false" customHeight="false" outlineLevel="0" collapsed="false">
      <c r="B1842" s="130" t="n">
        <v>2027</v>
      </c>
      <c r="C1842" s="131" t="s">
        <v>247</v>
      </c>
      <c r="D1842" s="132" t="n">
        <v>46529</v>
      </c>
      <c r="E1842" s="131" t="s">
        <v>12</v>
      </c>
      <c r="F1842" s="133" t="s">
        <v>19</v>
      </c>
      <c r="G1842" s="134" t="n">
        <f aca="false">LEN('Saisie programme'!$I$53)+SUMIFS('Vols additionnels'!$E$7:$E$66,'Vols additionnels'!$C$7:$C$66,$E1842,'Vols additionnels'!$D$7:$D$66,$F1842,'Vols additionnels'!$B$7:$B$66,$D1842)</f>
        <v>0</v>
      </c>
      <c r="H1842" s="135" t="n">
        <f aca="false">$G1842*'Analyse capacite'!$F$8</f>
        <v>0</v>
      </c>
      <c r="I1842" s="135" t="n">
        <f aca="false">$G1842*'Analyse capacite'!$C$8</f>
        <v>0</v>
      </c>
      <c r="J1842" s="135" t="n">
        <f aca="false">$G1842*'Analyse capacite'!$D$8</f>
        <v>0</v>
      </c>
      <c r="K1842" s="135" t="n">
        <f aca="false">$G1842*'Analyse capacite'!$E$8</f>
        <v>0</v>
      </c>
    </row>
    <row r="1843" customFormat="false" ht="15" hidden="false" customHeight="false" outlineLevel="0" collapsed="false">
      <c r="B1843" s="130" t="n">
        <v>2027</v>
      </c>
      <c r="C1843" s="131" t="s">
        <v>247</v>
      </c>
      <c r="D1843" s="132" t="n">
        <v>46529</v>
      </c>
      <c r="E1843" s="131" t="s">
        <v>12</v>
      </c>
      <c r="F1843" s="133" t="s">
        <v>24</v>
      </c>
      <c r="G1843" s="134" t="n">
        <f aca="false">LEN('Saisie programme'!$I$54)+SUMIFS('Vols additionnels'!$E$7:$E$66,'Vols additionnels'!$C$7:$C$66,$E1843,'Vols additionnels'!$D$7:$D$66,$F1843,'Vols additionnels'!$B$7:$B$66,$D1843)</f>
        <v>0</v>
      </c>
      <c r="H1843" s="135" t="n">
        <f aca="false">$G1843*'Analyse capacite'!$F$9</f>
        <v>0</v>
      </c>
      <c r="I1843" s="135" t="n">
        <f aca="false">$G1843*'Analyse capacite'!$C$9</f>
        <v>0</v>
      </c>
      <c r="J1843" s="135" t="n">
        <f aca="false">$G1843*'Analyse capacite'!$D$9</f>
        <v>0</v>
      </c>
      <c r="K1843" s="135" t="n">
        <f aca="false">$G1843*'Analyse capacite'!$E$9</f>
        <v>0</v>
      </c>
    </row>
    <row r="1844" customFormat="false" ht="15" hidden="false" customHeight="false" outlineLevel="0" collapsed="false">
      <c r="B1844" s="130" t="n">
        <v>2027</v>
      </c>
      <c r="C1844" s="131" t="s">
        <v>247</v>
      </c>
      <c r="D1844" s="132" t="n">
        <v>46529</v>
      </c>
      <c r="E1844" s="131" t="s">
        <v>20</v>
      </c>
      <c r="F1844" s="133" t="s">
        <v>11</v>
      </c>
      <c r="G1844" s="134" t="n">
        <f aca="false">LEN('Saisie programme'!$I$55)+SUMIFS('Vols additionnels'!$E$7:$E$66,'Vols additionnels'!$C$7:$C$66,$E1844,'Vols additionnels'!$D$7:$D$66,$F1844,'Vols additionnels'!$B$7:$B$66,$D1844)</f>
        <v>0</v>
      </c>
      <c r="H1844" s="135" t="n">
        <f aca="false">$G1844*'Analyse capacite'!$F$7</f>
        <v>0</v>
      </c>
      <c r="I1844" s="135" t="n">
        <f aca="false">$G1844*'Analyse capacite'!$C$7</f>
        <v>0</v>
      </c>
      <c r="J1844" s="135" t="n">
        <f aca="false">$G1844*'Analyse capacite'!$D$7</f>
        <v>0</v>
      </c>
      <c r="K1844" s="135" t="n">
        <f aca="false">$G1844*'Analyse capacite'!$E$7</f>
        <v>0</v>
      </c>
    </row>
    <row r="1845" customFormat="false" ht="15" hidden="false" customHeight="false" outlineLevel="0" collapsed="false">
      <c r="B1845" s="130" t="n">
        <v>2027</v>
      </c>
      <c r="C1845" s="131" t="s">
        <v>247</v>
      </c>
      <c r="D1845" s="132" t="n">
        <v>46529</v>
      </c>
      <c r="E1845" s="131" t="s">
        <v>20</v>
      </c>
      <c r="F1845" s="133" t="s">
        <v>19</v>
      </c>
      <c r="G1845" s="134" t="n">
        <f aca="false">LEN('Saisie programme'!$I$56)+SUMIFS('Vols additionnels'!$E$7:$E$66,'Vols additionnels'!$C$7:$C$66,$E1845,'Vols additionnels'!$D$7:$D$66,$F1845,'Vols additionnels'!$B$7:$B$66,$D1845)</f>
        <v>0</v>
      </c>
      <c r="H1845" s="135" t="n">
        <f aca="false">$G1845*'Analyse capacite'!$F$8</f>
        <v>0</v>
      </c>
      <c r="I1845" s="135" t="n">
        <f aca="false">$G1845*'Analyse capacite'!$C$8</f>
        <v>0</v>
      </c>
      <c r="J1845" s="135" t="n">
        <f aca="false">$G1845*'Analyse capacite'!$D$8</f>
        <v>0</v>
      </c>
      <c r="K1845" s="135" t="n">
        <f aca="false">$G1845*'Analyse capacite'!$E$8</f>
        <v>0</v>
      </c>
    </row>
    <row r="1846" customFormat="false" ht="15" hidden="false" customHeight="false" outlineLevel="0" collapsed="false">
      <c r="B1846" s="130" t="n">
        <v>2027</v>
      </c>
      <c r="C1846" s="131" t="s">
        <v>247</v>
      </c>
      <c r="D1846" s="132" t="n">
        <v>46529</v>
      </c>
      <c r="E1846" s="131" t="s">
        <v>20</v>
      </c>
      <c r="F1846" s="133" t="s">
        <v>24</v>
      </c>
      <c r="G1846" s="134" t="n">
        <f aca="false">LEN('Saisie programme'!$I$57)+SUMIFS('Vols additionnels'!$E$7:$E$66,'Vols additionnels'!$C$7:$C$66,$E1846,'Vols additionnels'!$D$7:$D$66,$F1846,'Vols additionnels'!$B$7:$B$66,$D1846)</f>
        <v>0</v>
      </c>
      <c r="H1846" s="135" t="n">
        <f aca="false">$G1846*'Analyse capacite'!$F$9</f>
        <v>0</v>
      </c>
      <c r="I1846" s="135" t="n">
        <f aca="false">$G1846*'Analyse capacite'!$C$9</f>
        <v>0</v>
      </c>
      <c r="J1846" s="135" t="n">
        <f aca="false">$G1846*'Analyse capacite'!$D$9</f>
        <v>0</v>
      </c>
      <c r="K1846" s="135" t="n">
        <f aca="false">$G1846*'Analyse capacite'!$E$9</f>
        <v>0</v>
      </c>
    </row>
    <row r="1847" customFormat="false" ht="15" hidden="false" customHeight="false" outlineLevel="0" collapsed="false">
      <c r="B1847" s="130" t="n">
        <v>2027</v>
      </c>
      <c r="C1847" s="131" t="s">
        <v>247</v>
      </c>
      <c r="D1847" s="132" t="n">
        <v>46529</v>
      </c>
      <c r="E1847" s="131" t="s">
        <v>25</v>
      </c>
      <c r="F1847" s="133" t="s">
        <v>11</v>
      </c>
      <c r="G1847" s="134" t="n">
        <f aca="false">LEN('Saisie programme'!$I$58)+SUMIFS('Vols additionnels'!$E$7:$E$66,'Vols additionnels'!$C$7:$C$66,$E1847,'Vols additionnels'!$D$7:$D$66,$F1847,'Vols additionnels'!$B$7:$B$66,$D1847)</f>
        <v>0</v>
      </c>
      <c r="H1847" s="135" t="n">
        <f aca="false">$G1847*'Analyse capacite'!$F$7</f>
        <v>0</v>
      </c>
      <c r="I1847" s="135" t="n">
        <f aca="false">$G1847*'Analyse capacite'!$C$7</f>
        <v>0</v>
      </c>
      <c r="J1847" s="135" t="n">
        <f aca="false">$G1847*'Analyse capacite'!$D$7</f>
        <v>0</v>
      </c>
      <c r="K1847" s="135" t="n">
        <f aca="false">$G1847*'Analyse capacite'!$E$7</f>
        <v>0</v>
      </c>
    </row>
    <row r="1848" customFormat="false" ht="15" hidden="false" customHeight="false" outlineLevel="0" collapsed="false">
      <c r="B1848" s="130" t="n">
        <v>2027</v>
      </c>
      <c r="C1848" s="131" t="s">
        <v>247</v>
      </c>
      <c r="D1848" s="132" t="n">
        <v>46529</v>
      </c>
      <c r="E1848" s="131" t="s">
        <v>25</v>
      </c>
      <c r="F1848" s="133" t="s">
        <v>19</v>
      </c>
      <c r="G1848" s="134" t="n">
        <f aca="false">LEN('Saisie programme'!$I$59)+SUMIFS('Vols additionnels'!$E$7:$E$66,'Vols additionnels'!$C$7:$C$66,$E1848,'Vols additionnels'!$D$7:$D$66,$F1848,'Vols additionnels'!$B$7:$B$66,$D1848)</f>
        <v>1</v>
      </c>
      <c r="H1848" s="135" t="n">
        <f aca="false">$G1848*'Analyse capacite'!$F$8</f>
        <v>262</v>
      </c>
      <c r="I1848" s="135" t="n">
        <f aca="false">$G1848*'Analyse capacite'!$C$8</f>
        <v>18</v>
      </c>
      <c r="J1848" s="135" t="n">
        <f aca="false">$G1848*'Analyse capacite'!$D$8</f>
        <v>0</v>
      </c>
      <c r="K1848" s="135" t="n">
        <f aca="false">$G1848*'Analyse capacite'!$E$8</f>
        <v>244</v>
      </c>
    </row>
    <row r="1849" customFormat="false" ht="15" hidden="false" customHeight="false" outlineLevel="0" collapsed="false">
      <c r="B1849" s="130" t="n">
        <v>2027</v>
      </c>
      <c r="C1849" s="131" t="s">
        <v>247</v>
      </c>
      <c r="D1849" s="132" t="n">
        <v>46529</v>
      </c>
      <c r="E1849" s="131" t="s">
        <v>25</v>
      </c>
      <c r="F1849" s="133" t="s">
        <v>24</v>
      </c>
      <c r="G1849" s="134" t="n">
        <f aca="false">LEN('Saisie programme'!$I$60)+SUMIFS('Vols additionnels'!$E$7:$E$66,'Vols additionnels'!$C$7:$C$66,$E1849,'Vols additionnels'!$D$7:$D$66,$F1849,'Vols additionnels'!$B$7:$B$66,$D1849)</f>
        <v>0</v>
      </c>
      <c r="H1849" s="135" t="n">
        <f aca="false">$G1849*'Analyse capacite'!$F$9</f>
        <v>0</v>
      </c>
      <c r="I1849" s="135" t="n">
        <f aca="false">$G1849*'Analyse capacite'!$C$9</f>
        <v>0</v>
      </c>
      <c r="J1849" s="135" t="n">
        <f aca="false">$G1849*'Analyse capacite'!$D$9</f>
        <v>0</v>
      </c>
      <c r="K1849" s="135" t="n">
        <f aca="false">$G1849*'Analyse capacite'!$E$9</f>
        <v>0</v>
      </c>
    </row>
    <row r="1850" customFormat="false" ht="15" hidden="false" customHeight="false" outlineLevel="0" collapsed="false">
      <c r="B1850" s="130" t="n">
        <v>2027</v>
      </c>
      <c r="C1850" s="131" t="s">
        <v>247</v>
      </c>
      <c r="D1850" s="132" t="n">
        <v>46529</v>
      </c>
      <c r="E1850" s="131" t="s">
        <v>36</v>
      </c>
      <c r="F1850" s="133" t="s">
        <v>11</v>
      </c>
      <c r="G1850" s="134" t="n">
        <f aca="false">LEN('Saisie programme'!$I$61)+SUMIFS('Vols additionnels'!$E$7:$E$66,'Vols additionnels'!$C$7:$C$66,$E1850,'Vols additionnels'!$D$7:$D$66,$F1850,'Vols additionnels'!$B$7:$B$66,$D1850)</f>
        <v>0</v>
      </c>
      <c r="H1850" s="135" t="n">
        <f aca="false">$G1850*'Analyse capacite'!$F$7</f>
        <v>0</v>
      </c>
      <c r="I1850" s="135" t="n">
        <f aca="false">$G1850*'Analyse capacite'!$C$7</f>
        <v>0</v>
      </c>
      <c r="J1850" s="135" t="n">
        <f aca="false">$G1850*'Analyse capacite'!$D$7</f>
        <v>0</v>
      </c>
      <c r="K1850" s="135" t="n">
        <f aca="false">$G1850*'Analyse capacite'!$E$7</f>
        <v>0</v>
      </c>
    </row>
    <row r="1851" customFormat="false" ht="15" hidden="false" customHeight="false" outlineLevel="0" collapsed="false">
      <c r="B1851" s="130" t="n">
        <v>2027</v>
      </c>
      <c r="C1851" s="131" t="s">
        <v>247</v>
      </c>
      <c r="D1851" s="132" t="n">
        <v>46529</v>
      </c>
      <c r="E1851" s="131" t="s">
        <v>36</v>
      </c>
      <c r="F1851" s="133" t="s">
        <v>19</v>
      </c>
      <c r="G1851" s="134" t="n">
        <f aca="false">LEN('Saisie programme'!$I$62)+SUMIFS('Vols additionnels'!$E$7:$E$66,'Vols additionnels'!$C$7:$C$66,$E1851,'Vols additionnels'!$D$7:$D$66,$F1851,'Vols additionnels'!$B$7:$B$66,$D1851)</f>
        <v>0</v>
      </c>
      <c r="H1851" s="135" t="n">
        <f aca="false">$G1851*'Analyse capacite'!$F$8</f>
        <v>0</v>
      </c>
      <c r="I1851" s="135" t="n">
        <f aca="false">$G1851*'Analyse capacite'!$C$8</f>
        <v>0</v>
      </c>
      <c r="J1851" s="135" t="n">
        <f aca="false">$G1851*'Analyse capacite'!$D$8</f>
        <v>0</v>
      </c>
      <c r="K1851" s="135" t="n">
        <f aca="false">$G1851*'Analyse capacite'!$E$8</f>
        <v>0</v>
      </c>
    </row>
    <row r="1852" customFormat="false" ht="15" hidden="false" customHeight="false" outlineLevel="0" collapsed="false">
      <c r="B1852" s="130" t="n">
        <v>2027</v>
      </c>
      <c r="C1852" s="131" t="s">
        <v>247</v>
      </c>
      <c r="D1852" s="132" t="n">
        <v>46529</v>
      </c>
      <c r="E1852" s="131" t="s">
        <v>36</v>
      </c>
      <c r="F1852" s="133" t="s">
        <v>24</v>
      </c>
      <c r="G1852" s="134" t="n">
        <f aca="false">LEN('Saisie programme'!$I$63)+SUMIFS('Vols additionnels'!$E$7:$E$66,'Vols additionnels'!$C$7:$C$66,$E1852,'Vols additionnels'!$D$7:$D$66,$F1852,'Vols additionnels'!$B$7:$B$66,$D1852)</f>
        <v>0</v>
      </c>
      <c r="H1852" s="135" t="n">
        <f aca="false">$G1852*'Analyse capacite'!$F$9</f>
        <v>0</v>
      </c>
      <c r="I1852" s="135" t="n">
        <f aca="false">$G1852*'Analyse capacite'!$C$9</f>
        <v>0</v>
      </c>
      <c r="J1852" s="135" t="n">
        <f aca="false">$G1852*'Analyse capacite'!$D$9</f>
        <v>0</v>
      </c>
      <c r="K1852" s="135" t="n">
        <f aca="false">$G1852*'Analyse capacite'!$E$9</f>
        <v>0</v>
      </c>
    </row>
    <row r="1853" customFormat="false" ht="15" hidden="false" customHeight="false" outlineLevel="0" collapsed="false">
      <c r="B1853" s="130" t="n">
        <v>2027</v>
      </c>
      <c r="C1853" s="131" t="s">
        <v>247</v>
      </c>
      <c r="D1853" s="132" t="n">
        <v>46529</v>
      </c>
      <c r="E1853" s="131" t="s">
        <v>40</v>
      </c>
      <c r="F1853" s="133" t="s">
        <v>11</v>
      </c>
      <c r="G1853" s="134" t="n">
        <f aca="false">LEN('Saisie programme'!$I$64)+SUMIFS('Vols additionnels'!$E$7:$E$66,'Vols additionnels'!$C$7:$C$66,$E1853,'Vols additionnels'!$D$7:$D$66,$F1853,'Vols additionnels'!$B$7:$B$66,$D1853)</f>
        <v>0</v>
      </c>
      <c r="H1853" s="135" t="n">
        <f aca="false">$G1853*'Analyse capacite'!$F$7</f>
        <v>0</v>
      </c>
      <c r="I1853" s="135" t="n">
        <f aca="false">$G1853*'Analyse capacite'!$C$7</f>
        <v>0</v>
      </c>
      <c r="J1853" s="135" t="n">
        <f aca="false">$G1853*'Analyse capacite'!$D$7</f>
        <v>0</v>
      </c>
      <c r="K1853" s="135" t="n">
        <f aca="false">$G1853*'Analyse capacite'!$E$7</f>
        <v>0</v>
      </c>
    </row>
    <row r="1854" customFormat="false" ht="15" hidden="false" customHeight="false" outlineLevel="0" collapsed="false">
      <c r="B1854" s="130" t="n">
        <v>2027</v>
      </c>
      <c r="C1854" s="131" t="s">
        <v>247</v>
      </c>
      <c r="D1854" s="132" t="n">
        <v>46529</v>
      </c>
      <c r="E1854" s="131" t="s">
        <v>40</v>
      </c>
      <c r="F1854" s="133" t="s">
        <v>19</v>
      </c>
      <c r="G1854" s="134" t="n">
        <f aca="false">LEN('Saisie programme'!$I$65)+SUMIFS('Vols additionnels'!$E$7:$E$66,'Vols additionnels'!$C$7:$C$66,$E1854,'Vols additionnels'!$D$7:$D$66,$F1854,'Vols additionnels'!$B$7:$B$66,$D1854)</f>
        <v>0</v>
      </c>
      <c r="H1854" s="135" t="n">
        <f aca="false">$G1854*'Analyse capacite'!$F$8</f>
        <v>0</v>
      </c>
      <c r="I1854" s="135" t="n">
        <f aca="false">$G1854*'Analyse capacite'!$C$8</f>
        <v>0</v>
      </c>
      <c r="J1854" s="135" t="n">
        <f aca="false">$G1854*'Analyse capacite'!$D$8</f>
        <v>0</v>
      </c>
      <c r="K1854" s="135" t="n">
        <f aca="false">$G1854*'Analyse capacite'!$E$8</f>
        <v>0</v>
      </c>
    </row>
    <row r="1855" customFormat="false" ht="15" hidden="false" customHeight="false" outlineLevel="0" collapsed="false">
      <c r="B1855" s="130" t="n">
        <v>2027</v>
      </c>
      <c r="C1855" s="131" t="s">
        <v>247</v>
      </c>
      <c r="D1855" s="132" t="n">
        <v>46529</v>
      </c>
      <c r="E1855" s="131" t="s">
        <v>40</v>
      </c>
      <c r="F1855" s="133" t="s">
        <v>24</v>
      </c>
      <c r="G1855" s="134" t="n">
        <f aca="false">LEN('Saisie programme'!$I$66)+SUMIFS('Vols additionnels'!$E$7:$E$66,'Vols additionnels'!$C$7:$C$66,$E1855,'Vols additionnels'!$D$7:$D$66,$F1855,'Vols additionnels'!$B$7:$B$66,$D1855)</f>
        <v>0</v>
      </c>
      <c r="H1855" s="135" t="n">
        <f aca="false">$G1855*'Analyse capacite'!$F$9</f>
        <v>0</v>
      </c>
      <c r="I1855" s="135" t="n">
        <f aca="false">$G1855*'Analyse capacite'!$C$9</f>
        <v>0</v>
      </c>
      <c r="J1855" s="135" t="n">
        <f aca="false">$G1855*'Analyse capacite'!$D$9</f>
        <v>0</v>
      </c>
      <c r="K1855" s="135" t="n">
        <f aca="false">$G1855*'Analyse capacite'!$E$9</f>
        <v>0</v>
      </c>
    </row>
    <row r="1856" customFormat="false" ht="15" hidden="false" customHeight="false" outlineLevel="0" collapsed="false">
      <c r="B1856" s="130" t="n">
        <v>2027</v>
      </c>
      <c r="C1856" s="131" t="s">
        <v>247</v>
      </c>
      <c r="D1856" s="132" t="n">
        <v>46529</v>
      </c>
      <c r="E1856" s="131" t="s">
        <v>14</v>
      </c>
      <c r="F1856" s="133" t="s">
        <v>11</v>
      </c>
      <c r="G1856" s="134" t="n">
        <f aca="false">LEN('Saisie programme'!$I$67)+SUMIFS('Vols additionnels'!$E$7:$E$66,'Vols additionnels'!$C$7:$C$66,$E1856,'Vols additionnels'!$D$7:$D$66,$F1856,'Vols additionnels'!$B$7:$B$66,$D1856)</f>
        <v>0</v>
      </c>
      <c r="H1856" s="135" t="n">
        <f aca="false">$G1856*'Analyse capacite'!$F$7</f>
        <v>0</v>
      </c>
      <c r="I1856" s="135" t="n">
        <f aca="false">$G1856*'Analyse capacite'!$C$7</f>
        <v>0</v>
      </c>
      <c r="J1856" s="135" t="n">
        <f aca="false">$G1856*'Analyse capacite'!$D$7</f>
        <v>0</v>
      </c>
      <c r="K1856" s="135" t="n">
        <f aca="false">$G1856*'Analyse capacite'!$E$7</f>
        <v>0</v>
      </c>
    </row>
    <row r="1857" customFormat="false" ht="15" hidden="false" customHeight="false" outlineLevel="0" collapsed="false">
      <c r="B1857" s="130" t="n">
        <v>2027</v>
      </c>
      <c r="C1857" s="131" t="s">
        <v>247</v>
      </c>
      <c r="D1857" s="132" t="n">
        <v>46529</v>
      </c>
      <c r="E1857" s="131" t="s">
        <v>14</v>
      </c>
      <c r="F1857" s="133" t="s">
        <v>19</v>
      </c>
      <c r="G1857" s="134" t="n">
        <f aca="false">LEN('Saisie programme'!$I$68)+SUMIFS('Vols additionnels'!$E$7:$E$66,'Vols additionnels'!$C$7:$C$66,$E1857,'Vols additionnels'!$D$7:$D$66,$F1857,'Vols additionnels'!$B$7:$B$66,$D1857)</f>
        <v>0</v>
      </c>
      <c r="H1857" s="135" t="n">
        <f aca="false">$G1857*'Analyse capacite'!$F$8</f>
        <v>0</v>
      </c>
      <c r="I1857" s="135" t="n">
        <f aca="false">$G1857*'Analyse capacite'!$C$8</f>
        <v>0</v>
      </c>
      <c r="J1857" s="135" t="n">
        <f aca="false">$G1857*'Analyse capacite'!$D$8</f>
        <v>0</v>
      </c>
      <c r="K1857" s="135" t="n">
        <f aca="false">$G1857*'Analyse capacite'!$E$8</f>
        <v>0</v>
      </c>
    </row>
    <row r="1858" customFormat="false" ht="15" hidden="false" customHeight="false" outlineLevel="0" collapsed="false">
      <c r="B1858" s="130" t="n">
        <v>2027</v>
      </c>
      <c r="C1858" s="131" t="s">
        <v>247</v>
      </c>
      <c r="D1858" s="132" t="n">
        <v>46529</v>
      </c>
      <c r="E1858" s="131" t="s">
        <v>14</v>
      </c>
      <c r="F1858" s="133" t="s">
        <v>24</v>
      </c>
      <c r="G1858" s="134" t="n">
        <f aca="false">LEN('Saisie programme'!$I$69)+SUMIFS('Vols additionnels'!$E$7:$E$66,'Vols additionnels'!$C$7:$C$66,$E1858,'Vols additionnels'!$D$7:$D$66,$F1858,'Vols additionnels'!$B$7:$B$66,$D1858)</f>
        <v>1</v>
      </c>
      <c r="H1858" s="135" t="n">
        <f aca="false">$G1858*'Analyse capacite'!$F$9</f>
        <v>174</v>
      </c>
      <c r="I1858" s="135" t="n">
        <f aca="false">$G1858*'Analyse capacite'!$C$9</f>
        <v>0</v>
      </c>
      <c r="J1858" s="135" t="n">
        <f aca="false">$G1858*'Analyse capacite'!$D$9</f>
        <v>12</v>
      </c>
      <c r="K1858" s="135" t="n">
        <f aca="false">$G1858*'Analyse capacite'!$E$9</f>
        <v>162</v>
      </c>
    </row>
    <row r="1859" customFormat="false" ht="15" hidden="false" customHeight="false" outlineLevel="0" collapsed="false">
      <c r="B1859" s="130" t="n">
        <v>2027</v>
      </c>
      <c r="C1859" s="131" t="s">
        <v>247</v>
      </c>
      <c r="D1859" s="132" t="n">
        <v>46529</v>
      </c>
      <c r="E1859" s="131" t="s">
        <v>46</v>
      </c>
      <c r="F1859" s="133" t="s">
        <v>11</v>
      </c>
      <c r="G1859" s="134" t="n">
        <f aca="false">LEN('Saisie programme'!$I$70)+SUMIFS('Vols additionnels'!$E$7:$E$66,'Vols additionnels'!$C$7:$C$66,$E1859,'Vols additionnels'!$D$7:$D$66,$F1859,'Vols additionnels'!$B$7:$B$66,$D1859)</f>
        <v>0</v>
      </c>
      <c r="H1859" s="135" t="n">
        <f aca="false">$G1859*'Analyse capacite'!$F$7</f>
        <v>0</v>
      </c>
      <c r="I1859" s="135" t="n">
        <f aca="false">$G1859*'Analyse capacite'!$C$7</f>
        <v>0</v>
      </c>
      <c r="J1859" s="135" t="n">
        <f aca="false">$G1859*'Analyse capacite'!$D$7</f>
        <v>0</v>
      </c>
      <c r="K1859" s="135" t="n">
        <f aca="false">$G1859*'Analyse capacite'!$E$7</f>
        <v>0</v>
      </c>
    </row>
    <row r="1860" customFormat="false" ht="15" hidden="false" customHeight="false" outlineLevel="0" collapsed="false">
      <c r="B1860" s="130" t="n">
        <v>2027</v>
      </c>
      <c r="C1860" s="131" t="s">
        <v>247</v>
      </c>
      <c r="D1860" s="132" t="n">
        <v>46529</v>
      </c>
      <c r="E1860" s="131" t="s">
        <v>46</v>
      </c>
      <c r="F1860" s="133" t="s">
        <v>19</v>
      </c>
      <c r="G1860" s="134" t="n">
        <f aca="false">LEN('Saisie programme'!$I$71)+SUMIFS('Vols additionnels'!$E$7:$E$66,'Vols additionnels'!$C$7:$C$66,$E1860,'Vols additionnels'!$D$7:$D$66,$F1860,'Vols additionnels'!$B$7:$B$66,$D1860)</f>
        <v>0</v>
      </c>
      <c r="H1860" s="135" t="n">
        <f aca="false">$G1860*'Analyse capacite'!$F$8</f>
        <v>0</v>
      </c>
      <c r="I1860" s="135" t="n">
        <f aca="false">$G1860*'Analyse capacite'!$C$8</f>
        <v>0</v>
      </c>
      <c r="J1860" s="135" t="n">
        <f aca="false">$G1860*'Analyse capacite'!$D$8</f>
        <v>0</v>
      </c>
      <c r="K1860" s="135" t="n">
        <f aca="false">$G1860*'Analyse capacite'!$E$8</f>
        <v>0</v>
      </c>
    </row>
    <row r="1861" customFormat="false" ht="15" hidden="false" customHeight="false" outlineLevel="0" collapsed="false">
      <c r="B1861" s="130" t="n">
        <v>2027</v>
      </c>
      <c r="C1861" s="131" t="s">
        <v>247</v>
      </c>
      <c r="D1861" s="132" t="n">
        <v>46529</v>
      </c>
      <c r="E1861" s="131" t="s">
        <v>46</v>
      </c>
      <c r="F1861" s="133" t="s">
        <v>24</v>
      </c>
      <c r="G1861" s="134" t="n">
        <f aca="false">LEN('Saisie programme'!$I$72)+SUMIFS('Vols additionnels'!$E$7:$E$66,'Vols additionnels'!$C$7:$C$66,$E1861,'Vols additionnels'!$D$7:$D$66,$F1861,'Vols additionnels'!$B$7:$B$66,$D1861)</f>
        <v>1</v>
      </c>
      <c r="H1861" s="135" t="n">
        <f aca="false">$G1861*'Analyse capacite'!$F$9</f>
        <v>174</v>
      </c>
      <c r="I1861" s="135" t="n">
        <f aca="false">$G1861*'Analyse capacite'!$C$9</f>
        <v>0</v>
      </c>
      <c r="J1861" s="135" t="n">
        <f aca="false">$G1861*'Analyse capacite'!$D$9</f>
        <v>12</v>
      </c>
      <c r="K1861" s="135" t="n">
        <f aca="false">$G1861*'Analyse capacite'!$E$9</f>
        <v>162</v>
      </c>
    </row>
    <row r="1862" customFormat="false" ht="15" hidden="false" customHeight="false" outlineLevel="0" collapsed="false">
      <c r="B1862" s="130" t="n">
        <v>2027</v>
      </c>
      <c r="C1862" s="131" t="s">
        <v>247</v>
      </c>
      <c r="D1862" s="132" t="n">
        <v>46529</v>
      </c>
      <c r="E1862" s="131" t="s">
        <v>49</v>
      </c>
      <c r="F1862" s="133" t="s">
        <v>11</v>
      </c>
      <c r="G1862" s="134" t="n">
        <f aca="false">LEN('Saisie programme'!$I$73)+SUMIFS('Vols additionnels'!$E$7:$E$66,'Vols additionnels'!$C$7:$C$66,$E1862,'Vols additionnels'!$D$7:$D$66,$F1862,'Vols additionnels'!$B$7:$B$66,$D1862)</f>
        <v>0</v>
      </c>
      <c r="H1862" s="135" t="n">
        <f aca="false">$G1862*'Analyse capacite'!$F$7</f>
        <v>0</v>
      </c>
      <c r="I1862" s="135" t="n">
        <f aca="false">$G1862*'Analyse capacite'!$C$7</f>
        <v>0</v>
      </c>
      <c r="J1862" s="135" t="n">
        <f aca="false">$G1862*'Analyse capacite'!$D$7</f>
        <v>0</v>
      </c>
      <c r="K1862" s="135" t="n">
        <f aca="false">$G1862*'Analyse capacite'!$E$7</f>
        <v>0</v>
      </c>
    </row>
    <row r="1863" customFormat="false" ht="15" hidden="false" customHeight="false" outlineLevel="0" collapsed="false">
      <c r="B1863" s="130" t="n">
        <v>2027</v>
      </c>
      <c r="C1863" s="131" t="s">
        <v>247</v>
      </c>
      <c r="D1863" s="132" t="n">
        <v>46529</v>
      </c>
      <c r="E1863" s="131" t="s">
        <v>49</v>
      </c>
      <c r="F1863" s="133" t="s">
        <v>19</v>
      </c>
      <c r="G1863" s="134" t="n">
        <f aca="false">LEN('Saisie programme'!$I$74)+SUMIFS('Vols additionnels'!$E$7:$E$66,'Vols additionnels'!$C$7:$C$66,$E1863,'Vols additionnels'!$D$7:$D$66,$F1863,'Vols additionnels'!$B$7:$B$66,$D1863)</f>
        <v>0</v>
      </c>
      <c r="H1863" s="135" t="n">
        <f aca="false">$G1863*'Analyse capacite'!$F$8</f>
        <v>0</v>
      </c>
      <c r="I1863" s="135" t="n">
        <f aca="false">$G1863*'Analyse capacite'!$C$8</f>
        <v>0</v>
      </c>
      <c r="J1863" s="135" t="n">
        <f aca="false">$G1863*'Analyse capacite'!$D$8</f>
        <v>0</v>
      </c>
      <c r="K1863" s="135" t="n">
        <f aca="false">$G1863*'Analyse capacite'!$E$8</f>
        <v>0</v>
      </c>
    </row>
    <row r="1864" customFormat="false" ht="15" hidden="false" customHeight="false" outlineLevel="0" collapsed="false">
      <c r="B1864" s="130" t="n">
        <v>2027</v>
      </c>
      <c r="C1864" s="131" t="s">
        <v>247</v>
      </c>
      <c r="D1864" s="132" t="n">
        <v>46529</v>
      </c>
      <c r="E1864" s="131" t="s">
        <v>49</v>
      </c>
      <c r="F1864" s="133" t="s">
        <v>24</v>
      </c>
      <c r="G1864" s="134" t="n">
        <f aca="false">LEN('Saisie programme'!$I$75)+SUMIFS('Vols additionnels'!$E$7:$E$66,'Vols additionnels'!$C$7:$C$66,$E1864,'Vols additionnels'!$D$7:$D$66,$F1864,'Vols additionnels'!$B$7:$B$66,$D1864)</f>
        <v>0</v>
      </c>
      <c r="H1864" s="135" t="n">
        <f aca="false">$G1864*'Analyse capacite'!$F$9</f>
        <v>0</v>
      </c>
      <c r="I1864" s="135" t="n">
        <f aca="false">$G1864*'Analyse capacite'!$C$9</f>
        <v>0</v>
      </c>
      <c r="J1864" s="135" t="n">
        <f aca="false">$G1864*'Analyse capacite'!$D$9</f>
        <v>0</v>
      </c>
      <c r="K1864" s="135" t="n">
        <f aca="false">$G1864*'Analyse capacite'!$E$9</f>
        <v>0</v>
      </c>
    </row>
    <row r="1865" customFormat="false" ht="15" hidden="false" customHeight="false" outlineLevel="0" collapsed="false">
      <c r="B1865" s="130" t="n">
        <v>2027</v>
      </c>
      <c r="C1865" s="131" t="s">
        <v>247</v>
      </c>
      <c r="D1865" s="132" t="n">
        <v>46529</v>
      </c>
      <c r="E1865" s="131" t="s">
        <v>53</v>
      </c>
      <c r="F1865" s="133" t="s">
        <v>11</v>
      </c>
      <c r="G1865" s="134" t="n">
        <f aca="false">LEN('Saisie programme'!$I$76)+SUMIFS('Vols additionnels'!$E$7:$E$66,'Vols additionnels'!$C$7:$C$66,$E1865,'Vols additionnels'!$D$7:$D$66,$F1865,'Vols additionnels'!$B$7:$B$66,$D1865)</f>
        <v>0</v>
      </c>
      <c r="H1865" s="135" t="n">
        <f aca="false">$G1865*'Analyse capacite'!$F$7</f>
        <v>0</v>
      </c>
      <c r="I1865" s="135" t="n">
        <f aca="false">$G1865*'Analyse capacite'!$C$7</f>
        <v>0</v>
      </c>
      <c r="J1865" s="135" t="n">
        <f aca="false">$G1865*'Analyse capacite'!$D$7</f>
        <v>0</v>
      </c>
      <c r="K1865" s="135" t="n">
        <f aca="false">$G1865*'Analyse capacite'!$E$7</f>
        <v>0</v>
      </c>
    </row>
    <row r="1866" customFormat="false" ht="15" hidden="false" customHeight="false" outlineLevel="0" collapsed="false">
      <c r="B1866" s="130" t="n">
        <v>2027</v>
      </c>
      <c r="C1866" s="131" t="s">
        <v>247</v>
      </c>
      <c r="D1866" s="132" t="n">
        <v>46529</v>
      </c>
      <c r="E1866" s="131" t="s">
        <v>53</v>
      </c>
      <c r="F1866" s="133" t="s">
        <v>19</v>
      </c>
      <c r="G1866" s="134" t="n">
        <f aca="false">LEN('Saisie programme'!$I$77)+SUMIFS('Vols additionnels'!$E$7:$E$66,'Vols additionnels'!$C$7:$C$66,$E1866,'Vols additionnels'!$D$7:$D$66,$F1866,'Vols additionnels'!$B$7:$B$66,$D1866)</f>
        <v>0</v>
      </c>
      <c r="H1866" s="135" t="n">
        <f aca="false">$G1866*'Analyse capacite'!$F$8</f>
        <v>0</v>
      </c>
      <c r="I1866" s="135" t="n">
        <f aca="false">$G1866*'Analyse capacite'!$C$8</f>
        <v>0</v>
      </c>
      <c r="J1866" s="135" t="n">
        <f aca="false">$G1866*'Analyse capacite'!$D$8</f>
        <v>0</v>
      </c>
      <c r="K1866" s="135" t="n">
        <f aca="false">$G1866*'Analyse capacite'!$E$8</f>
        <v>0</v>
      </c>
    </row>
    <row r="1867" customFormat="false" ht="15" hidden="false" customHeight="false" outlineLevel="0" collapsed="false">
      <c r="B1867" s="130" t="n">
        <v>2027</v>
      </c>
      <c r="C1867" s="131" t="s">
        <v>247</v>
      </c>
      <c r="D1867" s="132" t="n">
        <v>46529</v>
      </c>
      <c r="E1867" s="131" t="s">
        <v>53</v>
      </c>
      <c r="F1867" s="133" t="s">
        <v>24</v>
      </c>
      <c r="G1867" s="134" t="n">
        <f aca="false">LEN('Saisie programme'!$I$78)+SUMIFS('Vols additionnels'!$E$7:$E$66,'Vols additionnels'!$C$7:$C$66,$E1867,'Vols additionnels'!$D$7:$D$66,$F1867,'Vols additionnels'!$B$7:$B$66,$D1867)</f>
        <v>0</v>
      </c>
      <c r="H1867" s="135" t="n">
        <f aca="false">$G1867*'Analyse capacite'!$F$9</f>
        <v>0</v>
      </c>
      <c r="I1867" s="135" t="n">
        <f aca="false">$G1867*'Analyse capacite'!$C$9</f>
        <v>0</v>
      </c>
      <c r="J1867" s="135" t="n">
        <f aca="false">$G1867*'Analyse capacite'!$D$9</f>
        <v>0</v>
      </c>
      <c r="K1867" s="135" t="n">
        <f aca="false">$G1867*'Analyse capacite'!$E$9</f>
        <v>0</v>
      </c>
    </row>
    <row r="1868" customFormat="false" ht="15" hidden="false" customHeight="false" outlineLevel="0" collapsed="false">
      <c r="B1868" s="130" t="n">
        <v>2027</v>
      </c>
      <c r="C1868" s="131" t="s">
        <v>247</v>
      </c>
      <c r="D1868" s="132" t="n">
        <v>46529</v>
      </c>
      <c r="E1868" s="131" t="s">
        <v>56</v>
      </c>
      <c r="F1868" s="133" t="s">
        <v>11</v>
      </c>
      <c r="G1868" s="134" t="n">
        <f aca="false">LEN('Saisie programme'!$I$79)+SUMIFS('Vols additionnels'!$E$7:$E$66,'Vols additionnels'!$C$7:$C$66,$E1868,'Vols additionnels'!$D$7:$D$66,$F1868,'Vols additionnels'!$B$7:$B$66,$D1868)</f>
        <v>0</v>
      </c>
      <c r="H1868" s="135" t="n">
        <f aca="false">$G1868*'Analyse capacite'!$F$7</f>
        <v>0</v>
      </c>
      <c r="I1868" s="135" t="n">
        <f aca="false">$G1868*'Analyse capacite'!$C$7</f>
        <v>0</v>
      </c>
      <c r="J1868" s="135" t="n">
        <f aca="false">$G1868*'Analyse capacite'!$D$7</f>
        <v>0</v>
      </c>
      <c r="K1868" s="135" t="n">
        <f aca="false">$G1868*'Analyse capacite'!$E$7</f>
        <v>0</v>
      </c>
    </row>
    <row r="1869" customFormat="false" ht="15" hidden="false" customHeight="false" outlineLevel="0" collapsed="false">
      <c r="B1869" s="130" t="n">
        <v>2027</v>
      </c>
      <c r="C1869" s="131" t="s">
        <v>247</v>
      </c>
      <c r="D1869" s="132" t="n">
        <v>46529</v>
      </c>
      <c r="E1869" s="131" t="s">
        <v>56</v>
      </c>
      <c r="F1869" s="133" t="s">
        <v>19</v>
      </c>
      <c r="G1869" s="134" t="n">
        <f aca="false">LEN('Saisie programme'!$I$80)+SUMIFS('Vols additionnels'!$E$7:$E$66,'Vols additionnels'!$C$7:$C$66,$E1869,'Vols additionnels'!$D$7:$D$66,$F1869,'Vols additionnels'!$B$7:$B$66,$D1869)</f>
        <v>0</v>
      </c>
      <c r="H1869" s="135" t="n">
        <f aca="false">$G1869*'Analyse capacite'!$F$8</f>
        <v>0</v>
      </c>
      <c r="I1869" s="135" t="n">
        <f aca="false">$G1869*'Analyse capacite'!$C$8</f>
        <v>0</v>
      </c>
      <c r="J1869" s="135" t="n">
        <f aca="false">$G1869*'Analyse capacite'!$D$8</f>
        <v>0</v>
      </c>
      <c r="K1869" s="135" t="n">
        <f aca="false">$G1869*'Analyse capacite'!$E$8</f>
        <v>0</v>
      </c>
    </row>
    <row r="1870" customFormat="false" ht="15" hidden="false" customHeight="false" outlineLevel="0" collapsed="false">
      <c r="B1870" s="130" t="n">
        <v>2027</v>
      </c>
      <c r="C1870" s="131" t="s">
        <v>247</v>
      </c>
      <c r="D1870" s="132" t="n">
        <v>46529</v>
      </c>
      <c r="E1870" s="131" t="s">
        <v>56</v>
      </c>
      <c r="F1870" s="133" t="s">
        <v>24</v>
      </c>
      <c r="G1870" s="134" t="n">
        <f aca="false">LEN('Saisie programme'!$I$81)+SUMIFS('Vols additionnels'!$E$7:$E$66,'Vols additionnels'!$C$7:$C$66,$E1870,'Vols additionnels'!$D$7:$D$66,$F1870,'Vols additionnels'!$B$7:$B$66,$D1870)</f>
        <v>1</v>
      </c>
      <c r="H1870" s="135" t="n">
        <f aca="false">$G1870*'Analyse capacite'!$F$9</f>
        <v>174</v>
      </c>
      <c r="I1870" s="135" t="n">
        <f aca="false">$G1870*'Analyse capacite'!$C$9</f>
        <v>0</v>
      </c>
      <c r="J1870" s="135" t="n">
        <f aca="false">$G1870*'Analyse capacite'!$D$9</f>
        <v>12</v>
      </c>
      <c r="K1870" s="135" t="n">
        <f aca="false">$G1870*'Analyse capacite'!$E$9</f>
        <v>162</v>
      </c>
    </row>
    <row r="1871" customFormat="false" ht="15" hidden="false" customHeight="false" outlineLevel="0" collapsed="false">
      <c r="B1871" s="130" t="n">
        <v>2027</v>
      </c>
      <c r="C1871" s="131" t="s">
        <v>247</v>
      </c>
      <c r="D1871" s="132" t="n">
        <v>46529</v>
      </c>
      <c r="E1871" s="131" t="s">
        <v>59</v>
      </c>
      <c r="F1871" s="133" t="s">
        <v>11</v>
      </c>
      <c r="G1871" s="134" t="n">
        <f aca="false">LEN('Saisie programme'!$I$82)+SUMIFS('Vols additionnels'!$E$7:$E$66,'Vols additionnels'!$C$7:$C$66,$E1871,'Vols additionnels'!$D$7:$D$66,$F1871,'Vols additionnels'!$B$7:$B$66,$D1871)</f>
        <v>0</v>
      </c>
      <c r="H1871" s="135" t="n">
        <f aca="false">$G1871*'Analyse capacite'!$F$7</f>
        <v>0</v>
      </c>
      <c r="I1871" s="135" t="n">
        <f aca="false">$G1871*'Analyse capacite'!$C$7</f>
        <v>0</v>
      </c>
      <c r="J1871" s="135" t="n">
        <f aca="false">$G1871*'Analyse capacite'!$D$7</f>
        <v>0</v>
      </c>
      <c r="K1871" s="135" t="n">
        <f aca="false">$G1871*'Analyse capacite'!$E$7</f>
        <v>0</v>
      </c>
    </row>
    <row r="1872" customFormat="false" ht="15" hidden="false" customHeight="false" outlineLevel="0" collapsed="false">
      <c r="B1872" s="130" t="n">
        <v>2027</v>
      </c>
      <c r="C1872" s="131" t="s">
        <v>247</v>
      </c>
      <c r="D1872" s="132" t="n">
        <v>46529</v>
      </c>
      <c r="E1872" s="131" t="s">
        <v>59</v>
      </c>
      <c r="F1872" s="133" t="s">
        <v>19</v>
      </c>
      <c r="G1872" s="134" t="n">
        <f aca="false">LEN('Saisie programme'!$I$83)+SUMIFS('Vols additionnels'!$E$7:$E$66,'Vols additionnels'!$C$7:$C$66,$E1872,'Vols additionnels'!$D$7:$D$66,$F1872,'Vols additionnels'!$B$7:$B$66,$D1872)</f>
        <v>0</v>
      </c>
      <c r="H1872" s="135" t="n">
        <f aca="false">$G1872*'Analyse capacite'!$F$8</f>
        <v>0</v>
      </c>
      <c r="I1872" s="135" t="n">
        <f aca="false">$G1872*'Analyse capacite'!$C$8</f>
        <v>0</v>
      </c>
      <c r="J1872" s="135" t="n">
        <f aca="false">$G1872*'Analyse capacite'!$D$8</f>
        <v>0</v>
      </c>
      <c r="K1872" s="135" t="n">
        <f aca="false">$G1872*'Analyse capacite'!$E$8</f>
        <v>0</v>
      </c>
    </row>
    <row r="1873" customFormat="false" ht="15" hidden="false" customHeight="false" outlineLevel="0" collapsed="false">
      <c r="B1873" s="130" t="n">
        <v>2027</v>
      </c>
      <c r="C1873" s="131" t="s">
        <v>247</v>
      </c>
      <c r="D1873" s="132" t="n">
        <v>46529</v>
      </c>
      <c r="E1873" s="131" t="s">
        <v>59</v>
      </c>
      <c r="F1873" s="133" t="s">
        <v>24</v>
      </c>
      <c r="G1873" s="134" t="n">
        <f aca="false">LEN('Saisie programme'!$I$84)+SUMIFS('Vols additionnels'!$E$7:$E$66,'Vols additionnels'!$C$7:$C$66,$E1873,'Vols additionnels'!$D$7:$D$66,$F1873,'Vols additionnels'!$B$7:$B$66,$D1873)</f>
        <v>1</v>
      </c>
      <c r="H1873" s="135" t="n">
        <f aca="false">$G1873*'Analyse capacite'!$F$9</f>
        <v>174</v>
      </c>
      <c r="I1873" s="135" t="n">
        <f aca="false">$G1873*'Analyse capacite'!$C$9</f>
        <v>0</v>
      </c>
      <c r="J1873" s="135" t="n">
        <f aca="false">$G1873*'Analyse capacite'!$D$9</f>
        <v>12</v>
      </c>
      <c r="K1873" s="135" t="n">
        <f aca="false">$G1873*'Analyse capacite'!$E$9</f>
        <v>162</v>
      </c>
    </row>
    <row r="1874" customFormat="false" ht="15" hidden="false" customHeight="false" outlineLevel="0" collapsed="false">
      <c r="B1874" s="130" t="n">
        <v>2027</v>
      </c>
      <c r="C1874" s="131" t="s">
        <v>247</v>
      </c>
      <c r="D1874" s="132" t="n">
        <v>46529</v>
      </c>
      <c r="E1874" s="131" t="s">
        <v>62</v>
      </c>
      <c r="F1874" s="133" t="s">
        <v>11</v>
      </c>
      <c r="G1874" s="134" t="n">
        <f aca="false">LEN('Saisie programme'!$I$85)+SUMIFS('Vols additionnels'!$E$7:$E$66,'Vols additionnels'!$C$7:$C$66,$E1874,'Vols additionnels'!$D$7:$D$66,$F1874,'Vols additionnels'!$B$7:$B$66,$D1874)</f>
        <v>0</v>
      </c>
      <c r="H1874" s="135" t="n">
        <f aca="false">$G1874*'Analyse capacite'!$F$7</f>
        <v>0</v>
      </c>
      <c r="I1874" s="135" t="n">
        <f aca="false">$G1874*'Analyse capacite'!$C$7</f>
        <v>0</v>
      </c>
      <c r="J1874" s="135" t="n">
        <f aca="false">$G1874*'Analyse capacite'!$D$7</f>
        <v>0</v>
      </c>
      <c r="K1874" s="135" t="n">
        <f aca="false">$G1874*'Analyse capacite'!$E$7</f>
        <v>0</v>
      </c>
    </row>
    <row r="1875" customFormat="false" ht="15" hidden="false" customHeight="false" outlineLevel="0" collapsed="false">
      <c r="B1875" s="130" t="n">
        <v>2027</v>
      </c>
      <c r="C1875" s="131" t="s">
        <v>247</v>
      </c>
      <c r="D1875" s="132" t="n">
        <v>46529</v>
      </c>
      <c r="E1875" s="131" t="s">
        <v>62</v>
      </c>
      <c r="F1875" s="133" t="s">
        <v>19</v>
      </c>
      <c r="G1875" s="134" t="n">
        <f aca="false">LEN('Saisie programme'!$I$86)+SUMIFS('Vols additionnels'!$E$7:$E$66,'Vols additionnels'!$C$7:$C$66,$E1875,'Vols additionnels'!$D$7:$D$66,$F1875,'Vols additionnels'!$B$7:$B$66,$D1875)</f>
        <v>0</v>
      </c>
      <c r="H1875" s="135" t="n">
        <f aca="false">$G1875*'Analyse capacite'!$F$8</f>
        <v>0</v>
      </c>
      <c r="I1875" s="135" t="n">
        <f aca="false">$G1875*'Analyse capacite'!$C$8</f>
        <v>0</v>
      </c>
      <c r="J1875" s="135" t="n">
        <f aca="false">$G1875*'Analyse capacite'!$D$8</f>
        <v>0</v>
      </c>
      <c r="K1875" s="135" t="n">
        <f aca="false">$G1875*'Analyse capacite'!$E$8</f>
        <v>0</v>
      </c>
    </row>
    <row r="1876" customFormat="false" ht="15" hidden="false" customHeight="false" outlineLevel="0" collapsed="false">
      <c r="B1876" s="130" t="n">
        <v>2027</v>
      </c>
      <c r="C1876" s="131" t="s">
        <v>247</v>
      </c>
      <c r="D1876" s="132" t="n">
        <v>46529</v>
      </c>
      <c r="E1876" s="131" t="s">
        <v>62</v>
      </c>
      <c r="F1876" s="133" t="s">
        <v>24</v>
      </c>
      <c r="G1876" s="134" t="n">
        <f aca="false">LEN('Saisie programme'!$I$87)+SUMIFS('Vols additionnels'!$E$7:$E$66,'Vols additionnels'!$C$7:$C$66,$E1876,'Vols additionnels'!$D$7:$D$66,$F1876,'Vols additionnels'!$B$7:$B$66,$D1876)</f>
        <v>0</v>
      </c>
      <c r="H1876" s="135" t="n">
        <f aca="false">$G1876*'Analyse capacite'!$F$9</f>
        <v>0</v>
      </c>
      <c r="I1876" s="135" t="n">
        <f aca="false">$G1876*'Analyse capacite'!$C$9</f>
        <v>0</v>
      </c>
      <c r="J1876" s="135" t="n">
        <f aca="false">$G1876*'Analyse capacite'!$D$9</f>
        <v>0</v>
      </c>
      <c r="K1876" s="135" t="n">
        <f aca="false">$G1876*'Analyse capacite'!$E$9</f>
        <v>0</v>
      </c>
    </row>
    <row r="1877" customFormat="false" ht="15" hidden="false" customHeight="false" outlineLevel="0" collapsed="false">
      <c r="B1877" s="130" t="n">
        <v>2027</v>
      </c>
      <c r="C1877" s="131" t="s">
        <v>247</v>
      </c>
      <c r="D1877" s="132" t="n">
        <v>46530</v>
      </c>
      <c r="E1877" s="131" t="s">
        <v>12</v>
      </c>
      <c r="F1877" s="133" t="s">
        <v>11</v>
      </c>
      <c r="G1877" s="134" t="n">
        <f aca="false">LEN('Saisie programme'!$J$52)+SUMIFS('Vols additionnels'!$E$7:$E$66,'Vols additionnels'!$C$7:$C$66,$E1877,'Vols additionnels'!$D$7:$D$66,$F1877,'Vols additionnels'!$B$7:$B$66,$D1877)</f>
        <v>1</v>
      </c>
      <c r="H1877" s="135" t="n">
        <f aca="false">$G1877*'Analyse capacite'!$F$7</f>
        <v>438</v>
      </c>
      <c r="I1877" s="135" t="n">
        <f aca="false">$G1877*'Analyse capacite'!$C$7</f>
        <v>14</v>
      </c>
      <c r="J1877" s="135" t="n">
        <f aca="false">$G1877*'Analyse capacite'!$D$7</f>
        <v>40</v>
      </c>
      <c r="K1877" s="135" t="n">
        <f aca="false">$G1877*'Analyse capacite'!$E$7</f>
        <v>384</v>
      </c>
    </row>
    <row r="1878" customFormat="false" ht="15" hidden="false" customHeight="false" outlineLevel="0" collapsed="false">
      <c r="B1878" s="130" t="n">
        <v>2027</v>
      </c>
      <c r="C1878" s="131" t="s">
        <v>247</v>
      </c>
      <c r="D1878" s="132" t="n">
        <v>46530</v>
      </c>
      <c r="E1878" s="131" t="s">
        <v>12</v>
      </c>
      <c r="F1878" s="133" t="s">
        <v>19</v>
      </c>
      <c r="G1878" s="134" t="n">
        <f aca="false">LEN('Saisie programme'!$J$53)+SUMIFS('Vols additionnels'!$E$7:$E$66,'Vols additionnels'!$C$7:$C$66,$E1878,'Vols additionnels'!$D$7:$D$66,$F1878,'Vols additionnels'!$B$7:$B$66,$D1878)</f>
        <v>0</v>
      </c>
      <c r="H1878" s="135" t="n">
        <f aca="false">$G1878*'Analyse capacite'!$F$8</f>
        <v>0</v>
      </c>
      <c r="I1878" s="135" t="n">
        <f aca="false">$G1878*'Analyse capacite'!$C$8</f>
        <v>0</v>
      </c>
      <c r="J1878" s="135" t="n">
        <f aca="false">$G1878*'Analyse capacite'!$D$8</f>
        <v>0</v>
      </c>
      <c r="K1878" s="135" t="n">
        <f aca="false">$G1878*'Analyse capacite'!$E$8</f>
        <v>0</v>
      </c>
    </row>
    <row r="1879" customFormat="false" ht="15" hidden="false" customHeight="false" outlineLevel="0" collapsed="false">
      <c r="B1879" s="130" t="n">
        <v>2027</v>
      </c>
      <c r="C1879" s="131" t="s">
        <v>247</v>
      </c>
      <c r="D1879" s="132" t="n">
        <v>46530</v>
      </c>
      <c r="E1879" s="131" t="s">
        <v>12</v>
      </c>
      <c r="F1879" s="133" t="s">
        <v>24</v>
      </c>
      <c r="G1879" s="134" t="n">
        <f aca="false">LEN('Saisie programme'!$J$54)+SUMIFS('Vols additionnels'!$E$7:$E$66,'Vols additionnels'!$C$7:$C$66,$E1879,'Vols additionnels'!$D$7:$D$66,$F1879,'Vols additionnels'!$B$7:$B$66,$D1879)</f>
        <v>0</v>
      </c>
      <c r="H1879" s="135" t="n">
        <f aca="false">$G1879*'Analyse capacite'!$F$9</f>
        <v>0</v>
      </c>
      <c r="I1879" s="135" t="n">
        <f aca="false">$G1879*'Analyse capacite'!$C$9</f>
        <v>0</v>
      </c>
      <c r="J1879" s="135" t="n">
        <f aca="false">$G1879*'Analyse capacite'!$D$9</f>
        <v>0</v>
      </c>
      <c r="K1879" s="135" t="n">
        <f aca="false">$G1879*'Analyse capacite'!$E$9</f>
        <v>0</v>
      </c>
    </row>
    <row r="1880" customFormat="false" ht="15" hidden="false" customHeight="false" outlineLevel="0" collapsed="false">
      <c r="B1880" s="130" t="n">
        <v>2027</v>
      </c>
      <c r="C1880" s="131" t="s">
        <v>247</v>
      </c>
      <c r="D1880" s="132" t="n">
        <v>46530</v>
      </c>
      <c r="E1880" s="131" t="s">
        <v>20</v>
      </c>
      <c r="F1880" s="133" t="s">
        <v>11</v>
      </c>
      <c r="G1880" s="134" t="n">
        <f aca="false">LEN('Saisie programme'!$J$55)+SUMIFS('Vols additionnels'!$E$7:$E$66,'Vols additionnels'!$C$7:$C$66,$E1880,'Vols additionnels'!$D$7:$D$66,$F1880,'Vols additionnels'!$B$7:$B$66,$D1880)</f>
        <v>1</v>
      </c>
      <c r="H1880" s="135" t="n">
        <f aca="false">$G1880*'Analyse capacite'!$F$7</f>
        <v>438</v>
      </c>
      <c r="I1880" s="135" t="n">
        <f aca="false">$G1880*'Analyse capacite'!$C$7</f>
        <v>14</v>
      </c>
      <c r="J1880" s="135" t="n">
        <f aca="false">$G1880*'Analyse capacite'!$D$7</f>
        <v>40</v>
      </c>
      <c r="K1880" s="135" t="n">
        <f aca="false">$G1880*'Analyse capacite'!$E$7</f>
        <v>384</v>
      </c>
    </row>
    <row r="1881" customFormat="false" ht="15" hidden="false" customHeight="false" outlineLevel="0" collapsed="false">
      <c r="B1881" s="130" t="n">
        <v>2027</v>
      </c>
      <c r="C1881" s="131" t="s">
        <v>247</v>
      </c>
      <c r="D1881" s="132" t="n">
        <v>46530</v>
      </c>
      <c r="E1881" s="131" t="s">
        <v>20</v>
      </c>
      <c r="F1881" s="133" t="s">
        <v>19</v>
      </c>
      <c r="G1881" s="134" t="n">
        <f aca="false">LEN('Saisie programme'!$J$56)+SUMIFS('Vols additionnels'!$E$7:$E$66,'Vols additionnels'!$C$7:$C$66,$E1881,'Vols additionnels'!$D$7:$D$66,$F1881,'Vols additionnels'!$B$7:$B$66,$D1881)</f>
        <v>0</v>
      </c>
      <c r="H1881" s="135" t="n">
        <f aca="false">$G1881*'Analyse capacite'!$F$8</f>
        <v>0</v>
      </c>
      <c r="I1881" s="135" t="n">
        <f aca="false">$G1881*'Analyse capacite'!$C$8</f>
        <v>0</v>
      </c>
      <c r="J1881" s="135" t="n">
        <f aca="false">$G1881*'Analyse capacite'!$D$8</f>
        <v>0</v>
      </c>
      <c r="K1881" s="135" t="n">
        <f aca="false">$G1881*'Analyse capacite'!$E$8</f>
        <v>0</v>
      </c>
    </row>
    <row r="1882" customFormat="false" ht="15" hidden="false" customHeight="false" outlineLevel="0" collapsed="false">
      <c r="B1882" s="130" t="n">
        <v>2027</v>
      </c>
      <c r="C1882" s="131" t="s">
        <v>247</v>
      </c>
      <c r="D1882" s="132" t="n">
        <v>46530</v>
      </c>
      <c r="E1882" s="131" t="s">
        <v>20</v>
      </c>
      <c r="F1882" s="133" t="s">
        <v>24</v>
      </c>
      <c r="G1882" s="134" t="n">
        <f aca="false">LEN('Saisie programme'!$J$57)+SUMIFS('Vols additionnels'!$E$7:$E$66,'Vols additionnels'!$C$7:$C$66,$E1882,'Vols additionnels'!$D$7:$D$66,$F1882,'Vols additionnels'!$B$7:$B$66,$D1882)</f>
        <v>0</v>
      </c>
      <c r="H1882" s="135" t="n">
        <f aca="false">$G1882*'Analyse capacite'!$F$9</f>
        <v>0</v>
      </c>
      <c r="I1882" s="135" t="n">
        <f aca="false">$G1882*'Analyse capacite'!$C$9</f>
        <v>0</v>
      </c>
      <c r="J1882" s="135" t="n">
        <f aca="false">$G1882*'Analyse capacite'!$D$9</f>
        <v>0</v>
      </c>
      <c r="K1882" s="135" t="n">
        <f aca="false">$G1882*'Analyse capacite'!$E$9</f>
        <v>0</v>
      </c>
    </row>
    <row r="1883" customFormat="false" ht="15" hidden="false" customHeight="false" outlineLevel="0" collapsed="false">
      <c r="B1883" s="130" t="n">
        <v>2027</v>
      </c>
      <c r="C1883" s="131" t="s">
        <v>247</v>
      </c>
      <c r="D1883" s="132" t="n">
        <v>46530</v>
      </c>
      <c r="E1883" s="131" t="s">
        <v>25</v>
      </c>
      <c r="F1883" s="133" t="s">
        <v>11</v>
      </c>
      <c r="G1883" s="134" t="n">
        <f aca="false">LEN('Saisie programme'!$J$58)+SUMIFS('Vols additionnels'!$E$7:$E$66,'Vols additionnels'!$C$7:$C$66,$E1883,'Vols additionnels'!$D$7:$D$66,$F1883,'Vols additionnels'!$B$7:$B$66,$D1883)</f>
        <v>0</v>
      </c>
      <c r="H1883" s="135" t="n">
        <f aca="false">$G1883*'Analyse capacite'!$F$7</f>
        <v>0</v>
      </c>
      <c r="I1883" s="135" t="n">
        <f aca="false">$G1883*'Analyse capacite'!$C$7</f>
        <v>0</v>
      </c>
      <c r="J1883" s="135" t="n">
        <f aca="false">$G1883*'Analyse capacite'!$D$7</f>
        <v>0</v>
      </c>
      <c r="K1883" s="135" t="n">
        <f aca="false">$G1883*'Analyse capacite'!$E$7</f>
        <v>0</v>
      </c>
    </row>
    <row r="1884" customFormat="false" ht="15" hidden="false" customHeight="false" outlineLevel="0" collapsed="false">
      <c r="B1884" s="130" t="n">
        <v>2027</v>
      </c>
      <c r="C1884" s="131" t="s">
        <v>247</v>
      </c>
      <c r="D1884" s="132" t="n">
        <v>46530</v>
      </c>
      <c r="E1884" s="131" t="s">
        <v>25</v>
      </c>
      <c r="F1884" s="133" t="s">
        <v>19</v>
      </c>
      <c r="G1884" s="134" t="n">
        <f aca="false">LEN('Saisie programme'!$J$59)+SUMIFS('Vols additionnels'!$E$7:$E$66,'Vols additionnels'!$C$7:$C$66,$E1884,'Vols additionnels'!$D$7:$D$66,$F1884,'Vols additionnels'!$B$7:$B$66,$D1884)</f>
        <v>0</v>
      </c>
      <c r="H1884" s="135" t="n">
        <f aca="false">$G1884*'Analyse capacite'!$F$8</f>
        <v>0</v>
      </c>
      <c r="I1884" s="135" t="n">
        <f aca="false">$G1884*'Analyse capacite'!$C$8</f>
        <v>0</v>
      </c>
      <c r="J1884" s="135" t="n">
        <f aca="false">$G1884*'Analyse capacite'!$D$8</f>
        <v>0</v>
      </c>
      <c r="K1884" s="135" t="n">
        <f aca="false">$G1884*'Analyse capacite'!$E$8</f>
        <v>0</v>
      </c>
    </row>
    <row r="1885" customFormat="false" ht="15" hidden="false" customHeight="false" outlineLevel="0" collapsed="false">
      <c r="B1885" s="130" t="n">
        <v>2027</v>
      </c>
      <c r="C1885" s="131" t="s">
        <v>247</v>
      </c>
      <c r="D1885" s="132" t="n">
        <v>46530</v>
      </c>
      <c r="E1885" s="131" t="s">
        <v>25</v>
      </c>
      <c r="F1885" s="133" t="s">
        <v>24</v>
      </c>
      <c r="G1885" s="134" t="n">
        <f aca="false">LEN('Saisie programme'!$J$60)+SUMIFS('Vols additionnels'!$E$7:$E$66,'Vols additionnels'!$C$7:$C$66,$E1885,'Vols additionnels'!$D$7:$D$66,$F1885,'Vols additionnels'!$B$7:$B$66,$D1885)</f>
        <v>0</v>
      </c>
      <c r="H1885" s="135" t="n">
        <f aca="false">$G1885*'Analyse capacite'!$F$9</f>
        <v>0</v>
      </c>
      <c r="I1885" s="135" t="n">
        <f aca="false">$G1885*'Analyse capacite'!$C$9</f>
        <v>0</v>
      </c>
      <c r="J1885" s="135" t="n">
        <f aca="false">$G1885*'Analyse capacite'!$D$9</f>
        <v>0</v>
      </c>
      <c r="K1885" s="135" t="n">
        <f aca="false">$G1885*'Analyse capacite'!$E$9</f>
        <v>0</v>
      </c>
    </row>
    <row r="1886" customFormat="false" ht="15" hidden="false" customHeight="false" outlineLevel="0" collapsed="false">
      <c r="B1886" s="130" t="n">
        <v>2027</v>
      </c>
      <c r="C1886" s="131" t="s">
        <v>247</v>
      </c>
      <c r="D1886" s="132" t="n">
        <v>46530</v>
      </c>
      <c r="E1886" s="131" t="s">
        <v>36</v>
      </c>
      <c r="F1886" s="133" t="s">
        <v>11</v>
      </c>
      <c r="G1886" s="134" t="n">
        <f aca="false">LEN('Saisie programme'!$J$61)+SUMIFS('Vols additionnels'!$E$7:$E$66,'Vols additionnels'!$C$7:$C$66,$E1886,'Vols additionnels'!$D$7:$D$66,$F1886,'Vols additionnels'!$B$7:$B$66,$D1886)</f>
        <v>0</v>
      </c>
      <c r="H1886" s="135" t="n">
        <f aca="false">$G1886*'Analyse capacite'!$F$7</f>
        <v>0</v>
      </c>
      <c r="I1886" s="135" t="n">
        <f aca="false">$G1886*'Analyse capacite'!$C$7</f>
        <v>0</v>
      </c>
      <c r="J1886" s="135" t="n">
        <f aca="false">$G1886*'Analyse capacite'!$D$7</f>
        <v>0</v>
      </c>
      <c r="K1886" s="135" t="n">
        <f aca="false">$G1886*'Analyse capacite'!$E$7</f>
        <v>0</v>
      </c>
    </row>
    <row r="1887" customFormat="false" ht="15" hidden="false" customHeight="false" outlineLevel="0" collapsed="false">
      <c r="B1887" s="130" t="n">
        <v>2027</v>
      </c>
      <c r="C1887" s="131" t="s">
        <v>247</v>
      </c>
      <c r="D1887" s="132" t="n">
        <v>46530</v>
      </c>
      <c r="E1887" s="131" t="s">
        <v>36</v>
      </c>
      <c r="F1887" s="133" t="s">
        <v>19</v>
      </c>
      <c r="G1887" s="134" t="n">
        <f aca="false">LEN('Saisie programme'!$J$62)+SUMIFS('Vols additionnels'!$E$7:$E$66,'Vols additionnels'!$C$7:$C$66,$E1887,'Vols additionnels'!$D$7:$D$66,$F1887,'Vols additionnels'!$B$7:$B$66,$D1887)</f>
        <v>0</v>
      </c>
      <c r="H1887" s="135" t="n">
        <f aca="false">$G1887*'Analyse capacite'!$F$8</f>
        <v>0</v>
      </c>
      <c r="I1887" s="135" t="n">
        <f aca="false">$G1887*'Analyse capacite'!$C$8</f>
        <v>0</v>
      </c>
      <c r="J1887" s="135" t="n">
        <f aca="false">$G1887*'Analyse capacite'!$D$8</f>
        <v>0</v>
      </c>
      <c r="K1887" s="135" t="n">
        <f aca="false">$G1887*'Analyse capacite'!$E$8</f>
        <v>0</v>
      </c>
    </row>
    <row r="1888" customFormat="false" ht="15" hidden="false" customHeight="false" outlineLevel="0" collapsed="false">
      <c r="B1888" s="130" t="n">
        <v>2027</v>
      </c>
      <c r="C1888" s="131" t="s">
        <v>247</v>
      </c>
      <c r="D1888" s="132" t="n">
        <v>46530</v>
      </c>
      <c r="E1888" s="131" t="s">
        <v>36</v>
      </c>
      <c r="F1888" s="133" t="s">
        <v>24</v>
      </c>
      <c r="G1888" s="134" t="n">
        <f aca="false">LEN('Saisie programme'!$J$63)+SUMIFS('Vols additionnels'!$E$7:$E$66,'Vols additionnels'!$C$7:$C$66,$E1888,'Vols additionnels'!$D$7:$D$66,$F1888,'Vols additionnels'!$B$7:$B$66,$D1888)</f>
        <v>0</v>
      </c>
      <c r="H1888" s="135" t="n">
        <f aca="false">$G1888*'Analyse capacite'!$F$9</f>
        <v>0</v>
      </c>
      <c r="I1888" s="135" t="n">
        <f aca="false">$G1888*'Analyse capacite'!$C$9</f>
        <v>0</v>
      </c>
      <c r="J1888" s="135" t="n">
        <f aca="false">$G1888*'Analyse capacite'!$D$9</f>
        <v>0</v>
      </c>
      <c r="K1888" s="135" t="n">
        <f aca="false">$G1888*'Analyse capacite'!$E$9</f>
        <v>0</v>
      </c>
    </row>
    <row r="1889" customFormat="false" ht="15" hidden="false" customHeight="false" outlineLevel="0" collapsed="false">
      <c r="B1889" s="130" t="n">
        <v>2027</v>
      </c>
      <c r="C1889" s="131" t="s">
        <v>247</v>
      </c>
      <c r="D1889" s="132" t="n">
        <v>46530</v>
      </c>
      <c r="E1889" s="131" t="s">
        <v>40</v>
      </c>
      <c r="F1889" s="133" t="s">
        <v>11</v>
      </c>
      <c r="G1889" s="134" t="n">
        <f aca="false">LEN('Saisie programme'!$J$64)+SUMIFS('Vols additionnels'!$E$7:$E$66,'Vols additionnels'!$C$7:$C$66,$E1889,'Vols additionnels'!$D$7:$D$66,$F1889,'Vols additionnels'!$B$7:$B$66,$D1889)</f>
        <v>0</v>
      </c>
      <c r="H1889" s="135" t="n">
        <f aca="false">$G1889*'Analyse capacite'!$F$7</f>
        <v>0</v>
      </c>
      <c r="I1889" s="135" t="n">
        <f aca="false">$G1889*'Analyse capacite'!$C$7</f>
        <v>0</v>
      </c>
      <c r="J1889" s="135" t="n">
        <f aca="false">$G1889*'Analyse capacite'!$D$7</f>
        <v>0</v>
      </c>
      <c r="K1889" s="135" t="n">
        <f aca="false">$G1889*'Analyse capacite'!$E$7</f>
        <v>0</v>
      </c>
    </row>
    <row r="1890" customFormat="false" ht="15" hidden="false" customHeight="false" outlineLevel="0" collapsed="false">
      <c r="B1890" s="130" t="n">
        <v>2027</v>
      </c>
      <c r="C1890" s="131" t="s">
        <v>247</v>
      </c>
      <c r="D1890" s="132" t="n">
        <v>46530</v>
      </c>
      <c r="E1890" s="131" t="s">
        <v>40</v>
      </c>
      <c r="F1890" s="133" t="s">
        <v>19</v>
      </c>
      <c r="G1890" s="134" t="n">
        <f aca="false">LEN('Saisie programme'!$J$65)+SUMIFS('Vols additionnels'!$E$7:$E$66,'Vols additionnels'!$C$7:$C$66,$E1890,'Vols additionnels'!$D$7:$D$66,$F1890,'Vols additionnels'!$B$7:$B$66,$D1890)</f>
        <v>0</v>
      </c>
      <c r="H1890" s="135" t="n">
        <f aca="false">$G1890*'Analyse capacite'!$F$8</f>
        <v>0</v>
      </c>
      <c r="I1890" s="135" t="n">
        <f aca="false">$G1890*'Analyse capacite'!$C$8</f>
        <v>0</v>
      </c>
      <c r="J1890" s="135" t="n">
        <f aca="false">$G1890*'Analyse capacite'!$D$8</f>
        <v>0</v>
      </c>
      <c r="K1890" s="135" t="n">
        <f aca="false">$G1890*'Analyse capacite'!$E$8</f>
        <v>0</v>
      </c>
    </row>
    <row r="1891" customFormat="false" ht="15" hidden="false" customHeight="false" outlineLevel="0" collapsed="false">
      <c r="B1891" s="130" t="n">
        <v>2027</v>
      </c>
      <c r="C1891" s="131" t="s">
        <v>247</v>
      </c>
      <c r="D1891" s="132" t="n">
        <v>46530</v>
      </c>
      <c r="E1891" s="131" t="s">
        <v>40</v>
      </c>
      <c r="F1891" s="133" t="s">
        <v>24</v>
      </c>
      <c r="G1891" s="134" t="n">
        <f aca="false">LEN('Saisie programme'!$J$66)+SUMIFS('Vols additionnels'!$E$7:$E$66,'Vols additionnels'!$C$7:$C$66,$E1891,'Vols additionnels'!$D$7:$D$66,$F1891,'Vols additionnels'!$B$7:$B$66,$D1891)</f>
        <v>1</v>
      </c>
      <c r="H1891" s="135" t="n">
        <f aca="false">$G1891*'Analyse capacite'!$F$9</f>
        <v>174</v>
      </c>
      <c r="I1891" s="135" t="n">
        <f aca="false">$G1891*'Analyse capacite'!$C$9</f>
        <v>0</v>
      </c>
      <c r="J1891" s="135" t="n">
        <f aca="false">$G1891*'Analyse capacite'!$D$9</f>
        <v>12</v>
      </c>
      <c r="K1891" s="135" t="n">
        <f aca="false">$G1891*'Analyse capacite'!$E$9</f>
        <v>162</v>
      </c>
    </row>
    <row r="1892" customFormat="false" ht="15" hidden="false" customHeight="false" outlineLevel="0" collapsed="false">
      <c r="B1892" s="130" t="n">
        <v>2027</v>
      </c>
      <c r="C1892" s="131" t="s">
        <v>247</v>
      </c>
      <c r="D1892" s="132" t="n">
        <v>46530</v>
      </c>
      <c r="E1892" s="131" t="s">
        <v>14</v>
      </c>
      <c r="F1892" s="133" t="s">
        <v>11</v>
      </c>
      <c r="G1892" s="134" t="n">
        <f aca="false">LEN('Saisie programme'!$J$67)+SUMIFS('Vols additionnels'!$E$7:$E$66,'Vols additionnels'!$C$7:$C$66,$E1892,'Vols additionnels'!$D$7:$D$66,$F1892,'Vols additionnels'!$B$7:$B$66,$D1892)</f>
        <v>0</v>
      </c>
      <c r="H1892" s="135" t="n">
        <f aca="false">$G1892*'Analyse capacite'!$F$7</f>
        <v>0</v>
      </c>
      <c r="I1892" s="135" t="n">
        <f aca="false">$G1892*'Analyse capacite'!$C$7</f>
        <v>0</v>
      </c>
      <c r="J1892" s="135" t="n">
        <f aca="false">$G1892*'Analyse capacite'!$D$7</f>
        <v>0</v>
      </c>
      <c r="K1892" s="135" t="n">
        <f aca="false">$G1892*'Analyse capacite'!$E$7</f>
        <v>0</v>
      </c>
    </row>
    <row r="1893" customFormat="false" ht="15" hidden="false" customHeight="false" outlineLevel="0" collapsed="false">
      <c r="B1893" s="130" t="n">
        <v>2027</v>
      </c>
      <c r="C1893" s="131" t="s">
        <v>247</v>
      </c>
      <c r="D1893" s="132" t="n">
        <v>46530</v>
      </c>
      <c r="E1893" s="131" t="s">
        <v>14</v>
      </c>
      <c r="F1893" s="133" t="s">
        <v>19</v>
      </c>
      <c r="G1893" s="134" t="n">
        <f aca="false">LEN('Saisie programme'!$J$68)+SUMIFS('Vols additionnels'!$E$7:$E$66,'Vols additionnels'!$C$7:$C$66,$E1893,'Vols additionnels'!$D$7:$D$66,$F1893,'Vols additionnels'!$B$7:$B$66,$D1893)</f>
        <v>0</v>
      </c>
      <c r="H1893" s="135" t="n">
        <f aca="false">$G1893*'Analyse capacite'!$F$8</f>
        <v>0</v>
      </c>
      <c r="I1893" s="135" t="n">
        <f aca="false">$G1893*'Analyse capacite'!$C$8</f>
        <v>0</v>
      </c>
      <c r="J1893" s="135" t="n">
        <f aca="false">$G1893*'Analyse capacite'!$D$8</f>
        <v>0</v>
      </c>
      <c r="K1893" s="135" t="n">
        <f aca="false">$G1893*'Analyse capacite'!$E$8</f>
        <v>0</v>
      </c>
    </row>
    <row r="1894" customFormat="false" ht="15" hidden="false" customHeight="false" outlineLevel="0" collapsed="false">
      <c r="B1894" s="130" t="n">
        <v>2027</v>
      </c>
      <c r="C1894" s="131" t="s">
        <v>247</v>
      </c>
      <c r="D1894" s="132" t="n">
        <v>46530</v>
      </c>
      <c r="E1894" s="131" t="s">
        <v>14</v>
      </c>
      <c r="F1894" s="133" t="s">
        <v>24</v>
      </c>
      <c r="G1894" s="134" t="n">
        <f aca="false">LEN('Saisie programme'!$J$69)+SUMIFS('Vols additionnels'!$E$7:$E$66,'Vols additionnels'!$C$7:$C$66,$E1894,'Vols additionnels'!$D$7:$D$66,$F1894,'Vols additionnels'!$B$7:$B$66,$D1894)</f>
        <v>0</v>
      </c>
      <c r="H1894" s="135" t="n">
        <f aca="false">$G1894*'Analyse capacite'!$F$9</f>
        <v>0</v>
      </c>
      <c r="I1894" s="135" t="n">
        <f aca="false">$G1894*'Analyse capacite'!$C$9</f>
        <v>0</v>
      </c>
      <c r="J1894" s="135" t="n">
        <f aca="false">$G1894*'Analyse capacite'!$D$9</f>
        <v>0</v>
      </c>
      <c r="K1894" s="135" t="n">
        <f aca="false">$G1894*'Analyse capacite'!$E$9</f>
        <v>0</v>
      </c>
    </row>
    <row r="1895" customFormat="false" ht="15" hidden="false" customHeight="false" outlineLevel="0" collapsed="false">
      <c r="B1895" s="130" t="n">
        <v>2027</v>
      </c>
      <c r="C1895" s="131" t="s">
        <v>247</v>
      </c>
      <c r="D1895" s="132" t="n">
        <v>46530</v>
      </c>
      <c r="E1895" s="131" t="s">
        <v>46</v>
      </c>
      <c r="F1895" s="133" t="s">
        <v>11</v>
      </c>
      <c r="G1895" s="134" t="n">
        <f aca="false">LEN('Saisie programme'!$J$70)+SUMIFS('Vols additionnels'!$E$7:$E$66,'Vols additionnels'!$C$7:$C$66,$E1895,'Vols additionnels'!$D$7:$D$66,$F1895,'Vols additionnels'!$B$7:$B$66,$D1895)</f>
        <v>0</v>
      </c>
      <c r="H1895" s="135" t="n">
        <f aca="false">$G1895*'Analyse capacite'!$F$7</f>
        <v>0</v>
      </c>
      <c r="I1895" s="135" t="n">
        <f aca="false">$G1895*'Analyse capacite'!$C$7</f>
        <v>0</v>
      </c>
      <c r="J1895" s="135" t="n">
        <f aca="false">$G1895*'Analyse capacite'!$D$7</f>
        <v>0</v>
      </c>
      <c r="K1895" s="135" t="n">
        <f aca="false">$G1895*'Analyse capacite'!$E$7</f>
        <v>0</v>
      </c>
    </row>
    <row r="1896" customFormat="false" ht="15" hidden="false" customHeight="false" outlineLevel="0" collapsed="false">
      <c r="B1896" s="130" t="n">
        <v>2027</v>
      </c>
      <c r="C1896" s="131" t="s">
        <v>247</v>
      </c>
      <c r="D1896" s="132" t="n">
        <v>46530</v>
      </c>
      <c r="E1896" s="131" t="s">
        <v>46</v>
      </c>
      <c r="F1896" s="133" t="s">
        <v>19</v>
      </c>
      <c r="G1896" s="134" t="n">
        <f aca="false">LEN('Saisie programme'!$J$71)+SUMIFS('Vols additionnels'!$E$7:$E$66,'Vols additionnels'!$C$7:$C$66,$E1896,'Vols additionnels'!$D$7:$D$66,$F1896,'Vols additionnels'!$B$7:$B$66,$D1896)</f>
        <v>0</v>
      </c>
      <c r="H1896" s="135" t="n">
        <f aca="false">$G1896*'Analyse capacite'!$F$8</f>
        <v>0</v>
      </c>
      <c r="I1896" s="135" t="n">
        <f aca="false">$G1896*'Analyse capacite'!$C$8</f>
        <v>0</v>
      </c>
      <c r="J1896" s="135" t="n">
        <f aca="false">$G1896*'Analyse capacite'!$D$8</f>
        <v>0</v>
      </c>
      <c r="K1896" s="135" t="n">
        <f aca="false">$G1896*'Analyse capacite'!$E$8</f>
        <v>0</v>
      </c>
    </row>
    <row r="1897" customFormat="false" ht="15" hidden="false" customHeight="false" outlineLevel="0" collapsed="false">
      <c r="B1897" s="130" t="n">
        <v>2027</v>
      </c>
      <c r="C1897" s="131" t="s">
        <v>247</v>
      </c>
      <c r="D1897" s="132" t="n">
        <v>46530</v>
      </c>
      <c r="E1897" s="131" t="s">
        <v>46</v>
      </c>
      <c r="F1897" s="133" t="s">
        <v>24</v>
      </c>
      <c r="G1897" s="134" t="n">
        <f aca="false">LEN('Saisie programme'!$J$72)+SUMIFS('Vols additionnels'!$E$7:$E$66,'Vols additionnels'!$C$7:$C$66,$E1897,'Vols additionnels'!$D$7:$D$66,$F1897,'Vols additionnels'!$B$7:$B$66,$D1897)</f>
        <v>0</v>
      </c>
      <c r="H1897" s="135" t="n">
        <f aca="false">$G1897*'Analyse capacite'!$F$9</f>
        <v>0</v>
      </c>
      <c r="I1897" s="135" t="n">
        <f aca="false">$G1897*'Analyse capacite'!$C$9</f>
        <v>0</v>
      </c>
      <c r="J1897" s="135" t="n">
        <f aca="false">$G1897*'Analyse capacite'!$D$9</f>
        <v>0</v>
      </c>
      <c r="K1897" s="135" t="n">
        <f aca="false">$G1897*'Analyse capacite'!$E$9</f>
        <v>0</v>
      </c>
    </row>
    <row r="1898" customFormat="false" ht="15" hidden="false" customHeight="false" outlineLevel="0" collapsed="false">
      <c r="B1898" s="130" t="n">
        <v>2027</v>
      </c>
      <c r="C1898" s="131" t="s">
        <v>247</v>
      </c>
      <c r="D1898" s="132" t="n">
        <v>46530</v>
      </c>
      <c r="E1898" s="131" t="s">
        <v>49</v>
      </c>
      <c r="F1898" s="133" t="s">
        <v>11</v>
      </c>
      <c r="G1898" s="134" t="n">
        <f aca="false">LEN('Saisie programme'!$J$73)+SUMIFS('Vols additionnels'!$E$7:$E$66,'Vols additionnels'!$C$7:$C$66,$E1898,'Vols additionnels'!$D$7:$D$66,$F1898,'Vols additionnels'!$B$7:$B$66,$D1898)</f>
        <v>0</v>
      </c>
      <c r="H1898" s="135" t="n">
        <f aca="false">$G1898*'Analyse capacite'!$F$7</f>
        <v>0</v>
      </c>
      <c r="I1898" s="135" t="n">
        <f aca="false">$G1898*'Analyse capacite'!$C$7</f>
        <v>0</v>
      </c>
      <c r="J1898" s="135" t="n">
        <f aca="false">$G1898*'Analyse capacite'!$D$7</f>
        <v>0</v>
      </c>
      <c r="K1898" s="135" t="n">
        <f aca="false">$G1898*'Analyse capacite'!$E$7</f>
        <v>0</v>
      </c>
    </row>
    <row r="1899" customFormat="false" ht="15" hidden="false" customHeight="false" outlineLevel="0" collapsed="false">
      <c r="B1899" s="130" t="n">
        <v>2027</v>
      </c>
      <c r="C1899" s="131" t="s">
        <v>247</v>
      </c>
      <c r="D1899" s="132" t="n">
        <v>46530</v>
      </c>
      <c r="E1899" s="131" t="s">
        <v>49</v>
      </c>
      <c r="F1899" s="133" t="s">
        <v>19</v>
      </c>
      <c r="G1899" s="134" t="n">
        <f aca="false">LEN('Saisie programme'!$J$74)+SUMIFS('Vols additionnels'!$E$7:$E$66,'Vols additionnels'!$C$7:$C$66,$E1899,'Vols additionnels'!$D$7:$D$66,$F1899,'Vols additionnels'!$B$7:$B$66,$D1899)</f>
        <v>0</v>
      </c>
      <c r="H1899" s="135" t="n">
        <f aca="false">$G1899*'Analyse capacite'!$F$8</f>
        <v>0</v>
      </c>
      <c r="I1899" s="135" t="n">
        <f aca="false">$G1899*'Analyse capacite'!$C$8</f>
        <v>0</v>
      </c>
      <c r="J1899" s="135" t="n">
        <f aca="false">$G1899*'Analyse capacite'!$D$8</f>
        <v>0</v>
      </c>
      <c r="K1899" s="135" t="n">
        <f aca="false">$G1899*'Analyse capacite'!$E$8</f>
        <v>0</v>
      </c>
    </row>
    <row r="1900" customFormat="false" ht="15" hidden="false" customHeight="false" outlineLevel="0" collapsed="false">
      <c r="B1900" s="130" t="n">
        <v>2027</v>
      </c>
      <c r="C1900" s="131" t="s">
        <v>247</v>
      </c>
      <c r="D1900" s="132" t="n">
        <v>46530</v>
      </c>
      <c r="E1900" s="131" t="s">
        <v>49</v>
      </c>
      <c r="F1900" s="133" t="s">
        <v>24</v>
      </c>
      <c r="G1900" s="134" t="n">
        <f aca="false">LEN('Saisie programme'!$J$75)+SUMIFS('Vols additionnels'!$E$7:$E$66,'Vols additionnels'!$C$7:$C$66,$E1900,'Vols additionnels'!$D$7:$D$66,$F1900,'Vols additionnels'!$B$7:$B$66,$D1900)</f>
        <v>0</v>
      </c>
      <c r="H1900" s="135" t="n">
        <f aca="false">$G1900*'Analyse capacite'!$F$9</f>
        <v>0</v>
      </c>
      <c r="I1900" s="135" t="n">
        <f aca="false">$G1900*'Analyse capacite'!$C$9</f>
        <v>0</v>
      </c>
      <c r="J1900" s="135" t="n">
        <f aca="false">$G1900*'Analyse capacite'!$D$9</f>
        <v>0</v>
      </c>
      <c r="K1900" s="135" t="n">
        <f aca="false">$G1900*'Analyse capacite'!$E$9</f>
        <v>0</v>
      </c>
    </row>
    <row r="1901" customFormat="false" ht="15" hidden="false" customHeight="false" outlineLevel="0" collapsed="false">
      <c r="B1901" s="130" t="n">
        <v>2027</v>
      </c>
      <c r="C1901" s="131" t="s">
        <v>247</v>
      </c>
      <c r="D1901" s="132" t="n">
        <v>46530</v>
      </c>
      <c r="E1901" s="131" t="s">
        <v>53</v>
      </c>
      <c r="F1901" s="133" t="s">
        <v>11</v>
      </c>
      <c r="G1901" s="134" t="n">
        <f aca="false">LEN('Saisie programme'!$J$76)+SUMIFS('Vols additionnels'!$E$7:$E$66,'Vols additionnels'!$C$7:$C$66,$E1901,'Vols additionnels'!$D$7:$D$66,$F1901,'Vols additionnels'!$B$7:$B$66,$D1901)</f>
        <v>0</v>
      </c>
      <c r="H1901" s="135" t="n">
        <f aca="false">$G1901*'Analyse capacite'!$F$7</f>
        <v>0</v>
      </c>
      <c r="I1901" s="135" t="n">
        <f aca="false">$G1901*'Analyse capacite'!$C$7</f>
        <v>0</v>
      </c>
      <c r="J1901" s="135" t="n">
        <f aca="false">$G1901*'Analyse capacite'!$D$7</f>
        <v>0</v>
      </c>
      <c r="K1901" s="135" t="n">
        <f aca="false">$G1901*'Analyse capacite'!$E$7</f>
        <v>0</v>
      </c>
    </row>
    <row r="1902" customFormat="false" ht="15" hidden="false" customHeight="false" outlineLevel="0" collapsed="false">
      <c r="B1902" s="130" t="n">
        <v>2027</v>
      </c>
      <c r="C1902" s="131" t="s">
        <v>247</v>
      </c>
      <c r="D1902" s="132" t="n">
        <v>46530</v>
      </c>
      <c r="E1902" s="131" t="s">
        <v>53</v>
      </c>
      <c r="F1902" s="133" t="s">
        <v>19</v>
      </c>
      <c r="G1902" s="134" t="n">
        <f aca="false">LEN('Saisie programme'!$J$77)+SUMIFS('Vols additionnels'!$E$7:$E$66,'Vols additionnels'!$C$7:$C$66,$E1902,'Vols additionnels'!$D$7:$D$66,$F1902,'Vols additionnels'!$B$7:$B$66,$D1902)</f>
        <v>0</v>
      </c>
      <c r="H1902" s="135" t="n">
        <f aca="false">$G1902*'Analyse capacite'!$F$8</f>
        <v>0</v>
      </c>
      <c r="I1902" s="135" t="n">
        <f aca="false">$G1902*'Analyse capacite'!$C$8</f>
        <v>0</v>
      </c>
      <c r="J1902" s="135" t="n">
        <f aca="false">$G1902*'Analyse capacite'!$D$8</f>
        <v>0</v>
      </c>
      <c r="K1902" s="135" t="n">
        <f aca="false">$G1902*'Analyse capacite'!$E$8</f>
        <v>0</v>
      </c>
    </row>
    <row r="1903" customFormat="false" ht="15" hidden="false" customHeight="false" outlineLevel="0" collapsed="false">
      <c r="B1903" s="130" t="n">
        <v>2027</v>
      </c>
      <c r="C1903" s="131" t="s">
        <v>247</v>
      </c>
      <c r="D1903" s="132" t="n">
        <v>46530</v>
      </c>
      <c r="E1903" s="131" t="s">
        <v>53</v>
      </c>
      <c r="F1903" s="133" t="s">
        <v>24</v>
      </c>
      <c r="G1903" s="134" t="n">
        <f aca="false">LEN('Saisie programme'!$J$78)+SUMIFS('Vols additionnels'!$E$7:$E$66,'Vols additionnels'!$C$7:$C$66,$E1903,'Vols additionnels'!$D$7:$D$66,$F1903,'Vols additionnels'!$B$7:$B$66,$D1903)</f>
        <v>0</v>
      </c>
      <c r="H1903" s="135" t="n">
        <f aca="false">$G1903*'Analyse capacite'!$F$9</f>
        <v>0</v>
      </c>
      <c r="I1903" s="135" t="n">
        <f aca="false">$G1903*'Analyse capacite'!$C$9</f>
        <v>0</v>
      </c>
      <c r="J1903" s="135" t="n">
        <f aca="false">$G1903*'Analyse capacite'!$D$9</f>
        <v>0</v>
      </c>
      <c r="K1903" s="135" t="n">
        <f aca="false">$G1903*'Analyse capacite'!$E$9</f>
        <v>0</v>
      </c>
    </row>
    <row r="1904" customFormat="false" ht="15" hidden="false" customHeight="false" outlineLevel="0" collapsed="false">
      <c r="B1904" s="130" t="n">
        <v>2027</v>
      </c>
      <c r="C1904" s="131" t="s">
        <v>247</v>
      </c>
      <c r="D1904" s="132" t="n">
        <v>46530</v>
      </c>
      <c r="E1904" s="131" t="s">
        <v>56</v>
      </c>
      <c r="F1904" s="133" t="s">
        <v>11</v>
      </c>
      <c r="G1904" s="134" t="n">
        <f aca="false">LEN('Saisie programme'!$J$79)+SUMIFS('Vols additionnels'!$E$7:$E$66,'Vols additionnels'!$C$7:$C$66,$E1904,'Vols additionnels'!$D$7:$D$66,$F1904,'Vols additionnels'!$B$7:$B$66,$D1904)</f>
        <v>0</v>
      </c>
      <c r="H1904" s="135" t="n">
        <f aca="false">$G1904*'Analyse capacite'!$F$7</f>
        <v>0</v>
      </c>
      <c r="I1904" s="135" t="n">
        <f aca="false">$G1904*'Analyse capacite'!$C$7</f>
        <v>0</v>
      </c>
      <c r="J1904" s="135" t="n">
        <f aca="false">$G1904*'Analyse capacite'!$D$7</f>
        <v>0</v>
      </c>
      <c r="K1904" s="135" t="n">
        <f aca="false">$G1904*'Analyse capacite'!$E$7</f>
        <v>0</v>
      </c>
    </row>
    <row r="1905" customFormat="false" ht="15" hidden="false" customHeight="false" outlineLevel="0" collapsed="false">
      <c r="B1905" s="130" t="n">
        <v>2027</v>
      </c>
      <c r="C1905" s="131" t="s">
        <v>247</v>
      </c>
      <c r="D1905" s="132" t="n">
        <v>46530</v>
      </c>
      <c r="E1905" s="131" t="s">
        <v>56</v>
      </c>
      <c r="F1905" s="133" t="s">
        <v>19</v>
      </c>
      <c r="G1905" s="134" t="n">
        <f aca="false">LEN('Saisie programme'!$J$80)+SUMIFS('Vols additionnels'!$E$7:$E$66,'Vols additionnels'!$C$7:$C$66,$E1905,'Vols additionnels'!$D$7:$D$66,$F1905,'Vols additionnels'!$B$7:$B$66,$D1905)</f>
        <v>0</v>
      </c>
      <c r="H1905" s="135" t="n">
        <f aca="false">$G1905*'Analyse capacite'!$F$8</f>
        <v>0</v>
      </c>
      <c r="I1905" s="135" t="n">
        <f aca="false">$G1905*'Analyse capacite'!$C$8</f>
        <v>0</v>
      </c>
      <c r="J1905" s="135" t="n">
        <f aca="false">$G1905*'Analyse capacite'!$D$8</f>
        <v>0</v>
      </c>
      <c r="K1905" s="135" t="n">
        <f aca="false">$G1905*'Analyse capacite'!$E$8</f>
        <v>0</v>
      </c>
    </row>
    <row r="1906" customFormat="false" ht="15" hidden="false" customHeight="false" outlineLevel="0" collapsed="false">
      <c r="B1906" s="130" t="n">
        <v>2027</v>
      </c>
      <c r="C1906" s="131" t="s">
        <v>247</v>
      </c>
      <c r="D1906" s="132" t="n">
        <v>46530</v>
      </c>
      <c r="E1906" s="131" t="s">
        <v>56</v>
      </c>
      <c r="F1906" s="133" t="s">
        <v>24</v>
      </c>
      <c r="G1906" s="134" t="n">
        <f aca="false">LEN('Saisie programme'!$J$81)+SUMIFS('Vols additionnels'!$E$7:$E$66,'Vols additionnels'!$C$7:$C$66,$E1906,'Vols additionnels'!$D$7:$D$66,$F1906,'Vols additionnels'!$B$7:$B$66,$D1906)</f>
        <v>0</v>
      </c>
      <c r="H1906" s="135" t="n">
        <f aca="false">$G1906*'Analyse capacite'!$F$9</f>
        <v>0</v>
      </c>
      <c r="I1906" s="135" t="n">
        <f aca="false">$G1906*'Analyse capacite'!$C$9</f>
        <v>0</v>
      </c>
      <c r="J1906" s="135" t="n">
        <f aca="false">$G1906*'Analyse capacite'!$D$9</f>
        <v>0</v>
      </c>
      <c r="K1906" s="135" t="n">
        <f aca="false">$G1906*'Analyse capacite'!$E$9</f>
        <v>0</v>
      </c>
    </row>
    <row r="1907" customFormat="false" ht="15" hidden="false" customHeight="false" outlineLevel="0" collapsed="false">
      <c r="B1907" s="130" t="n">
        <v>2027</v>
      </c>
      <c r="C1907" s="131" t="s">
        <v>247</v>
      </c>
      <c r="D1907" s="132" t="n">
        <v>46530</v>
      </c>
      <c r="E1907" s="131" t="s">
        <v>59</v>
      </c>
      <c r="F1907" s="133" t="s">
        <v>11</v>
      </c>
      <c r="G1907" s="134" t="n">
        <f aca="false">LEN('Saisie programme'!$J$82)+SUMIFS('Vols additionnels'!$E$7:$E$66,'Vols additionnels'!$C$7:$C$66,$E1907,'Vols additionnels'!$D$7:$D$66,$F1907,'Vols additionnels'!$B$7:$B$66,$D1907)</f>
        <v>0</v>
      </c>
      <c r="H1907" s="135" t="n">
        <f aca="false">$G1907*'Analyse capacite'!$F$7</f>
        <v>0</v>
      </c>
      <c r="I1907" s="135" t="n">
        <f aca="false">$G1907*'Analyse capacite'!$C$7</f>
        <v>0</v>
      </c>
      <c r="J1907" s="135" t="n">
        <f aca="false">$G1907*'Analyse capacite'!$D$7</f>
        <v>0</v>
      </c>
      <c r="K1907" s="135" t="n">
        <f aca="false">$G1907*'Analyse capacite'!$E$7</f>
        <v>0</v>
      </c>
    </row>
    <row r="1908" customFormat="false" ht="15" hidden="false" customHeight="false" outlineLevel="0" collapsed="false">
      <c r="B1908" s="130" t="n">
        <v>2027</v>
      </c>
      <c r="C1908" s="131" t="s">
        <v>247</v>
      </c>
      <c r="D1908" s="132" t="n">
        <v>46530</v>
      </c>
      <c r="E1908" s="131" t="s">
        <v>59</v>
      </c>
      <c r="F1908" s="133" t="s">
        <v>19</v>
      </c>
      <c r="G1908" s="134" t="n">
        <f aca="false">LEN('Saisie programme'!$J$83)+SUMIFS('Vols additionnels'!$E$7:$E$66,'Vols additionnels'!$C$7:$C$66,$E1908,'Vols additionnels'!$D$7:$D$66,$F1908,'Vols additionnels'!$B$7:$B$66,$D1908)</f>
        <v>0</v>
      </c>
      <c r="H1908" s="135" t="n">
        <f aca="false">$G1908*'Analyse capacite'!$F$8</f>
        <v>0</v>
      </c>
      <c r="I1908" s="135" t="n">
        <f aca="false">$G1908*'Analyse capacite'!$C$8</f>
        <v>0</v>
      </c>
      <c r="J1908" s="135" t="n">
        <f aca="false">$G1908*'Analyse capacite'!$D$8</f>
        <v>0</v>
      </c>
      <c r="K1908" s="135" t="n">
        <f aca="false">$G1908*'Analyse capacite'!$E$8</f>
        <v>0</v>
      </c>
    </row>
    <row r="1909" customFormat="false" ht="15" hidden="false" customHeight="false" outlineLevel="0" collapsed="false">
      <c r="B1909" s="130" t="n">
        <v>2027</v>
      </c>
      <c r="C1909" s="131" t="s">
        <v>247</v>
      </c>
      <c r="D1909" s="132" t="n">
        <v>46530</v>
      </c>
      <c r="E1909" s="131" t="s">
        <v>59</v>
      </c>
      <c r="F1909" s="133" t="s">
        <v>24</v>
      </c>
      <c r="G1909" s="134" t="n">
        <f aca="false">LEN('Saisie programme'!$J$84)+SUMIFS('Vols additionnels'!$E$7:$E$66,'Vols additionnels'!$C$7:$C$66,$E1909,'Vols additionnels'!$D$7:$D$66,$F1909,'Vols additionnels'!$B$7:$B$66,$D1909)</f>
        <v>0</v>
      </c>
      <c r="H1909" s="135" t="n">
        <f aca="false">$G1909*'Analyse capacite'!$F$9</f>
        <v>0</v>
      </c>
      <c r="I1909" s="135" t="n">
        <f aca="false">$G1909*'Analyse capacite'!$C$9</f>
        <v>0</v>
      </c>
      <c r="J1909" s="135" t="n">
        <f aca="false">$G1909*'Analyse capacite'!$D$9</f>
        <v>0</v>
      </c>
      <c r="K1909" s="135" t="n">
        <f aca="false">$G1909*'Analyse capacite'!$E$9</f>
        <v>0</v>
      </c>
    </row>
    <row r="1910" customFormat="false" ht="15" hidden="false" customHeight="false" outlineLevel="0" collapsed="false">
      <c r="B1910" s="130" t="n">
        <v>2027</v>
      </c>
      <c r="C1910" s="131" t="s">
        <v>247</v>
      </c>
      <c r="D1910" s="132" t="n">
        <v>46530</v>
      </c>
      <c r="E1910" s="131" t="s">
        <v>62</v>
      </c>
      <c r="F1910" s="133" t="s">
        <v>11</v>
      </c>
      <c r="G1910" s="134" t="n">
        <f aca="false">LEN('Saisie programme'!$J$85)+SUMIFS('Vols additionnels'!$E$7:$E$66,'Vols additionnels'!$C$7:$C$66,$E1910,'Vols additionnels'!$D$7:$D$66,$F1910,'Vols additionnels'!$B$7:$B$66,$D1910)</f>
        <v>0</v>
      </c>
      <c r="H1910" s="135" t="n">
        <f aca="false">$G1910*'Analyse capacite'!$F$7</f>
        <v>0</v>
      </c>
      <c r="I1910" s="135" t="n">
        <f aca="false">$G1910*'Analyse capacite'!$C$7</f>
        <v>0</v>
      </c>
      <c r="J1910" s="135" t="n">
        <f aca="false">$G1910*'Analyse capacite'!$D$7</f>
        <v>0</v>
      </c>
      <c r="K1910" s="135" t="n">
        <f aca="false">$G1910*'Analyse capacite'!$E$7</f>
        <v>0</v>
      </c>
    </row>
    <row r="1911" customFormat="false" ht="15" hidden="false" customHeight="false" outlineLevel="0" collapsed="false">
      <c r="B1911" s="130" t="n">
        <v>2027</v>
      </c>
      <c r="C1911" s="131" t="s">
        <v>247</v>
      </c>
      <c r="D1911" s="132" t="n">
        <v>46530</v>
      </c>
      <c r="E1911" s="131" t="s">
        <v>62</v>
      </c>
      <c r="F1911" s="133" t="s">
        <v>19</v>
      </c>
      <c r="G1911" s="134" t="n">
        <f aca="false">LEN('Saisie programme'!$J$86)+SUMIFS('Vols additionnels'!$E$7:$E$66,'Vols additionnels'!$C$7:$C$66,$E1911,'Vols additionnels'!$D$7:$D$66,$F1911,'Vols additionnels'!$B$7:$B$66,$D1911)</f>
        <v>0</v>
      </c>
      <c r="H1911" s="135" t="n">
        <f aca="false">$G1911*'Analyse capacite'!$F$8</f>
        <v>0</v>
      </c>
      <c r="I1911" s="135" t="n">
        <f aca="false">$G1911*'Analyse capacite'!$C$8</f>
        <v>0</v>
      </c>
      <c r="J1911" s="135" t="n">
        <f aca="false">$G1911*'Analyse capacite'!$D$8</f>
        <v>0</v>
      </c>
      <c r="K1911" s="135" t="n">
        <f aca="false">$G1911*'Analyse capacite'!$E$8</f>
        <v>0</v>
      </c>
    </row>
    <row r="1912" customFormat="false" ht="15" hidden="false" customHeight="false" outlineLevel="0" collapsed="false">
      <c r="B1912" s="130" t="n">
        <v>2027</v>
      </c>
      <c r="C1912" s="131" t="s">
        <v>247</v>
      </c>
      <c r="D1912" s="132" t="n">
        <v>46530</v>
      </c>
      <c r="E1912" s="131" t="s">
        <v>62</v>
      </c>
      <c r="F1912" s="133" t="s">
        <v>24</v>
      </c>
      <c r="G1912" s="134" t="n">
        <f aca="false">LEN('Saisie programme'!$J$87)+SUMIFS('Vols additionnels'!$E$7:$E$66,'Vols additionnels'!$C$7:$C$66,$E1912,'Vols additionnels'!$D$7:$D$66,$F1912,'Vols additionnels'!$B$7:$B$66,$D1912)</f>
        <v>1</v>
      </c>
      <c r="H1912" s="135" t="n">
        <f aca="false">$G1912*'Analyse capacite'!$F$9</f>
        <v>174</v>
      </c>
      <c r="I1912" s="135" t="n">
        <f aca="false">$G1912*'Analyse capacite'!$C$9</f>
        <v>0</v>
      </c>
      <c r="J1912" s="135" t="n">
        <f aca="false">$G1912*'Analyse capacite'!$D$9</f>
        <v>12</v>
      </c>
      <c r="K1912" s="135" t="n">
        <f aca="false">$G1912*'Analyse capacite'!$E$9</f>
        <v>162</v>
      </c>
    </row>
    <row r="1913" customFormat="false" ht="15" hidden="false" customHeight="false" outlineLevel="0" collapsed="false">
      <c r="B1913" s="130" t="n">
        <v>2027</v>
      </c>
      <c r="C1913" s="131" t="s">
        <v>247</v>
      </c>
      <c r="D1913" s="132" t="n">
        <v>46531</v>
      </c>
      <c r="E1913" s="131" t="s">
        <v>12</v>
      </c>
      <c r="F1913" s="133" t="s">
        <v>11</v>
      </c>
      <c r="G1913" s="134" t="n">
        <f aca="false">LEN('Saisie programme'!$D$52)+SUMIFS('Vols additionnels'!$E$7:$E$66,'Vols additionnels'!$C$7:$C$66,$E1913,'Vols additionnels'!$D$7:$D$66,$F1913,'Vols additionnels'!$B$7:$B$66,$D1913)</f>
        <v>1</v>
      </c>
      <c r="H1913" s="135" t="n">
        <f aca="false">$G1913*'Analyse capacite'!$F$7</f>
        <v>438</v>
      </c>
      <c r="I1913" s="135" t="n">
        <f aca="false">$G1913*'Analyse capacite'!$C$7</f>
        <v>14</v>
      </c>
      <c r="J1913" s="135" t="n">
        <f aca="false">$G1913*'Analyse capacite'!$D$7</f>
        <v>40</v>
      </c>
      <c r="K1913" s="135" t="n">
        <f aca="false">$G1913*'Analyse capacite'!$E$7</f>
        <v>384</v>
      </c>
    </row>
    <row r="1914" customFormat="false" ht="15" hidden="false" customHeight="false" outlineLevel="0" collapsed="false">
      <c r="B1914" s="130" t="n">
        <v>2027</v>
      </c>
      <c r="C1914" s="131" t="s">
        <v>247</v>
      </c>
      <c r="D1914" s="132" t="n">
        <v>46531</v>
      </c>
      <c r="E1914" s="131" t="s">
        <v>12</v>
      </c>
      <c r="F1914" s="133" t="s">
        <v>19</v>
      </c>
      <c r="G1914" s="134" t="n">
        <f aca="false">LEN('Saisie programme'!$D$53)+SUMIFS('Vols additionnels'!$E$7:$E$66,'Vols additionnels'!$C$7:$C$66,$E1914,'Vols additionnels'!$D$7:$D$66,$F1914,'Vols additionnels'!$B$7:$B$66,$D1914)</f>
        <v>1</v>
      </c>
      <c r="H1914" s="135" t="n">
        <f aca="false">$G1914*'Analyse capacite'!$F$8</f>
        <v>262</v>
      </c>
      <c r="I1914" s="135" t="n">
        <f aca="false">$G1914*'Analyse capacite'!$C$8</f>
        <v>18</v>
      </c>
      <c r="J1914" s="135" t="n">
        <f aca="false">$G1914*'Analyse capacite'!$D$8</f>
        <v>0</v>
      </c>
      <c r="K1914" s="135" t="n">
        <f aca="false">$G1914*'Analyse capacite'!$E$8</f>
        <v>244</v>
      </c>
    </row>
    <row r="1915" customFormat="false" ht="15" hidden="false" customHeight="false" outlineLevel="0" collapsed="false">
      <c r="B1915" s="130" t="n">
        <v>2027</v>
      </c>
      <c r="C1915" s="131" t="s">
        <v>247</v>
      </c>
      <c r="D1915" s="132" t="n">
        <v>46531</v>
      </c>
      <c r="E1915" s="131" t="s">
        <v>12</v>
      </c>
      <c r="F1915" s="133" t="s">
        <v>24</v>
      </c>
      <c r="G1915" s="134" t="n">
        <f aca="false">LEN('Saisie programme'!$D$54)+SUMIFS('Vols additionnels'!$E$7:$E$66,'Vols additionnels'!$C$7:$C$66,$E1915,'Vols additionnels'!$D$7:$D$66,$F1915,'Vols additionnels'!$B$7:$B$66,$D1915)</f>
        <v>2</v>
      </c>
      <c r="H1915" s="135" t="n">
        <f aca="false">$G1915*'Analyse capacite'!$F$9</f>
        <v>348</v>
      </c>
      <c r="I1915" s="135" t="n">
        <f aca="false">$G1915*'Analyse capacite'!$C$9</f>
        <v>0</v>
      </c>
      <c r="J1915" s="135" t="n">
        <f aca="false">$G1915*'Analyse capacite'!$D$9</f>
        <v>24</v>
      </c>
      <c r="K1915" s="135" t="n">
        <f aca="false">$G1915*'Analyse capacite'!$E$9</f>
        <v>324</v>
      </c>
    </row>
    <row r="1916" customFormat="false" ht="15" hidden="false" customHeight="false" outlineLevel="0" collapsed="false">
      <c r="B1916" s="130" t="n">
        <v>2027</v>
      </c>
      <c r="C1916" s="131" t="s">
        <v>247</v>
      </c>
      <c r="D1916" s="132" t="n">
        <v>46531</v>
      </c>
      <c r="E1916" s="131" t="s">
        <v>20</v>
      </c>
      <c r="F1916" s="133" t="s">
        <v>11</v>
      </c>
      <c r="G1916" s="134" t="n">
        <f aca="false">LEN('Saisie programme'!$D$55)+SUMIFS('Vols additionnels'!$E$7:$E$66,'Vols additionnels'!$C$7:$C$66,$E1916,'Vols additionnels'!$D$7:$D$66,$F1916,'Vols additionnels'!$B$7:$B$66,$D1916)</f>
        <v>0</v>
      </c>
      <c r="H1916" s="135" t="n">
        <f aca="false">$G1916*'Analyse capacite'!$F$7</f>
        <v>0</v>
      </c>
      <c r="I1916" s="135" t="n">
        <f aca="false">$G1916*'Analyse capacite'!$C$7</f>
        <v>0</v>
      </c>
      <c r="J1916" s="135" t="n">
        <f aca="false">$G1916*'Analyse capacite'!$D$7</f>
        <v>0</v>
      </c>
      <c r="K1916" s="135" t="n">
        <f aca="false">$G1916*'Analyse capacite'!$E$7</f>
        <v>0</v>
      </c>
    </row>
    <row r="1917" customFormat="false" ht="15" hidden="false" customHeight="false" outlineLevel="0" collapsed="false">
      <c r="B1917" s="130" t="n">
        <v>2027</v>
      </c>
      <c r="C1917" s="131" t="s">
        <v>247</v>
      </c>
      <c r="D1917" s="132" t="n">
        <v>46531</v>
      </c>
      <c r="E1917" s="131" t="s">
        <v>20</v>
      </c>
      <c r="F1917" s="133" t="s">
        <v>19</v>
      </c>
      <c r="G1917" s="134" t="n">
        <f aca="false">LEN('Saisie programme'!$D$56)+SUMIFS('Vols additionnels'!$E$7:$E$66,'Vols additionnels'!$C$7:$C$66,$E1917,'Vols additionnels'!$D$7:$D$66,$F1917,'Vols additionnels'!$B$7:$B$66,$D1917)</f>
        <v>0</v>
      </c>
      <c r="H1917" s="135" t="n">
        <f aca="false">$G1917*'Analyse capacite'!$F$8</f>
        <v>0</v>
      </c>
      <c r="I1917" s="135" t="n">
        <f aca="false">$G1917*'Analyse capacite'!$C$8</f>
        <v>0</v>
      </c>
      <c r="J1917" s="135" t="n">
        <f aca="false">$G1917*'Analyse capacite'!$D$8</f>
        <v>0</v>
      </c>
      <c r="K1917" s="135" t="n">
        <f aca="false">$G1917*'Analyse capacite'!$E$8</f>
        <v>0</v>
      </c>
    </row>
    <row r="1918" customFormat="false" ht="15" hidden="false" customHeight="false" outlineLevel="0" collapsed="false">
      <c r="B1918" s="130" t="n">
        <v>2027</v>
      </c>
      <c r="C1918" s="131" t="s">
        <v>247</v>
      </c>
      <c r="D1918" s="132" t="n">
        <v>46531</v>
      </c>
      <c r="E1918" s="131" t="s">
        <v>20</v>
      </c>
      <c r="F1918" s="133" t="s">
        <v>24</v>
      </c>
      <c r="G1918" s="134" t="n">
        <f aca="false">LEN('Saisie programme'!$D$57)+SUMIFS('Vols additionnels'!$E$7:$E$66,'Vols additionnels'!$C$7:$C$66,$E1918,'Vols additionnels'!$D$7:$D$66,$F1918,'Vols additionnels'!$B$7:$B$66,$D1918)</f>
        <v>0</v>
      </c>
      <c r="H1918" s="135" t="n">
        <f aca="false">$G1918*'Analyse capacite'!$F$9</f>
        <v>0</v>
      </c>
      <c r="I1918" s="135" t="n">
        <f aca="false">$G1918*'Analyse capacite'!$C$9</f>
        <v>0</v>
      </c>
      <c r="J1918" s="135" t="n">
        <f aca="false">$G1918*'Analyse capacite'!$D$9</f>
        <v>0</v>
      </c>
      <c r="K1918" s="135" t="n">
        <f aca="false">$G1918*'Analyse capacite'!$E$9</f>
        <v>0</v>
      </c>
    </row>
    <row r="1919" customFormat="false" ht="15" hidden="false" customHeight="false" outlineLevel="0" collapsed="false">
      <c r="B1919" s="130" t="n">
        <v>2027</v>
      </c>
      <c r="C1919" s="131" t="s">
        <v>247</v>
      </c>
      <c r="D1919" s="132" t="n">
        <v>46531</v>
      </c>
      <c r="E1919" s="131" t="s">
        <v>25</v>
      </c>
      <c r="F1919" s="133" t="s">
        <v>11</v>
      </c>
      <c r="G1919" s="134" t="n">
        <f aca="false">LEN('Saisie programme'!$D$58)+SUMIFS('Vols additionnels'!$E$7:$E$66,'Vols additionnels'!$C$7:$C$66,$E1919,'Vols additionnels'!$D$7:$D$66,$F1919,'Vols additionnels'!$B$7:$B$66,$D1919)</f>
        <v>0</v>
      </c>
      <c r="H1919" s="135" t="n">
        <f aca="false">$G1919*'Analyse capacite'!$F$7</f>
        <v>0</v>
      </c>
      <c r="I1919" s="135" t="n">
        <f aca="false">$G1919*'Analyse capacite'!$C$7</f>
        <v>0</v>
      </c>
      <c r="J1919" s="135" t="n">
        <f aca="false">$G1919*'Analyse capacite'!$D$7</f>
        <v>0</v>
      </c>
      <c r="K1919" s="135" t="n">
        <f aca="false">$G1919*'Analyse capacite'!$E$7</f>
        <v>0</v>
      </c>
    </row>
    <row r="1920" customFormat="false" ht="15" hidden="false" customHeight="false" outlineLevel="0" collapsed="false">
      <c r="B1920" s="130" t="n">
        <v>2027</v>
      </c>
      <c r="C1920" s="131" t="s">
        <v>247</v>
      </c>
      <c r="D1920" s="132" t="n">
        <v>46531</v>
      </c>
      <c r="E1920" s="131" t="s">
        <v>25</v>
      </c>
      <c r="F1920" s="133" t="s">
        <v>19</v>
      </c>
      <c r="G1920" s="134" t="n">
        <f aca="false">LEN('Saisie programme'!$D$59)+SUMIFS('Vols additionnels'!$E$7:$E$66,'Vols additionnels'!$C$7:$C$66,$E1920,'Vols additionnels'!$D$7:$D$66,$F1920,'Vols additionnels'!$B$7:$B$66,$D1920)</f>
        <v>0</v>
      </c>
      <c r="H1920" s="135" t="n">
        <f aca="false">$G1920*'Analyse capacite'!$F$8</f>
        <v>0</v>
      </c>
      <c r="I1920" s="135" t="n">
        <f aca="false">$G1920*'Analyse capacite'!$C$8</f>
        <v>0</v>
      </c>
      <c r="J1920" s="135" t="n">
        <f aca="false">$G1920*'Analyse capacite'!$D$8</f>
        <v>0</v>
      </c>
      <c r="K1920" s="135" t="n">
        <f aca="false">$G1920*'Analyse capacite'!$E$8</f>
        <v>0</v>
      </c>
    </row>
    <row r="1921" customFormat="false" ht="15" hidden="false" customHeight="false" outlineLevel="0" collapsed="false">
      <c r="B1921" s="130" t="n">
        <v>2027</v>
      </c>
      <c r="C1921" s="131" t="s">
        <v>247</v>
      </c>
      <c r="D1921" s="132" t="n">
        <v>46531</v>
      </c>
      <c r="E1921" s="131" t="s">
        <v>25</v>
      </c>
      <c r="F1921" s="133" t="s">
        <v>24</v>
      </c>
      <c r="G1921" s="134" t="n">
        <f aca="false">LEN('Saisie programme'!$D$60)+SUMIFS('Vols additionnels'!$E$7:$E$66,'Vols additionnels'!$C$7:$C$66,$E1921,'Vols additionnels'!$D$7:$D$66,$F1921,'Vols additionnels'!$B$7:$B$66,$D1921)</f>
        <v>0</v>
      </c>
      <c r="H1921" s="135" t="n">
        <f aca="false">$G1921*'Analyse capacite'!$F$9</f>
        <v>0</v>
      </c>
      <c r="I1921" s="135" t="n">
        <f aca="false">$G1921*'Analyse capacite'!$C$9</f>
        <v>0</v>
      </c>
      <c r="J1921" s="135" t="n">
        <f aca="false">$G1921*'Analyse capacite'!$D$9</f>
        <v>0</v>
      </c>
      <c r="K1921" s="135" t="n">
        <f aca="false">$G1921*'Analyse capacite'!$E$9</f>
        <v>0</v>
      </c>
    </row>
    <row r="1922" customFormat="false" ht="15" hidden="false" customHeight="false" outlineLevel="0" collapsed="false">
      <c r="B1922" s="130" t="n">
        <v>2027</v>
      </c>
      <c r="C1922" s="131" t="s">
        <v>247</v>
      </c>
      <c r="D1922" s="132" t="n">
        <v>46531</v>
      </c>
      <c r="E1922" s="131" t="s">
        <v>36</v>
      </c>
      <c r="F1922" s="133" t="s">
        <v>11</v>
      </c>
      <c r="G1922" s="134" t="n">
        <f aca="false">LEN('Saisie programme'!$D$61)+SUMIFS('Vols additionnels'!$E$7:$E$66,'Vols additionnels'!$C$7:$C$66,$E1922,'Vols additionnels'!$D$7:$D$66,$F1922,'Vols additionnels'!$B$7:$B$66,$D1922)</f>
        <v>0</v>
      </c>
      <c r="H1922" s="135" t="n">
        <f aca="false">$G1922*'Analyse capacite'!$F$7</f>
        <v>0</v>
      </c>
      <c r="I1922" s="135" t="n">
        <f aca="false">$G1922*'Analyse capacite'!$C$7</f>
        <v>0</v>
      </c>
      <c r="J1922" s="135" t="n">
        <f aca="false">$G1922*'Analyse capacite'!$D$7</f>
        <v>0</v>
      </c>
      <c r="K1922" s="135" t="n">
        <f aca="false">$G1922*'Analyse capacite'!$E$7</f>
        <v>0</v>
      </c>
    </row>
    <row r="1923" customFormat="false" ht="15" hidden="false" customHeight="false" outlineLevel="0" collapsed="false">
      <c r="B1923" s="130" t="n">
        <v>2027</v>
      </c>
      <c r="C1923" s="131" t="s">
        <v>247</v>
      </c>
      <c r="D1923" s="132" t="n">
        <v>46531</v>
      </c>
      <c r="E1923" s="131" t="s">
        <v>36</v>
      </c>
      <c r="F1923" s="133" t="s">
        <v>19</v>
      </c>
      <c r="G1923" s="134" t="n">
        <f aca="false">LEN('Saisie programme'!$D$62)+SUMIFS('Vols additionnels'!$E$7:$E$66,'Vols additionnels'!$C$7:$C$66,$E1923,'Vols additionnels'!$D$7:$D$66,$F1923,'Vols additionnels'!$B$7:$B$66,$D1923)</f>
        <v>0</v>
      </c>
      <c r="H1923" s="135" t="n">
        <f aca="false">$G1923*'Analyse capacite'!$F$8</f>
        <v>0</v>
      </c>
      <c r="I1923" s="135" t="n">
        <f aca="false">$G1923*'Analyse capacite'!$C$8</f>
        <v>0</v>
      </c>
      <c r="J1923" s="135" t="n">
        <f aca="false">$G1923*'Analyse capacite'!$D$8</f>
        <v>0</v>
      </c>
      <c r="K1923" s="135" t="n">
        <f aca="false">$G1923*'Analyse capacite'!$E$8</f>
        <v>0</v>
      </c>
    </row>
    <row r="1924" customFormat="false" ht="15" hidden="false" customHeight="false" outlineLevel="0" collapsed="false">
      <c r="B1924" s="130" t="n">
        <v>2027</v>
      </c>
      <c r="C1924" s="131" t="s">
        <v>247</v>
      </c>
      <c r="D1924" s="132" t="n">
        <v>46531</v>
      </c>
      <c r="E1924" s="131" t="s">
        <v>36</v>
      </c>
      <c r="F1924" s="133" t="s">
        <v>24</v>
      </c>
      <c r="G1924" s="134" t="n">
        <f aca="false">LEN('Saisie programme'!$D$63)+SUMIFS('Vols additionnels'!$E$7:$E$66,'Vols additionnels'!$C$7:$C$66,$E1924,'Vols additionnels'!$D$7:$D$66,$F1924,'Vols additionnels'!$B$7:$B$66,$D1924)</f>
        <v>1</v>
      </c>
      <c r="H1924" s="135" t="n">
        <f aca="false">$G1924*'Analyse capacite'!$F$9</f>
        <v>174</v>
      </c>
      <c r="I1924" s="135" t="n">
        <f aca="false">$G1924*'Analyse capacite'!$C$9</f>
        <v>0</v>
      </c>
      <c r="J1924" s="135" t="n">
        <f aca="false">$G1924*'Analyse capacite'!$D$9</f>
        <v>12</v>
      </c>
      <c r="K1924" s="135" t="n">
        <f aca="false">$G1924*'Analyse capacite'!$E$9</f>
        <v>162</v>
      </c>
    </row>
    <row r="1925" customFormat="false" ht="15" hidden="false" customHeight="false" outlineLevel="0" collapsed="false">
      <c r="B1925" s="130" t="n">
        <v>2027</v>
      </c>
      <c r="C1925" s="131" t="s">
        <v>247</v>
      </c>
      <c r="D1925" s="132" t="n">
        <v>46531</v>
      </c>
      <c r="E1925" s="131" t="s">
        <v>40</v>
      </c>
      <c r="F1925" s="133" t="s">
        <v>11</v>
      </c>
      <c r="G1925" s="134" t="n">
        <f aca="false">LEN('Saisie programme'!$D$64)+SUMIFS('Vols additionnels'!$E$7:$E$66,'Vols additionnels'!$C$7:$C$66,$E1925,'Vols additionnels'!$D$7:$D$66,$F1925,'Vols additionnels'!$B$7:$B$66,$D1925)</f>
        <v>0</v>
      </c>
      <c r="H1925" s="135" t="n">
        <f aca="false">$G1925*'Analyse capacite'!$F$7</f>
        <v>0</v>
      </c>
      <c r="I1925" s="135" t="n">
        <f aca="false">$G1925*'Analyse capacite'!$C$7</f>
        <v>0</v>
      </c>
      <c r="J1925" s="135" t="n">
        <f aca="false">$G1925*'Analyse capacite'!$D$7</f>
        <v>0</v>
      </c>
      <c r="K1925" s="135" t="n">
        <f aca="false">$G1925*'Analyse capacite'!$E$7</f>
        <v>0</v>
      </c>
    </row>
    <row r="1926" customFormat="false" ht="15" hidden="false" customHeight="false" outlineLevel="0" collapsed="false">
      <c r="B1926" s="130" t="n">
        <v>2027</v>
      </c>
      <c r="C1926" s="131" t="s">
        <v>247</v>
      </c>
      <c r="D1926" s="132" t="n">
        <v>46531</v>
      </c>
      <c r="E1926" s="131" t="s">
        <v>40</v>
      </c>
      <c r="F1926" s="133" t="s">
        <v>19</v>
      </c>
      <c r="G1926" s="134" t="n">
        <f aca="false">LEN('Saisie programme'!$D$65)+SUMIFS('Vols additionnels'!$E$7:$E$66,'Vols additionnels'!$C$7:$C$66,$E1926,'Vols additionnels'!$D$7:$D$66,$F1926,'Vols additionnels'!$B$7:$B$66,$D1926)</f>
        <v>0</v>
      </c>
      <c r="H1926" s="135" t="n">
        <f aca="false">$G1926*'Analyse capacite'!$F$8</f>
        <v>0</v>
      </c>
      <c r="I1926" s="135" t="n">
        <f aca="false">$G1926*'Analyse capacite'!$C$8</f>
        <v>0</v>
      </c>
      <c r="J1926" s="135" t="n">
        <f aca="false">$G1926*'Analyse capacite'!$D$8</f>
        <v>0</v>
      </c>
      <c r="K1926" s="135" t="n">
        <f aca="false">$G1926*'Analyse capacite'!$E$8</f>
        <v>0</v>
      </c>
    </row>
    <row r="1927" customFormat="false" ht="15" hidden="false" customHeight="false" outlineLevel="0" collapsed="false">
      <c r="B1927" s="130" t="n">
        <v>2027</v>
      </c>
      <c r="C1927" s="131" t="s">
        <v>247</v>
      </c>
      <c r="D1927" s="132" t="n">
        <v>46531</v>
      </c>
      <c r="E1927" s="131" t="s">
        <v>40</v>
      </c>
      <c r="F1927" s="133" t="s">
        <v>24</v>
      </c>
      <c r="G1927" s="134" t="n">
        <f aca="false">LEN('Saisie programme'!$D$66)+SUMIFS('Vols additionnels'!$E$7:$E$66,'Vols additionnels'!$C$7:$C$66,$E1927,'Vols additionnels'!$D$7:$D$66,$F1927,'Vols additionnels'!$B$7:$B$66,$D1927)</f>
        <v>1</v>
      </c>
      <c r="H1927" s="135" t="n">
        <f aca="false">$G1927*'Analyse capacite'!$F$9</f>
        <v>174</v>
      </c>
      <c r="I1927" s="135" t="n">
        <f aca="false">$G1927*'Analyse capacite'!$C$9</f>
        <v>0</v>
      </c>
      <c r="J1927" s="135" t="n">
        <f aca="false">$G1927*'Analyse capacite'!$D$9</f>
        <v>12</v>
      </c>
      <c r="K1927" s="135" t="n">
        <f aca="false">$G1927*'Analyse capacite'!$E$9</f>
        <v>162</v>
      </c>
    </row>
    <row r="1928" customFormat="false" ht="15" hidden="false" customHeight="false" outlineLevel="0" collapsed="false">
      <c r="B1928" s="130" t="n">
        <v>2027</v>
      </c>
      <c r="C1928" s="131" t="s">
        <v>247</v>
      </c>
      <c r="D1928" s="132" t="n">
        <v>46531</v>
      </c>
      <c r="E1928" s="131" t="s">
        <v>14</v>
      </c>
      <c r="F1928" s="133" t="s">
        <v>11</v>
      </c>
      <c r="G1928" s="134" t="n">
        <f aca="false">LEN('Saisie programme'!$D$67)+SUMIFS('Vols additionnels'!$E$7:$E$66,'Vols additionnels'!$C$7:$C$66,$E1928,'Vols additionnels'!$D$7:$D$66,$F1928,'Vols additionnels'!$B$7:$B$66,$D1928)</f>
        <v>0</v>
      </c>
      <c r="H1928" s="135" t="n">
        <f aca="false">$G1928*'Analyse capacite'!$F$7</f>
        <v>0</v>
      </c>
      <c r="I1928" s="135" t="n">
        <f aca="false">$G1928*'Analyse capacite'!$C$7</f>
        <v>0</v>
      </c>
      <c r="J1928" s="135" t="n">
        <f aca="false">$G1928*'Analyse capacite'!$D$7</f>
        <v>0</v>
      </c>
      <c r="K1928" s="135" t="n">
        <f aca="false">$G1928*'Analyse capacite'!$E$7</f>
        <v>0</v>
      </c>
    </row>
    <row r="1929" customFormat="false" ht="15" hidden="false" customHeight="false" outlineLevel="0" collapsed="false">
      <c r="B1929" s="130" t="n">
        <v>2027</v>
      </c>
      <c r="C1929" s="131" t="s">
        <v>247</v>
      </c>
      <c r="D1929" s="132" t="n">
        <v>46531</v>
      </c>
      <c r="E1929" s="131" t="s">
        <v>14</v>
      </c>
      <c r="F1929" s="133" t="s">
        <v>19</v>
      </c>
      <c r="G1929" s="134" t="n">
        <f aca="false">LEN('Saisie programme'!$D$68)+SUMIFS('Vols additionnels'!$E$7:$E$66,'Vols additionnels'!$C$7:$C$66,$E1929,'Vols additionnels'!$D$7:$D$66,$F1929,'Vols additionnels'!$B$7:$B$66,$D1929)</f>
        <v>0</v>
      </c>
      <c r="H1929" s="135" t="n">
        <f aca="false">$G1929*'Analyse capacite'!$F$8</f>
        <v>0</v>
      </c>
      <c r="I1929" s="135" t="n">
        <f aca="false">$G1929*'Analyse capacite'!$C$8</f>
        <v>0</v>
      </c>
      <c r="J1929" s="135" t="n">
        <f aca="false">$G1929*'Analyse capacite'!$D$8</f>
        <v>0</v>
      </c>
      <c r="K1929" s="135" t="n">
        <f aca="false">$G1929*'Analyse capacite'!$E$8</f>
        <v>0</v>
      </c>
    </row>
    <row r="1930" customFormat="false" ht="15" hidden="false" customHeight="false" outlineLevel="0" collapsed="false">
      <c r="B1930" s="130" t="n">
        <v>2027</v>
      </c>
      <c r="C1930" s="131" t="s">
        <v>247</v>
      </c>
      <c r="D1930" s="132" t="n">
        <v>46531</v>
      </c>
      <c r="E1930" s="131" t="s">
        <v>14</v>
      </c>
      <c r="F1930" s="133" t="s">
        <v>24</v>
      </c>
      <c r="G1930" s="134" t="n">
        <f aca="false">LEN('Saisie programme'!$D$69)+SUMIFS('Vols additionnels'!$E$7:$E$66,'Vols additionnels'!$C$7:$C$66,$E1930,'Vols additionnels'!$D$7:$D$66,$F1930,'Vols additionnels'!$B$7:$B$66,$D1930)</f>
        <v>1</v>
      </c>
      <c r="H1930" s="135" t="n">
        <f aca="false">$G1930*'Analyse capacite'!$F$9</f>
        <v>174</v>
      </c>
      <c r="I1930" s="135" t="n">
        <f aca="false">$G1930*'Analyse capacite'!$C$9</f>
        <v>0</v>
      </c>
      <c r="J1930" s="135" t="n">
        <f aca="false">$G1930*'Analyse capacite'!$D$9</f>
        <v>12</v>
      </c>
      <c r="K1930" s="135" t="n">
        <f aca="false">$G1930*'Analyse capacite'!$E$9</f>
        <v>162</v>
      </c>
    </row>
    <row r="1931" customFormat="false" ht="15" hidden="false" customHeight="false" outlineLevel="0" collapsed="false">
      <c r="B1931" s="130" t="n">
        <v>2027</v>
      </c>
      <c r="C1931" s="131" t="s">
        <v>247</v>
      </c>
      <c r="D1931" s="132" t="n">
        <v>46531</v>
      </c>
      <c r="E1931" s="131" t="s">
        <v>46</v>
      </c>
      <c r="F1931" s="133" t="s">
        <v>11</v>
      </c>
      <c r="G1931" s="134" t="n">
        <f aca="false">LEN('Saisie programme'!$D$70)+SUMIFS('Vols additionnels'!$E$7:$E$66,'Vols additionnels'!$C$7:$C$66,$E1931,'Vols additionnels'!$D$7:$D$66,$F1931,'Vols additionnels'!$B$7:$B$66,$D1931)</f>
        <v>0</v>
      </c>
      <c r="H1931" s="135" t="n">
        <f aca="false">$G1931*'Analyse capacite'!$F$7</f>
        <v>0</v>
      </c>
      <c r="I1931" s="135" t="n">
        <f aca="false">$G1931*'Analyse capacite'!$C$7</f>
        <v>0</v>
      </c>
      <c r="J1931" s="135" t="n">
        <f aca="false">$G1931*'Analyse capacite'!$D$7</f>
        <v>0</v>
      </c>
      <c r="K1931" s="135" t="n">
        <f aca="false">$G1931*'Analyse capacite'!$E$7</f>
        <v>0</v>
      </c>
    </row>
    <row r="1932" customFormat="false" ht="15" hidden="false" customHeight="false" outlineLevel="0" collapsed="false">
      <c r="B1932" s="130" t="n">
        <v>2027</v>
      </c>
      <c r="C1932" s="131" t="s">
        <v>247</v>
      </c>
      <c r="D1932" s="132" t="n">
        <v>46531</v>
      </c>
      <c r="E1932" s="131" t="s">
        <v>46</v>
      </c>
      <c r="F1932" s="133" t="s">
        <v>19</v>
      </c>
      <c r="G1932" s="134" t="n">
        <f aca="false">LEN('Saisie programme'!$D$71)+SUMIFS('Vols additionnels'!$E$7:$E$66,'Vols additionnels'!$C$7:$C$66,$E1932,'Vols additionnels'!$D$7:$D$66,$F1932,'Vols additionnels'!$B$7:$B$66,$D1932)</f>
        <v>0</v>
      </c>
      <c r="H1932" s="135" t="n">
        <f aca="false">$G1932*'Analyse capacite'!$F$8</f>
        <v>0</v>
      </c>
      <c r="I1932" s="135" t="n">
        <f aca="false">$G1932*'Analyse capacite'!$C$8</f>
        <v>0</v>
      </c>
      <c r="J1932" s="135" t="n">
        <f aca="false">$G1932*'Analyse capacite'!$D$8</f>
        <v>0</v>
      </c>
      <c r="K1932" s="135" t="n">
        <f aca="false">$G1932*'Analyse capacite'!$E$8</f>
        <v>0</v>
      </c>
    </row>
    <row r="1933" customFormat="false" ht="15" hidden="false" customHeight="false" outlineLevel="0" collapsed="false">
      <c r="B1933" s="130" t="n">
        <v>2027</v>
      </c>
      <c r="C1933" s="131" t="s">
        <v>247</v>
      </c>
      <c r="D1933" s="132" t="n">
        <v>46531</v>
      </c>
      <c r="E1933" s="131" t="s">
        <v>46</v>
      </c>
      <c r="F1933" s="133" t="s">
        <v>24</v>
      </c>
      <c r="G1933" s="134" t="n">
        <f aca="false">LEN('Saisie programme'!$D$72)+SUMIFS('Vols additionnels'!$E$7:$E$66,'Vols additionnels'!$C$7:$C$66,$E1933,'Vols additionnels'!$D$7:$D$66,$F1933,'Vols additionnels'!$B$7:$B$66,$D1933)</f>
        <v>0</v>
      </c>
      <c r="H1933" s="135" t="n">
        <f aca="false">$G1933*'Analyse capacite'!$F$9</f>
        <v>0</v>
      </c>
      <c r="I1933" s="135" t="n">
        <f aca="false">$G1933*'Analyse capacite'!$C$9</f>
        <v>0</v>
      </c>
      <c r="J1933" s="135" t="n">
        <f aca="false">$G1933*'Analyse capacite'!$D$9</f>
        <v>0</v>
      </c>
      <c r="K1933" s="135" t="n">
        <f aca="false">$G1933*'Analyse capacite'!$E$9</f>
        <v>0</v>
      </c>
    </row>
    <row r="1934" customFormat="false" ht="15" hidden="false" customHeight="false" outlineLevel="0" collapsed="false">
      <c r="B1934" s="130" t="n">
        <v>2027</v>
      </c>
      <c r="C1934" s="131" t="s">
        <v>247</v>
      </c>
      <c r="D1934" s="132" t="n">
        <v>46531</v>
      </c>
      <c r="E1934" s="131" t="s">
        <v>49</v>
      </c>
      <c r="F1934" s="133" t="s">
        <v>11</v>
      </c>
      <c r="G1934" s="134" t="n">
        <f aca="false">LEN('Saisie programme'!$D$73)+SUMIFS('Vols additionnels'!$E$7:$E$66,'Vols additionnels'!$C$7:$C$66,$E1934,'Vols additionnels'!$D$7:$D$66,$F1934,'Vols additionnels'!$B$7:$B$66,$D1934)</f>
        <v>0</v>
      </c>
      <c r="H1934" s="135" t="n">
        <f aca="false">$G1934*'Analyse capacite'!$F$7</f>
        <v>0</v>
      </c>
      <c r="I1934" s="135" t="n">
        <f aca="false">$G1934*'Analyse capacite'!$C$7</f>
        <v>0</v>
      </c>
      <c r="J1934" s="135" t="n">
        <f aca="false">$G1934*'Analyse capacite'!$D$7</f>
        <v>0</v>
      </c>
      <c r="K1934" s="135" t="n">
        <f aca="false">$G1934*'Analyse capacite'!$E$7</f>
        <v>0</v>
      </c>
    </row>
    <row r="1935" customFormat="false" ht="15" hidden="false" customHeight="false" outlineLevel="0" collapsed="false">
      <c r="B1935" s="130" t="n">
        <v>2027</v>
      </c>
      <c r="C1935" s="131" t="s">
        <v>247</v>
      </c>
      <c r="D1935" s="132" t="n">
        <v>46531</v>
      </c>
      <c r="E1935" s="131" t="s">
        <v>49</v>
      </c>
      <c r="F1935" s="133" t="s">
        <v>19</v>
      </c>
      <c r="G1935" s="134" t="n">
        <f aca="false">LEN('Saisie programme'!$D$74)+SUMIFS('Vols additionnels'!$E$7:$E$66,'Vols additionnels'!$C$7:$C$66,$E1935,'Vols additionnels'!$D$7:$D$66,$F1935,'Vols additionnels'!$B$7:$B$66,$D1935)</f>
        <v>1</v>
      </c>
      <c r="H1935" s="135" t="n">
        <f aca="false">$G1935*'Analyse capacite'!$F$8</f>
        <v>262</v>
      </c>
      <c r="I1935" s="135" t="n">
        <f aca="false">$G1935*'Analyse capacite'!$C$8</f>
        <v>18</v>
      </c>
      <c r="J1935" s="135" t="n">
        <f aca="false">$G1935*'Analyse capacite'!$D$8</f>
        <v>0</v>
      </c>
      <c r="K1935" s="135" t="n">
        <f aca="false">$G1935*'Analyse capacite'!$E$8</f>
        <v>244</v>
      </c>
    </row>
    <row r="1936" customFormat="false" ht="15" hidden="false" customHeight="false" outlineLevel="0" collapsed="false">
      <c r="B1936" s="130" t="n">
        <v>2027</v>
      </c>
      <c r="C1936" s="131" t="s">
        <v>247</v>
      </c>
      <c r="D1936" s="132" t="n">
        <v>46531</v>
      </c>
      <c r="E1936" s="131" t="s">
        <v>49</v>
      </c>
      <c r="F1936" s="133" t="s">
        <v>24</v>
      </c>
      <c r="G1936" s="134" t="n">
        <f aca="false">LEN('Saisie programme'!$D$75)+SUMIFS('Vols additionnels'!$E$7:$E$66,'Vols additionnels'!$C$7:$C$66,$E1936,'Vols additionnels'!$D$7:$D$66,$F1936,'Vols additionnels'!$B$7:$B$66,$D1936)</f>
        <v>0</v>
      </c>
      <c r="H1936" s="135" t="n">
        <f aca="false">$G1936*'Analyse capacite'!$F$9</f>
        <v>0</v>
      </c>
      <c r="I1936" s="135" t="n">
        <f aca="false">$G1936*'Analyse capacite'!$C$9</f>
        <v>0</v>
      </c>
      <c r="J1936" s="135" t="n">
        <f aca="false">$G1936*'Analyse capacite'!$D$9</f>
        <v>0</v>
      </c>
      <c r="K1936" s="135" t="n">
        <f aca="false">$G1936*'Analyse capacite'!$E$9</f>
        <v>0</v>
      </c>
    </row>
    <row r="1937" customFormat="false" ht="15" hidden="false" customHeight="false" outlineLevel="0" collapsed="false">
      <c r="B1937" s="130" t="n">
        <v>2027</v>
      </c>
      <c r="C1937" s="131" t="s">
        <v>247</v>
      </c>
      <c r="D1937" s="132" t="n">
        <v>46531</v>
      </c>
      <c r="E1937" s="131" t="s">
        <v>53</v>
      </c>
      <c r="F1937" s="133" t="s">
        <v>11</v>
      </c>
      <c r="G1937" s="134" t="n">
        <f aca="false">LEN('Saisie programme'!$D$76)+SUMIFS('Vols additionnels'!$E$7:$E$66,'Vols additionnels'!$C$7:$C$66,$E1937,'Vols additionnels'!$D$7:$D$66,$F1937,'Vols additionnels'!$B$7:$B$66,$D1937)</f>
        <v>0</v>
      </c>
      <c r="H1937" s="135" t="n">
        <f aca="false">$G1937*'Analyse capacite'!$F$7</f>
        <v>0</v>
      </c>
      <c r="I1937" s="135" t="n">
        <f aca="false">$G1937*'Analyse capacite'!$C$7</f>
        <v>0</v>
      </c>
      <c r="J1937" s="135" t="n">
        <f aca="false">$G1937*'Analyse capacite'!$D$7</f>
        <v>0</v>
      </c>
      <c r="K1937" s="135" t="n">
        <f aca="false">$G1937*'Analyse capacite'!$E$7</f>
        <v>0</v>
      </c>
    </row>
    <row r="1938" customFormat="false" ht="15" hidden="false" customHeight="false" outlineLevel="0" collapsed="false">
      <c r="B1938" s="130" t="n">
        <v>2027</v>
      </c>
      <c r="C1938" s="131" t="s">
        <v>247</v>
      </c>
      <c r="D1938" s="132" t="n">
        <v>46531</v>
      </c>
      <c r="E1938" s="131" t="s">
        <v>53</v>
      </c>
      <c r="F1938" s="133" t="s">
        <v>19</v>
      </c>
      <c r="G1938" s="134" t="n">
        <f aca="false">LEN('Saisie programme'!$D$77)+SUMIFS('Vols additionnels'!$E$7:$E$66,'Vols additionnels'!$C$7:$C$66,$E1938,'Vols additionnels'!$D$7:$D$66,$F1938,'Vols additionnels'!$B$7:$B$66,$D1938)</f>
        <v>0</v>
      </c>
      <c r="H1938" s="135" t="n">
        <f aca="false">$G1938*'Analyse capacite'!$F$8</f>
        <v>0</v>
      </c>
      <c r="I1938" s="135" t="n">
        <f aca="false">$G1938*'Analyse capacite'!$C$8</f>
        <v>0</v>
      </c>
      <c r="J1938" s="135" t="n">
        <f aca="false">$G1938*'Analyse capacite'!$D$8</f>
        <v>0</v>
      </c>
      <c r="K1938" s="135" t="n">
        <f aca="false">$G1938*'Analyse capacite'!$E$8</f>
        <v>0</v>
      </c>
    </row>
    <row r="1939" customFormat="false" ht="15" hidden="false" customHeight="false" outlineLevel="0" collapsed="false">
      <c r="B1939" s="130" t="n">
        <v>2027</v>
      </c>
      <c r="C1939" s="131" t="s">
        <v>247</v>
      </c>
      <c r="D1939" s="132" t="n">
        <v>46531</v>
      </c>
      <c r="E1939" s="131" t="s">
        <v>53</v>
      </c>
      <c r="F1939" s="133" t="s">
        <v>24</v>
      </c>
      <c r="G1939" s="134" t="n">
        <f aca="false">LEN('Saisie programme'!$D$78)+SUMIFS('Vols additionnels'!$E$7:$E$66,'Vols additionnels'!$C$7:$C$66,$E1939,'Vols additionnels'!$D$7:$D$66,$F1939,'Vols additionnels'!$B$7:$B$66,$D1939)</f>
        <v>0</v>
      </c>
      <c r="H1939" s="135" t="n">
        <f aca="false">$G1939*'Analyse capacite'!$F$9</f>
        <v>0</v>
      </c>
      <c r="I1939" s="135" t="n">
        <f aca="false">$G1939*'Analyse capacite'!$C$9</f>
        <v>0</v>
      </c>
      <c r="J1939" s="135" t="n">
        <f aca="false">$G1939*'Analyse capacite'!$D$9</f>
        <v>0</v>
      </c>
      <c r="K1939" s="135" t="n">
        <f aca="false">$G1939*'Analyse capacite'!$E$9</f>
        <v>0</v>
      </c>
    </row>
    <row r="1940" customFormat="false" ht="15" hidden="false" customHeight="false" outlineLevel="0" collapsed="false">
      <c r="B1940" s="130" t="n">
        <v>2027</v>
      </c>
      <c r="C1940" s="131" t="s">
        <v>247</v>
      </c>
      <c r="D1940" s="132" t="n">
        <v>46531</v>
      </c>
      <c r="E1940" s="131" t="s">
        <v>56</v>
      </c>
      <c r="F1940" s="133" t="s">
        <v>11</v>
      </c>
      <c r="G1940" s="134" t="n">
        <f aca="false">LEN('Saisie programme'!$D$79)+SUMIFS('Vols additionnels'!$E$7:$E$66,'Vols additionnels'!$C$7:$C$66,$E1940,'Vols additionnels'!$D$7:$D$66,$F1940,'Vols additionnels'!$B$7:$B$66,$D1940)</f>
        <v>0</v>
      </c>
      <c r="H1940" s="135" t="n">
        <f aca="false">$G1940*'Analyse capacite'!$F$7</f>
        <v>0</v>
      </c>
      <c r="I1940" s="135" t="n">
        <f aca="false">$G1940*'Analyse capacite'!$C$7</f>
        <v>0</v>
      </c>
      <c r="J1940" s="135" t="n">
        <f aca="false">$G1940*'Analyse capacite'!$D$7</f>
        <v>0</v>
      </c>
      <c r="K1940" s="135" t="n">
        <f aca="false">$G1940*'Analyse capacite'!$E$7</f>
        <v>0</v>
      </c>
    </row>
    <row r="1941" customFormat="false" ht="15" hidden="false" customHeight="false" outlineLevel="0" collapsed="false">
      <c r="B1941" s="130" t="n">
        <v>2027</v>
      </c>
      <c r="C1941" s="131" t="s">
        <v>247</v>
      </c>
      <c r="D1941" s="132" t="n">
        <v>46531</v>
      </c>
      <c r="E1941" s="131" t="s">
        <v>56</v>
      </c>
      <c r="F1941" s="133" t="s">
        <v>19</v>
      </c>
      <c r="G1941" s="134" t="n">
        <f aca="false">LEN('Saisie programme'!$D$80)+SUMIFS('Vols additionnels'!$E$7:$E$66,'Vols additionnels'!$C$7:$C$66,$E1941,'Vols additionnels'!$D$7:$D$66,$F1941,'Vols additionnels'!$B$7:$B$66,$D1941)</f>
        <v>0</v>
      </c>
      <c r="H1941" s="135" t="n">
        <f aca="false">$G1941*'Analyse capacite'!$F$8</f>
        <v>0</v>
      </c>
      <c r="I1941" s="135" t="n">
        <f aca="false">$G1941*'Analyse capacite'!$C$8</f>
        <v>0</v>
      </c>
      <c r="J1941" s="135" t="n">
        <f aca="false">$G1941*'Analyse capacite'!$D$8</f>
        <v>0</v>
      </c>
      <c r="K1941" s="135" t="n">
        <f aca="false">$G1941*'Analyse capacite'!$E$8</f>
        <v>0</v>
      </c>
    </row>
    <row r="1942" customFormat="false" ht="15" hidden="false" customHeight="false" outlineLevel="0" collapsed="false">
      <c r="B1942" s="130" t="n">
        <v>2027</v>
      </c>
      <c r="C1942" s="131" t="s">
        <v>247</v>
      </c>
      <c r="D1942" s="132" t="n">
        <v>46531</v>
      </c>
      <c r="E1942" s="131" t="s">
        <v>56</v>
      </c>
      <c r="F1942" s="133" t="s">
        <v>24</v>
      </c>
      <c r="G1942" s="134" t="n">
        <f aca="false">LEN('Saisie programme'!$D$81)+SUMIFS('Vols additionnels'!$E$7:$E$66,'Vols additionnels'!$C$7:$C$66,$E1942,'Vols additionnels'!$D$7:$D$66,$F1942,'Vols additionnels'!$B$7:$B$66,$D1942)</f>
        <v>0</v>
      </c>
      <c r="H1942" s="135" t="n">
        <f aca="false">$G1942*'Analyse capacite'!$F$9</f>
        <v>0</v>
      </c>
      <c r="I1942" s="135" t="n">
        <f aca="false">$G1942*'Analyse capacite'!$C$9</f>
        <v>0</v>
      </c>
      <c r="J1942" s="135" t="n">
        <f aca="false">$G1942*'Analyse capacite'!$D$9</f>
        <v>0</v>
      </c>
      <c r="K1942" s="135" t="n">
        <f aca="false">$G1942*'Analyse capacite'!$E$9</f>
        <v>0</v>
      </c>
    </row>
    <row r="1943" customFormat="false" ht="15" hidden="false" customHeight="false" outlineLevel="0" collapsed="false">
      <c r="B1943" s="130" t="n">
        <v>2027</v>
      </c>
      <c r="C1943" s="131" t="s">
        <v>247</v>
      </c>
      <c r="D1943" s="132" t="n">
        <v>46531</v>
      </c>
      <c r="E1943" s="131" t="s">
        <v>59</v>
      </c>
      <c r="F1943" s="133" t="s">
        <v>11</v>
      </c>
      <c r="G1943" s="134" t="n">
        <f aca="false">LEN('Saisie programme'!$D$82)+SUMIFS('Vols additionnels'!$E$7:$E$66,'Vols additionnels'!$C$7:$C$66,$E1943,'Vols additionnels'!$D$7:$D$66,$F1943,'Vols additionnels'!$B$7:$B$66,$D1943)</f>
        <v>0</v>
      </c>
      <c r="H1943" s="135" t="n">
        <f aca="false">$G1943*'Analyse capacite'!$F$7</f>
        <v>0</v>
      </c>
      <c r="I1943" s="135" t="n">
        <f aca="false">$G1943*'Analyse capacite'!$C$7</f>
        <v>0</v>
      </c>
      <c r="J1943" s="135" t="n">
        <f aca="false">$G1943*'Analyse capacite'!$D$7</f>
        <v>0</v>
      </c>
      <c r="K1943" s="135" t="n">
        <f aca="false">$G1943*'Analyse capacite'!$E$7</f>
        <v>0</v>
      </c>
    </row>
    <row r="1944" customFormat="false" ht="15" hidden="false" customHeight="false" outlineLevel="0" collapsed="false">
      <c r="B1944" s="130" t="n">
        <v>2027</v>
      </c>
      <c r="C1944" s="131" t="s">
        <v>247</v>
      </c>
      <c r="D1944" s="132" t="n">
        <v>46531</v>
      </c>
      <c r="E1944" s="131" t="s">
        <v>59</v>
      </c>
      <c r="F1944" s="133" t="s">
        <v>19</v>
      </c>
      <c r="G1944" s="134" t="n">
        <f aca="false">LEN('Saisie programme'!$D$83)+SUMIFS('Vols additionnels'!$E$7:$E$66,'Vols additionnels'!$C$7:$C$66,$E1944,'Vols additionnels'!$D$7:$D$66,$F1944,'Vols additionnels'!$B$7:$B$66,$D1944)</f>
        <v>0</v>
      </c>
      <c r="H1944" s="135" t="n">
        <f aca="false">$G1944*'Analyse capacite'!$F$8</f>
        <v>0</v>
      </c>
      <c r="I1944" s="135" t="n">
        <f aca="false">$G1944*'Analyse capacite'!$C$8</f>
        <v>0</v>
      </c>
      <c r="J1944" s="135" t="n">
        <f aca="false">$G1944*'Analyse capacite'!$D$8</f>
        <v>0</v>
      </c>
      <c r="K1944" s="135" t="n">
        <f aca="false">$G1944*'Analyse capacite'!$E$8</f>
        <v>0</v>
      </c>
    </row>
    <row r="1945" customFormat="false" ht="15" hidden="false" customHeight="false" outlineLevel="0" collapsed="false">
      <c r="B1945" s="130" t="n">
        <v>2027</v>
      </c>
      <c r="C1945" s="131" t="s">
        <v>247</v>
      </c>
      <c r="D1945" s="132" t="n">
        <v>46531</v>
      </c>
      <c r="E1945" s="131" t="s">
        <v>59</v>
      </c>
      <c r="F1945" s="133" t="s">
        <v>24</v>
      </c>
      <c r="G1945" s="134" t="n">
        <f aca="false">LEN('Saisie programme'!$D$84)+SUMIFS('Vols additionnels'!$E$7:$E$66,'Vols additionnels'!$C$7:$C$66,$E1945,'Vols additionnels'!$D$7:$D$66,$F1945,'Vols additionnels'!$B$7:$B$66,$D1945)</f>
        <v>1</v>
      </c>
      <c r="H1945" s="135" t="n">
        <f aca="false">$G1945*'Analyse capacite'!$F$9</f>
        <v>174</v>
      </c>
      <c r="I1945" s="135" t="n">
        <f aca="false">$G1945*'Analyse capacite'!$C$9</f>
        <v>0</v>
      </c>
      <c r="J1945" s="135" t="n">
        <f aca="false">$G1945*'Analyse capacite'!$D$9</f>
        <v>12</v>
      </c>
      <c r="K1945" s="135" t="n">
        <f aca="false">$G1945*'Analyse capacite'!$E$9</f>
        <v>162</v>
      </c>
    </row>
    <row r="1946" customFormat="false" ht="15" hidden="false" customHeight="false" outlineLevel="0" collapsed="false">
      <c r="B1946" s="130" t="n">
        <v>2027</v>
      </c>
      <c r="C1946" s="131" t="s">
        <v>247</v>
      </c>
      <c r="D1946" s="132" t="n">
        <v>46531</v>
      </c>
      <c r="E1946" s="131" t="s">
        <v>62</v>
      </c>
      <c r="F1946" s="133" t="s">
        <v>11</v>
      </c>
      <c r="G1946" s="134" t="n">
        <f aca="false">LEN('Saisie programme'!$D$85)+SUMIFS('Vols additionnels'!$E$7:$E$66,'Vols additionnels'!$C$7:$C$66,$E1946,'Vols additionnels'!$D$7:$D$66,$F1946,'Vols additionnels'!$B$7:$B$66,$D1946)</f>
        <v>0</v>
      </c>
      <c r="H1946" s="135" t="n">
        <f aca="false">$G1946*'Analyse capacite'!$F$7</f>
        <v>0</v>
      </c>
      <c r="I1946" s="135" t="n">
        <f aca="false">$G1946*'Analyse capacite'!$C$7</f>
        <v>0</v>
      </c>
      <c r="J1946" s="135" t="n">
        <f aca="false">$G1946*'Analyse capacite'!$D$7</f>
        <v>0</v>
      </c>
      <c r="K1946" s="135" t="n">
        <f aca="false">$G1946*'Analyse capacite'!$E$7</f>
        <v>0</v>
      </c>
    </row>
    <row r="1947" customFormat="false" ht="15" hidden="false" customHeight="false" outlineLevel="0" collapsed="false">
      <c r="B1947" s="130" t="n">
        <v>2027</v>
      </c>
      <c r="C1947" s="131" t="s">
        <v>247</v>
      </c>
      <c r="D1947" s="132" t="n">
        <v>46531</v>
      </c>
      <c r="E1947" s="131" t="s">
        <v>62</v>
      </c>
      <c r="F1947" s="133" t="s">
        <v>19</v>
      </c>
      <c r="G1947" s="134" t="n">
        <f aca="false">LEN('Saisie programme'!$D$86)+SUMIFS('Vols additionnels'!$E$7:$E$66,'Vols additionnels'!$C$7:$C$66,$E1947,'Vols additionnels'!$D$7:$D$66,$F1947,'Vols additionnels'!$B$7:$B$66,$D1947)</f>
        <v>0</v>
      </c>
      <c r="H1947" s="135" t="n">
        <f aca="false">$G1947*'Analyse capacite'!$F$8</f>
        <v>0</v>
      </c>
      <c r="I1947" s="135" t="n">
        <f aca="false">$G1947*'Analyse capacite'!$C$8</f>
        <v>0</v>
      </c>
      <c r="J1947" s="135" t="n">
        <f aca="false">$G1947*'Analyse capacite'!$D$8</f>
        <v>0</v>
      </c>
      <c r="K1947" s="135" t="n">
        <f aca="false">$G1947*'Analyse capacite'!$E$8</f>
        <v>0</v>
      </c>
    </row>
    <row r="1948" customFormat="false" ht="15" hidden="false" customHeight="false" outlineLevel="0" collapsed="false">
      <c r="B1948" s="130" t="n">
        <v>2027</v>
      </c>
      <c r="C1948" s="131" t="s">
        <v>247</v>
      </c>
      <c r="D1948" s="132" t="n">
        <v>46531</v>
      </c>
      <c r="E1948" s="131" t="s">
        <v>62</v>
      </c>
      <c r="F1948" s="133" t="s">
        <v>24</v>
      </c>
      <c r="G1948" s="134" t="n">
        <f aca="false">LEN('Saisie programme'!$D$87)+SUMIFS('Vols additionnels'!$E$7:$E$66,'Vols additionnels'!$C$7:$C$66,$E1948,'Vols additionnels'!$D$7:$D$66,$F1948,'Vols additionnels'!$B$7:$B$66,$D1948)</f>
        <v>0</v>
      </c>
      <c r="H1948" s="135" t="n">
        <f aca="false">$G1948*'Analyse capacite'!$F$9</f>
        <v>0</v>
      </c>
      <c r="I1948" s="135" t="n">
        <f aca="false">$G1948*'Analyse capacite'!$C$9</f>
        <v>0</v>
      </c>
      <c r="J1948" s="135" t="n">
        <f aca="false">$G1948*'Analyse capacite'!$D$9</f>
        <v>0</v>
      </c>
      <c r="K1948" s="135" t="n">
        <f aca="false">$G1948*'Analyse capacite'!$E$9</f>
        <v>0</v>
      </c>
    </row>
    <row r="1949" customFormat="false" ht="15" hidden="false" customHeight="false" outlineLevel="0" collapsed="false">
      <c r="B1949" s="130" t="n">
        <v>2027</v>
      </c>
      <c r="C1949" s="131" t="s">
        <v>247</v>
      </c>
      <c r="D1949" s="132" t="n">
        <v>46532</v>
      </c>
      <c r="E1949" s="131" t="s">
        <v>12</v>
      </c>
      <c r="F1949" s="133" t="s">
        <v>11</v>
      </c>
      <c r="G1949" s="134" t="n">
        <f aca="false">LEN('Saisie programme'!$E$52)+SUMIFS('Vols additionnels'!$E$7:$E$66,'Vols additionnels'!$C$7:$C$66,$E1949,'Vols additionnels'!$D$7:$D$66,$F1949,'Vols additionnels'!$B$7:$B$66,$D1949)</f>
        <v>1</v>
      </c>
      <c r="H1949" s="135" t="n">
        <f aca="false">$G1949*'Analyse capacite'!$F$7</f>
        <v>438</v>
      </c>
      <c r="I1949" s="135" t="n">
        <f aca="false">$G1949*'Analyse capacite'!$C$7</f>
        <v>14</v>
      </c>
      <c r="J1949" s="135" t="n">
        <f aca="false">$G1949*'Analyse capacite'!$D$7</f>
        <v>40</v>
      </c>
      <c r="K1949" s="135" t="n">
        <f aca="false">$G1949*'Analyse capacite'!$E$7</f>
        <v>384</v>
      </c>
    </row>
    <row r="1950" customFormat="false" ht="15" hidden="false" customHeight="false" outlineLevel="0" collapsed="false">
      <c r="B1950" s="130" t="n">
        <v>2027</v>
      </c>
      <c r="C1950" s="131" t="s">
        <v>247</v>
      </c>
      <c r="D1950" s="132" t="n">
        <v>46532</v>
      </c>
      <c r="E1950" s="131" t="s">
        <v>12</v>
      </c>
      <c r="F1950" s="133" t="s">
        <v>19</v>
      </c>
      <c r="G1950" s="134" t="n">
        <f aca="false">LEN('Saisie programme'!$E$53)+SUMIFS('Vols additionnels'!$E$7:$E$66,'Vols additionnels'!$C$7:$C$66,$E1950,'Vols additionnels'!$D$7:$D$66,$F1950,'Vols additionnels'!$B$7:$B$66,$D1950)</f>
        <v>0</v>
      </c>
      <c r="H1950" s="135" t="n">
        <f aca="false">$G1950*'Analyse capacite'!$F$8</f>
        <v>0</v>
      </c>
      <c r="I1950" s="135" t="n">
        <f aca="false">$G1950*'Analyse capacite'!$C$8</f>
        <v>0</v>
      </c>
      <c r="J1950" s="135" t="n">
        <f aca="false">$G1950*'Analyse capacite'!$D$8</f>
        <v>0</v>
      </c>
      <c r="K1950" s="135" t="n">
        <f aca="false">$G1950*'Analyse capacite'!$E$8</f>
        <v>0</v>
      </c>
    </row>
    <row r="1951" customFormat="false" ht="15" hidden="false" customHeight="false" outlineLevel="0" collapsed="false">
      <c r="B1951" s="130" t="n">
        <v>2027</v>
      </c>
      <c r="C1951" s="131" t="s">
        <v>247</v>
      </c>
      <c r="D1951" s="132" t="n">
        <v>46532</v>
      </c>
      <c r="E1951" s="131" t="s">
        <v>12</v>
      </c>
      <c r="F1951" s="133" t="s">
        <v>24</v>
      </c>
      <c r="G1951" s="134" t="n">
        <f aca="false">LEN('Saisie programme'!$E$54)+SUMIFS('Vols additionnels'!$E$7:$E$66,'Vols additionnels'!$C$7:$C$66,$E1951,'Vols additionnels'!$D$7:$D$66,$F1951,'Vols additionnels'!$B$7:$B$66,$D1951)</f>
        <v>0</v>
      </c>
      <c r="H1951" s="135" t="n">
        <f aca="false">$G1951*'Analyse capacite'!$F$9</f>
        <v>0</v>
      </c>
      <c r="I1951" s="135" t="n">
        <f aca="false">$G1951*'Analyse capacite'!$C$9</f>
        <v>0</v>
      </c>
      <c r="J1951" s="135" t="n">
        <f aca="false">$G1951*'Analyse capacite'!$D$9</f>
        <v>0</v>
      </c>
      <c r="K1951" s="135" t="n">
        <f aca="false">$G1951*'Analyse capacite'!$E$9</f>
        <v>0</v>
      </c>
    </row>
    <row r="1952" customFormat="false" ht="15" hidden="false" customHeight="false" outlineLevel="0" collapsed="false">
      <c r="B1952" s="130" t="n">
        <v>2027</v>
      </c>
      <c r="C1952" s="131" t="s">
        <v>247</v>
      </c>
      <c r="D1952" s="132" t="n">
        <v>46532</v>
      </c>
      <c r="E1952" s="131" t="s">
        <v>20</v>
      </c>
      <c r="F1952" s="133" t="s">
        <v>11</v>
      </c>
      <c r="G1952" s="134" t="n">
        <f aca="false">LEN('Saisie programme'!$E$55)+SUMIFS('Vols additionnels'!$E$7:$E$66,'Vols additionnels'!$C$7:$C$66,$E1952,'Vols additionnels'!$D$7:$D$66,$F1952,'Vols additionnels'!$B$7:$B$66,$D1952)</f>
        <v>0</v>
      </c>
      <c r="H1952" s="135" t="n">
        <f aca="false">$G1952*'Analyse capacite'!$F$7</f>
        <v>0</v>
      </c>
      <c r="I1952" s="135" t="n">
        <f aca="false">$G1952*'Analyse capacite'!$C$7</f>
        <v>0</v>
      </c>
      <c r="J1952" s="135" t="n">
        <f aca="false">$G1952*'Analyse capacite'!$D$7</f>
        <v>0</v>
      </c>
      <c r="K1952" s="135" t="n">
        <f aca="false">$G1952*'Analyse capacite'!$E$7</f>
        <v>0</v>
      </c>
    </row>
    <row r="1953" customFormat="false" ht="15" hidden="false" customHeight="false" outlineLevel="0" collapsed="false">
      <c r="B1953" s="130" t="n">
        <v>2027</v>
      </c>
      <c r="C1953" s="131" t="s">
        <v>247</v>
      </c>
      <c r="D1953" s="132" t="n">
        <v>46532</v>
      </c>
      <c r="E1953" s="131" t="s">
        <v>20</v>
      </c>
      <c r="F1953" s="133" t="s">
        <v>19</v>
      </c>
      <c r="G1953" s="134" t="n">
        <f aca="false">LEN('Saisie programme'!$E$56)+SUMIFS('Vols additionnels'!$E$7:$E$66,'Vols additionnels'!$C$7:$C$66,$E1953,'Vols additionnels'!$D$7:$D$66,$F1953,'Vols additionnels'!$B$7:$B$66,$D1953)</f>
        <v>1</v>
      </c>
      <c r="H1953" s="135" t="n">
        <f aca="false">$G1953*'Analyse capacite'!$F$8</f>
        <v>262</v>
      </c>
      <c r="I1953" s="135" t="n">
        <f aca="false">$G1953*'Analyse capacite'!$C$8</f>
        <v>18</v>
      </c>
      <c r="J1953" s="135" t="n">
        <f aca="false">$G1953*'Analyse capacite'!$D$8</f>
        <v>0</v>
      </c>
      <c r="K1953" s="135" t="n">
        <f aca="false">$G1953*'Analyse capacite'!$E$8</f>
        <v>244</v>
      </c>
    </row>
    <row r="1954" customFormat="false" ht="15" hidden="false" customHeight="false" outlineLevel="0" collapsed="false">
      <c r="B1954" s="130" t="n">
        <v>2027</v>
      </c>
      <c r="C1954" s="131" t="s">
        <v>247</v>
      </c>
      <c r="D1954" s="132" t="n">
        <v>46532</v>
      </c>
      <c r="E1954" s="131" t="s">
        <v>20</v>
      </c>
      <c r="F1954" s="133" t="s">
        <v>24</v>
      </c>
      <c r="G1954" s="134" t="n">
        <f aca="false">LEN('Saisie programme'!$E$57)+SUMIFS('Vols additionnels'!$E$7:$E$66,'Vols additionnels'!$C$7:$C$66,$E1954,'Vols additionnels'!$D$7:$D$66,$F1954,'Vols additionnels'!$B$7:$B$66,$D1954)</f>
        <v>0</v>
      </c>
      <c r="H1954" s="135" t="n">
        <f aca="false">$G1954*'Analyse capacite'!$F$9</f>
        <v>0</v>
      </c>
      <c r="I1954" s="135" t="n">
        <f aca="false">$G1954*'Analyse capacite'!$C$9</f>
        <v>0</v>
      </c>
      <c r="J1954" s="135" t="n">
        <f aca="false">$G1954*'Analyse capacite'!$D$9</f>
        <v>0</v>
      </c>
      <c r="K1954" s="135" t="n">
        <f aca="false">$G1954*'Analyse capacite'!$E$9</f>
        <v>0</v>
      </c>
    </row>
    <row r="1955" customFormat="false" ht="15" hidden="false" customHeight="false" outlineLevel="0" collapsed="false">
      <c r="B1955" s="130" t="n">
        <v>2027</v>
      </c>
      <c r="C1955" s="131" t="s">
        <v>247</v>
      </c>
      <c r="D1955" s="132" t="n">
        <v>46532</v>
      </c>
      <c r="E1955" s="131" t="s">
        <v>25</v>
      </c>
      <c r="F1955" s="133" t="s">
        <v>11</v>
      </c>
      <c r="G1955" s="134" t="n">
        <f aca="false">LEN('Saisie programme'!$E$58)+SUMIFS('Vols additionnels'!$E$7:$E$66,'Vols additionnels'!$C$7:$C$66,$E1955,'Vols additionnels'!$D$7:$D$66,$F1955,'Vols additionnels'!$B$7:$B$66,$D1955)</f>
        <v>0</v>
      </c>
      <c r="H1955" s="135" t="n">
        <f aca="false">$G1955*'Analyse capacite'!$F$7</f>
        <v>0</v>
      </c>
      <c r="I1955" s="135" t="n">
        <f aca="false">$G1955*'Analyse capacite'!$C$7</f>
        <v>0</v>
      </c>
      <c r="J1955" s="135" t="n">
        <f aca="false">$G1955*'Analyse capacite'!$D$7</f>
        <v>0</v>
      </c>
      <c r="K1955" s="135" t="n">
        <f aca="false">$G1955*'Analyse capacite'!$E$7</f>
        <v>0</v>
      </c>
    </row>
    <row r="1956" customFormat="false" ht="15" hidden="false" customHeight="false" outlineLevel="0" collapsed="false">
      <c r="B1956" s="130" t="n">
        <v>2027</v>
      </c>
      <c r="C1956" s="131" t="s">
        <v>247</v>
      </c>
      <c r="D1956" s="132" t="n">
        <v>46532</v>
      </c>
      <c r="E1956" s="131" t="s">
        <v>25</v>
      </c>
      <c r="F1956" s="133" t="s">
        <v>19</v>
      </c>
      <c r="G1956" s="134" t="n">
        <f aca="false">LEN('Saisie programme'!$E$59)+SUMIFS('Vols additionnels'!$E$7:$E$66,'Vols additionnels'!$C$7:$C$66,$E1956,'Vols additionnels'!$D$7:$D$66,$F1956,'Vols additionnels'!$B$7:$B$66,$D1956)</f>
        <v>0</v>
      </c>
      <c r="H1956" s="135" t="n">
        <f aca="false">$G1956*'Analyse capacite'!$F$8</f>
        <v>0</v>
      </c>
      <c r="I1956" s="135" t="n">
        <f aca="false">$G1956*'Analyse capacite'!$C$8</f>
        <v>0</v>
      </c>
      <c r="J1956" s="135" t="n">
        <f aca="false">$G1956*'Analyse capacite'!$D$8</f>
        <v>0</v>
      </c>
      <c r="K1956" s="135" t="n">
        <f aca="false">$G1956*'Analyse capacite'!$E$8</f>
        <v>0</v>
      </c>
    </row>
    <row r="1957" customFormat="false" ht="15" hidden="false" customHeight="false" outlineLevel="0" collapsed="false">
      <c r="B1957" s="130" t="n">
        <v>2027</v>
      </c>
      <c r="C1957" s="131" t="s">
        <v>247</v>
      </c>
      <c r="D1957" s="132" t="n">
        <v>46532</v>
      </c>
      <c r="E1957" s="131" t="s">
        <v>25</v>
      </c>
      <c r="F1957" s="133" t="s">
        <v>24</v>
      </c>
      <c r="G1957" s="134" t="n">
        <f aca="false">LEN('Saisie programme'!$E$60)+SUMIFS('Vols additionnels'!$E$7:$E$66,'Vols additionnels'!$C$7:$C$66,$E1957,'Vols additionnels'!$D$7:$D$66,$F1957,'Vols additionnels'!$B$7:$B$66,$D1957)</f>
        <v>0</v>
      </c>
      <c r="H1957" s="135" t="n">
        <f aca="false">$G1957*'Analyse capacite'!$F$9</f>
        <v>0</v>
      </c>
      <c r="I1957" s="135" t="n">
        <f aca="false">$G1957*'Analyse capacite'!$C$9</f>
        <v>0</v>
      </c>
      <c r="J1957" s="135" t="n">
        <f aca="false">$G1957*'Analyse capacite'!$D$9</f>
        <v>0</v>
      </c>
      <c r="K1957" s="135" t="n">
        <f aca="false">$G1957*'Analyse capacite'!$E$9</f>
        <v>0</v>
      </c>
    </row>
    <row r="1958" customFormat="false" ht="15" hidden="false" customHeight="false" outlineLevel="0" collapsed="false">
      <c r="B1958" s="130" t="n">
        <v>2027</v>
      </c>
      <c r="C1958" s="131" t="s">
        <v>247</v>
      </c>
      <c r="D1958" s="132" t="n">
        <v>46532</v>
      </c>
      <c r="E1958" s="131" t="s">
        <v>36</v>
      </c>
      <c r="F1958" s="133" t="s">
        <v>11</v>
      </c>
      <c r="G1958" s="134" t="n">
        <f aca="false">LEN('Saisie programme'!$E$61)+SUMIFS('Vols additionnels'!$E$7:$E$66,'Vols additionnels'!$C$7:$C$66,$E1958,'Vols additionnels'!$D$7:$D$66,$F1958,'Vols additionnels'!$B$7:$B$66,$D1958)</f>
        <v>0</v>
      </c>
      <c r="H1958" s="135" t="n">
        <f aca="false">$G1958*'Analyse capacite'!$F$7</f>
        <v>0</v>
      </c>
      <c r="I1958" s="135" t="n">
        <f aca="false">$G1958*'Analyse capacite'!$C$7</f>
        <v>0</v>
      </c>
      <c r="J1958" s="135" t="n">
        <f aca="false">$G1958*'Analyse capacite'!$D$7</f>
        <v>0</v>
      </c>
      <c r="K1958" s="135" t="n">
        <f aca="false">$G1958*'Analyse capacite'!$E$7</f>
        <v>0</v>
      </c>
    </row>
    <row r="1959" customFormat="false" ht="15" hidden="false" customHeight="false" outlineLevel="0" collapsed="false">
      <c r="B1959" s="130" t="n">
        <v>2027</v>
      </c>
      <c r="C1959" s="131" t="s">
        <v>247</v>
      </c>
      <c r="D1959" s="132" t="n">
        <v>46532</v>
      </c>
      <c r="E1959" s="131" t="s">
        <v>36</v>
      </c>
      <c r="F1959" s="133" t="s">
        <v>19</v>
      </c>
      <c r="G1959" s="134" t="n">
        <f aca="false">LEN('Saisie programme'!$E$62)+SUMIFS('Vols additionnels'!$E$7:$E$66,'Vols additionnels'!$C$7:$C$66,$E1959,'Vols additionnels'!$D$7:$D$66,$F1959,'Vols additionnels'!$B$7:$B$66,$D1959)</f>
        <v>0</v>
      </c>
      <c r="H1959" s="135" t="n">
        <f aca="false">$G1959*'Analyse capacite'!$F$8</f>
        <v>0</v>
      </c>
      <c r="I1959" s="135" t="n">
        <f aca="false">$G1959*'Analyse capacite'!$C$8</f>
        <v>0</v>
      </c>
      <c r="J1959" s="135" t="n">
        <f aca="false">$G1959*'Analyse capacite'!$D$8</f>
        <v>0</v>
      </c>
      <c r="K1959" s="135" t="n">
        <f aca="false">$G1959*'Analyse capacite'!$E$8</f>
        <v>0</v>
      </c>
    </row>
    <row r="1960" customFormat="false" ht="15" hidden="false" customHeight="false" outlineLevel="0" collapsed="false">
      <c r="B1960" s="130" t="n">
        <v>2027</v>
      </c>
      <c r="C1960" s="131" t="s">
        <v>247</v>
      </c>
      <c r="D1960" s="132" t="n">
        <v>46532</v>
      </c>
      <c r="E1960" s="131" t="s">
        <v>36</v>
      </c>
      <c r="F1960" s="133" t="s">
        <v>24</v>
      </c>
      <c r="G1960" s="134" t="n">
        <f aca="false">LEN('Saisie programme'!$E$63)+SUMIFS('Vols additionnels'!$E$7:$E$66,'Vols additionnels'!$C$7:$C$66,$E1960,'Vols additionnels'!$D$7:$D$66,$F1960,'Vols additionnels'!$B$7:$B$66,$D1960)</f>
        <v>1</v>
      </c>
      <c r="H1960" s="135" t="n">
        <f aca="false">$G1960*'Analyse capacite'!$F$9</f>
        <v>174</v>
      </c>
      <c r="I1960" s="135" t="n">
        <f aca="false">$G1960*'Analyse capacite'!$C$9</f>
        <v>0</v>
      </c>
      <c r="J1960" s="135" t="n">
        <f aca="false">$G1960*'Analyse capacite'!$D$9</f>
        <v>12</v>
      </c>
      <c r="K1960" s="135" t="n">
        <f aca="false">$G1960*'Analyse capacite'!$E$9</f>
        <v>162</v>
      </c>
    </row>
    <row r="1961" customFormat="false" ht="15" hidden="false" customHeight="false" outlineLevel="0" collapsed="false">
      <c r="B1961" s="130" t="n">
        <v>2027</v>
      </c>
      <c r="C1961" s="131" t="s">
        <v>247</v>
      </c>
      <c r="D1961" s="132" t="n">
        <v>46532</v>
      </c>
      <c r="E1961" s="131" t="s">
        <v>40</v>
      </c>
      <c r="F1961" s="133" t="s">
        <v>11</v>
      </c>
      <c r="G1961" s="134" t="n">
        <f aca="false">LEN('Saisie programme'!$E$64)+SUMIFS('Vols additionnels'!$E$7:$E$66,'Vols additionnels'!$C$7:$C$66,$E1961,'Vols additionnels'!$D$7:$D$66,$F1961,'Vols additionnels'!$B$7:$B$66,$D1961)</f>
        <v>0</v>
      </c>
      <c r="H1961" s="135" t="n">
        <f aca="false">$G1961*'Analyse capacite'!$F$7</f>
        <v>0</v>
      </c>
      <c r="I1961" s="135" t="n">
        <f aca="false">$G1961*'Analyse capacite'!$C$7</f>
        <v>0</v>
      </c>
      <c r="J1961" s="135" t="n">
        <f aca="false">$G1961*'Analyse capacite'!$D$7</f>
        <v>0</v>
      </c>
      <c r="K1961" s="135" t="n">
        <f aca="false">$G1961*'Analyse capacite'!$E$7</f>
        <v>0</v>
      </c>
    </row>
    <row r="1962" customFormat="false" ht="15" hidden="false" customHeight="false" outlineLevel="0" collapsed="false">
      <c r="B1962" s="130" t="n">
        <v>2027</v>
      </c>
      <c r="C1962" s="131" t="s">
        <v>247</v>
      </c>
      <c r="D1962" s="132" t="n">
        <v>46532</v>
      </c>
      <c r="E1962" s="131" t="s">
        <v>40</v>
      </c>
      <c r="F1962" s="133" t="s">
        <v>19</v>
      </c>
      <c r="G1962" s="134" t="n">
        <f aca="false">LEN('Saisie programme'!$E$65)+SUMIFS('Vols additionnels'!$E$7:$E$66,'Vols additionnels'!$C$7:$C$66,$E1962,'Vols additionnels'!$D$7:$D$66,$F1962,'Vols additionnels'!$B$7:$B$66,$D1962)</f>
        <v>0</v>
      </c>
      <c r="H1962" s="135" t="n">
        <f aca="false">$G1962*'Analyse capacite'!$F$8</f>
        <v>0</v>
      </c>
      <c r="I1962" s="135" t="n">
        <f aca="false">$G1962*'Analyse capacite'!$C$8</f>
        <v>0</v>
      </c>
      <c r="J1962" s="135" t="n">
        <f aca="false">$G1962*'Analyse capacite'!$D$8</f>
        <v>0</v>
      </c>
      <c r="K1962" s="135" t="n">
        <f aca="false">$G1962*'Analyse capacite'!$E$8</f>
        <v>0</v>
      </c>
    </row>
    <row r="1963" customFormat="false" ht="15" hidden="false" customHeight="false" outlineLevel="0" collapsed="false">
      <c r="B1963" s="130" t="n">
        <v>2027</v>
      </c>
      <c r="C1963" s="131" t="s">
        <v>247</v>
      </c>
      <c r="D1963" s="132" t="n">
        <v>46532</v>
      </c>
      <c r="E1963" s="131" t="s">
        <v>40</v>
      </c>
      <c r="F1963" s="133" t="s">
        <v>24</v>
      </c>
      <c r="G1963" s="134" t="n">
        <f aca="false">LEN('Saisie programme'!$E$66)+SUMIFS('Vols additionnels'!$E$7:$E$66,'Vols additionnels'!$C$7:$C$66,$E1963,'Vols additionnels'!$D$7:$D$66,$F1963,'Vols additionnels'!$B$7:$B$66,$D1963)</f>
        <v>0</v>
      </c>
      <c r="H1963" s="135" t="n">
        <f aca="false">$G1963*'Analyse capacite'!$F$9</f>
        <v>0</v>
      </c>
      <c r="I1963" s="135" t="n">
        <f aca="false">$G1963*'Analyse capacite'!$C$9</f>
        <v>0</v>
      </c>
      <c r="J1963" s="135" t="n">
        <f aca="false">$G1963*'Analyse capacite'!$D$9</f>
        <v>0</v>
      </c>
      <c r="K1963" s="135" t="n">
        <f aca="false">$G1963*'Analyse capacite'!$E$9</f>
        <v>0</v>
      </c>
    </row>
    <row r="1964" customFormat="false" ht="15" hidden="false" customHeight="false" outlineLevel="0" collapsed="false">
      <c r="B1964" s="130" t="n">
        <v>2027</v>
      </c>
      <c r="C1964" s="131" t="s">
        <v>247</v>
      </c>
      <c r="D1964" s="132" t="n">
        <v>46532</v>
      </c>
      <c r="E1964" s="131" t="s">
        <v>14</v>
      </c>
      <c r="F1964" s="133" t="s">
        <v>11</v>
      </c>
      <c r="G1964" s="134" t="n">
        <f aca="false">LEN('Saisie programme'!$E$67)+SUMIFS('Vols additionnels'!$E$7:$E$66,'Vols additionnels'!$C$7:$C$66,$E1964,'Vols additionnels'!$D$7:$D$66,$F1964,'Vols additionnels'!$B$7:$B$66,$D1964)</f>
        <v>0</v>
      </c>
      <c r="H1964" s="135" t="n">
        <f aca="false">$G1964*'Analyse capacite'!$F$7</f>
        <v>0</v>
      </c>
      <c r="I1964" s="135" t="n">
        <f aca="false">$G1964*'Analyse capacite'!$C$7</f>
        <v>0</v>
      </c>
      <c r="J1964" s="135" t="n">
        <f aca="false">$G1964*'Analyse capacite'!$D$7</f>
        <v>0</v>
      </c>
      <c r="K1964" s="135" t="n">
        <f aca="false">$G1964*'Analyse capacite'!$E$7</f>
        <v>0</v>
      </c>
    </row>
    <row r="1965" customFormat="false" ht="15" hidden="false" customHeight="false" outlineLevel="0" collapsed="false">
      <c r="B1965" s="130" t="n">
        <v>2027</v>
      </c>
      <c r="C1965" s="131" t="s">
        <v>247</v>
      </c>
      <c r="D1965" s="132" t="n">
        <v>46532</v>
      </c>
      <c r="E1965" s="131" t="s">
        <v>14</v>
      </c>
      <c r="F1965" s="133" t="s">
        <v>19</v>
      </c>
      <c r="G1965" s="134" t="n">
        <f aca="false">LEN('Saisie programme'!$E$68)+SUMIFS('Vols additionnels'!$E$7:$E$66,'Vols additionnels'!$C$7:$C$66,$E1965,'Vols additionnels'!$D$7:$D$66,$F1965,'Vols additionnels'!$B$7:$B$66,$D1965)</f>
        <v>0</v>
      </c>
      <c r="H1965" s="135" t="n">
        <f aca="false">$G1965*'Analyse capacite'!$F$8</f>
        <v>0</v>
      </c>
      <c r="I1965" s="135" t="n">
        <f aca="false">$G1965*'Analyse capacite'!$C$8</f>
        <v>0</v>
      </c>
      <c r="J1965" s="135" t="n">
        <f aca="false">$G1965*'Analyse capacite'!$D$8</f>
        <v>0</v>
      </c>
      <c r="K1965" s="135" t="n">
        <f aca="false">$G1965*'Analyse capacite'!$E$8</f>
        <v>0</v>
      </c>
    </row>
    <row r="1966" customFormat="false" ht="15" hidden="false" customHeight="false" outlineLevel="0" collapsed="false">
      <c r="B1966" s="130" t="n">
        <v>2027</v>
      </c>
      <c r="C1966" s="131" t="s">
        <v>247</v>
      </c>
      <c r="D1966" s="132" t="n">
        <v>46532</v>
      </c>
      <c r="E1966" s="131" t="s">
        <v>14</v>
      </c>
      <c r="F1966" s="133" t="s">
        <v>24</v>
      </c>
      <c r="G1966" s="134" t="n">
        <f aca="false">LEN('Saisie programme'!$E$69)+SUMIFS('Vols additionnels'!$E$7:$E$66,'Vols additionnels'!$C$7:$C$66,$E1966,'Vols additionnels'!$D$7:$D$66,$F1966,'Vols additionnels'!$B$7:$B$66,$D1966)</f>
        <v>0</v>
      </c>
      <c r="H1966" s="135" t="n">
        <f aca="false">$G1966*'Analyse capacite'!$F$9</f>
        <v>0</v>
      </c>
      <c r="I1966" s="135" t="n">
        <f aca="false">$G1966*'Analyse capacite'!$C$9</f>
        <v>0</v>
      </c>
      <c r="J1966" s="135" t="n">
        <f aca="false">$G1966*'Analyse capacite'!$D$9</f>
        <v>0</v>
      </c>
      <c r="K1966" s="135" t="n">
        <f aca="false">$G1966*'Analyse capacite'!$E$9</f>
        <v>0</v>
      </c>
    </row>
    <row r="1967" customFormat="false" ht="15" hidden="false" customHeight="false" outlineLevel="0" collapsed="false">
      <c r="B1967" s="130" t="n">
        <v>2027</v>
      </c>
      <c r="C1967" s="131" t="s">
        <v>247</v>
      </c>
      <c r="D1967" s="132" t="n">
        <v>46532</v>
      </c>
      <c r="E1967" s="131" t="s">
        <v>46</v>
      </c>
      <c r="F1967" s="133" t="s">
        <v>11</v>
      </c>
      <c r="G1967" s="134" t="n">
        <f aca="false">LEN('Saisie programme'!$E$70)+SUMIFS('Vols additionnels'!$E$7:$E$66,'Vols additionnels'!$C$7:$C$66,$E1967,'Vols additionnels'!$D$7:$D$66,$F1967,'Vols additionnels'!$B$7:$B$66,$D1967)</f>
        <v>0</v>
      </c>
      <c r="H1967" s="135" t="n">
        <f aca="false">$G1967*'Analyse capacite'!$F$7</f>
        <v>0</v>
      </c>
      <c r="I1967" s="135" t="n">
        <f aca="false">$G1967*'Analyse capacite'!$C$7</f>
        <v>0</v>
      </c>
      <c r="J1967" s="135" t="n">
        <f aca="false">$G1967*'Analyse capacite'!$D$7</f>
        <v>0</v>
      </c>
      <c r="K1967" s="135" t="n">
        <f aca="false">$G1967*'Analyse capacite'!$E$7</f>
        <v>0</v>
      </c>
    </row>
    <row r="1968" customFormat="false" ht="15" hidden="false" customHeight="false" outlineLevel="0" collapsed="false">
      <c r="B1968" s="130" t="n">
        <v>2027</v>
      </c>
      <c r="C1968" s="131" t="s">
        <v>247</v>
      </c>
      <c r="D1968" s="132" t="n">
        <v>46532</v>
      </c>
      <c r="E1968" s="131" t="s">
        <v>46</v>
      </c>
      <c r="F1968" s="133" t="s">
        <v>19</v>
      </c>
      <c r="G1968" s="134" t="n">
        <f aca="false">LEN('Saisie programme'!$E$71)+SUMIFS('Vols additionnels'!$E$7:$E$66,'Vols additionnels'!$C$7:$C$66,$E1968,'Vols additionnels'!$D$7:$D$66,$F1968,'Vols additionnels'!$B$7:$B$66,$D1968)</f>
        <v>0</v>
      </c>
      <c r="H1968" s="135" t="n">
        <f aca="false">$G1968*'Analyse capacite'!$F$8</f>
        <v>0</v>
      </c>
      <c r="I1968" s="135" t="n">
        <f aca="false">$G1968*'Analyse capacite'!$C$8</f>
        <v>0</v>
      </c>
      <c r="J1968" s="135" t="n">
        <f aca="false">$G1968*'Analyse capacite'!$D$8</f>
        <v>0</v>
      </c>
      <c r="K1968" s="135" t="n">
        <f aca="false">$G1968*'Analyse capacite'!$E$8</f>
        <v>0</v>
      </c>
    </row>
    <row r="1969" customFormat="false" ht="15" hidden="false" customHeight="false" outlineLevel="0" collapsed="false">
      <c r="B1969" s="130" t="n">
        <v>2027</v>
      </c>
      <c r="C1969" s="131" t="s">
        <v>247</v>
      </c>
      <c r="D1969" s="132" t="n">
        <v>46532</v>
      </c>
      <c r="E1969" s="131" t="s">
        <v>46</v>
      </c>
      <c r="F1969" s="133" t="s">
        <v>24</v>
      </c>
      <c r="G1969" s="134" t="n">
        <f aca="false">LEN('Saisie programme'!$E$72)+SUMIFS('Vols additionnels'!$E$7:$E$66,'Vols additionnels'!$C$7:$C$66,$E1969,'Vols additionnels'!$D$7:$D$66,$F1969,'Vols additionnels'!$B$7:$B$66,$D1969)</f>
        <v>1</v>
      </c>
      <c r="H1969" s="135" t="n">
        <f aca="false">$G1969*'Analyse capacite'!$F$9</f>
        <v>174</v>
      </c>
      <c r="I1969" s="135" t="n">
        <f aca="false">$G1969*'Analyse capacite'!$C$9</f>
        <v>0</v>
      </c>
      <c r="J1969" s="135" t="n">
        <f aca="false">$G1969*'Analyse capacite'!$D$9</f>
        <v>12</v>
      </c>
      <c r="K1969" s="135" t="n">
        <f aca="false">$G1969*'Analyse capacite'!$E$9</f>
        <v>162</v>
      </c>
    </row>
    <row r="1970" customFormat="false" ht="15" hidden="false" customHeight="false" outlineLevel="0" collapsed="false">
      <c r="B1970" s="130" t="n">
        <v>2027</v>
      </c>
      <c r="C1970" s="131" t="s">
        <v>247</v>
      </c>
      <c r="D1970" s="132" t="n">
        <v>46532</v>
      </c>
      <c r="E1970" s="131" t="s">
        <v>49</v>
      </c>
      <c r="F1970" s="133" t="s">
        <v>11</v>
      </c>
      <c r="G1970" s="134" t="n">
        <f aca="false">LEN('Saisie programme'!$E$73)+SUMIFS('Vols additionnels'!$E$7:$E$66,'Vols additionnels'!$C$7:$C$66,$E1970,'Vols additionnels'!$D$7:$D$66,$F1970,'Vols additionnels'!$B$7:$B$66,$D1970)</f>
        <v>0</v>
      </c>
      <c r="H1970" s="135" t="n">
        <f aca="false">$G1970*'Analyse capacite'!$F$7</f>
        <v>0</v>
      </c>
      <c r="I1970" s="135" t="n">
        <f aca="false">$G1970*'Analyse capacite'!$C$7</f>
        <v>0</v>
      </c>
      <c r="J1970" s="135" t="n">
        <f aca="false">$G1970*'Analyse capacite'!$D$7</f>
        <v>0</v>
      </c>
      <c r="K1970" s="135" t="n">
        <f aca="false">$G1970*'Analyse capacite'!$E$7</f>
        <v>0</v>
      </c>
    </row>
    <row r="1971" customFormat="false" ht="15" hidden="false" customHeight="false" outlineLevel="0" collapsed="false">
      <c r="B1971" s="130" t="n">
        <v>2027</v>
      </c>
      <c r="C1971" s="131" t="s">
        <v>247</v>
      </c>
      <c r="D1971" s="132" t="n">
        <v>46532</v>
      </c>
      <c r="E1971" s="131" t="s">
        <v>49</v>
      </c>
      <c r="F1971" s="133" t="s">
        <v>19</v>
      </c>
      <c r="G1971" s="134" t="n">
        <f aca="false">LEN('Saisie programme'!$E$74)+SUMIFS('Vols additionnels'!$E$7:$E$66,'Vols additionnels'!$C$7:$C$66,$E1971,'Vols additionnels'!$D$7:$D$66,$F1971,'Vols additionnels'!$B$7:$B$66,$D1971)</f>
        <v>0</v>
      </c>
      <c r="H1971" s="135" t="n">
        <f aca="false">$G1971*'Analyse capacite'!$F$8</f>
        <v>0</v>
      </c>
      <c r="I1971" s="135" t="n">
        <f aca="false">$G1971*'Analyse capacite'!$C$8</f>
        <v>0</v>
      </c>
      <c r="J1971" s="135" t="n">
        <f aca="false">$G1971*'Analyse capacite'!$D$8</f>
        <v>0</v>
      </c>
      <c r="K1971" s="135" t="n">
        <f aca="false">$G1971*'Analyse capacite'!$E$8</f>
        <v>0</v>
      </c>
    </row>
    <row r="1972" customFormat="false" ht="15" hidden="false" customHeight="false" outlineLevel="0" collapsed="false">
      <c r="B1972" s="130" t="n">
        <v>2027</v>
      </c>
      <c r="C1972" s="131" t="s">
        <v>247</v>
      </c>
      <c r="D1972" s="132" t="n">
        <v>46532</v>
      </c>
      <c r="E1972" s="131" t="s">
        <v>49</v>
      </c>
      <c r="F1972" s="133" t="s">
        <v>24</v>
      </c>
      <c r="G1972" s="134" t="n">
        <f aca="false">LEN('Saisie programme'!$E$75)+SUMIFS('Vols additionnels'!$E$7:$E$66,'Vols additionnels'!$C$7:$C$66,$E1972,'Vols additionnels'!$D$7:$D$66,$F1972,'Vols additionnels'!$B$7:$B$66,$D1972)</f>
        <v>0</v>
      </c>
      <c r="H1972" s="135" t="n">
        <f aca="false">$G1972*'Analyse capacite'!$F$9</f>
        <v>0</v>
      </c>
      <c r="I1972" s="135" t="n">
        <f aca="false">$G1972*'Analyse capacite'!$C$9</f>
        <v>0</v>
      </c>
      <c r="J1972" s="135" t="n">
        <f aca="false">$G1972*'Analyse capacite'!$D$9</f>
        <v>0</v>
      </c>
      <c r="K1972" s="135" t="n">
        <f aca="false">$G1972*'Analyse capacite'!$E$9</f>
        <v>0</v>
      </c>
    </row>
    <row r="1973" customFormat="false" ht="15" hidden="false" customHeight="false" outlineLevel="0" collapsed="false">
      <c r="B1973" s="130" t="n">
        <v>2027</v>
      </c>
      <c r="C1973" s="131" t="s">
        <v>247</v>
      </c>
      <c r="D1973" s="132" t="n">
        <v>46532</v>
      </c>
      <c r="E1973" s="131" t="s">
        <v>53</v>
      </c>
      <c r="F1973" s="133" t="s">
        <v>11</v>
      </c>
      <c r="G1973" s="134" t="n">
        <f aca="false">LEN('Saisie programme'!$E$76)+SUMIFS('Vols additionnels'!$E$7:$E$66,'Vols additionnels'!$C$7:$C$66,$E1973,'Vols additionnels'!$D$7:$D$66,$F1973,'Vols additionnels'!$B$7:$B$66,$D1973)</f>
        <v>0</v>
      </c>
      <c r="H1973" s="135" t="n">
        <f aca="false">$G1973*'Analyse capacite'!$F$7</f>
        <v>0</v>
      </c>
      <c r="I1973" s="135" t="n">
        <f aca="false">$G1973*'Analyse capacite'!$C$7</f>
        <v>0</v>
      </c>
      <c r="J1973" s="135" t="n">
        <f aca="false">$G1973*'Analyse capacite'!$D$7</f>
        <v>0</v>
      </c>
      <c r="K1973" s="135" t="n">
        <f aca="false">$G1973*'Analyse capacite'!$E$7</f>
        <v>0</v>
      </c>
    </row>
    <row r="1974" customFormat="false" ht="15" hidden="false" customHeight="false" outlineLevel="0" collapsed="false">
      <c r="B1974" s="130" t="n">
        <v>2027</v>
      </c>
      <c r="C1974" s="131" t="s">
        <v>247</v>
      </c>
      <c r="D1974" s="132" t="n">
        <v>46532</v>
      </c>
      <c r="E1974" s="131" t="s">
        <v>53</v>
      </c>
      <c r="F1974" s="133" t="s">
        <v>19</v>
      </c>
      <c r="G1974" s="134" t="n">
        <f aca="false">LEN('Saisie programme'!$E$77)+SUMIFS('Vols additionnels'!$E$7:$E$66,'Vols additionnels'!$C$7:$C$66,$E1974,'Vols additionnels'!$D$7:$D$66,$F1974,'Vols additionnels'!$B$7:$B$66,$D1974)</f>
        <v>0</v>
      </c>
      <c r="H1974" s="135" t="n">
        <f aca="false">$G1974*'Analyse capacite'!$F$8</f>
        <v>0</v>
      </c>
      <c r="I1974" s="135" t="n">
        <f aca="false">$G1974*'Analyse capacite'!$C$8</f>
        <v>0</v>
      </c>
      <c r="J1974" s="135" t="n">
        <f aca="false">$G1974*'Analyse capacite'!$D$8</f>
        <v>0</v>
      </c>
      <c r="K1974" s="135" t="n">
        <f aca="false">$G1974*'Analyse capacite'!$E$8</f>
        <v>0</v>
      </c>
    </row>
    <row r="1975" customFormat="false" ht="15" hidden="false" customHeight="false" outlineLevel="0" collapsed="false">
      <c r="B1975" s="130" t="n">
        <v>2027</v>
      </c>
      <c r="C1975" s="131" t="s">
        <v>247</v>
      </c>
      <c r="D1975" s="132" t="n">
        <v>46532</v>
      </c>
      <c r="E1975" s="131" t="s">
        <v>53</v>
      </c>
      <c r="F1975" s="133" t="s">
        <v>24</v>
      </c>
      <c r="G1975" s="134" t="n">
        <f aca="false">LEN('Saisie programme'!$E$78)+SUMIFS('Vols additionnels'!$E$7:$E$66,'Vols additionnels'!$C$7:$C$66,$E1975,'Vols additionnels'!$D$7:$D$66,$F1975,'Vols additionnels'!$B$7:$B$66,$D1975)</f>
        <v>0</v>
      </c>
      <c r="H1975" s="135" t="n">
        <f aca="false">$G1975*'Analyse capacite'!$F$9</f>
        <v>0</v>
      </c>
      <c r="I1975" s="135" t="n">
        <f aca="false">$G1975*'Analyse capacite'!$C$9</f>
        <v>0</v>
      </c>
      <c r="J1975" s="135" t="n">
        <f aca="false">$G1975*'Analyse capacite'!$D$9</f>
        <v>0</v>
      </c>
      <c r="K1975" s="135" t="n">
        <f aca="false">$G1975*'Analyse capacite'!$E$9</f>
        <v>0</v>
      </c>
    </row>
    <row r="1976" customFormat="false" ht="15" hidden="false" customHeight="false" outlineLevel="0" collapsed="false">
      <c r="B1976" s="130" t="n">
        <v>2027</v>
      </c>
      <c r="C1976" s="131" t="s">
        <v>247</v>
      </c>
      <c r="D1976" s="132" t="n">
        <v>46532</v>
      </c>
      <c r="E1976" s="131" t="s">
        <v>56</v>
      </c>
      <c r="F1976" s="133" t="s">
        <v>11</v>
      </c>
      <c r="G1976" s="134" t="n">
        <f aca="false">LEN('Saisie programme'!$E$79)+SUMIFS('Vols additionnels'!$E$7:$E$66,'Vols additionnels'!$C$7:$C$66,$E1976,'Vols additionnels'!$D$7:$D$66,$F1976,'Vols additionnels'!$B$7:$B$66,$D1976)</f>
        <v>0</v>
      </c>
      <c r="H1976" s="135" t="n">
        <f aca="false">$G1976*'Analyse capacite'!$F$7</f>
        <v>0</v>
      </c>
      <c r="I1976" s="135" t="n">
        <f aca="false">$G1976*'Analyse capacite'!$C$7</f>
        <v>0</v>
      </c>
      <c r="J1976" s="135" t="n">
        <f aca="false">$G1976*'Analyse capacite'!$D$7</f>
        <v>0</v>
      </c>
      <c r="K1976" s="135" t="n">
        <f aca="false">$G1976*'Analyse capacite'!$E$7</f>
        <v>0</v>
      </c>
    </row>
    <row r="1977" customFormat="false" ht="15" hidden="false" customHeight="false" outlineLevel="0" collapsed="false">
      <c r="B1977" s="130" t="n">
        <v>2027</v>
      </c>
      <c r="C1977" s="131" t="s">
        <v>247</v>
      </c>
      <c r="D1977" s="132" t="n">
        <v>46532</v>
      </c>
      <c r="E1977" s="131" t="s">
        <v>56</v>
      </c>
      <c r="F1977" s="133" t="s">
        <v>19</v>
      </c>
      <c r="G1977" s="134" t="n">
        <f aca="false">LEN('Saisie programme'!$E$80)+SUMIFS('Vols additionnels'!$E$7:$E$66,'Vols additionnels'!$C$7:$C$66,$E1977,'Vols additionnels'!$D$7:$D$66,$F1977,'Vols additionnels'!$B$7:$B$66,$D1977)</f>
        <v>0</v>
      </c>
      <c r="H1977" s="135" t="n">
        <f aca="false">$G1977*'Analyse capacite'!$F$8</f>
        <v>0</v>
      </c>
      <c r="I1977" s="135" t="n">
        <f aca="false">$G1977*'Analyse capacite'!$C$8</f>
        <v>0</v>
      </c>
      <c r="J1977" s="135" t="n">
        <f aca="false">$G1977*'Analyse capacite'!$D$8</f>
        <v>0</v>
      </c>
      <c r="K1977" s="135" t="n">
        <f aca="false">$G1977*'Analyse capacite'!$E$8</f>
        <v>0</v>
      </c>
    </row>
    <row r="1978" customFormat="false" ht="15" hidden="false" customHeight="false" outlineLevel="0" collapsed="false">
      <c r="B1978" s="130" t="n">
        <v>2027</v>
      </c>
      <c r="C1978" s="131" t="s">
        <v>247</v>
      </c>
      <c r="D1978" s="132" t="n">
        <v>46532</v>
      </c>
      <c r="E1978" s="131" t="s">
        <v>56</v>
      </c>
      <c r="F1978" s="133" t="s">
        <v>24</v>
      </c>
      <c r="G1978" s="134" t="n">
        <f aca="false">LEN('Saisie programme'!$E$81)+SUMIFS('Vols additionnels'!$E$7:$E$66,'Vols additionnels'!$C$7:$C$66,$E1978,'Vols additionnels'!$D$7:$D$66,$F1978,'Vols additionnels'!$B$7:$B$66,$D1978)</f>
        <v>1</v>
      </c>
      <c r="H1978" s="135" t="n">
        <f aca="false">$G1978*'Analyse capacite'!$F$9</f>
        <v>174</v>
      </c>
      <c r="I1978" s="135" t="n">
        <f aca="false">$G1978*'Analyse capacite'!$C$9</f>
        <v>0</v>
      </c>
      <c r="J1978" s="135" t="n">
        <f aca="false">$G1978*'Analyse capacite'!$D$9</f>
        <v>12</v>
      </c>
      <c r="K1978" s="135" t="n">
        <f aca="false">$G1978*'Analyse capacite'!$E$9</f>
        <v>162</v>
      </c>
    </row>
    <row r="1979" customFormat="false" ht="15" hidden="false" customHeight="false" outlineLevel="0" collapsed="false">
      <c r="B1979" s="130" t="n">
        <v>2027</v>
      </c>
      <c r="C1979" s="131" t="s">
        <v>247</v>
      </c>
      <c r="D1979" s="132" t="n">
        <v>46532</v>
      </c>
      <c r="E1979" s="131" t="s">
        <v>59</v>
      </c>
      <c r="F1979" s="133" t="s">
        <v>11</v>
      </c>
      <c r="G1979" s="134" t="n">
        <f aca="false">LEN('Saisie programme'!$E$82)+SUMIFS('Vols additionnels'!$E$7:$E$66,'Vols additionnels'!$C$7:$C$66,$E1979,'Vols additionnels'!$D$7:$D$66,$F1979,'Vols additionnels'!$B$7:$B$66,$D1979)</f>
        <v>0</v>
      </c>
      <c r="H1979" s="135" t="n">
        <f aca="false">$G1979*'Analyse capacite'!$F$7</f>
        <v>0</v>
      </c>
      <c r="I1979" s="135" t="n">
        <f aca="false">$G1979*'Analyse capacite'!$C$7</f>
        <v>0</v>
      </c>
      <c r="J1979" s="135" t="n">
        <f aca="false">$G1979*'Analyse capacite'!$D$7</f>
        <v>0</v>
      </c>
      <c r="K1979" s="135" t="n">
        <f aca="false">$G1979*'Analyse capacite'!$E$7</f>
        <v>0</v>
      </c>
    </row>
    <row r="1980" customFormat="false" ht="15" hidden="false" customHeight="false" outlineLevel="0" collapsed="false">
      <c r="B1980" s="130" t="n">
        <v>2027</v>
      </c>
      <c r="C1980" s="131" t="s">
        <v>247</v>
      </c>
      <c r="D1980" s="132" t="n">
        <v>46532</v>
      </c>
      <c r="E1980" s="131" t="s">
        <v>59</v>
      </c>
      <c r="F1980" s="133" t="s">
        <v>19</v>
      </c>
      <c r="G1980" s="134" t="n">
        <f aca="false">LEN('Saisie programme'!$E$83)+SUMIFS('Vols additionnels'!$E$7:$E$66,'Vols additionnels'!$C$7:$C$66,$E1980,'Vols additionnels'!$D$7:$D$66,$F1980,'Vols additionnels'!$B$7:$B$66,$D1980)</f>
        <v>0</v>
      </c>
      <c r="H1980" s="135" t="n">
        <f aca="false">$G1980*'Analyse capacite'!$F$8</f>
        <v>0</v>
      </c>
      <c r="I1980" s="135" t="n">
        <f aca="false">$G1980*'Analyse capacite'!$C$8</f>
        <v>0</v>
      </c>
      <c r="J1980" s="135" t="n">
        <f aca="false">$G1980*'Analyse capacite'!$D$8</f>
        <v>0</v>
      </c>
      <c r="K1980" s="135" t="n">
        <f aca="false">$G1980*'Analyse capacite'!$E$8</f>
        <v>0</v>
      </c>
    </row>
    <row r="1981" customFormat="false" ht="15" hidden="false" customHeight="false" outlineLevel="0" collapsed="false">
      <c r="B1981" s="130" t="n">
        <v>2027</v>
      </c>
      <c r="C1981" s="131" t="s">
        <v>247</v>
      </c>
      <c r="D1981" s="132" t="n">
        <v>46532</v>
      </c>
      <c r="E1981" s="131" t="s">
        <v>59</v>
      </c>
      <c r="F1981" s="133" t="s">
        <v>24</v>
      </c>
      <c r="G1981" s="134" t="n">
        <f aca="false">LEN('Saisie programme'!$E$84)+SUMIFS('Vols additionnels'!$E$7:$E$66,'Vols additionnels'!$C$7:$C$66,$E1981,'Vols additionnels'!$D$7:$D$66,$F1981,'Vols additionnels'!$B$7:$B$66,$D1981)</f>
        <v>1</v>
      </c>
      <c r="H1981" s="135" t="n">
        <f aca="false">$G1981*'Analyse capacite'!$F$9</f>
        <v>174</v>
      </c>
      <c r="I1981" s="135" t="n">
        <f aca="false">$G1981*'Analyse capacite'!$C$9</f>
        <v>0</v>
      </c>
      <c r="J1981" s="135" t="n">
        <f aca="false">$G1981*'Analyse capacite'!$D$9</f>
        <v>12</v>
      </c>
      <c r="K1981" s="135" t="n">
        <f aca="false">$G1981*'Analyse capacite'!$E$9</f>
        <v>162</v>
      </c>
    </row>
    <row r="1982" customFormat="false" ht="15" hidden="false" customHeight="false" outlineLevel="0" collapsed="false">
      <c r="B1982" s="130" t="n">
        <v>2027</v>
      </c>
      <c r="C1982" s="131" t="s">
        <v>247</v>
      </c>
      <c r="D1982" s="132" t="n">
        <v>46532</v>
      </c>
      <c r="E1982" s="131" t="s">
        <v>62</v>
      </c>
      <c r="F1982" s="133" t="s">
        <v>11</v>
      </c>
      <c r="G1982" s="134" t="n">
        <f aca="false">LEN('Saisie programme'!$E$85)+SUMIFS('Vols additionnels'!$E$7:$E$66,'Vols additionnels'!$C$7:$C$66,$E1982,'Vols additionnels'!$D$7:$D$66,$F1982,'Vols additionnels'!$B$7:$B$66,$D1982)</f>
        <v>0</v>
      </c>
      <c r="H1982" s="135" t="n">
        <f aca="false">$G1982*'Analyse capacite'!$F$7</f>
        <v>0</v>
      </c>
      <c r="I1982" s="135" t="n">
        <f aca="false">$G1982*'Analyse capacite'!$C$7</f>
        <v>0</v>
      </c>
      <c r="J1982" s="135" t="n">
        <f aca="false">$G1982*'Analyse capacite'!$D$7</f>
        <v>0</v>
      </c>
      <c r="K1982" s="135" t="n">
        <f aca="false">$G1982*'Analyse capacite'!$E$7</f>
        <v>0</v>
      </c>
    </row>
    <row r="1983" customFormat="false" ht="15" hidden="false" customHeight="false" outlineLevel="0" collapsed="false">
      <c r="B1983" s="130" t="n">
        <v>2027</v>
      </c>
      <c r="C1983" s="131" t="s">
        <v>247</v>
      </c>
      <c r="D1983" s="132" t="n">
        <v>46532</v>
      </c>
      <c r="E1983" s="131" t="s">
        <v>62</v>
      </c>
      <c r="F1983" s="133" t="s">
        <v>19</v>
      </c>
      <c r="G1983" s="134" t="n">
        <f aca="false">LEN('Saisie programme'!$E$86)+SUMIFS('Vols additionnels'!$E$7:$E$66,'Vols additionnels'!$C$7:$C$66,$E1983,'Vols additionnels'!$D$7:$D$66,$F1983,'Vols additionnels'!$B$7:$B$66,$D1983)</f>
        <v>0</v>
      </c>
      <c r="H1983" s="135" t="n">
        <f aca="false">$G1983*'Analyse capacite'!$F$8</f>
        <v>0</v>
      </c>
      <c r="I1983" s="135" t="n">
        <f aca="false">$G1983*'Analyse capacite'!$C$8</f>
        <v>0</v>
      </c>
      <c r="J1983" s="135" t="n">
        <f aca="false">$G1983*'Analyse capacite'!$D$8</f>
        <v>0</v>
      </c>
      <c r="K1983" s="135" t="n">
        <f aca="false">$G1983*'Analyse capacite'!$E$8</f>
        <v>0</v>
      </c>
    </row>
    <row r="1984" customFormat="false" ht="15" hidden="false" customHeight="false" outlineLevel="0" collapsed="false">
      <c r="B1984" s="130" t="n">
        <v>2027</v>
      </c>
      <c r="C1984" s="131" t="s">
        <v>247</v>
      </c>
      <c r="D1984" s="132" t="n">
        <v>46532</v>
      </c>
      <c r="E1984" s="131" t="s">
        <v>62</v>
      </c>
      <c r="F1984" s="133" t="s">
        <v>24</v>
      </c>
      <c r="G1984" s="134" t="n">
        <f aca="false">LEN('Saisie programme'!$E$87)+SUMIFS('Vols additionnels'!$E$7:$E$66,'Vols additionnels'!$C$7:$C$66,$E1984,'Vols additionnels'!$D$7:$D$66,$F1984,'Vols additionnels'!$B$7:$B$66,$D1984)</f>
        <v>0</v>
      </c>
      <c r="H1984" s="135" t="n">
        <f aca="false">$G1984*'Analyse capacite'!$F$9</f>
        <v>0</v>
      </c>
      <c r="I1984" s="135" t="n">
        <f aca="false">$G1984*'Analyse capacite'!$C$9</f>
        <v>0</v>
      </c>
      <c r="J1984" s="135" t="n">
        <f aca="false">$G1984*'Analyse capacite'!$D$9</f>
        <v>0</v>
      </c>
      <c r="K1984" s="135" t="n">
        <f aca="false">$G1984*'Analyse capacite'!$E$9</f>
        <v>0</v>
      </c>
    </row>
    <row r="1985" customFormat="false" ht="15" hidden="false" customHeight="false" outlineLevel="0" collapsed="false">
      <c r="B1985" s="130" t="n">
        <v>2027</v>
      </c>
      <c r="C1985" s="131" t="s">
        <v>247</v>
      </c>
      <c r="D1985" s="132" t="n">
        <v>46533</v>
      </c>
      <c r="E1985" s="131" t="s">
        <v>12</v>
      </c>
      <c r="F1985" s="133" t="s">
        <v>11</v>
      </c>
      <c r="G1985" s="134" t="n">
        <f aca="false">LEN('Saisie programme'!$F$52)+SUMIFS('Vols additionnels'!$E$7:$E$66,'Vols additionnels'!$C$7:$C$66,$E1985,'Vols additionnels'!$D$7:$D$66,$F1985,'Vols additionnels'!$B$7:$B$66,$D1985)</f>
        <v>1</v>
      </c>
      <c r="H1985" s="135" t="n">
        <f aca="false">$G1985*'Analyse capacite'!$F$7</f>
        <v>438</v>
      </c>
      <c r="I1985" s="135" t="n">
        <f aca="false">$G1985*'Analyse capacite'!$C$7</f>
        <v>14</v>
      </c>
      <c r="J1985" s="135" t="n">
        <f aca="false">$G1985*'Analyse capacite'!$D$7</f>
        <v>40</v>
      </c>
      <c r="K1985" s="135" t="n">
        <f aca="false">$G1985*'Analyse capacite'!$E$7</f>
        <v>384</v>
      </c>
    </row>
    <row r="1986" customFormat="false" ht="15" hidden="false" customHeight="false" outlineLevel="0" collapsed="false">
      <c r="B1986" s="130" t="n">
        <v>2027</v>
      </c>
      <c r="C1986" s="131" t="s">
        <v>247</v>
      </c>
      <c r="D1986" s="132" t="n">
        <v>46533</v>
      </c>
      <c r="E1986" s="131" t="s">
        <v>12</v>
      </c>
      <c r="F1986" s="133" t="s">
        <v>19</v>
      </c>
      <c r="G1986" s="134" t="n">
        <f aca="false">LEN('Saisie programme'!$F$53)+SUMIFS('Vols additionnels'!$E$7:$E$66,'Vols additionnels'!$C$7:$C$66,$E1986,'Vols additionnels'!$D$7:$D$66,$F1986,'Vols additionnels'!$B$7:$B$66,$D1986)</f>
        <v>0</v>
      </c>
      <c r="H1986" s="135" t="n">
        <f aca="false">$G1986*'Analyse capacite'!$F$8</f>
        <v>0</v>
      </c>
      <c r="I1986" s="135" t="n">
        <f aca="false">$G1986*'Analyse capacite'!$C$8</f>
        <v>0</v>
      </c>
      <c r="J1986" s="135" t="n">
        <f aca="false">$G1986*'Analyse capacite'!$D$8</f>
        <v>0</v>
      </c>
      <c r="K1986" s="135" t="n">
        <f aca="false">$G1986*'Analyse capacite'!$E$8</f>
        <v>0</v>
      </c>
    </row>
    <row r="1987" customFormat="false" ht="15" hidden="false" customHeight="false" outlineLevel="0" collapsed="false">
      <c r="B1987" s="130" t="n">
        <v>2027</v>
      </c>
      <c r="C1987" s="131" t="s">
        <v>247</v>
      </c>
      <c r="D1987" s="132" t="n">
        <v>46533</v>
      </c>
      <c r="E1987" s="131" t="s">
        <v>12</v>
      </c>
      <c r="F1987" s="133" t="s">
        <v>24</v>
      </c>
      <c r="G1987" s="134" t="n">
        <f aca="false">LEN('Saisie programme'!$F$54)+SUMIFS('Vols additionnels'!$E$7:$E$66,'Vols additionnels'!$C$7:$C$66,$E1987,'Vols additionnels'!$D$7:$D$66,$F1987,'Vols additionnels'!$B$7:$B$66,$D1987)</f>
        <v>0</v>
      </c>
      <c r="H1987" s="135" t="n">
        <f aca="false">$G1987*'Analyse capacite'!$F$9</f>
        <v>0</v>
      </c>
      <c r="I1987" s="135" t="n">
        <f aca="false">$G1987*'Analyse capacite'!$C$9</f>
        <v>0</v>
      </c>
      <c r="J1987" s="135" t="n">
        <f aca="false">$G1987*'Analyse capacite'!$D$9</f>
        <v>0</v>
      </c>
      <c r="K1987" s="135" t="n">
        <f aca="false">$G1987*'Analyse capacite'!$E$9</f>
        <v>0</v>
      </c>
    </row>
    <row r="1988" customFormat="false" ht="15" hidden="false" customHeight="false" outlineLevel="0" collapsed="false">
      <c r="B1988" s="130" t="n">
        <v>2027</v>
      </c>
      <c r="C1988" s="131" t="s">
        <v>247</v>
      </c>
      <c r="D1988" s="132" t="n">
        <v>46533</v>
      </c>
      <c r="E1988" s="131" t="s">
        <v>20</v>
      </c>
      <c r="F1988" s="133" t="s">
        <v>11</v>
      </c>
      <c r="G1988" s="134" t="n">
        <f aca="false">LEN('Saisie programme'!$F$55)+SUMIFS('Vols additionnels'!$E$7:$E$66,'Vols additionnels'!$C$7:$C$66,$E1988,'Vols additionnels'!$D$7:$D$66,$F1988,'Vols additionnels'!$B$7:$B$66,$D1988)</f>
        <v>0</v>
      </c>
      <c r="H1988" s="135" t="n">
        <f aca="false">$G1988*'Analyse capacite'!$F$7</f>
        <v>0</v>
      </c>
      <c r="I1988" s="135" t="n">
        <f aca="false">$G1988*'Analyse capacite'!$C$7</f>
        <v>0</v>
      </c>
      <c r="J1988" s="135" t="n">
        <f aca="false">$G1988*'Analyse capacite'!$D$7</f>
        <v>0</v>
      </c>
      <c r="K1988" s="135" t="n">
        <f aca="false">$G1988*'Analyse capacite'!$E$7</f>
        <v>0</v>
      </c>
    </row>
    <row r="1989" customFormat="false" ht="15" hidden="false" customHeight="false" outlineLevel="0" collapsed="false">
      <c r="B1989" s="130" t="n">
        <v>2027</v>
      </c>
      <c r="C1989" s="131" t="s">
        <v>247</v>
      </c>
      <c r="D1989" s="132" t="n">
        <v>46533</v>
      </c>
      <c r="E1989" s="131" t="s">
        <v>20</v>
      </c>
      <c r="F1989" s="133" t="s">
        <v>19</v>
      </c>
      <c r="G1989" s="134" t="n">
        <f aca="false">LEN('Saisie programme'!$F$56)+SUMIFS('Vols additionnels'!$E$7:$E$66,'Vols additionnels'!$C$7:$C$66,$E1989,'Vols additionnels'!$D$7:$D$66,$F1989,'Vols additionnels'!$B$7:$B$66,$D1989)</f>
        <v>0</v>
      </c>
      <c r="H1989" s="135" t="n">
        <f aca="false">$G1989*'Analyse capacite'!$F$8</f>
        <v>0</v>
      </c>
      <c r="I1989" s="135" t="n">
        <f aca="false">$G1989*'Analyse capacite'!$C$8</f>
        <v>0</v>
      </c>
      <c r="J1989" s="135" t="n">
        <f aca="false">$G1989*'Analyse capacite'!$D$8</f>
        <v>0</v>
      </c>
      <c r="K1989" s="135" t="n">
        <f aca="false">$G1989*'Analyse capacite'!$E$8</f>
        <v>0</v>
      </c>
    </row>
    <row r="1990" customFormat="false" ht="15" hidden="false" customHeight="false" outlineLevel="0" collapsed="false">
      <c r="B1990" s="130" t="n">
        <v>2027</v>
      </c>
      <c r="C1990" s="131" t="s">
        <v>247</v>
      </c>
      <c r="D1990" s="132" t="n">
        <v>46533</v>
      </c>
      <c r="E1990" s="131" t="s">
        <v>20</v>
      </c>
      <c r="F1990" s="133" t="s">
        <v>24</v>
      </c>
      <c r="G1990" s="134" t="n">
        <f aca="false">LEN('Saisie programme'!$F$57)+SUMIFS('Vols additionnels'!$E$7:$E$66,'Vols additionnels'!$C$7:$C$66,$E1990,'Vols additionnels'!$D$7:$D$66,$F1990,'Vols additionnels'!$B$7:$B$66,$D1990)</f>
        <v>0</v>
      </c>
      <c r="H1990" s="135" t="n">
        <f aca="false">$G1990*'Analyse capacite'!$F$9</f>
        <v>0</v>
      </c>
      <c r="I1990" s="135" t="n">
        <f aca="false">$G1990*'Analyse capacite'!$C$9</f>
        <v>0</v>
      </c>
      <c r="J1990" s="135" t="n">
        <f aca="false">$G1990*'Analyse capacite'!$D$9</f>
        <v>0</v>
      </c>
      <c r="K1990" s="135" t="n">
        <f aca="false">$G1990*'Analyse capacite'!$E$9</f>
        <v>0</v>
      </c>
    </row>
    <row r="1991" customFormat="false" ht="15" hidden="false" customHeight="false" outlineLevel="0" collapsed="false">
      <c r="B1991" s="130" t="n">
        <v>2027</v>
      </c>
      <c r="C1991" s="131" t="s">
        <v>247</v>
      </c>
      <c r="D1991" s="132" t="n">
        <v>46533</v>
      </c>
      <c r="E1991" s="131" t="s">
        <v>25</v>
      </c>
      <c r="F1991" s="133" t="s">
        <v>11</v>
      </c>
      <c r="G1991" s="134" t="n">
        <f aca="false">LEN('Saisie programme'!$F$58)+SUMIFS('Vols additionnels'!$E$7:$E$66,'Vols additionnels'!$C$7:$C$66,$E1991,'Vols additionnels'!$D$7:$D$66,$F1991,'Vols additionnels'!$B$7:$B$66,$D1991)</f>
        <v>0</v>
      </c>
      <c r="H1991" s="135" t="n">
        <f aca="false">$G1991*'Analyse capacite'!$F$7</f>
        <v>0</v>
      </c>
      <c r="I1991" s="135" t="n">
        <f aca="false">$G1991*'Analyse capacite'!$C$7</f>
        <v>0</v>
      </c>
      <c r="J1991" s="135" t="n">
        <f aca="false">$G1991*'Analyse capacite'!$D$7</f>
        <v>0</v>
      </c>
      <c r="K1991" s="135" t="n">
        <f aca="false">$G1991*'Analyse capacite'!$E$7</f>
        <v>0</v>
      </c>
    </row>
    <row r="1992" customFormat="false" ht="15" hidden="false" customHeight="false" outlineLevel="0" collapsed="false">
      <c r="B1992" s="130" t="n">
        <v>2027</v>
      </c>
      <c r="C1992" s="131" t="s">
        <v>247</v>
      </c>
      <c r="D1992" s="132" t="n">
        <v>46533</v>
      </c>
      <c r="E1992" s="131" t="s">
        <v>25</v>
      </c>
      <c r="F1992" s="133" t="s">
        <v>19</v>
      </c>
      <c r="G1992" s="134" t="n">
        <f aca="false">LEN('Saisie programme'!$F$59)+SUMIFS('Vols additionnels'!$E$7:$E$66,'Vols additionnels'!$C$7:$C$66,$E1992,'Vols additionnels'!$D$7:$D$66,$F1992,'Vols additionnels'!$B$7:$B$66,$D1992)</f>
        <v>1</v>
      </c>
      <c r="H1992" s="135" t="n">
        <f aca="false">$G1992*'Analyse capacite'!$F$8</f>
        <v>262</v>
      </c>
      <c r="I1992" s="135" t="n">
        <f aca="false">$G1992*'Analyse capacite'!$C$8</f>
        <v>18</v>
      </c>
      <c r="J1992" s="135" t="n">
        <f aca="false">$G1992*'Analyse capacite'!$D$8</f>
        <v>0</v>
      </c>
      <c r="K1992" s="135" t="n">
        <f aca="false">$G1992*'Analyse capacite'!$E$8</f>
        <v>244</v>
      </c>
    </row>
    <row r="1993" customFormat="false" ht="15" hidden="false" customHeight="false" outlineLevel="0" collapsed="false">
      <c r="B1993" s="130" t="n">
        <v>2027</v>
      </c>
      <c r="C1993" s="131" t="s">
        <v>247</v>
      </c>
      <c r="D1993" s="132" t="n">
        <v>46533</v>
      </c>
      <c r="E1993" s="131" t="s">
        <v>25</v>
      </c>
      <c r="F1993" s="133" t="s">
        <v>24</v>
      </c>
      <c r="G1993" s="134" t="n">
        <f aca="false">LEN('Saisie programme'!$F$60)+SUMIFS('Vols additionnels'!$E$7:$E$66,'Vols additionnels'!$C$7:$C$66,$E1993,'Vols additionnels'!$D$7:$D$66,$F1993,'Vols additionnels'!$B$7:$B$66,$D1993)</f>
        <v>0</v>
      </c>
      <c r="H1993" s="135" t="n">
        <f aca="false">$G1993*'Analyse capacite'!$F$9</f>
        <v>0</v>
      </c>
      <c r="I1993" s="135" t="n">
        <f aca="false">$G1993*'Analyse capacite'!$C$9</f>
        <v>0</v>
      </c>
      <c r="J1993" s="135" t="n">
        <f aca="false">$G1993*'Analyse capacite'!$D$9</f>
        <v>0</v>
      </c>
      <c r="K1993" s="135" t="n">
        <f aca="false">$G1993*'Analyse capacite'!$E$9</f>
        <v>0</v>
      </c>
    </row>
    <row r="1994" customFormat="false" ht="15" hidden="false" customHeight="false" outlineLevel="0" collapsed="false">
      <c r="B1994" s="130" t="n">
        <v>2027</v>
      </c>
      <c r="C1994" s="131" t="s">
        <v>247</v>
      </c>
      <c r="D1994" s="132" t="n">
        <v>46533</v>
      </c>
      <c r="E1994" s="131" t="s">
        <v>36</v>
      </c>
      <c r="F1994" s="133" t="s">
        <v>11</v>
      </c>
      <c r="G1994" s="134" t="n">
        <f aca="false">LEN('Saisie programme'!$F$61)+SUMIFS('Vols additionnels'!$E$7:$E$66,'Vols additionnels'!$C$7:$C$66,$E1994,'Vols additionnels'!$D$7:$D$66,$F1994,'Vols additionnels'!$B$7:$B$66,$D1994)</f>
        <v>0</v>
      </c>
      <c r="H1994" s="135" t="n">
        <f aca="false">$G1994*'Analyse capacite'!$F$7</f>
        <v>0</v>
      </c>
      <c r="I1994" s="135" t="n">
        <f aca="false">$G1994*'Analyse capacite'!$C$7</f>
        <v>0</v>
      </c>
      <c r="J1994" s="135" t="n">
        <f aca="false">$G1994*'Analyse capacite'!$D$7</f>
        <v>0</v>
      </c>
      <c r="K1994" s="135" t="n">
        <f aca="false">$G1994*'Analyse capacite'!$E$7</f>
        <v>0</v>
      </c>
    </row>
    <row r="1995" customFormat="false" ht="15" hidden="false" customHeight="false" outlineLevel="0" collapsed="false">
      <c r="B1995" s="130" t="n">
        <v>2027</v>
      </c>
      <c r="C1995" s="131" t="s">
        <v>247</v>
      </c>
      <c r="D1995" s="132" t="n">
        <v>46533</v>
      </c>
      <c r="E1995" s="131" t="s">
        <v>36</v>
      </c>
      <c r="F1995" s="133" t="s">
        <v>19</v>
      </c>
      <c r="G1995" s="134" t="n">
        <f aca="false">LEN('Saisie programme'!$F$62)+SUMIFS('Vols additionnels'!$E$7:$E$66,'Vols additionnels'!$C$7:$C$66,$E1995,'Vols additionnels'!$D$7:$D$66,$F1995,'Vols additionnels'!$B$7:$B$66,$D1995)</f>
        <v>1</v>
      </c>
      <c r="H1995" s="135" t="n">
        <f aca="false">$G1995*'Analyse capacite'!$F$8</f>
        <v>262</v>
      </c>
      <c r="I1995" s="135" t="n">
        <f aca="false">$G1995*'Analyse capacite'!$C$8</f>
        <v>18</v>
      </c>
      <c r="J1995" s="135" t="n">
        <f aca="false">$G1995*'Analyse capacite'!$D$8</f>
        <v>0</v>
      </c>
      <c r="K1995" s="135" t="n">
        <f aca="false">$G1995*'Analyse capacite'!$E$8</f>
        <v>244</v>
      </c>
    </row>
    <row r="1996" customFormat="false" ht="15" hidden="false" customHeight="false" outlineLevel="0" collapsed="false">
      <c r="B1996" s="130" t="n">
        <v>2027</v>
      </c>
      <c r="C1996" s="131" t="s">
        <v>247</v>
      </c>
      <c r="D1996" s="132" t="n">
        <v>46533</v>
      </c>
      <c r="E1996" s="131" t="s">
        <v>36</v>
      </c>
      <c r="F1996" s="133" t="s">
        <v>24</v>
      </c>
      <c r="G1996" s="134" t="n">
        <f aca="false">LEN('Saisie programme'!$F$63)+SUMIFS('Vols additionnels'!$E$7:$E$66,'Vols additionnels'!$C$7:$C$66,$E1996,'Vols additionnels'!$D$7:$D$66,$F1996,'Vols additionnels'!$B$7:$B$66,$D1996)</f>
        <v>1</v>
      </c>
      <c r="H1996" s="135" t="n">
        <f aca="false">$G1996*'Analyse capacite'!$F$9</f>
        <v>174</v>
      </c>
      <c r="I1996" s="135" t="n">
        <f aca="false">$G1996*'Analyse capacite'!$C$9</f>
        <v>0</v>
      </c>
      <c r="J1996" s="135" t="n">
        <f aca="false">$G1996*'Analyse capacite'!$D$9</f>
        <v>12</v>
      </c>
      <c r="K1996" s="135" t="n">
        <f aca="false">$G1996*'Analyse capacite'!$E$9</f>
        <v>162</v>
      </c>
    </row>
    <row r="1997" customFormat="false" ht="15" hidden="false" customHeight="false" outlineLevel="0" collapsed="false">
      <c r="B1997" s="130" t="n">
        <v>2027</v>
      </c>
      <c r="C1997" s="131" t="s">
        <v>247</v>
      </c>
      <c r="D1997" s="132" t="n">
        <v>46533</v>
      </c>
      <c r="E1997" s="131" t="s">
        <v>40</v>
      </c>
      <c r="F1997" s="133" t="s">
        <v>11</v>
      </c>
      <c r="G1997" s="134" t="n">
        <f aca="false">LEN('Saisie programme'!$F$64)+SUMIFS('Vols additionnels'!$E$7:$E$66,'Vols additionnels'!$C$7:$C$66,$E1997,'Vols additionnels'!$D$7:$D$66,$F1997,'Vols additionnels'!$B$7:$B$66,$D1997)</f>
        <v>0</v>
      </c>
      <c r="H1997" s="135" t="n">
        <f aca="false">$G1997*'Analyse capacite'!$F$7</f>
        <v>0</v>
      </c>
      <c r="I1997" s="135" t="n">
        <f aca="false">$G1997*'Analyse capacite'!$C$7</f>
        <v>0</v>
      </c>
      <c r="J1997" s="135" t="n">
        <f aca="false">$G1997*'Analyse capacite'!$D$7</f>
        <v>0</v>
      </c>
      <c r="K1997" s="135" t="n">
        <f aca="false">$G1997*'Analyse capacite'!$E$7</f>
        <v>0</v>
      </c>
    </row>
    <row r="1998" customFormat="false" ht="15" hidden="false" customHeight="false" outlineLevel="0" collapsed="false">
      <c r="B1998" s="130" t="n">
        <v>2027</v>
      </c>
      <c r="C1998" s="131" t="s">
        <v>247</v>
      </c>
      <c r="D1998" s="132" t="n">
        <v>46533</v>
      </c>
      <c r="E1998" s="131" t="s">
        <v>40</v>
      </c>
      <c r="F1998" s="133" t="s">
        <v>19</v>
      </c>
      <c r="G1998" s="134" t="n">
        <f aca="false">LEN('Saisie programme'!$F$65)+SUMIFS('Vols additionnels'!$E$7:$E$66,'Vols additionnels'!$C$7:$C$66,$E1998,'Vols additionnels'!$D$7:$D$66,$F1998,'Vols additionnels'!$B$7:$B$66,$D1998)</f>
        <v>0</v>
      </c>
      <c r="H1998" s="135" t="n">
        <f aca="false">$G1998*'Analyse capacite'!$F$8</f>
        <v>0</v>
      </c>
      <c r="I1998" s="135" t="n">
        <f aca="false">$G1998*'Analyse capacite'!$C$8</f>
        <v>0</v>
      </c>
      <c r="J1998" s="135" t="n">
        <f aca="false">$G1998*'Analyse capacite'!$D$8</f>
        <v>0</v>
      </c>
      <c r="K1998" s="135" t="n">
        <f aca="false">$G1998*'Analyse capacite'!$E$8</f>
        <v>0</v>
      </c>
    </row>
    <row r="1999" customFormat="false" ht="15" hidden="false" customHeight="false" outlineLevel="0" collapsed="false">
      <c r="B1999" s="130" t="n">
        <v>2027</v>
      </c>
      <c r="C1999" s="131" t="s">
        <v>247</v>
      </c>
      <c r="D1999" s="132" t="n">
        <v>46533</v>
      </c>
      <c r="E1999" s="131" t="s">
        <v>40</v>
      </c>
      <c r="F1999" s="133" t="s">
        <v>24</v>
      </c>
      <c r="G1999" s="134" t="n">
        <f aca="false">LEN('Saisie programme'!$F$66)+SUMIFS('Vols additionnels'!$E$7:$E$66,'Vols additionnels'!$C$7:$C$66,$E1999,'Vols additionnels'!$D$7:$D$66,$F1999,'Vols additionnels'!$B$7:$B$66,$D1999)</f>
        <v>1</v>
      </c>
      <c r="H1999" s="135" t="n">
        <f aca="false">$G1999*'Analyse capacite'!$F$9</f>
        <v>174</v>
      </c>
      <c r="I1999" s="135" t="n">
        <f aca="false">$G1999*'Analyse capacite'!$C$9</f>
        <v>0</v>
      </c>
      <c r="J1999" s="135" t="n">
        <f aca="false">$G1999*'Analyse capacite'!$D$9</f>
        <v>12</v>
      </c>
      <c r="K1999" s="135" t="n">
        <f aca="false">$G1999*'Analyse capacite'!$E$9</f>
        <v>162</v>
      </c>
    </row>
    <row r="2000" customFormat="false" ht="15" hidden="false" customHeight="false" outlineLevel="0" collapsed="false">
      <c r="B2000" s="130" t="n">
        <v>2027</v>
      </c>
      <c r="C2000" s="131" t="s">
        <v>247</v>
      </c>
      <c r="D2000" s="132" t="n">
        <v>46533</v>
      </c>
      <c r="E2000" s="131" t="s">
        <v>14</v>
      </c>
      <c r="F2000" s="133" t="s">
        <v>11</v>
      </c>
      <c r="G2000" s="134" t="n">
        <f aca="false">LEN('Saisie programme'!$F$67)+SUMIFS('Vols additionnels'!$E$7:$E$66,'Vols additionnels'!$C$7:$C$66,$E2000,'Vols additionnels'!$D$7:$D$66,$F2000,'Vols additionnels'!$B$7:$B$66,$D2000)</f>
        <v>0</v>
      </c>
      <c r="H2000" s="135" t="n">
        <f aca="false">$G2000*'Analyse capacite'!$F$7</f>
        <v>0</v>
      </c>
      <c r="I2000" s="135" t="n">
        <f aca="false">$G2000*'Analyse capacite'!$C$7</f>
        <v>0</v>
      </c>
      <c r="J2000" s="135" t="n">
        <f aca="false">$G2000*'Analyse capacite'!$D$7</f>
        <v>0</v>
      </c>
      <c r="K2000" s="135" t="n">
        <f aca="false">$G2000*'Analyse capacite'!$E$7</f>
        <v>0</v>
      </c>
    </row>
    <row r="2001" customFormat="false" ht="15" hidden="false" customHeight="false" outlineLevel="0" collapsed="false">
      <c r="B2001" s="130" t="n">
        <v>2027</v>
      </c>
      <c r="C2001" s="131" t="s">
        <v>247</v>
      </c>
      <c r="D2001" s="132" t="n">
        <v>46533</v>
      </c>
      <c r="E2001" s="131" t="s">
        <v>14</v>
      </c>
      <c r="F2001" s="133" t="s">
        <v>19</v>
      </c>
      <c r="G2001" s="134" t="n">
        <f aca="false">LEN('Saisie programme'!$F$68)+SUMIFS('Vols additionnels'!$E$7:$E$66,'Vols additionnels'!$C$7:$C$66,$E2001,'Vols additionnels'!$D$7:$D$66,$F2001,'Vols additionnels'!$B$7:$B$66,$D2001)</f>
        <v>0</v>
      </c>
      <c r="H2001" s="135" t="n">
        <f aca="false">$G2001*'Analyse capacite'!$F$8</f>
        <v>0</v>
      </c>
      <c r="I2001" s="135" t="n">
        <f aca="false">$G2001*'Analyse capacite'!$C$8</f>
        <v>0</v>
      </c>
      <c r="J2001" s="135" t="n">
        <f aca="false">$G2001*'Analyse capacite'!$D$8</f>
        <v>0</v>
      </c>
      <c r="K2001" s="135" t="n">
        <f aca="false">$G2001*'Analyse capacite'!$E$8</f>
        <v>0</v>
      </c>
    </row>
    <row r="2002" customFormat="false" ht="15" hidden="false" customHeight="false" outlineLevel="0" collapsed="false">
      <c r="B2002" s="130" t="n">
        <v>2027</v>
      </c>
      <c r="C2002" s="131" t="s">
        <v>247</v>
      </c>
      <c r="D2002" s="132" t="n">
        <v>46533</v>
      </c>
      <c r="E2002" s="131" t="s">
        <v>14</v>
      </c>
      <c r="F2002" s="133" t="s">
        <v>24</v>
      </c>
      <c r="G2002" s="134" t="n">
        <f aca="false">LEN('Saisie programme'!$F$69)+SUMIFS('Vols additionnels'!$E$7:$E$66,'Vols additionnels'!$C$7:$C$66,$E2002,'Vols additionnels'!$D$7:$D$66,$F2002,'Vols additionnels'!$B$7:$B$66,$D2002)</f>
        <v>0</v>
      </c>
      <c r="H2002" s="135" t="n">
        <f aca="false">$G2002*'Analyse capacite'!$F$9</f>
        <v>0</v>
      </c>
      <c r="I2002" s="135" t="n">
        <f aca="false">$G2002*'Analyse capacite'!$C$9</f>
        <v>0</v>
      </c>
      <c r="J2002" s="135" t="n">
        <f aca="false">$G2002*'Analyse capacite'!$D$9</f>
        <v>0</v>
      </c>
      <c r="K2002" s="135" t="n">
        <f aca="false">$G2002*'Analyse capacite'!$E$9</f>
        <v>0</v>
      </c>
    </row>
    <row r="2003" customFormat="false" ht="15" hidden="false" customHeight="false" outlineLevel="0" collapsed="false">
      <c r="B2003" s="130" t="n">
        <v>2027</v>
      </c>
      <c r="C2003" s="131" t="s">
        <v>247</v>
      </c>
      <c r="D2003" s="132" t="n">
        <v>46533</v>
      </c>
      <c r="E2003" s="131" t="s">
        <v>46</v>
      </c>
      <c r="F2003" s="133" t="s">
        <v>11</v>
      </c>
      <c r="G2003" s="134" t="n">
        <f aca="false">LEN('Saisie programme'!$F$70)+SUMIFS('Vols additionnels'!$E$7:$E$66,'Vols additionnels'!$C$7:$C$66,$E2003,'Vols additionnels'!$D$7:$D$66,$F2003,'Vols additionnels'!$B$7:$B$66,$D2003)</f>
        <v>0</v>
      </c>
      <c r="H2003" s="135" t="n">
        <f aca="false">$G2003*'Analyse capacite'!$F$7</f>
        <v>0</v>
      </c>
      <c r="I2003" s="135" t="n">
        <f aca="false">$G2003*'Analyse capacite'!$C$7</f>
        <v>0</v>
      </c>
      <c r="J2003" s="135" t="n">
        <f aca="false">$G2003*'Analyse capacite'!$D$7</f>
        <v>0</v>
      </c>
      <c r="K2003" s="135" t="n">
        <f aca="false">$G2003*'Analyse capacite'!$E$7</f>
        <v>0</v>
      </c>
    </row>
    <row r="2004" customFormat="false" ht="15" hidden="false" customHeight="false" outlineLevel="0" collapsed="false">
      <c r="B2004" s="130" t="n">
        <v>2027</v>
      </c>
      <c r="C2004" s="131" t="s">
        <v>247</v>
      </c>
      <c r="D2004" s="132" t="n">
        <v>46533</v>
      </c>
      <c r="E2004" s="131" t="s">
        <v>46</v>
      </c>
      <c r="F2004" s="133" t="s">
        <v>19</v>
      </c>
      <c r="G2004" s="134" t="n">
        <f aca="false">LEN('Saisie programme'!$F$71)+SUMIFS('Vols additionnels'!$E$7:$E$66,'Vols additionnels'!$C$7:$C$66,$E2004,'Vols additionnels'!$D$7:$D$66,$F2004,'Vols additionnels'!$B$7:$B$66,$D2004)</f>
        <v>0</v>
      </c>
      <c r="H2004" s="135" t="n">
        <f aca="false">$G2004*'Analyse capacite'!$F$8</f>
        <v>0</v>
      </c>
      <c r="I2004" s="135" t="n">
        <f aca="false">$G2004*'Analyse capacite'!$C$8</f>
        <v>0</v>
      </c>
      <c r="J2004" s="135" t="n">
        <f aca="false">$G2004*'Analyse capacite'!$D$8</f>
        <v>0</v>
      </c>
      <c r="K2004" s="135" t="n">
        <f aca="false">$G2004*'Analyse capacite'!$E$8</f>
        <v>0</v>
      </c>
    </row>
    <row r="2005" customFormat="false" ht="15" hidden="false" customHeight="false" outlineLevel="0" collapsed="false">
      <c r="B2005" s="130" t="n">
        <v>2027</v>
      </c>
      <c r="C2005" s="131" t="s">
        <v>247</v>
      </c>
      <c r="D2005" s="132" t="n">
        <v>46533</v>
      </c>
      <c r="E2005" s="131" t="s">
        <v>46</v>
      </c>
      <c r="F2005" s="133" t="s">
        <v>24</v>
      </c>
      <c r="G2005" s="134" t="n">
        <f aca="false">LEN('Saisie programme'!$F$72)+SUMIFS('Vols additionnels'!$E$7:$E$66,'Vols additionnels'!$C$7:$C$66,$E2005,'Vols additionnels'!$D$7:$D$66,$F2005,'Vols additionnels'!$B$7:$B$66,$D2005)</f>
        <v>0</v>
      </c>
      <c r="H2005" s="135" t="n">
        <f aca="false">$G2005*'Analyse capacite'!$F$9</f>
        <v>0</v>
      </c>
      <c r="I2005" s="135" t="n">
        <f aca="false">$G2005*'Analyse capacite'!$C$9</f>
        <v>0</v>
      </c>
      <c r="J2005" s="135" t="n">
        <f aca="false">$G2005*'Analyse capacite'!$D$9</f>
        <v>0</v>
      </c>
      <c r="K2005" s="135" t="n">
        <f aca="false">$G2005*'Analyse capacite'!$E$9</f>
        <v>0</v>
      </c>
    </row>
    <row r="2006" customFormat="false" ht="15" hidden="false" customHeight="false" outlineLevel="0" collapsed="false">
      <c r="B2006" s="130" t="n">
        <v>2027</v>
      </c>
      <c r="C2006" s="131" t="s">
        <v>247</v>
      </c>
      <c r="D2006" s="132" t="n">
        <v>46533</v>
      </c>
      <c r="E2006" s="131" t="s">
        <v>49</v>
      </c>
      <c r="F2006" s="133" t="s">
        <v>11</v>
      </c>
      <c r="G2006" s="134" t="n">
        <f aca="false">LEN('Saisie programme'!$F$73)+SUMIFS('Vols additionnels'!$E$7:$E$66,'Vols additionnels'!$C$7:$C$66,$E2006,'Vols additionnels'!$D$7:$D$66,$F2006,'Vols additionnels'!$B$7:$B$66,$D2006)</f>
        <v>0</v>
      </c>
      <c r="H2006" s="135" t="n">
        <f aca="false">$G2006*'Analyse capacite'!$F$7</f>
        <v>0</v>
      </c>
      <c r="I2006" s="135" t="n">
        <f aca="false">$G2006*'Analyse capacite'!$C$7</f>
        <v>0</v>
      </c>
      <c r="J2006" s="135" t="n">
        <f aca="false">$G2006*'Analyse capacite'!$D$7</f>
        <v>0</v>
      </c>
      <c r="K2006" s="135" t="n">
        <f aca="false">$G2006*'Analyse capacite'!$E$7</f>
        <v>0</v>
      </c>
    </row>
    <row r="2007" customFormat="false" ht="15" hidden="false" customHeight="false" outlineLevel="0" collapsed="false">
      <c r="B2007" s="130" t="n">
        <v>2027</v>
      </c>
      <c r="C2007" s="131" t="s">
        <v>247</v>
      </c>
      <c r="D2007" s="132" t="n">
        <v>46533</v>
      </c>
      <c r="E2007" s="131" t="s">
        <v>49</v>
      </c>
      <c r="F2007" s="133" t="s">
        <v>19</v>
      </c>
      <c r="G2007" s="134" t="n">
        <f aca="false">LEN('Saisie programme'!$F$74)+SUMIFS('Vols additionnels'!$E$7:$E$66,'Vols additionnels'!$C$7:$C$66,$E2007,'Vols additionnels'!$D$7:$D$66,$F2007,'Vols additionnels'!$B$7:$B$66,$D2007)</f>
        <v>0</v>
      </c>
      <c r="H2007" s="135" t="n">
        <f aca="false">$G2007*'Analyse capacite'!$F$8</f>
        <v>0</v>
      </c>
      <c r="I2007" s="135" t="n">
        <f aca="false">$G2007*'Analyse capacite'!$C$8</f>
        <v>0</v>
      </c>
      <c r="J2007" s="135" t="n">
        <f aca="false">$G2007*'Analyse capacite'!$D$8</f>
        <v>0</v>
      </c>
      <c r="K2007" s="135" t="n">
        <f aca="false">$G2007*'Analyse capacite'!$E$8</f>
        <v>0</v>
      </c>
    </row>
    <row r="2008" customFormat="false" ht="15" hidden="false" customHeight="false" outlineLevel="0" collapsed="false">
      <c r="B2008" s="130" t="n">
        <v>2027</v>
      </c>
      <c r="C2008" s="131" t="s">
        <v>247</v>
      </c>
      <c r="D2008" s="132" t="n">
        <v>46533</v>
      </c>
      <c r="E2008" s="131" t="s">
        <v>49</v>
      </c>
      <c r="F2008" s="133" t="s">
        <v>24</v>
      </c>
      <c r="G2008" s="134" t="n">
        <f aca="false">LEN('Saisie programme'!$F$75)+SUMIFS('Vols additionnels'!$E$7:$E$66,'Vols additionnels'!$C$7:$C$66,$E2008,'Vols additionnels'!$D$7:$D$66,$F2008,'Vols additionnels'!$B$7:$B$66,$D2008)</f>
        <v>0</v>
      </c>
      <c r="H2008" s="135" t="n">
        <f aca="false">$G2008*'Analyse capacite'!$F$9</f>
        <v>0</v>
      </c>
      <c r="I2008" s="135" t="n">
        <f aca="false">$G2008*'Analyse capacite'!$C$9</f>
        <v>0</v>
      </c>
      <c r="J2008" s="135" t="n">
        <f aca="false">$G2008*'Analyse capacite'!$D$9</f>
        <v>0</v>
      </c>
      <c r="K2008" s="135" t="n">
        <f aca="false">$G2008*'Analyse capacite'!$E$9</f>
        <v>0</v>
      </c>
    </row>
    <row r="2009" customFormat="false" ht="15" hidden="false" customHeight="false" outlineLevel="0" collapsed="false">
      <c r="B2009" s="130" t="n">
        <v>2027</v>
      </c>
      <c r="C2009" s="131" t="s">
        <v>247</v>
      </c>
      <c r="D2009" s="132" t="n">
        <v>46533</v>
      </c>
      <c r="E2009" s="131" t="s">
        <v>53</v>
      </c>
      <c r="F2009" s="133" t="s">
        <v>11</v>
      </c>
      <c r="G2009" s="134" t="n">
        <f aca="false">LEN('Saisie programme'!$F$76)+SUMIFS('Vols additionnels'!$E$7:$E$66,'Vols additionnels'!$C$7:$C$66,$E2009,'Vols additionnels'!$D$7:$D$66,$F2009,'Vols additionnels'!$B$7:$B$66,$D2009)</f>
        <v>0</v>
      </c>
      <c r="H2009" s="135" t="n">
        <f aca="false">$G2009*'Analyse capacite'!$F$7</f>
        <v>0</v>
      </c>
      <c r="I2009" s="135" t="n">
        <f aca="false">$G2009*'Analyse capacite'!$C$7</f>
        <v>0</v>
      </c>
      <c r="J2009" s="135" t="n">
        <f aca="false">$G2009*'Analyse capacite'!$D$7</f>
        <v>0</v>
      </c>
      <c r="K2009" s="135" t="n">
        <f aca="false">$G2009*'Analyse capacite'!$E$7</f>
        <v>0</v>
      </c>
    </row>
    <row r="2010" customFormat="false" ht="15" hidden="false" customHeight="false" outlineLevel="0" collapsed="false">
      <c r="B2010" s="130" t="n">
        <v>2027</v>
      </c>
      <c r="C2010" s="131" t="s">
        <v>247</v>
      </c>
      <c r="D2010" s="132" t="n">
        <v>46533</v>
      </c>
      <c r="E2010" s="131" t="s">
        <v>53</v>
      </c>
      <c r="F2010" s="133" t="s">
        <v>19</v>
      </c>
      <c r="G2010" s="134" t="n">
        <f aca="false">LEN('Saisie programme'!$F$77)+SUMIFS('Vols additionnels'!$E$7:$E$66,'Vols additionnels'!$C$7:$C$66,$E2010,'Vols additionnels'!$D$7:$D$66,$F2010,'Vols additionnels'!$B$7:$B$66,$D2010)</f>
        <v>0</v>
      </c>
      <c r="H2010" s="135" t="n">
        <f aca="false">$G2010*'Analyse capacite'!$F$8</f>
        <v>0</v>
      </c>
      <c r="I2010" s="135" t="n">
        <f aca="false">$G2010*'Analyse capacite'!$C$8</f>
        <v>0</v>
      </c>
      <c r="J2010" s="135" t="n">
        <f aca="false">$G2010*'Analyse capacite'!$D$8</f>
        <v>0</v>
      </c>
      <c r="K2010" s="135" t="n">
        <f aca="false">$G2010*'Analyse capacite'!$E$8</f>
        <v>0</v>
      </c>
    </row>
    <row r="2011" customFormat="false" ht="15" hidden="false" customHeight="false" outlineLevel="0" collapsed="false">
      <c r="B2011" s="130" t="n">
        <v>2027</v>
      </c>
      <c r="C2011" s="131" t="s">
        <v>247</v>
      </c>
      <c r="D2011" s="132" t="n">
        <v>46533</v>
      </c>
      <c r="E2011" s="131" t="s">
        <v>53</v>
      </c>
      <c r="F2011" s="133" t="s">
        <v>24</v>
      </c>
      <c r="G2011" s="134" t="n">
        <f aca="false">LEN('Saisie programme'!$F$78)+SUMIFS('Vols additionnels'!$E$7:$E$66,'Vols additionnels'!$C$7:$C$66,$E2011,'Vols additionnels'!$D$7:$D$66,$F2011,'Vols additionnels'!$B$7:$B$66,$D2011)</f>
        <v>0</v>
      </c>
      <c r="H2011" s="135" t="n">
        <f aca="false">$G2011*'Analyse capacite'!$F$9</f>
        <v>0</v>
      </c>
      <c r="I2011" s="135" t="n">
        <f aca="false">$G2011*'Analyse capacite'!$C$9</f>
        <v>0</v>
      </c>
      <c r="J2011" s="135" t="n">
        <f aca="false">$G2011*'Analyse capacite'!$D$9</f>
        <v>0</v>
      </c>
      <c r="K2011" s="135" t="n">
        <f aca="false">$G2011*'Analyse capacite'!$E$9</f>
        <v>0</v>
      </c>
    </row>
    <row r="2012" customFormat="false" ht="15" hidden="false" customHeight="false" outlineLevel="0" collapsed="false">
      <c r="B2012" s="130" t="n">
        <v>2027</v>
      </c>
      <c r="C2012" s="131" t="s">
        <v>247</v>
      </c>
      <c r="D2012" s="132" t="n">
        <v>46533</v>
      </c>
      <c r="E2012" s="131" t="s">
        <v>56</v>
      </c>
      <c r="F2012" s="133" t="s">
        <v>11</v>
      </c>
      <c r="G2012" s="134" t="n">
        <f aca="false">LEN('Saisie programme'!$F$79)+SUMIFS('Vols additionnels'!$E$7:$E$66,'Vols additionnels'!$C$7:$C$66,$E2012,'Vols additionnels'!$D$7:$D$66,$F2012,'Vols additionnels'!$B$7:$B$66,$D2012)</f>
        <v>0</v>
      </c>
      <c r="H2012" s="135" t="n">
        <f aca="false">$G2012*'Analyse capacite'!$F$7</f>
        <v>0</v>
      </c>
      <c r="I2012" s="135" t="n">
        <f aca="false">$G2012*'Analyse capacite'!$C$7</f>
        <v>0</v>
      </c>
      <c r="J2012" s="135" t="n">
        <f aca="false">$G2012*'Analyse capacite'!$D$7</f>
        <v>0</v>
      </c>
      <c r="K2012" s="135" t="n">
        <f aca="false">$G2012*'Analyse capacite'!$E$7</f>
        <v>0</v>
      </c>
    </row>
    <row r="2013" customFormat="false" ht="15" hidden="false" customHeight="false" outlineLevel="0" collapsed="false">
      <c r="B2013" s="130" t="n">
        <v>2027</v>
      </c>
      <c r="C2013" s="131" t="s">
        <v>247</v>
      </c>
      <c r="D2013" s="132" t="n">
        <v>46533</v>
      </c>
      <c r="E2013" s="131" t="s">
        <v>56</v>
      </c>
      <c r="F2013" s="133" t="s">
        <v>19</v>
      </c>
      <c r="G2013" s="134" t="n">
        <f aca="false">LEN('Saisie programme'!$F$80)+SUMIFS('Vols additionnels'!$E$7:$E$66,'Vols additionnels'!$C$7:$C$66,$E2013,'Vols additionnels'!$D$7:$D$66,$F2013,'Vols additionnels'!$B$7:$B$66,$D2013)</f>
        <v>0</v>
      </c>
      <c r="H2013" s="135" t="n">
        <f aca="false">$G2013*'Analyse capacite'!$F$8</f>
        <v>0</v>
      </c>
      <c r="I2013" s="135" t="n">
        <f aca="false">$G2013*'Analyse capacite'!$C$8</f>
        <v>0</v>
      </c>
      <c r="J2013" s="135" t="n">
        <f aca="false">$G2013*'Analyse capacite'!$D$8</f>
        <v>0</v>
      </c>
      <c r="K2013" s="135" t="n">
        <f aca="false">$G2013*'Analyse capacite'!$E$8</f>
        <v>0</v>
      </c>
    </row>
    <row r="2014" customFormat="false" ht="15" hidden="false" customHeight="false" outlineLevel="0" collapsed="false">
      <c r="B2014" s="130" t="n">
        <v>2027</v>
      </c>
      <c r="C2014" s="131" t="s">
        <v>247</v>
      </c>
      <c r="D2014" s="132" t="n">
        <v>46533</v>
      </c>
      <c r="E2014" s="131" t="s">
        <v>56</v>
      </c>
      <c r="F2014" s="133" t="s">
        <v>24</v>
      </c>
      <c r="G2014" s="134" t="n">
        <f aca="false">LEN('Saisie programme'!$F$81)+SUMIFS('Vols additionnels'!$E$7:$E$66,'Vols additionnels'!$C$7:$C$66,$E2014,'Vols additionnels'!$D$7:$D$66,$F2014,'Vols additionnels'!$B$7:$B$66,$D2014)</f>
        <v>0</v>
      </c>
      <c r="H2014" s="135" t="n">
        <f aca="false">$G2014*'Analyse capacite'!$F$9</f>
        <v>0</v>
      </c>
      <c r="I2014" s="135" t="n">
        <f aca="false">$G2014*'Analyse capacite'!$C$9</f>
        <v>0</v>
      </c>
      <c r="J2014" s="135" t="n">
        <f aca="false">$G2014*'Analyse capacite'!$D$9</f>
        <v>0</v>
      </c>
      <c r="K2014" s="135" t="n">
        <f aca="false">$G2014*'Analyse capacite'!$E$9</f>
        <v>0</v>
      </c>
    </row>
    <row r="2015" customFormat="false" ht="15" hidden="false" customHeight="false" outlineLevel="0" collapsed="false">
      <c r="B2015" s="130" t="n">
        <v>2027</v>
      </c>
      <c r="C2015" s="131" t="s">
        <v>247</v>
      </c>
      <c r="D2015" s="132" t="n">
        <v>46533</v>
      </c>
      <c r="E2015" s="131" t="s">
        <v>59</v>
      </c>
      <c r="F2015" s="133" t="s">
        <v>11</v>
      </c>
      <c r="G2015" s="134" t="n">
        <f aca="false">LEN('Saisie programme'!$F$82)+SUMIFS('Vols additionnels'!$E$7:$E$66,'Vols additionnels'!$C$7:$C$66,$E2015,'Vols additionnels'!$D$7:$D$66,$F2015,'Vols additionnels'!$B$7:$B$66,$D2015)</f>
        <v>0</v>
      </c>
      <c r="H2015" s="135" t="n">
        <f aca="false">$G2015*'Analyse capacite'!$F$7</f>
        <v>0</v>
      </c>
      <c r="I2015" s="135" t="n">
        <f aca="false">$G2015*'Analyse capacite'!$C$7</f>
        <v>0</v>
      </c>
      <c r="J2015" s="135" t="n">
        <f aca="false">$G2015*'Analyse capacite'!$D$7</f>
        <v>0</v>
      </c>
      <c r="K2015" s="135" t="n">
        <f aca="false">$G2015*'Analyse capacite'!$E$7</f>
        <v>0</v>
      </c>
    </row>
    <row r="2016" customFormat="false" ht="15" hidden="false" customHeight="false" outlineLevel="0" collapsed="false">
      <c r="B2016" s="130" t="n">
        <v>2027</v>
      </c>
      <c r="C2016" s="131" t="s">
        <v>247</v>
      </c>
      <c r="D2016" s="132" t="n">
        <v>46533</v>
      </c>
      <c r="E2016" s="131" t="s">
        <v>59</v>
      </c>
      <c r="F2016" s="133" t="s">
        <v>19</v>
      </c>
      <c r="G2016" s="134" t="n">
        <f aca="false">LEN('Saisie programme'!$F$83)+SUMIFS('Vols additionnels'!$E$7:$E$66,'Vols additionnels'!$C$7:$C$66,$E2016,'Vols additionnels'!$D$7:$D$66,$F2016,'Vols additionnels'!$B$7:$B$66,$D2016)</f>
        <v>0</v>
      </c>
      <c r="H2016" s="135" t="n">
        <f aca="false">$G2016*'Analyse capacite'!$F$8</f>
        <v>0</v>
      </c>
      <c r="I2016" s="135" t="n">
        <f aca="false">$G2016*'Analyse capacite'!$C$8</f>
        <v>0</v>
      </c>
      <c r="J2016" s="135" t="n">
        <f aca="false">$G2016*'Analyse capacite'!$D$8</f>
        <v>0</v>
      </c>
      <c r="K2016" s="135" t="n">
        <f aca="false">$G2016*'Analyse capacite'!$E$8</f>
        <v>0</v>
      </c>
    </row>
    <row r="2017" customFormat="false" ht="15" hidden="false" customHeight="false" outlineLevel="0" collapsed="false">
      <c r="B2017" s="130" t="n">
        <v>2027</v>
      </c>
      <c r="C2017" s="131" t="s">
        <v>247</v>
      </c>
      <c r="D2017" s="132" t="n">
        <v>46533</v>
      </c>
      <c r="E2017" s="131" t="s">
        <v>59</v>
      </c>
      <c r="F2017" s="133" t="s">
        <v>24</v>
      </c>
      <c r="G2017" s="134" t="n">
        <f aca="false">LEN('Saisie programme'!$F$84)+SUMIFS('Vols additionnels'!$E$7:$E$66,'Vols additionnels'!$C$7:$C$66,$E2017,'Vols additionnels'!$D$7:$D$66,$F2017,'Vols additionnels'!$B$7:$B$66,$D2017)</f>
        <v>1</v>
      </c>
      <c r="H2017" s="135" t="n">
        <f aca="false">$G2017*'Analyse capacite'!$F$9</f>
        <v>174</v>
      </c>
      <c r="I2017" s="135" t="n">
        <f aca="false">$G2017*'Analyse capacite'!$C$9</f>
        <v>0</v>
      </c>
      <c r="J2017" s="135" t="n">
        <f aca="false">$G2017*'Analyse capacite'!$D$9</f>
        <v>12</v>
      </c>
      <c r="K2017" s="135" t="n">
        <f aca="false">$G2017*'Analyse capacite'!$E$9</f>
        <v>162</v>
      </c>
    </row>
    <row r="2018" customFormat="false" ht="15" hidden="false" customHeight="false" outlineLevel="0" collapsed="false">
      <c r="B2018" s="130" t="n">
        <v>2027</v>
      </c>
      <c r="C2018" s="131" t="s">
        <v>247</v>
      </c>
      <c r="D2018" s="132" t="n">
        <v>46533</v>
      </c>
      <c r="E2018" s="131" t="s">
        <v>62</v>
      </c>
      <c r="F2018" s="133" t="s">
        <v>11</v>
      </c>
      <c r="G2018" s="134" t="n">
        <f aca="false">LEN('Saisie programme'!$F$85)+SUMIFS('Vols additionnels'!$E$7:$E$66,'Vols additionnels'!$C$7:$C$66,$E2018,'Vols additionnels'!$D$7:$D$66,$F2018,'Vols additionnels'!$B$7:$B$66,$D2018)</f>
        <v>0</v>
      </c>
      <c r="H2018" s="135" t="n">
        <f aca="false">$G2018*'Analyse capacite'!$F$7</f>
        <v>0</v>
      </c>
      <c r="I2018" s="135" t="n">
        <f aca="false">$G2018*'Analyse capacite'!$C$7</f>
        <v>0</v>
      </c>
      <c r="J2018" s="135" t="n">
        <f aca="false">$G2018*'Analyse capacite'!$D$7</f>
        <v>0</v>
      </c>
      <c r="K2018" s="135" t="n">
        <f aca="false">$G2018*'Analyse capacite'!$E$7</f>
        <v>0</v>
      </c>
    </row>
    <row r="2019" customFormat="false" ht="15" hidden="false" customHeight="false" outlineLevel="0" collapsed="false">
      <c r="B2019" s="130" t="n">
        <v>2027</v>
      </c>
      <c r="C2019" s="131" t="s">
        <v>247</v>
      </c>
      <c r="D2019" s="132" t="n">
        <v>46533</v>
      </c>
      <c r="E2019" s="131" t="s">
        <v>62</v>
      </c>
      <c r="F2019" s="133" t="s">
        <v>19</v>
      </c>
      <c r="G2019" s="134" t="n">
        <f aca="false">LEN('Saisie programme'!$F$86)+SUMIFS('Vols additionnels'!$E$7:$E$66,'Vols additionnels'!$C$7:$C$66,$E2019,'Vols additionnels'!$D$7:$D$66,$F2019,'Vols additionnels'!$B$7:$B$66,$D2019)</f>
        <v>0</v>
      </c>
      <c r="H2019" s="135" t="n">
        <f aca="false">$G2019*'Analyse capacite'!$F$8</f>
        <v>0</v>
      </c>
      <c r="I2019" s="135" t="n">
        <f aca="false">$G2019*'Analyse capacite'!$C$8</f>
        <v>0</v>
      </c>
      <c r="J2019" s="135" t="n">
        <f aca="false">$G2019*'Analyse capacite'!$D$8</f>
        <v>0</v>
      </c>
      <c r="K2019" s="135" t="n">
        <f aca="false">$G2019*'Analyse capacite'!$E$8</f>
        <v>0</v>
      </c>
    </row>
    <row r="2020" customFormat="false" ht="15" hidden="false" customHeight="false" outlineLevel="0" collapsed="false">
      <c r="B2020" s="130" t="n">
        <v>2027</v>
      </c>
      <c r="C2020" s="131" t="s">
        <v>247</v>
      </c>
      <c r="D2020" s="132" t="n">
        <v>46533</v>
      </c>
      <c r="E2020" s="131" t="s">
        <v>62</v>
      </c>
      <c r="F2020" s="133" t="s">
        <v>24</v>
      </c>
      <c r="G2020" s="134" t="n">
        <f aca="false">LEN('Saisie programme'!$F$87)+SUMIFS('Vols additionnels'!$E$7:$E$66,'Vols additionnels'!$C$7:$C$66,$E2020,'Vols additionnels'!$D$7:$D$66,$F2020,'Vols additionnels'!$B$7:$B$66,$D2020)</f>
        <v>1</v>
      </c>
      <c r="H2020" s="135" t="n">
        <f aca="false">$G2020*'Analyse capacite'!$F$9</f>
        <v>174</v>
      </c>
      <c r="I2020" s="135" t="n">
        <f aca="false">$G2020*'Analyse capacite'!$C$9</f>
        <v>0</v>
      </c>
      <c r="J2020" s="135" t="n">
        <f aca="false">$G2020*'Analyse capacite'!$D$9</f>
        <v>12</v>
      </c>
      <c r="K2020" s="135" t="n">
        <f aca="false">$G2020*'Analyse capacite'!$E$9</f>
        <v>162</v>
      </c>
    </row>
    <row r="2021" customFormat="false" ht="15" hidden="false" customHeight="false" outlineLevel="0" collapsed="false">
      <c r="B2021" s="130" t="n">
        <v>2027</v>
      </c>
      <c r="C2021" s="131" t="s">
        <v>247</v>
      </c>
      <c r="D2021" s="132" t="n">
        <v>46534</v>
      </c>
      <c r="E2021" s="131" t="s">
        <v>12</v>
      </c>
      <c r="F2021" s="133" t="s">
        <v>11</v>
      </c>
      <c r="G2021" s="134" t="n">
        <f aca="false">LEN('Saisie programme'!$G$52)+SUMIFS('Vols additionnels'!$E$7:$E$66,'Vols additionnels'!$C$7:$C$66,$E2021,'Vols additionnels'!$D$7:$D$66,$F2021,'Vols additionnels'!$B$7:$B$66,$D2021)</f>
        <v>1</v>
      </c>
      <c r="H2021" s="135" t="n">
        <f aca="false">$G2021*'Analyse capacite'!$F$7</f>
        <v>438</v>
      </c>
      <c r="I2021" s="135" t="n">
        <f aca="false">$G2021*'Analyse capacite'!$C$7</f>
        <v>14</v>
      </c>
      <c r="J2021" s="135" t="n">
        <f aca="false">$G2021*'Analyse capacite'!$D$7</f>
        <v>40</v>
      </c>
      <c r="K2021" s="135" t="n">
        <f aca="false">$G2021*'Analyse capacite'!$E$7</f>
        <v>384</v>
      </c>
    </row>
    <row r="2022" customFormat="false" ht="15" hidden="false" customHeight="false" outlineLevel="0" collapsed="false">
      <c r="B2022" s="130" t="n">
        <v>2027</v>
      </c>
      <c r="C2022" s="131" t="s">
        <v>247</v>
      </c>
      <c r="D2022" s="132" t="n">
        <v>46534</v>
      </c>
      <c r="E2022" s="131" t="s">
        <v>12</v>
      </c>
      <c r="F2022" s="133" t="s">
        <v>19</v>
      </c>
      <c r="G2022" s="134" t="n">
        <f aca="false">LEN('Saisie programme'!$G$53)+SUMIFS('Vols additionnels'!$E$7:$E$66,'Vols additionnels'!$C$7:$C$66,$E2022,'Vols additionnels'!$D$7:$D$66,$F2022,'Vols additionnels'!$B$7:$B$66,$D2022)</f>
        <v>0</v>
      </c>
      <c r="H2022" s="135" t="n">
        <f aca="false">$G2022*'Analyse capacite'!$F$8</f>
        <v>0</v>
      </c>
      <c r="I2022" s="135" t="n">
        <f aca="false">$G2022*'Analyse capacite'!$C$8</f>
        <v>0</v>
      </c>
      <c r="J2022" s="135" t="n">
        <f aca="false">$G2022*'Analyse capacite'!$D$8</f>
        <v>0</v>
      </c>
      <c r="K2022" s="135" t="n">
        <f aca="false">$G2022*'Analyse capacite'!$E$8</f>
        <v>0</v>
      </c>
    </row>
    <row r="2023" customFormat="false" ht="15" hidden="false" customHeight="false" outlineLevel="0" collapsed="false">
      <c r="B2023" s="130" t="n">
        <v>2027</v>
      </c>
      <c r="C2023" s="131" t="s">
        <v>247</v>
      </c>
      <c r="D2023" s="132" t="n">
        <v>46534</v>
      </c>
      <c r="E2023" s="131" t="s">
        <v>12</v>
      </c>
      <c r="F2023" s="133" t="s">
        <v>24</v>
      </c>
      <c r="G2023" s="134" t="n">
        <f aca="false">LEN('Saisie programme'!$G$54)+SUMIFS('Vols additionnels'!$E$7:$E$66,'Vols additionnels'!$C$7:$C$66,$E2023,'Vols additionnels'!$D$7:$D$66,$F2023,'Vols additionnels'!$B$7:$B$66,$D2023)</f>
        <v>0</v>
      </c>
      <c r="H2023" s="135" t="n">
        <f aca="false">$G2023*'Analyse capacite'!$F$9</f>
        <v>0</v>
      </c>
      <c r="I2023" s="135" t="n">
        <f aca="false">$G2023*'Analyse capacite'!$C$9</f>
        <v>0</v>
      </c>
      <c r="J2023" s="135" t="n">
        <f aca="false">$G2023*'Analyse capacite'!$D$9</f>
        <v>0</v>
      </c>
      <c r="K2023" s="135" t="n">
        <f aca="false">$G2023*'Analyse capacite'!$E$9</f>
        <v>0</v>
      </c>
    </row>
    <row r="2024" customFormat="false" ht="15" hidden="false" customHeight="false" outlineLevel="0" collapsed="false">
      <c r="B2024" s="130" t="n">
        <v>2027</v>
      </c>
      <c r="C2024" s="131" t="s">
        <v>247</v>
      </c>
      <c r="D2024" s="132" t="n">
        <v>46534</v>
      </c>
      <c r="E2024" s="131" t="s">
        <v>20</v>
      </c>
      <c r="F2024" s="133" t="s">
        <v>11</v>
      </c>
      <c r="G2024" s="134" t="n">
        <f aca="false">LEN('Saisie programme'!$G$55)+SUMIFS('Vols additionnels'!$E$7:$E$66,'Vols additionnels'!$C$7:$C$66,$E2024,'Vols additionnels'!$D$7:$D$66,$F2024,'Vols additionnels'!$B$7:$B$66,$D2024)</f>
        <v>0</v>
      </c>
      <c r="H2024" s="135" t="n">
        <f aca="false">$G2024*'Analyse capacite'!$F$7</f>
        <v>0</v>
      </c>
      <c r="I2024" s="135" t="n">
        <f aca="false">$G2024*'Analyse capacite'!$C$7</f>
        <v>0</v>
      </c>
      <c r="J2024" s="135" t="n">
        <f aca="false">$G2024*'Analyse capacite'!$D$7</f>
        <v>0</v>
      </c>
      <c r="K2024" s="135" t="n">
        <f aca="false">$G2024*'Analyse capacite'!$E$7</f>
        <v>0</v>
      </c>
    </row>
    <row r="2025" customFormat="false" ht="15" hidden="false" customHeight="false" outlineLevel="0" collapsed="false">
      <c r="B2025" s="130" t="n">
        <v>2027</v>
      </c>
      <c r="C2025" s="131" t="s">
        <v>247</v>
      </c>
      <c r="D2025" s="132" t="n">
        <v>46534</v>
      </c>
      <c r="E2025" s="131" t="s">
        <v>20</v>
      </c>
      <c r="F2025" s="133" t="s">
        <v>19</v>
      </c>
      <c r="G2025" s="134" t="n">
        <f aca="false">LEN('Saisie programme'!$G$56)+SUMIFS('Vols additionnels'!$E$7:$E$66,'Vols additionnels'!$C$7:$C$66,$E2025,'Vols additionnels'!$D$7:$D$66,$F2025,'Vols additionnels'!$B$7:$B$66,$D2025)</f>
        <v>0</v>
      </c>
      <c r="H2025" s="135" t="n">
        <f aca="false">$G2025*'Analyse capacite'!$F$8</f>
        <v>0</v>
      </c>
      <c r="I2025" s="135" t="n">
        <f aca="false">$G2025*'Analyse capacite'!$C$8</f>
        <v>0</v>
      </c>
      <c r="J2025" s="135" t="n">
        <f aca="false">$G2025*'Analyse capacite'!$D$8</f>
        <v>0</v>
      </c>
      <c r="K2025" s="135" t="n">
        <f aca="false">$G2025*'Analyse capacite'!$E$8</f>
        <v>0</v>
      </c>
    </row>
    <row r="2026" customFormat="false" ht="15" hidden="false" customHeight="false" outlineLevel="0" collapsed="false">
      <c r="B2026" s="130" t="n">
        <v>2027</v>
      </c>
      <c r="C2026" s="131" t="s">
        <v>247</v>
      </c>
      <c r="D2026" s="132" t="n">
        <v>46534</v>
      </c>
      <c r="E2026" s="131" t="s">
        <v>20</v>
      </c>
      <c r="F2026" s="133" t="s">
        <v>24</v>
      </c>
      <c r="G2026" s="134" t="n">
        <f aca="false">LEN('Saisie programme'!$G$57)+SUMIFS('Vols additionnels'!$E$7:$E$66,'Vols additionnels'!$C$7:$C$66,$E2026,'Vols additionnels'!$D$7:$D$66,$F2026,'Vols additionnels'!$B$7:$B$66,$D2026)</f>
        <v>0</v>
      </c>
      <c r="H2026" s="135" t="n">
        <f aca="false">$G2026*'Analyse capacite'!$F$9</f>
        <v>0</v>
      </c>
      <c r="I2026" s="135" t="n">
        <f aca="false">$G2026*'Analyse capacite'!$C$9</f>
        <v>0</v>
      </c>
      <c r="J2026" s="135" t="n">
        <f aca="false">$G2026*'Analyse capacite'!$D$9</f>
        <v>0</v>
      </c>
      <c r="K2026" s="135" t="n">
        <f aca="false">$G2026*'Analyse capacite'!$E$9</f>
        <v>0</v>
      </c>
    </row>
    <row r="2027" customFormat="false" ht="15" hidden="false" customHeight="false" outlineLevel="0" collapsed="false">
      <c r="B2027" s="130" t="n">
        <v>2027</v>
      </c>
      <c r="C2027" s="131" t="s">
        <v>247</v>
      </c>
      <c r="D2027" s="132" t="n">
        <v>46534</v>
      </c>
      <c r="E2027" s="131" t="s">
        <v>25</v>
      </c>
      <c r="F2027" s="133" t="s">
        <v>11</v>
      </c>
      <c r="G2027" s="134" t="n">
        <f aca="false">LEN('Saisie programme'!$G$58)+SUMIFS('Vols additionnels'!$E$7:$E$66,'Vols additionnels'!$C$7:$C$66,$E2027,'Vols additionnels'!$D$7:$D$66,$F2027,'Vols additionnels'!$B$7:$B$66,$D2027)</f>
        <v>0</v>
      </c>
      <c r="H2027" s="135" t="n">
        <f aca="false">$G2027*'Analyse capacite'!$F$7</f>
        <v>0</v>
      </c>
      <c r="I2027" s="135" t="n">
        <f aca="false">$G2027*'Analyse capacite'!$C$7</f>
        <v>0</v>
      </c>
      <c r="J2027" s="135" t="n">
        <f aca="false">$G2027*'Analyse capacite'!$D$7</f>
        <v>0</v>
      </c>
      <c r="K2027" s="135" t="n">
        <f aca="false">$G2027*'Analyse capacite'!$E$7</f>
        <v>0</v>
      </c>
    </row>
    <row r="2028" customFormat="false" ht="15" hidden="false" customHeight="false" outlineLevel="0" collapsed="false">
      <c r="B2028" s="130" t="n">
        <v>2027</v>
      </c>
      <c r="C2028" s="131" t="s">
        <v>247</v>
      </c>
      <c r="D2028" s="132" t="n">
        <v>46534</v>
      </c>
      <c r="E2028" s="131" t="s">
        <v>25</v>
      </c>
      <c r="F2028" s="133" t="s">
        <v>19</v>
      </c>
      <c r="G2028" s="134" t="n">
        <f aca="false">LEN('Saisie programme'!$G$59)+SUMIFS('Vols additionnels'!$E$7:$E$66,'Vols additionnels'!$C$7:$C$66,$E2028,'Vols additionnels'!$D$7:$D$66,$F2028,'Vols additionnels'!$B$7:$B$66,$D2028)</f>
        <v>0</v>
      </c>
      <c r="H2028" s="135" t="n">
        <f aca="false">$G2028*'Analyse capacite'!$F$8</f>
        <v>0</v>
      </c>
      <c r="I2028" s="135" t="n">
        <f aca="false">$G2028*'Analyse capacite'!$C$8</f>
        <v>0</v>
      </c>
      <c r="J2028" s="135" t="n">
        <f aca="false">$G2028*'Analyse capacite'!$D$8</f>
        <v>0</v>
      </c>
      <c r="K2028" s="135" t="n">
        <f aca="false">$G2028*'Analyse capacite'!$E$8</f>
        <v>0</v>
      </c>
    </row>
    <row r="2029" customFormat="false" ht="15" hidden="false" customHeight="false" outlineLevel="0" collapsed="false">
      <c r="B2029" s="130" t="n">
        <v>2027</v>
      </c>
      <c r="C2029" s="131" t="s">
        <v>247</v>
      </c>
      <c r="D2029" s="132" t="n">
        <v>46534</v>
      </c>
      <c r="E2029" s="131" t="s">
        <v>25</v>
      </c>
      <c r="F2029" s="133" t="s">
        <v>24</v>
      </c>
      <c r="G2029" s="134" t="n">
        <f aca="false">LEN('Saisie programme'!$G$60)+SUMIFS('Vols additionnels'!$E$7:$E$66,'Vols additionnels'!$C$7:$C$66,$E2029,'Vols additionnels'!$D$7:$D$66,$F2029,'Vols additionnels'!$B$7:$B$66,$D2029)</f>
        <v>0</v>
      </c>
      <c r="H2029" s="135" t="n">
        <f aca="false">$G2029*'Analyse capacite'!$F$9</f>
        <v>0</v>
      </c>
      <c r="I2029" s="135" t="n">
        <f aca="false">$G2029*'Analyse capacite'!$C$9</f>
        <v>0</v>
      </c>
      <c r="J2029" s="135" t="n">
        <f aca="false">$G2029*'Analyse capacite'!$D$9</f>
        <v>0</v>
      </c>
      <c r="K2029" s="135" t="n">
        <f aca="false">$G2029*'Analyse capacite'!$E$9</f>
        <v>0</v>
      </c>
    </row>
    <row r="2030" customFormat="false" ht="15" hidden="false" customHeight="false" outlineLevel="0" collapsed="false">
      <c r="B2030" s="130" t="n">
        <v>2027</v>
      </c>
      <c r="C2030" s="131" t="s">
        <v>247</v>
      </c>
      <c r="D2030" s="132" t="n">
        <v>46534</v>
      </c>
      <c r="E2030" s="131" t="s">
        <v>36</v>
      </c>
      <c r="F2030" s="133" t="s">
        <v>11</v>
      </c>
      <c r="G2030" s="134" t="n">
        <f aca="false">LEN('Saisie programme'!$G$61)+SUMIFS('Vols additionnels'!$E$7:$E$66,'Vols additionnels'!$C$7:$C$66,$E2030,'Vols additionnels'!$D$7:$D$66,$F2030,'Vols additionnels'!$B$7:$B$66,$D2030)</f>
        <v>0</v>
      </c>
      <c r="H2030" s="135" t="n">
        <f aca="false">$G2030*'Analyse capacite'!$F$7</f>
        <v>0</v>
      </c>
      <c r="I2030" s="135" t="n">
        <f aca="false">$G2030*'Analyse capacite'!$C$7</f>
        <v>0</v>
      </c>
      <c r="J2030" s="135" t="n">
        <f aca="false">$G2030*'Analyse capacite'!$D$7</f>
        <v>0</v>
      </c>
      <c r="K2030" s="135" t="n">
        <f aca="false">$G2030*'Analyse capacite'!$E$7</f>
        <v>0</v>
      </c>
    </row>
    <row r="2031" customFormat="false" ht="15" hidden="false" customHeight="false" outlineLevel="0" collapsed="false">
      <c r="B2031" s="130" t="n">
        <v>2027</v>
      </c>
      <c r="C2031" s="131" t="s">
        <v>247</v>
      </c>
      <c r="D2031" s="132" t="n">
        <v>46534</v>
      </c>
      <c r="E2031" s="131" t="s">
        <v>36</v>
      </c>
      <c r="F2031" s="133" t="s">
        <v>19</v>
      </c>
      <c r="G2031" s="134" t="n">
        <f aca="false">LEN('Saisie programme'!$G$62)+SUMIFS('Vols additionnels'!$E$7:$E$66,'Vols additionnels'!$C$7:$C$66,$E2031,'Vols additionnels'!$D$7:$D$66,$F2031,'Vols additionnels'!$B$7:$B$66,$D2031)</f>
        <v>0</v>
      </c>
      <c r="H2031" s="135" t="n">
        <f aca="false">$G2031*'Analyse capacite'!$F$8</f>
        <v>0</v>
      </c>
      <c r="I2031" s="135" t="n">
        <f aca="false">$G2031*'Analyse capacite'!$C$8</f>
        <v>0</v>
      </c>
      <c r="J2031" s="135" t="n">
        <f aca="false">$G2031*'Analyse capacite'!$D$8</f>
        <v>0</v>
      </c>
      <c r="K2031" s="135" t="n">
        <f aca="false">$G2031*'Analyse capacite'!$E$8</f>
        <v>0</v>
      </c>
    </row>
    <row r="2032" customFormat="false" ht="15" hidden="false" customHeight="false" outlineLevel="0" collapsed="false">
      <c r="B2032" s="130" t="n">
        <v>2027</v>
      </c>
      <c r="C2032" s="131" t="s">
        <v>247</v>
      </c>
      <c r="D2032" s="132" t="n">
        <v>46534</v>
      </c>
      <c r="E2032" s="131" t="s">
        <v>36</v>
      </c>
      <c r="F2032" s="133" t="s">
        <v>24</v>
      </c>
      <c r="G2032" s="134" t="n">
        <f aca="false">LEN('Saisie programme'!$G$63)+SUMIFS('Vols additionnels'!$E$7:$E$66,'Vols additionnels'!$C$7:$C$66,$E2032,'Vols additionnels'!$D$7:$D$66,$F2032,'Vols additionnels'!$B$7:$B$66,$D2032)</f>
        <v>1</v>
      </c>
      <c r="H2032" s="135" t="n">
        <f aca="false">$G2032*'Analyse capacite'!$F$9</f>
        <v>174</v>
      </c>
      <c r="I2032" s="135" t="n">
        <f aca="false">$G2032*'Analyse capacite'!$C$9</f>
        <v>0</v>
      </c>
      <c r="J2032" s="135" t="n">
        <f aca="false">$G2032*'Analyse capacite'!$D$9</f>
        <v>12</v>
      </c>
      <c r="K2032" s="135" t="n">
        <f aca="false">$G2032*'Analyse capacite'!$E$9</f>
        <v>162</v>
      </c>
    </row>
    <row r="2033" customFormat="false" ht="15" hidden="false" customHeight="false" outlineLevel="0" collapsed="false">
      <c r="B2033" s="130" t="n">
        <v>2027</v>
      </c>
      <c r="C2033" s="131" t="s">
        <v>247</v>
      </c>
      <c r="D2033" s="132" t="n">
        <v>46534</v>
      </c>
      <c r="E2033" s="131" t="s">
        <v>40</v>
      </c>
      <c r="F2033" s="133" t="s">
        <v>11</v>
      </c>
      <c r="G2033" s="134" t="n">
        <f aca="false">LEN('Saisie programme'!$G$64)+SUMIFS('Vols additionnels'!$E$7:$E$66,'Vols additionnels'!$C$7:$C$66,$E2033,'Vols additionnels'!$D$7:$D$66,$F2033,'Vols additionnels'!$B$7:$B$66,$D2033)</f>
        <v>0</v>
      </c>
      <c r="H2033" s="135" t="n">
        <f aca="false">$G2033*'Analyse capacite'!$F$7</f>
        <v>0</v>
      </c>
      <c r="I2033" s="135" t="n">
        <f aca="false">$G2033*'Analyse capacite'!$C$7</f>
        <v>0</v>
      </c>
      <c r="J2033" s="135" t="n">
        <f aca="false">$G2033*'Analyse capacite'!$D$7</f>
        <v>0</v>
      </c>
      <c r="K2033" s="135" t="n">
        <f aca="false">$G2033*'Analyse capacite'!$E$7</f>
        <v>0</v>
      </c>
    </row>
    <row r="2034" customFormat="false" ht="15" hidden="false" customHeight="false" outlineLevel="0" collapsed="false">
      <c r="B2034" s="130" t="n">
        <v>2027</v>
      </c>
      <c r="C2034" s="131" t="s">
        <v>247</v>
      </c>
      <c r="D2034" s="132" t="n">
        <v>46534</v>
      </c>
      <c r="E2034" s="131" t="s">
        <v>40</v>
      </c>
      <c r="F2034" s="133" t="s">
        <v>19</v>
      </c>
      <c r="G2034" s="134" t="n">
        <f aca="false">LEN('Saisie programme'!$G$65)+SUMIFS('Vols additionnels'!$E$7:$E$66,'Vols additionnels'!$C$7:$C$66,$E2034,'Vols additionnels'!$D$7:$D$66,$F2034,'Vols additionnels'!$B$7:$B$66,$D2034)</f>
        <v>0</v>
      </c>
      <c r="H2034" s="135" t="n">
        <f aca="false">$G2034*'Analyse capacite'!$F$8</f>
        <v>0</v>
      </c>
      <c r="I2034" s="135" t="n">
        <f aca="false">$G2034*'Analyse capacite'!$C$8</f>
        <v>0</v>
      </c>
      <c r="J2034" s="135" t="n">
        <f aca="false">$G2034*'Analyse capacite'!$D$8</f>
        <v>0</v>
      </c>
      <c r="K2034" s="135" t="n">
        <f aca="false">$G2034*'Analyse capacite'!$E$8</f>
        <v>0</v>
      </c>
    </row>
    <row r="2035" customFormat="false" ht="15" hidden="false" customHeight="false" outlineLevel="0" collapsed="false">
      <c r="B2035" s="130" t="n">
        <v>2027</v>
      </c>
      <c r="C2035" s="131" t="s">
        <v>247</v>
      </c>
      <c r="D2035" s="132" t="n">
        <v>46534</v>
      </c>
      <c r="E2035" s="131" t="s">
        <v>40</v>
      </c>
      <c r="F2035" s="133" t="s">
        <v>24</v>
      </c>
      <c r="G2035" s="134" t="n">
        <f aca="false">LEN('Saisie programme'!$G$66)+SUMIFS('Vols additionnels'!$E$7:$E$66,'Vols additionnels'!$C$7:$C$66,$E2035,'Vols additionnels'!$D$7:$D$66,$F2035,'Vols additionnels'!$B$7:$B$66,$D2035)</f>
        <v>0</v>
      </c>
      <c r="H2035" s="135" t="n">
        <f aca="false">$G2035*'Analyse capacite'!$F$9</f>
        <v>0</v>
      </c>
      <c r="I2035" s="135" t="n">
        <f aca="false">$G2035*'Analyse capacite'!$C$9</f>
        <v>0</v>
      </c>
      <c r="J2035" s="135" t="n">
        <f aca="false">$G2035*'Analyse capacite'!$D$9</f>
        <v>0</v>
      </c>
      <c r="K2035" s="135" t="n">
        <f aca="false">$G2035*'Analyse capacite'!$E$9</f>
        <v>0</v>
      </c>
    </row>
    <row r="2036" customFormat="false" ht="15" hidden="false" customHeight="false" outlineLevel="0" collapsed="false">
      <c r="B2036" s="130" t="n">
        <v>2027</v>
      </c>
      <c r="C2036" s="131" t="s">
        <v>247</v>
      </c>
      <c r="D2036" s="132" t="n">
        <v>46534</v>
      </c>
      <c r="E2036" s="131" t="s">
        <v>14</v>
      </c>
      <c r="F2036" s="133" t="s">
        <v>11</v>
      </c>
      <c r="G2036" s="134" t="n">
        <f aca="false">LEN('Saisie programme'!$G$67)+SUMIFS('Vols additionnels'!$E$7:$E$66,'Vols additionnels'!$C$7:$C$66,$E2036,'Vols additionnels'!$D$7:$D$66,$F2036,'Vols additionnels'!$B$7:$B$66,$D2036)</f>
        <v>0</v>
      </c>
      <c r="H2036" s="135" t="n">
        <f aca="false">$G2036*'Analyse capacite'!$F$7</f>
        <v>0</v>
      </c>
      <c r="I2036" s="135" t="n">
        <f aca="false">$G2036*'Analyse capacite'!$C$7</f>
        <v>0</v>
      </c>
      <c r="J2036" s="135" t="n">
        <f aca="false">$G2036*'Analyse capacite'!$D$7</f>
        <v>0</v>
      </c>
      <c r="K2036" s="135" t="n">
        <f aca="false">$G2036*'Analyse capacite'!$E$7</f>
        <v>0</v>
      </c>
    </row>
    <row r="2037" customFormat="false" ht="15" hidden="false" customHeight="false" outlineLevel="0" collapsed="false">
      <c r="B2037" s="130" t="n">
        <v>2027</v>
      </c>
      <c r="C2037" s="131" t="s">
        <v>247</v>
      </c>
      <c r="D2037" s="132" t="n">
        <v>46534</v>
      </c>
      <c r="E2037" s="131" t="s">
        <v>14</v>
      </c>
      <c r="F2037" s="133" t="s">
        <v>19</v>
      </c>
      <c r="G2037" s="134" t="n">
        <f aca="false">LEN('Saisie programme'!$G$68)+SUMIFS('Vols additionnels'!$E$7:$E$66,'Vols additionnels'!$C$7:$C$66,$E2037,'Vols additionnels'!$D$7:$D$66,$F2037,'Vols additionnels'!$B$7:$B$66,$D2037)</f>
        <v>0</v>
      </c>
      <c r="H2037" s="135" t="n">
        <f aca="false">$G2037*'Analyse capacite'!$F$8</f>
        <v>0</v>
      </c>
      <c r="I2037" s="135" t="n">
        <f aca="false">$G2037*'Analyse capacite'!$C$8</f>
        <v>0</v>
      </c>
      <c r="J2037" s="135" t="n">
        <f aca="false">$G2037*'Analyse capacite'!$D$8</f>
        <v>0</v>
      </c>
      <c r="K2037" s="135" t="n">
        <f aca="false">$G2037*'Analyse capacite'!$E$8</f>
        <v>0</v>
      </c>
    </row>
    <row r="2038" customFormat="false" ht="15" hidden="false" customHeight="false" outlineLevel="0" collapsed="false">
      <c r="B2038" s="130" t="n">
        <v>2027</v>
      </c>
      <c r="C2038" s="131" t="s">
        <v>247</v>
      </c>
      <c r="D2038" s="132" t="n">
        <v>46534</v>
      </c>
      <c r="E2038" s="131" t="s">
        <v>14</v>
      </c>
      <c r="F2038" s="133" t="s">
        <v>24</v>
      </c>
      <c r="G2038" s="134" t="n">
        <f aca="false">LEN('Saisie programme'!$G$69)+SUMIFS('Vols additionnels'!$E$7:$E$66,'Vols additionnels'!$C$7:$C$66,$E2038,'Vols additionnels'!$D$7:$D$66,$F2038,'Vols additionnels'!$B$7:$B$66,$D2038)</f>
        <v>1</v>
      </c>
      <c r="H2038" s="135" t="n">
        <f aca="false">$G2038*'Analyse capacite'!$F$9</f>
        <v>174</v>
      </c>
      <c r="I2038" s="135" t="n">
        <f aca="false">$G2038*'Analyse capacite'!$C$9</f>
        <v>0</v>
      </c>
      <c r="J2038" s="135" t="n">
        <f aca="false">$G2038*'Analyse capacite'!$D$9</f>
        <v>12</v>
      </c>
      <c r="K2038" s="135" t="n">
        <f aca="false">$G2038*'Analyse capacite'!$E$9</f>
        <v>162</v>
      </c>
    </row>
    <row r="2039" customFormat="false" ht="15" hidden="false" customHeight="false" outlineLevel="0" collapsed="false">
      <c r="B2039" s="130" t="n">
        <v>2027</v>
      </c>
      <c r="C2039" s="131" t="s">
        <v>247</v>
      </c>
      <c r="D2039" s="132" t="n">
        <v>46534</v>
      </c>
      <c r="E2039" s="131" t="s">
        <v>46</v>
      </c>
      <c r="F2039" s="133" t="s">
        <v>11</v>
      </c>
      <c r="G2039" s="134" t="n">
        <f aca="false">LEN('Saisie programme'!$G$70)+SUMIFS('Vols additionnels'!$E$7:$E$66,'Vols additionnels'!$C$7:$C$66,$E2039,'Vols additionnels'!$D$7:$D$66,$F2039,'Vols additionnels'!$B$7:$B$66,$D2039)</f>
        <v>0</v>
      </c>
      <c r="H2039" s="135" t="n">
        <f aca="false">$G2039*'Analyse capacite'!$F$7</f>
        <v>0</v>
      </c>
      <c r="I2039" s="135" t="n">
        <f aca="false">$G2039*'Analyse capacite'!$C$7</f>
        <v>0</v>
      </c>
      <c r="J2039" s="135" t="n">
        <f aca="false">$G2039*'Analyse capacite'!$D$7</f>
        <v>0</v>
      </c>
      <c r="K2039" s="135" t="n">
        <f aca="false">$G2039*'Analyse capacite'!$E$7</f>
        <v>0</v>
      </c>
    </row>
    <row r="2040" customFormat="false" ht="15" hidden="false" customHeight="false" outlineLevel="0" collapsed="false">
      <c r="B2040" s="130" t="n">
        <v>2027</v>
      </c>
      <c r="C2040" s="131" t="s">
        <v>247</v>
      </c>
      <c r="D2040" s="132" t="n">
        <v>46534</v>
      </c>
      <c r="E2040" s="131" t="s">
        <v>46</v>
      </c>
      <c r="F2040" s="133" t="s">
        <v>19</v>
      </c>
      <c r="G2040" s="134" t="n">
        <f aca="false">LEN('Saisie programme'!$G$71)+SUMIFS('Vols additionnels'!$E$7:$E$66,'Vols additionnels'!$C$7:$C$66,$E2040,'Vols additionnels'!$D$7:$D$66,$F2040,'Vols additionnels'!$B$7:$B$66,$D2040)</f>
        <v>0</v>
      </c>
      <c r="H2040" s="135" t="n">
        <f aca="false">$G2040*'Analyse capacite'!$F$8</f>
        <v>0</v>
      </c>
      <c r="I2040" s="135" t="n">
        <f aca="false">$G2040*'Analyse capacite'!$C$8</f>
        <v>0</v>
      </c>
      <c r="J2040" s="135" t="n">
        <f aca="false">$G2040*'Analyse capacite'!$D$8</f>
        <v>0</v>
      </c>
      <c r="K2040" s="135" t="n">
        <f aca="false">$G2040*'Analyse capacite'!$E$8</f>
        <v>0</v>
      </c>
    </row>
    <row r="2041" customFormat="false" ht="15" hidden="false" customHeight="false" outlineLevel="0" collapsed="false">
      <c r="B2041" s="130" t="n">
        <v>2027</v>
      </c>
      <c r="C2041" s="131" t="s">
        <v>247</v>
      </c>
      <c r="D2041" s="132" t="n">
        <v>46534</v>
      </c>
      <c r="E2041" s="131" t="s">
        <v>46</v>
      </c>
      <c r="F2041" s="133" t="s">
        <v>24</v>
      </c>
      <c r="G2041" s="134" t="n">
        <f aca="false">LEN('Saisie programme'!$G$72)+SUMIFS('Vols additionnels'!$E$7:$E$66,'Vols additionnels'!$C$7:$C$66,$E2041,'Vols additionnels'!$D$7:$D$66,$F2041,'Vols additionnels'!$B$7:$B$66,$D2041)</f>
        <v>1</v>
      </c>
      <c r="H2041" s="135" t="n">
        <f aca="false">$G2041*'Analyse capacite'!$F$9</f>
        <v>174</v>
      </c>
      <c r="I2041" s="135" t="n">
        <f aca="false">$G2041*'Analyse capacite'!$C$9</f>
        <v>0</v>
      </c>
      <c r="J2041" s="135" t="n">
        <f aca="false">$G2041*'Analyse capacite'!$D$9</f>
        <v>12</v>
      </c>
      <c r="K2041" s="135" t="n">
        <f aca="false">$G2041*'Analyse capacite'!$E$9</f>
        <v>162</v>
      </c>
    </row>
    <row r="2042" customFormat="false" ht="15" hidden="false" customHeight="false" outlineLevel="0" collapsed="false">
      <c r="B2042" s="130" t="n">
        <v>2027</v>
      </c>
      <c r="C2042" s="131" t="s">
        <v>247</v>
      </c>
      <c r="D2042" s="132" t="n">
        <v>46534</v>
      </c>
      <c r="E2042" s="131" t="s">
        <v>49</v>
      </c>
      <c r="F2042" s="133" t="s">
        <v>11</v>
      </c>
      <c r="G2042" s="134" t="n">
        <f aca="false">LEN('Saisie programme'!$G$73)+SUMIFS('Vols additionnels'!$E$7:$E$66,'Vols additionnels'!$C$7:$C$66,$E2042,'Vols additionnels'!$D$7:$D$66,$F2042,'Vols additionnels'!$B$7:$B$66,$D2042)</f>
        <v>0</v>
      </c>
      <c r="H2042" s="135" t="n">
        <f aca="false">$G2042*'Analyse capacite'!$F$7</f>
        <v>0</v>
      </c>
      <c r="I2042" s="135" t="n">
        <f aca="false">$G2042*'Analyse capacite'!$C$7</f>
        <v>0</v>
      </c>
      <c r="J2042" s="135" t="n">
        <f aca="false">$G2042*'Analyse capacite'!$D$7</f>
        <v>0</v>
      </c>
      <c r="K2042" s="135" t="n">
        <f aca="false">$G2042*'Analyse capacite'!$E$7</f>
        <v>0</v>
      </c>
    </row>
    <row r="2043" customFormat="false" ht="15" hidden="false" customHeight="false" outlineLevel="0" collapsed="false">
      <c r="B2043" s="130" t="n">
        <v>2027</v>
      </c>
      <c r="C2043" s="131" t="s">
        <v>247</v>
      </c>
      <c r="D2043" s="132" t="n">
        <v>46534</v>
      </c>
      <c r="E2043" s="131" t="s">
        <v>49</v>
      </c>
      <c r="F2043" s="133" t="s">
        <v>19</v>
      </c>
      <c r="G2043" s="134" t="n">
        <f aca="false">LEN('Saisie programme'!$G$74)+SUMIFS('Vols additionnels'!$E$7:$E$66,'Vols additionnels'!$C$7:$C$66,$E2043,'Vols additionnels'!$D$7:$D$66,$F2043,'Vols additionnels'!$B$7:$B$66,$D2043)</f>
        <v>0</v>
      </c>
      <c r="H2043" s="135" t="n">
        <f aca="false">$G2043*'Analyse capacite'!$F$8</f>
        <v>0</v>
      </c>
      <c r="I2043" s="135" t="n">
        <f aca="false">$G2043*'Analyse capacite'!$C$8</f>
        <v>0</v>
      </c>
      <c r="J2043" s="135" t="n">
        <f aca="false">$G2043*'Analyse capacite'!$D$8</f>
        <v>0</v>
      </c>
      <c r="K2043" s="135" t="n">
        <f aca="false">$G2043*'Analyse capacite'!$E$8</f>
        <v>0</v>
      </c>
    </row>
    <row r="2044" customFormat="false" ht="15" hidden="false" customHeight="false" outlineLevel="0" collapsed="false">
      <c r="B2044" s="130" t="n">
        <v>2027</v>
      </c>
      <c r="C2044" s="131" t="s">
        <v>247</v>
      </c>
      <c r="D2044" s="132" t="n">
        <v>46534</v>
      </c>
      <c r="E2044" s="131" t="s">
        <v>49</v>
      </c>
      <c r="F2044" s="133" t="s">
        <v>24</v>
      </c>
      <c r="G2044" s="134" t="n">
        <f aca="false">LEN('Saisie programme'!$G$75)+SUMIFS('Vols additionnels'!$E$7:$E$66,'Vols additionnels'!$C$7:$C$66,$E2044,'Vols additionnels'!$D$7:$D$66,$F2044,'Vols additionnels'!$B$7:$B$66,$D2044)</f>
        <v>0</v>
      </c>
      <c r="H2044" s="135" t="n">
        <f aca="false">$G2044*'Analyse capacite'!$F$9</f>
        <v>0</v>
      </c>
      <c r="I2044" s="135" t="n">
        <f aca="false">$G2044*'Analyse capacite'!$C$9</f>
        <v>0</v>
      </c>
      <c r="J2044" s="135" t="n">
        <f aca="false">$G2044*'Analyse capacite'!$D$9</f>
        <v>0</v>
      </c>
      <c r="K2044" s="135" t="n">
        <f aca="false">$G2044*'Analyse capacite'!$E$9</f>
        <v>0</v>
      </c>
    </row>
    <row r="2045" customFormat="false" ht="15" hidden="false" customHeight="false" outlineLevel="0" collapsed="false">
      <c r="B2045" s="130" t="n">
        <v>2027</v>
      </c>
      <c r="C2045" s="131" t="s">
        <v>247</v>
      </c>
      <c r="D2045" s="132" t="n">
        <v>46534</v>
      </c>
      <c r="E2045" s="131" t="s">
        <v>53</v>
      </c>
      <c r="F2045" s="133" t="s">
        <v>11</v>
      </c>
      <c r="G2045" s="134" t="n">
        <f aca="false">LEN('Saisie programme'!$G$76)+SUMIFS('Vols additionnels'!$E$7:$E$66,'Vols additionnels'!$C$7:$C$66,$E2045,'Vols additionnels'!$D$7:$D$66,$F2045,'Vols additionnels'!$B$7:$B$66,$D2045)</f>
        <v>0</v>
      </c>
      <c r="H2045" s="135" t="n">
        <f aca="false">$G2045*'Analyse capacite'!$F$7</f>
        <v>0</v>
      </c>
      <c r="I2045" s="135" t="n">
        <f aca="false">$G2045*'Analyse capacite'!$C$7</f>
        <v>0</v>
      </c>
      <c r="J2045" s="135" t="n">
        <f aca="false">$G2045*'Analyse capacite'!$D$7</f>
        <v>0</v>
      </c>
      <c r="K2045" s="135" t="n">
        <f aca="false">$G2045*'Analyse capacite'!$E$7</f>
        <v>0</v>
      </c>
    </row>
    <row r="2046" customFormat="false" ht="15" hidden="false" customHeight="false" outlineLevel="0" collapsed="false">
      <c r="B2046" s="130" t="n">
        <v>2027</v>
      </c>
      <c r="C2046" s="131" t="s">
        <v>247</v>
      </c>
      <c r="D2046" s="132" t="n">
        <v>46534</v>
      </c>
      <c r="E2046" s="131" t="s">
        <v>53</v>
      </c>
      <c r="F2046" s="133" t="s">
        <v>19</v>
      </c>
      <c r="G2046" s="134" t="n">
        <f aca="false">LEN('Saisie programme'!$G$77)+SUMIFS('Vols additionnels'!$E$7:$E$66,'Vols additionnels'!$C$7:$C$66,$E2046,'Vols additionnels'!$D$7:$D$66,$F2046,'Vols additionnels'!$B$7:$B$66,$D2046)</f>
        <v>1</v>
      </c>
      <c r="H2046" s="135" t="n">
        <f aca="false">$G2046*'Analyse capacite'!$F$8</f>
        <v>262</v>
      </c>
      <c r="I2046" s="135" t="n">
        <f aca="false">$G2046*'Analyse capacite'!$C$8</f>
        <v>18</v>
      </c>
      <c r="J2046" s="135" t="n">
        <f aca="false">$G2046*'Analyse capacite'!$D$8</f>
        <v>0</v>
      </c>
      <c r="K2046" s="135" t="n">
        <f aca="false">$G2046*'Analyse capacite'!$E$8</f>
        <v>244</v>
      </c>
    </row>
    <row r="2047" customFormat="false" ht="15" hidden="false" customHeight="false" outlineLevel="0" collapsed="false">
      <c r="B2047" s="130" t="n">
        <v>2027</v>
      </c>
      <c r="C2047" s="131" t="s">
        <v>247</v>
      </c>
      <c r="D2047" s="132" t="n">
        <v>46534</v>
      </c>
      <c r="E2047" s="131" t="s">
        <v>53</v>
      </c>
      <c r="F2047" s="133" t="s">
        <v>24</v>
      </c>
      <c r="G2047" s="134" t="n">
        <f aca="false">LEN('Saisie programme'!$G$78)+SUMIFS('Vols additionnels'!$E$7:$E$66,'Vols additionnels'!$C$7:$C$66,$E2047,'Vols additionnels'!$D$7:$D$66,$F2047,'Vols additionnels'!$B$7:$B$66,$D2047)</f>
        <v>0</v>
      </c>
      <c r="H2047" s="135" t="n">
        <f aca="false">$G2047*'Analyse capacite'!$F$9</f>
        <v>0</v>
      </c>
      <c r="I2047" s="135" t="n">
        <f aca="false">$G2047*'Analyse capacite'!$C$9</f>
        <v>0</v>
      </c>
      <c r="J2047" s="135" t="n">
        <f aca="false">$G2047*'Analyse capacite'!$D$9</f>
        <v>0</v>
      </c>
      <c r="K2047" s="135" t="n">
        <f aca="false">$G2047*'Analyse capacite'!$E$9</f>
        <v>0</v>
      </c>
    </row>
    <row r="2048" customFormat="false" ht="15" hidden="false" customHeight="false" outlineLevel="0" collapsed="false">
      <c r="B2048" s="130" t="n">
        <v>2027</v>
      </c>
      <c r="C2048" s="131" t="s">
        <v>247</v>
      </c>
      <c r="D2048" s="132" t="n">
        <v>46534</v>
      </c>
      <c r="E2048" s="131" t="s">
        <v>56</v>
      </c>
      <c r="F2048" s="133" t="s">
        <v>11</v>
      </c>
      <c r="G2048" s="134" t="n">
        <f aca="false">LEN('Saisie programme'!$G$79)+SUMIFS('Vols additionnels'!$E$7:$E$66,'Vols additionnels'!$C$7:$C$66,$E2048,'Vols additionnels'!$D$7:$D$66,$F2048,'Vols additionnels'!$B$7:$B$66,$D2048)</f>
        <v>0</v>
      </c>
      <c r="H2048" s="135" t="n">
        <f aca="false">$G2048*'Analyse capacite'!$F$7</f>
        <v>0</v>
      </c>
      <c r="I2048" s="135" t="n">
        <f aca="false">$G2048*'Analyse capacite'!$C$7</f>
        <v>0</v>
      </c>
      <c r="J2048" s="135" t="n">
        <f aca="false">$G2048*'Analyse capacite'!$D$7</f>
        <v>0</v>
      </c>
      <c r="K2048" s="135" t="n">
        <f aca="false">$G2048*'Analyse capacite'!$E$7</f>
        <v>0</v>
      </c>
    </row>
    <row r="2049" customFormat="false" ht="15" hidden="false" customHeight="false" outlineLevel="0" collapsed="false">
      <c r="B2049" s="130" t="n">
        <v>2027</v>
      </c>
      <c r="C2049" s="131" t="s">
        <v>247</v>
      </c>
      <c r="D2049" s="132" t="n">
        <v>46534</v>
      </c>
      <c r="E2049" s="131" t="s">
        <v>56</v>
      </c>
      <c r="F2049" s="133" t="s">
        <v>19</v>
      </c>
      <c r="G2049" s="134" t="n">
        <f aca="false">LEN('Saisie programme'!$G$80)+SUMIFS('Vols additionnels'!$E$7:$E$66,'Vols additionnels'!$C$7:$C$66,$E2049,'Vols additionnels'!$D$7:$D$66,$F2049,'Vols additionnels'!$B$7:$B$66,$D2049)</f>
        <v>0</v>
      </c>
      <c r="H2049" s="135" t="n">
        <f aca="false">$G2049*'Analyse capacite'!$F$8</f>
        <v>0</v>
      </c>
      <c r="I2049" s="135" t="n">
        <f aca="false">$G2049*'Analyse capacite'!$C$8</f>
        <v>0</v>
      </c>
      <c r="J2049" s="135" t="n">
        <f aca="false">$G2049*'Analyse capacite'!$D$8</f>
        <v>0</v>
      </c>
      <c r="K2049" s="135" t="n">
        <f aca="false">$G2049*'Analyse capacite'!$E$8</f>
        <v>0</v>
      </c>
    </row>
    <row r="2050" customFormat="false" ht="15" hidden="false" customHeight="false" outlineLevel="0" collapsed="false">
      <c r="B2050" s="130" t="n">
        <v>2027</v>
      </c>
      <c r="C2050" s="131" t="s">
        <v>247</v>
      </c>
      <c r="D2050" s="132" t="n">
        <v>46534</v>
      </c>
      <c r="E2050" s="131" t="s">
        <v>56</v>
      </c>
      <c r="F2050" s="133" t="s">
        <v>24</v>
      </c>
      <c r="G2050" s="134" t="n">
        <f aca="false">LEN('Saisie programme'!$G$81)+SUMIFS('Vols additionnels'!$E$7:$E$66,'Vols additionnels'!$C$7:$C$66,$E2050,'Vols additionnels'!$D$7:$D$66,$F2050,'Vols additionnels'!$B$7:$B$66,$D2050)</f>
        <v>0</v>
      </c>
      <c r="H2050" s="135" t="n">
        <f aca="false">$G2050*'Analyse capacite'!$F$9</f>
        <v>0</v>
      </c>
      <c r="I2050" s="135" t="n">
        <f aca="false">$G2050*'Analyse capacite'!$C$9</f>
        <v>0</v>
      </c>
      <c r="J2050" s="135" t="n">
        <f aca="false">$G2050*'Analyse capacite'!$D$9</f>
        <v>0</v>
      </c>
      <c r="K2050" s="135" t="n">
        <f aca="false">$G2050*'Analyse capacite'!$E$9</f>
        <v>0</v>
      </c>
    </row>
    <row r="2051" customFormat="false" ht="15" hidden="false" customHeight="false" outlineLevel="0" collapsed="false">
      <c r="B2051" s="130" t="n">
        <v>2027</v>
      </c>
      <c r="C2051" s="131" t="s">
        <v>247</v>
      </c>
      <c r="D2051" s="132" t="n">
        <v>46534</v>
      </c>
      <c r="E2051" s="131" t="s">
        <v>59</v>
      </c>
      <c r="F2051" s="133" t="s">
        <v>11</v>
      </c>
      <c r="G2051" s="134" t="n">
        <f aca="false">LEN('Saisie programme'!$G$82)+SUMIFS('Vols additionnels'!$E$7:$E$66,'Vols additionnels'!$C$7:$C$66,$E2051,'Vols additionnels'!$D$7:$D$66,$F2051,'Vols additionnels'!$B$7:$B$66,$D2051)</f>
        <v>0</v>
      </c>
      <c r="H2051" s="135" t="n">
        <f aca="false">$G2051*'Analyse capacite'!$F$7</f>
        <v>0</v>
      </c>
      <c r="I2051" s="135" t="n">
        <f aca="false">$G2051*'Analyse capacite'!$C$7</f>
        <v>0</v>
      </c>
      <c r="J2051" s="135" t="n">
        <f aca="false">$G2051*'Analyse capacite'!$D$7</f>
        <v>0</v>
      </c>
      <c r="K2051" s="135" t="n">
        <f aca="false">$G2051*'Analyse capacite'!$E$7</f>
        <v>0</v>
      </c>
    </row>
    <row r="2052" customFormat="false" ht="15" hidden="false" customHeight="false" outlineLevel="0" collapsed="false">
      <c r="B2052" s="130" t="n">
        <v>2027</v>
      </c>
      <c r="C2052" s="131" t="s">
        <v>247</v>
      </c>
      <c r="D2052" s="132" t="n">
        <v>46534</v>
      </c>
      <c r="E2052" s="131" t="s">
        <v>59</v>
      </c>
      <c r="F2052" s="133" t="s">
        <v>19</v>
      </c>
      <c r="G2052" s="134" t="n">
        <f aca="false">LEN('Saisie programme'!$G$83)+SUMIFS('Vols additionnels'!$E$7:$E$66,'Vols additionnels'!$C$7:$C$66,$E2052,'Vols additionnels'!$D$7:$D$66,$F2052,'Vols additionnels'!$B$7:$B$66,$D2052)</f>
        <v>0</v>
      </c>
      <c r="H2052" s="135" t="n">
        <f aca="false">$G2052*'Analyse capacite'!$F$8</f>
        <v>0</v>
      </c>
      <c r="I2052" s="135" t="n">
        <f aca="false">$G2052*'Analyse capacite'!$C$8</f>
        <v>0</v>
      </c>
      <c r="J2052" s="135" t="n">
        <f aca="false">$G2052*'Analyse capacite'!$D$8</f>
        <v>0</v>
      </c>
      <c r="K2052" s="135" t="n">
        <f aca="false">$G2052*'Analyse capacite'!$E$8</f>
        <v>0</v>
      </c>
    </row>
    <row r="2053" customFormat="false" ht="15" hidden="false" customHeight="false" outlineLevel="0" collapsed="false">
      <c r="B2053" s="130" t="n">
        <v>2027</v>
      </c>
      <c r="C2053" s="131" t="s">
        <v>247</v>
      </c>
      <c r="D2053" s="132" t="n">
        <v>46534</v>
      </c>
      <c r="E2053" s="131" t="s">
        <v>59</v>
      </c>
      <c r="F2053" s="133" t="s">
        <v>24</v>
      </c>
      <c r="G2053" s="134" t="n">
        <f aca="false">LEN('Saisie programme'!$G$84)+SUMIFS('Vols additionnels'!$E$7:$E$66,'Vols additionnels'!$C$7:$C$66,$E2053,'Vols additionnels'!$D$7:$D$66,$F2053,'Vols additionnels'!$B$7:$B$66,$D2053)</f>
        <v>2</v>
      </c>
      <c r="H2053" s="135" t="n">
        <f aca="false">$G2053*'Analyse capacite'!$F$9</f>
        <v>348</v>
      </c>
      <c r="I2053" s="135" t="n">
        <f aca="false">$G2053*'Analyse capacite'!$C$9</f>
        <v>0</v>
      </c>
      <c r="J2053" s="135" t="n">
        <f aca="false">$G2053*'Analyse capacite'!$D$9</f>
        <v>24</v>
      </c>
      <c r="K2053" s="135" t="n">
        <f aca="false">$G2053*'Analyse capacite'!$E$9</f>
        <v>324</v>
      </c>
    </row>
    <row r="2054" customFormat="false" ht="15" hidden="false" customHeight="false" outlineLevel="0" collapsed="false">
      <c r="B2054" s="130" t="n">
        <v>2027</v>
      </c>
      <c r="C2054" s="131" t="s">
        <v>247</v>
      </c>
      <c r="D2054" s="132" t="n">
        <v>46534</v>
      </c>
      <c r="E2054" s="131" t="s">
        <v>62</v>
      </c>
      <c r="F2054" s="133" t="s">
        <v>11</v>
      </c>
      <c r="G2054" s="134" t="n">
        <f aca="false">LEN('Saisie programme'!$G$85)+SUMIFS('Vols additionnels'!$E$7:$E$66,'Vols additionnels'!$C$7:$C$66,$E2054,'Vols additionnels'!$D$7:$D$66,$F2054,'Vols additionnels'!$B$7:$B$66,$D2054)</f>
        <v>0</v>
      </c>
      <c r="H2054" s="135" t="n">
        <f aca="false">$G2054*'Analyse capacite'!$F$7</f>
        <v>0</v>
      </c>
      <c r="I2054" s="135" t="n">
        <f aca="false">$G2054*'Analyse capacite'!$C$7</f>
        <v>0</v>
      </c>
      <c r="J2054" s="135" t="n">
        <f aca="false">$G2054*'Analyse capacite'!$D$7</f>
        <v>0</v>
      </c>
      <c r="K2054" s="135" t="n">
        <f aca="false">$G2054*'Analyse capacite'!$E$7</f>
        <v>0</v>
      </c>
    </row>
    <row r="2055" customFormat="false" ht="15" hidden="false" customHeight="false" outlineLevel="0" collapsed="false">
      <c r="B2055" s="130" t="n">
        <v>2027</v>
      </c>
      <c r="C2055" s="131" t="s">
        <v>247</v>
      </c>
      <c r="D2055" s="132" t="n">
        <v>46534</v>
      </c>
      <c r="E2055" s="131" t="s">
        <v>62</v>
      </c>
      <c r="F2055" s="133" t="s">
        <v>19</v>
      </c>
      <c r="G2055" s="134" t="n">
        <f aca="false">LEN('Saisie programme'!$G$86)+SUMIFS('Vols additionnels'!$E$7:$E$66,'Vols additionnels'!$C$7:$C$66,$E2055,'Vols additionnels'!$D$7:$D$66,$F2055,'Vols additionnels'!$B$7:$B$66,$D2055)</f>
        <v>0</v>
      </c>
      <c r="H2055" s="135" t="n">
        <f aca="false">$G2055*'Analyse capacite'!$F$8</f>
        <v>0</v>
      </c>
      <c r="I2055" s="135" t="n">
        <f aca="false">$G2055*'Analyse capacite'!$C$8</f>
        <v>0</v>
      </c>
      <c r="J2055" s="135" t="n">
        <f aca="false">$G2055*'Analyse capacite'!$D$8</f>
        <v>0</v>
      </c>
      <c r="K2055" s="135" t="n">
        <f aca="false">$G2055*'Analyse capacite'!$E$8</f>
        <v>0</v>
      </c>
    </row>
    <row r="2056" customFormat="false" ht="15" hidden="false" customHeight="false" outlineLevel="0" collapsed="false">
      <c r="B2056" s="130" t="n">
        <v>2027</v>
      </c>
      <c r="C2056" s="131" t="s">
        <v>247</v>
      </c>
      <c r="D2056" s="132" t="n">
        <v>46534</v>
      </c>
      <c r="E2056" s="131" t="s">
        <v>62</v>
      </c>
      <c r="F2056" s="133" t="s">
        <v>24</v>
      </c>
      <c r="G2056" s="134" t="n">
        <f aca="false">LEN('Saisie programme'!$G$87)+SUMIFS('Vols additionnels'!$E$7:$E$66,'Vols additionnels'!$C$7:$C$66,$E2056,'Vols additionnels'!$D$7:$D$66,$F2056,'Vols additionnels'!$B$7:$B$66,$D2056)</f>
        <v>0</v>
      </c>
      <c r="H2056" s="135" t="n">
        <f aca="false">$G2056*'Analyse capacite'!$F$9</f>
        <v>0</v>
      </c>
      <c r="I2056" s="135" t="n">
        <f aca="false">$G2056*'Analyse capacite'!$C$9</f>
        <v>0</v>
      </c>
      <c r="J2056" s="135" t="n">
        <f aca="false">$G2056*'Analyse capacite'!$D$9</f>
        <v>0</v>
      </c>
      <c r="K2056" s="135" t="n">
        <f aca="false">$G2056*'Analyse capacite'!$E$9</f>
        <v>0</v>
      </c>
    </row>
    <row r="2057" customFormat="false" ht="15" hidden="false" customHeight="false" outlineLevel="0" collapsed="false">
      <c r="B2057" s="130" t="n">
        <v>2027</v>
      </c>
      <c r="C2057" s="131" t="s">
        <v>247</v>
      </c>
      <c r="D2057" s="132" t="n">
        <v>46535</v>
      </c>
      <c r="E2057" s="131" t="s">
        <v>12</v>
      </c>
      <c r="F2057" s="133" t="s">
        <v>11</v>
      </c>
      <c r="G2057" s="134" t="n">
        <f aca="false">LEN('Saisie programme'!$H$52)+SUMIFS('Vols additionnels'!$E$7:$E$66,'Vols additionnels'!$C$7:$C$66,$E2057,'Vols additionnels'!$D$7:$D$66,$F2057,'Vols additionnels'!$B$7:$B$66,$D2057)</f>
        <v>1</v>
      </c>
      <c r="H2057" s="135" t="n">
        <f aca="false">$G2057*'Analyse capacite'!$F$7</f>
        <v>438</v>
      </c>
      <c r="I2057" s="135" t="n">
        <f aca="false">$G2057*'Analyse capacite'!$C$7</f>
        <v>14</v>
      </c>
      <c r="J2057" s="135" t="n">
        <f aca="false">$G2057*'Analyse capacite'!$D$7</f>
        <v>40</v>
      </c>
      <c r="K2057" s="135" t="n">
        <f aca="false">$G2057*'Analyse capacite'!$E$7</f>
        <v>384</v>
      </c>
    </row>
    <row r="2058" customFormat="false" ht="15" hidden="false" customHeight="false" outlineLevel="0" collapsed="false">
      <c r="B2058" s="130" t="n">
        <v>2027</v>
      </c>
      <c r="C2058" s="131" t="s">
        <v>247</v>
      </c>
      <c r="D2058" s="132" t="n">
        <v>46535</v>
      </c>
      <c r="E2058" s="131" t="s">
        <v>12</v>
      </c>
      <c r="F2058" s="133" t="s">
        <v>19</v>
      </c>
      <c r="G2058" s="134" t="n">
        <f aca="false">LEN('Saisie programme'!$H$53)+SUMIFS('Vols additionnels'!$E$7:$E$66,'Vols additionnels'!$C$7:$C$66,$E2058,'Vols additionnels'!$D$7:$D$66,$F2058,'Vols additionnels'!$B$7:$B$66,$D2058)</f>
        <v>1</v>
      </c>
      <c r="H2058" s="135" t="n">
        <f aca="false">$G2058*'Analyse capacite'!$F$8</f>
        <v>262</v>
      </c>
      <c r="I2058" s="135" t="n">
        <f aca="false">$G2058*'Analyse capacite'!$C$8</f>
        <v>18</v>
      </c>
      <c r="J2058" s="135" t="n">
        <f aca="false">$G2058*'Analyse capacite'!$D$8</f>
        <v>0</v>
      </c>
      <c r="K2058" s="135" t="n">
        <f aca="false">$G2058*'Analyse capacite'!$E$8</f>
        <v>244</v>
      </c>
    </row>
    <row r="2059" customFormat="false" ht="15" hidden="false" customHeight="false" outlineLevel="0" collapsed="false">
      <c r="B2059" s="130" t="n">
        <v>2027</v>
      </c>
      <c r="C2059" s="131" t="s">
        <v>247</v>
      </c>
      <c r="D2059" s="132" t="n">
        <v>46535</v>
      </c>
      <c r="E2059" s="131" t="s">
        <v>12</v>
      </c>
      <c r="F2059" s="133" t="s">
        <v>24</v>
      </c>
      <c r="G2059" s="134" t="n">
        <f aca="false">LEN('Saisie programme'!$H$54)+SUMIFS('Vols additionnels'!$E$7:$E$66,'Vols additionnels'!$C$7:$C$66,$E2059,'Vols additionnels'!$D$7:$D$66,$F2059,'Vols additionnels'!$B$7:$B$66,$D2059)</f>
        <v>0</v>
      </c>
      <c r="H2059" s="135" t="n">
        <f aca="false">$G2059*'Analyse capacite'!$F$9</f>
        <v>0</v>
      </c>
      <c r="I2059" s="135" t="n">
        <f aca="false">$G2059*'Analyse capacite'!$C$9</f>
        <v>0</v>
      </c>
      <c r="J2059" s="135" t="n">
        <f aca="false">$G2059*'Analyse capacite'!$D$9</f>
        <v>0</v>
      </c>
      <c r="K2059" s="135" t="n">
        <f aca="false">$G2059*'Analyse capacite'!$E$9</f>
        <v>0</v>
      </c>
    </row>
    <row r="2060" customFormat="false" ht="15" hidden="false" customHeight="false" outlineLevel="0" collapsed="false">
      <c r="B2060" s="130" t="n">
        <v>2027</v>
      </c>
      <c r="C2060" s="131" t="s">
        <v>247</v>
      </c>
      <c r="D2060" s="132" t="n">
        <v>46535</v>
      </c>
      <c r="E2060" s="131" t="s">
        <v>20</v>
      </c>
      <c r="F2060" s="133" t="s">
        <v>11</v>
      </c>
      <c r="G2060" s="134" t="n">
        <f aca="false">LEN('Saisie programme'!$H$55)+SUMIFS('Vols additionnels'!$E$7:$E$66,'Vols additionnels'!$C$7:$C$66,$E2060,'Vols additionnels'!$D$7:$D$66,$F2060,'Vols additionnels'!$B$7:$B$66,$D2060)</f>
        <v>0</v>
      </c>
      <c r="H2060" s="135" t="n">
        <f aca="false">$G2060*'Analyse capacite'!$F$7</f>
        <v>0</v>
      </c>
      <c r="I2060" s="135" t="n">
        <f aca="false">$G2060*'Analyse capacite'!$C$7</f>
        <v>0</v>
      </c>
      <c r="J2060" s="135" t="n">
        <f aca="false">$G2060*'Analyse capacite'!$D$7</f>
        <v>0</v>
      </c>
      <c r="K2060" s="135" t="n">
        <f aca="false">$G2060*'Analyse capacite'!$E$7</f>
        <v>0</v>
      </c>
    </row>
    <row r="2061" customFormat="false" ht="15" hidden="false" customHeight="false" outlineLevel="0" collapsed="false">
      <c r="B2061" s="130" t="n">
        <v>2027</v>
      </c>
      <c r="C2061" s="131" t="s">
        <v>247</v>
      </c>
      <c r="D2061" s="132" t="n">
        <v>46535</v>
      </c>
      <c r="E2061" s="131" t="s">
        <v>20</v>
      </c>
      <c r="F2061" s="133" t="s">
        <v>19</v>
      </c>
      <c r="G2061" s="134" t="n">
        <f aca="false">LEN('Saisie programme'!$H$56)+SUMIFS('Vols additionnels'!$E$7:$E$66,'Vols additionnels'!$C$7:$C$66,$E2061,'Vols additionnels'!$D$7:$D$66,$F2061,'Vols additionnels'!$B$7:$B$66,$D2061)</f>
        <v>1</v>
      </c>
      <c r="H2061" s="135" t="n">
        <f aca="false">$G2061*'Analyse capacite'!$F$8</f>
        <v>262</v>
      </c>
      <c r="I2061" s="135" t="n">
        <f aca="false">$G2061*'Analyse capacite'!$C$8</f>
        <v>18</v>
      </c>
      <c r="J2061" s="135" t="n">
        <f aca="false">$G2061*'Analyse capacite'!$D$8</f>
        <v>0</v>
      </c>
      <c r="K2061" s="135" t="n">
        <f aca="false">$G2061*'Analyse capacite'!$E$8</f>
        <v>244</v>
      </c>
    </row>
    <row r="2062" customFormat="false" ht="15" hidden="false" customHeight="false" outlineLevel="0" collapsed="false">
      <c r="B2062" s="130" t="n">
        <v>2027</v>
      </c>
      <c r="C2062" s="131" t="s">
        <v>247</v>
      </c>
      <c r="D2062" s="132" t="n">
        <v>46535</v>
      </c>
      <c r="E2062" s="131" t="s">
        <v>20</v>
      </c>
      <c r="F2062" s="133" t="s">
        <v>24</v>
      </c>
      <c r="G2062" s="134" t="n">
        <f aca="false">LEN('Saisie programme'!$H$57)+SUMIFS('Vols additionnels'!$E$7:$E$66,'Vols additionnels'!$C$7:$C$66,$E2062,'Vols additionnels'!$D$7:$D$66,$F2062,'Vols additionnels'!$B$7:$B$66,$D2062)</f>
        <v>0</v>
      </c>
      <c r="H2062" s="135" t="n">
        <f aca="false">$G2062*'Analyse capacite'!$F$9</f>
        <v>0</v>
      </c>
      <c r="I2062" s="135" t="n">
        <f aca="false">$G2062*'Analyse capacite'!$C$9</f>
        <v>0</v>
      </c>
      <c r="J2062" s="135" t="n">
        <f aca="false">$G2062*'Analyse capacite'!$D$9</f>
        <v>0</v>
      </c>
      <c r="K2062" s="135" t="n">
        <f aca="false">$G2062*'Analyse capacite'!$E$9</f>
        <v>0</v>
      </c>
    </row>
    <row r="2063" customFormat="false" ht="15" hidden="false" customHeight="false" outlineLevel="0" collapsed="false">
      <c r="B2063" s="130" t="n">
        <v>2027</v>
      </c>
      <c r="C2063" s="131" t="s">
        <v>247</v>
      </c>
      <c r="D2063" s="132" t="n">
        <v>46535</v>
      </c>
      <c r="E2063" s="131" t="s">
        <v>25</v>
      </c>
      <c r="F2063" s="133" t="s">
        <v>11</v>
      </c>
      <c r="G2063" s="134" t="n">
        <f aca="false">LEN('Saisie programme'!$H$58)+SUMIFS('Vols additionnels'!$E$7:$E$66,'Vols additionnels'!$C$7:$C$66,$E2063,'Vols additionnels'!$D$7:$D$66,$F2063,'Vols additionnels'!$B$7:$B$66,$D2063)</f>
        <v>0</v>
      </c>
      <c r="H2063" s="135" t="n">
        <f aca="false">$G2063*'Analyse capacite'!$F$7</f>
        <v>0</v>
      </c>
      <c r="I2063" s="135" t="n">
        <f aca="false">$G2063*'Analyse capacite'!$C$7</f>
        <v>0</v>
      </c>
      <c r="J2063" s="135" t="n">
        <f aca="false">$G2063*'Analyse capacite'!$D$7</f>
        <v>0</v>
      </c>
      <c r="K2063" s="135" t="n">
        <f aca="false">$G2063*'Analyse capacite'!$E$7</f>
        <v>0</v>
      </c>
    </row>
    <row r="2064" customFormat="false" ht="15" hidden="false" customHeight="false" outlineLevel="0" collapsed="false">
      <c r="B2064" s="130" t="n">
        <v>2027</v>
      </c>
      <c r="C2064" s="131" t="s">
        <v>247</v>
      </c>
      <c r="D2064" s="132" t="n">
        <v>46535</v>
      </c>
      <c r="E2064" s="131" t="s">
        <v>25</v>
      </c>
      <c r="F2064" s="133" t="s">
        <v>19</v>
      </c>
      <c r="G2064" s="134" t="n">
        <f aca="false">LEN('Saisie programme'!$H$59)+SUMIFS('Vols additionnels'!$E$7:$E$66,'Vols additionnels'!$C$7:$C$66,$E2064,'Vols additionnels'!$D$7:$D$66,$F2064,'Vols additionnels'!$B$7:$B$66,$D2064)</f>
        <v>0</v>
      </c>
      <c r="H2064" s="135" t="n">
        <f aca="false">$G2064*'Analyse capacite'!$F$8</f>
        <v>0</v>
      </c>
      <c r="I2064" s="135" t="n">
        <f aca="false">$G2064*'Analyse capacite'!$C$8</f>
        <v>0</v>
      </c>
      <c r="J2064" s="135" t="n">
        <f aca="false">$G2064*'Analyse capacite'!$D$8</f>
        <v>0</v>
      </c>
      <c r="K2064" s="135" t="n">
        <f aca="false">$G2064*'Analyse capacite'!$E$8</f>
        <v>0</v>
      </c>
    </row>
    <row r="2065" customFormat="false" ht="15" hidden="false" customHeight="false" outlineLevel="0" collapsed="false">
      <c r="B2065" s="130" t="n">
        <v>2027</v>
      </c>
      <c r="C2065" s="131" t="s">
        <v>247</v>
      </c>
      <c r="D2065" s="132" t="n">
        <v>46535</v>
      </c>
      <c r="E2065" s="131" t="s">
        <v>25</v>
      </c>
      <c r="F2065" s="133" t="s">
        <v>24</v>
      </c>
      <c r="G2065" s="134" t="n">
        <f aca="false">LEN('Saisie programme'!$H$60)+SUMIFS('Vols additionnels'!$E$7:$E$66,'Vols additionnels'!$C$7:$C$66,$E2065,'Vols additionnels'!$D$7:$D$66,$F2065,'Vols additionnels'!$B$7:$B$66,$D2065)</f>
        <v>0</v>
      </c>
      <c r="H2065" s="135" t="n">
        <f aca="false">$G2065*'Analyse capacite'!$F$9</f>
        <v>0</v>
      </c>
      <c r="I2065" s="135" t="n">
        <f aca="false">$G2065*'Analyse capacite'!$C$9</f>
        <v>0</v>
      </c>
      <c r="J2065" s="135" t="n">
        <f aca="false">$G2065*'Analyse capacite'!$D$9</f>
        <v>0</v>
      </c>
      <c r="K2065" s="135" t="n">
        <f aca="false">$G2065*'Analyse capacite'!$E$9</f>
        <v>0</v>
      </c>
    </row>
    <row r="2066" customFormat="false" ht="15" hidden="false" customHeight="false" outlineLevel="0" collapsed="false">
      <c r="B2066" s="130" t="n">
        <v>2027</v>
      </c>
      <c r="C2066" s="131" t="s">
        <v>247</v>
      </c>
      <c r="D2066" s="132" t="n">
        <v>46535</v>
      </c>
      <c r="E2066" s="131" t="s">
        <v>36</v>
      </c>
      <c r="F2066" s="133" t="s">
        <v>11</v>
      </c>
      <c r="G2066" s="134" t="n">
        <f aca="false">LEN('Saisie programme'!$H$61)+SUMIFS('Vols additionnels'!$E$7:$E$66,'Vols additionnels'!$C$7:$C$66,$E2066,'Vols additionnels'!$D$7:$D$66,$F2066,'Vols additionnels'!$B$7:$B$66,$D2066)</f>
        <v>0</v>
      </c>
      <c r="H2066" s="135" t="n">
        <f aca="false">$G2066*'Analyse capacite'!$F$7</f>
        <v>0</v>
      </c>
      <c r="I2066" s="135" t="n">
        <f aca="false">$G2066*'Analyse capacite'!$C$7</f>
        <v>0</v>
      </c>
      <c r="J2066" s="135" t="n">
        <f aca="false">$G2066*'Analyse capacite'!$D$7</f>
        <v>0</v>
      </c>
      <c r="K2066" s="135" t="n">
        <f aca="false">$G2066*'Analyse capacite'!$E$7</f>
        <v>0</v>
      </c>
    </row>
    <row r="2067" customFormat="false" ht="15" hidden="false" customHeight="false" outlineLevel="0" collapsed="false">
      <c r="B2067" s="130" t="n">
        <v>2027</v>
      </c>
      <c r="C2067" s="131" t="s">
        <v>247</v>
      </c>
      <c r="D2067" s="132" t="n">
        <v>46535</v>
      </c>
      <c r="E2067" s="131" t="s">
        <v>36</v>
      </c>
      <c r="F2067" s="133" t="s">
        <v>19</v>
      </c>
      <c r="G2067" s="134" t="n">
        <f aca="false">LEN('Saisie programme'!$H$62)+SUMIFS('Vols additionnels'!$E$7:$E$66,'Vols additionnels'!$C$7:$C$66,$E2067,'Vols additionnels'!$D$7:$D$66,$F2067,'Vols additionnels'!$B$7:$B$66,$D2067)</f>
        <v>0</v>
      </c>
      <c r="H2067" s="135" t="n">
        <f aca="false">$G2067*'Analyse capacite'!$F$8</f>
        <v>0</v>
      </c>
      <c r="I2067" s="135" t="n">
        <f aca="false">$G2067*'Analyse capacite'!$C$8</f>
        <v>0</v>
      </c>
      <c r="J2067" s="135" t="n">
        <f aca="false">$G2067*'Analyse capacite'!$D$8</f>
        <v>0</v>
      </c>
      <c r="K2067" s="135" t="n">
        <f aca="false">$G2067*'Analyse capacite'!$E$8</f>
        <v>0</v>
      </c>
    </row>
    <row r="2068" customFormat="false" ht="15" hidden="false" customHeight="false" outlineLevel="0" collapsed="false">
      <c r="B2068" s="130" t="n">
        <v>2027</v>
      </c>
      <c r="C2068" s="131" t="s">
        <v>247</v>
      </c>
      <c r="D2068" s="132" t="n">
        <v>46535</v>
      </c>
      <c r="E2068" s="131" t="s">
        <v>36</v>
      </c>
      <c r="F2068" s="133" t="s">
        <v>24</v>
      </c>
      <c r="G2068" s="134" t="n">
        <f aca="false">LEN('Saisie programme'!$H$63)+SUMIFS('Vols additionnels'!$E$7:$E$66,'Vols additionnels'!$C$7:$C$66,$E2068,'Vols additionnels'!$D$7:$D$66,$F2068,'Vols additionnels'!$B$7:$B$66,$D2068)</f>
        <v>1</v>
      </c>
      <c r="H2068" s="135" t="n">
        <f aca="false">$G2068*'Analyse capacite'!$F$9</f>
        <v>174</v>
      </c>
      <c r="I2068" s="135" t="n">
        <f aca="false">$G2068*'Analyse capacite'!$C$9</f>
        <v>0</v>
      </c>
      <c r="J2068" s="135" t="n">
        <f aca="false">$G2068*'Analyse capacite'!$D$9</f>
        <v>12</v>
      </c>
      <c r="K2068" s="135" t="n">
        <f aca="false">$G2068*'Analyse capacite'!$E$9</f>
        <v>162</v>
      </c>
    </row>
    <row r="2069" customFormat="false" ht="15" hidden="false" customHeight="false" outlineLevel="0" collapsed="false">
      <c r="B2069" s="130" t="n">
        <v>2027</v>
      </c>
      <c r="C2069" s="131" t="s">
        <v>247</v>
      </c>
      <c r="D2069" s="132" t="n">
        <v>46535</v>
      </c>
      <c r="E2069" s="131" t="s">
        <v>40</v>
      </c>
      <c r="F2069" s="133" t="s">
        <v>11</v>
      </c>
      <c r="G2069" s="134" t="n">
        <f aca="false">LEN('Saisie programme'!$H$64)+SUMIFS('Vols additionnels'!$E$7:$E$66,'Vols additionnels'!$C$7:$C$66,$E2069,'Vols additionnels'!$D$7:$D$66,$F2069,'Vols additionnels'!$B$7:$B$66,$D2069)</f>
        <v>0</v>
      </c>
      <c r="H2069" s="135" t="n">
        <f aca="false">$G2069*'Analyse capacite'!$F$7</f>
        <v>0</v>
      </c>
      <c r="I2069" s="135" t="n">
        <f aca="false">$G2069*'Analyse capacite'!$C$7</f>
        <v>0</v>
      </c>
      <c r="J2069" s="135" t="n">
        <f aca="false">$G2069*'Analyse capacite'!$D$7</f>
        <v>0</v>
      </c>
      <c r="K2069" s="135" t="n">
        <f aca="false">$G2069*'Analyse capacite'!$E$7</f>
        <v>0</v>
      </c>
    </row>
    <row r="2070" customFormat="false" ht="15" hidden="false" customHeight="false" outlineLevel="0" collapsed="false">
      <c r="B2070" s="130" t="n">
        <v>2027</v>
      </c>
      <c r="C2070" s="131" t="s">
        <v>247</v>
      </c>
      <c r="D2070" s="132" t="n">
        <v>46535</v>
      </c>
      <c r="E2070" s="131" t="s">
        <v>40</v>
      </c>
      <c r="F2070" s="133" t="s">
        <v>19</v>
      </c>
      <c r="G2070" s="134" t="n">
        <f aca="false">LEN('Saisie programme'!$H$65)+SUMIFS('Vols additionnels'!$E$7:$E$66,'Vols additionnels'!$C$7:$C$66,$E2070,'Vols additionnels'!$D$7:$D$66,$F2070,'Vols additionnels'!$B$7:$B$66,$D2070)</f>
        <v>0</v>
      </c>
      <c r="H2070" s="135" t="n">
        <f aca="false">$G2070*'Analyse capacite'!$F$8</f>
        <v>0</v>
      </c>
      <c r="I2070" s="135" t="n">
        <f aca="false">$G2070*'Analyse capacite'!$C$8</f>
        <v>0</v>
      </c>
      <c r="J2070" s="135" t="n">
        <f aca="false">$G2070*'Analyse capacite'!$D$8</f>
        <v>0</v>
      </c>
      <c r="K2070" s="135" t="n">
        <f aca="false">$G2070*'Analyse capacite'!$E$8</f>
        <v>0</v>
      </c>
    </row>
    <row r="2071" customFormat="false" ht="15" hidden="false" customHeight="false" outlineLevel="0" collapsed="false">
      <c r="B2071" s="130" t="n">
        <v>2027</v>
      </c>
      <c r="C2071" s="131" t="s">
        <v>247</v>
      </c>
      <c r="D2071" s="132" t="n">
        <v>46535</v>
      </c>
      <c r="E2071" s="131" t="s">
        <v>40</v>
      </c>
      <c r="F2071" s="133" t="s">
        <v>24</v>
      </c>
      <c r="G2071" s="134" t="n">
        <f aca="false">LEN('Saisie programme'!$H$66)+SUMIFS('Vols additionnels'!$E$7:$E$66,'Vols additionnels'!$C$7:$C$66,$E2071,'Vols additionnels'!$D$7:$D$66,$F2071,'Vols additionnels'!$B$7:$B$66,$D2071)</f>
        <v>1</v>
      </c>
      <c r="H2071" s="135" t="n">
        <f aca="false">$G2071*'Analyse capacite'!$F$9</f>
        <v>174</v>
      </c>
      <c r="I2071" s="135" t="n">
        <f aca="false">$G2071*'Analyse capacite'!$C$9</f>
        <v>0</v>
      </c>
      <c r="J2071" s="135" t="n">
        <f aca="false">$G2071*'Analyse capacite'!$D$9</f>
        <v>12</v>
      </c>
      <c r="K2071" s="135" t="n">
        <f aca="false">$G2071*'Analyse capacite'!$E$9</f>
        <v>162</v>
      </c>
    </row>
    <row r="2072" customFormat="false" ht="15" hidden="false" customHeight="false" outlineLevel="0" collapsed="false">
      <c r="B2072" s="130" t="n">
        <v>2027</v>
      </c>
      <c r="C2072" s="131" t="s">
        <v>247</v>
      </c>
      <c r="D2072" s="132" t="n">
        <v>46535</v>
      </c>
      <c r="E2072" s="131" t="s">
        <v>14</v>
      </c>
      <c r="F2072" s="133" t="s">
        <v>11</v>
      </c>
      <c r="G2072" s="134" t="n">
        <f aca="false">LEN('Saisie programme'!$H$67)+SUMIFS('Vols additionnels'!$E$7:$E$66,'Vols additionnels'!$C$7:$C$66,$E2072,'Vols additionnels'!$D$7:$D$66,$F2072,'Vols additionnels'!$B$7:$B$66,$D2072)</f>
        <v>0</v>
      </c>
      <c r="H2072" s="135" t="n">
        <f aca="false">$G2072*'Analyse capacite'!$F$7</f>
        <v>0</v>
      </c>
      <c r="I2072" s="135" t="n">
        <f aca="false">$G2072*'Analyse capacite'!$C$7</f>
        <v>0</v>
      </c>
      <c r="J2072" s="135" t="n">
        <f aca="false">$G2072*'Analyse capacite'!$D$7</f>
        <v>0</v>
      </c>
      <c r="K2072" s="135" t="n">
        <f aca="false">$G2072*'Analyse capacite'!$E$7</f>
        <v>0</v>
      </c>
    </row>
    <row r="2073" customFormat="false" ht="15" hidden="false" customHeight="false" outlineLevel="0" collapsed="false">
      <c r="B2073" s="130" t="n">
        <v>2027</v>
      </c>
      <c r="C2073" s="131" t="s">
        <v>247</v>
      </c>
      <c r="D2073" s="132" t="n">
        <v>46535</v>
      </c>
      <c r="E2073" s="131" t="s">
        <v>14</v>
      </c>
      <c r="F2073" s="133" t="s">
        <v>19</v>
      </c>
      <c r="G2073" s="134" t="n">
        <f aca="false">LEN('Saisie programme'!$H$68)+SUMIFS('Vols additionnels'!$E$7:$E$66,'Vols additionnels'!$C$7:$C$66,$E2073,'Vols additionnels'!$D$7:$D$66,$F2073,'Vols additionnels'!$B$7:$B$66,$D2073)</f>
        <v>0</v>
      </c>
      <c r="H2073" s="135" t="n">
        <f aca="false">$G2073*'Analyse capacite'!$F$8</f>
        <v>0</v>
      </c>
      <c r="I2073" s="135" t="n">
        <f aca="false">$G2073*'Analyse capacite'!$C$8</f>
        <v>0</v>
      </c>
      <c r="J2073" s="135" t="n">
        <f aca="false">$G2073*'Analyse capacite'!$D$8</f>
        <v>0</v>
      </c>
      <c r="K2073" s="135" t="n">
        <f aca="false">$G2073*'Analyse capacite'!$E$8</f>
        <v>0</v>
      </c>
    </row>
    <row r="2074" customFormat="false" ht="15" hidden="false" customHeight="false" outlineLevel="0" collapsed="false">
      <c r="B2074" s="130" t="n">
        <v>2027</v>
      </c>
      <c r="C2074" s="131" t="s">
        <v>247</v>
      </c>
      <c r="D2074" s="132" t="n">
        <v>46535</v>
      </c>
      <c r="E2074" s="131" t="s">
        <v>14</v>
      </c>
      <c r="F2074" s="133" t="s">
        <v>24</v>
      </c>
      <c r="G2074" s="134" t="n">
        <f aca="false">LEN('Saisie programme'!$H$69)+SUMIFS('Vols additionnels'!$E$7:$E$66,'Vols additionnels'!$C$7:$C$66,$E2074,'Vols additionnels'!$D$7:$D$66,$F2074,'Vols additionnels'!$B$7:$B$66,$D2074)</f>
        <v>0</v>
      </c>
      <c r="H2074" s="135" t="n">
        <f aca="false">$G2074*'Analyse capacite'!$F$9</f>
        <v>0</v>
      </c>
      <c r="I2074" s="135" t="n">
        <f aca="false">$G2074*'Analyse capacite'!$C$9</f>
        <v>0</v>
      </c>
      <c r="J2074" s="135" t="n">
        <f aca="false">$G2074*'Analyse capacite'!$D$9</f>
        <v>0</v>
      </c>
      <c r="K2074" s="135" t="n">
        <f aca="false">$G2074*'Analyse capacite'!$E$9</f>
        <v>0</v>
      </c>
    </row>
    <row r="2075" customFormat="false" ht="15" hidden="false" customHeight="false" outlineLevel="0" collapsed="false">
      <c r="B2075" s="130" t="n">
        <v>2027</v>
      </c>
      <c r="C2075" s="131" t="s">
        <v>247</v>
      </c>
      <c r="D2075" s="132" t="n">
        <v>46535</v>
      </c>
      <c r="E2075" s="131" t="s">
        <v>46</v>
      </c>
      <c r="F2075" s="133" t="s">
        <v>11</v>
      </c>
      <c r="G2075" s="134" t="n">
        <f aca="false">LEN('Saisie programme'!$H$70)+SUMIFS('Vols additionnels'!$E$7:$E$66,'Vols additionnels'!$C$7:$C$66,$E2075,'Vols additionnels'!$D$7:$D$66,$F2075,'Vols additionnels'!$B$7:$B$66,$D2075)</f>
        <v>0</v>
      </c>
      <c r="H2075" s="135" t="n">
        <f aca="false">$G2075*'Analyse capacite'!$F$7</f>
        <v>0</v>
      </c>
      <c r="I2075" s="135" t="n">
        <f aca="false">$G2075*'Analyse capacite'!$C$7</f>
        <v>0</v>
      </c>
      <c r="J2075" s="135" t="n">
        <f aca="false">$G2075*'Analyse capacite'!$D$7</f>
        <v>0</v>
      </c>
      <c r="K2075" s="135" t="n">
        <f aca="false">$G2075*'Analyse capacite'!$E$7</f>
        <v>0</v>
      </c>
    </row>
    <row r="2076" customFormat="false" ht="15" hidden="false" customHeight="false" outlineLevel="0" collapsed="false">
      <c r="B2076" s="130" t="n">
        <v>2027</v>
      </c>
      <c r="C2076" s="131" t="s">
        <v>247</v>
      </c>
      <c r="D2076" s="132" t="n">
        <v>46535</v>
      </c>
      <c r="E2076" s="131" t="s">
        <v>46</v>
      </c>
      <c r="F2076" s="133" t="s">
        <v>19</v>
      </c>
      <c r="G2076" s="134" t="n">
        <f aca="false">LEN('Saisie programme'!$H$71)+SUMIFS('Vols additionnels'!$E$7:$E$66,'Vols additionnels'!$C$7:$C$66,$E2076,'Vols additionnels'!$D$7:$D$66,$F2076,'Vols additionnels'!$B$7:$B$66,$D2076)</f>
        <v>0</v>
      </c>
      <c r="H2076" s="135" t="n">
        <f aca="false">$G2076*'Analyse capacite'!$F$8</f>
        <v>0</v>
      </c>
      <c r="I2076" s="135" t="n">
        <f aca="false">$G2076*'Analyse capacite'!$C$8</f>
        <v>0</v>
      </c>
      <c r="J2076" s="135" t="n">
        <f aca="false">$G2076*'Analyse capacite'!$D$8</f>
        <v>0</v>
      </c>
      <c r="K2076" s="135" t="n">
        <f aca="false">$G2076*'Analyse capacite'!$E$8</f>
        <v>0</v>
      </c>
    </row>
    <row r="2077" customFormat="false" ht="15" hidden="false" customHeight="false" outlineLevel="0" collapsed="false">
      <c r="B2077" s="130" t="n">
        <v>2027</v>
      </c>
      <c r="C2077" s="131" t="s">
        <v>247</v>
      </c>
      <c r="D2077" s="132" t="n">
        <v>46535</v>
      </c>
      <c r="E2077" s="131" t="s">
        <v>46</v>
      </c>
      <c r="F2077" s="133" t="s">
        <v>24</v>
      </c>
      <c r="G2077" s="134" t="n">
        <f aca="false">LEN('Saisie programme'!$H$72)+SUMIFS('Vols additionnels'!$E$7:$E$66,'Vols additionnels'!$C$7:$C$66,$E2077,'Vols additionnels'!$D$7:$D$66,$F2077,'Vols additionnels'!$B$7:$B$66,$D2077)</f>
        <v>0</v>
      </c>
      <c r="H2077" s="135" t="n">
        <f aca="false">$G2077*'Analyse capacite'!$F$9</f>
        <v>0</v>
      </c>
      <c r="I2077" s="135" t="n">
        <f aca="false">$G2077*'Analyse capacite'!$C$9</f>
        <v>0</v>
      </c>
      <c r="J2077" s="135" t="n">
        <f aca="false">$G2077*'Analyse capacite'!$D$9</f>
        <v>0</v>
      </c>
      <c r="K2077" s="135" t="n">
        <f aca="false">$G2077*'Analyse capacite'!$E$9</f>
        <v>0</v>
      </c>
    </row>
    <row r="2078" customFormat="false" ht="15" hidden="false" customHeight="false" outlineLevel="0" collapsed="false">
      <c r="B2078" s="130" t="n">
        <v>2027</v>
      </c>
      <c r="C2078" s="131" t="s">
        <v>247</v>
      </c>
      <c r="D2078" s="132" t="n">
        <v>46535</v>
      </c>
      <c r="E2078" s="131" t="s">
        <v>49</v>
      </c>
      <c r="F2078" s="133" t="s">
        <v>11</v>
      </c>
      <c r="G2078" s="134" t="n">
        <f aca="false">LEN('Saisie programme'!$H$73)+SUMIFS('Vols additionnels'!$E$7:$E$66,'Vols additionnels'!$C$7:$C$66,$E2078,'Vols additionnels'!$D$7:$D$66,$F2078,'Vols additionnels'!$B$7:$B$66,$D2078)</f>
        <v>0</v>
      </c>
      <c r="H2078" s="135" t="n">
        <f aca="false">$G2078*'Analyse capacite'!$F$7</f>
        <v>0</v>
      </c>
      <c r="I2078" s="135" t="n">
        <f aca="false">$G2078*'Analyse capacite'!$C$7</f>
        <v>0</v>
      </c>
      <c r="J2078" s="135" t="n">
        <f aca="false">$G2078*'Analyse capacite'!$D$7</f>
        <v>0</v>
      </c>
      <c r="K2078" s="135" t="n">
        <f aca="false">$G2078*'Analyse capacite'!$E$7</f>
        <v>0</v>
      </c>
    </row>
    <row r="2079" customFormat="false" ht="15" hidden="false" customHeight="false" outlineLevel="0" collapsed="false">
      <c r="B2079" s="130" t="n">
        <v>2027</v>
      </c>
      <c r="C2079" s="131" t="s">
        <v>247</v>
      </c>
      <c r="D2079" s="132" t="n">
        <v>46535</v>
      </c>
      <c r="E2079" s="131" t="s">
        <v>49</v>
      </c>
      <c r="F2079" s="133" t="s">
        <v>19</v>
      </c>
      <c r="G2079" s="134" t="n">
        <f aca="false">LEN('Saisie programme'!$H$74)+SUMIFS('Vols additionnels'!$E$7:$E$66,'Vols additionnels'!$C$7:$C$66,$E2079,'Vols additionnels'!$D$7:$D$66,$F2079,'Vols additionnels'!$B$7:$B$66,$D2079)</f>
        <v>1</v>
      </c>
      <c r="H2079" s="135" t="n">
        <f aca="false">$G2079*'Analyse capacite'!$F$8</f>
        <v>262</v>
      </c>
      <c r="I2079" s="135" t="n">
        <f aca="false">$G2079*'Analyse capacite'!$C$8</f>
        <v>18</v>
      </c>
      <c r="J2079" s="135" t="n">
        <f aca="false">$G2079*'Analyse capacite'!$D$8</f>
        <v>0</v>
      </c>
      <c r="K2079" s="135" t="n">
        <f aca="false">$G2079*'Analyse capacite'!$E$8</f>
        <v>244</v>
      </c>
    </row>
    <row r="2080" customFormat="false" ht="15" hidden="false" customHeight="false" outlineLevel="0" collapsed="false">
      <c r="B2080" s="130" t="n">
        <v>2027</v>
      </c>
      <c r="C2080" s="131" t="s">
        <v>247</v>
      </c>
      <c r="D2080" s="132" t="n">
        <v>46535</v>
      </c>
      <c r="E2080" s="131" t="s">
        <v>49</v>
      </c>
      <c r="F2080" s="133" t="s">
        <v>24</v>
      </c>
      <c r="G2080" s="134" t="n">
        <f aca="false">LEN('Saisie programme'!$H$75)+SUMIFS('Vols additionnels'!$E$7:$E$66,'Vols additionnels'!$C$7:$C$66,$E2080,'Vols additionnels'!$D$7:$D$66,$F2080,'Vols additionnels'!$B$7:$B$66,$D2080)</f>
        <v>0</v>
      </c>
      <c r="H2080" s="135" t="n">
        <f aca="false">$G2080*'Analyse capacite'!$F$9</f>
        <v>0</v>
      </c>
      <c r="I2080" s="135" t="n">
        <f aca="false">$G2080*'Analyse capacite'!$C$9</f>
        <v>0</v>
      </c>
      <c r="J2080" s="135" t="n">
        <f aca="false">$G2080*'Analyse capacite'!$D$9</f>
        <v>0</v>
      </c>
      <c r="K2080" s="135" t="n">
        <f aca="false">$G2080*'Analyse capacite'!$E$9</f>
        <v>0</v>
      </c>
    </row>
    <row r="2081" customFormat="false" ht="15" hidden="false" customHeight="false" outlineLevel="0" collapsed="false">
      <c r="B2081" s="130" t="n">
        <v>2027</v>
      </c>
      <c r="C2081" s="131" t="s">
        <v>247</v>
      </c>
      <c r="D2081" s="132" t="n">
        <v>46535</v>
      </c>
      <c r="E2081" s="131" t="s">
        <v>53</v>
      </c>
      <c r="F2081" s="133" t="s">
        <v>11</v>
      </c>
      <c r="G2081" s="134" t="n">
        <f aca="false">LEN('Saisie programme'!$H$76)+SUMIFS('Vols additionnels'!$E$7:$E$66,'Vols additionnels'!$C$7:$C$66,$E2081,'Vols additionnels'!$D$7:$D$66,$F2081,'Vols additionnels'!$B$7:$B$66,$D2081)</f>
        <v>0</v>
      </c>
      <c r="H2081" s="135" t="n">
        <f aca="false">$G2081*'Analyse capacite'!$F$7</f>
        <v>0</v>
      </c>
      <c r="I2081" s="135" t="n">
        <f aca="false">$G2081*'Analyse capacite'!$C$7</f>
        <v>0</v>
      </c>
      <c r="J2081" s="135" t="n">
        <f aca="false">$G2081*'Analyse capacite'!$D$7</f>
        <v>0</v>
      </c>
      <c r="K2081" s="135" t="n">
        <f aca="false">$G2081*'Analyse capacite'!$E$7</f>
        <v>0</v>
      </c>
    </row>
    <row r="2082" customFormat="false" ht="15" hidden="false" customHeight="false" outlineLevel="0" collapsed="false">
      <c r="B2082" s="130" t="n">
        <v>2027</v>
      </c>
      <c r="C2082" s="131" t="s">
        <v>247</v>
      </c>
      <c r="D2082" s="132" t="n">
        <v>46535</v>
      </c>
      <c r="E2082" s="131" t="s">
        <v>53</v>
      </c>
      <c r="F2082" s="133" t="s">
        <v>19</v>
      </c>
      <c r="G2082" s="134" t="n">
        <f aca="false">LEN('Saisie programme'!$H$77)+SUMIFS('Vols additionnels'!$E$7:$E$66,'Vols additionnels'!$C$7:$C$66,$E2082,'Vols additionnels'!$D$7:$D$66,$F2082,'Vols additionnels'!$B$7:$B$66,$D2082)</f>
        <v>0</v>
      </c>
      <c r="H2082" s="135" t="n">
        <f aca="false">$G2082*'Analyse capacite'!$F$8</f>
        <v>0</v>
      </c>
      <c r="I2082" s="135" t="n">
        <f aca="false">$G2082*'Analyse capacite'!$C$8</f>
        <v>0</v>
      </c>
      <c r="J2082" s="135" t="n">
        <f aca="false">$G2082*'Analyse capacite'!$D$8</f>
        <v>0</v>
      </c>
      <c r="K2082" s="135" t="n">
        <f aca="false">$G2082*'Analyse capacite'!$E$8</f>
        <v>0</v>
      </c>
    </row>
    <row r="2083" customFormat="false" ht="15" hidden="false" customHeight="false" outlineLevel="0" collapsed="false">
      <c r="B2083" s="130" t="n">
        <v>2027</v>
      </c>
      <c r="C2083" s="131" t="s">
        <v>247</v>
      </c>
      <c r="D2083" s="132" t="n">
        <v>46535</v>
      </c>
      <c r="E2083" s="131" t="s">
        <v>53</v>
      </c>
      <c r="F2083" s="133" t="s">
        <v>24</v>
      </c>
      <c r="G2083" s="134" t="n">
        <f aca="false">LEN('Saisie programme'!$H$78)+SUMIFS('Vols additionnels'!$E$7:$E$66,'Vols additionnels'!$C$7:$C$66,$E2083,'Vols additionnels'!$D$7:$D$66,$F2083,'Vols additionnels'!$B$7:$B$66,$D2083)</f>
        <v>0</v>
      </c>
      <c r="H2083" s="135" t="n">
        <f aca="false">$G2083*'Analyse capacite'!$F$9</f>
        <v>0</v>
      </c>
      <c r="I2083" s="135" t="n">
        <f aca="false">$G2083*'Analyse capacite'!$C$9</f>
        <v>0</v>
      </c>
      <c r="J2083" s="135" t="n">
        <f aca="false">$G2083*'Analyse capacite'!$D$9</f>
        <v>0</v>
      </c>
      <c r="K2083" s="135" t="n">
        <f aca="false">$G2083*'Analyse capacite'!$E$9</f>
        <v>0</v>
      </c>
    </row>
    <row r="2084" customFormat="false" ht="15" hidden="false" customHeight="false" outlineLevel="0" collapsed="false">
      <c r="B2084" s="130" t="n">
        <v>2027</v>
      </c>
      <c r="C2084" s="131" t="s">
        <v>247</v>
      </c>
      <c r="D2084" s="132" t="n">
        <v>46535</v>
      </c>
      <c r="E2084" s="131" t="s">
        <v>56</v>
      </c>
      <c r="F2084" s="133" t="s">
        <v>11</v>
      </c>
      <c r="G2084" s="134" t="n">
        <f aca="false">LEN('Saisie programme'!$H$79)+SUMIFS('Vols additionnels'!$E$7:$E$66,'Vols additionnels'!$C$7:$C$66,$E2084,'Vols additionnels'!$D$7:$D$66,$F2084,'Vols additionnels'!$B$7:$B$66,$D2084)</f>
        <v>0</v>
      </c>
      <c r="H2084" s="135" t="n">
        <f aca="false">$G2084*'Analyse capacite'!$F$7</f>
        <v>0</v>
      </c>
      <c r="I2084" s="135" t="n">
        <f aca="false">$G2084*'Analyse capacite'!$C$7</f>
        <v>0</v>
      </c>
      <c r="J2084" s="135" t="n">
        <f aca="false">$G2084*'Analyse capacite'!$D$7</f>
        <v>0</v>
      </c>
      <c r="K2084" s="135" t="n">
        <f aca="false">$G2084*'Analyse capacite'!$E$7</f>
        <v>0</v>
      </c>
    </row>
    <row r="2085" customFormat="false" ht="15" hidden="false" customHeight="false" outlineLevel="0" collapsed="false">
      <c r="B2085" s="130" t="n">
        <v>2027</v>
      </c>
      <c r="C2085" s="131" t="s">
        <v>247</v>
      </c>
      <c r="D2085" s="132" t="n">
        <v>46535</v>
      </c>
      <c r="E2085" s="131" t="s">
        <v>56</v>
      </c>
      <c r="F2085" s="133" t="s">
        <v>19</v>
      </c>
      <c r="G2085" s="134" t="n">
        <f aca="false">LEN('Saisie programme'!$H$80)+SUMIFS('Vols additionnels'!$E$7:$E$66,'Vols additionnels'!$C$7:$C$66,$E2085,'Vols additionnels'!$D$7:$D$66,$F2085,'Vols additionnels'!$B$7:$B$66,$D2085)</f>
        <v>0</v>
      </c>
      <c r="H2085" s="135" t="n">
        <f aca="false">$G2085*'Analyse capacite'!$F$8</f>
        <v>0</v>
      </c>
      <c r="I2085" s="135" t="n">
        <f aca="false">$G2085*'Analyse capacite'!$C$8</f>
        <v>0</v>
      </c>
      <c r="J2085" s="135" t="n">
        <f aca="false">$G2085*'Analyse capacite'!$D$8</f>
        <v>0</v>
      </c>
      <c r="K2085" s="135" t="n">
        <f aca="false">$G2085*'Analyse capacite'!$E$8</f>
        <v>0</v>
      </c>
    </row>
    <row r="2086" customFormat="false" ht="15" hidden="false" customHeight="false" outlineLevel="0" collapsed="false">
      <c r="B2086" s="130" t="n">
        <v>2027</v>
      </c>
      <c r="C2086" s="131" t="s">
        <v>247</v>
      </c>
      <c r="D2086" s="132" t="n">
        <v>46535</v>
      </c>
      <c r="E2086" s="131" t="s">
        <v>56</v>
      </c>
      <c r="F2086" s="133" t="s">
        <v>24</v>
      </c>
      <c r="G2086" s="134" t="n">
        <f aca="false">LEN('Saisie programme'!$H$81)+SUMIFS('Vols additionnels'!$E$7:$E$66,'Vols additionnels'!$C$7:$C$66,$E2086,'Vols additionnels'!$D$7:$D$66,$F2086,'Vols additionnels'!$B$7:$B$66,$D2086)</f>
        <v>0</v>
      </c>
      <c r="H2086" s="135" t="n">
        <f aca="false">$G2086*'Analyse capacite'!$F$9</f>
        <v>0</v>
      </c>
      <c r="I2086" s="135" t="n">
        <f aca="false">$G2086*'Analyse capacite'!$C$9</f>
        <v>0</v>
      </c>
      <c r="J2086" s="135" t="n">
        <f aca="false">$G2086*'Analyse capacite'!$D$9</f>
        <v>0</v>
      </c>
      <c r="K2086" s="135" t="n">
        <f aca="false">$G2086*'Analyse capacite'!$E$9</f>
        <v>0</v>
      </c>
    </row>
    <row r="2087" customFormat="false" ht="15" hidden="false" customHeight="false" outlineLevel="0" collapsed="false">
      <c r="B2087" s="130" t="n">
        <v>2027</v>
      </c>
      <c r="C2087" s="131" t="s">
        <v>247</v>
      </c>
      <c r="D2087" s="132" t="n">
        <v>46535</v>
      </c>
      <c r="E2087" s="131" t="s">
        <v>59</v>
      </c>
      <c r="F2087" s="133" t="s">
        <v>11</v>
      </c>
      <c r="G2087" s="134" t="n">
        <f aca="false">LEN('Saisie programme'!$H$82)+SUMIFS('Vols additionnels'!$E$7:$E$66,'Vols additionnels'!$C$7:$C$66,$E2087,'Vols additionnels'!$D$7:$D$66,$F2087,'Vols additionnels'!$B$7:$B$66,$D2087)</f>
        <v>0</v>
      </c>
      <c r="H2087" s="135" t="n">
        <f aca="false">$G2087*'Analyse capacite'!$F$7</f>
        <v>0</v>
      </c>
      <c r="I2087" s="135" t="n">
        <f aca="false">$G2087*'Analyse capacite'!$C$7</f>
        <v>0</v>
      </c>
      <c r="J2087" s="135" t="n">
        <f aca="false">$G2087*'Analyse capacite'!$D$7</f>
        <v>0</v>
      </c>
      <c r="K2087" s="135" t="n">
        <f aca="false">$G2087*'Analyse capacite'!$E$7</f>
        <v>0</v>
      </c>
    </row>
    <row r="2088" customFormat="false" ht="15" hidden="false" customHeight="false" outlineLevel="0" collapsed="false">
      <c r="B2088" s="130" t="n">
        <v>2027</v>
      </c>
      <c r="C2088" s="131" t="s">
        <v>247</v>
      </c>
      <c r="D2088" s="132" t="n">
        <v>46535</v>
      </c>
      <c r="E2088" s="131" t="s">
        <v>59</v>
      </c>
      <c r="F2088" s="133" t="s">
        <v>19</v>
      </c>
      <c r="G2088" s="134" t="n">
        <f aca="false">LEN('Saisie programme'!$H$83)+SUMIFS('Vols additionnels'!$E$7:$E$66,'Vols additionnels'!$C$7:$C$66,$E2088,'Vols additionnels'!$D$7:$D$66,$F2088,'Vols additionnels'!$B$7:$B$66,$D2088)</f>
        <v>0</v>
      </c>
      <c r="H2088" s="135" t="n">
        <f aca="false">$G2088*'Analyse capacite'!$F$8</f>
        <v>0</v>
      </c>
      <c r="I2088" s="135" t="n">
        <f aca="false">$G2088*'Analyse capacite'!$C$8</f>
        <v>0</v>
      </c>
      <c r="J2088" s="135" t="n">
        <f aca="false">$G2088*'Analyse capacite'!$D$8</f>
        <v>0</v>
      </c>
      <c r="K2088" s="135" t="n">
        <f aca="false">$G2088*'Analyse capacite'!$E$8</f>
        <v>0</v>
      </c>
    </row>
    <row r="2089" customFormat="false" ht="15" hidden="false" customHeight="false" outlineLevel="0" collapsed="false">
      <c r="B2089" s="130" t="n">
        <v>2027</v>
      </c>
      <c r="C2089" s="131" t="s">
        <v>247</v>
      </c>
      <c r="D2089" s="132" t="n">
        <v>46535</v>
      </c>
      <c r="E2089" s="131" t="s">
        <v>59</v>
      </c>
      <c r="F2089" s="133" t="s">
        <v>24</v>
      </c>
      <c r="G2089" s="134" t="n">
        <f aca="false">LEN('Saisie programme'!$H$84)+SUMIFS('Vols additionnels'!$E$7:$E$66,'Vols additionnels'!$C$7:$C$66,$E2089,'Vols additionnels'!$D$7:$D$66,$F2089,'Vols additionnels'!$B$7:$B$66,$D2089)</f>
        <v>1</v>
      </c>
      <c r="H2089" s="135" t="n">
        <f aca="false">$G2089*'Analyse capacite'!$F$9</f>
        <v>174</v>
      </c>
      <c r="I2089" s="135" t="n">
        <f aca="false">$G2089*'Analyse capacite'!$C$9</f>
        <v>0</v>
      </c>
      <c r="J2089" s="135" t="n">
        <f aca="false">$G2089*'Analyse capacite'!$D$9</f>
        <v>12</v>
      </c>
      <c r="K2089" s="135" t="n">
        <f aca="false">$G2089*'Analyse capacite'!$E$9</f>
        <v>162</v>
      </c>
    </row>
    <row r="2090" customFormat="false" ht="15" hidden="false" customHeight="false" outlineLevel="0" collapsed="false">
      <c r="B2090" s="130" t="n">
        <v>2027</v>
      </c>
      <c r="C2090" s="131" t="s">
        <v>247</v>
      </c>
      <c r="D2090" s="132" t="n">
        <v>46535</v>
      </c>
      <c r="E2090" s="131" t="s">
        <v>62</v>
      </c>
      <c r="F2090" s="133" t="s">
        <v>11</v>
      </c>
      <c r="G2090" s="134" t="n">
        <f aca="false">LEN('Saisie programme'!$H$85)+SUMIFS('Vols additionnels'!$E$7:$E$66,'Vols additionnels'!$C$7:$C$66,$E2090,'Vols additionnels'!$D$7:$D$66,$F2090,'Vols additionnels'!$B$7:$B$66,$D2090)</f>
        <v>0</v>
      </c>
      <c r="H2090" s="135" t="n">
        <f aca="false">$G2090*'Analyse capacite'!$F$7</f>
        <v>0</v>
      </c>
      <c r="I2090" s="135" t="n">
        <f aca="false">$G2090*'Analyse capacite'!$C$7</f>
        <v>0</v>
      </c>
      <c r="J2090" s="135" t="n">
        <f aca="false">$G2090*'Analyse capacite'!$D$7</f>
        <v>0</v>
      </c>
      <c r="K2090" s="135" t="n">
        <f aca="false">$G2090*'Analyse capacite'!$E$7</f>
        <v>0</v>
      </c>
    </row>
    <row r="2091" customFormat="false" ht="15" hidden="false" customHeight="false" outlineLevel="0" collapsed="false">
      <c r="B2091" s="130" t="n">
        <v>2027</v>
      </c>
      <c r="C2091" s="131" t="s">
        <v>247</v>
      </c>
      <c r="D2091" s="132" t="n">
        <v>46535</v>
      </c>
      <c r="E2091" s="131" t="s">
        <v>62</v>
      </c>
      <c r="F2091" s="133" t="s">
        <v>19</v>
      </c>
      <c r="G2091" s="134" t="n">
        <f aca="false">LEN('Saisie programme'!$H$86)+SUMIFS('Vols additionnels'!$E$7:$E$66,'Vols additionnels'!$C$7:$C$66,$E2091,'Vols additionnels'!$D$7:$D$66,$F2091,'Vols additionnels'!$B$7:$B$66,$D2091)</f>
        <v>0</v>
      </c>
      <c r="H2091" s="135" t="n">
        <f aca="false">$G2091*'Analyse capacite'!$F$8</f>
        <v>0</v>
      </c>
      <c r="I2091" s="135" t="n">
        <f aca="false">$G2091*'Analyse capacite'!$C$8</f>
        <v>0</v>
      </c>
      <c r="J2091" s="135" t="n">
        <f aca="false">$G2091*'Analyse capacite'!$D$8</f>
        <v>0</v>
      </c>
      <c r="K2091" s="135" t="n">
        <f aca="false">$G2091*'Analyse capacite'!$E$8</f>
        <v>0</v>
      </c>
    </row>
    <row r="2092" customFormat="false" ht="15" hidden="false" customHeight="false" outlineLevel="0" collapsed="false">
      <c r="B2092" s="130" t="n">
        <v>2027</v>
      </c>
      <c r="C2092" s="131" t="s">
        <v>247</v>
      </c>
      <c r="D2092" s="132" t="n">
        <v>46535</v>
      </c>
      <c r="E2092" s="131" t="s">
        <v>62</v>
      </c>
      <c r="F2092" s="133" t="s">
        <v>24</v>
      </c>
      <c r="G2092" s="134" t="n">
        <f aca="false">LEN('Saisie programme'!$H$87)+SUMIFS('Vols additionnels'!$E$7:$E$66,'Vols additionnels'!$C$7:$C$66,$E2092,'Vols additionnels'!$D$7:$D$66,$F2092,'Vols additionnels'!$B$7:$B$66,$D2092)</f>
        <v>0</v>
      </c>
      <c r="H2092" s="135" t="n">
        <f aca="false">$G2092*'Analyse capacite'!$F$9</f>
        <v>0</v>
      </c>
      <c r="I2092" s="135" t="n">
        <f aca="false">$G2092*'Analyse capacite'!$C$9</f>
        <v>0</v>
      </c>
      <c r="J2092" s="135" t="n">
        <f aca="false">$G2092*'Analyse capacite'!$D$9</f>
        <v>0</v>
      </c>
      <c r="K2092" s="135" t="n">
        <f aca="false">$G2092*'Analyse capacite'!$E$9</f>
        <v>0</v>
      </c>
    </row>
    <row r="2093" customFormat="false" ht="15" hidden="false" customHeight="false" outlineLevel="0" collapsed="false">
      <c r="B2093" s="130" t="n">
        <v>2027</v>
      </c>
      <c r="C2093" s="131" t="s">
        <v>247</v>
      </c>
      <c r="D2093" s="132" t="n">
        <v>46536</v>
      </c>
      <c r="E2093" s="131" t="s">
        <v>12</v>
      </c>
      <c r="F2093" s="133" t="s">
        <v>11</v>
      </c>
      <c r="G2093" s="134" t="n">
        <f aca="false">LEN('Saisie programme'!$I$52)+SUMIFS('Vols additionnels'!$E$7:$E$66,'Vols additionnels'!$C$7:$C$66,$E2093,'Vols additionnels'!$D$7:$D$66,$F2093,'Vols additionnels'!$B$7:$B$66,$D2093)</f>
        <v>1</v>
      </c>
      <c r="H2093" s="135" t="n">
        <f aca="false">$G2093*'Analyse capacite'!$F$7</f>
        <v>438</v>
      </c>
      <c r="I2093" s="135" t="n">
        <f aca="false">$G2093*'Analyse capacite'!$C$7</f>
        <v>14</v>
      </c>
      <c r="J2093" s="135" t="n">
        <f aca="false">$G2093*'Analyse capacite'!$D$7</f>
        <v>40</v>
      </c>
      <c r="K2093" s="135" t="n">
        <f aca="false">$G2093*'Analyse capacite'!$E$7</f>
        <v>384</v>
      </c>
    </row>
    <row r="2094" customFormat="false" ht="15" hidden="false" customHeight="false" outlineLevel="0" collapsed="false">
      <c r="B2094" s="130" t="n">
        <v>2027</v>
      </c>
      <c r="C2094" s="131" t="s">
        <v>247</v>
      </c>
      <c r="D2094" s="132" t="n">
        <v>46536</v>
      </c>
      <c r="E2094" s="131" t="s">
        <v>12</v>
      </c>
      <c r="F2094" s="133" t="s">
        <v>19</v>
      </c>
      <c r="G2094" s="134" t="n">
        <f aca="false">LEN('Saisie programme'!$I$53)+SUMIFS('Vols additionnels'!$E$7:$E$66,'Vols additionnels'!$C$7:$C$66,$E2094,'Vols additionnels'!$D$7:$D$66,$F2094,'Vols additionnels'!$B$7:$B$66,$D2094)</f>
        <v>0</v>
      </c>
      <c r="H2094" s="135" t="n">
        <f aca="false">$G2094*'Analyse capacite'!$F$8</f>
        <v>0</v>
      </c>
      <c r="I2094" s="135" t="n">
        <f aca="false">$G2094*'Analyse capacite'!$C$8</f>
        <v>0</v>
      </c>
      <c r="J2094" s="135" t="n">
        <f aca="false">$G2094*'Analyse capacite'!$D$8</f>
        <v>0</v>
      </c>
      <c r="K2094" s="135" t="n">
        <f aca="false">$G2094*'Analyse capacite'!$E$8</f>
        <v>0</v>
      </c>
    </row>
    <row r="2095" customFormat="false" ht="15" hidden="false" customHeight="false" outlineLevel="0" collapsed="false">
      <c r="B2095" s="130" t="n">
        <v>2027</v>
      </c>
      <c r="C2095" s="131" t="s">
        <v>247</v>
      </c>
      <c r="D2095" s="132" t="n">
        <v>46536</v>
      </c>
      <c r="E2095" s="131" t="s">
        <v>12</v>
      </c>
      <c r="F2095" s="133" t="s">
        <v>24</v>
      </c>
      <c r="G2095" s="134" t="n">
        <f aca="false">LEN('Saisie programme'!$I$54)+SUMIFS('Vols additionnels'!$E$7:$E$66,'Vols additionnels'!$C$7:$C$66,$E2095,'Vols additionnels'!$D$7:$D$66,$F2095,'Vols additionnels'!$B$7:$B$66,$D2095)</f>
        <v>0</v>
      </c>
      <c r="H2095" s="135" t="n">
        <f aca="false">$G2095*'Analyse capacite'!$F$9</f>
        <v>0</v>
      </c>
      <c r="I2095" s="135" t="n">
        <f aca="false">$G2095*'Analyse capacite'!$C$9</f>
        <v>0</v>
      </c>
      <c r="J2095" s="135" t="n">
        <f aca="false">$G2095*'Analyse capacite'!$D$9</f>
        <v>0</v>
      </c>
      <c r="K2095" s="135" t="n">
        <f aca="false">$G2095*'Analyse capacite'!$E$9</f>
        <v>0</v>
      </c>
    </row>
    <row r="2096" customFormat="false" ht="15" hidden="false" customHeight="false" outlineLevel="0" collapsed="false">
      <c r="B2096" s="130" t="n">
        <v>2027</v>
      </c>
      <c r="C2096" s="131" t="s">
        <v>247</v>
      </c>
      <c r="D2096" s="132" t="n">
        <v>46536</v>
      </c>
      <c r="E2096" s="131" t="s">
        <v>20</v>
      </c>
      <c r="F2096" s="133" t="s">
        <v>11</v>
      </c>
      <c r="G2096" s="134" t="n">
        <f aca="false">LEN('Saisie programme'!$I$55)+SUMIFS('Vols additionnels'!$E$7:$E$66,'Vols additionnels'!$C$7:$C$66,$E2096,'Vols additionnels'!$D$7:$D$66,$F2096,'Vols additionnels'!$B$7:$B$66,$D2096)</f>
        <v>0</v>
      </c>
      <c r="H2096" s="135" t="n">
        <f aca="false">$G2096*'Analyse capacite'!$F$7</f>
        <v>0</v>
      </c>
      <c r="I2096" s="135" t="n">
        <f aca="false">$G2096*'Analyse capacite'!$C$7</f>
        <v>0</v>
      </c>
      <c r="J2096" s="135" t="n">
        <f aca="false">$G2096*'Analyse capacite'!$D$7</f>
        <v>0</v>
      </c>
      <c r="K2096" s="135" t="n">
        <f aca="false">$G2096*'Analyse capacite'!$E$7</f>
        <v>0</v>
      </c>
    </row>
    <row r="2097" customFormat="false" ht="15" hidden="false" customHeight="false" outlineLevel="0" collapsed="false">
      <c r="B2097" s="130" t="n">
        <v>2027</v>
      </c>
      <c r="C2097" s="131" t="s">
        <v>247</v>
      </c>
      <c r="D2097" s="132" t="n">
        <v>46536</v>
      </c>
      <c r="E2097" s="131" t="s">
        <v>20</v>
      </c>
      <c r="F2097" s="133" t="s">
        <v>19</v>
      </c>
      <c r="G2097" s="134" t="n">
        <f aca="false">LEN('Saisie programme'!$I$56)+SUMIFS('Vols additionnels'!$E$7:$E$66,'Vols additionnels'!$C$7:$C$66,$E2097,'Vols additionnels'!$D$7:$D$66,$F2097,'Vols additionnels'!$B$7:$B$66,$D2097)</f>
        <v>0</v>
      </c>
      <c r="H2097" s="135" t="n">
        <f aca="false">$G2097*'Analyse capacite'!$F$8</f>
        <v>0</v>
      </c>
      <c r="I2097" s="135" t="n">
        <f aca="false">$G2097*'Analyse capacite'!$C$8</f>
        <v>0</v>
      </c>
      <c r="J2097" s="135" t="n">
        <f aca="false">$G2097*'Analyse capacite'!$D$8</f>
        <v>0</v>
      </c>
      <c r="K2097" s="135" t="n">
        <f aca="false">$G2097*'Analyse capacite'!$E$8</f>
        <v>0</v>
      </c>
    </row>
    <row r="2098" customFormat="false" ht="15" hidden="false" customHeight="false" outlineLevel="0" collapsed="false">
      <c r="B2098" s="130" t="n">
        <v>2027</v>
      </c>
      <c r="C2098" s="131" t="s">
        <v>247</v>
      </c>
      <c r="D2098" s="132" t="n">
        <v>46536</v>
      </c>
      <c r="E2098" s="131" t="s">
        <v>20</v>
      </c>
      <c r="F2098" s="133" t="s">
        <v>24</v>
      </c>
      <c r="G2098" s="134" t="n">
        <f aca="false">LEN('Saisie programme'!$I$57)+SUMIFS('Vols additionnels'!$E$7:$E$66,'Vols additionnels'!$C$7:$C$66,$E2098,'Vols additionnels'!$D$7:$D$66,$F2098,'Vols additionnels'!$B$7:$B$66,$D2098)</f>
        <v>0</v>
      </c>
      <c r="H2098" s="135" t="n">
        <f aca="false">$G2098*'Analyse capacite'!$F$9</f>
        <v>0</v>
      </c>
      <c r="I2098" s="135" t="n">
        <f aca="false">$G2098*'Analyse capacite'!$C$9</f>
        <v>0</v>
      </c>
      <c r="J2098" s="135" t="n">
        <f aca="false">$G2098*'Analyse capacite'!$D$9</f>
        <v>0</v>
      </c>
      <c r="K2098" s="135" t="n">
        <f aca="false">$G2098*'Analyse capacite'!$E$9</f>
        <v>0</v>
      </c>
    </row>
    <row r="2099" customFormat="false" ht="15" hidden="false" customHeight="false" outlineLevel="0" collapsed="false">
      <c r="B2099" s="130" t="n">
        <v>2027</v>
      </c>
      <c r="C2099" s="131" t="s">
        <v>247</v>
      </c>
      <c r="D2099" s="132" t="n">
        <v>46536</v>
      </c>
      <c r="E2099" s="131" t="s">
        <v>25</v>
      </c>
      <c r="F2099" s="133" t="s">
        <v>11</v>
      </c>
      <c r="G2099" s="134" t="n">
        <f aca="false">LEN('Saisie programme'!$I$58)+SUMIFS('Vols additionnels'!$E$7:$E$66,'Vols additionnels'!$C$7:$C$66,$E2099,'Vols additionnels'!$D$7:$D$66,$F2099,'Vols additionnels'!$B$7:$B$66,$D2099)</f>
        <v>0</v>
      </c>
      <c r="H2099" s="135" t="n">
        <f aca="false">$G2099*'Analyse capacite'!$F$7</f>
        <v>0</v>
      </c>
      <c r="I2099" s="135" t="n">
        <f aca="false">$G2099*'Analyse capacite'!$C$7</f>
        <v>0</v>
      </c>
      <c r="J2099" s="135" t="n">
        <f aca="false">$G2099*'Analyse capacite'!$D$7</f>
        <v>0</v>
      </c>
      <c r="K2099" s="135" t="n">
        <f aca="false">$G2099*'Analyse capacite'!$E$7</f>
        <v>0</v>
      </c>
    </row>
    <row r="2100" customFormat="false" ht="15" hidden="false" customHeight="false" outlineLevel="0" collapsed="false">
      <c r="B2100" s="130" t="n">
        <v>2027</v>
      </c>
      <c r="C2100" s="131" t="s">
        <v>247</v>
      </c>
      <c r="D2100" s="132" t="n">
        <v>46536</v>
      </c>
      <c r="E2100" s="131" t="s">
        <v>25</v>
      </c>
      <c r="F2100" s="133" t="s">
        <v>19</v>
      </c>
      <c r="G2100" s="134" t="n">
        <f aca="false">LEN('Saisie programme'!$I$59)+SUMIFS('Vols additionnels'!$E$7:$E$66,'Vols additionnels'!$C$7:$C$66,$E2100,'Vols additionnels'!$D$7:$D$66,$F2100,'Vols additionnels'!$B$7:$B$66,$D2100)</f>
        <v>1</v>
      </c>
      <c r="H2100" s="135" t="n">
        <f aca="false">$G2100*'Analyse capacite'!$F$8</f>
        <v>262</v>
      </c>
      <c r="I2100" s="135" t="n">
        <f aca="false">$G2100*'Analyse capacite'!$C$8</f>
        <v>18</v>
      </c>
      <c r="J2100" s="135" t="n">
        <f aca="false">$G2100*'Analyse capacite'!$D$8</f>
        <v>0</v>
      </c>
      <c r="K2100" s="135" t="n">
        <f aca="false">$G2100*'Analyse capacite'!$E$8</f>
        <v>244</v>
      </c>
    </row>
    <row r="2101" customFormat="false" ht="15" hidden="false" customHeight="false" outlineLevel="0" collapsed="false">
      <c r="B2101" s="130" t="n">
        <v>2027</v>
      </c>
      <c r="C2101" s="131" t="s">
        <v>247</v>
      </c>
      <c r="D2101" s="132" t="n">
        <v>46536</v>
      </c>
      <c r="E2101" s="131" t="s">
        <v>25</v>
      </c>
      <c r="F2101" s="133" t="s">
        <v>24</v>
      </c>
      <c r="G2101" s="134" t="n">
        <f aca="false">LEN('Saisie programme'!$I$60)+SUMIFS('Vols additionnels'!$E$7:$E$66,'Vols additionnels'!$C$7:$C$66,$E2101,'Vols additionnels'!$D$7:$D$66,$F2101,'Vols additionnels'!$B$7:$B$66,$D2101)</f>
        <v>0</v>
      </c>
      <c r="H2101" s="135" t="n">
        <f aca="false">$G2101*'Analyse capacite'!$F$9</f>
        <v>0</v>
      </c>
      <c r="I2101" s="135" t="n">
        <f aca="false">$G2101*'Analyse capacite'!$C$9</f>
        <v>0</v>
      </c>
      <c r="J2101" s="135" t="n">
        <f aca="false">$G2101*'Analyse capacite'!$D$9</f>
        <v>0</v>
      </c>
      <c r="K2101" s="135" t="n">
        <f aca="false">$G2101*'Analyse capacite'!$E$9</f>
        <v>0</v>
      </c>
    </row>
    <row r="2102" customFormat="false" ht="15" hidden="false" customHeight="false" outlineLevel="0" collapsed="false">
      <c r="B2102" s="130" t="n">
        <v>2027</v>
      </c>
      <c r="C2102" s="131" t="s">
        <v>247</v>
      </c>
      <c r="D2102" s="132" t="n">
        <v>46536</v>
      </c>
      <c r="E2102" s="131" t="s">
        <v>36</v>
      </c>
      <c r="F2102" s="133" t="s">
        <v>11</v>
      </c>
      <c r="G2102" s="134" t="n">
        <f aca="false">LEN('Saisie programme'!$I$61)+SUMIFS('Vols additionnels'!$E$7:$E$66,'Vols additionnels'!$C$7:$C$66,$E2102,'Vols additionnels'!$D$7:$D$66,$F2102,'Vols additionnels'!$B$7:$B$66,$D2102)</f>
        <v>0</v>
      </c>
      <c r="H2102" s="135" t="n">
        <f aca="false">$G2102*'Analyse capacite'!$F$7</f>
        <v>0</v>
      </c>
      <c r="I2102" s="135" t="n">
        <f aca="false">$G2102*'Analyse capacite'!$C$7</f>
        <v>0</v>
      </c>
      <c r="J2102" s="135" t="n">
        <f aca="false">$G2102*'Analyse capacite'!$D$7</f>
        <v>0</v>
      </c>
      <c r="K2102" s="135" t="n">
        <f aca="false">$G2102*'Analyse capacite'!$E$7</f>
        <v>0</v>
      </c>
    </row>
    <row r="2103" customFormat="false" ht="15" hidden="false" customHeight="false" outlineLevel="0" collapsed="false">
      <c r="B2103" s="130" t="n">
        <v>2027</v>
      </c>
      <c r="C2103" s="131" t="s">
        <v>247</v>
      </c>
      <c r="D2103" s="132" t="n">
        <v>46536</v>
      </c>
      <c r="E2103" s="131" t="s">
        <v>36</v>
      </c>
      <c r="F2103" s="133" t="s">
        <v>19</v>
      </c>
      <c r="G2103" s="134" t="n">
        <f aca="false">LEN('Saisie programme'!$I$62)+SUMIFS('Vols additionnels'!$E$7:$E$66,'Vols additionnels'!$C$7:$C$66,$E2103,'Vols additionnels'!$D$7:$D$66,$F2103,'Vols additionnels'!$B$7:$B$66,$D2103)</f>
        <v>0</v>
      </c>
      <c r="H2103" s="135" t="n">
        <f aca="false">$G2103*'Analyse capacite'!$F$8</f>
        <v>0</v>
      </c>
      <c r="I2103" s="135" t="n">
        <f aca="false">$G2103*'Analyse capacite'!$C$8</f>
        <v>0</v>
      </c>
      <c r="J2103" s="135" t="n">
        <f aca="false">$G2103*'Analyse capacite'!$D$8</f>
        <v>0</v>
      </c>
      <c r="K2103" s="135" t="n">
        <f aca="false">$G2103*'Analyse capacite'!$E$8</f>
        <v>0</v>
      </c>
    </row>
    <row r="2104" customFormat="false" ht="15" hidden="false" customHeight="false" outlineLevel="0" collapsed="false">
      <c r="B2104" s="130" t="n">
        <v>2027</v>
      </c>
      <c r="C2104" s="131" t="s">
        <v>247</v>
      </c>
      <c r="D2104" s="132" t="n">
        <v>46536</v>
      </c>
      <c r="E2104" s="131" t="s">
        <v>36</v>
      </c>
      <c r="F2104" s="133" t="s">
        <v>24</v>
      </c>
      <c r="G2104" s="134" t="n">
        <f aca="false">LEN('Saisie programme'!$I$63)+SUMIFS('Vols additionnels'!$E$7:$E$66,'Vols additionnels'!$C$7:$C$66,$E2104,'Vols additionnels'!$D$7:$D$66,$F2104,'Vols additionnels'!$B$7:$B$66,$D2104)</f>
        <v>0</v>
      </c>
      <c r="H2104" s="135" t="n">
        <f aca="false">$G2104*'Analyse capacite'!$F$9</f>
        <v>0</v>
      </c>
      <c r="I2104" s="135" t="n">
        <f aca="false">$G2104*'Analyse capacite'!$C$9</f>
        <v>0</v>
      </c>
      <c r="J2104" s="135" t="n">
        <f aca="false">$G2104*'Analyse capacite'!$D$9</f>
        <v>0</v>
      </c>
      <c r="K2104" s="135" t="n">
        <f aca="false">$G2104*'Analyse capacite'!$E$9</f>
        <v>0</v>
      </c>
    </row>
    <row r="2105" customFormat="false" ht="15" hidden="false" customHeight="false" outlineLevel="0" collapsed="false">
      <c r="B2105" s="130" t="n">
        <v>2027</v>
      </c>
      <c r="C2105" s="131" t="s">
        <v>247</v>
      </c>
      <c r="D2105" s="132" t="n">
        <v>46536</v>
      </c>
      <c r="E2105" s="131" t="s">
        <v>40</v>
      </c>
      <c r="F2105" s="133" t="s">
        <v>11</v>
      </c>
      <c r="G2105" s="134" t="n">
        <f aca="false">LEN('Saisie programme'!$I$64)+SUMIFS('Vols additionnels'!$E$7:$E$66,'Vols additionnels'!$C$7:$C$66,$E2105,'Vols additionnels'!$D$7:$D$66,$F2105,'Vols additionnels'!$B$7:$B$66,$D2105)</f>
        <v>0</v>
      </c>
      <c r="H2105" s="135" t="n">
        <f aca="false">$G2105*'Analyse capacite'!$F$7</f>
        <v>0</v>
      </c>
      <c r="I2105" s="135" t="n">
        <f aca="false">$G2105*'Analyse capacite'!$C$7</f>
        <v>0</v>
      </c>
      <c r="J2105" s="135" t="n">
        <f aca="false">$G2105*'Analyse capacite'!$D$7</f>
        <v>0</v>
      </c>
      <c r="K2105" s="135" t="n">
        <f aca="false">$G2105*'Analyse capacite'!$E$7</f>
        <v>0</v>
      </c>
    </row>
    <row r="2106" customFormat="false" ht="15" hidden="false" customHeight="false" outlineLevel="0" collapsed="false">
      <c r="B2106" s="130" t="n">
        <v>2027</v>
      </c>
      <c r="C2106" s="131" t="s">
        <v>247</v>
      </c>
      <c r="D2106" s="132" t="n">
        <v>46536</v>
      </c>
      <c r="E2106" s="131" t="s">
        <v>40</v>
      </c>
      <c r="F2106" s="133" t="s">
        <v>19</v>
      </c>
      <c r="G2106" s="134" t="n">
        <f aca="false">LEN('Saisie programme'!$I$65)+SUMIFS('Vols additionnels'!$E$7:$E$66,'Vols additionnels'!$C$7:$C$66,$E2106,'Vols additionnels'!$D$7:$D$66,$F2106,'Vols additionnels'!$B$7:$B$66,$D2106)</f>
        <v>0</v>
      </c>
      <c r="H2106" s="135" t="n">
        <f aca="false">$G2106*'Analyse capacite'!$F$8</f>
        <v>0</v>
      </c>
      <c r="I2106" s="135" t="n">
        <f aca="false">$G2106*'Analyse capacite'!$C$8</f>
        <v>0</v>
      </c>
      <c r="J2106" s="135" t="n">
        <f aca="false">$G2106*'Analyse capacite'!$D$8</f>
        <v>0</v>
      </c>
      <c r="K2106" s="135" t="n">
        <f aca="false">$G2106*'Analyse capacite'!$E$8</f>
        <v>0</v>
      </c>
    </row>
    <row r="2107" customFormat="false" ht="15" hidden="false" customHeight="false" outlineLevel="0" collapsed="false">
      <c r="B2107" s="130" t="n">
        <v>2027</v>
      </c>
      <c r="C2107" s="131" t="s">
        <v>247</v>
      </c>
      <c r="D2107" s="132" t="n">
        <v>46536</v>
      </c>
      <c r="E2107" s="131" t="s">
        <v>40</v>
      </c>
      <c r="F2107" s="133" t="s">
        <v>24</v>
      </c>
      <c r="G2107" s="134" t="n">
        <f aca="false">LEN('Saisie programme'!$I$66)+SUMIFS('Vols additionnels'!$E$7:$E$66,'Vols additionnels'!$C$7:$C$66,$E2107,'Vols additionnels'!$D$7:$D$66,$F2107,'Vols additionnels'!$B$7:$B$66,$D2107)</f>
        <v>0</v>
      </c>
      <c r="H2107" s="135" t="n">
        <f aca="false">$G2107*'Analyse capacite'!$F$9</f>
        <v>0</v>
      </c>
      <c r="I2107" s="135" t="n">
        <f aca="false">$G2107*'Analyse capacite'!$C$9</f>
        <v>0</v>
      </c>
      <c r="J2107" s="135" t="n">
        <f aca="false">$G2107*'Analyse capacite'!$D$9</f>
        <v>0</v>
      </c>
      <c r="K2107" s="135" t="n">
        <f aca="false">$G2107*'Analyse capacite'!$E$9</f>
        <v>0</v>
      </c>
    </row>
    <row r="2108" customFormat="false" ht="15" hidden="false" customHeight="false" outlineLevel="0" collapsed="false">
      <c r="B2108" s="130" t="n">
        <v>2027</v>
      </c>
      <c r="C2108" s="131" t="s">
        <v>247</v>
      </c>
      <c r="D2108" s="132" t="n">
        <v>46536</v>
      </c>
      <c r="E2108" s="131" t="s">
        <v>14</v>
      </c>
      <c r="F2108" s="133" t="s">
        <v>11</v>
      </c>
      <c r="G2108" s="134" t="n">
        <f aca="false">LEN('Saisie programme'!$I$67)+SUMIFS('Vols additionnels'!$E$7:$E$66,'Vols additionnels'!$C$7:$C$66,$E2108,'Vols additionnels'!$D$7:$D$66,$F2108,'Vols additionnels'!$B$7:$B$66,$D2108)</f>
        <v>0</v>
      </c>
      <c r="H2108" s="135" t="n">
        <f aca="false">$G2108*'Analyse capacite'!$F$7</f>
        <v>0</v>
      </c>
      <c r="I2108" s="135" t="n">
        <f aca="false">$G2108*'Analyse capacite'!$C$7</f>
        <v>0</v>
      </c>
      <c r="J2108" s="135" t="n">
        <f aca="false">$G2108*'Analyse capacite'!$D$7</f>
        <v>0</v>
      </c>
      <c r="K2108" s="135" t="n">
        <f aca="false">$G2108*'Analyse capacite'!$E$7</f>
        <v>0</v>
      </c>
    </row>
    <row r="2109" customFormat="false" ht="15" hidden="false" customHeight="false" outlineLevel="0" collapsed="false">
      <c r="B2109" s="130" t="n">
        <v>2027</v>
      </c>
      <c r="C2109" s="131" t="s">
        <v>247</v>
      </c>
      <c r="D2109" s="132" t="n">
        <v>46536</v>
      </c>
      <c r="E2109" s="131" t="s">
        <v>14</v>
      </c>
      <c r="F2109" s="133" t="s">
        <v>19</v>
      </c>
      <c r="G2109" s="134" t="n">
        <f aca="false">LEN('Saisie programme'!$I$68)+SUMIFS('Vols additionnels'!$E$7:$E$66,'Vols additionnels'!$C$7:$C$66,$E2109,'Vols additionnels'!$D$7:$D$66,$F2109,'Vols additionnels'!$B$7:$B$66,$D2109)</f>
        <v>0</v>
      </c>
      <c r="H2109" s="135" t="n">
        <f aca="false">$G2109*'Analyse capacite'!$F$8</f>
        <v>0</v>
      </c>
      <c r="I2109" s="135" t="n">
        <f aca="false">$G2109*'Analyse capacite'!$C$8</f>
        <v>0</v>
      </c>
      <c r="J2109" s="135" t="n">
        <f aca="false">$G2109*'Analyse capacite'!$D$8</f>
        <v>0</v>
      </c>
      <c r="K2109" s="135" t="n">
        <f aca="false">$G2109*'Analyse capacite'!$E$8</f>
        <v>0</v>
      </c>
    </row>
    <row r="2110" customFormat="false" ht="15" hidden="false" customHeight="false" outlineLevel="0" collapsed="false">
      <c r="B2110" s="130" t="n">
        <v>2027</v>
      </c>
      <c r="C2110" s="131" t="s">
        <v>247</v>
      </c>
      <c r="D2110" s="132" t="n">
        <v>46536</v>
      </c>
      <c r="E2110" s="131" t="s">
        <v>14</v>
      </c>
      <c r="F2110" s="133" t="s">
        <v>24</v>
      </c>
      <c r="G2110" s="134" t="n">
        <f aca="false">LEN('Saisie programme'!$I$69)+SUMIFS('Vols additionnels'!$E$7:$E$66,'Vols additionnels'!$C$7:$C$66,$E2110,'Vols additionnels'!$D$7:$D$66,$F2110,'Vols additionnels'!$B$7:$B$66,$D2110)</f>
        <v>1</v>
      </c>
      <c r="H2110" s="135" t="n">
        <f aca="false">$G2110*'Analyse capacite'!$F$9</f>
        <v>174</v>
      </c>
      <c r="I2110" s="135" t="n">
        <f aca="false">$G2110*'Analyse capacite'!$C$9</f>
        <v>0</v>
      </c>
      <c r="J2110" s="135" t="n">
        <f aca="false">$G2110*'Analyse capacite'!$D$9</f>
        <v>12</v>
      </c>
      <c r="K2110" s="135" t="n">
        <f aca="false">$G2110*'Analyse capacite'!$E$9</f>
        <v>162</v>
      </c>
    </row>
    <row r="2111" customFormat="false" ht="15" hidden="false" customHeight="false" outlineLevel="0" collapsed="false">
      <c r="B2111" s="130" t="n">
        <v>2027</v>
      </c>
      <c r="C2111" s="131" t="s">
        <v>247</v>
      </c>
      <c r="D2111" s="132" t="n">
        <v>46536</v>
      </c>
      <c r="E2111" s="131" t="s">
        <v>46</v>
      </c>
      <c r="F2111" s="133" t="s">
        <v>11</v>
      </c>
      <c r="G2111" s="134" t="n">
        <f aca="false">LEN('Saisie programme'!$I$70)+SUMIFS('Vols additionnels'!$E$7:$E$66,'Vols additionnels'!$C$7:$C$66,$E2111,'Vols additionnels'!$D$7:$D$66,$F2111,'Vols additionnels'!$B$7:$B$66,$D2111)</f>
        <v>0</v>
      </c>
      <c r="H2111" s="135" t="n">
        <f aca="false">$G2111*'Analyse capacite'!$F$7</f>
        <v>0</v>
      </c>
      <c r="I2111" s="135" t="n">
        <f aca="false">$G2111*'Analyse capacite'!$C$7</f>
        <v>0</v>
      </c>
      <c r="J2111" s="135" t="n">
        <f aca="false">$G2111*'Analyse capacite'!$D$7</f>
        <v>0</v>
      </c>
      <c r="K2111" s="135" t="n">
        <f aca="false">$G2111*'Analyse capacite'!$E$7</f>
        <v>0</v>
      </c>
    </row>
    <row r="2112" customFormat="false" ht="15" hidden="false" customHeight="false" outlineLevel="0" collapsed="false">
      <c r="B2112" s="130" t="n">
        <v>2027</v>
      </c>
      <c r="C2112" s="131" t="s">
        <v>247</v>
      </c>
      <c r="D2112" s="132" t="n">
        <v>46536</v>
      </c>
      <c r="E2112" s="131" t="s">
        <v>46</v>
      </c>
      <c r="F2112" s="133" t="s">
        <v>19</v>
      </c>
      <c r="G2112" s="134" t="n">
        <f aca="false">LEN('Saisie programme'!$I$71)+SUMIFS('Vols additionnels'!$E$7:$E$66,'Vols additionnels'!$C$7:$C$66,$E2112,'Vols additionnels'!$D$7:$D$66,$F2112,'Vols additionnels'!$B$7:$B$66,$D2112)</f>
        <v>0</v>
      </c>
      <c r="H2112" s="135" t="n">
        <f aca="false">$G2112*'Analyse capacite'!$F$8</f>
        <v>0</v>
      </c>
      <c r="I2112" s="135" t="n">
        <f aca="false">$G2112*'Analyse capacite'!$C$8</f>
        <v>0</v>
      </c>
      <c r="J2112" s="135" t="n">
        <f aca="false">$G2112*'Analyse capacite'!$D$8</f>
        <v>0</v>
      </c>
      <c r="K2112" s="135" t="n">
        <f aca="false">$G2112*'Analyse capacite'!$E$8</f>
        <v>0</v>
      </c>
    </row>
    <row r="2113" customFormat="false" ht="15" hidden="false" customHeight="false" outlineLevel="0" collapsed="false">
      <c r="B2113" s="130" t="n">
        <v>2027</v>
      </c>
      <c r="C2113" s="131" t="s">
        <v>247</v>
      </c>
      <c r="D2113" s="132" t="n">
        <v>46536</v>
      </c>
      <c r="E2113" s="131" t="s">
        <v>46</v>
      </c>
      <c r="F2113" s="133" t="s">
        <v>24</v>
      </c>
      <c r="G2113" s="134" t="n">
        <f aca="false">LEN('Saisie programme'!$I$72)+SUMIFS('Vols additionnels'!$E$7:$E$66,'Vols additionnels'!$C$7:$C$66,$E2113,'Vols additionnels'!$D$7:$D$66,$F2113,'Vols additionnels'!$B$7:$B$66,$D2113)</f>
        <v>1</v>
      </c>
      <c r="H2113" s="135" t="n">
        <f aca="false">$G2113*'Analyse capacite'!$F$9</f>
        <v>174</v>
      </c>
      <c r="I2113" s="135" t="n">
        <f aca="false">$G2113*'Analyse capacite'!$C$9</f>
        <v>0</v>
      </c>
      <c r="J2113" s="135" t="n">
        <f aca="false">$G2113*'Analyse capacite'!$D$9</f>
        <v>12</v>
      </c>
      <c r="K2113" s="135" t="n">
        <f aca="false">$G2113*'Analyse capacite'!$E$9</f>
        <v>162</v>
      </c>
    </row>
    <row r="2114" customFormat="false" ht="15" hidden="false" customHeight="false" outlineLevel="0" collapsed="false">
      <c r="B2114" s="130" t="n">
        <v>2027</v>
      </c>
      <c r="C2114" s="131" t="s">
        <v>247</v>
      </c>
      <c r="D2114" s="132" t="n">
        <v>46536</v>
      </c>
      <c r="E2114" s="131" t="s">
        <v>49</v>
      </c>
      <c r="F2114" s="133" t="s">
        <v>11</v>
      </c>
      <c r="G2114" s="134" t="n">
        <f aca="false">LEN('Saisie programme'!$I$73)+SUMIFS('Vols additionnels'!$E$7:$E$66,'Vols additionnels'!$C$7:$C$66,$E2114,'Vols additionnels'!$D$7:$D$66,$F2114,'Vols additionnels'!$B$7:$B$66,$D2114)</f>
        <v>0</v>
      </c>
      <c r="H2114" s="135" t="n">
        <f aca="false">$G2114*'Analyse capacite'!$F$7</f>
        <v>0</v>
      </c>
      <c r="I2114" s="135" t="n">
        <f aca="false">$G2114*'Analyse capacite'!$C$7</f>
        <v>0</v>
      </c>
      <c r="J2114" s="135" t="n">
        <f aca="false">$G2114*'Analyse capacite'!$D$7</f>
        <v>0</v>
      </c>
      <c r="K2114" s="135" t="n">
        <f aca="false">$G2114*'Analyse capacite'!$E$7</f>
        <v>0</v>
      </c>
    </row>
    <row r="2115" customFormat="false" ht="15" hidden="false" customHeight="false" outlineLevel="0" collapsed="false">
      <c r="B2115" s="130" t="n">
        <v>2027</v>
      </c>
      <c r="C2115" s="131" t="s">
        <v>247</v>
      </c>
      <c r="D2115" s="132" t="n">
        <v>46536</v>
      </c>
      <c r="E2115" s="131" t="s">
        <v>49</v>
      </c>
      <c r="F2115" s="133" t="s">
        <v>19</v>
      </c>
      <c r="G2115" s="134" t="n">
        <f aca="false">LEN('Saisie programme'!$I$74)+SUMIFS('Vols additionnels'!$E$7:$E$66,'Vols additionnels'!$C$7:$C$66,$E2115,'Vols additionnels'!$D$7:$D$66,$F2115,'Vols additionnels'!$B$7:$B$66,$D2115)</f>
        <v>0</v>
      </c>
      <c r="H2115" s="135" t="n">
        <f aca="false">$G2115*'Analyse capacite'!$F$8</f>
        <v>0</v>
      </c>
      <c r="I2115" s="135" t="n">
        <f aca="false">$G2115*'Analyse capacite'!$C$8</f>
        <v>0</v>
      </c>
      <c r="J2115" s="135" t="n">
        <f aca="false">$G2115*'Analyse capacite'!$D$8</f>
        <v>0</v>
      </c>
      <c r="K2115" s="135" t="n">
        <f aca="false">$G2115*'Analyse capacite'!$E$8</f>
        <v>0</v>
      </c>
    </row>
    <row r="2116" customFormat="false" ht="15" hidden="false" customHeight="false" outlineLevel="0" collapsed="false">
      <c r="B2116" s="130" t="n">
        <v>2027</v>
      </c>
      <c r="C2116" s="131" t="s">
        <v>247</v>
      </c>
      <c r="D2116" s="132" t="n">
        <v>46536</v>
      </c>
      <c r="E2116" s="131" t="s">
        <v>49</v>
      </c>
      <c r="F2116" s="133" t="s">
        <v>24</v>
      </c>
      <c r="G2116" s="134" t="n">
        <f aca="false">LEN('Saisie programme'!$I$75)+SUMIFS('Vols additionnels'!$E$7:$E$66,'Vols additionnels'!$C$7:$C$66,$E2116,'Vols additionnels'!$D$7:$D$66,$F2116,'Vols additionnels'!$B$7:$B$66,$D2116)</f>
        <v>0</v>
      </c>
      <c r="H2116" s="135" t="n">
        <f aca="false">$G2116*'Analyse capacite'!$F$9</f>
        <v>0</v>
      </c>
      <c r="I2116" s="135" t="n">
        <f aca="false">$G2116*'Analyse capacite'!$C$9</f>
        <v>0</v>
      </c>
      <c r="J2116" s="135" t="n">
        <f aca="false">$G2116*'Analyse capacite'!$D$9</f>
        <v>0</v>
      </c>
      <c r="K2116" s="135" t="n">
        <f aca="false">$G2116*'Analyse capacite'!$E$9</f>
        <v>0</v>
      </c>
    </row>
    <row r="2117" customFormat="false" ht="15" hidden="false" customHeight="false" outlineLevel="0" collapsed="false">
      <c r="B2117" s="130" t="n">
        <v>2027</v>
      </c>
      <c r="C2117" s="131" t="s">
        <v>247</v>
      </c>
      <c r="D2117" s="132" t="n">
        <v>46536</v>
      </c>
      <c r="E2117" s="131" t="s">
        <v>53</v>
      </c>
      <c r="F2117" s="133" t="s">
        <v>11</v>
      </c>
      <c r="G2117" s="134" t="n">
        <f aca="false">LEN('Saisie programme'!$I$76)+SUMIFS('Vols additionnels'!$E$7:$E$66,'Vols additionnels'!$C$7:$C$66,$E2117,'Vols additionnels'!$D$7:$D$66,$F2117,'Vols additionnels'!$B$7:$B$66,$D2117)</f>
        <v>0</v>
      </c>
      <c r="H2117" s="135" t="n">
        <f aca="false">$G2117*'Analyse capacite'!$F$7</f>
        <v>0</v>
      </c>
      <c r="I2117" s="135" t="n">
        <f aca="false">$G2117*'Analyse capacite'!$C$7</f>
        <v>0</v>
      </c>
      <c r="J2117" s="135" t="n">
        <f aca="false">$G2117*'Analyse capacite'!$D$7</f>
        <v>0</v>
      </c>
      <c r="K2117" s="135" t="n">
        <f aca="false">$G2117*'Analyse capacite'!$E$7</f>
        <v>0</v>
      </c>
    </row>
    <row r="2118" customFormat="false" ht="15" hidden="false" customHeight="false" outlineLevel="0" collapsed="false">
      <c r="B2118" s="130" t="n">
        <v>2027</v>
      </c>
      <c r="C2118" s="131" t="s">
        <v>247</v>
      </c>
      <c r="D2118" s="132" t="n">
        <v>46536</v>
      </c>
      <c r="E2118" s="131" t="s">
        <v>53</v>
      </c>
      <c r="F2118" s="133" t="s">
        <v>19</v>
      </c>
      <c r="G2118" s="134" t="n">
        <f aca="false">LEN('Saisie programme'!$I$77)+SUMIFS('Vols additionnels'!$E$7:$E$66,'Vols additionnels'!$C$7:$C$66,$E2118,'Vols additionnels'!$D$7:$D$66,$F2118,'Vols additionnels'!$B$7:$B$66,$D2118)</f>
        <v>0</v>
      </c>
      <c r="H2118" s="135" t="n">
        <f aca="false">$G2118*'Analyse capacite'!$F$8</f>
        <v>0</v>
      </c>
      <c r="I2118" s="135" t="n">
        <f aca="false">$G2118*'Analyse capacite'!$C$8</f>
        <v>0</v>
      </c>
      <c r="J2118" s="135" t="n">
        <f aca="false">$G2118*'Analyse capacite'!$D$8</f>
        <v>0</v>
      </c>
      <c r="K2118" s="135" t="n">
        <f aca="false">$G2118*'Analyse capacite'!$E$8</f>
        <v>0</v>
      </c>
    </row>
    <row r="2119" customFormat="false" ht="15" hidden="false" customHeight="false" outlineLevel="0" collapsed="false">
      <c r="B2119" s="130" t="n">
        <v>2027</v>
      </c>
      <c r="C2119" s="131" t="s">
        <v>247</v>
      </c>
      <c r="D2119" s="132" t="n">
        <v>46536</v>
      </c>
      <c r="E2119" s="131" t="s">
        <v>53</v>
      </c>
      <c r="F2119" s="133" t="s">
        <v>24</v>
      </c>
      <c r="G2119" s="134" t="n">
        <f aca="false">LEN('Saisie programme'!$I$78)+SUMIFS('Vols additionnels'!$E$7:$E$66,'Vols additionnels'!$C$7:$C$66,$E2119,'Vols additionnels'!$D$7:$D$66,$F2119,'Vols additionnels'!$B$7:$B$66,$D2119)</f>
        <v>0</v>
      </c>
      <c r="H2119" s="135" t="n">
        <f aca="false">$G2119*'Analyse capacite'!$F$9</f>
        <v>0</v>
      </c>
      <c r="I2119" s="135" t="n">
        <f aca="false">$G2119*'Analyse capacite'!$C$9</f>
        <v>0</v>
      </c>
      <c r="J2119" s="135" t="n">
        <f aca="false">$G2119*'Analyse capacite'!$D$9</f>
        <v>0</v>
      </c>
      <c r="K2119" s="135" t="n">
        <f aca="false">$G2119*'Analyse capacite'!$E$9</f>
        <v>0</v>
      </c>
    </row>
    <row r="2120" customFormat="false" ht="15" hidden="false" customHeight="false" outlineLevel="0" collapsed="false">
      <c r="B2120" s="130" t="n">
        <v>2027</v>
      </c>
      <c r="C2120" s="131" t="s">
        <v>247</v>
      </c>
      <c r="D2120" s="132" t="n">
        <v>46536</v>
      </c>
      <c r="E2120" s="131" t="s">
        <v>56</v>
      </c>
      <c r="F2120" s="133" t="s">
        <v>11</v>
      </c>
      <c r="G2120" s="134" t="n">
        <f aca="false">LEN('Saisie programme'!$I$79)+SUMIFS('Vols additionnels'!$E$7:$E$66,'Vols additionnels'!$C$7:$C$66,$E2120,'Vols additionnels'!$D$7:$D$66,$F2120,'Vols additionnels'!$B$7:$B$66,$D2120)</f>
        <v>0</v>
      </c>
      <c r="H2120" s="135" t="n">
        <f aca="false">$G2120*'Analyse capacite'!$F$7</f>
        <v>0</v>
      </c>
      <c r="I2120" s="135" t="n">
        <f aca="false">$G2120*'Analyse capacite'!$C$7</f>
        <v>0</v>
      </c>
      <c r="J2120" s="135" t="n">
        <f aca="false">$G2120*'Analyse capacite'!$D$7</f>
        <v>0</v>
      </c>
      <c r="K2120" s="135" t="n">
        <f aca="false">$G2120*'Analyse capacite'!$E$7</f>
        <v>0</v>
      </c>
    </row>
    <row r="2121" customFormat="false" ht="15" hidden="false" customHeight="false" outlineLevel="0" collapsed="false">
      <c r="B2121" s="130" t="n">
        <v>2027</v>
      </c>
      <c r="C2121" s="131" t="s">
        <v>247</v>
      </c>
      <c r="D2121" s="132" t="n">
        <v>46536</v>
      </c>
      <c r="E2121" s="131" t="s">
        <v>56</v>
      </c>
      <c r="F2121" s="133" t="s">
        <v>19</v>
      </c>
      <c r="G2121" s="134" t="n">
        <f aca="false">LEN('Saisie programme'!$I$80)+SUMIFS('Vols additionnels'!$E$7:$E$66,'Vols additionnels'!$C$7:$C$66,$E2121,'Vols additionnels'!$D$7:$D$66,$F2121,'Vols additionnels'!$B$7:$B$66,$D2121)</f>
        <v>0</v>
      </c>
      <c r="H2121" s="135" t="n">
        <f aca="false">$G2121*'Analyse capacite'!$F$8</f>
        <v>0</v>
      </c>
      <c r="I2121" s="135" t="n">
        <f aca="false">$G2121*'Analyse capacite'!$C$8</f>
        <v>0</v>
      </c>
      <c r="J2121" s="135" t="n">
        <f aca="false">$G2121*'Analyse capacite'!$D$8</f>
        <v>0</v>
      </c>
      <c r="K2121" s="135" t="n">
        <f aca="false">$G2121*'Analyse capacite'!$E$8</f>
        <v>0</v>
      </c>
    </row>
    <row r="2122" customFormat="false" ht="15" hidden="false" customHeight="false" outlineLevel="0" collapsed="false">
      <c r="B2122" s="130" t="n">
        <v>2027</v>
      </c>
      <c r="C2122" s="131" t="s">
        <v>247</v>
      </c>
      <c r="D2122" s="132" t="n">
        <v>46536</v>
      </c>
      <c r="E2122" s="131" t="s">
        <v>56</v>
      </c>
      <c r="F2122" s="133" t="s">
        <v>24</v>
      </c>
      <c r="G2122" s="134" t="n">
        <f aca="false">LEN('Saisie programme'!$I$81)+SUMIFS('Vols additionnels'!$E$7:$E$66,'Vols additionnels'!$C$7:$C$66,$E2122,'Vols additionnels'!$D$7:$D$66,$F2122,'Vols additionnels'!$B$7:$B$66,$D2122)</f>
        <v>1</v>
      </c>
      <c r="H2122" s="135" t="n">
        <f aca="false">$G2122*'Analyse capacite'!$F$9</f>
        <v>174</v>
      </c>
      <c r="I2122" s="135" t="n">
        <f aca="false">$G2122*'Analyse capacite'!$C$9</f>
        <v>0</v>
      </c>
      <c r="J2122" s="135" t="n">
        <f aca="false">$G2122*'Analyse capacite'!$D$9</f>
        <v>12</v>
      </c>
      <c r="K2122" s="135" t="n">
        <f aca="false">$G2122*'Analyse capacite'!$E$9</f>
        <v>162</v>
      </c>
    </row>
    <row r="2123" customFormat="false" ht="15" hidden="false" customHeight="false" outlineLevel="0" collapsed="false">
      <c r="B2123" s="130" t="n">
        <v>2027</v>
      </c>
      <c r="C2123" s="131" t="s">
        <v>247</v>
      </c>
      <c r="D2123" s="132" t="n">
        <v>46536</v>
      </c>
      <c r="E2123" s="131" t="s">
        <v>59</v>
      </c>
      <c r="F2123" s="133" t="s">
        <v>11</v>
      </c>
      <c r="G2123" s="134" t="n">
        <f aca="false">LEN('Saisie programme'!$I$82)+SUMIFS('Vols additionnels'!$E$7:$E$66,'Vols additionnels'!$C$7:$C$66,$E2123,'Vols additionnels'!$D$7:$D$66,$F2123,'Vols additionnels'!$B$7:$B$66,$D2123)</f>
        <v>0</v>
      </c>
      <c r="H2123" s="135" t="n">
        <f aca="false">$G2123*'Analyse capacite'!$F$7</f>
        <v>0</v>
      </c>
      <c r="I2123" s="135" t="n">
        <f aca="false">$G2123*'Analyse capacite'!$C$7</f>
        <v>0</v>
      </c>
      <c r="J2123" s="135" t="n">
        <f aca="false">$G2123*'Analyse capacite'!$D$7</f>
        <v>0</v>
      </c>
      <c r="K2123" s="135" t="n">
        <f aca="false">$G2123*'Analyse capacite'!$E$7</f>
        <v>0</v>
      </c>
    </row>
    <row r="2124" customFormat="false" ht="15" hidden="false" customHeight="false" outlineLevel="0" collapsed="false">
      <c r="B2124" s="130" t="n">
        <v>2027</v>
      </c>
      <c r="C2124" s="131" t="s">
        <v>247</v>
      </c>
      <c r="D2124" s="132" t="n">
        <v>46536</v>
      </c>
      <c r="E2124" s="131" t="s">
        <v>59</v>
      </c>
      <c r="F2124" s="133" t="s">
        <v>19</v>
      </c>
      <c r="G2124" s="134" t="n">
        <f aca="false">LEN('Saisie programme'!$I$83)+SUMIFS('Vols additionnels'!$E$7:$E$66,'Vols additionnels'!$C$7:$C$66,$E2124,'Vols additionnels'!$D$7:$D$66,$F2124,'Vols additionnels'!$B$7:$B$66,$D2124)</f>
        <v>0</v>
      </c>
      <c r="H2124" s="135" t="n">
        <f aca="false">$G2124*'Analyse capacite'!$F$8</f>
        <v>0</v>
      </c>
      <c r="I2124" s="135" t="n">
        <f aca="false">$G2124*'Analyse capacite'!$C$8</f>
        <v>0</v>
      </c>
      <c r="J2124" s="135" t="n">
        <f aca="false">$G2124*'Analyse capacite'!$D$8</f>
        <v>0</v>
      </c>
      <c r="K2124" s="135" t="n">
        <f aca="false">$G2124*'Analyse capacite'!$E$8</f>
        <v>0</v>
      </c>
    </row>
    <row r="2125" customFormat="false" ht="15" hidden="false" customHeight="false" outlineLevel="0" collapsed="false">
      <c r="B2125" s="130" t="n">
        <v>2027</v>
      </c>
      <c r="C2125" s="131" t="s">
        <v>247</v>
      </c>
      <c r="D2125" s="132" t="n">
        <v>46536</v>
      </c>
      <c r="E2125" s="131" t="s">
        <v>59</v>
      </c>
      <c r="F2125" s="133" t="s">
        <v>24</v>
      </c>
      <c r="G2125" s="134" t="n">
        <f aca="false">LEN('Saisie programme'!$I$84)+SUMIFS('Vols additionnels'!$E$7:$E$66,'Vols additionnels'!$C$7:$C$66,$E2125,'Vols additionnels'!$D$7:$D$66,$F2125,'Vols additionnels'!$B$7:$B$66,$D2125)</f>
        <v>1</v>
      </c>
      <c r="H2125" s="135" t="n">
        <f aca="false">$G2125*'Analyse capacite'!$F$9</f>
        <v>174</v>
      </c>
      <c r="I2125" s="135" t="n">
        <f aca="false">$G2125*'Analyse capacite'!$C$9</f>
        <v>0</v>
      </c>
      <c r="J2125" s="135" t="n">
        <f aca="false">$G2125*'Analyse capacite'!$D$9</f>
        <v>12</v>
      </c>
      <c r="K2125" s="135" t="n">
        <f aca="false">$G2125*'Analyse capacite'!$E$9</f>
        <v>162</v>
      </c>
    </row>
    <row r="2126" customFormat="false" ht="15" hidden="false" customHeight="false" outlineLevel="0" collapsed="false">
      <c r="B2126" s="130" t="n">
        <v>2027</v>
      </c>
      <c r="C2126" s="131" t="s">
        <v>247</v>
      </c>
      <c r="D2126" s="132" t="n">
        <v>46536</v>
      </c>
      <c r="E2126" s="131" t="s">
        <v>62</v>
      </c>
      <c r="F2126" s="133" t="s">
        <v>11</v>
      </c>
      <c r="G2126" s="134" t="n">
        <f aca="false">LEN('Saisie programme'!$I$85)+SUMIFS('Vols additionnels'!$E$7:$E$66,'Vols additionnels'!$C$7:$C$66,$E2126,'Vols additionnels'!$D$7:$D$66,$F2126,'Vols additionnels'!$B$7:$B$66,$D2126)</f>
        <v>0</v>
      </c>
      <c r="H2126" s="135" t="n">
        <f aca="false">$G2126*'Analyse capacite'!$F$7</f>
        <v>0</v>
      </c>
      <c r="I2126" s="135" t="n">
        <f aca="false">$G2126*'Analyse capacite'!$C$7</f>
        <v>0</v>
      </c>
      <c r="J2126" s="135" t="n">
        <f aca="false">$G2126*'Analyse capacite'!$D$7</f>
        <v>0</v>
      </c>
      <c r="K2126" s="135" t="n">
        <f aca="false">$G2126*'Analyse capacite'!$E$7</f>
        <v>0</v>
      </c>
    </row>
    <row r="2127" customFormat="false" ht="15" hidden="false" customHeight="false" outlineLevel="0" collapsed="false">
      <c r="B2127" s="130" t="n">
        <v>2027</v>
      </c>
      <c r="C2127" s="131" t="s">
        <v>247</v>
      </c>
      <c r="D2127" s="132" t="n">
        <v>46536</v>
      </c>
      <c r="E2127" s="131" t="s">
        <v>62</v>
      </c>
      <c r="F2127" s="133" t="s">
        <v>19</v>
      </c>
      <c r="G2127" s="134" t="n">
        <f aca="false">LEN('Saisie programme'!$I$86)+SUMIFS('Vols additionnels'!$E$7:$E$66,'Vols additionnels'!$C$7:$C$66,$E2127,'Vols additionnels'!$D$7:$D$66,$F2127,'Vols additionnels'!$B$7:$B$66,$D2127)</f>
        <v>0</v>
      </c>
      <c r="H2127" s="135" t="n">
        <f aca="false">$G2127*'Analyse capacite'!$F$8</f>
        <v>0</v>
      </c>
      <c r="I2127" s="135" t="n">
        <f aca="false">$G2127*'Analyse capacite'!$C$8</f>
        <v>0</v>
      </c>
      <c r="J2127" s="135" t="n">
        <f aca="false">$G2127*'Analyse capacite'!$D$8</f>
        <v>0</v>
      </c>
      <c r="K2127" s="135" t="n">
        <f aca="false">$G2127*'Analyse capacite'!$E$8</f>
        <v>0</v>
      </c>
    </row>
    <row r="2128" customFormat="false" ht="15" hidden="false" customHeight="false" outlineLevel="0" collapsed="false">
      <c r="B2128" s="130" t="n">
        <v>2027</v>
      </c>
      <c r="C2128" s="131" t="s">
        <v>247</v>
      </c>
      <c r="D2128" s="132" t="n">
        <v>46536</v>
      </c>
      <c r="E2128" s="131" t="s">
        <v>62</v>
      </c>
      <c r="F2128" s="133" t="s">
        <v>24</v>
      </c>
      <c r="G2128" s="134" t="n">
        <f aca="false">LEN('Saisie programme'!$I$87)+SUMIFS('Vols additionnels'!$E$7:$E$66,'Vols additionnels'!$C$7:$C$66,$E2128,'Vols additionnels'!$D$7:$D$66,$F2128,'Vols additionnels'!$B$7:$B$66,$D2128)</f>
        <v>0</v>
      </c>
      <c r="H2128" s="135" t="n">
        <f aca="false">$G2128*'Analyse capacite'!$F$9</f>
        <v>0</v>
      </c>
      <c r="I2128" s="135" t="n">
        <f aca="false">$G2128*'Analyse capacite'!$C$9</f>
        <v>0</v>
      </c>
      <c r="J2128" s="135" t="n">
        <f aca="false">$G2128*'Analyse capacite'!$D$9</f>
        <v>0</v>
      </c>
      <c r="K2128" s="135" t="n">
        <f aca="false">$G2128*'Analyse capacite'!$E$9</f>
        <v>0</v>
      </c>
    </row>
    <row r="2129" customFormat="false" ht="15" hidden="false" customHeight="false" outlineLevel="0" collapsed="false">
      <c r="B2129" s="130" t="n">
        <v>2027</v>
      </c>
      <c r="C2129" s="131" t="s">
        <v>247</v>
      </c>
      <c r="D2129" s="132" t="n">
        <v>46537</v>
      </c>
      <c r="E2129" s="131" t="s">
        <v>12</v>
      </c>
      <c r="F2129" s="133" t="s">
        <v>11</v>
      </c>
      <c r="G2129" s="134" t="n">
        <f aca="false">LEN('Saisie programme'!$J$52)+SUMIFS('Vols additionnels'!$E$7:$E$66,'Vols additionnels'!$C$7:$C$66,$E2129,'Vols additionnels'!$D$7:$D$66,$F2129,'Vols additionnels'!$B$7:$B$66,$D2129)</f>
        <v>1</v>
      </c>
      <c r="H2129" s="135" t="n">
        <f aca="false">$G2129*'Analyse capacite'!$F$7</f>
        <v>438</v>
      </c>
      <c r="I2129" s="135" t="n">
        <f aca="false">$G2129*'Analyse capacite'!$C$7</f>
        <v>14</v>
      </c>
      <c r="J2129" s="135" t="n">
        <f aca="false">$G2129*'Analyse capacite'!$D$7</f>
        <v>40</v>
      </c>
      <c r="K2129" s="135" t="n">
        <f aca="false">$G2129*'Analyse capacite'!$E$7</f>
        <v>384</v>
      </c>
    </row>
    <row r="2130" customFormat="false" ht="15" hidden="false" customHeight="false" outlineLevel="0" collapsed="false">
      <c r="B2130" s="130" t="n">
        <v>2027</v>
      </c>
      <c r="C2130" s="131" t="s">
        <v>247</v>
      </c>
      <c r="D2130" s="132" t="n">
        <v>46537</v>
      </c>
      <c r="E2130" s="131" t="s">
        <v>12</v>
      </c>
      <c r="F2130" s="133" t="s">
        <v>19</v>
      </c>
      <c r="G2130" s="134" t="n">
        <f aca="false">LEN('Saisie programme'!$J$53)+SUMIFS('Vols additionnels'!$E$7:$E$66,'Vols additionnels'!$C$7:$C$66,$E2130,'Vols additionnels'!$D$7:$D$66,$F2130,'Vols additionnels'!$B$7:$B$66,$D2130)</f>
        <v>0</v>
      </c>
      <c r="H2130" s="135" t="n">
        <f aca="false">$G2130*'Analyse capacite'!$F$8</f>
        <v>0</v>
      </c>
      <c r="I2130" s="135" t="n">
        <f aca="false">$G2130*'Analyse capacite'!$C$8</f>
        <v>0</v>
      </c>
      <c r="J2130" s="135" t="n">
        <f aca="false">$G2130*'Analyse capacite'!$D$8</f>
        <v>0</v>
      </c>
      <c r="K2130" s="135" t="n">
        <f aca="false">$G2130*'Analyse capacite'!$E$8</f>
        <v>0</v>
      </c>
    </row>
    <row r="2131" customFormat="false" ht="15" hidden="false" customHeight="false" outlineLevel="0" collapsed="false">
      <c r="B2131" s="130" t="n">
        <v>2027</v>
      </c>
      <c r="C2131" s="131" t="s">
        <v>247</v>
      </c>
      <c r="D2131" s="132" t="n">
        <v>46537</v>
      </c>
      <c r="E2131" s="131" t="s">
        <v>12</v>
      </c>
      <c r="F2131" s="133" t="s">
        <v>24</v>
      </c>
      <c r="G2131" s="134" t="n">
        <f aca="false">LEN('Saisie programme'!$J$54)+SUMIFS('Vols additionnels'!$E$7:$E$66,'Vols additionnels'!$C$7:$C$66,$E2131,'Vols additionnels'!$D$7:$D$66,$F2131,'Vols additionnels'!$B$7:$B$66,$D2131)</f>
        <v>0</v>
      </c>
      <c r="H2131" s="135" t="n">
        <f aca="false">$G2131*'Analyse capacite'!$F$9</f>
        <v>0</v>
      </c>
      <c r="I2131" s="135" t="n">
        <f aca="false">$G2131*'Analyse capacite'!$C$9</f>
        <v>0</v>
      </c>
      <c r="J2131" s="135" t="n">
        <f aca="false">$G2131*'Analyse capacite'!$D$9</f>
        <v>0</v>
      </c>
      <c r="K2131" s="135" t="n">
        <f aca="false">$G2131*'Analyse capacite'!$E$9</f>
        <v>0</v>
      </c>
    </row>
    <row r="2132" customFormat="false" ht="15" hidden="false" customHeight="false" outlineLevel="0" collapsed="false">
      <c r="B2132" s="130" t="n">
        <v>2027</v>
      </c>
      <c r="C2132" s="131" t="s">
        <v>247</v>
      </c>
      <c r="D2132" s="132" t="n">
        <v>46537</v>
      </c>
      <c r="E2132" s="131" t="s">
        <v>20</v>
      </c>
      <c r="F2132" s="133" t="s">
        <v>11</v>
      </c>
      <c r="G2132" s="134" t="n">
        <f aca="false">LEN('Saisie programme'!$J$55)+SUMIFS('Vols additionnels'!$E$7:$E$66,'Vols additionnels'!$C$7:$C$66,$E2132,'Vols additionnels'!$D$7:$D$66,$F2132,'Vols additionnels'!$B$7:$B$66,$D2132)</f>
        <v>1</v>
      </c>
      <c r="H2132" s="135" t="n">
        <f aca="false">$G2132*'Analyse capacite'!$F$7</f>
        <v>438</v>
      </c>
      <c r="I2132" s="135" t="n">
        <f aca="false">$G2132*'Analyse capacite'!$C$7</f>
        <v>14</v>
      </c>
      <c r="J2132" s="135" t="n">
        <f aca="false">$G2132*'Analyse capacite'!$D$7</f>
        <v>40</v>
      </c>
      <c r="K2132" s="135" t="n">
        <f aca="false">$G2132*'Analyse capacite'!$E$7</f>
        <v>384</v>
      </c>
    </row>
    <row r="2133" customFormat="false" ht="15" hidden="false" customHeight="false" outlineLevel="0" collapsed="false">
      <c r="B2133" s="130" t="n">
        <v>2027</v>
      </c>
      <c r="C2133" s="131" t="s">
        <v>247</v>
      </c>
      <c r="D2133" s="132" t="n">
        <v>46537</v>
      </c>
      <c r="E2133" s="131" t="s">
        <v>20</v>
      </c>
      <c r="F2133" s="133" t="s">
        <v>19</v>
      </c>
      <c r="G2133" s="134" t="n">
        <f aca="false">LEN('Saisie programme'!$J$56)+SUMIFS('Vols additionnels'!$E$7:$E$66,'Vols additionnels'!$C$7:$C$66,$E2133,'Vols additionnels'!$D$7:$D$66,$F2133,'Vols additionnels'!$B$7:$B$66,$D2133)</f>
        <v>0</v>
      </c>
      <c r="H2133" s="135" t="n">
        <f aca="false">$G2133*'Analyse capacite'!$F$8</f>
        <v>0</v>
      </c>
      <c r="I2133" s="135" t="n">
        <f aca="false">$G2133*'Analyse capacite'!$C$8</f>
        <v>0</v>
      </c>
      <c r="J2133" s="135" t="n">
        <f aca="false">$G2133*'Analyse capacite'!$D$8</f>
        <v>0</v>
      </c>
      <c r="K2133" s="135" t="n">
        <f aca="false">$G2133*'Analyse capacite'!$E$8</f>
        <v>0</v>
      </c>
    </row>
    <row r="2134" customFormat="false" ht="15" hidden="false" customHeight="false" outlineLevel="0" collapsed="false">
      <c r="B2134" s="130" t="n">
        <v>2027</v>
      </c>
      <c r="C2134" s="131" t="s">
        <v>247</v>
      </c>
      <c r="D2134" s="132" t="n">
        <v>46537</v>
      </c>
      <c r="E2134" s="131" t="s">
        <v>20</v>
      </c>
      <c r="F2134" s="133" t="s">
        <v>24</v>
      </c>
      <c r="G2134" s="134" t="n">
        <f aca="false">LEN('Saisie programme'!$J$57)+SUMIFS('Vols additionnels'!$E$7:$E$66,'Vols additionnels'!$C$7:$C$66,$E2134,'Vols additionnels'!$D$7:$D$66,$F2134,'Vols additionnels'!$B$7:$B$66,$D2134)</f>
        <v>0</v>
      </c>
      <c r="H2134" s="135" t="n">
        <f aca="false">$G2134*'Analyse capacite'!$F$9</f>
        <v>0</v>
      </c>
      <c r="I2134" s="135" t="n">
        <f aca="false">$G2134*'Analyse capacite'!$C$9</f>
        <v>0</v>
      </c>
      <c r="J2134" s="135" t="n">
        <f aca="false">$G2134*'Analyse capacite'!$D$9</f>
        <v>0</v>
      </c>
      <c r="K2134" s="135" t="n">
        <f aca="false">$G2134*'Analyse capacite'!$E$9</f>
        <v>0</v>
      </c>
    </row>
    <row r="2135" customFormat="false" ht="15" hidden="false" customHeight="false" outlineLevel="0" collapsed="false">
      <c r="B2135" s="130" t="n">
        <v>2027</v>
      </c>
      <c r="C2135" s="131" t="s">
        <v>247</v>
      </c>
      <c r="D2135" s="132" t="n">
        <v>46537</v>
      </c>
      <c r="E2135" s="131" t="s">
        <v>25</v>
      </c>
      <c r="F2135" s="133" t="s">
        <v>11</v>
      </c>
      <c r="G2135" s="134" t="n">
        <f aca="false">LEN('Saisie programme'!$J$58)+SUMIFS('Vols additionnels'!$E$7:$E$66,'Vols additionnels'!$C$7:$C$66,$E2135,'Vols additionnels'!$D$7:$D$66,$F2135,'Vols additionnels'!$B$7:$B$66,$D2135)</f>
        <v>0</v>
      </c>
      <c r="H2135" s="135" t="n">
        <f aca="false">$G2135*'Analyse capacite'!$F$7</f>
        <v>0</v>
      </c>
      <c r="I2135" s="135" t="n">
        <f aca="false">$G2135*'Analyse capacite'!$C$7</f>
        <v>0</v>
      </c>
      <c r="J2135" s="135" t="n">
        <f aca="false">$G2135*'Analyse capacite'!$D$7</f>
        <v>0</v>
      </c>
      <c r="K2135" s="135" t="n">
        <f aca="false">$G2135*'Analyse capacite'!$E$7</f>
        <v>0</v>
      </c>
    </row>
    <row r="2136" customFormat="false" ht="15" hidden="false" customHeight="false" outlineLevel="0" collapsed="false">
      <c r="B2136" s="130" t="n">
        <v>2027</v>
      </c>
      <c r="C2136" s="131" t="s">
        <v>247</v>
      </c>
      <c r="D2136" s="132" t="n">
        <v>46537</v>
      </c>
      <c r="E2136" s="131" t="s">
        <v>25</v>
      </c>
      <c r="F2136" s="133" t="s">
        <v>19</v>
      </c>
      <c r="G2136" s="134" t="n">
        <f aca="false">LEN('Saisie programme'!$J$59)+SUMIFS('Vols additionnels'!$E$7:$E$66,'Vols additionnels'!$C$7:$C$66,$E2136,'Vols additionnels'!$D$7:$D$66,$F2136,'Vols additionnels'!$B$7:$B$66,$D2136)</f>
        <v>0</v>
      </c>
      <c r="H2136" s="135" t="n">
        <f aca="false">$G2136*'Analyse capacite'!$F$8</f>
        <v>0</v>
      </c>
      <c r="I2136" s="135" t="n">
        <f aca="false">$G2136*'Analyse capacite'!$C$8</f>
        <v>0</v>
      </c>
      <c r="J2136" s="135" t="n">
        <f aca="false">$G2136*'Analyse capacite'!$D$8</f>
        <v>0</v>
      </c>
      <c r="K2136" s="135" t="n">
        <f aca="false">$G2136*'Analyse capacite'!$E$8</f>
        <v>0</v>
      </c>
    </row>
    <row r="2137" customFormat="false" ht="15" hidden="false" customHeight="false" outlineLevel="0" collapsed="false">
      <c r="B2137" s="130" t="n">
        <v>2027</v>
      </c>
      <c r="C2137" s="131" t="s">
        <v>247</v>
      </c>
      <c r="D2137" s="132" t="n">
        <v>46537</v>
      </c>
      <c r="E2137" s="131" t="s">
        <v>25</v>
      </c>
      <c r="F2137" s="133" t="s">
        <v>24</v>
      </c>
      <c r="G2137" s="134" t="n">
        <f aca="false">LEN('Saisie programme'!$J$60)+SUMIFS('Vols additionnels'!$E$7:$E$66,'Vols additionnels'!$C$7:$C$66,$E2137,'Vols additionnels'!$D$7:$D$66,$F2137,'Vols additionnels'!$B$7:$B$66,$D2137)</f>
        <v>0</v>
      </c>
      <c r="H2137" s="135" t="n">
        <f aca="false">$G2137*'Analyse capacite'!$F$9</f>
        <v>0</v>
      </c>
      <c r="I2137" s="135" t="n">
        <f aca="false">$G2137*'Analyse capacite'!$C$9</f>
        <v>0</v>
      </c>
      <c r="J2137" s="135" t="n">
        <f aca="false">$G2137*'Analyse capacite'!$D$9</f>
        <v>0</v>
      </c>
      <c r="K2137" s="135" t="n">
        <f aca="false">$G2137*'Analyse capacite'!$E$9</f>
        <v>0</v>
      </c>
    </row>
    <row r="2138" customFormat="false" ht="15" hidden="false" customHeight="false" outlineLevel="0" collapsed="false">
      <c r="B2138" s="130" t="n">
        <v>2027</v>
      </c>
      <c r="C2138" s="131" t="s">
        <v>247</v>
      </c>
      <c r="D2138" s="132" t="n">
        <v>46537</v>
      </c>
      <c r="E2138" s="131" t="s">
        <v>36</v>
      </c>
      <c r="F2138" s="133" t="s">
        <v>11</v>
      </c>
      <c r="G2138" s="134" t="n">
        <f aca="false">LEN('Saisie programme'!$J$61)+SUMIFS('Vols additionnels'!$E$7:$E$66,'Vols additionnels'!$C$7:$C$66,$E2138,'Vols additionnels'!$D$7:$D$66,$F2138,'Vols additionnels'!$B$7:$B$66,$D2138)</f>
        <v>0</v>
      </c>
      <c r="H2138" s="135" t="n">
        <f aca="false">$G2138*'Analyse capacite'!$F$7</f>
        <v>0</v>
      </c>
      <c r="I2138" s="135" t="n">
        <f aca="false">$G2138*'Analyse capacite'!$C$7</f>
        <v>0</v>
      </c>
      <c r="J2138" s="135" t="n">
        <f aca="false">$G2138*'Analyse capacite'!$D$7</f>
        <v>0</v>
      </c>
      <c r="K2138" s="135" t="n">
        <f aca="false">$G2138*'Analyse capacite'!$E$7</f>
        <v>0</v>
      </c>
    </row>
    <row r="2139" customFormat="false" ht="15" hidden="false" customHeight="false" outlineLevel="0" collapsed="false">
      <c r="B2139" s="130" t="n">
        <v>2027</v>
      </c>
      <c r="C2139" s="131" t="s">
        <v>247</v>
      </c>
      <c r="D2139" s="132" t="n">
        <v>46537</v>
      </c>
      <c r="E2139" s="131" t="s">
        <v>36</v>
      </c>
      <c r="F2139" s="133" t="s">
        <v>19</v>
      </c>
      <c r="G2139" s="134" t="n">
        <f aca="false">LEN('Saisie programme'!$J$62)+SUMIFS('Vols additionnels'!$E$7:$E$66,'Vols additionnels'!$C$7:$C$66,$E2139,'Vols additionnels'!$D$7:$D$66,$F2139,'Vols additionnels'!$B$7:$B$66,$D2139)</f>
        <v>0</v>
      </c>
      <c r="H2139" s="135" t="n">
        <f aca="false">$G2139*'Analyse capacite'!$F$8</f>
        <v>0</v>
      </c>
      <c r="I2139" s="135" t="n">
        <f aca="false">$G2139*'Analyse capacite'!$C$8</f>
        <v>0</v>
      </c>
      <c r="J2139" s="135" t="n">
        <f aca="false">$G2139*'Analyse capacite'!$D$8</f>
        <v>0</v>
      </c>
      <c r="K2139" s="135" t="n">
        <f aca="false">$G2139*'Analyse capacite'!$E$8</f>
        <v>0</v>
      </c>
    </row>
    <row r="2140" customFormat="false" ht="15" hidden="false" customHeight="false" outlineLevel="0" collapsed="false">
      <c r="B2140" s="130" t="n">
        <v>2027</v>
      </c>
      <c r="C2140" s="131" t="s">
        <v>247</v>
      </c>
      <c r="D2140" s="132" t="n">
        <v>46537</v>
      </c>
      <c r="E2140" s="131" t="s">
        <v>36</v>
      </c>
      <c r="F2140" s="133" t="s">
        <v>24</v>
      </c>
      <c r="G2140" s="134" t="n">
        <f aca="false">LEN('Saisie programme'!$J$63)+SUMIFS('Vols additionnels'!$E$7:$E$66,'Vols additionnels'!$C$7:$C$66,$E2140,'Vols additionnels'!$D$7:$D$66,$F2140,'Vols additionnels'!$B$7:$B$66,$D2140)</f>
        <v>0</v>
      </c>
      <c r="H2140" s="135" t="n">
        <f aca="false">$G2140*'Analyse capacite'!$F$9</f>
        <v>0</v>
      </c>
      <c r="I2140" s="135" t="n">
        <f aca="false">$G2140*'Analyse capacite'!$C$9</f>
        <v>0</v>
      </c>
      <c r="J2140" s="135" t="n">
        <f aca="false">$G2140*'Analyse capacite'!$D$9</f>
        <v>0</v>
      </c>
      <c r="K2140" s="135" t="n">
        <f aca="false">$G2140*'Analyse capacite'!$E$9</f>
        <v>0</v>
      </c>
    </row>
    <row r="2141" customFormat="false" ht="15" hidden="false" customHeight="false" outlineLevel="0" collapsed="false">
      <c r="B2141" s="130" t="n">
        <v>2027</v>
      </c>
      <c r="C2141" s="131" t="s">
        <v>247</v>
      </c>
      <c r="D2141" s="132" t="n">
        <v>46537</v>
      </c>
      <c r="E2141" s="131" t="s">
        <v>40</v>
      </c>
      <c r="F2141" s="133" t="s">
        <v>11</v>
      </c>
      <c r="G2141" s="134" t="n">
        <f aca="false">LEN('Saisie programme'!$J$64)+SUMIFS('Vols additionnels'!$E$7:$E$66,'Vols additionnels'!$C$7:$C$66,$E2141,'Vols additionnels'!$D$7:$D$66,$F2141,'Vols additionnels'!$B$7:$B$66,$D2141)</f>
        <v>0</v>
      </c>
      <c r="H2141" s="135" t="n">
        <f aca="false">$G2141*'Analyse capacite'!$F$7</f>
        <v>0</v>
      </c>
      <c r="I2141" s="135" t="n">
        <f aca="false">$G2141*'Analyse capacite'!$C$7</f>
        <v>0</v>
      </c>
      <c r="J2141" s="135" t="n">
        <f aca="false">$G2141*'Analyse capacite'!$D$7</f>
        <v>0</v>
      </c>
      <c r="K2141" s="135" t="n">
        <f aca="false">$G2141*'Analyse capacite'!$E$7</f>
        <v>0</v>
      </c>
    </row>
    <row r="2142" customFormat="false" ht="15" hidden="false" customHeight="false" outlineLevel="0" collapsed="false">
      <c r="B2142" s="130" t="n">
        <v>2027</v>
      </c>
      <c r="C2142" s="131" t="s">
        <v>247</v>
      </c>
      <c r="D2142" s="132" t="n">
        <v>46537</v>
      </c>
      <c r="E2142" s="131" t="s">
        <v>40</v>
      </c>
      <c r="F2142" s="133" t="s">
        <v>19</v>
      </c>
      <c r="G2142" s="134" t="n">
        <f aca="false">LEN('Saisie programme'!$J$65)+SUMIFS('Vols additionnels'!$E$7:$E$66,'Vols additionnels'!$C$7:$C$66,$E2142,'Vols additionnels'!$D$7:$D$66,$F2142,'Vols additionnels'!$B$7:$B$66,$D2142)</f>
        <v>0</v>
      </c>
      <c r="H2142" s="135" t="n">
        <f aca="false">$G2142*'Analyse capacite'!$F$8</f>
        <v>0</v>
      </c>
      <c r="I2142" s="135" t="n">
        <f aca="false">$G2142*'Analyse capacite'!$C$8</f>
        <v>0</v>
      </c>
      <c r="J2142" s="135" t="n">
        <f aca="false">$G2142*'Analyse capacite'!$D$8</f>
        <v>0</v>
      </c>
      <c r="K2142" s="135" t="n">
        <f aca="false">$G2142*'Analyse capacite'!$E$8</f>
        <v>0</v>
      </c>
    </row>
    <row r="2143" customFormat="false" ht="15" hidden="false" customHeight="false" outlineLevel="0" collapsed="false">
      <c r="B2143" s="130" t="n">
        <v>2027</v>
      </c>
      <c r="C2143" s="131" t="s">
        <v>247</v>
      </c>
      <c r="D2143" s="132" t="n">
        <v>46537</v>
      </c>
      <c r="E2143" s="131" t="s">
        <v>40</v>
      </c>
      <c r="F2143" s="133" t="s">
        <v>24</v>
      </c>
      <c r="G2143" s="134" t="n">
        <f aca="false">LEN('Saisie programme'!$J$66)+SUMIFS('Vols additionnels'!$E$7:$E$66,'Vols additionnels'!$C$7:$C$66,$E2143,'Vols additionnels'!$D$7:$D$66,$F2143,'Vols additionnels'!$B$7:$B$66,$D2143)</f>
        <v>1</v>
      </c>
      <c r="H2143" s="135" t="n">
        <f aca="false">$G2143*'Analyse capacite'!$F$9</f>
        <v>174</v>
      </c>
      <c r="I2143" s="135" t="n">
        <f aca="false">$G2143*'Analyse capacite'!$C$9</f>
        <v>0</v>
      </c>
      <c r="J2143" s="135" t="n">
        <f aca="false">$G2143*'Analyse capacite'!$D$9</f>
        <v>12</v>
      </c>
      <c r="K2143" s="135" t="n">
        <f aca="false">$G2143*'Analyse capacite'!$E$9</f>
        <v>162</v>
      </c>
    </row>
    <row r="2144" customFormat="false" ht="15" hidden="false" customHeight="false" outlineLevel="0" collapsed="false">
      <c r="B2144" s="130" t="n">
        <v>2027</v>
      </c>
      <c r="C2144" s="131" t="s">
        <v>247</v>
      </c>
      <c r="D2144" s="132" t="n">
        <v>46537</v>
      </c>
      <c r="E2144" s="131" t="s">
        <v>14</v>
      </c>
      <c r="F2144" s="133" t="s">
        <v>11</v>
      </c>
      <c r="G2144" s="134" t="n">
        <f aca="false">LEN('Saisie programme'!$J$67)+SUMIFS('Vols additionnels'!$E$7:$E$66,'Vols additionnels'!$C$7:$C$66,$E2144,'Vols additionnels'!$D$7:$D$66,$F2144,'Vols additionnels'!$B$7:$B$66,$D2144)</f>
        <v>0</v>
      </c>
      <c r="H2144" s="135" t="n">
        <f aca="false">$G2144*'Analyse capacite'!$F$7</f>
        <v>0</v>
      </c>
      <c r="I2144" s="135" t="n">
        <f aca="false">$G2144*'Analyse capacite'!$C$7</f>
        <v>0</v>
      </c>
      <c r="J2144" s="135" t="n">
        <f aca="false">$G2144*'Analyse capacite'!$D$7</f>
        <v>0</v>
      </c>
      <c r="K2144" s="135" t="n">
        <f aca="false">$G2144*'Analyse capacite'!$E$7</f>
        <v>0</v>
      </c>
    </row>
    <row r="2145" customFormat="false" ht="15" hidden="false" customHeight="false" outlineLevel="0" collapsed="false">
      <c r="B2145" s="130" t="n">
        <v>2027</v>
      </c>
      <c r="C2145" s="131" t="s">
        <v>247</v>
      </c>
      <c r="D2145" s="132" t="n">
        <v>46537</v>
      </c>
      <c r="E2145" s="131" t="s">
        <v>14</v>
      </c>
      <c r="F2145" s="133" t="s">
        <v>19</v>
      </c>
      <c r="G2145" s="134" t="n">
        <f aca="false">LEN('Saisie programme'!$J$68)+SUMIFS('Vols additionnels'!$E$7:$E$66,'Vols additionnels'!$C$7:$C$66,$E2145,'Vols additionnels'!$D$7:$D$66,$F2145,'Vols additionnels'!$B$7:$B$66,$D2145)</f>
        <v>0</v>
      </c>
      <c r="H2145" s="135" t="n">
        <f aca="false">$G2145*'Analyse capacite'!$F$8</f>
        <v>0</v>
      </c>
      <c r="I2145" s="135" t="n">
        <f aca="false">$G2145*'Analyse capacite'!$C$8</f>
        <v>0</v>
      </c>
      <c r="J2145" s="135" t="n">
        <f aca="false">$G2145*'Analyse capacite'!$D$8</f>
        <v>0</v>
      </c>
      <c r="K2145" s="135" t="n">
        <f aca="false">$G2145*'Analyse capacite'!$E$8</f>
        <v>0</v>
      </c>
    </row>
    <row r="2146" customFormat="false" ht="15" hidden="false" customHeight="false" outlineLevel="0" collapsed="false">
      <c r="B2146" s="130" t="n">
        <v>2027</v>
      </c>
      <c r="C2146" s="131" t="s">
        <v>247</v>
      </c>
      <c r="D2146" s="132" t="n">
        <v>46537</v>
      </c>
      <c r="E2146" s="131" t="s">
        <v>14</v>
      </c>
      <c r="F2146" s="133" t="s">
        <v>24</v>
      </c>
      <c r="G2146" s="134" t="n">
        <f aca="false">LEN('Saisie programme'!$J$69)+SUMIFS('Vols additionnels'!$E$7:$E$66,'Vols additionnels'!$C$7:$C$66,$E2146,'Vols additionnels'!$D$7:$D$66,$F2146,'Vols additionnels'!$B$7:$B$66,$D2146)</f>
        <v>0</v>
      </c>
      <c r="H2146" s="135" t="n">
        <f aca="false">$G2146*'Analyse capacite'!$F$9</f>
        <v>0</v>
      </c>
      <c r="I2146" s="135" t="n">
        <f aca="false">$G2146*'Analyse capacite'!$C$9</f>
        <v>0</v>
      </c>
      <c r="J2146" s="135" t="n">
        <f aca="false">$G2146*'Analyse capacite'!$D$9</f>
        <v>0</v>
      </c>
      <c r="K2146" s="135" t="n">
        <f aca="false">$G2146*'Analyse capacite'!$E$9</f>
        <v>0</v>
      </c>
    </row>
    <row r="2147" customFormat="false" ht="15" hidden="false" customHeight="false" outlineLevel="0" collapsed="false">
      <c r="B2147" s="130" t="n">
        <v>2027</v>
      </c>
      <c r="C2147" s="131" t="s">
        <v>247</v>
      </c>
      <c r="D2147" s="132" t="n">
        <v>46537</v>
      </c>
      <c r="E2147" s="131" t="s">
        <v>46</v>
      </c>
      <c r="F2147" s="133" t="s">
        <v>11</v>
      </c>
      <c r="G2147" s="134" t="n">
        <f aca="false">LEN('Saisie programme'!$J$70)+SUMIFS('Vols additionnels'!$E$7:$E$66,'Vols additionnels'!$C$7:$C$66,$E2147,'Vols additionnels'!$D$7:$D$66,$F2147,'Vols additionnels'!$B$7:$B$66,$D2147)</f>
        <v>0</v>
      </c>
      <c r="H2147" s="135" t="n">
        <f aca="false">$G2147*'Analyse capacite'!$F$7</f>
        <v>0</v>
      </c>
      <c r="I2147" s="135" t="n">
        <f aca="false">$G2147*'Analyse capacite'!$C$7</f>
        <v>0</v>
      </c>
      <c r="J2147" s="135" t="n">
        <f aca="false">$G2147*'Analyse capacite'!$D$7</f>
        <v>0</v>
      </c>
      <c r="K2147" s="135" t="n">
        <f aca="false">$G2147*'Analyse capacite'!$E$7</f>
        <v>0</v>
      </c>
    </row>
    <row r="2148" customFormat="false" ht="15" hidden="false" customHeight="false" outlineLevel="0" collapsed="false">
      <c r="B2148" s="130" t="n">
        <v>2027</v>
      </c>
      <c r="C2148" s="131" t="s">
        <v>247</v>
      </c>
      <c r="D2148" s="132" t="n">
        <v>46537</v>
      </c>
      <c r="E2148" s="131" t="s">
        <v>46</v>
      </c>
      <c r="F2148" s="133" t="s">
        <v>19</v>
      </c>
      <c r="G2148" s="134" t="n">
        <f aca="false">LEN('Saisie programme'!$J$71)+SUMIFS('Vols additionnels'!$E$7:$E$66,'Vols additionnels'!$C$7:$C$66,$E2148,'Vols additionnels'!$D$7:$D$66,$F2148,'Vols additionnels'!$B$7:$B$66,$D2148)</f>
        <v>0</v>
      </c>
      <c r="H2148" s="135" t="n">
        <f aca="false">$G2148*'Analyse capacite'!$F$8</f>
        <v>0</v>
      </c>
      <c r="I2148" s="135" t="n">
        <f aca="false">$G2148*'Analyse capacite'!$C$8</f>
        <v>0</v>
      </c>
      <c r="J2148" s="135" t="n">
        <f aca="false">$G2148*'Analyse capacite'!$D$8</f>
        <v>0</v>
      </c>
      <c r="K2148" s="135" t="n">
        <f aca="false">$G2148*'Analyse capacite'!$E$8</f>
        <v>0</v>
      </c>
    </row>
    <row r="2149" customFormat="false" ht="15" hidden="false" customHeight="false" outlineLevel="0" collapsed="false">
      <c r="B2149" s="130" t="n">
        <v>2027</v>
      </c>
      <c r="C2149" s="131" t="s">
        <v>247</v>
      </c>
      <c r="D2149" s="132" t="n">
        <v>46537</v>
      </c>
      <c r="E2149" s="131" t="s">
        <v>46</v>
      </c>
      <c r="F2149" s="133" t="s">
        <v>24</v>
      </c>
      <c r="G2149" s="134" t="n">
        <f aca="false">LEN('Saisie programme'!$J$72)+SUMIFS('Vols additionnels'!$E$7:$E$66,'Vols additionnels'!$C$7:$C$66,$E2149,'Vols additionnels'!$D$7:$D$66,$F2149,'Vols additionnels'!$B$7:$B$66,$D2149)</f>
        <v>0</v>
      </c>
      <c r="H2149" s="135" t="n">
        <f aca="false">$G2149*'Analyse capacite'!$F$9</f>
        <v>0</v>
      </c>
      <c r="I2149" s="135" t="n">
        <f aca="false">$G2149*'Analyse capacite'!$C$9</f>
        <v>0</v>
      </c>
      <c r="J2149" s="135" t="n">
        <f aca="false">$G2149*'Analyse capacite'!$D$9</f>
        <v>0</v>
      </c>
      <c r="K2149" s="135" t="n">
        <f aca="false">$G2149*'Analyse capacite'!$E$9</f>
        <v>0</v>
      </c>
    </row>
    <row r="2150" customFormat="false" ht="15" hidden="false" customHeight="false" outlineLevel="0" collapsed="false">
      <c r="B2150" s="130" t="n">
        <v>2027</v>
      </c>
      <c r="C2150" s="131" t="s">
        <v>247</v>
      </c>
      <c r="D2150" s="132" t="n">
        <v>46537</v>
      </c>
      <c r="E2150" s="131" t="s">
        <v>49</v>
      </c>
      <c r="F2150" s="133" t="s">
        <v>11</v>
      </c>
      <c r="G2150" s="134" t="n">
        <f aca="false">LEN('Saisie programme'!$J$73)+SUMIFS('Vols additionnels'!$E$7:$E$66,'Vols additionnels'!$C$7:$C$66,$E2150,'Vols additionnels'!$D$7:$D$66,$F2150,'Vols additionnels'!$B$7:$B$66,$D2150)</f>
        <v>0</v>
      </c>
      <c r="H2150" s="135" t="n">
        <f aca="false">$G2150*'Analyse capacite'!$F$7</f>
        <v>0</v>
      </c>
      <c r="I2150" s="135" t="n">
        <f aca="false">$G2150*'Analyse capacite'!$C$7</f>
        <v>0</v>
      </c>
      <c r="J2150" s="135" t="n">
        <f aca="false">$G2150*'Analyse capacite'!$D$7</f>
        <v>0</v>
      </c>
      <c r="K2150" s="135" t="n">
        <f aca="false">$G2150*'Analyse capacite'!$E$7</f>
        <v>0</v>
      </c>
    </row>
    <row r="2151" customFormat="false" ht="15" hidden="false" customHeight="false" outlineLevel="0" collapsed="false">
      <c r="B2151" s="130" t="n">
        <v>2027</v>
      </c>
      <c r="C2151" s="131" t="s">
        <v>247</v>
      </c>
      <c r="D2151" s="132" t="n">
        <v>46537</v>
      </c>
      <c r="E2151" s="131" t="s">
        <v>49</v>
      </c>
      <c r="F2151" s="133" t="s">
        <v>19</v>
      </c>
      <c r="G2151" s="134" t="n">
        <f aca="false">LEN('Saisie programme'!$J$74)+SUMIFS('Vols additionnels'!$E$7:$E$66,'Vols additionnels'!$C$7:$C$66,$E2151,'Vols additionnels'!$D$7:$D$66,$F2151,'Vols additionnels'!$B$7:$B$66,$D2151)</f>
        <v>0</v>
      </c>
      <c r="H2151" s="135" t="n">
        <f aca="false">$G2151*'Analyse capacite'!$F$8</f>
        <v>0</v>
      </c>
      <c r="I2151" s="135" t="n">
        <f aca="false">$G2151*'Analyse capacite'!$C$8</f>
        <v>0</v>
      </c>
      <c r="J2151" s="135" t="n">
        <f aca="false">$G2151*'Analyse capacite'!$D$8</f>
        <v>0</v>
      </c>
      <c r="K2151" s="135" t="n">
        <f aca="false">$G2151*'Analyse capacite'!$E$8</f>
        <v>0</v>
      </c>
    </row>
    <row r="2152" customFormat="false" ht="15" hidden="false" customHeight="false" outlineLevel="0" collapsed="false">
      <c r="B2152" s="130" t="n">
        <v>2027</v>
      </c>
      <c r="C2152" s="131" t="s">
        <v>247</v>
      </c>
      <c r="D2152" s="132" t="n">
        <v>46537</v>
      </c>
      <c r="E2152" s="131" t="s">
        <v>49</v>
      </c>
      <c r="F2152" s="133" t="s">
        <v>24</v>
      </c>
      <c r="G2152" s="134" t="n">
        <f aca="false">LEN('Saisie programme'!$J$75)+SUMIFS('Vols additionnels'!$E$7:$E$66,'Vols additionnels'!$C$7:$C$66,$E2152,'Vols additionnels'!$D$7:$D$66,$F2152,'Vols additionnels'!$B$7:$B$66,$D2152)</f>
        <v>0</v>
      </c>
      <c r="H2152" s="135" t="n">
        <f aca="false">$G2152*'Analyse capacite'!$F$9</f>
        <v>0</v>
      </c>
      <c r="I2152" s="135" t="n">
        <f aca="false">$G2152*'Analyse capacite'!$C$9</f>
        <v>0</v>
      </c>
      <c r="J2152" s="135" t="n">
        <f aca="false">$G2152*'Analyse capacite'!$D$9</f>
        <v>0</v>
      </c>
      <c r="K2152" s="135" t="n">
        <f aca="false">$G2152*'Analyse capacite'!$E$9</f>
        <v>0</v>
      </c>
    </row>
    <row r="2153" customFormat="false" ht="15" hidden="false" customHeight="false" outlineLevel="0" collapsed="false">
      <c r="B2153" s="130" t="n">
        <v>2027</v>
      </c>
      <c r="C2153" s="131" t="s">
        <v>247</v>
      </c>
      <c r="D2153" s="132" t="n">
        <v>46537</v>
      </c>
      <c r="E2153" s="131" t="s">
        <v>53</v>
      </c>
      <c r="F2153" s="133" t="s">
        <v>11</v>
      </c>
      <c r="G2153" s="134" t="n">
        <f aca="false">LEN('Saisie programme'!$J$76)+SUMIFS('Vols additionnels'!$E$7:$E$66,'Vols additionnels'!$C$7:$C$66,$E2153,'Vols additionnels'!$D$7:$D$66,$F2153,'Vols additionnels'!$B$7:$B$66,$D2153)</f>
        <v>0</v>
      </c>
      <c r="H2153" s="135" t="n">
        <f aca="false">$G2153*'Analyse capacite'!$F$7</f>
        <v>0</v>
      </c>
      <c r="I2153" s="135" t="n">
        <f aca="false">$G2153*'Analyse capacite'!$C$7</f>
        <v>0</v>
      </c>
      <c r="J2153" s="135" t="n">
        <f aca="false">$G2153*'Analyse capacite'!$D$7</f>
        <v>0</v>
      </c>
      <c r="K2153" s="135" t="n">
        <f aca="false">$G2153*'Analyse capacite'!$E$7</f>
        <v>0</v>
      </c>
    </row>
    <row r="2154" customFormat="false" ht="15" hidden="false" customHeight="false" outlineLevel="0" collapsed="false">
      <c r="B2154" s="130" t="n">
        <v>2027</v>
      </c>
      <c r="C2154" s="131" t="s">
        <v>247</v>
      </c>
      <c r="D2154" s="132" t="n">
        <v>46537</v>
      </c>
      <c r="E2154" s="131" t="s">
        <v>53</v>
      </c>
      <c r="F2154" s="133" t="s">
        <v>19</v>
      </c>
      <c r="G2154" s="134" t="n">
        <f aca="false">LEN('Saisie programme'!$J$77)+SUMIFS('Vols additionnels'!$E$7:$E$66,'Vols additionnels'!$C$7:$C$66,$E2154,'Vols additionnels'!$D$7:$D$66,$F2154,'Vols additionnels'!$B$7:$B$66,$D2154)</f>
        <v>0</v>
      </c>
      <c r="H2154" s="135" t="n">
        <f aca="false">$G2154*'Analyse capacite'!$F$8</f>
        <v>0</v>
      </c>
      <c r="I2154" s="135" t="n">
        <f aca="false">$G2154*'Analyse capacite'!$C$8</f>
        <v>0</v>
      </c>
      <c r="J2154" s="135" t="n">
        <f aca="false">$G2154*'Analyse capacite'!$D$8</f>
        <v>0</v>
      </c>
      <c r="K2154" s="135" t="n">
        <f aca="false">$G2154*'Analyse capacite'!$E$8</f>
        <v>0</v>
      </c>
    </row>
    <row r="2155" customFormat="false" ht="15" hidden="false" customHeight="false" outlineLevel="0" collapsed="false">
      <c r="B2155" s="130" t="n">
        <v>2027</v>
      </c>
      <c r="C2155" s="131" t="s">
        <v>247</v>
      </c>
      <c r="D2155" s="132" t="n">
        <v>46537</v>
      </c>
      <c r="E2155" s="131" t="s">
        <v>53</v>
      </c>
      <c r="F2155" s="133" t="s">
        <v>24</v>
      </c>
      <c r="G2155" s="134" t="n">
        <f aca="false">LEN('Saisie programme'!$J$78)+SUMIFS('Vols additionnels'!$E$7:$E$66,'Vols additionnels'!$C$7:$C$66,$E2155,'Vols additionnels'!$D$7:$D$66,$F2155,'Vols additionnels'!$B$7:$B$66,$D2155)</f>
        <v>0</v>
      </c>
      <c r="H2155" s="135" t="n">
        <f aca="false">$G2155*'Analyse capacite'!$F$9</f>
        <v>0</v>
      </c>
      <c r="I2155" s="135" t="n">
        <f aca="false">$G2155*'Analyse capacite'!$C$9</f>
        <v>0</v>
      </c>
      <c r="J2155" s="135" t="n">
        <f aca="false">$G2155*'Analyse capacite'!$D$9</f>
        <v>0</v>
      </c>
      <c r="K2155" s="135" t="n">
        <f aca="false">$G2155*'Analyse capacite'!$E$9</f>
        <v>0</v>
      </c>
    </row>
    <row r="2156" customFormat="false" ht="15" hidden="false" customHeight="false" outlineLevel="0" collapsed="false">
      <c r="B2156" s="130" t="n">
        <v>2027</v>
      </c>
      <c r="C2156" s="131" t="s">
        <v>247</v>
      </c>
      <c r="D2156" s="132" t="n">
        <v>46537</v>
      </c>
      <c r="E2156" s="131" t="s">
        <v>56</v>
      </c>
      <c r="F2156" s="133" t="s">
        <v>11</v>
      </c>
      <c r="G2156" s="134" t="n">
        <f aca="false">LEN('Saisie programme'!$J$79)+SUMIFS('Vols additionnels'!$E$7:$E$66,'Vols additionnels'!$C$7:$C$66,$E2156,'Vols additionnels'!$D$7:$D$66,$F2156,'Vols additionnels'!$B$7:$B$66,$D2156)</f>
        <v>0</v>
      </c>
      <c r="H2156" s="135" t="n">
        <f aca="false">$G2156*'Analyse capacite'!$F$7</f>
        <v>0</v>
      </c>
      <c r="I2156" s="135" t="n">
        <f aca="false">$G2156*'Analyse capacite'!$C$7</f>
        <v>0</v>
      </c>
      <c r="J2156" s="135" t="n">
        <f aca="false">$G2156*'Analyse capacite'!$D$7</f>
        <v>0</v>
      </c>
      <c r="K2156" s="135" t="n">
        <f aca="false">$G2156*'Analyse capacite'!$E$7</f>
        <v>0</v>
      </c>
    </row>
    <row r="2157" customFormat="false" ht="15" hidden="false" customHeight="false" outlineLevel="0" collapsed="false">
      <c r="B2157" s="130" t="n">
        <v>2027</v>
      </c>
      <c r="C2157" s="131" t="s">
        <v>247</v>
      </c>
      <c r="D2157" s="132" t="n">
        <v>46537</v>
      </c>
      <c r="E2157" s="131" t="s">
        <v>56</v>
      </c>
      <c r="F2157" s="133" t="s">
        <v>19</v>
      </c>
      <c r="G2157" s="134" t="n">
        <f aca="false">LEN('Saisie programme'!$J$80)+SUMIFS('Vols additionnels'!$E$7:$E$66,'Vols additionnels'!$C$7:$C$66,$E2157,'Vols additionnels'!$D$7:$D$66,$F2157,'Vols additionnels'!$B$7:$B$66,$D2157)</f>
        <v>0</v>
      </c>
      <c r="H2157" s="135" t="n">
        <f aca="false">$G2157*'Analyse capacite'!$F$8</f>
        <v>0</v>
      </c>
      <c r="I2157" s="135" t="n">
        <f aca="false">$G2157*'Analyse capacite'!$C$8</f>
        <v>0</v>
      </c>
      <c r="J2157" s="135" t="n">
        <f aca="false">$G2157*'Analyse capacite'!$D$8</f>
        <v>0</v>
      </c>
      <c r="K2157" s="135" t="n">
        <f aca="false">$G2157*'Analyse capacite'!$E$8</f>
        <v>0</v>
      </c>
    </row>
    <row r="2158" customFormat="false" ht="15" hidden="false" customHeight="false" outlineLevel="0" collapsed="false">
      <c r="B2158" s="130" t="n">
        <v>2027</v>
      </c>
      <c r="C2158" s="131" t="s">
        <v>247</v>
      </c>
      <c r="D2158" s="132" t="n">
        <v>46537</v>
      </c>
      <c r="E2158" s="131" t="s">
        <v>56</v>
      </c>
      <c r="F2158" s="133" t="s">
        <v>24</v>
      </c>
      <c r="G2158" s="134" t="n">
        <f aca="false">LEN('Saisie programme'!$J$81)+SUMIFS('Vols additionnels'!$E$7:$E$66,'Vols additionnels'!$C$7:$C$66,$E2158,'Vols additionnels'!$D$7:$D$66,$F2158,'Vols additionnels'!$B$7:$B$66,$D2158)</f>
        <v>0</v>
      </c>
      <c r="H2158" s="135" t="n">
        <f aca="false">$G2158*'Analyse capacite'!$F$9</f>
        <v>0</v>
      </c>
      <c r="I2158" s="135" t="n">
        <f aca="false">$G2158*'Analyse capacite'!$C$9</f>
        <v>0</v>
      </c>
      <c r="J2158" s="135" t="n">
        <f aca="false">$G2158*'Analyse capacite'!$D$9</f>
        <v>0</v>
      </c>
      <c r="K2158" s="135" t="n">
        <f aca="false">$G2158*'Analyse capacite'!$E$9</f>
        <v>0</v>
      </c>
    </row>
    <row r="2159" customFormat="false" ht="15" hidden="false" customHeight="false" outlineLevel="0" collapsed="false">
      <c r="B2159" s="130" t="n">
        <v>2027</v>
      </c>
      <c r="C2159" s="131" t="s">
        <v>247</v>
      </c>
      <c r="D2159" s="132" t="n">
        <v>46537</v>
      </c>
      <c r="E2159" s="131" t="s">
        <v>59</v>
      </c>
      <c r="F2159" s="133" t="s">
        <v>11</v>
      </c>
      <c r="G2159" s="134" t="n">
        <f aca="false">LEN('Saisie programme'!$J$82)+SUMIFS('Vols additionnels'!$E$7:$E$66,'Vols additionnels'!$C$7:$C$66,$E2159,'Vols additionnels'!$D$7:$D$66,$F2159,'Vols additionnels'!$B$7:$B$66,$D2159)</f>
        <v>0</v>
      </c>
      <c r="H2159" s="135" t="n">
        <f aca="false">$G2159*'Analyse capacite'!$F$7</f>
        <v>0</v>
      </c>
      <c r="I2159" s="135" t="n">
        <f aca="false">$G2159*'Analyse capacite'!$C$7</f>
        <v>0</v>
      </c>
      <c r="J2159" s="135" t="n">
        <f aca="false">$G2159*'Analyse capacite'!$D$7</f>
        <v>0</v>
      </c>
      <c r="K2159" s="135" t="n">
        <f aca="false">$G2159*'Analyse capacite'!$E$7</f>
        <v>0</v>
      </c>
    </row>
    <row r="2160" customFormat="false" ht="15" hidden="false" customHeight="false" outlineLevel="0" collapsed="false">
      <c r="B2160" s="130" t="n">
        <v>2027</v>
      </c>
      <c r="C2160" s="131" t="s">
        <v>247</v>
      </c>
      <c r="D2160" s="132" t="n">
        <v>46537</v>
      </c>
      <c r="E2160" s="131" t="s">
        <v>59</v>
      </c>
      <c r="F2160" s="133" t="s">
        <v>19</v>
      </c>
      <c r="G2160" s="134" t="n">
        <f aca="false">LEN('Saisie programme'!$J$83)+SUMIFS('Vols additionnels'!$E$7:$E$66,'Vols additionnels'!$C$7:$C$66,$E2160,'Vols additionnels'!$D$7:$D$66,$F2160,'Vols additionnels'!$B$7:$B$66,$D2160)</f>
        <v>0</v>
      </c>
      <c r="H2160" s="135" t="n">
        <f aca="false">$G2160*'Analyse capacite'!$F$8</f>
        <v>0</v>
      </c>
      <c r="I2160" s="135" t="n">
        <f aca="false">$G2160*'Analyse capacite'!$C$8</f>
        <v>0</v>
      </c>
      <c r="J2160" s="135" t="n">
        <f aca="false">$G2160*'Analyse capacite'!$D$8</f>
        <v>0</v>
      </c>
      <c r="K2160" s="135" t="n">
        <f aca="false">$G2160*'Analyse capacite'!$E$8</f>
        <v>0</v>
      </c>
    </row>
    <row r="2161" customFormat="false" ht="15" hidden="false" customHeight="false" outlineLevel="0" collapsed="false">
      <c r="B2161" s="130" t="n">
        <v>2027</v>
      </c>
      <c r="C2161" s="131" t="s">
        <v>247</v>
      </c>
      <c r="D2161" s="132" t="n">
        <v>46537</v>
      </c>
      <c r="E2161" s="131" t="s">
        <v>59</v>
      </c>
      <c r="F2161" s="133" t="s">
        <v>24</v>
      </c>
      <c r="G2161" s="134" t="n">
        <f aca="false">LEN('Saisie programme'!$J$84)+SUMIFS('Vols additionnels'!$E$7:$E$66,'Vols additionnels'!$C$7:$C$66,$E2161,'Vols additionnels'!$D$7:$D$66,$F2161,'Vols additionnels'!$B$7:$B$66,$D2161)</f>
        <v>0</v>
      </c>
      <c r="H2161" s="135" t="n">
        <f aca="false">$G2161*'Analyse capacite'!$F$9</f>
        <v>0</v>
      </c>
      <c r="I2161" s="135" t="n">
        <f aca="false">$G2161*'Analyse capacite'!$C$9</f>
        <v>0</v>
      </c>
      <c r="J2161" s="135" t="n">
        <f aca="false">$G2161*'Analyse capacite'!$D$9</f>
        <v>0</v>
      </c>
      <c r="K2161" s="135" t="n">
        <f aca="false">$G2161*'Analyse capacite'!$E$9</f>
        <v>0</v>
      </c>
    </row>
    <row r="2162" customFormat="false" ht="15" hidden="false" customHeight="false" outlineLevel="0" collapsed="false">
      <c r="B2162" s="130" t="n">
        <v>2027</v>
      </c>
      <c r="C2162" s="131" t="s">
        <v>247</v>
      </c>
      <c r="D2162" s="132" t="n">
        <v>46537</v>
      </c>
      <c r="E2162" s="131" t="s">
        <v>62</v>
      </c>
      <c r="F2162" s="133" t="s">
        <v>11</v>
      </c>
      <c r="G2162" s="134" t="n">
        <f aca="false">LEN('Saisie programme'!$J$85)+SUMIFS('Vols additionnels'!$E$7:$E$66,'Vols additionnels'!$C$7:$C$66,$E2162,'Vols additionnels'!$D$7:$D$66,$F2162,'Vols additionnels'!$B$7:$B$66,$D2162)</f>
        <v>0</v>
      </c>
      <c r="H2162" s="135" t="n">
        <f aca="false">$G2162*'Analyse capacite'!$F$7</f>
        <v>0</v>
      </c>
      <c r="I2162" s="135" t="n">
        <f aca="false">$G2162*'Analyse capacite'!$C$7</f>
        <v>0</v>
      </c>
      <c r="J2162" s="135" t="n">
        <f aca="false">$G2162*'Analyse capacite'!$D$7</f>
        <v>0</v>
      </c>
      <c r="K2162" s="135" t="n">
        <f aca="false">$G2162*'Analyse capacite'!$E$7</f>
        <v>0</v>
      </c>
    </row>
    <row r="2163" customFormat="false" ht="15" hidden="false" customHeight="false" outlineLevel="0" collapsed="false">
      <c r="B2163" s="130" t="n">
        <v>2027</v>
      </c>
      <c r="C2163" s="131" t="s">
        <v>247</v>
      </c>
      <c r="D2163" s="132" t="n">
        <v>46537</v>
      </c>
      <c r="E2163" s="131" t="s">
        <v>62</v>
      </c>
      <c r="F2163" s="133" t="s">
        <v>19</v>
      </c>
      <c r="G2163" s="134" t="n">
        <f aca="false">LEN('Saisie programme'!$J$86)+SUMIFS('Vols additionnels'!$E$7:$E$66,'Vols additionnels'!$C$7:$C$66,$E2163,'Vols additionnels'!$D$7:$D$66,$F2163,'Vols additionnels'!$B$7:$B$66,$D2163)</f>
        <v>0</v>
      </c>
      <c r="H2163" s="135" t="n">
        <f aca="false">$G2163*'Analyse capacite'!$F$8</f>
        <v>0</v>
      </c>
      <c r="I2163" s="135" t="n">
        <f aca="false">$G2163*'Analyse capacite'!$C$8</f>
        <v>0</v>
      </c>
      <c r="J2163" s="135" t="n">
        <f aca="false">$G2163*'Analyse capacite'!$D$8</f>
        <v>0</v>
      </c>
      <c r="K2163" s="135" t="n">
        <f aca="false">$G2163*'Analyse capacite'!$E$8</f>
        <v>0</v>
      </c>
    </row>
    <row r="2164" customFormat="false" ht="15" hidden="false" customHeight="false" outlineLevel="0" collapsed="false">
      <c r="B2164" s="130" t="n">
        <v>2027</v>
      </c>
      <c r="C2164" s="131" t="s">
        <v>247</v>
      </c>
      <c r="D2164" s="132" t="n">
        <v>46537</v>
      </c>
      <c r="E2164" s="131" t="s">
        <v>62</v>
      </c>
      <c r="F2164" s="133" t="s">
        <v>24</v>
      </c>
      <c r="G2164" s="134" t="n">
        <f aca="false">LEN('Saisie programme'!$J$87)+SUMIFS('Vols additionnels'!$E$7:$E$66,'Vols additionnels'!$C$7:$C$66,$E2164,'Vols additionnels'!$D$7:$D$66,$F2164,'Vols additionnels'!$B$7:$B$66,$D2164)</f>
        <v>1</v>
      </c>
      <c r="H2164" s="135" t="n">
        <f aca="false">$G2164*'Analyse capacite'!$F$9</f>
        <v>174</v>
      </c>
      <c r="I2164" s="135" t="n">
        <f aca="false">$G2164*'Analyse capacite'!$C$9</f>
        <v>0</v>
      </c>
      <c r="J2164" s="135" t="n">
        <f aca="false">$G2164*'Analyse capacite'!$D$9</f>
        <v>12</v>
      </c>
      <c r="K2164" s="135" t="n">
        <f aca="false">$G2164*'Analyse capacite'!$E$9</f>
        <v>162</v>
      </c>
    </row>
    <row r="2165" customFormat="false" ht="15" hidden="false" customHeight="false" outlineLevel="0" collapsed="false">
      <c r="B2165" s="130" t="n">
        <v>2027</v>
      </c>
      <c r="C2165" s="131" t="s">
        <v>247</v>
      </c>
      <c r="D2165" s="132" t="n">
        <v>46538</v>
      </c>
      <c r="E2165" s="131" t="s">
        <v>12</v>
      </c>
      <c r="F2165" s="133" t="s">
        <v>11</v>
      </c>
      <c r="G2165" s="134" t="n">
        <f aca="false">LEN('Saisie programme'!$D$52)+SUMIFS('Vols additionnels'!$E$7:$E$66,'Vols additionnels'!$C$7:$C$66,$E2165,'Vols additionnels'!$D$7:$D$66,$F2165,'Vols additionnels'!$B$7:$B$66,$D2165)</f>
        <v>1</v>
      </c>
      <c r="H2165" s="135" t="n">
        <f aca="false">$G2165*'Analyse capacite'!$F$7</f>
        <v>438</v>
      </c>
      <c r="I2165" s="135" t="n">
        <f aca="false">$G2165*'Analyse capacite'!$C$7</f>
        <v>14</v>
      </c>
      <c r="J2165" s="135" t="n">
        <f aca="false">$G2165*'Analyse capacite'!$D$7</f>
        <v>40</v>
      </c>
      <c r="K2165" s="135" t="n">
        <f aca="false">$G2165*'Analyse capacite'!$E$7</f>
        <v>384</v>
      </c>
    </row>
    <row r="2166" customFormat="false" ht="15" hidden="false" customHeight="false" outlineLevel="0" collapsed="false">
      <c r="B2166" s="130" t="n">
        <v>2027</v>
      </c>
      <c r="C2166" s="131" t="s">
        <v>247</v>
      </c>
      <c r="D2166" s="132" t="n">
        <v>46538</v>
      </c>
      <c r="E2166" s="131" t="s">
        <v>12</v>
      </c>
      <c r="F2166" s="133" t="s">
        <v>19</v>
      </c>
      <c r="G2166" s="134" t="n">
        <f aca="false">LEN('Saisie programme'!$D$53)+SUMIFS('Vols additionnels'!$E$7:$E$66,'Vols additionnels'!$C$7:$C$66,$E2166,'Vols additionnels'!$D$7:$D$66,$F2166,'Vols additionnels'!$B$7:$B$66,$D2166)</f>
        <v>1</v>
      </c>
      <c r="H2166" s="135" t="n">
        <f aca="false">$G2166*'Analyse capacite'!$F$8</f>
        <v>262</v>
      </c>
      <c r="I2166" s="135" t="n">
        <f aca="false">$G2166*'Analyse capacite'!$C$8</f>
        <v>18</v>
      </c>
      <c r="J2166" s="135" t="n">
        <f aca="false">$G2166*'Analyse capacite'!$D$8</f>
        <v>0</v>
      </c>
      <c r="K2166" s="135" t="n">
        <f aca="false">$G2166*'Analyse capacite'!$E$8</f>
        <v>244</v>
      </c>
    </row>
    <row r="2167" customFormat="false" ht="15" hidden="false" customHeight="false" outlineLevel="0" collapsed="false">
      <c r="B2167" s="130" t="n">
        <v>2027</v>
      </c>
      <c r="C2167" s="131" t="s">
        <v>247</v>
      </c>
      <c r="D2167" s="132" t="n">
        <v>46538</v>
      </c>
      <c r="E2167" s="131" t="s">
        <v>12</v>
      </c>
      <c r="F2167" s="133" t="s">
        <v>24</v>
      </c>
      <c r="G2167" s="134" t="n">
        <f aca="false">LEN('Saisie programme'!$D$54)+SUMIFS('Vols additionnels'!$E$7:$E$66,'Vols additionnels'!$C$7:$C$66,$E2167,'Vols additionnels'!$D$7:$D$66,$F2167,'Vols additionnels'!$B$7:$B$66,$D2167)</f>
        <v>2</v>
      </c>
      <c r="H2167" s="135" t="n">
        <f aca="false">$G2167*'Analyse capacite'!$F$9</f>
        <v>348</v>
      </c>
      <c r="I2167" s="135" t="n">
        <f aca="false">$G2167*'Analyse capacite'!$C$9</f>
        <v>0</v>
      </c>
      <c r="J2167" s="135" t="n">
        <f aca="false">$G2167*'Analyse capacite'!$D$9</f>
        <v>24</v>
      </c>
      <c r="K2167" s="135" t="n">
        <f aca="false">$G2167*'Analyse capacite'!$E$9</f>
        <v>324</v>
      </c>
    </row>
    <row r="2168" customFormat="false" ht="15" hidden="false" customHeight="false" outlineLevel="0" collapsed="false">
      <c r="B2168" s="130" t="n">
        <v>2027</v>
      </c>
      <c r="C2168" s="131" t="s">
        <v>247</v>
      </c>
      <c r="D2168" s="132" t="n">
        <v>46538</v>
      </c>
      <c r="E2168" s="131" t="s">
        <v>20</v>
      </c>
      <c r="F2168" s="133" t="s">
        <v>11</v>
      </c>
      <c r="G2168" s="134" t="n">
        <f aca="false">LEN('Saisie programme'!$D$55)+SUMIFS('Vols additionnels'!$E$7:$E$66,'Vols additionnels'!$C$7:$C$66,$E2168,'Vols additionnels'!$D$7:$D$66,$F2168,'Vols additionnels'!$B$7:$B$66,$D2168)</f>
        <v>0</v>
      </c>
      <c r="H2168" s="135" t="n">
        <f aca="false">$G2168*'Analyse capacite'!$F$7</f>
        <v>0</v>
      </c>
      <c r="I2168" s="135" t="n">
        <f aca="false">$G2168*'Analyse capacite'!$C$7</f>
        <v>0</v>
      </c>
      <c r="J2168" s="135" t="n">
        <f aca="false">$G2168*'Analyse capacite'!$D$7</f>
        <v>0</v>
      </c>
      <c r="K2168" s="135" t="n">
        <f aca="false">$G2168*'Analyse capacite'!$E$7</f>
        <v>0</v>
      </c>
    </row>
    <row r="2169" customFormat="false" ht="15" hidden="false" customHeight="false" outlineLevel="0" collapsed="false">
      <c r="B2169" s="130" t="n">
        <v>2027</v>
      </c>
      <c r="C2169" s="131" t="s">
        <v>247</v>
      </c>
      <c r="D2169" s="132" t="n">
        <v>46538</v>
      </c>
      <c r="E2169" s="131" t="s">
        <v>20</v>
      </c>
      <c r="F2169" s="133" t="s">
        <v>19</v>
      </c>
      <c r="G2169" s="134" t="n">
        <f aca="false">LEN('Saisie programme'!$D$56)+SUMIFS('Vols additionnels'!$E$7:$E$66,'Vols additionnels'!$C$7:$C$66,$E2169,'Vols additionnels'!$D$7:$D$66,$F2169,'Vols additionnels'!$B$7:$B$66,$D2169)</f>
        <v>0</v>
      </c>
      <c r="H2169" s="135" t="n">
        <f aca="false">$G2169*'Analyse capacite'!$F$8</f>
        <v>0</v>
      </c>
      <c r="I2169" s="135" t="n">
        <f aca="false">$G2169*'Analyse capacite'!$C$8</f>
        <v>0</v>
      </c>
      <c r="J2169" s="135" t="n">
        <f aca="false">$G2169*'Analyse capacite'!$D$8</f>
        <v>0</v>
      </c>
      <c r="K2169" s="135" t="n">
        <f aca="false">$G2169*'Analyse capacite'!$E$8</f>
        <v>0</v>
      </c>
    </row>
    <row r="2170" customFormat="false" ht="15" hidden="false" customHeight="false" outlineLevel="0" collapsed="false">
      <c r="B2170" s="130" t="n">
        <v>2027</v>
      </c>
      <c r="C2170" s="131" t="s">
        <v>247</v>
      </c>
      <c r="D2170" s="132" t="n">
        <v>46538</v>
      </c>
      <c r="E2170" s="131" t="s">
        <v>20</v>
      </c>
      <c r="F2170" s="133" t="s">
        <v>24</v>
      </c>
      <c r="G2170" s="134" t="n">
        <f aca="false">LEN('Saisie programme'!$D$57)+SUMIFS('Vols additionnels'!$E$7:$E$66,'Vols additionnels'!$C$7:$C$66,$E2170,'Vols additionnels'!$D$7:$D$66,$F2170,'Vols additionnels'!$B$7:$B$66,$D2170)</f>
        <v>0</v>
      </c>
      <c r="H2170" s="135" t="n">
        <f aca="false">$G2170*'Analyse capacite'!$F$9</f>
        <v>0</v>
      </c>
      <c r="I2170" s="135" t="n">
        <f aca="false">$G2170*'Analyse capacite'!$C$9</f>
        <v>0</v>
      </c>
      <c r="J2170" s="135" t="n">
        <f aca="false">$G2170*'Analyse capacite'!$D$9</f>
        <v>0</v>
      </c>
      <c r="K2170" s="135" t="n">
        <f aca="false">$G2170*'Analyse capacite'!$E$9</f>
        <v>0</v>
      </c>
    </row>
    <row r="2171" customFormat="false" ht="15" hidden="false" customHeight="false" outlineLevel="0" collapsed="false">
      <c r="B2171" s="130" t="n">
        <v>2027</v>
      </c>
      <c r="C2171" s="131" t="s">
        <v>247</v>
      </c>
      <c r="D2171" s="132" t="n">
        <v>46538</v>
      </c>
      <c r="E2171" s="131" t="s">
        <v>25</v>
      </c>
      <c r="F2171" s="133" t="s">
        <v>11</v>
      </c>
      <c r="G2171" s="134" t="n">
        <f aca="false">LEN('Saisie programme'!$D$58)+SUMIFS('Vols additionnels'!$E$7:$E$66,'Vols additionnels'!$C$7:$C$66,$E2171,'Vols additionnels'!$D$7:$D$66,$F2171,'Vols additionnels'!$B$7:$B$66,$D2171)</f>
        <v>0</v>
      </c>
      <c r="H2171" s="135" t="n">
        <f aca="false">$G2171*'Analyse capacite'!$F$7</f>
        <v>0</v>
      </c>
      <c r="I2171" s="135" t="n">
        <f aca="false">$G2171*'Analyse capacite'!$C$7</f>
        <v>0</v>
      </c>
      <c r="J2171" s="135" t="n">
        <f aca="false">$G2171*'Analyse capacite'!$D$7</f>
        <v>0</v>
      </c>
      <c r="K2171" s="135" t="n">
        <f aca="false">$G2171*'Analyse capacite'!$E$7</f>
        <v>0</v>
      </c>
    </row>
    <row r="2172" customFormat="false" ht="15" hidden="false" customHeight="false" outlineLevel="0" collapsed="false">
      <c r="B2172" s="130" t="n">
        <v>2027</v>
      </c>
      <c r="C2172" s="131" t="s">
        <v>247</v>
      </c>
      <c r="D2172" s="132" t="n">
        <v>46538</v>
      </c>
      <c r="E2172" s="131" t="s">
        <v>25</v>
      </c>
      <c r="F2172" s="133" t="s">
        <v>19</v>
      </c>
      <c r="G2172" s="134" t="n">
        <f aca="false">LEN('Saisie programme'!$D$59)+SUMIFS('Vols additionnels'!$E$7:$E$66,'Vols additionnels'!$C$7:$C$66,$E2172,'Vols additionnels'!$D$7:$D$66,$F2172,'Vols additionnels'!$B$7:$B$66,$D2172)</f>
        <v>0</v>
      </c>
      <c r="H2172" s="135" t="n">
        <f aca="false">$G2172*'Analyse capacite'!$F$8</f>
        <v>0</v>
      </c>
      <c r="I2172" s="135" t="n">
        <f aca="false">$G2172*'Analyse capacite'!$C$8</f>
        <v>0</v>
      </c>
      <c r="J2172" s="135" t="n">
        <f aca="false">$G2172*'Analyse capacite'!$D$8</f>
        <v>0</v>
      </c>
      <c r="K2172" s="135" t="n">
        <f aca="false">$G2172*'Analyse capacite'!$E$8</f>
        <v>0</v>
      </c>
    </row>
    <row r="2173" customFormat="false" ht="15" hidden="false" customHeight="false" outlineLevel="0" collapsed="false">
      <c r="B2173" s="130" t="n">
        <v>2027</v>
      </c>
      <c r="C2173" s="131" t="s">
        <v>247</v>
      </c>
      <c r="D2173" s="132" t="n">
        <v>46538</v>
      </c>
      <c r="E2173" s="131" t="s">
        <v>25</v>
      </c>
      <c r="F2173" s="133" t="s">
        <v>24</v>
      </c>
      <c r="G2173" s="134" t="n">
        <f aca="false">LEN('Saisie programme'!$D$60)+SUMIFS('Vols additionnels'!$E$7:$E$66,'Vols additionnels'!$C$7:$C$66,$E2173,'Vols additionnels'!$D$7:$D$66,$F2173,'Vols additionnels'!$B$7:$B$66,$D2173)</f>
        <v>0</v>
      </c>
      <c r="H2173" s="135" t="n">
        <f aca="false">$G2173*'Analyse capacite'!$F$9</f>
        <v>0</v>
      </c>
      <c r="I2173" s="135" t="n">
        <f aca="false">$G2173*'Analyse capacite'!$C$9</f>
        <v>0</v>
      </c>
      <c r="J2173" s="135" t="n">
        <f aca="false">$G2173*'Analyse capacite'!$D$9</f>
        <v>0</v>
      </c>
      <c r="K2173" s="135" t="n">
        <f aca="false">$G2173*'Analyse capacite'!$E$9</f>
        <v>0</v>
      </c>
    </row>
    <row r="2174" customFormat="false" ht="15" hidden="false" customHeight="false" outlineLevel="0" collapsed="false">
      <c r="B2174" s="130" t="n">
        <v>2027</v>
      </c>
      <c r="C2174" s="131" t="s">
        <v>247</v>
      </c>
      <c r="D2174" s="132" t="n">
        <v>46538</v>
      </c>
      <c r="E2174" s="131" t="s">
        <v>36</v>
      </c>
      <c r="F2174" s="133" t="s">
        <v>11</v>
      </c>
      <c r="G2174" s="134" t="n">
        <f aca="false">LEN('Saisie programme'!$D$61)+SUMIFS('Vols additionnels'!$E$7:$E$66,'Vols additionnels'!$C$7:$C$66,$E2174,'Vols additionnels'!$D$7:$D$66,$F2174,'Vols additionnels'!$B$7:$B$66,$D2174)</f>
        <v>0</v>
      </c>
      <c r="H2174" s="135" t="n">
        <f aca="false">$G2174*'Analyse capacite'!$F$7</f>
        <v>0</v>
      </c>
      <c r="I2174" s="135" t="n">
        <f aca="false">$G2174*'Analyse capacite'!$C$7</f>
        <v>0</v>
      </c>
      <c r="J2174" s="135" t="n">
        <f aca="false">$G2174*'Analyse capacite'!$D$7</f>
        <v>0</v>
      </c>
      <c r="K2174" s="135" t="n">
        <f aca="false">$G2174*'Analyse capacite'!$E$7</f>
        <v>0</v>
      </c>
    </row>
    <row r="2175" customFormat="false" ht="15" hidden="false" customHeight="false" outlineLevel="0" collapsed="false">
      <c r="B2175" s="130" t="n">
        <v>2027</v>
      </c>
      <c r="C2175" s="131" t="s">
        <v>247</v>
      </c>
      <c r="D2175" s="132" t="n">
        <v>46538</v>
      </c>
      <c r="E2175" s="131" t="s">
        <v>36</v>
      </c>
      <c r="F2175" s="133" t="s">
        <v>19</v>
      </c>
      <c r="G2175" s="134" t="n">
        <f aca="false">LEN('Saisie programme'!$D$62)+SUMIFS('Vols additionnels'!$E$7:$E$66,'Vols additionnels'!$C$7:$C$66,$E2175,'Vols additionnels'!$D$7:$D$66,$F2175,'Vols additionnels'!$B$7:$B$66,$D2175)</f>
        <v>0</v>
      </c>
      <c r="H2175" s="135" t="n">
        <f aca="false">$G2175*'Analyse capacite'!$F$8</f>
        <v>0</v>
      </c>
      <c r="I2175" s="135" t="n">
        <f aca="false">$G2175*'Analyse capacite'!$C$8</f>
        <v>0</v>
      </c>
      <c r="J2175" s="135" t="n">
        <f aca="false">$G2175*'Analyse capacite'!$D$8</f>
        <v>0</v>
      </c>
      <c r="K2175" s="135" t="n">
        <f aca="false">$G2175*'Analyse capacite'!$E$8</f>
        <v>0</v>
      </c>
    </row>
    <row r="2176" customFormat="false" ht="15" hidden="false" customHeight="false" outlineLevel="0" collapsed="false">
      <c r="B2176" s="130" t="n">
        <v>2027</v>
      </c>
      <c r="C2176" s="131" t="s">
        <v>247</v>
      </c>
      <c r="D2176" s="132" t="n">
        <v>46538</v>
      </c>
      <c r="E2176" s="131" t="s">
        <v>36</v>
      </c>
      <c r="F2176" s="133" t="s">
        <v>24</v>
      </c>
      <c r="G2176" s="134" t="n">
        <f aca="false">LEN('Saisie programme'!$D$63)+SUMIFS('Vols additionnels'!$E$7:$E$66,'Vols additionnels'!$C$7:$C$66,$E2176,'Vols additionnels'!$D$7:$D$66,$F2176,'Vols additionnels'!$B$7:$B$66,$D2176)</f>
        <v>1</v>
      </c>
      <c r="H2176" s="135" t="n">
        <f aca="false">$G2176*'Analyse capacite'!$F$9</f>
        <v>174</v>
      </c>
      <c r="I2176" s="135" t="n">
        <f aca="false">$G2176*'Analyse capacite'!$C$9</f>
        <v>0</v>
      </c>
      <c r="J2176" s="135" t="n">
        <f aca="false">$G2176*'Analyse capacite'!$D$9</f>
        <v>12</v>
      </c>
      <c r="K2176" s="135" t="n">
        <f aca="false">$G2176*'Analyse capacite'!$E$9</f>
        <v>162</v>
      </c>
    </row>
    <row r="2177" customFormat="false" ht="15" hidden="false" customHeight="false" outlineLevel="0" collapsed="false">
      <c r="B2177" s="130" t="n">
        <v>2027</v>
      </c>
      <c r="C2177" s="131" t="s">
        <v>247</v>
      </c>
      <c r="D2177" s="132" t="n">
        <v>46538</v>
      </c>
      <c r="E2177" s="131" t="s">
        <v>40</v>
      </c>
      <c r="F2177" s="133" t="s">
        <v>11</v>
      </c>
      <c r="G2177" s="134" t="n">
        <f aca="false">LEN('Saisie programme'!$D$64)+SUMIFS('Vols additionnels'!$E$7:$E$66,'Vols additionnels'!$C$7:$C$66,$E2177,'Vols additionnels'!$D$7:$D$66,$F2177,'Vols additionnels'!$B$7:$B$66,$D2177)</f>
        <v>0</v>
      </c>
      <c r="H2177" s="135" t="n">
        <f aca="false">$G2177*'Analyse capacite'!$F$7</f>
        <v>0</v>
      </c>
      <c r="I2177" s="135" t="n">
        <f aca="false">$G2177*'Analyse capacite'!$C$7</f>
        <v>0</v>
      </c>
      <c r="J2177" s="135" t="n">
        <f aca="false">$G2177*'Analyse capacite'!$D$7</f>
        <v>0</v>
      </c>
      <c r="K2177" s="135" t="n">
        <f aca="false">$G2177*'Analyse capacite'!$E$7</f>
        <v>0</v>
      </c>
    </row>
    <row r="2178" customFormat="false" ht="15" hidden="false" customHeight="false" outlineLevel="0" collapsed="false">
      <c r="B2178" s="130" t="n">
        <v>2027</v>
      </c>
      <c r="C2178" s="131" t="s">
        <v>247</v>
      </c>
      <c r="D2178" s="132" t="n">
        <v>46538</v>
      </c>
      <c r="E2178" s="131" t="s">
        <v>40</v>
      </c>
      <c r="F2178" s="133" t="s">
        <v>19</v>
      </c>
      <c r="G2178" s="134" t="n">
        <f aca="false">LEN('Saisie programme'!$D$65)+SUMIFS('Vols additionnels'!$E$7:$E$66,'Vols additionnels'!$C$7:$C$66,$E2178,'Vols additionnels'!$D$7:$D$66,$F2178,'Vols additionnels'!$B$7:$B$66,$D2178)</f>
        <v>0</v>
      </c>
      <c r="H2178" s="135" t="n">
        <f aca="false">$G2178*'Analyse capacite'!$F$8</f>
        <v>0</v>
      </c>
      <c r="I2178" s="135" t="n">
        <f aca="false">$G2178*'Analyse capacite'!$C$8</f>
        <v>0</v>
      </c>
      <c r="J2178" s="135" t="n">
        <f aca="false">$G2178*'Analyse capacite'!$D$8</f>
        <v>0</v>
      </c>
      <c r="K2178" s="135" t="n">
        <f aca="false">$G2178*'Analyse capacite'!$E$8</f>
        <v>0</v>
      </c>
    </row>
    <row r="2179" customFormat="false" ht="15" hidden="false" customHeight="false" outlineLevel="0" collapsed="false">
      <c r="B2179" s="130" t="n">
        <v>2027</v>
      </c>
      <c r="C2179" s="131" t="s">
        <v>247</v>
      </c>
      <c r="D2179" s="132" t="n">
        <v>46538</v>
      </c>
      <c r="E2179" s="131" t="s">
        <v>40</v>
      </c>
      <c r="F2179" s="133" t="s">
        <v>24</v>
      </c>
      <c r="G2179" s="134" t="n">
        <f aca="false">LEN('Saisie programme'!$D$66)+SUMIFS('Vols additionnels'!$E$7:$E$66,'Vols additionnels'!$C$7:$C$66,$E2179,'Vols additionnels'!$D$7:$D$66,$F2179,'Vols additionnels'!$B$7:$B$66,$D2179)</f>
        <v>1</v>
      </c>
      <c r="H2179" s="135" t="n">
        <f aca="false">$G2179*'Analyse capacite'!$F$9</f>
        <v>174</v>
      </c>
      <c r="I2179" s="135" t="n">
        <f aca="false">$G2179*'Analyse capacite'!$C$9</f>
        <v>0</v>
      </c>
      <c r="J2179" s="135" t="n">
        <f aca="false">$G2179*'Analyse capacite'!$D$9</f>
        <v>12</v>
      </c>
      <c r="K2179" s="135" t="n">
        <f aca="false">$G2179*'Analyse capacite'!$E$9</f>
        <v>162</v>
      </c>
    </row>
    <row r="2180" customFormat="false" ht="15" hidden="false" customHeight="false" outlineLevel="0" collapsed="false">
      <c r="B2180" s="130" t="n">
        <v>2027</v>
      </c>
      <c r="C2180" s="131" t="s">
        <v>247</v>
      </c>
      <c r="D2180" s="132" t="n">
        <v>46538</v>
      </c>
      <c r="E2180" s="131" t="s">
        <v>14</v>
      </c>
      <c r="F2180" s="133" t="s">
        <v>11</v>
      </c>
      <c r="G2180" s="134" t="n">
        <f aca="false">LEN('Saisie programme'!$D$67)+SUMIFS('Vols additionnels'!$E$7:$E$66,'Vols additionnels'!$C$7:$C$66,$E2180,'Vols additionnels'!$D$7:$D$66,$F2180,'Vols additionnels'!$B$7:$B$66,$D2180)</f>
        <v>0</v>
      </c>
      <c r="H2180" s="135" t="n">
        <f aca="false">$G2180*'Analyse capacite'!$F$7</f>
        <v>0</v>
      </c>
      <c r="I2180" s="135" t="n">
        <f aca="false">$G2180*'Analyse capacite'!$C$7</f>
        <v>0</v>
      </c>
      <c r="J2180" s="135" t="n">
        <f aca="false">$G2180*'Analyse capacite'!$D$7</f>
        <v>0</v>
      </c>
      <c r="K2180" s="135" t="n">
        <f aca="false">$G2180*'Analyse capacite'!$E$7</f>
        <v>0</v>
      </c>
    </row>
    <row r="2181" customFormat="false" ht="15" hidden="false" customHeight="false" outlineLevel="0" collapsed="false">
      <c r="B2181" s="130" t="n">
        <v>2027</v>
      </c>
      <c r="C2181" s="131" t="s">
        <v>247</v>
      </c>
      <c r="D2181" s="132" t="n">
        <v>46538</v>
      </c>
      <c r="E2181" s="131" t="s">
        <v>14</v>
      </c>
      <c r="F2181" s="133" t="s">
        <v>19</v>
      </c>
      <c r="G2181" s="134" t="n">
        <f aca="false">LEN('Saisie programme'!$D$68)+SUMIFS('Vols additionnels'!$E$7:$E$66,'Vols additionnels'!$C$7:$C$66,$E2181,'Vols additionnels'!$D$7:$D$66,$F2181,'Vols additionnels'!$B$7:$B$66,$D2181)</f>
        <v>0</v>
      </c>
      <c r="H2181" s="135" t="n">
        <f aca="false">$G2181*'Analyse capacite'!$F$8</f>
        <v>0</v>
      </c>
      <c r="I2181" s="135" t="n">
        <f aca="false">$G2181*'Analyse capacite'!$C$8</f>
        <v>0</v>
      </c>
      <c r="J2181" s="135" t="n">
        <f aca="false">$G2181*'Analyse capacite'!$D$8</f>
        <v>0</v>
      </c>
      <c r="K2181" s="135" t="n">
        <f aca="false">$G2181*'Analyse capacite'!$E$8</f>
        <v>0</v>
      </c>
    </row>
    <row r="2182" customFormat="false" ht="15" hidden="false" customHeight="false" outlineLevel="0" collapsed="false">
      <c r="B2182" s="130" t="n">
        <v>2027</v>
      </c>
      <c r="C2182" s="131" t="s">
        <v>247</v>
      </c>
      <c r="D2182" s="132" t="n">
        <v>46538</v>
      </c>
      <c r="E2182" s="131" t="s">
        <v>14</v>
      </c>
      <c r="F2182" s="133" t="s">
        <v>24</v>
      </c>
      <c r="G2182" s="134" t="n">
        <f aca="false">LEN('Saisie programme'!$D$69)+SUMIFS('Vols additionnels'!$E$7:$E$66,'Vols additionnels'!$C$7:$C$66,$E2182,'Vols additionnels'!$D$7:$D$66,$F2182,'Vols additionnels'!$B$7:$B$66,$D2182)</f>
        <v>1</v>
      </c>
      <c r="H2182" s="135" t="n">
        <f aca="false">$G2182*'Analyse capacite'!$F$9</f>
        <v>174</v>
      </c>
      <c r="I2182" s="135" t="n">
        <f aca="false">$G2182*'Analyse capacite'!$C$9</f>
        <v>0</v>
      </c>
      <c r="J2182" s="135" t="n">
        <f aca="false">$G2182*'Analyse capacite'!$D$9</f>
        <v>12</v>
      </c>
      <c r="K2182" s="135" t="n">
        <f aca="false">$G2182*'Analyse capacite'!$E$9</f>
        <v>162</v>
      </c>
    </row>
    <row r="2183" customFormat="false" ht="15" hidden="false" customHeight="false" outlineLevel="0" collapsed="false">
      <c r="B2183" s="130" t="n">
        <v>2027</v>
      </c>
      <c r="C2183" s="131" t="s">
        <v>247</v>
      </c>
      <c r="D2183" s="132" t="n">
        <v>46538</v>
      </c>
      <c r="E2183" s="131" t="s">
        <v>46</v>
      </c>
      <c r="F2183" s="133" t="s">
        <v>11</v>
      </c>
      <c r="G2183" s="134" t="n">
        <f aca="false">LEN('Saisie programme'!$D$70)+SUMIFS('Vols additionnels'!$E$7:$E$66,'Vols additionnels'!$C$7:$C$66,$E2183,'Vols additionnels'!$D$7:$D$66,$F2183,'Vols additionnels'!$B$7:$B$66,$D2183)</f>
        <v>0</v>
      </c>
      <c r="H2183" s="135" t="n">
        <f aca="false">$G2183*'Analyse capacite'!$F$7</f>
        <v>0</v>
      </c>
      <c r="I2183" s="135" t="n">
        <f aca="false">$G2183*'Analyse capacite'!$C$7</f>
        <v>0</v>
      </c>
      <c r="J2183" s="135" t="n">
        <f aca="false">$G2183*'Analyse capacite'!$D$7</f>
        <v>0</v>
      </c>
      <c r="K2183" s="135" t="n">
        <f aca="false">$G2183*'Analyse capacite'!$E$7</f>
        <v>0</v>
      </c>
    </row>
    <row r="2184" customFormat="false" ht="15" hidden="false" customHeight="false" outlineLevel="0" collapsed="false">
      <c r="B2184" s="130" t="n">
        <v>2027</v>
      </c>
      <c r="C2184" s="131" t="s">
        <v>247</v>
      </c>
      <c r="D2184" s="132" t="n">
        <v>46538</v>
      </c>
      <c r="E2184" s="131" t="s">
        <v>46</v>
      </c>
      <c r="F2184" s="133" t="s">
        <v>19</v>
      </c>
      <c r="G2184" s="134" t="n">
        <f aca="false">LEN('Saisie programme'!$D$71)+SUMIFS('Vols additionnels'!$E$7:$E$66,'Vols additionnels'!$C$7:$C$66,$E2184,'Vols additionnels'!$D$7:$D$66,$F2184,'Vols additionnels'!$B$7:$B$66,$D2184)</f>
        <v>0</v>
      </c>
      <c r="H2184" s="135" t="n">
        <f aca="false">$G2184*'Analyse capacite'!$F$8</f>
        <v>0</v>
      </c>
      <c r="I2184" s="135" t="n">
        <f aca="false">$G2184*'Analyse capacite'!$C$8</f>
        <v>0</v>
      </c>
      <c r="J2184" s="135" t="n">
        <f aca="false">$G2184*'Analyse capacite'!$D$8</f>
        <v>0</v>
      </c>
      <c r="K2184" s="135" t="n">
        <f aca="false">$G2184*'Analyse capacite'!$E$8</f>
        <v>0</v>
      </c>
    </row>
    <row r="2185" customFormat="false" ht="15" hidden="false" customHeight="false" outlineLevel="0" collapsed="false">
      <c r="B2185" s="130" t="n">
        <v>2027</v>
      </c>
      <c r="C2185" s="131" t="s">
        <v>247</v>
      </c>
      <c r="D2185" s="132" t="n">
        <v>46538</v>
      </c>
      <c r="E2185" s="131" t="s">
        <v>46</v>
      </c>
      <c r="F2185" s="133" t="s">
        <v>24</v>
      </c>
      <c r="G2185" s="134" t="n">
        <f aca="false">LEN('Saisie programme'!$D$72)+SUMIFS('Vols additionnels'!$E$7:$E$66,'Vols additionnels'!$C$7:$C$66,$E2185,'Vols additionnels'!$D$7:$D$66,$F2185,'Vols additionnels'!$B$7:$B$66,$D2185)</f>
        <v>0</v>
      </c>
      <c r="H2185" s="135" t="n">
        <f aca="false">$G2185*'Analyse capacite'!$F$9</f>
        <v>0</v>
      </c>
      <c r="I2185" s="135" t="n">
        <f aca="false">$G2185*'Analyse capacite'!$C$9</f>
        <v>0</v>
      </c>
      <c r="J2185" s="135" t="n">
        <f aca="false">$G2185*'Analyse capacite'!$D$9</f>
        <v>0</v>
      </c>
      <c r="K2185" s="135" t="n">
        <f aca="false">$G2185*'Analyse capacite'!$E$9</f>
        <v>0</v>
      </c>
    </row>
    <row r="2186" customFormat="false" ht="15" hidden="false" customHeight="false" outlineLevel="0" collapsed="false">
      <c r="B2186" s="130" t="n">
        <v>2027</v>
      </c>
      <c r="C2186" s="131" t="s">
        <v>247</v>
      </c>
      <c r="D2186" s="132" t="n">
        <v>46538</v>
      </c>
      <c r="E2186" s="131" t="s">
        <v>49</v>
      </c>
      <c r="F2186" s="133" t="s">
        <v>11</v>
      </c>
      <c r="G2186" s="134" t="n">
        <f aca="false">LEN('Saisie programme'!$D$73)+SUMIFS('Vols additionnels'!$E$7:$E$66,'Vols additionnels'!$C$7:$C$66,$E2186,'Vols additionnels'!$D$7:$D$66,$F2186,'Vols additionnels'!$B$7:$B$66,$D2186)</f>
        <v>0</v>
      </c>
      <c r="H2186" s="135" t="n">
        <f aca="false">$G2186*'Analyse capacite'!$F$7</f>
        <v>0</v>
      </c>
      <c r="I2186" s="135" t="n">
        <f aca="false">$G2186*'Analyse capacite'!$C$7</f>
        <v>0</v>
      </c>
      <c r="J2186" s="135" t="n">
        <f aca="false">$G2186*'Analyse capacite'!$D$7</f>
        <v>0</v>
      </c>
      <c r="K2186" s="135" t="n">
        <f aca="false">$G2186*'Analyse capacite'!$E$7</f>
        <v>0</v>
      </c>
    </row>
    <row r="2187" customFormat="false" ht="15" hidden="false" customHeight="false" outlineLevel="0" collapsed="false">
      <c r="B2187" s="130" t="n">
        <v>2027</v>
      </c>
      <c r="C2187" s="131" t="s">
        <v>247</v>
      </c>
      <c r="D2187" s="132" t="n">
        <v>46538</v>
      </c>
      <c r="E2187" s="131" t="s">
        <v>49</v>
      </c>
      <c r="F2187" s="133" t="s">
        <v>19</v>
      </c>
      <c r="G2187" s="134" t="n">
        <f aca="false">LEN('Saisie programme'!$D$74)+SUMIFS('Vols additionnels'!$E$7:$E$66,'Vols additionnels'!$C$7:$C$66,$E2187,'Vols additionnels'!$D$7:$D$66,$F2187,'Vols additionnels'!$B$7:$B$66,$D2187)</f>
        <v>1</v>
      </c>
      <c r="H2187" s="135" t="n">
        <f aca="false">$G2187*'Analyse capacite'!$F$8</f>
        <v>262</v>
      </c>
      <c r="I2187" s="135" t="n">
        <f aca="false">$G2187*'Analyse capacite'!$C$8</f>
        <v>18</v>
      </c>
      <c r="J2187" s="135" t="n">
        <f aca="false">$G2187*'Analyse capacite'!$D$8</f>
        <v>0</v>
      </c>
      <c r="K2187" s="135" t="n">
        <f aca="false">$G2187*'Analyse capacite'!$E$8</f>
        <v>244</v>
      </c>
    </row>
    <row r="2188" customFormat="false" ht="15" hidden="false" customHeight="false" outlineLevel="0" collapsed="false">
      <c r="B2188" s="130" t="n">
        <v>2027</v>
      </c>
      <c r="C2188" s="131" t="s">
        <v>247</v>
      </c>
      <c r="D2188" s="132" t="n">
        <v>46538</v>
      </c>
      <c r="E2188" s="131" t="s">
        <v>49</v>
      </c>
      <c r="F2188" s="133" t="s">
        <v>24</v>
      </c>
      <c r="G2188" s="134" t="n">
        <f aca="false">LEN('Saisie programme'!$D$75)+SUMIFS('Vols additionnels'!$E$7:$E$66,'Vols additionnels'!$C$7:$C$66,$E2188,'Vols additionnels'!$D$7:$D$66,$F2188,'Vols additionnels'!$B$7:$B$66,$D2188)</f>
        <v>0</v>
      </c>
      <c r="H2188" s="135" t="n">
        <f aca="false">$G2188*'Analyse capacite'!$F$9</f>
        <v>0</v>
      </c>
      <c r="I2188" s="135" t="n">
        <f aca="false">$G2188*'Analyse capacite'!$C$9</f>
        <v>0</v>
      </c>
      <c r="J2188" s="135" t="n">
        <f aca="false">$G2188*'Analyse capacite'!$D$9</f>
        <v>0</v>
      </c>
      <c r="K2188" s="135" t="n">
        <f aca="false">$G2188*'Analyse capacite'!$E$9</f>
        <v>0</v>
      </c>
    </row>
    <row r="2189" customFormat="false" ht="15" hidden="false" customHeight="false" outlineLevel="0" collapsed="false">
      <c r="B2189" s="130" t="n">
        <v>2027</v>
      </c>
      <c r="C2189" s="131" t="s">
        <v>247</v>
      </c>
      <c r="D2189" s="132" t="n">
        <v>46538</v>
      </c>
      <c r="E2189" s="131" t="s">
        <v>53</v>
      </c>
      <c r="F2189" s="133" t="s">
        <v>11</v>
      </c>
      <c r="G2189" s="134" t="n">
        <f aca="false">LEN('Saisie programme'!$D$76)+SUMIFS('Vols additionnels'!$E$7:$E$66,'Vols additionnels'!$C$7:$C$66,$E2189,'Vols additionnels'!$D$7:$D$66,$F2189,'Vols additionnels'!$B$7:$B$66,$D2189)</f>
        <v>0</v>
      </c>
      <c r="H2189" s="135" t="n">
        <f aca="false">$G2189*'Analyse capacite'!$F$7</f>
        <v>0</v>
      </c>
      <c r="I2189" s="135" t="n">
        <f aca="false">$G2189*'Analyse capacite'!$C$7</f>
        <v>0</v>
      </c>
      <c r="J2189" s="135" t="n">
        <f aca="false">$G2189*'Analyse capacite'!$D$7</f>
        <v>0</v>
      </c>
      <c r="K2189" s="135" t="n">
        <f aca="false">$G2189*'Analyse capacite'!$E$7</f>
        <v>0</v>
      </c>
    </row>
    <row r="2190" customFormat="false" ht="15" hidden="false" customHeight="false" outlineLevel="0" collapsed="false">
      <c r="B2190" s="130" t="n">
        <v>2027</v>
      </c>
      <c r="C2190" s="131" t="s">
        <v>247</v>
      </c>
      <c r="D2190" s="132" t="n">
        <v>46538</v>
      </c>
      <c r="E2190" s="131" t="s">
        <v>53</v>
      </c>
      <c r="F2190" s="133" t="s">
        <v>19</v>
      </c>
      <c r="G2190" s="134" t="n">
        <f aca="false">LEN('Saisie programme'!$D$77)+SUMIFS('Vols additionnels'!$E$7:$E$66,'Vols additionnels'!$C$7:$C$66,$E2190,'Vols additionnels'!$D$7:$D$66,$F2190,'Vols additionnels'!$B$7:$B$66,$D2190)</f>
        <v>0</v>
      </c>
      <c r="H2190" s="135" t="n">
        <f aca="false">$G2190*'Analyse capacite'!$F$8</f>
        <v>0</v>
      </c>
      <c r="I2190" s="135" t="n">
        <f aca="false">$G2190*'Analyse capacite'!$C$8</f>
        <v>0</v>
      </c>
      <c r="J2190" s="135" t="n">
        <f aca="false">$G2190*'Analyse capacite'!$D$8</f>
        <v>0</v>
      </c>
      <c r="K2190" s="135" t="n">
        <f aca="false">$G2190*'Analyse capacite'!$E$8</f>
        <v>0</v>
      </c>
    </row>
    <row r="2191" customFormat="false" ht="15" hidden="false" customHeight="false" outlineLevel="0" collapsed="false">
      <c r="B2191" s="130" t="n">
        <v>2027</v>
      </c>
      <c r="C2191" s="131" t="s">
        <v>247</v>
      </c>
      <c r="D2191" s="132" t="n">
        <v>46538</v>
      </c>
      <c r="E2191" s="131" t="s">
        <v>53</v>
      </c>
      <c r="F2191" s="133" t="s">
        <v>24</v>
      </c>
      <c r="G2191" s="134" t="n">
        <f aca="false">LEN('Saisie programme'!$D$78)+SUMIFS('Vols additionnels'!$E$7:$E$66,'Vols additionnels'!$C$7:$C$66,$E2191,'Vols additionnels'!$D$7:$D$66,$F2191,'Vols additionnels'!$B$7:$B$66,$D2191)</f>
        <v>0</v>
      </c>
      <c r="H2191" s="135" t="n">
        <f aca="false">$G2191*'Analyse capacite'!$F$9</f>
        <v>0</v>
      </c>
      <c r="I2191" s="135" t="n">
        <f aca="false">$G2191*'Analyse capacite'!$C$9</f>
        <v>0</v>
      </c>
      <c r="J2191" s="135" t="n">
        <f aca="false">$G2191*'Analyse capacite'!$D$9</f>
        <v>0</v>
      </c>
      <c r="K2191" s="135" t="n">
        <f aca="false">$G2191*'Analyse capacite'!$E$9</f>
        <v>0</v>
      </c>
    </row>
    <row r="2192" customFormat="false" ht="15" hidden="false" customHeight="false" outlineLevel="0" collapsed="false">
      <c r="B2192" s="130" t="n">
        <v>2027</v>
      </c>
      <c r="C2192" s="131" t="s">
        <v>247</v>
      </c>
      <c r="D2192" s="132" t="n">
        <v>46538</v>
      </c>
      <c r="E2192" s="131" t="s">
        <v>56</v>
      </c>
      <c r="F2192" s="133" t="s">
        <v>11</v>
      </c>
      <c r="G2192" s="134" t="n">
        <f aca="false">LEN('Saisie programme'!$D$79)+SUMIFS('Vols additionnels'!$E$7:$E$66,'Vols additionnels'!$C$7:$C$66,$E2192,'Vols additionnels'!$D$7:$D$66,$F2192,'Vols additionnels'!$B$7:$B$66,$D2192)</f>
        <v>0</v>
      </c>
      <c r="H2192" s="135" t="n">
        <f aca="false">$G2192*'Analyse capacite'!$F$7</f>
        <v>0</v>
      </c>
      <c r="I2192" s="135" t="n">
        <f aca="false">$G2192*'Analyse capacite'!$C$7</f>
        <v>0</v>
      </c>
      <c r="J2192" s="135" t="n">
        <f aca="false">$G2192*'Analyse capacite'!$D$7</f>
        <v>0</v>
      </c>
      <c r="K2192" s="135" t="n">
        <f aca="false">$G2192*'Analyse capacite'!$E$7</f>
        <v>0</v>
      </c>
    </row>
    <row r="2193" customFormat="false" ht="15" hidden="false" customHeight="false" outlineLevel="0" collapsed="false">
      <c r="B2193" s="130" t="n">
        <v>2027</v>
      </c>
      <c r="C2193" s="131" t="s">
        <v>247</v>
      </c>
      <c r="D2193" s="132" t="n">
        <v>46538</v>
      </c>
      <c r="E2193" s="131" t="s">
        <v>56</v>
      </c>
      <c r="F2193" s="133" t="s">
        <v>19</v>
      </c>
      <c r="G2193" s="134" t="n">
        <f aca="false">LEN('Saisie programme'!$D$80)+SUMIFS('Vols additionnels'!$E$7:$E$66,'Vols additionnels'!$C$7:$C$66,$E2193,'Vols additionnels'!$D$7:$D$66,$F2193,'Vols additionnels'!$B$7:$B$66,$D2193)</f>
        <v>0</v>
      </c>
      <c r="H2193" s="135" t="n">
        <f aca="false">$G2193*'Analyse capacite'!$F$8</f>
        <v>0</v>
      </c>
      <c r="I2193" s="135" t="n">
        <f aca="false">$G2193*'Analyse capacite'!$C$8</f>
        <v>0</v>
      </c>
      <c r="J2193" s="135" t="n">
        <f aca="false">$G2193*'Analyse capacite'!$D$8</f>
        <v>0</v>
      </c>
      <c r="K2193" s="135" t="n">
        <f aca="false">$G2193*'Analyse capacite'!$E$8</f>
        <v>0</v>
      </c>
    </row>
    <row r="2194" customFormat="false" ht="15" hidden="false" customHeight="false" outlineLevel="0" collapsed="false">
      <c r="B2194" s="130" t="n">
        <v>2027</v>
      </c>
      <c r="C2194" s="131" t="s">
        <v>247</v>
      </c>
      <c r="D2194" s="132" t="n">
        <v>46538</v>
      </c>
      <c r="E2194" s="131" t="s">
        <v>56</v>
      </c>
      <c r="F2194" s="133" t="s">
        <v>24</v>
      </c>
      <c r="G2194" s="134" t="n">
        <f aca="false">LEN('Saisie programme'!$D$81)+SUMIFS('Vols additionnels'!$E$7:$E$66,'Vols additionnels'!$C$7:$C$66,$E2194,'Vols additionnels'!$D$7:$D$66,$F2194,'Vols additionnels'!$B$7:$B$66,$D2194)</f>
        <v>0</v>
      </c>
      <c r="H2194" s="135" t="n">
        <f aca="false">$G2194*'Analyse capacite'!$F$9</f>
        <v>0</v>
      </c>
      <c r="I2194" s="135" t="n">
        <f aca="false">$G2194*'Analyse capacite'!$C$9</f>
        <v>0</v>
      </c>
      <c r="J2194" s="135" t="n">
        <f aca="false">$G2194*'Analyse capacite'!$D$9</f>
        <v>0</v>
      </c>
      <c r="K2194" s="135" t="n">
        <f aca="false">$G2194*'Analyse capacite'!$E$9</f>
        <v>0</v>
      </c>
    </row>
    <row r="2195" customFormat="false" ht="15" hidden="false" customHeight="false" outlineLevel="0" collapsed="false">
      <c r="B2195" s="130" t="n">
        <v>2027</v>
      </c>
      <c r="C2195" s="131" t="s">
        <v>247</v>
      </c>
      <c r="D2195" s="132" t="n">
        <v>46538</v>
      </c>
      <c r="E2195" s="131" t="s">
        <v>59</v>
      </c>
      <c r="F2195" s="133" t="s">
        <v>11</v>
      </c>
      <c r="G2195" s="134" t="n">
        <f aca="false">LEN('Saisie programme'!$D$82)+SUMIFS('Vols additionnels'!$E$7:$E$66,'Vols additionnels'!$C$7:$C$66,$E2195,'Vols additionnels'!$D$7:$D$66,$F2195,'Vols additionnels'!$B$7:$B$66,$D2195)</f>
        <v>0</v>
      </c>
      <c r="H2195" s="135" t="n">
        <f aca="false">$G2195*'Analyse capacite'!$F$7</f>
        <v>0</v>
      </c>
      <c r="I2195" s="135" t="n">
        <f aca="false">$G2195*'Analyse capacite'!$C$7</f>
        <v>0</v>
      </c>
      <c r="J2195" s="135" t="n">
        <f aca="false">$G2195*'Analyse capacite'!$D$7</f>
        <v>0</v>
      </c>
      <c r="K2195" s="135" t="n">
        <f aca="false">$G2195*'Analyse capacite'!$E$7</f>
        <v>0</v>
      </c>
    </row>
    <row r="2196" customFormat="false" ht="15" hidden="false" customHeight="false" outlineLevel="0" collapsed="false">
      <c r="B2196" s="130" t="n">
        <v>2027</v>
      </c>
      <c r="C2196" s="131" t="s">
        <v>247</v>
      </c>
      <c r="D2196" s="132" t="n">
        <v>46538</v>
      </c>
      <c r="E2196" s="131" t="s">
        <v>59</v>
      </c>
      <c r="F2196" s="133" t="s">
        <v>19</v>
      </c>
      <c r="G2196" s="134" t="n">
        <f aca="false">LEN('Saisie programme'!$D$83)+SUMIFS('Vols additionnels'!$E$7:$E$66,'Vols additionnels'!$C$7:$C$66,$E2196,'Vols additionnels'!$D$7:$D$66,$F2196,'Vols additionnels'!$B$7:$B$66,$D2196)</f>
        <v>0</v>
      </c>
      <c r="H2196" s="135" t="n">
        <f aca="false">$G2196*'Analyse capacite'!$F$8</f>
        <v>0</v>
      </c>
      <c r="I2196" s="135" t="n">
        <f aca="false">$G2196*'Analyse capacite'!$C$8</f>
        <v>0</v>
      </c>
      <c r="J2196" s="135" t="n">
        <f aca="false">$G2196*'Analyse capacite'!$D$8</f>
        <v>0</v>
      </c>
      <c r="K2196" s="135" t="n">
        <f aca="false">$G2196*'Analyse capacite'!$E$8</f>
        <v>0</v>
      </c>
    </row>
    <row r="2197" customFormat="false" ht="15" hidden="false" customHeight="false" outlineLevel="0" collapsed="false">
      <c r="B2197" s="130" t="n">
        <v>2027</v>
      </c>
      <c r="C2197" s="131" t="s">
        <v>247</v>
      </c>
      <c r="D2197" s="132" t="n">
        <v>46538</v>
      </c>
      <c r="E2197" s="131" t="s">
        <v>59</v>
      </c>
      <c r="F2197" s="133" t="s">
        <v>24</v>
      </c>
      <c r="G2197" s="134" t="n">
        <f aca="false">LEN('Saisie programme'!$D$84)+SUMIFS('Vols additionnels'!$E$7:$E$66,'Vols additionnels'!$C$7:$C$66,$E2197,'Vols additionnels'!$D$7:$D$66,$F2197,'Vols additionnels'!$B$7:$B$66,$D2197)</f>
        <v>1</v>
      </c>
      <c r="H2197" s="135" t="n">
        <f aca="false">$G2197*'Analyse capacite'!$F$9</f>
        <v>174</v>
      </c>
      <c r="I2197" s="135" t="n">
        <f aca="false">$G2197*'Analyse capacite'!$C$9</f>
        <v>0</v>
      </c>
      <c r="J2197" s="135" t="n">
        <f aca="false">$G2197*'Analyse capacite'!$D$9</f>
        <v>12</v>
      </c>
      <c r="K2197" s="135" t="n">
        <f aca="false">$G2197*'Analyse capacite'!$E$9</f>
        <v>162</v>
      </c>
    </row>
    <row r="2198" customFormat="false" ht="15" hidden="false" customHeight="false" outlineLevel="0" collapsed="false">
      <c r="B2198" s="130" t="n">
        <v>2027</v>
      </c>
      <c r="C2198" s="131" t="s">
        <v>247</v>
      </c>
      <c r="D2198" s="132" t="n">
        <v>46538</v>
      </c>
      <c r="E2198" s="131" t="s">
        <v>62</v>
      </c>
      <c r="F2198" s="133" t="s">
        <v>11</v>
      </c>
      <c r="G2198" s="134" t="n">
        <f aca="false">LEN('Saisie programme'!$D$85)+SUMIFS('Vols additionnels'!$E$7:$E$66,'Vols additionnels'!$C$7:$C$66,$E2198,'Vols additionnels'!$D$7:$D$66,$F2198,'Vols additionnels'!$B$7:$B$66,$D2198)</f>
        <v>0</v>
      </c>
      <c r="H2198" s="135" t="n">
        <f aca="false">$G2198*'Analyse capacite'!$F$7</f>
        <v>0</v>
      </c>
      <c r="I2198" s="135" t="n">
        <f aca="false">$G2198*'Analyse capacite'!$C$7</f>
        <v>0</v>
      </c>
      <c r="J2198" s="135" t="n">
        <f aca="false">$G2198*'Analyse capacite'!$D$7</f>
        <v>0</v>
      </c>
      <c r="K2198" s="135" t="n">
        <f aca="false">$G2198*'Analyse capacite'!$E$7</f>
        <v>0</v>
      </c>
    </row>
    <row r="2199" customFormat="false" ht="15" hidden="false" customHeight="false" outlineLevel="0" collapsed="false">
      <c r="B2199" s="130" t="n">
        <v>2027</v>
      </c>
      <c r="C2199" s="131" t="s">
        <v>247</v>
      </c>
      <c r="D2199" s="132" t="n">
        <v>46538</v>
      </c>
      <c r="E2199" s="131" t="s">
        <v>62</v>
      </c>
      <c r="F2199" s="133" t="s">
        <v>19</v>
      </c>
      <c r="G2199" s="134" t="n">
        <f aca="false">LEN('Saisie programme'!$D$86)+SUMIFS('Vols additionnels'!$E$7:$E$66,'Vols additionnels'!$C$7:$C$66,$E2199,'Vols additionnels'!$D$7:$D$66,$F2199,'Vols additionnels'!$B$7:$B$66,$D2199)</f>
        <v>0</v>
      </c>
      <c r="H2199" s="135" t="n">
        <f aca="false">$G2199*'Analyse capacite'!$F$8</f>
        <v>0</v>
      </c>
      <c r="I2199" s="135" t="n">
        <f aca="false">$G2199*'Analyse capacite'!$C$8</f>
        <v>0</v>
      </c>
      <c r="J2199" s="135" t="n">
        <f aca="false">$G2199*'Analyse capacite'!$D$8</f>
        <v>0</v>
      </c>
      <c r="K2199" s="135" t="n">
        <f aca="false">$G2199*'Analyse capacite'!$E$8</f>
        <v>0</v>
      </c>
    </row>
    <row r="2200" customFormat="false" ht="15" hidden="false" customHeight="false" outlineLevel="0" collapsed="false">
      <c r="B2200" s="130" t="n">
        <v>2027</v>
      </c>
      <c r="C2200" s="131" t="s">
        <v>247</v>
      </c>
      <c r="D2200" s="132" t="n">
        <v>46538</v>
      </c>
      <c r="E2200" s="131" t="s">
        <v>62</v>
      </c>
      <c r="F2200" s="133" t="s">
        <v>24</v>
      </c>
      <c r="G2200" s="134" t="n">
        <f aca="false">LEN('Saisie programme'!$D$87)+SUMIFS('Vols additionnels'!$E$7:$E$66,'Vols additionnels'!$C$7:$C$66,$E2200,'Vols additionnels'!$D$7:$D$66,$F2200,'Vols additionnels'!$B$7:$B$66,$D2200)</f>
        <v>0</v>
      </c>
      <c r="H2200" s="135" t="n">
        <f aca="false">$G2200*'Analyse capacite'!$F$9</f>
        <v>0</v>
      </c>
      <c r="I2200" s="135" t="n">
        <f aca="false">$G2200*'Analyse capacite'!$C$9</f>
        <v>0</v>
      </c>
      <c r="J2200" s="135" t="n">
        <f aca="false">$G2200*'Analyse capacite'!$D$9</f>
        <v>0</v>
      </c>
      <c r="K2200" s="135" t="n">
        <f aca="false">$G2200*'Analyse capacite'!$E$9</f>
        <v>0</v>
      </c>
    </row>
    <row r="2201" customFormat="false" ht="15" hidden="false" customHeight="false" outlineLevel="0" collapsed="false">
      <c r="B2201" s="130" t="n">
        <v>2027</v>
      </c>
      <c r="C2201" s="131" t="s">
        <v>248</v>
      </c>
      <c r="D2201" s="132" t="n">
        <v>46539</v>
      </c>
      <c r="E2201" s="131" t="s">
        <v>12</v>
      </c>
      <c r="F2201" s="133" t="s">
        <v>11</v>
      </c>
      <c r="G2201" s="134" t="n">
        <f aca="false">LEN('Saisie programme'!$E$91)+SUMIFS('Vols additionnels'!$E$7:$E$66,'Vols additionnels'!$C$7:$C$66,$E2201,'Vols additionnels'!$D$7:$D$66,$F2201,'Vols additionnels'!$B$7:$B$66,$D2201)</f>
        <v>1</v>
      </c>
      <c r="H2201" s="135" t="n">
        <f aca="false">$G2201*'Analyse capacite'!$F$7</f>
        <v>438</v>
      </c>
      <c r="I2201" s="135" t="n">
        <f aca="false">$G2201*'Analyse capacite'!$C$7</f>
        <v>14</v>
      </c>
      <c r="J2201" s="135" t="n">
        <f aca="false">$G2201*'Analyse capacite'!$D$7</f>
        <v>40</v>
      </c>
      <c r="K2201" s="135" t="n">
        <f aca="false">$G2201*'Analyse capacite'!$E$7</f>
        <v>384</v>
      </c>
    </row>
    <row r="2202" customFormat="false" ht="15" hidden="false" customHeight="false" outlineLevel="0" collapsed="false">
      <c r="B2202" s="130" t="n">
        <v>2027</v>
      </c>
      <c r="C2202" s="131" t="s">
        <v>248</v>
      </c>
      <c r="D2202" s="132" t="n">
        <v>46539</v>
      </c>
      <c r="E2202" s="131" t="s">
        <v>12</v>
      </c>
      <c r="F2202" s="133" t="s">
        <v>19</v>
      </c>
      <c r="G2202" s="134" t="n">
        <f aca="false">LEN('Saisie programme'!$E$92)+SUMIFS('Vols additionnels'!$E$7:$E$66,'Vols additionnels'!$C$7:$C$66,$E2202,'Vols additionnels'!$D$7:$D$66,$F2202,'Vols additionnels'!$B$7:$B$66,$D2202)</f>
        <v>0</v>
      </c>
      <c r="H2202" s="135" t="n">
        <f aca="false">$G2202*'Analyse capacite'!$F$8</f>
        <v>0</v>
      </c>
      <c r="I2202" s="135" t="n">
        <f aca="false">$G2202*'Analyse capacite'!$C$8</f>
        <v>0</v>
      </c>
      <c r="J2202" s="135" t="n">
        <f aca="false">$G2202*'Analyse capacite'!$D$8</f>
        <v>0</v>
      </c>
      <c r="K2202" s="135" t="n">
        <f aca="false">$G2202*'Analyse capacite'!$E$8</f>
        <v>0</v>
      </c>
    </row>
    <row r="2203" customFormat="false" ht="15" hidden="false" customHeight="false" outlineLevel="0" collapsed="false">
      <c r="B2203" s="130" t="n">
        <v>2027</v>
      </c>
      <c r="C2203" s="131" t="s">
        <v>248</v>
      </c>
      <c r="D2203" s="132" t="n">
        <v>46539</v>
      </c>
      <c r="E2203" s="131" t="s">
        <v>12</v>
      </c>
      <c r="F2203" s="133" t="s">
        <v>24</v>
      </c>
      <c r="G2203" s="134" t="n">
        <f aca="false">LEN('Saisie programme'!$E$93)+SUMIFS('Vols additionnels'!$E$7:$E$66,'Vols additionnels'!$C$7:$C$66,$E2203,'Vols additionnels'!$D$7:$D$66,$F2203,'Vols additionnels'!$B$7:$B$66,$D2203)</f>
        <v>0</v>
      </c>
      <c r="H2203" s="135" t="n">
        <f aca="false">$G2203*'Analyse capacite'!$F$9</f>
        <v>0</v>
      </c>
      <c r="I2203" s="135" t="n">
        <f aca="false">$G2203*'Analyse capacite'!$C$9</f>
        <v>0</v>
      </c>
      <c r="J2203" s="135" t="n">
        <f aca="false">$G2203*'Analyse capacite'!$D$9</f>
        <v>0</v>
      </c>
      <c r="K2203" s="135" t="n">
        <f aca="false">$G2203*'Analyse capacite'!$E$9</f>
        <v>0</v>
      </c>
    </row>
    <row r="2204" customFormat="false" ht="15" hidden="false" customHeight="false" outlineLevel="0" collapsed="false">
      <c r="B2204" s="130" t="n">
        <v>2027</v>
      </c>
      <c r="C2204" s="131" t="s">
        <v>248</v>
      </c>
      <c r="D2204" s="132" t="n">
        <v>46539</v>
      </c>
      <c r="E2204" s="131" t="s">
        <v>20</v>
      </c>
      <c r="F2204" s="133" t="s">
        <v>11</v>
      </c>
      <c r="G2204" s="134" t="n">
        <f aca="false">LEN('Saisie programme'!$E$94)+SUMIFS('Vols additionnels'!$E$7:$E$66,'Vols additionnels'!$C$7:$C$66,$E2204,'Vols additionnels'!$D$7:$D$66,$F2204,'Vols additionnels'!$B$7:$B$66,$D2204)</f>
        <v>0</v>
      </c>
      <c r="H2204" s="135" t="n">
        <f aca="false">$G2204*'Analyse capacite'!$F$7</f>
        <v>0</v>
      </c>
      <c r="I2204" s="135" t="n">
        <f aca="false">$G2204*'Analyse capacite'!$C$7</f>
        <v>0</v>
      </c>
      <c r="J2204" s="135" t="n">
        <f aca="false">$G2204*'Analyse capacite'!$D$7</f>
        <v>0</v>
      </c>
      <c r="K2204" s="135" t="n">
        <f aca="false">$G2204*'Analyse capacite'!$E$7</f>
        <v>0</v>
      </c>
    </row>
    <row r="2205" customFormat="false" ht="15" hidden="false" customHeight="false" outlineLevel="0" collapsed="false">
      <c r="B2205" s="130" t="n">
        <v>2027</v>
      </c>
      <c r="C2205" s="131" t="s">
        <v>248</v>
      </c>
      <c r="D2205" s="132" t="n">
        <v>46539</v>
      </c>
      <c r="E2205" s="131" t="s">
        <v>20</v>
      </c>
      <c r="F2205" s="133" t="s">
        <v>19</v>
      </c>
      <c r="G2205" s="134" t="n">
        <f aca="false">LEN('Saisie programme'!$E$95)+SUMIFS('Vols additionnels'!$E$7:$E$66,'Vols additionnels'!$C$7:$C$66,$E2205,'Vols additionnels'!$D$7:$D$66,$F2205,'Vols additionnels'!$B$7:$B$66,$D2205)</f>
        <v>1</v>
      </c>
      <c r="H2205" s="135" t="n">
        <f aca="false">$G2205*'Analyse capacite'!$F$8</f>
        <v>262</v>
      </c>
      <c r="I2205" s="135" t="n">
        <f aca="false">$G2205*'Analyse capacite'!$C$8</f>
        <v>18</v>
      </c>
      <c r="J2205" s="135" t="n">
        <f aca="false">$G2205*'Analyse capacite'!$D$8</f>
        <v>0</v>
      </c>
      <c r="K2205" s="135" t="n">
        <f aca="false">$G2205*'Analyse capacite'!$E$8</f>
        <v>244</v>
      </c>
    </row>
    <row r="2206" customFormat="false" ht="15" hidden="false" customHeight="false" outlineLevel="0" collapsed="false">
      <c r="B2206" s="130" t="n">
        <v>2027</v>
      </c>
      <c r="C2206" s="131" t="s">
        <v>248</v>
      </c>
      <c r="D2206" s="132" t="n">
        <v>46539</v>
      </c>
      <c r="E2206" s="131" t="s">
        <v>20</v>
      </c>
      <c r="F2206" s="133" t="s">
        <v>24</v>
      </c>
      <c r="G2206" s="134" t="n">
        <f aca="false">LEN('Saisie programme'!$E$96)+SUMIFS('Vols additionnels'!$E$7:$E$66,'Vols additionnels'!$C$7:$C$66,$E2206,'Vols additionnels'!$D$7:$D$66,$F2206,'Vols additionnels'!$B$7:$B$66,$D2206)</f>
        <v>0</v>
      </c>
      <c r="H2206" s="135" t="n">
        <f aca="false">$G2206*'Analyse capacite'!$F$9</f>
        <v>0</v>
      </c>
      <c r="I2206" s="135" t="n">
        <f aca="false">$G2206*'Analyse capacite'!$C$9</f>
        <v>0</v>
      </c>
      <c r="J2206" s="135" t="n">
        <f aca="false">$G2206*'Analyse capacite'!$D$9</f>
        <v>0</v>
      </c>
      <c r="K2206" s="135" t="n">
        <f aca="false">$G2206*'Analyse capacite'!$E$9</f>
        <v>0</v>
      </c>
    </row>
    <row r="2207" customFormat="false" ht="15" hidden="false" customHeight="false" outlineLevel="0" collapsed="false">
      <c r="B2207" s="130" t="n">
        <v>2027</v>
      </c>
      <c r="C2207" s="131" t="s">
        <v>248</v>
      </c>
      <c r="D2207" s="132" t="n">
        <v>46539</v>
      </c>
      <c r="E2207" s="131" t="s">
        <v>25</v>
      </c>
      <c r="F2207" s="133" t="s">
        <v>11</v>
      </c>
      <c r="G2207" s="134" t="n">
        <f aca="false">LEN('Saisie programme'!$E$97)+SUMIFS('Vols additionnels'!$E$7:$E$66,'Vols additionnels'!$C$7:$C$66,$E2207,'Vols additionnels'!$D$7:$D$66,$F2207,'Vols additionnels'!$B$7:$B$66,$D2207)</f>
        <v>0</v>
      </c>
      <c r="H2207" s="135" t="n">
        <f aca="false">$G2207*'Analyse capacite'!$F$7</f>
        <v>0</v>
      </c>
      <c r="I2207" s="135" t="n">
        <f aca="false">$G2207*'Analyse capacite'!$C$7</f>
        <v>0</v>
      </c>
      <c r="J2207" s="135" t="n">
        <f aca="false">$G2207*'Analyse capacite'!$D$7</f>
        <v>0</v>
      </c>
      <c r="K2207" s="135" t="n">
        <f aca="false">$G2207*'Analyse capacite'!$E$7</f>
        <v>0</v>
      </c>
    </row>
    <row r="2208" customFormat="false" ht="15" hidden="false" customHeight="false" outlineLevel="0" collapsed="false">
      <c r="B2208" s="130" t="n">
        <v>2027</v>
      </c>
      <c r="C2208" s="131" t="s">
        <v>248</v>
      </c>
      <c r="D2208" s="132" t="n">
        <v>46539</v>
      </c>
      <c r="E2208" s="131" t="s">
        <v>25</v>
      </c>
      <c r="F2208" s="133" t="s">
        <v>19</v>
      </c>
      <c r="G2208" s="134" t="n">
        <f aca="false">LEN('Saisie programme'!$E$98)+SUMIFS('Vols additionnels'!$E$7:$E$66,'Vols additionnels'!$C$7:$C$66,$E2208,'Vols additionnels'!$D$7:$D$66,$F2208,'Vols additionnels'!$B$7:$B$66,$D2208)</f>
        <v>0</v>
      </c>
      <c r="H2208" s="135" t="n">
        <f aca="false">$G2208*'Analyse capacite'!$F$8</f>
        <v>0</v>
      </c>
      <c r="I2208" s="135" t="n">
        <f aca="false">$G2208*'Analyse capacite'!$C$8</f>
        <v>0</v>
      </c>
      <c r="J2208" s="135" t="n">
        <f aca="false">$G2208*'Analyse capacite'!$D$8</f>
        <v>0</v>
      </c>
      <c r="K2208" s="135" t="n">
        <f aca="false">$G2208*'Analyse capacite'!$E$8</f>
        <v>0</v>
      </c>
    </row>
    <row r="2209" customFormat="false" ht="15" hidden="false" customHeight="false" outlineLevel="0" collapsed="false">
      <c r="B2209" s="130" t="n">
        <v>2027</v>
      </c>
      <c r="C2209" s="131" t="s">
        <v>248</v>
      </c>
      <c r="D2209" s="132" t="n">
        <v>46539</v>
      </c>
      <c r="E2209" s="131" t="s">
        <v>25</v>
      </c>
      <c r="F2209" s="133" t="s">
        <v>24</v>
      </c>
      <c r="G2209" s="134" t="n">
        <f aca="false">LEN('Saisie programme'!$E$99)+SUMIFS('Vols additionnels'!$E$7:$E$66,'Vols additionnels'!$C$7:$C$66,$E2209,'Vols additionnels'!$D$7:$D$66,$F2209,'Vols additionnels'!$B$7:$B$66,$D2209)</f>
        <v>0</v>
      </c>
      <c r="H2209" s="135" t="n">
        <f aca="false">$G2209*'Analyse capacite'!$F$9</f>
        <v>0</v>
      </c>
      <c r="I2209" s="135" t="n">
        <f aca="false">$G2209*'Analyse capacite'!$C$9</f>
        <v>0</v>
      </c>
      <c r="J2209" s="135" t="n">
        <f aca="false">$G2209*'Analyse capacite'!$D$9</f>
        <v>0</v>
      </c>
      <c r="K2209" s="135" t="n">
        <f aca="false">$G2209*'Analyse capacite'!$E$9</f>
        <v>0</v>
      </c>
    </row>
    <row r="2210" customFormat="false" ht="15" hidden="false" customHeight="false" outlineLevel="0" collapsed="false">
      <c r="B2210" s="130" t="n">
        <v>2027</v>
      </c>
      <c r="C2210" s="131" t="s">
        <v>248</v>
      </c>
      <c r="D2210" s="132" t="n">
        <v>46539</v>
      </c>
      <c r="E2210" s="131" t="s">
        <v>36</v>
      </c>
      <c r="F2210" s="133" t="s">
        <v>11</v>
      </c>
      <c r="G2210" s="134" t="n">
        <f aca="false">LEN('Saisie programme'!$E$100)+SUMIFS('Vols additionnels'!$E$7:$E$66,'Vols additionnels'!$C$7:$C$66,$E2210,'Vols additionnels'!$D$7:$D$66,$F2210,'Vols additionnels'!$B$7:$B$66,$D2210)</f>
        <v>0</v>
      </c>
      <c r="H2210" s="135" t="n">
        <f aca="false">$G2210*'Analyse capacite'!$F$7</f>
        <v>0</v>
      </c>
      <c r="I2210" s="135" t="n">
        <f aca="false">$G2210*'Analyse capacite'!$C$7</f>
        <v>0</v>
      </c>
      <c r="J2210" s="135" t="n">
        <f aca="false">$G2210*'Analyse capacite'!$D$7</f>
        <v>0</v>
      </c>
      <c r="K2210" s="135" t="n">
        <f aca="false">$G2210*'Analyse capacite'!$E$7</f>
        <v>0</v>
      </c>
    </row>
    <row r="2211" customFormat="false" ht="15" hidden="false" customHeight="false" outlineLevel="0" collapsed="false">
      <c r="B2211" s="130" t="n">
        <v>2027</v>
      </c>
      <c r="C2211" s="131" t="s">
        <v>248</v>
      </c>
      <c r="D2211" s="132" t="n">
        <v>46539</v>
      </c>
      <c r="E2211" s="131" t="s">
        <v>36</v>
      </c>
      <c r="F2211" s="133" t="s">
        <v>19</v>
      </c>
      <c r="G2211" s="134" t="n">
        <f aca="false">LEN('Saisie programme'!$E$101)+SUMIFS('Vols additionnels'!$E$7:$E$66,'Vols additionnels'!$C$7:$C$66,$E2211,'Vols additionnels'!$D$7:$D$66,$F2211,'Vols additionnels'!$B$7:$B$66,$D2211)</f>
        <v>0</v>
      </c>
      <c r="H2211" s="135" t="n">
        <f aca="false">$G2211*'Analyse capacite'!$F$8</f>
        <v>0</v>
      </c>
      <c r="I2211" s="135" t="n">
        <f aca="false">$G2211*'Analyse capacite'!$C$8</f>
        <v>0</v>
      </c>
      <c r="J2211" s="135" t="n">
        <f aca="false">$G2211*'Analyse capacite'!$D$8</f>
        <v>0</v>
      </c>
      <c r="K2211" s="135" t="n">
        <f aca="false">$G2211*'Analyse capacite'!$E$8</f>
        <v>0</v>
      </c>
    </row>
    <row r="2212" customFormat="false" ht="15" hidden="false" customHeight="false" outlineLevel="0" collapsed="false">
      <c r="B2212" s="130" t="n">
        <v>2027</v>
      </c>
      <c r="C2212" s="131" t="s">
        <v>248</v>
      </c>
      <c r="D2212" s="132" t="n">
        <v>46539</v>
      </c>
      <c r="E2212" s="131" t="s">
        <v>36</v>
      </c>
      <c r="F2212" s="133" t="s">
        <v>24</v>
      </c>
      <c r="G2212" s="134" t="n">
        <f aca="false">LEN('Saisie programme'!$E$102)+SUMIFS('Vols additionnels'!$E$7:$E$66,'Vols additionnels'!$C$7:$C$66,$E2212,'Vols additionnels'!$D$7:$D$66,$F2212,'Vols additionnels'!$B$7:$B$66,$D2212)</f>
        <v>1</v>
      </c>
      <c r="H2212" s="135" t="n">
        <f aca="false">$G2212*'Analyse capacite'!$F$9</f>
        <v>174</v>
      </c>
      <c r="I2212" s="135" t="n">
        <f aca="false">$G2212*'Analyse capacite'!$C$9</f>
        <v>0</v>
      </c>
      <c r="J2212" s="135" t="n">
        <f aca="false">$G2212*'Analyse capacite'!$D$9</f>
        <v>12</v>
      </c>
      <c r="K2212" s="135" t="n">
        <f aca="false">$G2212*'Analyse capacite'!$E$9</f>
        <v>162</v>
      </c>
    </row>
    <row r="2213" customFormat="false" ht="15" hidden="false" customHeight="false" outlineLevel="0" collapsed="false">
      <c r="B2213" s="130" t="n">
        <v>2027</v>
      </c>
      <c r="C2213" s="131" t="s">
        <v>248</v>
      </c>
      <c r="D2213" s="132" t="n">
        <v>46539</v>
      </c>
      <c r="E2213" s="131" t="s">
        <v>40</v>
      </c>
      <c r="F2213" s="133" t="s">
        <v>11</v>
      </c>
      <c r="G2213" s="134" t="n">
        <f aca="false">LEN('Saisie programme'!$E$103)+SUMIFS('Vols additionnels'!$E$7:$E$66,'Vols additionnels'!$C$7:$C$66,$E2213,'Vols additionnels'!$D$7:$D$66,$F2213,'Vols additionnels'!$B$7:$B$66,$D2213)</f>
        <v>0</v>
      </c>
      <c r="H2213" s="135" t="n">
        <f aca="false">$G2213*'Analyse capacite'!$F$7</f>
        <v>0</v>
      </c>
      <c r="I2213" s="135" t="n">
        <f aca="false">$G2213*'Analyse capacite'!$C$7</f>
        <v>0</v>
      </c>
      <c r="J2213" s="135" t="n">
        <f aca="false">$G2213*'Analyse capacite'!$D$7</f>
        <v>0</v>
      </c>
      <c r="K2213" s="135" t="n">
        <f aca="false">$G2213*'Analyse capacite'!$E$7</f>
        <v>0</v>
      </c>
    </row>
    <row r="2214" customFormat="false" ht="15" hidden="false" customHeight="false" outlineLevel="0" collapsed="false">
      <c r="B2214" s="130" t="n">
        <v>2027</v>
      </c>
      <c r="C2214" s="131" t="s">
        <v>248</v>
      </c>
      <c r="D2214" s="132" t="n">
        <v>46539</v>
      </c>
      <c r="E2214" s="131" t="s">
        <v>40</v>
      </c>
      <c r="F2214" s="133" t="s">
        <v>19</v>
      </c>
      <c r="G2214" s="134" t="n">
        <f aca="false">LEN('Saisie programme'!$E$104)+SUMIFS('Vols additionnels'!$E$7:$E$66,'Vols additionnels'!$C$7:$C$66,$E2214,'Vols additionnels'!$D$7:$D$66,$F2214,'Vols additionnels'!$B$7:$B$66,$D2214)</f>
        <v>0</v>
      </c>
      <c r="H2214" s="135" t="n">
        <f aca="false">$G2214*'Analyse capacite'!$F$8</f>
        <v>0</v>
      </c>
      <c r="I2214" s="135" t="n">
        <f aca="false">$G2214*'Analyse capacite'!$C$8</f>
        <v>0</v>
      </c>
      <c r="J2214" s="135" t="n">
        <f aca="false">$G2214*'Analyse capacite'!$D$8</f>
        <v>0</v>
      </c>
      <c r="K2214" s="135" t="n">
        <f aca="false">$G2214*'Analyse capacite'!$E$8</f>
        <v>0</v>
      </c>
    </row>
    <row r="2215" customFormat="false" ht="15" hidden="false" customHeight="false" outlineLevel="0" collapsed="false">
      <c r="B2215" s="130" t="n">
        <v>2027</v>
      </c>
      <c r="C2215" s="131" t="s">
        <v>248</v>
      </c>
      <c r="D2215" s="132" t="n">
        <v>46539</v>
      </c>
      <c r="E2215" s="131" t="s">
        <v>40</v>
      </c>
      <c r="F2215" s="133" t="s">
        <v>24</v>
      </c>
      <c r="G2215" s="134" t="n">
        <f aca="false">LEN('Saisie programme'!$E$105)+SUMIFS('Vols additionnels'!$E$7:$E$66,'Vols additionnels'!$C$7:$C$66,$E2215,'Vols additionnels'!$D$7:$D$66,$F2215,'Vols additionnels'!$B$7:$B$66,$D2215)</f>
        <v>0</v>
      </c>
      <c r="H2215" s="135" t="n">
        <f aca="false">$G2215*'Analyse capacite'!$F$9</f>
        <v>0</v>
      </c>
      <c r="I2215" s="135" t="n">
        <f aca="false">$G2215*'Analyse capacite'!$C$9</f>
        <v>0</v>
      </c>
      <c r="J2215" s="135" t="n">
        <f aca="false">$G2215*'Analyse capacite'!$D$9</f>
        <v>0</v>
      </c>
      <c r="K2215" s="135" t="n">
        <f aca="false">$G2215*'Analyse capacite'!$E$9</f>
        <v>0</v>
      </c>
    </row>
    <row r="2216" customFormat="false" ht="15" hidden="false" customHeight="false" outlineLevel="0" collapsed="false">
      <c r="B2216" s="130" t="n">
        <v>2027</v>
      </c>
      <c r="C2216" s="131" t="s">
        <v>248</v>
      </c>
      <c r="D2216" s="132" t="n">
        <v>46539</v>
      </c>
      <c r="E2216" s="131" t="s">
        <v>14</v>
      </c>
      <c r="F2216" s="133" t="s">
        <v>11</v>
      </c>
      <c r="G2216" s="134" t="n">
        <f aca="false">LEN('Saisie programme'!$E$106)+SUMIFS('Vols additionnels'!$E$7:$E$66,'Vols additionnels'!$C$7:$C$66,$E2216,'Vols additionnels'!$D$7:$D$66,$F2216,'Vols additionnels'!$B$7:$B$66,$D2216)</f>
        <v>0</v>
      </c>
      <c r="H2216" s="135" t="n">
        <f aca="false">$G2216*'Analyse capacite'!$F$7</f>
        <v>0</v>
      </c>
      <c r="I2216" s="135" t="n">
        <f aca="false">$G2216*'Analyse capacite'!$C$7</f>
        <v>0</v>
      </c>
      <c r="J2216" s="135" t="n">
        <f aca="false">$G2216*'Analyse capacite'!$D$7</f>
        <v>0</v>
      </c>
      <c r="K2216" s="135" t="n">
        <f aca="false">$G2216*'Analyse capacite'!$E$7</f>
        <v>0</v>
      </c>
    </row>
    <row r="2217" customFormat="false" ht="15" hidden="false" customHeight="false" outlineLevel="0" collapsed="false">
      <c r="B2217" s="130" t="n">
        <v>2027</v>
      </c>
      <c r="C2217" s="131" t="s">
        <v>248</v>
      </c>
      <c r="D2217" s="132" t="n">
        <v>46539</v>
      </c>
      <c r="E2217" s="131" t="s">
        <v>14</v>
      </c>
      <c r="F2217" s="133" t="s">
        <v>19</v>
      </c>
      <c r="G2217" s="134" t="n">
        <f aca="false">LEN('Saisie programme'!$E$107)+SUMIFS('Vols additionnels'!$E$7:$E$66,'Vols additionnels'!$C$7:$C$66,$E2217,'Vols additionnels'!$D$7:$D$66,$F2217,'Vols additionnels'!$B$7:$B$66,$D2217)</f>
        <v>0</v>
      </c>
      <c r="H2217" s="135" t="n">
        <f aca="false">$G2217*'Analyse capacite'!$F$8</f>
        <v>0</v>
      </c>
      <c r="I2217" s="135" t="n">
        <f aca="false">$G2217*'Analyse capacite'!$C$8</f>
        <v>0</v>
      </c>
      <c r="J2217" s="135" t="n">
        <f aca="false">$G2217*'Analyse capacite'!$D$8</f>
        <v>0</v>
      </c>
      <c r="K2217" s="135" t="n">
        <f aca="false">$G2217*'Analyse capacite'!$E$8</f>
        <v>0</v>
      </c>
    </row>
    <row r="2218" customFormat="false" ht="15" hidden="false" customHeight="false" outlineLevel="0" collapsed="false">
      <c r="B2218" s="130" t="n">
        <v>2027</v>
      </c>
      <c r="C2218" s="131" t="s">
        <v>248</v>
      </c>
      <c r="D2218" s="132" t="n">
        <v>46539</v>
      </c>
      <c r="E2218" s="131" t="s">
        <v>14</v>
      </c>
      <c r="F2218" s="133" t="s">
        <v>24</v>
      </c>
      <c r="G2218" s="134" t="n">
        <f aca="false">LEN('Saisie programme'!$E$108)+SUMIFS('Vols additionnels'!$E$7:$E$66,'Vols additionnels'!$C$7:$C$66,$E2218,'Vols additionnels'!$D$7:$D$66,$F2218,'Vols additionnels'!$B$7:$B$66,$D2218)</f>
        <v>0</v>
      </c>
      <c r="H2218" s="135" t="n">
        <f aca="false">$G2218*'Analyse capacite'!$F$9</f>
        <v>0</v>
      </c>
      <c r="I2218" s="135" t="n">
        <f aca="false">$G2218*'Analyse capacite'!$C$9</f>
        <v>0</v>
      </c>
      <c r="J2218" s="135" t="n">
        <f aca="false">$G2218*'Analyse capacite'!$D$9</f>
        <v>0</v>
      </c>
      <c r="K2218" s="135" t="n">
        <f aca="false">$G2218*'Analyse capacite'!$E$9</f>
        <v>0</v>
      </c>
    </row>
    <row r="2219" customFormat="false" ht="15" hidden="false" customHeight="false" outlineLevel="0" collapsed="false">
      <c r="B2219" s="130" t="n">
        <v>2027</v>
      </c>
      <c r="C2219" s="131" t="s">
        <v>248</v>
      </c>
      <c r="D2219" s="132" t="n">
        <v>46539</v>
      </c>
      <c r="E2219" s="131" t="s">
        <v>46</v>
      </c>
      <c r="F2219" s="133" t="s">
        <v>11</v>
      </c>
      <c r="G2219" s="134" t="n">
        <f aca="false">LEN('Saisie programme'!$E$109)+SUMIFS('Vols additionnels'!$E$7:$E$66,'Vols additionnels'!$C$7:$C$66,$E2219,'Vols additionnels'!$D$7:$D$66,$F2219,'Vols additionnels'!$B$7:$B$66,$D2219)</f>
        <v>0</v>
      </c>
      <c r="H2219" s="135" t="n">
        <f aca="false">$G2219*'Analyse capacite'!$F$7</f>
        <v>0</v>
      </c>
      <c r="I2219" s="135" t="n">
        <f aca="false">$G2219*'Analyse capacite'!$C$7</f>
        <v>0</v>
      </c>
      <c r="J2219" s="135" t="n">
        <f aca="false">$G2219*'Analyse capacite'!$D$7</f>
        <v>0</v>
      </c>
      <c r="K2219" s="135" t="n">
        <f aca="false">$G2219*'Analyse capacite'!$E$7</f>
        <v>0</v>
      </c>
    </row>
    <row r="2220" customFormat="false" ht="15" hidden="false" customHeight="false" outlineLevel="0" collapsed="false">
      <c r="B2220" s="130" t="n">
        <v>2027</v>
      </c>
      <c r="C2220" s="131" t="s">
        <v>248</v>
      </c>
      <c r="D2220" s="132" t="n">
        <v>46539</v>
      </c>
      <c r="E2220" s="131" t="s">
        <v>46</v>
      </c>
      <c r="F2220" s="133" t="s">
        <v>19</v>
      </c>
      <c r="G2220" s="134" t="n">
        <f aca="false">LEN('Saisie programme'!$E$110)+SUMIFS('Vols additionnels'!$E$7:$E$66,'Vols additionnels'!$C$7:$C$66,$E2220,'Vols additionnels'!$D$7:$D$66,$F2220,'Vols additionnels'!$B$7:$B$66,$D2220)</f>
        <v>0</v>
      </c>
      <c r="H2220" s="135" t="n">
        <f aca="false">$G2220*'Analyse capacite'!$F$8</f>
        <v>0</v>
      </c>
      <c r="I2220" s="135" t="n">
        <f aca="false">$G2220*'Analyse capacite'!$C$8</f>
        <v>0</v>
      </c>
      <c r="J2220" s="135" t="n">
        <f aca="false">$G2220*'Analyse capacite'!$D$8</f>
        <v>0</v>
      </c>
      <c r="K2220" s="135" t="n">
        <f aca="false">$G2220*'Analyse capacite'!$E$8</f>
        <v>0</v>
      </c>
    </row>
    <row r="2221" customFormat="false" ht="15" hidden="false" customHeight="false" outlineLevel="0" collapsed="false">
      <c r="B2221" s="130" t="n">
        <v>2027</v>
      </c>
      <c r="C2221" s="131" t="s">
        <v>248</v>
      </c>
      <c r="D2221" s="132" t="n">
        <v>46539</v>
      </c>
      <c r="E2221" s="131" t="s">
        <v>46</v>
      </c>
      <c r="F2221" s="133" t="s">
        <v>24</v>
      </c>
      <c r="G2221" s="134" t="n">
        <f aca="false">LEN('Saisie programme'!$E$111)+SUMIFS('Vols additionnels'!$E$7:$E$66,'Vols additionnels'!$C$7:$C$66,$E2221,'Vols additionnels'!$D$7:$D$66,$F2221,'Vols additionnels'!$B$7:$B$66,$D2221)</f>
        <v>1</v>
      </c>
      <c r="H2221" s="135" t="n">
        <f aca="false">$G2221*'Analyse capacite'!$F$9</f>
        <v>174</v>
      </c>
      <c r="I2221" s="135" t="n">
        <f aca="false">$G2221*'Analyse capacite'!$C$9</f>
        <v>0</v>
      </c>
      <c r="J2221" s="135" t="n">
        <f aca="false">$G2221*'Analyse capacite'!$D$9</f>
        <v>12</v>
      </c>
      <c r="K2221" s="135" t="n">
        <f aca="false">$G2221*'Analyse capacite'!$E$9</f>
        <v>162</v>
      </c>
    </row>
    <row r="2222" customFormat="false" ht="15" hidden="false" customHeight="false" outlineLevel="0" collapsed="false">
      <c r="B2222" s="130" t="n">
        <v>2027</v>
      </c>
      <c r="C2222" s="131" t="s">
        <v>248</v>
      </c>
      <c r="D2222" s="132" t="n">
        <v>46539</v>
      </c>
      <c r="E2222" s="131" t="s">
        <v>49</v>
      </c>
      <c r="F2222" s="133" t="s">
        <v>11</v>
      </c>
      <c r="G2222" s="134" t="n">
        <f aca="false">LEN('Saisie programme'!$E$112)+SUMIFS('Vols additionnels'!$E$7:$E$66,'Vols additionnels'!$C$7:$C$66,$E2222,'Vols additionnels'!$D$7:$D$66,$F2222,'Vols additionnels'!$B$7:$B$66,$D2222)</f>
        <v>0</v>
      </c>
      <c r="H2222" s="135" t="n">
        <f aca="false">$G2222*'Analyse capacite'!$F$7</f>
        <v>0</v>
      </c>
      <c r="I2222" s="135" t="n">
        <f aca="false">$G2222*'Analyse capacite'!$C$7</f>
        <v>0</v>
      </c>
      <c r="J2222" s="135" t="n">
        <f aca="false">$G2222*'Analyse capacite'!$D$7</f>
        <v>0</v>
      </c>
      <c r="K2222" s="135" t="n">
        <f aca="false">$G2222*'Analyse capacite'!$E$7</f>
        <v>0</v>
      </c>
    </row>
    <row r="2223" customFormat="false" ht="15" hidden="false" customHeight="false" outlineLevel="0" collapsed="false">
      <c r="B2223" s="130" t="n">
        <v>2027</v>
      </c>
      <c r="C2223" s="131" t="s">
        <v>248</v>
      </c>
      <c r="D2223" s="132" t="n">
        <v>46539</v>
      </c>
      <c r="E2223" s="131" t="s">
        <v>49</v>
      </c>
      <c r="F2223" s="133" t="s">
        <v>19</v>
      </c>
      <c r="G2223" s="134" t="n">
        <f aca="false">LEN('Saisie programme'!$E$113)+SUMIFS('Vols additionnels'!$E$7:$E$66,'Vols additionnels'!$C$7:$C$66,$E2223,'Vols additionnels'!$D$7:$D$66,$F2223,'Vols additionnels'!$B$7:$B$66,$D2223)</f>
        <v>0</v>
      </c>
      <c r="H2223" s="135" t="n">
        <f aca="false">$G2223*'Analyse capacite'!$F$8</f>
        <v>0</v>
      </c>
      <c r="I2223" s="135" t="n">
        <f aca="false">$G2223*'Analyse capacite'!$C$8</f>
        <v>0</v>
      </c>
      <c r="J2223" s="135" t="n">
        <f aca="false">$G2223*'Analyse capacite'!$D$8</f>
        <v>0</v>
      </c>
      <c r="K2223" s="135" t="n">
        <f aca="false">$G2223*'Analyse capacite'!$E$8</f>
        <v>0</v>
      </c>
    </row>
    <row r="2224" customFormat="false" ht="15" hidden="false" customHeight="false" outlineLevel="0" collapsed="false">
      <c r="B2224" s="130" t="n">
        <v>2027</v>
      </c>
      <c r="C2224" s="131" t="s">
        <v>248</v>
      </c>
      <c r="D2224" s="132" t="n">
        <v>46539</v>
      </c>
      <c r="E2224" s="131" t="s">
        <v>49</v>
      </c>
      <c r="F2224" s="133" t="s">
        <v>24</v>
      </c>
      <c r="G2224" s="134" t="n">
        <f aca="false">LEN('Saisie programme'!$E$114)+SUMIFS('Vols additionnels'!$E$7:$E$66,'Vols additionnels'!$C$7:$C$66,$E2224,'Vols additionnels'!$D$7:$D$66,$F2224,'Vols additionnels'!$B$7:$B$66,$D2224)</f>
        <v>0</v>
      </c>
      <c r="H2224" s="135" t="n">
        <f aca="false">$G2224*'Analyse capacite'!$F$9</f>
        <v>0</v>
      </c>
      <c r="I2224" s="135" t="n">
        <f aca="false">$G2224*'Analyse capacite'!$C$9</f>
        <v>0</v>
      </c>
      <c r="J2224" s="135" t="n">
        <f aca="false">$G2224*'Analyse capacite'!$D$9</f>
        <v>0</v>
      </c>
      <c r="K2224" s="135" t="n">
        <f aca="false">$G2224*'Analyse capacite'!$E$9</f>
        <v>0</v>
      </c>
    </row>
    <row r="2225" customFormat="false" ht="15" hidden="false" customHeight="false" outlineLevel="0" collapsed="false">
      <c r="B2225" s="130" t="n">
        <v>2027</v>
      </c>
      <c r="C2225" s="131" t="s">
        <v>248</v>
      </c>
      <c r="D2225" s="132" t="n">
        <v>46539</v>
      </c>
      <c r="E2225" s="131" t="s">
        <v>53</v>
      </c>
      <c r="F2225" s="133" t="s">
        <v>11</v>
      </c>
      <c r="G2225" s="134" t="n">
        <f aca="false">LEN('Saisie programme'!$E$115)+SUMIFS('Vols additionnels'!$E$7:$E$66,'Vols additionnels'!$C$7:$C$66,$E2225,'Vols additionnels'!$D$7:$D$66,$F2225,'Vols additionnels'!$B$7:$B$66,$D2225)</f>
        <v>0</v>
      </c>
      <c r="H2225" s="135" t="n">
        <f aca="false">$G2225*'Analyse capacite'!$F$7</f>
        <v>0</v>
      </c>
      <c r="I2225" s="135" t="n">
        <f aca="false">$G2225*'Analyse capacite'!$C$7</f>
        <v>0</v>
      </c>
      <c r="J2225" s="135" t="n">
        <f aca="false">$G2225*'Analyse capacite'!$D$7</f>
        <v>0</v>
      </c>
      <c r="K2225" s="135" t="n">
        <f aca="false">$G2225*'Analyse capacite'!$E$7</f>
        <v>0</v>
      </c>
    </row>
    <row r="2226" customFormat="false" ht="15" hidden="false" customHeight="false" outlineLevel="0" collapsed="false">
      <c r="B2226" s="130" t="n">
        <v>2027</v>
      </c>
      <c r="C2226" s="131" t="s">
        <v>248</v>
      </c>
      <c r="D2226" s="132" t="n">
        <v>46539</v>
      </c>
      <c r="E2226" s="131" t="s">
        <v>53</v>
      </c>
      <c r="F2226" s="133" t="s">
        <v>19</v>
      </c>
      <c r="G2226" s="134" t="n">
        <f aca="false">LEN('Saisie programme'!$E$116)+SUMIFS('Vols additionnels'!$E$7:$E$66,'Vols additionnels'!$C$7:$C$66,$E2226,'Vols additionnels'!$D$7:$D$66,$F2226,'Vols additionnels'!$B$7:$B$66,$D2226)</f>
        <v>0</v>
      </c>
      <c r="H2226" s="135" t="n">
        <f aca="false">$G2226*'Analyse capacite'!$F$8</f>
        <v>0</v>
      </c>
      <c r="I2226" s="135" t="n">
        <f aca="false">$G2226*'Analyse capacite'!$C$8</f>
        <v>0</v>
      </c>
      <c r="J2226" s="135" t="n">
        <f aca="false">$G2226*'Analyse capacite'!$D$8</f>
        <v>0</v>
      </c>
      <c r="K2226" s="135" t="n">
        <f aca="false">$G2226*'Analyse capacite'!$E$8</f>
        <v>0</v>
      </c>
    </row>
    <row r="2227" customFormat="false" ht="15" hidden="false" customHeight="false" outlineLevel="0" collapsed="false">
      <c r="B2227" s="130" t="n">
        <v>2027</v>
      </c>
      <c r="C2227" s="131" t="s">
        <v>248</v>
      </c>
      <c r="D2227" s="132" t="n">
        <v>46539</v>
      </c>
      <c r="E2227" s="131" t="s">
        <v>53</v>
      </c>
      <c r="F2227" s="133" t="s">
        <v>24</v>
      </c>
      <c r="G2227" s="134" t="n">
        <f aca="false">LEN('Saisie programme'!$E$117)+SUMIFS('Vols additionnels'!$E$7:$E$66,'Vols additionnels'!$C$7:$C$66,$E2227,'Vols additionnels'!$D$7:$D$66,$F2227,'Vols additionnels'!$B$7:$B$66,$D2227)</f>
        <v>0</v>
      </c>
      <c r="H2227" s="135" t="n">
        <f aca="false">$G2227*'Analyse capacite'!$F$9</f>
        <v>0</v>
      </c>
      <c r="I2227" s="135" t="n">
        <f aca="false">$G2227*'Analyse capacite'!$C$9</f>
        <v>0</v>
      </c>
      <c r="J2227" s="135" t="n">
        <f aca="false">$G2227*'Analyse capacite'!$D$9</f>
        <v>0</v>
      </c>
      <c r="K2227" s="135" t="n">
        <f aca="false">$G2227*'Analyse capacite'!$E$9</f>
        <v>0</v>
      </c>
    </row>
    <row r="2228" customFormat="false" ht="15" hidden="false" customHeight="false" outlineLevel="0" collapsed="false">
      <c r="B2228" s="130" t="n">
        <v>2027</v>
      </c>
      <c r="C2228" s="131" t="s">
        <v>248</v>
      </c>
      <c r="D2228" s="132" t="n">
        <v>46539</v>
      </c>
      <c r="E2228" s="131" t="s">
        <v>56</v>
      </c>
      <c r="F2228" s="133" t="s">
        <v>11</v>
      </c>
      <c r="G2228" s="134" t="n">
        <f aca="false">LEN('Saisie programme'!$E$118)+SUMIFS('Vols additionnels'!$E$7:$E$66,'Vols additionnels'!$C$7:$C$66,$E2228,'Vols additionnels'!$D$7:$D$66,$F2228,'Vols additionnels'!$B$7:$B$66,$D2228)</f>
        <v>0</v>
      </c>
      <c r="H2228" s="135" t="n">
        <f aca="false">$G2228*'Analyse capacite'!$F$7</f>
        <v>0</v>
      </c>
      <c r="I2228" s="135" t="n">
        <f aca="false">$G2228*'Analyse capacite'!$C$7</f>
        <v>0</v>
      </c>
      <c r="J2228" s="135" t="n">
        <f aca="false">$G2228*'Analyse capacite'!$D$7</f>
        <v>0</v>
      </c>
      <c r="K2228" s="135" t="n">
        <f aca="false">$G2228*'Analyse capacite'!$E$7</f>
        <v>0</v>
      </c>
    </row>
    <row r="2229" customFormat="false" ht="15" hidden="false" customHeight="false" outlineLevel="0" collapsed="false">
      <c r="B2229" s="130" t="n">
        <v>2027</v>
      </c>
      <c r="C2229" s="131" t="s">
        <v>248</v>
      </c>
      <c r="D2229" s="132" t="n">
        <v>46539</v>
      </c>
      <c r="E2229" s="131" t="s">
        <v>56</v>
      </c>
      <c r="F2229" s="133" t="s">
        <v>19</v>
      </c>
      <c r="G2229" s="134" t="n">
        <f aca="false">LEN('Saisie programme'!$E$119)+SUMIFS('Vols additionnels'!$E$7:$E$66,'Vols additionnels'!$C$7:$C$66,$E2229,'Vols additionnels'!$D$7:$D$66,$F2229,'Vols additionnels'!$B$7:$B$66,$D2229)</f>
        <v>0</v>
      </c>
      <c r="H2229" s="135" t="n">
        <f aca="false">$G2229*'Analyse capacite'!$F$8</f>
        <v>0</v>
      </c>
      <c r="I2229" s="135" t="n">
        <f aca="false">$G2229*'Analyse capacite'!$C$8</f>
        <v>0</v>
      </c>
      <c r="J2229" s="135" t="n">
        <f aca="false">$G2229*'Analyse capacite'!$D$8</f>
        <v>0</v>
      </c>
      <c r="K2229" s="135" t="n">
        <f aca="false">$G2229*'Analyse capacite'!$E$8</f>
        <v>0</v>
      </c>
    </row>
    <row r="2230" customFormat="false" ht="15" hidden="false" customHeight="false" outlineLevel="0" collapsed="false">
      <c r="B2230" s="130" t="n">
        <v>2027</v>
      </c>
      <c r="C2230" s="131" t="s">
        <v>248</v>
      </c>
      <c r="D2230" s="132" t="n">
        <v>46539</v>
      </c>
      <c r="E2230" s="131" t="s">
        <v>56</v>
      </c>
      <c r="F2230" s="133" t="s">
        <v>24</v>
      </c>
      <c r="G2230" s="134" t="n">
        <f aca="false">LEN('Saisie programme'!$E$120)+SUMIFS('Vols additionnels'!$E$7:$E$66,'Vols additionnels'!$C$7:$C$66,$E2230,'Vols additionnels'!$D$7:$D$66,$F2230,'Vols additionnels'!$B$7:$B$66,$D2230)</f>
        <v>1</v>
      </c>
      <c r="H2230" s="135" t="n">
        <f aca="false">$G2230*'Analyse capacite'!$F$9</f>
        <v>174</v>
      </c>
      <c r="I2230" s="135" t="n">
        <f aca="false">$G2230*'Analyse capacite'!$C$9</f>
        <v>0</v>
      </c>
      <c r="J2230" s="135" t="n">
        <f aca="false">$G2230*'Analyse capacite'!$D$9</f>
        <v>12</v>
      </c>
      <c r="K2230" s="135" t="n">
        <f aca="false">$G2230*'Analyse capacite'!$E$9</f>
        <v>162</v>
      </c>
    </row>
    <row r="2231" customFormat="false" ht="15" hidden="false" customHeight="false" outlineLevel="0" collapsed="false">
      <c r="B2231" s="130" t="n">
        <v>2027</v>
      </c>
      <c r="C2231" s="131" t="s">
        <v>248</v>
      </c>
      <c r="D2231" s="132" t="n">
        <v>46539</v>
      </c>
      <c r="E2231" s="131" t="s">
        <v>59</v>
      </c>
      <c r="F2231" s="133" t="s">
        <v>11</v>
      </c>
      <c r="G2231" s="134" t="n">
        <f aca="false">LEN('Saisie programme'!$E$121)+SUMIFS('Vols additionnels'!$E$7:$E$66,'Vols additionnels'!$C$7:$C$66,$E2231,'Vols additionnels'!$D$7:$D$66,$F2231,'Vols additionnels'!$B$7:$B$66,$D2231)</f>
        <v>0</v>
      </c>
      <c r="H2231" s="135" t="n">
        <f aca="false">$G2231*'Analyse capacite'!$F$7</f>
        <v>0</v>
      </c>
      <c r="I2231" s="135" t="n">
        <f aca="false">$G2231*'Analyse capacite'!$C$7</f>
        <v>0</v>
      </c>
      <c r="J2231" s="135" t="n">
        <f aca="false">$G2231*'Analyse capacite'!$D$7</f>
        <v>0</v>
      </c>
      <c r="K2231" s="135" t="n">
        <f aca="false">$G2231*'Analyse capacite'!$E$7</f>
        <v>0</v>
      </c>
    </row>
    <row r="2232" customFormat="false" ht="15" hidden="false" customHeight="false" outlineLevel="0" collapsed="false">
      <c r="B2232" s="130" t="n">
        <v>2027</v>
      </c>
      <c r="C2232" s="131" t="s">
        <v>248</v>
      </c>
      <c r="D2232" s="132" t="n">
        <v>46539</v>
      </c>
      <c r="E2232" s="131" t="s">
        <v>59</v>
      </c>
      <c r="F2232" s="133" t="s">
        <v>19</v>
      </c>
      <c r="G2232" s="134" t="n">
        <f aca="false">LEN('Saisie programme'!$E$122)+SUMIFS('Vols additionnels'!$E$7:$E$66,'Vols additionnels'!$C$7:$C$66,$E2232,'Vols additionnels'!$D$7:$D$66,$F2232,'Vols additionnels'!$B$7:$B$66,$D2232)</f>
        <v>0</v>
      </c>
      <c r="H2232" s="135" t="n">
        <f aca="false">$G2232*'Analyse capacite'!$F$8</f>
        <v>0</v>
      </c>
      <c r="I2232" s="135" t="n">
        <f aca="false">$G2232*'Analyse capacite'!$C$8</f>
        <v>0</v>
      </c>
      <c r="J2232" s="135" t="n">
        <f aca="false">$G2232*'Analyse capacite'!$D$8</f>
        <v>0</v>
      </c>
      <c r="K2232" s="135" t="n">
        <f aca="false">$G2232*'Analyse capacite'!$E$8</f>
        <v>0</v>
      </c>
    </row>
    <row r="2233" customFormat="false" ht="15" hidden="false" customHeight="false" outlineLevel="0" collapsed="false">
      <c r="B2233" s="130" t="n">
        <v>2027</v>
      </c>
      <c r="C2233" s="131" t="s">
        <v>248</v>
      </c>
      <c r="D2233" s="132" t="n">
        <v>46539</v>
      </c>
      <c r="E2233" s="131" t="s">
        <v>59</v>
      </c>
      <c r="F2233" s="133" t="s">
        <v>24</v>
      </c>
      <c r="G2233" s="134" t="n">
        <f aca="false">LEN('Saisie programme'!$E$123)+SUMIFS('Vols additionnels'!$E$7:$E$66,'Vols additionnels'!$C$7:$C$66,$E2233,'Vols additionnels'!$D$7:$D$66,$F2233,'Vols additionnels'!$B$7:$B$66,$D2233)</f>
        <v>1</v>
      </c>
      <c r="H2233" s="135" t="n">
        <f aca="false">$G2233*'Analyse capacite'!$F$9</f>
        <v>174</v>
      </c>
      <c r="I2233" s="135" t="n">
        <f aca="false">$G2233*'Analyse capacite'!$C$9</f>
        <v>0</v>
      </c>
      <c r="J2233" s="135" t="n">
        <f aca="false">$G2233*'Analyse capacite'!$D$9</f>
        <v>12</v>
      </c>
      <c r="K2233" s="135" t="n">
        <f aca="false">$G2233*'Analyse capacite'!$E$9</f>
        <v>162</v>
      </c>
    </row>
    <row r="2234" customFormat="false" ht="15" hidden="false" customHeight="false" outlineLevel="0" collapsed="false">
      <c r="B2234" s="130" t="n">
        <v>2027</v>
      </c>
      <c r="C2234" s="131" t="s">
        <v>248</v>
      </c>
      <c r="D2234" s="132" t="n">
        <v>46539</v>
      </c>
      <c r="E2234" s="131" t="s">
        <v>62</v>
      </c>
      <c r="F2234" s="133" t="s">
        <v>11</v>
      </c>
      <c r="G2234" s="134" t="n">
        <f aca="false">LEN('Saisie programme'!$E$124)+SUMIFS('Vols additionnels'!$E$7:$E$66,'Vols additionnels'!$C$7:$C$66,$E2234,'Vols additionnels'!$D$7:$D$66,$F2234,'Vols additionnels'!$B$7:$B$66,$D2234)</f>
        <v>0</v>
      </c>
      <c r="H2234" s="135" t="n">
        <f aca="false">$G2234*'Analyse capacite'!$F$7</f>
        <v>0</v>
      </c>
      <c r="I2234" s="135" t="n">
        <f aca="false">$G2234*'Analyse capacite'!$C$7</f>
        <v>0</v>
      </c>
      <c r="J2234" s="135" t="n">
        <f aca="false">$G2234*'Analyse capacite'!$D$7</f>
        <v>0</v>
      </c>
      <c r="K2234" s="135" t="n">
        <f aca="false">$G2234*'Analyse capacite'!$E$7</f>
        <v>0</v>
      </c>
    </row>
    <row r="2235" customFormat="false" ht="15" hidden="false" customHeight="false" outlineLevel="0" collapsed="false">
      <c r="B2235" s="130" t="n">
        <v>2027</v>
      </c>
      <c r="C2235" s="131" t="s">
        <v>248</v>
      </c>
      <c r="D2235" s="132" t="n">
        <v>46539</v>
      </c>
      <c r="E2235" s="131" t="s">
        <v>62</v>
      </c>
      <c r="F2235" s="133" t="s">
        <v>19</v>
      </c>
      <c r="G2235" s="134" t="n">
        <f aca="false">LEN('Saisie programme'!$E$125)+SUMIFS('Vols additionnels'!$E$7:$E$66,'Vols additionnels'!$C$7:$C$66,$E2235,'Vols additionnels'!$D$7:$D$66,$F2235,'Vols additionnels'!$B$7:$B$66,$D2235)</f>
        <v>0</v>
      </c>
      <c r="H2235" s="135" t="n">
        <f aca="false">$G2235*'Analyse capacite'!$F$8</f>
        <v>0</v>
      </c>
      <c r="I2235" s="135" t="n">
        <f aca="false">$G2235*'Analyse capacite'!$C$8</f>
        <v>0</v>
      </c>
      <c r="J2235" s="135" t="n">
        <f aca="false">$G2235*'Analyse capacite'!$D$8</f>
        <v>0</v>
      </c>
      <c r="K2235" s="135" t="n">
        <f aca="false">$G2235*'Analyse capacite'!$E$8</f>
        <v>0</v>
      </c>
    </row>
    <row r="2236" customFormat="false" ht="15" hidden="false" customHeight="false" outlineLevel="0" collapsed="false">
      <c r="B2236" s="130" t="n">
        <v>2027</v>
      </c>
      <c r="C2236" s="131" t="s">
        <v>248</v>
      </c>
      <c r="D2236" s="132" t="n">
        <v>46539</v>
      </c>
      <c r="E2236" s="131" t="s">
        <v>62</v>
      </c>
      <c r="F2236" s="133" t="s">
        <v>24</v>
      </c>
      <c r="G2236" s="134" t="n">
        <f aca="false">LEN('Saisie programme'!$E$126)+SUMIFS('Vols additionnels'!$E$7:$E$66,'Vols additionnels'!$C$7:$C$66,$E2236,'Vols additionnels'!$D$7:$D$66,$F2236,'Vols additionnels'!$B$7:$B$66,$D2236)</f>
        <v>0</v>
      </c>
      <c r="H2236" s="135" t="n">
        <f aca="false">$G2236*'Analyse capacite'!$F$9</f>
        <v>0</v>
      </c>
      <c r="I2236" s="135" t="n">
        <f aca="false">$G2236*'Analyse capacite'!$C$9</f>
        <v>0</v>
      </c>
      <c r="J2236" s="135" t="n">
        <f aca="false">$G2236*'Analyse capacite'!$D$9</f>
        <v>0</v>
      </c>
      <c r="K2236" s="135" t="n">
        <f aca="false">$G2236*'Analyse capacite'!$E$9</f>
        <v>0</v>
      </c>
    </row>
    <row r="2237" customFormat="false" ht="15" hidden="false" customHeight="false" outlineLevel="0" collapsed="false">
      <c r="B2237" s="130" t="n">
        <v>2027</v>
      </c>
      <c r="C2237" s="131" t="s">
        <v>248</v>
      </c>
      <c r="D2237" s="132" t="n">
        <v>46540</v>
      </c>
      <c r="E2237" s="131" t="s">
        <v>12</v>
      </c>
      <c r="F2237" s="133" t="s">
        <v>11</v>
      </c>
      <c r="G2237" s="134" t="n">
        <f aca="false">LEN('Saisie programme'!$F$91)+SUMIFS('Vols additionnels'!$E$7:$E$66,'Vols additionnels'!$C$7:$C$66,$E2237,'Vols additionnels'!$D$7:$D$66,$F2237,'Vols additionnels'!$B$7:$B$66,$D2237)</f>
        <v>1</v>
      </c>
      <c r="H2237" s="135" t="n">
        <f aca="false">$G2237*'Analyse capacite'!$F$7</f>
        <v>438</v>
      </c>
      <c r="I2237" s="135" t="n">
        <f aca="false">$G2237*'Analyse capacite'!$C$7</f>
        <v>14</v>
      </c>
      <c r="J2237" s="135" t="n">
        <f aca="false">$G2237*'Analyse capacite'!$D$7</f>
        <v>40</v>
      </c>
      <c r="K2237" s="135" t="n">
        <f aca="false">$G2237*'Analyse capacite'!$E$7</f>
        <v>384</v>
      </c>
    </row>
    <row r="2238" customFormat="false" ht="15" hidden="false" customHeight="false" outlineLevel="0" collapsed="false">
      <c r="B2238" s="130" t="n">
        <v>2027</v>
      </c>
      <c r="C2238" s="131" t="s">
        <v>248</v>
      </c>
      <c r="D2238" s="132" t="n">
        <v>46540</v>
      </c>
      <c r="E2238" s="131" t="s">
        <v>12</v>
      </c>
      <c r="F2238" s="133" t="s">
        <v>19</v>
      </c>
      <c r="G2238" s="134" t="n">
        <f aca="false">LEN('Saisie programme'!$F$92)+SUMIFS('Vols additionnels'!$E$7:$E$66,'Vols additionnels'!$C$7:$C$66,$E2238,'Vols additionnels'!$D$7:$D$66,$F2238,'Vols additionnels'!$B$7:$B$66,$D2238)</f>
        <v>0</v>
      </c>
      <c r="H2238" s="135" t="n">
        <f aca="false">$G2238*'Analyse capacite'!$F$8</f>
        <v>0</v>
      </c>
      <c r="I2238" s="135" t="n">
        <f aca="false">$G2238*'Analyse capacite'!$C$8</f>
        <v>0</v>
      </c>
      <c r="J2238" s="135" t="n">
        <f aca="false">$G2238*'Analyse capacite'!$D$8</f>
        <v>0</v>
      </c>
      <c r="K2238" s="135" t="n">
        <f aca="false">$G2238*'Analyse capacite'!$E$8</f>
        <v>0</v>
      </c>
    </row>
    <row r="2239" customFormat="false" ht="15" hidden="false" customHeight="false" outlineLevel="0" collapsed="false">
      <c r="B2239" s="130" t="n">
        <v>2027</v>
      </c>
      <c r="C2239" s="131" t="s">
        <v>248</v>
      </c>
      <c r="D2239" s="132" t="n">
        <v>46540</v>
      </c>
      <c r="E2239" s="131" t="s">
        <v>12</v>
      </c>
      <c r="F2239" s="133" t="s">
        <v>24</v>
      </c>
      <c r="G2239" s="134" t="n">
        <f aca="false">LEN('Saisie programme'!$F$93)+SUMIFS('Vols additionnels'!$E$7:$E$66,'Vols additionnels'!$C$7:$C$66,$E2239,'Vols additionnels'!$D$7:$D$66,$F2239,'Vols additionnels'!$B$7:$B$66,$D2239)</f>
        <v>0</v>
      </c>
      <c r="H2239" s="135" t="n">
        <f aca="false">$G2239*'Analyse capacite'!$F$9</f>
        <v>0</v>
      </c>
      <c r="I2239" s="135" t="n">
        <f aca="false">$G2239*'Analyse capacite'!$C$9</f>
        <v>0</v>
      </c>
      <c r="J2239" s="135" t="n">
        <f aca="false">$G2239*'Analyse capacite'!$D$9</f>
        <v>0</v>
      </c>
      <c r="K2239" s="135" t="n">
        <f aca="false">$G2239*'Analyse capacite'!$E$9</f>
        <v>0</v>
      </c>
    </row>
    <row r="2240" customFormat="false" ht="15" hidden="false" customHeight="false" outlineLevel="0" collapsed="false">
      <c r="B2240" s="130" t="n">
        <v>2027</v>
      </c>
      <c r="C2240" s="131" t="s">
        <v>248</v>
      </c>
      <c r="D2240" s="132" t="n">
        <v>46540</v>
      </c>
      <c r="E2240" s="131" t="s">
        <v>20</v>
      </c>
      <c r="F2240" s="133" t="s">
        <v>11</v>
      </c>
      <c r="G2240" s="134" t="n">
        <f aca="false">LEN('Saisie programme'!$F$94)+SUMIFS('Vols additionnels'!$E$7:$E$66,'Vols additionnels'!$C$7:$C$66,$E2240,'Vols additionnels'!$D$7:$D$66,$F2240,'Vols additionnels'!$B$7:$B$66,$D2240)</f>
        <v>0</v>
      </c>
      <c r="H2240" s="135" t="n">
        <f aca="false">$G2240*'Analyse capacite'!$F$7</f>
        <v>0</v>
      </c>
      <c r="I2240" s="135" t="n">
        <f aca="false">$G2240*'Analyse capacite'!$C$7</f>
        <v>0</v>
      </c>
      <c r="J2240" s="135" t="n">
        <f aca="false">$G2240*'Analyse capacite'!$D$7</f>
        <v>0</v>
      </c>
      <c r="K2240" s="135" t="n">
        <f aca="false">$G2240*'Analyse capacite'!$E$7</f>
        <v>0</v>
      </c>
    </row>
    <row r="2241" customFormat="false" ht="15" hidden="false" customHeight="false" outlineLevel="0" collapsed="false">
      <c r="B2241" s="130" t="n">
        <v>2027</v>
      </c>
      <c r="C2241" s="131" t="s">
        <v>248</v>
      </c>
      <c r="D2241" s="132" t="n">
        <v>46540</v>
      </c>
      <c r="E2241" s="131" t="s">
        <v>20</v>
      </c>
      <c r="F2241" s="133" t="s">
        <v>19</v>
      </c>
      <c r="G2241" s="134" t="n">
        <f aca="false">LEN('Saisie programme'!$F$95)+SUMIFS('Vols additionnels'!$E$7:$E$66,'Vols additionnels'!$C$7:$C$66,$E2241,'Vols additionnels'!$D$7:$D$66,$F2241,'Vols additionnels'!$B$7:$B$66,$D2241)</f>
        <v>0</v>
      </c>
      <c r="H2241" s="135" t="n">
        <f aca="false">$G2241*'Analyse capacite'!$F$8</f>
        <v>0</v>
      </c>
      <c r="I2241" s="135" t="n">
        <f aca="false">$G2241*'Analyse capacite'!$C$8</f>
        <v>0</v>
      </c>
      <c r="J2241" s="135" t="n">
        <f aca="false">$G2241*'Analyse capacite'!$D$8</f>
        <v>0</v>
      </c>
      <c r="K2241" s="135" t="n">
        <f aca="false">$G2241*'Analyse capacite'!$E$8</f>
        <v>0</v>
      </c>
    </row>
    <row r="2242" customFormat="false" ht="15" hidden="false" customHeight="false" outlineLevel="0" collapsed="false">
      <c r="B2242" s="130" t="n">
        <v>2027</v>
      </c>
      <c r="C2242" s="131" t="s">
        <v>248</v>
      </c>
      <c r="D2242" s="132" t="n">
        <v>46540</v>
      </c>
      <c r="E2242" s="131" t="s">
        <v>20</v>
      </c>
      <c r="F2242" s="133" t="s">
        <v>24</v>
      </c>
      <c r="G2242" s="134" t="n">
        <f aca="false">LEN('Saisie programme'!$F$96)+SUMIFS('Vols additionnels'!$E$7:$E$66,'Vols additionnels'!$C$7:$C$66,$E2242,'Vols additionnels'!$D$7:$D$66,$F2242,'Vols additionnels'!$B$7:$B$66,$D2242)</f>
        <v>0</v>
      </c>
      <c r="H2242" s="135" t="n">
        <f aca="false">$G2242*'Analyse capacite'!$F$9</f>
        <v>0</v>
      </c>
      <c r="I2242" s="135" t="n">
        <f aca="false">$G2242*'Analyse capacite'!$C$9</f>
        <v>0</v>
      </c>
      <c r="J2242" s="135" t="n">
        <f aca="false">$G2242*'Analyse capacite'!$D$9</f>
        <v>0</v>
      </c>
      <c r="K2242" s="135" t="n">
        <f aca="false">$G2242*'Analyse capacite'!$E$9</f>
        <v>0</v>
      </c>
    </row>
    <row r="2243" customFormat="false" ht="15" hidden="false" customHeight="false" outlineLevel="0" collapsed="false">
      <c r="B2243" s="130" t="n">
        <v>2027</v>
      </c>
      <c r="C2243" s="131" t="s">
        <v>248</v>
      </c>
      <c r="D2243" s="132" t="n">
        <v>46540</v>
      </c>
      <c r="E2243" s="131" t="s">
        <v>25</v>
      </c>
      <c r="F2243" s="133" t="s">
        <v>11</v>
      </c>
      <c r="G2243" s="134" t="n">
        <f aca="false">LEN('Saisie programme'!$F$97)+SUMIFS('Vols additionnels'!$E$7:$E$66,'Vols additionnels'!$C$7:$C$66,$E2243,'Vols additionnels'!$D$7:$D$66,$F2243,'Vols additionnels'!$B$7:$B$66,$D2243)</f>
        <v>0</v>
      </c>
      <c r="H2243" s="135" t="n">
        <f aca="false">$G2243*'Analyse capacite'!$F$7</f>
        <v>0</v>
      </c>
      <c r="I2243" s="135" t="n">
        <f aca="false">$G2243*'Analyse capacite'!$C$7</f>
        <v>0</v>
      </c>
      <c r="J2243" s="135" t="n">
        <f aca="false">$G2243*'Analyse capacite'!$D$7</f>
        <v>0</v>
      </c>
      <c r="K2243" s="135" t="n">
        <f aca="false">$G2243*'Analyse capacite'!$E$7</f>
        <v>0</v>
      </c>
    </row>
    <row r="2244" customFormat="false" ht="15" hidden="false" customHeight="false" outlineLevel="0" collapsed="false">
      <c r="B2244" s="130" t="n">
        <v>2027</v>
      </c>
      <c r="C2244" s="131" t="s">
        <v>248</v>
      </c>
      <c r="D2244" s="132" t="n">
        <v>46540</v>
      </c>
      <c r="E2244" s="131" t="s">
        <v>25</v>
      </c>
      <c r="F2244" s="133" t="s">
        <v>19</v>
      </c>
      <c r="G2244" s="134" t="n">
        <f aca="false">LEN('Saisie programme'!$F$98)+SUMIFS('Vols additionnels'!$E$7:$E$66,'Vols additionnels'!$C$7:$C$66,$E2244,'Vols additionnels'!$D$7:$D$66,$F2244,'Vols additionnels'!$B$7:$B$66,$D2244)</f>
        <v>1</v>
      </c>
      <c r="H2244" s="135" t="n">
        <f aca="false">$G2244*'Analyse capacite'!$F$8</f>
        <v>262</v>
      </c>
      <c r="I2244" s="135" t="n">
        <f aca="false">$G2244*'Analyse capacite'!$C$8</f>
        <v>18</v>
      </c>
      <c r="J2244" s="135" t="n">
        <f aca="false">$G2244*'Analyse capacite'!$D$8</f>
        <v>0</v>
      </c>
      <c r="K2244" s="135" t="n">
        <f aca="false">$G2244*'Analyse capacite'!$E$8</f>
        <v>244</v>
      </c>
    </row>
    <row r="2245" customFormat="false" ht="15" hidden="false" customHeight="false" outlineLevel="0" collapsed="false">
      <c r="B2245" s="130" t="n">
        <v>2027</v>
      </c>
      <c r="C2245" s="131" t="s">
        <v>248</v>
      </c>
      <c r="D2245" s="132" t="n">
        <v>46540</v>
      </c>
      <c r="E2245" s="131" t="s">
        <v>25</v>
      </c>
      <c r="F2245" s="133" t="s">
        <v>24</v>
      </c>
      <c r="G2245" s="134" t="n">
        <f aca="false">LEN('Saisie programme'!$F$99)+SUMIFS('Vols additionnels'!$E$7:$E$66,'Vols additionnels'!$C$7:$C$66,$E2245,'Vols additionnels'!$D$7:$D$66,$F2245,'Vols additionnels'!$B$7:$B$66,$D2245)</f>
        <v>0</v>
      </c>
      <c r="H2245" s="135" t="n">
        <f aca="false">$G2245*'Analyse capacite'!$F$9</f>
        <v>0</v>
      </c>
      <c r="I2245" s="135" t="n">
        <f aca="false">$G2245*'Analyse capacite'!$C$9</f>
        <v>0</v>
      </c>
      <c r="J2245" s="135" t="n">
        <f aca="false">$G2245*'Analyse capacite'!$D$9</f>
        <v>0</v>
      </c>
      <c r="K2245" s="135" t="n">
        <f aca="false">$G2245*'Analyse capacite'!$E$9</f>
        <v>0</v>
      </c>
    </row>
    <row r="2246" customFormat="false" ht="15" hidden="false" customHeight="false" outlineLevel="0" collapsed="false">
      <c r="B2246" s="130" t="n">
        <v>2027</v>
      </c>
      <c r="C2246" s="131" t="s">
        <v>248</v>
      </c>
      <c r="D2246" s="132" t="n">
        <v>46540</v>
      </c>
      <c r="E2246" s="131" t="s">
        <v>36</v>
      </c>
      <c r="F2246" s="133" t="s">
        <v>11</v>
      </c>
      <c r="G2246" s="134" t="n">
        <f aca="false">LEN('Saisie programme'!$F$100)+SUMIFS('Vols additionnels'!$E$7:$E$66,'Vols additionnels'!$C$7:$C$66,$E2246,'Vols additionnels'!$D$7:$D$66,$F2246,'Vols additionnels'!$B$7:$B$66,$D2246)</f>
        <v>0</v>
      </c>
      <c r="H2246" s="135" t="n">
        <f aca="false">$G2246*'Analyse capacite'!$F$7</f>
        <v>0</v>
      </c>
      <c r="I2246" s="135" t="n">
        <f aca="false">$G2246*'Analyse capacite'!$C$7</f>
        <v>0</v>
      </c>
      <c r="J2246" s="135" t="n">
        <f aca="false">$G2246*'Analyse capacite'!$D$7</f>
        <v>0</v>
      </c>
      <c r="K2246" s="135" t="n">
        <f aca="false">$G2246*'Analyse capacite'!$E$7</f>
        <v>0</v>
      </c>
    </row>
    <row r="2247" customFormat="false" ht="15" hidden="false" customHeight="false" outlineLevel="0" collapsed="false">
      <c r="B2247" s="130" t="n">
        <v>2027</v>
      </c>
      <c r="C2247" s="131" t="s">
        <v>248</v>
      </c>
      <c r="D2247" s="132" t="n">
        <v>46540</v>
      </c>
      <c r="E2247" s="131" t="s">
        <v>36</v>
      </c>
      <c r="F2247" s="133" t="s">
        <v>19</v>
      </c>
      <c r="G2247" s="134" t="n">
        <f aca="false">LEN('Saisie programme'!$F$101)+SUMIFS('Vols additionnels'!$E$7:$E$66,'Vols additionnels'!$C$7:$C$66,$E2247,'Vols additionnels'!$D$7:$D$66,$F2247,'Vols additionnels'!$B$7:$B$66,$D2247)</f>
        <v>1</v>
      </c>
      <c r="H2247" s="135" t="n">
        <f aca="false">$G2247*'Analyse capacite'!$F$8</f>
        <v>262</v>
      </c>
      <c r="I2247" s="135" t="n">
        <f aca="false">$G2247*'Analyse capacite'!$C$8</f>
        <v>18</v>
      </c>
      <c r="J2247" s="135" t="n">
        <f aca="false">$G2247*'Analyse capacite'!$D$8</f>
        <v>0</v>
      </c>
      <c r="K2247" s="135" t="n">
        <f aca="false">$G2247*'Analyse capacite'!$E$8</f>
        <v>244</v>
      </c>
    </row>
    <row r="2248" customFormat="false" ht="15" hidden="false" customHeight="false" outlineLevel="0" collapsed="false">
      <c r="B2248" s="130" t="n">
        <v>2027</v>
      </c>
      <c r="C2248" s="131" t="s">
        <v>248</v>
      </c>
      <c r="D2248" s="132" t="n">
        <v>46540</v>
      </c>
      <c r="E2248" s="131" t="s">
        <v>36</v>
      </c>
      <c r="F2248" s="133" t="s">
        <v>24</v>
      </c>
      <c r="G2248" s="134" t="n">
        <f aca="false">LEN('Saisie programme'!$F$102)+SUMIFS('Vols additionnels'!$E$7:$E$66,'Vols additionnels'!$C$7:$C$66,$E2248,'Vols additionnels'!$D$7:$D$66,$F2248,'Vols additionnels'!$B$7:$B$66,$D2248)</f>
        <v>1</v>
      </c>
      <c r="H2248" s="135" t="n">
        <f aca="false">$G2248*'Analyse capacite'!$F$9</f>
        <v>174</v>
      </c>
      <c r="I2248" s="135" t="n">
        <f aca="false">$G2248*'Analyse capacite'!$C$9</f>
        <v>0</v>
      </c>
      <c r="J2248" s="135" t="n">
        <f aca="false">$G2248*'Analyse capacite'!$D$9</f>
        <v>12</v>
      </c>
      <c r="K2248" s="135" t="n">
        <f aca="false">$G2248*'Analyse capacite'!$E$9</f>
        <v>162</v>
      </c>
    </row>
    <row r="2249" customFormat="false" ht="15" hidden="false" customHeight="false" outlineLevel="0" collapsed="false">
      <c r="B2249" s="130" t="n">
        <v>2027</v>
      </c>
      <c r="C2249" s="131" t="s">
        <v>248</v>
      </c>
      <c r="D2249" s="132" t="n">
        <v>46540</v>
      </c>
      <c r="E2249" s="131" t="s">
        <v>40</v>
      </c>
      <c r="F2249" s="133" t="s">
        <v>11</v>
      </c>
      <c r="G2249" s="134" t="n">
        <f aca="false">LEN('Saisie programme'!$F$103)+SUMIFS('Vols additionnels'!$E$7:$E$66,'Vols additionnels'!$C$7:$C$66,$E2249,'Vols additionnels'!$D$7:$D$66,$F2249,'Vols additionnels'!$B$7:$B$66,$D2249)</f>
        <v>0</v>
      </c>
      <c r="H2249" s="135" t="n">
        <f aca="false">$G2249*'Analyse capacite'!$F$7</f>
        <v>0</v>
      </c>
      <c r="I2249" s="135" t="n">
        <f aca="false">$G2249*'Analyse capacite'!$C$7</f>
        <v>0</v>
      </c>
      <c r="J2249" s="135" t="n">
        <f aca="false">$G2249*'Analyse capacite'!$D$7</f>
        <v>0</v>
      </c>
      <c r="K2249" s="135" t="n">
        <f aca="false">$G2249*'Analyse capacite'!$E$7</f>
        <v>0</v>
      </c>
    </row>
    <row r="2250" customFormat="false" ht="15" hidden="false" customHeight="false" outlineLevel="0" collapsed="false">
      <c r="B2250" s="130" t="n">
        <v>2027</v>
      </c>
      <c r="C2250" s="131" t="s">
        <v>248</v>
      </c>
      <c r="D2250" s="132" t="n">
        <v>46540</v>
      </c>
      <c r="E2250" s="131" t="s">
        <v>40</v>
      </c>
      <c r="F2250" s="133" t="s">
        <v>19</v>
      </c>
      <c r="G2250" s="134" t="n">
        <f aca="false">LEN('Saisie programme'!$F$104)+SUMIFS('Vols additionnels'!$E$7:$E$66,'Vols additionnels'!$C$7:$C$66,$E2250,'Vols additionnels'!$D$7:$D$66,$F2250,'Vols additionnels'!$B$7:$B$66,$D2250)</f>
        <v>0</v>
      </c>
      <c r="H2250" s="135" t="n">
        <f aca="false">$G2250*'Analyse capacite'!$F$8</f>
        <v>0</v>
      </c>
      <c r="I2250" s="135" t="n">
        <f aca="false">$G2250*'Analyse capacite'!$C$8</f>
        <v>0</v>
      </c>
      <c r="J2250" s="135" t="n">
        <f aca="false">$G2250*'Analyse capacite'!$D$8</f>
        <v>0</v>
      </c>
      <c r="K2250" s="135" t="n">
        <f aca="false">$G2250*'Analyse capacite'!$E$8</f>
        <v>0</v>
      </c>
    </row>
    <row r="2251" customFormat="false" ht="15" hidden="false" customHeight="false" outlineLevel="0" collapsed="false">
      <c r="B2251" s="130" t="n">
        <v>2027</v>
      </c>
      <c r="C2251" s="131" t="s">
        <v>248</v>
      </c>
      <c r="D2251" s="132" t="n">
        <v>46540</v>
      </c>
      <c r="E2251" s="131" t="s">
        <v>40</v>
      </c>
      <c r="F2251" s="133" t="s">
        <v>24</v>
      </c>
      <c r="G2251" s="134" t="n">
        <f aca="false">LEN('Saisie programme'!$F$105)+SUMIFS('Vols additionnels'!$E$7:$E$66,'Vols additionnels'!$C$7:$C$66,$E2251,'Vols additionnels'!$D$7:$D$66,$F2251,'Vols additionnels'!$B$7:$B$66,$D2251)</f>
        <v>1</v>
      </c>
      <c r="H2251" s="135" t="n">
        <f aca="false">$G2251*'Analyse capacite'!$F$9</f>
        <v>174</v>
      </c>
      <c r="I2251" s="135" t="n">
        <f aca="false">$G2251*'Analyse capacite'!$C$9</f>
        <v>0</v>
      </c>
      <c r="J2251" s="135" t="n">
        <f aca="false">$G2251*'Analyse capacite'!$D$9</f>
        <v>12</v>
      </c>
      <c r="K2251" s="135" t="n">
        <f aca="false">$G2251*'Analyse capacite'!$E$9</f>
        <v>162</v>
      </c>
    </row>
    <row r="2252" customFormat="false" ht="15" hidden="false" customHeight="false" outlineLevel="0" collapsed="false">
      <c r="B2252" s="130" t="n">
        <v>2027</v>
      </c>
      <c r="C2252" s="131" t="s">
        <v>248</v>
      </c>
      <c r="D2252" s="132" t="n">
        <v>46540</v>
      </c>
      <c r="E2252" s="131" t="s">
        <v>14</v>
      </c>
      <c r="F2252" s="133" t="s">
        <v>11</v>
      </c>
      <c r="G2252" s="134" t="n">
        <f aca="false">LEN('Saisie programme'!$F$106)+SUMIFS('Vols additionnels'!$E$7:$E$66,'Vols additionnels'!$C$7:$C$66,$E2252,'Vols additionnels'!$D$7:$D$66,$F2252,'Vols additionnels'!$B$7:$B$66,$D2252)</f>
        <v>0</v>
      </c>
      <c r="H2252" s="135" t="n">
        <f aca="false">$G2252*'Analyse capacite'!$F$7</f>
        <v>0</v>
      </c>
      <c r="I2252" s="135" t="n">
        <f aca="false">$G2252*'Analyse capacite'!$C$7</f>
        <v>0</v>
      </c>
      <c r="J2252" s="135" t="n">
        <f aca="false">$G2252*'Analyse capacite'!$D$7</f>
        <v>0</v>
      </c>
      <c r="K2252" s="135" t="n">
        <f aca="false">$G2252*'Analyse capacite'!$E$7</f>
        <v>0</v>
      </c>
    </row>
    <row r="2253" customFormat="false" ht="15" hidden="false" customHeight="false" outlineLevel="0" collapsed="false">
      <c r="B2253" s="130" t="n">
        <v>2027</v>
      </c>
      <c r="C2253" s="131" t="s">
        <v>248</v>
      </c>
      <c r="D2253" s="132" t="n">
        <v>46540</v>
      </c>
      <c r="E2253" s="131" t="s">
        <v>14</v>
      </c>
      <c r="F2253" s="133" t="s">
        <v>19</v>
      </c>
      <c r="G2253" s="134" t="n">
        <f aca="false">LEN('Saisie programme'!$F$107)+SUMIFS('Vols additionnels'!$E$7:$E$66,'Vols additionnels'!$C$7:$C$66,$E2253,'Vols additionnels'!$D$7:$D$66,$F2253,'Vols additionnels'!$B$7:$B$66,$D2253)</f>
        <v>0</v>
      </c>
      <c r="H2253" s="135" t="n">
        <f aca="false">$G2253*'Analyse capacite'!$F$8</f>
        <v>0</v>
      </c>
      <c r="I2253" s="135" t="n">
        <f aca="false">$G2253*'Analyse capacite'!$C$8</f>
        <v>0</v>
      </c>
      <c r="J2253" s="135" t="n">
        <f aca="false">$G2253*'Analyse capacite'!$D$8</f>
        <v>0</v>
      </c>
      <c r="K2253" s="135" t="n">
        <f aca="false">$G2253*'Analyse capacite'!$E$8</f>
        <v>0</v>
      </c>
    </row>
    <row r="2254" customFormat="false" ht="15" hidden="false" customHeight="false" outlineLevel="0" collapsed="false">
      <c r="B2254" s="130" t="n">
        <v>2027</v>
      </c>
      <c r="C2254" s="131" t="s">
        <v>248</v>
      </c>
      <c r="D2254" s="132" t="n">
        <v>46540</v>
      </c>
      <c r="E2254" s="131" t="s">
        <v>14</v>
      </c>
      <c r="F2254" s="133" t="s">
        <v>24</v>
      </c>
      <c r="G2254" s="134" t="n">
        <f aca="false">LEN('Saisie programme'!$F$108)+SUMIFS('Vols additionnels'!$E$7:$E$66,'Vols additionnels'!$C$7:$C$66,$E2254,'Vols additionnels'!$D$7:$D$66,$F2254,'Vols additionnels'!$B$7:$B$66,$D2254)</f>
        <v>0</v>
      </c>
      <c r="H2254" s="135" t="n">
        <f aca="false">$G2254*'Analyse capacite'!$F$9</f>
        <v>0</v>
      </c>
      <c r="I2254" s="135" t="n">
        <f aca="false">$G2254*'Analyse capacite'!$C$9</f>
        <v>0</v>
      </c>
      <c r="J2254" s="135" t="n">
        <f aca="false">$G2254*'Analyse capacite'!$D$9</f>
        <v>0</v>
      </c>
      <c r="K2254" s="135" t="n">
        <f aca="false">$G2254*'Analyse capacite'!$E$9</f>
        <v>0</v>
      </c>
    </row>
    <row r="2255" customFormat="false" ht="15" hidden="false" customHeight="false" outlineLevel="0" collapsed="false">
      <c r="B2255" s="130" t="n">
        <v>2027</v>
      </c>
      <c r="C2255" s="131" t="s">
        <v>248</v>
      </c>
      <c r="D2255" s="132" t="n">
        <v>46540</v>
      </c>
      <c r="E2255" s="131" t="s">
        <v>46</v>
      </c>
      <c r="F2255" s="133" t="s">
        <v>11</v>
      </c>
      <c r="G2255" s="134" t="n">
        <f aca="false">LEN('Saisie programme'!$F$109)+SUMIFS('Vols additionnels'!$E$7:$E$66,'Vols additionnels'!$C$7:$C$66,$E2255,'Vols additionnels'!$D$7:$D$66,$F2255,'Vols additionnels'!$B$7:$B$66,$D2255)</f>
        <v>0</v>
      </c>
      <c r="H2255" s="135" t="n">
        <f aca="false">$G2255*'Analyse capacite'!$F$7</f>
        <v>0</v>
      </c>
      <c r="I2255" s="135" t="n">
        <f aca="false">$G2255*'Analyse capacite'!$C$7</f>
        <v>0</v>
      </c>
      <c r="J2255" s="135" t="n">
        <f aca="false">$G2255*'Analyse capacite'!$D$7</f>
        <v>0</v>
      </c>
      <c r="K2255" s="135" t="n">
        <f aca="false">$G2255*'Analyse capacite'!$E$7</f>
        <v>0</v>
      </c>
    </row>
    <row r="2256" customFormat="false" ht="15" hidden="false" customHeight="false" outlineLevel="0" collapsed="false">
      <c r="B2256" s="130" t="n">
        <v>2027</v>
      </c>
      <c r="C2256" s="131" t="s">
        <v>248</v>
      </c>
      <c r="D2256" s="132" t="n">
        <v>46540</v>
      </c>
      <c r="E2256" s="131" t="s">
        <v>46</v>
      </c>
      <c r="F2256" s="133" t="s">
        <v>19</v>
      </c>
      <c r="G2256" s="134" t="n">
        <f aca="false">LEN('Saisie programme'!$F$110)+SUMIFS('Vols additionnels'!$E$7:$E$66,'Vols additionnels'!$C$7:$C$66,$E2256,'Vols additionnels'!$D$7:$D$66,$F2256,'Vols additionnels'!$B$7:$B$66,$D2256)</f>
        <v>0</v>
      </c>
      <c r="H2256" s="135" t="n">
        <f aca="false">$G2256*'Analyse capacite'!$F$8</f>
        <v>0</v>
      </c>
      <c r="I2256" s="135" t="n">
        <f aca="false">$G2256*'Analyse capacite'!$C$8</f>
        <v>0</v>
      </c>
      <c r="J2256" s="135" t="n">
        <f aca="false">$G2256*'Analyse capacite'!$D$8</f>
        <v>0</v>
      </c>
      <c r="K2256" s="135" t="n">
        <f aca="false">$G2256*'Analyse capacite'!$E$8</f>
        <v>0</v>
      </c>
    </row>
    <row r="2257" customFormat="false" ht="15" hidden="false" customHeight="false" outlineLevel="0" collapsed="false">
      <c r="B2257" s="130" t="n">
        <v>2027</v>
      </c>
      <c r="C2257" s="131" t="s">
        <v>248</v>
      </c>
      <c r="D2257" s="132" t="n">
        <v>46540</v>
      </c>
      <c r="E2257" s="131" t="s">
        <v>46</v>
      </c>
      <c r="F2257" s="133" t="s">
        <v>24</v>
      </c>
      <c r="G2257" s="134" t="n">
        <f aca="false">LEN('Saisie programme'!$F$111)+SUMIFS('Vols additionnels'!$E$7:$E$66,'Vols additionnels'!$C$7:$C$66,$E2257,'Vols additionnels'!$D$7:$D$66,$F2257,'Vols additionnels'!$B$7:$B$66,$D2257)</f>
        <v>0</v>
      </c>
      <c r="H2257" s="135" t="n">
        <f aca="false">$G2257*'Analyse capacite'!$F$9</f>
        <v>0</v>
      </c>
      <c r="I2257" s="135" t="n">
        <f aca="false">$G2257*'Analyse capacite'!$C$9</f>
        <v>0</v>
      </c>
      <c r="J2257" s="135" t="n">
        <f aca="false">$G2257*'Analyse capacite'!$D$9</f>
        <v>0</v>
      </c>
      <c r="K2257" s="135" t="n">
        <f aca="false">$G2257*'Analyse capacite'!$E$9</f>
        <v>0</v>
      </c>
    </row>
    <row r="2258" customFormat="false" ht="15" hidden="false" customHeight="false" outlineLevel="0" collapsed="false">
      <c r="B2258" s="130" t="n">
        <v>2027</v>
      </c>
      <c r="C2258" s="131" t="s">
        <v>248</v>
      </c>
      <c r="D2258" s="132" t="n">
        <v>46540</v>
      </c>
      <c r="E2258" s="131" t="s">
        <v>49</v>
      </c>
      <c r="F2258" s="133" t="s">
        <v>11</v>
      </c>
      <c r="G2258" s="134" t="n">
        <f aca="false">LEN('Saisie programme'!$F$112)+SUMIFS('Vols additionnels'!$E$7:$E$66,'Vols additionnels'!$C$7:$C$66,$E2258,'Vols additionnels'!$D$7:$D$66,$F2258,'Vols additionnels'!$B$7:$B$66,$D2258)</f>
        <v>0</v>
      </c>
      <c r="H2258" s="135" t="n">
        <f aca="false">$G2258*'Analyse capacite'!$F$7</f>
        <v>0</v>
      </c>
      <c r="I2258" s="135" t="n">
        <f aca="false">$G2258*'Analyse capacite'!$C$7</f>
        <v>0</v>
      </c>
      <c r="J2258" s="135" t="n">
        <f aca="false">$G2258*'Analyse capacite'!$D$7</f>
        <v>0</v>
      </c>
      <c r="K2258" s="135" t="n">
        <f aca="false">$G2258*'Analyse capacite'!$E$7</f>
        <v>0</v>
      </c>
    </row>
    <row r="2259" customFormat="false" ht="15" hidden="false" customHeight="false" outlineLevel="0" collapsed="false">
      <c r="B2259" s="130" t="n">
        <v>2027</v>
      </c>
      <c r="C2259" s="131" t="s">
        <v>248</v>
      </c>
      <c r="D2259" s="132" t="n">
        <v>46540</v>
      </c>
      <c r="E2259" s="131" t="s">
        <v>49</v>
      </c>
      <c r="F2259" s="133" t="s">
        <v>19</v>
      </c>
      <c r="G2259" s="134" t="n">
        <f aca="false">LEN('Saisie programme'!$F$113)+SUMIFS('Vols additionnels'!$E$7:$E$66,'Vols additionnels'!$C$7:$C$66,$E2259,'Vols additionnels'!$D$7:$D$66,$F2259,'Vols additionnels'!$B$7:$B$66,$D2259)</f>
        <v>0</v>
      </c>
      <c r="H2259" s="135" t="n">
        <f aca="false">$G2259*'Analyse capacite'!$F$8</f>
        <v>0</v>
      </c>
      <c r="I2259" s="135" t="n">
        <f aca="false">$G2259*'Analyse capacite'!$C$8</f>
        <v>0</v>
      </c>
      <c r="J2259" s="135" t="n">
        <f aca="false">$G2259*'Analyse capacite'!$D$8</f>
        <v>0</v>
      </c>
      <c r="K2259" s="135" t="n">
        <f aca="false">$G2259*'Analyse capacite'!$E$8</f>
        <v>0</v>
      </c>
    </row>
    <row r="2260" customFormat="false" ht="15" hidden="false" customHeight="false" outlineLevel="0" collapsed="false">
      <c r="B2260" s="130" t="n">
        <v>2027</v>
      </c>
      <c r="C2260" s="131" t="s">
        <v>248</v>
      </c>
      <c r="D2260" s="132" t="n">
        <v>46540</v>
      </c>
      <c r="E2260" s="131" t="s">
        <v>49</v>
      </c>
      <c r="F2260" s="133" t="s">
        <v>24</v>
      </c>
      <c r="G2260" s="134" t="n">
        <f aca="false">LEN('Saisie programme'!$F$114)+SUMIFS('Vols additionnels'!$E$7:$E$66,'Vols additionnels'!$C$7:$C$66,$E2260,'Vols additionnels'!$D$7:$D$66,$F2260,'Vols additionnels'!$B$7:$B$66,$D2260)</f>
        <v>0</v>
      </c>
      <c r="H2260" s="135" t="n">
        <f aca="false">$G2260*'Analyse capacite'!$F$9</f>
        <v>0</v>
      </c>
      <c r="I2260" s="135" t="n">
        <f aca="false">$G2260*'Analyse capacite'!$C$9</f>
        <v>0</v>
      </c>
      <c r="J2260" s="135" t="n">
        <f aca="false">$G2260*'Analyse capacite'!$D$9</f>
        <v>0</v>
      </c>
      <c r="K2260" s="135" t="n">
        <f aca="false">$G2260*'Analyse capacite'!$E$9</f>
        <v>0</v>
      </c>
    </row>
    <row r="2261" customFormat="false" ht="15" hidden="false" customHeight="false" outlineLevel="0" collapsed="false">
      <c r="B2261" s="130" t="n">
        <v>2027</v>
      </c>
      <c r="C2261" s="131" t="s">
        <v>248</v>
      </c>
      <c r="D2261" s="132" t="n">
        <v>46540</v>
      </c>
      <c r="E2261" s="131" t="s">
        <v>53</v>
      </c>
      <c r="F2261" s="133" t="s">
        <v>11</v>
      </c>
      <c r="G2261" s="134" t="n">
        <f aca="false">LEN('Saisie programme'!$F$115)+SUMIFS('Vols additionnels'!$E$7:$E$66,'Vols additionnels'!$C$7:$C$66,$E2261,'Vols additionnels'!$D$7:$D$66,$F2261,'Vols additionnels'!$B$7:$B$66,$D2261)</f>
        <v>0</v>
      </c>
      <c r="H2261" s="135" t="n">
        <f aca="false">$G2261*'Analyse capacite'!$F$7</f>
        <v>0</v>
      </c>
      <c r="I2261" s="135" t="n">
        <f aca="false">$G2261*'Analyse capacite'!$C$7</f>
        <v>0</v>
      </c>
      <c r="J2261" s="135" t="n">
        <f aca="false">$G2261*'Analyse capacite'!$D$7</f>
        <v>0</v>
      </c>
      <c r="K2261" s="135" t="n">
        <f aca="false">$G2261*'Analyse capacite'!$E$7</f>
        <v>0</v>
      </c>
    </row>
    <row r="2262" customFormat="false" ht="15" hidden="false" customHeight="false" outlineLevel="0" collapsed="false">
      <c r="B2262" s="130" t="n">
        <v>2027</v>
      </c>
      <c r="C2262" s="131" t="s">
        <v>248</v>
      </c>
      <c r="D2262" s="132" t="n">
        <v>46540</v>
      </c>
      <c r="E2262" s="131" t="s">
        <v>53</v>
      </c>
      <c r="F2262" s="133" t="s">
        <v>19</v>
      </c>
      <c r="G2262" s="134" t="n">
        <f aca="false">LEN('Saisie programme'!$F$116)+SUMIFS('Vols additionnels'!$E$7:$E$66,'Vols additionnels'!$C$7:$C$66,$E2262,'Vols additionnels'!$D$7:$D$66,$F2262,'Vols additionnels'!$B$7:$B$66,$D2262)</f>
        <v>0</v>
      </c>
      <c r="H2262" s="135" t="n">
        <f aca="false">$G2262*'Analyse capacite'!$F$8</f>
        <v>0</v>
      </c>
      <c r="I2262" s="135" t="n">
        <f aca="false">$G2262*'Analyse capacite'!$C$8</f>
        <v>0</v>
      </c>
      <c r="J2262" s="135" t="n">
        <f aca="false">$G2262*'Analyse capacite'!$D$8</f>
        <v>0</v>
      </c>
      <c r="K2262" s="135" t="n">
        <f aca="false">$G2262*'Analyse capacite'!$E$8</f>
        <v>0</v>
      </c>
    </row>
    <row r="2263" customFormat="false" ht="15" hidden="false" customHeight="false" outlineLevel="0" collapsed="false">
      <c r="B2263" s="130" t="n">
        <v>2027</v>
      </c>
      <c r="C2263" s="131" t="s">
        <v>248</v>
      </c>
      <c r="D2263" s="132" t="n">
        <v>46540</v>
      </c>
      <c r="E2263" s="131" t="s">
        <v>53</v>
      </c>
      <c r="F2263" s="133" t="s">
        <v>24</v>
      </c>
      <c r="G2263" s="134" t="n">
        <f aca="false">LEN('Saisie programme'!$F$117)+SUMIFS('Vols additionnels'!$E$7:$E$66,'Vols additionnels'!$C$7:$C$66,$E2263,'Vols additionnels'!$D$7:$D$66,$F2263,'Vols additionnels'!$B$7:$B$66,$D2263)</f>
        <v>0</v>
      </c>
      <c r="H2263" s="135" t="n">
        <f aca="false">$G2263*'Analyse capacite'!$F$9</f>
        <v>0</v>
      </c>
      <c r="I2263" s="135" t="n">
        <f aca="false">$G2263*'Analyse capacite'!$C$9</f>
        <v>0</v>
      </c>
      <c r="J2263" s="135" t="n">
        <f aca="false">$G2263*'Analyse capacite'!$D$9</f>
        <v>0</v>
      </c>
      <c r="K2263" s="135" t="n">
        <f aca="false">$G2263*'Analyse capacite'!$E$9</f>
        <v>0</v>
      </c>
    </row>
    <row r="2264" customFormat="false" ht="15" hidden="false" customHeight="false" outlineLevel="0" collapsed="false">
      <c r="B2264" s="130" t="n">
        <v>2027</v>
      </c>
      <c r="C2264" s="131" t="s">
        <v>248</v>
      </c>
      <c r="D2264" s="132" t="n">
        <v>46540</v>
      </c>
      <c r="E2264" s="131" t="s">
        <v>56</v>
      </c>
      <c r="F2264" s="133" t="s">
        <v>11</v>
      </c>
      <c r="G2264" s="134" t="n">
        <f aca="false">LEN('Saisie programme'!$F$118)+SUMIFS('Vols additionnels'!$E$7:$E$66,'Vols additionnels'!$C$7:$C$66,$E2264,'Vols additionnels'!$D$7:$D$66,$F2264,'Vols additionnels'!$B$7:$B$66,$D2264)</f>
        <v>0</v>
      </c>
      <c r="H2264" s="135" t="n">
        <f aca="false">$G2264*'Analyse capacite'!$F$7</f>
        <v>0</v>
      </c>
      <c r="I2264" s="135" t="n">
        <f aca="false">$G2264*'Analyse capacite'!$C$7</f>
        <v>0</v>
      </c>
      <c r="J2264" s="135" t="n">
        <f aca="false">$G2264*'Analyse capacite'!$D$7</f>
        <v>0</v>
      </c>
      <c r="K2264" s="135" t="n">
        <f aca="false">$G2264*'Analyse capacite'!$E$7</f>
        <v>0</v>
      </c>
    </row>
    <row r="2265" customFormat="false" ht="15" hidden="false" customHeight="false" outlineLevel="0" collapsed="false">
      <c r="B2265" s="130" t="n">
        <v>2027</v>
      </c>
      <c r="C2265" s="131" t="s">
        <v>248</v>
      </c>
      <c r="D2265" s="132" t="n">
        <v>46540</v>
      </c>
      <c r="E2265" s="131" t="s">
        <v>56</v>
      </c>
      <c r="F2265" s="133" t="s">
        <v>19</v>
      </c>
      <c r="G2265" s="134" t="n">
        <f aca="false">LEN('Saisie programme'!$F$119)+SUMIFS('Vols additionnels'!$E$7:$E$66,'Vols additionnels'!$C$7:$C$66,$E2265,'Vols additionnels'!$D$7:$D$66,$F2265,'Vols additionnels'!$B$7:$B$66,$D2265)</f>
        <v>0</v>
      </c>
      <c r="H2265" s="135" t="n">
        <f aca="false">$G2265*'Analyse capacite'!$F$8</f>
        <v>0</v>
      </c>
      <c r="I2265" s="135" t="n">
        <f aca="false">$G2265*'Analyse capacite'!$C$8</f>
        <v>0</v>
      </c>
      <c r="J2265" s="135" t="n">
        <f aca="false">$G2265*'Analyse capacite'!$D$8</f>
        <v>0</v>
      </c>
      <c r="K2265" s="135" t="n">
        <f aca="false">$G2265*'Analyse capacite'!$E$8</f>
        <v>0</v>
      </c>
    </row>
    <row r="2266" customFormat="false" ht="15" hidden="false" customHeight="false" outlineLevel="0" collapsed="false">
      <c r="B2266" s="130" t="n">
        <v>2027</v>
      </c>
      <c r="C2266" s="131" t="s">
        <v>248</v>
      </c>
      <c r="D2266" s="132" t="n">
        <v>46540</v>
      </c>
      <c r="E2266" s="131" t="s">
        <v>56</v>
      </c>
      <c r="F2266" s="133" t="s">
        <v>24</v>
      </c>
      <c r="G2266" s="134" t="n">
        <f aca="false">LEN('Saisie programme'!$F$120)+SUMIFS('Vols additionnels'!$E$7:$E$66,'Vols additionnels'!$C$7:$C$66,$E2266,'Vols additionnels'!$D$7:$D$66,$F2266,'Vols additionnels'!$B$7:$B$66,$D2266)</f>
        <v>0</v>
      </c>
      <c r="H2266" s="135" t="n">
        <f aca="false">$G2266*'Analyse capacite'!$F$9</f>
        <v>0</v>
      </c>
      <c r="I2266" s="135" t="n">
        <f aca="false">$G2266*'Analyse capacite'!$C$9</f>
        <v>0</v>
      </c>
      <c r="J2266" s="135" t="n">
        <f aca="false">$G2266*'Analyse capacite'!$D$9</f>
        <v>0</v>
      </c>
      <c r="K2266" s="135" t="n">
        <f aca="false">$G2266*'Analyse capacite'!$E$9</f>
        <v>0</v>
      </c>
    </row>
    <row r="2267" customFormat="false" ht="15" hidden="false" customHeight="false" outlineLevel="0" collapsed="false">
      <c r="B2267" s="130" t="n">
        <v>2027</v>
      </c>
      <c r="C2267" s="131" t="s">
        <v>248</v>
      </c>
      <c r="D2267" s="132" t="n">
        <v>46540</v>
      </c>
      <c r="E2267" s="131" t="s">
        <v>59</v>
      </c>
      <c r="F2267" s="133" t="s">
        <v>11</v>
      </c>
      <c r="G2267" s="134" t="n">
        <f aca="false">LEN('Saisie programme'!$F$121)+SUMIFS('Vols additionnels'!$E$7:$E$66,'Vols additionnels'!$C$7:$C$66,$E2267,'Vols additionnels'!$D$7:$D$66,$F2267,'Vols additionnels'!$B$7:$B$66,$D2267)</f>
        <v>0</v>
      </c>
      <c r="H2267" s="135" t="n">
        <f aca="false">$G2267*'Analyse capacite'!$F$7</f>
        <v>0</v>
      </c>
      <c r="I2267" s="135" t="n">
        <f aca="false">$G2267*'Analyse capacite'!$C$7</f>
        <v>0</v>
      </c>
      <c r="J2267" s="135" t="n">
        <f aca="false">$G2267*'Analyse capacite'!$D$7</f>
        <v>0</v>
      </c>
      <c r="K2267" s="135" t="n">
        <f aca="false">$G2267*'Analyse capacite'!$E$7</f>
        <v>0</v>
      </c>
    </row>
    <row r="2268" customFormat="false" ht="15" hidden="false" customHeight="false" outlineLevel="0" collapsed="false">
      <c r="B2268" s="130" t="n">
        <v>2027</v>
      </c>
      <c r="C2268" s="131" t="s">
        <v>248</v>
      </c>
      <c r="D2268" s="132" t="n">
        <v>46540</v>
      </c>
      <c r="E2268" s="131" t="s">
        <v>59</v>
      </c>
      <c r="F2268" s="133" t="s">
        <v>19</v>
      </c>
      <c r="G2268" s="134" t="n">
        <f aca="false">LEN('Saisie programme'!$F$122)+SUMIFS('Vols additionnels'!$E$7:$E$66,'Vols additionnels'!$C$7:$C$66,$E2268,'Vols additionnels'!$D$7:$D$66,$F2268,'Vols additionnels'!$B$7:$B$66,$D2268)</f>
        <v>0</v>
      </c>
      <c r="H2268" s="135" t="n">
        <f aca="false">$G2268*'Analyse capacite'!$F$8</f>
        <v>0</v>
      </c>
      <c r="I2268" s="135" t="n">
        <f aca="false">$G2268*'Analyse capacite'!$C$8</f>
        <v>0</v>
      </c>
      <c r="J2268" s="135" t="n">
        <f aca="false">$G2268*'Analyse capacite'!$D$8</f>
        <v>0</v>
      </c>
      <c r="K2268" s="135" t="n">
        <f aca="false">$G2268*'Analyse capacite'!$E$8</f>
        <v>0</v>
      </c>
    </row>
    <row r="2269" customFormat="false" ht="15" hidden="false" customHeight="false" outlineLevel="0" collapsed="false">
      <c r="B2269" s="130" t="n">
        <v>2027</v>
      </c>
      <c r="C2269" s="131" t="s">
        <v>248</v>
      </c>
      <c r="D2269" s="132" t="n">
        <v>46540</v>
      </c>
      <c r="E2269" s="131" t="s">
        <v>59</v>
      </c>
      <c r="F2269" s="133" t="s">
        <v>24</v>
      </c>
      <c r="G2269" s="134" t="n">
        <f aca="false">LEN('Saisie programme'!$F$123)+SUMIFS('Vols additionnels'!$E$7:$E$66,'Vols additionnels'!$C$7:$C$66,$E2269,'Vols additionnels'!$D$7:$D$66,$F2269,'Vols additionnels'!$B$7:$B$66,$D2269)</f>
        <v>1</v>
      </c>
      <c r="H2269" s="135" t="n">
        <f aca="false">$G2269*'Analyse capacite'!$F$9</f>
        <v>174</v>
      </c>
      <c r="I2269" s="135" t="n">
        <f aca="false">$G2269*'Analyse capacite'!$C$9</f>
        <v>0</v>
      </c>
      <c r="J2269" s="135" t="n">
        <f aca="false">$G2269*'Analyse capacite'!$D$9</f>
        <v>12</v>
      </c>
      <c r="K2269" s="135" t="n">
        <f aca="false">$G2269*'Analyse capacite'!$E$9</f>
        <v>162</v>
      </c>
    </row>
    <row r="2270" customFormat="false" ht="15" hidden="false" customHeight="false" outlineLevel="0" collapsed="false">
      <c r="B2270" s="130" t="n">
        <v>2027</v>
      </c>
      <c r="C2270" s="131" t="s">
        <v>248</v>
      </c>
      <c r="D2270" s="132" t="n">
        <v>46540</v>
      </c>
      <c r="E2270" s="131" t="s">
        <v>62</v>
      </c>
      <c r="F2270" s="133" t="s">
        <v>11</v>
      </c>
      <c r="G2270" s="134" t="n">
        <f aca="false">LEN('Saisie programme'!$F$124)+SUMIFS('Vols additionnels'!$E$7:$E$66,'Vols additionnels'!$C$7:$C$66,$E2270,'Vols additionnels'!$D$7:$D$66,$F2270,'Vols additionnels'!$B$7:$B$66,$D2270)</f>
        <v>0</v>
      </c>
      <c r="H2270" s="135" t="n">
        <f aca="false">$G2270*'Analyse capacite'!$F$7</f>
        <v>0</v>
      </c>
      <c r="I2270" s="135" t="n">
        <f aca="false">$G2270*'Analyse capacite'!$C$7</f>
        <v>0</v>
      </c>
      <c r="J2270" s="135" t="n">
        <f aca="false">$G2270*'Analyse capacite'!$D$7</f>
        <v>0</v>
      </c>
      <c r="K2270" s="135" t="n">
        <f aca="false">$G2270*'Analyse capacite'!$E$7</f>
        <v>0</v>
      </c>
    </row>
    <row r="2271" customFormat="false" ht="15" hidden="false" customHeight="false" outlineLevel="0" collapsed="false">
      <c r="B2271" s="130" t="n">
        <v>2027</v>
      </c>
      <c r="C2271" s="131" t="s">
        <v>248</v>
      </c>
      <c r="D2271" s="132" t="n">
        <v>46540</v>
      </c>
      <c r="E2271" s="131" t="s">
        <v>62</v>
      </c>
      <c r="F2271" s="133" t="s">
        <v>19</v>
      </c>
      <c r="G2271" s="134" t="n">
        <f aca="false">LEN('Saisie programme'!$F$125)+SUMIFS('Vols additionnels'!$E$7:$E$66,'Vols additionnels'!$C$7:$C$66,$E2271,'Vols additionnels'!$D$7:$D$66,$F2271,'Vols additionnels'!$B$7:$B$66,$D2271)</f>
        <v>0</v>
      </c>
      <c r="H2271" s="135" t="n">
        <f aca="false">$G2271*'Analyse capacite'!$F$8</f>
        <v>0</v>
      </c>
      <c r="I2271" s="135" t="n">
        <f aca="false">$G2271*'Analyse capacite'!$C$8</f>
        <v>0</v>
      </c>
      <c r="J2271" s="135" t="n">
        <f aca="false">$G2271*'Analyse capacite'!$D$8</f>
        <v>0</v>
      </c>
      <c r="K2271" s="135" t="n">
        <f aca="false">$G2271*'Analyse capacite'!$E$8</f>
        <v>0</v>
      </c>
    </row>
    <row r="2272" customFormat="false" ht="15" hidden="false" customHeight="false" outlineLevel="0" collapsed="false">
      <c r="B2272" s="130" t="n">
        <v>2027</v>
      </c>
      <c r="C2272" s="131" t="s">
        <v>248</v>
      </c>
      <c r="D2272" s="132" t="n">
        <v>46540</v>
      </c>
      <c r="E2272" s="131" t="s">
        <v>62</v>
      </c>
      <c r="F2272" s="133" t="s">
        <v>24</v>
      </c>
      <c r="G2272" s="134" t="n">
        <f aca="false">LEN('Saisie programme'!$F$126)+SUMIFS('Vols additionnels'!$E$7:$E$66,'Vols additionnels'!$C$7:$C$66,$E2272,'Vols additionnels'!$D$7:$D$66,$F2272,'Vols additionnels'!$B$7:$B$66,$D2272)</f>
        <v>1</v>
      </c>
      <c r="H2272" s="135" t="n">
        <f aca="false">$G2272*'Analyse capacite'!$F$9</f>
        <v>174</v>
      </c>
      <c r="I2272" s="135" t="n">
        <f aca="false">$G2272*'Analyse capacite'!$C$9</f>
        <v>0</v>
      </c>
      <c r="J2272" s="135" t="n">
        <f aca="false">$G2272*'Analyse capacite'!$D$9</f>
        <v>12</v>
      </c>
      <c r="K2272" s="135" t="n">
        <f aca="false">$G2272*'Analyse capacite'!$E$9</f>
        <v>162</v>
      </c>
    </row>
    <row r="2273" customFormat="false" ht="15" hidden="false" customHeight="false" outlineLevel="0" collapsed="false">
      <c r="B2273" s="130" t="n">
        <v>2027</v>
      </c>
      <c r="C2273" s="131" t="s">
        <v>248</v>
      </c>
      <c r="D2273" s="132" t="n">
        <v>46541</v>
      </c>
      <c r="E2273" s="131" t="s">
        <v>12</v>
      </c>
      <c r="F2273" s="133" t="s">
        <v>11</v>
      </c>
      <c r="G2273" s="134" t="n">
        <f aca="false">LEN('Saisie programme'!$G$91)+SUMIFS('Vols additionnels'!$E$7:$E$66,'Vols additionnels'!$C$7:$C$66,$E2273,'Vols additionnels'!$D$7:$D$66,$F2273,'Vols additionnels'!$B$7:$B$66,$D2273)</f>
        <v>1</v>
      </c>
      <c r="H2273" s="135" t="n">
        <f aca="false">$G2273*'Analyse capacite'!$F$7</f>
        <v>438</v>
      </c>
      <c r="I2273" s="135" t="n">
        <f aca="false">$G2273*'Analyse capacite'!$C$7</f>
        <v>14</v>
      </c>
      <c r="J2273" s="135" t="n">
        <f aca="false">$G2273*'Analyse capacite'!$D$7</f>
        <v>40</v>
      </c>
      <c r="K2273" s="135" t="n">
        <f aca="false">$G2273*'Analyse capacite'!$E$7</f>
        <v>384</v>
      </c>
    </row>
    <row r="2274" customFormat="false" ht="15" hidden="false" customHeight="false" outlineLevel="0" collapsed="false">
      <c r="B2274" s="130" t="n">
        <v>2027</v>
      </c>
      <c r="C2274" s="131" t="s">
        <v>248</v>
      </c>
      <c r="D2274" s="132" t="n">
        <v>46541</v>
      </c>
      <c r="E2274" s="131" t="s">
        <v>12</v>
      </c>
      <c r="F2274" s="133" t="s">
        <v>19</v>
      </c>
      <c r="G2274" s="134" t="n">
        <f aca="false">LEN('Saisie programme'!$G$92)+SUMIFS('Vols additionnels'!$E$7:$E$66,'Vols additionnels'!$C$7:$C$66,$E2274,'Vols additionnels'!$D$7:$D$66,$F2274,'Vols additionnels'!$B$7:$B$66,$D2274)</f>
        <v>0</v>
      </c>
      <c r="H2274" s="135" t="n">
        <f aca="false">$G2274*'Analyse capacite'!$F$8</f>
        <v>0</v>
      </c>
      <c r="I2274" s="135" t="n">
        <f aca="false">$G2274*'Analyse capacite'!$C$8</f>
        <v>0</v>
      </c>
      <c r="J2274" s="135" t="n">
        <f aca="false">$G2274*'Analyse capacite'!$D$8</f>
        <v>0</v>
      </c>
      <c r="K2274" s="135" t="n">
        <f aca="false">$G2274*'Analyse capacite'!$E$8</f>
        <v>0</v>
      </c>
    </row>
    <row r="2275" customFormat="false" ht="15" hidden="false" customHeight="false" outlineLevel="0" collapsed="false">
      <c r="B2275" s="130" t="n">
        <v>2027</v>
      </c>
      <c r="C2275" s="131" t="s">
        <v>248</v>
      </c>
      <c r="D2275" s="132" t="n">
        <v>46541</v>
      </c>
      <c r="E2275" s="131" t="s">
        <v>12</v>
      </c>
      <c r="F2275" s="133" t="s">
        <v>24</v>
      </c>
      <c r="G2275" s="134" t="n">
        <f aca="false">LEN('Saisie programme'!$G$93)+SUMIFS('Vols additionnels'!$E$7:$E$66,'Vols additionnels'!$C$7:$C$66,$E2275,'Vols additionnels'!$D$7:$D$66,$F2275,'Vols additionnels'!$B$7:$B$66,$D2275)</f>
        <v>0</v>
      </c>
      <c r="H2275" s="135" t="n">
        <f aca="false">$G2275*'Analyse capacite'!$F$9</f>
        <v>0</v>
      </c>
      <c r="I2275" s="135" t="n">
        <f aca="false">$G2275*'Analyse capacite'!$C$9</f>
        <v>0</v>
      </c>
      <c r="J2275" s="135" t="n">
        <f aca="false">$G2275*'Analyse capacite'!$D$9</f>
        <v>0</v>
      </c>
      <c r="K2275" s="135" t="n">
        <f aca="false">$G2275*'Analyse capacite'!$E$9</f>
        <v>0</v>
      </c>
    </row>
    <row r="2276" customFormat="false" ht="15" hidden="false" customHeight="false" outlineLevel="0" collapsed="false">
      <c r="B2276" s="130" t="n">
        <v>2027</v>
      </c>
      <c r="C2276" s="131" t="s">
        <v>248</v>
      </c>
      <c r="D2276" s="132" t="n">
        <v>46541</v>
      </c>
      <c r="E2276" s="131" t="s">
        <v>20</v>
      </c>
      <c r="F2276" s="133" t="s">
        <v>11</v>
      </c>
      <c r="G2276" s="134" t="n">
        <f aca="false">LEN('Saisie programme'!$G$94)+SUMIFS('Vols additionnels'!$E$7:$E$66,'Vols additionnels'!$C$7:$C$66,$E2276,'Vols additionnels'!$D$7:$D$66,$F2276,'Vols additionnels'!$B$7:$B$66,$D2276)</f>
        <v>0</v>
      </c>
      <c r="H2276" s="135" t="n">
        <f aca="false">$G2276*'Analyse capacite'!$F$7</f>
        <v>0</v>
      </c>
      <c r="I2276" s="135" t="n">
        <f aca="false">$G2276*'Analyse capacite'!$C$7</f>
        <v>0</v>
      </c>
      <c r="J2276" s="135" t="n">
        <f aca="false">$G2276*'Analyse capacite'!$D$7</f>
        <v>0</v>
      </c>
      <c r="K2276" s="135" t="n">
        <f aca="false">$G2276*'Analyse capacite'!$E$7</f>
        <v>0</v>
      </c>
    </row>
    <row r="2277" customFormat="false" ht="15" hidden="false" customHeight="false" outlineLevel="0" collapsed="false">
      <c r="B2277" s="130" t="n">
        <v>2027</v>
      </c>
      <c r="C2277" s="131" t="s">
        <v>248</v>
      </c>
      <c r="D2277" s="132" t="n">
        <v>46541</v>
      </c>
      <c r="E2277" s="131" t="s">
        <v>20</v>
      </c>
      <c r="F2277" s="133" t="s">
        <v>19</v>
      </c>
      <c r="G2277" s="134" t="n">
        <f aca="false">LEN('Saisie programme'!$G$95)+SUMIFS('Vols additionnels'!$E$7:$E$66,'Vols additionnels'!$C$7:$C$66,$E2277,'Vols additionnels'!$D$7:$D$66,$F2277,'Vols additionnels'!$B$7:$B$66,$D2277)</f>
        <v>0</v>
      </c>
      <c r="H2277" s="135" t="n">
        <f aca="false">$G2277*'Analyse capacite'!$F$8</f>
        <v>0</v>
      </c>
      <c r="I2277" s="135" t="n">
        <f aca="false">$G2277*'Analyse capacite'!$C$8</f>
        <v>0</v>
      </c>
      <c r="J2277" s="135" t="n">
        <f aca="false">$G2277*'Analyse capacite'!$D$8</f>
        <v>0</v>
      </c>
      <c r="K2277" s="135" t="n">
        <f aca="false">$G2277*'Analyse capacite'!$E$8</f>
        <v>0</v>
      </c>
    </row>
    <row r="2278" customFormat="false" ht="15" hidden="false" customHeight="false" outlineLevel="0" collapsed="false">
      <c r="B2278" s="130" t="n">
        <v>2027</v>
      </c>
      <c r="C2278" s="131" t="s">
        <v>248</v>
      </c>
      <c r="D2278" s="132" t="n">
        <v>46541</v>
      </c>
      <c r="E2278" s="131" t="s">
        <v>20</v>
      </c>
      <c r="F2278" s="133" t="s">
        <v>24</v>
      </c>
      <c r="G2278" s="134" t="n">
        <f aca="false">LEN('Saisie programme'!$G$96)+SUMIFS('Vols additionnels'!$E$7:$E$66,'Vols additionnels'!$C$7:$C$66,$E2278,'Vols additionnels'!$D$7:$D$66,$F2278,'Vols additionnels'!$B$7:$B$66,$D2278)</f>
        <v>0</v>
      </c>
      <c r="H2278" s="135" t="n">
        <f aca="false">$G2278*'Analyse capacite'!$F$9</f>
        <v>0</v>
      </c>
      <c r="I2278" s="135" t="n">
        <f aca="false">$G2278*'Analyse capacite'!$C$9</f>
        <v>0</v>
      </c>
      <c r="J2278" s="135" t="n">
        <f aca="false">$G2278*'Analyse capacite'!$D$9</f>
        <v>0</v>
      </c>
      <c r="K2278" s="135" t="n">
        <f aca="false">$G2278*'Analyse capacite'!$E$9</f>
        <v>0</v>
      </c>
    </row>
    <row r="2279" customFormat="false" ht="15" hidden="false" customHeight="false" outlineLevel="0" collapsed="false">
      <c r="B2279" s="130" t="n">
        <v>2027</v>
      </c>
      <c r="C2279" s="131" t="s">
        <v>248</v>
      </c>
      <c r="D2279" s="132" t="n">
        <v>46541</v>
      </c>
      <c r="E2279" s="131" t="s">
        <v>25</v>
      </c>
      <c r="F2279" s="133" t="s">
        <v>11</v>
      </c>
      <c r="G2279" s="134" t="n">
        <f aca="false">LEN('Saisie programme'!$G$97)+SUMIFS('Vols additionnels'!$E$7:$E$66,'Vols additionnels'!$C$7:$C$66,$E2279,'Vols additionnels'!$D$7:$D$66,$F2279,'Vols additionnels'!$B$7:$B$66,$D2279)</f>
        <v>0</v>
      </c>
      <c r="H2279" s="135" t="n">
        <f aca="false">$G2279*'Analyse capacite'!$F$7</f>
        <v>0</v>
      </c>
      <c r="I2279" s="135" t="n">
        <f aca="false">$G2279*'Analyse capacite'!$C$7</f>
        <v>0</v>
      </c>
      <c r="J2279" s="135" t="n">
        <f aca="false">$G2279*'Analyse capacite'!$D$7</f>
        <v>0</v>
      </c>
      <c r="K2279" s="135" t="n">
        <f aca="false">$G2279*'Analyse capacite'!$E$7</f>
        <v>0</v>
      </c>
    </row>
    <row r="2280" customFormat="false" ht="15" hidden="false" customHeight="false" outlineLevel="0" collapsed="false">
      <c r="B2280" s="130" t="n">
        <v>2027</v>
      </c>
      <c r="C2280" s="131" t="s">
        <v>248</v>
      </c>
      <c r="D2280" s="132" t="n">
        <v>46541</v>
      </c>
      <c r="E2280" s="131" t="s">
        <v>25</v>
      </c>
      <c r="F2280" s="133" t="s">
        <v>19</v>
      </c>
      <c r="G2280" s="134" t="n">
        <f aca="false">LEN('Saisie programme'!$G$98)+SUMIFS('Vols additionnels'!$E$7:$E$66,'Vols additionnels'!$C$7:$C$66,$E2280,'Vols additionnels'!$D$7:$D$66,$F2280,'Vols additionnels'!$B$7:$B$66,$D2280)</f>
        <v>0</v>
      </c>
      <c r="H2280" s="135" t="n">
        <f aca="false">$G2280*'Analyse capacite'!$F$8</f>
        <v>0</v>
      </c>
      <c r="I2280" s="135" t="n">
        <f aca="false">$G2280*'Analyse capacite'!$C$8</f>
        <v>0</v>
      </c>
      <c r="J2280" s="135" t="n">
        <f aca="false">$G2280*'Analyse capacite'!$D$8</f>
        <v>0</v>
      </c>
      <c r="K2280" s="135" t="n">
        <f aca="false">$G2280*'Analyse capacite'!$E$8</f>
        <v>0</v>
      </c>
    </row>
    <row r="2281" customFormat="false" ht="15" hidden="false" customHeight="false" outlineLevel="0" collapsed="false">
      <c r="B2281" s="130" t="n">
        <v>2027</v>
      </c>
      <c r="C2281" s="131" t="s">
        <v>248</v>
      </c>
      <c r="D2281" s="132" t="n">
        <v>46541</v>
      </c>
      <c r="E2281" s="131" t="s">
        <v>25</v>
      </c>
      <c r="F2281" s="133" t="s">
        <v>24</v>
      </c>
      <c r="G2281" s="134" t="n">
        <f aca="false">LEN('Saisie programme'!$G$99)+SUMIFS('Vols additionnels'!$E$7:$E$66,'Vols additionnels'!$C$7:$C$66,$E2281,'Vols additionnels'!$D$7:$D$66,$F2281,'Vols additionnels'!$B$7:$B$66,$D2281)</f>
        <v>0</v>
      </c>
      <c r="H2281" s="135" t="n">
        <f aca="false">$G2281*'Analyse capacite'!$F$9</f>
        <v>0</v>
      </c>
      <c r="I2281" s="135" t="n">
        <f aca="false">$G2281*'Analyse capacite'!$C$9</f>
        <v>0</v>
      </c>
      <c r="J2281" s="135" t="n">
        <f aca="false">$G2281*'Analyse capacite'!$D$9</f>
        <v>0</v>
      </c>
      <c r="K2281" s="135" t="n">
        <f aca="false">$G2281*'Analyse capacite'!$E$9</f>
        <v>0</v>
      </c>
    </row>
    <row r="2282" customFormat="false" ht="15" hidden="false" customHeight="false" outlineLevel="0" collapsed="false">
      <c r="B2282" s="130" t="n">
        <v>2027</v>
      </c>
      <c r="C2282" s="131" t="s">
        <v>248</v>
      </c>
      <c r="D2282" s="132" t="n">
        <v>46541</v>
      </c>
      <c r="E2282" s="131" t="s">
        <v>36</v>
      </c>
      <c r="F2282" s="133" t="s">
        <v>11</v>
      </c>
      <c r="G2282" s="134" t="n">
        <f aca="false">LEN('Saisie programme'!$G$100)+SUMIFS('Vols additionnels'!$E$7:$E$66,'Vols additionnels'!$C$7:$C$66,$E2282,'Vols additionnels'!$D$7:$D$66,$F2282,'Vols additionnels'!$B$7:$B$66,$D2282)</f>
        <v>0</v>
      </c>
      <c r="H2282" s="135" t="n">
        <f aca="false">$G2282*'Analyse capacite'!$F$7</f>
        <v>0</v>
      </c>
      <c r="I2282" s="135" t="n">
        <f aca="false">$G2282*'Analyse capacite'!$C$7</f>
        <v>0</v>
      </c>
      <c r="J2282" s="135" t="n">
        <f aca="false">$G2282*'Analyse capacite'!$D$7</f>
        <v>0</v>
      </c>
      <c r="K2282" s="135" t="n">
        <f aca="false">$G2282*'Analyse capacite'!$E$7</f>
        <v>0</v>
      </c>
    </row>
    <row r="2283" customFormat="false" ht="15" hidden="false" customHeight="false" outlineLevel="0" collapsed="false">
      <c r="B2283" s="130" t="n">
        <v>2027</v>
      </c>
      <c r="C2283" s="131" t="s">
        <v>248</v>
      </c>
      <c r="D2283" s="132" t="n">
        <v>46541</v>
      </c>
      <c r="E2283" s="131" t="s">
        <v>36</v>
      </c>
      <c r="F2283" s="133" t="s">
        <v>19</v>
      </c>
      <c r="G2283" s="134" t="n">
        <f aca="false">LEN('Saisie programme'!$G$101)+SUMIFS('Vols additionnels'!$E$7:$E$66,'Vols additionnels'!$C$7:$C$66,$E2283,'Vols additionnels'!$D$7:$D$66,$F2283,'Vols additionnels'!$B$7:$B$66,$D2283)</f>
        <v>0</v>
      </c>
      <c r="H2283" s="135" t="n">
        <f aca="false">$G2283*'Analyse capacite'!$F$8</f>
        <v>0</v>
      </c>
      <c r="I2283" s="135" t="n">
        <f aca="false">$G2283*'Analyse capacite'!$C$8</f>
        <v>0</v>
      </c>
      <c r="J2283" s="135" t="n">
        <f aca="false">$G2283*'Analyse capacite'!$D$8</f>
        <v>0</v>
      </c>
      <c r="K2283" s="135" t="n">
        <f aca="false">$G2283*'Analyse capacite'!$E$8</f>
        <v>0</v>
      </c>
    </row>
    <row r="2284" customFormat="false" ht="15" hidden="false" customHeight="false" outlineLevel="0" collapsed="false">
      <c r="B2284" s="130" t="n">
        <v>2027</v>
      </c>
      <c r="C2284" s="131" t="s">
        <v>248</v>
      </c>
      <c r="D2284" s="132" t="n">
        <v>46541</v>
      </c>
      <c r="E2284" s="131" t="s">
        <v>36</v>
      </c>
      <c r="F2284" s="133" t="s">
        <v>24</v>
      </c>
      <c r="G2284" s="134" t="n">
        <f aca="false">LEN('Saisie programme'!$G$102)+SUMIFS('Vols additionnels'!$E$7:$E$66,'Vols additionnels'!$C$7:$C$66,$E2284,'Vols additionnels'!$D$7:$D$66,$F2284,'Vols additionnels'!$B$7:$B$66,$D2284)</f>
        <v>1</v>
      </c>
      <c r="H2284" s="135" t="n">
        <f aca="false">$G2284*'Analyse capacite'!$F$9</f>
        <v>174</v>
      </c>
      <c r="I2284" s="135" t="n">
        <f aca="false">$G2284*'Analyse capacite'!$C$9</f>
        <v>0</v>
      </c>
      <c r="J2284" s="135" t="n">
        <f aca="false">$G2284*'Analyse capacite'!$D$9</f>
        <v>12</v>
      </c>
      <c r="K2284" s="135" t="n">
        <f aca="false">$G2284*'Analyse capacite'!$E$9</f>
        <v>162</v>
      </c>
    </row>
    <row r="2285" customFormat="false" ht="15" hidden="false" customHeight="false" outlineLevel="0" collapsed="false">
      <c r="B2285" s="130" t="n">
        <v>2027</v>
      </c>
      <c r="C2285" s="131" t="s">
        <v>248</v>
      </c>
      <c r="D2285" s="132" t="n">
        <v>46541</v>
      </c>
      <c r="E2285" s="131" t="s">
        <v>40</v>
      </c>
      <c r="F2285" s="133" t="s">
        <v>11</v>
      </c>
      <c r="G2285" s="134" t="n">
        <f aca="false">LEN('Saisie programme'!$G$103)+SUMIFS('Vols additionnels'!$E$7:$E$66,'Vols additionnels'!$C$7:$C$66,$E2285,'Vols additionnels'!$D$7:$D$66,$F2285,'Vols additionnels'!$B$7:$B$66,$D2285)</f>
        <v>0</v>
      </c>
      <c r="H2285" s="135" t="n">
        <f aca="false">$G2285*'Analyse capacite'!$F$7</f>
        <v>0</v>
      </c>
      <c r="I2285" s="135" t="n">
        <f aca="false">$G2285*'Analyse capacite'!$C$7</f>
        <v>0</v>
      </c>
      <c r="J2285" s="135" t="n">
        <f aca="false">$G2285*'Analyse capacite'!$D$7</f>
        <v>0</v>
      </c>
      <c r="K2285" s="135" t="n">
        <f aca="false">$G2285*'Analyse capacite'!$E$7</f>
        <v>0</v>
      </c>
    </row>
    <row r="2286" customFormat="false" ht="15" hidden="false" customHeight="false" outlineLevel="0" collapsed="false">
      <c r="B2286" s="130" t="n">
        <v>2027</v>
      </c>
      <c r="C2286" s="131" t="s">
        <v>248</v>
      </c>
      <c r="D2286" s="132" t="n">
        <v>46541</v>
      </c>
      <c r="E2286" s="131" t="s">
        <v>40</v>
      </c>
      <c r="F2286" s="133" t="s">
        <v>19</v>
      </c>
      <c r="G2286" s="134" t="n">
        <f aca="false">LEN('Saisie programme'!$G$104)+SUMIFS('Vols additionnels'!$E$7:$E$66,'Vols additionnels'!$C$7:$C$66,$E2286,'Vols additionnels'!$D$7:$D$66,$F2286,'Vols additionnels'!$B$7:$B$66,$D2286)</f>
        <v>0</v>
      </c>
      <c r="H2286" s="135" t="n">
        <f aca="false">$G2286*'Analyse capacite'!$F$8</f>
        <v>0</v>
      </c>
      <c r="I2286" s="135" t="n">
        <f aca="false">$G2286*'Analyse capacite'!$C$8</f>
        <v>0</v>
      </c>
      <c r="J2286" s="135" t="n">
        <f aca="false">$G2286*'Analyse capacite'!$D$8</f>
        <v>0</v>
      </c>
      <c r="K2286" s="135" t="n">
        <f aca="false">$G2286*'Analyse capacite'!$E$8</f>
        <v>0</v>
      </c>
    </row>
    <row r="2287" customFormat="false" ht="15" hidden="false" customHeight="false" outlineLevel="0" collapsed="false">
      <c r="B2287" s="130" t="n">
        <v>2027</v>
      </c>
      <c r="C2287" s="131" t="s">
        <v>248</v>
      </c>
      <c r="D2287" s="132" t="n">
        <v>46541</v>
      </c>
      <c r="E2287" s="131" t="s">
        <v>40</v>
      </c>
      <c r="F2287" s="133" t="s">
        <v>24</v>
      </c>
      <c r="G2287" s="134" t="n">
        <f aca="false">LEN('Saisie programme'!$G$105)+SUMIFS('Vols additionnels'!$E$7:$E$66,'Vols additionnels'!$C$7:$C$66,$E2287,'Vols additionnels'!$D$7:$D$66,$F2287,'Vols additionnels'!$B$7:$B$66,$D2287)</f>
        <v>0</v>
      </c>
      <c r="H2287" s="135" t="n">
        <f aca="false">$G2287*'Analyse capacite'!$F$9</f>
        <v>0</v>
      </c>
      <c r="I2287" s="135" t="n">
        <f aca="false">$G2287*'Analyse capacite'!$C$9</f>
        <v>0</v>
      </c>
      <c r="J2287" s="135" t="n">
        <f aca="false">$G2287*'Analyse capacite'!$D$9</f>
        <v>0</v>
      </c>
      <c r="K2287" s="135" t="n">
        <f aca="false">$G2287*'Analyse capacite'!$E$9</f>
        <v>0</v>
      </c>
    </row>
    <row r="2288" customFormat="false" ht="15" hidden="false" customHeight="false" outlineLevel="0" collapsed="false">
      <c r="B2288" s="130" t="n">
        <v>2027</v>
      </c>
      <c r="C2288" s="131" t="s">
        <v>248</v>
      </c>
      <c r="D2288" s="132" t="n">
        <v>46541</v>
      </c>
      <c r="E2288" s="131" t="s">
        <v>14</v>
      </c>
      <c r="F2288" s="133" t="s">
        <v>11</v>
      </c>
      <c r="G2288" s="134" t="n">
        <f aca="false">LEN('Saisie programme'!$G$106)+SUMIFS('Vols additionnels'!$E$7:$E$66,'Vols additionnels'!$C$7:$C$66,$E2288,'Vols additionnels'!$D$7:$D$66,$F2288,'Vols additionnels'!$B$7:$B$66,$D2288)</f>
        <v>0</v>
      </c>
      <c r="H2288" s="135" t="n">
        <f aca="false">$G2288*'Analyse capacite'!$F$7</f>
        <v>0</v>
      </c>
      <c r="I2288" s="135" t="n">
        <f aca="false">$G2288*'Analyse capacite'!$C$7</f>
        <v>0</v>
      </c>
      <c r="J2288" s="135" t="n">
        <f aca="false">$G2288*'Analyse capacite'!$D$7</f>
        <v>0</v>
      </c>
      <c r="K2288" s="135" t="n">
        <f aca="false">$G2288*'Analyse capacite'!$E$7</f>
        <v>0</v>
      </c>
    </row>
    <row r="2289" customFormat="false" ht="15" hidden="false" customHeight="false" outlineLevel="0" collapsed="false">
      <c r="B2289" s="130" t="n">
        <v>2027</v>
      </c>
      <c r="C2289" s="131" t="s">
        <v>248</v>
      </c>
      <c r="D2289" s="132" t="n">
        <v>46541</v>
      </c>
      <c r="E2289" s="131" t="s">
        <v>14</v>
      </c>
      <c r="F2289" s="133" t="s">
        <v>19</v>
      </c>
      <c r="G2289" s="134" t="n">
        <f aca="false">LEN('Saisie programme'!$G$107)+SUMIFS('Vols additionnels'!$E$7:$E$66,'Vols additionnels'!$C$7:$C$66,$E2289,'Vols additionnels'!$D$7:$D$66,$F2289,'Vols additionnels'!$B$7:$B$66,$D2289)</f>
        <v>0</v>
      </c>
      <c r="H2289" s="135" t="n">
        <f aca="false">$G2289*'Analyse capacite'!$F$8</f>
        <v>0</v>
      </c>
      <c r="I2289" s="135" t="n">
        <f aca="false">$G2289*'Analyse capacite'!$C$8</f>
        <v>0</v>
      </c>
      <c r="J2289" s="135" t="n">
        <f aca="false">$G2289*'Analyse capacite'!$D$8</f>
        <v>0</v>
      </c>
      <c r="K2289" s="135" t="n">
        <f aca="false">$G2289*'Analyse capacite'!$E$8</f>
        <v>0</v>
      </c>
    </row>
    <row r="2290" customFormat="false" ht="15" hidden="false" customHeight="false" outlineLevel="0" collapsed="false">
      <c r="B2290" s="130" t="n">
        <v>2027</v>
      </c>
      <c r="C2290" s="131" t="s">
        <v>248</v>
      </c>
      <c r="D2290" s="132" t="n">
        <v>46541</v>
      </c>
      <c r="E2290" s="131" t="s">
        <v>14</v>
      </c>
      <c r="F2290" s="133" t="s">
        <v>24</v>
      </c>
      <c r="G2290" s="134" t="n">
        <f aca="false">LEN('Saisie programme'!$G$108)+SUMIFS('Vols additionnels'!$E$7:$E$66,'Vols additionnels'!$C$7:$C$66,$E2290,'Vols additionnels'!$D$7:$D$66,$F2290,'Vols additionnels'!$B$7:$B$66,$D2290)</f>
        <v>1</v>
      </c>
      <c r="H2290" s="135" t="n">
        <f aca="false">$G2290*'Analyse capacite'!$F$9</f>
        <v>174</v>
      </c>
      <c r="I2290" s="135" t="n">
        <f aca="false">$G2290*'Analyse capacite'!$C$9</f>
        <v>0</v>
      </c>
      <c r="J2290" s="135" t="n">
        <f aca="false">$G2290*'Analyse capacite'!$D$9</f>
        <v>12</v>
      </c>
      <c r="K2290" s="135" t="n">
        <f aca="false">$G2290*'Analyse capacite'!$E$9</f>
        <v>162</v>
      </c>
    </row>
    <row r="2291" customFormat="false" ht="15" hidden="false" customHeight="false" outlineLevel="0" collapsed="false">
      <c r="B2291" s="130" t="n">
        <v>2027</v>
      </c>
      <c r="C2291" s="131" t="s">
        <v>248</v>
      </c>
      <c r="D2291" s="132" t="n">
        <v>46541</v>
      </c>
      <c r="E2291" s="131" t="s">
        <v>46</v>
      </c>
      <c r="F2291" s="133" t="s">
        <v>11</v>
      </c>
      <c r="G2291" s="134" t="n">
        <f aca="false">LEN('Saisie programme'!$G$109)+SUMIFS('Vols additionnels'!$E$7:$E$66,'Vols additionnels'!$C$7:$C$66,$E2291,'Vols additionnels'!$D$7:$D$66,$F2291,'Vols additionnels'!$B$7:$B$66,$D2291)</f>
        <v>0</v>
      </c>
      <c r="H2291" s="135" t="n">
        <f aca="false">$G2291*'Analyse capacite'!$F$7</f>
        <v>0</v>
      </c>
      <c r="I2291" s="135" t="n">
        <f aca="false">$G2291*'Analyse capacite'!$C$7</f>
        <v>0</v>
      </c>
      <c r="J2291" s="135" t="n">
        <f aca="false">$G2291*'Analyse capacite'!$D$7</f>
        <v>0</v>
      </c>
      <c r="K2291" s="135" t="n">
        <f aca="false">$G2291*'Analyse capacite'!$E$7</f>
        <v>0</v>
      </c>
    </row>
    <row r="2292" customFormat="false" ht="15" hidden="false" customHeight="false" outlineLevel="0" collapsed="false">
      <c r="B2292" s="130" t="n">
        <v>2027</v>
      </c>
      <c r="C2292" s="131" t="s">
        <v>248</v>
      </c>
      <c r="D2292" s="132" t="n">
        <v>46541</v>
      </c>
      <c r="E2292" s="131" t="s">
        <v>46</v>
      </c>
      <c r="F2292" s="133" t="s">
        <v>19</v>
      </c>
      <c r="G2292" s="134" t="n">
        <f aca="false">LEN('Saisie programme'!$G$110)+SUMIFS('Vols additionnels'!$E$7:$E$66,'Vols additionnels'!$C$7:$C$66,$E2292,'Vols additionnels'!$D$7:$D$66,$F2292,'Vols additionnels'!$B$7:$B$66,$D2292)</f>
        <v>0</v>
      </c>
      <c r="H2292" s="135" t="n">
        <f aca="false">$G2292*'Analyse capacite'!$F$8</f>
        <v>0</v>
      </c>
      <c r="I2292" s="135" t="n">
        <f aca="false">$G2292*'Analyse capacite'!$C$8</f>
        <v>0</v>
      </c>
      <c r="J2292" s="135" t="n">
        <f aca="false">$G2292*'Analyse capacite'!$D$8</f>
        <v>0</v>
      </c>
      <c r="K2292" s="135" t="n">
        <f aca="false">$G2292*'Analyse capacite'!$E$8</f>
        <v>0</v>
      </c>
    </row>
    <row r="2293" customFormat="false" ht="15" hidden="false" customHeight="false" outlineLevel="0" collapsed="false">
      <c r="B2293" s="130" t="n">
        <v>2027</v>
      </c>
      <c r="C2293" s="131" t="s">
        <v>248</v>
      </c>
      <c r="D2293" s="132" t="n">
        <v>46541</v>
      </c>
      <c r="E2293" s="131" t="s">
        <v>46</v>
      </c>
      <c r="F2293" s="133" t="s">
        <v>24</v>
      </c>
      <c r="G2293" s="134" t="n">
        <f aca="false">LEN('Saisie programme'!$G$111)+SUMIFS('Vols additionnels'!$E$7:$E$66,'Vols additionnels'!$C$7:$C$66,$E2293,'Vols additionnels'!$D$7:$D$66,$F2293,'Vols additionnels'!$B$7:$B$66,$D2293)</f>
        <v>1</v>
      </c>
      <c r="H2293" s="135" t="n">
        <f aca="false">$G2293*'Analyse capacite'!$F$9</f>
        <v>174</v>
      </c>
      <c r="I2293" s="135" t="n">
        <f aca="false">$G2293*'Analyse capacite'!$C$9</f>
        <v>0</v>
      </c>
      <c r="J2293" s="135" t="n">
        <f aca="false">$G2293*'Analyse capacite'!$D$9</f>
        <v>12</v>
      </c>
      <c r="K2293" s="135" t="n">
        <f aca="false">$G2293*'Analyse capacite'!$E$9</f>
        <v>162</v>
      </c>
    </row>
    <row r="2294" customFormat="false" ht="15" hidden="false" customHeight="false" outlineLevel="0" collapsed="false">
      <c r="B2294" s="130" t="n">
        <v>2027</v>
      </c>
      <c r="C2294" s="131" t="s">
        <v>248</v>
      </c>
      <c r="D2294" s="132" t="n">
        <v>46541</v>
      </c>
      <c r="E2294" s="131" t="s">
        <v>49</v>
      </c>
      <c r="F2294" s="133" t="s">
        <v>11</v>
      </c>
      <c r="G2294" s="134" t="n">
        <f aca="false">LEN('Saisie programme'!$G$112)+SUMIFS('Vols additionnels'!$E$7:$E$66,'Vols additionnels'!$C$7:$C$66,$E2294,'Vols additionnels'!$D$7:$D$66,$F2294,'Vols additionnels'!$B$7:$B$66,$D2294)</f>
        <v>0</v>
      </c>
      <c r="H2294" s="135" t="n">
        <f aca="false">$G2294*'Analyse capacite'!$F$7</f>
        <v>0</v>
      </c>
      <c r="I2294" s="135" t="n">
        <f aca="false">$G2294*'Analyse capacite'!$C$7</f>
        <v>0</v>
      </c>
      <c r="J2294" s="135" t="n">
        <f aca="false">$G2294*'Analyse capacite'!$D$7</f>
        <v>0</v>
      </c>
      <c r="K2294" s="135" t="n">
        <f aca="false">$G2294*'Analyse capacite'!$E$7</f>
        <v>0</v>
      </c>
    </row>
    <row r="2295" customFormat="false" ht="15" hidden="false" customHeight="false" outlineLevel="0" collapsed="false">
      <c r="B2295" s="130" t="n">
        <v>2027</v>
      </c>
      <c r="C2295" s="131" t="s">
        <v>248</v>
      </c>
      <c r="D2295" s="132" t="n">
        <v>46541</v>
      </c>
      <c r="E2295" s="131" t="s">
        <v>49</v>
      </c>
      <c r="F2295" s="133" t="s">
        <v>19</v>
      </c>
      <c r="G2295" s="134" t="n">
        <f aca="false">LEN('Saisie programme'!$G$113)+SUMIFS('Vols additionnels'!$E$7:$E$66,'Vols additionnels'!$C$7:$C$66,$E2295,'Vols additionnels'!$D$7:$D$66,$F2295,'Vols additionnels'!$B$7:$B$66,$D2295)</f>
        <v>0</v>
      </c>
      <c r="H2295" s="135" t="n">
        <f aca="false">$G2295*'Analyse capacite'!$F$8</f>
        <v>0</v>
      </c>
      <c r="I2295" s="135" t="n">
        <f aca="false">$G2295*'Analyse capacite'!$C$8</f>
        <v>0</v>
      </c>
      <c r="J2295" s="135" t="n">
        <f aca="false">$G2295*'Analyse capacite'!$D$8</f>
        <v>0</v>
      </c>
      <c r="K2295" s="135" t="n">
        <f aca="false">$G2295*'Analyse capacite'!$E$8</f>
        <v>0</v>
      </c>
    </row>
    <row r="2296" customFormat="false" ht="15" hidden="false" customHeight="false" outlineLevel="0" collapsed="false">
      <c r="B2296" s="130" t="n">
        <v>2027</v>
      </c>
      <c r="C2296" s="131" t="s">
        <v>248</v>
      </c>
      <c r="D2296" s="132" t="n">
        <v>46541</v>
      </c>
      <c r="E2296" s="131" t="s">
        <v>49</v>
      </c>
      <c r="F2296" s="133" t="s">
        <v>24</v>
      </c>
      <c r="G2296" s="134" t="n">
        <f aca="false">LEN('Saisie programme'!$G$114)+SUMIFS('Vols additionnels'!$E$7:$E$66,'Vols additionnels'!$C$7:$C$66,$E2296,'Vols additionnels'!$D$7:$D$66,$F2296,'Vols additionnels'!$B$7:$B$66,$D2296)</f>
        <v>0</v>
      </c>
      <c r="H2296" s="135" t="n">
        <f aca="false">$G2296*'Analyse capacite'!$F$9</f>
        <v>0</v>
      </c>
      <c r="I2296" s="135" t="n">
        <f aca="false">$G2296*'Analyse capacite'!$C$9</f>
        <v>0</v>
      </c>
      <c r="J2296" s="135" t="n">
        <f aca="false">$G2296*'Analyse capacite'!$D$9</f>
        <v>0</v>
      </c>
      <c r="K2296" s="135" t="n">
        <f aca="false">$G2296*'Analyse capacite'!$E$9</f>
        <v>0</v>
      </c>
    </row>
    <row r="2297" customFormat="false" ht="15" hidden="false" customHeight="false" outlineLevel="0" collapsed="false">
      <c r="B2297" s="130" t="n">
        <v>2027</v>
      </c>
      <c r="C2297" s="131" t="s">
        <v>248</v>
      </c>
      <c r="D2297" s="132" t="n">
        <v>46541</v>
      </c>
      <c r="E2297" s="131" t="s">
        <v>53</v>
      </c>
      <c r="F2297" s="133" t="s">
        <v>11</v>
      </c>
      <c r="G2297" s="134" t="n">
        <f aca="false">LEN('Saisie programme'!$G$115)+SUMIFS('Vols additionnels'!$E$7:$E$66,'Vols additionnels'!$C$7:$C$66,$E2297,'Vols additionnels'!$D$7:$D$66,$F2297,'Vols additionnels'!$B$7:$B$66,$D2297)</f>
        <v>0</v>
      </c>
      <c r="H2297" s="135" t="n">
        <f aca="false">$G2297*'Analyse capacite'!$F$7</f>
        <v>0</v>
      </c>
      <c r="I2297" s="135" t="n">
        <f aca="false">$G2297*'Analyse capacite'!$C$7</f>
        <v>0</v>
      </c>
      <c r="J2297" s="135" t="n">
        <f aca="false">$G2297*'Analyse capacite'!$D$7</f>
        <v>0</v>
      </c>
      <c r="K2297" s="135" t="n">
        <f aca="false">$G2297*'Analyse capacite'!$E$7</f>
        <v>0</v>
      </c>
    </row>
    <row r="2298" customFormat="false" ht="15" hidden="false" customHeight="false" outlineLevel="0" collapsed="false">
      <c r="B2298" s="130" t="n">
        <v>2027</v>
      </c>
      <c r="C2298" s="131" t="s">
        <v>248</v>
      </c>
      <c r="D2298" s="132" t="n">
        <v>46541</v>
      </c>
      <c r="E2298" s="131" t="s">
        <v>53</v>
      </c>
      <c r="F2298" s="133" t="s">
        <v>19</v>
      </c>
      <c r="G2298" s="134" t="n">
        <f aca="false">LEN('Saisie programme'!$G$116)+SUMIFS('Vols additionnels'!$E$7:$E$66,'Vols additionnels'!$C$7:$C$66,$E2298,'Vols additionnels'!$D$7:$D$66,$F2298,'Vols additionnels'!$B$7:$B$66,$D2298)</f>
        <v>1</v>
      </c>
      <c r="H2298" s="135" t="n">
        <f aca="false">$G2298*'Analyse capacite'!$F$8</f>
        <v>262</v>
      </c>
      <c r="I2298" s="135" t="n">
        <f aca="false">$G2298*'Analyse capacite'!$C$8</f>
        <v>18</v>
      </c>
      <c r="J2298" s="135" t="n">
        <f aca="false">$G2298*'Analyse capacite'!$D$8</f>
        <v>0</v>
      </c>
      <c r="K2298" s="135" t="n">
        <f aca="false">$G2298*'Analyse capacite'!$E$8</f>
        <v>244</v>
      </c>
    </row>
    <row r="2299" customFormat="false" ht="15" hidden="false" customHeight="false" outlineLevel="0" collapsed="false">
      <c r="B2299" s="130" t="n">
        <v>2027</v>
      </c>
      <c r="C2299" s="131" t="s">
        <v>248</v>
      </c>
      <c r="D2299" s="132" t="n">
        <v>46541</v>
      </c>
      <c r="E2299" s="131" t="s">
        <v>53</v>
      </c>
      <c r="F2299" s="133" t="s">
        <v>24</v>
      </c>
      <c r="G2299" s="134" t="n">
        <f aca="false">LEN('Saisie programme'!$G$117)+SUMIFS('Vols additionnels'!$E$7:$E$66,'Vols additionnels'!$C$7:$C$66,$E2299,'Vols additionnels'!$D$7:$D$66,$F2299,'Vols additionnels'!$B$7:$B$66,$D2299)</f>
        <v>0</v>
      </c>
      <c r="H2299" s="135" t="n">
        <f aca="false">$G2299*'Analyse capacite'!$F$9</f>
        <v>0</v>
      </c>
      <c r="I2299" s="135" t="n">
        <f aca="false">$G2299*'Analyse capacite'!$C$9</f>
        <v>0</v>
      </c>
      <c r="J2299" s="135" t="n">
        <f aca="false">$G2299*'Analyse capacite'!$D$9</f>
        <v>0</v>
      </c>
      <c r="K2299" s="135" t="n">
        <f aca="false">$G2299*'Analyse capacite'!$E$9</f>
        <v>0</v>
      </c>
    </row>
    <row r="2300" customFormat="false" ht="15" hidden="false" customHeight="false" outlineLevel="0" collapsed="false">
      <c r="B2300" s="130" t="n">
        <v>2027</v>
      </c>
      <c r="C2300" s="131" t="s">
        <v>248</v>
      </c>
      <c r="D2300" s="132" t="n">
        <v>46541</v>
      </c>
      <c r="E2300" s="131" t="s">
        <v>56</v>
      </c>
      <c r="F2300" s="133" t="s">
        <v>11</v>
      </c>
      <c r="G2300" s="134" t="n">
        <f aca="false">LEN('Saisie programme'!$G$118)+SUMIFS('Vols additionnels'!$E$7:$E$66,'Vols additionnels'!$C$7:$C$66,$E2300,'Vols additionnels'!$D$7:$D$66,$F2300,'Vols additionnels'!$B$7:$B$66,$D2300)</f>
        <v>0</v>
      </c>
      <c r="H2300" s="135" t="n">
        <f aca="false">$G2300*'Analyse capacite'!$F$7</f>
        <v>0</v>
      </c>
      <c r="I2300" s="135" t="n">
        <f aca="false">$G2300*'Analyse capacite'!$C$7</f>
        <v>0</v>
      </c>
      <c r="J2300" s="135" t="n">
        <f aca="false">$G2300*'Analyse capacite'!$D$7</f>
        <v>0</v>
      </c>
      <c r="K2300" s="135" t="n">
        <f aca="false">$G2300*'Analyse capacite'!$E$7</f>
        <v>0</v>
      </c>
    </row>
    <row r="2301" customFormat="false" ht="15" hidden="false" customHeight="false" outlineLevel="0" collapsed="false">
      <c r="B2301" s="130" t="n">
        <v>2027</v>
      </c>
      <c r="C2301" s="131" t="s">
        <v>248</v>
      </c>
      <c r="D2301" s="132" t="n">
        <v>46541</v>
      </c>
      <c r="E2301" s="131" t="s">
        <v>56</v>
      </c>
      <c r="F2301" s="133" t="s">
        <v>19</v>
      </c>
      <c r="G2301" s="134" t="n">
        <f aca="false">LEN('Saisie programme'!$G$119)+SUMIFS('Vols additionnels'!$E$7:$E$66,'Vols additionnels'!$C$7:$C$66,$E2301,'Vols additionnels'!$D$7:$D$66,$F2301,'Vols additionnels'!$B$7:$B$66,$D2301)</f>
        <v>0</v>
      </c>
      <c r="H2301" s="135" t="n">
        <f aca="false">$G2301*'Analyse capacite'!$F$8</f>
        <v>0</v>
      </c>
      <c r="I2301" s="135" t="n">
        <f aca="false">$G2301*'Analyse capacite'!$C$8</f>
        <v>0</v>
      </c>
      <c r="J2301" s="135" t="n">
        <f aca="false">$G2301*'Analyse capacite'!$D$8</f>
        <v>0</v>
      </c>
      <c r="K2301" s="135" t="n">
        <f aca="false">$G2301*'Analyse capacite'!$E$8</f>
        <v>0</v>
      </c>
    </row>
    <row r="2302" customFormat="false" ht="15" hidden="false" customHeight="false" outlineLevel="0" collapsed="false">
      <c r="B2302" s="130" t="n">
        <v>2027</v>
      </c>
      <c r="C2302" s="131" t="s">
        <v>248</v>
      </c>
      <c r="D2302" s="132" t="n">
        <v>46541</v>
      </c>
      <c r="E2302" s="131" t="s">
        <v>56</v>
      </c>
      <c r="F2302" s="133" t="s">
        <v>24</v>
      </c>
      <c r="G2302" s="134" t="n">
        <f aca="false">LEN('Saisie programme'!$G$120)+SUMIFS('Vols additionnels'!$E$7:$E$66,'Vols additionnels'!$C$7:$C$66,$E2302,'Vols additionnels'!$D$7:$D$66,$F2302,'Vols additionnels'!$B$7:$B$66,$D2302)</f>
        <v>0</v>
      </c>
      <c r="H2302" s="135" t="n">
        <f aca="false">$G2302*'Analyse capacite'!$F$9</f>
        <v>0</v>
      </c>
      <c r="I2302" s="135" t="n">
        <f aca="false">$G2302*'Analyse capacite'!$C$9</f>
        <v>0</v>
      </c>
      <c r="J2302" s="135" t="n">
        <f aca="false">$G2302*'Analyse capacite'!$D$9</f>
        <v>0</v>
      </c>
      <c r="K2302" s="135" t="n">
        <f aca="false">$G2302*'Analyse capacite'!$E$9</f>
        <v>0</v>
      </c>
    </row>
    <row r="2303" customFormat="false" ht="15" hidden="false" customHeight="false" outlineLevel="0" collapsed="false">
      <c r="B2303" s="130" t="n">
        <v>2027</v>
      </c>
      <c r="C2303" s="131" t="s">
        <v>248</v>
      </c>
      <c r="D2303" s="132" t="n">
        <v>46541</v>
      </c>
      <c r="E2303" s="131" t="s">
        <v>59</v>
      </c>
      <c r="F2303" s="133" t="s">
        <v>11</v>
      </c>
      <c r="G2303" s="134" t="n">
        <f aca="false">LEN('Saisie programme'!$G$121)+SUMIFS('Vols additionnels'!$E$7:$E$66,'Vols additionnels'!$C$7:$C$66,$E2303,'Vols additionnels'!$D$7:$D$66,$F2303,'Vols additionnels'!$B$7:$B$66,$D2303)</f>
        <v>0</v>
      </c>
      <c r="H2303" s="135" t="n">
        <f aca="false">$G2303*'Analyse capacite'!$F$7</f>
        <v>0</v>
      </c>
      <c r="I2303" s="135" t="n">
        <f aca="false">$G2303*'Analyse capacite'!$C$7</f>
        <v>0</v>
      </c>
      <c r="J2303" s="135" t="n">
        <f aca="false">$G2303*'Analyse capacite'!$D$7</f>
        <v>0</v>
      </c>
      <c r="K2303" s="135" t="n">
        <f aca="false">$G2303*'Analyse capacite'!$E$7</f>
        <v>0</v>
      </c>
    </row>
    <row r="2304" customFormat="false" ht="15" hidden="false" customHeight="false" outlineLevel="0" collapsed="false">
      <c r="B2304" s="130" t="n">
        <v>2027</v>
      </c>
      <c r="C2304" s="131" t="s">
        <v>248</v>
      </c>
      <c r="D2304" s="132" t="n">
        <v>46541</v>
      </c>
      <c r="E2304" s="131" t="s">
        <v>59</v>
      </c>
      <c r="F2304" s="133" t="s">
        <v>19</v>
      </c>
      <c r="G2304" s="134" t="n">
        <f aca="false">LEN('Saisie programme'!$G$122)+SUMIFS('Vols additionnels'!$E$7:$E$66,'Vols additionnels'!$C$7:$C$66,$E2304,'Vols additionnels'!$D$7:$D$66,$F2304,'Vols additionnels'!$B$7:$B$66,$D2304)</f>
        <v>0</v>
      </c>
      <c r="H2304" s="135" t="n">
        <f aca="false">$G2304*'Analyse capacite'!$F$8</f>
        <v>0</v>
      </c>
      <c r="I2304" s="135" t="n">
        <f aca="false">$G2304*'Analyse capacite'!$C$8</f>
        <v>0</v>
      </c>
      <c r="J2304" s="135" t="n">
        <f aca="false">$G2304*'Analyse capacite'!$D$8</f>
        <v>0</v>
      </c>
      <c r="K2304" s="135" t="n">
        <f aca="false">$G2304*'Analyse capacite'!$E$8</f>
        <v>0</v>
      </c>
    </row>
    <row r="2305" customFormat="false" ht="15" hidden="false" customHeight="false" outlineLevel="0" collapsed="false">
      <c r="B2305" s="130" t="n">
        <v>2027</v>
      </c>
      <c r="C2305" s="131" t="s">
        <v>248</v>
      </c>
      <c r="D2305" s="132" t="n">
        <v>46541</v>
      </c>
      <c r="E2305" s="131" t="s">
        <v>59</v>
      </c>
      <c r="F2305" s="133" t="s">
        <v>24</v>
      </c>
      <c r="G2305" s="134" t="n">
        <f aca="false">LEN('Saisie programme'!$G$123)+SUMIFS('Vols additionnels'!$E$7:$E$66,'Vols additionnels'!$C$7:$C$66,$E2305,'Vols additionnels'!$D$7:$D$66,$F2305,'Vols additionnels'!$B$7:$B$66,$D2305)</f>
        <v>2</v>
      </c>
      <c r="H2305" s="135" t="n">
        <f aca="false">$G2305*'Analyse capacite'!$F$9</f>
        <v>348</v>
      </c>
      <c r="I2305" s="135" t="n">
        <f aca="false">$G2305*'Analyse capacite'!$C$9</f>
        <v>0</v>
      </c>
      <c r="J2305" s="135" t="n">
        <f aca="false">$G2305*'Analyse capacite'!$D$9</f>
        <v>24</v>
      </c>
      <c r="K2305" s="135" t="n">
        <f aca="false">$G2305*'Analyse capacite'!$E$9</f>
        <v>324</v>
      </c>
    </row>
    <row r="2306" customFormat="false" ht="15" hidden="false" customHeight="false" outlineLevel="0" collapsed="false">
      <c r="B2306" s="130" t="n">
        <v>2027</v>
      </c>
      <c r="C2306" s="131" t="s">
        <v>248</v>
      </c>
      <c r="D2306" s="132" t="n">
        <v>46541</v>
      </c>
      <c r="E2306" s="131" t="s">
        <v>62</v>
      </c>
      <c r="F2306" s="133" t="s">
        <v>11</v>
      </c>
      <c r="G2306" s="134" t="n">
        <f aca="false">LEN('Saisie programme'!$G$124)+SUMIFS('Vols additionnels'!$E$7:$E$66,'Vols additionnels'!$C$7:$C$66,$E2306,'Vols additionnels'!$D$7:$D$66,$F2306,'Vols additionnels'!$B$7:$B$66,$D2306)</f>
        <v>0</v>
      </c>
      <c r="H2306" s="135" t="n">
        <f aca="false">$G2306*'Analyse capacite'!$F$7</f>
        <v>0</v>
      </c>
      <c r="I2306" s="135" t="n">
        <f aca="false">$G2306*'Analyse capacite'!$C$7</f>
        <v>0</v>
      </c>
      <c r="J2306" s="135" t="n">
        <f aca="false">$G2306*'Analyse capacite'!$D$7</f>
        <v>0</v>
      </c>
      <c r="K2306" s="135" t="n">
        <f aca="false">$G2306*'Analyse capacite'!$E$7</f>
        <v>0</v>
      </c>
    </row>
    <row r="2307" customFormat="false" ht="15" hidden="false" customHeight="false" outlineLevel="0" collapsed="false">
      <c r="B2307" s="130" t="n">
        <v>2027</v>
      </c>
      <c r="C2307" s="131" t="s">
        <v>248</v>
      </c>
      <c r="D2307" s="132" t="n">
        <v>46541</v>
      </c>
      <c r="E2307" s="131" t="s">
        <v>62</v>
      </c>
      <c r="F2307" s="133" t="s">
        <v>19</v>
      </c>
      <c r="G2307" s="134" t="n">
        <f aca="false">LEN('Saisie programme'!$G$125)+SUMIFS('Vols additionnels'!$E$7:$E$66,'Vols additionnels'!$C$7:$C$66,$E2307,'Vols additionnels'!$D$7:$D$66,$F2307,'Vols additionnels'!$B$7:$B$66,$D2307)</f>
        <v>0</v>
      </c>
      <c r="H2307" s="135" t="n">
        <f aca="false">$G2307*'Analyse capacite'!$F$8</f>
        <v>0</v>
      </c>
      <c r="I2307" s="135" t="n">
        <f aca="false">$G2307*'Analyse capacite'!$C$8</f>
        <v>0</v>
      </c>
      <c r="J2307" s="135" t="n">
        <f aca="false">$G2307*'Analyse capacite'!$D$8</f>
        <v>0</v>
      </c>
      <c r="K2307" s="135" t="n">
        <f aca="false">$G2307*'Analyse capacite'!$E$8</f>
        <v>0</v>
      </c>
    </row>
    <row r="2308" customFormat="false" ht="15" hidden="false" customHeight="false" outlineLevel="0" collapsed="false">
      <c r="B2308" s="130" t="n">
        <v>2027</v>
      </c>
      <c r="C2308" s="131" t="s">
        <v>248</v>
      </c>
      <c r="D2308" s="132" t="n">
        <v>46541</v>
      </c>
      <c r="E2308" s="131" t="s">
        <v>62</v>
      </c>
      <c r="F2308" s="133" t="s">
        <v>24</v>
      </c>
      <c r="G2308" s="134" t="n">
        <f aca="false">LEN('Saisie programme'!$G$126)+SUMIFS('Vols additionnels'!$E$7:$E$66,'Vols additionnels'!$C$7:$C$66,$E2308,'Vols additionnels'!$D$7:$D$66,$F2308,'Vols additionnels'!$B$7:$B$66,$D2308)</f>
        <v>0</v>
      </c>
      <c r="H2308" s="135" t="n">
        <f aca="false">$G2308*'Analyse capacite'!$F$9</f>
        <v>0</v>
      </c>
      <c r="I2308" s="135" t="n">
        <f aca="false">$G2308*'Analyse capacite'!$C$9</f>
        <v>0</v>
      </c>
      <c r="J2308" s="135" t="n">
        <f aca="false">$G2308*'Analyse capacite'!$D$9</f>
        <v>0</v>
      </c>
      <c r="K2308" s="135" t="n">
        <f aca="false">$G2308*'Analyse capacite'!$E$9</f>
        <v>0</v>
      </c>
    </row>
    <row r="2309" customFormat="false" ht="15" hidden="false" customHeight="false" outlineLevel="0" collapsed="false">
      <c r="B2309" s="130" t="n">
        <v>2027</v>
      </c>
      <c r="C2309" s="131" t="s">
        <v>248</v>
      </c>
      <c r="D2309" s="132" t="n">
        <v>46542</v>
      </c>
      <c r="E2309" s="131" t="s">
        <v>12</v>
      </c>
      <c r="F2309" s="133" t="s">
        <v>11</v>
      </c>
      <c r="G2309" s="134" t="n">
        <f aca="false">LEN('Saisie programme'!$H$91)+SUMIFS('Vols additionnels'!$E$7:$E$66,'Vols additionnels'!$C$7:$C$66,$E2309,'Vols additionnels'!$D$7:$D$66,$F2309,'Vols additionnels'!$B$7:$B$66,$D2309)</f>
        <v>1</v>
      </c>
      <c r="H2309" s="135" t="n">
        <f aca="false">$G2309*'Analyse capacite'!$F$7</f>
        <v>438</v>
      </c>
      <c r="I2309" s="135" t="n">
        <f aca="false">$G2309*'Analyse capacite'!$C$7</f>
        <v>14</v>
      </c>
      <c r="J2309" s="135" t="n">
        <f aca="false">$G2309*'Analyse capacite'!$D$7</f>
        <v>40</v>
      </c>
      <c r="K2309" s="135" t="n">
        <f aca="false">$G2309*'Analyse capacite'!$E$7</f>
        <v>384</v>
      </c>
    </row>
    <row r="2310" customFormat="false" ht="15" hidden="false" customHeight="false" outlineLevel="0" collapsed="false">
      <c r="B2310" s="130" t="n">
        <v>2027</v>
      </c>
      <c r="C2310" s="131" t="s">
        <v>248</v>
      </c>
      <c r="D2310" s="132" t="n">
        <v>46542</v>
      </c>
      <c r="E2310" s="131" t="s">
        <v>12</v>
      </c>
      <c r="F2310" s="133" t="s">
        <v>19</v>
      </c>
      <c r="G2310" s="134" t="n">
        <f aca="false">LEN('Saisie programme'!$H$92)+SUMIFS('Vols additionnels'!$E$7:$E$66,'Vols additionnels'!$C$7:$C$66,$E2310,'Vols additionnels'!$D$7:$D$66,$F2310,'Vols additionnels'!$B$7:$B$66,$D2310)</f>
        <v>1</v>
      </c>
      <c r="H2310" s="135" t="n">
        <f aca="false">$G2310*'Analyse capacite'!$F$8</f>
        <v>262</v>
      </c>
      <c r="I2310" s="135" t="n">
        <f aca="false">$G2310*'Analyse capacite'!$C$8</f>
        <v>18</v>
      </c>
      <c r="J2310" s="135" t="n">
        <f aca="false">$G2310*'Analyse capacite'!$D$8</f>
        <v>0</v>
      </c>
      <c r="K2310" s="135" t="n">
        <f aca="false">$G2310*'Analyse capacite'!$E$8</f>
        <v>244</v>
      </c>
    </row>
    <row r="2311" customFormat="false" ht="15" hidden="false" customHeight="false" outlineLevel="0" collapsed="false">
      <c r="B2311" s="130" t="n">
        <v>2027</v>
      </c>
      <c r="C2311" s="131" t="s">
        <v>248</v>
      </c>
      <c r="D2311" s="132" t="n">
        <v>46542</v>
      </c>
      <c r="E2311" s="131" t="s">
        <v>12</v>
      </c>
      <c r="F2311" s="133" t="s">
        <v>24</v>
      </c>
      <c r="G2311" s="134" t="n">
        <f aca="false">LEN('Saisie programme'!$H$93)+SUMIFS('Vols additionnels'!$E$7:$E$66,'Vols additionnels'!$C$7:$C$66,$E2311,'Vols additionnels'!$D$7:$D$66,$F2311,'Vols additionnels'!$B$7:$B$66,$D2311)</f>
        <v>0</v>
      </c>
      <c r="H2311" s="135" t="n">
        <f aca="false">$G2311*'Analyse capacite'!$F$9</f>
        <v>0</v>
      </c>
      <c r="I2311" s="135" t="n">
        <f aca="false">$G2311*'Analyse capacite'!$C$9</f>
        <v>0</v>
      </c>
      <c r="J2311" s="135" t="n">
        <f aca="false">$G2311*'Analyse capacite'!$D$9</f>
        <v>0</v>
      </c>
      <c r="K2311" s="135" t="n">
        <f aca="false">$G2311*'Analyse capacite'!$E$9</f>
        <v>0</v>
      </c>
    </row>
    <row r="2312" customFormat="false" ht="15" hidden="false" customHeight="false" outlineLevel="0" collapsed="false">
      <c r="B2312" s="130" t="n">
        <v>2027</v>
      </c>
      <c r="C2312" s="131" t="s">
        <v>248</v>
      </c>
      <c r="D2312" s="132" t="n">
        <v>46542</v>
      </c>
      <c r="E2312" s="131" t="s">
        <v>20</v>
      </c>
      <c r="F2312" s="133" t="s">
        <v>11</v>
      </c>
      <c r="G2312" s="134" t="n">
        <f aca="false">LEN('Saisie programme'!$H$94)+SUMIFS('Vols additionnels'!$E$7:$E$66,'Vols additionnels'!$C$7:$C$66,$E2312,'Vols additionnels'!$D$7:$D$66,$F2312,'Vols additionnels'!$B$7:$B$66,$D2312)</f>
        <v>0</v>
      </c>
      <c r="H2312" s="135" t="n">
        <f aca="false">$G2312*'Analyse capacite'!$F$7</f>
        <v>0</v>
      </c>
      <c r="I2312" s="135" t="n">
        <f aca="false">$G2312*'Analyse capacite'!$C$7</f>
        <v>0</v>
      </c>
      <c r="J2312" s="135" t="n">
        <f aca="false">$G2312*'Analyse capacite'!$D$7</f>
        <v>0</v>
      </c>
      <c r="K2312" s="135" t="n">
        <f aca="false">$G2312*'Analyse capacite'!$E$7</f>
        <v>0</v>
      </c>
    </row>
    <row r="2313" customFormat="false" ht="15" hidden="false" customHeight="false" outlineLevel="0" collapsed="false">
      <c r="B2313" s="130" t="n">
        <v>2027</v>
      </c>
      <c r="C2313" s="131" t="s">
        <v>248</v>
      </c>
      <c r="D2313" s="132" t="n">
        <v>46542</v>
      </c>
      <c r="E2313" s="131" t="s">
        <v>20</v>
      </c>
      <c r="F2313" s="133" t="s">
        <v>19</v>
      </c>
      <c r="G2313" s="134" t="n">
        <f aca="false">LEN('Saisie programme'!$H$95)+SUMIFS('Vols additionnels'!$E$7:$E$66,'Vols additionnels'!$C$7:$C$66,$E2313,'Vols additionnels'!$D$7:$D$66,$F2313,'Vols additionnels'!$B$7:$B$66,$D2313)</f>
        <v>1</v>
      </c>
      <c r="H2313" s="135" t="n">
        <f aca="false">$G2313*'Analyse capacite'!$F$8</f>
        <v>262</v>
      </c>
      <c r="I2313" s="135" t="n">
        <f aca="false">$G2313*'Analyse capacite'!$C$8</f>
        <v>18</v>
      </c>
      <c r="J2313" s="135" t="n">
        <f aca="false">$G2313*'Analyse capacite'!$D$8</f>
        <v>0</v>
      </c>
      <c r="K2313" s="135" t="n">
        <f aca="false">$G2313*'Analyse capacite'!$E$8</f>
        <v>244</v>
      </c>
    </row>
    <row r="2314" customFormat="false" ht="15" hidden="false" customHeight="false" outlineLevel="0" collapsed="false">
      <c r="B2314" s="130" t="n">
        <v>2027</v>
      </c>
      <c r="C2314" s="131" t="s">
        <v>248</v>
      </c>
      <c r="D2314" s="132" t="n">
        <v>46542</v>
      </c>
      <c r="E2314" s="131" t="s">
        <v>20</v>
      </c>
      <c r="F2314" s="133" t="s">
        <v>24</v>
      </c>
      <c r="G2314" s="134" t="n">
        <f aca="false">LEN('Saisie programme'!$H$96)+SUMIFS('Vols additionnels'!$E$7:$E$66,'Vols additionnels'!$C$7:$C$66,$E2314,'Vols additionnels'!$D$7:$D$66,$F2314,'Vols additionnels'!$B$7:$B$66,$D2314)</f>
        <v>0</v>
      </c>
      <c r="H2314" s="135" t="n">
        <f aca="false">$G2314*'Analyse capacite'!$F$9</f>
        <v>0</v>
      </c>
      <c r="I2314" s="135" t="n">
        <f aca="false">$G2314*'Analyse capacite'!$C$9</f>
        <v>0</v>
      </c>
      <c r="J2314" s="135" t="n">
        <f aca="false">$G2314*'Analyse capacite'!$D$9</f>
        <v>0</v>
      </c>
      <c r="K2314" s="135" t="n">
        <f aca="false">$G2314*'Analyse capacite'!$E$9</f>
        <v>0</v>
      </c>
    </row>
    <row r="2315" customFormat="false" ht="15" hidden="false" customHeight="false" outlineLevel="0" collapsed="false">
      <c r="B2315" s="130" t="n">
        <v>2027</v>
      </c>
      <c r="C2315" s="131" t="s">
        <v>248</v>
      </c>
      <c r="D2315" s="132" t="n">
        <v>46542</v>
      </c>
      <c r="E2315" s="131" t="s">
        <v>25</v>
      </c>
      <c r="F2315" s="133" t="s">
        <v>11</v>
      </c>
      <c r="G2315" s="134" t="n">
        <f aca="false">LEN('Saisie programme'!$H$97)+SUMIFS('Vols additionnels'!$E$7:$E$66,'Vols additionnels'!$C$7:$C$66,$E2315,'Vols additionnels'!$D$7:$D$66,$F2315,'Vols additionnels'!$B$7:$B$66,$D2315)</f>
        <v>0</v>
      </c>
      <c r="H2315" s="135" t="n">
        <f aca="false">$G2315*'Analyse capacite'!$F$7</f>
        <v>0</v>
      </c>
      <c r="I2315" s="135" t="n">
        <f aca="false">$G2315*'Analyse capacite'!$C$7</f>
        <v>0</v>
      </c>
      <c r="J2315" s="135" t="n">
        <f aca="false">$G2315*'Analyse capacite'!$D$7</f>
        <v>0</v>
      </c>
      <c r="K2315" s="135" t="n">
        <f aca="false">$G2315*'Analyse capacite'!$E$7</f>
        <v>0</v>
      </c>
    </row>
    <row r="2316" customFormat="false" ht="15" hidden="false" customHeight="false" outlineLevel="0" collapsed="false">
      <c r="B2316" s="130" t="n">
        <v>2027</v>
      </c>
      <c r="C2316" s="131" t="s">
        <v>248</v>
      </c>
      <c r="D2316" s="132" t="n">
        <v>46542</v>
      </c>
      <c r="E2316" s="131" t="s">
        <v>25</v>
      </c>
      <c r="F2316" s="133" t="s">
        <v>19</v>
      </c>
      <c r="G2316" s="134" t="n">
        <f aca="false">LEN('Saisie programme'!$H$98)+SUMIFS('Vols additionnels'!$E$7:$E$66,'Vols additionnels'!$C$7:$C$66,$E2316,'Vols additionnels'!$D$7:$D$66,$F2316,'Vols additionnels'!$B$7:$B$66,$D2316)</f>
        <v>0</v>
      </c>
      <c r="H2316" s="135" t="n">
        <f aca="false">$G2316*'Analyse capacite'!$F$8</f>
        <v>0</v>
      </c>
      <c r="I2316" s="135" t="n">
        <f aca="false">$G2316*'Analyse capacite'!$C$8</f>
        <v>0</v>
      </c>
      <c r="J2316" s="135" t="n">
        <f aca="false">$G2316*'Analyse capacite'!$D$8</f>
        <v>0</v>
      </c>
      <c r="K2316" s="135" t="n">
        <f aca="false">$G2316*'Analyse capacite'!$E$8</f>
        <v>0</v>
      </c>
    </row>
    <row r="2317" customFormat="false" ht="15" hidden="false" customHeight="false" outlineLevel="0" collapsed="false">
      <c r="B2317" s="130" t="n">
        <v>2027</v>
      </c>
      <c r="C2317" s="131" t="s">
        <v>248</v>
      </c>
      <c r="D2317" s="132" t="n">
        <v>46542</v>
      </c>
      <c r="E2317" s="131" t="s">
        <v>25</v>
      </c>
      <c r="F2317" s="133" t="s">
        <v>24</v>
      </c>
      <c r="G2317" s="134" t="n">
        <f aca="false">LEN('Saisie programme'!$H$99)+SUMIFS('Vols additionnels'!$E$7:$E$66,'Vols additionnels'!$C$7:$C$66,$E2317,'Vols additionnels'!$D$7:$D$66,$F2317,'Vols additionnels'!$B$7:$B$66,$D2317)</f>
        <v>0</v>
      </c>
      <c r="H2317" s="135" t="n">
        <f aca="false">$G2317*'Analyse capacite'!$F$9</f>
        <v>0</v>
      </c>
      <c r="I2317" s="135" t="n">
        <f aca="false">$G2317*'Analyse capacite'!$C$9</f>
        <v>0</v>
      </c>
      <c r="J2317" s="135" t="n">
        <f aca="false">$G2317*'Analyse capacite'!$D$9</f>
        <v>0</v>
      </c>
      <c r="K2317" s="135" t="n">
        <f aca="false">$G2317*'Analyse capacite'!$E$9</f>
        <v>0</v>
      </c>
    </row>
    <row r="2318" customFormat="false" ht="15" hidden="false" customHeight="false" outlineLevel="0" collapsed="false">
      <c r="B2318" s="130" t="n">
        <v>2027</v>
      </c>
      <c r="C2318" s="131" t="s">
        <v>248</v>
      </c>
      <c r="D2318" s="132" t="n">
        <v>46542</v>
      </c>
      <c r="E2318" s="131" t="s">
        <v>36</v>
      </c>
      <c r="F2318" s="133" t="s">
        <v>11</v>
      </c>
      <c r="G2318" s="134" t="n">
        <f aca="false">LEN('Saisie programme'!$H$100)+SUMIFS('Vols additionnels'!$E$7:$E$66,'Vols additionnels'!$C$7:$C$66,$E2318,'Vols additionnels'!$D$7:$D$66,$F2318,'Vols additionnels'!$B$7:$B$66,$D2318)</f>
        <v>0</v>
      </c>
      <c r="H2318" s="135" t="n">
        <f aca="false">$G2318*'Analyse capacite'!$F$7</f>
        <v>0</v>
      </c>
      <c r="I2318" s="135" t="n">
        <f aca="false">$G2318*'Analyse capacite'!$C$7</f>
        <v>0</v>
      </c>
      <c r="J2318" s="135" t="n">
        <f aca="false">$G2318*'Analyse capacite'!$D$7</f>
        <v>0</v>
      </c>
      <c r="K2318" s="135" t="n">
        <f aca="false">$G2318*'Analyse capacite'!$E$7</f>
        <v>0</v>
      </c>
    </row>
    <row r="2319" customFormat="false" ht="15" hidden="false" customHeight="false" outlineLevel="0" collapsed="false">
      <c r="B2319" s="130" t="n">
        <v>2027</v>
      </c>
      <c r="C2319" s="131" t="s">
        <v>248</v>
      </c>
      <c r="D2319" s="132" t="n">
        <v>46542</v>
      </c>
      <c r="E2319" s="131" t="s">
        <v>36</v>
      </c>
      <c r="F2319" s="133" t="s">
        <v>19</v>
      </c>
      <c r="G2319" s="134" t="n">
        <f aca="false">LEN('Saisie programme'!$H$101)+SUMIFS('Vols additionnels'!$E$7:$E$66,'Vols additionnels'!$C$7:$C$66,$E2319,'Vols additionnels'!$D$7:$D$66,$F2319,'Vols additionnels'!$B$7:$B$66,$D2319)</f>
        <v>0</v>
      </c>
      <c r="H2319" s="135" t="n">
        <f aca="false">$G2319*'Analyse capacite'!$F$8</f>
        <v>0</v>
      </c>
      <c r="I2319" s="135" t="n">
        <f aca="false">$G2319*'Analyse capacite'!$C$8</f>
        <v>0</v>
      </c>
      <c r="J2319" s="135" t="n">
        <f aca="false">$G2319*'Analyse capacite'!$D$8</f>
        <v>0</v>
      </c>
      <c r="K2319" s="135" t="n">
        <f aca="false">$G2319*'Analyse capacite'!$E$8</f>
        <v>0</v>
      </c>
    </row>
    <row r="2320" customFormat="false" ht="15" hidden="false" customHeight="false" outlineLevel="0" collapsed="false">
      <c r="B2320" s="130" t="n">
        <v>2027</v>
      </c>
      <c r="C2320" s="131" t="s">
        <v>248</v>
      </c>
      <c r="D2320" s="132" t="n">
        <v>46542</v>
      </c>
      <c r="E2320" s="131" t="s">
        <v>36</v>
      </c>
      <c r="F2320" s="133" t="s">
        <v>24</v>
      </c>
      <c r="G2320" s="134" t="n">
        <f aca="false">LEN('Saisie programme'!$H$102)+SUMIFS('Vols additionnels'!$E$7:$E$66,'Vols additionnels'!$C$7:$C$66,$E2320,'Vols additionnels'!$D$7:$D$66,$F2320,'Vols additionnels'!$B$7:$B$66,$D2320)</f>
        <v>1</v>
      </c>
      <c r="H2320" s="135" t="n">
        <f aca="false">$G2320*'Analyse capacite'!$F$9</f>
        <v>174</v>
      </c>
      <c r="I2320" s="135" t="n">
        <f aca="false">$G2320*'Analyse capacite'!$C$9</f>
        <v>0</v>
      </c>
      <c r="J2320" s="135" t="n">
        <f aca="false">$G2320*'Analyse capacite'!$D$9</f>
        <v>12</v>
      </c>
      <c r="K2320" s="135" t="n">
        <f aca="false">$G2320*'Analyse capacite'!$E$9</f>
        <v>162</v>
      </c>
    </row>
    <row r="2321" customFormat="false" ht="15" hidden="false" customHeight="false" outlineLevel="0" collapsed="false">
      <c r="B2321" s="130" t="n">
        <v>2027</v>
      </c>
      <c r="C2321" s="131" t="s">
        <v>248</v>
      </c>
      <c r="D2321" s="132" t="n">
        <v>46542</v>
      </c>
      <c r="E2321" s="131" t="s">
        <v>40</v>
      </c>
      <c r="F2321" s="133" t="s">
        <v>11</v>
      </c>
      <c r="G2321" s="134" t="n">
        <f aca="false">LEN('Saisie programme'!$H$103)+SUMIFS('Vols additionnels'!$E$7:$E$66,'Vols additionnels'!$C$7:$C$66,$E2321,'Vols additionnels'!$D$7:$D$66,$F2321,'Vols additionnels'!$B$7:$B$66,$D2321)</f>
        <v>0</v>
      </c>
      <c r="H2321" s="135" t="n">
        <f aca="false">$G2321*'Analyse capacite'!$F$7</f>
        <v>0</v>
      </c>
      <c r="I2321" s="135" t="n">
        <f aca="false">$G2321*'Analyse capacite'!$C$7</f>
        <v>0</v>
      </c>
      <c r="J2321" s="135" t="n">
        <f aca="false">$G2321*'Analyse capacite'!$D$7</f>
        <v>0</v>
      </c>
      <c r="K2321" s="135" t="n">
        <f aca="false">$G2321*'Analyse capacite'!$E$7</f>
        <v>0</v>
      </c>
    </row>
    <row r="2322" customFormat="false" ht="15" hidden="false" customHeight="false" outlineLevel="0" collapsed="false">
      <c r="B2322" s="130" t="n">
        <v>2027</v>
      </c>
      <c r="C2322" s="131" t="s">
        <v>248</v>
      </c>
      <c r="D2322" s="132" t="n">
        <v>46542</v>
      </c>
      <c r="E2322" s="131" t="s">
        <v>40</v>
      </c>
      <c r="F2322" s="133" t="s">
        <v>19</v>
      </c>
      <c r="G2322" s="134" t="n">
        <f aca="false">LEN('Saisie programme'!$H$104)+SUMIFS('Vols additionnels'!$E$7:$E$66,'Vols additionnels'!$C$7:$C$66,$E2322,'Vols additionnels'!$D$7:$D$66,$F2322,'Vols additionnels'!$B$7:$B$66,$D2322)</f>
        <v>0</v>
      </c>
      <c r="H2322" s="135" t="n">
        <f aca="false">$G2322*'Analyse capacite'!$F$8</f>
        <v>0</v>
      </c>
      <c r="I2322" s="135" t="n">
        <f aca="false">$G2322*'Analyse capacite'!$C$8</f>
        <v>0</v>
      </c>
      <c r="J2322" s="135" t="n">
        <f aca="false">$G2322*'Analyse capacite'!$D$8</f>
        <v>0</v>
      </c>
      <c r="K2322" s="135" t="n">
        <f aca="false">$G2322*'Analyse capacite'!$E$8</f>
        <v>0</v>
      </c>
    </row>
    <row r="2323" customFormat="false" ht="15" hidden="false" customHeight="false" outlineLevel="0" collapsed="false">
      <c r="B2323" s="130" t="n">
        <v>2027</v>
      </c>
      <c r="C2323" s="131" t="s">
        <v>248</v>
      </c>
      <c r="D2323" s="132" t="n">
        <v>46542</v>
      </c>
      <c r="E2323" s="131" t="s">
        <v>40</v>
      </c>
      <c r="F2323" s="133" t="s">
        <v>24</v>
      </c>
      <c r="G2323" s="134" t="n">
        <f aca="false">LEN('Saisie programme'!$H$105)+SUMIFS('Vols additionnels'!$E$7:$E$66,'Vols additionnels'!$C$7:$C$66,$E2323,'Vols additionnels'!$D$7:$D$66,$F2323,'Vols additionnels'!$B$7:$B$66,$D2323)</f>
        <v>1</v>
      </c>
      <c r="H2323" s="135" t="n">
        <f aca="false">$G2323*'Analyse capacite'!$F$9</f>
        <v>174</v>
      </c>
      <c r="I2323" s="135" t="n">
        <f aca="false">$G2323*'Analyse capacite'!$C$9</f>
        <v>0</v>
      </c>
      <c r="J2323" s="135" t="n">
        <f aca="false">$G2323*'Analyse capacite'!$D$9</f>
        <v>12</v>
      </c>
      <c r="K2323" s="135" t="n">
        <f aca="false">$G2323*'Analyse capacite'!$E$9</f>
        <v>162</v>
      </c>
    </row>
    <row r="2324" customFormat="false" ht="15" hidden="false" customHeight="false" outlineLevel="0" collapsed="false">
      <c r="B2324" s="130" t="n">
        <v>2027</v>
      </c>
      <c r="C2324" s="131" t="s">
        <v>248</v>
      </c>
      <c r="D2324" s="132" t="n">
        <v>46542</v>
      </c>
      <c r="E2324" s="131" t="s">
        <v>14</v>
      </c>
      <c r="F2324" s="133" t="s">
        <v>11</v>
      </c>
      <c r="G2324" s="134" t="n">
        <f aca="false">LEN('Saisie programme'!$H$106)+SUMIFS('Vols additionnels'!$E$7:$E$66,'Vols additionnels'!$C$7:$C$66,$E2324,'Vols additionnels'!$D$7:$D$66,$F2324,'Vols additionnels'!$B$7:$B$66,$D2324)</f>
        <v>0</v>
      </c>
      <c r="H2324" s="135" t="n">
        <f aca="false">$G2324*'Analyse capacite'!$F$7</f>
        <v>0</v>
      </c>
      <c r="I2324" s="135" t="n">
        <f aca="false">$G2324*'Analyse capacite'!$C$7</f>
        <v>0</v>
      </c>
      <c r="J2324" s="135" t="n">
        <f aca="false">$G2324*'Analyse capacite'!$D$7</f>
        <v>0</v>
      </c>
      <c r="K2324" s="135" t="n">
        <f aca="false">$G2324*'Analyse capacite'!$E$7</f>
        <v>0</v>
      </c>
    </row>
    <row r="2325" customFormat="false" ht="15" hidden="false" customHeight="false" outlineLevel="0" collapsed="false">
      <c r="B2325" s="130" t="n">
        <v>2027</v>
      </c>
      <c r="C2325" s="131" t="s">
        <v>248</v>
      </c>
      <c r="D2325" s="132" t="n">
        <v>46542</v>
      </c>
      <c r="E2325" s="131" t="s">
        <v>14</v>
      </c>
      <c r="F2325" s="133" t="s">
        <v>19</v>
      </c>
      <c r="G2325" s="134" t="n">
        <f aca="false">LEN('Saisie programme'!$H$107)+SUMIFS('Vols additionnels'!$E$7:$E$66,'Vols additionnels'!$C$7:$C$66,$E2325,'Vols additionnels'!$D$7:$D$66,$F2325,'Vols additionnels'!$B$7:$B$66,$D2325)</f>
        <v>0</v>
      </c>
      <c r="H2325" s="135" t="n">
        <f aca="false">$G2325*'Analyse capacite'!$F$8</f>
        <v>0</v>
      </c>
      <c r="I2325" s="135" t="n">
        <f aca="false">$G2325*'Analyse capacite'!$C$8</f>
        <v>0</v>
      </c>
      <c r="J2325" s="135" t="n">
        <f aca="false">$G2325*'Analyse capacite'!$D$8</f>
        <v>0</v>
      </c>
      <c r="K2325" s="135" t="n">
        <f aca="false">$G2325*'Analyse capacite'!$E$8</f>
        <v>0</v>
      </c>
    </row>
    <row r="2326" customFormat="false" ht="15" hidden="false" customHeight="false" outlineLevel="0" collapsed="false">
      <c r="B2326" s="130" t="n">
        <v>2027</v>
      </c>
      <c r="C2326" s="131" t="s">
        <v>248</v>
      </c>
      <c r="D2326" s="132" t="n">
        <v>46542</v>
      </c>
      <c r="E2326" s="131" t="s">
        <v>14</v>
      </c>
      <c r="F2326" s="133" t="s">
        <v>24</v>
      </c>
      <c r="G2326" s="134" t="n">
        <f aca="false">LEN('Saisie programme'!$H$108)+SUMIFS('Vols additionnels'!$E$7:$E$66,'Vols additionnels'!$C$7:$C$66,$E2326,'Vols additionnels'!$D$7:$D$66,$F2326,'Vols additionnels'!$B$7:$B$66,$D2326)</f>
        <v>0</v>
      </c>
      <c r="H2326" s="135" t="n">
        <f aca="false">$G2326*'Analyse capacite'!$F$9</f>
        <v>0</v>
      </c>
      <c r="I2326" s="135" t="n">
        <f aca="false">$G2326*'Analyse capacite'!$C$9</f>
        <v>0</v>
      </c>
      <c r="J2326" s="135" t="n">
        <f aca="false">$G2326*'Analyse capacite'!$D$9</f>
        <v>0</v>
      </c>
      <c r="K2326" s="135" t="n">
        <f aca="false">$G2326*'Analyse capacite'!$E$9</f>
        <v>0</v>
      </c>
    </row>
    <row r="2327" customFormat="false" ht="15" hidden="false" customHeight="false" outlineLevel="0" collapsed="false">
      <c r="B2327" s="130" t="n">
        <v>2027</v>
      </c>
      <c r="C2327" s="131" t="s">
        <v>248</v>
      </c>
      <c r="D2327" s="132" t="n">
        <v>46542</v>
      </c>
      <c r="E2327" s="131" t="s">
        <v>46</v>
      </c>
      <c r="F2327" s="133" t="s">
        <v>11</v>
      </c>
      <c r="G2327" s="134" t="n">
        <f aca="false">LEN('Saisie programme'!$H$109)+SUMIFS('Vols additionnels'!$E$7:$E$66,'Vols additionnels'!$C$7:$C$66,$E2327,'Vols additionnels'!$D$7:$D$66,$F2327,'Vols additionnels'!$B$7:$B$66,$D2327)</f>
        <v>0</v>
      </c>
      <c r="H2327" s="135" t="n">
        <f aca="false">$G2327*'Analyse capacite'!$F$7</f>
        <v>0</v>
      </c>
      <c r="I2327" s="135" t="n">
        <f aca="false">$G2327*'Analyse capacite'!$C$7</f>
        <v>0</v>
      </c>
      <c r="J2327" s="135" t="n">
        <f aca="false">$G2327*'Analyse capacite'!$D$7</f>
        <v>0</v>
      </c>
      <c r="K2327" s="135" t="n">
        <f aca="false">$G2327*'Analyse capacite'!$E$7</f>
        <v>0</v>
      </c>
    </row>
    <row r="2328" customFormat="false" ht="15" hidden="false" customHeight="false" outlineLevel="0" collapsed="false">
      <c r="B2328" s="130" t="n">
        <v>2027</v>
      </c>
      <c r="C2328" s="131" t="s">
        <v>248</v>
      </c>
      <c r="D2328" s="132" t="n">
        <v>46542</v>
      </c>
      <c r="E2328" s="131" t="s">
        <v>46</v>
      </c>
      <c r="F2328" s="133" t="s">
        <v>19</v>
      </c>
      <c r="G2328" s="134" t="n">
        <f aca="false">LEN('Saisie programme'!$H$110)+SUMIFS('Vols additionnels'!$E$7:$E$66,'Vols additionnels'!$C$7:$C$66,$E2328,'Vols additionnels'!$D$7:$D$66,$F2328,'Vols additionnels'!$B$7:$B$66,$D2328)</f>
        <v>0</v>
      </c>
      <c r="H2328" s="135" t="n">
        <f aca="false">$G2328*'Analyse capacite'!$F$8</f>
        <v>0</v>
      </c>
      <c r="I2328" s="135" t="n">
        <f aca="false">$G2328*'Analyse capacite'!$C$8</f>
        <v>0</v>
      </c>
      <c r="J2328" s="135" t="n">
        <f aca="false">$G2328*'Analyse capacite'!$D$8</f>
        <v>0</v>
      </c>
      <c r="K2328" s="135" t="n">
        <f aca="false">$G2328*'Analyse capacite'!$E$8</f>
        <v>0</v>
      </c>
    </row>
    <row r="2329" customFormat="false" ht="15" hidden="false" customHeight="false" outlineLevel="0" collapsed="false">
      <c r="B2329" s="130" t="n">
        <v>2027</v>
      </c>
      <c r="C2329" s="131" t="s">
        <v>248</v>
      </c>
      <c r="D2329" s="132" t="n">
        <v>46542</v>
      </c>
      <c r="E2329" s="131" t="s">
        <v>46</v>
      </c>
      <c r="F2329" s="133" t="s">
        <v>24</v>
      </c>
      <c r="G2329" s="134" t="n">
        <f aca="false">LEN('Saisie programme'!$H$111)+SUMIFS('Vols additionnels'!$E$7:$E$66,'Vols additionnels'!$C$7:$C$66,$E2329,'Vols additionnels'!$D$7:$D$66,$F2329,'Vols additionnels'!$B$7:$B$66,$D2329)</f>
        <v>0</v>
      </c>
      <c r="H2329" s="135" t="n">
        <f aca="false">$G2329*'Analyse capacite'!$F$9</f>
        <v>0</v>
      </c>
      <c r="I2329" s="135" t="n">
        <f aca="false">$G2329*'Analyse capacite'!$C$9</f>
        <v>0</v>
      </c>
      <c r="J2329" s="135" t="n">
        <f aca="false">$G2329*'Analyse capacite'!$D$9</f>
        <v>0</v>
      </c>
      <c r="K2329" s="135" t="n">
        <f aca="false">$G2329*'Analyse capacite'!$E$9</f>
        <v>0</v>
      </c>
    </row>
    <row r="2330" customFormat="false" ht="15" hidden="false" customHeight="false" outlineLevel="0" collapsed="false">
      <c r="B2330" s="130" t="n">
        <v>2027</v>
      </c>
      <c r="C2330" s="131" t="s">
        <v>248</v>
      </c>
      <c r="D2330" s="132" t="n">
        <v>46542</v>
      </c>
      <c r="E2330" s="131" t="s">
        <v>49</v>
      </c>
      <c r="F2330" s="133" t="s">
        <v>11</v>
      </c>
      <c r="G2330" s="134" t="n">
        <f aca="false">LEN('Saisie programme'!$H$112)+SUMIFS('Vols additionnels'!$E$7:$E$66,'Vols additionnels'!$C$7:$C$66,$E2330,'Vols additionnels'!$D$7:$D$66,$F2330,'Vols additionnels'!$B$7:$B$66,$D2330)</f>
        <v>0</v>
      </c>
      <c r="H2330" s="135" t="n">
        <f aca="false">$G2330*'Analyse capacite'!$F$7</f>
        <v>0</v>
      </c>
      <c r="I2330" s="135" t="n">
        <f aca="false">$G2330*'Analyse capacite'!$C$7</f>
        <v>0</v>
      </c>
      <c r="J2330" s="135" t="n">
        <f aca="false">$G2330*'Analyse capacite'!$D$7</f>
        <v>0</v>
      </c>
      <c r="K2330" s="135" t="n">
        <f aca="false">$G2330*'Analyse capacite'!$E$7</f>
        <v>0</v>
      </c>
    </row>
    <row r="2331" customFormat="false" ht="15" hidden="false" customHeight="false" outlineLevel="0" collapsed="false">
      <c r="B2331" s="130" t="n">
        <v>2027</v>
      </c>
      <c r="C2331" s="131" t="s">
        <v>248</v>
      </c>
      <c r="D2331" s="132" t="n">
        <v>46542</v>
      </c>
      <c r="E2331" s="131" t="s">
        <v>49</v>
      </c>
      <c r="F2331" s="133" t="s">
        <v>19</v>
      </c>
      <c r="G2331" s="134" t="n">
        <f aca="false">LEN('Saisie programme'!$H$113)+SUMIFS('Vols additionnels'!$E$7:$E$66,'Vols additionnels'!$C$7:$C$66,$E2331,'Vols additionnels'!$D$7:$D$66,$F2331,'Vols additionnels'!$B$7:$B$66,$D2331)</f>
        <v>1</v>
      </c>
      <c r="H2331" s="135" t="n">
        <f aca="false">$G2331*'Analyse capacite'!$F$8</f>
        <v>262</v>
      </c>
      <c r="I2331" s="135" t="n">
        <f aca="false">$G2331*'Analyse capacite'!$C$8</f>
        <v>18</v>
      </c>
      <c r="J2331" s="135" t="n">
        <f aca="false">$G2331*'Analyse capacite'!$D$8</f>
        <v>0</v>
      </c>
      <c r="K2331" s="135" t="n">
        <f aca="false">$G2331*'Analyse capacite'!$E$8</f>
        <v>244</v>
      </c>
    </row>
    <row r="2332" customFormat="false" ht="15" hidden="false" customHeight="false" outlineLevel="0" collapsed="false">
      <c r="B2332" s="130" t="n">
        <v>2027</v>
      </c>
      <c r="C2332" s="131" t="s">
        <v>248</v>
      </c>
      <c r="D2332" s="132" t="n">
        <v>46542</v>
      </c>
      <c r="E2332" s="131" t="s">
        <v>49</v>
      </c>
      <c r="F2332" s="133" t="s">
        <v>24</v>
      </c>
      <c r="G2332" s="134" t="n">
        <f aca="false">LEN('Saisie programme'!$H$114)+SUMIFS('Vols additionnels'!$E$7:$E$66,'Vols additionnels'!$C$7:$C$66,$E2332,'Vols additionnels'!$D$7:$D$66,$F2332,'Vols additionnels'!$B$7:$B$66,$D2332)</f>
        <v>0</v>
      </c>
      <c r="H2332" s="135" t="n">
        <f aca="false">$G2332*'Analyse capacite'!$F$9</f>
        <v>0</v>
      </c>
      <c r="I2332" s="135" t="n">
        <f aca="false">$G2332*'Analyse capacite'!$C$9</f>
        <v>0</v>
      </c>
      <c r="J2332" s="135" t="n">
        <f aca="false">$G2332*'Analyse capacite'!$D$9</f>
        <v>0</v>
      </c>
      <c r="K2332" s="135" t="n">
        <f aca="false">$G2332*'Analyse capacite'!$E$9</f>
        <v>0</v>
      </c>
    </row>
    <row r="2333" customFormat="false" ht="15" hidden="false" customHeight="false" outlineLevel="0" collapsed="false">
      <c r="B2333" s="130" t="n">
        <v>2027</v>
      </c>
      <c r="C2333" s="131" t="s">
        <v>248</v>
      </c>
      <c r="D2333" s="132" t="n">
        <v>46542</v>
      </c>
      <c r="E2333" s="131" t="s">
        <v>53</v>
      </c>
      <c r="F2333" s="133" t="s">
        <v>11</v>
      </c>
      <c r="G2333" s="134" t="n">
        <f aca="false">LEN('Saisie programme'!$H$115)+SUMIFS('Vols additionnels'!$E$7:$E$66,'Vols additionnels'!$C$7:$C$66,$E2333,'Vols additionnels'!$D$7:$D$66,$F2333,'Vols additionnels'!$B$7:$B$66,$D2333)</f>
        <v>0</v>
      </c>
      <c r="H2333" s="135" t="n">
        <f aca="false">$G2333*'Analyse capacite'!$F$7</f>
        <v>0</v>
      </c>
      <c r="I2333" s="135" t="n">
        <f aca="false">$G2333*'Analyse capacite'!$C$7</f>
        <v>0</v>
      </c>
      <c r="J2333" s="135" t="n">
        <f aca="false">$G2333*'Analyse capacite'!$D$7</f>
        <v>0</v>
      </c>
      <c r="K2333" s="135" t="n">
        <f aca="false">$G2333*'Analyse capacite'!$E$7</f>
        <v>0</v>
      </c>
    </row>
    <row r="2334" customFormat="false" ht="15" hidden="false" customHeight="false" outlineLevel="0" collapsed="false">
      <c r="B2334" s="130" t="n">
        <v>2027</v>
      </c>
      <c r="C2334" s="131" t="s">
        <v>248</v>
      </c>
      <c r="D2334" s="132" t="n">
        <v>46542</v>
      </c>
      <c r="E2334" s="131" t="s">
        <v>53</v>
      </c>
      <c r="F2334" s="133" t="s">
        <v>19</v>
      </c>
      <c r="G2334" s="134" t="n">
        <f aca="false">LEN('Saisie programme'!$H$116)+SUMIFS('Vols additionnels'!$E$7:$E$66,'Vols additionnels'!$C$7:$C$66,$E2334,'Vols additionnels'!$D$7:$D$66,$F2334,'Vols additionnels'!$B$7:$B$66,$D2334)</f>
        <v>0</v>
      </c>
      <c r="H2334" s="135" t="n">
        <f aca="false">$G2334*'Analyse capacite'!$F$8</f>
        <v>0</v>
      </c>
      <c r="I2334" s="135" t="n">
        <f aca="false">$G2334*'Analyse capacite'!$C$8</f>
        <v>0</v>
      </c>
      <c r="J2334" s="135" t="n">
        <f aca="false">$G2334*'Analyse capacite'!$D$8</f>
        <v>0</v>
      </c>
      <c r="K2334" s="135" t="n">
        <f aca="false">$G2334*'Analyse capacite'!$E$8</f>
        <v>0</v>
      </c>
    </row>
    <row r="2335" customFormat="false" ht="15" hidden="false" customHeight="false" outlineLevel="0" collapsed="false">
      <c r="B2335" s="130" t="n">
        <v>2027</v>
      </c>
      <c r="C2335" s="131" t="s">
        <v>248</v>
      </c>
      <c r="D2335" s="132" t="n">
        <v>46542</v>
      </c>
      <c r="E2335" s="131" t="s">
        <v>53</v>
      </c>
      <c r="F2335" s="133" t="s">
        <v>24</v>
      </c>
      <c r="G2335" s="134" t="n">
        <f aca="false">LEN('Saisie programme'!$H$117)+SUMIFS('Vols additionnels'!$E$7:$E$66,'Vols additionnels'!$C$7:$C$66,$E2335,'Vols additionnels'!$D$7:$D$66,$F2335,'Vols additionnels'!$B$7:$B$66,$D2335)</f>
        <v>0</v>
      </c>
      <c r="H2335" s="135" t="n">
        <f aca="false">$G2335*'Analyse capacite'!$F$9</f>
        <v>0</v>
      </c>
      <c r="I2335" s="135" t="n">
        <f aca="false">$G2335*'Analyse capacite'!$C$9</f>
        <v>0</v>
      </c>
      <c r="J2335" s="135" t="n">
        <f aca="false">$G2335*'Analyse capacite'!$D$9</f>
        <v>0</v>
      </c>
      <c r="K2335" s="135" t="n">
        <f aca="false">$G2335*'Analyse capacite'!$E$9</f>
        <v>0</v>
      </c>
    </row>
    <row r="2336" customFormat="false" ht="15" hidden="false" customHeight="false" outlineLevel="0" collapsed="false">
      <c r="B2336" s="130" t="n">
        <v>2027</v>
      </c>
      <c r="C2336" s="131" t="s">
        <v>248</v>
      </c>
      <c r="D2336" s="132" t="n">
        <v>46542</v>
      </c>
      <c r="E2336" s="131" t="s">
        <v>56</v>
      </c>
      <c r="F2336" s="133" t="s">
        <v>11</v>
      </c>
      <c r="G2336" s="134" t="n">
        <f aca="false">LEN('Saisie programme'!$H$118)+SUMIFS('Vols additionnels'!$E$7:$E$66,'Vols additionnels'!$C$7:$C$66,$E2336,'Vols additionnels'!$D$7:$D$66,$F2336,'Vols additionnels'!$B$7:$B$66,$D2336)</f>
        <v>0</v>
      </c>
      <c r="H2336" s="135" t="n">
        <f aca="false">$G2336*'Analyse capacite'!$F$7</f>
        <v>0</v>
      </c>
      <c r="I2336" s="135" t="n">
        <f aca="false">$G2336*'Analyse capacite'!$C$7</f>
        <v>0</v>
      </c>
      <c r="J2336" s="135" t="n">
        <f aca="false">$G2336*'Analyse capacite'!$D$7</f>
        <v>0</v>
      </c>
      <c r="K2336" s="135" t="n">
        <f aca="false">$G2336*'Analyse capacite'!$E$7</f>
        <v>0</v>
      </c>
    </row>
    <row r="2337" customFormat="false" ht="15" hidden="false" customHeight="false" outlineLevel="0" collapsed="false">
      <c r="B2337" s="130" t="n">
        <v>2027</v>
      </c>
      <c r="C2337" s="131" t="s">
        <v>248</v>
      </c>
      <c r="D2337" s="132" t="n">
        <v>46542</v>
      </c>
      <c r="E2337" s="131" t="s">
        <v>56</v>
      </c>
      <c r="F2337" s="133" t="s">
        <v>19</v>
      </c>
      <c r="G2337" s="134" t="n">
        <f aca="false">LEN('Saisie programme'!$H$119)+SUMIFS('Vols additionnels'!$E$7:$E$66,'Vols additionnels'!$C$7:$C$66,$E2337,'Vols additionnels'!$D$7:$D$66,$F2337,'Vols additionnels'!$B$7:$B$66,$D2337)</f>
        <v>0</v>
      </c>
      <c r="H2337" s="135" t="n">
        <f aca="false">$G2337*'Analyse capacite'!$F$8</f>
        <v>0</v>
      </c>
      <c r="I2337" s="135" t="n">
        <f aca="false">$G2337*'Analyse capacite'!$C$8</f>
        <v>0</v>
      </c>
      <c r="J2337" s="135" t="n">
        <f aca="false">$G2337*'Analyse capacite'!$D$8</f>
        <v>0</v>
      </c>
      <c r="K2337" s="135" t="n">
        <f aca="false">$G2337*'Analyse capacite'!$E$8</f>
        <v>0</v>
      </c>
    </row>
    <row r="2338" customFormat="false" ht="15" hidden="false" customHeight="false" outlineLevel="0" collapsed="false">
      <c r="B2338" s="130" t="n">
        <v>2027</v>
      </c>
      <c r="C2338" s="131" t="s">
        <v>248</v>
      </c>
      <c r="D2338" s="132" t="n">
        <v>46542</v>
      </c>
      <c r="E2338" s="131" t="s">
        <v>56</v>
      </c>
      <c r="F2338" s="133" t="s">
        <v>24</v>
      </c>
      <c r="G2338" s="134" t="n">
        <f aca="false">LEN('Saisie programme'!$H$120)+SUMIFS('Vols additionnels'!$E$7:$E$66,'Vols additionnels'!$C$7:$C$66,$E2338,'Vols additionnels'!$D$7:$D$66,$F2338,'Vols additionnels'!$B$7:$B$66,$D2338)</f>
        <v>0</v>
      </c>
      <c r="H2338" s="135" t="n">
        <f aca="false">$G2338*'Analyse capacite'!$F$9</f>
        <v>0</v>
      </c>
      <c r="I2338" s="135" t="n">
        <f aca="false">$G2338*'Analyse capacite'!$C$9</f>
        <v>0</v>
      </c>
      <c r="J2338" s="135" t="n">
        <f aca="false">$G2338*'Analyse capacite'!$D$9</f>
        <v>0</v>
      </c>
      <c r="K2338" s="135" t="n">
        <f aca="false">$G2338*'Analyse capacite'!$E$9</f>
        <v>0</v>
      </c>
    </row>
    <row r="2339" customFormat="false" ht="15" hidden="false" customHeight="false" outlineLevel="0" collapsed="false">
      <c r="B2339" s="130" t="n">
        <v>2027</v>
      </c>
      <c r="C2339" s="131" t="s">
        <v>248</v>
      </c>
      <c r="D2339" s="132" t="n">
        <v>46542</v>
      </c>
      <c r="E2339" s="131" t="s">
        <v>59</v>
      </c>
      <c r="F2339" s="133" t="s">
        <v>11</v>
      </c>
      <c r="G2339" s="134" t="n">
        <f aca="false">LEN('Saisie programme'!$H$121)+SUMIFS('Vols additionnels'!$E$7:$E$66,'Vols additionnels'!$C$7:$C$66,$E2339,'Vols additionnels'!$D$7:$D$66,$F2339,'Vols additionnels'!$B$7:$B$66,$D2339)</f>
        <v>0</v>
      </c>
      <c r="H2339" s="135" t="n">
        <f aca="false">$G2339*'Analyse capacite'!$F$7</f>
        <v>0</v>
      </c>
      <c r="I2339" s="135" t="n">
        <f aca="false">$G2339*'Analyse capacite'!$C$7</f>
        <v>0</v>
      </c>
      <c r="J2339" s="135" t="n">
        <f aca="false">$G2339*'Analyse capacite'!$D$7</f>
        <v>0</v>
      </c>
      <c r="K2339" s="135" t="n">
        <f aca="false">$G2339*'Analyse capacite'!$E$7</f>
        <v>0</v>
      </c>
    </row>
    <row r="2340" customFormat="false" ht="15" hidden="false" customHeight="false" outlineLevel="0" collapsed="false">
      <c r="B2340" s="130" t="n">
        <v>2027</v>
      </c>
      <c r="C2340" s="131" t="s">
        <v>248</v>
      </c>
      <c r="D2340" s="132" t="n">
        <v>46542</v>
      </c>
      <c r="E2340" s="131" t="s">
        <v>59</v>
      </c>
      <c r="F2340" s="133" t="s">
        <v>19</v>
      </c>
      <c r="G2340" s="134" t="n">
        <f aca="false">LEN('Saisie programme'!$H$122)+SUMIFS('Vols additionnels'!$E$7:$E$66,'Vols additionnels'!$C$7:$C$66,$E2340,'Vols additionnels'!$D$7:$D$66,$F2340,'Vols additionnels'!$B$7:$B$66,$D2340)</f>
        <v>0</v>
      </c>
      <c r="H2340" s="135" t="n">
        <f aca="false">$G2340*'Analyse capacite'!$F$8</f>
        <v>0</v>
      </c>
      <c r="I2340" s="135" t="n">
        <f aca="false">$G2340*'Analyse capacite'!$C$8</f>
        <v>0</v>
      </c>
      <c r="J2340" s="135" t="n">
        <f aca="false">$G2340*'Analyse capacite'!$D$8</f>
        <v>0</v>
      </c>
      <c r="K2340" s="135" t="n">
        <f aca="false">$G2340*'Analyse capacite'!$E$8</f>
        <v>0</v>
      </c>
    </row>
    <row r="2341" customFormat="false" ht="15" hidden="false" customHeight="false" outlineLevel="0" collapsed="false">
      <c r="B2341" s="130" t="n">
        <v>2027</v>
      </c>
      <c r="C2341" s="131" t="s">
        <v>248</v>
      </c>
      <c r="D2341" s="132" t="n">
        <v>46542</v>
      </c>
      <c r="E2341" s="131" t="s">
        <v>59</v>
      </c>
      <c r="F2341" s="133" t="s">
        <v>24</v>
      </c>
      <c r="G2341" s="134" t="n">
        <f aca="false">LEN('Saisie programme'!$H$123)+SUMIFS('Vols additionnels'!$E$7:$E$66,'Vols additionnels'!$C$7:$C$66,$E2341,'Vols additionnels'!$D$7:$D$66,$F2341,'Vols additionnels'!$B$7:$B$66,$D2341)</f>
        <v>1</v>
      </c>
      <c r="H2341" s="135" t="n">
        <f aca="false">$G2341*'Analyse capacite'!$F$9</f>
        <v>174</v>
      </c>
      <c r="I2341" s="135" t="n">
        <f aca="false">$G2341*'Analyse capacite'!$C$9</f>
        <v>0</v>
      </c>
      <c r="J2341" s="135" t="n">
        <f aca="false">$G2341*'Analyse capacite'!$D$9</f>
        <v>12</v>
      </c>
      <c r="K2341" s="135" t="n">
        <f aca="false">$G2341*'Analyse capacite'!$E$9</f>
        <v>162</v>
      </c>
    </row>
    <row r="2342" customFormat="false" ht="15" hidden="false" customHeight="false" outlineLevel="0" collapsed="false">
      <c r="B2342" s="130" t="n">
        <v>2027</v>
      </c>
      <c r="C2342" s="131" t="s">
        <v>248</v>
      </c>
      <c r="D2342" s="132" t="n">
        <v>46542</v>
      </c>
      <c r="E2342" s="131" t="s">
        <v>62</v>
      </c>
      <c r="F2342" s="133" t="s">
        <v>11</v>
      </c>
      <c r="G2342" s="134" t="n">
        <f aca="false">LEN('Saisie programme'!$H$124)+SUMIFS('Vols additionnels'!$E$7:$E$66,'Vols additionnels'!$C$7:$C$66,$E2342,'Vols additionnels'!$D$7:$D$66,$F2342,'Vols additionnels'!$B$7:$B$66,$D2342)</f>
        <v>0</v>
      </c>
      <c r="H2342" s="135" t="n">
        <f aca="false">$G2342*'Analyse capacite'!$F$7</f>
        <v>0</v>
      </c>
      <c r="I2342" s="135" t="n">
        <f aca="false">$G2342*'Analyse capacite'!$C$7</f>
        <v>0</v>
      </c>
      <c r="J2342" s="135" t="n">
        <f aca="false">$G2342*'Analyse capacite'!$D$7</f>
        <v>0</v>
      </c>
      <c r="K2342" s="135" t="n">
        <f aca="false">$G2342*'Analyse capacite'!$E$7</f>
        <v>0</v>
      </c>
    </row>
    <row r="2343" customFormat="false" ht="15" hidden="false" customHeight="false" outlineLevel="0" collapsed="false">
      <c r="B2343" s="130" t="n">
        <v>2027</v>
      </c>
      <c r="C2343" s="131" t="s">
        <v>248</v>
      </c>
      <c r="D2343" s="132" t="n">
        <v>46542</v>
      </c>
      <c r="E2343" s="131" t="s">
        <v>62</v>
      </c>
      <c r="F2343" s="133" t="s">
        <v>19</v>
      </c>
      <c r="G2343" s="134" t="n">
        <f aca="false">LEN('Saisie programme'!$H$125)+SUMIFS('Vols additionnels'!$E$7:$E$66,'Vols additionnels'!$C$7:$C$66,$E2343,'Vols additionnels'!$D$7:$D$66,$F2343,'Vols additionnels'!$B$7:$B$66,$D2343)</f>
        <v>0</v>
      </c>
      <c r="H2343" s="135" t="n">
        <f aca="false">$G2343*'Analyse capacite'!$F$8</f>
        <v>0</v>
      </c>
      <c r="I2343" s="135" t="n">
        <f aca="false">$G2343*'Analyse capacite'!$C$8</f>
        <v>0</v>
      </c>
      <c r="J2343" s="135" t="n">
        <f aca="false">$G2343*'Analyse capacite'!$D$8</f>
        <v>0</v>
      </c>
      <c r="K2343" s="135" t="n">
        <f aca="false">$G2343*'Analyse capacite'!$E$8</f>
        <v>0</v>
      </c>
    </row>
    <row r="2344" customFormat="false" ht="15" hidden="false" customHeight="false" outlineLevel="0" collapsed="false">
      <c r="B2344" s="130" t="n">
        <v>2027</v>
      </c>
      <c r="C2344" s="131" t="s">
        <v>248</v>
      </c>
      <c r="D2344" s="132" t="n">
        <v>46542</v>
      </c>
      <c r="E2344" s="131" t="s">
        <v>62</v>
      </c>
      <c r="F2344" s="133" t="s">
        <v>24</v>
      </c>
      <c r="G2344" s="134" t="n">
        <f aca="false">LEN('Saisie programme'!$H$126)+SUMIFS('Vols additionnels'!$E$7:$E$66,'Vols additionnels'!$C$7:$C$66,$E2344,'Vols additionnels'!$D$7:$D$66,$F2344,'Vols additionnels'!$B$7:$B$66,$D2344)</f>
        <v>0</v>
      </c>
      <c r="H2344" s="135" t="n">
        <f aca="false">$G2344*'Analyse capacite'!$F$9</f>
        <v>0</v>
      </c>
      <c r="I2344" s="135" t="n">
        <f aca="false">$G2344*'Analyse capacite'!$C$9</f>
        <v>0</v>
      </c>
      <c r="J2344" s="135" t="n">
        <f aca="false">$G2344*'Analyse capacite'!$D$9</f>
        <v>0</v>
      </c>
      <c r="K2344" s="135" t="n">
        <f aca="false">$G2344*'Analyse capacite'!$E$9</f>
        <v>0</v>
      </c>
    </row>
    <row r="2345" customFormat="false" ht="15" hidden="false" customHeight="false" outlineLevel="0" collapsed="false">
      <c r="B2345" s="130" t="n">
        <v>2027</v>
      </c>
      <c r="C2345" s="131" t="s">
        <v>248</v>
      </c>
      <c r="D2345" s="132" t="n">
        <v>46543</v>
      </c>
      <c r="E2345" s="131" t="s">
        <v>12</v>
      </c>
      <c r="F2345" s="133" t="s">
        <v>11</v>
      </c>
      <c r="G2345" s="134" t="n">
        <f aca="false">LEN('Saisie programme'!$I$91)+SUMIFS('Vols additionnels'!$E$7:$E$66,'Vols additionnels'!$C$7:$C$66,$E2345,'Vols additionnels'!$D$7:$D$66,$F2345,'Vols additionnels'!$B$7:$B$66,$D2345)</f>
        <v>1</v>
      </c>
      <c r="H2345" s="135" t="n">
        <f aca="false">$G2345*'Analyse capacite'!$F$7</f>
        <v>438</v>
      </c>
      <c r="I2345" s="135" t="n">
        <f aca="false">$G2345*'Analyse capacite'!$C$7</f>
        <v>14</v>
      </c>
      <c r="J2345" s="135" t="n">
        <f aca="false">$G2345*'Analyse capacite'!$D$7</f>
        <v>40</v>
      </c>
      <c r="K2345" s="135" t="n">
        <f aca="false">$G2345*'Analyse capacite'!$E$7</f>
        <v>384</v>
      </c>
    </row>
    <row r="2346" customFormat="false" ht="15" hidden="false" customHeight="false" outlineLevel="0" collapsed="false">
      <c r="B2346" s="130" t="n">
        <v>2027</v>
      </c>
      <c r="C2346" s="131" t="s">
        <v>248</v>
      </c>
      <c r="D2346" s="132" t="n">
        <v>46543</v>
      </c>
      <c r="E2346" s="131" t="s">
        <v>12</v>
      </c>
      <c r="F2346" s="133" t="s">
        <v>19</v>
      </c>
      <c r="G2346" s="134" t="n">
        <f aca="false">LEN('Saisie programme'!$I$92)+SUMIFS('Vols additionnels'!$E$7:$E$66,'Vols additionnels'!$C$7:$C$66,$E2346,'Vols additionnels'!$D$7:$D$66,$F2346,'Vols additionnels'!$B$7:$B$66,$D2346)</f>
        <v>0</v>
      </c>
      <c r="H2346" s="135" t="n">
        <f aca="false">$G2346*'Analyse capacite'!$F$8</f>
        <v>0</v>
      </c>
      <c r="I2346" s="135" t="n">
        <f aca="false">$G2346*'Analyse capacite'!$C$8</f>
        <v>0</v>
      </c>
      <c r="J2346" s="135" t="n">
        <f aca="false">$G2346*'Analyse capacite'!$D$8</f>
        <v>0</v>
      </c>
      <c r="K2346" s="135" t="n">
        <f aca="false">$G2346*'Analyse capacite'!$E$8</f>
        <v>0</v>
      </c>
    </row>
    <row r="2347" customFormat="false" ht="15" hidden="false" customHeight="false" outlineLevel="0" collapsed="false">
      <c r="B2347" s="130" t="n">
        <v>2027</v>
      </c>
      <c r="C2347" s="131" t="s">
        <v>248</v>
      </c>
      <c r="D2347" s="132" t="n">
        <v>46543</v>
      </c>
      <c r="E2347" s="131" t="s">
        <v>12</v>
      </c>
      <c r="F2347" s="133" t="s">
        <v>24</v>
      </c>
      <c r="G2347" s="134" t="n">
        <f aca="false">LEN('Saisie programme'!$I$93)+SUMIFS('Vols additionnels'!$E$7:$E$66,'Vols additionnels'!$C$7:$C$66,$E2347,'Vols additionnels'!$D$7:$D$66,$F2347,'Vols additionnels'!$B$7:$B$66,$D2347)</f>
        <v>0</v>
      </c>
      <c r="H2347" s="135" t="n">
        <f aca="false">$G2347*'Analyse capacite'!$F$9</f>
        <v>0</v>
      </c>
      <c r="I2347" s="135" t="n">
        <f aca="false">$G2347*'Analyse capacite'!$C$9</f>
        <v>0</v>
      </c>
      <c r="J2347" s="135" t="n">
        <f aca="false">$G2347*'Analyse capacite'!$D$9</f>
        <v>0</v>
      </c>
      <c r="K2347" s="135" t="n">
        <f aca="false">$G2347*'Analyse capacite'!$E$9</f>
        <v>0</v>
      </c>
    </row>
    <row r="2348" customFormat="false" ht="15" hidden="false" customHeight="false" outlineLevel="0" collapsed="false">
      <c r="B2348" s="130" t="n">
        <v>2027</v>
      </c>
      <c r="C2348" s="131" t="s">
        <v>248</v>
      </c>
      <c r="D2348" s="132" t="n">
        <v>46543</v>
      </c>
      <c r="E2348" s="131" t="s">
        <v>20</v>
      </c>
      <c r="F2348" s="133" t="s">
        <v>11</v>
      </c>
      <c r="G2348" s="134" t="n">
        <f aca="false">LEN('Saisie programme'!$I$94)+SUMIFS('Vols additionnels'!$E$7:$E$66,'Vols additionnels'!$C$7:$C$66,$E2348,'Vols additionnels'!$D$7:$D$66,$F2348,'Vols additionnels'!$B$7:$B$66,$D2348)</f>
        <v>0</v>
      </c>
      <c r="H2348" s="135" t="n">
        <f aca="false">$G2348*'Analyse capacite'!$F$7</f>
        <v>0</v>
      </c>
      <c r="I2348" s="135" t="n">
        <f aca="false">$G2348*'Analyse capacite'!$C$7</f>
        <v>0</v>
      </c>
      <c r="J2348" s="135" t="n">
        <f aca="false">$G2348*'Analyse capacite'!$D$7</f>
        <v>0</v>
      </c>
      <c r="K2348" s="135" t="n">
        <f aca="false">$G2348*'Analyse capacite'!$E$7</f>
        <v>0</v>
      </c>
    </row>
    <row r="2349" customFormat="false" ht="15" hidden="false" customHeight="false" outlineLevel="0" collapsed="false">
      <c r="B2349" s="130" t="n">
        <v>2027</v>
      </c>
      <c r="C2349" s="131" t="s">
        <v>248</v>
      </c>
      <c r="D2349" s="132" t="n">
        <v>46543</v>
      </c>
      <c r="E2349" s="131" t="s">
        <v>20</v>
      </c>
      <c r="F2349" s="133" t="s">
        <v>19</v>
      </c>
      <c r="G2349" s="134" t="n">
        <f aca="false">LEN('Saisie programme'!$I$95)+SUMIFS('Vols additionnels'!$E$7:$E$66,'Vols additionnels'!$C$7:$C$66,$E2349,'Vols additionnels'!$D$7:$D$66,$F2349,'Vols additionnels'!$B$7:$B$66,$D2349)</f>
        <v>0</v>
      </c>
      <c r="H2349" s="135" t="n">
        <f aca="false">$G2349*'Analyse capacite'!$F$8</f>
        <v>0</v>
      </c>
      <c r="I2349" s="135" t="n">
        <f aca="false">$G2349*'Analyse capacite'!$C$8</f>
        <v>0</v>
      </c>
      <c r="J2349" s="135" t="n">
        <f aca="false">$G2349*'Analyse capacite'!$D$8</f>
        <v>0</v>
      </c>
      <c r="K2349" s="135" t="n">
        <f aca="false">$G2349*'Analyse capacite'!$E$8</f>
        <v>0</v>
      </c>
    </row>
    <row r="2350" customFormat="false" ht="15" hidden="false" customHeight="false" outlineLevel="0" collapsed="false">
      <c r="B2350" s="130" t="n">
        <v>2027</v>
      </c>
      <c r="C2350" s="131" t="s">
        <v>248</v>
      </c>
      <c r="D2350" s="132" t="n">
        <v>46543</v>
      </c>
      <c r="E2350" s="131" t="s">
        <v>20</v>
      </c>
      <c r="F2350" s="133" t="s">
        <v>24</v>
      </c>
      <c r="G2350" s="134" t="n">
        <f aca="false">LEN('Saisie programme'!$I$96)+SUMIFS('Vols additionnels'!$E$7:$E$66,'Vols additionnels'!$C$7:$C$66,$E2350,'Vols additionnels'!$D$7:$D$66,$F2350,'Vols additionnels'!$B$7:$B$66,$D2350)</f>
        <v>0</v>
      </c>
      <c r="H2350" s="135" t="n">
        <f aca="false">$G2350*'Analyse capacite'!$F$9</f>
        <v>0</v>
      </c>
      <c r="I2350" s="135" t="n">
        <f aca="false">$G2350*'Analyse capacite'!$C$9</f>
        <v>0</v>
      </c>
      <c r="J2350" s="135" t="n">
        <f aca="false">$G2350*'Analyse capacite'!$D$9</f>
        <v>0</v>
      </c>
      <c r="K2350" s="135" t="n">
        <f aca="false">$G2350*'Analyse capacite'!$E$9</f>
        <v>0</v>
      </c>
    </row>
    <row r="2351" customFormat="false" ht="15" hidden="false" customHeight="false" outlineLevel="0" collapsed="false">
      <c r="B2351" s="130" t="n">
        <v>2027</v>
      </c>
      <c r="C2351" s="131" t="s">
        <v>248</v>
      </c>
      <c r="D2351" s="132" t="n">
        <v>46543</v>
      </c>
      <c r="E2351" s="131" t="s">
        <v>25</v>
      </c>
      <c r="F2351" s="133" t="s">
        <v>11</v>
      </c>
      <c r="G2351" s="134" t="n">
        <f aca="false">LEN('Saisie programme'!$I$97)+SUMIFS('Vols additionnels'!$E$7:$E$66,'Vols additionnels'!$C$7:$C$66,$E2351,'Vols additionnels'!$D$7:$D$66,$F2351,'Vols additionnels'!$B$7:$B$66,$D2351)</f>
        <v>0</v>
      </c>
      <c r="H2351" s="135" t="n">
        <f aca="false">$G2351*'Analyse capacite'!$F$7</f>
        <v>0</v>
      </c>
      <c r="I2351" s="135" t="n">
        <f aca="false">$G2351*'Analyse capacite'!$C$7</f>
        <v>0</v>
      </c>
      <c r="J2351" s="135" t="n">
        <f aca="false">$G2351*'Analyse capacite'!$D$7</f>
        <v>0</v>
      </c>
      <c r="K2351" s="135" t="n">
        <f aca="false">$G2351*'Analyse capacite'!$E$7</f>
        <v>0</v>
      </c>
    </row>
    <row r="2352" customFormat="false" ht="15" hidden="false" customHeight="false" outlineLevel="0" collapsed="false">
      <c r="B2352" s="130" t="n">
        <v>2027</v>
      </c>
      <c r="C2352" s="131" t="s">
        <v>248</v>
      </c>
      <c r="D2352" s="132" t="n">
        <v>46543</v>
      </c>
      <c r="E2352" s="131" t="s">
        <v>25</v>
      </c>
      <c r="F2352" s="133" t="s">
        <v>19</v>
      </c>
      <c r="G2352" s="134" t="n">
        <f aca="false">LEN('Saisie programme'!$I$98)+SUMIFS('Vols additionnels'!$E$7:$E$66,'Vols additionnels'!$C$7:$C$66,$E2352,'Vols additionnels'!$D$7:$D$66,$F2352,'Vols additionnels'!$B$7:$B$66,$D2352)</f>
        <v>1</v>
      </c>
      <c r="H2352" s="135" t="n">
        <f aca="false">$G2352*'Analyse capacite'!$F$8</f>
        <v>262</v>
      </c>
      <c r="I2352" s="135" t="n">
        <f aca="false">$G2352*'Analyse capacite'!$C$8</f>
        <v>18</v>
      </c>
      <c r="J2352" s="135" t="n">
        <f aca="false">$G2352*'Analyse capacite'!$D$8</f>
        <v>0</v>
      </c>
      <c r="K2352" s="135" t="n">
        <f aca="false">$G2352*'Analyse capacite'!$E$8</f>
        <v>244</v>
      </c>
    </row>
    <row r="2353" customFormat="false" ht="15" hidden="false" customHeight="false" outlineLevel="0" collapsed="false">
      <c r="B2353" s="130" t="n">
        <v>2027</v>
      </c>
      <c r="C2353" s="131" t="s">
        <v>248</v>
      </c>
      <c r="D2353" s="132" t="n">
        <v>46543</v>
      </c>
      <c r="E2353" s="131" t="s">
        <v>25</v>
      </c>
      <c r="F2353" s="133" t="s">
        <v>24</v>
      </c>
      <c r="G2353" s="134" t="n">
        <f aca="false">LEN('Saisie programme'!$I$99)+SUMIFS('Vols additionnels'!$E$7:$E$66,'Vols additionnels'!$C$7:$C$66,$E2353,'Vols additionnels'!$D$7:$D$66,$F2353,'Vols additionnels'!$B$7:$B$66,$D2353)</f>
        <v>0</v>
      </c>
      <c r="H2353" s="135" t="n">
        <f aca="false">$G2353*'Analyse capacite'!$F$9</f>
        <v>0</v>
      </c>
      <c r="I2353" s="135" t="n">
        <f aca="false">$G2353*'Analyse capacite'!$C$9</f>
        <v>0</v>
      </c>
      <c r="J2353" s="135" t="n">
        <f aca="false">$G2353*'Analyse capacite'!$D$9</f>
        <v>0</v>
      </c>
      <c r="K2353" s="135" t="n">
        <f aca="false">$G2353*'Analyse capacite'!$E$9</f>
        <v>0</v>
      </c>
    </row>
    <row r="2354" customFormat="false" ht="15" hidden="false" customHeight="false" outlineLevel="0" collapsed="false">
      <c r="B2354" s="130" t="n">
        <v>2027</v>
      </c>
      <c r="C2354" s="131" t="s">
        <v>248</v>
      </c>
      <c r="D2354" s="132" t="n">
        <v>46543</v>
      </c>
      <c r="E2354" s="131" t="s">
        <v>36</v>
      </c>
      <c r="F2354" s="133" t="s">
        <v>11</v>
      </c>
      <c r="G2354" s="134" t="n">
        <f aca="false">LEN('Saisie programme'!$I$100)+SUMIFS('Vols additionnels'!$E$7:$E$66,'Vols additionnels'!$C$7:$C$66,$E2354,'Vols additionnels'!$D$7:$D$66,$F2354,'Vols additionnels'!$B$7:$B$66,$D2354)</f>
        <v>0</v>
      </c>
      <c r="H2354" s="135" t="n">
        <f aca="false">$G2354*'Analyse capacite'!$F$7</f>
        <v>0</v>
      </c>
      <c r="I2354" s="135" t="n">
        <f aca="false">$G2354*'Analyse capacite'!$C$7</f>
        <v>0</v>
      </c>
      <c r="J2354" s="135" t="n">
        <f aca="false">$G2354*'Analyse capacite'!$D$7</f>
        <v>0</v>
      </c>
      <c r="K2354" s="135" t="n">
        <f aca="false">$G2354*'Analyse capacite'!$E$7</f>
        <v>0</v>
      </c>
    </row>
    <row r="2355" customFormat="false" ht="15" hidden="false" customHeight="false" outlineLevel="0" collapsed="false">
      <c r="B2355" s="130" t="n">
        <v>2027</v>
      </c>
      <c r="C2355" s="131" t="s">
        <v>248</v>
      </c>
      <c r="D2355" s="132" t="n">
        <v>46543</v>
      </c>
      <c r="E2355" s="131" t="s">
        <v>36</v>
      </c>
      <c r="F2355" s="133" t="s">
        <v>19</v>
      </c>
      <c r="G2355" s="134" t="n">
        <f aca="false">LEN('Saisie programme'!$I$101)+SUMIFS('Vols additionnels'!$E$7:$E$66,'Vols additionnels'!$C$7:$C$66,$E2355,'Vols additionnels'!$D$7:$D$66,$F2355,'Vols additionnels'!$B$7:$B$66,$D2355)</f>
        <v>0</v>
      </c>
      <c r="H2355" s="135" t="n">
        <f aca="false">$G2355*'Analyse capacite'!$F$8</f>
        <v>0</v>
      </c>
      <c r="I2355" s="135" t="n">
        <f aca="false">$G2355*'Analyse capacite'!$C$8</f>
        <v>0</v>
      </c>
      <c r="J2355" s="135" t="n">
        <f aca="false">$G2355*'Analyse capacite'!$D$8</f>
        <v>0</v>
      </c>
      <c r="K2355" s="135" t="n">
        <f aca="false">$G2355*'Analyse capacite'!$E$8</f>
        <v>0</v>
      </c>
    </row>
    <row r="2356" customFormat="false" ht="15" hidden="false" customHeight="false" outlineLevel="0" collapsed="false">
      <c r="B2356" s="130" t="n">
        <v>2027</v>
      </c>
      <c r="C2356" s="131" t="s">
        <v>248</v>
      </c>
      <c r="D2356" s="132" t="n">
        <v>46543</v>
      </c>
      <c r="E2356" s="131" t="s">
        <v>36</v>
      </c>
      <c r="F2356" s="133" t="s">
        <v>24</v>
      </c>
      <c r="G2356" s="134" t="n">
        <f aca="false">LEN('Saisie programme'!$I$102)+SUMIFS('Vols additionnels'!$E$7:$E$66,'Vols additionnels'!$C$7:$C$66,$E2356,'Vols additionnels'!$D$7:$D$66,$F2356,'Vols additionnels'!$B$7:$B$66,$D2356)</f>
        <v>0</v>
      </c>
      <c r="H2356" s="135" t="n">
        <f aca="false">$G2356*'Analyse capacite'!$F$9</f>
        <v>0</v>
      </c>
      <c r="I2356" s="135" t="n">
        <f aca="false">$G2356*'Analyse capacite'!$C$9</f>
        <v>0</v>
      </c>
      <c r="J2356" s="135" t="n">
        <f aca="false">$G2356*'Analyse capacite'!$D$9</f>
        <v>0</v>
      </c>
      <c r="K2356" s="135" t="n">
        <f aca="false">$G2356*'Analyse capacite'!$E$9</f>
        <v>0</v>
      </c>
    </row>
    <row r="2357" customFormat="false" ht="15" hidden="false" customHeight="false" outlineLevel="0" collapsed="false">
      <c r="B2357" s="130" t="n">
        <v>2027</v>
      </c>
      <c r="C2357" s="131" t="s">
        <v>248</v>
      </c>
      <c r="D2357" s="132" t="n">
        <v>46543</v>
      </c>
      <c r="E2357" s="131" t="s">
        <v>40</v>
      </c>
      <c r="F2357" s="133" t="s">
        <v>11</v>
      </c>
      <c r="G2357" s="134" t="n">
        <f aca="false">LEN('Saisie programme'!$I$103)+SUMIFS('Vols additionnels'!$E$7:$E$66,'Vols additionnels'!$C$7:$C$66,$E2357,'Vols additionnels'!$D$7:$D$66,$F2357,'Vols additionnels'!$B$7:$B$66,$D2357)</f>
        <v>0</v>
      </c>
      <c r="H2357" s="135" t="n">
        <f aca="false">$G2357*'Analyse capacite'!$F$7</f>
        <v>0</v>
      </c>
      <c r="I2357" s="135" t="n">
        <f aca="false">$G2357*'Analyse capacite'!$C$7</f>
        <v>0</v>
      </c>
      <c r="J2357" s="135" t="n">
        <f aca="false">$G2357*'Analyse capacite'!$D$7</f>
        <v>0</v>
      </c>
      <c r="K2357" s="135" t="n">
        <f aca="false">$G2357*'Analyse capacite'!$E$7</f>
        <v>0</v>
      </c>
    </row>
    <row r="2358" customFormat="false" ht="15" hidden="false" customHeight="false" outlineLevel="0" collapsed="false">
      <c r="B2358" s="130" t="n">
        <v>2027</v>
      </c>
      <c r="C2358" s="131" t="s">
        <v>248</v>
      </c>
      <c r="D2358" s="132" t="n">
        <v>46543</v>
      </c>
      <c r="E2358" s="131" t="s">
        <v>40</v>
      </c>
      <c r="F2358" s="133" t="s">
        <v>19</v>
      </c>
      <c r="G2358" s="134" t="n">
        <f aca="false">LEN('Saisie programme'!$I$104)+SUMIFS('Vols additionnels'!$E$7:$E$66,'Vols additionnels'!$C$7:$C$66,$E2358,'Vols additionnels'!$D$7:$D$66,$F2358,'Vols additionnels'!$B$7:$B$66,$D2358)</f>
        <v>0</v>
      </c>
      <c r="H2358" s="135" t="n">
        <f aca="false">$G2358*'Analyse capacite'!$F$8</f>
        <v>0</v>
      </c>
      <c r="I2358" s="135" t="n">
        <f aca="false">$G2358*'Analyse capacite'!$C$8</f>
        <v>0</v>
      </c>
      <c r="J2358" s="135" t="n">
        <f aca="false">$G2358*'Analyse capacite'!$D$8</f>
        <v>0</v>
      </c>
      <c r="K2358" s="135" t="n">
        <f aca="false">$G2358*'Analyse capacite'!$E$8</f>
        <v>0</v>
      </c>
    </row>
    <row r="2359" customFormat="false" ht="15" hidden="false" customHeight="false" outlineLevel="0" collapsed="false">
      <c r="B2359" s="130" t="n">
        <v>2027</v>
      </c>
      <c r="C2359" s="131" t="s">
        <v>248</v>
      </c>
      <c r="D2359" s="132" t="n">
        <v>46543</v>
      </c>
      <c r="E2359" s="131" t="s">
        <v>40</v>
      </c>
      <c r="F2359" s="133" t="s">
        <v>24</v>
      </c>
      <c r="G2359" s="134" t="n">
        <f aca="false">LEN('Saisie programme'!$I$105)+SUMIFS('Vols additionnels'!$E$7:$E$66,'Vols additionnels'!$C$7:$C$66,$E2359,'Vols additionnels'!$D$7:$D$66,$F2359,'Vols additionnels'!$B$7:$B$66,$D2359)</f>
        <v>0</v>
      </c>
      <c r="H2359" s="135" t="n">
        <f aca="false">$G2359*'Analyse capacite'!$F$9</f>
        <v>0</v>
      </c>
      <c r="I2359" s="135" t="n">
        <f aca="false">$G2359*'Analyse capacite'!$C$9</f>
        <v>0</v>
      </c>
      <c r="J2359" s="135" t="n">
        <f aca="false">$G2359*'Analyse capacite'!$D$9</f>
        <v>0</v>
      </c>
      <c r="K2359" s="135" t="n">
        <f aca="false">$G2359*'Analyse capacite'!$E$9</f>
        <v>0</v>
      </c>
    </row>
    <row r="2360" customFormat="false" ht="15" hidden="false" customHeight="false" outlineLevel="0" collapsed="false">
      <c r="B2360" s="130" t="n">
        <v>2027</v>
      </c>
      <c r="C2360" s="131" t="s">
        <v>248</v>
      </c>
      <c r="D2360" s="132" t="n">
        <v>46543</v>
      </c>
      <c r="E2360" s="131" t="s">
        <v>14</v>
      </c>
      <c r="F2360" s="133" t="s">
        <v>11</v>
      </c>
      <c r="G2360" s="134" t="n">
        <f aca="false">LEN('Saisie programme'!$I$106)+SUMIFS('Vols additionnels'!$E$7:$E$66,'Vols additionnels'!$C$7:$C$66,$E2360,'Vols additionnels'!$D$7:$D$66,$F2360,'Vols additionnels'!$B$7:$B$66,$D2360)</f>
        <v>0</v>
      </c>
      <c r="H2360" s="135" t="n">
        <f aca="false">$G2360*'Analyse capacite'!$F$7</f>
        <v>0</v>
      </c>
      <c r="I2360" s="135" t="n">
        <f aca="false">$G2360*'Analyse capacite'!$C$7</f>
        <v>0</v>
      </c>
      <c r="J2360" s="135" t="n">
        <f aca="false">$G2360*'Analyse capacite'!$D$7</f>
        <v>0</v>
      </c>
      <c r="K2360" s="135" t="n">
        <f aca="false">$G2360*'Analyse capacite'!$E$7</f>
        <v>0</v>
      </c>
    </row>
    <row r="2361" customFormat="false" ht="15" hidden="false" customHeight="false" outlineLevel="0" collapsed="false">
      <c r="B2361" s="130" t="n">
        <v>2027</v>
      </c>
      <c r="C2361" s="131" t="s">
        <v>248</v>
      </c>
      <c r="D2361" s="132" t="n">
        <v>46543</v>
      </c>
      <c r="E2361" s="131" t="s">
        <v>14</v>
      </c>
      <c r="F2361" s="133" t="s">
        <v>19</v>
      </c>
      <c r="G2361" s="134" t="n">
        <f aca="false">LEN('Saisie programme'!$I$107)+SUMIFS('Vols additionnels'!$E$7:$E$66,'Vols additionnels'!$C$7:$C$66,$E2361,'Vols additionnels'!$D$7:$D$66,$F2361,'Vols additionnels'!$B$7:$B$66,$D2361)</f>
        <v>0</v>
      </c>
      <c r="H2361" s="135" t="n">
        <f aca="false">$G2361*'Analyse capacite'!$F$8</f>
        <v>0</v>
      </c>
      <c r="I2361" s="135" t="n">
        <f aca="false">$G2361*'Analyse capacite'!$C$8</f>
        <v>0</v>
      </c>
      <c r="J2361" s="135" t="n">
        <f aca="false">$G2361*'Analyse capacite'!$D$8</f>
        <v>0</v>
      </c>
      <c r="K2361" s="135" t="n">
        <f aca="false">$G2361*'Analyse capacite'!$E$8</f>
        <v>0</v>
      </c>
    </row>
    <row r="2362" customFormat="false" ht="15" hidden="false" customHeight="false" outlineLevel="0" collapsed="false">
      <c r="B2362" s="130" t="n">
        <v>2027</v>
      </c>
      <c r="C2362" s="131" t="s">
        <v>248</v>
      </c>
      <c r="D2362" s="132" t="n">
        <v>46543</v>
      </c>
      <c r="E2362" s="131" t="s">
        <v>14</v>
      </c>
      <c r="F2362" s="133" t="s">
        <v>24</v>
      </c>
      <c r="G2362" s="134" t="n">
        <f aca="false">LEN('Saisie programme'!$I$108)+SUMIFS('Vols additionnels'!$E$7:$E$66,'Vols additionnels'!$C$7:$C$66,$E2362,'Vols additionnels'!$D$7:$D$66,$F2362,'Vols additionnels'!$B$7:$B$66,$D2362)</f>
        <v>1</v>
      </c>
      <c r="H2362" s="135" t="n">
        <f aca="false">$G2362*'Analyse capacite'!$F$9</f>
        <v>174</v>
      </c>
      <c r="I2362" s="135" t="n">
        <f aca="false">$G2362*'Analyse capacite'!$C$9</f>
        <v>0</v>
      </c>
      <c r="J2362" s="135" t="n">
        <f aca="false">$G2362*'Analyse capacite'!$D$9</f>
        <v>12</v>
      </c>
      <c r="K2362" s="135" t="n">
        <f aca="false">$G2362*'Analyse capacite'!$E$9</f>
        <v>162</v>
      </c>
    </row>
    <row r="2363" customFormat="false" ht="15" hidden="false" customHeight="false" outlineLevel="0" collapsed="false">
      <c r="B2363" s="130" t="n">
        <v>2027</v>
      </c>
      <c r="C2363" s="131" t="s">
        <v>248</v>
      </c>
      <c r="D2363" s="132" t="n">
        <v>46543</v>
      </c>
      <c r="E2363" s="131" t="s">
        <v>46</v>
      </c>
      <c r="F2363" s="133" t="s">
        <v>11</v>
      </c>
      <c r="G2363" s="134" t="n">
        <f aca="false">LEN('Saisie programme'!$I$109)+SUMIFS('Vols additionnels'!$E$7:$E$66,'Vols additionnels'!$C$7:$C$66,$E2363,'Vols additionnels'!$D$7:$D$66,$F2363,'Vols additionnels'!$B$7:$B$66,$D2363)</f>
        <v>0</v>
      </c>
      <c r="H2363" s="135" t="n">
        <f aca="false">$G2363*'Analyse capacite'!$F$7</f>
        <v>0</v>
      </c>
      <c r="I2363" s="135" t="n">
        <f aca="false">$G2363*'Analyse capacite'!$C$7</f>
        <v>0</v>
      </c>
      <c r="J2363" s="135" t="n">
        <f aca="false">$G2363*'Analyse capacite'!$D$7</f>
        <v>0</v>
      </c>
      <c r="K2363" s="135" t="n">
        <f aca="false">$G2363*'Analyse capacite'!$E$7</f>
        <v>0</v>
      </c>
    </row>
    <row r="2364" customFormat="false" ht="15" hidden="false" customHeight="false" outlineLevel="0" collapsed="false">
      <c r="B2364" s="130" t="n">
        <v>2027</v>
      </c>
      <c r="C2364" s="131" t="s">
        <v>248</v>
      </c>
      <c r="D2364" s="132" t="n">
        <v>46543</v>
      </c>
      <c r="E2364" s="131" t="s">
        <v>46</v>
      </c>
      <c r="F2364" s="133" t="s">
        <v>19</v>
      </c>
      <c r="G2364" s="134" t="n">
        <f aca="false">LEN('Saisie programme'!$I$110)+SUMIFS('Vols additionnels'!$E$7:$E$66,'Vols additionnels'!$C$7:$C$66,$E2364,'Vols additionnels'!$D$7:$D$66,$F2364,'Vols additionnels'!$B$7:$B$66,$D2364)</f>
        <v>0</v>
      </c>
      <c r="H2364" s="135" t="n">
        <f aca="false">$G2364*'Analyse capacite'!$F$8</f>
        <v>0</v>
      </c>
      <c r="I2364" s="135" t="n">
        <f aca="false">$G2364*'Analyse capacite'!$C$8</f>
        <v>0</v>
      </c>
      <c r="J2364" s="135" t="n">
        <f aca="false">$G2364*'Analyse capacite'!$D$8</f>
        <v>0</v>
      </c>
      <c r="K2364" s="135" t="n">
        <f aca="false">$G2364*'Analyse capacite'!$E$8</f>
        <v>0</v>
      </c>
    </row>
    <row r="2365" customFormat="false" ht="15" hidden="false" customHeight="false" outlineLevel="0" collapsed="false">
      <c r="B2365" s="130" t="n">
        <v>2027</v>
      </c>
      <c r="C2365" s="131" t="s">
        <v>248</v>
      </c>
      <c r="D2365" s="132" t="n">
        <v>46543</v>
      </c>
      <c r="E2365" s="131" t="s">
        <v>46</v>
      </c>
      <c r="F2365" s="133" t="s">
        <v>24</v>
      </c>
      <c r="G2365" s="134" t="n">
        <f aca="false">LEN('Saisie programme'!$I$111)+SUMIFS('Vols additionnels'!$E$7:$E$66,'Vols additionnels'!$C$7:$C$66,$E2365,'Vols additionnels'!$D$7:$D$66,$F2365,'Vols additionnels'!$B$7:$B$66,$D2365)</f>
        <v>1</v>
      </c>
      <c r="H2365" s="135" t="n">
        <f aca="false">$G2365*'Analyse capacite'!$F$9</f>
        <v>174</v>
      </c>
      <c r="I2365" s="135" t="n">
        <f aca="false">$G2365*'Analyse capacite'!$C$9</f>
        <v>0</v>
      </c>
      <c r="J2365" s="135" t="n">
        <f aca="false">$G2365*'Analyse capacite'!$D$9</f>
        <v>12</v>
      </c>
      <c r="K2365" s="135" t="n">
        <f aca="false">$G2365*'Analyse capacite'!$E$9</f>
        <v>162</v>
      </c>
    </row>
    <row r="2366" customFormat="false" ht="15" hidden="false" customHeight="false" outlineLevel="0" collapsed="false">
      <c r="B2366" s="130" t="n">
        <v>2027</v>
      </c>
      <c r="C2366" s="131" t="s">
        <v>248</v>
      </c>
      <c r="D2366" s="132" t="n">
        <v>46543</v>
      </c>
      <c r="E2366" s="131" t="s">
        <v>49</v>
      </c>
      <c r="F2366" s="133" t="s">
        <v>11</v>
      </c>
      <c r="G2366" s="134" t="n">
        <f aca="false">LEN('Saisie programme'!$I$112)+SUMIFS('Vols additionnels'!$E$7:$E$66,'Vols additionnels'!$C$7:$C$66,$E2366,'Vols additionnels'!$D$7:$D$66,$F2366,'Vols additionnels'!$B$7:$B$66,$D2366)</f>
        <v>0</v>
      </c>
      <c r="H2366" s="135" t="n">
        <f aca="false">$G2366*'Analyse capacite'!$F$7</f>
        <v>0</v>
      </c>
      <c r="I2366" s="135" t="n">
        <f aca="false">$G2366*'Analyse capacite'!$C$7</f>
        <v>0</v>
      </c>
      <c r="J2366" s="135" t="n">
        <f aca="false">$G2366*'Analyse capacite'!$D$7</f>
        <v>0</v>
      </c>
      <c r="K2366" s="135" t="n">
        <f aca="false">$G2366*'Analyse capacite'!$E$7</f>
        <v>0</v>
      </c>
    </row>
    <row r="2367" customFormat="false" ht="15" hidden="false" customHeight="false" outlineLevel="0" collapsed="false">
      <c r="B2367" s="130" t="n">
        <v>2027</v>
      </c>
      <c r="C2367" s="131" t="s">
        <v>248</v>
      </c>
      <c r="D2367" s="132" t="n">
        <v>46543</v>
      </c>
      <c r="E2367" s="131" t="s">
        <v>49</v>
      </c>
      <c r="F2367" s="133" t="s">
        <v>19</v>
      </c>
      <c r="G2367" s="134" t="n">
        <f aca="false">LEN('Saisie programme'!$I$113)+SUMIFS('Vols additionnels'!$E$7:$E$66,'Vols additionnels'!$C$7:$C$66,$E2367,'Vols additionnels'!$D$7:$D$66,$F2367,'Vols additionnels'!$B$7:$B$66,$D2367)</f>
        <v>0</v>
      </c>
      <c r="H2367" s="135" t="n">
        <f aca="false">$G2367*'Analyse capacite'!$F$8</f>
        <v>0</v>
      </c>
      <c r="I2367" s="135" t="n">
        <f aca="false">$G2367*'Analyse capacite'!$C$8</f>
        <v>0</v>
      </c>
      <c r="J2367" s="135" t="n">
        <f aca="false">$G2367*'Analyse capacite'!$D$8</f>
        <v>0</v>
      </c>
      <c r="K2367" s="135" t="n">
        <f aca="false">$G2367*'Analyse capacite'!$E$8</f>
        <v>0</v>
      </c>
    </row>
    <row r="2368" customFormat="false" ht="15" hidden="false" customHeight="false" outlineLevel="0" collapsed="false">
      <c r="B2368" s="130" t="n">
        <v>2027</v>
      </c>
      <c r="C2368" s="131" t="s">
        <v>248</v>
      </c>
      <c r="D2368" s="132" t="n">
        <v>46543</v>
      </c>
      <c r="E2368" s="131" t="s">
        <v>49</v>
      </c>
      <c r="F2368" s="133" t="s">
        <v>24</v>
      </c>
      <c r="G2368" s="134" t="n">
        <f aca="false">LEN('Saisie programme'!$I$114)+SUMIFS('Vols additionnels'!$E$7:$E$66,'Vols additionnels'!$C$7:$C$66,$E2368,'Vols additionnels'!$D$7:$D$66,$F2368,'Vols additionnels'!$B$7:$B$66,$D2368)</f>
        <v>0</v>
      </c>
      <c r="H2368" s="135" t="n">
        <f aca="false">$G2368*'Analyse capacite'!$F$9</f>
        <v>0</v>
      </c>
      <c r="I2368" s="135" t="n">
        <f aca="false">$G2368*'Analyse capacite'!$C$9</f>
        <v>0</v>
      </c>
      <c r="J2368" s="135" t="n">
        <f aca="false">$G2368*'Analyse capacite'!$D$9</f>
        <v>0</v>
      </c>
      <c r="K2368" s="135" t="n">
        <f aca="false">$G2368*'Analyse capacite'!$E$9</f>
        <v>0</v>
      </c>
    </row>
    <row r="2369" customFormat="false" ht="15" hidden="false" customHeight="false" outlineLevel="0" collapsed="false">
      <c r="B2369" s="130" t="n">
        <v>2027</v>
      </c>
      <c r="C2369" s="131" t="s">
        <v>248</v>
      </c>
      <c r="D2369" s="132" t="n">
        <v>46543</v>
      </c>
      <c r="E2369" s="131" t="s">
        <v>53</v>
      </c>
      <c r="F2369" s="133" t="s">
        <v>11</v>
      </c>
      <c r="G2369" s="134" t="n">
        <f aca="false">LEN('Saisie programme'!$I$115)+SUMIFS('Vols additionnels'!$E$7:$E$66,'Vols additionnels'!$C$7:$C$66,$E2369,'Vols additionnels'!$D$7:$D$66,$F2369,'Vols additionnels'!$B$7:$B$66,$D2369)</f>
        <v>0</v>
      </c>
      <c r="H2369" s="135" t="n">
        <f aca="false">$G2369*'Analyse capacite'!$F$7</f>
        <v>0</v>
      </c>
      <c r="I2369" s="135" t="n">
        <f aca="false">$G2369*'Analyse capacite'!$C$7</f>
        <v>0</v>
      </c>
      <c r="J2369" s="135" t="n">
        <f aca="false">$G2369*'Analyse capacite'!$D$7</f>
        <v>0</v>
      </c>
      <c r="K2369" s="135" t="n">
        <f aca="false">$G2369*'Analyse capacite'!$E$7</f>
        <v>0</v>
      </c>
    </row>
    <row r="2370" customFormat="false" ht="15" hidden="false" customHeight="false" outlineLevel="0" collapsed="false">
      <c r="B2370" s="130" t="n">
        <v>2027</v>
      </c>
      <c r="C2370" s="131" t="s">
        <v>248</v>
      </c>
      <c r="D2370" s="132" t="n">
        <v>46543</v>
      </c>
      <c r="E2370" s="131" t="s">
        <v>53</v>
      </c>
      <c r="F2370" s="133" t="s">
        <v>19</v>
      </c>
      <c r="G2370" s="134" t="n">
        <f aca="false">LEN('Saisie programme'!$I$116)+SUMIFS('Vols additionnels'!$E$7:$E$66,'Vols additionnels'!$C$7:$C$66,$E2370,'Vols additionnels'!$D$7:$D$66,$F2370,'Vols additionnels'!$B$7:$B$66,$D2370)</f>
        <v>0</v>
      </c>
      <c r="H2370" s="135" t="n">
        <f aca="false">$G2370*'Analyse capacite'!$F$8</f>
        <v>0</v>
      </c>
      <c r="I2370" s="135" t="n">
        <f aca="false">$G2370*'Analyse capacite'!$C$8</f>
        <v>0</v>
      </c>
      <c r="J2370" s="135" t="n">
        <f aca="false">$G2370*'Analyse capacite'!$D$8</f>
        <v>0</v>
      </c>
      <c r="K2370" s="135" t="n">
        <f aca="false">$G2370*'Analyse capacite'!$E$8</f>
        <v>0</v>
      </c>
    </row>
    <row r="2371" customFormat="false" ht="15" hidden="false" customHeight="false" outlineLevel="0" collapsed="false">
      <c r="B2371" s="130" t="n">
        <v>2027</v>
      </c>
      <c r="C2371" s="131" t="s">
        <v>248</v>
      </c>
      <c r="D2371" s="132" t="n">
        <v>46543</v>
      </c>
      <c r="E2371" s="131" t="s">
        <v>53</v>
      </c>
      <c r="F2371" s="133" t="s">
        <v>24</v>
      </c>
      <c r="G2371" s="134" t="n">
        <f aca="false">LEN('Saisie programme'!$I$117)+SUMIFS('Vols additionnels'!$E$7:$E$66,'Vols additionnels'!$C$7:$C$66,$E2371,'Vols additionnels'!$D$7:$D$66,$F2371,'Vols additionnels'!$B$7:$B$66,$D2371)</f>
        <v>0</v>
      </c>
      <c r="H2371" s="135" t="n">
        <f aca="false">$G2371*'Analyse capacite'!$F$9</f>
        <v>0</v>
      </c>
      <c r="I2371" s="135" t="n">
        <f aca="false">$G2371*'Analyse capacite'!$C$9</f>
        <v>0</v>
      </c>
      <c r="J2371" s="135" t="n">
        <f aca="false">$G2371*'Analyse capacite'!$D$9</f>
        <v>0</v>
      </c>
      <c r="K2371" s="135" t="n">
        <f aca="false">$G2371*'Analyse capacite'!$E$9</f>
        <v>0</v>
      </c>
    </row>
    <row r="2372" customFormat="false" ht="15" hidden="false" customHeight="false" outlineLevel="0" collapsed="false">
      <c r="B2372" s="130" t="n">
        <v>2027</v>
      </c>
      <c r="C2372" s="131" t="s">
        <v>248</v>
      </c>
      <c r="D2372" s="132" t="n">
        <v>46543</v>
      </c>
      <c r="E2372" s="131" t="s">
        <v>56</v>
      </c>
      <c r="F2372" s="133" t="s">
        <v>11</v>
      </c>
      <c r="G2372" s="134" t="n">
        <f aca="false">LEN('Saisie programme'!$I$118)+SUMIFS('Vols additionnels'!$E$7:$E$66,'Vols additionnels'!$C$7:$C$66,$E2372,'Vols additionnels'!$D$7:$D$66,$F2372,'Vols additionnels'!$B$7:$B$66,$D2372)</f>
        <v>0</v>
      </c>
      <c r="H2372" s="135" t="n">
        <f aca="false">$G2372*'Analyse capacite'!$F$7</f>
        <v>0</v>
      </c>
      <c r="I2372" s="135" t="n">
        <f aca="false">$G2372*'Analyse capacite'!$C$7</f>
        <v>0</v>
      </c>
      <c r="J2372" s="135" t="n">
        <f aca="false">$G2372*'Analyse capacite'!$D$7</f>
        <v>0</v>
      </c>
      <c r="K2372" s="135" t="n">
        <f aca="false">$G2372*'Analyse capacite'!$E$7</f>
        <v>0</v>
      </c>
    </row>
    <row r="2373" customFormat="false" ht="15" hidden="false" customHeight="false" outlineLevel="0" collapsed="false">
      <c r="B2373" s="130" t="n">
        <v>2027</v>
      </c>
      <c r="C2373" s="131" t="s">
        <v>248</v>
      </c>
      <c r="D2373" s="132" t="n">
        <v>46543</v>
      </c>
      <c r="E2373" s="131" t="s">
        <v>56</v>
      </c>
      <c r="F2373" s="133" t="s">
        <v>19</v>
      </c>
      <c r="G2373" s="134" t="n">
        <f aca="false">LEN('Saisie programme'!$I$119)+SUMIFS('Vols additionnels'!$E$7:$E$66,'Vols additionnels'!$C$7:$C$66,$E2373,'Vols additionnels'!$D$7:$D$66,$F2373,'Vols additionnels'!$B$7:$B$66,$D2373)</f>
        <v>0</v>
      </c>
      <c r="H2373" s="135" t="n">
        <f aca="false">$G2373*'Analyse capacite'!$F$8</f>
        <v>0</v>
      </c>
      <c r="I2373" s="135" t="n">
        <f aca="false">$G2373*'Analyse capacite'!$C$8</f>
        <v>0</v>
      </c>
      <c r="J2373" s="135" t="n">
        <f aca="false">$G2373*'Analyse capacite'!$D$8</f>
        <v>0</v>
      </c>
      <c r="K2373" s="135" t="n">
        <f aca="false">$G2373*'Analyse capacite'!$E$8</f>
        <v>0</v>
      </c>
    </row>
    <row r="2374" customFormat="false" ht="15" hidden="false" customHeight="false" outlineLevel="0" collapsed="false">
      <c r="B2374" s="130" t="n">
        <v>2027</v>
      </c>
      <c r="C2374" s="131" t="s">
        <v>248</v>
      </c>
      <c r="D2374" s="132" t="n">
        <v>46543</v>
      </c>
      <c r="E2374" s="131" t="s">
        <v>56</v>
      </c>
      <c r="F2374" s="133" t="s">
        <v>24</v>
      </c>
      <c r="G2374" s="134" t="n">
        <f aca="false">LEN('Saisie programme'!$I$120)+SUMIFS('Vols additionnels'!$E$7:$E$66,'Vols additionnels'!$C$7:$C$66,$E2374,'Vols additionnels'!$D$7:$D$66,$F2374,'Vols additionnels'!$B$7:$B$66,$D2374)</f>
        <v>1</v>
      </c>
      <c r="H2374" s="135" t="n">
        <f aca="false">$G2374*'Analyse capacite'!$F$9</f>
        <v>174</v>
      </c>
      <c r="I2374" s="135" t="n">
        <f aca="false">$G2374*'Analyse capacite'!$C$9</f>
        <v>0</v>
      </c>
      <c r="J2374" s="135" t="n">
        <f aca="false">$G2374*'Analyse capacite'!$D$9</f>
        <v>12</v>
      </c>
      <c r="K2374" s="135" t="n">
        <f aca="false">$G2374*'Analyse capacite'!$E$9</f>
        <v>162</v>
      </c>
    </row>
    <row r="2375" customFormat="false" ht="15" hidden="false" customHeight="false" outlineLevel="0" collapsed="false">
      <c r="B2375" s="130" t="n">
        <v>2027</v>
      </c>
      <c r="C2375" s="131" t="s">
        <v>248</v>
      </c>
      <c r="D2375" s="132" t="n">
        <v>46543</v>
      </c>
      <c r="E2375" s="131" t="s">
        <v>59</v>
      </c>
      <c r="F2375" s="133" t="s">
        <v>11</v>
      </c>
      <c r="G2375" s="134" t="n">
        <f aca="false">LEN('Saisie programme'!$I$121)+SUMIFS('Vols additionnels'!$E$7:$E$66,'Vols additionnels'!$C$7:$C$66,$E2375,'Vols additionnels'!$D$7:$D$66,$F2375,'Vols additionnels'!$B$7:$B$66,$D2375)</f>
        <v>0</v>
      </c>
      <c r="H2375" s="135" t="n">
        <f aca="false">$G2375*'Analyse capacite'!$F$7</f>
        <v>0</v>
      </c>
      <c r="I2375" s="135" t="n">
        <f aca="false">$G2375*'Analyse capacite'!$C$7</f>
        <v>0</v>
      </c>
      <c r="J2375" s="135" t="n">
        <f aca="false">$G2375*'Analyse capacite'!$D$7</f>
        <v>0</v>
      </c>
      <c r="K2375" s="135" t="n">
        <f aca="false">$G2375*'Analyse capacite'!$E$7</f>
        <v>0</v>
      </c>
    </row>
    <row r="2376" customFormat="false" ht="15" hidden="false" customHeight="false" outlineLevel="0" collapsed="false">
      <c r="B2376" s="130" t="n">
        <v>2027</v>
      </c>
      <c r="C2376" s="131" t="s">
        <v>248</v>
      </c>
      <c r="D2376" s="132" t="n">
        <v>46543</v>
      </c>
      <c r="E2376" s="131" t="s">
        <v>59</v>
      </c>
      <c r="F2376" s="133" t="s">
        <v>19</v>
      </c>
      <c r="G2376" s="134" t="n">
        <f aca="false">LEN('Saisie programme'!$I$122)+SUMIFS('Vols additionnels'!$E$7:$E$66,'Vols additionnels'!$C$7:$C$66,$E2376,'Vols additionnels'!$D$7:$D$66,$F2376,'Vols additionnels'!$B$7:$B$66,$D2376)</f>
        <v>0</v>
      </c>
      <c r="H2376" s="135" t="n">
        <f aca="false">$G2376*'Analyse capacite'!$F$8</f>
        <v>0</v>
      </c>
      <c r="I2376" s="135" t="n">
        <f aca="false">$G2376*'Analyse capacite'!$C$8</f>
        <v>0</v>
      </c>
      <c r="J2376" s="135" t="n">
        <f aca="false">$G2376*'Analyse capacite'!$D$8</f>
        <v>0</v>
      </c>
      <c r="K2376" s="135" t="n">
        <f aca="false">$G2376*'Analyse capacite'!$E$8</f>
        <v>0</v>
      </c>
    </row>
    <row r="2377" customFormat="false" ht="15" hidden="false" customHeight="false" outlineLevel="0" collapsed="false">
      <c r="B2377" s="130" t="n">
        <v>2027</v>
      </c>
      <c r="C2377" s="131" t="s">
        <v>248</v>
      </c>
      <c r="D2377" s="132" t="n">
        <v>46543</v>
      </c>
      <c r="E2377" s="131" t="s">
        <v>59</v>
      </c>
      <c r="F2377" s="133" t="s">
        <v>24</v>
      </c>
      <c r="G2377" s="134" t="n">
        <f aca="false">LEN('Saisie programme'!$I$123)+SUMIFS('Vols additionnels'!$E$7:$E$66,'Vols additionnels'!$C$7:$C$66,$E2377,'Vols additionnels'!$D$7:$D$66,$F2377,'Vols additionnels'!$B$7:$B$66,$D2377)</f>
        <v>1</v>
      </c>
      <c r="H2377" s="135" t="n">
        <f aca="false">$G2377*'Analyse capacite'!$F$9</f>
        <v>174</v>
      </c>
      <c r="I2377" s="135" t="n">
        <f aca="false">$G2377*'Analyse capacite'!$C$9</f>
        <v>0</v>
      </c>
      <c r="J2377" s="135" t="n">
        <f aca="false">$G2377*'Analyse capacite'!$D$9</f>
        <v>12</v>
      </c>
      <c r="K2377" s="135" t="n">
        <f aca="false">$G2377*'Analyse capacite'!$E$9</f>
        <v>162</v>
      </c>
    </row>
    <row r="2378" customFormat="false" ht="15" hidden="false" customHeight="false" outlineLevel="0" collapsed="false">
      <c r="B2378" s="130" t="n">
        <v>2027</v>
      </c>
      <c r="C2378" s="131" t="s">
        <v>248</v>
      </c>
      <c r="D2378" s="132" t="n">
        <v>46543</v>
      </c>
      <c r="E2378" s="131" t="s">
        <v>62</v>
      </c>
      <c r="F2378" s="133" t="s">
        <v>11</v>
      </c>
      <c r="G2378" s="134" t="n">
        <f aca="false">LEN('Saisie programme'!$I$124)+SUMIFS('Vols additionnels'!$E$7:$E$66,'Vols additionnels'!$C$7:$C$66,$E2378,'Vols additionnels'!$D$7:$D$66,$F2378,'Vols additionnels'!$B$7:$B$66,$D2378)</f>
        <v>0</v>
      </c>
      <c r="H2378" s="135" t="n">
        <f aca="false">$G2378*'Analyse capacite'!$F$7</f>
        <v>0</v>
      </c>
      <c r="I2378" s="135" t="n">
        <f aca="false">$G2378*'Analyse capacite'!$C$7</f>
        <v>0</v>
      </c>
      <c r="J2378" s="135" t="n">
        <f aca="false">$G2378*'Analyse capacite'!$D$7</f>
        <v>0</v>
      </c>
      <c r="K2378" s="135" t="n">
        <f aca="false">$G2378*'Analyse capacite'!$E$7</f>
        <v>0</v>
      </c>
    </row>
    <row r="2379" customFormat="false" ht="15" hidden="false" customHeight="false" outlineLevel="0" collapsed="false">
      <c r="B2379" s="130" t="n">
        <v>2027</v>
      </c>
      <c r="C2379" s="131" t="s">
        <v>248</v>
      </c>
      <c r="D2379" s="132" t="n">
        <v>46543</v>
      </c>
      <c r="E2379" s="131" t="s">
        <v>62</v>
      </c>
      <c r="F2379" s="133" t="s">
        <v>19</v>
      </c>
      <c r="G2379" s="134" t="n">
        <f aca="false">LEN('Saisie programme'!$I$125)+SUMIFS('Vols additionnels'!$E$7:$E$66,'Vols additionnels'!$C$7:$C$66,$E2379,'Vols additionnels'!$D$7:$D$66,$F2379,'Vols additionnels'!$B$7:$B$66,$D2379)</f>
        <v>0</v>
      </c>
      <c r="H2379" s="135" t="n">
        <f aca="false">$G2379*'Analyse capacite'!$F$8</f>
        <v>0</v>
      </c>
      <c r="I2379" s="135" t="n">
        <f aca="false">$G2379*'Analyse capacite'!$C$8</f>
        <v>0</v>
      </c>
      <c r="J2379" s="135" t="n">
        <f aca="false">$G2379*'Analyse capacite'!$D$8</f>
        <v>0</v>
      </c>
      <c r="K2379" s="135" t="n">
        <f aca="false">$G2379*'Analyse capacite'!$E$8</f>
        <v>0</v>
      </c>
    </row>
    <row r="2380" customFormat="false" ht="15" hidden="false" customHeight="false" outlineLevel="0" collapsed="false">
      <c r="B2380" s="130" t="n">
        <v>2027</v>
      </c>
      <c r="C2380" s="131" t="s">
        <v>248</v>
      </c>
      <c r="D2380" s="132" t="n">
        <v>46543</v>
      </c>
      <c r="E2380" s="131" t="s">
        <v>62</v>
      </c>
      <c r="F2380" s="133" t="s">
        <v>24</v>
      </c>
      <c r="G2380" s="134" t="n">
        <f aca="false">LEN('Saisie programme'!$I$126)+SUMIFS('Vols additionnels'!$E$7:$E$66,'Vols additionnels'!$C$7:$C$66,$E2380,'Vols additionnels'!$D$7:$D$66,$F2380,'Vols additionnels'!$B$7:$B$66,$D2380)</f>
        <v>0</v>
      </c>
      <c r="H2380" s="135" t="n">
        <f aca="false">$G2380*'Analyse capacite'!$F$9</f>
        <v>0</v>
      </c>
      <c r="I2380" s="135" t="n">
        <f aca="false">$G2380*'Analyse capacite'!$C$9</f>
        <v>0</v>
      </c>
      <c r="J2380" s="135" t="n">
        <f aca="false">$G2380*'Analyse capacite'!$D$9</f>
        <v>0</v>
      </c>
      <c r="K2380" s="135" t="n">
        <f aca="false">$G2380*'Analyse capacite'!$E$9</f>
        <v>0</v>
      </c>
    </row>
    <row r="2381" customFormat="false" ht="15" hidden="false" customHeight="false" outlineLevel="0" collapsed="false">
      <c r="B2381" s="130" t="n">
        <v>2027</v>
      </c>
      <c r="C2381" s="131" t="s">
        <v>248</v>
      </c>
      <c r="D2381" s="132" t="n">
        <v>46544</v>
      </c>
      <c r="E2381" s="131" t="s">
        <v>12</v>
      </c>
      <c r="F2381" s="133" t="s">
        <v>11</v>
      </c>
      <c r="G2381" s="134" t="n">
        <f aca="false">LEN('Saisie programme'!$J$91)+SUMIFS('Vols additionnels'!$E$7:$E$66,'Vols additionnels'!$C$7:$C$66,$E2381,'Vols additionnels'!$D$7:$D$66,$F2381,'Vols additionnels'!$B$7:$B$66,$D2381)</f>
        <v>1</v>
      </c>
      <c r="H2381" s="135" t="n">
        <f aca="false">$G2381*'Analyse capacite'!$F$7</f>
        <v>438</v>
      </c>
      <c r="I2381" s="135" t="n">
        <f aca="false">$G2381*'Analyse capacite'!$C$7</f>
        <v>14</v>
      </c>
      <c r="J2381" s="135" t="n">
        <f aca="false">$G2381*'Analyse capacite'!$D$7</f>
        <v>40</v>
      </c>
      <c r="K2381" s="135" t="n">
        <f aca="false">$G2381*'Analyse capacite'!$E$7</f>
        <v>384</v>
      </c>
    </row>
    <row r="2382" customFormat="false" ht="15" hidden="false" customHeight="false" outlineLevel="0" collapsed="false">
      <c r="B2382" s="130" t="n">
        <v>2027</v>
      </c>
      <c r="C2382" s="131" t="s">
        <v>248</v>
      </c>
      <c r="D2382" s="132" t="n">
        <v>46544</v>
      </c>
      <c r="E2382" s="131" t="s">
        <v>12</v>
      </c>
      <c r="F2382" s="133" t="s">
        <v>19</v>
      </c>
      <c r="G2382" s="134" t="n">
        <f aca="false">LEN('Saisie programme'!$J$92)+SUMIFS('Vols additionnels'!$E$7:$E$66,'Vols additionnels'!$C$7:$C$66,$E2382,'Vols additionnels'!$D$7:$D$66,$F2382,'Vols additionnels'!$B$7:$B$66,$D2382)</f>
        <v>0</v>
      </c>
      <c r="H2382" s="135" t="n">
        <f aca="false">$G2382*'Analyse capacite'!$F$8</f>
        <v>0</v>
      </c>
      <c r="I2382" s="135" t="n">
        <f aca="false">$G2382*'Analyse capacite'!$C$8</f>
        <v>0</v>
      </c>
      <c r="J2382" s="135" t="n">
        <f aca="false">$G2382*'Analyse capacite'!$D$8</f>
        <v>0</v>
      </c>
      <c r="K2382" s="135" t="n">
        <f aca="false">$G2382*'Analyse capacite'!$E$8</f>
        <v>0</v>
      </c>
    </row>
    <row r="2383" customFormat="false" ht="15" hidden="false" customHeight="false" outlineLevel="0" collapsed="false">
      <c r="B2383" s="130" t="n">
        <v>2027</v>
      </c>
      <c r="C2383" s="131" t="s">
        <v>248</v>
      </c>
      <c r="D2383" s="132" t="n">
        <v>46544</v>
      </c>
      <c r="E2383" s="131" t="s">
        <v>12</v>
      </c>
      <c r="F2383" s="133" t="s">
        <v>24</v>
      </c>
      <c r="G2383" s="134" t="n">
        <f aca="false">LEN('Saisie programme'!$J$93)+SUMIFS('Vols additionnels'!$E$7:$E$66,'Vols additionnels'!$C$7:$C$66,$E2383,'Vols additionnels'!$D$7:$D$66,$F2383,'Vols additionnels'!$B$7:$B$66,$D2383)</f>
        <v>0</v>
      </c>
      <c r="H2383" s="135" t="n">
        <f aca="false">$G2383*'Analyse capacite'!$F$9</f>
        <v>0</v>
      </c>
      <c r="I2383" s="135" t="n">
        <f aca="false">$G2383*'Analyse capacite'!$C$9</f>
        <v>0</v>
      </c>
      <c r="J2383" s="135" t="n">
        <f aca="false">$G2383*'Analyse capacite'!$D$9</f>
        <v>0</v>
      </c>
      <c r="K2383" s="135" t="n">
        <f aca="false">$G2383*'Analyse capacite'!$E$9</f>
        <v>0</v>
      </c>
    </row>
    <row r="2384" customFormat="false" ht="15" hidden="false" customHeight="false" outlineLevel="0" collapsed="false">
      <c r="B2384" s="130" t="n">
        <v>2027</v>
      </c>
      <c r="C2384" s="131" t="s">
        <v>248</v>
      </c>
      <c r="D2384" s="132" t="n">
        <v>46544</v>
      </c>
      <c r="E2384" s="131" t="s">
        <v>20</v>
      </c>
      <c r="F2384" s="133" t="s">
        <v>11</v>
      </c>
      <c r="G2384" s="134" t="n">
        <f aca="false">LEN('Saisie programme'!$J$94)+SUMIFS('Vols additionnels'!$E$7:$E$66,'Vols additionnels'!$C$7:$C$66,$E2384,'Vols additionnels'!$D$7:$D$66,$F2384,'Vols additionnels'!$B$7:$B$66,$D2384)</f>
        <v>1</v>
      </c>
      <c r="H2384" s="135" t="n">
        <f aca="false">$G2384*'Analyse capacite'!$F$7</f>
        <v>438</v>
      </c>
      <c r="I2384" s="135" t="n">
        <f aca="false">$G2384*'Analyse capacite'!$C$7</f>
        <v>14</v>
      </c>
      <c r="J2384" s="135" t="n">
        <f aca="false">$G2384*'Analyse capacite'!$D$7</f>
        <v>40</v>
      </c>
      <c r="K2384" s="135" t="n">
        <f aca="false">$G2384*'Analyse capacite'!$E$7</f>
        <v>384</v>
      </c>
    </row>
    <row r="2385" customFormat="false" ht="15" hidden="false" customHeight="false" outlineLevel="0" collapsed="false">
      <c r="B2385" s="130" t="n">
        <v>2027</v>
      </c>
      <c r="C2385" s="131" t="s">
        <v>248</v>
      </c>
      <c r="D2385" s="132" t="n">
        <v>46544</v>
      </c>
      <c r="E2385" s="131" t="s">
        <v>20</v>
      </c>
      <c r="F2385" s="133" t="s">
        <v>19</v>
      </c>
      <c r="G2385" s="134" t="n">
        <f aca="false">LEN('Saisie programme'!$J$95)+SUMIFS('Vols additionnels'!$E$7:$E$66,'Vols additionnels'!$C$7:$C$66,$E2385,'Vols additionnels'!$D$7:$D$66,$F2385,'Vols additionnels'!$B$7:$B$66,$D2385)</f>
        <v>0</v>
      </c>
      <c r="H2385" s="135" t="n">
        <f aca="false">$G2385*'Analyse capacite'!$F$8</f>
        <v>0</v>
      </c>
      <c r="I2385" s="135" t="n">
        <f aca="false">$G2385*'Analyse capacite'!$C$8</f>
        <v>0</v>
      </c>
      <c r="J2385" s="135" t="n">
        <f aca="false">$G2385*'Analyse capacite'!$D$8</f>
        <v>0</v>
      </c>
      <c r="K2385" s="135" t="n">
        <f aca="false">$G2385*'Analyse capacite'!$E$8</f>
        <v>0</v>
      </c>
    </row>
    <row r="2386" customFormat="false" ht="15" hidden="false" customHeight="false" outlineLevel="0" collapsed="false">
      <c r="B2386" s="130" t="n">
        <v>2027</v>
      </c>
      <c r="C2386" s="131" t="s">
        <v>248</v>
      </c>
      <c r="D2386" s="132" t="n">
        <v>46544</v>
      </c>
      <c r="E2386" s="131" t="s">
        <v>20</v>
      </c>
      <c r="F2386" s="133" t="s">
        <v>24</v>
      </c>
      <c r="G2386" s="134" t="n">
        <f aca="false">LEN('Saisie programme'!$J$96)+SUMIFS('Vols additionnels'!$E$7:$E$66,'Vols additionnels'!$C$7:$C$66,$E2386,'Vols additionnels'!$D$7:$D$66,$F2386,'Vols additionnels'!$B$7:$B$66,$D2386)</f>
        <v>0</v>
      </c>
      <c r="H2386" s="135" t="n">
        <f aca="false">$G2386*'Analyse capacite'!$F$9</f>
        <v>0</v>
      </c>
      <c r="I2386" s="135" t="n">
        <f aca="false">$G2386*'Analyse capacite'!$C$9</f>
        <v>0</v>
      </c>
      <c r="J2386" s="135" t="n">
        <f aca="false">$G2386*'Analyse capacite'!$D$9</f>
        <v>0</v>
      </c>
      <c r="K2386" s="135" t="n">
        <f aca="false">$G2386*'Analyse capacite'!$E$9</f>
        <v>0</v>
      </c>
    </row>
    <row r="2387" customFormat="false" ht="15" hidden="false" customHeight="false" outlineLevel="0" collapsed="false">
      <c r="B2387" s="130" t="n">
        <v>2027</v>
      </c>
      <c r="C2387" s="131" t="s">
        <v>248</v>
      </c>
      <c r="D2387" s="132" t="n">
        <v>46544</v>
      </c>
      <c r="E2387" s="131" t="s">
        <v>25</v>
      </c>
      <c r="F2387" s="133" t="s">
        <v>11</v>
      </c>
      <c r="G2387" s="134" t="n">
        <f aca="false">LEN('Saisie programme'!$J$97)+SUMIFS('Vols additionnels'!$E$7:$E$66,'Vols additionnels'!$C$7:$C$66,$E2387,'Vols additionnels'!$D$7:$D$66,$F2387,'Vols additionnels'!$B$7:$B$66,$D2387)</f>
        <v>0</v>
      </c>
      <c r="H2387" s="135" t="n">
        <f aca="false">$G2387*'Analyse capacite'!$F$7</f>
        <v>0</v>
      </c>
      <c r="I2387" s="135" t="n">
        <f aca="false">$G2387*'Analyse capacite'!$C$7</f>
        <v>0</v>
      </c>
      <c r="J2387" s="135" t="n">
        <f aca="false">$G2387*'Analyse capacite'!$D$7</f>
        <v>0</v>
      </c>
      <c r="K2387" s="135" t="n">
        <f aca="false">$G2387*'Analyse capacite'!$E$7</f>
        <v>0</v>
      </c>
    </row>
    <row r="2388" customFormat="false" ht="15" hidden="false" customHeight="false" outlineLevel="0" collapsed="false">
      <c r="B2388" s="130" t="n">
        <v>2027</v>
      </c>
      <c r="C2388" s="131" t="s">
        <v>248</v>
      </c>
      <c r="D2388" s="132" t="n">
        <v>46544</v>
      </c>
      <c r="E2388" s="131" t="s">
        <v>25</v>
      </c>
      <c r="F2388" s="133" t="s">
        <v>19</v>
      </c>
      <c r="G2388" s="134" t="n">
        <f aca="false">LEN('Saisie programme'!$J$98)+SUMIFS('Vols additionnels'!$E$7:$E$66,'Vols additionnels'!$C$7:$C$66,$E2388,'Vols additionnels'!$D$7:$D$66,$F2388,'Vols additionnels'!$B$7:$B$66,$D2388)</f>
        <v>0</v>
      </c>
      <c r="H2388" s="135" t="n">
        <f aca="false">$G2388*'Analyse capacite'!$F$8</f>
        <v>0</v>
      </c>
      <c r="I2388" s="135" t="n">
        <f aca="false">$G2388*'Analyse capacite'!$C$8</f>
        <v>0</v>
      </c>
      <c r="J2388" s="135" t="n">
        <f aca="false">$G2388*'Analyse capacite'!$D$8</f>
        <v>0</v>
      </c>
      <c r="K2388" s="135" t="n">
        <f aca="false">$G2388*'Analyse capacite'!$E$8</f>
        <v>0</v>
      </c>
    </row>
    <row r="2389" customFormat="false" ht="15" hidden="false" customHeight="false" outlineLevel="0" collapsed="false">
      <c r="B2389" s="130" t="n">
        <v>2027</v>
      </c>
      <c r="C2389" s="131" t="s">
        <v>248</v>
      </c>
      <c r="D2389" s="132" t="n">
        <v>46544</v>
      </c>
      <c r="E2389" s="131" t="s">
        <v>25</v>
      </c>
      <c r="F2389" s="133" t="s">
        <v>24</v>
      </c>
      <c r="G2389" s="134" t="n">
        <f aca="false">LEN('Saisie programme'!$J$99)+SUMIFS('Vols additionnels'!$E$7:$E$66,'Vols additionnels'!$C$7:$C$66,$E2389,'Vols additionnels'!$D$7:$D$66,$F2389,'Vols additionnels'!$B$7:$B$66,$D2389)</f>
        <v>0</v>
      </c>
      <c r="H2389" s="135" t="n">
        <f aca="false">$G2389*'Analyse capacite'!$F$9</f>
        <v>0</v>
      </c>
      <c r="I2389" s="135" t="n">
        <f aca="false">$G2389*'Analyse capacite'!$C$9</f>
        <v>0</v>
      </c>
      <c r="J2389" s="135" t="n">
        <f aca="false">$G2389*'Analyse capacite'!$D$9</f>
        <v>0</v>
      </c>
      <c r="K2389" s="135" t="n">
        <f aca="false">$G2389*'Analyse capacite'!$E$9</f>
        <v>0</v>
      </c>
    </row>
    <row r="2390" customFormat="false" ht="15" hidden="false" customHeight="false" outlineLevel="0" collapsed="false">
      <c r="B2390" s="130" t="n">
        <v>2027</v>
      </c>
      <c r="C2390" s="131" t="s">
        <v>248</v>
      </c>
      <c r="D2390" s="132" t="n">
        <v>46544</v>
      </c>
      <c r="E2390" s="131" t="s">
        <v>36</v>
      </c>
      <c r="F2390" s="133" t="s">
        <v>11</v>
      </c>
      <c r="G2390" s="134" t="n">
        <f aca="false">LEN('Saisie programme'!$J$100)+SUMIFS('Vols additionnels'!$E$7:$E$66,'Vols additionnels'!$C$7:$C$66,$E2390,'Vols additionnels'!$D$7:$D$66,$F2390,'Vols additionnels'!$B$7:$B$66,$D2390)</f>
        <v>0</v>
      </c>
      <c r="H2390" s="135" t="n">
        <f aca="false">$G2390*'Analyse capacite'!$F$7</f>
        <v>0</v>
      </c>
      <c r="I2390" s="135" t="n">
        <f aca="false">$G2390*'Analyse capacite'!$C$7</f>
        <v>0</v>
      </c>
      <c r="J2390" s="135" t="n">
        <f aca="false">$G2390*'Analyse capacite'!$D$7</f>
        <v>0</v>
      </c>
      <c r="K2390" s="135" t="n">
        <f aca="false">$G2390*'Analyse capacite'!$E$7</f>
        <v>0</v>
      </c>
    </row>
    <row r="2391" customFormat="false" ht="15" hidden="false" customHeight="false" outlineLevel="0" collapsed="false">
      <c r="B2391" s="130" t="n">
        <v>2027</v>
      </c>
      <c r="C2391" s="131" t="s">
        <v>248</v>
      </c>
      <c r="D2391" s="132" t="n">
        <v>46544</v>
      </c>
      <c r="E2391" s="131" t="s">
        <v>36</v>
      </c>
      <c r="F2391" s="133" t="s">
        <v>19</v>
      </c>
      <c r="G2391" s="134" t="n">
        <f aca="false">LEN('Saisie programme'!$J$101)+SUMIFS('Vols additionnels'!$E$7:$E$66,'Vols additionnels'!$C$7:$C$66,$E2391,'Vols additionnels'!$D$7:$D$66,$F2391,'Vols additionnels'!$B$7:$B$66,$D2391)</f>
        <v>0</v>
      </c>
      <c r="H2391" s="135" t="n">
        <f aca="false">$G2391*'Analyse capacite'!$F$8</f>
        <v>0</v>
      </c>
      <c r="I2391" s="135" t="n">
        <f aca="false">$G2391*'Analyse capacite'!$C$8</f>
        <v>0</v>
      </c>
      <c r="J2391" s="135" t="n">
        <f aca="false">$G2391*'Analyse capacite'!$D$8</f>
        <v>0</v>
      </c>
      <c r="K2391" s="135" t="n">
        <f aca="false">$G2391*'Analyse capacite'!$E$8</f>
        <v>0</v>
      </c>
    </row>
    <row r="2392" customFormat="false" ht="15" hidden="false" customHeight="false" outlineLevel="0" collapsed="false">
      <c r="B2392" s="130" t="n">
        <v>2027</v>
      </c>
      <c r="C2392" s="131" t="s">
        <v>248</v>
      </c>
      <c r="D2392" s="132" t="n">
        <v>46544</v>
      </c>
      <c r="E2392" s="131" t="s">
        <v>36</v>
      </c>
      <c r="F2392" s="133" t="s">
        <v>24</v>
      </c>
      <c r="G2392" s="134" t="n">
        <f aca="false">LEN('Saisie programme'!$J$102)+SUMIFS('Vols additionnels'!$E$7:$E$66,'Vols additionnels'!$C$7:$C$66,$E2392,'Vols additionnels'!$D$7:$D$66,$F2392,'Vols additionnels'!$B$7:$B$66,$D2392)</f>
        <v>0</v>
      </c>
      <c r="H2392" s="135" t="n">
        <f aca="false">$G2392*'Analyse capacite'!$F$9</f>
        <v>0</v>
      </c>
      <c r="I2392" s="135" t="n">
        <f aca="false">$G2392*'Analyse capacite'!$C$9</f>
        <v>0</v>
      </c>
      <c r="J2392" s="135" t="n">
        <f aca="false">$G2392*'Analyse capacite'!$D$9</f>
        <v>0</v>
      </c>
      <c r="K2392" s="135" t="n">
        <f aca="false">$G2392*'Analyse capacite'!$E$9</f>
        <v>0</v>
      </c>
    </row>
    <row r="2393" customFormat="false" ht="15" hidden="false" customHeight="false" outlineLevel="0" collapsed="false">
      <c r="B2393" s="130" t="n">
        <v>2027</v>
      </c>
      <c r="C2393" s="131" t="s">
        <v>248</v>
      </c>
      <c r="D2393" s="132" t="n">
        <v>46544</v>
      </c>
      <c r="E2393" s="131" t="s">
        <v>40</v>
      </c>
      <c r="F2393" s="133" t="s">
        <v>11</v>
      </c>
      <c r="G2393" s="134" t="n">
        <f aca="false">LEN('Saisie programme'!$J$103)+SUMIFS('Vols additionnels'!$E$7:$E$66,'Vols additionnels'!$C$7:$C$66,$E2393,'Vols additionnels'!$D$7:$D$66,$F2393,'Vols additionnels'!$B$7:$B$66,$D2393)</f>
        <v>0</v>
      </c>
      <c r="H2393" s="135" t="n">
        <f aca="false">$G2393*'Analyse capacite'!$F$7</f>
        <v>0</v>
      </c>
      <c r="I2393" s="135" t="n">
        <f aca="false">$G2393*'Analyse capacite'!$C$7</f>
        <v>0</v>
      </c>
      <c r="J2393" s="135" t="n">
        <f aca="false">$G2393*'Analyse capacite'!$D$7</f>
        <v>0</v>
      </c>
      <c r="K2393" s="135" t="n">
        <f aca="false">$G2393*'Analyse capacite'!$E$7</f>
        <v>0</v>
      </c>
    </row>
    <row r="2394" customFormat="false" ht="15" hidden="false" customHeight="false" outlineLevel="0" collapsed="false">
      <c r="B2394" s="130" t="n">
        <v>2027</v>
      </c>
      <c r="C2394" s="131" t="s">
        <v>248</v>
      </c>
      <c r="D2394" s="132" t="n">
        <v>46544</v>
      </c>
      <c r="E2394" s="131" t="s">
        <v>40</v>
      </c>
      <c r="F2394" s="133" t="s">
        <v>19</v>
      </c>
      <c r="G2394" s="134" t="n">
        <f aca="false">LEN('Saisie programme'!$J$104)+SUMIFS('Vols additionnels'!$E$7:$E$66,'Vols additionnels'!$C$7:$C$66,$E2394,'Vols additionnels'!$D$7:$D$66,$F2394,'Vols additionnels'!$B$7:$B$66,$D2394)</f>
        <v>0</v>
      </c>
      <c r="H2394" s="135" t="n">
        <f aca="false">$G2394*'Analyse capacite'!$F$8</f>
        <v>0</v>
      </c>
      <c r="I2394" s="135" t="n">
        <f aca="false">$G2394*'Analyse capacite'!$C$8</f>
        <v>0</v>
      </c>
      <c r="J2394" s="135" t="n">
        <f aca="false">$G2394*'Analyse capacite'!$D$8</f>
        <v>0</v>
      </c>
      <c r="K2394" s="135" t="n">
        <f aca="false">$G2394*'Analyse capacite'!$E$8</f>
        <v>0</v>
      </c>
    </row>
    <row r="2395" customFormat="false" ht="15" hidden="false" customHeight="false" outlineLevel="0" collapsed="false">
      <c r="B2395" s="130" t="n">
        <v>2027</v>
      </c>
      <c r="C2395" s="131" t="s">
        <v>248</v>
      </c>
      <c r="D2395" s="132" t="n">
        <v>46544</v>
      </c>
      <c r="E2395" s="131" t="s">
        <v>40</v>
      </c>
      <c r="F2395" s="133" t="s">
        <v>24</v>
      </c>
      <c r="G2395" s="134" t="n">
        <f aca="false">LEN('Saisie programme'!$J$105)+SUMIFS('Vols additionnels'!$E$7:$E$66,'Vols additionnels'!$C$7:$C$66,$E2395,'Vols additionnels'!$D$7:$D$66,$F2395,'Vols additionnels'!$B$7:$B$66,$D2395)</f>
        <v>1</v>
      </c>
      <c r="H2395" s="135" t="n">
        <f aca="false">$G2395*'Analyse capacite'!$F$9</f>
        <v>174</v>
      </c>
      <c r="I2395" s="135" t="n">
        <f aca="false">$G2395*'Analyse capacite'!$C$9</f>
        <v>0</v>
      </c>
      <c r="J2395" s="135" t="n">
        <f aca="false">$G2395*'Analyse capacite'!$D$9</f>
        <v>12</v>
      </c>
      <c r="K2395" s="135" t="n">
        <f aca="false">$G2395*'Analyse capacite'!$E$9</f>
        <v>162</v>
      </c>
    </row>
    <row r="2396" customFormat="false" ht="15" hidden="false" customHeight="false" outlineLevel="0" collapsed="false">
      <c r="B2396" s="130" t="n">
        <v>2027</v>
      </c>
      <c r="C2396" s="131" t="s">
        <v>248</v>
      </c>
      <c r="D2396" s="132" t="n">
        <v>46544</v>
      </c>
      <c r="E2396" s="131" t="s">
        <v>14</v>
      </c>
      <c r="F2396" s="133" t="s">
        <v>11</v>
      </c>
      <c r="G2396" s="134" t="n">
        <f aca="false">LEN('Saisie programme'!$J$106)+SUMIFS('Vols additionnels'!$E$7:$E$66,'Vols additionnels'!$C$7:$C$66,$E2396,'Vols additionnels'!$D$7:$D$66,$F2396,'Vols additionnels'!$B$7:$B$66,$D2396)</f>
        <v>0</v>
      </c>
      <c r="H2396" s="135" t="n">
        <f aca="false">$G2396*'Analyse capacite'!$F$7</f>
        <v>0</v>
      </c>
      <c r="I2396" s="135" t="n">
        <f aca="false">$G2396*'Analyse capacite'!$C$7</f>
        <v>0</v>
      </c>
      <c r="J2396" s="135" t="n">
        <f aca="false">$G2396*'Analyse capacite'!$D$7</f>
        <v>0</v>
      </c>
      <c r="K2396" s="135" t="n">
        <f aca="false">$G2396*'Analyse capacite'!$E$7</f>
        <v>0</v>
      </c>
    </row>
    <row r="2397" customFormat="false" ht="15" hidden="false" customHeight="false" outlineLevel="0" collapsed="false">
      <c r="B2397" s="130" t="n">
        <v>2027</v>
      </c>
      <c r="C2397" s="131" t="s">
        <v>248</v>
      </c>
      <c r="D2397" s="132" t="n">
        <v>46544</v>
      </c>
      <c r="E2397" s="131" t="s">
        <v>14</v>
      </c>
      <c r="F2397" s="133" t="s">
        <v>19</v>
      </c>
      <c r="G2397" s="134" t="n">
        <f aca="false">LEN('Saisie programme'!$J$107)+SUMIFS('Vols additionnels'!$E$7:$E$66,'Vols additionnels'!$C$7:$C$66,$E2397,'Vols additionnels'!$D$7:$D$66,$F2397,'Vols additionnels'!$B$7:$B$66,$D2397)</f>
        <v>0</v>
      </c>
      <c r="H2397" s="135" t="n">
        <f aca="false">$G2397*'Analyse capacite'!$F$8</f>
        <v>0</v>
      </c>
      <c r="I2397" s="135" t="n">
        <f aca="false">$G2397*'Analyse capacite'!$C$8</f>
        <v>0</v>
      </c>
      <c r="J2397" s="135" t="n">
        <f aca="false">$G2397*'Analyse capacite'!$D$8</f>
        <v>0</v>
      </c>
      <c r="K2397" s="135" t="n">
        <f aca="false">$G2397*'Analyse capacite'!$E$8</f>
        <v>0</v>
      </c>
    </row>
    <row r="2398" customFormat="false" ht="15" hidden="false" customHeight="false" outlineLevel="0" collapsed="false">
      <c r="B2398" s="130" t="n">
        <v>2027</v>
      </c>
      <c r="C2398" s="131" t="s">
        <v>248</v>
      </c>
      <c r="D2398" s="132" t="n">
        <v>46544</v>
      </c>
      <c r="E2398" s="131" t="s">
        <v>14</v>
      </c>
      <c r="F2398" s="133" t="s">
        <v>24</v>
      </c>
      <c r="G2398" s="134" t="n">
        <f aca="false">LEN('Saisie programme'!$J$108)+SUMIFS('Vols additionnels'!$E$7:$E$66,'Vols additionnels'!$C$7:$C$66,$E2398,'Vols additionnels'!$D$7:$D$66,$F2398,'Vols additionnels'!$B$7:$B$66,$D2398)</f>
        <v>0</v>
      </c>
      <c r="H2398" s="135" t="n">
        <f aca="false">$G2398*'Analyse capacite'!$F$9</f>
        <v>0</v>
      </c>
      <c r="I2398" s="135" t="n">
        <f aca="false">$G2398*'Analyse capacite'!$C$9</f>
        <v>0</v>
      </c>
      <c r="J2398" s="135" t="n">
        <f aca="false">$G2398*'Analyse capacite'!$D$9</f>
        <v>0</v>
      </c>
      <c r="K2398" s="135" t="n">
        <f aca="false">$G2398*'Analyse capacite'!$E$9</f>
        <v>0</v>
      </c>
    </row>
    <row r="2399" customFormat="false" ht="15" hidden="false" customHeight="false" outlineLevel="0" collapsed="false">
      <c r="B2399" s="130" t="n">
        <v>2027</v>
      </c>
      <c r="C2399" s="131" t="s">
        <v>248</v>
      </c>
      <c r="D2399" s="132" t="n">
        <v>46544</v>
      </c>
      <c r="E2399" s="131" t="s">
        <v>46</v>
      </c>
      <c r="F2399" s="133" t="s">
        <v>11</v>
      </c>
      <c r="G2399" s="134" t="n">
        <f aca="false">LEN('Saisie programme'!$J$109)+SUMIFS('Vols additionnels'!$E$7:$E$66,'Vols additionnels'!$C$7:$C$66,$E2399,'Vols additionnels'!$D$7:$D$66,$F2399,'Vols additionnels'!$B$7:$B$66,$D2399)</f>
        <v>0</v>
      </c>
      <c r="H2399" s="135" t="n">
        <f aca="false">$G2399*'Analyse capacite'!$F$7</f>
        <v>0</v>
      </c>
      <c r="I2399" s="135" t="n">
        <f aca="false">$G2399*'Analyse capacite'!$C$7</f>
        <v>0</v>
      </c>
      <c r="J2399" s="135" t="n">
        <f aca="false">$G2399*'Analyse capacite'!$D$7</f>
        <v>0</v>
      </c>
      <c r="K2399" s="135" t="n">
        <f aca="false">$G2399*'Analyse capacite'!$E$7</f>
        <v>0</v>
      </c>
    </row>
    <row r="2400" customFormat="false" ht="15" hidden="false" customHeight="false" outlineLevel="0" collapsed="false">
      <c r="B2400" s="130" t="n">
        <v>2027</v>
      </c>
      <c r="C2400" s="131" t="s">
        <v>248</v>
      </c>
      <c r="D2400" s="132" t="n">
        <v>46544</v>
      </c>
      <c r="E2400" s="131" t="s">
        <v>46</v>
      </c>
      <c r="F2400" s="133" t="s">
        <v>19</v>
      </c>
      <c r="G2400" s="134" t="n">
        <f aca="false">LEN('Saisie programme'!$J$110)+SUMIFS('Vols additionnels'!$E$7:$E$66,'Vols additionnels'!$C$7:$C$66,$E2400,'Vols additionnels'!$D$7:$D$66,$F2400,'Vols additionnels'!$B$7:$B$66,$D2400)</f>
        <v>0</v>
      </c>
      <c r="H2400" s="135" t="n">
        <f aca="false">$G2400*'Analyse capacite'!$F$8</f>
        <v>0</v>
      </c>
      <c r="I2400" s="135" t="n">
        <f aca="false">$G2400*'Analyse capacite'!$C$8</f>
        <v>0</v>
      </c>
      <c r="J2400" s="135" t="n">
        <f aca="false">$G2400*'Analyse capacite'!$D$8</f>
        <v>0</v>
      </c>
      <c r="K2400" s="135" t="n">
        <f aca="false">$G2400*'Analyse capacite'!$E$8</f>
        <v>0</v>
      </c>
    </row>
    <row r="2401" customFormat="false" ht="15" hidden="false" customHeight="false" outlineLevel="0" collapsed="false">
      <c r="B2401" s="130" t="n">
        <v>2027</v>
      </c>
      <c r="C2401" s="131" t="s">
        <v>248</v>
      </c>
      <c r="D2401" s="132" t="n">
        <v>46544</v>
      </c>
      <c r="E2401" s="131" t="s">
        <v>46</v>
      </c>
      <c r="F2401" s="133" t="s">
        <v>24</v>
      </c>
      <c r="G2401" s="134" t="n">
        <f aca="false">LEN('Saisie programme'!$J$111)+SUMIFS('Vols additionnels'!$E$7:$E$66,'Vols additionnels'!$C$7:$C$66,$E2401,'Vols additionnels'!$D$7:$D$66,$F2401,'Vols additionnels'!$B$7:$B$66,$D2401)</f>
        <v>0</v>
      </c>
      <c r="H2401" s="135" t="n">
        <f aca="false">$G2401*'Analyse capacite'!$F$9</f>
        <v>0</v>
      </c>
      <c r="I2401" s="135" t="n">
        <f aca="false">$G2401*'Analyse capacite'!$C$9</f>
        <v>0</v>
      </c>
      <c r="J2401" s="135" t="n">
        <f aca="false">$G2401*'Analyse capacite'!$D$9</f>
        <v>0</v>
      </c>
      <c r="K2401" s="135" t="n">
        <f aca="false">$G2401*'Analyse capacite'!$E$9</f>
        <v>0</v>
      </c>
    </row>
    <row r="2402" customFormat="false" ht="15" hidden="false" customHeight="false" outlineLevel="0" collapsed="false">
      <c r="B2402" s="130" t="n">
        <v>2027</v>
      </c>
      <c r="C2402" s="131" t="s">
        <v>248</v>
      </c>
      <c r="D2402" s="132" t="n">
        <v>46544</v>
      </c>
      <c r="E2402" s="131" t="s">
        <v>49</v>
      </c>
      <c r="F2402" s="133" t="s">
        <v>11</v>
      </c>
      <c r="G2402" s="134" t="n">
        <f aca="false">LEN('Saisie programme'!$J$112)+SUMIFS('Vols additionnels'!$E$7:$E$66,'Vols additionnels'!$C$7:$C$66,$E2402,'Vols additionnels'!$D$7:$D$66,$F2402,'Vols additionnels'!$B$7:$B$66,$D2402)</f>
        <v>0</v>
      </c>
      <c r="H2402" s="135" t="n">
        <f aca="false">$G2402*'Analyse capacite'!$F$7</f>
        <v>0</v>
      </c>
      <c r="I2402" s="135" t="n">
        <f aca="false">$G2402*'Analyse capacite'!$C$7</f>
        <v>0</v>
      </c>
      <c r="J2402" s="135" t="n">
        <f aca="false">$G2402*'Analyse capacite'!$D$7</f>
        <v>0</v>
      </c>
      <c r="K2402" s="135" t="n">
        <f aca="false">$G2402*'Analyse capacite'!$E$7</f>
        <v>0</v>
      </c>
    </row>
    <row r="2403" customFormat="false" ht="15" hidden="false" customHeight="false" outlineLevel="0" collapsed="false">
      <c r="B2403" s="130" t="n">
        <v>2027</v>
      </c>
      <c r="C2403" s="131" t="s">
        <v>248</v>
      </c>
      <c r="D2403" s="132" t="n">
        <v>46544</v>
      </c>
      <c r="E2403" s="131" t="s">
        <v>49</v>
      </c>
      <c r="F2403" s="133" t="s">
        <v>19</v>
      </c>
      <c r="G2403" s="134" t="n">
        <f aca="false">LEN('Saisie programme'!$J$113)+SUMIFS('Vols additionnels'!$E$7:$E$66,'Vols additionnels'!$C$7:$C$66,$E2403,'Vols additionnels'!$D$7:$D$66,$F2403,'Vols additionnels'!$B$7:$B$66,$D2403)</f>
        <v>0</v>
      </c>
      <c r="H2403" s="135" t="n">
        <f aca="false">$G2403*'Analyse capacite'!$F$8</f>
        <v>0</v>
      </c>
      <c r="I2403" s="135" t="n">
        <f aca="false">$G2403*'Analyse capacite'!$C$8</f>
        <v>0</v>
      </c>
      <c r="J2403" s="135" t="n">
        <f aca="false">$G2403*'Analyse capacite'!$D$8</f>
        <v>0</v>
      </c>
      <c r="K2403" s="135" t="n">
        <f aca="false">$G2403*'Analyse capacite'!$E$8</f>
        <v>0</v>
      </c>
    </row>
    <row r="2404" customFormat="false" ht="15" hidden="false" customHeight="false" outlineLevel="0" collapsed="false">
      <c r="B2404" s="130" t="n">
        <v>2027</v>
      </c>
      <c r="C2404" s="131" t="s">
        <v>248</v>
      </c>
      <c r="D2404" s="132" t="n">
        <v>46544</v>
      </c>
      <c r="E2404" s="131" t="s">
        <v>49</v>
      </c>
      <c r="F2404" s="133" t="s">
        <v>24</v>
      </c>
      <c r="G2404" s="134" t="n">
        <f aca="false">LEN('Saisie programme'!$J$114)+SUMIFS('Vols additionnels'!$E$7:$E$66,'Vols additionnels'!$C$7:$C$66,$E2404,'Vols additionnels'!$D$7:$D$66,$F2404,'Vols additionnels'!$B$7:$B$66,$D2404)</f>
        <v>0</v>
      </c>
      <c r="H2404" s="135" t="n">
        <f aca="false">$G2404*'Analyse capacite'!$F$9</f>
        <v>0</v>
      </c>
      <c r="I2404" s="135" t="n">
        <f aca="false">$G2404*'Analyse capacite'!$C$9</f>
        <v>0</v>
      </c>
      <c r="J2404" s="135" t="n">
        <f aca="false">$G2404*'Analyse capacite'!$D$9</f>
        <v>0</v>
      </c>
      <c r="K2404" s="135" t="n">
        <f aca="false">$G2404*'Analyse capacite'!$E$9</f>
        <v>0</v>
      </c>
    </row>
    <row r="2405" customFormat="false" ht="15" hidden="false" customHeight="false" outlineLevel="0" collapsed="false">
      <c r="B2405" s="130" t="n">
        <v>2027</v>
      </c>
      <c r="C2405" s="131" t="s">
        <v>248</v>
      </c>
      <c r="D2405" s="132" t="n">
        <v>46544</v>
      </c>
      <c r="E2405" s="131" t="s">
        <v>53</v>
      </c>
      <c r="F2405" s="133" t="s">
        <v>11</v>
      </c>
      <c r="G2405" s="134" t="n">
        <f aca="false">LEN('Saisie programme'!$J$115)+SUMIFS('Vols additionnels'!$E$7:$E$66,'Vols additionnels'!$C$7:$C$66,$E2405,'Vols additionnels'!$D$7:$D$66,$F2405,'Vols additionnels'!$B$7:$B$66,$D2405)</f>
        <v>0</v>
      </c>
      <c r="H2405" s="135" t="n">
        <f aca="false">$G2405*'Analyse capacite'!$F$7</f>
        <v>0</v>
      </c>
      <c r="I2405" s="135" t="n">
        <f aca="false">$G2405*'Analyse capacite'!$C$7</f>
        <v>0</v>
      </c>
      <c r="J2405" s="135" t="n">
        <f aca="false">$G2405*'Analyse capacite'!$D$7</f>
        <v>0</v>
      </c>
      <c r="K2405" s="135" t="n">
        <f aca="false">$G2405*'Analyse capacite'!$E$7</f>
        <v>0</v>
      </c>
    </row>
    <row r="2406" customFormat="false" ht="15" hidden="false" customHeight="false" outlineLevel="0" collapsed="false">
      <c r="B2406" s="130" t="n">
        <v>2027</v>
      </c>
      <c r="C2406" s="131" t="s">
        <v>248</v>
      </c>
      <c r="D2406" s="132" t="n">
        <v>46544</v>
      </c>
      <c r="E2406" s="131" t="s">
        <v>53</v>
      </c>
      <c r="F2406" s="133" t="s">
        <v>19</v>
      </c>
      <c r="G2406" s="134" t="n">
        <f aca="false">LEN('Saisie programme'!$J$116)+SUMIFS('Vols additionnels'!$E$7:$E$66,'Vols additionnels'!$C$7:$C$66,$E2406,'Vols additionnels'!$D$7:$D$66,$F2406,'Vols additionnels'!$B$7:$B$66,$D2406)</f>
        <v>0</v>
      </c>
      <c r="H2406" s="135" t="n">
        <f aca="false">$G2406*'Analyse capacite'!$F$8</f>
        <v>0</v>
      </c>
      <c r="I2406" s="135" t="n">
        <f aca="false">$G2406*'Analyse capacite'!$C$8</f>
        <v>0</v>
      </c>
      <c r="J2406" s="135" t="n">
        <f aca="false">$G2406*'Analyse capacite'!$D$8</f>
        <v>0</v>
      </c>
      <c r="K2406" s="135" t="n">
        <f aca="false">$G2406*'Analyse capacite'!$E$8</f>
        <v>0</v>
      </c>
    </row>
    <row r="2407" customFormat="false" ht="15" hidden="false" customHeight="false" outlineLevel="0" collapsed="false">
      <c r="B2407" s="130" t="n">
        <v>2027</v>
      </c>
      <c r="C2407" s="131" t="s">
        <v>248</v>
      </c>
      <c r="D2407" s="132" t="n">
        <v>46544</v>
      </c>
      <c r="E2407" s="131" t="s">
        <v>53</v>
      </c>
      <c r="F2407" s="133" t="s">
        <v>24</v>
      </c>
      <c r="G2407" s="134" t="n">
        <f aca="false">LEN('Saisie programme'!$J$117)+SUMIFS('Vols additionnels'!$E$7:$E$66,'Vols additionnels'!$C$7:$C$66,$E2407,'Vols additionnels'!$D$7:$D$66,$F2407,'Vols additionnels'!$B$7:$B$66,$D2407)</f>
        <v>0</v>
      </c>
      <c r="H2407" s="135" t="n">
        <f aca="false">$G2407*'Analyse capacite'!$F$9</f>
        <v>0</v>
      </c>
      <c r="I2407" s="135" t="n">
        <f aca="false">$G2407*'Analyse capacite'!$C$9</f>
        <v>0</v>
      </c>
      <c r="J2407" s="135" t="n">
        <f aca="false">$G2407*'Analyse capacite'!$D$9</f>
        <v>0</v>
      </c>
      <c r="K2407" s="135" t="n">
        <f aca="false">$G2407*'Analyse capacite'!$E$9</f>
        <v>0</v>
      </c>
    </row>
    <row r="2408" customFormat="false" ht="15" hidden="false" customHeight="false" outlineLevel="0" collapsed="false">
      <c r="B2408" s="130" t="n">
        <v>2027</v>
      </c>
      <c r="C2408" s="131" t="s">
        <v>248</v>
      </c>
      <c r="D2408" s="132" t="n">
        <v>46544</v>
      </c>
      <c r="E2408" s="131" t="s">
        <v>56</v>
      </c>
      <c r="F2408" s="133" t="s">
        <v>11</v>
      </c>
      <c r="G2408" s="134" t="n">
        <f aca="false">LEN('Saisie programme'!$J$118)+SUMIFS('Vols additionnels'!$E$7:$E$66,'Vols additionnels'!$C$7:$C$66,$E2408,'Vols additionnels'!$D$7:$D$66,$F2408,'Vols additionnels'!$B$7:$B$66,$D2408)</f>
        <v>0</v>
      </c>
      <c r="H2408" s="135" t="n">
        <f aca="false">$G2408*'Analyse capacite'!$F$7</f>
        <v>0</v>
      </c>
      <c r="I2408" s="135" t="n">
        <f aca="false">$G2408*'Analyse capacite'!$C$7</f>
        <v>0</v>
      </c>
      <c r="J2408" s="135" t="n">
        <f aca="false">$G2408*'Analyse capacite'!$D$7</f>
        <v>0</v>
      </c>
      <c r="K2408" s="135" t="n">
        <f aca="false">$G2408*'Analyse capacite'!$E$7</f>
        <v>0</v>
      </c>
    </row>
    <row r="2409" customFormat="false" ht="15" hidden="false" customHeight="false" outlineLevel="0" collapsed="false">
      <c r="B2409" s="130" t="n">
        <v>2027</v>
      </c>
      <c r="C2409" s="131" t="s">
        <v>248</v>
      </c>
      <c r="D2409" s="132" t="n">
        <v>46544</v>
      </c>
      <c r="E2409" s="131" t="s">
        <v>56</v>
      </c>
      <c r="F2409" s="133" t="s">
        <v>19</v>
      </c>
      <c r="G2409" s="134" t="n">
        <f aca="false">LEN('Saisie programme'!$J$119)+SUMIFS('Vols additionnels'!$E$7:$E$66,'Vols additionnels'!$C$7:$C$66,$E2409,'Vols additionnels'!$D$7:$D$66,$F2409,'Vols additionnels'!$B$7:$B$66,$D2409)</f>
        <v>0</v>
      </c>
      <c r="H2409" s="135" t="n">
        <f aca="false">$G2409*'Analyse capacite'!$F$8</f>
        <v>0</v>
      </c>
      <c r="I2409" s="135" t="n">
        <f aca="false">$G2409*'Analyse capacite'!$C$8</f>
        <v>0</v>
      </c>
      <c r="J2409" s="135" t="n">
        <f aca="false">$G2409*'Analyse capacite'!$D$8</f>
        <v>0</v>
      </c>
      <c r="K2409" s="135" t="n">
        <f aca="false">$G2409*'Analyse capacite'!$E$8</f>
        <v>0</v>
      </c>
    </row>
    <row r="2410" customFormat="false" ht="15" hidden="false" customHeight="false" outlineLevel="0" collapsed="false">
      <c r="B2410" s="130" t="n">
        <v>2027</v>
      </c>
      <c r="C2410" s="131" t="s">
        <v>248</v>
      </c>
      <c r="D2410" s="132" t="n">
        <v>46544</v>
      </c>
      <c r="E2410" s="131" t="s">
        <v>56</v>
      </c>
      <c r="F2410" s="133" t="s">
        <v>24</v>
      </c>
      <c r="G2410" s="134" t="n">
        <f aca="false">LEN('Saisie programme'!$J$120)+SUMIFS('Vols additionnels'!$E$7:$E$66,'Vols additionnels'!$C$7:$C$66,$E2410,'Vols additionnels'!$D$7:$D$66,$F2410,'Vols additionnels'!$B$7:$B$66,$D2410)</f>
        <v>0</v>
      </c>
      <c r="H2410" s="135" t="n">
        <f aca="false">$G2410*'Analyse capacite'!$F$9</f>
        <v>0</v>
      </c>
      <c r="I2410" s="135" t="n">
        <f aca="false">$G2410*'Analyse capacite'!$C$9</f>
        <v>0</v>
      </c>
      <c r="J2410" s="135" t="n">
        <f aca="false">$G2410*'Analyse capacite'!$D$9</f>
        <v>0</v>
      </c>
      <c r="K2410" s="135" t="n">
        <f aca="false">$G2410*'Analyse capacite'!$E$9</f>
        <v>0</v>
      </c>
    </row>
    <row r="2411" customFormat="false" ht="15" hidden="false" customHeight="false" outlineLevel="0" collapsed="false">
      <c r="B2411" s="130" t="n">
        <v>2027</v>
      </c>
      <c r="C2411" s="131" t="s">
        <v>248</v>
      </c>
      <c r="D2411" s="132" t="n">
        <v>46544</v>
      </c>
      <c r="E2411" s="131" t="s">
        <v>59</v>
      </c>
      <c r="F2411" s="133" t="s">
        <v>11</v>
      </c>
      <c r="G2411" s="134" t="n">
        <f aca="false">LEN('Saisie programme'!$J$121)+SUMIFS('Vols additionnels'!$E$7:$E$66,'Vols additionnels'!$C$7:$C$66,$E2411,'Vols additionnels'!$D$7:$D$66,$F2411,'Vols additionnels'!$B$7:$B$66,$D2411)</f>
        <v>0</v>
      </c>
      <c r="H2411" s="135" t="n">
        <f aca="false">$G2411*'Analyse capacite'!$F$7</f>
        <v>0</v>
      </c>
      <c r="I2411" s="135" t="n">
        <f aca="false">$G2411*'Analyse capacite'!$C$7</f>
        <v>0</v>
      </c>
      <c r="J2411" s="135" t="n">
        <f aca="false">$G2411*'Analyse capacite'!$D$7</f>
        <v>0</v>
      </c>
      <c r="K2411" s="135" t="n">
        <f aca="false">$G2411*'Analyse capacite'!$E$7</f>
        <v>0</v>
      </c>
    </row>
    <row r="2412" customFormat="false" ht="15" hidden="false" customHeight="false" outlineLevel="0" collapsed="false">
      <c r="B2412" s="130" t="n">
        <v>2027</v>
      </c>
      <c r="C2412" s="131" t="s">
        <v>248</v>
      </c>
      <c r="D2412" s="132" t="n">
        <v>46544</v>
      </c>
      <c r="E2412" s="131" t="s">
        <v>59</v>
      </c>
      <c r="F2412" s="133" t="s">
        <v>19</v>
      </c>
      <c r="G2412" s="134" t="n">
        <f aca="false">LEN('Saisie programme'!$J$122)+SUMIFS('Vols additionnels'!$E$7:$E$66,'Vols additionnels'!$C$7:$C$66,$E2412,'Vols additionnels'!$D$7:$D$66,$F2412,'Vols additionnels'!$B$7:$B$66,$D2412)</f>
        <v>0</v>
      </c>
      <c r="H2412" s="135" t="n">
        <f aca="false">$G2412*'Analyse capacite'!$F$8</f>
        <v>0</v>
      </c>
      <c r="I2412" s="135" t="n">
        <f aca="false">$G2412*'Analyse capacite'!$C$8</f>
        <v>0</v>
      </c>
      <c r="J2412" s="135" t="n">
        <f aca="false">$G2412*'Analyse capacite'!$D$8</f>
        <v>0</v>
      </c>
      <c r="K2412" s="135" t="n">
        <f aca="false">$G2412*'Analyse capacite'!$E$8</f>
        <v>0</v>
      </c>
    </row>
    <row r="2413" customFormat="false" ht="15" hidden="false" customHeight="false" outlineLevel="0" collapsed="false">
      <c r="B2413" s="130" t="n">
        <v>2027</v>
      </c>
      <c r="C2413" s="131" t="s">
        <v>248</v>
      </c>
      <c r="D2413" s="132" t="n">
        <v>46544</v>
      </c>
      <c r="E2413" s="131" t="s">
        <v>59</v>
      </c>
      <c r="F2413" s="133" t="s">
        <v>24</v>
      </c>
      <c r="G2413" s="134" t="n">
        <f aca="false">LEN('Saisie programme'!$J$123)+SUMIFS('Vols additionnels'!$E$7:$E$66,'Vols additionnels'!$C$7:$C$66,$E2413,'Vols additionnels'!$D$7:$D$66,$F2413,'Vols additionnels'!$B$7:$B$66,$D2413)</f>
        <v>0</v>
      </c>
      <c r="H2413" s="135" t="n">
        <f aca="false">$G2413*'Analyse capacite'!$F$9</f>
        <v>0</v>
      </c>
      <c r="I2413" s="135" t="n">
        <f aca="false">$G2413*'Analyse capacite'!$C$9</f>
        <v>0</v>
      </c>
      <c r="J2413" s="135" t="n">
        <f aca="false">$G2413*'Analyse capacite'!$D$9</f>
        <v>0</v>
      </c>
      <c r="K2413" s="135" t="n">
        <f aca="false">$G2413*'Analyse capacite'!$E$9</f>
        <v>0</v>
      </c>
    </row>
    <row r="2414" customFormat="false" ht="15" hidden="false" customHeight="false" outlineLevel="0" collapsed="false">
      <c r="B2414" s="130" t="n">
        <v>2027</v>
      </c>
      <c r="C2414" s="131" t="s">
        <v>248</v>
      </c>
      <c r="D2414" s="132" t="n">
        <v>46544</v>
      </c>
      <c r="E2414" s="131" t="s">
        <v>62</v>
      </c>
      <c r="F2414" s="133" t="s">
        <v>11</v>
      </c>
      <c r="G2414" s="134" t="n">
        <f aca="false">LEN('Saisie programme'!$J$124)+SUMIFS('Vols additionnels'!$E$7:$E$66,'Vols additionnels'!$C$7:$C$66,$E2414,'Vols additionnels'!$D$7:$D$66,$F2414,'Vols additionnels'!$B$7:$B$66,$D2414)</f>
        <v>0</v>
      </c>
      <c r="H2414" s="135" t="n">
        <f aca="false">$G2414*'Analyse capacite'!$F$7</f>
        <v>0</v>
      </c>
      <c r="I2414" s="135" t="n">
        <f aca="false">$G2414*'Analyse capacite'!$C$7</f>
        <v>0</v>
      </c>
      <c r="J2414" s="135" t="n">
        <f aca="false">$G2414*'Analyse capacite'!$D$7</f>
        <v>0</v>
      </c>
      <c r="K2414" s="135" t="n">
        <f aca="false">$G2414*'Analyse capacite'!$E$7</f>
        <v>0</v>
      </c>
    </row>
    <row r="2415" customFormat="false" ht="15" hidden="false" customHeight="false" outlineLevel="0" collapsed="false">
      <c r="B2415" s="130" t="n">
        <v>2027</v>
      </c>
      <c r="C2415" s="131" t="s">
        <v>248</v>
      </c>
      <c r="D2415" s="132" t="n">
        <v>46544</v>
      </c>
      <c r="E2415" s="131" t="s">
        <v>62</v>
      </c>
      <c r="F2415" s="133" t="s">
        <v>19</v>
      </c>
      <c r="G2415" s="134" t="n">
        <f aca="false">LEN('Saisie programme'!$J$125)+SUMIFS('Vols additionnels'!$E$7:$E$66,'Vols additionnels'!$C$7:$C$66,$E2415,'Vols additionnels'!$D$7:$D$66,$F2415,'Vols additionnels'!$B$7:$B$66,$D2415)</f>
        <v>0</v>
      </c>
      <c r="H2415" s="135" t="n">
        <f aca="false">$G2415*'Analyse capacite'!$F$8</f>
        <v>0</v>
      </c>
      <c r="I2415" s="135" t="n">
        <f aca="false">$G2415*'Analyse capacite'!$C$8</f>
        <v>0</v>
      </c>
      <c r="J2415" s="135" t="n">
        <f aca="false">$G2415*'Analyse capacite'!$D$8</f>
        <v>0</v>
      </c>
      <c r="K2415" s="135" t="n">
        <f aca="false">$G2415*'Analyse capacite'!$E$8</f>
        <v>0</v>
      </c>
    </row>
    <row r="2416" customFormat="false" ht="15" hidden="false" customHeight="false" outlineLevel="0" collapsed="false">
      <c r="B2416" s="130" t="n">
        <v>2027</v>
      </c>
      <c r="C2416" s="131" t="s">
        <v>248</v>
      </c>
      <c r="D2416" s="132" t="n">
        <v>46544</v>
      </c>
      <c r="E2416" s="131" t="s">
        <v>62</v>
      </c>
      <c r="F2416" s="133" t="s">
        <v>24</v>
      </c>
      <c r="G2416" s="134" t="n">
        <f aca="false">LEN('Saisie programme'!$J$126)+SUMIFS('Vols additionnels'!$E$7:$E$66,'Vols additionnels'!$C$7:$C$66,$E2416,'Vols additionnels'!$D$7:$D$66,$F2416,'Vols additionnels'!$B$7:$B$66,$D2416)</f>
        <v>1</v>
      </c>
      <c r="H2416" s="135" t="n">
        <f aca="false">$G2416*'Analyse capacite'!$F$9</f>
        <v>174</v>
      </c>
      <c r="I2416" s="135" t="n">
        <f aca="false">$G2416*'Analyse capacite'!$C$9</f>
        <v>0</v>
      </c>
      <c r="J2416" s="135" t="n">
        <f aca="false">$G2416*'Analyse capacite'!$D$9</f>
        <v>12</v>
      </c>
      <c r="K2416" s="135" t="n">
        <f aca="false">$G2416*'Analyse capacite'!$E$9</f>
        <v>162</v>
      </c>
    </row>
    <row r="2417" customFormat="false" ht="15" hidden="false" customHeight="false" outlineLevel="0" collapsed="false">
      <c r="B2417" s="130" t="n">
        <v>2027</v>
      </c>
      <c r="C2417" s="131" t="s">
        <v>248</v>
      </c>
      <c r="D2417" s="132" t="n">
        <v>46545</v>
      </c>
      <c r="E2417" s="131" t="s">
        <v>12</v>
      </c>
      <c r="F2417" s="133" t="s">
        <v>11</v>
      </c>
      <c r="G2417" s="134" t="n">
        <f aca="false">LEN('Saisie programme'!$D$91)+SUMIFS('Vols additionnels'!$E$7:$E$66,'Vols additionnels'!$C$7:$C$66,$E2417,'Vols additionnels'!$D$7:$D$66,$F2417,'Vols additionnels'!$B$7:$B$66,$D2417)</f>
        <v>1</v>
      </c>
      <c r="H2417" s="135" t="n">
        <f aca="false">$G2417*'Analyse capacite'!$F$7</f>
        <v>438</v>
      </c>
      <c r="I2417" s="135" t="n">
        <f aca="false">$G2417*'Analyse capacite'!$C$7</f>
        <v>14</v>
      </c>
      <c r="J2417" s="135" t="n">
        <f aca="false">$G2417*'Analyse capacite'!$D$7</f>
        <v>40</v>
      </c>
      <c r="K2417" s="135" t="n">
        <f aca="false">$G2417*'Analyse capacite'!$E$7</f>
        <v>384</v>
      </c>
    </row>
    <row r="2418" customFormat="false" ht="15" hidden="false" customHeight="false" outlineLevel="0" collapsed="false">
      <c r="B2418" s="130" t="n">
        <v>2027</v>
      </c>
      <c r="C2418" s="131" t="s">
        <v>248</v>
      </c>
      <c r="D2418" s="132" t="n">
        <v>46545</v>
      </c>
      <c r="E2418" s="131" t="s">
        <v>12</v>
      </c>
      <c r="F2418" s="133" t="s">
        <v>19</v>
      </c>
      <c r="G2418" s="134" t="n">
        <f aca="false">LEN('Saisie programme'!$D$92)+SUMIFS('Vols additionnels'!$E$7:$E$66,'Vols additionnels'!$C$7:$C$66,$E2418,'Vols additionnels'!$D$7:$D$66,$F2418,'Vols additionnels'!$B$7:$B$66,$D2418)</f>
        <v>1</v>
      </c>
      <c r="H2418" s="135" t="n">
        <f aca="false">$G2418*'Analyse capacite'!$F$8</f>
        <v>262</v>
      </c>
      <c r="I2418" s="135" t="n">
        <f aca="false">$G2418*'Analyse capacite'!$C$8</f>
        <v>18</v>
      </c>
      <c r="J2418" s="135" t="n">
        <f aca="false">$G2418*'Analyse capacite'!$D$8</f>
        <v>0</v>
      </c>
      <c r="K2418" s="135" t="n">
        <f aca="false">$G2418*'Analyse capacite'!$E$8</f>
        <v>244</v>
      </c>
    </row>
    <row r="2419" customFormat="false" ht="15" hidden="false" customHeight="false" outlineLevel="0" collapsed="false">
      <c r="B2419" s="130" t="n">
        <v>2027</v>
      </c>
      <c r="C2419" s="131" t="s">
        <v>248</v>
      </c>
      <c r="D2419" s="132" t="n">
        <v>46545</v>
      </c>
      <c r="E2419" s="131" t="s">
        <v>12</v>
      </c>
      <c r="F2419" s="133" t="s">
        <v>24</v>
      </c>
      <c r="G2419" s="134" t="n">
        <f aca="false">LEN('Saisie programme'!$D$93)+SUMIFS('Vols additionnels'!$E$7:$E$66,'Vols additionnels'!$C$7:$C$66,$E2419,'Vols additionnels'!$D$7:$D$66,$F2419,'Vols additionnels'!$B$7:$B$66,$D2419)</f>
        <v>2</v>
      </c>
      <c r="H2419" s="135" t="n">
        <f aca="false">$G2419*'Analyse capacite'!$F$9</f>
        <v>348</v>
      </c>
      <c r="I2419" s="135" t="n">
        <f aca="false">$G2419*'Analyse capacite'!$C$9</f>
        <v>0</v>
      </c>
      <c r="J2419" s="135" t="n">
        <f aca="false">$G2419*'Analyse capacite'!$D$9</f>
        <v>24</v>
      </c>
      <c r="K2419" s="135" t="n">
        <f aca="false">$G2419*'Analyse capacite'!$E$9</f>
        <v>324</v>
      </c>
    </row>
    <row r="2420" customFormat="false" ht="15" hidden="false" customHeight="false" outlineLevel="0" collapsed="false">
      <c r="B2420" s="130" t="n">
        <v>2027</v>
      </c>
      <c r="C2420" s="131" t="s">
        <v>248</v>
      </c>
      <c r="D2420" s="132" t="n">
        <v>46545</v>
      </c>
      <c r="E2420" s="131" t="s">
        <v>20</v>
      </c>
      <c r="F2420" s="133" t="s">
        <v>11</v>
      </c>
      <c r="G2420" s="134" t="n">
        <f aca="false">LEN('Saisie programme'!$D$94)+SUMIFS('Vols additionnels'!$E$7:$E$66,'Vols additionnels'!$C$7:$C$66,$E2420,'Vols additionnels'!$D$7:$D$66,$F2420,'Vols additionnels'!$B$7:$B$66,$D2420)</f>
        <v>0</v>
      </c>
      <c r="H2420" s="135" t="n">
        <f aca="false">$G2420*'Analyse capacite'!$F$7</f>
        <v>0</v>
      </c>
      <c r="I2420" s="135" t="n">
        <f aca="false">$G2420*'Analyse capacite'!$C$7</f>
        <v>0</v>
      </c>
      <c r="J2420" s="135" t="n">
        <f aca="false">$G2420*'Analyse capacite'!$D$7</f>
        <v>0</v>
      </c>
      <c r="K2420" s="135" t="n">
        <f aca="false">$G2420*'Analyse capacite'!$E$7</f>
        <v>0</v>
      </c>
    </row>
    <row r="2421" customFormat="false" ht="15" hidden="false" customHeight="false" outlineLevel="0" collapsed="false">
      <c r="B2421" s="130" t="n">
        <v>2027</v>
      </c>
      <c r="C2421" s="131" t="s">
        <v>248</v>
      </c>
      <c r="D2421" s="132" t="n">
        <v>46545</v>
      </c>
      <c r="E2421" s="131" t="s">
        <v>20</v>
      </c>
      <c r="F2421" s="133" t="s">
        <v>19</v>
      </c>
      <c r="G2421" s="134" t="n">
        <f aca="false">LEN('Saisie programme'!$D$95)+SUMIFS('Vols additionnels'!$E$7:$E$66,'Vols additionnels'!$C$7:$C$66,$E2421,'Vols additionnels'!$D$7:$D$66,$F2421,'Vols additionnels'!$B$7:$B$66,$D2421)</f>
        <v>0</v>
      </c>
      <c r="H2421" s="135" t="n">
        <f aca="false">$G2421*'Analyse capacite'!$F$8</f>
        <v>0</v>
      </c>
      <c r="I2421" s="135" t="n">
        <f aca="false">$G2421*'Analyse capacite'!$C$8</f>
        <v>0</v>
      </c>
      <c r="J2421" s="135" t="n">
        <f aca="false">$G2421*'Analyse capacite'!$D$8</f>
        <v>0</v>
      </c>
      <c r="K2421" s="135" t="n">
        <f aca="false">$G2421*'Analyse capacite'!$E$8</f>
        <v>0</v>
      </c>
    </row>
    <row r="2422" customFormat="false" ht="15" hidden="false" customHeight="false" outlineLevel="0" collapsed="false">
      <c r="B2422" s="130" t="n">
        <v>2027</v>
      </c>
      <c r="C2422" s="131" t="s">
        <v>248</v>
      </c>
      <c r="D2422" s="132" t="n">
        <v>46545</v>
      </c>
      <c r="E2422" s="131" t="s">
        <v>20</v>
      </c>
      <c r="F2422" s="133" t="s">
        <v>24</v>
      </c>
      <c r="G2422" s="134" t="n">
        <f aca="false">LEN('Saisie programme'!$D$96)+SUMIFS('Vols additionnels'!$E$7:$E$66,'Vols additionnels'!$C$7:$C$66,$E2422,'Vols additionnels'!$D$7:$D$66,$F2422,'Vols additionnels'!$B$7:$B$66,$D2422)</f>
        <v>0</v>
      </c>
      <c r="H2422" s="135" t="n">
        <f aca="false">$G2422*'Analyse capacite'!$F$9</f>
        <v>0</v>
      </c>
      <c r="I2422" s="135" t="n">
        <f aca="false">$G2422*'Analyse capacite'!$C$9</f>
        <v>0</v>
      </c>
      <c r="J2422" s="135" t="n">
        <f aca="false">$G2422*'Analyse capacite'!$D$9</f>
        <v>0</v>
      </c>
      <c r="K2422" s="135" t="n">
        <f aca="false">$G2422*'Analyse capacite'!$E$9</f>
        <v>0</v>
      </c>
    </row>
    <row r="2423" customFormat="false" ht="15" hidden="false" customHeight="false" outlineLevel="0" collapsed="false">
      <c r="B2423" s="130" t="n">
        <v>2027</v>
      </c>
      <c r="C2423" s="131" t="s">
        <v>248</v>
      </c>
      <c r="D2423" s="132" t="n">
        <v>46545</v>
      </c>
      <c r="E2423" s="131" t="s">
        <v>25</v>
      </c>
      <c r="F2423" s="133" t="s">
        <v>11</v>
      </c>
      <c r="G2423" s="134" t="n">
        <f aca="false">LEN('Saisie programme'!$D$97)+SUMIFS('Vols additionnels'!$E$7:$E$66,'Vols additionnels'!$C$7:$C$66,$E2423,'Vols additionnels'!$D$7:$D$66,$F2423,'Vols additionnels'!$B$7:$B$66,$D2423)</f>
        <v>0</v>
      </c>
      <c r="H2423" s="135" t="n">
        <f aca="false">$G2423*'Analyse capacite'!$F$7</f>
        <v>0</v>
      </c>
      <c r="I2423" s="135" t="n">
        <f aca="false">$G2423*'Analyse capacite'!$C$7</f>
        <v>0</v>
      </c>
      <c r="J2423" s="135" t="n">
        <f aca="false">$G2423*'Analyse capacite'!$D$7</f>
        <v>0</v>
      </c>
      <c r="K2423" s="135" t="n">
        <f aca="false">$G2423*'Analyse capacite'!$E$7</f>
        <v>0</v>
      </c>
    </row>
    <row r="2424" customFormat="false" ht="15" hidden="false" customHeight="false" outlineLevel="0" collapsed="false">
      <c r="B2424" s="130" t="n">
        <v>2027</v>
      </c>
      <c r="C2424" s="131" t="s">
        <v>248</v>
      </c>
      <c r="D2424" s="132" t="n">
        <v>46545</v>
      </c>
      <c r="E2424" s="131" t="s">
        <v>25</v>
      </c>
      <c r="F2424" s="133" t="s">
        <v>19</v>
      </c>
      <c r="G2424" s="134" t="n">
        <f aca="false">LEN('Saisie programme'!$D$98)+SUMIFS('Vols additionnels'!$E$7:$E$66,'Vols additionnels'!$C$7:$C$66,$E2424,'Vols additionnels'!$D$7:$D$66,$F2424,'Vols additionnels'!$B$7:$B$66,$D2424)</f>
        <v>0</v>
      </c>
      <c r="H2424" s="135" t="n">
        <f aca="false">$G2424*'Analyse capacite'!$F$8</f>
        <v>0</v>
      </c>
      <c r="I2424" s="135" t="n">
        <f aca="false">$G2424*'Analyse capacite'!$C$8</f>
        <v>0</v>
      </c>
      <c r="J2424" s="135" t="n">
        <f aca="false">$G2424*'Analyse capacite'!$D$8</f>
        <v>0</v>
      </c>
      <c r="K2424" s="135" t="n">
        <f aca="false">$G2424*'Analyse capacite'!$E$8</f>
        <v>0</v>
      </c>
    </row>
    <row r="2425" customFormat="false" ht="15" hidden="false" customHeight="false" outlineLevel="0" collapsed="false">
      <c r="B2425" s="130" t="n">
        <v>2027</v>
      </c>
      <c r="C2425" s="131" t="s">
        <v>248</v>
      </c>
      <c r="D2425" s="132" t="n">
        <v>46545</v>
      </c>
      <c r="E2425" s="131" t="s">
        <v>25</v>
      </c>
      <c r="F2425" s="133" t="s">
        <v>24</v>
      </c>
      <c r="G2425" s="134" t="n">
        <f aca="false">LEN('Saisie programme'!$D$99)+SUMIFS('Vols additionnels'!$E$7:$E$66,'Vols additionnels'!$C$7:$C$66,$E2425,'Vols additionnels'!$D$7:$D$66,$F2425,'Vols additionnels'!$B$7:$B$66,$D2425)</f>
        <v>0</v>
      </c>
      <c r="H2425" s="135" t="n">
        <f aca="false">$G2425*'Analyse capacite'!$F$9</f>
        <v>0</v>
      </c>
      <c r="I2425" s="135" t="n">
        <f aca="false">$G2425*'Analyse capacite'!$C$9</f>
        <v>0</v>
      </c>
      <c r="J2425" s="135" t="n">
        <f aca="false">$G2425*'Analyse capacite'!$D$9</f>
        <v>0</v>
      </c>
      <c r="K2425" s="135" t="n">
        <f aca="false">$G2425*'Analyse capacite'!$E$9</f>
        <v>0</v>
      </c>
    </row>
    <row r="2426" customFormat="false" ht="15" hidden="false" customHeight="false" outlineLevel="0" collapsed="false">
      <c r="B2426" s="130" t="n">
        <v>2027</v>
      </c>
      <c r="C2426" s="131" t="s">
        <v>248</v>
      </c>
      <c r="D2426" s="132" t="n">
        <v>46545</v>
      </c>
      <c r="E2426" s="131" t="s">
        <v>36</v>
      </c>
      <c r="F2426" s="133" t="s">
        <v>11</v>
      </c>
      <c r="G2426" s="134" t="n">
        <f aca="false">LEN('Saisie programme'!$D$100)+SUMIFS('Vols additionnels'!$E$7:$E$66,'Vols additionnels'!$C$7:$C$66,$E2426,'Vols additionnels'!$D$7:$D$66,$F2426,'Vols additionnels'!$B$7:$B$66,$D2426)</f>
        <v>0</v>
      </c>
      <c r="H2426" s="135" t="n">
        <f aca="false">$G2426*'Analyse capacite'!$F$7</f>
        <v>0</v>
      </c>
      <c r="I2426" s="135" t="n">
        <f aca="false">$G2426*'Analyse capacite'!$C$7</f>
        <v>0</v>
      </c>
      <c r="J2426" s="135" t="n">
        <f aca="false">$G2426*'Analyse capacite'!$D$7</f>
        <v>0</v>
      </c>
      <c r="K2426" s="135" t="n">
        <f aca="false">$G2426*'Analyse capacite'!$E$7</f>
        <v>0</v>
      </c>
    </row>
    <row r="2427" customFormat="false" ht="15" hidden="false" customHeight="false" outlineLevel="0" collapsed="false">
      <c r="B2427" s="130" t="n">
        <v>2027</v>
      </c>
      <c r="C2427" s="131" t="s">
        <v>248</v>
      </c>
      <c r="D2427" s="132" t="n">
        <v>46545</v>
      </c>
      <c r="E2427" s="131" t="s">
        <v>36</v>
      </c>
      <c r="F2427" s="133" t="s">
        <v>19</v>
      </c>
      <c r="G2427" s="134" t="n">
        <f aca="false">LEN('Saisie programme'!$D$101)+SUMIFS('Vols additionnels'!$E$7:$E$66,'Vols additionnels'!$C$7:$C$66,$E2427,'Vols additionnels'!$D$7:$D$66,$F2427,'Vols additionnels'!$B$7:$B$66,$D2427)</f>
        <v>0</v>
      </c>
      <c r="H2427" s="135" t="n">
        <f aca="false">$G2427*'Analyse capacite'!$F$8</f>
        <v>0</v>
      </c>
      <c r="I2427" s="135" t="n">
        <f aca="false">$G2427*'Analyse capacite'!$C$8</f>
        <v>0</v>
      </c>
      <c r="J2427" s="135" t="n">
        <f aca="false">$G2427*'Analyse capacite'!$D$8</f>
        <v>0</v>
      </c>
      <c r="K2427" s="135" t="n">
        <f aca="false">$G2427*'Analyse capacite'!$E$8</f>
        <v>0</v>
      </c>
    </row>
    <row r="2428" customFormat="false" ht="15" hidden="false" customHeight="false" outlineLevel="0" collapsed="false">
      <c r="B2428" s="130" t="n">
        <v>2027</v>
      </c>
      <c r="C2428" s="131" t="s">
        <v>248</v>
      </c>
      <c r="D2428" s="132" t="n">
        <v>46545</v>
      </c>
      <c r="E2428" s="131" t="s">
        <v>36</v>
      </c>
      <c r="F2428" s="133" t="s">
        <v>24</v>
      </c>
      <c r="G2428" s="134" t="n">
        <f aca="false">LEN('Saisie programme'!$D$102)+SUMIFS('Vols additionnels'!$E$7:$E$66,'Vols additionnels'!$C$7:$C$66,$E2428,'Vols additionnels'!$D$7:$D$66,$F2428,'Vols additionnels'!$B$7:$B$66,$D2428)</f>
        <v>1</v>
      </c>
      <c r="H2428" s="135" t="n">
        <f aca="false">$G2428*'Analyse capacite'!$F$9</f>
        <v>174</v>
      </c>
      <c r="I2428" s="135" t="n">
        <f aca="false">$G2428*'Analyse capacite'!$C$9</f>
        <v>0</v>
      </c>
      <c r="J2428" s="135" t="n">
        <f aca="false">$G2428*'Analyse capacite'!$D$9</f>
        <v>12</v>
      </c>
      <c r="K2428" s="135" t="n">
        <f aca="false">$G2428*'Analyse capacite'!$E$9</f>
        <v>162</v>
      </c>
    </row>
    <row r="2429" customFormat="false" ht="15" hidden="false" customHeight="false" outlineLevel="0" collapsed="false">
      <c r="B2429" s="130" t="n">
        <v>2027</v>
      </c>
      <c r="C2429" s="131" t="s">
        <v>248</v>
      </c>
      <c r="D2429" s="132" t="n">
        <v>46545</v>
      </c>
      <c r="E2429" s="131" t="s">
        <v>40</v>
      </c>
      <c r="F2429" s="133" t="s">
        <v>11</v>
      </c>
      <c r="G2429" s="134" t="n">
        <f aca="false">LEN('Saisie programme'!$D$103)+SUMIFS('Vols additionnels'!$E$7:$E$66,'Vols additionnels'!$C$7:$C$66,$E2429,'Vols additionnels'!$D$7:$D$66,$F2429,'Vols additionnels'!$B$7:$B$66,$D2429)</f>
        <v>0</v>
      </c>
      <c r="H2429" s="135" t="n">
        <f aca="false">$G2429*'Analyse capacite'!$F$7</f>
        <v>0</v>
      </c>
      <c r="I2429" s="135" t="n">
        <f aca="false">$G2429*'Analyse capacite'!$C$7</f>
        <v>0</v>
      </c>
      <c r="J2429" s="135" t="n">
        <f aca="false">$G2429*'Analyse capacite'!$D$7</f>
        <v>0</v>
      </c>
      <c r="K2429" s="135" t="n">
        <f aca="false">$G2429*'Analyse capacite'!$E$7</f>
        <v>0</v>
      </c>
    </row>
    <row r="2430" customFormat="false" ht="15" hidden="false" customHeight="false" outlineLevel="0" collapsed="false">
      <c r="B2430" s="130" t="n">
        <v>2027</v>
      </c>
      <c r="C2430" s="131" t="s">
        <v>248</v>
      </c>
      <c r="D2430" s="132" t="n">
        <v>46545</v>
      </c>
      <c r="E2430" s="131" t="s">
        <v>40</v>
      </c>
      <c r="F2430" s="133" t="s">
        <v>19</v>
      </c>
      <c r="G2430" s="134" t="n">
        <f aca="false">LEN('Saisie programme'!$D$104)+SUMIFS('Vols additionnels'!$E$7:$E$66,'Vols additionnels'!$C$7:$C$66,$E2430,'Vols additionnels'!$D$7:$D$66,$F2430,'Vols additionnels'!$B$7:$B$66,$D2430)</f>
        <v>0</v>
      </c>
      <c r="H2430" s="135" t="n">
        <f aca="false">$G2430*'Analyse capacite'!$F$8</f>
        <v>0</v>
      </c>
      <c r="I2430" s="135" t="n">
        <f aca="false">$G2430*'Analyse capacite'!$C$8</f>
        <v>0</v>
      </c>
      <c r="J2430" s="135" t="n">
        <f aca="false">$G2430*'Analyse capacite'!$D$8</f>
        <v>0</v>
      </c>
      <c r="K2430" s="135" t="n">
        <f aca="false">$G2430*'Analyse capacite'!$E$8</f>
        <v>0</v>
      </c>
    </row>
    <row r="2431" customFormat="false" ht="15" hidden="false" customHeight="false" outlineLevel="0" collapsed="false">
      <c r="B2431" s="130" t="n">
        <v>2027</v>
      </c>
      <c r="C2431" s="131" t="s">
        <v>248</v>
      </c>
      <c r="D2431" s="132" t="n">
        <v>46545</v>
      </c>
      <c r="E2431" s="131" t="s">
        <v>40</v>
      </c>
      <c r="F2431" s="133" t="s">
        <v>24</v>
      </c>
      <c r="G2431" s="134" t="n">
        <f aca="false">LEN('Saisie programme'!$D$105)+SUMIFS('Vols additionnels'!$E$7:$E$66,'Vols additionnels'!$C$7:$C$66,$E2431,'Vols additionnels'!$D$7:$D$66,$F2431,'Vols additionnels'!$B$7:$B$66,$D2431)</f>
        <v>1</v>
      </c>
      <c r="H2431" s="135" t="n">
        <f aca="false">$G2431*'Analyse capacite'!$F$9</f>
        <v>174</v>
      </c>
      <c r="I2431" s="135" t="n">
        <f aca="false">$G2431*'Analyse capacite'!$C$9</f>
        <v>0</v>
      </c>
      <c r="J2431" s="135" t="n">
        <f aca="false">$G2431*'Analyse capacite'!$D$9</f>
        <v>12</v>
      </c>
      <c r="K2431" s="135" t="n">
        <f aca="false">$G2431*'Analyse capacite'!$E$9</f>
        <v>162</v>
      </c>
    </row>
    <row r="2432" customFormat="false" ht="15" hidden="false" customHeight="false" outlineLevel="0" collapsed="false">
      <c r="B2432" s="130" t="n">
        <v>2027</v>
      </c>
      <c r="C2432" s="131" t="s">
        <v>248</v>
      </c>
      <c r="D2432" s="132" t="n">
        <v>46545</v>
      </c>
      <c r="E2432" s="131" t="s">
        <v>14</v>
      </c>
      <c r="F2432" s="133" t="s">
        <v>11</v>
      </c>
      <c r="G2432" s="134" t="n">
        <f aca="false">LEN('Saisie programme'!$D$106)+SUMIFS('Vols additionnels'!$E$7:$E$66,'Vols additionnels'!$C$7:$C$66,$E2432,'Vols additionnels'!$D$7:$D$66,$F2432,'Vols additionnels'!$B$7:$B$66,$D2432)</f>
        <v>0</v>
      </c>
      <c r="H2432" s="135" t="n">
        <f aca="false">$G2432*'Analyse capacite'!$F$7</f>
        <v>0</v>
      </c>
      <c r="I2432" s="135" t="n">
        <f aca="false">$G2432*'Analyse capacite'!$C$7</f>
        <v>0</v>
      </c>
      <c r="J2432" s="135" t="n">
        <f aca="false">$G2432*'Analyse capacite'!$D$7</f>
        <v>0</v>
      </c>
      <c r="K2432" s="135" t="n">
        <f aca="false">$G2432*'Analyse capacite'!$E$7</f>
        <v>0</v>
      </c>
    </row>
    <row r="2433" customFormat="false" ht="15" hidden="false" customHeight="false" outlineLevel="0" collapsed="false">
      <c r="B2433" s="130" t="n">
        <v>2027</v>
      </c>
      <c r="C2433" s="131" t="s">
        <v>248</v>
      </c>
      <c r="D2433" s="132" t="n">
        <v>46545</v>
      </c>
      <c r="E2433" s="131" t="s">
        <v>14</v>
      </c>
      <c r="F2433" s="133" t="s">
        <v>19</v>
      </c>
      <c r="G2433" s="134" t="n">
        <f aca="false">LEN('Saisie programme'!$D$107)+SUMIFS('Vols additionnels'!$E$7:$E$66,'Vols additionnels'!$C$7:$C$66,$E2433,'Vols additionnels'!$D$7:$D$66,$F2433,'Vols additionnels'!$B$7:$B$66,$D2433)</f>
        <v>0</v>
      </c>
      <c r="H2433" s="135" t="n">
        <f aca="false">$G2433*'Analyse capacite'!$F$8</f>
        <v>0</v>
      </c>
      <c r="I2433" s="135" t="n">
        <f aca="false">$G2433*'Analyse capacite'!$C$8</f>
        <v>0</v>
      </c>
      <c r="J2433" s="135" t="n">
        <f aca="false">$G2433*'Analyse capacite'!$D$8</f>
        <v>0</v>
      </c>
      <c r="K2433" s="135" t="n">
        <f aca="false">$G2433*'Analyse capacite'!$E$8</f>
        <v>0</v>
      </c>
    </row>
    <row r="2434" customFormat="false" ht="15" hidden="false" customHeight="false" outlineLevel="0" collapsed="false">
      <c r="B2434" s="130" t="n">
        <v>2027</v>
      </c>
      <c r="C2434" s="131" t="s">
        <v>248</v>
      </c>
      <c r="D2434" s="132" t="n">
        <v>46545</v>
      </c>
      <c r="E2434" s="131" t="s">
        <v>14</v>
      </c>
      <c r="F2434" s="133" t="s">
        <v>24</v>
      </c>
      <c r="G2434" s="134" t="n">
        <f aca="false">LEN('Saisie programme'!$D$108)+SUMIFS('Vols additionnels'!$E$7:$E$66,'Vols additionnels'!$C$7:$C$66,$E2434,'Vols additionnels'!$D$7:$D$66,$F2434,'Vols additionnels'!$B$7:$B$66,$D2434)</f>
        <v>1</v>
      </c>
      <c r="H2434" s="135" t="n">
        <f aca="false">$G2434*'Analyse capacite'!$F$9</f>
        <v>174</v>
      </c>
      <c r="I2434" s="135" t="n">
        <f aca="false">$G2434*'Analyse capacite'!$C$9</f>
        <v>0</v>
      </c>
      <c r="J2434" s="135" t="n">
        <f aca="false">$G2434*'Analyse capacite'!$D$9</f>
        <v>12</v>
      </c>
      <c r="K2434" s="135" t="n">
        <f aca="false">$G2434*'Analyse capacite'!$E$9</f>
        <v>162</v>
      </c>
    </row>
    <row r="2435" customFormat="false" ht="15" hidden="false" customHeight="false" outlineLevel="0" collapsed="false">
      <c r="B2435" s="130" t="n">
        <v>2027</v>
      </c>
      <c r="C2435" s="131" t="s">
        <v>248</v>
      </c>
      <c r="D2435" s="132" t="n">
        <v>46545</v>
      </c>
      <c r="E2435" s="131" t="s">
        <v>46</v>
      </c>
      <c r="F2435" s="133" t="s">
        <v>11</v>
      </c>
      <c r="G2435" s="134" t="n">
        <f aca="false">LEN('Saisie programme'!$D$109)+SUMIFS('Vols additionnels'!$E$7:$E$66,'Vols additionnels'!$C$7:$C$66,$E2435,'Vols additionnels'!$D$7:$D$66,$F2435,'Vols additionnels'!$B$7:$B$66,$D2435)</f>
        <v>0</v>
      </c>
      <c r="H2435" s="135" t="n">
        <f aca="false">$G2435*'Analyse capacite'!$F$7</f>
        <v>0</v>
      </c>
      <c r="I2435" s="135" t="n">
        <f aca="false">$G2435*'Analyse capacite'!$C$7</f>
        <v>0</v>
      </c>
      <c r="J2435" s="135" t="n">
        <f aca="false">$G2435*'Analyse capacite'!$D$7</f>
        <v>0</v>
      </c>
      <c r="K2435" s="135" t="n">
        <f aca="false">$G2435*'Analyse capacite'!$E$7</f>
        <v>0</v>
      </c>
    </row>
    <row r="2436" customFormat="false" ht="15" hidden="false" customHeight="false" outlineLevel="0" collapsed="false">
      <c r="B2436" s="130" t="n">
        <v>2027</v>
      </c>
      <c r="C2436" s="131" t="s">
        <v>248</v>
      </c>
      <c r="D2436" s="132" t="n">
        <v>46545</v>
      </c>
      <c r="E2436" s="131" t="s">
        <v>46</v>
      </c>
      <c r="F2436" s="133" t="s">
        <v>19</v>
      </c>
      <c r="G2436" s="134" t="n">
        <f aca="false">LEN('Saisie programme'!$D$110)+SUMIFS('Vols additionnels'!$E$7:$E$66,'Vols additionnels'!$C$7:$C$66,$E2436,'Vols additionnels'!$D$7:$D$66,$F2436,'Vols additionnels'!$B$7:$B$66,$D2436)</f>
        <v>0</v>
      </c>
      <c r="H2436" s="135" t="n">
        <f aca="false">$G2436*'Analyse capacite'!$F$8</f>
        <v>0</v>
      </c>
      <c r="I2436" s="135" t="n">
        <f aca="false">$G2436*'Analyse capacite'!$C$8</f>
        <v>0</v>
      </c>
      <c r="J2436" s="135" t="n">
        <f aca="false">$G2436*'Analyse capacite'!$D$8</f>
        <v>0</v>
      </c>
      <c r="K2436" s="135" t="n">
        <f aca="false">$G2436*'Analyse capacite'!$E$8</f>
        <v>0</v>
      </c>
    </row>
    <row r="2437" customFormat="false" ht="15" hidden="false" customHeight="false" outlineLevel="0" collapsed="false">
      <c r="B2437" s="130" t="n">
        <v>2027</v>
      </c>
      <c r="C2437" s="131" t="s">
        <v>248</v>
      </c>
      <c r="D2437" s="132" t="n">
        <v>46545</v>
      </c>
      <c r="E2437" s="131" t="s">
        <v>46</v>
      </c>
      <c r="F2437" s="133" t="s">
        <v>24</v>
      </c>
      <c r="G2437" s="134" t="n">
        <f aca="false">LEN('Saisie programme'!$D$111)+SUMIFS('Vols additionnels'!$E$7:$E$66,'Vols additionnels'!$C$7:$C$66,$E2437,'Vols additionnels'!$D$7:$D$66,$F2437,'Vols additionnels'!$B$7:$B$66,$D2437)</f>
        <v>0</v>
      </c>
      <c r="H2437" s="135" t="n">
        <f aca="false">$G2437*'Analyse capacite'!$F$9</f>
        <v>0</v>
      </c>
      <c r="I2437" s="135" t="n">
        <f aca="false">$G2437*'Analyse capacite'!$C$9</f>
        <v>0</v>
      </c>
      <c r="J2437" s="135" t="n">
        <f aca="false">$G2437*'Analyse capacite'!$D$9</f>
        <v>0</v>
      </c>
      <c r="K2437" s="135" t="n">
        <f aca="false">$G2437*'Analyse capacite'!$E$9</f>
        <v>0</v>
      </c>
    </row>
    <row r="2438" customFormat="false" ht="15" hidden="false" customHeight="false" outlineLevel="0" collapsed="false">
      <c r="B2438" s="130" t="n">
        <v>2027</v>
      </c>
      <c r="C2438" s="131" t="s">
        <v>248</v>
      </c>
      <c r="D2438" s="132" t="n">
        <v>46545</v>
      </c>
      <c r="E2438" s="131" t="s">
        <v>49</v>
      </c>
      <c r="F2438" s="133" t="s">
        <v>11</v>
      </c>
      <c r="G2438" s="134" t="n">
        <f aca="false">LEN('Saisie programme'!$D$112)+SUMIFS('Vols additionnels'!$E$7:$E$66,'Vols additionnels'!$C$7:$C$66,$E2438,'Vols additionnels'!$D$7:$D$66,$F2438,'Vols additionnels'!$B$7:$B$66,$D2438)</f>
        <v>0</v>
      </c>
      <c r="H2438" s="135" t="n">
        <f aca="false">$G2438*'Analyse capacite'!$F$7</f>
        <v>0</v>
      </c>
      <c r="I2438" s="135" t="n">
        <f aca="false">$G2438*'Analyse capacite'!$C$7</f>
        <v>0</v>
      </c>
      <c r="J2438" s="135" t="n">
        <f aca="false">$G2438*'Analyse capacite'!$D$7</f>
        <v>0</v>
      </c>
      <c r="K2438" s="135" t="n">
        <f aca="false">$G2438*'Analyse capacite'!$E$7</f>
        <v>0</v>
      </c>
    </row>
    <row r="2439" customFormat="false" ht="15" hidden="false" customHeight="false" outlineLevel="0" collapsed="false">
      <c r="B2439" s="130" t="n">
        <v>2027</v>
      </c>
      <c r="C2439" s="131" t="s">
        <v>248</v>
      </c>
      <c r="D2439" s="132" t="n">
        <v>46545</v>
      </c>
      <c r="E2439" s="131" t="s">
        <v>49</v>
      </c>
      <c r="F2439" s="133" t="s">
        <v>19</v>
      </c>
      <c r="G2439" s="134" t="n">
        <f aca="false">LEN('Saisie programme'!$D$113)+SUMIFS('Vols additionnels'!$E$7:$E$66,'Vols additionnels'!$C$7:$C$66,$E2439,'Vols additionnels'!$D$7:$D$66,$F2439,'Vols additionnels'!$B$7:$B$66,$D2439)</f>
        <v>1</v>
      </c>
      <c r="H2439" s="135" t="n">
        <f aca="false">$G2439*'Analyse capacite'!$F$8</f>
        <v>262</v>
      </c>
      <c r="I2439" s="135" t="n">
        <f aca="false">$G2439*'Analyse capacite'!$C$8</f>
        <v>18</v>
      </c>
      <c r="J2439" s="135" t="n">
        <f aca="false">$G2439*'Analyse capacite'!$D$8</f>
        <v>0</v>
      </c>
      <c r="K2439" s="135" t="n">
        <f aca="false">$G2439*'Analyse capacite'!$E$8</f>
        <v>244</v>
      </c>
    </row>
    <row r="2440" customFormat="false" ht="15" hidden="false" customHeight="false" outlineLevel="0" collapsed="false">
      <c r="B2440" s="130" t="n">
        <v>2027</v>
      </c>
      <c r="C2440" s="131" t="s">
        <v>248</v>
      </c>
      <c r="D2440" s="132" t="n">
        <v>46545</v>
      </c>
      <c r="E2440" s="131" t="s">
        <v>49</v>
      </c>
      <c r="F2440" s="133" t="s">
        <v>24</v>
      </c>
      <c r="G2440" s="134" t="n">
        <f aca="false">LEN('Saisie programme'!$D$114)+SUMIFS('Vols additionnels'!$E$7:$E$66,'Vols additionnels'!$C$7:$C$66,$E2440,'Vols additionnels'!$D$7:$D$66,$F2440,'Vols additionnels'!$B$7:$B$66,$D2440)</f>
        <v>0</v>
      </c>
      <c r="H2440" s="135" t="n">
        <f aca="false">$G2440*'Analyse capacite'!$F$9</f>
        <v>0</v>
      </c>
      <c r="I2440" s="135" t="n">
        <f aca="false">$G2440*'Analyse capacite'!$C$9</f>
        <v>0</v>
      </c>
      <c r="J2440" s="135" t="n">
        <f aca="false">$G2440*'Analyse capacite'!$D$9</f>
        <v>0</v>
      </c>
      <c r="K2440" s="135" t="n">
        <f aca="false">$G2440*'Analyse capacite'!$E$9</f>
        <v>0</v>
      </c>
    </row>
    <row r="2441" customFormat="false" ht="15" hidden="false" customHeight="false" outlineLevel="0" collapsed="false">
      <c r="B2441" s="130" t="n">
        <v>2027</v>
      </c>
      <c r="C2441" s="131" t="s">
        <v>248</v>
      </c>
      <c r="D2441" s="132" t="n">
        <v>46545</v>
      </c>
      <c r="E2441" s="131" t="s">
        <v>53</v>
      </c>
      <c r="F2441" s="133" t="s">
        <v>11</v>
      </c>
      <c r="G2441" s="134" t="n">
        <f aca="false">LEN('Saisie programme'!$D$115)+SUMIFS('Vols additionnels'!$E$7:$E$66,'Vols additionnels'!$C$7:$C$66,$E2441,'Vols additionnels'!$D$7:$D$66,$F2441,'Vols additionnels'!$B$7:$B$66,$D2441)</f>
        <v>0</v>
      </c>
      <c r="H2441" s="135" t="n">
        <f aca="false">$G2441*'Analyse capacite'!$F$7</f>
        <v>0</v>
      </c>
      <c r="I2441" s="135" t="n">
        <f aca="false">$G2441*'Analyse capacite'!$C$7</f>
        <v>0</v>
      </c>
      <c r="J2441" s="135" t="n">
        <f aca="false">$G2441*'Analyse capacite'!$D$7</f>
        <v>0</v>
      </c>
      <c r="K2441" s="135" t="n">
        <f aca="false">$G2441*'Analyse capacite'!$E$7</f>
        <v>0</v>
      </c>
    </row>
    <row r="2442" customFormat="false" ht="15" hidden="false" customHeight="false" outlineLevel="0" collapsed="false">
      <c r="B2442" s="130" t="n">
        <v>2027</v>
      </c>
      <c r="C2442" s="131" t="s">
        <v>248</v>
      </c>
      <c r="D2442" s="132" t="n">
        <v>46545</v>
      </c>
      <c r="E2442" s="131" t="s">
        <v>53</v>
      </c>
      <c r="F2442" s="133" t="s">
        <v>19</v>
      </c>
      <c r="G2442" s="134" t="n">
        <f aca="false">LEN('Saisie programme'!$D$116)+SUMIFS('Vols additionnels'!$E$7:$E$66,'Vols additionnels'!$C$7:$C$66,$E2442,'Vols additionnels'!$D$7:$D$66,$F2442,'Vols additionnels'!$B$7:$B$66,$D2442)</f>
        <v>0</v>
      </c>
      <c r="H2442" s="135" t="n">
        <f aca="false">$G2442*'Analyse capacite'!$F$8</f>
        <v>0</v>
      </c>
      <c r="I2442" s="135" t="n">
        <f aca="false">$G2442*'Analyse capacite'!$C$8</f>
        <v>0</v>
      </c>
      <c r="J2442" s="135" t="n">
        <f aca="false">$G2442*'Analyse capacite'!$D$8</f>
        <v>0</v>
      </c>
      <c r="K2442" s="135" t="n">
        <f aca="false">$G2442*'Analyse capacite'!$E$8</f>
        <v>0</v>
      </c>
    </row>
    <row r="2443" customFormat="false" ht="15" hidden="false" customHeight="false" outlineLevel="0" collapsed="false">
      <c r="B2443" s="130" t="n">
        <v>2027</v>
      </c>
      <c r="C2443" s="131" t="s">
        <v>248</v>
      </c>
      <c r="D2443" s="132" t="n">
        <v>46545</v>
      </c>
      <c r="E2443" s="131" t="s">
        <v>53</v>
      </c>
      <c r="F2443" s="133" t="s">
        <v>24</v>
      </c>
      <c r="G2443" s="134" t="n">
        <f aca="false">LEN('Saisie programme'!$D$117)+SUMIFS('Vols additionnels'!$E$7:$E$66,'Vols additionnels'!$C$7:$C$66,$E2443,'Vols additionnels'!$D$7:$D$66,$F2443,'Vols additionnels'!$B$7:$B$66,$D2443)</f>
        <v>0</v>
      </c>
      <c r="H2443" s="135" t="n">
        <f aca="false">$G2443*'Analyse capacite'!$F$9</f>
        <v>0</v>
      </c>
      <c r="I2443" s="135" t="n">
        <f aca="false">$G2443*'Analyse capacite'!$C$9</f>
        <v>0</v>
      </c>
      <c r="J2443" s="135" t="n">
        <f aca="false">$G2443*'Analyse capacite'!$D$9</f>
        <v>0</v>
      </c>
      <c r="K2443" s="135" t="n">
        <f aca="false">$G2443*'Analyse capacite'!$E$9</f>
        <v>0</v>
      </c>
    </row>
    <row r="2444" customFormat="false" ht="15" hidden="false" customHeight="false" outlineLevel="0" collapsed="false">
      <c r="B2444" s="130" t="n">
        <v>2027</v>
      </c>
      <c r="C2444" s="131" t="s">
        <v>248</v>
      </c>
      <c r="D2444" s="132" t="n">
        <v>46545</v>
      </c>
      <c r="E2444" s="131" t="s">
        <v>56</v>
      </c>
      <c r="F2444" s="133" t="s">
        <v>11</v>
      </c>
      <c r="G2444" s="134" t="n">
        <f aca="false">LEN('Saisie programme'!$D$118)+SUMIFS('Vols additionnels'!$E$7:$E$66,'Vols additionnels'!$C$7:$C$66,$E2444,'Vols additionnels'!$D$7:$D$66,$F2444,'Vols additionnels'!$B$7:$B$66,$D2444)</f>
        <v>0</v>
      </c>
      <c r="H2444" s="135" t="n">
        <f aca="false">$G2444*'Analyse capacite'!$F$7</f>
        <v>0</v>
      </c>
      <c r="I2444" s="135" t="n">
        <f aca="false">$G2444*'Analyse capacite'!$C$7</f>
        <v>0</v>
      </c>
      <c r="J2444" s="135" t="n">
        <f aca="false">$G2444*'Analyse capacite'!$D$7</f>
        <v>0</v>
      </c>
      <c r="K2444" s="135" t="n">
        <f aca="false">$G2444*'Analyse capacite'!$E$7</f>
        <v>0</v>
      </c>
    </row>
    <row r="2445" customFormat="false" ht="15" hidden="false" customHeight="false" outlineLevel="0" collapsed="false">
      <c r="B2445" s="130" t="n">
        <v>2027</v>
      </c>
      <c r="C2445" s="131" t="s">
        <v>248</v>
      </c>
      <c r="D2445" s="132" t="n">
        <v>46545</v>
      </c>
      <c r="E2445" s="131" t="s">
        <v>56</v>
      </c>
      <c r="F2445" s="133" t="s">
        <v>19</v>
      </c>
      <c r="G2445" s="134" t="n">
        <f aca="false">LEN('Saisie programme'!$D$119)+SUMIFS('Vols additionnels'!$E$7:$E$66,'Vols additionnels'!$C$7:$C$66,$E2445,'Vols additionnels'!$D$7:$D$66,$F2445,'Vols additionnels'!$B$7:$B$66,$D2445)</f>
        <v>0</v>
      </c>
      <c r="H2445" s="135" t="n">
        <f aca="false">$G2445*'Analyse capacite'!$F$8</f>
        <v>0</v>
      </c>
      <c r="I2445" s="135" t="n">
        <f aca="false">$G2445*'Analyse capacite'!$C$8</f>
        <v>0</v>
      </c>
      <c r="J2445" s="135" t="n">
        <f aca="false">$G2445*'Analyse capacite'!$D$8</f>
        <v>0</v>
      </c>
      <c r="K2445" s="135" t="n">
        <f aca="false">$G2445*'Analyse capacite'!$E$8</f>
        <v>0</v>
      </c>
    </row>
    <row r="2446" customFormat="false" ht="15" hidden="false" customHeight="false" outlineLevel="0" collapsed="false">
      <c r="B2446" s="130" t="n">
        <v>2027</v>
      </c>
      <c r="C2446" s="131" t="s">
        <v>248</v>
      </c>
      <c r="D2446" s="132" t="n">
        <v>46545</v>
      </c>
      <c r="E2446" s="131" t="s">
        <v>56</v>
      </c>
      <c r="F2446" s="133" t="s">
        <v>24</v>
      </c>
      <c r="G2446" s="134" t="n">
        <f aca="false">LEN('Saisie programme'!$D$120)+SUMIFS('Vols additionnels'!$E$7:$E$66,'Vols additionnels'!$C$7:$C$66,$E2446,'Vols additionnels'!$D$7:$D$66,$F2446,'Vols additionnels'!$B$7:$B$66,$D2446)</f>
        <v>0</v>
      </c>
      <c r="H2446" s="135" t="n">
        <f aca="false">$G2446*'Analyse capacite'!$F$9</f>
        <v>0</v>
      </c>
      <c r="I2446" s="135" t="n">
        <f aca="false">$G2446*'Analyse capacite'!$C$9</f>
        <v>0</v>
      </c>
      <c r="J2446" s="135" t="n">
        <f aca="false">$G2446*'Analyse capacite'!$D$9</f>
        <v>0</v>
      </c>
      <c r="K2446" s="135" t="n">
        <f aca="false">$G2446*'Analyse capacite'!$E$9</f>
        <v>0</v>
      </c>
    </row>
    <row r="2447" customFormat="false" ht="15" hidden="false" customHeight="false" outlineLevel="0" collapsed="false">
      <c r="B2447" s="130" t="n">
        <v>2027</v>
      </c>
      <c r="C2447" s="131" t="s">
        <v>248</v>
      </c>
      <c r="D2447" s="132" t="n">
        <v>46545</v>
      </c>
      <c r="E2447" s="131" t="s">
        <v>59</v>
      </c>
      <c r="F2447" s="133" t="s">
        <v>11</v>
      </c>
      <c r="G2447" s="134" t="n">
        <f aca="false">LEN('Saisie programme'!$D$121)+SUMIFS('Vols additionnels'!$E$7:$E$66,'Vols additionnels'!$C$7:$C$66,$E2447,'Vols additionnels'!$D$7:$D$66,$F2447,'Vols additionnels'!$B$7:$B$66,$D2447)</f>
        <v>0</v>
      </c>
      <c r="H2447" s="135" t="n">
        <f aca="false">$G2447*'Analyse capacite'!$F$7</f>
        <v>0</v>
      </c>
      <c r="I2447" s="135" t="n">
        <f aca="false">$G2447*'Analyse capacite'!$C$7</f>
        <v>0</v>
      </c>
      <c r="J2447" s="135" t="n">
        <f aca="false">$G2447*'Analyse capacite'!$D$7</f>
        <v>0</v>
      </c>
      <c r="K2447" s="135" t="n">
        <f aca="false">$G2447*'Analyse capacite'!$E$7</f>
        <v>0</v>
      </c>
    </row>
    <row r="2448" customFormat="false" ht="15" hidden="false" customHeight="false" outlineLevel="0" collapsed="false">
      <c r="B2448" s="130" t="n">
        <v>2027</v>
      </c>
      <c r="C2448" s="131" t="s">
        <v>248</v>
      </c>
      <c r="D2448" s="132" t="n">
        <v>46545</v>
      </c>
      <c r="E2448" s="131" t="s">
        <v>59</v>
      </c>
      <c r="F2448" s="133" t="s">
        <v>19</v>
      </c>
      <c r="G2448" s="134" t="n">
        <f aca="false">LEN('Saisie programme'!$D$122)+SUMIFS('Vols additionnels'!$E$7:$E$66,'Vols additionnels'!$C$7:$C$66,$E2448,'Vols additionnels'!$D$7:$D$66,$F2448,'Vols additionnels'!$B$7:$B$66,$D2448)</f>
        <v>0</v>
      </c>
      <c r="H2448" s="135" t="n">
        <f aca="false">$G2448*'Analyse capacite'!$F$8</f>
        <v>0</v>
      </c>
      <c r="I2448" s="135" t="n">
        <f aca="false">$G2448*'Analyse capacite'!$C$8</f>
        <v>0</v>
      </c>
      <c r="J2448" s="135" t="n">
        <f aca="false">$G2448*'Analyse capacite'!$D$8</f>
        <v>0</v>
      </c>
      <c r="K2448" s="135" t="n">
        <f aca="false">$G2448*'Analyse capacite'!$E$8</f>
        <v>0</v>
      </c>
    </row>
    <row r="2449" customFormat="false" ht="15" hidden="false" customHeight="false" outlineLevel="0" collapsed="false">
      <c r="B2449" s="130" t="n">
        <v>2027</v>
      </c>
      <c r="C2449" s="131" t="s">
        <v>248</v>
      </c>
      <c r="D2449" s="132" t="n">
        <v>46545</v>
      </c>
      <c r="E2449" s="131" t="s">
        <v>59</v>
      </c>
      <c r="F2449" s="133" t="s">
        <v>24</v>
      </c>
      <c r="G2449" s="134" t="n">
        <f aca="false">LEN('Saisie programme'!$D$123)+SUMIFS('Vols additionnels'!$E$7:$E$66,'Vols additionnels'!$C$7:$C$66,$E2449,'Vols additionnels'!$D$7:$D$66,$F2449,'Vols additionnels'!$B$7:$B$66,$D2449)</f>
        <v>1</v>
      </c>
      <c r="H2449" s="135" t="n">
        <f aca="false">$G2449*'Analyse capacite'!$F$9</f>
        <v>174</v>
      </c>
      <c r="I2449" s="135" t="n">
        <f aca="false">$G2449*'Analyse capacite'!$C$9</f>
        <v>0</v>
      </c>
      <c r="J2449" s="135" t="n">
        <f aca="false">$G2449*'Analyse capacite'!$D$9</f>
        <v>12</v>
      </c>
      <c r="K2449" s="135" t="n">
        <f aca="false">$G2449*'Analyse capacite'!$E$9</f>
        <v>162</v>
      </c>
    </row>
    <row r="2450" customFormat="false" ht="15" hidden="false" customHeight="false" outlineLevel="0" collapsed="false">
      <c r="B2450" s="130" t="n">
        <v>2027</v>
      </c>
      <c r="C2450" s="131" t="s">
        <v>248</v>
      </c>
      <c r="D2450" s="132" t="n">
        <v>46545</v>
      </c>
      <c r="E2450" s="131" t="s">
        <v>62</v>
      </c>
      <c r="F2450" s="133" t="s">
        <v>11</v>
      </c>
      <c r="G2450" s="134" t="n">
        <f aca="false">LEN('Saisie programme'!$D$124)+SUMIFS('Vols additionnels'!$E$7:$E$66,'Vols additionnels'!$C$7:$C$66,$E2450,'Vols additionnels'!$D$7:$D$66,$F2450,'Vols additionnels'!$B$7:$B$66,$D2450)</f>
        <v>0</v>
      </c>
      <c r="H2450" s="135" t="n">
        <f aca="false">$G2450*'Analyse capacite'!$F$7</f>
        <v>0</v>
      </c>
      <c r="I2450" s="135" t="n">
        <f aca="false">$G2450*'Analyse capacite'!$C$7</f>
        <v>0</v>
      </c>
      <c r="J2450" s="135" t="n">
        <f aca="false">$G2450*'Analyse capacite'!$D$7</f>
        <v>0</v>
      </c>
      <c r="K2450" s="135" t="n">
        <f aca="false">$G2450*'Analyse capacite'!$E$7</f>
        <v>0</v>
      </c>
    </row>
    <row r="2451" customFormat="false" ht="15" hidden="false" customHeight="false" outlineLevel="0" collapsed="false">
      <c r="B2451" s="130" t="n">
        <v>2027</v>
      </c>
      <c r="C2451" s="131" t="s">
        <v>248</v>
      </c>
      <c r="D2451" s="132" t="n">
        <v>46545</v>
      </c>
      <c r="E2451" s="131" t="s">
        <v>62</v>
      </c>
      <c r="F2451" s="133" t="s">
        <v>19</v>
      </c>
      <c r="G2451" s="134" t="n">
        <f aca="false">LEN('Saisie programme'!$D$125)+SUMIFS('Vols additionnels'!$E$7:$E$66,'Vols additionnels'!$C$7:$C$66,$E2451,'Vols additionnels'!$D$7:$D$66,$F2451,'Vols additionnels'!$B$7:$B$66,$D2451)</f>
        <v>0</v>
      </c>
      <c r="H2451" s="135" t="n">
        <f aca="false">$G2451*'Analyse capacite'!$F$8</f>
        <v>0</v>
      </c>
      <c r="I2451" s="135" t="n">
        <f aca="false">$G2451*'Analyse capacite'!$C$8</f>
        <v>0</v>
      </c>
      <c r="J2451" s="135" t="n">
        <f aca="false">$G2451*'Analyse capacite'!$D$8</f>
        <v>0</v>
      </c>
      <c r="K2451" s="135" t="n">
        <f aca="false">$G2451*'Analyse capacite'!$E$8</f>
        <v>0</v>
      </c>
    </row>
    <row r="2452" customFormat="false" ht="15" hidden="false" customHeight="false" outlineLevel="0" collapsed="false">
      <c r="B2452" s="130" t="n">
        <v>2027</v>
      </c>
      <c r="C2452" s="131" t="s">
        <v>248</v>
      </c>
      <c r="D2452" s="132" t="n">
        <v>46545</v>
      </c>
      <c r="E2452" s="131" t="s">
        <v>62</v>
      </c>
      <c r="F2452" s="133" t="s">
        <v>24</v>
      </c>
      <c r="G2452" s="134" t="n">
        <f aca="false">LEN('Saisie programme'!$D$126)+SUMIFS('Vols additionnels'!$E$7:$E$66,'Vols additionnels'!$C$7:$C$66,$E2452,'Vols additionnels'!$D$7:$D$66,$F2452,'Vols additionnels'!$B$7:$B$66,$D2452)</f>
        <v>0</v>
      </c>
      <c r="H2452" s="135" t="n">
        <f aca="false">$G2452*'Analyse capacite'!$F$9</f>
        <v>0</v>
      </c>
      <c r="I2452" s="135" t="n">
        <f aca="false">$G2452*'Analyse capacite'!$C$9</f>
        <v>0</v>
      </c>
      <c r="J2452" s="135" t="n">
        <f aca="false">$G2452*'Analyse capacite'!$D$9</f>
        <v>0</v>
      </c>
      <c r="K2452" s="135" t="n">
        <f aca="false">$G2452*'Analyse capacite'!$E$9</f>
        <v>0</v>
      </c>
    </row>
    <row r="2453" customFormat="false" ht="15" hidden="false" customHeight="false" outlineLevel="0" collapsed="false">
      <c r="B2453" s="130" t="n">
        <v>2027</v>
      </c>
      <c r="C2453" s="131" t="s">
        <v>248</v>
      </c>
      <c r="D2453" s="132" t="n">
        <v>46546</v>
      </c>
      <c r="E2453" s="131" t="s">
        <v>12</v>
      </c>
      <c r="F2453" s="133" t="s">
        <v>11</v>
      </c>
      <c r="G2453" s="134" t="n">
        <f aca="false">LEN('Saisie programme'!$E$91)+SUMIFS('Vols additionnels'!$E$7:$E$66,'Vols additionnels'!$C$7:$C$66,$E2453,'Vols additionnels'!$D$7:$D$66,$F2453,'Vols additionnels'!$B$7:$B$66,$D2453)</f>
        <v>1</v>
      </c>
      <c r="H2453" s="135" t="n">
        <f aca="false">$G2453*'Analyse capacite'!$F$7</f>
        <v>438</v>
      </c>
      <c r="I2453" s="135" t="n">
        <f aca="false">$G2453*'Analyse capacite'!$C$7</f>
        <v>14</v>
      </c>
      <c r="J2453" s="135" t="n">
        <f aca="false">$G2453*'Analyse capacite'!$D$7</f>
        <v>40</v>
      </c>
      <c r="K2453" s="135" t="n">
        <f aca="false">$G2453*'Analyse capacite'!$E$7</f>
        <v>384</v>
      </c>
    </row>
    <row r="2454" customFormat="false" ht="15" hidden="false" customHeight="false" outlineLevel="0" collapsed="false">
      <c r="B2454" s="130" t="n">
        <v>2027</v>
      </c>
      <c r="C2454" s="131" t="s">
        <v>248</v>
      </c>
      <c r="D2454" s="132" t="n">
        <v>46546</v>
      </c>
      <c r="E2454" s="131" t="s">
        <v>12</v>
      </c>
      <c r="F2454" s="133" t="s">
        <v>19</v>
      </c>
      <c r="G2454" s="134" t="n">
        <f aca="false">LEN('Saisie programme'!$E$92)+SUMIFS('Vols additionnels'!$E$7:$E$66,'Vols additionnels'!$C$7:$C$66,$E2454,'Vols additionnels'!$D$7:$D$66,$F2454,'Vols additionnels'!$B$7:$B$66,$D2454)</f>
        <v>0</v>
      </c>
      <c r="H2454" s="135" t="n">
        <f aca="false">$G2454*'Analyse capacite'!$F$8</f>
        <v>0</v>
      </c>
      <c r="I2454" s="135" t="n">
        <f aca="false">$G2454*'Analyse capacite'!$C$8</f>
        <v>0</v>
      </c>
      <c r="J2454" s="135" t="n">
        <f aca="false">$G2454*'Analyse capacite'!$D$8</f>
        <v>0</v>
      </c>
      <c r="K2454" s="135" t="n">
        <f aca="false">$G2454*'Analyse capacite'!$E$8</f>
        <v>0</v>
      </c>
    </row>
    <row r="2455" customFormat="false" ht="15" hidden="false" customHeight="false" outlineLevel="0" collapsed="false">
      <c r="B2455" s="130" t="n">
        <v>2027</v>
      </c>
      <c r="C2455" s="131" t="s">
        <v>248</v>
      </c>
      <c r="D2455" s="132" t="n">
        <v>46546</v>
      </c>
      <c r="E2455" s="131" t="s">
        <v>12</v>
      </c>
      <c r="F2455" s="133" t="s">
        <v>24</v>
      </c>
      <c r="G2455" s="134" t="n">
        <f aca="false">LEN('Saisie programme'!$E$93)+SUMIFS('Vols additionnels'!$E$7:$E$66,'Vols additionnels'!$C$7:$C$66,$E2455,'Vols additionnels'!$D$7:$D$66,$F2455,'Vols additionnels'!$B$7:$B$66,$D2455)</f>
        <v>0</v>
      </c>
      <c r="H2455" s="135" t="n">
        <f aca="false">$G2455*'Analyse capacite'!$F$9</f>
        <v>0</v>
      </c>
      <c r="I2455" s="135" t="n">
        <f aca="false">$G2455*'Analyse capacite'!$C$9</f>
        <v>0</v>
      </c>
      <c r="J2455" s="135" t="n">
        <f aca="false">$G2455*'Analyse capacite'!$D$9</f>
        <v>0</v>
      </c>
      <c r="K2455" s="135" t="n">
        <f aca="false">$G2455*'Analyse capacite'!$E$9</f>
        <v>0</v>
      </c>
    </row>
    <row r="2456" customFormat="false" ht="15" hidden="false" customHeight="false" outlineLevel="0" collapsed="false">
      <c r="B2456" s="130" t="n">
        <v>2027</v>
      </c>
      <c r="C2456" s="131" t="s">
        <v>248</v>
      </c>
      <c r="D2456" s="132" t="n">
        <v>46546</v>
      </c>
      <c r="E2456" s="131" t="s">
        <v>20</v>
      </c>
      <c r="F2456" s="133" t="s">
        <v>11</v>
      </c>
      <c r="G2456" s="134" t="n">
        <f aca="false">LEN('Saisie programme'!$E$94)+SUMIFS('Vols additionnels'!$E$7:$E$66,'Vols additionnels'!$C$7:$C$66,$E2456,'Vols additionnels'!$D$7:$D$66,$F2456,'Vols additionnels'!$B$7:$B$66,$D2456)</f>
        <v>0</v>
      </c>
      <c r="H2456" s="135" t="n">
        <f aca="false">$G2456*'Analyse capacite'!$F$7</f>
        <v>0</v>
      </c>
      <c r="I2456" s="135" t="n">
        <f aca="false">$G2456*'Analyse capacite'!$C$7</f>
        <v>0</v>
      </c>
      <c r="J2456" s="135" t="n">
        <f aca="false">$G2456*'Analyse capacite'!$D$7</f>
        <v>0</v>
      </c>
      <c r="K2456" s="135" t="n">
        <f aca="false">$G2456*'Analyse capacite'!$E$7</f>
        <v>0</v>
      </c>
    </row>
    <row r="2457" customFormat="false" ht="15" hidden="false" customHeight="false" outlineLevel="0" collapsed="false">
      <c r="B2457" s="130" t="n">
        <v>2027</v>
      </c>
      <c r="C2457" s="131" t="s">
        <v>248</v>
      </c>
      <c r="D2457" s="132" t="n">
        <v>46546</v>
      </c>
      <c r="E2457" s="131" t="s">
        <v>20</v>
      </c>
      <c r="F2457" s="133" t="s">
        <v>19</v>
      </c>
      <c r="G2457" s="134" t="n">
        <f aca="false">LEN('Saisie programme'!$E$95)+SUMIFS('Vols additionnels'!$E$7:$E$66,'Vols additionnels'!$C$7:$C$66,$E2457,'Vols additionnels'!$D$7:$D$66,$F2457,'Vols additionnels'!$B$7:$B$66,$D2457)</f>
        <v>1</v>
      </c>
      <c r="H2457" s="135" t="n">
        <f aca="false">$G2457*'Analyse capacite'!$F$8</f>
        <v>262</v>
      </c>
      <c r="I2457" s="135" t="n">
        <f aca="false">$G2457*'Analyse capacite'!$C$8</f>
        <v>18</v>
      </c>
      <c r="J2457" s="135" t="n">
        <f aca="false">$G2457*'Analyse capacite'!$D$8</f>
        <v>0</v>
      </c>
      <c r="K2457" s="135" t="n">
        <f aca="false">$G2457*'Analyse capacite'!$E$8</f>
        <v>244</v>
      </c>
    </row>
    <row r="2458" customFormat="false" ht="15" hidden="false" customHeight="false" outlineLevel="0" collapsed="false">
      <c r="B2458" s="130" t="n">
        <v>2027</v>
      </c>
      <c r="C2458" s="131" t="s">
        <v>248</v>
      </c>
      <c r="D2458" s="132" t="n">
        <v>46546</v>
      </c>
      <c r="E2458" s="131" t="s">
        <v>20</v>
      </c>
      <c r="F2458" s="133" t="s">
        <v>24</v>
      </c>
      <c r="G2458" s="134" t="n">
        <f aca="false">LEN('Saisie programme'!$E$96)+SUMIFS('Vols additionnels'!$E$7:$E$66,'Vols additionnels'!$C$7:$C$66,$E2458,'Vols additionnels'!$D$7:$D$66,$F2458,'Vols additionnels'!$B$7:$B$66,$D2458)</f>
        <v>0</v>
      </c>
      <c r="H2458" s="135" t="n">
        <f aca="false">$G2458*'Analyse capacite'!$F$9</f>
        <v>0</v>
      </c>
      <c r="I2458" s="135" t="n">
        <f aca="false">$G2458*'Analyse capacite'!$C$9</f>
        <v>0</v>
      </c>
      <c r="J2458" s="135" t="n">
        <f aca="false">$G2458*'Analyse capacite'!$D$9</f>
        <v>0</v>
      </c>
      <c r="K2458" s="135" t="n">
        <f aca="false">$G2458*'Analyse capacite'!$E$9</f>
        <v>0</v>
      </c>
    </row>
    <row r="2459" customFormat="false" ht="15" hidden="false" customHeight="false" outlineLevel="0" collapsed="false">
      <c r="B2459" s="130" t="n">
        <v>2027</v>
      </c>
      <c r="C2459" s="131" t="s">
        <v>248</v>
      </c>
      <c r="D2459" s="132" t="n">
        <v>46546</v>
      </c>
      <c r="E2459" s="131" t="s">
        <v>25</v>
      </c>
      <c r="F2459" s="133" t="s">
        <v>11</v>
      </c>
      <c r="G2459" s="134" t="n">
        <f aca="false">LEN('Saisie programme'!$E$97)+SUMIFS('Vols additionnels'!$E$7:$E$66,'Vols additionnels'!$C$7:$C$66,$E2459,'Vols additionnels'!$D$7:$D$66,$F2459,'Vols additionnels'!$B$7:$B$66,$D2459)</f>
        <v>0</v>
      </c>
      <c r="H2459" s="135" t="n">
        <f aca="false">$G2459*'Analyse capacite'!$F$7</f>
        <v>0</v>
      </c>
      <c r="I2459" s="135" t="n">
        <f aca="false">$G2459*'Analyse capacite'!$C$7</f>
        <v>0</v>
      </c>
      <c r="J2459" s="135" t="n">
        <f aca="false">$G2459*'Analyse capacite'!$D$7</f>
        <v>0</v>
      </c>
      <c r="K2459" s="135" t="n">
        <f aca="false">$G2459*'Analyse capacite'!$E$7</f>
        <v>0</v>
      </c>
    </row>
    <row r="2460" customFormat="false" ht="15" hidden="false" customHeight="false" outlineLevel="0" collapsed="false">
      <c r="B2460" s="130" t="n">
        <v>2027</v>
      </c>
      <c r="C2460" s="131" t="s">
        <v>248</v>
      </c>
      <c r="D2460" s="132" t="n">
        <v>46546</v>
      </c>
      <c r="E2460" s="131" t="s">
        <v>25</v>
      </c>
      <c r="F2460" s="133" t="s">
        <v>19</v>
      </c>
      <c r="G2460" s="134" t="n">
        <f aca="false">LEN('Saisie programme'!$E$98)+SUMIFS('Vols additionnels'!$E$7:$E$66,'Vols additionnels'!$C$7:$C$66,$E2460,'Vols additionnels'!$D$7:$D$66,$F2460,'Vols additionnels'!$B$7:$B$66,$D2460)</f>
        <v>0</v>
      </c>
      <c r="H2460" s="135" t="n">
        <f aca="false">$G2460*'Analyse capacite'!$F$8</f>
        <v>0</v>
      </c>
      <c r="I2460" s="135" t="n">
        <f aca="false">$G2460*'Analyse capacite'!$C$8</f>
        <v>0</v>
      </c>
      <c r="J2460" s="135" t="n">
        <f aca="false">$G2460*'Analyse capacite'!$D$8</f>
        <v>0</v>
      </c>
      <c r="K2460" s="135" t="n">
        <f aca="false">$G2460*'Analyse capacite'!$E$8</f>
        <v>0</v>
      </c>
    </row>
    <row r="2461" customFormat="false" ht="15" hidden="false" customHeight="false" outlineLevel="0" collapsed="false">
      <c r="B2461" s="130" t="n">
        <v>2027</v>
      </c>
      <c r="C2461" s="131" t="s">
        <v>248</v>
      </c>
      <c r="D2461" s="132" t="n">
        <v>46546</v>
      </c>
      <c r="E2461" s="131" t="s">
        <v>25</v>
      </c>
      <c r="F2461" s="133" t="s">
        <v>24</v>
      </c>
      <c r="G2461" s="134" t="n">
        <f aca="false">LEN('Saisie programme'!$E$99)+SUMIFS('Vols additionnels'!$E$7:$E$66,'Vols additionnels'!$C$7:$C$66,$E2461,'Vols additionnels'!$D$7:$D$66,$F2461,'Vols additionnels'!$B$7:$B$66,$D2461)</f>
        <v>0</v>
      </c>
      <c r="H2461" s="135" t="n">
        <f aca="false">$G2461*'Analyse capacite'!$F$9</f>
        <v>0</v>
      </c>
      <c r="I2461" s="135" t="n">
        <f aca="false">$G2461*'Analyse capacite'!$C$9</f>
        <v>0</v>
      </c>
      <c r="J2461" s="135" t="n">
        <f aca="false">$G2461*'Analyse capacite'!$D$9</f>
        <v>0</v>
      </c>
      <c r="K2461" s="135" t="n">
        <f aca="false">$G2461*'Analyse capacite'!$E$9</f>
        <v>0</v>
      </c>
    </row>
    <row r="2462" customFormat="false" ht="15" hidden="false" customHeight="false" outlineLevel="0" collapsed="false">
      <c r="B2462" s="130" t="n">
        <v>2027</v>
      </c>
      <c r="C2462" s="131" t="s">
        <v>248</v>
      </c>
      <c r="D2462" s="132" t="n">
        <v>46546</v>
      </c>
      <c r="E2462" s="131" t="s">
        <v>36</v>
      </c>
      <c r="F2462" s="133" t="s">
        <v>11</v>
      </c>
      <c r="G2462" s="134" t="n">
        <f aca="false">LEN('Saisie programme'!$E$100)+SUMIFS('Vols additionnels'!$E$7:$E$66,'Vols additionnels'!$C$7:$C$66,$E2462,'Vols additionnels'!$D$7:$D$66,$F2462,'Vols additionnels'!$B$7:$B$66,$D2462)</f>
        <v>0</v>
      </c>
      <c r="H2462" s="135" t="n">
        <f aca="false">$G2462*'Analyse capacite'!$F$7</f>
        <v>0</v>
      </c>
      <c r="I2462" s="135" t="n">
        <f aca="false">$G2462*'Analyse capacite'!$C$7</f>
        <v>0</v>
      </c>
      <c r="J2462" s="135" t="n">
        <f aca="false">$G2462*'Analyse capacite'!$D$7</f>
        <v>0</v>
      </c>
      <c r="K2462" s="135" t="n">
        <f aca="false">$G2462*'Analyse capacite'!$E$7</f>
        <v>0</v>
      </c>
    </row>
    <row r="2463" customFormat="false" ht="15" hidden="false" customHeight="false" outlineLevel="0" collapsed="false">
      <c r="B2463" s="130" t="n">
        <v>2027</v>
      </c>
      <c r="C2463" s="131" t="s">
        <v>248</v>
      </c>
      <c r="D2463" s="132" t="n">
        <v>46546</v>
      </c>
      <c r="E2463" s="131" t="s">
        <v>36</v>
      </c>
      <c r="F2463" s="133" t="s">
        <v>19</v>
      </c>
      <c r="G2463" s="134" t="n">
        <f aca="false">LEN('Saisie programme'!$E$101)+SUMIFS('Vols additionnels'!$E$7:$E$66,'Vols additionnels'!$C$7:$C$66,$E2463,'Vols additionnels'!$D$7:$D$66,$F2463,'Vols additionnels'!$B$7:$B$66,$D2463)</f>
        <v>0</v>
      </c>
      <c r="H2463" s="135" t="n">
        <f aca="false">$G2463*'Analyse capacite'!$F$8</f>
        <v>0</v>
      </c>
      <c r="I2463" s="135" t="n">
        <f aca="false">$G2463*'Analyse capacite'!$C$8</f>
        <v>0</v>
      </c>
      <c r="J2463" s="135" t="n">
        <f aca="false">$G2463*'Analyse capacite'!$D$8</f>
        <v>0</v>
      </c>
      <c r="K2463" s="135" t="n">
        <f aca="false">$G2463*'Analyse capacite'!$E$8</f>
        <v>0</v>
      </c>
    </row>
    <row r="2464" customFormat="false" ht="15" hidden="false" customHeight="false" outlineLevel="0" collapsed="false">
      <c r="B2464" s="130" t="n">
        <v>2027</v>
      </c>
      <c r="C2464" s="131" t="s">
        <v>248</v>
      </c>
      <c r="D2464" s="132" t="n">
        <v>46546</v>
      </c>
      <c r="E2464" s="131" t="s">
        <v>36</v>
      </c>
      <c r="F2464" s="133" t="s">
        <v>24</v>
      </c>
      <c r="G2464" s="134" t="n">
        <f aca="false">LEN('Saisie programme'!$E$102)+SUMIFS('Vols additionnels'!$E$7:$E$66,'Vols additionnels'!$C$7:$C$66,$E2464,'Vols additionnels'!$D$7:$D$66,$F2464,'Vols additionnels'!$B$7:$B$66,$D2464)</f>
        <v>1</v>
      </c>
      <c r="H2464" s="135" t="n">
        <f aca="false">$G2464*'Analyse capacite'!$F$9</f>
        <v>174</v>
      </c>
      <c r="I2464" s="135" t="n">
        <f aca="false">$G2464*'Analyse capacite'!$C$9</f>
        <v>0</v>
      </c>
      <c r="J2464" s="135" t="n">
        <f aca="false">$G2464*'Analyse capacite'!$D$9</f>
        <v>12</v>
      </c>
      <c r="K2464" s="135" t="n">
        <f aca="false">$G2464*'Analyse capacite'!$E$9</f>
        <v>162</v>
      </c>
    </row>
    <row r="2465" customFormat="false" ht="15" hidden="false" customHeight="false" outlineLevel="0" collapsed="false">
      <c r="B2465" s="130" t="n">
        <v>2027</v>
      </c>
      <c r="C2465" s="131" t="s">
        <v>248</v>
      </c>
      <c r="D2465" s="132" t="n">
        <v>46546</v>
      </c>
      <c r="E2465" s="131" t="s">
        <v>40</v>
      </c>
      <c r="F2465" s="133" t="s">
        <v>11</v>
      </c>
      <c r="G2465" s="134" t="n">
        <f aca="false">LEN('Saisie programme'!$E$103)+SUMIFS('Vols additionnels'!$E$7:$E$66,'Vols additionnels'!$C$7:$C$66,$E2465,'Vols additionnels'!$D$7:$D$66,$F2465,'Vols additionnels'!$B$7:$B$66,$D2465)</f>
        <v>0</v>
      </c>
      <c r="H2465" s="135" t="n">
        <f aca="false">$G2465*'Analyse capacite'!$F$7</f>
        <v>0</v>
      </c>
      <c r="I2465" s="135" t="n">
        <f aca="false">$G2465*'Analyse capacite'!$C$7</f>
        <v>0</v>
      </c>
      <c r="J2465" s="135" t="n">
        <f aca="false">$G2465*'Analyse capacite'!$D$7</f>
        <v>0</v>
      </c>
      <c r="K2465" s="135" t="n">
        <f aca="false">$G2465*'Analyse capacite'!$E$7</f>
        <v>0</v>
      </c>
    </row>
    <row r="2466" customFormat="false" ht="15" hidden="false" customHeight="false" outlineLevel="0" collapsed="false">
      <c r="B2466" s="130" t="n">
        <v>2027</v>
      </c>
      <c r="C2466" s="131" t="s">
        <v>248</v>
      </c>
      <c r="D2466" s="132" t="n">
        <v>46546</v>
      </c>
      <c r="E2466" s="131" t="s">
        <v>40</v>
      </c>
      <c r="F2466" s="133" t="s">
        <v>19</v>
      </c>
      <c r="G2466" s="134" t="n">
        <f aca="false">LEN('Saisie programme'!$E$104)+SUMIFS('Vols additionnels'!$E$7:$E$66,'Vols additionnels'!$C$7:$C$66,$E2466,'Vols additionnels'!$D$7:$D$66,$F2466,'Vols additionnels'!$B$7:$B$66,$D2466)</f>
        <v>0</v>
      </c>
      <c r="H2466" s="135" t="n">
        <f aca="false">$G2466*'Analyse capacite'!$F$8</f>
        <v>0</v>
      </c>
      <c r="I2466" s="135" t="n">
        <f aca="false">$G2466*'Analyse capacite'!$C$8</f>
        <v>0</v>
      </c>
      <c r="J2466" s="135" t="n">
        <f aca="false">$G2466*'Analyse capacite'!$D$8</f>
        <v>0</v>
      </c>
      <c r="K2466" s="135" t="n">
        <f aca="false">$G2466*'Analyse capacite'!$E$8</f>
        <v>0</v>
      </c>
    </row>
    <row r="2467" customFormat="false" ht="15" hidden="false" customHeight="false" outlineLevel="0" collapsed="false">
      <c r="B2467" s="130" t="n">
        <v>2027</v>
      </c>
      <c r="C2467" s="131" t="s">
        <v>248</v>
      </c>
      <c r="D2467" s="132" t="n">
        <v>46546</v>
      </c>
      <c r="E2467" s="131" t="s">
        <v>40</v>
      </c>
      <c r="F2467" s="133" t="s">
        <v>24</v>
      </c>
      <c r="G2467" s="134" t="n">
        <f aca="false">LEN('Saisie programme'!$E$105)+SUMIFS('Vols additionnels'!$E$7:$E$66,'Vols additionnels'!$C$7:$C$66,$E2467,'Vols additionnels'!$D$7:$D$66,$F2467,'Vols additionnels'!$B$7:$B$66,$D2467)</f>
        <v>0</v>
      </c>
      <c r="H2467" s="135" t="n">
        <f aca="false">$G2467*'Analyse capacite'!$F$9</f>
        <v>0</v>
      </c>
      <c r="I2467" s="135" t="n">
        <f aca="false">$G2467*'Analyse capacite'!$C$9</f>
        <v>0</v>
      </c>
      <c r="J2467" s="135" t="n">
        <f aca="false">$G2467*'Analyse capacite'!$D$9</f>
        <v>0</v>
      </c>
      <c r="K2467" s="135" t="n">
        <f aca="false">$G2467*'Analyse capacite'!$E$9</f>
        <v>0</v>
      </c>
    </row>
    <row r="2468" customFormat="false" ht="15" hidden="false" customHeight="false" outlineLevel="0" collapsed="false">
      <c r="B2468" s="130" t="n">
        <v>2027</v>
      </c>
      <c r="C2468" s="131" t="s">
        <v>248</v>
      </c>
      <c r="D2468" s="132" t="n">
        <v>46546</v>
      </c>
      <c r="E2468" s="131" t="s">
        <v>14</v>
      </c>
      <c r="F2468" s="133" t="s">
        <v>11</v>
      </c>
      <c r="G2468" s="134" t="n">
        <f aca="false">LEN('Saisie programme'!$E$106)+SUMIFS('Vols additionnels'!$E$7:$E$66,'Vols additionnels'!$C$7:$C$66,$E2468,'Vols additionnels'!$D$7:$D$66,$F2468,'Vols additionnels'!$B$7:$B$66,$D2468)</f>
        <v>0</v>
      </c>
      <c r="H2468" s="135" t="n">
        <f aca="false">$G2468*'Analyse capacite'!$F$7</f>
        <v>0</v>
      </c>
      <c r="I2468" s="135" t="n">
        <f aca="false">$G2468*'Analyse capacite'!$C$7</f>
        <v>0</v>
      </c>
      <c r="J2468" s="135" t="n">
        <f aca="false">$G2468*'Analyse capacite'!$D$7</f>
        <v>0</v>
      </c>
      <c r="K2468" s="135" t="n">
        <f aca="false">$G2468*'Analyse capacite'!$E$7</f>
        <v>0</v>
      </c>
    </row>
    <row r="2469" customFormat="false" ht="15" hidden="false" customHeight="false" outlineLevel="0" collapsed="false">
      <c r="B2469" s="130" t="n">
        <v>2027</v>
      </c>
      <c r="C2469" s="131" t="s">
        <v>248</v>
      </c>
      <c r="D2469" s="132" t="n">
        <v>46546</v>
      </c>
      <c r="E2469" s="131" t="s">
        <v>14</v>
      </c>
      <c r="F2469" s="133" t="s">
        <v>19</v>
      </c>
      <c r="G2469" s="134" t="n">
        <f aca="false">LEN('Saisie programme'!$E$107)+SUMIFS('Vols additionnels'!$E$7:$E$66,'Vols additionnels'!$C$7:$C$66,$E2469,'Vols additionnels'!$D$7:$D$66,$F2469,'Vols additionnels'!$B$7:$B$66,$D2469)</f>
        <v>0</v>
      </c>
      <c r="H2469" s="135" t="n">
        <f aca="false">$G2469*'Analyse capacite'!$F$8</f>
        <v>0</v>
      </c>
      <c r="I2469" s="135" t="n">
        <f aca="false">$G2469*'Analyse capacite'!$C$8</f>
        <v>0</v>
      </c>
      <c r="J2469" s="135" t="n">
        <f aca="false">$G2469*'Analyse capacite'!$D$8</f>
        <v>0</v>
      </c>
      <c r="K2469" s="135" t="n">
        <f aca="false">$G2469*'Analyse capacite'!$E$8</f>
        <v>0</v>
      </c>
    </row>
    <row r="2470" customFormat="false" ht="15" hidden="false" customHeight="false" outlineLevel="0" collapsed="false">
      <c r="B2470" s="130" t="n">
        <v>2027</v>
      </c>
      <c r="C2470" s="131" t="s">
        <v>248</v>
      </c>
      <c r="D2470" s="132" t="n">
        <v>46546</v>
      </c>
      <c r="E2470" s="131" t="s">
        <v>14</v>
      </c>
      <c r="F2470" s="133" t="s">
        <v>24</v>
      </c>
      <c r="G2470" s="134" t="n">
        <f aca="false">LEN('Saisie programme'!$E$108)+SUMIFS('Vols additionnels'!$E$7:$E$66,'Vols additionnels'!$C$7:$C$66,$E2470,'Vols additionnels'!$D$7:$D$66,$F2470,'Vols additionnels'!$B$7:$B$66,$D2470)</f>
        <v>0</v>
      </c>
      <c r="H2470" s="135" t="n">
        <f aca="false">$G2470*'Analyse capacite'!$F$9</f>
        <v>0</v>
      </c>
      <c r="I2470" s="135" t="n">
        <f aca="false">$G2470*'Analyse capacite'!$C$9</f>
        <v>0</v>
      </c>
      <c r="J2470" s="135" t="n">
        <f aca="false">$G2470*'Analyse capacite'!$D$9</f>
        <v>0</v>
      </c>
      <c r="K2470" s="135" t="n">
        <f aca="false">$G2470*'Analyse capacite'!$E$9</f>
        <v>0</v>
      </c>
    </row>
    <row r="2471" customFormat="false" ht="15" hidden="false" customHeight="false" outlineLevel="0" collapsed="false">
      <c r="B2471" s="130" t="n">
        <v>2027</v>
      </c>
      <c r="C2471" s="131" t="s">
        <v>248</v>
      </c>
      <c r="D2471" s="132" t="n">
        <v>46546</v>
      </c>
      <c r="E2471" s="131" t="s">
        <v>46</v>
      </c>
      <c r="F2471" s="133" t="s">
        <v>11</v>
      </c>
      <c r="G2471" s="134" t="n">
        <f aca="false">LEN('Saisie programme'!$E$109)+SUMIFS('Vols additionnels'!$E$7:$E$66,'Vols additionnels'!$C$7:$C$66,$E2471,'Vols additionnels'!$D$7:$D$66,$F2471,'Vols additionnels'!$B$7:$B$66,$D2471)</f>
        <v>0</v>
      </c>
      <c r="H2471" s="135" t="n">
        <f aca="false">$G2471*'Analyse capacite'!$F$7</f>
        <v>0</v>
      </c>
      <c r="I2471" s="135" t="n">
        <f aca="false">$G2471*'Analyse capacite'!$C$7</f>
        <v>0</v>
      </c>
      <c r="J2471" s="135" t="n">
        <f aca="false">$G2471*'Analyse capacite'!$D$7</f>
        <v>0</v>
      </c>
      <c r="K2471" s="135" t="n">
        <f aca="false">$G2471*'Analyse capacite'!$E$7</f>
        <v>0</v>
      </c>
    </row>
    <row r="2472" customFormat="false" ht="15" hidden="false" customHeight="false" outlineLevel="0" collapsed="false">
      <c r="B2472" s="130" t="n">
        <v>2027</v>
      </c>
      <c r="C2472" s="131" t="s">
        <v>248</v>
      </c>
      <c r="D2472" s="132" t="n">
        <v>46546</v>
      </c>
      <c r="E2472" s="131" t="s">
        <v>46</v>
      </c>
      <c r="F2472" s="133" t="s">
        <v>19</v>
      </c>
      <c r="G2472" s="134" t="n">
        <f aca="false">LEN('Saisie programme'!$E$110)+SUMIFS('Vols additionnels'!$E$7:$E$66,'Vols additionnels'!$C$7:$C$66,$E2472,'Vols additionnels'!$D$7:$D$66,$F2472,'Vols additionnels'!$B$7:$B$66,$D2472)</f>
        <v>0</v>
      </c>
      <c r="H2472" s="135" t="n">
        <f aca="false">$G2472*'Analyse capacite'!$F$8</f>
        <v>0</v>
      </c>
      <c r="I2472" s="135" t="n">
        <f aca="false">$G2472*'Analyse capacite'!$C$8</f>
        <v>0</v>
      </c>
      <c r="J2472" s="135" t="n">
        <f aca="false">$G2472*'Analyse capacite'!$D$8</f>
        <v>0</v>
      </c>
      <c r="K2472" s="135" t="n">
        <f aca="false">$G2472*'Analyse capacite'!$E$8</f>
        <v>0</v>
      </c>
    </row>
    <row r="2473" customFormat="false" ht="15" hidden="false" customHeight="false" outlineLevel="0" collapsed="false">
      <c r="B2473" s="130" t="n">
        <v>2027</v>
      </c>
      <c r="C2473" s="131" t="s">
        <v>248</v>
      </c>
      <c r="D2473" s="132" t="n">
        <v>46546</v>
      </c>
      <c r="E2473" s="131" t="s">
        <v>46</v>
      </c>
      <c r="F2473" s="133" t="s">
        <v>24</v>
      </c>
      <c r="G2473" s="134" t="n">
        <f aca="false">LEN('Saisie programme'!$E$111)+SUMIFS('Vols additionnels'!$E$7:$E$66,'Vols additionnels'!$C$7:$C$66,$E2473,'Vols additionnels'!$D$7:$D$66,$F2473,'Vols additionnels'!$B$7:$B$66,$D2473)</f>
        <v>1</v>
      </c>
      <c r="H2473" s="135" t="n">
        <f aca="false">$G2473*'Analyse capacite'!$F$9</f>
        <v>174</v>
      </c>
      <c r="I2473" s="135" t="n">
        <f aca="false">$G2473*'Analyse capacite'!$C$9</f>
        <v>0</v>
      </c>
      <c r="J2473" s="135" t="n">
        <f aca="false">$G2473*'Analyse capacite'!$D$9</f>
        <v>12</v>
      </c>
      <c r="K2473" s="135" t="n">
        <f aca="false">$G2473*'Analyse capacite'!$E$9</f>
        <v>162</v>
      </c>
    </row>
    <row r="2474" customFormat="false" ht="15" hidden="false" customHeight="false" outlineLevel="0" collapsed="false">
      <c r="B2474" s="130" t="n">
        <v>2027</v>
      </c>
      <c r="C2474" s="131" t="s">
        <v>248</v>
      </c>
      <c r="D2474" s="132" t="n">
        <v>46546</v>
      </c>
      <c r="E2474" s="131" t="s">
        <v>49</v>
      </c>
      <c r="F2474" s="133" t="s">
        <v>11</v>
      </c>
      <c r="G2474" s="134" t="n">
        <f aca="false">LEN('Saisie programme'!$E$112)+SUMIFS('Vols additionnels'!$E$7:$E$66,'Vols additionnels'!$C$7:$C$66,$E2474,'Vols additionnels'!$D$7:$D$66,$F2474,'Vols additionnels'!$B$7:$B$66,$D2474)</f>
        <v>0</v>
      </c>
      <c r="H2474" s="135" t="n">
        <f aca="false">$G2474*'Analyse capacite'!$F$7</f>
        <v>0</v>
      </c>
      <c r="I2474" s="135" t="n">
        <f aca="false">$G2474*'Analyse capacite'!$C$7</f>
        <v>0</v>
      </c>
      <c r="J2474" s="135" t="n">
        <f aca="false">$G2474*'Analyse capacite'!$D$7</f>
        <v>0</v>
      </c>
      <c r="K2474" s="135" t="n">
        <f aca="false">$G2474*'Analyse capacite'!$E$7</f>
        <v>0</v>
      </c>
    </row>
    <row r="2475" customFormat="false" ht="15" hidden="false" customHeight="false" outlineLevel="0" collapsed="false">
      <c r="B2475" s="130" t="n">
        <v>2027</v>
      </c>
      <c r="C2475" s="131" t="s">
        <v>248</v>
      </c>
      <c r="D2475" s="132" t="n">
        <v>46546</v>
      </c>
      <c r="E2475" s="131" t="s">
        <v>49</v>
      </c>
      <c r="F2475" s="133" t="s">
        <v>19</v>
      </c>
      <c r="G2475" s="134" t="n">
        <f aca="false">LEN('Saisie programme'!$E$113)+SUMIFS('Vols additionnels'!$E$7:$E$66,'Vols additionnels'!$C$7:$C$66,$E2475,'Vols additionnels'!$D$7:$D$66,$F2475,'Vols additionnels'!$B$7:$B$66,$D2475)</f>
        <v>0</v>
      </c>
      <c r="H2475" s="135" t="n">
        <f aca="false">$G2475*'Analyse capacite'!$F$8</f>
        <v>0</v>
      </c>
      <c r="I2475" s="135" t="n">
        <f aca="false">$G2475*'Analyse capacite'!$C$8</f>
        <v>0</v>
      </c>
      <c r="J2475" s="135" t="n">
        <f aca="false">$G2475*'Analyse capacite'!$D$8</f>
        <v>0</v>
      </c>
      <c r="K2475" s="135" t="n">
        <f aca="false">$G2475*'Analyse capacite'!$E$8</f>
        <v>0</v>
      </c>
    </row>
    <row r="2476" customFormat="false" ht="15" hidden="false" customHeight="false" outlineLevel="0" collapsed="false">
      <c r="B2476" s="130" t="n">
        <v>2027</v>
      </c>
      <c r="C2476" s="131" t="s">
        <v>248</v>
      </c>
      <c r="D2476" s="132" t="n">
        <v>46546</v>
      </c>
      <c r="E2476" s="131" t="s">
        <v>49</v>
      </c>
      <c r="F2476" s="133" t="s">
        <v>24</v>
      </c>
      <c r="G2476" s="134" t="n">
        <f aca="false">LEN('Saisie programme'!$E$114)+SUMIFS('Vols additionnels'!$E$7:$E$66,'Vols additionnels'!$C$7:$C$66,$E2476,'Vols additionnels'!$D$7:$D$66,$F2476,'Vols additionnels'!$B$7:$B$66,$D2476)</f>
        <v>0</v>
      </c>
      <c r="H2476" s="135" t="n">
        <f aca="false">$G2476*'Analyse capacite'!$F$9</f>
        <v>0</v>
      </c>
      <c r="I2476" s="135" t="n">
        <f aca="false">$G2476*'Analyse capacite'!$C$9</f>
        <v>0</v>
      </c>
      <c r="J2476" s="135" t="n">
        <f aca="false">$G2476*'Analyse capacite'!$D$9</f>
        <v>0</v>
      </c>
      <c r="K2476" s="135" t="n">
        <f aca="false">$G2476*'Analyse capacite'!$E$9</f>
        <v>0</v>
      </c>
    </row>
    <row r="2477" customFormat="false" ht="15" hidden="false" customHeight="false" outlineLevel="0" collapsed="false">
      <c r="B2477" s="130" t="n">
        <v>2027</v>
      </c>
      <c r="C2477" s="131" t="s">
        <v>248</v>
      </c>
      <c r="D2477" s="132" t="n">
        <v>46546</v>
      </c>
      <c r="E2477" s="131" t="s">
        <v>53</v>
      </c>
      <c r="F2477" s="133" t="s">
        <v>11</v>
      </c>
      <c r="G2477" s="134" t="n">
        <f aca="false">LEN('Saisie programme'!$E$115)+SUMIFS('Vols additionnels'!$E$7:$E$66,'Vols additionnels'!$C$7:$C$66,$E2477,'Vols additionnels'!$D$7:$D$66,$F2477,'Vols additionnels'!$B$7:$B$66,$D2477)</f>
        <v>0</v>
      </c>
      <c r="H2477" s="135" t="n">
        <f aca="false">$G2477*'Analyse capacite'!$F$7</f>
        <v>0</v>
      </c>
      <c r="I2477" s="135" t="n">
        <f aca="false">$G2477*'Analyse capacite'!$C$7</f>
        <v>0</v>
      </c>
      <c r="J2477" s="135" t="n">
        <f aca="false">$G2477*'Analyse capacite'!$D$7</f>
        <v>0</v>
      </c>
      <c r="K2477" s="135" t="n">
        <f aca="false">$G2477*'Analyse capacite'!$E$7</f>
        <v>0</v>
      </c>
    </row>
    <row r="2478" customFormat="false" ht="15" hidden="false" customHeight="false" outlineLevel="0" collapsed="false">
      <c r="B2478" s="130" t="n">
        <v>2027</v>
      </c>
      <c r="C2478" s="131" t="s">
        <v>248</v>
      </c>
      <c r="D2478" s="132" t="n">
        <v>46546</v>
      </c>
      <c r="E2478" s="131" t="s">
        <v>53</v>
      </c>
      <c r="F2478" s="133" t="s">
        <v>19</v>
      </c>
      <c r="G2478" s="134" t="n">
        <f aca="false">LEN('Saisie programme'!$E$116)+SUMIFS('Vols additionnels'!$E$7:$E$66,'Vols additionnels'!$C$7:$C$66,$E2478,'Vols additionnels'!$D$7:$D$66,$F2478,'Vols additionnels'!$B$7:$B$66,$D2478)</f>
        <v>0</v>
      </c>
      <c r="H2478" s="135" t="n">
        <f aca="false">$G2478*'Analyse capacite'!$F$8</f>
        <v>0</v>
      </c>
      <c r="I2478" s="135" t="n">
        <f aca="false">$G2478*'Analyse capacite'!$C$8</f>
        <v>0</v>
      </c>
      <c r="J2478" s="135" t="n">
        <f aca="false">$G2478*'Analyse capacite'!$D$8</f>
        <v>0</v>
      </c>
      <c r="K2478" s="135" t="n">
        <f aca="false">$G2478*'Analyse capacite'!$E$8</f>
        <v>0</v>
      </c>
    </row>
    <row r="2479" customFormat="false" ht="15" hidden="false" customHeight="false" outlineLevel="0" collapsed="false">
      <c r="B2479" s="130" t="n">
        <v>2027</v>
      </c>
      <c r="C2479" s="131" t="s">
        <v>248</v>
      </c>
      <c r="D2479" s="132" t="n">
        <v>46546</v>
      </c>
      <c r="E2479" s="131" t="s">
        <v>53</v>
      </c>
      <c r="F2479" s="133" t="s">
        <v>24</v>
      </c>
      <c r="G2479" s="134" t="n">
        <f aca="false">LEN('Saisie programme'!$E$117)+SUMIFS('Vols additionnels'!$E$7:$E$66,'Vols additionnels'!$C$7:$C$66,$E2479,'Vols additionnels'!$D$7:$D$66,$F2479,'Vols additionnels'!$B$7:$B$66,$D2479)</f>
        <v>0</v>
      </c>
      <c r="H2479" s="135" t="n">
        <f aca="false">$G2479*'Analyse capacite'!$F$9</f>
        <v>0</v>
      </c>
      <c r="I2479" s="135" t="n">
        <f aca="false">$G2479*'Analyse capacite'!$C$9</f>
        <v>0</v>
      </c>
      <c r="J2479" s="135" t="n">
        <f aca="false">$G2479*'Analyse capacite'!$D$9</f>
        <v>0</v>
      </c>
      <c r="K2479" s="135" t="n">
        <f aca="false">$G2479*'Analyse capacite'!$E$9</f>
        <v>0</v>
      </c>
    </row>
    <row r="2480" customFormat="false" ht="15" hidden="false" customHeight="false" outlineLevel="0" collapsed="false">
      <c r="B2480" s="130" t="n">
        <v>2027</v>
      </c>
      <c r="C2480" s="131" t="s">
        <v>248</v>
      </c>
      <c r="D2480" s="132" t="n">
        <v>46546</v>
      </c>
      <c r="E2480" s="131" t="s">
        <v>56</v>
      </c>
      <c r="F2480" s="133" t="s">
        <v>11</v>
      </c>
      <c r="G2480" s="134" t="n">
        <f aca="false">LEN('Saisie programme'!$E$118)+SUMIFS('Vols additionnels'!$E$7:$E$66,'Vols additionnels'!$C$7:$C$66,$E2480,'Vols additionnels'!$D$7:$D$66,$F2480,'Vols additionnels'!$B$7:$B$66,$D2480)</f>
        <v>0</v>
      </c>
      <c r="H2480" s="135" t="n">
        <f aca="false">$G2480*'Analyse capacite'!$F$7</f>
        <v>0</v>
      </c>
      <c r="I2480" s="135" t="n">
        <f aca="false">$G2480*'Analyse capacite'!$C$7</f>
        <v>0</v>
      </c>
      <c r="J2480" s="135" t="n">
        <f aca="false">$G2480*'Analyse capacite'!$D$7</f>
        <v>0</v>
      </c>
      <c r="K2480" s="135" t="n">
        <f aca="false">$G2480*'Analyse capacite'!$E$7</f>
        <v>0</v>
      </c>
    </row>
    <row r="2481" customFormat="false" ht="15" hidden="false" customHeight="false" outlineLevel="0" collapsed="false">
      <c r="B2481" s="130" t="n">
        <v>2027</v>
      </c>
      <c r="C2481" s="131" t="s">
        <v>248</v>
      </c>
      <c r="D2481" s="132" t="n">
        <v>46546</v>
      </c>
      <c r="E2481" s="131" t="s">
        <v>56</v>
      </c>
      <c r="F2481" s="133" t="s">
        <v>19</v>
      </c>
      <c r="G2481" s="134" t="n">
        <f aca="false">LEN('Saisie programme'!$E$119)+SUMIFS('Vols additionnels'!$E$7:$E$66,'Vols additionnels'!$C$7:$C$66,$E2481,'Vols additionnels'!$D$7:$D$66,$F2481,'Vols additionnels'!$B$7:$B$66,$D2481)</f>
        <v>0</v>
      </c>
      <c r="H2481" s="135" t="n">
        <f aca="false">$G2481*'Analyse capacite'!$F$8</f>
        <v>0</v>
      </c>
      <c r="I2481" s="135" t="n">
        <f aca="false">$G2481*'Analyse capacite'!$C$8</f>
        <v>0</v>
      </c>
      <c r="J2481" s="135" t="n">
        <f aca="false">$G2481*'Analyse capacite'!$D$8</f>
        <v>0</v>
      </c>
      <c r="K2481" s="135" t="n">
        <f aca="false">$G2481*'Analyse capacite'!$E$8</f>
        <v>0</v>
      </c>
    </row>
    <row r="2482" customFormat="false" ht="15" hidden="false" customHeight="false" outlineLevel="0" collapsed="false">
      <c r="B2482" s="130" t="n">
        <v>2027</v>
      </c>
      <c r="C2482" s="131" t="s">
        <v>248</v>
      </c>
      <c r="D2482" s="132" t="n">
        <v>46546</v>
      </c>
      <c r="E2482" s="131" t="s">
        <v>56</v>
      </c>
      <c r="F2482" s="133" t="s">
        <v>24</v>
      </c>
      <c r="G2482" s="134" t="n">
        <f aca="false">LEN('Saisie programme'!$E$120)+SUMIFS('Vols additionnels'!$E$7:$E$66,'Vols additionnels'!$C$7:$C$66,$E2482,'Vols additionnels'!$D$7:$D$66,$F2482,'Vols additionnels'!$B$7:$B$66,$D2482)</f>
        <v>1</v>
      </c>
      <c r="H2482" s="135" t="n">
        <f aca="false">$G2482*'Analyse capacite'!$F$9</f>
        <v>174</v>
      </c>
      <c r="I2482" s="135" t="n">
        <f aca="false">$G2482*'Analyse capacite'!$C$9</f>
        <v>0</v>
      </c>
      <c r="J2482" s="135" t="n">
        <f aca="false">$G2482*'Analyse capacite'!$D$9</f>
        <v>12</v>
      </c>
      <c r="K2482" s="135" t="n">
        <f aca="false">$G2482*'Analyse capacite'!$E$9</f>
        <v>162</v>
      </c>
    </row>
    <row r="2483" customFormat="false" ht="15" hidden="false" customHeight="false" outlineLevel="0" collapsed="false">
      <c r="B2483" s="130" t="n">
        <v>2027</v>
      </c>
      <c r="C2483" s="131" t="s">
        <v>248</v>
      </c>
      <c r="D2483" s="132" t="n">
        <v>46546</v>
      </c>
      <c r="E2483" s="131" t="s">
        <v>59</v>
      </c>
      <c r="F2483" s="133" t="s">
        <v>11</v>
      </c>
      <c r="G2483" s="134" t="n">
        <f aca="false">LEN('Saisie programme'!$E$121)+SUMIFS('Vols additionnels'!$E$7:$E$66,'Vols additionnels'!$C$7:$C$66,$E2483,'Vols additionnels'!$D$7:$D$66,$F2483,'Vols additionnels'!$B$7:$B$66,$D2483)</f>
        <v>0</v>
      </c>
      <c r="H2483" s="135" t="n">
        <f aca="false">$G2483*'Analyse capacite'!$F$7</f>
        <v>0</v>
      </c>
      <c r="I2483" s="135" t="n">
        <f aca="false">$G2483*'Analyse capacite'!$C$7</f>
        <v>0</v>
      </c>
      <c r="J2483" s="135" t="n">
        <f aca="false">$G2483*'Analyse capacite'!$D$7</f>
        <v>0</v>
      </c>
      <c r="K2483" s="135" t="n">
        <f aca="false">$G2483*'Analyse capacite'!$E$7</f>
        <v>0</v>
      </c>
    </row>
    <row r="2484" customFormat="false" ht="15" hidden="false" customHeight="false" outlineLevel="0" collapsed="false">
      <c r="B2484" s="130" t="n">
        <v>2027</v>
      </c>
      <c r="C2484" s="131" t="s">
        <v>248</v>
      </c>
      <c r="D2484" s="132" t="n">
        <v>46546</v>
      </c>
      <c r="E2484" s="131" t="s">
        <v>59</v>
      </c>
      <c r="F2484" s="133" t="s">
        <v>19</v>
      </c>
      <c r="G2484" s="134" t="n">
        <f aca="false">LEN('Saisie programme'!$E$122)+SUMIFS('Vols additionnels'!$E$7:$E$66,'Vols additionnels'!$C$7:$C$66,$E2484,'Vols additionnels'!$D$7:$D$66,$F2484,'Vols additionnels'!$B$7:$B$66,$D2484)</f>
        <v>0</v>
      </c>
      <c r="H2484" s="135" t="n">
        <f aca="false">$G2484*'Analyse capacite'!$F$8</f>
        <v>0</v>
      </c>
      <c r="I2484" s="135" t="n">
        <f aca="false">$G2484*'Analyse capacite'!$C$8</f>
        <v>0</v>
      </c>
      <c r="J2484" s="135" t="n">
        <f aca="false">$G2484*'Analyse capacite'!$D$8</f>
        <v>0</v>
      </c>
      <c r="K2484" s="135" t="n">
        <f aca="false">$G2484*'Analyse capacite'!$E$8</f>
        <v>0</v>
      </c>
    </row>
    <row r="2485" customFormat="false" ht="15" hidden="false" customHeight="false" outlineLevel="0" collapsed="false">
      <c r="B2485" s="130" t="n">
        <v>2027</v>
      </c>
      <c r="C2485" s="131" t="s">
        <v>248</v>
      </c>
      <c r="D2485" s="132" t="n">
        <v>46546</v>
      </c>
      <c r="E2485" s="131" t="s">
        <v>59</v>
      </c>
      <c r="F2485" s="133" t="s">
        <v>24</v>
      </c>
      <c r="G2485" s="134" t="n">
        <f aca="false">LEN('Saisie programme'!$E$123)+SUMIFS('Vols additionnels'!$E$7:$E$66,'Vols additionnels'!$C$7:$C$66,$E2485,'Vols additionnels'!$D$7:$D$66,$F2485,'Vols additionnels'!$B$7:$B$66,$D2485)</f>
        <v>1</v>
      </c>
      <c r="H2485" s="135" t="n">
        <f aca="false">$G2485*'Analyse capacite'!$F$9</f>
        <v>174</v>
      </c>
      <c r="I2485" s="135" t="n">
        <f aca="false">$G2485*'Analyse capacite'!$C$9</f>
        <v>0</v>
      </c>
      <c r="J2485" s="135" t="n">
        <f aca="false">$G2485*'Analyse capacite'!$D$9</f>
        <v>12</v>
      </c>
      <c r="K2485" s="135" t="n">
        <f aca="false">$G2485*'Analyse capacite'!$E$9</f>
        <v>162</v>
      </c>
    </row>
    <row r="2486" customFormat="false" ht="15" hidden="false" customHeight="false" outlineLevel="0" collapsed="false">
      <c r="B2486" s="130" t="n">
        <v>2027</v>
      </c>
      <c r="C2486" s="131" t="s">
        <v>248</v>
      </c>
      <c r="D2486" s="132" t="n">
        <v>46546</v>
      </c>
      <c r="E2486" s="131" t="s">
        <v>62</v>
      </c>
      <c r="F2486" s="133" t="s">
        <v>11</v>
      </c>
      <c r="G2486" s="134" t="n">
        <f aca="false">LEN('Saisie programme'!$E$124)+SUMIFS('Vols additionnels'!$E$7:$E$66,'Vols additionnels'!$C$7:$C$66,$E2486,'Vols additionnels'!$D$7:$D$66,$F2486,'Vols additionnels'!$B$7:$B$66,$D2486)</f>
        <v>0</v>
      </c>
      <c r="H2486" s="135" t="n">
        <f aca="false">$G2486*'Analyse capacite'!$F$7</f>
        <v>0</v>
      </c>
      <c r="I2486" s="135" t="n">
        <f aca="false">$G2486*'Analyse capacite'!$C$7</f>
        <v>0</v>
      </c>
      <c r="J2486" s="135" t="n">
        <f aca="false">$G2486*'Analyse capacite'!$D$7</f>
        <v>0</v>
      </c>
      <c r="K2486" s="135" t="n">
        <f aca="false">$G2486*'Analyse capacite'!$E$7</f>
        <v>0</v>
      </c>
    </row>
    <row r="2487" customFormat="false" ht="15" hidden="false" customHeight="false" outlineLevel="0" collapsed="false">
      <c r="B2487" s="130" t="n">
        <v>2027</v>
      </c>
      <c r="C2487" s="131" t="s">
        <v>248</v>
      </c>
      <c r="D2487" s="132" t="n">
        <v>46546</v>
      </c>
      <c r="E2487" s="131" t="s">
        <v>62</v>
      </c>
      <c r="F2487" s="133" t="s">
        <v>19</v>
      </c>
      <c r="G2487" s="134" t="n">
        <f aca="false">LEN('Saisie programme'!$E$125)+SUMIFS('Vols additionnels'!$E$7:$E$66,'Vols additionnels'!$C$7:$C$66,$E2487,'Vols additionnels'!$D$7:$D$66,$F2487,'Vols additionnels'!$B$7:$B$66,$D2487)</f>
        <v>0</v>
      </c>
      <c r="H2487" s="135" t="n">
        <f aca="false">$G2487*'Analyse capacite'!$F$8</f>
        <v>0</v>
      </c>
      <c r="I2487" s="135" t="n">
        <f aca="false">$G2487*'Analyse capacite'!$C$8</f>
        <v>0</v>
      </c>
      <c r="J2487" s="135" t="n">
        <f aca="false">$G2487*'Analyse capacite'!$D$8</f>
        <v>0</v>
      </c>
      <c r="K2487" s="135" t="n">
        <f aca="false">$G2487*'Analyse capacite'!$E$8</f>
        <v>0</v>
      </c>
    </row>
    <row r="2488" customFormat="false" ht="15" hidden="false" customHeight="false" outlineLevel="0" collapsed="false">
      <c r="B2488" s="130" t="n">
        <v>2027</v>
      </c>
      <c r="C2488" s="131" t="s">
        <v>248</v>
      </c>
      <c r="D2488" s="132" t="n">
        <v>46546</v>
      </c>
      <c r="E2488" s="131" t="s">
        <v>62</v>
      </c>
      <c r="F2488" s="133" t="s">
        <v>24</v>
      </c>
      <c r="G2488" s="134" t="n">
        <f aca="false">LEN('Saisie programme'!$E$126)+SUMIFS('Vols additionnels'!$E$7:$E$66,'Vols additionnels'!$C$7:$C$66,$E2488,'Vols additionnels'!$D$7:$D$66,$F2488,'Vols additionnels'!$B$7:$B$66,$D2488)</f>
        <v>0</v>
      </c>
      <c r="H2488" s="135" t="n">
        <f aca="false">$G2488*'Analyse capacite'!$F$9</f>
        <v>0</v>
      </c>
      <c r="I2488" s="135" t="n">
        <f aca="false">$G2488*'Analyse capacite'!$C$9</f>
        <v>0</v>
      </c>
      <c r="J2488" s="135" t="n">
        <f aca="false">$G2488*'Analyse capacite'!$D$9</f>
        <v>0</v>
      </c>
      <c r="K2488" s="135" t="n">
        <f aca="false">$G2488*'Analyse capacite'!$E$9</f>
        <v>0</v>
      </c>
    </row>
    <row r="2489" customFormat="false" ht="15" hidden="false" customHeight="false" outlineLevel="0" collapsed="false">
      <c r="B2489" s="130" t="n">
        <v>2027</v>
      </c>
      <c r="C2489" s="131" t="s">
        <v>248</v>
      </c>
      <c r="D2489" s="132" t="n">
        <v>46547</v>
      </c>
      <c r="E2489" s="131" t="s">
        <v>12</v>
      </c>
      <c r="F2489" s="133" t="s">
        <v>11</v>
      </c>
      <c r="G2489" s="134" t="n">
        <f aca="false">LEN('Saisie programme'!$F$91)+SUMIFS('Vols additionnels'!$E$7:$E$66,'Vols additionnels'!$C$7:$C$66,$E2489,'Vols additionnels'!$D$7:$D$66,$F2489,'Vols additionnels'!$B$7:$B$66,$D2489)</f>
        <v>1</v>
      </c>
      <c r="H2489" s="135" t="n">
        <f aca="false">$G2489*'Analyse capacite'!$F$7</f>
        <v>438</v>
      </c>
      <c r="I2489" s="135" t="n">
        <f aca="false">$G2489*'Analyse capacite'!$C$7</f>
        <v>14</v>
      </c>
      <c r="J2489" s="135" t="n">
        <f aca="false">$G2489*'Analyse capacite'!$D$7</f>
        <v>40</v>
      </c>
      <c r="K2489" s="135" t="n">
        <f aca="false">$G2489*'Analyse capacite'!$E$7</f>
        <v>384</v>
      </c>
    </row>
    <row r="2490" customFormat="false" ht="15" hidden="false" customHeight="false" outlineLevel="0" collapsed="false">
      <c r="B2490" s="130" t="n">
        <v>2027</v>
      </c>
      <c r="C2490" s="131" t="s">
        <v>248</v>
      </c>
      <c r="D2490" s="132" t="n">
        <v>46547</v>
      </c>
      <c r="E2490" s="131" t="s">
        <v>12</v>
      </c>
      <c r="F2490" s="133" t="s">
        <v>19</v>
      </c>
      <c r="G2490" s="134" t="n">
        <f aca="false">LEN('Saisie programme'!$F$92)+SUMIFS('Vols additionnels'!$E$7:$E$66,'Vols additionnels'!$C$7:$C$66,$E2490,'Vols additionnels'!$D$7:$D$66,$F2490,'Vols additionnels'!$B$7:$B$66,$D2490)</f>
        <v>0</v>
      </c>
      <c r="H2490" s="135" t="n">
        <f aca="false">$G2490*'Analyse capacite'!$F$8</f>
        <v>0</v>
      </c>
      <c r="I2490" s="135" t="n">
        <f aca="false">$G2490*'Analyse capacite'!$C$8</f>
        <v>0</v>
      </c>
      <c r="J2490" s="135" t="n">
        <f aca="false">$G2490*'Analyse capacite'!$D$8</f>
        <v>0</v>
      </c>
      <c r="K2490" s="135" t="n">
        <f aca="false">$G2490*'Analyse capacite'!$E$8</f>
        <v>0</v>
      </c>
    </row>
    <row r="2491" customFormat="false" ht="15" hidden="false" customHeight="false" outlineLevel="0" collapsed="false">
      <c r="B2491" s="130" t="n">
        <v>2027</v>
      </c>
      <c r="C2491" s="131" t="s">
        <v>248</v>
      </c>
      <c r="D2491" s="132" t="n">
        <v>46547</v>
      </c>
      <c r="E2491" s="131" t="s">
        <v>12</v>
      </c>
      <c r="F2491" s="133" t="s">
        <v>24</v>
      </c>
      <c r="G2491" s="134" t="n">
        <f aca="false">LEN('Saisie programme'!$F$93)+SUMIFS('Vols additionnels'!$E$7:$E$66,'Vols additionnels'!$C$7:$C$66,$E2491,'Vols additionnels'!$D$7:$D$66,$F2491,'Vols additionnels'!$B$7:$B$66,$D2491)</f>
        <v>0</v>
      </c>
      <c r="H2491" s="135" t="n">
        <f aca="false">$G2491*'Analyse capacite'!$F$9</f>
        <v>0</v>
      </c>
      <c r="I2491" s="135" t="n">
        <f aca="false">$G2491*'Analyse capacite'!$C$9</f>
        <v>0</v>
      </c>
      <c r="J2491" s="135" t="n">
        <f aca="false">$G2491*'Analyse capacite'!$D$9</f>
        <v>0</v>
      </c>
      <c r="K2491" s="135" t="n">
        <f aca="false">$G2491*'Analyse capacite'!$E$9</f>
        <v>0</v>
      </c>
    </row>
    <row r="2492" customFormat="false" ht="15" hidden="false" customHeight="false" outlineLevel="0" collapsed="false">
      <c r="B2492" s="130" t="n">
        <v>2027</v>
      </c>
      <c r="C2492" s="131" t="s">
        <v>248</v>
      </c>
      <c r="D2492" s="132" t="n">
        <v>46547</v>
      </c>
      <c r="E2492" s="131" t="s">
        <v>20</v>
      </c>
      <c r="F2492" s="133" t="s">
        <v>11</v>
      </c>
      <c r="G2492" s="134" t="n">
        <f aca="false">LEN('Saisie programme'!$F$94)+SUMIFS('Vols additionnels'!$E$7:$E$66,'Vols additionnels'!$C$7:$C$66,$E2492,'Vols additionnels'!$D$7:$D$66,$F2492,'Vols additionnels'!$B$7:$B$66,$D2492)</f>
        <v>0</v>
      </c>
      <c r="H2492" s="135" t="n">
        <f aca="false">$G2492*'Analyse capacite'!$F$7</f>
        <v>0</v>
      </c>
      <c r="I2492" s="135" t="n">
        <f aca="false">$G2492*'Analyse capacite'!$C$7</f>
        <v>0</v>
      </c>
      <c r="J2492" s="135" t="n">
        <f aca="false">$G2492*'Analyse capacite'!$D$7</f>
        <v>0</v>
      </c>
      <c r="K2492" s="135" t="n">
        <f aca="false">$G2492*'Analyse capacite'!$E$7</f>
        <v>0</v>
      </c>
    </row>
    <row r="2493" customFormat="false" ht="15" hidden="false" customHeight="false" outlineLevel="0" collapsed="false">
      <c r="B2493" s="130" t="n">
        <v>2027</v>
      </c>
      <c r="C2493" s="131" t="s">
        <v>248</v>
      </c>
      <c r="D2493" s="132" t="n">
        <v>46547</v>
      </c>
      <c r="E2493" s="131" t="s">
        <v>20</v>
      </c>
      <c r="F2493" s="133" t="s">
        <v>19</v>
      </c>
      <c r="G2493" s="134" t="n">
        <f aca="false">LEN('Saisie programme'!$F$95)+SUMIFS('Vols additionnels'!$E$7:$E$66,'Vols additionnels'!$C$7:$C$66,$E2493,'Vols additionnels'!$D$7:$D$66,$F2493,'Vols additionnels'!$B$7:$B$66,$D2493)</f>
        <v>0</v>
      </c>
      <c r="H2493" s="135" t="n">
        <f aca="false">$G2493*'Analyse capacite'!$F$8</f>
        <v>0</v>
      </c>
      <c r="I2493" s="135" t="n">
        <f aca="false">$G2493*'Analyse capacite'!$C$8</f>
        <v>0</v>
      </c>
      <c r="J2493" s="135" t="n">
        <f aca="false">$G2493*'Analyse capacite'!$D$8</f>
        <v>0</v>
      </c>
      <c r="K2493" s="135" t="n">
        <f aca="false">$G2493*'Analyse capacite'!$E$8</f>
        <v>0</v>
      </c>
    </row>
    <row r="2494" customFormat="false" ht="15" hidden="false" customHeight="false" outlineLevel="0" collapsed="false">
      <c r="B2494" s="130" t="n">
        <v>2027</v>
      </c>
      <c r="C2494" s="131" t="s">
        <v>248</v>
      </c>
      <c r="D2494" s="132" t="n">
        <v>46547</v>
      </c>
      <c r="E2494" s="131" t="s">
        <v>20</v>
      </c>
      <c r="F2494" s="133" t="s">
        <v>24</v>
      </c>
      <c r="G2494" s="134" t="n">
        <f aca="false">LEN('Saisie programme'!$F$96)+SUMIFS('Vols additionnels'!$E$7:$E$66,'Vols additionnels'!$C$7:$C$66,$E2494,'Vols additionnels'!$D$7:$D$66,$F2494,'Vols additionnels'!$B$7:$B$66,$D2494)</f>
        <v>0</v>
      </c>
      <c r="H2494" s="135" t="n">
        <f aca="false">$G2494*'Analyse capacite'!$F$9</f>
        <v>0</v>
      </c>
      <c r="I2494" s="135" t="n">
        <f aca="false">$G2494*'Analyse capacite'!$C$9</f>
        <v>0</v>
      </c>
      <c r="J2494" s="135" t="n">
        <f aca="false">$G2494*'Analyse capacite'!$D$9</f>
        <v>0</v>
      </c>
      <c r="K2494" s="135" t="n">
        <f aca="false">$G2494*'Analyse capacite'!$E$9</f>
        <v>0</v>
      </c>
    </row>
    <row r="2495" customFormat="false" ht="15" hidden="false" customHeight="false" outlineLevel="0" collapsed="false">
      <c r="B2495" s="130" t="n">
        <v>2027</v>
      </c>
      <c r="C2495" s="131" t="s">
        <v>248</v>
      </c>
      <c r="D2495" s="132" t="n">
        <v>46547</v>
      </c>
      <c r="E2495" s="131" t="s">
        <v>25</v>
      </c>
      <c r="F2495" s="133" t="s">
        <v>11</v>
      </c>
      <c r="G2495" s="134" t="n">
        <f aca="false">LEN('Saisie programme'!$F$97)+SUMIFS('Vols additionnels'!$E$7:$E$66,'Vols additionnels'!$C$7:$C$66,$E2495,'Vols additionnels'!$D$7:$D$66,$F2495,'Vols additionnels'!$B$7:$B$66,$D2495)</f>
        <v>0</v>
      </c>
      <c r="H2495" s="135" t="n">
        <f aca="false">$G2495*'Analyse capacite'!$F$7</f>
        <v>0</v>
      </c>
      <c r="I2495" s="135" t="n">
        <f aca="false">$G2495*'Analyse capacite'!$C$7</f>
        <v>0</v>
      </c>
      <c r="J2495" s="135" t="n">
        <f aca="false">$G2495*'Analyse capacite'!$D$7</f>
        <v>0</v>
      </c>
      <c r="K2495" s="135" t="n">
        <f aca="false">$G2495*'Analyse capacite'!$E$7</f>
        <v>0</v>
      </c>
    </row>
    <row r="2496" customFormat="false" ht="15" hidden="false" customHeight="false" outlineLevel="0" collapsed="false">
      <c r="B2496" s="130" t="n">
        <v>2027</v>
      </c>
      <c r="C2496" s="131" t="s">
        <v>248</v>
      </c>
      <c r="D2496" s="132" t="n">
        <v>46547</v>
      </c>
      <c r="E2496" s="131" t="s">
        <v>25</v>
      </c>
      <c r="F2496" s="133" t="s">
        <v>19</v>
      </c>
      <c r="G2496" s="134" t="n">
        <f aca="false">LEN('Saisie programme'!$F$98)+SUMIFS('Vols additionnels'!$E$7:$E$66,'Vols additionnels'!$C$7:$C$66,$E2496,'Vols additionnels'!$D$7:$D$66,$F2496,'Vols additionnels'!$B$7:$B$66,$D2496)</f>
        <v>1</v>
      </c>
      <c r="H2496" s="135" t="n">
        <f aca="false">$G2496*'Analyse capacite'!$F$8</f>
        <v>262</v>
      </c>
      <c r="I2496" s="135" t="n">
        <f aca="false">$G2496*'Analyse capacite'!$C$8</f>
        <v>18</v>
      </c>
      <c r="J2496" s="135" t="n">
        <f aca="false">$G2496*'Analyse capacite'!$D$8</f>
        <v>0</v>
      </c>
      <c r="K2496" s="135" t="n">
        <f aca="false">$G2496*'Analyse capacite'!$E$8</f>
        <v>244</v>
      </c>
    </row>
    <row r="2497" customFormat="false" ht="15" hidden="false" customHeight="false" outlineLevel="0" collapsed="false">
      <c r="B2497" s="130" t="n">
        <v>2027</v>
      </c>
      <c r="C2497" s="131" t="s">
        <v>248</v>
      </c>
      <c r="D2497" s="132" t="n">
        <v>46547</v>
      </c>
      <c r="E2497" s="131" t="s">
        <v>25</v>
      </c>
      <c r="F2497" s="133" t="s">
        <v>24</v>
      </c>
      <c r="G2497" s="134" t="n">
        <f aca="false">LEN('Saisie programme'!$F$99)+SUMIFS('Vols additionnels'!$E$7:$E$66,'Vols additionnels'!$C$7:$C$66,$E2497,'Vols additionnels'!$D$7:$D$66,$F2497,'Vols additionnels'!$B$7:$B$66,$D2497)</f>
        <v>0</v>
      </c>
      <c r="H2497" s="135" t="n">
        <f aca="false">$G2497*'Analyse capacite'!$F$9</f>
        <v>0</v>
      </c>
      <c r="I2497" s="135" t="n">
        <f aca="false">$G2497*'Analyse capacite'!$C$9</f>
        <v>0</v>
      </c>
      <c r="J2497" s="135" t="n">
        <f aca="false">$G2497*'Analyse capacite'!$D$9</f>
        <v>0</v>
      </c>
      <c r="K2497" s="135" t="n">
        <f aca="false">$G2497*'Analyse capacite'!$E$9</f>
        <v>0</v>
      </c>
    </row>
    <row r="2498" customFormat="false" ht="15" hidden="false" customHeight="false" outlineLevel="0" collapsed="false">
      <c r="B2498" s="130" t="n">
        <v>2027</v>
      </c>
      <c r="C2498" s="131" t="s">
        <v>248</v>
      </c>
      <c r="D2498" s="132" t="n">
        <v>46547</v>
      </c>
      <c r="E2498" s="131" t="s">
        <v>36</v>
      </c>
      <c r="F2498" s="133" t="s">
        <v>11</v>
      </c>
      <c r="G2498" s="134" t="n">
        <f aca="false">LEN('Saisie programme'!$F$100)+SUMIFS('Vols additionnels'!$E$7:$E$66,'Vols additionnels'!$C$7:$C$66,$E2498,'Vols additionnels'!$D$7:$D$66,$F2498,'Vols additionnels'!$B$7:$B$66,$D2498)</f>
        <v>0</v>
      </c>
      <c r="H2498" s="135" t="n">
        <f aca="false">$G2498*'Analyse capacite'!$F$7</f>
        <v>0</v>
      </c>
      <c r="I2498" s="135" t="n">
        <f aca="false">$G2498*'Analyse capacite'!$C$7</f>
        <v>0</v>
      </c>
      <c r="J2498" s="135" t="n">
        <f aca="false">$G2498*'Analyse capacite'!$D$7</f>
        <v>0</v>
      </c>
      <c r="K2498" s="135" t="n">
        <f aca="false">$G2498*'Analyse capacite'!$E$7</f>
        <v>0</v>
      </c>
    </row>
    <row r="2499" customFormat="false" ht="15" hidden="false" customHeight="false" outlineLevel="0" collapsed="false">
      <c r="B2499" s="130" t="n">
        <v>2027</v>
      </c>
      <c r="C2499" s="131" t="s">
        <v>248</v>
      </c>
      <c r="D2499" s="132" t="n">
        <v>46547</v>
      </c>
      <c r="E2499" s="131" t="s">
        <v>36</v>
      </c>
      <c r="F2499" s="133" t="s">
        <v>19</v>
      </c>
      <c r="G2499" s="134" t="n">
        <f aca="false">LEN('Saisie programme'!$F$101)+SUMIFS('Vols additionnels'!$E$7:$E$66,'Vols additionnels'!$C$7:$C$66,$E2499,'Vols additionnels'!$D$7:$D$66,$F2499,'Vols additionnels'!$B$7:$B$66,$D2499)</f>
        <v>1</v>
      </c>
      <c r="H2499" s="135" t="n">
        <f aca="false">$G2499*'Analyse capacite'!$F$8</f>
        <v>262</v>
      </c>
      <c r="I2499" s="135" t="n">
        <f aca="false">$G2499*'Analyse capacite'!$C$8</f>
        <v>18</v>
      </c>
      <c r="J2499" s="135" t="n">
        <f aca="false">$G2499*'Analyse capacite'!$D$8</f>
        <v>0</v>
      </c>
      <c r="K2499" s="135" t="n">
        <f aca="false">$G2499*'Analyse capacite'!$E$8</f>
        <v>244</v>
      </c>
    </row>
    <row r="2500" customFormat="false" ht="15" hidden="false" customHeight="false" outlineLevel="0" collapsed="false">
      <c r="B2500" s="130" t="n">
        <v>2027</v>
      </c>
      <c r="C2500" s="131" t="s">
        <v>248</v>
      </c>
      <c r="D2500" s="132" t="n">
        <v>46547</v>
      </c>
      <c r="E2500" s="131" t="s">
        <v>36</v>
      </c>
      <c r="F2500" s="133" t="s">
        <v>24</v>
      </c>
      <c r="G2500" s="134" t="n">
        <f aca="false">LEN('Saisie programme'!$F$102)+SUMIFS('Vols additionnels'!$E$7:$E$66,'Vols additionnels'!$C$7:$C$66,$E2500,'Vols additionnels'!$D$7:$D$66,$F2500,'Vols additionnels'!$B$7:$B$66,$D2500)</f>
        <v>1</v>
      </c>
      <c r="H2500" s="135" t="n">
        <f aca="false">$G2500*'Analyse capacite'!$F$9</f>
        <v>174</v>
      </c>
      <c r="I2500" s="135" t="n">
        <f aca="false">$G2500*'Analyse capacite'!$C$9</f>
        <v>0</v>
      </c>
      <c r="J2500" s="135" t="n">
        <f aca="false">$G2500*'Analyse capacite'!$D$9</f>
        <v>12</v>
      </c>
      <c r="K2500" s="135" t="n">
        <f aca="false">$G2500*'Analyse capacite'!$E$9</f>
        <v>162</v>
      </c>
    </row>
    <row r="2501" customFormat="false" ht="15" hidden="false" customHeight="false" outlineLevel="0" collapsed="false">
      <c r="B2501" s="130" t="n">
        <v>2027</v>
      </c>
      <c r="C2501" s="131" t="s">
        <v>248</v>
      </c>
      <c r="D2501" s="132" t="n">
        <v>46547</v>
      </c>
      <c r="E2501" s="131" t="s">
        <v>40</v>
      </c>
      <c r="F2501" s="133" t="s">
        <v>11</v>
      </c>
      <c r="G2501" s="134" t="n">
        <f aca="false">LEN('Saisie programme'!$F$103)+SUMIFS('Vols additionnels'!$E$7:$E$66,'Vols additionnels'!$C$7:$C$66,$E2501,'Vols additionnels'!$D$7:$D$66,$F2501,'Vols additionnels'!$B$7:$B$66,$D2501)</f>
        <v>0</v>
      </c>
      <c r="H2501" s="135" t="n">
        <f aca="false">$G2501*'Analyse capacite'!$F$7</f>
        <v>0</v>
      </c>
      <c r="I2501" s="135" t="n">
        <f aca="false">$G2501*'Analyse capacite'!$C$7</f>
        <v>0</v>
      </c>
      <c r="J2501" s="135" t="n">
        <f aca="false">$G2501*'Analyse capacite'!$D$7</f>
        <v>0</v>
      </c>
      <c r="K2501" s="135" t="n">
        <f aca="false">$G2501*'Analyse capacite'!$E$7</f>
        <v>0</v>
      </c>
    </row>
    <row r="2502" customFormat="false" ht="15" hidden="false" customHeight="false" outlineLevel="0" collapsed="false">
      <c r="B2502" s="130" t="n">
        <v>2027</v>
      </c>
      <c r="C2502" s="131" t="s">
        <v>248</v>
      </c>
      <c r="D2502" s="132" t="n">
        <v>46547</v>
      </c>
      <c r="E2502" s="131" t="s">
        <v>40</v>
      </c>
      <c r="F2502" s="133" t="s">
        <v>19</v>
      </c>
      <c r="G2502" s="134" t="n">
        <f aca="false">LEN('Saisie programme'!$F$104)+SUMIFS('Vols additionnels'!$E$7:$E$66,'Vols additionnels'!$C$7:$C$66,$E2502,'Vols additionnels'!$D$7:$D$66,$F2502,'Vols additionnels'!$B$7:$B$66,$D2502)</f>
        <v>0</v>
      </c>
      <c r="H2502" s="135" t="n">
        <f aca="false">$G2502*'Analyse capacite'!$F$8</f>
        <v>0</v>
      </c>
      <c r="I2502" s="135" t="n">
        <f aca="false">$G2502*'Analyse capacite'!$C$8</f>
        <v>0</v>
      </c>
      <c r="J2502" s="135" t="n">
        <f aca="false">$G2502*'Analyse capacite'!$D$8</f>
        <v>0</v>
      </c>
      <c r="K2502" s="135" t="n">
        <f aca="false">$G2502*'Analyse capacite'!$E$8</f>
        <v>0</v>
      </c>
    </row>
    <row r="2503" customFormat="false" ht="15" hidden="false" customHeight="false" outlineLevel="0" collapsed="false">
      <c r="B2503" s="130" t="n">
        <v>2027</v>
      </c>
      <c r="C2503" s="131" t="s">
        <v>248</v>
      </c>
      <c r="D2503" s="132" t="n">
        <v>46547</v>
      </c>
      <c r="E2503" s="131" t="s">
        <v>40</v>
      </c>
      <c r="F2503" s="133" t="s">
        <v>24</v>
      </c>
      <c r="G2503" s="134" t="n">
        <f aca="false">LEN('Saisie programme'!$F$105)+SUMIFS('Vols additionnels'!$E$7:$E$66,'Vols additionnels'!$C$7:$C$66,$E2503,'Vols additionnels'!$D$7:$D$66,$F2503,'Vols additionnels'!$B$7:$B$66,$D2503)</f>
        <v>1</v>
      </c>
      <c r="H2503" s="135" t="n">
        <f aca="false">$G2503*'Analyse capacite'!$F$9</f>
        <v>174</v>
      </c>
      <c r="I2503" s="135" t="n">
        <f aca="false">$G2503*'Analyse capacite'!$C$9</f>
        <v>0</v>
      </c>
      <c r="J2503" s="135" t="n">
        <f aca="false">$G2503*'Analyse capacite'!$D$9</f>
        <v>12</v>
      </c>
      <c r="K2503" s="135" t="n">
        <f aca="false">$G2503*'Analyse capacite'!$E$9</f>
        <v>162</v>
      </c>
    </row>
    <row r="2504" customFormat="false" ht="15" hidden="false" customHeight="false" outlineLevel="0" collapsed="false">
      <c r="B2504" s="130" t="n">
        <v>2027</v>
      </c>
      <c r="C2504" s="131" t="s">
        <v>248</v>
      </c>
      <c r="D2504" s="132" t="n">
        <v>46547</v>
      </c>
      <c r="E2504" s="131" t="s">
        <v>14</v>
      </c>
      <c r="F2504" s="133" t="s">
        <v>11</v>
      </c>
      <c r="G2504" s="134" t="n">
        <f aca="false">LEN('Saisie programme'!$F$106)+SUMIFS('Vols additionnels'!$E$7:$E$66,'Vols additionnels'!$C$7:$C$66,$E2504,'Vols additionnels'!$D$7:$D$66,$F2504,'Vols additionnels'!$B$7:$B$66,$D2504)</f>
        <v>0</v>
      </c>
      <c r="H2504" s="135" t="n">
        <f aca="false">$G2504*'Analyse capacite'!$F$7</f>
        <v>0</v>
      </c>
      <c r="I2504" s="135" t="n">
        <f aca="false">$G2504*'Analyse capacite'!$C$7</f>
        <v>0</v>
      </c>
      <c r="J2504" s="135" t="n">
        <f aca="false">$G2504*'Analyse capacite'!$D$7</f>
        <v>0</v>
      </c>
      <c r="K2504" s="135" t="n">
        <f aca="false">$G2504*'Analyse capacite'!$E$7</f>
        <v>0</v>
      </c>
    </row>
    <row r="2505" customFormat="false" ht="15" hidden="false" customHeight="false" outlineLevel="0" collapsed="false">
      <c r="B2505" s="130" t="n">
        <v>2027</v>
      </c>
      <c r="C2505" s="131" t="s">
        <v>248</v>
      </c>
      <c r="D2505" s="132" t="n">
        <v>46547</v>
      </c>
      <c r="E2505" s="131" t="s">
        <v>14</v>
      </c>
      <c r="F2505" s="133" t="s">
        <v>19</v>
      </c>
      <c r="G2505" s="134" t="n">
        <f aca="false">LEN('Saisie programme'!$F$107)+SUMIFS('Vols additionnels'!$E$7:$E$66,'Vols additionnels'!$C$7:$C$66,$E2505,'Vols additionnels'!$D$7:$D$66,$F2505,'Vols additionnels'!$B$7:$B$66,$D2505)</f>
        <v>0</v>
      </c>
      <c r="H2505" s="135" t="n">
        <f aca="false">$G2505*'Analyse capacite'!$F$8</f>
        <v>0</v>
      </c>
      <c r="I2505" s="135" t="n">
        <f aca="false">$G2505*'Analyse capacite'!$C$8</f>
        <v>0</v>
      </c>
      <c r="J2505" s="135" t="n">
        <f aca="false">$G2505*'Analyse capacite'!$D$8</f>
        <v>0</v>
      </c>
      <c r="K2505" s="135" t="n">
        <f aca="false">$G2505*'Analyse capacite'!$E$8</f>
        <v>0</v>
      </c>
    </row>
    <row r="2506" customFormat="false" ht="15" hidden="false" customHeight="false" outlineLevel="0" collapsed="false">
      <c r="B2506" s="130" t="n">
        <v>2027</v>
      </c>
      <c r="C2506" s="131" t="s">
        <v>248</v>
      </c>
      <c r="D2506" s="132" t="n">
        <v>46547</v>
      </c>
      <c r="E2506" s="131" t="s">
        <v>14</v>
      </c>
      <c r="F2506" s="133" t="s">
        <v>24</v>
      </c>
      <c r="G2506" s="134" t="n">
        <f aca="false">LEN('Saisie programme'!$F$108)+SUMIFS('Vols additionnels'!$E$7:$E$66,'Vols additionnels'!$C$7:$C$66,$E2506,'Vols additionnels'!$D$7:$D$66,$F2506,'Vols additionnels'!$B$7:$B$66,$D2506)</f>
        <v>0</v>
      </c>
      <c r="H2506" s="135" t="n">
        <f aca="false">$G2506*'Analyse capacite'!$F$9</f>
        <v>0</v>
      </c>
      <c r="I2506" s="135" t="n">
        <f aca="false">$G2506*'Analyse capacite'!$C$9</f>
        <v>0</v>
      </c>
      <c r="J2506" s="135" t="n">
        <f aca="false">$G2506*'Analyse capacite'!$D$9</f>
        <v>0</v>
      </c>
      <c r="K2506" s="135" t="n">
        <f aca="false">$G2506*'Analyse capacite'!$E$9</f>
        <v>0</v>
      </c>
    </row>
    <row r="2507" customFormat="false" ht="15" hidden="false" customHeight="false" outlineLevel="0" collapsed="false">
      <c r="B2507" s="130" t="n">
        <v>2027</v>
      </c>
      <c r="C2507" s="131" t="s">
        <v>248</v>
      </c>
      <c r="D2507" s="132" t="n">
        <v>46547</v>
      </c>
      <c r="E2507" s="131" t="s">
        <v>46</v>
      </c>
      <c r="F2507" s="133" t="s">
        <v>11</v>
      </c>
      <c r="G2507" s="134" t="n">
        <f aca="false">LEN('Saisie programme'!$F$109)+SUMIFS('Vols additionnels'!$E$7:$E$66,'Vols additionnels'!$C$7:$C$66,$E2507,'Vols additionnels'!$D$7:$D$66,$F2507,'Vols additionnels'!$B$7:$B$66,$D2507)</f>
        <v>0</v>
      </c>
      <c r="H2507" s="135" t="n">
        <f aca="false">$G2507*'Analyse capacite'!$F$7</f>
        <v>0</v>
      </c>
      <c r="I2507" s="135" t="n">
        <f aca="false">$G2507*'Analyse capacite'!$C$7</f>
        <v>0</v>
      </c>
      <c r="J2507" s="135" t="n">
        <f aca="false">$G2507*'Analyse capacite'!$D$7</f>
        <v>0</v>
      </c>
      <c r="K2507" s="135" t="n">
        <f aca="false">$G2507*'Analyse capacite'!$E$7</f>
        <v>0</v>
      </c>
    </row>
    <row r="2508" customFormat="false" ht="15" hidden="false" customHeight="false" outlineLevel="0" collapsed="false">
      <c r="B2508" s="130" t="n">
        <v>2027</v>
      </c>
      <c r="C2508" s="131" t="s">
        <v>248</v>
      </c>
      <c r="D2508" s="132" t="n">
        <v>46547</v>
      </c>
      <c r="E2508" s="131" t="s">
        <v>46</v>
      </c>
      <c r="F2508" s="133" t="s">
        <v>19</v>
      </c>
      <c r="G2508" s="134" t="n">
        <f aca="false">LEN('Saisie programme'!$F$110)+SUMIFS('Vols additionnels'!$E$7:$E$66,'Vols additionnels'!$C$7:$C$66,$E2508,'Vols additionnels'!$D$7:$D$66,$F2508,'Vols additionnels'!$B$7:$B$66,$D2508)</f>
        <v>0</v>
      </c>
      <c r="H2508" s="135" t="n">
        <f aca="false">$G2508*'Analyse capacite'!$F$8</f>
        <v>0</v>
      </c>
      <c r="I2508" s="135" t="n">
        <f aca="false">$G2508*'Analyse capacite'!$C$8</f>
        <v>0</v>
      </c>
      <c r="J2508" s="135" t="n">
        <f aca="false">$G2508*'Analyse capacite'!$D$8</f>
        <v>0</v>
      </c>
      <c r="K2508" s="135" t="n">
        <f aca="false">$G2508*'Analyse capacite'!$E$8</f>
        <v>0</v>
      </c>
    </row>
    <row r="2509" customFormat="false" ht="15" hidden="false" customHeight="false" outlineLevel="0" collapsed="false">
      <c r="B2509" s="130" t="n">
        <v>2027</v>
      </c>
      <c r="C2509" s="131" t="s">
        <v>248</v>
      </c>
      <c r="D2509" s="132" t="n">
        <v>46547</v>
      </c>
      <c r="E2509" s="131" t="s">
        <v>46</v>
      </c>
      <c r="F2509" s="133" t="s">
        <v>24</v>
      </c>
      <c r="G2509" s="134" t="n">
        <f aca="false">LEN('Saisie programme'!$F$111)+SUMIFS('Vols additionnels'!$E$7:$E$66,'Vols additionnels'!$C$7:$C$66,$E2509,'Vols additionnels'!$D$7:$D$66,$F2509,'Vols additionnels'!$B$7:$B$66,$D2509)</f>
        <v>0</v>
      </c>
      <c r="H2509" s="135" t="n">
        <f aca="false">$G2509*'Analyse capacite'!$F$9</f>
        <v>0</v>
      </c>
      <c r="I2509" s="135" t="n">
        <f aca="false">$G2509*'Analyse capacite'!$C$9</f>
        <v>0</v>
      </c>
      <c r="J2509" s="135" t="n">
        <f aca="false">$G2509*'Analyse capacite'!$D$9</f>
        <v>0</v>
      </c>
      <c r="K2509" s="135" t="n">
        <f aca="false">$G2509*'Analyse capacite'!$E$9</f>
        <v>0</v>
      </c>
    </row>
    <row r="2510" customFormat="false" ht="15" hidden="false" customHeight="false" outlineLevel="0" collapsed="false">
      <c r="B2510" s="130" t="n">
        <v>2027</v>
      </c>
      <c r="C2510" s="131" t="s">
        <v>248</v>
      </c>
      <c r="D2510" s="132" t="n">
        <v>46547</v>
      </c>
      <c r="E2510" s="131" t="s">
        <v>49</v>
      </c>
      <c r="F2510" s="133" t="s">
        <v>11</v>
      </c>
      <c r="G2510" s="134" t="n">
        <f aca="false">LEN('Saisie programme'!$F$112)+SUMIFS('Vols additionnels'!$E$7:$E$66,'Vols additionnels'!$C$7:$C$66,$E2510,'Vols additionnels'!$D$7:$D$66,$F2510,'Vols additionnels'!$B$7:$B$66,$D2510)</f>
        <v>0</v>
      </c>
      <c r="H2510" s="135" t="n">
        <f aca="false">$G2510*'Analyse capacite'!$F$7</f>
        <v>0</v>
      </c>
      <c r="I2510" s="135" t="n">
        <f aca="false">$G2510*'Analyse capacite'!$C$7</f>
        <v>0</v>
      </c>
      <c r="J2510" s="135" t="n">
        <f aca="false">$G2510*'Analyse capacite'!$D$7</f>
        <v>0</v>
      </c>
      <c r="K2510" s="135" t="n">
        <f aca="false">$G2510*'Analyse capacite'!$E$7</f>
        <v>0</v>
      </c>
    </row>
    <row r="2511" customFormat="false" ht="15" hidden="false" customHeight="false" outlineLevel="0" collapsed="false">
      <c r="B2511" s="130" t="n">
        <v>2027</v>
      </c>
      <c r="C2511" s="131" t="s">
        <v>248</v>
      </c>
      <c r="D2511" s="132" t="n">
        <v>46547</v>
      </c>
      <c r="E2511" s="131" t="s">
        <v>49</v>
      </c>
      <c r="F2511" s="133" t="s">
        <v>19</v>
      </c>
      <c r="G2511" s="134" t="n">
        <f aca="false">LEN('Saisie programme'!$F$113)+SUMIFS('Vols additionnels'!$E$7:$E$66,'Vols additionnels'!$C$7:$C$66,$E2511,'Vols additionnels'!$D$7:$D$66,$F2511,'Vols additionnels'!$B$7:$B$66,$D2511)</f>
        <v>0</v>
      </c>
      <c r="H2511" s="135" t="n">
        <f aca="false">$G2511*'Analyse capacite'!$F$8</f>
        <v>0</v>
      </c>
      <c r="I2511" s="135" t="n">
        <f aca="false">$G2511*'Analyse capacite'!$C$8</f>
        <v>0</v>
      </c>
      <c r="J2511" s="135" t="n">
        <f aca="false">$G2511*'Analyse capacite'!$D$8</f>
        <v>0</v>
      </c>
      <c r="K2511" s="135" t="n">
        <f aca="false">$G2511*'Analyse capacite'!$E$8</f>
        <v>0</v>
      </c>
    </row>
    <row r="2512" customFormat="false" ht="15" hidden="false" customHeight="false" outlineLevel="0" collapsed="false">
      <c r="B2512" s="130" t="n">
        <v>2027</v>
      </c>
      <c r="C2512" s="131" t="s">
        <v>248</v>
      </c>
      <c r="D2512" s="132" t="n">
        <v>46547</v>
      </c>
      <c r="E2512" s="131" t="s">
        <v>49</v>
      </c>
      <c r="F2512" s="133" t="s">
        <v>24</v>
      </c>
      <c r="G2512" s="134" t="n">
        <f aca="false">LEN('Saisie programme'!$F$114)+SUMIFS('Vols additionnels'!$E$7:$E$66,'Vols additionnels'!$C$7:$C$66,$E2512,'Vols additionnels'!$D$7:$D$66,$F2512,'Vols additionnels'!$B$7:$B$66,$D2512)</f>
        <v>0</v>
      </c>
      <c r="H2512" s="135" t="n">
        <f aca="false">$G2512*'Analyse capacite'!$F$9</f>
        <v>0</v>
      </c>
      <c r="I2512" s="135" t="n">
        <f aca="false">$G2512*'Analyse capacite'!$C$9</f>
        <v>0</v>
      </c>
      <c r="J2512" s="135" t="n">
        <f aca="false">$G2512*'Analyse capacite'!$D$9</f>
        <v>0</v>
      </c>
      <c r="K2512" s="135" t="n">
        <f aca="false">$G2512*'Analyse capacite'!$E$9</f>
        <v>0</v>
      </c>
    </row>
    <row r="2513" customFormat="false" ht="15" hidden="false" customHeight="false" outlineLevel="0" collapsed="false">
      <c r="B2513" s="130" t="n">
        <v>2027</v>
      </c>
      <c r="C2513" s="131" t="s">
        <v>248</v>
      </c>
      <c r="D2513" s="132" t="n">
        <v>46547</v>
      </c>
      <c r="E2513" s="131" t="s">
        <v>53</v>
      </c>
      <c r="F2513" s="133" t="s">
        <v>11</v>
      </c>
      <c r="G2513" s="134" t="n">
        <f aca="false">LEN('Saisie programme'!$F$115)+SUMIFS('Vols additionnels'!$E$7:$E$66,'Vols additionnels'!$C$7:$C$66,$E2513,'Vols additionnels'!$D$7:$D$66,$F2513,'Vols additionnels'!$B$7:$B$66,$D2513)</f>
        <v>0</v>
      </c>
      <c r="H2513" s="135" t="n">
        <f aca="false">$G2513*'Analyse capacite'!$F$7</f>
        <v>0</v>
      </c>
      <c r="I2513" s="135" t="n">
        <f aca="false">$G2513*'Analyse capacite'!$C$7</f>
        <v>0</v>
      </c>
      <c r="J2513" s="135" t="n">
        <f aca="false">$G2513*'Analyse capacite'!$D$7</f>
        <v>0</v>
      </c>
      <c r="K2513" s="135" t="n">
        <f aca="false">$G2513*'Analyse capacite'!$E$7</f>
        <v>0</v>
      </c>
    </row>
    <row r="2514" customFormat="false" ht="15" hidden="false" customHeight="false" outlineLevel="0" collapsed="false">
      <c r="B2514" s="130" t="n">
        <v>2027</v>
      </c>
      <c r="C2514" s="131" t="s">
        <v>248</v>
      </c>
      <c r="D2514" s="132" t="n">
        <v>46547</v>
      </c>
      <c r="E2514" s="131" t="s">
        <v>53</v>
      </c>
      <c r="F2514" s="133" t="s">
        <v>19</v>
      </c>
      <c r="G2514" s="134" t="n">
        <f aca="false">LEN('Saisie programme'!$F$116)+SUMIFS('Vols additionnels'!$E$7:$E$66,'Vols additionnels'!$C$7:$C$66,$E2514,'Vols additionnels'!$D$7:$D$66,$F2514,'Vols additionnels'!$B$7:$B$66,$D2514)</f>
        <v>0</v>
      </c>
      <c r="H2514" s="135" t="n">
        <f aca="false">$G2514*'Analyse capacite'!$F$8</f>
        <v>0</v>
      </c>
      <c r="I2514" s="135" t="n">
        <f aca="false">$G2514*'Analyse capacite'!$C$8</f>
        <v>0</v>
      </c>
      <c r="J2514" s="135" t="n">
        <f aca="false">$G2514*'Analyse capacite'!$D$8</f>
        <v>0</v>
      </c>
      <c r="K2514" s="135" t="n">
        <f aca="false">$G2514*'Analyse capacite'!$E$8</f>
        <v>0</v>
      </c>
    </row>
    <row r="2515" customFormat="false" ht="15" hidden="false" customHeight="false" outlineLevel="0" collapsed="false">
      <c r="B2515" s="130" t="n">
        <v>2027</v>
      </c>
      <c r="C2515" s="131" t="s">
        <v>248</v>
      </c>
      <c r="D2515" s="132" t="n">
        <v>46547</v>
      </c>
      <c r="E2515" s="131" t="s">
        <v>53</v>
      </c>
      <c r="F2515" s="133" t="s">
        <v>24</v>
      </c>
      <c r="G2515" s="134" t="n">
        <f aca="false">LEN('Saisie programme'!$F$117)+SUMIFS('Vols additionnels'!$E$7:$E$66,'Vols additionnels'!$C$7:$C$66,$E2515,'Vols additionnels'!$D$7:$D$66,$F2515,'Vols additionnels'!$B$7:$B$66,$D2515)</f>
        <v>0</v>
      </c>
      <c r="H2515" s="135" t="n">
        <f aca="false">$G2515*'Analyse capacite'!$F$9</f>
        <v>0</v>
      </c>
      <c r="I2515" s="135" t="n">
        <f aca="false">$G2515*'Analyse capacite'!$C$9</f>
        <v>0</v>
      </c>
      <c r="J2515" s="135" t="n">
        <f aca="false">$G2515*'Analyse capacite'!$D$9</f>
        <v>0</v>
      </c>
      <c r="K2515" s="135" t="n">
        <f aca="false">$G2515*'Analyse capacite'!$E$9</f>
        <v>0</v>
      </c>
    </row>
    <row r="2516" customFormat="false" ht="15" hidden="false" customHeight="false" outlineLevel="0" collapsed="false">
      <c r="B2516" s="130" t="n">
        <v>2027</v>
      </c>
      <c r="C2516" s="131" t="s">
        <v>248</v>
      </c>
      <c r="D2516" s="132" t="n">
        <v>46547</v>
      </c>
      <c r="E2516" s="131" t="s">
        <v>56</v>
      </c>
      <c r="F2516" s="133" t="s">
        <v>11</v>
      </c>
      <c r="G2516" s="134" t="n">
        <f aca="false">LEN('Saisie programme'!$F$118)+SUMIFS('Vols additionnels'!$E$7:$E$66,'Vols additionnels'!$C$7:$C$66,$E2516,'Vols additionnels'!$D$7:$D$66,$F2516,'Vols additionnels'!$B$7:$B$66,$D2516)</f>
        <v>0</v>
      </c>
      <c r="H2516" s="135" t="n">
        <f aca="false">$G2516*'Analyse capacite'!$F$7</f>
        <v>0</v>
      </c>
      <c r="I2516" s="135" t="n">
        <f aca="false">$G2516*'Analyse capacite'!$C$7</f>
        <v>0</v>
      </c>
      <c r="J2516" s="135" t="n">
        <f aca="false">$G2516*'Analyse capacite'!$D$7</f>
        <v>0</v>
      </c>
      <c r="K2516" s="135" t="n">
        <f aca="false">$G2516*'Analyse capacite'!$E$7</f>
        <v>0</v>
      </c>
    </row>
    <row r="2517" customFormat="false" ht="15" hidden="false" customHeight="false" outlineLevel="0" collapsed="false">
      <c r="B2517" s="130" t="n">
        <v>2027</v>
      </c>
      <c r="C2517" s="131" t="s">
        <v>248</v>
      </c>
      <c r="D2517" s="132" t="n">
        <v>46547</v>
      </c>
      <c r="E2517" s="131" t="s">
        <v>56</v>
      </c>
      <c r="F2517" s="133" t="s">
        <v>19</v>
      </c>
      <c r="G2517" s="134" t="n">
        <f aca="false">LEN('Saisie programme'!$F$119)+SUMIFS('Vols additionnels'!$E$7:$E$66,'Vols additionnels'!$C$7:$C$66,$E2517,'Vols additionnels'!$D$7:$D$66,$F2517,'Vols additionnels'!$B$7:$B$66,$D2517)</f>
        <v>0</v>
      </c>
      <c r="H2517" s="135" t="n">
        <f aca="false">$G2517*'Analyse capacite'!$F$8</f>
        <v>0</v>
      </c>
      <c r="I2517" s="135" t="n">
        <f aca="false">$G2517*'Analyse capacite'!$C$8</f>
        <v>0</v>
      </c>
      <c r="J2517" s="135" t="n">
        <f aca="false">$G2517*'Analyse capacite'!$D$8</f>
        <v>0</v>
      </c>
      <c r="K2517" s="135" t="n">
        <f aca="false">$G2517*'Analyse capacite'!$E$8</f>
        <v>0</v>
      </c>
    </row>
    <row r="2518" customFormat="false" ht="15" hidden="false" customHeight="false" outlineLevel="0" collapsed="false">
      <c r="B2518" s="130" t="n">
        <v>2027</v>
      </c>
      <c r="C2518" s="131" t="s">
        <v>248</v>
      </c>
      <c r="D2518" s="132" t="n">
        <v>46547</v>
      </c>
      <c r="E2518" s="131" t="s">
        <v>56</v>
      </c>
      <c r="F2518" s="133" t="s">
        <v>24</v>
      </c>
      <c r="G2518" s="134" t="n">
        <f aca="false">LEN('Saisie programme'!$F$120)+SUMIFS('Vols additionnels'!$E$7:$E$66,'Vols additionnels'!$C$7:$C$66,$E2518,'Vols additionnels'!$D$7:$D$66,$F2518,'Vols additionnels'!$B$7:$B$66,$D2518)</f>
        <v>0</v>
      </c>
      <c r="H2518" s="135" t="n">
        <f aca="false">$G2518*'Analyse capacite'!$F$9</f>
        <v>0</v>
      </c>
      <c r="I2518" s="135" t="n">
        <f aca="false">$G2518*'Analyse capacite'!$C$9</f>
        <v>0</v>
      </c>
      <c r="J2518" s="135" t="n">
        <f aca="false">$G2518*'Analyse capacite'!$D$9</f>
        <v>0</v>
      </c>
      <c r="K2518" s="135" t="n">
        <f aca="false">$G2518*'Analyse capacite'!$E$9</f>
        <v>0</v>
      </c>
    </row>
    <row r="2519" customFormat="false" ht="15" hidden="false" customHeight="false" outlineLevel="0" collapsed="false">
      <c r="B2519" s="130" t="n">
        <v>2027</v>
      </c>
      <c r="C2519" s="131" t="s">
        <v>248</v>
      </c>
      <c r="D2519" s="132" t="n">
        <v>46547</v>
      </c>
      <c r="E2519" s="131" t="s">
        <v>59</v>
      </c>
      <c r="F2519" s="133" t="s">
        <v>11</v>
      </c>
      <c r="G2519" s="134" t="n">
        <f aca="false">LEN('Saisie programme'!$F$121)+SUMIFS('Vols additionnels'!$E$7:$E$66,'Vols additionnels'!$C$7:$C$66,$E2519,'Vols additionnels'!$D$7:$D$66,$F2519,'Vols additionnels'!$B$7:$B$66,$D2519)</f>
        <v>0</v>
      </c>
      <c r="H2519" s="135" t="n">
        <f aca="false">$G2519*'Analyse capacite'!$F$7</f>
        <v>0</v>
      </c>
      <c r="I2519" s="135" t="n">
        <f aca="false">$G2519*'Analyse capacite'!$C$7</f>
        <v>0</v>
      </c>
      <c r="J2519" s="135" t="n">
        <f aca="false">$G2519*'Analyse capacite'!$D$7</f>
        <v>0</v>
      </c>
      <c r="K2519" s="135" t="n">
        <f aca="false">$G2519*'Analyse capacite'!$E$7</f>
        <v>0</v>
      </c>
    </row>
    <row r="2520" customFormat="false" ht="15" hidden="false" customHeight="false" outlineLevel="0" collapsed="false">
      <c r="B2520" s="130" t="n">
        <v>2027</v>
      </c>
      <c r="C2520" s="131" t="s">
        <v>248</v>
      </c>
      <c r="D2520" s="132" t="n">
        <v>46547</v>
      </c>
      <c r="E2520" s="131" t="s">
        <v>59</v>
      </c>
      <c r="F2520" s="133" t="s">
        <v>19</v>
      </c>
      <c r="G2520" s="134" t="n">
        <f aca="false">LEN('Saisie programme'!$F$122)+SUMIFS('Vols additionnels'!$E$7:$E$66,'Vols additionnels'!$C$7:$C$66,$E2520,'Vols additionnels'!$D$7:$D$66,$F2520,'Vols additionnels'!$B$7:$B$66,$D2520)</f>
        <v>0</v>
      </c>
      <c r="H2520" s="135" t="n">
        <f aca="false">$G2520*'Analyse capacite'!$F$8</f>
        <v>0</v>
      </c>
      <c r="I2520" s="135" t="n">
        <f aca="false">$G2520*'Analyse capacite'!$C$8</f>
        <v>0</v>
      </c>
      <c r="J2520" s="135" t="n">
        <f aca="false">$G2520*'Analyse capacite'!$D$8</f>
        <v>0</v>
      </c>
      <c r="K2520" s="135" t="n">
        <f aca="false">$G2520*'Analyse capacite'!$E$8</f>
        <v>0</v>
      </c>
    </row>
    <row r="2521" customFormat="false" ht="15" hidden="false" customHeight="false" outlineLevel="0" collapsed="false">
      <c r="B2521" s="130" t="n">
        <v>2027</v>
      </c>
      <c r="C2521" s="131" t="s">
        <v>248</v>
      </c>
      <c r="D2521" s="132" t="n">
        <v>46547</v>
      </c>
      <c r="E2521" s="131" t="s">
        <v>59</v>
      </c>
      <c r="F2521" s="133" t="s">
        <v>24</v>
      </c>
      <c r="G2521" s="134" t="n">
        <f aca="false">LEN('Saisie programme'!$F$123)+SUMIFS('Vols additionnels'!$E$7:$E$66,'Vols additionnels'!$C$7:$C$66,$E2521,'Vols additionnels'!$D$7:$D$66,$F2521,'Vols additionnels'!$B$7:$B$66,$D2521)</f>
        <v>1</v>
      </c>
      <c r="H2521" s="135" t="n">
        <f aca="false">$G2521*'Analyse capacite'!$F$9</f>
        <v>174</v>
      </c>
      <c r="I2521" s="135" t="n">
        <f aca="false">$G2521*'Analyse capacite'!$C$9</f>
        <v>0</v>
      </c>
      <c r="J2521" s="135" t="n">
        <f aca="false">$G2521*'Analyse capacite'!$D$9</f>
        <v>12</v>
      </c>
      <c r="K2521" s="135" t="n">
        <f aca="false">$G2521*'Analyse capacite'!$E$9</f>
        <v>162</v>
      </c>
    </row>
    <row r="2522" customFormat="false" ht="15" hidden="false" customHeight="false" outlineLevel="0" collapsed="false">
      <c r="B2522" s="130" t="n">
        <v>2027</v>
      </c>
      <c r="C2522" s="131" t="s">
        <v>248</v>
      </c>
      <c r="D2522" s="132" t="n">
        <v>46547</v>
      </c>
      <c r="E2522" s="131" t="s">
        <v>62</v>
      </c>
      <c r="F2522" s="133" t="s">
        <v>11</v>
      </c>
      <c r="G2522" s="134" t="n">
        <f aca="false">LEN('Saisie programme'!$F$124)+SUMIFS('Vols additionnels'!$E$7:$E$66,'Vols additionnels'!$C$7:$C$66,$E2522,'Vols additionnels'!$D$7:$D$66,$F2522,'Vols additionnels'!$B$7:$B$66,$D2522)</f>
        <v>0</v>
      </c>
      <c r="H2522" s="135" t="n">
        <f aca="false">$G2522*'Analyse capacite'!$F$7</f>
        <v>0</v>
      </c>
      <c r="I2522" s="135" t="n">
        <f aca="false">$G2522*'Analyse capacite'!$C$7</f>
        <v>0</v>
      </c>
      <c r="J2522" s="135" t="n">
        <f aca="false">$G2522*'Analyse capacite'!$D$7</f>
        <v>0</v>
      </c>
      <c r="K2522" s="135" t="n">
        <f aca="false">$G2522*'Analyse capacite'!$E$7</f>
        <v>0</v>
      </c>
    </row>
    <row r="2523" customFormat="false" ht="15" hidden="false" customHeight="false" outlineLevel="0" collapsed="false">
      <c r="B2523" s="130" t="n">
        <v>2027</v>
      </c>
      <c r="C2523" s="131" t="s">
        <v>248</v>
      </c>
      <c r="D2523" s="132" t="n">
        <v>46547</v>
      </c>
      <c r="E2523" s="131" t="s">
        <v>62</v>
      </c>
      <c r="F2523" s="133" t="s">
        <v>19</v>
      </c>
      <c r="G2523" s="134" t="n">
        <f aca="false">LEN('Saisie programme'!$F$125)+SUMIFS('Vols additionnels'!$E$7:$E$66,'Vols additionnels'!$C$7:$C$66,$E2523,'Vols additionnels'!$D$7:$D$66,$F2523,'Vols additionnels'!$B$7:$B$66,$D2523)</f>
        <v>0</v>
      </c>
      <c r="H2523" s="135" t="n">
        <f aca="false">$G2523*'Analyse capacite'!$F$8</f>
        <v>0</v>
      </c>
      <c r="I2523" s="135" t="n">
        <f aca="false">$G2523*'Analyse capacite'!$C$8</f>
        <v>0</v>
      </c>
      <c r="J2523" s="135" t="n">
        <f aca="false">$G2523*'Analyse capacite'!$D$8</f>
        <v>0</v>
      </c>
      <c r="K2523" s="135" t="n">
        <f aca="false">$G2523*'Analyse capacite'!$E$8</f>
        <v>0</v>
      </c>
    </row>
    <row r="2524" customFormat="false" ht="15" hidden="false" customHeight="false" outlineLevel="0" collapsed="false">
      <c r="B2524" s="130" t="n">
        <v>2027</v>
      </c>
      <c r="C2524" s="131" t="s">
        <v>248</v>
      </c>
      <c r="D2524" s="132" t="n">
        <v>46547</v>
      </c>
      <c r="E2524" s="131" t="s">
        <v>62</v>
      </c>
      <c r="F2524" s="133" t="s">
        <v>24</v>
      </c>
      <c r="G2524" s="134" t="n">
        <f aca="false">LEN('Saisie programme'!$F$126)+SUMIFS('Vols additionnels'!$E$7:$E$66,'Vols additionnels'!$C$7:$C$66,$E2524,'Vols additionnels'!$D$7:$D$66,$F2524,'Vols additionnels'!$B$7:$B$66,$D2524)</f>
        <v>1</v>
      </c>
      <c r="H2524" s="135" t="n">
        <f aca="false">$G2524*'Analyse capacite'!$F$9</f>
        <v>174</v>
      </c>
      <c r="I2524" s="135" t="n">
        <f aca="false">$G2524*'Analyse capacite'!$C$9</f>
        <v>0</v>
      </c>
      <c r="J2524" s="135" t="n">
        <f aca="false">$G2524*'Analyse capacite'!$D$9</f>
        <v>12</v>
      </c>
      <c r="K2524" s="135" t="n">
        <f aca="false">$G2524*'Analyse capacite'!$E$9</f>
        <v>162</v>
      </c>
    </row>
    <row r="2525" customFormat="false" ht="15" hidden="false" customHeight="false" outlineLevel="0" collapsed="false">
      <c r="B2525" s="130" t="n">
        <v>2027</v>
      </c>
      <c r="C2525" s="131" t="s">
        <v>248</v>
      </c>
      <c r="D2525" s="132" t="n">
        <v>46548</v>
      </c>
      <c r="E2525" s="131" t="s">
        <v>12</v>
      </c>
      <c r="F2525" s="133" t="s">
        <v>11</v>
      </c>
      <c r="G2525" s="134" t="n">
        <f aca="false">LEN('Saisie programme'!$G$91)+SUMIFS('Vols additionnels'!$E$7:$E$66,'Vols additionnels'!$C$7:$C$66,$E2525,'Vols additionnels'!$D$7:$D$66,$F2525,'Vols additionnels'!$B$7:$B$66,$D2525)</f>
        <v>1</v>
      </c>
      <c r="H2525" s="135" t="n">
        <f aca="false">$G2525*'Analyse capacite'!$F$7</f>
        <v>438</v>
      </c>
      <c r="I2525" s="135" t="n">
        <f aca="false">$G2525*'Analyse capacite'!$C$7</f>
        <v>14</v>
      </c>
      <c r="J2525" s="135" t="n">
        <f aca="false">$G2525*'Analyse capacite'!$D$7</f>
        <v>40</v>
      </c>
      <c r="K2525" s="135" t="n">
        <f aca="false">$G2525*'Analyse capacite'!$E$7</f>
        <v>384</v>
      </c>
    </row>
    <row r="2526" customFormat="false" ht="15" hidden="false" customHeight="false" outlineLevel="0" collapsed="false">
      <c r="B2526" s="130" t="n">
        <v>2027</v>
      </c>
      <c r="C2526" s="131" t="s">
        <v>248</v>
      </c>
      <c r="D2526" s="132" t="n">
        <v>46548</v>
      </c>
      <c r="E2526" s="131" t="s">
        <v>12</v>
      </c>
      <c r="F2526" s="133" t="s">
        <v>19</v>
      </c>
      <c r="G2526" s="134" t="n">
        <f aca="false">LEN('Saisie programme'!$G$92)+SUMIFS('Vols additionnels'!$E$7:$E$66,'Vols additionnels'!$C$7:$C$66,$E2526,'Vols additionnels'!$D$7:$D$66,$F2526,'Vols additionnels'!$B$7:$B$66,$D2526)</f>
        <v>0</v>
      </c>
      <c r="H2526" s="135" t="n">
        <f aca="false">$G2526*'Analyse capacite'!$F$8</f>
        <v>0</v>
      </c>
      <c r="I2526" s="135" t="n">
        <f aca="false">$G2526*'Analyse capacite'!$C$8</f>
        <v>0</v>
      </c>
      <c r="J2526" s="135" t="n">
        <f aca="false">$G2526*'Analyse capacite'!$D$8</f>
        <v>0</v>
      </c>
      <c r="K2526" s="135" t="n">
        <f aca="false">$G2526*'Analyse capacite'!$E$8</f>
        <v>0</v>
      </c>
    </row>
    <row r="2527" customFormat="false" ht="15" hidden="false" customHeight="false" outlineLevel="0" collapsed="false">
      <c r="B2527" s="130" t="n">
        <v>2027</v>
      </c>
      <c r="C2527" s="131" t="s">
        <v>248</v>
      </c>
      <c r="D2527" s="132" t="n">
        <v>46548</v>
      </c>
      <c r="E2527" s="131" t="s">
        <v>12</v>
      </c>
      <c r="F2527" s="133" t="s">
        <v>24</v>
      </c>
      <c r="G2527" s="134" t="n">
        <f aca="false">LEN('Saisie programme'!$G$93)+SUMIFS('Vols additionnels'!$E$7:$E$66,'Vols additionnels'!$C$7:$C$66,$E2527,'Vols additionnels'!$D$7:$D$66,$F2527,'Vols additionnels'!$B$7:$B$66,$D2527)</f>
        <v>0</v>
      </c>
      <c r="H2527" s="135" t="n">
        <f aca="false">$G2527*'Analyse capacite'!$F$9</f>
        <v>0</v>
      </c>
      <c r="I2527" s="135" t="n">
        <f aca="false">$G2527*'Analyse capacite'!$C$9</f>
        <v>0</v>
      </c>
      <c r="J2527" s="135" t="n">
        <f aca="false">$G2527*'Analyse capacite'!$D$9</f>
        <v>0</v>
      </c>
      <c r="K2527" s="135" t="n">
        <f aca="false">$G2527*'Analyse capacite'!$E$9</f>
        <v>0</v>
      </c>
    </row>
    <row r="2528" customFormat="false" ht="15" hidden="false" customHeight="false" outlineLevel="0" collapsed="false">
      <c r="B2528" s="130" t="n">
        <v>2027</v>
      </c>
      <c r="C2528" s="131" t="s">
        <v>248</v>
      </c>
      <c r="D2528" s="132" t="n">
        <v>46548</v>
      </c>
      <c r="E2528" s="131" t="s">
        <v>20</v>
      </c>
      <c r="F2528" s="133" t="s">
        <v>11</v>
      </c>
      <c r="G2528" s="134" t="n">
        <f aca="false">LEN('Saisie programme'!$G$94)+SUMIFS('Vols additionnels'!$E$7:$E$66,'Vols additionnels'!$C$7:$C$66,$E2528,'Vols additionnels'!$D$7:$D$66,$F2528,'Vols additionnels'!$B$7:$B$66,$D2528)</f>
        <v>0</v>
      </c>
      <c r="H2528" s="135" t="n">
        <f aca="false">$G2528*'Analyse capacite'!$F$7</f>
        <v>0</v>
      </c>
      <c r="I2528" s="135" t="n">
        <f aca="false">$G2528*'Analyse capacite'!$C$7</f>
        <v>0</v>
      </c>
      <c r="J2528" s="135" t="n">
        <f aca="false">$G2528*'Analyse capacite'!$D$7</f>
        <v>0</v>
      </c>
      <c r="K2528" s="135" t="n">
        <f aca="false">$G2528*'Analyse capacite'!$E$7</f>
        <v>0</v>
      </c>
    </row>
    <row r="2529" customFormat="false" ht="15" hidden="false" customHeight="false" outlineLevel="0" collapsed="false">
      <c r="B2529" s="130" t="n">
        <v>2027</v>
      </c>
      <c r="C2529" s="131" t="s">
        <v>248</v>
      </c>
      <c r="D2529" s="132" t="n">
        <v>46548</v>
      </c>
      <c r="E2529" s="131" t="s">
        <v>20</v>
      </c>
      <c r="F2529" s="133" t="s">
        <v>19</v>
      </c>
      <c r="G2529" s="134" t="n">
        <f aca="false">LEN('Saisie programme'!$G$95)+SUMIFS('Vols additionnels'!$E$7:$E$66,'Vols additionnels'!$C$7:$C$66,$E2529,'Vols additionnels'!$D$7:$D$66,$F2529,'Vols additionnels'!$B$7:$B$66,$D2529)</f>
        <v>0</v>
      </c>
      <c r="H2529" s="135" t="n">
        <f aca="false">$G2529*'Analyse capacite'!$F$8</f>
        <v>0</v>
      </c>
      <c r="I2529" s="135" t="n">
        <f aca="false">$G2529*'Analyse capacite'!$C$8</f>
        <v>0</v>
      </c>
      <c r="J2529" s="135" t="n">
        <f aca="false">$G2529*'Analyse capacite'!$D$8</f>
        <v>0</v>
      </c>
      <c r="K2529" s="135" t="n">
        <f aca="false">$G2529*'Analyse capacite'!$E$8</f>
        <v>0</v>
      </c>
    </row>
    <row r="2530" customFormat="false" ht="15" hidden="false" customHeight="false" outlineLevel="0" collapsed="false">
      <c r="B2530" s="130" t="n">
        <v>2027</v>
      </c>
      <c r="C2530" s="131" t="s">
        <v>248</v>
      </c>
      <c r="D2530" s="132" t="n">
        <v>46548</v>
      </c>
      <c r="E2530" s="131" t="s">
        <v>20</v>
      </c>
      <c r="F2530" s="133" t="s">
        <v>24</v>
      </c>
      <c r="G2530" s="134" t="n">
        <f aca="false">LEN('Saisie programme'!$G$96)+SUMIFS('Vols additionnels'!$E$7:$E$66,'Vols additionnels'!$C$7:$C$66,$E2530,'Vols additionnels'!$D$7:$D$66,$F2530,'Vols additionnels'!$B$7:$B$66,$D2530)</f>
        <v>0</v>
      </c>
      <c r="H2530" s="135" t="n">
        <f aca="false">$G2530*'Analyse capacite'!$F$9</f>
        <v>0</v>
      </c>
      <c r="I2530" s="135" t="n">
        <f aca="false">$G2530*'Analyse capacite'!$C$9</f>
        <v>0</v>
      </c>
      <c r="J2530" s="135" t="n">
        <f aca="false">$G2530*'Analyse capacite'!$D$9</f>
        <v>0</v>
      </c>
      <c r="K2530" s="135" t="n">
        <f aca="false">$G2530*'Analyse capacite'!$E$9</f>
        <v>0</v>
      </c>
    </row>
    <row r="2531" customFormat="false" ht="15" hidden="false" customHeight="false" outlineLevel="0" collapsed="false">
      <c r="B2531" s="130" t="n">
        <v>2027</v>
      </c>
      <c r="C2531" s="131" t="s">
        <v>248</v>
      </c>
      <c r="D2531" s="132" t="n">
        <v>46548</v>
      </c>
      <c r="E2531" s="131" t="s">
        <v>25</v>
      </c>
      <c r="F2531" s="133" t="s">
        <v>11</v>
      </c>
      <c r="G2531" s="134" t="n">
        <f aca="false">LEN('Saisie programme'!$G$97)+SUMIFS('Vols additionnels'!$E$7:$E$66,'Vols additionnels'!$C$7:$C$66,$E2531,'Vols additionnels'!$D$7:$D$66,$F2531,'Vols additionnels'!$B$7:$B$66,$D2531)</f>
        <v>0</v>
      </c>
      <c r="H2531" s="135" t="n">
        <f aca="false">$G2531*'Analyse capacite'!$F$7</f>
        <v>0</v>
      </c>
      <c r="I2531" s="135" t="n">
        <f aca="false">$G2531*'Analyse capacite'!$C$7</f>
        <v>0</v>
      </c>
      <c r="J2531" s="135" t="n">
        <f aca="false">$G2531*'Analyse capacite'!$D$7</f>
        <v>0</v>
      </c>
      <c r="K2531" s="135" t="n">
        <f aca="false">$G2531*'Analyse capacite'!$E$7</f>
        <v>0</v>
      </c>
    </row>
    <row r="2532" customFormat="false" ht="15" hidden="false" customHeight="false" outlineLevel="0" collapsed="false">
      <c r="B2532" s="130" t="n">
        <v>2027</v>
      </c>
      <c r="C2532" s="131" t="s">
        <v>248</v>
      </c>
      <c r="D2532" s="132" t="n">
        <v>46548</v>
      </c>
      <c r="E2532" s="131" t="s">
        <v>25</v>
      </c>
      <c r="F2532" s="133" t="s">
        <v>19</v>
      </c>
      <c r="G2532" s="134" t="n">
        <f aca="false">LEN('Saisie programme'!$G$98)+SUMIFS('Vols additionnels'!$E$7:$E$66,'Vols additionnels'!$C$7:$C$66,$E2532,'Vols additionnels'!$D$7:$D$66,$F2532,'Vols additionnels'!$B$7:$B$66,$D2532)</f>
        <v>0</v>
      </c>
      <c r="H2532" s="135" t="n">
        <f aca="false">$G2532*'Analyse capacite'!$F$8</f>
        <v>0</v>
      </c>
      <c r="I2532" s="135" t="n">
        <f aca="false">$G2532*'Analyse capacite'!$C$8</f>
        <v>0</v>
      </c>
      <c r="J2532" s="135" t="n">
        <f aca="false">$G2532*'Analyse capacite'!$D$8</f>
        <v>0</v>
      </c>
      <c r="K2532" s="135" t="n">
        <f aca="false">$G2532*'Analyse capacite'!$E$8</f>
        <v>0</v>
      </c>
    </row>
    <row r="2533" customFormat="false" ht="15" hidden="false" customHeight="false" outlineLevel="0" collapsed="false">
      <c r="B2533" s="130" t="n">
        <v>2027</v>
      </c>
      <c r="C2533" s="131" t="s">
        <v>248</v>
      </c>
      <c r="D2533" s="132" t="n">
        <v>46548</v>
      </c>
      <c r="E2533" s="131" t="s">
        <v>25</v>
      </c>
      <c r="F2533" s="133" t="s">
        <v>24</v>
      </c>
      <c r="G2533" s="134" t="n">
        <f aca="false">LEN('Saisie programme'!$G$99)+SUMIFS('Vols additionnels'!$E$7:$E$66,'Vols additionnels'!$C$7:$C$66,$E2533,'Vols additionnels'!$D$7:$D$66,$F2533,'Vols additionnels'!$B$7:$B$66,$D2533)</f>
        <v>0</v>
      </c>
      <c r="H2533" s="135" t="n">
        <f aca="false">$G2533*'Analyse capacite'!$F$9</f>
        <v>0</v>
      </c>
      <c r="I2533" s="135" t="n">
        <f aca="false">$G2533*'Analyse capacite'!$C$9</f>
        <v>0</v>
      </c>
      <c r="J2533" s="135" t="n">
        <f aca="false">$G2533*'Analyse capacite'!$D$9</f>
        <v>0</v>
      </c>
      <c r="K2533" s="135" t="n">
        <f aca="false">$G2533*'Analyse capacite'!$E$9</f>
        <v>0</v>
      </c>
    </row>
    <row r="2534" customFormat="false" ht="15" hidden="false" customHeight="false" outlineLevel="0" collapsed="false">
      <c r="B2534" s="130" t="n">
        <v>2027</v>
      </c>
      <c r="C2534" s="131" t="s">
        <v>248</v>
      </c>
      <c r="D2534" s="132" t="n">
        <v>46548</v>
      </c>
      <c r="E2534" s="131" t="s">
        <v>36</v>
      </c>
      <c r="F2534" s="133" t="s">
        <v>11</v>
      </c>
      <c r="G2534" s="134" t="n">
        <f aca="false">LEN('Saisie programme'!$G$100)+SUMIFS('Vols additionnels'!$E$7:$E$66,'Vols additionnels'!$C$7:$C$66,$E2534,'Vols additionnels'!$D$7:$D$66,$F2534,'Vols additionnels'!$B$7:$B$66,$D2534)</f>
        <v>0</v>
      </c>
      <c r="H2534" s="135" t="n">
        <f aca="false">$G2534*'Analyse capacite'!$F$7</f>
        <v>0</v>
      </c>
      <c r="I2534" s="135" t="n">
        <f aca="false">$G2534*'Analyse capacite'!$C$7</f>
        <v>0</v>
      </c>
      <c r="J2534" s="135" t="n">
        <f aca="false">$G2534*'Analyse capacite'!$D$7</f>
        <v>0</v>
      </c>
      <c r="K2534" s="135" t="n">
        <f aca="false">$G2534*'Analyse capacite'!$E$7</f>
        <v>0</v>
      </c>
    </row>
    <row r="2535" customFormat="false" ht="15" hidden="false" customHeight="false" outlineLevel="0" collapsed="false">
      <c r="B2535" s="130" t="n">
        <v>2027</v>
      </c>
      <c r="C2535" s="131" t="s">
        <v>248</v>
      </c>
      <c r="D2535" s="132" t="n">
        <v>46548</v>
      </c>
      <c r="E2535" s="131" t="s">
        <v>36</v>
      </c>
      <c r="F2535" s="133" t="s">
        <v>19</v>
      </c>
      <c r="G2535" s="134" t="n">
        <f aca="false">LEN('Saisie programme'!$G$101)+SUMIFS('Vols additionnels'!$E$7:$E$66,'Vols additionnels'!$C$7:$C$66,$E2535,'Vols additionnels'!$D$7:$D$66,$F2535,'Vols additionnels'!$B$7:$B$66,$D2535)</f>
        <v>0</v>
      </c>
      <c r="H2535" s="135" t="n">
        <f aca="false">$G2535*'Analyse capacite'!$F$8</f>
        <v>0</v>
      </c>
      <c r="I2535" s="135" t="n">
        <f aca="false">$G2535*'Analyse capacite'!$C$8</f>
        <v>0</v>
      </c>
      <c r="J2535" s="135" t="n">
        <f aca="false">$G2535*'Analyse capacite'!$D$8</f>
        <v>0</v>
      </c>
      <c r="K2535" s="135" t="n">
        <f aca="false">$G2535*'Analyse capacite'!$E$8</f>
        <v>0</v>
      </c>
    </row>
    <row r="2536" customFormat="false" ht="15" hidden="false" customHeight="false" outlineLevel="0" collapsed="false">
      <c r="B2536" s="130" t="n">
        <v>2027</v>
      </c>
      <c r="C2536" s="131" t="s">
        <v>248</v>
      </c>
      <c r="D2536" s="132" t="n">
        <v>46548</v>
      </c>
      <c r="E2536" s="131" t="s">
        <v>36</v>
      </c>
      <c r="F2536" s="133" t="s">
        <v>24</v>
      </c>
      <c r="G2536" s="134" t="n">
        <f aca="false">LEN('Saisie programme'!$G$102)+SUMIFS('Vols additionnels'!$E$7:$E$66,'Vols additionnels'!$C$7:$C$66,$E2536,'Vols additionnels'!$D$7:$D$66,$F2536,'Vols additionnels'!$B$7:$B$66,$D2536)</f>
        <v>1</v>
      </c>
      <c r="H2536" s="135" t="n">
        <f aca="false">$G2536*'Analyse capacite'!$F$9</f>
        <v>174</v>
      </c>
      <c r="I2536" s="135" t="n">
        <f aca="false">$G2536*'Analyse capacite'!$C$9</f>
        <v>0</v>
      </c>
      <c r="J2536" s="135" t="n">
        <f aca="false">$G2536*'Analyse capacite'!$D$9</f>
        <v>12</v>
      </c>
      <c r="K2536" s="135" t="n">
        <f aca="false">$G2536*'Analyse capacite'!$E$9</f>
        <v>162</v>
      </c>
    </row>
    <row r="2537" customFormat="false" ht="15" hidden="false" customHeight="false" outlineLevel="0" collapsed="false">
      <c r="B2537" s="130" t="n">
        <v>2027</v>
      </c>
      <c r="C2537" s="131" t="s">
        <v>248</v>
      </c>
      <c r="D2537" s="132" t="n">
        <v>46548</v>
      </c>
      <c r="E2537" s="131" t="s">
        <v>40</v>
      </c>
      <c r="F2537" s="133" t="s">
        <v>11</v>
      </c>
      <c r="G2537" s="134" t="n">
        <f aca="false">LEN('Saisie programme'!$G$103)+SUMIFS('Vols additionnels'!$E$7:$E$66,'Vols additionnels'!$C$7:$C$66,$E2537,'Vols additionnels'!$D$7:$D$66,$F2537,'Vols additionnels'!$B$7:$B$66,$D2537)</f>
        <v>0</v>
      </c>
      <c r="H2537" s="135" t="n">
        <f aca="false">$G2537*'Analyse capacite'!$F$7</f>
        <v>0</v>
      </c>
      <c r="I2537" s="135" t="n">
        <f aca="false">$G2537*'Analyse capacite'!$C$7</f>
        <v>0</v>
      </c>
      <c r="J2537" s="135" t="n">
        <f aca="false">$G2537*'Analyse capacite'!$D$7</f>
        <v>0</v>
      </c>
      <c r="K2537" s="135" t="n">
        <f aca="false">$G2537*'Analyse capacite'!$E$7</f>
        <v>0</v>
      </c>
    </row>
    <row r="2538" customFormat="false" ht="15" hidden="false" customHeight="false" outlineLevel="0" collapsed="false">
      <c r="B2538" s="130" t="n">
        <v>2027</v>
      </c>
      <c r="C2538" s="131" t="s">
        <v>248</v>
      </c>
      <c r="D2538" s="132" t="n">
        <v>46548</v>
      </c>
      <c r="E2538" s="131" t="s">
        <v>40</v>
      </c>
      <c r="F2538" s="133" t="s">
        <v>19</v>
      </c>
      <c r="G2538" s="134" t="n">
        <f aca="false">LEN('Saisie programme'!$G$104)+SUMIFS('Vols additionnels'!$E$7:$E$66,'Vols additionnels'!$C$7:$C$66,$E2538,'Vols additionnels'!$D$7:$D$66,$F2538,'Vols additionnels'!$B$7:$B$66,$D2538)</f>
        <v>0</v>
      </c>
      <c r="H2538" s="135" t="n">
        <f aca="false">$G2538*'Analyse capacite'!$F$8</f>
        <v>0</v>
      </c>
      <c r="I2538" s="135" t="n">
        <f aca="false">$G2538*'Analyse capacite'!$C$8</f>
        <v>0</v>
      </c>
      <c r="J2538" s="135" t="n">
        <f aca="false">$G2538*'Analyse capacite'!$D$8</f>
        <v>0</v>
      </c>
      <c r="K2538" s="135" t="n">
        <f aca="false">$G2538*'Analyse capacite'!$E$8</f>
        <v>0</v>
      </c>
    </row>
    <row r="2539" customFormat="false" ht="15" hidden="false" customHeight="false" outlineLevel="0" collapsed="false">
      <c r="B2539" s="130" t="n">
        <v>2027</v>
      </c>
      <c r="C2539" s="131" t="s">
        <v>248</v>
      </c>
      <c r="D2539" s="132" t="n">
        <v>46548</v>
      </c>
      <c r="E2539" s="131" t="s">
        <v>40</v>
      </c>
      <c r="F2539" s="133" t="s">
        <v>24</v>
      </c>
      <c r="G2539" s="134" t="n">
        <f aca="false">LEN('Saisie programme'!$G$105)+SUMIFS('Vols additionnels'!$E$7:$E$66,'Vols additionnels'!$C$7:$C$66,$E2539,'Vols additionnels'!$D$7:$D$66,$F2539,'Vols additionnels'!$B$7:$B$66,$D2539)</f>
        <v>0</v>
      </c>
      <c r="H2539" s="135" t="n">
        <f aca="false">$G2539*'Analyse capacite'!$F$9</f>
        <v>0</v>
      </c>
      <c r="I2539" s="135" t="n">
        <f aca="false">$G2539*'Analyse capacite'!$C$9</f>
        <v>0</v>
      </c>
      <c r="J2539" s="135" t="n">
        <f aca="false">$G2539*'Analyse capacite'!$D$9</f>
        <v>0</v>
      </c>
      <c r="K2539" s="135" t="n">
        <f aca="false">$G2539*'Analyse capacite'!$E$9</f>
        <v>0</v>
      </c>
    </row>
    <row r="2540" customFormat="false" ht="15" hidden="false" customHeight="false" outlineLevel="0" collapsed="false">
      <c r="B2540" s="130" t="n">
        <v>2027</v>
      </c>
      <c r="C2540" s="131" t="s">
        <v>248</v>
      </c>
      <c r="D2540" s="132" t="n">
        <v>46548</v>
      </c>
      <c r="E2540" s="131" t="s">
        <v>14</v>
      </c>
      <c r="F2540" s="133" t="s">
        <v>11</v>
      </c>
      <c r="G2540" s="134" t="n">
        <f aca="false">LEN('Saisie programme'!$G$106)+SUMIFS('Vols additionnels'!$E$7:$E$66,'Vols additionnels'!$C$7:$C$66,$E2540,'Vols additionnels'!$D$7:$D$66,$F2540,'Vols additionnels'!$B$7:$B$66,$D2540)</f>
        <v>0</v>
      </c>
      <c r="H2540" s="135" t="n">
        <f aca="false">$G2540*'Analyse capacite'!$F$7</f>
        <v>0</v>
      </c>
      <c r="I2540" s="135" t="n">
        <f aca="false">$G2540*'Analyse capacite'!$C$7</f>
        <v>0</v>
      </c>
      <c r="J2540" s="135" t="n">
        <f aca="false">$G2540*'Analyse capacite'!$D$7</f>
        <v>0</v>
      </c>
      <c r="K2540" s="135" t="n">
        <f aca="false">$G2540*'Analyse capacite'!$E$7</f>
        <v>0</v>
      </c>
    </row>
    <row r="2541" customFormat="false" ht="15" hidden="false" customHeight="false" outlineLevel="0" collapsed="false">
      <c r="B2541" s="130" t="n">
        <v>2027</v>
      </c>
      <c r="C2541" s="131" t="s">
        <v>248</v>
      </c>
      <c r="D2541" s="132" t="n">
        <v>46548</v>
      </c>
      <c r="E2541" s="131" t="s">
        <v>14</v>
      </c>
      <c r="F2541" s="133" t="s">
        <v>19</v>
      </c>
      <c r="G2541" s="134" t="n">
        <f aca="false">LEN('Saisie programme'!$G$107)+SUMIFS('Vols additionnels'!$E$7:$E$66,'Vols additionnels'!$C$7:$C$66,$E2541,'Vols additionnels'!$D$7:$D$66,$F2541,'Vols additionnels'!$B$7:$B$66,$D2541)</f>
        <v>0</v>
      </c>
      <c r="H2541" s="135" t="n">
        <f aca="false">$G2541*'Analyse capacite'!$F$8</f>
        <v>0</v>
      </c>
      <c r="I2541" s="135" t="n">
        <f aca="false">$G2541*'Analyse capacite'!$C$8</f>
        <v>0</v>
      </c>
      <c r="J2541" s="135" t="n">
        <f aca="false">$G2541*'Analyse capacite'!$D$8</f>
        <v>0</v>
      </c>
      <c r="K2541" s="135" t="n">
        <f aca="false">$G2541*'Analyse capacite'!$E$8</f>
        <v>0</v>
      </c>
    </row>
    <row r="2542" customFormat="false" ht="15" hidden="false" customHeight="false" outlineLevel="0" collapsed="false">
      <c r="B2542" s="130" t="n">
        <v>2027</v>
      </c>
      <c r="C2542" s="131" t="s">
        <v>248</v>
      </c>
      <c r="D2542" s="132" t="n">
        <v>46548</v>
      </c>
      <c r="E2542" s="131" t="s">
        <v>14</v>
      </c>
      <c r="F2542" s="133" t="s">
        <v>24</v>
      </c>
      <c r="G2542" s="134" t="n">
        <f aca="false">LEN('Saisie programme'!$G$108)+SUMIFS('Vols additionnels'!$E$7:$E$66,'Vols additionnels'!$C$7:$C$66,$E2542,'Vols additionnels'!$D$7:$D$66,$F2542,'Vols additionnels'!$B$7:$B$66,$D2542)</f>
        <v>1</v>
      </c>
      <c r="H2542" s="135" t="n">
        <f aca="false">$G2542*'Analyse capacite'!$F$9</f>
        <v>174</v>
      </c>
      <c r="I2542" s="135" t="n">
        <f aca="false">$G2542*'Analyse capacite'!$C$9</f>
        <v>0</v>
      </c>
      <c r="J2542" s="135" t="n">
        <f aca="false">$G2542*'Analyse capacite'!$D$9</f>
        <v>12</v>
      </c>
      <c r="K2542" s="135" t="n">
        <f aca="false">$G2542*'Analyse capacite'!$E$9</f>
        <v>162</v>
      </c>
    </row>
    <row r="2543" customFormat="false" ht="15" hidden="false" customHeight="false" outlineLevel="0" collapsed="false">
      <c r="B2543" s="130" t="n">
        <v>2027</v>
      </c>
      <c r="C2543" s="131" t="s">
        <v>248</v>
      </c>
      <c r="D2543" s="132" t="n">
        <v>46548</v>
      </c>
      <c r="E2543" s="131" t="s">
        <v>46</v>
      </c>
      <c r="F2543" s="133" t="s">
        <v>11</v>
      </c>
      <c r="G2543" s="134" t="n">
        <f aca="false">LEN('Saisie programme'!$G$109)+SUMIFS('Vols additionnels'!$E$7:$E$66,'Vols additionnels'!$C$7:$C$66,$E2543,'Vols additionnels'!$D$7:$D$66,$F2543,'Vols additionnels'!$B$7:$B$66,$D2543)</f>
        <v>0</v>
      </c>
      <c r="H2543" s="135" t="n">
        <f aca="false">$G2543*'Analyse capacite'!$F$7</f>
        <v>0</v>
      </c>
      <c r="I2543" s="135" t="n">
        <f aca="false">$G2543*'Analyse capacite'!$C$7</f>
        <v>0</v>
      </c>
      <c r="J2543" s="135" t="n">
        <f aca="false">$G2543*'Analyse capacite'!$D$7</f>
        <v>0</v>
      </c>
      <c r="K2543" s="135" t="n">
        <f aca="false">$G2543*'Analyse capacite'!$E$7</f>
        <v>0</v>
      </c>
    </row>
    <row r="2544" customFormat="false" ht="15" hidden="false" customHeight="false" outlineLevel="0" collapsed="false">
      <c r="B2544" s="130" t="n">
        <v>2027</v>
      </c>
      <c r="C2544" s="131" t="s">
        <v>248</v>
      </c>
      <c r="D2544" s="132" t="n">
        <v>46548</v>
      </c>
      <c r="E2544" s="131" t="s">
        <v>46</v>
      </c>
      <c r="F2544" s="133" t="s">
        <v>19</v>
      </c>
      <c r="G2544" s="134" t="n">
        <f aca="false">LEN('Saisie programme'!$G$110)+SUMIFS('Vols additionnels'!$E$7:$E$66,'Vols additionnels'!$C$7:$C$66,$E2544,'Vols additionnels'!$D$7:$D$66,$F2544,'Vols additionnels'!$B$7:$B$66,$D2544)</f>
        <v>0</v>
      </c>
      <c r="H2544" s="135" t="n">
        <f aca="false">$G2544*'Analyse capacite'!$F$8</f>
        <v>0</v>
      </c>
      <c r="I2544" s="135" t="n">
        <f aca="false">$G2544*'Analyse capacite'!$C$8</f>
        <v>0</v>
      </c>
      <c r="J2544" s="135" t="n">
        <f aca="false">$G2544*'Analyse capacite'!$D$8</f>
        <v>0</v>
      </c>
      <c r="K2544" s="135" t="n">
        <f aca="false">$G2544*'Analyse capacite'!$E$8</f>
        <v>0</v>
      </c>
    </row>
    <row r="2545" customFormat="false" ht="15" hidden="false" customHeight="false" outlineLevel="0" collapsed="false">
      <c r="B2545" s="130" t="n">
        <v>2027</v>
      </c>
      <c r="C2545" s="131" t="s">
        <v>248</v>
      </c>
      <c r="D2545" s="132" t="n">
        <v>46548</v>
      </c>
      <c r="E2545" s="131" t="s">
        <v>46</v>
      </c>
      <c r="F2545" s="133" t="s">
        <v>24</v>
      </c>
      <c r="G2545" s="134" t="n">
        <f aca="false">LEN('Saisie programme'!$G$111)+SUMIFS('Vols additionnels'!$E$7:$E$66,'Vols additionnels'!$C$7:$C$66,$E2545,'Vols additionnels'!$D$7:$D$66,$F2545,'Vols additionnels'!$B$7:$B$66,$D2545)</f>
        <v>1</v>
      </c>
      <c r="H2545" s="135" t="n">
        <f aca="false">$G2545*'Analyse capacite'!$F$9</f>
        <v>174</v>
      </c>
      <c r="I2545" s="135" t="n">
        <f aca="false">$G2545*'Analyse capacite'!$C$9</f>
        <v>0</v>
      </c>
      <c r="J2545" s="135" t="n">
        <f aca="false">$G2545*'Analyse capacite'!$D$9</f>
        <v>12</v>
      </c>
      <c r="K2545" s="135" t="n">
        <f aca="false">$G2545*'Analyse capacite'!$E$9</f>
        <v>162</v>
      </c>
    </row>
    <row r="2546" customFormat="false" ht="15" hidden="false" customHeight="false" outlineLevel="0" collapsed="false">
      <c r="B2546" s="130" t="n">
        <v>2027</v>
      </c>
      <c r="C2546" s="131" t="s">
        <v>248</v>
      </c>
      <c r="D2546" s="132" t="n">
        <v>46548</v>
      </c>
      <c r="E2546" s="131" t="s">
        <v>49</v>
      </c>
      <c r="F2546" s="133" t="s">
        <v>11</v>
      </c>
      <c r="G2546" s="134" t="n">
        <f aca="false">LEN('Saisie programme'!$G$112)+SUMIFS('Vols additionnels'!$E$7:$E$66,'Vols additionnels'!$C$7:$C$66,$E2546,'Vols additionnels'!$D$7:$D$66,$F2546,'Vols additionnels'!$B$7:$B$66,$D2546)</f>
        <v>0</v>
      </c>
      <c r="H2546" s="135" t="n">
        <f aca="false">$G2546*'Analyse capacite'!$F$7</f>
        <v>0</v>
      </c>
      <c r="I2546" s="135" t="n">
        <f aca="false">$G2546*'Analyse capacite'!$C$7</f>
        <v>0</v>
      </c>
      <c r="J2546" s="135" t="n">
        <f aca="false">$G2546*'Analyse capacite'!$D$7</f>
        <v>0</v>
      </c>
      <c r="K2546" s="135" t="n">
        <f aca="false">$G2546*'Analyse capacite'!$E$7</f>
        <v>0</v>
      </c>
    </row>
    <row r="2547" customFormat="false" ht="15" hidden="false" customHeight="false" outlineLevel="0" collapsed="false">
      <c r="B2547" s="130" t="n">
        <v>2027</v>
      </c>
      <c r="C2547" s="131" t="s">
        <v>248</v>
      </c>
      <c r="D2547" s="132" t="n">
        <v>46548</v>
      </c>
      <c r="E2547" s="131" t="s">
        <v>49</v>
      </c>
      <c r="F2547" s="133" t="s">
        <v>19</v>
      </c>
      <c r="G2547" s="134" t="n">
        <f aca="false">LEN('Saisie programme'!$G$113)+SUMIFS('Vols additionnels'!$E$7:$E$66,'Vols additionnels'!$C$7:$C$66,$E2547,'Vols additionnels'!$D$7:$D$66,$F2547,'Vols additionnels'!$B$7:$B$66,$D2547)</f>
        <v>0</v>
      </c>
      <c r="H2547" s="135" t="n">
        <f aca="false">$G2547*'Analyse capacite'!$F$8</f>
        <v>0</v>
      </c>
      <c r="I2547" s="135" t="n">
        <f aca="false">$G2547*'Analyse capacite'!$C$8</f>
        <v>0</v>
      </c>
      <c r="J2547" s="135" t="n">
        <f aca="false">$G2547*'Analyse capacite'!$D$8</f>
        <v>0</v>
      </c>
      <c r="K2547" s="135" t="n">
        <f aca="false">$G2547*'Analyse capacite'!$E$8</f>
        <v>0</v>
      </c>
    </row>
    <row r="2548" customFormat="false" ht="15" hidden="false" customHeight="false" outlineLevel="0" collapsed="false">
      <c r="B2548" s="130" t="n">
        <v>2027</v>
      </c>
      <c r="C2548" s="131" t="s">
        <v>248</v>
      </c>
      <c r="D2548" s="132" t="n">
        <v>46548</v>
      </c>
      <c r="E2548" s="131" t="s">
        <v>49</v>
      </c>
      <c r="F2548" s="133" t="s">
        <v>24</v>
      </c>
      <c r="G2548" s="134" t="n">
        <f aca="false">LEN('Saisie programme'!$G$114)+SUMIFS('Vols additionnels'!$E$7:$E$66,'Vols additionnels'!$C$7:$C$66,$E2548,'Vols additionnels'!$D$7:$D$66,$F2548,'Vols additionnels'!$B$7:$B$66,$D2548)</f>
        <v>0</v>
      </c>
      <c r="H2548" s="135" t="n">
        <f aca="false">$G2548*'Analyse capacite'!$F$9</f>
        <v>0</v>
      </c>
      <c r="I2548" s="135" t="n">
        <f aca="false">$G2548*'Analyse capacite'!$C$9</f>
        <v>0</v>
      </c>
      <c r="J2548" s="135" t="n">
        <f aca="false">$G2548*'Analyse capacite'!$D$9</f>
        <v>0</v>
      </c>
      <c r="K2548" s="135" t="n">
        <f aca="false">$G2548*'Analyse capacite'!$E$9</f>
        <v>0</v>
      </c>
    </row>
    <row r="2549" customFormat="false" ht="15" hidden="false" customHeight="false" outlineLevel="0" collapsed="false">
      <c r="B2549" s="130" t="n">
        <v>2027</v>
      </c>
      <c r="C2549" s="131" t="s">
        <v>248</v>
      </c>
      <c r="D2549" s="132" t="n">
        <v>46548</v>
      </c>
      <c r="E2549" s="131" t="s">
        <v>53</v>
      </c>
      <c r="F2549" s="133" t="s">
        <v>11</v>
      </c>
      <c r="G2549" s="134" t="n">
        <f aca="false">LEN('Saisie programme'!$G$115)+SUMIFS('Vols additionnels'!$E$7:$E$66,'Vols additionnels'!$C$7:$C$66,$E2549,'Vols additionnels'!$D$7:$D$66,$F2549,'Vols additionnels'!$B$7:$B$66,$D2549)</f>
        <v>0</v>
      </c>
      <c r="H2549" s="135" t="n">
        <f aca="false">$G2549*'Analyse capacite'!$F$7</f>
        <v>0</v>
      </c>
      <c r="I2549" s="135" t="n">
        <f aca="false">$G2549*'Analyse capacite'!$C$7</f>
        <v>0</v>
      </c>
      <c r="J2549" s="135" t="n">
        <f aca="false">$G2549*'Analyse capacite'!$D$7</f>
        <v>0</v>
      </c>
      <c r="K2549" s="135" t="n">
        <f aca="false">$G2549*'Analyse capacite'!$E$7</f>
        <v>0</v>
      </c>
    </row>
    <row r="2550" customFormat="false" ht="15" hidden="false" customHeight="false" outlineLevel="0" collapsed="false">
      <c r="B2550" s="130" t="n">
        <v>2027</v>
      </c>
      <c r="C2550" s="131" t="s">
        <v>248</v>
      </c>
      <c r="D2550" s="132" t="n">
        <v>46548</v>
      </c>
      <c r="E2550" s="131" t="s">
        <v>53</v>
      </c>
      <c r="F2550" s="133" t="s">
        <v>19</v>
      </c>
      <c r="G2550" s="134" t="n">
        <f aca="false">LEN('Saisie programme'!$G$116)+SUMIFS('Vols additionnels'!$E$7:$E$66,'Vols additionnels'!$C$7:$C$66,$E2550,'Vols additionnels'!$D$7:$D$66,$F2550,'Vols additionnels'!$B$7:$B$66,$D2550)</f>
        <v>1</v>
      </c>
      <c r="H2550" s="135" t="n">
        <f aca="false">$G2550*'Analyse capacite'!$F$8</f>
        <v>262</v>
      </c>
      <c r="I2550" s="135" t="n">
        <f aca="false">$G2550*'Analyse capacite'!$C$8</f>
        <v>18</v>
      </c>
      <c r="J2550" s="135" t="n">
        <f aca="false">$G2550*'Analyse capacite'!$D$8</f>
        <v>0</v>
      </c>
      <c r="K2550" s="135" t="n">
        <f aca="false">$G2550*'Analyse capacite'!$E$8</f>
        <v>244</v>
      </c>
    </row>
    <row r="2551" customFormat="false" ht="15" hidden="false" customHeight="false" outlineLevel="0" collapsed="false">
      <c r="B2551" s="130" t="n">
        <v>2027</v>
      </c>
      <c r="C2551" s="131" t="s">
        <v>248</v>
      </c>
      <c r="D2551" s="132" t="n">
        <v>46548</v>
      </c>
      <c r="E2551" s="131" t="s">
        <v>53</v>
      </c>
      <c r="F2551" s="133" t="s">
        <v>24</v>
      </c>
      <c r="G2551" s="134" t="n">
        <f aca="false">LEN('Saisie programme'!$G$117)+SUMIFS('Vols additionnels'!$E$7:$E$66,'Vols additionnels'!$C$7:$C$66,$E2551,'Vols additionnels'!$D$7:$D$66,$F2551,'Vols additionnels'!$B$7:$B$66,$D2551)</f>
        <v>0</v>
      </c>
      <c r="H2551" s="135" t="n">
        <f aca="false">$G2551*'Analyse capacite'!$F$9</f>
        <v>0</v>
      </c>
      <c r="I2551" s="135" t="n">
        <f aca="false">$G2551*'Analyse capacite'!$C$9</f>
        <v>0</v>
      </c>
      <c r="J2551" s="135" t="n">
        <f aca="false">$G2551*'Analyse capacite'!$D$9</f>
        <v>0</v>
      </c>
      <c r="K2551" s="135" t="n">
        <f aca="false">$G2551*'Analyse capacite'!$E$9</f>
        <v>0</v>
      </c>
    </row>
    <row r="2552" customFormat="false" ht="15" hidden="false" customHeight="false" outlineLevel="0" collapsed="false">
      <c r="B2552" s="130" t="n">
        <v>2027</v>
      </c>
      <c r="C2552" s="131" t="s">
        <v>248</v>
      </c>
      <c r="D2552" s="132" t="n">
        <v>46548</v>
      </c>
      <c r="E2552" s="131" t="s">
        <v>56</v>
      </c>
      <c r="F2552" s="133" t="s">
        <v>11</v>
      </c>
      <c r="G2552" s="134" t="n">
        <f aca="false">LEN('Saisie programme'!$G$118)+SUMIFS('Vols additionnels'!$E$7:$E$66,'Vols additionnels'!$C$7:$C$66,$E2552,'Vols additionnels'!$D$7:$D$66,$F2552,'Vols additionnels'!$B$7:$B$66,$D2552)</f>
        <v>0</v>
      </c>
      <c r="H2552" s="135" t="n">
        <f aca="false">$G2552*'Analyse capacite'!$F$7</f>
        <v>0</v>
      </c>
      <c r="I2552" s="135" t="n">
        <f aca="false">$G2552*'Analyse capacite'!$C$7</f>
        <v>0</v>
      </c>
      <c r="J2552" s="135" t="n">
        <f aca="false">$G2552*'Analyse capacite'!$D$7</f>
        <v>0</v>
      </c>
      <c r="K2552" s="135" t="n">
        <f aca="false">$G2552*'Analyse capacite'!$E$7</f>
        <v>0</v>
      </c>
    </row>
    <row r="2553" customFormat="false" ht="15" hidden="false" customHeight="false" outlineLevel="0" collapsed="false">
      <c r="B2553" s="130" t="n">
        <v>2027</v>
      </c>
      <c r="C2553" s="131" t="s">
        <v>248</v>
      </c>
      <c r="D2553" s="132" t="n">
        <v>46548</v>
      </c>
      <c r="E2553" s="131" t="s">
        <v>56</v>
      </c>
      <c r="F2553" s="133" t="s">
        <v>19</v>
      </c>
      <c r="G2553" s="134" t="n">
        <f aca="false">LEN('Saisie programme'!$G$119)+SUMIFS('Vols additionnels'!$E$7:$E$66,'Vols additionnels'!$C$7:$C$66,$E2553,'Vols additionnels'!$D$7:$D$66,$F2553,'Vols additionnels'!$B$7:$B$66,$D2553)</f>
        <v>0</v>
      </c>
      <c r="H2553" s="135" t="n">
        <f aca="false">$G2553*'Analyse capacite'!$F$8</f>
        <v>0</v>
      </c>
      <c r="I2553" s="135" t="n">
        <f aca="false">$G2553*'Analyse capacite'!$C$8</f>
        <v>0</v>
      </c>
      <c r="J2553" s="135" t="n">
        <f aca="false">$G2553*'Analyse capacite'!$D$8</f>
        <v>0</v>
      </c>
      <c r="K2553" s="135" t="n">
        <f aca="false">$G2553*'Analyse capacite'!$E$8</f>
        <v>0</v>
      </c>
    </row>
    <row r="2554" customFormat="false" ht="15" hidden="false" customHeight="false" outlineLevel="0" collapsed="false">
      <c r="B2554" s="130" t="n">
        <v>2027</v>
      </c>
      <c r="C2554" s="131" t="s">
        <v>248</v>
      </c>
      <c r="D2554" s="132" t="n">
        <v>46548</v>
      </c>
      <c r="E2554" s="131" t="s">
        <v>56</v>
      </c>
      <c r="F2554" s="133" t="s">
        <v>24</v>
      </c>
      <c r="G2554" s="134" t="n">
        <f aca="false">LEN('Saisie programme'!$G$120)+SUMIFS('Vols additionnels'!$E$7:$E$66,'Vols additionnels'!$C$7:$C$66,$E2554,'Vols additionnels'!$D$7:$D$66,$F2554,'Vols additionnels'!$B$7:$B$66,$D2554)</f>
        <v>0</v>
      </c>
      <c r="H2554" s="135" t="n">
        <f aca="false">$G2554*'Analyse capacite'!$F$9</f>
        <v>0</v>
      </c>
      <c r="I2554" s="135" t="n">
        <f aca="false">$G2554*'Analyse capacite'!$C$9</f>
        <v>0</v>
      </c>
      <c r="J2554" s="135" t="n">
        <f aca="false">$G2554*'Analyse capacite'!$D$9</f>
        <v>0</v>
      </c>
      <c r="K2554" s="135" t="n">
        <f aca="false">$G2554*'Analyse capacite'!$E$9</f>
        <v>0</v>
      </c>
    </row>
    <row r="2555" customFormat="false" ht="15" hidden="false" customHeight="false" outlineLevel="0" collapsed="false">
      <c r="B2555" s="130" t="n">
        <v>2027</v>
      </c>
      <c r="C2555" s="131" t="s">
        <v>248</v>
      </c>
      <c r="D2555" s="132" t="n">
        <v>46548</v>
      </c>
      <c r="E2555" s="131" t="s">
        <v>59</v>
      </c>
      <c r="F2555" s="133" t="s">
        <v>11</v>
      </c>
      <c r="G2555" s="134" t="n">
        <f aca="false">LEN('Saisie programme'!$G$121)+SUMIFS('Vols additionnels'!$E$7:$E$66,'Vols additionnels'!$C$7:$C$66,$E2555,'Vols additionnels'!$D$7:$D$66,$F2555,'Vols additionnels'!$B$7:$B$66,$D2555)</f>
        <v>0</v>
      </c>
      <c r="H2555" s="135" t="n">
        <f aca="false">$G2555*'Analyse capacite'!$F$7</f>
        <v>0</v>
      </c>
      <c r="I2555" s="135" t="n">
        <f aca="false">$G2555*'Analyse capacite'!$C$7</f>
        <v>0</v>
      </c>
      <c r="J2555" s="135" t="n">
        <f aca="false">$G2555*'Analyse capacite'!$D$7</f>
        <v>0</v>
      </c>
      <c r="K2555" s="135" t="n">
        <f aca="false">$G2555*'Analyse capacite'!$E$7</f>
        <v>0</v>
      </c>
    </row>
    <row r="2556" customFormat="false" ht="15" hidden="false" customHeight="false" outlineLevel="0" collapsed="false">
      <c r="B2556" s="130" t="n">
        <v>2027</v>
      </c>
      <c r="C2556" s="131" t="s">
        <v>248</v>
      </c>
      <c r="D2556" s="132" t="n">
        <v>46548</v>
      </c>
      <c r="E2556" s="131" t="s">
        <v>59</v>
      </c>
      <c r="F2556" s="133" t="s">
        <v>19</v>
      </c>
      <c r="G2556" s="134" t="n">
        <f aca="false">LEN('Saisie programme'!$G$122)+SUMIFS('Vols additionnels'!$E$7:$E$66,'Vols additionnels'!$C$7:$C$66,$E2556,'Vols additionnels'!$D$7:$D$66,$F2556,'Vols additionnels'!$B$7:$B$66,$D2556)</f>
        <v>0</v>
      </c>
      <c r="H2556" s="135" t="n">
        <f aca="false">$G2556*'Analyse capacite'!$F$8</f>
        <v>0</v>
      </c>
      <c r="I2556" s="135" t="n">
        <f aca="false">$G2556*'Analyse capacite'!$C$8</f>
        <v>0</v>
      </c>
      <c r="J2556" s="135" t="n">
        <f aca="false">$G2556*'Analyse capacite'!$D$8</f>
        <v>0</v>
      </c>
      <c r="K2556" s="135" t="n">
        <f aca="false">$G2556*'Analyse capacite'!$E$8</f>
        <v>0</v>
      </c>
    </row>
    <row r="2557" customFormat="false" ht="15" hidden="false" customHeight="false" outlineLevel="0" collapsed="false">
      <c r="B2557" s="130" t="n">
        <v>2027</v>
      </c>
      <c r="C2557" s="131" t="s">
        <v>248</v>
      </c>
      <c r="D2557" s="132" t="n">
        <v>46548</v>
      </c>
      <c r="E2557" s="131" t="s">
        <v>59</v>
      </c>
      <c r="F2557" s="133" t="s">
        <v>24</v>
      </c>
      <c r="G2557" s="134" t="n">
        <f aca="false">LEN('Saisie programme'!$G$123)+SUMIFS('Vols additionnels'!$E$7:$E$66,'Vols additionnels'!$C$7:$C$66,$E2557,'Vols additionnels'!$D$7:$D$66,$F2557,'Vols additionnels'!$B$7:$B$66,$D2557)</f>
        <v>2</v>
      </c>
      <c r="H2557" s="135" t="n">
        <f aca="false">$G2557*'Analyse capacite'!$F$9</f>
        <v>348</v>
      </c>
      <c r="I2557" s="135" t="n">
        <f aca="false">$G2557*'Analyse capacite'!$C$9</f>
        <v>0</v>
      </c>
      <c r="J2557" s="135" t="n">
        <f aca="false">$G2557*'Analyse capacite'!$D$9</f>
        <v>24</v>
      </c>
      <c r="K2557" s="135" t="n">
        <f aca="false">$G2557*'Analyse capacite'!$E$9</f>
        <v>324</v>
      </c>
    </row>
    <row r="2558" customFormat="false" ht="15" hidden="false" customHeight="false" outlineLevel="0" collapsed="false">
      <c r="B2558" s="130" t="n">
        <v>2027</v>
      </c>
      <c r="C2558" s="131" t="s">
        <v>248</v>
      </c>
      <c r="D2558" s="132" t="n">
        <v>46548</v>
      </c>
      <c r="E2558" s="131" t="s">
        <v>62</v>
      </c>
      <c r="F2558" s="133" t="s">
        <v>11</v>
      </c>
      <c r="G2558" s="134" t="n">
        <f aca="false">LEN('Saisie programme'!$G$124)+SUMIFS('Vols additionnels'!$E$7:$E$66,'Vols additionnels'!$C$7:$C$66,$E2558,'Vols additionnels'!$D$7:$D$66,$F2558,'Vols additionnels'!$B$7:$B$66,$D2558)</f>
        <v>0</v>
      </c>
      <c r="H2558" s="135" t="n">
        <f aca="false">$G2558*'Analyse capacite'!$F$7</f>
        <v>0</v>
      </c>
      <c r="I2558" s="135" t="n">
        <f aca="false">$G2558*'Analyse capacite'!$C$7</f>
        <v>0</v>
      </c>
      <c r="J2558" s="135" t="n">
        <f aca="false">$G2558*'Analyse capacite'!$D$7</f>
        <v>0</v>
      </c>
      <c r="K2558" s="135" t="n">
        <f aca="false">$G2558*'Analyse capacite'!$E$7</f>
        <v>0</v>
      </c>
    </row>
    <row r="2559" customFormat="false" ht="15" hidden="false" customHeight="false" outlineLevel="0" collapsed="false">
      <c r="B2559" s="130" t="n">
        <v>2027</v>
      </c>
      <c r="C2559" s="131" t="s">
        <v>248</v>
      </c>
      <c r="D2559" s="132" t="n">
        <v>46548</v>
      </c>
      <c r="E2559" s="131" t="s">
        <v>62</v>
      </c>
      <c r="F2559" s="133" t="s">
        <v>19</v>
      </c>
      <c r="G2559" s="134" t="n">
        <f aca="false">LEN('Saisie programme'!$G$125)+SUMIFS('Vols additionnels'!$E$7:$E$66,'Vols additionnels'!$C$7:$C$66,$E2559,'Vols additionnels'!$D$7:$D$66,$F2559,'Vols additionnels'!$B$7:$B$66,$D2559)</f>
        <v>0</v>
      </c>
      <c r="H2559" s="135" t="n">
        <f aca="false">$G2559*'Analyse capacite'!$F$8</f>
        <v>0</v>
      </c>
      <c r="I2559" s="135" t="n">
        <f aca="false">$G2559*'Analyse capacite'!$C$8</f>
        <v>0</v>
      </c>
      <c r="J2559" s="135" t="n">
        <f aca="false">$G2559*'Analyse capacite'!$D$8</f>
        <v>0</v>
      </c>
      <c r="K2559" s="135" t="n">
        <f aca="false">$G2559*'Analyse capacite'!$E$8</f>
        <v>0</v>
      </c>
    </row>
    <row r="2560" customFormat="false" ht="15" hidden="false" customHeight="false" outlineLevel="0" collapsed="false">
      <c r="B2560" s="130" t="n">
        <v>2027</v>
      </c>
      <c r="C2560" s="131" t="s">
        <v>248</v>
      </c>
      <c r="D2560" s="132" t="n">
        <v>46548</v>
      </c>
      <c r="E2560" s="131" t="s">
        <v>62</v>
      </c>
      <c r="F2560" s="133" t="s">
        <v>24</v>
      </c>
      <c r="G2560" s="134" t="n">
        <f aca="false">LEN('Saisie programme'!$G$126)+SUMIFS('Vols additionnels'!$E$7:$E$66,'Vols additionnels'!$C$7:$C$66,$E2560,'Vols additionnels'!$D$7:$D$66,$F2560,'Vols additionnels'!$B$7:$B$66,$D2560)</f>
        <v>0</v>
      </c>
      <c r="H2560" s="135" t="n">
        <f aca="false">$G2560*'Analyse capacite'!$F$9</f>
        <v>0</v>
      </c>
      <c r="I2560" s="135" t="n">
        <f aca="false">$G2560*'Analyse capacite'!$C$9</f>
        <v>0</v>
      </c>
      <c r="J2560" s="135" t="n">
        <f aca="false">$G2560*'Analyse capacite'!$D$9</f>
        <v>0</v>
      </c>
      <c r="K2560" s="135" t="n">
        <f aca="false">$G2560*'Analyse capacite'!$E$9</f>
        <v>0</v>
      </c>
    </row>
    <row r="2561" customFormat="false" ht="15" hidden="false" customHeight="false" outlineLevel="0" collapsed="false">
      <c r="B2561" s="130" t="n">
        <v>2027</v>
      </c>
      <c r="C2561" s="131" t="s">
        <v>248</v>
      </c>
      <c r="D2561" s="132" t="n">
        <v>46549</v>
      </c>
      <c r="E2561" s="131" t="s">
        <v>12</v>
      </c>
      <c r="F2561" s="133" t="s">
        <v>11</v>
      </c>
      <c r="G2561" s="134" t="n">
        <f aca="false">LEN('Saisie programme'!$H$91)+SUMIFS('Vols additionnels'!$E$7:$E$66,'Vols additionnels'!$C$7:$C$66,$E2561,'Vols additionnels'!$D$7:$D$66,$F2561,'Vols additionnels'!$B$7:$B$66,$D2561)</f>
        <v>1</v>
      </c>
      <c r="H2561" s="135" t="n">
        <f aca="false">$G2561*'Analyse capacite'!$F$7</f>
        <v>438</v>
      </c>
      <c r="I2561" s="135" t="n">
        <f aca="false">$G2561*'Analyse capacite'!$C$7</f>
        <v>14</v>
      </c>
      <c r="J2561" s="135" t="n">
        <f aca="false">$G2561*'Analyse capacite'!$D$7</f>
        <v>40</v>
      </c>
      <c r="K2561" s="135" t="n">
        <f aca="false">$G2561*'Analyse capacite'!$E$7</f>
        <v>384</v>
      </c>
    </row>
    <row r="2562" customFormat="false" ht="15" hidden="false" customHeight="false" outlineLevel="0" collapsed="false">
      <c r="B2562" s="130" t="n">
        <v>2027</v>
      </c>
      <c r="C2562" s="131" t="s">
        <v>248</v>
      </c>
      <c r="D2562" s="132" t="n">
        <v>46549</v>
      </c>
      <c r="E2562" s="131" t="s">
        <v>12</v>
      </c>
      <c r="F2562" s="133" t="s">
        <v>19</v>
      </c>
      <c r="G2562" s="134" t="n">
        <f aca="false">LEN('Saisie programme'!$H$92)+SUMIFS('Vols additionnels'!$E$7:$E$66,'Vols additionnels'!$C$7:$C$66,$E2562,'Vols additionnels'!$D$7:$D$66,$F2562,'Vols additionnels'!$B$7:$B$66,$D2562)</f>
        <v>1</v>
      </c>
      <c r="H2562" s="135" t="n">
        <f aca="false">$G2562*'Analyse capacite'!$F$8</f>
        <v>262</v>
      </c>
      <c r="I2562" s="135" t="n">
        <f aca="false">$G2562*'Analyse capacite'!$C$8</f>
        <v>18</v>
      </c>
      <c r="J2562" s="135" t="n">
        <f aca="false">$G2562*'Analyse capacite'!$D$8</f>
        <v>0</v>
      </c>
      <c r="K2562" s="135" t="n">
        <f aca="false">$G2562*'Analyse capacite'!$E$8</f>
        <v>244</v>
      </c>
    </row>
    <row r="2563" customFormat="false" ht="15" hidden="false" customHeight="false" outlineLevel="0" collapsed="false">
      <c r="B2563" s="130" t="n">
        <v>2027</v>
      </c>
      <c r="C2563" s="131" t="s">
        <v>248</v>
      </c>
      <c r="D2563" s="132" t="n">
        <v>46549</v>
      </c>
      <c r="E2563" s="131" t="s">
        <v>12</v>
      </c>
      <c r="F2563" s="133" t="s">
        <v>24</v>
      </c>
      <c r="G2563" s="134" t="n">
        <f aca="false">LEN('Saisie programme'!$H$93)+SUMIFS('Vols additionnels'!$E$7:$E$66,'Vols additionnels'!$C$7:$C$66,$E2563,'Vols additionnels'!$D$7:$D$66,$F2563,'Vols additionnels'!$B$7:$B$66,$D2563)</f>
        <v>0</v>
      </c>
      <c r="H2563" s="135" t="n">
        <f aca="false">$G2563*'Analyse capacite'!$F$9</f>
        <v>0</v>
      </c>
      <c r="I2563" s="135" t="n">
        <f aca="false">$G2563*'Analyse capacite'!$C$9</f>
        <v>0</v>
      </c>
      <c r="J2563" s="135" t="n">
        <f aca="false">$G2563*'Analyse capacite'!$D$9</f>
        <v>0</v>
      </c>
      <c r="K2563" s="135" t="n">
        <f aca="false">$G2563*'Analyse capacite'!$E$9</f>
        <v>0</v>
      </c>
    </row>
    <row r="2564" customFormat="false" ht="15" hidden="false" customHeight="false" outlineLevel="0" collapsed="false">
      <c r="B2564" s="130" t="n">
        <v>2027</v>
      </c>
      <c r="C2564" s="131" t="s">
        <v>248</v>
      </c>
      <c r="D2564" s="132" t="n">
        <v>46549</v>
      </c>
      <c r="E2564" s="131" t="s">
        <v>20</v>
      </c>
      <c r="F2564" s="133" t="s">
        <v>11</v>
      </c>
      <c r="G2564" s="134" t="n">
        <f aca="false">LEN('Saisie programme'!$H$94)+SUMIFS('Vols additionnels'!$E$7:$E$66,'Vols additionnels'!$C$7:$C$66,$E2564,'Vols additionnels'!$D$7:$D$66,$F2564,'Vols additionnels'!$B$7:$B$66,$D2564)</f>
        <v>0</v>
      </c>
      <c r="H2564" s="135" t="n">
        <f aca="false">$G2564*'Analyse capacite'!$F$7</f>
        <v>0</v>
      </c>
      <c r="I2564" s="135" t="n">
        <f aca="false">$G2564*'Analyse capacite'!$C$7</f>
        <v>0</v>
      </c>
      <c r="J2564" s="135" t="n">
        <f aca="false">$G2564*'Analyse capacite'!$D$7</f>
        <v>0</v>
      </c>
      <c r="K2564" s="135" t="n">
        <f aca="false">$G2564*'Analyse capacite'!$E$7</f>
        <v>0</v>
      </c>
    </row>
    <row r="2565" customFormat="false" ht="15" hidden="false" customHeight="false" outlineLevel="0" collapsed="false">
      <c r="B2565" s="130" t="n">
        <v>2027</v>
      </c>
      <c r="C2565" s="131" t="s">
        <v>248</v>
      </c>
      <c r="D2565" s="132" t="n">
        <v>46549</v>
      </c>
      <c r="E2565" s="131" t="s">
        <v>20</v>
      </c>
      <c r="F2565" s="133" t="s">
        <v>19</v>
      </c>
      <c r="G2565" s="134" t="n">
        <f aca="false">LEN('Saisie programme'!$H$95)+SUMIFS('Vols additionnels'!$E$7:$E$66,'Vols additionnels'!$C$7:$C$66,$E2565,'Vols additionnels'!$D$7:$D$66,$F2565,'Vols additionnels'!$B$7:$B$66,$D2565)</f>
        <v>1</v>
      </c>
      <c r="H2565" s="135" t="n">
        <f aca="false">$G2565*'Analyse capacite'!$F$8</f>
        <v>262</v>
      </c>
      <c r="I2565" s="135" t="n">
        <f aca="false">$G2565*'Analyse capacite'!$C$8</f>
        <v>18</v>
      </c>
      <c r="J2565" s="135" t="n">
        <f aca="false">$G2565*'Analyse capacite'!$D$8</f>
        <v>0</v>
      </c>
      <c r="K2565" s="135" t="n">
        <f aca="false">$G2565*'Analyse capacite'!$E$8</f>
        <v>244</v>
      </c>
    </row>
    <row r="2566" customFormat="false" ht="15" hidden="false" customHeight="false" outlineLevel="0" collapsed="false">
      <c r="B2566" s="130" t="n">
        <v>2027</v>
      </c>
      <c r="C2566" s="131" t="s">
        <v>248</v>
      </c>
      <c r="D2566" s="132" t="n">
        <v>46549</v>
      </c>
      <c r="E2566" s="131" t="s">
        <v>20</v>
      </c>
      <c r="F2566" s="133" t="s">
        <v>24</v>
      </c>
      <c r="G2566" s="134" t="n">
        <f aca="false">LEN('Saisie programme'!$H$96)+SUMIFS('Vols additionnels'!$E$7:$E$66,'Vols additionnels'!$C$7:$C$66,$E2566,'Vols additionnels'!$D$7:$D$66,$F2566,'Vols additionnels'!$B$7:$B$66,$D2566)</f>
        <v>0</v>
      </c>
      <c r="H2566" s="135" t="n">
        <f aca="false">$G2566*'Analyse capacite'!$F$9</f>
        <v>0</v>
      </c>
      <c r="I2566" s="135" t="n">
        <f aca="false">$G2566*'Analyse capacite'!$C$9</f>
        <v>0</v>
      </c>
      <c r="J2566" s="135" t="n">
        <f aca="false">$G2566*'Analyse capacite'!$D$9</f>
        <v>0</v>
      </c>
      <c r="K2566" s="135" t="n">
        <f aca="false">$G2566*'Analyse capacite'!$E$9</f>
        <v>0</v>
      </c>
    </row>
    <row r="2567" customFormat="false" ht="15" hidden="false" customHeight="false" outlineLevel="0" collapsed="false">
      <c r="B2567" s="130" t="n">
        <v>2027</v>
      </c>
      <c r="C2567" s="131" t="s">
        <v>248</v>
      </c>
      <c r="D2567" s="132" t="n">
        <v>46549</v>
      </c>
      <c r="E2567" s="131" t="s">
        <v>25</v>
      </c>
      <c r="F2567" s="133" t="s">
        <v>11</v>
      </c>
      <c r="G2567" s="134" t="n">
        <f aca="false">LEN('Saisie programme'!$H$97)+SUMIFS('Vols additionnels'!$E$7:$E$66,'Vols additionnels'!$C$7:$C$66,$E2567,'Vols additionnels'!$D$7:$D$66,$F2567,'Vols additionnels'!$B$7:$B$66,$D2567)</f>
        <v>0</v>
      </c>
      <c r="H2567" s="135" t="n">
        <f aca="false">$G2567*'Analyse capacite'!$F$7</f>
        <v>0</v>
      </c>
      <c r="I2567" s="135" t="n">
        <f aca="false">$G2567*'Analyse capacite'!$C$7</f>
        <v>0</v>
      </c>
      <c r="J2567" s="135" t="n">
        <f aca="false">$G2567*'Analyse capacite'!$D$7</f>
        <v>0</v>
      </c>
      <c r="K2567" s="135" t="n">
        <f aca="false">$G2567*'Analyse capacite'!$E$7</f>
        <v>0</v>
      </c>
    </row>
    <row r="2568" customFormat="false" ht="15" hidden="false" customHeight="false" outlineLevel="0" collapsed="false">
      <c r="B2568" s="130" t="n">
        <v>2027</v>
      </c>
      <c r="C2568" s="131" t="s">
        <v>248</v>
      </c>
      <c r="D2568" s="132" t="n">
        <v>46549</v>
      </c>
      <c r="E2568" s="131" t="s">
        <v>25</v>
      </c>
      <c r="F2568" s="133" t="s">
        <v>19</v>
      </c>
      <c r="G2568" s="134" t="n">
        <f aca="false">LEN('Saisie programme'!$H$98)+SUMIFS('Vols additionnels'!$E$7:$E$66,'Vols additionnels'!$C$7:$C$66,$E2568,'Vols additionnels'!$D$7:$D$66,$F2568,'Vols additionnels'!$B$7:$B$66,$D2568)</f>
        <v>0</v>
      </c>
      <c r="H2568" s="135" t="n">
        <f aca="false">$G2568*'Analyse capacite'!$F$8</f>
        <v>0</v>
      </c>
      <c r="I2568" s="135" t="n">
        <f aca="false">$G2568*'Analyse capacite'!$C$8</f>
        <v>0</v>
      </c>
      <c r="J2568" s="135" t="n">
        <f aca="false">$G2568*'Analyse capacite'!$D$8</f>
        <v>0</v>
      </c>
      <c r="K2568" s="135" t="n">
        <f aca="false">$G2568*'Analyse capacite'!$E$8</f>
        <v>0</v>
      </c>
    </row>
    <row r="2569" customFormat="false" ht="15" hidden="false" customHeight="false" outlineLevel="0" collapsed="false">
      <c r="B2569" s="130" t="n">
        <v>2027</v>
      </c>
      <c r="C2569" s="131" t="s">
        <v>248</v>
      </c>
      <c r="D2569" s="132" t="n">
        <v>46549</v>
      </c>
      <c r="E2569" s="131" t="s">
        <v>25</v>
      </c>
      <c r="F2569" s="133" t="s">
        <v>24</v>
      </c>
      <c r="G2569" s="134" t="n">
        <f aca="false">LEN('Saisie programme'!$H$99)+SUMIFS('Vols additionnels'!$E$7:$E$66,'Vols additionnels'!$C$7:$C$66,$E2569,'Vols additionnels'!$D$7:$D$66,$F2569,'Vols additionnels'!$B$7:$B$66,$D2569)</f>
        <v>0</v>
      </c>
      <c r="H2569" s="135" t="n">
        <f aca="false">$G2569*'Analyse capacite'!$F$9</f>
        <v>0</v>
      </c>
      <c r="I2569" s="135" t="n">
        <f aca="false">$G2569*'Analyse capacite'!$C$9</f>
        <v>0</v>
      </c>
      <c r="J2569" s="135" t="n">
        <f aca="false">$G2569*'Analyse capacite'!$D$9</f>
        <v>0</v>
      </c>
      <c r="K2569" s="135" t="n">
        <f aca="false">$G2569*'Analyse capacite'!$E$9</f>
        <v>0</v>
      </c>
    </row>
    <row r="2570" customFormat="false" ht="15" hidden="false" customHeight="false" outlineLevel="0" collapsed="false">
      <c r="B2570" s="130" t="n">
        <v>2027</v>
      </c>
      <c r="C2570" s="131" t="s">
        <v>248</v>
      </c>
      <c r="D2570" s="132" t="n">
        <v>46549</v>
      </c>
      <c r="E2570" s="131" t="s">
        <v>36</v>
      </c>
      <c r="F2570" s="133" t="s">
        <v>11</v>
      </c>
      <c r="G2570" s="134" t="n">
        <f aca="false">LEN('Saisie programme'!$H$100)+SUMIFS('Vols additionnels'!$E$7:$E$66,'Vols additionnels'!$C$7:$C$66,$E2570,'Vols additionnels'!$D$7:$D$66,$F2570,'Vols additionnels'!$B$7:$B$66,$D2570)</f>
        <v>0</v>
      </c>
      <c r="H2570" s="135" t="n">
        <f aca="false">$G2570*'Analyse capacite'!$F$7</f>
        <v>0</v>
      </c>
      <c r="I2570" s="135" t="n">
        <f aca="false">$G2570*'Analyse capacite'!$C$7</f>
        <v>0</v>
      </c>
      <c r="J2570" s="135" t="n">
        <f aca="false">$G2570*'Analyse capacite'!$D$7</f>
        <v>0</v>
      </c>
      <c r="K2570" s="135" t="n">
        <f aca="false">$G2570*'Analyse capacite'!$E$7</f>
        <v>0</v>
      </c>
    </row>
    <row r="2571" customFormat="false" ht="15" hidden="false" customHeight="false" outlineLevel="0" collapsed="false">
      <c r="B2571" s="130" t="n">
        <v>2027</v>
      </c>
      <c r="C2571" s="131" t="s">
        <v>248</v>
      </c>
      <c r="D2571" s="132" t="n">
        <v>46549</v>
      </c>
      <c r="E2571" s="131" t="s">
        <v>36</v>
      </c>
      <c r="F2571" s="133" t="s">
        <v>19</v>
      </c>
      <c r="G2571" s="134" t="n">
        <f aca="false">LEN('Saisie programme'!$H$101)+SUMIFS('Vols additionnels'!$E$7:$E$66,'Vols additionnels'!$C$7:$C$66,$E2571,'Vols additionnels'!$D$7:$D$66,$F2571,'Vols additionnels'!$B$7:$B$66,$D2571)</f>
        <v>0</v>
      </c>
      <c r="H2571" s="135" t="n">
        <f aca="false">$G2571*'Analyse capacite'!$F$8</f>
        <v>0</v>
      </c>
      <c r="I2571" s="135" t="n">
        <f aca="false">$G2571*'Analyse capacite'!$C$8</f>
        <v>0</v>
      </c>
      <c r="J2571" s="135" t="n">
        <f aca="false">$G2571*'Analyse capacite'!$D$8</f>
        <v>0</v>
      </c>
      <c r="K2571" s="135" t="n">
        <f aca="false">$G2571*'Analyse capacite'!$E$8</f>
        <v>0</v>
      </c>
    </row>
    <row r="2572" customFormat="false" ht="15" hidden="false" customHeight="false" outlineLevel="0" collapsed="false">
      <c r="B2572" s="130" t="n">
        <v>2027</v>
      </c>
      <c r="C2572" s="131" t="s">
        <v>248</v>
      </c>
      <c r="D2572" s="132" t="n">
        <v>46549</v>
      </c>
      <c r="E2572" s="131" t="s">
        <v>36</v>
      </c>
      <c r="F2572" s="133" t="s">
        <v>24</v>
      </c>
      <c r="G2572" s="134" t="n">
        <f aca="false">LEN('Saisie programme'!$H$102)+SUMIFS('Vols additionnels'!$E$7:$E$66,'Vols additionnels'!$C$7:$C$66,$E2572,'Vols additionnels'!$D$7:$D$66,$F2572,'Vols additionnels'!$B$7:$B$66,$D2572)</f>
        <v>1</v>
      </c>
      <c r="H2572" s="135" t="n">
        <f aca="false">$G2572*'Analyse capacite'!$F$9</f>
        <v>174</v>
      </c>
      <c r="I2572" s="135" t="n">
        <f aca="false">$G2572*'Analyse capacite'!$C$9</f>
        <v>0</v>
      </c>
      <c r="J2572" s="135" t="n">
        <f aca="false">$G2572*'Analyse capacite'!$D$9</f>
        <v>12</v>
      </c>
      <c r="K2572" s="135" t="n">
        <f aca="false">$G2572*'Analyse capacite'!$E$9</f>
        <v>162</v>
      </c>
    </row>
    <row r="2573" customFormat="false" ht="15" hidden="false" customHeight="false" outlineLevel="0" collapsed="false">
      <c r="B2573" s="130" t="n">
        <v>2027</v>
      </c>
      <c r="C2573" s="131" t="s">
        <v>248</v>
      </c>
      <c r="D2573" s="132" t="n">
        <v>46549</v>
      </c>
      <c r="E2573" s="131" t="s">
        <v>40</v>
      </c>
      <c r="F2573" s="133" t="s">
        <v>11</v>
      </c>
      <c r="G2573" s="134" t="n">
        <f aca="false">LEN('Saisie programme'!$H$103)+SUMIFS('Vols additionnels'!$E$7:$E$66,'Vols additionnels'!$C$7:$C$66,$E2573,'Vols additionnels'!$D$7:$D$66,$F2573,'Vols additionnels'!$B$7:$B$66,$D2573)</f>
        <v>0</v>
      </c>
      <c r="H2573" s="135" t="n">
        <f aca="false">$G2573*'Analyse capacite'!$F$7</f>
        <v>0</v>
      </c>
      <c r="I2573" s="135" t="n">
        <f aca="false">$G2573*'Analyse capacite'!$C$7</f>
        <v>0</v>
      </c>
      <c r="J2573" s="135" t="n">
        <f aca="false">$G2573*'Analyse capacite'!$D$7</f>
        <v>0</v>
      </c>
      <c r="K2573" s="135" t="n">
        <f aca="false">$G2573*'Analyse capacite'!$E$7</f>
        <v>0</v>
      </c>
    </row>
    <row r="2574" customFormat="false" ht="15" hidden="false" customHeight="false" outlineLevel="0" collapsed="false">
      <c r="B2574" s="130" t="n">
        <v>2027</v>
      </c>
      <c r="C2574" s="131" t="s">
        <v>248</v>
      </c>
      <c r="D2574" s="132" t="n">
        <v>46549</v>
      </c>
      <c r="E2574" s="131" t="s">
        <v>40</v>
      </c>
      <c r="F2574" s="133" t="s">
        <v>19</v>
      </c>
      <c r="G2574" s="134" t="n">
        <f aca="false">LEN('Saisie programme'!$H$104)+SUMIFS('Vols additionnels'!$E$7:$E$66,'Vols additionnels'!$C$7:$C$66,$E2574,'Vols additionnels'!$D$7:$D$66,$F2574,'Vols additionnels'!$B$7:$B$66,$D2574)</f>
        <v>0</v>
      </c>
      <c r="H2574" s="135" t="n">
        <f aca="false">$G2574*'Analyse capacite'!$F$8</f>
        <v>0</v>
      </c>
      <c r="I2574" s="135" t="n">
        <f aca="false">$G2574*'Analyse capacite'!$C$8</f>
        <v>0</v>
      </c>
      <c r="J2574" s="135" t="n">
        <f aca="false">$G2574*'Analyse capacite'!$D$8</f>
        <v>0</v>
      </c>
      <c r="K2574" s="135" t="n">
        <f aca="false">$G2574*'Analyse capacite'!$E$8</f>
        <v>0</v>
      </c>
    </row>
    <row r="2575" customFormat="false" ht="15" hidden="false" customHeight="false" outlineLevel="0" collapsed="false">
      <c r="B2575" s="130" t="n">
        <v>2027</v>
      </c>
      <c r="C2575" s="131" t="s">
        <v>248</v>
      </c>
      <c r="D2575" s="132" t="n">
        <v>46549</v>
      </c>
      <c r="E2575" s="131" t="s">
        <v>40</v>
      </c>
      <c r="F2575" s="133" t="s">
        <v>24</v>
      </c>
      <c r="G2575" s="134" t="n">
        <f aca="false">LEN('Saisie programme'!$H$105)+SUMIFS('Vols additionnels'!$E$7:$E$66,'Vols additionnels'!$C$7:$C$66,$E2575,'Vols additionnels'!$D$7:$D$66,$F2575,'Vols additionnels'!$B$7:$B$66,$D2575)</f>
        <v>1</v>
      </c>
      <c r="H2575" s="135" t="n">
        <f aca="false">$G2575*'Analyse capacite'!$F$9</f>
        <v>174</v>
      </c>
      <c r="I2575" s="135" t="n">
        <f aca="false">$G2575*'Analyse capacite'!$C$9</f>
        <v>0</v>
      </c>
      <c r="J2575" s="135" t="n">
        <f aca="false">$G2575*'Analyse capacite'!$D$9</f>
        <v>12</v>
      </c>
      <c r="K2575" s="135" t="n">
        <f aca="false">$G2575*'Analyse capacite'!$E$9</f>
        <v>162</v>
      </c>
    </row>
    <row r="2576" customFormat="false" ht="15" hidden="false" customHeight="false" outlineLevel="0" collapsed="false">
      <c r="B2576" s="130" t="n">
        <v>2027</v>
      </c>
      <c r="C2576" s="131" t="s">
        <v>248</v>
      </c>
      <c r="D2576" s="132" t="n">
        <v>46549</v>
      </c>
      <c r="E2576" s="131" t="s">
        <v>14</v>
      </c>
      <c r="F2576" s="133" t="s">
        <v>11</v>
      </c>
      <c r="G2576" s="134" t="n">
        <f aca="false">LEN('Saisie programme'!$H$106)+SUMIFS('Vols additionnels'!$E$7:$E$66,'Vols additionnels'!$C$7:$C$66,$E2576,'Vols additionnels'!$D$7:$D$66,$F2576,'Vols additionnels'!$B$7:$B$66,$D2576)</f>
        <v>0</v>
      </c>
      <c r="H2576" s="135" t="n">
        <f aca="false">$G2576*'Analyse capacite'!$F$7</f>
        <v>0</v>
      </c>
      <c r="I2576" s="135" t="n">
        <f aca="false">$G2576*'Analyse capacite'!$C$7</f>
        <v>0</v>
      </c>
      <c r="J2576" s="135" t="n">
        <f aca="false">$G2576*'Analyse capacite'!$D$7</f>
        <v>0</v>
      </c>
      <c r="K2576" s="135" t="n">
        <f aca="false">$G2576*'Analyse capacite'!$E$7</f>
        <v>0</v>
      </c>
    </row>
    <row r="2577" customFormat="false" ht="15" hidden="false" customHeight="false" outlineLevel="0" collapsed="false">
      <c r="B2577" s="130" t="n">
        <v>2027</v>
      </c>
      <c r="C2577" s="131" t="s">
        <v>248</v>
      </c>
      <c r="D2577" s="132" t="n">
        <v>46549</v>
      </c>
      <c r="E2577" s="131" t="s">
        <v>14</v>
      </c>
      <c r="F2577" s="133" t="s">
        <v>19</v>
      </c>
      <c r="G2577" s="134" t="n">
        <f aca="false">LEN('Saisie programme'!$H$107)+SUMIFS('Vols additionnels'!$E$7:$E$66,'Vols additionnels'!$C$7:$C$66,$E2577,'Vols additionnels'!$D$7:$D$66,$F2577,'Vols additionnels'!$B$7:$B$66,$D2577)</f>
        <v>0</v>
      </c>
      <c r="H2577" s="135" t="n">
        <f aca="false">$G2577*'Analyse capacite'!$F$8</f>
        <v>0</v>
      </c>
      <c r="I2577" s="135" t="n">
        <f aca="false">$G2577*'Analyse capacite'!$C$8</f>
        <v>0</v>
      </c>
      <c r="J2577" s="135" t="n">
        <f aca="false">$G2577*'Analyse capacite'!$D$8</f>
        <v>0</v>
      </c>
      <c r="K2577" s="135" t="n">
        <f aca="false">$G2577*'Analyse capacite'!$E$8</f>
        <v>0</v>
      </c>
    </row>
    <row r="2578" customFormat="false" ht="15" hidden="false" customHeight="false" outlineLevel="0" collapsed="false">
      <c r="B2578" s="130" t="n">
        <v>2027</v>
      </c>
      <c r="C2578" s="131" t="s">
        <v>248</v>
      </c>
      <c r="D2578" s="132" t="n">
        <v>46549</v>
      </c>
      <c r="E2578" s="131" t="s">
        <v>14</v>
      </c>
      <c r="F2578" s="133" t="s">
        <v>24</v>
      </c>
      <c r="G2578" s="134" t="n">
        <f aca="false">LEN('Saisie programme'!$H$108)+SUMIFS('Vols additionnels'!$E$7:$E$66,'Vols additionnels'!$C$7:$C$66,$E2578,'Vols additionnels'!$D$7:$D$66,$F2578,'Vols additionnels'!$B$7:$B$66,$D2578)</f>
        <v>0</v>
      </c>
      <c r="H2578" s="135" t="n">
        <f aca="false">$G2578*'Analyse capacite'!$F$9</f>
        <v>0</v>
      </c>
      <c r="I2578" s="135" t="n">
        <f aca="false">$G2578*'Analyse capacite'!$C$9</f>
        <v>0</v>
      </c>
      <c r="J2578" s="135" t="n">
        <f aca="false">$G2578*'Analyse capacite'!$D$9</f>
        <v>0</v>
      </c>
      <c r="K2578" s="135" t="n">
        <f aca="false">$G2578*'Analyse capacite'!$E$9</f>
        <v>0</v>
      </c>
    </row>
    <row r="2579" customFormat="false" ht="15" hidden="false" customHeight="false" outlineLevel="0" collapsed="false">
      <c r="B2579" s="130" t="n">
        <v>2027</v>
      </c>
      <c r="C2579" s="131" t="s">
        <v>248</v>
      </c>
      <c r="D2579" s="132" t="n">
        <v>46549</v>
      </c>
      <c r="E2579" s="131" t="s">
        <v>46</v>
      </c>
      <c r="F2579" s="133" t="s">
        <v>11</v>
      </c>
      <c r="G2579" s="134" t="n">
        <f aca="false">LEN('Saisie programme'!$H$109)+SUMIFS('Vols additionnels'!$E$7:$E$66,'Vols additionnels'!$C$7:$C$66,$E2579,'Vols additionnels'!$D$7:$D$66,$F2579,'Vols additionnels'!$B$7:$B$66,$D2579)</f>
        <v>0</v>
      </c>
      <c r="H2579" s="135" t="n">
        <f aca="false">$G2579*'Analyse capacite'!$F$7</f>
        <v>0</v>
      </c>
      <c r="I2579" s="135" t="n">
        <f aca="false">$G2579*'Analyse capacite'!$C$7</f>
        <v>0</v>
      </c>
      <c r="J2579" s="135" t="n">
        <f aca="false">$G2579*'Analyse capacite'!$D$7</f>
        <v>0</v>
      </c>
      <c r="K2579" s="135" t="n">
        <f aca="false">$G2579*'Analyse capacite'!$E$7</f>
        <v>0</v>
      </c>
    </row>
    <row r="2580" customFormat="false" ht="15" hidden="false" customHeight="false" outlineLevel="0" collapsed="false">
      <c r="B2580" s="130" t="n">
        <v>2027</v>
      </c>
      <c r="C2580" s="131" t="s">
        <v>248</v>
      </c>
      <c r="D2580" s="132" t="n">
        <v>46549</v>
      </c>
      <c r="E2580" s="131" t="s">
        <v>46</v>
      </c>
      <c r="F2580" s="133" t="s">
        <v>19</v>
      </c>
      <c r="G2580" s="134" t="n">
        <f aca="false">LEN('Saisie programme'!$H$110)+SUMIFS('Vols additionnels'!$E$7:$E$66,'Vols additionnels'!$C$7:$C$66,$E2580,'Vols additionnels'!$D$7:$D$66,$F2580,'Vols additionnels'!$B$7:$B$66,$D2580)</f>
        <v>0</v>
      </c>
      <c r="H2580" s="135" t="n">
        <f aca="false">$G2580*'Analyse capacite'!$F$8</f>
        <v>0</v>
      </c>
      <c r="I2580" s="135" t="n">
        <f aca="false">$G2580*'Analyse capacite'!$C$8</f>
        <v>0</v>
      </c>
      <c r="J2580" s="135" t="n">
        <f aca="false">$G2580*'Analyse capacite'!$D$8</f>
        <v>0</v>
      </c>
      <c r="K2580" s="135" t="n">
        <f aca="false">$G2580*'Analyse capacite'!$E$8</f>
        <v>0</v>
      </c>
    </row>
    <row r="2581" customFormat="false" ht="15" hidden="false" customHeight="false" outlineLevel="0" collapsed="false">
      <c r="B2581" s="130" t="n">
        <v>2027</v>
      </c>
      <c r="C2581" s="131" t="s">
        <v>248</v>
      </c>
      <c r="D2581" s="132" t="n">
        <v>46549</v>
      </c>
      <c r="E2581" s="131" t="s">
        <v>46</v>
      </c>
      <c r="F2581" s="133" t="s">
        <v>24</v>
      </c>
      <c r="G2581" s="134" t="n">
        <f aca="false">LEN('Saisie programme'!$H$111)+SUMIFS('Vols additionnels'!$E$7:$E$66,'Vols additionnels'!$C$7:$C$66,$E2581,'Vols additionnels'!$D$7:$D$66,$F2581,'Vols additionnels'!$B$7:$B$66,$D2581)</f>
        <v>0</v>
      </c>
      <c r="H2581" s="135" t="n">
        <f aca="false">$G2581*'Analyse capacite'!$F$9</f>
        <v>0</v>
      </c>
      <c r="I2581" s="135" t="n">
        <f aca="false">$G2581*'Analyse capacite'!$C$9</f>
        <v>0</v>
      </c>
      <c r="J2581" s="135" t="n">
        <f aca="false">$G2581*'Analyse capacite'!$D$9</f>
        <v>0</v>
      </c>
      <c r="K2581" s="135" t="n">
        <f aca="false">$G2581*'Analyse capacite'!$E$9</f>
        <v>0</v>
      </c>
    </row>
    <row r="2582" customFormat="false" ht="15" hidden="false" customHeight="false" outlineLevel="0" collapsed="false">
      <c r="B2582" s="130" t="n">
        <v>2027</v>
      </c>
      <c r="C2582" s="131" t="s">
        <v>248</v>
      </c>
      <c r="D2582" s="132" t="n">
        <v>46549</v>
      </c>
      <c r="E2582" s="131" t="s">
        <v>49</v>
      </c>
      <c r="F2582" s="133" t="s">
        <v>11</v>
      </c>
      <c r="G2582" s="134" t="n">
        <f aca="false">LEN('Saisie programme'!$H$112)+SUMIFS('Vols additionnels'!$E$7:$E$66,'Vols additionnels'!$C$7:$C$66,$E2582,'Vols additionnels'!$D$7:$D$66,$F2582,'Vols additionnels'!$B$7:$B$66,$D2582)</f>
        <v>0</v>
      </c>
      <c r="H2582" s="135" t="n">
        <f aca="false">$G2582*'Analyse capacite'!$F$7</f>
        <v>0</v>
      </c>
      <c r="I2582" s="135" t="n">
        <f aca="false">$G2582*'Analyse capacite'!$C$7</f>
        <v>0</v>
      </c>
      <c r="J2582" s="135" t="n">
        <f aca="false">$G2582*'Analyse capacite'!$D$7</f>
        <v>0</v>
      </c>
      <c r="K2582" s="135" t="n">
        <f aca="false">$G2582*'Analyse capacite'!$E$7</f>
        <v>0</v>
      </c>
    </row>
    <row r="2583" customFormat="false" ht="15" hidden="false" customHeight="false" outlineLevel="0" collapsed="false">
      <c r="B2583" s="130" t="n">
        <v>2027</v>
      </c>
      <c r="C2583" s="131" t="s">
        <v>248</v>
      </c>
      <c r="D2583" s="132" t="n">
        <v>46549</v>
      </c>
      <c r="E2583" s="131" t="s">
        <v>49</v>
      </c>
      <c r="F2583" s="133" t="s">
        <v>19</v>
      </c>
      <c r="G2583" s="134" t="n">
        <f aca="false">LEN('Saisie programme'!$H$113)+SUMIFS('Vols additionnels'!$E$7:$E$66,'Vols additionnels'!$C$7:$C$66,$E2583,'Vols additionnels'!$D$7:$D$66,$F2583,'Vols additionnels'!$B$7:$B$66,$D2583)</f>
        <v>1</v>
      </c>
      <c r="H2583" s="135" t="n">
        <f aca="false">$G2583*'Analyse capacite'!$F$8</f>
        <v>262</v>
      </c>
      <c r="I2583" s="135" t="n">
        <f aca="false">$G2583*'Analyse capacite'!$C$8</f>
        <v>18</v>
      </c>
      <c r="J2583" s="135" t="n">
        <f aca="false">$G2583*'Analyse capacite'!$D$8</f>
        <v>0</v>
      </c>
      <c r="K2583" s="135" t="n">
        <f aca="false">$G2583*'Analyse capacite'!$E$8</f>
        <v>244</v>
      </c>
    </row>
    <row r="2584" customFormat="false" ht="15" hidden="false" customHeight="false" outlineLevel="0" collapsed="false">
      <c r="B2584" s="130" t="n">
        <v>2027</v>
      </c>
      <c r="C2584" s="131" t="s">
        <v>248</v>
      </c>
      <c r="D2584" s="132" t="n">
        <v>46549</v>
      </c>
      <c r="E2584" s="131" t="s">
        <v>49</v>
      </c>
      <c r="F2584" s="133" t="s">
        <v>24</v>
      </c>
      <c r="G2584" s="134" t="n">
        <f aca="false">LEN('Saisie programme'!$H$114)+SUMIFS('Vols additionnels'!$E$7:$E$66,'Vols additionnels'!$C$7:$C$66,$E2584,'Vols additionnels'!$D$7:$D$66,$F2584,'Vols additionnels'!$B$7:$B$66,$D2584)</f>
        <v>0</v>
      </c>
      <c r="H2584" s="135" t="n">
        <f aca="false">$G2584*'Analyse capacite'!$F$9</f>
        <v>0</v>
      </c>
      <c r="I2584" s="135" t="n">
        <f aca="false">$G2584*'Analyse capacite'!$C$9</f>
        <v>0</v>
      </c>
      <c r="J2584" s="135" t="n">
        <f aca="false">$G2584*'Analyse capacite'!$D$9</f>
        <v>0</v>
      </c>
      <c r="K2584" s="135" t="n">
        <f aca="false">$G2584*'Analyse capacite'!$E$9</f>
        <v>0</v>
      </c>
    </row>
    <row r="2585" customFormat="false" ht="15" hidden="false" customHeight="false" outlineLevel="0" collapsed="false">
      <c r="B2585" s="130" t="n">
        <v>2027</v>
      </c>
      <c r="C2585" s="131" t="s">
        <v>248</v>
      </c>
      <c r="D2585" s="132" t="n">
        <v>46549</v>
      </c>
      <c r="E2585" s="131" t="s">
        <v>53</v>
      </c>
      <c r="F2585" s="133" t="s">
        <v>11</v>
      </c>
      <c r="G2585" s="134" t="n">
        <f aca="false">LEN('Saisie programme'!$H$115)+SUMIFS('Vols additionnels'!$E$7:$E$66,'Vols additionnels'!$C$7:$C$66,$E2585,'Vols additionnels'!$D$7:$D$66,$F2585,'Vols additionnels'!$B$7:$B$66,$D2585)</f>
        <v>0</v>
      </c>
      <c r="H2585" s="135" t="n">
        <f aca="false">$G2585*'Analyse capacite'!$F$7</f>
        <v>0</v>
      </c>
      <c r="I2585" s="135" t="n">
        <f aca="false">$G2585*'Analyse capacite'!$C$7</f>
        <v>0</v>
      </c>
      <c r="J2585" s="135" t="n">
        <f aca="false">$G2585*'Analyse capacite'!$D$7</f>
        <v>0</v>
      </c>
      <c r="K2585" s="135" t="n">
        <f aca="false">$G2585*'Analyse capacite'!$E$7</f>
        <v>0</v>
      </c>
    </row>
    <row r="2586" customFormat="false" ht="15" hidden="false" customHeight="false" outlineLevel="0" collapsed="false">
      <c r="B2586" s="130" t="n">
        <v>2027</v>
      </c>
      <c r="C2586" s="131" t="s">
        <v>248</v>
      </c>
      <c r="D2586" s="132" t="n">
        <v>46549</v>
      </c>
      <c r="E2586" s="131" t="s">
        <v>53</v>
      </c>
      <c r="F2586" s="133" t="s">
        <v>19</v>
      </c>
      <c r="G2586" s="134" t="n">
        <f aca="false">LEN('Saisie programme'!$H$116)+SUMIFS('Vols additionnels'!$E$7:$E$66,'Vols additionnels'!$C$7:$C$66,$E2586,'Vols additionnels'!$D$7:$D$66,$F2586,'Vols additionnels'!$B$7:$B$66,$D2586)</f>
        <v>0</v>
      </c>
      <c r="H2586" s="135" t="n">
        <f aca="false">$G2586*'Analyse capacite'!$F$8</f>
        <v>0</v>
      </c>
      <c r="I2586" s="135" t="n">
        <f aca="false">$G2586*'Analyse capacite'!$C$8</f>
        <v>0</v>
      </c>
      <c r="J2586" s="135" t="n">
        <f aca="false">$G2586*'Analyse capacite'!$D$8</f>
        <v>0</v>
      </c>
      <c r="K2586" s="135" t="n">
        <f aca="false">$G2586*'Analyse capacite'!$E$8</f>
        <v>0</v>
      </c>
    </row>
    <row r="2587" customFormat="false" ht="15" hidden="false" customHeight="false" outlineLevel="0" collapsed="false">
      <c r="B2587" s="130" t="n">
        <v>2027</v>
      </c>
      <c r="C2587" s="131" t="s">
        <v>248</v>
      </c>
      <c r="D2587" s="132" t="n">
        <v>46549</v>
      </c>
      <c r="E2587" s="131" t="s">
        <v>53</v>
      </c>
      <c r="F2587" s="133" t="s">
        <v>24</v>
      </c>
      <c r="G2587" s="134" t="n">
        <f aca="false">LEN('Saisie programme'!$H$117)+SUMIFS('Vols additionnels'!$E$7:$E$66,'Vols additionnels'!$C$7:$C$66,$E2587,'Vols additionnels'!$D$7:$D$66,$F2587,'Vols additionnels'!$B$7:$B$66,$D2587)</f>
        <v>0</v>
      </c>
      <c r="H2587" s="135" t="n">
        <f aca="false">$G2587*'Analyse capacite'!$F$9</f>
        <v>0</v>
      </c>
      <c r="I2587" s="135" t="n">
        <f aca="false">$G2587*'Analyse capacite'!$C$9</f>
        <v>0</v>
      </c>
      <c r="J2587" s="135" t="n">
        <f aca="false">$G2587*'Analyse capacite'!$D$9</f>
        <v>0</v>
      </c>
      <c r="K2587" s="135" t="n">
        <f aca="false">$G2587*'Analyse capacite'!$E$9</f>
        <v>0</v>
      </c>
    </row>
    <row r="2588" customFormat="false" ht="15" hidden="false" customHeight="false" outlineLevel="0" collapsed="false">
      <c r="B2588" s="130" t="n">
        <v>2027</v>
      </c>
      <c r="C2588" s="131" t="s">
        <v>248</v>
      </c>
      <c r="D2588" s="132" t="n">
        <v>46549</v>
      </c>
      <c r="E2588" s="131" t="s">
        <v>56</v>
      </c>
      <c r="F2588" s="133" t="s">
        <v>11</v>
      </c>
      <c r="G2588" s="134" t="n">
        <f aca="false">LEN('Saisie programme'!$H$118)+SUMIFS('Vols additionnels'!$E$7:$E$66,'Vols additionnels'!$C$7:$C$66,$E2588,'Vols additionnels'!$D$7:$D$66,$F2588,'Vols additionnels'!$B$7:$B$66,$D2588)</f>
        <v>0</v>
      </c>
      <c r="H2588" s="135" t="n">
        <f aca="false">$G2588*'Analyse capacite'!$F$7</f>
        <v>0</v>
      </c>
      <c r="I2588" s="135" t="n">
        <f aca="false">$G2588*'Analyse capacite'!$C$7</f>
        <v>0</v>
      </c>
      <c r="J2588" s="135" t="n">
        <f aca="false">$G2588*'Analyse capacite'!$D$7</f>
        <v>0</v>
      </c>
      <c r="K2588" s="135" t="n">
        <f aca="false">$G2588*'Analyse capacite'!$E$7</f>
        <v>0</v>
      </c>
    </row>
    <row r="2589" customFormat="false" ht="15" hidden="false" customHeight="false" outlineLevel="0" collapsed="false">
      <c r="B2589" s="130" t="n">
        <v>2027</v>
      </c>
      <c r="C2589" s="131" t="s">
        <v>248</v>
      </c>
      <c r="D2589" s="132" t="n">
        <v>46549</v>
      </c>
      <c r="E2589" s="131" t="s">
        <v>56</v>
      </c>
      <c r="F2589" s="133" t="s">
        <v>19</v>
      </c>
      <c r="G2589" s="134" t="n">
        <f aca="false">LEN('Saisie programme'!$H$119)+SUMIFS('Vols additionnels'!$E$7:$E$66,'Vols additionnels'!$C$7:$C$66,$E2589,'Vols additionnels'!$D$7:$D$66,$F2589,'Vols additionnels'!$B$7:$B$66,$D2589)</f>
        <v>0</v>
      </c>
      <c r="H2589" s="135" t="n">
        <f aca="false">$G2589*'Analyse capacite'!$F$8</f>
        <v>0</v>
      </c>
      <c r="I2589" s="135" t="n">
        <f aca="false">$G2589*'Analyse capacite'!$C$8</f>
        <v>0</v>
      </c>
      <c r="J2589" s="135" t="n">
        <f aca="false">$G2589*'Analyse capacite'!$D$8</f>
        <v>0</v>
      </c>
      <c r="K2589" s="135" t="n">
        <f aca="false">$G2589*'Analyse capacite'!$E$8</f>
        <v>0</v>
      </c>
    </row>
    <row r="2590" customFormat="false" ht="15" hidden="false" customHeight="false" outlineLevel="0" collapsed="false">
      <c r="B2590" s="130" t="n">
        <v>2027</v>
      </c>
      <c r="C2590" s="131" t="s">
        <v>248</v>
      </c>
      <c r="D2590" s="132" t="n">
        <v>46549</v>
      </c>
      <c r="E2590" s="131" t="s">
        <v>56</v>
      </c>
      <c r="F2590" s="133" t="s">
        <v>24</v>
      </c>
      <c r="G2590" s="134" t="n">
        <f aca="false">LEN('Saisie programme'!$H$120)+SUMIFS('Vols additionnels'!$E$7:$E$66,'Vols additionnels'!$C$7:$C$66,$E2590,'Vols additionnels'!$D$7:$D$66,$F2590,'Vols additionnels'!$B$7:$B$66,$D2590)</f>
        <v>0</v>
      </c>
      <c r="H2590" s="135" t="n">
        <f aca="false">$G2590*'Analyse capacite'!$F$9</f>
        <v>0</v>
      </c>
      <c r="I2590" s="135" t="n">
        <f aca="false">$G2590*'Analyse capacite'!$C$9</f>
        <v>0</v>
      </c>
      <c r="J2590" s="135" t="n">
        <f aca="false">$G2590*'Analyse capacite'!$D$9</f>
        <v>0</v>
      </c>
      <c r="K2590" s="135" t="n">
        <f aca="false">$G2590*'Analyse capacite'!$E$9</f>
        <v>0</v>
      </c>
    </row>
    <row r="2591" customFormat="false" ht="15" hidden="false" customHeight="false" outlineLevel="0" collapsed="false">
      <c r="B2591" s="130" t="n">
        <v>2027</v>
      </c>
      <c r="C2591" s="131" t="s">
        <v>248</v>
      </c>
      <c r="D2591" s="132" t="n">
        <v>46549</v>
      </c>
      <c r="E2591" s="131" t="s">
        <v>59</v>
      </c>
      <c r="F2591" s="133" t="s">
        <v>11</v>
      </c>
      <c r="G2591" s="134" t="n">
        <f aca="false">LEN('Saisie programme'!$H$121)+SUMIFS('Vols additionnels'!$E$7:$E$66,'Vols additionnels'!$C$7:$C$66,$E2591,'Vols additionnels'!$D$7:$D$66,$F2591,'Vols additionnels'!$B$7:$B$66,$D2591)</f>
        <v>0</v>
      </c>
      <c r="H2591" s="135" t="n">
        <f aca="false">$G2591*'Analyse capacite'!$F$7</f>
        <v>0</v>
      </c>
      <c r="I2591" s="135" t="n">
        <f aca="false">$G2591*'Analyse capacite'!$C$7</f>
        <v>0</v>
      </c>
      <c r="J2591" s="135" t="n">
        <f aca="false">$G2591*'Analyse capacite'!$D$7</f>
        <v>0</v>
      </c>
      <c r="K2591" s="135" t="n">
        <f aca="false">$G2591*'Analyse capacite'!$E$7</f>
        <v>0</v>
      </c>
    </row>
    <row r="2592" customFormat="false" ht="15" hidden="false" customHeight="false" outlineLevel="0" collapsed="false">
      <c r="B2592" s="130" t="n">
        <v>2027</v>
      </c>
      <c r="C2592" s="131" t="s">
        <v>248</v>
      </c>
      <c r="D2592" s="132" t="n">
        <v>46549</v>
      </c>
      <c r="E2592" s="131" t="s">
        <v>59</v>
      </c>
      <c r="F2592" s="133" t="s">
        <v>19</v>
      </c>
      <c r="G2592" s="134" t="n">
        <f aca="false">LEN('Saisie programme'!$H$122)+SUMIFS('Vols additionnels'!$E$7:$E$66,'Vols additionnels'!$C$7:$C$66,$E2592,'Vols additionnels'!$D$7:$D$66,$F2592,'Vols additionnels'!$B$7:$B$66,$D2592)</f>
        <v>0</v>
      </c>
      <c r="H2592" s="135" t="n">
        <f aca="false">$G2592*'Analyse capacite'!$F$8</f>
        <v>0</v>
      </c>
      <c r="I2592" s="135" t="n">
        <f aca="false">$G2592*'Analyse capacite'!$C$8</f>
        <v>0</v>
      </c>
      <c r="J2592" s="135" t="n">
        <f aca="false">$G2592*'Analyse capacite'!$D$8</f>
        <v>0</v>
      </c>
      <c r="K2592" s="135" t="n">
        <f aca="false">$G2592*'Analyse capacite'!$E$8</f>
        <v>0</v>
      </c>
    </row>
    <row r="2593" customFormat="false" ht="15" hidden="false" customHeight="false" outlineLevel="0" collapsed="false">
      <c r="B2593" s="130" t="n">
        <v>2027</v>
      </c>
      <c r="C2593" s="131" t="s">
        <v>248</v>
      </c>
      <c r="D2593" s="132" t="n">
        <v>46549</v>
      </c>
      <c r="E2593" s="131" t="s">
        <v>59</v>
      </c>
      <c r="F2593" s="133" t="s">
        <v>24</v>
      </c>
      <c r="G2593" s="134" t="n">
        <f aca="false">LEN('Saisie programme'!$H$123)+SUMIFS('Vols additionnels'!$E$7:$E$66,'Vols additionnels'!$C$7:$C$66,$E2593,'Vols additionnels'!$D$7:$D$66,$F2593,'Vols additionnels'!$B$7:$B$66,$D2593)</f>
        <v>1</v>
      </c>
      <c r="H2593" s="135" t="n">
        <f aca="false">$G2593*'Analyse capacite'!$F$9</f>
        <v>174</v>
      </c>
      <c r="I2593" s="135" t="n">
        <f aca="false">$G2593*'Analyse capacite'!$C$9</f>
        <v>0</v>
      </c>
      <c r="J2593" s="135" t="n">
        <f aca="false">$G2593*'Analyse capacite'!$D$9</f>
        <v>12</v>
      </c>
      <c r="K2593" s="135" t="n">
        <f aca="false">$G2593*'Analyse capacite'!$E$9</f>
        <v>162</v>
      </c>
    </row>
    <row r="2594" customFormat="false" ht="15" hidden="false" customHeight="false" outlineLevel="0" collapsed="false">
      <c r="B2594" s="130" t="n">
        <v>2027</v>
      </c>
      <c r="C2594" s="131" t="s">
        <v>248</v>
      </c>
      <c r="D2594" s="132" t="n">
        <v>46549</v>
      </c>
      <c r="E2594" s="131" t="s">
        <v>62</v>
      </c>
      <c r="F2594" s="133" t="s">
        <v>11</v>
      </c>
      <c r="G2594" s="134" t="n">
        <f aca="false">LEN('Saisie programme'!$H$124)+SUMIFS('Vols additionnels'!$E$7:$E$66,'Vols additionnels'!$C$7:$C$66,$E2594,'Vols additionnels'!$D$7:$D$66,$F2594,'Vols additionnels'!$B$7:$B$66,$D2594)</f>
        <v>0</v>
      </c>
      <c r="H2594" s="135" t="n">
        <f aca="false">$G2594*'Analyse capacite'!$F$7</f>
        <v>0</v>
      </c>
      <c r="I2594" s="135" t="n">
        <f aca="false">$G2594*'Analyse capacite'!$C$7</f>
        <v>0</v>
      </c>
      <c r="J2594" s="135" t="n">
        <f aca="false">$G2594*'Analyse capacite'!$D$7</f>
        <v>0</v>
      </c>
      <c r="K2594" s="135" t="n">
        <f aca="false">$G2594*'Analyse capacite'!$E$7</f>
        <v>0</v>
      </c>
    </row>
    <row r="2595" customFormat="false" ht="15" hidden="false" customHeight="false" outlineLevel="0" collapsed="false">
      <c r="B2595" s="130" t="n">
        <v>2027</v>
      </c>
      <c r="C2595" s="131" t="s">
        <v>248</v>
      </c>
      <c r="D2595" s="132" t="n">
        <v>46549</v>
      </c>
      <c r="E2595" s="131" t="s">
        <v>62</v>
      </c>
      <c r="F2595" s="133" t="s">
        <v>19</v>
      </c>
      <c r="G2595" s="134" t="n">
        <f aca="false">LEN('Saisie programme'!$H$125)+SUMIFS('Vols additionnels'!$E$7:$E$66,'Vols additionnels'!$C$7:$C$66,$E2595,'Vols additionnels'!$D$7:$D$66,$F2595,'Vols additionnels'!$B$7:$B$66,$D2595)</f>
        <v>0</v>
      </c>
      <c r="H2595" s="135" t="n">
        <f aca="false">$G2595*'Analyse capacite'!$F$8</f>
        <v>0</v>
      </c>
      <c r="I2595" s="135" t="n">
        <f aca="false">$G2595*'Analyse capacite'!$C$8</f>
        <v>0</v>
      </c>
      <c r="J2595" s="135" t="n">
        <f aca="false">$G2595*'Analyse capacite'!$D$8</f>
        <v>0</v>
      </c>
      <c r="K2595" s="135" t="n">
        <f aca="false">$G2595*'Analyse capacite'!$E$8</f>
        <v>0</v>
      </c>
    </row>
    <row r="2596" customFormat="false" ht="15" hidden="false" customHeight="false" outlineLevel="0" collapsed="false">
      <c r="B2596" s="130" t="n">
        <v>2027</v>
      </c>
      <c r="C2596" s="131" t="s">
        <v>248</v>
      </c>
      <c r="D2596" s="132" t="n">
        <v>46549</v>
      </c>
      <c r="E2596" s="131" t="s">
        <v>62</v>
      </c>
      <c r="F2596" s="133" t="s">
        <v>24</v>
      </c>
      <c r="G2596" s="134" t="n">
        <f aca="false">LEN('Saisie programme'!$H$126)+SUMIFS('Vols additionnels'!$E$7:$E$66,'Vols additionnels'!$C$7:$C$66,$E2596,'Vols additionnels'!$D$7:$D$66,$F2596,'Vols additionnels'!$B$7:$B$66,$D2596)</f>
        <v>0</v>
      </c>
      <c r="H2596" s="135" t="n">
        <f aca="false">$G2596*'Analyse capacite'!$F$9</f>
        <v>0</v>
      </c>
      <c r="I2596" s="135" t="n">
        <f aca="false">$G2596*'Analyse capacite'!$C$9</f>
        <v>0</v>
      </c>
      <c r="J2596" s="135" t="n">
        <f aca="false">$G2596*'Analyse capacite'!$D$9</f>
        <v>0</v>
      </c>
      <c r="K2596" s="135" t="n">
        <f aca="false">$G2596*'Analyse capacite'!$E$9</f>
        <v>0</v>
      </c>
    </row>
    <row r="2597" customFormat="false" ht="15" hidden="false" customHeight="false" outlineLevel="0" collapsed="false">
      <c r="B2597" s="130" t="n">
        <v>2027</v>
      </c>
      <c r="C2597" s="131" t="s">
        <v>248</v>
      </c>
      <c r="D2597" s="132" t="n">
        <v>46550</v>
      </c>
      <c r="E2597" s="131" t="s">
        <v>12</v>
      </c>
      <c r="F2597" s="133" t="s">
        <v>11</v>
      </c>
      <c r="G2597" s="134" t="n">
        <f aca="false">LEN('Saisie programme'!$I$91)+SUMIFS('Vols additionnels'!$E$7:$E$66,'Vols additionnels'!$C$7:$C$66,$E2597,'Vols additionnels'!$D$7:$D$66,$F2597,'Vols additionnels'!$B$7:$B$66,$D2597)</f>
        <v>1</v>
      </c>
      <c r="H2597" s="135" t="n">
        <f aca="false">$G2597*'Analyse capacite'!$F$7</f>
        <v>438</v>
      </c>
      <c r="I2597" s="135" t="n">
        <f aca="false">$G2597*'Analyse capacite'!$C$7</f>
        <v>14</v>
      </c>
      <c r="J2597" s="135" t="n">
        <f aca="false">$G2597*'Analyse capacite'!$D$7</f>
        <v>40</v>
      </c>
      <c r="K2597" s="135" t="n">
        <f aca="false">$G2597*'Analyse capacite'!$E$7</f>
        <v>384</v>
      </c>
    </row>
    <row r="2598" customFormat="false" ht="15" hidden="false" customHeight="false" outlineLevel="0" collapsed="false">
      <c r="B2598" s="130" t="n">
        <v>2027</v>
      </c>
      <c r="C2598" s="131" t="s">
        <v>248</v>
      </c>
      <c r="D2598" s="132" t="n">
        <v>46550</v>
      </c>
      <c r="E2598" s="131" t="s">
        <v>12</v>
      </c>
      <c r="F2598" s="133" t="s">
        <v>19</v>
      </c>
      <c r="G2598" s="134" t="n">
        <f aca="false">LEN('Saisie programme'!$I$92)+SUMIFS('Vols additionnels'!$E$7:$E$66,'Vols additionnels'!$C$7:$C$66,$E2598,'Vols additionnels'!$D$7:$D$66,$F2598,'Vols additionnels'!$B$7:$B$66,$D2598)</f>
        <v>0</v>
      </c>
      <c r="H2598" s="135" t="n">
        <f aca="false">$G2598*'Analyse capacite'!$F$8</f>
        <v>0</v>
      </c>
      <c r="I2598" s="135" t="n">
        <f aca="false">$G2598*'Analyse capacite'!$C$8</f>
        <v>0</v>
      </c>
      <c r="J2598" s="135" t="n">
        <f aca="false">$G2598*'Analyse capacite'!$D$8</f>
        <v>0</v>
      </c>
      <c r="K2598" s="135" t="n">
        <f aca="false">$G2598*'Analyse capacite'!$E$8</f>
        <v>0</v>
      </c>
    </row>
    <row r="2599" customFormat="false" ht="15" hidden="false" customHeight="false" outlineLevel="0" collapsed="false">
      <c r="B2599" s="130" t="n">
        <v>2027</v>
      </c>
      <c r="C2599" s="131" t="s">
        <v>248</v>
      </c>
      <c r="D2599" s="132" t="n">
        <v>46550</v>
      </c>
      <c r="E2599" s="131" t="s">
        <v>12</v>
      </c>
      <c r="F2599" s="133" t="s">
        <v>24</v>
      </c>
      <c r="G2599" s="134" t="n">
        <f aca="false">LEN('Saisie programme'!$I$93)+SUMIFS('Vols additionnels'!$E$7:$E$66,'Vols additionnels'!$C$7:$C$66,$E2599,'Vols additionnels'!$D$7:$D$66,$F2599,'Vols additionnels'!$B$7:$B$66,$D2599)</f>
        <v>0</v>
      </c>
      <c r="H2599" s="135" t="n">
        <f aca="false">$G2599*'Analyse capacite'!$F$9</f>
        <v>0</v>
      </c>
      <c r="I2599" s="135" t="n">
        <f aca="false">$G2599*'Analyse capacite'!$C$9</f>
        <v>0</v>
      </c>
      <c r="J2599" s="135" t="n">
        <f aca="false">$G2599*'Analyse capacite'!$D$9</f>
        <v>0</v>
      </c>
      <c r="K2599" s="135" t="n">
        <f aca="false">$G2599*'Analyse capacite'!$E$9</f>
        <v>0</v>
      </c>
    </row>
    <row r="2600" customFormat="false" ht="15" hidden="false" customHeight="false" outlineLevel="0" collapsed="false">
      <c r="B2600" s="130" t="n">
        <v>2027</v>
      </c>
      <c r="C2600" s="131" t="s">
        <v>248</v>
      </c>
      <c r="D2600" s="132" t="n">
        <v>46550</v>
      </c>
      <c r="E2600" s="131" t="s">
        <v>20</v>
      </c>
      <c r="F2600" s="133" t="s">
        <v>11</v>
      </c>
      <c r="G2600" s="134" t="n">
        <f aca="false">LEN('Saisie programme'!$I$94)+SUMIFS('Vols additionnels'!$E$7:$E$66,'Vols additionnels'!$C$7:$C$66,$E2600,'Vols additionnels'!$D$7:$D$66,$F2600,'Vols additionnels'!$B$7:$B$66,$D2600)</f>
        <v>0</v>
      </c>
      <c r="H2600" s="135" t="n">
        <f aca="false">$G2600*'Analyse capacite'!$F$7</f>
        <v>0</v>
      </c>
      <c r="I2600" s="135" t="n">
        <f aca="false">$G2600*'Analyse capacite'!$C$7</f>
        <v>0</v>
      </c>
      <c r="J2600" s="135" t="n">
        <f aca="false">$G2600*'Analyse capacite'!$D$7</f>
        <v>0</v>
      </c>
      <c r="K2600" s="135" t="n">
        <f aca="false">$G2600*'Analyse capacite'!$E$7</f>
        <v>0</v>
      </c>
    </row>
    <row r="2601" customFormat="false" ht="15" hidden="false" customHeight="false" outlineLevel="0" collapsed="false">
      <c r="B2601" s="130" t="n">
        <v>2027</v>
      </c>
      <c r="C2601" s="131" t="s">
        <v>248</v>
      </c>
      <c r="D2601" s="132" t="n">
        <v>46550</v>
      </c>
      <c r="E2601" s="131" t="s">
        <v>20</v>
      </c>
      <c r="F2601" s="133" t="s">
        <v>19</v>
      </c>
      <c r="G2601" s="134" t="n">
        <f aca="false">LEN('Saisie programme'!$I$95)+SUMIFS('Vols additionnels'!$E$7:$E$66,'Vols additionnels'!$C$7:$C$66,$E2601,'Vols additionnels'!$D$7:$D$66,$F2601,'Vols additionnels'!$B$7:$B$66,$D2601)</f>
        <v>0</v>
      </c>
      <c r="H2601" s="135" t="n">
        <f aca="false">$G2601*'Analyse capacite'!$F$8</f>
        <v>0</v>
      </c>
      <c r="I2601" s="135" t="n">
        <f aca="false">$G2601*'Analyse capacite'!$C$8</f>
        <v>0</v>
      </c>
      <c r="J2601" s="135" t="n">
        <f aca="false">$G2601*'Analyse capacite'!$D$8</f>
        <v>0</v>
      </c>
      <c r="K2601" s="135" t="n">
        <f aca="false">$G2601*'Analyse capacite'!$E$8</f>
        <v>0</v>
      </c>
    </row>
    <row r="2602" customFormat="false" ht="15" hidden="false" customHeight="false" outlineLevel="0" collapsed="false">
      <c r="B2602" s="130" t="n">
        <v>2027</v>
      </c>
      <c r="C2602" s="131" t="s">
        <v>248</v>
      </c>
      <c r="D2602" s="132" t="n">
        <v>46550</v>
      </c>
      <c r="E2602" s="131" t="s">
        <v>20</v>
      </c>
      <c r="F2602" s="133" t="s">
        <v>24</v>
      </c>
      <c r="G2602" s="134" t="n">
        <f aca="false">LEN('Saisie programme'!$I$96)+SUMIFS('Vols additionnels'!$E$7:$E$66,'Vols additionnels'!$C$7:$C$66,$E2602,'Vols additionnels'!$D$7:$D$66,$F2602,'Vols additionnels'!$B$7:$B$66,$D2602)</f>
        <v>0</v>
      </c>
      <c r="H2602" s="135" t="n">
        <f aca="false">$G2602*'Analyse capacite'!$F$9</f>
        <v>0</v>
      </c>
      <c r="I2602" s="135" t="n">
        <f aca="false">$G2602*'Analyse capacite'!$C$9</f>
        <v>0</v>
      </c>
      <c r="J2602" s="135" t="n">
        <f aca="false">$G2602*'Analyse capacite'!$D$9</f>
        <v>0</v>
      </c>
      <c r="K2602" s="135" t="n">
        <f aca="false">$G2602*'Analyse capacite'!$E$9</f>
        <v>0</v>
      </c>
    </row>
    <row r="2603" customFormat="false" ht="15" hidden="false" customHeight="false" outlineLevel="0" collapsed="false">
      <c r="B2603" s="130" t="n">
        <v>2027</v>
      </c>
      <c r="C2603" s="131" t="s">
        <v>248</v>
      </c>
      <c r="D2603" s="132" t="n">
        <v>46550</v>
      </c>
      <c r="E2603" s="131" t="s">
        <v>25</v>
      </c>
      <c r="F2603" s="133" t="s">
        <v>11</v>
      </c>
      <c r="G2603" s="134" t="n">
        <f aca="false">LEN('Saisie programme'!$I$97)+SUMIFS('Vols additionnels'!$E$7:$E$66,'Vols additionnels'!$C$7:$C$66,$E2603,'Vols additionnels'!$D$7:$D$66,$F2603,'Vols additionnels'!$B$7:$B$66,$D2603)</f>
        <v>0</v>
      </c>
      <c r="H2603" s="135" t="n">
        <f aca="false">$G2603*'Analyse capacite'!$F$7</f>
        <v>0</v>
      </c>
      <c r="I2603" s="135" t="n">
        <f aca="false">$G2603*'Analyse capacite'!$C$7</f>
        <v>0</v>
      </c>
      <c r="J2603" s="135" t="n">
        <f aca="false">$G2603*'Analyse capacite'!$D$7</f>
        <v>0</v>
      </c>
      <c r="K2603" s="135" t="n">
        <f aca="false">$G2603*'Analyse capacite'!$E$7</f>
        <v>0</v>
      </c>
    </row>
    <row r="2604" customFormat="false" ht="15" hidden="false" customHeight="false" outlineLevel="0" collapsed="false">
      <c r="B2604" s="130" t="n">
        <v>2027</v>
      </c>
      <c r="C2604" s="131" t="s">
        <v>248</v>
      </c>
      <c r="D2604" s="132" t="n">
        <v>46550</v>
      </c>
      <c r="E2604" s="131" t="s">
        <v>25</v>
      </c>
      <c r="F2604" s="133" t="s">
        <v>19</v>
      </c>
      <c r="G2604" s="134" t="n">
        <f aca="false">LEN('Saisie programme'!$I$98)+SUMIFS('Vols additionnels'!$E$7:$E$66,'Vols additionnels'!$C$7:$C$66,$E2604,'Vols additionnels'!$D$7:$D$66,$F2604,'Vols additionnels'!$B$7:$B$66,$D2604)</f>
        <v>1</v>
      </c>
      <c r="H2604" s="135" t="n">
        <f aca="false">$G2604*'Analyse capacite'!$F$8</f>
        <v>262</v>
      </c>
      <c r="I2604" s="135" t="n">
        <f aca="false">$G2604*'Analyse capacite'!$C$8</f>
        <v>18</v>
      </c>
      <c r="J2604" s="135" t="n">
        <f aca="false">$G2604*'Analyse capacite'!$D$8</f>
        <v>0</v>
      </c>
      <c r="K2604" s="135" t="n">
        <f aca="false">$G2604*'Analyse capacite'!$E$8</f>
        <v>244</v>
      </c>
    </row>
    <row r="2605" customFormat="false" ht="15" hidden="false" customHeight="false" outlineLevel="0" collapsed="false">
      <c r="B2605" s="130" t="n">
        <v>2027</v>
      </c>
      <c r="C2605" s="131" t="s">
        <v>248</v>
      </c>
      <c r="D2605" s="132" t="n">
        <v>46550</v>
      </c>
      <c r="E2605" s="131" t="s">
        <v>25</v>
      </c>
      <c r="F2605" s="133" t="s">
        <v>24</v>
      </c>
      <c r="G2605" s="134" t="n">
        <f aca="false">LEN('Saisie programme'!$I$99)+SUMIFS('Vols additionnels'!$E$7:$E$66,'Vols additionnels'!$C$7:$C$66,$E2605,'Vols additionnels'!$D$7:$D$66,$F2605,'Vols additionnels'!$B$7:$B$66,$D2605)</f>
        <v>0</v>
      </c>
      <c r="H2605" s="135" t="n">
        <f aca="false">$G2605*'Analyse capacite'!$F$9</f>
        <v>0</v>
      </c>
      <c r="I2605" s="135" t="n">
        <f aca="false">$G2605*'Analyse capacite'!$C$9</f>
        <v>0</v>
      </c>
      <c r="J2605" s="135" t="n">
        <f aca="false">$G2605*'Analyse capacite'!$D$9</f>
        <v>0</v>
      </c>
      <c r="K2605" s="135" t="n">
        <f aca="false">$G2605*'Analyse capacite'!$E$9</f>
        <v>0</v>
      </c>
    </row>
    <row r="2606" customFormat="false" ht="15" hidden="false" customHeight="false" outlineLevel="0" collapsed="false">
      <c r="B2606" s="130" t="n">
        <v>2027</v>
      </c>
      <c r="C2606" s="131" t="s">
        <v>248</v>
      </c>
      <c r="D2606" s="132" t="n">
        <v>46550</v>
      </c>
      <c r="E2606" s="131" t="s">
        <v>36</v>
      </c>
      <c r="F2606" s="133" t="s">
        <v>11</v>
      </c>
      <c r="G2606" s="134" t="n">
        <f aca="false">LEN('Saisie programme'!$I$100)+SUMIFS('Vols additionnels'!$E$7:$E$66,'Vols additionnels'!$C$7:$C$66,$E2606,'Vols additionnels'!$D$7:$D$66,$F2606,'Vols additionnels'!$B$7:$B$66,$D2606)</f>
        <v>0</v>
      </c>
      <c r="H2606" s="135" t="n">
        <f aca="false">$G2606*'Analyse capacite'!$F$7</f>
        <v>0</v>
      </c>
      <c r="I2606" s="135" t="n">
        <f aca="false">$G2606*'Analyse capacite'!$C$7</f>
        <v>0</v>
      </c>
      <c r="J2606" s="135" t="n">
        <f aca="false">$G2606*'Analyse capacite'!$D$7</f>
        <v>0</v>
      </c>
      <c r="K2606" s="135" t="n">
        <f aca="false">$G2606*'Analyse capacite'!$E$7</f>
        <v>0</v>
      </c>
    </row>
    <row r="2607" customFormat="false" ht="15" hidden="false" customHeight="false" outlineLevel="0" collapsed="false">
      <c r="B2607" s="130" t="n">
        <v>2027</v>
      </c>
      <c r="C2607" s="131" t="s">
        <v>248</v>
      </c>
      <c r="D2607" s="132" t="n">
        <v>46550</v>
      </c>
      <c r="E2607" s="131" t="s">
        <v>36</v>
      </c>
      <c r="F2607" s="133" t="s">
        <v>19</v>
      </c>
      <c r="G2607" s="134" t="n">
        <f aca="false">LEN('Saisie programme'!$I$101)+SUMIFS('Vols additionnels'!$E$7:$E$66,'Vols additionnels'!$C$7:$C$66,$E2607,'Vols additionnels'!$D$7:$D$66,$F2607,'Vols additionnels'!$B$7:$B$66,$D2607)</f>
        <v>0</v>
      </c>
      <c r="H2607" s="135" t="n">
        <f aca="false">$G2607*'Analyse capacite'!$F$8</f>
        <v>0</v>
      </c>
      <c r="I2607" s="135" t="n">
        <f aca="false">$G2607*'Analyse capacite'!$C$8</f>
        <v>0</v>
      </c>
      <c r="J2607" s="135" t="n">
        <f aca="false">$G2607*'Analyse capacite'!$D$8</f>
        <v>0</v>
      </c>
      <c r="K2607" s="135" t="n">
        <f aca="false">$G2607*'Analyse capacite'!$E$8</f>
        <v>0</v>
      </c>
    </row>
    <row r="2608" customFormat="false" ht="15" hidden="false" customHeight="false" outlineLevel="0" collapsed="false">
      <c r="B2608" s="130" t="n">
        <v>2027</v>
      </c>
      <c r="C2608" s="131" t="s">
        <v>248</v>
      </c>
      <c r="D2608" s="132" t="n">
        <v>46550</v>
      </c>
      <c r="E2608" s="131" t="s">
        <v>36</v>
      </c>
      <c r="F2608" s="133" t="s">
        <v>24</v>
      </c>
      <c r="G2608" s="134" t="n">
        <f aca="false">LEN('Saisie programme'!$I$102)+SUMIFS('Vols additionnels'!$E$7:$E$66,'Vols additionnels'!$C$7:$C$66,$E2608,'Vols additionnels'!$D$7:$D$66,$F2608,'Vols additionnels'!$B$7:$B$66,$D2608)</f>
        <v>0</v>
      </c>
      <c r="H2608" s="135" t="n">
        <f aca="false">$G2608*'Analyse capacite'!$F$9</f>
        <v>0</v>
      </c>
      <c r="I2608" s="135" t="n">
        <f aca="false">$G2608*'Analyse capacite'!$C$9</f>
        <v>0</v>
      </c>
      <c r="J2608" s="135" t="n">
        <f aca="false">$G2608*'Analyse capacite'!$D$9</f>
        <v>0</v>
      </c>
      <c r="K2608" s="135" t="n">
        <f aca="false">$G2608*'Analyse capacite'!$E$9</f>
        <v>0</v>
      </c>
    </row>
    <row r="2609" customFormat="false" ht="15" hidden="false" customHeight="false" outlineLevel="0" collapsed="false">
      <c r="B2609" s="130" t="n">
        <v>2027</v>
      </c>
      <c r="C2609" s="131" t="s">
        <v>248</v>
      </c>
      <c r="D2609" s="132" t="n">
        <v>46550</v>
      </c>
      <c r="E2609" s="131" t="s">
        <v>40</v>
      </c>
      <c r="F2609" s="133" t="s">
        <v>11</v>
      </c>
      <c r="G2609" s="134" t="n">
        <f aca="false">LEN('Saisie programme'!$I$103)+SUMIFS('Vols additionnels'!$E$7:$E$66,'Vols additionnels'!$C$7:$C$66,$E2609,'Vols additionnels'!$D$7:$D$66,$F2609,'Vols additionnels'!$B$7:$B$66,$D2609)</f>
        <v>0</v>
      </c>
      <c r="H2609" s="135" t="n">
        <f aca="false">$G2609*'Analyse capacite'!$F$7</f>
        <v>0</v>
      </c>
      <c r="I2609" s="135" t="n">
        <f aca="false">$G2609*'Analyse capacite'!$C$7</f>
        <v>0</v>
      </c>
      <c r="J2609" s="135" t="n">
        <f aca="false">$G2609*'Analyse capacite'!$D$7</f>
        <v>0</v>
      </c>
      <c r="K2609" s="135" t="n">
        <f aca="false">$G2609*'Analyse capacite'!$E$7</f>
        <v>0</v>
      </c>
    </row>
    <row r="2610" customFormat="false" ht="15" hidden="false" customHeight="false" outlineLevel="0" collapsed="false">
      <c r="B2610" s="130" t="n">
        <v>2027</v>
      </c>
      <c r="C2610" s="131" t="s">
        <v>248</v>
      </c>
      <c r="D2610" s="132" t="n">
        <v>46550</v>
      </c>
      <c r="E2610" s="131" t="s">
        <v>40</v>
      </c>
      <c r="F2610" s="133" t="s">
        <v>19</v>
      </c>
      <c r="G2610" s="134" t="n">
        <f aca="false">LEN('Saisie programme'!$I$104)+SUMIFS('Vols additionnels'!$E$7:$E$66,'Vols additionnels'!$C$7:$C$66,$E2610,'Vols additionnels'!$D$7:$D$66,$F2610,'Vols additionnels'!$B$7:$B$66,$D2610)</f>
        <v>0</v>
      </c>
      <c r="H2610" s="135" t="n">
        <f aca="false">$G2610*'Analyse capacite'!$F$8</f>
        <v>0</v>
      </c>
      <c r="I2610" s="135" t="n">
        <f aca="false">$G2610*'Analyse capacite'!$C$8</f>
        <v>0</v>
      </c>
      <c r="J2610" s="135" t="n">
        <f aca="false">$G2610*'Analyse capacite'!$D$8</f>
        <v>0</v>
      </c>
      <c r="K2610" s="135" t="n">
        <f aca="false">$G2610*'Analyse capacite'!$E$8</f>
        <v>0</v>
      </c>
    </row>
    <row r="2611" customFormat="false" ht="15" hidden="false" customHeight="false" outlineLevel="0" collapsed="false">
      <c r="B2611" s="130" t="n">
        <v>2027</v>
      </c>
      <c r="C2611" s="131" t="s">
        <v>248</v>
      </c>
      <c r="D2611" s="132" t="n">
        <v>46550</v>
      </c>
      <c r="E2611" s="131" t="s">
        <v>40</v>
      </c>
      <c r="F2611" s="133" t="s">
        <v>24</v>
      </c>
      <c r="G2611" s="134" t="n">
        <f aca="false">LEN('Saisie programme'!$I$105)+SUMIFS('Vols additionnels'!$E$7:$E$66,'Vols additionnels'!$C$7:$C$66,$E2611,'Vols additionnels'!$D$7:$D$66,$F2611,'Vols additionnels'!$B$7:$B$66,$D2611)</f>
        <v>0</v>
      </c>
      <c r="H2611" s="135" t="n">
        <f aca="false">$G2611*'Analyse capacite'!$F$9</f>
        <v>0</v>
      </c>
      <c r="I2611" s="135" t="n">
        <f aca="false">$G2611*'Analyse capacite'!$C$9</f>
        <v>0</v>
      </c>
      <c r="J2611" s="135" t="n">
        <f aca="false">$G2611*'Analyse capacite'!$D$9</f>
        <v>0</v>
      </c>
      <c r="K2611" s="135" t="n">
        <f aca="false">$G2611*'Analyse capacite'!$E$9</f>
        <v>0</v>
      </c>
    </row>
    <row r="2612" customFormat="false" ht="15" hidden="false" customHeight="false" outlineLevel="0" collapsed="false">
      <c r="B2612" s="130" t="n">
        <v>2027</v>
      </c>
      <c r="C2612" s="131" t="s">
        <v>248</v>
      </c>
      <c r="D2612" s="132" t="n">
        <v>46550</v>
      </c>
      <c r="E2612" s="131" t="s">
        <v>14</v>
      </c>
      <c r="F2612" s="133" t="s">
        <v>11</v>
      </c>
      <c r="G2612" s="134" t="n">
        <f aca="false">LEN('Saisie programme'!$I$106)+SUMIFS('Vols additionnels'!$E$7:$E$66,'Vols additionnels'!$C$7:$C$66,$E2612,'Vols additionnels'!$D$7:$D$66,$F2612,'Vols additionnels'!$B$7:$B$66,$D2612)</f>
        <v>0</v>
      </c>
      <c r="H2612" s="135" t="n">
        <f aca="false">$G2612*'Analyse capacite'!$F$7</f>
        <v>0</v>
      </c>
      <c r="I2612" s="135" t="n">
        <f aca="false">$G2612*'Analyse capacite'!$C$7</f>
        <v>0</v>
      </c>
      <c r="J2612" s="135" t="n">
        <f aca="false">$G2612*'Analyse capacite'!$D$7</f>
        <v>0</v>
      </c>
      <c r="K2612" s="135" t="n">
        <f aca="false">$G2612*'Analyse capacite'!$E$7</f>
        <v>0</v>
      </c>
    </row>
    <row r="2613" customFormat="false" ht="15" hidden="false" customHeight="false" outlineLevel="0" collapsed="false">
      <c r="B2613" s="130" t="n">
        <v>2027</v>
      </c>
      <c r="C2613" s="131" t="s">
        <v>248</v>
      </c>
      <c r="D2613" s="132" t="n">
        <v>46550</v>
      </c>
      <c r="E2613" s="131" t="s">
        <v>14</v>
      </c>
      <c r="F2613" s="133" t="s">
        <v>19</v>
      </c>
      <c r="G2613" s="134" t="n">
        <f aca="false">LEN('Saisie programme'!$I$107)+SUMIFS('Vols additionnels'!$E$7:$E$66,'Vols additionnels'!$C$7:$C$66,$E2613,'Vols additionnels'!$D$7:$D$66,$F2613,'Vols additionnels'!$B$7:$B$66,$D2613)</f>
        <v>0</v>
      </c>
      <c r="H2613" s="135" t="n">
        <f aca="false">$G2613*'Analyse capacite'!$F$8</f>
        <v>0</v>
      </c>
      <c r="I2613" s="135" t="n">
        <f aca="false">$G2613*'Analyse capacite'!$C$8</f>
        <v>0</v>
      </c>
      <c r="J2613" s="135" t="n">
        <f aca="false">$G2613*'Analyse capacite'!$D$8</f>
        <v>0</v>
      </c>
      <c r="K2613" s="135" t="n">
        <f aca="false">$G2613*'Analyse capacite'!$E$8</f>
        <v>0</v>
      </c>
    </row>
    <row r="2614" customFormat="false" ht="15" hidden="false" customHeight="false" outlineLevel="0" collapsed="false">
      <c r="B2614" s="130" t="n">
        <v>2027</v>
      </c>
      <c r="C2614" s="131" t="s">
        <v>248</v>
      </c>
      <c r="D2614" s="132" t="n">
        <v>46550</v>
      </c>
      <c r="E2614" s="131" t="s">
        <v>14</v>
      </c>
      <c r="F2614" s="133" t="s">
        <v>24</v>
      </c>
      <c r="G2614" s="134" t="n">
        <f aca="false">LEN('Saisie programme'!$I$108)+SUMIFS('Vols additionnels'!$E$7:$E$66,'Vols additionnels'!$C$7:$C$66,$E2614,'Vols additionnels'!$D$7:$D$66,$F2614,'Vols additionnels'!$B$7:$B$66,$D2614)</f>
        <v>1</v>
      </c>
      <c r="H2614" s="135" t="n">
        <f aca="false">$G2614*'Analyse capacite'!$F$9</f>
        <v>174</v>
      </c>
      <c r="I2614" s="135" t="n">
        <f aca="false">$G2614*'Analyse capacite'!$C$9</f>
        <v>0</v>
      </c>
      <c r="J2614" s="135" t="n">
        <f aca="false">$G2614*'Analyse capacite'!$D$9</f>
        <v>12</v>
      </c>
      <c r="K2614" s="135" t="n">
        <f aca="false">$G2614*'Analyse capacite'!$E$9</f>
        <v>162</v>
      </c>
    </row>
    <row r="2615" customFormat="false" ht="15" hidden="false" customHeight="false" outlineLevel="0" collapsed="false">
      <c r="B2615" s="130" t="n">
        <v>2027</v>
      </c>
      <c r="C2615" s="131" t="s">
        <v>248</v>
      </c>
      <c r="D2615" s="132" t="n">
        <v>46550</v>
      </c>
      <c r="E2615" s="131" t="s">
        <v>46</v>
      </c>
      <c r="F2615" s="133" t="s">
        <v>11</v>
      </c>
      <c r="G2615" s="134" t="n">
        <f aca="false">LEN('Saisie programme'!$I$109)+SUMIFS('Vols additionnels'!$E$7:$E$66,'Vols additionnels'!$C$7:$C$66,$E2615,'Vols additionnels'!$D$7:$D$66,$F2615,'Vols additionnels'!$B$7:$B$66,$D2615)</f>
        <v>0</v>
      </c>
      <c r="H2615" s="135" t="n">
        <f aca="false">$G2615*'Analyse capacite'!$F$7</f>
        <v>0</v>
      </c>
      <c r="I2615" s="135" t="n">
        <f aca="false">$G2615*'Analyse capacite'!$C$7</f>
        <v>0</v>
      </c>
      <c r="J2615" s="135" t="n">
        <f aca="false">$G2615*'Analyse capacite'!$D$7</f>
        <v>0</v>
      </c>
      <c r="K2615" s="135" t="n">
        <f aca="false">$G2615*'Analyse capacite'!$E$7</f>
        <v>0</v>
      </c>
    </row>
    <row r="2616" customFormat="false" ht="15" hidden="false" customHeight="false" outlineLevel="0" collapsed="false">
      <c r="B2616" s="130" t="n">
        <v>2027</v>
      </c>
      <c r="C2616" s="131" t="s">
        <v>248</v>
      </c>
      <c r="D2616" s="132" t="n">
        <v>46550</v>
      </c>
      <c r="E2616" s="131" t="s">
        <v>46</v>
      </c>
      <c r="F2616" s="133" t="s">
        <v>19</v>
      </c>
      <c r="G2616" s="134" t="n">
        <f aca="false">LEN('Saisie programme'!$I$110)+SUMIFS('Vols additionnels'!$E$7:$E$66,'Vols additionnels'!$C$7:$C$66,$E2616,'Vols additionnels'!$D$7:$D$66,$F2616,'Vols additionnels'!$B$7:$B$66,$D2616)</f>
        <v>0</v>
      </c>
      <c r="H2616" s="135" t="n">
        <f aca="false">$G2616*'Analyse capacite'!$F$8</f>
        <v>0</v>
      </c>
      <c r="I2616" s="135" t="n">
        <f aca="false">$G2616*'Analyse capacite'!$C$8</f>
        <v>0</v>
      </c>
      <c r="J2616" s="135" t="n">
        <f aca="false">$G2616*'Analyse capacite'!$D$8</f>
        <v>0</v>
      </c>
      <c r="K2616" s="135" t="n">
        <f aca="false">$G2616*'Analyse capacite'!$E$8</f>
        <v>0</v>
      </c>
    </row>
    <row r="2617" customFormat="false" ht="15" hidden="false" customHeight="false" outlineLevel="0" collapsed="false">
      <c r="B2617" s="130" t="n">
        <v>2027</v>
      </c>
      <c r="C2617" s="131" t="s">
        <v>248</v>
      </c>
      <c r="D2617" s="132" t="n">
        <v>46550</v>
      </c>
      <c r="E2617" s="131" t="s">
        <v>46</v>
      </c>
      <c r="F2617" s="133" t="s">
        <v>24</v>
      </c>
      <c r="G2617" s="134" t="n">
        <f aca="false">LEN('Saisie programme'!$I$111)+SUMIFS('Vols additionnels'!$E$7:$E$66,'Vols additionnels'!$C$7:$C$66,$E2617,'Vols additionnels'!$D$7:$D$66,$F2617,'Vols additionnels'!$B$7:$B$66,$D2617)</f>
        <v>1</v>
      </c>
      <c r="H2617" s="135" t="n">
        <f aca="false">$G2617*'Analyse capacite'!$F$9</f>
        <v>174</v>
      </c>
      <c r="I2617" s="135" t="n">
        <f aca="false">$G2617*'Analyse capacite'!$C$9</f>
        <v>0</v>
      </c>
      <c r="J2617" s="135" t="n">
        <f aca="false">$G2617*'Analyse capacite'!$D$9</f>
        <v>12</v>
      </c>
      <c r="K2617" s="135" t="n">
        <f aca="false">$G2617*'Analyse capacite'!$E$9</f>
        <v>162</v>
      </c>
    </row>
    <row r="2618" customFormat="false" ht="15" hidden="false" customHeight="false" outlineLevel="0" collapsed="false">
      <c r="B2618" s="130" t="n">
        <v>2027</v>
      </c>
      <c r="C2618" s="131" t="s">
        <v>248</v>
      </c>
      <c r="D2618" s="132" t="n">
        <v>46550</v>
      </c>
      <c r="E2618" s="131" t="s">
        <v>49</v>
      </c>
      <c r="F2618" s="133" t="s">
        <v>11</v>
      </c>
      <c r="G2618" s="134" t="n">
        <f aca="false">LEN('Saisie programme'!$I$112)+SUMIFS('Vols additionnels'!$E$7:$E$66,'Vols additionnels'!$C$7:$C$66,$E2618,'Vols additionnels'!$D$7:$D$66,$F2618,'Vols additionnels'!$B$7:$B$66,$D2618)</f>
        <v>0</v>
      </c>
      <c r="H2618" s="135" t="n">
        <f aca="false">$G2618*'Analyse capacite'!$F$7</f>
        <v>0</v>
      </c>
      <c r="I2618" s="135" t="n">
        <f aca="false">$G2618*'Analyse capacite'!$C$7</f>
        <v>0</v>
      </c>
      <c r="J2618" s="135" t="n">
        <f aca="false">$G2618*'Analyse capacite'!$D$7</f>
        <v>0</v>
      </c>
      <c r="K2618" s="135" t="n">
        <f aca="false">$G2618*'Analyse capacite'!$E$7</f>
        <v>0</v>
      </c>
    </row>
    <row r="2619" customFormat="false" ht="15" hidden="false" customHeight="false" outlineLevel="0" collapsed="false">
      <c r="B2619" s="130" t="n">
        <v>2027</v>
      </c>
      <c r="C2619" s="131" t="s">
        <v>248</v>
      </c>
      <c r="D2619" s="132" t="n">
        <v>46550</v>
      </c>
      <c r="E2619" s="131" t="s">
        <v>49</v>
      </c>
      <c r="F2619" s="133" t="s">
        <v>19</v>
      </c>
      <c r="G2619" s="134" t="n">
        <f aca="false">LEN('Saisie programme'!$I$113)+SUMIFS('Vols additionnels'!$E$7:$E$66,'Vols additionnels'!$C$7:$C$66,$E2619,'Vols additionnels'!$D$7:$D$66,$F2619,'Vols additionnels'!$B$7:$B$66,$D2619)</f>
        <v>0</v>
      </c>
      <c r="H2619" s="135" t="n">
        <f aca="false">$G2619*'Analyse capacite'!$F$8</f>
        <v>0</v>
      </c>
      <c r="I2619" s="135" t="n">
        <f aca="false">$G2619*'Analyse capacite'!$C$8</f>
        <v>0</v>
      </c>
      <c r="J2619" s="135" t="n">
        <f aca="false">$G2619*'Analyse capacite'!$D$8</f>
        <v>0</v>
      </c>
      <c r="K2619" s="135" t="n">
        <f aca="false">$G2619*'Analyse capacite'!$E$8</f>
        <v>0</v>
      </c>
    </row>
    <row r="2620" customFormat="false" ht="15" hidden="false" customHeight="false" outlineLevel="0" collapsed="false">
      <c r="B2620" s="130" t="n">
        <v>2027</v>
      </c>
      <c r="C2620" s="131" t="s">
        <v>248</v>
      </c>
      <c r="D2620" s="132" t="n">
        <v>46550</v>
      </c>
      <c r="E2620" s="131" t="s">
        <v>49</v>
      </c>
      <c r="F2620" s="133" t="s">
        <v>24</v>
      </c>
      <c r="G2620" s="134" t="n">
        <f aca="false">LEN('Saisie programme'!$I$114)+SUMIFS('Vols additionnels'!$E$7:$E$66,'Vols additionnels'!$C$7:$C$66,$E2620,'Vols additionnels'!$D$7:$D$66,$F2620,'Vols additionnels'!$B$7:$B$66,$D2620)</f>
        <v>0</v>
      </c>
      <c r="H2620" s="135" t="n">
        <f aca="false">$G2620*'Analyse capacite'!$F$9</f>
        <v>0</v>
      </c>
      <c r="I2620" s="135" t="n">
        <f aca="false">$G2620*'Analyse capacite'!$C$9</f>
        <v>0</v>
      </c>
      <c r="J2620" s="135" t="n">
        <f aca="false">$G2620*'Analyse capacite'!$D$9</f>
        <v>0</v>
      </c>
      <c r="K2620" s="135" t="n">
        <f aca="false">$G2620*'Analyse capacite'!$E$9</f>
        <v>0</v>
      </c>
    </row>
    <row r="2621" customFormat="false" ht="15" hidden="false" customHeight="false" outlineLevel="0" collapsed="false">
      <c r="B2621" s="130" t="n">
        <v>2027</v>
      </c>
      <c r="C2621" s="131" t="s">
        <v>248</v>
      </c>
      <c r="D2621" s="132" t="n">
        <v>46550</v>
      </c>
      <c r="E2621" s="131" t="s">
        <v>53</v>
      </c>
      <c r="F2621" s="133" t="s">
        <v>11</v>
      </c>
      <c r="G2621" s="134" t="n">
        <f aca="false">LEN('Saisie programme'!$I$115)+SUMIFS('Vols additionnels'!$E$7:$E$66,'Vols additionnels'!$C$7:$C$66,$E2621,'Vols additionnels'!$D$7:$D$66,$F2621,'Vols additionnels'!$B$7:$B$66,$D2621)</f>
        <v>0</v>
      </c>
      <c r="H2621" s="135" t="n">
        <f aca="false">$G2621*'Analyse capacite'!$F$7</f>
        <v>0</v>
      </c>
      <c r="I2621" s="135" t="n">
        <f aca="false">$G2621*'Analyse capacite'!$C$7</f>
        <v>0</v>
      </c>
      <c r="J2621" s="135" t="n">
        <f aca="false">$G2621*'Analyse capacite'!$D$7</f>
        <v>0</v>
      </c>
      <c r="K2621" s="135" t="n">
        <f aca="false">$G2621*'Analyse capacite'!$E$7</f>
        <v>0</v>
      </c>
    </row>
    <row r="2622" customFormat="false" ht="15" hidden="false" customHeight="false" outlineLevel="0" collapsed="false">
      <c r="B2622" s="130" t="n">
        <v>2027</v>
      </c>
      <c r="C2622" s="131" t="s">
        <v>248</v>
      </c>
      <c r="D2622" s="132" t="n">
        <v>46550</v>
      </c>
      <c r="E2622" s="131" t="s">
        <v>53</v>
      </c>
      <c r="F2622" s="133" t="s">
        <v>19</v>
      </c>
      <c r="G2622" s="134" t="n">
        <f aca="false">LEN('Saisie programme'!$I$116)+SUMIFS('Vols additionnels'!$E$7:$E$66,'Vols additionnels'!$C$7:$C$66,$E2622,'Vols additionnels'!$D$7:$D$66,$F2622,'Vols additionnels'!$B$7:$B$66,$D2622)</f>
        <v>0</v>
      </c>
      <c r="H2622" s="135" t="n">
        <f aca="false">$G2622*'Analyse capacite'!$F$8</f>
        <v>0</v>
      </c>
      <c r="I2622" s="135" t="n">
        <f aca="false">$G2622*'Analyse capacite'!$C$8</f>
        <v>0</v>
      </c>
      <c r="J2622" s="135" t="n">
        <f aca="false">$G2622*'Analyse capacite'!$D$8</f>
        <v>0</v>
      </c>
      <c r="K2622" s="135" t="n">
        <f aca="false">$G2622*'Analyse capacite'!$E$8</f>
        <v>0</v>
      </c>
    </row>
    <row r="2623" customFormat="false" ht="15" hidden="false" customHeight="false" outlineLevel="0" collapsed="false">
      <c r="B2623" s="130" t="n">
        <v>2027</v>
      </c>
      <c r="C2623" s="131" t="s">
        <v>248</v>
      </c>
      <c r="D2623" s="132" t="n">
        <v>46550</v>
      </c>
      <c r="E2623" s="131" t="s">
        <v>53</v>
      </c>
      <c r="F2623" s="133" t="s">
        <v>24</v>
      </c>
      <c r="G2623" s="134" t="n">
        <f aca="false">LEN('Saisie programme'!$I$117)+SUMIFS('Vols additionnels'!$E$7:$E$66,'Vols additionnels'!$C$7:$C$66,$E2623,'Vols additionnels'!$D$7:$D$66,$F2623,'Vols additionnels'!$B$7:$B$66,$D2623)</f>
        <v>0</v>
      </c>
      <c r="H2623" s="135" t="n">
        <f aca="false">$G2623*'Analyse capacite'!$F$9</f>
        <v>0</v>
      </c>
      <c r="I2623" s="135" t="n">
        <f aca="false">$G2623*'Analyse capacite'!$C$9</f>
        <v>0</v>
      </c>
      <c r="J2623" s="135" t="n">
        <f aca="false">$G2623*'Analyse capacite'!$D$9</f>
        <v>0</v>
      </c>
      <c r="K2623" s="135" t="n">
        <f aca="false">$G2623*'Analyse capacite'!$E$9</f>
        <v>0</v>
      </c>
    </row>
    <row r="2624" customFormat="false" ht="15" hidden="false" customHeight="false" outlineLevel="0" collapsed="false">
      <c r="B2624" s="130" t="n">
        <v>2027</v>
      </c>
      <c r="C2624" s="131" t="s">
        <v>248</v>
      </c>
      <c r="D2624" s="132" t="n">
        <v>46550</v>
      </c>
      <c r="E2624" s="131" t="s">
        <v>56</v>
      </c>
      <c r="F2624" s="133" t="s">
        <v>11</v>
      </c>
      <c r="G2624" s="134" t="n">
        <f aca="false">LEN('Saisie programme'!$I$118)+SUMIFS('Vols additionnels'!$E$7:$E$66,'Vols additionnels'!$C$7:$C$66,$E2624,'Vols additionnels'!$D$7:$D$66,$F2624,'Vols additionnels'!$B$7:$B$66,$D2624)</f>
        <v>0</v>
      </c>
      <c r="H2624" s="135" t="n">
        <f aca="false">$G2624*'Analyse capacite'!$F$7</f>
        <v>0</v>
      </c>
      <c r="I2624" s="135" t="n">
        <f aca="false">$G2624*'Analyse capacite'!$C$7</f>
        <v>0</v>
      </c>
      <c r="J2624" s="135" t="n">
        <f aca="false">$G2624*'Analyse capacite'!$D$7</f>
        <v>0</v>
      </c>
      <c r="K2624" s="135" t="n">
        <f aca="false">$G2624*'Analyse capacite'!$E$7</f>
        <v>0</v>
      </c>
    </row>
    <row r="2625" customFormat="false" ht="15" hidden="false" customHeight="false" outlineLevel="0" collapsed="false">
      <c r="B2625" s="130" t="n">
        <v>2027</v>
      </c>
      <c r="C2625" s="131" t="s">
        <v>248</v>
      </c>
      <c r="D2625" s="132" t="n">
        <v>46550</v>
      </c>
      <c r="E2625" s="131" t="s">
        <v>56</v>
      </c>
      <c r="F2625" s="133" t="s">
        <v>19</v>
      </c>
      <c r="G2625" s="134" t="n">
        <f aca="false">LEN('Saisie programme'!$I$119)+SUMIFS('Vols additionnels'!$E$7:$E$66,'Vols additionnels'!$C$7:$C$66,$E2625,'Vols additionnels'!$D$7:$D$66,$F2625,'Vols additionnels'!$B$7:$B$66,$D2625)</f>
        <v>0</v>
      </c>
      <c r="H2625" s="135" t="n">
        <f aca="false">$G2625*'Analyse capacite'!$F$8</f>
        <v>0</v>
      </c>
      <c r="I2625" s="135" t="n">
        <f aca="false">$G2625*'Analyse capacite'!$C$8</f>
        <v>0</v>
      </c>
      <c r="J2625" s="135" t="n">
        <f aca="false">$G2625*'Analyse capacite'!$D$8</f>
        <v>0</v>
      </c>
      <c r="K2625" s="135" t="n">
        <f aca="false">$G2625*'Analyse capacite'!$E$8</f>
        <v>0</v>
      </c>
    </row>
    <row r="2626" customFormat="false" ht="15" hidden="false" customHeight="false" outlineLevel="0" collapsed="false">
      <c r="B2626" s="130" t="n">
        <v>2027</v>
      </c>
      <c r="C2626" s="131" t="s">
        <v>248</v>
      </c>
      <c r="D2626" s="132" t="n">
        <v>46550</v>
      </c>
      <c r="E2626" s="131" t="s">
        <v>56</v>
      </c>
      <c r="F2626" s="133" t="s">
        <v>24</v>
      </c>
      <c r="G2626" s="134" t="n">
        <f aca="false">LEN('Saisie programme'!$I$120)+SUMIFS('Vols additionnels'!$E$7:$E$66,'Vols additionnels'!$C$7:$C$66,$E2626,'Vols additionnels'!$D$7:$D$66,$F2626,'Vols additionnels'!$B$7:$B$66,$D2626)</f>
        <v>1</v>
      </c>
      <c r="H2626" s="135" t="n">
        <f aca="false">$G2626*'Analyse capacite'!$F$9</f>
        <v>174</v>
      </c>
      <c r="I2626" s="135" t="n">
        <f aca="false">$G2626*'Analyse capacite'!$C$9</f>
        <v>0</v>
      </c>
      <c r="J2626" s="135" t="n">
        <f aca="false">$G2626*'Analyse capacite'!$D$9</f>
        <v>12</v>
      </c>
      <c r="K2626" s="135" t="n">
        <f aca="false">$G2626*'Analyse capacite'!$E$9</f>
        <v>162</v>
      </c>
    </row>
    <row r="2627" customFormat="false" ht="15" hidden="false" customHeight="false" outlineLevel="0" collapsed="false">
      <c r="B2627" s="130" t="n">
        <v>2027</v>
      </c>
      <c r="C2627" s="131" t="s">
        <v>248</v>
      </c>
      <c r="D2627" s="132" t="n">
        <v>46550</v>
      </c>
      <c r="E2627" s="131" t="s">
        <v>59</v>
      </c>
      <c r="F2627" s="133" t="s">
        <v>11</v>
      </c>
      <c r="G2627" s="134" t="n">
        <f aca="false">LEN('Saisie programme'!$I$121)+SUMIFS('Vols additionnels'!$E$7:$E$66,'Vols additionnels'!$C$7:$C$66,$E2627,'Vols additionnels'!$D$7:$D$66,$F2627,'Vols additionnels'!$B$7:$B$66,$D2627)</f>
        <v>0</v>
      </c>
      <c r="H2627" s="135" t="n">
        <f aca="false">$G2627*'Analyse capacite'!$F$7</f>
        <v>0</v>
      </c>
      <c r="I2627" s="135" t="n">
        <f aca="false">$G2627*'Analyse capacite'!$C$7</f>
        <v>0</v>
      </c>
      <c r="J2627" s="135" t="n">
        <f aca="false">$G2627*'Analyse capacite'!$D$7</f>
        <v>0</v>
      </c>
      <c r="K2627" s="135" t="n">
        <f aca="false">$G2627*'Analyse capacite'!$E$7</f>
        <v>0</v>
      </c>
    </row>
    <row r="2628" customFormat="false" ht="15" hidden="false" customHeight="false" outlineLevel="0" collapsed="false">
      <c r="B2628" s="130" t="n">
        <v>2027</v>
      </c>
      <c r="C2628" s="131" t="s">
        <v>248</v>
      </c>
      <c r="D2628" s="132" t="n">
        <v>46550</v>
      </c>
      <c r="E2628" s="131" t="s">
        <v>59</v>
      </c>
      <c r="F2628" s="133" t="s">
        <v>19</v>
      </c>
      <c r="G2628" s="134" t="n">
        <f aca="false">LEN('Saisie programme'!$I$122)+SUMIFS('Vols additionnels'!$E$7:$E$66,'Vols additionnels'!$C$7:$C$66,$E2628,'Vols additionnels'!$D$7:$D$66,$F2628,'Vols additionnels'!$B$7:$B$66,$D2628)</f>
        <v>0</v>
      </c>
      <c r="H2628" s="135" t="n">
        <f aca="false">$G2628*'Analyse capacite'!$F$8</f>
        <v>0</v>
      </c>
      <c r="I2628" s="135" t="n">
        <f aca="false">$G2628*'Analyse capacite'!$C$8</f>
        <v>0</v>
      </c>
      <c r="J2628" s="135" t="n">
        <f aca="false">$G2628*'Analyse capacite'!$D$8</f>
        <v>0</v>
      </c>
      <c r="K2628" s="135" t="n">
        <f aca="false">$G2628*'Analyse capacite'!$E$8</f>
        <v>0</v>
      </c>
    </row>
    <row r="2629" customFormat="false" ht="15" hidden="false" customHeight="false" outlineLevel="0" collapsed="false">
      <c r="B2629" s="130" t="n">
        <v>2027</v>
      </c>
      <c r="C2629" s="131" t="s">
        <v>248</v>
      </c>
      <c r="D2629" s="132" t="n">
        <v>46550</v>
      </c>
      <c r="E2629" s="131" t="s">
        <v>59</v>
      </c>
      <c r="F2629" s="133" t="s">
        <v>24</v>
      </c>
      <c r="G2629" s="134" t="n">
        <f aca="false">LEN('Saisie programme'!$I$123)+SUMIFS('Vols additionnels'!$E$7:$E$66,'Vols additionnels'!$C$7:$C$66,$E2629,'Vols additionnels'!$D$7:$D$66,$F2629,'Vols additionnels'!$B$7:$B$66,$D2629)</f>
        <v>1</v>
      </c>
      <c r="H2629" s="135" t="n">
        <f aca="false">$G2629*'Analyse capacite'!$F$9</f>
        <v>174</v>
      </c>
      <c r="I2629" s="135" t="n">
        <f aca="false">$G2629*'Analyse capacite'!$C$9</f>
        <v>0</v>
      </c>
      <c r="J2629" s="135" t="n">
        <f aca="false">$G2629*'Analyse capacite'!$D$9</f>
        <v>12</v>
      </c>
      <c r="K2629" s="135" t="n">
        <f aca="false">$G2629*'Analyse capacite'!$E$9</f>
        <v>162</v>
      </c>
    </row>
    <row r="2630" customFormat="false" ht="15" hidden="false" customHeight="false" outlineLevel="0" collapsed="false">
      <c r="B2630" s="130" t="n">
        <v>2027</v>
      </c>
      <c r="C2630" s="131" t="s">
        <v>248</v>
      </c>
      <c r="D2630" s="132" t="n">
        <v>46550</v>
      </c>
      <c r="E2630" s="131" t="s">
        <v>62</v>
      </c>
      <c r="F2630" s="133" t="s">
        <v>11</v>
      </c>
      <c r="G2630" s="134" t="n">
        <f aca="false">LEN('Saisie programme'!$I$124)+SUMIFS('Vols additionnels'!$E$7:$E$66,'Vols additionnels'!$C$7:$C$66,$E2630,'Vols additionnels'!$D$7:$D$66,$F2630,'Vols additionnels'!$B$7:$B$66,$D2630)</f>
        <v>0</v>
      </c>
      <c r="H2630" s="135" t="n">
        <f aca="false">$G2630*'Analyse capacite'!$F$7</f>
        <v>0</v>
      </c>
      <c r="I2630" s="135" t="n">
        <f aca="false">$G2630*'Analyse capacite'!$C$7</f>
        <v>0</v>
      </c>
      <c r="J2630" s="135" t="n">
        <f aca="false">$G2630*'Analyse capacite'!$D$7</f>
        <v>0</v>
      </c>
      <c r="K2630" s="135" t="n">
        <f aca="false">$G2630*'Analyse capacite'!$E$7</f>
        <v>0</v>
      </c>
    </row>
    <row r="2631" customFormat="false" ht="15" hidden="false" customHeight="false" outlineLevel="0" collapsed="false">
      <c r="B2631" s="130" t="n">
        <v>2027</v>
      </c>
      <c r="C2631" s="131" t="s">
        <v>248</v>
      </c>
      <c r="D2631" s="132" t="n">
        <v>46550</v>
      </c>
      <c r="E2631" s="131" t="s">
        <v>62</v>
      </c>
      <c r="F2631" s="133" t="s">
        <v>19</v>
      </c>
      <c r="G2631" s="134" t="n">
        <f aca="false">LEN('Saisie programme'!$I$125)+SUMIFS('Vols additionnels'!$E$7:$E$66,'Vols additionnels'!$C$7:$C$66,$E2631,'Vols additionnels'!$D$7:$D$66,$F2631,'Vols additionnels'!$B$7:$B$66,$D2631)</f>
        <v>0</v>
      </c>
      <c r="H2631" s="135" t="n">
        <f aca="false">$G2631*'Analyse capacite'!$F$8</f>
        <v>0</v>
      </c>
      <c r="I2631" s="135" t="n">
        <f aca="false">$G2631*'Analyse capacite'!$C$8</f>
        <v>0</v>
      </c>
      <c r="J2631" s="135" t="n">
        <f aca="false">$G2631*'Analyse capacite'!$D$8</f>
        <v>0</v>
      </c>
      <c r="K2631" s="135" t="n">
        <f aca="false">$G2631*'Analyse capacite'!$E$8</f>
        <v>0</v>
      </c>
    </row>
    <row r="2632" customFormat="false" ht="15" hidden="false" customHeight="false" outlineLevel="0" collapsed="false">
      <c r="B2632" s="130" t="n">
        <v>2027</v>
      </c>
      <c r="C2632" s="131" t="s">
        <v>248</v>
      </c>
      <c r="D2632" s="132" t="n">
        <v>46550</v>
      </c>
      <c r="E2632" s="131" t="s">
        <v>62</v>
      </c>
      <c r="F2632" s="133" t="s">
        <v>24</v>
      </c>
      <c r="G2632" s="134" t="n">
        <f aca="false">LEN('Saisie programme'!$I$126)+SUMIFS('Vols additionnels'!$E$7:$E$66,'Vols additionnels'!$C$7:$C$66,$E2632,'Vols additionnels'!$D$7:$D$66,$F2632,'Vols additionnels'!$B$7:$B$66,$D2632)</f>
        <v>0</v>
      </c>
      <c r="H2632" s="135" t="n">
        <f aca="false">$G2632*'Analyse capacite'!$F$9</f>
        <v>0</v>
      </c>
      <c r="I2632" s="135" t="n">
        <f aca="false">$G2632*'Analyse capacite'!$C$9</f>
        <v>0</v>
      </c>
      <c r="J2632" s="135" t="n">
        <f aca="false">$G2632*'Analyse capacite'!$D$9</f>
        <v>0</v>
      </c>
      <c r="K2632" s="135" t="n">
        <f aca="false">$G2632*'Analyse capacite'!$E$9</f>
        <v>0</v>
      </c>
    </row>
    <row r="2633" customFormat="false" ht="15" hidden="false" customHeight="false" outlineLevel="0" collapsed="false">
      <c r="B2633" s="130" t="n">
        <v>2027</v>
      </c>
      <c r="C2633" s="131" t="s">
        <v>248</v>
      </c>
      <c r="D2633" s="132" t="n">
        <v>46551</v>
      </c>
      <c r="E2633" s="131" t="s">
        <v>12</v>
      </c>
      <c r="F2633" s="133" t="s">
        <v>11</v>
      </c>
      <c r="G2633" s="134" t="n">
        <f aca="false">LEN('Saisie programme'!$J$91)+SUMIFS('Vols additionnels'!$E$7:$E$66,'Vols additionnels'!$C$7:$C$66,$E2633,'Vols additionnels'!$D$7:$D$66,$F2633,'Vols additionnels'!$B$7:$B$66,$D2633)</f>
        <v>1</v>
      </c>
      <c r="H2633" s="135" t="n">
        <f aca="false">$G2633*'Analyse capacite'!$F$7</f>
        <v>438</v>
      </c>
      <c r="I2633" s="135" t="n">
        <f aca="false">$G2633*'Analyse capacite'!$C$7</f>
        <v>14</v>
      </c>
      <c r="J2633" s="135" t="n">
        <f aca="false">$G2633*'Analyse capacite'!$D$7</f>
        <v>40</v>
      </c>
      <c r="K2633" s="135" t="n">
        <f aca="false">$G2633*'Analyse capacite'!$E$7</f>
        <v>384</v>
      </c>
    </row>
    <row r="2634" customFormat="false" ht="15" hidden="false" customHeight="false" outlineLevel="0" collapsed="false">
      <c r="B2634" s="130" t="n">
        <v>2027</v>
      </c>
      <c r="C2634" s="131" t="s">
        <v>248</v>
      </c>
      <c r="D2634" s="132" t="n">
        <v>46551</v>
      </c>
      <c r="E2634" s="131" t="s">
        <v>12</v>
      </c>
      <c r="F2634" s="133" t="s">
        <v>19</v>
      </c>
      <c r="G2634" s="134" t="n">
        <f aca="false">LEN('Saisie programme'!$J$92)+SUMIFS('Vols additionnels'!$E$7:$E$66,'Vols additionnels'!$C$7:$C$66,$E2634,'Vols additionnels'!$D$7:$D$66,$F2634,'Vols additionnels'!$B$7:$B$66,$D2634)</f>
        <v>0</v>
      </c>
      <c r="H2634" s="135" t="n">
        <f aca="false">$G2634*'Analyse capacite'!$F$8</f>
        <v>0</v>
      </c>
      <c r="I2634" s="135" t="n">
        <f aca="false">$G2634*'Analyse capacite'!$C$8</f>
        <v>0</v>
      </c>
      <c r="J2634" s="135" t="n">
        <f aca="false">$G2634*'Analyse capacite'!$D$8</f>
        <v>0</v>
      </c>
      <c r="K2634" s="135" t="n">
        <f aca="false">$G2634*'Analyse capacite'!$E$8</f>
        <v>0</v>
      </c>
    </row>
    <row r="2635" customFormat="false" ht="15" hidden="false" customHeight="false" outlineLevel="0" collapsed="false">
      <c r="B2635" s="130" t="n">
        <v>2027</v>
      </c>
      <c r="C2635" s="131" t="s">
        <v>248</v>
      </c>
      <c r="D2635" s="132" t="n">
        <v>46551</v>
      </c>
      <c r="E2635" s="131" t="s">
        <v>12</v>
      </c>
      <c r="F2635" s="133" t="s">
        <v>24</v>
      </c>
      <c r="G2635" s="134" t="n">
        <f aca="false">LEN('Saisie programme'!$J$93)+SUMIFS('Vols additionnels'!$E$7:$E$66,'Vols additionnels'!$C$7:$C$66,$E2635,'Vols additionnels'!$D$7:$D$66,$F2635,'Vols additionnels'!$B$7:$B$66,$D2635)</f>
        <v>0</v>
      </c>
      <c r="H2635" s="135" t="n">
        <f aca="false">$G2635*'Analyse capacite'!$F$9</f>
        <v>0</v>
      </c>
      <c r="I2635" s="135" t="n">
        <f aca="false">$G2635*'Analyse capacite'!$C$9</f>
        <v>0</v>
      </c>
      <c r="J2635" s="135" t="n">
        <f aca="false">$G2635*'Analyse capacite'!$D$9</f>
        <v>0</v>
      </c>
      <c r="K2635" s="135" t="n">
        <f aca="false">$G2635*'Analyse capacite'!$E$9</f>
        <v>0</v>
      </c>
    </row>
    <row r="2636" customFormat="false" ht="15" hidden="false" customHeight="false" outlineLevel="0" collapsed="false">
      <c r="B2636" s="130" t="n">
        <v>2027</v>
      </c>
      <c r="C2636" s="131" t="s">
        <v>248</v>
      </c>
      <c r="D2636" s="132" t="n">
        <v>46551</v>
      </c>
      <c r="E2636" s="131" t="s">
        <v>20</v>
      </c>
      <c r="F2636" s="133" t="s">
        <v>11</v>
      </c>
      <c r="G2636" s="134" t="n">
        <f aca="false">LEN('Saisie programme'!$J$94)+SUMIFS('Vols additionnels'!$E$7:$E$66,'Vols additionnels'!$C$7:$C$66,$E2636,'Vols additionnels'!$D$7:$D$66,$F2636,'Vols additionnels'!$B$7:$B$66,$D2636)</f>
        <v>1</v>
      </c>
      <c r="H2636" s="135" t="n">
        <f aca="false">$G2636*'Analyse capacite'!$F$7</f>
        <v>438</v>
      </c>
      <c r="I2636" s="135" t="n">
        <f aca="false">$G2636*'Analyse capacite'!$C$7</f>
        <v>14</v>
      </c>
      <c r="J2636" s="135" t="n">
        <f aca="false">$G2636*'Analyse capacite'!$D$7</f>
        <v>40</v>
      </c>
      <c r="K2636" s="135" t="n">
        <f aca="false">$G2636*'Analyse capacite'!$E$7</f>
        <v>384</v>
      </c>
    </row>
    <row r="2637" customFormat="false" ht="15" hidden="false" customHeight="false" outlineLevel="0" collapsed="false">
      <c r="B2637" s="130" t="n">
        <v>2027</v>
      </c>
      <c r="C2637" s="131" t="s">
        <v>248</v>
      </c>
      <c r="D2637" s="132" t="n">
        <v>46551</v>
      </c>
      <c r="E2637" s="131" t="s">
        <v>20</v>
      </c>
      <c r="F2637" s="133" t="s">
        <v>19</v>
      </c>
      <c r="G2637" s="134" t="n">
        <f aca="false">LEN('Saisie programme'!$J$95)+SUMIFS('Vols additionnels'!$E$7:$E$66,'Vols additionnels'!$C$7:$C$66,$E2637,'Vols additionnels'!$D$7:$D$66,$F2637,'Vols additionnels'!$B$7:$B$66,$D2637)</f>
        <v>0</v>
      </c>
      <c r="H2637" s="135" t="n">
        <f aca="false">$G2637*'Analyse capacite'!$F$8</f>
        <v>0</v>
      </c>
      <c r="I2637" s="135" t="n">
        <f aca="false">$G2637*'Analyse capacite'!$C$8</f>
        <v>0</v>
      </c>
      <c r="J2637" s="135" t="n">
        <f aca="false">$G2637*'Analyse capacite'!$D$8</f>
        <v>0</v>
      </c>
      <c r="K2637" s="135" t="n">
        <f aca="false">$G2637*'Analyse capacite'!$E$8</f>
        <v>0</v>
      </c>
    </row>
    <row r="2638" customFormat="false" ht="15" hidden="false" customHeight="false" outlineLevel="0" collapsed="false">
      <c r="B2638" s="130" t="n">
        <v>2027</v>
      </c>
      <c r="C2638" s="131" t="s">
        <v>248</v>
      </c>
      <c r="D2638" s="132" t="n">
        <v>46551</v>
      </c>
      <c r="E2638" s="131" t="s">
        <v>20</v>
      </c>
      <c r="F2638" s="133" t="s">
        <v>24</v>
      </c>
      <c r="G2638" s="134" t="n">
        <f aca="false">LEN('Saisie programme'!$J$96)+SUMIFS('Vols additionnels'!$E$7:$E$66,'Vols additionnels'!$C$7:$C$66,$E2638,'Vols additionnels'!$D$7:$D$66,$F2638,'Vols additionnels'!$B$7:$B$66,$D2638)</f>
        <v>0</v>
      </c>
      <c r="H2638" s="135" t="n">
        <f aca="false">$G2638*'Analyse capacite'!$F$9</f>
        <v>0</v>
      </c>
      <c r="I2638" s="135" t="n">
        <f aca="false">$G2638*'Analyse capacite'!$C$9</f>
        <v>0</v>
      </c>
      <c r="J2638" s="135" t="n">
        <f aca="false">$G2638*'Analyse capacite'!$D$9</f>
        <v>0</v>
      </c>
      <c r="K2638" s="135" t="n">
        <f aca="false">$G2638*'Analyse capacite'!$E$9</f>
        <v>0</v>
      </c>
    </row>
    <row r="2639" customFormat="false" ht="15" hidden="false" customHeight="false" outlineLevel="0" collapsed="false">
      <c r="B2639" s="130" t="n">
        <v>2027</v>
      </c>
      <c r="C2639" s="131" t="s">
        <v>248</v>
      </c>
      <c r="D2639" s="132" t="n">
        <v>46551</v>
      </c>
      <c r="E2639" s="131" t="s">
        <v>25</v>
      </c>
      <c r="F2639" s="133" t="s">
        <v>11</v>
      </c>
      <c r="G2639" s="134" t="n">
        <f aca="false">LEN('Saisie programme'!$J$97)+SUMIFS('Vols additionnels'!$E$7:$E$66,'Vols additionnels'!$C$7:$C$66,$E2639,'Vols additionnels'!$D$7:$D$66,$F2639,'Vols additionnels'!$B$7:$B$66,$D2639)</f>
        <v>0</v>
      </c>
      <c r="H2639" s="135" t="n">
        <f aca="false">$G2639*'Analyse capacite'!$F$7</f>
        <v>0</v>
      </c>
      <c r="I2639" s="135" t="n">
        <f aca="false">$G2639*'Analyse capacite'!$C$7</f>
        <v>0</v>
      </c>
      <c r="J2639" s="135" t="n">
        <f aca="false">$G2639*'Analyse capacite'!$D$7</f>
        <v>0</v>
      </c>
      <c r="K2639" s="135" t="n">
        <f aca="false">$G2639*'Analyse capacite'!$E$7</f>
        <v>0</v>
      </c>
    </row>
    <row r="2640" customFormat="false" ht="15" hidden="false" customHeight="false" outlineLevel="0" collapsed="false">
      <c r="B2640" s="130" t="n">
        <v>2027</v>
      </c>
      <c r="C2640" s="131" t="s">
        <v>248</v>
      </c>
      <c r="D2640" s="132" t="n">
        <v>46551</v>
      </c>
      <c r="E2640" s="131" t="s">
        <v>25</v>
      </c>
      <c r="F2640" s="133" t="s">
        <v>19</v>
      </c>
      <c r="G2640" s="134" t="n">
        <f aca="false">LEN('Saisie programme'!$J$98)+SUMIFS('Vols additionnels'!$E$7:$E$66,'Vols additionnels'!$C$7:$C$66,$E2640,'Vols additionnels'!$D$7:$D$66,$F2640,'Vols additionnels'!$B$7:$B$66,$D2640)</f>
        <v>0</v>
      </c>
      <c r="H2640" s="135" t="n">
        <f aca="false">$G2640*'Analyse capacite'!$F$8</f>
        <v>0</v>
      </c>
      <c r="I2640" s="135" t="n">
        <f aca="false">$G2640*'Analyse capacite'!$C$8</f>
        <v>0</v>
      </c>
      <c r="J2640" s="135" t="n">
        <f aca="false">$G2640*'Analyse capacite'!$D$8</f>
        <v>0</v>
      </c>
      <c r="K2640" s="135" t="n">
        <f aca="false">$G2640*'Analyse capacite'!$E$8</f>
        <v>0</v>
      </c>
    </row>
    <row r="2641" customFormat="false" ht="15" hidden="false" customHeight="false" outlineLevel="0" collapsed="false">
      <c r="B2641" s="130" t="n">
        <v>2027</v>
      </c>
      <c r="C2641" s="131" t="s">
        <v>248</v>
      </c>
      <c r="D2641" s="132" t="n">
        <v>46551</v>
      </c>
      <c r="E2641" s="131" t="s">
        <v>25</v>
      </c>
      <c r="F2641" s="133" t="s">
        <v>24</v>
      </c>
      <c r="G2641" s="134" t="n">
        <f aca="false">LEN('Saisie programme'!$J$99)+SUMIFS('Vols additionnels'!$E$7:$E$66,'Vols additionnels'!$C$7:$C$66,$E2641,'Vols additionnels'!$D$7:$D$66,$F2641,'Vols additionnels'!$B$7:$B$66,$D2641)</f>
        <v>0</v>
      </c>
      <c r="H2641" s="135" t="n">
        <f aca="false">$G2641*'Analyse capacite'!$F$9</f>
        <v>0</v>
      </c>
      <c r="I2641" s="135" t="n">
        <f aca="false">$G2641*'Analyse capacite'!$C$9</f>
        <v>0</v>
      </c>
      <c r="J2641" s="135" t="n">
        <f aca="false">$G2641*'Analyse capacite'!$D$9</f>
        <v>0</v>
      </c>
      <c r="K2641" s="135" t="n">
        <f aca="false">$G2641*'Analyse capacite'!$E$9</f>
        <v>0</v>
      </c>
    </row>
    <row r="2642" customFormat="false" ht="15" hidden="false" customHeight="false" outlineLevel="0" collapsed="false">
      <c r="B2642" s="130" t="n">
        <v>2027</v>
      </c>
      <c r="C2642" s="131" t="s">
        <v>248</v>
      </c>
      <c r="D2642" s="132" t="n">
        <v>46551</v>
      </c>
      <c r="E2642" s="131" t="s">
        <v>36</v>
      </c>
      <c r="F2642" s="133" t="s">
        <v>11</v>
      </c>
      <c r="G2642" s="134" t="n">
        <f aca="false">LEN('Saisie programme'!$J$100)+SUMIFS('Vols additionnels'!$E$7:$E$66,'Vols additionnels'!$C$7:$C$66,$E2642,'Vols additionnels'!$D$7:$D$66,$F2642,'Vols additionnels'!$B$7:$B$66,$D2642)</f>
        <v>0</v>
      </c>
      <c r="H2642" s="135" t="n">
        <f aca="false">$G2642*'Analyse capacite'!$F$7</f>
        <v>0</v>
      </c>
      <c r="I2642" s="135" t="n">
        <f aca="false">$G2642*'Analyse capacite'!$C$7</f>
        <v>0</v>
      </c>
      <c r="J2642" s="135" t="n">
        <f aca="false">$G2642*'Analyse capacite'!$D$7</f>
        <v>0</v>
      </c>
      <c r="K2642" s="135" t="n">
        <f aca="false">$G2642*'Analyse capacite'!$E$7</f>
        <v>0</v>
      </c>
    </row>
    <row r="2643" customFormat="false" ht="15" hidden="false" customHeight="false" outlineLevel="0" collapsed="false">
      <c r="B2643" s="130" t="n">
        <v>2027</v>
      </c>
      <c r="C2643" s="131" t="s">
        <v>248</v>
      </c>
      <c r="D2643" s="132" t="n">
        <v>46551</v>
      </c>
      <c r="E2643" s="131" t="s">
        <v>36</v>
      </c>
      <c r="F2643" s="133" t="s">
        <v>19</v>
      </c>
      <c r="G2643" s="134" t="n">
        <f aca="false">LEN('Saisie programme'!$J$101)+SUMIFS('Vols additionnels'!$E$7:$E$66,'Vols additionnels'!$C$7:$C$66,$E2643,'Vols additionnels'!$D$7:$D$66,$F2643,'Vols additionnels'!$B$7:$B$66,$D2643)</f>
        <v>0</v>
      </c>
      <c r="H2643" s="135" t="n">
        <f aca="false">$G2643*'Analyse capacite'!$F$8</f>
        <v>0</v>
      </c>
      <c r="I2643" s="135" t="n">
        <f aca="false">$G2643*'Analyse capacite'!$C$8</f>
        <v>0</v>
      </c>
      <c r="J2643" s="135" t="n">
        <f aca="false">$G2643*'Analyse capacite'!$D$8</f>
        <v>0</v>
      </c>
      <c r="K2643" s="135" t="n">
        <f aca="false">$G2643*'Analyse capacite'!$E$8</f>
        <v>0</v>
      </c>
    </row>
    <row r="2644" customFormat="false" ht="15" hidden="false" customHeight="false" outlineLevel="0" collapsed="false">
      <c r="B2644" s="130" t="n">
        <v>2027</v>
      </c>
      <c r="C2644" s="131" t="s">
        <v>248</v>
      </c>
      <c r="D2644" s="132" t="n">
        <v>46551</v>
      </c>
      <c r="E2644" s="131" t="s">
        <v>36</v>
      </c>
      <c r="F2644" s="133" t="s">
        <v>24</v>
      </c>
      <c r="G2644" s="134" t="n">
        <f aca="false">LEN('Saisie programme'!$J$102)+SUMIFS('Vols additionnels'!$E$7:$E$66,'Vols additionnels'!$C$7:$C$66,$E2644,'Vols additionnels'!$D$7:$D$66,$F2644,'Vols additionnels'!$B$7:$B$66,$D2644)</f>
        <v>0</v>
      </c>
      <c r="H2644" s="135" t="n">
        <f aca="false">$G2644*'Analyse capacite'!$F$9</f>
        <v>0</v>
      </c>
      <c r="I2644" s="135" t="n">
        <f aca="false">$G2644*'Analyse capacite'!$C$9</f>
        <v>0</v>
      </c>
      <c r="J2644" s="135" t="n">
        <f aca="false">$G2644*'Analyse capacite'!$D$9</f>
        <v>0</v>
      </c>
      <c r="K2644" s="135" t="n">
        <f aca="false">$G2644*'Analyse capacite'!$E$9</f>
        <v>0</v>
      </c>
    </row>
    <row r="2645" customFormat="false" ht="15" hidden="false" customHeight="false" outlineLevel="0" collapsed="false">
      <c r="B2645" s="130" t="n">
        <v>2027</v>
      </c>
      <c r="C2645" s="131" t="s">
        <v>248</v>
      </c>
      <c r="D2645" s="132" t="n">
        <v>46551</v>
      </c>
      <c r="E2645" s="131" t="s">
        <v>40</v>
      </c>
      <c r="F2645" s="133" t="s">
        <v>11</v>
      </c>
      <c r="G2645" s="134" t="n">
        <f aca="false">LEN('Saisie programme'!$J$103)+SUMIFS('Vols additionnels'!$E$7:$E$66,'Vols additionnels'!$C$7:$C$66,$E2645,'Vols additionnels'!$D$7:$D$66,$F2645,'Vols additionnels'!$B$7:$B$66,$D2645)</f>
        <v>0</v>
      </c>
      <c r="H2645" s="135" t="n">
        <f aca="false">$G2645*'Analyse capacite'!$F$7</f>
        <v>0</v>
      </c>
      <c r="I2645" s="135" t="n">
        <f aca="false">$G2645*'Analyse capacite'!$C$7</f>
        <v>0</v>
      </c>
      <c r="J2645" s="135" t="n">
        <f aca="false">$G2645*'Analyse capacite'!$D$7</f>
        <v>0</v>
      </c>
      <c r="K2645" s="135" t="n">
        <f aca="false">$G2645*'Analyse capacite'!$E$7</f>
        <v>0</v>
      </c>
    </row>
    <row r="2646" customFormat="false" ht="15" hidden="false" customHeight="false" outlineLevel="0" collapsed="false">
      <c r="B2646" s="130" t="n">
        <v>2027</v>
      </c>
      <c r="C2646" s="131" t="s">
        <v>248</v>
      </c>
      <c r="D2646" s="132" t="n">
        <v>46551</v>
      </c>
      <c r="E2646" s="131" t="s">
        <v>40</v>
      </c>
      <c r="F2646" s="133" t="s">
        <v>19</v>
      </c>
      <c r="G2646" s="134" t="n">
        <f aca="false">LEN('Saisie programme'!$J$104)+SUMIFS('Vols additionnels'!$E$7:$E$66,'Vols additionnels'!$C$7:$C$66,$E2646,'Vols additionnels'!$D$7:$D$66,$F2646,'Vols additionnels'!$B$7:$B$66,$D2646)</f>
        <v>0</v>
      </c>
      <c r="H2646" s="135" t="n">
        <f aca="false">$G2646*'Analyse capacite'!$F$8</f>
        <v>0</v>
      </c>
      <c r="I2646" s="135" t="n">
        <f aca="false">$G2646*'Analyse capacite'!$C$8</f>
        <v>0</v>
      </c>
      <c r="J2646" s="135" t="n">
        <f aca="false">$G2646*'Analyse capacite'!$D$8</f>
        <v>0</v>
      </c>
      <c r="K2646" s="135" t="n">
        <f aca="false">$G2646*'Analyse capacite'!$E$8</f>
        <v>0</v>
      </c>
    </row>
    <row r="2647" customFormat="false" ht="15" hidden="false" customHeight="false" outlineLevel="0" collapsed="false">
      <c r="B2647" s="130" t="n">
        <v>2027</v>
      </c>
      <c r="C2647" s="131" t="s">
        <v>248</v>
      </c>
      <c r="D2647" s="132" t="n">
        <v>46551</v>
      </c>
      <c r="E2647" s="131" t="s">
        <v>40</v>
      </c>
      <c r="F2647" s="133" t="s">
        <v>24</v>
      </c>
      <c r="G2647" s="134" t="n">
        <f aca="false">LEN('Saisie programme'!$J$105)+SUMIFS('Vols additionnels'!$E$7:$E$66,'Vols additionnels'!$C$7:$C$66,$E2647,'Vols additionnels'!$D$7:$D$66,$F2647,'Vols additionnels'!$B$7:$B$66,$D2647)</f>
        <v>1</v>
      </c>
      <c r="H2647" s="135" t="n">
        <f aca="false">$G2647*'Analyse capacite'!$F$9</f>
        <v>174</v>
      </c>
      <c r="I2647" s="135" t="n">
        <f aca="false">$G2647*'Analyse capacite'!$C$9</f>
        <v>0</v>
      </c>
      <c r="J2647" s="135" t="n">
        <f aca="false">$G2647*'Analyse capacite'!$D$9</f>
        <v>12</v>
      </c>
      <c r="K2647" s="135" t="n">
        <f aca="false">$G2647*'Analyse capacite'!$E$9</f>
        <v>162</v>
      </c>
    </row>
    <row r="2648" customFormat="false" ht="15" hidden="false" customHeight="false" outlineLevel="0" collapsed="false">
      <c r="B2648" s="130" t="n">
        <v>2027</v>
      </c>
      <c r="C2648" s="131" t="s">
        <v>248</v>
      </c>
      <c r="D2648" s="132" t="n">
        <v>46551</v>
      </c>
      <c r="E2648" s="131" t="s">
        <v>14</v>
      </c>
      <c r="F2648" s="133" t="s">
        <v>11</v>
      </c>
      <c r="G2648" s="134" t="n">
        <f aca="false">LEN('Saisie programme'!$J$106)+SUMIFS('Vols additionnels'!$E$7:$E$66,'Vols additionnels'!$C$7:$C$66,$E2648,'Vols additionnels'!$D$7:$D$66,$F2648,'Vols additionnels'!$B$7:$B$66,$D2648)</f>
        <v>0</v>
      </c>
      <c r="H2648" s="135" t="n">
        <f aca="false">$G2648*'Analyse capacite'!$F$7</f>
        <v>0</v>
      </c>
      <c r="I2648" s="135" t="n">
        <f aca="false">$G2648*'Analyse capacite'!$C$7</f>
        <v>0</v>
      </c>
      <c r="J2648" s="135" t="n">
        <f aca="false">$G2648*'Analyse capacite'!$D$7</f>
        <v>0</v>
      </c>
      <c r="K2648" s="135" t="n">
        <f aca="false">$G2648*'Analyse capacite'!$E$7</f>
        <v>0</v>
      </c>
    </row>
    <row r="2649" customFormat="false" ht="15" hidden="false" customHeight="false" outlineLevel="0" collapsed="false">
      <c r="B2649" s="130" t="n">
        <v>2027</v>
      </c>
      <c r="C2649" s="131" t="s">
        <v>248</v>
      </c>
      <c r="D2649" s="132" t="n">
        <v>46551</v>
      </c>
      <c r="E2649" s="131" t="s">
        <v>14</v>
      </c>
      <c r="F2649" s="133" t="s">
        <v>19</v>
      </c>
      <c r="G2649" s="134" t="n">
        <f aca="false">LEN('Saisie programme'!$J$107)+SUMIFS('Vols additionnels'!$E$7:$E$66,'Vols additionnels'!$C$7:$C$66,$E2649,'Vols additionnels'!$D$7:$D$66,$F2649,'Vols additionnels'!$B$7:$B$66,$D2649)</f>
        <v>0</v>
      </c>
      <c r="H2649" s="135" t="n">
        <f aca="false">$G2649*'Analyse capacite'!$F$8</f>
        <v>0</v>
      </c>
      <c r="I2649" s="135" t="n">
        <f aca="false">$G2649*'Analyse capacite'!$C$8</f>
        <v>0</v>
      </c>
      <c r="J2649" s="135" t="n">
        <f aca="false">$G2649*'Analyse capacite'!$D$8</f>
        <v>0</v>
      </c>
      <c r="K2649" s="135" t="n">
        <f aca="false">$G2649*'Analyse capacite'!$E$8</f>
        <v>0</v>
      </c>
    </row>
    <row r="2650" customFormat="false" ht="15" hidden="false" customHeight="false" outlineLevel="0" collapsed="false">
      <c r="B2650" s="130" t="n">
        <v>2027</v>
      </c>
      <c r="C2650" s="131" t="s">
        <v>248</v>
      </c>
      <c r="D2650" s="132" t="n">
        <v>46551</v>
      </c>
      <c r="E2650" s="131" t="s">
        <v>14</v>
      </c>
      <c r="F2650" s="133" t="s">
        <v>24</v>
      </c>
      <c r="G2650" s="134" t="n">
        <f aca="false">LEN('Saisie programme'!$J$108)+SUMIFS('Vols additionnels'!$E$7:$E$66,'Vols additionnels'!$C$7:$C$66,$E2650,'Vols additionnels'!$D$7:$D$66,$F2650,'Vols additionnels'!$B$7:$B$66,$D2650)</f>
        <v>0</v>
      </c>
      <c r="H2650" s="135" t="n">
        <f aca="false">$G2650*'Analyse capacite'!$F$9</f>
        <v>0</v>
      </c>
      <c r="I2650" s="135" t="n">
        <f aca="false">$G2650*'Analyse capacite'!$C$9</f>
        <v>0</v>
      </c>
      <c r="J2650" s="135" t="n">
        <f aca="false">$G2650*'Analyse capacite'!$D$9</f>
        <v>0</v>
      </c>
      <c r="K2650" s="135" t="n">
        <f aca="false">$G2650*'Analyse capacite'!$E$9</f>
        <v>0</v>
      </c>
    </row>
    <row r="2651" customFormat="false" ht="15" hidden="false" customHeight="false" outlineLevel="0" collapsed="false">
      <c r="B2651" s="130" t="n">
        <v>2027</v>
      </c>
      <c r="C2651" s="131" t="s">
        <v>248</v>
      </c>
      <c r="D2651" s="132" t="n">
        <v>46551</v>
      </c>
      <c r="E2651" s="131" t="s">
        <v>46</v>
      </c>
      <c r="F2651" s="133" t="s">
        <v>11</v>
      </c>
      <c r="G2651" s="134" t="n">
        <f aca="false">LEN('Saisie programme'!$J$109)+SUMIFS('Vols additionnels'!$E$7:$E$66,'Vols additionnels'!$C$7:$C$66,$E2651,'Vols additionnels'!$D$7:$D$66,$F2651,'Vols additionnels'!$B$7:$B$66,$D2651)</f>
        <v>0</v>
      </c>
      <c r="H2651" s="135" t="n">
        <f aca="false">$G2651*'Analyse capacite'!$F$7</f>
        <v>0</v>
      </c>
      <c r="I2651" s="135" t="n">
        <f aca="false">$G2651*'Analyse capacite'!$C$7</f>
        <v>0</v>
      </c>
      <c r="J2651" s="135" t="n">
        <f aca="false">$G2651*'Analyse capacite'!$D$7</f>
        <v>0</v>
      </c>
      <c r="K2651" s="135" t="n">
        <f aca="false">$G2651*'Analyse capacite'!$E$7</f>
        <v>0</v>
      </c>
    </row>
    <row r="2652" customFormat="false" ht="15" hidden="false" customHeight="false" outlineLevel="0" collapsed="false">
      <c r="B2652" s="130" t="n">
        <v>2027</v>
      </c>
      <c r="C2652" s="131" t="s">
        <v>248</v>
      </c>
      <c r="D2652" s="132" t="n">
        <v>46551</v>
      </c>
      <c r="E2652" s="131" t="s">
        <v>46</v>
      </c>
      <c r="F2652" s="133" t="s">
        <v>19</v>
      </c>
      <c r="G2652" s="134" t="n">
        <f aca="false">LEN('Saisie programme'!$J$110)+SUMIFS('Vols additionnels'!$E$7:$E$66,'Vols additionnels'!$C$7:$C$66,$E2652,'Vols additionnels'!$D$7:$D$66,$F2652,'Vols additionnels'!$B$7:$B$66,$D2652)</f>
        <v>0</v>
      </c>
      <c r="H2652" s="135" t="n">
        <f aca="false">$G2652*'Analyse capacite'!$F$8</f>
        <v>0</v>
      </c>
      <c r="I2652" s="135" t="n">
        <f aca="false">$G2652*'Analyse capacite'!$C$8</f>
        <v>0</v>
      </c>
      <c r="J2652" s="135" t="n">
        <f aca="false">$G2652*'Analyse capacite'!$D$8</f>
        <v>0</v>
      </c>
      <c r="K2652" s="135" t="n">
        <f aca="false">$G2652*'Analyse capacite'!$E$8</f>
        <v>0</v>
      </c>
    </row>
    <row r="2653" customFormat="false" ht="15" hidden="false" customHeight="false" outlineLevel="0" collapsed="false">
      <c r="B2653" s="130" t="n">
        <v>2027</v>
      </c>
      <c r="C2653" s="131" t="s">
        <v>248</v>
      </c>
      <c r="D2653" s="132" t="n">
        <v>46551</v>
      </c>
      <c r="E2653" s="131" t="s">
        <v>46</v>
      </c>
      <c r="F2653" s="133" t="s">
        <v>24</v>
      </c>
      <c r="G2653" s="134" t="n">
        <f aca="false">LEN('Saisie programme'!$J$111)+SUMIFS('Vols additionnels'!$E$7:$E$66,'Vols additionnels'!$C$7:$C$66,$E2653,'Vols additionnels'!$D$7:$D$66,$F2653,'Vols additionnels'!$B$7:$B$66,$D2653)</f>
        <v>0</v>
      </c>
      <c r="H2653" s="135" t="n">
        <f aca="false">$G2653*'Analyse capacite'!$F$9</f>
        <v>0</v>
      </c>
      <c r="I2653" s="135" t="n">
        <f aca="false">$G2653*'Analyse capacite'!$C$9</f>
        <v>0</v>
      </c>
      <c r="J2653" s="135" t="n">
        <f aca="false">$G2653*'Analyse capacite'!$D$9</f>
        <v>0</v>
      </c>
      <c r="K2653" s="135" t="n">
        <f aca="false">$G2653*'Analyse capacite'!$E$9</f>
        <v>0</v>
      </c>
    </row>
    <row r="2654" customFormat="false" ht="15" hidden="false" customHeight="false" outlineLevel="0" collapsed="false">
      <c r="B2654" s="130" t="n">
        <v>2027</v>
      </c>
      <c r="C2654" s="131" t="s">
        <v>248</v>
      </c>
      <c r="D2654" s="132" t="n">
        <v>46551</v>
      </c>
      <c r="E2654" s="131" t="s">
        <v>49</v>
      </c>
      <c r="F2654" s="133" t="s">
        <v>11</v>
      </c>
      <c r="G2654" s="134" t="n">
        <f aca="false">LEN('Saisie programme'!$J$112)+SUMIFS('Vols additionnels'!$E$7:$E$66,'Vols additionnels'!$C$7:$C$66,$E2654,'Vols additionnels'!$D$7:$D$66,$F2654,'Vols additionnels'!$B$7:$B$66,$D2654)</f>
        <v>0</v>
      </c>
      <c r="H2654" s="135" t="n">
        <f aca="false">$G2654*'Analyse capacite'!$F$7</f>
        <v>0</v>
      </c>
      <c r="I2654" s="135" t="n">
        <f aca="false">$G2654*'Analyse capacite'!$C$7</f>
        <v>0</v>
      </c>
      <c r="J2654" s="135" t="n">
        <f aca="false">$G2654*'Analyse capacite'!$D$7</f>
        <v>0</v>
      </c>
      <c r="K2654" s="135" t="n">
        <f aca="false">$G2654*'Analyse capacite'!$E$7</f>
        <v>0</v>
      </c>
    </row>
    <row r="2655" customFormat="false" ht="15" hidden="false" customHeight="false" outlineLevel="0" collapsed="false">
      <c r="B2655" s="130" t="n">
        <v>2027</v>
      </c>
      <c r="C2655" s="131" t="s">
        <v>248</v>
      </c>
      <c r="D2655" s="132" t="n">
        <v>46551</v>
      </c>
      <c r="E2655" s="131" t="s">
        <v>49</v>
      </c>
      <c r="F2655" s="133" t="s">
        <v>19</v>
      </c>
      <c r="G2655" s="134" t="n">
        <f aca="false">LEN('Saisie programme'!$J$113)+SUMIFS('Vols additionnels'!$E$7:$E$66,'Vols additionnels'!$C$7:$C$66,$E2655,'Vols additionnels'!$D$7:$D$66,$F2655,'Vols additionnels'!$B$7:$B$66,$D2655)</f>
        <v>0</v>
      </c>
      <c r="H2655" s="135" t="n">
        <f aca="false">$G2655*'Analyse capacite'!$F$8</f>
        <v>0</v>
      </c>
      <c r="I2655" s="135" t="n">
        <f aca="false">$G2655*'Analyse capacite'!$C$8</f>
        <v>0</v>
      </c>
      <c r="J2655" s="135" t="n">
        <f aca="false">$G2655*'Analyse capacite'!$D$8</f>
        <v>0</v>
      </c>
      <c r="K2655" s="135" t="n">
        <f aca="false">$G2655*'Analyse capacite'!$E$8</f>
        <v>0</v>
      </c>
    </row>
    <row r="2656" customFormat="false" ht="15" hidden="false" customHeight="false" outlineLevel="0" collapsed="false">
      <c r="B2656" s="130" t="n">
        <v>2027</v>
      </c>
      <c r="C2656" s="131" t="s">
        <v>248</v>
      </c>
      <c r="D2656" s="132" t="n">
        <v>46551</v>
      </c>
      <c r="E2656" s="131" t="s">
        <v>49</v>
      </c>
      <c r="F2656" s="133" t="s">
        <v>24</v>
      </c>
      <c r="G2656" s="134" t="n">
        <f aca="false">LEN('Saisie programme'!$J$114)+SUMIFS('Vols additionnels'!$E$7:$E$66,'Vols additionnels'!$C$7:$C$66,$E2656,'Vols additionnels'!$D$7:$D$66,$F2656,'Vols additionnels'!$B$7:$B$66,$D2656)</f>
        <v>0</v>
      </c>
      <c r="H2656" s="135" t="n">
        <f aca="false">$G2656*'Analyse capacite'!$F$9</f>
        <v>0</v>
      </c>
      <c r="I2656" s="135" t="n">
        <f aca="false">$G2656*'Analyse capacite'!$C$9</f>
        <v>0</v>
      </c>
      <c r="J2656" s="135" t="n">
        <f aca="false">$G2656*'Analyse capacite'!$D$9</f>
        <v>0</v>
      </c>
      <c r="K2656" s="135" t="n">
        <f aca="false">$G2656*'Analyse capacite'!$E$9</f>
        <v>0</v>
      </c>
    </row>
    <row r="2657" customFormat="false" ht="15" hidden="false" customHeight="false" outlineLevel="0" collapsed="false">
      <c r="B2657" s="130" t="n">
        <v>2027</v>
      </c>
      <c r="C2657" s="131" t="s">
        <v>248</v>
      </c>
      <c r="D2657" s="132" t="n">
        <v>46551</v>
      </c>
      <c r="E2657" s="131" t="s">
        <v>53</v>
      </c>
      <c r="F2657" s="133" t="s">
        <v>11</v>
      </c>
      <c r="G2657" s="134" t="n">
        <f aca="false">LEN('Saisie programme'!$J$115)+SUMIFS('Vols additionnels'!$E$7:$E$66,'Vols additionnels'!$C$7:$C$66,$E2657,'Vols additionnels'!$D$7:$D$66,$F2657,'Vols additionnels'!$B$7:$B$66,$D2657)</f>
        <v>0</v>
      </c>
      <c r="H2657" s="135" t="n">
        <f aca="false">$G2657*'Analyse capacite'!$F$7</f>
        <v>0</v>
      </c>
      <c r="I2657" s="135" t="n">
        <f aca="false">$G2657*'Analyse capacite'!$C$7</f>
        <v>0</v>
      </c>
      <c r="J2657" s="135" t="n">
        <f aca="false">$G2657*'Analyse capacite'!$D$7</f>
        <v>0</v>
      </c>
      <c r="K2657" s="135" t="n">
        <f aca="false">$G2657*'Analyse capacite'!$E$7</f>
        <v>0</v>
      </c>
    </row>
    <row r="2658" customFormat="false" ht="15" hidden="false" customHeight="false" outlineLevel="0" collapsed="false">
      <c r="B2658" s="130" t="n">
        <v>2027</v>
      </c>
      <c r="C2658" s="131" t="s">
        <v>248</v>
      </c>
      <c r="D2658" s="132" t="n">
        <v>46551</v>
      </c>
      <c r="E2658" s="131" t="s">
        <v>53</v>
      </c>
      <c r="F2658" s="133" t="s">
        <v>19</v>
      </c>
      <c r="G2658" s="134" t="n">
        <f aca="false">LEN('Saisie programme'!$J$116)+SUMIFS('Vols additionnels'!$E$7:$E$66,'Vols additionnels'!$C$7:$C$66,$E2658,'Vols additionnels'!$D$7:$D$66,$F2658,'Vols additionnels'!$B$7:$B$66,$D2658)</f>
        <v>0</v>
      </c>
      <c r="H2658" s="135" t="n">
        <f aca="false">$G2658*'Analyse capacite'!$F$8</f>
        <v>0</v>
      </c>
      <c r="I2658" s="135" t="n">
        <f aca="false">$G2658*'Analyse capacite'!$C$8</f>
        <v>0</v>
      </c>
      <c r="J2658" s="135" t="n">
        <f aca="false">$G2658*'Analyse capacite'!$D$8</f>
        <v>0</v>
      </c>
      <c r="K2658" s="135" t="n">
        <f aca="false">$G2658*'Analyse capacite'!$E$8</f>
        <v>0</v>
      </c>
    </row>
    <row r="2659" customFormat="false" ht="15" hidden="false" customHeight="false" outlineLevel="0" collapsed="false">
      <c r="B2659" s="130" t="n">
        <v>2027</v>
      </c>
      <c r="C2659" s="131" t="s">
        <v>248</v>
      </c>
      <c r="D2659" s="132" t="n">
        <v>46551</v>
      </c>
      <c r="E2659" s="131" t="s">
        <v>53</v>
      </c>
      <c r="F2659" s="133" t="s">
        <v>24</v>
      </c>
      <c r="G2659" s="134" t="n">
        <f aca="false">LEN('Saisie programme'!$J$117)+SUMIFS('Vols additionnels'!$E$7:$E$66,'Vols additionnels'!$C$7:$C$66,$E2659,'Vols additionnels'!$D$7:$D$66,$F2659,'Vols additionnels'!$B$7:$B$66,$D2659)</f>
        <v>0</v>
      </c>
      <c r="H2659" s="135" t="n">
        <f aca="false">$G2659*'Analyse capacite'!$F$9</f>
        <v>0</v>
      </c>
      <c r="I2659" s="135" t="n">
        <f aca="false">$G2659*'Analyse capacite'!$C$9</f>
        <v>0</v>
      </c>
      <c r="J2659" s="135" t="n">
        <f aca="false">$G2659*'Analyse capacite'!$D$9</f>
        <v>0</v>
      </c>
      <c r="K2659" s="135" t="n">
        <f aca="false">$G2659*'Analyse capacite'!$E$9</f>
        <v>0</v>
      </c>
    </row>
    <row r="2660" customFormat="false" ht="15" hidden="false" customHeight="false" outlineLevel="0" collapsed="false">
      <c r="B2660" s="130" t="n">
        <v>2027</v>
      </c>
      <c r="C2660" s="131" t="s">
        <v>248</v>
      </c>
      <c r="D2660" s="132" t="n">
        <v>46551</v>
      </c>
      <c r="E2660" s="131" t="s">
        <v>56</v>
      </c>
      <c r="F2660" s="133" t="s">
        <v>11</v>
      </c>
      <c r="G2660" s="134" t="n">
        <f aca="false">LEN('Saisie programme'!$J$118)+SUMIFS('Vols additionnels'!$E$7:$E$66,'Vols additionnels'!$C$7:$C$66,$E2660,'Vols additionnels'!$D$7:$D$66,$F2660,'Vols additionnels'!$B$7:$B$66,$D2660)</f>
        <v>0</v>
      </c>
      <c r="H2660" s="135" t="n">
        <f aca="false">$G2660*'Analyse capacite'!$F$7</f>
        <v>0</v>
      </c>
      <c r="I2660" s="135" t="n">
        <f aca="false">$G2660*'Analyse capacite'!$C$7</f>
        <v>0</v>
      </c>
      <c r="J2660" s="135" t="n">
        <f aca="false">$G2660*'Analyse capacite'!$D$7</f>
        <v>0</v>
      </c>
      <c r="K2660" s="135" t="n">
        <f aca="false">$G2660*'Analyse capacite'!$E$7</f>
        <v>0</v>
      </c>
    </row>
    <row r="2661" customFormat="false" ht="15" hidden="false" customHeight="false" outlineLevel="0" collapsed="false">
      <c r="B2661" s="130" t="n">
        <v>2027</v>
      </c>
      <c r="C2661" s="131" t="s">
        <v>248</v>
      </c>
      <c r="D2661" s="132" t="n">
        <v>46551</v>
      </c>
      <c r="E2661" s="131" t="s">
        <v>56</v>
      </c>
      <c r="F2661" s="133" t="s">
        <v>19</v>
      </c>
      <c r="G2661" s="134" t="n">
        <f aca="false">LEN('Saisie programme'!$J$119)+SUMIFS('Vols additionnels'!$E$7:$E$66,'Vols additionnels'!$C$7:$C$66,$E2661,'Vols additionnels'!$D$7:$D$66,$F2661,'Vols additionnels'!$B$7:$B$66,$D2661)</f>
        <v>0</v>
      </c>
      <c r="H2661" s="135" t="n">
        <f aca="false">$G2661*'Analyse capacite'!$F$8</f>
        <v>0</v>
      </c>
      <c r="I2661" s="135" t="n">
        <f aca="false">$G2661*'Analyse capacite'!$C$8</f>
        <v>0</v>
      </c>
      <c r="J2661" s="135" t="n">
        <f aca="false">$G2661*'Analyse capacite'!$D$8</f>
        <v>0</v>
      </c>
      <c r="K2661" s="135" t="n">
        <f aca="false">$G2661*'Analyse capacite'!$E$8</f>
        <v>0</v>
      </c>
    </row>
    <row r="2662" customFormat="false" ht="15" hidden="false" customHeight="false" outlineLevel="0" collapsed="false">
      <c r="B2662" s="130" t="n">
        <v>2027</v>
      </c>
      <c r="C2662" s="131" t="s">
        <v>248</v>
      </c>
      <c r="D2662" s="132" t="n">
        <v>46551</v>
      </c>
      <c r="E2662" s="131" t="s">
        <v>56</v>
      </c>
      <c r="F2662" s="133" t="s">
        <v>24</v>
      </c>
      <c r="G2662" s="134" t="n">
        <f aca="false">LEN('Saisie programme'!$J$120)+SUMIFS('Vols additionnels'!$E$7:$E$66,'Vols additionnels'!$C$7:$C$66,$E2662,'Vols additionnels'!$D$7:$D$66,$F2662,'Vols additionnels'!$B$7:$B$66,$D2662)</f>
        <v>0</v>
      </c>
      <c r="H2662" s="135" t="n">
        <f aca="false">$G2662*'Analyse capacite'!$F$9</f>
        <v>0</v>
      </c>
      <c r="I2662" s="135" t="n">
        <f aca="false">$G2662*'Analyse capacite'!$C$9</f>
        <v>0</v>
      </c>
      <c r="J2662" s="135" t="n">
        <f aca="false">$G2662*'Analyse capacite'!$D$9</f>
        <v>0</v>
      </c>
      <c r="K2662" s="135" t="n">
        <f aca="false">$G2662*'Analyse capacite'!$E$9</f>
        <v>0</v>
      </c>
    </row>
    <row r="2663" customFormat="false" ht="15" hidden="false" customHeight="false" outlineLevel="0" collapsed="false">
      <c r="B2663" s="130" t="n">
        <v>2027</v>
      </c>
      <c r="C2663" s="131" t="s">
        <v>248</v>
      </c>
      <c r="D2663" s="132" t="n">
        <v>46551</v>
      </c>
      <c r="E2663" s="131" t="s">
        <v>59</v>
      </c>
      <c r="F2663" s="133" t="s">
        <v>11</v>
      </c>
      <c r="G2663" s="134" t="n">
        <f aca="false">LEN('Saisie programme'!$J$121)+SUMIFS('Vols additionnels'!$E$7:$E$66,'Vols additionnels'!$C$7:$C$66,$E2663,'Vols additionnels'!$D$7:$D$66,$F2663,'Vols additionnels'!$B$7:$B$66,$D2663)</f>
        <v>0</v>
      </c>
      <c r="H2663" s="135" t="n">
        <f aca="false">$G2663*'Analyse capacite'!$F$7</f>
        <v>0</v>
      </c>
      <c r="I2663" s="135" t="n">
        <f aca="false">$G2663*'Analyse capacite'!$C$7</f>
        <v>0</v>
      </c>
      <c r="J2663" s="135" t="n">
        <f aca="false">$G2663*'Analyse capacite'!$D$7</f>
        <v>0</v>
      </c>
      <c r="K2663" s="135" t="n">
        <f aca="false">$G2663*'Analyse capacite'!$E$7</f>
        <v>0</v>
      </c>
    </row>
    <row r="2664" customFormat="false" ht="15" hidden="false" customHeight="false" outlineLevel="0" collapsed="false">
      <c r="B2664" s="130" t="n">
        <v>2027</v>
      </c>
      <c r="C2664" s="131" t="s">
        <v>248</v>
      </c>
      <c r="D2664" s="132" t="n">
        <v>46551</v>
      </c>
      <c r="E2664" s="131" t="s">
        <v>59</v>
      </c>
      <c r="F2664" s="133" t="s">
        <v>19</v>
      </c>
      <c r="G2664" s="134" t="n">
        <f aca="false">LEN('Saisie programme'!$J$122)+SUMIFS('Vols additionnels'!$E$7:$E$66,'Vols additionnels'!$C$7:$C$66,$E2664,'Vols additionnels'!$D$7:$D$66,$F2664,'Vols additionnels'!$B$7:$B$66,$D2664)</f>
        <v>0</v>
      </c>
      <c r="H2664" s="135" t="n">
        <f aca="false">$G2664*'Analyse capacite'!$F$8</f>
        <v>0</v>
      </c>
      <c r="I2664" s="135" t="n">
        <f aca="false">$G2664*'Analyse capacite'!$C$8</f>
        <v>0</v>
      </c>
      <c r="J2664" s="135" t="n">
        <f aca="false">$G2664*'Analyse capacite'!$D$8</f>
        <v>0</v>
      </c>
      <c r="K2664" s="135" t="n">
        <f aca="false">$G2664*'Analyse capacite'!$E$8</f>
        <v>0</v>
      </c>
    </row>
    <row r="2665" customFormat="false" ht="15" hidden="false" customHeight="false" outlineLevel="0" collapsed="false">
      <c r="B2665" s="130" t="n">
        <v>2027</v>
      </c>
      <c r="C2665" s="131" t="s">
        <v>248</v>
      </c>
      <c r="D2665" s="132" t="n">
        <v>46551</v>
      </c>
      <c r="E2665" s="131" t="s">
        <v>59</v>
      </c>
      <c r="F2665" s="133" t="s">
        <v>24</v>
      </c>
      <c r="G2665" s="134" t="n">
        <f aca="false">LEN('Saisie programme'!$J$123)+SUMIFS('Vols additionnels'!$E$7:$E$66,'Vols additionnels'!$C$7:$C$66,$E2665,'Vols additionnels'!$D$7:$D$66,$F2665,'Vols additionnels'!$B$7:$B$66,$D2665)</f>
        <v>0</v>
      </c>
      <c r="H2665" s="135" t="n">
        <f aca="false">$G2665*'Analyse capacite'!$F$9</f>
        <v>0</v>
      </c>
      <c r="I2665" s="135" t="n">
        <f aca="false">$G2665*'Analyse capacite'!$C$9</f>
        <v>0</v>
      </c>
      <c r="J2665" s="135" t="n">
        <f aca="false">$G2665*'Analyse capacite'!$D$9</f>
        <v>0</v>
      </c>
      <c r="K2665" s="135" t="n">
        <f aca="false">$G2665*'Analyse capacite'!$E$9</f>
        <v>0</v>
      </c>
    </row>
    <row r="2666" customFormat="false" ht="15" hidden="false" customHeight="false" outlineLevel="0" collapsed="false">
      <c r="B2666" s="130" t="n">
        <v>2027</v>
      </c>
      <c r="C2666" s="131" t="s">
        <v>248</v>
      </c>
      <c r="D2666" s="132" t="n">
        <v>46551</v>
      </c>
      <c r="E2666" s="131" t="s">
        <v>62</v>
      </c>
      <c r="F2666" s="133" t="s">
        <v>11</v>
      </c>
      <c r="G2666" s="134" t="n">
        <f aca="false">LEN('Saisie programme'!$J$124)+SUMIFS('Vols additionnels'!$E$7:$E$66,'Vols additionnels'!$C$7:$C$66,$E2666,'Vols additionnels'!$D$7:$D$66,$F2666,'Vols additionnels'!$B$7:$B$66,$D2666)</f>
        <v>0</v>
      </c>
      <c r="H2666" s="135" t="n">
        <f aca="false">$G2666*'Analyse capacite'!$F$7</f>
        <v>0</v>
      </c>
      <c r="I2666" s="135" t="n">
        <f aca="false">$G2666*'Analyse capacite'!$C$7</f>
        <v>0</v>
      </c>
      <c r="J2666" s="135" t="n">
        <f aca="false">$G2666*'Analyse capacite'!$D$7</f>
        <v>0</v>
      </c>
      <c r="K2666" s="135" t="n">
        <f aca="false">$G2666*'Analyse capacite'!$E$7</f>
        <v>0</v>
      </c>
    </row>
    <row r="2667" customFormat="false" ht="15" hidden="false" customHeight="false" outlineLevel="0" collapsed="false">
      <c r="B2667" s="130" t="n">
        <v>2027</v>
      </c>
      <c r="C2667" s="131" t="s">
        <v>248</v>
      </c>
      <c r="D2667" s="132" t="n">
        <v>46551</v>
      </c>
      <c r="E2667" s="131" t="s">
        <v>62</v>
      </c>
      <c r="F2667" s="133" t="s">
        <v>19</v>
      </c>
      <c r="G2667" s="134" t="n">
        <f aca="false">LEN('Saisie programme'!$J$125)+SUMIFS('Vols additionnels'!$E$7:$E$66,'Vols additionnels'!$C$7:$C$66,$E2667,'Vols additionnels'!$D$7:$D$66,$F2667,'Vols additionnels'!$B$7:$B$66,$D2667)</f>
        <v>0</v>
      </c>
      <c r="H2667" s="135" t="n">
        <f aca="false">$G2667*'Analyse capacite'!$F$8</f>
        <v>0</v>
      </c>
      <c r="I2667" s="135" t="n">
        <f aca="false">$G2667*'Analyse capacite'!$C$8</f>
        <v>0</v>
      </c>
      <c r="J2667" s="135" t="n">
        <f aca="false">$G2667*'Analyse capacite'!$D$8</f>
        <v>0</v>
      </c>
      <c r="K2667" s="135" t="n">
        <f aca="false">$G2667*'Analyse capacite'!$E$8</f>
        <v>0</v>
      </c>
    </row>
    <row r="2668" customFormat="false" ht="15" hidden="false" customHeight="false" outlineLevel="0" collapsed="false">
      <c r="B2668" s="130" t="n">
        <v>2027</v>
      </c>
      <c r="C2668" s="131" t="s">
        <v>248</v>
      </c>
      <c r="D2668" s="132" t="n">
        <v>46551</v>
      </c>
      <c r="E2668" s="131" t="s">
        <v>62</v>
      </c>
      <c r="F2668" s="133" t="s">
        <v>24</v>
      </c>
      <c r="G2668" s="134" t="n">
        <f aca="false">LEN('Saisie programme'!$J$126)+SUMIFS('Vols additionnels'!$E$7:$E$66,'Vols additionnels'!$C$7:$C$66,$E2668,'Vols additionnels'!$D$7:$D$66,$F2668,'Vols additionnels'!$B$7:$B$66,$D2668)</f>
        <v>1</v>
      </c>
      <c r="H2668" s="135" t="n">
        <f aca="false">$G2668*'Analyse capacite'!$F$9</f>
        <v>174</v>
      </c>
      <c r="I2668" s="135" t="n">
        <f aca="false">$G2668*'Analyse capacite'!$C$9</f>
        <v>0</v>
      </c>
      <c r="J2668" s="135" t="n">
        <f aca="false">$G2668*'Analyse capacite'!$D$9</f>
        <v>12</v>
      </c>
      <c r="K2668" s="135" t="n">
        <f aca="false">$G2668*'Analyse capacite'!$E$9</f>
        <v>162</v>
      </c>
    </row>
    <row r="2669" customFormat="false" ht="15" hidden="false" customHeight="false" outlineLevel="0" collapsed="false">
      <c r="B2669" s="130" t="n">
        <v>2027</v>
      </c>
      <c r="C2669" s="131" t="s">
        <v>248</v>
      </c>
      <c r="D2669" s="132" t="n">
        <v>46552</v>
      </c>
      <c r="E2669" s="131" t="s">
        <v>12</v>
      </c>
      <c r="F2669" s="133" t="s">
        <v>11</v>
      </c>
      <c r="G2669" s="134" t="n">
        <f aca="false">LEN('Saisie programme'!$D$91)+SUMIFS('Vols additionnels'!$E$7:$E$66,'Vols additionnels'!$C$7:$C$66,$E2669,'Vols additionnels'!$D$7:$D$66,$F2669,'Vols additionnels'!$B$7:$B$66,$D2669)</f>
        <v>1</v>
      </c>
      <c r="H2669" s="135" t="n">
        <f aca="false">$G2669*'Analyse capacite'!$F$7</f>
        <v>438</v>
      </c>
      <c r="I2669" s="135" t="n">
        <f aca="false">$G2669*'Analyse capacite'!$C$7</f>
        <v>14</v>
      </c>
      <c r="J2669" s="135" t="n">
        <f aca="false">$G2669*'Analyse capacite'!$D$7</f>
        <v>40</v>
      </c>
      <c r="K2669" s="135" t="n">
        <f aca="false">$G2669*'Analyse capacite'!$E$7</f>
        <v>384</v>
      </c>
    </row>
    <row r="2670" customFormat="false" ht="15" hidden="false" customHeight="false" outlineLevel="0" collapsed="false">
      <c r="B2670" s="130" t="n">
        <v>2027</v>
      </c>
      <c r="C2670" s="131" t="s">
        <v>248</v>
      </c>
      <c r="D2670" s="132" t="n">
        <v>46552</v>
      </c>
      <c r="E2670" s="131" t="s">
        <v>12</v>
      </c>
      <c r="F2670" s="133" t="s">
        <v>19</v>
      </c>
      <c r="G2670" s="134" t="n">
        <f aca="false">LEN('Saisie programme'!$D$92)+SUMIFS('Vols additionnels'!$E$7:$E$66,'Vols additionnels'!$C$7:$C$66,$E2670,'Vols additionnels'!$D$7:$D$66,$F2670,'Vols additionnels'!$B$7:$B$66,$D2670)</f>
        <v>1</v>
      </c>
      <c r="H2670" s="135" t="n">
        <f aca="false">$G2670*'Analyse capacite'!$F$8</f>
        <v>262</v>
      </c>
      <c r="I2670" s="135" t="n">
        <f aca="false">$G2670*'Analyse capacite'!$C$8</f>
        <v>18</v>
      </c>
      <c r="J2670" s="135" t="n">
        <f aca="false">$G2670*'Analyse capacite'!$D$8</f>
        <v>0</v>
      </c>
      <c r="K2670" s="135" t="n">
        <f aca="false">$G2670*'Analyse capacite'!$E$8</f>
        <v>244</v>
      </c>
    </row>
    <row r="2671" customFormat="false" ht="15" hidden="false" customHeight="false" outlineLevel="0" collapsed="false">
      <c r="B2671" s="130" t="n">
        <v>2027</v>
      </c>
      <c r="C2671" s="131" t="s">
        <v>248</v>
      </c>
      <c r="D2671" s="132" t="n">
        <v>46552</v>
      </c>
      <c r="E2671" s="131" t="s">
        <v>12</v>
      </c>
      <c r="F2671" s="133" t="s">
        <v>24</v>
      </c>
      <c r="G2671" s="134" t="n">
        <f aca="false">LEN('Saisie programme'!$D$93)+SUMIFS('Vols additionnels'!$E$7:$E$66,'Vols additionnels'!$C$7:$C$66,$E2671,'Vols additionnels'!$D$7:$D$66,$F2671,'Vols additionnels'!$B$7:$B$66,$D2671)</f>
        <v>2</v>
      </c>
      <c r="H2671" s="135" t="n">
        <f aca="false">$G2671*'Analyse capacite'!$F$9</f>
        <v>348</v>
      </c>
      <c r="I2671" s="135" t="n">
        <f aca="false">$G2671*'Analyse capacite'!$C$9</f>
        <v>0</v>
      </c>
      <c r="J2671" s="135" t="n">
        <f aca="false">$G2671*'Analyse capacite'!$D$9</f>
        <v>24</v>
      </c>
      <c r="K2671" s="135" t="n">
        <f aca="false">$G2671*'Analyse capacite'!$E$9</f>
        <v>324</v>
      </c>
    </row>
    <row r="2672" customFormat="false" ht="15" hidden="false" customHeight="false" outlineLevel="0" collapsed="false">
      <c r="B2672" s="130" t="n">
        <v>2027</v>
      </c>
      <c r="C2672" s="131" t="s">
        <v>248</v>
      </c>
      <c r="D2672" s="132" t="n">
        <v>46552</v>
      </c>
      <c r="E2672" s="131" t="s">
        <v>20</v>
      </c>
      <c r="F2672" s="133" t="s">
        <v>11</v>
      </c>
      <c r="G2672" s="134" t="n">
        <f aca="false">LEN('Saisie programme'!$D$94)+SUMIFS('Vols additionnels'!$E$7:$E$66,'Vols additionnels'!$C$7:$C$66,$E2672,'Vols additionnels'!$D$7:$D$66,$F2672,'Vols additionnels'!$B$7:$B$66,$D2672)</f>
        <v>0</v>
      </c>
      <c r="H2672" s="135" t="n">
        <f aca="false">$G2672*'Analyse capacite'!$F$7</f>
        <v>0</v>
      </c>
      <c r="I2672" s="135" t="n">
        <f aca="false">$G2672*'Analyse capacite'!$C$7</f>
        <v>0</v>
      </c>
      <c r="J2672" s="135" t="n">
        <f aca="false">$G2672*'Analyse capacite'!$D$7</f>
        <v>0</v>
      </c>
      <c r="K2672" s="135" t="n">
        <f aca="false">$G2672*'Analyse capacite'!$E$7</f>
        <v>0</v>
      </c>
    </row>
    <row r="2673" customFormat="false" ht="15" hidden="false" customHeight="false" outlineLevel="0" collapsed="false">
      <c r="B2673" s="130" t="n">
        <v>2027</v>
      </c>
      <c r="C2673" s="131" t="s">
        <v>248</v>
      </c>
      <c r="D2673" s="132" t="n">
        <v>46552</v>
      </c>
      <c r="E2673" s="131" t="s">
        <v>20</v>
      </c>
      <c r="F2673" s="133" t="s">
        <v>19</v>
      </c>
      <c r="G2673" s="134" t="n">
        <f aca="false">LEN('Saisie programme'!$D$95)+SUMIFS('Vols additionnels'!$E$7:$E$66,'Vols additionnels'!$C$7:$C$66,$E2673,'Vols additionnels'!$D$7:$D$66,$F2673,'Vols additionnels'!$B$7:$B$66,$D2673)</f>
        <v>0</v>
      </c>
      <c r="H2673" s="135" t="n">
        <f aca="false">$G2673*'Analyse capacite'!$F$8</f>
        <v>0</v>
      </c>
      <c r="I2673" s="135" t="n">
        <f aca="false">$G2673*'Analyse capacite'!$C$8</f>
        <v>0</v>
      </c>
      <c r="J2673" s="135" t="n">
        <f aca="false">$G2673*'Analyse capacite'!$D$8</f>
        <v>0</v>
      </c>
      <c r="K2673" s="135" t="n">
        <f aca="false">$G2673*'Analyse capacite'!$E$8</f>
        <v>0</v>
      </c>
    </row>
    <row r="2674" customFormat="false" ht="15" hidden="false" customHeight="false" outlineLevel="0" collapsed="false">
      <c r="B2674" s="130" t="n">
        <v>2027</v>
      </c>
      <c r="C2674" s="131" t="s">
        <v>248</v>
      </c>
      <c r="D2674" s="132" t="n">
        <v>46552</v>
      </c>
      <c r="E2674" s="131" t="s">
        <v>20</v>
      </c>
      <c r="F2674" s="133" t="s">
        <v>24</v>
      </c>
      <c r="G2674" s="134" t="n">
        <f aca="false">LEN('Saisie programme'!$D$96)+SUMIFS('Vols additionnels'!$E$7:$E$66,'Vols additionnels'!$C$7:$C$66,$E2674,'Vols additionnels'!$D$7:$D$66,$F2674,'Vols additionnels'!$B$7:$B$66,$D2674)</f>
        <v>0</v>
      </c>
      <c r="H2674" s="135" t="n">
        <f aca="false">$G2674*'Analyse capacite'!$F$9</f>
        <v>0</v>
      </c>
      <c r="I2674" s="135" t="n">
        <f aca="false">$G2674*'Analyse capacite'!$C$9</f>
        <v>0</v>
      </c>
      <c r="J2674" s="135" t="n">
        <f aca="false">$G2674*'Analyse capacite'!$D$9</f>
        <v>0</v>
      </c>
      <c r="K2674" s="135" t="n">
        <f aca="false">$G2674*'Analyse capacite'!$E$9</f>
        <v>0</v>
      </c>
    </row>
    <row r="2675" customFormat="false" ht="15" hidden="false" customHeight="false" outlineLevel="0" collapsed="false">
      <c r="B2675" s="130" t="n">
        <v>2027</v>
      </c>
      <c r="C2675" s="131" t="s">
        <v>248</v>
      </c>
      <c r="D2675" s="132" t="n">
        <v>46552</v>
      </c>
      <c r="E2675" s="131" t="s">
        <v>25</v>
      </c>
      <c r="F2675" s="133" t="s">
        <v>11</v>
      </c>
      <c r="G2675" s="134" t="n">
        <f aca="false">LEN('Saisie programme'!$D$97)+SUMIFS('Vols additionnels'!$E$7:$E$66,'Vols additionnels'!$C$7:$C$66,$E2675,'Vols additionnels'!$D$7:$D$66,$F2675,'Vols additionnels'!$B$7:$B$66,$D2675)</f>
        <v>0</v>
      </c>
      <c r="H2675" s="135" t="n">
        <f aca="false">$G2675*'Analyse capacite'!$F$7</f>
        <v>0</v>
      </c>
      <c r="I2675" s="135" t="n">
        <f aca="false">$G2675*'Analyse capacite'!$C$7</f>
        <v>0</v>
      </c>
      <c r="J2675" s="135" t="n">
        <f aca="false">$G2675*'Analyse capacite'!$D$7</f>
        <v>0</v>
      </c>
      <c r="K2675" s="135" t="n">
        <f aca="false">$G2675*'Analyse capacite'!$E$7</f>
        <v>0</v>
      </c>
    </row>
    <row r="2676" customFormat="false" ht="15" hidden="false" customHeight="false" outlineLevel="0" collapsed="false">
      <c r="B2676" s="130" t="n">
        <v>2027</v>
      </c>
      <c r="C2676" s="131" t="s">
        <v>248</v>
      </c>
      <c r="D2676" s="132" t="n">
        <v>46552</v>
      </c>
      <c r="E2676" s="131" t="s">
        <v>25</v>
      </c>
      <c r="F2676" s="133" t="s">
        <v>19</v>
      </c>
      <c r="G2676" s="134" t="n">
        <f aca="false">LEN('Saisie programme'!$D$98)+SUMIFS('Vols additionnels'!$E$7:$E$66,'Vols additionnels'!$C$7:$C$66,$E2676,'Vols additionnels'!$D$7:$D$66,$F2676,'Vols additionnels'!$B$7:$B$66,$D2676)</f>
        <v>0</v>
      </c>
      <c r="H2676" s="135" t="n">
        <f aca="false">$G2676*'Analyse capacite'!$F$8</f>
        <v>0</v>
      </c>
      <c r="I2676" s="135" t="n">
        <f aca="false">$G2676*'Analyse capacite'!$C$8</f>
        <v>0</v>
      </c>
      <c r="J2676" s="135" t="n">
        <f aca="false">$G2676*'Analyse capacite'!$D$8</f>
        <v>0</v>
      </c>
      <c r="K2676" s="135" t="n">
        <f aca="false">$G2676*'Analyse capacite'!$E$8</f>
        <v>0</v>
      </c>
    </row>
    <row r="2677" customFormat="false" ht="15" hidden="false" customHeight="false" outlineLevel="0" collapsed="false">
      <c r="B2677" s="130" t="n">
        <v>2027</v>
      </c>
      <c r="C2677" s="131" t="s">
        <v>248</v>
      </c>
      <c r="D2677" s="132" t="n">
        <v>46552</v>
      </c>
      <c r="E2677" s="131" t="s">
        <v>25</v>
      </c>
      <c r="F2677" s="133" t="s">
        <v>24</v>
      </c>
      <c r="G2677" s="134" t="n">
        <f aca="false">LEN('Saisie programme'!$D$99)+SUMIFS('Vols additionnels'!$E$7:$E$66,'Vols additionnels'!$C$7:$C$66,$E2677,'Vols additionnels'!$D$7:$D$66,$F2677,'Vols additionnels'!$B$7:$B$66,$D2677)</f>
        <v>0</v>
      </c>
      <c r="H2677" s="135" t="n">
        <f aca="false">$G2677*'Analyse capacite'!$F$9</f>
        <v>0</v>
      </c>
      <c r="I2677" s="135" t="n">
        <f aca="false">$G2677*'Analyse capacite'!$C$9</f>
        <v>0</v>
      </c>
      <c r="J2677" s="135" t="n">
        <f aca="false">$G2677*'Analyse capacite'!$D$9</f>
        <v>0</v>
      </c>
      <c r="K2677" s="135" t="n">
        <f aca="false">$G2677*'Analyse capacite'!$E$9</f>
        <v>0</v>
      </c>
    </row>
    <row r="2678" customFormat="false" ht="15" hidden="false" customHeight="false" outlineLevel="0" collapsed="false">
      <c r="B2678" s="130" t="n">
        <v>2027</v>
      </c>
      <c r="C2678" s="131" t="s">
        <v>248</v>
      </c>
      <c r="D2678" s="132" t="n">
        <v>46552</v>
      </c>
      <c r="E2678" s="131" t="s">
        <v>36</v>
      </c>
      <c r="F2678" s="133" t="s">
        <v>11</v>
      </c>
      <c r="G2678" s="134" t="n">
        <f aca="false">LEN('Saisie programme'!$D$100)+SUMIFS('Vols additionnels'!$E$7:$E$66,'Vols additionnels'!$C$7:$C$66,$E2678,'Vols additionnels'!$D$7:$D$66,$F2678,'Vols additionnels'!$B$7:$B$66,$D2678)</f>
        <v>0</v>
      </c>
      <c r="H2678" s="135" t="n">
        <f aca="false">$G2678*'Analyse capacite'!$F$7</f>
        <v>0</v>
      </c>
      <c r="I2678" s="135" t="n">
        <f aca="false">$G2678*'Analyse capacite'!$C$7</f>
        <v>0</v>
      </c>
      <c r="J2678" s="135" t="n">
        <f aca="false">$G2678*'Analyse capacite'!$D$7</f>
        <v>0</v>
      </c>
      <c r="K2678" s="135" t="n">
        <f aca="false">$G2678*'Analyse capacite'!$E$7</f>
        <v>0</v>
      </c>
    </row>
    <row r="2679" customFormat="false" ht="15" hidden="false" customHeight="false" outlineLevel="0" collapsed="false">
      <c r="B2679" s="130" t="n">
        <v>2027</v>
      </c>
      <c r="C2679" s="131" t="s">
        <v>248</v>
      </c>
      <c r="D2679" s="132" t="n">
        <v>46552</v>
      </c>
      <c r="E2679" s="131" t="s">
        <v>36</v>
      </c>
      <c r="F2679" s="133" t="s">
        <v>19</v>
      </c>
      <c r="G2679" s="134" t="n">
        <f aca="false">LEN('Saisie programme'!$D$101)+SUMIFS('Vols additionnels'!$E$7:$E$66,'Vols additionnels'!$C$7:$C$66,$E2679,'Vols additionnels'!$D$7:$D$66,$F2679,'Vols additionnels'!$B$7:$B$66,$D2679)</f>
        <v>0</v>
      </c>
      <c r="H2679" s="135" t="n">
        <f aca="false">$G2679*'Analyse capacite'!$F$8</f>
        <v>0</v>
      </c>
      <c r="I2679" s="135" t="n">
        <f aca="false">$G2679*'Analyse capacite'!$C$8</f>
        <v>0</v>
      </c>
      <c r="J2679" s="135" t="n">
        <f aca="false">$G2679*'Analyse capacite'!$D$8</f>
        <v>0</v>
      </c>
      <c r="K2679" s="135" t="n">
        <f aca="false">$G2679*'Analyse capacite'!$E$8</f>
        <v>0</v>
      </c>
    </row>
    <row r="2680" customFormat="false" ht="15" hidden="false" customHeight="false" outlineLevel="0" collapsed="false">
      <c r="B2680" s="130" t="n">
        <v>2027</v>
      </c>
      <c r="C2680" s="131" t="s">
        <v>248</v>
      </c>
      <c r="D2680" s="132" t="n">
        <v>46552</v>
      </c>
      <c r="E2680" s="131" t="s">
        <v>36</v>
      </c>
      <c r="F2680" s="133" t="s">
        <v>24</v>
      </c>
      <c r="G2680" s="134" t="n">
        <f aca="false">LEN('Saisie programme'!$D$102)+SUMIFS('Vols additionnels'!$E$7:$E$66,'Vols additionnels'!$C$7:$C$66,$E2680,'Vols additionnels'!$D$7:$D$66,$F2680,'Vols additionnels'!$B$7:$B$66,$D2680)</f>
        <v>1</v>
      </c>
      <c r="H2680" s="135" t="n">
        <f aca="false">$G2680*'Analyse capacite'!$F$9</f>
        <v>174</v>
      </c>
      <c r="I2680" s="135" t="n">
        <f aca="false">$G2680*'Analyse capacite'!$C$9</f>
        <v>0</v>
      </c>
      <c r="J2680" s="135" t="n">
        <f aca="false">$G2680*'Analyse capacite'!$D$9</f>
        <v>12</v>
      </c>
      <c r="K2680" s="135" t="n">
        <f aca="false">$G2680*'Analyse capacite'!$E$9</f>
        <v>162</v>
      </c>
    </row>
    <row r="2681" customFormat="false" ht="15" hidden="false" customHeight="false" outlineLevel="0" collapsed="false">
      <c r="B2681" s="130" t="n">
        <v>2027</v>
      </c>
      <c r="C2681" s="131" t="s">
        <v>248</v>
      </c>
      <c r="D2681" s="132" t="n">
        <v>46552</v>
      </c>
      <c r="E2681" s="131" t="s">
        <v>40</v>
      </c>
      <c r="F2681" s="133" t="s">
        <v>11</v>
      </c>
      <c r="G2681" s="134" t="n">
        <f aca="false">LEN('Saisie programme'!$D$103)+SUMIFS('Vols additionnels'!$E$7:$E$66,'Vols additionnels'!$C$7:$C$66,$E2681,'Vols additionnels'!$D$7:$D$66,$F2681,'Vols additionnels'!$B$7:$B$66,$D2681)</f>
        <v>0</v>
      </c>
      <c r="H2681" s="135" t="n">
        <f aca="false">$G2681*'Analyse capacite'!$F$7</f>
        <v>0</v>
      </c>
      <c r="I2681" s="135" t="n">
        <f aca="false">$G2681*'Analyse capacite'!$C$7</f>
        <v>0</v>
      </c>
      <c r="J2681" s="135" t="n">
        <f aca="false">$G2681*'Analyse capacite'!$D$7</f>
        <v>0</v>
      </c>
      <c r="K2681" s="135" t="n">
        <f aca="false">$G2681*'Analyse capacite'!$E$7</f>
        <v>0</v>
      </c>
    </row>
    <row r="2682" customFormat="false" ht="15" hidden="false" customHeight="false" outlineLevel="0" collapsed="false">
      <c r="B2682" s="130" t="n">
        <v>2027</v>
      </c>
      <c r="C2682" s="131" t="s">
        <v>248</v>
      </c>
      <c r="D2682" s="132" t="n">
        <v>46552</v>
      </c>
      <c r="E2682" s="131" t="s">
        <v>40</v>
      </c>
      <c r="F2682" s="133" t="s">
        <v>19</v>
      </c>
      <c r="G2682" s="134" t="n">
        <f aca="false">LEN('Saisie programme'!$D$104)+SUMIFS('Vols additionnels'!$E$7:$E$66,'Vols additionnels'!$C$7:$C$66,$E2682,'Vols additionnels'!$D$7:$D$66,$F2682,'Vols additionnels'!$B$7:$B$66,$D2682)</f>
        <v>0</v>
      </c>
      <c r="H2682" s="135" t="n">
        <f aca="false">$G2682*'Analyse capacite'!$F$8</f>
        <v>0</v>
      </c>
      <c r="I2682" s="135" t="n">
        <f aca="false">$G2682*'Analyse capacite'!$C$8</f>
        <v>0</v>
      </c>
      <c r="J2682" s="135" t="n">
        <f aca="false">$G2682*'Analyse capacite'!$D$8</f>
        <v>0</v>
      </c>
      <c r="K2682" s="135" t="n">
        <f aca="false">$G2682*'Analyse capacite'!$E$8</f>
        <v>0</v>
      </c>
    </row>
    <row r="2683" customFormat="false" ht="15" hidden="false" customHeight="false" outlineLevel="0" collapsed="false">
      <c r="B2683" s="130" t="n">
        <v>2027</v>
      </c>
      <c r="C2683" s="131" t="s">
        <v>248</v>
      </c>
      <c r="D2683" s="132" t="n">
        <v>46552</v>
      </c>
      <c r="E2683" s="131" t="s">
        <v>40</v>
      </c>
      <c r="F2683" s="133" t="s">
        <v>24</v>
      </c>
      <c r="G2683" s="134" t="n">
        <f aca="false">LEN('Saisie programme'!$D$105)+SUMIFS('Vols additionnels'!$E$7:$E$66,'Vols additionnels'!$C$7:$C$66,$E2683,'Vols additionnels'!$D$7:$D$66,$F2683,'Vols additionnels'!$B$7:$B$66,$D2683)</f>
        <v>1</v>
      </c>
      <c r="H2683" s="135" t="n">
        <f aca="false">$G2683*'Analyse capacite'!$F$9</f>
        <v>174</v>
      </c>
      <c r="I2683" s="135" t="n">
        <f aca="false">$G2683*'Analyse capacite'!$C$9</f>
        <v>0</v>
      </c>
      <c r="J2683" s="135" t="n">
        <f aca="false">$G2683*'Analyse capacite'!$D$9</f>
        <v>12</v>
      </c>
      <c r="K2683" s="135" t="n">
        <f aca="false">$G2683*'Analyse capacite'!$E$9</f>
        <v>162</v>
      </c>
    </row>
    <row r="2684" customFormat="false" ht="15" hidden="false" customHeight="false" outlineLevel="0" collapsed="false">
      <c r="B2684" s="130" t="n">
        <v>2027</v>
      </c>
      <c r="C2684" s="131" t="s">
        <v>248</v>
      </c>
      <c r="D2684" s="132" t="n">
        <v>46552</v>
      </c>
      <c r="E2684" s="131" t="s">
        <v>14</v>
      </c>
      <c r="F2684" s="133" t="s">
        <v>11</v>
      </c>
      <c r="G2684" s="134" t="n">
        <f aca="false">LEN('Saisie programme'!$D$106)+SUMIFS('Vols additionnels'!$E$7:$E$66,'Vols additionnels'!$C$7:$C$66,$E2684,'Vols additionnels'!$D$7:$D$66,$F2684,'Vols additionnels'!$B$7:$B$66,$D2684)</f>
        <v>0</v>
      </c>
      <c r="H2684" s="135" t="n">
        <f aca="false">$G2684*'Analyse capacite'!$F$7</f>
        <v>0</v>
      </c>
      <c r="I2684" s="135" t="n">
        <f aca="false">$G2684*'Analyse capacite'!$C$7</f>
        <v>0</v>
      </c>
      <c r="J2684" s="135" t="n">
        <f aca="false">$G2684*'Analyse capacite'!$D$7</f>
        <v>0</v>
      </c>
      <c r="K2684" s="135" t="n">
        <f aca="false">$G2684*'Analyse capacite'!$E$7</f>
        <v>0</v>
      </c>
    </row>
    <row r="2685" customFormat="false" ht="15" hidden="false" customHeight="false" outlineLevel="0" collapsed="false">
      <c r="B2685" s="130" t="n">
        <v>2027</v>
      </c>
      <c r="C2685" s="131" t="s">
        <v>248</v>
      </c>
      <c r="D2685" s="132" t="n">
        <v>46552</v>
      </c>
      <c r="E2685" s="131" t="s">
        <v>14</v>
      </c>
      <c r="F2685" s="133" t="s">
        <v>19</v>
      </c>
      <c r="G2685" s="134" t="n">
        <f aca="false">LEN('Saisie programme'!$D$107)+SUMIFS('Vols additionnels'!$E$7:$E$66,'Vols additionnels'!$C$7:$C$66,$E2685,'Vols additionnels'!$D$7:$D$66,$F2685,'Vols additionnels'!$B$7:$B$66,$D2685)</f>
        <v>0</v>
      </c>
      <c r="H2685" s="135" t="n">
        <f aca="false">$G2685*'Analyse capacite'!$F$8</f>
        <v>0</v>
      </c>
      <c r="I2685" s="135" t="n">
        <f aca="false">$G2685*'Analyse capacite'!$C$8</f>
        <v>0</v>
      </c>
      <c r="J2685" s="135" t="n">
        <f aca="false">$G2685*'Analyse capacite'!$D$8</f>
        <v>0</v>
      </c>
      <c r="K2685" s="135" t="n">
        <f aca="false">$G2685*'Analyse capacite'!$E$8</f>
        <v>0</v>
      </c>
    </row>
    <row r="2686" customFormat="false" ht="15" hidden="false" customHeight="false" outlineLevel="0" collapsed="false">
      <c r="B2686" s="130" t="n">
        <v>2027</v>
      </c>
      <c r="C2686" s="131" t="s">
        <v>248</v>
      </c>
      <c r="D2686" s="132" t="n">
        <v>46552</v>
      </c>
      <c r="E2686" s="131" t="s">
        <v>14</v>
      </c>
      <c r="F2686" s="133" t="s">
        <v>24</v>
      </c>
      <c r="G2686" s="134" t="n">
        <f aca="false">LEN('Saisie programme'!$D$108)+SUMIFS('Vols additionnels'!$E$7:$E$66,'Vols additionnels'!$C$7:$C$66,$E2686,'Vols additionnels'!$D$7:$D$66,$F2686,'Vols additionnels'!$B$7:$B$66,$D2686)</f>
        <v>1</v>
      </c>
      <c r="H2686" s="135" t="n">
        <f aca="false">$G2686*'Analyse capacite'!$F$9</f>
        <v>174</v>
      </c>
      <c r="I2686" s="135" t="n">
        <f aca="false">$G2686*'Analyse capacite'!$C$9</f>
        <v>0</v>
      </c>
      <c r="J2686" s="135" t="n">
        <f aca="false">$G2686*'Analyse capacite'!$D$9</f>
        <v>12</v>
      </c>
      <c r="K2686" s="135" t="n">
        <f aca="false">$G2686*'Analyse capacite'!$E$9</f>
        <v>162</v>
      </c>
    </row>
    <row r="2687" customFormat="false" ht="15" hidden="false" customHeight="false" outlineLevel="0" collapsed="false">
      <c r="B2687" s="130" t="n">
        <v>2027</v>
      </c>
      <c r="C2687" s="131" t="s">
        <v>248</v>
      </c>
      <c r="D2687" s="132" t="n">
        <v>46552</v>
      </c>
      <c r="E2687" s="131" t="s">
        <v>46</v>
      </c>
      <c r="F2687" s="133" t="s">
        <v>11</v>
      </c>
      <c r="G2687" s="134" t="n">
        <f aca="false">LEN('Saisie programme'!$D$109)+SUMIFS('Vols additionnels'!$E$7:$E$66,'Vols additionnels'!$C$7:$C$66,$E2687,'Vols additionnels'!$D$7:$D$66,$F2687,'Vols additionnels'!$B$7:$B$66,$D2687)</f>
        <v>0</v>
      </c>
      <c r="H2687" s="135" t="n">
        <f aca="false">$G2687*'Analyse capacite'!$F$7</f>
        <v>0</v>
      </c>
      <c r="I2687" s="135" t="n">
        <f aca="false">$G2687*'Analyse capacite'!$C$7</f>
        <v>0</v>
      </c>
      <c r="J2687" s="135" t="n">
        <f aca="false">$G2687*'Analyse capacite'!$D$7</f>
        <v>0</v>
      </c>
      <c r="K2687" s="135" t="n">
        <f aca="false">$G2687*'Analyse capacite'!$E$7</f>
        <v>0</v>
      </c>
    </row>
    <row r="2688" customFormat="false" ht="15" hidden="false" customHeight="false" outlineLevel="0" collapsed="false">
      <c r="B2688" s="130" t="n">
        <v>2027</v>
      </c>
      <c r="C2688" s="131" t="s">
        <v>248</v>
      </c>
      <c r="D2688" s="132" t="n">
        <v>46552</v>
      </c>
      <c r="E2688" s="131" t="s">
        <v>46</v>
      </c>
      <c r="F2688" s="133" t="s">
        <v>19</v>
      </c>
      <c r="G2688" s="134" t="n">
        <f aca="false">LEN('Saisie programme'!$D$110)+SUMIFS('Vols additionnels'!$E$7:$E$66,'Vols additionnels'!$C$7:$C$66,$E2688,'Vols additionnels'!$D$7:$D$66,$F2688,'Vols additionnels'!$B$7:$B$66,$D2688)</f>
        <v>0</v>
      </c>
      <c r="H2688" s="135" t="n">
        <f aca="false">$G2688*'Analyse capacite'!$F$8</f>
        <v>0</v>
      </c>
      <c r="I2688" s="135" t="n">
        <f aca="false">$G2688*'Analyse capacite'!$C$8</f>
        <v>0</v>
      </c>
      <c r="J2688" s="135" t="n">
        <f aca="false">$G2688*'Analyse capacite'!$D$8</f>
        <v>0</v>
      </c>
      <c r="K2688" s="135" t="n">
        <f aca="false">$G2688*'Analyse capacite'!$E$8</f>
        <v>0</v>
      </c>
    </row>
    <row r="2689" customFormat="false" ht="15" hidden="false" customHeight="false" outlineLevel="0" collapsed="false">
      <c r="B2689" s="130" t="n">
        <v>2027</v>
      </c>
      <c r="C2689" s="131" t="s">
        <v>248</v>
      </c>
      <c r="D2689" s="132" t="n">
        <v>46552</v>
      </c>
      <c r="E2689" s="131" t="s">
        <v>46</v>
      </c>
      <c r="F2689" s="133" t="s">
        <v>24</v>
      </c>
      <c r="G2689" s="134" t="n">
        <f aca="false">LEN('Saisie programme'!$D$111)+SUMIFS('Vols additionnels'!$E$7:$E$66,'Vols additionnels'!$C$7:$C$66,$E2689,'Vols additionnels'!$D$7:$D$66,$F2689,'Vols additionnels'!$B$7:$B$66,$D2689)</f>
        <v>0</v>
      </c>
      <c r="H2689" s="135" t="n">
        <f aca="false">$G2689*'Analyse capacite'!$F$9</f>
        <v>0</v>
      </c>
      <c r="I2689" s="135" t="n">
        <f aca="false">$G2689*'Analyse capacite'!$C$9</f>
        <v>0</v>
      </c>
      <c r="J2689" s="135" t="n">
        <f aca="false">$G2689*'Analyse capacite'!$D$9</f>
        <v>0</v>
      </c>
      <c r="K2689" s="135" t="n">
        <f aca="false">$G2689*'Analyse capacite'!$E$9</f>
        <v>0</v>
      </c>
    </row>
    <row r="2690" customFormat="false" ht="15" hidden="false" customHeight="false" outlineLevel="0" collapsed="false">
      <c r="B2690" s="130" t="n">
        <v>2027</v>
      </c>
      <c r="C2690" s="131" t="s">
        <v>248</v>
      </c>
      <c r="D2690" s="132" t="n">
        <v>46552</v>
      </c>
      <c r="E2690" s="131" t="s">
        <v>49</v>
      </c>
      <c r="F2690" s="133" t="s">
        <v>11</v>
      </c>
      <c r="G2690" s="134" t="n">
        <f aca="false">LEN('Saisie programme'!$D$112)+SUMIFS('Vols additionnels'!$E$7:$E$66,'Vols additionnels'!$C$7:$C$66,$E2690,'Vols additionnels'!$D$7:$D$66,$F2690,'Vols additionnels'!$B$7:$B$66,$D2690)</f>
        <v>0</v>
      </c>
      <c r="H2690" s="135" t="n">
        <f aca="false">$G2690*'Analyse capacite'!$F$7</f>
        <v>0</v>
      </c>
      <c r="I2690" s="135" t="n">
        <f aca="false">$G2690*'Analyse capacite'!$C$7</f>
        <v>0</v>
      </c>
      <c r="J2690" s="135" t="n">
        <f aca="false">$G2690*'Analyse capacite'!$D$7</f>
        <v>0</v>
      </c>
      <c r="K2690" s="135" t="n">
        <f aca="false">$G2690*'Analyse capacite'!$E$7</f>
        <v>0</v>
      </c>
    </row>
    <row r="2691" customFormat="false" ht="15" hidden="false" customHeight="false" outlineLevel="0" collapsed="false">
      <c r="B2691" s="130" t="n">
        <v>2027</v>
      </c>
      <c r="C2691" s="131" t="s">
        <v>248</v>
      </c>
      <c r="D2691" s="132" t="n">
        <v>46552</v>
      </c>
      <c r="E2691" s="131" t="s">
        <v>49</v>
      </c>
      <c r="F2691" s="133" t="s">
        <v>19</v>
      </c>
      <c r="G2691" s="134" t="n">
        <f aca="false">LEN('Saisie programme'!$D$113)+SUMIFS('Vols additionnels'!$E$7:$E$66,'Vols additionnels'!$C$7:$C$66,$E2691,'Vols additionnels'!$D$7:$D$66,$F2691,'Vols additionnels'!$B$7:$B$66,$D2691)</f>
        <v>1</v>
      </c>
      <c r="H2691" s="135" t="n">
        <f aca="false">$G2691*'Analyse capacite'!$F$8</f>
        <v>262</v>
      </c>
      <c r="I2691" s="135" t="n">
        <f aca="false">$G2691*'Analyse capacite'!$C$8</f>
        <v>18</v>
      </c>
      <c r="J2691" s="135" t="n">
        <f aca="false">$G2691*'Analyse capacite'!$D$8</f>
        <v>0</v>
      </c>
      <c r="K2691" s="135" t="n">
        <f aca="false">$G2691*'Analyse capacite'!$E$8</f>
        <v>244</v>
      </c>
    </row>
    <row r="2692" customFormat="false" ht="15" hidden="false" customHeight="false" outlineLevel="0" collapsed="false">
      <c r="B2692" s="130" t="n">
        <v>2027</v>
      </c>
      <c r="C2692" s="131" t="s">
        <v>248</v>
      </c>
      <c r="D2692" s="132" t="n">
        <v>46552</v>
      </c>
      <c r="E2692" s="131" t="s">
        <v>49</v>
      </c>
      <c r="F2692" s="133" t="s">
        <v>24</v>
      </c>
      <c r="G2692" s="134" t="n">
        <f aca="false">LEN('Saisie programme'!$D$114)+SUMIFS('Vols additionnels'!$E$7:$E$66,'Vols additionnels'!$C$7:$C$66,$E2692,'Vols additionnels'!$D$7:$D$66,$F2692,'Vols additionnels'!$B$7:$B$66,$D2692)</f>
        <v>0</v>
      </c>
      <c r="H2692" s="135" t="n">
        <f aca="false">$G2692*'Analyse capacite'!$F$9</f>
        <v>0</v>
      </c>
      <c r="I2692" s="135" t="n">
        <f aca="false">$G2692*'Analyse capacite'!$C$9</f>
        <v>0</v>
      </c>
      <c r="J2692" s="135" t="n">
        <f aca="false">$G2692*'Analyse capacite'!$D$9</f>
        <v>0</v>
      </c>
      <c r="K2692" s="135" t="n">
        <f aca="false">$G2692*'Analyse capacite'!$E$9</f>
        <v>0</v>
      </c>
    </row>
    <row r="2693" customFormat="false" ht="15" hidden="false" customHeight="false" outlineLevel="0" collapsed="false">
      <c r="B2693" s="130" t="n">
        <v>2027</v>
      </c>
      <c r="C2693" s="131" t="s">
        <v>248</v>
      </c>
      <c r="D2693" s="132" t="n">
        <v>46552</v>
      </c>
      <c r="E2693" s="131" t="s">
        <v>53</v>
      </c>
      <c r="F2693" s="133" t="s">
        <v>11</v>
      </c>
      <c r="G2693" s="134" t="n">
        <f aca="false">LEN('Saisie programme'!$D$115)+SUMIFS('Vols additionnels'!$E$7:$E$66,'Vols additionnels'!$C$7:$C$66,$E2693,'Vols additionnels'!$D$7:$D$66,$F2693,'Vols additionnels'!$B$7:$B$66,$D2693)</f>
        <v>0</v>
      </c>
      <c r="H2693" s="135" t="n">
        <f aca="false">$G2693*'Analyse capacite'!$F$7</f>
        <v>0</v>
      </c>
      <c r="I2693" s="135" t="n">
        <f aca="false">$G2693*'Analyse capacite'!$C$7</f>
        <v>0</v>
      </c>
      <c r="J2693" s="135" t="n">
        <f aca="false">$G2693*'Analyse capacite'!$D$7</f>
        <v>0</v>
      </c>
      <c r="K2693" s="135" t="n">
        <f aca="false">$G2693*'Analyse capacite'!$E$7</f>
        <v>0</v>
      </c>
    </row>
    <row r="2694" customFormat="false" ht="15" hidden="false" customHeight="false" outlineLevel="0" collapsed="false">
      <c r="B2694" s="130" t="n">
        <v>2027</v>
      </c>
      <c r="C2694" s="131" t="s">
        <v>248</v>
      </c>
      <c r="D2694" s="132" t="n">
        <v>46552</v>
      </c>
      <c r="E2694" s="131" t="s">
        <v>53</v>
      </c>
      <c r="F2694" s="133" t="s">
        <v>19</v>
      </c>
      <c r="G2694" s="134" t="n">
        <f aca="false">LEN('Saisie programme'!$D$116)+SUMIFS('Vols additionnels'!$E$7:$E$66,'Vols additionnels'!$C$7:$C$66,$E2694,'Vols additionnels'!$D$7:$D$66,$F2694,'Vols additionnels'!$B$7:$B$66,$D2694)</f>
        <v>0</v>
      </c>
      <c r="H2694" s="135" t="n">
        <f aca="false">$G2694*'Analyse capacite'!$F$8</f>
        <v>0</v>
      </c>
      <c r="I2694" s="135" t="n">
        <f aca="false">$G2694*'Analyse capacite'!$C$8</f>
        <v>0</v>
      </c>
      <c r="J2694" s="135" t="n">
        <f aca="false">$G2694*'Analyse capacite'!$D$8</f>
        <v>0</v>
      </c>
      <c r="K2694" s="135" t="n">
        <f aca="false">$G2694*'Analyse capacite'!$E$8</f>
        <v>0</v>
      </c>
    </row>
    <row r="2695" customFormat="false" ht="15" hidden="false" customHeight="false" outlineLevel="0" collapsed="false">
      <c r="B2695" s="130" t="n">
        <v>2027</v>
      </c>
      <c r="C2695" s="131" t="s">
        <v>248</v>
      </c>
      <c r="D2695" s="132" t="n">
        <v>46552</v>
      </c>
      <c r="E2695" s="131" t="s">
        <v>53</v>
      </c>
      <c r="F2695" s="133" t="s">
        <v>24</v>
      </c>
      <c r="G2695" s="134" t="n">
        <f aca="false">LEN('Saisie programme'!$D$117)+SUMIFS('Vols additionnels'!$E$7:$E$66,'Vols additionnels'!$C$7:$C$66,$E2695,'Vols additionnels'!$D$7:$D$66,$F2695,'Vols additionnels'!$B$7:$B$66,$D2695)</f>
        <v>0</v>
      </c>
      <c r="H2695" s="135" t="n">
        <f aca="false">$G2695*'Analyse capacite'!$F$9</f>
        <v>0</v>
      </c>
      <c r="I2695" s="135" t="n">
        <f aca="false">$G2695*'Analyse capacite'!$C$9</f>
        <v>0</v>
      </c>
      <c r="J2695" s="135" t="n">
        <f aca="false">$G2695*'Analyse capacite'!$D$9</f>
        <v>0</v>
      </c>
      <c r="K2695" s="135" t="n">
        <f aca="false">$G2695*'Analyse capacite'!$E$9</f>
        <v>0</v>
      </c>
    </row>
    <row r="2696" customFormat="false" ht="15" hidden="false" customHeight="false" outlineLevel="0" collapsed="false">
      <c r="B2696" s="130" t="n">
        <v>2027</v>
      </c>
      <c r="C2696" s="131" t="s">
        <v>248</v>
      </c>
      <c r="D2696" s="132" t="n">
        <v>46552</v>
      </c>
      <c r="E2696" s="131" t="s">
        <v>56</v>
      </c>
      <c r="F2696" s="133" t="s">
        <v>11</v>
      </c>
      <c r="G2696" s="134" t="n">
        <f aca="false">LEN('Saisie programme'!$D$118)+SUMIFS('Vols additionnels'!$E$7:$E$66,'Vols additionnels'!$C$7:$C$66,$E2696,'Vols additionnels'!$D$7:$D$66,$F2696,'Vols additionnels'!$B$7:$B$66,$D2696)</f>
        <v>0</v>
      </c>
      <c r="H2696" s="135" t="n">
        <f aca="false">$G2696*'Analyse capacite'!$F$7</f>
        <v>0</v>
      </c>
      <c r="I2696" s="135" t="n">
        <f aca="false">$G2696*'Analyse capacite'!$C$7</f>
        <v>0</v>
      </c>
      <c r="J2696" s="135" t="n">
        <f aca="false">$G2696*'Analyse capacite'!$D$7</f>
        <v>0</v>
      </c>
      <c r="K2696" s="135" t="n">
        <f aca="false">$G2696*'Analyse capacite'!$E$7</f>
        <v>0</v>
      </c>
    </row>
    <row r="2697" customFormat="false" ht="15" hidden="false" customHeight="false" outlineLevel="0" collapsed="false">
      <c r="B2697" s="130" t="n">
        <v>2027</v>
      </c>
      <c r="C2697" s="131" t="s">
        <v>248</v>
      </c>
      <c r="D2697" s="132" t="n">
        <v>46552</v>
      </c>
      <c r="E2697" s="131" t="s">
        <v>56</v>
      </c>
      <c r="F2697" s="133" t="s">
        <v>19</v>
      </c>
      <c r="G2697" s="134" t="n">
        <f aca="false">LEN('Saisie programme'!$D$119)+SUMIFS('Vols additionnels'!$E$7:$E$66,'Vols additionnels'!$C$7:$C$66,$E2697,'Vols additionnels'!$D$7:$D$66,$F2697,'Vols additionnels'!$B$7:$B$66,$D2697)</f>
        <v>0</v>
      </c>
      <c r="H2697" s="135" t="n">
        <f aca="false">$G2697*'Analyse capacite'!$F$8</f>
        <v>0</v>
      </c>
      <c r="I2697" s="135" t="n">
        <f aca="false">$G2697*'Analyse capacite'!$C$8</f>
        <v>0</v>
      </c>
      <c r="J2697" s="135" t="n">
        <f aca="false">$G2697*'Analyse capacite'!$D$8</f>
        <v>0</v>
      </c>
      <c r="K2697" s="135" t="n">
        <f aca="false">$G2697*'Analyse capacite'!$E$8</f>
        <v>0</v>
      </c>
    </row>
    <row r="2698" customFormat="false" ht="15" hidden="false" customHeight="false" outlineLevel="0" collapsed="false">
      <c r="B2698" s="130" t="n">
        <v>2027</v>
      </c>
      <c r="C2698" s="131" t="s">
        <v>248</v>
      </c>
      <c r="D2698" s="132" t="n">
        <v>46552</v>
      </c>
      <c r="E2698" s="131" t="s">
        <v>56</v>
      </c>
      <c r="F2698" s="133" t="s">
        <v>24</v>
      </c>
      <c r="G2698" s="134" t="n">
        <f aca="false">LEN('Saisie programme'!$D$120)+SUMIFS('Vols additionnels'!$E$7:$E$66,'Vols additionnels'!$C$7:$C$66,$E2698,'Vols additionnels'!$D$7:$D$66,$F2698,'Vols additionnels'!$B$7:$B$66,$D2698)</f>
        <v>0</v>
      </c>
      <c r="H2698" s="135" t="n">
        <f aca="false">$G2698*'Analyse capacite'!$F$9</f>
        <v>0</v>
      </c>
      <c r="I2698" s="135" t="n">
        <f aca="false">$G2698*'Analyse capacite'!$C$9</f>
        <v>0</v>
      </c>
      <c r="J2698" s="135" t="n">
        <f aca="false">$G2698*'Analyse capacite'!$D$9</f>
        <v>0</v>
      </c>
      <c r="K2698" s="135" t="n">
        <f aca="false">$G2698*'Analyse capacite'!$E$9</f>
        <v>0</v>
      </c>
    </row>
    <row r="2699" customFormat="false" ht="15" hidden="false" customHeight="false" outlineLevel="0" collapsed="false">
      <c r="B2699" s="130" t="n">
        <v>2027</v>
      </c>
      <c r="C2699" s="131" t="s">
        <v>248</v>
      </c>
      <c r="D2699" s="132" t="n">
        <v>46552</v>
      </c>
      <c r="E2699" s="131" t="s">
        <v>59</v>
      </c>
      <c r="F2699" s="133" t="s">
        <v>11</v>
      </c>
      <c r="G2699" s="134" t="n">
        <f aca="false">LEN('Saisie programme'!$D$121)+SUMIFS('Vols additionnels'!$E$7:$E$66,'Vols additionnels'!$C$7:$C$66,$E2699,'Vols additionnels'!$D$7:$D$66,$F2699,'Vols additionnels'!$B$7:$B$66,$D2699)</f>
        <v>0</v>
      </c>
      <c r="H2699" s="135" t="n">
        <f aca="false">$G2699*'Analyse capacite'!$F$7</f>
        <v>0</v>
      </c>
      <c r="I2699" s="135" t="n">
        <f aca="false">$G2699*'Analyse capacite'!$C$7</f>
        <v>0</v>
      </c>
      <c r="J2699" s="135" t="n">
        <f aca="false">$G2699*'Analyse capacite'!$D$7</f>
        <v>0</v>
      </c>
      <c r="K2699" s="135" t="n">
        <f aca="false">$G2699*'Analyse capacite'!$E$7</f>
        <v>0</v>
      </c>
    </row>
    <row r="2700" customFormat="false" ht="15" hidden="false" customHeight="false" outlineLevel="0" collapsed="false">
      <c r="B2700" s="130" t="n">
        <v>2027</v>
      </c>
      <c r="C2700" s="131" t="s">
        <v>248</v>
      </c>
      <c r="D2700" s="132" t="n">
        <v>46552</v>
      </c>
      <c r="E2700" s="131" t="s">
        <v>59</v>
      </c>
      <c r="F2700" s="133" t="s">
        <v>19</v>
      </c>
      <c r="G2700" s="134" t="n">
        <f aca="false">LEN('Saisie programme'!$D$122)+SUMIFS('Vols additionnels'!$E$7:$E$66,'Vols additionnels'!$C$7:$C$66,$E2700,'Vols additionnels'!$D$7:$D$66,$F2700,'Vols additionnels'!$B$7:$B$66,$D2700)</f>
        <v>0</v>
      </c>
      <c r="H2700" s="135" t="n">
        <f aca="false">$G2700*'Analyse capacite'!$F$8</f>
        <v>0</v>
      </c>
      <c r="I2700" s="135" t="n">
        <f aca="false">$G2700*'Analyse capacite'!$C$8</f>
        <v>0</v>
      </c>
      <c r="J2700" s="135" t="n">
        <f aca="false">$G2700*'Analyse capacite'!$D$8</f>
        <v>0</v>
      </c>
      <c r="K2700" s="135" t="n">
        <f aca="false">$G2700*'Analyse capacite'!$E$8</f>
        <v>0</v>
      </c>
    </row>
    <row r="2701" customFormat="false" ht="15" hidden="false" customHeight="false" outlineLevel="0" collapsed="false">
      <c r="B2701" s="130" t="n">
        <v>2027</v>
      </c>
      <c r="C2701" s="131" t="s">
        <v>248</v>
      </c>
      <c r="D2701" s="132" t="n">
        <v>46552</v>
      </c>
      <c r="E2701" s="131" t="s">
        <v>59</v>
      </c>
      <c r="F2701" s="133" t="s">
        <v>24</v>
      </c>
      <c r="G2701" s="134" t="n">
        <f aca="false">LEN('Saisie programme'!$D$123)+SUMIFS('Vols additionnels'!$E$7:$E$66,'Vols additionnels'!$C$7:$C$66,$E2701,'Vols additionnels'!$D$7:$D$66,$F2701,'Vols additionnels'!$B$7:$B$66,$D2701)</f>
        <v>1</v>
      </c>
      <c r="H2701" s="135" t="n">
        <f aca="false">$G2701*'Analyse capacite'!$F$9</f>
        <v>174</v>
      </c>
      <c r="I2701" s="135" t="n">
        <f aca="false">$G2701*'Analyse capacite'!$C$9</f>
        <v>0</v>
      </c>
      <c r="J2701" s="135" t="n">
        <f aca="false">$G2701*'Analyse capacite'!$D$9</f>
        <v>12</v>
      </c>
      <c r="K2701" s="135" t="n">
        <f aca="false">$G2701*'Analyse capacite'!$E$9</f>
        <v>162</v>
      </c>
    </row>
    <row r="2702" customFormat="false" ht="15" hidden="false" customHeight="false" outlineLevel="0" collapsed="false">
      <c r="B2702" s="130" t="n">
        <v>2027</v>
      </c>
      <c r="C2702" s="131" t="s">
        <v>248</v>
      </c>
      <c r="D2702" s="132" t="n">
        <v>46552</v>
      </c>
      <c r="E2702" s="131" t="s">
        <v>62</v>
      </c>
      <c r="F2702" s="133" t="s">
        <v>11</v>
      </c>
      <c r="G2702" s="134" t="n">
        <f aca="false">LEN('Saisie programme'!$D$124)+SUMIFS('Vols additionnels'!$E$7:$E$66,'Vols additionnels'!$C$7:$C$66,$E2702,'Vols additionnels'!$D$7:$D$66,$F2702,'Vols additionnels'!$B$7:$B$66,$D2702)</f>
        <v>0</v>
      </c>
      <c r="H2702" s="135" t="n">
        <f aca="false">$G2702*'Analyse capacite'!$F$7</f>
        <v>0</v>
      </c>
      <c r="I2702" s="135" t="n">
        <f aca="false">$G2702*'Analyse capacite'!$C$7</f>
        <v>0</v>
      </c>
      <c r="J2702" s="135" t="n">
        <f aca="false">$G2702*'Analyse capacite'!$D$7</f>
        <v>0</v>
      </c>
      <c r="K2702" s="135" t="n">
        <f aca="false">$G2702*'Analyse capacite'!$E$7</f>
        <v>0</v>
      </c>
    </row>
    <row r="2703" customFormat="false" ht="15" hidden="false" customHeight="false" outlineLevel="0" collapsed="false">
      <c r="B2703" s="130" t="n">
        <v>2027</v>
      </c>
      <c r="C2703" s="131" t="s">
        <v>248</v>
      </c>
      <c r="D2703" s="132" t="n">
        <v>46552</v>
      </c>
      <c r="E2703" s="131" t="s">
        <v>62</v>
      </c>
      <c r="F2703" s="133" t="s">
        <v>19</v>
      </c>
      <c r="G2703" s="134" t="n">
        <f aca="false">LEN('Saisie programme'!$D$125)+SUMIFS('Vols additionnels'!$E$7:$E$66,'Vols additionnels'!$C$7:$C$66,$E2703,'Vols additionnels'!$D$7:$D$66,$F2703,'Vols additionnels'!$B$7:$B$66,$D2703)</f>
        <v>0</v>
      </c>
      <c r="H2703" s="135" t="n">
        <f aca="false">$G2703*'Analyse capacite'!$F$8</f>
        <v>0</v>
      </c>
      <c r="I2703" s="135" t="n">
        <f aca="false">$G2703*'Analyse capacite'!$C$8</f>
        <v>0</v>
      </c>
      <c r="J2703" s="135" t="n">
        <f aca="false">$G2703*'Analyse capacite'!$D$8</f>
        <v>0</v>
      </c>
      <c r="K2703" s="135" t="n">
        <f aca="false">$G2703*'Analyse capacite'!$E$8</f>
        <v>0</v>
      </c>
    </row>
    <row r="2704" customFormat="false" ht="15" hidden="false" customHeight="false" outlineLevel="0" collapsed="false">
      <c r="B2704" s="130" t="n">
        <v>2027</v>
      </c>
      <c r="C2704" s="131" t="s">
        <v>248</v>
      </c>
      <c r="D2704" s="132" t="n">
        <v>46552</v>
      </c>
      <c r="E2704" s="131" t="s">
        <v>62</v>
      </c>
      <c r="F2704" s="133" t="s">
        <v>24</v>
      </c>
      <c r="G2704" s="134" t="n">
        <f aca="false">LEN('Saisie programme'!$D$126)+SUMIFS('Vols additionnels'!$E$7:$E$66,'Vols additionnels'!$C$7:$C$66,$E2704,'Vols additionnels'!$D$7:$D$66,$F2704,'Vols additionnels'!$B$7:$B$66,$D2704)</f>
        <v>0</v>
      </c>
      <c r="H2704" s="135" t="n">
        <f aca="false">$G2704*'Analyse capacite'!$F$9</f>
        <v>0</v>
      </c>
      <c r="I2704" s="135" t="n">
        <f aca="false">$G2704*'Analyse capacite'!$C$9</f>
        <v>0</v>
      </c>
      <c r="J2704" s="135" t="n">
        <f aca="false">$G2704*'Analyse capacite'!$D$9</f>
        <v>0</v>
      </c>
      <c r="K2704" s="135" t="n">
        <f aca="false">$G2704*'Analyse capacite'!$E$9</f>
        <v>0</v>
      </c>
    </row>
    <row r="2705" customFormat="false" ht="15" hidden="false" customHeight="false" outlineLevel="0" collapsed="false">
      <c r="B2705" s="130" t="n">
        <v>2027</v>
      </c>
      <c r="C2705" s="131" t="s">
        <v>248</v>
      </c>
      <c r="D2705" s="132" t="n">
        <v>46553</v>
      </c>
      <c r="E2705" s="131" t="s">
        <v>12</v>
      </c>
      <c r="F2705" s="133" t="s">
        <v>11</v>
      </c>
      <c r="G2705" s="134" t="n">
        <f aca="false">LEN('Saisie programme'!$E$91)+SUMIFS('Vols additionnels'!$E$7:$E$66,'Vols additionnels'!$C$7:$C$66,$E2705,'Vols additionnels'!$D$7:$D$66,$F2705,'Vols additionnels'!$B$7:$B$66,$D2705)</f>
        <v>1</v>
      </c>
      <c r="H2705" s="135" t="n">
        <f aca="false">$G2705*'Analyse capacite'!$F$7</f>
        <v>438</v>
      </c>
      <c r="I2705" s="135" t="n">
        <f aca="false">$G2705*'Analyse capacite'!$C$7</f>
        <v>14</v>
      </c>
      <c r="J2705" s="135" t="n">
        <f aca="false">$G2705*'Analyse capacite'!$D$7</f>
        <v>40</v>
      </c>
      <c r="K2705" s="135" t="n">
        <f aca="false">$G2705*'Analyse capacite'!$E$7</f>
        <v>384</v>
      </c>
    </row>
    <row r="2706" customFormat="false" ht="15" hidden="false" customHeight="false" outlineLevel="0" collapsed="false">
      <c r="B2706" s="130" t="n">
        <v>2027</v>
      </c>
      <c r="C2706" s="131" t="s">
        <v>248</v>
      </c>
      <c r="D2706" s="132" t="n">
        <v>46553</v>
      </c>
      <c r="E2706" s="131" t="s">
        <v>12</v>
      </c>
      <c r="F2706" s="133" t="s">
        <v>19</v>
      </c>
      <c r="G2706" s="134" t="n">
        <f aca="false">LEN('Saisie programme'!$E$92)+SUMIFS('Vols additionnels'!$E$7:$E$66,'Vols additionnels'!$C$7:$C$66,$E2706,'Vols additionnels'!$D$7:$D$66,$F2706,'Vols additionnels'!$B$7:$B$66,$D2706)</f>
        <v>0</v>
      </c>
      <c r="H2706" s="135" t="n">
        <f aca="false">$G2706*'Analyse capacite'!$F$8</f>
        <v>0</v>
      </c>
      <c r="I2706" s="135" t="n">
        <f aca="false">$G2706*'Analyse capacite'!$C$8</f>
        <v>0</v>
      </c>
      <c r="J2706" s="135" t="n">
        <f aca="false">$G2706*'Analyse capacite'!$D$8</f>
        <v>0</v>
      </c>
      <c r="K2706" s="135" t="n">
        <f aca="false">$G2706*'Analyse capacite'!$E$8</f>
        <v>0</v>
      </c>
    </row>
    <row r="2707" customFormat="false" ht="15" hidden="false" customHeight="false" outlineLevel="0" collapsed="false">
      <c r="B2707" s="130" t="n">
        <v>2027</v>
      </c>
      <c r="C2707" s="131" t="s">
        <v>248</v>
      </c>
      <c r="D2707" s="132" t="n">
        <v>46553</v>
      </c>
      <c r="E2707" s="131" t="s">
        <v>12</v>
      </c>
      <c r="F2707" s="133" t="s">
        <v>24</v>
      </c>
      <c r="G2707" s="134" t="n">
        <f aca="false">LEN('Saisie programme'!$E$93)+SUMIFS('Vols additionnels'!$E$7:$E$66,'Vols additionnels'!$C$7:$C$66,$E2707,'Vols additionnels'!$D$7:$D$66,$F2707,'Vols additionnels'!$B$7:$B$66,$D2707)</f>
        <v>0</v>
      </c>
      <c r="H2707" s="135" t="n">
        <f aca="false">$G2707*'Analyse capacite'!$F$9</f>
        <v>0</v>
      </c>
      <c r="I2707" s="135" t="n">
        <f aca="false">$G2707*'Analyse capacite'!$C$9</f>
        <v>0</v>
      </c>
      <c r="J2707" s="135" t="n">
        <f aca="false">$G2707*'Analyse capacite'!$D$9</f>
        <v>0</v>
      </c>
      <c r="K2707" s="135" t="n">
        <f aca="false">$G2707*'Analyse capacite'!$E$9</f>
        <v>0</v>
      </c>
    </row>
    <row r="2708" customFormat="false" ht="15" hidden="false" customHeight="false" outlineLevel="0" collapsed="false">
      <c r="B2708" s="130" t="n">
        <v>2027</v>
      </c>
      <c r="C2708" s="131" t="s">
        <v>248</v>
      </c>
      <c r="D2708" s="132" t="n">
        <v>46553</v>
      </c>
      <c r="E2708" s="131" t="s">
        <v>20</v>
      </c>
      <c r="F2708" s="133" t="s">
        <v>11</v>
      </c>
      <c r="G2708" s="134" t="n">
        <f aca="false">LEN('Saisie programme'!$E$94)+SUMIFS('Vols additionnels'!$E$7:$E$66,'Vols additionnels'!$C$7:$C$66,$E2708,'Vols additionnels'!$D$7:$D$66,$F2708,'Vols additionnels'!$B$7:$B$66,$D2708)</f>
        <v>0</v>
      </c>
      <c r="H2708" s="135" t="n">
        <f aca="false">$G2708*'Analyse capacite'!$F$7</f>
        <v>0</v>
      </c>
      <c r="I2708" s="135" t="n">
        <f aca="false">$G2708*'Analyse capacite'!$C$7</f>
        <v>0</v>
      </c>
      <c r="J2708" s="135" t="n">
        <f aca="false">$G2708*'Analyse capacite'!$D$7</f>
        <v>0</v>
      </c>
      <c r="K2708" s="135" t="n">
        <f aca="false">$G2708*'Analyse capacite'!$E$7</f>
        <v>0</v>
      </c>
    </row>
    <row r="2709" customFormat="false" ht="15" hidden="false" customHeight="false" outlineLevel="0" collapsed="false">
      <c r="B2709" s="130" t="n">
        <v>2027</v>
      </c>
      <c r="C2709" s="131" t="s">
        <v>248</v>
      </c>
      <c r="D2709" s="132" t="n">
        <v>46553</v>
      </c>
      <c r="E2709" s="131" t="s">
        <v>20</v>
      </c>
      <c r="F2709" s="133" t="s">
        <v>19</v>
      </c>
      <c r="G2709" s="134" t="n">
        <f aca="false">LEN('Saisie programme'!$E$95)+SUMIFS('Vols additionnels'!$E$7:$E$66,'Vols additionnels'!$C$7:$C$66,$E2709,'Vols additionnels'!$D$7:$D$66,$F2709,'Vols additionnels'!$B$7:$B$66,$D2709)</f>
        <v>1</v>
      </c>
      <c r="H2709" s="135" t="n">
        <f aca="false">$G2709*'Analyse capacite'!$F$8</f>
        <v>262</v>
      </c>
      <c r="I2709" s="135" t="n">
        <f aca="false">$G2709*'Analyse capacite'!$C$8</f>
        <v>18</v>
      </c>
      <c r="J2709" s="135" t="n">
        <f aca="false">$G2709*'Analyse capacite'!$D$8</f>
        <v>0</v>
      </c>
      <c r="K2709" s="135" t="n">
        <f aca="false">$G2709*'Analyse capacite'!$E$8</f>
        <v>244</v>
      </c>
    </row>
    <row r="2710" customFormat="false" ht="15" hidden="false" customHeight="false" outlineLevel="0" collapsed="false">
      <c r="B2710" s="130" t="n">
        <v>2027</v>
      </c>
      <c r="C2710" s="131" t="s">
        <v>248</v>
      </c>
      <c r="D2710" s="132" t="n">
        <v>46553</v>
      </c>
      <c r="E2710" s="131" t="s">
        <v>20</v>
      </c>
      <c r="F2710" s="133" t="s">
        <v>24</v>
      </c>
      <c r="G2710" s="134" t="n">
        <f aca="false">LEN('Saisie programme'!$E$96)+SUMIFS('Vols additionnels'!$E$7:$E$66,'Vols additionnels'!$C$7:$C$66,$E2710,'Vols additionnels'!$D$7:$D$66,$F2710,'Vols additionnels'!$B$7:$B$66,$D2710)</f>
        <v>0</v>
      </c>
      <c r="H2710" s="135" t="n">
        <f aca="false">$G2710*'Analyse capacite'!$F$9</f>
        <v>0</v>
      </c>
      <c r="I2710" s="135" t="n">
        <f aca="false">$G2710*'Analyse capacite'!$C$9</f>
        <v>0</v>
      </c>
      <c r="J2710" s="135" t="n">
        <f aca="false">$G2710*'Analyse capacite'!$D$9</f>
        <v>0</v>
      </c>
      <c r="K2710" s="135" t="n">
        <f aca="false">$G2710*'Analyse capacite'!$E$9</f>
        <v>0</v>
      </c>
    </row>
    <row r="2711" customFormat="false" ht="15" hidden="false" customHeight="false" outlineLevel="0" collapsed="false">
      <c r="B2711" s="130" t="n">
        <v>2027</v>
      </c>
      <c r="C2711" s="131" t="s">
        <v>248</v>
      </c>
      <c r="D2711" s="132" t="n">
        <v>46553</v>
      </c>
      <c r="E2711" s="131" t="s">
        <v>25</v>
      </c>
      <c r="F2711" s="133" t="s">
        <v>11</v>
      </c>
      <c r="G2711" s="134" t="n">
        <f aca="false">LEN('Saisie programme'!$E$97)+SUMIFS('Vols additionnels'!$E$7:$E$66,'Vols additionnels'!$C$7:$C$66,$E2711,'Vols additionnels'!$D$7:$D$66,$F2711,'Vols additionnels'!$B$7:$B$66,$D2711)</f>
        <v>0</v>
      </c>
      <c r="H2711" s="135" t="n">
        <f aca="false">$G2711*'Analyse capacite'!$F$7</f>
        <v>0</v>
      </c>
      <c r="I2711" s="135" t="n">
        <f aca="false">$G2711*'Analyse capacite'!$C$7</f>
        <v>0</v>
      </c>
      <c r="J2711" s="135" t="n">
        <f aca="false">$G2711*'Analyse capacite'!$D$7</f>
        <v>0</v>
      </c>
      <c r="K2711" s="135" t="n">
        <f aca="false">$G2711*'Analyse capacite'!$E$7</f>
        <v>0</v>
      </c>
    </row>
    <row r="2712" customFormat="false" ht="15" hidden="false" customHeight="false" outlineLevel="0" collapsed="false">
      <c r="B2712" s="130" t="n">
        <v>2027</v>
      </c>
      <c r="C2712" s="131" t="s">
        <v>248</v>
      </c>
      <c r="D2712" s="132" t="n">
        <v>46553</v>
      </c>
      <c r="E2712" s="131" t="s">
        <v>25</v>
      </c>
      <c r="F2712" s="133" t="s">
        <v>19</v>
      </c>
      <c r="G2712" s="134" t="n">
        <f aca="false">LEN('Saisie programme'!$E$98)+SUMIFS('Vols additionnels'!$E$7:$E$66,'Vols additionnels'!$C$7:$C$66,$E2712,'Vols additionnels'!$D$7:$D$66,$F2712,'Vols additionnels'!$B$7:$B$66,$D2712)</f>
        <v>0</v>
      </c>
      <c r="H2712" s="135" t="n">
        <f aca="false">$G2712*'Analyse capacite'!$F$8</f>
        <v>0</v>
      </c>
      <c r="I2712" s="135" t="n">
        <f aca="false">$G2712*'Analyse capacite'!$C$8</f>
        <v>0</v>
      </c>
      <c r="J2712" s="135" t="n">
        <f aca="false">$G2712*'Analyse capacite'!$D$8</f>
        <v>0</v>
      </c>
      <c r="K2712" s="135" t="n">
        <f aca="false">$G2712*'Analyse capacite'!$E$8</f>
        <v>0</v>
      </c>
    </row>
    <row r="2713" customFormat="false" ht="15" hidden="false" customHeight="false" outlineLevel="0" collapsed="false">
      <c r="B2713" s="130" t="n">
        <v>2027</v>
      </c>
      <c r="C2713" s="131" t="s">
        <v>248</v>
      </c>
      <c r="D2713" s="132" t="n">
        <v>46553</v>
      </c>
      <c r="E2713" s="131" t="s">
        <v>25</v>
      </c>
      <c r="F2713" s="133" t="s">
        <v>24</v>
      </c>
      <c r="G2713" s="134" t="n">
        <f aca="false">LEN('Saisie programme'!$E$99)+SUMIFS('Vols additionnels'!$E$7:$E$66,'Vols additionnels'!$C$7:$C$66,$E2713,'Vols additionnels'!$D$7:$D$66,$F2713,'Vols additionnels'!$B$7:$B$66,$D2713)</f>
        <v>0</v>
      </c>
      <c r="H2713" s="135" t="n">
        <f aca="false">$G2713*'Analyse capacite'!$F$9</f>
        <v>0</v>
      </c>
      <c r="I2713" s="135" t="n">
        <f aca="false">$G2713*'Analyse capacite'!$C$9</f>
        <v>0</v>
      </c>
      <c r="J2713" s="135" t="n">
        <f aca="false">$G2713*'Analyse capacite'!$D$9</f>
        <v>0</v>
      </c>
      <c r="K2713" s="135" t="n">
        <f aca="false">$G2713*'Analyse capacite'!$E$9</f>
        <v>0</v>
      </c>
    </row>
    <row r="2714" customFormat="false" ht="15" hidden="false" customHeight="false" outlineLevel="0" collapsed="false">
      <c r="B2714" s="130" t="n">
        <v>2027</v>
      </c>
      <c r="C2714" s="131" t="s">
        <v>248</v>
      </c>
      <c r="D2714" s="132" t="n">
        <v>46553</v>
      </c>
      <c r="E2714" s="131" t="s">
        <v>36</v>
      </c>
      <c r="F2714" s="133" t="s">
        <v>11</v>
      </c>
      <c r="G2714" s="134" t="n">
        <f aca="false">LEN('Saisie programme'!$E$100)+SUMIFS('Vols additionnels'!$E$7:$E$66,'Vols additionnels'!$C$7:$C$66,$E2714,'Vols additionnels'!$D$7:$D$66,$F2714,'Vols additionnels'!$B$7:$B$66,$D2714)</f>
        <v>0</v>
      </c>
      <c r="H2714" s="135" t="n">
        <f aca="false">$G2714*'Analyse capacite'!$F$7</f>
        <v>0</v>
      </c>
      <c r="I2714" s="135" t="n">
        <f aca="false">$G2714*'Analyse capacite'!$C$7</f>
        <v>0</v>
      </c>
      <c r="J2714" s="135" t="n">
        <f aca="false">$G2714*'Analyse capacite'!$D$7</f>
        <v>0</v>
      </c>
      <c r="K2714" s="135" t="n">
        <f aca="false">$G2714*'Analyse capacite'!$E$7</f>
        <v>0</v>
      </c>
    </row>
    <row r="2715" customFormat="false" ht="15" hidden="false" customHeight="false" outlineLevel="0" collapsed="false">
      <c r="B2715" s="130" t="n">
        <v>2027</v>
      </c>
      <c r="C2715" s="131" t="s">
        <v>248</v>
      </c>
      <c r="D2715" s="132" t="n">
        <v>46553</v>
      </c>
      <c r="E2715" s="131" t="s">
        <v>36</v>
      </c>
      <c r="F2715" s="133" t="s">
        <v>19</v>
      </c>
      <c r="G2715" s="134" t="n">
        <f aca="false">LEN('Saisie programme'!$E$101)+SUMIFS('Vols additionnels'!$E$7:$E$66,'Vols additionnels'!$C$7:$C$66,$E2715,'Vols additionnels'!$D$7:$D$66,$F2715,'Vols additionnels'!$B$7:$B$66,$D2715)</f>
        <v>0</v>
      </c>
      <c r="H2715" s="135" t="n">
        <f aca="false">$G2715*'Analyse capacite'!$F$8</f>
        <v>0</v>
      </c>
      <c r="I2715" s="135" t="n">
        <f aca="false">$G2715*'Analyse capacite'!$C$8</f>
        <v>0</v>
      </c>
      <c r="J2715" s="135" t="n">
        <f aca="false">$G2715*'Analyse capacite'!$D$8</f>
        <v>0</v>
      </c>
      <c r="K2715" s="135" t="n">
        <f aca="false">$G2715*'Analyse capacite'!$E$8</f>
        <v>0</v>
      </c>
    </row>
    <row r="2716" customFormat="false" ht="15" hidden="false" customHeight="false" outlineLevel="0" collapsed="false">
      <c r="B2716" s="130" t="n">
        <v>2027</v>
      </c>
      <c r="C2716" s="131" t="s">
        <v>248</v>
      </c>
      <c r="D2716" s="132" t="n">
        <v>46553</v>
      </c>
      <c r="E2716" s="131" t="s">
        <v>36</v>
      </c>
      <c r="F2716" s="133" t="s">
        <v>24</v>
      </c>
      <c r="G2716" s="134" t="n">
        <f aca="false">LEN('Saisie programme'!$E$102)+SUMIFS('Vols additionnels'!$E$7:$E$66,'Vols additionnels'!$C$7:$C$66,$E2716,'Vols additionnels'!$D$7:$D$66,$F2716,'Vols additionnels'!$B$7:$B$66,$D2716)</f>
        <v>1</v>
      </c>
      <c r="H2716" s="135" t="n">
        <f aca="false">$G2716*'Analyse capacite'!$F$9</f>
        <v>174</v>
      </c>
      <c r="I2716" s="135" t="n">
        <f aca="false">$G2716*'Analyse capacite'!$C$9</f>
        <v>0</v>
      </c>
      <c r="J2716" s="135" t="n">
        <f aca="false">$G2716*'Analyse capacite'!$D$9</f>
        <v>12</v>
      </c>
      <c r="K2716" s="135" t="n">
        <f aca="false">$G2716*'Analyse capacite'!$E$9</f>
        <v>162</v>
      </c>
    </row>
    <row r="2717" customFormat="false" ht="15" hidden="false" customHeight="false" outlineLevel="0" collapsed="false">
      <c r="B2717" s="130" t="n">
        <v>2027</v>
      </c>
      <c r="C2717" s="131" t="s">
        <v>248</v>
      </c>
      <c r="D2717" s="132" t="n">
        <v>46553</v>
      </c>
      <c r="E2717" s="131" t="s">
        <v>40</v>
      </c>
      <c r="F2717" s="133" t="s">
        <v>11</v>
      </c>
      <c r="G2717" s="134" t="n">
        <f aca="false">LEN('Saisie programme'!$E$103)+SUMIFS('Vols additionnels'!$E$7:$E$66,'Vols additionnels'!$C$7:$C$66,$E2717,'Vols additionnels'!$D$7:$D$66,$F2717,'Vols additionnels'!$B$7:$B$66,$D2717)</f>
        <v>0</v>
      </c>
      <c r="H2717" s="135" t="n">
        <f aca="false">$G2717*'Analyse capacite'!$F$7</f>
        <v>0</v>
      </c>
      <c r="I2717" s="135" t="n">
        <f aca="false">$G2717*'Analyse capacite'!$C$7</f>
        <v>0</v>
      </c>
      <c r="J2717" s="135" t="n">
        <f aca="false">$G2717*'Analyse capacite'!$D$7</f>
        <v>0</v>
      </c>
      <c r="K2717" s="135" t="n">
        <f aca="false">$G2717*'Analyse capacite'!$E$7</f>
        <v>0</v>
      </c>
    </row>
    <row r="2718" customFormat="false" ht="15" hidden="false" customHeight="false" outlineLevel="0" collapsed="false">
      <c r="B2718" s="130" t="n">
        <v>2027</v>
      </c>
      <c r="C2718" s="131" t="s">
        <v>248</v>
      </c>
      <c r="D2718" s="132" t="n">
        <v>46553</v>
      </c>
      <c r="E2718" s="131" t="s">
        <v>40</v>
      </c>
      <c r="F2718" s="133" t="s">
        <v>19</v>
      </c>
      <c r="G2718" s="134" t="n">
        <f aca="false">LEN('Saisie programme'!$E$104)+SUMIFS('Vols additionnels'!$E$7:$E$66,'Vols additionnels'!$C$7:$C$66,$E2718,'Vols additionnels'!$D$7:$D$66,$F2718,'Vols additionnels'!$B$7:$B$66,$D2718)</f>
        <v>0</v>
      </c>
      <c r="H2718" s="135" t="n">
        <f aca="false">$G2718*'Analyse capacite'!$F$8</f>
        <v>0</v>
      </c>
      <c r="I2718" s="135" t="n">
        <f aca="false">$G2718*'Analyse capacite'!$C$8</f>
        <v>0</v>
      </c>
      <c r="J2718" s="135" t="n">
        <f aca="false">$G2718*'Analyse capacite'!$D$8</f>
        <v>0</v>
      </c>
      <c r="K2718" s="135" t="n">
        <f aca="false">$G2718*'Analyse capacite'!$E$8</f>
        <v>0</v>
      </c>
    </row>
    <row r="2719" customFormat="false" ht="15" hidden="false" customHeight="false" outlineLevel="0" collapsed="false">
      <c r="B2719" s="130" t="n">
        <v>2027</v>
      </c>
      <c r="C2719" s="131" t="s">
        <v>248</v>
      </c>
      <c r="D2719" s="132" t="n">
        <v>46553</v>
      </c>
      <c r="E2719" s="131" t="s">
        <v>40</v>
      </c>
      <c r="F2719" s="133" t="s">
        <v>24</v>
      </c>
      <c r="G2719" s="134" t="n">
        <f aca="false">LEN('Saisie programme'!$E$105)+SUMIFS('Vols additionnels'!$E$7:$E$66,'Vols additionnels'!$C$7:$C$66,$E2719,'Vols additionnels'!$D$7:$D$66,$F2719,'Vols additionnels'!$B$7:$B$66,$D2719)</f>
        <v>0</v>
      </c>
      <c r="H2719" s="135" t="n">
        <f aca="false">$G2719*'Analyse capacite'!$F$9</f>
        <v>0</v>
      </c>
      <c r="I2719" s="135" t="n">
        <f aca="false">$G2719*'Analyse capacite'!$C$9</f>
        <v>0</v>
      </c>
      <c r="J2719" s="135" t="n">
        <f aca="false">$G2719*'Analyse capacite'!$D$9</f>
        <v>0</v>
      </c>
      <c r="K2719" s="135" t="n">
        <f aca="false">$G2719*'Analyse capacite'!$E$9</f>
        <v>0</v>
      </c>
    </row>
    <row r="2720" customFormat="false" ht="15" hidden="false" customHeight="false" outlineLevel="0" collapsed="false">
      <c r="B2720" s="130" t="n">
        <v>2027</v>
      </c>
      <c r="C2720" s="131" t="s">
        <v>248</v>
      </c>
      <c r="D2720" s="132" t="n">
        <v>46553</v>
      </c>
      <c r="E2720" s="131" t="s">
        <v>14</v>
      </c>
      <c r="F2720" s="133" t="s">
        <v>11</v>
      </c>
      <c r="G2720" s="134" t="n">
        <f aca="false">LEN('Saisie programme'!$E$106)+SUMIFS('Vols additionnels'!$E$7:$E$66,'Vols additionnels'!$C$7:$C$66,$E2720,'Vols additionnels'!$D$7:$D$66,$F2720,'Vols additionnels'!$B$7:$B$66,$D2720)</f>
        <v>0</v>
      </c>
      <c r="H2720" s="135" t="n">
        <f aca="false">$G2720*'Analyse capacite'!$F$7</f>
        <v>0</v>
      </c>
      <c r="I2720" s="135" t="n">
        <f aca="false">$G2720*'Analyse capacite'!$C$7</f>
        <v>0</v>
      </c>
      <c r="J2720" s="135" t="n">
        <f aca="false">$G2720*'Analyse capacite'!$D$7</f>
        <v>0</v>
      </c>
      <c r="K2720" s="135" t="n">
        <f aca="false">$G2720*'Analyse capacite'!$E$7</f>
        <v>0</v>
      </c>
    </row>
    <row r="2721" customFormat="false" ht="15" hidden="false" customHeight="false" outlineLevel="0" collapsed="false">
      <c r="B2721" s="130" t="n">
        <v>2027</v>
      </c>
      <c r="C2721" s="131" t="s">
        <v>248</v>
      </c>
      <c r="D2721" s="132" t="n">
        <v>46553</v>
      </c>
      <c r="E2721" s="131" t="s">
        <v>14</v>
      </c>
      <c r="F2721" s="133" t="s">
        <v>19</v>
      </c>
      <c r="G2721" s="134" t="n">
        <f aca="false">LEN('Saisie programme'!$E$107)+SUMIFS('Vols additionnels'!$E$7:$E$66,'Vols additionnels'!$C$7:$C$66,$E2721,'Vols additionnels'!$D$7:$D$66,$F2721,'Vols additionnels'!$B$7:$B$66,$D2721)</f>
        <v>0</v>
      </c>
      <c r="H2721" s="135" t="n">
        <f aca="false">$G2721*'Analyse capacite'!$F$8</f>
        <v>0</v>
      </c>
      <c r="I2721" s="135" t="n">
        <f aca="false">$G2721*'Analyse capacite'!$C$8</f>
        <v>0</v>
      </c>
      <c r="J2721" s="135" t="n">
        <f aca="false">$G2721*'Analyse capacite'!$D$8</f>
        <v>0</v>
      </c>
      <c r="K2721" s="135" t="n">
        <f aca="false">$G2721*'Analyse capacite'!$E$8</f>
        <v>0</v>
      </c>
    </row>
    <row r="2722" customFormat="false" ht="15" hidden="false" customHeight="false" outlineLevel="0" collapsed="false">
      <c r="B2722" s="130" t="n">
        <v>2027</v>
      </c>
      <c r="C2722" s="131" t="s">
        <v>248</v>
      </c>
      <c r="D2722" s="132" t="n">
        <v>46553</v>
      </c>
      <c r="E2722" s="131" t="s">
        <v>14</v>
      </c>
      <c r="F2722" s="133" t="s">
        <v>24</v>
      </c>
      <c r="G2722" s="134" t="n">
        <f aca="false">LEN('Saisie programme'!$E$108)+SUMIFS('Vols additionnels'!$E$7:$E$66,'Vols additionnels'!$C$7:$C$66,$E2722,'Vols additionnels'!$D$7:$D$66,$F2722,'Vols additionnels'!$B$7:$B$66,$D2722)</f>
        <v>0</v>
      </c>
      <c r="H2722" s="135" t="n">
        <f aca="false">$G2722*'Analyse capacite'!$F$9</f>
        <v>0</v>
      </c>
      <c r="I2722" s="135" t="n">
        <f aca="false">$G2722*'Analyse capacite'!$C$9</f>
        <v>0</v>
      </c>
      <c r="J2722" s="135" t="n">
        <f aca="false">$G2722*'Analyse capacite'!$D$9</f>
        <v>0</v>
      </c>
      <c r="K2722" s="135" t="n">
        <f aca="false">$G2722*'Analyse capacite'!$E$9</f>
        <v>0</v>
      </c>
    </row>
    <row r="2723" customFormat="false" ht="15" hidden="false" customHeight="false" outlineLevel="0" collapsed="false">
      <c r="B2723" s="130" t="n">
        <v>2027</v>
      </c>
      <c r="C2723" s="131" t="s">
        <v>248</v>
      </c>
      <c r="D2723" s="132" t="n">
        <v>46553</v>
      </c>
      <c r="E2723" s="131" t="s">
        <v>46</v>
      </c>
      <c r="F2723" s="133" t="s">
        <v>11</v>
      </c>
      <c r="G2723" s="134" t="n">
        <f aca="false">LEN('Saisie programme'!$E$109)+SUMIFS('Vols additionnels'!$E$7:$E$66,'Vols additionnels'!$C$7:$C$66,$E2723,'Vols additionnels'!$D$7:$D$66,$F2723,'Vols additionnels'!$B$7:$B$66,$D2723)</f>
        <v>0</v>
      </c>
      <c r="H2723" s="135" t="n">
        <f aca="false">$G2723*'Analyse capacite'!$F$7</f>
        <v>0</v>
      </c>
      <c r="I2723" s="135" t="n">
        <f aca="false">$G2723*'Analyse capacite'!$C$7</f>
        <v>0</v>
      </c>
      <c r="J2723" s="135" t="n">
        <f aca="false">$G2723*'Analyse capacite'!$D$7</f>
        <v>0</v>
      </c>
      <c r="K2723" s="135" t="n">
        <f aca="false">$G2723*'Analyse capacite'!$E$7</f>
        <v>0</v>
      </c>
    </row>
    <row r="2724" customFormat="false" ht="15" hidden="false" customHeight="false" outlineLevel="0" collapsed="false">
      <c r="B2724" s="130" t="n">
        <v>2027</v>
      </c>
      <c r="C2724" s="131" t="s">
        <v>248</v>
      </c>
      <c r="D2724" s="132" t="n">
        <v>46553</v>
      </c>
      <c r="E2724" s="131" t="s">
        <v>46</v>
      </c>
      <c r="F2724" s="133" t="s">
        <v>19</v>
      </c>
      <c r="G2724" s="134" t="n">
        <f aca="false">LEN('Saisie programme'!$E$110)+SUMIFS('Vols additionnels'!$E$7:$E$66,'Vols additionnels'!$C$7:$C$66,$E2724,'Vols additionnels'!$D$7:$D$66,$F2724,'Vols additionnels'!$B$7:$B$66,$D2724)</f>
        <v>0</v>
      </c>
      <c r="H2724" s="135" t="n">
        <f aca="false">$G2724*'Analyse capacite'!$F$8</f>
        <v>0</v>
      </c>
      <c r="I2724" s="135" t="n">
        <f aca="false">$G2724*'Analyse capacite'!$C$8</f>
        <v>0</v>
      </c>
      <c r="J2724" s="135" t="n">
        <f aca="false">$G2724*'Analyse capacite'!$D$8</f>
        <v>0</v>
      </c>
      <c r="K2724" s="135" t="n">
        <f aca="false">$G2724*'Analyse capacite'!$E$8</f>
        <v>0</v>
      </c>
    </row>
    <row r="2725" customFormat="false" ht="15" hidden="false" customHeight="false" outlineLevel="0" collapsed="false">
      <c r="B2725" s="130" t="n">
        <v>2027</v>
      </c>
      <c r="C2725" s="131" t="s">
        <v>248</v>
      </c>
      <c r="D2725" s="132" t="n">
        <v>46553</v>
      </c>
      <c r="E2725" s="131" t="s">
        <v>46</v>
      </c>
      <c r="F2725" s="133" t="s">
        <v>24</v>
      </c>
      <c r="G2725" s="134" t="n">
        <f aca="false">LEN('Saisie programme'!$E$111)+SUMIFS('Vols additionnels'!$E$7:$E$66,'Vols additionnels'!$C$7:$C$66,$E2725,'Vols additionnels'!$D$7:$D$66,$F2725,'Vols additionnels'!$B$7:$B$66,$D2725)</f>
        <v>1</v>
      </c>
      <c r="H2725" s="135" t="n">
        <f aca="false">$G2725*'Analyse capacite'!$F$9</f>
        <v>174</v>
      </c>
      <c r="I2725" s="135" t="n">
        <f aca="false">$G2725*'Analyse capacite'!$C$9</f>
        <v>0</v>
      </c>
      <c r="J2725" s="135" t="n">
        <f aca="false">$G2725*'Analyse capacite'!$D$9</f>
        <v>12</v>
      </c>
      <c r="K2725" s="135" t="n">
        <f aca="false">$G2725*'Analyse capacite'!$E$9</f>
        <v>162</v>
      </c>
    </row>
    <row r="2726" customFormat="false" ht="15" hidden="false" customHeight="false" outlineLevel="0" collapsed="false">
      <c r="B2726" s="130" t="n">
        <v>2027</v>
      </c>
      <c r="C2726" s="131" t="s">
        <v>248</v>
      </c>
      <c r="D2726" s="132" t="n">
        <v>46553</v>
      </c>
      <c r="E2726" s="131" t="s">
        <v>49</v>
      </c>
      <c r="F2726" s="133" t="s">
        <v>11</v>
      </c>
      <c r="G2726" s="134" t="n">
        <f aca="false">LEN('Saisie programme'!$E$112)+SUMIFS('Vols additionnels'!$E$7:$E$66,'Vols additionnels'!$C$7:$C$66,$E2726,'Vols additionnels'!$D$7:$D$66,$F2726,'Vols additionnels'!$B$7:$B$66,$D2726)</f>
        <v>0</v>
      </c>
      <c r="H2726" s="135" t="n">
        <f aca="false">$G2726*'Analyse capacite'!$F$7</f>
        <v>0</v>
      </c>
      <c r="I2726" s="135" t="n">
        <f aca="false">$G2726*'Analyse capacite'!$C$7</f>
        <v>0</v>
      </c>
      <c r="J2726" s="135" t="n">
        <f aca="false">$G2726*'Analyse capacite'!$D$7</f>
        <v>0</v>
      </c>
      <c r="K2726" s="135" t="n">
        <f aca="false">$G2726*'Analyse capacite'!$E$7</f>
        <v>0</v>
      </c>
    </row>
    <row r="2727" customFormat="false" ht="15" hidden="false" customHeight="false" outlineLevel="0" collapsed="false">
      <c r="B2727" s="130" t="n">
        <v>2027</v>
      </c>
      <c r="C2727" s="131" t="s">
        <v>248</v>
      </c>
      <c r="D2727" s="132" t="n">
        <v>46553</v>
      </c>
      <c r="E2727" s="131" t="s">
        <v>49</v>
      </c>
      <c r="F2727" s="133" t="s">
        <v>19</v>
      </c>
      <c r="G2727" s="134" t="n">
        <f aca="false">LEN('Saisie programme'!$E$113)+SUMIFS('Vols additionnels'!$E$7:$E$66,'Vols additionnels'!$C$7:$C$66,$E2727,'Vols additionnels'!$D$7:$D$66,$F2727,'Vols additionnels'!$B$7:$B$66,$D2727)</f>
        <v>0</v>
      </c>
      <c r="H2727" s="135" t="n">
        <f aca="false">$G2727*'Analyse capacite'!$F$8</f>
        <v>0</v>
      </c>
      <c r="I2727" s="135" t="n">
        <f aca="false">$G2727*'Analyse capacite'!$C$8</f>
        <v>0</v>
      </c>
      <c r="J2727" s="135" t="n">
        <f aca="false">$G2727*'Analyse capacite'!$D$8</f>
        <v>0</v>
      </c>
      <c r="K2727" s="135" t="n">
        <f aca="false">$G2727*'Analyse capacite'!$E$8</f>
        <v>0</v>
      </c>
    </row>
    <row r="2728" customFormat="false" ht="15" hidden="false" customHeight="false" outlineLevel="0" collapsed="false">
      <c r="B2728" s="130" t="n">
        <v>2027</v>
      </c>
      <c r="C2728" s="131" t="s">
        <v>248</v>
      </c>
      <c r="D2728" s="132" t="n">
        <v>46553</v>
      </c>
      <c r="E2728" s="131" t="s">
        <v>49</v>
      </c>
      <c r="F2728" s="133" t="s">
        <v>24</v>
      </c>
      <c r="G2728" s="134" t="n">
        <f aca="false">LEN('Saisie programme'!$E$114)+SUMIFS('Vols additionnels'!$E$7:$E$66,'Vols additionnels'!$C$7:$C$66,$E2728,'Vols additionnels'!$D$7:$D$66,$F2728,'Vols additionnels'!$B$7:$B$66,$D2728)</f>
        <v>0</v>
      </c>
      <c r="H2728" s="135" t="n">
        <f aca="false">$G2728*'Analyse capacite'!$F$9</f>
        <v>0</v>
      </c>
      <c r="I2728" s="135" t="n">
        <f aca="false">$G2728*'Analyse capacite'!$C$9</f>
        <v>0</v>
      </c>
      <c r="J2728" s="135" t="n">
        <f aca="false">$G2728*'Analyse capacite'!$D$9</f>
        <v>0</v>
      </c>
      <c r="K2728" s="135" t="n">
        <f aca="false">$G2728*'Analyse capacite'!$E$9</f>
        <v>0</v>
      </c>
    </row>
    <row r="2729" customFormat="false" ht="15" hidden="false" customHeight="false" outlineLevel="0" collapsed="false">
      <c r="B2729" s="130" t="n">
        <v>2027</v>
      </c>
      <c r="C2729" s="131" t="s">
        <v>248</v>
      </c>
      <c r="D2729" s="132" t="n">
        <v>46553</v>
      </c>
      <c r="E2729" s="131" t="s">
        <v>53</v>
      </c>
      <c r="F2729" s="133" t="s">
        <v>11</v>
      </c>
      <c r="G2729" s="134" t="n">
        <f aca="false">LEN('Saisie programme'!$E$115)+SUMIFS('Vols additionnels'!$E$7:$E$66,'Vols additionnels'!$C$7:$C$66,$E2729,'Vols additionnels'!$D$7:$D$66,$F2729,'Vols additionnels'!$B$7:$B$66,$D2729)</f>
        <v>0</v>
      </c>
      <c r="H2729" s="135" t="n">
        <f aca="false">$G2729*'Analyse capacite'!$F$7</f>
        <v>0</v>
      </c>
      <c r="I2729" s="135" t="n">
        <f aca="false">$G2729*'Analyse capacite'!$C$7</f>
        <v>0</v>
      </c>
      <c r="J2729" s="135" t="n">
        <f aca="false">$G2729*'Analyse capacite'!$D$7</f>
        <v>0</v>
      </c>
      <c r="K2729" s="135" t="n">
        <f aca="false">$G2729*'Analyse capacite'!$E$7</f>
        <v>0</v>
      </c>
    </row>
    <row r="2730" customFormat="false" ht="15" hidden="false" customHeight="false" outlineLevel="0" collapsed="false">
      <c r="B2730" s="130" t="n">
        <v>2027</v>
      </c>
      <c r="C2730" s="131" t="s">
        <v>248</v>
      </c>
      <c r="D2730" s="132" t="n">
        <v>46553</v>
      </c>
      <c r="E2730" s="131" t="s">
        <v>53</v>
      </c>
      <c r="F2730" s="133" t="s">
        <v>19</v>
      </c>
      <c r="G2730" s="134" t="n">
        <f aca="false">LEN('Saisie programme'!$E$116)+SUMIFS('Vols additionnels'!$E$7:$E$66,'Vols additionnels'!$C$7:$C$66,$E2730,'Vols additionnels'!$D$7:$D$66,$F2730,'Vols additionnels'!$B$7:$B$66,$D2730)</f>
        <v>0</v>
      </c>
      <c r="H2730" s="135" t="n">
        <f aca="false">$G2730*'Analyse capacite'!$F$8</f>
        <v>0</v>
      </c>
      <c r="I2730" s="135" t="n">
        <f aca="false">$G2730*'Analyse capacite'!$C$8</f>
        <v>0</v>
      </c>
      <c r="J2730" s="135" t="n">
        <f aca="false">$G2730*'Analyse capacite'!$D$8</f>
        <v>0</v>
      </c>
      <c r="K2730" s="135" t="n">
        <f aca="false">$G2730*'Analyse capacite'!$E$8</f>
        <v>0</v>
      </c>
    </row>
    <row r="2731" customFormat="false" ht="15" hidden="false" customHeight="false" outlineLevel="0" collapsed="false">
      <c r="B2731" s="130" t="n">
        <v>2027</v>
      </c>
      <c r="C2731" s="131" t="s">
        <v>248</v>
      </c>
      <c r="D2731" s="132" t="n">
        <v>46553</v>
      </c>
      <c r="E2731" s="131" t="s">
        <v>53</v>
      </c>
      <c r="F2731" s="133" t="s">
        <v>24</v>
      </c>
      <c r="G2731" s="134" t="n">
        <f aca="false">LEN('Saisie programme'!$E$117)+SUMIFS('Vols additionnels'!$E$7:$E$66,'Vols additionnels'!$C$7:$C$66,$E2731,'Vols additionnels'!$D$7:$D$66,$F2731,'Vols additionnels'!$B$7:$B$66,$D2731)</f>
        <v>0</v>
      </c>
      <c r="H2731" s="135" t="n">
        <f aca="false">$G2731*'Analyse capacite'!$F$9</f>
        <v>0</v>
      </c>
      <c r="I2731" s="135" t="n">
        <f aca="false">$G2731*'Analyse capacite'!$C$9</f>
        <v>0</v>
      </c>
      <c r="J2731" s="135" t="n">
        <f aca="false">$G2731*'Analyse capacite'!$D$9</f>
        <v>0</v>
      </c>
      <c r="K2731" s="135" t="n">
        <f aca="false">$G2731*'Analyse capacite'!$E$9</f>
        <v>0</v>
      </c>
    </row>
    <row r="2732" customFormat="false" ht="15" hidden="false" customHeight="false" outlineLevel="0" collapsed="false">
      <c r="B2732" s="130" t="n">
        <v>2027</v>
      </c>
      <c r="C2732" s="131" t="s">
        <v>248</v>
      </c>
      <c r="D2732" s="132" t="n">
        <v>46553</v>
      </c>
      <c r="E2732" s="131" t="s">
        <v>56</v>
      </c>
      <c r="F2732" s="133" t="s">
        <v>11</v>
      </c>
      <c r="G2732" s="134" t="n">
        <f aca="false">LEN('Saisie programme'!$E$118)+SUMIFS('Vols additionnels'!$E$7:$E$66,'Vols additionnels'!$C$7:$C$66,$E2732,'Vols additionnels'!$D$7:$D$66,$F2732,'Vols additionnels'!$B$7:$B$66,$D2732)</f>
        <v>0</v>
      </c>
      <c r="H2732" s="135" t="n">
        <f aca="false">$G2732*'Analyse capacite'!$F$7</f>
        <v>0</v>
      </c>
      <c r="I2732" s="135" t="n">
        <f aca="false">$G2732*'Analyse capacite'!$C$7</f>
        <v>0</v>
      </c>
      <c r="J2732" s="135" t="n">
        <f aca="false">$G2732*'Analyse capacite'!$D$7</f>
        <v>0</v>
      </c>
      <c r="K2732" s="135" t="n">
        <f aca="false">$G2732*'Analyse capacite'!$E$7</f>
        <v>0</v>
      </c>
    </row>
    <row r="2733" customFormat="false" ht="15" hidden="false" customHeight="false" outlineLevel="0" collapsed="false">
      <c r="B2733" s="130" t="n">
        <v>2027</v>
      </c>
      <c r="C2733" s="131" t="s">
        <v>248</v>
      </c>
      <c r="D2733" s="132" t="n">
        <v>46553</v>
      </c>
      <c r="E2733" s="131" t="s">
        <v>56</v>
      </c>
      <c r="F2733" s="133" t="s">
        <v>19</v>
      </c>
      <c r="G2733" s="134" t="n">
        <f aca="false">LEN('Saisie programme'!$E$119)+SUMIFS('Vols additionnels'!$E$7:$E$66,'Vols additionnels'!$C$7:$C$66,$E2733,'Vols additionnels'!$D$7:$D$66,$F2733,'Vols additionnels'!$B$7:$B$66,$D2733)</f>
        <v>0</v>
      </c>
      <c r="H2733" s="135" t="n">
        <f aca="false">$G2733*'Analyse capacite'!$F$8</f>
        <v>0</v>
      </c>
      <c r="I2733" s="135" t="n">
        <f aca="false">$G2733*'Analyse capacite'!$C$8</f>
        <v>0</v>
      </c>
      <c r="J2733" s="135" t="n">
        <f aca="false">$G2733*'Analyse capacite'!$D$8</f>
        <v>0</v>
      </c>
      <c r="K2733" s="135" t="n">
        <f aca="false">$G2733*'Analyse capacite'!$E$8</f>
        <v>0</v>
      </c>
    </row>
    <row r="2734" customFormat="false" ht="15" hidden="false" customHeight="false" outlineLevel="0" collapsed="false">
      <c r="B2734" s="130" t="n">
        <v>2027</v>
      </c>
      <c r="C2734" s="131" t="s">
        <v>248</v>
      </c>
      <c r="D2734" s="132" t="n">
        <v>46553</v>
      </c>
      <c r="E2734" s="131" t="s">
        <v>56</v>
      </c>
      <c r="F2734" s="133" t="s">
        <v>24</v>
      </c>
      <c r="G2734" s="134" t="n">
        <f aca="false">LEN('Saisie programme'!$E$120)+SUMIFS('Vols additionnels'!$E$7:$E$66,'Vols additionnels'!$C$7:$C$66,$E2734,'Vols additionnels'!$D$7:$D$66,$F2734,'Vols additionnels'!$B$7:$B$66,$D2734)</f>
        <v>1</v>
      </c>
      <c r="H2734" s="135" t="n">
        <f aca="false">$G2734*'Analyse capacite'!$F$9</f>
        <v>174</v>
      </c>
      <c r="I2734" s="135" t="n">
        <f aca="false">$G2734*'Analyse capacite'!$C$9</f>
        <v>0</v>
      </c>
      <c r="J2734" s="135" t="n">
        <f aca="false">$G2734*'Analyse capacite'!$D$9</f>
        <v>12</v>
      </c>
      <c r="K2734" s="135" t="n">
        <f aca="false">$G2734*'Analyse capacite'!$E$9</f>
        <v>162</v>
      </c>
    </row>
    <row r="2735" customFormat="false" ht="15" hidden="false" customHeight="false" outlineLevel="0" collapsed="false">
      <c r="B2735" s="130" t="n">
        <v>2027</v>
      </c>
      <c r="C2735" s="131" t="s">
        <v>248</v>
      </c>
      <c r="D2735" s="132" t="n">
        <v>46553</v>
      </c>
      <c r="E2735" s="131" t="s">
        <v>59</v>
      </c>
      <c r="F2735" s="133" t="s">
        <v>11</v>
      </c>
      <c r="G2735" s="134" t="n">
        <f aca="false">LEN('Saisie programme'!$E$121)+SUMIFS('Vols additionnels'!$E$7:$E$66,'Vols additionnels'!$C$7:$C$66,$E2735,'Vols additionnels'!$D$7:$D$66,$F2735,'Vols additionnels'!$B$7:$B$66,$D2735)</f>
        <v>0</v>
      </c>
      <c r="H2735" s="135" t="n">
        <f aca="false">$G2735*'Analyse capacite'!$F$7</f>
        <v>0</v>
      </c>
      <c r="I2735" s="135" t="n">
        <f aca="false">$G2735*'Analyse capacite'!$C$7</f>
        <v>0</v>
      </c>
      <c r="J2735" s="135" t="n">
        <f aca="false">$G2735*'Analyse capacite'!$D$7</f>
        <v>0</v>
      </c>
      <c r="K2735" s="135" t="n">
        <f aca="false">$G2735*'Analyse capacite'!$E$7</f>
        <v>0</v>
      </c>
    </row>
    <row r="2736" customFormat="false" ht="15" hidden="false" customHeight="false" outlineLevel="0" collapsed="false">
      <c r="B2736" s="130" t="n">
        <v>2027</v>
      </c>
      <c r="C2736" s="131" t="s">
        <v>248</v>
      </c>
      <c r="D2736" s="132" t="n">
        <v>46553</v>
      </c>
      <c r="E2736" s="131" t="s">
        <v>59</v>
      </c>
      <c r="F2736" s="133" t="s">
        <v>19</v>
      </c>
      <c r="G2736" s="134" t="n">
        <f aca="false">LEN('Saisie programme'!$E$122)+SUMIFS('Vols additionnels'!$E$7:$E$66,'Vols additionnels'!$C$7:$C$66,$E2736,'Vols additionnels'!$D$7:$D$66,$F2736,'Vols additionnels'!$B$7:$B$66,$D2736)</f>
        <v>0</v>
      </c>
      <c r="H2736" s="135" t="n">
        <f aca="false">$G2736*'Analyse capacite'!$F$8</f>
        <v>0</v>
      </c>
      <c r="I2736" s="135" t="n">
        <f aca="false">$G2736*'Analyse capacite'!$C$8</f>
        <v>0</v>
      </c>
      <c r="J2736" s="135" t="n">
        <f aca="false">$G2736*'Analyse capacite'!$D$8</f>
        <v>0</v>
      </c>
      <c r="K2736" s="135" t="n">
        <f aca="false">$G2736*'Analyse capacite'!$E$8</f>
        <v>0</v>
      </c>
    </row>
    <row r="2737" customFormat="false" ht="15" hidden="false" customHeight="false" outlineLevel="0" collapsed="false">
      <c r="B2737" s="130" t="n">
        <v>2027</v>
      </c>
      <c r="C2737" s="131" t="s">
        <v>248</v>
      </c>
      <c r="D2737" s="132" t="n">
        <v>46553</v>
      </c>
      <c r="E2737" s="131" t="s">
        <v>59</v>
      </c>
      <c r="F2737" s="133" t="s">
        <v>24</v>
      </c>
      <c r="G2737" s="134" t="n">
        <f aca="false">LEN('Saisie programme'!$E$123)+SUMIFS('Vols additionnels'!$E$7:$E$66,'Vols additionnels'!$C$7:$C$66,$E2737,'Vols additionnels'!$D$7:$D$66,$F2737,'Vols additionnels'!$B$7:$B$66,$D2737)</f>
        <v>1</v>
      </c>
      <c r="H2737" s="135" t="n">
        <f aca="false">$G2737*'Analyse capacite'!$F$9</f>
        <v>174</v>
      </c>
      <c r="I2737" s="135" t="n">
        <f aca="false">$G2737*'Analyse capacite'!$C$9</f>
        <v>0</v>
      </c>
      <c r="J2737" s="135" t="n">
        <f aca="false">$G2737*'Analyse capacite'!$D$9</f>
        <v>12</v>
      </c>
      <c r="K2737" s="135" t="n">
        <f aca="false">$G2737*'Analyse capacite'!$E$9</f>
        <v>162</v>
      </c>
    </row>
    <row r="2738" customFormat="false" ht="15" hidden="false" customHeight="false" outlineLevel="0" collapsed="false">
      <c r="B2738" s="130" t="n">
        <v>2027</v>
      </c>
      <c r="C2738" s="131" t="s">
        <v>248</v>
      </c>
      <c r="D2738" s="132" t="n">
        <v>46553</v>
      </c>
      <c r="E2738" s="131" t="s">
        <v>62</v>
      </c>
      <c r="F2738" s="133" t="s">
        <v>11</v>
      </c>
      <c r="G2738" s="134" t="n">
        <f aca="false">LEN('Saisie programme'!$E$124)+SUMIFS('Vols additionnels'!$E$7:$E$66,'Vols additionnels'!$C$7:$C$66,$E2738,'Vols additionnels'!$D$7:$D$66,$F2738,'Vols additionnels'!$B$7:$B$66,$D2738)</f>
        <v>0</v>
      </c>
      <c r="H2738" s="135" t="n">
        <f aca="false">$G2738*'Analyse capacite'!$F$7</f>
        <v>0</v>
      </c>
      <c r="I2738" s="135" t="n">
        <f aca="false">$G2738*'Analyse capacite'!$C$7</f>
        <v>0</v>
      </c>
      <c r="J2738" s="135" t="n">
        <f aca="false">$G2738*'Analyse capacite'!$D$7</f>
        <v>0</v>
      </c>
      <c r="K2738" s="135" t="n">
        <f aca="false">$G2738*'Analyse capacite'!$E$7</f>
        <v>0</v>
      </c>
    </row>
    <row r="2739" customFormat="false" ht="15" hidden="false" customHeight="false" outlineLevel="0" collapsed="false">
      <c r="B2739" s="130" t="n">
        <v>2027</v>
      </c>
      <c r="C2739" s="131" t="s">
        <v>248</v>
      </c>
      <c r="D2739" s="132" t="n">
        <v>46553</v>
      </c>
      <c r="E2739" s="131" t="s">
        <v>62</v>
      </c>
      <c r="F2739" s="133" t="s">
        <v>19</v>
      </c>
      <c r="G2739" s="134" t="n">
        <f aca="false">LEN('Saisie programme'!$E$125)+SUMIFS('Vols additionnels'!$E$7:$E$66,'Vols additionnels'!$C$7:$C$66,$E2739,'Vols additionnels'!$D$7:$D$66,$F2739,'Vols additionnels'!$B$7:$B$66,$D2739)</f>
        <v>0</v>
      </c>
      <c r="H2739" s="135" t="n">
        <f aca="false">$G2739*'Analyse capacite'!$F$8</f>
        <v>0</v>
      </c>
      <c r="I2739" s="135" t="n">
        <f aca="false">$G2739*'Analyse capacite'!$C$8</f>
        <v>0</v>
      </c>
      <c r="J2739" s="135" t="n">
        <f aca="false">$G2739*'Analyse capacite'!$D$8</f>
        <v>0</v>
      </c>
      <c r="K2739" s="135" t="n">
        <f aca="false">$G2739*'Analyse capacite'!$E$8</f>
        <v>0</v>
      </c>
    </row>
    <row r="2740" customFormat="false" ht="15" hidden="false" customHeight="false" outlineLevel="0" collapsed="false">
      <c r="B2740" s="130" t="n">
        <v>2027</v>
      </c>
      <c r="C2740" s="131" t="s">
        <v>248</v>
      </c>
      <c r="D2740" s="132" t="n">
        <v>46553</v>
      </c>
      <c r="E2740" s="131" t="s">
        <v>62</v>
      </c>
      <c r="F2740" s="133" t="s">
        <v>24</v>
      </c>
      <c r="G2740" s="134" t="n">
        <f aca="false">LEN('Saisie programme'!$E$126)+SUMIFS('Vols additionnels'!$E$7:$E$66,'Vols additionnels'!$C$7:$C$66,$E2740,'Vols additionnels'!$D$7:$D$66,$F2740,'Vols additionnels'!$B$7:$B$66,$D2740)</f>
        <v>0</v>
      </c>
      <c r="H2740" s="135" t="n">
        <f aca="false">$G2740*'Analyse capacite'!$F$9</f>
        <v>0</v>
      </c>
      <c r="I2740" s="135" t="n">
        <f aca="false">$G2740*'Analyse capacite'!$C$9</f>
        <v>0</v>
      </c>
      <c r="J2740" s="135" t="n">
        <f aca="false">$G2740*'Analyse capacite'!$D$9</f>
        <v>0</v>
      </c>
      <c r="K2740" s="135" t="n">
        <f aca="false">$G2740*'Analyse capacite'!$E$9</f>
        <v>0</v>
      </c>
    </row>
    <row r="2741" customFormat="false" ht="15" hidden="false" customHeight="false" outlineLevel="0" collapsed="false">
      <c r="B2741" s="130" t="n">
        <v>2027</v>
      </c>
      <c r="C2741" s="131" t="s">
        <v>248</v>
      </c>
      <c r="D2741" s="132" t="n">
        <v>46554</v>
      </c>
      <c r="E2741" s="131" t="s">
        <v>12</v>
      </c>
      <c r="F2741" s="133" t="s">
        <v>11</v>
      </c>
      <c r="G2741" s="134" t="n">
        <f aca="false">LEN('Saisie programme'!$F$91)+SUMIFS('Vols additionnels'!$E$7:$E$66,'Vols additionnels'!$C$7:$C$66,$E2741,'Vols additionnels'!$D$7:$D$66,$F2741,'Vols additionnels'!$B$7:$B$66,$D2741)</f>
        <v>1</v>
      </c>
      <c r="H2741" s="135" t="n">
        <f aca="false">$G2741*'Analyse capacite'!$F$7</f>
        <v>438</v>
      </c>
      <c r="I2741" s="135" t="n">
        <f aca="false">$G2741*'Analyse capacite'!$C$7</f>
        <v>14</v>
      </c>
      <c r="J2741" s="135" t="n">
        <f aca="false">$G2741*'Analyse capacite'!$D$7</f>
        <v>40</v>
      </c>
      <c r="K2741" s="135" t="n">
        <f aca="false">$G2741*'Analyse capacite'!$E$7</f>
        <v>384</v>
      </c>
    </row>
    <row r="2742" customFormat="false" ht="15" hidden="false" customHeight="false" outlineLevel="0" collapsed="false">
      <c r="B2742" s="130" t="n">
        <v>2027</v>
      </c>
      <c r="C2742" s="131" t="s">
        <v>248</v>
      </c>
      <c r="D2742" s="132" t="n">
        <v>46554</v>
      </c>
      <c r="E2742" s="131" t="s">
        <v>12</v>
      </c>
      <c r="F2742" s="133" t="s">
        <v>19</v>
      </c>
      <c r="G2742" s="134" t="n">
        <f aca="false">LEN('Saisie programme'!$F$92)+SUMIFS('Vols additionnels'!$E$7:$E$66,'Vols additionnels'!$C$7:$C$66,$E2742,'Vols additionnels'!$D$7:$D$66,$F2742,'Vols additionnels'!$B$7:$B$66,$D2742)</f>
        <v>0</v>
      </c>
      <c r="H2742" s="135" t="n">
        <f aca="false">$G2742*'Analyse capacite'!$F$8</f>
        <v>0</v>
      </c>
      <c r="I2742" s="135" t="n">
        <f aca="false">$G2742*'Analyse capacite'!$C$8</f>
        <v>0</v>
      </c>
      <c r="J2742" s="135" t="n">
        <f aca="false">$G2742*'Analyse capacite'!$D$8</f>
        <v>0</v>
      </c>
      <c r="K2742" s="135" t="n">
        <f aca="false">$G2742*'Analyse capacite'!$E$8</f>
        <v>0</v>
      </c>
    </row>
    <row r="2743" customFormat="false" ht="15" hidden="false" customHeight="false" outlineLevel="0" collapsed="false">
      <c r="B2743" s="130" t="n">
        <v>2027</v>
      </c>
      <c r="C2743" s="131" t="s">
        <v>248</v>
      </c>
      <c r="D2743" s="132" t="n">
        <v>46554</v>
      </c>
      <c r="E2743" s="131" t="s">
        <v>12</v>
      </c>
      <c r="F2743" s="133" t="s">
        <v>24</v>
      </c>
      <c r="G2743" s="134" t="n">
        <f aca="false">LEN('Saisie programme'!$F$93)+SUMIFS('Vols additionnels'!$E$7:$E$66,'Vols additionnels'!$C$7:$C$66,$E2743,'Vols additionnels'!$D$7:$D$66,$F2743,'Vols additionnels'!$B$7:$B$66,$D2743)</f>
        <v>0</v>
      </c>
      <c r="H2743" s="135" t="n">
        <f aca="false">$G2743*'Analyse capacite'!$F$9</f>
        <v>0</v>
      </c>
      <c r="I2743" s="135" t="n">
        <f aca="false">$G2743*'Analyse capacite'!$C$9</f>
        <v>0</v>
      </c>
      <c r="J2743" s="135" t="n">
        <f aca="false">$G2743*'Analyse capacite'!$D$9</f>
        <v>0</v>
      </c>
      <c r="K2743" s="135" t="n">
        <f aca="false">$G2743*'Analyse capacite'!$E$9</f>
        <v>0</v>
      </c>
    </row>
    <row r="2744" customFormat="false" ht="15" hidden="false" customHeight="false" outlineLevel="0" collapsed="false">
      <c r="B2744" s="130" t="n">
        <v>2027</v>
      </c>
      <c r="C2744" s="131" t="s">
        <v>248</v>
      </c>
      <c r="D2744" s="132" t="n">
        <v>46554</v>
      </c>
      <c r="E2744" s="131" t="s">
        <v>20</v>
      </c>
      <c r="F2744" s="133" t="s">
        <v>11</v>
      </c>
      <c r="G2744" s="134" t="n">
        <f aca="false">LEN('Saisie programme'!$F$94)+SUMIFS('Vols additionnels'!$E$7:$E$66,'Vols additionnels'!$C$7:$C$66,$E2744,'Vols additionnels'!$D$7:$D$66,$F2744,'Vols additionnels'!$B$7:$B$66,$D2744)</f>
        <v>0</v>
      </c>
      <c r="H2744" s="135" t="n">
        <f aca="false">$G2744*'Analyse capacite'!$F$7</f>
        <v>0</v>
      </c>
      <c r="I2744" s="135" t="n">
        <f aca="false">$G2744*'Analyse capacite'!$C$7</f>
        <v>0</v>
      </c>
      <c r="J2744" s="135" t="n">
        <f aca="false">$G2744*'Analyse capacite'!$D$7</f>
        <v>0</v>
      </c>
      <c r="K2744" s="135" t="n">
        <f aca="false">$G2744*'Analyse capacite'!$E$7</f>
        <v>0</v>
      </c>
    </row>
    <row r="2745" customFormat="false" ht="15" hidden="false" customHeight="false" outlineLevel="0" collapsed="false">
      <c r="B2745" s="130" t="n">
        <v>2027</v>
      </c>
      <c r="C2745" s="131" t="s">
        <v>248</v>
      </c>
      <c r="D2745" s="132" t="n">
        <v>46554</v>
      </c>
      <c r="E2745" s="131" t="s">
        <v>20</v>
      </c>
      <c r="F2745" s="133" t="s">
        <v>19</v>
      </c>
      <c r="G2745" s="134" t="n">
        <f aca="false">LEN('Saisie programme'!$F$95)+SUMIFS('Vols additionnels'!$E$7:$E$66,'Vols additionnels'!$C$7:$C$66,$E2745,'Vols additionnels'!$D$7:$D$66,$F2745,'Vols additionnels'!$B$7:$B$66,$D2745)</f>
        <v>0</v>
      </c>
      <c r="H2745" s="135" t="n">
        <f aca="false">$G2745*'Analyse capacite'!$F$8</f>
        <v>0</v>
      </c>
      <c r="I2745" s="135" t="n">
        <f aca="false">$G2745*'Analyse capacite'!$C$8</f>
        <v>0</v>
      </c>
      <c r="J2745" s="135" t="n">
        <f aca="false">$G2745*'Analyse capacite'!$D$8</f>
        <v>0</v>
      </c>
      <c r="K2745" s="135" t="n">
        <f aca="false">$G2745*'Analyse capacite'!$E$8</f>
        <v>0</v>
      </c>
    </row>
    <row r="2746" customFormat="false" ht="15" hidden="false" customHeight="false" outlineLevel="0" collapsed="false">
      <c r="B2746" s="130" t="n">
        <v>2027</v>
      </c>
      <c r="C2746" s="131" t="s">
        <v>248</v>
      </c>
      <c r="D2746" s="132" t="n">
        <v>46554</v>
      </c>
      <c r="E2746" s="131" t="s">
        <v>20</v>
      </c>
      <c r="F2746" s="133" t="s">
        <v>24</v>
      </c>
      <c r="G2746" s="134" t="n">
        <f aca="false">LEN('Saisie programme'!$F$96)+SUMIFS('Vols additionnels'!$E$7:$E$66,'Vols additionnels'!$C$7:$C$66,$E2746,'Vols additionnels'!$D$7:$D$66,$F2746,'Vols additionnels'!$B$7:$B$66,$D2746)</f>
        <v>0</v>
      </c>
      <c r="H2746" s="135" t="n">
        <f aca="false">$G2746*'Analyse capacite'!$F$9</f>
        <v>0</v>
      </c>
      <c r="I2746" s="135" t="n">
        <f aca="false">$G2746*'Analyse capacite'!$C$9</f>
        <v>0</v>
      </c>
      <c r="J2746" s="135" t="n">
        <f aca="false">$G2746*'Analyse capacite'!$D$9</f>
        <v>0</v>
      </c>
      <c r="K2746" s="135" t="n">
        <f aca="false">$G2746*'Analyse capacite'!$E$9</f>
        <v>0</v>
      </c>
    </row>
    <row r="2747" customFormat="false" ht="15" hidden="false" customHeight="false" outlineLevel="0" collapsed="false">
      <c r="B2747" s="130" t="n">
        <v>2027</v>
      </c>
      <c r="C2747" s="131" t="s">
        <v>248</v>
      </c>
      <c r="D2747" s="132" t="n">
        <v>46554</v>
      </c>
      <c r="E2747" s="131" t="s">
        <v>25</v>
      </c>
      <c r="F2747" s="133" t="s">
        <v>11</v>
      </c>
      <c r="G2747" s="134" t="n">
        <f aca="false">LEN('Saisie programme'!$F$97)+SUMIFS('Vols additionnels'!$E$7:$E$66,'Vols additionnels'!$C$7:$C$66,$E2747,'Vols additionnels'!$D$7:$D$66,$F2747,'Vols additionnels'!$B$7:$B$66,$D2747)</f>
        <v>0</v>
      </c>
      <c r="H2747" s="135" t="n">
        <f aca="false">$G2747*'Analyse capacite'!$F$7</f>
        <v>0</v>
      </c>
      <c r="I2747" s="135" t="n">
        <f aca="false">$G2747*'Analyse capacite'!$C$7</f>
        <v>0</v>
      </c>
      <c r="J2747" s="135" t="n">
        <f aca="false">$G2747*'Analyse capacite'!$D$7</f>
        <v>0</v>
      </c>
      <c r="K2747" s="135" t="n">
        <f aca="false">$G2747*'Analyse capacite'!$E$7</f>
        <v>0</v>
      </c>
    </row>
    <row r="2748" customFormat="false" ht="15" hidden="false" customHeight="false" outlineLevel="0" collapsed="false">
      <c r="B2748" s="130" t="n">
        <v>2027</v>
      </c>
      <c r="C2748" s="131" t="s">
        <v>248</v>
      </c>
      <c r="D2748" s="132" t="n">
        <v>46554</v>
      </c>
      <c r="E2748" s="131" t="s">
        <v>25</v>
      </c>
      <c r="F2748" s="133" t="s">
        <v>19</v>
      </c>
      <c r="G2748" s="134" t="n">
        <f aca="false">LEN('Saisie programme'!$F$98)+SUMIFS('Vols additionnels'!$E$7:$E$66,'Vols additionnels'!$C$7:$C$66,$E2748,'Vols additionnels'!$D$7:$D$66,$F2748,'Vols additionnels'!$B$7:$B$66,$D2748)</f>
        <v>1</v>
      </c>
      <c r="H2748" s="135" t="n">
        <f aca="false">$G2748*'Analyse capacite'!$F$8</f>
        <v>262</v>
      </c>
      <c r="I2748" s="135" t="n">
        <f aca="false">$G2748*'Analyse capacite'!$C$8</f>
        <v>18</v>
      </c>
      <c r="J2748" s="135" t="n">
        <f aca="false">$G2748*'Analyse capacite'!$D$8</f>
        <v>0</v>
      </c>
      <c r="K2748" s="135" t="n">
        <f aca="false">$G2748*'Analyse capacite'!$E$8</f>
        <v>244</v>
      </c>
    </row>
    <row r="2749" customFormat="false" ht="15" hidden="false" customHeight="false" outlineLevel="0" collapsed="false">
      <c r="B2749" s="130" t="n">
        <v>2027</v>
      </c>
      <c r="C2749" s="131" t="s">
        <v>248</v>
      </c>
      <c r="D2749" s="132" t="n">
        <v>46554</v>
      </c>
      <c r="E2749" s="131" t="s">
        <v>25</v>
      </c>
      <c r="F2749" s="133" t="s">
        <v>24</v>
      </c>
      <c r="G2749" s="134" t="n">
        <f aca="false">LEN('Saisie programme'!$F$99)+SUMIFS('Vols additionnels'!$E$7:$E$66,'Vols additionnels'!$C$7:$C$66,$E2749,'Vols additionnels'!$D$7:$D$66,$F2749,'Vols additionnels'!$B$7:$B$66,$D2749)</f>
        <v>0</v>
      </c>
      <c r="H2749" s="135" t="n">
        <f aca="false">$G2749*'Analyse capacite'!$F$9</f>
        <v>0</v>
      </c>
      <c r="I2749" s="135" t="n">
        <f aca="false">$G2749*'Analyse capacite'!$C$9</f>
        <v>0</v>
      </c>
      <c r="J2749" s="135" t="n">
        <f aca="false">$G2749*'Analyse capacite'!$D$9</f>
        <v>0</v>
      </c>
      <c r="K2749" s="135" t="n">
        <f aca="false">$G2749*'Analyse capacite'!$E$9</f>
        <v>0</v>
      </c>
    </row>
    <row r="2750" customFormat="false" ht="15" hidden="false" customHeight="false" outlineLevel="0" collapsed="false">
      <c r="B2750" s="130" t="n">
        <v>2027</v>
      </c>
      <c r="C2750" s="131" t="s">
        <v>248</v>
      </c>
      <c r="D2750" s="132" t="n">
        <v>46554</v>
      </c>
      <c r="E2750" s="131" t="s">
        <v>36</v>
      </c>
      <c r="F2750" s="133" t="s">
        <v>11</v>
      </c>
      <c r="G2750" s="134" t="n">
        <f aca="false">LEN('Saisie programme'!$F$100)+SUMIFS('Vols additionnels'!$E$7:$E$66,'Vols additionnels'!$C$7:$C$66,$E2750,'Vols additionnels'!$D$7:$D$66,$F2750,'Vols additionnels'!$B$7:$B$66,$D2750)</f>
        <v>0</v>
      </c>
      <c r="H2750" s="135" t="n">
        <f aca="false">$G2750*'Analyse capacite'!$F$7</f>
        <v>0</v>
      </c>
      <c r="I2750" s="135" t="n">
        <f aca="false">$G2750*'Analyse capacite'!$C$7</f>
        <v>0</v>
      </c>
      <c r="J2750" s="135" t="n">
        <f aca="false">$G2750*'Analyse capacite'!$D$7</f>
        <v>0</v>
      </c>
      <c r="K2750" s="135" t="n">
        <f aca="false">$G2750*'Analyse capacite'!$E$7</f>
        <v>0</v>
      </c>
    </row>
    <row r="2751" customFormat="false" ht="15" hidden="false" customHeight="false" outlineLevel="0" collapsed="false">
      <c r="B2751" s="130" t="n">
        <v>2027</v>
      </c>
      <c r="C2751" s="131" t="s">
        <v>248</v>
      </c>
      <c r="D2751" s="132" t="n">
        <v>46554</v>
      </c>
      <c r="E2751" s="131" t="s">
        <v>36</v>
      </c>
      <c r="F2751" s="133" t="s">
        <v>19</v>
      </c>
      <c r="G2751" s="134" t="n">
        <f aca="false">LEN('Saisie programme'!$F$101)+SUMIFS('Vols additionnels'!$E$7:$E$66,'Vols additionnels'!$C$7:$C$66,$E2751,'Vols additionnels'!$D$7:$D$66,$F2751,'Vols additionnels'!$B$7:$B$66,$D2751)</f>
        <v>1</v>
      </c>
      <c r="H2751" s="135" t="n">
        <f aca="false">$G2751*'Analyse capacite'!$F$8</f>
        <v>262</v>
      </c>
      <c r="I2751" s="135" t="n">
        <f aca="false">$G2751*'Analyse capacite'!$C$8</f>
        <v>18</v>
      </c>
      <c r="J2751" s="135" t="n">
        <f aca="false">$G2751*'Analyse capacite'!$D$8</f>
        <v>0</v>
      </c>
      <c r="K2751" s="135" t="n">
        <f aca="false">$G2751*'Analyse capacite'!$E$8</f>
        <v>244</v>
      </c>
    </row>
    <row r="2752" customFormat="false" ht="15" hidden="false" customHeight="false" outlineLevel="0" collapsed="false">
      <c r="B2752" s="130" t="n">
        <v>2027</v>
      </c>
      <c r="C2752" s="131" t="s">
        <v>248</v>
      </c>
      <c r="D2752" s="132" t="n">
        <v>46554</v>
      </c>
      <c r="E2752" s="131" t="s">
        <v>36</v>
      </c>
      <c r="F2752" s="133" t="s">
        <v>24</v>
      </c>
      <c r="G2752" s="134" t="n">
        <f aca="false">LEN('Saisie programme'!$F$102)+SUMIFS('Vols additionnels'!$E$7:$E$66,'Vols additionnels'!$C$7:$C$66,$E2752,'Vols additionnels'!$D$7:$D$66,$F2752,'Vols additionnels'!$B$7:$B$66,$D2752)</f>
        <v>1</v>
      </c>
      <c r="H2752" s="135" t="n">
        <f aca="false">$G2752*'Analyse capacite'!$F$9</f>
        <v>174</v>
      </c>
      <c r="I2752" s="135" t="n">
        <f aca="false">$G2752*'Analyse capacite'!$C$9</f>
        <v>0</v>
      </c>
      <c r="J2752" s="135" t="n">
        <f aca="false">$G2752*'Analyse capacite'!$D$9</f>
        <v>12</v>
      </c>
      <c r="K2752" s="135" t="n">
        <f aca="false">$G2752*'Analyse capacite'!$E$9</f>
        <v>162</v>
      </c>
    </row>
    <row r="2753" customFormat="false" ht="15" hidden="false" customHeight="false" outlineLevel="0" collapsed="false">
      <c r="B2753" s="130" t="n">
        <v>2027</v>
      </c>
      <c r="C2753" s="131" t="s">
        <v>248</v>
      </c>
      <c r="D2753" s="132" t="n">
        <v>46554</v>
      </c>
      <c r="E2753" s="131" t="s">
        <v>40</v>
      </c>
      <c r="F2753" s="133" t="s">
        <v>11</v>
      </c>
      <c r="G2753" s="134" t="n">
        <f aca="false">LEN('Saisie programme'!$F$103)+SUMIFS('Vols additionnels'!$E$7:$E$66,'Vols additionnels'!$C$7:$C$66,$E2753,'Vols additionnels'!$D$7:$D$66,$F2753,'Vols additionnels'!$B$7:$B$66,$D2753)</f>
        <v>0</v>
      </c>
      <c r="H2753" s="135" t="n">
        <f aca="false">$G2753*'Analyse capacite'!$F$7</f>
        <v>0</v>
      </c>
      <c r="I2753" s="135" t="n">
        <f aca="false">$G2753*'Analyse capacite'!$C$7</f>
        <v>0</v>
      </c>
      <c r="J2753" s="135" t="n">
        <f aca="false">$G2753*'Analyse capacite'!$D$7</f>
        <v>0</v>
      </c>
      <c r="K2753" s="135" t="n">
        <f aca="false">$G2753*'Analyse capacite'!$E$7</f>
        <v>0</v>
      </c>
    </row>
    <row r="2754" customFormat="false" ht="15" hidden="false" customHeight="false" outlineLevel="0" collapsed="false">
      <c r="B2754" s="130" t="n">
        <v>2027</v>
      </c>
      <c r="C2754" s="131" t="s">
        <v>248</v>
      </c>
      <c r="D2754" s="132" t="n">
        <v>46554</v>
      </c>
      <c r="E2754" s="131" t="s">
        <v>40</v>
      </c>
      <c r="F2754" s="133" t="s">
        <v>19</v>
      </c>
      <c r="G2754" s="134" t="n">
        <f aca="false">LEN('Saisie programme'!$F$104)+SUMIFS('Vols additionnels'!$E$7:$E$66,'Vols additionnels'!$C$7:$C$66,$E2754,'Vols additionnels'!$D$7:$D$66,$F2754,'Vols additionnels'!$B$7:$B$66,$D2754)</f>
        <v>0</v>
      </c>
      <c r="H2754" s="135" t="n">
        <f aca="false">$G2754*'Analyse capacite'!$F$8</f>
        <v>0</v>
      </c>
      <c r="I2754" s="135" t="n">
        <f aca="false">$G2754*'Analyse capacite'!$C$8</f>
        <v>0</v>
      </c>
      <c r="J2754" s="135" t="n">
        <f aca="false">$G2754*'Analyse capacite'!$D$8</f>
        <v>0</v>
      </c>
      <c r="K2754" s="135" t="n">
        <f aca="false">$G2754*'Analyse capacite'!$E$8</f>
        <v>0</v>
      </c>
    </row>
    <row r="2755" customFormat="false" ht="15" hidden="false" customHeight="false" outlineLevel="0" collapsed="false">
      <c r="B2755" s="130" t="n">
        <v>2027</v>
      </c>
      <c r="C2755" s="131" t="s">
        <v>248</v>
      </c>
      <c r="D2755" s="132" t="n">
        <v>46554</v>
      </c>
      <c r="E2755" s="131" t="s">
        <v>40</v>
      </c>
      <c r="F2755" s="133" t="s">
        <v>24</v>
      </c>
      <c r="G2755" s="134" t="n">
        <f aca="false">LEN('Saisie programme'!$F$105)+SUMIFS('Vols additionnels'!$E$7:$E$66,'Vols additionnels'!$C$7:$C$66,$E2755,'Vols additionnels'!$D$7:$D$66,$F2755,'Vols additionnels'!$B$7:$B$66,$D2755)</f>
        <v>1</v>
      </c>
      <c r="H2755" s="135" t="n">
        <f aca="false">$G2755*'Analyse capacite'!$F$9</f>
        <v>174</v>
      </c>
      <c r="I2755" s="135" t="n">
        <f aca="false">$G2755*'Analyse capacite'!$C$9</f>
        <v>0</v>
      </c>
      <c r="J2755" s="135" t="n">
        <f aca="false">$G2755*'Analyse capacite'!$D$9</f>
        <v>12</v>
      </c>
      <c r="K2755" s="135" t="n">
        <f aca="false">$G2755*'Analyse capacite'!$E$9</f>
        <v>162</v>
      </c>
    </row>
    <row r="2756" customFormat="false" ht="15" hidden="false" customHeight="false" outlineLevel="0" collapsed="false">
      <c r="B2756" s="130" t="n">
        <v>2027</v>
      </c>
      <c r="C2756" s="131" t="s">
        <v>248</v>
      </c>
      <c r="D2756" s="132" t="n">
        <v>46554</v>
      </c>
      <c r="E2756" s="131" t="s">
        <v>14</v>
      </c>
      <c r="F2756" s="133" t="s">
        <v>11</v>
      </c>
      <c r="G2756" s="134" t="n">
        <f aca="false">LEN('Saisie programme'!$F$106)+SUMIFS('Vols additionnels'!$E$7:$E$66,'Vols additionnels'!$C$7:$C$66,$E2756,'Vols additionnels'!$D$7:$D$66,$F2756,'Vols additionnels'!$B$7:$B$66,$D2756)</f>
        <v>0</v>
      </c>
      <c r="H2756" s="135" t="n">
        <f aca="false">$G2756*'Analyse capacite'!$F$7</f>
        <v>0</v>
      </c>
      <c r="I2756" s="135" t="n">
        <f aca="false">$G2756*'Analyse capacite'!$C$7</f>
        <v>0</v>
      </c>
      <c r="J2756" s="135" t="n">
        <f aca="false">$G2756*'Analyse capacite'!$D$7</f>
        <v>0</v>
      </c>
      <c r="K2756" s="135" t="n">
        <f aca="false">$G2756*'Analyse capacite'!$E$7</f>
        <v>0</v>
      </c>
    </row>
    <row r="2757" customFormat="false" ht="15" hidden="false" customHeight="false" outlineLevel="0" collapsed="false">
      <c r="B2757" s="130" t="n">
        <v>2027</v>
      </c>
      <c r="C2757" s="131" t="s">
        <v>248</v>
      </c>
      <c r="D2757" s="132" t="n">
        <v>46554</v>
      </c>
      <c r="E2757" s="131" t="s">
        <v>14</v>
      </c>
      <c r="F2757" s="133" t="s">
        <v>19</v>
      </c>
      <c r="G2757" s="134" t="n">
        <f aca="false">LEN('Saisie programme'!$F$107)+SUMIFS('Vols additionnels'!$E$7:$E$66,'Vols additionnels'!$C$7:$C$66,$E2757,'Vols additionnels'!$D$7:$D$66,$F2757,'Vols additionnels'!$B$7:$B$66,$D2757)</f>
        <v>0</v>
      </c>
      <c r="H2757" s="135" t="n">
        <f aca="false">$G2757*'Analyse capacite'!$F$8</f>
        <v>0</v>
      </c>
      <c r="I2757" s="135" t="n">
        <f aca="false">$G2757*'Analyse capacite'!$C$8</f>
        <v>0</v>
      </c>
      <c r="J2757" s="135" t="n">
        <f aca="false">$G2757*'Analyse capacite'!$D$8</f>
        <v>0</v>
      </c>
      <c r="K2757" s="135" t="n">
        <f aca="false">$G2757*'Analyse capacite'!$E$8</f>
        <v>0</v>
      </c>
    </row>
    <row r="2758" customFormat="false" ht="15" hidden="false" customHeight="false" outlineLevel="0" collapsed="false">
      <c r="B2758" s="130" t="n">
        <v>2027</v>
      </c>
      <c r="C2758" s="131" t="s">
        <v>248</v>
      </c>
      <c r="D2758" s="132" t="n">
        <v>46554</v>
      </c>
      <c r="E2758" s="131" t="s">
        <v>14</v>
      </c>
      <c r="F2758" s="133" t="s">
        <v>24</v>
      </c>
      <c r="G2758" s="134" t="n">
        <f aca="false">LEN('Saisie programme'!$F$108)+SUMIFS('Vols additionnels'!$E$7:$E$66,'Vols additionnels'!$C$7:$C$66,$E2758,'Vols additionnels'!$D$7:$D$66,$F2758,'Vols additionnels'!$B$7:$B$66,$D2758)</f>
        <v>0</v>
      </c>
      <c r="H2758" s="135" t="n">
        <f aca="false">$G2758*'Analyse capacite'!$F$9</f>
        <v>0</v>
      </c>
      <c r="I2758" s="135" t="n">
        <f aca="false">$G2758*'Analyse capacite'!$C$9</f>
        <v>0</v>
      </c>
      <c r="J2758" s="135" t="n">
        <f aca="false">$G2758*'Analyse capacite'!$D$9</f>
        <v>0</v>
      </c>
      <c r="K2758" s="135" t="n">
        <f aca="false">$G2758*'Analyse capacite'!$E$9</f>
        <v>0</v>
      </c>
    </row>
    <row r="2759" customFormat="false" ht="15" hidden="false" customHeight="false" outlineLevel="0" collapsed="false">
      <c r="B2759" s="130" t="n">
        <v>2027</v>
      </c>
      <c r="C2759" s="131" t="s">
        <v>248</v>
      </c>
      <c r="D2759" s="132" t="n">
        <v>46554</v>
      </c>
      <c r="E2759" s="131" t="s">
        <v>46</v>
      </c>
      <c r="F2759" s="133" t="s">
        <v>11</v>
      </c>
      <c r="G2759" s="134" t="n">
        <f aca="false">LEN('Saisie programme'!$F$109)+SUMIFS('Vols additionnels'!$E$7:$E$66,'Vols additionnels'!$C$7:$C$66,$E2759,'Vols additionnels'!$D$7:$D$66,$F2759,'Vols additionnels'!$B$7:$B$66,$D2759)</f>
        <v>0</v>
      </c>
      <c r="H2759" s="135" t="n">
        <f aca="false">$G2759*'Analyse capacite'!$F$7</f>
        <v>0</v>
      </c>
      <c r="I2759" s="135" t="n">
        <f aca="false">$G2759*'Analyse capacite'!$C$7</f>
        <v>0</v>
      </c>
      <c r="J2759" s="135" t="n">
        <f aca="false">$G2759*'Analyse capacite'!$D$7</f>
        <v>0</v>
      </c>
      <c r="K2759" s="135" t="n">
        <f aca="false">$G2759*'Analyse capacite'!$E$7</f>
        <v>0</v>
      </c>
    </row>
    <row r="2760" customFormat="false" ht="15" hidden="false" customHeight="false" outlineLevel="0" collapsed="false">
      <c r="B2760" s="130" t="n">
        <v>2027</v>
      </c>
      <c r="C2760" s="131" t="s">
        <v>248</v>
      </c>
      <c r="D2760" s="132" t="n">
        <v>46554</v>
      </c>
      <c r="E2760" s="131" t="s">
        <v>46</v>
      </c>
      <c r="F2760" s="133" t="s">
        <v>19</v>
      </c>
      <c r="G2760" s="134" t="n">
        <f aca="false">LEN('Saisie programme'!$F$110)+SUMIFS('Vols additionnels'!$E$7:$E$66,'Vols additionnels'!$C$7:$C$66,$E2760,'Vols additionnels'!$D$7:$D$66,$F2760,'Vols additionnels'!$B$7:$B$66,$D2760)</f>
        <v>0</v>
      </c>
      <c r="H2760" s="135" t="n">
        <f aca="false">$G2760*'Analyse capacite'!$F$8</f>
        <v>0</v>
      </c>
      <c r="I2760" s="135" t="n">
        <f aca="false">$G2760*'Analyse capacite'!$C$8</f>
        <v>0</v>
      </c>
      <c r="J2760" s="135" t="n">
        <f aca="false">$G2760*'Analyse capacite'!$D$8</f>
        <v>0</v>
      </c>
      <c r="K2760" s="135" t="n">
        <f aca="false">$G2760*'Analyse capacite'!$E$8</f>
        <v>0</v>
      </c>
    </row>
    <row r="2761" customFormat="false" ht="15" hidden="false" customHeight="false" outlineLevel="0" collapsed="false">
      <c r="B2761" s="130" t="n">
        <v>2027</v>
      </c>
      <c r="C2761" s="131" t="s">
        <v>248</v>
      </c>
      <c r="D2761" s="132" t="n">
        <v>46554</v>
      </c>
      <c r="E2761" s="131" t="s">
        <v>46</v>
      </c>
      <c r="F2761" s="133" t="s">
        <v>24</v>
      </c>
      <c r="G2761" s="134" t="n">
        <f aca="false">LEN('Saisie programme'!$F$111)+SUMIFS('Vols additionnels'!$E$7:$E$66,'Vols additionnels'!$C$7:$C$66,$E2761,'Vols additionnels'!$D$7:$D$66,$F2761,'Vols additionnels'!$B$7:$B$66,$D2761)</f>
        <v>0</v>
      </c>
      <c r="H2761" s="135" t="n">
        <f aca="false">$G2761*'Analyse capacite'!$F$9</f>
        <v>0</v>
      </c>
      <c r="I2761" s="135" t="n">
        <f aca="false">$G2761*'Analyse capacite'!$C$9</f>
        <v>0</v>
      </c>
      <c r="J2761" s="135" t="n">
        <f aca="false">$G2761*'Analyse capacite'!$D$9</f>
        <v>0</v>
      </c>
      <c r="K2761" s="135" t="n">
        <f aca="false">$G2761*'Analyse capacite'!$E$9</f>
        <v>0</v>
      </c>
    </row>
    <row r="2762" customFormat="false" ht="15" hidden="false" customHeight="false" outlineLevel="0" collapsed="false">
      <c r="B2762" s="130" t="n">
        <v>2027</v>
      </c>
      <c r="C2762" s="131" t="s">
        <v>248</v>
      </c>
      <c r="D2762" s="132" t="n">
        <v>46554</v>
      </c>
      <c r="E2762" s="131" t="s">
        <v>49</v>
      </c>
      <c r="F2762" s="133" t="s">
        <v>11</v>
      </c>
      <c r="G2762" s="134" t="n">
        <f aca="false">LEN('Saisie programme'!$F$112)+SUMIFS('Vols additionnels'!$E$7:$E$66,'Vols additionnels'!$C$7:$C$66,$E2762,'Vols additionnels'!$D$7:$D$66,$F2762,'Vols additionnels'!$B$7:$B$66,$D2762)</f>
        <v>0</v>
      </c>
      <c r="H2762" s="135" t="n">
        <f aca="false">$G2762*'Analyse capacite'!$F$7</f>
        <v>0</v>
      </c>
      <c r="I2762" s="135" t="n">
        <f aca="false">$G2762*'Analyse capacite'!$C$7</f>
        <v>0</v>
      </c>
      <c r="J2762" s="135" t="n">
        <f aca="false">$G2762*'Analyse capacite'!$D$7</f>
        <v>0</v>
      </c>
      <c r="K2762" s="135" t="n">
        <f aca="false">$G2762*'Analyse capacite'!$E$7</f>
        <v>0</v>
      </c>
    </row>
    <row r="2763" customFormat="false" ht="15" hidden="false" customHeight="false" outlineLevel="0" collapsed="false">
      <c r="B2763" s="130" t="n">
        <v>2027</v>
      </c>
      <c r="C2763" s="131" t="s">
        <v>248</v>
      </c>
      <c r="D2763" s="132" t="n">
        <v>46554</v>
      </c>
      <c r="E2763" s="131" t="s">
        <v>49</v>
      </c>
      <c r="F2763" s="133" t="s">
        <v>19</v>
      </c>
      <c r="G2763" s="134" t="n">
        <f aca="false">LEN('Saisie programme'!$F$113)+SUMIFS('Vols additionnels'!$E$7:$E$66,'Vols additionnels'!$C$7:$C$66,$E2763,'Vols additionnels'!$D$7:$D$66,$F2763,'Vols additionnels'!$B$7:$B$66,$D2763)</f>
        <v>0</v>
      </c>
      <c r="H2763" s="135" t="n">
        <f aca="false">$G2763*'Analyse capacite'!$F$8</f>
        <v>0</v>
      </c>
      <c r="I2763" s="135" t="n">
        <f aca="false">$G2763*'Analyse capacite'!$C$8</f>
        <v>0</v>
      </c>
      <c r="J2763" s="135" t="n">
        <f aca="false">$G2763*'Analyse capacite'!$D$8</f>
        <v>0</v>
      </c>
      <c r="K2763" s="135" t="n">
        <f aca="false">$G2763*'Analyse capacite'!$E$8</f>
        <v>0</v>
      </c>
    </row>
    <row r="2764" customFormat="false" ht="15" hidden="false" customHeight="false" outlineLevel="0" collapsed="false">
      <c r="B2764" s="130" t="n">
        <v>2027</v>
      </c>
      <c r="C2764" s="131" t="s">
        <v>248</v>
      </c>
      <c r="D2764" s="132" t="n">
        <v>46554</v>
      </c>
      <c r="E2764" s="131" t="s">
        <v>49</v>
      </c>
      <c r="F2764" s="133" t="s">
        <v>24</v>
      </c>
      <c r="G2764" s="134" t="n">
        <f aca="false">LEN('Saisie programme'!$F$114)+SUMIFS('Vols additionnels'!$E$7:$E$66,'Vols additionnels'!$C$7:$C$66,$E2764,'Vols additionnels'!$D$7:$D$66,$F2764,'Vols additionnels'!$B$7:$B$66,$D2764)</f>
        <v>0</v>
      </c>
      <c r="H2764" s="135" t="n">
        <f aca="false">$G2764*'Analyse capacite'!$F$9</f>
        <v>0</v>
      </c>
      <c r="I2764" s="135" t="n">
        <f aca="false">$G2764*'Analyse capacite'!$C$9</f>
        <v>0</v>
      </c>
      <c r="J2764" s="135" t="n">
        <f aca="false">$G2764*'Analyse capacite'!$D$9</f>
        <v>0</v>
      </c>
      <c r="K2764" s="135" t="n">
        <f aca="false">$G2764*'Analyse capacite'!$E$9</f>
        <v>0</v>
      </c>
    </row>
    <row r="2765" customFormat="false" ht="15" hidden="false" customHeight="false" outlineLevel="0" collapsed="false">
      <c r="B2765" s="130" t="n">
        <v>2027</v>
      </c>
      <c r="C2765" s="131" t="s">
        <v>248</v>
      </c>
      <c r="D2765" s="132" t="n">
        <v>46554</v>
      </c>
      <c r="E2765" s="131" t="s">
        <v>53</v>
      </c>
      <c r="F2765" s="133" t="s">
        <v>11</v>
      </c>
      <c r="G2765" s="134" t="n">
        <f aca="false">LEN('Saisie programme'!$F$115)+SUMIFS('Vols additionnels'!$E$7:$E$66,'Vols additionnels'!$C$7:$C$66,$E2765,'Vols additionnels'!$D$7:$D$66,$F2765,'Vols additionnels'!$B$7:$B$66,$D2765)</f>
        <v>0</v>
      </c>
      <c r="H2765" s="135" t="n">
        <f aca="false">$G2765*'Analyse capacite'!$F$7</f>
        <v>0</v>
      </c>
      <c r="I2765" s="135" t="n">
        <f aca="false">$G2765*'Analyse capacite'!$C$7</f>
        <v>0</v>
      </c>
      <c r="J2765" s="135" t="n">
        <f aca="false">$G2765*'Analyse capacite'!$D$7</f>
        <v>0</v>
      </c>
      <c r="K2765" s="135" t="n">
        <f aca="false">$G2765*'Analyse capacite'!$E$7</f>
        <v>0</v>
      </c>
    </row>
    <row r="2766" customFormat="false" ht="15" hidden="false" customHeight="false" outlineLevel="0" collapsed="false">
      <c r="B2766" s="130" t="n">
        <v>2027</v>
      </c>
      <c r="C2766" s="131" t="s">
        <v>248</v>
      </c>
      <c r="D2766" s="132" t="n">
        <v>46554</v>
      </c>
      <c r="E2766" s="131" t="s">
        <v>53</v>
      </c>
      <c r="F2766" s="133" t="s">
        <v>19</v>
      </c>
      <c r="G2766" s="134" t="n">
        <f aca="false">LEN('Saisie programme'!$F$116)+SUMIFS('Vols additionnels'!$E$7:$E$66,'Vols additionnels'!$C$7:$C$66,$E2766,'Vols additionnels'!$D$7:$D$66,$F2766,'Vols additionnels'!$B$7:$B$66,$D2766)</f>
        <v>0</v>
      </c>
      <c r="H2766" s="135" t="n">
        <f aca="false">$G2766*'Analyse capacite'!$F$8</f>
        <v>0</v>
      </c>
      <c r="I2766" s="135" t="n">
        <f aca="false">$G2766*'Analyse capacite'!$C$8</f>
        <v>0</v>
      </c>
      <c r="J2766" s="135" t="n">
        <f aca="false">$G2766*'Analyse capacite'!$D$8</f>
        <v>0</v>
      </c>
      <c r="K2766" s="135" t="n">
        <f aca="false">$G2766*'Analyse capacite'!$E$8</f>
        <v>0</v>
      </c>
    </row>
    <row r="2767" customFormat="false" ht="15" hidden="false" customHeight="false" outlineLevel="0" collapsed="false">
      <c r="B2767" s="130" t="n">
        <v>2027</v>
      </c>
      <c r="C2767" s="131" t="s">
        <v>248</v>
      </c>
      <c r="D2767" s="132" t="n">
        <v>46554</v>
      </c>
      <c r="E2767" s="131" t="s">
        <v>53</v>
      </c>
      <c r="F2767" s="133" t="s">
        <v>24</v>
      </c>
      <c r="G2767" s="134" t="n">
        <f aca="false">LEN('Saisie programme'!$F$117)+SUMIFS('Vols additionnels'!$E$7:$E$66,'Vols additionnels'!$C$7:$C$66,$E2767,'Vols additionnels'!$D$7:$D$66,$F2767,'Vols additionnels'!$B$7:$B$66,$D2767)</f>
        <v>0</v>
      </c>
      <c r="H2767" s="135" t="n">
        <f aca="false">$G2767*'Analyse capacite'!$F$9</f>
        <v>0</v>
      </c>
      <c r="I2767" s="135" t="n">
        <f aca="false">$G2767*'Analyse capacite'!$C$9</f>
        <v>0</v>
      </c>
      <c r="J2767" s="135" t="n">
        <f aca="false">$G2767*'Analyse capacite'!$D$9</f>
        <v>0</v>
      </c>
      <c r="K2767" s="135" t="n">
        <f aca="false">$G2767*'Analyse capacite'!$E$9</f>
        <v>0</v>
      </c>
    </row>
    <row r="2768" customFormat="false" ht="15" hidden="false" customHeight="false" outlineLevel="0" collapsed="false">
      <c r="B2768" s="130" t="n">
        <v>2027</v>
      </c>
      <c r="C2768" s="131" t="s">
        <v>248</v>
      </c>
      <c r="D2768" s="132" t="n">
        <v>46554</v>
      </c>
      <c r="E2768" s="131" t="s">
        <v>56</v>
      </c>
      <c r="F2768" s="133" t="s">
        <v>11</v>
      </c>
      <c r="G2768" s="134" t="n">
        <f aca="false">LEN('Saisie programme'!$F$118)+SUMIFS('Vols additionnels'!$E$7:$E$66,'Vols additionnels'!$C$7:$C$66,$E2768,'Vols additionnels'!$D$7:$D$66,$F2768,'Vols additionnels'!$B$7:$B$66,$D2768)</f>
        <v>0</v>
      </c>
      <c r="H2768" s="135" t="n">
        <f aca="false">$G2768*'Analyse capacite'!$F$7</f>
        <v>0</v>
      </c>
      <c r="I2768" s="135" t="n">
        <f aca="false">$G2768*'Analyse capacite'!$C$7</f>
        <v>0</v>
      </c>
      <c r="J2768" s="135" t="n">
        <f aca="false">$G2768*'Analyse capacite'!$D$7</f>
        <v>0</v>
      </c>
      <c r="K2768" s="135" t="n">
        <f aca="false">$G2768*'Analyse capacite'!$E$7</f>
        <v>0</v>
      </c>
    </row>
    <row r="2769" customFormat="false" ht="15" hidden="false" customHeight="false" outlineLevel="0" collapsed="false">
      <c r="B2769" s="130" t="n">
        <v>2027</v>
      </c>
      <c r="C2769" s="131" t="s">
        <v>248</v>
      </c>
      <c r="D2769" s="132" t="n">
        <v>46554</v>
      </c>
      <c r="E2769" s="131" t="s">
        <v>56</v>
      </c>
      <c r="F2769" s="133" t="s">
        <v>19</v>
      </c>
      <c r="G2769" s="134" t="n">
        <f aca="false">LEN('Saisie programme'!$F$119)+SUMIFS('Vols additionnels'!$E$7:$E$66,'Vols additionnels'!$C$7:$C$66,$E2769,'Vols additionnels'!$D$7:$D$66,$F2769,'Vols additionnels'!$B$7:$B$66,$D2769)</f>
        <v>0</v>
      </c>
      <c r="H2769" s="135" t="n">
        <f aca="false">$G2769*'Analyse capacite'!$F$8</f>
        <v>0</v>
      </c>
      <c r="I2769" s="135" t="n">
        <f aca="false">$G2769*'Analyse capacite'!$C$8</f>
        <v>0</v>
      </c>
      <c r="J2769" s="135" t="n">
        <f aca="false">$G2769*'Analyse capacite'!$D$8</f>
        <v>0</v>
      </c>
      <c r="K2769" s="135" t="n">
        <f aca="false">$G2769*'Analyse capacite'!$E$8</f>
        <v>0</v>
      </c>
    </row>
    <row r="2770" customFormat="false" ht="15" hidden="false" customHeight="false" outlineLevel="0" collapsed="false">
      <c r="B2770" s="130" t="n">
        <v>2027</v>
      </c>
      <c r="C2770" s="131" t="s">
        <v>248</v>
      </c>
      <c r="D2770" s="132" t="n">
        <v>46554</v>
      </c>
      <c r="E2770" s="131" t="s">
        <v>56</v>
      </c>
      <c r="F2770" s="133" t="s">
        <v>24</v>
      </c>
      <c r="G2770" s="134" t="n">
        <f aca="false">LEN('Saisie programme'!$F$120)+SUMIFS('Vols additionnels'!$E$7:$E$66,'Vols additionnels'!$C$7:$C$66,$E2770,'Vols additionnels'!$D$7:$D$66,$F2770,'Vols additionnels'!$B$7:$B$66,$D2770)</f>
        <v>0</v>
      </c>
      <c r="H2770" s="135" t="n">
        <f aca="false">$G2770*'Analyse capacite'!$F$9</f>
        <v>0</v>
      </c>
      <c r="I2770" s="135" t="n">
        <f aca="false">$G2770*'Analyse capacite'!$C$9</f>
        <v>0</v>
      </c>
      <c r="J2770" s="135" t="n">
        <f aca="false">$G2770*'Analyse capacite'!$D$9</f>
        <v>0</v>
      </c>
      <c r="K2770" s="135" t="n">
        <f aca="false">$G2770*'Analyse capacite'!$E$9</f>
        <v>0</v>
      </c>
    </row>
    <row r="2771" customFormat="false" ht="15" hidden="false" customHeight="false" outlineLevel="0" collapsed="false">
      <c r="B2771" s="130" t="n">
        <v>2027</v>
      </c>
      <c r="C2771" s="131" t="s">
        <v>248</v>
      </c>
      <c r="D2771" s="132" t="n">
        <v>46554</v>
      </c>
      <c r="E2771" s="131" t="s">
        <v>59</v>
      </c>
      <c r="F2771" s="133" t="s">
        <v>11</v>
      </c>
      <c r="G2771" s="134" t="n">
        <f aca="false">LEN('Saisie programme'!$F$121)+SUMIFS('Vols additionnels'!$E$7:$E$66,'Vols additionnels'!$C$7:$C$66,$E2771,'Vols additionnels'!$D$7:$D$66,$F2771,'Vols additionnels'!$B$7:$B$66,$D2771)</f>
        <v>0</v>
      </c>
      <c r="H2771" s="135" t="n">
        <f aca="false">$G2771*'Analyse capacite'!$F$7</f>
        <v>0</v>
      </c>
      <c r="I2771" s="135" t="n">
        <f aca="false">$G2771*'Analyse capacite'!$C$7</f>
        <v>0</v>
      </c>
      <c r="J2771" s="135" t="n">
        <f aca="false">$G2771*'Analyse capacite'!$D$7</f>
        <v>0</v>
      </c>
      <c r="K2771" s="135" t="n">
        <f aca="false">$G2771*'Analyse capacite'!$E$7</f>
        <v>0</v>
      </c>
    </row>
    <row r="2772" customFormat="false" ht="15" hidden="false" customHeight="false" outlineLevel="0" collapsed="false">
      <c r="B2772" s="130" t="n">
        <v>2027</v>
      </c>
      <c r="C2772" s="131" t="s">
        <v>248</v>
      </c>
      <c r="D2772" s="132" t="n">
        <v>46554</v>
      </c>
      <c r="E2772" s="131" t="s">
        <v>59</v>
      </c>
      <c r="F2772" s="133" t="s">
        <v>19</v>
      </c>
      <c r="G2772" s="134" t="n">
        <f aca="false">LEN('Saisie programme'!$F$122)+SUMIFS('Vols additionnels'!$E$7:$E$66,'Vols additionnels'!$C$7:$C$66,$E2772,'Vols additionnels'!$D$7:$D$66,$F2772,'Vols additionnels'!$B$7:$B$66,$D2772)</f>
        <v>0</v>
      </c>
      <c r="H2772" s="135" t="n">
        <f aca="false">$G2772*'Analyse capacite'!$F$8</f>
        <v>0</v>
      </c>
      <c r="I2772" s="135" t="n">
        <f aca="false">$G2772*'Analyse capacite'!$C$8</f>
        <v>0</v>
      </c>
      <c r="J2772" s="135" t="n">
        <f aca="false">$G2772*'Analyse capacite'!$D$8</f>
        <v>0</v>
      </c>
      <c r="K2772" s="135" t="n">
        <f aca="false">$G2772*'Analyse capacite'!$E$8</f>
        <v>0</v>
      </c>
    </row>
    <row r="2773" customFormat="false" ht="15" hidden="false" customHeight="false" outlineLevel="0" collapsed="false">
      <c r="B2773" s="130" t="n">
        <v>2027</v>
      </c>
      <c r="C2773" s="131" t="s">
        <v>248</v>
      </c>
      <c r="D2773" s="132" t="n">
        <v>46554</v>
      </c>
      <c r="E2773" s="131" t="s">
        <v>59</v>
      </c>
      <c r="F2773" s="133" t="s">
        <v>24</v>
      </c>
      <c r="G2773" s="134" t="n">
        <f aca="false">LEN('Saisie programme'!$F$123)+SUMIFS('Vols additionnels'!$E$7:$E$66,'Vols additionnels'!$C$7:$C$66,$E2773,'Vols additionnels'!$D$7:$D$66,$F2773,'Vols additionnels'!$B$7:$B$66,$D2773)</f>
        <v>1</v>
      </c>
      <c r="H2773" s="135" t="n">
        <f aca="false">$G2773*'Analyse capacite'!$F$9</f>
        <v>174</v>
      </c>
      <c r="I2773" s="135" t="n">
        <f aca="false">$G2773*'Analyse capacite'!$C$9</f>
        <v>0</v>
      </c>
      <c r="J2773" s="135" t="n">
        <f aca="false">$G2773*'Analyse capacite'!$D$9</f>
        <v>12</v>
      </c>
      <c r="K2773" s="135" t="n">
        <f aca="false">$G2773*'Analyse capacite'!$E$9</f>
        <v>162</v>
      </c>
    </row>
    <row r="2774" customFormat="false" ht="15" hidden="false" customHeight="false" outlineLevel="0" collapsed="false">
      <c r="B2774" s="130" t="n">
        <v>2027</v>
      </c>
      <c r="C2774" s="131" t="s">
        <v>248</v>
      </c>
      <c r="D2774" s="132" t="n">
        <v>46554</v>
      </c>
      <c r="E2774" s="131" t="s">
        <v>62</v>
      </c>
      <c r="F2774" s="133" t="s">
        <v>11</v>
      </c>
      <c r="G2774" s="134" t="n">
        <f aca="false">LEN('Saisie programme'!$F$124)+SUMIFS('Vols additionnels'!$E$7:$E$66,'Vols additionnels'!$C$7:$C$66,$E2774,'Vols additionnels'!$D$7:$D$66,$F2774,'Vols additionnels'!$B$7:$B$66,$D2774)</f>
        <v>0</v>
      </c>
      <c r="H2774" s="135" t="n">
        <f aca="false">$G2774*'Analyse capacite'!$F$7</f>
        <v>0</v>
      </c>
      <c r="I2774" s="135" t="n">
        <f aca="false">$G2774*'Analyse capacite'!$C$7</f>
        <v>0</v>
      </c>
      <c r="J2774" s="135" t="n">
        <f aca="false">$G2774*'Analyse capacite'!$D$7</f>
        <v>0</v>
      </c>
      <c r="K2774" s="135" t="n">
        <f aca="false">$G2774*'Analyse capacite'!$E$7</f>
        <v>0</v>
      </c>
    </row>
    <row r="2775" customFormat="false" ht="15" hidden="false" customHeight="false" outlineLevel="0" collapsed="false">
      <c r="B2775" s="130" t="n">
        <v>2027</v>
      </c>
      <c r="C2775" s="131" t="s">
        <v>248</v>
      </c>
      <c r="D2775" s="132" t="n">
        <v>46554</v>
      </c>
      <c r="E2775" s="131" t="s">
        <v>62</v>
      </c>
      <c r="F2775" s="133" t="s">
        <v>19</v>
      </c>
      <c r="G2775" s="134" t="n">
        <f aca="false">LEN('Saisie programme'!$F$125)+SUMIFS('Vols additionnels'!$E$7:$E$66,'Vols additionnels'!$C$7:$C$66,$E2775,'Vols additionnels'!$D$7:$D$66,$F2775,'Vols additionnels'!$B$7:$B$66,$D2775)</f>
        <v>0</v>
      </c>
      <c r="H2775" s="135" t="n">
        <f aca="false">$G2775*'Analyse capacite'!$F$8</f>
        <v>0</v>
      </c>
      <c r="I2775" s="135" t="n">
        <f aca="false">$G2775*'Analyse capacite'!$C$8</f>
        <v>0</v>
      </c>
      <c r="J2775" s="135" t="n">
        <f aca="false">$G2775*'Analyse capacite'!$D$8</f>
        <v>0</v>
      </c>
      <c r="K2775" s="135" t="n">
        <f aca="false">$G2775*'Analyse capacite'!$E$8</f>
        <v>0</v>
      </c>
    </row>
    <row r="2776" customFormat="false" ht="15" hidden="false" customHeight="false" outlineLevel="0" collapsed="false">
      <c r="B2776" s="130" t="n">
        <v>2027</v>
      </c>
      <c r="C2776" s="131" t="s">
        <v>248</v>
      </c>
      <c r="D2776" s="132" t="n">
        <v>46554</v>
      </c>
      <c r="E2776" s="131" t="s">
        <v>62</v>
      </c>
      <c r="F2776" s="133" t="s">
        <v>24</v>
      </c>
      <c r="G2776" s="134" t="n">
        <f aca="false">LEN('Saisie programme'!$F$126)+SUMIFS('Vols additionnels'!$E$7:$E$66,'Vols additionnels'!$C$7:$C$66,$E2776,'Vols additionnels'!$D$7:$D$66,$F2776,'Vols additionnels'!$B$7:$B$66,$D2776)</f>
        <v>1</v>
      </c>
      <c r="H2776" s="135" t="n">
        <f aca="false">$G2776*'Analyse capacite'!$F$9</f>
        <v>174</v>
      </c>
      <c r="I2776" s="135" t="n">
        <f aca="false">$G2776*'Analyse capacite'!$C$9</f>
        <v>0</v>
      </c>
      <c r="J2776" s="135" t="n">
        <f aca="false">$G2776*'Analyse capacite'!$D$9</f>
        <v>12</v>
      </c>
      <c r="K2776" s="135" t="n">
        <f aca="false">$G2776*'Analyse capacite'!$E$9</f>
        <v>162</v>
      </c>
    </row>
    <row r="2777" customFormat="false" ht="15" hidden="false" customHeight="false" outlineLevel="0" collapsed="false">
      <c r="B2777" s="130" t="n">
        <v>2027</v>
      </c>
      <c r="C2777" s="131" t="s">
        <v>248</v>
      </c>
      <c r="D2777" s="132" t="n">
        <v>46555</v>
      </c>
      <c r="E2777" s="131" t="s">
        <v>12</v>
      </c>
      <c r="F2777" s="133" t="s">
        <v>11</v>
      </c>
      <c r="G2777" s="134" t="n">
        <f aca="false">LEN('Saisie programme'!$G$91)+SUMIFS('Vols additionnels'!$E$7:$E$66,'Vols additionnels'!$C$7:$C$66,$E2777,'Vols additionnels'!$D$7:$D$66,$F2777,'Vols additionnels'!$B$7:$B$66,$D2777)</f>
        <v>1</v>
      </c>
      <c r="H2777" s="135" t="n">
        <f aca="false">$G2777*'Analyse capacite'!$F$7</f>
        <v>438</v>
      </c>
      <c r="I2777" s="135" t="n">
        <f aca="false">$G2777*'Analyse capacite'!$C$7</f>
        <v>14</v>
      </c>
      <c r="J2777" s="135" t="n">
        <f aca="false">$G2777*'Analyse capacite'!$D$7</f>
        <v>40</v>
      </c>
      <c r="K2777" s="135" t="n">
        <f aca="false">$G2777*'Analyse capacite'!$E$7</f>
        <v>384</v>
      </c>
    </row>
    <row r="2778" customFormat="false" ht="15" hidden="false" customHeight="false" outlineLevel="0" collapsed="false">
      <c r="B2778" s="130" t="n">
        <v>2027</v>
      </c>
      <c r="C2778" s="131" t="s">
        <v>248</v>
      </c>
      <c r="D2778" s="132" t="n">
        <v>46555</v>
      </c>
      <c r="E2778" s="131" t="s">
        <v>12</v>
      </c>
      <c r="F2778" s="133" t="s">
        <v>19</v>
      </c>
      <c r="G2778" s="134" t="n">
        <f aca="false">LEN('Saisie programme'!$G$92)+SUMIFS('Vols additionnels'!$E$7:$E$66,'Vols additionnels'!$C$7:$C$66,$E2778,'Vols additionnels'!$D$7:$D$66,$F2778,'Vols additionnels'!$B$7:$B$66,$D2778)</f>
        <v>0</v>
      </c>
      <c r="H2778" s="135" t="n">
        <f aca="false">$G2778*'Analyse capacite'!$F$8</f>
        <v>0</v>
      </c>
      <c r="I2778" s="135" t="n">
        <f aca="false">$G2778*'Analyse capacite'!$C$8</f>
        <v>0</v>
      </c>
      <c r="J2778" s="135" t="n">
        <f aca="false">$G2778*'Analyse capacite'!$D$8</f>
        <v>0</v>
      </c>
      <c r="K2778" s="135" t="n">
        <f aca="false">$G2778*'Analyse capacite'!$E$8</f>
        <v>0</v>
      </c>
    </row>
    <row r="2779" customFormat="false" ht="15" hidden="false" customHeight="false" outlineLevel="0" collapsed="false">
      <c r="B2779" s="130" t="n">
        <v>2027</v>
      </c>
      <c r="C2779" s="131" t="s">
        <v>248</v>
      </c>
      <c r="D2779" s="132" t="n">
        <v>46555</v>
      </c>
      <c r="E2779" s="131" t="s">
        <v>12</v>
      </c>
      <c r="F2779" s="133" t="s">
        <v>24</v>
      </c>
      <c r="G2779" s="134" t="n">
        <f aca="false">LEN('Saisie programme'!$G$93)+SUMIFS('Vols additionnels'!$E$7:$E$66,'Vols additionnels'!$C$7:$C$66,$E2779,'Vols additionnels'!$D$7:$D$66,$F2779,'Vols additionnels'!$B$7:$B$66,$D2779)</f>
        <v>0</v>
      </c>
      <c r="H2779" s="135" t="n">
        <f aca="false">$G2779*'Analyse capacite'!$F$9</f>
        <v>0</v>
      </c>
      <c r="I2779" s="135" t="n">
        <f aca="false">$G2779*'Analyse capacite'!$C$9</f>
        <v>0</v>
      </c>
      <c r="J2779" s="135" t="n">
        <f aca="false">$G2779*'Analyse capacite'!$D$9</f>
        <v>0</v>
      </c>
      <c r="K2779" s="135" t="n">
        <f aca="false">$G2779*'Analyse capacite'!$E$9</f>
        <v>0</v>
      </c>
    </row>
    <row r="2780" customFormat="false" ht="15" hidden="false" customHeight="false" outlineLevel="0" collapsed="false">
      <c r="B2780" s="130" t="n">
        <v>2027</v>
      </c>
      <c r="C2780" s="131" t="s">
        <v>248</v>
      </c>
      <c r="D2780" s="132" t="n">
        <v>46555</v>
      </c>
      <c r="E2780" s="131" t="s">
        <v>20</v>
      </c>
      <c r="F2780" s="133" t="s">
        <v>11</v>
      </c>
      <c r="G2780" s="134" t="n">
        <f aca="false">LEN('Saisie programme'!$G$94)+SUMIFS('Vols additionnels'!$E$7:$E$66,'Vols additionnels'!$C$7:$C$66,$E2780,'Vols additionnels'!$D$7:$D$66,$F2780,'Vols additionnels'!$B$7:$B$66,$D2780)</f>
        <v>0</v>
      </c>
      <c r="H2780" s="135" t="n">
        <f aca="false">$G2780*'Analyse capacite'!$F$7</f>
        <v>0</v>
      </c>
      <c r="I2780" s="135" t="n">
        <f aca="false">$G2780*'Analyse capacite'!$C$7</f>
        <v>0</v>
      </c>
      <c r="J2780" s="135" t="n">
        <f aca="false">$G2780*'Analyse capacite'!$D$7</f>
        <v>0</v>
      </c>
      <c r="K2780" s="135" t="n">
        <f aca="false">$G2780*'Analyse capacite'!$E$7</f>
        <v>0</v>
      </c>
    </row>
    <row r="2781" customFormat="false" ht="15" hidden="false" customHeight="false" outlineLevel="0" collapsed="false">
      <c r="B2781" s="130" t="n">
        <v>2027</v>
      </c>
      <c r="C2781" s="131" t="s">
        <v>248</v>
      </c>
      <c r="D2781" s="132" t="n">
        <v>46555</v>
      </c>
      <c r="E2781" s="131" t="s">
        <v>20</v>
      </c>
      <c r="F2781" s="133" t="s">
        <v>19</v>
      </c>
      <c r="G2781" s="134" t="n">
        <f aca="false">LEN('Saisie programme'!$G$95)+SUMIFS('Vols additionnels'!$E$7:$E$66,'Vols additionnels'!$C$7:$C$66,$E2781,'Vols additionnels'!$D$7:$D$66,$F2781,'Vols additionnels'!$B$7:$B$66,$D2781)</f>
        <v>0</v>
      </c>
      <c r="H2781" s="135" t="n">
        <f aca="false">$G2781*'Analyse capacite'!$F$8</f>
        <v>0</v>
      </c>
      <c r="I2781" s="135" t="n">
        <f aca="false">$G2781*'Analyse capacite'!$C$8</f>
        <v>0</v>
      </c>
      <c r="J2781" s="135" t="n">
        <f aca="false">$G2781*'Analyse capacite'!$D$8</f>
        <v>0</v>
      </c>
      <c r="K2781" s="135" t="n">
        <f aca="false">$G2781*'Analyse capacite'!$E$8</f>
        <v>0</v>
      </c>
    </row>
    <row r="2782" customFormat="false" ht="15" hidden="false" customHeight="false" outlineLevel="0" collapsed="false">
      <c r="B2782" s="130" t="n">
        <v>2027</v>
      </c>
      <c r="C2782" s="131" t="s">
        <v>248</v>
      </c>
      <c r="D2782" s="132" t="n">
        <v>46555</v>
      </c>
      <c r="E2782" s="131" t="s">
        <v>20</v>
      </c>
      <c r="F2782" s="133" t="s">
        <v>24</v>
      </c>
      <c r="G2782" s="134" t="n">
        <f aca="false">LEN('Saisie programme'!$G$96)+SUMIFS('Vols additionnels'!$E$7:$E$66,'Vols additionnels'!$C$7:$C$66,$E2782,'Vols additionnels'!$D$7:$D$66,$F2782,'Vols additionnels'!$B$7:$B$66,$D2782)</f>
        <v>0</v>
      </c>
      <c r="H2782" s="135" t="n">
        <f aca="false">$G2782*'Analyse capacite'!$F$9</f>
        <v>0</v>
      </c>
      <c r="I2782" s="135" t="n">
        <f aca="false">$G2782*'Analyse capacite'!$C$9</f>
        <v>0</v>
      </c>
      <c r="J2782" s="135" t="n">
        <f aca="false">$G2782*'Analyse capacite'!$D$9</f>
        <v>0</v>
      </c>
      <c r="K2782" s="135" t="n">
        <f aca="false">$G2782*'Analyse capacite'!$E$9</f>
        <v>0</v>
      </c>
    </row>
    <row r="2783" customFormat="false" ht="15" hidden="false" customHeight="false" outlineLevel="0" collapsed="false">
      <c r="B2783" s="130" t="n">
        <v>2027</v>
      </c>
      <c r="C2783" s="131" t="s">
        <v>248</v>
      </c>
      <c r="D2783" s="132" t="n">
        <v>46555</v>
      </c>
      <c r="E2783" s="131" t="s">
        <v>25</v>
      </c>
      <c r="F2783" s="133" t="s">
        <v>11</v>
      </c>
      <c r="G2783" s="134" t="n">
        <f aca="false">LEN('Saisie programme'!$G$97)+SUMIFS('Vols additionnels'!$E$7:$E$66,'Vols additionnels'!$C$7:$C$66,$E2783,'Vols additionnels'!$D$7:$D$66,$F2783,'Vols additionnels'!$B$7:$B$66,$D2783)</f>
        <v>0</v>
      </c>
      <c r="H2783" s="135" t="n">
        <f aca="false">$G2783*'Analyse capacite'!$F$7</f>
        <v>0</v>
      </c>
      <c r="I2783" s="135" t="n">
        <f aca="false">$G2783*'Analyse capacite'!$C$7</f>
        <v>0</v>
      </c>
      <c r="J2783" s="135" t="n">
        <f aca="false">$G2783*'Analyse capacite'!$D$7</f>
        <v>0</v>
      </c>
      <c r="K2783" s="135" t="n">
        <f aca="false">$G2783*'Analyse capacite'!$E$7</f>
        <v>0</v>
      </c>
    </row>
    <row r="2784" customFormat="false" ht="15" hidden="false" customHeight="false" outlineLevel="0" collapsed="false">
      <c r="B2784" s="130" t="n">
        <v>2027</v>
      </c>
      <c r="C2784" s="131" t="s">
        <v>248</v>
      </c>
      <c r="D2784" s="132" t="n">
        <v>46555</v>
      </c>
      <c r="E2784" s="131" t="s">
        <v>25</v>
      </c>
      <c r="F2784" s="133" t="s">
        <v>19</v>
      </c>
      <c r="G2784" s="134" t="n">
        <f aca="false">LEN('Saisie programme'!$G$98)+SUMIFS('Vols additionnels'!$E$7:$E$66,'Vols additionnels'!$C$7:$C$66,$E2784,'Vols additionnels'!$D$7:$D$66,$F2784,'Vols additionnels'!$B$7:$B$66,$D2784)</f>
        <v>0</v>
      </c>
      <c r="H2784" s="135" t="n">
        <f aca="false">$G2784*'Analyse capacite'!$F$8</f>
        <v>0</v>
      </c>
      <c r="I2784" s="135" t="n">
        <f aca="false">$G2784*'Analyse capacite'!$C$8</f>
        <v>0</v>
      </c>
      <c r="J2784" s="135" t="n">
        <f aca="false">$G2784*'Analyse capacite'!$D$8</f>
        <v>0</v>
      </c>
      <c r="K2784" s="135" t="n">
        <f aca="false">$G2784*'Analyse capacite'!$E$8</f>
        <v>0</v>
      </c>
    </row>
    <row r="2785" customFormat="false" ht="15" hidden="false" customHeight="false" outlineLevel="0" collapsed="false">
      <c r="B2785" s="130" t="n">
        <v>2027</v>
      </c>
      <c r="C2785" s="131" t="s">
        <v>248</v>
      </c>
      <c r="D2785" s="132" t="n">
        <v>46555</v>
      </c>
      <c r="E2785" s="131" t="s">
        <v>25</v>
      </c>
      <c r="F2785" s="133" t="s">
        <v>24</v>
      </c>
      <c r="G2785" s="134" t="n">
        <f aca="false">LEN('Saisie programme'!$G$99)+SUMIFS('Vols additionnels'!$E$7:$E$66,'Vols additionnels'!$C$7:$C$66,$E2785,'Vols additionnels'!$D$7:$D$66,$F2785,'Vols additionnels'!$B$7:$B$66,$D2785)</f>
        <v>0</v>
      </c>
      <c r="H2785" s="135" t="n">
        <f aca="false">$G2785*'Analyse capacite'!$F$9</f>
        <v>0</v>
      </c>
      <c r="I2785" s="135" t="n">
        <f aca="false">$G2785*'Analyse capacite'!$C$9</f>
        <v>0</v>
      </c>
      <c r="J2785" s="135" t="n">
        <f aca="false">$G2785*'Analyse capacite'!$D$9</f>
        <v>0</v>
      </c>
      <c r="K2785" s="135" t="n">
        <f aca="false">$G2785*'Analyse capacite'!$E$9</f>
        <v>0</v>
      </c>
    </row>
    <row r="2786" customFormat="false" ht="15" hidden="false" customHeight="false" outlineLevel="0" collapsed="false">
      <c r="B2786" s="130" t="n">
        <v>2027</v>
      </c>
      <c r="C2786" s="131" t="s">
        <v>248</v>
      </c>
      <c r="D2786" s="132" t="n">
        <v>46555</v>
      </c>
      <c r="E2786" s="131" t="s">
        <v>36</v>
      </c>
      <c r="F2786" s="133" t="s">
        <v>11</v>
      </c>
      <c r="G2786" s="134" t="n">
        <f aca="false">LEN('Saisie programme'!$G$100)+SUMIFS('Vols additionnels'!$E$7:$E$66,'Vols additionnels'!$C$7:$C$66,$E2786,'Vols additionnels'!$D$7:$D$66,$F2786,'Vols additionnels'!$B$7:$B$66,$D2786)</f>
        <v>0</v>
      </c>
      <c r="H2786" s="135" t="n">
        <f aca="false">$G2786*'Analyse capacite'!$F$7</f>
        <v>0</v>
      </c>
      <c r="I2786" s="135" t="n">
        <f aca="false">$G2786*'Analyse capacite'!$C$7</f>
        <v>0</v>
      </c>
      <c r="J2786" s="135" t="n">
        <f aca="false">$G2786*'Analyse capacite'!$D$7</f>
        <v>0</v>
      </c>
      <c r="K2786" s="135" t="n">
        <f aca="false">$G2786*'Analyse capacite'!$E$7</f>
        <v>0</v>
      </c>
    </row>
    <row r="2787" customFormat="false" ht="15" hidden="false" customHeight="false" outlineLevel="0" collapsed="false">
      <c r="B2787" s="130" t="n">
        <v>2027</v>
      </c>
      <c r="C2787" s="131" t="s">
        <v>248</v>
      </c>
      <c r="D2787" s="132" t="n">
        <v>46555</v>
      </c>
      <c r="E2787" s="131" t="s">
        <v>36</v>
      </c>
      <c r="F2787" s="133" t="s">
        <v>19</v>
      </c>
      <c r="G2787" s="134" t="n">
        <f aca="false">LEN('Saisie programme'!$G$101)+SUMIFS('Vols additionnels'!$E$7:$E$66,'Vols additionnels'!$C$7:$C$66,$E2787,'Vols additionnels'!$D$7:$D$66,$F2787,'Vols additionnels'!$B$7:$B$66,$D2787)</f>
        <v>0</v>
      </c>
      <c r="H2787" s="135" t="n">
        <f aca="false">$G2787*'Analyse capacite'!$F$8</f>
        <v>0</v>
      </c>
      <c r="I2787" s="135" t="n">
        <f aca="false">$G2787*'Analyse capacite'!$C$8</f>
        <v>0</v>
      </c>
      <c r="J2787" s="135" t="n">
        <f aca="false">$G2787*'Analyse capacite'!$D$8</f>
        <v>0</v>
      </c>
      <c r="K2787" s="135" t="n">
        <f aca="false">$G2787*'Analyse capacite'!$E$8</f>
        <v>0</v>
      </c>
    </row>
    <row r="2788" customFormat="false" ht="15" hidden="false" customHeight="false" outlineLevel="0" collapsed="false">
      <c r="B2788" s="130" t="n">
        <v>2027</v>
      </c>
      <c r="C2788" s="131" t="s">
        <v>248</v>
      </c>
      <c r="D2788" s="132" t="n">
        <v>46555</v>
      </c>
      <c r="E2788" s="131" t="s">
        <v>36</v>
      </c>
      <c r="F2788" s="133" t="s">
        <v>24</v>
      </c>
      <c r="G2788" s="134" t="n">
        <f aca="false">LEN('Saisie programme'!$G$102)+SUMIFS('Vols additionnels'!$E$7:$E$66,'Vols additionnels'!$C$7:$C$66,$E2788,'Vols additionnels'!$D$7:$D$66,$F2788,'Vols additionnels'!$B$7:$B$66,$D2788)</f>
        <v>1</v>
      </c>
      <c r="H2788" s="135" t="n">
        <f aca="false">$G2788*'Analyse capacite'!$F$9</f>
        <v>174</v>
      </c>
      <c r="I2788" s="135" t="n">
        <f aca="false">$G2788*'Analyse capacite'!$C$9</f>
        <v>0</v>
      </c>
      <c r="J2788" s="135" t="n">
        <f aca="false">$G2788*'Analyse capacite'!$D$9</f>
        <v>12</v>
      </c>
      <c r="K2788" s="135" t="n">
        <f aca="false">$G2788*'Analyse capacite'!$E$9</f>
        <v>162</v>
      </c>
    </row>
    <row r="2789" customFormat="false" ht="15" hidden="false" customHeight="false" outlineLevel="0" collapsed="false">
      <c r="B2789" s="130" t="n">
        <v>2027</v>
      </c>
      <c r="C2789" s="131" t="s">
        <v>248</v>
      </c>
      <c r="D2789" s="132" t="n">
        <v>46555</v>
      </c>
      <c r="E2789" s="131" t="s">
        <v>40</v>
      </c>
      <c r="F2789" s="133" t="s">
        <v>11</v>
      </c>
      <c r="G2789" s="134" t="n">
        <f aca="false">LEN('Saisie programme'!$G$103)+SUMIFS('Vols additionnels'!$E$7:$E$66,'Vols additionnels'!$C$7:$C$66,$E2789,'Vols additionnels'!$D$7:$D$66,$F2789,'Vols additionnels'!$B$7:$B$66,$D2789)</f>
        <v>0</v>
      </c>
      <c r="H2789" s="135" t="n">
        <f aca="false">$G2789*'Analyse capacite'!$F$7</f>
        <v>0</v>
      </c>
      <c r="I2789" s="135" t="n">
        <f aca="false">$G2789*'Analyse capacite'!$C$7</f>
        <v>0</v>
      </c>
      <c r="J2789" s="135" t="n">
        <f aca="false">$G2789*'Analyse capacite'!$D$7</f>
        <v>0</v>
      </c>
      <c r="K2789" s="135" t="n">
        <f aca="false">$G2789*'Analyse capacite'!$E$7</f>
        <v>0</v>
      </c>
    </row>
    <row r="2790" customFormat="false" ht="15" hidden="false" customHeight="false" outlineLevel="0" collapsed="false">
      <c r="B2790" s="130" t="n">
        <v>2027</v>
      </c>
      <c r="C2790" s="131" t="s">
        <v>248</v>
      </c>
      <c r="D2790" s="132" t="n">
        <v>46555</v>
      </c>
      <c r="E2790" s="131" t="s">
        <v>40</v>
      </c>
      <c r="F2790" s="133" t="s">
        <v>19</v>
      </c>
      <c r="G2790" s="134" t="n">
        <f aca="false">LEN('Saisie programme'!$G$104)+SUMIFS('Vols additionnels'!$E$7:$E$66,'Vols additionnels'!$C$7:$C$66,$E2790,'Vols additionnels'!$D$7:$D$66,$F2790,'Vols additionnels'!$B$7:$B$66,$D2790)</f>
        <v>0</v>
      </c>
      <c r="H2790" s="135" t="n">
        <f aca="false">$G2790*'Analyse capacite'!$F$8</f>
        <v>0</v>
      </c>
      <c r="I2790" s="135" t="n">
        <f aca="false">$G2790*'Analyse capacite'!$C$8</f>
        <v>0</v>
      </c>
      <c r="J2790" s="135" t="n">
        <f aca="false">$G2790*'Analyse capacite'!$D$8</f>
        <v>0</v>
      </c>
      <c r="K2790" s="135" t="n">
        <f aca="false">$G2790*'Analyse capacite'!$E$8</f>
        <v>0</v>
      </c>
    </row>
    <row r="2791" customFormat="false" ht="15" hidden="false" customHeight="false" outlineLevel="0" collapsed="false">
      <c r="B2791" s="130" t="n">
        <v>2027</v>
      </c>
      <c r="C2791" s="131" t="s">
        <v>248</v>
      </c>
      <c r="D2791" s="132" t="n">
        <v>46555</v>
      </c>
      <c r="E2791" s="131" t="s">
        <v>40</v>
      </c>
      <c r="F2791" s="133" t="s">
        <v>24</v>
      </c>
      <c r="G2791" s="134" t="n">
        <f aca="false">LEN('Saisie programme'!$G$105)+SUMIFS('Vols additionnels'!$E$7:$E$66,'Vols additionnels'!$C$7:$C$66,$E2791,'Vols additionnels'!$D$7:$D$66,$F2791,'Vols additionnels'!$B$7:$B$66,$D2791)</f>
        <v>0</v>
      </c>
      <c r="H2791" s="135" t="n">
        <f aca="false">$G2791*'Analyse capacite'!$F$9</f>
        <v>0</v>
      </c>
      <c r="I2791" s="135" t="n">
        <f aca="false">$G2791*'Analyse capacite'!$C$9</f>
        <v>0</v>
      </c>
      <c r="J2791" s="135" t="n">
        <f aca="false">$G2791*'Analyse capacite'!$D$9</f>
        <v>0</v>
      </c>
      <c r="K2791" s="135" t="n">
        <f aca="false">$G2791*'Analyse capacite'!$E$9</f>
        <v>0</v>
      </c>
    </row>
    <row r="2792" customFormat="false" ht="15" hidden="false" customHeight="false" outlineLevel="0" collapsed="false">
      <c r="B2792" s="130" t="n">
        <v>2027</v>
      </c>
      <c r="C2792" s="131" t="s">
        <v>248</v>
      </c>
      <c r="D2792" s="132" t="n">
        <v>46555</v>
      </c>
      <c r="E2792" s="131" t="s">
        <v>14</v>
      </c>
      <c r="F2792" s="133" t="s">
        <v>11</v>
      </c>
      <c r="G2792" s="134" t="n">
        <f aca="false">LEN('Saisie programme'!$G$106)+SUMIFS('Vols additionnels'!$E$7:$E$66,'Vols additionnels'!$C$7:$C$66,$E2792,'Vols additionnels'!$D$7:$D$66,$F2792,'Vols additionnels'!$B$7:$B$66,$D2792)</f>
        <v>0</v>
      </c>
      <c r="H2792" s="135" t="n">
        <f aca="false">$G2792*'Analyse capacite'!$F$7</f>
        <v>0</v>
      </c>
      <c r="I2792" s="135" t="n">
        <f aca="false">$G2792*'Analyse capacite'!$C$7</f>
        <v>0</v>
      </c>
      <c r="J2792" s="135" t="n">
        <f aca="false">$G2792*'Analyse capacite'!$D$7</f>
        <v>0</v>
      </c>
      <c r="K2792" s="135" t="n">
        <f aca="false">$G2792*'Analyse capacite'!$E$7</f>
        <v>0</v>
      </c>
    </row>
    <row r="2793" customFormat="false" ht="15" hidden="false" customHeight="false" outlineLevel="0" collapsed="false">
      <c r="B2793" s="130" t="n">
        <v>2027</v>
      </c>
      <c r="C2793" s="131" t="s">
        <v>248</v>
      </c>
      <c r="D2793" s="132" t="n">
        <v>46555</v>
      </c>
      <c r="E2793" s="131" t="s">
        <v>14</v>
      </c>
      <c r="F2793" s="133" t="s">
        <v>19</v>
      </c>
      <c r="G2793" s="134" t="n">
        <f aca="false">LEN('Saisie programme'!$G$107)+SUMIFS('Vols additionnels'!$E$7:$E$66,'Vols additionnels'!$C$7:$C$66,$E2793,'Vols additionnels'!$D$7:$D$66,$F2793,'Vols additionnels'!$B$7:$B$66,$D2793)</f>
        <v>0</v>
      </c>
      <c r="H2793" s="135" t="n">
        <f aca="false">$G2793*'Analyse capacite'!$F$8</f>
        <v>0</v>
      </c>
      <c r="I2793" s="135" t="n">
        <f aca="false">$G2793*'Analyse capacite'!$C$8</f>
        <v>0</v>
      </c>
      <c r="J2793" s="135" t="n">
        <f aca="false">$G2793*'Analyse capacite'!$D$8</f>
        <v>0</v>
      </c>
      <c r="K2793" s="135" t="n">
        <f aca="false">$G2793*'Analyse capacite'!$E$8</f>
        <v>0</v>
      </c>
    </row>
    <row r="2794" customFormat="false" ht="15" hidden="false" customHeight="false" outlineLevel="0" collapsed="false">
      <c r="B2794" s="130" t="n">
        <v>2027</v>
      </c>
      <c r="C2794" s="131" t="s">
        <v>248</v>
      </c>
      <c r="D2794" s="132" t="n">
        <v>46555</v>
      </c>
      <c r="E2794" s="131" t="s">
        <v>14</v>
      </c>
      <c r="F2794" s="133" t="s">
        <v>24</v>
      </c>
      <c r="G2794" s="134" t="n">
        <f aca="false">LEN('Saisie programme'!$G$108)+SUMIFS('Vols additionnels'!$E$7:$E$66,'Vols additionnels'!$C$7:$C$66,$E2794,'Vols additionnels'!$D$7:$D$66,$F2794,'Vols additionnels'!$B$7:$B$66,$D2794)</f>
        <v>1</v>
      </c>
      <c r="H2794" s="135" t="n">
        <f aca="false">$G2794*'Analyse capacite'!$F$9</f>
        <v>174</v>
      </c>
      <c r="I2794" s="135" t="n">
        <f aca="false">$G2794*'Analyse capacite'!$C$9</f>
        <v>0</v>
      </c>
      <c r="J2794" s="135" t="n">
        <f aca="false">$G2794*'Analyse capacite'!$D$9</f>
        <v>12</v>
      </c>
      <c r="K2794" s="135" t="n">
        <f aca="false">$G2794*'Analyse capacite'!$E$9</f>
        <v>162</v>
      </c>
    </row>
    <row r="2795" customFormat="false" ht="15" hidden="false" customHeight="false" outlineLevel="0" collapsed="false">
      <c r="B2795" s="130" t="n">
        <v>2027</v>
      </c>
      <c r="C2795" s="131" t="s">
        <v>248</v>
      </c>
      <c r="D2795" s="132" t="n">
        <v>46555</v>
      </c>
      <c r="E2795" s="131" t="s">
        <v>46</v>
      </c>
      <c r="F2795" s="133" t="s">
        <v>11</v>
      </c>
      <c r="G2795" s="134" t="n">
        <f aca="false">LEN('Saisie programme'!$G$109)+SUMIFS('Vols additionnels'!$E$7:$E$66,'Vols additionnels'!$C$7:$C$66,$E2795,'Vols additionnels'!$D$7:$D$66,$F2795,'Vols additionnels'!$B$7:$B$66,$D2795)</f>
        <v>0</v>
      </c>
      <c r="H2795" s="135" t="n">
        <f aca="false">$G2795*'Analyse capacite'!$F$7</f>
        <v>0</v>
      </c>
      <c r="I2795" s="135" t="n">
        <f aca="false">$G2795*'Analyse capacite'!$C$7</f>
        <v>0</v>
      </c>
      <c r="J2795" s="135" t="n">
        <f aca="false">$G2795*'Analyse capacite'!$D$7</f>
        <v>0</v>
      </c>
      <c r="K2795" s="135" t="n">
        <f aca="false">$G2795*'Analyse capacite'!$E$7</f>
        <v>0</v>
      </c>
    </row>
    <row r="2796" customFormat="false" ht="15" hidden="false" customHeight="false" outlineLevel="0" collapsed="false">
      <c r="B2796" s="130" t="n">
        <v>2027</v>
      </c>
      <c r="C2796" s="131" t="s">
        <v>248</v>
      </c>
      <c r="D2796" s="132" t="n">
        <v>46555</v>
      </c>
      <c r="E2796" s="131" t="s">
        <v>46</v>
      </c>
      <c r="F2796" s="133" t="s">
        <v>19</v>
      </c>
      <c r="G2796" s="134" t="n">
        <f aca="false">LEN('Saisie programme'!$G$110)+SUMIFS('Vols additionnels'!$E$7:$E$66,'Vols additionnels'!$C$7:$C$66,$E2796,'Vols additionnels'!$D$7:$D$66,$F2796,'Vols additionnels'!$B$7:$B$66,$D2796)</f>
        <v>0</v>
      </c>
      <c r="H2796" s="135" t="n">
        <f aca="false">$G2796*'Analyse capacite'!$F$8</f>
        <v>0</v>
      </c>
      <c r="I2796" s="135" t="n">
        <f aca="false">$G2796*'Analyse capacite'!$C$8</f>
        <v>0</v>
      </c>
      <c r="J2796" s="135" t="n">
        <f aca="false">$G2796*'Analyse capacite'!$D$8</f>
        <v>0</v>
      </c>
      <c r="K2796" s="135" t="n">
        <f aca="false">$G2796*'Analyse capacite'!$E$8</f>
        <v>0</v>
      </c>
    </row>
    <row r="2797" customFormat="false" ht="15" hidden="false" customHeight="false" outlineLevel="0" collapsed="false">
      <c r="B2797" s="130" t="n">
        <v>2027</v>
      </c>
      <c r="C2797" s="131" t="s">
        <v>248</v>
      </c>
      <c r="D2797" s="132" t="n">
        <v>46555</v>
      </c>
      <c r="E2797" s="131" t="s">
        <v>46</v>
      </c>
      <c r="F2797" s="133" t="s">
        <v>24</v>
      </c>
      <c r="G2797" s="134" t="n">
        <f aca="false">LEN('Saisie programme'!$G$111)+SUMIFS('Vols additionnels'!$E$7:$E$66,'Vols additionnels'!$C$7:$C$66,$E2797,'Vols additionnels'!$D$7:$D$66,$F2797,'Vols additionnels'!$B$7:$B$66,$D2797)</f>
        <v>1</v>
      </c>
      <c r="H2797" s="135" t="n">
        <f aca="false">$G2797*'Analyse capacite'!$F$9</f>
        <v>174</v>
      </c>
      <c r="I2797" s="135" t="n">
        <f aca="false">$G2797*'Analyse capacite'!$C$9</f>
        <v>0</v>
      </c>
      <c r="J2797" s="135" t="n">
        <f aca="false">$G2797*'Analyse capacite'!$D$9</f>
        <v>12</v>
      </c>
      <c r="K2797" s="135" t="n">
        <f aca="false">$G2797*'Analyse capacite'!$E$9</f>
        <v>162</v>
      </c>
    </row>
    <row r="2798" customFormat="false" ht="15" hidden="false" customHeight="false" outlineLevel="0" collapsed="false">
      <c r="B2798" s="130" t="n">
        <v>2027</v>
      </c>
      <c r="C2798" s="131" t="s">
        <v>248</v>
      </c>
      <c r="D2798" s="132" t="n">
        <v>46555</v>
      </c>
      <c r="E2798" s="131" t="s">
        <v>49</v>
      </c>
      <c r="F2798" s="133" t="s">
        <v>11</v>
      </c>
      <c r="G2798" s="134" t="n">
        <f aca="false">LEN('Saisie programme'!$G$112)+SUMIFS('Vols additionnels'!$E$7:$E$66,'Vols additionnels'!$C$7:$C$66,$E2798,'Vols additionnels'!$D$7:$D$66,$F2798,'Vols additionnels'!$B$7:$B$66,$D2798)</f>
        <v>0</v>
      </c>
      <c r="H2798" s="135" t="n">
        <f aca="false">$G2798*'Analyse capacite'!$F$7</f>
        <v>0</v>
      </c>
      <c r="I2798" s="135" t="n">
        <f aca="false">$G2798*'Analyse capacite'!$C$7</f>
        <v>0</v>
      </c>
      <c r="J2798" s="135" t="n">
        <f aca="false">$G2798*'Analyse capacite'!$D$7</f>
        <v>0</v>
      </c>
      <c r="K2798" s="135" t="n">
        <f aca="false">$G2798*'Analyse capacite'!$E$7</f>
        <v>0</v>
      </c>
    </row>
    <row r="2799" customFormat="false" ht="15" hidden="false" customHeight="false" outlineLevel="0" collapsed="false">
      <c r="B2799" s="130" t="n">
        <v>2027</v>
      </c>
      <c r="C2799" s="131" t="s">
        <v>248</v>
      </c>
      <c r="D2799" s="132" t="n">
        <v>46555</v>
      </c>
      <c r="E2799" s="131" t="s">
        <v>49</v>
      </c>
      <c r="F2799" s="133" t="s">
        <v>19</v>
      </c>
      <c r="G2799" s="134" t="n">
        <f aca="false">LEN('Saisie programme'!$G$113)+SUMIFS('Vols additionnels'!$E$7:$E$66,'Vols additionnels'!$C$7:$C$66,$E2799,'Vols additionnels'!$D$7:$D$66,$F2799,'Vols additionnels'!$B$7:$B$66,$D2799)</f>
        <v>0</v>
      </c>
      <c r="H2799" s="135" t="n">
        <f aca="false">$G2799*'Analyse capacite'!$F$8</f>
        <v>0</v>
      </c>
      <c r="I2799" s="135" t="n">
        <f aca="false">$G2799*'Analyse capacite'!$C$8</f>
        <v>0</v>
      </c>
      <c r="J2799" s="135" t="n">
        <f aca="false">$G2799*'Analyse capacite'!$D$8</f>
        <v>0</v>
      </c>
      <c r="K2799" s="135" t="n">
        <f aca="false">$G2799*'Analyse capacite'!$E$8</f>
        <v>0</v>
      </c>
    </row>
    <row r="2800" customFormat="false" ht="15" hidden="false" customHeight="false" outlineLevel="0" collapsed="false">
      <c r="B2800" s="130" t="n">
        <v>2027</v>
      </c>
      <c r="C2800" s="131" t="s">
        <v>248</v>
      </c>
      <c r="D2800" s="132" t="n">
        <v>46555</v>
      </c>
      <c r="E2800" s="131" t="s">
        <v>49</v>
      </c>
      <c r="F2800" s="133" t="s">
        <v>24</v>
      </c>
      <c r="G2800" s="134" t="n">
        <f aca="false">LEN('Saisie programme'!$G$114)+SUMIFS('Vols additionnels'!$E$7:$E$66,'Vols additionnels'!$C$7:$C$66,$E2800,'Vols additionnels'!$D$7:$D$66,$F2800,'Vols additionnels'!$B$7:$B$66,$D2800)</f>
        <v>0</v>
      </c>
      <c r="H2800" s="135" t="n">
        <f aca="false">$G2800*'Analyse capacite'!$F$9</f>
        <v>0</v>
      </c>
      <c r="I2800" s="135" t="n">
        <f aca="false">$G2800*'Analyse capacite'!$C$9</f>
        <v>0</v>
      </c>
      <c r="J2800" s="135" t="n">
        <f aca="false">$G2800*'Analyse capacite'!$D$9</f>
        <v>0</v>
      </c>
      <c r="K2800" s="135" t="n">
        <f aca="false">$G2800*'Analyse capacite'!$E$9</f>
        <v>0</v>
      </c>
    </row>
    <row r="2801" customFormat="false" ht="15" hidden="false" customHeight="false" outlineLevel="0" collapsed="false">
      <c r="B2801" s="130" t="n">
        <v>2027</v>
      </c>
      <c r="C2801" s="131" t="s">
        <v>248</v>
      </c>
      <c r="D2801" s="132" t="n">
        <v>46555</v>
      </c>
      <c r="E2801" s="131" t="s">
        <v>53</v>
      </c>
      <c r="F2801" s="133" t="s">
        <v>11</v>
      </c>
      <c r="G2801" s="134" t="n">
        <f aca="false">LEN('Saisie programme'!$G$115)+SUMIFS('Vols additionnels'!$E$7:$E$66,'Vols additionnels'!$C$7:$C$66,$E2801,'Vols additionnels'!$D$7:$D$66,$F2801,'Vols additionnels'!$B$7:$B$66,$D2801)</f>
        <v>0</v>
      </c>
      <c r="H2801" s="135" t="n">
        <f aca="false">$G2801*'Analyse capacite'!$F$7</f>
        <v>0</v>
      </c>
      <c r="I2801" s="135" t="n">
        <f aca="false">$G2801*'Analyse capacite'!$C$7</f>
        <v>0</v>
      </c>
      <c r="J2801" s="135" t="n">
        <f aca="false">$G2801*'Analyse capacite'!$D$7</f>
        <v>0</v>
      </c>
      <c r="K2801" s="135" t="n">
        <f aca="false">$G2801*'Analyse capacite'!$E$7</f>
        <v>0</v>
      </c>
    </row>
    <row r="2802" customFormat="false" ht="15" hidden="false" customHeight="false" outlineLevel="0" collapsed="false">
      <c r="B2802" s="130" t="n">
        <v>2027</v>
      </c>
      <c r="C2802" s="131" t="s">
        <v>248</v>
      </c>
      <c r="D2802" s="132" t="n">
        <v>46555</v>
      </c>
      <c r="E2802" s="131" t="s">
        <v>53</v>
      </c>
      <c r="F2802" s="133" t="s">
        <v>19</v>
      </c>
      <c r="G2802" s="134" t="n">
        <f aca="false">LEN('Saisie programme'!$G$116)+SUMIFS('Vols additionnels'!$E$7:$E$66,'Vols additionnels'!$C$7:$C$66,$E2802,'Vols additionnels'!$D$7:$D$66,$F2802,'Vols additionnels'!$B$7:$B$66,$D2802)</f>
        <v>1</v>
      </c>
      <c r="H2802" s="135" t="n">
        <f aca="false">$G2802*'Analyse capacite'!$F$8</f>
        <v>262</v>
      </c>
      <c r="I2802" s="135" t="n">
        <f aca="false">$G2802*'Analyse capacite'!$C$8</f>
        <v>18</v>
      </c>
      <c r="J2802" s="135" t="n">
        <f aca="false">$G2802*'Analyse capacite'!$D$8</f>
        <v>0</v>
      </c>
      <c r="K2802" s="135" t="n">
        <f aca="false">$G2802*'Analyse capacite'!$E$8</f>
        <v>244</v>
      </c>
    </row>
    <row r="2803" customFormat="false" ht="15" hidden="false" customHeight="false" outlineLevel="0" collapsed="false">
      <c r="B2803" s="130" t="n">
        <v>2027</v>
      </c>
      <c r="C2803" s="131" t="s">
        <v>248</v>
      </c>
      <c r="D2803" s="132" t="n">
        <v>46555</v>
      </c>
      <c r="E2803" s="131" t="s">
        <v>53</v>
      </c>
      <c r="F2803" s="133" t="s">
        <v>24</v>
      </c>
      <c r="G2803" s="134" t="n">
        <f aca="false">LEN('Saisie programme'!$G$117)+SUMIFS('Vols additionnels'!$E$7:$E$66,'Vols additionnels'!$C$7:$C$66,$E2803,'Vols additionnels'!$D$7:$D$66,$F2803,'Vols additionnels'!$B$7:$B$66,$D2803)</f>
        <v>0</v>
      </c>
      <c r="H2803" s="135" t="n">
        <f aca="false">$G2803*'Analyse capacite'!$F$9</f>
        <v>0</v>
      </c>
      <c r="I2803" s="135" t="n">
        <f aca="false">$G2803*'Analyse capacite'!$C$9</f>
        <v>0</v>
      </c>
      <c r="J2803" s="135" t="n">
        <f aca="false">$G2803*'Analyse capacite'!$D$9</f>
        <v>0</v>
      </c>
      <c r="K2803" s="135" t="n">
        <f aca="false">$G2803*'Analyse capacite'!$E$9</f>
        <v>0</v>
      </c>
    </row>
    <row r="2804" customFormat="false" ht="15" hidden="false" customHeight="false" outlineLevel="0" collapsed="false">
      <c r="B2804" s="130" t="n">
        <v>2027</v>
      </c>
      <c r="C2804" s="131" t="s">
        <v>248</v>
      </c>
      <c r="D2804" s="132" t="n">
        <v>46555</v>
      </c>
      <c r="E2804" s="131" t="s">
        <v>56</v>
      </c>
      <c r="F2804" s="133" t="s">
        <v>11</v>
      </c>
      <c r="G2804" s="134" t="n">
        <f aca="false">LEN('Saisie programme'!$G$118)+SUMIFS('Vols additionnels'!$E$7:$E$66,'Vols additionnels'!$C$7:$C$66,$E2804,'Vols additionnels'!$D$7:$D$66,$F2804,'Vols additionnels'!$B$7:$B$66,$D2804)</f>
        <v>0</v>
      </c>
      <c r="H2804" s="135" t="n">
        <f aca="false">$G2804*'Analyse capacite'!$F$7</f>
        <v>0</v>
      </c>
      <c r="I2804" s="135" t="n">
        <f aca="false">$G2804*'Analyse capacite'!$C$7</f>
        <v>0</v>
      </c>
      <c r="J2804" s="135" t="n">
        <f aca="false">$G2804*'Analyse capacite'!$D$7</f>
        <v>0</v>
      </c>
      <c r="K2804" s="135" t="n">
        <f aca="false">$G2804*'Analyse capacite'!$E$7</f>
        <v>0</v>
      </c>
    </row>
    <row r="2805" customFormat="false" ht="15" hidden="false" customHeight="false" outlineLevel="0" collapsed="false">
      <c r="B2805" s="130" t="n">
        <v>2027</v>
      </c>
      <c r="C2805" s="131" t="s">
        <v>248</v>
      </c>
      <c r="D2805" s="132" t="n">
        <v>46555</v>
      </c>
      <c r="E2805" s="131" t="s">
        <v>56</v>
      </c>
      <c r="F2805" s="133" t="s">
        <v>19</v>
      </c>
      <c r="G2805" s="134" t="n">
        <f aca="false">LEN('Saisie programme'!$G$119)+SUMIFS('Vols additionnels'!$E$7:$E$66,'Vols additionnels'!$C$7:$C$66,$E2805,'Vols additionnels'!$D$7:$D$66,$F2805,'Vols additionnels'!$B$7:$B$66,$D2805)</f>
        <v>0</v>
      </c>
      <c r="H2805" s="135" t="n">
        <f aca="false">$G2805*'Analyse capacite'!$F$8</f>
        <v>0</v>
      </c>
      <c r="I2805" s="135" t="n">
        <f aca="false">$G2805*'Analyse capacite'!$C$8</f>
        <v>0</v>
      </c>
      <c r="J2805" s="135" t="n">
        <f aca="false">$G2805*'Analyse capacite'!$D$8</f>
        <v>0</v>
      </c>
      <c r="K2805" s="135" t="n">
        <f aca="false">$G2805*'Analyse capacite'!$E$8</f>
        <v>0</v>
      </c>
    </row>
    <row r="2806" customFormat="false" ht="15" hidden="false" customHeight="false" outlineLevel="0" collapsed="false">
      <c r="B2806" s="130" t="n">
        <v>2027</v>
      </c>
      <c r="C2806" s="131" t="s">
        <v>248</v>
      </c>
      <c r="D2806" s="132" t="n">
        <v>46555</v>
      </c>
      <c r="E2806" s="131" t="s">
        <v>56</v>
      </c>
      <c r="F2806" s="133" t="s">
        <v>24</v>
      </c>
      <c r="G2806" s="134" t="n">
        <f aca="false">LEN('Saisie programme'!$G$120)+SUMIFS('Vols additionnels'!$E$7:$E$66,'Vols additionnels'!$C$7:$C$66,$E2806,'Vols additionnels'!$D$7:$D$66,$F2806,'Vols additionnels'!$B$7:$B$66,$D2806)</f>
        <v>0</v>
      </c>
      <c r="H2806" s="135" t="n">
        <f aca="false">$G2806*'Analyse capacite'!$F$9</f>
        <v>0</v>
      </c>
      <c r="I2806" s="135" t="n">
        <f aca="false">$G2806*'Analyse capacite'!$C$9</f>
        <v>0</v>
      </c>
      <c r="J2806" s="135" t="n">
        <f aca="false">$G2806*'Analyse capacite'!$D$9</f>
        <v>0</v>
      </c>
      <c r="K2806" s="135" t="n">
        <f aca="false">$G2806*'Analyse capacite'!$E$9</f>
        <v>0</v>
      </c>
    </row>
    <row r="2807" customFormat="false" ht="15" hidden="false" customHeight="false" outlineLevel="0" collapsed="false">
      <c r="B2807" s="130" t="n">
        <v>2027</v>
      </c>
      <c r="C2807" s="131" t="s">
        <v>248</v>
      </c>
      <c r="D2807" s="132" t="n">
        <v>46555</v>
      </c>
      <c r="E2807" s="131" t="s">
        <v>59</v>
      </c>
      <c r="F2807" s="133" t="s">
        <v>11</v>
      </c>
      <c r="G2807" s="134" t="n">
        <f aca="false">LEN('Saisie programme'!$G$121)+SUMIFS('Vols additionnels'!$E$7:$E$66,'Vols additionnels'!$C$7:$C$66,$E2807,'Vols additionnels'!$D$7:$D$66,$F2807,'Vols additionnels'!$B$7:$B$66,$D2807)</f>
        <v>0</v>
      </c>
      <c r="H2807" s="135" t="n">
        <f aca="false">$G2807*'Analyse capacite'!$F$7</f>
        <v>0</v>
      </c>
      <c r="I2807" s="135" t="n">
        <f aca="false">$G2807*'Analyse capacite'!$C$7</f>
        <v>0</v>
      </c>
      <c r="J2807" s="135" t="n">
        <f aca="false">$G2807*'Analyse capacite'!$D$7</f>
        <v>0</v>
      </c>
      <c r="K2807" s="135" t="n">
        <f aca="false">$G2807*'Analyse capacite'!$E$7</f>
        <v>0</v>
      </c>
    </row>
    <row r="2808" customFormat="false" ht="15" hidden="false" customHeight="false" outlineLevel="0" collapsed="false">
      <c r="B2808" s="130" t="n">
        <v>2027</v>
      </c>
      <c r="C2808" s="131" t="s">
        <v>248</v>
      </c>
      <c r="D2808" s="132" t="n">
        <v>46555</v>
      </c>
      <c r="E2808" s="131" t="s">
        <v>59</v>
      </c>
      <c r="F2808" s="133" t="s">
        <v>19</v>
      </c>
      <c r="G2808" s="134" t="n">
        <f aca="false">LEN('Saisie programme'!$G$122)+SUMIFS('Vols additionnels'!$E$7:$E$66,'Vols additionnels'!$C$7:$C$66,$E2808,'Vols additionnels'!$D$7:$D$66,$F2808,'Vols additionnels'!$B$7:$B$66,$D2808)</f>
        <v>0</v>
      </c>
      <c r="H2808" s="135" t="n">
        <f aca="false">$G2808*'Analyse capacite'!$F$8</f>
        <v>0</v>
      </c>
      <c r="I2808" s="135" t="n">
        <f aca="false">$G2808*'Analyse capacite'!$C$8</f>
        <v>0</v>
      </c>
      <c r="J2808" s="135" t="n">
        <f aca="false">$G2808*'Analyse capacite'!$D$8</f>
        <v>0</v>
      </c>
      <c r="K2808" s="135" t="n">
        <f aca="false">$G2808*'Analyse capacite'!$E$8</f>
        <v>0</v>
      </c>
    </row>
    <row r="2809" customFormat="false" ht="15" hidden="false" customHeight="false" outlineLevel="0" collapsed="false">
      <c r="B2809" s="130" t="n">
        <v>2027</v>
      </c>
      <c r="C2809" s="131" t="s">
        <v>248</v>
      </c>
      <c r="D2809" s="132" t="n">
        <v>46555</v>
      </c>
      <c r="E2809" s="131" t="s">
        <v>59</v>
      </c>
      <c r="F2809" s="133" t="s">
        <v>24</v>
      </c>
      <c r="G2809" s="134" t="n">
        <f aca="false">LEN('Saisie programme'!$G$123)+SUMIFS('Vols additionnels'!$E$7:$E$66,'Vols additionnels'!$C$7:$C$66,$E2809,'Vols additionnels'!$D$7:$D$66,$F2809,'Vols additionnels'!$B$7:$B$66,$D2809)</f>
        <v>2</v>
      </c>
      <c r="H2809" s="135" t="n">
        <f aca="false">$G2809*'Analyse capacite'!$F$9</f>
        <v>348</v>
      </c>
      <c r="I2809" s="135" t="n">
        <f aca="false">$G2809*'Analyse capacite'!$C$9</f>
        <v>0</v>
      </c>
      <c r="J2809" s="135" t="n">
        <f aca="false">$G2809*'Analyse capacite'!$D$9</f>
        <v>24</v>
      </c>
      <c r="K2809" s="135" t="n">
        <f aca="false">$G2809*'Analyse capacite'!$E$9</f>
        <v>324</v>
      </c>
    </row>
    <row r="2810" customFormat="false" ht="15" hidden="false" customHeight="false" outlineLevel="0" collapsed="false">
      <c r="B2810" s="130" t="n">
        <v>2027</v>
      </c>
      <c r="C2810" s="131" t="s">
        <v>248</v>
      </c>
      <c r="D2810" s="132" t="n">
        <v>46555</v>
      </c>
      <c r="E2810" s="131" t="s">
        <v>62</v>
      </c>
      <c r="F2810" s="133" t="s">
        <v>11</v>
      </c>
      <c r="G2810" s="134" t="n">
        <f aca="false">LEN('Saisie programme'!$G$124)+SUMIFS('Vols additionnels'!$E$7:$E$66,'Vols additionnels'!$C$7:$C$66,$E2810,'Vols additionnels'!$D$7:$D$66,$F2810,'Vols additionnels'!$B$7:$B$66,$D2810)</f>
        <v>0</v>
      </c>
      <c r="H2810" s="135" t="n">
        <f aca="false">$G2810*'Analyse capacite'!$F$7</f>
        <v>0</v>
      </c>
      <c r="I2810" s="135" t="n">
        <f aca="false">$G2810*'Analyse capacite'!$C$7</f>
        <v>0</v>
      </c>
      <c r="J2810" s="135" t="n">
        <f aca="false">$G2810*'Analyse capacite'!$D$7</f>
        <v>0</v>
      </c>
      <c r="K2810" s="135" t="n">
        <f aca="false">$G2810*'Analyse capacite'!$E$7</f>
        <v>0</v>
      </c>
    </row>
    <row r="2811" customFormat="false" ht="15" hidden="false" customHeight="false" outlineLevel="0" collapsed="false">
      <c r="B2811" s="130" t="n">
        <v>2027</v>
      </c>
      <c r="C2811" s="131" t="s">
        <v>248</v>
      </c>
      <c r="D2811" s="132" t="n">
        <v>46555</v>
      </c>
      <c r="E2811" s="131" t="s">
        <v>62</v>
      </c>
      <c r="F2811" s="133" t="s">
        <v>19</v>
      </c>
      <c r="G2811" s="134" t="n">
        <f aca="false">LEN('Saisie programme'!$G$125)+SUMIFS('Vols additionnels'!$E$7:$E$66,'Vols additionnels'!$C$7:$C$66,$E2811,'Vols additionnels'!$D$7:$D$66,$F2811,'Vols additionnels'!$B$7:$B$66,$D2811)</f>
        <v>0</v>
      </c>
      <c r="H2811" s="135" t="n">
        <f aca="false">$G2811*'Analyse capacite'!$F$8</f>
        <v>0</v>
      </c>
      <c r="I2811" s="135" t="n">
        <f aca="false">$G2811*'Analyse capacite'!$C$8</f>
        <v>0</v>
      </c>
      <c r="J2811" s="135" t="n">
        <f aca="false">$G2811*'Analyse capacite'!$D$8</f>
        <v>0</v>
      </c>
      <c r="K2811" s="135" t="n">
        <f aca="false">$G2811*'Analyse capacite'!$E$8</f>
        <v>0</v>
      </c>
    </row>
    <row r="2812" customFormat="false" ht="15" hidden="false" customHeight="false" outlineLevel="0" collapsed="false">
      <c r="B2812" s="130" t="n">
        <v>2027</v>
      </c>
      <c r="C2812" s="131" t="s">
        <v>248</v>
      </c>
      <c r="D2812" s="132" t="n">
        <v>46555</v>
      </c>
      <c r="E2812" s="131" t="s">
        <v>62</v>
      </c>
      <c r="F2812" s="133" t="s">
        <v>24</v>
      </c>
      <c r="G2812" s="134" t="n">
        <f aca="false">LEN('Saisie programme'!$G$126)+SUMIFS('Vols additionnels'!$E$7:$E$66,'Vols additionnels'!$C$7:$C$66,$E2812,'Vols additionnels'!$D$7:$D$66,$F2812,'Vols additionnels'!$B$7:$B$66,$D2812)</f>
        <v>0</v>
      </c>
      <c r="H2812" s="135" t="n">
        <f aca="false">$G2812*'Analyse capacite'!$F$9</f>
        <v>0</v>
      </c>
      <c r="I2812" s="135" t="n">
        <f aca="false">$G2812*'Analyse capacite'!$C$9</f>
        <v>0</v>
      </c>
      <c r="J2812" s="135" t="n">
        <f aca="false">$G2812*'Analyse capacite'!$D$9</f>
        <v>0</v>
      </c>
      <c r="K2812" s="135" t="n">
        <f aca="false">$G2812*'Analyse capacite'!$E$9</f>
        <v>0</v>
      </c>
    </row>
    <row r="2813" customFormat="false" ht="15" hidden="false" customHeight="false" outlineLevel="0" collapsed="false">
      <c r="B2813" s="130" t="n">
        <v>2027</v>
      </c>
      <c r="C2813" s="131" t="s">
        <v>248</v>
      </c>
      <c r="D2813" s="132" t="n">
        <v>46556</v>
      </c>
      <c r="E2813" s="131" t="s">
        <v>12</v>
      </c>
      <c r="F2813" s="133" t="s">
        <v>11</v>
      </c>
      <c r="G2813" s="134" t="n">
        <f aca="false">LEN('Saisie programme'!$H$91)+SUMIFS('Vols additionnels'!$E$7:$E$66,'Vols additionnels'!$C$7:$C$66,$E2813,'Vols additionnels'!$D$7:$D$66,$F2813,'Vols additionnels'!$B$7:$B$66,$D2813)</f>
        <v>1</v>
      </c>
      <c r="H2813" s="135" t="n">
        <f aca="false">$G2813*'Analyse capacite'!$F$7</f>
        <v>438</v>
      </c>
      <c r="I2813" s="135" t="n">
        <f aca="false">$G2813*'Analyse capacite'!$C$7</f>
        <v>14</v>
      </c>
      <c r="J2813" s="135" t="n">
        <f aca="false">$G2813*'Analyse capacite'!$D$7</f>
        <v>40</v>
      </c>
      <c r="K2813" s="135" t="n">
        <f aca="false">$G2813*'Analyse capacite'!$E$7</f>
        <v>384</v>
      </c>
    </row>
    <row r="2814" customFormat="false" ht="15" hidden="false" customHeight="false" outlineLevel="0" collapsed="false">
      <c r="B2814" s="130" t="n">
        <v>2027</v>
      </c>
      <c r="C2814" s="131" t="s">
        <v>248</v>
      </c>
      <c r="D2814" s="132" t="n">
        <v>46556</v>
      </c>
      <c r="E2814" s="131" t="s">
        <v>12</v>
      </c>
      <c r="F2814" s="133" t="s">
        <v>19</v>
      </c>
      <c r="G2814" s="134" t="n">
        <f aca="false">LEN('Saisie programme'!$H$92)+SUMIFS('Vols additionnels'!$E$7:$E$66,'Vols additionnels'!$C$7:$C$66,$E2814,'Vols additionnels'!$D$7:$D$66,$F2814,'Vols additionnels'!$B$7:$B$66,$D2814)</f>
        <v>1</v>
      </c>
      <c r="H2814" s="135" t="n">
        <f aca="false">$G2814*'Analyse capacite'!$F$8</f>
        <v>262</v>
      </c>
      <c r="I2814" s="135" t="n">
        <f aca="false">$G2814*'Analyse capacite'!$C$8</f>
        <v>18</v>
      </c>
      <c r="J2814" s="135" t="n">
        <f aca="false">$G2814*'Analyse capacite'!$D$8</f>
        <v>0</v>
      </c>
      <c r="K2814" s="135" t="n">
        <f aca="false">$G2814*'Analyse capacite'!$E$8</f>
        <v>244</v>
      </c>
    </row>
    <row r="2815" customFormat="false" ht="15" hidden="false" customHeight="false" outlineLevel="0" collapsed="false">
      <c r="B2815" s="130" t="n">
        <v>2027</v>
      </c>
      <c r="C2815" s="131" t="s">
        <v>248</v>
      </c>
      <c r="D2815" s="132" t="n">
        <v>46556</v>
      </c>
      <c r="E2815" s="131" t="s">
        <v>12</v>
      </c>
      <c r="F2815" s="133" t="s">
        <v>24</v>
      </c>
      <c r="G2815" s="134" t="n">
        <f aca="false">LEN('Saisie programme'!$H$93)+SUMIFS('Vols additionnels'!$E$7:$E$66,'Vols additionnels'!$C$7:$C$66,$E2815,'Vols additionnels'!$D$7:$D$66,$F2815,'Vols additionnels'!$B$7:$B$66,$D2815)</f>
        <v>0</v>
      </c>
      <c r="H2815" s="135" t="n">
        <f aca="false">$G2815*'Analyse capacite'!$F$9</f>
        <v>0</v>
      </c>
      <c r="I2815" s="135" t="n">
        <f aca="false">$G2815*'Analyse capacite'!$C$9</f>
        <v>0</v>
      </c>
      <c r="J2815" s="135" t="n">
        <f aca="false">$G2815*'Analyse capacite'!$D$9</f>
        <v>0</v>
      </c>
      <c r="K2815" s="135" t="n">
        <f aca="false">$G2815*'Analyse capacite'!$E$9</f>
        <v>0</v>
      </c>
    </row>
    <row r="2816" customFormat="false" ht="15" hidden="false" customHeight="false" outlineLevel="0" collapsed="false">
      <c r="B2816" s="130" t="n">
        <v>2027</v>
      </c>
      <c r="C2816" s="131" t="s">
        <v>248</v>
      </c>
      <c r="D2816" s="132" t="n">
        <v>46556</v>
      </c>
      <c r="E2816" s="131" t="s">
        <v>20</v>
      </c>
      <c r="F2816" s="133" t="s">
        <v>11</v>
      </c>
      <c r="G2816" s="134" t="n">
        <f aca="false">LEN('Saisie programme'!$H$94)+SUMIFS('Vols additionnels'!$E$7:$E$66,'Vols additionnels'!$C$7:$C$66,$E2816,'Vols additionnels'!$D$7:$D$66,$F2816,'Vols additionnels'!$B$7:$B$66,$D2816)</f>
        <v>0</v>
      </c>
      <c r="H2816" s="135" t="n">
        <f aca="false">$G2816*'Analyse capacite'!$F$7</f>
        <v>0</v>
      </c>
      <c r="I2816" s="135" t="n">
        <f aca="false">$G2816*'Analyse capacite'!$C$7</f>
        <v>0</v>
      </c>
      <c r="J2816" s="135" t="n">
        <f aca="false">$G2816*'Analyse capacite'!$D$7</f>
        <v>0</v>
      </c>
      <c r="K2816" s="135" t="n">
        <f aca="false">$G2816*'Analyse capacite'!$E$7</f>
        <v>0</v>
      </c>
    </row>
    <row r="2817" customFormat="false" ht="15" hidden="false" customHeight="false" outlineLevel="0" collapsed="false">
      <c r="B2817" s="130" t="n">
        <v>2027</v>
      </c>
      <c r="C2817" s="131" t="s">
        <v>248</v>
      </c>
      <c r="D2817" s="132" t="n">
        <v>46556</v>
      </c>
      <c r="E2817" s="131" t="s">
        <v>20</v>
      </c>
      <c r="F2817" s="133" t="s">
        <v>19</v>
      </c>
      <c r="G2817" s="134" t="n">
        <f aca="false">LEN('Saisie programme'!$H$95)+SUMIFS('Vols additionnels'!$E$7:$E$66,'Vols additionnels'!$C$7:$C$66,$E2817,'Vols additionnels'!$D$7:$D$66,$F2817,'Vols additionnels'!$B$7:$B$66,$D2817)</f>
        <v>1</v>
      </c>
      <c r="H2817" s="135" t="n">
        <f aca="false">$G2817*'Analyse capacite'!$F$8</f>
        <v>262</v>
      </c>
      <c r="I2817" s="135" t="n">
        <f aca="false">$G2817*'Analyse capacite'!$C$8</f>
        <v>18</v>
      </c>
      <c r="J2817" s="135" t="n">
        <f aca="false">$G2817*'Analyse capacite'!$D$8</f>
        <v>0</v>
      </c>
      <c r="K2817" s="135" t="n">
        <f aca="false">$G2817*'Analyse capacite'!$E$8</f>
        <v>244</v>
      </c>
    </row>
    <row r="2818" customFormat="false" ht="15" hidden="false" customHeight="false" outlineLevel="0" collapsed="false">
      <c r="B2818" s="130" t="n">
        <v>2027</v>
      </c>
      <c r="C2818" s="131" t="s">
        <v>248</v>
      </c>
      <c r="D2818" s="132" t="n">
        <v>46556</v>
      </c>
      <c r="E2818" s="131" t="s">
        <v>20</v>
      </c>
      <c r="F2818" s="133" t="s">
        <v>24</v>
      </c>
      <c r="G2818" s="134" t="n">
        <f aca="false">LEN('Saisie programme'!$H$96)+SUMIFS('Vols additionnels'!$E$7:$E$66,'Vols additionnels'!$C$7:$C$66,$E2818,'Vols additionnels'!$D$7:$D$66,$F2818,'Vols additionnels'!$B$7:$B$66,$D2818)</f>
        <v>0</v>
      </c>
      <c r="H2818" s="135" t="n">
        <f aca="false">$G2818*'Analyse capacite'!$F$9</f>
        <v>0</v>
      </c>
      <c r="I2818" s="135" t="n">
        <f aca="false">$G2818*'Analyse capacite'!$C$9</f>
        <v>0</v>
      </c>
      <c r="J2818" s="135" t="n">
        <f aca="false">$G2818*'Analyse capacite'!$D$9</f>
        <v>0</v>
      </c>
      <c r="K2818" s="135" t="n">
        <f aca="false">$G2818*'Analyse capacite'!$E$9</f>
        <v>0</v>
      </c>
    </row>
    <row r="2819" customFormat="false" ht="15" hidden="false" customHeight="false" outlineLevel="0" collapsed="false">
      <c r="B2819" s="130" t="n">
        <v>2027</v>
      </c>
      <c r="C2819" s="131" t="s">
        <v>248</v>
      </c>
      <c r="D2819" s="132" t="n">
        <v>46556</v>
      </c>
      <c r="E2819" s="131" t="s">
        <v>25</v>
      </c>
      <c r="F2819" s="133" t="s">
        <v>11</v>
      </c>
      <c r="G2819" s="134" t="n">
        <f aca="false">LEN('Saisie programme'!$H$97)+SUMIFS('Vols additionnels'!$E$7:$E$66,'Vols additionnels'!$C$7:$C$66,$E2819,'Vols additionnels'!$D$7:$D$66,$F2819,'Vols additionnels'!$B$7:$B$66,$D2819)</f>
        <v>0</v>
      </c>
      <c r="H2819" s="135" t="n">
        <f aca="false">$G2819*'Analyse capacite'!$F$7</f>
        <v>0</v>
      </c>
      <c r="I2819" s="135" t="n">
        <f aca="false">$G2819*'Analyse capacite'!$C$7</f>
        <v>0</v>
      </c>
      <c r="J2819" s="135" t="n">
        <f aca="false">$G2819*'Analyse capacite'!$D$7</f>
        <v>0</v>
      </c>
      <c r="K2819" s="135" t="n">
        <f aca="false">$G2819*'Analyse capacite'!$E$7</f>
        <v>0</v>
      </c>
    </row>
    <row r="2820" customFormat="false" ht="15" hidden="false" customHeight="false" outlineLevel="0" collapsed="false">
      <c r="B2820" s="130" t="n">
        <v>2027</v>
      </c>
      <c r="C2820" s="131" t="s">
        <v>248</v>
      </c>
      <c r="D2820" s="132" t="n">
        <v>46556</v>
      </c>
      <c r="E2820" s="131" t="s">
        <v>25</v>
      </c>
      <c r="F2820" s="133" t="s">
        <v>19</v>
      </c>
      <c r="G2820" s="134" t="n">
        <f aca="false">LEN('Saisie programme'!$H$98)+SUMIFS('Vols additionnels'!$E$7:$E$66,'Vols additionnels'!$C$7:$C$66,$E2820,'Vols additionnels'!$D$7:$D$66,$F2820,'Vols additionnels'!$B$7:$B$66,$D2820)</f>
        <v>0</v>
      </c>
      <c r="H2820" s="135" t="n">
        <f aca="false">$G2820*'Analyse capacite'!$F$8</f>
        <v>0</v>
      </c>
      <c r="I2820" s="135" t="n">
        <f aca="false">$G2820*'Analyse capacite'!$C$8</f>
        <v>0</v>
      </c>
      <c r="J2820" s="135" t="n">
        <f aca="false">$G2820*'Analyse capacite'!$D$8</f>
        <v>0</v>
      </c>
      <c r="K2820" s="135" t="n">
        <f aca="false">$G2820*'Analyse capacite'!$E$8</f>
        <v>0</v>
      </c>
    </row>
    <row r="2821" customFormat="false" ht="15" hidden="false" customHeight="false" outlineLevel="0" collapsed="false">
      <c r="B2821" s="130" t="n">
        <v>2027</v>
      </c>
      <c r="C2821" s="131" t="s">
        <v>248</v>
      </c>
      <c r="D2821" s="132" t="n">
        <v>46556</v>
      </c>
      <c r="E2821" s="131" t="s">
        <v>25</v>
      </c>
      <c r="F2821" s="133" t="s">
        <v>24</v>
      </c>
      <c r="G2821" s="134" t="n">
        <f aca="false">LEN('Saisie programme'!$H$99)+SUMIFS('Vols additionnels'!$E$7:$E$66,'Vols additionnels'!$C$7:$C$66,$E2821,'Vols additionnels'!$D$7:$D$66,$F2821,'Vols additionnels'!$B$7:$B$66,$D2821)</f>
        <v>0</v>
      </c>
      <c r="H2821" s="135" t="n">
        <f aca="false">$G2821*'Analyse capacite'!$F$9</f>
        <v>0</v>
      </c>
      <c r="I2821" s="135" t="n">
        <f aca="false">$G2821*'Analyse capacite'!$C$9</f>
        <v>0</v>
      </c>
      <c r="J2821" s="135" t="n">
        <f aca="false">$G2821*'Analyse capacite'!$D$9</f>
        <v>0</v>
      </c>
      <c r="K2821" s="135" t="n">
        <f aca="false">$G2821*'Analyse capacite'!$E$9</f>
        <v>0</v>
      </c>
    </row>
    <row r="2822" customFormat="false" ht="15" hidden="false" customHeight="false" outlineLevel="0" collapsed="false">
      <c r="B2822" s="130" t="n">
        <v>2027</v>
      </c>
      <c r="C2822" s="131" t="s">
        <v>248</v>
      </c>
      <c r="D2822" s="132" t="n">
        <v>46556</v>
      </c>
      <c r="E2822" s="131" t="s">
        <v>36</v>
      </c>
      <c r="F2822" s="133" t="s">
        <v>11</v>
      </c>
      <c r="G2822" s="134" t="n">
        <f aca="false">LEN('Saisie programme'!$H$100)+SUMIFS('Vols additionnels'!$E$7:$E$66,'Vols additionnels'!$C$7:$C$66,$E2822,'Vols additionnels'!$D$7:$D$66,$F2822,'Vols additionnels'!$B$7:$B$66,$D2822)</f>
        <v>0</v>
      </c>
      <c r="H2822" s="135" t="n">
        <f aca="false">$G2822*'Analyse capacite'!$F$7</f>
        <v>0</v>
      </c>
      <c r="I2822" s="135" t="n">
        <f aca="false">$G2822*'Analyse capacite'!$C$7</f>
        <v>0</v>
      </c>
      <c r="J2822" s="135" t="n">
        <f aca="false">$G2822*'Analyse capacite'!$D$7</f>
        <v>0</v>
      </c>
      <c r="K2822" s="135" t="n">
        <f aca="false">$G2822*'Analyse capacite'!$E$7</f>
        <v>0</v>
      </c>
    </row>
    <row r="2823" customFormat="false" ht="15" hidden="false" customHeight="false" outlineLevel="0" collapsed="false">
      <c r="B2823" s="130" t="n">
        <v>2027</v>
      </c>
      <c r="C2823" s="131" t="s">
        <v>248</v>
      </c>
      <c r="D2823" s="132" t="n">
        <v>46556</v>
      </c>
      <c r="E2823" s="131" t="s">
        <v>36</v>
      </c>
      <c r="F2823" s="133" t="s">
        <v>19</v>
      </c>
      <c r="G2823" s="134" t="n">
        <f aca="false">LEN('Saisie programme'!$H$101)+SUMIFS('Vols additionnels'!$E$7:$E$66,'Vols additionnels'!$C$7:$C$66,$E2823,'Vols additionnels'!$D$7:$D$66,$F2823,'Vols additionnels'!$B$7:$B$66,$D2823)</f>
        <v>0</v>
      </c>
      <c r="H2823" s="135" t="n">
        <f aca="false">$G2823*'Analyse capacite'!$F$8</f>
        <v>0</v>
      </c>
      <c r="I2823" s="135" t="n">
        <f aca="false">$G2823*'Analyse capacite'!$C$8</f>
        <v>0</v>
      </c>
      <c r="J2823" s="135" t="n">
        <f aca="false">$G2823*'Analyse capacite'!$D$8</f>
        <v>0</v>
      </c>
      <c r="K2823" s="135" t="n">
        <f aca="false">$G2823*'Analyse capacite'!$E$8</f>
        <v>0</v>
      </c>
    </row>
    <row r="2824" customFormat="false" ht="15" hidden="false" customHeight="false" outlineLevel="0" collapsed="false">
      <c r="B2824" s="130" t="n">
        <v>2027</v>
      </c>
      <c r="C2824" s="131" t="s">
        <v>248</v>
      </c>
      <c r="D2824" s="132" t="n">
        <v>46556</v>
      </c>
      <c r="E2824" s="131" t="s">
        <v>36</v>
      </c>
      <c r="F2824" s="133" t="s">
        <v>24</v>
      </c>
      <c r="G2824" s="134" t="n">
        <f aca="false">LEN('Saisie programme'!$H$102)+SUMIFS('Vols additionnels'!$E$7:$E$66,'Vols additionnels'!$C$7:$C$66,$E2824,'Vols additionnels'!$D$7:$D$66,$F2824,'Vols additionnels'!$B$7:$B$66,$D2824)</f>
        <v>1</v>
      </c>
      <c r="H2824" s="135" t="n">
        <f aca="false">$G2824*'Analyse capacite'!$F$9</f>
        <v>174</v>
      </c>
      <c r="I2824" s="135" t="n">
        <f aca="false">$G2824*'Analyse capacite'!$C$9</f>
        <v>0</v>
      </c>
      <c r="J2824" s="135" t="n">
        <f aca="false">$G2824*'Analyse capacite'!$D$9</f>
        <v>12</v>
      </c>
      <c r="K2824" s="135" t="n">
        <f aca="false">$G2824*'Analyse capacite'!$E$9</f>
        <v>162</v>
      </c>
    </row>
    <row r="2825" customFormat="false" ht="15" hidden="false" customHeight="false" outlineLevel="0" collapsed="false">
      <c r="B2825" s="130" t="n">
        <v>2027</v>
      </c>
      <c r="C2825" s="131" t="s">
        <v>248</v>
      </c>
      <c r="D2825" s="132" t="n">
        <v>46556</v>
      </c>
      <c r="E2825" s="131" t="s">
        <v>40</v>
      </c>
      <c r="F2825" s="133" t="s">
        <v>11</v>
      </c>
      <c r="G2825" s="134" t="n">
        <f aca="false">LEN('Saisie programme'!$H$103)+SUMIFS('Vols additionnels'!$E$7:$E$66,'Vols additionnels'!$C$7:$C$66,$E2825,'Vols additionnels'!$D$7:$D$66,$F2825,'Vols additionnels'!$B$7:$B$66,$D2825)</f>
        <v>0</v>
      </c>
      <c r="H2825" s="135" t="n">
        <f aca="false">$G2825*'Analyse capacite'!$F$7</f>
        <v>0</v>
      </c>
      <c r="I2825" s="135" t="n">
        <f aca="false">$G2825*'Analyse capacite'!$C$7</f>
        <v>0</v>
      </c>
      <c r="J2825" s="135" t="n">
        <f aca="false">$G2825*'Analyse capacite'!$D$7</f>
        <v>0</v>
      </c>
      <c r="K2825" s="135" t="n">
        <f aca="false">$G2825*'Analyse capacite'!$E$7</f>
        <v>0</v>
      </c>
    </row>
    <row r="2826" customFormat="false" ht="15" hidden="false" customHeight="false" outlineLevel="0" collapsed="false">
      <c r="B2826" s="130" t="n">
        <v>2027</v>
      </c>
      <c r="C2826" s="131" t="s">
        <v>248</v>
      </c>
      <c r="D2826" s="132" t="n">
        <v>46556</v>
      </c>
      <c r="E2826" s="131" t="s">
        <v>40</v>
      </c>
      <c r="F2826" s="133" t="s">
        <v>19</v>
      </c>
      <c r="G2826" s="134" t="n">
        <f aca="false">LEN('Saisie programme'!$H$104)+SUMIFS('Vols additionnels'!$E$7:$E$66,'Vols additionnels'!$C$7:$C$66,$E2826,'Vols additionnels'!$D$7:$D$66,$F2826,'Vols additionnels'!$B$7:$B$66,$D2826)</f>
        <v>0</v>
      </c>
      <c r="H2826" s="135" t="n">
        <f aca="false">$G2826*'Analyse capacite'!$F$8</f>
        <v>0</v>
      </c>
      <c r="I2826" s="135" t="n">
        <f aca="false">$G2826*'Analyse capacite'!$C$8</f>
        <v>0</v>
      </c>
      <c r="J2826" s="135" t="n">
        <f aca="false">$G2826*'Analyse capacite'!$D$8</f>
        <v>0</v>
      </c>
      <c r="K2826" s="135" t="n">
        <f aca="false">$G2826*'Analyse capacite'!$E$8</f>
        <v>0</v>
      </c>
    </row>
    <row r="2827" customFormat="false" ht="15" hidden="false" customHeight="false" outlineLevel="0" collapsed="false">
      <c r="B2827" s="130" t="n">
        <v>2027</v>
      </c>
      <c r="C2827" s="131" t="s">
        <v>248</v>
      </c>
      <c r="D2827" s="132" t="n">
        <v>46556</v>
      </c>
      <c r="E2827" s="131" t="s">
        <v>40</v>
      </c>
      <c r="F2827" s="133" t="s">
        <v>24</v>
      </c>
      <c r="G2827" s="134" t="n">
        <f aca="false">LEN('Saisie programme'!$H$105)+SUMIFS('Vols additionnels'!$E$7:$E$66,'Vols additionnels'!$C$7:$C$66,$E2827,'Vols additionnels'!$D$7:$D$66,$F2827,'Vols additionnels'!$B$7:$B$66,$D2827)</f>
        <v>1</v>
      </c>
      <c r="H2827" s="135" t="n">
        <f aca="false">$G2827*'Analyse capacite'!$F$9</f>
        <v>174</v>
      </c>
      <c r="I2827" s="135" t="n">
        <f aca="false">$G2827*'Analyse capacite'!$C$9</f>
        <v>0</v>
      </c>
      <c r="J2827" s="135" t="n">
        <f aca="false">$G2827*'Analyse capacite'!$D$9</f>
        <v>12</v>
      </c>
      <c r="K2827" s="135" t="n">
        <f aca="false">$G2827*'Analyse capacite'!$E$9</f>
        <v>162</v>
      </c>
    </row>
    <row r="2828" customFormat="false" ht="15" hidden="false" customHeight="false" outlineLevel="0" collapsed="false">
      <c r="B2828" s="130" t="n">
        <v>2027</v>
      </c>
      <c r="C2828" s="131" t="s">
        <v>248</v>
      </c>
      <c r="D2828" s="132" t="n">
        <v>46556</v>
      </c>
      <c r="E2828" s="131" t="s">
        <v>14</v>
      </c>
      <c r="F2828" s="133" t="s">
        <v>11</v>
      </c>
      <c r="G2828" s="134" t="n">
        <f aca="false">LEN('Saisie programme'!$H$106)+SUMIFS('Vols additionnels'!$E$7:$E$66,'Vols additionnels'!$C$7:$C$66,$E2828,'Vols additionnels'!$D$7:$D$66,$F2828,'Vols additionnels'!$B$7:$B$66,$D2828)</f>
        <v>0</v>
      </c>
      <c r="H2828" s="135" t="n">
        <f aca="false">$G2828*'Analyse capacite'!$F$7</f>
        <v>0</v>
      </c>
      <c r="I2828" s="135" t="n">
        <f aca="false">$G2828*'Analyse capacite'!$C$7</f>
        <v>0</v>
      </c>
      <c r="J2828" s="135" t="n">
        <f aca="false">$G2828*'Analyse capacite'!$D$7</f>
        <v>0</v>
      </c>
      <c r="K2828" s="135" t="n">
        <f aca="false">$G2828*'Analyse capacite'!$E$7</f>
        <v>0</v>
      </c>
    </row>
    <row r="2829" customFormat="false" ht="15" hidden="false" customHeight="false" outlineLevel="0" collapsed="false">
      <c r="B2829" s="130" t="n">
        <v>2027</v>
      </c>
      <c r="C2829" s="131" t="s">
        <v>248</v>
      </c>
      <c r="D2829" s="132" t="n">
        <v>46556</v>
      </c>
      <c r="E2829" s="131" t="s">
        <v>14</v>
      </c>
      <c r="F2829" s="133" t="s">
        <v>19</v>
      </c>
      <c r="G2829" s="134" t="n">
        <f aca="false">LEN('Saisie programme'!$H$107)+SUMIFS('Vols additionnels'!$E$7:$E$66,'Vols additionnels'!$C$7:$C$66,$E2829,'Vols additionnels'!$D$7:$D$66,$F2829,'Vols additionnels'!$B$7:$B$66,$D2829)</f>
        <v>0</v>
      </c>
      <c r="H2829" s="135" t="n">
        <f aca="false">$G2829*'Analyse capacite'!$F$8</f>
        <v>0</v>
      </c>
      <c r="I2829" s="135" t="n">
        <f aca="false">$G2829*'Analyse capacite'!$C$8</f>
        <v>0</v>
      </c>
      <c r="J2829" s="135" t="n">
        <f aca="false">$G2829*'Analyse capacite'!$D$8</f>
        <v>0</v>
      </c>
      <c r="K2829" s="135" t="n">
        <f aca="false">$G2829*'Analyse capacite'!$E$8</f>
        <v>0</v>
      </c>
    </row>
    <row r="2830" customFormat="false" ht="15" hidden="false" customHeight="false" outlineLevel="0" collapsed="false">
      <c r="B2830" s="130" t="n">
        <v>2027</v>
      </c>
      <c r="C2830" s="131" t="s">
        <v>248</v>
      </c>
      <c r="D2830" s="132" t="n">
        <v>46556</v>
      </c>
      <c r="E2830" s="131" t="s">
        <v>14</v>
      </c>
      <c r="F2830" s="133" t="s">
        <v>24</v>
      </c>
      <c r="G2830" s="134" t="n">
        <f aca="false">LEN('Saisie programme'!$H$108)+SUMIFS('Vols additionnels'!$E$7:$E$66,'Vols additionnels'!$C$7:$C$66,$E2830,'Vols additionnels'!$D$7:$D$66,$F2830,'Vols additionnels'!$B$7:$B$66,$D2830)</f>
        <v>0</v>
      </c>
      <c r="H2830" s="135" t="n">
        <f aca="false">$G2830*'Analyse capacite'!$F$9</f>
        <v>0</v>
      </c>
      <c r="I2830" s="135" t="n">
        <f aca="false">$G2830*'Analyse capacite'!$C$9</f>
        <v>0</v>
      </c>
      <c r="J2830" s="135" t="n">
        <f aca="false">$G2830*'Analyse capacite'!$D$9</f>
        <v>0</v>
      </c>
      <c r="K2830" s="135" t="n">
        <f aca="false">$G2830*'Analyse capacite'!$E$9</f>
        <v>0</v>
      </c>
    </row>
    <row r="2831" customFormat="false" ht="15" hidden="false" customHeight="false" outlineLevel="0" collapsed="false">
      <c r="B2831" s="130" t="n">
        <v>2027</v>
      </c>
      <c r="C2831" s="131" t="s">
        <v>248</v>
      </c>
      <c r="D2831" s="132" t="n">
        <v>46556</v>
      </c>
      <c r="E2831" s="131" t="s">
        <v>46</v>
      </c>
      <c r="F2831" s="133" t="s">
        <v>11</v>
      </c>
      <c r="G2831" s="134" t="n">
        <f aca="false">LEN('Saisie programme'!$H$109)+SUMIFS('Vols additionnels'!$E$7:$E$66,'Vols additionnels'!$C$7:$C$66,$E2831,'Vols additionnels'!$D$7:$D$66,$F2831,'Vols additionnels'!$B$7:$B$66,$D2831)</f>
        <v>0</v>
      </c>
      <c r="H2831" s="135" t="n">
        <f aca="false">$G2831*'Analyse capacite'!$F$7</f>
        <v>0</v>
      </c>
      <c r="I2831" s="135" t="n">
        <f aca="false">$G2831*'Analyse capacite'!$C$7</f>
        <v>0</v>
      </c>
      <c r="J2831" s="135" t="n">
        <f aca="false">$G2831*'Analyse capacite'!$D$7</f>
        <v>0</v>
      </c>
      <c r="K2831" s="135" t="n">
        <f aca="false">$G2831*'Analyse capacite'!$E$7</f>
        <v>0</v>
      </c>
    </row>
    <row r="2832" customFormat="false" ht="15" hidden="false" customHeight="false" outlineLevel="0" collapsed="false">
      <c r="B2832" s="130" t="n">
        <v>2027</v>
      </c>
      <c r="C2832" s="131" t="s">
        <v>248</v>
      </c>
      <c r="D2832" s="132" t="n">
        <v>46556</v>
      </c>
      <c r="E2832" s="131" t="s">
        <v>46</v>
      </c>
      <c r="F2832" s="133" t="s">
        <v>19</v>
      </c>
      <c r="G2832" s="134" t="n">
        <f aca="false">LEN('Saisie programme'!$H$110)+SUMIFS('Vols additionnels'!$E$7:$E$66,'Vols additionnels'!$C$7:$C$66,$E2832,'Vols additionnels'!$D$7:$D$66,$F2832,'Vols additionnels'!$B$7:$B$66,$D2832)</f>
        <v>0</v>
      </c>
      <c r="H2832" s="135" t="n">
        <f aca="false">$G2832*'Analyse capacite'!$F$8</f>
        <v>0</v>
      </c>
      <c r="I2832" s="135" t="n">
        <f aca="false">$G2832*'Analyse capacite'!$C$8</f>
        <v>0</v>
      </c>
      <c r="J2832" s="135" t="n">
        <f aca="false">$G2832*'Analyse capacite'!$D$8</f>
        <v>0</v>
      </c>
      <c r="K2832" s="135" t="n">
        <f aca="false">$G2832*'Analyse capacite'!$E$8</f>
        <v>0</v>
      </c>
    </row>
    <row r="2833" customFormat="false" ht="15" hidden="false" customHeight="false" outlineLevel="0" collapsed="false">
      <c r="B2833" s="130" t="n">
        <v>2027</v>
      </c>
      <c r="C2833" s="131" t="s">
        <v>248</v>
      </c>
      <c r="D2833" s="132" t="n">
        <v>46556</v>
      </c>
      <c r="E2833" s="131" t="s">
        <v>46</v>
      </c>
      <c r="F2833" s="133" t="s">
        <v>24</v>
      </c>
      <c r="G2833" s="134" t="n">
        <f aca="false">LEN('Saisie programme'!$H$111)+SUMIFS('Vols additionnels'!$E$7:$E$66,'Vols additionnels'!$C$7:$C$66,$E2833,'Vols additionnels'!$D$7:$D$66,$F2833,'Vols additionnels'!$B$7:$B$66,$D2833)</f>
        <v>0</v>
      </c>
      <c r="H2833" s="135" t="n">
        <f aca="false">$G2833*'Analyse capacite'!$F$9</f>
        <v>0</v>
      </c>
      <c r="I2833" s="135" t="n">
        <f aca="false">$G2833*'Analyse capacite'!$C$9</f>
        <v>0</v>
      </c>
      <c r="J2833" s="135" t="n">
        <f aca="false">$G2833*'Analyse capacite'!$D$9</f>
        <v>0</v>
      </c>
      <c r="K2833" s="135" t="n">
        <f aca="false">$G2833*'Analyse capacite'!$E$9</f>
        <v>0</v>
      </c>
    </row>
    <row r="2834" customFormat="false" ht="15" hidden="false" customHeight="false" outlineLevel="0" collapsed="false">
      <c r="B2834" s="130" t="n">
        <v>2027</v>
      </c>
      <c r="C2834" s="131" t="s">
        <v>248</v>
      </c>
      <c r="D2834" s="132" t="n">
        <v>46556</v>
      </c>
      <c r="E2834" s="131" t="s">
        <v>49</v>
      </c>
      <c r="F2834" s="133" t="s">
        <v>11</v>
      </c>
      <c r="G2834" s="134" t="n">
        <f aca="false">LEN('Saisie programme'!$H$112)+SUMIFS('Vols additionnels'!$E$7:$E$66,'Vols additionnels'!$C$7:$C$66,$E2834,'Vols additionnels'!$D$7:$D$66,$F2834,'Vols additionnels'!$B$7:$B$66,$D2834)</f>
        <v>0</v>
      </c>
      <c r="H2834" s="135" t="n">
        <f aca="false">$G2834*'Analyse capacite'!$F$7</f>
        <v>0</v>
      </c>
      <c r="I2834" s="135" t="n">
        <f aca="false">$G2834*'Analyse capacite'!$C$7</f>
        <v>0</v>
      </c>
      <c r="J2834" s="135" t="n">
        <f aca="false">$G2834*'Analyse capacite'!$D$7</f>
        <v>0</v>
      </c>
      <c r="K2834" s="135" t="n">
        <f aca="false">$G2834*'Analyse capacite'!$E$7</f>
        <v>0</v>
      </c>
    </row>
    <row r="2835" customFormat="false" ht="15" hidden="false" customHeight="false" outlineLevel="0" collapsed="false">
      <c r="B2835" s="130" t="n">
        <v>2027</v>
      </c>
      <c r="C2835" s="131" t="s">
        <v>248</v>
      </c>
      <c r="D2835" s="132" t="n">
        <v>46556</v>
      </c>
      <c r="E2835" s="131" t="s">
        <v>49</v>
      </c>
      <c r="F2835" s="133" t="s">
        <v>19</v>
      </c>
      <c r="G2835" s="134" t="n">
        <f aca="false">LEN('Saisie programme'!$H$113)+SUMIFS('Vols additionnels'!$E$7:$E$66,'Vols additionnels'!$C$7:$C$66,$E2835,'Vols additionnels'!$D$7:$D$66,$F2835,'Vols additionnels'!$B$7:$B$66,$D2835)</f>
        <v>1</v>
      </c>
      <c r="H2835" s="135" t="n">
        <f aca="false">$G2835*'Analyse capacite'!$F$8</f>
        <v>262</v>
      </c>
      <c r="I2835" s="135" t="n">
        <f aca="false">$G2835*'Analyse capacite'!$C$8</f>
        <v>18</v>
      </c>
      <c r="J2835" s="135" t="n">
        <f aca="false">$G2835*'Analyse capacite'!$D$8</f>
        <v>0</v>
      </c>
      <c r="K2835" s="135" t="n">
        <f aca="false">$G2835*'Analyse capacite'!$E$8</f>
        <v>244</v>
      </c>
    </row>
    <row r="2836" customFormat="false" ht="15" hidden="false" customHeight="false" outlineLevel="0" collapsed="false">
      <c r="B2836" s="130" t="n">
        <v>2027</v>
      </c>
      <c r="C2836" s="131" t="s">
        <v>248</v>
      </c>
      <c r="D2836" s="132" t="n">
        <v>46556</v>
      </c>
      <c r="E2836" s="131" t="s">
        <v>49</v>
      </c>
      <c r="F2836" s="133" t="s">
        <v>24</v>
      </c>
      <c r="G2836" s="134" t="n">
        <f aca="false">LEN('Saisie programme'!$H$114)+SUMIFS('Vols additionnels'!$E$7:$E$66,'Vols additionnels'!$C$7:$C$66,$E2836,'Vols additionnels'!$D$7:$D$66,$F2836,'Vols additionnels'!$B$7:$B$66,$D2836)</f>
        <v>0</v>
      </c>
      <c r="H2836" s="135" t="n">
        <f aca="false">$G2836*'Analyse capacite'!$F$9</f>
        <v>0</v>
      </c>
      <c r="I2836" s="135" t="n">
        <f aca="false">$G2836*'Analyse capacite'!$C$9</f>
        <v>0</v>
      </c>
      <c r="J2836" s="135" t="n">
        <f aca="false">$G2836*'Analyse capacite'!$D$9</f>
        <v>0</v>
      </c>
      <c r="K2836" s="135" t="n">
        <f aca="false">$G2836*'Analyse capacite'!$E$9</f>
        <v>0</v>
      </c>
    </row>
    <row r="2837" customFormat="false" ht="15" hidden="false" customHeight="false" outlineLevel="0" collapsed="false">
      <c r="B2837" s="130" t="n">
        <v>2027</v>
      </c>
      <c r="C2837" s="131" t="s">
        <v>248</v>
      </c>
      <c r="D2837" s="132" t="n">
        <v>46556</v>
      </c>
      <c r="E2837" s="131" t="s">
        <v>53</v>
      </c>
      <c r="F2837" s="133" t="s">
        <v>11</v>
      </c>
      <c r="G2837" s="134" t="n">
        <f aca="false">LEN('Saisie programme'!$H$115)+SUMIFS('Vols additionnels'!$E$7:$E$66,'Vols additionnels'!$C$7:$C$66,$E2837,'Vols additionnels'!$D$7:$D$66,$F2837,'Vols additionnels'!$B$7:$B$66,$D2837)</f>
        <v>0</v>
      </c>
      <c r="H2837" s="135" t="n">
        <f aca="false">$G2837*'Analyse capacite'!$F$7</f>
        <v>0</v>
      </c>
      <c r="I2837" s="135" t="n">
        <f aca="false">$G2837*'Analyse capacite'!$C$7</f>
        <v>0</v>
      </c>
      <c r="J2837" s="135" t="n">
        <f aca="false">$G2837*'Analyse capacite'!$D$7</f>
        <v>0</v>
      </c>
      <c r="K2837" s="135" t="n">
        <f aca="false">$G2837*'Analyse capacite'!$E$7</f>
        <v>0</v>
      </c>
    </row>
    <row r="2838" customFormat="false" ht="15" hidden="false" customHeight="false" outlineLevel="0" collapsed="false">
      <c r="B2838" s="130" t="n">
        <v>2027</v>
      </c>
      <c r="C2838" s="131" t="s">
        <v>248</v>
      </c>
      <c r="D2838" s="132" t="n">
        <v>46556</v>
      </c>
      <c r="E2838" s="131" t="s">
        <v>53</v>
      </c>
      <c r="F2838" s="133" t="s">
        <v>19</v>
      </c>
      <c r="G2838" s="134" t="n">
        <f aca="false">LEN('Saisie programme'!$H$116)+SUMIFS('Vols additionnels'!$E$7:$E$66,'Vols additionnels'!$C$7:$C$66,$E2838,'Vols additionnels'!$D$7:$D$66,$F2838,'Vols additionnels'!$B$7:$B$66,$D2838)</f>
        <v>0</v>
      </c>
      <c r="H2838" s="135" t="n">
        <f aca="false">$G2838*'Analyse capacite'!$F$8</f>
        <v>0</v>
      </c>
      <c r="I2838" s="135" t="n">
        <f aca="false">$G2838*'Analyse capacite'!$C$8</f>
        <v>0</v>
      </c>
      <c r="J2838" s="135" t="n">
        <f aca="false">$G2838*'Analyse capacite'!$D$8</f>
        <v>0</v>
      </c>
      <c r="K2838" s="135" t="n">
        <f aca="false">$G2838*'Analyse capacite'!$E$8</f>
        <v>0</v>
      </c>
    </row>
    <row r="2839" customFormat="false" ht="15" hidden="false" customHeight="false" outlineLevel="0" collapsed="false">
      <c r="B2839" s="130" t="n">
        <v>2027</v>
      </c>
      <c r="C2839" s="131" t="s">
        <v>248</v>
      </c>
      <c r="D2839" s="132" t="n">
        <v>46556</v>
      </c>
      <c r="E2839" s="131" t="s">
        <v>53</v>
      </c>
      <c r="F2839" s="133" t="s">
        <v>24</v>
      </c>
      <c r="G2839" s="134" t="n">
        <f aca="false">LEN('Saisie programme'!$H$117)+SUMIFS('Vols additionnels'!$E$7:$E$66,'Vols additionnels'!$C$7:$C$66,$E2839,'Vols additionnels'!$D$7:$D$66,$F2839,'Vols additionnels'!$B$7:$B$66,$D2839)</f>
        <v>0</v>
      </c>
      <c r="H2839" s="135" t="n">
        <f aca="false">$G2839*'Analyse capacite'!$F$9</f>
        <v>0</v>
      </c>
      <c r="I2839" s="135" t="n">
        <f aca="false">$G2839*'Analyse capacite'!$C$9</f>
        <v>0</v>
      </c>
      <c r="J2839" s="135" t="n">
        <f aca="false">$G2839*'Analyse capacite'!$D$9</f>
        <v>0</v>
      </c>
      <c r="K2839" s="135" t="n">
        <f aca="false">$G2839*'Analyse capacite'!$E$9</f>
        <v>0</v>
      </c>
    </row>
    <row r="2840" customFormat="false" ht="15" hidden="false" customHeight="false" outlineLevel="0" collapsed="false">
      <c r="B2840" s="130" t="n">
        <v>2027</v>
      </c>
      <c r="C2840" s="131" t="s">
        <v>248</v>
      </c>
      <c r="D2840" s="132" t="n">
        <v>46556</v>
      </c>
      <c r="E2840" s="131" t="s">
        <v>56</v>
      </c>
      <c r="F2840" s="133" t="s">
        <v>11</v>
      </c>
      <c r="G2840" s="134" t="n">
        <f aca="false">LEN('Saisie programme'!$H$118)+SUMIFS('Vols additionnels'!$E$7:$E$66,'Vols additionnels'!$C$7:$C$66,$E2840,'Vols additionnels'!$D$7:$D$66,$F2840,'Vols additionnels'!$B$7:$B$66,$D2840)</f>
        <v>0</v>
      </c>
      <c r="H2840" s="135" t="n">
        <f aca="false">$G2840*'Analyse capacite'!$F$7</f>
        <v>0</v>
      </c>
      <c r="I2840" s="135" t="n">
        <f aca="false">$G2840*'Analyse capacite'!$C$7</f>
        <v>0</v>
      </c>
      <c r="J2840" s="135" t="n">
        <f aca="false">$G2840*'Analyse capacite'!$D$7</f>
        <v>0</v>
      </c>
      <c r="K2840" s="135" t="n">
        <f aca="false">$G2840*'Analyse capacite'!$E$7</f>
        <v>0</v>
      </c>
    </row>
    <row r="2841" customFormat="false" ht="15" hidden="false" customHeight="false" outlineLevel="0" collapsed="false">
      <c r="B2841" s="130" t="n">
        <v>2027</v>
      </c>
      <c r="C2841" s="131" t="s">
        <v>248</v>
      </c>
      <c r="D2841" s="132" t="n">
        <v>46556</v>
      </c>
      <c r="E2841" s="131" t="s">
        <v>56</v>
      </c>
      <c r="F2841" s="133" t="s">
        <v>19</v>
      </c>
      <c r="G2841" s="134" t="n">
        <f aca="false">LEN('Saisie programme'!$H$119)+SUMIFS('Vols additionnels'!$E$7:$E$66,'Vols additionnels'!$C$7:$C$66,$E2841,'Vols additionnels'!$D$7:$D$66,$F2841,'Vols additionnels'!$B$7:$B$66,$D2841)</f>
        <v>0</v>
      </c>
      <c r="H2841" s="135" t="n">
        <f aca="false">$G2841*'Analyse capacite'!$F$8</f>
        <v>0</v>
      </c>
      <c r="I2841" s="135" t="n">
        <f aca="false">$G2841*'Analyse capacite'!$C$8</f>
        <v>0</v>
      </c>
      <c r="J2841" s="135" t="n">
        <f aca="false">$G2841*'Analyse capacite'!$D$8</f>
        <v>0</v>
      </c>
      <c r="K2841" s="135" t="n">
        <f aca="false">$G2841*'Analyse capacite'!$E$8</f>
        <v>0</v>
      </c>
    </row>
    <row r="2842" customFormat="false" ht="15" hidden="false" customHeight="false" outlineLevel="0" collapsed="false">
      <c r="B2842" s="130" t="n">
        <v>2027</v>
      </c>
      <c r="C2842" s="131" t="s">
        <v>248</v>
      </c>
      <c r="D2842" s="132" t="n">
        <v>46556</v>
      </c>
      <c r="E2842" s="131" t="s">
        <v>56</v>
      </c>
      <c r="F2842" s="133" t="s">
        <v>24</v>
      </c>
      <c r="G2842" s="134" t="n">
        <f aca="false">LEN('Saisie programme'!$H$120)+SUMIFS('Vols additionnels'!$E$7:$E$66,'Vols additionnels'!$C$7:$C$66,$E2842,'Vols additionnels'!$D$7:$D$66,$F2842,'Vols additionnels'!$B$7:$B$66,$D2842)</f>
        <v>0</v>
      </c>
      <c r="H2842" s="135" t="n">
        <f aca="false">$G2842*'Analyse capacite'!$F$9</f>
        <v>0</v>
      </c>
      <c r="I2842" s="135" t="n">
        <f aca="false">$G2842*'Analyse capacite'!$C$9</f>
        <v>0</v>
      </c>
      <c r="J2842" s="135" t="n">
        <f aca="false">$G2842*'Analyse capacite'!$D$9</f>
        <v>0</v>
      </c>
      <c r="K2842" s="135" t="n">
        <f aca="false">$G2842*'Analyse capacite'!$E$9</f>
        <v>0</v>
      </c>
    </row>
    <row r="2843" customFormat="false" ht="15" hidden="false" customHeight="false" outlineLevel="0" collapsed="false">
      <c r="B2843" s="130" t="n">
        <v>2027</v>
      </c>
      <c r="C2843" s="131" t="s">
        <v>248</v>
      </c>
      <c r="D2843" s="132" t="n">
        <v>46556</v>
      </c>
      <c r="E2843" s="131" t="s">
        <v>59</v>
      </c>
      <c r="F2843" s="133" t="s">
        <v>11</v>
      </c>
      <c r="G2843" s="134" t="n">
        <f aca="false">LEN('Saisie programme'!$H$121)+SUMIFS('Vols additionnels'!$E$7:$E$66,'Vols additionnels'!$C$7:$C$66,$E2843,'Vols additionnels'!$D$7:$D$66,$F2843,'Vols additionnels'!$B$7:$B$66,$D2843)</f>
        <v>0</v>
      </c>
      <c r="H2843" s="135" t="n">
        <f aca="false">$G2843*'Analyse capacite'!$F$7</f>
        <v>0</v>
      </c>
      <c r="I2843" s="135" t="n">
        <f aca="false">$G2843*'Analyse capacite'!$C$7</f>
        <v>0</v>
      </c>
      <c r="J2843" s="135" t="n">
        <f aca="false">$G2843*'Analyse capacite'!$D$7</f>
        <v>0</v>
      </c>
      <c r="K2843" s="135" t="n">
        <f aca="false">$G2843*'Analyse capacite'!$E$7</f>
        <v>0</v>
      </c>
    </row>
    <row r="2844" customFormat="false" ht="15" hidden="false" customHeight="false" outlineLevel="0" collapsed="false">
      <c r="B2844" s="130" t="n">
        <v>2027</v>
      </c>
      <c r="C2844" s="131" t="s">
        <v>248</v>
      </c>
      <c r="D2844" s="132" t="n">
        <v>46556</v>
      </c>
      <c r="E2844" s="131" t="s">
        <v>59</v>
      </c>
      <c r="F2844" s="133" t="s">
        <v>19</v>
      </c>
      <c r="G2844" s="134" t="n">
        <f aca="false">LEN('Saisie programme'!$H$122)+SUMIFS('Vols additionnels'!$E$7:$E$66,'Vols additionnels'!$C$7:$C$66,$E2844,'Vols additionnels'!$D$7:$D$66,$F2844,'Vols additionnels'!$B$7:$B$66,$D2844)</f>
        <v>0</v>
      </c>
      <c r="H2844" s="135" t="n">
        <f aca="false">$G2844*'Analyse capacite'!$F$8</f>
        <v>0</v>
      </c>
      <c r="I2844" s="135" t="n">
        <f aca="false">$G2844*'Analyse capacite'!$C$8</f>
        <v>0</v>
      </c>
      <c r="J2844" s="135" t="n">
        <f aca="false">$G2844*'Analyse capacite'!$D$8</f>
        <v>0</v>
      </c>
      <c r="K2844" s="135" t="n">
        <f aca="false">$G2844*'Analyse capacite'!$E$8</f>
        <v>0</v>
      </c>
    </row>
    <row r="2845" customFormat="false" ht="15" hidden="false" customHeight="false" outlineLevel="0" collapsed="false">
      <c r="B2845" s="130" t="n">
        <v>2027</v>
      </c>
      <c r="C2845" s="131" t="s">
        <v>248</v>
      </c>
      <c r="D2845" s="132" t="n">
        <v>46556</v>
      </c>
      <c r="E2845" s="131" t="s">
        <v>59</v>
      </c>
      <c r="F2845" s="133" t="s">
        <v>24</v>
      </c>
      <c r="G2845" s="134" t="n">
        <f aca="false">LEN('Saisie programme'!$H$123)+SUMIFS('Vols additionnels'!$E$7:$E$66,'Vols additionnels'!$C$7:$C$66,$E2845,'Vols additionnels'!$D$7:$D$66,$F2845,'Vols additionnels'!$B$7:$B$66,$D2845)</f>
        <v>1</v>
      </c>
      <c r="H2845" s="135" t="n">
        <f aca="false">$G2845*'Analyse capacite'!$F$9</f>
        <v>174</v>
      </c>
      <c r="I2845" s="135" t="n">
        <f aca="false">$G2845*'Analyse capacite'!$C$9</f>
        <v>0</v>
      </c>
      <c r="J2845" s="135" t="n">
        <f aca="false">$G2845*'Analyse capacite'!$D$9</f>
        <v>12</v>
      </c>
      <c r="K2845" s="135" t="n">
        <f aca="false">$G2845*'Analyse capacite'!$E$9</f>
        <v>162</v>
      </c>
    </row>
    <row r="2846" customFormat="false" ht="15" hidden="false" customHeight="false" outlineLevel="0" collapsed="false">
      <c r="B2846" s="130" t="n">
        <v>2027</v>
      </c>
      <c r="C2846" s="131" t="s">
        <v>248</v>
      </c>
      <c r="D2846" s="132" t="n">
        <v>46556</v>
      </c>
      <c r="E2846" s="131" t="s">
        <v>62</v>
      </c>
      <c r="F2846" s="133" t="s">
        <v>11</v>
      </c>
      <c r="G2846" s="134" t="n">
        <f aca="false">LEN('Saisie programme'!$H$124)+SUMIFS('Vols additionnels'!$E$7:$E$66,'Vols additionnels'!$C$7:$C$66,$E2846,'Vols additionnels'!$D$7:$D$66,$F2846,'Vols additionnels'!$B$7:$B$66,$D2846)</f>
        <v>0</v>
      </c>
      <c r="H2846" s="135" t="n">
        <f aca="false">$G2846*'Analyse capacite'!$F$7</f>
        <v>0</v>
      </c>
      <c r="I2846" s="135" t="n">
        <f aca="false">$G2846*'Analyse capacite'!$C$7</f>
        <v>0</v>
      </c>
      <c r="J2846" s="135" t="n">
        <f aca="false">$G2846*'Analyse capacite'!$D$7</f>
        <v>0</v>
      </c>
      <c r="K2846" s="135" t="n">
        <f aca="false">$G2846*'Analyse capacite'!$E$7</f>
        <v>0</v>
      </c>
    </row>
    <row r="2847" customFormat="false" ht="15" hidden="false" customHeight="false" outlineLevel="0" collapsed="false">
      <c r="B2847" s="130" t="n">
        <v>2027</v>
      </c>
      <c r="C2847" s="131" t="s">
        <v>248</v>
      </c>
      <c r="D2847" s="132" t="n">
        <v>46556</v>
      </c>
      <c r="E2847" s="131" t="s">
        <v>62</v>
      </c>
      <c r="F2847" s="133" t="s">
        <v>19</v>
      </c>
      <c r="G2847" s="134" t="n">
        <f aca="false">LEN('Saisie programme'!$H$125)+SUMIFS('Vols additionnels'!$E$7:$E$66,'Vols additionnels'!$C$7:$C$66,$E2847,'Vols additionnels'!$D$7:$D$66,$F2847,'Vols additionnels'!$B$7:$B$66,$D2847)</f>
        <v>0</v>
      </c>
      <c r="H2847" s="135" t="n">
        <f aca="false">$G2847*'Analyse capacite'!$F$8</f>
        <v>0</v>
      </c>
      <c r="I2847" s="135" t="n">
        <f aca="false">$G2847*'Analyse capacite'!$C$8</f>
        <v>0</v>
      </c>
      <c r="J2847" s="135" t="n">
        <f aca="false">$G2847*'Analyse capacite'!$D$8</f>
        <v>0</v>
      </c>
      <c r="K2847" s="135" t="n">
        <f aca="false">$G2847*'Analyse capacite'!$E$8</f>
        <v>0</v>
      </c>
    </row>
    <row r="2848" customFormat="false" ht="15" hidden="false" customHeight="false" outlineLevel="0" collapsed="false">
      <c r="B2848" s="130" t="n">
        <v>2027</v>
      </c>
      <c r="C2848" s="131" t="s">
        <v>248</v>
      </c>
      <c r="D2848" s="132" t="n">
        <v>46556</v>
      </c>
      <c r="E2848" s="131" t="s">
        <v>62</v>
      </c>
      <c r="F2848" s="133" t="s">
        <v>24</v>
      </c>
      <c r="G2848" s="134" t="n">
        <f aca="false">LEN('Saisie programme'!$H$126)+SUMIFS('Vols additionnels'!$E$7:$E$66,'Vols additionnels'!$C$7:$C$66,$E2848,'Vols additionnels'!$D$7:$D$66,$F2848,'Vols additionnels'!$B$7:$B$66,$D2848)</f>
        <v>0</v>
      </c>
      <c r="H2848" s="135" t="n">
        <f aca="false">$G2848*'Analyse capacite'!$F$9</f>
        <v>0</v>
      </c>
      <c r="I2848" s="135" t="n">
        <f aca="false">$G2848*'Analyse capacite'!$C$9</f>
        <v>0</v>
      </c>
      <c r="J2848" s="135" t="n">
        <f aca="false">$G2848*'Analyse capacite'!$D$9</f>
        <v>0</v>
      </c>
      <c r="K2848" s="135" t="n">
        <f aca="false">$G2848*'Analyse capacite'!$E$9</f>
        <v>0</v>
      </c>
    </row>
    <row r="2849" customFormat="false" ht="15" hidden="false" customHeight="false" outlineLevel="0" collapsed="false">
      <c r="B2849" s="130" t="n">
        <v>2027</v>
      </c>
      <c r="C2849" s="131" t="s">
        <v>248</v>
      </c>
      <c r="D2849" s="132" t="n">
        <v>46557</v>
      </c>
      <c r="E2849" s="131" t="s">
        <v>12</v>
      </c>
      <c r="F2849" s="133" t="s">
        <v>11</v>
      </c>
      <c r="G2849" s="134" t="n">
        <f aca="false">LEN('Saisie programme'!$I$91)+SUMIFS('Vols additionnels'!$E$7:$E$66,'Vols additionnels'!$C$7:$C$66,$E2849,'Vols additionnels'!$D$7:$D$66,$F2849,'Vols additionnels'!$B$7:$B$66,$D2849)</f>
        <v>1</v>
      </c>
      <c r="H2849" s="135" t="n">
        <f aca="false">$G2849*'Analyse capacite'!$F$7</f>
        <v>438</v>
      </c>
      <c r="I2849" s="135" t="n">
        <f aca="false">$G2849*'Analyse capacite'!$C$7</f>
        <v>14</v>
      </c>
      <c r="J2849" s="135" t="n">
        <f aca="false">$G2849*'Analyse capacite'!$D$7</f>
        <v>40</v>
      </c>
      <c r="K2849" s="135" t="n">
        <f aca="false">$G2849*'Analyse capacite'!$E$7</f>
        <v>384</v>
      </c>
    </row>
    <row r="2850" customFormat="false" ht="15" hidden="false" customHeight="false" outlineLevel="0" collapsed="false">
      <c r="B2850" s="130" t="n">
        <v>2027</v>
      </c>
      <c r="C2850" s="131" t="s">
        <v>248</v>
      </c>
      <c r="D2850" s="132" t="n">
        <v>46557</v>
      </c>
      <c r="E2850" s="131" t="s">
        <v>12</v>
      </c>
      <c r="F2850" s="133" t="s">
        <v>19</v>
      </c>
      <c r="G2850" s="134" t="n">
        <f aca="false">LEN('Saisie programme'!$I$92)+SUMIFS('Vols additionnels'!$E$7:$E$66,'Vols additionnels'!$C$7:$C$66,$E2850,'Vols additionnels'!$D$7:$D$66,$F2850,'Vols additionnels'!$B$7:$B$66,$D2850)</f>
        <v>0</v>
      </c>
      <c r="H2850" s="135" t="n">
        <f aca="false">$G2850*'Analyse capacite'!$F$8</f>
        <v>0</v>
      </c>
      <c r="I2850" s="135" t="n">
        <f aca="false">$G2850*'Analyse capacite'!$C$8</f>
        <v>0</v>
      </c>
      <c r="J2850" s="135" t="n">
        <f aca="false">$G2850*'Analyse capacite'!$D$8</f>
        <v>0</v>
      </c>
      <c r="K2850" s="135" t="n">
        <f aca="false">$G2850*'Analyse capacite'!$E$8</f>
        <v>0</v>
      </c>
    </row>
    <row r="2851" customFormat="false" ht="15" hidden="false" customHeight="false" outlineLevel="0" collapsed="false">
      <c r="B2851" s="130" t="n">
        <v>2027</v>
      </c>
      <c r="C2851" s="131" t="s">
        <v>248</v>
      </c>
      <c r="D2851" s="132" t="n">
        <v>46557</v>
      </c>
      <c r="E2851" s="131" t="s">
        <v>12</v>
      </c>
      <c r="F2851" s="133" t="s">
        <v>24</v>
      </c>
      <c r="G2851" s="134" t="n">
        <f aca="false">LEN('Saisie programme'!$I$93)+SUMIFS('Vols additionnels'!$E$7:$E$66,'Vols additionnels'!$C$7:$C$66,$E2851,'Vols additionnels'!$D$7:$D$66,$F2851,'Vols additionnels'!$B$7:$B$66,$D2851)</f>
        <v>0</v>
      </c>
      <c r="H2851" s="135" t="n">
        <f aca="false">$G2851*'Analyse capacite'!$F$9</f>
        <v>0</v>
      </c>
      <c r="I2851" s="135" t="n">
        <f aca="false">$G2851*'Analyse capacite'!$C$9</f>
        <v>0</v>
      </c>
      <c r="J2851" s="135" t="n">
        <f aca="false">$G2851*'Analyse capacite'!$D$9</f>
        <v>0</v>
      </c>
      <c r="K2851" s="135" t="n">
        <f aca="false">$G2851*'Analyse capacite'!$E$9</f>
        <v>0</v>
      </c>
    </row>
    <row r="2852" customFormat="false" ht="15" hidden="false" customHeight="false" outlineLevel="0" collapsed="false">
      <c r="B2852" s="130" t="n">
        <v>2027</v>
      </c>
      <c r="C2852" s="131" t="s">
        <v>248</v>
      </c>
      <c r="D2852" s="132" t="n">
        <v>46557</v>
      </c>
      <c r="E2852" s="131" t="s">
        <v>20</v>
      </c>
      <c r="F2852" s="133" t="s">
        <v>11</v>
      </c>
      <c r="G2852" s="134" t="n">
        <f aca="false">LEN('Saisie programme'!$I$94)+SUMIFS('Vols additionnels'!$E$7:$E$66,'Vols additionnels'!$C$7:$C$66,$E2852,'Vols additionnels'!$D$7:$D$66,$F2852,'Vols additionnels'!$B$7:$B$66,$D2852)</f>
        <v>0</v>
      </c>
      <c r="H2852" s="135" t="n">
        <f aca="false">$G2852*'Analyse capacite'!$F$7</f>
        <v>0</v>
      </c>
      <c r="I2852" s="135" t="n">
        <f aca="false">$G2852*'Analyse capacite'!$C$7</f>
        <v>0</v>
      </c>
      <c r="J2852" s="135" t="n">
        <f aca="false">$G2852*'Analyse capacite'!$D$7</f>
        <v>0</v>
      </c>
      <c r="K2852" s="135" t="n">
        <f aca="false">$G2852*'Analyse capacite'!$E$7</f>
        <v>0</v>
      </c>
    </row>
    <row r="2853" customFormat="false" ht="15" hidden="false" customHeight="false" outlineLevel="0" collapsed="false">
      <c r="B2853" s="130" t="n">
        <v>2027</v>
      </c>
      <c r="C2853" s="131" t="s">
        <v>248</v>
      </c>
      <c r="D2853" s="132" t="n">
        <v>46557</v>
      </c>
      <c r="E2853" s="131" t="s">
        <v>20</v>
      </c>
      <c r="F2853" s="133" t="s">
        <v>19</v>
      </c>
      <c r="G2853" s="134" t="n">
        <f aca="false">LEN('Saisie programme'!$I$95)+SUMIFS('Vols additionnels'!$E$7:$E$66,'Vols additionnels'!$C$7:$C$66,$E2853,'Vols additionnels'!$D$7:$D$66,$F2853,'Vols additionnels'!$B$7:$B$66,$D2853)</f>
        <v>0</v>
      </c>
      <c r="H2853" s="135" t="n">
        <f aca="false">$G2853*'Analyse capacite'!$F$8</f>
        <v>0</v>
      </c>
      <c r="I2853" s="135" t="n">
        <f aca="false">$G2853*'Analyse capacite'!$C$8</f>
        <v>0</v>
      </c>
      <c r="J2853" s="135" t="n">
        <f aca="false">$G2853*'Analyse capacite'!$D$8</f>
        <v>0</v>
      </c>
      <c r="K2853" s="135" t="n">
        <f aca="false">$G2853*'Analyse capacite'!$E$8</f>
        <v>0</v>
      </c>
    </row>
    <row r="2854" customFormat="false" ht="15" hidden="false" customHeight="false" outlineLevel="0" collapsed="false">
      <c r="B2854" s="130" t="n">
        <v>2027</v>
      </c>
      <c r="C2854" s="131" t="s">
        <v>248</v>
      </c>
      <c r="D2854" s="132" t="n">
        <v>46557</v>
      </c>
      <c r="E2854" s="131" t="s">
        <v>20</v>
      </c>
      <c r="F2854" s="133" t="s">
        <v>24</v>
      </c>
      <c r="G2854" s="134" t="n">
        <f aca="false">LEN('Saisie programme'!$I$96)+SUMIFS('Vols additionnels'!$E$7:$E$66,'Vols additionnels'!$C$7:$C$66,$E2854,'Vols additionnels'!$D$7:$D$66,$F2854,'Vols additionnels'!$B$7:$B$66,$D2854)</f>
        <v>0</v>
      </c>
      <c r="H2854" s="135" t="n">
        <f aca="false">$G2854*'Analyse capacite'!$F$9</f>
        <v>0</v>
      </c>
      <c r="I2854" s="135" t="n">
        <f aca="false">$G2854*'Analyse capacite'!$C$9</f>
        <v>0</v>
      </c>
      <c r="J2854" s="135" t="n">
        <f aca="false">$G2854*'Analyse capacite'!$D$9</f>
        <v>0</v>
      </c>
      <c r="K2854" s="135" t="n">
        <f aca="false">$G2854*'Analyse capacite'!$E$9</f>
        <v>0</v>
      </c>
    </row>
    <row r="2855" customFormat="false" ht="15" hidden="false" customHeight="false" outlineLevel="0" collapsed="false">
      <c r="B2855" s="130" t="n">
        <v>2027</v>
      </c>
      <c r="C2855" s="131" t="s">
        <v>248</v>
      </c>
      <c r="D2855" s="132" t="n">
        <v>46557</v>
      </c>
      <c r="E2855" s="131" t="s">
        <v>25</v>
      </c>
      <c r="F2855" s="133" t="s">
        <v>11</v>
      </c>
      <c r="G2855" s="134" t="n">
        <f aca="false">LEN('Saisie programme'!$I$97)+SUMIFS('Vols additionnels'!$E$7:$E$66,'Vols additionnels'!$C$7:$C$66,$E2855,'Vols additionnels'!$D$7:$D$66,$F2855,'Vols additionnels'!$B$7:$B$66,$D2855)</f>
        <v>0</v>
      </c>
      <c r="H2855" s="135" t="n">
        <f aca="false">$G2855*'Analyse capacite'!$F$7</f>
        <v>0</v>
      </c>
      <c r="I2855" s="135" t="n">
        <f aca="false">$G2855*'Analyse capacite'!$C$7</f>
        <v>0</v>
      </c>
      <c r="J2855" s="135" t="n">
        <f aca="false">$G2855*'Analyse capacite'!$D$7</f>
        <v>0</v>
      </c>
      <c r="K2855" s="135" t="n">
        <f aca="false">$G2855*'Analyse capacite'!$E$7</f>
        <v>0</v>
      </c>
    </row>
    <row r="2856" customFormat="false" ht="15" hidden="false" customHeight="false" outlineLevel="0" collapsed="false">
      <c r="B2856" s="130" t="n">
        <v>2027</v>
      </c>
      <c r="C2856" s="131" t="s">
        <v>248</v>
      </c>
      <c r="D2856" s="132" t="n">
        <v>46557</v>
      </c>
      <c r="E2856" s="131" t="s">
        <v>25</v>
      </c>
      <c r="F2856" s="133" t="s">
        <v>19</v>
      </c>
      <c r="G2856" s="134" t="n">
        <f aca="false">LEN('Saisie programme'!$I$98)+SUMIFS('Vols additionnels'!$E$7:$E$66,'Vols additionnels'!$C$7:$C$66,$E2856,'Vols additionnels'!$D$7:$D$66,$F2856,'Vols additionnels'!$B$7:$B$66,$D2856)</f>
        <v>1</v>
      </c>
      <c r="H2856" s="135" t="n">
        <f aca="false">$G2856*'Analyse capacite'!$F$8</f>
        <v>262</v>
      </c>
      <c r="I2856" s="135" t="n">
        <f aca="false">$G2856*'Analyse capacite'!$C$8</f>
        <v>18</v>
      </c>
      <c r="J2856" s="135" t="n">
        <f aca="false">$G2856*'Analyse capacite'!$D$8</f>
        <v>0</v>
      </c>
      <c r="K2856" s="135" t="n">
        <f aca="false">$G2856*'Analyse capacite'!$E$8</f>
        <v>244</v>
      </c>
    </row>
    <row r="2857" customFormat="false" ht="15" hidden="false" customHeight="false" outlineLevel="0" collapsed="false">
      <c r="B2857" s="130" t="n">
        <v>2027</v>
      </c>
      <c r="C2857" s="131" t="s">
        <v>248</v>
      </c>
      <c r="D2857" s="132" t="n">
        <v>46557</v>
      </c>
      <c r="E2857" s="131" t="s">
        <v>25</v>
      </c>
      <c r="F2857" s="133" t="s">
        <v>24</v>
      </c>
      <c r="G2857" s="134" t="n">
        <f aca="false">LEN('Saisie programme'!$I$99)+SUMIFS('Vols additionnels'!$E$7:$E$66,'Vols additionnels'!$C$7:$C$66,$E2857,'Vols additionnels'!$D$7:$D$66,$F2857,'Vols additionnels'!$B$7:$B$66,$D2857)</f>
        <v>0</v>
      </c>
      <c r="H2857" s="135" t="n">
        <f aca="false">$G2857*'Analyse capacite'!$F$9</f>
        <v>0</v>
      </c>
      <c r="I2857" s="135" t="n">
        <f aca="false">$G2857*'Analyse capacite'!$C$9</f>
        <v>0</v>
      </c>
      <c r="J2857" s="135" t="n">
        <f aca="false">$G2857*'Analyse capacite'!$D$9</f>
        <v>0</v>
      </c>
      <c r="K2857" s="135" t="n">
        <f aca="false">$G2857*'Analyse capacite'!$E$9</f>
        <v>0</v>
      </c>
    </row>
    <row r="2858" customFormat="false" ht="15" hidden="false" customHeight="false" outlineLevel="0" collapsed="false">
      <c r="B2858" s="130" t="n">
        <v>2027</v>
      </c>
      <c r="C2858" s="131" t="s">
        <v>248</v>
      </c>
      <c r="D2858" s="132" t="n">
        <v>46557</v>
      </c>
      <c r="E2858" s="131" t="s">
        <v>36</v>
      </c>
      <c r="F2858" s="133" t="s">
        <v>11</v>
      </c>
      <c r="G2858" s="134" t="n">
        <f aca="false">LEN('Saisie programme'!$I$100)+SUMIFS('Vols additionnels'!$E$7:$E$66,'Vols additionnels'!$C$7:$C$66,$E2858,'Vols additionnels'!$D$7:$D$66,$F2858,'Vols additionnels'!$B$7:$B$66,$D2858)</f>
        <v>0</v>
      </c>
      <c r="H2858" s="135" t="n">
        <f aca="false">$G2858*'Analyse capacite'!$F$7</f>
        <v>0</v>
      </c>
      <c r="I2858" s="135" t="n">
        <f aca="false">$G2858*'Analyse capacite'!$C$7</f>
        <v>0</v>
      </c>
      <c r="J2858" s="135" t="n">
        <f aca="false">$G2858*'Analyse capacite'!$D$7</f>
        <v>0</v>
      </c>
      <c r="K2858" s="135" t="n">
        <f aca="false">$G2858*'Analyse capacite'!$E$7</f>
        <v>0</v>
      </c>
    </row>
    <row r="2859" customFormat="false" ht="15" hidden="false" customHeight="false" outlineLevel="0" collapsed="false">
      <c r="B2859" s="130" t="n">
        <v>2027</v>
      </c>
      <c r="C2859" s="131" t="s">
        <v>248</v>
      </c>
      <c r="D2859" s="132" t="n">
        <v>46557</v>
      </c>
      <c r="E2859" s="131" t="s">
        <v>36</v>
      </c>
      <c r="F2859" s="133" t="s">
        <v>19</v>
      </c>
      <c r="G2859" s="134" t="n">
        <f aca="false">LEN('Saisie programme'!$I$101)+SUMIFS('Vols additionnels'!$E$7:$E$66,'Vols additionnels'!$C$7:$C$66,$E2859,'Vols additionnels'!$D$7:$D$66,$F2859,'Vols additionnels'!$B$7:$B$66,$D2859)</f>
        <v>0</v>
      </c>
      <c r="H2859" s="135" t="n">
        <f aca="false">$G2859*'Analyse capacite'!$F$8</f>
        <v>0</v>
      </c>
      <c r="I2859" s="135" t="n">
        <f aca="false">$G2859*'Analyse capacite'!$C$8</f>
        <v>0</v>
      </c>
      <c r="J2859" s="135" t="n">
        <f aca="false">$G2859*'Analyse capacite'!$D$8</f>
        <v>0</v>
      </c>
      <c r="K2859" s="135" t="n">
        <f aca="false">$G2859*'Analyse capacite'!$E$8</f>
        <v>0</v>
      </c>
    </row>
    <row r="2860" customFormat="false" ht="15" hidden="false" customHeight="false" outlineLevel="0" collapsed="false">
      <c r="B2860" s="130" t="n">
        <v>2027</v>
      </c>
      <c r="C2860" s="131" t="s">
        <v>248</v>
      </c>
      <c r="D2860" s="132" t="n">
        <v>46557</v>
      </c>
      <c r="E2860" s="131" t="s">
        <v>36</v>
      </c>
      <c r="F2860" s="133" t="s">
        <v>24</v>
      </c>
      <c r="G2860" s="134" t="n">
        <f aca="false">LEN('Saisie programme'!$I$102)+SUMIFS('Vols additionnels'!$E$7:$E$66,'Vols additionnels'!$C$7:$C$66,$E2860,'Vols additionnels'!$D$7:$D$66,$F2860,'Vols additionnels'!$B$7:$B$66,$D2860)</f>
        <v>0</v>
      </c>
      <c r="H2860" s="135" t="n">
        <f aca="false">$G2860*'Analyse capacite'!$F$9</f>
        <v>0</v>
      </c>
      <c r="I2860" s="135" t="n">
        <f aca="false">$G2860*'Analyse capacite'!$C$9</f>
        <v>0</v>
      </c>
      <c r="J2860" s="135" t="n">
        <f aca="false">$G2860*'Analyse capacite'!$D$9</f>
        <v>0</v>
      </c>
      <c r="K2860" s="135" t="n">
        <f aca="false">$G2860*'Analyse capacite'!$E$9</f>
        <v>0</v>
      </c>
    </row>
    <row r="2861" customFormat="false" ht="15" hidden="false" customHeight="false" outlineLevel="0" collapsed="false">
      <c r="B2861" s="130" t="n">
        <v>2027</v>
      </c>
      <c r="C2861" s="131" t="s">
        <v>248</v>
      </c>
      <c r="D2861" s="132" t="n">
        <v>46557</v>
      </c>
      <c r="E2861" s="131" t="s">
        <v>40</v>
      </c>
      <c r="F2861" s="133" t="s">
        <v>11</v>
      </c>
      <c r="G2861" s="134" t="n">
        <f aca="false">LEN('Saisie programme'!$I$103)+SUMIFS('Vols additionnels'!$E$7:$E$66,'Vols additionnels'!$C$7:$C$66,$E2861,'Vols additionnels'!$D$7:$D$66,$F2861,'Vols additionnels'!$B$7:$B$66,$D2861)</f>
        <v>0</v>
      </c>
      <c r="H2861" s="135" t="n">
        <f aca="false">$G2861*'Analyse capacite'!$F$7</f>
        <v>0</v>
      </c>
      <c r="I2861" s="135" t="n">
        <f aca="false">$G2861*'Analyse capacite'!$C$7</f>
        <v>0</v>
      </c>
      <c r="J2861" s="135" t="n">
        <f aca="false">$G2861*'Analyse capacite'!$D$7</f>
        <v>0</v>
      </c>
      <c r="K2861" s="135" t="n">
        <f aca="false">$G2861*'Analyse capacite'!$E$7</f>
        <v>0</v>
      </c>
    </row>
    <row r="2862" customFormat="false" ht="15" hidden="false" customHeight="false" outlineLevel="0" collapsed="false">
      <c r="B2862" s="130" t="n">
        <v>2027</v>
      </c>
      <c r="C2862" s="131" t="s">
        <v>248</v>
      </c>
      <c r="D2862" s="132" t="n">
        <v>46557</v>
      </c>
      <c r="E2862" s="131" t="s">
        <v>40</v>
      </c>
      <c r="F2862" s="133" t="s">
        <v>19</v>
      </c>
      <c r="G2862" s="134" t="n">
        <f aca="false">LEN('Saisie programme'!$I$104)+SUMIFS('Vols additionnels'!$E$7:$E$66,'Vols additionnels'!$C$7:$C$66,$E2862,'Vols additionnels'!$D$7:$D$66,$F2862,'Vols additionnels'!$B$7:$B$66,$D2862)</f>
        <v>0</v>
      </c>
      <c r="H2862" s="135" t="n">
        <f aca="false">$G2862*'Analyse capacite'!$F$8</f>
        <v>0</v>
      </c>
      <c r="I2862" s="135" t="n">
        <f aca="false">$G2862*'Analyse capacite'!$C$8</f>
        <v>0</v>
      </c>
      <c r="J2862" s="135" t="n">
        <f aca="false">$G2862*'Analyse capacite'!$D$8</f>
        <v>0</v>
      </c>
      <c r="K2862" s="135" t="n">
        <f aca="false">$G2862*'Analyse capacite'!$E$8</f>
        <v>0</v>
      </c>
    </row>
    <row r="2863" customFormat="false" ht="15" hidden="false" customHeight="false" outlineLevel="0" collapsed="false">
      <c r="B2863" s="130" t="n">
        <v>2027</v>
      </c>
      <c r="C2863" s="131" t="s">
        <v>248</v>
      </c>
      <c r="D2863" s="132" t="n">
        <v>46557</v>
      </c>
      <c r="E2863" s="131" t="s">
        <v>40</v>
      </c>
      <c r="F2863" s="133" t="s">
        <v>24</v>
      </c>
      <c r="G2863" s="134" t="n">
        <f aca="false">LEN('Saisie programme'!$I$105)+SUMIFS('Vols additionnels'!$E$7:$E$66,'Vols additionnels'!$C$7:$C$66,$E2863,'Vols additionnels'!$D$7:$D$66,$F2863,'Vols additionnels'!$B$7:$B$66,$D2863)</f>
        <v>0</v>
      </c>
      <c r="H2863" s="135" t="n">
        <f aca="false">$G2863*'Analyse capacite'!$F$9</f>
        <v>0</v>
      </c>
      <c r="I2863" s="135" t="n">
        <f aca="false">$G2863*'Analyse capacite'!$C$9</f>
        <v>0</v>
      </c>
      <c r="J2863" s="135" t="n">
        <f aca="false">$G2863*'Analyse capacite'!$D$9</f>
        <v>0</v>
      </c>
      <c r="K2863" s="135" t="n">
        <f aca="false">$G2863*'Analyse capacite'!$E$9</f>
        <v>0</v>
      </c>
    </row>
    <row r="2864" customFormat="false" ht="15" hidden="false" customHeight="false" outlineLevel="0" collapsed="false">
      <c r="B2864" s="130" t="n">
        <v>2027</v>
      </c>
      <c r="C2864" s="131" t="s">
        <v>248</v>
      </c>
      <c r="D2864" s="132" t="n">
        <v>46557</v>
      </c>
      <c r="E2864" s="131" t="s">
        <v>14</v>
      </c>
      <c r="F2864" s="133" t="s">
        <v>11</v>
      </c>
      <c r="G2864" s="134" t="n">
        <f aca="false">LEN('Saisie programme'!$I$106)+SUMIFS('Vols additionnels'!$E$7:$E$66,'Vols additionnels'!$C$7:$C$66,$E2864,'Vols additionnels'!$D$7:$D$66,$F2864,'Vols additionnels'!$B$7:$B$66,$D2864)</f>
        <v>0</v>
      </c>
      <c r="H2864" s="135" t="n">
        <f aca="false">$G2864*'Analyse capacite'!$F$7</f>
        <v>0</v>
      </c>
      <c r="I2864" s="135" t="n">
        <f aca="false">$G2864*'Analyse capacite'!$C$7</f>
        <v>0</v>
      </c>
      <c r="J2864" s="135" t="n">
        <f aca="false">$G2864*'Analyse capacite'!$D$7</f>
        <v>0</v>
      </c>
      <c r="K2864" s="135" t="n">
        <f aca="false">$G2864*'Analyse capacite'!$E$7</f>
        <v>0</v>
      </c>
    </row>
    <row r="2865" customFormat="false" ht="15" hidden="false" customHeight="false" outlineLevel="0" collapsed="false">
      <c r="B2865" s="130" t="n">
        <v>2027</v>
      </c>
      <c r="C2865" s="131" t="s">
        <v>248</v>
      </c>
      <c r="D2865" s="132" t="n">
        <v>46557</v>
      </c>
      <c r="E2865" s="131" t="s">
        <v>14</v>
      </c>
      <c r="F2865" s="133" t="s">
        <v>19</v>
      </c>
      <c r="G2865" s="134" t="n">
        <f aca="false">LEN('Saisie programme'!$I$107)+SUMIFS('Vols additionnels'!$E$7:$E$66,'Vols additionnels'!$C$7:$C$66,$E2865,'Vols additionnels'!$D$7:$D$66,$F2865,'Vols additionnels'!$B$7:$B$66,$D2865)</f>
        <v>0</v>
      </c>
      <c r="H2865" s="135" t="n">
        <f aca="false">$G2865*'Analyse capacite'!$F$8</f>
        <v>0</v>
      </c>
      <c r="I2865" s="135" t="n">
        <f aca="false">$G2865*'Analyse capacite'!$C$8</f>
        <v>0</v>
      </c>
      <c r="J2865" s="135" t="n">
        <f aca="false">$G2865*'Analyse capacite'!$D$8</f>
        <v>0</v>
      </c>
      <c r="K2865" s="135" t="n">
        <f aca="false">$G2865*'Analyse capacite'!$E$8</f>
        <v>0</v>
      </c>
    </row>
    <row r="2866" customFormat="false" ht="15" hidden="false" customHeight="false" outlineLevel="0" collapsed="false">
      <c r="B2866" s="130" t="n">
        <v>2027</v>
      </c>
      <c r="C2866" s="131" t="s">
        <v>248</v>
      </c>
      <c r="D2866" s="132" t="n">
        <v>46557</v>
      </c>
      <c r="E2866" s="131" t="s">
        <v>14</v>
      </c>
      <c r="F2866" s="133" t="s">
        <v>24</v>
      </c>
      <c r="G2866" s="134" t="n">
        <f aca="false">LEN('Saisie programme'!$I$108)+SUMIFS('Vols additionnels'!$E$7:$E$66,'Vols additionnels'!$C$7:$C$66,$E2866,'Vols additionnels'!$D$7:$D$66,$F2866,'Vols additionnels'!$B$7:$B$66,$D2866)</f>
        <v>1</v>
      </c>
      <c r="H2866" s="135" t="n">
        <f aca="false">$G2866*'Analyse capacite'!$F$9</f>
        <v>174</v>
      </c>
      <c r="I2866" s="135" t="n">
        <f aca="false">$G2866*'Analyse capacite'!$C$9</f>
        <v>0</v>
      </c>
      <c r="J2866" s="135" t="n">
        <f aca="false">$G2866*'Analyse capacite'!$D$9</f>
        <v>12</v>
      </c>
      <c r="K2866" s="135" t="n">
        <f aca="false">$G2866*'Analyse capacite'!$E$9</f>
        <v>162</v>
      </c>
    </row>
    <row r="2867" customFormat="false" ht="15" hidden="false" customHeight="false" outlineLevel="0" collapsed="false">
      <c r="B2867" s="130" t="n">
        <v>2027</v>
      </c>
      <c r="C2867" s="131" t="s">
        <v>248</v>
      </c>
      <c r="D2867" s="132" t="n">
        <v>46557</v>
      </c>
      <c r="E2867" s="131" t="s">
        <v>46</v>
      </c>
      <c r="F2867" s="133" t="s">
        <v>11</v>
      </c>
      <c r="G2867" s="134" t="n">
        <f aca="false">LEN('Saisie programme'!$I$109)+SUMIFS('Vols additionnels'!$E$7:$E$66,'Vols additionnels'!$C$7:$C$66,$E2867,'Vols additionnels'!$D$7:$D$66,$F2867,'Vols additionnels'!$B$7:$B$66,$D2867)</f>
        <v>0</v>
      </c>
      <c r="H2867" s="135" t="n">
        <f aca="false">$G2867*'Analyse capacite'!$F$7</f>
        <v>0</v>
      </c>
      <c r="I2867" s="135" t="n">
        <f aca="false">$G2867*'Analyse capacite'!$C$7</f>
        <v>0</v>
      </c>
      <c r="J2867" s="135" t="n">
        <f aca="false">$G2867*'Analyse capacite'!$D$7</f>
        <v>0</v>
      </c>
      <c r="K2867" s="135" t="n">
        <f aca="false">$G2867*'Analyse capacite'!$E$7</f>
        <v>0</v>
      </c>
    </row>
    <row r="2868" customFormat="false" ht="15" hidden="false" customHeight="false" outlineLevel="0" collapsed="false">
      <c r="B2868" s="130" t="n">
        <v>2027</v>
      </c>
      <c r="C2868" s="131" t="s">
        <v>248</v>
      </c>
      <c r="D2868" s="132" t="n">
        <v>46557</v>
      </c>
      <c r="E2868" s="131" t="s">
        <v>46</v>
      </c>
      <c r="F2868" s="133" t="s">
        <v>19</v>
      </c>
      <c r="G2868" s="134" t="n">
        <f aca="false">LEN('Saisie programme'!$I$110)+SUMIFS('Vols additionnels'!$E$7:$E$66,'Vols additionnels'!$C$7:$C$66,$E2868,'Vols additionnels'!$D$7:$D$66,$F2868,'Vols additionnels'!$B$7:$B$66,$D2868)</f>
        <v>0</v>
      </c>
      <c r="H2868" s="135" t="n">
        <f aca="false">$G2868*'Analyse capacite'!$F$8</f>
        <v>0</v>
      </c>
      <c r="I2868" s="135" t="n">
        <f aca="false">$G2868*'Analyse capacite'!$C$8</f>
        <v>0</v>
      </c>
      <c r="J2868" s="135" t="n">
        <f aca="false">$G2868*'Analyse capacite'!$D$8</f>
        <v>0</v>
      </c>
      <c r="K2868" s="135" t="n">
        <f aca="false">$G2868*'Analyse capacite'!$E$8</f>
        <v>0</v>
      </c>
    </row>
    <row r="2869" customFormat="false" ht="15" hidden="false" customHeight="false" outlineLevel="0" collapsed="false">
      <c r="B2869" s="130" t="n">
        <v>2027</v>
      </c>
      <c r="C2869" s="131" t="s">
        <v>248</v>
      </c>
      <c r="D2869" s="132" t="n">
        <v>46557</v>
      </c>
      <c r="E2869" s="131" t="s">
        <v>46</v>
      </c>
      <c r="F2869" s="133" t="s">
        <v>24</v>
      </c>
      <c r="G2869" s="134" t="n">
        <f aca="false">LEN('Saisie programme'!$I$111)+SUMIFS('Vols additionnels'!$E$7:$E$66,'Vols additionnels'!$C$7:$C$66,$E2869,'Vols additionnels'!$D$7:$D$66,$F2869,'Vols additionnels'!$B$7:$B$66,$D2869)</f>
        <v>1</v>
      </c>
      <c r="H2869" s="135" t="n">
        <f aca="false">$G2869*'Analyse capacite'!$F$9</f>
        <v>174</v>
      </c>
      <c r="I2869" s="135" t="n">
        <f aca="false">$G2869*'Analyse capacite'!$C$9</f>
        <v>0</v>
      </c>
      <c r="J2869" s="135" t="n">
        <f aca="false">$G2869*'Analyse capacite'!$D$9</f>
        <v>12</v>
      </c>
      <c r="K2869" s="135" t="n">
        <f aca="false">$G2869*'Analyse capacite'!$E$9</f>
        <v>162</v>
      </c>
    </row>
    <row r="2870" customFormat="false" ht="15" hidden="false" customHeight="false" outlineLevel="0" collapsed="false">
      <c r="B2870" s="130" t="n">
        <v>2027</v>
      </c>
      <c r="C2870" s="131" t="s">
        <v>248</v>
      </c>
      <c r="D2870" s="132" t="n">
        <v>46557</v>
      </c>
      <c r="E2870" s="131" t="s">
        <v>49</v>
      </c>
      <c r="F2870" s="133" t="s">
        <v>11</v>
      </c>
      <c r="G2870" s="134" t="n">
        <f aca="false">LEN('Saisie programme'!$I$112)+SUMIFS('Vols additionnels'!$E$7:$E$66,'Vols additionnels'!$C$7:$C$66,$E2870,'Vols additionnels'!$D$7:$D$66,$F2870,'Vols additionnels'!$B$7:$B$66,$D2870)</f>
        <v>0</v>
      </c>
      <c r="H2870" s="135" t="n">
        <f aca="false">$G2870*'Analyse capacite'!$F$7</f>
        <v>0</v>
      </c>
      <c r="I2870" s="135" t="n">
        <f aca="false">$G2870*'Analyse capacite'!$C$7</f>
        <v>0</v>
      </c>
      <c r="J2870" s="135" t="n">
        <f aca="false">$G2870*'Analyse capacite'!$D$7</f>
        <v>0</v>
      </c>
      <c r="K2870" s="135" t="n">
        <f aca="false">$G2870*'Analyse capacite'!$E$7</f>
        <v>0</v>
      </c>
    </row>
    <row r="2871" customFormat="false" ht="15" hidden="false" customHeight="false" outlineLevel="0" collapsed="false">
      <c r="B2871" s="130" t="n">
        <v>2027</v>
      </c>
      <c r="C2871" s="131" t="s">
        <v>248</v>
      </c>
      <c r="D2871" s="132" t="n">
        <v>46557</v>
      </c>
      <c r="E2871" s="131" t="s">
        <v>49</v>
      </c>
      <c r="F2871" s="133" t="s">
        <v>19</v>
      </c>
      <c r="G2871" s="134" t="n">
        <f aca="false">LEN('Saisie programme'!$I$113)+SUMIFS('Vols additionnels'!$E$7:$E$66,'Vols additionnels'!$C$7:$C$66,$E2871,'Vols additionnels'!$D$7:$D$66,$F2871,'Vols additionnels'!$B$7:$B$66,$D2871)</f>
        <v>0</v>
      </c>
      <c r="H2871" s="135" t="n">
        <f aca="false">$G2871*'Analyse capacite'!$F$8</f>
        <v>0</v>
      </c>
      <c r="I2871" s="135" t="n">
        <f aca="false">$G2871*'Analyse capacite'!$C$8</f>
        <v>0</v>
      </c>
      <c r="J2871" s="135" t="n">
        <f aca="false">$G2871*'Analyse capacite'!$D$8</f>
        <v>0</v>
      </c>
      <c r="K2871" s="135" t="n">
        <f aca="false">$G2871*'Analyse capacite'!$E$8</f>
        <v>0</v>
      </c>
    </row>
    <row r="2872" customFormat="false" ht="15" hidden="false" customHeight="false" outlineLevel="0" collapsed="false">
      <c r="B2872" s="130" t="n">
        <v>2027</v>
      </c>
      <c r="C2872" s="131" t="s">
        <v>248</v>
      </c>
      <c r="D2872" s="132" t="n">
        <v>46557</v>
      </c>
      <c r="E2872" s="131" t="s">
        <v>49</v>
      </c>
      <c r="F2872" s="133" t="s">
        <v>24</v>
      </c>
      <c r="G2872" s="134" t="n">
        <f aca="false">LEN('Saisie programme'!$I$114)+SUMIFS('Vols additionnels'!$E$7:$E$66,'Vols additionnels'!$C$7:$C$66,$E2872,'Vols additionnels'!$D$7:$D$66,$F2872,'Vols additionnels'!$B$7:$B$66,$D2872)</f>
        <v>0</v>
      </c>
      <c r="H2872" s="135" t="n">
        <f aca="false">$G2872*'Analyse capacite'!$F$9</f>
        <v>0</v>
      </c>
      <c r="I2872" s="135" t="n">
        <f aca="false">$G2872*'Analyse capacite'!$C$9</f>
        <v>0</v>
      </c>
      <c r="J2872" s="135" t="n">
        <f aca="false">$G2872*'Analyse capacite'!$D$9</f>
        <v>0</v>
      </c>
      <c r="K2872" s="135" t="n">
        <f aca="false">$G2872*'Analyse capacite'!$E$9</f>
        <v>0</v>
      </c>
    </row>
    <row r="2873" customFormat="false" ht="15" hidden="false" customHeight="false" outlineLevel="0" collapsed="false">
      <c r="B2873" s="130" t="n">
        <v>2027</v>
      </c>
      <c r="C2873" s="131" t="s">
        <v>248</v>
      </c>
      <c r="D2873" s="132" t="n">
        <v>46557</v>
      </c>
      <c r="E2873" s="131" t="s">
        <v>53</v>
      </c>
      <c r="F2873" s="133" t="s">
        <v>11</v>
      </c>
      <c r="G2873" s="134" t="n">
        <f aca="false">LEN('Saisie programme'!$I$115)+SUMIFS('Vols additionnels'!$E$7:$E$66,'Vols additionnels'!$C$7:$C$66,$E2873,'Vols additionnels'!$D$7:$D$66,$F2873,'Vols additionnels'!$B$7:$B$66,$D2873)</f>
        <v>0</v>
      </c>
      <c r="H2873" s="135" t="n">
        <f aca="false">$G2873*'Analyse capacite'!$F$7</f>
        <v>0</v>
      </c>
      <c r="I2873" s="135" t="n">
        <f aca="false">$G2873*'Analyse capacite'!$C$7</f>
        <v>0</v>
      </c>
      <c r="J2873" s="135" t="n">
        <f aca="false">$G2873*'Analyse capacite'!$D$7</f>
        <v>0</v>
      </c>
      <c r="K2873" s="135" t="n">
        <f aca="false">$G2873*'Analyse capacite'!$E$7</f>
        <v>0</v>
      </c>
    </row>
    <row r="2874" customFormat="false" ht="15" hidden="false" customHeight="false" outlineLevel="0" collapsed="false">
      <c r="B2874" s="130" t="n">
        <v>2027</v>
      </c>
      <c r="C2874" s="131" t="s">
        <v>248</v>
      </c>
      <c r="D2874" s="132" t="n">
        <v>46557</v>
      </c>
      <c r="E2874" s="131" t="s">
        <v>53</v>
      </c>
      <c r="F2874" s="133" t="s">
        <v>19</v>
      </c>
      <c r="G2874" s="134" t="n">
        <f aca="false">LEN('Saisie programme'!$I$116)+SUMIFS('Vols additionnels'!$E$7:$E$66,'Vols additionnels'!$C$7:$C$66,$E2874,'Vols additionnels'!$D$7:$D$66,$F2874,'Vols additionnels'!$B$7:$B$66,$D2874)</f>
        <v>0</v>
      </c>
      <c r="H2874" s="135" t="n">
        <f aca="false">$G2874*'Analyse capacite'!$F$8</f>
        <v>0</v>
      </c>
      <c r="I2874" s="135" t="n">
        <f aca="false">$G2874*'Analyse capacite'!$C$8</f>
        <v>0</v>
      </c>
      <c r="J2874" s="135" t="n">
        <f aca="false">$G2874*'Analyse capacite'!$D$8</f>
        <v>0</v>
      </c>
      <c r="K2874" s="135" t="n">
        <f aca="false">$G2874*'Analyse capacite'!$E$8</f>
        <v>0</v>
      </c>
    </row>
    <row r="2875" customFormat="false" ht="15" hidden="false" customHeight="false" outlineLevel="0" collapsed="false">
      <c r="B2875" s="130" t="n">
        <v>2027</v>
      </c>
      <c r="C2875" s="131" t="s">
        <v>248</v>
      </c>
      <c r="D2875" s="132" t="n">
        <v>46557</v>
      </c>
      <c r="E2875" s="131" t="s">
        <v>53</v>
      </c>
      <c r="F2875" s="133" t="s">
        <v>24</v>
      </c>
      <c r="G2875" s="134" t="n">
        <f aca="false">LEN('Saisie programme'!$I$117)+SUMIFS('Vols additionnels'!$E$7:$E$66,'Vols additionnels'!$C$7:$C$66,$E2875,'Vols additionnels'!$D$7:$D$66,$F2875,'Vols additionnels'!$B$7:$B$66,$D2875)</f>
        <v>0</v>
      </c>
      <c r="H2875" s="135" t="n">
        <f aca="false">$G2875*'Analyse capacite'!$F$9</f>
        <v>0</v>
      </c>
      <c r="I2875" s="135" t="n">
        <f aca="false">$G2875*'Analyse capacite'!$C$9</f>
        <v>0</v>
      </c>
      <c r="J2875" s="135" t="n">
        <f aca="false">$G2875*'Analyse capacite'!$D$9</f>
        <v>0</v>
      </c>
      <c r="K2875" s="135" t="n">
        <f aca="false">$G2875*'Analyse capacite'!$E$9</f>
        <v>0</v>
      </c>
    </row>
    <row r="2876" customFormat="false" ht="15" hidden="false" customHeight="false" outlineLevel="0" collapsed="false">
      <c r="B2876" s="130" t="n">
        <v>2027</v>
      </c>
      <c r="C2876" s="131" t="s">
        <v>248</v>
      </c>
      <c r="D2876" s="132" t="n">
        <v>46557</v>
      </c>
      <c r="E2876" s="131" t="s">
        <v>56</v>
      </c>
      <c r="F2876" s="133" t="s">
        <v>11</v>
      </c>
      <c r="G2876" s="134" t="n">
        <f aca="false">LEN('Saisie programme'!$I$118)+SUMIFS('Vols additionnels'!$E$7:$E$66,'Vols additionnels'!$C$7:$C$66,$E2876,'Vols additionnels'!$D$7:$D$66,$F2876,'Vols additionnels'!$B$7:$B$66,$D2876)</f>
        <v>0</v>
      </c>
      <c r="H2876" s="135" t="n">
        <f aca="false">$G2876*'Analyse capacite'!$F$7</f>
        <v>0</v>
      </c>
      <c r="I2876" s="135" t="n">
        <f aca="false">$G2876*'Analyse capacite'!$C$7</f>
        <v>0</v>
      </c>
      <c r="J2876" s="135" t="n">
        <f aca="false">$G2876*'Analyse capacite'!$D$7</f>
        <v>0</v>
      </c>
      <c r="K2876" s="135" t="n">
        <f aca="false">$G2876*'Analyse capacite'!$E$7</f>
        <v>0</v>
      </c>
    </row>
    <row r="2877" customFormat="false" ht="15" hidden="false" customHeight="false" outlineLevel="0" collapsed="false">
      <c r="B2877" s="130" t="n">
        <v>2027</v>
      </c>
      <c r="C2877" s="131" t="s">
        <v>248</v>
      </c>
      <c r="D2877" s="132" t="n">
        <v>46557</v>
      </c>
      <c r="E2877" s="131" t="s">
        <v>56</v>
      </c>
      <c r="F2877" s="133" t="s">
        <v>19</v>
      </c>
      <c r="G2877" s="134" t="n">
        <f aca="false">LEN('Saisie programme'!$I$119)+SUMIFS('Vols additionnels'!$E$7:$E$66,'Vols additionnels'!$C$7:$C$66,$E2877,'Vols additionnels'!$D$7:$D$66,$F2877,'Vols additionnels'!$B$7:$B$66,$D2877)</f>
        <v>0</v>
      </c>
      <c r="H2877" s="135" t="n">
        <f aca="false">$G2877*'Analyse capacite'!$F$8</f>
        <v>0</v>
      </c>
      <c r="I2877" s="135" t="n">
        <f aca="false">$G2877*'Analyse capacite'!$C$8</f>
        <v>0</v>
      </c>
      <c r="J2877" s="135" t="n">
        <f aca="false">$G2877*'Analyse capacite'!$D$8</f>
        <v>0</v>
      </c>
      <c r="K2877" s="135" t="n">
        <f aca="false">$G2877*'Analyse capacite'!$E$8</f>
        <v>0</v>
      </c>
    </row>
    <row r="2878" customFormat="false" ht="15" hidden="false" customHeight="false" outlineLevel="0" collapsed="false">
      <c r="B2878" s="130" t="n">
        <v>2027</v>
      </c>
      <c r="C2878" s="131" t="s">
        <v>248</v>
      </c>
      <c r="D2878" s="132" t="n">
        <v>46557</v>
      </c>
      <c r="E2878" s="131" t="s">
        <v>56</v>
      </c>
      <c r="F2878" s="133" t="s">
        <v>24</v>
      </c>
      <c r="G2878" s="134" t="n">
        <f aca="false">LEN('Saisie programme'!$I$120)+SUMIFS('Vols additionnels'!$E$7:$E$66,'Vols additionnels'!$C$7:$C$66,$E2878,'Vols additionnels'!$D$7:$D$66,$F2878,'Vols additionnels'!$B$7:$B$66,$D2878)</f>
        <v>1</v>
      </c>
      <c r="H2878" s="135" t="n">
        <f aca="false">$G2878*'Analyse capacite'!$F$9</f>
        <v>174</v>
      </c>
      <c r="I2878" s="135" t="n">
        <f aca="false">$G2878*'Analyse capacite'!$C$9</f>
        <v>0</v>
      </c>
      <c r="J2878" s="135" t="n">
        <f aca="false">$G2878*'Analyse capacite'!$D$9</f>
        <v>12</v>
      </c>
      <c r="K2878" s="135" t="n">
        <f aca="false">$G2878*'Analyse capacite'!$E$9</f>
        <v>162</v>
      </c>
    </row>
    <row r="2879" customFormat="false" ht="15" hidden="false" customHeight="false" outlineLevel="0" collapsed="false">
      <c r="B2879" s="130" t="n">
        <v>2027</v>
      </c>
      <c r="C2879" s="131" t="s">
        <v>248</v>
      </c>
      <c r="D2879" s="132" t="n">
        <v>46557</v>
      </c>
      <c r="E2879" s="131" t="s">
        <v>59</v>
      </c>
      <c r="F2879" s="133" t="s">
        <v>11</v>
      </c>
      <c r="G2879" s="134" t="n">
        <f aca="false">LEN('Saisie programme'!$I$121)+SUMIFS('Vols additionnels'!$E$7:$E$66,'Vols additionnels'!$C$7:$C$66,$E2879,'Vols additionnels'!$D$7:$D$66,$F2879,'Vols additionnels'!$B$7:$B$66,$D2879)</f>
        <v>0</v>
      </c>
      <c r="H2879" s="135" t="n">
        <f aca="false">$G2879*'Analyse capacite'!$F$7</f>
        <v>0</v>
      </c>
      <c r="I2879" s="135" t="n">
        <f aca="false">$G2879*'Analyse capacite'!$C$7</f>
        <v>0</v>
      </c>
      <c r="J2879" s="135" t="n">
        <f aca="false">$G2879*'Analyse capacite'!$D$7</f>
        <v>0</v>
      </c>
      <c r="K2879" s="135" t="n">
        <f aca="false">$G2879*'Analyse capacite'!$E$7</f>
        <v>0</v>
      </c>
    </row>
    <row r="2880" customFormat="false" ht="15" hidden="false" customHeight="false" outlineLevel="0" collapsed="false">
      <c r="B2880" s="130" t="n">
        <v>2027</v>
      </c>
      <c r="C2880" s="131" t="s">
        <v>248</v>
      </c>
      <c r="D2880" s="132" t="n">
        <v>46557</v>
      </c>
      <c r="E2880" s="131" t="s">
        <v>59</v>
      </c>
      <c r="F2880" s="133" t="s">
        <v>19</v>
      </c>
      <c r="G2880" s="134" t="n">
        <f aca="false">LEN('Saisie programme'!$I$122)+SUMIFS('Vols additionnels'!$E$7:$E$66,'Vols additionnels'!$C$7:$C$66,$E2880,'Vols additionnels'!$D$7:$D$66,$F2880,'Vols additionnels'!$B$7:$B$66,$D2880)</f>
        <v>0</v>
      </c>
      <c r="H2880" s="135" t="n">
        <f aca="false">$G2880*'Analyse capacite'!$F$8</f>
        <v>0</v>
      </c>
      <c r="I2880" s="135" t="n">
        <f aca="false">$G2880*'Analyse capacite'!$C$8</f>
        <v>0</v>
      </c>
      <c r="J2880" s="135" t="n">
        <f aca="false">$G2880*'Analyse capacite'!$D$8</f>
        <v>0</v>
      </c>
      <c r="K2880" s="135" t="n">
        <f aca="false">$G2880*'Analyse capacite'!$E$8</f>
        <v>0</v>
      </c>
    </row>
    <row r="2881" customFormat="false" ht="15" hidden="false" customHeight="false" outlineLevel="0" collapsed="false">
      <c r="B2881" s="130" t="n">
        <v>2027</v>
      </c>
      <c r="C2881" s="131" t="s">
        <v>248</v>
      </c>
      <c r="D2881" s="132" t="n">
        <v>46557</v>
      </c>
      <c r="E2881" s="131" t="s">
        <v>59</v>
      </c>
      <c r="F2881" s="133" t="s">
        <v>24</v>
      </c>
      <c r="G2881" s="134" t="n">
        <f aca="false">LEN('Saisie programme'!$I$123)+SUMIFS('Vols additionnels'!$E$7:$E$66,'Vols additionnels'!$C$7:$C$66,$E2881,'Vols additionnels'!$D$7:$D$66,$F2881,'Vols additionnels'!$B$7:$B$66,$D2881)</f>
        <v>1</v>
      </c>
      <c r="H2881" s="135" t="n">
        <f aca="false">$G2881*'Analyse capacite'!$F$9</f>
        <v>174</v>
      </c>
      <c r="I2881" s="135" t="n">
        <f aca="false">$G2881*'Analyse capacite'!$C$9</f>
        <v>0</v>
      </c>
      <c r="J2881" s="135" t="n">
        <f aca="false">$G2881*'Analyse capacite'!$D$9</f>
        <v>12</v>
      </c>
      <c r="K2881" s="135" t="n">
        <f aca="false">$G2881*'Analyse capacite'!$E$9</f>
        <v>162</v>
      </c>
    </row>
    <row r="2882" customFormat="false" ht="15" hidden="false" customHeight="false" outlineLevel="0" collapsed="false">
      <c r="B2882" s="130" t="n">
        <v>2027</v>
      </c>
      <c r="C2882" s="131" t="s">
        <v>248</v>
      </c>
      <c r="D2882" s="132" t="n">
        <v>46557</v>
      </c>
      <c r="E2882" s="131" t="s">
        <v>62</v>
      </c>
      <c r="F2882" s="133" t="s">
        <v>11</v>
      </c>
      <c r="G2882" s="134" t="n">
        <f aca="false">LEN('Saisie programme'!$I$124)+SUMIFS('Vols additionnels'!$E$7:$E$66,'Vols additionnels'!$C$7:$C$66,$E2882,'Vols additionnels'!$D$7:$D$66,$F2882,'Vols additionnels'!$B$7:$B$66,$D2882)</f>
        <v>0</v>
      </c>
      <c r="H2882" s="135" t="n">
        <f aca="false">$G2882*'Analyse capacite'!$F$7</f>
        <v>0</v>
      </c>
      <c r="I2882" s="135" t="n">
        <f aca="false">$G2882*'Analyse capacite'!$C$7</f>
        <v>0</v>
      </c>
      <c r="J2882" s="135" t="n">
        <f aca="false">$G2882*'Analyse capacite'!$D$7</f>
        <v>0</v>
      </c>
      <c r="K2882" s="135" t="n">
        <f aca="false">$G2882*'Analyse capacite'!$E$7</f>
        <v>0</v>
      </c>
    </row>
    <row r="2883" customFormat="false" ht="15" hidden="false" customHeight="false" outlineLevel="0" collapsed="false">
      <c r="B2883" s="130" t="n">
        <v>2027</v>
      </c>
      <c r="C2883" s="131" t="s">
        <v>248</v>
      </c>
      <c r="D2883" s="132" t="n">
        <v>46557</v>
      </c>
      <c r="E2883" s="131" t="s">
        <v>62</v>
      </c>
      <c r="F2883" s="133" t="s">
        <v>19</v>
      </c>
      <c r="G2883" s="134" t="n">
        <f aca="false">LEN('Saisie programme'!$I$125)+SUMIFS('Vols additionnels'!$E$7:$E$66,'Vols additionnels'!$C$7:$C$66,$E2883,'Vols additionnels'!$D$7:$D$66,$F2883,'Vols additionnels'!$B$7:$B$66,$D2883)</f>
        <v>0</v>
      </c>
      <c r="H2883" s="135" t="n">
        <f aca="false">$G2883*'Analyse capacite'!$F$8</f>
        <v>0</v>
      </c>
      <c r="I2883" s="135" t="n">
        <f aca="false">$G2883*'Analyse capacite'!$C$8</f>
        <v>0</v>
      </c>
      <c r="J2883" s="135" t="n">
        <f aca="false">$G2883*'Analyse capacite'!$D$8</f>
        <v>0</v>
      </c>
      <c r="K2883" s="135" t="n">
        <f aca="false">$G2883*'Analyse capacite'!$E$8</f>
        <v>0</v>
      </c>
    </row>
    <row r="2884" customFormat="false" ht="15" hidden="false" customHeight="false" outlineLevel="0" collapsed="false">
      <c r="B2884" s="130" t="n">
        <v>2027</v>
      </c>
      <c r="C2884" s="131" t="s">
        <v>248</v>
      </c>
      <c r="D2884" s="132" t="n">
        <v>46557</v>
      </c>
      <c r="E2884" s="131" t="s">
        <v>62</v>
      </c>
      <c r="F2884" s="133" t="s">
        <v>24</v>
      </c>
      <c r="G2884" s="134" t="n">
        <f aca="false">LEN('Saisie programme'!$I$126)+SUMIFS('Vols additionnels'!$E$7:$E$66,'Vols additionnels'!$C$7:$C$66,$E2884,'Vols additionnels'!$D$7:$D$66,$F2884,'Vols additionnels'!$B$7:$B$66,$D2884)</f>
        <v>0</v>
      </c>
      <c r="H2884" s="135" t="n">
        <f aca="false">$G2884*'Analyse capacite'!$F$9</f>
        <v>0</v>
      </c>
      <c r="I2884" s="135" t="n">
        <f aca="false">$G2884*'Analyse capacite'!$C$9</f>
        <v>0</v>
      </c>
      <c r="J2884" s="135" t="n">
        <f aca="false">$G2884*'Analyse capacite'!$D$9</f>
        <v>0</v>
      </c>
      <c r="K2884" s="135" t="n">
        <f aca="false">$G2884*'Analyse capacite'!$E$9</f>
        <v>0</v>
      </c>
    </row>
    <row r="2885" customFormat="false" ht="15" hidden="false" customHeight="false" outlineLevel="0" collapsed="false">
      <c r="B2885" s="130" t="n">
        <v>2027</v>
      </c>
      <c r="C2885" s="131" t="s">
        <v>248</v>
      </c>
      <c r="D2885" s="132" t="n">
        <v>46558</v>
      </c>
      <c r="E2885" s="131" t="s">
        <v>12</v>
      </c>
      <c r="F2885" s="133" t="s">
        <v>11</v>
      </c>
      <c r="G2885" s="134" t="n">
        <f aca="false">LEN('Saisie programme'!$J$91)+SUMIFS('Vols additionnels'!$E$7:$E$66,'Vols additionnels'!$C$7:$C$66,$E2885,'Vols additionnels'!$D$7:$D$66,$F2885,'Vols additionnels'!$B$7:$B$66,$D2885)</f>
        <v>1</v>
      </c>
      <c r="H2885" s="135" t="n">
        <f aca="false">$G2885*'Analyse capacite'!$F$7</f>
        <v>438</v>
      </c>
      <c r="I2885" s="135" t="n">
        <f aca="false">$G2885*'Analyse capacite'!$C$7</f>
        <v>14</v>
      </c>
      <c r="J2885" s="135" t="n">
        <f aca="false">$G2885*'Analyse capacite'!$D$7</f>
        <v>40</v>
      </c>
      <c r="K2885" s="135" t="n">
        <f aca="false">$G2885*'Analyse capacite'!$E$7</f>
        <v>384</v>
      </c>
    </row>
    <row r="2886" customFormat="false" ht="15" hidden="false" customHeight="false" outlineLevel="0" collapsed="false">
      <c r="B2886" s="130" t="n">
        <v>2027</v>
      </c>
      <c r="C2886" s="131" t="s">
        <v>248</v>
      </c>
      <c r="D2886" s="132" t="n">
        <v>46558</v>
      </c>
      <c r="E2886" s="131" t="s">
        <v>12</v>
      </c>
      <c r="F2886" s="133" t="s">
        <v>19</v>
      </c>
      <c r="G2886" s="134" t="n">
        <f aca="false">LEN('Saisie programme'!$J$92)+SUMIFS('Vols additionnels'!$E$7:$E$66,'Vols additionnels'!$C$7:$C$66,$E2886,'Vols additionnels'!$D$7:$D$66,$F2886,'Vols additionnels'!$B$7:$B$66,$D2886)</f>
        <v>0</v>
      </c>
      <c r="H2886" s="135" t="n">
        <f aca="false">$G2886*'Analyse capacite'!$F$8</f>
        <v>0</v>
      </c>
      <c r="I2886" s="135" t="n">
        <f aca="false">$G2886*'Analyse capacite'!$C$8</f>
        <v>0</v>
      </c>
      <c r="J2886" s="135" t="n">
        <f aca="false">$G2886*'Analyse capacite'!$D$8</f>
        <v>0</v>
      </c>
      <c r="K2886" s="135" t="n">
        <f aca="false">$G2886*'Analyse capacite'!$E$8</f>
        <v>0</v>
      </c>
    </row>
    <row r="2887" customFormat="false" ht="15" hidden="false" customHeight="false" outlineLevel="0" collapsed="false">
      <c r="B2887" s="130" t="n">
        <v>2027</v>
      </c>
      <c r="C2887" s="131" t="s">
        <v>248</v>
      </c>
      <c r="D2887" s="132" t="n">
        <v>46558</v>
      </c>
      <c r="E2887" s="131" t="s">
        <v>12</v>
      </c>
      <c r="F2887" s="133" t="s">
        <v>24</v>
      </c>
      <c r="G2887" s="134" t="n">
        <f aca="false">LEN('Saisie programme'!$J$93)+SUMIFS('Vols additionnels'!$E$7:$E$66,'Vols additionnels'!$C$7:$C$66,$E2887,'Vols additionnels'!$D$7:$D$66,$F2887,'Vols additionnels'!$B$7:$B$66,$D2887)</f>
        <v>0</v>
      </c>
      <c r="H2887" s="135" t="n">
        <f aca="false">$G2887*'Analyse capacite'!$F$9</f>
        <v>0</v>
      </c>
      <c r="I2887" s="135" t="n">
        <f aca="false">$G2887*'Analyse capacite'!$C$9</f>
        <v>0</v>
      </c>
      <c r="J2887" s="135" t="n">
        <f aca="false">$G2887*'Analyse capacite'!$D$9</f>
        <v>0</v>
      </c>
      <c r="K2887" s="135" t="n">
        <f aca="false">$G2887*'Analyse capacite'!$E$9</f>
        <v>0</v>
      </c>
    </row>
    <row r="2888" customFormat="false" ht="15" hidden="false" customHeight="false" outlineLevel="0" collapsed="false">
      <c r="B2888" s="130" t="n">
        <v>2027</v>
      </c>
      <c r="C2888" s="131" t="s">
        <v>248</v>
      </c>
      <c r="D2888" s="132" t="n">
        <v>46558</v>
      </c>
      <c r="E2888" s="131" t="s">
        <v>20</v>
      </c>
      <c r="F2888" s="133" t="s">
        <v>11</v>
      </c>
      <c r="G2888" s="134" t="n">
        <f aca="false">LEN('Saisie programme'!$J$94)+SUMIFS('Vols additionnels'!$E$7:$E$66,'Vols additionnels'!$C$7:$C$66,$E2888,'Vols additionnels'!$D$7:$D$66,$F2888,'Vols additionnels'!$B$7:$B$66,$D2888)</f>
        <v>1</v>
      </c>
      <c r="H2888" s="135" t="n">
        <f aca="false">$G2888*'Analyse capacite'!$F$7</f>
        <v>438</v>
      </c>
      <c r="I2888" s="135" t="n">
        <f aca="false">$G2888*'Analyse capacite'!$C$7</f>
        <v>14</v>
      </c>
      <c r="J2888" s="135" t="n">
        <f aca="false">$G2888*'Analyse capacite'!$D$7</f>
        <v>40</v>
      </c>
      <c r="K2888" s="135" t="n">
        <f aca="false">$G2888*'Analyse capacite'!$E$7</f>
        <v>384</v>
      </c>
    </row>
    <row r="2889" customFormat="false" ht="15" hidden="false" customHeight="false" outlineLevel="0" collapsed="false">
      <c r="B2889" s="130" t="n">
        <v>2027</v>
      </c>
      <c r="C2889" s="131" t="s">
        <v>248</v>
      </c>
      <c r="D2889" s="132" t="n">
        <v>46558</v>
      </c>
      <c r="E2889" s="131" t="s">
        <v>20</v>
      </c>
      <c r="F2889" s="133" t="s">
        <v>19</v>
      </c>
      <c r="G2889" s="134" t="n">
        <f aca="false">LEN('Saisie programme'!$J$95)+SUMIFS('Vols additionnels'!$E$7:$E$66,'Vols additionnels'!$C$7:$C$66,$E2889,'Vols additionnels'!$D$7:$D$66,$F2889,'Vols additionnels'!$B$7:$B$66,$D2889)</f>
        <v>0</v>
      </c>
      <c r="H2889" s="135" t="n">
        <f aca="false">$G2889*'Analyse capacite'!$F$8</f>
        <v>0</v>
      </c>
      <c r="I2889" s="135" t="n">
        <f aca="false">$G2889*'Analyse capacite'!$C$8</f>
        <v>0</v>
      </c>
      <c r="J2889" s="135" t="n">
        <f aca="false">$G2889*'Analyse capacite'!$D$8</f>
        <v>0</v>
      </c>
      <c r="K2889" s="135" t="n">
        <f aca="false">$G2889*'Analyse capacite'!$E$8</f>
        <v>0</v>
      </c>
    </row>
    <row r="2890" customFormat="false" ht="15" hidden="false" customHeight="false" outlineLevel="0" collapsed="false">
      <c r="B2890" s="130" t="n">
        <v>2027</v>
      </c>
      <c r="C2890" s="131" t="s">
        <v>248</v>
      </c>
      <c r="D2890" s="132" t="n">
        <v>46558</v>
      </c>
      <c r="E2890" s="131" t="s">
        <v>20</v>
      </c>
      <c r="F2890" s="133" t="s">
        <v>24</v>
      </c>
      <c r="G2890" s="134" t="n">
        <f aca="false">LEN('Saisie programme'!$J$96)+SUMIFS('Vols additionnels'!$E$7:$E$66,'Vols additionnels'!$C$7:$C$66,$E2890,'Vols additionnels'!$D$7:$D$66,$F2890,'Vols additionnels'!$B$7:$B$66,$D2890)</f>
        <v>0</v>
      </c>
      <c r="H2890" s="135" t="n">
        <f aca="false">$G2890*'Analyse capacite'!$F$9</f>
        <v>0</v>
      </c>
      <c r="I2890" s="135" t="n">
        <f aca="false">$G2890*'Analyse capacite'!$C$9</f>
        <v>0</v>
      </c>
      <c r="J2890" s="135" t="n">
        <f aca="false">$G2890*'Analyse capacite'!$D$9</f>
        <v>0</v>
      </c>
      <c r="K2890" s="135" t="n">
        <f aca="false">$G2890*'Analyse capacite'!$E$9</f>
        <v>0</v>
      </c>
    </row>
    <row r="2891" customFormat="false" ht="15" hidden="false" customHeight="false" outlineLevel="0" collapsed="false">
      <c r="B2891" s="130" t="n">
        <v>2027</v>
      </c>
      <c r="C2891" s="131" t="s">
        <v>248</v>
      </c>
      <c r="D2891" s="132" t="n">
        <v>46558</v>
      </c>
      <c r="E2891" s="131" t="s">
        <v>25</v>
      </c>
      <c r="F2891" s="133" t="s">
        <v>11</v>
      </c>
      <c r="G2891" s="134" t="n">
        <f aca="false">LEN('Saisie programme'!$J$97)+SUMIFS('Vols additionnels'!$E$7:$E$66,'Vols additionnels'!$C$7:$C$66,$E2891,'Vols additionnels'!$D$7:$D$66,$F2891,'Vols additionnels'!$B$7:$B$66,$D2891)</f>
        <v>0</v>
      </c>
      <c r="H2891" s="135" t="n">
        <f aca="false">$G2891*'Analyse capacite'!$F$7</f>
        <v>0</v>
      </c>
      <c r="I2891" s="135" t="n">
        <f aca="false">$G2891*'Analyse capacite'!$C$7</f>
        <v>0</v>
      </c>
      <c r="J2891" s="135" t="n">
        <f aca="false">$G2891*'Analyse capacite'!$D$7</f>
        <v>0</v>
      </c>
      <c r="K2891" s="135" t="n">
        <f aca="false">$G2891*'Analyse capacite'!$E$7</f>
        <v>0</v>
      </c>
    </row>
    <row r="2892" customFormat="false" ht="15" hidden="false" customHeight="false" outlineLevel="0" collapsed="false">
      <c r="B2892" s="130" t="n">
        <v>2027</v>
      </c>
      <c r="C2892" s="131" t="s">
        <v>248</v>
      </c>
      <c r="D2892" s="132" t="n">
        <v>46558</v>
      </c>
      <c r="E2892" s="131" t="s">
        <v>25</v>
      </c>
      <c r="F2892" s="133" t="s">
        <v>19</v>
      </c>
      <c r="G2892" s="134" t="n">
        <f aca="false">LEN('Saisie programme'!$J$98)+SUMIFS('Vols additionnels'!$E$7:$E$66,'Vols additionnels'!$C$7:$C$66,$E2892,'Vols additionnels'!$D$7:$D$66,$F2892,'Vols additionnels'!$B$7:$B$66,$D2892)</f>
        <v>0</v>
      </c>
      <c r="H2892" s="135" t="n">
        <f aca="false">$G2892*'Analyse capacite'!$F$8</f>
        <v>0</v>
      </c>
      <c r="I2892" s="135" t="n">
        <f aca="false">$G2892*'Analyse capacite'!$C$8</f>
        <v>0</v>
      </c>
      <c r="J2892" s="135" t="n">
        <f aca="false">$G2892*'Analyse capacite'!$D$8</f>
        <v>0</v>
      </c>
      <c r="K2892" s="135" t="n">
        <f aca="false">$G2892*'Analyse capacite'!$E$8</f>
        <v>0</v>
      </c>
    </row>
    <row r="2893" customFormat="false" ht="15" hidden="false" customHeight="false" outlineLevel="0" collapsed="false">
      <c r="B2893" s="130" t="n">
        <v>2027</v>
      </c>
      <c r="C2893" s="131" t="s">
        <v>248</v>
      </c>
      <c r="D2893" s="132" t="n">
        <v>46558</v>
      </c>
      <c r="E2893" s="131" t="s">
        <v>25</v>
      </c>
      <c r="F2893" s="133" t="s">
        <v>24</v>
      </c>
      <c r="G2893" s="134" t="n">
        <f aca="false">LEN('Saisie programme'!$J$99)+SUMIFS('Vols additionnels'!$E$7:$E$66,'Vols additionnels'!$C$7:$C$66,$E2893,'Vols additionnels'!$D$7:$D$66,$F2893,'Vols additionnels'!$B$7:$B$66,$D2893)</f>
        <v>0</v>
      </c>
      <c r="H2893" s="135" t="n">
        <f aca="false">$G2893*'Analyse capacite'!$F$9</f>
        <v>0</v>
      </c>
      <c r="I2893" s="135" t="n">
        <f aca="false">$G2893*'Analyse capacite'!$C$9</f>
        <v>0</v>
      </c>
      <c r="J2893" s="135" t="n">
        <f aca="false">$G2893*'Analyse capacite'!$D$9</f>
        <v>0</v>
      </c>
      <c r="K2893" s="135" t="n">
        <f aca="false">$G2893*'Analyse capacite'!$E$9</f>
        <v>0</v>
      </c>
    </row>
    <row r="2894" customFormat="false" ht="15" hidden="false" customHeight="false" outlineLevel="0" collapsed="false">
      <c r="B2894" s="130" t="n">
        <v>2027</v>
      </c>
      <c r="C2894" s="131" t="s">
        <v>248</v>
      </c>
      <c r="D2894" s="132" t="n">
        <v>46558</v>
      </c>
      <c r="E2894" s="131" t="s">
        <v>36</v>
      </c>
      <c r="F2894" s="133" t="s">
        <v>11</v>
      </c>
      <c r="G2894" s="134" t="n">
        <f aca="false">LEN('Saisie programme'!$J$100)+SUMIFS('Vols additionnels'!$E$7:$E$66,'Vols additionnels'!$C$7:$C$66,$E2894,'Vols additionnels'!$D$7:$D$66,$F2894,'Vols additionnels'!$B$7:$B$66,$D2894)</f>
        <v>0</v>
      </c>
      <c r="H2894" s="135" t="n">
        <f aca="false">$G2894*'Analyse capacite'!$F$7</f>
        <v>0</v>
      </c>
      <c r="I2894" s="135" t="n">
        <f aca="false">$G2894*'Analyse capacite'!$C$7</f>
        <v>0</v>
      </c>
      <c r="J2894" s="135" t="n">
        <f aca="false">$G2894*'Analyse capacite'!$D$7</f>
        <v>0</v>
      </c>
      <c r="K2894" s="135" t="n">
        <f aca="false">$G2894*'Analyse capacite'!$E$7</f>
        <v>0</v>
      </c>
    </row>
    <row r="2895" customFormat="false" ht="15" hidden="false" customHeight="false" outlineLevel="0" collapsed="false">
      <c r="B2895" s="130" t="n">
        <v>2027</v>
      </c>
      <c r="C2895" s="131" t="s">
        <v>248</v>
      </c>
      <c r="D2895" s="132" t="n">
        <v>46558</v>
      </c>
      <c r="E2895" s="131" t="s">
        <v>36</v>
      </c>
      <c r="F2895" s="133" t="s">
        <v>19</v>
      </c>
      <c r="G2895" s="134" t="n">
        <f aca="false">LEN('Saisie programme'!$J$101)+SUMIFS('Vols additionnels'!$E$7:$E$66,'Vols additionnels'!$C$7:$C$66,$E2895,'Vols additionnels'!$D$7:$D$66,$F2895,'Vols additionnels'!$B$7:$B$66,$D2895)</f>
        <v>0</v>
      </c>
      <c r="H2895" s="135" t="n">
        <f aca="false">$G2895*'Analyse capacite'!$F$8</f>
        <v>0</v>
      </c>
      <c r="I2895" s="135" t="n">
        <f aca="false">$G2895*'Analyse capacite'!$C$8</f>
        <v>0</v>
      </c>
      <c r="J2895" s="135" t="n">
        <f aca="false">$G2895*'Analyse capacite'!$D$8</f>
        <v>0</v>
      </c>
      <c r="K2895" s="135" t="n">
        <f aca="false">$G2895*'Analyse capacite'!$E$8</f>
        <v>0</v>
      </c>
    </row>
    <row r="2896" customFormat="false" ht="15" hidden="false" customHeight="false" outlineLevel="0" collapsed="false">
      <c r="B2896" s="130" t="n">
        <v>2027</v>
      </c>
      <c r="C2896" s="131" t="s">
        <v>248</v>
      </c>
      <c r="D2896" s="132" t="n">
        <v>46558</v>
      </c>
      <c r="E2896" s="131" t="s">
        <v>36</v>
      </c>
      <c r="F2896" s="133" t="s">
        <v>24</v>
      </c>
      <c r="G2896" s="134" t="n">
        <f aca="false">LEN('Saisie programme'!$J$102)+SUMIFS('Vols additionnels'!$E$7:$E$66,'Vols additionnels'!$C$7:$C$66,$E2896,'Vols additionnels'!$D$7:$D$66,$F2896,'Vols additionnels'!$B$7:$B$66,$D2896)</f>
        <v>0</v>
      </c>
      <c r="H2896" s="135" t="n">
        <f aca="false">$G2896*'Analyse capacite'!$F$9</f>
        <v>0</v>
      </c>
      <c r="I2896" s="135" t="n">
        <f aca="false">$G2896*'Analyse capacite'!$C$9</f>
        <v>0</v>
      </c>
      <c r="J2896" s="135" t="n">
        <f aca="false">$G2896*'Analyse capacite'!$D$9</f>
        <v>0</v>
      </c>
      <c r="K2896" s="135" t="n">
        <f aca="false">$G2896*'Analyse capacite'!$E$9</f>
        <v>0</v>
      </c>
    </row>
    <row r="2897" customFormat="false" ht="15" hidden="false" customHeight="false" outlineLevel="0" collapsed="false">
      <c r="B2897" s="130" t="n">
        <v>2027</v>
      </c>
      <c r="C2897" s="131" t="s">
        <v>248</v>
      </c>
      <c r="D2897" s="132" t="n">
        <v>46558</v>
      </c>
      <c r="E2897" s="131" t="s">
        <v>40</v>
      </c>
      <c r="F2897" s="133" t="s">
        <v>11</v>
      </c>
      <c r="G2897" s="134" t="n">
        <f aca="false">LEN('Saisie programme'!$J$103)+SUMIFS('Vols additionnels'!$E$7:$E$66,'Vols additionnels'!$C$7:$C$66,$E2897,'Vols additionnels'!$D$7:$D$66,$F2897,'Vols additionnels'!$B$7:$B$66,$D2897)</f>
        <v>0</v>
      </c>
      <c r="H2897" s="135" t="n">
        <f aca="false">$G2897*'Analyse capacite'!$F$7</f>
        <v>0</v>
      </c>
      <c r="I2897" s="135" t="n">
        <f aca="false">$G2897*'Analyse capacite'!$C$7</f>
        <v>0</v>
      </c>
      <c r="J2897" s="135" t="n">
        <f aca="false">$G2897*'Analyse capacite'!$D$7</f>
        <v>0</v>
      </c>
      <c r="K2897" s="135" t="n">
        <f aca="false">$G2897*'Analyse capacite'!$E$7</f>
        <v>0</v>
      </c>
    </row>
    <row r="2898" customFormat="false" ht="15" hidden="false" customHeight="false" outlineLevel="0" collapsed="false">
      <c r="B2898" s="130" t="n">
        <v>2027</v>
      </c>
      <c r="C2898" s="131" t="s">
        <v>248</v>
      </c>
      <c r="D2898" s="132" t="n">
        <v>46558</v>
      </c>
      <c r="E2898" s="131" t="s">
        <v>40</v>
      </c>
      <c r="F2898" s="133" t="s">
        <v>19</v>
      </c>
      <c r="G2898" s="134" t="n">
        <f aca="false">LEN('Saisie programme'!$J$104)+SUMIFS('Vols additionnels'!$E$7:$E$66,'Vols additionnels'!$C$7:$C$66,$E2898,'Vols additionnels'!$D$7:$D$66,$F2898,'Vols additionnels'!$B$7:$B$66,$D2898)</f>
        <v>0</v>
      </c>
      <c r="H2898" s="135" t="n">
        <f aca="false">$G2898*'Analyse capacite'!$F$8</f>
        <v>0</v>
      </c>
      <c r="I2898" s="135" t="n">
        <f aca="false">$G2898*'Analyse capacite'!$C$8</f>
        <v>0</v>
      </c>
      <c r="J2898" s="135" t="n">
        <f aca="false">$G2898*'Analyse capacite'!$D$8</f>
        <v>0</v>
      </c>
      <c r="K2898" s="135" t="n">
        <f aca="false">$G2898*'Analyse capacite'!$E$8</f>
        <v>0</v>
      </c>
    </row>
    <row r="2899" customFormat="false" ht="15" hidden="false" customHeight="false" outlineLevel="0" collapsed="false">
      <c r="B2899" s="130" t="n">
        <v>2027</v>
      </c>
      <c r="C2899" s="131" t="s">
        <v>248</v>
      </c>
      <c r="D2899" s="132" t="n">
        <v>46558</v>
      </c>
      <c r="E2899" s="131" t="s">
        <v>40</v>
      </c>
      <c r="F2899" s="133" t="s">
        <v>24</v>
      </c>
      <c r="G2899" s="134" t="n">
        <f aca="false">LEN('Saisie programme'!$J$105)+SUMIFS('Vols additionnels'!$E$7:$E$66,'Vols additionnels'!$C$7:$C$66,$E2899,'Vols additionnels'!$D$7:$D$66,$F2899,'Vols additionnels'!$B$7:$B$66,$D2899)</f>
        <v>1</v>
      </c>
      <c r="H2899" s="135" t="n">
        <f aca="false">$G2899*'Analyse capacite'!$F$9</f>
        <v>174</v>
      </c>
      <c r="I2899" s="135" t="n">
        <f aca="false">$G2899*'Analyse capacite'!$C$9</f>
        <v>0</v>
      </c>
      <c r="J2899" s="135" t="n">
        <f aca="false">$G2899*'Analyse capacite'!$D$9</f>
        <v>12</v>
      </c>
      <c r="K2899" s="135" t="n">
        <f aca="false">$G2899*'Analyse capacite'!$E$9</f>
        <v>162</v>
      </c>
    </row>
    <row r="2900" customFormat="false" ht="15" hidden="false" customHeight="false" outlineLevel="0" collapsed="false">
      <c r="B2900" s="130" t="n">
        <v>2027</v>
      </c>
      <c r="C2900" s="131" t="s">
        <v>248</v>
      </c>
      <c r="D2900" s="132" t="n">
        <v>46558</v>
      </c>
      <c r="E2900" s="131" t="s">
        <v>14</v>
      </c>
      <c r="F2900" s="133" t="s">
        <v>11</v>
      </c>
      <c r="G2900" s="134" t="n">
        <f aca="false">LEN('Saisie programme'!$J$106)+SUMIFS('Vols additionnels'!$E$7:$E$66,'Vols additionnels'!$C$7:$C$66,$E2900,'Vols additionnels'!$D$7:$D$66,$F2900,'Vols additionnels'!$B$7:$B$66,$D2900)</f>
        <v>0</v>
      </c>
      <c r="H2900" s="135" t="n">
        <f aca="false">$G2900*'Analyse capacite'!$F$7</f>
        <v>0</v>
      </c>
      <c r="I2900" s="135" t="n">
        <f aca="false">$G2900*'Analyse capacite'!$C$7</f>
        <v>0</v>
      </c>
      <c r="J2900" s="135" t="n">
        <f aca="false">$G2900*'Analyse capacite'!$D$7</f>
        <v>0</v>
      </c>
      <c r="K2900" s="135" t="n">
        <f aca="false">$G2900*'Analyse capacite'!$E$7</f>
        <v>0</v>
      </c>
    </row>
    <row r="2901" customFormat="false" ht="15" hidden="false" customHeight="false" outlineLevel="0" collapsed="false">
      <c r="B2901" s="130" t="n">
        <v>2027</v>
      </c>
      <c r="C2901" s="131" t="s">
        <v>248</v>
      </c>
      <c r="D2901" s="132" t="n">
        <v>46558</v>
      </c>
      <c r="E2901" s="131" t="s">
        <v>14</v>
      </c>
      <c r="F2901" s="133" t="s">
        <v>19</v>
      </c>
      <c r="G2901" s="134" t="n">
        <f aca="false">LEN('Saisie programme'!$J$107)+SUMIFS('Vols additionnels'!$E$7:$E$66,'Vols additionnels'!$C$7:$C$66,$E2901,'Vols additionnels'!$D$7:$D$66,$F2901,'Vols additionnels'!$B$7:$B$66,$D2901)</f>
        <v>0</v>
      </c>
      <c r="H2901" s="135" t="n">
        <f aca="false">$G2901*'Analyse capacite'!$F$8</f>
        <v>0</v>
      </c>
      <c r="I2901" s="135" t="n">
        <f aca="false">$G2901*'Analyse capacite'!$C$8</f>
        <v>0</v>
      </c>
      <c r="J2901" s="135" t="n">
        <f aca="false">$G2901*'Analyse capacite'!$D$8</f>
        <v>0</v>
      </c>
      <c r="K2901" s="135" t="n">
        <f aca="false">$G2901*'Analyse capacite'!$E$8</f>
        <v>0</v>
      </c>
    </row>
    <row r="2902" customFormat="false" ht="15" hidden="false" customHeight="false" outlineLevel="0" collapsed="false">
      <c r="B2902" s="130" t="n">
        <v>2027</v>
      </c>
      <c r="C2902" s="131" t="s">
        <v>248</v>
      </c>
      <c r="D2902" s="132" t="n">
        <v>46558</v>
      </c>
      <c r="E2902" s="131" t="s">
        <v>14</v>
      </c>
      <c r="F2902" s="133" t="s">
        <v>24</v>
      </c>
      <c r="G2902" s="134" t="n">
        <f aca="false">LEN('Saisie programme'!$J$108)+SUMIFS('Vols additionnels'!$E$7:$E$66,'Vols additionnels'!$C$7:$C$66,$E2902,'Vols additionnels'!$D$7:$D$66,$F2902,'Vols additionnels'!$B$7:$B$66,$D2902)</f>
        <v>0</v>
      </c>
      <c r="H2902" s="135" t="n">
        <f aca="false">$G2902*'Analyse capacite'!$F$9</f>
        <v>0</v>
      </c>
      <c r="I2902" s="135" t="n">
        <f aca="false">$G2902*'Analyse capacite'!$C$9</f>
        <v>0</v>
      </c>
      <c r="J2902" s="135" t="n">
        <f aca="false">$G2902*'Analyse capacite'!$D$9</f>
        <v>0</v>
      </c>
      <c r="K2902" s="135" t="n">
        <f aca="false">$G2902*'Analyse capacite'!$E$9</f>
        <v>0</v>
      </c>
    </row>
    <row r="2903" customFormat="false" ht="15" hidden="false" customHeight="false" outlineLevel="0" collapsed="false">
      <c r="B2903" s="130" t="n">
        <v>2027</v>
      </c>
      <c r="C2903" s="131" t="s">
        <v>248</v>
      </c>
      <c r="D2903" s="132" t="n">
        <v>46558</v>
      </c>
      <c r="E2903" s="131" t="s">
        <v>46</v>
      </c>
      <c r="F2903" s="133" t="s">
        <v>11</v>
      </c>
      <c r="G2903" s="134" t="n">
        <f aca="false">LEN('Saisie programme'!$J$109)+SUMIFS('Vols additionnels'!$E$7:$E$66,'Vols additionnels'!$C$7:$C$66,$E2903,'Vols additionnels'!$D$7:$D$66,$F2903,'Vols additionnels'!$B$7:$B$66,$D2903)</f>
        <v>0</v>
      </c>
      <c r="H2903" s="135" t="n">
        <f aca="false">$G2903*'Analyse capacite'!$F$7</f>
        <v>0</v>
      </c>
      <c r="I2903" s="135" t="n">
        <f aca="false">$G2903*'Analyse capacite'!$C$7</f>
        <v>0</v>
      </c>
      <c r="J2903" s="135" t="n">
        <f aca="false">$G2903*'Analyse capacite'!$D$7</f>
        <v>0</v>
      </c>
      <c r="K2903" s="135" t="n">
        <f aca="false">$G2903*'Analyse capacite'!$E$7</f>
        <v>0</v>
      </c>
    </row>
    <row r="2904" customFormat="false" ht="15" hidden="false" customHeight="false" outlineLevel="0" collapsed="false">
      <c r="B2904" s="130" t="n">
        <v>2027</v>
      </c>
      <c r="C2904" s="131" t="s">
        <v>248</v>
      </c>
      <c r="D2904" s="132" t="n">
        <v>46558</v>
      </c>
      <c r="E2904" s="131" t="s">
        <v>46</v>
      </c>
      <c r="F2904" s="133" t="s">
        <v>19</v>
      </c>
      <c r="G2904" s="134" t="n">
        <f aca="false">LEN('Saisie programme'!$J$110)+SUMIFS('Vols additionnels'!$E$7:$E$66,'Vols additionnels'!$C$7:$C$66,$E2904,'Vols additionnels'!$D$7:$D$66,$F2904,'Vols additionnels'!$B$7:$B$66,$D2904)</f>
        <v>0</v>
      </c>
      <c r="H2904" s="135" t="n">
        <f aca="false">$G2904*'Analyse capacite'!$F$8</f>
        <v>0</v>
      </c>
      <c r="I2904" s="135" t="n">
        <f aca="false">$G2904*'Analyse capacite'!$C$8</f>
        <v>0</v>
      </c>
      <c r="J2904" s="135" t="n">
        <f aca="false">$G2904*'Analyse capacite'!$D$8</f>
        <v>0</v>
      </c>
      <c r="K2904" s="135" t="n">
        <f aca="false">$G2904*'Analyse capacite'!$E$8</f>
        <v>0</v>
      </c>
    </row>
    <row r="2905" customFormat="false" ht="15" hidden="false" customHeight="false" outlineLevel="0" collapsed="false">
      <c r="B2905" s="130" t="n">
        <v>2027</v>
      </c>
      <c r="C2905" s="131" t="s">
        <v>248</v>
      </c>
      <c r="D2905" s="132" t="n">
        <v>46558</v>
      </c>
      <c r="E2905" s="131" t="s">
        <v>46</v>
      </c>
      <c r="F2905" s="133" t="s">
        <v>24</v>
      </c>
      <c r="G2905" s="134" t="n">
        <f aca="false">LEN('Saisie programme'!$J$111)+SUMIFS('Vols additionnels'!$E$7:$E$66,'Vols additionnels'!$C$7:$C$66,$E2905,'Vols additionnels'!$D$7:$D$66,$F2905,'Vols additionnels'!$B$7:$B$66,$D2905)</f>
        <v>0</v>
      </c>
      <c r="H2905" s="135" t="n">
        <f aca="false">$G2905*'Analyse capacite'!$F$9</f>
        <v>0</v>
      </c>
      <c r="I2905" s="135" t="n">
        <f aca="false">$G2905*'Analyse capacite'!$C$9</f>
        <v>0</v>
      </c>
      <c r="J2905" s="135" t="n">
        <f aca="false">$G2905*'Analyse capacite'!$D$9</f>
        <v>0</v>
      </c>
      <c r="K2905" s="135" t="n">
        <f aca="false">$G2905*'Analyse capacite'!$E$9</f>
        <v>0</v>
      </c>
    </row>
    <row r="2906" customFormat="false" ht="15" hidden="false" customHeight="false" outlineLevel="0" collapsed="false">
      <c r="B2906" s="130" t="n">
        <v>2027</v>
      </c>
      <c r="C2906" s="131" t="s">
        <v>248</v>
      </c>
      <c r="D2906" s="132" t="n">
        <v>46558</v>
      </c>
      <c r="E2906" s="131" t="s">
        <v>49</v>
      </c>
      <c r="F2906" s="133" t="s">
        <v>11</v>
      </c>
      <c r="G2906" s="134" t="n">
        <f aca="false">LEN('Saisie programme'!$J$112)+SUMIFS('Vols additionnels'!$E$7:$E$66,'Vols additionnels'!$C$7:$C$66,$E2906,'Vols additionnels'!$D$7:$D$66,$F2906,'Vols additionnels'!$B$7:$B$66,$D2906)</f>
        <v>0</v>
      </c>
      <c r="H2906" s="135" t="n">
        <f aca="false">$G2906*'Analyse capacite'!$F$7</f>
        <v>0</v>
      </c>
      <c r="I2906" s="135" t="n">
        <f aca="false">$G2906*'Analyse capacite'!$C$7</f>
        <v>0</v>
      </c>
      <c r="J2906" s="135" t="n">
        <f aca="false">$G2906*'Analyse capacite'!$D$7</f>
        <v>0</v>
      </c>
      <c r="K2906" s="135" t="n">
        <f aca="false">$G2906*'Analyse capacite'!$E$7</f>
        <v>0</v>
      </c>
    </row>
    <row r="2907" customFormat="false" ht="15" hidden="false" customHeight="false" outlineLevel="0" collapsed="false">
      <c r="B2907" s="130" t="n">
        <v>2027</v>
      </c>
      <c r="C2907" s="131" t="s">
        <v>248</v>
      </c>
      <c r="D2907" s="132" t="n">
        <v>46558</v>
      </c>
      <c r="E2907" s="131" t="s">
        <v>49</v>
      </c>
      <c r="F2907" s="133" t="s">
        <v>19</v>
      </c>
      <c r="G2907" s="134" t="n">
        <f aca="false">LEN('Saisie programme'!$J$113)+SUMIFS('Vols additionnels'!$E$7:$E$66,'Vols additionnels'!$C$7:$C$66,$E2907,'Vols additionnels'!$D$7:$D$66,$F2907,'Vols additionnels'!$B$7:$B$66,$D2907)</f>
        <v>0</v>
      </c>
      <c r="H2907" s="135" t="n">
        <f aca="false">$G2907*'Analyse capacite'!$F$8</f>
        <v>0</v>
      </c>
      <c r="I2907" s="135" t="n">
        <f aca="false">$G2907*'Analyse capacite'!$C$8</f>
        <v>0</v>
      </c>
      <c r="J2907" s="135" t="n">
        <f aca="false">$G2907*'Analyse capacite'!$D$8</f>
        <v>0</v>
      </c>
      <c r="K2907" s="135" t="n">
        <f aca="false">$G2907*'Analyse capacite'!$E$8</f>
        <v>0</v>
      </c>
    </row>
    <row r="2908" customFormat="false" ht="15" hidden="false" customHeight="false" outlineLevel="0" collapsed="false">
      <c r="B2908" s="130" t="n">
        <v>2027</v>
      </c>
      <c r="C2908" s="131" t="s">
        <v>248</v>
      </c>
      <c r="D2908" s="132" t="n">
        <v>46558</v>
      </c>
      <c r="E2908" s="131" t="s">
        <v>49</v>
      </c>
      <c r="F2908" s="133" t="s">
        <v>24</v>
      </c>
      <c r="G2908" s="134" t="n">
        <f aca="false">LEN('Saisie programme'!$J$114)+SUMIFS('Vols additionnels'!$E$7:$E$66,'Vols additionnels'!$C$7:$C$66,$E2908,'Vols additionnels'!$D$7:$D$66,$F2908,'Vols additionnels'!$B$7:$B$66,$D2908)</f>
        <v>0</v>
      </c>
      <c r="H2908" s="135" t="n">
        <f aca="false">$G2908*'Analyse capacite'!$F$9</f>
        <v>0</v>
      </c>
      <c r="I2908" s="135" t="n">
        <f aca="false">$G2908*'Analyse capacite'!$C$9</f>
        <v>0</v>
      </c>
      <c r="J2908" s="135" t="n">
        <f aca="false">$G2908*'Analyse capacite'!$D$9</f>
        <v>0</v>
      </c>
      <c r="K2908" s="135" t="n">
        <f aca="false">$G2908*'Analyse capacite'!$E$9</f>
        <v>0</v>
      </c>
    </row>
    <row r="2909" customFormat="false" ht="15" hidden="false" customHeight="false" outlineLevel="0" collapsed="false">
      <c r="B2909" s="130" t="n">
        <v>2027</v>
      </c>
      <c r="C2909" s="131" t="s">
        <v>248</v>
      </c>
      <c r="D2909" s="132" t="n">
        <v>46558</v>
      </c>
      <c r="E2909" s="131" t="s">
        <v>53</v>
      </c>
      <c r="F2909" s="133" t="s">
        <v>11</v>
      </c>
      <c r="G2909" s="134" t="n">
        <f aca="false">LEN('Saisie programme'!$J$115)+SUMIFS('Vols additionnels'!$E$7:$E$66,'Vols additionnels'!$C$7:$C$66,$E2909,'Vols additionnels'!$D$7:$D$66,$F2909,'Vols additionnels'!$B$7:$B$66,$D2909)</f>
        <v>0</v>
      </c>
      <c r="H2909" s="135" t="n">
        <f aca="false">$G2909*'Analyse capacite'!$F$7</f>
        <v>0</v>
      </c>
      <c r="I2909" s="135" t="n">
        <f aca="false">$G2909*'Analyse capacite'!$C$7</f>
        <v>0</v>
      </c>
      <c r="J2909" s="135" t="n">
        <f aca="false">$G2909*'Analyse capacite'!$D$7</f>
        <v>0</v>
      </c>
      <c r="K2909" s="135" t="n">
        <f aca="false">$G2909*'Analyse capacite'!$E$7</f>
        <v>0</v>
      </c>
    </row>
    <row r="2910" customFormat="false" ht="15" hidden="false" customHeight="false" outlineLevel="0" collapsed="false">
      <c r="B2910" s="130" t="n">
        <v>2027</v>
      </c>
      <c r="C2910" s="131" t="s">
        <v>248</v>
      </c>
      <c r="D2910" s="132" t="n">
        <v>46558</v>
      </c>
      <c r="E2910" s="131" t="s">
        <v>53</v>
      </c>
      <c r="F2910" s="133" t="s">
        <v>19</v>
      </c>
      <c r="G2910" s="134" t="n">
        <f aca="false">LEN('Saisie programme'!$J$116)+SUMIFS('Vols additionnels'!$E$7:$E$66,'Vols additionnels'!$C$7:$C$66,$E2910,'Vols additionnels'!$D$7:$D$66,$F2910,'Vols additionnels'!$B$7:$B$66,$D2910)</f>
        <v>0</v>
      </c>
      <c r="H2910" s="135" t="n">
        <f aca="false">$G2910*'Analyse capacite'!$F$8</f>
        <v>0</v>
      </c>
      <c r="I2910" s="135" t="n">
        <f aca="false">$G2910*'Analyse capacite'!$C$8</f>
        <v>0</v>
      </c>
      <c r="J2910" s="135" t="n">
        <f aca="false">$G2910*'Analyse capacite'!$D$8</f>
        <v>0</v>
      </c>
      <c r="K2910" s="135" t="n">
        <f aca="false">$G2910*'Analyse capacite'!$E$8</f>
        <v>0</v>
      </c>
    </row>
    <row r="2911" customFormat="false" ht="15" hidden="false" customHeight="false" outlineLevel="0" collapsed="false">
      <c r="B2911" s="130" t="n">
        <v>2027</v>
      </c>
      <c r="C2911" s="131" t="s">
        <v>248</v>
      </c>
      <c r="D2911" s="132" t="n">
        <v>46558</v>
      </c>
      <c r="E2911" s="131" t="s">
        <v>53</v>
      </c>
      <c r="F2911" s="133" t="s">
        <v>24</v>
      </c>
      <c r="G2911" s="134" t="n">
        <f aca="false">LEN('Saisie programme'!$J$117)+SUMIFS('Vols additionnels'!$E$7:$E$66,'Vols additionnels'!$C$7:$C$66,$E2911,'Vols additionnels'!$D$7:$D$66,$F2911,'Vols additionnels'!$B$7:$B$66,$D2911)</f>
        <v>0</v>
      </c>
      <c r="H2911" s="135" t="n">
        <f aca="false">$G2911*'Analyse capacite'!$F$9</f>
        <v>0</v>
      </c>
      <c r="I2911" s="135" t="n">
        <f aca="false">$G2911*'Analyse capacite'!$C$9</f>
        <v>0</v>
      </c>
      <c r="J2911" s="135" t="n">
        <f aca="false">$G2911*'Analyse capacite'!$D$9</f>
        <v>0</v>
      </c>
      <c r="K2911" s="135" t="n">
        <f aca="false">$G2911*'Analyse capacite'!$E$9</f>
        <v>0</v>
      </c>
    </row>
    <row r="2912" customFormat="false" ht="15" hidden="false" customHeight="false" outlineLevel="0" collapsed="false">
      <c r="B2912" s="130" t="n">
        <v>2027</v>
      </c>
      <c r="C2912" s="131" t="s">
        <v>248</v>
      </c>
      <c r="D2912" s="132" t="n">
        <v>46558</v>
      </c>
      <c r="E2912" s="131" t="s">
        <v>56</v>
      </c>
      <c r="F2912" s="133" t="s">
        <v>11</v>
      </c>
      <c r="G2912" s="134" t="n">
        <f aca="false">LEN('Saisie programme'!$J$118)+SUMIFS('Vols additionnels'!$E$7:$E$66,'Vols additionnels'!$C$7:$C$66,$E2912,'Vols additionnels'!$D$7:$D$66,$F2912,'Vols additionnels'!$B$7:$B$66,$D2912)</f>
        <v>0</v>
      </c>
      <c r="H2912" s="135" t="n">
        <f aca="false">$G2912*'Analyse capacite'!$F$7</f>
        <v>0</v>
      </c>
      <c r="I2912" s="135" t="n">
        <f aca="false">$G2912*'Analyse capacite'!$C$7</f>
        <v>0</v>
      </c>
      <c r="J2912" s="135" t="n">
        <f aca="false">$G2912*'Analyse capacite'!$D$7</f>
        <v>0</v>
      </c>
      <c r="K2912" s="135" t="n">
        <f aca="false">$G2912*'Analyse capacite'!$E$7</f>
        <v>0</v>
      </c>
    </row>
    <row r="2913" customFormat="false" ht="15" hidden="false" customHeight="false" outlineLevel="0" collapsed="false">
      <c r="B2913" s="130" t="n">
        <v>2027</v>
      </c>
      <c r="C2913" s="131" t="s">
        <v>248</v>
      </c>
      <c r="D2913" s="132" t="n">
        <v>46558</v>
      </c>
      <c r="E2913" s="131" t="s">
        <v>56</v>
      </c>
      <c r="F2913" s="133" t="s">
        <v>19</v>
      </c>
      <c r="G2913" s="134" t="n">
        <f aca="false">LEN('Saisie programme'!$J$119)+SUMIFS('Vols additionnels'!$E$7:$E$66,'Vols additionnels'!$C$7:$C$66,$E2913,'Vols additionnels'!$D$7:$D$66,$F2913,'Vols additionnels'!$B$7:$B$66,$D2913)</f>
        <v>0</v>
      </c>
      <c r="H2913" s="135" t="n">
        <f aca="false">$G2913*'Analyse capacite'!$F$8</f>
        <v>0</v>
      </c>
      <c r="I2913" s="135" t="n">
        <f aca="false">$G2913*'Analyse capacite'!$C$8</f>
        <v>0</v>
      </c>
      <c r="J2913" s="135" t="n">
        <f aca="false">$G2913*'Analyse capacite'!$D$8</f>
        <v>0</v>
      </c>
      <c r="K2913" s="135" t="n">
        <f aca="false">$G2913*'Analyse capacite'!$E$8</f>
        <v>0</v>
      </c>
    </row>
    <row r="2914" customFormat="false" ht="15" hidden="false" customHeight="false" outlineLevel="0" collapsed="false">
      <c r="B2914" s="130" t="n">
        <v>2027</v>
      </c>
      <c r="C2914" s="131" t="s">
        <v>248</v>
      </c>
      <c r="D2914" s="132" t="n">
        <v>46558</v>
      </c>
      <c r="E2914" s="131" t="s">
        <v>56</v>
      </c>
      <c r="F2914" s="133" t="s">
        <v>24</v>
      </c>
      <c r="G2914" s="134" t="n">
        <f aca="false">LEN('Saisie programme'!$J$120)+SUMIFS('Vols additionnels'!$E$7:$E$66,'Vols additionnels'!$C$7:$C$66,$E2914,'Vols additionnels'!$D$7:$D$66,$F2914,'Vols additionnels'!$B$7:$B$66,$D2914)</f>
        <v>0</v>
      </c>
      <c r="H2914" s="135" t="n">
        <f aca="false">$G2914*'Analyse capacite'!$F$9</f>
        <v>0</v>
      </c>
      <c r="I2914" s="135" t="n">
        <f aca="false">$G2914*'Analyse capacite'!$C$9</f>
        <v>0</v>
      </c>
      <c r="J2914" s="135" t="n">
        <f aca="false">$G2914*'Analyse capacite'!$D$9</f>
        <v>0</v>
      </c>
      <c r="K2914" s="135" t="n">
        <f aca="false">$G2914*'Analyse capacite'!$E$9</f>
        <v>0</v>
      </c>
    </row>
    <row r="2915" customFormat="false" ht="15" hidden="false" customHeight="false" outlineLevel="0" collapsed="false">
      <c r="B2915" s="130" t="n">
        <v>2027</v>
      </c>
      <c r="C2915" s="131" t="s">
        <v>248</v>
      </c>
      <c r="D2915" s="132" t="n">
        <v>46558</v>
      </c>
      <c r="E2915" s="131" t="s">
        <v>59</v>
      </c>
      <c r="F2915" s="133" t="s">
        <v>11</v>
      </c>
      <c r="G2915" s="134" t="n">
        <f aca="false">LEN('Saisie programme'!$J$121)+SUMIFS('Vols additionnels'!$E$7:$E$66,'Vols additionnels'!$C$7:$C$66,$E2915,'Vols additionnels'!$D$7:$D$66,$F2915,'Vols additionnels'!$B$7:$B$66,$D2915)</f>
        <v>0</v>
      </c>
      <c r="H2915" s="135" t="n">
        <f aca="false">$G2915*'Analyse capacite'!$F$7</f>
        <v>0</v>
      </c>
      <c r="I2915" s="135" t="n">
        <f aca="false">$G2915*'Analyse capacite'!$C$7</f>
        <v>0</v>
      </c>
      <c r="J2915" s="135" t="n">
        <f aca="false">$G2915*'Analyse capacite'!$D$7</f>
        <v>0</v>
      </c>
      <c r="K2915" s="135" t="n">
        <f aca="false">$G2915*'Analyse capacite'!$E$7</f>
        <v>0</v>
      </c>
    </row>
    <row r="2916" customFormat="false" ht="15" hidden="false" customHeight="false" outlineLevel="0" collapsed="false">
      <c r="B2916" s="130" t="n">
        <v>2027</v>
      </c>
      <c r="C2916" s="131" t="s">
        <v>248</v>
      </c>
      <c r="D2916" s="132" t="n">
        <v>46558</v>
      </c>
      <c r="E2916" s="131" t="s">
        <v>59</v>
      </c>
      <c r="F2916" s="133" t="s">
        <v>19</v>
      </c>
      <c r="G2916" s="134" t="n">
        <f aca="false">LEN('Saisie programme'!$J$122)+SUMIFS('Vols additionnels'!$E$7:$E$66,'Vols additionnels'!$C$7:$C$66,$E2916,'Vols additionnels'!$D$7:$D$66,$F2916,'Vols additionnels'!$B$7:$B$66,$D2916)</f>
        <v>0</v>
      </c>
      <c r="H2916" s="135" t="n">
        <f aca="false">$G2916*'Analyse capacite'!$F$8</f>
        <v>0</v>
      </c>
      <c r="I2916" s="135" t="n">
        <f aca="false">$G2916*'Analyse capacite'!$C$8</f>
        <v>0</v>
      </c>
      <c r="J2916" s="135" t="n">
        <f aca="false">$G2916*'Analyse capacite'!$D$8</f>
        <v>0</v>
      </c>
      <c r="K2916" s="135" t="n">
        <f aca="false">$G2916*'Analyse capacite'!$E$8</f>
        <v>0</v>
      </c>
    </row>
    <row r="2917" customFormat="false" ht="15" hidden="false" customHeight="false" outlineLevel="0" collapsed="false">
      <c r="B2917" s="130" t="n">
        <v>2027</v>
      </c>
      <c r="C2917" s="131" t="s">
        <v>248</v>
      </c>
      <c r="D2917" s="132" t="n">
        <v>46558</v>
      </c>
      <c r="E2917" s="131" t="s">
        <v>59</v>
      </c>
      <c r="F2917" s="133" t="s">
        <v>24</v>
      </c>
      <c r="G2917" s="134" t="n">
        <f aca="false">LEN('Saisie programme'!$J$123)+SUMIFS('Vols additionnels'!$E$7:$E$66,'Vols additionnels'!$C$7:$C$66,$E2917,'Vols additionnels'!$D$7:$D$66,$F2917,'Vols additionnels'!$B$7:$B$66,$D2917)</f>
        <v>0</v>
      </c>
      <c r="H2917" s="135" t="n">
        <f aca="false">$G2917*'Analyse capacite'!$F$9</f>
        <v>0</v>
      </c>
      <c r="I2917" s="135" t="n">
        <f aca="false">$G2917*'Analyse capacite'!$C$9</f>
        <v>0</v>
      </c>
      <c r="J2917" s="135" t="n">
        <f aca="false">$G2917*'Analyse capacite'!$D$9</f>
        <v>0</v>
      </c>
      <c r="K2917" s="135" t="n">
        <f aca="false">$G2917*'Analyse capacite'!$E$9</f>
        <v>0</v>
      </c>
    </row>
    <row r="2918" customFormat="false" ht="15" hidden="false" customHeight="false" outlineLevel="0" collapsed="false">
      <c r="B2918" s="130" t="n">
        <v>2027</v>
      </c>
      <c r="C2918" s="131" t="s">
        <v>248</v>
      </c>
      <c r="D2918" s="132" t="n">
        <v>46558</v>
      </c>
      <c r="E2918" s="131" t="s">
        <v>62</v>
      </c>
      <c r="F2918" s="133" t="s">
        <v>11</v>
      </c>
      <c r="G2918" s="134" t="n">
        <f aca="false">LEN('Saisie programme'!$J$124)+SUMIFS('Vols additionnels'!$E$7:$E$66,'Vols additionnels'!$C$7:$C$66,$E2918,'Vols additionnels'!$D$7:$D$66,$F2918,'Vols additionnels'!$B$7:$B$66,$D2918)</f>
        <v>0</v>
      </c>
      <c r="H2918" s="135" t="n">
        <f aca="false">$G2918*'Analyse capacite'!$F$7</f>
        <v>0</v>
      </c>
      <c r="I2918" s="135" t="n">
        <f aca="false">$G2918*'Analyse capacite'!$C$7</f>
        <v>0</v>
      </c>
      <c r="J2918" s="135" t="n">
        <f aca="false">$G2918*'Analyse capacite'!$D$7</f>
        <v>0</v>
      </c>
      <c r="K2918" s="135" t="n">
        <f aca="false">$G2918*'Analyse capacite'!$E$7</f>
        <v>0</v>
      </c>
    </row>
    <row r="2919" customFormat="false" ht="15" hidden="false" customHeight="false" outlineLevel="0" collapsed="false">
      <c r="B2919" s="130" t="n">
        <v>2027</v>
      </c>
      <c r="C2919" s="131" t="s">
        <v>248</v>
      </c>
      <c r="D2919" s="132" t="n">
        <v>46558</v>
      </c>
      <c r="E2919" s="131" t="s">
        <v>62</v>
      </c>
      <c r="F2919" s="133" t="s">
        <v>19</v>
      </c>
      <c r="G2919" s="134" t="n">
        <f aca="false">LEN('Saisie programme'!$J$125)+SUMIFS('Vols additionnels'!$E$7:$E$66,'Vols additionnels'!$C$7:$C$66,$E2919,'Vols additionnels'!$D$7:$D$66,$F2919,'Vols additionnels'!$B$7:$B$66,$D2919)</f>
        <v>0</v>
      </c>
      <c r="H2919" s="135" t="n">
        <f aca="false">$G2919*'Analyse capacite'!$F$8</f>
        <v>0</v>
      </c>
      <c r="I2919" s="135" t="n">
        <f aca="false">$G2919*'Analyse capacite'!$C$8</f>
        <v>0</v>
      </c>
      <c r="J2919" s="135" t="n">
        <f aca="false">$G2919*'Analyse capacite'!$D$8</f>
        <v>0</v>
      </c>
      <c r="K2919" s="135" t="n">
        <f aca="false">$G2919*'Analyse capacite'!$E$8</f>
        <v>0</v>
      </c>
    </row>
    <row r="2920" customFormat="false" ht="15" hidden="false" customHeight="false" outlineLevel="0" collapsed="false">
      <c r="B2920" s="130" t="n">
        <v>2027</v>
      </c>
      <c r="C2920" s="131" t="s">
        <v>248</v>
      </c>
      <c r="D2920" s="132" t="n">
        <v>46558</v>
      </c>
      <c r="E2920" s="131" t="s">
        <v>62</v>
      </c>
      <c r="F2920" s="133" t="s">
        <v>24</v>
      </c>
      <c r="G2920" s="134" t="n">
        <f aca="false">LEN('Saisie programme'!$J$126)+SUMIFS('Vols additionnels'!$E$7:$E$66,'Vols additionnels'!$C$7:$C$66,$E2920,'Vols additionnels'!$D$7:$D$66,$F2920,'Vols additionnels'!$B$7:$B$66,$D2920)</f>
        <v>1</v>
      </c>
      <c r="H2920" s="135" t="n">
        <f aca="false">$G2920*'Analyse capacite'!$F$9</f>
        <v>174</v>
      </c>
      <c r="I2920" s="135" t="n">
        <f aca="false">$G2920*'Analyse capacite'!$C$9</f>
        <v>0</v>
      </c>
      <c r="J2920" s="135" t="n">
        <f aca="false">$G2920*'Analyse capacite'!$D$9</f>
        <v>12</v>
      </c>
      <c r="K2920" s="135" t="n">
        <f aca="false">$G2920*'Analyse capacite'!$E$9</f>
        <v>162</v>
      </c>
    </row>
    <row r="2921" customFormat="false" ht="15" hidden="false" customHeight="false" outlineLevel="0" collapsed="false">
      <c r="B2921" s="130" t="n">
        <v>2027</v>
      </c>
      <c r="C2921" s="131" t="s">
        <v>248</v>
      </c>
      <c r="D2921" s="132" t="n">
        <v>46559</v>
      </c>
      <c r="E2921" s="131" t="s">
        <v>12</v>
      </c>
      <c r="F2921" s="133" t="s">
        <v>11</v>
      </c>
      <c r="G2921" s="134" t="n">
        <f aca="false">LEN('Saisie programme'!$D$91)+SUMIFS('Vols additionnels'!$E$7:$E$66,'Vols additionnels'!$C$7:$C$66,$E2921,'Vols additionnels'!$D$7:$D$66,$F2921,'Vols additionnels'!$B$7:$B$66,$D2921)</f>
        <v>1</v>
      </c>
      <c r="H2921" s="135" t="n">
        <f aca="false">$G2921*'Analyse capacite'!$F$7</f>
        <v>438</v>
      </c>
      <c r="I2921" s="135" t="n">
        <f aca="false">$G2921*'Analyse capacite'!$C$7</f>
        <v>14</v>
      </c>
      <c r="J2921" s="135" t="n">
        <f aca="false">$G2921*'Analyse capacite'!$D$7</f>
        <v>40</v>
      </c>
      <c r="K2921" s="135" t="n">
        <f aca="false">$G2921*'Analyse capacite'!$E$7</f>
        <v>384</v>
      </c>
    </row>
    <row r="2922" customFormat="false" ht="15" hidden="false" customHeight="false" outlineLevel="0" collapsed="false">
      <c r="B2922" s="130" t="n">
        <v>2027</v>
      </c>
      <c r="C2922" s="131" t="s">
        <v>248</v>
      </c>
      <c r="D2922" s="132" t="n">
        <v>46559</v>
      </c>
      <c r="E2922" s="131" t="s">
        <v>12</v>
      </c>
      <c r="F2922" s="133" t="s">
        <v>19</v>
      </c>
      <c r="G2922" s="134" t="n">
        <f aca="false">LEN('Saisie programme'!$D$92)+SUMIFS('Vols additionnels'!$E$7:$E$66,'Vols additionnels'!$C$7:$C$66,$E2922,'Vols additionnels'!$D$7:$D$66,$F2922,'Vols additionnels'!$B$7:$B$66,$D2922)</f>
        <v>1</v>
      </c>
      <c r="H2922" s="135" t="n">
        <f aca="false">$G2922*'Analyse capacite'!$F$8</f>
        <v>262</v>
      </c>
      <c r="I2922" s="135" t="n">
        <f aca="false">$G2922*'Analyse capacite'!$C$8</f>
        <v>18</v>
      </c>
      <c r="J2922" s="135" t="n">
        <f aca="false">$G2922*'Analyse capacite'!$D$8</f>
        <v>0</v>
      </c>
      <c r="K2922" s="135" t="n">
        <f aca="false">$G2922*'Analyse capacite'!$E$8</f>
        <v>244</v>
      </c>
    </row>
    <row r="2923" customFormat="false" ht="15" hidden="false" customHeight="false" outlineLevel="0" collapsed="false">
      <c r="B2923" s="130" t="n">
        <v>2027</v>
      </c>
      <c r="C2923" s="131" t="s">
        <v>248</v>
      </c>
      <c r="D2923" s="132" t="n">
        <v>46559</v>
      </c>
      <c r="E2923" s="131" t="s">
        <v>12</v>
      </c>
      <c r="F2923" s="133" t="s">
        <v>24</v>
      </c>
      <c r="G2923" s="134" t="n">
        <f aca="false">LEN('Saisie programme'!$D$93)+SUMIFS('Vols additionnels'!$E$7:$E$66,'Vols additionnels'!$C$7:$C$66,$E2923,'Vols additionnels'!$D$7:$D$66,$F2923,'Vols additionnels'!$B$7:$B$66,$D2923)</f>
        <v>2</v>
      </c>
      <c r="H2923" s="135" t="n">
        <f aca="false">$G2923*'Analyse capacite'!$F$9</f>
        <v>348</v>
      </c>
      <c r="I2923" s="135" t="n">
        <f aca="false">$G2923*'Analyse capacite'!$C$9</f>
        <v>0</v>
      </c>
      <c r="J2923" s="135" t="n">
        <f aca="false">$G2923*'Analyse capacite'!$D$9</f>
        <v>24</v>
      </c>
      <c r="K2923" s="135" t="n">
        <f aca="false">$G2923*'Analyse capacite'!$E$9</f>
        <v>324</v>
      </c>
    </row>
    <row r="2924" customFormat="false" ht="15" hidden="false" customHeight="false" outlineLevel="0" collapsed="false">
      <c r="B2924" s="130" t="n">
        <v>2027</v>
      </c>
      <c r="C2924" s="131" t="s">
        <v>248</v>
      </c>
      <c r="D2924" s="132" t="n">
        <v>46559</v>
      </c>
      <c r="E2924" s="131" t="s">
        <v>20</v>
      </c>
      <c r="F2924" s="133" t="s">
        <v>11</v>
      </c>
      <c r="G2924" s="134" t="n">
        <f aca="false">LEN('Saisie programme'!$D$94)+SUMIFS('Vols additionnels'!$E$7:$E$66,'Vols additionnels'!$C$7:$C$66,$E2924,'Vols additionnels'!$D$7:$D$66,$F2924,'Vols additionnels'!$B$7:$B$66,$D2924)</f>
        <v>0</v>
      </c>
      <c r="H2924" s="135" t="n">
        <f aca="false">$G2924*'Analyse capacite'!$F$7</f>
        <v>0</v>
      </c>
      <c r="I2924" s="135" t="n">
        <f aca="false">$G2924*'Analyse capacite'!$C$7</f>
        <v>0</v>
      </c>
      <c r="J2924" s="135" t="n">
        <f aca="false">$G2924*'Analyse capacite'!$D$7</f>
        <v>0</v>
      </c>
      <c r="K2924" s="135" t="n">
        <f aca="false">$G2924*'Analyse capacite'!$E$7</f>
        <v>0</v>
      </c>
    </row>
    <row r="2925" customFormat="false" ht="15" hidden="false" customHeight="false" outlineLevel="0" collapsed="false">
      <c r="B2925" s="130" t="n">
        <v>2027</v>
      </c>
      <c r="C2925" s="131" t="s">
        <v>248</v>
      </c>
      <c r="D2925" s="132" t="n">
        <v>46559</v>
      </c>
      <c r="E2925" s="131" t="s">
        <v>20</v>
      </c>
      <c r="F2925" s="133" t="s">
        <v>19</v>
      </c>
      <c r="G2925" s="134" t="n">
        <f aca="false">LEN('Saisie programme'!$D$95)+SUMIFS('Vols additionnels'!$E$7:$E$66,'Vols additionnels'!$C$7:$C$66,$E2925,'Vols additionnels'!$D$7:$D$66,$F2925,'Vols additionnels'!$B$7:$B$66,$D2925)</f>
        <v>0</v>
      </c>
      <c r="H2925" s="135" t="n">
        <f aca="false">$G2925*'Analyse capacite'!$F$8</f>
        <v>0</v>
      </c>
      <c r="I2925" s="135" t="n">
        <f aca="false">$G2925*'Analyse capacite'!$C$8</f>
        <v>0</v>
      </c>
      <c r="J2925" s="135" t="n">
        <f aca="false">$G2925*'Analyse capacite'!$D$8</f>
        <v>0</v>
      </c>
      <c r="K2925" s="135" t="n">
        <f aca="false">$G2925*'Analyse capacite'!$E$8</f>
        <v>0</v>
      </c>
    </row>
    <row r="2926" customFormat="false" ht="15" hidden="false" customHeight="false" outlineLevel="0" collapsed="false">
      <c r="B2926" s="130" t="n">
        <v>2027</v>
      </c>
      <c r="C2926" s="131" t="s">
        <v>248</v>
      </c>
      <c r="D2926" s="132" t="n">
        <v>46559</v>
      </c>
      <c r="E2926" s="131" t="s">
        <v>20</v>
      </c>
      <c r="F2926" s="133" t="s">
        <v>24</v>
      </c>
      <c r="G2926" s="134" t="n">
        <f aca="false">LEN('Saisie programme'!$D$96)+SUMIFS('Vols additionnels'!$E$7:$E$66,'Vols additionnels'!$C$7:$C$66,$E2926,'Vols additionnels'!$D$7:$D$66,$F2926,'Vols additionnels'!$B$7:$B$66,$D2926)</f>
        <v>0</v>
      </c>
      <c r="H2926" s="135" t="n">
        <f aca="false">$G2926*'Analyse capacite'!$F$9</f>
        <v>0</v>
      </c>
      <c r="I2926" s="135" t="n">
        <f aca="false">$G2926*'Analyse capacite'!$C$9</f>
        <v>0</v>
      </c>
      <c r="J2926" s="135" t="n">
        <f aca="false">$G2926*'Analyse capacite'!$D$9</f>
        <v>0</v>
      </c>
      <c r="K2926" s="135" t="n">
        <f aca="false">$G2926*'Analyse capacite'!$E$9</f>
        <v>0</v>
      </c>
    </row>
    <row r="2927" customFormat="false" ht="15" hidden="false" customHeight="false" outlineLevel="0" collapsed="false">
      <c r="B2927" s="130" t="n">
        <v>2027</v>
      </c>
      <c r="C2927" s="131" t="s">
        <v>248</v>
      </c>
      <c r="D2927" s="132" t="n">
        <v>46559</v>
      </c>
      <c r="E2927" s="131" t="s">
        <v>25</v>
      </c>
      <c r="F2927" s="133" t="s">
        <v>11</v>
      </c>
      <c r="G2927" s="134" t="n">
        <f aca="false">LEN('Saisie programme'!$D$97)+SUMIFS('Vols additionnels'!$E$7:$E$66,'Vols additionnels'!$C$7:$C$66,$E2927,'Vols additionnels'!$D$7:$D$66,$F2927,'Vols additionnels'!$B$7:$B$66,$D2927)</f>
        <v>0</v>
      </c>
      <c r="H2927" s="135" t="n">
        <f aca="false">$G2927*'Analyse capacite'!$F$7</f>
        <v>0</v>
      </c>
      <c r="I2927" s="135" t="n">
        <f aca="false">$G2927*'Analyse capacite'!$C$7</f>
        <v>0</v>
      </c>
      <c r="J2927" s="135" t="n">
        <f aca="false">$G2927*'Analyse capacite'!$D$7</f>
        <v>0</v>
      </c>
      <c r="K2927" s="135" t="n">
        <f aca="false">$G2927*'Analyse capacite'!$E$7</f>
        <v>0</v>
      </c>
    </row>
    <row r="2928" customFormat="false" ht="15" hidden="false" customHeight="false" outlineLevel="0" collapsed="false">
      <c r="B2928" s="130" t="n">
        <v>2027</v>
      </c>
      <c r="C2928" s="131" t="s">
        <v>248</v>
      </c>
      <c r="D2928" s="132" t="n">
        <v>46559</v>
      </c>
      <c r="E2928" s="131" t="s">
        <v>25</v>
      </c>
      <c r="F2928" s="133" t="s">
        <v>19</v>
      </c>
      <c r="G2928" s="134" t="n">
        <f aca="false">LEN('Saisie programme'!$D$98)+SUMIFS('Vols additionnels'!$E$7:$E$66,'Vols additionnels'!$C$7:$C$66,$E2928,'Vols additionnels'!$D$7:$D$66,$F2928,'Vols additionnels'!$B$7:$B$66,$D2928)</f>
        <v>0</v>
      </c>
      <c r="H2928" s="135" t="n">
        <f aca="false">$G2928*'Analyse capacite'!$F$8</f>
        <v>0</v>
      </c>
      <c r="I2928" s="135" t="n">
        <f aca="false">$G2928*'Analyse capacite'!$C$8</f>
        <v>0</v>
      </c>
      <c r="J2928" s="135" t="n">
        <f aca="false">$G2928*'Analyse capacite'!$D$8</f>
        <v>0</v>
      </c>
      <c r="K2928" s="135" t="n">
        <f aca="false">$G2928*'Analyse capacite'!$E$8</f>
        <v>0</v>
      </c>
    </row>
    <row r="2929" customFormat="false" ht="15" hidden="false" customHeight="false" outlineLevel="0" collapsed="false">
      <c r="B2929" s="130" t="n">
        <v>2027</v>
      </c>
      <c r="C2929" s="131" t="s">
        <v>248</v>
      </c>
      <c r="D2929" s="132" t="n">
        <v>46559</v>
      </c>
      <c r="E2929" s="131" t="s">
        <v>25</v>
      </c>
      <c r="F2929" s="133" t="s">
        <v>24</v>
      </c>
      <c r="G2929" s="134" t="n">
        <f aca="false">LEN('Saisie programme'!$D$99)+SUMIFS('Vols additionnels'!$E$7:$E$66,'Vols additionnels'!$C$7:$C$66,$E2929,'Vols additionnels'!$D$7:$D$66,$F2929,'Vols additionnels'!$B$7:$B$66,$D2929)</f>
        <v>0</v>
      </c>
      <c r="H2929" s="135" t="n">
        <f aca="false">$G2929*'Analyse capacite'!$F$9</f>
        <v>0</v>
      </c>
      <c r="I2929" s="135" t="n">
        <f aca="false">$G2929*'Analyse capacite'!$C$9</f>
        <v>0</v>
      </c>
      <c r="J2929" s="135" t="n">
        <f aca="false">$G2929*'Analyse capacite'!$D$9</f>
        <v>0</v>
      </c>
      <c r="K2929" s="135" t="n">
        <f aca="false">$G2929*'Analyse capacite'!$E$9</f>
        <v>0</v>
      </c>
    </row>
    <row r="2930" customFormat="false" ht="15" hidden="false" customHeight="false" outlineLevel="0" collapsed="false">
      <c r="B2930" s="130" t="n">
        <v>2027</v>
      </c>
      <c r="C2930" s="131" t="s">
        <v>248</v>
      </c>
      <c r="D2930" s="132" t="n">
        <v>46559</v>
      </c>
      <c r="E2930" s="131" t="s">
        <v>36</v>
      </c>
      <c r="F2930" s="133" t="s">
        <v>11</v>
      </c>
      <c r="G2930" s="134" t="n">
        <f aca="false">LEN('Saisie programme'!$D$100)+SUMIFS('Vols additionnels'!$E$7:$E$66,'Vols additionnels'!$C$7:$C$66,$E2930,'Vols additionnels'!$D$7:$D$66,$F2930,'Vols additionnels'!$B$7:$B$66,$D2930)</f>
        <v>0</v>
      </c>
      <c r="H2930" s="135" t="n">
        <f aca="false">$G2930*'Analyse capacite'!$F$7</f>
        <v>0</v>
      </c>
      <c r="I2930" s="135" t="n">
        <f aca="false">$G2930*'Analyse capacite'!$C$7</f>
        <v>0</v>
      </c>
      <c r="J2930" s="135" t="n">
        <f aca="false">$G2930*'Analyse capacite'!$D$7</f>
        <v>0</v>
      </c>
      <c r="K2930" s="135" t="n">
        <f aca="false">$G2930*'Analyse capacite'!$E$7</f>
        <v>0</v>
      </c>
    </row>
    <row r="2931" customFormat="false" ht="15" hidden="false" customHeight="false" outlineLevel="0" collapsed="false">
      <c r="B2931" s="130" t="n">
        <v>2027</v>
      </c>
      <c r="C2931" s="131" t="s">
        <v>248</v>
      </c>
      <c r="D2931" s="132" t="n">
        <v>46559</v>
      </c>
      <c r="E2931" s="131" t="s">
        <v>36</v>
      </c>
      <c r="F2931" s="133" t="s">
        <v>19</v>
      </c>
      <c r="G2931" s="134" t="n">
        <f aca="false">LEN('Saisie programme'!$D$101)+SUMIFS('Vols additionnels'!$E$7:$E$66,'Vols additionnels'!$C$7:$C$66,$E2931,'Vols additionnels'!$D$7:$D$66,$F2931,'Vols additionnels'!$B$7:$B$66,$D2931)</f>
        <v>0</v>
      </c>
      <c r="H2931" s="135" t="n">
        <f aca="false">$G2931*'Analyse capacite'!$F$8</f>
        <v>0</v>
      </c>
      <c r="I2931" s="135" t="n">
        <f aca="false">$G2931*'Analyse capacite'!$C$8</f>
        <v>0</v>
      </c>
      <c r="J2931" s="135" t="n">
        <f aca="false">$G2931*'Analyse capacite'!$D$8</f>
        <v>0</v>
      </c>
      <c r="K2931" s="135" t="n">
        <f aca="false">$G2931*'Analyse capacite'!$E$8</f>
        <v>0</v>
      </c>
    </row>
    <row r="2932" customFormat="false" ht="15" hidden="false" customHeight="false" outlineLevel="0" collapsed="false">
      <c r="B2932" s="130" t="n">
        <v>2027</v>
      </c>
      <c r="C2932" s="131" t="s">
        <v>248</v>
      </c>
      <c r="D2932" s="132" t="n">
        <v>46559</v>
      </c>
      <c r="E2932" s="131" t="s">
        <v>36</v>
      </c>
      <c r="F2932" s="133" t="s">
        <v>24</v>
      </c>
      <c r="G2932" s="134" t="n">
        <f aca="false">LEN('Saisie programme'!$D$102)+SUMIFS('Vols additionnels'!$E$7:$E$66,'Vols additionnels'!$C$7:$C$66,$E2932,'Vols additionnels'!$D$7:$D$66,$F2932,'Vols additionnels'!$B$7:$B$66,$D2932)</f>
        <v>1</v>
      </c>
      <c r="H2932" s="135" t="n">
        <f aca="false">$G2932*'Analyse capacite'!$F$9</f>
        <v>174</v>
      </c>
      <c r="I2932" s="135" t="n">
        <f aca="false">$G2932*'Analyse capacite'!$C$9</f>
        <v>0</v>
      </c>
      <c r="J2932" s="135" t="n">
        <f aca="false">$G2932*'Analyse capacite'!$D$9</f>
        <v>12</v>
      </c>
      <c r="K2932" s="135" t="n">
        <f aca="false">$G2932*'Analyse capacite'!$E$9</f>
        <v>162</v>
      </c>
    </row>
    <row r="2933" customFormat="false" ht="15" hidden="false" customHeight="false" outlineLevel="0" collapsed="false">
      <c r="B2933" s="130" t="n">
        <v>2027</v>
      </c>
      <c r="C2933" s="131" t="s">
        <v>248</v>
      </c>
      <c r="D2933" s="132" t="n">
        <v>46559</v>
      </c>
      <c r="E2933" s="131" t="s">
        <v>40</v>
      </c>
      <c r="F2933" s="133" t="s">
        <v>11</v>
      </c>
      <c r="G2933" s="134" t="n">
        <f aca="false">LEN('Saisie programme'!$D$103)+SUMIFS('Vols additionnels'!$E$7:$E$66,'Vols additionnels'!$C$7:$C$66,$E2933,'Vols additionnels'!$D$7:$D$66,$F2933,'Vols additionnels'!$B$7:$B$66,$D2933)</f>
        <v>0</v>
      </c>
      <c r="H2933" s="135" t="n">
        <f aca="false">$G2933*'Analyse capacite'!$F$7</f>
        <v>0</v>
      </c>
      <c r="I2933" s="135" t="n">
        <f aca="false">$G2933*'Analyse capacite'!$C$7</f>
        <v>0</v>
      </c>
      <c r="J2933" s="135" t="n">
        <f aca="false">$G2933*'Analyse capacite'!$D$7</f>
        <v>0</v>
      </c>
      <c r="K2933" s="135" t="n">
        <f aca="false">$G2933*'Analyse capacite'!$E$7</f>
        <v>0</v>
      </c>
    </row>
    <row r="2934" customFormat="false" ht="15" hidden="false" customHeight="false" outlineLevel="0" collapsed="false">
      <c r="B2934" s="130" t="n">
        <v>2027</v>
      </c>
      <c r="C2934" s="131" t="s">
        <v>248</v>
      </c>
      <c r="D2934" s="132" t="n">
        <v>46559</v>
      </c>
      <c r="E2934" s="131" t="s">
        <v>40</v>
      </c>
      <c r="F2934" s="133" t="s">
        <v>19</v>
      </c>
      <c r="G2934" s="134" t="n">
        <f aca="false">LEN('Saisie programme'!$D$104)+SUMIFS('Vols additionnels'!$E$7:$E$66,'Vols additionnels'!$C$7:$C$66,$E2934,'Vols additionnels'!$D$7:$D$66,$F2934,'Vols additionnels'!$B$7:$B$66,$D2934)</f>
        <v>0</v>
      </c>
      <c r="H2934" s="135" t="n">
        <f aca="false">$G2934*'Analyse capacite'!$F$8</f>
        <v>0</v>
      </c>
      <c r="I2934" s="135" t="n">
        <f aca="false">$G2934*'Analyse capacite'!$C$8</f>
        <v>0</v>
      </c>
      <c r="J2934" s="135" t="n">
        <f aca="false">$G2934*'Analyse capacite'!$D$8</f>
        <v>0</v>
      </c>
      <c r="K2934" s="135" t="n">
        <f aca="false">$G2934*'Analyse capacite'!$E$8</f>
        <v>0</v>
      </c>
    </row>
    <row r="2935" customFormat="false" ht="15" hidden="false" customHeight="false" outlineLevel="0" collapsed="false">
      <c r="B2935" s="130" t="n">
        <v>2027</v>
      </c>
      <c r="C2935" s="131" t="s">
        <v>248</v>
      </c>
      <c r="D2935" s="132" t="n">
        <v>46559</v>
      </c>
      <c r="E2935" s="131" t="s">
        <v>40</v>
      </c>
      <c r="F2935" s="133" t="s">
        <v>24</v>
      </c>
      <c r="G2935" s="134" t="n">
        <f aca="false">LEN('Saisie programme'!$D$105)+SUMIFS('Vols additionnels'!$E$7:$E$66,'Vols additionnels'!$C$7:$C$66,$E2935,'Vols additionnels'!$D$7:$D$66,$F2935,'Vols additionnels'!$B$7:$B$66,$D2935)</f>
        <v>1</v>
      </c>
      <c r="H2935" s="135" t="n">
        <f aca="false">$G2935*'Analyse capacite'!$F$9</f>
        <v>174</v>
      </c>
      <c r="I2935" s="135" t="n">
        <f aca="false">$G2935*'Analyse capacite'!$C$9</f>
        <v>0</v>
      </c>
      <c r="J2935" s="135" t="n">
        <f aca="false">$G2935*'Analyse capacite'!$D$9</f>
        <v>12</v>
      </c>
      <c r="K2935" s="135" t="n">
        <f aca="false">$G2935*'Analyse capacite'!$E$9</f>
        <v>162</v>
      </c>
    </row>
    <row r="2936" customFormat="false" ht="15" hidden="false" customHeight="false" outlineLevel="0" collapsed="false">
      <c r="B2936" s="130" t="n">
        <v>2027</v>
      </c>
      <c r="C2936" s="131" t="s">
        <v>248</v>
      </c>
      <c r="D2936" s="132" t="n">
        <v>46559</v>
      </c>
      <c r="E2936" s="131" t="s">
        <v>14</v>
      </c>
      <c r="F2936" s="133" t="s">
        <v>11</v>
      </c>
      <c r="G2936" s="134" t="n">
        <f aca="false">LEN('Saisie programme'!$D$106)+SUMIFS('Vols additionnels'!$E$7:$E$66,'Vols additionnels'!$C$7:$C$66,$E2936,'Vols additionnels'!$D$7:$D$66,$F2936,'Vols additionnels'!$B$7:$B$66,$D2936)</f>
        <v>0</v>
      </c>
      <c r="H2936" s="135" t="n">
        <f aca="false">$G2936*'Analyse capacite'!$F$7</f>
        <v>0</v>
      </c>
      <c r="I2936" s="135" t="n">
        <f aca="false">$G2936*'Analyse capacite'!$C$7</f>
        <v>0</v>
      </c>
      <c r="J2936" s="135" t="n">
        <f aca="false">$G2936*'Analyse capacite'!$D$7</f>
        <v>0</v>
      </c>
      <c r="K2936" s="135" t="n">
        <f aca="false">$G2936*'Analyse capacite'!$E$7</f>
        <v>0</v>
      </c>
    </row>
    <row r="2937" customFormat="false" ht="15" hidden="false" customHeight="false" outlineLevel="0" collapsed="false">
      <c r="B2937" s="130" t="n">
        <v>2027</v>
      </c>
      <c r="C2937" s="131" t="s">
        <v>248</v>
      </c>
      <c r="D2937" s="132" t="n">
        <v>46559</v>
      </c>
      <c r="E2937" s="131" t="s">
        <v>14</v>
      </c>
      <c r="F2937" s="133" t="s">
        <v>19</v>
      </c>
      <c r="G2937" s="134" t="n">
        <f aca="false">LEN('Saisie programme'!$D$107)+SUMIFS('Vols additionnels'!$E$7:$E$66,'Vols additionnels'!$C$7:$C$66,$E2937,'Vols additionnels'!$D$7:$D$66,$F2937,'Vols additionnels'!$B$7:$B$66,$D2937)</f>
        <v>0</v>
      </c>
      <c r="H2937" s="135" t="n">
        <f aca="false">$G2937*'Analyse capacite'!$F$8</f>
        <v>0</v>
      </c>
      <c r="I2937" s="135" t="n">
        <f aca="false">$G2937*'Analyse capacite'!$C$8</f>
        <v>0</v>
      </c>
      <c r="J2937" s="135" t="n">
        <f aca="false">$G2937*'Analyse capacite'!$D$8</f>
        <v>0</v>
      </c>
      <c r="K2937" s="135" t="n">
        <f aca="false">$G2937*'Analyse capacite'!$E$8</f>
        <v>0</v>
      </c>
    </row>
    <row r="2938" customFormat="false" ht="15" hidden="false" customHeight="false" outlineLevel="0" collapsed="false">
      <c r="B2938" s="130" t="n">
        <v>2027</v>
      </c>
      <c r="C2938" s="131" t="s">
        <v>248</v>
      </c>
      <c r="D2938" s="132" t="n">
        <v>46559</v>
      </c>
      <c r="E2938" s="131" t="s">
        <v>14</v>
      </c>
      <c r="F2938" s="133" t="s">
        <v>24</v>
      </c>
      <c r="G2938" s="134" t="n">
        <f aca="false">LEN('Saisie programme'!$D$108)+SUMIFS('Vols additionnels'!$E$7:$E$66,'Vols additionnels'!$C$7:$C$66,$E2938,'Vols additionnels'!$D$7:$D$66,$F2938,'Vols additionnels'!$B$7:$B$66,$D2938)</f>
        <v>1</v>
      </c>
      <c r="H2938" s="135" t="n">
        <f aca="false">$G2938*'Analyse capacite'!$F$9</f>
        <v>174</v>
      </c>
      <c r="I2938" s="135" t="n">
        <f aca="false">$G2938*'Analyse capacite'!$C$9</f>
        <v>0</v>
      </c>
      <c r="J2938" s="135" t="n">
        <f aca="false">$G2938*'Analyse capacite'!$D$9</f>
        <v>12</v>
      </c>
      <c r="K2938" s="135" t="n">
        <f aca="false">$G2938*'Analyse capacite'!$E$9</f>
        <v>162</v>
      </c>
    </row>
    <row r="2939" customFormat="false" ht="15" hidden="false" customHeight="false" outlineLevel="0" collapsed="false">
      <c r="B2939" s="130" t="n">
        <v>2027</v>
      </c>
      <c r="C2939" s="131" t="s">
        <v>248</v>
      </c>
      <c r="D2939" s="132" t="n">
        <v>46559</v>
      </c>
      <c r="E2939" s="131" t="s">
        <v>46</v>
      </c>
      <c r="F2939" s="133" t="s">
        <v>11</v>
      </c>
      <c r="G2939" s="134" t="n">
        <f aca="false">LEN('Saisie programme'!$D$109)+SUMIFS('Vols additionnels'!$E$7:$E$66,'Vols additionnels'!$C$7:$C$66,$E2939,'Vols additionnels'!$D$7:$D$66,$F2939,'Vols additionnels'!$B$7:$B$66,$D2939)</f>
        <v>0</v>
      </c>
      <c r="H2939" s="135" t="n">
        <f aca="false">$G2939*'Analyse capacite'!$F$7</f>
        <v>0</v>
      </c>
      <c r="I2939" s="135" t="n">
        <f aca="false">$G2939*'Analyse capacite'!$C$7</f>
        <v>0</v>
      </c>
      <c r="J2939" s="135" t="n">
        <f aca="false">$G2939*'Analyse capacite'!$D$7</f>
        <v>0</v>
      </c>
      <c r="K2939" s="135" t="n">
        <f aca="false">$G2939*'Analyse capacite'!$E$7</f>
        <v>0</v>
      </c>
    </row>
    <row r="2940" customFormat="false" ht="15" hidden="false" customHeight="false" outlineLevel="0" collapsed="false">
      <c r="B2940" s="130" t="n">
        <v>2027</v>
      </c>
      <c r="C2940" s="131" t="s">
        <v>248</v>
      </c>
      <c r="D2940" s="132" t="n">
        <v>46559</v>
      </c>
      <c r="E2940" s="131" t="s">
        <v>46</v>
      </c>
      <c r="F2940" s="133" t="s">
        <v>19</v>
      </c>
      <c r="G2940" s="134" t="n">
        <f aca="false">LEN('Saisie programme'!$D$110)+SUMIFS('Vols additionnels'!$E$7:$E$66,'Vols additionnels'!$C$7:$C$66,$E2940,'Vols additionnels'!$D$7:$D$66,$F2940,'Vols additionnels'!$B$7:$B$66,$D2940)</f>
        <v>0</v>
      </c>
      <c r="H2940" s="135" t="n">
        <f aca="false">$G2940*'Analyse capacite'!$F$8</f>
        <v>0</v>
      </c>
      <c r="I2940" s="135" t="n">
        <f aca="false">$G2940*'Analyse capacite'!$C$8</f>
        <v>0</v>
      </c>
      <c r="J2940" s="135" t="n">
        <f aca="false">$G2940*'Analyse capacite'!$D$8</f>
        <v>0</v>
      </c>
      <c r="K2940" s="135" t="n">
        <f aca="false">$G2940*'Analyse capacite'!$E$8</f>
        <v>0</v>
      </c>
    </row>
    <row r="2941" customFormat="false" ht="15" hidden="false" customHeight="false" outlineLevel="0" collapsed="false">
      <c r="B2941" s="130" t="n">
        <v>2027</v>
      </c>
      <c r="C2941" s="131" t="s">
        <v>248</v>
      </c>
      <c r="D2941" s="132" t="n">
        <v>46559</v>
      </c>
      <c r="E2941" s="131" t="s">
        <v>46</v>
      </c>
      <c r="F2941" s="133" t="s">
        <v>24</v>
      </c>
      <c r="G2941" s="134" t="n">
        <f aca="false">LEN('Saisie programme'!$D$111)+SUMIFS('Vols additionnels'!$E$7:$E$66,'Vols additionnels'!$C$7:$C$66,$E2941,'Vols additionnels'!$D$7:$D$66,$F2941,'Vols additionnels'!$B$7:$B$66,$D2941)</f>
        <v>0</v>
      </c>
      <c r="H2941" s="135" t="n">
        <f aca="false">$G2941*'Analyse capacite'!$F$9</f>
        <v>0</v>
      </c>
      <c r="I2941" s="135" t="n">
        <f aca="false">$G2941*'Analyse capacite'!$C$9</f>
        <v>0</v>
      </c>
      <c r="J2941" s="135" t="n">
        <f aca="false">$G2941*'Analyse capacite'!$D$9</f>
        <v>0</v>
      </c>
      <c r="K2941" s="135" t="n">
        <f aca="false">$G2941*'Analyse capacite'!$E$9</f>
        <v>0</v>
      </c>
    </row>
    <row r="2942" customFormat="false" ht="15" hidden="false" customHeight="false" outlineLevel="0" collapsed="false">
      <c r="B2942" s="130" t="n">
        <v>2027</v>
      </c>
      <c r="C2942" s="131" t="s">
        <v>248</v>
      </c>
      <c r="D2942" s="132" t="n">
        <v>46559</v>
      </c>
      <c r="E2942" s="131" t="s">
        <v>49</v>
      </c>
      <c r="F2942" s="133" t="s">
        <v>11</v>
      </c>
      <c r="G2942" s="134" t="n">
        <f aca="false">LEN('Saisie programme'!$D$112)+SUMIFS('Vols additionnels'!$E$7:$E$66,'Vols additionnels'!$C$7:$C$66,$E2942,'Vols additionnels'!$D$7:$D$66,$F2942,'Vols additionnels'!$B$7:$B$66,$D2942)</f>
        <v>0</v>
      </c>
      <c r="H2942" s="135" t="n">
        <f aca="false">$G2942*'Analyse capacite'!$F$7</f>
        <v>0</v>
      </c>
      <c r="I2942" s="135" t="n">
        <f aca="false">$G2942*'Analyse capacite'!$C$7</f>
        <v>0</v>
      </c>
      <c r="J2942" s="135" t="n">
        <f aca="false">$G2942*'Analyse capacite'!$D$7</f>
        <v>0</v>
      </c>
      <c r="K2942" s="135" t="n">
        <f aca="false">$G2942*'Analyse capacite'!$E$7</f>
        <v>0</v>
      </c>
    </row>
    <row r="2943" customFormat="false" ht="15" hidden="false" customHeight="false" outlineLevel="0" collapsed="false">
      <c r="B2943" s="130" t="n">
        <v>2027</v>
      </c>
      <c r="C2943" s="131" t="s">
        <v>248</v>
      </c>
      <c r="D2943" s="132" t="n">
        <v>46559</v>
      </c>
      <c r="E2943" s="131" t="s">
        <v>49</v>
      </c>
      <c r="F2943" s="133" t="s">
        <v>19</v>
      </c>
      <c r="G2943" s="134" t="n">
        <f aca="false">LEN('Saisie programme'!$D$113)+SUMIFS('Vols additionnels'!$E$7:$E$66,'Vols additionnels'!$C$7:$C$66,$E2943,'Vols additionnels'!$D$7:$D$66,$F2943,'Vols additionnels'!$B$7:$B$66,$D2943)</f>
        <v>1</v>
      </c>
      <c r="H2943" s="135" t="n">
        <f aca="false">$G2943*'Analyse capacite'!$F$8</f>
        <v>262</v>
      </c>
      <c r="I2943" s="135" t="n">
        <f aca="false">$G2943*'Analyse capacite'!$C$8</f>
        <v>18</v>
      </c>
      <c r="J2943" s="135" t="n">
        <f aca="false">$G2943*'Analyse capacite'!$D$8</f>
        <v>0</v>
      </c>
      <c r="K2943" s="135" t="n">
        <f aca="false">$G2943*'Analyse capacite'!$E$8</f>
        <v>244</v>
      </c>
    </row>
    <row r="2944" customFormat="false" ht="15" hidden="false" customHeight="false" outlineLevel="0" collapsed="false">
      <c r="B2944" s="130" t="n">
        <v>2027</v>
      </c>
      <c r="C2944" s="131" t="s">
        <v>248</v>
      </c>
      <c r="D2944" s="132" t="n">
        <v>46559</v>
      </c>
      <c r="E2944" s="131" t="s">
        <v>49</v>
      </c>
      <c r="F2944" s="133" t="s">
        <v>24</v>
      </c>
      <c r="G2944" s="134" t="n">
        <f aca="false">LEN('Saisie programme'!$D$114)+SUMIFS('Vols additionnels'!$E$7:$E$66,'Vols additionnels'!$C$7:$C$66,$E2944,'Vols additionnels'!$D$7:$D$66,$F2944,'Vols additionnels'!$B$7:$B$66,$D2944)</f>
        <v>0</v>
      </c>
      <c r="H2944" s="135" t="n">
        <f aca="false">$G2944*'Analyse capacite'!$F$9</f>
        <v>0</v>
      </c>
      <c r="I2944" s="135" t="n">
        <f aca="false">$G2944*'Analyse capacite'!$C$9</f>
        <v>0</v>
      </c>
      <c r="J2944" s="135" t="n">
        <f aca="false">$G2944*'Analyse capacite'!$D$9</f>
        <v>0</v>
      </c>
      <c r="K2944" s="135" t="n">
        <f aca="false">$G2944*'Analyse capacite'!$E$9</f>
        <v>0</v>
      </c>
    </row>
    <row r="2945" customFormat="false" ht="15" hidden="false" customHeight="false" outlineLevel="0" collapsed="false">
      <c r="B2945" s="130" t="n">
        <v>2027</v>
      </c>
      <c r="C2945" s="131" t="s">
        <v>248</v>
      </c>
      <c r="D2945" s="132" t="n">
        <v>46559</v>
      </c>
      <c r="E2945" s="131" t="s">
        <v>53</v>
      </c>
      <c r="F2945" s="133" t="s">
        <v>11</v>
      </c>
      <c r="G2945" s="134" t="n">
        <f aca="false">LEN('Saisie programme'!$D$115)+SUMIFS('Vols additionnels'!$E$7:$E$66,'Vols additionnels'!$C$7:$C$66,$E2945,'Vols additionnels'!$D$7:$D$66,$F2945,'Vols additionnels'!$B$7:$B$66,$D2945)</f>
        <v>0</v>
      </c>
      <c r="H2945" s="135" t="n">
        <f aca="false">$G2945*'Analyse capacite'!$F$7</f>
        <v>0</v>
      </c>
      <c r="I2945" s="135" t="n">
        <f aca="false">$G2945*'Analyse capacite'!$C$7</f>
        <v>0</v>
      </c>
      <c r="J2945" s="135" t="n">
        <f aca="false">$G2945*'Analyse capacite'!$D$7</f>
        <v>0</v>
      </c>
      <c r="K2945" s="135" t="n">
        <f aca="false">$G2945*'Analyse capacite'!$E$7</f>
        <v>0</v>
      </c>
    </row>
    <row r="2946" customFormat="false" ht="15" hidden="false" customHeight="false" outlineLevel="0" collapsed="false">
      <c r="B2946" s="130" t="n">
        <v>2027</v>
      </c>
      <c r="C2946" s="131" t="s">
        <v>248</v>
      </c>
      <c r="D2946" s="132" t="n">
        <v>46559</v>
      </c>
      <c r="E2946" s="131" t="s">
        <v>53</v>
      </c>
      <c r="F2946" s="133" t="s">
        <v>19</v>
      </c>
      <c r="G2946" s="134" t="n">
        <f aca="false">LEN('Saisie programme'!$D$116)+SUMIFS('Vols additionnels'!$E$7:$E$66,'Vols additionnels'!$C$7:$C$66,$E2946,'Vols additionnels'!$D$7:$D$66,$F2946,'Vols additionnels'!$B$7:$B$66,$D2946)</f>
        <v>0</v>
      </c>
      <c r="H2946" s="135" t="n">
        <f aca="false">$G2946*'Analyse capacite'!$F$8</f>
        <v>0</v>
      </c>
      <c r="I2946" s="135" t="n">
        <f aca="false">$G2946*'Analyse capacite'!$C$8</f>
        <v>0</v>
      </c>
      <c r="J2946" s="135" t="n">
        <f aca="false">$G2946*'Analyse capacite'!$D$8</f>
        <v>0</v>
      </c>
      <c r="K2946" s="135" t="n">
        <f aca="false">$G2946*'Analyse capacite'!$E$8</f>
        <v>0</v>
      </c>
    </row>
    <row r="2947" customFormat="false" ht="15" hidden="false" customHeight="false" outlineLevel="0" collapsed="false">
      <c r="B2947" s="130" t="n">
        <v>2027</v>
      </c>
      <c r="C2947" s="131" t="s">
        <v>248</v>
      </c>
      <c r="D2947" s="132" t="n">
        <v>46559</v>
      </c>
      <c r="E2947" s="131" t="s">
        <v>53</v>
      </c>
      <c r="F2947" s="133" t="s">
        <v>24</v>
      </c>
      <c r="G2947" s="134" t="n">
        <f aca="false">LEN('Saisie programme'!$D$117)+SUMIFS('Vols additionnels'!$E$7:$E$66,'Vols additionnels'!$C$7:$C$66,$E2947,'Vols additionnels'!$D$7:$D$66,$F2947,'Vols additionnels'!$B$7:$B$66,$D2947)</f>
        <v>0</v>
      </c>
      <c r="H2947" s="135" t="n">
        <f aca="false">$G2947*'Analyse capacite'!$F$9</f>
        <v>0</v>
      </c>
      <c r="I2947" s="135" t="n">
        <f aca="false">$G2947*'Analyse capacite'!$C$9</f>
        <v>0</v>
      </c>
      <c r="J2947" s="135" t="n">
        <f aca="false">$G2947*'Analyse capacite'!$D$9</f>
        <v>0</v>
      </c>
      <c r="K2947" s="135" t="n">
        <f aca="false">$G2947*'Analyse capacite'!$E$9</f>
        <v>0</v>
      </c>
    </row>
    <row r="2948" customFormat="false" ht="15" hidden="false" customHeight="false" outlineLevel="0" collapsed="false">
      <c r="B2948" s="130" t="n">
        <v>2027</v>
      </c>
      <c r="C2948" s="131" t="s">
        <v>248</v>
      </c>
      <c r="D2948" s="132" t="n">
        <v>46559</v>
      </c>
      <c r="E2948" s="131" t="s">
        <v>56</v>
      </c>
      <c r="F2948" s="133" t="s">
        <v>11</v>
      </c>
      <c r="G2948" s="134" t="n">
        <f aca="false">LEN('Saisie programme'!$D$118)+SUMIFS('Vols additionnels'!$E$7:$E$66,'Vols additionnels'!$C$7:$C$66,$E2948,'Vols additionnels'!$D$7:$D$66,$F2948,'Vols additionnels'!$B$7:$B$66,$D2948)</f>
        <v>0</v>
      </c>
      <c r="H2948" s="135" t="n">
        <f aca="false">$G2948*'Analyse capacite'!$F$7</f>
        <v>0</v>
      </c>
      <c r="I2948" s="135" t="n">
        <f aca="false">$G2948*'Analyse capacite'!$C$7</f>
        <v>0</v>
      </c>
      <c r="J2948" s="135" t="n">
        <f aca="false">$G2948*'Analyse capacite'!$D$7</f>
        <v>0</v>
      </c>
      <c r="K2948" s="135" t="n">
        <f aca="false">$G2948*'Analyse capacite'!$E$7</f>
        <v>0</v>
      </c>
    </row>
    <row r="2949" customFormat="false" ht="15" hidden="false" customHeight="false" outlineLevel="0" collapsed="false">
      <c r="B2949" s="130" t="n">
        <v>2027</v>
      </c>
      <c r="C2949" s="131" t="s">
        <v>248</v>
      </c>
      <c r="D2949" s="132" t="n">
        <v>46559</v>
      </c>
      <c r="E2949" s="131" t="s">
        <v>56</v>
      </c>
      <c r="F2949" s="133" t="s">
        <v>19</v>
      </c>
      <c r="G2949" s="134" t="n">
        <f aca="false">LEN('Saisie programme'!$D$119)+SUMIFS('Vols additionnels'!$E$7:$E$66,'Vols additionnels'!$C$7:$C$66,$E2949,'Vols additionnels'!$D$7:$D$66,$F2949,'Vols additionnels'!$B$7:$B$66,$D2949)</f>
        <v>0</v>
      </c>
      <c r="H2949" s="135" t="n">
        <f aca="false">$G2949*'Analyse capacite'!$F$8</f>
        <v>0</v>
      </c>
      <c r="I2949" s="135" t="n">
        <f aca="false">$G2949*'Analyse capacite'!$C$8</f>
        <v>0</v>
      </c>
      <c r="J2949" s="135" t="n">
        <f aca="false">$G2949*'Analyse capacite'!$D$8</f>
        <v>0</v>
      </c>
      <c r="K2949" s="135" t="n">
        <f aca="false">$G2949*'Analyse capacite'!$E$8</f>
        <v>0</v>
      </c>
    </row>
    <row r="2950" customFormat="false" ht="15" hidden="false" customHeight="false" outlineLevel="0" collapsed="false">
      <c r="B2950" s="130" t="n">
        <v>2027</v>
      </c>
      <c r="C2950" s="131" t="s">
        <v>248</v>
      </c>
      <c r="D2950" s="132" t="n">
        <v>46559</v>
      </c>
      <c r="E2950" s="131" t="s">
        <v>56</v>
      </c>
      <c r="F2950" s="133" t="s">
        <v>24</v>
      </c>
      <c r="G2950" s="134" t="n">
        <f aca="false">LEN('Saisie programme'!$D$120)+SUMIFS('Vols additionnels'!$E$7:$E$66,'Vols additionnels'!$C$7:$C$66,$E2950,'Vols additionnels'!$D$7:$D$66,$F2950,'Vols additionnels'!$B$7:$B$66,$D2950)</f>
        <v>0</v>
      </c>
      <c r="H2950" s="135" t="n">
        <f aca="false">$G2950*'Analyse capacite'!$F$9</f>
        <v>0</v>
      </c>
      <c r="I2950" s="135" t="n">
        <f aca="false">$G2950*'Analyse capacite'!$C$9</f>
        <v>0</v>
      </c>
      <c r="J2950" s="135" t="n">
        <f aca="false">$G2950*'Analyse capacite'!$D$9</f>
        <v>0</v>
      </c>
      <c r="K2950" s="135" t="n">
        <f aca="false">$G2950*'Analyse capacite'!$E$9</f>
        <v>0</v>
      </c>
    </row>
    <row r="2951" customFormat="false" ht="15" hidden="false" customHeight="false" outlineLevel="0" collapsed="false">
      <c r="B2951" s="130" t="n">
        <v>2027</v>
      </c>
      <c r="C2951" s="131" t="s">
        <v>248</v>
      </c>
      <c r="D2951" s="132" t="n">
        <v>46559</v>
      </c>
      <c r="E2951" s="131" t="s">
        <v>59</v>
      </c>
      <c r="F2951" s="133" t="s">
        <v>11</v>
      </c>
      <c r="G2951" s="134" t="n">
        <f aca="false">LEN('Saisie programme'!$D$121)+SUMIFS('Vols additionnels'!$E$7:$E$66,'Vols additionnels'!$C$7:$C$66,$E2951,'Vols additionnels'!$D$7:$D$66,$F2951,'Vols additionnels'!$B$7:$B$66,$D2951)</f>
        <v>0</v>
      </c>
      <c r="H2951" s="135" t="n">
        <f aca="false">$G2951*'Analyse capacite'!$F$7</f>
        <v>0</v>
      </c>
      <c r="I2951" s="135" t="n">
        <f aca="false">$G2951*'Analyse capacite'!$C$7</f>
        <v>0</v>
      </c>
      <c r="J2951" s="135" t="n">
        <f aca="false">$G2951*'Analyse capacite'!$D$7</f>
        <v>0</v>
      </c>
      <c r="K2951" s="135" t="n">
        <f aca="false">$G2951*'Analyse capacite'!$E$7</f>
        <v>0</v>
      </c>
    </row>
    <row r="2952" customFormat="false" ht="15" hidden="false" customHeight="false" outlineLevel="0" collapsed="false">
      <c r="B2952" s="130" t="n">
        <v>2027</v>
      </c>
      <c r="C2952" s="131" t="s">
        <v>248</v>
      </c>
      <c r="D2952" s="132" t="n">
        <v>46559</v>
      </c>
      <c r="E2952" s="131" t="s">
        <v>59</v>
      </c>
      <c r="F2952" s="133" t="s">
        <v>19</v>
      </c>
      <c r="G2952" s="134" t="n">
        <f aca="false">LEN('Saisie programme'!$D$122)+SUMIFS('Vols additionnels'!$E$7:$E$66,'Vols additionnels'!$C$7:$C$66,$E2952,'Vols additionnels'!$D$7:$D$66,$F2952,'Vols additionnels'!$B$7:$B$66,$D2952)</f>
        <v>0</v>
      </c>
      <c r="H2952" s="135" t="n">
        <f aca="false">$G2952*'Analyse capacite'!$F$8</f>
        <v>0</v>
      </c>
      <c r="I2952" s="135" t="n">
        <f aca="false">$G2952*'Analyse capacite'!$C$8</f>
        <v>0</v>
      </c>
      <c r="J2952" s="135" t="n">
        <f aca="false">$G2952*'Analyse capacite'!$D$8</f>
        <v>0</v>
      </c>
      <c r="K2952" s="135" t="n">
        <f aca="false">$G2952*'Analyse capacite'!$E$8</f>
        <v>0</v>
      </c>
    </row>
    <row r="2953" customFormat="false" ht="15" hidden="false" customHeight="false" outlineLevel="0" collapsed="false">
      <c r="B2953" s="130" t="n">
        <v>2027</v>
      </c>
      <c r="C2953" s="131" t="s">
        <v>248</v>
      </c>
      <c r="D2953" s="132" t="n">
        <v>46559</v>
      </c>
      <c r="E2953" s="131" t="s">
        <v>59</v>
      </c>
      <c r="F2953" s="133" t="s">
        <v>24</v>
      </c>
      <c r="G2953" s="134" t="n">
        <f aca="false">LEN('Saisie programme'!$D$123)+SUMIFS('Vols additionnels'!$E$7:$E$66,'Vols additionnels'!$C$7:$C$66,$E2953,'Vols additionnels'!$D$7:$D$66,$F2953,'Vols additionnels'!$B$7:$B$66,$D2953)</f>
        <v>1</v>
      </c>
      <c r="H2953" s="135" t="n">
        <f aca="false">$G2953*'Analyse capacite'!$F$9</f>
        <v>174</v>
      </c>
      <c r="I2953" s="135" t="n">
        <f aca="false">$G2953*'Analyse capacite'!$C$9</f>
        <v>0</v>
      </c>
      <c r="J2953" s="135" t="n">
        <f aca="false">$G2953*'Analyse capacite'!$D$9</f>
        <v>12</v>
      </c>
      <c r="K2953" s="135" t="n">
        <f aca="false">$G2953*'Analyse capacite'!$E$9</f>
        <v>162</v>
      </c>
    </row>
    <row r="2954" customFormat="false" ht="15" hidden="false" customHeight="false" outlineLevel="0" collapsed="false">
      <c r="B2954" s="130" t="n">
        <v>2027</v>
      </c>
      <c r="C2954" s="131" t="s">
        <v>248</v>
      </c>
      <c r="D2954" s="132" t="n">
        <v>46559</v>
      </c>
      <c r="E2954" s="131" t="s">
        <v>62</v>
      </c>
      <c r="F2954" s="133" t="s">
        <v>11</v>
      </c>
      <c r="G2954" s="134" t="n">
        <f aca="false">LEN('Saisie programme'!$D$124)+SUMIFS('Vols additionnels'!$E$7:$E$66,'Vols additionnels'!$C$7:$C$66,$E2954,'Vols additionnels'!$D$7:$D$66,$F2954,'Vols additionnels'!$B$7:$B$66,$D2954)</f>
        <v>0</v>
      </c>
      <c r="H2954" s="135" t="n">
        <f aca="false">$G2954*'Analyse capacite'!$F$7</f>
        <v>0</v>
      </c>
      <c r="I2954" s="135" t="n">
        <f aca="false">$G2954*'Analyse capacite'!$C$7</f>
        <v>0</v>
      </c>
      <c r="J2954" s="135" t="n">
        <f aca="false">$G2954*'Analyse capacite'!$D$7</f>
        <v>0</v>
      </c>
      <c r="K2954" s="135" t="n">
        <f aca="false">$G2954*'Analyse capacite'!$E$7</f>
        <v>0</v>
      </c>
    </row>
    <row r="2955" customFormat="false" ht="15" hidden="false" customHeight="false" outlineLevel="0" collapsed="false">
      <c r="B2955" s="130" t="n">
        <v>2027</v>
      </c>
      <c r="C2955" s="131" t="s">
        <v>248</v>
      </c>
      <c r="D2955" s="132" t="n">
        <v>46559</v>
      </c>
      <c r="E2955" s="131" t="s">
        <v>62</v>
      </c>
      <c r="F2955" s="133" t="s">
        <v>19</v>
      </c>
      <c r="G2955" s="134" t="n">
        <f aca="false">LEN('Saisie programme'!$D$125)+SUMIFS('Vols additionnels'!$E$7:$E$66,'Vols additionnels'!$C$7:$C$66,$E2955,'Vols additionnels'!$D$7:$D$66,$F2955,'Vols additionnels'!$B$7:$B$66,$D2955)</f>
        <v>0</v>
      </c>
      <c r="H2955" s="135" t="n">
        <f aca="false">$G2955*'Analyse capacite'!$F$8</f>
        <v>0</v>
      </c>
      <c r="I2955" s="135" t="n">
        <f aca="false">$G2955*'Analyse capacite'!$C$8</f>
        <v>0</v>
      </c>
      <c r="J2955" s="135" t="n">
        <f aca="false">$G2955*'Analyse capacite'!$D$8</f>
        <v>0</v>
      </c>
      <c r="K2955" s="135" t="n">
        <f aca="false">$G2955*'Analyse capacite'!$E$8</f>
        <v>0</v>
      </c>
    </row>
    <row r="2956" customFormat="false" ht="15" hidden="false" customHeight="false" outlineLevel="0" collapsed="false">
      <c r="B2956" s="130" t="n">
        <v>2027</v>
      </c>
      <c r="C2956" s="131" t="s">
        <v>248</v>
      </c>
      <c r="D2956" s="132" t="n">
        <v>46559</v>
      </c>
      <c r="E2956" s="131" t="s">
        <v>62</v>
      </c>
      <c r="F2956" s="133" t="s">
        <v>24</v>
      </c>
      <c r="G2956" s="134" t="n">
        <f aca="false">LEN('Saisie programme'!$D$126)+SUMIFS('Vols additionnels'!$E$7:$E$66,'Vols additionnels'!$C$7:$C$66,$E2956,'Vols additionnels'!$D$7:$D$66,$F2956,'Vols additionnels'!$B$7:$B$66,$D2956)</f>
        <v>0</v>
      </c>
      <c r="H2956" s="135" t="n">
        <f aca="false">$G2956*'Analyse capacite'!$F$9</f>
        <v>0</v>
      </c>
      <c r="I2956" s="135" t="n">
        <f aca="false">$G2956*'Analyse capacite'!$C$9</f>
        <v>0</v>
      </c>
      <c r="J2956" s="135" t="n">
        <f aca="false">$G2956*'Analyse capacite'!$D$9</f>
        <v>0</v>
      </c>
      <c r="K2956" s="135" t="n">
        <f aca="false">$G2956*'Analyse capacite'!$E$9</f>
        <v>0</v>
      </c>
    </row>
    <row r="2957" customFormat="false" ht="15" hidden="false" customHeight="false" outlineLevel="0" collapsed="false">
      <c r="B2957" s="130" t="n">
        <v>2027</v>
      </c>
      <c r="C2957" s="131" t="s">
        <v>248</v>
      </c>
      <c r="D2957" s="132" t="n">
        <v>46560</v>
      </c>
      <c r="E2957" s="131" t="s">
        <v>12</v>
      </c>
      <c r="F2957" s="133" t="s">
        <v>11</v>
      </c>
      <c r="G2957" s="134" t="n">
        <f aca="false">LEN('Saisie programme'!$E$91)+SUMIFS('Vols additionnels'!$E$7:$E$66,'Vols additionnels'!$C$7:$C$66,$E2957,'Vols additionnels'!$D$7:$D$66,$F2957,'Vols additionnels'!$B$7:$B$66,$D2957)</f>
        <v>1</v>
      </c>
      <c r="H2957" s="135" t="n">
        <f aca="false">$G2957*'Analyse capacite'!$F$7</f>
        <v>438</v>
      </c>
      <c r="I2957" s="135" t="n">
        <f aca="false">$G2957*'Analyse capacite'!$C$7</f>
        <v>14</v>
      </c>
      <c r="J2957" s="135" t="n">
        <f aca="false">$G2957*'Analyse capacite'!$D$7</f>
        <v>40</v>
      </c>
      <c r="K2957" s="135" t="n">
        <f aca="false">$G2957*'Analyse capacite'!$E$7</f>
        <v>384</v>
      </c>
    </row>
    <row r="2958" customFormat="false" ht="15" hidden="false" customHeight="false" outlineLevel="0" collapsed="false">
      <c r="B2958" s="130" t="n">
        <v>2027</v>
      </c>
      <c r="C2958" s="131" t="s">
        <v>248</v>
      </c>
      <c r="D2958" s="132" t="n">
        <v>46560</v>
      </c>
      <c r="E2958" s="131" t="s">
        <v>12</v>
      </c>
      <c r="F2958" s="133" t="s">
        <v>19</v>
      </c>
      <c r="G2958" s="134" t="n">
        <f aca="false">LEN('Saisie programme'!$E$92)+SUMIFS('Vols additionnels'!$E$7:$E$66,'Vols additionnels'!$C$7:$C$66,$E2958,'Vols additionnels'!$D$7:$D$66,$F2958,'Vols additionnels'!$B$7:$B$66,$D2958)</f>
        <v>0</v>
      </c>
      <c r="H2958" s="135" t="n">
        <f aca="false">$G2958*'Analyse capacite'!$F$8</f>
        <v>0</v>
      </c>
      <c r="I2958" s="135" t="n">
        <f aca="false">$G2958*'Analyse capacite'!$C$8</f>
        <v>0</v>
      </c>
      <c r="J2958" s="135" t="n">
        <f aca="false">$G2958*'Analyse capacite'!$D$8</f>
        <v>0</v>
      </c>
      <c r="K2958" s="135" t="n">
        <f aca="false">$G2958*'Analyse capacite'!$E$8</f>
        <v>0</v>
      </c>
    </row>
    <row r="2959" customFormat="false" ht="15" hidden="false" customHeight="false" outlineLevel="0" collapsed="false">
      <c r="B2959" s="130" t="n">
        <v>2027</v>
      </c>
      <c r="C2959" s="131" t="s">
        <v>248</v>
      </c>
      <c r="D2959" s="132" t="n">
        <v>46560</v>
      </c>
      <c r="E2959" s="131" t="s">
        <v>12</v>
      </c>
      <c r="F2959" s="133" t="s">
        <v>24</v>
      </c>
      <c r="G2959" s="134" t="n">
        <f aca="false">LEN('Saisie programme'!$E$93)+SUMIFS('Vols additionnels'!$E$7:$E$66,'Vols additionnels'!$C$7:$C$66,$E2959,'Vols additionnels'!$D$7:$D$66,$F2959,'Vols additionnels'!$B$7:$B$66,$D2959)</f>
        <v>0</v>
      </c>
      <c r="H2959" s="135" t="n">
        <f aca="false">$G2959*'Analyse capacite'!$F$9</f>
        <v>0</v>
      </c>
      <c r="I2959" s="135" t="n">
        <f aca="false">$G2959*'Analyse capacite'!$C$9</f>
        <v>0</v>
      </c>
      <c r="J2959" s="135" t="n">
        <f aca="false">$G2959*'Analyse capacite'!$D$9</f>
        <v>0</v>
      </c>
      <c r="K2959" s="135" t="n">
        <f aca="false">$G2959*'Analyse capacite'!$E$9</f>
        <v>0</v>
      </c>
    </row>
    <row r="2960" customFormat="false" ht="15" hidden="false" customHeight="false" outlineLevel="0" collapsed="false">
      <c r="B2960" s="130" t="n">
        <v>2027</v>
      </c>
      <c r="C2960" s="131" t="s">
        <v>248</v>
      </c>
      <c r="D2960" s="132" t="n">
        <v>46560</v>
      </c>
      <c r="E2960" s="131" t="s">
        <v>20</v>
      </c>
      <c r="F2960" s="133" t="s">
        <v>11</v>
      </c>
      <c r="G2960" s="134" t="n">
        <f aca="false">LEN('Saisie programme'!$E$94)+SUMIFS('Vols additionnels'!$E$7:$E$66,'Vols additionnels'!$C$7:$C$66,$E2960,'Vols additionnels'!$D$7:$D$66,$F2960,'Vols additionnels'!$B$7:$B$66,$D2960)</f>
        <v>0</v>
      </c>
      <c r="H2960" s="135" t="n">
        <f aca="false">$G2960*'Analyse capacite'!$F$7</f>
        <v>0</v>
      </c>
      <c r="I2960" s="135" t="n">
        <f aca="false">$G2960*'Analyse capacite'!$C$7</f>
        <v>0</v>
      </c>
      <c r="J2960" s="135" t="n">
        <f aca="false">$G2960*'Analyse capacite'!$D$7</f>
        <v>0</v>
      </c>
      <c r="K2960" s="135" t="n">
        <f aca="false">$G2960*'Analyse capacite'!$E$7</f>
        <v>0</v>
      </c>
    </row>
    <row r="2961" customFormat="false" ht="15" hidden="false" customHeight="false" outlineLevel="0" collapsed="false">
      <c r="B2961" s="130" t="n">
        <v>2027</v>
      </c>
      <c r="C2961" s="131" t="s">
        <v>248</v>
      </c>
      <c r="D2961" s="132" t="n">
        <v>46560</v>
      </c>
      <c r="E2961" s="131" t="s">
        <v>20</v>
      </c>
      <c r="F2961" s="133" t="s">
        <v>19</v>
      </c>
      <c r="G2961" s="134" t="n">
        <f aca="false">LEN('Saisie programme'!$E$95)+SUMIFS('Vols additionnels'!$E$7:$E$66,'Vols additionnels'!$C$7:$C$66,$E2961,'Vols additionnels'!$D$7:$D$66,$F2961,'Vols additionnels'!$B$7:$B$66,$D2961)</f>
        <v>1</v>
      </c>
      <c r="H2961" s="135" t="n">
        <f aca="false">$G2961*'Analyse capacite'!$F$8</f>
        <v>262</v>
      </c>
      <c r="I2961" s="135" t="n">
        <f aca="false">$G2961*'Analyse capacite'!$C$8</f>
        <v>18</v>
      </c>
      <c r="J2961" s="135" t="n">
        <f aca="false">$G2961*'Analyse capacite'!$D$8</f>
        <v>0</v>
      </c>
      <c r="K2961" s="135" t="n">
        <f aca="false">$G2961*'Analyse capacite'!$E$8</f>
        <v>244</v>
      </c>
    </row>
    <row r="2962" customFormat="false" ht="15" hidden="false" customHeight="false" outlineLevel="0" collapsed="false">
      <c r="B2962" s="130" t="n">
        <v>2027</v>
      </c>
      <c r="C2962" s="131" t="s">
        <v>248</v>
      </c>
      <c r="D2962" s="132" t="n">
        <v>46560</v>
      </c>
      <c r="E2962" s="131" t="s">
        <v>20</v>
      </c>
      <c r="F2962" s="133" t="s">
        <v>24</v>
      </c>
      <c r="G2962" s="134" t="n">
        <f aca="false">LEN('Saisie programme'!$E$96)+SUMIFS('Vols additionnels'!$E$7:$E$66,'Vols additionnels'!$C$7:$C$66,$E2962,'Vols additionnels'!$D$7:$D$66,$F2962,'Vols additionnels'!$B$7:$B$66,$D2962)</f>
        <v>0</v>
      </c>
      <c r="H2962" s="135" t="n">
        <f aca="false">$G2962*'Analyse capacite'!$F$9</f>
        <v>0</v>
      </c>
      <c r="I2962" s="135" t="n">
        <f aca="false">$G2962*'Analyse capacite'!$C$9</f>
        <v>0</v>
      </c>
      <c r="J2962" s="135" t="n">
        <f aca="false">$G2962*'Analyse capacite'!$D$9</f>
        <v>0</v>
      </c>
      <c r="K2962" s="135" t="n">
        <f aca="false">$G2962*'Analyse capacite'!$E$9</f>
        <v>0</v>
      </c>
    </row>
    <row r="2963" customFormat="false" ht="15" hidden="false" customHeight="false" outlineLevel="0" collapsed="false">
      <c r="B2963" s="130" t="n">
        <v>2027</v>
      </c>
      <c r="C2963" s="131" t="s">
        <v>248</v>
      </c>
      <c r="D2963" s="132" t="n">
        <v>46560</v>
      </c>
      <c r="E2963" s="131" t="s">
        <v>25</v>
      </c>
      <c r="F2963" s="133" t="s">
        <v>11</v>
      </c>
      <c r="G2963" s="134" t="n">
        <f aca="false">LEN('Saisie programme'!$E$97)+SUMIFS('Vols additionnels'!$E$7:$E$66,'Vols additionnels'!$C$7:$C$66,$E2963,'Vols additionnels'!$D$7:$D$66,$F2963,'Vols additionnels'!$B$7:$B$66,$D2963)</f>
        <v>0</v>
      </c>
      <c r="H2963" s="135" t="n">
        <f aca="false">$G2963*'Analyse capacite'!$F$7</f>
        <v>0</v>
      </c>
      <c r="I2963" s="135" t="n">
        <f aca="false">$G2963*'Analyse capacite'!$C$7</f>
        <v>0</v>
      </c>
      <c r="J2963" s="135" t="n">
        <f aca="false">$G2963*'Analyse capacite'!$D$7</f>
        <v>0</v>
      </c>
      <c r="K2963" s="135" t="n">
        <f aca="false">$G2963*'Analyse capacite'!$E$7</f>
        <v>0</v>
      </c>
    </row>
    <row r="2964" customFormat="false" ht="15" hidden="false" customHeight="false" outlineLevel="0" collapsed="false">
      <c r="B2964" s="130" t="n">
        <v>2027</v>
      </c>
      <c r="C2964" s="131" t="s">
        <v>248</v>
      </c>
      <c r="D2964" s="132" t="n">
        <v>46560</v>
      </c>
      <c r="E2964" s="131" t="s">
        <v>25</v>
      </c>
      <c r="F2964" s="133" t="s">
        <v>19</v>
      </c>
      <c r="G2964" s="134" t="n">
        <f aca="false">LEN('Saisie programme'!$E$98)+SUMIFS('Vols additionnels'!$E$7:$E$66,'Vols additionnels'!$C$7:$C$66,$E2964,'Vols additionnels'!$D$7:$D$66,$F2964,'Vols additionnels'!$B$7:$B$66,$D2964)</f>
        <v>0</v>
      </c>
      <c r="H2964" s="135" t="n">
        <f aca="false">$G2964*'Analyse capacite'!$F$8</f>
        <v>0</v>
      </c>
      <c r="I2964" s="135" t="n">
        <f aca="false">$G2964*'Analyse capacite'!$C$8</f>
        <v>0</v>
      </c>
      <c r="J2964" s="135" t="n">
        <f aca="false">$G2964*'Analyse capacite'!$D$8</f>
        <v>0</v>
      </c>
      <c r="K2964" s="135" t="n">
        <f aca="false">$G2964*'Analyse capacite'!$E$8</f>
        <v>0</v>
      </c>
    </row>
    <row r="2965" customFormat="false" ht="15" hidden="false" customHeight="false" outlineLevel="0" collapsed="false">
      <c r="B2965" s="130" t="n">
        <v>2027</v>
      </c>
      <c r="C2965" s="131" t="s">
        <v>248</v>
      </c>
      <c r="D2965" s="132" t="n">
        <v>46560</v>
      </c>
      <c r="E2965" s="131" t="s">
        <v>25</v>
      </c>
      <c r="F2965" s="133" t="s">
        <v>24</v>
      </c>
      <c r="G2965" s="134" t="n">
        <f aca="false">LEN('Saisie programme'!$E$99)+SUMIFS('Vols additionnels'!$E$7:$E$66,'Vols additionnels'!$C$7:$C$66,$E2965,'Vols additionnels'!$D$7:$D$66,$F2965,'Vols additionnels'!$B$7:$B$66,$D2965)</f>
        <v>0</v>
      </c>
      <c r="H2965" s="135" t="n">
        <f aca="false">$G2965*'Analyse capacite'!$F$9</f>
        <v>0</v>
      </c>
      <c r="I2965" s="135" t="n">
        <f aca="false">$G2965*'Analyse capacite'!$C$9</f>
        <v>0</v>
      </c>
      <c r="J2965" s="135" t="n">
        <f aca="false">$G2965*'Analyse capacite'!$D$9</f>
        <v>0</v>
      </c>
      <c r="K2965" s="135" t="n">
        <f aca="false">$G2965*'Analyse capacite'!$E$9</f>
        <v>0</v>
      </c>
    </row>
    <row r="2966" customFormat="false" ht="15" hidden="false" customHeight="false" outlineLevel="0" collapsed="false">
      <c r="B2966" s="130" t="n">
        <v>2027</v>
      </c>
      <c r="C2966" s="131" t="s">
        <v>248</v>
      </c>
      <c r="D2966" s="132" t="n">
        <v>46560</v>
      </c>
      <c r="E2966" s="131" t="s">
        <v>36</v>
      </c>
      <c r="F2966" s="133" t="s">
        <v>11</v>
      </c>
      <c r="G2966" s="134" t="n">
        <f aca="false">LEN('Saisie programme'!$E$100)+SUMIFS('Vols additionnels'!$E$7:$E$66,'Vols additionnels'!$C$7:$C$66,$E2966,'Vols additionnels'!$D$7:$D$66,$F2966,'Vols additionnels'!$B$7:$B$66,$D2966)</f>
        <v>0</v>
      </c>
      <c r="H2966" s="135" t="n">
        <f aca="false">$G2966*'Analyse capacite'!$F$7</f>
        <v>0</v>
      </c>
      <c r="I2966" s="135" t="n">
        <f aca="false">$G2966*'Analyse capacite'!$C$7</f>
        <v>0</v>
      </c>
      <c r="J2966" s="135" t="n">
        <f aca="false">$G2966*'Analyse capacite'!$D$7</f>
        <v>0</v>
      </c>
      <c r="K2966" s="135" t="n">
        <f aca="false">$G2966*'Analyse capacite'!$E$7</f>
        <v>0</v>
      </c>
    </row>
    <row r="2967" customFormat="false" ht="15" hidden="false" customHeight="false" outlineLevel="0" collapsed="false">
      <c r="B2967" s="130" t="n">
        <v>2027</v>
      </c>
      <c r="C2967" s="131" t="s">
        <v>248</v>
      </c>
      <c r="D2967" s="132" t="n">
        <v>46560</v>
      </c>
      <c r="E2967" s="131" t="s">
        <v>36</v>
      </c>
      <c r="F2967" s="133" t="s">
        <v>19</v>
      </c>
      <c r="G2967" s="134" t="n">
        <f aca="false">LEN('Saisie programme'!$E$101)+SUMIFS('Vols additionnels'!$E$7:$E$66,'Vols additionnels'!$C$7:$C$66,$E2967,'Vols additionnels'!$D$7:$D$66,$F2967,'Vols additionnels'!$B$7:$B$66,$D2967)</f>
        <v>0</v>
      </c>
      <c r="H2967" s="135" t="n">
        <f aca="false">$G2967*'Analyse capacite'!$F$8</f>
        <v>0</v>
      </c>
      <c r="I2967" s="135" t="n">
        <f aca="false">$G2967*'Analyse capacite'!$C$8</f>
        <v>0</v>
      </c>
      <c r="J2967" s="135" t="n">
        <f aca="false">$G2967*'Analyse capacite'!$D$8</f>
        <v>0</v>
      </c>
      <c r="K2967" s="135" t="n">
        <f aca="false">$G2967*'Analyse capacite'!$E$8</f>
        <v>0</v>
      </c>
    </row>
    <row r="2968" customFormat="false" ht="15" hidden="false" customHeight="false" outlineLevel="0" collapsed="false">
      <c r="B2968" s="130" t="n">
        <v>2027</v>
      </c>
      <c r="C2968" s="131" t="s">
        <v>248</v>
      </c>
      <c r="D2968" s="132" t="n">
        <v>46560</v>
      </c>
      <c r="E2968" s="131" t="s">
        <v>36</v>
      </c>
      <c r="F2968" s="133" t="s">
        <v>24</v>
      </c>
      <c r="G2968" s="134" t="n">
        <f aca="false">LEN('Saisie programme'!$E$102)+SUMIFS('Vols additionnels'!$E$7:$E$66,'Vols additionnels'!$C$7:$C$66,$E2968,'Vols additionnels'!$D$7:$D$66,$F2968,'Vols additionnels'!$B$7:$B$66,$D2968)</f>
        <v>1</v>
      </c>
      <c r="H2968" s="135" t="n">
        <f aca="false">$G2968*'Analyse capacite'!$F$9</f>
        <v>174</v>
      </c>
      <c r="I2968" s="135" t="n">
        <f aca="false">$G2968*'Analyse capacite'!$C$9</f>
        <v>0</v>
      </c>
      <c r="J2968" s="135" t="n">
        <f aca="false">$G2968*'Analyse capacite'!$D$9</f>
        <v>12</v>
      </c>
      <c r="K2968" s="135" t="n">
        <f aca="false">$G2968*'Analyse capacite'!$E$9</f>
        <v>162</v>
      </c>
    </row>
    <row r="2969" customFormat="false" ht="15" hidden="false" customHeight="false" outlineLevel="0" collapsed="false">
      <c r="B2969" s="130" t="n">
        <v>2027</v>
      </c>
      <c r="C2969" s="131" t="s">
        <v>248</v>
      </c>
      <c r="D2969" s="132" t="n">
        <v>46560</v>
      </c>
      <c r="E2969" s="131" t="s">
        <v>40</v>
      </c>
      <c r="F2969" s="133" t="s">
        <v>11</v>
      </c>
      <c r="G2969" s="134" t="n">
        <f aca="false">LEN('Saisie programme'!$E$103)+SUMIFS('Vols additionnels'!$E$7:$E$66,'Vols additionnels'!$C$7:$C$66,$E2969,'Vols additionnels'!$D$7:$D$66,$F2969,'Vols additionnels'!$B$7:$B$66,$D2969)</f>
        <v>0</v>
      </c>
      <c r="H2969" s="135" t="n">
        <f aca="false">$G2969*'Analyse capacite'!$F$7</f>
        <v>0</v>
      </c>
      <c r="I2969" s="135" t="n">
        <f aca="false">$G2969*'Analyse capacite'!$C$7</f>
        <v>0</v>
      </c>
      <c r="J2969" s="135" t="n">
        <f aca="false">$G2969*'Analyse capacite'!$D$7</f>
        <v>0</v>
      </c>
      <c r="K2969" s="135" t="n">
        <f aca="false">$G2969*'Analyse capacite'!$E$7</f>
        <v>0</v>
      </c>
    </row>
    <row r="2970" customFormat="false" ht="15" hidden="false" customHeight="false" outlineLevel="0" collapsed="false">
      <c r="B2970" s="130" t="n">
        <v>2027</v>
      </c>
      <c r="C2970" s="131" t="s">
        <v>248</v>
      </c>
      <c r="D2970" s="132" t="n">
        <v>46560</v>
      </c>
      <c r="E2970" s="131" t="s">
        <v>40</v>
      </c>
      <c r="F2970" s="133" t="s">
        <v>19</v>
      </c>
      <c r="G2970" s="134" t="n">
        <f aca="false">LEN('Saisie programme'!$E$104)+SUMIFS('Vols additionnels'!$E$7:$E$66,'Vols additionnels'!$C$7:$C$66,$E2970,'Vols additionnels'!$D$7:$D$66,$F2970,'Vols additionnels'!$B$7:$B$66,$D2970)</f>
        <v>0</v>
      </c>
      <c r="H2970" s="135" t="n">
        <f aca="false">$G2970*'Analyse capacite'!$F$8</f>
        <v>0</v>
      </c>
      <c r="I2970" s="135" t="n">
        <f aca="false">$G2970*'Analyse capacite'!$C$8</f>
        <v>0</v>
      </c>
      <c r="J2970" s="135" t="n">
        <f aca="false">$G2970*'Analyse capacite'!$D$8</f>
        <v>0</v>
      </c>
      <c r="K2970" s="135" t="n">
        <f aca="false">$G2970*'Analyse capacite'!$E$8</f>
        <v>0</v>
      </c>
    </row>
    <row r="2971" customFormat="false" ht="15" hidden="false" customHeight="false" outlineLevel="0" collapsed="false">
      <c r="B2971" s="130" t="n">
        <v>2027</v>
      </c>
      <c r="C2971" s="131" t="s">
        <v>248</v>
      </c>
      <c r="D2971" s="132" t="n">
        <v>46560</v>
      </c>
      <c r="E2971" s="131" t="s">
        <v>40</v>
      </c>
      <c r="F2971" s="133" t="s">
        <v>24</v>
      </c>
      <c r="G2971" s="134" t="n">
        <f aca="false">LEN('Saisie programme'!$E$105)+SUMIFS('Vols additionnels'!$E$7:$E$66,'Vols additionnels'!$C$7:$C$66,$E2971,'Vols additionnels'!$D$7:$D$66,$F2971,'Vols additionnels'!$B$7:$B$66,$D2971)</f>
        <v>0</v>
      </c>
      <c r="H2971" s="135" t="n">
        <f aca="false">$G2971*'Analyse capacite'!$F$9</f>
        <v>0</v>
      </c>
      <c r="I2971" s="135" t="n">
        <f aca="false">$G2971*'Analyse capacite'!$C$9</f>
        <v>0</v>
      </c>
      <c r="J2971" s="135" t="n">
        <f aca="false">$G2971*'Analyse capacite'!$D$9</f>
        <v>0</v>
      </c>
      <c r="K2971" s="135" t="n">
        <f aca="false">$G2971*'Analyse capacite'!$E$9</f>
        <v>0</v>
      </c>
    </row>
    <row r="2972" customFormat="false" ht="15" hidden="false" customHeight="false" outlineLevel="0" collapsed="false">
      <c r="B2972" s="130" t="n">
        <v>2027</v>
      </c>
      <c r="C2972" s="131" t="s">
        <v>248</v>
      </c>
      <c r="D2972" s="132" t="n">
        <v>46560</v>
      </c>
      <c r="E2972" s="131" t="s">
        <v>14</v>
      </c>
      <c r="F2972" s="133" t="s">
        <v>11</v>
      </c>
      <c r="G2972" s="134" t="n">
        <f aca="false">LEN('Saisie programme'!$E$106)+SUMIFS('Vols additionnels'!$E$7:$E$66,'Vols additionnels'!$C$7:$C$66,$E2972,'Vols additionnels'!$D$7:$D$66,$F2972,'Vols additionnels'!$B$7:$B$66,$D2972)</f>
        <v>0</v>
      </c>
      <c r="H2972" s="135" t="n">
        <f aca="false">$G2972*'Analyse capacite'!$F$7</f>
        <v>0</v>
      </c>
      <c r="I2972" s="135" t="n">
        <f aca="false">$G2972*'Analyse capacite'!$C$7</f>
        <v>0</v>
      </c>
      <c r="J2972" s="135" t="n">
        <f aca="false">$G2972*'Analyse capacite'!$D$7</f>
        <v>0</v>
      </c>
      <c r="K2972" s="135" t="n">
        <f aca="false">$G2972*'Analyse capacite'!$E$7</f>
        <v>0</v>
      </c>
    </row>
    <row r="2973" customFormat="false" ht="15" hidden="false" customHeight="false" outlineLevel="0" collapsed="false">
      <c r="B2973" s="130" t="n">
        <v>2027</v>
      </c>
      <c r="C2973" s="131" t="s">
        <v>248</v>
      </c>
      <c r="D2973" s="132" t="n">
        <v>46560</v>
      </c>
      <c r="E2973" s="131" t="s">
        <v>14</v>
      </c>
      <c r="F2973" s="133" t="s">
        <v>19</v>
      </c>
      <c r="G2973" s="134" t="n">
        <f aca="false">LEN('Saisie programme'!$E$107)+SUMIFS('Vols additionnels'!$E$7:$E$66,'Vols additionnels'!$C$7:$C$66,$E2973,'Vols additionnels'!$D$7:$D$66,$F2973,'Vols additionnels'!$B$7:$B$66,$D2973)</f>
        <v>0</v>
      </c>
      <c r="H2973" s="135" t="n">
        <f aca="false">$G2973*'Analyse capacite'!$F$8</f>
        <v>0</v>
      </c>
      <c r="I2973" s="135" t="n">
        <f aca="false">$G2973*'Analyse capacite'!$C$8</f>
        <v>0</v>
      </c>
      <c r="J2973" s="135" t="n">
        <f aca="false">$G2973*'Analyse capacite'!$D$8</f>
        <v>0</v>
      </c>
      <c r="K2973" s="135" t="n">
        <f aca="false">$G2973*'Analyse capacite'!$E$8</f>
        <v>0</v>
      </c>
    </row>
    <row r="2974" customFormat="false" ht="15" hidden="false" customHeight="false" outlineLevel="0" collapsed="false">
      <c r="B2974" s="130" t="n">
        <v>2027</v>
      </c>
      <c r="C2974" s="131" t="s">
        <v>248</v>
      </c>
      <c r="D2974" s="132" t="n">
        <v>46560</v>
      </c>
      <c r="E2974" s="131" t="s">
        <v>14</v>
      </c>
      <c r="F2974" s="133" t="s">
        <v>24</v>
      </c>
      <c r="G2974" s="134" t="n">
        <f aca="false">LEN('Saisie programme'!$E$108)+SUMIFS('Vols additionnels'!$E$7:$E$66,'Vols additionnels'!$C$7:$C$66,$E2974,'Vols additionnels'!$D$7:$D$66,$F2974,'Vols additionnels'!$B$7:$B$66,$D2974)</f>
        <v>0</v>
      </c>
      <c r="H2974" s="135" t="n">
        <f aca="false">$G2974*'Analyse capacite'!$F$9</f>
        <v>0</v>
      </c>
      <c r="I2974" s="135" t="n">
        <f aca="false">$G2974*'Analyse capacite'!$C$9</f>
        <v>0</v>
      </c>
      <c r="J2974" s="135" t="n">
        <f aca="false">$G2974*'Analyse capacite'!$D$9</f>
        <v>0</v>
      </c>
      <c r="K2974" s="135" t="n">
        <f aca="false">$G2974*'Analyse capacite'!$E$9</f>
        <v>0</v>
      </c>
    </row>
    <row r="2975" customFormat="false" ht="15" hidden="false" customHeight="false" outlineLevel="0" collapsed="false">
      <c r="B2975" s="130" t="n">
        <v>2027</v>
      </c>
      <c r="C2975" s="131" t="s">
        <v>248</v>
      </c>
      <c r="D2975" s="132" t="n">
        <v>46560</v>
      </c>
      <c r="E2975" s="131" t="s">
        <v>46</v>
      </c>
      <c r="F2975" s="133" t="s">
        <v>11</v>
      </c>
      <c r="G2975" s="134" t="n">
        <f aca="false">LEN('Saisie programme'!$E$109)+SUMIFS('Vols additionnels'!$E$7:$E$66,'Vols additionnels'!$C$7:$C$66,$E2975,'Vols additionnels'!$D$7:$D$66,$F2975,'Vols additionnels'!$B$7:$B$66,$D2975)</f>
        <v>0</v>
      </c>
      <c r="H2975" s="135" t="n">
        <f aca="false">$G2975*'Analyse capacite'!$F$7</f>
        <v>0</v>
      </c>
      <c r="I2975" s="135" t="n">
        <f aca="false">$G2975*'Analyse capacite'!$C$7</f>
        <v>0</v>
      </c>
      <c r="J2975" s="135" t="n">
        <f aca="false">$G2975*'Analyse capacite'!$D$7</f>
        <v>0</v>
      </c>
      <c r="K2975" s="135" t="n">
        <f aca="false">$G2975*'Analyse capacite'!$E$7</f>
        <v>0</v>
      </c>
    </row>
    <row r="2976" customFormat="false" ht="15" hidden="false" customHeight="false" outlineLevel="0" collapsed="false">
      <c r="B2976" s="130" t="n">
        <v>2027</v>
      </c>
      <c r="C2976" s="131" t="s">
        <v>248</v>
      </c>
      <c r="D2976" s="132" t="n">
        <v>46560</v>
      </c>
      <c r="E2976" s="131" t="s">
        <v>46</v>
      </c>
      <c r="F2976" s="133" t="s">
        <v>19</v>
      </c>
      <c r="G2976" s="134" t="n">
        <f aca="false">LEN('Saisie programme'!$E$110)+SUMIFS('Vols additionnels'!$E$7:$E$66,'Vols additionnels'!$C$7:$C$66,$E2976,'Vols additionnels'!$D$7:$D$66,$F2976,'Vols additionnels'!$B$7:$B$66,$D2976)</f>
        <v>0</v>
      </c>
      <c r="H2976" s="135" t="n">
        <f aca="false">$G2976*'Analyse capacite'!$F$8</f>
        <v>0</v>
      </c>
      <c r="I2976" s="135" t="n">
        <f aca="false">$G2976*'Analyse capacite'!$C$8</f>
        <v>0</v>
      </c>
      <c r="J2976" s="135" t="n">
        <f aca="false">$G2976*'Analyse capacite'!$D$8</f>
        <v>0</v>
      </c>
      <c r="K2976" s="135" t="n">
        <f aca="false">$G2976*'Analyse capacite'!$E$8</f>
        <v>0</v>
      </c>
    </row>
    <row r="2977" customFormat="false" ht="15" hidden="false" customHeight="false" outlineLevel="0" collapsed="false">
      <c r="B2977" s="130" t="n">
        <v>2027</v>
      </c>
      <c r="C2977" s="131" t="s">
        <v>248</v>
      </c>
      <c r="D2977" s="132" t="n">
        <v>46560</v>
      </c>
      <c r="E2977" s="131" t="s">
        <v>46</v>
      </c>
      <c r="F2977" s="133" t="s">
        <v>24</v>
      </c>
      <c r="G2977" s="134" t="n">
        <f aca="false">LEN('Saisie programme'!$E$111)+SUMIFS('Vols additionnels'!$E$7:$E$66,'Vols additionnels'!$C$7:$C$66,$E2977,'Vols additionnels'!$D$7:$D$66,$F2977,'Vols additionnels'!$B$7:$B$66,$D2977)</f>
        <v>1</v>
      </c>
      <c r="H2977" s="135" t="n">
        <f aca="false">$G2977*'Analyse capacite'!$F$9</f>
        <v>174</v>
      </c>
      <c r="I2977" s="135" t="n">
        <f aca="false">$G2977*'Analyse capacite'!$C$9</f>
        <v>0</v>
      </c>
      <c r="J2977" s="135" t="n">
        <f aca="false">$G2977*'Analyse capacite'!$D$9</f>
        <v>12</v>
      </c>
      <c r="K2977" s="135" t="n">
        <f aca="false">$G2977*'Analyse capacite'!$E$9</f>
        <v>162</v>
      </c>
    </row>
    <row r="2978" customFormat="false" ht="15" hidden="false" customHeight="false" outlineLevel="0" collapsed="false">
      <c r="B2978" s="130" t="n">
        <v>2027</v>
      </c>
      <c r="C2978" s="131" t="s">
        <v>248</v>
      </c>
      <c r="D2978" s="132" t="n">
        <v>46560</v>
      </c>
      <c r="E2978" s="131" t="s">
        <v>49</v>
      </c>
      <c r="F2978" s="133" t="s">
        <v>11</v>
      </c>
      <c r="G2978" s="134" t="n">
        <f aca="false">LEN('Saisie programme'!$E$112)+SUMIFS('Vols additionnels'!$E$7:$E$66,'Vols additionnels'!$C$7:$C$66,$E2978,'Vols additionnels'!$D$7:$D$66,$F2978,'Vols additionnels'!$B$7:$B$66,$D2978)</f>
        <v>0</v>
      </c>
      <c r="H2978" s="135" t="n">
        <f aca="false">$G2978*'Analyse capacite'!$F$7</f>
        <v>0</v>
      </c>
      <c r="I2978" s="135" t="n">
        <f aca="false">$G2978*'Analyse capacite'!$C$7</f>
        <v>0</v>
      </c>
      <c r="J2978" s="135" t="n">
        <f aca="false">$G2978*'Analyse capacite'!$D$7</f>
        <v>0</v>
      </c>
      <c r="K2978" s="135" t="n">
        <f aca="false">$G2978*'Analyse capacite'!$E$7</f>
        <v>0</v>
      </c>
    </row>
    <row r="2979" customFormat="false" ht="15" hidden="false" customHeight="false" outlineLevel="0" collapsed="false">
      <c r="B2979" s="130" t="n">
        <v>2027</v>
      </c>
      <c r="C2979" s="131" t="s">
        <v>248</v>
      </c>
      <c r="D2979" s="132" t="n">
        <v>46560</v>
      </c>
      <c r="E2979" s="131" t="s">
        <v>49</v>
      </c>
      <c r="F2979" s="133" t="s">
        <v>19</v>
      </c>
      <c r="G2979" s="134" t="n">
        <f aca="false">LEN('Saisie programme'!$E$113)+SUMIFS('Vols additionnels'!$E$7:$E$66,'Vols additionnels'!$C$7:$C$66,$E2979,'Vols additionnels'!$D$7:$D$66,$F2979,'Vols additionnels'!$B$7:$B$66,$D2979)</f>
        <v>0</v>
      </c>
      <c r="H2979" s="135" t="n">
        <f aca="false">$G2979*'Analyse capacite'!$F$8</f>
        <v>0</v>
      </c>
      <c r="I2979" s="135" t="n">
        <f aca="false">$G2979*'Analyse capacite'!$C$8</f>
        <v>0</v>
      </c>
      <c r="J2979" s="135" t="n">
        <f aca="false">$G2979*'Analyse capacite'!$D$8</f>
        <v>0</v>
      </c>
      <c r="K2979" s="135" t="n">
        <f aca="false">$G2979*'Analyse capacite'!$E$8</f>
        <v>0</v>
      </c>
    </row>
    <row r="2980" customFormat="false" ht="15" hidden="false" customHeight="false" outlineLevel="0" collapsed="false">
      <c r="B2980" s="130" t="n">
        <v>2027</v>
      </c>
      <c r="C2980" s="131" t="s">
        <v>248</v>
      </c>
      <c r="D2980" s="132" t="n">
        <v>46560</v>
      </c>
      <c r="E2980" s="131" t="s">
        <v>49</v>
      </c>
      <c r="F2980" s="133" t="s">
        <v>24</v>
      </c>
      <c r="G2980" s="134" t="n">
        <f aca="false">LEN('Saisie programme'!$E$114)+SUMIFS('Vols additionnels'!$E$7:$E$66,'Vols additionnels'!$C$7:$C$66,$E2980,'Vols additionnels'!$D$7:$D$66,$F2980,'Vols additionnels'!$B$7:$B$66,$D2980)</f>
        <v>0</v>
      </c>
      <c r="H2980" s="135" t="n">
        <f aca="false">$G2980*'Analyse capacite'!$F$9</f>
        <v>0</v>
      </c>
      <c r="I2980" s="135" t="n">
        <f aca="false">$G2980*'Analyse capacite'!$C$9</f>
        <v>0</v>
      </c>
      <c r="J2980" s="135" t="n">
        <f aca="false">$G2980*'Analyse capacite'!$D$9</f>
        <v>0</v>
      </c>
      <c r="K2980" s="135" t="n">
        <f aca="false">$G2980*'Analyse capacite'!$E$9</f>
        <v>0</v>
      </c>
    </row>
    <row r="2981" customFormat="false" ht="15" hidden="false" customHeight="false" outlineLevel="0" collapsed="false">
      <c r="B2981" s="130" t="n">
        <v>2027</v>
      </c>
      <c r="C2981" s="131" t="s">
        <v>248</v>
      </c>
      <c r="D2981" s="132" t="n">
        <v>46560</v>
      </c>
      <c r="E2981" s="131" t="s">
        <v>53</v>
      </c>
      <c r="F2981" s="133" t="s">
        <v>11</v>
      </c>
      <c r="G2981" s="134" t="n">
        <f aca="false">LEN('Saisie programme'!$E$115)+SUMIFS('Vols additionnels'!$E$7:$E$66,'Vols additionnels'!$C$7:$C$66,$E2981,'Vols additionnels'!$D$7:$D$66,$F2981,'Vols additionnels'!$B$7:$B$66,$D2981)</f>
        <v>0</v>
      </c>
      <c r="H2981" s="135" t="n">
        <f aca="false">$G2981*'Analyse capacite'!$F$7</f>
        <v>0</v>
      </c>
      <c r="I2981" s="135" t="n">
        <f aca="false">$G2981*'Analyse capacite'!$C$7</f>
        <v>0</v>
      </c>
      <c r="J2981" s="135" t="n">
        <f aca="false">$G2981*'Analyse capacite'!$D$7</f>
        <v>0</v>
      </c>
      <c r="K2981" s="135" t="n">
        <f aca="false">$G2981*'Analyse capacite'!$E$7</f>
        <v>0</v>
      </c>
    </row>
    <row r="2982" customFormat="false" ht="15" hidden="false" customHeight="false" outlineLevel="0" collapsed="false">
      <c r="B2982" s="130" t="n">
        <v>2027</v>
      </c>
      <c r="C2982" s="131" t="s">
        <v>248</v>
      </c>
      <c r="D2982" s="132" t="n">
        <v>46560</v>
      </c>
      <c r="E2982" s="131" t="s">
        <v>53</v>
      </c>
      <c r="F2982" s="133" t="s">
        <v>19</v>
      </c>
      <c r="G2982" s="134" t="n">
        <f aca="false">LEN('Saisie programme'!$E$116)+SUMIFS('Vols additionnels'!$E$7:$E$66,'Vols additionnels'!$C$7:$C$66,$E2982,'Vols additionnels'!$D$7:$D$66,$F2982,'Vols additionnels'!$B$7:$B$66,$D2982)</f>
        <v>0</v>
      </c>
      <c r="H2982" s="135" t="n">
        <f aca="false">$G2982*'Analyse capacite'!$F$8</f>
        <v>0</v>
      </c>
      <c r="I2982" s="135" t="n">
        <f aca="false">$G2982*'Analyse capacite'!$C$8</f>
        <v>0</v>
      </c>
      <c r="J2982" s="135" t="n">
        <f aca="false">$G2982*'Analyse capacite'!$D$8</f>
        <v>0</v>
      </c>
      <c r="K2982" s="135" t="n">
        <f aca="false">$G2982*'Analyse capacite'!$E$8</f>
        <v>0</v>
      </c>
    </row>
    <row r="2983" customFormat="false" ht="15" hidden="false" customHeight="false" outlineLevel="0" collapsed="false">
      <c r="B2983" s="130" t="n">
        <v>2027</v>
      </c>
      <c r="C2983" s="131" t="s">
        <v>248</v>
      </c>
      <c r="D2983" s="132" t="n">
        <v>46560</v>
      </c>
      <c r="E2983" s="131" t="s">
        <v>53</v>
      </c>
      <c r="F2983" s="133" t="s">
        <v>24</v>
      </c>
      <c r="G2983" s="134" t="n">
        <f aca="false">LEN('Saisie programme'!$E$117)+SUMIFS('Vols additionnels'!$E$7:$E$66,'Vols additionnels'!$C$7:$C$66,$E2983,'Vols additionnels'!$D$7:$D$66,$F2983,'Vols additionnels'!$B$7:$B$66,$D2983)</f>
        <v>0</v>
      </c>
      <c r="H2983" s="135" t="n">
        <f aca="false">$G2983*'Analyse capacite'!$F$9</f>
        <v>0</v>
      </c>
      <c r="I2983" s="135" t="n">
        <f aca="false">$G2983*'Analyse capacite'!$C$9</f>
        <v>0</v>
      </c>
      <c r="J2983" s="135" t="n">
        <f aca="false">$G2983*'Analyse capacite'!$D$9</f>
        <v>0</v>
      </c>
      <c r="K2983" s="135" t="n">
        <f aca="false">$G2983*'Analyse capacite'!$E$9</f>
        <v>0</v>
      </c>
    </row>
    <row r="2984" customFormat="false" ht="15" hidden="false" customHeight="false" outlineLevel="0" collapsed="false">
      <c r="B2984" s="130" t="n">
        <v>2027</v>
      </c>
      <c r="C2984" s="131" t="s">
        <v>248</v>
      </c>
      <c r="D2984" s="132" t="n">
        <v>46560</v>
      </c>
      <c r="E2984" s="131" t="s">
        <v>56</v>
      </c>
      <c r="F2984" s="133" t="s">
        <v>11</v>
      </c>
      <c r="G2984" s="134" t="n">
        <f aca="false">LEN('Saisie programme'!$E$118)+SUMIFS('Vols additionnels'!$E$7:$E$66,'Vols additionnels'!$C$7:$C$66,$E2984,'Vols additionnels'!$D$7:$D$66,$F2984,'Vols additionnels'!$B$7:$B$66,$D2984)</f>
        <v>0</v>
      </c>
      <c r="H2984" s="135" t="n">
        <f aca="false">$G2984*'Analyse capacite'!$F$7</f>
        <v>0</v>
      </c>
      <c r="I2984" s="135" t="n">
        <f aca="false">$G2984*'Analyse capacite'!$C$7</f>
        <v>0</v>
      </c>
      <c r="J2984" s="135" t="n">
        <f aca="false">$G2984*'Analyse capacite'!$D$7</f>
        <v>0</v>
      </c>
      <c r="K2984" s="135" t="n">
        <f aca="false">$G2984*'Analyse capacite'!$E$7</f>
        <v>0</v>
      </c>
    </row>
    <row r="2985" customFormat="false" ht="15" hidden="false" customHeight="false" outlineLevel="0" collapsed="false">
      <c r="B2985" s="130" t="n">
        <v>2027</v>
      </c>
      <c r="C2985" s="131" t="s">
        <v>248</v>
      </c>
      <c r="D2985" s="132" t="n">
        <v>46560</v>
      </c>
      <c r="E2985" s="131" t="s">
        <v>56</v>
      </c>
      <c r="F2985" s="133" t="s">
        <v>19</v>
      </c>
      <c r="G2985" s="134" t="n">
        <f aca="false">LEN('Saisie programme'!$E$119)+SUMIFS('Vols additionnels'!$E$7:$E$66,'Vols additionnels'!$C$7:$C$66,$E2985,'Vols additionnels'!$D$7:$D$66,$F2985,'Vols additionnels'!$B$7:$B$66,$D2985)</f>
        <v>0</v>
      </c>
      <c r="H2985" s="135" t="n">
        <f aca="false">$G2985*'Analyse capacite'!$F$8</f>
        <v>0</v>
      </c>
      <c r="I2985" s="135" t="n">
        <f aca="false">$G2985*'Analyse capacite'!$C$8</f>
        <v>0</v>
      </c>
      <c r="J2985" s="135" t="n">
        <f aca="false">$G2985*'Analyse capacite'!$D$8</f>
        <v>0</v>
      </c>
      <c r="K2985" s="135" t="n">
        <f aca="false">$G2985*'Analyse capacite'!$E$8</f>
        <v>0</v>
      </c>
    </row>
    <row r="2986" customFormat="false" ht="15" hidden="false" customHeight="false" outlineLevel="0" collapsed="false">
      <c r="B2986" s="130" t="n">
        <v>2027</v>
      </c>
      <c r="C2986" s="131" t="s">
        <v>248</v>
      </c>
      <c r="D2986" s="132" t="n">
        <v>46560</v>
      </c>
      <c r="E2986" s="131" t="s">
        <v>56</v>
      </c>
      <c r="F2986" s="133" t="s">
        <v>24</v>
      </c>
      <c r="G2986" s="134" t="n">
        <f aca="false">LEN('Saisie programme'!$E$120)+SUMIFS('Vols additionnels'!$E$7:$E$66,'Vols additionnels'!$C$7:$C$66,$E2986,'Vols additionnels'!$D$7:$D$66,$F2986,'Vols additionnels'!$B$7:$B$66,$D2986)</f>
        <v>1</v>
      </c>
      <c r="H2986" s="135" t="n">
        <f aca="false">$G2986*'Analyse capacite'!$F$9</f>
        <v>174</v>
      </c>
      <c r="I2986" s="135" t="n">
        <f aca="false">$G2986*'Analyse capacite'!$C$9</f>
        <v>0</v>
      </c>
      <c r="J2986" s="135" t="n">
        <f aca="false">$G2986*'Analyse capacite'!$D$9</f>
        <v>12</v>
      </c>
      <c r="K2986" s="135" t="n">
        <f aca="false">$G2986*'Analyse capacite'!$E$9</f>
        <v>162</v>
      </c>
    </row>
    <row r="2987" customFormat="false" ht="15" hidden="false" customHeight="false" outlineLevel="0" collapsed="false">
      <c r="B2987" s="130" t="n">
        <v>2027</v>
      </c>
      <c r="C2987" s="131" t="s">
        <v>248</v>
      </c>
      <c r="D2987" s="132" t="n">
        <v>46560</v>
      </c>
      <c r="E2987" s="131" t="s">
        <v>59</v>
      </c>
      <c r="F2987" s="133" t="s">
        <v>11</v>
      </c>
      <c r="G2987" s="134" t="n">
        <f aca="false">LEN('Saisie programme'!$E$121)+SUMIFS('Vols additionnels'!$E$7:$E$66,'Vols additionnels'!$C$7:$C$66,$E2987,'Vols additionnels'!$D$7:$D$66,$F2987,'Vols additionnels'!$B$7:$B$66,$D2987)</f>
        <v>0</v>
      </c>
      <c r="H2987" s="135" t="n">
        <f aca="false">$G2987*'Analyse capacite'!$F$7</f>
        <v>0</v>
      </c>
      <c r="I2987" s="135" t="n">
        <f aca="false">$G2987*'Analyse capacite'!$C$7</f>
        <v>0</v>
      </c>
      <c r="J2987" s="135" t="n">
        <f aca="false">$G2987*'Analyse capacite'!$D$7</f>
        <v>0</v>
      </c>
      <c r="K2987" s="135" t="n">
        <f aca="false">$G2987*'Analyse capacite'!$E$7</f>
        <v>0</v>
      </c>
    </row>
    <row r="2988" customFormat="false" ht="15" hidden="false" customHeight="false" outlineLevel="0" collapsed="false">
      <c r="B2988" s="130" t="n">
        <v>2027</v>
      </c>
      <c r="C2988" s="131" t="s">
        <v>248</v>
      </c>
      <c r="D2988" s="132" t="n">
        <v>46560</v>
      </c>
      <c r="E2988" s="131" t="s">
        <v>59</v>
      </c>
      <c r="F2988" s="133" t="s">
        <v>19</v>
      </c>
      <c r="G2988" s="134" t="n">
        <f aca="false">LEN('Saisie programme'!$E$122)+SUMIFS('Vols additionnels'!$E$7:$E$66,'Vols additionnels'!$C$7:$C$66,$E2988,'Vols additionnels'!$D$7:$D$66,$F2988,'Vols additionnels'!$B$7:$B$66,$D2988)</f>
        <v>0</v>
      </c>
      <c r="H2988" s="135" t="n">
        <f aca="false">$G2988*'Analyse capacite'!$F$8</f>
        <v>0</v>
      </c>
      <c r="I2988" s="135" t="n">
        <f aca="false">$G2988*'Analyse capacite'!$C$8</f>
        <v>0</v>
      </c>
      <c r="J2988" s="135" t="n">
        <f aca="false">$G2988*'Analyse capacite'!$D$8</f>
        <v>0</v>
      </c>
      <c r="K2988" s="135" t="n">
        <f aca="false">$G2988*'Analyse capacite'!$E$8</f>
        <v>0</v>
      </c>
    </row>
    <row r="2989" customFormat="false" ht="15" hidden="false" customHeight="false" outlineLevel="0" collapsed="false">
      <c r="B2989" s="130" t="n">
        <v>2027</v>
      </c>
      <c r="C2989" s="131" t="s">
        <v>248</v>
      </c>
      <c r="D2989" s="132" t="n">
        <v>46560</v>
      </c>
      <c r="E2989" s="131" t="s">
        <v>59</v>
      </c>
      <c r="F2989" s="133" t="s">
        <v>24</v>
      </c>
      <c r="G2989" s="134" t="n">
        <f aca="false">LEN('Saisie programme'!$E$123)+SUMIFS('Vols additionnels'!$E$7:$E$66,'Vols additionnels'!$C$7:$C$66,$E2989,'Vols additionnels'!$D$7:$D$66,$F2989,'Vols additionnels'!$B$7:$B$66,$D2989)</f>
        <v>1</v>
      </c>
      <c r="H2989" s="135" t="n">
        <f aca="false">$G2989*'Analyse capacite'!$F$9</f>
        <v>174</v>
      </c>
      <c r="I2989" s="135" t="n">
        <f aca="false">$G2989*'Analyse capacite'!$C$9</f>
        <v>0</v>
      </c>
      <c r="J2989" s="135" t="n">
        <f aca="false">$G2989*'Analyse capacite'!$D$9</f>
        <v>12</v>
      </c>
      <c r="K2989" s="135" t="n">
        <f aca="false">$G2989*'Analyse capacite'!$E$9</f>
        <v>162</v>
      </c>
    </row>
    <row r="2990" customFormat="false" ht="15" hidden="false" customHeight="false" outlineLevel="0" collapsed="false">
      <c r="B2990" s="130" t="n">
        <v>2027</v>
      </c>
      <c r="C2990" s="131" t="s">
        <v>248</v>
      </c>
      <c r="D2990" s="132" t="n">
        <v>46560</v>
      </c>
      <c r="E2990" s="131" t="s">
        <v>62</v>
      </c>
      <c r="F2990" s="133" t="s">
        <v>11</v>
      </c>
      <c r="G2990" s="134" t="n">
        <f aca="false">LEN('Saisie programme'!$E$124)+SUMIFS('Vols additionnels'!$E$7:$E$66,'Vols additionnels'!$C$7:$C$66,$E2990,'Vols additionnels'!$D$7:$D$66,$F2990,'Vols additionnels'!$B$7:$B$66,$D2990)</f>
        <v>0</v>
      </c>
      <c r="H2990" s="135" t="n">
        <f aca="false">$G2990*'Analyse capacite'!$F$7</f>
        <v>0</v>
      </c>
      <c r="I2990" s="135" t="n">
        <f aca="false">$G2990*'Analyse capacite'!$C$7</f>
        <v>0</v>
      </c>
      <c r="J2990" s="135" t="n">
        <f aca="false">$G2990*'Analyse capacite'!$D$7</f>
        <v>0</v>
      </c>
      <c r="K2990" s="135" t="n">
        <f aca="false">$G2990*'Analyse capacite'!$E$7</f>
        <v>0</v>
      </c>
    </row>
    <row r="2991" customFormat="false" ht="15" hidden="false" customHeight="false" outlineLevel="0" collapsed="false">
      <c r="B2991" s="130" t="n">
        <v>2027</v>
      </c>
      <c r="C2991" s="131" t="s">
        <v>248</v>
      </c>
      <c r="D2991" s="132" t="n">
        <v>46560</v>
      </c>
      <c r="E2991" s="131" t="s">
        <v>62</v>
      </c>
      <c r="F2991" s="133" t="s">
        <v>19</v>
      </c>
      <c r="G2991" s="134" t="n">
        <f aca="false">LEN('Saisie programme'!$E$125)+SUMIFS('Vols additionnels'!$E$7:$E$66,'Vols additionnels'!$C$7:$C$66,$E2991,'Vols additionnels'!$D$7:$D$66,$F2991,'Vols additionnels'!$B$7:$B$66,$D2991)</f>
        <v>0</v>
      </c>
      <c r="H2991" s="135" t="n">
        <f aca="false">$G2991*'Analyse capacite'!$F$8</f>
        <v>0</v>
      </c>
      <c r="I2991" s="135" t="n">
        <f aca="false">$G2991*'Analyse capacite'!$C$8</f>
        <v>0</v>
      </c>
      <c r="J2991" s="135" t="n">
        <f aca="false">$G2991*'Analyse capacite'!$D$8</f>
        <v>0</v>
      </c>
      <c r="K2991" s="135" t="n">
        <f aca="false">$G2991*'Analyse capacite'!$E$8</f>
        <v>0</v>
      </c>
    </row>
    <row r="2992" customFormat="false" ht="15" hidden="false" customHeight="false" outlineLevel="0" collapsed="false">
      <c r="B2992" s="130" t="n">
        <v>2027</v>
      </c>
      <c r="C2992" s="131" t="s">
        <v>248</v>
      </c>
      <c r="D2992" s="132" t="n">
        <v>46560</v>
      </c>
      <c r="E2992" s="131" t="s">
        <v>62</v>
      </c>
      <c r="F2992" s="133" t="s">
        <v>24</v>
      </c>
      <c r="G2992" s="134" t="n">
        <f aca="false">LEN('Saisie programme'!$E$126)+SUMIFS('Vols additionnels'!$E$7:$E$66,'Vols additionnels'!$C$7:$C$66,$E2992,'Vols additionnels'!$D$7:$D$66,$F2992,'Vols additionnels'!$B$7:$B$66,$D2992)</f>
        <v>0</v>
      </c>
      <c r="H2992" s="135" t="n">
        <f aca="false">$G2992*'Analyse capacite'!$F$9</f>
        <v>0</v>
      </c>
      <c r="I2992" s="135" t="n">
        <f aca="false">$G2992*'Analyse capacite'!$C$9</f>
        <v>0</v>
      </c>
      <c r="J2992" s="135" t="n">
        <f aca="false">$G2992*'Analyse capacite'!$D$9</f>
        <v>0</v>
      </c>
      <c r="K2992" s="135" t="n">
        <f aca="false">$G2992*'Analyse capacite'!$E$9</f>
        <v>0</v>
      </c>
    </row>
    <row r="2993" customFormat="false" ht="15" hidden="false" customHeight="false" outlineLevel="0" collapsed="false">
      <c r="B2993" s="130" t="n">
        <v>2027</v>
      </c>
      <c r="C2993" s="131" t="s">
        <v>248</v>
      </c>
      <c r="D2993" s="132" t="n">
        <v>46561</v>
      </c>
      <c r="E2993" s="131" t="s">
        <v>12</v>
      </c>
      <c r="F2993" s="133" t="s">
        <v>11</v>
      </c>
      <c r="G2993" s="134" t="n">
        <f aca="false">LEN('Saisie programme'!$F$91)+SUMIFS('Vols additionnels'!$E$7:$E$66,'Vols additionnels'!$C$7:$C$66,$E2993,'Vols additionnels'!$D$7:$D$66,$F2993,'Vols additionnels'!$B$7:$B$66,$D2993)</f>
        <v>1</v>
      </c>
      <c r="H2993" s="135" t="n">
        <f aca="false">$G2993*'Analyse capacite'!$F$7</f>
        <v>438</v>
      </c>
      <c r="I2993" s="135" t="n">
        <f aca="false">$G2993*'Analyse capacite'!$C$7</f>
        <v>14</v>
      </c>
      <c r="J2993" s="135" t="n">
        <f aca="false">$G2993*'Analyse capacite'!$D$7</f>
        <v>40</v>
      </c>
      <c r="K2993" s="135" t="n">
        <f aca="false">$G2993*'Analyse capacite'!$E$7</f>
        <v>384</v>
      </c>
    </row>
    <row r="2994" customFormat="false" ht="15" hidden="false" customHeight="false" outlineLevel="0" collapsed="false">
      <c r="B2994" s="130" t="n">
        <v>2027</v>
      </c>
      <c r="C2994" s="131" t="s">
        <v>248</v>
      </c>
      <c r="D2994" s="132" t="n">
        <v>46561</v>
      </c>
      <c r="E2994" s="131" t="s">
        <v>12</v>
      </c>
      <c r="F2994" s="133" t="s">
        <v>19</v>
      </c>
      <c r="G2994" s="134" t="n">
        <f aca="false">LEN('Saisie programme'!$F$92)+SUMIFS('Vols additionnels'!$E$7:$E$66,'Vols additionnels'!$C$7:$C$66,$E2994,'Vols additionnels'!$D$7:$D$66,$F2994,'Vols additionnels'!$B$7:$B$66,$D2994)</f>
        <v>0</v>
      </c>
      <c r="H2994" s="135" t="n">
        <f aca="false">$G2994*'Analyse capacite'!$F$8</f>
        <v>0</v>
      </c>
      <c r="I2994" s="135" t="n">
        <f aca="false">$G2994*'Analyse capacite'!$C$8</f>
        <v>0</v>
      </c>
      <c r="J2994" s="135" t="n">
        <f aca="false">$G2994*'Analyse capacite'!$D$8</f>
        <v>0</v>
      </c>
      <c r="K2994" s="135" t="n">
        <f aca="false">$G2994*'Analyse capacite'!$E$8</f>
        <v>0</v>
      </c>
    </row>
    <row r="2995" customFormat="false" ht="15" hidden="false" customHeight="false" outlineLevel="0" collapsed="false">
      <c r="B2995" s="130" t="n">
        <v>2027</v>
      </c>
      <c r="C2995" s="131" t="s">
        <v>248</v>
      </c>
      <c r="D2995" s="132" t="n">
        <v>46561</v>
      </c>
      <c r="E2995" s="131" t="s">
        <v>12</v>
      </c>
      <c r="F2995" s="133" t="s">
        <v>24</v>
      </c>
      <c r="G2995" s="134" t="n">
        <f aca="false">LEN('Saisie programme'!$F$93)+SUMIFS('Vols additionnels'!$E$7:$E$66,'Vols additionnels'!$C$7:$C$66,$E2995,'Vols additionnels'!$D$7:$D$66,$F2995,'Vols additionnels'!$B$7:$B$66,$D2995)</f>
        <v>0</v>
      </c>
      <c r="H2995" s="135" t="n">
        <f aca="false">$G2995*'Analyse capacite'!$F$9</f>
        <v>0</v>
      </c>
      <c r="I2995" s="135" t="n">
        <f aca="false">$G2995*'Analyse capacite'!$C$9</f>
        <v>0</v>
      </c>
      <c r="J2995" s="135" t="n">
        <f aca="false">$G2995*'Analyse capacite'!$D$9</f>
        <v>0</v>
      </c>
      <c r="K2995" s="135" t="n">
        <f aca="false">$G2995*'Analyse capacite'!$E$9</f>
        <v>0</v>
      </c>
    </row>
    <row r="2996" customFormat="false" ht="15" hidden="false" customHeight="false" outlineLevel="0" collapsed="false">
      <c r="B2996" s="130" t="n">
        <v>2027</v>
      </c>
      <c r="C2996" s="131" t="s">
        <v>248</v>
      </c>
      <c r="D2996" s="132" t="n">
        <v>46561</v>
      </c>
      <c r="E2996" s="131" t="s">
        <v>20</v>
      </c>
      <c r="F2996" s="133" t="s">
        <v>11</v>
      </c>
      <c r="G2996" s="134" t="n">
        <f aca="false">LEN('Saisie programme'!$F$94)+SUMIFS('Vols additionnels'!$E$7:$E$66,'Vols additionnels'!$C$7:$C$66,$E2996,'Vols additionnels'!$D$7:$D$66,$F2996,'Vols additionnels'!$B$7:$B$66,$D2996)</f>
        <v>0</v>
      </c>
      <c r="H2996" s="135" t="n">
        <f aca="false">$G2996*'Analyse capacite'!$F$7</f>
        <v>0</v>
      </c>
      <c r="I2996" s="135" t="n">
        <f aca="false">$G2996*'Analyse capacite'!$C$7</f>
        <v>0</v>
      </c>
      <c r="J2996" s="135" t="n">
        <f aca="false">$G2996*'Analyse capacite'!$D$7</f>
        <v>0</v>
      </c>
      <c r="K2996" s="135" t="n">
        <f aca="false">$G2996*'Analyse capacite'!$E$7</f>
        <v>0</v>
      </c>
    </row>
    <row r="2997" customFormat="false" ht="15" hidden="false" customHeight="false" outlineLevel="0" collapsed="false">
      <c r="B2997" s="130" t="n">
        <v>2027</v>
      </c>
      <c r="C2997" s="131" t="s">
        <v>248</v>
      </c>
      <c r="D2997" s="132" t="n">
        <v>46561</v>
      </c>
      <c r="E2997" s="131" t="s">
        <v>20</v>
      </c>
      <c r="F2997" s="133" t="s">
        <v>19</v>
      </c>
      <c r="G2997" s="134" t="n">
        <f aca="false">LEN('Saisie programme'!$F$95)+SUMIFS('Vols additionnels'!$E$7:$E$66,'Vols additionnels'!$C$7:$C$66,$E2997,'Vols additionnels'!$D$7:$D$66,$F2997,'Vols additionnels'!$B$7:$B$66,$D2997)</f>
        <v>0</v>
      </c>
      <c r="H2997" s="135" t="n">
        <f aca="false">$G2997*'Analyse capacite'!$F$8</f>
        <v>0</v>
      </c>
      <c r="I2997" s="135" t="n">
        <f aca="false">$G2997*'Analyse capacite'!$C$8</f>
        <v>0</v>
      </c>
      <c r="J2997" s="135" t="n">
        <f aca="false">$G2997*'Analyse capacite'!$D$8</f>
        <v>0</v>
      </c>
      <c r="K2997" s="135" t="n">
        <f aca="false">$G2997*'Analyse capacite'!$E$8</f>
        <v>0</v>
      </c>
    </row>
    <row r="2998" customFormat="false" ht="15" hidden="false" customHeight="false" outlineLevel="0" collapsed="false">
      <c r="B2998" s="130" t="n">
        <v>2027</v>
      </c>
      <c r="C2998" s="131" t="s">
        <v>248</v>
      </c>
      <c r="D2998" s="132" t="n">
        <v>46561</v>
      </c>
      <c r="E2998" s="131" t="s">
        <v>20</v>
      </c>
      <c r="F2998" s="133" t="s">
        <v>24</v>
      </c>
      <c r="G2998" s="134" t="n">
        <f aca="false">LEN('Saisie programme'!$F$96)+SUMIFS('Vols additionnels'!$E$7:$E$66,'Vols additionnels'!$C$7:$C$66,$E2998,'Vols additionnels'!$D$7:$D$66,$F2998,'Vols additionnels'!$B$7:$B$66,$D2998)</f>
        <v>0</v>
      </c>
      <c r="H2998" s="135" t="n">
        <f aca="false">$G2998*'Analyse capacite'!$F$9</f>
        <v>0</v>
      </c>
      <c r="I2998" s="135" t="n">
        <f aca="false">$G2998*'Analyse capacite'!$C$9</f>
        <v>0</v>
      </c>
      <c r="J2998" s="135" t="n">
        <f aca="false">$G2998*'Analyse capacite'!$D$9</f>
        <v>0</v>
      </c>
      <c r="K2998" s="135" t="n">
        <f aca="false">$G2998*'Analyse capacite'!$E$9</f>
        <v>0</v>
      </c>
    </row>
    <row r="2999" customFormat="false" ht="15" hidden="false" customHeight="false" outlineLevel="0" collapsed="false">
      <c r="B2999" s="130" t="n">
        <v>2027</v>
      </c>
      <c r="C2999" s="131" t="s">
        <v>248</v>
      </c>
      <c r="D2999" s="132" t="n">
        <v>46561</v>
      </c>
      <c r="E2999" s="131" t="s">
        <v>25</v>
      </c>
      <c r="F2999" s="133" t="s">
        <v>11</v>
      </c>
      <c r="G2999" s="134" t="n">
        <f aca="false">LEN('Saisie programme'!$F$97)+SUMIFS('Vols additionnels'!$E$7:$E$66,'Vols additionnels'!$C$7:$C$66,$E2999,'Vols additionnels'!$D$7:$D$66,$F2999,'Vols additionnels'!$B$7:$B$66,$D2999)</f>
        <v>0</v>
      </c>
      <c r="H2999" s="135" t="n">
        <f aca="false">$G2999*'Analyse capacite'!$F$7</f>
        <v>0</v>
      </c>
      <c r="I2999" s="135" t="n">
        <f aca="false">$G2999*'Analyse capacite'!$C$7</f>
        <v>0</v>
      </c>
      <c r="J2999" s="135" t="n">
        <f aca="false">$G2999*'Analyse capacite'!$D$7</f>
        <v>0</v>
      </c>
      <c r="K2999" s="135" t="n">
        <f aca="false">$G2999*'Analyse capacite'!$E$7</f>
        <v>0</v>
      </c>
    </row>
    <row r="3000" customFormat="false" ht="15" hidden="false" customHeight="false" outlineLevel="0" collapsed="false">
      <c r="B3000" s="130" t="n">
        <v>2027</v>
      </c>
      <c r="C3000" s="131" t="s">
        <v>248</v>
      </c>
      <c r="D3000" s="132" t="n">
        <v>46561</v>
      </c>
      <c r="E3000" s="131" t="s">
        <v>25</v>
      </c>
      <c r="F3000" s="133" t="s">
        <v>19</v>
      </c>
      <c r="G3000" s="134" t="n">
        <f aca="false">LEN('Saisie programme'!$F$98)+SUMIFS('Vols additionnels'!$E$7:$E$66,'Vols additionnels'!$C$7:$C$66,$E3000,'Vols additionnels'!$D$7:$D$66,$F3000,'Vols additionnels'!$B$7:$B$66,$D3000)</f>
        <v>1</v>
      </c>
      <c r="H3000" s="135" t="n">
        <f aca="false">$G3000*'Analyse capacite'!$F$8</f>
        <v>262</v>
      </c>
      <c r="I3000" s="135" t="n">
        <f aca="false">$G3000*'Analyse capacite'!$C$8</f>
        <v>18</v>
      </c>
      <c r="J3000" s="135" t="n">
        <f aca="false">$G3000*'Analyse capacite'!$D$8</f>
        <v>0</v>
      </c>
      <c r="K3000" s="135" t="n">
        <f aca="false">$G3000*'Analyse capacite'!$E$8</f>
        <v>244</v>
      </c>
    </row>
    <row r="3001" customFormat="false" ht="15" hidden="false" customHeight="false" outlineLevel="0" collapsed="false">
      <c r="B3001" s="130" t="n">
        <v>2027</v>
      </c>
      <c r="C3001" s="131" t="s">
        <v>248</v>
      </c>
      <c r="D3001" s="132" t="n">
        <v>46561</v>
      </c>
      <c r="E3001" s="131" t="s">
        <v>25</v>
      </c>
      <c r="F3001" s="133" t="s">
        <v>24</v>
      </c>
      <c r="G3001" s="134" t="n">
        <f aca="false">LEN('Saisie programme'!$F$99)+SUMIFS('Vols additionnels'!$E$7:$E$66,'Vols additionnels'!$C$7:$C$66,$E3001,'Vols additionnels'!$D$7:$D$66,$F3001,'Vols additionnels'!$B$7:$B$66,$D3001)</f>
        <v>0</v>
      </c>
      <c r="H3001" s="135" t="n">
        <f aca="false">$G3001*'Analyse capacite'!$F$9</f>
        <v>0</v>
      </c>
      <c r="I3001" s="135" t="n">
        <f aca="false">$G3001*'Analyse capacite'!$C$9</f>
        <v>0</v>
      </c>
      <c r="J3001" s="135" t="n">
        <f aca="false">$G3001*'Analyse capacite'!$D$9</f>
        <v>0</v>
      </c>
      <c r="K3001" s="135" t="n">
        <f aca="false">$G3001*'Analyse capacite'!$E$9</f>
        <v>0</v>
      </c>
    </row>
    <row r="3002" customFormat="false" ht="15" hidden="false" customHeight="false" outlineLevel="0" collapsed="false">
      <c r="B3002" s="130" t="n">
        <v>2027</v>
      </c>
      <c r="C3002" s="131" t="s">
        <v>248</v>
      </c>
      <c r="D3002" s="132" t="n">
        <v>46561</v>
      </c>
      <c r="E3002" s="131" t="s">
        <v>36</v>
      </c>
      <c r="F3002" s="133" t="s">
        <v>11</v>
      </c>
      <c r="G3002" s="134" t="n">
        <f aca="false">LEN('Saisie programme'!$F$100)+SUMIFS('Vols additionnels'!$E$7:$E$66,'Vols additionnels'!$C$7:$C$66,$E3002,'Vols additionnels'!$D$7:$D$66,$F3002,'Vols additionnels'!$B$7:$B$66,$D3002)</f>
        <v>0</v>
      </c>
      <c r="H3002" s="135" t="n">
        <f aca="false">$G3002*'Analyse capacite'!$F$7</f>
        <v>0</v>
      </c>
      <c r="I3002" s="135" t="n">
        <f aca="false">$G3002*'Analyse capacite'!$C$7</f>
        <v>0</v>
      </c>
      <c r="J3002" s="135" t="n">
        <f aca="false">$G3002*'Analyse capacite'!$D$7</f>
        <v>0</v>
      </c>
      <c r="K3002" s="135" t="n">
        <f aca="false">$G3002*'Analyse capacite'!$E$7</f>
        <v>0</v>
      </c>
    </row>
    <row r="3003" customFormat="false" ht="15" hidden="false" customHeight="false" outlineLevel="0" collapsed="false">
      <c r="B3003" s="130" t="n">
        <v>2027</v>
      </c>
      <c r="C3003" s="131" t="s">
        <v>248</v>
      </c>
      <c r="D3003" s="132" t="n">
        <v>46561</v>
      </c>
      <c r="E3003" s="131" t="s">
        <v>36</v>
      </c>
      <c r="F3003" s="133" t="s">
        <v>19</v>
      </c>
      <c r="G3003" s="134" t="n">
        <f aca="false">LEN('Saisie programme'!$F$101)+SUMIFS('Vols additionnels'!$E$7:$E$66,'Vols additionnels'!$C$7:$C$66,$E3003,'Vols additionnels'!$D$7:$D$66,$F3003,'Vols additionnels'!$B$7:$B$66,$D3003)</f>
        <v>1</v>
      </c>
      <c r="H3003" s="135" t="n">
        <f aca="false">$G3003*'Analyse capacite'!$F$8</f>
        <v>262</v>
      </c>
      <c r="I3003" s="135" t="n">
        <f aca="false">$G3003*'Analyse capacite'!$C$8</f>
        <v>18</v>
      </c>
      <c r="J3003" s="135" t="n">
        <f aca="false">$G3003*'Analyse capacite'!$D$8</f>
        <v>0</v>
      </c>
      <c r="K3003" s="135" t="n">
        <f aca="false">$G3003*'Analyse capacite'!$E$8</f>
        <v>244</v>
      </c>
    </row>
    <row r="3004" customFormat="false" ht="15" hidden="false" customHeight="false" outlineLevel="0" collapsed="false">
      <c r="B3004" s="130" t="n">
        <v>2027</v>
      </c>
      <c r="C3004" s="131" t="s">
        <v>248</v>
      </c>
      <c r="D3004" s="132" t="n">
        <v>46561</v>
      </c>
      <c r="E3004" s="131" t="s">
        <v>36</v>
      </c>
      <c r="F3004" s="133" t="s">
        <v>24</v>
      </c>
      <c r="G3004" s="134" t="n">
        <f aca="false">LEN('Saisie programme'!$F$102)+SUMIFS('Vols additionnels'!$E$7:$E$66,'Vols additionnels'!$C$7:$C$66,$E3004,'Vols additionnels'!$D$7:$D$66,$F3004,'Vols additionnels'!$B$7:$B$66,$D3004)</f>
        <v>1</v>
      </c>
      <c r="H3004" s="135" t="n">
        <f aca="false">$G3004*'Analyse capacite'!$F$9</f>
        <v>174</v>
      </c>
      <c r="I3004" s="135" t="n">
        <f aca="false">$G3004*'Analyse capacite'!$C$9</f>
        <v>0</v>
      </c>
      <c r="J3004" s="135" t="n">
        <f aca="false">$G3004*'Analyse capacite'!$D$9</f>
        <v>12</v>
      </c>
      <c r="K3004" s="135" t="n">
        <f aca="false">$G3004*'Analyse capacite'!$E$9</f>
        <v>162</v>
      </c>
    </row>
    <row r="3005" customFormat="false" ht="15" hidden="false" customHeight="false" outlineLevel="0" collapsed="false">
      <c r="B3005" s="130" t="n">
        <v>2027</v>
      </c>
      <c r="C3005" s="131" t="s">
        <v>248</v>
      </c>
      <c r="D3005" s="132" t="n">
        <v>46561</v>
      </c>
      <c r="E3005" s="131" t="s">
        <v>40</v>
      </c>
      <c r="F3005" s="133" t="s">
        <v>11</v>
      </c>
      <c r="G3005" s="134" t="n">
        <f aca="false">LEN('Saisie programme'!$F$103)+SUMIFS('Vols additionnels'!$E$7:$E$66,'Vols additionnels'!$C$7:$C$66,$E3005,'Vols additionnels'!$D$7:$D$66,$F3005,'Vols additionnels'!$B$7:$B$66,$D3005)</f>
        <v>0</v>
      </c>
      <c r="H3005" s="135" t="n">
        <f aca="false">$G3005*'Analyse capacite'!$F$7</f>
        <v>0</v>
      </c>
      <c r="I3005" s="135" t="n">
        <f aca="false">$G3005*'Analyse capacite'!$C$7</f>
        <v>0</v>
      </c>
      <c r="J3005" s="135" t="n">
        <f aca="false">$G3005*'Analyse capacite'!$D$7</f>
        <v>0</v>
      </c>
      <c r="K3005" s="135" t="n">
        <f aca="false">$G3005*'Analyse capacite'!$E$7</f>
        <v>0</v>
      </c>
    </row>
    <row r="3006" customFormat="false" ht="15" hidden="false" customHeight="false" outlineLevel="0" collapsed="false">
      <c r="B3006" s="130" t="n">
        <v>2027</v>
      </c>
      <c r="C3006" s="131" t="s">
        <v>248</v>
      </c>
      <c r="D3006" s="132" t="n">
        <v>46561</v>
      </c>
      <c r="E3006" s="131" t="s">
        <v>40</v>
      </c>
      <c r="F3006" s="133" t="s">
        <v>19</v>
      </c>
      <c r="G3006" s="134" t="n">
        <f aca="false">LEN('Saisie programme'!$F$104)+SUMIFS('Vols additionnels'!$E$7:$E$66,'Vols additionnels'!$C$7:$C$66,$E3006,'Vols additionnels'!$D$7:$D$66,$F3006,'Vols additionnels'!$B$7:$B$66,$D3006)</f>
        <v>0</v>
      </c>
      <c r="H3006" s="135" t="n">
        <f aca="false">$G3006*'Analyse capacite'!$F$8</f>
        <v>0</v>
      </c>
      <c r="I3006" s="135" t="n">
        <f aca="false">$G3006*'Analyse capacite'!$C$8</f>
        <v>0</v>
      </c>
      <c r="J3006" s="135" t="n">
        <f aca="false">$G3006*'Analyse capacite'!$D$8</f>
        <v>0</v>
      </c>
      <c r="K3006" s="135" t="n">
        <f aca="false">$G3006*'Analyse capacite'!$E$8</f>
        <v>0</v>
      </c>
    </row>
    <row r="3007" customFormat="false" ht="15" hidden="false" customHeight="false" outlineLevel="0" collapsed="false">
      <c r="B3007" s="130" t="n">
        <v>2027</v>
      </c>
      <c r="C3007" s="131" t="s">
        <v>248</v>
      </c>
      <c r="D3007" s="132" t="n">
        <v>46561</v>
      </c>
      <c r="E3007" s="131" t="s">
        <v>40</v>
      </c>
      <c r="F3007" s="133" t="s">
        <v>24</v>
      </c>
      <c r="G3007" s="134" t="n">
        <f aca="false">LEN('Saisie programme'!$F$105)+SUMIFS('Vols additionnels'!$E$7:$E$66,'Vols additionnels'!$C$7:$C$66,$E3007,'Vols additionnels'!$D$7:$D$66,$F3007,'Vols additionnels'!$B$7:$B$66,$D3007)</f>
        <v>1</v>
      </c>
      <c r="H3007" s="135" t="n">
        <f aca="false">$G3007*'Analyse capacite'!$F$9</f>
        <v>174</v>
      </c>
      <c r="I3007" s="135" t="n">
        <f aca="false">$G3007*'Analyse capacite'!$C$9</f>
        <v>0</v>
      </c>
      <c r="J3007" s="135" t="n">
        <f aca="false">$G3007*'Analyse capacite'!$D$9</f>
        <v>12</v>
      </c>
      <c r="K3007" s="135" t="n">
        <f aca="false">$G3007*'Analyse capacite'!$E$9</f>
        <v>162</v>
      </c>
    </row>
    <row r="3008" customFormat="false" ht="15" hidden="false" customHeight="false" outlineLevel="0" collapsed="false">
      <c r="B3008" s="130" t="n">
        <v>2027</v>
      </c>
      <c r="C3008" s="131" t="s">
        <v>248</v>
      </c>
      <c r="D3008" s="132" t="n">
        <v>46561</v>
      </c>
      <c r="E3008" s="131" t="s">
        <v>14</v>
      </c>
      <c r="F3008" s="133" t="s">
        <v>11</v>
      </c>
      <c r="G3008" s="134" t="n">
        <f aca="false">LEN('Saisie programme'!$F$106)+SUMIFS('Vols additionnels'!$E$7:$E$66,'Vols additionnels'!$C$7:$C$66,$E3008,'Vols additionnels'!$D$7:$D$66,$F3008,'Vols additionnels'!$B$7:$B$66,$D3008)</f>
        <v>0</v>
      </c>
      <c r="H3008" s="135" t="n">
        <f aca="false">$G3008*'Analyse capacite'!$F$7</f>
        <v>0</v>
      </c>
      <c r="I3008" s="135" t="n">
        <f aca="false">$G3008*'Analyse capacite'!$C$7</f>
        <v>0</v>
      </c>
      <c r="J3008" s="135" t="n">
        <f aca="false">$G3008*'Analyse capacite'!$D$7</f>
        <v>0</v>
      </c>
      <c r="K3008" s="135" t="n">
        <f aca="false">$G3008*'Analyse capacite'!$E$7</f>
        <v>0</v>
      </c>
    </row>
    <row r="3009" customFormat="false" ht="15" hidden="false" customHeight="false" outlineLevel="0" collapsed="false">
      <c r="B3009" s="130" t="n">
        <v>2027</v>
      </c>
      <c r="C3009" s="131" t="s">
        <v>248</v>
      </c>
      <c r="D3009" s="132" t="n">
        <v>46561</v>
      </c>
      <c r="E3009" s="131" t="s">
        <v>14</v>
      </c>
      <c r="F3009" s="133" t="s">
        <v>19</v>
      </c>
      <c r="G3009" s="134" t="n">
        <f aca="false">LEN('Saisie programme'!$F$107)+SUMIFS('Vols additionnels'!$E$7:$E$66,'Vols additionnels'!$C$7:$C$66,$E3009,'Vols additionnels'!$D$7:$D$66,$F3009,'Vols additionnels'!$B$7:$B$66,$D3009)</f>
        <v>0</v>
      </c>
      <c r="H3009" s="135" t="n">
        <f aca="false">$G3009*'Analyse capacite'!$F$8</f>
        <v>0</v>
      </c>
      <c r="I3009" s="135" t="n">
        <f aca="false">$G3009*'Analyse capacite'!$C$8</f>
        <v>0</v>
      </c>
      <c r="J3009" s="135" t="n">
        <f aca="false">$G3009*'Analyse capacite'!$D$8</f>
        <v>0</v>
      </c>
      <c r="K3009" s="135" t="n">
        <f aca="false">$G3009*'Analyse capacite'!$E$8</f>
        <v>0</v>
      </c>
    </row>
    <row r="3010" customFormat="false" ht="15" hidden="false" customHeight="false" outlineLevel="0" collapsed="false">
      <c r="B3010" s="130" t="n">
        <v>2027</v>
      </c>
      <c r="C3010" s="131" t="s">
        <v>248</v>
      </c>
      <c r="D3010" s="132" t="n">
        <v>46561</v>
      </c>
      <c r="E3010" s="131" t="s">
        <v>14</v>
      </c>
      <c r="F3010" s="133" t="s">
        <v>24</v>
      </c>
      <c r="G3010" s="134" t="n">
        <f aca="false">LEN('Saisie programme'!$F$108)+SUMIFS('Vols additionnels'!$E$7:$E$66,'Vols additionnels'!$C$7:$C$66,$E3010,'Vols additionnels'!$D$7:$D$66,$F3010,'Vols additionnels'!$B$7:$B$66,$D3010)</f>
        <v>0</v>
      </c>
      <c r="H3010" s="135" t="n">
        <f aca="false">$G3010*'Analyse capacite'!$F$9</f>
        <v>0</v>
      </c>
      <c r="I3010" s="135" t="n">
        <f aca="false">$G3010*'Analyse capacite'!$C$9</f>
        <v>0</v>
      </c>
      <c r="J3010" s="135" t="n">
        <f aca="false">$G3010*'Analyse capacite'!$D$9</f>
        <v>0</v>
      </c>
      <c r="K3010" s="135" t="n">
        <f aca="false">$G3010*'Analyse capacite'!$E$9</f>
        <v>0</v>
      </c>
    </row>
    <row r="3011" customFormat="false" ht="15" hidden="false" customHeight="false" outlineLevel="0" collapsed="false">
      <c r="B3011" s="130" t="n">
        <v>2027</v>
      </c>
      <c r="C3011" s="131" t="s">
        <v>248</v>
      </c>
      <c r="D3011" s="132" t="n">
        <v>46561</v>
      </c>
      <c r="E3011" s="131" t="s">
        <v>46</v>
      </c>
      <c r="F3011" s="133" t="s">
        <v>11</v>
      </c>
      <c r="G3011" s="134" t="n">
        <f aca="false">LEN('Saisie programme'!$F$109)+SUMIFS('Vols additionnels'!$E$7:$E$66,'Vols additionnels'!$C$7:$C$66,$E3011,'Vols additionnels'!$D$7:$D$66,$F3011,'Vols additionnels'!$B$7:$B$66,$D3011)</f>
        <v>0</v>
      </c>
      <c r="H3011" s="135" t="n">
        <f aca="false">$G3011*'Analyse capacite'!$F$7</f>
        <v>0</v>
      </c>
      <c r="I3011" s="135" t="n">
        <f aca="false">$G3011*'Analyse capacite'!$C$7</f>
        <v>0</v>
      </c>
      <c r="J3011" s="135" t="n">
        <f aca="false">$G3011*'Analyse capacite'!$D$7</f>
        <v>0</v>
      </c>
      <c r="K3011" s="135" t="n">
        <f aca="false">$G3011*'Analyse capacite'!$E$7</f>
        <v>0</v>
      </c>
    </row>
    <row r="3012" customFormat="false" ht="15" hidden="false" customHeight="false" outlineLevel="0" collapsed="false">
      <c r="B3012" s="130" t="n">
        <v>2027</v>
      </c>
      <c r="C3012" s="131" t="s">
        <v>248</v>
      </c>
      <c r="D3012" s="132" t="n">
        <v>46561</v>
      </c>
      <c r="E3012" s="131" t="s">
        <v>46</v>
      </c>
      <c r="F3012" s="133" t="s">
        <v>19</v>
      </c>
      <c r="G3012" s="134" t="n">
        <f aca="false">LEN('Saisie programme'!$F$110)+SUMIFS('Vols additionnels'!$E$7:$E$66,'Vols additionnels'!$C$7:$C$66,$E3012,'Vols additionnels'!$D$7:$D$66,$F3012,'Vols additionnels'!$B$7:$B$66,$D3012)</f>
        <v>0</v>
      </c>
      <c r="H3012" s="135" t="n">
        <f aca="false">$G3012*'Analyse capacite'!$F$8</f>
        <v>0</v>
      </c>
      <c r="I3012" s="135" t="n">
        <f aca="false">$G3012*'Analyse capacite'!$C$8</f>
        <v>0</v>
      </c>
      <c r="J3012" s="135" t="n">
        <f aca="false">$G3012*'Analyse capacite'!$D$8</f>
        <v>0</v>
      </c>
      <c r="K3012" s="135" t="n">
        <f aca="false">$G3012*'Analyse capacite'!$E$8</f>
        <v>0</v>
      </c>
    </row>
    <row r="3013" customFormat="false" ht="15" hidden="false" customHeight="false" outlineLevel="0" collapsed="false">
      <c r="B3013" s="130" t="n">
        <v>2027</v>
      </c>
      <c r="C3013" s="131" t="s">
        <v>248</v>
      </c>
      <c r="D3013" s="132" t="n">
        <v>46561</v>
      </c>
      <c r="E3013" s="131" t="s">
        <v>46</v>
      </c>
      <c r="F3013" s="133" t="s">
        <v>24</v>
      </c>
      <c r="G3013" s="134" t="n">
        <f aca="false">LEN('Saisie programme'!$F$111)+SUMIFS('Vols additionnels'!$E$7:$E$66,'Vols additionnels'!$C$7:$C$66,$E3013,'Vols additionnels'!$D$7:$D$66,$F3013,'Vols additionnels'!$B$7:$B$66,$D3013)</f>
        <v>0</v>
      </c>
      <c r="H3013" s="135" t="n">
        <f aca="false">$G3013*'Analyse capacite'!$F$9</f>
        <v>0</v>
      </c>
      <c r="I3013" s="135" t="n">
        <f aca="false">$G3013*'Analyse capacite'!$C$9</f>
        <v>0</v>
      </c>
      <c r="J3013" s="135" t="n">
        <f aca="false">$G3013*'Analyse capacite'!$D$9</f>
        <v>0</v>
      </c>
      <c r="K3013" s="135" t="n">
        <f aca="false">$G3013*'Analyse capacite'!$E$9</f>
        <v>0</v>
      </c>
    </row>
    <row r="3014" customFormat="false" ht="15" hidden="false" customHeight="false" outlineLevel="0" collapsed="false">
      <c r="B3014" s="130" t="n">
        <v>2027</v>
      </c>
      <c r="C3014" s="131" t="s">
        <v>248</v>
      </c>
      <c r="D3014" s="132" t="n">
        <v>46561</v>
      </c>
      <c r="E3014" s="131" t="s">
        <v>49</v>
      </c>
      <c r="F3014" s="133" t="s">
        <v>11</v>
      </c>
      <c r="G3014" s="134" t="n">
        <f aca="false">LEN('Saisie programme'!$F$112)+SUMIFS('Vols additionnels'!$E$7:$E$66,'Vols additionnels'!$C$7:$C$66,$E3014,'Vols additionnels'!$D$7:$D$66,$F3014,'Vols additionnels'!$B$7:$B$66,$D3014)</f>
        <v>0</v>
      </c>
      <c r="H3014" s="135" t="n">
        <f aca="false">$G3014*'Analyse capacite'!$F$7</f>
        <v>0</v>
      </c>
      <c r="I3014" s="135" t="n">
        <f aca="false">$G3014*'Analyse capacite'!$C$7</f>
        <v>0</v>
      </c>
      <c r="J3014" s="135" t="n">
        <f aca="false">$G3014*'Analyse capacite'!$D$7</f>
        <v>0</v>
      </c>
      <c r="K3014" s="135" t="n">
        <f aca="false">$G3014*'Analyse capacite'!$E$7</f>
        <v>0</v>
      </c>
    </row>
    <row r="3015" customFormat="false" ht="15" hidden="false" customHeight="false" outlineLevel="0" collapsed="false">
      <c r="B3015" s="130" t="n">
        <v>2027</v>
      </c>
      <c r="C3015" s="131" t="s">
        <v>248</v>
      </c>
      <c r="D3015" s="132" t="n">
        <v>46561</v>
      </c>
      <c r="E3015" s="131" t="s">
        <v>49</v>
      </c>
      <c r="F3015" s="133" t="s">
        <v>19</v>
      </c>
      <c r="G3015" s="134" t="n">
        <f aca="false">LEN('Saisie programme'!$F$113)+SUMIFS('Vols additionnels'!$E$7:$E$66,'Vols additionnels'!$C$7:$C$66,$E3015,'Vols additionnels'!$D$7:$D$66,$F3015,'Vols additionnels'!$B$7:$B$66,$D3015)</f>
        <v>0</v>
      </c>
      <c r="H3015" s="135" t="n">
        <f aca="false">$G3015*'Analyse capacite'!$F$8</f>
        <v>0</v>
      </c>
      <c r="I3015" s="135" t="n">
        <f aca="false">$G3015*'Analyse capacite'!$C$8</f>
        <v>0</v>
      </c>
      <c r="J3015" s="135" t="n">
        <f aca="false">$G3015*'Analyse capacite'!$D$8</f>
        <v>0</v>
      </c>
      <c r="K3015" s="135" t="n">
        <f aca="false">$G3015*'Analyse capacite'!$E$8</f>
        <v>0</v>
      </c>
    </row>
    <row r="3016" customFormat="false" ht="15" hidden="false" customHeight="false" outlineLevel="0" collapsed="false">
      <c r="B3016" s="130" t="n">
        <v>2027</v>
      </c>
      <c r="C3016" s="131" t="s">
        <v>248</v>
      </c>
      <c r="D3016" s="132" t="n">
        <v>46561</v>
      </c>
      <c r="E3016" s="131" t="s">
        <v>49</v>
      </c>
      <c r="F3016" s="133" t="s">
        <v>24</v>
      </c>
      <c r="G3016" s="134" t="n">
        <f aca="false">LEN('Saisie programme'!$F$114)+SUMIFS('Vols additionnels'!$E$7:$E$66,'Vols additionnels'!$C$7:$C$66,$E3016,'Vols additionnels'!$D$7:$D$66,$F3016,'Vols additionnels'!$B$7:$B$66,$D3016)</f>
        <v>0</v>
      </c>
      <c r="H3016" s="135" t="n">
        <f aca="false">$G3016*'Analyse capacite'!$F$9</f>
        <v>0</v>
      </c>
      <c r="I3016" s="135" t="n">
        <f aca="false">$G3016*'Analyse capacite'!$C$9</f>
        <v>0</v>
      </c>
      <c r="J3016" s="135" t="n">
        <f aca="false">$G3016*'Analyse capacite'!$D$9</f>
        <v>0</v>
      </c>
      <c r="K3016" s="135" t="n">
        <f aca="false">$G3016*'Analyse capacite'!$E$9</f>
        <v>0</v>
      </c>
    </row>
    <row r="3017" customFormat="false" ht="15" hidden="false" customHeight="false" outlineLevel="0" collapsed="false">
      <c r="B3017" s="130" t="n">
        <v>2027</v>
      </c>
      <c r="C3017" s="131" t="s">
        <v>248</v>
      </c>
      <c r="D3017" s="132" t="n">
        <v>46561</v>
      </c>
      <c r="E3017" s="131" t="s">
        <v>53</v>
      </c>
      <c r="F3017" s="133" t="s">
        <v>11</v>
      </c>
      <c r="G3017" s="134" t="n">
        <f aca="false">LEN('Saisie programme'!$F$115)+SUMIFS('Vols additionnels'!$E$7:$E$66,'Vols additionnels'!$C$7:$C$66,$E3017,'Vols additionnels'!$D$7:$D$66,$F3017,'Vols additionnels'!$B$7:$B$66,$D3017)</f>
        <v>0</v>
      </c>
      <c r="H3017" s="135" t="n">
        <f aca="false">$G3017*'Analyse capacite'!$F$7</f>
        <v>0</v>
      </c>
      <c r="I3017" s="135" t="n">
        <f aca="false">$G3017*'Analyse capacite'!$C$7</f>
        <v>0</v>
      </c>
      <c r="J3017" s="135" t="n">
        <f aca="false">$G3017*'Analyse capacite'!$D$7</f>
        <v>0</v>
      </c>
      <c r="K3017" s="135" t="n">
        <f aca="false">$G3017*'Analyse capacite'!$E$7</f>
        <v>0</v>
      </c>
    </row>
    <row r="3018" customFormat="false" ht="15" hidden="false" customHeight="false" outlineLevel="0" collapsed="false">
      <c r="B3018" s="130" t="n">
        <v>2027</v>
      </c>
      <c r="C3018" s="131" t="s">
        <v>248</v>
      </c>
      <c r="D3018" s="132" t="n">
        <v>46561</v>
      </c>
      <c r="E3018" s="131" t="s">
        <v>53</v>
      </c>
      <c r="F3018" s="133" t="s">
        <v>19</v>
      </c>
      <c r="G3018" s="134" t="n">
        <f aca="false">LEN('Saisie programme'!$F$116)+SUMIFS('Vols additionnels'!$E$7:$E$66,'Vols additionnels'!$C$7:$C$66,$E3018,'Vols additionnels'!$D$7:$D$66,$F3018,'Vols additionnels'!$B$7:$B$66,$D3018)</f>
        <v>0</v>
      </c>
      <c r="H3018" s="135" t="n">
        <f aca="false">$G3018*'Analyse capacite'!$F$8</f>
        <v>0</v>
      </c>
      <c r="I3018" s="135" t="n">
        <f aca="false">$G3018*'Analyse capacite'!$C$8</f>
        <v>0</v>
      </c>
      <c r="J3018" s="135" t="n">
        <f aca="false">$G3018*'Analyse capacite'!$D$8</f>
        <v>0</v>
      </c>
      <c r="K3018" s="135" t="n">
        <f aca="false">$G3018*'Analyse capacite'!$E$8</f>
        <v>0</v>
      </c>
    </row>
    <row r="3019" customFormat="false" ht="15" hidden="false" customHeight="false" outlineLevel="0" collapsed="false">
      <c r="B3019" s="130" t="n">
        <v>2027</v>
      </c>
      <c r="C3019" s="131" t="s">
        <v>248</v>
      </c>
      <c r="D3019" s="132" t="n">
        <v>46561</v>
      </c>
      <c r="E3019" s="131" t="s">
        <v>53</v>
      </c>
      <c r="F3019" s="133" t="s">
        <v>24</v>
      </c>
      <c r="G3019" s="134" t="n">
        <f aca="false">LEN('Saisie programme'!$F$117)+SUMIFS('Vols additionnels'!$E$7:$E$66,'Vols additionnels'!$C$7:$C$66,$E3019,'Vols additionnels'!$D$7:$D$66,$F3019,'Vols additionnels'!$B$7:$B$66,$D3019)</f>
        <v>0</v>
      </c>
      <c r="H3019" s="135" t="n">
        <f aca="false">$G3019*'Analyse capacite'!$F$9</f>
        <v>0</v>
      </c>
      <c r="I3019" s="135" t="n">
        <f aca="false">$G3019*'Analyse capacite'!$C$9</f>
        <v>0</v>
      </c>
      <c r="J3019" s="135" t="n">
        <f aca="false">$G3019*'Analyse capacite'!$D$9</f>
        <v>0</v>
      </c>
      <c r="K3019" s="135" t="n">
        <f aca="false">$G3019*'Analyse capacite'!$E$9</f>
        <v>0</v>
      </c>
    </row>
    <row r="3020" customFormat="false" ht="15" hidden="false" customHeight="false" outlineLevel="0" collapsed="false">
      <c r="B3020" s="130" t="n">
        <v>2027</v>
      </c>
      <c r="C3020" s="131" t="s">
        <v>248</v>
      </c>
      <c r="D3020" s="132" t="n">
        <v>46561</v>
      </c>
      <c r="E3020" s="131" t="s">
        <v>56</v>
      </c>
      <c r="F3020" s="133" t="s">
        <v>11</v>
      </c>
      <c r="G3020" s="134" t="n">
        <f aca="false">LEN('Saisie programme'!$F$118)+SUMIFS('Vols additionnels'!$E$7:$E$66,'Vols additionnels'!$C$7:$C$66,$E3020,'Vols additionnels'!$D$7:$D$66,$F3020,'Vols additionnels'!$B$7:$B$66,$D3020)</f>
        <v>0</v>
      </c>
      <c r="H3020" s="135" t="n">
        <f aca="false">$G3020*'Analyse capacite'!$F$7</f>
        <v>0</v>
      </c>
      <c r="I3020" s="135" t="n">
        <f aca="false">$G3020*'Analyse capacite'!$C$7</f>
        <v>0</v>
      </c>
      <c r="J3020" s="135" t="n">
        <f aca="false">$G3020*'Analyse capacite'!$D$7</f>
        <v>0</v>
      </c>
      <c r="K3020" s="135" t="n">
        <f aca="false">$G3020*'Analyse capacite'!$E$7</f>
        <v>0</v>
      </c>
    </row>
    <row r="3021" customFormat="false" ht="15" hidden="false" customHeight="false" outlineLevel="0" collapsed="false">
      <c r="B3021" s="130" t="n">
        <v>2027</v>
      </c>
      <c r="C3021" s="131" t="s">
        <v>248</v>
      </c>
      <c r="D3021" s="132" t="n">
        <v>46561</v>
      </c>
      <c r="E3021" s="131" t="s">
        <v>56</v>
      </c>
      <c r="F3021" s="133" t="s">
        <v>19</v>
      </c>
      <c r="G3021" s="134" t="n">
        <f aca="false">LEN('Saisie programme'!$F$119)+SUMIFS('Vols additionnels'!$E$7:$E$66,'Vols additionnels'!$C$7:$C$66,$E3021,'Vols additionnels'!$D$7:$D$66,$F3021,'Vols additionnels'!$B$7:$B$66,$D3021)</f>
        <v>0</v>
      </c>
      <c r="H3021" s="135" t="n">
        <f aca="false">$G3021*'Analyse capacite'!$F$8</f>
        <v>0</v>
      </c>
      <c r="I3021" s="135" t="n">
        <f aca="false">$G3021*'Analyse capacite'!$C$8</f>
        <v>0</v>
      </c>
      <c r="J3021" s="135" t="n">
        <f aca="false">$G3021*'Analyse capacite'!$D$8</f>
        <v>0</v>
      </c>
      <c r="K3021" s="135" t="n">
        <f aca="false">$G3021*'Analyse capacite'!$E$8</f>
        <v>0</v>
      </c>
    </row>
    <row r="3022" customFormat="false" ht="15" hidden="false" customHeight="false" outlineLevel="0" collapsed="false">
      <c r="B3022" s="130" t="n">
        <v>2027</v>
      </c>
      <c r="C3022" s="131" t="s">
        <v>248</v>
      </c>
      <c r="D3022" s="132" t="n">
        <v>46561</v>
      </c>
      <c r="E3022" s="131" t="s">
        <v>56</v>
      </c>
      <c r="F3022" s="133" t="s">
        <v>24</v>
      </c>
      <c r="G3022" s="134" t="n">
        <f aca="false">LEN('Saisie programme'!$F$120)+SUMIFS('Vols additionnels'!$E$7:$E$66,'Vols additionnels'!$C$7:$C$66,$E3022,'Vols additionnels'!$D$7:$D$66,$F3022,'Vols additionnels'!$B$7:$B$66,$D3022)</f>
        <v>0</v>
      </c>
      <c r="H3022" s="135" t="n">
        <f aca="false">$G3022*'Analyse capacite'!$F$9</f>
        <v>0</v>
      </c>
      <c r="I3022" s="135" t="n">
        <f aca="false">$G3022*'Analyse capacite'!$C$9</f>
        <v>0</v>
      </c>
      <c r="J3022" s="135" t="n">
        <f aca="false">$G3022*'Analyse capacite'!$D$9</f>
        <v>0</v>
      </c>
      <c r="K3022" s="135" t="n">
        <f aca="false">$G3022*'Analyse capacite'!$E$9</f>
        <v>0</v>
      </c>
    </row>
    <row r="3023" customFormat="false" ht="15" hidden="false" customHeight="false" outlineLevel="0" collapsed="false">
      <c r="B3023" s="130" t="n">
        <v>2027</v>
      </c>
      <c r="C3023" s="131" t="s">
        <v>248</v>
      </c>
      <c r="D3023" s="132" t="n">
        <v>46561</v>
      </c>
      <c r="E3023" s="131" t="s">
        <v>59</v>
      </c>
      <c r="F3023" s="133" t="s">
        <v>11</v>
      </c>
      <c r="G3023" s="134" t="n">
        <f aca="false">LEN('Saisie programme'!$F$121)+SUMIFS('Vols additionnels'!$E$7:$E$66,'Vols additionnels'!$C$7:$C$66,$E3023,'Vols additionnels'!$D$7:$D$66,$F3023,'Vols additionnels'!$B$7:$B$66,$D3023)</f>
        <v>0</v>
      </c>
      <c r="H3023" s="135" t="n">
        <f aca="false">$G3023*'Analyse capacite'!$F$7</f>
        <v>0</v>
      </c>
      <c r="I3023" s="135" t="n">
        <f aca="false">$G3023*'Analyse capacite'!$C$7</f>
        <v>0</v>
      </c>
      <c r="J3023" s="135" t="n">
        <f aca="false">$G3023*'Analyse capacite'!$D$7</f>
        <v>0</v>
      </c>
      <c r="K3023" s="135" t="n">
        <f aca="false">$G3023*'Analyse capacite'!$E$7</f>
        <v>0</v>
      </c>
    </row>
    <row r="3024" customFormat="false" ht="15" hidden="false" customHeight="false" outlineLevel="0" collapsed="false">
      <c r="B3024" s="130" t="n">
        <v>2027</v>
      </c>
      <c r="C3024" s="131" t="s">
        <v>248</v>
      </c>
      <c r="D3024" s="132" t="n">
        <v>46561</v>
      </c>
      <c r="E3024" s="131" t="s">
        <v>59</v>
      </c>
      <c r="F3024" s="133" t="s">
        <v>19</v>
      </c>
      <c r="G3024" s="134" t="n">
        <f aca="false">LEN('Saisie programme'!$F$122)+SUMIFS('Vols additionnels'!$E$7:$E$66,'Vols additionnels'!$C$7:$C$66,$E3024,'Vols additionnels'!$D$7:$D$66,$F3024,'Vols additionnels'!$B$7:$B$66,$D3024)</f>
        <v>0</v>
      </c>
      <c r="H3024" s="135" t="n">
        <f aca="false">$G3024*'Analyse capacite'!$F$8</f>
        <v>0</v>
      </c>
      <c r="I3024" s="135" t="n">
        <f aca="false">$G3024*'Analyse capacite'!$C$8</f>
        <v>0</v>
      </c>
      <c r="J3024" s="135" t="n">
        <f aca="false">$G3024*'Analyse capacite'!$D$8</f>
        <v>0</v>
      </c>
      <c r="K3024" s="135" t="n">
        <f aca="false">$G3024*'Analyse capacite'!$E$8</f>
        <v>0</v>
      </c>
    </row>
    <row r="3025" customFormat="false" ht="15" hidden="false" customHeight="false" outlineLevel="0" collapsed="false">
      <c r="B3025" s="130" t="n">
        <v>2027</v>
      </c>
      <c r="C3025" s="131" t="s">
        <v>248</v>
      </c>
      <c r="D3025" s="132" t="n">
        <v>46561</v>
      </c>
      <c r="E3025" s="131" t="s">
        <v>59</v>
      </c>
      <c r="F3025" s="133" t="s">
        <v>24</v>
      </c>
      <c r="G3025" s="134" t="n">
        <f aca="false">LEN('Saisie programme'!$F$123)+SUMIFS('Vols additionnels'!$E$7:$E$66,'Vols additionnels'!$C$7:$C$66,$E3025,'Vols additionnels'!$D$7:$D$66,$F3025,'Vols additionnels'!$B$7:$B$66,$D3025)</f>
        <v>1</v>
      </c>
      <c r="H3025" s="135" t="n">
        <f aca="false">$G3025*'Analyse capacite'!$F$9</f>
        <v>174</v>
      </c>
      <c r="I3025" s="135" t="n">
        <f aca="false">$G3025*'Analyse capacite'!$C$9</f>
        <v>0</v>
      </c>
      <c r="J3025" s="135" t="n">
        <f aca="false">$G3025*'Analyse capacite'!$D$9</f>
        <v>12</v>
      </c>
      <c r="K3025" s="135" t="n">
        <f aca="false">$G3025*'Analyse capacite'!$E$9</f>
        <v>162</v>
      </c>
    </row>
    <row r="3026" customFormat="false" ht="15" hidden="false" customHeight="false" outlineLevel="0" collapsed="false">
      <c r="B3026" s="130" t="n">
        <v>2027</v>
      </c>
      <c r="C3026" s="131" t="s">
        <v>248</v>
      </c>
      <c r="D3026" s="132" t="n">
        <v>46561</v>
      </c>
      <c r="E3026" s="131" t="s">
        <v>62</v>
      </c>
      <c r="F3026" s="133" t="s">
        <v>11</v>
      </c>
      <c r="G3026" s="134" t="n">
        <f aca="false">LEN('Saisie programme'!$F$124)+SUMIFS('Vols additionnels'!$E$7:$E$66,'Vols additionnels'!$C$7:$C$66,$E3026,'Vols additionnels'!$D$7:$D$66,$F3026,'Vols additionnels'!$B$7:$B$66,$D3026)</f>
        <v>0</v>
      </c>
      <c r="H3026" s="135" t="n">
        <f aca="false">$G3026*'Analyse capacite'!$F$7</f>
        <v>0</v>
      </c>
      <c r="I3026" s="135" t="n">
        <f aca="false">$G3026*'Analyse capacite'!$C$7</f>
        <v>0</v>
      </c>
      <c r="J3026" s="135" t="n">
        <f aca="false">$G3026*'Analyse capacite'!$D$7</f>
        <v>0</v>
      </c>
      <c r="K3026" s="135" t="n">
        <f aca="false">$G3026*'Analyse capacite'!$E$7</f>
        <v>0</v>
      </c>
    </row>
    <row r="3027" customFormat="false" ht="15" hidden="false" customHeight="false" outlineLevel="0" collapsed="false">
      <c r="B3027" s="130" t="n">
        <v>2027</v>
      </c>
      <c r="C3027" s="131" t="s">
        <v>248</v>
      </c>
      <c r="D3027" s="132" t="n">
        <v>46561</v>
      </c>
      <c r="E3027" s="131" t="s">
        <v>62</v>
      </c>
      <c r="F3027" s="133" t="s">
        <v>19</v>
      </c>
      <c r="G3027" s="134" t="n">
        <f aca="false">LEN('Saisie programme'!$F$125)+SUMIFS('Vols additionnels'!$E$7:$E$66,'Vols additionnels'!$C$7:$C$66,$E3027,'Vols additionnels'!$D$7:$D$66,$F3027,'Vols additionnels'!$B$7:$B$66,$D3027)</f>
        <v>0</v>
      </c>
      <c r="H3027" s="135" t="n">
        <f aca="false">$G3027*'Analyse capacite'!$F$8</f>
        <v>0</v>
      </c>
      <c r="I3027" s="135" t="n">
        <f aca="false">$G3027*'Analyse capacite'!$C$8</f>
        <v>0</v>
      </c>
      <c r="J3027" s="135" t="n">
        <f aca="false">$G3027*'Analyse capacite'!$D$8</f>
        <v>0</v>
      </c>
      <c r="K3027" s="135" t="n">
        <f aca="false">$G3027*'Analyse capacite'!$E$8</f>
        <v>0</v>
      </c>
    </row>
    <row r="3028" customFormat="false" ht="15" hidden="false" customHeight="false" outlineLevel="0" collapsed="false">
      <c r="B3028" s="130" t="n">
        <v>2027</v>
      </c>
      <c r="C3028" s="131" t="s">
        <v>248</v>
      </c>
      <c r="D3028" s="132" t="n">
        <v>46561</v>
      </c>
      <c r="E3028" s="131" t="s">
        <v>62</v>
      </c>
      <c r="F3028" s="133" t="s">
        <v>24</v>
      </c>
      <c r="G3028" s="134" t="n">
        <f aca="false">LEN('Saisie programme'!$F$126)+SUMIFS('Vols additionnels'!$E$7:$E$66,'Vols additionnels'!$C$7:$C$66,$E3028,'Vols additionnels'!$D$7:$D$66,$F3028,'Vols additionnels'!$B$7:$B$66,$D3028)</f>
        <v>1</v>
      </c>
      <c r="H3028" s="135" t="n">
        <f aca="false">$G3028*'Analyse capacite'!$F$9</f>
        <v>174</v>
      </c>
      <c r="I3028" s="135" t="n">
        <f aca="false">$G3028*'Analyse capacite'!$C$9</f>
        <v>0</v>
      </c>
      <c r="J3028" s="135" t="n">
        <f aca="false">$G3028*'Analyse capacite'!$D$9</f>
        <v>12</v>
      </c>
      <c r="K3028" s="135" t="n">
        <f aca="false">$G3028*'Analyse capacite'!$E$9</f>
        <v>162</v>
      </c>
    </row>
    <row r="3029" customFormat="false" ht="15" hidden="false" customHeight="false" outlineLevel="0" collapsed="false">
      <c r="B3029" s="130" t="n">
        <v>2027</v>
      </c>
      <c r="C3029" s="131" t="s">
        <v>248</v>
      </c>
      <c r="D3029" s="132" t="n">
        <v>46562</v>
      </c>
      <c r="E3029" s="131" t="s">
        <v>12</v>
      </c>
      <c r="F3029" s="133" t="s">
        <v>11</v>
      </c>
      <c r="G3029" s="134" t="n">
        <f aca="false">LEN('Saisie programme'!$G$91)+SUMIFS('Vols additionnels'!$E$7:$E$66,'Vols additionnels'!$C$7:$C$66,$E3029,'Vols additionnels'!$D$7:$D$66,$F3029,'Vols additionnels'!$B$7:$B$66,$D3029)</f>
        <v>1</v>
      </c>
      <c r="H3029" s="135" t="n">
        <f aca="false">$G3029*'Analyse capacite'!$F$7</f>
        <v>438</v>
      </c>
      <c r="I3029" s="135" t="n">
        <f aca="false">$G3029*'Analyse capacite'!$C$7</f>
        <v>14</v>
      </c>
      <c r="J3029" s="135" t="n">
        <f aca="false">$G3029*'Analyse capacite'!$D$7</f>
        <v>40</v>
      </c>
      <c r="K3029" s="135" t="n">
        <f aca="false">$G3029*'Analyse capacite'!$E$7</f>
        <v>384</v>
      </c>
    </row>
    <row r="3030" customFormat="false" ht="15" hidden="false" customHeight="false" outlineLevel="0" collapsed="false">
      <c r="B3030" s="130" t="n">
        <v>2027</v>
      </c>
      <c r="C3030" s="131" t="s">
        <v>248</v>
      </c>
      <c r="D3030" s="132" t="n">
        <v>46562</v>
      </c>
      <c r="E3030" s="131" t="s">
        <v>12</v>
      </c>
      <c r="F3030" s="133" t="s">
        <v>19</v>
      </c>
      <c r="G3030" s="134" t="n">
        <f aca="false">LEN('Saisie programme'!$G$92)+SUMIFS('Vols additionnels'!$E$7:$E$66,'Vols additionnels'!$C$7:$C$66,$E3030,'Vols additionnels'!$D$7:$D$66,$F3030,'Vols additionnels'!$B$7:$B$66,$D3030)</f>
        <v>0</v>
      </c>
      <c r="H3030" s="135" t="n">
        <f aca="false">$G3030*'Analyse capacite'!$F$8</f>
        <v>0</v>
      </c>
      <c r="I3030" s="135" t="n">
        <f aca="false">$G3030*'Analyse capacite'!$C$8</f>
        <v>0</v>
      </c>
      <c r="J3030" s="135" t="n">
        <f aca="false">$G3030*'Analyse capacite'!$D$8</f>
        <v>0</v>
      </c>
      <c r="K3030" s="135" t="n">
        <f aca="false">$G3030*'Analyse capacite'!$E$8</f>
        <v>0</v>
      </c>
    </row>
    <row r="3031" customFormat="false" ht="15" hidden="false" customHeight="false" outlineLevel="0" collapsed="false">
      <c r="B3031" s="130" t="n">
        <v>2027</v>
      </c>
      <c r="C3031" s="131" t="s">
        <v>248</v>
      </c>
      <c r="D3031" s="132" t="n">
        <v>46562</v>
      </c>
      <c r="E3031" s="131" t="s">
        <v>12</v>
      </c>
      <c r="F3031" s="133" t="s">
        <v>24</v>
      </c>
      <c r="G3031" s="134" t="n">
        <f aca="false">LEN('Saisie programme'!$G$93)+SUMIFS('Vols additionnels'!$E$7:$E$66,'Vols additionnels'!$C$7:$C$66,$E3031,'Vols additionnels'!$D$7:$D$66,$F3031,'Vols additionnels'!$B$7:$B$66,$D3031)</f>
        <v>0</v>
      </c>
      <c r="H3031" s="135" t="n">
        <f aca="false">$G3031*'Analyse capacite'!$F$9</f>
        <v>0</v>
      </c>
      <c r="I3031" s="135" t="n">
        <f aca="false">$G3031*'Analyse capacite'!$C$9</f>
        <v>0</v>
      </c>
      <c r="J3031" s="135" t="n">
        <f aca="false">$G3031*'Analyse capacite'!$D$9</f>
        <v>0</v>
      </c>
      <c r="K3031" s="135" t="n">
        <f aca="false">$G3031*'Analyse capacite'!$E$9</f>
        <v>0</v>
      </c>
    </row>
    <row r="3032" customFormat="false" ht="15" hidden="false" customHeight="false" outlineLevel="0" collapsed="false">
      <c r="B3032" s="130" t="n">
        <v>2027</v>
      </c>
      <c r="C3032" s="131" t="s">
        <v>248</v>
      </c>
      <c r="D3032" s="132" t="n">
        <v>46562</v>
      </c>
      <c r="E3032" s="131" t="s">
        <v>20</v>
      </c>
      <c r="F3032" s="133" t="s">
        <v>11</v>
      </c>
      <c r="G3032" s="134" t="n">
        <f aca="false">LEN('Saisie programme'!$G$94)+SUMIFS('Vols additionnels'!$E$7:$E$66,'Vols additionnels'!$C$7:$C$66,$E3032,'Vols additionnels'!$D$7:$D$66,$F3032,'Vols additionnels'!$B$7:$B$66,$D3032)</f>
        <v>0</v>
      </c>
      <c r="H3032" s="135" t="n">
        <f aca="false">$G3032*'Analyse capacite'!$F$7</f>
        <v>0</v>
      </c>
      <c r="I3032" s="135" t="n">
        <f aca="false">$G3032*'Analyse capacite'!$C$7</f>
        <v>0</v>
      </c>
      <c r="J3032" s="135" t="n">
        <f aca="false">$G3032*'Analyse capacite'!$D$7</f>
        <v>0</v>
      </c>
      <c r="K3032" s="135" t="n">
        <f aca="false">$G3032*'Analyse capacite'!$E$7</f>
        <v>0</v>
      </c>
    </row>
    <row r="3033" customFormat="false" ht="15" hidden="false" customHeight="false" outlineLevel="0" collapsed="false">
      <c r="B3033" s="130" t="n">
        <v>2027</v>
      </c>
      <c r="C3033" s="131" t="s">
        <v>248</v>
      </c>
      <c r="D3033" s="132" t="n">
        <v>46562</v>
      </c>
      <c r="E3033" s="131" t="s">
        <v>20</v>
      </c>
      <c r="F3033" s="133" t="s">
        <v>19</v>
      </c>
      <c r="G3033" s="134" t="n">
        <f aca="false">LEN('Saisie programme'!$G$95)+SUMIFS('Vols additionnels'!$E$7:$E$66,'Vols additionnels'!$C$7:$C$66,$E3033,'Vols additionnels'!$D$7:$D$66,$F3033,'Vols additionnels'!$B$7:$B$66,$D3033)</f>
        <v>0</v>
      </c>
      <c r="H3033" s="135" t="n">
        <f aca="false">$G3033*'Analyse capacite'!$F$8</f>
        <v>0</v>
      </c>
      <c r="I3033" s="135" t="n">
        <f aca="false">$G3033*'Analyse capacite'!$C$8</f>
        <v>0</v>
      </c>
      <c r="J3033" s="135" t="n">
        <f aca="false">$G3033*'Analyse capacite'!$D$8</f>
        <v>0</v>
      </c>
      <c r="K3033" s="135" t="n">
        <f aca="false">$G3033*'Analyse capacite'!$E$8</f>
        <v>0</v>
      </c>
    </row>
    <row r="3034" customFormat="false" ht="15" hidden="false" customHeight="false" outlineLevel="0" collapsed="false">
      <c r="B3034" s="130" t="n">
        <v>2027</v>
      </c>
      <c r="C3034" s="131" t="s">
        <v>248</v>
      </c>
      <c r="D3034" s="132" t="n">
        <v>46562</v>
      </c>
      <c r="E3034" s="131" t="s">
        <v>20</v>
      </c>
      <c r="F3034" s="133" t="s">
        <v>24</v>
      </c>
      <c r="G3034" s="134" t="n">
        <f aca="false">LEN('Saisie programme'!$G$96)+SUMIFS('Vols additionnels'!$E$7:$E$66,'Vols additionnels'!$C$7:$C$66,$E3034,'Vols additionnels'!$D$7:$D$66,$F3034,'Vols additionnels'!$B$7:$B$66,$D3034)</f>
        <v>0</v>
      </c>
      <c r="H3034" s="135" t="n">
        <f aca="false">$G3034*'Analyse capacite'!$F$9</f>
        <v>0</v>
      </c>
      <c r="I3034" s="135" t="n">
        <f aca="false">$G3034*'Analyse capacite'!$C$9</f>
        <v>0</v>
      </c>
      <c r="J3034" s="135" t="n">
        <f aca="false">$G3034*'Analyse capacite'!$D$9</f>
        <v>0</v>
      </c>
      <c r="K3034" s="135" t="n">
        <f aca="false">$G3034*'Analyse capacite'!$E$9</f>
        <v>0</v>
      </c>
    </row>
    <row r="3035" customFormat="false" ht="15" hidden="false" customHeight="false" outlineLevel="0" collapsed="false">
      <c r="B3035" s="130" t="n">
        <v>2027</v>
      </c>
      <c r="C3035" s="131" t="s">
        <v>248</v>
      </c>
      <c r="D3035" s="132" t="n">
        <v>46562</v>
      </c>
      <c r="E3035" s="131" t="s">
        <v>25</v>
      </c>
      <c r="F3035" s="133" t="s">
        <v>11</v>
      </c>
      <c r="G3035" s="134" t="n">
        <f aca="false">LEN('Saisie programme'!$G$97)+SUMIFS('Vols additionnels'!$E$7:$E$66,'Vols additionnels'!$C$7:$C$66,$E3035,'Vols additionnels'!$D$7:$D$66,$F3035,'Vols additionnels'!$B$7:$B$66,$D3035)</f>
        <v>0</v>
      </c>
      <c r="H3035" s="135" t="n">
        <f aca="false">$G3035*'Analyse capacite'!$F$7</f>
        <v>0</v>
      </c>
      <c r="I3035" s="135" t="n">
        <f aca="false">$G3035*'Analyse capacite'!$C$7</f>
        <v>0</v>
      </c>
      <c r="J3035" s="135" t="n">
        <f aca="false">$G3035*'Analyse capacite'!$D$7</f>
        <v>0</v>
      </c>
      <c r="K3035" s="135" t="n">
        <f aca="false">$G3035*'Analyse capacite'!$E$7</f>
        <v>0</v>
      </c>
    </row>
    <row r="3036" customFormat="false" ht="15" hidden="false" customHeight="false" outlineLevel="0" collapsed="false">
      <c r="B3036" s="130" t="n">
        <v>2027</v>
      </c>
      <c r="C3036" s="131" t="s">
        <v>248</v>
      </c>
      <c r="D3036" s="132" t="n">
        <v>46562</v>
      </c>
      <c r="E3036" s="131" t="s">
        <v>25</v>
      </c>
      <c r="F3036" s="133" t="s">
        <v>19</v>
      </c>
      <c r="G3036" s="134" t="n">
        <f aca="false">LEN('Saisie programme'!$G$98)+SUMIFS('Vols additionnels'!$E$7:$E$66,'Vols additionnels'!$C$7:$C$66,$E3036,'Vols additionnels'!$D$7:$D$66,$F3036,'Vols additionnels'!$B$7:$B$66,$D3036)</f>
        <v>0</v>
      </c>
      <c r="H3036" s="135" t="n">
        <f aca="false">$G3036*'Analyse capacite'!$F$8</f>
        <v>0</v>
      </c>
      <c r="I3036" s="135" t="n">
        <f aca="false">$G3036*'Analyse capacite'!$C$8</f>
        <v>0</v>
      </c>
      <c r="J3036" s="135" t="n">
        <f aca="false">$G3036*'Analyse capacite'!$D$8</f>
        <v>0</v>
      </c>
      <c r="K3036" s="135" t="n">
        <f aca="false">$G3036*'Analyse capacite'!$E$8</f>
        <v>0</v>
      </c>
    </row>
    <row r="3037" customFormat="false" ht="15" hidden="false" customHeight="false" outlineLevel="0" collapsed="false">
      <c r="B3037" s="130" t="n">
        <v>2027</v>
      </c>
      <c r="C3037" s="131" t="s">
        <v>248</v>
      </c>
      <c r="D3037" s="132" t="n">
        <v>46562</v>
      </c>
      <c r="E3037" s="131" t="s">
        <v>25</v>
      </c>
      <c r="F3037" s="133" t="s">
        <v>24</v>
      </c>
      <c r="G3037" s="134" t="n">
        <f aca="false">LEN('Saisie programme'!$G$99)+SUMIFS('Vols additionnels'!$E$7:$E$66,'Vols additionnels'!$C$7:$C$66,$E3037,'Vols additionnels'!$D$7:$D$66,$F3037,'Vols additionnels'!$B$7:$B$66,$D3037)</f>
        <v>0</v>
      </c>
      <c r="H3037" s="135" t="n">
        <f aca="false">$G3037*'Analyse capacite'!$F$9</f>
        <v>0</v>
      </c>
      <c r="I3037" s="135" t="n">
        <f aca="false">$G3037*'Analyse capacite'!$C$9</f>
        <v>0</v>
      </c>
      <c r="J3037" s="135" t="n">
        <f aca="false">$G3037*'Analyse capacite'!$D$9</f>
        <v>0</v>
      </c>
      <c r="K3037" s="135" t="n">
        <f aca="false">$G3037*'Analyse capacite'!$E$9</f>
        <v>0</v>
      </c>
    </row>
    <row r="3038" customFormat="false" ht="15" hidden="false" customHeight="false" outlineLevel="0" collapsed="false">
      <c r="B3038" s="130" t="n">
        <v>2027</v>
      </c>
      <c r="C3038" s="131" t="s">
        <v>248</v>
      </c>
      <c r="D3038" s="132" t="n">
        <v>46562</v>
      </c>
      <c r="E3038" s="131" t="s">
        <v>36</v>
      </c>
      <c r="F3038" s="133" t="s">
        <v>11</v>
      </c>
      <c r="G3038" s="134" t="n">
        <f aca="false">LEN('Saisie programme'!$G$100)+SUMIFS('Vols additionnels'!$E$7:$E$66,'Vols additionnels'!$C$7:$C$66,$E3038,'Vols additionnels'!$D$7:$D$66,$F3038,'Vols additionnels'!$B$7:$B$66,$D3038)</f>
        <v>0</v>
      </c>
      <c r="H3038" s="135" t="n">
        <f aca="false">$G3038*'Analyse capacite'!$F$7</f>
        <v>0</v>
      </c>
      <c r="I3038" s="135" t="n">
        <f aca="false">$G3038*'Analyse capacite'!$C$7</f>
        <v>0</v>
      </c>
      <c r="J3038" s="135" t="n">
        <f aca="false">$G3038*'Analyse capacite'!$D$7</f>
        <v>0</v>
      </c>
      <c r="K3038" s="135" t="n">
        <f aca="false">$G3038*'Analyse capacite'!$E$7</f>
        <v>0</v>
      </c>
    </row>
    <row r="3039" customFormat="false" ht="15" hidden="false" customHeight="false" outlineLevel="0" collapsed="false">
      <c r="B3039" s="130" t="n">
        <v>2027</v>
      </c>
      <c r="C3039" s="131" t="s">
        <v>248</v>
      </c>
      <c r="D3039" s="132" t="n">
        <v>46562</v>
      </c>
      <c r="E3039" s="131" t="s">
        <v>36</v>
      </c>
      <c r="F3039" s="133" t="s">
        <v>19</v>
      </c>
      <c r="G3039" s="134" t="n">
        <f aca="false">LEN('Saisie programme'!$G$101)+SUMIFS('Vols additionnels'!$E$7:$E$66,'Vols additionnels'!$C$7:$C$66,$E3039,'Vols additionnels'!$D$7:$D$66,$F3039,'Vols additionnels'!$B$7:$B$66,$D3039)</f>
        <v>0</v>
      </c>
      <c r="H3039" s="135" t="n">
        <f aca="false">$G3039*'Analyse capacite'!$F$8</f>
        <v>0</v>
      </c>
      <c r="I3039" s="135" t="n">
        <f aca="false">$G3039*'Analyse capacite'!$C$8</f>
        <v>0</v>
      </c>
      <c r="J3039" s="135" t="n">
        <f aca="false">$G3039*'Analyse capacite'!$D$8</f>
        <v>0</v>
      </c>
      <c r="K3039" s="135" t="n">
        <f aca="false">$G3039*'Analyse capacite'!$E$8</f>
        <v>0</v>
      </c>
    </row>
    <row r="3040" customFormat="false" ht="15" hidden="false" customHeight="false" outlineLevel="0" collapsed="false">
      <c r="B3040" s="130" t="n">
        <v>2027</v>
      </c>
      <c r="C3040" s="131" t="s">
        <v>248</v>
      </c>
      <c r="D3040" s="132" t="n">
        <v>46562</v>
      </c>
      <c r="E3040" s="131" t="s">
        <v>36</v>
      </c>
      <c r="F3040" s="133" t="s">
        <v>24</v>
      </c>
      <c r="G3040" s="134" t="n">
        <f aca="false">LEN('Saisie programme'!$G$102)+SUMIFS('Vols additionnels'!$E$7:$E$66,'Vols additionnels'!$C$7:$C$66,$E3040,'Vols additionnels'!$D$7:$D$66,$F3040,'Vols additionnels'!$B$7:$B$66,$D3040)</f>
        <v>1</v>
      </c>
      <c r="H3040" s="135" t="n">
        <f aca="false">$G3040*'Analyse capacite'!$F$9</f>
        <v>174</v>
      </c>
      <c r="I3040" s="135" t="n">
        <f aca="false">$G3040*'Analyse capacite'!$C$9</f>
        <v>0</v>
      </c>
      <c r="J3040" s="135" t="n">
        <f aca="false">$G3040*'Analyse capacite'!$D$9</f>
        <v>12</v>
      </c>
      <c r="K3040" s="135" t="n">
        <f aca="false">$G3040*'Analyse capacite'!$E$9</f>
        <v>162</v>
      </c>
    </row>
    <row r="3041" customFormat="false" ht="15" hidden="false" customHeight="false" outlineLevel="0" collapsed="false">
      <c r="B3041" s="130" t="n">
        <v>2027</v>
      </c>
      <c r="C3041" s="131" t="s">
        <v>248</v>
      </c>
      <c r="D3041" s="132" t="n">
        <v>46562</v>
      </c>
      <c r="E3041" s="131" t="s">
        <v>40</v>
      </c>
      <c r="F3041" s="133" t="s">
        <v>11</v>
      </c>
      <c r="G3041" s="134" t="n">
        <f aca="false">LEN('Saisie programme'!$G$103)+SUMIFS('Vols additionnels'!$E$7:$E$66,'Vols additionnels'!$C$7:$C$66,$E3041,'Vols additionnels'!$D$7:$D$66,$F3041,'Vols additionnels'!$B$7:$B$66,$D3041)</f>
        <v>0</v>
      </c>
      <c r="H3041" s="135" t="n">
        <f aca="false">$G3041*'Analyse capacite'!$F$7</f>
        <v>0</v>
      </c>
      <c r="I3041" s="135" t="n">
        <f aca="false">$G3041*'Analyse capacite'!$C$7</f>
        <v>0</v>
      </c>
      <c r="J3041" s="135" t="n">
        <f aca="false">$G3041*'Analyse capacite'!$D$7</f>
        <v>0</v>
      </c>
      <c r="K3041" s="135" t="n">
        <f aca="false">$G3041*'Analyse capacite'!$E$7</f>
        <v>0</v>
      </c>
    </row>
    <row r="3042" customFormat="false" ht="15" hidden="false" customHeight="false" outlineLevel="0" collapsed="false">
      <c r="B3042" s="130" t="n">
        <v>2027</v>
      </c>
      <c r="C3042" s="131" t="s">
        <v>248</v>
      </c>
      <c r="D3042" s="132" t="n">
        <v>46562</v>
      </c>
      <c r="E3042" s="131" t="s">
        <v>40</v>
      </c>
      <c r="F3042" s="133" t="s">
        <v>19</v>
      </c>
      <c r="G3042" s="134" t="n">
        <f aca="false">LEN('Saisie programme'!$G$104)+SUMIFS('Vols additionnels'!$E$7:$E$66,'Vols additionnels'!$C$7:$C$66,$E3042,'Vols additionnels'!$D$7:$D$66,$F3042,'Vols additionnels'!$B$7:$B$66,$D3042)</f>
        <v>0</v>
      </c>
      <c r="H3042" s="135" t="n">
        <f aca="false">$G3042*'Analyse capacite'!$F$8</f>
        <v>0</v>
      </c>
      <c r="I3042" s="135" t="n">
        <f aca="false">$G3042*'Analyse capacite'!$C$8</f>
        <v>0</v>
      </c>
      <c r="J3042" s="135" t="n">
        <f aca="false">$G3042*'Analyse capacite'!$D$8</f>
        <v>0</v>
      </c>
      <c r="K3042" s="135" t="n">
        <f aca="false">$G3042*'Analyse capacite'!$E$8</f>
        <v>0</v>
      </c>
    </row>
    <row r="3043" customFormat="false" ht="15" hidden="false" customHeight="false" outlineLevel="0" collapsed="false">
      <c r="B3043" s="130" t="n">
        <v>2027</v>
      </c>
      <c r="C3043" s="131" t="s">
        <v>248</v>
      </c>
      <c r="D3043" s="132" t="n">
        <v>46562</v>
      </c>
      <c r="E3043" s="131" t="s">
        <v>40</v>
      </c>
      <c r="F3043" s="133" t="s">
        <v>24</v>
      </c>
      <c r="G3043" s="134" t="n">
        <f aca="false">LEN('Saisie programme'!$G$105)+SUMIFS('Vols additionnels'!$E$7:$E$66,'Vols additionnels'!$C$7:$C$66,$E3043,'Vols additionnels'!$D$7:$D$66,$F3043,'Vols additionnels'!$B$7:$B$66,$D3043)</f>
        <v>0</v>
      </c>
      <c r="H3043" s="135" t="n">
        <f aca="false">$G3043*'Analyse capacite'!$F$9</f>
        <v>0</v>
      </c>
      <c r="I3043" s="135" t="n">
        <f aca="false">$G3043*'Analyse capacite'!$C$9</f>
        <v>0</v>
      </c>
      <c r="J3043" s="135" t="n">
        <f aca="false">$G3043*'Analyse capacite'!$D$9</f>
        <v>0</v>
      </c>
      <c r="K3043" s="135" t="n">
        <f aca="false">$G3043*'Analyse capacite'!$E$9</f>
        <v>0</v>
      </c>
    </row>
    <row r="3044" customFormat="false" ht="15" hidden="false" customHeight="false" outlineLevel="0" collapsed="false">
      <c r="B3044" s="130" t="n">
        <v>2027</v>
      </c>
      <c r="C3044" s="131" t="s">
        <v>248</v>
      </c>
      <c r="D3044" s="132" t="n">
        <v>46562</v>
      </c>
      <c r="E3044" s="131" t="s">
        <v>14</v>
      </c>
      <c r="F3044" s="133" t="s">
        <v>11</v>
      </c>
      <c r="G3044" s="134" t="n">
        <f aca="false">LEN('Saisie programme'!$G$106)+SUMIFS('Vols additionnels'!$E$7:$E$66,'Vols additionnels'!$C$7:$C$66,$E3044,'Vols additionnels'!$D$7:$D$66,$F3044,'Vols additionnels'!$B$7:$B$66,$D3044)</f>
        <v>0</v>
      </c>
      <c r="H3044" s="135" t="n">
        <f aca="false">$G3044*'Analyse capacite'!$F$7</f>
        <v>0</v>
      </c>
      <c r="I3044" s="135" t="n">
        <f aca="false">$G3044*'Analyse capacite'!$C$7</f>
        <v>0</v>
      </c>
      <c r="J3044" s="135" t="n">
        <f aca="false">$G3044*'Analyse capacite'!$D$7</f>
        <v>0</v>
      </c>
      <c r="K3044" s="135" t="n">
        <f aca="false">$G3044*'Analyse capacite'!$E$7</f>
        <v>0</v>
      </c>
    </row>
    <row r="3045" customFormat="false" ht="15" hidden="false" customHeight="false" outlineLevel="0" collapsed="false">
      <c r="B3045" s="130" t="n">
        <v>2027</v>
      </c>
      <c r="C3045" s="131" t="s">
        <v>248</v>
      </c>
      <c r="D3045" s="132" t="n">
        <v>46562</v>
      </c>
      <c r="E3045" s="131" t="s">
        <v>14</v>
      </c>
      <c r="F3045" s="133" t="s">
        <v>19</v>
      </c>
      <c r="G3045" s="134" t="n">
        <f aca="false">LEN('Saisie programme'!$G$107)+SUMIFS('Vols additionnels'!$E$7:$E$66,'Vols additionnels'!$C$7:$C$66,$E3045,'Vols additionnels'!$D$7:$D$66,$F3045,'Vols additionnels'!$B$7:$B$66,$D3045)</f>
        <v>0</v>
      </c>
      <c r="H3045" s="135" t="n">
        <f aca="false">$G3045*'Analyse capacite'!$F$8</f>
        <v>0</v>
      </c>
      <c r="I3045" s="135" t="n">
        <f aca="false">$G3045*'Analyse capacite'!$C$8</f>
        <v>0</v>
      </c>
      <c r="J3045" s="135" t="n">
        <f aca="false">$G3045*'Analyse capacite'!$D$8</f>
        <v>0</v>
      </c>
      <c r="K3045" s="135" t="n">
        <f aca="false">$G3045*'Analyse capacite'!$E$8</f>
        <v>0</v>
      </c>
    </row>
    <row r="3046" customFormat="false" ht="15" hidden="false" customHeight="false" outlineLevel="0" collapsed="false">
      <c r="B3046" s="130" t="n">
        <v>2027</v>
      </c>
      <c r="C3046" s="131" t="s">
        <v>248</v>
      </c>
      <c r="D3046" s="132" t="n">
        <v>46562</v>
      </c>
      <c r="E3046" s="131" t="s">
        <v>14</v>
      </c>
      <c r="F3046" s="133" t="s">
        <v>24</v>
      </c>
      <c r="G3046" s="134" t="n">
        <f aca="false">LEN('Saisie programme'!$G$108)+SUMIFS('Vols additionnels'!$E$7:$E$66,'Vols additionnels'!$C$7:$C$66,$E3046,'Vols additionnels'!$D$7:$D$66,$F3046,'Vols additionnels'!$B$7:$B$66,$D3046)</f>
        <v>1</v>
      </c>
      <c r="H3046" s="135" t="n">
        <f aca="false">$G3046*'Analyse capacite'!$F$9</f>
        <v>174</v>
      </c>
      <c r="I3046" s="135" t="n">
        <f aca="false">$G3046*'Analyse capacite'!$C$9</f>
        <v>0</v>
      </c>
      <c r="J3046" s="135" t="n">
        <f aca="false">$G3046*'Analyse capacite'!$D$9</f>
        <v>12</v>
      </c>
      <c r="K3046" s="135" t="n">
        <f aca="false">$G3046*'Analyse capacite'!$E$9</f>
        <v>162</v>
      </c>
    </row>
    <row r="3047" customFormat="false" ht="15" hidden="false" customHeight="false" outlineLevel="0" collapsed="false">
      <c r="B3047" s="130" t="n">
        <v>2027</v>
      </c>
      <c r="C3047" s="131" t="s">
        <v>248</v>
      </c>
      <c r="D3047" s="132" t="n">
        <v>46562</v>
      </c>
      <c r="E3047" s="131" t="s">
        <v>46</v>
      </c>
      <c r="F3047" s="133" t="s">
        <v>11</v>
      </c>
      <c r="G3047" s="134" t="n">
        <f aca="false">LEN('Saisie programme'!$G$109)+SUMIFS('Vols additionnels'!$E$7:$E$66,'Vols additionnels'!$C$7:$C$66,$E3047,'Vols additionnels'!$D$7:$D$66,$F3047,'Vols additionnels'!$B$7:$B$66,$D3047)</f>
        <v>0</v>
      </c>
      <c r="H3047" s="135" t="n">
        <f aca="false">$G3047*'Analyse capacite'!$F$7</f>
        <v>0</v>
      </c>
      <c r="I3047" s="135" t="n">
        <f aca="false">$G3047*'Analyse capacite'!$C$7</f>
        <v>0</v>
      </c>
      <c r="J3047" s="135" t="n">
        <f aca="false">$G3047*'Analyse capacite'!$D$7</f>
        <v>0</v>
      </c>
      <c r="K3047" s="135" t="n">
        <f aca="false">$G3047*'Analyse capacite'!$E$7</f>
        <v>0</v>
      </c>
    </row>
    <row r="3048" customFormat="false" ht="15" hidden="false" customHeight="false" outlineLevel="0" collapsed="false">
      <c r="B3048" s="130" t="n">
        <v>2027</v>
      </c>
      <c r="C3048" s="131" t="s">
        <v>248</v>
      </c>
      <c r="D3048" s="132" t="n">
        <v>46562</v>
      </c>
      <c r="E3048" s="131" t="s">
        <v>46</v>
      </c>
      <c r="F3048" s="133" t="s">
        <v>19</v>
      </c>
      <c r="G3048" s="134" t="n">
        <f aca="false">LEN('Saisie programme'!$G$110)+SUMIFS('Vols additionnels'!$E$7:$E$66,'Vols additionnels'!$C$7:$C$66,$E3048,'Vols additionnels'!$D$7:$D$66,$F3048,'Vols additionnels'!$B$7:$B$66,$D3048)</f>
        <v>0</v>
      </c>
      <c r="H3048" s="135" t="n">
        <f aca="false">$G3048*'Analyse capacite'!$F$8</f>
        <v>0</v>
      </c>
      <c r="I3048" s="135" t="n">
        <f aca="false">$G3048*'Analyse capacite'!$C$8</f>
        <v>0</v>
      </c>
      <c r="J3048" s="135" t="n">
        <f aca="false">$G3048*'Analyse capacite'!$D$8</f>
        <v>0</v>
      </c>
      <c r="K3048" s="135" t="n">
        <f aca="false">$G3048*'Analyse capacite'!$E$8</f>
        <v>0</v>
      </c>
    </row>
    <row r="3049" customFormat="false" ht="15" hidden="false" customHeight="false" outlineLevel="0" collapsed="false">
      <c r="B3049" s="130" t="n">
        <v>2027</v>
      </c>
      <c r="C3049" s="131" t="s">
        <v>248</v>
      </c>
      <c r="D3049" s="132" t="n">
        <v>46562</v>
      </c>
      <c r="E3049" s="131" t="s">
        <v>46</v>
      </c>
      <c r="F3049" s="133" t="s">
        <v>24</v>
      </c>
      <c r="G3049" s="134" t="n">
        <f aca="false">LEN('Saisie programme'!$G$111)+SUMIFS('Vols additionnels'!$E$7:$E$66,'Vols additionnels'!$C$7:$C$66,$E3049,'Vols additionnels'!$D$7:$D$66,$F3049,'Vols additionnels'!$B$7:$B$66,$D3049)</f>
        <v>1</v>
      </c>
      <c r="H3049" s="135" t="n">
        <f aca="false">$G3049*'Analyse capacite'!$F$9</f>
        <v>174</v>
      </c>
      <c r="I3049" s="135" t="n">
        <f aca="false">$G3049*'Analyse capacite'!$C$9</f>
        <v>0</v>
      </c>
      <c r="J3049" s="135" t="n">
        <f aca="false">$G3049*'Analyse capacite'!$D$9</f>
        <v>12</v>
      </c>
      <c r="K3049" s="135" t="n">
        <f aca="false">$G3049*'Analyse capacite'!$E$9</f>
        <v>162</v>
      </c>
    </row>
    <row r="3050" customFormat="false" ht="15" hidden="false" customHeight="false" outlineLevel="0" collapsed="false">
      <c r="B3050" s="130" t="n">
        <v>2027</v>
      </c>
      <c r="C3050" s="131" t="s">
        <v>248</v>
      </c>
      <c r="D3050" s="132" t="n">
        <v>46562</v>
      </c>
      <c r="E3050" s="131" t="s">
        <v>49</v>
      </c>
      <c r="F3050" s="133" t="s">
        <v>11</v>
      </c>
      <c r="G3050" s="134" t="n">
        <f aca="false">LEN('Saisie programme'!$G$112)+SUMIFS('Vols additionnels'!$E$7:$E$66,'Vols additionnels'!$C$7:$C$66,$E3050,'Vols additionnels'!$D$7:$D$66,$F3050,'Vols additionnels'!$B$7:$B$66,$D3050)</f>
        <v>0</v>
      </c>
      <c r="H3050" s="135" t="n">
        <f aca="false">$G3050*'Analyse capacite'!$F$7</f>
        <v>0</v>
      </c>
      <c r="I3050" s="135" t="n">
        <f aca="false">$G3050*'Analyse capacite'!$C$7</f>
        <v>0</v>
      </c>
      <c r="J3050" s="135" t="n">
        <f aca="false">$G3050*'Analyse capacite'!$D$7</f>
        <v>0</v>
      </c>
      <c r="K3050" s="135" t="n">
        <f aca="false">$G3050*'Analyse capacite'!$E$7</f>
        <v>0</v>
      </c>
    </row>
    <row r="3051" customFormat="false" ht="15" hidden="false" customHeight="false" outlineLevel="0" collapsed="false">
      <c r="B3051" s="130" t="n">
        <v>2027</v>
      </c>
      <c r="C3051" s="131" t="s">
        <v>248</v>
      </c>
      <c r="D3051" s="132" t="n">
        <v>46562</v>
      </c>
      <c r="E3051" s="131" t="s">
        <v>49</v>
      </c>
      <c r="F3051" s="133" t="s">
        <v>19</v>
      </c>
      <c r="G3051" s="134" t="n">
        <f aca="false">LEN('Saisie programme'!$G$113)+SUMIFS('Vols additionnels'!$E$7:$E$66,'Vols additionnels'!$C$7:$C$66,$E3051,'Vols additionnels'!$D$7:$D$66,$F3051,'Vols additionnels'!$B$7:$B$66,$D3051)</f>
        <v>0</v>
      </c>
      <c r="H3051" s="135" t="n">
        <f aca="false">$G3051*'Analyse capacite'!$F$8</f>
        <v>0</v>
      </c>
      <c r="I3051" s="135" t="n">
        <f aca="false">$G3051*'Analyse capacite'!$C$8</f>
        <v>0</v>
      </c>
      <c r="J3051" s="135" t="n">
        <f aca="false">$G3051*'Analyse capacite'!$D$8</f>
        <v>0</v>
      </c>
      <c r="K3051" s="135" t="n">
        <f aca="false">$G3051*'Analyse capacite'!$E$8</f>
        <v>0</v>
      </c>
    </row>
    <row r="3052" customFormat="false" ht="15" hidden="false" customHeight="false" outlineLevel="0" collapsed="false">
      <c r="B3052" s="130" t="n">
        <v>2027</v>
      </c>
      <c r="C3052" s="131" t="s">
        <v>248</v>
      </c>
      <c r="D3052" s="132" t="n">
        <v>46562</v>
      </c>
      <c r="E3052" s="131" t="s">
        <v>49</v>
      </c>
      <c r="F3052" s="133" t="s">
        <v>24</v>
      </c>
      <c r="G3052" s="134" t="n">
        <f aca="false">LEN('Saisie programme'!$G$114)+SUMIFS('Vols additionnels'!$E$7:$E$66,'Vols additionnels'!$C$7:$C$66,$E3052,'Vols additionnels'!$D$7:$D$66,$F3052,'Vols additionnels'!$B$7:$B$66,$D3052)</f>
        <v>0</v>
      </c>
      <c r="H3052" s="135" t="n">
        <f aca="false">$G3052*'Analyse capacite'!$F$9</f>
        <v>0</v>
      </c>
      <c r="I3052" s="135" t="n">
        <f aca="false">$G3052*'Analyse capacite'!$C$9</f>
        <v>0</v>
      </c>
      <c r="J3052" s="135" t="n">
        <f aca="false">$G3052*'Analyse capacite'!$D$9</f>
        <v>0</v>
      </c>
      <c r="K3052" s="135" t="n">
        <f aca="false">$G3052*'Analyse capacite'!$E$9</f>
        <v>0</v>
      </c>
    </row>
    <row r="3053" customFormat="false" ht="15" hidden="false" customHeight="false" outlineLevel="0" collapsed="false">
      <c r="B3053" s="130" t="n">
        <v>2027</v>
      </c>
      <c r="C3053" s="131" t="s">
        <v>248</v>
      </c>
      <c r="D3053" s="132" t="n">
        <v>46562</v>
      </c>
      <c r="E3053" s="131" t="s">
        <v>53</v>
      </c>
      <c r="F3053" s="133" t="s">
        <v>11</v>
      </c>
      <c r="G3053" s="134" t="n">
        <f aca="false">LEN('Saisie programme'!$G$115)+SUMIFS('Vols additionnels'!$E$7:$E$66,'Vols additionnels'!$C$7:$C$66,$E3053,'Vols additionnels'!$D$7:$D$66,$F3053,'Vols additionnels'!$B$7:$B$66,$D3053)</f>
        <v>0</v>
      </c>
      <c r="H3053" s="135" t="n">
        <f aca="false">$G3053*'Analyse capacite'!$F$7</f>
        <v>0</v>
      </c>
      <c r="I3053" s="135" t="n">
        <f aca="false">$G3053*'Analyse capacite'!$C$7</f>
        <v>0</v>
      </c>
      <c r="J3053" s="135" t="n">
        <f aca="false">$G3053*'Analyse capacite'!$D$7</f>
        <v>0</v>
      </c>
      <c r="K3053" s="135" t="n">
        <f aca="false">$G3053*'Analyse capacite'!$E$7</f>
        <v>0</v>
      </c>
    </row>
    <row r="3054" customFormat="false" ht="15" hidden="false" customHeight="false" outlineLevel="0" collapsed="false">
      <c r="B3054" s="130" t="n">
        <v>2027</v>
      </c>
      <c r="C3054" s="131" t="s">
        <v>248</v>
      </c>
      <c r="D3054" s="132" t="n">
        <v>46562</v>
      </c>
      <c r="E3054" s="131" t="s">
        <v>53</v>
      </c>
      <c r="F3054" s="133" t="s">
        <v>19</v>
      </c>
      <c r="G3054" s="134" t="n">
        <f aca="false">LEN('Saisie programme'!$G$116)+SUMIFS('Vols additionnels'!$E$7:$E$66,'Vols additionnels'!$C$7:$C$66,$E3054,'Vols additionnels'!$D$7:$D$66,$F3054,'Vols additionnels'!$B$7:$B$66,$D3054)</f>
        <v>1</v>
      </c>
      <c r="H3054" s="135" t="n">
        <f aca="false">$G3054*'Analyse capacite'!$F$8</f>
        <v>262</v>
      </c>
      <c r="I3054" s="135" t="n">
        <f aca="false">$G3054*'Analyse capacite'!$C$8</f>
        <v>18</v>
      </c>
      <c r="J3054" s="135" t="n">
        <f aca="false">$G3054*'Analyse capacite'!$D$8</f>
        <v>0</v>
      </c>
      <c r="K3054" s="135" t="n">
        <f aca="false">$G3054*'Analyse capacite'!$E$8</f>
        <v>244</v>
      </c>
    </row>
    <row r="3055" customFormat="false" ht="15" hidden="false" customHeight="false" outlineLevel="0" collapsed="false">
      <c r="B3055" s="130" t="n">
        <v>2027</v>
      </c>
      <c r="C3055" s="131" t="s">
        <v>248</v>
      </c>
      <c r="D3055" s="132" t="n">
        <v>46562</v>
      </c>
      <c r="E3055" s="131" t="s">
        <v>53</v>
      </c>
      <c r="F3055" s="133" t="s">
        <v>24</v>
      </c>
      <c r="G3055" s="134" t="n">
        <f aca="false">LEN('Saisie programme'!$G$117)+SUMIFS('Vols additionnels'!$E$7:$E$66,'Vols additionnels'!$C$7:$C$66,$E3055,'Vols additionnels'!$D$7:$D$66,$F3055,'Vols additionnels'!$B$7:$B$66,$D3055)</f>
        <v>0</v>
      </c>
      <c r="H3055" s="135" t="n">
        <f aca="false">$G3055*'Analyse capacite'!$F$9</f>
        <v>0</v>
      </c>
      <c r="I3055" s="135" t="n">
        <f aca="false">$G3055*'Analyse capacite'!$C$9</f>
        <v>0</v>
      </c>
      <c r="J3055" s="135" t="n">
        <f aca="false">$G3055*'Analyse capacite'!$D$9</f>
        <v>0</v>
      </c>
      <c r="K3055" s="135" t="n">
        <f aca="false">$G3055*'Analyse capacite'!$E$9</f>
        <v>0</v>
      </c>
    </row>
    <row r="3056" customFormat="false" ht="15" hidden="false" customHeight="false" outlineLevel="0" collapsed="false">
      <c r="B3056" s="130" t="n">
        <v>2027</v>
      </c>
      <c r="C3056" s="131" t="s">
        <v>248</v>
      </c>
      <c r="D3056" s="132" t="n">
        <v>46562</v>
      </c>
      <c r="E3056" s="131" t="s">
        <v>56</v>
      </c>
      <c r="F3056" s="133" t="s">
        <v>11</v>
      </c>
      <c r="G3056" s="134" t="n">
        <f aca="false">LEN('Saisie programme'!$G$118)+SUMIFS('Vols additionnels'!$E$7:$E$66,'Vols additionnels'!$C$7:$C$66,$E3056,'Vols additionnels'!$D$7:$D$66,$F3056,'Vols additionnels'!$B$7:$B$66,$D3056)</f>
        <v>0</v>
      </c>
      <c r="H3056" s="135" t="n">
        <f aca="false">$G3056*'Analyse capacite'!$F$7</f>
        <v>0</v>
      </c>
      <c r="I3056" s="135" t="n">
        <f aca="false">$G3056*'Analyse capacite'!$C$7</f>
        <v>0</v>
      </c>
      <c r="J3056" s="135" t="n">
        <f aca="false">$G3056*'Analyse capacite'!$D$7</f>
        <v>0</v>
      </c>
      <c r="K3056" s="135" t="n">
        <f aca="false">$G3056*'Analyse capacite'!$E$7</f>
        <v>0</v>
      </c>
    </row>
    <row r="3057" customFormat="false" ht="15" hidden="false" customHeight="false" outlineLevel="0" collapsed="false">
      <c r="B3057" s="130" t="n">
        <v>2027</v>
      </c>
      <c r="C3057" s="131" t="s">
        <v>248</v>
      </c>
      <c r="D3057" s="132" t="n">
        <v>46562</v>
      </c>
      <c r="E3057" s="131" t="s">
        <v>56</v>
      </c>
      <c r="F3057" s="133" t="s">
        <v>19</v>
      </c>
      <c r="G3057" s="134" t="n">
        <f aca="false">LEN('Saisie programme'!$G$119)+SUMIFS('Vols additionnels'!$E$7:$E$66,'Vols additionnels'!$C$7:$C$66,$E3057,'Vols additionnels'!$D$7:$D$66,$F3057,'Vols additionnels'!$B$7:$B$66,$D3057)</f>
        <v>0</v>
      </c>
      <c r="H3057" s="135" t="n">
        <f aca="false">$G3057*'Analyse capacite'!$F$8</f>
        <v>0</v>
      </c>
      <c r="I3057" s="135" t="n">
        <f aca="false">$G3057*'Analyse capacite'!$C$8</f>
        <v>0</v>
      </c>
      <c r="J3057" s="135" t="n">
        <f aca="false">$G3057*'Analyse capacite'!$D$8</f>
        <v>0</v>
      </c>
      <c r="K3057" s="135" t="n">
        <f aca="false">$G3057*'Analyse capacite'!$E$8</f>
        <v>0</v>
      </c>
    </row>
    <row r="3058" customFormat="false" ht="15" hidden="false" customHeight="false" outlineLevel="0" collapsed="false">
      <c r="B3058" s="130" t="n">
        <v>2027</v>
      </c>
      <c r="C3058" s="131" t="s">
        <v>248</v>
      </c>
      <c r="D3058" s="132" t="n">
        <v>46562</v>
      </c>
      <c r="E3058" s="131" t="s">
        <v>56</v>
      </c>
      <c r="F3058" s="133" t="s">
        <v>24</v>
      </c>
      <c r="G3058" s="134" t="n">
        <f aca="false">LEN('Saisie programme'!$G$120)+SUMIFS('Vols additionnels'!$E$7:$E$66,'Vols additionnels'!$C$7:$C$66,$E3058,'Vols additionnels'!$D$7:$D$66,$F3058,'Vols additionnels'!$B$7:$B$66,$D3058)</f>
        <v>0</v>
      </c>
      <c r="H3058" s="135" t="n">
        <f aca="false">$G3058*'Analyse capacite'!$F$9</f>
        <v>0</v>
      </c>
      <c r="I3058" s="135" t="n">
        <f aca="false">$G3058*'Analyse capacite'!$C$9</f>
        <v>0</v>
      </c>
      <c r="J3058" s="135" t="n">
        <f aca="false">$G3058*'Analyse capacite'!$D$9</f>
        <v>0</v>
      </c>
      <c r="K3058" s="135" t="n">
        <f aca="false">$G3058*'Analyse capacite'!$E$9</f>
        <v>0</v>
      </c>
    </row>
    <row r="3059" customFormat="false" ht="15" hidden="false" customHeight="false" outlineLevel="0" collapsed="false">
      <c r="B3059" s="130" t="n">
        <v>2027</v>
      </c>
      <c r="C3059" s="131" t="s">
        <v>248</v>
      </c>
      <c r="D3059" s="132" t="n">
        <v>46562</v>
      </c>
      <c r="E3059" s="131" t="s">
        <v>59</v>
      </c>
      <c r="F3059" s="133" t="s">
        <v>11</v>
      </c>
      <c r="G3059" s="134" t="n">
        <f aca="false">LEN('Saisie programme'!$G$121)+SUMIFS('Vols additionnels'!$E$7:$E$66,'Vols additionnels'!$C$7:$C$66,$E3059,'Vols additionnels'!$D$7:$D$66,$F3059,'Vols additionnels'!$B$7:$B$66,$D3059)</f>
        <v>0</v>
      </c>
      <c r="H3059" s="135" t="n">
        <f aca="false">$G3059*'Analyse capacite'!$F$7</f>
        <v>0</v>
      </c>
      <c r="I3059" s="135" t="n">
        <f aca="false">$G3059*'Analyse capacite'!$C$7</f>
        <v>0</v>
      </c>
      <c r="J3059" s="135" t="n">
        <f aca="false">$G3059*'Analyse capacite'!$D$7</f>
        <v>0</v>
      </c>
      <c r="K3059" s="135" t="n">
        <f aca="false">$G3059*'Analyse capacite'!$E$7</f>
        <v>0</v>
      </c>
    </row>
    <row r="3060" customFormat="false" ht="15" hidden="false" customHeight="false" outlineLevel="0" collapsed="false">
      <c r="B3060" s="130" t="n">
        <v>2027</v>
      </c>
      <c r="C3060" s="131" t="s">
        <v>248</v>
      </c>
      <c r="D3060" s="132" t="n">
        <v>46562</v>
      </c>
      <c r="E3060" s="131" t="s">
        <v>59</v>
      </c>
      <c r="F3060" s="133" t="s">
        <v>19</v>
      </c>
      <c r="G3060" s="134" t="n">
        <f aca="false">LEN('Saisie programme'!$G$122)+SUMIFS('Vols additionnels'!$E$7:$E$66,'Vols additionnels'!$C$7:$C$66,$E3060,'Vols additionnels'!$D$7:$D$66,$F3060,'Vols additionnels'!$B$7:$B$66,$D3060)</f>
        <v>0</v>
      </c>
      <c r="H3060" s="135" t="n">
        <f aca="false">$G3060*'Analyse capacite'!$F$8</f>
        <v>0</v>
      </c>
      <c r="I3060" s="135" t="n">
        <f aca="false">$G3060*'Analyse capacite'!$C$8</f>
        <v>0</v>
      </c>
      <c r="J3060" s="135" t="n">
        <f aca="false">$G3060*'Analyse capacite'!$D$8</f>
        <v>0</v>
      </c>
      <c r="K3060" s="135" t="n">
        <f aca="false">$G3060*'Analyse capacite'!$E$8</f>
        <v>0</v>
      </c>
    </row>
    <row r="3061" customFormat="false" ht="15" hidden="false" customHeight="false" outlineLevel="0" collapsed="false">
      <c r="B3061" s="130" t="n">
        <v>2027</v>
      </c>
      <c r="C3061" s="131" t="s">
        <v>248</v>
      </c>
      <c r="D3061" s="132" t="n">
        <v>46562</v>
      </c>
      <c r="E3061" s="131" t="s">
        <v>59</v>
      </c>
      <c r="F3061" s="133" t="s">
        <v>24</v>
      </c>
      <c r="G3061" s="134" t="n">
        <f aca="false">LEN('Saisie programme'!$G$123)+SUMIFS('Vols additionnels'!$E$7:$E$66,'Vols additionnels'!$C$7:$C$66,$E3061,'Vols additionnels'!$D$7:$D$66,$F3061,'Vols additionnels'!$B$7:$B$66,$D3061)</f>
        <v>2</v>
      </c>
      <c r="H3061" s="135" t="n">
        <f aca="false">$G3061*'Analyse capacite'!$F$9</f>
        <v>348</v>
      </c>
      <c r="I3061" s="135" t="n">
        <f aca="false">$G3061*'Analyse capacite'!$C$9</f>
        <v>0</v>
      </c>
      <c r="J3061" s="135" t="n">
        <f aca="false">$G3061*'Analyse capacite'!$D$9</f>
        <v>24</v>
      </c>
      <c r="K3061" s="135" t="n">
        <f aca="false">$G3061*'Analyse capacite'!$E$9</f>
        <v>324</v>
      </c>
    </row>
    <row r="3062" customFormat="false" ht="15" hidden="false" customHeight="false" outlineLevel="0" collapsed="false">
      <c r="B3062" s="130" t="n">
        <v>2027</v>
      </c>
      <c r="C3062" s="131" t="s">
        <v>248</v>
      </c>
      <c r="D3062" s="132" t="n">
        <v>46562</v>
      </c>
      <c r="E3062" s="131" t="s">
        <v>62</v>
      </c>
      <c r="F3062" s="133" t="s">
        <v>11</v>
      </c>
      <c r="G3062" s="134" t="n">
        <f aca="false">LEN('Saisie programme'!$G$124)+SUMIFS('Vols additionnels'!$E$7:$E$66,'Vols additionnels'!$C$7:$C$66,$E3062,'Vols additionnels'!$D$7:$D$66,$F3062,'Vols additionnels'!$B$7:$B$66,$D3062)</f>
        <v>0</v>
      </c>
      <c r="H3062" s="135" t="n">
        <f aca="false">$G3062*'Analyse capacite'!$F$7</f>
        <v>0</v>
      </c>
      <c r="I3062" s="135" t="n">
        <f aca="false">$G3062*'Analyse capacite'!$C$7</f>
        <v>0</v>
      </c>
      <c r="J3062" s="135" t="n">
        <f aca="false">$G3062*'Analyse capacite'!$D$7</f>
        <v>0</v>
      </c>
      <c r="K3062" s="135" t="n">
        <f aca="false">$G3062*'Analyse capacite'!$E$7</f>
        <v>0</v>
      </c>
    </row>
    <row r="3063" customFormat="false" ht="15" hidden="false" customHeight="false" outlineLevel="0" collapsed="false">
      <c r="B3063" s="130" t="n">
        <v>2027</v>
      </c>
      <c r="C3063" s="131" t="s">
        <v>248</v>
      </c>
      <c r="D3063" s="132" t="n">
        <v>46562</v>
      </c>
      <c r="E3063" s="131" t="s">
        <v>62</v>
      </c>
      <c r="F3063" s="133" t="s">
        <v>19</v>
      </c>
      <c r="G3063" s="134" t="n">
        <f aca="false">LEN('Saisie programme'!$G$125)+SUMIFS('Vols additionnels'!$E$7:$E$66,'Vols additionnels'!$C$7:$C$66,$E3063,'Vols additionnels'!$D$7:$D$66,$F3063,'Vols additionnels'!$B$7:$B$66,$D3063)</f>
        <v>0</v>
      </c>
      <c r="H3063" s="135" t="n">
        <f aca="false">$G3063*'Analyse capacite'!$F$8</f>
        <v>0</v>
      </c>
      <c r="I3063" s="135" t="n">
        <f aca="false">$G3063*'Analyse capacite'!$C$8</f>
        <v>0</v>
      </c>
      <c r="J3063" s="135" t="n">
        <f aca="false">$G3063*'Analyse capacite'!$D$8</f>
        <v>0</v>
      </c>
      <c r="K3063" s="135" t="n">
        <f aca="false">$G3063*'Analyse capacite'!$E$8</f>
        <v>0</v>
      </c>
    </row>
    <row r="3064" customFormat="false" ht="15" hidden="false" customHeight="false" outlineLevel="0" collapsed="false">
      <c r="B3064" s="130" t="n">
        <v>2027</v>
      </c>
      <c r="C3064" s="131" t="s">
        <v>248</v>
      </c>
      <c r="D3064" s="132" t="n">
        <v>46562</v>
      </c>
      <c r="E3064" s="131" t="s">
        <v>62</v>
      </c>
      <c r="F3064" s="133" t="s">
        <v>24</v>
      </c>
      <c r="G3064" s="134" t="n">
        <f aca="false">LEN('Saisie programme'!$G$126)+SUMIFS('Vols additionnels'!$E$7:$E$66,'Vols additionnels'!$C$7:$C$66,$E3064,'Vols additionnels'!$D$7:$D$66,$F3064,'Vols additionnels'!$B$7:$B$66,$D3064)</f>
        <v>0</v>
      </c>
      <c r="H3064" s="135" t="n">
        <f aca="false">$G3064*'Analyse capacite'!$F$9</f>
        <v>0</v>
      </c>
      <c r="I3064" s="135" t="n">
        <f aca="false">$G3064*'Analyse capacite'!$C$9</f>
        <v>0</v>
      </c>
      <c r="J3064" s="135" t="n">
        <f aca="false">$G3064*'Analyse capacite'!$D$9</f>
        <v>0</v>
      </c>
      <c r="K3064" s="135" t="n">
        <f aca="false">$G3064*'Analyse capacite'!$E$9</f>
        <v>0</v>
      </c>
    </row>
    <row r="3065" customFormat="false" ht="15" hidden="false" customHeight="false" outlineLevel="0" collapsed="false">
      <c r="B3065" s="130" t="n">
        <v>2027</v>
      </c>
      <c r="C3065" s="131" t="s">
        <v>248</v>
      </c>
      <c r="D3065" s="132" t="n">
        <v>46563</v>
      </c>
      <c r="E3065" s="131" t="s">
        <v>12</v>
      </c>
      <c r="F3065" s="133" t="s">
        <v>11</v>
      </c>
      <c r="G3065" s="134" t="n">
        <f aca="false">LEN('Saisie programme'!$H$91)+SUMIFS('Vols additionnels'!$E$7:$E$66,'Vols additionnels'!$C$7:$C$66,$E3065,'Vols additionnels'!$D$7:$D$66,$F3065,'Vols additionnels'!$B$7:$B$66,$D3065)</f>
        <v>1</v>
      </c>
      <c r="H3065" s="135" t="n">
        <f aca="false">$G3065*'Analyse capacite'!$F$7</f>
        <v>438</v>
      </c>
      <c r="I3065" s="135" t="n">
        <f aca="false">$G3065*'Analyse capacite'!$C$7</f>
        <v>14</v>
      </c>
      <c r="J3065" s="135" t="n">
        <f aca="false">$G3065*'Analyse capacite'!$D$7</f>
        <v>40</v>
      </c>
      <c r="K3065" s="135" t="n">
        <f aca="false">$G3065*'Analyse capacite'!$E$7</f>
        <v>384</v>
      </c>
    </row>
    <row r="3066" customFormat="false" ht="15" hidden="false" customHeight="false" outlineLevel="0" collapsed="false">
      <c r="B3066" s="130" t="n">
        <v>2027</v>
      </c>
      <c r="C3066" s="131" t="s">
        <v>248</v>
      </c>
      <c r="D3066" s="132" t="n">
        <v>46563</v>
      </c>
      <c r="E3066" s="131" t="s">
        <v>12</v>
      </c>
      <c r="F3066" s="133" t="s">
        <v>19</v>
      </c>
      <c r="G3066" s="134" t="n">
        <f aca="false">LEN('Saisie programme'!$H$92)+SUMIFS('Vols additionnels'!$E$7:$E$66,'Vols additionnels'!$C$7:$C$66,$E3066,'Vols additionnels'!$D$7:$D$66,$F3066,'Vols additionnels'!$B$7:$B$66,$D3066)</f>
        <v>1</v>
      </c>
      <c r="H3066" s="135" t="n">
        <f aca="false">$G3066*'Analyse capacite'!$F$8</f>
        <v>262</v>
      </c>
      <c r="I3066" s="135" t="n">
        <f aca="false">$G3066*'Analyse capacite'!$C$8</f>
        <v>18</v>
      </c>
      <c r="J3066" s="135" t="n">
        <f aca="false">$G3066*'Analyse capacite'!$D$8</f>
        <v>0</v>
      </c>
      <c r="K3066" s="135" t="n">
        <f aca="false">$G3066*'Analyse capacite'!$E$8</f>
        <v>244</v>
      </c>
    </row>
    <row r="3067" customFormat="false" ht="15" hidden="false" customHeight="false" outlineLevel="0" collapsed="false">
      <c r="B3067" s="130" t="n">
        <v>2027</v>
      </c>
      <c r="C3067" s="131" t="s">
        <v>248</v>
      </c>
      <c r="D3067" s="132" t="n">
        <v>46563</v>
      </c>
      <c r="E3067" s="131" t="s">
        <v>12</v>
      </c>
      <c r="F3067" s="133" t="s">
        <v>24</v>
      </c>
      <c r="G3067" s="134" t="n">
        <f aca="false">LEN('Saisie programme'!$H$93)+SUMIFS('Vols additionnels'!$E$7:$E$66,'Vols additionnels'!$C$7:$C$66,$E3067,'Vols additionnels'!$D$7:$D$66,$F3067,'Vols additionnels'!$B$7:$B$66,$D3067)</f>
        <v>0</v>
      </c>
      <c r="H3067" s="135" t="n">
        <f aca="false">$G3067*'Analyse capacite'!$F$9</f>
        <v>0</v>
      </c>
      <c r="I3067" s="135" t="n">
        <f aca="false">$G3067*'Analyse capacite'!$C$9</f>
        <v>0</v>
      </c>
      <c r="J3067" s="135" t="n">
        <f aca="false">$G3067*'Analyse capacite'!$D$9</f>
        <v>0</v>
      </c>
      <c r="K3067" s="135" t="n">
        <f aca="false">$G3067*'Analyse capacite'!$E$9</f>
        <v>0</v>
      </c>
    </row>
    <row r="3068" customFormat="false" ht="15" hidden="false" customHeight="false" outlineLevel="0" collapsed="false">
      <c r="B3068" s="130" t="n">
        <v>2027</v>
      </c>
      <c r="C3068" s="131" t="s">
        <v>248</v>
      </c>
      <c r="D3068" s="132" t="n">
        <v>46563</v>
      </c>
      <c r="E3068" s="131" t="s">
        <v>20</v>
      </c>
      <c r="F3068" s="133" t="s">
        <v>11</v>
      </c>
      <c r="G3068" s="134" t="n">
        <f aca="false">LEN('Saisie programme'!$H$94)+SUMIFS('Vols additionnels'!$E$7:$E$66,'Vols additionnels'!$C$7:$C$66,$E3068,'Vols additionnels'!$D$7:$D$66,$F3068,'Vols additionnels'!$B$7:$B$66,$D3068)</f>
        <v>0</v>
      </c>
      <c r="H3068" s="135" t="n">
        <f aca="false">$G3068*'Analyse capacite'!$F$7</f>
        <v>0</v>
      </c>
      <c r="I3068" s="135" t="n">
        <f aca="false">$G3068*'Analyse capacite'!$C$7</f>
        <v>0</v>
      </c>
      <c r="J3068" s="135" t="n">
        <f aca="false">$G3068*'Analyse capacite'!$D$7</f>
        <v>0</v>
      </c>
      <c r="K3068" s="135" t="n">
        <f aca="false">$G3068*'Analyse capacite'!$E$7</f>
        <v>0</v>
      </c>
    </row>
    <row r="3069" customFormat="false" ht="15" hidden="false" customHeight="false" outlineLevel="0" collapsed="false">
      <c r="B3069" s="130" t="n">
        <v>2027</v>
      </c>
      <c r="C3069" s="131" t="s">
        <v>248</v>
      </c>
      <c r="D3069" s="132" t="n">
        <v>46563</v>
      </c>
      <c r="E3069" s="131" t="s">
        <v>20</v>
      </c>
      <c r="F3069" s="133" t="s">
        <v>19</v>
      </c>
      <c r="G3069" s="134" t="n">
        <f aca="false">LEN('Saisie programme'!$H$95)+SUMIFS('Vols additionnels'!$E$7:$E$66,'Vols additionnels'!$C$7:$C$66,$E3069,'Vols additionnels'!$D$7:$D$66,$F3069,'Vols additionnels'!$B$7:$B$66,$D3069)</f>
        <v>1</v>
      </c>
      <c r="H3069" s="135" t="n">
        <f aca="false">$G3069*'Analyse capacite'!$F$8</f>
        <v>262</v>
      </c>
      <c r="I3069" s="135" t="n">
        <f aca="false">$G3069*'Analyse capacite'!$C$8</f>
        <v>18</v>
      </c>
      <c r="J3069" s="135" t="n">
        <f aca="false">$G3069*'Analyse capacite'!$D$8</f>
        <v>0</v>
      </c>
      <c r="K3069" s="135" t="n">
        <f aca="false">$G3069*'Analyse capacite'!$E$8</f>
        <v>244</v>
      </c>
    </row>
    <row r="3070" customFormat="false" ht="15" hidden="false" customHeight="false" outlineLevel="0" collapsed="false">
      <c r="B3070" s="130" t="n">
        <v>2027</v>
      </c>
      <c r="C3070" s="131" t="s">
        <v>248</v>
      </c>
      <c r="D3070" s="132" t="n">
        <v>46563</v>
      </c>
      <c r="E3070" s="131" t="s">
        <v>20</v>
      </c>
      <c r="F3070" s="133" t="s">
        <v>24</v>
      </c>
      <c r="G3070" s="134" t="n">
        <f aca="false">LEN('Saisie programme'!$H$96)+SUMIFS('Vols additionnels'!$E$7:$E$66,'Vols additionnels'!$C$7:$C$66,$E3070,'Vols additionnels'!$D$7:$D$66,$F3070,'Vols additionnels'!$B$7:$B$66,$D3070)</f>
        <v>0</v>
      </c>
      <c r="H3070" s="135" t="n">
        <f aca="false">$G3070*'Analyse capacite'!$F$9</f>
        <v>0</v>
      </c>
      <c r="I3070" s="135" t="n">
        <f aca="false">$G3070*'Analyse capacite'!$C$9</f>
        <v>0</v>
      </c>
      <c r="J3070" s="135" t="n">
        <f aca="false">$G3070*'Analyse capacite'!$D$9</f>
        <v>0</v>
      </c>
      <c r="K3070" s="135" t="n">
        <f aca="false">$G3070*'Analyse capacite'!$E$9</f>
        <v>0</v>
      </c>
    </row>
    <row r="3071" customFormat="false" ht="15" hidden="false" customHeight="false" outlineLevel="0" collapsed="false">
      <c r="B3071" s="130" t="n">
        <v>2027</v>
      </c>
      <c r="C3071" s="131" t="s">
        <v>248</v>
      </c>
      <c r="D3071" s="132" t="n">
        <v>46563</v>
      </c>
      <c r="E3071" s="131" t="s">
        <v>25</v>
      </c>
      <c r="F3071" s="133" t="s">
        <v>11</v>
      </c>
      <c r="G3071" s="134" t="n">
        <f aca="false">LEN('Saisie programme'!$H$97)+SUMIFS('Vols additionnels'!$E$7:$E$66,'Vols additionnels'!$C$7:$C$66,$E3071,'Vols additionnels'!$D$7:$D$66,$F3071,'Vols additionnels'!$B$7:$B$66,$D3071)</f>
        <v>0</v>
      </c>
      <c r="H3071" s="135" t="n">
        <f aca="false">$G3071*'Analyse capacite'!$F$7</f>
        <v>0</v>
      </c>
      <c r="I3071" s="135" t="n">
        <f aca="false">$G3071*'Analyse capacite'!$C$7</f>
        <v>0</v>
      </c>
      <c r="J3071" s="135" t="n">
        <f aca="false">$G3071*'Analyse capacite'!$D$7</f>
        <v>0</v>
      </c>
      <c r="K3071" s="135" t="n">
        <f aca="false">$G3071*'Analyse capacite'!$E$7</f>
        <v>0</v>
      </c>
    </row>
    <row r="3072" customFormat="false" ht="15" hidden="false" customHeight="false" outlineLevel="0" collapsed="false">
      <c r="B3072" s="130" t="n">
        <v>2027</v>
      </c>
      <c r="C3072" s="131" t="s">
        <v>248</v>
      </c>
      <c r="D3072" s="132" t="n">
        <v>46563</v>
      </c>
      <c r="E3072" s="131" t="s">
        <v>25</v>
      </c>
      <c r="F3072" s="133" t="s">
        <v>19</v>
      </c>
      <c r="G3072" s="134" t="n">
        <f aca="false">LEN('Saisie programme'!$H$98)+SUMIFS('Vols additionnels'!$E$7:$E$66,'Vols additionnels'!$C$7:$C$66,$E3072,'Vols additionnels'!$D$7:$D$66,$F3072,'Vols additionnels'!$B$7:$B$66,$D3072)</f>
        <v>0</v>
      </c>
      <c r="H3072" s="135" t="n">
        <f aca="false">$G3072*'Analyse capacite'!$F$8</f>
        <v>0</v>
      </c>
      <c r="I3072" s="135" t="n">
        <f aca="false">$G3072*'Analyse capacite'!$C$8</f>
        <v>0</v>
      </c>
      <c r="J3072" s="135" t="n">
        <f aca="false">$G3072*'Analyse capacite'!$D$8</f>
        <v>0</v>
      </c>
      <c r="K3072" s="135" t="n">
        <f aca="false">$G3072*'Analyse capacite'!$E$8</f>
        <v>0</v>
      </c>
    </row>
    <row r="3073" customFormat="false" ht="15" hidden="false" customHeight="false" outlineLevel="0" collapsed="false">
      <c r="B3073" s="130" t="n">
        <v>2027</v>
      </c>
      <c r="C3073" s="131" t="s">
        <v>248</v>
      </c>
      <c r="D3073" s="132" t="n">
        <v>46563</v>
      </c>
      <c r="E3073" s="131" t="s">
        <v>25</v>
      </c>
      <c r="F3073" s="133" t="s">
        <v>24</v>
      </c>
      <c r="G3073" s="134" t="n">
        <f aca="false">LEN('Saisie programme'!$H$99)+SUMIFS('Vols additionnels'!$E$7:$E$66,'Vols additionnels'!$C$7:$C$66,$E3073,'Vols additionnels'!$D$7:$D$66,$F3073,'Vols additionnels'!$B$7:$B$66,$D3073)</f>
        <v>0</v>
      </c>
      <c r="H3073" s="135" t="n">
        <f aca="false">$G3073*'Analyse capacite'!$F$9</f>
        <v>0</v>
      </c>
      <c r="I3073" s="135" t="n">
        <f aca="false">$G3073*'Analyse capacite'!$C$9</f>
        <v>0</v>
      </c>
      <c r="J3073" s="135" t="n">
        <f aca="false">$G3073*'Analyse capacite'!$D$9</f>
        <v>0</v>
      </c>
      <c r="K3073" s="135" t="n">
        <f aca="false">$G3073*'Analyse capacite'!$E$9</f>
        <v>0</v>
      </c>
    </row>
    <row r="3074" customFormat="false" ht="15" hidden="false" customHeight="false" outlineLevel="0" collapsed="false">
      <c r="B3074" s="130" t="n">
        <v>2027</v>
      </c>
      <c r="C3074" s="131" t="s">
        <v>248</v>
      </c>
      <c r="D3074" s="132" t="n">
        <v>46563</v>
      </c>
      <c r="E3074" s="131" t="s">
        <v>36</v>
      </c>
      <c r="F3074" s="133" t="s">
        <v>11</v>
      </c>
      <c r="G3074" s="134" t="n">
        <f aca="false">LEN('Saisie programme'!$H$100)+SUMIFS('Vols additionnels'!$E$7:$E$66,'Vols additionnels'!$C$7:$C$66,$E3074,'Vols additionnels'!$D$7:$D$66,$F3074,'Vols additionnels'!$B$7:$B$66,$D3074)</f>
        <v>0</v>
      </c>
      <c r="H3074" s="135" t="n">
        <f aca="false">$G3074*'Analyse capacite'!$F$7</f>
        <v>0</v>
      </c>
      <c r="I3074" s="135" t="n">
        <f aca="false">$G3074*'Analyse capacite'!$C$7</f>
        <v>0</v>
      </c>
      <c r="J3074" s="135" t="n">
        <f aca="false">$G3074*'Analyse capacite'!$D$7</f>
        <v>0</v>
      </c>
      <c r="K3074" s="135" t="n">
        <f aca="false">$G3074*'Analyse capacite'!$E$7</f>
        <v>0</v>
      </c>
    </row>
    <row r="3075" customFormat="false" ht="15" hidden="false" customHeight="false" outlineLevel="0" collapsed="false">
      <c r="B3075" s="130" t="n">
        <v>2027</v>
      </c>
      <c r="C3075" s="131" t="s">
        <v>248</v>
      </c>
      <c r="D3075" s="132" t="n">
        <v>46563</v>
      </c>
      <c r="E3075" s="131" t="s">
        <v>36</v>
      </c>
      <c r="F3075" s="133" t="s">
        <v>19</v>
      </c>
      <c r="G3075" s="134" t="n">
        <f aca="false">LEN('Saisie programme'!$H$101)+SUMIFS('Vols additionnels'!$E$7:$E$66,'Vols additionnels'!$C$7:$C$66,$E3075,'Vols additionnels'!$D$7:$D$66,$F3075,'Vols additionnels'!$B$7:$B$66,$D3075)</f>
        <v>0</v>
      </c>
      <c r="H3075" s="135" t="n">
        <f aca="false">$G3075*'Analyse capacite'!$F$8</f>
        <v>0</v>
      </c>
      <c r="I3075" s="135" t="n">
        <f aca="false">$G3075*'Analyse capacite'!$C$8</f>
        <v>0</v>
      </c>
      <c r="J3075" s="135" t="n">
        <f aca="false">$G3075*'Analyse capacite'!$D$8</f>
        <v>0</v>
      </c>
      <c r="K3075" s="135" t="n">
        <f aca="false">$G3075*'Analyse capacite'!$E$8</f>
        <v>0</v>
      </c>
    </row>
    <row r="3076" customFormat="false" ht="15" hidden="false" customHeight="false" outlineLevel="0" collapsed="false">
      <c r="B3076" s="130" t="n">
        <v>2027</v>
      </c>
      <c r="C3076" s="131" t="s">
        <v>248</v>
      </c>
      <c r="D3076" s="132" t="n">
        <v>46563</v>
      </c>
      <c r="E3076" s="131" t="s">
        <v>36</v>
      </c>
      <c r="F3076" s="133" t="s">
        <v>24</v>
      </c>
      <c r="G3076" s="134" t="n">
        <f aca="false">LEN('Saisie programme'!$H$102)+SUMIFS('Vols additionnels'!$E$7:$E$66,'Vols additionnels'!$C$7:$C$66,$E3076,'Vols additionnels'!$D$7:$D$66,$F3076,'Vols additionnels'!$B$7:$B$66,$D3076)</f>
        <v>1</v>
      </c>
      <c r="H3076" s="135" t="n">
        <f aca="false">$G3076*'Analyse capacite'!$F$9</f>
        <v>174</v>
      </c>
      <c r="I3076" s="135" t="n">
        <f aca="false">$G3076*'Analyse capacite'!$C$9</f>
        <v>0</v>
      </c>
      <c r="J3076" s="135" t="n">
        <f aca="false">$G3076*'Analyse capacite'!$D$9</f>
        <v>12</v>
      </c>
      <c r="K3076" s="135" t="n">
        <f aca="false">$G3076*'Analyse capacite'!$E$9</f>
        <v>162</v>
      </c>
    </row>
    <row r="3077" customFormat="false" ht="15" hidden="false" customHeight="false" outlineLevel="0" collapsed="false">
      <c r="B3077" s="130" t="n">
        <v>2027</v>
      </c>
      <c r="C3077" s="131" t="s">
        <v>248</v>
      </c>
      <c r="D3077" s="132" t="n">
        <v>46563</v>
      </c>
      <c r="E3077" s="131" t="s">
        <v>40</v>
      </c>
      <c r="F3077" s="133" t="s">
        <v>11</v>
      </c>
      <c r="G3077" s="134" t="n">
        <f aca="false">LEN('Saisie programme'!$H$103)+SUMIFS('Vols additionnels'!$E$7:$E$66,'Vols additionnels'!$C$7:$C$66,$E3077,'Vols additionnels'!$D$7:$D$66,$F3077,'Vols additionnels'!$B$7:$B$66,$D3077)</f>
        <v>0</v>
      </c>
      <c r="H3077" s="135" t="n">
        <f aca="false">$G3077*'Analyse capacite'!$F$7</f>
        <v>0</v>
      </c>
      <c r="I3077" s="135" t="n">
        <f aca="false">$G3077*'Analyse capacite'!$C$7</f>
        <v>0</v>
      </c>
      <c r="J3077" s="135" t="n">
        <f aca="false">$G3077*'Analyse capacite'!$D$7</f>
        <v>0</v>
      </c>
      <c r="K3077" s="135" t="n">
        <f aca="false">$G3077*'Analyse capacite'!$E$7</f>
        <v>0</v>
      </c>
    </row>
    <row r="3078" customFormat="false" ht="15" hidden="false" customHeight="false" outlineLevel="0" collapsed="false">
      <c r="B3078" s="130" t="n">
        <v>2027</v>
      </c>
      <c r="C3078" s="131" t="s">
        <v>248</v>
      </c>
      <c r="D3078" s="132" t="n">
        <v>46563</v>
      </c>
      <c r="E3078" s="131" t="s">
        <v>40</v>
      </c>
      <c r="F3078" s="133" t="s">
        <v>19</v>
      </c>
      <c r="G3078" s="134" t="n">
        <f aca="false">LEN('Saisie programme'!$H$104)+SUMIFS('Vols additionnels'!$E$7:$E$66,'Vols additionnels'!$C$7:$C$66,$E3078,'Vols additionnels'!$D$7:$D$66,$F3078,'Vols additionnels'!$B$7:$B$66,$D3078)</f>
        <v>0</v>
      </c>
      <c r="H3078" s="135" t="n">
        <f aca="false">$G3078*'Analyse capacite'!$F$8</f>
        <v>0</v>
      </c>
      <c r="I3078" s="135" t="n">
        <f aca="false">$G3078*'Analyse capacite'!$C$8</f>
        <v>0</v>
      </c>
      <c r="J3078" s="135" t="n">
        <f aca="false">$G3078*'Analyse capacite'!$D$8</f>
        <v>0</v>
      </c>
      <c r="K3078" s="135" t="n">
        <f aca="false">$G3078*'Analyse capacite'!$E$8</f>
        <v>0</v>
      </c>
    </row>
    <row r="3079" customFormat="false" ht="15" hidden="false" customHeight="false" outlineLevel="0" collapsed="false">
      <c r="B3079" s="130" t="n">
        <v>2027</v>
      </c>
      <c r="C3079" s="131" t="s">
        <v>248</v>
      </c>
      <c r="D3079" s="132" t="n">
        <v>46563</v>
      </c>
      <c r="E3079" s="131" t="s">
        <v>40</v>
      </c>
      <c r="F3079" s="133" t="s">
        <v>24</v>
      </c>
      <c r="G3079" s="134" t="n">
        <f aca="false">LEN('Saisie programme'!$H$105)+SUMIFS('Vols additionnels'!$E$7:$E$66,'Vols additionnels'!$C$7:$C$66,$E3079,'Vols additionnels'!$D$7:$D$66,$F3079,'Vols additionnels'!$B$7:$B$66,$D3079)</f>
        <v>1</v>
      </c>
      <c r="H3079" s="135" t="n">
        <f aca="false">$G3079*'Analyse capacite'!$F$9</f>
        <v>174</v>
      </c>
      <c r="I3079" s="135" t="n">
        <f aca="false">$G3079*'Analyse capacite'!$C$9</f>
        <v>0</v>
      </c>
      <c r="J3079" s="135" t="n">
        <f aca="false">$G3079*'Analyse capacite'!$D$9</f>
        <v>12</v>
      </c>
      <c r="K3079" s="135" t="n">
        <f aca="false">$G3079*'Analyse capacite'!$E$9</f>
        <v>162</v>
      </c>
    </row>
    <row r="3080" customFormat="false" ht="15" hidden="false" customHeight="false" outlineLevel="0" collapsed="false">
      <c r="B3080" s="130" t="n">
        <v>2027</v>
      </c>
      <c r="C3080" s="131" t="s">
        <v>248</v>
      </c>
      <c r="D3080" s="132" t="n">
        <v>46563</v>
      </c>
      <c r="E3080" s="131" t="s">
        <v>14</v>
      </c>
      <c r="F3080" s="133" t="s">
        <v>11</v>
      </c>
      <c r="G3080" s="134" t="n">
        <f aca="false">LEN('Saisie programme'!$H$106)+SUMIFS('Vols additionnels'!$E$7:$E$66,'Vols additionnels'!$C$7:$C$66,$E3080,'Vols additionnels'!$D$7:$D$66,$F3080,'Vols additionnels'!$B$7:$B$66,$D3080)</f>
        <v>0</v>
      </c>
      <c r="H3080" s="135" t="n">
        <f aca="false">$G3080*'Analyse capacite'!$F$7</f>
        <v>0</v>
      </c>
      <c r="I3080" s="135" t="n">
        <f aca="false">$G3080*'Analyse capacite'!$C$7</f>
        <v>0</v>
      </c>
      <c r="J3080" s="135" t="n">
        <f aca="false">$G3080*'Analyse capacite'!$D$7</f>
        <v>0</v>
      </c>
      <c r="K3080" s="135" t="n">
        <f aca="false">$G3080*'Analyse capacite'!$E$7</f>
        <v>0</v>
      </c>
    </row>
    <row r="3081" customFormat="false" ht="15" hidden="false" customHeight="false" outlineLevel="0" collapsed="false">
      <c r="B3081" s="130" t="n">
        <v>2027</v>
      </c>
      <c r="C3081" s="131" t="s">
        <v>248</v>
      </c>
      <c r="D3081" s="132" t="n">
        <v>46563</v>
      </c>
      <c r="E3081" s="131" t="s">
        <v>14</v>
      </c>
      <c r="F3081" s="133" t="s">
        <v>19</v>
      </c>
      <c r="G3081" s="134" t="n">
        <f aca="false">LEN('Saisie programme'!$H$107)+SUMIFS('Vols additionnels'!$E$7:$E$66,'Vols additionnels'!$C$7:$C$66,$E3081,'Vols additionnels'!$D$7:$D$66,$F3081,'Vols additionnels'!$B$7:$B$66,$D3081)</f>
        <v>0</v>
      </c>
      <c r="H3081" s="135" t="n">
        <f aca="false">$G3081*'Analyse capacite'!$F$8</f>
        <v>0</v>
      </c>
      <c r="I3081" s="135" t="n">
        <f aca="false">$G3081*'Analyse capacite'!$C$8</f>
        <v>0</v>
      </c>
      <c r="J3081" s="135" t="n">
        <f aca="false">$G3081*'Analyse capacite'!$D$8</f>
        <v>0</v>
      </c>
      <c r="K3081" s="135" t="n">
        <f aca="false">$G3081*'Analyse capacite'!$E$8</f>
        <v>0</v>
      </c>
    </row>
    <row r="3082" customFormat="false" ht="15" hidden="false" customHeight="false" outlineLevel="0" collapsed="false">
      <c r="B3082" s="130" t="n">
        <v>2027</v>
      </c>
      <c r="C3082" s="131" t="s">
        <v>248</v>
      </c>
      <c r="D3082" s="132" t="n">
        <v>46563</v>
      </c>
      <c r="E3082" s="131" t="s">
        <v>14</v>
      </c>
      <c r="F3082" s="133" t="s">
        <v>24</v>
      </c>
      <c r="G3082" s="134" t="n">
        <f aca="false">LEN('Saisie programme'!$H$108)+SUMIFS('Vols additionnels'!$E$7:$E$66,'Vols additionnels'!$C$7:$C$66,$E3082,'Vols additionnels'!$D$7:$D$66,$F3082,'Vols additionnels'!$B$7:$B$66,$D3082)</f>
        <v>0</v>
      </c>
      <c r="H3082" s="135" t="n">
        <f aca="false">$G3082*'Analyse capacite'!$F$9</f>
        <v>0</v>
      </c>
      <c r="I3082" s="135" t="n">
        <f aca="false">$G3082*'Analyse capacite'!$C$9</f>
        <v>0</v>
      </c>
      <c r="J3082" s="135" t="n">
        <f aca="false">$G3082*'Analyse capacite'!$D$9</f>
        <v>0</v>
      </c>
      <c r="K3082" s="135" t="n">
        <f aca="false">$G3082*'Analyse capacite'!$E$9</f>
        <v>0</v>
      </c>
    </row>
    <row r="3083" customFormat="false" ht="15" hidden="false" customHeight="false" outlineLevel="0" collapsed="false">
      <c r="B3083" s="130" t="n">
        <v>2027</v>
      </c>
      <c r="C3083" s="131" t="s">
        <v>248</v>
      </c>
      <c r="D3083" s="132" t="n">
        <v>46563</v>
      </c>
      <c r="E3083" s="131" t="s">
        <v>46</v>
      </c>
      <c r="F3083" s="133" t="s">
        <v>11</v>
      </c>
      <c r="G3083" s="134" t="n">
        <f aca="false">LEN('Saisie programme'!$H$109)+SUMIFS('Vols additionnels'!$E$7:$E$66,'Vols additionnels'!$C$7:$C$66,$E3083,'Vols additionnels'!$D$7:$D$66,$F3083,'Vols additionnels'!$B$7:$B$66,$D3083)</f>
        <v>0</v>
      </c>
      <c r="H3083" s="135" t="n">
        <f aca="false">$G3083*'Analyse capacite'!$F$7</f>
        <v>0</v>
      </c>
      <c r="I3083" s="135" t="n">
        <f aca="false">$G3083*'Analyse capacite'!$C$7</f>
        <v>0</v>
      </c>
      <c r="J3083" s="135" t="n">
        <f aca="false">$G3083*'Analyse capacite'!$D$7</f>
        <v>0</v>
      </c>
      <c r="K3083" s="135" t="n">
        <f aca="false">$G3083*'Analyse capacite'!$E$7</f>
        <v>0</v>
      </c>
    </row>
    <row r="3084" customFormat="false" ht="15" hidden="false" customHeight="false" outlineLevel="0" collapsed="false">
      <c r="B3084" s="130" t="n">
        <v>2027</v>
      </c>
      <c r="C3084" s="131" t="s">
        <v>248</v>
      </c>
      <c r="D3084" s="132" t="n">
        <v>46563</v>
      </c>
      <c r="E3084" s="131" t="s">
        <v>46</v>
      </c>
      <c r="F3084" s="133" t="s">
        <v>19</v>
      </c>
      <c r="G3084" s="134" t="n">
        <f aca="false">LEN('Saisie programme'!$H$110)+SUMIFS('Vols additionnels'!$E$7:$E$66,'Vols additionnels'!$C$7:$C$66,$E3084,'Vols additionnels'!$D$7:$D$66,$F3084,'Vols additionnels'!$B$7:$B$66,$D3084)</f>
        <v>0</v>
      </c>
      <c r="H3084" s="135" t="n">
        <f aca="false">$G3084*'Analyse capacite'!$F$8</f>
        <v>0</v>
      </c>
      <c r="I3084" s="135" t="n">
        <f aca="false">$G3084*'Analyse capacite'!$C$8</f>
        <v>0</v>
      </c>
      <c r="J3084" s="135" t="n">
        <f aca="false">$G3084*'Analyse capacite'!$D$8</f>
        <v>0</v>
      </c>
      <c r="K3084" s="135" t="n">
        <f aca="false">$G3084*'Analyse capacite'!$E$8</f>
        <v>0</v>
      </c>
    </row>
    <row r="3085" customFormat="false" ht="15" hidden="false" customHeight="false" outlineLevel="0" collapsed="false">
      <c r="B3085" s="130" t="n">
        <v>2027</v>
      </c>
      <c r="C3085" s="131" t="s">
        <v>248</v>
      </c>
      <c r="D3085" s="132" t="n">
        <v>46563</v>
      </c>
      <c r="E3085" s="131" t="s">
        <v>46</v>
      </c>
      <c r="F3085" s="133" t="s">
        <v>24</v>
      </c>
      <c r="G3085" s="134" t="n">
        <f aca="false">LEN('Saisie programme'!$H$111)+SUMIFS('Vols additionnels'!$E$7:$E$66,'Vols additionnels'!$C$7:$C$66,$E3085,'Vols additionnels'!$D$7:$D$66,$F3085,'Vols additionnels'!$B$7:$B$66,$D3085)</f>
        <v>0</v>
      </c>
      <c r="H3085" s="135" t="n">
        <f aca="false">$G3085*'Analyse capacite'!$F$9</f>
        <v>0</v>
      </c>
      <c r="I3085" s="135" t="n">
        <f aca="false">$G3085*'Analyse capacite'!$C$9</f>
        <v>0</v>
      </c>
      <c r="J3085" s="135" t="n">
        <f aca="false">$G3085*'Analyse capacite'!$D$9</f>
        <v>0</v>
      </c>
      <c r="K3085" s="135" t="n">
        <f aca="false">$G3085*'Analyse capacite'!$E$9</f>
        <v>0</v>
      </c>
    </row>
    <row r="3086" customFormat="false" ht="15" hidden="false" customHeight="false" outlineLevel="0" collapsed="false">
      <c r="B3086" s="130" t="n">
        <v>2027</v>
      </c>
      <c r="C3086" s="131" t="s">
        <v>248</v>
      </c>
      <c r="D3086" s="132" t="n">
        <v>46563</v>
      </c>
      <c r="E3086" s="131" t="s">
        <v>49</v>
      </c>
      <c r="F3086" s="133" t="s">
        <v>11</v>
      </c>
      <c r="G3086" s="134" t="n">
        <f aca="false">LEN('Saisie programme'!$H$112)+SUMIFS('Vols additionnels'!$E$7:$E$66,'Vols additionnels'!$C$7:$C$66,$E3086,'Vols additionnels'!$D$7:$D$66,$F3086,'Vols additionnels'!$B$7:$B$66,$D3086)</f>
        <v>0</v>
      </c>
      <c r="H3086" s="135" t="n">
        <f aca="false">$G3086*'Analyse capacite'!$F$7</f>
        <v>0</v>
      </c>
      <c r="I3086" s="135" t="n">
        <f aca="false">$G3086*'Analyse capacite'!$C$7</f>
        <v>0</v>
      </c>
      <c r="J3086" s="135" t="n">
        <f aca="false">$G3086*'Analyse capacite'!$D$7</f>
        <v>0</v>
      </c>
      <c r="K3086" s="135" t="n">
        <f aca="false">$G3086*'Analyse capacite'!$E$7</f>
        <v>0</v>
      </c>
    </row>
    <row r="3087" customFormat="false" ht="15" hidden="false" customHeight="false" outlineLevel="0" collapsed="false">
      <c r="B3087" s="130" t="n">
        <v>2027</v>
      </c>
      <c r="C3087" s="131" t="s">
        <v>248</v>
      </c>
      <c r="D3087" s="132" t="n">
        <v>46563</v>
      </c>
      <c r="E3087" s="131" t="s">
        <v>49</v>
      </c>
      <c r="F3087" s="133" t="s">
        <v>19</v>
      </c>
      <c r="G3087" s="134" t="n">
        <f aca="false">LEN('Saisie programme'!$H$113)+SUMIFS('Vols additionnels'!$E$7:$E$66,'Vols additionnels'!$C$7:$C$66,$E3087,'Vols additionnels'!$D$7:$D$66,$F3087,'Vols additionnels'!$B$7:$B$66,$D3087)</f>
        <v>1</v>
      </c>
      <c r="H3087" s="135" t="n">
        <f aca="false">$G3087*'Analyse capacite'!$F$8</f>
        <v>262</v>
      </c>
      <c r="I3087" s="135" t="n">
        <f aca="false">$G3087*'Analyse capacite'!$C$8</f>
        <v>18</v>
      </c>
      <c r="J3087" s="135" t="n">
        <f aca="false">$G3087*'Analyse capacite'!$D$8</f>
        <v>0</v>
      </c>
      <c r="K3087" s="135" t="n">
        <f aca="false">$G3087*'Analyse capacite'!$E$8</f>
        <v>244</v>
      </c>
    </row>
    <row r="3088" customFormat="false" ht="15" hidden="false" customHeight="false" outlineLevel="0" collapsed="false">
      <c r="B3088" s="130" t="n">
        <v>2027</v>
      </c>
      <c r="C3088" s="131" t="s">
        <v>248</v>
      </c>
      <c r="D3088" s="132" t="n">
        <v>46563</v>
      </c>
      <c r="E3088" s="131" t="s">
        <v>49</v>
      </c>
      <c r="F3088" s="133" t="s">
        <v>24</v>
      </c>
      <c r="G3088" s="134" t="n">
        <f aca="false">LEN('Saisie programme'!$H$114)+SUMIFS('Vols additionnels'!$E$7:$E$66,'Vols additionnels'!$C$7:$C$66,$E3088,'Vols additionnels'!$D$7:$D$66,$F3088,'Vols additionnels'!$B$7:$B$66,$D3088)</f>
        <v>0</v>
      </c>
      <c r="H3088" s="135" t="n">
        <f aca="false">$G3088*'Analyse capacite'!$F$9</f>
        <v>0</v>
      </c>
      <c r="I3088" s="135" t="n">
        <f aca="false">$G3088*'Analyse capacite'!$C$9</f>
        <v>0</v>
      </c>
      <c r="J3088" s="135" t="n">
        <f aca="false">$G3088*'Analyse capacite'!$D$9</f>
        <v>0</v>
      </c>
      <c r="K3088" s="135" t="n">
        <f aca="false">$G3088*'Analyse capacite'!$E$9</f>
        <v>0</v>
      </c>
    </row>
    <row r="3089" customFormat="false" ht="15" hidden="false" customHeight="false" outlineLevel="0" collapsed="false">
      <c r="B3089" s="130" t="n">
        <v>2027</v>
      </c>
      <c r="C3089" s="131" t="s">
        <v>248</v>
      </c>
      <c r="D3089" s="132" t="n">
        <v>46563</v>
      </c>
      <c r="E3089" s="131" t="s">
        <v>53</v>
      </c>
      <c r="F3089" s="133" t="s">
        <v>11</v>
      </c>
      <c r="G3089" s="134" t="n">
        <f aca="false">LEN('Saisie programme'!$H$115)+SUMIFS('Vols additionnels'!$E$7:$E$66,'Vols additionnels'!$C$7:$C$66,$E3089,'Vols additionnels'!$D$7:$D$66,$F3089,'Vols additionnels'!$B$7:$B$66,$D3089)</f>
        <v>0</v>
      </c>
      <c r="H3089" s="135" t="n">
        <f aca="false">$G3089*'Analyse capacite'!$F$7</f>
        <v>0</v>
      </c>
      <c r="I3089" s="135" t="n">
        <f aca="false">$G3089*'Analyse capacite'!$C$7</f>
        <v>0</v>
      </c>
      <c r="J3089" s="135" t="n">
        <f aca="false">$G3089*'Analyse capacite'!$D$7</f>
        <v>0</v>
      </c>
      <c r="K3089" s="135" t="n">
        <f aca="false">$G3089*'Analyse capacite'!$E$7</f>
        <v>0</v>
      </c>
    </row>
    <row r="3090" customFormat="false" ht="15" hidden="false" customHeight="false" outlineLevel="0" collapsed="false">
      <c r="B3090" s="130" t="n">
        <v>2027</v>
      </c>
      <c r="C3090" s="131" t="s">
        <v>248</v>
      </c>
      <c r="D3090" s="132" t="n">
        <v>46563</v>
      </c>
      <c r="E3090" s="131" t="s">
        <v>53</v>
      </c>
      <c r="F3090" s="133" t="s">
        <v>19</v>
      </c>
      <c r="G3090" s="134" t="n">
        <f aca="false">LEN('Saisie programme'!$H$116)+SUMIFS('Vols additionnels'!$E$7:$E$66,'Vols additionnels'!$C$7:$C$66,$E3090,'Vols additionnels'!$D$7:$D$66,$F3090,'Vols additionnels'!$B$7:$B$66,$D3090)</f>
        <v>0</v>
      </c>
      <c r="H3090" s="135" t="n">
        <f aca="false">$G3090*'Analyse capacite'!$F$8</f>
        <v>0</v>
      </c>
      <c r="I3090" s="135" t="n">
        <f aca="false">$G3090*'Analyse capacite'!$C$8</f>
        <v>0</v>
      </c>
      <c r="J3090" s="135" t="n">
        <f aca="false">$G3090*'Analyse capacite'!$D$8</f>
        <v>0</v>
      </c>
      <c r="K3090" s="135" t="n">
        <f aca="false">$G3090*'Analyse capacite'!$E$8</f>
        <v>0</v>
      </c>
    </row>
    <row r="3091" customFormat="false" ht="15" hidden="false" customHeight="false" outlineLevel="0" collapsed="false">
      <c r="B3091" s="130" t="n">
        <v>2027</v>
      </c>
      <c r="C3091" s="131" t="s">
        <v>248</v>
      </c>
      <c r="D3091" s="132" t="n">
        <v>46563</v>
      </c>
      <c r="E3091" s="131" t="s">
        <v>53</v>
      </c>
      <c r="F3091" s="133" t="s">
        <v>24</v>
      </c>
      <c r="G3091" s="134" t="n">
        <f aca="false">LEN('Saisie programme'!$H$117)+SUMIFS('Vols additionnels'!$E$7:$E$66,'Vols additionnels'!$C$7:$C$66,$E3091,'Vols additionnels'!$D$7:$D$66,$F3091,'Vols additionnels'!$B$7:$B$66,$D3091)</f>
        <v>0</v>
      </c>
      <c r="H3091" s="135" t="n">
        <f aca="false">$G3091*'Analyse capacite'!$F$9</f>
        <v>0</v>
      </c>
      <c r="I3091" s="135" t="n">
        <f aca="false">$G3091*'Analyse capacite'!$C$9</f>
        <v>0</v>
      </c>
      <c r="J3091" s="135" t="n">
        <f aca="false">$G3091*'Analyse capacite'!$D$9</f>
        <v>0</v>
      </c>
      <c r="K3091" s="135" t="n">
        <f aca="false">$G3091*'Analyse capacite'!$E$9</f>
        <v>0</v>
      </c>
    </row>
    <row r="3092" customFormat="false" ht="15" hidden="false" customHeight="false" outlineLevel="0" collapsed="false">
      <c r="B3092" s="130" t="n">
        <v>2027</v>
      </c>
      <c r="C3092" s="131" t="s">
        <v>248</v>
      </c>
      <c r="D3092" s="132" t="n">
        <v>46563</v>
      </c>
      <c r="E3092" s="131" t="s">
        <v>56</v>
      </c>
      <c r="F3092" s="133" t="s">
        <v>11</v>
      </c>
      <c r="G3092" s="134" t="n">
        <f aca="false">LEN('Saisie programme'!$H$118)+SUMIFS('Vols additionnels'!$E$7:$E$66,'Vols additionnels'!$C$7:$C$66,$E3092,'Vols additionnels'!$D$7:$D$66,$F3092,'Vols additionnels'!$B$7:$B$66,$D3092)</f>
        <v>0</v>
      </c>
      <c r="H3092" s="135" t="n">
        <f aca="false">$G3092*'Analyse capacite'!$F$7</f>
        <v>0</v>
      </c>
      <c r="I3092" s="135" t="n">
        <f aca="false">$G3092*'Analyse capacite'!$C$7</f>
        <v>0</v>
      </c>
      <c r="J3092" s="135" t="n">
        <f aca="false">$G3092*'Analyse capacite'!$D$7</f>
        <v>0</v>
      </c>
      <c r="K3092" s="135" t="n">
        <f aca="false">$G3092*'Analyse capacite'!$E$7</f>
        <v>0</v>
      </c>
    </row>
    <row r="3093" customFormat="false" ht="15" hidden="false" customHeight="false" outlineLevel="0" collapsed="false">
      <c r="B3093" s="130" t="n">
        <v>2027</v>
      </c>
      <c r="C3093" s="131" t="s">
        <v>248</v>
      </c>
      <c r="D3093" s="132" t="n">
        <v>46563</v>
      </c>
      <c r="E3093" s="131" t="s">
        <v>56</v>
      </c>
      <c r="F3093" s="133" t="s">
        <v>19</v>
      </c>
      <c r="G3093" s="134" t="n">
        <f aca="false">LEN('Saisie programme'!$H$119)+SUMIFS('Vols additionnels'!$E$7:$E$66,'Vols additionnels'!$C$7:$C$66,$E3093,'Vols additionnels'!$D$7:$D$66,$F3093,'Vols additionnels'!$B$7:$B$66,$D3093)</f>
        <v>0</v>
      </c>
      <c r="H3093" s="135" t="n">
        <f aca="false">$G3093*'Analyse capacite'!$F$8</f>
        <v>0</v>
      </c>
      <c r="I3093" s="135" t="n">
        <f aca="false">$G3093*'Analyse capacite'!$C$8</f>
        <v>0</v>
      </c>
      <c r="J3093" s="135" t="n">
        <f aca="false">$G3093*'Analyse capacite'!$D$8</f>
        <v>0</v>
      </c>
      <c r="K3093" s="135" t="n">
        <f aca="false">$G3093*'Analyse capacite'!$E$8</f>
        <v>0</v>
      </c>
    </row>
    <row r="3094" customFormat="false" ht="15" hidden="false" customHeight="false" outlineLevel="0" collapsed="false">
      <c r="B3094" s="130" t="n">
        <v>2027</v>
      </c>
      <c r="C3094" s="131" t="s">
        <v>248</v>
      </c>
      <c r="D3094" s="132" t="n">
        <v>46563</v>
      </c>
      <c r="E3094" s="131" t="s">
        <v>56</v>
      </c>
      <c r="F3094" s="133" t="s">
        <v>24</v>
      </c>
      <c r="G3094" s="134" t="n">
        <f aca="false">LEN('Saisie programme'!$H$120)+SUMIFS('Vols additionnels'!$E$7:$E$66,'Vols additionnels'!$C$7:$C$66,$E3094,'Vols additionnels'!$D$7:$D$66,$F3094,'Vols additionnels'!$B$7:$B$66,$D3094)</f>
        <v>0</v>
      </c>
      <c r="H3094" s="135" t="n">
        <f aca="false">$G3094*'Analyse capacite'!$F$9</f>
        <v>0</v>
      </c>
      <c r="I3094" s="135" t="n">
        <f aca="false">$G3094*'Analyse capacite'!$C$9</f>
        <v>0</v>
      </c>
      <c r="J3094" s="135" t="n">
        <f aca="false">$G3094*'Analyse capacite'!$D$9</f>
        <v>0</v>
      </c>
      <c r="K3094" s="135" t="n">
        <f aca="false">$G3094*'Analyse capacite'!$E$9</f>
        <v>0</v>
      </c>
    </row>
    <row r="3095" customFormat="false" ht="15" hidden="false" customHeight="false" outlineLevel="0" collapsed="false">
      <c r="B3095" s="130" t="n">
        <v>2027</v>
      </c>
      <c r="C3095" s="131" t="s">
        <v>248</v>
      </c>
      <c r="D3095" s="132" t="n">
        <v>46563</v>
      </c>
      <c r="E3095" s="131" t="s">
        <v>59</v>
      </c>
      <c r="F3095" s="133" t="s">
        <v>11</v>
      </c>
      <c r="G3095" s="134" t="n">
        <f aca="false">LEN('Saisie programme'!$H$121)+SUMIFS('Vols additionnels'!$E$7:$E$66,'Vols additionnels'!$C$7:$C$66,$E3095,'Vols additionnels'!$D$7:$D$66,$F3095,'Vols additionnels'!$B$7:$B$66,$D3095)</f>
        <v>0</v>
      </c>
      <c r="H3095" s="135" t="n">
        <f aca="false">$G3095*'Analyse capacite'!$F$7</f>
        <v>0</v>
      </c>
      <c r="I3095" s="135" t="n">
        <f aca="false">$G3095*'Analyse capacite'!$C$7</f>
        <v>0</v>
      </c>
      <c r="J3095" s="135" t="n">
        <f aca="false">$G3095*'Analyse capacite'!$D$7</f>
        <v>0</v>
      </c>
      <c r="K3095" s="135" t="n">
        <f aca="false">$G3095*'Analyse capacite'!$E$7</f>
        <v>0</v>
      </c>
    </row>
    <row r="3096" customFormat="false" ht="15" hidden="false" customHeight="false" outlineLevel="0" collapsed="false">
      <c r="B3096" s="130" t="n">
        <v>2027</v>
      </c>
      <c r="C3096" s="131" t="s">
        <v>248</v>
      </c>
      <c r="D3096" s="132" t="n">
        <v>46563</v>
      </c>
      <c r="E3096" s="131" t="s">
        <v>59</v>
      </c>
      <c r="F3096" s="133" t="s">
        <v>19</v>
      </c>
      <c r="G3096" s="134" t="n">
        <f aca="false">LEN('Saisie programme'!$H$122)+SUMIFS('Vols additionnels'!$E$7:$E$66,'Vols additionnels'!$C$7:$C$66,$E3096,'Vols additionnels'!$D$7:$D$66,$F3096,'Vols additionnels'!$B$7:$B$66,$D3096)</f>
        <v>0</v>
      </c>
      <c r="H3096" s="135" t="n">
        <f aca="false">$G3096*'Analyse capacite'!$F$8</f>
        <v>0</v>
      </c>
      <c r="I3096" s="135" t="n">
        <f aca="false">$G3096*'Analyse capacite'!$C$8</f>
        <v>0</v>
      </c>
      <c r="J3096" s="135" t="n">
        <f aca="false">$G3096*'Analyse capacite'!$D$8</f>
        <v>0</v>
      </c>
      <c r="K3096" s="135" t="n">
        <f aca="false">$G3096*'Analyse capacite'!$E$8</f>
        <v>0</v>
      </c>
    </row>
    <row r="3097" customFormat="false" ht="15" hidden="false" customHeight="false" outlineLevel="0" collapsed="false">
      <c r="B3097" s="130" t="n">
        <v>2027</v>
      </c>
      <c r="C3097" s="131" t="s">
        <v>248</v>
      </c>
      <c r="D3097" s="132" t="n">
        <v>46563</v>
      </c>
      <c r="E3097" s="131" t="s">
        <v>59</v>
      </c>
      <c r="F3097" s="133" t="s">
        <v>24</v>
      </c>
      <c r="G3097" s="134" t="n">
        <f aca="false">LEN('Saisie programme'!$H$123)+SUMIFS('Vols additionnels'!$E$7:$E$66,'Vols additionnels'!$C$7:$C$66,$E3097,'Vols additionnels'!$D$7:$D$66,$F3097,'Vols additionnels'!$B$7:$B$66,$D3097)</f>
        <v>1</v>
      </c>
      <c r="H3097" s="135" t="n">
        <f aca="false">$G3097*'Analyse capacite'!$F$9</f>
        <v>174</v>
      </c>
      <c r="I3097" s="135" t="n">
        <f aca="false">$G3097*'Analyse capacite'!$C$9</f>
        <v>0</v>
      </c>
      <c r="J3097" s="135" t="n">
        <f aca="false">$G3097*'Analyse capacite'!$D$9</f>
        <v>12</v>
      </c>
      <c r="K3097" s="135" t="n">
        <f aca="false">$G3097*'Analyse capacite'!$E$9</f>
        <v>162</v>
      </c>
    </row>
    <row r="3098" customFormat="false" ht="15" hidden="false" customHeight="false" outlineLevel="0" collapsed="false">
      <c r="B3098" s="130" t="n">
        <v>2027</v>
      </c>
      <c r="C3098" s="131" t="s">
        <v>248</v>
      </c>
      <c r="D3098" s="132" t="n">
        <v>46563</v>
      </c>
      <c r="E3098" s="131" t="s">
        <v>62</v>
      </c>
      <c r="F3098" s="133" t="s">
        <v>11</v>
      </c>
      <c r="G3098" s="134" t="n">
        <f aca="false">LEN('Saisie programme'!$H$124)+SUMIFS('Vols additionnels'!$E$7:$E$66,'Vols additionnels'!$C$7:$C$66,$E3098,'Vols additionnels'!$D$7:$D$66,$F3098,'Vols additionnels'!$B$7:$B$66,$D3098)</f>
        <v>0</v>
      </c>
      <c r="H3098" s="135" t="n">
        <f aca="false">$G3098*'Analyse capacite'!$F$7</f>
        <v>0</v>
      </c>
      <c r="I3098" s="135" t="n">
        <f aca="false">$G3098*'Analyse capacite'!$C$7</f>
        <v>0</v>
      </c>
      <c r="J3098" s="135" t="n">
        <f aca="false">$G3098*'Analyse capacite'!$D$7</f>
        <v>0</v>
      </c>
      <c r="K3098" s="135" t="n">
        <f aca="false">$G3098*'Analyse capacite'!$E$7</f>
        <v>0</v>
      </c>
    </row>
    <row r="3099" customFormat="false" ht="15" hidden="false" customHeight="false" outlineLevel="0" collapsed="false">
      <c r="B3099" s="130" t="n">
        <v>2027</v>
      </c>
      <c r="C3099" s="131" t="s">
        <v>248</v>
      </c>
      <c r="D3099" s="132" t="n">
        <v>46563</v>
      </c>
      <c r="E3099" s="131" t="s">
        <v>62</v>
      </c>
      <c r="F3099" s="133" t="s">
        <v>19</v>
      </c>
      <c r="G3099" s="134" t="n">
        <f aca="false">LEN('Saisie programme'!$H$125)+SUMIFS('Vols additionnels'!$E$7:$E$66,'Vols additionnels'!$C$7:$C$66,$E3099,'Vols additionnels'!$D$7:$D$66,$F3099,'Vols additionnels'!$B$7:$B$66,$D3099)</f>
        <v>0</v>
      </c>
      <c r="H3099" s="135" t="n">
        <f aca="false">$G3099*'Analyse capacite'!$F$8</f>
        <v>0</v>
      </c>
      <c r="I3099" s="135" t="n">
        <f aca="false">$G3099*'Analyse capacite'!$C$8</f>
        <v>0</v>
      </c>
      <c r="J3099" s="135" t="n">
        <f aca="false">$G3099*'Analyse capacite'!$D$8</f>
        <v>0</v>
      </c>
      <c r="K3099" s="135" t="n">
        <f aca="false">$G3099*'Analyse capacite'!$E$8</f>
        <v>0</v>
      </c>
    </row>
    <row r="3100" customFormat="false" ht="15" hidden="false" customHeight="false" outlineLevel="0" collapsed="false">
      <c r="B3100" s="130" t="n">
        <v>2027</v>
      </c>
      <c r="C3100" s="131" t="s">
        <v>248</v>
      </c>
      <c r="D3100" s="132" t="n">
        <v>46563</v>
      </c>
      <c r="E3100" s="131" t="s">
        <v>62</v>
      </c>
      <c r="F3100" s="133" t="s">
        <v>24</v>
      </c>
      <c r="G3100" s="134" t="n">
        <f aca="false">LEN('Saisie programme'!$H$126)+SUMIFS('Vols additionnels'!$E$7:$E$66,'Vols additionnels'!$C$7:$C$66,$E3100,'Vols additionnels'!$D$7:$D$66,$F3100,'Vols additionnels'!$B$7:$B$66,$D3100)</f>
        <v>0</v>
      </c>
      <c r="H3100" s="135" t="n">
        <f aca="false">$G3100*'Analyse capacite'!$F$9</f>
        <v>0</v>
      </c>
      <c r="I3100" s="135" t="n">
        <f aca="false">$G3100*'Analyse capacite'!$C$9</f>
        <v>0</v>
      </c>
      <c r="J3100" s="135" t="n">
        <f aca="false">$G3100*'Analyse capacite'!$D$9</f>
        <v>0</v>
      </c>
      <c r="K3100" s="135" t="n">
        <f aca="false">$G3100*'Analyse capacite'!$E$9</f>
        <v>0</v>
      </c>
    </row>
    <row r="3101" customFormat="false" ht="15" hidden="false" customHeight="false" outlineLevel="0" collapsed="false">
      <c r="B3101" s="130" t="n">
        <v>2027</v>
      </c>
      <c r="C3101" s="131" t="s">
        <v>248</v>
      </c>
      <c r="D3101" s="132" t="n">
        <v>46564</v>
      </c>
      <c r="E3101" s="131" t="s">
        <v>12</v>
      </c>
      <c r="F3101" s="133" t="s">
        <v>11</v>
      </c>
      <c r="G3101" s="134" t="n">
        <f aca="false">LEN('Saisie programme'!$I$91)+SUMIFS('Vols additionnels'!$E$7:$E$66,'Vols additionnels'!$C$7:$C$66,$E3101,'Vols additionnels'!$D$7:$D$66,$F3101,'Vols additionnels'!$B$7:$B$66,$D3101)</f>
        <v>1</v>
      </c>
      <c r="H3101" s="135" t="n">
        <f aca="false">$G3101*'Analyse capacite'!$F$7</f>
        <v>438</v>
      </c>
      <c r="I3101" s="135" t="n">
        <f aca="false">$G3101*'Analyse capacite'!$C$7</f>
        <v>14</v>
      </c>
      <c r="J3101" s="135" t="n">
        <f aca="false">$G3101*'Analyse capacite'!$D$7</f>
        <v>40</v>
      </c>
      <c r="K3101" s="135" t="n">
        <f aca="false">$G3101*'Analyse capacite'!$E$7</f>
        <v>384</v>
      </c>
    </row>
    <row r="3102" customFormat="false" ht="15" hidden="false" customHeight="false" outlineLevel="0" collapsed="false">
      <c r="B3102" s="130" t="n">
        <v>2027</v>
      </c>
      <c r="C3102" s="131" t="s">
        <v>248</v>
      </c>
      <c r="D3102" s="132" t="n">
        <v>46564</v>
      </c>
      <c r="E3102" s="131" t="s">
        <v>12</v>
      </c>
      <c r="F3102" s="133" t="s">
        <v>19</v>
      </c>
      <c r="G3102" s="134" t="n">
        <f aca="false">LEN('Saisie programme'!$I$92)+SUMIFS('Vols additionnels'!$E$7:$E$66,'Vols additionnels'!$C$7:$C$66,$E3102,'Vols additionnels'!$D$7:$D$66,$F3102,'Vols additionnels'!$B$7:$B$66,$D3102)</f>
        <v>0</v>
      </c>
      <c r="H3102" s="135" t="n">
        <f aca="false">$G3102*'Analyse capacite'!$F$8</f>
        <v>0</v>
      </c>
      <c r="I3102" s="135" t="n">
        <f aca="false">$G3102*'Analyse capacite'!$C$8</f>
        <v>0</v>
      </c>
      <c r="J3102" s="135" t="n">
        <f aca="false">$G3102*'Analyse capacite'!$D$8</f>
        <v>0</v>
      </c>
      <c r="K3102" s="135" t="n">
        <f aca="false">$G3102*'Analyse capacite'!$E$8</f>
        <v>0</v>
      </c>
    </row>
    <row r="3103" customFormat="false" ht="15" hidden="false" customHeight="false" outlineLevel="0" collapsed="false">
      <c r="B3103" s="130" t="n">
        <v>2027</v>
      </c>
      <c r="C3103" s="131" t="s">
        <v>248</v>
      </c>
      <c r="D3103" s="132" t="n">
        <v>46564</v>
      </c>
      <c r="E3103" s="131" t="s">
        <v>12</v>
      </c>
      <c r="F3103" s="133" t="s">
        <v>24</v>
      </c>
      <c r="G3103" s="134" t="n">
        <f aca="false">LEN('Saisie programme'!$I$93)+SUMIFS('Vols additionnels'!$E$7:$E$66,'Vols additionnels'!$C$7:$C$66,$E3103,'Vols additionnels'!$D$7:$D$66,$F3103,'Vols additionnels'!$B$7:$B$66,$D3103)</f>
        <v>0</v>
      </c>
      <c r="H3103" s="135" t="n">
        <f aca="false">$G3103*'Analyse capacite'!$F$9</f>
        <v>0</v>
      </c>
      <c r="I3103" s="135" t="n">
        <f aca="false">$G3103*'Analyse capacite'!$C$9</f>
        <v>0</v>
      </c>
      <c r="J3103" s="135" t="n">
        <f aca="false">$G3103*'Analyse capacite'!$D$9</f>
        <v>0</v>
      </c>
      <c r="K3103" s="135" t="n">
        <f aca="false">$G3103*'Analyse capacite'!$E$9</f>
        <v>0</v>
      </c>
    </row>
    <row r="3104" customFormat="false" ht="15" hidden="false" customHeight="false" outlineLevel="0" collapsed="false">
      <c r="B3104" s="130" t="n">
        <v>2027</v>
      </c>
      <c r="C3104" s="131" t="s">
        <v>248</v>
      </c>
      <c r="D3104" s="132" t="n">
        <v>46564</v>
      </c>
      <c r="E3104" s="131" t="s">
        <v>20</v>
      </c>
      <c r="F3104" s="133" t="s">
        <v>11</v>
      </c>
      <c r="G3104" s="134" t="n">
        <f aca="false">LEN('Saisie programme'!$I$94)+SUMIFS('Vols additionnels'!$E$7:$E$66,'Vols additionnels'!$C$7:$C$66,$E3104,'Vols additionnels'!$D$7:$D$66,$F3104,'Vols additionnels'!$B$7:$B$66,$D3104)</f>
        <v>0</v>
      </c>
      <c r="H3104" s="135" t="n">
        <f aca="false">$G3104*'Analyse capacite'!$F$7</f>
        <v>0</v>
      </c>
      <c r="I3104" s="135" t="n">
        <f aca="false">$G3104*'Analyse capacite'!$C$7</f>
        <v>0</v>
      </c>
      <c r="J3104" s="135" t="n">
        <f aca="false">$G3104*'Analyse capacite'!$D$7</f>
        <v>0</v>
      </c>
      <c r="K3104" s="135" t="n">
        <f aca="false">$G3104*'Analyse capacite'!$E$7</f>
        <v>0</v>
      </c>
    </row>
    <row r="3105" customFormat="false" ht="15" hidden="false" customHeight="false" outlineLevel="0" collapsed="false">
      <c r="B3105" s="130" t="n">
        <v>2027</v>
      </c>
      <c r="C3105" s="131" t="s">
        <v>248</v>
      </c>
      <c r="D3105" s="132" t="n">
        <v>46564</v>
      </c>
      <c r="E3105" s="131" t="s">
        <v>20</v>
      </c>
      <c r="F3105" s="133" t="s">
        <v>19</v>
      </c>
      <c r="G3105" s="134" t="n">
        <f aca="false">LEN('Saisie programme'!$I$95)+SUMIFS('Vols additionnels'!$E$7:$E$66,'Vols additionnels'!$C$7:$C$66,$E3105,'Vols additionnels'!$D$7:$D$66,$F3105,'Vols additionnels'!$B$7:$B$66,$D3105)</f>
        <v>0</v>
      </c>
      <c r="H3105" s="135" t="n">
        <f aca="false">$G3105*'Analyse capacite'!$F$8</f>
        <v>0</v>
      </c>
      <c r="I3105" s="135" t="n">
        <f aca="false">$G3105*'Analyse capacite'!$C$8</f>
        <v>0</v>
      </c>
      <c r="J3105" s="135" t="n">
        <f aca="false">$G3105*'Analyse capacite'!$D$8</f>
        <v>0</v>
      </c>
      <c r="K3105" s="135" t="n">
        <f aca="false">$G3105*'Analyse capacite'!$E$8</f>
        <v>0</v>
      </c>
    </row>
    <row r="3106" customFormat="false" ht="15" hidden="false" customHeight="false" outlineLevel="0" collapsed="false">
      <c r="B3106" s="130" t="n">
        <v>2027</v>
      </c>
      <c r="C3106" s="131" t="s">
        <v>248</v>
      </c>
      <c r="D3106" s="132" t="n">
        <v>46564</v>
      </c>
      <c r="E3106" s="131" t="s">
        <v>20</v>
      </c>
      <c r="F3106" s="133" t="s">
        <v>24</v>
      </c>
      <c r="G3106" s="134" t="n">
        <f aca="false">LEN('Saisie programme'!$I$96)+SUMIFS('Vols additionnels'!$E$7:$E$66,'Vols additionnels'!$C$7:$C$66,$E3106,'Vols additionnels'!$D$7:$D$66,$F3106,'Vols additionnels'!$B$7:$B$66,$D3106)</f>
        <v>0</v>
      </c>
      <c r="H3106" s="135" t="n">
        <f aca="false">$G3106*'Analyse capacite'!$F$9</f>
        <v>0</v>
      </c>
      <c r="I3106" s="135" t="n">
        <f aca="false">$G3106*'Analyse capacite'!$C$9</f>
        <v>0</v>
      </c>
      <c r="J3106" s="135" t="n">
        <f aca="false">$G3106*'Analyse capacite'!$D$9</f>
        <v>0</v>
      </c>
      <c r="K3106" s="135" t="n">
        <f aca="false">$G3106*'Analyse capacite'!$E$9</f>
        <v>0</v>
      </c>
    </row>
    <row r="3107" customFormat="false" ht="15" hidden="false" customHeight="false" outlineLevel="0" collapsed="false">
      <c r="B3107" s="130" t="n">
        <v>2027</v>
      </c>
      <c r="C3107" s="131" t="s">
        <v>248</v>
      </c>
      <c r="D3107" s="132" t="n">
        <v>46564</v>
      </c>
      <c r="E3107" s="131" t="s">
        <v>25</v>
      </c>
      <c r="F3107" s="133" t="s">
        <v>11</v>
      </c>
      <c r="G3107" s="134" t="n">
        <f aca="false">LEN('Saisie programme'!$I$97)+SUMIFS('Vols additionnels'!$E$7:$E$66,'Vols additionnels'!$C$7:$C$66,$E3107,'Vols additionnels'!$D$7:$D$66,$F3107,'Vols additionnels'!$B$7:$B$66,$D3107)</f>
        <v>0</v>
      </c>
      <c r="H3107" s="135" t="n">
        <f aca="false">$G3107*'Analyse capacite'!$F$7</f>
        <v>0</v>
      </c>
      <c r="I3107" s="135" t="n">
        <f aca="false">$G3107*'Analyse capacite'!$C$7</f>
        <v>0</v>
      </c>
      <c r="J3107" s="135" t="n">
        <f aca="false">$G3107*'Analyse capacite'!$D$7</f>
        <v>0</v>
      </c>
      <c r="K3107" s="135" t="n">
        <f aca="false">$G3107*'Analyse capacite'!$E$7</f>
        <v>0</v>
      </c>
    </row>
    <row r="3108" customFormat="false" ht="15" hidden="false" customHeight="false" outlineLevel="0" collapsed="false">
      <c r="B3108" s="130" t="n">
        <v>2027</v>
      </c>
      <c r="C3108" s="131" t="s">
        <v>248</v>
      </c>
      <c r="D3108" s="132" t="n">
        <v>46564</v>
      </c>
      <c r="E3108" s="131" t="s">
        <v>25</v>
      </c>
      <c r="F3108" s="133" t="s">
        <v>19</v>
      </c>
      <c r="G3108" s="134" t="n">
        <f aca="false">LEN('Saisie programme'!$I$98)+SUMIFS('Vols additionnels'!$E$7:$E$66,'Vols additionnels'!$C$7:$C$66,$E3108,'Vols additionnels'!$D$7:$D$66,$F3108,'Vols additionnels'!$B$7:$B$66,$D3108)</f>
        <v>1</v>
      </c>
      <c r="H3108" s="135" t="n">
        <f aca="false">$G3108*'Analyse capacite'!$F$8</f>
        <v>262</v>
      </c>
      <c r="I3108" s="135" t="n">
        <f aca="false">$G3108*'Analyse capacite'!$C$8</f>
        <v>18</v>
      </c>
      <c r="J3108" s="135" t="n">
        <f aca="false">$G3108*'Analyse capacite'!$D$8</f>
        <v>0</v>
      </c>
      <c r="K3108" s="135" t="n">
        <f aca="false">$G3108*'Analyse capacite'!$E$8</f>
        <v>244</v>
      </c>
    </row>
    <row r="3109" customFormat="false" ht="15" hidden="false" customHeight="false" outlineLevel="0" collapsed="false">
      <c r="B3109" s="130" t="n">
        <v>2027</v>
      </c>
      <c r="C3109" s="131" t="s">
        <v>248</v>
      </c>
      <c r="D3109" s="132" t="n">
        <v>46564</v>
      </c>
      <c r="E3109" s="131" t="s">
        <v>25</v>
      </c>
      <c r="F3109" s="133" t="s">
        <v>24</v>
      </c>
      <c r="G3109" s="134" t="n">
        <f aca="false">LEN('Saisie programme'!$I$99)+SUMIFS('Vols additionnels'!$E$7:$E$66,'Vols additionnels'!$C$7:$C$66,$E3109,'Vols additionnels'!$D$7:$D$66,$F3109,'Vols additionnels'!$B$7:$B$66,$D3109)</f>
        <v>0</v>
      </c>
      <c r="H3109" s="135" t="n">
        <f aca="false">$G3109*'Analyse capacite'!$F$9</f>
        <v>0</v>
      </c>
      <c r="I3109" s="135" t="n">
        <f aca="false">$G3109*'Analyse capacite'!$C$9</f>
        <v>0</v>
      </c>
      <c r="J3109" s="135" t="n">
        <f aca="false">$G3109*'Analyse capacite'!$D$9</f>
        <v>0</v>
      </c>
      <c r="K3109" s="135" t="n">
        <f aca="false">$G3109*'Analyse capacite'!$E$9</f>
        <v>0</v>
      </c>
    </row>
    <row r="3110" customFormat="false" ht="15" hidden="false" customHeight="false" outlineLevel="0" collapsed="false">
      <c r="B3110" s="130" t="n">
        <v>2027</v>
      </c>
      <c r="C3110" s="131" t="s">
        <v>248</v>
      </c>
      <c r="D3110" s="132" t="n">
        <v>46564</v>
      </c>
      <c r="E3110" s="131" t="s">
        <v>36</v>
      </c>
      <c r="F3110" s="133" t="s">
        <v>11</v>
      </c>
      <c r="G3110" s="134" t="n">
        <f aca="false">LEN('Saisie programme'!$I$100)+SUMIFS('Vols additionnels'!$E$7:$E$66,'Vols additionnels'!$C$7:$C$66,$E3110,'Vols additionnels'!$D$7:$D$66,$F3110,'Vols additionnels'!$B$7:$B$66,$D3110)</f>
        <v>0</v>
      </c>
      <c r="H3110" s="135" t="n">
        <f aca="false">$G3110*'Analyse capacite'!$F$7</f>
        <v>0</v>
      </c>
      <c r="I3110" s="135" t="n">
        <f aca="false">$G3110*'Analyse capacite'!$C$7</f>
        <v>0</v>
      </c>
      <c r="J3110" s="135" t="n">
        <f aca="false">$G3110*'Analyse capacite'!$D$7</f>
        <v>0</v>
      </c>
      <c r="K3110" s="135" t="n">
        <f aca="false">$G3110*'Analyse capacite'!$E$7</f>
        <v>0</v>
      </c>
    </row>
    <row r="3111" customFormat="false" ht="15" hidden="false" customHeight="false" outlineLevel="0" collapsed="false">
      <c r="B3111" s="130" t="n">
        <v>2027</v>
      </c>
      <c r="C3111" s="131" t="s">
        <v>248</v>
      </c>
      <c r="D3111" s="132" t="n">
        <v>46564</v>
      </c>
      <c r="E3111" s="131" t="s">
        <v>36</v>
      </c>
      <c r="F3111" s="133" t="s">
        <v>19</v>
      </c>
      <c r="G3111" s="134" t="n">
        <f aca="false">LEN('Saisie programme'!$I$101)+SUMIFS('Vols additionnels'!$E$7:$E$66,'Vols additionnels'!$C$7:$C$66,$E3111,'Vols additionnels'!$D$7:$D$66,$F3111,'Vols additionnels'!$B$7:$B$66,$D3111)</f>
        <v>0</v>
      </c>
      <c r="H3111" s="135" t="n">
        <f aca="false">$G3111*'Analyse capacite'!$F$8</f>
        <v>0</v>
      </c>
      <c r="I3111" s="135" t="n">
        <f aca="false">$G3111*'Analyse capacite'!$C$8</f>
        <v>0</v>
      </c>
      <c r="J3111" s="135" t="n">
        <f aca="false">$G3111*'Analyse capacite'!$D$8</f>
        <v>0</v>
      </c>
      <c r="K3111" s="135" t="n">
        <f aca="false">$G3111*'Analyse capacite'!$E$8</f>
        <v>0</v>
      </c>
    </row>
    <row r="3112" customFormat="false" ht="15" hidden="false" customHeight="false" outlineLevel="0" collapsed="false">
      <c r="B3112" s="130" t="n">
        <v>2027</v>
      </c>
      <c r="C3112" s="131" t="s">
        <v>248</v>
      </c>
      <c r="D3112" s="132" t="n">
        <v>46564</v>
      </c>
      <c r="E3112" s="131" t="s">
        <v>36</v>
      </c>
      <c r="F3112" s="133" t="s">
        <v>24</v>
      </c>
      <c r="G3112" s="134" t="n">
        <f aca="false">LEN('Saisie programme'!$I$102)+SUMIFS('Vols additionnels'!$E$7:$E$66,'Vols additionnels'!$C$7:$C$66,$E3112,'Vols additionnels'!$D$7:$D$66,$F3112,'Vols additionnels'!$B$7:$B$66,$D3112)</f>
        <v>0</v>
      </c>
      <c r="H3112" s="135" t="n">
        <f aca="false">$G3112*'Analyse capacite'!$F$9</f>
        <v>0</v>
      </c>
      <c r="I3112" s="135" t="n">
        <f aca="false">$G3112*'Analyse capacite'!$C$9</f>
        <v>0</v>
      </c>
      <c r="J3112" s="135" t="n">
        <f aca="false">$G3112*'Analyse capacite'!$D$9</f>
        <v>0</v>
      </c>
      <c r="K3112" s="135" t="n">
        <f aca="false">$G3112*'Analyse capacite'!$E$9</f>
        <v>0</v>
      </c>
    </row>
    <row r="3113" customFormat="false" ht="15" hidden="false" customHeight="false" outlineLevel="0" collapsed="false">
      <c r="B3113" s="130" t="n">
        <v>2027</v>
      </c>
      <c r="C3113" s="131" t="s">
        <v>248</v>
      </c>
      <c r="D3113" s="132" t="n">
        <v>46564</v>
      </c>
      <c r="E3113" s="131" t="s">
        <v>40</v>
      </c>
      <c r="F3113" s="133" t="s">
        <v>11</v>
      </c>
      <c r="G3113" s="134" t="n">
        <f aca="false">LEN('Saisie programme'!$I$103)+SUMIFS('Vols additionnels'!$E$7:$E$66,'Vols additionnels'!$C$7:$C$66,$E3113,'Vols additionnels'!$D$7:$D$66,$F3113,'Vols additionnels'!$B$7:$B$66,$D3113)</f>
        <v>0</v>
      </c>
      <c r="H3113" s="135" t="n">
        <f aca="false">$G3113*'Analyse capacite'!$F$7</f>
        <v>0</v>
      </c>
      <c r="I3113" s="135" t="n">
        <f aca="false">$G3113*'Analyse capacite'!$C$7</f>
        <v>0</v>
      </c>
      <c r="J3113" s="135" t="n">
        <f aca="false">$G3113*'Analyse capacite'!$D$7</f>
        <v>0</v>
      </c>
      <c r="K3113" s="135" t="n">
        <f aca="false">$G3113*'Analyse capacite'!$E$7</f>
        <v>0</v>
      </c>
    </row>
    <row r="3114" customFormat="false" ht="15" hidden="false" customHeight="false" outlineLevel="0" collapsed="false">
      <c r="B3114" s="130" t="n">
        <v>2027</v>
      </c>
      <c r="C3114" s="131" t="s">
        <v>248</v>
      </c>
      <c r="D3114" s="132" t="n">
        <v>46564</v>
      </c>
      <c r="E3114" s="131" t="s">
        <v>40</v>
      </c>
      <c r="F3114" s="133" t="s">
        <v>19</v>
      </c>
      <c r="G3114" s="134" t="n">
        <f aca="false">LEN('Saisie programme'!$I$104)+SUMIFS('Vols additionnels'!$E$7:$E$66,'Vols additionnels'!$C$7:$C$66,$E3114,'Vols additionnels'!$D$7:$D$66,$F3114,'Vols additionnels'!$B$7:$B$66,$D3114)</f>
        <v>0</v>
      </c>
      <c r="H3114" s="135" t="n">
        <f aca="false">$G3114*'Analyse capacite'!$F$8</f>
        <v>0</v>
      </c>
      <c r="I3114" s="135" t="n">
        <f aca="false">$G3114*'Analyse capacite'!$C$8</f>
        <v>0</v>
      </c>
      <c r="J3114" s="135" t="n">
        <f aca="false">$G3114*'Analyse capacite'!$D$8</f>
        <v>0</v>
      </c>
      <c r="K3114" s="135" t="n">
        <f aca="false">$G3114*'Analyse capacite'!$E$8</f>
        <v>0</v>
      </c>
    </row>
    <row r="3115" customFormat="false" ht="15" hidden="false" customHeight="false" outlineLevel="0" collapsed="false">
      <c r="B3115" s="130" t="n">
        <v>2027</v>
      </c>
      <c r="C3115" s="131" t="s">
        <v>248</v>
      </c>
      <c r="D3115" s="132" t="n">
        <v>46564</v>
      </c>
      <c r="E3115" s="131" t="s">
        <v>40</v>
      </c>
      <c r="F3115" s="133" t="s">
        <v>24</v>
      </c>
      <c r="G3115" s="134" t="n">
        <f aca="false">LEN('Saisie programme'!$I$105)+SUMIFS('Vols additionnels'!$E$7:$E$66,'Vols additionnels'!$C$7:$C$66,$E3115,'Vols additionnels'!$D$7:$D$66,$F3115,'Vols additionnels'!$B$7:$B$66,$D3115)</f>
        <v>0</v>
      </c>
      <c r="H3115" s="135" t="n">
        <f aca="false">$G3115*'Analyse capacite'!$F$9</f>
        <v>0</v>
      </c>
      <c r="I3115" s="135" t="n">
        <f aca="false">$G3115*'Analyse capacite'!$C$9</f>
        <v>0</v>
      </c>
      <c r="J3115" s="135" t="n">
        <f aca="false">$G3115*'Analyse capacite'!$D$9</f>
        <v>0</v>
      </c>
      <c r="K3115" s="135" t="n">
        <f aca="false">$G3115*'Analyse capacite'!$E$9</f>
        <v>0</v>
      </c>
    </row>
    <row r="3116" customFormat="false" ht="15" hidden="false" customHeight="false" outlineLevel="0" collapsed="false">
      <c r="B3116" s="130" t="n">
        <v>2027</v>
      </c>
      <c r="C3116" s="131" t="s">
        <v>248</v>
      </c>
      <c r="D3116" s="132" t="n">
        <v>46564</v>
      </c>
      <c r="E3116" s="131" t="s">
        <v>14</v>
      </c>
      <c r="F3116" s="133" t="s">
        <v>11</v>
      </c>
      <c r="G3116" s="134" t="n">
        <f aca="false">LEN('Saisie programme'!$I$106)+SUMIFS('Vols additionnels'!$E$7:$E$66,'Vols additionnels'!$C$7:$C$66,$E3116,'Vols additionnels'!$D$7:$D$66,$F3116,'Vols additionnels'!$B$7:$B$66,$D3116)</f>
        <v>0</v>
      </c>
      <c r="H3116" s="135" t="n">
        <f aca="false">$G3116*'Analyse capacite'!$F$7</f>
        <v>0</v>
      </c>
      <c r="I3116" s="135" t="n">
        <f aca="false">$G3116*'Analyse capacite'!$C$7</f>
        <v>0</v>
      </c>
      <c r="J3116" s="135" t="n">
        <f aca="false">$G3116*'Analyse capacite'!$D$7</f>
        <v>0</v>
      </c>
      <c r="K3116" s="135" t="n">
        <f aca="false">$G3116*'Analyse capacite'!$E$7</f>
        <v>0</v>
      </c>
    </row>
    <row r="3117" customFormat="false" ht="15" hidden="false" customHeight="false" outlineLevel="0" collapsed="false">
      <c r="B3117" s="130" t="n">
        <v>2027</v>
      </c>
      <c r="C3117" s="131" t="s">
        <v>248</v>
      </c>
      <c r="D3117" s="132" t="n">
        <v>46564</v>
      </c>
      <c r="E3117" s="131" t="s">
        <v>14</v>
      </c>
      <c r="F3117" s="133" t="s">
        <v>19</v>
      </c>
      <c r="G3117" s="134" t="n">
        <f aca="false">LEN('Saisie programme'!$I$107)+SUMIFS('Vols additionnels'!$E$7:$E$66,'Vols additionnels'!$C$7:$C$66,$E3117,'Vols additionnels'!$D$7:$D$66,$F3117,'Vols additionnels'!$B$7:$B$66,$D3117)</f>
        <v>0</v>
      </c>
      <c r="H3117" s="135" t="n">
        <f aca="false">$G3117*'Analyse capacite'!$F$8</f>
        <v>0</v>
      </c>
      <c r="I3117" s="135" t="n">
        <f aca="false">$G3117*'Analyse capacite'!$C$8</f>
        <v>0</v>
      </c>
      <c r="J3117" s="135" t="n">
        <f aca="false">$G3117*'Analyse capacite'!$D$8</f>
        <v>0</v>
      </c>
      <c r="K3117" s="135" t="n">
        <f aca="false">$G3117*'Analyse capacite'!$E$8</f>
        <v>0</v>
      </c>
    </row>
    <row r="3118" customFormat="false" ht="15" hidden="false" customHeight="false" outlineLevel="0" collapsed="false">
      <c r="B3118" s="130" t="n">
        <v>2027</v>
      </c>
      <c r="C3118" s="131" t="s">
        <v>248</v>
      </c>
      <c r="D3118" s="132" t="n">
        <v>46564</v>
      </c>
      <c r="E3118" s="131" t="s">
        <v>14</v>
      </c>
      <c r="F3118" s="133" t="s">
        <v>24</v>
      </c>
      <c r="G3118" s="134" t="n">
        <f aca="false">LEN('Saisie programme'!$I$108)+SUMIFS('Vols additionnels'!$E$7:$E$66,'Vols additionnels'!$C$7:$C$66,$E3118,'Vols additionnels'!$D$7:$D$66,$F3118,'Vols additionnels'!$B$7:$B$66,$D3118)</f>
        <v>1</v>
      </c>
      <c r="H3118" s="135" t="n">
        <f aca="false">$G3118*'Analyse capacite'!$F$9</f>
        <v>174</v>
      </c>
      <c r="I3118" s="135" t="n">
        <f aca="false">$G3118*'Analyse capacite'!$C$9</f>
        <v>0</v>
      </c>
      <c r="J3118" s="135" t="n">
        <f aca="false">$G3118*'Analyse capacite'!$D$9</f>
        <v>12</v>
      </c>
      <c r="K3118" s="135" t="n">
        <f aca="false">$G3118*'Analyse capacite'!$E$9</f>
        <v>162</v>
      </c>
    </row>
    <row r="3119" customFormat="false" ht="15" hidden="false" customHeight="false" outlineLevel="0" collapsed="false">
      <c r="B3119" s="130" t="n">
        <v>2027</v>
      </c>
      <c r="C3119" s="131" t="s">
        <v>248</v>
      </c>
      <c r="D3119" s="132" t="n">
        <v>46564</v>
      </c>
      <c r="E3119" s="131" t="s">
        <v>46</v>
      </c>
      <c r="F3119" s="133" t="s">
        <v>11</v>
      </c>
      <c r="G3119" s="134" t="n">
        <f aca="false">LEN('Saisie programme'!$I$109)+SUMIFS('Vols additionnels'!$E$7:$E$66,'Vols additionnels'!$C$7:$C$66,$E3119,'Vols additionnels'!$D$7:$D$66,$F3119,'Vols additionnels'!$B$7:$B$66,$D3119)</f>
        <v>0</v>
      </c>
      <c r="H3119" s="135" t="n">
        <f aca="false">$G3119*'Analyse capacite'!$F$7</f>
        <v>0</v>
      </c>
      <c r="I3119" s="135" t="n">
        <f aca="false">$G3119*'Analyse capacite'!$C$7</f>
        <v>0</v>
      </c>
      <c r="J3119" s="135" t="n">
        <f aca="false">$G3119*'Analyse capacite'!$D$7</f>
        <v>0</v>
      </c>
      <c r="K3119" s="135" t="n">
        <f aca="false">$G3119*'Analyse capacite'!$E$7</f>
        <v>0</v>
      </c>
    </row>
    <row r="3120" customFormat="false" ht="15" hidden="false" customHeight="false" outlineLevel="0" collapsed="false">
      <c r="B3120" s="130" t="n">
        <v>2027</v>
      </c>
      <c r="C3120" s="131" t="s">
        <v>248</v>
      </c>
      <c r="D3120" s="132" t="n">
        <v>46564</v>
      </c>
      <c r="E3120" s="131" t="s">
        <v>46</v>
      </c>
      <c r="F3120" s="133" t="s">
        <v>19</v>
      </c>
      <c r="G3120" s="134" t="n">
        <f aca="false">LEN('Saisie programme'!$I$110)+SUMIFS('Vols additionnels'!$E$7:$E$66,'Vols additionnels'!$C$7:$C$66,$E3120,'Vols additionnels'!$D$7:$D$66,$F3120,'Vols additionnels'!$B$7:$B$66,$D3120)</f>
        <v>0</v>
      </c>
      <c r="H3120" s="135" t="n">
        <f aca="false">$G3120*'Analyse capacite'!$F$8</f>
        <v>0</v>
      </c>
      <c r="I3120" s="135" t="n">
        <f aca="false">$G3120*'Analyse capacite'!$C$8</f>
        <v>0</v>
      </c>
      <c r="J3120" s="135" t="n">
        <f aca="false">$G3120*'Analyse capacite'!$D$8</f>
        <v>0</v>
      </c>
      <c r="K3120" s="135" t="n">
        <f aca="false">$G3120*'Analyse capacite'!$E$8</f>
        <v>0</v>
      </c>
    </row>
    <row r="3121" customFormat="false" ht="15" hidden="false" customHeight="false" outlineLevel="0" collapsed="false">
      <c r="B3121" s="130" t="n">
        <v>2027</v>
      </c>
      <c r="C3121" s="131" t="s">
        <v>248</v>
      </c>
      <c r="D3121" s="132" t="n">
        <v>46564</v>
      </c>
      <c r="E3121" s="131" t="s">
        <v>46</v>
      </c>
      <c r="F3121" s="133" t="s">
        <v>24</v>
      </c>
      <c r="G3121" s="134" t="n">
        <f aca="false">LEN('Saisie programme'!$I$111)+SUMIFS('Vols additionnels'!$E$7:$E$66,'Vols additionnels'!$C$7:$C$66,$E3121,'Vols additionnels'!$D$7:$D$66,$F3121,'Vols additionnels'!$B$7:$B$66,$D3121)</f>
        <v>1</v>
      </c>
      <c r="H3121" s="135" t="n">
        <f aca="false">$G3121*'Analyse capacite'!$F$9</f>
        <v>174</v>
      </c>
      <c r="I3121" s="135" t="n">
        <f aca="false">$G3121*'Analyse capacite'!$C$9</f>
        <v>0</v>
      </c>
      <c r="J3121" s="135" t="n">
        <f aca="false">$G3121*'Analyse capacite'!$D$9</f>
        <v>12</v>
      </c>
      <c r="K3121" s="135" t="n">
        <f aca="false">$G3121*'Analyse capacite'!$E$9</f>
        <v>162</v>
      </c>
    </row>
    <row r="3122" customFormat="false" ht="15" hidden="false" customHeight="false" outlineLevel="0" collapsed="false">
      <c r="B3122" s="130" t="n">
        <v>2027</v>
      </c>
      <c r="C3122" s="131" t="s">
        <v>248</v>
      </c>
      <c r="D3122" s="132" t="n">
        <v>46564</v>
      </c>
      <c r="E3122" s="131" t="s">
        <v>49</v>
      </c>
      <c r="F3122" s="133" t="s">
        <v>11</v>
      </c>
      <c r="G3122" s="134" t="n">
        <f aca="false">LEN('Saisie programme'!$I$112)+SUMIFS('Vols additionnels'!$E$7:$E$66,'Vols additionnels'!$C$7:$C$66,$E3122,'Vols additionnels'!$D$7:$D$66,$F3122,'Vols additionnels'!$B$7:$B$66,$D3122)</f>
        <v>0</v>
      </c>
      <c r="H3122" s="135" t="n">
        <f aca="false">$G3122*'Analyse capacite'!$F$7</f>
        <v>0</v>
      </c>
      <c r="I3122" s="135" t="n">
        <f aca="false">$G3122*'Analyse capacite'!$C$7</f>
        <v>0</v>
      </c>
      <c r="J3122" s="135" t="n">
        <f aca="false">$G3122*'Analyse capacite'!$D$7</f>
        <v>0</v>
      </c>
      <c r="K3122" s="135" t="n">
        <f aca="false">$G3122*'Analyse capacite'!$E$7</f>
        <v>0</v>
      </c>
    </row>
    <row r="3123" customFormat="false" ht="15" hidden="false" customHeight="false" outlineLevel="0" collapsed="false">
      <c r="B3123" s="130" t="n">
        <v>2027</v>
      </c>
      <c r="C3123" s="131" t="s">
        <v>248</v>
      </c>
      <c r="D3123" s="132" t="n">
        <v>46564</v>
      </c>
      <c r="E3123" s="131" t="s">
        <v>49</v>
      </c>
      <c r="F3123" s="133" t="s">
        <v>19</v>
      </c>
      <c r="G3123" s="134" t="n">
        <f aca="false">LEN('Saisie programme'!$I$113)+SUMIFS('Vols additionnels'!$E$7:$E$66,'Vols additionnels'!$C$7:$C$66,$E3123,'Vols additionnels'!$D$7:$D$66,$F3123,'Vols additionnels'!$B$7:$B$66,$D3123)</f>
        <v>0</v>
      </c>
      <c r="H3123" s="135" t="n">
        <f aca="false">$G3123*'Analyse capacite'!$F$8</f>
        <v>0</v>
      </c>
      <c r="I3123" s="135" t="n">
        <f aca="false">$G3123*'Analyse capacite'!$C$8</f>
        <v>0</v>
      </c>
      <c r="J3123" s="135" t="n">
        <f aca="false">$G3123*'Analyse capacite'!$D$8</f>
        <v>0</v>
      </c>
      <c r="K3123" s="135" t="n">
        <f aca="false">$G3123*'Analyse capacite'!$E$8</f>
        <v>0</v>
      </c>
    </row>
    <row r="3124" customFormat="false" ht="15" hidden="false" customHeight="false" outlineLevel="0" collapsed="false">
      <c r="B3124" s="130" t="n">
        <v>2027</v>
      </c>
      <c r="C3124" s="131" t="s">
        <v>248</v>
      </c>
      <c r="D3124" s="132" t="n">
        <v>46564</v>
      </c>
      <c r="E3124" s="131" t="s">
        <v>49</v>
      </c>
      <c r="F3124" s="133" t="s">
        <v>24</v>
      </c>
      <c r="G3124" s="134" t="n">
        <f aca="false">LEN('Saisie programme'!$I$114)+SUMIFS('Vols additionnels'!$E$7:$E$66,'Vols additionnels'!$C$7:$C$66,$E3124,'Vols additionnels'!$D$7:$D$66,$F3124,'Vols additionnels'!$B$7:$B$66,$D3124)</f>
        <v>0</v>
      </c>
      <c r="H3124" s="135" t="n">
        <f aca="false">$G3124*'Analyse capacite'!$F$9</f>
        <v>0</v>
      </c>
      <c r="I3124" s="135" t="n">
        <f aca="false">$G3124*'Analyse capacite'!$C$9</f>
        <v>0</v>
      </c>
      <c r="J3124" s="135" t="n">
        <f aca="false">$G3124*'Analyse capacite'!$D$9</f>
        <v>0</v>
      </c>
      <c r="K3124" s="135" t="n">
        <f aca="false">$G3124*'Analyse capacite'!$E$9</f>
        <v>0</v>
      </c>
    </row>
    <row r="3125" customFormat="false" ht="15" hidden="false" customHeight="false" outlineLevel="0" collapsed="false">
      <c r="B3125" s="130" t="n">
        <v>2027</v>
      </c>
      <c r="C3125" s="131" t="s">
        <v>248</v>
      </c>
      <c r="D3125" s="132" t="n">
        <v>46564</v>
      </c>
      <c r="E3125" s="131" t="s">
        <v>53</v>
      </c>
      <c r="F3125" s="133" t="s">
        <v>11</v>
      </c>
      <c r="G3125" s="134" t="n">
        <f aca="false">LEN('Saisie programme'!$I$115)+SUMIFS('Vols additionnels'!$E$7:$E$66,'Vols additionnels'!$C$7:$C$66,$E3125,'Vols additionnels'!$D$7:$D$66,$F3125,'Vols additionnels'!$B$7:$B$66,$D3125)</f>
        <v>0</v>
      </c>
      <c r="H3125" s="135" t="n">
        <f aca="false">$G3125*'Analyse capacite'!$F$7</f>
        <v>0</v>
      </c>
      <c r="I3125" s="135" t="n">
        <f aca="false">$G3125*'Analyse capacite'!$C$7</f>
        <v>0</v>
      </c>
      <c r="J3125" s="135" t="n">
        <f aca="false">$G3125*'Analyse capacite'!$D$7</f>
        <v>0</v>
      </c>
      <c r="K3125" s="135" t="n">
        <f aca="false">$G3125*'Analyse capacite'!$E$7</f>
        <v>0</v>
      </c>
    </row>
    <row r="3126" customFormat="false" ht="15" hidden="false" customHeight="false" outlineLevel="0" collapsed="false">
      <c r="B3126" s="130" t="n">
        <v>2027</v>
      </c>
      <c r="C3126" s="131" t="s">
        <v>248</v>
      </c>
      <c r="D3126" s="132" t="n">
        <v>46564</v>
      </c>
      <c r="E3126" s="131" t="s">
        <v>53</v>
      </c>
      <c r="F3126" s="133" t="s">
        <v>19</v>
      </c>
      <c r="G3126" s="134" t="n">
        <f aca="false">LEN('Saisie programme'!$I$116)+SUMIFS('Vols additionnels'!$E$7:$E$66,'Vols additionnels'!$C$7:$C$66,$E3126,'Vols additionnels'!$D$7:$D$66,$F3126,'Vols additionnels'!$B$7:$B$66,$D3126)</f>
        <v>0</v>
      </c>
      <c r="H3126" s="135" t="n">
        <f aca="false">$G3126*'Analyse capacite'!$F$8</f>
        <v>0</v>
      </c>
      <c r="I3126" s="135" t="n">
        <f aca="false">$G3126*'Analyse capacite'!$C$8</f>
        <v>0</v>
      </c>
      <c r="J3126" s="135" t="n">
        <f aca="false">$G3126*'Analyse capacite'!$D$8</f>
        <v>0</v>
      </c>
      <c r="K3126" s="135" t="n">
        <f aca="false">$G3126*'Analyse capacite'!$E$8</f>
        <v>0</v>
      </c>
    </row>
    <row r="3127" customFormat="false" ht="15" hidden="false" customHeight="false" outlineLevel="0" collapsed="false">
      <c r="B3127" s="130" t="n">
        <v>2027</v>
      </c>
      <c r="C3127" s="131" t="s">
        <v>248</v>
      </c>
      <c r="D3127" s="132" t="n">
        <v>46564</v>
      </c>
      <c r="E3127" s="131" t="s">
        <v>53</v>
      </c>
      <c r="F3127" s="133" t="s">
        <v>24</v>
      </c>
      <c r="G3127" s="134" t="n">
        <f aca="false">LEN('Saisie programme'!$I$117)+SUMIFS('Vols additionnels'!$E$7:$E$66,'Vols additionnels'!$C$7:$C$66,$E3127,'Vols additionnels'!$D$7:$D$66,$F3127,'Vols additionnels'!$B$7:$B$66,$D3127)</f>
        <v>0</v>
      </c>
      <c r="H3127" s="135" t="n">
        <f aca="false">$G3127*'Analyse capacite'!$F$9</f>
        <v>0</v>
      </c>
      <c r="I3127" s="135" t="n">
        <f aca="false">$G3127*'Analyse capacite'!$C$9</f>
        <v>0</v>
      </c>
      <c r="J3127" s="135" t="n">
        <f aca="false">$G3127*'Analyse capacite'!$D$9</f>
        <v>0</v>
      </c>
      <c r="K3127" s="135" t="n">
        <f aca="false">$G3127*'Analyse capacite'!$E$9</f>
        <v>0</v>
      </c>
    </row>
    <row r="3128" customFormat="false" ht="15" hidden="false" customHeight="false" outlineLevel="0" collapsed="false">
      <c r="B3128" s="130" t="n">
        <v>2027</v>
      </c>
      <c r="C3128" s="131" t="s">
        <v>248</v>
      </c>
      <c r="D3128" s="132" t="n">
        <v>46564</v>
      </c>
      <c r="E3128" s="131" t="s">
        <v>56</v>
      </c>
      <c r="F3128" s="133" t="s">
        <v>11</v>
      </c>
      <c r="G3128" s="134" t="n">
        <f aca="false">LEN('Saisie programme'!$I$118)+SUMIFS('Vols additionnels'!$E$7:$E$66,'Vols additionnels'!$C$7:$C$66,$E3128,'Vols additionnels'!$D$7:$D$66,$F3128,'Vols additionnels'!$B$7:$B$66,$D3128)</f>
        <v>0</v>
      </c>
      <c r="H3128" s="135" t="n">
        <f aca="false">$G3128*'Analyse capacite'!$F$7</f>
        <v>0</v>
      </c>
      <c r="I3128" s="135" t="n">
        <f aca="false">$G3128*'Analyse capacite'!$C$7</f>
        <v>0</v>
      </c>
      <c r="J3128" s="135" t="n">
        <f aca="false">$G3128*'Analyse capacite'!$D$7</f>
        <v>0</v>
      </c>
      <c r="K3128" s="135" t="n">
        <f aca="false">$G3128*'Analyse capacite'!$E$7</f>
        <v>0</v>
      </c>
    </row>
    <row r="3129" customFormat="false" ht="15" hidden="false" customHeight="false" outlineLevel="0" collapsed="false">
      <c r="B3129" s="130" t="n">
        <v>2027</v>
      </c>
      <c r="C3129" s="131" t="s">
        <v>248</v>
      </c>
      <c r="D3129" s="132" t="n">
        <v>46564</v>
      </c>
      <c r="E3129" s="131" t="s">
        <v>56</v>
      </c>
      <c r="F3129" s="133" t="s">
        <v>19</v>
      </c>
      <c r="G3129" s="134" t="n">
        <f aca="false">LEN('Saisie programme'!$I$119)+SUMIFS('Vols additionnels'!$E$7:$E$66,'Vols additionnels'!$C$7:$C$66,$E3129,'Vols additionnels'!$D$7:$D$66,$F3129,'Vols additionnels'!$B$7:$B$66,$D3129)</f>
        <v>0</v>
      </c>
      <c r="H3129" s="135" t="n">
        <f aca="false">$G3129*'Analyse capacite'!$F$8</f>
        <v>0</v>
      </c>
      <c r="I3129" s="135" t="n">
        <f aca="false">$G3129*'Analyse capacite'!$C$8</f>
        <v>0</v>
      </c>
      <c r="J3129" s="135" t="n">
        <f aca="false">$G3129*'Analyse capacite'!$D$8</f>
        <v>0</v>
      </c>
      <c r="K3129" s="135" t="n">
        <f aca="false">$G3129*'Analyse capacite'!$E$8</f>
        <v>0</v>
      </c>
    </row>
    <row r="3130" customFormat="false" ht="15" hidden="false" customHeight="false" outlineLevel="0" collapsed="false">
      <c r="B3130" s="130" t="n">
        <v>2027</v>
      </c>
      <c r="C3130" s="131" t="s">
        <v>248</v>
      </c>
      <c r="D3130" s="132" t="n">
        <v>46564</v>
      </c>
      <c r="E3130" s="131" t="s">
        <v>56</v>
      </c>
      <c r="F3130" s="133" t="s">
        <v>24</v>
      </c>
      <c r="G3130" s="134" t="n">
        <f aca="false">LEN('Saisie programme'!$I$120)+SUMIFS('Vols additionnels'!$E$7:$E$66,'Vols additionnels'!$C$7:$C$66,$E3130,'Vols additionnels'!$D$7:$D$66,$F3130,'Vols additionnels'!$B$7:$B$66,$D3130)</f>
        <v>1</v>
      </c>
      <c r="H3130" s="135" t="n">
        <f aca="false">$G3130*'Analyse capacite'!$F$9</f>
        <v>174</v>
      </c>
      <c r="I3130" s="135" t="n">
        <f aca="false">$G3130*'Analyse capacite'!$C$9</f>
        <v>0</v>
      </c>
      <c r="J3130" s="135" t="n">
        <f aca="false">$G3130*'Analyse capacite'!$D$9</f>
        <v>12</v>
      </c>
      <c r="K3130" s="135" t="n">
        <f aca="false">$G3130*'Analyse capacite'!$E$9</f>
        <v>162</v>
      </c>
    </row>
    <row r="3131" customFormat="false" ht="15" hidden="false" customHeight="false" outlineLevel="0" collapsed="false">
      <c r="B3131" s="130" t="n">
        <v>2027</v>
      </c>
      <c r="C3131" s="131" t="s">
        <v>248</v>
      </c>
      <c r="D3131" s="132" t="n">
        <v>46564</v>
      </c>
      <c r="E3131" s="131" t="s">
        <v>59</v>
      </c>
      <c r="F3131" s="133" t="s">
        <v>11</v>
      </c>
      <c r="G3131" s="134" t="n">
        <f aca="false">LEN('Saisie programme'!$I$121)+SUMIFS('Vols additionnels'!$E$7:$E$66,'Vols additionnels'!$C$7:$C$66,$E3131,'Vols additionnels'!$D$7:$D$66,$F3131,'Vols additionnels'!$B$7:$B$66,$D3131)</f>
        <v>0</v>
      </c>
      <c r="H3131" s="135" t="n">
        <f aca="false">$G3131*'Analyse capacite'!$F$7</f>
        <v>0</v>
      </c>
      <c r="I3131" s="135" t="n">
        <f aca="false">$G3131*'Analyse capacite'!$C$7</f>
        <v>0</v>
      </c>
      <c r="J3131" s="135" t="n">
        <f aca="false">$G3131*'Analyse capacite'!$D$7</f>
        <v>0</v>
      </c>
      <c r="K3131" s="135" t="n">
        <f aca="false">$G3131*'Analyse capacite'!$E$7</f>
        <v>0</v>
      </c>
    </row>
    <row r="3132" customFormat="false" ht="15" hidden="false" customHeight="false" outlineLevel="0" collapsed="false">
      <c r="B3132" s="130" t="n">
        <v>2027</v>
      </c>
      <c r="C3132" s="131" t="s">
        <v>248</v>
      </c>
      <c r="D3132" s="132" t="n">
        <v>46564</v>
      </c>
      <c r="E3132" s="131" t="s">
        <v>59</v>
      </c>
      <c r="F3132" s="133" t="s">
        <v>19</v>
      </c>
      <c r="G3132" s="134" t="n">
        <f aca="false">LEN('Saisie programme'!$I$122)+SUMIFS('Vols additionnels'!$E$7:$E$66,'Vols additionnels'!$C$7:$C$66,$E3132,'Vols additionnels'!$D$7:$D$66,$F3132,'Vols additionnels'!$B$7:$B$66,$D3132)</f>
        <v>0</v>
      </c>
      <c r="H3132" s="135" t="n">
        <f aca="false">$G3132*'Analyse capacite'!$F$8</f>
        <v>0</v>
      </c>
      <c r="I3132" s="135" t="n">
        <f aca="false">$G3132*'Analyse capacite'!$C$8</f>
        <v>0</v>
      </c>
      <c r="J3132" s="135" t="n">
        <f aca="false">$G3132*'Analyse capacite'!$D$8</f>
        <v>0</v>
      </c>
      <c r="K3132" s="135" t="n">
        <f aca="false">$G3132*'Analyse capacite'!$E$8</f>
        <v>0</v>
      </c>
    </row>
    <row r="3133" customFormat="false" ht="15" hidden="false" customHeight="false" outlineLevel="0" collapsed="false">
      <c r="B3133" s="130" t="n">
        <v>2027</v>
      </c>
      <c r="C3133" s="131" t="s">
        <v>248</v>
      </c>
      <c r="D3133" s="132" t="n">
        <v>46564</v>
      </c>
      <c r="E3133" s="131" t="s">
        <v>59</v>
      </c>
      <c r="F3133" s="133" t="s">
        <v>24</v>
      </c>
      <c r="G3133" s="134" t="n">
        <f aca="false">LEN('Saisie programme'!$I$123)+SUMIFS('Vols additionnels'!$E$7:$E$66,'Vols additionnels'!$C$7:$C$66,$E3133,'Vols additionnels'!$D$7:$D$66,$F3133,'Vols additionnels'!$B$7:$B$66,$D3133)</f>
        <v>1</v>
      </c>
      <c r="H3133" s="135" t="n">
        <f aca="false">$G3133*'Analyse capacite'!$F$9</f>
        <v>174</v>
      </c>
      <c r="I3133" s="135" t="n">
        <f aca="false">$G3133*'Analyse capacite'!$C$9</f>
        <v>0</v>
      </c>
      <c r="J3133" s="135" t="n">
        <f aca="false">$G3133*'Analyse capacite'!$D$9</f>
        <v>12</v>
      </c>
      <c r="K3133" s="135" t="n">
        <f aca="false">$G3133*'Analyse capacite'!$E$9</f>
        <v>162</v>
      </c>
    </row>
    <row r="3134" customFormat="false" ht="15" hidden="false" customHeight="false" outlineLevel="0" collapsed="false">
      <c r="B3134" s="130" t="n">
        <v>2027</v>
      </c>
      <c r="C3134" s="131" t="s">
        <v>248</v>
      </c>
      <c r="D3134" s="132" t="n">
        <v>46564</v>
      </c>
      <c r="E3134" s="131" t="s">
        <v>62</v>
      </c>
      <c r="F3134" s="133" t="s">
        <v>11</v>
      </c>
      <c r="G3134" s="134" t="n">
        <f aca="false">LEN('Saisie programme'!$I$124)+SUMIFS('Vols additionnels'!$E$7:$E$66,'Vols additionnels'!$C$7:$C$66,$E3134,'Vols additionnels'!$D$7:$D$66,$F3134,'Vols additionnels'!$B$7:$B$66,$D3134)</f>
        <v>0</v>
      </c>
      <c r="H3134" s="135" t="n">
        <f aca="false">$G3134*'Analyse capacite'!$F$7</f>
        <v>0</v>
      </c>
      <c r="I3134" s="135" t="n">
        <f aca="false">$G3134*'Analyse capacite'!$C$7</f>
        <v>0</v>
      </c>
      <c r="J3134" s="135" t="n">
        <f aca="false">$G3134*'Analyse capacite'!$D$7</f>
        <v>0</v>
      </c>
      <c r="K3134" s="135" t="n">
        <f aca="false">$G3134*'Analyse capacite'!$E$7</f>
        <v>0</v>
      </c>
    </row>
    <row r="3135" customFormat="false" ht="15" hidden="false" customHeight="false" outlineLevel="0" collapsed="false">
      <c r="B3135" s="130" t="n">
        <v>2027</v>
      </c>
      <c r="C3135" s="131" t="s">
        <v>248</v>
      </c>
      <c r="D3135" s="132" t="n">
        <v>46564</v>
      </c>
      <c r="E3135" s="131" t="s">
        <v>62</v>
      </c>
      <c r="F3135" s="133" t="s">
        <v>19</v>
      </c>
      <c r="G3135" s="134" t="n">
        <f aca="false">LEN('Saisie programme'!$I$125)+SUMIFS('Vols additionnels'!$E$7:$E$66,'Vols additionnels'!$C$7:$C$66,$E3135,'Vols additionnels'!$D$7:$D$66,$F3135,'Vols additionnels'!$B$7:$B$66,$D3135)</f>
        <v>0</v>
      </c>
      <c r="H3135" s="135" t="n">
        <f aca="false">$G3135*'Analyse capacite'!$F$8</f>
        <v>0</v>
      </c>
      <c r="I3135" s="135" t="n">
        <f aca="false">$G3135*'Analyse capacite'!$C$8</f>
        <v>0</v>
      </c>
      <c r="J3135" s="135" t="n">
        <f aca="false">$G3135*'Analyse capacite'!$D$8</f>
        <v>0</v>
      </c>
      <c r="K3135" s="135" t="n">
        <f aca="false">$G3135*'Analyse capacite'!$E$8</f>
        <v>0</v>
      </c>
    </row>
    <row r="3136" customFormat="false" ht="15" hidden="false" customHeight="false" outlineLevel="0" collapsed="false">
      <c r="B3136" s="130" t="n">
        <v>2027</v>
      </c>
      <c r="C3136" s="131" t="s">
        <v>248</v>
      </c>
      <c r="D3136" s="132" t="n">
        <v>46564</v>
      </c>
      <c r="E3136" s="131" t="s">
        <v>62</v>
      </c>
      <c r="F3136" s="133" t="s">
        <v>24</v>
      </c>
      <c r="G3136" s="134" t="n">
        <f aca="false">LEN('Saisie programme'!$I$126)+SUMIFS('Vols additionnels'!$E$7:$E$66,'Vols additionnels'!$C$7:$C$66,$E3136,'Vols additionnels'!$D$7:$D$66,$F3136,'Vols additionnels'!$B$7:$B$66,$D3136)</f>
        <v>0</v>
      </c>
      <c r="H3136" s="135" t="n">
        <f aca="false">$G3136*'Analyse capacite'!$F$9</f>
        <v>0</v>
      </c>
      <c r="I3136" s="135" t="n">
        <f aca="false">$G3136*'Analyse capacite'!$C$9</f>
        <v>0</v>
      </c>
      <c r="J3136" s="135" t="n">
        <f aca="false">$G3136*'Analyse capacite'!$D$9</f>
        <v>0</v>
      </c>
      <c r="K3136" s="135" t="n">
        <f aca="false">$G3136*'Analyse capacite'!$E$9</f>
        <v>0</v>
      </c>
    </row>
    <row r="3137" customFormat="false" ht="15" hidden="false" customHeight="false" outlineLevel="0" collapsed="false">
      <c r="B3137" s="130" t="n">
        <v>2027</v>
      </c>
      <c r="C3137" s="131" t="s">
        <v>248</v>
      </c>
      <c r="D3137" s="132" t="n">
        <v>46565</v>
      </c>
      <c r="E3137" s="131" t="s">
        <v>12</v>
      </c>
      <c r="F3137" s="133" t="s">
        <v>11</v>
      </c>
      <c r="G3137" s="134" t="n">
        <f aca="false">LEN('Saisie programme'!$J$91)+SUMIFS('Vols additionnels'!$E$7:$E$66,'Vols additionnels'!$C$7:$C$66,$E3137,'Vols additionnels'!$D$7:$D$66,$F3137,'Vols additionnels'!$B$7:$B$66,$D3137)</f>
        <v>1</v>
      </c>
      <c r="H3137" s="135" t="n">
        <f aca="false">$G3137*'Analyse capacite'!$F$7</f>
        <v>438</v>
      </c>
      <c r="I3137" s="135" t="n">
        <f aca="false">$G3137*'Analyse capacite'!$C$7</f>
        <v>14</v>
      </c>
      <c r="J3137" s="135" t="n">
        <f aca="false">$G3137*'Analyse capacite'!$D$7</f>
        <v>40</v>
      </c>
      <c r="K3137" s="135" t="n">
        <f aca="false">$G3137*'Analyse capacite'!$E$7</f>
        <v>384</v>
      </c>
    </row>
    <row r="3138" customFormat="false" ht="15" hidden="false" customHeight="false" outlineLevel="0" collapsed="false">
      <c r="B3138" s="130" t="n">
        <v>2027</v>
      </c>
      <c r="C3138" s="131" t="s">
        <v>248</v>
      </c>
      <c r="D3138" s="132" t="n">
        <v>46565</v>
      </c>
      <c r="E3138" s="131" t="s">
        <v>12</v>
      </c>
      <c r="F3138" s="133" t="s">
        <v>19</v>
      </c>
      <c r="G3138" s="134" t="n">
        <f aca="false">LEN('Saisie programme'!$J$92)+SUMIFS('Vols additionnels'!$E$7:$E$66,'Vols additionnels'!$C$7:$C$66,$E3138,'Vols additionnels'!$D$7:$D$66,$F3138,'Vols additionnels'!$B$7:$B$66,$D3138)</f>
        <v>0</v>
      </c>
      <c r="H3138" s="135" t="n">
        <f aca="false">$G3138*'Analyse capacite'!$F$8</f>
        <v>0</v>
      </c>
      <c r="I3138" s="135" t="n">
        <f aca="false">$G3138*'Analyse capacite'!$C$8</f>
        <v>0</v>
      </c>
      <c r="J3138" s="135" t="n">
        <f aca="false">$G3138*'Analyse capacite'!$D$8</f>
        <v>0</v>
      </c>
      <c r="K3138" s="135" t="n">
        <f aca="false">$G3138*'Analyse capacite'!$E$8</f>
        <v>0</v>
      </c>
    </row>
    <row r="3139" customFormat="false" ht="15" hidden="false" customHeight="false" outlineLevel="0" collapsed="false">
      <c r="B3139" s="130" t="n">
        <v>2027</v>
      </c>
      <c r="C3139" s="131" t="s">
        <v>248</v>
      </c>
      <c r="D3139" s="132" t="n">
        <v>46565</v>
      </c>
      <c r="E3139" s="131" t="s">
        <v>12</v>
      </c>
      <c r="F3139" s="133" t="s">
        <v>24</v>
      </c>
      <c r="G3139" s="134" t="n">
        <f aca="false">LEN('Saisie programme'!$J$93)+SUMIFS('Vols additionnels'!$E$7:$E$66,'Vols additionnels'!$C$7:$C$66,$E3139,'Vols additionnels'!$D$7:$D$66,$F3139,'Vols additionnels'!$B$7:$B$66,$D3139)</f>
        <v>0</v>
      </c>
      <c r="H3139" s="135" t="n">
        <f aca="false">$G3139*'Analyse capacite'!$F$9</f>
        <v>0</v>
      </c>
      <c r="I3139" s="135" t="n">
        <f aca="false">$G3139*'Analyse capacite'!$C$9</f>
        <v>0</v>
      </c>
      <c r="J3139" s="135" t="n">
        <f aca="false">$G3139*'Analyse capacite'!$D$9</f>
        <v>0</v>
      </c>
      <c r="K3139" s="135" t="n">
        <f aca="false">$G3139*'Analyse capacite'!$E$9</f>
        <v>0</v>
      </c>
    </row>
    <row r="3140" customFormat="false" ht="15" hidden="false" customHeight="false" outlineLevel="0" collapsed="false">
      <c r="B3140" s="130" t="n">
        <v>2027</v>
      </c>
      <c r="C3140" s="131" t="s">
        <v>248</v>
      </c>
      <c r="D3140" s="132" t="n">
        <v>46565</v>
      </c>
      <c r="E3140" s="131" t="s">
        <v>20</v>
      </c>
      <c r="F3140" s="133" t="s">
        <v>11</v>
      </c>
      <c r="G3140" s="134" t="n">
        <f aca="false">LEN('Saisie programme'!$J$94)+SUMIFS('Vols additionnels'!$E$7:$E$66,'Vols additionnels'!$C$7:$C$66,$E3140,'Vols additionnels'!$D$7:$D$66,$F3140,'Vols additionnels'!$B$7:$B$66,$D3140)</f>
        <v>1</v>
      </c>
      <c r="H3140" s="135" t="n">
        <f aca="false">$G3140*'Analyse capacite'!$F$7</f>
        <v>438</v>
      </c>
      <c r="I3140" s="135" t="n">
        <f aca="false">$G3140*'Analyse capacite'!$C$7</f>
        <v>14</v>
      </c>
      <c r="J3140" s="135" t="n">
        <f aca="false">$G3140*'Analyse capacite'!$D$7</f>
        <v>40</v>
      </c>
      <c r="K3140" s="135" t="n">
        <f aca="false">$G3140*'Analyse capacite'!$E$7</f>
        <v>384</v>
      </c>
    </row>
    <row r="3141" customFormat="false" ht="15" hidden="false" customHeight="false" outlineLevel="0" collapsed="false">
      <c r="B3141" s="130" t="n">
        <v>2027</v>
      </c>
      <c r="C3141" s="131" t="s">
        <v>248</v>
      </c>
      <c r="D3141" s="132" t="n">
        <v>46565</v>
      </c>
      <c r="E3141" s="131" t="s">
        <v>20</v>
      </c>
      <c r="F3141" s="133" t="s">
        <v>19</v>
      </c>
      <c r="G3141" s="134" t="n">
        <f aca="false">LEN('Saisie programme'!$J$95)+SUMIFS('Vols additionnels'!$E$7:$E$66,'Vols additionnels'!$C$7:$C$66,$E3141,'Vols additionnels'!$D$7:$D$66,$F3141,'Vols additionnels'!$B$7:$B$66,$D3141)</f>
        <v>0</v>
      </c>
      <c r="H3141" s="135" t="n">
        <f aca="false">$G3141*'Analyse capacite'!$F$8</f>
        <v>0</v>
      </c>
      <c r="I3141" s="135" t="n">
        <f aca="false">$G3141*'Analyse capacite'!$C$8</f>
        <v>0</v>
      </c>
      <c r="J3141" s="135" t="n">
        <f aca="false">$G3141*'Analyse capacite'!$D$8</f>
        <v>0</v>
      </c>
      <c r="K3141" s="135" t="n">
        <f aca="false">$G3141*'Analyse capacite'!$E$8</f>
        <v>0</v>
      </c>
    </row>
    <row r="3142" customFormat="false" ht="15" hidden="false" customHeight="false" outlineLevel="0" collapsed="false">
      <c r="B3142" s="130" t="n">
        <v>2027</v>
      </c>
      <c r="C3142" s="131" t="s">
        <v>248</v>
      </c>
      <c r="D3142" s="132" t="n">
        <v>46565</v>
      </c>
      <c r="E3142" s="131" t="s">
        <v>20</v>
      </c>
      <c r="F3142" s="133" t="s">
        <v>24</v>
      </c>
      <c r="G3142" s="134" t="n">
        <f aca="false">LEN('Saisie programme'!$J$96)+SUMIFS('Vols additionnels'!$E$7:$E$66,'Vols additionnels'!$C$7:$C$66,$E3142,'Vols additionnels'!$D$7:$D$66,$F3142,'Vols additionnels'!$B$7:$B$66,$D3142)</f>
        <v>0</v>
      </c>
      <c r="H3142" s="135" t="n">
        <f aca="false">$G3142*'Analyse capacite'!$F$9</f>
        <v>0</v>
      </c>
      <c r="I3142" s="135" t="n">
        <f aca="false">$G3142*'Analyse capacite'!$C$9</f>
        <v>0</v>
      </c>
      <c r="J3142" s="135" t="n">
        <f aca="false">$G3142*'Analyse capacite'!$D$9</f>
        <v>0</v>
      </c>
      <c r="K3142" s="135" t="n">
        <f aca="false">$G3142*'Analyse capacite'!$E$9</f>
        <v>0</v>
      </c>
    </row>
    <row r="3143" customFormat="false" ht="15" hidden="false" customHeight="false" outlineLevel="0" collapsed="false">
      <c r="B3143" s="130" t="n">
        <v>2027</v>
      </c>
      <c r="C3143" s="131" t="s">
        <v>248</v>
      </c>
      <c r="D3143" s="132" t="n">
        <v>46565</v>
      </c>
      <c r="E3143" s="131" t="s">
        <v>25</v>
      </c>
      <c r="F3143" s="133" t="s">
        <v>11</v>
      </c>
      <c r="G3143" s="134" t="n">
        <f aca="false">LEN('Saisie programme'!$J$97)+SUMIFS('Vols additionnels'!$E$7:$E$66,'Vols additionnels'!$C$7:$C$66,$E3143,'Vols additionnels'!$D$7:$D$66,$F3143,'Vols additionnels'!$B$7:$B$66,$D3143)</f>
        <v>0</v>
      </c>
      <c r="H3143" s="135" t="n">
        <f aca="false">$G3143*'Analyse capacite'!$F$7</f>
        <v>0</v>
      </c>
      <c r="I3143" s="135" t="n">
        <f aca="false">$G3143*'Analyse capacite'!$C$7</f>
        <v>0</v>
      </c>
      <c r="J3143" s="135" t="n">
        <f aca="false">$G3143*'Analyse capacite'!$D$7</f>
        <v>0</v>
      </c>
      <c r="K3143" s="135" t="n">
        <f aca="false">$G3143*'Analyse capacite'!$E$7</f>
        <v>0</v>
      </c>
    </row>
    <row r="3144" customFormat="false" ht="15" hidden="false" customHeight="false" outlineLevel="0" collapsed="false">
      <c r="B3144" s="130" t="n">
        <v>2027</v>
      </c>
      <c r="C3144" s="131" t="s">
        <v>248</v>
      </c>
      <c r="D3144" s="132" t="n">
        <v>46565</v>
      </c>
      <c r="E3144" s="131" t="s">
        <v>25</v>
      </c>
      <c r="F3144" s="133" t="s">
        <v>19</v>
      </c>
      <c r="G3144" s="134" t="n">
        <f aca="false">LEN('Saisie programme'!$J$98)+SUMIFS('Vols additionnels'!$E$7:$E$66,'Vols additionnels'!$C$7:$C$66,$E3144,'Vols additionnels'!$D$7:$D$66,$F3144,'Vols additionnels'!$B$7:$B$66,$D3144)</f>
        <v>0</v>
      </c>
      <c r="H3144" s="135" t="n">
        <f aca="false">$G3144*'Analyse capacite'!$F$8</f>
        <v>0</v>
      </c>
      <c r="I3144" s="135" t="n">
        <f aca="false">$G3144*'Analyse capacite'!$C$8</f>
        <v>0</v>
      </c>
      <c r="J3144" s="135" t="n">
        <f aca="false">$G3144*'Analyse capacite'!$D$8</f>
        <v>0</v>
      </c>
      <c r="K3144" s="135" t="n">
        <f aca="false">$G3144*'Analyse capacite'!$E$8</f>
        <v>0</v>
      </c>
    </row>
    <row r="3145" customFormat="false" ht="15" hidden="false" customHeight="false" outlineLevel="0" collapsed="false">
      <c r="B3145" s="130" t="n">
        <v>2027</v>
      </c>
      <c r="C3145" s="131" t="s">
        <v>248</v>
      </c>
      <c r="D3145" s="132" t="n">
        <v>46565</v>
      </c>
      <c r="E3145" s="131" t="s">
        <v>25</v>
      </c>
      <c r="F3145" s="133" t="s">
        <v>24</v>
      </c>
      <c r="G3145" s="134" t="n">
        <f aca="false">LEN('Saisie programme'!$J$99)+SUMIFS('Vols additionnels'!$E$7:$E$66,'Vols additionnels'!$C$7:$C$66,$E3145,'Vols additionnels'!$D$7:$D$66,$F3145,'Vols additionnels'!$B$7:$B$66,$D3145)</f>
        <v>0</v>
      </c>
      <c r="H3145" s="135" t="n">
        <f aca="false">$G3145*'Analyse capacite'!$F$9</f>
        <v>0</v>
      </c>
      <c r="I3145" s="135" t="n">
        <f aca="false">$G3145*'Analyse capacite'!$C$9</f>
        <v>0</v>
      </c>
      <c r="J3145" s="135" t="n">
        <f aca="false">$G3145*'Analyse capacite'!$D$9</f>
        <v>0</v>
      </c>
      <c r="K3145" s="135" t="n">
        <f aca="false">$G3145*'Analyse capacite'!$E$9</f>
        <v>0</v>
      </c>
    </row>
    <row r="3146" customFormat="false" ht="15" hidden="false" customHeight="false" outlineLevel="0" collapsed="false">
      <c r="B3146" s="130" t="n">
        <v>2027</v>
      </c>
      <c r="C3146" s="131" t="s">
        <v>248</v>
      </c>
      <c r="D3146" s="132" t="n">
        <v>46565</v>
      </c>
      <c r="E3146" s="131" t="s">
        <v>36</v>
      </c>
      <c r="F3146" s="133" t="s">
        <v>11</v>
      </c>
      <c r="G3146" s="134" t="n">
        <f aca="false">LEN('Saisie programme'!$J$100)+SUMIFS('Vols additionnels'!$E$7:$E$66,'Vols additionnels'!$C$7:$C$66,$E3146,'Vols additionnels'!$D$7:$D$66,$F3146,'Vols additionnels'!$B$7:$B$66,$D3146)</f>
        <v>0</v>
      </c>
      <c r="H3146" s="135" t="n">
        <f aca="false">$G3146*'Analyse capacite'!$F$7</f>
        <v>0</v>
      </c>
      <c r="I3146" s="135" t="n">
        <f aca="false">$G3146*'Analyse capacite'!$C$7</f>
        <v>0</v>
      </c>
      <c r="J3146" s="135" t="n">
        <f aca="false">$G3146*'Analyse capacite'!$D$7</f>
        <v>0</v>
      </c>
      <c r="K3146" s="135" t="n">
        <f aca="false">$G3146*'Analyse capacite'!$E$7</f>
        <v>0</v>
      </c>
    </row>
    <row r="3147" customFormat="false" ht="15" hidden="false" customHeight="false" outlineLevel="0" collapsed="false">
      <c r="B3147" s="130" t="n">
        <v>2027</v>
      </c>
      <c r="C3147" s="131" t="s">
        <v>248</v>
      </c>
      <c r="D3147" s="132" t="n">
        <v>46565</v>
      </c>
      <c r="E3147" s="131" t="s">
        <v>36</v>
      </c>
      <c r="F3147" s="133" t="s">
        <v>19</v>
      </c>
      <c r="G3147" s="134" t="n">
        <f aca="false">LEN('Saisie programme'!$J$101)+SUMIFS('Vols additionnels'!$E$7:$E$66,'Vols additionnels'!$C$7:$C$66,$E3147,'Vols additionnels'!$D$7:$D$66,$F3147,'Vols additionnels'!$B$7:$B$66,$D3147)</f>
        <v>0</v>
      </c>
      <c r="H3147" s="135" t="n">
        <f aca="false">$G3147*'Analyse capacite'!$F$8</f>
        <v>0</v>
      </c>
      <c r="I3147" s="135" t="n">
        <f aca="false">$G3147*'Analyse capacite'!$C$8</f>
        <v>0</v>
      </c>
      <c r="J3147" s="135" t="n">
        <f aca="false">$G3147*'Analyse capacite'!$D$8</f>
        <v>0</v>
      </c>
      <c r="K3147" s="135" t="n">
        <f aca="false">$G3147*'Analyse capacite'!$E$8</f>
        <v>0</v>
      </c>
    </row>
    <row r="3148" customFormat="false" ht="15" hidden="false" customHeight="false" outlineLevel="0" collapsed="false">
      <c r="B3148" s="130" t="n">
        <v>2027</v>
      </c>
      <c r="C3148" s="131" t="s">
        <v>248</v>
      </c>
      <c r="D3148" s="132" t="n">
        <v>46565</v>
      </c>
      <c r="E3148" s="131" t="s">
        <v>36</v>
      </c>
      <c r="F3148" s="133" t="s">
        <v>24</v>
      </c>
      <c r="G3148" s="134" t="n">
        <f aca="false">LEN('Saisie programme'!$J$102)+SUMIFS('Vols additionnels'!$E$7:$E$66,'Vols additionnels'!$C$7:$C$66,$E3148,'Vols additionnels'!$D$7:$D$66,$F3148,'Vols additionnels'!$B$7:$B$66,$D3148)</f>
        <v>0</v>
      </c>
      <c r="H3148" s="135" t="n">
        <f aca="false">$G3148*'Analyse capacite'!$F$9</f>
        <v>0</v>
      </c>
      <c r="I3148" s="135" t="n">
        <f aca="false">$G3148*'Analyse capacite'!$C$9</f>
        <v>0</v>
      </c>
      <c r="J3148" s="135" t="n">
        <f aca="false">$G3148*'Analyse capacite'!$D$9</f>
        <v>0</v>
      </c>
      <c r="K3148" s="135" t="n">
        <f aca="false">$G3148*'Analyse capacite'!$E$9</f>
        <v>0</v>
      </c>
    </row>
    <row r="3149" customFormat="false" ht="15" hidden="false" customHeight="false" outlineLevel="0" collapsed="false">
      <c r="B3149" s="130" t="n">
        <v>2027</v>
      </c>
      <c r="C3149" s="131" t="s">
        <v>248</v>
      </c>
      <c r="D3149" s="132" t="n">
        <v>46565</v>
      </c>
      <c r="E3149" s="131" t="s">
        <v>40</v>
      </c>
      <c r="F3149" s="133" t="s">
        <v>11</v>
      </c>
      <c r="G3149" s="134" t="n">
        <f aca="false">LEN('Saisie programme'!$J$103)+SUMIFS('Vols additionnels'!$E$7:$E$66,'Vols additionnels'!$C$7:$C$66,$E3149,'Vols additionnels'!$D$7:$D$66,$F3149,'Vols additionnels'!$B$7:$B$66,$D3149)</f>
        <v>0</v>
      </c>
      <c r="H3149" s="135" t="n">
        <f aca="false">$G3149*'Analyse capacite'!$F$7</f>
        <v>0</v>
      </c>
      <c r="I3149" s="135" t="n">
        <f aca="false">$G3149*'Analyse capacite'!$C$7</f>
        <v>0</v>
      </c>
      <c r="J3149" s="135" t="n">
        <f aca="false">$G3149*'Analyse capacite'!$D$7</f>
        <v>0</v>
      </c>
      <c r="K3149" s="135" t="n">
        <f aca="false">$G3149*'Analyse capacite'!$E$7</f>
        <v>0</v>
      </c>
    </row>
    <row r="3150" customFormat="false" ht="15" hidden="false" customHeight="false" outlineLevel="0" collapsed="false">
      <c r="B3150" s="130" t="n">
        <v>2027</v>
      </c>
      <c r="C3150" s="131" t="s">
        <v>248</v>
      </c>
      <c r="D3150" s="132" t="n">
        <v>46565</v>
      </c>
      <c r="E3150" s="131" t="s">
        <v>40</v>
      </c>
      <c r="F3150" s="133" t="s">
        <v>19</v>
      </c>
      <c r="G3150" s="134" t="n">
        <f aca="false">LEN('Saisie programme'!$J$104)+SUMIFS('Vols additionnels'!$E$7:$E$66,'Vols additionnels'!$C$7:$C$66,$E3150,'Vols additionnels'!$D$7:$D$66,$F3150,'Vols additionnels'!$B$7:$B$66,$D3150)</f>
        <v>0</v>
      </c>
      <c r="H3150" s="135" t="n">
        <f aca="false">$G3150*'Analyse capacite'!$F$8</f>
        <v>0</v>
      </c>
      <c r="I3150" s="135" t="n">
        <f aca="false">$G3150*'Analyse capacite'!$C$8</f>
        <v>0</v>
      </c>
      <c r="J3150" s="135" t="n">
        <f aca="false">$G3150*'Analyse capacite'!$D$8</f>
        <v>0</v>
      </c>
      <c r="K3150" s="135" t="n">
        <f aca="false">$G3150*'Analyse capacite'!$E$8</f>
        <v>0</v>
      </c>
    </row>
    <row r="3151" customFormat="false" ht="15" hidden="false" customHeight="false" outlineLevel="0" collapsed="false">
      <c r="B3151" s="130" t="n">
        <v>2027</v>
      </c>
      <c r="C3151" s="131" t="s">
        <v>248</v>
      </c>
      <c r="D3151" s="132" t="n">
        <v>46565</v>
      </c>
      <c r="E3151" s="131" t="s">
        <v>40</v>
      </c>
      <c r="F3151" s="133" t="s">
        <v>24</v>
      </c>
      <c r="G3151" s="134" t="n">
        <f aca="false">LEN('Saisie programme'!$J$105)+SUMIFS('Vols additionnels'!$E$7:$E$66,'Vols additionnels'!$C$7:$C$66,$E3151,'Vols additionnels'!$D$7:$D$66,$F3151,'Vols additionnels'!$B$7:$B$66,$D3151)</f>
        <v>1</v>
      </c>
      <c r="H3151" s="135" t="n">
        <f aca="false">$G3151*'Analyse capacite'!$F$9</f>
        <v>174</v>
      </c>
      <c r="I3151" s="135" t="n">
        <f aca="false">$G3151*'Analyse capacite'!$C$9</f>
        <v>0</v>
      </c>
      <c r="J3151" s="135" t="n">
        <f aca="false">$G3151*'Analyse capacite'!$D$9</f>
        <v>12</v>
      </c>
      <c r="K3151" s="135" t="n">
        <f aca="false">$G3151*'Analyse capacite'!$E$9</f>
        <v>162</v>
      </c>
    </row>
    <row r="3152" customFormat="false" ht="15" hidden="false" customHeight="false" outlineLevel="0" collapsed="false">
      <c r="B3152" s="130" t="n">
        <v>2027</v>
      </c>
      <c r="C3152" s="131" t="s">
        <v>248</v>
      </c>
      <c r="D3152" s="132" t="n">
        <v>46565</v>
      </c>
      <c r="E3152" s="131" t="s">
        <v>14</v>
      </c>
      <c r="F3152" s="133" t="s">
        <v>11</v>
      </c>
      <c r="G3152" s="134" t="n">
        <f aca="false">LEN('Saisie programme'!$J$106)+SUMIFS('Vols additionnels'!$E$7:$E$66,'Vols additionnels'!$C$7:$C$66,$E3152,'Vols additionnels'!$D$7:$D$66,$F3152,'Vols additionnels'!$B$7:$B$66,$D3152)</f>
        <v>0</v>
      </c>
      <c r="H3152" s="135" t="n">
        <f aca="false">$G3152*'Analyse capacite'!$F$7</f>
        <v>0</v>
      </c>
      <c r="I3152" s="135" t="n">
        <f aca="false">$G3152*'Analyse capacite'!$C$7</f>
        <v>0</v>
      </c>
      <c r="J3152" s="135" t="n">
        <f aca="false">$G3152*'Analyse capacite'!$D$7</f>
        <v>0</v>
      </c>
      <c r="K3152" s="135" t="n">
        <f aca="false">$G3152*'Analyse capacite'!$E$7</f>
        <v>0</v>
      </c>
    </row>
    <row r="3153" customFormat="false" ht="15" hidden="false" customHeight="false" outlineLevel="0" collapsed="false">
      <c r="B3153" s="130" t="n">
        <v>2027</v>
      </c>
      <c r="C3153" s="131" t="s">
        <v>248</v>
      </c>
      <c r="D3153" s="132" t="n">
        <v>46565</v>
      </c>
      <c r="E3153" s="131" t="s">
        <v>14</v>
      </c>
      <c r="F3153" s="133" t="s">
        <v>19</v>
      </c>
      <c r="G3153" s="134" t="n">
        <f aca="false">LEN('Saisie programme'!$J$107)+SUMIFS('Vols additionnels'!$E$7:$E$66,'Vols additionnels'!$C$7:$C$66,$E3153,'Vols additionnels'!$D$7:$D$66,$F3153,'Vols additionnels'!$B$7:$B$66,$D3153)</f>
        <v>0</v>
      </c>
      <c r="H3153" s="135" t="n">
        <f aca="false">$G3153*'Analyse capacite'!$F$8</f>
        <v>0</v>
      </c>
      <c r="I3153" s="135" t="n">
        <f aca="false">$G3153*'Analyse capacite'!$C$8</f>
        <v>0</v>
      </c>
      <c r="J3153" s="135" t="n">
        <f aca="false">$G3153*'Analyse capacite'!$D$8</f>
        <v>0</v>
      </c>
      <c r="K3153" s="135" t="n">
        <f aca="false">$G3153*'Analyse capacite'!$E$8</f>
        <v>0</v>
      </c>
    </row>
    <row r="3154" customFormat="false" ht="15" hidden="false" customHeight="false" outlineLevel="0" collapsed="false">
      <c r="B3154" s="130" t="n">
        <v>2027</v>
      </c>
      <c r="C3154" s="131" t="s">
        <v>248</v>
      </c>
      <c r="D3154" s="132" t="n">
        <v>46565</v>
      </c>
      <c r="E3154" s="131" t="s">
        <v>14</v>
      </c>
      <c r="F3154" s="133" t="s">
        <v>24</v>
      </c>
      <c r="G3154" s="134" t="n">
        <f aca="false">LEN('Saisie programme'!$J$108)+SUMIFS('Vols additionnels'!$E$7:$E$66,'Vols additionnels'!$C$7:$C$66,$E3154,'Vols additionnels'!$D$7:$D$66,$F3154,'Vols additionnels'!$B$7:$B$66,$D3154)</f>
        <v>0</v>
      </c>
      <c r="H3154" s="135" t="n">
        <f aca="false">$G3154*'Analyse capacite'!$F$9</f>
        <v>0</v>
      </c>
      <c r="I3154" s="135" t="n">
        <f aca="false">$G3154*'Analyse capacite'!$C$9</f>
        <v>0</v>
      </c>
      <c r="J3154" s="135" t="n">
        <f aca="false">$G3154*'Analyse capacite'!$D$9</f>
        <v>0</v>
      </c>
      <c r="K3154" s="135" t="n">
        <f aca="false">$G3154*'Analyse capacite'!$E$9</f>
        <v>0</v>
      </c>
    </row>
    <row r="3155" customFormat="false" ht="15" hidden="false" customHeight="false" outlineLevel="0" collapsed="false">
      <c r="B3155" s="130" t="n">
        <v>2027</v>
      </c>
      <c r="C3155" s="131" t="s">
        <v>248</v>
      </c>
      <c r="D3155" s="132" t="n">
        <v>46565</v>
      </c>
      <c r="E3155" s="131" t="s">
        <v>46</v>
      </c>
      <c r="F3155" s="133" t="s">
        <v>11</v>
      </c>
      <c r="G3155" s="134" t="n">
        <f aca="false">LEN('Saisie programme'!$J$109)+SUMIFS('Vols additionnels'!$E$7:$E$66,'Vols additionnels'!$C$7:$C$66,$E3155,'Vols additionnels'!$D$7:$D$66,$F3155,'Vols additionnels'!$B$7:$B$66,$D3155)</f>
        <v>0</v>
      </c>
      <c r="H3155" s="135" t="n">
        <f aca="false">$G3155*'Analyse capacite'!$F$7</f>
        <v>0</v>
      </c>
      <c r="I3155" s="135" t="n">
        <f aca="false">$G3155*'Analyse capacite'!$C$7</f>
        <v>0</v>
      </c>
      <c r="J3155" s="135" t="n">
        <f aca="false">$G3155*'Analyse capacite'!$D$7</f>
        <v>0</v>
      </c>
      <c r="K3155" s="135" t="n">
        <f aca="false">$G3155*'Analyse capacite'!$E$7</f>
        <v>0</v>
      </c>
    </row>
    <row r="3156" customFormat="false" ht="15" hidden="false" customHeight="false" outlineLevel="0" collapsed="false">
      <c r="B3156" s="130" t="n">
        <v>2027</v>
      </c>
      <c r="C3156" s="131" t="s">
        <v>248</v>
      </c>
      <c r="D3156" s="132" t="n">
        <v>46565</v>
      </c>
      <c r="E3156" s="131" t="s">
        <v>46</v>
      </c>
      <c r="F3156" s="133" t="s">
        <v>19</v>
      </c>
      <c r="G3156" s="134" t="n">
        <f aca="false">LEN('Saisie programme'!$J$110)+SUMIFS('Vols additionnels'!$E$7:$E$66,'Vols additionnels'!$C$7:$C$66,$E3156,'Vols additionnels'!$D$7:$D$66,$F3156,'Vols additionnels'!$B$7:$B$66,$D3156)</f>
        <v>0</v>
      </c>
      <c r="H3156" s="135" t="n">
        <f aca="false">$G3156*'Analyse capacite'!$F$8</f>
        <v>0</v>
      </c>
      <c r="I3156" s="135" t="n">
        <f aca="false">$G3156*'Analyse capacite'!$C$8</f>
        <v>0</v>
      </c>
      <c r="J3156" s="135" t="n">
        <f aca="false">$G3156*'Analyse capacite'!$D$8</f>
        <v>0</v>
      </c>
      <c r="K3156" s="135" t="n">
        <f aca="false">$G3156*'Analyse capacite'!$E$8</f>
        <v>0</v>
      </c>
    </row>
    <row r="3157" customFormat="false" ht="15" hidden="false" customHeight="false" outlineLevel="0" collapsed="false">
      <c r="B3157" s="130" t="n">
        <v>2027</v>
      </c>
      <c r="C3157" s="131" t="s">
        <v>248</v>
      </c>
      <c r="D3157" s="132" t="n">
        <v>46565</v>
      </c>
      <c r="E3157" s="131" t="s">
        <v>46</v>
      </c>
      <c r="F3157" s="133" t="s">
        <v>24</v>
      </c>
      <c r="G3157" s="134" t="n">
        <f aca="false">LEN('Saisie programme'!$J$111)+SUMIFS('Vols additionnels'!$E$7:$E$66,'Vols additionnels'!$C$7:$C$66,$E3157,'Vols additionnels'!$D$7:$D$66,$F3157,'Vols additionnels'!$B$7:$B$66,$D3157)</f>
        <v>0</v>
      </c>
      <c r="H3157" s="135" t="n">
        <f aca="false">$G3157*'Analyse capacite'!$F$9</f>
        <v>0</v>
      </c>
      <c r="I3157" s="135" t="n">
        <f aca="false">$G3157*'Analyse capacite'!$C$9</f>
        <v>0</v>
      </c>
      <c r="J3157" s="135" t="n">
        <f aca="false">$G3157*'Analyse capacite'!$D$9</f>
        <v>0</v>
      </c>
      <c r="K3157" s="135" t="n">
        <f aca="false">$G3157*'Analyse capacite'!$E$9</f>
        <v>0</v>
      </c>
    </row>
    <row r="3158" customFormat="false" ht="15" hidden="false" customHeight="false" outlineLevel="0" collapsed="false">
      <c r="B3158" s="130" t="n">
        <v>2027</v>
      </c>
      <c r="C3158" s="131" t="s">
        <v>248</v>
      </c>
      <c r="D3158" s="132" t="n">
        <v>46565</v>
      </c>
      <c r="E3158" s="131" t="s">
        <v>49</v>
      </c>
      <c r="F3158" s="133" t="s">
        <v>11</v>
      </c>
      <c r="G3158" s="134" t="n">
        <f aca="false">LEN('Saisie programme'!$J$112)+SUMIFS('Vols additionnels'!$E$7:$E$66,'Vols additionnels'!$C$7:$C$66,$E3158,'Vols additionnels'!$D$7:$D$66,$F3158,'Vols additionnels'!$B$7:$B$66,$D3158)</f>
        <v>0</v>
      </c>
      <c r="H3158" s="135" t="n">
        <f aca="false">$G3158*'Analyse capacite'!$F$7</f>
        <v>0</v>
      </c>
      <c r="I3158" s="135" t="n">
        <f aca="false">$G3158*'Analyse capacite'!$C$7</f>
        <v>0</v>
      </c>
      <c r="J3158" s="135" t="n">
        <f aca="false">$G3158*'Analyse capacite'!$D$7</f>
        <v>0</v>
      </c>
      <c r="K3158" s="135" t="n">
        <f aca="false">$G3158*'Analyse capacite'!$E$7</f>
        <v>0</v>
      </c>
    </row>
    <row r="3159" customFormat="false" ht="15" hidden="false" customHeight="false" outlineLevel="0" collapsed="false">
      <c r="B3159" s="130" t="n">
        <v>2027</v>
      </c>
      <c r="C3159" s="131" t="s">
        <v>248</v>
      </c>
      <c r="D3159" s="132" t="n">
        <v>46565</v>
      </c>
      <c r="E3159" s="131" t="s">
        <v>49</v>
      </c>
      <c r="F3159" s="133" t="s">
        <v>19</v>
      </c>
      <c r="G3159" s="134" t="n">
        <f aca="false">LEN('Saisie programme'!$J$113)+SUMIFS('Vols additionnels'!$E$7:$E$66,'Vols additionnels'!$C$7:$C$66,$E3159,'Vols additionnels'!$D$7:$D$66,$F3159,'Vols additionnels'!$B$7:$B$66,$D3159)</f>
        <v>0</v>
      </c>
      <c r="H3159" s="135" t="n">
        <f aca="false">$G3159*'Analyse capacite'!$F$8</f>
        <v>0</v>
      </c>
      <c r="I3159" s="135" t="n">
        <f aca="false">$G3159*'Analyse capacite'!$C$8</f>
        <v>0</v>
      </c>
      <c r="J3159" s="135" t="n">
        <f aca="false">$G3159*'Analyse capacite'!$D$8</f>
        <v>0</v>
      </c>
      <c r="K3159" s="135" t="n">
        <f aca="false">$G3159*'Analyse capacite'!$E$8</f>
        <v>0</v>
      </c>
    </row>
    <row r="3160" customFormat="false" ht="15" hidden="false" customHeight="false" outlineLevel="0" collapsed="false">
      <c r="B3160" s="130" t="n">
        <v>2027</v>
      </c>
      <c r="C3160" s="131" t="s">
        <v>248</v>
      </c>
      <c r="D3160" s="132" t="n">
        <v>46565</v>
      </c>
      <c r="E3160" s="131" t="s">
        <v>49</v>
      </c>
      <c r="F3160" s="133" t="s">
        <v>24</v>
      </c>
      <c r="G3160" s="134" t="n">
        <f aca="false">LEN('Saisie programme'!$J$114)+SUMIFS('Vols additionnels'!$E$7:$E$66,'Vols additionnels'!$C$7:$C$66,$E3160,'Vols additionnels'!$D$7:$D$66,$F3160,'Vols additionnels'!$B$7:$B$66,$D3160)</f>
        <v>0</v>
      </c>
      <c r="H3160" s="135" t="n">
        <f aca="false">$G3160*'Analyse capacite'!$F$9</f>
        <v>0</v>
      </c>
      <c r="I3160" s="135" t="n">
        <f aca="false">$G3160*'Analyse capacite'!$C$9</f>
        <v>0</v>
      </c>
      <c r="J3160" s="135" t="n">
        <f aca="false">$G3160*'Analyse capacite'!$D$9</f>
        <v>0</v>
      </c>
      <c r="K3160" s="135" t="n">
        <f aca="false">$G3160*'Analyse capacite'!$E$9</f>
        <v>0</v>
      </c>
    </row>
    <row r="3161" customFormat="false" ht="15" hidden="false" customHeight="false" outlineLevel="0" collapsed="false">
      <c r="B3161" s="130" t="n">
        <v>2027</v>
      </c>
      <c r="C3161" s="131" t="s">
        <v>248</v>
      </c>
      <c r="D3161" s="132" t="n">
        <v>46565</v>
      </c>
      <c r="E3161" s="131" t="s">
        <v>53</v>
      </c>
      <c r="F3161" s="133" t="s">
        <v>11</v>
      </c>
      <c r="G3161" s="134" t="n">
        <f aca="false">LEN('Saisie programme'!$J$115)+SUMIFS('Vols additionnels'!$E$7:$E$66,'Vols additionnels'!$C$7:$C$66,$E3161,'Vols additionnels'!$D$7:$D$66,$F3161,'Vols additionnels'!$B$7:$B$66,$D3161)</f>
        <v>0</v>
      </c>
      <c r="H3161" s="135" t="n">
        <f aca="false">$G3161*'Analyse capacite'!$F$7</f>
        <v>0</v>
      </c>
      <c r="I3161" s="135" t="n">
        <f aca="false">$G3161*'Analyse capacite'!$C$7</f>
        <v>0</v>
      </c>
      <c r="J3161" s="135" t="n">
        <f aca="false">$G3161*'Analyse capacite'!$D$7</f>
        <v>0</v>
      </c>
      <c r="K3161" s="135" t="n">
        <f aca="false">$G3161*'Analyse capacite'!$E$7</f>
        <v>0</v>
      </c>
    </row>
    <row r="3162" customFormat="false" ht="15" hidden="false" customHeight="false" outlineLevel="0" collapsed="false">
      <c r="B3162" s="130" t="n">
        <v>2027</v>
      </c>
      <c r="C3162" s="131" t="s">
        <v>248</v>
      </c>
      <c r="D3162" s="132" t="n">
        <v>46565</v>
      </c>
      <c r="E3162" s="131" t="s">
        <v>53</v>
      </c>
      <c r="F3162" s="133" t="s">
        <v>19</v>
      </c>
      <c r="G3162" s="134" t="n">
        <f aca="false">LEN('Saisie programme'!$J$116)+SUMIFS('Vols additionnels'!$E$7:$E$66,'Vols additionnels'!$C$7:$C$66,$E3162,'Vols additionnels'!$D$7:$D$66,$F3162,'Vols additionnels'!$B$7:$B$66,$D3162)</f>
        <v>0</v>
      </c>
      <c r="H3162" s="135" t="n">
        <f aca="false">$G3162*'Analyse capacite'!$F$8</f>
        <v>0</v>
      </c>
      <c r="I3162" s="135" t="n">
        <f aca="false">$G3162*'Analyse capacite'!$C$8</f>
        <v>0</v>
      </c>
      <c r="J3162" s="135" t="n">
        <f aca="false">$G3162*'Analyse capacite'!$D$8</f>
        <v>0</v>
      </c>
      <c r="K3162" s="135" t="n">
        <f aca="false">$G3162*'Analyse capacite'!$E$8</f>
        <v>0</v>
      </c>
    </row>
    <row r="3163" customFormat="false" ht="15" hidden="false" customHeight="false" outlineLevel="0" collapsed="false">
      <c r="B3163" s="130" t="n">
        <v>2027</v>
      </c>
      <c r="C3163" s="131" t="s">
        <v>248</v>
      </c>
      <c r="D3163" s="132" t="n">
        <v>46565</v>
      </c>
      <c r="E3163" s="131" t="s">
        <v>53</v>
      </c>
      <c r="F3163" s="133" t="s">
        <v>24</v>
      </c>
      <c r="G3163" s="134" t="n">
        <f aca="false">LEN('Saisie programme'!$J$117)+SUMIFS('Vols additionnels'!$E$7:$E$66,'Vols additionnels'!$C$7:$C$66,$E3163,'Vols additionnels'!$D$7:$D$66,$F3163,'Vols additionnels'!$B$7:$B$66,$D3163)</f>
        <v>0</v>
      </c>
      <c r="H3163" s="135" t="n">
        <f aca="false">$G3163*'Analyse capacite'!$F$9</f>
        <v>0</v>
      </c>
      <c r="I3163" s="135" t="n">
        <f aca="false">$G3163*'Analyse capacite'!$C$9</f>
        <v>0</v>
      </c>
      <c r="J3163" s="135" t="n">
        <f aca="false">$G3163*'Analyse capacite'!$D$9</f>
        <v>0</v>
      </c>
      <c r="K3163" s="135" t="n">
        <f aca="false">$G3163*'Analyse capacite'!$E$9</f>
        <v>0</v>
      </c>
    </row>
    <row r="3164" customFormat="false" ht="15" hidden="false" customHeight="false" outlineLevel="0" collapsed="false">
      <c r="B3164" s="130" t="n">
        <v>2027</v>
      </c>
      <c r="C3164" s="131" t="s">
        <v>248</v>
      </c>
      <c r="D3164" s="132" t="n">
        <v>46565</v>
      </c>
      <c r="E3164" s="131" t="s">
        <v>56</v>
      </c>
      <c r="F3164" s="133" t="s">
        <v>11</v>
      </c>
      <c r="G3164" s="134" t="n">
        <f aca="false">LEN('Saisie programme'!$J$118)+SUMIFS('Vols additionnels'!$E$7:$E$66,'Vols additionnels'!$C$7:$C$66,$E3164,'Vols additionnels'!$D$7:$D$66,$F3164,'Vols additionnels'!$B$7:$B$66,$D3164)</f>
        <v>0</v>
      </c>
      <c r="H3164" s="135" t="n">
        <f aca="false">$G3164*'Analyse capacite'!$F$7</f>
        <v>0</v>
      </c>
      <c r="I3164" s="135" t="n">
        <f aca="false">$G3164*'Analyse capacite'!$C$7</f>
        <v>0</v>
      </c>
      <c r="J3164" s="135" t="n">
        <f aca="false">$G3164*'Analyse capacite'!$D$7</f>
        <v>0</v>
      </c>
      <c r="K3164" s="135" t="n">
        <f aca="false">$G3164*'Analyse capacite'!$E$7</f>
        <v>0</v>
      </c>
    </row>
    <row r="3165" customFormat="false" ht="15" hidden="false" customHeight="false" outlineLevel="0" collapsed="false">
      <c r="B3165" s="130" t="n">
        <v>2027</v>
      </c>
      <c r="C3165" s="131" t="s">
        <v>248</v>
      </c>
      <c r="D3165" s="132" t="n">
        <v>46565</v>
      </c>
      <c r="E3165" s="131" t="s">
        <v>56</v>
      </c>
      <c r="F3165" s="133" t="s">
        <v>19</v>
      </c>
      <c r="G3165" s="134" t="n">
        <f aca="false">LEN('Saisie programme'!$J$119)+SUMIFS('Vols additionnels'!$E$7:$E$66,'Vols additionnels'!$C$7:$C$66,$E3165,'Vols additionnels'!$D$7:$D$66,$F3165,'Vols additionnels'!$B$7:$B$66,$D3165)</f>
        <v>0</v>
      </c>
      <c r="H3165" s="135" t="n">
        <f aca="false">$G3165*'Analyse capacite'!$F$8</f>
        <v>0</v>
      </c>
      <c r="I3165" s="135" t="n">
        <f aca="false">$G3165*'Analyse capacite'!$C$8</f>
        <v>0</v>
      </c>
      <c r="J3165" s="135" t="n">
        <f aca="false">$G3165*'Analyse capacite'!$D$8</f>
        <v>0</v>
      </c>
      <c r="K3165" s="135" t="n">
        <f aca="false">$G3165*'Analyse capacite'!$E$8</f>
        <v>0</v>
      </c>
    </row>
    <row r="3166" customFormat="false" ht="15" hidden="false" customHeight="false" outlineLevel="0" collapsed="false">
      <c r="B3166" s="130" t="n">
        <v>2027</v>
      </c>
      <c r="C3166" s="131" t="s">
        <v>248</v>
      </c>
      <c r="D3166" s="132" t="n">
        <v>46565</v>
      </c>
      <c r="E3166" s="131" t="s">
        <v>56</v>
      </c>
      <c r="F3166" s="133" t="s">
        <v>24</v>
      </c>
      <c r="G3166" s="134" t="n">
        <f aca="false">LEN('Saisie programme'!$J$120)+SUMIFS('Vols additionnels'!$E$7:$E$66,'Vols additionnels'!$C$7:$C$66,$E3166,'Vols additionnels'!$D$7:$D$66,$F3166,'Vols additionnels'!$B$7:$B$66,$D3166)</f>
        <v>0</v>
      </c>
      <c r="H3166" s="135" t="n">
        <f aca="false">$G3166*'Analyse capacite'!$F$9</f>
        <v>0</v>
      </c>
      <c r="I3166" s="135" t="n">
        <f aca="false">$G3166*'Analyse capacite'!$C$9</f>
        <v>0</v>
      </c>
      <c r="J3166" s="135" t="n">
        <f aca="false">$G3166*'Analyse capacite'!$D$9</f>
        <v>0</v>
      </c>
      <c r="K3166" s="135" t="n">
        <f aca="false">$G3166*'Analyse capacite'!$E$9</f>
        <v>0</v>
      </c>
    </row>
    <row r="3167" customFormat="false" ht="15" hidden="false" customHeight="false" outlineLevel="0" collapsed="false">
      <c r="B3167" s="130" t="n">
        <v>2027</v>
      </c>
      <c r="C3167" s="131" t="s">
        <v>248</v>
      </c>
      <c r="D3167" s="132" t="n">
        <v>46565</v>
      </c>
      <c r="E3167" s="131" t="s">
        <v>59</v>
      </c>
      <c r="F3167" s="133" t="s">
        <v>11</v>
      </c>
      <c r="G3167" s="134" t="n">
        <f aca="false">LEN('Saisie programme'!$J$121)+SUMIFS('Vols additionnels'!$E$7:$E$66,'Vols additionnels'!$C$7:$C$66,$E3167,'Vols additionnels'!$D$7:$D$66,$F3167,'Vols additionnels'!$B$7:$B$66,$D3167)</f>
        <v>0</v>
      </c>
      <c r="H3167" s="135" t="n">
        <f aca="false">$G3167*'Analyse capacite'!$F$7</f>
        <v>0</v>
      </c>
      <c r="I3167" s="135" t="n">
        <f aca="false">$G3167*'Analyse capacite'!$C$7</f>
        <v>0</v>
      </c>
      <c r="J3167" s="135" t="n">
        <f aca="false">$G3167*'Analyse capacite'!$D$7</f>
        <v>0</v>
      </c>
      <c r="K3167" s="135" t="n">
        <f aca="false">$G3167*'Analyse capacite'!$E$7</f>
        <v>0</v>
      </c>
    </row>
    <row r="3168" customFormat="false" ht="15" hidden="false" customHeight="false" outlineLevel="0" collapsed="false">
      <c r="B3168" s="130" t="n">
        <v>2027</v>
      </c>
      <c r="C3168" s="131" t="s">
        <v>248</v>
      </c>
      <c r="D3168" s="132" t="n">
        <v>46565</v>
      </c>
      <c r="E3168" s="131" t="s">
        <v>59</v>
      </c>
      <c r="F3168" s="133" t="s">
        <v>19</v>
      </c>
      <c r="G3168" s="134" t="n">
        <f aca="false">LEN('Saisie programme'!$J$122)+SUMIFS('Vols additionnels'!$E$7:$E$66,'Vols additionnels'!$C$7:$C$66,$E3168,'Vols additionnels'!$D$7:$D$66,$F3168,'Vols additionnels'!$B$7:$B$66,$D3168)</f>
        <v>0</v>
      </c>
      <c r="H3168" s="135" t="n">
        <f aca="false">$G3168*'Analyse capacite'!$F$8</f>
        <v>0</v>
      </c>
      <c r="I3168" s="135" t="n">
        <f aca="false">$G3168*'Analyse capacite'!$C$8</f>
        <v>0</v>
      </c>
      <c r="J3168" s="135" t="n">
        <f aca="false">$G3168*'Analyse capacite'!$D$8</f>
        <v>0</v>
      </c>
      <c r="K3168" s="135" t="n">
        <f aca="false">$G3168*'Analyse capacite'!$E$8</f>
        <v>0</v>
      </c>
    </row>
    <row r="3169" customFormat="false" ht="15" hidden="false" customHeight="false" outlineLevel="0" collapsed="false">
      <c r="B3169" s="130" t="n">
        <v>2027</v>
      </c>
      <c r="C3169" s="131" t="s">
        <v>248</v>
      </c>
      <c r="D3169" s="132" t="n">
        <v>46565</v>
      </c>
      <c r="E3169" s="131" t="s">
        <v>59</v>
      </c>
      <c r="F3169" s="133" t="s">
        <v>24</v>
      </c>
      <c r="G3169" s="134" t="n">
        <f aca="false">LEN('Saisie programme'!$J$123)+SUMIFS('Vols additionnels'!$E$7:$E$66,'Vols additionnels'!$C$7:$C$66,$E3169,'Vols additionnels'!$D$7:$D$66,$F3169,'Vols additionnels'!$B$7:$B$66,$D3169)</f>
        <v>0</v>
      </c>
      <c r="H3169" s="135" t="n">
        <f aca="false">$G3169*'Analyse capacite'!$F$9</f>
        <v>0</v>
      </c>
      <c r="I3169" s="135" t="n">
        <f aca="false">$G3169*'Analyse capacite'!$C$9</f>
        <v>0</v>
      </c>
      <c r="J3169" s="135" t="n">
        <f aca="false">$G3169*'Analyse capacite'!$D$9</f>
        <v>0</v>
      </c>
      <c r="K3169" s="135" t="n">
        <f aca="false">$G3169*'Analyse capacite'!$E$9</f>
        <v>0</v>
      </c>
    </row>
    <row r="3170" customFormat="false" ht="15" hidden="false" customHeight="false" outlineLevel="0" collapsed="false">
      <c r="B3170" s="130" t="n">
        <v>2027</v>
      </c>
      <c r="C3170" s="131" t="s">
        <v>248</v>
      </c>
      <c r="D3170" s="132" t="n">
        <v>46565</v>
      </c>
      <c r="E3170" s="131" t="s">
        <v>62</v>
      </c>
      <c r="F3170" s="133" t="s">
        <v>11</v>
      </c>
      <c r="G3170" s="134" t="n">
        <f aca="false">LEN('Saisie programme'!$J$124)+SUMIFS('Vols additionnels'!$E$7:$E$66,'Vols additionnels'!$C$7:$C$66,$E3170,'Vols additionnels'!$D$7:$D$66,$F3170,'Vols additionnels'!$B$7:$B$66,$D3170)</f>
        <v>0</v>
      </c>
      <c r="H3170" s="135" t="n">
        <f aca="false">$G3170*'Analyse capacite'!$F$7</f>
        <v>0</v>
      </c>
      <c r="I3170" s="135" t="n">
        <f aca="false">$G3170*'Analyse capacite'!$C$7</f>
        <v>0</v>
      </c>
      <c r="J3170" s="135" t="n">
        <f aca="false">$G3170*'Analyse capacite'!$D$7</f>
        <v>0</v>
      </c>
      <c r="K3170" s="135" t="n">
        <f aca="false">$G3170*'Analyse capacite'!$E$7</f>
        <v>0</v>
      </c>
    </row>
    <row r="3171" customFormat="false" ht="15" hidden="false" customHeight="false" outlineLevel="0" collapsed="false">
      <c r="B3171" s="130" t="n">
        <v>2027</v>
      </c>
      <c r="C3171" s="131" t="s">
        <v>248</v>
      </c>
      <c r="D3171" s="132" t="n">
        <v>46565</v>
      </c>
      <c r="E3171" s="131" t="s">
        <v>62</v>
      </c>
      <c r="F3171" s="133" t="s">
        <v>19</v>
      </c>
      <c r="G3171" s="134" t="n">
        <f aca="false">LEN('Saisie programme'!$J$125)+SUMIFS('Vols additionnels'!$E$7:$E$66,'Vols additionnels'!$C$7:$C$66,$E3171,'Vols additionnels'!$D$7:$D$66,$F3171,'Vols additionnels'!$B$7:$B$66,$D3171)</f>
        <v>0</v>
      </c>
      <c r="H3171" s="135" t="n">
        <f aca="false">$G3171*'Analyse capacite'!$F$8</f>
        <v>0</v>
      </c>
      <c r="I3171" s="135" t="n">
        <f aca="false">$G3171*'Analyse capacite'!$C$8</f>
        <v>0</v>
      </c>
      <c r="J3171" s="135" t="n">
        <f aca="false">$G3171*'Analyse capacite'!$D$8</f>
        <v>0</v>
      </c>
      <c r="K3171" s="135" t="n">
        <f aca="false">$G3171*'Analyse capacite'!$E$8</f>
        <v>0</v>
      </c>
    </row>
    <row r="3172" customFormat="false" ht="15" hidden="false" customHeight="false" outlineLevel="0" collapsed="false">
      <c r="B3172" s="130" t="n">
        <v>2027</v>
      </c>
      <c r="C3172" s="131" t="s">
        <v>248</v>
      </c>
      <c r="D3172" s="132" t="n">
        <v>46565</v>
      </c>
      <c r="E3172" s="131" t="s">
        <v>62</v>
      </c>
      <c r="F3172" s="133" t="s">
        <v>24</v>
      </c>
      <c r="G3172" s="134" t="n">
        <f aca="false">LEN('Saisie programme'!$J$126)+SUMIFS('Vols additionnels'!$E$7:$E$66,'Vols additionnels'!$C$7:$C$66,$E3172,'Vols additionnels'!$D$7:$D$66,$F3172,'Vols additionnels'!$B$7:$B$66,$D3172)</f>
        <v>1</v>
      </c>
      <c r="H3172" s="135" t="n">
        <f aca="false">$G3172*'Analyse capacite'!$F$9</f>
        <v>174</v>
      </c>
      <c r="I3172" s="135" t="n">
        <f aca="false">$G3172*'Analyse capacite'!$C$9</f>
        <v>0</v>
      </c>
      <c r="J3172" s="135" t="n">
        <f aca="false">$G3172*'Analyse capacite'!$D$9</f>
        <v>12</v>
      </c>
      <c r="K3172" s="135" t="n">
        <f aca="false">$G3172*'Analyse capacite'!$E$9</f>
        <v>162</v>
      </c>
    </row>
    <row r="3173" customFormat="false" ht="15" hidden="false" customHeight="false" outlineLevel="0" collapsed="false">
      <c r="B3173" s="130" t="n">
        <v>2027</v>
      </c>
      <c r="C3173" s="131" t="s">
        <v>248</v>
      </c>
      <c r="D3173" s="132" t="n">
        <v>46566</v>
      </c>
      <c r="E3173" s="131" t="s">
        <v>12</v>
      </c>
      <c r="F3173" s="133" t="s">
        <v>11</v>
      </c>
      <c r="G3173" s="134" t="n">
        <f aca="false">LEN('Saisie programme'!$D$91)+SUMIFS('Vols additionnels'!$E$7:$E$66,'Vols additionnels'!$C$7:$C$66,$E3173,'Vols additionnels'!$D$7:$D$66,$F3173,'Vols additionnels'!$B$7:$B$66,$D3173)</f>
        <v>1</v>
      </c>
      <c r="H3173" s="135" t="n">
        <f aca="false">$G3173*'Analyse capacite'!$F$7</f>
        <v>438</v>
      </c>
      <c r="I3173" s="135" t="n">
        <f aca="false">$G3173*'Analyse capacite'!$C$7</f>
        <v>14</v>
      </c>
      <c r="J3173" s="135" t="n">
        <f aca="false">$G3173*'Analyse capacite'!$D$7</f>
        <v>40</v>
      </c>
      <c r="K3173" s="135" t="n">
        <f aca="false">$G3173*'Analyse capacite'!$E$7</f>
        <v>384</v>
      </c>
    </row>
    <row r="3174" customFormat="false" ht="15" hidden="false" customHeight="false" outlineLevel="0" collapsed="false">
      <c r="B3174" s="130" t="n">
        <v>2027</v>
      </c>
      <c r="C3174" s="131" t="s">
        <v>248</v>
      </c>
      <c r="D3174" s="132" t="n">
        <v>46566</v>
      </c>
      <c r="E3174" s="131" t="s">
        <v>12</v>
      </c>
      <c r="F3174" s="133" t="s">
        <v>19</v>
      </c>
      <c r="G3174" s="134" t="n">
        <f aca="false">LEN('Saisie programme'!$D$92)+SUMIFS('Vols additionnels'!$E$7:$E$66,'Vols additionnels'!$C$7:$C$66,$E3174,'Vols additionnels'!$D$7:$D$66,$F3174,'Vols additionnels'!$B$7:$B$66,$D3174)</f>
        <v>1</v>
      </c>
      <c r="H3174" s="135" t="n">
        <f aca="false">$G3174*'Analyse capacite'!$F$8</f>
        <v>262</v>
      </c>
      <c r="I3174" s="135" t="n">
        <f aca="false">$G3174*'Analyse capacite'!$C$8</f>
        <v>18</v>
      </c>
      <c r="J3174" s="135" t="n">
        <f aca="false">$G3174*'Analyse capacite'!$D$8</f>
        <v>0</v>
      </c>
      <c r="K3174" s="135" t="n">
        <f aca="false">$G3174*'Analyse capacite'!$E$8</f>
        <v>244</v>
      </c>
    </row>
    <row r="3175" customFormat="false" ht="15" hidden="false" customHeight="false" outlineLevel="0" collapsed="false">
      <c r="B3175" s="130" t="n">
        <v>2027</v>
      </c>
      <c r="C3175" s="131" t="s">
        <v>248</v>
      </c>
      <c r="D3175" s="132" t="n">
        <v>46566</v>
      </c>
      <c r="E3175" s="131" t="s">
        <v>12</v>
      </c>
      <c r="F3175" s="133" t="s">
        <v>24</v>
      </c>
      <c r="G3175" s="134" t="n">
        <f aca="false">LEN('Saisie programme'!$D$93)+SUMIFS('Vols additionnels'!$E$7:$E$66,'Vols additionnels'!$C$7:$C$66,$E3175,'Vols additionnels'!$D$7:$D$66,$F3175,'Vols additionnels'!$B$7:$B$66,$D3175)</f>
        <v>2</v>
      </c>
      <c r="H3175" s="135" t="n">
        <f aca="false">$G3175*'Analyse capacite'!$F$9</f>
        <v>348</v>
      </c>
      <c r="I3175" s="135" t="n">
        <f aca="false">$G3175*'Analyse capacite'!$C$9</f>
        <v>0</v>
      </c>
      <c r="J3175" s="135" t="n">
        <f aca="false">$G3175*'Analyse capacite'!$D$9</f>
        <v>24</v>
      </c>
      <c r="K3175" s="135" t="n">
        <f aca="false">$G3175*'Analyse capacite'!$E$9</f>
        <v>324</v>
      </c>
    </row>
    <row r="3176" customFormat="false" ht="15" hidden="false" customHeight="false" outlineLevel="0" collapsed="false">
      <c r="B3176" s="130" t="n">
        <v>2027</v>
      </c>
      <c r="C3176" s="131" t="s">
        <v>248</v>
      </c>
      <c r="D3176" s="132" t="n">
        <v>46566</v>
      </c>
      <c r="E3176" s="131" t="s">
        <v>20</v>
      </c>
      <c r="F3176" s="133" t="s">
        <v>11</v>
      </c>
      <c r="G3176" s="134" t="n">
        <f aca="false">LEN('Saisie programme'!$D$94)+SUMIFS('Vols additionnels'!$E$7:$E$66,'Vols additionnels'!$C$7:$C$66,$E3176,'Vols additionnels'!$D$7:$D$66,$F3176,'Vols additionnels'!$B$7:$B$66,$D3176)</f>
        <v>0</v>
      </c>
      <c r="H3176" s="135" t="n">
        <f aca="false">$G3176*'Analyse capacite'!$F$7</f>
        <v>0</v>
      </c>
      <c r="I3176" s="135" t="n">
        <f aca="false">$G3176*'Analyse capacite'!$C$7</f>
        <v>0</v>
      </c>
      <c r="J3176" s="135" t="n">
        <f aca="false">$G3176*'Analyse capacite'!$D$7</f>
        <v>0</v>
      </c>
      <c r="K3176" s="135" t="n">
        <f aca="false">$G3176*'Analyse capacite'!$E$7</f>
        <v>0</v>
      </c>
    </row>
    <row r="3177" customFormat="false" ht="15" hidden="false" customHeight="false" outlineLevel="0" collapsed="false">
      <c r="B3177" s="130" t="n">
        <v>2027</v>
      </c>
      <c r="C3177" s="131" t="s">
        <v>248</v>
      </c>
      <c r="D3177" s="132" t="n">
        <v>46566</v>
      </c>
      <c r="E3177" s="131" t="s">
        <v>20</v>
      </c>
      <c r="F3177" s="133" t="s">
        <v>19</v>
      </c>
      <c r="G3177" s="134" t="n">
        <f aca="false">LEN('Saisie programme'!$D$95)+SUMIFS('Vols additionnels'!$E$7:$E$66,'Vols additionnels'!$C$7:$C$66,$E3177,'Vols additionnels'!$D$7:$D$66,$F3177,'Vols additionnels'!$B$7:$B$66,$D3177)</f>
        <v>0</v>
      </c>
      <c r="H3177" s="135" t="n">
        <f aca="false">$G3177*'Analyse capacite'!$F$8</f>
        <v>0</v>
      </c>
      <c r="I3177" s="135" t="n">
        <f aca="false">$G3177*'Analyse capacite'!$C$8</f>
        <v>0</v>
      </c>
      <c r="J3177" s="135" t="n">
        <f aca="false">$G3177*'Analyse capacite'!$D$8</f>
        <v>0</v>
      </c>
      <c r="K3177" s="135" t="n">
        <f aca="false">$G3177*'Analyse capacite'!$E$8</f>
        <v>0</v>
      </c>
    </row>
    <row r="3178" customFormat="false" ht="15" hidden="false" customHeight="false" outlineLevel="0" collapsed="false">
      <c r="B3178" s="130" t="n">
        <v>2027</v>
      </c>
      <c r="C3178" s="131" t="s">
        <v>248</v>
      </c>
      <c r="D3178" s="132" t="n">
        <v>46566</v>
      </c>
      <c r="E3178" s="131" t="s">
        <v>20</v>
      </c>
      <c r="F3178" s="133" t="s">
        <v>24</v>
      </c>
      <c r="G3178" s="134" t="n">
        <f aca="false">LEN('Saisie programme'!$D$96)+SUMIFS('Vols additionnels'!$E$7:$E$66,'Vols additionnels'!$C$7:$C$66,$E3178,'Vols additionnels'!$D$7:$D$66,$F3178,'Vols additionnels'!$B$7:$B$66,$D3178)</f>
        <v>0</v>
      </c>
      <c r="H3178" s="135" t="n">
        <f aca="false">$G3178*'Analyse capacite'!$F$9</f>
        <v>0</v>
      </c>
      <c r="I3178" s="135" t="n">
        <f aca="false">$G3178*'Analyse capacite'!$C$9</f>
        <v>0</v>
      </c>
      <c r="J3178" s="135" t="n">
        <f aca="false">$G3178*'Analyse capacite'!$D$9</f>
        <v>0</v>
      </c>
      <c r="K3178" s="135" t="n">
        <f aca="false">$G3178*'Analyse capacite'!$E$9</f>
        <v>0</v>
      </c>
    </row>
    <row r="3179" customFormat="false" ht="15" hidden="false" customHeight="false" outlineLevel="0" collapsed="false">
      <c r="B3179" s="130" t="n">
        <v>2027</v>
      </c>
      <c r="C3179" s="131" t="s">
        <v>248</v>
      </c>
      <c r="D3179" s="132" t="n">
        <v>46566</v>
      </c>
      <c r="E3179" s="131" t="s">
        <v>25</v>
      </c>
      <c r="F3179" s="133" t="s">
        <v>11</v>
      </c>
      <c r="G3179" s="134" t="n">
        <f aca="false">LEN('Saisie programme'!$D$97)+SUMIFS('Vols additionnels'!$E$7:$E$66,'Vols additionnels'!$C$7:$C$66,$E3179,'Vols additionnels'!$D$7:$D$66,$F3179,'Vols additionnels'!$B$7:$B$66,$D3179)</f>
        <v>0</v>
      </c>
      <c r="H3179" s="135" t="n">
        <f aca="false">$G3179*'Analyse capacite'!$F$7</f>
        <v>0</v>
      </c>
      <c r="I3179" s="135" t="n">
        <f aca="false">$G3179*'Analyse capacite'!$C$7</f>
        <v>0</v>
      </c>
      <c r="J3179" s="135" t="n">
        <f aca="false">$G3179*'Analyse capacite'!$D$7</f>
        <v>0</v>
      </c>
      <c r="K3179" s="135" t="n">
        <f aca="false">$G3179*'Analyse capacite'!$E$7</f>
        <v>0</v>
      </c>
    </row>
    <row r="3180" customFormat="false" ht="15" hidden="false" customHeight="false" outlineLevel="0" collapsed="false">
      <c r="B3180" s="130" t="n">
        <v>2027</v>
      </c>
      <c r="C3180" s="131" t="s">
        <v>248</v>
      </c>
      <c r="D3180" s="132" t="n">
        <v>46566</v>
      </c>
      <c r="E3180" s="131" t="s">
        <v>25</v>
      </c>
      <c r="F3180" s="133" t="s">
        <v>19</v>
      </c>
      <c r="G3180" s="134" t="n">
        <f aca="false">LEN('Saisie programme'!$D$98)+SUMIFS('Vols additionnels'!$E$7:$E$66,'Vols additionnels'!$C$7:$C$66,$E3180,'Vols additionnels'!$D$7:$D$66,$F3180,'Vols additionnels'!$B$7:$B$66,$D3180)</f>
        <v>0</v>
      </c>
      <c r="H3180" s="135" t="n">
        <f aca="false">$G3180*'Analyse capacite'!$F$8</f>
        <v>0</v>
      </c>
      <c r="I3180" s="135" t="n">
        <f aca="false">$G3180*'Analyse capacite'!$C$8</f>
        <v>0</v>
      </c>
      <c r="J3180" s="135" t="n">
        <f aca="false">$G3180*'Analyse capacite'!$D$8</f>
        <v>0</v>
      </c>
      <c r="K3180" s="135" t="n">
        <f aca="false">$G3180*'Analyse capacite'!$E$8</f>
        <v>0</v>
      </c>
    </row>
    <row r="3181" customFormat="false" ht="15" hidden="false" customHeight="false" outlineLevel="0" collapsed="false">
      <c r="B3181" s="130" t="n">
        <v>2027</v>
      </c>
      <c r="C3181" s="131" t="s">
        <v>248</v>
      </c>
      <c r="D3181" s="132" t="n">
        <v>46566</v>
      </c>
      <c r="E3181" s="131" t="s">
        <v>25</v>
      </c>
      <c r="F3181" s="133" t="s">
        <v>24</v>
      </c>
      <c r="G3181" s="134" t="n">
        <f aca="false">LEN('Saisie programme'!$D$99)+SUMIFS('Vols additionnels'!$E$7:$E$66,'Vols additionnels'!$C$7:$C$66,$E3181,'Vols additionnels'!$D$7:$D$66,$F3181,'Vols additionnels'!$B$7:$B$66,$D3181)</f>
        <v>0</v>
      </c>
      <c r="H3181" s="135" t="n">
        <f aca="false">$G3181*'Analyse capacite'!$F$9</f>
        <v>0</v>
      </c>
      <c r="I3181" s="135" t="n">
        <f aca="false">$G3181*'Analyse capacite'!$C$9</f>
        <v>0</v>
      </c>
      <c r="J3181" s="135" t="n">
        <f aca="false">$G3181*'Analyse capacite'!$D$9</f>
        <v>0</v>
      </c>
      <c r="K3181" s="135" t="n">
        <f aca="false">$G3181*'Analyse capacite'!$E$9</f>
        <v>0</v>
      </c>
    </row>
    <row r="3182" customFormat="false" ht="15" hidden="false" customHeight="false" outlineLevel="0" collapsed="false">
      <c r="B3182" s="130" t="n">
        <v>2027</v>
      </c>
      <c r="C3182" s="131" t="s">
        <v>248</v>
      </c>
      <c r="D3182" s="132" t="n">
        <v>46566</v>
      </c>
      <c r="E3182" s="131" t="s">
        <v>36</v>
      </c>
      <c r="F3182" s="133" t="s">
        <v>11</v>
      </c>
      <c r="G3182" s="134" t="n">
        <f aca="false">LEN('Saisie programme'!$D$100)+SUMIFS('Vols additionnels'!$E$7:$E$66,'Vols additionnels'!$C$7:$C$66,$E3182,'Vols additionnels'!$D$7:$D$66,$F3182,'Vols additionnels'!$B$7:$B$66,$D3182)</f>
        <v>0</v>
      </c>
      <c r="H3182" s="135" t="n">
        <f aca="false">$G3182*'Analyse capacite'!$F$7</f>
        <v>0</v>
      </c>
      <c r="I3182" s="135" t="n">
        <f aca="false">$G3182*'Analyse capacite'!$C$7</f>
        <v>0</v>
      </c>
      <c r="J3182" s="135" t="n">
        <f aca="false">$G3182*'Analyse capacite'!$D$7</f>
        <v>0</v>
      </c>
      <c r="K3182" s="135" t="n">
        <f aca="false">$G3182*'Analyse capacite'!$E$7</f>
        <v>0</v>
      </c>
    </row>
    <row r="3183" customFormat="false" ht="15" hidden="false" customHeight="false" outlineLevel="0" collapsed="false">
      <c r="B3183" s="130" t="n">
        <v>2027</v>
      </c>
      <c r="C3183" s="131" t="s">
        <v>248</v>
      </c>
      <c r="D3183" s="132" t="n">
        <v>46566</v>
      </c>
      <c r="E3183" s="131" t="s">
        <v>36</v>
      </c>
      <c r="F3183" s="133" t="s">
        <v>19</v>
      </c>
      <c r="G3183" s="134" t="n">
        <f aca="false">LEN('Saisie programme'!$D$101)+SUMIFS('Vols additionnels'!$E$7:$E$66,'Vols additionnels'!$C$7:$C$66,$E3183,'Vols additionnels'!$D$7:$D$66,$F3183,'Vols additionnels'!$B$7:$B$66,$D3183)</f>
        <v>0</v>
      </c>
      <c r="H3183" s="135" t="n">
        <f aca="false">$G3183*'Analyse capacite'!$F$8</f>
        <v>0</v>
      </c>
      <c r="I3183" s="135" t="n">
        <f aca="false">$G3183*'Analyse capacite'!$C$8</f>
        <v>0</v>
      </c>
      <c r="J3183" s="135" t="n">
        <f aca="false">$G3183*'Analyse capacite'!$D$8</f>
        <v>0</v>
      </c>
      <c r="K3183" s="135" t="n">
        <f aca="false">$G3183*'Analyse capacite'!$E$8</f>
        <v>0</v>
      </c>
    </row>
    <row r="3184" customFormat="false" ht="15" hidden="false" customHeight="false" outlineLevel="0" collapsed="false">
      <c r="B3184" s="130" t="n">
        <v>2027</v>
      </c>
      <c r="C3184" s="131" t="s">
        <v>248</v>
      </c>
      <c r="D3184" s="132" t="n">
        <v>46566</v>
      </c>
      <c r="E3184" s="131" t="s">
        <v>36</v>
      </c>
      <c r="F3184" s="133" t="s">
        <v>24</v>
      </c>
      <c r="G3184" s="134" t="n">
        <f aca="false">LEN('Saisie programme'!$D$102)+SUMIFS('Vols additionnels'!$E$7:$E$66,'Vols additionnels'!$C$7:$C$66,$E3184,'Vols additionnels'!$D$7:$D$66,$F3184,'Vols additionnels'!$B$7:$B$66,$D3184)</f>
        <v>1</v>
      </c>
      <c r="H3184" s="135" t="n">
        <f aca="false">$G3184*'Analyse capacite'!$F$9</f>
        <v>174</v>
      </c>
      <c r="I3184" s="135" t="n">
        <f aca="false">$G3184*'Analyse capacite'!$C$9</f>
        <v>0</v>
      </c>
      <c r="J3184" s="135" t="n">
        <f aca="false">$G3184*'Analyse capacite'!$D$9</f>
        <v>12</v>
      </c>
      <c r="K3184" s="135" t="n">
        <f aca="false">$G3184*'Analyse capacite'!$E$9</f>
        <v>162</v>
      </c>
    </row>
    <row r="3185" customFormat="false" ht="15" hidden="false" customHeight="false" outlineLevel="0" collapsed="false">
      <c r="B3185" s="130" t="n">
        <v>2027</v>
      </c>
      <c r="C3185" s="131" t="s">
        <v>248</v>
      </c>
      <c r="D3185" s="132" t="n">
        <v>46566</v>
      </c>
      <c r="E3185" s="131" t="s">
        <v>40</v>
      </c>
      <c r="F3185" s="133" t="s">
        <v>11</v>
      </c>
      <c r="G3185" s="134" t="n">
        <f aca="false">LEN('Saisie programme'!$D$103)+SUMIFS('Vols additionnels'!$E$7:$E$66,'Vols additionnels'!$C$7:$C$66,$E3185,'Vols additionnels'!$D$7:$D$66,$F3185,'Vols additionnels'!$B$7:$B$66,$D3185)</f>
        <v>0</v>
      </c>
      <c r="H3185" s="135" t="n">
        <f aca="false">$G3185*'Analyse capacite'!$F$7</f>
        <v>0</v>
      </c>
      <c r="I3185" s="135" t="n">
        <f aca="false">$G3185*'Analyse capacite'!$C$7</f>
        <v>0</v>
      </c>
      <c r="J3185" s="135" t="n">
        <f aca="false">$G3185*'Analyse capacite'!$D$7</f>
        <v>0</v>
      </c>
      <c r="K3185" s="135" t="n">
        <f aca="false">$G3185*'Analyse capacite'!$E$7</f>
        <v>0</v>
      </c>
    </row>
    <row r="3186" customFormat="false" ht="15" hidden="false" customHeight="false" outlineLevel="0" collapsed="false">
      <c r="B3186" s="130" t="n">
        <v>2027</v>
      </c>
      <c r="C3186" s="131" t="s">
        <v>248</v>
      </c>
      <c r="D3186" s="132" t="n">
        <v>46566</v>
      </c>
      <c r="E3186" s="131" t="s">
        <v>40</v>
      </c>
      <c r="F3186" s="133" t="s">
        <v>19</v>
      </c>
      <c r="G3186" s="134" t="n">
        <f aca="false">LEN('Saisie programme'!$D$104)+SUMIFS('Vols additionnels'!$E$7:$E$66,'Vols additionnels'!$C$7:$C$66,$E3186,'Vols additionnels'!$D$7:$D$66,$F3186,'Vols additionnels'!$B$7:$B$66,$D3186)</f>
        <v>0</v>
      </c>
      <c r="H3186" s="135" t="n">
        <f aca="false">$G3186*'Analyse capacite'!$F$8</f>
        <v>0</v>
      </c>
      <c r="I3186" s="135" t="n">
        <f aca="false">$G3186*'Analyse capacite'!$C$8</f>
        <v>0</v>
      </c>
      <c r="J3186" s="135" t="n">
        <f aca="false">$G3186*'Analyse capacite'!$D$8</f>
        <v>0</v>
      </c>
      <c r="K3186" s="135" t="n">
        <f aca="false">$G3186*'Analyse capacite'!$E$8</f>
        <v>0</v>
      </c>
    </row>
    <row r="3187" customFormat="false" ht="15" hidden="false" customHeight="false" outlineLevel="0" collapsed="false">
      <c r="B3187" s="130" t="n">
        <v>2027</v>
      </c>
      <c r="C3187" s="131" t="s">
        <v>248</v>
      </c>
      <c r="D3187" s="132" t="n">
        <v>46566</v>
      </c>
      <c r="E3187" s="131" t="s">
        <v>40</v>
      </c>
      <c r="F3187" s="133" t="s">
        <v>24</v>
      </c>
      <c r="G3187" s="134" t="n">
        <f aca="false">LEN('Saisie programme'!$D$105)+SUMIFS('Vols additionnels'!$E$7:$E$66,'Vols additionnels'!$C$7:$C$66,$E3187,'Vols additionnels'!$D$7:$D$66,$F3187,'Vols additionnels'!$B$7:$B$66,$D3187)</f>
        <v>1</v>
      </c>
      <c r="H3187" s="135" t="n">
        <f aca="false">$G3187*'Analyse capacite'!$F$9</f>
        <v>174</v>
      </c>
      <c r="I3187" s="135" t="n">
        <f aca="false">$G3187*'Analyse capacite'!$C$9</f>
        <v>0</v>
      </c>
      <c r="J3187" s="135" t="n">
        <f aca="false">$G3187*'Analyse capacite'!$D$9</f>
        <v>12</v>
      </c>
      <c r="K3187" s="135" t="n">
        <f aca="false">$G3187*'Analyse capacite'!$E$9</f>
        <v>162</v>
      </c>
    </row>
    <row r="3188" customFormat="false" ht="15" hidden="false" customHeight="false" outlineLevel="0" collapsed="false">
      <c r="B3188" s="130" t="n">
        <v>2027</v>
      </c>
      <c r="C3188" s="131" t="s">
        <v>248</v>
      </c>
      <c r="D3188" s="132" t="n">
        <v>46566</v>
      </c>
      <c r="E3188" s="131" t="s">
        <v>14</v>
      </c>
      <c r="F3188" s="133" t="s">
        <v>11</v>
      </c>
      <c r="G3188" s="134" t="n">
        <f aca="false">LEN('Saisie programme'!$D$106)+SUMIFS('Vols additionnels'!$E$7:$E$66,'Vols additionnels'!$C$7:$C$66,$E3188,'Vols additionnels'!$D$7:$D$66,$F3188,'Vols additionnels'!$B$7:$B$66,$D3188)</f>
        <v>0</v>
      </c>
      <c r="H3188" s="135" t="n">
        <f aca="false">$G3188*'Analyse capacite'!$F$7</f>
        <v>0</v>
      </c>
      <c r="I3188" s="135" t="n">
        <f aca="false">$G3188*'Analyse capacite'!$C$7</f>
        <v>0</v>
      </c>
      <c r="J3188" s="135" t="n">
        <f aca="false">$G3188*'Analyse capacite'!$D$7</f>
        <v>0</v>
      </c>
      <c r="K3188" s="135" t="n">
        <f aca="false">$G3188*'Analyse capacite'!$E$7</f>
        <v>0</v>
      </c>
    </row>
    <row r="3189" customFormat="false" ht="15" hidden="false" customHeight="false" outlineLevel="0" collapsed="false">
      <c r="B3189" s="130" t="n">
        <v>2027</v>
      </c>
      <c r="C3189" s="131" t="s">
        <v>248</v>
      </c>
      <c r="D3189" s="132" t="n">
        <v>46566</v>
      </c>
      <c r="E3189" s="131" t="s">
        <v>14</v>
      </c>
      <c r="F3189" s="133" t="s">
        <v>19</v>
      </c>
      <c r="G3189" s="134" t="n">
        <f aca="false">LEN('Saisie programme'!$D$107)+SUMIFS('Vols additionnels'!$E$7:$E$66,'Vols additionnels'!$C$7:$C$66,$E3189,'Vols additionnels'!$D$7:$D$66,$F3189,'Vols additionnels'!$B$7:$B$66,$D3189)</f>
        <v>0</v>
      </c>
      <c r="H3189" s="135" t="n">
        <f aca="false">$G3189*'Analyse capacite'!$F$8</f>
        <v>0</v>
      </c>
      <c r="I3189" s="135" t="n">
        <f aca="false">$G3189*'Analyse capacite'!$C$8</f>
        <v>0</v>
      </c>
      <c r="J3189" s="135" t="n">
        <f aca="false">$G3189*'Analyse capacite'!$D$8</f>
        <v>0</v>
      </c>
      <c r="K3189" s="135" t="n">
        <f aca="false">$G3189*'Analyse capacite'!$E$8</f>
        <v>0</v>
      </c>
    </row>
    <row r="3190" customFormat="false" ht="15" hidden="false" customHeight="false" outlineLevel="0" collapsed="false">
      <c r="B3190" s="130" t="n">
        <v>2027</v>
      </c>
      <c r="C3190" s="131" t="s">
        <v>248</v>
      </c>
      <c r="D3190" s="132" t="n">
        <v>46566</v>
      </c>
      <c r="E3190" s="131" t="s">
        <v>14</v>
      </c>
      <c r="F3190" s="133" t="s">
        <v>24</v>
      </c>
      <c r="G3190" s="134" t="n">
        <f aca="false">LEN('Saisie programme'!$D$108)+SUMIFS('Vols additionnels'!$E$7:$E$66,'Vols additionnels'!$C$7:$C$66,$E3190,'Vols additionnels'!$D$7:$D$66,$F3190,'Vols additionnels'!$B$7:$B$66,$D3190)</f>
        <v>1</v>
      </c>
      <c r="H3190" s="135" t="n">
        <f aca="false">$G3190*'Analyse capacite'!$F$9</f>
        <v>174</v>
      </c>
      <c r="I3190" s="135" t="n">
        <f aca="false">$G3190*'Analyse capacite'!$C$9</f>
        <v>0</v>
      </c>
      <c r="J3190" s="135" t="n">
        <f aca="false">$G3190*'Analyse capacite'!$D$9</f>
        <v>12</v>
      </c>
      <c r="K3190" s="135" t="n">
        <f aca="false">$G3190*'Analyse capacite'!$E$9</f>
        <v>162</v>
      </c>
    </row>
    <row r="3191" customFormat="false" ht="15" hidden="false" customHeight="false" outlineLevel="0" collapsed="false">
      <c r="B3191" s="130" t="n">
        <v>2027</v>
      </c>
      <c r="C3191" s="131" t="s">
        <v>248</v>
      </c>
      <c r="D3191" s="132" t="n">
        <v>46566</v>
      </c>
      <c r="E3191" s="131" t="s">
        <v>46</v>
      </c>
      <c r="F3191" s="133" t="s">
        <v>11</v>
      </c>
      <c r="G3191" s="134" t="n">
        <f aca="false">LEN('Saisie programme'!$D$109)+SUMIFS('Vols additionnels'!$E$7:$E$66,'Vols additionnels'!$C$7:$C$66,$E3191,'Vols additionnels'!$D$7:$D$66,$F3191,'Vols additionnels'!$B$7:$B$66,$D3191)</f>
        <v>0</v>
      </c>
      <c r="H3191" s="135" t="n">
        <f aca="false">$G3191*'Analyse capacite'!$F$7</f>
        <v>0</v>
      </c>
      <c r="I3191" s="135" t="n">
        <f aca="false">$G3191*'Analyse capacite'!$C$7</f>
        <v>0</v>
      </c>
      <c r="J3191" s="135" t="n">
        <f aca="false">$G3191*'Analyse capacite'!$D$7</f>
        <v>0</v>
      </c>
      <c r="K3191" s="135" t="n">
        <f aca="false">$G3191*'Analyse capacite'!$E$7</f>
        <v>0</v>
      </c>
    </row>
    <row r="3192" customFormat="false" ht="15" hidden="false" customHeight="false" outlineLevel="0" collapsed="false">
      <c r="B3192" s="130" t="n">
        <v>2027</v>
      </c>
      <c r="C3192" s="131" t="s">
        <v>248</v>
      </c>
      <c r="D3192" s="132" t="n">
        <v>46566</v>
      </c>
      <c r="E3192" s="131" t="s">
        <v>46</v>
      </c>
      <c r="F3192" s="133" t="s">
        <v>19</v>
      </c>
      <c r="G3192" s="134" t="n">
        <f aca="false">LEN('Saisie programme'!$D$110)+SUMIFS('Vols additionnels'!$E$7:$E$66,'Vols additionnels'!$C$7:$C$66,$E3192,'Vols additionnels'!$D$7:$D$66,$F3192,'Vols additionnels'!$B$7:$B$66,$D3192)</f>
        <v>0</v>
      </c>
      <c r="H3192" s="135" t="n">
        <f aca="false">$G3192*'Analyse capacite'!$F$8</f>
        <v>0</v>
      </c>
      <c r="I3192" s="135" t="n">
        <f aca="false">$G3192*'Analyse capacite'!$C$8</f>
        <v>0</v>
      </c>
      <c r="J3192" s="135" t="n">
        <f aca="false">$G3192*'Analyse capacite'!$D$8</f>
        <v>0</v>
      </c>
      <c r="K3192" s="135" t="n">
        <f aca="false">$G3192*'Analyse capacite'!$E$8</f>
        <v>0</v>
      </c>
    </row>
    <row r="3193" customFormat="false" ht="15" hidden="false" customHeight="false" outlineLevel="0" collapsed="false">
      <c r="B3193" s="130" t="n">
        <v>2027</v>
      </c>
      <c r="C3193" s="131" t="s">
        <v>248</v>
      </c>
      <c r="D3193" s="132" t="n">
        <v>46566</v>
      </c>
      <c r="E3193" s="131" t="s">
        <v>46</v>
      </c>
      <c r="F3193" s="133" t="s">
        <v>24</v>
      </c>
      <c r="G3193" s="134" t="n">
        <f aca="false">LEN('Saisie programme'!$D$111)+SUMIFS('Vols additionnels'!$E$7:$E$66,'Vols additionnels'!$C$7:$C$66,$E3193,'Vols additionnels'!$D$7:$D$66,$F3193,'Vols additionnels'!$B$7:$B$66,$D3193)</f>
        <v>0</v>
      </c>
      <c r="H3193" s="135" t="n">
        <f aca="false">$G3193*'Analyse capacite'!$F$9</f>
        <v>0</v>
      </c>
      <c r="I3193" s="135" t="n">
        <f aca="false">$G3193*'Analyse capacite'!$C$9</f>
        <v>0</v>
      </c>
      <c r="J3193" s="135" t="n">
        <f aca="false">$G3193*'Analyse capacite'!$D$9</f>
        <v>0</v>
      </c>
      <c r="K3193" s="135" t="n">
        <f aca="false">$G3193*'Analyse capacite'!$E$9</f>
        <v>0</v>
      </c>
    </row>
    <row r="3194" customFormat="false" ht="15" hidden="false" customHeight="false" outlineLevel="0" collapsed="false">
      <c r="B3194" s="130" t="n">
        <v>2027</v>
      </c>
      <c r="C3194" s="131" t="s">
        <v>248</v>
      </c>
      <c r="D3194" s="132" t="n">
        <v>46566</v>
      </c>
      <c r="E3194" s="131" t="s">
        <v>49</v>
      </c>
      <c r="F3194" s="133" t="s">
        <v>11</v>
      </c>
      <c r="G3194" s="134" t="n">
        <f aca="false">LEN('Saisie programme'!$D$112)+SUMIFS('Vols additionnels'!$E$7:$E$66,'Vols additionnels'!$C$7:$C$66,$E3194,'Vols additionnels'!$D$7:$D$66,$F3194,'Vols additionnels'!$B$7:$B$66,$D3194)</f>
        <v>0</v>
      </c>
      <c r="H3194" s="135" t="n">
        <f aca="false">$G3194*'Analyse capacite'!$F$7</f>
        <v>0</v>
      </c>
      <c r="I3194" s="135" t="n">
        <f aca="false">$G3194*'Analyse capacite'!$C$7</f>
        <v>0</v>
      </c>
      <c r="J3194" s="135" t="n">
        <f aca="false">$G3194*'Analyse capacite'!$D$7</f>
        <v>0</v>
      </c>
      <c r="K3194" s="135" t="n">
        <f aca="false">$G3194*'Analyse capacite'!$E$7</f>
        <v>0</v>
      </c>
    </row>
    <row r="3195" customFormat="false" ht="15" hidden="false" customHeight="false" outlineLevel="0" collapsed="false">
      <c r="B3195" s="130" t="n">
        <v>2027</v>
      </c>
      <c r="C3195" s="131" t="s">
        <v>248</v>
      </c>
      <c r="D3195" s="132" t="n">
        <v>46566</v>
      </c>
      <c r="E3195" s="131" t="s">
        <v>49</v>
      </c>
      <c r="F3195" s="133" t="s">
        <v>19</v>
      </c>
      <c r="G3195" s="134" t="n">
        <f aca="false">LEN('Saisie programme'!$D$113)+SUMIFS('Vols additionnels'!$E$7:$E$66,'Vols additionnels'!$C$7:$C$66,$E3195,'Vols additionnels'!$D$7:$D$66,$F3195,'Vols additionnels'!$B$7:$B$66,$D3195)</f>
        <v>1</v>
      </c>
      <c r="H3195" s="135" t="n">
        <f aca="false">$G3195*'Analyse capacite'!$F$8</f>
        <v>262</v>
      </c>
      <c r="I3195" s="135" t="n">
        <f aca="false">$G3195*'Analyse capacite'!$C$8</f>
        <v>18</v>
      </c>
      <c r="J3195" s="135" t="n">
        <f aca="false">$G3195*'Analyse capacite'!$D$8</f>
        <v>0</v>
      </c>
      <c r="K3195" s="135" t="n">
        <f aca="false">$G3195*'Analyse capacite'!$E$8</f>
        <v>244</v>
      </c>
    </row>
    <row r="3196" customFormat="false" ht="15" hidden="false" customHeight="false" outlineLevel="0" collapsed="false">
      <c r="B3196" s="130" t="n">
        <v>2027</v>
      </c>
      <c r="C3196" s="131" t="s">
        <v>248</v>
      </c>
      <c r="D3196" s="132" t="n">
        <v>46566</v>
      </c>
      <c r="E3196" s="131" t="s">
        <v>49</v>
      </c>
      <c r="F3196" s="133" t="s">
        <v>24</v>
      </c>
      <c r="G3196" s="134" t="n">
        <f aca="false">LEN('Saisie programme'!$D$114)+SUMIFS('Vols additionnels'!$E$7:$E$66,'Vols additionnels'!$C$7:$C$66,$E3196,'Vols additionnels'!$D$7:$D$66,$F3196,'Vols additionnels'!$B$7:$B$66,$D3196)</f>
        <v>0</v>
      </c>
      <c r="H3196" s="135" t="n">
        <f aca="false">$G3196*'Analyse capacite'!$F$9</f>
        <v>0</v>
      </c>
      <c r="I3196" s="135" t="n">
        <f aca="false">$G3196*'Analyse capacite'!$C$9</f>
        <v>0</v>
      </c>
      <c r="J3196" s="135" t="n">
        <f aca="false">$G3196*'Analyse capacite'!$D$9</f>
        <v>0</v>
      </c>
      <c r="K3196" s="135" t="n">
        <f aca="false">$G3196*'Analyse capacite'!$E$9</f>
        <v>0</v>
      </c>
    </row>
    <row r="3197" customFormat="false" ht="15" hidden="false" customHeight="false" outlineLevel="0" collapsed="false">
      <c r="B3197" s="130" t="n">
        <v>2027</v>
      </c>
      <c r="C3197" s="131" t="s">
        <v>248</v>
      </c>
      <c r="D3197" s="132" t="n">
        <v>46566</v>
      </c>
      <c r="E3197" s="131" t="s">
        <v>53</v>
      </c>
      <c r="F3197" s="133" t="s">
        <v>11</v>
      </c>
      <c r="G3197" s="134" t="n">
        <f aca="false">LEN('Saisie programme'!$D$115)+SUMIFS('Vols additionnels'!$E$7:$E$66,'Vols additionnels'!$C$7:$C$66,$E3197,'Vols additionnels'!$D$7:$D$66,$F3197,'Vols additionnels'!$B$7:$B$66,$D3197)</f>
        <v>0</v>
      </c>
      <c r="H3197" s="135" t="n">
        <f aca="false">$G3197*'Analyse capacite'!$F$7</f>
        <v>0</v>
      </c>
      <c r="I3197" s="135" t="n">
        <f aca="false">$G3197*'Analyse capacite'!$C$7</f>
        <v>0</v>
      </c>
      <c r="J3197" s="135" t="n">
        <f aca="false">$G3197*'Analyse capacite'!$D$7</f>
        <v>0</v>
      </c>
      <c r="K3197" s="135" t="n">
        <f aca="false">$G3197*'Analyse capacite'!$E$7</f>
        <v>0</v>
      </c>
    </row>
    <row r="3198" customFormat="false" ht="15" hidden="false" customHeight="false" outlineLevel="0" collapsed="false">
      <c r="B3198" s="130" t="n">
        <v>2027</v>
      </c>
      <c r="C3198" s="131" t="s">
        <v>248</v>
      </c>
      <c r="D3198" s="132" t="n">
        <v>46566</v>
      </c>
      <c r="E3198" s="131" t="s">
        <v>53</v>
      </c>
      <c r="F3198" s="133" t="s">
        <v>19</v>
      </c>
      <c r="G3198" s="134" t="n">
        <f aca="false">LEN('Saisie programme'!$D$116)+SUMIFS('Vols additionnels'!$E$7:$E$66,'Vols additionnels'!$C$7:$C$66,$E3198,'Vols additionnels'!$D$7:$D$66,$F3198,'Vols additionnels'!$B$7:$B$66,$D3198)</f>
        <v>0</v>
      </c>
      <c r="H3198" s="135" t="n">
        <f aca="false">$G3198*'Analyse capacite'!$F$8</f>
        <v>0</v>
      </c>
      <c r="I3198" s="135" t="n">
        <f aca="false">$G3198*'Analyse capacite'!$C$8</f>
        <v>0</v>
      </c>
      <c r="J3198" s="135" t="n">
        <f aca="false">$G3198*'Analyse capacite'!$D$8</f>
        <v>0</v>
      </c>
      <c r="K3198" s="135" t="n">
        <f aca="false">$G3198*'Analyse capacite'!$E$8</f>
        <v>0</v>
      </c>
    </row>
    <row r="3199" customFormat="false" ht="15" hidden="false" customHeight="false" outlineLevel="0" collapsed="false">
      <c r="B3199" s="130" t="n">
        <v>2027</v>
      </c>
      <c r="C3199" s="131" t="s">
        <v>248</v>
      </c>
      <c r="D3199" s="132" t="n">
        <v>46566</v>
      </c>
      <c r="E3199" s="131" t="s">
        <v>53</v>
      </c>
      <c r="F3199" s="133" t="s">
        <v>24</v>
      </c>
      <c r="G3199" s="134" t="n">
        <f aca="false">LEN('Saisie programme'!$D$117)+SUMIFS('Vols additionnels'!$E$7:$E$66,'Vols additionnels'!$C$7:$C$66,$E3199,'Vols additionnels'!$D$7:$D$66,$F3199,'Vols additionnels'!$B$7:$B$66,$D3199)</f>
        <v>0</v>
      </c>
      <c r="H3199" s="135" t="n">
        <f aca="false">$G3199*'Analyse capacite'!$F$9</f>
        <v>0</v>
      </c>
      <c r="I3199" s="135" t="n">
        <f aca="false">$G3199*'Analyse capacite'!$C$9</f>
        <v>0</v>
      </c>
      <c r="J3199" s="135" t="n">
        <f aca="false">$G3199*'Analyse capacite'!$D$9</f>
        <v>0</v>
      </c>
      <c r="K3199" s="135" t="n">
        <f aca="false">$G3199*'Analyse capacite'!$E$9</f>
        <v>0</v>
      </c>
    </row>
    <row r="3200" customFormat="false" ht="15" hidden="false" customHeight="false" outlineLevel="0" collapsed="false">
      <c r="B3200" s="130" t="n">
        <v>2027</v>
      </c>
      <c r="C3200" s="131" t="s">
        <v>248</v>
      </c>
      <c r="D3200" s="132" t="n">
        <v>46566</v>
      </c>
      <c r="E3200" s="131" t="s">
        <v>56</v>
      </c>
      <c r="F3200" s="133" t="s">
        <v>11</v>
      </c>
      <c r="G3200" s="134" t="n">
        <f aca="false">LEN('Saisie programme'!$D$118)+SUMIFS('Vols additionnels'!$E$7:$E$66,'Vols additionnels'!$C$7:$C$66,$E3200,'Vols additionnels'!$D$7:$D$66,$F3200,'Vols additionnels'!$B$7:$B$66,$D3200)</f>
        <v>0</v>
      </c>
      <c r="H3200" s="135" t="n">
        <f aca="false">$G3200*'Analyse capacite'!$F$7</f>
        <v>0</v>
      </c>
      <c r="I3200" s="135" t="n">
        <f aca="false">$G3200*'Analyse capacite'!$C$7</f>
        <v>0</v>
      </c>
      <c r="J3200" s="135" t="n">
        <f aca="false">$G3200*'Analyse capacite'!$D$7</f>
        <v>0</v>
      </c>
      <c r="K3200" s="135" t="n">
        <f aca="false">$G3200*'Analyse capacite'!$E$7</f>
        <v>0</v>
      </c>
    </row>
    <row r="3201" customFormat="false" ht="15" hidden="false" customHeight="false" outlineLevel="0" collapsed="false">
      <c r="B3201" s="130" t="n">
        <v>2027</v>
      </c>
      <c r="C3201" s="131" t="s">
        <v>248</v>
      </c>
      <c r="D3201" s="132" t="n">
        <v>46566</v>
      </c>
      <c r="E3201" s="131" t="s">
        <v>56</v>
      </c>
      <c r="F3201" s="133" t="s">
        <v>19</v>
      </c>
      <c r="G3201" s="134" t="n">
        <f aca="false">LEN('Saisie programme'!$D$119)+SUMIFS('Vols additionnels'!$E$7:$E$66,'Vols additionnels'!$C$7:$C$66,$E3201,'Vols additionnels'!$D$7:$D$66,$F3201,'Vols additionnels'!$B$7:$B$66,$D3201)</f>
        <v>0</v>
      </c>
      <c r="H3201" s="135" t="n">
        <f aca="false">$G3201*'Analyse capacite'!$F$8</f>
        <v>0</v>
      </c>
      <c r="I3201" s="135" t="n">
        <f aca="false">$G3201*'Analyse capacite'!$C$8</f>
        <v>0</v>
      </c>
      <c r="J3201" s="135" t="n">
        <f aca="false">$G3201*'Analyse capacite'!$D$8</f>
        <v>0</v>
      </c>
      <c r="K3201" s="135" t="n">
        <f aca="false">$G3201*'Analyse capacite'!$E$8</f>
        <v>0</v>
      </c>
    </row>
    <row r="3202" customFormat="false" ht="15" hidden="false" customHeight="false" outlineLevel="0" collapsed="false">
      <c r="B3202" s="130" t="n">
        <v>2027</v>
      </c>
      <c r="C3202" s="131" t="s">
        <v>248</v>
      </c>
      <c r="D3202" s="132" t="n">
        <v>46566</v>
      </c>
      <c r="E3202" s="131" t="s">
        <v>56</v>
      </c>
      <c r="F3202" s="133" t="s">
        <v>24</v>
      </c>
      <c r="G3202" s="134" t="n">
        <f aca="false">LEN('Saisie programme'!$D$120)+SUMIFS('Vols additionnels'!$E$7:$E$66,'Vols additionnels'!$C$7:$C$66,$E3202,'Vols additionnels'!$D$7:$D$66,$F3202,'Vols additionnels'!$B$7:$B$66,$D3202)</f>
        <v>0</v>
      </c>
      <c r="H3202" s="135" t="n">
        <f aca="false">$G3202*'Analyse capacite'!$F$9</f>
        <v>0</v>
      </c>
      <c r="I3202" s="135" t="n">
        <f aca="false">$G3202*'Analyse capacite'!$C$9</f>
        <v>0</v>
      </c>
      <c r="J3202" s="135" t="n">
        <f aca="false">$G3202*'Analyse capacite'!$D$9</f>
        <v>0</v>
      </c>
      <c r="K3202" s="135" t="n">
        <f aca="false">$G3202*'Analyse capacite'!$E$9</f>
        <v>0</v>
      </c>
    </row>
    <row r="3203" customFormat="false" ht="15" hidden="false" customHeight="false" outlineLevel="0" collapsed="false">
      <c r="B3203" s="130" t="n">
        <v>2027</v>
      </c>
      <c r="C3203" s="131" t="s">
        <v>248</v>
      </c>
      <c r="D3203" s="132" t="n">
        <v>46566</v>
      </c>
      <c r="E3203" s="131" t="s">
        <v>59</v>
      </c>
      <c r="F3203" s="133" t="s">
        <v>11</v>
      </c>
      <c r="G3203" s="134" t="n">
        <f aca="false">LEN('Saisie programme'!$D$121)+SUMIFS('Vols additionnels'!$E$7:$E$66,'Vols additionnels'!$C$7:$C$66,$E3203,'Vols additionnels'!$D$7:$D$66,$F3203,'Vols additionnels'!$B$7:$B$66,$D3203)</f>
        <v>0</v>
      </c>
      <c r="H3203" s="135" t="n">
        <f aca="false">$G3203*'Analyse capacite'!$F$7</f>
        <v>0</v>
      </c>
      <c r="I3203" s="135" t="n">
        <f aca="false">$G3203*'Analyse capacite'!$C$7</f>
        <v>0</v>
      </c>
      <c r="J3203" s="135" t="n">
        <f aca="false">$G3203*'Analyse capacite'!$D$7</f>
        <v>0</v>
      </c>
      <c r="K3203" s="135" t="n">
        <f aca="false">$G3203*'Analyse capacite'!$E$7</f>
        <v>0</v>
      </c>
    </row>
    <row r="3204" customFormat="false" ht="15" hidden="false" customHeight="false" outlineLevel="0" collapsed="false">
      <c r="B3204" s="130" t="n">
        <v>2027</v>
      </c>
      <c r="C3204" s="131" t="s">
        <v>248</v>
      </c>
      <c r="D3204" s="132" t="n">
        <v>46566</v>
      </c>
      <c r="E3204" s="131" t="s">
        <v>59</v>
      </c>
      <c r="F3204" s="133" t="s">
        <v>19</v>
      </c>
      <c r="G3204" s="134" t="n">
        <f aca="false">LEN('Saisie programme'!$D$122)+SUMIFS('Vols additionnels'!$E$7:$E$66,'Vols additionnels'!$C$7:$C$66,$E3204,'Vols additionnels'!$D$7:$D$66,$F3204,'Vols additionnels'!$B$7:$B$66,$D3204)</f>
        <v>0</v>
      </c>
      <c r="H3204" s="135" t="n">
        <f aca="false">$G3204*'Analyse capacite'!$F$8</f>
        <v>0</v>
      </c>
      <c r="I3204" s="135" t="n">
        <f aca="false">$G3204*'Analyse capacite'!$C$8</f>
        <v>0</v>
      </c>
      <c r="J3204" s="135" t="n">
        <f aca="false">$G3204*'Analyse capacite'!$D$8</f>
        <v>0</v>
      </c>
      <c r="K3204" s="135" t="n">
        <f aca="false">$G3204*'Analyse capacite'!$E$8</f>
        <v>0</v>
      </c>
    </row>
    <row r="3205" customFormat="false" ht="15" hidden="false" customHeight="false" outlineLevel="0" collapsed="false">
      <c r="B3205" s="130" t="n">
        <v>2027</v>
      </c>
      <c r="C3205" s="131" t="s">
        <v>248</v>
      </c>
      <c r="D3205" s="132" t="n">
        <v>46566</v>
      </c>
      <c r="E3205" s="131" t="s">
        <v>59</v>
      </c>
      <c r="F3205" s="133" t="s">
        <v>24</v>
      </c>
      <c r="G3205" s="134" t="n">
        <f aca="false">LEN('Saisie programme'!$D$123)+SUMIFS('Vols additionnels'!$E$7:$E$66,'Vols additionnels'!$C$7:$C$66,$E3205,'Vols additionnels'!$D$7:$D$66,$F3205,'Vols additionnels'!$B$7:$B$66,$D3205)</f>
        <v>1</v>
      </c>
      <c r="H3205" s="135" t="n">
        <f aca="false">$G3205*'Analyse capacite'!$F$9</f>
        <v>174</v>
      </c>
      <c r="I3205" s="135" t="n">
        <f aca="false">$G3205*'Analyse capacite'!$C$9</f>
        <v>0</v>
      </c>
      <c r="J3205" s="135" t="n">
        <f aca="false">$G3205*'Analyse capacite'!$D$9</f>
        <v>12</v>
      </c>
      <c r="K3205" s="135" t="n">
        <f aca="false">$G3205*'Analyse capacite'!$E$9</f>
        <v>162</v>
      </c>
    </row>
    <row r="3206" customFormat="false" ht="15" hidden="false" customHeight="false" outlineLevel="0" collapsed="false">
      <c r="B3206" s="130" t="n">
        <v>2027</v>
      </c>
      <c r="C3206" s="131" t="s">
        <v>248</v>
      </c>
      <c r="D3206" s="132" t="n">
        <v>46566</v>
      </c>
      <c r="E3206" s="131" t="s">
        <v>62</v>
      </c>
      <c r="F3206" s="133" t="s">
        <v>11</v>
      </c>
      <c r="G3206" s="134" t="n">
        <f aca="false">LEN('Saisie programme'!$D$124)+SUMIFS('Vols additionnels'!$E$7:$E$66,'Vols additionnels'!$C$7:$C$66,$E3206,'Vols additionnels'!$D$7:$D$66,$F3206,'Vols additionnels'!$B$7:$B$66,$D3206)</f>
        <v>0</v>
      </c>
      <c r="H3206" s="135" t="n">
        <f aca="false">$G3206*'Analyse capacite'!$F$7</f>
        <v>0</v>
      </c>
      <c r="I3206" s="135" t="n">
        <f aca="false">$G3206*'Analyse capacite'!$C$7</f>
        <v>0</v>
      </c>
      <c r="J3206" s="135" t="n">
        <f aca="false">$G3206*'Analyse capacite'!$D$7</f>
        <v>0</v>
      </c>
      <c r="K3206" s="135" t="n">
        <f aca="false">$G3206*'Analyse capacite'!$E$7</f>
        <v>0</v>
      </c>
    </row>
    <row r="3207" customFormat="false" ht="15" hidden="false" customHeight="false" outlineLevel="0" collapsed="false">
      <c r="B3207" s="130" t="n">
        <v>2027</v>
      </c>
      <c r="C3207" s="131" t="s">
        <v>248</v>
      </c>
      <c r="D3207" s="132" t="n">
        <v>46566</v>
      </c>
      <c r="E3207" s="131" t="s">
        <v>62</v>
      </c>
      <c r="F3207" s="133" t="s">
        <v>19</v>
      </c>
      <c r="G3207" s="134" t="n">
        <f aca="false">LEN('Saisie programme'!$D$125)+SUMIFS('Vols additionnels'!$E$7:$E$66,'Vols additionnels'!$C$7:$C$66,$E3207,'Vols additionnels'!$D$7:$D$66,$F3207,'Vols additionnels'!$B$7:$B$66,$D3207)</f>
        <v>0</v>
      </c>
      <c r="H3207" s="135" t="n">
        <f aca="false">$G3207*'Analyse capacite'!$F$8</f>
        <v>0</v>
      </c>
      <c r="I3207" s="135" t="n">
        <f aca="false">$G3207*'Analyse capacite'!$C$8</f>
        <v>0</v>
      </c>
      <c r="J3207" s="135" t="n">
        <f aca="false">$G3207*'Analyse capacite'!$D$8</f>
        <v>0</v>
      </c>
      <c r="K3207" s="135" t="n">
        <f aca="false">$G3207*'Analyse capacite'!$E$8</f>
        <v>0</v>
      </c>
    </row>
    <row r="3208" customFormat="false" ht="15" hidden="false" customHeight="false" outlineLevel="0" collapsed="false">
      <c r="B3208" s="130" t="n">
        <v>2027</v>
      </c>
      <c r="C3208" s="131" t="s">
        <v>248</v>
      </c>
      <c r="D3208" s="132" t="n">
        <v>46566</v>
      </c>
      <c r="E3208" s="131" t="s">
        <v>62</v>
      </c>
      <c r="F3208" s="133" t="s">
        <v>24</v>
      </c>
      <c r="G3208" s="134" t="n">
        <f aca="false">LEN('Saisie programme'!$D$126)+SUMIFS('Vols additionnels'!$E$7:$E$66,'Vols additionnels'!$C$7:$C$66,$E3208,'Vols additionnels'!$D$7:$D$66,$F3208,'Vols additionnels'!$B$7:$B$66,$D3208)</f>
        <v>0</v>
      </c>
      <c r="H3208" s="135" t="n">
        <f aca="false">$G3208*'Analyse capacite'!$F$9</f>
        <v>0</v>
      </c>
      <c r="I3208" s="135" t="n">
        <f aca="false">$G3208*'Analyse capacite'!$C$9</f>
        <v>0</v>
      </c>
      <c r="J3208" s="135" t="n">
        <f aca="false">$G3208*'Analyse capacite'!$D$9</f>
        <v>0</v>
      </c>
      <c r="K3208" s="135" t="n">
        <f aca="false">$G3208*'Analyse capacite'!$E$9</f>
        <v>0</v>
      </c>
    </row>
    <row r="3209" customFormat="false" ht="15" hidden="false" customHeight="false" outlineLevel="0" collapsed="false">
      <c r="B3209" s="130" t="n">
        <v>2027</v>
      </c>
      <c r="C3209" s="131" t="s">
        <v>248</v>
      </c>
      <c r="D3209" s="132" t="n">
        <v>46567</v>
      </c>
      <c r="E3209" s="131" t="s">
        <v>12</v>
      </c>
      <c r="F3209" s="133" t="s">
        <v>11</v>
      </c>
      <c r="G3209" s="134" t="n">
        <f aca="false">LEN('Saisie programme'!$E$91)+SUMIFS('Vols additionnels'!$E$7:$E$66,'Vols additionnels'!$C$7:$C$66,$E3209,'Vols additionnels'!$D$7:$D$66,$F3209,'Vols additionnels'!$B$7:$B$66,$D3209)</f>
        <v>1</v>
      </c>
      <c r="H3209" s="135" t="n">
        <f aca="false">$G3209*'Analyse capacite'!$F$7</f>
        <v>438</v>
      </c>
      <c r="I3209" s="135" t="n">
        <f aca="false">$G3209*'Analyse capacite'!$C$7</f>
        <v>14</v>
      </c>
      <c r="J3209" s="135" t="n">
        <f aca="false">$G3209*'Analyse capacite'!$D$7</f>
        <v>40</v>
      </c>
      <c r="K3209" s="135" t="n">
        <f aca="false">$G3209*'Analyse capacite'!$E$7</f>
        <v>384</v>
      </c>
    </row>
    <row r="3210" customFormat="false" ht="15" hidden="false" customHeight="false" outlineLevel="0" collapsed="false">
      <c r="B3210" s="130" t="n">
        <v>2027</v>
      </c>
      <c r="C3210" s="131" t="s">
        <v>248</v>
      </c>
      <c r="D3210" s="132" t="n">
        <v>46567</v>
      </c>
      <c r="E3210" s="131" t="s">
        <v>12</v>
      </c>
      <c r="F3210" s="133" t="s">
        <v>19</v>
      </c>
      <c r="G3210" s="134" t="n">
        <f aca="false">LEN('Saisie programme'!$E$92)+SUMIFS('Vols additionnels'!$E$7:$E$66,'Vols additionnels'!$C$7:$C$66,$E3210,'Vols additionnels'!$D$7:$D$66,$F3210,'Vols additionnels'!$B$7:$B$66,$D3210)</f>
        <v>0</v>
      </c>
      <c r="H3210" s="135" t="n">
        <f aca="false">$G3210*'Analyse capacite'!$F$8</f>
        <v>0</v>
      </c>
      <c r="I3210" s="135" t="n">
        <f aca="false">$G3210*'Analyse capacite'!$C$8</f>
        <v>0</v>
      </c>
      <c r="J3210" s="135" t="n">
        <f aca="false">$G3210*'Analyse capacite'!$D$8</f>
        <v>0</v>
      </c>
      <c r="K3210" s="135" t="n">
        <f aca="false">$G3210*'Analyse capacite'!$E$8</f>
        <v>0</v>
      </c>
    </row>
    <row r="3211" customFormat="false" ht="15" hidden="false" customHeight="false" outlineLevel="0" collapsed="false">
      <c r="B3211" s="130" t="n">
        <v>2027</v>
      </c>
      <c r="C3211" s="131" t="s">
        <v>248</v>
      </c>
      <c r="D3211" s="132" t="n">
        <v>46567</v>
      </c>
      <c r="E3211" s="131" t="s">
        <v>12</v>
      </c>
      <c r="F3211" s="133" t="s">
        <v>24</v>
      </c>
      <c r="G3211" s="134" t="n">
        <f aca="false">LEN('Saisie programme'!$E$93)+SUMIFS('Vols additionnels'!$E$7:$E$66,'Vols additionnels'!$C$7:$C$66,$E3211,'Vols additionnels'!$D$7:$D$66,$F3211,'Vols additionnels'!$B$7:$B$66,$D3211)</f>
        <v>0</v>
      </c>
      <c r="H3211" s="135" t="n">
        <f aca="false">$G3211*'Analyse capacite'!$F$9</f>
        <v>0</v>
      </c>
      <c r="I3211" s="135" t="n">
        <f aca="false">$G3211*'Analyse capacite'!$C$9</f>
        <v>0</v>
      </c>
      <c r="J3211" s="135" t="n">
        <f aca="false">$G3211*'Analyse capacite'!$D$9</f>
        <v>0</v>
      </c>
      <c r="K3211" s="135" t="n">
        <f aca="false">$G3211*'Analyse capacite'!$E$9</f>
        <v>0</v>
      </c>
    </row>
    <row r="3212" customFormat="false" ht="15" hidden="false" customHeight="false" outlineLevel="0" collapsed="false">
      <c r="B3212" s="130" t="n">
        <v>2027</v>
      </c>
      <c r="C3212" s="131" t="s">
        <v>248</v>
      </c>
      <c r="D3212" s="132" t="n">
        <v>46567</v>
      </c>
      <c r="E3212" s="131" t="s">
        <v>20</v>
      </c>
      <c r="F3212" s="133" t="s">
        <v>11</v>
      </c>
      <c r="G3212" s="134" t="n">
        <f aca="false">LEN('Saisie programme'!$E$94)+SUMIFS('Vols additionnels'!$E$7:$E$66,'Vols additionnels'!$C$7:$C$66,$E3212,'Vols additionnels'!$D$7:$D$66,$F3212,'Vols additionnels'!$B$7:$B$66,$D3212)</f>
        <v>0</v>
      </c>
      <c r="H3212" s="135" t="n">
        <f aca="false">$G3212*'Analyse capacite'!$F$7</f>
        <v>0</v>
      </c>
      <c r="I3212" s="135" t="n">
        <f aca="false">$G3212*'Analyse capacite'!$C$7</f>
        <v>0</v>
      </c>
      <c r="J3212" s="135" t="n">
        <f aca="false">$G3212*'Analyse capacite'!$D$7</f>
        <v>0</v>
      </c>
      <c r="K3212" s="135" t="n">
        <f aca="false">$G3212*'Analyse capacite'!$E$7</f>
        <v>0</v>
      </c>
    </row>
    <row r="3213" customFormat="false" ht="15" hidden="false" customHeight="false" outlineLevel="0" collapsed="false">
      <c r="B3213" s="130" t="n">
        <v>2027</v>
      </c>
      <c r="C3213" s="131" t="s">
        <v>248</v>
      </c>
      <c r="D3213" s="132" t="n">
        <v>46567</v>
      </c>
      <c r="E3213" s="131" t="s">
        <v>20</v>
      </c>
      <c r="F3213" s="133" t="s">
        <v>19</v>
      </c>
      <c r="G3213" s="134" t="n">
        <f aca="false">LEN('Saisie programme'!$E$95)+SUMIFS('Vols additionnels'!$E$7:$E$66,'Vols additionnels'!$C$7:$C$66,$E3213,'Vols additionnels'!$D$7:$D$66,$F3213,'Vols additionnels'!$B$7:$B$66,$D3213)</f>
        <v>1</v>
      </c>
      <c r="H3213" s="135" t="n">
        <f aca="false">$G3213*'Analyse capacite'!$F$8</f>
        <v>262</v>
      </c>
      <c r="I3213" s="135" t="n">
        <f aca="false">$G3213*'Analyse capacite'!$C$8</f>
        <v>18</v>
      </c>
      <c r="J3213" s="135" t="n">
        <f aca="false">$G3213*'Analyse capacite'!$D$8</f>
        <v>0</v>
      </c>
      <c r="K3213" s="135" t="n">
        <f aca="false">$G3213*'Analyse capacite'!$E$8</f>
        <v>244</v>
      </c>
    </row>
    <row r="3214" customFormat="false" ht="15" hidden="false" customHeight="false" outlineLevel="0" collapsed="false">
      <c r="B3214" s="130" t="n">
        <v>2027</v>
      </c>
      <c r="C3214" s="131" t="s">
        <v>248</v>
      </c>
      <c r="D3214" s="132" t="n">
        <v>46567</v>
      </c>
      <c r="E3214" s="131" t="s">
        <v>20</v>
      </c>
      <c r="F3214" s="133" t="s">
        <v>24</v>
      </c>
      <c r="G3214" s="134" t="n">
        <f aca="false">LEN('Saisie programme'!$E$96)+SUMIFS('Vols additionnels'!$E$7:$E$66,'Vols additionnels'!$C$7:$C$66,$E3214,'Vols additionnels'!$D$7:$D$66,$F3214,'Vols additionnels'!$B$7:$B$66,$D3214)</f>
        <v>0</v>
      </c>
      <c r="H3214" s="135" t="n">
        <f aca="false">$G3214*'Analyse capacite'!$F$9</f>
        <v>0</v>
      </c>
      <c r="I3214" s="135" t="n">
        <f aca="false">$G3214*'Analyse capacite'!$C$9</f>
        <v>0</v>
      </c>
      <c r="J3214" s="135" t="n">
        <f aca="false">$G3214*'Analyse capacite'!$D$9</f>
        <v>0</v>
      </c>
      <c r="K3214" s="135" t="n">
        <f aca="false">$G3214*'Analyse capacite'!$E$9</f>
        <v>0</v>
      </c>
    </row>
    <row r="3215" customFormat="false" ht="15" hidden="false" customHeight="false" outlineLevel="0" collapsed="false">
      <c r="B3215" s="130" t="n">
        <v>2027</v>
      </c>
      <c r="C3215" s="131" t="s">
        <v>248</v>
      </c>
      <c r="D3215" s="132" t="n">
        <v>46567</v>
      </c>
      <c r="E3215" s="131" t="s">
        <v>25</v>
      </c>
      <c r="F3215" s="133" t="s">
        <v>11</v>
      </c>
      <c r="G3215" s="134" t="n">
        <f aca="false">LEN('Saisie programme'!$E$97)+SUMIFS('Vols additionnels'!$E$7:$E$66,'Vols additionnels'!$C$7:$C$66,$E3215,'Vols additionnels'!$D$7:$D$66,$F3215,'Vols additionnels'!$B$7:$B$66,$D3215)</f>
        <v>0</v>
      </c>
      <c r="H3215" s="135" t="n">
        <f aca="false">$G3215*'Analyse capacite'!$F$7</f>
        <v>0</v>
      </c>
      <c r="I3215" s="135" t="n">
        <f aca="false">$G3215*'Analyse capacite'!$C$7</f>
        <v>0</v>
      </c>
      <c r="J3215" s="135" t="n">
        <f aca="false">$G3215*'Analyse capacite'!$D$7</f>
        <v>0</v>
      </c>
      <c r="K3215" s="135" t="n">
        <f aca="false">$G3215*'Analyse capacite'!$E$7</f>
        <v>0</v>
      </c>
    </row>
    <row r="3216" customFormat="false" ht="15" hidden="false" customHeight="false" outlineLevel="0" collapsed="false">
      <c r="B3216" s="130" t="n">
        <v>2027</v>
      </c>
      <c r="C3216" s="131" t="s">
        <v>248</v>
      </c>
      <c r="D3216" s="132" t="n">
        <v>46567</v>
      </c>
      <c r="E3216" s="131" t="s">
        <v>25</v>
      </c>
      <c r="F3216" s="133" t="s">
        <v>19</v>
      </c>
      <c r="G3216" s="134" t="n">
        <f aca="false">LEN('Saisie programme'!$E$98)+SUMIFS('Vols additionnels'!$E$7:$E$66,'Vols additionnels'!$C$7:$C$66,$E3216,'Vols additionnels'!$D$7:$D$66,$F3216,'Vols additionnels'!$B$7:$B$66,$D3216)</f>
        <v>0</v>
      </c>
      <c r="H3216" s="135" t="n">
        <f aca="false">$G3216*'Analyse capacite'!$F$8</f>
        <v>0</v>
      </c>
      <c r="I3216" s="135" t="n">
        <f aca="false">$G3216*'Analyse capacite'!$C$8</f>
        <v>0</v>
      </c>
      <c r="J3216" s="135" t="n">
        <f aca="false">$G3216*'Analyse capacite'!$D$8</f>
        <v>0</v>
      </c>
      <c r="K3216" s="135" t="n">
        <f aca="false">$G3216*'Analyse capacite'!$E$8</f>
        <v>0</v>
      </c>
    </row>
    <row r="3217" customFormat="false" ht="15" hidden="false" customHeight="false" outlineLevel="0" collapsed="false">
      <c r="B3217" s="130" t="n">
        <v>2027</v>
      </c>
      <c r="C3217" s="131" t="s">
        <v>248</v>
      </c>
      <c r="D3217" s="132" t="n">
        <v>46567</v>
      </c>
      <c r="E3217" s="131" t="s">
        <v>25</v>
      </c>
      <c r="F3217" s="133" t="s">
        <v>24</v>
      </c>
      <c r="G3217" s="134" t="n">
        <f aca="false">LEN('Saisie programme'!$E$99)+SUMIFS('Vols additionnels'!$E$7:$E$66,'Vols additionnels'!$C$7:$C$66,$E3217,'Vols additionnels'!$D$7:$D$66,$F3217,'Vols additionnels'!$B$7:$B$66,$D3217)</f>
        <v>0</v>
      </c>
      <c r="H3217" s="135" t="n">
        <f aca="false">$G3217*'Analyse capacite'!$F$9</f>
        <v>0</v>
      </c>
      <c r="I3217" s="135" t="n">
        <f aca="false">$G3217*'Analyse capacite'!$C$9</f>
        <v>0</v>
      </c>
      <c r="J3217" s="135" t="n">
        <f aca="false">$G3217*'Analyse capacite'!$D$9</f>
        <v>0</v>
      </c>
      <c r="K3217" s="135" t="n">
        <f aca="false">$G3217*'Analyse capacite'!$E$9</f>
        <v>0</v>
      </c>
    </row>
    <row r="3218" customFormat="false" ht="15" hidden="false" customHeight="false" outlineLevel="0" collapsed="false">
      <c r="B3218" s="130" t="n">
        <v>2027</v>
      </c>
      <c r="C3218" s="131" t="s">
        <v>248</v>
      </c>
      <c r="D3218" s="132" t="n">
        <v>46567</v>
      </c>
      <c r="E3218" s="131" t="s">
        <v>36</v>
      </c>
      <c r="F3218" s="133" t="s">
        <v>11</v>
      </c>
      <c r="G3218" s="134" t="n">
        <f aca="false">LEN('Saisie programme'!$E$100)+SUMIFS('Vols additionnels'!$E$7:$E$66,'Vols additionnels'!$C$7:$C$66,$E3218,'Vols additionnels'!$D$7:$D$66,$F3218,'Vols additionnels'!$B$7:$B$66,$D3218)</f>
        <v>0</v>
      </c>
      <c r="H3218" s="135" t="n">
        <f aca="false">$G3218*'Analyse capacite'!$F$7</f>
        <v>0</v>
      </c>
      <c r="I3218" s="135" t="n">
        <f aca="false">$G3218*'Analyse capacite'!$C$7</f>
        <v>0</v>
      </c>
      <c r="J3218" s="135" t="n">
        <f aca="false">$G3218*'Analyse capacite'!$D$7</f>
        <v>0</v>
      </c>
      <c r="K3218" s="135" t="n">
        <f aca="false">$G3218*'Analyse capacite'!$E$7</f>
        <v>0</v>
      </c>
    </row>
    <row r="3219" customFormat="false" ht="15" hidden="false" customHeight="false" outlineLevel="0" collapsed="false">
      <c r="B3219" s="130" t="n">
        <v>2027</v>
      </c>
      <c r="C3219" s="131" t="s">
        <v>248</v>
      </c>
      <c r="D3219" s="132" t="n">
        <v>46567</v>
      </c>
      <c r="E3219" s="131" t="s">
        <v>36</v>
      </c>
      <c r="F3219" s="133" t="s">
        <v>19</v>
      </c>
      <c r="G3219" s="134" t="n">
        <f aca="false">LEN('Saisie programme'!$E$101)+SUMIFS('Vols additionnels'!$E$7:$E$66,'Vols additionnels'!$C$7:$C$66,$E3219,'Vols additionnels'!$D$7:$D$66,$F3219,'Vols additionnels'!$B$7:$B$66,$D3219)</f>
        <v>0</v>
      </c>
      <c r="H3219" s="135" t="n">
        <f aca="false">$G3219*'Analyse capacite'!$F$8</f>
        <v>0</v>
      </c>
      <c r="I3219" s="135" t="n">
        <f aca="false">$G3219*'Analyse capacite'!$C$8</f>
        <v>0</v>
      </c>
      <c r="J3219" s="135" t="n">
        <f aca="false">$G3219*'Analyse capacite'!$D$8</f>
        <v>0</v>
      </c>
      <c r="K3219" s="135" t="n">
        <f aca="false">$G3219*'Analyse capacite'!$E$8</f>
        <v>0</v>
      </c>
    </row>
    <row r="3220" customFormat="false" ht="15" hidden="false" customHeight="false" outlineLevel="0" collapsed="false">
      <c r="B3220" s="130" t="n">
        <v>2027</v>
      </c>
      <c r="C3220" s="131" t="s">
        <v>248</v>
      </c>
      <c r="D3220" s="132" t="n">
        <v>46567</v>
      </c>
      <c r="E3220" s="131" t="s">
        <v>36</v>
      </c>
      <c r="F3220" s="133" t="s">
        <v>24</v>
      </c>
      <c r="G3220" s="134" t="n">
        <f aca="false">LEN('Saisie programme'!$E$102)+SUMIFS('Vols additionnels'!$E$7:$E$66,'Vols additionnels'!$C$7:$C$66,$E3220,'Vols additionnels'!$D$7:$D$66,$F3220,'Vols additionnels'!$B$7:$B$66,$D3220)</f>
        <v>1</v>
      </c>
      <c r="H3220" s="135" t="n">
        <f aca="false">$G3220*'Analyse capacite'!$F$9</f>
        <v>174</v>
      </c>
      <c r="I3220" s="135" t="n">
        <f aca="false">$G3220*'Analyse capacite'!$C$9</f>
        <v>0</v>
      </c>
      <c r="J3220" s="135" t="n">
        <f aca="false">$G3220*'Analyse capacite'!$D$9</f>
        <v>12</v>
      </c>
      <c r="K3220" s="135" t="n">
        <f aca="false">$G3220*'Analyse capacite'!$E$9</f>
        <v>162</v>
      </c>
    </row>
    <row r="3221" customFormat="false" ht="15" hidden="false" customHeight="false" outlineLevel="0" collapsed="false">
      <c r="B3221" s="130" t="n">
        <v>2027</v>
      </c>
      <c r="C3221" s="131" t="s">
        <v>248</v>
      </c>
      <c r="D3221" s="132" t="n">
        <v>46567</v>
      </c>
      <c r="E3221" s="131" t="s">
        <v>40</v>
      </c>
      <c r="F3221" s="133" t="s">
        <v>11</v>
      </c>
      <c r="G3221" s="134" t="n">
        <f aca="false">LEN('Saisie programme'!$E$103)+SUMIFS('Vols additionnels'!$E$7:$E$66,'Vols additionnels'!$C$7:$C$66,$E3221,'Vols additionnels'!$D$7:$D$66,$F3221,'Vols additionnels'!$B$7:$B$66,$D3221)</f>
        <v>0</v>
      </c>
      <c r="H3221" s="135" t="n">
        <f aca="false">$G3221*'Analyse capacite'!$F$7</f>
        <v>0</v>
      </c>
      <c r="I3221" s="135" t="n">
        <f aca="false">$G3221*'Analyse capacite'!$C$7</f>
        <v>0</v>
      </c>
      <c r="J3221" s="135" t="n">
        <f aca="false">$G3221*'Analyse capacite'!$D$7</f>
        <v>0</v>
      </c>
      <c r="K3221" s="135" t="n">
        <f aca="false">$G3221*'Analyse capacite'!$E$7</f>
        <v>0</v>
      </c>
    </row>
    <row r="3222" customFormat="false" ht="15" hidden="false" customHeight="false" outlineLevel="0" collapsed="false">
      <c r="B3222" s="130" t="n">
        <v>2027</v>
      </c>
      <c r="C3222" s="131" t="s">
        <v>248</v>
      </c>
      <c r="D3222" s="132" t="n">
        <v>46567</v>
      </c>
      <c r="E3222" s="131" t="s">
        <v>40</v>
      </c>
      <c r="F3222" s="133" t="s">
        <v>19</v>
      </c>
      <c r="G3222" s="134" t="n">
        <f aca="false">LEN('Saisie programme'!$E$104)+SUMIFS('Vols additionnels'!$E$7:$E$66,'Vols additionnels'!$C$7:$C$66,$E3222,'Vols additionnels'!$D$7:$D$66,$F3222,'Vols additionnels'!$B$7:$B$66,$D3222)</f>
        <v>0</v>
      </c>
      <c r="H3222" s="135" t="n">
        <f aca="false">$G3222*'Analyse capacite'!$F$8</f>
        <v>0</v>
      </c>
      <c r="I3222" s="135" t="n">
        <f aca="false">$G3222*'Analyse capacite'!$C$8</f>
        <v>0</v>
      </c>
      <c r="J3222" s="135" t="n">
        <f aca="false">$G3222*'Analyse capacite'!$D$8</f>
        <v>0</v>
      </c>
      <c r="K3222" s="135" t="n">
        <f aca="false">$G3222*'Analyse capacite'!$E$8</f>
        <v>0</v>
      </c>
    </row>
    <row r="3223" customFormat="false" ht="15" hidden="false" customHeight="false" outlineLevel="0" collapsed="false">
      <c r="B3223" s="130" t="n">
        <v>2027</v>
      </c>
      <c r="C3223" s="131" t="s">
        <v>248</v>
      </c>
      <c r="D3223" s="132" t="n">
        <v>46567</v>
      </c>
      <c r="E3223" s="131" t="s">
        <v>40</v>
      </c>
      <c r="F3223" s="133" t="s">
        <v>24</v>
      </c>
      <c r="G3223" s="134" t="n">
        <f aca="false">LEN('Saisie programme'!$E$105)+SUMIFS('Vols additionnels'!$E$7:$E$66,'Vols additionnels'!$C$7:$C$66,$E3223,'Vols additionnels'!$D$7:$D$66,$F3223,'Vols additionnels'!$B$7:$B$66,$D3223)</f>
        <v>0</v>
      </c>
      <c r="H3223" s="135" t="n">
        <f aca="false">$G3223*'Analyse capacite'!$F$9</f>
        <v>0</v>
      </c>
      <c r="I3223" s="135" t="n">
        <f aca="false">$G3223*'Analyse capacite'!$C$9</f>
        <v>0</v>
      </c>
      <c r="J3223" s="135" t="n">
        <f aca="false">$G3223*'Analyse capacite'!$D$9</f>
        <v>0</v>
      </c>
      <c r="K3223" s="135" t="n">
        <f aca="false">$G3223*'Analyse capacite'!$E$9</f>
        <v>0</v>
      </c>
    </row>
    <row r="3224" customFormat="false" ht="15" hidden="false" customHeight="false" outlineLevel="0" collapsed="false">
      <c r="B3224" s="130" t="n">
        <v>2027</v>
      </c>
      <c r="C3224" s="131" t="s">
        <v>248</v>
      </c>
      <c r="D3224" s="132" t="n">
        <v>46567</v>
      </c>
      <c r="E3224" s="131" t="s">
        <v>14</v>
      </c>
      <c r="F3224" s="133" t="s">
        <v>11</v>
      </c>
      <c r="G3224" s="134" t="n">
        <f aca="false">LEN('Saisie programme'!$E$106)+SUMIFS('Vols additionnels'!$E$7:$E$66,'Vols additionnels'!$C$7:$C$66,$E3224,'Vols additionnels'!$D$7:$D$66,$F3224,'Vols additionnels'!$B$7:$B$66,$D3224)</f>
        <v>0</v>
      </c>
      <c r="H3224" s="135" t="n">
        <f aca="false">$G3224*'Analyse capacite'!$F$7</f>
        <v>0</v>
      </c>
      <c r="I3224" s="135" t="n">
        <f aca="false">$G3224*'Analyse capacite'!$C$7</f>
        <v>0</v>
      </c>
      <c r="J3224" s="135" t="n">
        <f aca="false">$G3224*'Analyse capacite'!$D$7</f>
        <v>0</v>
      </c>
      <c r="K3224" s="135" t="n">
        <f aca="false">$G3224*'Analyse capacite'!$E$7</f>
        <v>0</v>
      </c>
    </row>
    <row r="3225" customFormat="false" ht="15" hidden="false" customHeight="false" outlineLevel="0" collapsed="false">
      <c r="B3225" s="130" t="n">
        <v>2027</v>
      </c>
      <c r="C3225" s="131" t="s">
        <v>248</v>
      </c>
      <c r="D3225" s="132" t="n">
        <v>46567</v>
      </c>
      <c r="E3225" s="131" t="s">
        <v>14</v>
      </c>
      <c r="F3225" s="133" t="s">
        <v>19</v>
      </c>
      <c r="G3225" s="134" t="n">
        <f aca="false">LEN('Saisie programme'!$E$107)+SUMIFS('Vols additionnels'!$E$7:$E$66,'Vols additionnels'!$C$7:$C$66,$E3225,'Vols additionnels'!$D$7:$D$66,$F3225,'Vols additionnels'!$B$7:$B$66,$D3225)</f>
        <v>0</v>
      </c>
      <c r="H3225" s="135" t="n">
        <f aca="false">$G3225*'Analyse capacite'!$F$8</f>
        <v>0</v>
      </c>
      <c r="I3225" s="135" t="n">
        <f aca="false">$G3225*'Analyse capacite'!$C$8</f>
        <v>0</v>
      </c>
      <c r="J3225" s="135" t="n">
        <f aca="false">$G3225*'Analyse capacite'!$D$8</f>
        <v>0</v>
      </c>
      <c r="K3225" s="135" t="n">
        <f aca="false">$G3225*'Analyse capacite'!$E$8</f>
        <v>0</v>
      </c>
    </row>
    <row r="3226" customFormat="false" ht="15" hidden="false" customHeight="false" outlineLevel="0" collapsed="false">
      <c r="B3226" s="130" t="n">
        <v>2027</v>
      </c>
      <c r="C3226" s="131" t="s">
        <v>248</v>
      </c>
      <c r="D3226" s="132" t="n">
        <v>46567</v>
      </c>
      <c r="E3226" s="131" t="s">
        <v>14</v>
      </c>
      <c r="F3226" s="133" t="s">
        <v>24</v>
      </c>
      <c r="G3226" s="134" t="n">
        <f aca="false">LEN('Saisie programme'!$E$108)+SUMIFS('Vols additionnels'!$E$7:$E$66,'Vols additionnels'!$C$7:$C$66,$E3226,'Vols additionnels'!$D$7:$D$66,$F3226,'Vols additionnels'!$B$7:$B$66,$D3226)</f>
        <v>0</v>
      </c>
      <c r="H3226" s="135" t="n">
        <f aca="false">$G3226*'Analyse capacite'!$F$9</f>
        <v>0</v>
      </c>
      <c r="I3226" s="135" t="n">
        <f aca="false">$G3226*'Analyse capacite'!$C$9</f>
        <v>0</v>
      </c>
      <c r="J3226" s="135" t="n">
        <f aca="false">$G3226*'Analyse capacite'!$D$9</f>
        <v>0</v>
      </c>
      <c r="K3226" s="135" t="n">
        <f aca="false">$G3226*'Analyse capacite'!$E$9</f>
        <v>0</v>
      </c>
    </row>
    <row r="3227" customFormat="false" ht="15" hidden="false" customHeight="false" outlineLevel="0" collapsed="false">
      <c r="B3227" s="130" t="n">
        <v>2027</v>
      </c>
      <c r="C3227" s="131" t="s">
        <v>248</v>
      </c>
      <c r="D3227" s="132" t="n">
        <v>46567</v>
      </c>
      <c r="E3227" s="131" t="s">
        <v>46</v>
      </c>
      <c r="F3227" s="133" t="s">
        <v>11</v>
      </c>
      <c r="G3227" s="134" t="n">
        <f aca="false">LEN('Saisie programme'!$E$109)+SUMIFS('Vols additionnels'!$E$7:$E$66,'Vols additionnels'!$C$7:$C$66,$E3227,'Vols additionnels'!$D$7:$D$66,$F3227,'Vols additionnels'!$B$7:$B$66,$D3227)</f>
        <v>0</v>
      </c>
      <c r="H3227" s="135" t="n">
        <f aca="false">$G3227*'Analyse capacite'!$F$7</f>
        <v>0</v>
      </c>
      <c r="I3227" s="135" t="n">
        <f aca="false">$G3227*'Analyse capacite'!$C$7</f>
        <v>0</v>
      </c>
      <c r="J3227" s="135" t="n">
        <f aca="false">$G3227*'Analyse capacite'!$D$7</f>
        <v>0</v>
      </c>
      <c r="K3227" s="135" t="n">
        <f aca="false">$G3227*'Analyse capacite'!$E$7</f>
        <v>0</v>
      </c>
    </row>
    <row r="3228" customFormat="false" ht="15" hidden="false" customHeight="false" outlineLevel="0" collapsed="false">
      <c r="B3228" s="130" t="n">
        <v>2027</v>
      </c>
      <c r="C3228" s="131" t="s">
        <v>248</v>
      </c>
      <c r="D3228" s="132" t="n">
        <v>46567</v>
      </c>
      <c r="E3228" s="131" t="s">
        <v>46</v>
      </c>
      <c r="F3228" s="133" t="s">
        <v>19</v>
      </c>
      <c r="G3228" s="134" t="n">
        <f aca="false">LEN('Saisie programme'!$E$110)+SUMIFS('Vols additionnels'!$E$7:$E$66,'Vols additionnels'!$C$7:$C$66,$E3228,'Vols additionnels'!$D$7:$D$66,$F3228,'Vols additionnels'!$B$7:$B$66,$D3228)</f>
        <v>0</v>
      </c>
      <c r="H3228" s="135" t="n">
        <f aca="false">$G3228*'Analyse capacite'!$F$8</f>
        <v>0</v>
      </c>
      <c r="I3228" s="135" t="n">
        <f aca="false">$G3228*'Analyse capacite'!$C$8</f>
        <v>0</v>
      </c>
      <c r="J3228" s="135" t="n">
        <f aca="false">$G3228*'Analyse capacite'!$D$8</f>
        <v>0</v>
      </c>
      <c r="K3228" s="135" t="n">
        <f aca="false">$G3228*'Analyse capacite'!$E$8</f>
        <v>0</v>
      </c>
    </row>
    <row r="3229" customFormat="false" ht="15" hidden="false" customHeight="false" outlineLevel="0" collapsed="false">
      <c r="B3229" s="130" t="n">
        <v>2027</v>
      </c>
      <c r="C3229" s="131" t="s">
        <v>248</v>
      </c>
      <c r="D3229" s="132" t="n">
        <v>46567</v>
      </c>
      <c r="E3229" s="131" t="s">
        <v>46</v>
      </c>
      <c r="F3229" s="133" t="s">
        <v>24</v>
      </c>
      <c r="G3229" s="134" t="n">
        <f aca="false">LEN('Saisie programme'!$E$111)+SUMIFS('Vols additionnels'!$E$7:$E$66,'Vols additionnels'!$C$7:$C$66,$E3229,'Vols additionnels'!$D$7:$D$66,$F3229,'Vols additionnels'!$B$7:$B$66,$D3229)</f>
        <v>1</v>
      </c>
      <c r="H3229" s="135" t="n">
        <f aca="false">$G3229*'Analyse capacite'!$F$9</f>
        <v>174</v>
      </c>
      <c r="I3229" s="135" t="n">
        <f aca="false">$G3229*'Analyse capacite'!$C$9</f>
        <v>0</v>
      </c>
      <c r="J3229" s="135" t="n">
        <f aca="false">$G3229*'Analyse capacite'!$D$9</f>
        <v>12</v>
      </c>
      <c r="K3229" s="135" t="n">
        <f aca="false">$G3229*'Analyse capacite'!$E$9</f>
        <v>162</v>
      </c>
    </row>
    <row r="3230" customFormat="false" ht="15" hidden="false" customHeight="false" outlineLevel="0" collapsed="false">
      <c r="B3230" s="130" t="n">
        <v>2027</v>
      </c>
      <c r="C3230" s="131" t="s">
        <v>248</v>
      </c>
      <c r="D3230" s="132" t="n">
        <v>46567</v>
      </c>
      <c r="E3230" s="131" t="s">
        <v>49</v>
      </c>
      <c r="F3230" s="133" t="s">
        <v>11</v>
      </c>
      <c r="G3230" s="134" t="n">
        <f aca="false">LEN('Saisie programme'!$E$112)+SUMIFS('Vols additionnels'!$E$7:$E$66,'Vols additionnels'!$C$7:$C$66,$E3230,'Vols additionnels'!$D$7:$D$66,$F3230,'Vols additionnels'!$B$7:$B$66,$D3230)</f>
        <v>0</v>
      </c>
      <c r="H3230" s="135" t="n">
        <f aca="false">$G3230*'Analyse capacite'!$F$7</f>
        <v>0</v>
      </c>
      <c r="I3230" s="135" t="n">
        <f aca="false">$G3230*'Analyse capacite'!$C$7</f>
        <v>0</v>
      </c>
      <c r="J3230" s="135" t="n">
        <f aca="false">$G3230*'Analyse capacite'!$D$7</f>
        <v>0</v>
      </c>
      <c r="K3230" s="135" t="n">
        <f aca="false">$G3230*'Analyse capacite'!$E$7</f>
        <v>0</v>
      </c>
    </row>
    <row r="3231" customFormat="false" ht="15" hidden="false" customHeight="false" outlineLevel="0" collapsed="false">
      <c r="B3231" s="130" t="n">
        <v>2027</v>
      </c>
      <c r="C3231" s="131" t="s">
        <v>248</v>
      </c>
      <c r="D3231" s="132" t="n">
        <v>46567</v>
      </c>
      <c r="E3231" s="131" t="s">
        <v>49</v>
      </c>
      <c r="F3231" s="133" t="s">
        <v>19</v>
      </c>
      <c r="G3231" s="134" t="n">
        <f aca="false">LEN('Saisie programme'!$E$113)+SUMIFS('Vols additionnels'!$E$7:$E$66,'Vols additionnels'!$C$7:$C$66,$E3231,'Vols additionnels'!$D$7:$D$66,$F3231,'Vols additionnels'!$B$7:$B$66,$D3231)</f>
        <v>0</v>
      </c>
      <c r="H3231" s="135" t="n">
        <f aca="false">$G3231*'Analyse capacite'!$F$8</f>
        <v>0</v>
      </c>
      <c r="I3231" s="135" t="n">
        <f aca="false">$G3231*'Analyse capacite'!$C$8</f>
        <v>0</v>
      </c>
      <c r="J3231" s="135" t="n">
        <f aca="false">$G3231*'Analyse capacite'!$D$8</f>
        <v>0</v>
      </c>
      <c r="K3231" s="135" t="n">
        <f aca="false">$G3231*'Analyse capacite'!$E$8</f>
        <v>0</v>
      </c>
    </row>
    <row r="3232" customFormat="false" ht="15" hidden="false" customHeight="false" outlineLevel="0" collapsed="false">
      <c r="B3232" s="130" t="n">
        <v>2027</v>
      </c>
      <c r="C3232" s="131" t="s">
        <v>248</v>
      </c>
      <c r="D3232" s="132" t="n">
        <v>46567</v>
      </c>
      <c r="E3232" s="131" t="s">
        <v>49</v>
      </c>
      <c r="F3232" s="133" t="s">
        <v>24</v>
      </c>
      <c r="G3232" s="134" t="n">
        <f aca="false">LEN('Saisie programme'!$E$114)+SUMIFS('Vols additionnels'!$E$7:$E$66,'Vols additionnels'!$C$7:$C$66,$E3232,'Vols additionnels'!$D$7:$D$66,$F3232,'Vols additionnels'!$B$7:$B$66,$D3232)</f>
        <v>0</v>
      </c>
      <c r="H3232" s="135" t="n">
        <f aca="false">$G3232*'Analyse capacite'!$F$9</f>
        <v>0</v>
      </c>
      <c r="I3232" s="135" t="n">
        <f aca="false">$G3232*'Analyse capacite'!$C$9</f>
        <v>0</v>
      </c>
      <c r="J3232" s="135" t="n">
        <f aca="false">$G3232*'Analyse capacite'!$D$9</f>
        <v>0</v>
      </c>
      <c r="K3232" s="135" t="n">
        <f aca="false">$G3232*'Analyse capacite'!$E$9</f>
        <v>0</v>
      </c>
    </row>
    <row r="3233" customFormat="false" ht="15" hidden="false" customHeight="false" outlineLevel="0" collapsed="false">
      <c r="B3233" s="130" t="n">
        <v>2027</v>
      </c>
      <c r="C3233" s="131" t="s">
        <v>248</v>
      </c>
      <c r="D3233" s="132" t="n">
        <v>46567</v>
      </c>
      <c r="E3233" s="131" t="s">
        <v>53</v>
      </c>
      <c r="F3233" s="133" t="s">
        <v>11</v>
      </c>
      <c r="G3233" s="134" t="n">
        <f aca="false">LEN('Saisie programme'!$E$115)+SUMIFS('Vols additionnels'!$E$7:$E$66,'Vols additionnels'!$C$7:$C$66,$E3233,'Vols additionnels'!$D$7:$D$66,$F3233,'Vols additionnels'!$B$7:$B$66,$D3233)</f>
        <v>0</v>
      </c>
      <c r="H3233" s="135" t="n">
        <f aca="false">$G3233*'Analyse capacite'!$F$7</f>
        <v>0</v>
      </c>
      <c r="I3233" s="135" t="n">
        <f aca="false">$G3233*'Analyse capacite'!$C$7</f>
        <v>0</v>
      </c>
      <c r="J3233" s="135" t="n">
        <f aca="false">$G3233*'Analyse capacite'!$D$7</f>
        <v>0</v>
      </c>
      <c r="K3233" s="135" t="n">
        <f aca="false">$G3233*'Analyse capacite'!$E$7</f>
        <v>0</v>
      </c>
    </row>
    <row r="3234" customFormat="false" ht="15" hidden="false" customHeight="false" outlineLevel="0" collapsed="false">
      <c r="B3234" s="130" t="n">
        <v>2027</v>
      </c>
      <c r="C3234" s="131" t="s">
        <v>248</v>
      </c>
      <c r="D3234" s="132" t="n">
        <v>46567</v>
      </c>
      <c r="E3234" s="131" t="s">
        <v>53</v>
      </c>
      <c r="F3234" s="133" t="s">
        <v>19</v>
      </c>
      <c r="G3234" s="134" t="n">
        <f aca="false">LEN('Saisie programme'!$E$116)+SUMIFS('Vols additionnels'!$E$7:$E$66,'Vols additionnels'!$C$7:$C$66,$E3234,'Vols additionnels'!$D$7:$D$66,$F3234,'Vols additionnels'!$B$7:$B$66,$D3234)</f>
        <v>0</v>
      </c>
      <c r="H3234" s="135" t="n">
        <f aca="false">$G3234*'Analyse capacite'!$F$8</f>
        <v>0</v>
      </c>
      <c r="I3234" s="135" t="n">
        <f aca="false">$G3234*'Analyse capacite'!$C$8</f>
        <v>0</v>
      </c>
      <c r="J3234" s="135" t="n">
        <f aca="false">$G3234*'Analyse capacite'!$D$8</f>
        <v>0</v>
      </c>
      <c r="K3234" s="135" t="n">
        <f aca="false">$G3234*'Analyse capacite'!$E$8</f>
        <v>0</v>
      </c>
    </row>
    <row r="3235" customFormat="false" ht="15" hidden="false" customHeight="false" outlineLevel="0" collapsed="false">
      <c r="B3235" s="130" t="n">
        <v>2027</v>
      </c>
      <c r="C3235" s="131" t="s">
        <v>248</v>
      </c>
      <c r="D3235" s="132" t="n">
        <v>46567</v>
      </c>
      <c r="E3235" s="131" t="s">
        <v>53</v>
      </c>
      <c r="F3235" s="133" t="s">
        <v>24</v>
      </c>
      <c r="G3235" s="134" t="n">
        <f aca="false">LEN('Saisie programme'!$E$117)+SUMIFS('Vols additionnels'!$E$7:$E$66,'Vols additionnels'!$C$7:$C$66,$E3235,'Vols additionnels'!$D$7:$D$66,$F3235,'Vols additionnels'!$B$7:$B$66,$D3235)</f>
        <v>0</v>
      </c>
      <c r="H3235" s="135" t="n">
        <f aca="false">$G3235*'Analyse capacite'!$F$9</f>
        <v>0</v>
      </c>
      <c r="I3235" s="135" t="n">
        <f aca="false">$G3235*'Analyse capacite'!$C$9</f>
        <v>0</v>
      </c>
      <c r="J3235" s="135" t="n">
        <f aca="false">$G3235*'Analyse capacite'!$D$9</f>
        <v>0</v>
      </c>
      <c r="K3235" s="135" t="n">
        <f aca="false">$G3235*'Analyse capacite'!$E$9</f>
        <v>0</v>
      </c>
    </row>
    <row r="3236" customFormat="false" ht="15" hidden="false" customHeight="false" outlineLevel="0" collapsed="false">
      <c r="B3236" s="130" t="n">
        <v>2027</v>
      </c>
      <c r="C3236" s="131" t="s">
        <v>248</v>
      </c>
      <c r="D3236" s="132" t="n">
        <v>46567</v>
      </c>
      <c r="E3236" s="131" t="s">
        <v>56</v>
      </c>
      <c r="F3236" s="133" t="s">
        <v>11</v>
      </c>
      <c r="G3236" s="134" t="n">
        <f aca="false">LEN('Saisie programme'!$E$118)+SUMIFS('Vols additionnels'!$E$7:$E$66,'Vols additionnels'!$C$7:$C$66,$E3236,'Vols additionnels'!$D$7:$D$66,$F3236,'Vols additionnels'!$B$7:$B$66,$D3236)</f>
        <v>0</v>
      </c>
      <c r="H3236" s="135" t="n">
        <f aca="false">$G3236*'Analyse capacite'!$F$7</f>
        <v>0</v>
      </c>
      <c r="I3236" s="135" t="n">
        <f aca="false">$G3236*'Analyse capacite'!$C$7</f>
        <v>0</v>
      </c>
      <c r="J3236" s="135" t="n">
        <f aca="false">$G3236*'Analyse capacite'!$D$7</f>
        <v>0</v>
      </c>
      <c r="K3236" s="135" t="n">
        <f aca="false">$G3236*'Analyse capacite'!$E$7</f>
        <v>0</v>
      </c>
    </row>
    <row r="3237" customFormat="false" ht="15" hidden="false" customHeight="false" outlineLevel="0" collapsed="false">
      <c r="B3237" s="130" t="n">
        <v>2027</v>
      </c>
      <c r="C3237" s="131" t="s">
        <v>248</v>
      </c>
      <c r="D3237" s="132" t="n">
        <v>46567</v>
      </c>
      <c r="E3237" s="131" t="s">
        <v>56</v>
      </c>
      <c r="F3237" s="133" t="s">
        <v>19</v>
      </c>
      <c r="G3237" s="134" t="n">
        <f aca="false">LEN('Saisie programme'!$E$119)+SUMIFS('Vols additionnels'!$E$7:$E$66,'Vols additionnels'!$C$7:$C$66,$E3237,'Vols additionnels'!$D$7:$D$66,$F3237,'Vols additionnels'!$B$7:$B$66,$D3237)</f>
        <v>0</v>
      </c>
      <c r="H3237" s="135" t="n">
        <f aca="false">$G3237*'Analyse capacite'!$F$8</f>
        <v>0</v>
      </c>
      <c r="I3237" s="135" t="n">
        <f aca="false">$G3237*'Analyse capacite'!$C$8</f>
        <v>0</v>
      </c>
      <c r="J3237" s="135" t="n">
        <f aca="false">$G3237*'Analyse capacite'!$D$8</f>
        <v>0</v>
      </c>
      <c r="K3237" s="135" t="n">
        <f aca="false">$G3237*'Analyse capacite'!$E$8</f>
        <v>0</v>
      </c>
    </row>
    <row r="3238" customFormat="false" ht="15" hidden="false" customHeight="false" outlineLevel="0" collapsed="false">
      <c r="B3238" s="130" t="n">
        <v>2027</v>
      </c>
      <c r="C3238" s="131" t="s">
        <v>248</v>
      </c>
      <c r="D3238" s="132" t="n">
        <v>46567</v>
      </c>
      <c r="E3238" s="131" t="s">
        <v>56</v>
      </c>
      <c r="F3238" s="133" t="s">
        <v>24</v>
      </c>
      <c r="G3238" s="134" t="n">
        <f aca="false">LEN('Saisie programme'!$E$120)+SUMIFS('Vols additionnels'!$E$7:$E$66,'Vols additionnels'!$C$7:$C$66,$E3238,'Vols additionnels'!$D$7:$D$66,$F3238,'Vols additionnels'!$B$7:$B$66,$D3238)</f>
        <v>1</v>
      </c>
      <c r="H3238" s="135" t="n">
        <f aca="false">$G3238*'Analyse capacite'!$F$9</f>
        <v>174</v>
      </c>
      <c r="I3238" s="135" t="n">
        <f aca="false">$G3238*'Analyse capacite'!$C$9</f>
        <v>0</v>
      </c>
      <c r="J3238" s="135" t="n">
        <f aca="false">$G3238*'Analyse capacite'!$D$9</f>
        <v>12</v>
      </c>
      <c r="K3238" s="135" t="n">
        <f aca="false">$G3238*'Analyse capacite'!$E$9</f>
        <v>162</v>
      </c>
    </row>
    <row r="3239" customFormat="false" ht="15" hidden="false" customHeight="false" outlineLevel="0" collapsed="false">
      <c r="B3239" s="130" t="n">
        <v>2027</v>
      </c>
      <c r="C3239" s="131" t="s">
        <v>248</v>
      </c>
      <c r="D3239" s="132" t="n">
        <v>46567</v>
      </c>
      <c r="E3239" s="131" t="s">
        <v>59</v>
      </c>
      <c r="F3239" s="133" t="s">
        <v>11</v>
      </c>
      <c r="G3239" s="134" t="n">
        <f aca="false">LEN('Saisie programme'!$E$121)+SUMIFS('Vols additionnels'!$E$7:$E$66,'Vols additionnels'!$C$7:$C$66,$E3239,'Vols additionnels'!$D$7:$D$66,$F3239,'Vols additionnels'!$B$7:$B$66,$D3239)</f>
        <v>0</v>
      </c>
      <c r="H3239" s="135" t="n">
        <f aca="false">$G3239*'Analyse capacite'!$F$7</f>
        <v>0</v>
      </c>
      <c r="I3239" s="135" t="n">
        <f aca="false">$G3239*'Analyse capacite'!$C$7</f>
        <v>0</v>
      </c>
      <c r="J3239" s="135" t="n">
        <f aca="false">$G3239*'Analyse capacite'!$D$7</f>
        <v>0</v>
      </c>
      <c r="K3239" s="135" t="n">
        <f aca="false">$G3239*'Analyse capacite'!$E$7</f>
        <v>0</v>
      </c>
    </row>
    <row r="3240" customFormat="false" ht="15" hidden="false" customHeight="false" outlineLevel="0" collapsed="false">
      <c r="B3240" s="130" t="n">
        <v>2027</v>
      </c>
      <c r="C3240" s="131" t="s">
        <v>248</v>
      </c>
      <c r="D3240" s="132" t="n">
        <v>46567</v>
      </c>
      <c r="E3240" s="131" t="s">
        <v>59</v>
      </c>
      <c r="F3240" s="133" t="s">
        <v>19</v>
      </c>
      <c r="G3240" s="134" t="n">
        <f aca="false">LEN('Saisie programme'!$E$122)+SUMIFS('Vols additionnels'!$E$7:$E$66,'Vols additionnels'!$C$7:$C$66,$E3240,'Vols additionnels'!$D$7:$D$66,$F3240,'Vols additionnels'!$B$7:$B$66,$D3240)</f>
        <v>0</v>
      </c>
      <c r="H3240" s="135" t="n">
        <f aca="false">$G3240*'Analyse capacite'!$F$8</f>
        <v>0</v>
      </c>
      <c r="I3240" s="135" t="n">
        <f aca="false">$G3240*'Analyse capacite'!$C$8</f>
        <v>0</v>
      </c>
      <c r="J3240" s="135" t="n">
        <f aca="false">$G3240*'Analyse capacite'!$D$8</f>
        <v>0</v>
      </c>
      <c r="K3240" s="135" t="n">
        <f aca="false">$G3240*'Analyse capacite'!$E$8</f>
        <v>0</v>
      </c>
    </row>
    <row r="3241" customFormat="false" ht="15" hidden="false" customHeight="false" outlineLevel="0" collapsed="false">
      <c r="B3241" s="130" t="n">
        <v>2027</v>
      </c>
      <c r="C3241" s="131" t="s">
        <v>248</v>
      </c>
      <c r="D3241" s="132" t="n">
        <v>46567</v>
      </c>
      <c r="E3241" s="131" t="s">
        <v>59</v>
      </c>
      <c r="F3241" s="133" t="s">
        <v>24</v>
      </c>
      <c r="G3241" s="134" t="n">
        <f aca="false">LEN('Saisie programme'!$E$123)+SUMIFS('Vols additionnels'!$E$7:$E$66,'Vols additionnels'!$C$7:$C$66,$E3241,'Vols additionnels'!$D$7:$D$66,$F3241,'Vols additionnels'!$B$7:$B$66,$D3241)</f>
        <v>1</v>
      </c>
      <c r="H3241" s="135" t="n">
        <f aca="false">$G3241*'Analyse capacite'!$F$9</f>
        <v>174</v>
      </c>
      <c r="I3241" s="135" t="n">
        <f aca="false">$G3241*'Analyse capacite'!$C$9</f>
        <v>0</v>
      </c>
      <c r="J3241" s="135" t="n">
        <f aca="false">$G3241*'Analyse capacite'!$D$9</f>
        <v>12</v>
      </c>
      <c r="K3241" s="135" t="n">
        <f aca="false">$G3241*'Analyse capacite'!$E$9</f>
        <v>162</v>
      </c>
    </row>
    <row r="3242" customFormat="false" ht="15" hidden="false" customHeight="false" outlineLevel="0" collapsed="false">
      <c r="B3242" s="130" t="n">
        <v>2027</v>
      </c>
      <c r="C3242" s="131" t="s">
        <v>248</v>
      </c>
      <c r="D3242" s="132" t="n">
        <v>46567</v>
      </c>
      <c r="E3242" s="131" t="s">
        <v>62</v>
      </c>
      <c r="F3242" s="133" t="s">
        <v>11</v>
      </c>
      <c r="G3242" s="134" t="n">
        <f aca="false">LEN('Saisie programme'!$E$124)+SUMIFS('Vols additionnels'!$E$7:$E$66,'Vols additionnels'!$C$7:$C$66,$E3242,'Vols additionnels'!$D$7:$D$66,$F3242,'Vols additionnels'!$B$7:$B$66,$D3242)</f>
        <v>0</v>
      </c>
      <c r="H3242" s="135" t="n">
        <f aca="false">$G3242*'Analyse capacite'!$F$7</f>
        <v>0</v>
      </c>
      <c r="I3242" s="135" t="n">
        <f aca="false">$G3242*'Analyse capacite'!$C$7</f>
        <v>0</v>
      </c>
      <c r="J3242" s="135" t="n">
        <f aca="false">$G3242*'Analyse capacite'!$D$7</f>
        <v>0</v>
      </c>
      <c r="K3242" s="135" t="n">
        <f aca="false">$G3242*'Analyse capacite'!$E$7</f>
        <v>0</v>
      </c>
    </row>
    <row r="3243" customFormat="false" ht="15" hidden="false" customHeight="false" outlineLevel="0" collapsed="false">
      <c r="B3243" s="130" t="n">
        <v>2027</v>
      </c>
      <c r="C3243" s="131" t="s">
        <v>248</v>
      </c>
      <c r="D3243" s="132" t="n">
        <v>46567</v>
      </c>
      <c r="E3243" s="131" t="s">
        <v>62</v>
      </c>
      <c r="F3243" s="133" t="s">
        <v>19</v>
      </c>
      <c r="G3243" s="134" t="n">
        <f aca="false">LEN('Saisie programme'!$E$125)+SUMIFS('Vols additionnels'!$E$7:$E$66,'Vols additionnels'!$C$7:$C$66,$E3243,'Vols additionnels'!$D$7:$D$66,$F3243,'Vols additionnels'!$B$7:$B$66,$D3243)</f>
        <v>0</v>
      </c>
      <c r="H3243" s="135" t="n">
        <f aca="false">$G3243*'Analyse capacite'!$F$8</f>
        <v>0</v>
      </c>
      <c r="I3243" s="135" t="n">
        <f aca="false">$G3243*'Analyse capacite'!$C$8</f>
        <v>0</v>
      </c>
      <c r="J3243" s="135" t="n">
        <f aca="false">$G3243*'Analyse capacite'!$D$8</f>
        <v>0</v>
      </c>
      <c r="K3243" s="135" t="n">
        <f aca="false">$G3243*'Analyse capacite'!$E$8</f>
        <v>0</v>
      </c>
    </row>
    <row r="3244" customFormat="false" ht="15" hidden="false" customHeight="false" outlineLevel="0" collapsed="false">
      <c r="B3244" s="130" t="n">
        <v>2027</v>
      </c>
      <c r="C3244" s="131" t="s">
        <v>248</v>
      </c>
      <c r="D3244" s="132" t="n">
        <v>46567</v>
      </c>
      <c r="E3244" s="131" t="s">
        <v>62</v>
      </c>
      <c r="F3244" s="133" t="s">
        <v>24</v>
      </c>
      <c r="G3244" s="134" t="n">
        <f aca="false">LEN('Saisie programme'!$E$126)+SUMIFS('Vols additionnels'!$E$7:$E$66,'Vols additionnels'!$C$7:$C$66,$E3244,'Vols additionnels'!$D$7:$D$66,$F3244,'Vols additionnels'!$B$7:$B$66,$D3244)</f>
        <v>0</v>
      </c>
      <c r="H3244" s="135" t="n">
        <f aca="false">$G3244*'Analyse capacite'!$F$9</f>
        <v>0</v>
      </c>
      <c r="I3244" s="135" t="n">
        <f aca="false">$G3244*'Analyse capacite'!$C$9</f>
        <v>0</v>
      </c>
      <c r="J3244" s="135" t="n">
        <f aca="false">$G3244*'Analyse capacite'!$D$9</f>
        <v>0</v>
      </c>
      <c r="K3244" s="135" t="n">
        <f aca="false">$G3244*'Analyse capacite'!$E$9</f>
        <v>0</v>
      </c>
    </row>
    <row r="3245" customFormat="false" ht="15" hidden="false" customHeight="false" outlineLevel="0" collapsed="false">
      <c r="B3245" s="130" t="n">
        <v>2027</v>
      </c>
      <c r="C3245" s="131" t="s">
        <v>248</v>
      </c>
      <c r="D3245" s="132" t="n">
        <v>46568</v>
      </c>
      <c r="E3245" s="131" t="s">
        <v>12</v>
      </c>
      <c r="F3245" s="133" t="s">
        <v>11</v>
      </c>
      <c r="G3245" s="134" t="n">
        <f aca="false">LEN('Saisie programme'!$F$91)+SUMIFS('Vols additionnels'!$E$7:$E$66,'Vols additionnels'!$C$7:$C$66,$E3245,'Vols additionnels'!$D$7:$D$66,$F3245,'Vols additionnels'!$B$7:$B$66,$D3245)</f>
        <v>1</v>
      </c>
      <c r="H3245" s="135" t="n">
        <f aca="false">$G3245*'Analyse capacite'!$F$7</f>
        <v>438</v>
      </c>
      <c r="I3245" s="135" t="n">
        <f aca="false">$G3245*'Analyse capacite'!$C$7</f>
        <v>14</v>
      </c>
      <c r="J3245" s="135" t="n">
        <f aca="false">$G3245*'Analyse capacite'!$D$7</f>
        <v>40</v>
      </c>
      <c r="K3245" s="135" t="n">
        <f aca="false">$G3245*'Analyse capacite'!$E$7</f>
        <v>384</v>
      </c>
    </row>
    <row r="3246" customFormat="false" ht="15" hidden="false" customHeight="false" outlineLevel="0" collapsed="false">
      <c r="B3246" s="130" t="n">
        <v>2027</v>
      </c>
      <c r="C3246" s="131" t="s">
        <v>248</v>
      </c>
      <c r="D3246" s="132" t="n">
        <v>46568</v>
      </c>
      <c r="E3246" s="131" t="s">
        <v>12</v>
      </c>
      <c r="F3246" s="133" t="s">
        <v>19</v>
      </c>
      <c r="G3246" s="134" t="n">
        <f aca="false">LEN('Saisie programme'!$F$92)+SUMIFS('Vols additionnels'!$E$7:$E$66,'Vols additionnels'!$C$7:$C$66,$E3246,'Vols additionnels'!$D$7:$D$66,$F3246,'Vols additionnels'!$B$7:$B$66,$D3246)</f>
        <v>0</v>
      </c>
      <c r="H3246" s="135" t="n">
        <f aca="false">$G3246*'Analyse capacite'!$F$8</f>
        <v>0</v>
      </c>
      <c r="I3246" s="135" t="n">
        <f aca="false">$G3246*'Analyse capacite'!$C$8</f>
        <v>0</v>
      </c>
      <c r="J3246" s="135" t="n">
        <f aca="false">$G3246*'Analyse capacite'!$D$8</f>
        <v>0</v>
      </c>
      <c r="K3246" s="135" t="n">
        <f aca="false">$G3246*'Analyse capacite'!$E$8</f>
        <v>0</v>
      </c>
    </row>
    <row r="3247" customFormat="false" ht="15" hidden="false" customHeight="false" outlineLevel="0" collapsed="false">
      <c r="B3247" s="130" t="n">
        <v>2027</v>
      </c>
      <c r="C3247" s="131" t="s">
        <v>248</v>
      </c>
      <c r="D3247" s="132" t="n">
        <v>46568</v>
      </c>
      <c r="E3247" s="131" t="s">
        <v>12</v>
      </c>
      <c r="F3247" s="133" t="s">
        <v>24</v>
      </c>
      <c r="G3247" s="134" t="n">
        <f aca="false">LEN('Saisie programme'!$F$93)+SUMIFS('Vols additionnels'!$E$7:$E$66,'Vols additionnels'!$C$7:$C$66,$E3247,'Vols additionnels'!$D$7:$D$66,$F3247,'Vols additionnels'!$B$7:$B$66,$D3247)</f>
        <v>0</v>
      </c>
      <c r="H3247" s="135" t="n">
        <f aca="false">$G3247*'Analyse capacite'!$F$9</f>
        <v>0</v>
      </c>
      <c r="I3247" s="135" t="n">
        <f aca="false">$G3247*'Analyse capacite'!$C$9</f>
        <v>0</v>
      </c>
      <c r="J3247" s="135" t="n">
        <f aca="false">$G3247*'Analyse capacite'!$D$9</f>
        <v>0</v>
      </c>
      <c r="K3247" s="135" t="n">
        <f aca="false">$G3247*'Analyse capacite'!$E$9</f>
        <v>0</v>
      </c>
    </row>
    <row r="3248" customFormat="false" ht="15" hidden="false" customHeight="false" outlineLevel="0" collapsed="false">
      <c r="B3248" s="130" t="n">
        <v>2027</v>
      </c>
      <c r="C3248" s="131" t="s">
        <v>248</v>
      </c>
      <c r="D3248" s="132" t="n">
        <v>46568</v>
      </c>
      <c r="E3248" s="131" t="s">
        <v>20</v>
      </c>
      <c r="F3248" s="133" t="s">
        <v>11</v>
      </c>
      <c r="G3248" s="134" t="n">
        <f aca="false">LEN('Saisie programme'!$F$94)+SUMIFS('Vols additionnels'!$E$7:$E$66,'Vols additionnels'!$C$7:$C$66,$E3248,'Vols additionnels'!$D$7:$D$66,$F3248,'Vols additionnels'!$B$7:$B$66,$D3248)</f>
        <v>0</v>
      </c>
      <c r="H3248" s="135" t="n">
        <f aca="false">$G3248*'Analyse capacite'!$F$7</f>
        <v>0</v>
      </c>
      <c r="I3248" s="135" t="n">
        <f aca="false">$G3248*'Analyse capacite'!$C$7</f>
        <v>0</v>
      </c>
      <c r="J3248" s="135" t="n">
        <f aca="false">$G3248*'Analyse capacite'!$D$7</f>
        <v>0</v>
      </c>
      <c r="K3248" s="135" t="n">
        <f aca="false">$G3248*'Analyse capacite'!$E$7</f>
        <v>0</v>
      </c>
    </row>
    <row r="3249" customFormat="false" ht="15" hidden="false" customHeight="false" outlineLevel="0" collapsed="false">
      <c r="B3249" s="130" t="n">
        <v>2027</v>
      </c>
      <c r="C3249" s="131" t="s">
        <v>248</v>
      </c>
      <c r="D3249" s="132" t="n">
        <v>46568</v>
      </c>
      <c r="E3249" s="131" t="s">
        <v>20</v>
      </c>
      <c r="F3249" s="133" t="s">
        <v>19</v>
      </c>
      <c r="G3249" s="134" t="n">
        <f aca="false">LEN('Saisie programme'!$F$95)+SUMIFS('Vols additionnels'!$E$7:$E$66,'Vols additionnels'!$C$7:$C$66,$E3249,'Vols additionnels'!$D$7:$D$66,$F3249,'Vols additionnels'!$B$7:$B$66,$D3249)</f>
        <v>0</v>
      </c>
      <c r="H3249" s="135" t="n">
        <f aca="false">$G3249*'Analyse capacite'!$F$8</f>
        <v>0</v>
      </c>
      <c r="I3249" s="135" t="n">
        <f aca="false">$G3249*'Analyse capacite'!$C$8</f>
        <v>0</v>
      </c>
      <c r="J3249" s="135" t="n">
        <f aca="false">$G3249*'Analyse capacite'!$D$8</f>
        <v>0</v>
      </c>
      <c r="K3249" s="135" t="n">
        <f aca="false">$G3249*'Analyse capacite'!$E$8</f>
        <v>0</v>
      </c>
    </row>
    <row r="3250" customFormat="false" ht="15" hidden="false" customHeight="false" outlineLevel="0" collapsed="false">
      <c r="B3250" s="130" t="n">
        <v>2027</v>
      </c>
      <c r="C3250" s="131" t="s">
        <v>248</v>
      </c>
      <c r="D3250" s="132" t="n">
        <v>46568</v>
      </c>
      <c r="E3250" s="131" t="s">
        <v>20</v>
      </c>
      <c r="F3250" s="133" t="s">
        <v>24</v>
      </c>
      <c r="G3250" s="134" t="n">
        <f aca="false">LEN('Saisie programme'!$F$96)+SUMIFS('Vols additionnels'!$E$7:$E$66,'Vols additionnels'!$C$7:$C$66,$E3250,'Vols additionnels'!$D$7:$D$66,$F3250,'Vols additionnels'!$B$7:$B$66,$D3250)</f>
        <v>0</v>
      </c>
      <c r="H3250" s="135" t="n">
        <f aca="false">$G3250*'Analyse capacite'!$F$9</f>
        <v>0</v>
      </c>
      <c r="I3250" s="135" t="n">
        <f aca="false">$G3250*'Analyse capacite'!$C$9</f>
        <v>0</v>
      </c>
      <c r="J3250" s="135" t="n">
        <f aca="false">$G3250*'Analyse capacite'!$D$9</f>
        <v>0</v>
      </c>
      <c r="K3250" s="135" t="n">
        <f aca="false">$G3250*'Analyse capacite'!$E$9</f>
        <v>0</v>
      </c>
    </row>
    <row r="3251" customFormat="false" ht="15" hidden="false" customHeight="false" outlineLevel="0" collapsed="false">
      <c r="B3251" s="130" t="n">
        <v>2027</v>
      </c>
      <c r="C3251" s="131" t="s">
        <v>248</v>
      </c>
      <c r="D3251" s="132" t="n">
        <v>46568</v>
      </c>
      <c r="E3251" s="131" t="s">
        <v>25</v>
      </c>
      <c r="F3251" s="133" t="s">
        <v>11</v>
      </c>
      <c r="G3251" s="134" t="n">
        <f aca="false">LEN('Saisie programme'!$F$97)+SUMIFS('Vols additionnels'!$E$7:$E$66,'Vols additionnels'!$C$7:$C$66,$E3251,'Vols additionnels'!$D$7:$D$66,$F3251,'Vols additionnels'!$B$7:$B$66,$D3251)</f>
        <v>0</v>
      </c>
      <c r="H3251" s="135" t="n">
        <f aca="false">$G3251*'Analyse capacite'!$F$7</f>
        <v>0</v>
      </c>
      <c r="I3251" s="135" t="n">
        <f aca="false">$G3251*'Analyse capacite'!$C$7</f>
        <v>0</v>
      </c>
      <c r="J3251" s="135" t="n">
        <f aca="false">$G3251*'Analyse capacite'!$D$7</f>
        <v>0</v>
      </c>
      <c r="K3251" s="135" t="n">
        <f aca="false">$G3251*'Analyse capacite'!$E$7</f>
        <v>0</v>
      </c>
    </row>
    <row r="3252" customFormat="false" ht="15" hidden="false" customHeight="false" outlineLevel="0" collapsed="false">
      <c r="B3252" s="130" t="n">
        <v>2027</v>
      </c>
      <c r="C3252" s="131" t="s">
        <v>248</v>
      </c>
      <c r="D3252" s="132" t="n">
        <v>46568</v>
      </c>
      <c r="E3252" s="131" t="s">
        <v>25</v>
      </c>
      <c r="F3252" s="133" t="s">
        <v>19</v>
      </c>
      <c r="G3252" s="134" t="n">
        <f aca="false">LEN('Saisie programme'!$F$98)+SUMIFS('Vols additionnels'!$E$7:$E$66,'Vols additionnels'!$C$7:$C$66,$E3252,'Vols additionnels'!$D$7:$D$66,$F3252,'Vols additionnels'!$B$7:$B$66,$D3252)</f>
        <v>1</v>
      </c>
      <c r="H3252" s="135" t="n">
        <f aca="false">$G3252*'Analyse capacite'!$F$8</f>
        <v>262</v>
      </c>
      <c r="I3252" s="135" t="n">
        <f aca="false">$G3252*'Analyse capacite'!$C$8</f>
        <v>18</v>
      </c>
      <c r="J3252" s="135" t="n">
        <f aca="false">$G3252*'Analyse capacite'!$D$8</f>
        <v>0</v>
      </c>
      <c r="K3252" s="135" t="n">
        <f aca="false">$G3252*'Analyse capacite'!$E$8</f>
        <v>244</v>
      </c>
    </row>
    <row r="3253" customFormat="false" ht="15" hidden="false" customHeight="false" outlineLevel="0" collapsed="false">
      <c r="B3253" s="130" t="n">
        <v>2027</v>
      </c>
      <c r="C3253" s="131" t="s">
        <v>248</v>
      </c>
      <c r="D3253" s="132" t="n">
        <v>46568</v>
      </c>
      <c r="E3253" s="131" t="s">
        <v>25</v>
      </c>
      <c r="F3253" s="133" t="s">
        <v>24</v>
      </c>
      <c r="G3253" s="134" t="n">
        <f aca="false">LEN('Saisie programme'!$F$99)+SUMIFS('Vols additionnels'!$E$7:$E$66,'Vols additionnels'!$C$7:$C$66,$E3253,'Vols additionnels'!$D$7:$D$66,$F3253,'Vols additionnels'!$B$7:$B$66,$D3253)</f>
        <v>0</v>
      </c>
      <c r="H3253" s="135" t="n">
        <f aca="false">$G3253*'Analyse capacite'!$F$9</f>
        <v>0</v>
      </c>
      <c r="I3253" s="135" t="n">
        <f aca="false">$G3253*'Analyse capacite'!$C$9</f>
        <v>0</v>
      </c>
      <c r="J3253" s="135" t="n">
        <f aca="false">$G3253*'Analyse capacite'!$D$9</f>
        <v>0</v>
      </c>
      <c r="K3253" s="135" t="n">
        <f aca="false">$G3253*'Analyse capacite'!$E$9</f>
        <v>0</v>
      </c>
    </row>
    <row r="3254" customFormat="false" ht="15" hidden="false" customHeight="false" outlineLevel="0" collapsed="false">
      <c r="B3254" s="130" t="n">
        <v>2027</v>
      </c>
      <c r="C3254" s="131" t="s">
        <v>248</v>
      </c>
      <c r="D3254" s="132" t="n">
        <v>46568</v>
      </c>
      <c r="E3254" s="131" t="s">
        <v>36</v>
      </c>
      <c r="F3254" s="133" t="s">
        <v>11</v>
      </c>
      <c r="G3254" s="134" t="n">
        <f aca="false">LEN('Saisie programme'!$F$100)+SUMIFS('Vols additionnels'!$E$7:$E$66,'Vols additionnels'!$C$7:$C$66,$E3254,'Vols additionnels'!$D$7:$D$66,$F3254,'Vols additionnels'!$B$7:$B$66,$D3254)</f>
        <v>0</v>
      </c>
      <c r="H3254" s="135" t="n">
        <f aca="false">$G3254*'Analyse capacite'!$F$7</f>
        <v>0</v>
      </c>
      <c r="I3254" s="135" t="n">
        <f aca="false">$G3254*'Analyse capacite'!$C$7</f>
        <v>0</v>
      </c>
      <c r="J3254" s="135" t="n">
        <f aca="false">$G3254*'Analyse capacite'!$D$7</f>
        <v>0</v>
      </c>
      <c r="K3254" s="135" t="n">
        <f aca="false">$G3254*'Analyse capacite'!$E$7</f>
        <v>0</v>
      </c>
    </row>
    <row r="3255" customFormat="false" ht="15" hidden="false" customHeight="false" outlineLevel="0" collapsed="false">
      <c r="B3255" s="130" t="n">
        <v>2027</v>
      </c>
      <c r="C3255" s="131" t="s">
        <v>248</v>
      </c>
      <c r="D3255" s="132" t="n">
        <v>46568</v>
      </c>
      <c r="E3255" s="131" t="s">
        <v>36</v>
      </c>
      <c r="F3255" s="133" t="s">
        <v>19</v>
      </c>
      <c r="G3255" s="134" t="n">
        <f aca="false">LEN('Saisie programme'!$F$101)+SUMIFS('Vols additionnels'!$E$7:$E$66,'Vols additionnels'!$C$7:$C$66,$E3255,'Vols additionnels'!$D$7:$D$66,$F3255,'Vols additionnels'!$B$7:$B$66,$D3255)</f>
        <v>1</v>
      </c>
      <c r="H3255" s="135" t="n">
        <f aca="false">$G3255*'Analyse capacite'!$F$8</f>
        <v>262</v>
      </c>
      <c r="I3255" s="135" t="n">
        <f aca="false">$G3255*'Analyse capacite'!$C$8</f>
        <v>18</v>
      </c>
      <c r="J3255" s="135" t="n">
        <f aca="false">$G3255*'Analyse capacite'!$D$8</f>
        <v>0</v>
      </c>
      <c r="K3255" s="135" t="n">
        <f aca="false">$G3255*'Analyse capacite'!$E$8</f>
        <v>244</v>
      </c>
    </row>
    <row r="3256" customFormat="false" ht="15" hidden="false" customHeight="false" outlineLevel="0" collapsed="false">
      <c r="B3256" s="130" t="n">
        <v>2027</v>
      </c>
      <c r="C3256" s="131" t="s">
        <v>248</v>
      </c>
      <c r="D3256" s="132" t="n">
        <v>46568</v>
      </c>
      <c r="E3256" s="131" t="s">
        <v>36</v>
      </c>
      <c r="F3256" s="133" t="s">
        <v>24</v>
      </c>
      <c r="G3256" s="134" t="n">
        <f aca="false">LEN('Saisie programme'!$F$102)+SUMIFS('Vols additionnels'!$E$7:$E$66,'Vols additionnels'!$C$7:$C$66,$E3256,'Vols additionnels'!$D$7:$D$66,$F3256,'Vols additionnels'!$B$7:$B$66,$D3256)</f>
        <v>1</v>
      </c>
      <c r="H3256" s="135" t="n">
        <f aca="false">$G3256*'Analyse capacite'!$F$9</f>
        <v>174</v>
      </c>
      <c r="I3256" s="135" t="n">
        <f aca="false">$G3256*'Analyse capacite'!$C$9</f>
        <v>0</v>
      </c>
      <c r="J3256" s="135" t="n">
        <f aca="false">$G3256*'Analyse capacite'!$D$9</f>
        <v>12</v>
      </c>
      <c r="K3256" s="135" t="n">
        <f aca="false">$G3256*'Analyse capacite'!$E$9</f>
        <v>162</v>
      </c>
    </row>
    <row r="3257" customFormat="false" ht="15" hidden="false" customHeight="false" outlineLevel="0" collapsed="false">
      <c r="B3257" s="130" t="n">
        <v>2027</v>
      </c>
      <c r="C3257" s="131" t="s">
        <v>248</v>
      </c>
      <c r="D3257" s="132" t="n">
        <v>46568</v>
      </c>
      <c r="E3257" s="131" t="s">
        <v>40</v>
      </c>
      <c r="F3257" s="133" t="s">
        <v>11</v>
      </c>
      <c r="G3257" s="134" t="n">
        <f aca="false">LEN('Saisie programme'!$F$103)+SUMIFS('Vols additionnels'!$E$7:$E$66,'Vols additionnels'!$C$7:$C$66,$E3257,'Vols additionnels'!$D$7:$D$66,$F3257,'Vols additionnels'!$B$7:$B$66,$D3257)</f>
        <v>0</v>
      </c>
      <c r="H3257" s="135" t="n">
        <f aca="false">$G3257*'Analyse capacite'!$F$7</f>
        <v>0</v>
      </c>
      <c r="I3257" s="135" t="n">
        <f aca="false">$G3257*'Analyse capacite'!$C$7</f>
        <v>0</v>
      </c>
      <c r="J3257" s="135" t="n">
        <f aca="false">$G3257*'Analyse capacite'!$D$7</f>
        <v>0</v>
      </c>
      <c r="K3257" s="135" t="n">
        <f aca="false">$G3257*'Analyse capacite'!$E$7</f>
        <v>0</v>
      </c>
    </row>
    <row r="3258" customFormat="false" ht="15" hidden="false" customHeight="false" outlineLevel="0" collapsed="false">
      <c r="B3258" s="130" t="n">
        <v>2027</v>
      </c>
      <c r="C3258" s="131" t="s">
        <v>248</v>
      </c>
      <c r="D3258" s="132" t="n">
        <v>46568</v>
      </c>
      <c r="E3258" s="131" t="s">
        <v>40</v>
      </c>
      <c r="F3258" s="133" t="s">
        <v>19</v>
      </c>
      <c r="G3258" s="134" t="n">
        <f aca="false">LEN('Saisie programme'!$F$104)+SUMIFS('Vols additionnels'!$E$7:$E$66,'Vols additionnels'!$C$7:$C$66,$E3258,'Vols additionnels'!$D$7:$D$66,$F3258,'Vols additionnels'!$B$7:$B$66,$D3258)</f>
        <v>0</v>
      </c>
      <c r="H3258" s="135" t="n">
        <f aca="false">$G3258*'Analyse capacite'!$F$8</f>
        <v>0</v>
      </c>
      <c r="I3258" s="135" t="n">
        <f aca="false">$G3258*'Analyse capacite'!$C$8</f>
        <v>0</v>
      </c>
      <c r="J3258" s="135" t="n">
        <f aca="false">$G3258*'Analyse capacite'!$D$8</f>
        <v>0</v>
      </c>
      <c r="K3258" s="135" t="n">
        <f aca="false">$G3258*'Analyse capacite'!$E$8</f>
        <v>0</v>
      </c>
    </row>
    <row r="3259" customFormat="false" ht="15" hidden="false" customHeight="false" outlineLevel="0" collapsed="false">
      <c r="B3259" s="130" t="n">
        <v>2027</v>
      </c>
      <c r="C3259" s="131" t="s">
        <v>248</v>
      </c>
      <c r="D3259" s="132" t="n">
        <v>46568</v>
      </c>
      <c r="E3259" s="131" t="s">
        <v>40</v>
      </c>
      <c r="F3259" s="133" t="s">
        <v>24</v>
      </c>
      <c r="G3259" s="134" t="n">
        <f aca="false">LEN('Saisie programme'!$F$105)+SUMIFS('Vols additionnels'!$E$7:$E$66,'Vols additionnels'!$C$7:$C$66,$E3259,'Vols additionnels'!$D$7:$D$66,$F3259,'Vols additionnels'!$B$7:$B$66,$D3259)</f>
        <v>1</v>
      </c>
      <c r="H3259" s="135" t="n">
        <f aca="false">$G3259*'Analyse capacite'!$F$9</f>
        <v>174</v>
      </c>
      <c r="I3259" s="135" t="n">
        <f aca="false">$G3259*'Analyse capacite'!$C$9</f>
        <v>0</v>
      </c>
      <c r="J3259" s="135" t="n">
        <f aca="false">$G3259*'Analyse capacite'!$D$9</f>
        <v>12</v>
      </c>
      <c r="K3259" s="135" t="n">
        <f aca="false">$G3259*'Analyse capacite'!$E$9</f>
        <v>162</v>
      </c>
    </row>
    <row r="3260" customFormat="false" ht="15" hidden="false" customHeight="false" outlineLevel="0" collapsed="false">
      <c r="B3260" s="130" t="n">
        <v>2027</v>
      </c>
      <c r="C3260" s="131" t="s">
        <v>248</v>
      </c>
      <c r="D3260" s="132" t="n">
        <v>46568</v>
      </c>
      <c r="E3260" s="131" t="s">
        <v>14</v>
      </c>
      <c r="F3260" s="133" t="s">
        <v>11</v>
      </c>
      <c r="G3260" s="134" t="n">
        <f aca="false">LEN('Saisie programme'!$F$106)+SUMIFS('Vols additionnels'!$E$7:$E$66,'Vols additionnels'!$C$7:$C$66,$E3260,'Vols additionnels'!$D$7:$D$66,$F3260,'Vols additionnels'!$B$7:$B$66,$D3260)</f>
        <v>0</v>
      </c>
      <c r="H3260" s="135" t="n">
        <f aca="false">$G3260*'Analyse capacite'!$F$7</f>
        <v>0</v>
      </c>
      <c r="I3260" s="135" t="n">
        <f aca="false">$G3260*'Analyse capacite'!$C$7</f>
        <v>0</v>
      </c>
      <c r="J3260" s="135" t="n">
        <f aca="false">$G3260*'Analyse capacite'!$D$7</f>
        <v>0</v>
      </c>
      <c r="K3260" s="135" t="n">
        <f aca="false">$G3260*'Analyse capacite'!$E$7</f>
        <v>0</v>
      </c>
    </row>
    <row r="3261" customFormat="false" ht="15" hidden="false" customHeight="false" outlineLevel="0" collapsed="false">
      <c r="B3261" s="130" t="n">
        <v>2027</v>
      </c>
      <c r="C3261" s="131" t="s">
        <v>248</v>
      </c>
      <c r="D3261" s="132" t="n">
        <v>46568</v>
      </c>
      <c r="E3261" s="131" t="s">
        <v>14</v>
      </c>
      <c r="F3261" s="133" t="s">
        <v>19</v>
      </c>
      <c r="G3261" s="134" t="n">
        <f aca="false">LEN('Saisie programme'!$F$107)+SUMIFS('Vols additionnels'!$E$7:$E$66,'Vols additionnels'!$C$7:$C$66,$E3261,'Vols additionnels'!$D$7:$D$66,$F3261,'Vols additionnels'!$B$7:$B$66,$D3261)</f>
        <v>0</v>
      </c>
      <c r="H3261" s="135" t="n">
        <f aca="false">$G3261*'Analyse capacite'!$F$8</f>
        <v>0</v>
      </c>
      <c r="I3261" s="135" t="n">
        <f aca="false">$G3261*'Analyse capacite'!$C$8</f>
        <v>0</v>
      </c>
      <c r="J3261" s="135" t="n">
        <f aca="false">$G3261*'Analyse capacite'!$D$8</f>
        <v>0</v>
      </c>
      <c r="K3261" s="135" t="n">
        <f aca="false">$G3261*'Analyse capacite'!$E$8</f>
        <v>0</v>
      </c>
    </row>
    <row r="3262" customFormat="false" ht="15" hidden="false" customHeight="false" outlineLevel="0" collapsed="false">
      <c r="B3262" s="130" t="n">
        <v>2027</v>
      </c>
      <c r="C3262" s="131" t="s">
        <v>248</v>
      </c>
      <c r="D3262" s="132" t="n">
        <v>46568</v>
      </c>
      <c r="E3262" s="131" t="s">
        <v>14</v>
      </c>
      <c r="F3262" s="133" t="s">
        <v>24</v>
      </c>
      <c r="G3262" s="134" t="n">
        <f aca="false">LEN('Saisie programme'!$F$108)+SUMIFS('Vols additionnels'!$E$7:$E$66,'Vols additionnels'!$C$7:$C$66,$E3262,'Vols additionnels'!$D$7:$D$66,$F3262,'Vols additionnels'!$B$7:$B$66,$D3262)</f>
        <v>0</v>
      </c>
      <c r="H3262" s="135" t="n">
        <f aca="false">$G3262*'Analyse capacite'!$F$9</f>
        <v>0</v>
      </c>
      <c r="I3262" s="135" t="n">
        <f aca="false">$G3262*'Analyse capacite'!$C$9</f>
        <v>0</v>
      </c>
      <c r="J3262" s="135" t="n">
        <f aca="false">$G3262*'Analyse capacite'!$D$9</f>
        <v>0</v>
      </c>
      <c r="K3262" s="135" t="n">
        <f aca="false">$G3262*'Analyse capacite'!$E$9</f>
        <v>0</v>
      </c>
    </row>
    <row r="3263" customFormat="false" ht="15" hidden="false" customHeight="false" outlineLevel="0" collapsed="false">
      <c r="B3263" s="130" t="n">
        <v>2027</v>
      </c>
      <c r="C3263" s="131" t="s">
        <v>248</v>
      </c>
      <c r="D3263" s="132" t="n">
        <v>46568</v>
      </c>
      <c r="E3263" s="131" t="s">
        <v>46</v>
      </c>
      <c r="F3263" s="133" t="s">
        <v>11</v>
      </c>
      <c r="G3263" s="134" t="n">
        <f aca="false">LEN('Saisie programme'!$F$109)+SUMIFS('Vols additionnels'!$E$7:$E$66,'Vols additionnels'!$C$7:$C$66,$E3263,'Vols additionnels'!$D$7:$D$66,$F3263,'Vols additionnels'!$B$7:$B$66,$D3263)</f>
        <v>0</v>
      </c>
      <c r="H3263" s="135" t="n">
        <f aca="false">$G3263*'Analyse capacite'!$F$7</f>
        <v>0</v>
      </c>
      <c r="I3263" s="135" t="n">
        <f aca="false">$G3263*'Analyse capacite'!$C$7</f>
        <v>0</v>
      </c>
      <c r="J3263" s="135" t="n">
        <f aca="false">$G3263*'Analyse capacite'!$D$7</f>
        <v>0</v>
      </c>
      <c r="K3263" s="135" t="n">
        <f aca="false">$G3263*'Analyse capacite'!$E$7</f>
        <v>0</v>
      </c>
    </row>
    <row r="3264" customFormat="false" ht="15" hidden="false" customHeight="false" outlineLevel="0" collapsed="false">
      <c r="B3264" s="130" t="n">
        <v>2027</v>
      </c>
      <c r="C3264" s="131" t="s">
        <v>248</v>
      </c>
      <c r="D3264" s="132" t="n">
        <v>46568</v>
      </c>
      <c r="E3264" s="131" t="s">
        <v>46</v>
      </c>
      <c r="F3264" s="133" t="s">
        <v>19</v>
      </c>
      <c r="G3264" s="134" t="n">
        <f aca="false">LEN('Saisie programme'!$F$110)+SUMIFS('Vols additionnels'!$E$7:$E$66,'Vols additionnels'!$C$7:$C$66,$E3264,'Vols additionnels'!$D$7:$D$66,$F3264,'Vols additionnels'!$B$7:$B$66,$D3264)</f>
        <v>0</v>
      </c>
      <c r="H3264" s="135" t="n">
        <f aca="false">$G3264*'Analyse capacite'!$F$8</f>
        <v>0</v>
      </c>
      <c r="I3264" s="135" t="n">
        <f aca="false">$G3264*'Analyse capacite'!$C$8</f>
        <v>0</v>
      </c>
      <c r="J3264" s="135" t="n">
        <f aca="false">$G3264*'Analyse capacite'!$D$8</f>
        <v>0</v>
      </c>
      <c r="K3264" s="135" t="n">
        <f aca="false">$G3264*'Analyse capacite'!$E$8</f>
        <v>0</v>
      </c>
    </row>
    <row r="3265" customFormat="false" ht="15" hidden="false" customHeight="false" outlineLevel="0" collapsed="false">
      <c r="B3265" s="130" t="n">
        <v>2027</v>
      </c>
      <c r="C3265" s="131" t="s">
        <v>248</v>
      </c>
      <c r="D3265" s="132" t="n">
        <v>46568</v>
      </c>
      <c r="E3265" s="131" t="s">
        <v>46</v>
      </c>
      <c r="F3265" s="133" t="s">
        <v>24</v>
      </c>
      <c r="G3265" s="134" t="n">
        <f aca="false">LEN('Saisie programme'!$F$111)+SUMIFS('Vols additionnels'!$E$7:$E$66,'Vols additionnels'!$C$7:$C$66,$E3265,'Vols additionnels'!$D$7:$D$66,$F3265,'Vols additionnels'!$B$7:$B$66,$D3265)</f>
        <v>0</v>
      </c>
      <c r="H3265" s="135" t="n">
        <f aca="false">$G3265*'Analyse capacite'!$F$9</f>
        <v>0</v>
      </c>
      <c r="I3265" s="135" t="n">
        <f aca="false">$G3265*'Analyse capacite'!$C$9</f>
        <v>0</v>
      </c>
      <c r="J3265" s="135" t="n">
        <f aca="false">$G3265*'Analyse capacite'!$D$9</f>
        <v>0</v>
      </c>
      <c r="K3265" s="135" t="n">
        <f aca="false">$G3265*'Analyse capacite'!$E$9</f>
        <v>0</v>
      </c>
    </row>
    <row r="3266" customFormat="false" ht="15" hidden="false" customHeight="false" outlineLevel="0" collapsed="false">
      <c r="B3266" s="130" t="n">
        <v>2027</v>
      </c>
      <c r="C3266" s="131" t="s">
        <v>248</v>
      </c>
      <c r="D3266" s="132" t="n">
        <v>46568</v>
      </c>
      <c r="E3266" s="131" t="s">
        <v>49</v>
      </c>
      <c r="F3266" s="133" t="s">
        <v>11</v>
      </c>
      <c r="G3266" s="134" t="n">
        <f aca="false">LEN('Saisie programme'!$F$112)+SUMIFS('Vols additionnels'!$E$7:$E$66,'Vols additionnels'!$C$7:$C$66,$E3266,'Vols additionnels'!$D$7:$D$66,$F3266,'Vols additionnels'!$B$7:$B$66,$D3266)</f>
        <v>0</v>
      </c>
      <c r="H3266" s="135" t="n">
        <f aca="false">$G3266*'Analyse capacite'!$F$7</f>
        <v>0</v>
      </c>
      <c r="I3266" s="135" t="n">
        <f aca="false">$G3266*'Analyse capacite'!$C$7</f>
        <v>0</v>
      </c>
      <c r="J3266" s="135" t="n">
        <f aca="false">$G3266*'Analyse capacite'!$D$7</f>
        <v>0</v>
      </c>
      <c r="K3266" s="135" t="n">
        <f aca="false">$G3266*'Analyse capacite'!$E$7</f>
        <v>0</v>
      </c>
    </row>
    <row r="3267" customFormat="false" ht="15" hidden="false" customHeight="false" outlineLevel="0" collapsed="false">
      <c r="B3267" s="130" t="n">
        <v>2027</v>
      </c>
      <c r="C3267" s="131" t="s">
        <v>248</v>
      </c>
      <c r="D3267" s="132" t="n">
        <v>46568</v>
      </c>
      <c r="E3267" s="131" t="s">
        <v>49</v>
      </c>
      <c r="F3267" s="133" t="s">
        <v>19</v>
      </c>
      <c r="G3267" s="134" t="n">
        <f aca="false">LEN('Saisie programme'!$F$113)+SUMIFS('Vols additionnels'!$E$7:$E$66,'Vols additionnels'!$C$7:$C$66,$E3267,'Vols additionnels'!$D$7:$D$66,$F3267,'Vols additionnels'!$B$7:$B$66,$D3267)</f>
        <v>0</v>
      </c>
      <c r="H3267" s="135" t="n">
        <f aca="false">$G3267*'Analyse capacite'!$F$8</f>
        <v>0</v>
      </c>
      <c r="I3267" s="135" t="n">
        <f aca="false">$G3267*'Analyse capacite'!$C$8</f>
        <v>0</v>
      </c>
      <c r="J3267" s="135" t="n">
        <f aca="false">$G3267*'Analyse capacite'!$D$8</f>
        <v>0</v>
      </c>
      <c r="K3267" s="135" t="n">
        <f aca="false">$G3267*'Analyse capacite'!$E$8</f>
        <v>0</v>
      </c>
    </row>
    <row r="3268" customFormat="false" ht="15" hidden="false" customHeight="false" outlineLevel="0" collapsed="false">
      <c r="B3268" s="130" t="n">
        <v>2027</v>
      </c>
      <c r="C3268" s="131" t="s">
        <v>248</v>
      </c>
      <c r="D3268" s="132" t="n">
        <v>46568</v>
      </c>
      <c r="E3268" s="131" t="s">
        <v>49</v>
      </c>
      <c r="F3268" s="133" t="s">
        <v>24</v>
      </c>
      <c r="G3268" s="134" t="n">
        <f aca="false">LEN('Saisie programme'!$F$114)+SUMIFS('Vols additionnels'!$E$7:$E$66,'Vols additionnels'!$C$7:$C$66,$E3268,'Vols additionnels'!$D$7:$D$66,$F3268,'Vols additionnels'!$B$7:$B$66,$D3268)</f>
        <v>0</v>
      </c>
      <c r="H3268" s="135" t="n">
        <f aca="false">$G3268*'Analyse capacite'!$F$9</f>
        <v>0</v>
      </c>
      <c r="I3268" s="135" t="n">
        <f aca="false">$G3268*'Analyse capacite'!$C$9</f>
        <v>0</v>
      </c>
      <c r="J3268" s="135" t="n">
        <f aca="false">$G3268*'Analyse capacite'!$D$9</f>
        <v>0</v>
      </c>
      <c r="K3268" s="135" t="n">
        <f aca="false">$G3268*'Analyse capacite'!$E$9</f>
        <v>0</v>
      </c>
    </row>
    <row r="3269" customFormat="false" ht="15" hidden="false" customHeight="false" outlineLevel="0" collapsed="false">
      <c r="B3269" s="130" t="n">
        <v>2027</v>
      </c>
      <c r="C3269" s="131" t="s">
        <v>248</v>
      </c>
      <c r="D3269" s="132" t="n">
        <v>46568</v>
      </c>
      <c r="E3269" s="131" t="s">
        <v>53</v>
      </c>
      <c r="F3269" s="133" t="s">
        <v>11</v>
      </c>
      <c r="G3269" s="134" t="n">
        <f aca="false">LEN('Saisie programme'!$F$115)+SUMIFS('Vols additionnels'!$E$7:$E$66,'Vols additionnels'!$C$7:$C$66,$E3269,'Vols additionnels'!$D$7:$D$66,$F3269,'Vols additionnels'!$B$7:$B$66,$D3269)</f>
        <v>0</v>
      </c>
      <c r="H3269" s="135" t="n">
        <f aca="false">$G3269*'Analyse capacite'!$F$7</f>
        <v>0</v>
      </c>
      <c r="I3269" s="135" t="n">
        <f aca="false">$G3269*'Analyse capacite'!$C$7</f>
        <v>0</v>
      </c>
      <c r="J3269" s="135" t="n">
        <f aca="false">$G3269*'Analyse capacite'!$D$7</f>
        <v>0</v>
      </c>
      <c r="K3269" s="135" t="n">
        <f aca="false">$G3269*'Analyse capacite'!$E$7</f>
        <v>0</v>
      </c>
    </row>
    <row r="3270" customFormat="false" ht="15" hidden="false" customHeight="false" outlineLevel="0" collapsed="false">
      <c r="B3270" s="130" t="n">
        <v>2027</v>
      </c>
      <c r="C3270" s="131" t="s">
        <v>248</v>
      </c>
      <c r="D3270" s="132" t="n">
        <v>46568</v>
      </c>
      <c r="E3270" s="131" t="s">
        <v>53</v>
      </c>
      <c r="F3270" s="133" t="s">
        <v>19</v>
      </c>
      <c r="G3270" s="134" t="n">
        <f aca="false">LEN('Saisie programme'!$F$116)+SUMIFS('Vols additionnels'!$E$7:$E$66,'Vols additionnels'!$C$7:$C$66,$E3270,'Vols additionnels'!$D$7:$D$66,$F3270,'Vols additionnels'!$B$7:$B$66,$D3270)</f>
        <v>0</v>
      </c>
      <c r="H3270" s="135" t="n">
        <f aca="false">$G3270*'Analyse capacite'!$F$8</f>
        <v>0</v>
      </c>
      <c r="I3270" s="135" t="n">
        <f aca="false">$G3270*'Analyse capacite'!$C$8</f>
        <v>0</v>
      </c>
      <c r="J3270" s="135" t="n">
        <f aca="false">$G3270*'Analyse capacite'!$D$8</f>
        <v>0</v>
      </c>
      <c r="K3270" s="135" t="n">
        <f aca="false">$G3270*'Analyse capacite'!$E$8</f>
        <v>0</v>
      </c>
    </row>
    <row r="3271" customFormat="false" ht="15" hidden="false" customHeight="false" outlineLevel="0" collapsed="false">
      <c r="B3271" s="130" t="n">
        <v>2027</v>
      </c>
      <c r="C3271" s="131" t="s">
        <v>248</v>
      </c>
      <c r="D3271" s="132" t="n">
        <v>46568</v>
      </c>
      <c r="E3271" s="131" t="s">
        <v>53</v>
      </c>
      <c r="F3271" s="133" t="s">
        <v>24</v>
      </c>
      <c r="G3271" s="134" t="n">
        <f aca="false">LEN('Saisie programme'!$F$117)+SUMIFS('Vols additionnels'!$E$7:$E$66,'Vols additionnels'!$C$7:$C$66,$E3271,'Vols additionnels'!$D$7:$D$66,$F3271,'Vols additionnels'!$B$7:$B$66,$D3271)</f>
        <v>0</v>
      </c>
      <c r="H3271" s="135" t="n">
        <f aca="false">$G3271*'Analyse capacite'!$F$9</f>
        <v>0</v>
      </c>
      <c r="I3271" s="135" t="n">
        <f aca="false">$G3271*'Analyse capacite'!$C$9</f>
        <v>0</v>
      </c>
      <c r="J3271" s="135" t="n">
        <f aca="false">$G3271*'Analyse capacite'!$D$9</f>
        <v>0</v>
      </c>
      <c r="K3271" s="135" t="n">
        <f aca="false">$G3271*'Analyse capacite'!$E$9</f>
        <v>0</v>
      </c>
    </row>
    <row r="3272" customFormat="false" ht="15" hidden="false" customHeight="false" outlineLevel="0" collapsed="false">
      <c r="B3272" s="130" t="n">
        <v>2027</v>
      </c>
      <c r="C3272" s="131" t="s">
        <v>248</v>
      </c>
      <c r="D3272" s="132" t="n">
        <v>46568</v>
      </c>
      <c r="E3272" s="131" t="s">
        <v>56</v>
      </c>
      <c r="F3272" s="133" t="s">
        <v>11</v>
      </c>
      <c r="G3272" s="134" t="n">
        <f aca="false">LEN('Saisie programme'!$F$118)+SUMIFS('Vols additionnels'!$E$7:$E$66,'Vols additionnels'!$C$7:$C$66,$E3272,'Vols additionnels'!$D$7:$D$66,$F3272,'Vols additionnels'!$B$7:$B$66,$D3272)</f>
        <v>0</v>
      </c>
      <c r="H3272" s="135" t="n">
        <f aca="false">$G3272*'Analyse capacite'!$F$7</f>
        <v>0</v>
      </c>
      <c r="I3272" s="135" t="n">
        <f aca="false">$G3272*'Analyse capacite'!$C$7</f>
        <v>0</v>
      </c>
      <c r="J3272" s="135" t="n">
        <f aca="false">$G3272*'Analyse capacite'!$D$7</f>
        <v>0</v>
      </c>
      <c r="K3272" s="135" t="n">
        <f aca="false">$G3272*'Analyse capacite'!$E$7</f>
        <v>0</v>
      </c>
    </row>
    <row r="3273" customFormat="false" ht="15" hidden="false" customHeight="false" outlineLevel="0" collapsed="false">
      <c r="B3273" s="130" t="n">
        <v>2027</v>
      </c>
      <c r="C3273" s="131" t="s">
        <v>248</v>
      </c>
      <c r="D3273" s="132" t="n">
        <v>46568</v>
      </c>
      <c r="E3273" s="131" t="s">
        <v>56</v>
      </c>
      <c r="F3273" s="133" t="s">
        <v>19</v>
      </c>
      <c r="G3273" s="134" t="n">
        <f aca="false">LEN('Saisie programme'!$F$119)+SUMIFS('Vols additionnels'!$E$7:$E$66,'Vols additionnels'!$C$7:$C$66,$E3273,'Vols additionnels'!$D$7:$D$66,$F3273,'Vols additionnels'!$B$7:$B$66,$D3273)</f>
        <v>0</v>
      </c>
      <c r="H3273" s="135" t="n">
        <f aca="false">$G3273*'Analyse capacite'!$F$8</f>
        <v>0</v>
      </c>
      <c r="I3273" s="135" t="n">
        <f aca="false">$G3273*'Analyse capacite'!$C$8</f>
        <v>0</v>
      </c>
      <c r="J3273" s="135" t="n">
        <f aca="false">$G3273*'Analyse capacite'!$D$8</f>
        <v>0</v>
      </c>
      <c r="K3273" s="135" t="n">
        <f aca="false">$G3273*'Analyse capacite'!$E$8</f>
        <v>0</v>
      </c>
    </row>
    <row r="3274" customFormat="false" ht="15" hidden="false" customHeight="false" outlineLevel="0" collapsed="false">
      <c r="B3274" s="130" t="n">
        <v>2027</v>
      </c>
      <c r="C3274" s="131" t="s">
        <v>248</v>
      </c>
      <c r="D3274" s="132" t="n">
        <v>46568</v>
      </c>
      <c r="E3274" s="131" t="s">
        <v>56</v>
      </c>
      <c r="F3274" s="133" t="s">
        <v>24</v>
      </c>
      <c r="G3274" s="134" t="n">
        <f aca="false">LEN('Saisie programme'!$F$120)+SUMIFS('Vols additionnels'!$E$7:$E$66,'Vols additionnels'!$C$7:$C$66,$E3274,'Vols additionnels'!$D$7:$D$66,$F3274,'Vols additionnels'!$B$7:$B$66,$D3274)</f>
        <v>0</v>
      </c>
      <c r="H3274" s="135" t="n">
        <f aca="false">$G3274*'Analyse capacite'!$F$9</f>
        <v>0</v>
      </c>
      <c r="I3274" s="135" t="n">
        <f aca="false">$G3274*'Analyse capacite'!$C$9</f>
        <v>0</v>
      </c>
      <c r="J3274" s="135" t="n">
        <f aca="false">$G3274*'Analyse capacite'!$D$9</f>
        <v>0</v>
      </c>
      <c r="K3274" s="135" t="n">
        <f aca="false">$G3274*'Analyse capacite'!$E$9</f>
        <v>0</v>
      </c>
    </row>
    <row r="3275" customFormat="false" ht="15" hidden="false" customHeight="false" outlineLevel="0" collapsed="false">
      <c r="B3275" s="130" t="n">
        <v>2027</v>
      </c>
      <c r="C3275" s="131" t="s">
        <v>248</v>
      </c>
      <c r="D3275" s="132" t="n">
        <v>46568</v>
      </c>
      <c r="E3275" s="131" t="s">
        <v>59</v>
      </c>
      <c r="F3275" s="133" t="s">
        <v>11</v>
      </c>
      <c r="G3275" s="134" t="n">
        <f aca="false">LEN('Saisie programme'!$F$121)+SUMIFS('Vols additionnels'!$E$7:$E$66,'Vols additionnels'!$C$7:$C$66,$E3275,'Vols additionnels'!$D$7:$D$66,$F3275,'Vols additionnels'!$B$7:$B$66,$D3275)</f>
        <v>0</v>
      </c>
      <c r="H3275" s="135" t="n">
        <f aca="false">$G3275*'Analyse capacite'!$F$7</f>
        <v>0</v>
      </c>
      <c r="I3275" s="135" t="n">
        <f aca="false">$G3275*'Analyse capacite'!$C$7</f>
        <v>0</v>
      </c>
      <c r="J3275" s="135" t="n">
        <f aca="false">$G3275*'Analyse capacite'!$D$7</f>
        <v>0</v>
      </c>
      <c r="K3275" s="135" t="n">
        <f aca="false">$G3275*'Analyse capacite'!$E$7</f>
        <v>0</v>
      </c>
    </row>
    <row r="3276" customFormat="false" ht="15" hidden="false" customHeight="false" outlineLevel="0" collapsed="false">
      <c r="B3276" s="130" t="n">
        <v>2027</v>
      </c>
      <c r="C3276" s="131" t="s">
        <v>248</v>
      </c>
      <c r="D3276" s="132" t="n">
        <v>46568</v>
      </c>
      <c r="E3276" s="131" t="s">
        <v>59</v>
      </c>
      <c r="F3276" s="133" t="s">
        <v>19</v>
      </c>
      <c r="G3276" s="134" t="n">
        <f aca="false">LEN('Saisie programme'!$F$122)+SUMIFS('Vols additionnels'!$E$7:$E$66,'Vols additionnels'!$C$7:$C$66,$E3276,'Vols additionnels'!$D$7:$D$66,$F3276,'Vols additionnels'!$B$7:$B$66,$D3276)</f>
        <v>0</v>
      </c>
      <c r="H3276" s="135" t="n">
        <f aca="false">$G3276*'Analyse capacite'!$F$8</f>
        <v>0</v>
      </c>
      <c r="I3276" s="135" t="n">
        <f aca="false">$G3276*'Analyse capacite'!$C$8</f>
        <v>0</v>
      </c>
      <c r="J3276" s="135" t="n">
        <f aca="false">$G3276*'Analyse capacite'!$D$8</f>
        <v>0</v>
      </c>
      <c r="K3276" s="135" t="n">
        <f aca="false">$G3276*'Analyse capacite'!$E$8</f>
        <v>0</v>
      </c>
    </row>
    <row r="3277" customFormat="false" ht="15" hidden="false" customHeight="false" outlineLevel="0" collapsed="false">
      <c r="B3277" s="130" t="n">
        <v>2027</v>
      </c>
      <c r="C3277" s="131" t="s">
        <v>248</v>
      </c>
      <c r="D3277" s="132" t="n">
        <v>46568</v>
      </c>
      <c r="E3277" s="131" t="s">
        <v>59</v>
      </c>
      <c r="F3277" s="133" t="s">
        <v>24</v>
      </c>
      <c r="G3277" s="134" t="n">
        <f aca="false">LEN('Saisie programme'!$F$123)+SUMIFS('Vols additionnels'!$E$7:$E$66,'Vols additionnels'!$C$7:$C$66,$E3277,'Vols additionnels'!$D$7:$D$66,$F3277,'Vols additionnels'!$B$7:$B$66,$D3277)</f>
        <v>1</v>
      </c>
      <c r="H3277" s="135" t="n">
        <f aca="false">$G3277*'Analyse capacite'!$F$9</f>
        <v>174</v>
      </c>
      <c r="I3277" s="135" t="n">
        <f aca="false">$G3277*'Analyse capacite'!$C$9</f>
        <v>0</v>
      </c>
      <c r="J3277" s="135" t="n">
        <f aca="false">$G3277*'Analyse capacite'!$D$9</f>
        <v>12</v>
      </c>
      <c r="K3277" s="135" t="n">
        <f aca="false">$G3277*'Analyse capacite'!$E$9</f>
        <v>162</v>
      </c>
    </row>
    <row r="3278" customFormat="false" ht="15" hidden="false" customHeight="false" outlineLevel="0" collapsed="false">
      <c r="B3278" s="130" t="n">
        <v>2027</v>
      </c>
      <c r="C3278" s="131" t="s">
        <v>248</v>
      </c>
      <c r="D3278" s="132" t="n">
        <v>46568</v>
      </c>
      <c r="E3278" s="131" t="s">
        <v>62</v>
      </c>
      <c r="F3278" s="133" t="s">
        <v>11</v>
      </c>
      <c r="G3278" s="134" t="n">
        <f aca="false">LEN('Saisie programme'!$F$124)+SUMIFS('Vols additionnels'!$E$7:$E$66,'Vols additionnels'!$C$7:$C$66,$E3278,'Vols additionnels'!$D$7:$D$66,$F3278,'Vols additionnels'!$B$7:$B$66,$D3278)</f>
        <v>0</v>
      </c>
      <c r="H3278" s="135" t="n">
        <f aca="false">$G3278*'Analyse capacite'!$F$7</f>
        <v>0</v>
      </c>
      <c r="I3278" s="135" t="n">
        <f aca="false">$G3278*'Analyse capacite'!$C$7</f>
        <v>0</v>
      </c>
      <c r="J3278" s="135" t="n">
        <f aca="false">$G3278*'Analyse capacite'!$D$7</f>
        <v>0</v>
      </c>
      <c r="K3278" s="135" t="n">
        <f aca="false">$G3278*'Analyse capacite'!$E$7</f>
        <v>0</v>
      </c>
    </row>
    <row r="3279" customFormat="false" ht="15" hidden="false" customHeight="false" outlineLevel="0" collapsed="false">
      <c r="B3279" s="130" t="n">
        <v>2027</v>
      </c>
      <c r="C3279" s="131" t="s">
        <v>248</v>
      </c>
      <c r="D3279" s="132" t="n">
        <v>46568</v>
      </c>
      <c r="E3279" s="131" t="s">
        <v>62</v>
      </c>
      <c r="F3279" s="133" t="s">
        <v>19</v>
      </c>
      <c r="G3279" s="134" t="n">
        <f aca="false">LEN('Saisie programme'!$F$125)+SUMIFS('Vols additionnels'!$E$7:$E$66,'Vols additionnels'!$C$7:$C$66,$E3279,'Vols additionnels'!$D$7:$D$66,$F3279,'Vols additionnels'!$B$7:$B$66,$D3279)</f>
        <v>0</v>
      </c>
      <c r="H3279" s="135" t="n">
        <f aca="false">$G3279*'Analyse capacite'!$F$8</f>
        <v>0</v>
      </c>
      <c r="I3279" s="135" t="n">
        <f aca="false">$G3279*'Analyse capacite'!$C$8</f>
        <v>0</v>
      </c>
      <c r="J3279" s="135" t="n">
        <f aca="false">$G3279*'Analyse capacite'!$D$8</f>
        <v>0</v>
      </c>
      <c r="K3279" s="135" t="n">
        <f aca="false">$G3279*'Analyse capacite'!$E$8</f>
        <v>0</v>
      </c>
    </row>
    <row r="3280" customFormat="false" ht="15" hidden="false" customHeight="false" outlineLevel="0" collapsed="false">
      <c r="B3280" s="130" t="n">
        <v>2027</v>
      </c>
      <c r="C3280" s="131" t="s">
        <v>248</v>
      </c>
      <c r="D3280" s="132" t="n">
        <v>46568</v>
      </c>
      <c r="E3280" s="131" t="s">
        <v>62</v>
      </c>
      <c r="F3280" s="133" t="s">
        <v>24</v>
      </c>
      <c r="G3280" s="134" t="n">
        <f aca="false">LEN('Saisie programme'!$F$126)+SUMIFS('Vols additionnels'!$E$7:$E$66,'Vols additionnels'!$C$7:$C$66,$E3280,'Vols additionnels'!$D$7:$D$66,$F3280,'Vols additionnels'!$B$7:$B$66,$D3280)</f>
        <v>1</v>
      </c>
      <c r="H3280" s="135" t="n">
        <f aca="false">$G3280*'Analyse capacite'!$F$9</f>
        <v>174</v>
      </c>
      <c r="I3280" s="135" t="n">
        <f aca="false">$G3280*'Analyse capacite'!$C$9</f>
        <v>0</v>
      </c>
      <c r="J3280" s="135" t="n">
        <f aca="false">$G3280*'Analyse capacite'!$D$9</f>
        <v>12</v>
      </c>
      <c r="K3280" s="135" t="n">
        <f aca="false">$G3280*'Analyse capacite'!$E$9</f>
        <v>162</v>
      </c>
    </row>
    <row r="3281" customFormat="false" ht="15" hidden="false" customHeight="false" outlineLevel="0" collapsed="false">
      <c r="B3281" s="130" t="n">
        <v>2027</v>
      </c>
      <c r="C3281" s="131" t="s">
        <v>249</v>
      </c>
      <c r="D3281" s="132" t="n">
        <v>46569</v>
      </c>
      <c r="E3281" s="131" t="s">
        <v>12</v>
      </c>
      <c r="F3281" s="133" t="s">
        <v>11</v>
      </c>
      <c r="G3281" s="134" t="n">
        <f aca="false">LEN('Saisie programme'!$G$130)+SUMIFS('Vols additionnels'!$E$7:$E$66,'Vols additionnels'!$C$7:$C$66,$E3281,'Vols additionnels'!$D$7:$D$66,$F3281,'Vols additionnels'!$B$7:$B$66,$D3281)</f>
        <v>1</v>
      </c>
      <c r="H3281" s="135" t="n">
        <f aca="false">$G3281*'Analyse capacite'!$F$7</f>
        <v>438</v>
      </c>
      <c r="I3281" s="135" t="n">
        <f aca="false">$G3281*'Analyse capacite'!$C$7</f>
        <v>14</v>
      </c>
      <c r="J3281" s="135" t="n">
        <f aca="false">$G3281*'Analyse capacite'!$D$7</f>
        <v>40</v>
      </c>
      <c r="K3281" s="135" t="n">
        <f aca="false">$G3281*'Analyse capacite'!$E$7</f>
        <v>384</v>
      </c>
    </row>
    <row r="3282" customFormat="false" ht="15" hidden="false" customHeight="false" outlineLevel="0" collapsed="false">
      <c r="B3282" s="130" t="n">
        <v>2027</v>
      </c>
      <c r="C3282" s="131" t="s">
        <v>249</v>
      </c>
      <c r="D3282" s="132" t="n">
        <v>46569</v>
      </c>
      <c r="E3282" s="131" t="s">
        <v>12</v>
      </c>
      <c r="F3282" s="133" t="s">
        <v>19</v>
      </c>
      <c r="G3282" s="134" t="n">
        <f aca="false">LEN('Saisie programme'!$G$131)+SUMIFS('Vols additionnels'!$E$7:$E$66,'Vols additionnels'!$C$7:$C$66,$E3282,'Vols additionnels'!$D$7:$D$66,$F3282,'Vols additionnels'!$B$7:$B$66,$D3282)</f>
        <v>0</v>
      </c>
      <c r="H3282" s="135" t="n">
        <f aca="false">$G3282*'Analyse capacite'!$F$8</f>
        <v>0</v>
      </c>
      <c r="I3282" s="135" t="n">
        <f aca="false">$G3282*'Analyse capacite'!$C$8</f>
        <v>0</v>
      </c>
      <c r="J3282" s="135" t="n">
        <f aca="false">$G3282*'Analyse capacite'!$D$8</f>
        <v>0</v>
      </c>
      <c r="K3282" s="135" t="n">
        <f aca="false">$G3282*'Analyse capacite'!$E$8</f>
        <v>0</v>
      </c>
    </row>
    <row r="3283" customFormat="false" ht="15" hidden="false" customHeight="false" outlineLevel="0" collapsed="false">
      <c r="B3283" s="130" t="n">
        <v>2027</v>
      </c>
      <c r="C3283" s="131" t="s">
        <v>249</v>
      </c>
      <c r="D3283" s="132" t="n">
        <v>46569</v>
      </c>
      <c r="E3283" s="131" t="s">
        <v>12</v>
      </c>
      <c r="F3283" s="133" t="s">
        <v>24</v>
      </c>
      <c r="G3283" s="134" t="n">
        <f aca="false">LEN('Saisie programme'!$G$132)+SUMIFS('Vols additionnels'!$E$7:$E$66,'Vols additionnels'!$C$7:$C$66,$E3283,'Vols additionnels'!$D$7:$D$66,$F3283,'Vols additionnels'!$B$7:$B$66,$D3283)</f>
        <v>0</v>
      </c>
      <c r="H3283" s="135" t="n">
        <f aca="false">$G3283*'Analyse capacite'!$F$9</f>
        <v>0</v>
      </c>
      <c r="I3283" s="135" t="n">
        <f aca="false">$G3283*'Analyse capacite'!$C$9</f>
        <v>0</v>
      </c>
      <c r="J3283" s="135" t="n">
        <f aca="false">$G3283*'Analyse capacite'!$D$9</f>
        <v>0</v>
      </c>
      <c r="K3283" s="135" t="n">
        <f aca="false">$G3283*'Analyse capacite'!$E$9</f>
        <v>0</v>
      </c>
    </row>
    <row r="3284" customFormat="false" ht="15" hidden="false" customHeight="false" outlineLevel="0" collapsed="false">
      <c r="B3284" s="130" t="n">
        <v>2027</v>
      </c>
      <c r="C3284" s="131" t="s">
        <v>249</v>
      </c>
      <c r="D3284" s="132" t="n">
        <v>46569</v>
      </c>
      <c r="E3284" s="131" t="s">
        <v>20</v>
      </c>
      <c r="F3284" s="133" t="s">
        <v>11</v>
      </c>
      <c r="G3284" s="134" t="n">
        <f aca="false">LEN('Saisie programme'!$G$133)+SUMIFS('Vols additionnels'!$E$7:$E$66,'Vols additionnels'!$C$7:$C$66,$E3284,'Vols additionnels'!$D$7:$D$66,$F3284,'Vols additionnels'!$B$7:$B$66,$D3284)</f>
        <v>0</v>
      </c>
      <c r="H3284" s="135" t="n">
        <f aca="false">$G3284*'Analyse capacite'!$F$7</f>
        <v>0</v>
      </c>
      <c r="I3284" s="135" t="n">
        <f aca="false">$G3284*'Analyse capacite'!$C$7</f>
        <v>0</v>
      </c>
      <c r="J3284" s="135" t="n">
        <f aca="false">$G3284*'Analyse capacite'!$D$7</f>
        <v>0</v>
      </c>
      <c r="K3284" s="135" t="n">
        <f aca="false">$G3284*'Analyse capacite'!$E$7</f>
        <v>0</v>
      </c>
    </row>
    <row r="3285" customFormat="false" ht="15" hidden="false" customHeight="false" outlineLevel="0" collapsed="false">
      <c r="B3285" s="130" t="n">
        <v>2027</v>
      </c>
      <c r="C3285" s="131" t="s">
        <v>249</v>
      </c>
      <c r="D3285" s="132" t="n">
        <v>46569</v>
      </c>
      <c r="E3285" s="131" t="s">
        <v>20</v>
      </c>
      <c r="F3285" s="133" t="s">
        <v>19</v>
      </c>
      <c r="G3285" s="134" t="n">
        <f aca="false">LEN('Saisie programme'!$G$134)+SUMIFS('Vols additionnels'!$E$7:$E$66,'Vols additionnels'!$C$7:$C$66,$E3285,'Vols additionnels'!$D$7:$D$66,$F3285,'Vols additionnels'!$B$7:$B$66,$D3285)</f>
        <v>0</v>
      </c>
      <c r="H3285" s="135" t="n">
        <f aca="false">$G3285*'Analyse capacite'!$F$8</f>
        <v>0</v>
      </c>
      <c r="I3285" s="135" t="n">
        <f aca="false">$G3285*'Analyse capacite'!$C$8</f>
        <v>0</v>
      </c>
      <c r="J3285" s="135" t="n">
        <f aca="false">$G3285*'Analyse capacite'!$D$8</f>
        <v>0</v>
      </c>
      <c r="K3285" s="135" t="n">
        <f aca="false">$G3285*'Analyse capacite'!$E$8</f>
        <v>0</v>
      </c>
    </row>
    <row r="3286" customFormat="false" ht="15" hidden="false" customHeight="false" outlineLevel="0" collapsed="false">
      <c r="B3286" s="130" t="n">
        <v>2027</v>
      </c>
      <c r="C3286" s="131" t="s">
        <v>249</v>
      </c>
      <c r="D3286" s="132" t="n">
        <v>46569</v>
      </c>
      <c r="E3286" s="131" t="s">
        <v>20</v>
      </c>
      <c r="F3286" s="133" t="s">
        <v>24</v>
      </c>
      <c r="G3286" s="134" t="n">
        <f aca="false">LEN('Saisie programme'!$G$135)+SUMIFS('Vols additionnels'!$E$7:$E$66,'Vols additionnels'!$C$7:$C$66,$E3286,'Vols additionnels'!$D$7:$D$66,$F3286,'Vols additionnels'!$B$7:$B$66,$D3286)</f>
        <v>0</v>
      </c>
      <c r="H3286" s="135" t="n">
        <f aca="false">$G3286*'Analyse capacite'!$F$9</f>
        <v>0</v>
      </c>
      <c r="I3286" s="135" t="n">
        <f aca="false">$G3286*'Analyse capacite'!$C$9</f>
        <v>0</v>
      </c>
      <c r="J3286" s="135" t="n">
        <f aca="false">$G3286*'Analyse capacite'!$D$9</f>
        <v>0</v>
      </c>
      <c r="K3286" s="135" t="n">
        <f aca="false">$G3286*'Analyse capacite'!$E$9</f>
        <v>0</v>
      </c>
    </row>
    <row r="3287" customFormat="false" ht="15" hidden="false" customHeight="false" outlineLevel="0" collapsed="false">
      <c r="B3287" s="130" t="n">
        <v>2027</v>
      </c>
      <c r="C3287" s="131" t="s">
        <v>249</v>
      </c>
      <c r="D3287" s="132" t="n">
        <v>46569</v>
      </c>
      <c r="E3287" s="131" t="s">
        <v>25</v>
      </c>
      <c r="F3287" s="133" t="s">
        <v>11</v>
      </c>
      <c r="G3287" s="134" t="n">
        <f aca="false">LEN('Saisie programme'!$G$136)+SUMIFS('Vols additionnels'!$E$7:$E$66,'Vols additionnels'!$C$7:$C$66,$E3287,'Vols additionnels'!$D$7:$D$66,$F3287,'Vols additionnels'!$B$7:$B$66,$D3287)</f>
        <v>0</v>
      </c>
      <c r="H3287" s="135" t="n">
        <f aca="false">$G3287*'Analyse capacite'!$F$7</f>
        <v>0</v>
      </c>
      <c r="I3287" s="135" t="n">
        <f aca="false">$G3287*'Analyse capacite'!$C$7</f>
        <v>0</v>
      </c>
      <c r="J3287" s="135" t="n">
        <f aca="false">$G3287*'Analyse capacite'!$D$7</f>
        <v>0</v>
      </c>
      <c r="K3287" s="135" t="n">
        <f aca="false">$G3287*'Analyse capacite'!$E$7</f>
        <v>0</v>
      </c>
    </row>
    <row r="3288" customFormat="false" ht="15" hidden="false" customHeight="false" outlineLevel="0" collapsed="false">
      <c r="B3288" s="130" t="n">
        <v>2027</v>
      </c>
      <c r="C3288" s="131" t="s">
        <v>249</v>
      </c>
      <c r="D3288" s="132" t="n">
        <v>46569</v>
      </c>
      <c r="E3288" s="131" t="s">
        <v>25</v>
      </c>
      <c r="F3288" s="133" t="s">
        <v>19</v>
      </c>
      <c r="G3288" s="134" t="n">
        <f aca="false">LEN('Saisie programme'!$G$137)+SUMIFS('Vols additionnels'!$E$7:$E$66,'Vols additionnels'!$C$7:$C$66,$E3288,'Vols additionnels'!$D$7:$D$66,$F3288,'Vols additionnels'!$B$7:$B$66,$D3288)</f>
        <v>0</v>
      </c>
      <c r="H3288" s="135" t="n">
        <f aca="false">$G3288*'Analyse capacite'!$F$8</f>
        <v>0</v>
      </c>
      <c r="I3288" s="135" t="n">
        <f aca="false">$G3288*'Analyse capacite'!$C$8</f>
        <v>0</v>
      </c>
      <c r="J3288" s="135" t="n">
        <f aca="false">$G3288*'Analyse capacite'!$D$8</f>
        <v>0</v>
      </c>
      <c r="K3288" s="135" t="n">
        <f aca="false">$G3288*'Analyse capacite'!$E$8</f>
        <v>0</v>
      </c>
    </row>
    <row r="3289" customFormat="false" ht="15" hidden="false" customHeight="false" outlineLevel="0" collapsed="false">
      <c r="B3289" s="130" t="n">
        <v>2027</v>
      </c>
      <c r="C3289" s="131" t="s">
        <v>249</v>
      </c>
      <c r="D3289" s="132" t="n">
        <v>46569</v>
      </c>
      <c r="E3289" s="131" t="s">
        <v>25</v>
      </c>
      <c r="F3289" s="133" t="s">
        <v>24</v>
      </c>
      <c r="G3289" s="134" t="n">
        <f aca="false">LEN('Saisie programme'!$G$138)+SUMIFS('Vols additionnels'!$E$7:$E$66,'Vols additionnels'!$C$7:$C$66,$E3289,'Vols additionnels'!$D$7:$D$66,$F3289,'Vols additionnels'!$B$7:$B$66,$D3289)</f>
        <v>0</v>
      </c>
      <c r="H3289" s="135" t="n">
        <f aca="false">$G3289*'Analyse capacite'!$F$9</f>
        <v>0</v>
      </c>
      <c r="I3289" s="135" t="n">
        <f aca="false">$G3289*'Analyse capacite'!$C$9</f>
        <v>0</v>
      </c>
      <c r="J3289" s="135" t="n">
        <f aca="false">$G3289*'Analyse capacite'!$D$9</f>
        <v>0</v>
      </c>
      <c r="K3289" s="135" t="n">
        <f aca="false">$G3289*'Analyse capacite'!$E$9</f>
        <v>0</v>
      </c>
    </row>
    <row r="3290" customFormat="false" ht="15" hidden="false" customHeight="false" outlineLevel="0" collapsed="false">
      <c r="B3290" s="130" t="n">
        <v>2027</v>
      </c>
      <c r="C3290" s="131" t="s">
        <v>249</v>
      </c>
      <c r="D3290" s="132" t="n">
        <v>46569</v>
      </c>
      <c r="E3290" s="131" t="s">
        <v>36</v>
      </c>
      <c r="F3290" s="133" t="s">
        <v>11</v>
      </c>
      <c r="G3290" s="134" t="n">
        <f aca="false">LEN('Saisie programme'!$G$139)+SUMIFS('Vols additionnels'!$E$7:$E$66,'Vols additionnels'!$C$7:$C$66,$E3290,'Vols additionnels'!$D$7:$D$66,$F3290,'Vols additionnels'!$B$7:$B$66,$D3290)</f>
        <v>0</v>
      </c>
      <c r="H3290" s="135" t="n">
        <f aca="false">$G3290*'Analyse capacite'!$F$7</f>
        <v>0</v>
      </c>
      <c r="I3290" s="135" t="n">
        <f aca="false">$G3290*'Analyse capacite'!$C$7</f>
        <v>0</v>
      </c>
      <c r="J3290" s="135" t="n">
        <f aca="false">$G3290*'Analyse capacite'!$D$7</f>
        <v>0</v>
      </c>
      <c r="K3290" s="135" t="n">
        <f aca="false">$G3290*'Analyse capacite'!$E$7</f>
        <v>0</v>
      </c>
    </row>
    <row r="3291" customFormat="false" ht="15" hidden="false" customHeight="false" outlineLevel="0" collapsed="false">
      <c r="B3291" s="130" t="n">
        <v>2027</v>
      </c>
      <c r="C3291" s="131" t="s">
        <v>249</v>
      </c>
      <c r="D3291" s="132" t="n">
        <v>46569</v>
      </c>
      <c r="E3291" s="131" t="s">
        <v>36</v>
      </c>
      <c r="F3291" s="133" t="s">
        <v>19</v>
      </c>
      <c r="G3291" s="134" t="n">
        <f aca="false">LEN('Saisie programme'!$G$140)+SUMIFS('Vols additionnels'!$E$7:$E$66,'Vols additionnels'!$C$7:$C$66,$E3291,'Vols additionnels'!$D$7:$D$66,$F3291,'Vols additionnels'!$B$7:$B$66,$D3291)</f>
        <v>0</v>
      </c>
      <c r="H3291" s="135" t="n">
        <f aca="false">$G3291*'Analyse capacite'!$F$8</f>
        <v>0</v>
      </c>
      <c r="I3291" s="135" t="n">
        <f aca="false">$G3291*'Analyse capacite'!$C$8</f>
        <v>0</v>
      </c>
      <c r="J3291" s="135" t="n">
        <f aca="false">$G3291*'Analyse capacite'!$D$8</f>
        <v>0</v>
      </c>
      <c r="K3291" s="135" t="n">
        <f aca="false">$G3291*'Analyse capacite'!$E$8</f>
        <v>0</v>
      </c>
    </row>
    <row r="3292" customFormat="false" ht="15" hidden="false" customHeight="false" outlineLevel="0" collapsed="false">
      <c r="B3292" s="130" t="n">
        <v>2027</v>
      </c>
      <c r="C3292" s="131" t="s">
        <v>249</v>
      </c>
      <c r="D3292" s="132" t="n">
        <v>46569</v>
      </c>
      <c r="E3292" s="131" t="s">
        <v>36</v>
      </c>
      <c r="F3292" s="133" t="s">
        <v>24</v>
      </c>
      <c r="G3292" s="134" t="n">
        <f aca="false">LEN('Saisie programme'!$G$141)+SUMIFS('Vols additionnels'!$E$7:$E$66,'Vols additionnels'!$C$7:$C$66,$E3292,'Vols additionnels'!$D$7:$D$66,$F3292,'Vols additionnels'!$B$7:$B$66,$D3292)</f>
        <v>1</v>
      </c>
      <c r="H3292" s="135" t="n">
        <f aca="false">$G3292*'Analyse capacite'!$F$9</f>
        <v>174</v>
      </c>
      <c r="I3292" s="135" t="n">
        <f aca="false">$G3292*'Analyse capacite'!$C$9</f>
        <v>0</v>
      </c>
      <c r="J3292" s="135" t="n">
        <f aca="false">$G3292*'Analyse capacite'!$D$9</f>
        <v>12</v>
      </c>
      <c r="K3292" s="135" t="n">
        <f aca="false">$G3292*'Analyse capacite'!$E$9</f>
        <v>162</v>
      </c>
    </row>
    <row r="3293" customFormat="false" ht="15" hidden="false" customHeight="false" outlineLevel="0" collapsed="false">
      <c r="B3293" s="130" t="n">
        <v>2027</v>
      </c>
      <c r="C3293" s="131" t="s">
        <v>249</v>
      </c>
      <c r="D3293" s="132" t="n">
        <v>46569</v>
      </c>
      <c r="E3293" s="131" t="s">
        <v>40</v>
      </c>
      <c r="F3293" s="133" t="s">
        <v>11</v>
      </c>
      <c r="G3293" s="134" t="n">
        <f aca="false">LEN('Saisie programme'!$G$142)+SUMIFS('Vols additionnels'!$E$7:$E$66,'Vols additionnels'!$C$7:$C$66,$E3293,'Vols additionnels'!$D$7:$D$66,$F3293,'Vols additionnels'!$B$7:$B$66,$D3293)</f>
        <v>0</v>
      </c>
      <c r="H3293" s="135" t="n">
        <f aca="false">$G3293*'Analyse capacite'!$F$7</f>
        <v>0</v>
      </c>
      <c r="I3293" s="135" t="n">
        <f aca="false">$G3293*'Analyse capacite'!$C$7</f>
        <v>0</v>
      </c>
      <c r="J3293" s="135" t="n">
        <f aca="false">$G3293*'Analyse capacite'!$D$7</f>
        <v>0</v>
      </c>
      <c r="K3293" s="135" t="n">
        <f aca="false">$G3293*'Analyse capacite'!$E$7</f>
        <v>0</v>
      </c>
    </row>
    <row r="3294" customFormat="false" ht="15" hidden="false" customHeight="false" outlineLevel="0" collapsed="false">
      <c r="B3294" s="130" t="n">
        <v>2027</v>
      </c>
      <c r="C3294" s="131" t="s">
        <v>249</v>
      </c>
      <c r="D3294" s="132" t="n">
        <v>46569</v>
      </c>
      <c r="E3294" s="131" t="s">
        <v>40</v>
      </c>
      <c r="F3294" s="133" t="s">
        <v>19</v>
      </c>
      <c r="G3294" s="134" t="n">
        <f aca="false">LEN('Saisie programme'!$G$143)+SUMIFS('Vols additionnels'!$E$7:$E$66,'Vols additionnels'!$C$7:$C$66,$E3294,'Vols additionnels'!$D$7:$D$66,$F3294,'Vols additionnels'!$B$7:$B$66,$D3294)</f>
        <v>0</v>
      </c>
      <c r="H3294" s="135" t="n">
        <f aca="false">$G3294*'Analyse capacite'!$F$8</f>
        <v>0</v>
      </c>
      <c r="I3294" s="135" t="n">
        <f aca="false">$G3294*'Analyse capacite'!$C$8</f>
        <v>0</v>
      </c>
      <c r="J3294" s="135" t="n">
        <f aca="false">$G3294*'Analyse capacite'!$D$8</f>
        <v>0</v>
      </c>
      <c r="K3294" s="135" t="n">
        <f aca="false">$G3294*'Analyse capacite'!$E$8</f>
        <v>0</v>
      </c>
    </row>
    <row r="3295" customFormat="false" ht="15" hidden="false" customHeight="false" outlineLevel="0" collapsed="false">
      <c r="B3295" s="130" t="n">
        <v>2027</v>
      </c>
      <c r="C3295" s="131" t="s">
        <v>249</v>
      </c>
      <c r="D3295" s="132" t="n">
        <v>46569</v>
      </c>
      <c r="E3295" s="131" t="s">
        <v>40</v>
      </c>
      <c r="F3295" s="133" t="s">
        <v>24</v>
      </c>
      <c r="G3295" s="134" t="n">
        <f aca="false">LEN('Saisie programme'!$G$144)+SUMIFS('Vols additionnels'!$E$7:$E$66,'Vols additionnels'!$C$7:$C$66,$E3295,'Vols additionnels'!$D$7:$D$66,$F3295,'Vols additionnels'!$B$7:$B$66,$D3295)</f>
        <v>0</v>
      </c>
      <c r="H3295" s="135" t="n">
        <f aca="false">$G3295*'Analyse capacite'!$F$9</f>
        <v>0</v>
      </c>
      <c r="I3295" s="135" t="n">
        <f aca="false">$G3295*'Analyse capacite'!$C$9</f>
        <v>0</v>
      </c>
      <c r="J3295" s="135" t="n">
        <f aca="false">$G3295*'Analyse capacite'!$D$9</f>
        <v>0</v>
      </c>
      <c r="K3295" s="135" t="n">
        <f aca="false">$G3295*'Analyse capacite'!$E$9</f>
        <v>0</v>
      </c>
    </row>
    <row r="3296" customFormat="false" ht="15" hidden="false" customHeight="false" outlineLevel="0" collapsed="false">
      <c r="B3296" s="130" t="n">
        <v>2027</v>
      </c>
      <c r="C3296" s="131" t="s">
        <v>249</v>
      </c>
      <c r="D3296" s="132" t="n">
        <v>46569</v>
      </c>
      <c r="E3296" s="131" t="s">
        <v>14</v>
      </c>
      <c r="F3296" s="133" t="s">
        <v>11</v>
      </c>
      <c r="G3296" s="134" t="n">
        <f aca="false">LEN('Saisie programme'!$G$145)+SUMIFS('Vols additionnels'!$E$7:$E$66,'Vols additionnels'!$C$7:$C$66,$E3296,'Vols additionnels'!$D$7:$D$66,$F3296,'Vols additionnels'!$B$7:$B$66,$D3296)</f>
        <v>0</v>
      </c>
      <c r="H3296" s="135" t="n">
        <f aca="false">$G3296*'Analyse capacite'!$F$7</f>
        <v>0</v>
      </c>
      <c r="I3296" s="135" t="n">
        <f aca="false">$G3296*'Analyse capacite'!$C$7</f>
        <v>0</v>
      </c>
      <c r="J3296" s="135" t="n">
        <f aca="false">$G3296*'Analyse capacite'!$D$7</f>
        <v>0</v>
      </c>
      <c r="K3296" s="135" t="n">
        <f aca="false">$G3296*'Analyse capacite'!$E$7</f>
        <v>0</v>
      </c>
    </row>
    <row r="3297" customFormat="false" ht="15" hidden="false" customHeight="false" outlineLevel="0" collapsed="false">
      <c r="B3297" s="130" t="n">
        <v>2027</v>
      </c>
      <c r="C3297" s="131" t="s">
        <v>249</v>
      </c>
      <c r="D3297" s="132" t="n">
        <v>46569</v>
      </c>
      <c r="E3297" s="131" t="s">
        <v>14</v>
      </c>
      <c r="F3297" s="133" t="s">
        <v>19</v>
      </c>
      <c r="G3297" s="134" t="n">
        <f aca="false">LEN('Saisie programme'!$G$146)+SUMIFS('Vols additionnels'!$E$7:$E$66,'Vols additionnels'!$C$7:$C$66,$E3297,'Vols additionnels'!$D$7:$D$66,$F3297,'Vols additionnels'!$B$7:$B$66,$D3297)</f>
        <v>0</v>
      </c>
      <c r="H3297" s="135" t="n">
        <f aca="false">$G3297*'Analyse capacite'!$F$8</f>
        <v>0</v>
      </c>
      <c r="I3297" s="135" t="n">
        <f aca="false">$G3297*'Analyse capacite'!$C$8</f>
        <v>0</v>
      </c>
      <c r="J3297" s="135" t="n">
        <f aca="false">$G3297*'Analyse capacite'!$D$8</f>
        <v>0</v>
      </c>
      <c r="K3297" s="135" t="n">
        <f aca="false">$G3297*'Analyse capacite'!$E$8</f>
        <v>0</v>
      </c>
    </row>
    <row r="3298" customFormat="false" ht="15" hidden="false" customHeight="false" outlineLevel="0" collapsed="false">
      <c r="B3298" s="130" t="n">
        <v>2027</v>
      </c>
      <c r="C3298" s="131" t="s">
        <v>249</v>
      </c>
      <c r="D3298" s="132" t="n">
        <v>46569</v>
      </c>
      <c r="E3298" s="131" t="s">
        <v>14</v>
      </c>
      <c r="F3298" s="133" t="s">
        <v>24</v>
      </c>
      <c r="G3298" s="134" t="n">
        <f aca="false">LEN('Saisie programme'!$G$147)+SUMIFS('Vols additionnels'!$E$7:$E$66,'Vols additionnels'!$C$7:$C$66,$E3298,'Vols additionnels'!$D$7:$D$66,$F3298,'Vols additionnels'!$B$7:$B$66,$D3298)</f>
        <v>1</v>
      </c>
      <c r="H3298" s="135" t="n">
        <f aca="false">$G3298*'Analyse capacite'!$F$9</f>
        <v>174</v>
      </c>
      <c r="I3298" s="135" t="n">
        <f aca="false">$G3298*'Analyse capacite'!$C$9</f>
        <v>0</v>
      </c>
      <c r="J3298" s="135" t="n">
        <f aca="false">$G3298*'Analyse capacite'!$D$9</f>
        <v>12</v>
      </c>
      <c r="K3298" s="135" t="n">
        <f aca="false">$G3298*'Analyse capacite'!$E$9</f>
        <v>162</v>
      </c>
    </row>
    <row r="3299" customFormat="false" ht="15" hidden="false" customHeight="false" outlineLevel="0" collapsed="false">
      <c r="B3299" s="130" t="n">
        <v>2027</v>
      </c>
      <c r="C3299" s="131" t="s">
        <v>249</v>
      </c>
      <c r="D3299" s="132" t="n">
        <v>46569</v>
      </c>
      <c r="E3299" s="131" t="s">
        <v>46</v>
      </c>
      <c r="F3299" s="133" t="s">
        <v>11</v>
      </c>
      <c r="G3299" s="134" t="n">
        <f aca="false">LEN('Saisie programme'!$G$148)+SUMIFS('Vols additionnels'!$E$7:$E$66,'Vols additionnels'!$C$7:$C$66,$E3299,'Vols additionnels'!$D$7:$D$66,$F3299,'Vols additionnels'!$B$7:$B$66,$D3299)</f>
        <v>0</v>
      </c>
      <c r="H3299" s="135" t="n">
        <f aca="false">$G3299*'Analyse capacite'!$F$7</f>
        <v>0</v>
      </c>
      <c r="I3299" s="135" t="n">
        <f aca="false">$G3299*'Analyse capacite'!$C$7</f>
        <v>0</v>
      </c>
      <c r="J3299" s="135" t="n">
        <f aca="false">$G3299*'Analyse capacite'!$D$7</f>
        <v>0</v>
      </c>
      <c r="K3299" s="135" t="n">
        <f aca="false">$G3299*'Analyse capacite'!$E$7</f>
        <v>0</v>
      </c>
    </row>
    <row r="3300" customFormat="false" ht="15" hidden="false" customHeight="false" outlineLevel="0" collapsed="false">
      <c r="B3300" s="130" t="n">
        <v>2027</v>
      </c>
      <c r="C3300" s="131" t="s">
        <v>249</v>
      </c>
      <c r="D3300" s="132" t="n">
        <v>46569</v>
      </c>
      <c r="E3300" s="131" t="s">
        <v>46</v>
      </c>
      <c r="F3300" s="133" t="s">
        <v>19</v>
      </c>
      <c r="G3300" s="134" t="n">
        <f aca="false">LEN('Saisie programme'!$G$149)+SUMIFS('Vols additionnels'!$E$7:$E$66,'Vols additionnels'!$C$7:$C$66,$E3300,'Vols additionnels'!$D$7:$D$66,$F3300,'Vols additionnels'!$B$7:$B$66,$D3300)</f>
        <v>0</v>
      </c>
      <c r="H3300" s="135" t="n">
        <f aca="false">$G3300*'Analyse capacite'!$F$8</f>
        <v>0</v>
      </c>
      <c r="I3300" s="135" t="n">
        <f aca="false">$G3300*'Analyse capacite'!$C$8</f>
        <v>0</v>
      </c>
      <c r="J3300" s="135" t="n">
        <f aca="false">$G3300*'Analyse capacite'!$D$8</f>
        <v>0</v>
      </c>
      <c r="K3300" s="135" t="n">
        <f aca="false">$G3300*'Analyse capacite'!$E$8</f>
        <v>0</v>
      </c>
    </row>
    <row r="3301" customFormat="false" ht="15" hidden="false" customHeight="false" outlineLevel="0" collapsed="false">
      <c r="B3301" s="130" t="n">
        <v>2027</v>
      </c>
      <c r="C3301" s="131" t="s">
        <v>249</v>
      </c>
      <c r="D3301" s="132" t="n">
        <v>46569</v>
      </c>
      <c r="E3301" s="131" t="s">
        <v>46</v>
      </c>
      <c r="F3301" s="133" t="s">
        <v>24</v>
      </c>
      <c r="G3301" s="134" t="n">
        <f aca="false">LEN('Saisie programme'!$G$150)+SUMIFS('Vols additionnels'!$E$7:$E$66,'Vols additionnels'!$C$7:$C$66,$E3301,'Vols additionnels'!$D$7:$D$66,$F3301,'Vols additionnels'!$B$7:$B$66,$D3301)</f>
        <v>1</v>
      </c>
      <c r="H3301" s="135" t="n">
        <f aca="false">$G3301*'Analyse capacite'!$F$9</f>
        <v>174</v>
      </c>
      <c r="I3301" s="135" t="n">
        <f aca="false">$G3301*'Analyse capacite'!$C$9</f>
        <v>0</v>
      </c>
      <c r="J3301" s="135" t="n">
        <f aca="false">$G3301*'Analyse capacite'!$D$9</f>
        <v>12</v>
      </c>
      <c r="K3301" s="135" t="n">
        <f aca="false">$G3301*'Analyse capacite'!$E$9</f>
        <v>162</v>
      </c>
    </row>
    <row r="3302" customFormat="false" ht="15" hidden="false" customHeight="false" outlineLevel="0" collapsed="false">
      <c r="B3302" s="130" t="n">
        <v>2027</v>
      </c>
      <c r="C3302" s="131" t="s">
        <v>249</v>
      </c>
      <c r="D3302" s="132" t="n">
        <v>46569</v>
      </c>
      <c r="E3302" s="131" t="s">
        <v>49</v>
      </c>
      <c r="F3302" s="133" t="s">
        <v>11</v>
      </c>
      <c r="G3302" s="134" t="n">
        <f aca="false">LEN('Saisie programme'!$G$151)+SUMIFS('Vols additionnels'!$E$7:$E$66,'Vols additionnels'!$C$7:$C$66,$E3302,'Vols additionnels'!$D$7:$D$66,$F3302,'Vols additionnels'!$B$7:$B$66,$D3302)</f>
        <v>0</v>
      </c>
      <c r="H3302" s="135" t="n">
        <f aca="false">$G3302*'Analyse capacite'!$F$7</f>
        <v>0</v>
      </c>
      <c r="I3302" s="135" t="n">
        <f aca="false">$G3302*'Analyse capacite'!$C$7</f>
        <v>0</v>
      </c>
      <c r="J3302" s="135" t="n">
        <f aca="false">$G3302*'Analyse capacite'!$D$7</f>
        <v>0</v>
      </c>
      <c r="K3302" s="135" t="n">
        <f aca="false">$G3302*'Analyse capacite'!$E$7</f>
        <v>0</v>
      </c>
    </row>
    <row r="3303" customFormat="false" ht="15" hidden="false" customHeight="false" outlineLevel="0" collapsed="false">
      <c r="B3303" s="130" t="n">
        <v>2027</v>
      </c>
      <c r="C3303" s="131" t="s">
        <v>249</v>
      </c>
      <c r="D3303" s="132" t="n">
        <v>46569</v>
      </c>
      <c r="E3303" s="131" t="s">
        <v>49</v>
      </c>
      <c r="F3303" s="133" t="s">
        <v>19</v>
      </c>
      <c r="G3303" s="134" t="n">
        <f aca="false">LEN('Saisie programme'!$G$152)+SUMIFS('Vols additionnels'!$E$7:$E$66,'Vols additionnels'!$C$7:$C$66,$E3303,'Vols additionnels'!$D$7:$D$66,$F3303,'Vols additionnels'!$B$7:$B$66,$D3303)</f>
        <v>0</v>
      </c>
      <c r="H3303" s="135" t="n">
        <f aca="false">$G3303*'Analyse capacite'!$F$8</f>
        <v>0</v>
      </c>
      <c r="I3303" s="135" t="n">
        <f aca="false">$G3303*'Analyse capacite'!$C$8</f>
        <v>0</v>
      </c>
      <c r="J3303" s="135" t="n">
        <f aca="false">$G3303*'Analyse capacite'!$D$8</f>
        <v>0</v>
      </c>
      <c r="K3303" s="135" t="n">
        <f aca="false">$G3303*'Analyse capacite'!$E$8</f>
        <v>0</v>
      </c>
    </row>
    <row r="3304" customFormat="false" ht="15" hidden="false" customHeight="false" outlineLevel="0" collapsed="false">
      <c r="B3304" s="130" t="n">
        <v>2027</v>
      </c>
      <c r="C3304" s="131" t="s">
        <v>249</v>
      </c>
      <c r="D3304" s="132" t="n">
        <v>46569</v>
      </c>
      <c r="E3304" s="131" t="s">
        <v>49</v>
      </c>
      <c r="F3304" s="133" t="s">
        <v>24</v>
      </c>
      <c r="G3304" s="134" t="n">
        <f aca="false">LEN('Saisie programme'!$G$153)+SUMIFS('Vols additionnels'!$E$7:$E$66,'Vols additionnels'!$C$7:$C$66,$E3304,'Vols additionnels'!$D$7:$D$66,$F3304,'Vols additionnels'!$B$7:$B$66,$D3304)</f>
        <v>0</v>
      </c>
      <c r="H3304" s="135" t="n">
        <f aca="false">$G3304*'Analyse capacite'!$F$9</f>
        <v>0</v>
      </c>
      <c r="I3304" s="135" t="n">
        <f aca="false">$G3304*'Analyse capacite'!$C$9</f>
        <v>0</v>
      </c>
      <c r="J3304" s="135" t="n">
        <f aca="false">$G3304*'Analyse capacite'!$D$9</f>
        <v>0</v>
      </c>
      <c r="K3304" s="135" t="n">
        <f aca="false">$G3304*'Analyse capacite'!$E$9</f>
        <v>0</v>
      </c>
    </row>
    <row r="3305" customFormat="false" ht="15" hidden="false" customHeight="false" outlineLevel="0" collapsed="false">
      <c r="B3305" s="130" t="n">
        <v>2027</v>
      </c>
      <c r="C3305" s="131" t="s">
        <v>249</v>
      </c>
      <c r="D3305" s="132" t="n">
        <v>46569</v>
      </c>
      <c r="E3305" s="131" t="s">
        <v>53</v>
      </c>
      <c r="F3305" s="133" t="s">
        <v>11</v>
      </c>
      <c r="G3305" s="134" t="n">
        <f aca="false">LEN('Saisie programme'!$G$154)+SUMIFS('Vols additionnels'!$E$7:$E$66,'Vols additionnels'!$C$7:$C$66,$E3305,'Vols additionnels'!$D$7:$D$66,$F3305,'Vols additionnels'!$B$7:$B$66,$D3305)</f>
        <v>0</v>
      </c>
      <c r="H3305" s="135" t="n">
        <f aca="false">$G3305*'Analyse capacite'!$F$7</f>
        <v>0</v>
      </c>
      <c r="I3305" s="135" t="n">
        <f aca="false">$G3305*'Analyse capacite'!$C$7</f>
        <v>0</v>
      </c>
      <c r="J3305" s="135" t="n">
        <f aca="false">$G3305*'Analyse capacite'!$D$7</f>
        <v>0</v>
      </c>
      <c r="K3305" s="135" t="n">
        <f aca="false">$G3305*'Analyse capacite'!$E$7</f>
        <v>0</v>
      </c>
    </row>
    <row r="3306" customFormat="false" ht="15" hidden="false" customHeight="false" outlineLevel="0" collapsed="false">
      <c r="B3306" s="130" t="n">
        <v>2027</v>
      </c>
      <c r="C3306" s="131" t="s">
        <v>249</v>
      </c>
      <c r="D3306" s="132" t="n">
        <v>46569</v>
      </c>
      <c r="E3306" s="131" t="s">
        <v>53</v>
      </c>
      <c r="F3306" s="133" t="s">
        <v>19</v>
      </c>
      <c r="G3306" s="134" t="n">
        <f aca="false">LEN('Saisie programme'!$G$155)+SUMIFS('Vols additionnels'!$E$7:$E$66,'Vols additionnels'!$C$7:$C$66,$E3306,'Vols additionnels'!$D$7:$D$66,$F3306,'Vols additionnels'!$B$7:$B$66,$D3306)</f>
        <v>1</v>
      </c>
      <c r="H3306" s="135" t="n">
        <f aca="false">$G3306*'Analyse capacite'!$F$8</f>
        <v>262</v>
      </c>
      <c r="I3306" s="135" t="n">
        <f aca="false">$G3306*'Analyse capacite'!$C$8</f>
        <v>18</v>
      </c>
      <c r="J3306" s="135" t="n">
        <f aca="false">$G3306*'Analyse capacite'!$D$8</f>
        <v>0</v>
      </c>
      <c r="K3306" s="135" t="n">
        <f aca="false">$G3306*'Analyse capacite'!$E$8</f>
        <v>244</v>
      </c>
    </row>
    <row r="3307" customFormat="false" ht="15" hidden="false" customHeight="false" outlineLevel="0" collapsed="false">
      <c r="B3307" s="130" t="n">
        <v>2027</v>
      </c>
      <c r="C3307" s="131" t="s">
        <v>249</v>
      </c>
      <c r="D3307" s="132" t="n">
        <v>46569</v>
      </c>
      <c r="E3307" s="131" t="s">
        <v>53</v>
      </c>
      <c r="F3307" s="133" t="s">
        <v>24</v>
      </c>
      <c r="G3307" s="134" t="n">
        <f aca="false">LEN('Saisie programme'!$G$156)+SUMIFS('Vols additionnels'!$E$7:$E$66,'Vols additionnels'!$C$7:$C$66,$E3307,'Vols additionnels'!$D$7:$D$66,$F3307,'Vols additionnels'!$B$7:$B$66,$D3307)</f>
        <v>0</v>
      </c>
      <c r="H3307" s="135" t="n">
        <f aca="false">$G3307*'Analyse capacite'!$F$9</f>
        <v>0</v>
      </c>
      <c r="I3307" s="135" t="n">
        <f aca="false">$G3307*'Analyse capacite'!$C$9</f>
        <v>0</v>
      </c>
      <c r="J3307" s="135" t="n">
        <f aca="false">$G3307*'Analyse capacite'!$D$9</f>
        <v>0</v>
      </c>
      <c r="K3307" s="135" t="n">
        <f aca="false">$G3307*'Analyse capacite'!$E$9</f>
        <v>0</v>
      </c>
    </row>
    <row r="3308" customFormat="false" ht="15" hidden="false" customHeight="false" outlineLevel="0" collapsed="false">
      <c r="B3308" s="130" t="n">
        <v>2027</v>
      </c>
      <c r="C3308" s="131" t="s">
        <v>249</v>
      </c>
      <c r="D3308" s="132" t="n">
        <v>46569</v>
      </c>
      <c r="E3308" s="131" t="s">
        <v>56</v>
      </c>
      <c r="F3308" s="133" t="s">
        <v>11</v>
      </c>
      <c r="G3308" s="134" t="n">
        <f aca="false">LEN('Saisie programme'!$G$157)+SUMIFS('Vols additionnels'!$E$7:$E$66,'Vols additionnels'!$C$7:$C$66,$E3308,'Vols additionnels'!$D$7:$D$66,$F3308,'Vols additionnels'!$B$7:$B$66,$D3308)</f>
        <v>0</v>
      </c>
      <c r="H3308" s="135" t="n">
        <f aca="false">$G3308*'Analyse capacite'!$F$7</f>
        <v>0</v>
      </c>
      <c r="I3308" s="135" t="n">
        <f aca="false">$G3308*'Analyse capacite'!$C$7</f>
        <v>0</v>
      </c>
      <c r="J3308" s="135" t="n">
        <f aca="false">$G3308*'Analyse capacite'!$D$7</f>
        <v>0</v>
      </c>
      <c r="K3308" s="135" t="n">
        <f aca="false">$G3308*'Analyse capacite'!$E$7</f>
        <v>0</v>
      </c>
    </row>
    <row r="3309" customFormat="false" ht="15" hidden="false" customHeight="false" outlineLevel="0" collapsed="false">
      <c r="B3309" s="130" t="n">
        <v>2027</v>
      </c>
      <c r="C3309" s="131" t="s">
        <v>249</v>
      </c>
      <c r="D3309" s="132" t="n">
        <v>46569</v>
      </c>
      <c r="E3309" s="131" t="s">
        <v>56</v>
      </c>
      <c r="F3309" s="133" t="s">
        <v>19</v>
      </c>
      <c r="G3309" s="134" t="n">
        <f aca="false">LEN('Saisie programme'!$G$158)+SUMIFS('Vols additionnels'!$E$7:$E$66,'Vols additionnels'!$C$7:$C$66,$E3309,'Vols additionnels'!$D$7:$D$66,$F3309,'Vols additionnels'!$B$7:$B$66,$D3309)</f>
        <v>0</v>
      </c>
      <c r="H3309" s="135" t="n">
        <f aca="false">$G3309*'Analyse capacite'!$F$8</f>
        <v>0</v>
      </c>
      <c r="I3309" s="135" t="n">
        <f aca="false">$G3309*'Analyse capacite'!$C$8</f>
        <v>0</v>
      </c>
      <c r="J3309" s="135" t="n">
        <f aca="false">$G3309*'Analyse capacite'!$D$8</f>
        <v>0</v>
      </c>
      <c r="K3309" s="135" t="n">
        <f aca="false">$G3309*'Analyse capacite'!$E$8</f>
        <v>0</v>
      </c>
    </row>
    <row r="3310" customFormat="false" ht="15" hidden="false" customHeight="false" outlineLevel="0" collapsed="false">
      <c r="B3310" s="130" t="n">
        <v>2027</v>
      </c>
      <c r="C3310" s="131" t="s">
        <v>249</v>
      </c>
      <c r="D3310" s="132" t="n">
        <v>46569</v>
      </c>
      <c r="E3310" s="131" t="s">
        <v>56</v>
      </c>
      <c r="F3310" s="133" t="s">
        <v>24</v>
      </c>
      <c r="G3310" s="134" t="n">
        <f aca="false">LEN('Saisie programme'!$G$159)+SUMIFS('Vols additionnels'!$E$7:$E$66,'Vols additionnels'!$C$7:$C$66,$E3310,'Vols additionnels'!$D$7:$D$66,$F3310,'Vols additionnels'!$B$7:$B$66,$D3310)</f>
        <v>0</v>
      </c>
      <c r="H3310" s="135" t="n">
        <f aca="false">$G3310*'Analyse capacite'!$F$9</f>
        <v>0</v>
      </c>
      <c r="I3310" s="135" t="n">
        <f aca="false">$G3310*'Analyse capacite'!$C$9</f>
        <v>0</v>
      </c>
      <c r="J3310" s="135" t="n">
        <f aca="false">$G3310*'Analyse capacite'!$D$9</f>
        <v>0</v>
      </c>
      <c r="K3310" s="135" t="n">
        <f aca="false">$G3310*'Analyse capacite'!$E$9</f>
        <v>0</v>
      </c>
    </row>
    <row r="3311" customFormat="false" ht="15" hidden="false" customHeight="false" outlineLevel="0" collapsed="false">
      <c r="B3311" s="130" t="n">
        <v>2027</v>
      </c>
      <c r="C3311" s="131" t="s">
        <v>249</v>
      </c>
      <c r="D3311" s="132" t="n">
        <v>46569</v>
      </c>
      <c r="E3311" s="131" t="s">
        <v>59</v>
      </c>
      <c r="F3311" s="133" t="s">
        <v>11</v>
      </c>
      <c r="G3311" s="134" t="n">
        <f aca="false">LEN('Saisie programme'!$G$160)+SUMIFS('Vols additionnels'!$E$7:$E$66,'Vols additionnels'!$C$7:$C$66,$E3311,'Vols additionnels'!$D$7:$D$66,$F3311,'Vols additionnels'!$B$7:$B$66,$D3311)</f>
        <v>0</v>
      </c>
      <c r="H3311" s="135" t="n">
        <f aca="false">$G3311*'Analyse capacite'!$F$7</f>
        <v>0</v>
      </c>
      <c r="I3311" s="135" t="n">
        <f aca="false">$G3311*'Analyse capacite'!$C$7</f>
        <v>0</v>
      </c>
      <c r="J3311" s="135" t="n">
        <f aca="false">$G3311*'Analyse capacite'!$D$7</f>
        <v>0</v>
      </c>
      <c r="K3311" s="135" t="n">
        <f aca="false">$G3311*'Analyse capacite'!$E$7</f>
        <v>0</v>
      </c>
    </row>
    <row r="3312" customFormat="false" ht="15" hidden="false" customHeight="false" outlineLevel="0" collapsed="false">
      <c r="B3312" s="130" t="n">
        <v>2027</v>
      </c>
      <c r="C3312" s="131" t="s">
        <v>249</v>
      </c>
      <c r="D3312" s="132" t="n">
        <v>46569</v>
      </c>
      <c r="E3312" s="131" t="s">
        <v>59</v>
      </c>
      <c r="F3312" s="133" t="s">
        <v>19</v>
      </c>
      <c r="G3312" s="134" t="n">
        <f aca="false">LEN('Saisie programme'!$G$161)+SUMIFS('Vols additionnels'!$E$7:$E$66,'Vols additionnels'!$C$7:$C$66,$E3312,'Vols additionnels'!$D$7:$D$66,$F3312,'Vols additionnels'!$B$7:$B$66,$D3312)</f>
        <v>0</v>
      </c>
      <c r="H3312" s="135" t="n">
        <f aca="false">$G3312*'Analyse capacite'!$F$8</f>
        <v>0</v>
      </c>
      <c r="I3312" s="135" t="n">
        <f aca="false">$G3312*'Analyse capacite'!$C$8</f>
        <v>0</v>
      </c>
      <c r="J3312" s="135" t="n">
        <f aca="false">$G3312*'Analyse capacite'!$D$8</f>
        <v>0</v>
      </c>
      <c r="K3312" s="135" t="n">
        <f aca="false">$G3312*'Analyse capacite'!$E$8</f>
        <v>0</v>
      </c>
    </row>
    <row r="3313" customFormat="false" ht="15" hidden="false" customHeight="false" outlineLevel="0" collapsed="false">
      <c r="B3313" s="130" t="n">
        <v>2027</v>
      </c>
      <c r="C3313" s="131" t="s">
        <v>249</v>
      </c>
      <c r="D3313" s="132" t="n">
        <v>46569</v>
      </c>
      <c r="E3313" s="131" t="s">
        <v>59</v>
      </c>
      <c r="F3313" s="133" t="s">
        <v>24</v>
      </c>
      <c r="G3313" s="134" t="n">
        <f aca="false">LEN('Saisie programme'!$G$162)+SUMIFS('Vols additionnels'!$E$7:$E$66,'Vols additionnels'!$C$7:$C$66,$E3313,'Vols additionnels'!$D$7:$D$66,$F3313,'Vols additionnels'!$B$7:$B$66,$D3313)</f>
        <v>2</v>
      </c>
      <c r="H3313" s="135" t="n">
        <f aca="false">$G3313*'Analyse capacite'!$F$9</f>
        <v>348</v>
      </c>
      <c r="I3313" s="135" t="n">
        <f aca="false">$G3313*'Analyse capacite'!$C$9</f>
        <v>0</v>
      </c>
      <c r="J3313" s="135" t="n">
        <f aca="false">$G3313*'Analyse capacite'!$D$9</f>
        <v>24</v>
      </c>
      <c r="K3313" s="135" t="n">
        <f aca="false">$G3313*'Analyse capacite'!$E$9</f>
        <v>324</v>
      </c>
    </row>
    <row r="3314" customFormat="false" ht="15" hidden="false" customHeight="false" outlineLevel="0" collapsed="false">
      <c r="B3314" s="130" t="n">
        <v>2027</v>
      </c>
      <c r="C3314" s="131" t="s">
        <v>249</v>
      </c>
      <c r="D3314" s="132" t="n">
        <v>46569</v>
      </c>
      <c r="E3314" s="131" t="s">
        <v>62</v>
      </c>
      <c r="F3314" s="133" t="s">
        <v>11</v>
      </c>
      <c r="G3314" s="134" t="n">
        <f aca="false">LEN('Saisie programme'!$G$163)+SUMIFS('Vols additionnels'!$E$7:$E$66,'Vols additionnels'!$C$7:$C$66,$E3314,'Vols additionnels'!$D$7:$D$66,$F3314,'Vols additionnels'!$B$7:$B$66,$D3314)</f>
        <v>0</v>
      </c>
      <c r="H3314" s="135" t="n">
        <f aca="false">$G3314*'Analyse capacite'!$F$7</f>
        <v>0</v>
      </c>
      <c r="I3314" s="135" t="n">
        <f aca="false">$G3314*'Analyse capacite'!$C$7</f>
        <v>0</v>
      </c>
      <c r="J3314" s="135" t="n">
        <f aca="false">$G3314*'Analyse capacite'!$D$7</f>
        <v>0</v>
      </c>
      <c r="K3314" s="135" t="n">
        <f aca="false">$G3314*'Analyse capacite'!$E$7</f>
        <v>0</v>
      </c>
    </row>
    <row r="3315" customFormat="false" ht="15" hidden="false" customHeight="false" outlineLevel="0" collapsed="false">
      <c r="B3315" s="130" t="n">
        <v>2027</v>
      </c>
      <c r="C3315" s="131" t="s">
        <v>249</v>
      </c>
      <c r="D3315" s="132" t="n">
        <v>46569</v>
      </c>
      <c r="E3315" s="131" t="s">
        <v>62</v>
      </c>
      <c r="F3315" s="133" t="s">
        <v>19</v>
      </c>
      <c r="G3315" s="134" t="n">
        <f aca="false">LEN('Saisie programme'!$G$164)+SUMIFS('Vols additionnels'!$E$7:$E$66,'Vols additionnels'!$C$7:$C$66,$E3315,'Vols additionnels'!$D$7:$D$66,$F3315,'Vols additionnels'!$B$7:$B$66,$D3315)</f>
        <v>0</v>
      </c>
      <c r="H3315" s="135" t="n">
        <f aca="false">$G3315*'Analyse capacite'!$F$8</f>
        <v>0</v>
      </c>
      <c r="I3315" s="135" t="n">
        <f aca="false">$G3315*'Analyse capacite'!$C$8</f>
        <v>0</v>
      </c>
      <c r="J3315" s="135" t="n">
        <f aca="false">$G3315*'Analyse capacite'!$D$8</f>
        <v>0</v>
      </c>
      <c r="K3315" s="135" t="n">
        <f aca="false">$G3315*'Analyse capacite'!$E$8</f>
        <v>0</v>
      </c>
    </row>
    <row r="3316" customFormat="false" ht="15" hidden="false" customHeight="false" outlineLevel="0" collapsed="false">
      <c r="B3316" s="130" t="n">
        <v>2027</v>
      </c>
      <c r="C3316" s="131" t="s">
        <v>249</v>
      </c>
      <c r="D3316" s="132" t="n">
        <v>46569</v>
      </c>
      <c r="E3316" s="131" t="s">
        <v>62</v>
      </c>
      <c r="F3316" s="133" t="s">
        <v>24</v>
      </c>
      <c r="G3316" s="134" t="n">
        <f aca="false">LEN('Saisie programme'!$G$165)+SUMIFS('Vols additionnels'!$E$7:$E$66,'Vols additionnels'!$C$7:$C$66,$E3316,'Vols additionnels'!$D$7:$D$66,$F3316,'Vols additionnels'!$B$7:$B$66,$D3316)</f>
        <v>0</v>
      </c>
      <c r="H3316" s="135" t="n">
        <f aca="false">$G3316*'Analyse capacite'!$F$9</f>
        <v>0</v>
      </c>
      <c r="I3316" s="135" t="n">
        <f aca="false">$G3316*'Analyse capacite'!$C$9</f>
        <v>0</v>
      </c>
      <c r="J3316" s="135" t="n">
        <f aca="false">$G3316*'Analyse capacite'!$D$9</f>
        <v>0</v>
      </c>
      <c r="K3316" s="135" t="n">
        <f aca="false">$G3316*'Analyse capacite'!$E$9</f>
        <v>0</v>
      </c>
    </row>
    <row r="3317" customFormat="false" ht="15" hidden="false" customHeight="false" outlineLevel="0" collapsed="false">
      <c r="B3317" s="130" t="n">
        <v>2027</v>
      </c>
      <c r="C3317" s="131" t="s">
        <v>249</v>
      </c>
      <c r="D3317" s="132" t="n">
        <v>46570</v>
      </c>
      <c r="E3317" s="131" t="s">
        <v>12</v>
      </c>
      <c r="F3317" s="133" t="s">
        <v>11</v>
      </c>
      <c r="G3317" s="134" t="n">
        <f aca="false">LEN('Saisie programme'!$H$130)+SUMIFS('Vols additionnels'!$E$7:$E$66,'Vols additionnels'!$C$7:$C$66,$E3317,'Vols additionnels'!$D$7:$D$66,$F3317,'Vols additionnels'!$B$7:$B$66,$D3317)</f>
        <v>1</v>
      </c>
      <c r="H3317" s="135" t="n">
        <f aca="false">$G3317*'Analyse capacite'!$F$7</f>
        <v>438</v>
      </c>
      <c r="I3317" s="135" t="n">
        <f aca="false">$G3317*'Analyse capacite'!$C$7</f>
        <v>14</v>
      </c>
      <c r="J3317" s="135" t="n">
        <f aca="false">$G3317*'Analyse capacite'!$D$7</f>
        <v>40</v>
      </c>
      <c r="K3317" s="135" t="n">
        <f aca="false">$G3317*'Analyse capacite'!$E$7</f>
        <v>384</v>
      </c>
    </row>
    <row r="3318" customFormat="false" ht="15" hidden="false" customHeight="false" outlineLevel="0" collapsed="false">
      <c r="B3318" s="130" t="n">
        <v>2027</v>
      </c>
      <c r="C3318" s="131" t="s">
        <v>249</v>
      </c>
      <c r="D3318" s="132" t="n">
        <v>46570</v>
      </c>
      <c r="E3318" s="131" t="s">
        <v>12</v>
      </c>
      <c r="F3318" s="133" t="s">
        <v>19</v>
      </c>
      <c r="G3318" s="134" t="n">
        <f aca="false">LEN('Saisie programme'!$H$131)+SUMIFS('Vols additionnels'!$E$7:$E$66,'Vols additionnels'!$C$7:$C$66,$E3318,'Vols additionnels'!$D$7:$D$66,$F3318,'Vols additionnels'!$B$7:$B$66,$D3318)</f>
        <v>1</v>
      </c>
      <c r="H3318" s="135" t="n">
        <f aca="false">$G3318*'Analyse capacite'!$F$8</f>
        <v>262</v>
      </c>
      <c r="I3318" s="135" t="n">
        <f aca="false">$G3318*'Analyse capacite'!$C$8</f>
        <v>18</v>
      </c>
      <c r="J3318" s="135" t="n">
        <f aca="false">$G3318*'Analyse capacite'!$D$8</f>
        <v>0</v>
      </c>
      <c r="K3318" s="135" t="n">
        <f aca="false">$G3318*'Analyse capacite'!$E$8</f>
        <v>244</v>
      </c>
    </row>
    <row r="3319" customFormat="false" ht="15" hidden="false" customHeight="false" outlineLevel="0" collapsed="false">
      <c r="B3319" s="130" t="n">
        <v>2027</v>
      </c>
      <c r="C3319" s="131" t="s">
        <v>249</v>
      </c>
      <c r="D3319" s="132" t="n">
        <v>46570</v>
      </c>
      <c r="E3319" s="131" t="s">
        <v>12</v>
      </c>
      <c r="F3319" s="133" t="s">
        <v>24</v>
      </c>
      <c r="G3319" s="134" t="n">
        <f aca="false">LEN('Saisie programme'!$H$132)+SUMIFS('Vols additionnels'!$E$7:$E$66,'Vols additionnels'!$C$7:$C$66,$E3319,'Vols additionnels'!$D$7:$D$66,$F3319,'Vols additionnels'!$B$7:$B$66,$D3319)</f>
        <v>0</v>
      </c>
      <c r="H3319" s="135" t="n">
        <f aca="false">$G3319*'Analyse capacite'!$F$9</f>
        <v>0</v>
      </c>
      <c r="I3319" s="135" t="n">
        <f aca="false">$G3319*'Analyse capacite'!$C$9</f>
        <v>0</v>
      </c>
      <c r="J3319" s="135" t="n">
        <f aca="false">$G3319*'Analyse capacite'!$D$9</f>
        <v>0</v>
      </c>
      <c r="K3319" s="135" t="n">
        <f aca="false">$G3319*'Analyse capacite'!$E$9</f>
        <v>0</v>
      </c>
    </row>
    <row r="3320" customFormat="false" ht="15" hidden="false" customHeight="false" outlineLevel="0" collapsed="false">
      <c r="B3320" s="130" t="n">
        <v>2027</v>
      </c>
      <c r="C3320" s="131" t="s">
        <v>249</v>
      </c>
      <c r="D3320" s="132" t="n">
        <v>46570</v>
      </c>
      <c r="E3320" s="131" t="s">
        <v>20</v>
      </c>
      <c r="F3320" s="133" t="s">
        <v>11</v>
      </c>
      <c r="G3320" s="134" t="n">
        <f aca="false">LEN('Saisie programme'!$H$133)+SUMIFS('Vols additionnels'!$E$7:$E$66,'Vols additionnels'!$C$7:$C$66,$E3320,'Vols additionnels'!$D$7:$D$66,$F3320,'Vols additionnels'!$B$7:$B$66,$D3320)</f>
        <v>0</v>
      </c>
      <c r="H3320" s="135" t="n">
        <f aca="false">$G3320*'Analyse capacite'!$F$7</f>
        <v>0</v>
      </c>
      <c r="I3320" s="135" t="n">
        <f aca="false">$G3320*'Analyse capacite'!$C$7</f>
        <v>0</v>
      </c>
      <c r="J3320" s="135" t="n">
        <f aca="false">$G3320*'Analyse capacite'!$D$7</f>
        <v>0</v>
      </c>
      <c r="K3320" s="135" t="n">
        <f aca="false">$G3320*'Analyse capacite'!$E$7</f>
        <v>0</v>
      </c>
    </row>
    <row r="3321" customFormat="false" ht="15" hidden="false" customHeight="false" outlineLevel="0" collapsed="false">
      <c r="B3321" s="130" t="n">
        <v>2027</v>
      </c>
      <c r="C3321" s="131" t="s">
        <v>249</v>
      </c>
      <c r="D3321" s="132" t="n">
        <v>46570</v>
      </c>
      <c r="E3321" s="131" t="s">
        <v>20</v>
      </c>
      <c r="F3321" s="133" t="s">
        <v>19</v>
      </c>
      <c r="G3321" s="134" t="n">
        <f aca="false">LEN('Saisie programme'!$H$134)+SUMIFS('Vols additionnels'!$E$7:$E$66,'Vols additionnels'!$C$7:$C$66,$E3321,'Vols additionnels'!$D$7:$D$66,$F3321,'Vols additionnels'!$B$7:$B$66,$D3321)</f>
        <v>1</v>
      </c>
      <c r="H3321" s="135" t="n">
        <f aca="false">$G3321*'Analyse capacite'!$F$8</f>
        <v>262</v>
      </c>
      <c r="I3321" s="135" t="n">
        <f aca="false">$G3321*'Analyse capacite'!$C$8</f>
        <v>18</v>
      </c>
      <c r="J3321" s="135" t="n">
        <f aca="false">$G3321*'Analyse capacite'!$D$8</f>
        <v>0</v>
      </c>
      <c r="K3321" s="135" t="n">
        <f aca="false">$G3321*'Analyse capacite'!$E$8</f>
        <v>244</v>
      </c>
    </row>
    <row r="3322" customFormat="false" ht="15" hidden="false" customHeight="false" outlineLevel="0" collapsed="false">
      <c r="B3322" s="130" t="n">
        <v>2027</v>
      </c>
      <c r="C3322" s="131" t="s">
        <v>249</v>
      </c>
      <c r="D3322" s="132" t="n">
        <v>46570</v>
      </c>
      <c r="E3322" s="131" t="s">
        <v>20</v>
      </c>
      <c r="F3322" s="133" t="s">
        <v>24</v>
      </c>
      <c r="G3322" s="134" t="n">
        <f aca="false">LEN('Saisie programme'!$H$135)+SUMIFS('Vols additionnels'!$E$7:$E$66,'Vols additionnels'!$C$7:$C$66,$E3322,'Vols additionnels'!$D$7:$D$66,$F3322,'Vols additionnels'!$B$7:$B$66,$D3322)</f>
        <v>0</v>
      </c>
      <c r="H3322" s="135" t="n">
        <f aca="false">$G3322*'Analyse capacite'!$F$9</f>
        <v>0</v>
      </c>
      <c r="I3322" s="135" t="n">
        <f aca="false">$G3322*'Analyse capacite'!$C$9</f>
        <v>0</v>
      </c>
      <c r="J3322" s="135" t="n">
        <f aca="false">$G3322*'Analyse capacite'!$D$9</f>
        <v>0</v>
      </c>
      <c r="K3322" s="135" t="n">
        <f aca="false">$G3322*'Analyse capacite'!$E$9</f>
        <v>0</v>
      </c>
    </row>
    <row r="3323" customFormat="false" ht="15" hidden="false" customHeight="false" outlineLevel="0" collapsed="false">
      <c r="B3323" s="130" t="n">
        <v>2027</v>
      </c>
      <c r="C3323" s="131" t="s">
        <v>249</v>
      </c>
      <c r="D3323" s="132" t="n">
        <v>46570</v>
      </c>
      <c r="E3323" s="131" t="s">
        <v>25</v>
      </c>
      <c r="F3323" s="133" t="s">
        <v>11</v>
      </c>
      <c r="G3323" s="134" t="n">
        <f aca="false">LEN('Saisie programme'!$H$136)+SUMIFS('Vols additionnels'!$E$7:$E$66,'Vols additionnels'!$C$7:$C$66,$E3323,'Vols additionnels'!$D$7:$D$66,$F3323,'Vols additionnels'!$B$7:$B$66,$D3323)</f>
        <v>0</v>
      </c>
      <c r="H3323" s="135" t="n">
        <f aca="false">$G3323*'Analyse capacite'!$F$7</f>
        <v>0</v>
      </c>
      <c r="I3323" s="135" t="n">
        <f aca="false">$G3323*'Analyse capacite'!$C$7</f>
        <v>0</v>
      </c>
      <c r="J3323" s="135" t="n">
        <f aca="false">$G3323*'Analyse capacite'!$D$7</f>
        <v>0</v>
      </c>
      <c r="K3323" s="135" t="n">
        <f aca="false">$G3323*'Analyse capacite'!$E$7</f>
        <v>0</v>
      </c>
    </row>
    <row r="3324" customFormat="false" ht="15" hidden="false" customHeight="false" outlineLevel="0" collapsed="false">
      <c r="B3324" s="130" t="n">
        <v>2027</v>
      </c>
      <c r="C3324" s="131" t="s">
        <v>249</v>
      </c>
      <c r="D3324" s="132" t="n">
        <v>46570</v>
      </c>
      <c r="E3324" s="131" t="s">
        <v>25</v>
      </c>
      <c r="F3324" s="133" t="s">
        <v>19</v>
      </c>
      <c r="G3324" s="134" t="n">
        <f aca="false">LEN('Saisie programme'!$H$137)+SUMIFS('Vols additionnels'!$E$7:$E$66,'Vols additionnels'!$C$7:$C$66,$E3324,'Vols additionnels'!$D$7:$D$66,$F3324,'Vols additionnels'!$B$7:$B$66,$D3324)</f>
        <v>0</v>
      </c>
      <c r="H3324" s="135" t="n">
        <f aca="false">$G3324*'Analyse capacite'!$F$8</f>
        <v>0</v>
      </c>
      <c r="I3324" s="135" t="n">
        <f aca="false">$G3324*'Analyse capacite'!$C$8</f>
        <v>0</v>
      </c>
      <c r="J3324" s="135" t="n">
        <f aca="false">$G3324*'Analyse capacite'!$D$8</f>
        <v>0</v>
      </c>
      <c r="K3324" s="135" t="n">
        <f aca="false">$G3324*'Analyse capacite'!$E$8</f>
        <v>0</v>
      </c>
    </row>
    <row r="3325" customFormat="false" ht="15" hidden="false" customHeight="false" outlineLevel="0" collapsed="false">
      <c r="B3325" s="130" t="n">
        <v>2027</v>
      </c>
      <c r="C3325" s="131" t="s">
        <v>249</v>
      </c>
      <c r="D3325" s="132" t="n">
        <v>46570</v>
      </c>
      <c r="E3325" s="131" t="s">
        <v>25</v>
      </c>
      <c r="F3325" s="133" t="s">
        <v>24</v>
      </c>
      <c r="G3325" s="134" t="n">
        <f aca="false">LEN('Saisie programme'!$H$138)+SUMIFS('Vols additionnels'!$E$7:$E$66,'Vols additionnels'!$C$7:$C$66,$E3325,'Vols additionnels'!$D$7:$D$66,$F3325,'Vols additionnels'!$B$7:$B$66,$D3325)</f>
        <v>0</v>
      </c>
      <c r="H3325" s="135" t="n">
        <f aca="false">$G3325*'Analyse capacite'!$F$9</f>
        <v>0</v>
      </c>
      <c r="I3325" s="135" t="n">
        <f aca="false">$G3325*'Analyse capacite'!$C$9</f>
        <v>0</v>
      </c>
      <c r="J3325" s="135" t="n">
        <f aca="false">$G3325*'Analyse capacite'!$D$9</f>
        <v>0</v>
      </c>
      <c r="K3325" s="135" t="n">
        <f aca="false">$G3325*'Analyse capacite'!$E$9</f>
        <v>0</v>
      </c>
    </row>
    <row r="3326" customFormat="false" ht="15" hidden="false" customHeight="false" outlineLevel="0" collapsed="false">
      <c r="B3326" s="130" t="n">
        <v>2027</v>
      </c>
      <c r="C3326" s="131" t="s">
        <v>249</v>
      </c>
      <c r="D3326" s="132" t="n">
        <v>46570</v>
      </c>
      <c r="E3326" s="131" t="s">
        <v>36</v>
      </c>
      <c r="F3326" s="133" t="s">
        <v>11</v>
      </c>
      <c r="G3326" s="134" t="n">
        <f aca="false">LEN('Saisie programme'!$H$139)+SUMIFS('Vols additionnels'!$E$7:$E$66,'Vols additionnels'!$C$7:$C$66,$E3326,'Vols additionnels'!$D$7:$D$66,$F3326,'Vols additionnels'!$B$7:$B$66,$D3326)</f>
        <v>0</v>
      </c>
      <c r="H3326" s="135" t="n">
        <f aca="false">$G3326*'Analyse capacite'!$F$7</f>
        <v>0</v>
      </c>
      <c r="I3326" s="135" t="n">
        <f aca="false">$G3326*'Analyse capacite'!$C$7</f>
        <v>0</v>
      </c>
      <c r="J3326" s="135" t="n">
        <f aca="false">$G3326*'Analyse capacite'!$D$7</f>
        <v>0</v>
      </c>
      <c r="K3326" s="135" t="n">
        <f aca="false">$G3326*'Analyse capacite'!$E$7</f>
        <v>0</v>
      </c>
    </row>
    <row r="3327" customFormat="false" ht="15" hidden="false" customHeight="false" outlineLevel="0" collapsed="false">
      <c r="B3327" s="130" t="n">
        <v>2027</v>
      </c>
      <c r="C3327" s="131" t="s">
        <v>249</v>
      </c>
      <c r="D3327" s="132" t="n">
        <v>46570</v>
      </c>
      <c r="E3327" s="131" t="s">
        <v>36</v>
      </c>
      <c r="F3327" s="133" t="s">
        <v>19</v>
      </c>
      <c r="G3327" s="134" t="n">
        <f aca="false">LEN('Saisie programme'!$H$140)+SUMIFS('Vols additionnels'!$E$7:$E$66,'Vols additionnels'!$C$7:$C$66,$E3327,'Vols additionnels'!$D$7:$D$66,$F3327,'Vols additionnels'!$B$7:$B$66,$D3327)</f>
        <v>0</v>
      </c>
      <c r="H3327" s="135" t="n">
        <f aca="false">$G3327*'Analyse capacite'!$F$8</f>
        <v>0</v>
      </c>
      <c r="I3327" s="135" t="n">
        <f aca="false">$G3327*'Analyse capacite'!$C$8</f>
        <v>0</v>
      </c>
      <c r="J3327" s="135" t="n">
        <f aca="false">$G3327*'Analyse capacite'!$D$8</f>
        <v>0</v>
      </c>
      <c r="K3327" s="135" t="n">
        <f aca="false">$G3327*'Analyse capacite'!$E$8</f>
        <v>0</v>
      </c>
    </row>
    <row r="3328" customFormat="false" ht="15" hidden="false" customHeight="false" outlineLevel="0" collapsed="false">
      <c r="B3328" s="130" t="n">
        <v>2027</v>
      </c>
      <c r="C3328" s="131" t="s">
        <v>249</v>
      </c>
      <c r="D3328" s="132" t="n">
        <v>46570</v>
      </c>
      <c r="E3328" s="131" t="s">
        <v>36</v>
      </c>
      <c r="F3328" s="133" t="s">
        <v>24</v>
      </c>
      <c r="G3328" s="134" t="n">
        <f aca="false">LEN('Saisie programme'!$H$141)+SUMIFS('Vols additionnels'!$E$7:$E$66,'Vols additionnels'!$C$7:$C$66,$E3328,'Vols additionnels'!$D$7:$D$66,$F3328,'Vols additionnels'!$B$7:$B$66,$D3328)</f>
        <v>1</v>
      </c>
      <c r="H3328" s="135" t="n">
        <f aca="false">$G3328*'Analyse capacite'!$F$9</f>
        <v>174</v>
      </c>
      <c r="I3328" s="135" t="n">
        <f aca="false">$G3328*'Analyse capacite'!$C$9</f>
        <v>0</v>
      </c>
      <c r="J3328" s="135" t="n">
        <f aca="false">$G3328*'Analyse capacite'!$D$9</f>
        <v>12</v>
      </c>
      <c r="K3328" s="135" t="n">
        <f aca="false">$G3328*'Analyse capacite'!$E$9</f>
        <v>162</v>
      </c>
    </row>
    <row r="3329" customFormat="false" ht="15" hidden="false" customHeight="false" outlineLevel="0" collapsed="false">
      <c r="B3329" s="130" t="n">
        <v>2027</v>
      </c>
      <c r="C3329" s="131" t="s">
        <v>249</v>
      </c>
      <c r="D3329" s="132" t="n">
        <v>46570</v>
      </c>
      <c r="E3329" s="131" t="s">
        <v>40</v>
      </c>
      <c r="F3329" s="133" t="s">
        <v>11</v>
      </c>
      <c r="G3329" s="134" t="n">
        <f aca="false">LEN('Saisie programme'!$H$142)+SUMIFS('Vols additionnels'!$E$7:$E$66,'Vols additionnels'!$C$7:$C$66,$E3329,'Vols additionnels'!$D$7:$D$66,$F3329,'Vols additionnels'!$B$7:$B$66,$D3329)</f>
        <v>0</v>
      </c>
      <c r="H3329" s="135" t="n">
        <f aca="false">$G3329*'Analyse capacite'!$F$7</f>
        <v>0</v>
      </c>
      <c r="I3329" s="135" t="n">
        <f aca="false">$G3329*'Analyse capacite'!$C$7</f>
        <v>0</v>
      </c>
      <c r="J3329" s="135" t="n">
        <f aca="false">$G3329*'Analyse capacite'!$D$7</f>
        <v>0</v>
      </c>
      <c r="K3329" s="135" t="n">
        <f aca="false">$G3329*'Analyse capacite'!$E$7</f>
        <v>0</v>
      </c>
    </row>
    <row r="3330" customFormat="false" ht="15" hidden="false" customHeight="false" outlineLevel="0" collapsed="false">
      <c r="B3330" s="130" t="n">
        <v>2027</v>
      </c>
      <c r="C3330" s="131" t="s">
        <v>249</v>
      </c>
      <c r="D3330" s="132" t="n">
        <v>46570</v>
      </c>
      <c r="E3330" s="131" t="s">
        <v>40</v>
      </c>
      <c r="F3330" s="133" t="s">
        <v>19</v>
      </c>
      <c r="G3330" s="134" t="n">
        <f aca="false">LEN('Saisie programme'!$H$143)+SUMIFS('Vols additionnels'!$E$7:$E$66,'Vols additionnels'!$C$7:$C$66,$E3330,'Vols additionnels'!$D$7:$D$66,$F3330,'Vols additionnels'!$B$7:$B$66,$D3330)</f>
        <v>0</v>
      </c>
      <c r="H3330" s="135" t="n">
        <f aca="false">$G3330*'Analyse capacite'!$F$8</f>
        <v>0</v>
      </c>
      <c r="I3330" s="135" t="n">
        <f aca="false">$G3330*'Analyse capacite'!$C$8</f>
        <v>0</v>
      </c>
      <c r="J3330" s="135" t="n">
        <f aca="false">$G3330*'Analyse capacite'!$D$8</f>
        <v>0</v>
      </c>
      <c r="K3330" s="135" t="n">
        <f aca="false">$G3330*'Analyse capacite'!$E$8</f>
        <v>0</v>
      </c>
    </row>
    <row r="3331" customFormat="false" ht="15" hidden="false" customHeight="false" outlineLevel="0" collapsed="false">
      <c r="B3331" s="130" t="n">
        <v>2027</v>
      </c>
      <c r="C3331" s="131" t="s">
        <v>249</v>
      </c>
      <c r="D3331" s="132" t="n">
        <v>46570</v>
      </c>
      <c r="E3331" s="131" t="s">
        <v>40</v>
      </c>
      <c r="F3331" s="133" t="s">
        <v>24</v>
      </c>
      <c r="G3331" s="134" t="n">
        <f aca="false">LEN('Saisie programme'!$H$144)+SUMIFS('Vols additionnels'!$E$7:$E$66,'Vols additionnels'!$C$7:$C$66,$E3331,'Vols additionnels'!$D$7:$D$66,$F3331,'Vols additionnels'!$B$7:$B$66,$D3331)</f>
        <v>1</v>
      </c>
      <c r="H3331" s="135" t="n">
        <f aca="false">$G3331*'Analyse capacite'!$F$9</f>
        <v>174</v>
      </c>
      <c r="I3331" s="135" t="n">
        <f aca="false">$G3331*'Analyse capacite'!$C$9</f>
        <v>0</v>
      </c>
      <c r="J3331" s="135" t="n">
        <f aca="false">$G3331*'Analyse capacite'!$D$9</f>
        <v>12</v>
      </c>
      <c r="K3331" s="135" t="n">
        <f aca="false">$G3331*'Analyse capacite'!$E$9</f>
        <v>162</v>
      </c>
    </row>
    <row r="3332" customFormat="false" ht="15" hidden="false" customHeight="false" outlineLevel="0" collapsed="false">
      <c r="B3332" s="130" t="n">
        <v>2027</v>
      </c>
      <c r="C3332" s="131" t="s">
        <v>249</v>
      </c>
      <c r="D3332" s="132" t="n">
        <v>46570</v>
      </c>
      <c r="E3332" s="131" t="s">
        <v>14</v>
      </c>
      <c r="F3332" s="133" t="s">
        <v>11</v>
      </c>
      <c r="G3332" s="134" t="n">
        <f aca="false">LEN('Saisie programme'!$H$145)+SUMIFS('Vols additionnels'!$E$7:$E$66,'Vols additionnels'!$C$7:$C$66,$E3332,'Vols additionnels'!$D$7:$D$66,$F3332,'Vols additionnels'!$B$7:$B$66,$D3332)</f>
        <v>0</v>
      </c>
      <c r="H3332" s="135" t="n">
        <f aca="false">$G3332*'Analyse capacite'!$F$7</f>
        <v>0</v>
      </c>
      <c r="I3332" s="135" t="n">
        <f aca="false">$G3332*'Analyse capacite'!$C$7</f>
        <v>0</v>
      </c>
      <c r="J3332" s="135" t="n">
        <f aca="false">$G3332*'Analyse capacite'!$D$7</f>
        <v>0</v>
      </c>
      <c r="K3332" s="135" t="n">
        <f aca="false">$G3332*'Analyse capacite'!$E$7</f>
        <v>0</v>
      </c>
    </row>
    <row r="3333" customFormat="false" ht="15" hidden="false" customHeight="false" outlineLevel="0" collapsed="false">
      <c r="B3333" s="130" t="n">
        <v>2027</v>
      </c>
      <c r="C3333" s="131" t="s">
        <v>249</v>
      </c>
      <c r="D3333" s="132" t="n">
        <v>46570</v>
      </c>
      <c r="E3333" s="131" t="s">
        <v>14</v>
      </c>
      <c r="F3333" s="133" t="s">
        <v>19</v>
      </c>
      <c r="G3333" s="134" t="n">
        <f aca="false">LEN('Saisie programme'!$H$146)+SUMIFS('Vols additionnels'!$E$7:$E$66,'Vols additionnels'!$C$7:$C$66,$E3333,'Vols additionnels'!$D$7:$D$66,$F3333,'Vols additionnels'!$B$7:$B$66,$D3333)</f>
        <v>0</v>
      </c>
      <c r="H3333" s="135" t="n">
        <f aca="false">$G3333*'Analyse capacite'!$F$8</f>
        <v>0</v>
      </c>
      <c r="I3333" s="135" t="n">
        <f aca="false">$G3333*'Analyse capacite'!$C$8</f>
        <v>0</v>
      </c>
      <c r="J3333" s="135" t="n">
        <f aca="false">$G3333*'Analyse capacite'!$D$8</f>
        <v>0</v>
      </c>
      <c r="K3333" s="135" t="n">
        <f aca="false">$G3333*'Analyse capacite'!$E$8</f>
        <v>0</v>
      </c>
    </row>
    <row r="3334" customFormat="false" ht="15" hidden="false" customHeight="false" outlineLevel="0" collapsed="false">
      <c r="B3334" s="130" t="n">
        <v>2027</v>
      </c>
      <c r="C3334" s="131" t="s">
        <v>249</v>
      </c>
      <c r="D3334" s="132" t="n">
        <v>46570</v>
      </c>
      <c r="E3334" s="131" t="s">
        <v>14</v>
      </c>
      <c r="F3334" s="133" t="s">
        <v>24</v>
      </c>
      <c r="G3334" s="134" t="n">
        <f aca="false">LEN('Saisie programme'!$H$147)+SUMIFS('Vols additionnels'!$E$7:$E$66,'Vols additionnels'!$C$7:$C$66,$E3334,'Vols additionnels'!$D$7:$D$66,$F3334,'Vols additionnels'!$B$7:$B$66,$D3334)</f>
        <v>0</v>
      </c>
      <c r="H3334" s="135" t="n">
        <f aca="false">$G3334*'Analyse capacite'!$F$9</f>
        <v>0</v>
      </c>
      <c r="I3334" s="135" t="n">
        <f aca="false">$G3334*'Analyse capacite'!$C$9</f>
        <v>0</v>
      </c>
      <c r="J3334" s="135" t="n">
        <f aca="false">$G3334*'Analyse capacite'!$D$9</f>
        <v>0</v>
      </c>
      <c r="K3334" s="135" t="n">
        <f aca="false">$G3334*'Analyse capacite'!$E$9</f>
        <v>0</v>
      </c>
    </row>
    <row r="3335" customFormat="false" ht="15" hidden="false" customHeight="false" outlineLevel="0" collapsed="false">
      <c r="B3335" s="130" t="n">
        <v>2027</v>
      </c>
      <c r="C3335" s="131" t="s">
        <v>249</v>
      </c>
      <c r="D3335" s="132" t="n">
        <v>46570</v>
      </c>
      <c r="E3335" s="131" t="s">
        <v>46</v>
      </c>
      <c r="F3335" s="133" t="s">
        <v>11</v>
      </c>
      <c r="G3335" s="134" t="n">
        <f aca="false">LEN('Saisie programme'!$H$148)+SUMIFS('Vols additionnels'!$E$7:$E$66,'Vols additionnels'!$C$7:$C$66,$E3335,'Vols additionnels'!$D$7:$D$66,$F3335,'Vols additionnels'!$B$7:$B$66,$D3335)</f>
        <v>0</v>
      </c>
      <c r="H3335" s="135" t="n">
        <f aca="false">$G3335*'Analyse capacite'!$F$7</f>
        <v>0</v>
      </c>
      <c r="I3335" s="135" t="n">
        <f aca="false">$G3335*'Analyse capacite'!$C$7</f>
        <v>0</v>
      </c>
      <c r="J3335" s="135" t="n">
        <f aca="false">$G3335*'Analyse capacite'!$D$7</f>
        <v>0</v>
      </c>
      <c r="K3335" s="135" t="n">
        <f aca="false">$G3335*'Analyse capacite'!$E$7</f>
        <v>0</v>
      </c>
    </row>
    <row r="3336" customFormat="false" ht="15" hidden="false" customHeight="false" outlineLevel="0" collapsed="false">
      <c r="B3336" s="130" t="n">
        <v>2027</v>
      </c>
      <c r="C3336" s="131" t="s">
        <v>249</v>
      </c>
      <c r="D3336" s="132" t="n">
        <v>46570</v>
      </c>
      <c r="E3336" s="131" t="s">
        <v>46</v>
      </c>
      <c r="F3336" s="133" t="s">
        <v>19</v>
      </c>
      <c r="G3336" s="134" t="n">
        <f aca="false">LEN('Saisie programme'!$H$149)+SUMIFS('Vols additionnels'!$E$7:$E$66,'Vols additionnels'!$C$7:$C$66,$E3336,'Vols additionnels'!$D$7:$D$66,$F3336,'Vols additionnels'!$B$7:$B$66,$D3336)</f>
        <v>0</v>
      </c>
      <c r="H3336" s="135" t="n">
        <f aca="false">$G3336*'Analyse capacite'!$F$8</f>
        <v>0</v>
      </c>
      <c r="I3336" s="135" t="n">
        <f aca="false">$G3336*'Analyse capacite'!$C$8</f>
        <v>0</v>
      </c>
      <c r="J3336" s="135" t="n">
        <f aca="false">$G3336*'Analyse capacite'!$D$8</f>
        <v>0</v>
      </c>
      <c r="K3336" s="135" t="n">
        <f aca="false">$G3336*'Analyse capacite'!$E$8</f>
        <v>0</v>
      </c>
    </row>
    <row r="3337" customFormat="false" ht="15" hidden="false" customHeight="false" outlineLevel="0" collapsed="false">
      <c r="B3337" s="130" t="n">
        <v>2027</v>
      </c>
      <c r="C3337" s="131" t="s">
        <v>249</v>
      </c>
      <c r="D3337" s="132" t="n">
        <v>46570</v>
      </c>
      <c r="E3337" s="131" t="s">
        <v>46</v>
      </c>
      <c r="F3337" s="133" t="s">
        <v>24</v>
      </c>
      <c r="G3337" s="134" t="n">
        <f aca="false">LEN('Saisie programme'!$H$150)+SUMIFS('Vols additionnels'!$E$7:$E$66,'Vols additionnels'!$C$7:$C$66,$E3337,'Vols additionnels'!$D$7:$D$66,$F3337,'Vols additionnels'!$B$7:$B$66,$D3337)</f>
        <v>0</v>
      </c>
      <c r="H3337" s="135" t="n">
        <f aca="false">$G3337*'Analyse capacite'!$F$9</f>
        <v>0</v>
      </c>
      <c r="I3337" s="135" t="n">
        <f aca="false">$G3337*'Analyse capacite'!$C$9</f>
        <v>0</v>
      </c>
      <c r="J3337" s="135" t="n">
        <f aca="false">$G3337*'Analyse capacite'!$D$9</f>
        <v>0</v>
      </c>
      <c r="K3337" s="135" t="n">
        <f aca="false">$G3337*'Analyse capacite'!$E$9</f>
        <v>0</v>
      </c>
    </row>
    <row r="3338" customFormat="false" ht="15" hidden="false" customHeight="false" outlineLevel="0" collapsed="false">
      <c r="B3338" s="130" t="n">
        <v>2027</v>
      </c>
      <c r="C3338" s="131" t="s">
        <v>249</v>
      </c>
      <c r="D3338" s="132" t="n">
        <v>46570</v>
      </c>
      <c r="E3338" s="131" t="s">
        <v>49</v>
      </c>
      <c r="F3338" s="133" t="s">
        <v>11</v>
      </c>
      <c r="G3338" s="134" t="n">
        <f aca="false">LEN('Saisie programme'!$H$151)+SUMIFS('Vols additionnels'!$E$7:$E$66,'Vols additionnels'!$C$7:$C$66,$E3338,'Vols additionnels'!$D$7:$D$66,$F3338,'Vols additionnels'!$B$7:$B$66,$D3338)</f>
        <v>0</v>
      </c>
      <c r="H3338" s="135" t="n">
        <f aca="false">$G3338*'Analyse capacite'!$F$7</f>
        <v>0</v>
      </c>
      <c r="I3338" s="135" t="n">
        <f aca="false">$G3338*'Analyse capacite'!$C$7</f>
        <v>0</v>
      </c>
      <c r="J3338" s="135" t="n">
        <f aca="false">$G3338*'Analyse capacite'!$D$7</f>
        <v>0</v>
      </c>
      <c r="K3338" s="135" t="n">
        <f aca="false">$G3338*'Analyse capacite'!$E$7</f>
        <v>0</v>
      </c>
    </row>
    <row r="3339" customFormat="false" ht="15" hidden="false" customHeight="false" outlineLevel="0" collapsed="false">
      <c r="B3339" s="130" t="n">
        <v>2027</v>
      </c>
      <c r="C3339" s="131" t="s">
        <v>249</v>
      </c>
      <c r="D3339" s="132" t="n">
        <v>46570</v>
      </c>
      <c r="E3339" s="131" t="s">
        <v>49</v>
      </c>
      <c r="F3339" s="133" t="s">
        <v>19</v>
      </c>
      <c r="G3339" s="134" t="n">
        <f aca="false">LEN('Saisie programme'!$H$152)+SUMIFS('Vols additionnels'!$E$7:$E$66,'Vols additionnels'!$C$7:$C$66,$E3339,'Vols additionnels'!$D$7:$D$66,$F3339,'Vols additionnels'!$B$7:$B$66,$D3339)</f>
        <v>1</v>
      </c>
      <c r="H3339" s="135" t="n">
        <f aca="false">$G3339*'Analyse capacite'!$F$8</f>
        <v>262</v>
      </c>
      <c r="I3339" s="135" t="n">
        <f aca="false">$G3339*'Analyse capacite'!$C$8</f>
        <v>18</v>
      </c>
      <c r="J3339" s="135" t="n">
        <f aca="false">$G3339*'Analyse capacite'!$D$8</f>
        <v>0</v>
      </c>
      <c r="K3339" s="135" t="n">
        <f aca="false">$G3339*'Analyse capacite'!$E$8</f>
        <v>244</v>
      </c>
    </row>
    <row r="3340" customFormat="false" ht="15" hidden="false" customHeight="false" outlineLevel="0" collapsed="false">
      <c r="B3340" s="130" t="n">
        <v>2027</v>
      </c>
      <c r="C3340" s="131" t="s">
        <v>249</v>
      </c>
      <c r="D3340" s="132" t="n">
        <v>46570</v>
      </c>
      <c r="E3340" s="131" t="s">
        <v>49</v>
      </c>
      <c r="F3340" s="133" t="s">
        <v>24</v>
      </c>
      <c r="G3340" s="134" t="n">
        <f aca="false">LEN('Saisie programme'!$H$153)+SUMIFS('Vols additionnels'!$E$7:$E$66,'Vols additionnels'!$C$7:$C$66,$E3340,'Vols additionnels'!$D$7:$D$66,$F3340,'Vols additionnels'!$B$7:$B$66,$D3340)</f>
        <v>0</v>
      </c>
      <c r="H3340" s="135" t="n">
        <f aca="false">$G3340*'Analyse capacite'!$F$9</f>
        <v>0</v>
      </c>
      <c r="I3340" s="135" t="n">
        <f aca="false">$G3340*'Analyse capacite'!$C$9</f>
        <v>0</v>
      </c>
      <c r="J3340" s="135" t="n">
        <f aca="false">$G3340*'Analyse capacite'!$D$9</f>
        <v>0</v>
      </c>
      <c r="K3340" s="135" t="n">
        <f aca="false">$G3340*'Analyse capacite'!$E$9</f>
        <v>0</v>
      </c>
    </row>
    <row r="3341" customFormat="false" ht="15" hidden="false" customHeight="false" outlineLevel="0" collapsed="false">
      <c r="B3341" s="130" t="n">
        <v>2027</v>
      </c>
      <c r="C3341" s="131" t="s">
        <v>249</v>
      </c>
      <c r="D3341" s="132" t="n">
        <v>46570</v>
      </c>
      <c r="E3341" s="131" t="s">
        <v>53</v>
      </c>
      <c r="F3341" s="133" t="s">
        <v>11</v>
      </c>
      <c r="G3341" s="134" t="n">
        <f aca="false">LEN('Saisie programme'!$H$154)+SUMIFS('Vols additionnels'!$E$7:$E$66,'Vols additionnels'!$C$7:$C$66,$E3341,'Vols additionnels'!$D$7:$D$66,$F3341,'Vols additionnels'!$B$7:$B$66,$D3341)</f>
        <v>0</v>
      </c>
      <c r="H3341" s="135" t="n">
        <f aca="false">$G3341*'Analyse capacite'!$F$7</f>
        <v>0</v>
      </c>
      <c r="I3341" s="135" t="n">
        <f aca="false">$G3341*'Analyse capacite'!$C$7</f>
        <v>0</v>
      </c>
      <c r="J3341" s="135" t="n">
        <f aca="false">$G3341*'Analyse capacite'!$D$7</f>
        <v>0</v>
      </c>
      <c r="K3341" s="135" t="n">
        <f aca="false">$G3341*'Analyse capacite'!$E$7</f>
        <v>0</v>
      </c>
    </row>
    <row r="3342" customFormat="false" ht="15" hidden="false" customHeight="false" outlineLevel="0" collapsed="false">
      <c r="B3342" s="130" t="n">
        <v>2027</v>
      </c>
      <c r="C3342" s="131" t="s">
        <v>249</v>
      </c>
      <c r="D3342" s="132" t="n">
        <v>46570</v>
      </c>
      <c r="E3342" s="131" t="s">
        <v>53</v>
      </c>
      <c r="F3342" s="133" t="s">
        <v>19</v>
      </c>
      <c r="G3342" s="134" t="n">
        <f aca="false">LEN('Saisie programme'!$H$155)+SUMIFS('Vols additionnels'!$E$7:$E$66,'Vols additionnels'!$C$7:$C$66,$E3342,'Vols additionnels'!$D$7:$D$66,$F3342,'Vols additionnels'!$B$7:$B$66,$D3342)</f>
        <v>0</v>
      </c>
      <c r="H3342" s="135" t="n">
        <f aca="false">$G3342*'Analyse capacite'!$F$8</f>
        <v>0</v>
      </c>
      <c r="I3342" s="135" t="n">
        <f aca="false">$G3342*'Analyse capacite'!$C$8</f>
        <v>0</v>
      </c>
      <c r="J3342" s="135" t="n">
        <f aca="false">$G3342*'Analyse capacite'!$D$8</f>
        <v>0</v>
      </c>
      <c r="K3342" s="135" t="n">
        <f aca="false">$G3342*'Analyse capacite'!$E$8</f>
        <v>0</v>
      </c>
    </row>
    <row r="3343" customFormat="false" ht="15" hidden="false" customHeight="false" outlineLevel="0" collapsed="false">
      <c r="B3343" s="130" t="n">
        <v>2027</v>
      </c>
      <c r="C3343" s="131" t="s">
        <v>249</v>
      </c>
      <c r="D3343" s="132" t="n">
        <v>46570</v>
      </c>
      <c r="E3343" s="131" t="s">
        <v>53</v>
      </c>
      <c r="F3343" s="133" t="s">
        <v>24</v>
      </c>
      <c r="G3343" s="134" t="n">
        <f aca="false">LEN('Saisie programme'!$H$156)+SUMIFS('Vols additionnels'!$E$7:$E$66,'Vols additionnels'!$C$7:$C$66,$E3343,'Vols additionnels'!$D$7:$D$66,$F3343,'Vols additionnels'!$B$7:$B$66,$D3343)</f>
        <v>0</v>
      </c>
      <c r="H3343" s="135" t="n">
        <f aca="false">$G3343*'Analyse capacite'!$F$9</f>
        <v>0</v>
      </c>
      <c r="I3343" s="135" t="n">
        <f aca="false">$G3343*'Analyse capacite'!$C$9</f>
        <v>0</v>
      </c>
      <c r="J3343" s="135" t="n">
        <f aca="false">$G3343*'Analyse capacite'!$D$9</f>
        <v>0</v>
      </c>
      <c r="K3343" s="135" t="n">
        <f aca="false">$G3343*'Analyse capacite'!$E$9</f>
        <v>0</v>
      </c>
    </row>
    <row r="3344" customFormat="false" ht="15" hidden="false" customHeight="false" outlineLevel="0" collapsed="false">
      <c r="B3344" s="130" t="n">
        <v>2027</v>
      </c>
      <c r="C3344" s="131" t="s">
        <v>249</v>
      </c>
      <c r="D3344" s="132" t="n">
        <v>46570</v>
      </c>
      <c r="E3344" s="131" t="s">
        <v>56</v>
      </c>
      <c r="F3344" s="133" t="s">
        <v>11</v>
      </c>
      <c r="G3344" s="134" t="n">
        <f aca="false">LEN('Saisie programme'!$H$157)+SUMIFS('Vols additionnels'!$E$7:$E$66,'Vols additionnels'!$C$7:$C$66,$E3344,'Vols additionnels'!$D$7:$D$66,$F3344,'Vols additionnels'!$B$7:$B$66,$D3344)</f>
        <v>0</v>
      </c>
      <c r="H3344" s="135" t="n">
        <f aca="false">$G3344*'Analyse capacite'!$F$7</f>
        <v>0</v>
      </c>
      <c r="I3344" s="135" t="n">
        <f aca="false">$G3344*'Analyse capacite'!$C$7</f>
        <v>0</v>
      </c>
      <c r="J3344" s="135" t="n">
        <f aca="false">$G3344*'Analyse capacite'!$D$7</f>
        <v>0</v>
      </c>
      <c r="K3344" s="135" t="n">
        <f aca="false">$G3344*'Analyse capacite'!$E$7</f>
        <v>0</v>
      </c>
    </row>
    <row r="3345" customFormat="false" ht="15" hidden="false" customHeight="false" outlineLevel="0" collapsed="false">
      <c r="B3345" s="130" t="n">
        <v>2027</v>
      </c>
      <c r="C3345" s="131" t="s">
        <v>249</v>
      </c>
      <c r="D3345" s="132" t="n">
        <v>46570</v>
      </c>
      <c r="E3345" s="131" t="s">
        <v>56</v>
      </c>
      <c r="F3345" s="133" t="s">
        <v>19</v>
      </c>
      <c r="G3345" s="134" t="n">
        <f aca="false">LEN('Saisie programme'!$H$158)+SUMIFS('Vols additionnels'!$E$7:$E$66,'Vols additionnels'!$C$7:$C$66,$E3345,'Vols additionnels'!$D$7:$D$66,$F3345,'Vols additionnels'!$B$7:$B$66,$D3345)</f>
        <v>0</v>
      </c>
      <c r="H3345" s="135" t="n">
        <f aca="false">$G3345*'Analyse capacite'!$F$8</f>
        <v>0</v>
      </c>
      <c r="I3345" s="135" t="n">
        <f aca="false">$G3345*'Analyse capacite'!$C$8</f>
        <v>0</v>
      </c>
      <c r="J3345" s="135" t="n">
        <f aca="false">$G3345*'Analyse capacite'!$D$8</f>
        <v>0</v>
      </c>
      <c r="K3345" s="135" t="n">
        <f aca="false">$G3345*'Analyse capacite'!$E$8</f>
        <v>0</v>
      </c>
    </row>
    <row r="3346" customFormat="false" ht="15" hidden="false" customHeight="false" outlineLevel="0" collapsed="false">
      <c r="B3346" s="130" t="n">
        <v>2027</v>
      </c>
      <c r="C3346" s="131" t="s">
        <v>249</v>
      </c>
      <c r="D3346" s="132" t="n">
        <v>46570</v>
      </c>
      <c r="E3346" s="131" t="s">
        <v>56</v>
      </c>
      <c r="F3346" s="133" t="s">
        <v>24</v>
      </c>
      <c r="G3346" s="134" t="n">
        <f aca="false">LEN('Saisie programme'!$H$159)+SUMIFS('Vols additionnels'!$E$7:$E$66,'Vols additionnels'!$C$7:$C$66,$E3346,'Vols additionnels'!$D$7:$D$66,$F3346,'Vols additionnels'!$B$7:$B$66,$D3346)</f>
        <v>0</v>
      </c>
      <c r="H3346" s="135" t="n">
        <f aca="false">$G3346*'Analyse capacite'!$F$9</f>
        <v>0</v>
      </c>
      <c r="I3346" s="135" t="n">
        <f aca="false">$G3346*'Analyse capacite'!$C$9</f>
        <v>0</v>
      </c>
      <c r="J3346" s="135" t="n">
        <f aca="false">$G3346*'Analyse capacite'!$D$9</f>
        <v>0</v>
      </c>
      <c r="K3346" s="135" t="n">
        <f aca="false">$G3346*'Analyse capacite'!$E$9</f>
        <v>0</v>
      </c>
    </row>
    <row r="3347" customFormat="false" ht="15" hidden="false" customHeight="false" outlineLevel="0" collapsed="false">
      <c r="B3347" s="130" t="n">
        <v>2027</v>
      </c>
      <c r="C3347" s="131" t="s">
        <v>249</v>
      </c>
      <c r="D3347" s="132" t="n">
        <v>46570</v>
      </c>
      <c r="E3347" s="131" t="s">
        <v>59</v>
      </c>
      <c r="F3347" s="133" t="s">
        <v>11</v>
      </c>
      <c r="G3347" s="134" t="n">
        <f aca="false">LEN('Saisie programme'!$H$160)+SUMIFS('Vols additionnels'!$E$7:$E$66,'Vols additionnels'!$C$7:$C$66,$E3347,'Vols additionnels'!$D$7:$D$66,$F3347,'Vols additionnels'!$B$7:$B$66,$D3347)</f>
        <v>0</v>
      </c>
      <c r="H3347" s="135" t="n">
        <f aca="false">$G3347*'Analyse capacite'!$F$7</f>
        <v>0</v>
      </c>
      <c r="I3347" s="135" t="n">
        <f aca="false">$G3347*'Analyse capacite'!$C$7</f>
        <v>0</v>
      </c>
      <c r="J3347" s="135" t="n">
        <f aca="false">$G3347*'Analyse capacite'!$D$7</f>
        <v>0</v>
      </c>
      <c r="K3347" s="135" t="n">
        <f aca="false">$G3347*'Analyse capacite'!$E$7</f>
        <v>0</v>
      </c>
    </row>
    <row r="3348" customFormat="false" ht="15" hidden="false" customHeight="false" outlineLevel="0" collapsed="false">
      <c r="B3348" s="130" t="n">
        <v>2027</v>
      </c>
      <c r="C3348" s="131" t="s">
        <v>249</v>
      </c>
      <c r="D3348" s="132" t="n">
        <v>46570</v>
      </c>
      <c r="E3348" s="131" t="s">
        <v>59</v>
      </c>
      <c r="F3348" s="133" t="s">
        <v>19</v>
      </c>
      <c r="G3348" s="134" t="n">
        <f aca="false">LEN('Saisie programme'!$H$161)+SUMIFS('Vols additionnels'!$E$7:$E$66,'Vols additionnels'!$C$7:$C$66,$E3348,'Vols additionnels'!$D$7:$D$66,$F3348,'Vols additionnels'!$B$7:$B$66,$D3348)</f>
        <v>0</v>
      </c>
      <c r="H3348" s="135" t="n">
        <f aca="false">$G3348*'Analyse capacite'!$F$8</f>
        <v>0</v>
      </c>
      <c r="I3348" s="135" t="n">
        <f aca="false">$G3348*'Analyse capacite'!$C$8</f>
        <v>0</v>
      </c>
      <c r="J3348" s="135" t="n">
        <f aca="false">$G3348*'Analyse capacite'!$D$8</f>
        <v>0</v>
      </c>
      <c r="K3348" s="135" t="n">
        <f aca="false">$G3348*'Analyse capacite'!$E$8</f>
        <v>0</v>
      </c>
    </row>
    <row r="3349" customFormat="false" ht="15" hidden="false" customHeight="false" outlineLevel="0" collapsed="false">
      <c r="B3349" s="130" t="n">
        <v>2027</v>
      </c>
      <c r="C3349" s="131" t="s">
        <v>249</v>
      </c>
      <c r="D3349" s="132" t="n">
        <v>46570</v>
      </c>
      <c r="E3349" s="131" t="s">
        <v>59</v>
      </c>
      <c r="F3349" s="133" t="s">
        <v>24</v>
      </c>
      <c r="G3349" s="134" t="n">
        <f aca="false">LEN('Saisie programme'!$H$162)+SUMIFS('Vols additionnels'!$E$7:$E$66,'Vols additionnels'!$C$7:$C$66,$E3349,'Vols additionnels'!$D$7:$D$66,$F3349,'Vols additionnels'!$B$7:$B$66,$D3349)</f>
        <v>1</v>
      </c>
      <c r="H3349" s="135" t="n">
        <f aca="false">$G3349*'Analyse capacite'!$F$9</f>
        <v>174</v>
      </c>
      <c r="I3349" s="135" t="n">
        <f aca="false">$G3349*'Analyse capacite'!$C$9</f>
        <v>0</v>
      </c>
      <c r="J3349" s="135" t="n">
        <f aca="false">$G3349*'Analyse capacite'!$D$9</f>
        <v>12</v>
      </c>
      <c r="K3349" s="135" t="n">
        <f aca="false">$G3349*'Analyse capacite'!$E$9</f>
        <v>162</v>
      </c>
    </row>
    <row r="3350" customFormat="false" ht="15" hidden="false" customHeight="false" outlineLevel="0" collapsed="false">
      <c r="B3350" s="130" t="n">
        <v>2027</v>
      </c>
      <c r="C3350" s="131" t="s">
        <v>249</v>
      </c>
      <c r="D3350" s="132" t="n">
        <v>46570</v>
      </c>
      <c r="E3350" s="131" t="s">
        <v>62</v>
      </c>
      <c r="F3350" s="133" t="s">
        <v>11</v>
      </c>
      <c r="G3350" s="134" t="n">
        <f aca="false">LEN('Saisie programme'!$H$163)+SUMIFS('Vols additionnels'!$E$7:$E$66,'Vols additionnels'!$C$7:$C$66,$E3350,'Vols additionnels'!$D$7:$D$66,$F3350,'Vols additionnels'!$B$7:$B$66,$D3350)</f>
        <v>0</v>
      </c>
      <c r="H3350" s="135" t="n">
        <f aca="false">$G3350*'Analyse capacite'!$F$7</f>
        <v>0</v>
      </c>
      <c r="I3350" s="135" t="n">
        <f aca="false">$G3350*'Analyse capacite'!$C$7</f>
        <v>0</v>
      </c>
      <c r="J3350" s="135" t="n">
        <f aca="false">$G3350*'Analyse capacite'!$D$7</f>
        <v>0</v>
      </c>
      <c r="K3350" s="135" t="n">
        <f aca="false">$G3350*'Analyse capacite'!$E$7</f>
        <v>0</v>
      </c>
    </row>
    <row r="3351" customFormat="false" ht="15" hidden="false" customHeight="false" outlineLevel="0" collapsed="false">
      <c r="B3351" s="130" t="n">
        <v>2027</v>
      </c>
      <c r="C3351" s="131" t="s">
        <v>249</v>
      </c>
      <c r="D3351" s="132" t="n">
        <v>46570</v>
      </c>
      <c r="E3351" s="131" t="s">
        <v>62</v>
      </c>
      <c r="F3351" s="133" t="s">
        <v>19</v>
      </c>
      <c r="G3351" s="134" t="n">
        <f aca="false">LEN('Saisie programme'!$H$164)+SUMIFS('Vols additionnels'!$E$7:$E$66,'Vols additionnels'!$C$7:$C$66,$E3351,'Vols additionnels'!$D$7:$D$66,$F3351,'Vols additionnels'!$B$7:$B$66,$D3351)</f>
        <v>0</v>
      </c>
      <c r="H3351" s="135" t="n">
        <f aca="false">$G3351*'Analyse capacite'!$F$8</f>
        <v>0</v>
      </c>
      <c r="I3351" s="135" t="n">
        <f aca="false">$G3351*'Analyse capacite'!$C$8</f>
        <v>0</v>
      </c>
      <c r="J3351" s="135" t="n">
        <f aca="false">$G3351*'Analyse capacite'!$D$8</f>
        <v>0</v>
      </c>
      <c r="K3351" s="135" t="n">
        <f aca="false">$G3351*'Analyse capacite'!$E$8</f>
        <v>0</v>
      </c>
    </row>
    <row r="3352" customFormat="false" ht="15" hidden="false" customHeight="false" outlineLevel="0" collapsed="false">
      <c r="B3352" s="130" t="n">
        <v>2027</v>
      </c>
      <c r="C3352" s="131" t="s">
        <v>249</v>
      </c>
      <c r="D3352" s="132" t="n">
        <v>46570</v>
      </c>
      <c r="E3352" s="131" t="s">
        <v>62</v>
      </c>
      <c r="F3352" s="133" t="s">
        <v>24</v>
      </c>
      <c r="G3352" s="134" t="n">
        <f aca="false">LEN('Saisie programme'!$H$165)+SUMIFS('Vols additionnels'!$E$7:$E$66,'Vols additionnels'!$C$7:$C$66,$E3352,'Vols additionnels'!$D$7:$D$66,$F3352,'Vols additionnels'!$B$7:$B$66,$D3352)</f>
        <v>0</v>
      </c>
      <c r="H3352" s="135" t="n">
        <f aca="false">$G3352*'Analyse capacite'!$F$9</f>
        <v>0</v>
      </c>
      <c r="I3352" s="135" t="n">
        <f aca="false">$G3352*'Analyse capacite'!$C$9</f>
        <v>0</v>
      </c>
      <c r="J3352" s="135" t="n">
        <f aca="false">$G3352*'Analyse capacite'!$D$9</f>
        <v>0</v>
      </c>
      <c r="K3352" s="135" t="n">
        <f aca="false">$G3352*'Analyse capacite'!$E$9</f>
        <v>0</v>
      </c>
    </row>
    <row r="3353" customFormat="false" ht="15" hidden="false" customHeight="false" outlineLevel="0" collapsed="false">
      <c r="B3353" s="130" t="n">
        <v>2027</v>
      </c>
      <c r="C3353" s="131" t="s">
        <v>249</v>
      </c>
      <c r="D3353" s="132" t="n">
        <v>46571</v>
      </c>
      <c r="E3353" s="131" t="s">
        <v>12</v>
      </c>
      <c r="F3353" s="133" t="s">
        <v>11</v>
      </c>
      <c r="G3353" s="134" t="n">
        <f aca="false">LEN('Saisie programme'!$I$130)+SUMIFS('Vols additionnels'!$E$7:$E$66,'Vols additionnels'!$C$7:$C$66,$E3353,'Vols additionnels'!$D$7:$D$66,$F3353,'Vols additionnels'!$B$7:$B$66,$D3353)</f>
        <v>1</v>
      </c>
      <c r="H3353" s="135" t="n">
        <f aca="false">$G3353*'Analyse capacite'!$F$7</f>
        <v>438</v>
      </c>
      <c r="I3353" s="135" t="n">
        <f aca="false">$G3353*'Analyse capacite'!$C$7</f>
        <v>14</v>
      </c>
      <c r="J3353" s="135" t="n">
        <f aca="false">$G3353*'Analyse capacite'!$D$7</f>
        <v>40</v>
      </c>
      <c r="K3353" s="135" t="n">
        <f aca="false">$G3353*'Analyse capacite'!$E$7</f>
        <v>384</v>
      </c>
    </row>
    <row r="3354" customFormat="false" ht="15" hidden="false" customHeight="false" outlineLevel="0" collapsed="false">
      <c r="B3354" s="130" t="n">
        <v>2027</v>
      </c>
      <c r="C3354" s="131" t="s">
        <v>249</v>
      </c>
      <c r="D3354" s="132" t="n">
        <v>46571</v>
      </c>
      <c r="E3354" s="131" t="s">
        <v>12</v>
      </c>
      <c r="F3354" s="133" t="s">
        <v>19</v>
      </c>
      <c r="G3354" s="134" t="n">
        <f aca="false">LEN('Saisie programme'!$I$131)+SUMIFS('Vols additionnels'!$E$7:$E$66,'Vols additionnels'!$C$7:$C$66,$E3354,'Vols additionnels'!$D$7:$D$66,$F3354,'Vols additionnels'!$B$7:$B$66,$D3354)</f>
        <v>0</v>
      </c>
      <c r="H3354" s="135" t="n">
        <f aca="false">$G3354*'Analyse capacite'!$F$8</f>
        <v>0</v>
      </c>
      <c r="I3354" s="135" t="n">
        <f aca="false">$G3354*'Analyse capacite'!$C$8</f>
        <v>0</v>
      </c>
      <c r="J3354" s="135" t="n">
        <f aca="false">$G3354*'Analyse capacite'!$D$8</f>
        <v>0</v>
      </c>
      <c r="K3354" s="135" t="n">
        <f aca="false">$G3354*'Analyse capacite'!$E$8</f>
        <v>0</v>
      </c>
    </row>
    <row r="3355" customFormat="false" ht="15" hidden="false" customHeight="false" outlineLevel="0" collapsed="false">
      <c r="B3355" s="130" t="n">
        <v>2027</v>
      </c>
      <c r="C3355" s="131" t="s">
        <v>249</v>
      </c>
      <c r="D3355" s="132" t="n">
        <v>46571</v>
      </c>
      <c r="E3355" s="131" t="s">
        <v>12</v>
      </c>
      <c r="F3355" s="133" t="s">
        <v>24</v>
      </c>
      <c r="G3355" s="134" t="n">
        <f aca="false">LEN('Saisie programme'!$I$132)+SUMIFS('Vols additionnels'!$E$7:$E$66,'Vols additionnels'!$C$7:$C$66,$E3355,'Vols additionnels'!$D$7:$D$66,$F3355,'Vols additionnels'!$B$7:$B$66,$D3355)</f>
        <v>0</v>
      </c>
      <c r="H3355" s="135" t="n">
        <f aca="false">$G3355*'Analyse capacite'!$F$9</f>
        <v>0</v>
      </c>
      <c r="I3355" s="135" t="n">
        <f aca="false">$G3355*'Analyse capacite'!$C$9</f>
        <v>0</v>
      </c>
      <c r="J3355" s="135" t="n">
        <f aca="false">$G3355*'Analyse capacite'!$D$9</f>
        <v>0</v>
      </c>
      <c r="K3355" s="135" t="n">
        <f aca="false">$G3355*'Analyse capacite'!$E$9</f>
        <v>0</v>
      </c>
    </row>
    <row r="3356" customFormat="false" ht="15" hidden="false" customHeight="false" outlineLevel="0" collapsed="false">
      <c r="B3356" s="130" t="n">
        <v>2027</v>
      </c>
      <c r="C3356" s="131" t="s">
        <v>249</v>
      </c>
      <c r="D3356" s="132" t="n">
        <v>46571</v>
      </c>
      <c r="E3356" s="131" t="s">
        <v>20</v>
      </c>
      <c r="F3356" s="133" t="s">
        <v>11</v>
      </c>
      <c r="G3356" s="134" t="n">
        <f aca="false">LEN('Saisie programme'!$I$133)+SUMIFS('Vols additionnels'!$E$7:$E$66,'Vols additionnels'!$C$7:$C$66,$E3356,'Vols additionnels'!$D$7:$D$66,$F3356,'Vols additionnels'!$B$7:$B$66,$D3356)</f>
        <v>0</v>
      </c>
      <c r="H3356" s="135" t="n">
        <f aca="false">$G3356*'Analyse capacite'!$F$7</f>
        <v>0</v>
      </c>
      <c r="I3356" s="135" t="n">
        <f aca="false">$G3356*'Analyse capacite'!$C$7</f>
        <v>0</v>
      </c>
      <c r="J3356" s="135" t="n">
        <f aca="false">$G3356*'Analyse capacite'!$D$7</f>
        <v>0</v>
      </c>
      <c r="K3356" s="135" t="n">
        <f aca="false">$G3356*'Analyse capacite'!$E$7</f>
        <v>0</v>
      </c>
    </row>
    <row r="3357" customFormat="false" ht="15" hidden="false" customHeight="false" outlineLevel="0" collapsed="false">
      <c r="B3357" s="130" t="n">
        <v>2027</v>
      </c>
      <c r="C3357" s="131" t="s">
        <v>249</v>
      </c>
      <c r="D3357" s="132" t="n">
        <v>46571</v>
      </c>
      <c r="E3357" s="131" t="s">
        <v>20</v>
      </c>
      <c r="F3357" s="133" t="s">
        <v>19</v>
      </c>
      <c r="G3357" s="134" t="n">
        <f aca="false">LEN('Saisie programme'!$I$134)+SUMIFS('Vols additionnels'!$E$7:$E$66,'Vols additionnels'!$C$7:$C$66,$E3357,'Vols additionnels'!$D$7:$D$66,$F3357,'Vols additionnels'!$B$7:$B$66,$D3357)</f>
        <v>0</v>
      </c>
      <c r="H3357" s="135" t="n">
        <f aca="false">$G3357*'Analyse capacite'!$F$8</f>
        <v>0</v>
      </c>
      <c r="I3357" s="135" t="n">
        <f aca="false">$G3357*'Analyse capacite'!$C$8</f>
        <v>0</v>
      </c>
      <c r="J3357" s="135" t="n">
        <f aca="false">$G3357*'Analyse capacite'!$D$8</f>
        <v>0</v>
      </c>
      <c r="K3357" s="135" t="n">
        <f aca="false">$G3357*'Analyse capacite'!$E$8</f>
        <v>0</v>
      </c>
    </row>
    <row r="3358" customFormat="false" ht="15" hidden="false" customHeight="false" outlineLevel="0" collapsed="false">
      <c r="B3358" s="130" t="n">
        <v>2027</v>
      </c>
      <c r="C3358" s="131" t="s">
        <v>249</v>
      </c>
      <c r="D3358" s="132" t="n">
        <v>46571</v>
      </c>
      <c r="E3358" s="131" t="s">
        <v>20</v>
      </c>
      <c r="F3358" s="133" t="s">
        <v>24</v>
      </c>
      <c r="G3358" s="134" t="n">
        <f aca="false">LEN('Saisie programme'!$I$135)+SUMIFS('Vols additionnels'!$E$7:$E$66,'Vols additionnels'!$C$7:$C$66,$E3358,'Vols additionnels'!$D$7:$D$66,$F3358,'Vols additionnels'!$B$7:$B$66,$D3358)</f>
        <v>0</v>
      </c>
      <c r="H3358" s="135" t="n">
        <f aca="false">$G3358*'Analyse capacite'!$F$9</f>
        <v>0</v>
      </c>
      <c r="I3358" s="135" t="n">
        <f aca="false">$G3358*'Analyse capacite'!$C$9</f>
        <v>0</v>
      </c>
      <c r="J3358" s="135" t="n">
        <f aca="false">$G3358*'Analyse capacite'!$D$9</f>
        <v>0</v>
      </c>
      <c r="K3358" s="135" t="n">
        <f aca="false">$G3358*'Analyse capacite'!$E$9</f>
        <v>0</v>
      </c>
    </row>
    <row r="3359" customFormat="false" ht="15" hidden="false" customHeight="false" outlineLevel="0" collapsed="false">
      <c r="B3359" s="130" t="n">
        <v>2027</v>
      </c>
      <c r="C3359" s="131" t="s">
        <v>249</v>
      </c>
      <c r="D3359" s="132" t="n">
        <v>46571</v>
      </c>
      <c r="E3359" s="131" t="s">
        <v>25</v>
      </c>
      <c r="F3359" s="133" t="s">
        <v>11</v>
      </c>
      <c r="G3359" s="134" t="n">
        <f aca="false">LEN('Saisie programme'!$I$136)+SUMIFS('Vols additionnels'!$E$7:$E$66,'Vols additionnels'!$C$7:$C$66,$E3359,'Vols additionnels'!$D$7:$D$66,$F3359,'Vols additionnels'!$B$7:$B$66,$D3359)</f>
        <v>0</v>
      </c>
      <c r="H3359" s="135" t="n">
        <f aca="false">$G3359*'Analyse capacite'!$F$7</f>
        <v>0</v>
      </c>
      <c r="I3359" s="135" t="n">
        <f aca="false">$G3359*'Analyse capacite'!$C$7</f>
        <v>0</v>
      </c>
      <c r="J3359" s="135" t="n">
        <f aca="false">$G3359*'Analyse capacite'!$D$7</f>
        <v>0</v>
      </c>
      <c r="K3359" s="135" t="n">
        <f aca="false">$G3359*'Analyse capacite'!$E$7</f>
        <v>0</v>
      </c>
    </row>
    <row r="3360" customFormat="false" ht="15" hidden="false" customHeight="false" outlineLevel="0" collapsed="false">
      <c r="B3360" s="130" t="n">
        <v>2027</v>
      </c>
      <c r="C3360" s="131" t="s">
        <v>249</v>
      </c>
      <c r="D3360" s="132" t="n">
        <v>46571</v>
      </c>
      <c r="E3360" s="131" t="s">
        <v>25</v>
      </c>
      <c r="F3360" s="133" t="s">
        <v>19</v>
      </c>
      <c r="G3360" s="134" t="n">
        <f aca="false">LEN('Saisie programme'!$I$137)+SUMIFS('Vols additionnels'!$E$7:$E$66,'Vols additionnels'!$C$7:$C$66,$E3360,'Vols additionnels'!$D$7:$D$66,$F3360,'Vols additionnels'!$B$7:$B$66,$D3360)</f>
        <v>1</v>
      </c>
      <c r="H3360" s="135" t="n">
        <f aca="false">$G3360*'Analyse capacite'!$F$8</f>
        <v>262</v>
      </c>
      <c r="I3360" s="135" t="n">
        <f aca="false">$G3360*'Analyse capacite'!$C$8</f>
        <v>18</v>
      </c>
      <c r="J3360" s="135" t="n">
        <f aca="false">$G3360*'Analyse capacite'!$D$8</f>
        <v>0</v>
      </c>
      <c r="K3360" s="135" t="n">
        <f aca="false">$G3360*'Analyse capacite'!$E$8</f>
        <v>244</v>
      </c>
    </row>
    <row r="3361" customFormat="false" ht="15" hidden="false" customHeight="false" outlineLevel="0" collapsed="false">
      <c r="B3361" s="130" t="n">
        <v>2027</v>
      </c>
      <c r="C3361" s="131" t="s">
        <v>249</v>
      </c>
      <c r="D3361" s="132" t="n">
        <v>46571</v>
      </c>
      <c r="E3361" s="131" t="s">
        <v>25</v>
      </c>
      <c r="F3361" s="133" t="s">
        <v>24</v>
      </c>
      <c r="G3361" s="134" t="n">
        <f aca="false">LEN('Saisie programme'!$I$138)+SUMIFS('Vols additionnels'!$E$7:$E$66,'Vols additionnels'!$C$7:$C$66,$E3361,'Vols additionnels'!$D$7:$D$66,$F3361,'Vols additionnels'!$B$7:$B$66,$D3361)</f>
        <v>0</v>
      </c>
      <c r="H3361" s="135" t="n">
        <f aca="false">$G3361*'Analyse capacite'!$F$9</f>
        <v>0</v>
      </c>
      <c r="I3361" s="135" t="n">
        <f aca="false">$G3361*'Analyse capacite'!$C$9</f>
        <v>0</v>
      </c>
      <c r="J3361" s="135" t="n">
        <f aca="false">$G3361*'Analyse capacite'!$D$9</f>
        <v>0</v>
      </c>
      <c r="K3361" s="135" t="n">
        <f aca="false">$G3361*'Analyse capacite'!$E$9</f>
        <v>0</v>
      </c>
    </row>
    <row r="3362" customFormat="false" ht="15" hidden="false" customHeight="false" outlineLevel="0" collapsed="false">
      <c r="B3362" s="130" t="n">
        <v>2027</v>
      </c>
      <c r="C3362" s="131" t="s">
        <v>249</v>
      </c>
      <c r="D3362" s="132" t="n">
        <v>46571</v>
      </c>
      <c r="E3362" s="131" t="s">
        <v>36</v>
      </c>
      <c r="F3362" s="133" t="s">
        <v>11</v>
      </c>
      <c r="G3362" s="134" t="n">
        <f aca="false">LEN('Saisie programme'!$I$139)+SUMIFS('Vols additionnels'!$E$7:$E$66,'Vols additionnels'!$C$7:$C$66,$E3362,'Vols additionnels'!$D$7:$D$66,$F3362,'Vols additionnels'!$B$7:$B$66,$D3362)</f>
        <v>0</v>
      </c>
      <c r="H3362" s="135" t="n">
        <f aca="false">$G3362*'Analyse capacite'!$F$7</f>
        <v>0</v>
      </c>
      <c r="I3362" s="135" t="n">
        <f aca="false">$G3362*'Analyse capacite'!$C$7</f>
        <v>0</v>
      </c>
      <c r="J3362" s="135" t="n">
        <f aca="false">$G3362*'Analyse capacite'!$D$7</f>
        <v>0</v>
      </c>
      <c r="K3362" s="135" t="n">
        <f aca="false">$G3362*'Analyse capacite'!$E$7</f>
        <v>0</v>
      </c>
    </row>
    <row r="3363" customFormat="false" ht="15" hidden="false" customHeight="false" outlineLevel="0" collapsed="false">
      <c r="B3363" s="130" t="n">
        <v>2027</v>
      </c>
      <c r="C3363" s="131" t="s">
        <v>249</v>
      </c>
      <c r="D3363" s="132" t="n">
        <v>46571</v>
      </c>
      <c r="E3363" s="131" t="s">
        <v>36</v>
      </c>
      <c r="F3363" s="133" t="s">
        <v>19</v>
      </c>
      <c r="G3363" s="134" t="n">
        <f aca="false">LEN('Saisie programme'!$I$140)+SUMIFS('Vols additionnels'!$E$7:$E$66,'Vols additionnels'!$C$7:$C$66,$E3363,'Vols additionnels'!$D$7:$D$66,$F3363,'Vols additionnels'!$B$7:$B$66,$D3363)</f>
        <v>0</v>
      </c>
      <c r="H3363" s="135" t="n">
        <f aca="false">$G3363*'Analyse capacite'!$F$8</f>
        <v>0</v>
      </c>
      <c r="I3363" s="135" t="n">
        <f aca="false">$G3363*'Analyse capacite'!$C$8</f>
        <v>0</v>
      </c>
      <c r="J3363" s="135" t="n">
        <f aca="false">$G3363*'Analyse capacite'!$D$8</f>
        <v>0</v>
      </c>
      <c r="K3363" s="135" t="n">
        <f aca="false">$G3363*'Analyse capacite'!$E$8</f>
        <v>0</v>
      </c>
    </row>
    <row r="3364" customFormat="false" ht="15" hidden="false" customHeight="false" outlineLevel="0" collapsed="false">
      <c r="B3364" s="130" t="n">
        <v>2027</v>
      </c>
      <c r="C3364" s="131" t="s">
        <v>249</v>
      </c>
      <c r="D3364" s="132" t="n">
        <v>46571</v>
      </c>
      <c r="E3364" s="131" t="s">
        <v>36</v>
      </c>
      <c r="F3364" s="133" t="s">
        <v>24</v>
      </c>
      <c r="G3364" s="134" t="n">
        <f aca="false">LEN('Saisie programme'!$I$141)+SUMIFS('Vols additionnels'!$E$7:$E$66,'Vols additionnels'!$C$7:$C$66,$E3364,'Vols additionnels'!$D$7:$D$66,$F3364,'Vols additionnels'!$B$7:$B$66,$D3364)</f>
        <v>0</v>
      </c>
      <c r="H3364" s="135" t="n">
        <f aca="false">$G3364*'Analyse capacite'!$F$9</f>
        <v>0</v>
      </c>
      <c r="I3364" s="135" t="n">
        <f aca="false">$G3364*'Analyse capacite'!$C$9</f>
        <v>0</v>
      </c>
      <c r="J3364" s="135" t="n">
        <f aca="false">$G3364*'Analyse capacite'!$D$9</f>
        <v>0</v>
      </c>
      <c r="K3364" s="135" t="n">
        <f aca="false">$G3364*'Analyse capacite'!$E$9</f>
        <v>0</v>
      </c>
    </row>
    <row r="3365" customFormat="false" ht="15" hidden="false" customHeight="false" outlineLevel="0" collapsed="false">
      <c r="B3365" s="130" t="n">
        <v>2027</v>
      </c>
      <c r="C3365" s="131" t="s">
        <v>249</v>
      </c>
      <c r="D3365" s="132" t="n">
        <v>46571</v>
      </c>
      <c r="E3365" s="131" t="s">
        <v>40</v>
      </c>
      <c r="F3365" s="133" t="s">
        <v>11</v>
      </c>
      <c r="G3365" s="134" t="n">
        <f aca="false">LEN('Saisie programme'!$I$142)+SUMIFS('Vols additionnels'!$E$7:$E$66,'Vols additionnels'!$C$7:$C$66,$E3365,'Vols additionnels'!$D$7:$D$66,$F3365,'Vols additionnels'!$B$7:$B$66,$D3365)</f>
        <v>0</v>
      </c>
      <c r="H3365" s="135" t="n">
        <f aca="false">$G3365*'Analyse capacite'!$F$7</f>
        <v>0</v>
      </c>
      <c r="I3365" s="135" t="n">
        <f aca="false">$G3365*'Analyse capacite'!$C$7</f>
        <v>0</v>
      </c>
      <c r="J3365" s="135" t="n">
        <f aca="false">$G3365*'Analyse capacite'!$D$7</f>
        <v>0</v>
      </c>
      <c r="K3365" s="135" t="n">
        <f aca="false">$G3365*'Analyse capacite'!$E$7</f>
        <v>0</v>
      </c>
    </row>
    <row r="3366" customFormat="false" ht="15" hidden="false" customHeight="false" outlineLevel="0" collapsed="false">
      <c r="B3366" s="130" t="n">
        <v>2027</v>
      </c>
      <c r="C3366" s="131" t="s">
        <v>249</v>
      </c>
      <c r="D3366" s="132" t="n">
        <v>46571</v>
      </c>
      <c r="E3366" s="131" t="s">
        <v>40</v>
      </c>
      <c r="F3366" s="133" t="s">
        <v>19</v>
      </c>
      <c r="G3366" s="134" t="n">
        <f aca="false">LEN('Saisie programme'!$I$143)+SUMIFS('Vols additionnels'!$E$7:$E$66,'Vols additionnels'!$C$7:$C$66,$E3366,'Vols additionnels'!$D$7:$D$66,$F3366,'Vols additionnels'!$B$7:$B$66,$D3366)</f>
        <v>0</v>
      </c>
      <c r="H3366" s="135" t="n">
        <f aca="false">$G3366*'Analyse capacite'!$F$8</f>
        <v>0</v>
      </c>
      <c r="I3366" s="135" t="n">
        <f aca="false">$G3366*'Analyse capacite'!$C$8</f>
        <v>0</v>
      </c>
      <c r="J3366" s="135" t="n">
        <f aca="false">$G3366*'Analyse capacite'!$D$8</f>
        <v>0</v>
      </c>
      <c r="K3366" s="135" t="n">
        <f aca="false">$G3366*'Analyse capacite'!$E$8</f>
        <v>0</v>
      </c>
    </row>
    <row r="3367" customFormat="false" ht="15" hidden="false" customHeight="false" outlineLevel="0" collapsed="false">
      <c r="B3367" s="130" t="n">
        <v>2027</v>
      </c>
      <c r="C3367" s="131" t="s">
        <v>249</v>
      </c>
      <c r="D3367" s="132" t="n">
        <v>46571</v>
      </c>
      <c r="E3367" s="131" t="s">
        <v>40</v>
      </c>
      <c r="F3367" s="133" t="s">
        <v>24</v>
      </c>
      <c r="G3367" s="134" t="n">
        <f aca="false">LEN('Saisie programme'!$I$144)+SUMIFS('Vols additionnels'!$E$7:$E$66,'Vols additionnels'!$C$7:$C$66,$E3367,'Vols additionnels'!$D$7:$D$66,$F3367,'Vols additionnels'!$B$7:$B$66,$D3367)</f>
        <v>0</v>
      </c>
      <c r="H3367" s="135" t="n">
        <f aca="false">$G3367*'Analyse capacite'!$F$9</f>
        <v>0</v>
      </c>
      <c r="I3367" s="135" t="n">
        <f aca="false">$G3367*'Analyse capacite'!$C$9</f>
        <v>0</v>
      </c>
      <c r="J3367" s="135" t="n">
        <f aca="false">$G3367*'Analyse capacite'!$D$9</f>
        <v>0</v>
      </c>
      <c r="K3367" s="135" t="n">
        <f aca="false">$G3367*'Analyse capacite'!$E$9</f>
        <v>0</v>
      </c>
    </row>
    <row r="3368" customFormat="false" ht="15" hidden="false" customHeight="false" outlineLevel="0" collapsed="false">
      <c r="B3368" s="130" t="n">
        <v>2027</v>
      </c>
      <c r="C3368" s="131" t="s">
        <v>249</v>
      </c>
      <c r="D3368" s="132" t="n">
        <v>46571</v>
      </c>
      <c r="E3368" s="131" t="s">
        <v>14</v>
      </c>
      <c r="F3368" s="133" t="s">
        <v>11</v>
      </c>
      <c r="G3368" s="134" t="n">
        <f aca="false">LEN('Saisie programme'!$I$145)+SUMIFS('Vols additionnels'!$E$7:$E$66,'Vols additionnels'!$C$7:$C$66,$E3368,'Vols additionnels'!$D$7:$D$66,$F3368,'Vols additionnels'!$B$7:$B$66,$D3368)</f>
        <v>0</v>
      </c>
      <c r="H3368" s="135" t="n">
        <f aca="false">$G3368*'Analyse capacite'!$F$7</f>
        <v>0</v>
      </c>
      <c r="I3368" s="135" t="n">
        <f aca="false">$G3368*'Analyse capacite'!$C$7</f>
        <v>0</v>
      </c>
      <c r="J3368" s="135" t="n">
        <f aca="false">$G3368*'Analyse capacite'!$D$7</f>
        <v>0</v>
      </c>
      <c r="K3368" s="135" t="n">
        <f aca="false">$G3368*'Analyse capacite'!$E$7</f>
        <v>0</v>
      </c>
    </row>
    <row r="3369" customFormat="false" ht="15" hidden="false" customHeight="false" outlineLevel="0" collapsed="false">
      <c r="B3369" s="130" t="n">
        <v>2027</v>
      </c>
      <c r="C3369" s="131" t="s">
        <v>249</v>
      </c>
      <c r="D3369" s="132" t="n">
        <v>46571</v>
      </c>
      <c r="E3369" s="131" t="s">
        <v>14</v>
      </c>
      <c r="F3369" s="133" t="s">
        <v>19</v>
      </c>
      <c r="G3369" s="134" t="n">
        <f aca="false">LEN('Saisie programme'!$I$146)+SUMIFS('Vols additionnels'!$E$7:$E$66,'Vols additionnels'!$C$7:$C$66,$E3369,'Vols additionnels'!$D$7:$D$66,$F3369,'Vols additionnels'!$B$7:$B$66,$D3369)</f>
        <v>0</v>
      </c>
      <c r="H3369" s="135" t="n">
        <f aca="false">$G3369*'Analyse capacite'!$F$8</f>
        <v>0</v>
      </c>
      <c r="I3369" s="135" t="n">
        <f aca="false">$G3369*'Analyse capacite'!$C$8</f>
        <v>0</v>
      </c>
      <c r="J3369" s="135" t="n">
        <f aca="false">$G3369*'Analyse capacite'!$D$8</f>
        <v>0</v>
      </c>
      <c r="K3369" s="135" t="n">
        <f aca="false">$G3369*'Analyse capacite'!$E$8</f>
        <v>0</v>
      </c>
    </row>
    <row r="3370" customFormat="false" ht="15" hidden="false" customHeight="false" outlineLevel="0" collapsed="false">
      <c r="B3370" s="130" t="n">
        <v>2027</v>
      </c>
      <c r="C3370" s="131" t="s">
        <v>249</v>
      </c>
      <c r="D3370" s="132" t="n">
        <v>46571</v>
      </c>
      <c r="E3370" s="131" t="s">
        <v>14</v>
      </c>
      <c r="F3370" s="133" t="s">
        <v>24</v>
      </c>
      <c r="G3370" s="134" t="n">
        <f aca="false">LEN('Saisie programme'!$I$147)+SUMIFS('Vols additionnels'!$E$7:$E$66,'Vols additionnels'!$C$7:$C$66,$E3370,'Vols additionnels'!$D$7:$D$66,$F3370,'Vols additionnels'!$B$7:$B$66,$D3370)</f>
        <v>1</v>
      </c>
      <c r="H3370" s="135" t="n">
        <f aca="false">$G3370*'Analyse capacite'!$F$9</f>
        <v>174</v>
      </c>
      <c r="I3370" s="135" t="n">
        <f aca="false">$G3370*'Analyse capacite'!$C$9</f>
        <v>0</v>
      </c>
      <c r="J3370" s="135" t="n">
        <f aca="false">$G3370*'Analyse capacite'!$D$9</f>
        <v>12</v>
      </c>
      <c r="K3370" s="135" t="n">
        <f aca="false">$G3370*'Analyse capacite'!$E$9</f>
        <v>162</v>
      </c>
    </row>
    <row r="3371" customFormat="false" ht="15" hidden="false" customHeight="false" outlineLevel="0" collapsed="false">
      <c r="B3371" s="130" t="n">
        <v>2027</v>
      </c>
      <c r="C3371" s="131" t="s">
        <v>249</v>
      </c>
      <c r="D3371" s="132" t="n">
        <v>46571</v>
      </c>
      <c r="E3371" s="131" t="s">
        <v>46</v>
      </c>
      <c r="F3371" s="133" t="s">
        <v>11</v>
      </c>
      <c r="G3371" s="134" t="n">
        <f aca="false">LEN('Saisie programme'!$I$148)+SUMIFS('Vols additionnels'!$E$7:$E$66,'Vols additionnels'!$C$7:$C$66,$E3371,'Vols additionnels'!$D$7:$D$66,$F3371,'Vols additionnels'!$B$7:$B$66,$D3371)</f>
        <v>0</v>
      </c>
      <c r="H3371" s="135" t="n">
        <f aca="false">$G3371*'Analyse capacite'!$F$7</f>
        <v>0</v>
      </c>
      <c r="I3371" s="135" t="n">
        <f aca="false">$G3371*'Analyse capacite'!$C$7</f>
        <v>0</v>
      </c>
      <c r="J3371" s="135" t="n">
        <f aca="false">$G3371*'Analyse capacite'!$D$7</f>
        <v>0</v>
      </c>
      <c r="K3371" s="135" t="n">
        <f aca="false">$G3371*'Analyse capacite'!$E$7</f>
        <v>0</v>
      </c>
    </row>
    <row r="3372" customFormat="false" ht="15" hidden="false" customHeight="false" outlineLevel="0" collapsed="false">
      <c r="B3372" s="130" t="n">
        <v>2027</v>
      </c>
      <c r="C3372" s="131" t="s">
        <v>249</v>
      </c>
      <c r="D3372" s="132" t="n">
        <v>46571</v>
      </c>
      <c r="E3372" s="131" t="s">
        <v>46</v>
      </c>
      <c r="F3372" s="133" t="s">
        <v>19</v>
      </c>
      <c r="G3372" s="134" t="n">
        <f aca="false">LEN('Saisie programme'!$I$149)+SUMIFS('Vols additionnels'!$E$7:$E$66,'Vols additionnels'!$C$7:$C$66,$E3372,'Vols additionnels'!$D$7:$D$66,$F3372,'Vols additionnels'!$B$7:$B$66,$D3372)</f>
        <v>0</v>
      </c>
      <c r="H3372" s="135" t="n">
        <f aca="false">$G3372*'Analyse capacite'!$F$8</f>
        <v>0</v>
      </c>
      <c r="I3372" s="135" t="n">
        <f aca="false">$G3372*'Analyse capacite'!$C$8</f>
        <v>0</v>
      </c>
      <c r="J3372" s="135" t="n">
        <f aca="false">$G3372*'Analyse capacite'!$D$8</f>
        <v>0</v>
      </c>
      <c r="K3372" s="135" t="n">
        <f aca="false">$G3372*'Analyse capacite'!$E$8</f>
        <v>0</v>
      </c>
    </row>
    <row r="3373" customFormat="false" ht="15" hidden="false" customHeight="false" outlineLevel="0" collapsed="false">
      <c r="B3373" s="130" t="n">
        <v>2027</v>
      </c>
      <c r="C3373" s="131" t="s">
        <v>249</v>
      </c>
      <c r="D3373" s="132" t="n">
        <v>46571</v>
      </c>
      <c r="E3373" s="131" t="s">
        <v>46</v>
      </c>
      <c r="F3373" s="133" t="s">
        <v>24</v>
      </c>
      <c r="G3373" s="134" t="n">
        <f aca="false">LEN('Saisie programme'!$I$150)+SUMIFS('Vols additionnels'!$E$7:$E$66,'Vols additionnels'!$C$7:$C$66,$E3373,'Vols additionnels'!$D$7:$D$66,$F3373,'Vols additionnels'!$B$7:$B$66,$D3373)</f>
        <v>1</v>
      </c>
      <c r="H3373" s="135" t="n">
        <f aca="false">$G3373*'Analyse capacite'!$F$9</f>
        <v>174</v>
      </c>
      <c r="I3373" s="135" t="n">
        <f aca="false">$G3373*'Analyse capacite'!$C$9</f>
        <v>0</v>
      </c>
      <c r="J3373" s="135" t="n">
        <f aca="false">$G3373*'Analyse capacite'!$D$9</f>
        <v>12</v>
      </c>
      <c r="K3373" s="135" t="n">
        <f aca="false">$G3373*'Analyse capacite'!$E$9</f>
        <v>162</v>
      </c>
    </row>
    <row r="3374" customFormat="false" ht="15" hidden="false" customHeight="false" outlineLevel="0" collapsed="false">
      <c r="B3374" s="130" t="n">
        <v>2027</v>
      </c>
      <c r="C3374" s="131" t="s">
        <v>249</v>
      </c>
      <c r="D3374" s="132" t="n">
        <v>46571</v>
      </c>
      <c r="E3374" s="131" t="s">
        <v>49</v>
      </c>
      <c r="F3374" s="133" t="s">
        <v>11</v>
      </c>
      <c r="G3374" s="134" t="n">
        <f aca="false">LEN('Saisie programme'!$I$151)+SUMIFS('Vols additionnels'!$E$7:$E$66,'Vols additionnels'!$C$7:$C$66,$E3374,'Vols additionnels'!$D$7:$D$66,$F3374,'Vols additionnels'!$B$7:$B$66,$D3374)</f>
        <v>0</v>
      </c>
      <c r="H3374" s="135" t="n">
        <f aca="false">$G3374*'Analyse capacite'!$F$7</f>
        <v>0</v>
      </c>
      <c r="I3374" s="135" t="n">
        <f aca="false">$G3374*'Analyse capacite'!$C$7</f>
        <v>0</v>
      </c>
      <c r="J3374" s="135" t="n">
        <f aca="false">$G3374*'Analyse capacite'!$D$7</f>
        <v>0</v>
      </c>
      <c r="K3374" s="135" t="n">
        <f aca="false">$G3374*'Analyse capacite'!$E$7</f>
        <v>0</v>
      </c>
    </row>
    <row r="3375" customFormat="false" ht="15" hidden="false" customHeight="false" outlineLevel="0" collapsed="false">
      <c r="B3375" s="130" t="n">
        <v>2027</v>
      </c>
      <c r="C3375" s="131" t="s">
        <v>249</v>
      </c>
      <c r="D3375" s="132" t="n">
        <v>46571</v>
      </c>
      <c r="E3375" s="131" t="s">
        <v>49</v>
      </c>
      <c r="F3375" s="133" t="s">
        <v>19</v>
      </c>
      <c r="G3375" s="134" t="n">
        <f aca="false">LEN('Saisie programme'!$I$152)+SUMIFS('Vols additionnels'!$E$7:$E$66,'Vols additionnels'!$C$7:$C$66,$E3375,'Vols additionnels'!$D$7:$D$66,$F3375,'Vols additionnels'!$B$7:$B$66,$D3375)</f>
        <v>0</v>
      </c>
      <c r="H3375" s="135" t="n">
        <f aca="false">$G3375*'Analyse capacite'!$F$8</f>
        <v>0</v>
      </c>
      <c r="I3375" s="135" t="n">
        <f aca="false">$G3375*'Analyse capacite'!$C$8</f>
        <v>0</v>
      </c>
      <c r="J3375" s="135" t="n">
        <f aca="false">$G3375*'Analyse capacite'!$D$8</f>
        <v>0</v>
      </c>
      <c r="K3375" s="135" t="n">
        <f aca="false">$G3375*'Analyse capacite'!$E$8</f>
        <v>0</v>
      </c>
    </row>
    <row r="3376" customFormat="false" ht="15" hidden="false" customHeight="false" outlineLevel="0" collapsed="false">
      <c r="B3376" s="130" t="n">
        <v>2027</v>
      </c>
      <c r="C3376" s="131" t="s">
        <v>249</v>
      </c>
      <c r="D3376" s="132" t="n">
        <v>46571</v>
      </c>
      <c r="E3376" s="131" t="s">
        <v>49</v>
      </c>
      <c r="F3376" s="133" t="s">
        <v>24</v>
      </c>
      <c r="G3376" s="134" t="n">
        <f aca="false">LEN('Saisie programme'!$I$153)+SUMIFS('Vols additionnels'!$E$7:$E$66,'Vols additionnels'!$C$7:$C$66,$E3376,'Vols additionnels'!$D$7:$D$66,$F3376,'Vols additionnels'!$B$7:$B$66,$D3376)</f>
        <v>0</v>
      </c>
      <c r="H3376" s="135" t="n">
        <f aca="false">$G3376*'Analyse capacite'!$F$9</f>
        <v>0</v>
      </c>
      <c r="I3376" s="135" t="n">
        <f aca="false">$G3376*'Analyse capacite'!$C$9</f>
        <v>0</v>
      </c>
      <c r="J3376" s="135" t="n">
        <f aca="false">$G3376*'Analyse capacite'!$D$9</f>
        <v>0</v>
      </c>
      <c r="K3376" s="135" t="n">
        <f aca="false">$G3376*'Analyse capacite'!$E$9</f>
        <v>0</v>
      </c>
    </row>
    <row r="3377" customFormat="false" ht="15" hidden="false" customHeight="false" outlineLevel="0" collapsed="false">
      <c r="B3377" s="130" t="n">
        <v>2027</v>
      </c>
      <c r="C3377" s="131" t="s">
        <v>249</v>
      </c>
      <c r="D3377" s="132" t="n">
        <v>46571</v>
      </c>
      <c r="E3377" s="131" t="s">
        <v>53</v>
      </c>
      <c r="F3377" s="133" t="s">
        <v>11</v>
      </c>
      <c r="G3377" s="134" t="n">
        <f aca="false">LEN('Saisie programme'!$I$154)+SUMIFS('Vols additionnels'!$E$7:$E$66,'Vols additionnels'!$C$7:$C$66,$E3377,'Vols additionnels'!$D$7:$D$66,$F3377,'Vols additionnels'!$B$7:$B$66,$D3377)</f>
        <v>0</v>
      </c>
      <c r="H3377" s="135" t="n">
        <f aca="false">$G3377*'Analyse capacite'!$F$7</f>
        <v>0</v>
      </c>
      <c r="I3377" s="135" t="n">
        <f aca="false">$G3377*'Analyse capacite'!$C$7</f>
        <v>0</v>
      </c>
      <c r="J3377" s="135" t="n">
        <f aca="false">$G3377*'Analyse capacite'!$D$7</f>
        <v>0</v>
      </c>
      <c r="K3377" s="135" t="n">
        <f aca="false">$G3377*'Analyse capacite'!$E$7</f>
        <v>0</v>
      </c>
    </row>
    <row r="3378" customFormat="false" ht="15" hidden="false" customHeight="false" outlineLevel="0" collapsed="false">
      <c r="B3378" s="130" t="n">
        <v>2027</v>
      </c>
      <c r="C3378" s="131" t="s">
        <v>249</v>
      </c>
      <c r="D3378" s="132" t="n">
        <v>46571</v>
      </c>
      <c r="E3378" s="131" t="s">
        <v>53</v>
      </c>
      <c r="F3378" s="133" t="s">
        <v>19</v>
      </c>
      <c r="G3378" s="134" t="n">
        <f aca="false">LEN('Saisie programme'!$I$155)+SUMIFS('Vols additionnels'!$E$7:$E$66,'Vols additionnels'!$C$7:$C$66,$E3378,'Vols additionnels'!$D$7:$D$66,$F3378,'Vols additionnels'!$B$7:$B$66,$D3378)</f>
        <v>0</v>
      </c>
      <c r="H3378" s="135" t="n">
        <f aca="false">$G3378*'Analyse capacite'!$F$8</f>
        <v>0</v>
      </c>
      <c r="I3378" s="135" t="n">
        <f aca="false">$G3378*'Analyse capacite'!$C$8</f>
        <v>0</v>
      </c>
      <c r="J3378" s="135" t="n">
        <f aca="false">$G3378*'Analyse capacite'!$D$8</f>
        <v>0</v>
      </c>
      <c r="K3378" s="135" t="n">
        <f aca="false">$G3378*'Analyse capacite'!$E$8</f>
        <v>0</v>
      </c>
    </row>
    <row r="3379" customFormat="false" ht="15" hidden="false" customHeight="false" outlineLevel="0" collapsed="false">
      <c r="B3379" s="130" t="n">
        <v>2027</v>
      </c>
      <c r="C3379" s="131" t="s">
        <v>249</v>
      </c>
      <c r="D3379" s="132" t="n">
        <v>46571</v>
      </c>
      <c r="E3379" s="131" t="s">
        <v>53</v>
      </c>
      <c r="F3379" s="133" t="s">
        <v>24</v>
      </c>
      <c r="G3379" s="134" t="n">
        <f aca="false">LEN('Saisie programme'!$I$156)+SUMIFS('Vols additionnels'!$E$7:$E$66,'Vols additionnels'!$C$7:$C$66,$E3379,'Vols additionnels'!$D$7:$D$66,$F3379,'Vols additionnels'!$B$7:$B$66,$D3379)</f>
        <v>0</v>
      </c>
      <c r="H3379" s="135" t="n">
        <f aca="false">$G3379*'Analyse capacite'!$F$9</f>
        <v>0</v>
      </c>
      <c r="I3379" s="135" t="n">
        <f aca="false">$G3379*'Analyse capacite'!$C$9</f>
        <v>0</v>
      </c>
      <c r="J3379" s="135" t="n">
        <f aca="false">$G3379*'Analyse capacite'!$D$9</f>
        <v>0</v>
      </c>
      <c r="K3379" s="135" t="n">
        <f aca="false">$G3379*'Analyse capacite'!$E$9</f>
        <v>0</v>
      </c>
    </row>
    <row r="3380" customFormat="false" ht="15" hidden="false" customHeight="false" outlineLevel="0" collapsed="false">
      <c r="B3380" s="130" t="n">
        <v>2027</v>
      </c>
      <c r="C3380" s="131" t="s">
        <v>249</v>
      </c>
      <c r="D3380" s="132" t="n">
        <v>46571</v>
      </c>
      <c r="E3380" s="131" t="s">
        <v>56</v>
      </c>
      <c r="F3380" s="133" t="s">
        <v>11</v>
      </c>
      <c r="G3380" s="134" t="n">
        <f aca="false">LEN('Saisie programme'!$I$157)+SUMIFS('Vols additionnels'!$E$7:$E$66,'Vols additionnels'!$C$7:$C$66,$E3380,'Vols additionnels'!$D$7:$D$66,$F3380,'Vols additionnels'!$B$7:$B$66,$D3380)</f>
        <v>0</v>
      </c>
      <c r="H3380" s="135" t="n">
        <f aca="false">$G3380*'Analyse capacite'!$F$7</f>
        <v>0</v>
      </c>
      <c r="I3380" s="135" t="n">
        <f aca="false">$G3380*'Analyse capacite'!$C$7</f>
        <v>0</v>
      </c>
      <c r="J3380" s="135" t="n">
        <f aca="false">$G3380*'Analyse capacite'!$D$7</f>
        <v>0</v>
      </c>
      <c r="K3380" s="135" t="n">
        <f aca="false">$G3380*'Analyse capacite'!$E$7</f>
        <v>0</v>
      </c>
    </row>
    <row r="3381" customFormat="false" ht="15" hidden="false" customHeight="false" outlineLevel="0" collapsed="false">
      <c r="B3381" s="130" t="n">
        <v>2027</v>
      </c>
      <c r="C3381" s="131" t="s">
        <v>249</v>
      </c>
      <c r="D3381" s="132" t="n">
        <v>46571</v>
      </c>
      <c r="E3381" s="131" t="s">
        <v>56</v>
      </c>
      <c r="F3381" s="133" t="s">
        <v>19</v>
      </c>
      <c r="G3381" s="134" t="n">
        <f aca="false">LEN('Saisie programme'!$I$158)+SUMIFS('Vols additionnels'!$E$7:$E$66,'Vols additionnels'!$C$7:$C$66,$E3381,'Vols additionnels'!$D$7:$D$66,$F3381,'Vols additionnels'!$B$7:$B$66,$D3381)</f>
        <v>0</v>
      </c>
      <c r="H3381" s="135" t="n">
        <f aca="false">$G3381*'Analyse capacite'!$F$8</f>
        <v>0</v>
      </c>
      <c r="I3381" s="135" t="n">
        <f aca="false">$G3381*'Analyse capacite'!$C$8</f>
        <v>0</v>
      </c>
      <c r="J3381" s="135" t="n">
        <f aca="false">$G3381*'Analyse capacite'!$D$8</f>
        <v>0</v>
      </c>
      <c r="K3381" s="135" t="n">
        <f aca="false">$G3381*'Analyse capacite'!$E$8</f>
        <v>0</v>
      </c>
    </row>
    <row r="3382" customFormat="false" ht="15" hidden="false" customHeight="false" outlineLevel="0" collapsed="false">
      <c r="B3382" s="130" t="n">
        <v>2027</v>
      </c>
      <c r="C3382" s="131" t="s">
        <v>249</v>
      </c>
      <c r="D3382" s="132" t="n">
        <v>46571</v>
      </c>
      <c r="E3382" s="131" t="s">
        <v>56</v>
      </c>
      <c r="F3382" s="133" t="s">
        <v>24</v>
      </c>
      <c r="G3382" s="134" t="n">
        <f aca="false">LEN('Saisie programme'!$I$159)+SUMIFS('Vols additionnels'!$E$7:$E$66,'Vols additionnels'!$C$7:$C$66,$E3382,'Vols additionnels'!$D$7:$D$66,$F3382,'Vols additionnels'!$B$7:$B$66,$D3382)</f>
        <v>1</v>
      </c>
      <c r="H3382" s="135" t="n">
        <f aca="false">$G3382*'Analyse capacite'!$F$9</f>
        <v>174</v>
      </c>
      <c r="I3382" s="135" t="n">
        <f aca="false">$G3382*'Analyse capacite'!$C$9</f>
        <v>0</v>
      </c>
      <c r="J3382" s="135" t="n">
        <f aca="false">$G3382*'Analyse capacite'!$D$9</f>
        <v>12</v>
      </c>
      <c r="K3382" s="135" t="n">
        <f aca="false">$G3382*'Analyse capacite'!$E$9</f>
        <v>162</v>
      </c>
    </row>
    <row r="3383" customFormat="false" ht="15" hidden="false" customHeight="false" outlineLevel="0" collapsed="false">
      <c r="B3383" s="130" t="n">
        <v>2027</v>
      </c>
      <c r="C3383" s="131" t="s">
        <v>249</v>
      </c>
      <c r="D3383" s="132" t="n">
        <v>46571</v>
      </c>
      <c r="E3383" s="131" t="s">
        <v>59</v>
      </c>
      <c r="F3383" s="133" t="s">
        <v>11</v>
      </c>
      <c r="G3383" s="134" t="n">
        <f aca="false">LEN('Saisie programme'!$I$160)+SUMIFS('Vols additionnels'!$E$7:$E$66,'Vols additionnels'!$C$7:$C$66,$E3383,'Vols additionnels'!$D$7:$D$66,$F3383,'Vols additionnels'!$B$7:$B$66,$D3383)</f>
        <v>0</v>
      </c>
      <c r="H3383" s="135" t="n">
        <f aca="false">$G3383*'Analyse capacite'!$F$7</f>
        <v>0</v>
      </c>
      <c r="I3383" s="135" t="n">
        <f aca="false">$G3383*'Analyse capacite'!$C$7</f>
        <v>0</v>
      </c>
      <c r="J3383" s="135" t="n">
        <f aca="false">$G3383*'Analyse capacite'!$D$7</f>
        <v>0</v>
      </c>
      <c r="K3383" s="135" t="n">
        <f aca="false">$G3383*'Analyse capacite'!$E$7</f>
        <v>0</v>
      </c>
    </row>
    <row r="3384" customFormat="false" ht="15" hidden="false" customHeight="false" outlineLevel="0" collapsed="false">
      <c r="B3384" s="130" t="n">
        <v>2027</v>
      </c>
      <c r="C3384" s="131" t="s">
        <v>249</v>
      </c>
      <c r="D3384" s="132" t="n">
        <v>46571</v>
      </c>
      <c r="E3384" s="131" t="s">
        <v>59</v>
      </c>
      <c r="F3384" s="133" t="s">
        <v>19</v>
      </c>
      <c r="G3384" s="134" t="n">
        <f aca="false">LEN('Saisie programme'!$I$161)+SUMIFS('Vols additionnels'!$E$7:$E$66,'Vols additionnels'!$C$7:$C$66,$E3384,'Vols additionnels'!$D$7:$D$66,$F3384,'Vols additionnels'!$B$7:$B$66,$D3384)</f>
        <v>0</v>
      </c>
      <c r="H3384" s="135" t="n">
        <f aca="false">$G3384*'Analyse capacite'!$F$8</f>
        <v>0</v>
      </c>
      <c r="I3384" s="135" t="n">
        <f aca="false">$G3384*'Analyse capacite'!$C$8</f>
        <v>0</v>
      </c>
      <c r="J3384" s="135" t="n">
        <f aca="false">$G3384*'Analyse capacite'!$D$8</f>
        <v>0</v>
      </c>
      <c r="K3384" s="135" t="n">
        <f aca="false">$G3384*'Analyse capacite'!$E$8</f>
        <v>0</v>
      </c>
    </row>
    <row r="3385" customFormat="false" ht="15" hidden="false" customHeight="false" outlineLevel="0" collapsed="false">
      <c r="B3385" s="130" t="n">
        <v>2027</v>
      </c>
      <c r="C3385" s="131" t="s">
        <v>249</v>
      </c>
      <c r="D3385" s="132" t="n">
        <v>46571</v>
      </c>
      <c r="E3385" s="131" t="s">
        <v>59</v>
      </c>
      <c r="F3385" s="133" t="s">
        <v>24</v>
      </c>
      <c r="G3385" s="134" t="n">
        <f aca="false">LEN('Saisie programme'!$I$162)+SUMIFS('Vols additionnels'!$E$7:$E$66,'Vols additionnels'!$C$7:$C$66,$E3385,'Vols additionnels'!$D$7:$D$66,$F3385,'Vols additionnels'!$B$7:$B$66,$D3385)</f>
        <v>1</v>
      </c>
      <c r="H3385" s="135" t="n">
        <f aca="false">$G3385*'Analyse capacite'!$F$9</f>
        <v>174</v>
      </c>
      <c r="I3385" s="135" t="n">
        <f aca="false">$G3385*'Analyse capacite'!$C$9</f>
        <v>0</v>
      </c>
      <c r="J3385" s="135" t="n">
        <f aca="false">$G3385*'Analyse capacite'!$D$9</f>
        <v>12</v>
      </c>
      <c r="K3385" s="135" t="n">
        <f aca="false">$G3385*'Analyse capacite'!$E$9</f>
        <v>162</v>
      </c>
    </row>
    <row r="3386" customFormat="false" ht="15" hidden="false" customHeight="false" outlineLevel="0" collapsed="false">
      <c r="B3386" s="130" t="n">
        <v>2027</v>
      </c>
      <c r="C3386" s="131" t="s">
        <v>249</v>
      </c>
      <c r="D3386" s="132" t="n">
        <v>46571</v>
      </c>
      <c r="E3386" s="131" t="s">
        <v>62</v>
      </c>
      <c r="F3386" s="133" t="s">
        <v>11</v>
      </c>
      <c r="G3386" s="134" t="n">
        <f aca="false">LEN('Saisie programme'!$I$163)+SUMIFS('Vols additionnels'!$E$7:$E$66,'Vols additionnels'!$C$7:$C$66,$E3386,'Vols additionnels'!$D$7:$D$66,$F3386,'Vols additionnels'!$B$7:$B$66,$D3386)</f>
        <v>0</v>
      </c>
      <c r="H3386" s="135" t="n">
        <f aca="false">$G3386*'Analyse capacite'!$F$7</f>
        <v>0</v>
      </c>
      <c r="I3386" s="135" t="n">
        <f aca="false">$G3386*'Analyse capacite'!$C$7</f>
        <v>0</v>
      </c>
      <c r="J3386" s="135" t="n">
        <f aca="false">$G3386*'Analyse capacite'!$D$7</f>
        <v>0</v>
      </c>
      <c r="K3386" s="135" t="n">
        <f aca="false">$G3386*'Analyse capacite'!$E$7</f>
        <v>0</v>
      </c>
    </row>
    <row r="3387" customFormat="false" ht="15" hidden="false" customHeight="false" outlineLevel="0" collapsed="false">
      <c r="B3387" s="130" t="n">
        <v>2027</v>
      </c>
      <c r="C3387" s="131" t="s">
        <v>249</v>
      </c>
      <c r="D3387" s="132" t="n">
        <v>46571</v>
      </c>
      <c r="E3387" s="131" t="s">
        <v>62</v>
      </c>
      <c r="F3387" s="133" t="s">
        <v>19</v>
      </c>
      <c r="G3387" s="134" t="n">
        <f aca="false">LEN('Saisie programme'!$I$164)+SUMIFS('Vols additionnels'!$E$7:$E$66,'Vols additionnels'!$C$7:$C$66,$E3387,'Vols additionnels'!$D$7:$D$66,$F3387,'Vols additionnels'!$B$7:$B$66,$D3387)</f>
        <v>0</v>
      </c>
      <c r="H3387" s="135" t="n">
        <f aca="false">$G3387*'Analyse capacite'!$F$8</f>
        <v>0</v>
      </c>
      <c r="I3387" s="135" t="n">
        <f aca="false">$G3387*'Analyse capacite'!$C$8</f>
        <v>0</v>
      </c>
      <c r="J3387" s="135" t="n">
        <f aca="false">$G3387*'Analyse capacite'!$D$8</f>
        <v>0</v>
      </c>
      <c r="K3387" s="135" t="n">
        <f aca="false">$G3387*'Analyse capacite'!$E$8</f>
        <v>0</v>
      </c>
    </row>
    <row r="3388" customFormat="false" ht="15" hidden="false" customHeight="false" outlineLevel="0" collapsed="false">
      <c r="B3388" s="130" t="n">
        <v>2027</v>
      </c>
      <c r="C3388" s="131" t="s">
        <v>249</v>
      </c>
      <c r="D3388" s="132" t="n">
        <v>46571</v>
      </c>
      <c r="E3388" s="131" t="s">
        <v>62</v>
      </c>
      <c r="F3388" s="133" t="s">
        <v>24</v>
      </c>
      <c r="G3388" s="134" t="n">
        <f aca="false">LEN('Saisie programme'!$I$165)+SUMIFS('Vols additionnels'!$E$7:$E$66,'Vols additionnels'!$C$7:$C$66,$E3388,'Vols additionnels'!$D$7:$D$66,$F3388,'Vols additionnels'!$B$7:$B$66,$D3388)</f>
        <v>0</v>
      </c>
      <c r="H3388" s="135" t="n">
        <f aca="false">$G3388*'Analyse capacite'!$F$9</f>
        <v>0</v>
      </c>
      <c r="I3388" s="135" t="n">
        <f aca="false">$G3388*'Analyse capacite'!$C$9</f>
        <v>0</v>
      </c>
      <c r="J3388" s="135" t="n">
        <f aca="false">$G3388*'Analyse capacite'!$D$9</f>
        <v>0</v>
      </c>
      <c r="K3388" s="135" t="n">
        <f aca="false">$G3388*'Analyse capacite'!$E$9</f>
        <v>0</v>
      </c>
    </row>
    <row r="3389" customFormat="false" ht="15" hidden="false" customHeight="false" outlineLevel="0" collapsed="false">
      <c r="B3389" s="130" t="n">
        <v>2027</v>
      </c>
      <c r="C3389" s="131" t="s">
        <v>249</v>
      </c>
      <c r="D3389" s="132" t="n">
        <v>46572</v>
      </c>
      <c r="E3389" s="131" t="s">
        <v>12</v>
      </c>
      <c r="F3389" s="133" t="s">
        <v>11</v>
      </c>
      <c r="G3389" s="134" t="n">
        <f aca="false">LEN('Saisie programme'!$J$130)+SUMIFS('Vols additionnels'!$E$7:$E$66,'Vols additionnels'!$C$7:$C$66,$E3389,'Vols additionnels'!$D$7:$D$66,$F3389,'Vols additionnels'!$B$7:$B$66,$D3389)</f>
        <v>1</v>
      </c>
      <c r="H3389" s="135" t="n">
        <f aca="false">$G3389*'Analyse capacite'!$F$7</f>
        <v>438</v>
      </c>
      <c r="I3389" s="135" t="n">
        <f aca="false">$G3389*'Analyse capacite'!$C$7</f>
        <v>14</v>
      </c>
      <c r="J3389" s="135" t="n">
        <f aca="false">$G3389*'Analyse capacite'!$D$7</f>
        <v>40</v>
      </c>
      <c r="K3389" s="135" t="n">
        <f aca="false">$G3389*'Analyse capacite'!$E$7</f>
        <v>384</v>
      </c>
    </row>
    <row r="3390" customFormat="false" ht="15" hidden="false" customHeight="false" outlineLevel="0" collapsed="false">
      <c r="B3390" s="130" t="n">
        <v>2027</v>
      </c>
      <c r="C3390" s="131" t="s">
        <v>249</v>
      </c>
      <c r="D3390" s="132" t="n">
        <v>46572</v>
      </c>
      <c r="E3390" s="131" t="s">
        <v>12</v>
      </c>
      <c r="F3390" s="133" t="s">
        <v>19</v>
      </c>
      <c r="G3390" s="134" t="n">
        <f aca="false">LEN('Saisie programme'!$J$131)+SUMIFS('Vols additionnels'!$E$7:$E$66,'Vols additionnels'!$C$7:$C$66,$E3390,'Vols additionnels'!$D$7:$D$66,$F3390,'Vols additionnels'!$B$7:$B$66,$D3390)</f>
        <v>0</v>
      </c>
      <c r="H3390" s="135" t="n">
        <f aca="false">$G3390*'Analyse capacite'!$F$8</f>
        <v>0</v>
      </c>
      <c r="I3390" s="135" t="n">
        <f aca="false">$G3390*'Analyse capacite'!$C$8</f>
        <v>0</v>
      </c>
      <c r="J3390" s="135" t="n">
        <f aca="false">$G3390*'Analyse capacite'!$D$8</f>
        <v>0</v>
      </c>
      <c r="K3390" s="135" t="n">
        <f aca="false">$G3390*'Analyse capacite'!$E$8</f>
        <v>0</v>
      </c>
    </row>
    <row r="3391" customFormat="false" ht="15" hidden="false" customHeight="false" outlineLevel="0" collapsed="false">
      <c r="B3391" s="130" t="n">
        <v>2027</v>
      </c>
      <c r="C3391" s="131" t="s">
        <v>249</v>
      </c>
      <c r="D3391" s="132" t="n">
        <v>46572</v>
      </c>
      <c r="E3391" s="131" t="s">
        <v>12</v>
      </c>
      <c r="F3391" s="133" t="s">
        <v>24</v>
      </c>
      <c r="G3391" s="134" t="n">
        <f aca="false">LEN('Saisie programme'!$J$132)+SUMIFS('Vols additionnels'!$E$7:$E$66,'Vols additionnels'!$C$7:$C$66,$E3391,'Vols additionnels'!$D$7:$D$66,$F3391,'Vols additionnels'!$B$7:$B$66,$D3391)</f>
        <v>0</v>
      </c>
      <c r="H3391" s="135" t="n">
        <f aca="false">$G3391*'Analyse capacite'!$F$9</f>
        <v>0</v>
      </c>
      <c r="I3391" s="135" t="n">
        <f aca="false">$G3391*'Analyse capacite'!$C$9</f>
        <v>0</v>
      </c>
      <c r="J3391" s="135" t="n">
        <f aca="false">$G3391*'Analyse capacite'!$D$9</f>
        <v>0</v>
      </c>
      <c r="K3391" s="135" t="n">
        <f aca="false">$G3391*'Analyse capacite'!$E$9</f>
        <v>0</v>
      </c>
    </row>
    <row r="3392" customFormat="false" ht="15" hidden="false" customHeight="false" outlineLevel="0" collapsed="false">
      <c r="B3392" s="130" t="n">
        <v>2027</v>
      </c>
      <c r="C3392" s="131" t="s">
        <v>249</v>
      </c>
      <c r="D3392" s="132" t="n">
        <v>46572</v>
      </c>
      <c r="E3392" s="131" t="s">
        <v>20</v>
      </c>
      <c r="F3392" s="133" t="s">
        <v>11</v>
      </c>
      <c r="G3392" s="134" t="n">
        <f aca="false">LEN('Saisie programme'!$J$133)+SUMIFS('Vols additionnels'!$E$7:$E$66,'Vols additionnels'!$C$7:$C$66,$E3392,'Vols additionnels'!$D$7:$D$66,$F3392,'Vols additionnels'!$B$7:$B$66,$D3392)</f>
        <v>1</v>
      </c>
      <c r="H3392" s="135" t="n">
        <f aca="false">$G3392*'Analyse capacite'!$F$7</f>
        <v>438</v>
      </c>
      <c r="I3392" s="135" t="n">
        <f aca="false">$G3392*'Analyse capacite'!$C$7</f>
        <v>14</v>
      </c>
      <c r="J3392" s="135" t="n">
        <f aca="false">$G3392*'Analyse capacite'!$D$7</f>
        <v>40</v>
      </c>
      <c r="K3392" s="135" t="n">
        <f aca="false">$G3392*'Analyse capacite'!$E$7</f>
        <v>384</v>
      </c>
    </row>
    <row r="3393" customFormat="false" ht="15" hidden="false" customHeight="false" outlineLevel="0" collapsed="false">
      <c r="B3393" s="130" t="n">
        <v>2027</v>
      </c>
      <c r="C3393" s="131" t="s">
        <v>249</v>
      </c>
      <c r="D3393" s="132" t="n">
        <v>46572</v>
      </c>
      <c r="E3393" s="131" t="s">
        <v>20</v>
      </c>
      <c r="F3393" s="133" t="s">
        <v>19</v>
      </c>
      <c r="G3393" s="134" t="n">
        <f aca="false">LEN('Saisie programme'!$J$134)+SUMIFS('Vols additionnels'!$E$7:$E$66,'Vols additionnels'!$C$7:$C$66,$E3393,'Vols additionnels'!$D$7:$D$66,$F3393,'Vols additionnels'!$B$7:$B$66,$D3393)</f>
        <v>0</v>
      </c>
      <c r="H3393" s="135" t="n">
        <f aca="false">$G3393*'Analyse capacite'!$F$8</f>
        <v>0</v>
      </c>
      <c r="I3393" s="135" t="n">
        <f aca="false">$G3393*'Analyse capacite'!$C$8</f>
        <v>0</v>
      </c>
      <c r="J3393" s="135" t="n">
        <f aca="false">$G3393*'Analyse capacite'!$D$8</f>
        <v>0</v>
      </c>
      <c r="K3393" s="135" t="n">
        <f aca="false">$G3393*'Analyse capacite'!$E$8</f>
        <v>0</v>
      </c>
    </row>
    <row r="3394" customFormat="false" ht="15" hidden="false" customHeight="false" outlineLevel="0" collapsed="false">
      <c r="B3394" s="130" t="n">
        <v>2027</v>
      </c>
      <c r="C3394" s="131" t="s">
        <v>249</v>
      </c>
      <c r="D3394" s="132" t="n">
        <v>46572</v>
      </c>
      <c r="E3394" s="131" t="s">
        <v>20</v>
      </c>
      <c r="F3394" s="133" t="s">
        <v>24</v>
      </c>
      <c r="G3394" s="134" t="n">
        <f aca="false">LEN('Saisie programme'!$J$135)+SUMIFS('Vols additionnels'!$E$7:$E$66,'Vols additionnels'!$C$7:$C$66,$E3394,'Vols additionnels'!$D$7:$D$66,$F3394,'Vols additionnels'!$B$7:$B$66,$D3394)</f>
        <v>0</v>
      </c>
      <c r="H3394" s="135" t="n">
        <f aca="false">$G3394*'Analyse capacite'!$F$9</f>
        <v>0</v>
      </c>
      <c r="I3394" s="135" t="n">
        <f aca="false">$G3394*'Analyse capacite'!$C$9</f>
        <v>0</v>
      </c>
      <c r="J3394" s="135" t="n">
        <f aca="false">$G3394*'Analyse capacite'!$D$9</f>
        <v>0</v>
      </c>
      <c r="K3394" s="135" t="n">
        <f aca="false">$G3394*'Analyse capacite'!$E$9</f>
        <v>0</v>
      </c>
    </row>
    <row r="3395" customFormat="false" ht="15" hidden="false" customHeight="false" outlineLevel="0" collapsed="false">
      <c r="B3395" s="130" t="n">
        <v>2027</v>
      </c>
      <c r="C3395" s="131" t="s">
        <v>249</v>
      </c>
      <c r="D3395" s="132" t="n">
        <v>46572</v>
      </c>
      <c r="E3395" s="131" t="s">
        <v>25</v>
      </c>
      <c r="F3395" s="133" t="s">
        <v>11</v>
      </c>
      <c r="G3395" s="134" t="n">
        <f aca="false">LEN('Saisie programme'!$J$136)+SUMIFS('Vols additionnels'!$E$7:$E$66,'Vols additionnels'!$C$7:$C$66,$E3395,'Vols additionnels'!$D$7:$D$66,$F3395,'Vols additionnels'!$B$7:$B$66,$D3395)</f>
        <v>0</v>
      </c>
      <c r="H3395" s="135" t="n">
        <f aca="false">$G3395*'Analyse capacite'!$F$7</f>
        <v>0</v>
      </c>
      <c r="I3395" s="135" t="n">
        <f aca="false">$G3395*'Analyse capacite'!$C$7</f>
        <v>0</v>
      </c>
      <c r="J3395" s="135" t="n">
        <f aca="false">$G3395*'Analyse capacite'!$D$7</f>
        <v>0</v>
      </c>
      <c r="K3395" s="135" t="n">
        <f aca="false">$G3395*'Analyse capacite'!$E$7</f>
        <v>0</v>
      </c>
    </row>
    <row r="3396" customFormat="false" ht="15" hidden="false" customHeight="false" outlineLevel="0" collapsed="false">
      <c r="B3396" s="130" t="n">
        <v>2027</v>
      </c>
      <c r="C3396" s="131" t="s">
        <v>249</v>
      </c>
      <c r="D3396" s="132" t="n">
        <v>46572</v>
      </c>
      <c r="E3396" s="131" t="s">
        <v>25</v>
      </c>
      <c r="F3396" s="133" t="s">
        <v>19</v>
      </c>
      <c r="G3396" s="134" t="n">
        <f aca="false">LEN('Saisie programme'!$J$137)+SUMIFS('Vols additionnels'!$E$7:$E$66,'Vols additionnels'!$C$7:$C$66,$E3396,'Vols additionnels'!$D$7:$D$66,$F3396,'Vols additionnels'!$B$7:$B$66,$D3396)</f>
        <v>0</v>
      </c>
      <c r="H3396" s="135" t="n">
        <f aca="false">$G3396*'Analyse capacite'!$F$8</f>
        <v>0</v>
      </c>
      <c r="I3396" s="135" t="n">
        <f aca="false">$G3396*'Analyse capacite'!$C$8</f>
        <v>0</v>
      </c>
      <c r="J3396" s="135" t="n">
        <f aca="false">$G3396*'Analyse capacite'!$D$8</f>
        <v>0</v>
      </c>
      <c r="K3396" s="135" t="n">
        <f aca="false">$G3396*'Analyse capacite'!$E$8</f>
        <v>0</v>
      </c>
    </row>
    <row r="3397" customFormat="false" ht="15" hidden="false" customHeight="false" outlineLevel="0" collapsed="false">
      <c r="B3397" s="130" t="n">
        <v>2027</v>
      </c>
      <c r="C3397" s="131" t="s">
        <v>249</v>
      </c>
      <c r="D3397" s="132" t="n">
        <v>46572</v>
      </c>
      <c r="E3397" s="131" t="s">
        <v>25</v>
      </c>
      <c r="F3397" s="133" t="s">
        <v>24</v>
      </c>
      <c r="G3397" s="134" t="n">
        <f aca="false">LEN('Saisie programme'!$J$138)+SUMIFS('Vols additionnels'!$E$7:$E$66,'Vols additionnels'!$C$7:$C$66,$E3397,'Vols additionnels'!$D$7:$D$66,$F3397,'Vols additionnels'!$B$7:$B$66,$D3397)</f>
        <v>0</v>
      </c>
      <c r="H3397" s="135" t="n">
        <f aca="false">$G3397*'Analyse capacite'!$F$9</f>
        <v>0</v>
      </c>
      <c r="I3397" s="135" t="n">
        <f aca="false">$G3397*'Analyse capacite'!$C$9</f>
        <v>0</v>
      </c>
      <c r="J3397" s="135" t="n">
        <f aca="false">$G3397*'Analyse capacite'!$D$9</f>
        <v>0</v>
      </c>
      <c r="K3397" s="135" t="n">
        <f aca="false">$G3397*'Analyse capacite'!$E$9</f>
        <v>0</v>
      </c>
    </row>
    <row r="3398" customFormat="false" ht="15" hidden="false" customHeight="false" outlineLevel="0" collapsed="false">
      <c r="B3398" s="130" t="n">
        <v>2027</v>
      </c>
      <c r="C3398" s="131" t="s">
        <v>249</v>
      </c>
      <c r="D3398" s="132" t="n">
        <v>46572</v>
      </c>
      <c r="E3398" s="131" t="s">
        <v>36</v>
      </c>
      <c r="F3398" s="133" t="s">
        <v>11</v>
      </c>
      <c r="G3398" s="134" t="n">
        <f aca="false">LEN('Saisie programme'!$J$139)+SUMIFS('Vols additionnels'!$E$7:$E$66,'Vols additionnels'!$C$7:$C$66,$E3398,'Vols additionnels'!$D$7:$D$66,$F3398,'Vols additionnels'!$B$7:$B$66,$D3398)</f>
        <v>0</v>
      </c>
      <c r="H3398" s="135" t="n">
        <f aca="false">$G3398*'Analyse capacite'!$F$7</f>
        <v>0</v>
      </c>
      <c r="I3398" s="135" t="n">
        <f aca="false">$G3398*'Analyse capacite'!$C$7</f>
        <v>0</v>
      </c>
      <c r="J3398" s="135" t="n">
        <f aca="false">$G3398*'Analyse capacite'!$D$7</f>
        <v>0</v>
      </c>
      <c r="K3398" s="135" t="n">
        <f aca="false">$G3398*'Analyse capacite'!$E$7</f>
        <v>0</v>
      </c>
    </row>
    <row r="3399" customFormat="false" ht="15" hidden="false" customHeight="false" outlineLevel="0" collapsed="false">
      <c r="B3399" s="130" t="n">
        <v>2027</v>
      </c>
      <c r="C3399" s="131" t="s">
        <v>249</v>
      </c>
      <c r="D3399" s="132" t="n">
        <v>46572</v>
      </c>
      <c r="E3399" s="131" t="s">
        <v>36</v>
      </c>
      <c r="F3399" s="133" t="s">
        <v>19</v>
      </c>
      <c r="G3399" s="134" t="n">
        <f aca="false">LEN('Saisie programme'!$J$140)+SUMIFS('Vols additionnels'!$E$7:$E$66,'Vols additionnels'!$C$7:$C$66,$E3399,'Vols additionnels'!$D$7:$D$66,$F3399,'Vols additionnels'!$B$7:$B$66,$D3399)</f>
        <v>0</v>
      </c>
      <c r="H3399" s="135" t="n">
        <f aca="false">$G3399*'Analyse capacite'!$F$8</f>
        <v>0</v>
      </c>
      <c r="I3399" s="135" t="n">
        <f aca="false">$G3399*'Analyse capacite'!$C$8</f>
        <v>0</v>
      </c>
      <c r="J3399" s="135" t="n">
        <f aca="false">$G3399*'Analyse capacite'!$D$8</f>
        <v>0</v>
      </c>
      <c r="K3399" s="135" t="n">
        <f aca="false">$G3399*'Analyse capacite'!$E$8</f>
        <v>0</v>
      </c>
    </row>
    <row r="3400" customFormat="false" ht="15" hidden="false" customHeight="false" outlineLevel="0" collapsed="false">
      <c r="B3400" s="130" t="n">
        <v>2027</v>
      </c>
      <c r="C3400" s="131" t="s">
        <v>249</v>
      </c>
      <c r="D3400" s="132" t="n">
        <v>46572</v>
      </c>
      <c r="E3400" s="131" t="s">
        <v>36</v>
      </c>
      <c r="F3400" s="133" t="s">
        <v>24</v>
      </c>
      <c r="G3400" s="134" t="n">
        <f aca="false">LEN('Saisie programme'!$J$141)+SUMIFS('Vols additionnels'!$E$7:$E$66,'Vols additionnels'!$C$7:$C$66,$E3400,'Vols additionnels'!$D$7:$D$66,$F3400,'Vols additionnels'!$B$7:$B$66,$D3400)</f>
        <v>0</v>
      </c>
      <c r="H3400" s="135" t="n">
        <f aca="false">$G3400*'Analyse capacite'!$F$9</f>
        <v>0</v>
      </c>
      <c r="I3400" s="135" t="n">
        <f aca="false">$G3400*'Analyse capacite'!$C$9</f>
        <v>0</v>
      </c>
      <c r="J3400" s="135" t="n">
        <f aca="false">$G3400*'Analyse capacite'!$D$9</f>
        <v>0</v>
      </c>
      <c r="K3400" s="135" t="n">
        <f aca="false">$G3400*'Analyse capacite'!$E$9</f>
        <v>0</v>
      </c>
    </row>
    <row r="3401" customFormat="false" ht="15" hidden="false" customHeight="false" outlineLevel="0" collapsed="false">
      <c r="B3401" s="130" t="n">
        <v>2027</v>
      </c>
      <c r="C3401" s="131" t="s">
        <v>249</v>
      </c>
      <c r="D3401" s="132" t="n">
        <v>46572</v>
      </c>
      <c r="E3401" s="131" t="s">
        <v>40</v>
      </c>
      <c r="F3401" s="133" t="s">
        <v>11</v>
      </c>
      <c r="G3401" s="134" t="n">
        <f aca="false">LEN('Saisie programme'!$J$142)+SUMIFS('Vols additionnels'!$E$7:$E$66,'Vols additionnels'!$C$7:$C$66,$E3401,'Vols additionnels'!$D$7:$D$66,$F3401,'Vols additionnels'!$B$7:$B$66,$D3401)</f>
        <v>0</v>
      </c>
      <c r="H3401" s="135" t="n">
        <f aca="false">$G3401*'Analyse capacite'!$F$7</f>
        <v>0</v>
      </c>
      <c r="I3401" s="135" t="n">
        <f aca="false">$G3401*'Analyse capacite'!$C$7</f>
        <v>0</v>
      </c>
      <c r="J3401" s="135" t="n">
        <f aca="false">$G3401*'Analyse capacite'!$D$7</f>
        <v>0</v>
      </c>
      <c r="K3401" s="135" t="n">
        <f aca="false">$G3401*'Analyse capacite'!$E$7</f>
        <v>0</v>
      </c>
    </row>
    <row r="3402" customFormat="false" ht="15" hidden="false" customHeight="false" outlineLevel="0" collapsed="false">
      <c r="B3402" s="130" t="n">
        <v>2027</v>
      </c>
      <c r="C3402" s="131" t="s">
        <v>249</v>
      </c>
      <c r="D3402" s="132" t="n">
        <v>46572</v>
      </c>
      <c r="E3402" s="131" t="s">
        <v>40</v>
      </c>
      <c r="F3402" s="133" t="s">
        <v>19</v>
      </c>
      <c r="G3402" s="134" t="n">
        <f aca="false">LEN('Saisie programme'!$J$143)+SUMIFS('Vols additionnels'!$E$7:$E$66,'Vols additionnels'!$C$7:$C$66,$E3402,'Vols additionnels'!$D$7:$D$66,$F3402,'Vols additionnels'!$B$7:$B$66,$D3402)</f>
        <v>0</v>
      </c>
      <c r="H3402" s="135" t="n">
        <f aca="false">$G3402*'Analyse capacite'!$F$8</f>
        <v>0</v>
      </c>
      <c r="I3402" s="135" t="n">
        <f aca="false">$G3402*'Analyse capacite'!$C$8</f>
        <v>0</v>
      </c>
      <c r="J3402" s="135" t="n">
        <f aca="false">$G3402*'Analyse capacite'!$D$8</f>
        <v>0</v>
      </c>
      <c r="K3402" s="135" t="n">
        <f aca="false">$G3402*'Analyse capacite'!$E$8</f>
        <v>0</v>
      </c>
    </row>
    <row r="3403" customFormat="false" ht="15" hidden="false" customHeight="false" outlineLevel="0" collapsed="false">
      <c r="B3403" s="130" t="n">
        <v>2027</v>
      </c>
      <c r="C3403" s="131" t="s">
        <v>249</v>
      </c>
      <c r="D3403" s="132" t="n">
        <v>46572</v>
      </c>
      <c r="E3403" s="131" t="s">
        <v>40</v>
      </c>
      <c r="F3403" s="133" t="s">
        <v>24</v>
      </c>
      <c r="G3403" s="134" t="n">
        <f aca="false">LEN('Saisie programme'!$J$144)+SUMIFS('Vols additionnels'!$E$7:$E$66,'Vols additionnels'!$C$7:$C$66,$E3403,'Vols additionnels'!$D$7:$D$66,$F3403,'Vols additionnels'!$B$7:$B$66,$D3403)</f>
        <v>1</v>
      </c>
      <c r="H3403" s="135" t="n">
        <f aca="false">$G3403*'Analyse capacite'!$F$9</f>
        <v>174</v>
      </c>
      <c r="I3403" s="135" t="n">
        <f aca="false">$G3403*'Analyse capacite'!$C$9</f>
        <v>0</v>
      </c>
      <c r="J3403" s="135" t="n">
        <f aca="false">$G3403*'Analyse capacite'!$D$9</f>
        <v>12</v>
      </c>
      <c r="K3403" s="135" t="n">
        <f aca="false">$G3403*'Analyse capacite'!$E$9</f>
        <v>162</v>
      </c>
    </row>
    <row r="3404" customFormat="false" ht="15" hidden="false" customHeight="false" outlineLevel="0" collapsed="false">
      <c r="B3404" s="130" t="n">
        <v>2027</v>
      </c>
      <c r="C3404" s="131" t="s">
        <v>249</v>
      </c>
      <c r="D3404" s="132" t="n">
        <v>46572</v>
      </c>
      <c r="E3404" s="131" t="s">
        <v>14</v>
      </c>
      <c r="F3404" s="133" t="s">
        <v>11</v>
      </c>
      <c r="G3404" s="134" t="n">
        <f aca="false">LEN('Saisie programme'!$J$145)+SUMIFS('Vols additionnels'!$E$7:$E$66,'Vols additionnels'!$C$7:$C$66,$E3404,'Vols additionnels'!$D$7:$D$66,$F3404,'Vols additionnels'!$B$7:$B$66,$D3404)</f>
        <v>0</v>
      </c>
      <c r="H3404" s="135" t="n">
        <f aca="false">$G3404*'Analyse capacite'!$F$7</f>
        <v>0</v>
      </c>
      <c r="I3404" s="135" t="n">
        <f aca="false">$G3404*'Analyse capacite'!$C$7</f>
        <v>0</v>
      </c>
      <c r="J3404" s="135" t="n">
        <f aca="false">$G3404*'Analyse capacite'!$D$7</f>
        <v>0</v>
      </c>
      <c r="K3404" s="135" t="n">
        <f aca="false">$G3404*'Analyse capacite'!$E$7</f>
        <v>0</v>
      </c>
    </row>
    <row r="3405" customFormat="false" ht="15" hidden="false" customHeight="false" outlineLevel="0" collapsed="false">
      <c r="B3405" s="130" t="n">
        <v>2027</v>
      </c>
      <c r="C3405" s="131" t="s">
        <v>249</v>
      </c>
      <c r="D3405" s="132" t="n">
        <v>46572</v>
      </c>
      <c r="E3405" s="131" t="s">
        <v>14</v>
      </c>
      <c r="F3405" s="133" t="s">
        <v>19</v>
      </c>
      <c r="G3405" s="134" t="n">
        <f aca="false">LEN('Saisie programme'!$J$146)+SUMIFS('Vols additionnels'!$E$7:$E$66,'Vols additionnels'!$C$7:$C$66,$E3405,'Vols additionnels'!$D$7:$D$66,$F3405,'Vols additionnels'!$B$7:$B$66,$D3405)</f>
        <v>0</v>
      </c>
      <c r="H3405" s="135" t="n">
        <f aca="false">$G3405*'Analyse capacite'!$F$8</f>
        <v>0</v>
      </c>
      <c r="I3405" s="135" t="n">
        <f aca="false">$G3405*'Analyse capacite'!$C$8</f>
        <v>0</v>
      </c>
      <c r="J3405" s="135" t="n">
        <f aca="false">$G3405*'Analyse capacite'!$D$8</f>
        <v>0</v>
      </c>
      <c r="K3405" s="135" t="n">
        <f aca="false">$G3405*'Analyse capacite'!$E$8</f>
        <v>0</v>
      </c>
    </row>
    <row r="3406" customFormat="false" ht="15" hidden="false" customHeight="false" outlineLevel="0" collapsed="false">
      <c r="B3406" s="130" t="n">
        <v>2027</v>
      </c>
      <c r="C3406" s="131" t="s">
        <v>249</v>
      </c>
      <c r="D3406" s="132" t="n">
        <v>46572</v>
      </c>
      <c r="E3406" s="131" t="s">
        <v>14</v>
      </c>
      <c r="F3406" s="133" t="s">
        <v>24</v>
      </c>
      <c r="G3406" s="134" t="n">
        <f aca="false">LEN('Saisie programme'!$J$147)+SUMIFS('Vols additionnels'!$E$7:$E$66,'Vols additionnels'!$C$7:$C$66,$E3406,'Vols additionnels'!$D$7:$D$66,$F3406,'Vols additionnels'!$B$7:$B$66,$D3406)</f>
        <v>0</v>
      </c>
      <c r="H3406" s="135" t="n">
        <f aca="false">$G3406*'Analyse capacite'!$F$9</f>
        <v>0</v>
      </c>
      <c r="I3406" s="135" t="n">
        <f aca="false">$G3406*'Analyse capacite'!$C$9</f>
        <v>0</v>
      </c>
      <c r="J3406" s="135" t="n">
        <f aca="false">$G3406*'Analyse capacite'!$D$9</f>
        <v>0</v>
      </c>
      <c r="K3406" s="135" t="n">
        <f aca="false">$G3406*'Analyse capacite'!$E$9</f>
        <v>0</v>
      </c>
    </row>
    <row r="3407" customFormat="false" ht="15" hidden="false" customHeight="false" outlineLevel="0" collapsed="false">
      <c r="B3407" s="130" t="n">
        <v>2027</v>
      </c>
      <c r="C3407" s="131" t="s">
        <v>249</v>
      </c>
      <c r="D3407" s="132" t="n">
        <v>46572</v>
      </c>
      <c r="E3407" s="131" t="s">
        <v>46</v>
      </c>
      <c r="F3407" s="133" t="s">
        <v>11</v>
      </c>
      <c r="G3407" s="134" t="n">
        <f aca="false">LEN('Saisie programme'!$J$148)+SUMIFS('Vols additionnels'!$E$7:$E$66,'Vols additionnels'!$C$7:$C$66,$E3407,'Vols additionnels'!$D$7:$D$66,$F3407,'Vols additionnels'!$B$7:$B$66,$D3407)</f>
        <v>0</v>
      </c>
      <c r="H3407" s="135" t="n">
        <f aca="false">$G3407*'Analyse capacite'!$F$7</f>
        <v>0</v>
      </c>
      <c r="I3407" s="135" t="n">
        <f aca="false">$G3407*'Analyse capacite'!$C$7</f>
        <v>0</v>
      </c>
      <c r="J3407" s="135" t="n">
        <f aca="false">$G3407*'Analyse capacite'!$D$7</f>
        <v>0</v>
      </c>
      <c r="K3407" s="135" t="n">
        <f aca="false">$G3407*'Analyse capacite'!$E$7</f>
        <v>0</v>
      </c>
    </row>
    <row r="3408" customFormat="false" ht="15" hidden="false" customHeight="false" outlineLevel="0" collapsed="false">
      <c r="B3408" s="130" t="n">
        <v>2027</v>
      </c>
      <c r="C3408" s="131" t="s">
        <v>249</v>
      </c>
      <c r="D3408" s="132" t="n">
        <v>46572</v>
      </c>
      <c r="E3408" s="131" t="s">
        <v>46</v>
      </c>
      <c r="F3408" s="133" t="s">
        <v>19</v>
      </c>
      <c r="G3408" s="134" t="n">
        <f aca="false">LEN('Saisie programme'!$J$149)+SUMIFS('Vols additionnels'!$E$7:$E$66,'Vols additionnels'!$C$7:$C$66,$E3408,'Vols additionnels'!$D$7:$D$66,$F3408,'Vols additionnels'!$B$7:$B$66,$D3408)</f>
        <v>0</v>
      </c>
      <c r="H3408" s="135" t="n">
        <f aca="false">$G3408*'Analyse capacite'!$F$8</f>
        <v>0</v>
      </c>
      <c r="I3408" s="135" t="n">
        <f aca="false">$G3408*'Analyse capacite'!$C$8</f>
        <v>0</v>
      </c>
      <c r="J3408" s="135" t="n">
        <f aca="false">$G3408*'Analyse capacite'!$D$8</f>
        <v>0</v>
      </c>
      <c r="K3408" s="135" t="n">
        <f aca="false">$G3408*'Analyse capacite'!$E$8</f>
        <v>0</v>
      </c>
    </row>
    <row r="3409" customFormat="false" ht="15" hidden="false" customHeight="false" outlineLevel="0" collapsed="false">
      <c r="B3409" s="130" t="n">
        <v>2027</v>
      </c>
      <c r="C3409" s="131" t="s">
        <v>249</v>
      </c>
      <c r="D3409" s="132" t="n">
        <v>46572</v>
      </c>
      <c r="E3409" s="131" t="s">
        <v>46</v>
      </c>
      <c r="F3409" s="133" t="s">
        <v>24</v>
      </c>
      <c r="G3409" s="134" t="n">
        <f aca="false">LEN('Saisie programme'!$J$150)+SUMIFS('Vols additionnels'!$E$7:$E$66,'Vols additionnels'!$C$7:$C$66,$E3409,'Vols additionnels'!$D$7:$D$66,$F3409,'Vols additionnels'!$B$7:$B$66,$D3409)</f>
        <v>0</v>
      </c>
      <c r="H3409" s="135" t="n">
        <f aca="false">$G3409*'Analyse capacite'!$F$9</f>
        <v>0</v>
      </c>
      <c r="I3409" s="135" t="n">
        <f aca="false">$G3409*'Analyse capacite'!$C$9</f>
        <v>0</v>
      </c>
      <c r="J3409" s="135" t="n">
        <f aca="false">$G3409*'Analyse capacite'!$D$9</f>
        <v>0</v>
      </c>
      <c r="K3409" s="135" t="n">
        <f aca="false">$G3409*'Analyse capacite'!$E$9</f>
        <v>0</v>
      </c>
    </row>
    <row r="3410" customFormat="false" ht="15" hidden="false" customHeight="false" outlineLevel="0" collapsed="false">
      <c r="B3410" s="130" t="n">
        <v>2027</v>
      </c>
      <c r="C3410" s="131" t="s">
        <v>249</v>
      </c>
      <c r="D3410" s="132" t="n">
        <v>46572</v>
      </c>
      <c r="E3410" s="131" t="s">
        <v>49</v>
      </c>
      <c r="F3410" s="133" t="s">
        <v>11</v>
      </c>
      <c r="G3410" s="134" t="n">
        <f aca="false">LEN('Saisie programme'!$J$151)+SUMIFS('Vols additionnels'!$E$7:$E$66,'Vols additionnels'!$C$7:$C$66,$E3410,'Vols additionnels'!$D$7:$D$66,$F3410,'Vols additionnels'!$B$7:$B$66,$D3410)</f>
        <v>0</v>
      </c>
      <c r="H3410" s="135" t="n">
        <f aca="false">$G3410*'Analyse capacite'!$F$7</f>
        <v>0</v>
      </c>
      <c r="I3410" s="135" t="n">
        <f aca="false">$G3410*'Analyse capacite'!$C$7</f>
        <v>0</v>
      </c>
      <c r="J3410" s="135" t="n">
        <f aca="false">$G3410*'Analyse capacite'!$D$7</f>
        <v>0</v>
      </c>
      <c r="K3410" s="135" t="n">
        <f aca="false">$G3410*'Analyse capacite'!$E$7</f>
        <v>0</v>
      </c>
    </row>
    <row r="3411" customFormat="false" ht="15" hidden="false" customHeight="false" outlineLevel="0" collapsed="false">
      <c r="B3411" s="130" t="n">
        <v>2027</v>
      </c>
      <c r="C3411" s="131" t="s">
        <v>249</v>
      </c>
      <c r="D3411" s="132" t="n">
        <v>46572</v>
      </c>
      <c r="E3411" s="131" t="s">
        <v>49</v>
      </c>
      <c r="F3411" s="133" t="s">
        <v>19</v>
      </c>
      <c r="G3411" s="134" t="n">
        <f aca="false">LEN('Saisie programme'!$J$152)+SUMIFS('Vols additionnels'!$E$7:$E$66,'Vols additionnels'!$C$7:$C$66,$E3411,'Vols additionnels'!$D$7:$D$66,$F3411,'Vols additionnels'!$B$7:$B$66,$D3411)</f>
        <v>0</v>
      </c>
      <c r="H3411" s="135" t="n">
        <f aca="false">$G3411*'Analyse capacite'!$F$8</f>
        <v>0</v>
      </c>
      <c r="I3411" s="135" t="n">
        <f aca="false">$G3411*'Analyse capacite'!$C$8</f>
        <v>0</v>
      </c>
      <c r="J3411" s="135" t="n">
        <f aca="false">$G3411*'Analyse capacite'!$D$8</f>
        <v>0</v>
      </c>
      <c r="K3411" s="135" t="n">
        <f aca="false">$G3411*'Analyse capacite'!$E$8</f>
        <v>0</v>
      </c>
    </row>
    <row r="3412" customFormat="false" ht="15" hidden="false" customHeight="false" outlineLevel="0" collapsed="false">
      <c r="B3412" s="130" t="n">
        <v>2027</v>
      </c>
      <c r="C3412" s="131" t="s">
        <v>249</v>
      </c>
      <c r="D3412" s="132" t="n">
        <v>46572</v>
      </c>
      <c r="E3412" s="131" t="s">
        <v>49</v>
      </c>
      <c r="F3412" s="133" t="s">
        <v>24</v>
      </c>
      <c r="G3412" s="134" t="n">
        <f aca="false">LEN('Saisie programme'!$J$153)+SUMIFS('Vols additionnels'!$E$7:$E$66,'Vols additionnels'!$C$7:$C$66,$E3412,'Vols additionnels'!$D$7:$D$66,$F3412,'Vols additionnels'!$B$7:$B$66,$D3412)</f>
        <v>0</v>
      </c>
      <c r="H3412" s="135" t="n">
        <f aca="false">$G3412*'Analyse capacite'!$F$9</f>
        <v>0</v>
      </c>
      <c r="I3412" s="135" t="n">
        <f aca="false">$G3412*'Analyse capacite'!$C$9</f>
        <v>0</v>
      </c>
      <c r="J3412" s="135" t="n">
        <f aca="false">$G3412*'Analyse capacite'!$D$9</f>
        <v>0</v>
      </c>
      <c r="K3412" s="135" t="n">
        <f aca="false">$G3412*'Analyse capacite'!$E$9</f>
        <v>0</v>
      </c>
    </row>
    <row r="3413" customFormat="false" ht="15" hidden="false" customHeight="false" outlineLevel="0" collapsed="false">
      <c r="B3413" s="130" t="n">
        <v>2027</v>
      </c>
      <c r="C3413" s="131" t="s">
        <v>249</v>
      </c>
      <c r="D3413" s="132" t="n">
        <v>46572</v>
      </c>
      <c r="E3413" s="131" t="s">
        <v>53</v>
      </c>
      <c r="F3413" s="133" t="s">
        <v>11</v>
      </c>
      <c r="G3413" s="134" t="n">
        <f aca="false">LEN('Saisie programme'!$J$154)+SUMIFS('Vols additionnels'!$E$7:$E$66,'Vols additionnels'!$C$7:$C$66,$E3413,'Vols additionnels'!$D$7:$D$66,$F3413,'Vols additionnels'!$B$7:$B$66,$D3413)</f>
        <v>0</v>
      </c>
      <c r="H3413" s="135" t="n">
        <f aca="false">$G3413*'Analyse capacite'!$F$7</f>
        <v>0</v>
      </c>
      <c r="I3413" s="135" t="n">
        <f aca="false">$G3413*'Analyse capacite'!$C$7</f>
        <v>0</v>
      </c>
      <c r="J3413" s="135" t="n">
        <f aca="false">$G3413*'Analyse capacite'!$D$7</f>
        <v>0</v>
      </c>
      <c r="K3413" s="135" t="n">
        <f aca="false">$G3413*'Analyse capacite'!$E$7</f>
        <v>0</v>
      </c>
    </row>
    <row r="3414" customFormat="false" ht="15" hidden="false" customHeight="false" outlineLevel="0" collapsed="false">
      <c r="B3414" s="130" t="n">
        <v>2027</v>
      </c>
      <c r="C3414" s="131" t="s">
        <v>249</v>
      </c>
      <c r="D3414" s="132" t="n">
        <v>46572</v>
      </c>
      <c r="E3414" s="131" t="s">
        <v>53</v>
      </c>
      <c r="F3414" s="133" t="s">
        <v>19</v>
      </c>
      <c r="G3414" s="134" t="n">
        <f aca="false">LEN('Saisie programme'!$J$155)+SUMIFS('Vols additionnels'!$E$7:$E$66,'Vols additionnels'!$C$7:$C$66,$E3414,'Vols additionnels'!$D$7:$D$66,$F3414,'Vols additionnels'!$B$7:$B$66,$D3414)</f>
        <v>0</v>
      </c>
      <c r="H3414" s="135" t="n">
        <f aca="false">$G3414*'Analyse capacite'!$F$8</f>
        <v>0</v>
      </c>
      <c r="I3414" s="135" t="n">
        <f aca="false">$G3414*'Analyse capacite'!$C$8</f>
        <v>0</v>
      </c>
      <c r="J3414" s="135" t="n">
        <f aca="false">$G3414*'Analyse capacite'!$D$8</f>
        <v>0</v>
      </c>
      <c r="K3414" s="135" t="n">
        <f aca="false">$G3414*'Analyse capacite'!$E$8</f>
        <v>0</v>
      </c>
    </row>
    <row r="3415" customFormat="false" ht="15" hidden="false" customHeight="false" outlineLevel="0" collapsed="false">
      <c r="B3415" s="130" t="n">
        <v>2027</v>
      </c>
      <c r="C3415" s="131" t="s">
        <v>249</v>
      </c>
      <c r="D3415" s="132" t="n">
        <v>46572</v>
      </c>
      <c r="E3415" s="131" t="s">
        <v>53</v>
      </c>
      <c r="F3415" s="133" t="s">
        <v>24</v>
      </c>
      <c r="G3415" s="134" t="n">
        <f aca="false">LEN('Saisie programme'!$J$156)+SUMIFS('Vols additionnels'!$E$7:$E$66,'Vols additionnels'!$C$7:$C$66,$E3415,'Vols additionnels'!$D$7:$D$66,$F3415,'Vols additionnels'!$B$7:$B$66,$D3415)</f>
        <v>0</v>
      </c>
      <c r="H3415" s="135" t="n">
        <f aca="false">$G3415*'Analyse capacite'!$F$9</f>
        <v>0</v>
      </c>
      <c r="I3415" s="135" t="n">
        <f aca="false">$G3415*'Analyse capacite'!$C$9</f>
        <v>0</v>
      </c>
      <c r="J3415" s="135" t="n">
        <f aca="false">$G3415*'Analyse capacite'!$D$9</f>
        <v>0</v>
      </c>
      <c r="K3415" s="135" t="n">
        <f aca="false">$G3415*'Analyse capacite'!$E$9</f>
        <v>0</v>
      </c>
    </row>
    <row r="3416" customFormat="false" ht="15" hidden="false" customHeight="false" outlineLevel="0" collapsed="false">
      <c r="B3416" s="130" t="n">
        <v>2027</v>
      </c>
      <c r="C3416" s="131" t="s">
        <v>249</v>
      </c>
      <c r="D3416" s="132" t="n">
        <v>46572</v>
      </c>
      <c r="E3416" s="131" t="s">
        <v>56</v>
      </c>
      <c r="F3416" s="133" t="s">
        <v>11</v>
      </c>
      <c r="G3416" s="134" t="n">
        <f aca="false">LEN('Saisie programme'!$J$157)+SUMIFS('Vols additionnels'!$E$7:$E$66,'Vols additionnels'!$C$7:$C$66,$E3416,'Vols additionnels'!$D$7:$D$66,$F3416,'Vols additionnels'!$B$7:$B$66,$D3416)</f>
        <v>0</v>
      </c>
      <c r="H3416" s="135" t="n">
        <f aca="false">$G3416*'Analyse capacite'!$F$7</f>
        <v>0</v>
      </c>
      <c r="I3416" s="135" t="n">
        <f aca="false">$G3416*'Analyse capacite'!$C$7</f>
        <v>0</v>
      </c>
      <c r="J3416" s="135" t="n">
        <f aca="false">$G3416*'Analyse capacite'!$D$7</f>
        <v>0</v>
      </c>
      <c r="K3416" s="135" t="n">
        <f aca="false">$G3416*'Analyse capacite'!$E$7</f>
        <v>0</v>
      </c>
    </row>
    <row r="3417" customFormat="false" ht="15" hidden="false" customHeight="false" outlineLevel="0" collapsed="false">
      <c r="B3417" s="130" t="n">
        <v>2027</v>
      </c>
      <c r="C3417" s="131" t="s">
        <v>249</v>
      </c>
      <c r="D3417" s="132" t="n">
        <v>46572</v>
      </c>
      <c r="E3417" s="131" t="s">
        <v>56</v>
      </c>
      <c r="F3417" s="133" t="s">
        <v>19</v>
      </c>
      <c r="G3417" s="134" t="n">
        <f aca="false">LEN('Saisie programme'!$J$158)+SUMIFS('Vols additionnels'!$E$7:$E$66,'Vols additionnels'!$C$7:$C$66,$E3417,'Vols additionnels'!$D$7:$D$66,$F3417,'Vols additionnels'!$B$7:$B$66,$D3417)</f>
        <v>0</v>
      </c>
      <c r="H3417" s="135" t="n">
        <f aca="false">$G3417*'Analyse capacite'!$F$8</f>
        <v>0</v>
      </c>
      <c r="I3417" s="135" t="n">
        <f aca="false">$G3417*'Analyse capacite'!$C$8</f>
        <v>0</v>
      </c>
      <c r="J3417" s="135" t="n">
        <f aca="false">$G3417*'Analyse capacite'!$D$8</f>
        <v>0</v>
      </c>
      <c r="K3417" s="135" t="n">
        <f aca="false">$G3417*'Analyse capacite'!$E$8</f>
        <v>0</v>
      </c>
    </row>
    <row r="3418" customFormat="false" ht="15" hidden="false" customHeight="false" outlineLevel="0" collapsed="false">
      <c r="B3418" s="130" t="n">
        <v>2027</v>
      </c>
      <c r="C3418" s="131" t="s">
        <v>249</v>
      </c>
      <c r="D3418" s="132" t="n">
        <v>46572</v>
      </c>
      <c r="E3418" s="131" t="s">
        <v>56</v>
      </c>
      <c r="F3418" s="133" t="s">
        <v>24</v>
      </c>
      <c r="G3418" s="134" t="n">
        <f aca="false">LEN('Saisie programme'!$J$159)+SUMIFS('Vols additionnels'!$E$7:$E$66,'Vols additionnels'!$C$7:$C$66,$E3418,'Vols additionnels'!$D$7:$D$66,$F3418,'Vols additionnels'!$B$7:$B$66,$D3418)</f>
        <v>0</v>
      </c>
      <c r="H3418" s="135" t="n">
        <f aca="false">$G3418*'Analyse capacite'!$F$9</f>
        <v>0</v>
      </c>
      <c r="I3418" s="135" t="n">
        <f aca="false">$G3418*'Analyse capacite'!$C$9</f>
        <v>0</v>
      </c>
      <c r="J3418" s="135" t="n">
        <f aca="false">$G3418*'Analyse capacite'!$D$9</f>
        <v>0</v>
      </c>
      <c r="K3418" s="135" t="n">
        <f aca="false">$G3418*'Analyse capacite'!$E$9</f>
        <v>0</v>
      </c>
    </row>
    <row r="3419" customFormat="false" ht="15" hidden="false" customHeight="false" outlineLevel="0" collapsed="false">
      <c r="B3419" s="130" t="n">
        <v>2027</v>
      </c>
      <c r="C3419" s="131" t="s">
        <v>249</v>
      </c>
      <c r="D3419" s="132" t="n">
        <v>46572</v>
      </c>
      <c r="E3419" s="131" t="s">
        <v>59</v>
      </c>
      <c r="F3419" s="133" t="s">
        <v>11</v>
      </c>
      <c r="G3419" s="134" t="n">
        <f aca="false">LEN('Saisie programme'!$J$160)+SUMIFS('Vols additionnels'!$E$7:$E$66,'Vols additionnels'!$C$7:$C$66,$E3419,'Vols additionnels'!$D$7:$D$66,$F3419,'Vols additionnels'!$B$7:$B$66,$D3419)</f>
        <v>0</v>
      </c>
      <c r="H3419" s="135" t="n">
        <f aca="false">$G3419*'Analyse capacite'!$F$7</f>
        <v>0</v>
      </c>
      <c r="I3419" s="135" t="n">
        <f aca="false">$G3419*'Analyse capacite'!$C$7</f>
        <v>0</v>
      </c>
      <c r="J3419" s="135" t="n">
        <f aca="false">$G3419*'Analyse capacite'!$D$7</f>
        <v>0</v>
      </c>
      <c r="K3419" s="135" t="n">
        <f aca="false">$G3419*'Analyse capacite'!$E$7</f>
        <v>0</v>
      </c>
    </row>
    <row r="3420" customFormat="false" ht="15" hidden="false" customHeight="false" outlineLevel="0" collapsed="false">
      <c r="B3420" s="130" t="n">
        <v>2027</v>
      </c>
      <c r="C3420" s="131" t="s">
        <v>249</v>
      </c>
      <c r="D3420" s="132" t="n">
        <v>46572</v>
      </c>
      <c r="E3420" s="131" t="s">
        <v>59</v>
      </c>
      <c r="F3420" s="133" t="s">
        <v>19</v>
      </c>
      <c r="G3420" s="134" t="n">
        <f aca="false">LEN('Saisie programme'!$J$161)+SUMIFS('Vols additionnels'!$E$7:$E$66,'Vols additionnels'!$C$7:$C$66,$E3420,'Vols additionnels'!$D$7:$D$66,$F3420,'Vols additionnels'!$B$7:$B$66,$D3420)</f>
        <v>0</v>
      </c>
      <c r="H3420" s="135" t="n">
        <f aca="false">$G3420*'Analyse capacite'!$F$8</f>
        <v>0</v>
      </c>
      <c r="I3420" s="135" t="n">
        <f aca="false">$G3420*'Analyse capacite'!$C$8</f>
        <v>0</v>
      </c>
      <c r="J3420" s="135" t="n">
        <f aca="false">$G3420*'Analyse capacite'!$D$8</f>
        <v>0</v>
      </c>
      <c r="K3420" s="135" t="n">
        <f aca="false">$G3420*'Analyse capacite'!$E$8</f>
        <v>0</v>
      </c>
    </row>
    <row r="3421" customFormat="false" ht="15" hidden="false" customHeight="false" outlineLevel="0" collapsed="false">
      <c r="B3421" s="130" t="n">
        <v>2027</v>
      </c>
      <c r="C3421" s="131" t="s">
        <v>249</v>
      </c>
      <c r="D3421" s="132" t="n">
        <v>46572</v>
      </c>
      <c r="E3421" s="131" t="s">
        <v>59</v>
      </c>
      <c r="F3421" s="133" t="s">
        <v>24</v>
      </c>
      <c r="G3421" s="134" t="n">
        <f aca="false">LEN('Saisie programme'!$J$162)+SUMIFS('Vols additionnels'!$E$7:$E$66,'Vols additionnels'!$C$7:$C$66,$E3421,'Vols additionnels'!$D$7:$D$66,$F3421,'Vols additionnels'!$B$7:$B$66,$D3421)</f>
        <v>0</v>
      </c>
      <c r="H3421" s="135" t="n">
        <f aca="false">$G3421*'Analyse capacite'!$F$9</f>
        <v>0</v>
      </c>
      <c r="I3421" s="135" t="n">
        <f aca="false">$G3421*'Analyse capacite'!$C$9</f>
        <v>0</v>
      </c>
      <c r="J3421" s="135" t="n">
        <f aca="false">$G3421*'Analyse capacite'!$D$9</f>
        <v>0</v>
      </c>
      <c r="K3421" s="135" t="n">
        <f aca="false">$G3421*'Analyse capacite'!$E$9</f>
        <v>0</v>
      </c>
    </row>
    <row r="3422" customFormat="false" ht="15" hidden="false" customHeight="false" outlineLevel="0" collapsed="false">
      <c r="B3422" s="130" t="n">
        <v>2027</v>
      </c>
      <c r="C3422" s="131" t="s">
        <v>249</v>
      </c>
      <c r="D3422" s="132" t="n">
        <v>46572</v>
      </c>
      <c r="E3422" s="131" t="s">
        <v>62</v>
      </c>
      <c r="F3422" s="133" t="s">
        <v>11</v>
      </c>
      <c r="G3422" s="134" t="n">
        <f aca="false">LEN('Saisie programme'!$J$163)+SUMIFS('Vols additionnels'!$E$7:$E$66,'Vols additionnels'!$C$7:$C$66,$E3422,'Vols additionnels'!$D$7:$D$66,$F3422,'Vols additionnels'!$B$7:$B$66,$D3422)</f>
        <v>0</v>
      </c>
      <c r="H3422" s="135" t="n">
        <f aca="false">$G3422*'Analyse capacite'!$F$7</f>
        <v>0</v>
      </c>
      <c r="I3422" s="135" t="n">
        <f aca="false">$G3422*'Analyse capacite'!$C$7</f>
        <v>0</v>
      </c>
      <c r="J3422" s="135" t="n">
        <f aca="false">$G3422*'Analyse capacite'!$D$7</f>
        <v>0</v>
      </c>
      <c r="K3422" s="135" t="n">
        <f aca="false">$G3422*'Analyse capacite'!$E$7</f>
        <v>0</v>
      </c>
    </row>
    <row r="3423" customFormat="false" ht="15" hidden="false" customHeight="false" outlineLevel="0" collapsed="false">
      <c r="B3423" s="130" t="n">
        <v>2027</v>
      </c>
      <c r="C3423" s="131" t="s">
        <v>249</v>
      </c>
      <c r="D3423" s="132" t="n">
        <v>46572</v>
      </c>
      <c r="E3423" s="131" t="s">
        <v>62</v>
      </c>
      <c r="F3423" s="133" t="s">
        <v>19</v>
      </c>
      <c r="G3423" s="134" t="n">
        <f aca="false">LEN('Saisie programme'!$J$164)+SUMIFS('Vols additionnels'!$E$7:$E$66,'Vols additionnels'!$C$7:$C$66,$E3423,'Vols additionnels'!$D$7:$D$66,$F3423,'Vols additionnels'!$B$7:$B$66,$D3423)</f>
        <v>0</v>
      </c>
      <c r="H3423" s="135" t="n">
        <f aca="false">$G3423*'Analyse capacite'!$F$8</f>
        <v>0</v>
      </c>
      <c r="I3423" s="135" t="n">
        <f aca="false">$G3423*'Analyse capacite'!$C$8</f>
        <v>0</v>
      </c>
      <c r="J3423" s="135" t="n">
        <f aca="false">$G3423*'Analyse capacite'!$D$8</f>
        <v>0</v>
      </c>
      <c r="K3423" s="135" t="n">
        <f aca="false">$G3423*'Analyse capacite'!$E$8</f>
        <v>0</v>
      </c>
    </row>
    <row r="3424" customFormat="false" ht="15" hidden="false" customHeight="false" outlineLevel="0" collapsed="false">
      <c r="B3424" s="130" t="n">
        <v>2027</v>
      </c>
      <c r="C3424" s="131" t="s">
        <v>249</v>
      </c>
      <c r="D3424" s="132" t="n">
        <v>46572</v>
      </c>
      <c r="E3424" s="131" t="s">
        <v>62</v>
      </c>
      <c r="F3424" s="133" t="s">
        <v>24</v>
      </c>
      <c r="G3424" s="134" t="n">
        <f aca="false">LEN('Saisie programme'!$J$165)+SUMIFS('Vols additionnels'!$E$7:$E$66,'Vols additionnels'!$C$7:$C$66,$E3424,'Vols additionnels'!$D$7:$D$66,$F3424,'Vols additionnels'!$B$7:$B$66,$D3424)</f>
        <v>1</v>
      </c>
      <c r="H3424" s="135" t="n">
        <f aca="false">$G3424*'Analyse capacite'!$F$9</f>
        <v>174</v>
      </c>
      <c r="I3424" s="135" t="n">
        <f aca="false">$G3424*'Analyse capacite'!$C$9</f>
        <v>0</v>
      </c>
      <c r="J3424" s="135" t="n">
        <f aca="false">$G3424*'Analyse capacite'!$D$9</f>
        <v>12</v>
      </c>
      <c r="K3424" s="135" t="n">
        <f aca="false">$G3424*'Analyse capacite'!$E$9</f>
        <v>162</v>
      </c>
    </row>
    <row r="3425" customFormat="false" ht="15" hidden="false" customHeight="false" outlineLevel="0" collapsed="false">
      <c r="B3425" s="130" t="n">
        <v>2027</v>
      </c>
      <c r="C3425" s="131" t="s">
        <v>249</v>
      </c>
      <c r="D3425" s="132" t="n">
        <v>46573</v>
      </c>
      <c r="E3425" s="131" t="s">
        <v>12</v>
      </c>
      <c r="F3425" s="133" t="s">
        <v>11</v>
      </c>
      <c r="G3425" s="134" t="n">
        <f aca="false">LEN('Saisie programme'!$D$130)+SUMIFS('Vols additionnels'!$E$7:$E$66,'Vols additionnels'!$C$7:$C$66,$E3425,'Vols additionnels'!$D$7:$D$66,$F3425,'Vols additionnels'!$B$7:$B$66,$D3425)</f>
        <v>1</v>
      </c>
      <c r="H3425" s="135" t="n">
        <f aca="false">$G3425*'Analyse capacite'!$F$7</f>
        <v>438</v>
      </c>
      <c r="I3425" s="135" t="n">
        <f aca="false">$G3425*'Analyse capacite'!$C$7</f>
        <v>14</v>
      </c>
      <c r="J3425" s="135" t="n">
        <f aca="false">$G3425*'Analyse capacite'!$D$7</f>
        <v>40</v>
      </c>
      <c r="K3425" s="135" t="n">
        <f aca="false">$G3425*'Analyse capacite'!$E$7</f>
        <v>384</v>
      </c>
    </row>
    <row r="3426" customFormat="false" ht="15" hidden="false" customHeight="false" outlineLevel="0" collapsed="false">
      <c r="B3426" s="130" t="n">
        <v>2027</v>
      </c>
      <c r="C3426" s="131" t="s">
        <v>249</v>
      </c>
      <c r="D3426" s="132" t="n">
        <v>46573</v>
      </c>
      <c r="E3426" s="131" t="s">
        <v>12</v>
      </c>
      <c r="F3426" s="133" t="s">
        <v>19</v>
      </c>
      <c r="G3426" s="134" t="n">
        <f aca="false">LEN('Saisie programme'!$D$131)+SUMIFS('Vols additionnels'!$E$7:$E$66,'Vols additionnels'!$C$7:$C$66,$E3426,'Vols additionnels'!$D$7:$D$66,$F3426,'Vols additionnels'!$B$7:$B$66,$D3426)</f>
        <v>1</v>
      </c>
      <c r="H3426" s="135" t="n">
        <f aca="false">$G3426*'Analyse capacite'!$F$8</f>
        <v>262</v>
      </c>
      <c r="I3426" s="135" t="n">
        <f aca="false">$G3426*'Analyse capacite'!$C$8</f>
        <v>18</v>
      </c>
      <c r="J3426" s="135" t="n">
        <f aca="false">$G3426*'Analyse capacite'!$D$8</f>
        <v>0</v>
      </c>
      <c r="K3426" s="135" t="n">
        <f aca="false">$G3426*'Analyse capacite'!$E$8</f>
        <v>244</v>
      </c>
    </row>
    <row r="3427" customFormat="false" ht="15" hidden="false" customHeight="false" outlineLevel="0" collapsed="false">
      <c r="B3427" s="130" t="n">
        <v>2027</v>
      </c>
      <c r="C3427" s="131" t="s">
        <v>249</v>
      </c>
      <c r="D3427" s="132" t="n">
        <v>46573</v>
      </c>
      <c r="E3427" s="131" t="s">
        <v>12</v>
      </c>
      <c r="F3427" s="133" t="s">
        <v>24</v>
      </c>
      <c r="G3427" s="134" t="n">
        <f aca="false">LEN('Saisie programme'!$D$132)+SUMIFS('Vols additionnels'!$E$7:$E$66,'Vols additionnels'!$C$7:$C$66,$E3427,'Vols additionnels'!$D$7:$D$66,$F3427,'Vols additionnels'!$B$7:$B$66,$D3427)</f>
        <v>2</v>
      </c>
      <c r="H3427" s="135" t="n">
        <f aca="false">$G3427*'Analyse capacite'!$F$9</f>
        <v>348</v>
      </c>
      <c r="I3427" s="135" t="n">
        <f aca="false">$G3427*'Analyse capacite'!$C$9</f>
        <v>0</v>
      </c>
      <c r="J3427" s="135" t="n">
        <f aca="false">$G3427*'Analyse capacite'!$D$9</f>
        <v>24</v>
      </c>
      <c r="K3427" s="135" t="n">
        <f aca="false">$G3427*'Analyse capacite'!$E$9</f>
        <v>324</v>
      </c>
    </row>
    <row r="3428" customFormat="false" ht="15" hidden="false" customHeight="false" outlineLevel="0" collapsed="false">
      <c r="B3428" s="130" t="n">
        <v>2027</v>
      </c>
      <c r="C3428" s="131" t="s">
        <v>249</v>
      </c>
      <c r="D3428" s="132" t="n">
        <v>46573</v>
      </c>
      <c r="E3428" s="131" t="s">
        <v>20</v>
      </c>
      <c r="F3428" s="133" t="s">
        <v>11</v>
      </c>
      <c r="G3428" s="134" t="n">
        <f aca="false">LEN('Saisie programme'!$D$133)+SUMIFS('Vols additionnels'!$E$7:$E$66,'Vols additionnels'!$C$7:$C$66,$E3428,'Vols additionnels'!$D$7:$D$66,$F3428,'Vols additionnels'!$B$7:$B$66,$D3428)</f>
        <v>0</v>
      </c>
      <c r="H3428" s="135" t="n">
        <f aca="false">$G3428*'Analyse capacite'!$F$7</f>
        <v>0</v>
      </c>
      <c r="I3428" s="135" t="n">
        <f aca="false">$G3428*'Analyse capacite'!$C$7</f>
        <v>0</v>
      </c>
      <c r="J3428" s="135" t="n">
        <f aca="false">$G3428*'Analyse capacite'!$D$7</f>
        <v>0</v>
      </c>
      <c r="K3428" s="135" t="n">
        <f aca="false">$G3428*'Analyse capacite'!$E$7</f>
        <v>0</v>
      </c>
    </row>
    <row r="3429" customFormat="false" ht="15" hidden="false" customHeight="false" outlineLevel="0" collapsed="false">
      <c r="B3429" s="130" t="n">
        <v>2027</v>
      </c>
      <c r="C3429" s="131" t="s">
        <v>249</v>
      </c>
      <c r="D3429" s="132" t="n">
        <v>46573</v>
      </c>
      <c r="E3429" s="131" t="s">
        <v>20</v>
      </c>
      <c r="F3429" s="133" t="s">
        <v>19</v>
      </c>
      <c r="G3429" s="134" t="n">
        <f aca="false">LEN('Saisie programme'!$D$134)+SUMIFS('Vols additionnels'!$E$7:$E$66,'Vols additionnels'!$C$7:$C$66,$E3429,'Vols additionnels'!$D$7:$D$66,$F3429,'Vols additionnels'!$B$7:$B$66,$D3429)</f>
        <v>0</v>
      </c>
      <c r="H3429" s="135" t="n">
        <f aca="false">$G3429*'Analyse capacite'!$F$8</f>
        <v>0</v>
      </c>
      <c r="I3429" s="135" t="n">
        <f aca="false">$G3429*'Analyse capacite'!$C$8</f>
        <v>0</v>
      </c>
      <c r="J3429" s="135" t="n">
        <f aca="false">$G3429*'Analyse capacite'!$D$8</f>
        <v>0</v>
      </c>
      <c r="K3429" s="135" t="n">
        <f aca="false">$G3429*'Analyse capacite'!$E$8</f>
        <v>0</v>
      </c>
    </row>
    <row r="3430" customFormat="false" ht="15" hidden="false" customHeight="false" outlineLevel="0" collapsed="false">
      <c r="B3430" s="130" t="n">
        <v>2027</v>
      </c>
      <c r="C3430" s="131" t="s">
        <v>249</v>
      </c>
      <c r="D3430" s="132" t="n">
        <v>46573</v>
      </c>
      <c r="E3430" s="131" t="s">
        <v>20</v>
      </c>
      <c r="F3430" s="133" t="s">
        <v>24</v>
      </c>
      <c r="G3430" s="134" t="n">
        <f aca="false">LEN('Saisie programme'!$D$135)+SUMIFS('Vols additionnels'!$E$7:$E$66,'Vols additionnels'!$C$7:$C$66,$E3430,'Vols additionnels'!$D$7:$D$66,$F3430,'Vols additionnels'!$B$7:$B$66,$D3430)</f>
        <v>0</v>
      </c>
      <c r="H3430" s="135" t="n">
        <f aca="false">$G3430*'Analyse capacite'!$F$9</f>
        <v>0</v>
      </c>
      <c r="I3430" s="135" t="n">
        <f aca="false">$G3430*'Analyse capacite'!$C$9</f>
        <v>0</v>
      </c>
      <c r="J3430" s="135" t="n">
        <f aca="false">$G3430*'Analyse capacite'!$D$9</f>
        <v>0</v>
      </c>
      <c r="K3430" s="135" t="n">
        <f aca="false">$G3430*'Analyse capacite'!$E$9</f>
        <v>0</v>
      </c>
    </row>
    <row r="3431" customFormat="false" ht="15" hidden="false" customHeight="false" outlineLevel="0" collapsed="false">
      <c r="B3431" s="130" t="n">
        <v>2027</v>
      </c>
      <c r="C3431" s="131" t="s">
        <v>249</v>
      </c>
      <c r="D3431" s="132" t="n">
        <v>46573</v>
      </c>
      <c r="E3431" s="131" t="s">
        <v>25</v>
      </c>
      <c r="F3431" s="133" t="s">
        <v>11</v>
      </c>
      <c r="G3431" s="134" t="n">
        <f aca="false">LEN('Saisie programme'!$D$136)+SUMIFS('Vols additionnels'!$E$7:$E$66,'Vols additionnels'!$C$7:$C$66,$E3431,'Vols additionnels'!$D$7:$D$66,$F3431,'Vols additionnels'!$B$7:$B$66,$D3431)</f>
        <v>0</v>
      </c>
      <c r="H3431" s="135" t="n">
        <f aca="false">$G3431*'Analyse capacite'!$F$7</f>
        <v>0</v>
      </c>
      <c r="I3431" s="135" t="n">
        <f aca="false">$G3431*'Analyse capacite'!$C$7</f>
        <v>0</v>
      </c>
      <c r="J3431" s="135" t="n">
        <f aca="false">$G3431*'Analyse capacite'!$D$7</f>
        <v>0</v>
      </c>
      <c r="K3431" s="135" t="n">
        <f aca="false">$G3431*'Analyse capacite'!$E$7</f>
        <v>0</v>
      </c>
    </row>
    <row r="3432" customFormat="false" ht="15" hidden="false" customHeight="false" outlineLevel="0" collapsed="false">
      <c r="B3432" s="130" t="n">
        <v>2027</v>
      </c>
      <c r="C3432" s="131" t="s">
        <v>249</v>
      </c>
      <c r="D3432" s="132" t="n">
        <v>46573</v>
      </c>
      <c r="E3432" s="131" t="s">
        <v>25</v>
      </c>
      <c r="F3432" s="133" t="s">
        <v>19</v>
      </c>
      <c r="G3432" s="134" t="n">
        <f aca="false">LEN('Saisie programme'!$D$137)+SUMIFS('Vols additionnels'!$E$7:$E$66,'Vols additionnels'!$C$7:$C$66,$E3432,'Vols additionnels'!$D$7:$D$66,$F3432,'Vols additionnels'!$B$7:$B$66,$D3432)</f>
        <v>0</v>
      </c>
      <c r="H3432" s="135" t="n">
        <f aca="false">$G3432*'Analyse capacite'!$F$8</f>
        <v>0</v>
      </c>
      <c r="I3432" s="135" t="n">
        <f aca="false">$G3432*'Analyse capacite'!$C$8</f>
        <v>0</v>
      </c>
      <c r="J3432" s="135" t="n">
        <f aca="false">$G3432*'Analyse capacite'!$D$8</f>
        <v>0</v>
      </c>
      <c r="K3432" s="135" t="n">
        <f aca="false">$G3432*'Analyse capacite'!$E$8</f>
        <v>0</v>
      </c>
    </row>
    <row r="3433" customFormat="false" ht="15" hidden="false" customHeight="false" outlineLevel="0" collapsed="false">
      <c r="B3433" s="130" t="n">
        <v>2027</v>
      </c>
      <c r="C3433" s="131" t="s">
        <v>249</v>
      </c>
      <c r="D3433" s="132" t="n">
        <v>46573</v>
      </c>
      <c r="E3433" s="131" t="s">
        <v>25</v>
      </c>
      <c r="F3433" s="133" t="s">
        <v>24</v>
      </c>
      <c r="G3433" s="134" t="n">
        <f aca="false">LEN('Saisie programme'!$D$138)+SUMIFS('Vols additionnels'!$E$7:$E$66,'Vols additionnels'!$C$7:$C$66,$E3433,'Vols additionnels'!$D$7:$D$66,$F3433,'Vols additionnels'!$B$7:$B$66,$D3433)</f>
        <v>0</v>
      </c>
      <c r="H3433" s="135" t="n">
        <f aca="false">$G3433*'Analyse capacite'!$F$9</f>
        <v>0</v>
      </c>
      <c r="I3433" s="135" t="n">
        <f aca="false">$G3433*'Analyse capacite'!$C$9</f>
        <v>0</v>
      </c>
      <c r="J3433" s="135" t="n">
        <f aca="false">$G3433*'Analyse capacite'!$D$9</f>
        <v>0</v>
      </c>
      <c r="K3433" s="135" t="n">
        <f aca="false">$G3433*'Analyse capacite'!$E$9</f>
        <v>0</v>
      </c>
    </row>
    <row r="3434" customFormat="false" ht="15" hidden="false" customHeight="false" outlineLevel="0" collapsed="false">
      <c r="B3434" s="130" t="n">
        <v>2027</v>
      </c>
      <c r="C3434" s="131" t="s">
        <v>249</v>
      </c>
      <c r="D3434" s="132" t="n">
        <v>46573</v>
      </c>
      <c r="E3434" s="131" t="s">
        <v>36</v>
      </c>
      <c r="F3434" s="133" t="s">
        <v>11</v>
      </c>
      <c r="G3434" s="134" t="n">
        <f aca="false">LEN('Saisie programme'!$D$139)+SUMIFS('Vols additionnels'!$E$7:$E$66,'Vols additionnels'!$C$7:$C$66,$E3434,'Vols additionnels'!$D$7:$D$66,$F3434,'Vols additionnels'!$B$7:$B$66,$D3434)</f>
        <v>0</v>
      </c>
      <c r="H3434" s="135" t="n">
        <f aca="false">$G3434*'Analyse capacite'!$F$7</f>
        <v>0</v>
      </c>
      <c r="I3434" s="135" t="n">
        <f aca="false">$G3434*'Analyse capacite'!$C$7</f>
        <v>0</v>
      </c>
      <c r="J3434" s="135" t="n">
        <f aca="false">$G3434*'Analyse capacite'!$D$7</f>
        <v>0</v>
      </c>
      <c r="K3434" s="135" t="n">
        <f aca="false">$G3434*'Analyse capacite'!$E$7</f>
        <v>0</v>
      </c>
    </row>
    <row r="3435" customFormat="false" ht="15" hidden="false" customHeight="false" outlineLevel="0" collapsed="false">
      <c r="B3435" s="130" t="n">
        <v>2027</v>
      </c>
      <c r="C3435" s="131" t="s">
        <v>249</v>
      </c>
      <c r="D3435" s="132" t="n">
        <v>46573</v>
      </c>
      <c r="E3435" s="131" t="s">
        <v>36</v>
      </c>
      <c r="F3435" s="133" t="s">
        <v>19</v>
      </c>
      <c r="G3435" s="134" t="n">
        <f aca="false">LEN('Saisie programme'!$D$140)+SUMIFS('Vols additionnels'!$E$7:$E$66,'Vols additionnels'!$C$7:$C$66,$E3435,'Vols additionnels'!$D$7:$D$66,$F3435,'Vols additionnels'!$B$7:$B$66,$D3435)</f>
        <v>0</v>
      </c>
      <c r="H3435" s="135" t="n">
        <f aca="false">$G3435*'Analyse capacite'!$F$8</f>
        <v>0</v>
      </c>
      <c r="I3435" s="135" t="n">
        <f aca="false">$G3435*'Analyse capacite'!$C$8</f>
        <v>0</v>
      </c>
      <c r="J3435" s="135" t="n">
        <f aca="false">$G3435*'Analyse capacite'!$D$8</f>
        <v>0</v>
      </c>
      <c r="K3435" s="135" t="n">
        <f aca="false">$G3435*'Analyse capacite'!$E$8</f>
        <v>0</v>
      </c>
    </row>
    <row r="3436" customFormat="false" ht="15" hidden="false" customHeight="false" outlineLevel="0" collapsed="false">
      <c r="B3436" s="130" t="n">
        <v>2027</v>
      </c>
      <c r="C3436" s="131" t="s">
        <v>249</v>
      </c>
      <c r="D3436" s="132" t="n">
        <v>46573</v>
      </c>
      <c r="E3436" s="131" t="s">
        <v>36</v>
      </c>
      <c r="F3436" s="133" t="s">
        <v>24</v>
      </c>
      <c r="G3436" s="134" t="n">
        <f aca="false">LEN('Saisie programme'!$D$141)+SUMIFS('Vols additionnels'!$E$7:$E$66,'Vols additionnels'!$C$7:$C$66,$E3436,'Vols additionnels'!$D$7:$D$66,$F3436,'Vols additionnels'!$B$7:$B$66,$D3436)</f>
        <v>1</v>
      </c>
      <c r="H3436" s="135" t="n">
        <f aca="false">$G3436*'Analyse capacite'!$F$9</f>
        <v>174</v>
      </c>
      <c r="I3436" s="135" t="n">
        <f aca="false">$G3436*'Analyse capacite'!$C$9</f>
        <v>0</v>
      </c>
      <c r="J3436" s="135" t="n">
        <f aca="false">$G3436*'Analyse capacite'!$D$9</f>
        <v>12</v>
      </c>
      <c r="K3436" s="135" t="n">
        <f aca="false">$G3436*'Analyse capacite'!$E$9</f>
        <v>162</v>
      </c>
    </row>
    <row r="3437" customFormat="false" ht="15" hidden="false" customHeight="false" outlineLevel="0" collapsed="false">
      <c r="B3437" s="130" t="n">
        <v>2027</v>
      </c>
      <c r="C3437" s="131" t="s">
        <v>249</v>
      </c>
      <c r="D3437" s="132" t="n">
        <v>46573</v>
      </c>
      <c r="E3437" s="131" t="s">
        <v>40</v>
      </c>
      <c r="F3437" s="133" t="s">
        <v>11</v>
      </c>
      <c r="G3437" s="134" t="n">
        <f aca="false">LEN('Saisie programme'!$D$142)+SUMIFS('Vols additionnels'!$E$7:$E$66,'Vols additionnels'!$C$7:$C$66,$E3437,'Vols additionnels'!$D$7:$D$66,$F3437,'Vols additionnels'!$B$7:$B$66,$D3437)</f>
        <v>0</v>
      </c>
      <c r="H3437" s="135" t="n">
        <f aca="false">$G3437*'Analyse capacite'!$F$7</f>
        <v>0</v>
      </c>
      <c r="I3437" s="135" t="n">
        <f aca="false">$G3437*'Analyse capacite'!$C$7</f>
        <v>0</v>
      </c>
      <c r="J3437" s="135" t="n">
        <f aca="false">$G3437*'Analyse capacite'!$D$7</f>
        <v>0</v>
      </c>
      <c r="K3437" s="135" t="n">
        <f aca="false">$G3437*'Analyse capacite'!$E$7</f>
        <v>0</v>
      </c>
    </row>
    <row r="3438" customFormat="false" ht="15" hidden="false" customHeight="false" outlineLevel="0" collapsed="false">
      <c r="B3438" s="130" t="n">
        <v>2027</v>
      </c>
      <c r="C3438" s="131" t="s">
        <v>249</v>
      </c>
      <c r="D3438" s="132" t="n">
        <v>46573</v>
      </c>
      <c r="E3438" s="131" t="s">
        <v>40</v>
      </c>
      <c r="F3438" s="133" t="s">
        <v>19</v>
      </c>
      <c r="G3438" s="134" t="n">
        <f aca="false">LEN('Saisie programme'!$D$143)+SUMIFS('Vols additionnels'!$E$7:$E$66,'Vols additionnels'!$C$7:$C$66,$E3438,'Vols additionnels'!$D$7:$D$66,$F3438,'Vols additionnels'!$B$7:$B$66,$D3438)</f>
        <v>0</v>
      </c>
      <c r="H3438" s="135" t="n">
        <f aca="false">$G3438*'Analyse capacite'!$F$8</f>
        <v>0</v>
      </c>
      <c r="I3438" s="135" t="n">
        <f aca="false">$G3438*'Analyse capacite'!$C$8</f>
        <v>0</v>
      </c>
      <c r="J3438" s="135" t="n">
        <f aca="false">$G3438*'Analyse capacite'!$D$8</f>
        <v>0</v>
      </c>
      <c r="K3438" s="135" t="n">
        <f aca="false">$G3438*'Analyse capacite'!$E$8</f>
        <v>0</v>
      </c>
    </row>
    <row r="3439" customFormat="false" ht="15" hidden="false" customHeight="false" outlineLevel="0" collapsed="false">
      <c r="B3439" s="130" t="n">
        <v>2027</v>
      </c>
      <c r="C3439" s="131" t="s">
        <v>249</v>
      </c>
      <c r="D3439" s="132" t="n">
        <v>46573</v>
      </c>
      <c r="E3439" s="131" t="s">
        <v>40</v>
      </c>
      <c r="F3439" s="133" t="s">
        <v>24</v>
      </c>
      <c r="G3439" s="134" t="n">
        <f aca="false">LEN('Saisie programme'!$D$144)+SUMIFS('Vols additionnels'!$E$7:$E$66,'Vols additionnels'!$C$7:$C$66,$E3439,'Vols additionnels'!$D$7:$D$66,$F3439,'Vols additionnels'!$B$7:$B$66,$D3439)</f>
        <v>1</v>
      </c>
      <c r="H3439" s="135" t="n">
        <f aca="false">$G3439*'Analyse capacite'!$F$9</f>
        <v>174</v>
      </c>
      <c r="I3439" s="135" t="n">
        <f aca="false">$G3439*'Analyse capacite'!$C$9</f>
        <v>0</v>
      </c>
      <c r="J3439" s="135" t="n">
        <f aca="false">$G3439*'Analyse capacite'!$D$9</f>
        <v>12</v>
      </c>
      <c r="K3439" s="135" t="n">
        <f aca="false">$G3439*'Analyse capacite'!$E$9</f>
        <v>162</v>
      </c>
    </row>
    <row r="3440" customFormat="false" ht="15" hidden="false" customHeight="false" outlineLevel="0" collapsed="false">
      <c r="B3440" s="130" t="n">
        <v>2027</v>
      </c>
      <c r="C3440" s="131" t="s">
        <v>249</v>
      </c>
      <c r="D3440" s="132" t="n">
        <v>46573</v>
      </c>
      <c r="E3440" s="131" t="s">
        <v>14</v>
      </c>
      <c r="F3440" s="133" t="s">
        <v>11</v>
      </c>
      <c r="G3440" s="134" t="n">
        <f aca="false">LEN('Saisie programme'!$D$145)+SUMIFS('Vols additionnels'!$E$7:$E$66,'Vols additionnels'!$C$7:$C$66,$E3440,'Vols additionnels'!$D$7:$D$66,$F3440,'Vols additionnels'!$B$7:$B$66,$D3440)</f>
        <v>0</v>
      </c>
      <c r="H3440" s="135" t="n">
        <f aca="false">$G3440*'Analyse capacite'!$F$7</f>
        <v>0</v>
      </c>
      <c r="I3440" s="135" t="n">
        <f aca="false">$G3440*'Analyse capacite'!$C$7</f>
        <v>0</v>
      </c>
      <c r="J3440" s="135" t="n">
        <f aca="false">$G3440*'Analyse capacite'!$D$7</f>
        <v>0</v>
      </c>
      <c r="K3440" s="135" t="n">
        <f aca="false">$G3440*'Analyse capacite'!$E$7</f>
        <v>0</v>
      </c>
    </row>
    <row r="3441" customFormat="false" ht="15" hidden="false" customHeight="false" outlineLevel="0" collapsed="false">
      <c r="B3441" s="130" t="n">
        <v>2027</v>
      </c>
      <c r="C3441" s="131" t="s">
        <v>249</v>
      </c>
      <c r="D3441" s="132" t="n">
        <v>46573</v>
      </c>
      <c r="E3441" s="131" t="s">
        <v>14</v>
      </c>
      <c r="F3441" s="133" t="s">
        <v>19</v>
      </c>
      <c r="G3441" s="134" t="n">
        <f aca="false">LEN('Saisie programme'!$D$146)+SUMIFS('Vols additionnels'!$E$7:$E$66,'Vols additionnels'!$C$7:$C$66,$E3441,'Vols additionnels'!$D$7:$D$66,$F3441,'Vols additionnels'!$B$7:$B$66,$D3441)</f>
        <v>0</v>
      </c>
      <c r="H3441" s="135" t="n">
        <f aca="false">$G3441*'Analyse capacite'!$F$8</f>
        <v>0</v>
      </c>
      <c r="I3441" s="135" t="n">
        <f aca="false">$G3441*'Analyse capacite'!$C$8</f>
        <v>0</v>
      </c>
      <c r="J3441" s="135" t="n">
        <f aca="false">$G3441*'Analyse capacite'!$D$8</f>
        <v>0</v>
      </c>
      <c r="K3441" s="135" t="n">
        <f aca="false">$G3441*'Analyse capacite'!$E$8</f>
        <v>0</v>
      </c>
    </row>
    <row r="3442" customFormat="false" ht="15" hidden="false" customHeight="false" outlineLevel="0" collapsed="false">
      <c r="B3442" s="130" t="n">
        <v>2027</v>
      </c>
      <c r="C3442" s="131" t="s">
        <v>249</v>
      </c>
      <c r="D3442" s="132" t="n">
        <v>46573</v>
      </c>
      <c r="E3442" s="131" t="s">
        <v>14</v>
      </c>
      <c r="F3442" s="133" t="s">
        <v>24</v>
      </c>
      <c r="G3442" s="134" t="n">
        <f aca="false">LEN('Saisie programme'!$D$147)+SUMIFS('Vols additionnels'!$E$7:$E$66,'Vols additionnels'!$C$7:$C$66,$E3442,'Vols additionnels'!$D$7:$D$66,$F3442,'Vols additionnels'!$B$7:$B$66,$D3442)</f>
        <v>1</v>
      </c>
      <c r="H3442" s="135" t="n">
        <f aca="false">$G3442*'Analyse capacite'!$F$9</f>
        <v>174</v>
      </c>
      <c r="I3442" s="135" t="n">
        <f aca="false">$G3442*'Analyse capacite'!$C$9</f>
        <v>0</v>
      </c>
      <c r="J3442" s="135" t="n">
        <f aca="false">$G3442*'Analyse capacite'!$D$9</f>
        <v>12</v>
      </c>
      <c r="K3442" s="135" t="n">
        <f aca="false">$G3442*'Analyse capacite'!$E$9</f>
        <v>162</v>
      </c>
    </row>
    <row r="3443" customFormat="false" ht="15" hidden="false" customHeight="false" outlineLevel="0" collapsed="false">
      <c r="B3443" s="130" t="n">
        <v>2027</v>
      </c>
      <c r="C3443" s="131" t="s">
        <v>249</v>
      </c>
      <c r="D3443" s="132" t="n">
        <v>46573</v>
      </c>
      <c r="E3443" s="131" t="s">
        <v>46</v>
      </c>
      <c r="F3443" s="133" t="s">
        <v>11</v>
      </c>
      <c r="G3443" s="134" t="n">
        <f aca="false">LEN('Saisie programme'!$D$148)+SUMIFS('Vols additionnels'!$E$7:$E$66,'Vols additionnels'!$C$7:$C$66,$E3443,'Vols additionnels'!$D$7:$D$66,$F3443,'Vols additionnels'!$B$7:$B$66,$D3443)</f>
        <v>0</v>
      </c>
      <c r="H3443" s="135" t="n">
        <f aca="false">$G3443*'Analyse capacite'!$F$7</f>
        <v>0</v>
      </c>
      <c r="I3443" s="135" t="n">
        <f aca="false">$G3443*'Analyse capacite'!$C$7</f>
        <v>0</v>
      </c>
      <c r="J3443" s="135" t="n">
        <f aca="false">$G3443*'Analyse capacite'!$D$7</f>
        <v>0</v>
      </c>
      <c r="K3443" s="135" t="n">
        <f aca="false">$G3443*'Analyse capacite'!$E$7</f>
        <v>0</v>
      </c>
    </row>
    <row r="3444" customFormat="false" ht="15" hidden="false" customHeight="false" outlineLevel="0" collapsed="false">
      <c r="B3444" s="130" t="n">
        <v>2027</v>
      </c>
      <c r="C3444" s="131" t="s">
        <v>249</v>
      </c>
      <c r="D3444" s="132" t="n">
        <v>46573</v>
      </c>
      <c r="E3444" s="131" t="s">
        <v>46</v>
      </c>
      <c r="F3444" s="133" t="s">
        <v>19</v>
      </c>
      <c r="G3444" s="134" t="n">
        <f aca="false">LEN('Saisie programme'!$D$149)+SUMIFS('Vols additionnels'!$E$7:$E$66,'Vols additionnels'!$C$7:$C$66,$E3444,'Vols additionnels'!$D$7:$D$66,$F3444,'Vols additionnels'!$B$7:$B$66,$D3444)</f>
        <v>0</v>
      </c>
      <c r="H3444" s="135" t="n">
        <f aca="false">$G3444*'Analyse capacite'!$F$8</f>
        <v>0</v>
      </c>
      <c r="I3444" s="135" t="n">
        <f aca="false">$G3444*'Analyse capacite'!$C$8</f>
        <v>0</v>
      </c>
      <c r="J3444" s="135" t="n">
        <f aca="false">$G3444*'Analyse capacite'!$D$8</f>
        <v>0</v>
      </c>
      <c r="K3444" s="135" t="n">
        <f aca="false">$G3444*'Analyse capacite'!$E$8</f>
        <v>0</v>
      </c>
    </row>
    <row r="3445" customFormat="false" ht="15" hidden="false" customHeight="false" outlineLevel="0" collapsed="false">
      <c r="B3445" s="130" t="n">
        <v>2027</v>
      </c>
      <c r="C3445" s="131" t="s">
        <v>249</v>
      </c>
      <c r="D3445" s="132" t="n">
        <v>46573</v>
      </c>
      <c r="E3445" s="131" t="s">
        <v>46</v>
      </c>
      <c r="F3445" s="133" t="s">
        <v>24</v>
      </c>
      <c r="G3445" s="134" t="n">
        <f aca="false">LEN('Saisie programme'!$D$150)+SUMIFS('Vols additionnels'!$E$7:$E$66,'Vols additionnels'!$C$7:$C$66,$E3445,'Vols additionnels'!$D$7:$D$66,$F3445,'Vols additionnels'!$B$7:$B$66,$D3445)</f>
        <v>0</v>
      </c>
      <c r="H3445" s="135" t="n">
        <f aca="false">$G3445*'Analyse capacite'!$F$9</f>
        <v>0</v>
      </c>
      <c r="I3445" s="135" t="n">
        <f aca="false">$G3445*'Analyse capacite'!$C$9</f>
        <v>0</v>
      </c>
      <c r="J3445" s="135" t="n">
        <f aca="false">$G3445*'Analyse capacite'!$D$9</f>
        <v>0</v>
      </c>
      <c r="K3445" s="135" t="n">
        <f aca="false">$G3445*'Analyse capacite'!$E$9</f>
        <v>0</v>
      </c>
    </row>
    <row r="3446" customFormat="false" ht="15" hidden="false" customHeight="false" outlineLevel="0" collapsed="false">
      <c r="B3446" s="130" t="n">
        <v>2027</v>
      </c>
      <c r="C3446" s="131" t="s">
        <v>249</v>
      </c>
      <c r="D3446" s="132" t="n">
        <v>46573</v>
      </c>
      <c r="E3446" s="131" t="s">
        <v>49</v>
      </c>
      <c r="F3446" s="133" t="s">
        <v>11</v>
      </c>
      <c r="G3446" s="134" t="n">
        <f aca="false">LEN('Saisie programme'!$D$151)+SUMIFS('Vols additionnels'!$E$7:$E$66,'Vols additionnels'!$C$7:$C$66,$E3446,'Vols additionnels'!$D$7:$D$66,$F3446,'Vols additionnels'!$B$7:$B$66,$D3446)</f>
        <v>0</v>
      </c>
      <c r="H3446" s="135" t="n">
        <f aca="false">$G3446*'Analyse capacite'!$F$7</f>
        <v>0</v>
      </c>
      <c r="I3446" s="135" t="n">
        <f aca="false">$G3446*'Analyse capacite'!$C$7</f>
        <v>0</v>
      </c>
      <c r="J3446" s="135" t="n">
        <f aca="false">$G3446*'Analyse capacite'!$D$7</f>
        <v>0</v>
      </c>
      <c r="K3446" s="135" t="n">
        <f aca="false">$G3446*'Analyse capacite'!$E$7</f>
        <v>0</v>
      </c>
    </row>
    <row r="3447" customFormat="false" ht="15" hidden="false" customHeight="false" outlineLevel="0" collapsed="false">
      <c r="B3447" s="130" t="n">
        <v>2027</v>
      </c>
      <c r="C3447" s="131" t="s">
        <v>249</v>
      </c>
      <c r="D3447" s="132" t="n">
        <v>46573</v>
      </c>
      <c r="E3447" s="131" t="s">
        <v>49</v>
      </c>
      <c r="F3447" s="133" t="s">
        <v>19</v>
      </c>
      <c r="G3447" s="134" t="n">
        <f aca="false">LEN('Saisie programme'!$D$152)+SUMIFS('Vols additionnels'!$E$7:$E$66,'Vols additionnels'!$C$7:$C$66,$E3447,'Vols additionnels'!$D$7:$D$66,$F3447,'Vols additionnels'!$B$7:$B$66,$D3447)</f>
        <v>1</v>
      </c>
      <c r="H3447" s="135" t="n">
        <f aca="false">$G3447*'Analyse capacite'!$F$8</f>
        <v>262</v>
      </c>
      <c r="I3447" s="135" t="n">
        <f aca="false">$G3447*'Analyse capacite'!$C$8</f>
        <v>18</v>
      </c>
      <c r="J3447" s="135" t="n">
        <f aca="false">$G3447*'Analyse capacite'!$D$8</f>
        <v>0</v>
      </c>
      <c r="K3447" s="135" t="n">
        <f aca="false">$G3447*'Analyse capacite'!$E$8</f>
        <v>244</v>
      </c>
    </row>
    <row r="3448" customFormat="false" ht="15" hidden="false" customHeight="false" outlineLevel="0" collapsed="false">
      <c r="B3448" s="130" t="n">
        <v>2027</v>
      </c>
      <c r="C3448" s="131" t="s">
        <v>249</v>
      </c>
      <c r="D3448" s="132" t="n">
        <v>46573</v>
      </c>
      <c r="E3448" s="131" t="s">
        <v>49</v>
      </c>
      <c r="F3448" s="133" t="s">
        <v>24</v>
      </c>
      <c r="G3448" s="134" t="n">
        <f aca="false">LEN('Saisie programme'!$D$153)+SUMIFS('Vols additionnels'!$E$7:$E$66,'Vols additionnels'!$C$7:$C$66,$E3448,'Vols additionnels'!$D$7:$D$66,$F3448,'Vols additionnels'!$B$7:$B$66,$D3448)</f>
        <v>0</v>
      </c>
      <c r="H3448" s="135" t="n">
        <f aca="false">$G3448*'Analyse capacite'!$F$9</f>
        <v>0</v>
      </c>
      <c r="I3448" s="135" t="n">
        <f aca="false">$G3448*'Analyse capacite'!$C$9</f>
        <v>0</v>
      </c>
      <c r="J3448" s="135" t="n">
        <f aca="false">$G3448*'Analyse capacite'!$D$9</f>
        <v>0</v>
      </c>
      <c r="K3448" s="135" t="n">
        <f aca="false">$G3448*'Analyse capacite'!$E$9</f>
        <v>0</v>
      </c>
    </row>
    <row r="3449" customFormat="false" ht="15" hidden="false" customHeight="false" outlineLevel="0" collapsed="false">
      <c r="B3449" s="130" t="n">
        <v>2027</v>
      </c>
      <c r="C3449" s="131" t="s">
        <v>249</v>
      </c>
      <c r="D3449" s="132" t="n">
        <v>46573</v>
      </c>
      <c r="E3449" s="131" t="s">
        <v>53</v>
      </c>
      <c r="F3449" s="133" t="s">
        <v>11</v>
      </c>
      <c r="G3449" s="134" t="n">
        <f aca="false">LEN('Saisie programme'!$D$154)+SUMIFS('Vols additionnels'!$E$7:$E$66,'Vols additionnels'!$C$7:$C$66,$E3449,'Vols additionnels'!$D$7:$D$66,$F3449,'Vols additionnels'!$B$7:$B$66,$D3449)</f>
        <v>0</v>
      </c>
      <c r="H3449" s="135" t="n">
        <f aca="false">$G3449*'Analyse capacite'!$F$7</f>
        <v>0</v>
      </c>
      <c r="I3449" s="135" t="n">
        <f aca="false">$G3449*'Analyse capacite'!$C$7</f>
        <v>0</v>
      </c>
      <c r="J3449" s="135" t="n">
        <f aca="false">$G3449*'Analyse capacite'!$D$7</f>
        <v>0</v>
      </c>
      <c r="K3449" s="135" t="n">
        <f aca="false">$G3449*'Analyse capacite'!$E$7</f>
        <v>0</v>
      </c>
    </row>
    <row r="3450" customFormat="false" ht="15" hidden="false" customHeight="false" outlineLevel="0" collapsed="false">
      <c r="B3450" s="130" t="n">
        <v>2027</v>
      </c>
      <c r="C3450" s="131" t="s">
        <v>249</v>
      </c>
      <c r="D3450" s="132" t="n">
        <v>46573</v>
      </c>
      <c r="E3450" s="131" t="s">
        <v>53</v>
      </c>
      <c r="F3450" s="133" t="s">
        <v>19</v>
      </c>
      <c r="G3450" s="134" t="n">
        <f aca="false">LEN('Saisie programme'!$D$155)+SUMIFS('Vols additionnels'!$E$7:$E$66,'Vols additionnels'!$C$7:$C$66,$E3450,'Vols additionnels'!$D$7:$D$66,$F3450,'Vols additionnels'!$B$7:$B$66,$D3450)</f>
        <v>0</v>
      </c>
      <c r="H3450" s="135" t="n">
        <f aca="false">$G3450*'Analyse capacite'!$F$8</f>
        <v>0</v>
      </c>
      <c r="I3450" s="135" t="n">
        <f aca="false">$G3450*'Analyse capacite'!$C$8</f>
        <v>0</v>
      </c>
      <c r="J3450" s="135" t="n">
        <f aca="false">$G3450*'Analyse capacite'!$D$8</f>
        <v>0</v>
      </c>
      <c r="K3450" s="135" t="n">
        <f aca="false">$G3450*'Analyse capacite'!$E$8</f>
        <v>0</v>
      </c>
    </row>
    <row r="3451" customFormat="false" ht="15" hidden="false" customHeight="false" outlineLevel="0" collapsed="false">
      <c r="B3451" s="130" t="n">
        <v>2027</v>
      </c>
      <c r="C3451" s="131" t="s">
        <v>249</v>
      </c>
      <c r="D3451" s="132" t="n">
        <v>46573</v>
      </c>
      <c r="E3451" s="131" t="s">
        <v>53</v>
      </c>
      <c r="F3451" s="133" t="s">
        <v>24</v>
      </c>
      <c r="G3451" s="134" t="n">
        <f aca="false">LEN('Saisie programme'!$D$156)+SUMIFS('Vols additionnels'!$E$7:$E$66,'Vols additionnels'!$C$7:$C$66,$E3451,'Vols additionnels'!$D$7:$D$66,$F3451,'Vols additionnels'!$B$7:$B$66,$D3451)</f>
        <v>0</v>
      </c>
      <c r="H3451" s="135" t="n">
        <f aca="false">$G3451*'Analyse capacite'!$F$9</f>
        <v>0</v>
      </c>
      <c r="I3451" s="135" t="n">
        <f aca="false">$G3451*'Analyse capacite'!$C$9</f>
        <v>0</v>
      </c>
      <c r="J3451" s="135" t="n">
        <f aca="false">$G3451*'Analyse capacite'!$D$9</f>
        <v>0</v>
      </c>
      <c r="K3451" s="135" t="n">
        <f aca="false">$G3451*'Analyse capacite'!$E$9</f>
        <v>0</v>
      </c>
    </row>
    <row r="3452" customFormat="false" ht="15" hidden="false" customHeight="false" outlineLevel="0" collapsed="false">
      <c r="B3452" s="130" t="n">
        <v>2027</v>
      </c>
      <c r="C3452" s="131" t="s">
        <v>249</v>
      </c>
      <c r="D3452" s="132" t="n">
        <v>46573</v>
      </c>
      <c r="E3452" s="131" t="s">
        <v>56</v>
      </c>
      <c r="F3452" s="133" t="s">
        <v>11</v>
      </c>
      <c r="G3452" s="134" t="n">
        <f aca="false">LEN('Saisie programme'!$D$157)+SUMIFS('Vols additionnels'!$E$7:$E$66,'Vols additionnels'!$C$7:$C$66,$E3452,'Vols additionnels'!$D$7:$D$66,$F3452,'Vols additionnels'!$B$7:$B$66,$D3452)</f>
        <v>0</v>
      </c>
      <c r="H3452" s="135" t="n">
        <f aca="false">$G3452*'Analyse capacite'!$F$7</f>
        <v>0</v>
      </c>
      <c r="I3452" s="135" t="n">
        <f aca="false">$G3452*'Analyse capacite'!$C$7</f>
        <v>0</v>
      </c>
      <c r="J3452" s="135" t="n">
        <f aca="false">$G3452*'Analyse capacite'!$D$7</f>
        <v>0</v>
      </c>
      <c r="K3452" s="135" t="n">
        <f aca="false">$G3452*'Analyse capacite'!$E$7</f>
        <v>0</v>
      </c>
    </row>
    <row r="3453" customFormat="false" ht="15" hidden="false" customHeight="false" outlineLevel="0" collapsed="false">
      <c r="B3453" s="130" t="n">
        <v>2027</v>
      </c>
      <c r="C3453" s="131" t="s">
        <v>249</v>
      </c>
      <c r="D3453" s="132" t="n">
        <v>46573</v>
      </c>
      <c r="E3453" s="131" t="s">
        <v>56</v>
      </c>
      <c r="F3453" s="133" t="s">
        <v>19</v>
      </c>
      <c r="G3453" s="134" t="n">
        <f aca="false">LEN('Saisie programme'!$D$158)+SUMIFS('Vols additionnels'!$E$7:$E$66,'Vols additionnels'!$C$7:$C$66,$E3453,'Vols additionnels'!$D$7:$D$66,$F3453,'Vols additionnels'!$B$7:$B$66,$D3453)</f>
        <v>0</v>
      </c>
      <c r="H3453" s="135" t="n">
        <f aca="false">$G3453*'Analyse capacite'!$F$8</f>
        <v>0</v>
      </c>
      <c r="I3453" s="135" t="n">
        <f aca="false">$G3453*'Analyse capacite'!$C$8</f>
        <v>0</v>
      </c>
      <c r="J3453" s="135" t="n">
        <f aca="false">$G3453*'Analyse capacite'!$D$8</f>
        <v>0</v>
      </c>
      <c r="K3453" s="135" t="n">
        <f aca="false">$G3453*'Analyse capacite'!$E$8</f>
        <v>0</v>
      </c>
    </row>
    <row r="3454" customFormat="false" ht="15" hidden="false" customHeight="false" outlineLevel="0" collapsed="false">
      <c r="B3454" s="130" t="n">
        <v>2027</v>
      </c>
      <c r="C3454" s="131" t="s">
        <v>249</v>
      </c>
      <c r="D3454" s="132" t="n">
        <v>46573</v>
      </c>
      <c r="E3454" s="131" t="s">
        <v>56</v>
      </c>
      <c r="F3454" s="133" t="s">
        <v>24</v>
      </c>
      <c r="G3454" s="134" t="n">
        <f aca="false">LEN('Saisie programme'!$D$159)+SUMIFS('Vols additionnels'!$E$7:$E$66,'Vols additionnels'!$C$7:$C$66,$E3454,'Vols additionnels'!$D$7:$D$66,$F3454,'Vols additionnels'!$B$7:$B$66,$D3454)</f>
        <v>0</v>
      </c>
      <c r="H3454" s="135" t="n">
        <f aca="false">$G3454*'Analyse capacite'!$F$9</f>
        <v>0</v>
      </c>
      <c r="I3454" s="135" t="n">
        <f aca="false">$G3454*'Analyse capacite'!$C$9</f>
        <v>0</v>
      </c>
      <c r="J3454" s="135" t="n">
        <f aca="false">$G3454*'Analyse capacite'!$D$9</f>
        <v>0</v>
      </c>
      <c r="K3454" s="135" t="n">
        <f aca="false">$G3454*'Analyse capacite'!$E$9</f>
        <v>0</v>
      </c>
    </row>
    <row r="3455" customFormat="false" ht="15" hidden="false" customHeight="false" outlineLevel="0" collapsed="false">
      <c r="B3455" s="130" t="n">
        <v>2027</v>
      </c>
      <c r="C3455" s="131" t="s">
        <v>249</v>
      </c>
      <c r="D3455" s="132" t="n">
        <v>46573</v>
      </c>
      <c r="E3455" s="131" t="s">
        <v>59</v>
      </c>
      <c r="F3455" s="133" t="s">
        <v>11</v>
      </c>
      <c r="G3455" s="134" t="n">
        <f aca="false">LEN('Saisie programme'!$D$160)+SUMIFS('Vols additionnels'!$E$7:$E$66,'Vols additionnels'!$C$7:$C$66,$E3455,'Vols additionnels'!$D$7:$D$66,$F3455,'Vols additionnels'!$B$7:$B$66,$D3455)</f>
        <v>0</v>
      </c>
      <c r="H3455" s="135" t="n">
        <f aca="false">$G3455*'Analyse capacite'!$F$7</f>
        <v>0</v>
      </c>
      <c r="I3455" s="135" t="n">
        <f aca="false">$G3455*'Analyse capacite'!$C$7</f>
        <v>0</v>
      </c>
      <c r="J3455" s="135" t="n">
        <f aca="false">$G3455*'Analyse capacite'!$D$7</f>
        <v>0</v>
      </c>
      <c r="K3455" s="135" t="n">
        <f aca="false">$G3455*'Analyse capacite'!$E$7</f>
        <v>0</v>
      </c>
    </row>
    <row r="3456" customFormat="false" ht="15" hidden="false" customHeight="false" outlineLevel="0" collapsed="false">
      <c r="B3456" s="130" t="n">
        <v>2027</v>
      </c>
      <c r="C3456" s="131" t="s">
        <v>249</v>
      </c>
      <c r="D3456" s="132" t="n">
        <v>46573</v>
      </c>
      <c r="E3456" s="131" t="s">
        <v>59</v>
      </c>
      <c r="F3456" s="133" t="s">
        <v>19</v>
      </c>
      <c r="G3456" s="134" t="n">
        <f aca="false">LEN('Saisie programme'!$D$161)+SUMIFS('Vols additionnels'!$E$7:$E$66,'Vols additionnels'!$C$7:$C$66,$E3456,'Vols additionnels'!$D$7:$D$66,$F3456,'Vols additionnels'!$B$7:$B$66,$D3456)</f>
        <v>0</v>
      </c>
      <c r="H3456" s="135" t="n">
        <f aca="false">$G3456*'Analyse capacite'!$F$8</f>
        <v>0</v>
      </c>
      <c r="I3456" s="135" t="n">
        <f aca="false">$G3456*'Analyse capacite'!$C$8</f>
        <v>0</v>
      </c>
      <c r="J3456" s="135" t="n">
        <f aca="false">$G3456*'Analyse capacite'!$D$8</f>
        <v>0</v>
      </c>
      <c r="K3456" s="135" t="n">
        <f aca="false">$G3456*'Analyse capacite'!$E$8</f>
        <v>0</v>
      </c>
    </row>
    <row r="3457" customFormat="false" ht="15" hidden="false" customHeight="false" outlineLevel="0" collapsed="false">
      <c r="B3457" s="130" t="n">
        <v>2027</v>
      </c>
      <c r="C3457" s="131" t="s">
        <v>249</v>
      </c>
      <c r="D3457" s="132" t="n">
        <v>46573</v>
      </c>
      <c r="E3457" s="131" t="s">
        <v>59</v>
      </c>
      <c r="F3457" s="133" t="s">
        <v>24</v>
      </c>
      <c r="G3457" s="134" t="n">
        <f aca="false">LEN('Saisie programme'!$D$162)+SUMIFS('Vols additionnels'!$E$7:$E$66,'Vols additionnels'!$C$7:$C$66,$E3457,'Vols additionnels'!$D$7:$D$66,$F3457,'Vols additionnels'!$B$7:$B$66,$D3457)</f>
        <v>1</v>
      </c>
      <c r="H3457" s="135" t="n">
        <f aca="false">$G3457*'Analyse capacite'!$F$9</f>
        <v>174</v>
      </c>
      <c r="I3457" s="135" t="n">
        <f aca="false">$G3457*'Analyse capacite'!$C$9</f>
        <v>0</v>
      </c>
      <c r="J3457" s="135" t="n">
        <f aca="false">$G3457*'Analyse capacite'!$D$9</f>
        <v>12</v>
      </c>
      <c r="K3457" s="135" t="n">
        <f aca="false">$G3457*'Analyse capacite'!$E$9</f>
        <v>162</v>
      </c>
    </row>
    <row r="3458" customFormat="false" ht="15" hidden="false" customHeight="false" outlineLevel="0" collapsed="false">
      <c r="B3458" s="130" t="n">
        <v>2027</v>
      </c>
      <c r="C3458" s="131" t="s">
        <v>249</v>
      </c>
      <c r="D3458" s="132" t="n">
        <v>46573</v>
      </c>
      <c r="E3458" s="131" t="s">
        <v>62</v>
      </c>
      <c r="F3458" s="133" t="s">
        <v>11</v>
      </c>
      <c r="G3458" s="134" t="n">
        <f aca="false">LEN('Saisie programme'!$D$163)+SUMIFS('Vols additionnels'!$E$7:$E$66,'Vols additionnels'!$C$7:$C$66,$E3458,'Vols additionnels'!$D$7:$D$66,$F3458,'Vols additionnels'!$B$7:$B$66,$D3458)</f>
        <v>0</v>
      </c>
      <c r="H3458" s="135" t="n">
        <f aca="false">$G3458*'Analyse capacite'!$F$7</f>
        <v>0</v>
      </c>
      <c r="I3458" s="135" t="n">
        <f aca="false">$G3458*'Analyse capacite'!$C$7</f>
        <v>0</v>
      </c>
      <c r="J3458" s="135" t="n">
        <f aca="false">$G3458*'Analyse capacite'!$D$7</f>
        <v>0</v>
      </c>
      <c r="K3458" s="135" t="n">
        <f aca="false">$G3458*'Analyse capacite'!$E$7</f>
        <v>0</v>
      </c>
    </row>
    <row r="3459" customFormat="false" ht="15" hidden="false" customHeight="false" outlineLevel="0" collapsed="false">
      <c r="B3459" s="130" t="n">
        <v>2027</v>
      </c>
      <c r="C3459" s="131" t="s">
        <v>249</v>
      </c>
      <c r="D3459" s="132" t="n">
        <v>46573</v>
      </c>
      <c r="E3459" s="131" t="s">
        <v>62</v>
      </c>
      <c r="F3459" s="133" t="s">
        <v>19</v>
      </c>
      <c r="G3459" s="134" t="n">
        <f aca="false">LEN('Saisie programme'!$D$164)+SUMIFS('Vols additionnels'!$E$7:$E$66,'Vols additionnels'!$C$7:$C$66,$E3459,'Vols additionnels'!$D$7:$D$66,$F3459,'Vols additionnels'!$B$7:$B$66,$D3459)</f>
        <v>0</v>
      </c>
      <c r="H3459" s="135" t="n">
        <f aca="false">$G3459*'Analyse capacite'!$F$8</f>
        <v>0</v>
      </c>
      <c r="I3459" s="135" t="n">
        <f aca="false">$G3459*'Analyse capacite'!$C$8</f>
        <v>0</v>
      </c>
      <c r="J3459" s="135" t="n">
        <f aca="false">$G3459*'Analyse capacite'!$D$8</f>
        <v>0</v>
      </c>
      <c r="K3459" s="135" t="n">
        <f aca="false">$G3459*'Analyse capacite'!$E$8</f>
        <v>0</v>
      </c>
    </row>
    <row r="3460" customFormat="false" ht="15" hidden="false" customHeight="false" outlineLevel="0" collapsed="false">
      <c r="B3460" s="130" t="n">
        <v>2027</v>
      </c>
      <c r="C3460" s="131" t="s">
        <v>249</v>
      </c>
      <c r="D3460" s="132" t="n">
        <v>46573</v>
      </c>
      <c r="E3460" s="131" t="s">
        <v>62</v>
      </c>
      <c r="F3460" s="133" t="s">
        <v>24</v>
      </c>
      <c r="G3460" s="134" t="n">
        <f aca="false">LEN('Saisie programme'!$D$165)+SUMIFS('Vols additionnels'!$E$7:$E$66,'Vols additionnels'!$C$7:$C$66,$E3460,'Vols additionnels'!$D$7:$D$66,$F3460,'Vols additionnels'!$B$7:$B$66,$D3460)</f>
        <v>0</v>
      </c>
      <c r="H3460" s="135" t="n">
        <f aca="false">$G3460*'Analyse capacite'!$F$9</f>
        <v>0</v>
      </c>
      <c r="I3460" s="135" t="n">
        <f aca="false">$G3460*'Analyse capacite'!$C$9</f>
        <v>0</v>
      </c>
      <c r="J3460" s="135" t="n">
        <f aca="false">$G3460*'Analyse capacite'!$D$9</f>
        <v>0</v>
      </c>
      <c r="K3460" s="135" t="n">
        <f aca="false">$G3460*'Analyse capacite'!$E$9</f>
        <v>0</v>
      </c>
    </row>
    <row r="3461" customFormat="false" ht="15" hidden="false" customHeight="false" outlineLevel="0" collapsed="false">
      <c r="B3461" s="130" t="n">
        <v>2027</v>
      </c>
      <c r="C3461" s="131" t="s">
        <v>249</v>
      </c>
      <c r="D3461" s="132" t="n">
        <v>46574</v>
      </c>
      <c r="E3461" s="131" t="s">
        <v>12</v>
      </c>
      <c r="F3461" s="133" t="s">
        <v>11</v>
      </c>
      <c r="G3461" s="134" t="n">
        <f aca="false">LEN('Saisie programme'!$E$130)+SUMIFS('Vols additionnels'!$E$7:$E$66,'Vols additionnels'!$C$7:$C$66,$E3461,'Vols additionnels'!$D$7:$D$66,$F3461,'Vols additionnels'!$B$7:$B$66,$D3461)</f>
        <v>1</v>
      </c>
      <c r="H3461" s="135" t="n">
        <f aca="false">$G3461*'Analyse capacite'!$F$7</f>
        <v>438</v>
      </c>
      <c r="I3461" s="135" t="n">
        <f aca="false">$G3461*'Analyse capacite'!$C$7</f>
        <v>14</v>
      </c>
      <c r="J3461" s="135" t="n">
        <f aca="false">$G3461*'Analyse capacite'!$D$7</f>
        <v>40</v>
      </c>
      <c r="K3461" s="135" t="n">
        <f aca="false">$G3461*'Analyse capacite'!$E$7</f>
        <v>384</v>
      </c>
    </row>
    <row r="3462" customFormat="false" ht="15" hidden="false" customHeight="false" outlineLevel="0" collapsed="false">
      <c r="B3462" s="130" t="n">
        <v>2027</v>
      </c>
      <c r="C3462" s="131" t="s">
        <v>249</v>
      </c>
      <c r="D3462" s="132" t="n">
        <v>46574</v>
      </c>
      <c r="E3462" s="131" t="s">
        <v>12</v>
      </c>
      <c r="F3462" s="133" t="s">
        <v>19</v>
      </c>
      <c r="G3462" s="134" t="n">
        <f aca="false">LEN('Saisie programme'!$E$131)+SUMIFS('Vols additionnels'!$E$7:$E$66,'Vols additionnels'!$C$7:$C$66,$E3462,'Vols additionnels'!$D$7:$D$66,$F3462,'Vols additionnels'!$B$7:$B$66,$D3462)</f>
        <v>0</v>
      </c>
      <c r="H3462" s="135" t="n">
        <f aca="false">$G3462*'Analyse capacite'!$F$8</f>
        <v>0</v>
      </c>
      <c r="I3462" s="135" t="n">
        <f aca="false">$G3462*'Analyse capacite'!$C$8</f>
        <v>0</v>
      </c>
      <c r="J3462" s="135" t="n">
        <f aca="false">$G3462*'Analyse capacite'!$D$8</f>
        <v>0</v>
      </c>
      <c r="K3462" s="135" t="n">
        <f aca="false">$G3462*'Analyse capacite'!$E$8</f>
        <v>0</v>
      </c>
    </row>
    <row r="3463" customFormat="false" ht="15" hidden="false" customHeight="false" outlineLevel="0" collapsed="false">
      <c r="B3463" s="130" t="n">
        <v>2027</v>
      </c>
      <c r="C3463" s="131" t="s">
        <v>249</v>
      </c>
      <c r="D3463" s="132" t="n">
        <v>46574</v>
      </c>
      <c r="E3463" s="131" t="s">
        <v>12</v>
      </c>
      <c r="F3463" s="133" t="s">
        <v>24</v>
      </c>
      <c r="G3463" s="134" t="n">
        <f aca="false">LEN('Saisie programme'!$E$132)+SUMIFS('Vols additionnels'!$E$7:$E$66,'Vols additionnels'!$C$7:$C$66,$E3463,'Vols additionnels'!$D$7:$D$66,$F3463,'Vols additionnels'!$B$7:$B$66,$D3463)</f>
        <v>0</v>
      </c>
      <c r="H3463" s="135" t="n">
        <f aca="false">$G3463*'Analyse capacite'!$F$9</f>
        <v>0</v>
      </c>
      <c r="I3463" s="135" t="n">
        <f aca="false">$G3463*'Analyse capacite'!$C$9</f>
        <v>0</v>
      </c>
      <c r="J3463" s="135" t="n">
        <f aca="false">$G3463*'Analyse capacite'!$D$9</f>
        <v>0</v>
      </c>
      <c r="K3463" s="135" t="n">
        <f aca="false">$G3463*'Analyse capacite'!$E$9</f>
        <v>0</v>
      </c>
    </row>
    <row r="3464" customFormat="false" ht="15" hidden="false" customHeight="false" outlineLevel="0" collapsed="false">
      <c r="B3464" s="130" t="n">
        <v>2027</v>
      </c>
      <c r="C3464" s="131" t="s">
        <v>249</v>
      </c>
      <c r="D3464" s="132" t="n">
        <v>46574</v>
      </c>
      <c r="E3464" s="131" t="s">
        <v>20</v>
      </c>
      <c r="F3464" s="133" t="s">
        <v>11</v>
      </c>
      <c r="G3464" s="134" t="n">
        <f aca="false">LEN('Saisie programme'!$E$133)+SUMIFS('Vols additionnels'!$E$7:$E$66,'Vols additionnels'!$C$7:$C$66,$E3464,'Vols additionnels'!$D$7:$D$66,$F3464,'Vols additionnels'!$B$7:$B$66,$D3464)</f>
        <v>0</v>
      </c>
      <c r="H3464" s="135" t="n">
        <f aca="false">$G3464*'Analyse capacite'!$F$7</f>
        <v>0</v>
      </c>
      <c r="I3464" s="135" t="n">
        <f aca="false">$G3464*'Analyse capacite'!$C$7</f>
        <v>0</v>
      </c>
      <c r="J3464" s="135" t="n">
        <f aca="false">$G3464*'Analyse capacite'!$D$7</f>
        <v>0</v>
      </c>
      <c r="K3464" s="135" t="n">
        <f aca="false">$G3464*'Analyse capacite'!$E$7</f>
        <v>0</v>
      </c>
    </row>
    <row r="3465" customFormat="false" ht="15" hidden="false" customHeight="false" outlineLevel="0" collapsed="false">
      <c r="B3465" s="130" t="n">
        <v>2027</v>
      </c>
      <c r="C3465" s="131" t="s">
        <v>249</v>
      </c>
      <c r="D3465" s="132" t="n">
        <v>46574</v>
      </c>
      <c r="E3465" s="131" t="s">
        <v>20</v>
      </c>
      <c r="F3465" s="133" t="s">
        <v>19</v>
      </c>
      <c r="G3465" s="134" t="n">
        <f aca="false">LEN('Saisie programme'!$E$134)+SUMIFS('Vols additionnels'!$E$7:$E$66,'Vols additionnels'!$C$7:$C$66,$E3465,'Vols additionnels'!$D$7:$D$66,$F3465,'Vols additionnels'!$B$7:$B$66,$D3465)</f>
        <v>1</v>
      </c>
      <c r="H3465" s="135" t="n">
        <f aca="false">$G3465*'Analyse capacite'!$F$8</f>
        <v>262</v>
      </c>
      <c r="I3465" s="135" t="n">
        <f aca="false">$G3465*'Analyse capacite'!$C$8</f>
        <v>18</v>
      </c>
      <c r="J3465" s="135" t="n">
        <f aca="false">$G3465*'Analyse capacite'!$D$8</f>
        <v>0</v>
      </c>
      <c r="K3465" s="135" t="n">
        <f aca="false">$G3465*'Analyse capacite'!$E$8</f>
        <v>244</v>
      </c>
    </row>
    <row r="3466" customFormat="false" ht="15" hidden="false" customHeight="false" outlineLevel="0" collapsed="false">
      <c r="B3466" s="130" t="n">
        <v>2027</v>
      </c>
      <c r="C3466" s="131" t="s">
        <v>249</v>
      </c>
      <c r="D3466" s="132" t="n">
        <v>46574</v>
      </c>
      <c r="E3466" s="131" t="s">
        <v>20</v>
      </c>
      <c r="F3466" s="133" t="s">
        <v>24</v>
      </c>
      <c r="G3466" s="134" t="n">
        <f aca="false">LEN('Saisie programme'!$E$135)+SUMIFS('Vols additionnels'!$E$7:$E$66,'Vols additionnels'!$C$7:$C$66,$E3466,'Vols additionnels'!$D$7:$D$66,$F3466,'Vols additionnels'!$B$7:$B$66,$D3466)</f>
        <v>0</v>
      </c>
      <c r="H3466" s="135" t="n">
        <f aca="false">$G3466*'Analyse capacite'!$F$9</f>
        <v>0</v>
      </c>
      <c r="I3466" s="135" t="n">
        <f aca="false">$G3466*'Analyse capacite'!$C$9</f>
        <v>0</v>
      </c>
      <c r="J3466" s="135" t="n">
        <f aca="false">$G3466*'Analyse capacite'!$D$9</f>
        <v>0</v>
      </c>
      <c r="K3466" s="135" t="n">
        <f aca="false">$G3466*'Analyse capacite'!$E$9</f>
        <v>0</v>
      </c>
    </row>
    <row r="3467" customFormat="false" ht="15" hidden="false" customHeight="false" outlineLevel="0" collapsed="false">
      <c r="B3467" s="130" t="n">
        <v>2027</v>
      </c>
      <c r="C3467" s="131" t="s">
        <v>249</v>
      </c>
      <c r="D3467" s="132" t="n">
        <v>46574</v>
      </c>
      <c r="E3467" s="131" t="s">
        <v>25</v>
      </c>
      <c r="F3467" s="133" t="s">
        <v>11</v>
      </c>
      <c r="G3467" s="134" t="n">
        <f aca="false">LEN('Saisie programme'!$E$136)+SUMIFS('Vols additionnels'!$E$7:$E$66,'Vols additionnels'!$C$7:$C$66,$E3467,'Vols additionnels'!$D$7:$D$66,$F3467,'Vols additionnels'!$B$7:$B$66,$D3467)</f>
        <v>0</v>
      </c>
      <c r="H3467" s="135" t="n">
        <f aca="false">$G3467*'Analyse capacite'!$F$7</f>
        <v>0</v>
      </c>
      <c r="I3467" s="135" t="n">
        <f aca="false">$G3467*'Analyse capacite'!$C$7</f>
        <v>0</v>
      </c>
      <c r="J3467" s="135" t="n">
        <f aca="false">$G3467*'Analyse capacite'!$D$7</f>
        <v>0</v>
      </c>
      <c r="K3467" s="135" t="n">
        <f aca="false">$G3467*'Analyse capacite'!$E$7</f>
        <v>0</v>
      </c>
    </row>
    <row r="3468" customFormat="false" ht="15" hidden="false" customHeight="false" outlineLevel="0" collapsed="false">
      <c r="B3468" s="130" t="n">
        <v>2027</v>
      </c>
      <c r="C3468" s="131" t="s">
        <v>249</v>
      </c>
      <c r="D3468" s="132" t="n">
        <v>46574</v>
      </c>
      <c r="E3468" s="131" t="s">
        <v>25</v>
      </c>
      <c r="F3468" s="133" t="s">
        <v>19</v>
      </c>
      <c r="G3468" s="134" t="n">
        <f aca="false">LEN('Saisie programme'!$E$137)+SUMIFS('Vols additionnels'!$E$7:$E$66,'Vols additionnels'!$C$7:$C$66,$E3468,'Vols additionnels'!$D$7:$D$66,$F3468,'Vols additionnels'!$B$7:$B$66,$D3468)</f>
        <v>0</v>
      </c>
      <c r="H3468" s="135" t="n">
        <f aca="false">$G3468*'Analyse capacite'!$F$8</f>
        <v>0</v>
      </c>
      <c r="I3468" s="135" t="n">
        <f aca="false">$G3468*'Analyse capacite'!$C$8</f>
        <v>0</v>
      </c>
      <c r="J3468" s="135" t="n">
        <f aca="false">$G3468*'Analyse capacite'!$D$8</f>
        <v>0</v>
      </c>
      <c r="K3468" s="135" t="n">
        <f aca="false">$G3468*'Analyse capacite'!$E$8</f>
        <v>0</v>
      </c>
    </row>
    <row r="3469" customFormat="false" ht="15" hidden="false" customHeight="false" outlineLevel="0" collapsed="false">
      <c r="B3469" s="130" t="n">
        <v>2027</v>
      </c>
      <c r="C3469" s="131" t="s">
        <v>249</v>
      </c>
      <c r="D3469" s="132" t="n">
        <v>46574</v>
      </c>
      <c r="E3469" s="131" t="s">
        <v>25</v>
      </c>
      <c r="F3469" s="133" t="s">
        <v>24</v>
      </c>
      <c r="G3469" s="134" t="n">
        <f aca="false">LEN('Saisie programme'!$E$138)+SUMIFS('Vols additionnels'!$E$7:$E$66,'Vols additionnels'!$C$7:$C$66,$E3469,'Vols additionnels'!$D$7:$D$66,$F3469,'Vols additionnels'!$B$7:$B$66,$D3469)</f>
        <v>0</v>
      </c>
      <c r="H3469" s="135" t="n">
        <f aca="false">$G3469*'Analyse capacite'!$F$9</f>
        <v>0</v>
      </c>
      <c r="I3469" s="135" t="n">
        <f aca="false">$G3469*'Analyse capacite'!$C$9</f>
        <v>0</v>
      </c>
      <c r="J3469" s="135" t="n">
        <f aca="false">$G3469*'Analyse capacite'!$D$9</f>
        <v>0</v>
      </c>
      <c r="K3469" s="135" t="n">
        <f aca="false">$G3469*'Analyse capacite'!$E$9</f>
        <v>0</v>
      </c>
    </row>
    <row r="3470" customFormat="false" ht="15" hidden="false" customHeight="false" outlineLevel="0" collapsed="false">
      <c r="B3470" s="130" t="n">
        <v>2027</v>
      </c>
      <c r="C3470" s="131" t="s">
        <v>249</v>
      </c>
      <c r="D3470" s="132" t="n">
        <v>46574</v>
      </c>
      <c r="E3470" s="131" t="s">
        <v>36</v>
      </c>
      <c r="F3470" s="133" t="s">
        <v>11</v>
      </c>
      <c r="G3470" s="134" t="n">
        <f aca="false">LEN('Saisie programme'!$E$139)+SUMIFS('Vols additionnels'!$E$7:$E$66,'Vols additionnels'!$C$7:$C$66,$E3470,'Vols additionnels'!$D$7:$D$66,$F3470,'Vols additionnels'!$B$7:$B$66,$D3470)</f>
        <v>0</v>
      </c>
      <c r="H3470" s="135" t="n">
        <f aca="false">$G3470*'Analyse capacite'!$F$7</f>
        <v>0</v>
      </c>
      <c r="I3470" s="135" t="n">
        <f aca="false">$G3470*'Analyse capacite'!$C$7</f>
        <v>0</v>
      </c>
      <c r="J3470" s="135" t="n">
        <f aca="false">$G3470*'Analyse capacite'!$D$7</f>
        <v>0</v>
      </c>
      <c r="K3470" s="135" t="n">
        <f aca="false">$G3470*'Analyse capacite'!$E$7</f>
        <v>0</v>
      </c>
    </row>
    <row r="3471" customFormat="false" ht="15" hidden="false" customHeight="false" outlineLevel="0" collapsed="false">
      <c r="B3471" s="130" t="n">
        <v>2027</v>
      </c>
      <c r="C3471" s="131" t="s">
        <v>249</v>
      </c>
      <c r="D3471" s="132" t="n">
        <v>46574</v>
      </c>
      <c r="E3471" s="131" t="s">
        <v>36</v>
      </c>
      <c r="F3471" s="133" t="s">
        <v>19</v>
      </c>
      <c r="G3471" s="134" t="n">
        <f aca="false">LEN('Saisie programme'!$E$140)+SUMIFS('Vols additionnels'!$E$7:$E$66,'Vols additionnels'!$C$7:$C$66,$E3471,'Vols additionnels'!$D$7:$D$66,$F3471,'Vols additionnels'!$B$7:$B$66,$D3471)</f>
        <v>0</v>
      </c>
      <c r="H3471" s="135" t="n">
        <f aca="false">$G3471*'Analyse capacite'!$F$8</f>
        <v>0</v>
      </c>
      <c r="I3471" s="135" t="n">
        <f aca="false">$G3471*'Analyse capacite'!$C$8</f>
        <v>0</v>
      </c>
      <c r="J3471" s="135" t="n">
        <f aca="false">$G3471*'Analyse capacite'!$D$8</f>
        <v>0</v>
      </c>
      <c r="K3471" s="135" t="n">
        <f aca="false">$G3471*'Analyse capacite'!$E$8</f>
        <v>0</v>
      </c>
    </row>
    <row r="3472" customFormat="false" ht="15" hidden="false" customHeight="false" outlineLevel="0" collapsed="false">
      <c r="B3472" s="130" t="n">
        <v>2027</v>
      </c>
      <c r="C3472" s="131" t="s">
        <v>249</v>
      </c>
      <c r="D3472" s="132" t="n">
        <v>46574</v>
      </c>
      <c r="E3472" s="131" t="s">
        <v>36</v>
      </c>
      <c r="F3472" s="133" t="s">
        <v>24</v>
      </c>
      <c r="G3472" s="134" t="n">
        <f aca="false">LEN('Saisie programme'!$E$141)+SUMIFS('Vols additionnels'!$E$7:$E$66,'Vols additionnels'!$C$7:$C$66,$E3472,'Vols additionnels'!$D$7:$D$66,$F3472,'Vols additionnels'!$B$7:$B$66,$D3472)</f>
        <v>1</v>
      </c>
      <c r="H3472" s="135" t="n">
        <f aca="false">$G3472*'Analyse capacite'!$F$9</f>
        <v>174</v>
      </c>
      <c r="I3472" s="135" t="n">
        <f aca="false">$G3472*'Analyse capacite'!$C$9</f>
        <v>0</v>
      </c>
      <c r="J3472" s="135" t="n">
        <f aca="false">$G3472*'Analyse capacite'!$D$9</f>
        <v>12</v>
      </c>
      <c r="K3472" s="135" t="n">
        <f aca="false">$G3472*'Analyse capacite'!$E$9</f>
        <v>162</v>
      </c>
    </row>
    <row r="3473" customFormat="false" ht="15" hidden="false" customHeight="false" outlineLevel="0" collapsed="false">
      <c r="B3473" s="130" t="n">
        <v>2027</v>
      </c>
      <c r="C3473" s="131" t="s">
        <v>249</v>
      </c>
      <c r="D3473" s="132" t="n">
        <v>46574</v>
      </c>
      <c r="E3473" s="131" t="s">
        <v>40</v>
      </c>
      <c r="F3473" s="133" t="s">
        <v>11</v>
      </c>
      <c r="G3473" s="134" t="n">
        <f aca="false">LEN('Saisie programme'!$E$142)+SUMIFS('Vols additionnels'!$E$7:$E$66,'Vols additionnels'!$C$7:$C$66,$E3473,'Vols additionnels'!$D$7:$D$66,$F3473,'Vols additionnels'!$B$7:$B$66,$D3473)</f>
        <v>0</v>
      </c>
      <c r="H3473" s="135" t="n">
        <f aca="false">$G3473*'Analyse capacite'!$F$7</f>
        <v>0</v>
      </c>
      <c r="I3473" s="135" t="n">
        <f aca="false">$G3473*'Analyse capacite'!$C$7</f>
        <v>0</v>
      </c>
      <c r="J3473" s="135" t="n">
        <f aca="false">$G3473*'Analyse capacite'!$D$7</f>
        <v>0</v>
      </c>
      <c r="K3473" s="135" t="n">
        <f aca="false">$G3473*'Analyse capacite'!$E$7</f>
        <v>0</v>
      </c>
    </row>
    <row r="3474" customFormat="false" ht="15" hidden="false" customHeight="false" outlineLevel="0" collapsed="false">
      <c r="B3474" s="130" t="n">
        <v>2027</v>
      </c>
      <c r="C3474" s="131" t="s">
        <v>249</v>
      </c>
      <c r="D3474" s="132" t="n">
        <v>46574</v>
      </c>
      <c r="E3474" s="131" t="s">
        <v>40</v>
      </c>
      <c r="F3474" s="133" t="s">
        <v>19</v>
      </c>
      <c r="G3474" s="134" t="n">
        <f aca="false">LEN('Saisie programme'!$E$143)+SUMIFS('Vols additionnels'!$E$7:$E$66,'Vols additionnels'!$C$7:$C$66,$E3474,'Vols additionnels'!$D$7:$D$66,$F3474,'Vols additionnels'!$B$7:$B$66,$D3474)</f>
        <v>0</v>
      </c>
      <c r="H3474" s="135" t="n">
        <f aca="false">$G3474*'Analyse capacite'!$F$8</f>
        <v>0</v>
      </c>
      <c r="I3474" s="135" t="n">
        <f aca="false">$G3474*'Analyse capacite'!$C$8</f>
        <v>0</v>
      </c>
      <c r="J3474" s="135" t="n">
        <f aca="false">$G3474*'Analyse capacite'!$D$8</f>
        <v>0</v>
      </c>
      <c r="K3474" s="135" t="n">
        <f aca="false">$G3474*'Analyse capacite'!$E$8</f>
        <v>0</v>
      </c>
    </row>
    <row r="3475" customFormat="false" ht="15" hidden="false" customHeight="false" outlineLevel="0" collapsed="false">
      <c r="B3475" s="130" t="n">
        <v>2027</v>
      </c>
      <c r="C3475" s="131" t="s">
        <v>249</v>
      </c>
      <c r="D3475" s="132" t="n">
        <v>46574</v>
      </c>
      <c r="E3475" s="131" t="s">
        <v>40</v>
      </c>
      <c r="F3475" s="133" t="s">
        <v>24</v>
      </c>
      <c r="G3475" s="134" t="n">
        <f aca="false">LEN('Saisie programme'!$E$144)+SUMIFS('Vols additionnels'!$E$7:$E$66,'Vols additionnels'!$C$7:$C$66,$E3475,'Vols additionnels'!$D$7:$D$66,$F3475,'Vols additionnels'!$B$7:$B$66,$D3475)</f>
        <v>0</v>
      </c>
      <c r="H3475" s="135" t="n">
        <f aca="false">$G3475*'Analyse capacite'!$F$9</f>
        <v>0</v>
      </c>
      <c r="I3475" s="135" t="n">
        <f aca="false">$G3475*'Analyse capacite'!$C$9</f>
        <v>0</v>
      </c>
      <c r="J3475" s="135" t="n">
        <f aca="false">$G3475*'Analyse capacite'!$D$9</f>
        <v>0</v>
      </c>
      <c r="K3475" s="135" t="n">
        <f aca="false">$G3475*'Analyse capacite'!$E$9</f>
        <v>0</v>
      </c>
    </row>
    <row r="3476" customFormat="false" ht="15" hidden="false" customHeight="false" outlineLevel="0" collapsed="false">
      <c r="B3476" s="130" t="n">
        <v>2027</v>
      </c>
      <c r="C3476" s="131" t="s">
        <v>249</v>
      </c>
      <c r="D3476" s="132" t="n">
        <v>46574</v>
      </c>
      <c r="E3476" s="131" t="s">
        <v>14</v>
      </c>
      <c r="F3476" s="133" t="s">
        <v>11</v>
      </c>
      <c r="G3476" s="134" t="n">
        <f aca="false">LEN('Saisie programme'!$E$145)+SUMIFS('Vols additionnels'!$E$7:$E$66,'Vols additionnels'!$C$7:$C$66,$E3476,'Vols additionnels'!$D$7:$D$66,$F3476,'Vols additionnels'!$B$7:$B$66,$D3476)</f>
        <v>0</v>
      </c>
      <c r="H3476" s="135" t="n">
        <f aca="false">$G3476*'Analyse capacite'!$F$7</f>
        <v>0</v>
      </c>
      <c r="I3476" s="135" t="n">
        <f aca="false">$G3476*'Analyse capacite'!$C$7</f>
        <v>0</v>
      </c>
      <c r="J3476" s="135" t="n">
        <f aca="false">$G3476*'Analyse capacite'!$D$7</f>
        <v>0</v>
      </c>
      <c r="K3476" s="135" t="n">
        <f aca="false">$G3476*'Analyse capacite'!$E$7</f>
        <v>0</v>
      </c>
    </row>
    <row r="3477" customFormat="false" ht="15" hidden="false" customHeight="false" outlineLevel="0" collapsed="false">
      <c r="B3477" s="130" t="n">
        <v>2027</v>
      </c>
      <c r="C3477" s="131" t="s">
        <v>249</v>
      </c>
      <c r="D3477" s="132" t="n">
        <v>46574</v>
      </c>
      <c r="E3477" s="131" t="s">
        <v>14</v>
      </c>
      <c r="F3477" s="133" t="s">
        <v>19</v>
      </c>
      <c r="G3477" s="134" t="n">
        <f aca="false">LEN('Saisie programme'!$E$146)+SUMIFS('Vols additionnels'!$E$7:$E$66,'Vols additionnels'!$C$7:$C$66,$E3477,'Vols additionnels'!$D$7:$D$66,$F3477,'Vols additionnels'!$B$7:$B$66,$D3477)</f>
        <v>0</v>
      </c>
      <c r="H3477" s="135" t="n">
        <f aca="false">$G3477*'Analyse capacite'!$F$8</f>
        <v>0</v>
      </c>
      <c r="I3477" s="135" t="n">
        <f aca="false">$G3477*'Analyse capacite'!$C$8</f>
        <v>0</v>
      </c>
      <c r="J3477" s="135" t="n">
        <f aca="false">$G3477*'Analyse capacite'!$D$8</f>
        <v>0</v>
      </c>
      <c r="K3477" s="135" t="n">
        <f aca="false">$G3477*'Analyse capacite'!$E$8</f>
        <v>0</v>
      </c>
    </row>
    <row r="3478" customFormat="false" ht="15" hidden="false" customHeight="false" outlineLevel="0" collapsed="false">
      <c r="B3478" s="130" t="n">
        <v>2027</v>
      </c>
      <c r="C3478" s="131" t="s">
        <v>249</v>
      </c>
      <c r="D3478" s="132" t="n">
        <v>46574</v>
      </c>
      <c r="E3478" s="131" t="s">
        <v>14</v>
      </c>
      <c r="F3478" s="133" t="s">
        <v>24</v>
      </c>
      <c r="G3478" s="134" t="n">
        <f aca="false">LEN('Saisie programme'!$E$147)+SUMIFS('Vols additionnels'!$E$7:$E$66,'Vols additionnels'!$C$7:$C$66,$E3478,'Vols additionnels'!$D$7:$D$66,$F3478,'Vols additionnels'!$B$7:$B$66,$D3478)</f>
        <v>0</v>
      </c>
      <c r="H3478" s="135" t="n">
        <f aca="false">$G3478*'Analyse capacite'!$F$9</f>
        <v>0</v>
      </c>
      <c r="I3478" s="135" t="n">
        <f aca="false">$G3478*'Analyse capacite'!$C$9</f>
        <v>0</v>
      </c>
      <c r="J3478" s="135" t="n">
        <f aca="false">$G3478*'Analyse capacite'!$D$9</f>
        <v>0</v>
      </c>
      <c r="K3478" s="135" t="n">
        <f aca="false">$G3478*'Analyse capacite'!$E$9</f>
        <v>0</v>
      </c>
    </row>
    <row r="3479" customFormat="false" ht="15" hidden="false" customHeight="false" outlineLevel="0" collapsed="false">
      <c r="B3479" s="130" t="n">
        <v>2027</v>
      </c>
      <c r="C3479" s="131" t="s">
        <v>249</v>
      </c>
      <c r="D3479" s="132" t="n">
        <v>46574</v>
      </c>
      <c r="E3479" s="131" t="s">
        <v>46</v>
      </c>
      <c r="F3479" s="133" t="s">
        <v>11</v>
      </c>
      <c r="G3479" s="134" t="n">
        <f aca="false">LEN('Saisie programme'!$E$148)+SUMIFS('Vols additionnels'!$E$7:$E$66,'Vols additionnels'!$C$7:$C$66,$E3479,'Vols additionnels'!$D$7:$D$66,$F3479,'Vols additionnels'!$B$7:$B$66,$D3479)</f>
        <v>0</v>
      </c>
      <c r="H3479" s="135" t="n">
        <f aca="false">$G3479*'Analyse capacite'!$F$7</f>
        <v>0</v>
      </c>
      <c r="I3479" s="135" t="n">
        <f aca="false">$G3479*'Analyse capacite'!$C$7</f>
        <v>0</v>
      </c>
      <c r="J3479" s="135" t="n">
        <f aca="false">$G3479*'Analyse capacite'!$D$7</f>
        <v>0</v>
      </c>
      <c r="K3479" s="135" t="n">
        <f aca="false">$G3479*'Analyse capacite'!$E$7</f>
        <v>0</v>
      </c>
    </row>
    <row r="3480" customFormat="false" ht="15" hidden="false" customHeight="false" outlineLevel="0" collapsed="false">
      <c r="B3480" s="130" t="n">
        <v>2027</v>
      </c>
      <c r="C3480" s="131" t="s">
        <v>249</v>
      </c>
      <c r="D3480" s="132" t="n">
        <v>46574</v>
      </c>
      <c r="E3480" s="131" t="s">
        <v>46</v>
      </c>
      <c r="F3480" s="133" t="s">
        <v>19</v>
      </c>
      <c r="G3480" s="134" t="n">
        <f aca="false">LEN('Saisie programme'!$E$149)+SUMIFS('Vols additionnels'!$E$7:$E$66,'Vols additionnels'!$C$7:$C$66,$E3480,'Vols additionnels'!$D$7:$D$66,$F3480,'Vols additionnels'!$B$7:$B$66,$D3480)</f>
        <v>0</v>
      </c>
      <c r="H3480" s="135" t="n">
        <f aca="false">$G3480*'Analyse capacite'!$F$8</f>
        <v>0</v>
      </c>
      <c r="I3480" s="135" t="n">
        <f aca="false">$G3480*'Analyse capacite'!$C$8</f>
        <v>0</v>
      </c>
      <c r="J3480" s="135" t="n">
        <f aca="false">$G3480*'Analyse capacite'!$D$8</f>
        <v>0</v>
      </c>
      <c r="K3480" s="135" t="n">
        <f aca="false">$G3480*'Analyse capacite'!$E$8</f>
        <v>0</v>
      </c>
    </row>
    <row r="3481" customFormat="false" ht="15" hidden="false" customHeight="false" outlineLevel="0" collapsed="false">
      <c r="B3481" s="130" t="n">
        <v>2027</v>
      </c>
      <c r="C3481" s="131" t="s">
        <v>249</v>
      </c>
      <c r="D3481" s="132" t="n">
        <v>46574</v>
      </c>
      <c r="E3481" s="131" t="s">
        <v>46</v>
      </c>
      <c r="F3481" s="133" t="s">
        <v>24</v>
      </c>
      <c r="G3481" s="134" t="n">
        <f aca="false">LEN('Saisie programme'!$E$150)+SUMIFS('Vols additionnels'!$E$7:$E$66,'Vols additionnels'!$C$7:$C$66,$E3481,'Vols additionnels'!$D$7:$D$66,$F3481,'Vols additionnels'!$B$7:$B$66,$D3481)</f>
        <v>1</v>
      </c>
      <c r="H3481" s="135" t="n">
        <f aca="false">$G3481*'Analyse capacite'!$F$9</f>
        <v>174</v>
      </c>
      <c r="I3481" s="135" t="n">
        <f aca="false">$G3481*'Analyse capacite'!$C$9</f>
        <v>0</v>
      </c>
      <c r="J3481" s="135" t="n">
        <f aca="false">$G3481*'Analyse capacite'!$D$9</f>
        <v>12</v>
      </c>
      <c r="K3481" s="135" t="n">
        <f aca="false">$G3481*'Analyse capacite'!$E$9</f>
        <v>162</v>
      </c>
    </row>
    <row r="3482" customFormat="false" ht="15" hidden="false" customHeight="false" outlineLevel="0" collapsed="false">
      <c r="B3482" s="130" t="n">
        <v>2027</v>
      </c>
      <c r="C3482" s="131" t="s">
        <v>249</v>
      </c>
      <c r="D3482" s="132" t="n">
        <v>46574</v>
      </c>
      <c r="E3482" s="131" t="s">
        <v>49</v>
      </c>
      <c r="F3482" s="133" t="s">
        <v>11</v>
      </c>
      <c r="G3482" s="134" t="n">
        <f aca="false">LEN('Saisie programme'!$E$151)+SUMIFS('Vols additionnels'!$E$7:$E$66,'Vols additionnels'!$C$7:$C$66,$E3482,'Vols additionnels'!$D$7:$D$66,$F3482,'Vols additionnels'!$B$7:$B$66,$D3482)</f>
        <v>0</v>
      </c>
      <c r="H3482" s="135" t="n">
        <f aca="false">$G3482*'Analyse capacite'!$F$7</f>
        <v>0</v>
      </c>
      <c r="I3482" s="135" t="n">
        <f aca="false">$G3482*'Analyse capacite'!$C$7</f>
        <v>0</v>
      </c>
      <c r="J3482" s="135" t="n">
        <f aca="false">$G3482*'Analyse capacite'!$D$7</f>
        <v>0</v>
      </c>
      <c r="K3482" s="135" t="n">
        <f aca="false">$G3482*'Analyse capacite'!$E$7</f>
        <v>0</v>
      </c>
    </row>
    <row r="3483" customFormat="false" ht="15" hidden="false" customHeight="false" outlineLevel="0" collapsed="false">
      <c r="B3483" s="130" t="n">
        <v>2027</v>
      </c>
      <c r="C3483" s="131" t="s">
        <v>249</v>
      </c>
      <c r="D3483" s="132" t="n">
        <v>46574</v>
      </c>
      <c r="E3483" s="131" t="s">
        <v>49</v>
      </c>
      <c r="F3483" s="133" t="s">
        <v>19</v>
      </c>
      <c r="G3483" s="134" t="n">
        <f aca="false">LEN('Saisie programme'!$E$152)+SUMIFS('Vols additionnels'!$E$7:$E$66,'Vols additionnels'!$C$7:$C$66,$E3483,'Vols additionnels'!$D$7:$D$66,$F3483,'Vols additionnels'!$B$7:$B$66,$D3483)</f>
        <v>0</v>
      </c>
      <c r="H3483" s="135" t="n">
        <f aca="false">$G3483*'Analyse capacite'!$F$8</f>
        <v>0</v>
      </c>
      <c r="I3483" s="135" t="n">
        <f aca="false">$G3483*'Analyse capacite'!$C$8</f>
        <v>0</v>
      </c>
      <c r="J3483" s="135" t="n">
        <f aca="false">$G3483*'Analyse capacite'!$D$8</f>
        <v>0</v>
      </c>
      <c r="K3483" s="135" t="n">
        <f aca="false">$G3483*'Analyse capacite'!$E$8</f>
        <v>0</v>
      </c>
    </row>
    <row r="3484" customFormat="false" ht="15" hidden="false" customHeight="false" outlineLevel="0" collapsed="false">
      <c r="B3484" s="130" t="n">
        <v>2027</v>
      </c>
      <c r="C3484" s="131" t="s">
        <v>249</v>
      </c>
      <c r="D3484" s="132" t="n">
        <v>46574</v>
      </c>
      <c r="E3484" s="131" t="s">
        <v>49</v>
      </c>
      <c r="F3484" s="133" t="s">
        <v>24</v>
      </c>
      <c r="G3484" s="134" t="n">
        <f aca="false">LEN('Saisie programme'!$E$153)+SUMIFS('Vols additionnels'!$E$7:$E$66,'Vols additionnels'!$C$7:$C$66,$E3484,'Vols additionnels'!$D$7:$D$66,$F3484,'Vols additionnels'!$B$7:$B$66,$D3484)</f>
        <v>0</v>
      </c>
      <c r="H3484" s="135" t="n">
        <f aca="false">$G3484*'Analyse capacite'!$F$9</f>
        <v>0</v>
      </c>
      <c r="I3484" s="135" t="n">
        <f aca="false">$G3484*'Analyse capacite'!$C$9</f>
        <v>0</v>
      </c>
      <c r="J3484" s="135" t="n">
        <f aca="false">$G3484*'Analyse capacite'!$D$9</f>
        <v>0</v>
      </c>
      <c r="K3484" s="135" t="n">
        <f aca="false">$G3484*'Analyse capacite'!$E$9</f>
        <v>0</v>
      </c>
    </row>
    <row r="3485" customFormat="false" ht="15" hidden="false" customHeight="false" outlineLevel="0" collapsed="false">
      <c r="B3485" s="130" t="n">
        <v>2027</v>
      </c>
      <c r="C3485" s="131" t="s">
        <v>249</v>
      </c>
      <c r="D3485" s="132" t="n">
        <v>46574</v>
      </c>
      <c r="E3485" s="131" t="s">
        <v>53</v>
      </c>
      <c r="F3485" s="133" t="s">
        <v>11</v>
      </c>
      <c r="G3485" s="134" t="n">
        <f aca="false">LEN('Saisie programme'!$E$154)+SUMIFS('Vols additionnels'!$E$7:$E$66,'Vols additionnels'!$C$7:$C$66,$E3485,'Vols additionnels'!$D$7:$D$66,$F3485,'Vols additionnels'!$B$7:$B$66,$D3485)</f>
        <v>0</v>
      </c>
      <c r="H3485" s="135" t="n">
        <f aca="false">$G3485*'Analyse capacite'!$F$7</f>
        <v>0</v>
      </c>
      <c r="I3485" s="135" t="n">
        <f aca="false">$G3485*'Analyse capacite'!$C$7</f>
        <v>0</v>
      </c>
      <c r="J3485" s="135" t="n">
        <f aca="false">$G3485*'Analyse capacite'!$D$7</f>
        <v>0</v>
      </c>
      <c r="K3485" s="135" t="n">
        <f aca="false">$G3485*'Analyse capacite'!$E$7</f>
        <v>0</v>
      </c>
    </row>
    <row r="3486" customFormat="false" ht="15" hidden="false" customHeight="false" outlineLevel="0" collapsed="false">
      <c r="B3486" s="130" t="n">
        <v>2027</v>
      </c>
      <c r="C3486" s="131" t="s">
        <v>249</v>
      </c>
      <c r="D3486" s="132" t="n">
        <v>46574</v>
      </c>
      <c r="E3486" s="131" t="s">
        <v>53</v>
      </c>
      <c r="F3486" s="133" t="s">
        <v>19</v>
      </c>
      <c r="G3486" s="134" t="n">
        <f aca="false">LEN('Saisie programme'!$E$155)+SUMIFS('Vols additionnels'!$E$7:$E$66,'Vols additionnels'!$C$7:$C$66,$E3486,'Vols additionnels'!$D$7:$D$66,$F3486,'Vols additionnels'!$B$7:$B$66,$D3486)</f>
        <v>0</v>
      </c>
      <c r="H3486" s="135" t="n">
        <f aca="false">$G3486*'Analyse capacite'!$F$8</f>
        <v>0</v>
      </c>
      <c r="I3486" s="135" t="n">
        <f aca="false">$G3486*'Analyse capacite'!$C$8</f>
        <v>0</v>
      </c>
      <c r="J3486" s="135" t="n">
        <f aca="false">$G3486*'Analyse capacite'!$D$8</f>
        <v>0</v>
      </c>
      <c r="K3486" s="135" t="n">
        <f aca="false">$G3486*'Analyse capacite'!$E$8</f>
        <v>0</v>
      </c>
    </row>
    <row r="3487" customFormat="false" ht="15" hidden="false" customHeight="false" outlineLevel="0" collapsed="false">
      <c r="B3487" s="130" t="n">
        <v>2027</v>
      </c>
      <c r="C3487" s="131" t="s">
        <v>249</v>
      </c>
      <c r="D3487" s="132" t="n">
        <v>46574</v>
      </c>
      <c r="E3487" s="131" t="s">
        <v>53</v>
      </c>
      <c r="F3487" s="133" t="s">
        <v>24</v>
      </c>
      <c r="G3487" s="134" t="n">
        <f aca="false">LEN('Saisie programme'!$E$156)+SUMIFS('Vols additionnels'!$E$7:$E$66,'Vols additionnels'!$C$7:$C$66,$E3487,'Vols additionnels'!$D$7:$D$66,$F3487,'Vols additionnels'!$B$7:$B$66,$D3487)</f>
        <v>0</v>
      </c>
      <c r="H3487" s="135" t="n">
        <f aca="false">$G3487*'Analyse capacite'!$F$9</f>
        <v>0</v>
      </c>
      <c r="I3487" s="135" t="n">
        <f aca="false">$G3487*'Analyse capacite'!$C$9</f>
        <v>0</v>
      </c>
      <c r="J3487" s="135" t="n">
        <f aca="false">$G3487*'Analyse capacite'!$D$9</f>
        <v>0</v>
      </c>
      <c r="K3487" s="135" t="n">
        <f aca="false">$G3487*'Analyse capacite'!$E$9</f>
        <v>0</v>
      </c>
    </row>
    <row r="3488" customFormat="false" ht="15" hidden="false" customHeight="false" outlineLevel="0" collapsed="false">
      <c r="B3488" s="130" t="n">
        <v>2027</v>
      </c>
      <c r="C3488" s="131" t="s">
        <v>249</v>
      </c>
      <c r="D3488" s="132" t="n">
        <v>46574</v>
      </c>
      <c r="E3488" s="131" t="s">
        <v>56</v>
      </c>
      <c r="F3488" s="133" t="s">
        <v>11</v>
      </c>
      <c r="G3488" s="134" t="n">
        <f aca="false">LEN('Saisie programme'!$E$157)+SUMIFS('Vols additionnels'!$E$7:$E$66,'Vols additionnels'!$C$7:$C$66,$E3488,'Vols additionnels'!$D$7:$D$66,$F3488,'Vols additionnels'!$B$7:$B$66,$D3488)</f>
        <v>0</v>
      </c>
      <c r="H3488" s="135" t="n">
        <f aca="false">$G3488*'Analyse capacite'!$F$7</f>
        <v>0</v>
      </c>
      <c r="I3488" s="135" t="n">
        <f aca="false">$G3488*'Analyse capacite'!$C$7</f>
        <v>0</v>
      </c>
      <c r="J3488" s="135" t="n">
        <f aca="false">$G3488*'Analyse capacite'!$D$7</f>
        <v>0</v>
      </c>
      <c r="K3488" s="135" t="n">
        <f aca="false">$G3488*'Analyse capacite'!$E$7</f>
        <v>0</v>
      </c>
    </row>
    <row r="3489" customFormat="false" ht="15" hidden="false" customHeight="false" outlineLevel="0" collapsed="false">
      <c r="B3489" s="130" t="n">
        <v>2027</v>
      </c>
      <c r="C3489" s="131" t="s">
        <v>249</v>
      </c>
      <c r="D3489" s="132" t="n">
        <v>46574</v>
      </c>
      <c r="E3489" s="131" t="s">
        <v>56</v>
      </c>
      <c r="F3489" s="133" t="s">
        <v>19</v>
      </c>
      <c r="G3489" s="134" t="n">
        <f aca="false">LEN('Saisie programme'!$E$158)+SUMIFS('Vols additionnels'!$E$7:$E$66,'Vols additionnels'!$C$7:$C$66,$E3489,'Vols additionnels'!$D$7:$D$66,$F3489,'Vols additionnels'!$B$7:$B$66,$D3489)</f>
        <v>0</v>
      </c>
      <c r="H3489" s="135" t="n">
        <f aca="false">$G3489*'Analyse capacite'!$F$8</f>
        <v>0</v>
      </c>
      <c r="I3489" s="135" t="n">
        <f aca="false">$G3489*'Analyse capacite'!$C$8</f>
        <v>0</v>
      </c>
      <c r="J3489" s="135" t="n">
        <f aca="false">$G3489*'Analyse capacite'!$D$8</f>
        <v>0</v>
      </c>
      <c r="K3489" s="135" t="n">
        <f aca="false">$G3489*'Analyse capacite'!$E$8</f>
        <v>0</v>
      </c>
    </row>
    <row r="3490" customFormat="false" ht="15" hidden="false" customHeight="false" outlineLevel="0" collapsed="false">
      <c r="B3490" s="130" t="n">
        <v>2027</v>
      </c>
      <c r="C3490" s="131" t="s">
        <v>249</v>
      </c>
      <c r="D3490" s="132" t="n">
        <v>46574</v>
      </c>
      <c r="E3490" s="131" t="s">
        <v>56</v>
      </c>
      <c r="F3490" s="133" t="s">
        <v>24</v>
      </c>
      <c r="G3490" s="134" t="n">
        <f aca="false">LEN('Saisie programme'!$E$159)+SUMIFS('Vols additionnels'!$E$7:$E$66,'Vols additionnels'!$C$7:$C$66,$E3490,'Vols additionnels'!$D$7:$D$66,$F3490,'Vols additionnels'!$B$7:$B$66,$D3490)</f>
        <v>1</v>
      </c>
      <c r="H3490" s="135" t="n">
        <f aca="false">$G3490*'Analyse capacite'!$F$9</f>
        <v>174</v>
      </c>
      <c r="I3490" s="135" t="n">
        <f aca="false">$G3490*'Analyse capacite'!$C$9</f>
        <v>0</v>
      </c>
      <c r="J3490" s="135" t="n">
        <f aca="false">$G3490*'Analyse capacite'!$D$9</f>
        <v>12</v>
      </c>
      <c r="K3490" s="135" t="n">
        <f aca="false">$G3490*'Analyse capacite'!$E$9</f>
        <v>162</v>
      </c>
    </row>
    <row r="3491" customFormat="false" ht="15" hidden="false" customHeight="false" outlineLevel="0" collapsed="false">
      <c r="B3491" s="130" t="n">
        <v>2027</v>
      </c>
      <c r="C3491" s="131" t="s">
        <v>249</v>
      </c>
      <c r="D3491" s="132" t="n">
        <v>46574</v>
      </c>
      <c r="E3491" s="131" t="s">
        <v>59</v>
      </c>
      <c r="F3491" s="133" t="s">
        <v>11</v>
      </c>
      <c r="G3491" s="134" t="n">
        <f aca="false">LEN('Saisie programme'!$E$160)+SUMIFS('Vols additionnels'!$E$7:$E$66,'Vols additionnels'!$C$7:$C$66,$E3491,'Vols additionnels'!$D$7:$D$66,$F3491,'Vols additionnels'!$B$7:$B$66,$D3491)</f>
        <v>0</v>
      </c>
      <c r="H3491" s="135" t="n">
        <f aca="false">$G3491*'Analyse capacite'!$F$7</f>
        <v>0</v>
      </c>
      <c r="I3491" s="135" t="n">
        <f aca="false">$G3491*'Analyse capacite'!$C$7</f>
        <v>0</v>
      </c>
      <c r="J3491" s="135" t="n">
        <f aca="false">$G3491*'Analyse capacite'!$D$7</f>
        <v>0</v>
      </c>
      <c r="K3491" s="135" t="n">
        <f aca="false">$G3491*'Analyse capacite'!$E$7</f>
        <v>0</v>
      </c>
    </row>
    <row r="3492" customFormat="false" ht="15" hidden="false" customHeight="false" outlineLevel="0" collapsed="false">
      <c r="B3492" s="130" t="n">
        <v>2027</v>
      </c>
      <c r="C3492" s="131" t="s">
        <v>249</v>
      </c>
      <c r="D3492" s="132" t="n">
        <v>46574</v>
      </c>
      <c r="E3492" s="131" t="s">
        <v>59</v>
      </c>
      <c r="F3492" s="133" t="s">
        <v>19</v>
      </c>
      <c r="G3492" s="134" t="n">
        <f aca="false">LEN('Saisie programme'!$E$161)+SUMIFS('Vols additionnels'!$E$7:$E$66,'Vols additionnels'!$C$7:$C$66,$E3492,'Vols additionnels'!$D$7:$D$66,$F3492,'Vols additionnels'!$B$7:$B$66,$D3492)</f>
        <v>0</v>
      </c>
      <c r="H3492" s="135" t="n">
        <f aca="false">$G3492*'Analyse capacite'!$F$8</f>
        <v>0</v>
      </c>
      <c r="I3492" s="135" t="n">
        <f aca="false">$G3492*'Analyse capacite'!$C$8</f>
        <v>0</v>
      </c>
      <c r="J3492" s="135" t="n">
        <f aca="false">$G3492*'Analyse capacite'!$D$8</f>
        <v>0</v>
      </c>
      <c r="K3492" s="135" t="n">
        <f aca="false">$G3492*'Analyse capacite'!$E$8</f>
        <v>0</v>
      </c>
    </row>
    <row r="3493" customFormat="false" ht="15" hidden="false" customHeight="false" outlineLevel="0" collapsed="false">
      <c r="B3493" s="130" t="n">
        <v>2027</v>
      </c>
      <c r="C3493" s="131" t="s">
        <v>249</v>
      </c>
      <c r="D3493" s="132" t="n">
        <v>46574</v>
      </c>
      <c r="E3493" s="131" t="s">
        <v>59</v>
      </c>
      <c r="F3493" s="133" t="s">
        <v>24</v>
      </c>
      <c r="G3493" s="134" t="n">
        <f aca="false">LEN('Saisie programme'!$E$162)+SUMIFS('Vols additionnels'!$E$7:$E$66,'Vols additionnels'!$C$7:$C$66,$E3493,'Vols additionnels'!$D$7:$D$66,$F3493,'Vols additionnels'!$B$7:$B$66,$D3493)</f>
        <v>1</v>
      </c>
      <c r="H3493" s="135" t="n">
        <f aca="false">$G3493*'Analyse capacite'!$F$9</f>
        <v>174</v>
      </c>
      <c r="I3493" s="135" t="n">
        <f aca="false">$G3493*'Analyse capacite'!$C$9</f>
        <v>0</v>
      </c>
      <c r="J3493" s="135" t="n">
        <f aca="false">$G3493*'Analyse capacite'!$D$9</f>
        <v>12</v>
      </c>
      <c r="K3493" s="135" t="n">
        <f aca="false">$G3493*'Analyse capacite'!$E$9</f>
        <v>162</v>
      </c>
    </row>
    <row r="3494" customFormat="false" ht="15" hidden="false" customHeight="false" outlineLevel="0" collapsed="false">
      <c r="B3494" s="130" t="n">
        <v>2027</v>
      </c>
      <c r="C3494" s="131" t="s">
        <v>249</v>
      </c>
      <c r="D3494" s="132" t="n">
        <v>46574</v>
      </c>
      <c r="E3494" s="131" t="s">
        <v>62</v>
      </c>
      <c r="F3494" s="133" t="s">
        <v>11</v>
      </c>
      <c r="G3494" s="134" t="n">
        <f aca="false">LEN('Saisie programme'!$E$163)+SUMIFS('Vols additionnels'!$E$7:$E$66,'Vols additionnels'!$C$7:$C$66,$E3494,'Vols additionnels'!$D$7:$D$66,$F3494,'Vols additionnels'!$B$7:$B$66,$D3494)</f>
        <v>0</v>
      </c>
      <c r="H3494" s="135" t="n">
        <f aca="false">$G3494*'Analyse capacite'!$F$7</f>
        <v>0</v>
      </c>
      <c r="I3494" s="135" t="n">
        <f aca="false">$G3494*'Analyse capacite'!$C$7</f>
        <v>0</v>
      </c>
      <c r="J3494" s="135" t="n">
        <f aca="false">$G3494*'Analyse capacite'!$D$7</f>
        <v>0</v>
      </c>
      <c r="K3494" s="135" t="n">
        <f aca="false">$G3494*'Analyse capacite'!$E$7</f>
        <v>0</v>
      </c>
    </row>
    <row r="3495" customFormat="false" ht="15" hidden="false" customHeight="false" outlineLevel="0" collapsed="false">
      <c r="B3495" s="130" t="n">
        <v>2027</v>
      </c>
      <c r="C3495" s="131" t="s">
        <v>249</v>
      </c>
      <c r="D3495" s="132" t="n">
        <v>46574</v>
      </c>
      <c r="E3495" s="131" t="s">
        <v>62</v>
      </c>
      <c r="F3495" s="133" t="s">
        <v>19</v>
      </c>
      <c r="G3495" s="134" t="n">
        <f aca="false">LEN('Saisie programme'!$E$164)+SUMIFS('Vols additionnels'!$E$7:$E$66,'Vols additionnels'!$C$7:$C$66,$E3495,'Vols additionnels'!$D$7:$D$66,$F3495,'Vols additionnels'!$B$7:$B$66,$D3495)</f>
        <v>0</v>
      </c>
      <c r="H3495" s="135" t="n">
        <f aca="false">$G3495*'Analyse capacite'!$F$8</f>
        <v>0</v>
      </c>
      <c r="I3495" s="135" t="n">
        <f aca="false">$G3495*'Analyse capacite'!$C$8</f>
        <v>0</v>
      </c>
      <c r="J3495" s="135" t="n">
        <f aca="false">$G3495*'Analyse capacite'!$D$8</f>
        <v>0</v>
      </c>
      <c r="K3495" s="135" t="n">
        <f aca="false">$G3495*'Analyse capacite'!$E$8</f>
        <v>0</v>
      </c>
    </row>
    <row r="3496" customFormat="false" ht="15" hidden="false" customHeight="false" outlineLevel="0" collapsed="false">
      <c r="B3496" s="130" t="n">
        <v>2027</v>
      </c>
      <c r="C3496" s="131" t="s">
        <v>249</v>
      </c>
      <c r="D3496" s="132" t="n">
        <v>46574</v>
      </c>
      <c r="E3496" s="131" t="s">
        <v>62</v>
      </c>
      <c r="F3496" s="133" t="s">
        <v>24</v>
      </c>
      <c r="G3496" s="134" t="n">
        <f aca="false">LEN('Saisie programme'!$E$165)+SUMIFS('Vols additionnels'!$E$7:$E$66,'Vols additionnels'!$C$7:$C$66,$E3496,'Vols additionnels'!$D$7:$D$66,$F3496,'Vols additionnels'!$B$7:$B$66,$D3496)</f>
        <v>0</v>
      </c>
      <c r="H3496" s="135" t="n">
        <f aca="false">$G3496*'Analyse capacite'!$F$9</f>
        <v>0</v>
      </c>
      <c r="I3496" s="135" t="n">
        <f aca="false">$G3496*'Analyse capacite'!$C$9</f>
        <v>0</v>
      </c>
      <c r="J3496" s="135" t="n">
        <f aca="false">$G3496*'Analyse capacite'!$D$9</f>
        <v>0</v>
      </c>
      <c r="K3496" s="135" t="n">
        <f aca="false">$G3496*'Analyse capacite'!$E$9</f>
        <v>0</v>
      </c>
    </row>
    <row r="3497" customFormat="false" ht="15" hidden="false" customHeight="false" outlineLevel="0" collapsed="false">
      <c r="B3497" s="130" t="n">
        <v>2027</v>
      </c>
      <c r="C3497" s="131" t="s">
        <v>249</v>
      </c>
      <c r="D3497" s="132" t="n">
        <v>46575</v>
      </c>
      <c r="E3497" s="131" t="s">
        <v>12</v>
      </c>
      <c r="F3497" s="133" t="s">
        <v>11</v>
      </c>
      <c r="G3497" s="134" t="n">
        <f aca="false">LEN('Saisie programme'!$F$130)+SUMIFS('Vols additionnels'!$E$7:$E$66,'Vols additionnels'!$C$7:$C$66,$E3497,'Vols additionnels'!$D$7:$D$66,$F3497,'Vols additionnels'!$B$7:$B$66,$D3497)</f>
        <v>1</v>
      </c>
      <c r="H3497" s="135" t="n">
        <f aca="false">$G3497*'Analyse capacite'!$F$7</f>
        <v>438</v>
      </c>
      <c r="I3497" s="135" t="n">
        <f aca="false">$G3497*'Analyse capacite'!$C$7</f>
        <v>14</v>
      </c>
      <c r="J3497" s="135" t="n">
        <f aca="false">$G3497*'Analyse capacite'!$D$7</f>
        <v>40</v>
      </c>
      <c r="K3497" s="135" t="n">
        <f aca="false">$G3497*'Analyse capacite'!$E$7</f>
        <v>384</v>
      </c>
    </row>
    <row r="3498" customFormat="false" ht="15" hidden="false" customHeight="false" outlineLevel="0" collapsed="false">
      <c r="B3498" s="130" t="n">
        <v>2027</v>
      </c>
      <c r="C3498" s="131" t="s">
        <v>249</v>
      </c>
      <c r="D3498" s="132" t="n">
        <v>46575</v>
      </c>
      <c r="E3498" s="131" t="s">
        <v>12</v>
      </c>
      <c r="F3498" s="133" t="s">
        <v>19</v>
      </c>
      <c r="G3498" s="134" t="n">
        <f aca="false">LEN('Saisie programme'!$F$131)+SUMIFS('Vols additionnels'!$E$7:$E$66,'Vols additionnels'!$C$7:$C$66,$E3498,'Vols additionnels'!$D$7:$D$66,$F3498,'Vols additionnels'!$B$7:$B$66,$D3498)</f>
        <v>0</v>
      </c>
      <c r="H3498" s="135" t="n">
        <f aca="false">$G3498*'Analyse capacite'!$F$8</f>
        <v>0</v>
      </c>
      <c r="I3498" s="135" t="n">
        <f aca="false">$G3498*'Analyse capacite'!$C$8</f>
        <v>0</v>
      </c>
      <c r="J3498" s="135" t="n">
        <f aca="false">$G3498*'Analyse capacite'!$D$8</f>
        <v>0</v>
      </c>
      <c r="K3498" s="135" t="n">
        <f aca="false">$G3498*'Analyse capacite'!$E$8</f>
        <v>0</v>
      </c>
    </row>
    <row r="3499" customFormat="false" ht="15" hidden="false" customHeight="false" outlineLevel="0" collapsed="false">
      <c r="B3499" s="130" t="n">
        <v>2027</v>
      </c>
      <c r="C3499" s="131" t="s">
        <v>249</v>
      </c>
      <c r="D3499" s="132" t="n">
        <v>46575</v>
      </c>
      <c r="E3499" s="131" t="s">
        <v>12</v>
      </c>
      <c r="F3499" s="133" t="s">
        <v>24</v>
      </c>
      <c r="G3499" s="134" t="n">
        <f aca="false">LEN('Saisie programme'!$F$132)+SUMIFS('Vols additionnels'!$E$7:$E$66,'Vols additionnels'!$C$7:$C$66,$E3499,'Vols additionnels'!$D$7:$D$66,$F3499,'Vols additionnels'!$B$7:$B$66,$D3499)</f>
        <v>0</v>
      </c>
      <c r="H3499" s="135" t="n">
        <f aca="false">$G3499*'Analyse capacite'!$F$9</f>
        <v>0</v>
      </c>
      <c r="I3499" s="135" t="n">
        <f aca="false">$G3499*'Analyse capacite'!$C$9</f>
        <v>0</v>
      </c>
      <c r="J3499" s="135" t="n">
        <f aca="false">$G3499*'Analyse capacite'!$D$9</f>
        <v>0</v>
      </c>
      <c r="K3499" s="135" t="n">
        <f aca="false">$G3499*'Analyse capacite'!$E$9</f>
        <v>0</v>
      </c>
    </row>
    <row r="3500" customFormat="false" ht="15" hidden="false" customHeight="false" outlineLevel="0" collapsed="false">
      <c r="B3500" s="130" t="n">
        <v>2027</v>
      </c>
      <c r="C3500" s="131" t="s">
        <v>249</v>
      </c>
      <c r="D3500" s="132" t="n">
        <v>46575</v>
      </c>
      <c r="E3500" s="131" t="s">
        <v>20</v>
      </c>
      <c r="F3500" s="133" t="s">
        <v>11</v>
      </c>
      <c r="G3500" s="134" t="n">
        <f aca="false">LEN('Saisie programme'!$F$133)+SUMIFS('Vols additionnels'!$E$7:$E$66,'Vols additionnels'!$C$7:$C$66,$E3500,'Vols additionnels'!$D$7:$D$66,$F3500,'Vols additionnels'!$B$7:$B$66,$D3500)</f>
        <v>0</v>
      </c>
      <c r="H3500" s="135" t="n">
        <f aca="false">$G3500*'Analyse capacite'!$F$7</f>
        <v>0</v>
      </c>
      <c r="I3500" s="135" t="n">
        <f aca="false">$G3500*'Analyse capacite'!$C$7</f>
        <v>0</v>
      </c>
      <c r="J3500" s="135" t="n">
        <f aca="false">$G3500*'Analyse capacite'!$D$7</f>
        <v>0</v>
      </c>
      <c r="K3500" s="135" t="n">
        <f aca="false">$G3500*'Analyse capacite'!$E$7</f>
        <v>0</v>
      </c>
    </row>
    <row r="3501" customFormat="false" ht="15" hidden="false" customHeight="false" outlineLevel="0" collapsed="false">
      <c r="B3501" s="130" t="n">
        <v>2027</v>
      </c>
      <c r="C3501" s="131" t="s">
        <v>249</v>
      </c>
      <c r="D3501" s="132" t="n">
        <v>46575</v>
      </c>
      <c r="E3501" s="131" t="s">
        <v>20</v>
      </c>
      <c r="F3501" s="133" t="s">
        <v>19</v>
      </c>
      <c r="G3501" s="134" t="n">
        <f aca="false">LEN('Saisie programme'!$F$134)+SUMIFS('Vols additionnels'!$E$7:$E$66,'Vols additionnels'!$C$7:$C$66,$E3501,'Vols additionnels'!$D$7:$D$66,$F3501,'Vols additionnels'!$B$7:$B$66,$D3501)</f>
        <v>0</v>
      </c>
      <c r="H3501" s="135" t="n">
        <f aca="false">$G3501*'Analyse capacite'!$F$8</f>
        <v>0</v>
      </c>
      <c r="I3501" s="135" t="n">
        <f aca="false">$G3501*'Analyse capacite'!$C$8</f>
        <v>0</v>
      </c>
      <c r="J3501" s="135" t="n">
        <f aca="false">$G3501*'Analyse capacite'!$D$8</f>
        <v>0</v>
      </c>
      <c r="K3501" s="135" t="n">
        <f aca="false">$G3501*'Analyse capacite'!$E$8</f>
        <v>0</v>
      </c>
    </row>
    <row r="3502" customFormat="false" ht="15" hidden="false" customHeight="false" outlineLevel="0" collapsed="false">
      <c r="B3502" s="130" t="n">
        <v>2027</v>
      </c>
      <c r="C3502" s="131" t="s">
        <v>249</v>
      </c>
      <c r="D3502" s="132" t="n">
        <v>46575</v>
      </c>
      <c r="E3502" s="131" t="s">
        <v>20</v>
      </c>
      <c r="F3502" s="133" t="s">
        <v>24</v>
      </c>
      <c r="G3502" s="134" t="n">
        <f aca="false">LEN('Saisie programme'!$F$135)+SUMIFS('Vols additionnels'!$E$7:$E$66,'Vols additionnels'!$C$7:$C$66,$E3502,'Vols additionnels'!$D$7:$D$66,$F3502,'Vols additionnels'!$B$7:$B$66,$D3502)</f>
        <v>0</v>
      </c>
      <c r="H3502" s="135" t="n">
        <f aca="false">$G3502*'Analyse capacite'!$F$9</f>
        <v>0</v>
      </c>
      <c r="I3502" s="135" t="n">
        <f aca="false">$G3502*'Analyse capacite'!$C$9</f>
        <v>0</v>
      </c>
      <c r="J3502" s="135" t="n">
        <f aca="false">$G3502*'Analyse capacite'!$D$9</f>
        <v>0</v>
      </c>
      <c r="K3502" s="135" t="n">
        <f aca="false">$G3502*'Analyse capacite'!$E$9</f>
        <v>0</v>
      </c>
    </row>
    <row r="3503" customFormat="false" ht="15" hidden="false" customHeight="false" outlineLevel="0" collapsed="false">
      <c r="B3503" s="130" t="n">
        <v>2027</v>
      </c>
      <c r="C3503" s="131" t="s">
        <v>249</v>
      </c>
      <c r="D3503" s="132" t="n">
        <v>46575</v>
      </c>
      <c r="E3503" s="131" t="s">
        <v>25</v>
      </c>
      <c r="F3503" s="133" t="s">
        <v>11</v>
      </c>
      <c r="G3503" s="134" t="n">
        <f aca="false">LEN('Saisie programme'!$F$136)+SUMIFS('Vols additionnels'!$E$7:$E$66,'Vols additionnels'!$C$7:$C$66,$E3503,'Vols additionnels'!$D$7:$D$66,$F3503,'Vols additionnels'!$B$7:$B$66,$D3503)</f>
        <v>0</v>
      </c>
      <c r="H3503" s="135" t="n">
        <f aca="false">$G3503*'Analyse capacite'!$F$7</f>
        <v>0</v>
      </c>
      <c r="I3503" s="135" t="n">
        <f aca="false">$G3503*'Analyse capacite'!$C$7</f>
        <v>0</v>
      </c>
      <c r="J3503" s="135" t="n">
        <f aca="false">$G3503*'Analyse capacite'!$D$7</f>
        <v>0</v>
      </c>
      <c r="K3503" s="135" t="n">
        <f aca="false">$G3503*'Analyse capacite'!$E$7</f>
        <v>0</v>
      </c>
    </row>
    <row r="3504" customFormat="false" ht="15" hidden="false" customHeight="false" outlineLevel="0" collapsed="false">
      <c r="B3504" s="130" t="n">
        <v>2027</v>
      </c>
      <c r="C3504" s="131" t="s">
        <v>249</v>
      </c>
      <c r="D3504" s="132" t="n">
        <v>46575</v>
      </c>
      <c r="E3504" s="131" t="s">
        <v>25</v>
      </c>
      <c r="F3504" s="133" t="s">
        <v>19</v>
      </c>
      <c r="G3504" s="134" t="n">
        <f aca="false">LEN('Saisie programme'!$F$137)+SUMIFS('Vols additionnels'!$E$7:$E$66,'Vols additionnels'!$C$7:$C$66,$E3504,'Vols additionnels'!$D$7:$D$66,$F3504,'Vols additionnels'!$B$7:$B$66,$D3504)</f>
        <v>1</v>
      </c>
      <c r="H3504" s="135" t="n">
        <f aca="false">$G3504*'Analyse capacite'!$F$8</f>
        <v>262</v>
      </c>
      <c r="I3504" s="135" t="n">
        <f aca="false">$G3504*'Analyse capacite'!$C$8</f>
        <v>18</v>
      </c>
      <c r="J3504" s="135" t="n">
        <f aca="false">$G3504*'Analyse capacite'!$D$8</f>
        <v>0</v>
      </c>
      <c r="K3504" s="135" t="n">
        <f aca="false">$G3504*'Analyse capacite'!$E$8</f>
        <v>244</v>
      </c>
    </row>
    <row r="3505" customFormat="false" ht="15" hidden="false" customHeight="false" outlineLevel="0" collapsed="false">
      <c r="B3505" s="130" t="n">
        <v>2027</v>
      </c>
      <c r="C3505" s="131" t="s">
        <v>249</v>
      </c>
      <c r="D3505" s="132" t="n">
        <v>46575</v>
      </c>
      <c r="E3505" s="131" t="s">
        <v>25</v>
      </c>
      <c r="F3505" s="133" t="s">
        <v>24</v>
      </c>
      <c r="G3505" s="134" t="n">
        <f aca="false">LEN('Saisie programme'!$F$138)+SUMIFS('Vols additionnels'!$E$7:$E$66,'Vols additionnels'!$C$7:$C$66,$E3505,'Vols additionnels'!$D$7:$D$66,$F3505,'Vols additionnels'!$B$7:$B$66,$D3505)</f>
        <v>0</v>
      </c>
      <c r="H3505" s="135" t="n">
        <f aca="false">$G3505*'Analyse capacite'!$F$9</f>
        <v>0</v>
      </c>
      <c r="I3505" s="135" t="n">
        <f aca="false">$G3505*'Analyse capacite'!$C$9</f>
        <v>0</v>
      </c>
      <c r="J3505" s="135" t="n">
        <f aca="false">$G3505*'Analyse capacite'!$D$9</f>
        <v>0</v>
      </c>
      <c r="K3505" s="135" t="n">
        <f aca="false">$G3505*'Analyse capacite'!$E$9</f>
        <v>0</v>
      </c>
    </row>
    <row r="3506" customFormat="false" ht="15" hidden="false" customHeight="false" outlineLevel="0" collapsed="false">
      <c r="B3506" s="130" t="n">
        <v>2027</v>
      </c>
      <c r="C3506" s="131" t="s">
        <v>249</v>
      </c>
      <c r="D3506" s="132" t="n">
        <v>46575</v>
      </c>
      <c r="E3506" s="131" t="s">
        <v>36</v>
      </c>
      <c r="F3506" s="133" t="s">
        <v>11</v>
      </c>
      <c r="G3506" s="134" t="n">
        <f aca="false">LEN('Saisie programme'!$F$139)+SUMIFS('Vols additionnels'!$E$7:$E$66,'Vols additionnels'!$C$7:$C$66,$E3506,'Vols additionnels'!$D$7:$D$66,$F3506,'Vols additionnels'!$B$7:$B$66,$D3506)</f>
        <v>0</v>
      </c>
      <c r="H3506" s="135" t="n">
        <f aca="false">$G3506*'Analyse capacite'!$F$7</f>
        <v>0</v>
      </c>
      <c r="I3506" s="135" t="n">
        <f aca="false">$G3506*'Analyse capacite'!$C$7</f>
        <v>0</v>
      </c>
      <c r="J3506" s="135" t="n">
        <f aca="false">$G3506*'Analyse capacite'!$D$7</f>
        <v>0</v>
      </c>
      <c r="K3506" s="135" t="n">
        <f aca="false">$G3506*'Analyse capacite'!$E$7</f>
        <v>0</v>
      </c>
    </row>
    <row r="3507" customFormat="false" ht="15" hidden="false" customHeight="false" outlineLevel="0" collapsed="false">
      <c r="B3507" s="130" t="n">
        <v>2027</v>
      </c>
      <c r="C3507" s="131" t="s">
        <v>249</v>
      </c>
      <c r="D3507" s="132" t="n">
        <v>46575</v>
      </c>
      <c r="E3507" s="131" t="s">
        <v>36</v>
      </c>
      <c r="F3507" s="133" t="s">
        <v>19</v>
      </c>
      <c r="G3507" s="134" t="n">
        <f aca="false">LEN('Saisie programme'!$F$140)+SUMIFS('Vols additionnels'!$E$7:$E$66,'Vols additionnels'!$C$7:$C$66,$E3507,'Vols additionnels'!$D$7:$D$66,$F3507,'Vols additionnels'!$B$7:$B$66,$D3507)</f>
        <v>1</v>
      </c>
      <c r="H3507" s="135" t="n">
        <f aca="false">$G3507*'Analyse capacite'!$F$8</f>
        <v>262</v>
      </c>
      <c r="I3507" s="135" t="n">
        <f aca="false">$G3507*'Analyse capacite'!$C$8</f>
        <v>18</v>
      </c>
      <c r="J3507" s="135" t="n">
        <f aca="false">$G3507*'Analyse capacite'!$D$8</f>
        <v>0</v>
      </c>
      <c r="K3507" s="135" t="n">
        <f aca="false">$G3507*'Analyse capacite'!$E$8</f>
        <v>244</v>
      </c>
    </row>
    <row r="3508" customFormat="false" ht="15" hidden="false" customHeight="false" outlineLevel="0" collapsed="false">
      <c r="B3508" s="130" t="n">
        <v>2027</v>
      </c>
      <c r="C3508" s="131" t="s">
        <v>249</v>
      </c>
      <c r="D3508" s="132" t="n">
        <v>46575</v>
      </c>
      <c r="E3508" s="131" t="s">
        <v>36</v>
      </c>
      <c r="F3508" s="133" t="s">
        <v>24</v>
      </c>
      <c r="G3508" s="134" t="n">
        <f aca="false">LEN('Saisie programme'!$F$141)+SUMIFS('Vols additionnels'!$E$7:$E$66,'Vols additionnels'!$C$7:$C$66,$E3508,'Vols additionnels'!$D$7:$D$66,$F3508,'Vols additionnels'!$B$7:$B$66,$D3508)</f>
        <v>1</v>
      </c>
      <c r="H3508" s="135" t="n">
        <f aca="false">$G3508*'Analyse capacite'!$F$9</f>
        <v>174</v>
      </c>
      <c r="I3508" s="135" t="n">
        <f aca="false">$G3508*'Analyse capacite'!$C$9</f>
        <v>0</v>
      </c>
      <c r="J3508" s="135" t="n">
        <f aca="false">$G3508*'Analyse capacite'!$D$9</f>
        <v>12</v>
      </c>
      <c r="K3508" s="135" t="n">
        <f aca="false">$G3508*'Analyse capacite'!$E$9</f>
        <v>162</v>
      </c>
    </row>
    <row r="3509" customFormat="false" ht="15" hidden="false" customHeight="false" outlineLevel="0" collapsed="false">
      <c r="B3509" s="130" t="n">
        <v>2027</v>
      </c>
      <c r="C3509" s="131" t="s">
        <v>249</v>
      </c>
      <c r="D3509" s="132" t="n">
        <v>46575</v>
      </c>
      <c r="E3509" s="131" t="s">
        <v>40</v>
      </c>
      <c r="F3509" s="133" t="s">
        <v>11</v>
      </c>
      <c r="G3509" s="134" t="n">
        <f aca="false">LEN('Saisie programme'!$F$142)+SUMIFS('Vols additionnels'!$E$7:$E$66,'Vols additionnels'!$C$7:$C$66,$E3509,'Vols additionnels'!$D$7:$D$66,$F3509,'Vols additionnels'!$B$7:$B$66,$D3509)</f>
        <v>0</v>
      </c>
      <c r="H3509" s="135" t="n">
        <f aca="false">$G3509*'Analyse capacite'!$F$7</f>
        <v>0</v>
      </c>
      <c r="I3509" s="135" t="n">
        <f aca="false">$G3509*'Analyse capacite'!$C$7</f>
        <v>0</v>
      </c>
      <c r="J3509" s="135" t="n">
        <f aca="false">$G3509*'Analyse capacite'!$D$7</f>
        <v>0</v>
      </c>
      <c r="K3509" s="135" t="n">
        <f aca="false">$G3509*'Analyse capacite'!$E$7</f>
        <v>0</v>
      </c>
    </row>
    <row r="3510" customFormat="false" ht="15" hidden="false" customHeight="false" outlineLevel="0" collapsed="false">
      <c r="B3510" s="130" t="n">
        <v>2027</v>
      </c>
      <c r="C3510" s="131" t="s">
        <v>249</v>
      </c>
      <c r="D3510" s="132" t="n">
        <v>46575</v>
      </c>
      <c r="E3510" s="131" t="s">
        <v>40</v>
      </c>
      <c r="F3510" s="133" t="s">
        <v>19</v>
      </c>
      <c r="G3510" s="134" t="n">
        <f aca="false">LEN('Saisie programme'!$F$143)+SUMIFS('Vols additionnels'!$E$7:$E$66,'Vols additionnels'!$C$7:$C$66,$E3510,'Vols additionnels'!$D$7:$D$66,$F3510,'Vols additionnels'!$B$7:$B$66,$D3510)</f>
        <v>0</v>
      </c>
      <c r="H3510" s="135" t="n">
        <f aca="false">$G3510*'Analyse capacite'!$F$8</f>
        <v>0</v>
      </c>
      <c r="I3510" s="135" t="n">
        <f aca="false">$G3510*'Analyse capacite'!$C$8</f>
        <v>0</v>
      </c>
      <c r="J3510" s="135" t="n">
        <f aca="false">$G3510*'Analyse capacite'!$D$8</f>
        <v>0</v>
      </c>
      <c r="K3510" s="135" t="n">
        <f aca="false">$G3510*'Analyse capacite'!$E$8</f>
        <v>0</v>
      </c>
    </row>
    <row r="3511" customFormat="false" ht="15" hidden="false" customHeight="false" outlineLevel="0" collapsed="false">
      <c r="B3511" s="130" t="n">
        <v>2027</v>
      </c>
      <c r="C3511" s="131" t="s">
        <v>249</v>
      </c>
      <c r="D3511" s="132" t="n">
        <v>46575</v>
      </c>
      <c r="E3511" s="131" t="s">
        <v>40</v>
      </c>
      <c r="F3511" s="133" t="s">
        <v>24</v>
      </c>
      <c r="G3511" s="134" t="n">
        <f aca="false">LEN('Saisie programme'!$F$144)+SUMIFS('Vols additionnels'!$E$7:$E$66,'Vols additionnels'!$C$7:$C$66,$E3511,'Vols additionnels'!$D$7:$D$66,$F3511,'Vols additionnels'!$B$7:$B$66,$D3511)</f>
        <v>1</v>
      </c>
      <c r="H3511" s="135" t="n">
        <f aca="false">$G3511*'Analyse capacite'!$F$9</f>
        <v>174</v>
      </c>
      <c r="I3511" s="135" t="n">
        <f aca="false">$G3511*'Analyse capacite'!$C$9</f>
        <v>0</v>
      </c>
      <c r="J3511" s="135" t="n">
        <f aca="false">$G3511*'Analyse capacite'!$D$9</f>
        <v>12</v>
      </c>
      <c r="K3511" s="135" t="n">
        <f aca="false">$G3511*'Analyse capacite'!$E$9</f>
        <v>162</v>
      </c>
    </row>
    <row r="3512" customFormat="false" ht="15" hidden="false" customHeight="false" outlineLevel="0" collapsed="false">
      <c r="B3512" s="130" t="n">
        <v>2027</v>
      </c>
      <c r="C3512" s="131" t="s">
        <v>249</v>
      </c>
      <c r="D3512" s="132" t="n">
        <v>46575</v>
      </c>
      <c r="E3512" s="131" t="s">
        <v>14</v>
      </c>
      <c r="F3512" s="133" t="s">
        <v>11</v>
      </c>
      <c r="G3512" s="134" t="n">
        <f aca="false">LEN('Saisie programme'!$F$145)+SUMIFS('Vols additionnels'!$E$7:$E$66,'Vols additionnels'!$C$7:$C$66,$E3512,'Vols additionnels'!$D$7:$D$66,$F3512,'Vols additionnels'!$B$7:$B$66,$D3512)</f>
        <v>0</v>
      </c>
      <c r="H3512" s="135" t="n">
        <f aca="false">$G3512*'Analyse capacite'!$F$7</f>
        <v>0</v>
      </c>
      <c r="I3512" s="135" t="n">
        <f aca="false">$G3512*'Analyse capacite'!$C$7</f>
        <v>0</v>
      </c>
      <c r="J3512" s="135" t="n">
        <f aca="false">$G3512*'Analyse capacite'!$D$7</f>
        <v>0</v>
      </c>
      <c r="K3512" s="135" t="n">
        <f aca="false">$G3512*'Analyse capacite'!$E$7</f>
        <v>0</v>
      </c>
    </row>
    <row r="3513" customFormat="false" ht="15" hidden="false" customHeight="false" outlineLevel="0" collapsed="false">
      <c r="B3513" s="130" t="n">
        <v>2027</v>
      </c>
      <c r="C3513" s="131" t="s">
        <v>249</v>
      </c>
      <c r="D3513" s="132" t="n">
        <v>46575</v>
      </c>
      <c r="E3513" s="131" t="s">
        <v>14</v>
      </c>
      <c r="F3513" s="133" t="s">
        <v>19</v>
      </c>
      <c r="G3513" s="134" t="n">
        <f aca="false">LEN('Saisie programme'!$F$146)+SUMIFS('Vols additionnels'!$E$7:$E$66,'Vols additionnels'!$C$7:$C$66,$E3513,'Vols additionnels'!$D$7:$D$66,$F3513,'Vols additionnels'!$B$7:$B$66,$D3513)</f>
        <v>0</v>
      </c>
      <c r="H3513" s="135" t="n">
        <f aca="false">$G3513*'Analyse capacite'!$F$8</f>
        <v>0</v>
      </c>
      <c r="I3513" s="135" t="n">
        <f aca="false">$G3513*'Analyse capacite'!$C$8</f>
        <v>0</v>
      </c>
      <c r="J3513" s="135" t="n">
        <f aca="false">$G3513*'Analyse capacite'!$D$8</f>
        <v>0</v>
      </c>
      <c r="K3513" s="135" t="n">
        <f aca="false">$G3513*'Analyse capacite'!$E$8</f>
        <v>0</v>
      </c>
    </row>
    <row r="3514" customFormat="false" ht="15" hidden="false" customHeight="false" outlineLevel="0" collapsed="false">
      <c r="B3514" s="130" t="n">
        <v>2027</v>
      </c>
      <c r="C3514" s="131" t="s">
        <v>249</v>
      </c>
      <c r="D3514" s="132" t="n">
        <v>46575</v>
      </c>
      <c r="E3514" s="131" t="s">
        <v>14</v>
      </c>
      <c r="F3514" s="133" t="s">
        <v>24</v>
      </c>
      <c r="G3514" s="134" t="n">
        <f aca="false">LEN('Saisie programme'!$F$147)+SUMIFS('Vols additionnels'!$E$7:$E$66,'Vols additionnels'!$C$7:$C$66,$E3514,'Vols additionnels'!$D$7:$D$66,$F3514,'Vols additionnels'!$B$7:$B$66,$D3514)</f>
        <v>1</v>
      </c>
      <c r="H3514" s="135" t="n">
        <f aca="false">$G3514*'Analyse capacite'!$F$9</f>
        <v>174</v>
      </c>
      <c r="I3514" s="135" t="n">
        <f aca="false">$G3514*'Analyse capacite'!$C$9</f>
        <v>0</v>
      </c>
      <c r="J3514" s="135" t="n">
        <f aca="false">$G3514*'Analyse capacite'!$D$9</f>
        <v>12</v>
      </c>
      <c r="K3514" s="135" t="n">
        <f aca="false">$G3514*'Analyse capacite'!$E$9</f>
        <v>162</v>
      </c>
    </row>
    <row r="3515" customFormat="false" ht="15" hidden="false" customHeight="false" outlineLevel="0" collapsed="false">
      <c r="B3515" s="130" t="n">
        <v>2027</v>
      </c>
      <c r="C3515" s="131" t="s">
        <v>249</v>
      </c>
      <c r="D3515" s="132" t="n">
        <v>46575</v>
      </c>
      <c r="E3515" s="131" t="s">
        <v>46</v>
      </c>
      <c r="F3515" s="133" t="s">
        <v>11</v>
      </c>
      <c r="G3515" s="134" t="n">
        <f aca="false">LEN('Saisie programme'!$F$148)+SUMIFS('Vols additionnels'!$E$7:$E$66,'Vols additionnels'!$C$7:$C$66,$E3515,'Vols additionnels'!$D$7:$D$66,$F3515,'Vols additionnels'!$B$7:$B$66,$D3515)</f>
        <v>0</v>
      </c>
      <c r="H3515" s="135" t="n">
        <f aca="false">$G3515*'Analyse capacite'!$F$7</f>
        <v>0</v>
      </c>
      <c r="I3515" s="135" t="n">
        <f aca="false">$G3515*'Analyse capacite'!$C$7</f>
        <v>0</v>
      </c>
      <c r="J3515" s="135" t="n">
        <f aca="false">$G3515*'Analyse capacite'!$D$7</f>
        <v>0</v>
      </c>
      <c r="K3515" s="135" t="n">
        <f aca="false">$G3515*'Analyse capacite'!$E$7</f>
        <v>0</v>
      </c>
    </row>
    <row r="3516" customFormat="false" ht="15" hidden="false" customHeight="false" outlineLevel="0" collapsed="false">
      <c r="B3516" s="130" t="n">
        <v>2027</v>
      </c>
      <c r="C3516" s="131" t="s">
        <v>249</v>
      </c>
      <c r="D3516" s="132" t="n">
        <v>46575</v>
      </c>
      <c r="E3516" s="131" t="s">
        <v>46</v>
      </c>
      <c r="F3516" s="133" t="s">
        <v>19</v>
      </c>
      <c r="G3516" s="134" t="n">
        <f aca="false">LEN('Saisie programme'!$F$149)+SUMIFS('Vols additionnels'!$E$7:$E$66,'Vols additionnels'!$C$7:$C$66,$E3516,'Vols additionnels'!$D$7:$D$66,$F3516,'Vols additionnels'!$B$7:$B$66,$D3516)</f>
        <v>0</v>
      </c>
      <c r="H3516" s="135" t="n">
        <f aca="false">$G3516*'Analyse capacite'!$F$8</f>
        <v>0</v>
      </c>
      <c r="I3516" s="135" t="n">
        <f aca="false">$G3516*'Analyse capacite'!$C$8</f>
        <v>0</v>
      </c>
      <c r="J3516" s="135" t="n">
        <f aca="false">$G3516*'Analyse capacite'!$D$8</f>
        <v>0</v>
      </c>
      <c r="K3516" s="135" t="n">
        <f aca="false">$G3516*'Analyse capacite'!$E$8</f>
        <v>0</v>
      </c>
    </row>
    <row r="3517" customFormat="false" ht="15" hidden="false" customHeight="false" outlineLevel="0" collapsed="false">
      <c r="B3517" s="130" t="n">
        <v>2027</v>
      </c>
      <c r="C3517" s="131" t="s">
        <v>249</v>
      </c>
      <c r="D3517" s="132" t="n">
        <v>46575</v>
      </c>
      <c r="E3517" s="131" t="s">
        <v>46</v>
      </c>
      <c r="F3517" s="133" t="s">
        <v>24</v>
      </c>
      <c r="G3517" s="134" t="n">
        <f aca="false">LEN('Saisie programme'!$F$150)+SUMIFS('Vols additionnels'!$E$7:$E$66,'Vols additionnels'!$C$7:$C$66,$E3517,'Vols additionnels'!$D$7:$D$66,$F3517,'Vols additionnels'!$B$7:$B$66,$D3517)</f>
        <v>0</v>
      </c>
      <c r="H3517" s="135" t="n">
        <f aca="false">$G3517*'Analyse capacite'!$F$9</f>
        <v>0</v>
      </c>
      <c r="I3517" s="135" t="n">
        <f aca="false">$G3517*'Analyse capacite'!$C$9</f>
        <v>0</v>
      </c>
      <c r="J3517" s="135" t="n">
        <f aca="false">$G3517*'Analyse capacite'!$D$9</f>
        <v>0</v>
      </c>
      <c r="K3517" s="135" t="n">
        <f aca="false">$G3517*'Analyse capacite'!$E$9</f>
        <v>0</v>
      </c>
    </row>
    <row r="3518" customFormat="false" ht="15" hidden="false" customHeight="false" outlineLevel="0" collapsed="false">
      <c r="B3518" s="130" t="n">
        <v>2027</v>
      </c>
      <c r="C3518" s="131" t="s">
        <v>249</v>
      </c>
      <c r="D3518" s="132" t="n">
        <v>46575</v>
      </c>
      <c r="E3518" s="131" t="s">
        <v>49</v>
      </c>
      <c r="F3518" s="133" t="s">
        <v>11</v>
      </c>
      <c r="G3518" s="134" t="n">
        <f aca="false">LEN('Saisie programme'!$F$151)+SUMIFS('Vols additionnels'!$E$7:$E$66,'Vols additionnels'!$C$7:$C$66,$E3518,'Vols additionnels'!$D$7:$D$66,$F3518,'Vols additionnels'!$B$7:$B$66,$D3518)</f>
        <v>0</v>
      </c>
      <c r="H3518" s="135" t="n">
        <f aca="false">$G3518*'Analyse capacite'!$F$7</f>
        <v>0</v>
      </c>
      <c r="I3518" s="135" t="n">
        <f aca="false">$G3518*'Analyse capacite'!$C$7</f>
        <v>0</v>
      </c>
      <c r="J3518" s="135" t="n">
        <f aca="false">$G3518*'Analyse capacite'!$D$7</f>
        <v>0</v>
      </c>
      <c r="K3518" s="135" t="n">
        <f aca="false">$G3518*'Analyse capacite'!$E$7</f>
        <v>0</v>
      </c>
    </row>
    <row r="3519" customFormat="false" ht="15" hidden="false" customHeight="false" outlineLevel="0" collapsed="false">
      <c r="B3519" s="130" t="n">
        <v>2027</v>
      </c>
      <c r="C3519" s="131" t="s">
        <v>249</v>
      </c>
      <c r="D3519" s="132" t="n">
        <v>46575</v>
      </c>
      <c r="E3519" s="131" t="s">
        <v>49</v>
      </c>
      <c r="F3519" s="133" t="s">
        <v>19</v>
      </c>
      <c r="G3519" s="134" t="n">
        <f aca="false">LEN('Saisie programme'!$F$152)+SUMIFS('Vols additionnels'!$E$7:$E$66,'Vols additionnels'!$C$7:$C$66,$E3519,'Vols additionnels'!$D$7:$D$66,$F3519,'Vols additionnels'!$B$7:$B$66,$D3519)</f>
        <v>0</v>
      </c>
      <c r="H3519" s="135" t="n">
        <f aca="false">$G3519*'Analyse capacite'!$F$8</f>
        <v>0</v>
      </c>
      <c r="I3519" s="135" t="n">
        <f aca="false">$G3519*'Analyse capacite'!$C$8</f>
        <v>0</v>
      </c>
      <c r="J3519" s="135" t="n">
        <f aca="false">$G3519*'Analyse capacite'!$D$8</f>
        <v>0</v>
      </c>
      <c r="K3519" s="135" t="n">
        <f aca="false">$G3519*'Analyse capacite'!$E$8</f>
        <v>0</v>
      </c>
    </row>
    <row r="3520" customFormat="false" ht="15" hidden="false" customHeight="false" outlineLevel="0" collapsed="false">
      <c r="B3520" s="130" t="n">
        <v>2027</v>
      </c>
      <c r="C3520" s="131" t="s">
        <v>249</v>
      </c>
      <c r="D3520" s="132" t="n">
        <v>46575</v>
      </c>
      <c r="E3520" s="131" t="s">
        <v>49</v>
      </c>
      <c r="F3520" s="133" t="s">
        <v>24</v>
      </c>
      <c r="G3520" s="134" t="n">
        <f aca="false">LEN('Saisie programme'!$F$153)+SUMIFS('Vols additionnels'!$E$7:$E$66,'Vols additionnels'!$C$7:$C$66,$E3520,'Vols additionnels'!$D$7:$D$66,$F3520,'Vols additionnels'!$B$7:$B$66,$D3520)</f>
        <v>0</v>
      </c>
      <c r="H3520" s="135" t="n">
        <f aca="false">$G3520*'Analyse capacite'!$F$9</f>
        <v>0</v>
      </c>
      <c r="I3520" s="135" t="n">
        <f aca="false">$G3520*'Analyse capacite'!$C$9</f>
        <v>0</v>
      </c>
      <c r="J3520" s="135" t="n">
        <f aca="false">$G3520*'Analyse capacite'!$D$9</f>
        <v>0</v>
      </c>
      <c r="K3520" s="135" t="n">
        <f aca="false">$G3520*'Analyse capacite'!$E$9</f>
        <v>0</v>
      </c>
    </row>
    <row r="3521" customFormat="false" ht="15" hidden="false" customHeight="false" outlineLevel="0" collapsed="false">
      <c r="B3521" s="130" t="n">
        <v>2027</v>
      </c>
      <c r="C3521" s="131" t="s">
        <v>249</v>
      </c>
      <c r="D3521" s="132" t="n">
        <v>46575</v>
      </c>
      <c r="E3521" s="131" t="s">
        <v>53</v>
      </c>
      <c r="F3521" s="133" t="s">
        <v>11</v>
      </c>
      <c r="G3521" s="134" t="n">
        <f aca="false">LEN('Saisie programme'!$F$154)+SUMIFS('Vols additionnels'!$E$7:$E$66,'Vols additionnels'!$C$7:$C$66,$E3521,'Vols additionnels'!$D$7:$D$66,$F3521,'Vols additionnels'!$B$7:$B$66,$D3521)</f>
        <v>0</v>
      </c>
      <c r="H3521" s="135" t="n">
        <f aca="false">$G3521*'Analyse capacite'!$F$7</f>
        <v>0</v>
      </c>
      <c r="I3521" s="135" t="n">
        <f aca="false">$G3521*'Analyse capacite'!$C$7</f>
        <v>0</v>
      </c>
      <c r="J3521" s="135" t="n">
        <f aca="false">$G3521*'Analyse capacite'!$D$7</f>
        <v>0</v>
      </c>
      <c r="K3521" s="135" t="n">
        <f aca="false">$G3521*'Analyse capacite'!$E$7</f>
        <v>0</v>
      </c>
    </row>
    <row r="3522" customFormat="false" ht="15" hidden="false" customHeight="false" outlineLevel="0" collapsed="false">
      <c r="B3522" s="130" t="n">
        <v>2027</v>
      </c>
      <c r="C3522" s="131" t="s">
        <v>249</v>
      </c>
      <c r="D3522" s="132" t="n">
        <v>46575</v>
      </c>
      <c r="E3522" s="131" t="s">
        <v>53</v>
      </c>
      <c r="F3522" s="133" t="s">
        <v>19</v>
      </c>
      <c r="G3522" s="134" t="n">
        <f aca="false">LEN('Saisie programme'!$F$155)+SUMIFS('Vols additionnels'!$E$7:$E$66,'Vols additionnels'!$C$7:$C$66,$E3522,'Vols additionnels'!$D$7:$D$66,$F3522,'Vols additionnels'!$B$7:$B$66,$D3522)</f>
        <v>0</v>
      </c>
      <c r="H3522" s="135" t="n">
        <f aca="false">$G3522*'Analyse capacite'!$F$8</f>
        <v>0</v>
      </c>
      <c r="I3522" s="135" t="n">
        <f aca="false">$G3522*'Analyse capacite'!$C$8</f>
        <v>0</v>
      </c>
      <c r="J3522" s="135" t="n">
        <f aca="false">$G3522*'Analyse capacite'!$D$8</f>
        <v>0</v>
      </c>
      <c r="K3522" s="135" t="n">
        <f aca="false">$G3522*'Analyse capacite'!$E$8</f>
        <v>0</v>
      </c>
    </row>
    <row r="3523" customFormat="false" ht="15" hidden="false" customHeight="false" outlineLevel="0" collapsed="false">
      <c r="B3523" s="130" t="n">
        <v>2027</v>
      </c>
      <c r="C3523" s="131" t="s">
        <v>249</v>
      </c>
      <c r="D3523" s="132" t="n">
        <v>46575</v>
      </c>
      <c r="E3523" s="131" t="s">
        <v>53</v>
      </c>
      <c r="F3523" s="133" t="s">
        <v>24</v>
      </c>
      <c r="G3523" s="134" t="n">
        <f aca="false">LEN('Saisie programme'!$F$156)+SUMIFS('Vols additionnels'!$E$7:$E$66,'Vols additionnels'!$C$7:$C$66,$E3523,'Vols additionnels'!$D$7:$D$66,$F3523,'Vols additionnels'!$B$7:$B$66,$D3523)</f>
        <v>0</v>
      </c>
      <c r="H3523" s="135" t="n">
        <f aca="false">$G3523*'Analyse capacite'!$F$9</f>
        <v>0</v>
      </c>
      <c r="I3523" s="135" t="n">
        <f aca="false">$G3523*'Analyse capacite'!$C$9</f>
        <v>0</v>
      </c>
      <c r="J3523" s="135" t="n">
        <f aca="false">$G3523*'Analyse capacite'!$D$9</f>
        <v>0</v>
      </c>
      <c r="K3523" s="135" t="n">
        <f aca="false">$G3523*'Analyse capacite'!$E$9</f>
        <v>0</v>
      </c>
    </row>
    <row r="3524" customFormat="false" ht="15" hidden="false" customHeight="false" outlineLevel="0" collapsed="false">
      <c r="B3524" s="130" t="n">
        <v>2027</v>
      </c>
      <c r="C3524" s="131" t="s">
        <v>249</v>
      </c>
      <c r="D3524" s="132" t="n">
        <v>46575</v>
      </c>
      <c r="E3524" s="131" t="s">
        <v>56</v>
      </c>
      <c r="F3524" s="133" t="s">
        <v>11</v>
      </c>
      <c r="G3524" s="134" t="n">
        <f aca="false">LEN('Saisie programme'!$F$157)+SUMIFS('Vols additionnels'!$E$7:$E$66,'Vols additionnels'!$C$7:$C$66,$E3524,'Vols additionnels'!$D$7:$D$66,$F3524,'Vols additionnels'!$B$7:$B$66,$D3524)</f>
        <v>0</v>
      </c>
      <c r="H3524" s="135" t="n">
        <f aca="false">$G3524*'Analyse capacite'!$F$7</f>
        <v>0</v>
      </c>
      <c r="I3524" s="135" t="n">
        <f aca="false">$G3524*'Analyse capacite'!$C$7</f>
        <v>0</v>
      </c>
      <c r="J3524" s="135" t="n">
        <f aca="false">$G3524*'Analyse capacite'!$D$7</f>
        <v>0</v>
      </c>
      <c r="K3524" s="135" t="n">
        <f aca="false">$G3524*'Analyse capacite'!$E$7</f>
        <v>0</v>
      </c>
    </row>
    <row r="3525" customFormat="false" ht="15" hidden="false" customHeight="false" outlineLevel="0" collapsed="false">
      <c r="B3525" s="130" t="n">
        <v>2027</v>
      </c>
      <c r="C3525" s="131" t="s">
        <v>249</v>
      </c>
      <c r="D3525" s="132" t="n">
        <v>46575</v>
      </c>
      <c r="E3525" s="131" t="s">
        <v>56</v>
      </c>
      <c r="F3525" s="133" t="s">
        <v>19</v>
      </c>
      <c r="G3525" s="134" t="n">
        <f aca="false">LEN('Saisie programme'!$F$158)+SUMIFS('Vols additionnels'!$E$7:$E$66,'Vols additionnels'!$C$7:$C$66,$E3525,'Vols additionnels'!$D$7:$D$66,$F3525,'Vols additionnels'!$B$7:$B$66,$D3525)</f>
        <v>0</v>
      </c>
      <c r="H3525" s="135" t="n">
        <f aca="false">$G3525*'Analyse capacite'!$F$8</f>
        <v>0</v>
      </c>
      <c r="I3525" s="135" t="n">
        <f aca="false">$G3525*'Analyse capacite'!$C$8</f>
        <v>0</v>
      </c>
      <c r="J3525" s="135" t="n">
        <f aca="false">$G3525*'Analyse capacite'!$D$8</f>
        <v>0</v>
      </c>
      <c r="K3525" s="135" t="n">
        <f aca="false">$G3525*'Analyse capacite'!$E$8</f>
        <v>0</v>
      </c>
    </row>
    <row r="3526" customFormat="false" ht="15" hidden="false" customHeight="false" outlineLevel="0" collapsed="false">
      <c r="B3526" s="130" t="n">
        <v>2027</v>
      </c>
      <c r="C3526" s="131" t="s">
        <v>249</v>
      </c>
      <c r="D3526" s="132" t="n">
        <v>46575</v>
      </c>
      <c r="E3526" s="131" t="s">
        <v>56</v>
      </c>
      <c r="F3526" s="133" t="s">
        <v>24</v>
      </c>
      <c r="G3526" s="134" t="n">
        <f aca="false">LEN('Saisie programme'!$F$159)+SUMIFS('Vols additionnels'!$E$7:$E$66,'Vols additionnels'!$C$7:$C$66,$E3526,'Vols additionnels'!$D$7:$D$66,$F3526,'Vols additionnels'!$B$7:$B$66,$D3526)</f>
        <v>0</v>
      </c>
      <c r="H3526" s="135" t="n">
        <f aca="false">$G3526*'Analyse capacite'!$F$9</f>
        <v>0</v>
      </c>
      <c r="I3526" s="135" t="n">
        <f aca="false">$G3526*'Analyse capacite'!$C$9</f>
        <v>0</v>
      </c>
      <c r="J3526" s="135" t="n">
        <f aca="false">$G3526*'Analyse capacite'!$D$9</f>
        <v>0</v>
      </c>
      <c r="K3526" s="135" t="n">
        <f aca="false">$G3526*'Analyse capacite'!$E$9</f>
        <v>0</v>
      </c>
    </row>
    <row r="3527" customFormat="false" ht="15" hidden="false" customHeight="false" outlineLevel="0" collapsed="false">
      <c r="B3527" s="130" t="n">
        <v>2027</v>
      </c>
      <c r="C3527" s="131" t="s">
        <v>249</v>
      </c>
      <c r="D3527" s="132" t="n">
        <v>46575</v>
      </c>
      <c r="E3527" s="131" t="s">
        <v>59</v>
      </c>
      <c r="F3527" s="133" t="s">
        <v>11</v>
      </c>
      <c r="G3527" s="134" t="n">
        <f aca="false">LEN('Saisie programme'!$F$160)+SUMIFS('Vols additionnels'!$E$7:$E$66,'Vols additionnels'!$C$7:$C$66,$E3527,'Vols additionnels'!$D$7:$D$66,$F3527,'Vols additionnels'!$B$7:$B$66,$D3527)</f>
        <v>0</v>
      </c>
      <c r="H3527" s="135" t="n">
        <f aca="false">$G3527*'Analyse capacite'!$F$7</f>
        <v>0</v>
      </c>
      <c r="I3527" s="135" t="n">
        <f aca="false">$G3527*'Analyse capacite'!$C$7</f>
        <v>0</v>
      </c>
      <c r="J3527" s="135" t="n">
        <f aca="false">$G3527*'Analyse capacite'!$D$7</f>
        <v>0</v>
      </c>
      <c r="K3527" s="135" t="n">
        <f aca="false">$G3527*'Analyse capacite'!$E$7</f>
        <v>0</v>
      </c>
    </row>
    <row r="3528" customFormat="false" ht="15" hidden="false" customHeight="false" outlineLevel="0" collapsed="false">
      <c r="B3528" s="130" t="n">
        <v>2027</v>
      </c>
      <c r="C3528" s="131" t="s">
        <v>249</v>
      </c>
      <c r="D3528" s="132" t="n">
        <v>46575</v>
      </c>
      <c r="E3528" s="131" t="s">
        <v>59</v>
      </c>
      <c r="F3528" s="133" t="s">
        <v>19</v>
      </c>
      <c r="G3528" s="134" t="n">
        <f aca="false">LEN('Saisie programme'!$F$161)+SUMIFS('Vols additionnels'!$E$7:$E$66,'Vols additionnels'!$C$7:$C$66,$E3528,'Vols additionnels'!$D$7:$D$66,$F3528,'Vols additionnels'!$B$7:$B$66,$D3528)</f>
        <v>0</v>
      </c>
      <c r="H3528" s="135" t="n">
        <f aca="false">$G3528*'Analyse capacite'!$F$8</f>
        <v>0</v>
      </c>
      <c r="I3528" s="135" t="n">
        <f aca="false">$G3528*'Analyse capacite'!$C$8</f>
        <v>0</v>
      </c>
      <c r="J3528" s="135" t="n">
        <f aca="false">$G3528*'Analyse capacite'!$D$8</f>
        <v>0</v>
      </c>
      <c r="K3528" s="135" t="n">
        <f aca="false">$G3528*'Analyse capacite'!$E$8</f>
        <v>0</v>
      </c>
    </row>
    <row r="3529" customFormat="false" ht="15" hidden="false" customHeight="false" outlineLevel="0" collapsed="false">
      <c r="B3529" s="130" t="n">
        <v>2027</v>
      </c>
      <c r="C3529" s="131" t="s">
        <v>249</v>
      </c>
      <c r="D3529" s="132" t="n">
        <v>46575</v>
      </c>
      <c r="E3529" s="131" t="s">
        <v>59</v>
      </c>
      <c r="F3529" s="133" t="s">
        <v>24</v>
      </c>
      <c r="G3529" s="134" t="n">
        <f aca="false">LEN('Saisie programme'!$F$162)+SUMIFS('Vols additionnels'!$E$7:$E$66,'Vols additionnels'!$C$7:$C$66,$E3529,'Vols additionnels'!$D$7:$D$66,$F3529,'Vols additionnels'!$B$7:$B$66,$D3529)</f>
        <v>1</v>
      </c>
      <c r="H3529" s="135" t="n">
        <f aca="false">$G3529*'Analyse capacite'!$F$9</f>
        <v>174</v>
      </c>
      <c r="I3529" s="135" t="n">
        <f aca="false">$G3529*'Analyse capacite'!$C$9</f>
        <v>0</v>
      </c>
      <c r="J3529" s="135" t="n">
        <f aca="false">$G3529*'Analyse capacite'!$D$9</f>
        <v>12</v>
      </c>
      <c r="K3529" s="135" t="n">
        <f aca="false">$G3529*'Analyse capacite'!$E$9</f>
        <v>162</v>
      </c>
    </row>
    <row r="3530" customFormat="false" ht="15" hidden="false" customHeight="false" outlineLevel="0" collapsed="false">
      <c r="B3530" s="130" t="n">
        <v>2027</v>
      </c>
      <c r="C3530" s="131" t="s">
        <v>249</v>
      </c>
      <c r="D3530" s="132" t="n">
        <v>46575</v>
      </c>
      <c r="E3530" s="131" t="s">
        <v>62</v>
      </c>
      <c r="F3530" s="133" t="s">
        <v>11</v>
      </c>
      <c r="G3530" s="134" t="n">
        <f aca="false">LEN('Saisie programme'!$F$163)+SUMIFS('Vols additionnels'!$E$7:$E$66,'Vols additionnels'!$C$7:$C$66,$E3530,'Vols additionnels'!$D$7:$D$66,$F3530,'Vols additionnels'!$B$7:$B$66,$D3530)</f>
        <v>0</v>
      </c>
      <c r="H3530" s="135" t="n">
        <f aca="false">$G3530*'Analyse capacite'!$F$7</f>
        <v>0</v>
      </c>
      <c r="I3530" s="135" t="n">
        <f aca="false">$G3530*'Analyse capacite'!$C$7</f>
        <v>0</v>
      </c>
      <c r="J3530" s="135" t="n">
        <f aca="false">$G3530*'Analyse capacite'!$D$7</f>
        <v>0</v>
      </c>
      <c r="K3530" s="135" t="n">
        <f aca="false">$G3530*'Analyse capacite'!$E$7</f>
        <v>0</v>
      </c>
    </row>
    <row r="3531" customFormat="false" ht="15" hidden="false" customHeight="false" outlineLevel="0" collapsed="false">
      <c r="B3531" s="130" t="n">
        <v>2027</v>
      </c>
      <c r="C3531" s="131" t="s">
        <v>249</v>
      </c>
      <c r="D3531" s="132" t="n">
        <v>46575</v>
      </c>
      <c r="E3531" s="131" t="s">
        <v>62</v>
      </c>
      <c r="F3531" s="133" t="s">
        <v>19</v>
      </c>
      <c r="G3531" s="134" t="n">
        <f aca="false">LEN('Saisie programme'!$F$164)+SUMIFS('Vols additionnels'!$E$7:$E$66,'Vols additionnels'!$C$7:$C$66,$E3531,'Vols additionnels'!$D$7:$D$66,$F3531,'Vols additionnels'!$B$7:$B$66,$D3531)</f>
        <v>0</v>
      </c>
      <c r="H3531" s="135" t="n">
        <f aca="false">$G3531*'Analyse capacite'!$F$8</f>
        <v>0</v>
      </c>
      <c r="I3531" s="135" t="n">
        <f aca="false">$G3531*'Analyse capacite'!$C$8</f>
        <v>0</v>
      </c>
      <c r="J3531" s="135" t="n">
        <f aca="false">$G3531*'Analyse capacite'!$D$8</f>
        <v>0</v>
      </c>
      <c r="K3531" s="135" t="n">
        <f aca="false">$G3531*'Analyse capacite'!$E$8</f>
        <v>0</v>
      </c>
    </row>
    <row r="3532" customFormat="false" ht="15" hidden="false" customHeight="false" outlineLevel="0" collapsed="false">
      <c r="B3532" s="130" t="n">
        <v>2027</v>
      </c>
      <c r="C3532" s="131" t="s">
        <v>249</v>
      </c>
      <c r="D3532" s="132" t="n">
        <v>46575</v>
      </c>
      <c r="E3532" s="131" t="s">
        <v>62</v>
      </c>
      <c r="F3532" s="133" t="s">
        <v>24</v>
      </c>
      <c r="G3532" s="134" t="n">
        <f aca="false">LEN('Saisie programme'!$F$165)+SUMIFS('Vols additionnels'!$E$7:$E$66,'Vols additionnels'!$C$7:$C$66,$E3532,'Vols additionnels'!$D$7:$D$66,$F3532,'Vols additionnels'!$B$7:$B$66,$D3532)</f>
        <v>1</v>
      </c>
      <c r="H3532" s="135" t="n">
        <f aca="false">$G3532*'Analyse capacite'!$F$9</f>
        <v>174</v>
      </c>
      <c r="I3532" s="135" t="n">
        <f aca="false">$G3532*'Analyse capacite'!$C$9</f>
        <v>0</v>
      </c>
      <c r="J3532" s="135" t="n">
        <f aca="false">$G3532*'Analyse capacite'!$D$9</f>
        <v>12</v>
      </c>
      <c r="K3532" s="135" t="n">
        <f aca="false">$G3532*'Analyse capacite'!$E$9</f>
        <v>162</v>
      </c>
    </row>
    <row r="3533" customFormat="false" ht="15" hidden="false" customHeight="false" outlineLevel="0" collapsed="false">
      <c r="B3533" s="130" t="n">
        <v>2027</v>
      </c>
      <c r="C3533" s="131" t="s">
        <v>249</v>
      </c>
      <c r="D3533" s="132" t="n">
        <v>46576</v>
      </c>
      <c r="E3533" s="131" t="s">
        <v>12</v>
      </c>
      <c r="F3533" s="133" t="s">
        <v>11</v>
      </c>
      <c r="G3533" s="134" t="n">
        <f aca="false">LEN('Saisie programme'!$G$130)+SUMIFS('Vols additionnels'!$E$7:$E$66,'Vols additionnels'!$C$7:$C$66,$E3533,'Vols additionnels'!$D$7:$D$66,$F3533,'Vols additionnels'!$B$7:$B$66,$D3533)</f>
        <v>1</v>
      </c>
      <c r="H3533" s="135" t="n">
        <f aca="false">$G3533*'Analyse capacite'!$F$7</f>
        <v>438</v>
      </c>
      <c r="I3533" s="135" t="n">
        <f aca="false">$G3533*'Analyse capacite'!$C$7</f>
        <v>14</v>
      </c>
      <c r="J3533" s="135" t="n">
        <f aca="false">$G3533*'Analyse capacite'!$D$7</f>
        <v>40</v>
      </c>
      <c r="K3533" s="135" t="n">
        <f aca="false">$G3533*'Analyse capacite'!$E$7</f>
        <v>384</v>
      </c>
    </row>
    <row r="3534" customFormat="false" ht="15" hidden="false" customHeight="false" outlineLevel="0" collapsed="false">
      <c r="B3534" s="130" t="n">
        <v>2027</v>
      </c>
      <c r="C3534" s="131" t="s">
        <v>249</v>
      </c>
      <c r="D3534" s="132" t="n">
        <v>46576</v>
      </c>
      <c r="E3534" s="131" t="s">
        <v>12</v>
      </c>
      <c r="F3534" s="133" t="s">
        <v>19</v>
      </c>
      <c r="G3534" s="134" t="n">
        <f aca="false">LEN('Saisie programme'!$G$131)+SUMIFS('Vols additionnels'!$E$7:$E$66,'Vols additionnels'!$C$7:$C$66,$E3534,'Vols additionnels'!$D$7:$D$66,$F3534,'Vols additionnels'!$B$7:$B$66,$D3534)</f>
        <v>0</v>
      </c>
      <c r="H3534" s="135" t="n">
        <f aca="false">$G3534*'Analyse capacite'!$F$8</f>
        <v>0</v>
      </c>
      <c r="I3534" s="135" t="n">
        <f aca="false">$G3534*'Analyse capacite'!$C$8</f>
        <v>0</v>
      </c>
      <c r="J3534" s="135" t="n">
        <f aca="false">$G3534*'Analyse capacite'!$D$8</f>
        <v>0</v>
      </c>
      <c r="K3534" s="135" t="n">
        <f aca="false">$G3534*'Analyse capacite'!$E$8</f>
        <v>0</v>
      </c>
    </row>
    <row r="3535" customFormat="false" ht="15" hidden="false" customHeight="false" outlineLevel="0" collapsed="false">
      <c r="B3535" s="130" t="n">
        <v>2027</v>
      </c>
      <c r="C3535" s="131" t="s">
        <v>249</v>
      </c>
      <c r="D3535" s="132" t="n">
        <v>46576</v>
      </c>
      <c r="E3535" s="131" t="s">
        <v>12</v>
      </c>
      <c r="F3535" s="133" t="s">
        <v>24</v>
      </c>
      <c r="G3535" s="134" t="n">
        <f aca="false">LEN('Saisie programme'!$G$132)+SUMIFS('Vols additionnels'!$E$7:$E$66,'Vols additionnels'!$C$7:$C$66,$E3535,'Vols additionnels'!$D$7:$D$66,$F3535,'Vols additionnels'!$B$7:$B$66,$D3535)</f>
        <v>0</v>
      </c>
      <c r="H3535" s="135" t="n">
        <f aca="false">$G3535*'Analyse capacite'!$F$9</f>
        <v>0</v>
      </c>
      <c r="I3535" s="135" t="n">
        <f aca="false">$G3535*'Analyse capacite'!$C$9</f>
        <v>0</v>
      </c>
      <c r="J3535" s="135" t="n">
        <f aca="false">$G3535*'Analyse capacite'!$D$9</f>
        <v>0</v>
      </c>
      <c r="K3535" s="135" t="n">
        <f aca="false">$G3535*'Analyse capacite'!$E$9</f>
        <v>0</v>
      </c>
    </row>
    <row r="3536" customFormat="false" ht="15" hidden="false" customHeight="false" outlineLevel="0" collapsed="false">
      <c r="B3536" s="130" t="n">
        <v>2027</v>
      </c>
      <c r="C3536" s="131" t="s">
        <v>249</v>
      </c>
      <c r="D3536" s="132" t="n">
        <v>46576</v>
      </c>
      <c r="E3536" s="131" t="s">
        <v>20</v>
      </c>
      <c r="F3536" s="133" t="s">
        <v>11</v>
      </c>
      <c r="G3536" s="134" t="n">
        <f aca="false">LEN('Saisie programme'!$G$133)+SUMIFS('Vols additionnels'!$E$7:$E$66,'Vols additionnels'!$C$7:$C$66,$E3536,'Vols additionnels'!$D$7:$D$66,$F3536,'Vols additionnels'!$B$7:$B$66,$D3536)</f>
        <v>0</v>
      </c>
      <c r="H3536" s="135" t="n">
        <f aca="false">$G3536*'Analyse capacite'!$F$7</f>
        <v>0</v>
      </c>
      <c r="I3536" s="135" t="n">
        <f aca="false">$G3536*'Analyse capacite'!$C$7</f>
        <v>0</v>
      </c>
      <c r="J3536" s="135" t="n">
        <f aca="false">$G3536*'Analyse capacite'!$D$7</f>
        <v>0</v>
      </c>
      <c r="K3536" s="135" t="n">
        <f aca="false">$G3536*'Analyse capacite'!$E$7</f>
        <v>0</v>
      </c>
    </row>
    <row r="3537" customFormat="false" ht="15" hidden="false" customHeight="false" outlineLevel="0" collapsed="false">
      <c r="B3537" s="130" t="n">
        <v>2027</v>
      </c>
      <c r="C3537" s="131" t="s">
        <v>249</v>
      </c>
      <c r="D3537" s="132" t="n">
        <v>46576</v>
      </c>
      <c r="E3537" s="131" t="s">
        <v>20</v>
      </c>
      <c r="F3537" s="133" t="s">
        <v>19</v>
      </c>
      <c r="G3537" s="134" t="n">
        <f aca="false">LEN('Saisie programme'!$G$134)+SUMIFS('Vols additionnels'!$E$7:$E$66,'Vols additionnels'!$C$7:$C$66,$E3537,'Vols additionnels'!$D$7:$D$66,$F3537,'Vols additionnels'!$B$7:$B$66,$D3537)</f>
        <v>0</v>
      </c>
      <c r="H3537" s="135" t="n">
        <f aca="false">$G3537*'Analyse capacite'!$F$8</f>
        <v>0</v>
      </c>
      <c r="I3537" s="135" t="n">
        <f aca="false">$G3537*'Analyse capacite'!$C$8</f>
        <v>0</v>
      </c>
      <c r="J3537" s="135" t="n">
        <f aca="false">$G3537*'Analyse capacite'!$D$8</f>
        <v>0</v>
      </c>
      <c r="K3537" s="135" t="n">
        <f aca="false">$G3537*'Analyse capacite'!$E$8</f>
        <v>0</v>
      </c>
    </row>
    <row r="3538" customFormat="false" ht="15" hidden="false" customHeight="false" outlineLevel="0" collapsed="false">
      <c r="B3538" s="130" t="n">
        <v>2027</v>
      </c>
      <c r="C3538" s="131" t="s">
        <v>249</v>
      </c>
      <c r="D3538" s="132" t="n">
        <v>46576</v>
      </c>
      <c r="E3538" s="131" t="s">
        <v>20</v>
      </c>
      <c r="F3538" s="133" t="s">
        <v>24</v>
      </c>
      <c r="G3538" s="134" t="n">
        <f aca="false">LEN('Saisie programme'!$G$135)+SUMIFS('Vols additionnels'!$E$7:$E$66,'Vols additionnels'!$C$7:$C$66,$E3538,'Vols additionnels'!$D$7:$D$66,$F3538,'Vols additionnels'!$B$7:$B$66,$D3538)</f>
        <v>0</v>
      </c>
      <c r="H3538" s="135" t="n">
        <f aca="false">$G3538*'Analyse capacite'!$F$9</f>
        <v>0</v>
      </c>
      <c r="I3538" s="135" t="n">
        <f aca="false">$G3538*'Analyse capacite'!$C$9</f>
        <v>0</v>
      </c>
      <c r="J3538" s="135" t="n">
        <f aca="false">$G3538*'Analyse capacite'!$D$9</f>
        <v>0</v>
      </c>
      <c r="K3538" s="135" t="n">
        <f aca="false">$G3538*'Analyse capacite'!$E$9</f>
        <v>0</v>
      </c>
    </row>
    <row r="3539" customFormat="false" ht="15" hidden="false" customHeight="false" outlineLevel="0" collapsed="false">
      <c r="B3539" s="130" t="n">
        <v>2027</v>
      </c>
      <c r="C3539" s="131" t="s">
        <v>249</v>
      </c>
      <c r="D3539" s="132" t="n">
        <v>46576</v>
      </c>
      <c r="E3539" s="131" t="s">
        <v>25</v>
      </c>
      <c r="F3539" s="133" t="s">
        <v>11</v>
      </c>
      <c r="G3539" s="134" t="n">
        <f aca="false">LEN('Saisie programme'!$G$136)+SUMIFS('Vols additionnels'!$E$7:$E$66,'Vols additionnels'!$C$7:$C$66,$E3539,'Vols additionnels'!$D$7:$D$66,$F3539,'Vols additionnels'!$B$7:$B$66,$D3539)</f>
        <v>0</v>
      </c>
      <c r="H3539" s="135" t="n">
        <f aca="false">$G3539*'Analyse capacite'!$F$7</f>
        <v>0</v>
      </c>
      <c r="I3539" s="135" t="n">
        <f aca="false">$G3539*'Analyse capacite'!$C$7</f>
        <v>0</v>
      </c>
      <c r="J3539" s="135" t="n">
        <f aca="false">$G3539*'Analyse capacite'!$D$7</f>
        <v>0</v>
      </c>
      <c r="K3539" s="135" t="n">
        <f aca="false">$G3539*'Analyse capacite'!$E$7</f>
        <v>0</v>
      </c>
    </row>
    <row r="3540" customFormat="false" ht="15" hidden="false" customHeight="false" outlineLevel="0" collapsed="false">
      <c r="B3540" s="130" t="n">
        <v>2027</v>
      </c>
      <c r="C3540" s="131" t="s">
        <v>249</v>
      </c>
      <c r="D3540" s="132" t="n">
        <v>46576</v>
      </c>
      <c r="E3540" s="131" t="s">
        <v>25</v>
      </c>
      <c r="F3540" s="133" t="s">
        <v>19</v>
      </c>
      <c r="G3540" s="134" t="n">
        <f aca="false">LEN('Saisie programme'!$G$137)+SUMIFS('Vols additionnels'!$E$7:$E$66,'Vols additionnels'!$C$7:$C$66,$E3540,'Vols additionnels'!$D$7:$D$66,$F3540,'Vols additionnels'!$B$7:$B$66,$D3540)</f>
        <v>0</v>
      </c>
      <c r="H3540" s="135" t="n">
        <f aca="false">$G3540*'Analyse capacite'!$F$8</f>
        <v>0</v>
      </c>
      <c r="I3540" s="135" t="n">
        <f aca="false">$G3540*'Analyse capacite'!$C$8</f>
        <v>0</v>
      </c>
      <c r="J3540" s="135" t="n">
        <f aca="false">$G3540*'Analyse capacite'!$D$8</f>
        <v>0</v>
      </c>
      <c r="K3540" s="135" t="n">
        <f aca="false">$G3540*'Analyse capacite'!$E$8</f>
        <v>0</v>
      </c>
    </row>
    <row r="3541" customFormat="false" ht="15" hidden="false" customHeight="false" outlineLevel="0" collapsed="false">
      <c r="B3541" s="130" t="n">
        <v>2027</v>
      </c>
      <c r="C3541" s="131" t="s">
        <v>249</v>
      </c>
      <c r="D3541" s="132" t="n">
        <v>46576</v>
      </c>
      <c r="E3541" s="131" t="s">
        <v>25</v>
      </c>
      <c r="F3541" s="133" t="s">
        <v>24</v>
      </c>
      <c r="G3541" s="134" t="n">
        <f aca="false">LEN('Saisie programme'!$G$138)+SUMIFS('Vols additionnels'!$E$7:$E$66,'Vols additionnels'!$C$7:$C$66,$E3541,'Vols additionnels'!$D$7:$D$66,$F3541,'Vols additionnels'!$B$7:$B$66,$D3541)</f>
        <v>0</v>
      </c>
      <c r="H3541" s="135" t="n">
        <f aca="false">$G3541*'Analyse capacite'!$F$9</f>
        <v>0</v>
      </c>
      <c r="I3541" s="135" t="n">
        <f aca="false">$G3541*'Analyse capacite'!$C$9</f>
        <v>0</v>
      </c>
      <c r="J3541" s="135" t="n">
        <f aca="false">$G3541*'Analyse capacite'!$D$9</f>
        <v>0</v>
      </c>
      <c r="K3541" s="135" t="n">
        <f aca="false">$G3541*'Analyse capacite'!$E$9</f>
        <v>0</v>
      </c>
    </row>
    <row r="3542" customFormat="false" ht="15" hidden="false" customHeight="false" outlineLevel="0" collapsed="false">
      <c r="B3542" s="130" t="n">
        <v>2027</v>
      </c>
      <c r="C3542" s="131" t="s">
        <v>249</v>
      </c>
      <c r="D3542" s="132" t="n">
        <v>46576</v>
      </c>
      <c r="E3542" s="131" t="s">
        <v>36</v>
      </c>
      <c r="F3542" s="133" t="s">
        <v>11</v>
      </c>
      <c r="G3542" s="134" t="n">
        <f aca="false">LEN('Saisie programme'!$G$139)+SUMIFS('Vols additionnels'!$E$7:$E$66,'Vols additionnels'!$C$7:$C$66,$E3542,'Vols additionnels'!$D$7:$D$66,$F3542,'Vols additionnels'!$B$7:$B$66,$D3542)</f>
        <v>0</v>
      </c>
      <c r="H3542" s="135" t="n">
        <f aca="false">$G3542*'Analyse capacite'!$F$7</f>
        <v>0</v>
      </c>
      <c r="I3542" s="135" t="n">
        <f aca="false">$G3542*'Analyse capacite'!$C$7</f>
        <v>0</v>
      </c>
      <c r="J3542" s="135" t="n">
        <f aca="false">$G3542*'Analyse capacite'!$D$7</f>
        <v>0</v>
      </c>
      <c r="K3542" s="135" t="n">
        <f aca="false">$G3542*'Analyse capacite'!$E$7</f>
        <v>0</v>
      </c>
    </row>
    <row r="3543" customFormat="false" ht="15" hidden="false" customHeight="false" outlineLevel="0" collapsed="false">
      <c r="B3543" s="130" t="n">
        <v>2027</v>
      </c>
      <c r="C3543" s="131" t="s">
        <v>249</v>
      </c>
      <c r="D3543" s="132" t="n">
        <v>46576</v>
      </c>
      <c r="E3543" s="131" t="s">
        <v>36</v>
      </c>
      <c r="F3543" s="133" t="s">
        <v>19</v>
      </c>
      <c r="G3543" s="134" t="n">
        <f aca="false">LEN('Saisie programme'!$G$140)+SUMIFS('Vols additionnels'!$E$7:$E$66,'Vols additionnels'!$C$7:$C$66,$E3543,'Vols additionnels'!$D$7:$D$66,$F3543,'Vols additionnels'!$B$7:$B$66,$D3543)</f>
        <v>0</v>
      </c>
      <c r="H3543" s="135" t="n">
        <f aca="false">$G3543*'Analyse capacite'!$F$8</f>
        <v>0</v>
      </c>
      <c r="I3543" s="135" t="n">
        <f aca="false">$G3543*'Analyse capacite'!$C$8</f>
        <v>0</v>
      </c>
      <c r="J3543" s="135" t="n">
        <f aca="false">$G3543*'Analyse capacite'!$D$8</f>
        <v>0</v>
      </c>
      <c r="K3543" s="135" t="n">
        <f aca="false">$G3543*'Analyse capacite'!$E$8</f>
        <v>0</v>
      </c>
    </row>
    <row r="3544" customFormat="false" ht="15" hidden="false" customHeight="false" outlineLevel="0" collapsed="false">
      <c r="B3544" s="130" t="n">
        <v>2027</v>
      </c>
      <c r="C3544" s="131" t="s">
        <v>249</v>
      </c>
      <c r="D3544" s="132" t="n">
        <v>46576</v>
      </c>
      <c r="E3544" s="131" t="s">
        <v>36</v>
      </c>
      <c r="F3544" s="133" t="s">
        <v>24</v>
      </c>
      <c r="G3544" s="134" t="n">
        <f aca="false">LEN('Saisie programme'!$G$141)+SUMIFS('Vols additionnels'!$E$7:$E$66,'Vols additionnels'!$C$7:$C$66,$E3544,'Vols additionnels'!$D$7:$D$66,$F3544,'Vols additionnels'!$B$7:$B$66,$D3544)</f>
        <v>1</v>
      </c>
      <c r="H3544" s="135" t="n">
        <f aca="false">$G3544*'Analyse capacite'!$F$9</f>
        <v>174</v>
      </c>
      <c r="I3544" s="135" t="n">
        <f aca="false">$G3544*'Analyse capacite'!$C$9</f>
        <v>0</v>
      </c>
      <c r="J3544" s="135" t="n">
        <f aca="false">$G3544*'Analyse capacite'!$D$9</f>
        <v>12</v>
      </c>
      <c r="K3544" s="135" t="n">
        <f aca="false">$G3544*'Analyse capacite'!$E$9</f>
        <v>162</v>
      </c>
    </row>
    <row r="3545" customFormat="false" ht="15" hidden="false" customHeight="false" outlineLevel="0" collapsed="false">
      <c r="B3545" s="130" t="n">
        <v>2027</v>
      </c>
      <c r="C3545" s="131" t="s">
        <v>249</v>
      </c>
      <c r="D3545" s="132" t="n">
        <v>46576</v>
      </c>
      <c r="E3545" s="131" t="s">
        <v>40</v>
      </c>
      <c r="F3545" s="133" t="s">
        <v>11</v>
      </c>
      <c r="G3545" s="134" t="n">
        <f aca="false">LEN('Saisie programme'!$G$142)+SUMIFS('Vols additionnels'!$E$7:$E$66,'Vols additionnels'!$C$7:$C$66,$E3545,'Vols additionnels'!$D$7:$D$66,$F3545,'Vols additionnels'!$B$7:$B$66,$D3545)</f>
        <v>0</v>
      </c>
      <c r="H3545" s="135" t="n">
        <f aca="false">$G3545*'Analyse capacite'!$F$7</f>
        <v>0</v>
      </c>
      <c r="I3545" s="135" t="n">
        <f aca="false">$G3545*'Analyse capacite'!$C$7</f>
        <v>0</v>
      </c>
      <c r="J3545" s="135" t="n">
        <f aca="false">$G3545*'Analyse capacite'!$D$7</f>
        <v>0</v>
      </c>
      <c r="K3545" s="135" t="n">
        <f aca="false">$G3545*'Analyse capacite'!$E$7</f>
        <v>0</v>
      </c>
    </row>
    <row r="3546" customFormat="false" ht="15" hidden="false" customHeight="false" outlineLevel="0" collapsed="false">
      <c r="B3546" s="130" t="n">
        <v>2027</v>
      </c>
      <c r="C3546" s="131" t="s">
        <v>249</v>
      </c>
      <c r="D3546" s="132" t="n">
        <v>46576</v>
      </c>
      <c r="E3546" s="131" t="s">
        <v>40</v>
      </c>
      <c r="F3546" s="133" t="s">
        <v>19</v>
      </c>
      <c r="G3546" s="134" t="n">
        <f aca="false">LEN('Saisie programme'!$G$143)+SUMIFS('Vols additionnels'!$E$7:$E$66,'Vols additionnels'!$C$7:$C$66,$E3546,'Vols additionnels'!$D$7:$D$66,$F3546,'Vols additionnels'!$B$7:$B$66,$D3546)</f>
        <v>0</v>
      </c>
      <c r="H3546" s="135" t="n">
        <f aca="false">$G3546*'Analyse capacite'!$F$8</f>
        <v>0</v>
      </c>
      <c r="I3546" s="135" t="n">
        <f aca="false">$G3546*'Analyse capacite'!$C$8</f>
        <v>0</v>
      </c>
      <c r="J3546" s="135" t="n">
        <f aca="false">$G3546*'Analyse capacite'!$D$8</f>
        <v>0</v>
      </c>
      <c r="K3546" s="135" t="n">
        <f aca="false">$G3546*'Analyse capacite'!$E$8</f>
        <v>0</v>
      </c>
    </row>
    <row r="3547" customFormat="false" ht="15" hidden="false" customHeight="false" outlineLevel="0" collapsed="false">
      <c r="B3547" s="130" t="n">
        <v>2027</v>
      </c>
      <c r="C3547" s="131" t="s">
        <v>249</v>
      </c>
      <c r="D3547" s="132" t="n">
        <v>46576</v>
      </c>
      <c r="E3547" s="131" t="s">
        <v>40</v>
      </c>
      <c r="F3547" s="133" t="s">
        <v>24</v>
      </c>
      <c r="G3547" s="134" t="n">
        <f aca="false">LEN('Saisie programme'!$G$144)+SUMIFS('Vols additionnels'!$E$7:$E$66,'Vols additionnels'!$C$7:$C$66,$E3547,'Vols additionnels'!$D$7:$D$66,$F3547,'Vols additionnels'!$B$7:$B$66,$D3547)</f>
        <v>0</v>
      </c>
      <c r="H3547" s="135" t="n">
        <f aca="false">$G3547*'Analyse capacite'!$F$9</f>
        <v>0</v>
      </c>
      <c r="I3547" s="135" t="n">
        <f aca="false">$G3547*'Analyse capacite'!$C$9</f>
        <v>0</v>
      </c>
      <c r="J3547" s="135" t="n">
        <f aca="false">$G3547*'Analyse capacite'!$D$9</f>
        <v>0</v>
      </c>
      <c r="K3547" s="135" t="n">
        <f aca="false">$G3547*'Analyse capacite'!$E$9</f>
        <v>0</v>
      </c>
    </row>
    <row r="3548" customFormat="false" ht="15" hidden="false" customHeight="false" outlineLevel="0" collapsed="false">
      <c r="B3548" s="130" t="n">
        <v>2027</v>
      </c>
      <c r="C3548" s="131" t="s">
        <v>249</v>
      </c>
      <c r="D3548" s="132" t="n">
        <v>46576</v>
      </c>
      <c r="E3548" s="131" t="s">
        <v>14</v>
      </c>
      <c r="F3548" s="133" t="s">
        <v>11</v>
      </c>
      <c r="G3548" s="134" t="n">
        <f aca="false">LEN('Saisie programme'!$G$145)+SUMIFS('Vols additionnels'!$E$7:$E$66,'Vols additionnels'!$C$7:$C$66,$E3548,'Vols additionnels'!$D$7:$D$66,$F3548,'Vols additionnels'!$B$7:$B$66,$D3548)</f>
        <v>0</v>
      </c>
      <c r="H3548" s="135" t="n">
        <f aca="false">$G3548*'Analyse capacite'!$F$7</f>
        <v>0</v>
      </c>
      <c r="I3548" s="135" t="n">
        <f aca="false">$G3548*'Analyse capacite'!$C$7</f>
        <v>0</v>
      </c>
      <c r="J3548" s="135" t="n">
        <f aca="false">$G3548*'Analyse capacite'!$D$7</f>
        <v>0</v>
      </c>
      <c r="K3548" s="135" t="n">
        <f aca="false">$G3548*'Analyse capacite'!$E$7</f>
        <v>0</v>
      </c>
    </row>
    <row r="3549" customFormat="false" ht="15" hidden="false" customHeight="false" outlineLevel="0" collapsed="false">
      <c r="B3549" s="130" t="n">
        <v>2027</v>
      </c>
      <c r="C3549" s="131" t="s">
        <v>249</v>
      </c>
      <c r="D3549" s="132" t="n">
        <v>46576</v>
      </c>
      <c r="E3549" s="131" t="s">
        <v>14</v>
      </c>
      <c r="F3549" s="133" t="s">
        <v>19</v>
      </c>
      <c r="G3549" s="134" t="n">
        <f aca="false">LEN('Saisie programme'!$G$146)+SUMIFS('Vols additionnels'!$E$7:$E$66,'Vols additionnels'!$C$7:$C$66,$E3549,'Vols additionnels'!$D$7:$D$66,$F3549,'Vols additionnels'!$B$7:$B$66,$D3549)</f>
        <v>0</v>
      </c>
      <c r="H3549" s="135" t="n">
        <f aca="false">$G3549*'Analyse capacite'!$F$8</f>
        <v>0</v>
      </c>
      <c r="I3549" s="135" t="n">
        <f aca="false">$G3549*'Analyse capacite'!$C$8</f>
        <v>0</v>
      </c>
      <c r="J3549" s="135" t="n">
        <f aca="false">$G3549*'Analyse capacite'!$D$8</f>
        <v>0</v>
      </c>
      <c r="K3549" s="135" t="n">
        <f aca="false">$G3549*'Analyse capacite'!$E$8</f>
        <v>0</v>
      </c>
    </row>
    <row r="3550" customFormat="false" ht="15" hidden="false" customHeight="false" outlineLevel="0" collapsed="false">
      <c r="B3550" s="130" t="n">
        <v>2027</v>
      </c>
      <c r="C3550" s="131" t="s">
        <v>249</v>
      </c>
      <c r="D3550" s="132" t="n">
        <v>46576</v>
      </c>
      <c r="E3550" s="131" t="s">
        <v>14</v>
      </c>
      <c r="F3550" s="133" t="s">
        <v>24</v>
      </c>
      <c r="G3550" s="134" t="n">
        <f aca="false">LEN('Saisie programme'!$G$147)+SUMIFS('Vols additionnels'!$E$7:$E$66,'Vols additionnels'!$C$7:$C$66,$E3550,'Vols additionnels'!$D$7:$D$66,$F3550,'Vols additionnels'!$B$7:$B$66,$D3550)</f>
        <v>1</v>
      </c>
      <c r="H3550" s="135" t="n">
        <f aca="false">$G3550*'Analyse capacite'!$F$9</f>
        <v>174</v>
      </c>
      <c r="I3550" s="135" t="n">
        <f aca="false">$G3550*'Analyse capacite'!$C$9</f>
        <v>0</v>
      </c>
      <c r="J3550" s="135" t="n">
        <f aca="false">$G3550*'Analyse capacite'!$D$9</f>
        <v>12</v>
      </c>
      <c r="K3550" s="135" t="n">
        <f aca="false">$G3550*'Analyse capacite'!$E$9</f>
        <v>162</v>
      </c>
    </row>
    <row r="3551" customFormat="false" ht="15" hidden="false" customHeight="false" outlineLevel="0" collapsed="false">
      <c r="B3551" s="130" t="n">
        <v>2027</v>
      </c>
      <c r="C3551" s="131" t="s">
        <v>249</v>
      </c>
      <c r="D3551" s="132" t="n">
        <v>46576</v>
      </c>
      <c r="E3551" s="131" t="s">
        <v>46</v>
      </c>
      <c r="F3551" s="133" t="s">
        <v>11</v>
      </c>
      <c r="G3551" s="134" t="n">
        <f aca="false">LEN('Saisie programme'!$G$148)+SUMIFS('Vols additionnels'!$E$7:$E$66,'Vols additionnels'!$C$7:$C$66,$E3551,'Vols additionnels'!$D$7:$D$66,$F3551,'Vols additionnels'!$B$7:$B$66,$D3551)</f>
        <v>0</v>
      </c>
      <c r="H3551" s="135" t="n">
        <f aca="false">$G3551*'Analyse capacite'!$F$7</f>
        <v>0</v>
      </c>
      <c r="I3551" s="135" t="n">
        <f aca="false">$G3551*'Analyse capacite'!$C$7</f>
        <v>0</v>
      </c>
      <c r="J3551" s="135" t="n">
        <f aca="false">$G3551*'Analyse capacite'!$D$7</f>
        <v>0</v>
      </c>
      <c r="K3551" s="135" t="n">
        <f aca="false">$G3551*'Analyse capacite'!$E$7</f>
        <v>0</v>
      </c>
    </row>
    <row r="3552" customFormat="false" ht="15" hidden="false" customHeight="false" outlineLevel="0" collapsed="false">
      <c r="B3552" s="130" t="n">
        <v>2027</v>
      </c>
      <c r="C3552" s="131" t="s">
        <v>249</v>
      </c>
      <c r="D3552" s="132" t="n">
        <v>46576</v>
      </c>
      <c r="E3552" s="131" t="s">
        <v>46</v>
      </c>
      <c r="F3552" s="133" t="s">
        <v>19</v>
      </c>
      <c r="G3552" s="134" t="n">
        <f aca="false">LEN('Saisie programme'!$G$149)+SUMIFS('Vols additionnels'!$E$7:$E$66,'Vols additionnels'!$C$7:$C$66,$E3552,'Vols additionnels'!$D$7:$D$66,$F3552,'Vols additionnels'!$B$7:$B$66,$D3552)</f>
        <v>0</v>
      </c>
      <c r="H3552" s="135" t="n">
        <f aca="false">$G3552*'Analyse capacite'!$F$8</f>
        <v>0</v>
      </c>
      <c r="I3552" s="135" t="n">
        <f aca="false">$G3552*'Analyse capacite'!$C$8</f>
        <v>0</v>
      </c>
      <c r="J3552" s="135" t="n">
        <f aca="false">$G3552*'Analyse capacite'!$D$8</f>
        <v>0</v>
      </c>
      <c r="K3552" s="135" t="n">
        <f aca="false">$G3552*'Analyse capacite'!$E$8</f>
        <v>0</v>
      </c>
    </row>
    <row r="3553" customFormat="false" ht="15" hidden="false" customHeight="false" outlineLevel="0" collapsed="false">
      <c r="B3553" s="130" t="n">
        <v>2027</v>
      </c>
      <c r="C3553" s="131" t="s">
        <v>249</v>
      </c>
      <c r="D3553" s="132" t="n">
        <v>46576</v>
      </c>
      <c r="E3553" s="131" t="s">
        <v>46</v>
      </c>
      <c r="F3553" s="133" t="s">
        <v>24</v>
      </c>
      <c r="G3553" s="134" t="n">
        <f aca="false">LEN('Saisie programme'!$G$150)+SUMIFS('Vols additionnels'!$E$7:$E$66,'Vols additionnels'!$C$7:$C$66,$E3553,'Vols additionnels'!$D$7:$D$66,$F3553,'Vols additionnels'!$B$7:$B$66,$D3553)</f>
        <v>1</v>
      </c>
      <c r="H3553" s="135" t="n">
        <f aca="false">$G3553*'Analyse capacite'!$F$9</f>
        <v>174</v>
      </c>
      <c r="I3553" s="135" t="n">
        <f aca="false">$G3553*'Analyse capacite'!$C$9</f>
        <v>0</v>
      </c>
      <c r="J3553" s="135" t="n">
        <f aca="false">$G3553*'Analyse capacite'!$D$9</f>
        <v>12</v>
      </c>
      <c r="K3553" s="135" t="n">
        <f aca="false">$G3553*'Analyse capacite'!$E$9</f>
        <v>162</v>
      </c>
    </row>
    <row r="3554" customFormat="false" ht="15" hidden="false" customHeight="false" outlineLevel="0" collapsed="false">
      <c r="B3554" s="130" t="n">
        <v>2027</v>
      </c>
      <c r="C3554" s="131" t="s">
        <v>249</v>
      </c>
      <c r="D3554" s="132" t="n">
        <v>46576</v>
      </c>
      <c r="E3554" s="131" t="s">
        <v>49</v>
      </c>
      <c r="F3554" s="133" t="s">
        <v>11</v>
      </c>
      <c r="G3554" s="134" t="n">
        <f aca="false">LEN('Saisie programme'!$G$151)+SUMIFS('Vols additionnels'!$E$7:$E$66,'Vols additionnels'!$C$7:$C$66,$E3554,'Vols additionnels'!$D$7:$D$66,$F3554,'Vols additionnels'!$B$7:$B$66,$D3554)</f>
        <v>0</v>
      </c>
      <c r="H3554" s="135" t="n">
        <f aca="false">$G3554*'Analyse capacite'!$F$7</f>
        <v>0</v>
      </c>
      <c r="I3554" s="135" t="n">
        <f aca="false">$G3554*'Analyse capacite'!$C$7</f>
        <v>0</v>
      </c>
      <c r="J3554" s="135" t="n">
        <f aca="false">$G3554*'Analyse capacite'!$D$7</f>
        <v>0</v>
      </c>
      <c r="K3554" s="135" t="n">
        <f aca="false">$G3554*'Analyse capacite'!$E$7</f>
        <v>0</v>
      </c>
    </row>
    <row r="3555" customFormat="false" ht="15" hidden="false" customHeight="false" outlineLevel="0" collapsed="false">
      <c r="B3555" s="130" t="n">
        <v>2027</v>
      </c>
      <c r="C3555" s="131" t="s">
        <v>249</v>
      </c>
      <c r="D3555" s="132" t="n">
        <v>46576</v>
      </c>
      <c r="E3555" s="131" t="s">
        <v>49</v>
      </c>
      <c r="F3555" s="133" t="s">
        <v>19</v>
      </c>
      <c r="G3555" s="134" t="n">
        <f aca="false">LEN('Saisie programme'!$G$152)+SUMIFS('Vols additionnels'!$E$7:$E$66,'Vols additionnels'!$C$7:$C$66,$E3555,'Vols additionnels'!$D$7:$D$66,$F3555,'Vols additionnels'!$B$7:$B$66,$D3555)</f>
        <v>0</v>
      </c>
      <c r="H3555" s="135" t="n">
        <f aca="false">$G3555*'Analyse capacite'!$F$8</f>
        <v>0</v>
      </c>
      <c r="I3555" s="135" t="n">
        <f aca="false">$G3555*'Analyse capacite'!$C$8</f>
        <v>0</v>
      </c>
      <c r="J3555" s="135" t="n">
        <f aca="false">$G3555*'Analyse capacite'!$D$8</f>
        <v>0</v>
      </c>
      <c r="K3555" s="135" t="n">
        <f aca="false">$G3555*'Analyse capacite'!$E$8</f>
        <v>0</v>
      </c>
    </row>
    <row r="3556" customFormat="false" ht="15" hidden="false" customHeight="false" outlineLevel="0" collapsed="false">
      <c r="B3556" s="130" t="n">
        <v>2027</v>
      </c>
      <c r="C3556" s="131" t="s">
        <v>249</v>
      </c>
      <c r="D3556" s="132" t="n">
        <v>46576</v>
      </c>
      <c r="E3556" s="131" t="s">
        <v>49</v>
      </c>
      <c r="F3556" s="133" t="s">
        <v>24</v>
      </c>
      <c r="G3556" s="134" t="n">
        <f aca="false">LEN('Saisie programme'!$G$153)+SUMIFS('Vols additionnels'!$E$7:$E$66,'Vols additionnels'!$C$7:$C$66,$E3556,'Vols additionnels'!$D$7:$D$66,$F3556,'Vols additionnels'!$B$7:$B$66,$D3556)</f>
        <v>0</v>
      </c>
      <c r="H3556" s="135" t="n">
        <f aca="false">$G3556*'Analyse capacite'!$F$9</f>
        <v>0</v>
      </c>
      <c r="I3556" s="135" t="n">
        <f aca="false">$G3556*'Analyse capacite'!$C$9</f>
        <v>0</v>
      </c>
      <c r="J3556" s="135" t="n">
        <f aca="false">$G3556*'Analyse capacite'!$D$9</f>
        <v>0</v>
      </c>
      <c r="K3556" s="135" t="n">
        <f aca="false">$G3556*'Analyse capacite'!$E$9</f>
        <v>0</v>
      </c>
    </row>
    <row r="3557" customFormat="false" ht="15" hidden="false" customHeight="false" outlineLevel="0" collapsed="false">
      <c r="B3557" s="130" t="n">
        <v>2027</v>
      </c>
      <c r="C3557" s="131" t="s">
        <v>249</v>
      </c>
      <c r="D3557" s="132" t="n">
        <v>46576</v>
      </c>
      <c r="E3557" s="131" t="s">
        <v>53</v>
      </c>
      <c r="F3557" s="133" t="s">
        <v>11</v>
      </c>
      <c r="G3557" s="134" t="n">
        <f aca="false">LEN('Saisie programme'!$G$154)+SUMIFS('Vols additionnels'!$E$7:$E$66,'Vols additionnels'!$C$7:$C$66,$E3557,'Vols additionnels'!$D$7:$D$66,$F3557,'Vols additionnels'!$B$7:$B$66,$D3557)</f>
        <v>0</v>
      </c>
      <c r="H3557" s="135" t="n">
        <f aca="false">$G3557*'Analyse capacite'!$F$7</f>
        <v>0</v>
      </c>
      <c r="I3557" s="135" t="n">
        <f aca="false">$G3557*'Analyse capacite'!$C$7</f>
        <v>0</v>
      </c>
      <c r="J3557" s="135" t="n">
        <f aca="false">$G3557*'Analyse capacite'!$D$7</f>
        <v>0</v>
      </c>
      <c r="K3557" s="135" t="n">
        <f aca="false">$G3557*'Analyse capacite'!$E$7</f>
        <v>0</v>
      </c>
    </row>
    <row r="3558" customFormat="false" ht="15" hidden="false" customHeight="false" outlineLevel="0" collapsed="false">
      <c r="B3558" s="130" t="n">
        <v>2027</v>
      </c>
      <c r="C3558" s="131" t="s">
        <v>249</v>
      </c>
      <c r="D3558" s="132" t="n">
        <v>46576</v>
      </c>
      <c r="E3558" s="131" t="s">
        <v>53</v>
      </c>
      <c r="F3558" s="133" t="s">
        <v>19</v>
      </c>
      <c r="G3558" s="134" t="n">
        <f aca="false">LEN('Saisie programme'!$G$155)+SUMIFS('Vols additionnels'!$E$7:$E$66,'Vols additionnels'!$C$7:$C$66,$E3558,'Vols additionnels'!$D$7:$D$66,$F3558,'Vols additionnels'!$B$7:$B$66,$D3558)</f>
        <v>1</v>
      </c>
      <c r="H3558" s="135" t="n">
        <f aca="false">$G3558*'Analyse capacite'!$F$8</f>
        <v>262</v>
      </c>
      <c r="I3558" s="135" t="n">
        <f aca="false">$G3558*'Analyse capacite'!$C$8</f>
        <v>18</v>
      </c>
      <c r="J3558" s="135" t="n">
        <f aca="false">$G3558*'Analyse capacite'!$D$8</f>
        <v>0</v>
      </c>
      <c r="K3558" s="135" t="n">
        <f aca="false">$G3558*'Analyse capacite'!$E$8</f>
        <v>244</v>
      </c>
    </row>
    <row r="3559" customFormat="false" ht="15" hidden="false" customHeight="false" outlineLevel="0" collapsed="false">
      <c r="B3559" s="130" t="n">
        <v>2027</v>
      </c>
      <c r="C3559" s="131" t="s">
        <v>249</v>
      </c>
      <c r="D3559" s="132" t="n">
        <v>46576</v>
      </c>
      <c r="E3559" s="131" t="s">
        <v>53</v>
      </c>
      <c r="F3559" s="133" t="s">
        <v>24</v>
      </c>
      <c r="G3559" s="134" t="n">
        <f aca="false">LEN('Saisie programme'!$G$156)+SUMIFS('Vols additionnels'!$E$7:$E$66,'Vols additionnels'!$C$7:$C$66,$E3559,'Vols additionnels'!$D$7:$D$66,$F3559,'Vols additionnels'!$B$7:$B$66,$D3559)</f>
        <v>0</v>
      </c>
      <c r="H3559" s="135" t="n">
        <f aca="false">$G3559*'Analyse capacite'!$F$9</f>
        <v>0</v>
      </c>
      <c r="I3559" s="135" t="n">
        <f aca="false">$G3559*'Analyse capacite'!$C$9</f>
        <v>0</v>
      </c>
      <c r="J3559" s="135" t="n">
        <f aca="false">$G3559*'Analyse capacite'!$D$9</f>
        <v>0</v>
      </c>
      <c r="K3559" s="135" t="n">
        <f aca="false">$G3559*'Analyse capacite'!$E$9</f>
        <v>0</v>
      </c>
    </row>
    <row r="3560" customFormat="false" ht="15" hidden="false" customHeight="false" outlineLevel="0" collapsed="false">
      <c r="B3560" s="130" t="n">
        <v>2027</v>
      </c>
      <c r="C3560" s="131" t="s">
        <v>249</v>
      </c>
      <c r="D3560" s="132" t="n">
        <v>46576</v>
      </c>
      <c r="E3560" s="131" t="s">
        <v>56</v>
      </c>
      <c r="F3560" s="133" t="s">
        <v>11</v>
      </c>
      <c r="G3560" s="134" t="n">
        <f aca="false">LEN('Saisie programme'!$G$157)+SUMIFS('Vols additionnels'!$E$7:$E$66,'Vols additionnels'!$C$7:$C$66,$E3560,'Vols additionnels'!$D$7:$D$66,$F3560,'Vols additionnels'!$B$7:$B$66,$D3560)</f>
        <v>0</v>
      </c>
      <c r="H3560" s="135" t="n">
        <f aca="false">$G3560*'Analyse capacite'!$F$7</f>
        <v>0</v>
      </c>
      <c r="I3560" s="135" t="n">
        <f aca="false">$G3560*'Analyse capacite'!$C$7</f>
        <v>0</v>
      </c>
      <c r="J3560" s="135" t="n">
        <f aca="false">$G3560*'Analyse capacite'!$D$7</f>
        <v>0</v>
      </c>
      <c r="K3560" s="135" t="n">
        <f aca="false">$G3560*'Analyse capacite'!$E$7</f>
        <v>0</v>
      </c>
    </row>
    <row r="3561" customFormat="false" ht="15" hidden="false" customHeight="false" outlineLevel="0" collapsed="false">
      <c r="B3561" s="130" t="n">
        <v>2027</v>
      </c>
      <c r="C3561" s="131" t="s">
        <v>249</v>
      </c>
      <c r="D3561" s="132" t="n">
        <v>46576</v>
      </c>
      <c r="E3561" s="131" t="s">
        <v>56</v>
      </c>
      <c r="F3561" s="133" t="s">
        <v>19</v>
      </c>
      <c r="G3561" s="134" t="n">
        <f aca="false">LEN('Saisie programme'!$G$158)+SUMIFS('Vols additionnels'!$E$7:$E$66,'Vols additionnels'!$C$7:$C$66,$E3561,'Vols additionnels'!$D$7:$D$66,$F3561,'Vols additionnels'!$B$7:$B$66,$D3561)</f>
        <v>0</v>
      </c>
      <c r="H3561" s="135" t="n">
        <f aca="false">$G3561*'Analyse capacite'!$F$8</f>
        <v>0</v>
      </c>
      <c r="I3561" s="135" t="n">
        <f aca="false">$G3561*'Analyse capacite'!$C$8</f>
        <v>0</v>
      </c>
      <c r="J3561" s="135" t="n">
        <f aca="false">$G3561*'Analyse capacite'!$D$8</f>
        <v>0</v>
      </c>
      <c r="K3561" s="135" t="n">
        <f aca="false">$G3561*'Analyse capacite'!$E$8</f>
        <v>0</v>
      </c>
    </row>
    <row r="3562" customFormat="false" ht="15" hidden="false" customHeight="false" outlineLevel="0" collapsed="false">
      <c r="B3562" s="130" t="n">
        <v>2027</v>
      </c>
      <c r="C3562" s="131" t="s">
        <v>249</v>
      </c>
      <c r="D3562" s="132" t="n">
        <v>46576</v>
      </c>
      <c r="E3562" s="131" t="s">
        <v>56</v>
      </c>
      <c r="F3562" s="133" t="s">
        <v>24</v>
      </c>
      <c r="G3562" s="134" t="n">
        <f aca="false">LEN('Saisie programme'!$G$159)+SUMIFS('Vols additionnels'!$E$7:$E$66,'Vols additionnels'!$C$7:$C$66,$E3562,'Vols additionnels'!$D$7:$D$66,$F3562,'Vols additionnels'!$B$7:$B$66,$D3562)</f>
        <v>0</v>
      </c>
      <c r="H3562" s="135" t="n">
        <f aca="false">$G3562*'Analyse capacite'!$F$9</f>
        <v>0</v>
      </c>
      <c r="I3562" s="135" t="n">
        <f aca="false">$G3562*'Analyse capacite'!$C$9</f>
        <v>0</v>
      </c>
      <c r="J3562" s="135" t="n">
        <f aca="false">$G3562*'Analyse capacite'!$D$9</f>
        <v>0</v>
      </c>
      <c r="K3562" s="135" t="n">
        <f aca="false">$G3562*'Analyse capacite'!$E$9</f>
        <v>0</v>
      </c>
    </row>
    <row r="3563" customFormat="false" ht="15" hidden="false" customHeight="false" outlineLevel="0" collapsed="false">
      <c r="B3563" s="130" t="n">
        <v>2027</v>
      </c>
      <c r="C3563" s="131" t="s">
        <v>249</v>
      </c>
      <c r="D3563" s="132" t="n">
        <v>46576</v>
      </c>
      <c r="E3563" s="131" t="s">
        <v>59</v>
      </c>
      <c r="F3563" s="133" t="s">
        <v>11</v>
      </c>
      <c r="G3563" s="134" t="n">
        <f aca="false">LEN('Saisie programme'!$G$160)+SUMIFS('Vols additionnels'!$E$7:$E$66,'Vols additionnels'!$C$7:$C$66,$E3563,'Vols additionnels'!$D$7:$D$66,$F3563,'Vols additionnels'!$B$7:$B$66,$D3563)</f>
        <v>0</v>
      </c>
      <c r="H3563" s="135" t="n">
        <f aca="false">$G3563*'Analyse capacite'!$F$7</f>
        <v>0</v>
      </c>
      <c r="I3563" s="135" t="n">
        <f aca="false">$G3563*'Analyse capacite'!$C$7</f>
        <v>0</v>
      </c>
      <c r="J3563" s="135" t="n">
        <f aca="false">$G3563*'Analyse capacite'!$D$7</f>
        <v>0</v>
      </c>
      <c r="K3563" s="135" t="n">
        <f aca="false">$G3563*'Analyse capacite'!$E$7</f>
        <v>0</v>
      </c>
    </row>
    <row r="3564" customFormat="false" ht="15" hidden="false" customHeight="false" outlineLevel="0" collapsed="false">
      <c r="B3564" s="130" t="n">
        <v>2027</v>
      </c>
      <c r="C3564" s="131" t="s">
        <v>249</v>
      </c>
      <c r="D3564" s="132" t="n">
        <v>46576</v>
      </c>
      <c r="E3564" s="131" t="s">
        <v>59</v>
      </c>
      <c r="F3564" s="133" t="s">
        <v>19</v>
      </c>
      <c r="G3564" s="134" t="n">
        <f aca="false">LEN('Saisie programme'!$G$161)+SUMIFS('Vols additionnels'!$E$7:$E$66,'Vols additionnels'!$C$7:$C$66,$E3564,'Vols additionnels'!$D$7:$D$66,$F3564,'Vols additionnels'!$B$7:$B$66,$D3564)</f>
        <v>0</v>
      </c>
      <c r="H3564" s="135" t="n">
        <f aca="false">$G3564*'Analyse capacite'!$F$8</f>
        <v>0</v>
      </c>
      <c r="I3564" s="135" t="n">
        <f aca="false">$G3564*'Analyse capacite'!$C$8</f>
        <v>0</v>
      </c>
      <c r="J3564" s="135" t="n">
        <f aca="false">$G3564*'Analyse capacite'!$D$8</f>
        <v>0</v>
      </c>
      <c r="K3564" s="135" t="n">
        <f aca="false">$G3564*'Analyse capacite'!$E$8</f>
        <v>0</v>
      </c>
    </row>
    <row r="3565" customFormat="false" ht="15" hidden="false" customHeight="false" outlineLevel="0" collapsed="false">
      <c r="B3565" s="130" t="n">
        <v>2027</v>
      </c>
      <c r="C3565" s="131" t="s">
        <v>249</v>
      </c>
      <c r="D3565" s="132" t="n">
        <v>46576</v>
      </c>
      <c r="E3565" s="131" t="s">
        <v>59</v>
      </c>
      <c r="F3565" s="133" t="s">
        <v>24</v>
      </c>
      <c r="G3565" s="134" t="n">
        <f aca="false">LEN('Saisie programme'!$G$162)+SUMIFS('Vols additionnels'!$E$7:$E$66,'Vols additionnels'!$C$7:$C$66,$E3565,'Vols additionnels'!$D$7:$D$66,$F3565,'Vols additionnels'!$B$7:$B$66,$D3565)</f>
        <v>2</v>
      </c>
      <c r="H3565" s="135" t="n">
        <f aca="false">$G3565*'Analyse capacite'!$F$9</f>
        <v>348</v>
      </c>
      <c r="I3565" s="135" t="n">
        <f aca="false">$G3565*'Analyse capacite'!$C$9</f>
        <v>0</v>
      </c>
      <c r="J3565" s="135" t="n">
        <f aca="false">$G3565*'Analyse capacite'!$D$9</f>
        <v>24</v>
      </c>
      <c r="K3565" s="135" t="n">
        <f aca="false">$G3565*'Analyse capacite'!$E$9</f>
        <v>324</v>
      </c>
    </row>
    <row r="3566" customFormat="false" ht="15" hidden="false" customHeight="false" outlineLevel="0" collapsed="false">
      <c r="B3566" s="130" t="n">
        <v>2027</v>
      </c>
      <c r="C3566" s="131" t="s">
        <v>249</v>
      </c>
      <c r="D3566" s="132" t="n">
        <v>46576</v>
      </c>
      <c r="E3566" s="131" t="s">
        <v>62</v>
      </c>
      <c r="F3566" s="133" t="s">
        <v>11</v>
      </c>
      <c r="G3566" s="134" t="n">
        <f aca="false">LEN('Saisie programme'!$G$163)+SUMIFS('Vols additionnels'!$E$7:$E$66,'Vols additionnels'!$C$7:$C$66,$E3566,'Vols additionnels'!$D$7:$D$66,$F3566,'Vols additionnels'!$B$7:$B$66,$D3566)</f>
        <v>0</v>
      </c>
      <c r="H3566" s="135" t="n">
        <f aca="false">$G3566*'Analyse capacite'!$F$7</f>
        <v>0</v>
      </c>
      <c r="I3566" s="135" t="n">
        <f aca="false">$G3566*'Analyse capacite'!$C$7</f>
        <v>0</v>
      </c>
      <c r="J3566" s="135" t="n">
        <f aca="false">$G3566*'Analyse capacite'!$D$7</f>
        <v>0</v>
      </c>
      <c r="K3566" s="135" t="n">
        <f aca="false">$G3566*'Analyse capacite'!$E$7</f>
        <v>0</v>
      </c>
    </row>
    <row r="3567" customFormat="false" ht="15" hidden="false" customHeight="false" outlineLevel="0" collapsed="false">
      <c r="B3567" s="130" t="n">
        <v>2027</v>
      </c>
      <c r="C3567" s="131" t="s">
        <v>249</v>
      </c>
      <c r="D3567" s="132" t="n">
        <v>46576</v>
      </c>
      <c r="E3567" s="131" t="s">
        <v>62</v>
      </c>
      <c r="F3567" s="133" t="s">
        <v>19</v>
      </c>
      <c r="G3567" s="134" t="n">
        <f aca="false">LEN('Saisie programme'!$G$164)+SUMIFS('Vols additionnels'!$E$7:$E$66,'Vols additionnels'!$C$7:$C$66,$E3567,'Vols additionnels'!$D$7:$D$66,$F3567,'Vols additionnels'!$B$7:$B$66,$D3567)</f>
        <v>0</v>
      </c>
      <c r="H3567" s="135" t="n">
        <f aca="false">$G3567*'Analyse capacite'!$F$8</f>
        <v>0</v>
      </c>
      <c r="I3567" s="135" t="n">
        <f aca="false">$G3567*'Analyse capacite'!$C$8</f>
        <v>0</v>
      </c>
      <c r="J3567" s="135" t="n">
        <f aca="false">$G3567*'Analyse capacite'!$D$8</f>
        <v>0</v>
      </c>
      <c r="K3567" s="135" t="n">
        <f aca="false">$G3567*'Analyse capacite'!$E$8</f>
        <v>0</v>
      </c>
    </row>
    <row r="3568" customFormat="false" ht="15" hidden="false" customHeight="false" outlineLevel="0" collapsed="false">
      <c r="B3568" s="130" t="n">
        <v>2027</v>
      </c>
      <c r="C3568" s="131" t="s">
        <v>249</v>
      </c>
      <c r="D3568" s="132" t="n">
        <v>46576</v>
      </c>
      <c r="E3568" s="131" t="s">
        <v>62</v>
      </c>
      <c r="F3568" s="133" t="s">
        <v>24</v>
      </c>
      <c r="G3568" s="134" t="n">
        <f aca="false">LEN('Saisie programme'!$G$165)+SUMIFS('Vols additionnels'!$E$7:$E$66,'Vols additionnels'!$C$7:$C$66,$E3568,'Vols additionnels'!$D$7:$D$66,$F3568,'Vols additionnels'!$B$7:$B$66,$D3568)</f>
        <v>0</v>
      </c>
      <c r="H3568" s="135" t="n">
        <f aca="false">$G3568*'Analyse capacite'!$F$9</f>
        <v>0</v>
      </c>
      <c r="I3568" s="135" t="n">
        <f aca="false">$G3568*'Analyse capacite'!$C$9</f>
        <v>0</v>
      </c>
      <c r="J3568" s="135" t="n">
        <f aca="false">$G3568*'Analyse capacite'!$D$9</f>
        <v>0</v>
      </c>
      <c r="K3568" s="135" t="n">
        <f aca="false">$G3568*'Analyse capacite'!$E$9</f>
        <v>0</v>
      </c>
    </row>
    <row r="3569" customFormat="false" ht="15" hidden="false" customHeight="false" outlineLevel="0" collapsed="false">
      <c r="B3569" s="130" t="n">
        <v>2027</v>
      </c>
      <c r="C3569" s="131" t="s">
        <v>249</v>
      </c>
      <c r="D3569" s="132" t="n">
        <v>46577</v>
      </c>
      <c r="E3569" s="131" t="s">
        <v>12</v>
      </c>
      <c r="F3569" s="133" t="s">
        <v>11</v>
      </c>
      <c r="G3569" s="134" t="n">
        <f aca="false">LEN('Saisie programme'!$H$130)+SUMIFS('Vols additionnels'!$E$7:$E$66,'Vols additionnels'!$C$7:$C$66,$E3569,'Vols additionnels'!$D$7:$D$66,$F3569,'Vols additionnels'!$B$7:$B$66,$D3569)</f>
        <v>1</v>
      </c>
      <c r="H3569" s="135" t="n">
        <f aca="false">$G3569*'Analyse capacite'!$F$7</f>
        <v>438</v>
      </c>
      <c r="I3569" s="135" t="n">
        <f aca="false">$G3569*'Analyse capacite'!$C$7</f>
        <v>14</v>
      </c>
      <c r="J3569" s="135" t="n">
        <f aca="false">$G3569*'Analyse capacite'!$D$7</f>
        <v>40</v>
      </c>
      <c r="K3569" s="135" t="n">
        <f aca="false">$G3569*'Analyse capacite'!$E$7</f>
        <v>384</v>
      </c>
    </row>
    <row r="3570" customFormat="false" ht="15" hidden="false" customHeight="false" outlineLevel="0" collapsed="false">
      <c r="B3570" s="130" t="n">
        <v>2027</v>
      </c>
      <c r="C3570" s="131" t="s">
        <v>249</v>
      </c>
      <c r="D3570" s="132" t="n">
        <v>46577</v>
      </c>
      <c r="E3570" s="131" t="s">
        <v>12</v>
      </c>
      <c r="F3570" s="133" t="s">
        <v>19</v>
      </c>
      <c r="G3570" s="134" t="n">
        <f aca="false">LEN('Saisie programme'!$H$131)+SUMIFS('Vols additionnels'!$E$7:$E$66,'Vols additionnels'!$C$7:$C$66,$E3570,'Vols additionnels'!$D$7:$D$66,$F3570,'Vols additionnels'!$B$7:$B$66,$D3570)</f>
        <v>1</v>
      </c>
      <c r="H3570" s="135" t="n">
        <f aca="false">$G3570*'Analyse capacite'!$F$8</f>
        <v>262</v>
      </c>
      <c r="I3570" s="135" t="n">
        <f aca="false">$G3570*'Analyse capacite'!$C$8</f>
        <v>18</v>
      </c>
      <c r="J3570" s="135" t="n">
        <f aca="false">$G3570*'Analyse capacite'!$D$8</f>
        <v>0</v>
      </c>
      <c r="K3570" s="135" t="n">
        <f aca="false">$G3570*'Analyse capacite'!$E$8</f>
        <v>244</v>
      </c>
    </row>
    <row r="3571" customFormat="false" ht="15" hidden="false" customHeight="false" outlineLevel="0" collapsed="false">
      <c r="B3571" s="130" t="n">
        <v>2027</v>
      </c>
      <c r="C3571" s="131" t="s">
        <v>249</v>
      </c>
      <c r="D3571" s="132" t="n">
        <v>46577</v>
      </c>
      <c r="E3571" s="131" t="s">
        <v>12</v>
      </c>
      <c r="F3571" s="133" t="s">
        <v>24</v>
      </c>
      <c r="G3571" s="134" t="n">
        <f aca="false">LEN('Saisie programme'!$H$132)+SUMIFS('Vols additionnels'!$E$7:$E$66,'Vols additionnels'!$C$7:$C$66,$E3571,'Vols additionnels'!$D$7:$D$66,$F3571,'Vols additionnels'!$B$7:$B$66,$D3571)</f>
        <v>0</v>
      </c>
      <c r="H3571" s="135" t="n">
        <f aca="false">$G3571*'Analyse capacite'!$F$9</f>
        <v>0</v>
      </c>
      <c r="I3571" s="135" t="n">
        <f aca="false">$G3571*'Analyse capacite'!$C$9</f>
        <v>0</v>
      </c>
      <c r="J3571" s="135" t="n">
        <f aca="false">$G3571*'Analyse capacite'!$D$9</f>
        <v>0</v>
      </c>
      <c r="K3571" s="135" t="n">
        <f aca="false">$G3571*'Analyse capacite'!$E$9</f>
        <v>0</v>
      </c>
    </row>
    <row r="3572" customFormat="false" ht="15" hidden="false" customHeight="false" outlineLevel="0" collapsed="false">
      <c r="B3572" s="130" t="n">
        <v>2027</v>
      </c>
      <c r="C3572" s="131" t="s">
        <v>249</v>
      </c>
      <c r="D3572" s="132" t="n">
        <v>46577</v>
      </c>
      <c r="E3572" s="131" t="s">
        <v>20</v>
      </c>
      <c r="F3572" s="133" t="s">
        <v>11</v>
      </c>
      <c r="G3572" s="134" t="n">
        <f aca="false">LEN('Saisie programme'!$H$133)+SUMIFS('Vols additionnels'!$E$7:$E$66,'Vols additionnels'!$C$7:$C$66,$E3572,'Vols additionnels'!$D$7:$D$66,$F3572,'Vols additionnels'!$B$7:$B$66,$D3572)</f>
        <v>0</v>
      </c>
      <c r="H3572" s="135" t="n">
        <f aca="false">$G3572*'Analyse capacite'!$F$7</f>
        <v>0</v>
      </c>
      <c r="I3572" s="135" t="n">
        <f aca="false">$G3572*'Analyse capacite'!$C$7</f>
        <v>0</v>
      </c>
      <c r="J3572" s="135" t="n">
        <f aca="false">$G3572*'Analyse capacite'!$D$7</f>
        <v>0</v>
      </c>
      <c r="K3572" s="135" t="n">
        <f aca="false">$G3572*'Analyse capacite'!$E$7</f>
        <v>0</v>
      </c>
    </row>
    <row r="3573" customFormat="false" ht="15" hidden="false" customHeight="false" outlineLevel="0" collapsed="false">
      <c r="B3573" s="130" t="n">
        <v>2027</v>
      </c>
      <c r="C3573" s="131" t="s">
        <v>249</v>
      </c>
      <c r="D3573" s="132" t="n">
        <v>46577</v>
      </c>
      <c r="E3573" s="131" t="s">
        <v>20</v>
      </c>
      <c r="F3573" s="133" t="s">
        <v>19</v>
      </c>
      <c r="G3573" s="134" t="n">
        <f aca="false">LEN('Saisie programme'!$H$134)+SUMIFS('Vols additionnels'!$E$7:$E$66,'Vols additionnels'!$C$7:$C$66,$E3573,'Vols additionnels'!$D$7:$D$66,$F3573,'Vols additionnels'!$B$7:$B$66,$D3573)</f>
        <v>1</v>
      </c>
      <c r="H3573" s="135" t="n">
        <f aca="false">$G3573*'Analyse capacite'!$F$8</f>
        <v>262</v>
      </c>
      <c r="I3573" s="135" t="n">
        <f aca="false">$G3573*'Analyse capacite'!$C$8</f>
        <v>18</v>
      </c>
      <c r="J3573" s="135" t="n">
        <f aca="false">$G3573*'Analyse capacite'!$D$8</f>
        <v>0</v>
      </c>
      <c r="K3573" s="135" t="n">
        <f aca="false">$G3573*'Analyse capacite'!$E$8</f>
        <v>244</v>
      </c>
    </row>
    <row r="3574" customFormat="false" ht="15" hidden="false" customHeight="false" outlineLevel="0" collapsed="false">
      <c r="B3574" s="130" t="n">
        <v>2027</v>
      </c>
      <c r="C3574" s="131" t="s">
        <v>249</v>
      </c>
      <c r="D3574" s="132" t="n">
        <v>46577</v>
      </c>
      <c r="E3574" s="131" t="s">
        <v>20</v>
      </c>
      <c r="F3574" s="133" t="s">
        <v>24</v>
      </c>
      <c r="G3574" s="134" t="n">
        <f aca="false">LEN('Saisie programme'!$H$135)+SUMIFS('Vols additionnels'!$E$7:$E$66,'Vols additionnels'!$C$7:$C$66,$E3574,'Vols additionnels'!$D$7:$D$66,$F3574,'Vols additionnels'!$B$7:$B$66,$D3574)</f>
        <v>0</v>
      </c>
      <c r="H3574" s="135" t="n">
        <f aca="false">$G3574*'Analyse capacite'!$F$9</f>
        <v>0</v>
      </c>
      <c r="I3574" s="135" t="n">
        <f aca="false">$G3574*'Analyse capacite'!$C$9</f>
        <v>0</v>
      </c>
      <c r="J3574" s="135" t="n">
        <f aca="false">$G3574*'Analyse capacite'!$D$9</f>
        <v>0</v>
      </c>
      <c r="K3574" s="135" t="n">
        <f aca="false">$G3574*'Analyse capacite'!$E$9</f>
        <v>0</v>
      </c>
    </row>
    <row r="3575" customFormat="false" ht="15" hidden="false" customHeight="false" outlineLevel="0" collapsed="false">
      <c r="B3575" s="130" t="n">
        <v>2027</v>
      </c>
      <c r="C3575" s="131" t="s">
        <v>249</v>
      </c>
      <c r="D3575" s="132" t="n">
        <v>46577</v>
      </c>
      <c r="E3575" s="131" t="s">
        <v>25</v>
      </c>
      <c r="F3575" s="133" t="s">
        <v>11</v>
      </c>
      <c r="G3575" s="134" t="n">
        <f aca="false">LEN('Saisie programme'!$H$136)+SUMIFS('Vols additionnels'!$E$7:$E$66,'Vols additionnels'!$C$7:$C$66,$E3575,'Vols additionnels'!$D$7:$D$66,$F3575,'Vols additionnels'!$B$7:$B$66,$D3575)</f>
        <v>0</v>
      </c>
      <c r="H3575" s="135" t="n">
        <f aca="false">$G3575*'Analyse capacite'!$F$7</f>
        <v>0</v>
      </c>
      <c r="I3575" s="135" t="n">
        <f aca="false">$G3575*'Analyse capacite'!$C$7</f>
        <v>0</v>
      </c>
      <c r="J3575" s="135" t="n">
        <f aca="false">$G3575*'Analyse capacite'!$D$7</f>
        <v>0</v>
      </c>
      <c r="K3575" s="135" t="n">
        <f aca="false">$G3575*'Analyse capacite'!$E$7</f>
        <v>0</v>
      </c>
    </row>
    <row r="3576" customFormat="false" ht="15" hidden="false" customHeight="false" outlineLevel="0" collapsed="false">
      <c r="B3576" s="130" t="n">
        <v>2027</v>
      </c>
      <c r="C3576" s="131" t="s">
        <v>249</v>
      </c>
      <c r="D3576" s="132" t="n">
        <v>46577</v>
      </c>
      <c r="E3576" s="131" t="s">
        <v>25</v>
      </c>
      <c r="F3576" s="133" t="s">
        <v>19</v>
      </c>
      <c r="G3576" s="134" t="n">
        <f aca="false">LEN('Saisie programme'!$H$137)+SUMIFS('Vols additionnels'!$E$7:$E$66,'Vols additionnels'!$C$7:$C$66,$E3576,'Vols additionnels'!$D$7:$D$66,$F3576,'Vols additionnels'!$B$7:$B$66,$D3576)</f>
        <v>0</v>
      </c>
      <c r="H3576" s="135" t="n">
        <f aca="false">$G3576*'Analyse capacite'!$F$8</f>
        <v>0</v>
      </c>
      <c r="I3576" s="135" t="n">
        <f aca="false">$G3576*'Analyse capacite'!$C$8</f>
        <v>0</v>
      </c>
      <c r="J3576" s="135" t="n">
        <f aca="false">$G3576*'Analyse capacite'!$D$8</f>
        <v>0</v>
      </c>
      <c r="K3576" s="135" t="n">
        <f aca="false">$G3576*'Analyse capacite'!$E$8</f>
        <v>0</v>
      </c>
    </row>
    <row r="3577" customFormat="false" ht="15" hidden="false" customHeight="false" outlineLevel="0" collapsed="false">
      <c r="B3577" s="130" t="n">
        <v>2027</v>
      </c>
      <c r="C3577" s="131" t="s">
        <v>249</v>
      </c>
      <c r="D3577" s="132" t="n">
        <v>46577</v>
      </c>
      <c r="E3577" s="131" t="s">
        <v>25</v>
      </c>
      <c r="F3577" s="133" t="s">
        <v>24</v>
      </c>
      <c r="G3577" s="134" t="n">
        <f aca="false">LEN('Saisie programme'!$H$138)+SUMIFS('Vols additionnels'!$E$7:$E$66,'Vols additionnels'!$C$7:$C$66,$E3577,'Vols additionnels'!$D$7:$D$66,$F3577,'Vols additionnels'!$B$7:$B$66,$D3577)</f>
        <v>0</v>
      </c>
      <c r="H3577" s="135" t="n">
        <f aca="false">$G3577*'Analyse capacite'!$F$9</f>
        <v>0</v>
      </c>
      <c r="I3577" s="135" t="n">
        <f aca="false">$G3577*'Analyse capacite'!$C$9</f>
        <v>0</v>
      </c>
      <c r="J3577" s="135" t="n">
        <f aca="false">$G3577*'Analyse capacite'!$D$9</f>
        <v>0</v>
      </c>
      <c r="K3577" s="135" t="n">
        <f aca="false">$G3577*'Analyse capacite'!$E$9</f>
        <v>0</v>
      </c>
    </row>
    <row r="3578" customFormat="false" ht="15" hidden="false" customHeight="false" outlineLevel="0" collapsed="false">
      <c r="B3578" s="130" t="n">
        <v>2027</v>
      </c>
      <c r="C3578" s="131" t="s">
        <v>249</v>
      </c>
      <c r="D3578" s="132" t="n">
        <v>46577</v>
      </c>
      <c r="E3578" s="131" t="s">
        <v>36</v>
      </c>
      <c r="F3578" s="133" t="s">
        <v>11</v>
      </c>
      <c r="G3578" s="134" t="n">
        <f aca="false">LEN('Saisie programme'!$H$139)+SUMIFS('Vols additionnels'!$E$7:$E$66,'Vols additionnels'!$C$7:$C$66,$E3578,'Vols additionnels'!$D$7:$D$66,$F3578,'Vols additionnels'!$B$7:$B$66,$D3578)</f>
        <v>0</v>
      </c>
      <c r="H3578" s="135" t="n">
        <f aca="false">$G3578*'Analyse capacite'!$F$7</f>
        <v>0</v>
      </c>
      <c r="I3578" s="135" t="n">
        <f aca="false">$G3578*'Analyse capacite'!$C$7</f>
        <v>0</v>
      </c>
      <c r="J3578" s="135" t="n">
        <f aca="false">$G3578*'Analyse capacite'!$D$7</f>
        <v>0</v>
      </c>
      <c r="K3578" s="135" t="n">
        <f aca="false">$G3578*'Analyse capacite'!$E$7</f>
        <v>0</v>
      </c>
    </row>
    <row r="3579" customFormat="false" ht="15" hidden="false" customHeight="false" outlineLevel="0" collapsed="false">
      <c r="B3579" s="130" t="n">
        <v>2027</v>
      </c>
      <c r="C3579" s="131" t="s">
        <v>249</v>
      </c>
      <c r="D3579" s="132" t="n">
        <v>46577</v>
      </c>
      <c r="E3579" s="131" t="s">
        <v>36</v>
      </c>
      <c r="F3579" s="133" t="s">
        <v>19</v>
      </c>
      <c r="G3579" s="134" t="n">
        <f aca="false">LEN('Saisie programme'!$H$140)+SUMIFS('Vols additionnels'!$E$7:$E$66,'Vols additionnels'!$C$7:$C$66,$E3579,'Vols additionnels'!$D$7:$D$66,$F3579,'Vols additionnels'!$B$7:$B$66,$D3579)</f>
        <v>0</v>
      </c>
      <c r="H3579" s="135" t="n">
        <f aca="false">$G3579*'Analyse capacite'!$F$8</f>
        <v>0</v>
      </c>
      <c r="I3579" s="135" t="n">
        <f aca="false">$G3579*'Analyse capacite'!$C$8</f>
        <v>0</v>
      </c>
      <c r="J3579" s="135" t="n">
        <f aca="false">$G3579*'Analyse capacite'!$D$8</f>
        <v>0</v>
      </c>
      <c r="K3579" s="135" t="n">
        <f aca="false">$G3579*'Analyse capacite'!$E$8</f>
        <v>0</v>
      </c>
    </row>
    <row r="3580" customFormat="false" ht="15" hidden="false" customHeight="false" outlineLevel="0" collapsed="false">
      <c r="B3580" s="130" t="n">
        <v>2027</v>
      </c>
      <c r="C3580" s="131" t="s">
        <v>249</v>
      </c>
      <c r="D3580" s="132" t="n">
        <v>46577</v>
      </c>
      <c r="E3580" s="131" t="s">
        <v>36</v>
      </c>
      <c r="F3580" s="133" t="s">
        <v>24</v>
      </c>
      <c r="G3580" s="134" t="n">
        <f aca="false">LEN('Saisie programme'!$H$141)+SUMIFS('Vols additionnels'!$E$7:$E$66,'Vols additionnels'!$C$7:$C$66,$E3580,'Vols additionnels'!$D$7:$D$66,$F3580,'Vols additionnels'!$B$7:$B$66,$D3580)</f>
        <v>1</v>
      </c>
      <c r="H3580" s="135" t="n">
        <f aca="false">$G3580*'Analyse capacite'!$F$9</f>
        <v>174</v>
      </c>
      <c r="I3580" s="135" t="n">
        <f aca="false">$G3580*'Analyse capacite'!$C$9</f>
        <v>0</v>
      </c>
      <c r="J3580" s="135" t="n">
        <f aca="false">$G3580*'Analyse capacite'!$D$9</f>
        <v>12</v>
      </c>
      <c r="K3580" s="135" t="n">
        <f aca="false">$G3580*'Analyse capacite'!$E$9</f>
        <v>162</v>
      </c>
    </row>
    <row r="3581" customFormat="false" ht="15" hidden="false" customHeight="false" outlineLevel="0" collapsed="false">
      <c r="B3581" s="130" t="n">
        <v>2027</v>
      </c>
      <c r="C3581" s="131" t="s">
        <v>249</v>
      </c>
      <c r="D3581" s="132" t="n">
        <v>46577</v>
      </c>
      <c r="E3581" s="131" t="s">
        <v>40</v>
      </c>
      <c r="F3581" s="133" t="s">
        <v>11</v>
      </c>
      <c r="G3581" s="134" t="n">
        <f aca="false">LEN('Saisie programme'!$H$142)+SUMIFS('Vols additionnels'!$E$7:$E$66,'Vols additionnels'!$C$7:$C$66,$E3581,'Vols additionnels'!$D$7:$D$66,$F3581,'Vols additionnels'!$B$7:$B$66,$D3581)</f>
        <v>0</v>
      </c>
      <c r="H3581" s="135" t="n">
        <f aca="false">$G3581*'Analyse capacite'!$F$7</f>
        <v>0</v>
      </c>
      <c r="I3581" s="135" t="n">
        <f aca="false">$G3581*'Analyse capacite'!$C$7</f>
        <v>0</v>
      </c>
      <c r="J3581" s="135" t="n">
        <f aca="false">$G3581*'Analyse capacite'!$D$7</f>
        <v>0</v>
      </c>
      <c r="K3581" s="135" t="n">
        <f aca="false">$G3581*'Analyse capacite'!$E$7</f>
        <v>0</v>
      </c>
    </row>
    <row r="3582" customFormat="false" ht="15" hidden="false" customHeight="false" outlineLevel="0" collapsed="false">
      <c r="B3582" s="130" t="n">
        <v>2027</v>
      </c>
      <c r="C3582" s="131" t="s">
        <v>249</v>
      </c>
      <c r="D3582" s="132" t="n">
        <v>46577</v>
      </c>
      <c r="E3582" s="131" t="s">
        <v>40</v>
      </c>
      <c r="F3582" s="133" t="s">
        <v>19</v>
      </c>
      <c r="G3582" s="134" t="n">
        <f aca="false">LEN('Saisie programme'!$H$143)+SUMIFS('Vols additionnels'!$E$7:$E$66,'Vols additionnels'!$C$7:$C$66,$E3582,'Vols additionnels'!$D$7:$D$66,$F3582,'Vols additionnels'!$B$7:$B$66,$D3582)</f>
        <v>0</v>
      </c>
      <c r="H3582" s="135" t="n">
        <f aca="false">$G3582*'Analyse capacite'!$F$8</f>
        <v>0</v>
      </c>
      <c r="I3582" s="135" t="n">
        <f aca="false">$G3582*'Analyse capacite'!$C$8</f>
        <v>0</v>
      </c>
      <c r="J3582" s="135" t="n">
        <f aca="false">$G3582*'Analyse capacite'!$D$8</f>
        <v>0</v>
      </c>
      <c r="K3582" s="135" t="n">
        <f aca="false">$G3582*'Analyse capacite'!$E$8</f>
        <v>0</v>
      </c>
    </row>
    <row r="3583" customFormat="false" ht="15" hidden="false" customHeight="false" outlineLevel="0" collapsed="false">
      <c r="B3583" s="130" t="n">
        <v>2027</v>
      </c>
      <c r="C3583" s="131" t="s">
        <v>249</v>
      </c>
      <c r="D3583" s="132" t="n">
        <v>46577</v>
      </c>
      <c r="E3583" s="131" t="s">
        <v>40</v>
      </c>
      <c r="F3583" s="133" t="s">
        <v>24</v>
      </c>
      <c r="G3583" s="134" t="n">
        <f aca="false">LEN('Saisie programme'!$H$144)+SUMIFS('Vols additionnels'!$E$7:$E$66,'Vols additionnels'!$C$7:$C$66,$E3583,'Vols additionnels'!$D$7:$D$66,$F3583,'Vols additionnels'!$B$7:$B$66,$D3583)</f>
        <v>1</v>
      </c>
      <c r="H3583" s="135" t="n">
        <f aca="false">$G3583*'Analyse capacite'!$F$9</f>
        <v>174</v>
      </c>
      <c r="I3583" s="135" t="n">
        <f aca="false">$G3583*'Analyse capacite'!$C$9</f>
        <v>0</v>
      </c>
      <c r="J3583" s="135" t="n">
        <f aca="false">$G3583*'Analyse capacite'!$D$9</f>
        <v>12</v>
      </c>
      <c r="K3583" s="135" t="n">
        <f aca="false">$G3583*'Analyse capacite'!$E$9</f>
        <v>162</v>
      </c>
    </row>
    <row r="3584" customFormat="false" ht="15" hidden="false" customHeight="false" outlineLevel="0" collapsed="false">
      <c r="B3584" s="130" t="n">
        <v>2027</v>
      </c>
      <c r="C3584" s="131" t="s">
        <v>249</v>
      </c>
      <c r="D3584" s="132" t="n">
        <v>46577</v>
      </c>
      <c r="E3584" s="131" t="s">
        <v>14</v>
      </c>
      <c r="F3584" s="133" t="s">
        <v>11</v>
      </c>
      <c r="G3584" s="134" t="n">
        <f aca="false">LEN('Saisie programme'!$H$145)+SUMIFS('Vols additionnels'!$E$7:$E$66,'Vols additionnels'!$C$7:$C$66,$E3584,'Vols additionnels'!$D$7:$D$66,$F3584,'Vols additionnels'!$B$7:$B$66,$D3584)</f>
        <v>0</v>
      </c>
      <c r="H3584" s="135" t="n">
        <f aca="false">$G3584*'Analyse capacite'!$F$7</f>
        <v>0</v>
      </c>
      <c r="I3584" s="135" t="n">
        <f aca="false">$G3584*'Analyse capacite'!$C$7</f>
        <v>0</v>
      </c>
      <c r="J3584" s="135" t="n">
        <f aca="false">$G3584*'Analyse capacite'!$D$7</f>
        <v>0</v>
      </c>
      <c r="K3584" s="135" t="n">
        <f aca="false">$G3584*'Analyse capacite'!$E$7</f>
        <v>0</v>
      </c>
    </row>
    <row r="3585" customFormat="false" ht="15" hidden="false" customHeight="false" outlineLevel="0" collapsed="false">
      <c r="B3585" s="130" t="n">
        <v>2027</v>
      </c>
      <c r="C3585" s="131" t="s">
        <v>249</v>
      </c>
      <c r="D3585" s="132" t="n">
        <v>46577</v>
      </c>
      <c r="E3585" s="131" t="s">
        <v>14</v>
      </c>
      <c r="F3585" s="133" t="s">
        <v>19</v>
      </c>
      <c r="G3585" s="134" t="n">
        <f aca="false">LEN('Saisie programme'!$H$146)+SUMIFS('Vols additionnels'!$E$7:$E$66,'Vols additionnels'!$C$7:$C$66,$E3585,'Vols additionnels'!$D$7:$D$66,$F3585,'Vols additionnels'!$B$7:$B$66,$D3585)</f>
        <v>0</v>
      </c>
      <c r="H3585" s="135" t="n">
        <f aca="false">$G3585*'Analyse capacite'!$F$8</f>
        <v>0</v>
      </c>
      <c r="I3585" s="135" t="n">
        <f aca="false">$G3585*'Analyse capacite'!$C$8</f>
        <v>0</v>
      </c>
      <c r="J3585" s="135" t="n">
        <f aca="false">$G3585*'Analyse capacite'!$D$8</f>
        <v>0</v>
      </c>
      <c r="K3585" s="135" t="n">
        <f aca="false">$G3585*'Analyse capacite'!$E$8</f>
        <v>0</v>
      </c>
    </row>
    <row r="3586" customFormat="false" ht="15" hidden="false" customHeight="false" outlineLevel="0" collapsed="false">
      <c r="B3586" s="130" t="n">
        <v>2027</v>
      </c>
      <c r="C3586" s="131" t="s">
        <v>249</v>
      </c>
      <c r="D3586" s="132" t="n">
        <v>46577</v>
      </c>
      <c r="E3586" s="131" t="s">
        <v>14</v>
      </c>
      <c r="F3586" s="133" t="s">
        <v>24</v>
      </c>
      <c r="G3586" s="134" t="n">
        <f aca="false">LEN('Saisie programme'!$H$147)+SUMIFS('Vols additionnels'!$E$7:$E$66,'Vols additionnels'!$C$7:$C$66,$E3586,'Vols additionnels'!$D$7:$D$66,$F3586,'Vols additionnels'!$B$7:$B$66,$D3586)</f>
        <v>0</v>
      </c>
      <c r="H3586" s="135" t="n">
        <f aca="false">$G3586*'Analyse capacite'!$F$9</f>
        <v>0</v>
      </c>
      <c r="I3586" s="135" t="n">
        <f aca="false">$G3586*'Analyse capacite'!$C$9</f>
        <v>0</v>
      </c>
      <c r="J3586" s="135" t="n">
        <f aca="false">$G3586*'Analyse capacite'!$D$9</f>
        <v>0</v>
      </c>
      <c r="K3586" s="135" t="n">
        <f aca="false">$G3586*'Analyse capacite'!$E$9</f>
        <v>0</v>
      </c>
    </row>
    <row r="3587" customFormat="false" ht="15" hidden="false" customHeight="false" outlineLevel="0" collapsed="false">
      <c r="B3587" s="130" t="n">
        <v>2027</v>
      </c>
      <c r="C3587" s="131" t="s">
        <v>249</v>
      </c>
      <c r="D3587" s="132" t="n">
        <v>46577</v>
      </c>
      <c r="E3587" s="131" t="s">
        <v>46</v>
      </c>
      <c r="F3587" s="133" t="s">
        <v>11</v>
      </c>
      <c r="G3587" s="134" t="n">
        <f aca="false">LEN('Saisie programme'!$H$148)+SUMIFS('Vols additionnels'!$E$7:$E$66,'Vols additionnels'!$C$7:$C$66,$E3587,'Vols additionnels'!$D$7:$D$66,$F3587,'Vols additionnels'!$B$7:$B$66,$D3587)</f>
        <v>0</v>
      </c>
      <c r="H3587" s="135" t="n">
        <f aca="false">$G3587*'Analyse capacite'!$F$7</f>
        <v>0</v>
      </c>
      <c r="I3587" s="135" t="n">
        <f aca="false">$G3587*'Analyse capacite'!$C$7</f>
        <v>0</v>
      </c>
      <c r="J3587" s="135" t="n">
        <f aca="false">$G3587*'Analyse capacite'!$D$7</f>
        <v>0</v>
      </c>
      <c r="K3587" s="135" t="n">
        <f aca="false">$G3587*'Analyse capacite'!$E$7</f>
        <v>0</v>
      </c>
    </row>
    <row r="3588" customFormat="false" ht="15" hidden="false" customHeight="false" outlineLevel="0" collapsed="false">
      <c r="B3588" s="130" t="n">
        <v>2027</v>
      </c>
      <c r="C3588" s="131" t="s">
        <v>249</v>
      </c>
      <c r="D3588" s="132" t="n">
        <v>46577</v>
      </c>
      <c r="E3588" s="131" t="s">
        <v>46</v>
      </c>
      <c r="F3588" s="133" t="s">
        <v>19</v>
      </c>
      <c r="G3588" s="134" t="n">
        <f aca="false">LEN('Saisie programme'!$H$149)+SUMIFS('Vols additionnels'!$E$7:$E$66,'Vols additionnels'!$C$7:$C$66,$E3588,'Vols additionnels'!$D$7:$D$66,$F3588,'Vols additionnels'!$B$7:$B$66,$D3588)</f>
        <v>0</v>
      </c>
      <c r="H3588" s="135" t="n">
        <f aca="false">$G3588*'Analyse capacite'!$F$8</f>
        <v>0</v>
      </c>
      <c r="I3588" s="135" t="n">
        <f aca="false">$G3588*'Analyse capacite'!$C$8</f>
        <v>0</v>
      </c>
      <c r="J3588" s="135" t="n">
        <f aca="false">$G3588*'Analyse capacite'!$D$8</f>
        <v>0</v>
      </c>
      <c r="K3588" s="135" t="n">
        <f aca="false">$G3588*'Analyse capacite'!$E$8</f>
        <v>0</v>
      </c>
    </row>
    <row r="3589" customFormat="false" ht="15" hidden="false" customHeight="false" outlineLevel="0" collapsed="false">
      <c r="B3589" s="130" t="n">
        <v>2027</v>
      </c>
      <c r="C3589" s="131" t="s">
        <v>249</v>
      </c>
      <c r="D3589" s="132" t="n">
        <v>46577</v>
      </c>
      <c r="E3589" s="131" t="s">
        <v>46</v>
      </c>
      <c r="F3589" s="133" t="s">
        <v>24</v>
      </c>
      <c r="G3589" s="134" t="n">
        <f aca="false">LEN('Saisie programme'!$H$150)+SUMIFS('Vols additionnels'!$E$7:$E$66,'Vols additionnels'!$C$7:$C$66,$E3589,'Vols additionnels'!$D$7:$D$66,$F3589,'Vols additionnels'!$B$7:$B$66,$D3589)</f>
        <v>0</v>
      </c>
      <c r="H3589" s="135" t="n">
        <f aca="false">$G3589*'Analyse capacite'!$F$9</f>
        <v>0</v>
      </c>
      <c r="I3589" s="135" t="n">
        <f aca="false">$G3589*'Analyse capacite'!$C$9</f>
        <v>0</v>
      </c>
      <c r="J3589" s="135" t="n">
        <f aca="false">$G3589*'Analyse capacite'!$D$9</f>
        <v>0</v>
      </c>
      <c r="K3589" s="135" t="n">
        <f aca="false">$G3589*'Analyse capacite'!$E$9</f>
        <v>0</v>
      </c>
    </row>
    <row r="3590" customFormat="false" ht="15" hidden="false" customHeight="false" outlineLevel="0" collapsed="false">
      <c r="B3590" s="130" t="n">
        <v>2027</v>
      </c>
      <c r="C3590" s="131" t="s">
        <v>249</v>
      </c>
      <c r="D3590" s="132" t="n">
        <v>46577</v>
      </c>
      <c r="E3590" s="131" t="s">
        <v>49</v>
      </c>
      <c r="F3590" s="133" t="s">
        <v>11</v>
      </c>
      <c r="G3590" s="134" t="n">
        <f aca="false">LEN('Saisie programme'!$H$151)+SUMIFS('Vols additionnels'!$E$7:$E$66,'Vols additionnels'!$C$7:$C$66,$E3590,'Vols additionnels'!$D$7:$D$66,$F3590,'Vols additionnels'!$B$7:$B$66,$D3590)</f>
        <v>0</v>
      </c>
      <c r="H3590" s="135" t="n">
        <f aca="false">$G3590*'Analyse capacite'!$F$7</f>
        <v>0</v>
      </c>
      <c r="I3590" s="135" t="n">
        <f aca="false">$G3590*'Analyse capacite'!$C$7</f>
        <v>0</v>
      </c>
      <c r="J3590" s="135" t="n">
        <f aca="false">$G3590*'Analyse capacite'!$D$7</f>
        <v>0</v>
      </c>
      <c r="K3590" s="135" t="n">
        <f aca="false">$G3590*'Analyse capacite'!$E$7</f>
        <v>0</v>
      </c>
    </row>
    <row r="3591" customFormat="false" ht="15" hidden="false" customHeight="false" outlineLevel="0" collapsed="false">
      <c r="B3591" s="130" t="n">
        <v>2027</v>
      </c>
      <c r="C3591" s="131" t="s">
        <v>249</v>
      </c>
      <c r="D3591" s="132" t="n">
        <v>46577</v>
      </c>
      <c r="E3591" s="131" t="s">
        <v>49</v>
      </c>
      <c r="F3591" s="133" t="s">
        <v>19</v>
      </c>
      <c r="G3591" s="134" t="n">
        <f aca="false">LEN('Saisie programme'!$H$152)+SUMIFS('Vols additionnels'!$E$7:$E$66,'Vols additionnels'!$C$7:$C$66,$E3591,'Vols additionnels'!$D$7:$D$66,$F3591,'Vols additionnels'!$B$7:$B$66,$D3591)</f>
        <v>1</v>
      </c>
      <c r="H3591" s="135" t="n">
        <f aca="false">$G3591*'Analyse capacite'!$F$8</f>
        <v>262</v>
      </c>
      <c r="I3591" s="135" t="n">
        <f aca="false">$G3591*'Analyse capacite'!$C$8</f>
        <v>18</v>
      </c>
      <c r="J3591" s="135" t="n">
        <f aca="false">$G3591*'Analyse capacite'!$D$8</f>
        <v>0</v>
      </c>
      <c r="K3591" s="135" t="n">
        <f aca="false">$G3591*'Analyse capacite'!$E$8</f>
        <v>244</v>
      </c>
    </row>
    <row r="3592" customFormat="false" ht="15" hidden="false" customHeight="false" outlineLevel="0" collapsed="false">
      <c r="B3592" s="130" t="n">
        <v>2027</v>
      </c>
      <c r="C3592" s="131" t="s">
        <v>249</v>
      </c>
      <c r="D3592" s="132" t="n">
        <v>46577</v>
      </c>
      <c r="E3592" s="131" t="s">
        <v>49</v>
      </c>
      <c r="F3592" s="133" t="s">
        <v>24</v>
      </c>
      <c r="G3592" s="134" t="n">
        <f aca="false">LEN('Saisie programme'!$H$153)+SUMIFS('Vols additionnels'!$E$7:$E$66,'Vols additionnels'!$C$7:$C$66,$E3592,'Vols additionnels'!$D$7:$D$66,$F3592,'Vols additionnels'!$B$7:$B$66,$D3592)</f>
        <v>0</v>
      </c>
      <c r="H3592" s="135" t="n">
        <f aca="false">$G3592*'Analyse capacite'!$F$9</f>
        <v>0</v>
      </c>
      <c r="I3592" s="135" t="n">
        <f aca="false">$G3592*'Analyse capacite'!$C$9</f>
        <v>0</v>
      </c>
      <c r="J3592" s="135" t="n">
        <f aca="false">$G3592*'Analyse capacite'!$D$9</f>
        <v>0</v>
      </c>
      <c r="K3592" s="135" t="n">
        <f aca="false">$G3592*'Analyse capacite'!$E$9</f>
        <v>0</v>
      </c>
    </row>
    <row r="3593" customFormat="false" ht="15" hidden="false" customHeight="false" outlineLevel="0" collapsed="false">
      <c r="B3593" s="130" t="n">
        <v>2027</v>
      </c>
      <c r="C3593" s="131" t="s">
        <v>249</v>
      </c>
      <c r="D3593" s="132" t="n">
        <v>46577</v>
      </c>
      <c r="E3593" s="131" t="s">
        <v>53</v>
      </c>
      <c r="F3593" s="133" t="s">
        <v>11</v>
      </c>
      <c r="G3593" s="134" t="n">
        <f aca="false">LEN('Saisie programme'!$H$154)+SUMIFS('Vols additionnels'!$E$7:$E$66,'Vols additionnels'!$C$7:$C$66,$E3593,'Vols additionnels'!$D$7:$D$66,$F3593,'Vols additionnels'!$B$7:$B$66,$D3593)</f>
        <v>0</v>
      </c>
      <c r="H3593" s="135" t="n">
        <f aca="false">$G3593*'Analyse capacite'!$F$7</f>
        <v>0</v>
      </c>
      <c r="I3593" s="135" t="n">
        <f aca="false">$G3593*'Analyse capacite'!$C$7</f>
        <v>0</v>
      </c>
      <c r="J3593" s="135" t="n">
        <f aca="false">$G3593*'Analyse capacite'!$D$7</f>
        <v>0</v>
      </c>
      <c r="K3593" s="135" t="n">
        <f aca="false">$G3593*'Analyse capacite'!$E$7</f>
        <v>0</v>
      </c>
    </row>
    <row r="3594" customFormat="false" ht="15" hidden="false" customHeight="false" outlineLevel="0" collapsed="false">
      <c r="B3594" s="130" t="n">
        <v>2027</v>
      </c>
      <c r="C3594" s="131" t="s">
        <v>249</v>
      </c>
      <c r="D3594" s="132" t="n">
        <v>46577</v>
      </c>
      <c r="E3594" s="131" t="s">
        <v>53</v>
      </c>
      <c r="F3594" s="133" t="s">
        <v>19</v>
      </c>
      <c r="G3594" s="134" t="n">
        <f aca="false">LEN('Saisie programme'!$H$155)+SUMIFS('Vols additionnels'!$E$7:$E$66,'Vols additionnels'!$C$7:$C$66,$E3594,'Vols additionnels'!$D$7:$D$66,$F3594,'Vols additionnels'!$B$7:$B$66,$D3594)</f>
        <v>0</v>
      </c>
      <c r="H3594" s="135" t="n">
        <f aca="false">$G3594*'Analyse capacite'!$F$8</f>
        <v>0</v>
      </c>
      <c r="I3594" s="135" t="n">
        <f aca="false">$G3594*'Analyse capacite'!$C$8</f>
        <v>0</v>
      </c>
      <c r="J3594" s="135" t="n">
        <f aca="false">$G3594*'Analyse capacite'!$D$8</f>
        <v>0</v>
      </c>
      <c r="K3594" s="135" t="n">
        <f aca="false">$G3594*'Analyse capacite'!$E$8</f>
        <v>0</v>
      </c>
    </row>
    <row r="3595" customFormat="false" ht="15" hidden="false" customHeight="false" outlineLevel="0" collapsed="false">
      <c r="B3595" s="130" t="n">
        <v>2027</v>
      </c>
      <c r="C3595" s="131" t="s">
        <v>249</v>
      </c>
      <c r="D3595" s="132" t="n">
        <v>46577</v>
      </c>
      <c r="E3595" s="131" t="s">
        <v>53</v>
      </c>
      <c r="F3595" s="133" t="s">
        <v>24</v>
      </c>
      <c r="G3595" s="134" t="n">
        <f aca="false">LEN('Saisie programme'!$H$156)+SUMIFS('Vols additionnels'!$E$7:$E$66,'Vols additionnels'!$C$7:$C$66,$E3595,'Vols additionnels'!$D$7:$D$66,$F3595,'Vols additionnels'!$B$7:$B$66,$D3595)</f>
        <v>0</v>
      </c>
      <c r="H3595" s="135" t="n">
        <f aca="false">$G3595*'Analyse capacite'!$F$9</f>
        <v>0</v>
      </c>
      <c r="I3595" s="135" t="n">
        <f aca="false">$G3595*'Analyse capacite'!$C$9</f>
        <v>0</v>
      </c>
      <c r="J3595" s="135" t="n">
        <f aca="false">$G3595*'Analyse capacite'!$D$9</f>
        <v>0</v>
      </c>
      <c r="K3595" s="135" t="n">
        <f aca="false">$G3595*'Analyse capacite'!$E$9</f>
        <v>0</v>
      </c>
    </row>
    <row r="3596" customFormat="false" ht="15" hidden="false" customHeight="false" outlineLevel="0" collapsed="false">
      <c r="B3596" s="130" t="n">
        <v>2027</v>
      </c>
      <c r="C3596" s="131" t="s">
        <v>249</v>
      </c>
      <c r="D3596" s="132" t="n">
        <v>46577</v>
      </c>
      <c r="E3596" s="131" t="s">
        <v>56</v>
      </c>
      <c r="F3596" s="133" t="s">
        <v>11</v>
      </c>
      <c r="G3596" s="134" t="n">
        <f aca="false">LEN('Saisie programme'!$H$157)+SUMIFS('Vols additionnels'!$E$7:$E$66,'Vols additionnels'!$C$7:$C$66,$E3596,'Vols additionnels'!$D$7:$D$66,$F3596,'Vols additionnels'!$B$7:$B$66,$D3596)</f>
        <v>0</v>
      </c>
      <c r="H3596" s="135" t="n">
        <f aca="false">$G3596*'Analyse capacite'!$F$7</f>
        <v>0</v>
      </c>
      <c r="I3596" s="135" t="n">
        <f aca="false">$G3596*'Analyse capacite'!$C$7</f>
        <v>0</v>
      </c>
      <c r="J3596" s="135" t="n">
        <f aca="false">$G3596*'Analyse capacite'!$D$7</f>
        <v>0</v>
      </c>
      <c r="K3596" s="135" t="n">
        <f aca="false">$G3596*'Analyse capacite'!$E$7</f>
        <v>0</v>
      </c>
    </row>
    <row r="3597" customFormat="false" ht="15" hidden="false" customHeight="false" outlineLevel="0" collapsed="false">
      <c r="B3597" s="130" t="n">
        <v>2027</v>
      </c>
      <c r="C3597" s="131" t="s">
        <v>249</v>
      </c>
      <c r="D3597" s="132" t="n">
        <v>46577</v>
      </c>
      <c r="E3597" s="131" t="s">
        <v>56</v>
      </c>
      <c r="F3597" s="133" t="s">
        <v>19</v>
      </c>
      <c r="G3597" s="134" t="n">
        <f aca="false">LEN('Saisie programme'!$H$158)+SUMIFS('Vols additionnels'!$E$7:$E$66,'Vols additionnels'!$C$7:$C$66,$E3597,'Vols additionnels'!$D$7:$D$66,$F3597,'Vols additionnels'!$B$7:$B$66,$D3597)</f>
        <v>0</v>
      </c>
      <c r="H3597" s="135" t="n">
        <f aca="false">$G3597*'Analyse capacite'!$F$8</f>
        <v>0</v>
      </c>
      <c r="I3597" s="135" t="n">
        <f aca="false">$G3597*'Analyse capacite'!$C$8</f>
        <v>0</v>
      </c>
      <c r="J3597" s="135" t="n">
        <f aca="false">$G3597*'Analyse capacite'!$D$8</f>
        <v>0</v>
      </c>
      <c r="K3597" s="135" t="n">
        <f aca="false">$G3597*'Analyse capacite'!$E$8</f>
        <v>0</v>
      </c>
    </row>
    <row r="3598" customFormat="false" ht="15" hidden="false" customHeight="false" outlineLevel="0" collapsed="false">
      <c r="B3598" s="130" t="n">
        <v>2027</v>
      </c>
      <c r="C3598" s="131" t="s">
        <v>249</v>
      </c>
      <c r="D3598" s="132" t="n">
        <v>46577</v>
      </c>
      <c r="E3598" s="131" t="s">
        <v>56</v>
      </c>
      <c r="F3598" s="133" t="s">
        <v>24</v>
      </c>
      <c r="G3598" s="134" t="n">
        <f aca="false">LEN('Saisie programme'!$H$159)+SUMIFS('Vols additionnels'!$E$7:$E$66,'Vols additionnels'!$C$7:$C$66,$E3598,'Vols additionnels'!$D$7:$D$66,$F3598,'Vols additionnels'!$B$7:$B$66,$D3598)</f>
        <v>0</v>
      </c>
      <c r="H3598" s="135" t="n">
        <f aca="false">$G3598*'Analyse capacite'!$F$9</f>
        <v>0</v>
      </c>
      <c r="I3598" s="135" t="n">
        <f aca="false">$G3598*'Analyse capacite'!$C$9</f>
        <v>0</v>
      </c>
      <c r="J3598" s="135" t="n">
        <f aca="false">$G3598*'Analyse capacite'!$D$9</f>
        <v>0</v>
      </c>
      <c r="K3598" s="135" t="n">
        <f aca="false">$G3598*'Analyse capacite'!$E$9</f>
        <v>0</v>
      </c>
    </row>
    <row r="3599" customFormat="false" ht="15" hidden="false" customHeight="false" outlineLevel="0" collapsed="false">
      <c r="B3599" s="130" t="n">
        <v>2027</v>
      </c>
      <c r="C3599" s="131" t="s">
        <v>249</v>
      </c>
      <c r="D3599" s="132" t="n">
        <v>46577</v>
      </c>
      <c r="E3599" s="131" t="s">
        <v>59</v>
      </c>
      <c r="F3599" s="133" t="s">
        <v>11</v>
      </c>
      <c r="G3599" s="134" t="n">
        <f aca="false">LEN('Saisie programme'!$H$160)+SUMIFS('Vols additionnels'!$E$7:$E$66,'Vols additionnels'!$C$7:$C$66,$E3599,'Vols additionnels'!$D$7:$D$66,$F3599,'Vols additionnels'!$B$7:$B$66,$D3599)</f>
        <v>0</v>
      </c>
      <c r="H3599" s="135" t="n">
        <f aca="false">$G3599*'Analyse capacite'!$F$7</f>
        <v>0</v>
      </c>
      <c r="I3599" s="135" t="n">
        <f aca="false">$G3599*'Analyse capacite'!$C$7</f>
        <v>0</v>
      </c>
      <c r="J3599" s="135" t="n">
        <f aca="false">$G3599*'Analyse capacite'!$D$7</f>
        <v>0</v>
      </c>
      <c r="K3599" s="135" t="n">
        <f aca="false">$G3599*'Analyse capacite'!$E$7</f>
        <v>0</v>
      </c>
    </row>
    <row r="3600" customFormat="false" ht="15" hidden="false" customHeight="false" outlineLevel="0" collapsed="false">
      <c r="B3600" s="130" t="n">
        <v>2027</v>
      </c>
      <c r="C3600" s="131" t="s">
        <v>249</v>
      </c>
      <c r="D3600" s="132" t="n">
        <v>46577</v>
      </c>
      <c r="E3600" s="131" t="s">
        <v>59</v>
      </c>
      <c r="F3600" s="133" t="s">
        <v>19</v>
      </c>
      <c r="G3600" s="134" t="n">
        <f aca="false">LEN('Saisie programme'!$H$161)+SUMIFS('Vols additionnels'!$E$7:$E$66,'Vols additionnels'!$C$7:$C$66,$E3600,'Vols additionnels'!$D$7:$D$66,$F3600,'Vols additionnels'!$B$7:$B$66,$D3600)</f>
        <v>0</v>
      </c>
      <c r="H3600" s="135" t="n">
        <f aca="false">$G3600*'Analyse capacite'!$F$8</f>
        <v>0</v>
      </c>
      <c r="I3600" s="135" t="n">
        <f aca="false">$G3600*'Analyse capacite'!$C$8</f>
        <v>0</v>
      </c>
      <c r="J3600" s="135" t="n">
        <f aca="false">$G3600*'Analyse capacite'!$D$8</f>
        <v>0</v>
      </c>
      <c r="K3600" s="135" t="n">
        <f aca="false">$G3600*'Analyse capacite'!$E$8</f>
        <v>0</v>
      </c>
    </row>
    <row r="3601" customFormat="false" ht="15" hidden="false" customHeight="false" outlineLevel="0" collapsed="false">
      <c r="B3601" s="130" t="n">
        <v>2027</v>
      </c>
      <c r="C3601" s="131" t="s">
        <v>249</v>
      </c>
      <c r="D3601" s="132" t="n">
        <v>46577</v>
      </c>
      <c r="E3601" s="131" t="s">
        <v>59</v>
      </c>
      <c r="F3601" s="133" t="s">
        <v>24</v>
      </c>
      <c r="G3601" s="134" t="n">
        <f aca="false">LEN('Saisie programme'!$H$162)+SUMIFS('Vols additionnels'!$E$7:$E$66,'Vols additionnels'!$C$7:$C$66,$E3601,'Vols additionnels'!$D$7:$D$66,$F3601,'Vols additionnels'!$B$7:$B$66,$D3601)</f>
        <v>1</v>
      </c>
      <c r="H3601" s="135" t="n">
        <f aca="false">$G3601*'Analyse capacite'!$F$9</f>
        <v>174</v>
      </c>
      <c r="I3601" s="135" t="n">
        <f aca="false">$G3601*'Analyse capacite'!$C$9</f>
        <v>0</v>
      </c>
      <c r="J3601" s="135" t="n">
        <f aca="false">$G3601*'Analyse capacite'!$D$9</f>
        <v>12</v>
      </c>
      <c r="K3601" s="135" t="n">
        <f aca="false">$G3601*'Analyse capacite'!$E$9</f>
        <v>162</v>
      </c>
    </row>
    <row r="3602" customFormat="false" ht="15" hidden="false" customHeight="false" outlineLevel="0" collapsed="false">
      <c r="B3602" s="130" t="n">
        <v>2027</v>
      </c>
      <c r="C3602" s="131" t="s">
        <v>249</v>
      </c>
      <c r="D3602" s="132" t="n">
        <v>46577</v>
      </c>
      <c r="E3602" s="131" t="s">
        <v>62</v>
      </c>
      <c r="F3602" s="133" t="s">
        <v>11</v>
      </c>
      <c r="G3602" s="134" t="n">
        <f aca="false">LEN('Saisie programme'!$H$163)+SUMIFS('Vols additionnels'!$E$7:$E$66,'Vols additionnels'!$C$7:$C$66,$E3602,'Vols additionnels'!$D$7:$D$66,$F3602,'Vols additionnels'!$B$7:$B$66,$D3602)</f>
        <v>0</v>
      </c>
      <c r="H3602" s="135" t="n">
        <f aca="false">$G3602*'Analyse capacite'!$F$7</f>
        <v>0</v>
      </c>
      <c r="I3602" s="135" t="n">
        <f aca="false">$G3602*'Analyse capacite'!$C$7</f>
        <v>0</v>
      </c>
      <c r="J3602" s="135" t="n">
        <f aca="false">$G3602*'Analyse capacite'!$D$7</f>
        <v>0</v>
      </c>
      <c r="K3602" s="135" t="n">
        <f aca="false">$G3602*'Analyse capacite'!$E$7</f>
        <v>0</v>
      </c>
    </row>
    <row r="3603" customFormat="false" ht="15" hidden="false" customHeight="false" outlineLevel="0" collapsed="false">
      <c r="B3603" s="130" t="n">
        <v>2027</v>
      </c>
      <c r="C3603" s="131" t="s">
        <v>249</v>
      </c>
      <c r="D3603" s="132" t="n">
        <v>46577</v>
      </c>
      <c r="E3603" s="131" t="s">
        <v>62</v>
      </c>
      <c r="F3603" s="133" t="s">
        <v>19</v>
      </c>
      <c r="G3603" s="134" t="n">
        <f aca="false">LEN('Saisie programme'!$H$164)+SUMIFS('Vols additionnels'!$E$7:$E$66,'Vols additionnels'!$C$7:$C$66,$E3603,'Vols additionnels'!$D$7:$D$66,$F3603,'Vols additionnels'!$B$7:$B$66,$D3603)</f>
        <v>0</v>
      </c>
      <c r="H3603" s="135" t="n">
        <f aca="false">$G3603*'Analyse capacite'!$F$8</f>
        <v>0</v>
      </c>
      <c r="I3603" s="135" t="n">
        <f aca="false">$G3603*'Analyse capacite'!$C$8</f>
        <v>0</v>
      </c>
      <c r="J3603" s="135" t="n">
        <f aca="false">$G3603*'Analyse capacite'!$D$8</f>
        <v>0</v>
      </c>
      <c r="K3603" s="135" t="n">
        <f aca="false">$G3603*'Analyse capacite'!$E$8</f>
        <v>0</v>
      </c>
    </row>
    <row r="3604" customFormat="false" ht="15" hidden="false" customHeight="false" outlineLevel="0" collapsed="false">
      <c r="B3604" s="130" t="n">
        <v>2027</v>
      </c>
      <c r="C3604" s="131" t="s">
        <v>249</v>
      </c>
      <c r="D3604" s="132" t="n">
        <v>46577</v>
      </c>
      <c r="E3604" s="131" t="s">
        <v>62</v>
      </c>
      <c r="F3604" s="133" t="s">
        <v>24</v>
      </c>
      <c r="G3604" s="134" t="n">
        <f aca="false">LEN('Saisie programme'!$H$165)+SUMIFS('Vols additionnels'!$E$7:$E$66,'Vols additionnels'!$C$7:$C$66,$E3604,'Vols additionnels'!$D$7:$D$66,$F3604,'Vols additionnels'!$B$7:$B$66,$D3604)</f>
        <v>0</v>
      </c>
      <c r="H3604" s="135" t="n">
        <f aca="false">$G3604*'Analyse capacite'!$F$9</f>
        <v>0</v>
      </c>
      <c r="I3604" s="135" t="n">
        <f aca="false">$G3604*'Analyse capacite'!$C$9</f>
        <v>0</v>
      </c>
      <c r="J3604" s="135" t="n">
        <f aca="false">$G3604*'Analyse capacite'!$D$9</f>
        <v>0</v>
      </c>
      <c r="K3604" s="135" t="n">
        <f aca="false">$G3604*'Analyse capacite'!$E$9</f>
        <v>0</v>
      </c>
    </row>
    <row r="3605" customFormat="false" ht="15" hidden="false" customHeight="false" outlineLevel="0" collapsed="false">
      <c r="B3605" s="130" t="n">
        <v>2027</v>
      </c>
      <c r="C3605" s="131" t="s">
        <v>249</v>
      </c>
      <c r="D3605" s="132" t="n">
        <v>46578</v>
      </c>
      <c r="E3605" s="131" t="s">
        <v>12</v>
      </c>
      <c r="F3605" s="133" t="s">
        <v>11</v>
      </c>
      <c r="G3605" s="134" t="n">
        <f aca="false">LEN('Saisie programme'!$I$130)+SUMIFS('Vols additionnels'!$E$7:$E$66,'Vols additionnels'!$C$7:$C$66,$E3605,'Vols additionnels'!$D$7:$D$66,$F3605,'Vols additionnels'!$B$7:$B$66,$D3605)</f>
        <v>1</v>
      </c>
      <c r="H3605" s="135" t="n">
        <f aca="false">$G3605*'Analyse capacite'!$F$7</f>
        <v>438</v>
      </c>
      <c r="I3605" s="135" t="n">
        <f aca="false">$G3605*'Analyse capacite'!$C$7</f>
        <v>14</v>
      </c>
      <c r="J3605" s="135" t="n">
        <f aca="false">$G3605*'Analyse capacite'!$D$7</f>
        <v>40</v>
      </c>
      <c r="K3605" s="135" t="n">
        <f aca="false">$G3605*'Analyse capacite'!$E$7</f>
        <v>384</v>
      </c>
    </row>
    <row r="3606" customFormat="false" ht="15" hidden="false" customHeight="false" outlineLevel="0" collapsed="false">
      <c r="B3606" s="130" t="n">
        <v>2027</v>
      </c>
      <c r="C3606" s="131" t="s">
        <v>249</v>
      </c>
      <c r="D3606" s="132" t="n">
        <v>46578</v>
      </c>
      <c r="E3606" s="131" t="s">
        <v>12</v>
      </c>
      <c r="F3606" s="133" t="s">
        <v>19</v>
      </c>
      <c r="G3606" s="134" t="n">
        <f aca="false">LEN('Saisie programme'!$I$131)+SUMIFS('Vols additionnels'!$E$7:$E$66,'Vols additionnels'!$C$7:$C$66,$E3606,'Vols additionnels'!$D$7:$D$66,$F3606,'Vols additionnels'!$B$7:$B$66,$D3606)</f>
        <v>0</v>
      </c>
      <c r="H3606" s="135" t="n">
        <f aca="false">$G3606*'Analyse capacite'!$F$8</f>
        <v>0</v>
      </c>
      <c r="I3606" s="135" t="n">
        <f aca="false">$G3606*'Analyse capacite'!$C$8</f>
        <v>0</v>
      </c>
      <c r="J3606" s="135" t="n">
        <f aca="false">$G3606*'Analyse capacite'!$D$8</f>
        <v>0</v>
      </c>
      <c r="K3606" s="135" t="n">
        <f aca="false">$G3606*'Analyse capacite'!$E$8</f>
        <v>0</v>
      </c>
    </row>
    <row r="3607" customFormat="false" ht="15" hidden="false" customHeight="false" outlineLevel="0" collapsed="false">
      <c r="B3607" s="130" t="n">
        <v>2027</v>
      </c>
      <c r="C3607" s="131" t="s">
        <v>249</v>
      </c>
      <c r="D3607" s="132" t="n">
        <v>46578</v>
      </c>
      <c r="E3607" s="131" t="s">
        <v>12</v>
      </c>
      <c r="F3607" s="133" t="s">
        <v>24</v>
      </c>
      <c r="G3607" s="134" t="n">
        <f aca="false">LEN('Saisie programme'!$I$132)+SUMIFS('Vols additionnels'!$E$7:$E$66,'Vols additionnels'!$C$7:$C$66,$E3607,'Vols additionnels'!$D$7:$D$66,$F3607,'Vols additionnels'!$B$7:$B$66,$D3607)</f>
        <v>0</v>
      </c>
      <c r="H3607" s="135" t="n">
        <f aca="false">$G3607*'Analyse capacite'!$F$9</f>
        <v>0</v>
      </c>
      <c r="I3607" s="135" t="n">
        <f aca="false">$G3607*'Analyse capacite'!$C$9</f>
        <v>0</v>
      </c>
      <c r="J3607" s="135" t="n">
        <f aca="false">$G3607*'Analyse capacite'!$D$9</f>
        <v>0</v>
      </c>
      <c r="K3607" s="135" t="n">
        <f aca="false">$G3607*'Analyse capacite'!$E$9</f>
        <v>0</v>
      </c>
    </row>
    <row r="3608" customFormat="false" ht="15" hidden="false" customHeight="false" outlineLevel="0" collapsed="false">
      <c r="B3608" s="130" t="n">
        <v>2027</v>
      </c>
      <c r="C3608" s="131" t="s">
        <v>249</v>
      </c>
      <c r="D3608" s="132" t="n">
        <v>46578</v>
      </c>
      <c r="E3608" s="131" t="s">
        <v>20</v>
      </c>
      <c r="F3608" s="133" t="s">
        <v>11</v>
      </c>
      <c r="G3608" s="134" t="n">
        <f aca="false">LEN('Saisie programme'!$I$133)+SUMIFS('Vols additionnels'!$E$7:$E$66,'Vols additionnels'!$C$7:$C$66,$E3608,'Vols additionnels'!$D$7:$D$66,$F3608,'Vols additionnels'!$B$7:$B$66,$D3608)</f>
        <v>0</v>
      </c>
      <c r="H3608" s="135" t="n">
        <f aca="false">$G3608*'Analyse capacite'!$F$7</f>
        <v>0</v>
      </c>
      <c r="I3608" s="135" t="n">
        <f aca="false">$G3608*'Analyse capacite'!$C$7</f>
        <v>0</v>
      </c>
      <c r="J3608" s="135" t="n">
        <f aca="false">$G3608*'Analyse capacite'!$D$7</f>
        <v>0</v>
      </c>
      <c r="K3608" s="135" t="n">
        <f aca="false">$G3608*'Analyse capacite'!$E$7</f>
        <v>0</v>
      </c>
    </row>
    <row r="3609" customFormat="false" ht="15" hidden="false" customHeight="false" outlineLevel="0" collapsed="false">
      <c r="B3609" s="130" t="n">
        <v>2027</v>
      </c>
      <c r="C3609" s="131" t="s">
        <v>249</v>
      </c>
      <c r="D3609" s="132" t="n">
        <v>46578</v>
      </c>
      <c r="E3609" s="131" t="s">
        <v>20</v>
      </c>
      <c r="F3609" s="133" t="s">
        <v>19</v>
      </c>
      <c r="G3609" s="134" t="n">
        <f aca="false">LEN('Saisie programme'!$I$134)+SUMIFS('Vols additionnels'!$E$7:$E$66,'Vols additionnels'!$C$7:$C$66,$E3609,'Vols additionnels'!$D$7:$D$66,$F3609,'Vols additionnels'!$B$7:$B$66,$D3609)</f>
        <v>0</v>
      </c>
      <c r="H3609" s="135" t="n">
        <f aca="false">$G3609*'Analyse capacite'!$F$8</f>
        <v>0</v>
      </c>
      <c r="I3609" s="135" t="n">
        <f aca="false">$G3609*'Analyse capacite'!$C$8</f>
        <v>0</v>
      </c>
      <c r="J3609" s="135" t="n">
        <f aca="false">$G3609*'Analyse capacite'!$D$8</f>
        <v>0</v>
      </c>
      <c r="K3609" s="135" t="n">
        <f aca="false">$G3609*'Analyse capacite'!$E$8</f>
        <v>0</v>
      </c>
    </row>
    <row r="3610" customFormat="false" ht="15" hidden="false" customHeight="false" outlineLevel="0" collapsed="false">
      <c r="B3610" s="130" t="n">
        <v>2027</v>
      </c>
      <c r="C3610" s="131" t="s">
        <v>249</v>
      </c>
      <c r="D3610" s="132" t="n">
        <v>46578</v>
      </c>
      <c r="E3610" s="131" t="s">
        <v>20</v>
      </c>
      <c r="F3610" s="133" t="s">
        <v>24</v>
      </c>
      <c r="G3610" s="134" t="n">
        <f aca="false">LEN('Saisie programme'!$I$135)+SUMIFS('Vols additionnels'!$E$7:$E$66,'Vols additionnels'!$C$7:$C$66,$E3610,'Vols additionnels'!$D$7:$D$66,$F3610,'Vols additionnels'!$B$7:$B$66,$D3610)</f>
        <v>0</v>
      </c>
      <c r="H3610" s="135" t="n">
        <f aca="false">$G3610*'Analyse capacite'!$F$9</f>
        <v>0</v>
      </c>
      <c r="I3610" s="135" t="n">
        <f aca="false">$G3610*'Analyse capacite'!$C$9</f>
        <v>0</v>
      </c>
      <c r="J3610" s="135" t="n">
        <f aca="false">$G3610*'Analyse capacite'!$D$9</f>
        <v>0</v>
      </c>
      <c r="K3610" s="135" t="n">
        <f aca="false">$G3610*'Analyse capacite'!$E$9</f>
        <v>0</v>
      </c>
    </row>
    <row r="3611" customFormat="false" ht="15" hidden="false" customHeight="false" outlineLevel="0" collapsed="false">
      <c r="B3611" s="130" t="n">
        <v>2027</v>
      </c>
      <c r="C3611" s="131" t="s">
        <v>249</v>
      </c>
      <c r="D3611" s="132" t="n">
        <v>46578</v>
      </c>
      <c r="E3611" s="131" t="s">
        <v>25</v>
      </c>
      <c r="F3611" s="133" t="s">
        <v>11</v>
      </c>
      <c r="G3611" s="134" t="n">
        <f aca="false">LEN('Saisie programme'!$I$136)+SUMIFS('Vols additionnels'!$E$7:$E$66,'Vols additionnels'!$C$7:$C$66,$E3611,'Vols additionnels'!$D$7:$D$66,$F3611,'Vols additionnels'!$B$7:$B$66,$D3611)</f>
        <v>0</v>
      </c>
      <c r="H3611" s="135" t="n">
        <f aca="false">$G3611*'Analyse capacite'!$F$7</f>
        <v>0</v>
      </c>
      <c r="I3611" s="135" t="n">
        <f aca="false">$G3611*'Analyse capacite'!$C$7</f>
        <v>0</v>
      </c>
      <c r="J3611" s="135" t="n">
        <f aca="false">$G3611*'Analyse capacite'!$D$7</f>
        <v>0</v>
      </c>
      <c r="K3611" s="135" t="n">
        <f aca="false">$G3611*'Analyse capacite'!$E$7</f>
        <v>0</v>
      </c>
    </row>
    <row r="3612" customFormat="false" ht="15" hidden="false" customHeight="false" outlineLevel="0" collapsed="false">
      <c r="B3612" s="130" t="n">
        <v>2027</v>
      </c>
      <c r="C3612" s="131" t="s">
        <v>249</v>
      </c>
      <c r="D3612" s="132" t="n">
        <v>46578</v>
      </c>
      <c r="E3612" s="131" t="s">
        <v>25</v>
      </c>
      <c r="F3612" s="133" t="s">
        <v>19</v>
      </c>
      <c r="G3612" s="134" t="n">
        <f aca="false">LEN('Saisie programme'!$I$137)+SUMIFS('Vols additionnels'!$E$7:$E$66,'Vols additionnels'!$C$7:$C$66,$E3612,'Vols additionnels'!$D$7:$D$66,$F3612,'Vols additionnels'!$B$7:$B$66,$D3612)</f>
        <v>1</v>
      </c>
      <c r="H3612" s="135" t="n">
        <f aca="false">$G3612*'Analyse capacite'!$F$8</f>
        <v>262</v>
      </c>
      <c r="I3612" s="135" t="n">
        <f aca="false">$G3612*'Analyse capacite'!$C$8</f>
        <v>18</v>
      </c>
      <c r="J3612" s="135" t="n">
        <f aca="false">$G3612*'Analyse capacite'!$D$8</f>
        <v>0</v>
      </c>
      <c r="K3612" s="135" t="n">
        <f aca="false">$G3612*'Analyse capacite'!$E$8</f>
        <v>244</v>
      </c>
    </row>
    <row r="3613" customFormat="false" ht="15" hidden="false" customHeight="false" outlineLevel="0" collapsed="false">
      <c r="B3613" s="130" t="n">
        <v>2027</v>
      </c>
      <c r="C3613" s="131" t="s">
        <v>249</v>
      </c>
      <c r="D3613" s="132" t="n">
        <v>46578</v>
      </c>
      <c r="E3613" s="131" t="s">
        <v>25</v>
      </c>
      <c r="F3613" s="133" t="s">
        <v>24</v>
      </c>
      <c r="G3613" s="134" t="n">
        <f aca="false">LEN('Saisie programme'!$I$138)+SUMIFS('Vols additionnels'!$E$7:$E$66,'Vols additionnels'!$C$7:$C$66,$E3613,'Vols additionnels'!$D$7:$D$66,$F3613,'Vols additionnels'!$B$7:$B$66,$D3613)</f>
        <v>0</v>
      </c>
      <c r="H3613" s="135" t="n">
        <f aca="false">$G3613*'Analyse capacite'!$F$9</f>
        <v>0</v>
      </c>
      <c r="I3613" s="135" t="n">
        <f aca="false">$G3613*'Analyse capacite'!$C$9</f>
        <v>0</v>
      </c>
      <c r="J3613" s="135" t="n">
        <f aca="false">$G3613*'Analyse capacite'!$D$9</f>
        <v>0</v>
      </c>
      <c r="K3613" s="135" t="n">
        <f aca="false">$G3613*'Analyse capacite'!$E$9</f>
        <v>0</v>
      </c>
    </row>
    <row r="3614" customFormat="false" ht="15" hidden="false" customHeight="false" outlineLevel="0" collapsed="false">
      <c r="B3614" s="130" t="n">
        <v>2027</v>
      </c>
      <c r="C3614" s="131" t="s">
        <v>249</v>
      </c>
      <c r="D3614" s="132" t="n">
        <v>46578</v>
      </c>
      <c r="E3614" s="131" t="s">
        <v>36</v>
      </c>
      <c r="F3614" s="133" t="s">
        <v>11</v>
      </c>
      <c r="G3614" s="134" t="n">
        <f aca="false">LEN('Saisie programme'!$I$139)+SUMIFS('Vols additionnels'!$E$7:$E$66,'Vols additionnels'!$C$7:$C$66,$E3614,'Vols additionnels'!$D$7:$D$66,$F3614,'Vols additionnels'!$B$7:$B$66,$D3614)</f>
        <v>0</v>
      </c>
      <c r="H3614" s="135" t="n">
        <f aca="false">$G3614*'Analyse capacite'!$F$7</f>
        <v>0</v>
      </c>
      <c r="I3614" s="135" t="n">
        <f aca="false">$G3614*'Analyse capacite'!$C$7</f>
        <v>0</v>
      </c>
      <c r="J3614" s="135" t="n">
        <f aca="false">$G3614*'Analyse capacite'!$D$7</f>
        <v>0</v>
      </c>
      <c r="K3614" s="135" t="n">
        <f aca="false">$G3614*'Analyse capacite'!$E$7</f>
        <v>0</v>
      </c>
    </row>
    <row r="3615" customFormat="false" ht="15" hidden="false" customHeight="false" outlineLevel="0" collapsed="false">
      <c r="B3615" s="130" t="n">
        <v>2027</v>
      </c>
      <c r="C3615" s="131" t="s">
        <v>249</v>
      </c>
      <c r="D3615" s="132" t="n">
        <v>46578</v>
      </c>
      <c r="E3615" s="131" t="s">
        <v>36</v>
      </c>
      <c r="F3615" s="133" t="s">
        <v>19</v>
      </c>
      <c r="G3615" s="134" t="n">
        <f aca="false">LEN('Saisie programme'!$I$140)+SUMIFS('Vols additionnels'!$E$7:$E$66,'Vols additionnels'!$C$7:$C$66,$E3615,'Vols additionnels'!$D$7:$D$66,$F3615,'Vols additionnels'!$B$7:$B$66,$D3615)</f>
        <v>0</v>
      </c>
      <c r="H3615" s="135" t="n">
        <f aca="false">$G3615*'Analyse capacite'!$F$8</f>
        <v>0</v>
      </c>
      <c r="I3615" s="135" t="n">
        <f aca="false">$G3615*'Analyse capacite'!$C$8</f>
        <v>0</v>
      </c>
      <c r="J3615" s="135" t="n">
        <f aca="false">$G3615*'Analyse capacite'!$D$8</f>
        <v>0</v>
      </c>
      <c r="K3615" s="135" t="n">
        <f aca="false">$G3615*'Analyse capacite'!$E$8</f>
        <v>0</v>
      </c>
    </row>
    <row r="3616" customFormat="false" ht="15" hidden="false" customHeight="false" outlineLevel="0" collapsed="false">
      <c r="B3616" s="130" t="n">
        <v>2027</v>
      </c>
      <c r="C3616" s="131" t="s">
        <v>249</v>
      </c>
      <c r="D3616" s="132" t="n">
        <v>46578</v>
      </c>
      <c r="E3616" s="131" t="s">
        <v>36</v>
      </c>
      <c r="F3616" s="133" t="s">
        <v>24</v>
      </c>
      <c r="G3616" s="134" t="n">
        <f aca="false">LEN('Saisie programme'!$I$141)+SUMIFS('Vols additionnels'!$E$7:$E$66,'Vols additionnels'!$C$7:$C$66,$E3616,'Vols additionnels'!$D$7:$D$66,$F3616,'Vols additionnels'!$B$7:$B$66,$D3616)</f>
        <v>0</v>
      </c>
      <c r="H3616" s="135" t="n">
        <f aca="false">$G3616*'Analyse capacite'!$F$9</f>
        <v>0</v>
      </c>
      <c r="I3616" s="135" t="n">
        <f aca="false">$G3616*'Analyse capacite'!$C$9</f>
        <v>0</v>
      </c>
      <c r="J3616" s="135" t="n">
        <f aca="false">$G3616*'Analyse capacite'!$D$9</f>
        <v>0</v>
      </c>
      <c r="K3616" s="135" t="n">
        <f aca="false">$G3616*'Analyse capacite'!$E$9</f>
        <v>0</v>
      </c>
    </row>
    <row r="3617" customFormat="false" ht="15" hidden="false" customHeight="false" outlineLevel="0" collapsed="false">
      <c r="B3617" s="130" t="n">
        <v>2027</v>
      </c>
      <c r="C3617" s="131" t="s">
        <v>249</v>
      </c>
      <c r="D3617" s="132" t="n">
        <v>46578</v>
      </c>
      <c r="E3617" s="131" t="s">
        <v>40</v>
      </c>
      <c r="F3617" s="133" t="s">
        <v>11</v>
      </c>
      <c r="G3617" s="134" t="n">
        <f aca="false">LEN('Saisie programme'!$I$142)+SUMIFS('Vols additionnels'!$E$7:$E$66,'Vols additionnels'!$C$7:$C$66,$E3617,'Vols additionnels'!$D$7:$D$66,$F3617,'Vols additionnels'!$B$7:$B$66,$D3617)</f>
        <v>0</v>
      </c>
      <c r="H3617" s="135" t="n">
        <f aca="false">$G3617*'Analyse capacite'!$F$7</f>
        <v>0</v>
      </c>
      <c r="I3617" s="135" t="n">
        <f aca="false">$G3617*'Analyse capacite'!$C$7</f>
        <v>0</v>
      </c>
      <c r="J3617" s="135" t="n">
        <f aca="false">$G3617*'Analyse capacite'!$D$7</f>
        <v>0</v>
      </c>
      <c r="K3617" s="135" t="n">
        <f aca="false">$G3617*'Analyse capacite'!$E$7</f>
        <v>0</v>
      </c>
    </row>
    <row r="3618" customFormat="false" ht="15" hidden="false" customHeight="false" outlineLevel="0" collapsed="false">
      <c r="B3618" s="130" t="n">
        <v>2027</v>
      </c>
      <c r="C3618" s="131" t="s">
        <v>249</v>
      </c>
      <c r="D3618" s="132" t="n">
        <v>46578</v>
      </c>
      <c r="E3618" s="131" t="s">
        <v>40</v>
      </c>
      <c r="F3618" s="133" t="s">
        <v>19</v>
      </c>
      <c r="G3618" s="134" t="n">
        <f aca="false">LEN('Saisie programme'!$I$143)+SUMIFS('Vols additionnels'!$E$7:$E$66,'Vols additionnels'!$C$7:$C$66,$E3618,'Vols additionnels'!$D$7:$D$66,$F3618,'Vols additionnels'!$B$7:$B$66,$D3618)</f>
        <v>0</v>
      </c>
      <c r="H3618" s="135" t="n">
        <f aca="false">$G3618*'Analyse capacite'!$F$8</f>
        <v>0</v>
      </c>
      <c r="I3618" s="135" t="n">
        <f aca="false">$G3618*'Analyse capacite'!$C$8</f>
        <v>0</v>
      </c>
      <c r="J3618" s="135" t="n">
        <f aca="false">$G3618*'Analyse capacite'!$D$8</f>
        <v>0</v>
      </c>
      <c r="K3618" s="135" t="n">
        <f aca="false">$G3618*'Analyse capacite'!$E$8</f>
        <v>0</v>
      </c>
    </row>
    <row r="3619" customFormat="false" ht="15" hidden="false" customHeight="false" outlineLevel="0" collapsed="false">
      <c r="B3619" s="130" t="n">
        <v>2027</v>
      </c>
      <c r="C3619" s="131" t="s">
        <v>249</v>
      </c>
      <c r="D3619" s="132" t="n">
        <v>46578</v>
      </c>
      <c r="E3619" s="131" t="s">
        <v>40</v>
      </c>
      <c r="F3619" s="133" t="s">
        <v>24</v>
      </c>
      <c r="G3619" s="134" t="n">
        <f aca="false">LEN('Saisie programme'!$I$144)+SUMIFS('Vols additionnels'!$E$7:$E$66,'Vols additionnels'!$C$7:$C$66,$E3619,'Vols additionnels'!$D$7:$D$66,$F3619,'Vols additionnels'!$B$7:$B$66,$D3619)</f>
        <v>0</v>
      </c>
      <c r="H3619" s="135" t="n">
        <f aca="false">$G3619*'Analyse capacite'!$F$9</f>
        <v>0</v>
      </c>
      <c r="I3619" s="135" t="n">
        <f aca="false">$G3619*'Analyse capacite'!$C$9</f>
        <v>0</v>
      </c>
      <c r="J3619" s="135" t="n">
        <f aca="false">$G3619*'Analyse capacite'!$D$9</f>
        <v>0</v>
      </c>
      <c r="K3619" s="135" t="n">
        <f aca="false">$G3619*'Analyse capacite'!$E$9</f>
        <v>0</v>
      </c>
    </row>
    <row r="3620" customFormat="false" ht="15" hidden="false" customHeight="false" outlineLevel="0" collapsed="false">
      <c r="B3620" s="130" t="n">
        <v>2027</v>
      </c>
      <c r="C3620" s="131" t="s">
        <v>249</v>
      </c>
      <c r="D3620" s="132" t="n">
        <v>46578</v>
      </c>
      <c r="E3620" s="131" t="s">
        <v>14</v>
      </c>
      <c r="F3620" s="133" t="s">
        <v>11</v>
      </c>
      <c r="G3620" s="134" t="n">
        <f aca="false">LEN('Saisie programme'!$I$145)+SUMIFS('Vols additionnels'!$E$7:$E$66,'Vols additionnels'!$C$7:$C$66,$E3620,'Vols additionnels'!$D$7:$D$66,$F3620,'Vols additionnels'!$B$7:$B$66,$D3620)</f>
        <v>0</v>
      </c>
      <c r="H3620" s="135" t="n">
        <f aca="false">$G3620*'Analyse capacite'!$F$7</f>
        <v>0</v>
      </c>
      <c r="I3620" s="135" t="n">
        <f aca="false">$G3620*'Analyse capacite'!$C$7</f>
        <v>0</v>
      </c>
      <c r="J3620" s="135" t="n">
        <f aca="false">$G3620*'Analyse capacite'!$D$7</f>
        <v>0</v>
      </c>
      <c r="K3620" s="135" t="n">
        <f aca="false">$G3620*'Analyse capacite'!$E$7</f>
        <v>0</v>
      </c>
    </row>
    <row r="3621" customFormat="false" ht="15" hidden="false" customHeight="false" outlineLevel="0" collapsed="false">
      <c r="B3621" s="130" t="n">
        <v>2027</v>
      </c>
      <c r="C3621" s="131" t="s">
        <v>249</v>
      </c>
      <c r="D3621" s="132" t="n">
        <v>46578</v>
      </c>
      <c r="E3621" s="131" t="s">
        <v>14</v>
      </c>
      <c r="F3621" s="133" t="s">
        <v>19</v>
      </c>
      <c r="G3621" s="134" t="n">
        <f aca="false">LEN('Saisie programme'!$I$146)+SUMIFS('Vols additionnels'!$E$7:$E$66,'Vols additionnels'!$C$7:$C$66,$E3621,'Vols additionnels'!$D$7:$D$66,$F3621,'Vols additionnels'!$B$7:$B$66,$D3621)</f>
        <v>0</v>
      </c>
      <c r="H3621" s="135" t="n">
        <f aca="false">$G3621*'Analyse capacite'!$F$8</f>
        <v>0</v>
      </c>
      <c r="I3621" s="135" t="n">
        <f aca="false">$G3621*'Analyse capacite'!$C$8</f>
        <v>0</v>
      </c>
      <c r="J3621" s="135" t="n">
        <f aca="false">$G3621*'Analyse capacite'!$D$8</f>
        <v>0</v>
      </c>
      <c r="K3621" s="135" t="n">
        <f aca="false">$G3621*'Analyse capacite'!$E$8</f>
        <v>0</v>
      </c>
    </row>
    <row r="3622" customFormat="false" ht="15" hidden="false" customHeight="false" outlineLevel="0" collapsed="false">
      <c r="B3622" s="130" t="n">
        <v>2027</v>
      </c>
      <c r="C3622" s="131" t="s">
        <v>249</v>
      </c>
      <c r="D3622" s="132" t="n">
        <v>46578</v>
      </c>
      <c r="E3622" s="131" t="s">
        <v>14</v>
      </c>
      <c r="F3622" s="133" t="s">
        <v>24</v>
      </c>
      <c r="G3622" s="134" t="n">
        <f aca="false">LEN('Saisie programme'!$I$147)+SUMIFS('Vols additionnels'!$E$7:$E$66,'Vols additionnels'!$C$7:$C$66,$E3622,'Vols additionnels'!$D$7:$D$66,$F3622,'Vols additionnels'!$B$7:$B$66,$D3622)</f>
        <v>1</v>
      </c>
      <c r="H3622" s="135" t="n">
        <f aca="false">$G3622*'Analyse capacite'!$F$9</f>
        <v>174</v>
      </c>
      <c r="I3622" s="135" t="n">
        <f aca="false">$G3622*'Analyse capacite'!$C$9</f>
        <v>0</v>
      </c>
      <c r="J3622" s="135" t="n">
        <f aca="false">$G3622*'Analyse capacite'!$D$9</f>
        <v>12</v>
      </c>
      <c r="K3622" s="135" t="n">
        <f aca="false">$G3622*'Analyse capacite'!$E$9</f>
        <v>162</v>
      </c>
    </row>
    <row r="3623" customFormat="false" ht="15" hidden="false" customHeight="false" outlineLevel="0" collapsed="false">
      <c r="B3623" s="130" t="n">
        <v>2027</v>
      </c>
      <c r="C3623" s="131" t="s">
        <v>249</v>
      </c>
      <c r="D3623" s="132" t="n">
        <v>46578</v>
      </c>
      <c r="E3623" s="131" t="s">
        <v>46</v>
      </c>
      <c r="F3623" s="133" t="s">
        <v>11</v>
      </c>
      <c r="G3623" s="134" t="n">
        <f aca="false">LEN('Saisie programme'!$I$148)+SUMIFS('Vols additionnels'!$E$7:$E$66,'Vols additionnels'!$C$7:$C$66,$E3623,'Vols additionnels'!$D$7:$D$66,$F3623,'Vols additionnels'!$B$7:$B$66,$D3623)</f>
        <v>0</v>
      </c>
      <c r="H3623" s="135" t="n">
        <f aca="false">$G3623*'Analyse capacite'!$F$7</f>
        <v>0</v>
      </c>
      <c r="I3623" s="135" t="n">
        <f aca="false">$G3623*'Analyse capacite'!$C$7</f>
        <v>0</v>
      </c>
      <c r="J3623" s="135" t="n">
        <f aca="false">$G3623*'Analyse capacite'!$D$7</f>
        <v>0</v>
      </c>
      <c r="K3623" s="135" t="n">
        <f aca="false">$G3623*'Analyse capacite'!$E$7</f>
        <v>0</v>
      </c>
    </row>
    <row r="3624" customFormat="false" ht="15" hidden="false" customHeight="false" outlineLevel="0" collapsed="false">
      <c r="B3624" s="130" t="n">
        <v>2027</v>
      </c>
      <c r="C3624" s="131" t="s">
        <v>249</v>
      </c>
      <c r="D3624" s="132" t="n">
        <v>46578</v>
      </c>
      <c r="E3624" s="131" t="s">
        <v>46</v>
      </c>
      <c r="F3624" s="133" t="s">
        <v>19</v>
      </c>
      <c r="G3624" s="134" t="n">
        <f aca="false">LEN('Saisie programme'!$I$149)+SUMIFS('Vols additionnels'!$E$7:$E$66,'Vols additionnels'!$C$7:$C$66,$E3624,'Vols additionnels'!$D$7:$D$66,$F3624,'Vols additionnels'!$B$7:$B$66,$D3624)</f>
        <v>0</v>
      </c>
      <c r="H3624" s="135" t="n">
        <f aca="false">$G3624*'Analyse capacite'!$F$8</f>
        <v>0</v>
      </c>
      <c r="I3624" s="135" t="n">
        <f aca="false">$G3624*'Analyse capacite'!$C$8</f>
        <v>0</v>
      </c>
      <c r="J3624" s="135" t="n">
        <f aca="false">$G3624*'Analyse capacite'!$D$8</f>
        <v>0</v>
      </c>
      <c r="K3624" s="135" t="n">
        <f aca="false">$G3624*'Analyse capacite'!$E$8</f>
        <v>0</v>
      </c>
    </row>
    <row r="3625" customFormat="false" ht="15" hidden="false" customHeight="false" outlineLevel="0" collapsed="false">
      <c r="B3625" s="130" t="n">
        <v>2027</v>
      </c>
      <c r="C3625" s="131" t="s">
        <v>249</v>
      </c>
      <c r="D3625" s="132" t="n">
        <v>46578</v>
      </c>
      <c r="E3625" s="131" t="s">
        <v>46</v>
      </c>
      <c r="F3625" s="133" t="s">
        <v>24</v>
      </c>
      <c r="G3625" s="134" t="n">
        <f aca="false">LEN('Saisie programme'!$I$150)+SUMIFS('Vols additionnels'!$E$7:$E$66,'Vols additionnels'!$C$7:$C$66,$E3625,'Vols additionnels'!$D$7:$D$66,$F3625,'Vols additionnels'!$B$7:$B$66,$D3625)</f>
        <v>1</v>
      </c>
      <c r="H3625" s="135" t="n">
        <f aca="false">$G3625*'Analyse capacite'!$F$9</f>
        <v>174</v>
      </c>
      <c r="I3625" s="135" t="n">
        <f aca="false">$G3625*'Analyse capacite'!$C$9</f>
        <v>0</v>
      </c>
      <c r="J3625" s="135" t="n">
        <f aca="false">$G3625*'Analyse capacite'!$D$9</f>
        <v>12</v>
      </c>
      <c r="K3625" s="135" t="n">
        <f aca="false">$G3625*'Analyse capacite'!$E$9</f>
        <v>162</v>
      </c>
    </row>
    <row r="3626" customFormat="false" ht="15" hidden="false" customHeight="false" outlineLevel="0" collapsed="false">
      <c r="B3626" s="130" t="n">
        <v>2027</v>
      </c>
      <c r="C3626" s="131" t="s">
        <v>249</v>
      </c>
      <c r="D3626" s="132" t="n">
        <v>46578</v>
      </c>
      <c r="E3626" s="131" t="s">
        <v>49</v>
      </c>
      <c r="F3626" s="133" t="s">
        <v>11</v>
      </c>
      <c r="G3626" s="134" t="n">
        <f aca="false">LEN('Saisie programme'!$I$151)+SUMIFS('Vols additionnels'!$E$7:$E$66,'Vols additionnels'!$C$7:$C$66,$E3626,'Vols additionnels'!$D$7:$D$66,$F3626,'Vols additionnels'!$B$7:$B$66,$D3626)</f>
        <v>0</v>
      </c>
      <c r="H3626" s="135" t="n">
        <f aca="false">$G3626*'Analyse capacite'!$F$7</f>
        <v>0</v>
      </c>
      <c r="I3626" s="135" t="n">
        <f aca="false">$G3626*'Analyse capacite'!$C$7</f>
        <v>0</v>
      </c>
      <c r="J3626" s="135" t="n">
        <f aca="false">$G3626*'Analyse capacite'!$D$7</f>
        <v>0</v>
      </c>
      <c r="K3626" s="135" t="n">
        <f aca="false">$G3626*'Analyse capacite'!$E$7</f>
        <v>0</v>
      </c>
    </row>
    <row r="3627" customFormat="false" ht="15" hidden="false" customHeight="false" outlineLevel="0" collapsed="false">
      <c r="B3627" s="130" t="n">
        <v>2027</v>
      </c>
      <c r="C3627" s="131" t="s">
        <v>249</v>
      </c>
      <c r="D3627" s="132" t="n">
        <v>46578</v>
      </c>
      <c r="E3627" s="131" t="s">
        <v>49</v>
      </c>
      <c r="F3627" s="133" t="s">
        <v>19</v>
      </c>
      <c r="G3627" s="134" t="n">
        <f aca="false">LEN('Saisie programme'!$I$152)+SUMIFS('Vols additionnels'!$E$7:$E$66,'Vols additionnels'!$C$7:$C$66,$E3627,'Vols additionnels'!$D$7:$D$66,$F3627,'Vols additionnels'!$B$7:$B$66,$D3627)</f>
        <v>0</v>
      </c>
      <c r="H3627" s="135" t="n">
        <f aca="false">$G3627*'Analyse capacite'!$F$8</f>
        <v>0</v>
      </c>
      <c r="I3627" s="135" t="n">
        <f aca="false">$G3627*'Analyse capacite'!$C$8</f>
        <v>0</v>
      </c>
      <c r="J3627" s="135" t="n">
        <f aca="false">$G3627*'Analyse capacite'!$D$8</f>
        <v>0</v>
      </c>
      <c r="K3627" s="135" t="n">
        <f aca="false">$G3627*'Analyse capacite'!$E$8</f>
        <v>0</v>
      </c>
    </row>
    <row r="3628" customFormat="false" ht="15" hidden="false" customHeight="false" outlineLevel="0" collapsed="false">
      <c r="B3628" s="130" t="n">
        <v>2027</v>
      </c>
      <c r="C3628" s="131" t="s">
        <v>249</v>
      </c>
      <c r="D3628" s="132" t="n">
        <v>46578</v>
      </c>
      <c r="E3628" s="131" t="s">
        <v>49</v>
      </c>
      <c r="F3628" s="133" t="s">
        <v>24</v>
      </c>
      <c r="G3628" s="134" t="n">
        <f aca="false">LEN('Saisie programme'!$I$153)+SUMIFS('Vols additionnels'!$E$7:$E$66,'Vols additionnels'!$C$7:$C$66,$E3628,'Vols additionnels'!$D$7:$D$66,$F3628,'Vols additionnels'!$B$7:$B$66,$D3628)</f>
        <v>0</v>
      </c>
      <c r="H3628" s="135" t="n">
        <f aca="false">$G3628*'Analyse capacite'!$F$9</f>
        <v>0</v>
      </c>
      <c r="I3628" s="135" t="n">
        <f aca="false">$G3628*'Analyse capacite'!$C$9</f>
        <v>0</v>
      </c>
      <c r="J3628" s="135" t="n">
        <f aca="false">$G3628*'Analyse capacite'!$D$9</f>
        <v>0</v>
      </c>
      <c r="K3628" s="135" t="n">
        <f aca="false">$G3628*'Analyse capacite'!$E$9</f>
        <v>0</v>
      </c>
    </row>
    <row r="3629" customFormat="false" ht="15" hidden="false" customHeight="false" outlineLevel="0" collapsed="false">
      <c r="B3629" s="130" t="n">
        <v>2027</v>
      </c>
      <c r="C3629" s="131" t="s">
        <v>249</v>
      </c>
      <c r="D3629" s="132" t="n">
        <v>46578</v>
      </c>
      <c r="E3629" s="131" t="s">
        <v>53</v>
      </c>
      <c r="F3629" s="133" t="s">
        <v>11</v>
      </c>
      <c r="G3629" s="134" t="n">
        <f aca="false">LEN('Saisie programme'!$I$154)+SUMIFS('Vols additionnels'!$E$7:$E$66,'Vols additionnels'!$C$7:$C$66,$E3629,'Vols additionnels'!$D$7:$D$66,$F3629,'Vols additionnels'!$B$7:$B$66,$D3629)</f>
        <v>0</v>
      </c>
      <c r="H3629" s="135" t="n">
        <f aca="false">$G3629*'Analyse capacite'!$F$7</f>
        <v>0</v>
      </c>
      <c r="I3629" s="135" t="n">
        <f aca="false">$G3629*'Analyse capacite'!$C$7</f>
        <v>0</v>
      </c>
      <c r="J3629" s="135" t="n">
        <f aca="false">$G3629*'Analyse capacite'!$D$7</f>
        <v>0</v>
      </c>
      <c r="K3629" s="135" t="n">
        <f aca="false">$G3629*'Analyse capacite'!$E$7</f>
        <v>0</v>
      </c>
    </row>
    <row r="3630" customFormat="false" ht="15" hidden="false" customHeight="false" outlineLevel="0" collapsed="false">
      <c r="B3630" s="130" t="n">
        <v>2027</v>
      </c>
      <c r="C3630" s="131" t="s">
        <v>249</v>
      </c>
      <c r="D3630" s="132" t="n">
        <v>46578</v>
      </c>
      <c r="E3630" s="131" t="s">
        <v>53</v>
      </c>
      <c r="F3630" s="133" t="s">
        <v>19</v>
      </c>
      <c r="G3630" s="134" t="n">
        <f aca="false">LEN('Saisie programme'!$I$155)+SUMIFS('Vols additionnels'!$E$7:$E$66,'Vols additionnels'!$C$7:$C$66,$E3630,'Vols additionnels'!$D$7:$D$66,$F3630,'Vols additionnels'!$B$7:$B$66,$D3630)</f>
        <v>0</v>
      </c>
      <c r="H3630" s="135" t="n">
        <f aca="false">$G3630*'Analyse capacite'!$F$8</f>
        <v>0</v>
      </c>
      <c r="I3630" s="135" t="n">
        <f aca="false">$G3630*'Analyse capacite'!$C$8</f>
        <v>0</v>
      </c>
      <c r="J3630" s="135" t="n">
        <f aca="false">$G3630*'Analyse capacite'!$D$8</f>
        <v>0</v>
      </c>
      <c r="K3630" s="135" t="n">
        <f aca="false">$G3630*'Analyse capacite'!$E$8</f>
        <v>0</v>
      </c>
    </row>
    <row r="3631" customFormat="false" ht="15" hidden="false" customHeight="false" outlineLevel="0" collapsed="false">
      <c r="B3631" s="130" t="n">
        <v>2027</v>
      </c>
      <c r="C3631" s="131" t="s">
        <v>249</v>
      </c>
      <c r="D3631" s="132" t="n">
        <v>46578</v>
      </c>
      <c r="E3631" s="131" t="s">
        <v>53</v>
      </c>
      <c r="F3631" s="133" t="s">
        <v>24</v>
      </c>
      <c r="G3631" s="134" t="n">
        <f aca="false">LEN('Saisie programme'!$I$156)+SUMIFS('Vols additionnels'!$E$7:$E$66,'Vols additionnels'!$C$7:$C$66,$E3631,'Vols additionnels'!$D$7:$D$66,$F3631,'Vols additionnels'!$B$7:$B$66,$D3631)</f>
        <v>0</v>
      </c>
      <c r="H3631" s="135" t="n">
        <f aca="false">$G3631*'Analyse capacite'!$F$9</f>
        <v>0</v>
      </c>
      <c r="I3631" s="135" t="n">
        <f aca="false">$G3631*'Analyse capacite'!$C$9</f>
        <v>0</v>
      </c>
      <c r="J3631" s="135" t="n">
        <f aca="false">$G3631*'Analyse capacite'!$D$9</f>
        <v>0</v>
      </c>
      <c r="K3631" s="135" t="n">
        <f aca="false">$G3631*'Analyse capacite'!$E$9</f>
        <v>0</v>
      </c>
    </row>
    <row r="3632" customFormat="false" ht="15" hidden="false" customHeight="false" outlineLevel="0" collapsed="false">
      <c r="B3632" s="130" t="n">
        <v>2027</v>
      </c>
      <c r="C3632" s="131" t="s">
        <v>249</v>
      </c>
      <c r="D3632" s="132" t="n">
        <v>46578</v>
      </c>
      <c r="E3632" s="131" t="s">
        <v>56</v>
      </c>
      <c r="F3632" s="133" t="s">
        <v>11</v>
      </c>
      <c r="G3632" s="134" t="n">
        <f aca="false">LEN('Saisie programme'!$I$157)+SUMIFS('Vols additionnels'!$E$7:$E$66,'Vols additionnels'!$C$7:$C$66,$E3632,'Vols additionnels'!$D$7:$D$66,$F3632,'Vols additionnels'!$B$7:$B$66,$D3632)</f>
        <v>0</v>
      </c>
      <c r="H3632" s="135" t="n">
        <f aca="false">$G3632*'Analyse capacite'!$F$7</f>
        <v>0</v>
      </c>
      <c r="I3632" s="135" t="n">
        <f aca="false">$G3632*'Analyse capacite'!$C$7</f>
        <v>0</v>
      </c>
      <c r="J3632" s="135" t="n">
        <f aca="false">$G3632*'Analyse capacite'!$D$7</f>
        <v>0</v>
      </c>
      <c r="K3632" s="135" t="n">
        <f aca="false">$G3632*'Analyse capacite'!$E$7</f>
        <v>0</v>
      </c>
    </row>
    <row r="3633" customFormat="false" ht="15" hidden="false" customHeight="false" outlineLevel="0" collapsed="false">
      <c r="B3633" s="130" t="n">
        <v>2027</v>
      </c>
      <c r="C3633" s="131" t="s">
        <v>249</v>
      </c>
      <c r="D3633" s="132" t="n">
        <v>46578</v>
      </c>
      <c r="E3633" s="131" t="s">
        <v>56</v>
      </c>
      <c r="F3633" s="133" t="s">
        <v>19</v>
      </c>
      <c r="G3633" s="134" t="n">
        <f aca="false">LEN('Saisie programme'!$I$158)+SUMIFS('Vols additionnels'!$E$7:$E$66,'Vols additionnels'!$C$7:$C$66,$E3633,'Vols additionnels'!$D$7:$D$66,$F3633,'Vols additionnels'!$B$7:$B$66,$D3633)</f>
        <v>0</v>
      </c>
      <c r="H3633" s="135" t="n">
        <f aca="false">$G3633*'Analyse capacite'!$F$8</f>
        <v>0</v>
      </c>
      <c r="I3633" s="135" t="n">
        <f aca="false">$G3633*'Analyse capacite'!$C$8</f>
        <v>0</v>
      </c>
      <c r="J3633" s="135" t="n">
        <f aca="false">$G3633*'Analyse capacite'!$D$8</f>
        <v>0</v>
      </c>
      <c r="K3633" s="135" t="n">
        <f aca="false">$G3633*'Analyse capacite'!$E$8</f>
        <v>0</v>
      </c>
    </row>
    <row r="3634" customFormat="false" ht="15" hidden="false" customHeight="false" outlineLevel="0" collapsed="false">
      <c r="B3634" s="130" t="n">
        <v>2027</v>
      </c>
      <c r="C3634" s="131" t="s">
        <v>249</v>
      </c>
      <c r="D3634" s="132" t="n">
        <v>46578</v>
      </c>
      <c r="E3634" s="131" t="s">
        <v>56</v>
      </c>
      <c r="F3634" s="133" t="s">
        <v>24</v>
      </c>
      <c r="G3634" s="134" t="n">
        <f aca="false">LEN('Saisie programme'!$I$159)+SUMIFS('Vols additionnels'!$E$7:$E$66,'Vols additionnels'!$C$7:$C$66,$E3634,'Vols additionnels'!$D$7:$D$66,$F3634,'Vols additionnels'!$B$7:$B$66,$D3634)</f>
        <v>1</v>
      </c>
      <c r="H3634" s="135" t="n">
        <f aca="false">$G3634*'Analyse capacite'!$F$9</f>
        <v>174</v>
      </c>
      <c r="I3634" s="135" t="n">
        <f aca="false">$G3634*'Analyse capacite'!$C$9</f>
        <v>0</v>
      </c>
      <c r="J3634" s="135" t="n">
        <f aca="false">$G3634*'Analyse capacite'!$D$9</f>
        <v>12</v>
      </c>
      <c r="K3634" s="135" t="n">
        <f aca="false">$G3634*'Analyse capacite'!$E$9</f>
        <v>162</v>
      </c>
    </row>
    <row r="3635" customFormat="false" ht="15" hidden="false" customHeight="false" outlineLevel="0" collapsed="false">
      <c r="B3635" s="130" t="n">
        <v>2027</v>
      </c>
      <c r="C3635" s="131" t="s">
        <v>249</v>
      </c>
      <c r="D3635" s="132" t="n">
        <v>46578</v>
      </c>
      <c r="E3635" s="131" t="s">
        <v>59</v>
      </c>
      <c r="F3635" s="133" t="s">
        <v>11</v>
      </c>
      <c r="G3635" s="134" t="n">
        <f aca="false">LEN('Saisie programme'!$I$160)+SUMIFS('Vols additionnels'!$E$7:$E$66,'Vols additionnels'!$C$7:$C$66,$E3635,'Vols additionnels'!$D$7:$D$66,$F3635,'Vols additionnels'!$B$7:$B$66,$D3635)</f>
        <v>0</v>
      </c>
      <c r="H3635" s="135" t="n">
        <f aca="false">$G3635*'Analyse capacite'!$F$7</f>
        <v>0</v>
      </c>
      <c r="I3635" s="135" t="n">
        <f aca="false">$G3635*'Analyse capacite'!$C$7</f>
        <v>0</v>
      </c>
      <c r="J3635" s="135" t="n">
        <f aca="false">$G3635*'Analyse capacite'!$D$7</f>
        <v>0</v>
      </c>
      <c r="K3635" s="135" t="n">
        <f aca="false">$G3635*'Analyse capacite'!$E$7</f>
        <v>0</v>
      </c>
    </row>
    <row r="3636" customFormat="false" ht="15" hidden="false" customHeight="false" outlineLevel="0" collapsed="false">
      <c r="B3636" s="130" t="n">
        <v>2027</v>
      </c>
      <c r="C3636" s="131" t="s">
        <v>249</v>
      </c>
      <c r="D3636" s="132" t="n">
        <v>46578</v>
      </c>
      <c r="E3636" s="131" t="s">
        <v>59</v>
      </c>
      <c r="F3636" s="133" t="s">
        <v>19</v>
      </c>
      <c r="G3636" s="134" t="n">
        <f aca="false">LEN('Saisie programme'!$I$161)+SUMIFS('Vols additionnels'!$E$7:$E$66,'Vols additionnels'!$C$7:$C$66,$E3636,'Vols additionnels'!$D$7:$D$66,$F3636,'Vols additionnels'!$B$7:$B$66,$D3636)</f>
        <v>0</v>
      </c>
      <c r="H3636" s="135" t="n">
        <f aca="false">$G3636*'Analyse capacite'!$F$8</f>
        <v>0</v>
      </c>
      <c r="I3636" s="135" t="n">
        <f aca="false">$G3636*'Analyse capacite'!$C$8</f>
        <v>0</v>
      </c>
      <c r="J3636" s="135" t="n">
        <f aca="false">$G3636*'Analyse capacite'!$D$8</f>
        <v>0</v>
      </c>
      <c r="K3636" s="135" t="n">
        <f aca="false">$G3636*'Analyse capacite'!$E$8</f>
        <v>0</v>
      </c>
    </row>
    <row r="3637" customFormat="false" ht="15" hidden="false" customHeight="false" outlineLevel="0" collapsed="false">
      <c r="B3637" s="130" t="n">
        <v>2027</v>
      </c>
      <c r="C3637" s="131" t="s">
        <v>249</v>
      </c>
      <c r="D3637" s="132" t="n">
        <v>46578</v>
      </c>
      <c r="E3637" s="131" t="s">
        <v>59</v>
      </c>
      <c r="F3637" s="133" t="s">
        <v>24</v>
      </c>
      <c r="G3637" s="134" t="n">
        <f aca="false">LEN('Saisie programme'!$I$162)+SUMIFS('Vols additionnels'!$E$7:$E$66,'Vols additionnels'!$C$7:$C$66,$E3637,'Vols additionnels'!$D$7:$D$66,$F3637,'Vols additionnels'!$B$7:$B$66,$D3637)</f>
        <v>1</v>
      </c>
      <c r="H3637" s="135" t="n">
        <f aca="false">$G3637*'Analyse capacite'!$F$9</f>
        <v>174</v>
      </c>
      <c r="I3637" s="135" t="n">
        <f aca="false">$G3637*'Analyse capacite'!$C$9</f>
        <v>0</v>
      </c>
      <c r="J3637" s="135" t="n">
        <f aca="false">$G3637*'Analyse capacite'!$D$9</f>
        <v>12</v>
      </c>
      <c r="K3637" s="135" t="n">
        <f aca="false">$G3637*'Analyse capacite'!$E$9</f>
        <v>162</v>
      </c>
    </row>
    <row r="3638" customFormat="false" ht="15" hidden="false" customHeight="false" outlineLevel="0" collapsed="false">
      <c r="B3638" s="130" t="n">
        <v>2027</v>
      </c>
      <c r="C3638" s="131" t="s">
        <v>249</v>
      </c>
      <c r="D3638" s="132" t="n">
        <v>46578</v>
      </c>
      <c r="E3638" s="131" t="s">
        <v>62</v>
      </c>
      <c r="F3638" s="133" t="s">
        <v>11</v>
      </c>
      <c r="G3638" s="134" t="n">
        <f aca="false">LEN('Saisie programme'!$I$163)+SUMIFS('Vols additionnels'!$E$7:$E$66,'Vols additionnels'!$C$7:$C$66,$E3638,'Vols additionnels'!$D$7:$D$66,$F3638,'Vols additionnels'!$B$7:$B$66,$D3638)</f>
        <v>0</v>
      </c>
      <c r="H3638" s="135" t="n">
        <f aca="false">$G3638*'Analyse capacite'!$F$7</f>
        <v>0</v>
      </c>
      <c r="I3638" s="135" t="n">
        <f aca="false">$G3638*'Analyse capacite'!$C$7</f>
        <v>0</v>
      </c>
      <c r="J3638" s="135" t="n">
        <f aca="false">$G3638*'Analyse capacite'!$D$7</f>
        <v>0</v>
      </c>
      <c r="K3638" s="135" t="n">
        <f aca="false">$G3638*'Analyse capacite'!$E$7</f>
        <v>0</v>
      </c>
    </row>
    <row r="3639" customFormat="false" ht="15" hidden="false" customHeight="false" outlineLevel="0" collapsed="false">
      <c r="B3639" s="130" t="n">
        <v>2027</v>
      </c>
      <c r="C3639" s="131" t="s">
        <v>249</v>
      </c>
      <c r="D3639" s="132" t="n">
        <v>46578</v>
      </c>
      <c r="E3639" s="131" t="s">
        <v>62</v>
      </c>
      <c r="F3639" s="133" t="s">
        <v>19</v>
      </c>
      <c r="G3639" s="134" t="n">
        <f aca="false">LEN('Saisie programme'!$I$164)+SUMIFS('Vols additionnels'!$E$7:$E$66,'Vols additionnels'!$C$7:$C$66,$E3639,'Vols additionnels'!$D$7:$D$66,$F3639,'Vols additionnels'!$B$7:$B$66,$D3639)</f>
        <v>0</v>
      </c>
      <c r="H3639" s="135" t="n">
        <f aca="false">$G3639*'Analyse capacite'!$F$8</f>
        <v>0</v>
      </c>
      <c r="I3639" s="135" t="n">
        <f aca="false">$G3639*'Analyse capacite'!$C$8</f>
        <v>0</v>
      </c>
      <c r="J3639" s="135" t="n">
        <f aca="false">$G3639*'Analyse capacite'!$D$8</f>
        <v>0</v>
      </c>
      <c r="K3639" s="135" t="n">
        <f aca="false">$G3639*'Analyse capacite'!$E$8</f>
        <v>0</v>
      </c>
    </row>
    <row r="3640" customFormat="false" ht="15" hidden="false" customHeight="false" outlineLevel="0" collapsed="false">
      <c r="B3640" s="130" t="n">
        <v>2027</v>
      </c>
      <c r="C3640" s="131" t="s">
        <v>249</v>
      </c>
      <c r="D3640" s="132" t="n">
        <v>46578</v>
      </c>
      <c r="E3640" s="131" t="s">
        <v>62</v>
      </c>
      <c r="F3640" s="133" t="s">
        <v>24</v>
      </c>
      <c r="G3640" s="134" t="n">
        <f aca="false">LEN('Saisie programme'!$I$165)+SUMIFS('Vols additionnels'!$E$7:$E$66,'Vols additionnels'!$C$7:$C$66,$E3640,'Vols additionnels'!$D$7:$D$66,$F3640,'Vols additionnels'!$B$7:$B$66,$D3640)</f>
        <v>0</v>
      </c>
      <c r="H3640" s="135" t="n">
        <f aca="false">$G3640*'Analyse capacite'!$F$9</f>
        <v>0</v>
      </c>
      <c r="I3640" s="135" t="n">
        <f aca="false">$G3640*'Analyse capacite'!$C$9</f>
        <v>0</v>
      </c>
      <c r="J3640" s="135" t="n">
        <f aca="false">$G3640*'Analyse capacite'!$D$9</f>
        <v>0</v>
      </c>
      <c r="K3640" s="135" t="n">
        <f aca="false">$G3640*'Analyse capacite'!$E$9</f>
        <v>0</v>
      </c>
    </row>
    <row r="3641" customFormat="false" ht="15" hidden="false" customHeight="false" outlineLevel="0" collapsed="false">
      <c r="B3641" s="130" t="n">
        <v>2027</v>
      </c>
      <c r="C3641" s="131" t="s">
        <v>249</v>
      </c>
      <c r="D3641" s="132" t="n">
        <v>46579</v>
      </c>
      <c r="E3641" s="131" t="s">
        <v>12</v>
      </c>
      <c r="F3641" s="133" t="s">
        <v>11</v>
      </c>
      <c r="G3641" s="134" t="n">
        <f aca="false">LEN('Saisie programme'!$J$130)+SUMIFS('Vols additionnels'!$E$7:$E$66,'Vols additionnels'!$C$7:$C$66,$E3641,'Vols additionnels'!$D$7:$D$66,$F3641,'Vols additionnels'!$B$7:$B$66,$D3641)</f>
        <v>1</v>
      </c>
      <c r="H3641" s="135" t="n">
        <f aca="false">$G3641*'Analyse capacite'!$F$7</f>
        <v>438</v>
      </c>
      <c r="I3641" s="135" t="n">
        <f aca="false">$G3641*'Analyse capacite'!$C$7</f>
        <v>14</v>
      </c>
      <c r="J3641" s="135" t="n">
        <f aca="false">$G3641*'Analyse capacite'!$D$7</f>
        <v>40</v>
      </c>
      <c r="K3641" s="135" t="n">
        <f aca="false">$G3641*'Analyse capacite'!$E$7</f>
        <v>384</v>
      </c>
    </row>
    <row r="3642" customFormat="false" ht="15" hidden="false" customHeight="false" outlineLevel="0" collapsed="false">
      <c r="B3642" s="130" t="n">
        <v>2027</v>
      </c>
      <c r="C3642" s="131" t="s">
        <v>249</v>
      </c>
      <c r="D3642" s="132" t="n">
        <v>46579</v>
      </c>
      <c r="E3642" s="131" t="s">
        <v>12</v>
      </c>
      <c r="F3642" s="133" t="s">
        <v>19</v>
      </c>
      <c r="G3642" s="134" t="n">
        <f aca="false">LEN('Saisie programme'!$J$131)+SUMIFS('Vols additionnels'!$E$7:$E$66,'Vols additionnels'!$C$7:$C$66,$E3642,'Vols additionnels'!$D$7:$D$66,$F3642,'Vols additionnels'!$B$7:$B$66,$D3642)</f>
        <v>0</v>
      </c>
      <c r="H3642" s="135" t="n">
        <f aca="false">$G3642*'Analyse capacite'!$F$8</f>
        <v>0</v>
      </c>
      <c r="I3642" s="135" t="n">
        <f aca="false">$G3642*'Analyse capacite'!$C$8</f>
        <v>0</v>
      </c>
      <c r="J3642" s="135" t="n">
        <f aca="false">$G3642*'Analyse capacite'!$D$8</f>
        <v>0</v>
      </c>
      <c r="K3642" s="135" t="n">
        <f aca="false">$G3642*'Analyse capacite'!$E$8</f>
        <v>0</v>
      </c>
    </row>
    <row r="3643" customFormat="false" ht="15" hidden="false" customHeight="false" outlineLevel="0" collapsed="false">
      <c r="B3643" s="130" t="n">
        <v>2027</v>
      </c>
      <c r="C3643" s="131" t="s">
        <v>249</v>
      </c>
      <c r="D3643" s="132" t="n">
        <v>46579</v>
      </c>
      <c r="E3643" s="131" t="s">
        <v>12</v>
      </c>
      <c r="F3643" s="133" t="s">
        <v>24</v>
      </c>
      <c r="G3643" s="134" t="n">
        <f aca="false">LEN('Saisie programme'!$J$132)+SUMIFS('Vols additionnels'!$E$7:$E$66,'Vols additionnels'!$C$7:$C$66,$E3643,'Vols additionnels'!$D$7:$D$66,$F3643,'Vols additionnels'!$B$7:$B$66,$D3643)</f>
        <v>0</v>
      </c>
      <c r="H3643" s="135" t="n">
        <f aca="false">$G3643*'Analyse capacite'!$F$9</f>
        <v>0</v>
      </c>
      <c r="I3643" s="135" t="n">
        <f aca="false">$G3643*'Analyse capacite'!$C$9</f>
        <v>0</v>
      </c>
      <c r="J3643" s="135" t="n">
        <f aca="false">$G3643*'Analyse capacite'!$D$9</f>
        <v>0</v>
      </c>
      <c r="K3643" s="135" t="n">
        <f aca="false">$G3643*'Analyse capacite'!$E$9</f>
        <v>0</v>
      </c>
    </row>
    <row r="3644" customFormat="false" ht="15" hidden="false" customHeight="false" outlineLevel="0" collapsed="false">
      <c r="B3644" s="130" t="n">
        <v>2027</v>
      </c>
      <c r="C3644" s="131" t="s">
        <v>249</v>
      </c>
      <c r="D3644" s="132" t="n">
        <v>46579</v>
      </c>
      <c r="E3644" s="131" t="s">
        <v>20</v>
      </c>
      <c r="F3644" s="133" t="s">
        <v>11</v>
      </c>
      <c r="G3644" s="134" t="n">
        <f aca="false">LEN('Saisie programme'!$J$133)+SUMIFS('Vols additionnels'!$E$7:$E$66,'Vols additionnels'!$C$7:$C$66,$E3644,'Vols additionnels'!$D$7:$D$66,$F3644,'Vols additionnels'!$B$7:$B$66,$D3644)</f>
        <v>1</v>
      </c>
      <c r="H3644" s="135" t="n">
        <f aca="false">$G3644*'Analyse capacite'!$F$7</f>
        <v>438</v>
      </c>
      <c r="I3644" s="135" t="n">
        <f aca="false">$G3644*'Analyse capacite'!$C$7</f>
        <v>14</v>
      </c>
      <c r="J3644" s="135" t="n">
        <f aca="false">$G3644*'Analyse capacite'!$D$7</f>
        <v>40</v>
      </c>
      <c r="K3644" s="135" t="n">
        <f aca="false">$G3644*'Analyse capacite'!$E$7</f>
        <v>384</v>
      </c>
    </row>
    <row r="3645" customFormat="false" ht="15" hidden="false" customHeight="false" outlineLevel="0" collapsed="false">
      <c r="B3645" s="130" t="n">
        <v>2027</v>
      </c>
      <c r="C3645" s="131" t="s">
        <v>249</v>
      </c>
      <c r="D3645" s="132" t="n">
        <v>46579</v>
      </c>
      <c r="E3645" s="131" t="s">
        <v>20</v>
      </c>
      <c r="F3645" s="133" t="s">
        <v>19</v>
      </c>
      <c r="G3645" s="134" t="n">
        <f aca="false">LEN('Saisie programme'!$J$134)+SUMIFS('Vols additionnels'!$E$7:$E$66,'Vols additionnels'!$C$7:$C$66,$E3645,'Vols additionnels'!$D$7:$D$66,$F3645,'Vols additionnels'!$B$7:$B$66,$D3645)</f>
        <v>0</v>
      </c>
      <c r="H3645" s="135" t="n">
        <f aca="false">$G3645*'Analyse capacite'!$F$8</f>
        <v>0</v>
      </c>
      <c r="I3645" s="135" t="n">
        <f aca="false">$G3645*'Analyse capacite'!$C$8</f>
        <v>0</v>
      </c>
      <c r="J3645" s="135" t="n">
        <f aca="false">$G3645*'Analyse capacite'!$D$8</f>
        <v>0</v>
      </c>
      <c r="K3645" s="135" t="n">
        <f aca="false">$G3645*'Analyse capacite'!$E$8</f>
        <v>0</v>
      </c>
    </row>
    <row r="3646" customFormat="false" ht="15" hidden="false" customHeight="false" outlineLevel="0" collapsed="false">
      <c r="B3646" s="130" t="n">
        <v>2027</v>
      </c>
      <c r="C3646" s="131" t="s">
        <v>249</v>
      </c>
      <c r="D3646" s="132" t="n">
        <v>46579</v>
      </c>
      <c r="E3646" s="131" t="s">
        <v>20</v>
      </c>
      <c r="F3646" s="133" t="s">
        <v>24</v>
      </c>
      <c r="G3646" s="134" t="n">
        <f aca="false">LEN('Saisie programme'!$J$135)+SUMIFS('Vols additionnels'!$E$7:$E$66,'Vols additionnels'!$C$7:$C$66,$E3646,'Vols additionnels'!$D$7:$D$66,$F3646,'Vols additionnels'!$B$7:$B$66,$D3646)</f>
        <v>0</v>
      </c>
      <c r="H3646" s="135" t="n">
        <f aca="false">$G3646*'Analyse capacite'!$F$9</f>
        <v>0</v>
      </c>
      <c r="I3646" s="135" t="n">
        <f aca="false">$G3646*'Analyse capacite'!$C$9</f>
        <v>0</v>
      </c>
      <c r="J3646" s="135" t="n">
        <f aca="false">$G3646*'Analyse capacite'!$D$9</f>
        <v>0</v>
      </c>
      <c r="K3646" s="135" t="n">
        <f aca="false">$G3646*'Analyse capacite'!$E$9</f>
        <v>0</v>
      </c>
    </row>
    <row r="3647" customFormat="false" ht="15" hidden="false" customHeight="false" outlineLevel="0" collapsed="false">
      <c r="B3647" s="130" t="n">
        <v>2027</v>
      </c>
      <c r="C3647" s="131" t="s">
        <v>249</v>
      </c>
      <c r="D3647" s="132" t="n">
        <v>46579</v>
      </c>
      <c r="E3647" s="131" t="s">
        <v>25</v>
      </c>
      <c r="F3647" s="133" t="s">
        <v>11</v>
      </c>
      <c r="G3647" s="134" t="n">
        <f aca="false">LEN('Saisie programme'!$J$136)+SUMIFS('Vols additionnels'!$E$7:$E$66,'Vols additionnels'!$C$7:$C$66,$E3647,'Vols additionnels'!$D$7:$D$66,$F3647,'Vols additionnels'!$B$7:$B$66,$D3647)</f>
        <v>0</v>
      </c>
      <c r="H3647" s="135" t="n">
        <f aca="false">$G3647*'Analyse capacite'!$F$7</f>
        <v>0</v>
      </c>
      <c r="I3647" s="135" t="n">
        <f aca="false">$G3647*'Analyse capacite'!$C$7</f>
        <v>0</v>
      </c>
      <c r="J3647" s="135" t="n">
        <f aca="false">$G3647*'Analyse capacite'!$D$7</f>
        <v>0</v>
      </c>
      <c r="K3647" s="135" t="n">
        <f aca="false">$G3647*'Analyse capacite'!$E$7</f>
        <v>0</v>
      </c>
    </row>
    <row r="3648" customFormat="false" ht="15" hidden="false" customHeight="false" outlineLevel="0" collapsed="false">
      <c r="B3648" s="130" t="n">
        <v>2027</v>
      </c>
      <c r="C3648" s="131" t="s">
        <v>249</v>
      </c>
      <c r="D3648" s="132" t="n">
        <v>46579</v>
      </c>
      <c r="E3648" s="131" t="s">
        <v>25</v>
      </c>
      <c r="F3648" s="133" t="s">
        <v>19</v>
      </c>
      <c r="G3648" s="134" t="n">
        <f aca="false">LEN('Saisie programme'!$J$137)+SUMIFS('Vols additionnels'!$E$7:$E$66,'Vols additionnels'!$C$7:$C$66,$E3648,'Vols additionnels'!$D$7:$D$66,$F3648,'Vols additionnels'!$B$7:$B$66,$D3648)</f>
        <v>0</v>
      </c>
      <c r="H3648" s="135" t="n">
        <f aca="false">$G3648*'Analyse capacite'!$F$8</f>
        <v>0</v>
      </c>
      <c r="I3648" s="135" t="n">
        <f aca="false">$G3648*'Analyse capacite'!$C$8</f>
        <v>0</v>
      </c>
      <c r="J3648" s="135" t="n">
        <f aca="false">$G3648*'Analyse capacite'!$D$8</f>
        <v>0</v>
      </c>
      <c r="K3648" s="135" t="n">
        <f aca="false">$G3648*'Analyse capacite'!$E$8</f>
        <v>0</v>
      </c>
    </row>
    <row r="3649" customFormat="false" ht="15" hidden="false" customHeight="false" outlineLevel="0" collapsed="false">
      <c r="B3649" s="130" t="n">
        <v>2027</v>
      </c>
      <c r="C3649" s="131" t="s">
        <v>249</v>
      </c>
      <c r="D3649" s="132" t="n">
        <v>46579</v>
      </c>
      <c r="E3649" s="131" t="s">
        <v>25</v>
      </c>
      <c r="F3649" s="133" t="s">
        <v>24</v>
      </c>
      <c r="G3649" s="134" t="n">
        <f aca="false">LEN('Saisie programme'!$J$138)+SUMIFS('Vols additionnels'!$E$7:$E$66,'Vols additionnels'!$C$7:$C$66,$E3649,'Vols additionnels'!$D$7:$D$66,$F3649,'Vols additionnels'!$B$7:$B$66,$D3649)</f>
        <v>0</v>
      </c>
      <c r="H3649" s="135" t="n">
        <f aca="false">$G3649*'Analyse capacite'!$F$9</f>
        <v>0</v>
      </c>
      <c r="I3649" s="135" t="n">
        <f aca="false">$G3649*'Analyse capacite'!$C$9</f>
        <v>0</v>
      </c>
      <c r="J3649" s="135" t="n">
        <f aca="false">$G3649*'Analyse capacite'!$D$9</f>
        <v>0</v>
      </c>
      <c r="K3649" s="135" t="n">
        <f aca="false">$G3649*'Analyse capacite'!$E$9</f>
        <v>0</v>
      </c>
    </row>
    <row r="3650" customFormat="false" ht="15" hidden="false" customHeight="false" outlineLevel="0" collapsed="false">
      <c r="B3650" s="130" t="n">
        <v>2027</v>
      </c>
      <c r="C3650" s="131" t="s">
        <v>249</v>
      </c>
      <c r="D3650" s="132" t="n">
        <v>46579</v>
      </c>
      <c r="E3650" s="131" t="s">
        <v>36</v>
      </c>
      <c r="F3650" s="133" t="s">
        <v>11</v>
      </c>
      <c r="G3650" s="134" t="n">
        <f aca="false">LEN('Saisie programme'!$J$139)+SUMIFS('Vols additionnels'!$E$7:$E$66,'Vols additionnels'!$C$7:$C$66,$E3650,'Vols additionnels'!$D$7:$D$66,$F3650,'Vols additionnels'!$B$7:$B$66,$D3650)</f>
        <v>0</v>
      </c>
      <c r="H3650" s="135" t="n">
        <f aca="false">$G3650*'Analyse capacite'!$F$7</f>
        <v>0</v>
      </c>
      <c r="I3650" s="135" t="n">
        <f aca="false">$G3650*'Analyse capacite'!$C$7</f>
        <v>0</v>
      </c>
      <c r="J3650" s="135" t="n">
        <f aca="false">$G3650*'Analyse capacite'!$D$7</f>
        <v>0</v>
      </c>
      <c r="K3650" s="135" t="n">
        <f aca="false">$G3650*'Analyse capacite'!$E$7</f>
        <v>0</v>
      </c>
    </row>
    <row r="3651" customFormat="false" ht="15" hidden="false" customHeight="false" outlineLevel="0" collapsed="false">
      <c r="B3651" s="130" t="n">
        <v>2027</v>
      </c>
      <c r="C3651" s="131" t="s">
        <v>249</v>
      </c>
      <c r="D3651" s="132" t="n">
        <v>46579</v>
      </c>
      <c r="E3651" s="131" t="s">
        <v>36</v>
      </c>
      <c r="F3651" s="133" t="s">
        <v>19</v>
      </c>
      <c r="G3651" s="134" t="n">
        <f aca="false">LEN('Saisie programme'!$J$140)+SUMIFS('Vols additionnels'!$E$7:$E$66,'Vols additionnels'!$C$7:$C$66,$E3651,'Vols additionnels'!$D$7:$D$66,$F3651,'Vols additionnels'!$B$7:$B$66,$D3651)</f>
        <v>0</v>
      </c>
      <c r="H3651" s="135" t="n">
        <f aca="false">$G3651*'Analyse capacite'!$F$8</f>
        <v>0</v>
      </c>
      <c r="I3651" s="135" t="n">
        <f aca="false">$G3651*'Analyse capacite'!$C$8</f>
        <v>0</v>
      </c>
      <c r="J3651" s="135" t="n">
        <f aca="false">$G3651*'Analyse capacite'!$D$8</f>
        <v>0</v>
      </c>
      <c r="K3651" s="135" t="n">
        <f aca="false">$G3651*'Analyse capacite'!$E$8</f>
        <v>0</v>
      </c>
    </row>
    <row r="3652" customFormat="false" ht="15" hidden="false" customHeight="false" outlineLevel="0" collapsed="false">
      <c r="B3652" s="130" t="n">
        <v>2027</v>
      </c>
      <c r="C3652" s="131" t="s">
        <v>249</v>
      </c>
      <c r="D3652" s="132" t="n">
        <v>46579</v>
      </c>
      <c r="E3652" s="131" t="s">
        <v>36</v>
      </c>
      <c r="F3652" s="133" t="s">
        <v>24</v>
      </c>
      <c r="G3652" s="134" t="n">
        <f aca="false">LEN('Saisie programme'!$J$141)+SUMIFS('Vols additionnels'!$E$7:$E$66,'Vols additionnels'!$C$7:$C$66,$E3652,'Vols additionnels'!$D$7:$D$66,$F3652,'Vols additionnels'!$B$7:$B$66,$D3652)</f>
        <v>0</v>
      </c>
      <c r="H3652" s="135" t="n">
        <f aca="false">$G3652*'Analyse capacite'!$F$9</f>
        <v>0</v>
      </c>
      <c r="I3652" s="135" t="n">
        <f aca="false">$G3652*'Analyse capacite'!$C$9</f>
        <v>0</v>
      </c>
      <c r="J3652" s="135" t="n">
        <f aca="false">$G3652*'Analyse capacite'!$D$9</f>
        <v>0</v>
      </c>
      <c r="K3652" s="135" t="n">
        <f aca="false">$G3652*'Analyse capacite'!$E$9</f>
        <v>0</v>
      </c>
    </row>
    <row r="3653" customFormat="false" ht="15" hidden="false" customHeight="false" outlineLevel="0" collapsed="false">
      <c r="B3653" s="130" t="n">
        <v>2027</v>
      </c>
      <c r="C3653" s="131" t="s">
        <v>249</v>
      </c>
      <c r="D3653" s="132" t="n">
        <v>46579</v>
      </c>
      <c r="E3653" s="131" t="s">
        <v>40</v>
      </c>
      <c r="F3653" s="133" t="s">
        <v>11</v>
      </c>
      <c r="G3653" s="134" t="n">
        <f aca="false">LEN('Saisie programme'!$J$142)+SUMIFS('Vols additionnels'!$E$7:$E$66,'Vols additionnels'!$C$7:$C$66,$E3653,'Vols additionnels'!$D$7:$D$66,$F3653,'Vols additionnels'!$B$7:$B$66,$D3653)</f>
        <v>0</v>
      </c>
      <c r="H3653" s="135" t="n">
        <f aca="false">$G3653*'Analyse capacite'!$F$7</f>
        <v>0</v>
      </c>
      <c r="I3653" s="135" t="n">
        <f aca="false">$G3653*'Analyse capacite'!$C$7</f>
        <v>0</v>
      </c>
      <c r="J3653" s="135" t="n">
        <f aca="false">$G3653*'Analyse capacite'!$D$7</f>
        <v>0</v>
      </c>
      <c r="K3653" s="135" t="n">
        <f aca="false">$G3653*'Analyse capacite'!$E$7</f>
        <v>0</v>
      </c>
    </row>
    <row r="3654" customFormat="false" ht="15" hidden="false" customHeight="false" outlineLevel="0" collapsed="false">
      <c r="B3654" s="130" t="n">
        <v>2027</v>
      </c>
      <c r="C3654" s="131" t="s">
        <v>249</v>
      </c>
      <c r="D3654" s="132" t="n">
        <v>46579</v>
      </c>
      <c r="E3654" s="131" t="s">
        <v>40</v>
      </c>
      <c r="F3654" s="133" t="s">
        <v>19</v>
      </c>
      <c r="G3654" s="134" t="n">
        <f aca="false">LEN('Saisie programme'!$J$143)+SUMIFS('Vols additionnels'!$E$7:$E$66,'Vols additionnels'!$C$7:$C$66,$E3654,'Vols additionnels'!$D$7:$D$66,$F3654,'Vols additionnels'!$B$7:$B$66,$D3654)</f>
        <v>0</v>
      </c>
      <c r="H3654" s="135" t="n">
        <f aca="false">$G3654*'Analyse capacite'!$F$8</f>
        <v>0</v>
      </c>
      <c r="I3654" s="135" t="n">
        <f aca="false">$G3654*'Analyse capacite'!$C$8</f>
        <v>0</v>
      </c>
      <c r="J3654" s="135" t="n">
        <f aca="false">$G3654*'Analyse capacite'!$D$8</f>
        <v>0</v>
      </c>
      <c r="K3654" s="135" t="n">
        <f aca="false">$G3654*'Analyse capacite'!$E$8</f>
        <v>0</v>
      </c>
    </row>
    <row r="3655" customFormat="false" ht="15" hidden="false" customHeight="false" outlineLevel="0" collapsed="false">
      <c r="B3655" s="130" t="n">
        <v>2027</v>
      </c>
      <c r="C3655" s="131" t="s">
        <v>249</v>
      </c>
      <c r="D3655" s="132" t="n">
        <v>46579</v>
      </c>
      <c r="E3655" s="131" t="s">
        <v>40</v>
      </c>
      <c r="F3655" s="133" t="s">
        <v>24</v>
      </c>
      <c r="G3655" s="134" t="n">
        <f aca="false">LEN('Saisie programme'!$J$144)+SUMIFS('Vols additionnels'!$E$7:$E$66,'Vols additionnels'!$C$7:$C$66,$E3655,'Vols additionnels'!$D$7:$D$66,$F3655,'Vols additionnels'!$B$7:$B$66,$D3655)</f>
        <v>1</v>
      </c>
      <c r="H3655" s="135" t="n">
        <f aca="false">$G3655*'Analyse capacite'!$F$9</f>
        <v>174</v>
      </c>
      <c r="I3655" s="135" t="n">
        <f aca="false">$G3655*'Analyse capacite'!$C$9</f>
        <v>0</v>
      </c>
      <c r="J3655" s="135" t="n">
        <f aca="false">$G3655*'Analyse capacite'!$D$9</f>
        <v>12</v>
      </c>
      <c r="K3655" s="135" t="n">
        <f aca="false">$G3655*'Analyse capacite'!$E$9</f>
        <v>162</v>
      </c>
    </row>
    <row r="3656" customFormat="false" ht="15" hidden="false" customHeight="false" outlineLevel="0" collapsed="false">
      <c r="B3656" s="130" t="n">
        <v>2027</v>
      </c>
      <c r="C3656" s="131" t="s">
        <v>249</v>
      </c>
      <c r="D3656" s="132" t="n">
        <v>46579</v>
      </c>
      <c r="E3656" s="131" t="s">
        <v>14</v>
      </c>
      <c r="F3656" s="133" t="s">
        <v>11</v>
      </c>
      <c r="G3656" s="134" t="n">
        <f aca="false">LEN('Saisie programme'!$J$145)+SUMIFS('Vols additionnels'!$E$7:$E$66,'Vols additionnels'!$C$7:$C$66,$E3656,'Vols additionnels'!$D$7:$D$66,$F3656,'Vols additionnels'!$B$7:$B$66,$D3656)</f>
        <v>0</v>
      </c>
      <c r="H3656" s="135" t="n">
        <f aca="false">$G3656*'Analyse capacite'!$F$7</f>
        <v>0</v>
      </c>
      <c r="I3656" s="135" t="n">
        <f aca="false">$G3656*'Analyse capacite'!$C$7</f>
        <v>0</v>
      </c>
      <c r="J3656" s="135" t="n">
        <f aca="false">$G3656*'Analyse capacite'!$D$7</f>
        <v>0</v>
      </c>
      <c r="K3656" s="135" t="n">
        <f aca="false">$G3656*'Analyse capacite'!$E$7</f>
        <v>0</v>
      </c>
    </row>
    <row r="3657" customFormat="false" ht="15" hidden="false" customHeight="false" outlineLevel="0" collapsed="false">
      <c r="B3657" s="130" t="n">
        <v>2027</v>
      </c>
      <c r="C3657" s="131" t="s">
        <v>249</v>
      </c>
      <c r="D3657" s="132" t="n">
        <v>46579</v>
      </c>
      <c r="E3657" s="131" t="s">
        <v>14</v>
      </c>
      <c r="F3657" s="133" t="s">
        <v>19</v>
      </c>
      <c r="G3657" s="134" t="n">
        <f aca="false">LEN('Saisie programme'!$J$146)+SUMIFS('Vols additionnels'!$E$7:$E$66,'Vols additionnels'!$C$7:$C$66,$E3657,'Vols additionnels'!$D$7:$D$66,$F3657,'Vols additionnels'!$B$7:$B$66,$D3657)</f>
        <v>0</v>
      </c>
      <c r="H3657" s="135" t="n">
        <f aca="false">$G3657*'Analyse capacite'!$F$8</f>
        <v>0</v>
      </c>
      <c r="I3657" s="135" t="n">
        <f aca="false">$G3657*'Analyse capacite'!$C$8</f>
        <v>0</v>
      </c>
      <c r="J3657" s="135" t="n">
        <f aca="false">$G3657*'Analyse capacite'!$D$8</f>
        <v>0</v>
      </c>
      <c r="K3657" s="135" t="n">
        <f aca="false">$G3657*'Analyse capacite'!$E$8</f>
        <v>0</v>
      </c>
    </row>
    <row r="3658" customFormat="false" ht="15" hidden="false" customHeight="false" outlineLevel="0" collapsed="false">
      <c r="B3658" s="130" t="n">
        <v>2027</v>
      </c>
      <c r="C3658" s="131" t="s">
        <v>249</v>
      </c>
      <c r="D3658" s="132" t="n">
        <v>46579</v>
      </c>
      <c r="E3658" s="131" t="s">
        <v>14</v>
      </c>
      <c r="F3658" s="133" t="s">
        <v>24</v>
      </c>
      <c r="G3658" s="134" t="n">
        <f aca="false">LEN('Saisie programme'!$J$147)+SUMIFS('Vols additionnels'!$E$7:$E$66,'Vols additionnels'!$C$7:$C$66,$E3658,'Vols additionnels'!$D$7:$D$66,$F3658,'Vols additionnels'!$B$7:$B$66,$D3658)</f>
        <v>0</v>
      </c>
      <c r="H3658" s="135" t="n">
        <f aca="false">$G3658*'Analyse capacite'!$F$9</f>
        <v>0</v>
      </c>
      <c r="I3658" s="135" t="n">
        <f aca="false">$G3658*'Analyse capacite'!$C$9</f>
        <v>0</v>
      </c>
      <c r="J3658" s="135" t="n">
        <f aca="false">$G3658*'Analyse capacite'!$D$9</f>
        <v>0</v>
      </c>
      <c r="K3658" s="135" t="n">
        <f aca="false">$G3658*'Analyse capacite'!$E$9</f>
        <v>0</v>
      </c>
    </row>
    <row r="3659" customFormat="false" ht="15" hidden="false" customHeight="false" outlineLevel="0" collapsed="false">
      <c r="B3659" s="130" t="n">
        <v>2027</v>
      </c>
      <c r="C3659" s="131" t="s">
        <v>249</v>
      </c>
      <c r="D3659" s="132" t="n">
        <v>46579</v>
      </c>
      <c r="E3659" s="131" t="s">
        <v>46</v>
      </c>
      <c r="F3659" s="133" t="s">
        <v>11</v>
      </c>
      <c r="G3659" s="134" t="n">
        <f aca="false">LEN('Saisie programme'!$J$148)+SUMIFS('Vols additionnels'!$E$7:$E$66,'Vols additionnels'!$C$7:$C$66,$E3659,'Vols additionnels'!$D$7:$D$66,$F3659,'Vols additionnels'!$B$7:$B$66,$D3659)</f>
        <v>0</v>
      </c>
      <c r="H3659" s="135" t="n">
        <f aca="false">$G3659*'Analyse capacite'!$F$7</f>
        <v>0</v>
      </c>
      <c r="I3659" s="135" t="n">
        <f aca="false">$G3659*'Analyse capacite'!$C$7</f>
        <v>0</v>
      </c>
      <c r="J3659" s="135" t="n">
        <f aca="false">$G3659*'Analyse capacite'!$D$7</f>
        <v>0</v>
      </c>
      <c r="K3659" s="135" t="n">
        <f aca="false">$G3659*'Analyse capacite'!$E$7</f>
        <v>0</v>
      </c>
    </row>
    <row r="3660" customFormat="false" ht="15" hidden="false" customHeight="false" outlineLevel="0" collapsed="false">
      <c r="B3660" s="130" t="n">
        <v>2027</v>
      </c>
      <c r="C3660" s="131" t="s">
        <v>249</v>
      </c>
      <c r="D3660" s="132" t="n">
        <v>46579</v>
      </c>
      <c r="E3660" s="131" t="s">
        <v>46</v>
      </c>
      <c r="F3660" s="133" t="s">
        <v>19</v>
      </c>
      <c r="G3660" s="134" t="n">
        <f aca="false">LEN('Saisie programme'!$J$149)+SUMIFS('Vols additionnels'!$E$7:$E$66,'Vols additionnels'!$C$7:$C$66,$E3660,'Vols additionnels'!$D$7:$D$66,$F3660,'Vols additionnels'!$B$7:$B$66,$D3660)</f>
        <v>0</v>
      </c>
      <c r="H3660" s="135" t="n">
        <f aca="false">$G3660*'Analyse capacite'!$F$8</f>
        <v>0</v>
      </c>
      <c r="I3660" s="135" t="n">
        <f aca="false">$G3660*'Analyse capacite'!$C$8</f>
        <v>0</v>
      </c>
      <c r="J3660" s="135" t="n">
        <f aca="false">$G3660*'Analyse capacite'!$D$8</f>
        <v>0</v>
      </c>
      <c r="K3660" s="135" t="n">
        <f aca="false">$G3660*'Analyse capacite'!$E$8</f>
        <v>0</v>
      </c>
    </row>
    <row r="3661" customFormat="false" ht="15" hidden="false" customHeight="false" outlineLevel="0" collapsed="false">
      <c r="B3661" s="130" t="n">
        <v>2027</v>
      </c>
      <c r="C3661" s="131" t="s">
        <v>249</v>
      </c>
      <c r="D3661" s="132" t="n">
        <v>46579</v>
      </c>
      <c r="E3661" s="131" t="s">
        <v>46</v>
      </c>
      <c r="F3661" s="133" t="s">
        <v>24</v>
      </c>
      <c r="G3661" s="134" t="n">
        <f aca="false">LEN('Saisie programme'!$J$150)+SUMIFS('Vols additionnels'!$E$7:$E$66,'Vols additionnels'!$C$7:$C$66,$E3661,'Vols additionnels'!$D$7:$D$66,$F3661,'Vols additionnels'!$B$7:$B$66,$D3661)</f>
        <v>0</v>
      </c>
      <c r="H3661" s="135" t="n">
        <f aca="false">$G3661*'Analyse capacite'!$F$9</f>
        <v>0</v>
      </c>
      <c r="I3661" s="135" t="n">
        <f aca="false">$G3661*'Analyse capacite'!$C$9</f>
        <v>0</v>
      </c>
      <c r="J3661" s="135" t="n">
        <f aca="false">$G3661*'Analyse capacite'!$D$9</f>
        <v>0</v>
      </c>
      <c r="K3661" s="135" t="n">
        <f aca="false">$G3661*'Analyse capacite'!$E$9</f>
        <v>0</v>
      </c>
    </row>
    <row r="3662" customFormat="false" ht="15" hidden="false" customHeight="false" outlineLevel="0" collapsed="false">
      <c r="B3662" s="130" t="n">
        <v>2027</v>
      </c>
      <c r="C3662" s="131" t="s">
        <v>249</v>
      </c>
      <c r="D3662" s="132" t="n">
        <v>46579</v>
      </c>
      <c r="E3662" s="131" t="s">
        <v>49</v>
      </c>
      <c r="F3662" s="133" t="s">
        <v>11</v>
      </c>
      <c r="G3662" s="134" t="n">
        <f aca="false">LEN('Saisie programme'!$J$151)+SUMIFS('Vols additionnels'!$E$7:$E$66,'Vols additionnels'!$C$7:$C$66,$E3662,'Vols additionnels'!$D$7:$D$66,$F3662,'Vols additionnels'!$B$7:$B$66,$D3662)</f>
        <v>0</v>
      </c>
      <c r="H3662" s="135" t="n">
        <f aca="false">$G3662*'Analyse capacite'!$F$7</f>
        <v>0</v>
      </c>
      <c r="I3662" s="135" t="n">
        <f aca="false">$G3662*'Analyse capacite'!$C$7</f>
        <v>0</v>
      </c>
      <c r="J3662" s="135" t="n">
        <f aca="false">$G3662*'Analyse capacite'!$D$7</f>
        <v>0</v>
      </c>
      <c r="K3662" s="135" t="n">
        <f aca="false">$G3662*'Analyse capacite'!$E$7</f>
        <v>0</v>
      </c>
    </row>
    <row r="3663" customFormat="false" ht="15" hidden="false" customHeight="false" outlineLevel="0" collapsed="false">
      <c r="B3663" s="130" t="n">
        <v>2027</v>
      </c>
      <c r="C3663" s="131" t="s">
        <v>249</v>
      </c>
      <c r="D3663" s="132" t="n">
        <v>46579</v>
      </c>
      <c r="E3663" s="131" t="s">
        <v>49</v>
      </c>
      <c r="F3663" s="133" t="s">
        <v>19</v>
      </c>
      <c r="G3663" s="134" t="n">
        <f aca="false">LEN('Saisie programme'!$J$152)+SUMIFS('Vols additionnels'!$E$7:$E$66,'Vols additionnels'!$C$7:$C$66,$E3663,'Vols additionnels'!$D$7:$D$66,$F3663,'Vols additionnels'!$B$7:$B$66,$D3663)</f>
        <v>0</v>
      </c>
      <c r="H3663" s="135" t="n">
        <f aca="false">$G3663*'Analyse capacite'!$F$8</f>
        <v>0</v>
      </c>
      <c r="I3663" s="135" t="n">
        <f aca="false">$G3663*'Analyse capacite'!$C$8</f>
        <v>0</v>
      </c>
      <c r="J3663" s="135" t="n">
        <f aca="false">$G3663*'Analyse capacite'!$D$8</f>
        <v>0</v>
      </c>
      <c r="K3663" s="135" t="n">
        <f aca="false">$G3663*'Analyse capacite'!$E$8</f>
        <v>0</v>
      </c>
    </row>
    <row r="3664" customFormat="false" ht="15" hidden="false" customHeight="false" outlineLevel="0" collapsed="false">
      <c r="B3664" s="130" t="n">
        <v>2027</v>
      </c>
      <c r="C3664" s="131" t="s">
        <v>249</v>
      </c>
      <c r="D3664" s="132" t="n">
        <v>46579</v>
      </c>
      <c r="E3664" s="131" t="s">
        <v>49</v>
      </c>
      <c r="F3664" s="133" t="s">
        <v>24</v>
      </c>
      <c r="G3664" s="134" t="n">
        <f aca="false">LEN('Saisie programme'!$J$153)+SUMIFS('Vols additionnels'!$E$7:$E$66,'Vols additionnels'!$C$7:$C$66,$E3664,'Vols additionnels'!$D$7:$D$66,$F3664,'Vols additionnels'!$B$7:$B$66,$D3664)</f>
        <v>0</v>
      </c>
      <c r="H3664" s="135" t="n">
        <f aca="false">$G3664*'Analyse capacite'!$F$9</f>
        <v>0</v>
      </c>
      <c r="I3664" s="135" t="n">
        <f aca="false">$G3664*'Analyse capacite'!$C$9</f>
        <v>0</v>
      </c>
      <c r="J3664" s="135" t="n">
        <f aca="false">$G3664*'Analyse capacite'!$D$9</f>
        <v>0</v>
      </c>
      <c r="K3664" s="135" t="n">
        <f aca="false">$G3664*'Analyse capacite'!$E$9</f>
        <v>0</v>
      </c>
    </row>
    <row r="3665" customFormat="false" ht="15" hidden="false" customHeight="false" outlineLevel="0" collapsed="false">
      <c r="B3665" s="130" t="n">
        <v>2027</v>
      </c>
      <c r="C3665" s="131" t="s">
        <v>249</v>
      </c>
      <c r="D3665" s="132" t="n">
        <v>46579</v>
      </c>
      <c r="E3665" s="131" t="s">
        <v>53</v>
      </c>
      <c r="F3665" s="133" t="s">
        <v>11</v>
      </c>
      <c r="G3665" s="134" t="n">
        <f aca="false">LEN('Saisie programme'!$J$154)+SUMIFS('Vols additionnels'!$E$7:$E$66,'Vols additionnels'!$C$7:$C$66,$E3665,'Vols additionnels'!$D$7:$D$66,$F3665,'Vols additionnels'!$B$7:$B$66,$D3665)</f>
        <v>0</v>
      </c>
      <c r="H3665" s="135" t="n">
        <f aca="false">$G3665*'Analyse capacite'!$F$7</f>
        <v>0</v>
      </c>
      <c r="I3665" s="135" t="n">
        <f aca="false">$G3665*'Analyse capacite'!$C$7</f>
        <v>0</v>
      </c>
      <c r="J3665" s="135" t="n">
        <f aca="false">$G3665*'Analyse capacite'!$D$7</f>
        <v>0</v>
      </c>
      <c r="K3665" s="135" t="n">
        <f aca="false">$G3665*'Analyse capacite'!$E$7</f>
        <v>0</v>
      </c>
    </row>
    <row r="3666" customFormat="false" ht="15" hidden="false" customHeight="false" outlineLevel="0" collapsed="false">
      <c r="B3666" s="130" t="n">
        <v>2027</v>
      </c>
      <c r="C3666" s="131" t="s">
        <v>249</v>
      </c>
      <c r="D3666" s="132" t="n">
        <v>46579</v>
      </c>
      <c r="E3666" s="131" t="s">
        <v>53</v>
      </c>
      <c r="F3666" s="133" t="s">
        <v>19</v>
      </c>
      <c r="G3666" s="134" t="n">
        <f aca="false">LEN('Saisie programme'!$J$155)+SUMIFS('Vols additionnels'!$E$7:$E$66,'Vols additionnels'!$C$7:$C$66,$E3666,'Vols additionnels'!$D$7:$D$66,$F3666,'Vols additionnels'!$B$7:$B$66,$D3666)</f>
        <v>0</v>
      </c>
      <c r="H3666" s="135" t="n">
        <f aca="false">$G3666*'Analyse capacite'!$F$8</f>
        <v>0</v>
      </c>
      <c r="I3666" s="135" t="n">
        <f aca="false">$G3666*'Analyse capacite'!$C$8</f>
        <v>0</v>
      </c>
      <c r="J3666" s="135" t="n">
        <f aca="false">$G3666*'Analyse capacite'!$D$8</f>
        <v>0</v>
      </c>
      <c r="K3666" s="135" t="n">
        <f aca="false">$G3666*'Analyse capacite'!$E$8</f>
        <v>0</v>
      </c>
    </row>
    <row r="3667" customFormat="false" ht="15" hidden="false" customHeight="false" outlineLevel="0" collapsed="false">
      <c r="B3667" s="130" t="n">
        <v>2027</v>
      </c>
      <c r="C3667" s="131" t="s">
        <v>249</v>
      </c>
      <c r="D3667" s="132" t="n">
        <v>46579</v>
      </c>
      <c r="E3667" s="131" t="s">
        <v>53</v>
      </c>
      <c r="F3667" s="133" t="s">
        <v>24</v>
      </c>
      <c r="G3667" s="134" t="n">
        <f aca="false">LEN('Saisie programme'!$J$156)+SUMIFS('Vols additionnels'!$E$7:$E$66,'Vols additionnels'!$C$7:$C$66,$E3667,'Vols additionnels'!$D$7:$D$66,$F3667,'Vols additionnels'!$B$7:$B$66,$D3667)</f>
        <v>0</v>
      </c>
      <c r="H3667" s="135" t="n">
        <f aca="false">$G3667*'Analyse capacite'!$F$9</f>
        <v>0</v>
      </c>
      <c r="I3667" s="135" t="n">
        <f aca="false">$G3667*'Analyse capacite'!$C$9</f>
        <v>0</v>
      </c>
      <c r="J3667" s="135" t="n">
        <f aca="false">$G3667*'Analyse capacite'!$D$9</f>
        <v>0</v>
      </c>
      <c r="K3667" s="135" t="n">
        <f aca="false">$G3667*'Analyse capacite'!$E$9</f>
        <v>0</v>
      </c>
    </row>
    <row r="3668" customFormat="false" ht="15" hidden="false" customHeight="false" outlineLevel="0" collapsed="false">
      <c r="B3668" s="130" t="n">
        <v>2027</v>
      </c>
      <c r="C3668" s="131" t="s">
        <v>249</v>
      </c>
      <c r="D3668" s="132" t="n">
        <v>46579</v>
      </c>
      <c r="E3668" s="131" t="s">
        <v>56</v>
      </c>
      <c r="F3668" s="133" t="s">
        <v>11</v>
      </c>
      <c r="G3668" s="134" t="n">
        <f aca="false">LEN('Saisie programme'!$J$157)+SUMIFS('Vols additionnels'!$E$7:$E$66,'Vols additionnels'!$C$7:$C$66,$E3668,'Vols additionnels'!$D$7:$D$66,$F3668,'Vols additionnels'!$B$7:$B$66,$D3668)</f>
        <v>0</v>
      </c>
      <c r="H3668" s="135" t="n">
        <f aca="false">$G3668*'Analyse capacite'!$F$7</f>
        <v>0</v>
      </c>
      <c r="I3668" s="135" t="n">
        <f aca="false">$G3668*'Analyse capacite'!$C$7</f>
        <v>0</v>
      </c>
      <c r="J3668" s="135" t="n">
        <f aca="false">$G3668*'Analyse capacite'!$D$7</f>
        <v>0</v>
      </c>
      <c r="K3668" s="135" t="n">
        <f aca="false">$G3668*'Analyse capacite'!$E$7</f>
        <v>0</v>
      </c>
    </row>
    <row r="3669" customFormat="false" ht="15" hidden="false" customHeight="false" outlineLevel="0" collapsed="false">
      <c r="B3669" s="130" t="n">
        <v>2027</v>
      </c>
      <c r="C3669" s="131" t="s">
        <v>249</v>
      </c>
      <c r="D3669" s="132" t="n">
        <v>46579</v>
      </c>
      <c r="E3669" s="131" t="s">
        <v>56</v>
      </c>
      <c r="F3669" s="133" t="s">
        <v>19</v>
      </c>
      <c r="G3669" s="134" t="n">
        <f aca="false">LEN('Saisie programme'!$J$158)+SUMIFS('Vols additionnels'!$E$7:$E$66,'Vols additionnels'!$C$7:$C$66,$E3669,'Vols additionnels'!$D$7:$D$66,$F3669,'Vols additionnels'!$B$7:$B$66,$D3669)</f>
        <v>0</v>
      </c>
      <c r="H3669" s="135" t="n">
        <f aca="false">$G3669*'Analyse capacite'!$F$8</f>
        <v>0</v>
      </c>
      <c r="I3669" s="135" t="n">
        <f aca="false">$G3669*'Analyse capacite'!$C$8</f>
        <v>0</v>
      </c>
      <c r="J3669" s="135" t="n">
        <f aca="false">$G3669*'Analyse capacite'!$D$8</f>
        <v>0</v>
      </c>
      <c r="K3669" s="135" t="n">
        <f aca="false">$G3669*'Analyse capacite'!$E$8</f>
        <v>0</v>
      </c>
    </row>
    <row r="3670" customFormat="false" ht="15" hidden="false" customHeight="false" outlineLevel="0" collapsed="false">
      <c r="B3670" s="130" t="n">
        <v>2027</v>
      </c>
      <c r="C3670" s="131" t="s">
        <v>249</v>
      </c>
      <c r="D3670" s="132" t="n">
        <v>46579</v>
      </c>
      <c r="E3670" s="131" t="s">
        <v>56</v>
      </c>
      <c r="F3670" s="133" t="s">
        <v>24</v>
      </c>
      <c r="G3670" s="134" t="n">
        <f aca="false">LEN('Saisie programme'!$J$159)+SUMIFS('Vols additionnels'!$E$7:$E$66,'Vols additionnels'!$C$7:$C$66,$E3670,'Vols additionnels'!$D$7:$D$66,$F3670,'Vols additionnels'!$B$7:$B$66,$D3670)</f>
        <v>0</v>
      </c>
      <c r="H3670" s="135" t="n">
        <f aca="false">$G3670*'Analyse capacite'!$F$9</f>
        <v>0</v>
      </c>
      <c r="I3670" s="135" t="n">
        <f aca="false">$G3670*'Analyse capacite'!$C$9</f>
        <v>0</v>
      </c>
      <c r="J3670" s="135" t="n">
        <f aca="false">$G3670*'Analyse capacite'!$D$9</f>
        <v>0</v>
      </c>
      <c r="K3670" s="135" t="n">
        <f aca="false">$G3670*'Analyse capacite'!$E$9</f>
        <v>0</v>
      </c>
    </row>
    <row r="3671" customFormat="false" ht="15" hidden="false" customHeight="false" outlineLevel="0" collapsed="false">
      <c r="B3671" s="130" t="n">
        <v>2027</v>
      </c>
      <c r="C3671" s="131" t="s">
        <v>249</v>
      </c>
      <c r="D3671" s="132" t="n">
        <v>46579</v>
      </c>
      <c r="E3671" s="131" t="s">
        <v>59</v>
      </c>
      <c r="F3671" s="133" t="s">
        <v>11</v>
      </c>
      <c r="G3671" s="134" t="n">
        <f aca="false">LEN('Saisie programme'!$J$160)+SUMIFS('Vols additionnels'!$E$7:$E$66,'Vols additionnels'!$C$7:$C$66,$E3671,'Vols additionnels'!$D$7:$D$66,$F3671,'Vols additionnels'!$B$7:$B$66,$D3671)</f>
        <v>0</v>
      </c>
      <c r="H3671" s="135" t="n">
        <f aca="false">$G3671*'Analyse capacite'!$F$7</f>
        <v>0</v>
      </c>
      <c r="I3671" s="135" t="n">
        <f aca="false">$G3671*'Analyse capacite'!$C$7</f>
        <v>0</v>
      </c>
      <c r="J3671" s="135" t="n">
        <f aca="false">$G3671*'Analyse capacite'!$D$7</f>
        <v>0</v>
      </c>
      <c r="K3671" s="135" t="n">
        <f aca="false">$G3671*'Analyse capacite'!$E$7</f>
        <v>0</v>
      </c>
    </row>
    <row r="3672" customFormat="false" ht="15" hidden="false" customHeight="false" outlineLevel="0" collapsed="false">
      <c r="B3672" s="130" t="n">
        <v>2027</v>
      </c>
      <c r="C3672" s="131" t="s">
        <v>249</v>
      </c>
      <c r="D3672" s="132" t="n">
        <v>46579</v>
      </c>
      <c r="E3672" s="131" t="s">
        <v>59</v>
      </c>
      <c r="F3672" s="133" t="s">
        <v>19</v>
      </c>
      <c r="G3672" s="134" t="n">
        <f aca="false">LEN('Saisie programme'!$J$161)+SUMIFS('Vols additionnels'!$E$7:$E$66,'Vols additionnels'!$C$7:$C$66,$E3672,'Vols additionnels'!$D$7:$D$66,$F3672,'Vols additionnels'!$B$7:$B$66,$D3672)</f>
        <v>0</v>
      </c>
      <c r="H3672" s="135" t="n">
        <f aca="false">$G3672*'Analyse capacite'!$F$8</f>
        <v>0</v>
      </c>
      <c r="I3672" s="135" t="n">
        <f aca="false">$G3672*'Analyse capacite'!$C$8</f>
        <v>0</v>
      </c>
      <c r="J3672" s="135" t="n">
        <f aca="false">$G3672*'Analyse capacite'!$D$8</f>
        <v>0</v>
      </c>
      <c r="K3672" s="135" t="n">
        <f aca="false">$G3672*'Analyse capacite'!$E$8</f>
        <v>0</v>
      </c>
    </row>
    <row r="3673" customFormat="false" ht="15" hidden="false" customHeight="false" outlineLevel="0" collapsed="false">
      <c r="B3673" s="130" t="n">
        <v>2027</v>
      </c>
      <c r="C3673" s="131" t="s">
        <v>249</v>
      </c>
      <c r="D3673" s="132" t="n">
        <v>46579</v>
      </c>
      <c r="E3673" s="131" t="s">
        <v>59</v>
      </c>
      <c r="F3673" s="133" t="s">
        <v>24</v>
      </c>
      <c r="G3673" s="134" t="n">
        <f aca="false">LEN('Saisie programme'!$J$162)+SUMIFS('Vols additionnels'!$E$7:$E$66,'Vols additionnels'!$C$7:$C$66,$E3673,'Vols additionnels'!$D$7:$D$66,$F3673,'Vols additionnels'!$B$7:$B$66,$D3673)</f>
        <v>0</v>
      </c>
      <c r="H3673" s="135" t="n">
        <f aca="false">$G3673*'Analyse capacite'!$F$9</f>
        <v>0</v>
      </c>
      <c r="I3673" s="135" t="n">
        <f aca="false">$G3673*'Analyse capacite'!$C$9</f>
        <v>0</v>
      </c>
      <c r="J3673" s="135" t="n">
        <f aca="false">$G3673*'Analyse capacite'!$D$9</f>
        <v>0</v>
      </c>
      <c r="K3673" s="135" t="n">
        <f aca="false">$G3673*'Analyse capacite'!$E$9</f>
        <v>0</v>
      </c>
    </row>
    <row r="3674" customFormat="false" ht="15" hidden="false" customHeight="false" outlineLevel="0" collapsed="false">
      <c r="B3674" s="130" t="n">
        <v>2027</v>
      </c>
      <c r="C3674" s="131" t="s">
        <v>249</v>
      </c>
      <c r="D3674" s="132" t="n">
        <v>46579</v>
      </c>
      <c r="E3674" s="131" t="s">
        <v>62</v>
      </c>
      <c r="F3674" s="133" t="s">
        <v>11</v>
      </c>
      <c r="G3674" s="134" t="n">
        <f aca="false">LEN('Saisie programme'!$J$163)+SUMIFS('Vols additionnels'!$E$7:$E$66,'Vols additionnels'!$C$7:$C$66,$E3674,'Vols additionnels'!$D$7:$D$66,$F3674,'Vols additionnels'!$B$7:$B$66,$D3674)</f>
        <v>0</v>
      </c>
      <c r="H3674" s="135" t="n">
        <f aca="false">$G3674*'Analyse capacite'!$F$7</f>
        <v>0</v>
      </c>
      <c r="I3674" s="135" t="n">
        <f aca="false">$G3674*'Analyse capacite'!$C$7</f>
        <v>0</v>
      </c>
      <c r="J3674" s="135" t="n">
        <f aca="false">$G3674*'Analyse capacite'!$D$7</f>
        <v>0</v>
      </c>
      <c r="K3674" s="135" t="n">
        <f aca="false">$G3674*'Analyse capacite'!$E$7</f>
        <v>0</v>
      </c>
    </row>
    <row r="3675" customFormat="false" ht="15" hidden="false" customHeight="false" outlineLevel="0" collapsed="false">
      <c r="B3675" s="130" t="n">
        <v>2027</v>
      </c>
      <c r="C3675" s="131" t="s">
        <v>249</v>
      </c>
      <c r="D3675" s="132" t="n">
        <v>46579</v>
      </c>
      <c r="E3675" s="131" t="s">
        <v>62</v>
      </c>
      <c r="F3675" s="133" t="s">
        <v>19</v>
      </c>
      <c r="G3675" s="134" t="n">
        <f aca="false">LEN('Saisie programme'!$J$164)+SUMIFS('Vols additionnels'!$E$7:$E$66,'Vols additionnels'!$C$7:$C$66,$E3675,'Vols additionnels'!$D$7:$D$66,$F3675,'Vols additionnels'!$B$7:$B$66,$D3675)</f>
        <v>0</v>
      </c>
      <c r="H3675" s="135" t="n">
        <f aca="false">$G3675*'Analyse capacite'!$F$8</f>
        <v>0</v>
      </c>
      <c r="I3675" s="135" t="n">
        <f aca="false">$G3675*'Analyse capacite'!$C$8</f>
        <v>0</v>
      </c>
      <c r="J3675" s="135" t="n">
        <f aca="false">$G3675*'Analyse capacite'!$D$8</f>
        <v>0</v>
      </c>
      <c r="K3675" s="135" t="n">
        <f aca="false">$G3675*'Analyse capacite'!$E$8</f>
        <v>0</v>
      </c>
    </row>
    <row r="3676" customFormat="false" ht="15" hidden="false" customHeight="false" outlineLevel="0" collapsed="false">
      <c r="B3676" s="130" t="n">
        <v>2027</v>
      </c>
      <c r="C3676" s="131" t="s">
        <v>249</v>
      </c>
      <c r="D3676" s="132" t="n">
        <v>46579</v>
      </c>
      <c r="E3676" s="131" t="s">
        <v>62</v>
      </c>
      <c r="F3676" s="133" t="s">
        <v>24</v>
      </c>
      <c r="G3676" s="134" t="n">
        <f aca="false">LEN('Saisie programme'!$J$165)+SUMIFS('Vols additionnels'!$E$7:$E$66,'Vols additionnels'!$C$7:$C$66,$E3676,'Vols additionnels'!$D$7:$D$66,$F3676,'Vols additionnels'!$B$7:$B$66,$D3676)</f>
        <v>1</v>
      </c>
      <c r="H3676" s="135" t="n">
        <f aca="false">$G3676*'Analyse capacite'!$F$9</f>
        <v>174</v>
      </c>
      <c r="I3676" s="135" t="n">
        <f aca="false">$G3676*'Analyse capacite'!$C$9</f>
        <v>0</v>
      </c>
      <c r="J3676" s="135" t="n">
        <f aca="false">$G3676*'Analyse capacite'!$D$9</f>
        <v>12</v>
      </c>
      <c r="K3676" s="135" t="n">
        <f aca="false">$G3676*'Analyse capacite'!$E$9</f>
        <v>162</v>
      </c>
    </row>
    <row r="3677" customFormat="false" ht="15" hidden="false" customHeight="false" outlineLevel="0" collapsed="false">
      <c r="B3677" s="130" t="n">
        <v>2027</v>
      </c>
      <c r="C3677" s="131" t="s">
        <v>249</v>
      </c>
      <c r="D3677" s="132" t="n">
        <v>46580</v>
      </c>
      <c r="E3677" s="131" t="s">
        <v>12</v>
      </c>
      <c r="F3677" s="133" t="s">
        <v>11</v>
      </c>
      <c r="G3677" s="134" t="n">
        <f aca="false">LEN('Saisie programme'!$D$130)+SUMIFS('Vols additionnels'!$E$7:$E$66,'Vols additionnels'!$C$7:$C$66,$E3677,'Vols additionnels'!$D$7:$D$66,$F3677,'Vols additionnels'!$B$7:$B$66,$D3677)</f>
        <v>1</v>
      </c>
      <c r="H3677" s="135" t="n">
        <f aca="false">$G3677*'Analyse capacite'!$F$7</f>
        <v>438</v>
      </c>
      <c r="I3677" s="135" t="n">
        <f aca="false">$G3677*'Analyse capacite'!$C$7</f>
        <v>14</v>
      </c>
      <c r="J3677" s="135" t="n">
        <f aca="false">$G3677*'Analyse capacite'!$D$7</f>
        <v>40</v>
      </c>
      <c r="K3677" s="135" t="n">
        <f aca="false">$G3677*'Analyse capacite'!$E$7</f>
        <v>384</v>
      </c>
    </row>
    <row r="3678" customFormat="false" ht="15" hidden="false" customHeight="false" outlineLevel="0" collapsed="false">
      <c r="B3678" s="130" t="n">
        <v>2027</v>
      </c>
      <c r="C3678" s="131" t="s">
        <v>249</v>
      </c>
      <c r="D3678" s="132" t="n">
        <v>46580</v>
      </c>
      <c r="E3678" s="131" t="s">
        <v>12</v>
      </c>
      <c r="F3678" s="133" t="s">
        <v>19</v>
      </c>
      <c r="G3678" s="134" t="n">
        <f aca="false">LEN('Saisie programme'!$D$131)+SUMIFS('Vols additionnels'!$E$7:$E$66,'Vols additionnels'!$C$7:$C$66,$E3678,'Vols additionnels'!$D$7:$D$66,$F3678,'Vols additionnels'!$B$7:$B$66,$D3678)</f>
        <v>1</v>
      </c>
      <c r="H3678" s="135" t="n">
        <f aca="false">$G3678*'Analyse capacite'!$F$8</f>
        <v>262</v>
      </c>
      <c r="I3678" s="135" t="n">
        <f aca="false">$G3678*'Analyse capacite'!$C$8</f>
        <v>18</v>
      </c>
      <c r="J3678" s="135" t="n">
        <f aca="false">$G3678*'Analyse capacite'!$D$8</f>
        <v>0</v>
      </c>
      <c r="K3678" s="135" t="n">
        <f aca="false">$G3678*'Analyse capacite'!$E$8</f>
        <v>244</v>
      </c>
    </row>
    <row r="3679" customFormat="false" ht="15" hidden="false" customHeight="false" outlineLevel="0" collapsed="false">
      <c r="B3679" s="130" t="n">
        <v>2027</v>
      </c>
      <c r="C3679" s="131" t="s">
        <v>249</v>
      </c>
      <c r="D3679" s="132" t="n">
        <v>46580</v>
      </c>
      <c r="E3679" s="131" t="s">
        <v>12</v>
      </c>
      <c r="F3679" s="133" t="s">
        <v>24</v>
      </c>
      <c r="G3679" s="134" t="n">
        <f aca="false">LEN('Saisie programme'!$D$132)+SUMIFS('Vols additionnels'!$E$7:$E$66,'Vols additionnels'!$C$7:$C$66,$E3679,'Vols additionnels'!$D$7:$D$66,$F3679,'Vols additionnels'!$B$7:$B$66,$D3679)</f>
        <v>2</v>
      </c>
      <c r="H3679" s="135" t="n">
        <f aca="false">$G3679*'Analyse capacite'!$F$9</f>
        <v>348</v>
      </c>
      <c r="I3679" s="135" t="n">
        <f aca="false">$G3679*'Analyse capacite'!$C$9</f>
        <v>0</v>
      </c>
      <c r="J3679" s="135" t="n">
        <f aca="false">$G3679*'Analyse capacite'!$D$9</f>
        <v>24</v>
      </c>
      <c r="K3679" s="135" t="n">
        <f aca="false">$G3679*'Analyse capacite'!$E$9</f>
        <v>324</v>
      </c>
    </row>
    <row r="3680" customFormat="false" ht="15" hidden="false" customHeight="false" outlineLevel="0" collapsed="false">
      <c r="B3680" s="130" t="n">
        <v>2027</v>
      </c>
      <c r="C3680" s="131" t="s">
        <v>249</v>
      </c>
      <c r="D3680" s="132" t="n">
        <v>46580</v>
      </c>
      <c r="E3680" s="131" t="s">
        <v>20</v>
      </c>
      <c r="F3680" s="133" t="s">
        <v>11</v>
      </c>
      <c r="G3680" s="134" t="n">
        <f aca="false">LEN('Saisie programme'!$D$133)+SUMIFS('Vols additionnels'!$E$7:$E$66,'Vols additionnels'!$C$7:$C$66,$E3680,'Vols additionnels'!$D$7:$D$66,$F3680,'Vols additionnels'!$B$7:$B$66,$D3680)</f>
        <v>0</v>
      </c>
      <c r="H3680" s="135" t="n">
        <f aca="false">$G3680*'Analyse capacite'!$F$7</f>
        <v>0</v>
      </c>
      <c r="I3680" s="135" t="n">
        <f aca="false">$G3680*'Analyse capacite'!$C$7</f>
        <v>0</v>
      </c>
      <c r="J3680" s="135" t="n">
        <f aca="false">$G3680*'Analyse capacite'!$D$7</f>
        <v>0</v>
      </c>
      <c r="K3680" s="135" t="n">
        <f aca="false">$G3680*'Analyse capacite'!$E$7</f>
        <v>0</v>
      </c>
    </row>
    <row r="3681" customFormat="false" ht="15" hidden="false" customHeight="false" outlineLevel="0" collapsed="false">
      <c r="B3681" s="130" t="n">
        <v>2027</v>
      </c>
      <c r="C3681" s="131" t="s">
        <v>249</v>
      </c>
      <c r="D3681" s="132" t="n">
        <v>46580</v>
      </c>
      <c r="E3681" s="131" t="s">
        <v>20</v>
      </c>
      <c r="F3681" s="133" t="s">
        <v>19</v>
      </c>
      <c r="G3681" s="134" t="n">
        <f aca="false">LEN('Saisie programme'!$D$134)+SUMIFS('Vols additionnels'!$E$7:$E$66,'Vols additionnels'!$C$7:$C$66,$E3681,'Vols additionnels'!$D$7:$D$66,$F3681,'Vols additionnels'!$B$7:$B$66,$D3681)</f>
        <v>0</v>
      </c>
      <c r="H3681" s="135" t="n">
        <f aca="false">$G3681*'Analyse capacite'!$F$8</f>
        <v>0</v>
      </c>
      <c r="I3681" s="135" t="n">
        <f aca="false">$G3681*'Analyse capacite'!$C$8</f>
        <v>0</v>
      </c>
      <c r="J3681" s="135" t="n">
        <f aca="false">$G3681*'Analyse capacite'!$D$8</f>
        <v>0</v>
      </c>
      <c r="K3681" s="135" t="n">
        <f aca="false">$G3681*'Analyse capacite'!$E$8</f>
        <v>0</v>
      </c>
    </row>
    <row r="3682" customFormat="false" ht="15" hidden="false" customHeight="false" outlineLevel="0" collapsed="false">
      <c r="B3682" s="130" t="n">
        <v>2027</v>
      </c>
      <c r="C3682" s="131" t="s">
        <v>249</v>
      </c>
      <c r="D3682" s="132" t="n">
        <v>46580</v>
      </c>
      <c r="E3682" s="131" t="s">
        <v>20</v>
      </c>
      <c r="F3682" s="133" t="s">
        <v>24</v>
      </c>
      <c r="G3682" s="134" t="n">
        <f aca="false">LEN('Saisie programme'!$D$135)+SUMIFS('Vols additionnels'!$E$7:$E$66,'Vols additionnels'!$C$7:$C$66,$E3682,'Vols additionnels'!$D$7:$D$66,$F3682,'Vols additionnels'!$B$7:$B$66,$D3682)</f>
        <v>0</v>
      </c>
      <c r="H3682" s="135" t="n">
        <f aca="false">$G3682*'Analyse capacite'!$F$9</f>
        <v>0</v>
      </c>
      <c r="I3682" s="135" t="n">
        <f aca="false">$G3682*'Analyse capacite'!$C$9</f>
        <v>0</v>
      </c>
      <c r="J3682" s="135" t="n">
        <f aca="false">$G3682*'Analyse capacite'!$D$9</f>
        <v>0</v>
      </c>
      <c r="K3682" s="135" t="n">
        <f aca="false">$G3682*'Analyse capacite'!$E$9</f>
        <v>0</v>
      </c>
    </row>
    <row r="3683" customFormat="false" ht="15" hidden="false" customHeight="false" outlineLevel="0" collapsed="false">
      <c r="B3683" s="130" t="n">
        <v>2027</v>
      </c>
      <c r="C3683" s="131" t="s">
        <v>249</v>
      </c>
      <c r="D3683" s="132" t="n">
        <v>46580</v>
      </c>
      <c r="E3683" s="131" t="s">
        <v>25</v>
      </c>
      <c r="F3683" s="133" t="s">
        <v>11</v>
      </c>
      <c r="G3683" s="134" t="n">
        <f aca="false">LEN('Saisie programme'!$D$136)+SUMIFS('Vols additionnels'!$E$7:$E$66,'Vols additionnels'!$C$7:$C$66,$E3683,'Vols additionnels'!$D$7:$D$66,$F3683,'Vols additionnels'!$B$7:$B$66,$D3683)</f>
        <v>0</v>
      </c>
      <c r="H3683" s="135" t="n">
        <f aca="false">$G3683*'Analyse capacite'!$F$7</f>
        <v>0</v>
      </c>
      <c r="I3683" s="135" t="n">
        <f aca="false">$G3683*'Analyse capacite'!$C$7</f>
        <v>0</v>
      </c>
      <c r="J3683" s="135" t="n">
        <f aca="false">$G3683*'Analyse capacite'!$D$7</f>
        <v>0</v>
      </c>
      <c r="K3683" s="135" t="n">
        <f aca="false">$G3683*'Analyse capacite'!$E$7</f>
        <v>0</v>
      </c>
    </row>
    <row r="3684" customFormat="false" ht="15" hidden="false" customHeight="false" outlineLevel="0" collapsed="false">
      <c r="B3684" s="130" t="n">
        <v>2027</v>
      </c>
      <c r="C3684" s="131" t="s">
        <v>249</v>
      </c>
      <c r="D3684" s="132" t="n">
        <v>46580</v>
      </c>
      <c r="E3684" s="131" t="s">
        <v>25</v>
      </c>
      <c r="F3684" s="133" t="s">
        <v>19</v>
      </c>
      <c r="G3684" s="134" t="n">
        <f aca="false">LEN('Saisie programme'!$D$137)+SUMIFS('Vols additionnels'!$E$7:$E$66,'Vols additionnels'!$C$7:$C$66,$E3684,'Vols additionnels'!$D$7:$D$66,$F3684,'Vols additionnels'!$B$7:$B$66,$D3684)</f>
        <v>0</v>
      </c>
      <c r="H3684" s="135" t="n">
        <f aca="false">$G3684*'Analyse capacite'!$F$8</f>
        <v>0</v>
      </c>
      <c r="I3684" s="135" t="n">
        <f aca="false">$G3684*'Analyse capacite'!$C$8</f>
        <v>0</v>
      </c>
      <c r="J3684" s="135" t="n">
        <f aca="false">$G3684*'Analyse capacite'!$D$8</f>
        <v>0</v>
      </c>
      <c r="K3684" s="135" t="n">
        <f aca="false">$G3684*'Analyse capacite'!$E$8</f>
        <v>0</v>
      </c>
    </row>
    <row r="3685" customFormat="false" ht="15" hidden="false" customHeight="false" outlineLevel="0" collapsed="false">
      <c r="B3685" s="130" t="n">
        <v>2027</v>
      </c>
      <c r="C3685" s="131" t="s">
        <v>249</v>
      </c>
      <c r="D3685" s="132" t="n">
        <v>46580</v>
      </c>
      <c r="E3685" s="131" t="s">
        <v>25</v>
      </c>
      <c r="F3685" s="133" t="s">
        <v>24</v>
      </c>
      <c r="G3685" s="134" t="n">
        <f aca="false">LEN('Saisie programme'!$D$138)+SUMIFS('Vols additionnels'!$E$7:$E$66,'Vols additionnels'!$C$7:$C$66,$E3685,'Vols additionnels'!$D$7:$D$66,$F3685,'Vols additionnels'!$B$7:$B$66,$D3685)</f>
        <v>0</v>
      </c>
      <c r="H3685" s="135" t="n">
        <f aca="false">$G3685*'Analyse capacite'!$F$9</f>
        <v>0</v>
      </c>
      <c r="I3685" s="135" t="n">
        <f aca="false">$G3685*'Analyse capacite'!$C$9</f>
        <v>0</v>
      </c>
      <c r="J3685" s="135" t="n">
        <f aca="false">$G3685*'Analyse capacite'!$D$9</f>
        <v>0</v>
      </c>
      <c r="K3685" s="135" t="n">
        <f aca="false">$G3685*'Analyse capacite'!$E$9</f>
        <v>0</v>
      </c>
    </row>
    <row r="3686" customFormat="false" ht="15" hidden="false" customHeight="false" outlineLevel="0" collapsed="false">
      <c r="B3686" s="130" t="n">
        <v>2027</v>
      </c>
      <c r="C3686" s="131" t="s">
        <v>249</v>
      </c>
      <c r="D3686" s="132" t="n">
        <v>46580</v>
      </c>
      <c r="E3686" s="131" t="s">
        <v>36</v>
      </c>
      <c r="F3686" s="133" t="s">
        <v>11</v>
      </c>
      <c r="G3686" s="134" t="n">
        <f aca="false">LEN('Saisie programme'!$D$139)+SUMIFS('Vols additionnels'!$E$7:$E$66,'Vols additionnels'!$C$7:$C$66,$E3686,'Vols additionnels'!$D$7:$D$66,$F3686,'Vols additionnels'!$B$7:$B$66,$D3686)</f>
        <v>0</v>
      </c>
      <c r="H3686" s="135" t="n">
        <f aca="false">$G3686*'Analyse capacite'!$F$7</f>
        <v>0</v>
      </c>
      <c r="I3686" s="135" t="n">
        <f aca="false">$G3686*'Analyse capacite'!$C$7</f>
        <v>0</v>
      </c>
      <c r="J3686" s="135" t="n">
        <f aca="false">$G3686*'Analyse capacite'!$D$7</f>
        <v>0</v>
      </c>
      <c r="K3686" s="135" t="n">
        <f aca="false">$G3686*'Analyse capacite'!$E$7</f>
        <v>0</v>
      </c>
    </row>
    <row r="3687" customFormat="false" ht="15" hidden="false" customHeight="false" outlineLevel="0" collapsed="false">
      <c r="B3687" s="130" t="n">
        <v>2027</v>
      </c>
      <c r="C3687" s="131" t="s">
        <v>249</v>
      </c>
      <c r="D3687" s="132" t="n">
        <v>46580</v>
      </c>
      <c r="E3687" s="131" t="s">
        <v>36</v>
      </c>
      <c r="F3687" s="133" t="s">
        <v>19</v>
      </c>
      <c r="G3687" s="134" t="n">
        <f aca="false">LEN('Saisie programme'!$D$140)+SUMIFS('Vols additionnels'!$E$7:$E$66,'Vols additionnels'!$C$7:$C$66,$E3687,'Vols additionnels'!$D$7:$D$66,$F3687,'Vols additionnels'!$B$7:$B$66,$D3687)</f>
        <v>0</v>
      </c>
      <c r="H3687" s="135" t="n">
        <f aca="false">$G3687*'Analyse capacite'!$F$8</f>
        <v>0</v>
      </c>
      <c r="I3687" s="135" t="n">
        <f aca="false">$G3687*'Analyse capacite'!$C$8</f>
        <v>0</v>
      </c>
      <c r="J3687" s="135" t="n">
        <f aca="false">$G3687*'Analyse capacite'!$D$8</f>
        <v>0</v>
      </c>
      <c r="K3687" s="135" t="n">
        <f aca="false">$G3687*'Analyse capacite'!$E$8</f>
        <v>0</v>
      </c>
    </row>
    <row r="3688" customFormat="false" ht="15" hidden="false" customHeight="false" outlineLevel="0" collapsed="false">
      <c r="B3688" s="130" t="n">
        <v>2027</v>
      </c>
      <c r="C3688" s="131" t="s">
        <v>249</v>
      </c>
      <c r="D3688" s="132" t="n">
        <v>46580</v>
      </c>
      <c r="E3688" s="131" t="s">
        <v>36</v>
      </c>
      <c r="F3688" s="133" t="s">
        <v>24</v>
      </c>
      <c r="G3688" s="134" t="n">
        <f aca="false">LEN('Saisie programme'!$D$141)+SUMIFS('Vols additionnels'!$E$7:$E$66,'Vols additionnels'!$C$7:$C$66,$E3688,'Vols additionnels'!$D$7:$D$66,$F3688,'Vols additionnels'!$B$7:$B$66,$D3688)</f>
        <v>1</v>
      </c>
      <c r="H3688" s="135" t="n">
        <f aca="false">$G3688*'Analyse capacite'!$F$9</f>
        <v>174</v>
      </c>
      <c r="I3688" s="135" t="n">
        <f aca="false">$G3688*'Analyse capacite'!$C$9</f>
        <v>0</v>
      </c>
      <c r="J3688" s="135" t="n">
        <f aca="false">$G3688*'Analyse capacite'!$D$9</f>
        <v>12</v>
      </c>
      <c r="K3688" s="135" t="n">
        <f aca="false">$G3688*'Analyse capacite'!$E$9</f>
        <v>162</v>
      </c>
    </row>
    <row r="3689" customFormat="false" ht="15" hidden="false" customHeight="false" outlineLevel="0" collapsed="false">
      <c r="B3689" s="130" t="n">
        <v>2027</v>
      </c>
      <c r="C3689" s="131" t="s">
        <v>249</v>
      </c>
      <c r="D3689" s="132" t="n">
        <v>46580</v>
      </c>
      <c r="E3689" s="131" t="s">
        <v>40</v>
      </c>
      <c r="F3689" s="133" t="s">
        <v>11</v>
      </c>
      <c r="G3689" s="134" t="n">
        <f aca="false">LEN('Saisie programme'!$D$142)+SUMIFS('Vols additionnels'!$E$7:$E$66,'Vols additionnels'!$C$7:$C$66,$E3689,'Vols additionnels'!$D$7:$D$66,$F3689,'Vols additionnels'!$B$7:$B$66,$D3689)</f>
        <v>0</v>
      </c>
      <c r="H3689" s="135" t="n">
        <f aca="false">$G3689*'Analyse capacite'!$F$7</f>
        <v>0</v>
      </c>
      <c r="I3689" s="135" t="n">
        <f aca="false">$G3689*'Analyse capacite'!$C$7</f>
        <v>0</v>
      </c>
      <c r="J3689" s="135" t="n">
        <f aca="false">$G3689*'Analyse capacite'!$D$7</f>
        <v>0</v>
      </c>
      <c r="K3689" s="135" t="n">
        <f aca="false">$G3689*'Analyse capacite'!$E$7</f>
        <v>0</v>
      </c>
    </row>
    <row r="3690" customFormat="false" ht="15" hidden="false" customHeight="false" outlineLevel="0" collapsed="false">
      <c r="B3690" s="130" t="n">
        <v>2027</v>
      </c>
      <c r="C3690" s="131" t="s">
        <v>249</v>
      </c>
      <c r="D3690" s="132" t="n">
        <v>46580</v>
      </c>
      <c r="E3690" s="131" t="s">
        <v>40</v>
      </c>
      <c r="F3690" s="133" t="s">
        <v>19</v>
      </c>
      <c r="G3690" s="134" t="n">
        <f aca="false">LEN('Saisie programme'!$D$143)+SUMIFS('Vols additionnels'!$E$7:$E$66,'Vols additionnels'!$C$7:$C$66,$E3690,'Vols additionnels'!$D$7:$D$66,$F3690,'Vols additionnels'!$B$7:$B$66,$D3690)</f>
        <v>0</v>
      </c>
      <c r="H3690" s="135" t="n">
        <f aca="false">$G3690*'Analyse capacite'!$F$8</f>
        <v>0</v>
      </c>
      <c r="I3690" s="135" t="n">
        <f aca="false">$G3690*'Analyse capacite'!$C$8</f>
        <v>0</v>
      </c>
      <c r="J3690" s="135" t="n">
        <f aca="false">$G3690*'Analyse capacite'!$D$8</f>
        <v>0</v>
      </c>
      <c r="K3690" s="135" t="n">
        <f aca="false">$G3690*'Analyse capacite'!$E$8</f>
        <v>0</v>
      </c>
    </row>
    <row r="3691" customFormat="false" ht="15" hidden="false" customHeight="false" outlineLevel="0" collapsed="false">
      <c r="B3691" s="130" t="n">
        <v>2027</v>
      </c>
      <c r="C3691" s="131" t="s">
        <v>249</v>
      </c>
      <c r="D3691" s="132" t="n">
        <v>46580</v>
      </c>
      <c r="E3691" s="131" t="s">
        <v>40</v>
      </c>
      <c r="F3691" s="133" t="s">
        <v>24</v>
      </c>
      <c r="G3691" s="134" t="n">
        <f aca="false">LEN('Saisie programme'!$D$144)+SUMIFS('Vols additionnels'!$E$7:$E$66,'Vols additionnels'!$C$7:$C$66,$E3691,'Vols additionnels'!$D$7:$D$66,$F3691,'Vols additionnels'!$B$7:$B$66,$D3691)</f>
        <v>1</v>
      </c>
      <c r="H3691" s="135" t="n">
        <f aca="false">$G3691*'Analyse capacite'!$F$9</f>
        <v>174</v>
      </c>
      <c r="I3691" s="135" t="n">
        <f aca="false">$G3691*'Analyse capacite'!$C$9</f>
        <v>0</v>
      </c>
      <c r="J3691" s="135" t="n">
        <f aca="false">$G3691*'Analyse capacite'!$D$9</f>
        <v>12</v>
      </c>
      <c r="K3691" s="135" t="n">
        <f aca="false">$G3691*'Analyse capacite'!$E$9</f>
        <v>162</v>
      </c>
    </row>
    <row r="3692" customFormat="false" ht="15" hidden="false" customHeight="false" outlineLevel="0" collapsed="false">
      <c r="B3692" s="130" t="n">
        <v>2027</v>
      </c>
      <c r="C3692" s="131" t="s">
        <v>249</v>
      </c>
      <c r="D3692" s="132" t="n">
        <v>46580</v>
      </c>
      <c r="E3692" s="131" t="s">
        <v>14</v>
      </c>
      <c r="F3692" s="133" t="s">
        <v>11</v>
      </c>
      <c r="G3692" s="134" t="n">
        <f aca="false">LEN('Saisie programme'!$D$145)+SUMIFS('Vols additionnels'!$E$7:$E$66,'Vols additionnels'!$C$7:$C$66,$E3692,'Vols additionnels'!$D$7:$D$66,$F3692,'Vols additionnels'!$B$7:$B$66,$D3692)</f>
        <v>0</v>
      </c>
      <c r="H3692" s="135" t="n">
        <f aca="false">$G3692*'Analyse capacite'!$F$7</f>
        <v>0</v>
      </c>
      <c r="I3692" s="135" t="n">
        <f aca="false">$G3692*'Analyse capacite'!$C$7</f>
        <v>0</v>
      </c>
      <c r="J3692" s="135" t="n">
        <f aca="false">$G3692*'Analyse capacite'!$D$7</f>
        <v>0</v>
      </c>
      <c r="K3692" s="135" t="n">
        <f aca="false">$G3692*'Analyse capacite'!$E$7</f>
        <v>0</v>
      </c>
    </row>
    <row r="3693" customFormat="false" ht="15" hidden="false" customHeight="false" outlineLevel="0" collapsed="false">
      <c r="B3693" s="130" t="n">
        <v>2027</v>
      </c>
      <c r="C3693" s="131" t="s">
        <v>249</v>
      </c>
      <c r="D3693" s="132" t="n">
        <v>46580</v>
      </c>
      <c r="E3693" s="131" t="s">
        <v>14</v>
      </c>
      <c r="F3693" s="133" t="s">
        <v>19</v>
      </c>
      <c r="G3693" s="134" t="n">
        <f aca="false">LEN('Saisie programme'!$D$146)+SUMIFS('Vols additionnels'!$E$7:$E$66,'Vols additionnels'!$C$7:$C$66,$E3693,'Vols additionnels'!$D$7:$D$66,$F3693,'Vols additionnels'!$B$7:$B$66,$D3693)</f>
        <v>0</v>
      </c>
      <c r="H3693" s="135" t="n">
        <f aca="false">$G3693*'Analyse capacite'!$F$8</f>
        <v>0</v>
      </c>
      <c r="I3693" s="135" t="n">
        <f aca="false">$G3693*'Analyse capacite'!$C$8</f>
        <v>0</v>
      </c>
      <c r="J3693" s="135" t="n">
        <f aca="false">$G3693*'Analyse capacite'!$D$8</f>
        <v>0</v>
      </c>
      <c r="K3693" s="135" t="n">
        <f aca="false">$G3693*'Analyse capacite'!$E$8</f>
        <v>0</v>
      </c>
    </row>
    <row r="3694" customFormat="false" ht="15" hidden="false" customHeight="false" outlineLevel="0" collapsed="false">
      <c r="B3694" s="130" t="n">
        <v>2027</v>
      </c>
      <c r="C3694" s="131" t="s">
        <v>249</v>
      </c>
      <c r="D3694" s="132" t="n">
        <v>46580</v>
      </c>
      <c r="E3694" s="131" t="s">
        <v>14</v>
      </c>
      <c r="F3694" s="133" t="s">
        <v>24</v>
      </c>
      <c r="G3694" s="134" t="n">
        <f aca="false">LEN('Saisie programme'!$D$147)+SUMIFS('Vols additionnels'!$E$7:$E$66,'Vols additionnels'!$C$7:$C$66,$E3694,'Vols additionnels'!$D$7:$D$66,$F3694,'Vols additionnels'!$B$7:$B$66,$D3694)</f>
        <v>1</v>
      </c>
      <c r="H3694" s="135" t="n">
        <f aca="false">$G3694*'Analyse capacite'!$F$9</f>
        <v>174</v>
      </c>
      <c r="I3694" s="135" t="n">
        <f aca="false">$G3694*'Analyse capacite'!$C$9</f>
        <v>0</v>
      </c>
      <c r="J3694" s="135" t="n">
        <f aca="false">$G3694*'Analyse capacite'!$D$9</f>
        <v>12</v>
      </c>
      <c r="K3694" s="135" t="n">
        <f aca="false">$G3694*'Analyse capacite'!$E$9</f>
        <v>162</v>
      </c>
    </row>
    <row r="3695" customFormat="false" ht="15" hidden="false" customHeight="false" outlineLevel="0" collapsed="false">
      <c r="B3695" s="130" t="n">
        <v>2027</v>
      </c>
      <c r="C3695" s="131" t="s">
        <v>249</v>
      </c>
      <c r="D3695" s="132" t="n">
        <v>46580</v>
      </c>
      <c r="E3695" s="131" t="s">
        <v>46</v>
      </c>
      <c r="F3695" s="133" t="s">
        <v>11</v>
      </c>
      <c r="G3695" s="134" t="n">
        <f aca="false">LEN('Saisie programme'!$D$148)+SUMIFS('Vols additionnels'!$E$7:$E$66,'Vols additionnels'!$C$7:$C$66,$E3695,'Vols additionnels'!$D$7:$D$66,$F3695,'Vols additionnels'!$B$7:$B$66,$D3695)</f>
        <v>0</v>
      </c>
      <c r="H3695" s="135" t="n">
        <f aca="false">$G3695*'Analyse capacite'!$F$7</f>
        <v>0</v>
      </c>
      <c r="I3695" s="135" t="n">
        <f aca="false">$G3695*'Analyse capacite'!$C$7</f>
        <v>0</v>
      </c>
      <c r="J3695" s="135" t="n">
        <f aca="false">$G3695*'Analyse capacite'!$D$7</f>
        <v>0</v>
      </c>
      <c r="K3695" s="135" t="n">
        <f aca="false">$G3695*'Analyse capacite'!$E$7</f>
        <v>0</v>
      </c>
    </row>
    <row r="3696" customFormat="false" ht="15" hidden="false" customHeight="false" outlineLevel="0" collapsed="false">
      <c r="B3696" s="130" t="n">
        <v>2027</v>
      </c>
      <c r="C3696" s="131" t="s">
        <v>249</v>
      </c>
      <c r="D3696" s="132" t="n">
        <v>46580</v>
      </c>
      <c r="E3696" s="131" t="s">
        <v>46</v>
      </c>
      <c r="F3696" s="133" t="s">
        <v>19</v>
      </c>
      <c r="G3696" s="134" t="n">
        <f aca="false">LEN('Saisie programme'!$D$149)+SUMIFS('Vols additionnels'!$E$7:$E$66,'Vols additionnels'!$C$7:$C$66,$E3696,'Vols additionnels'!$D$7:$D$66,$F3696,'Vols additionnels'!$B$7:$B$66,$D3696)</f>
        <v>0</v>
      </c>
      <c r="H3696" s="135" t="n">
        <f aca="false">$G3696*'Analyse capacite'!$F$8</f>
        <v>0</v>
      </c>
      <c r="I3696" s="135" t="n">
        <f aca="false">$G3696*'Analyse capacite'!$C$8</f>
        <v>0</v>
      </c>
      <c r="J3696" s="135" t="n">
        <f aca="false">$G3696*'Analyse capacite'!$D$8</f>
        <v>0</v>
      </c>
      <c r="K3696" s="135" t="n">
        <f aca="false">$G3696*'Analyse capacite'!$E$8</f>
        <v>0</v>
      </c>
    </row>
    <row r="3697" customFormat="false" ht="15" hidden="false" customHeight="false" outlineLevel="0" collapsed="false">
      <c r="B3697" s="130" t="n">
        <v>2027</v>
      </c>
      <c r="C3697" s="131" t="s">
        <v>249</v>
      </c>
      <c r="D3697" s="132" t="n">
        <v>46580</v>
      </c>
      <c r="E3697" s="131" t="s">
        <v>46</v>
      </c>
      <c r="F3697" s="133" t="s">
        <v>24</v>
      </c>
      <c r="G3697" s="134" t="n">
        <f aca="false">LEN('Saisie programme'!$D$150)+SUMIFS('Vols additionnels'!$E$7:$E$66,'Vols additionnels'!$C$7:$C$66,$E3697,'Vols additionnels'!$D$7:$D$66,$F3697,'Vols additionnels'!$B$7:$B$66,$D3697)</f>
        <v>0</v>
      </c>
      <c r="H3697" s="135" t="n">
        <f aca="false">$G3697*'Analyse capacite'!$F$9</f>
        <v>0</v>
      </c>
      <c r="I3697" s="135" t="n">
        <f aca="false">$G3697*'Analyse capacite'!$C$9</f>
        <v>0</v>
      </c>
      <c r="J3697" s="135" t="n">
        <f aca="false">$G3697*'Analyse capacite'!$D$9</f>
        <v>0</v>
      </c>
      <c r="K3697" s="135" t="n">
        <f aca="false">$G3697*'Analyse capacite'!$E$9</f>
        <v>0</v>
      </c>
    </row>
    <row r="3698" customFormat="false" ht="15" hidden="false" customHeight="false" outlineLevel="0" collapsed="false">
      <c r="B3698" s="130" t="n">
        <v>2027</v>
      </c>
      <c r="C3698" s="131" t="s">
        <v>249</v>
      </c>
      <c r="D3698" s="132" t="n">
        <v>46580</v>
      </c>
      <c r="E3698" s="131" t="s">
        <v>49</v>
      </c>
      <c r="F3698" s="133" t="s">
        <v>11</v>
      </c>
      <c r="G3698" s="134" t="n">
        <f aca="false">LEN('Saisie programme'!$D$151)+SUMIFS('Vols additionnels'!$E$7:$E$66,'Vols additionnels'!$C$7:$C$66,$E3698,'Vols additionnels'!$D$7:$D$66,$F3698,'Vols additionnels'!$B$7:$B$66,$D3698)</f>
        <v>0</v>
      </c>
      <c r="H3698" s="135" t="n">
        <f aca="false">$G3698*'Analyse capacite'!$F$7</f>
        <v>0</v>
      </c>
      <c r="I3698" s="135" t="n">
        <f aca="false">$G3698*'Analyse capacite'!$C$7</f>
        <v>0</v>
      </c>
      <c r="J3698" s="135" t="n">
        <f aca="false">$G3698*'Analyse capacite'!$D$7</f>
        <v>0</v>
      </c>
      <c r="K3698" s="135" t="n">
        <f aca="false">$G3698*'Analyse capacite'!$E$7</f>
        <v>0</v>
      </c>
    </row>
    <row r="3699" customFormat="false" ht="15" hidden="false" customHeight="false" outlineLevel="0" collapsed="false">
      <c r="B3699" s="130" t="n">
        <v>2027</v>
      </c>
      <c r="C3699" s="131" t="s">
        <v>249</v>
      </c>
      <c r="D3699" s="132" t="n">
        <v>46580</v>
      </c>
      <c r="E3699" s="131" t="s">
        <v>49</v>
      </c>
      <c r="F3699" s="133" t="s">
        <v>19</v>
      </c>
      <c r="G3699" s="134" t="n">
        <f aca="false">LEN('Saisie programme'!$D$152)+SUMIFS('Vols additionnels'!$E$7:$E$66,'Vols additionnels'!$C$7:$C$66,$E3699,'Vols additionnels'!$D$7:$D$66,$F3699,'Vols additionnels'!$B$7:$B$66,$D3699)</f>
        <v>1</v>
      </c>
      <c r="H3699" s="135" t="n">
        <f aca="false">$G3699*'Analyse capacite'!$F$8</f>
        <v>262</v>
      </c>
      <c r="I3699" s="135" t="n">
        <f aca="false">$G3699*'Analyse capacite'!$C$8</f>
        <v>18</v>
      </c>
      <c r="J3699" s="135" t="n">
        <f aca="false">$G3699*'Analyse capacite'!$D$8</f>
        <v>0</v>
      </c>
      <c r="K3699" s="135" t="n">
        <f aca="false">$G3699*'Analyse capacite'!$E$8</f>
        <v>244</v>
      </c>
    </row>
    <row r="3700" customFormat="false" ht="15" hidden="false" customHeight="false" outlineLevel="0" collapsed="false">
      <c r="B3700" s="130" t="n">
        <v>2027</v>
      </c>
      <c r="C3700" s="131" t="s">
        <v>249</v>
      </c>
      <c r="D3700" s="132" t="n">
        <v>46580</v>
      </c>
      <c r="E3700" s="131" t="s">
        <v>49</v>
      </c>
      <c r="F3700" s="133" t="s">
        <v>24</v>
      </c>
      <c r="G3700" s="134" t="n">
        <f aca="false">LEN('Saisie programme'!$D$153)+SUMIFS('Vols additionnels'!$E$7:$E$66,'Vols additionnels'!$C$7:$C$66,$E3700,'Vols additionnels'!$D$7:$D$66,$F3700,'Vols additionnels'!$B$7:$B$66,$D3700)</f>
        <v>0</v>
      </c>
      <c r="H3700" s="135" t="n">
        <f aca="false">$G3700*'Analyse capacite'!$F$9</f>
        <v>0</v>
      </c>
      <c r="I3700" s="135" t="n">
        <f aca="false">$G3700*'Analyse capacite'!$C$9</f>
        <v>0</v>
      </c>
      <c r="J3700" s="135" t="n">
        <f aca="false">$G3700*'Analyse capacite'!$D$9</f>
        <v>0</v>
      </c>
      <c r="K3700" s="135" t="n">
        <f aca="false">$G3700*'Analyse capacite'!$E$9</f>
        <v>0</v>
      </c>
    </row>
    <row r="3701" customFormat="false" ht="15" hidden="false" customHeight="false" outlineLevel="0" collapsed="false">
      <c r="B3701" s="130" t="n">
        <v>2027</v>
      </c>
      <c r="C3701" s="131" t="s">
        <v>249</v>
      </c>
      <c r="D3701" s="132" t="n">
        <v>46580</v>
      </c>
      <c r="E3701" s="131" t="s">
        <v>53</v>
      </c>
      <c r="F3701" s="133" t="s">
        <v>11</v>
      </c>
      <c r="G3701" s="134" t="n">
        <f aca="false">LEN('Saisie programme'!$D$154)+SUMIFS('Vols additionnels'!$E$7:$E$66,'Vols additionnels'!$C$7:$C$66,$E3701,'Vols additionnels'!$D$7:$D$66,$F3701,'Vols additionnels'!$B$7:$B$66,$D3701)</f>
        <v>0</v>
      </c>
      <c r="H3701" s="135" t="n">
        <f aca="false">$G3701*'Analyse capacite'!$F$7</f>
        <v>0</v>
      </c>
      <c r="I3701" s="135" t="n">
        <f aca="false">$G3701*'Analyse capacite'!$C$7</f>
        <v>0</v>
      </c>
      <c r="J3701" s="135" t="n">
        <f aca="false">$G3701*'Analyse capacite'!$D$7</f>
        <v>0</v>
      </c>
      <c r="K3701" s="135" t="n">
        <f aca="false">$G3701*'Analyse capacite'!$E$7</f>
        <v>0</v>
      </c>
    </row>
    <row r="3702" customFormat="false" ht="15" hidden="false" customHeight="false" outlineLevel="0" collapsed="false">
      <c r="B3702" s="130" t="n">
        <v>2027</v>
      </c>
      <c r="C3702" s="131" t="s">
        <v>249</v>
      </c>
      <c r="D3702" s="132" t="n">
        <v>46580</v>
      </c>
      <c r="E3702" s="131" t="s">
        <v>53</v>
      </c>
      <c r="F3702" s="133" t="s">
        <v>19</v>
      </c>
      <c r="G3702" s="134" t="n">
        <f aca="false">LEN('Saisie programme'!$D$155)+SUMIFS('Vols additionnels'!$E$7:$E$66,'Vols additionnels'!$C$7:$C$66,$E3702,'Vols additionnels'!$D$7:$D$66,$F3702,'Vols additionnels'!$B$7:$B$66,$D3702)</f>
        <v>0</v>
      </c>
      <c r="H3702" s="135" t="n">
        <f aca="false">$G3702*'Analyse capacite'!$F$8</f>
        <v>0</v>
      </c>
      <c r="I3702" s="135" t="n">
        <f aca="false">$G3702*'Analyse capacite'!$C$8</f>
        <v>0</v>
      </c>
      <c r="J3702" s="135" t="n">
        <f aca="false">$G3702*'Analyse capacite'!$D$8</f>
        <v>0</v>
      </c>
      <c r="K3702" s="135" t="n">
        <f aca="false">$G3702*'Analyse capacite'!$E$8</f>
        <v>0</v>
      </c>
    </row>
    <row r="3703" customFormat="false" ht="15" hidden="false" customHeight="false" outlineLevel="0" collapsed="false">
      <c r="B3703" s="130" t="n">
        <v>2027</v>
      </c>
      <c r="C3703" s="131" t="s">
        <v>249</v>
      </c>
      <c r="D3703" s="132" t="n">
        <v>46580</v>
      </c>
      <c r="E3703" s="131" t="s">
        <v>53</v>
      </c>
      <c r="F3703" s="133" t="s">
        <v>24</v>
      </c>
      <c r="G3703" s="134" t="n">
        <f aca="false">LEN('Saisie programme'!$D$156)+SUMIFS('Vols additionnels'!$E$7:$E$66,'Vols additionnels'!$C$7:$C$66,$E3703,'Vols additionnels'!$D$7:$D$66,$F3703,'Vols additionnels'!$B$7:$B$66,$D3703)</f>
        <v>0</v>
      </c>
      <c r="H3703" s="135" t="n">
        <f aca="false">$G3703*'Analyse capacite'!$F$9</f>
        <v>0</v>
      </c>
      <c r="I3703" s="135" t="n">
        <f aca="false">$G3703*'Analyse capacite'!$C$9</f>
        <v>0</v>
      </c>
      <c r="J3703" s="135" t="n">
        <f aca="false">$G3703*'Analyse capacite'!$D$9</f>
        <v>0</v>
      </c>
      <c r="K3703" s="135" t="n">
        <f aca="false">$G3703*'Analyse capacite'!$E$9</f>
        <v>0</v>
      </c>
    </row>
    <row r="3704" customFormat="false" ht="15" hidden="false" customHeight="false" outlineLevel="0" collapsed="false">
      <c r="B3704" s="130" t="n">
        <v>2027</v>
      </c>
      <c r="C3704" s="131" t="s">
        <v>249</v>
      </c>
      <c r="D3704" s="132" t="n">
        <v>46580</v>
      </c>
      <c r="E3704" s="131" t="s">
        <v>56</v>
      </c>
      <c r="F3704" s="133" t="s">
        <v>11</v>
      </c>
      <c r="G3704" s="134" t="n">
        <f aca="false">LEN('Saisie programme'!$D$157)+SUMIFS('Vols additionnels'!$E$7:$E$66,'Vols additionnels'!$C$7:$C$66,$E3704,'Vols additionnels'!$D$7:$D$66,$F3704,'Vols additionnels'!$B$7:$B$66,$D3704)</f>
        <v>0</v>
      </c>
      <c r="H3704" s="135" t="n">
        <f aca="false">$G3704*'Analyse capacite'!$F$7</f>
        <v>0</v>
      </c>
      <c r="I3704" s="135" t="n">
        <f aca="false">$G3704*'Analyse capacite'!$C$7</f>
        <v>0</v>
      </c>
      <c r="J3704" s="135" t="n">
        <f aca="false">$G3704*'Analyse capacite'!$D$7</f>
        <v>0</v>
      </c>
      <c r="K3704" s="135" t="n">
        <f aca="false">$G3704*'Analyse capacite'!$E$7</f>
        <v>0</v>
      </c>
    </row>
    <row r="3705" customFormat="false" ht="15" hidden="false" customHeight="false" outlineLevel="0" collapsed="false">
      <c r="B3705" s="130" t="n">
        <v>2027</v>
      </c>
      <c r="C3705" s="131" t="s">
        <v>249</v>
      </c>
      <c r="D3705" s="132" t="n">
        <v>46580</v>
      </c>
      <c r="E3705" s="131" t="s">
        <v>56</v>
      </c>
      <c r="F3705" s="133" t="s">
        <v>19</v>
      </c>
      <c r="G3705" s="134" t="n">
        <f aca="false">LEN('Saisie programme'!$D$158)+SUMIFS('Vols additionnels'!$E$7:$E$66,'Vols additionnels'!$C$7:$C$66,$E3705,'Vols additionnels'!$D$7:$D$66,$F3705,'Vols additionnels'!$B$7:$B$66,$D3705)</f>
        <v>0</v>
      </c>
      <c r="H3705" s="135" t="n">
        <f aca="false">$G3705*'Analyse capacite'!$F$8</f>
        <v>0</v>
      </c>
      <c r="I3705" s="135" t="n">
        <f aca="false">$G3705*'Analyse capacite'!$C$8</f>
        <v>0</v>
      </c>
      <c r="J3705" s="135" t="n">
        <f aca="false">$G3705*'Analyse capacite'!$D$8</f>
        <v>0</v>
      </c>
      <c r="K3705" s="135" t="n">
        <f aca="false">$G3705*'Analyse capacite'!$E$8</f>
        <v>0</v>
      </c>
    </row>
    <row r="3706" customFormat="false" ht="15" hidden="false" customHeight="false" outlineLevel="0" collapsed="false">
      <c r="B3706" s="130" t="n">
        <v>2027</v>
      </c>
      <c r="C3706" s="131" t="s">
        <v>249</v>
      </c>
      <c r="D3706" s="132" t="n">
        <v>46580</v>
      </c>
      <c r="E3706" s="131" t="s">
        <v>56</v>
      </c>
      <c r="F3706" s="133" t="s">
        <v>24</v>
      </c>
      <c r="G3706" s="134" t="n">
        <f aca="false">LEN('Saisie programme'!$D$159)+SUMIFS('Vols additionnels'!$E$7:$E$66,'Vols additionnels'!$C$7:$C$66,$E3706,'Vols additionnels'!$D$7:$D$66,$F3706,'Vols additionnels'!$B$7:$B$66,$D3706)</f>
        <v>0</v>
      </c>
      <c r="H3706" s="135" t="n">
        <f aca="false">$G3706*'Analyse capacite'!$F$9</f>
        <v>0</v>
      </c>
      <c r="I3706" s="135" t="n">
        <f aca="false">$G3706*'Analyse capacite'!$C$9</f>
        <v>0</v>
      </c>
      <c r="J3706" s="135" t="n">
        <f aca="false">$G3706*'Analyse capacite'!$D$9</f>
        <v>0</v>
      </c>
      <c r="K3706" s="135" t="n">
        <f aca="false">$G3706*'Analyse capacite'!$E$9</f>
        <v>0</v>
      </c>
    </row>
    <row r="3707" customFormat="false" ht="15" hidden="false" customHeight="false" outlineLevel="0" collapsed="false">
      <c r="B3707" s="130" t="n">
        <v>2027</v>
      </c>
      <c r="C3707" s="131" t="s">
        <v>249</v>
      </c>
      <c r="D3707" s="132" t="n">
        <v>46580</v>
      </c>
      <c r="E3707" s="131" t="s">
        <v>59</v>
      </c>
      <c r="F3707" s="133" t="s">
        <v>11</v>
      </c>
      <c r="G3707" s="134" t="n">
        <f aca="false">LEN('Saisie programme'!$D$160)+SUMIFS('Vols additionnels'!$E$7:$E$66,'Vols additionnels'!$C$7:$C$66,$E3707,'Vols additionnels'!$D$7:$D$66,$F3707,'Vols additionnels'!$B$7:$B$66,$D3707)</f>
        <v>0</v>
      </c>
      <c r="H3707" s="135" t="n">
        <f aca="false">$G3707*'Analyse capacite'!$F$7</f>
        <v>0</v>
      </c>
      <c r="I3707" s="135" t="n">
        <f aca="false">$G3707*'Analyse capacite'!$C$7</f>
        <v>0</v>
      </c>
      <c r="J3707" s="135" t="n">
        <f aca="false">$G3707*'Analyse capacite'!$D$7</f>
        <v>0</v>
      </c>
      <c r="K3707" s="135" t="n">
        <f aca="false">$G3707*'Analyse capacite'!$E$7</f>
        <v>0</v>
      </c>
    </row>
    <row r="3708" customFormat="false" ht="15" hidden="false" customHeight="false" outlineLevel="0" collapsed="false">
      <c r="B3708" s="130" t="n">
        <v>2027</v>
      </c>
      <c r="C3708" s="131" t="s">
        <v>249</v>
      </c>
      <c r="D3708" s="132" t="n">
        <v>46580</v>
      </c>
      <c r="E3708" s="131" t="s">
        <v>59</v>
      </c>
      <c r="F3708" s="133" t="s">
        <v>19</v>
      </c>
      <c r="G3708" s="134" t="n">
        <f aca="false">LEN('Saisie programme'!$D$161)+SUMIFS('Vols additionnels'!$E$7:$E$66,'Vols additionnels'!$C$7:$C$66,$E3708,'Vols additionnels'!$D$7:$D$66,$F3708,'Vols additionnels'!$B$7:$B$66,$D3708)</f>
        <v>0</v>
      </c>
      <c r="H3708" s="135" t="n">
        <f aca="false">$G3708*'Analyse capacite'!$F$8</f>
        <v>0</v>
      </c>
      <c r="I3708" s="135" t="n">
        <f aca="false">$G3708*'Analyse capacite'!$C$8</f>
        <v>0</v>
      </c>
      <c r="J3708" s="135" t="n">
        <f aca="false">$G3708*'Analyse capacite'!$D$8</f>
        <v>0</v>
      </c>
      <c r="K3708" s="135" t="n">
        <f aca="false">$G3708*'Analyse capacite'!$E$8</f>
        <v>0</v>
      </c>
    </row>
    <row r="3709" customFormat="false" ht="15" hidden="false" customHeight="false" outlineLevel="0" collapsed="false">
      <c r="B3709" s="130" t="n">
        <v>2027</v>
      </c>
      <c r="C3709" s="131" t="s">
        <v>249</v>
      </c>
      <c r="D3709" s="132" t="n">
        <v>46580</v>
      </c>
      <c r="E3709" s="131" t="s">
        <v>59</v>
      </c>
      <c r="F3709" s="133" t="s">
        <v>24</v>
      </c>
      <c r="G3709" s="134" t="n">
        <f aca="false">LEN('Saisie programme'!$D$162)+SUMIFS('Vols additionnels'!$E$7:$E$66,'Vols additionnels'!$C$7:$C$66,$E3709,'Vols additionnels'!$D$7:$D$66,$F3709,'Vols additionnels'!$B$7:$B$66,$D3709)</f>
        <v>1</v>
      </c>
      <c r="H3709" s="135" t="n">
        <f aca="false">$G3709*'Analyse capacite'!$F$9</f>
        <v>174</v>
      </c>
      <c r="I3709" s="135" t="n">
        <f aca="false">$G3709*'Analyse capacite'!$C$9</f>
        <v>0</v>
      </c>
      <c r="J3709" s="135" t="n">
        <f aca="false">$G3709*'Analyse capacite'!$D$9</f>
        <v>12</v>
      </c>
      <c r="K3709" s="135" t="n">
        <f aca="false">$G3709*'Analyse capacite'!$E$9</f>
        <v>162</v>
      </c>
    </row>
    <row r="3710" customFormat="false" ht="15" hidden="false" customHeight="false" outlineLevel="0" collapsed="false">
      <c r="B3710" s="130" t="n">
        <v>2027</v>
      </c>
      <c r="C3710" s="131" t="s">
        <v>249</v>
      </c>
      <c r="D3710" s="132" t="n">
        <v>46580</v>
      </c>
      <c r="E3710" s="131" t="s">
        <v>62</v>
      </c>
      <c r="F3710" s="133" t="s">
        <v>11</v>
      </c>
      <c r="G3710" s="134" t="n">
        <f aca="false">LEN('Saisie programme'!$D$163)+SUMIFS('Vols additionnels'!$E$7:$E$66,'Vols additionnels'!$C$7:$C$66,$E3710,'Vols additionnels'!$D$7:$D$66,$F3710,'Vols additionnels'!$B$7:$B$66,$D3710)</f>
        <v>0</v>
      </c>
      <c r="H3710" s="135" t="n">
        <f aca="false">$G3710*'Analyse capacite'!$F$7</f>
        <v>0</v>
      </c>
      <c r="I3710" s="135" t="n">
        <f aca="false">$G3710*'Analyse capacite'!$C$7</f>
        <v>0</v>
      </c>
      <c r="J3710" s="135" t="n">
        <f aca="false">$G3710*'Analyse capacite'!$D$7</f>
        <v>0</v>
      </c>
      <c r="K3710" s="135" t="n">
        <f aca="false">$G3710*'Analyse capacite'!$E$7</f>
        <v>0</v>
      </c>
    </row>
    <row r="3711" customFormat="false" ht="15" hidden="false" customHeight="false" outlineLevel="0" collapsed="false">
      <c r="B3711" s="130" t="n">
        <v>2027</v>
      </c>
      <c r="C3711" s="131" t="s">
        <v>249</v>
      </c>
      <c r="D3711" s="132" t="n">
        <v>46580</v>
      </c>
      <c r="E3711" s="131" t="s">
        <v>62</v>
      </c>
      <c r="F3711" s="133" t="s">
        <v>19</v>
      </c>
      <c r="G3711" s="134" t="n">
        <f aca="false">LEN('Saisie programme'!$D$164)+SUMIFS('Vols additionnels'!$E$7:$E$66,'Vols additionnels'!$C$7:$C$66,$E3711,'Vols additionnels'!$D$7:$D$66,$F3711,'Vols additionnels'!$B$7:$B$66,$D3711)</f>
        <v>0</v>
      </c>
      <c r="H3711" s="135" t="n">
        <f aca="false">$G3711*'Analyse capacite'!$F$8</f>
        <v>0</v>
      </c>
      <c r="I3711" s="135" t="n">
        <f aca="false">$G3711*'Analyse capacite'!$C$8</f>
        <v>0</v>
      </c>
      <c r="J3711" s="135" t="n">
        <f aca="false">$G3711*'Analyse capacite'!$D$8</f>
        <v>0</v>
      </c>
      <c r="K3711" s="135" t="n">
        <f aca="false">$G3711*'Analyse capacite'!$E$8</f>
        <v>0</v>
      </c>
    </row>
    <row r="3712" customFormat="false" ht="15" hidden="false" customHeight="false" outlineLevel="0" collapsed="false">
      <c r="B3712" s="130" t="n">
        <v>2027</v>
      </c>
      <c r="C3712" s="131" t="s">
        <v>249</v>
      </c>
      <c r="D3712" s="132" t="n">
        <v>46580</v>
      </c>
      <c r="E3712" s="131" t="s">
        <v>62</v>
      </c>
      <c r="F3712" s="133" t="s">
        <v>24</v>
      </c>
      <c r="G3712" s="134" t="n">
        <f aca="false">LEN('Saisie programme'!$D$165)+SUMIFS('Vols additionnels'!$E$7:$E$66,'Vols additionnels'!$C$7:$C$66,$E3712,'Vols additionnels'!$D$7:$D$66,$F3712,'Vols additionnels'!$B$7:$B$66,$D3712)</f>
        <v>0</v>
      </c>
      <c r="H3712" s="135" t="n">
        <f aca="false">$G3712*'Analyse capacite'!$F$9</f>
        <v>0</v>
      </c>
      <c r="I3712" s="135" t="n">
        <f aca="false">$G3712*'Analyse capacite'!$C$9</f>
        <v>0</v>
      </c>
      <c r="J3712" s="135" t="n">
        <f aca="false">$G3712*'Analyse capacite'!$D$9</f>
        <v>0</v>
      </c>
      <c r="K3712" s="135" t="n">
        <f aca="false">$G3712*'Analyse capacite'!$E$9</f>
        <v>0</v>
      </c>
    </row>
    <row r="3713" customFormat="false" ht="15" hidden="false" customHeight="false" outlineLevel="0" collapsed="false">
      <c r="B3713" s="130" t="n">
        <v>2027</v>
      </c>
      <c r="C3713" s="131" t="s">
        <v>249</v>
      </c>
      <c r="D3713" s="132" t="n">
        <v>46581</v>
      </c>
      <c r="E3713" s="131" t="s">
        <v>12</v>
      </c>
      <c r="F3713" s="133" t="s">
        <v>11</v>
      </c>
      <c r="G3713" s="134" t="n">
        <f aca="false">LEN('Saisie programme'!$E$130)+SUMIFS('Vols additionnels'!$E$7:$E$66,'Vols additionnels'!$C$7:$C$66,$E3713,'Vols additionnels'!$D$7:$D$66,$F3713,'Vols additionnels'!$B$7:$B$66,$D3713)</f>
        <v>1</v>
      </c>
      <c r="H3713" s="135" t="n">
        <f aca="false">$G3713*'Analyse capacite'!$F$7</f>
        <v>438</v>
      </c>
      <c r="I3713" s="135" t="n">
        <f aca="false">$G3713*'Analyse capacite'!$C$7</f>
        <v>14</v>
      </c>
      <c r="J3713" s="135" t="n">
        <f aca="false">$G3713*'Analyse capacite'!$D$7</f>
        <v>40</v>
      </c>
      <c r="K3713" s="135" t="n">
        <f aca="false">$G3713*'Analyse capacite'!$E$7</f>
        <v>384</v>
      </c>
    </row>
    <row r="3714" customFormat="false" ht="15" hidden="false" customHeight="false" outlineLevel="0" collapsed="false">
      <c r="B3714" s="130" t="n">
        <v>2027</v>
      </c>
      <c r="C3714" s="131" t="s">
        <v>249</v>
      </c>
      <c r="D3714" s="132" t="n">
        <v>46581</v>
      </c>
      <c r="E3714" s="131" t="s">
        <v>12</v>
      </c>
      <c r="F3714" s="133" t="s">
        <v>19</v>
      </c>
      <c r="G3714" s="134" t="n">
        <f aca="false">LEN('Saisie programme'!$E$131)+SUMIFS('Vols additionnels'!$E$7:$E$66,'Vols additionnels'!$C$7:$C$66,$E3714,'Vols additionnels'!$D$7:$D$66,$F3714,'Vols additionnels'!$B$7:$B$66,$D3714)</f>
        <v>0</v>
      </c>
      <c r="H3714" s="135" t="n">
        <f aca="false">$G3714*'Analyse capacite'!$F$8</f>
        <v>0</v>
      </c>
      <c r="I3714" s="135" t="n">
        <f aca="false">$G3714*'Analyse capacite'!$C$8</f>
        <v>0</v>
      </c>
      <c r="J3714" s="135" t="n">
        <f aca="false">$G3714*'Analyse capacite'!$D$8</f>
        <v>0</v>
      </c>
      <c r="K3714" s="135" t="n">
        <f aca="false">$G3714*'Analyse capacite'!$E$8</f>
        <v>0</v>
      </c>
    </row>
    <row r="3715" customFormat="false" ht="15" hidden="false" customHeight="false" outlineLevel="0" collapsed="false">
      <c r="B3715" s="130" t="n">
        <v>2027</v>
      </c>
      <c r="C3715" s="131" t="s">
        <v>249</v>
      </c>
      <c r="D3715" s="132" t="n">
        <v>46581</v>
      </c>
      <c r="E3715" s="131" t="s">
        <v>12</v>
      </c>
      <c r="F3715" s="133" t="s">
        <v>24</v>
      </c>
      <c r="G3715" s="134" t="n">
        <f aca="false">LEN('Saisie programme'!$E$132)+SUMIFS('Vols additionnels'!$E$7:$E$66,'Vols additionnels'!$C$7:$C$66,$E3715,'Vols additionnels'!$D$7:$D$66,$F3715,'Vols additionnels'!$B$7:$B$66,$D3715)</f>
        <v>0</v>
      </c>
      <c r="H3715" s="135" t="n">
        <f aca="false">$G3715*'Analyse capacite'!$F$9</f>
        <v>0</v>
      </c>
      <c r="I3715" s="135" t="n">
        <f aca="false">$G3715*'Analyse capacite'!$C$9</f>
        <v>0</v>
      </c>
      <c r="J3715" s="135" t="n">
        <f aca="false">$G3715*'Analyse capacite'!$D$9</f>
        <v>0</v>
      </c>
      <c r="K3715" s="135" t="n">
        <f aca="false">$G3715*'Analyse capacite'!$E$9</f>
        <v>0</v>
      </c>
    </row>
    <row r="3716" customFormat="false" ht="15" hidden="false" customHeight="false" outlineLevel="0" collapsed="false">
      <c r="B3716" s="130" t="n">
        <v>2027</v>
      </c>
      <c r="C3716" s="131" t="s">
        <v>249</v>
      </c>
      <c r="D3716" s="132" t="n">
        <v>46581</v>
      </c>
      <c r="E3716" s="131" t="s">
        <v>20</v>
      </c>
      <c r="F3716" s="133" t="s">
        <v>11</v>
      </c>
      <c r="G3716" s="134" t="n">
        <f aca="false">LEN('Saisie programme'!$E$133)+SUMIFS('Vols additionnels'!$E$7:$E$66,'Vols additionnels'!$C$7:$C$66,$E3716,'Vols additionnels'!$D$7:$D$66,$F3716,'Vols additionnels'!$B$7:$B$66,$D3716)</f>
        <v>0</v>
      </c>
      <c r="H3716" s="135" t="n">
        <f aca="false">$G3716*'Analyse capacite'!$F$7</f>
        <v>0</v>
      </c>
      <c r="I3716" s="135" t="n">
        <f aca="false">$G3716*'Analyse capacite'!$C$7</f>
        <v>0</v>
      </c>
      <c r="J3716" s="135" t="n">
        <f aca="false">$G3716*'Analyse capacite'!$D$7</f>
        <v>0</v>
      </c>
      <c r="K3716" s="135" t="n">
        <f aca="false">$G3716*'Analyse capacite'!$E$7</f>
        <v>0</v>
      </c>
    </row>
    <row r="3717" customFormat="false" ht="15" hidden="false" customHeight="false" outlineLevel="0" collapsed="false">
      <c r="B3717" s="130" t="n">
        <v>2027</v>
      </c>
      <c r="C3717" s="131" t="s">
        <v>249</v>
      </c>
      <c r="D3717" s="132" t="n">
        <v>46581</v>
      </c>
      <c r="E3717" s="131" t="s">
        <v>20</v>
      </c>
      <c r="F3717" s="133" t="s">
        <v>19</v>
      </c>
      <c r="G3717" s="134" t="n">
        <f aca="false">LEN('Saisie programme'!$E$134)+SUMIFS('Vols additionnels'!$E$7:$E$66,'Vols additionnels'!$C$7:$C$66,$E3717,'Vols additionnels'!$D$7:$D$66,$F3717,'Vols additionnels'!$B$7:$B$66,$D3717)</f>
        <v>1</v>
      </c>
      <c r="H3717" s="135" t="n">
        <f aca="false">$G3717*'Analyse capacite'!$F$8</f>
        <v>262</v>
      </c>
      <c r="I3717" s="135" t="n">
        <f aca="false">$G3717*'Analyse capacite'!$C$8</f>
        <v>18</v>
      </c>
      <c r="J3717" s="135" t="n">
        <f aca="false">$G3717*'Analyse capacite'!$D$8</f>
        <v>0</v>
      </c>
      <c r="K3717" s="135" t="n">
        <f aca="false">$G3717*'Analyse capacite'!$E$8</f>
        <v>244</v>
      </c>
    </row>
    <row r="3718" customFormat="false" ht="15" hidden="false" customHeight="false" outlineLevel="0" collapsed="false">
      <c r="B3718" s="130" t="n">
        <v>2027</v>
      </c>
      <c r="C3718" s="131" t="s">
        <v>249</v>
      </c>
      <c r="D3718" s="132" t="n">
        <v>46581</v>
      </c>
      <c r="E3718" s="131" t="s">
        <v>20</v>
      </c>
      <c r="F3718" s="133" t="s">
        <v>24</v>
      </c>
      <c r="G3718" s="134" t="n">
        <f aca="false">LEN('Saisie programme'!$E$135)+SUMIFS('Vols additionnels'!$E$7:$E$66,'Vols additionnels'!$C$7:$C$66,$E3718,'Vols additionnels'!$D$7:$D$66,$F3718,'Vols additionnels'!$B$7:$B$66,$D3718)</f>
        <v>0</v>
      </c>
      <c r="H3718" s="135" t="n">
        <f aca="false">$G3718*'Analyse capacite'!$F$9</f>
        <v>0</v>
      </c>
      <c r="I3718" s="135" t="n">
        <f aca="false">$G3718*'Analyse capacite'!$C$9</f>
        <v>0</v>
      </c>
      <c r="J3718" s="135" t="n">
        <f aca="false">$G3718*'Analyse capacite'!$D$9</f>
        <v>0</v>
      </c>
      <c r="K3718" s="135" t="n">
        <f aca="false">$G3718*'Analyse capacite'!$E$9</f>
        <v>0</v>
      </c>
    </row>
    <row r="3719" customFormat="false" ht="15" hidden="false" customHeight="false" outlineLevel="0" collapsed="false">
      <c r="B3719" s="130" t="n">
        <v>2027</v>
      </c>
      <c r="C3719" s="131" t="s">
        <v>249</v>
      </c>
      <c r="D3719" s="132" t="n">
        <v>46581</v>
      </c>
      <c r="E3719" s="131" t="s">
        <v>25</v>
      </c>
      <c r="F3719" s="133" t="s">
        <v>11</v>
      </c>
      <c r="G3719" s="134" t="n">
        <f aca="false">LEN('Saisie programme'!$E$136)+SUMIFS('Vols additionnels'!$E$7:$E$66,'Vols additionnels'!$C$7:$C$66,$E3719,'Vols additionnels'!$D$7:$D$66,$F3719,'Vols additionnels'!$B$7:$B$66,$D3719)</f>
        <v>0</v>
      </c>
      <c r="H3719" s="135" t="n">
        <f aca="false">$G3719*'Analyse capacite'!$F$7</f>
        <v>0</v>
      </c>
      <c r="I3719" s="135" t="n">
        <f aca="false">$G3719*'Analyse capacite'!$C$7</f>
        <v>0</v>
      </c>
      <c r="J3719" s="135" t="n">
        <f aca="false">$G3719*'Analyse capacite'!$D$7</f>
        <v>0</v>
      </c>
      <c r="K3719" s="135" t="n">
        <f aca="false">$G3719*'Analyse capacite'!$E$7</f>
        <v>0</v>
      </c>
    </row>
    <row r="3720" customFormat="false" ht="15" hidden="false" customHeight="false" outlineLevel="0" collapsed="false">
      <c r="B3720" s="130" t="n">
        <v>2027</v>
      </c>
      <c r="C3720" s="131" t="s">
        <v>249</v>
      </c>
      <c r="D3720" s="132" t="n">
        <v>46581</v>
      </c>
      <c r="E3720" s="131" t="s">
        <v>25</v>
      </c>
      <c r="F3720" s="133" t="s">
        <v>19</v>
      </c>
      <c r="G3720" s="134" t="n">
        <f aca="false">LEN('Saisie programme'!$E$137)+SUMIFS('Vols additionnels'!$E$7:$E$66,'Vols additionnels'!$C$7:$C$66,$E3720,'Vols additionnels'!$D$7:$D$66,$F3720,'Vols additionnels'!$B$7:$B$66,$D3720)</f>
        <v>0</v>
      </c>
      <c r="H3720" s="135" t="n">
        <f aca="false">$G3720*'Analyse capacite'!$F$8</f>
        <v>0</v>
      </c>
      <c r="I3720" s="135" t="n">
        <f aca="false">$G3720*'Analyse capacite'!$C$8</f>
        <v>0</v>
      </c>
      <c r="J3720" s="135" t="n">
        <f aca="false">$G3720*'Analyse capacite'!$D$8</f>
        <v>0</v>
      </c>
      <c r="K3720" s="135" t="n">
        <f aca="false">$G3720*'Analyse capacite'!$E$8</f>
        <v>0</v>
      </c>
    </row>
    <row r="3721" customFormat="false" ht="15" hidden="false" customHeight="false" outlineLevel="0" collapsed="false">
      <c r="B3721" s="130" t="n">
        <v>2027</v>
      </c>
      <c r="C3721" s="131" t="s">
        <v>249</v>
      </c>
      <c r="D3721" s="132" t="n">
        <v>46581</v>
      </c>
      <c r="E3721" s="131" t="s">
        <v>25</v>
      </c>
      <c r="F3721" s="133" t="s">
        <v>24</v>
      </c>
      <c r="G3721" s="134" t="n">
        <f aca="false">LEN('Saisie programme'!$E$138)+SUMIFS('Vols additionnels'!$E$7:$E$66,'Vols additionnels'!$C$7:$C$66,$E3721,'Vols additionnels'!$D$7:$D$66,$F3721,'Vols additionnels'!$B$7:$B$66,$D3721)</f>
        <v>0</v>
      </c>
      <c r="H3721" s="135" t="n">
        <f aca="false">$G3721*'Analyse capacite'!$F$9</f>
        <v>0</v>
      </c>
      <c r="I3721" s="135" t="n">
        <f aca="false">$G3721*'Analyse capacite'!$C$9</f>
        <v>0</v>
      </c>
      <c r="J3721" s="135" t="n">
        <f aca="false">$G3721*'Analyse capacite'!$D$9</f>
        <v>0</v>
      </c>
      <c r="K3721" s="135" t="n">
        <f aca="false">$G3721*'Analyse capacite'!$E$9</f>
        <v>0</v>
      </c>
    </row>
    <row r="3722" customFormat="false" ht="15" hidden="false" customHeight="false" outlineLevel="0" collapsed="false">
      <c r="B3722" s="130" t="n">
        <v>2027</v>
      </c>
      <c r="C3722" s="131" t="s">
        <v>249</v>
      </c>
      <c r="D3722" s="132" t="n">
        <v>46581</v>
      </c>
      <c r="E3722" s="131" t="s">
        <v>36</v>
      </c>
      <c r="F3722" s="133" t="s">
        <v>11</v>
      </c>
      <c r="G3722" s="134" t="n">
        <f aca="false">LEN('Saisie programme'!$E$139)+SUMIFS('Vols additionnels'!$E$7:$E$66,'Vols additionnels'!$C$7:$C$66,$E3722,'Vols additionnels'!$D$7:$D$66,$F3722,'Vols additionnels'!$B$7:$B$66,$D3722)</f>
        <v>0</v>
      </c>
      <c r="H3722" s="135" t="n">
        <f aca="false">$G3722*'Analyse capacite'!$F$7</f>
        <v>0</v>
      </c>
      <c r="I3722" s="135" t="n">
        <f aca="false">$G3722*'Analyse capacite'!$C$7</f>
        <v>0</v>
      </c>
      <c r="J3722" s="135" t="n">
        <f aca="false">$G3722*'Analyse capacite'!$D$7</f>
        <v>0</v>
      </c>
      <c r="K3722" s="135" t="n">
        <f aca="false">$G3722*'Analyse capacite'!$E$7</f>
        <v>0</v>
      </c>
    </row>
    <row r="3723" customFormat="false" ht="15" hidden="false" customHeight="false" outlineLevel="0" collapsed="false">
      <c r="B3723" s="130" t="n">
        <v>2027</v>
      </c>
      <c r="C3723" s="131" t="s">
        <v>249</v>
      </c>
      <c r="D3723" s="132" t="n">
        <v>46581</v>
      </c>
      <c r="E3723" s="131" t="s">
        <v>36</v>
      </c>
      <c r="F3723" s="133" t="s">
        <v>19</v>
      </c>
      <c r="G3723" s="134" t="n">
        <f aca="false">LEN('Saisie programme'!$E$140)+SUMIFS('Vols additionnels'!$E$7:$E$66,'Vols additionnels'!$C$7:$C$66,$E3723,'Vols additionnels'!$D$7:$D$66,$F3723,'Vols additionnels'!$B$7:$B$66,$D3723)</f>
        <v>0</v>
      </c>
      <c r="H3723" s="135" t="n">
        <f aca="false">$G3723*'Analyse capacite'!$F$8</f>
        <v>0</v>
      </c>
      <c r="I3723" s="135" t="n">
        <f aca="false">$G3723*'Analyse capacite'!$C$8</f>
        <v>0</v>
      </c>
      <c r="J3723" s="135" t="n">
        <f aca="false">$G3723*'Analyse capacite'!$D$8</f>
        <v>0</v>
      </c>
      <c r="K3723" s="135" t="n">
        <f aca="false">$G3723*'Analyse capacite'!$E$8</f>
        <v>0</v>
      </c>
    </row>
    <row r="3724" customFormat="false" ht="15" hidden="false" customHeight="false" outlineLevel="0" collapsed="false">
      <c r="B3724" s="130" t="n">
        <v>2027</v>
      </c>
      <c r="C3724" s="131" t="s">
        <v>249</v>
      </c>
      <c r="D3724" s="132" t="n">
        <v>46581</v>
      </c>
      <c r="E3724" s="131" t="s">
        <v>36</v>
      </c>
      <c r="F3724" s="133" t="s">
        <v>24</v>
      </c>
      <c r="G3724" s="134" t="n">
        <f aca="false">LEN('Saisie programme'!$E$141)+SUMIFS('Vols additionnels'!$E$7:$E$66,'Vols additionnels'!$C$7:$C$66,$E3724,'Vols additionnels'!$D$7:$D$66,$F3724,'Vols additionnels'!$B$7:$B$66,$D3724)</f>
        <v>1</v>
      </c>
      <c r="H3724" s="135" t="n">
        <f aca="false">$G3724*'Analyse capacite'!$F$9</f>
        <v>174</v>
      </c>
      <c r="I3724" s="135" t="n">
        <f aca="false">$G3724*'Analyse capacite'!$C$9</f>
        <v>0</v>
      </c>
      <c r="J3724" s="135" t="n">
        <f aca="false">$G3724*'Analyse capacite'!$D$9</f>
        <v>12</v>
      </c>
      <c r="K3724" s="135" t="n">
        <f aca="false">$G3724*'Analyse capacite'!$E$9</f>
        <v>162</v>
      </c>
    </row>
    <row r="3725" customFormat="false" ht="15" hidden="false" customHeight="false" outlineLevel="0" collapsed="false">
      <c r="B3725" s="130" t="n">
        <v>2027</v>
      </c>
      <c r="C3725" s="131" t="s">
        <v>249</v>
      </c>
      <c r="D3725" s="132" t="n">
        <v>46581</v>
      </c>
      <c r="E3725" s="131" t="s">
        <v>40</v>
      </c>
      <c r="F3725" s="133" t="s">
        <v>11</v>
      </c>
      <c r="G3725" s="134" t="n">
        <f aca="false">LEN('Saisie programme'!$E$142)+SUMIFS('Vols additionnels'!$E$7:$E$66,'Vols additionnels'!$C$7:$C$66,$E3725,'Vols additionnels'!$D$7:$D$66,$F3725,'Vols additionnels'!$B$7:$B$66,$D3725)</f>
        <v>0</v>
      </c>
      <c r="H3725" s="135" t="n">
        <f aca="false">$G3725*'Analyse capacite'!$F$7</f>
        <v>0</v>
      </c>
      <c r="I3725" s="135" t="n">
        <f aca="false">$G3725*'Analyse capacite'!$C$7</f>
        <v>0</v>
      </c>
      <c r="J3725" s="135" t="n">
        <f aca="false">$G3725*'Analyse capacite'!$D$7</f>
        <v>0</v>
      </c>
      <c r="K3725" s="135" t="n">
        <f aca="false">$G3725*'Analyse capacite'!$E$7</f>
        <v>0</v>
      </c>
    </row>
    <row r="3726" customFormat="false" ht="15" hidden="false" customHeight="false" outlineLevel="0" collapsed="false">
      <c r="B3726" s="130" t="n">
        <v>2027</v>
      </c>
      <c r="C3726" s="131" t="s">
        <v>249</v>
      </c>
      <c r="D3726" s="132" t="n">
        <v>46581</v>
      </c>
      <c r="E3726" s="131" t="s">
        <v>40</v>
      </c>
      <c r="F3726" s="133" t="s">
        <v>19</v>
      </c>
      <c r="G3726" s="134" t="n">
        <f aca="false">LEN('Saisie programme'!$E$143)+SUMIFS('Vols additionnels'!$E$7:$E$66,'Vols additionnels'!$C$7:$C$66,$E3726,'Vols additionnels'!$D$7:$D$66,$F3726,'Vols additionnels'!$B$7:$B$66,$D3726)</f>
        <v>0</v>
      </c>
      <c r="H3726" s="135" t="n">
        <f aca="false">$G3726*'Analyse capacite'!$F$8</f>
        <v>0</v>
      </c>
      <c r="I3726" s="135" t="n">
        <f aca="false">$G3726*'Analyse capacite'!$C$8</f>
        <v>0</v>
      </c>
      <c r="J3726" s="135" t="n">
        <f aca="false">$G3726*'Analyse capacite'!$D$8</f>
        <v>0</v>
      </c>
      <c r="K3726" s="135" t="n">
        <f aca="false">$G3726*'Analyse capacite'!$E$8</f>
        <v>0</v>
      </c>
    </row>
    <row r="3727" customFormat="false" ht="15" hidden="false" customHeight="false" outlineLevel="0" collapsed="false">
      <c r="B3727" s="130" t="n">
        <v>2027</v>
      </c>
      <c r="C3727" s="131" t="s">
        <v>249</v>
      </c>
      <c r="D3727" s="132" t="n">
        <v>46581</v>
      </c>
      <c r="E3727" s="131" t="s">
        <v>40</v>
      </c>
      <c r="F3727" s="133" t="s">
        <v>24</v>
      </c>
      <c r="G3727" s="134" t="n">
        <f aca="false">LEN('Saisie programme'!$E$144)+SUMIFS('Vols additionnels'!$E$7:$E$66,'Vols additionnels'!$C$7:$C$66,$E3727,'Vols additionnels'!$D$7:$D$66,$F3727,'Vols additionnels'!$B$7:$B$66,$D3727)</f>
        <v>0</v>
      </c>
      <c r="H3727" s="135" t="n">
        <f aca="false">$G3727*'Analyse capacite'!$F$9</f>
        <v>0</v>
      </c>
      <c r="I3727" s="135" t="n">
        <f aca="false">$G3727*'Analyse capacite'!$C$9</f>
        <v>0</v>
      </c>
      <c r="J3727" s="135" t="n">
        <f aca="false">$G3727*'Analyse capacite'!$D$9</f>
        <v>0</v>
      </c>
      <c r="K3727" s="135" t="n">
        <f aca="false">$G3727*'Analyse capacite'!$E$9</f>
        <v>0</v>
      </c>
    </row>
    <row r="3728" customFormat="false" ht="15" hidden="false" customHeight="false" outlineLevel="0" collapsed="false">
      <c r="B3728" s="130" t="n">
        <v>2027</v>
      </c>
      <c r="C3728" s="131" t="s">
        <v>249</v>
      </c>
      <c r="D3728" s="132" t="n">
        <v>46581</v>
      </c>
      <c r="E3728" s="131" t="s">
        <v>14</v>
      </c>
      <c r="F3728" s="133" t="s">
        <v>11</v>
      </c>
      <c r="G3728" s="134" t="n">
        <f aca="false">LEN('Saisie programme'!$E$145)+SUMIFS('Vols additionnels'!$E$7:$E$66,'Vols additionnels'!$C$7:$C$66,$E3728,'Vols additionnels'!$D$7:$D$66,$F3728,'Vols additionnels'!$B$7:$B$66,$D3728)</f>
        <v>0</v>
      </c>
      <c r="H3728" s="135" t="n">
        <f aca="false">$G3728*'Analyse capacite'!$F$7</f>
        <v>0</v>
      </c>
      <c r="I3728" s="135" t="n">
        <f aca="false">$G3728*'Analyse capacite'!$C$7</f>
        <v>0</v>
      </c>
      <c r="J3728" s="135" t="n">
        <f aca="false">$G3728*'Analyse capacite'!$D$7</f>
        <v>0</v>
      </c>
      <c r="K3728" s="135" t="n">
        <f aca="false">$G3728*'Analyse capacite'!$E$7</f>
        <v>0</v>
      </c>
    </row>
    <row r="3729" customFormat="false" ht="15" hidden="false" customHeight="false" outlineLevel="0" collapsed="false">
      <c r="B3729" s="130" t="n">
        <v>2027</v>
      </c>
      <c r="C3729" s="131" t="s">
        <v>249</v>
      </c>
      <c r="D3729" s="132" t="n">
        <v>46581</v>
      </c>
      <c r="E3729" s="131" t="s">
        <v>14</v>
      </c>
      <c r="F3729" s="133" t="s">
        <v>19</v>
      </c>
      <c r="G3729" s="134" t="n">
        <f aca="false">LEN('Saisie programme'!$E$146)+SUMIFS('Vols additionnels'!$E$7:$E$66,'Vols additionnels'!$C$7:$C$66,$E3729,'Vols additionnels'!$D$7:$D$66,$F3729,'Vols additionnels'!$B$7:$B$66,$D3729)</f>
        <v>0</v>
      </c>
      <c r="H3729" s="135" t="n">
        <f aca="false">$G3729*'Analyse capacite'!$F$8</f>
        <v>0</v>
      </c>
      <c r="I3729" s="135" t="n">
        <f aca="false">$G3729*'Analyse capacite'!$C$8</f>
        <v>0</v>
      </c>
      <c r="J3729" s="135" t="n">
        <f aca="false">$G3729*'Analyse capacite'!$D$8</f>
        <v>0</v>
      </c>
      <c r="K3729" s="135" t="n">
        <f aca="false">$G3729*'Analyse capacite'!$E$8</f>
        <v>0</v>
      </c>
    </row>
    <row r="3730" customFormat="false" ht="15" hidden="false" customHeight="false" outlineLevel="0" collapsed="false">
      <c r="B3730" s="130" t="n">
        <v>2027</v>
      </c>
      <c r="C3730" s="131" t="s">
        <v>249</v>
      </c>
      <c r="D3730" s="132" t="n">
        <v>46581</v>
      </c>
      <c r="E3730" s="131" t="s">
        <v>14</v>
      </c>
      <c r="F3730" s="133" t="s">
        <v>24</v>
      </c>
      <c r="G3730" s="134" t="n">
        <f aca="false">LEN('Saisie programme'!$E$147)+SUMIFS('Vols additionnels'!$E$7:$E$66,'Vols additionnels'!$C$7:$C$66,$E3730,'Vols additionnels'!$D$7:$D$66,$F3730,'Vols additionnels'!$B$7:$B$66,$D3730)</f>
        <v>0</v>
      </c>
      <c r="H3730" s="135" t="n">
        <f aca="false">$G3730*'Analyse capacite'!$F$9</f>
        <v>0</v>
      </c>
      <c r="I3730" s="135" t="n">
        <f aca="false">$G3730*'Analyse capacite'!$C$9</f>
        <v>0</v>
      </c>
      <c r="J3730" s="135" t="n">
        <f aca="false">$G3730*'Analyse capacite'!$D$9</f>
        <v>0</v>
      </c>
      <c r="K3730" s="135" t="n">
        <f aca="false">$G3730*'Analyse capacite'!$E$9</f>
        <v>0</v>
      </c>
    </row>
    <row r="3731" customFormat="false" ht="15" hidden="false" customHeight="false" outlineLevel="0" collapsed="false">
      <c r="B3731" s="130" t="n">
        <v>2027</v>
      </c>
      <c r="C3731" s="131" t="s">
        <v>249</v>
      </c>
      <c r="D3731" s="132" t="n">
        <v>46581</v>
      </c>
      <c r="E3731" s="131" t="s">
        <v>46</v>
      </c>
      <c r="F3731" s="133" t="s">
        <v>11</v>
      </c>
      <c r="G3731" s="134" t="n">
        <f aca="false">LEN('Saisie programme'!$E$148)+SUMIFS('Vols additionnels'!$E$7:$E$66,'Vols additionnels'!$C$7:$C$66,$E3731,'Vols additionnels'!$D$7:$D$66,$F3731,'Vols additionnels'!$B$7:$B$66,$D3731)</f>
        <v>0</v>
      </c>
      <c r="H3731" s="135" t="n">
        <f aca="false">$G3731*'Analyse capacite'!$F$7</f>
        <v>0</v>
      </c>
      <c r="I3731" s="135" t="n">
        <f aca="false">$G3731*'Analyse capacite'!$C$7</f>
        <v>0</v>
      </c>
      <c r="J3731" s="135" t="n">
        <f aca="false">$G3731*'Analyse capacite'!$D$7</f>
        <v>0</v>
      </c>
      <c r="K3731" s="135" t="n">
        <f aca="false">$G3731*'Analyse capacite'!$E$7</f>
        <v>0</v>
      </c>
    </row>
    <row r="3732" customFormat="false" ht="15" hidden="false" customHeight="false" outlineLevel="0" collapsed="false">
      <c r="B3732" s="130" t="n">
        <v>2027</v>
      </c>
      <c r="C3732" s="131" t="s">
        <v>249</v>
      </c>
      <c r="D3732" s="132" t="n">
        <v>46581</v>
      </c>
      <c r="E3732" s="131" t="s">
        <v>46</v>
      </c>
      <c r="F3732" s="133" t="s">
        <v>19</v>
      </c>
      <c r="G3732" s="134" t="n">
        <f aca="false">LEN('Saisie programme'!$E$149)+SUMIFS('Vols additionnels'!$E$7:$E$66,'Vols additionnels'!$C$7:$C$66,$E3732,'Vols additionnels'!$D$7:$D$66,$F3732,'Vols additionnels'!$B$7:$B$66,$D3732)</f>
        <v>0</v>
      </c>
      <c r="H3732" s="135" t="n">
        <f aca="false">$G3732*'Analyse capacite'!$F$8</f>
        <v>0</v>
      </c>
      <c r="I3732" s="135" t="n">
        <f aca="false">$G3732*'Analyse capacite'!$C$8</f>
        <v>0</v>
      </c>
      <c r="J3732" s="135" t="n">
        <f aca="false">$G3732*'Analyse capacite'!$D$8</f>
        <v>0</v>
      </c>
      <c r="K3732" s="135" t="n">
        <f aca="false">$G3732*'Analyse capacite'!$E$8</f>
        <v>0</v>
      </c>
    </row>
    <row r="3733" customFormat="false" ht="15" hidden="false" customHeight="false" outlineLevel="0" collapsed="false">
      <c r="B3733" s="130" t="n">
        <v>2027</v>
      </c>
      <c r="C3733" s="131" t="s">
        <v>249</v>
      </c>
      <c r="D3733" s="132" t="n">
        <v>46581</v>
      </c>
      <c r="E3733" s="131" t="s">
        <v>46</v>
      </c>
      <c r="F3733" s="133" t="s">
        <v>24</v>
      </c>
      <c r="G3733" s="134" t="n">
        <f aca="false">LEN('Saisie programme'!$E$150)+SUMIFS('Vols additionnels'!$E$7:$E$66,'Vols additionnels'!$C$7:$C$66,$E3733,'Vols additionnels'!$D$7:$D$66,$F3733,'Vols additionnels'!$B$7:$B$66,$D3733)</f>
        <v>1</v>
      </c>
      <c r="H3733" s="135" t="n">
        <f aca="false">$G3733*'Analyse capacite'!$F$9</f>
        <v>174</v>
      </c>
      <c r="I3733" s="135" t="n">
        <f aca="false">$G3733*'Analyse capacite'!$C$9</f>
        <v>0</v>
      </c>
      <c r="J3733" s="135" t="n">
        <f aca="false">$G3733*'Analyse capacite'!$D$9</f>
        <v>12</v>
      </c>
      <c r="K3733" s="135" t="n">
        <f aca="false">$G3733*'Analyse capacite'!$E$9</f>
        <v>162</v>
      </c>
    </row>
    <row r="3734" customFormat="false" ht="15" hidden="false" customHeight="false" outlineLevel="0" collapsed="false">
      <c r="B3734" s="130" t="n">
        <v>2027</v>
      </c>
      <c r="C3734" s="131" t="s">
        <v>249</v>
      </c>
      <c r="D3734" s="132" t="n">
        <v>46581</v>
      </c>
      <c r="E3734" s="131" t="s">
        <v>49</v>
      </c>
      <c r="F3734" s="133" t="s">
        <v>11</v>
      </c>
      <c r="G3734" s="134" t="n">
        <f aca="false">LEN('Saisie programme'!$E$151)+SUMIFS('Vols additionnels'!$E$7:$E$66,'Vols additionnels'!$C$7:$C$66,$E3734,'Vols additionnels'!$D$7:$D$66,$F3734,'Vols additionnels'!$B$7:$B$66,$D3734)</f>
        <v>0</v>
      </c>
      <c r="H3734" s="135" t="n">
        <f aca="false">$G3734*'Analyse capacite'!$F$7</f>
        <v>0</v>
      </c>
      <c r="I3734" s="135" t="n">
        <f aca="false">$G3734*'Analyse capacite'!$C$7</f>
        <v>0</v>
      </c>
      <c r="J3734" s="135" t="n">
        <f aca="false">$G3734*'Analyse capacite'!$D$7</f>
        <v>0</v>
      </c>
      <c r="K3734" s="135" t="n">
        <f aca="false">$G3734*'Analyse capacite'!$E$7</f>
        <v>0</v>
      </c>
    </row>
    <row r="3735" customFormat="false" ht="15" hidden="false" customHeight="false" outlineLevel="0" collapsed="false">
      <c r="B3735" s="130" t="n">
        <v>2027</v>
      </c>
      <c r="C3735" s="131" t="s">
        <v>249</v>
      </c>
      <c r="D3735" s="132" t="n">
        <v>46581</v>
      </c>
      <c r="E3735" s="131" t="s">
        <v>49</v>
      </c>
      <c r="F3735" s="133" t="s">
        <v>19</v>
      </c>
      <c r="G3735" s="134" t="n">
        <f aca="false">LEN('Saisie programme'!$E$152)+SUMIFS('Vols additionnels'!$E$7:$E$66,'Vols additionnels'!$C$7:$C$66,$E3735,'Vols additionnels'!$D$7:$D$66,$F3735,'Vols additionnels'!$B$7:$B$66,$D3735)</f>
        <v>0</v>
      </c>
      <c r="H3735" s="135" t="n">
        <f aca="false">$G3735*'Analyse capacite'!$F$8</f>
        <v>0</v>
      </c>
      <c r="I3735" s="135" t="n">
        <f aca="false">$G3735*'Analyse capacite'!$C$8</f>
        <v>0</v>
      </c>
      <c r="J3735" s="135" t="n">
        <f aca="false">$G3735*'Analyse capacite'!$D$8</f>
        <v>0</v>
      </c>
      <c r="K3735" s="135" t="n">
        <f aca="false">$G3735*'Analyse capacite'!$E$8</f>
        <v>0</v>
      </c>
    </row>
    <row r="3736" customFormat="false" ht="15" hidden="false" customHeight="false" outlineLevel="0" collapsed="false">
      <c r="B3736" s="130" t="n">
        <v>2027</v>
      </c>
      <c r="C3736" s="131" t="s">
        <v>249</v>
      </c>
      <c r="D3736" s="132" t="n">
        <v>46581</v>
      </c>
      <c r="E3736" s="131" t="s">
        <v>49</v>
      </c>
      <c r="F3736" s="133" t="s">
        <v>24</v>
      </c>
      <c r="G3736" s="134" t="n">
        <f aca="false">LEN('Saisie programme'!$E$153)+SUMIFS('Vols additionnels'!$E$7:$E$66,'Vols additionnels'!$C$7:$C$66,$E3736,'Vols additionnels'!$D$7:$D$66,$F3736,'Vols additionnels'!$B$7:$B$66,$D3736)</f>
        <v>0</v>
      </c>
      <c r="H3736" s="135" t="n">
        <f aca="false">$G3736*'Analyse capacite'!$F$9</f>
        <v>0</v>
      </c>
      <c r="I3736" s="135" t="n">
        <f aca="false">$G3736*'Analyse capacite'!$C$9</f>
        <v>0</v>
      </c>
      <c r="J3736" s="135" t="n">
        <f aca="false">$G3736*'Analyse capacite'!$D$9</f>
        <v>0</v>
      </c>
      <c r="K3736" s="135" t="n">
        <f aca="false">$G3736*'Analyse capacite'!$E$9</f>
        <v>0</v>
      </c>
    </row>
    <row r="3737" customFormat="false" ht="15" hidden="false" customHeight="false" outlineLevel="0" collapsed="false">
      <c r="B3737" s="130" t="n">
        <v>2027</v>
      </c>
      <c r="C3737" s="131" t="s">
        <v>249</v>
      </c>
      <c r="D3737" s="132" t="n">
        <v>46581</v>
      </c>
      <c r="E3737" s="131" t="s">
        <v>53</v>
      </c>
      <c r="F3737" s="133" t="s">
        <v>11</v>
      </c>
      <c r="G3737" s="134" t="n">
        <f aca="false">LEN('Saisie programme'!$E$154)+SUMIFS('Vols additionnels'!$E$7:$E$66,'Vols additionnels'!$C$7:$C$66,$E3737,'Vols additionnels'!$D$7:$D$66,$F3737,'Vols additionnels'!$B$7:$B$66,$D3737)</f>
        <v>0</v>
      </c>
      <c r="H3737" s="135" t="n">
        <f aca="false">$G3737*'Analyse capacite'!$F$7</f>
        <v>0</v>
      </c>
      <c r="I3737" s="135" t="n">
        <f aca="false">$G3737*'Analyse capacite'!$C$7</f>
        <v>0</v>
      </c>
      <c r="J3737" s="135" t="n">
        <f aca="false">$G3737*'Analyse capacite'!$D$7</f>
        <v>0</v>
      </c>
      <c r="K3737" s="135" t="n">
        <f aca="false">$G3737*'Analyse capacite'!$E$7</f>
        <v>0</v>
      </c>
    </row>
    <row r="3738" customFormat="false" ht="15" hidden="false" customHeight="false" outlineLevel="0" collapsed="false">
      <c r="B3738" s="130" t="n">
        <v>2027</v>
      </c>
      <c r="C3738" s="131" t="s">
        <v>249</v>
      </c>
      <c r="D3738" s="132" t="n">
        <v>46581</v>
      </c>
      <c r="E3738" s="131" t="s">
        <v>53</v>
      </c>
      <c r="F3738" s="133" t="s">
        <v>19</v>
      </c>
      <c r="G3738" s="134" t="n">
        <f aca="false">LEN('Saisie programme'!$E$155)+SUMIFS('Vols additionnels'!$E$7:$E$66,'Vols additionnels'!$C$7:$C$66,$E3738,'Vols additionnels'!$D$7:$D$66,$F3738,'Vols additionnels'!$B$7:$B$66,$D3738)</f>
        <v>0</v>
      </c>
      <c r="H3738" s="135" t="n">
        <f aca="false">$G3738*'Analyse capacite'!$F$8</f>
        <v>0</v>
      </c>
      <c r="I3738" s="135" t="n">
        <f aca="false">$G3738*'Analyse capacite'!$C$8</f>
        <v>0</v>
      </c>
      <c r="J3738" s="135" t="n">
        <f aca="false">$G3738*'Analyse capacite'!$D$8</f>
        <v>0</v>
      </c>
      <c r="K3738" s="135" t="n">
        <f aca="false">$G3738*'Analyse capacite'!$E$8</f>
        <v>0</v>
      </c>
    </row>
    <row r="3739" customFormat="false" ht="15" hidden="false" customHeight="false" outlineLevel="0" collapsed="false">
      <c r="B3739" s="130" t="n">
        <v>2027</v>
      </c>
      <c r="C3739" s="131" t="s">
        <v>249</v>
      </c>
      <c r="D3739" s="132" t="n">
        <v>46581</v>
      </c>
      <c r="E3739" s="131" t="s">
        <v>53</v>
      </c>
      <c r="F3739" s="133" t="s">
        <v>24</v>
      </c>
      <c r="G3739" s="134" t="n">
        <f aca="false">LEN('Saisie programme'!$E$156)+SUMIFS('Vols additionnels'!$E$7:$E$66,'Vols additionnels'!$C$7:$C$66,$E3739,'Vols additionnels'!$D$7:$D$66,$F3739,'Vols additionnels'!$B$7:$B$66,$D3739)</f>
        <v>0</v>
      </c>
      <c r="H3739" s="135" t="n">
        <f aca="false">$G3739*'Analyse capacite'!$F$9</f>
        <v>0</v>
      </c>
      <c r="I3739" s="135" t="n">
        <f aca="false">$G3739*'Analyse capacite'!$C$9</f>
        <v>0</v>
      </c>
      <c r="J3739" s="135" t="n">
        <f aca="false">$G3739*'Analyse capacite'!$D$9</f>
        <v>0</v>
      </c>
      <c r="K3739" s="135" t="n">
        <f aca="false">$G3739*'Analyse capacite'!$E$9</f>
        <v>0</v>
      </c>
    </row>
    <row r="3740" customFormat="false" ht="15" hidden="false" customHeight="false" outlineLevel="0" collapsed="false">
      <c r="B3740" s="130" t="n">
        <v>2027</v>
      </c>
      <c r="C3740" s="131" t="s">
        <v>249</v>
      </c>
      <c r="D3740" s="132" t="n">
        <v>46581</v>
      </c>
      <c r="E3740" s="131" t="s">
        <v>56</v>
      </c>
      <c r="F3740" s="133" t="s">
        <v>11</v>
      </c>
      <c r="G3740" s="134" t="n">
        <f aca="false">LEN('Saisie programme'!$E$157)+SUMIFS('Vols additionnels'!$E$7:$E$66,'Vols additionnels'!$C$7:$C$66,$E3740,'Vols additionnels'!$D$7:$D$66,$F3740,'Vols additionnels'!$B$7:$B$66,$D3740)</f>
        <v>0</v>
      </c>
      <c r="H3740" s="135" t="n">
        <f aca="false">$G3740*'Analyse capacite'!$F$7</f>
        <v>0</v>
      </c>
      <c r="I3740" s="135" t="n">
        <f aca="false">$G3740*'Analyse capacite'!$C$7</f>
        <v>0</v>
      </c>
      <c r="J3740" s="135" t="n">
        <f aca="false">$G3740*'Analyse capacite'!$D$7</f>
        <v>0</v>
      </c>
      <c r="K3740" s="135" t="n">
        <f aca="false">$G3740*'Analyse capacite'!$E$7</f>
        <v>0</v>
      </c>
    </row>
    <row r="3741" customFormat="false" ht="15" hidden="false" customHeight="false" outlineLevel="0" collapsed="false">
      <c r="B3741" s="130" t="n">
        <v>2027</v>
      </c>
      <c r="C3741" s="131" t="s">
        <v>249</v>
      </c>
      <c r="D3741" s="132" t="n">
        <v>46581</v>
      </c>
      <c r="E3741" s="131" t="s">
        <v>56</v>
      </c>
      <c r="F3741" s="133" t="s">
        <v>19</v>
      </c>
      <c r="G3741" s="134" t="n">
        <f aca="false">LEN('Saisie programme'!$E$158)+SUMIFS('Vols additionnels'!$E$7:$E$66,'Vols additionnels'!$C$7:$C$66,$E3741,'Vols additionnels'!$D$7:$D$66,$F3741,'Vols additionnels'!$B$7:$B$66,$D3741)</f>
        <v>0</v>
      </c>
      <c r="H3741" s="135" t="n">
        <f aca="false">$G3741*'Analyse capacite'!$F$8</f>
        <v>0</v>
      </c>
      <c r="I3741" s="135" t="n">
        <f aca="false">$G3741*'Analyse capacite'!$C$8</f>
        <v>0</v>
      </c>
      <c r="J3741" s="135" t="n">
        <f aca="false">$G3741*'Analyse capacite'!$D$8</f>
        <v>0</v>
      </c>
      <c r="K3741" s="135" t="n">
        <f aca="false">$G3741*'Analyse capacite'!$E$8</f>
        <v>0</v>
      </c>
    </row>
    <row r="3742" customFormat="false" ht="15" hidden="false" customHeight="false" outlineLevel="0" collapsed="false">
      <c r="B3742" s="130" t="n">
        <v>2027</v>
      </c>
      <c r="C3742" s="131" t="s">
        <v>249</v>
      </c>
      <c r="D3742" s="132" t="n">
        <v>46581</v>
      </c>
      <c r="E3742" s="131" t="s">
        <v>56</v>
      </c>
      <c r="F3742" s="133" t="s">
        <v>24</v>
      </c>
      <c r="G3742" s="134" t="n">
        <f aca="false">LEN('Saisie programme'!$E$159)+SUMIFS('Vols additionnels'!$E$7:$E$66,'Vols additionnels'!$C$7:$C$66,$E3742,'Vols additionnels'!$D$7:$D$66,$F3742,'Vols additionnels'!$B$7:$B$66,$D3742)</f>
        <v>1</v>
      </c>
      <c r="H3742" s="135" t="n">
        <f aca="false">$G3742*'Analyse capacite'!$F$9</f>
        <v>174</v>
      </c>
      <c r="I3742" s="135" t="n">
        <f aca="false">$G3742*'Analyse capacite'!$C$9</f>
        <v>0</v>
      </c>
      <c r="J3742" s="135" t="n">
        <f aca="false">$G3742*'Analyse capacite'!$D$9</f>
        <v>12</v>
      </c>
      <c r="K3742" s="135" t="n">
        <f aca="false">$G3742*'Analyse capacite'!$E$9</f>
        <v>162</v>
      </c>
    </row>
    <row r="3743" customFormat="false" ht="15" hidden="false" customHeight="false" outlineLevel="0" collapsed="false">
      <c r="B3743" s="130" t="n">
        <v>2027</v>
      </c>
      <c r="C3743" s="131" t="s">
        <v>249</v>
      </c>
      <c r="D3743" s="132" t="n">
        <v>46581</v>
      </c>
      <c r="E3743" s="131" t="s">
        <v>59</v>
      </c>
      <c r="F3743" s="133" t="s">
        <v>11</v>
      </c>
      <c r="G3743" s="134" t="n">
        <f aca="false">LEN('Saisie programme'!$E$160)+SUMIFS('Vols additionnels'!$E$7:$E$66,'Vols additionnels'!$C$7:$C$66,$E3743,'Vols additionnels'!$D$7:$D$66,$F3743,'Vols additionnels'!$B$7:$B$66,$D3743)</f>
        <v>0</v>
      </c>
      <c r="H3743" s="135" t="n">
        <f aca="false">$G3743*'Analyse capacite'!$F$7</f>
        <v>0</v>
      </c>
      <c r="I3743" s="135" t="n">
        <f aca="false">$G3743*'Analyse capacite'!$C$7</f>
        <v>0</v>
      </c>
      <c r="J3743" s="135" t="n">
        <f aca="false">$G3743*'Analyse capacite'!$D$7</f>
        <v>0</v>
      </c>
      <c r="K3743" s="135" t="n">
        <f aca="false">$G3743*'Analyse capacite'!$E$7</f>
        <v>0</v>
      </c>
    </row>
    <row r="3744" customFormat="false" ht="15" hidden="false" customHeight="false" outlineLevel="0" collapsed="false">
      <c r="B3744" s="130" t="n">
        <v>2027</v>
      </c>
      <c r="C3744" s="131" t="s">
        <v>249</v>
      </c>
      <c r="D3744" s="132" t="n">
        <v>46581</v>
      </c>
      <c r="E3744" s="131" t="s">
        <v>59</v>
      </c>
      <c r="F3744" s="133" t="s">
        <v>19</v>
      </c>
      <c r="G3744" s="134" t="n">
        <f aca="false">LEN('Saisie programme'!$E$161)+SUMIFS('Vols additionnels'!$E$7:$E$66,'Vols additionnels'!$C$7:$C$66,$E3744,'Vols additionnels'!$D$7:$D$66,$F3744,'Vols additionnels'!$B$7:$B$66,$D3744)</f>
        <v>0</v>
      </c>
      <c r="H3744" s="135" t="n">
        <f aca="false">$G3744*'Analyse capacite'!$F$8</f>
        <v>0</v>
      </c>
      <c r="I3744" s="135" t="n">
        <f aca="false">$G3744*'Analyse capacite'!$C$8</f>
        <v>0</v>
      </c>
      <c r="J3744" s="135" t="n">
        <f aca="false">$G3744*'Analyse capacite'!$D$8</f>
        <v>0</v>
      </c>
      <c r="K3744" s="135" t="n">
        <f aca="false">$G3744*'Analyse capacite'!$E$8</f>
        <v>0</v>
      </c>
    </row>
    <row r="3745" customFormat="false" ht="15" hidden="false" customHeight="false" outlineLevel="0" collapsed="false">
      <c r="B3745" s="130" t="n">
        <v>2027</v>
      </c>
      <c r="C3745" s="131" t="s">
        <v>249</v>
      </c>
      <c r="D3745" s="132" t="n">
        <v>46581</v>
      </c>
      <c r="E3745" s="131" t="s">
        <v>59</v>
      </c>
      <c r="F3745" s="133" t="s">
        <v>24</v>
      </c>
      <c r="G3745" s="134" t="n">
        <f aca="false">LEN('Saisie programme'!$E$162)+SUMIFS('Vols additionnels'!$E$7:$E$66,'Vols additionnels'!$C$7:$C$66,$E3745,'Vols additionnels'!$D$7:$D$66,$F3745,'Vols additionnels'!$B$7:$B$66,$D3745)</f>
        <v>1</v>
      </c>
      <c r="H3745" s="135" t="n">
        <f aca="false">$G3745*'Analyse capacite'!$F$9</f>
        <v>174</v>
      </c>
      <c r="I3745" s="135" t="n">
        <f aca="false">$G3745*'Analyse capacite'!$C$9</f>
        <v>0</v>
      </c>
      <c r="J3745" s="135" t="n">
        <f aca="false">$G3745*'Analyse capacite'!$D$9</f>
        <v>12</v>
      </c>
      <c r="K3745" s="135" t="n">
        <f aca="false">$G3745*'Analyse capacite'!$E$9</f>
        <v>162</v>
      </c>
    </row>
    <row r="3746" customFormat="false" ht="15" hidden="false" customHeight="false" outlineLevel="0" collapsed="false">
      <c r="B3746" s="130" t="n">
        <v>2027</v>
      </c>
      <c r="C3746" s="131" t="s">
        <v>249</v>
      </c>
      <c r="D3746" s="132" t="n">
        <v>46581</v>
      </c>
      <c r="E3746" s="131" t="s">
        <v>62</v>
      </c>
      <c r="F3746" s="133" t="s">
        <v>11</v>
      </c>
      <c r="G3746" s="134" t="n">
        <f aca="false">LEN('Saisie programme'!$E$163)+SUMIFS('Vols additionnels'!$E$7:$E$66,'Vols additionnels'!$C$7:$C$66,$E3746,'Vols additionnels'!$D$7:$D$66,$F3746,'Vols additionnels'!$B$7:$B$66,$D3746)</f>
        <v>0</v>
      </c>
      <c r="H3746" s="135" t="n">
        <f aca="false">$G3746*'Analyse capacite'!$F$7</f>
        <v>0</v>
      </c>
      <c r="I3746" s="135" t="n">
        <f aca="false">$G3746*'Analyse capacite'!$C$7</f>
        <v>0</v>
      </c>
      <c r="J3746" s="135" t="n">
        <f aca="false">$G3746*'Analyse capacite'!$D$7</f>
        <v>0</v>
      </c>
      <c r="K3746" s="135" t="n">
        <f aca="false">$G3746*'Analyse capacite'!$E$7</f>
        <v>0</v>
      </c>
    </row>
    <row r="3747" customFormat="false" ht="15" hidden="false" customHeight="false" outlineLevel="0" collapsed="false">
      <c r="B3747" s="130" t="n">
        <v>2027</v>
      </c>
      <c r="C3747" s="131" t="s">
        <v>249</v>
      </c>
      <c r="D3747" s="132" t="n">
        <v>46581</v>
      </c>
      <c r="E3747" s="131" t="s">
        <v>62</v>
      </c>
      <c r="F3747" s="133" t="s">
        <v>19</v>
      </c>
      <c r="G3747" s="134" t="n">
        <f aca="false">LEN('Saisie programme'!$E$164)+SUMIFS('Vols additionnels'!$E$7:$E$66,'Vols additionnels'!$C$7:$C$66,$E3747,'Vols additionnels'!$D$7:$D$66,$F3747,'Vols additionnels'!$B$7:$B$66,$D3747)</f>
        <v>0</v>
      </c>
      <c r="H3747" s="135" t="n">
        <f aca="false">$G3747*'Analyse capacite'!$F$8</f>
        <v>0</v>
      </c>
      <c r="I3747" s="135" t="n">
        <f aca="false">$G3747*'Analyse capacite'!$C$8</f>
        <v>0</v>
      </c>
      <c r="J3747" s="135" t="n">
        <f aca="false">$G3747*'Analyse capacite'!$D$8</f>
        <v>0</v>
      </c>
      <c r="K3747" s="135" t="n">
        <f aca="false">$G3747*'Analyse capacite'!$E$8</f>
        <v>0</v>
      </c>
    </row>
    <row r="3748" customFormat="false" ht="15" hidden="false" customHeight="false" outlineLevel="0" collapsed="false">
      <c r="B3748" s="130" t="n">
        <v>2027</v>
      </c>
      <c r="C3748" s="131" t="s">
        <v>249</v>
      </c>
      <c r="D3748" s="132" t="n">
        <v>46581</v>
      </c>
      <c r="E3748" s="131" t="s">
        <v>62</v>
      </c>
      <c r="F3748" s="133" t="s">
        <v>24</v>
      </c>
      <c r="G3748" s="134" t="n">
        <f aca="false">LEN('Saisie programme'!$E$165)+SUMIFS('Vols additionnels'!$E$7:$E$66,'Vols additionnels'!$C$7:$C$66,$E3748,'Vols additionnels'!$D$7:$D$66,$F3748,'Vols additionnels'!$B$7:$B$66,$D3748)</f>
        <v>0</v>
      </c>
      <c r="H3748" s="135" t="n">
        <f aca="false">$G3748*'Analyse capacite'!$F$9</f>
        <v>0</v>
      </c>
      <c r="I3748" s="135" t="n">
        <f aca="false">$G3748*'Analyse capacite'!$C$9</f>
        <v>0</v>
      </c>
      <c r="J3748" s="135" t="n">
        <f aca="false">$G3748*'Analyse capacite'!$D$9</f>
        <v>0</v>
      </c>
      <c r="K3748" s="135" t="n">
        <f aca="false">$G3748*'Analyse capacite'!$E$9</f>
        <v>0</v>
      </c>
    </row>
    <row r="3749" customFormat="false" ht="15" hidden="false" customHeight="false" outlineLevel="0" collapsed="false">
      <c r="B3749" s="130" t="n">
        <v>2027</v>
      </c>
      <c r="C3749" s="131" t="s">
        <v>249</v>
      </c>
      <c r="D3749" s="132" t="n">
        <v>46582</v>
      </c>
      <c r="E3749" s="131" t="s">
        <v>12</v>
      </c>
      <c r="F3749" s="133" t="s">
        <v>11</v>
      </c>
      <c r="G3749" s="134" t="n">
        <f aca="false">LEN('Saisie programme'!$F$130)+SUMIFS('Vols additionnels'!$E$7:$E$66,'Vols additionnels'!$C$7:$C$66,$E3749,'Vols additionnels'!$D$7:$D$66,$F3749,'Vols additionnels'!$B$7:$B$66,$D3749)</f>
        <v>1</v>
      </c>
      <c r="H3749" s="135" t="n">
        <f aca="false">$G3749*'Analyse capacite'!$F$7</f>
        <v>438</v>
      </c>
      <c r="I3749" s="135" t="n">
        <f aca="false">$G3749*'Analyse capacite'!$C$7</f>
        <v>14</v>
      </c>
      <c r="J3749" s="135" t="n">
        <f aca="false">$G3749*'Analyse capacite'!$D$7</f>
        <v>40</v>
      </c>
      <c r="K3749" s="135" t="n">
        <f aca="false">$G3749*'Analyse capacite'!$E$7</f>
        <v>384</v>
      </c>
    </row>
    <row r="3750" customFormat="false" ht="15" hidden="false" customHeight="false" outlineLevel="0" collapsed="false">
      <c r="B3750" s="130" t="n">
        <v>2027</v>
      </c>
      <c r="C3750" s="131" t="s">
        <v>249</v>
      </c>
      <c r="D3750" s="132" t="n">
        <v>46582</v>
      </c>
      <c r="E3750" s="131" t="s">
        <v>12</v>
      </c>
      <c r="F3750" s="133" t="s">
        <v>19</v>
      </c>
      <c r="G3750" s="134" t="n">
        <f aca="false">LEN('Saisie programme'!$F$131)+SUMIFS('Vols additionnels'!$E$7:$E$66,'Vols additionnels'!$C$7:$C$66,$E3750,'Vols additionnels'!$D$7:$D$66,$F3750,'Vols additionnels'!$B$7:$B$66,$D3750)</f>
        <v>0</v>
      </c>
      <c r="H3750" s="135" t="n">
        <f aca="false">$G3750*'Analyse capacite'!$F$8</f>
        <v>0</v>
      </c>
      <c r="I3750" s="135" t="n">
        <f aca="false">$G3750*'Analyse capacite'!$C$8</f>
        <v>0</v>
      </c>
      <c r="J3750" s="135" t="n">
        <f aca="false">$G3750*'Analyse capacite'!$D$8</f>
        <v>0</v>
      </c>
      <c r="K3750" s="135" t="n">
        <f aca="false">$G3750*'Analyse capacite'!$E$8</f>
        <v>0</v>
      </c>
    </row>
    <row r="3751" customFormat="false" ht="15" hidden="false" customHeight="false" outlineLevel="0" collapsed="false">
      <c r="B3751" s="130" t="n">
        <v>2027</v>
      </c>
      <c r="C3751" s="131" t="s">
        <v>249</v>
      </c>
      <c r="D3751" s="132" t="n">
        <v>46582</v>
      </c>
      <c r="E3751" s="131" t="s">
        <v>12</v>
      </c>
      <c r="F3751" s="133" t="s">
        <v>24</v>
      </c>
      <c r="G3751" s="134" t="n">
        <f aca="false">LEN('Saisie programme'!$F$132)+SUMIFS('Vols additionnels'!$E$7:$E$66,'Vols additionnels'!$C$7:$C$66,$E3751,'Vols additionnels'!$D$7:$D$66,$F3751,'Vols additionnels'!$B$7:$B$66,$D3751)</f>
        <v>0</v>
      </c>
      <c r="H3751" s="135" t="n">
        <f aca="false">$G3751*'Analyse capacite'!$F$9</f>
        <v>0</v>
      </c>
      <c r="I3751" s="135" t="n">
        <f aca="false">$G3751*'Analyse capacite'!$C$9</f>
        <v>0</v>
      </c>
      <c r="J3751" s="135" t="n">
        <f aca="false">$G3751*'Analyse capacite'!$D$9</f>
        <v>0</v>
      </c>
      <c r="K3751" s="135" t="n">
        <f aca="false">$G3751*'Analyse capacite'!$E$9</f>
        <v>0</v>
      </c>
    </row>
    <row r="3752" customFormat="false" ht="15" hidden="false" customHeight="false" outlineLevel="0" collapsed="false">
      <c r="B3752" s="130" t="n">
        <v>2027</v>
      </c>
      <c r="C3752" s="131" t="s">
        <v>249</v>
      </c>
      <c r="D3752" s="132" t="n">
        <v>46582</v>
      </c>
      <c r="E3752" s="131" t="s">
        <v>20</v>
      </c>
      <c r="F3752" s="133" t="s">
        <v>11</v>
      </c>
      <c r="G3752" s="134" t="n">
        <f aca="false">LEN('Saisie programme'!$F$133)+SUMIFS('Vols additionnels'!$E$7:$E$66,'Vols additionnels'!$C$7:$C$66,$E3752,'Vols additionnels'!$D$7:$D$66,$F3752,'Vols additionnels'!$B$7:$B$66,$D3752)</f>
        <v>0</v>
      </c>
      <c r="H3752" s="135" t="n">
        <f aca="false">$G3752*'Analyse capacite'!$F$7</f>
        <v>0</v>
      </c>
      <c r="I3752" s="135" t="n">
        <f aca="false">$G3752*'Analyse capacite'!$C$7</f>
        <v>0</v>
      </c>
      <c r="J3752" s="135" t="n">
        <f aca="false">$G3752*'Analyse capacite'!$D$7</f>
        <v>0</v>
      </c>
      <c r="K3752" s="135" t="n">
        <f aca="false">$G3752*'Analyse capacite'!$E$7</f>
        <v>0</v>
      </c>
    </row>
    <row r="3753" customFormat="false" ht="15" hidden="false" customHeight="false" outlineLevel="0" collapsed="false">
      <c r="B3753" s="130" t="n">
        <v>2027</v>
      </c>
      <c r="C3753" s="131" t="s">
        <v>249</v>
      </c>
      <c r="D3753" s="132" t="n">
        <v>46582</v>
      </c>
      <c r="E3753" s="131" t="s">
        <v>20</v>
      </c>
      <c r="F3753" s="133" t="s">
        <v>19</v>
      </c>
      <c r="G3753" s="134" t="n">
        <f aca="false">LEN('Saisie programme'!$F$134)+SUMIFS('Vols additionnels'!$E$7:$E$66,'Vols additionnels'!$C$7:$C$66,$E3753,'Vols additionnels'!$D$7:$D$66,$F3753,'Vols additionnels'!$B$7:$B$66,$D3753)</f>
        <v>0</v>
      </c>
      <c r="H3753" s="135" t="n">
        <f aca="false">$G3753*'Analyse capacite'!$F$8</f>
        <v>0</v>
      </c>
      <c r="I3753" s="135" t="n">
        <f aca="false">$G3753*'Analyse capacite'!$C$8</f>
        <v>0</v>
      </c>
      <c r="J3753" s="135" t="n">
        <f aca="false">$G3753*'Analyse capacite'!$D$8</f>
        <v>0</v>
      </c>
      <c r="K3753" s="135" t="n">
        <f aca="false">$G3753*'Analyse capacite'!$E$8</f>
        <v>0</v>
      </c>
    </row>
    <row r="3754" customFormat="false" ht="15" hidden="false" customHeight="false" outlineLevel="0" collapsed="false">
      <c r="B3754" s="130" t="n">
        <v>2027</v>
      </c>
      <c r="C3754" s="131" t="s">
        <v>249</v>
      </c>
      <c r="D3754" s="132" t="n">
        <v>46582</v>
      </c>
      <c r="E3754" s="131" t="s">
        <v>20</v>
      </c>
      <c r="F3754" s="133" t="s">
        <v>24</v>
      </c>
      <c r="G3754" s="134" t="n">
        <f aca="false">LEN('Saisie programme'!$F$135)+SUMIFS('Vols additionnels'!$E$7:$E$66,'Vols additionnels'!$C$7:$C$66,$E3754,'Vols additionnels'!$D$7:$D$66,$F3754,'Vols additionnels'!$B$7:$B$66,$D3754)</f>
        <v>0</v>
      </c>
      <c r="H3754" s="135" t="n">
        <f aca="false">$G3754*'Analyse capacite'!$F$9</f>
        <v>0</v>
      </c>
      <c r="I3754" s="135" t="n">
        <f aca="false">$G3754*'Analyse capacite'!$C$9</f>
        <v>0</v>
      </c>
      <c r="J3754" s="135" t="n">
        <f aca="false">$G3754*'Analyse capacite'!$D$9</f>
        <v>0</v>
      </c>
      <c r="K3754" s="135" t="n">
        <f aca="false">$G3754*'Analyse capacite'!$E$9</f>
        <v>0</v>
      </c>
    </row>
    <row r="3755" customFormat="false" ht="15" hidden="false" customHeight="false" outlineLevel="0" collapsed="false">
      <c r="B3755" s="130" t="n">
        <v>2027</v>
      </c>
      <c r="C3755" s="131" t="s">
        <v>249</v>
      </c>
      <c r="D3755" s="132" t="n">
        <v>46582</v>
      </c>
      <c r="E3755" s="131" t="s">
        <v>25</v>
      </c>
      <c r="F3755" s="133" t="s">
        <v>11</v>
      </c>
      <c r="G3755" s="134" t="n">
        <f aca="false">LEN('Saisie programme'!$F$136)+SUMIFS('Vols additionnels'!$E$7:$E$66,'Vols additionnels'!$C$7:$C$66,$E3755,'Vols additionnels'!$D$7:$D$66,$F3755,'Vols additionnels'!$B$7:$B$66,$D3755)</f>
        <v>0</v>
      </c>
      <c r="H3755" s="135" t="n">
        <f aca="false">$G3755*'Analyse capacite'!$F$7</f>
        <v>0</v>
      </c>
      <c r="I3755" s="135" t="n">
        <f aca="false">$G3755*'Analyse capacite'!$C$7</f>
        <v>0</v>
      </c>
      <c r="J3755" s="135" t="n">
        <f aca="false">$G3755*'Analyse capacite'!$D$7</f>
        <v>0</v>
      </c>
      <c r="K3755" s="135" t="n">
        <f aca="false">$G3755*'Analyse capacite'!$E$7</f>
        <v>0</v>
      </c>
    </row>
    <row r="3756" customFormat="false" ht="15" hidden="false" customHeight="false" outlineLevel="0" collapsed="false">
      <c r="B3756" s="130" t="n">
        <v>2027</v>
      </c>
      <c r="C3756" s="131" t="s">
        <v>249</v>
      </c>
      <c r="D3756" s="132" t="n">
        <v>46582</v>
      </c>
      <c r="E3756" s="131" t="s">
        <v>25</v>
      </c>
      <c r="F3756" s="133" t="s">
        <v>19</v>
      </c>
      <c r="G3756" s="134" t="n">
        <f aca="false">LEN('Saisie programme'!$F$137)+SUMIFS('Vols additionnels'!$E$7:$E$66,'Vols additionnels'!$C$7:$C$66,$E3756,'Vols additionnels'!$D$7:$D$66,$F3756,'Vols additionnels'!$B$7:$B$66,$D3756)</f>
        <v>1</v>
      </c>
      <c r="H3756" s="135" t="n">
        <f aca="false">$G3756*'Analyse capacite'!$F$8</f>
        <v>262</v>
      </c>
      <c r="I3756" s="135" t="n">
        <f aca="false">$G3756*'Analyse capacite'!$C$8</f>
        <v>18</v>
      </c>
      <c r="J3756" s="135" t="n">
        <f aca="false">$G3756*'Analyse capacite'!$D$8</f>
        <v>0</v>
      </c>
      <c r="K3756" s="135" t="n">
        <f aca="false">$G3756*'Analyse capacite'!$E$8</f>
        <v>244</v>
      </c>
    </row>
    <row r="3757" customFormat="false" ht="15" hidden="false" customHeight="false" outlineLevel="0" collapsed="false">
      <c r="B3757" s="130" t="n">
        <v>2027</v>
      </c>
      <c r="C3757" s="131" t="s">
        <v>249</v>
      </c>
      <c r="D3757" s="132" t="n">
        <v>46582</v>
      </c>
      <c r="E3757" s="131" t="s">
        <v>25</v>
      </c>
      <c r="F3757" s="133" t="s">
        <v>24</v>
      </c>
      <c r="G3757" s="134" t="n">
        <f aca="false">LEN('Saisie programme'!$F$138)+SUMIFS('Vols additionnels'!$E$7:$E$66,'Vols additionnels'!$C$7:$C$66,$E3757,'Vols additionnels'!$D$7:$D$66,$F3757,'Vols additionnels'!$B$7:$B$66,$D3757)</f>
        <v>0</v>
      </c>
      <c r="H3757" s="135" t="n">
        <f aca="false">$G3757*'Analyse capacite'!$F$9</f>
        <v>0</v>
      </c>
      <c r="I3757" s="135" t="n">
        <f aca="false">$G3757*'Analyse capacite'!$C$9</f>
        <v>0</v>
      </c>
      <c r="J3757" s="135" t="n">
        <f aca="false">$G3757*'Analyse capacite'!$D$9</f>
        <v>0</v>
      </c>
      <c r="K3757" s="135" t="n">
        <f aca="false">$G3757*'Analyse capacite'!$E$9</f>
        <v>0</v>
      </c>
    </row>
    <row r="3758" customFormat="false" ht="15" hidden="false" customHeight="false" outlineLevel="0" collapsed="false">
      <c r="B3758" s="130" t="n">
        <v>2027</v>
      </c>
      <c r="C3758" s="131" t="s">
        <v>249</v>
      </c>
      <c r="D3758" s="132" t="n">
        <v>46582</v>
      </c>
      <c r="E3758" s="131" t="s">
        <v>36</v>
      </c>
      <c r="F3758" s="133" t="s">
        <v>11</v>
      </c>
      <c r="G3758" s="134" t="n">
        <f aca="false">LEN('Saisie programme'!$F$139)+SUMIFS('Vols additionnels'!$E$7:$E$66,'Vols additionnels'!$C$7:$C$66,$E3758,'Vols additionnels'!$D$7:$D$66,$F3758,'Vols additionnels'!$B$7:$B$66,$D3758)</f>
        <v>0</v>
      </c>
      <c r="H3758" s="135" t="n">
        <f aca="false">$G3758*'Analyse capacite'!$F$7</f>
        <v>0</v>
      </c>
      <c r="I3758" s="135" t="n">
        <f aca="false">$G3758*'Analyse capacite'!$C$7</f>
        <v>0</v>
      </c>
      <c r="J3758" s="135" t="n">
        <f aca="false">$G3758*'Analyse capacite'!$D$7</f>
        <v>0</v>
      </c>
      <c r="K3758" s="135" t="n">
        <f aca="false">$G3758*'Analyse capacite'!$E$7</f>
        <v>0</v>
      </c>
    </row>
    <row r="3759" customFormat="false" ht="15" hidden="false" customHeight="false" outlineLevel="0" collapsed="false">
      <c r="B3759" s="130" t="n">
        <v>2027</v>
      </c>
      <c r="C3759" s="131" t="s">
        <v>249</v>
      </c>
      <c r="D3759" s="132" t="n">
        <v>46582</v>
      </c>
      <c r="E3759" s="131" t="s">
        <v>36</v>
      </c>
      <c r="F3759" s="133" t="s">
        <v>19</v>
      </c>
      <c r="G3759" s="134" t="n">
        <f aca="false">LEN('Saisie programme'!$F$140)+SUMIFS('Vols additionnels'!$E$7:$E$66,'Vols additionnels'!$C$7:$C$66,$E3759,'Vols additionnels'!$D$7:$D$66,$F3759,'Vols additionnels'!$B$7:$B$66,$D3759)</f>
        <v>1</v>
      </c>
      <c r="H3759" s="135" t="n">
        <f aca="false">$G3759*'Analyse capacite'!$F$8</f>
        <v>262</v>
      </c>
      <c r="I3759" s="135" t="n">
        <f aca="false">$G3759*'Analyse capacite'!$C$8</f>
        <v>18</v>
      </c>
      <c r="J3759" s="135" t="n">
        <f aca="false">$G3759*'Analyse capacite'!$D$8</f>
        <v>0</v>
      </c>
      <c r="K3759" s="135" t="n">
        <f aca="false">$G3759*'Analyse capacite'!$E$8</f>
        <v>244</v>
      </c>
    </row>
    <row r="3760" customFormat="false" ht="15" hidden="false" customHeight="false" outlineLevel="0" collapsed="false">
      <c r="B3760" s="130" t="n">
        <v>2027</v>
      </c>
      <c r="C3760" s="131" t="s">
        <v>249</v>
      </c>
      <c r="D3760" s="132" t="n">
        <v>46582</v>
      </c>
      <c r="E3760" s="131" t="s">
        <v>36</v>
      </c>
      <c r="F3760" s="133" t="s">
        <v>24</v>
      </c>
      <c r="G3760" s="134" t="n">
        <f aca="false">LEN('Saisie programme'!$F$141)+SUMIFS('Vols additionnels'!$E$7:$E$66,'Vols additionnels'!$C$7:$C$66,$E3760,'Vols additionnels'!$D$7:$D$66,$F3760,'Vols additionnels'!$B$7:$B$66,$D3760)</f>
        <v>1</v>
      </c>
      <c r="H3760" s="135" t="n">
        <f aca="false">$G3760*'Analyse capacite'!$F$9</f>
        <v>174</v>
      </c>
      <c r="I3760" s="135" t="n">
        <f aca="false">$G3760*'Analyse capacite'!$C$9</f>
        <v>0</v>
      </c>
      <c r="J3760" s="135" t="n">
        <f aca="false">$G3760*'Analyse capacite'!$D$9</f>
        <v>12</v>
      </c>
      <c r="K3760" s="135" t="n">
        <f aca="false">$G3760*'Analyse capacite'!$E$9</f>
        <v>162</v>
      </c>
    </row>
    <row r="3761" customFormat="false" ht="15" hidden="false" customHeight="false" outlineLevel="0" collapsed="false">
      <c r="B3761" s="130" t="n">
        <v>2027</v>
      </c>
      <c r="C3761" s="131" t="s">
        <v>249</v>
      </c>
      <c r="D3761" s="132" t="n">
        <v>46582</v>
      </c>
      <c r="E3761" s="131" t="s">
        <v>40</v>
      </c>
      <c r="F3761" s="133" t="s">
        <v>11</v>
      </c>
      <c r="G3761" s="134" t="n">
        <f aca="false">LEN('Saisie programme'!$F$142)+SUMIFS('Vols additionnels'!$E$7:$E$66,'Vols additionnels'!$C$7:$C$66,$E3761,'Vols additionnels'!$D$7:$D$66,$F3761,'Vols additionnels'!$B$7:$B$66,$D3761)</f>
        <v>0</v>
      </c>
      <c r="H3761" s="135" t="n">
        <f aca="false">$G3761*'Analyse capacite'!$F$7</f>
        <v>0</v>
      </c>
      <c r="I3761" s="135" t="n">
        <f aca="false">$G3761*'Analyse capacite'!$C$7</f>
        <v>0</v>
      </c>
      <c r="J3761" s="135" t="n">
        <f aca="false">$G3761*'Analyse capacite'!$D$7</f>
        <v>0</v>
      </c>
      <c r="K3761" s="135" t="n">
        <f aca="false">$G3761*'Analyse capacite'!$E$7</f>
        <v>0</v>
      </c>
    </row>
    <row r="3762" customFormat="false" ht="15" hidden="false" customHeight="false" outlineLevel="0" collapsed="false">
      <c r="B3762" s="130" t="n">
        <v>2027</v>
      </c>
      <c r="C3762" s="131" t="s">
        <v>249</v>
      </c>
      <c r="D3762" s="132" t="n">
        <v>46582</v>
      </c>
      <c r="E3762" s="131" t="s">
        <v>40</v>
      </c>
      <c r="F3762" s="133" t="s">
        <v>19</v>
      </c>
      <c r="G3762" s="134" t="n">
        <f aca="false">LEN('Saisie programme'!$F$143)+SUMIFS('Vols additionnels'!$E$7:$E$66,'Vols additionnels'!$C$7:$C$66,$E3762,'Vols additionnels'!$D$7:$D$66,$F3762,'Vols additionnels'!$B$7:$B$66,$D3762)</f>
        <v>0</v>
      </c>
      <c r="H3762" s="135" t="n">
        <f aca="false">$G3762*'Analyse capacite'!$F$8</f>
        <v>0</v>
      </c>
      <c r="I3762" s="135" t="n">
        <f aca="false">$G3762*'Analyse capacite'!$C$8</f>
        <v>0</v>
      </c>
      <c r="J3762" s="135" t="n">
        <f aca="false">$G3762*'Analyse capacite'!$D$8</f>
        <v>0</v>
      </c>
      <c r="K3762" s="135" t="n">
        <f aca="false">$G3762*'Analyse capacite'!$E$8</f>
        <v>0</v>
      </c>
    </row>
    <row r="3763" customFormat="false" ht="15" hidden="false" customHeight="false" outlineLevel="0" collapsed="false">
      <c r="B3763" s="130" t="n">
        <v>2027</v>
      </c>
      <c r="C3763" s="131" t="s">
        <v>249</v>
      </c>
      <c r="D3763" s="132" t="n">
        <v>46582</v>
      </c>
      <c r="E3763" s="131" t="s">
        <v>40</v>
      </c>
      <c r="F3763" s="133" t="s">
        <v>24</v>
      </c>
      <c r="G3763" s="134" t="n">
        <f aca="false">LEN('Saisie programme'!$F$144)+SUMIFS('Vols additionnels'!$E$7:$E$66,'Vols additionnels'!$C$7:$C$66,$E3763,'Vols additionnels'!$D$7:$D$66,$F3763,'Vols additionnels'!$B$7:$B$66,$D3763)</f>
        <v>1</v>
      </c>
      <c r="H3763" s="135" t="n">
        <f aca="false">$G3763*'Analyse capacite'!$F$9</f>
        <v>174</v>
      </c>
      <c r="I3763" s="135" t="n">
        <f aca="false">$G3763*'Analyse capacite'!$C$9</f>
        <v>0</v>
      </c>
      <c r="J3763" s="135" t="n">
        <f aca="false">$G3763*'Analyse capacite'!$D$9</f>
        <v>12</v>
      </c>
      <c r="K3763" s="135" t="n">
        <f aca="false">$G3763*'Analyse capacite'!$E$9</f>
        <v>162</v>
      </c>
    </row>
    <row r="3764" customFormat="false" ht="15" hidden="false" customHeight="false" outlineLevel="0" collapsed="false">
      <c r="B3764" s="130" t="n">
        <v>2027</v>
      </c>
      <c r="C3764" s="131" t="s">
        <v>249</v>
      </c>
      <c r="D3764" s="132" t="n">
        <v>46582</v>
      </c>
      <c r="E3764" s="131" t="s">
        <v>14</v>
      </c>
      <c r="F3764" s="133" t="s">
        <v>11</v>
      </c>
      <c r="G3764" s="134" t="n">
        <f aca="false">LEN('Saisie programme'!$F$145)+SUMIFS('Vols additionnels'!$E$7:$E$66,'Vols additionnels'!$C$7:$C$66,$E3764,'Vols additionnels'!$D$7:$D$66,$F3764,'Vols additionnels'!$B$7:$B$66,$D3764)</f>
        <v>0</v>
      </c>
      <c r="H3764" s="135" t="n">
        <f aca="false">$G3764*'Analyse capacite'!$F$7</f>
        <v>0</v>
      </c>
      <c r="I3764" s="135" t="n">
        <f aca="false">$G3764*'Analyse capacite'!$C$7</f>
        <v>0</v>
      </c>
      <c r="J3764" s="135" t="n">
        <f aca="false">$G3764*'Analyse capacite'!$D$7</f>
        <v>0</v>
      </c>
      <c r="K3764" s="135" t="n">
        <f aca="false">$G3764*'Analyse capacite'!$E$7</f>
        <v>0</v>
      </c>
    </row>
    <row r="3765" customFormat="false" ht="15" hidden="false" customHeight="false" outlineLevel="0" collapsed="false">
      <c r="B3765" s="130" t="n">
        <v>2027</v>
      </c>
      <c r="C3765" s="131" t="s">
        <v>249</v>
      </c>
      <c r="D3765" s="132" t="n">
        <v>46582</v>
      </c>
      <c r="E3765" s="131" t="s">
        <v>14</v>
      </c>
      <c r="F3765" s="133" t="s">
        <v>19</v>
      </c>
      <c r="G3765" s="134" t="n">
        <f aca="false">LEN('Saisie programme'!$F$146)+SUMIFS('Vols additionnels'!$E$7:$E$66,'Vols additionnels'!$C$7:$C$66,$E3765,'Vols additionnels'!$D$7:$D$66,$F3765,'Vols additionnels'!$B$7:$B$66,$D3765)</f>
        <v>0</v>
      </c>
      <c r="H3765" s="135" t="n">
        <f aca="false">$G3765*'Analyse capacite'!$F$8</f>
        <v>0</v>
      </c>
      <c r="I3765" s="135" t="n">
        <f aca="false">$G3765*'Analyse capacite'!$C$8</f>
        <v>0</v>
      </c>
      <c r="J3765" s="135" t="n">
        <f aca="false">$G3765*'Analyse capacite'!$D$8</f>
        <v>0</v>
      </c>
      <c r="K3765" s="135" t="n">
        <f aca="false">$G3765*'Analyse capacite'!$E$8</f>
        <v>0</v>
      </c>
    </row>
    <row r="3766" customFormat="false" ht="15" hidden="false" customHeight="false" outlineLevel="0" collapsed="false">
      <c r="B3766" s="130" t="n">
        <v>2027</v>
      </c>
      <c r="C3766" s="131" t="s">
        <v>249</v>
      </c>
      <c r="D3766" s="132" t="n">
        <v>46582</v>
      </c>
      <c r="E3766" s="131" t="s">
        <v>14</v>
      </c>
      <c r="F3766" s="133" t="s">
        <v>24</v>
      </c>
      <c r="G3766" s="134" t="n">
        <f aca="false">LEN('Saisie programme'!$F$147)+SUMIFS('Vols additionnels'!$E$7:$E$66,'Vols additionnels'!$C$7:$C$66,$E3766,'Vols additionnels'!$D$7:$D$66,$F3766,'Vols additionnels'!$B$7:$B$66,$D3766)</f>
        <v>1</v>
      </c>
      <c r="H3766" s="135" t="n">
        <f aca="false">$G3766*'Analyse capacite'!$F$9</f>
        <v>174</v>
      </c>
      <c r="I3766" s="135" t="n">
        <f aca="false">$G3766*'Analyse capacite'!$C$9</f>
        <v>0</v>
      </c>
      <c r="J3766" s="135" t="n">
        <f aca="false">$G3766*'Analyse capacite'!$D$9</f>
        <v>12</v>
      </c>
      <c r="K3766" s="135" t="n">
        <f aca="false">$G3766*'Analyse capacite'!$E$9</f>
        <v>162</v>
      </c>
    </row>
    <row r="3767" customFormat="false" ht="15" hidden="false" customHeight="false" outlineLevel="0" collapsed="false">
      <c r="B3767" s="130" t="n">
        <v>2027</v>
      </c>
      <c r="C3767" s="131" t="s">
        <v>249</v>
      </c>
      <c r="D3767" s="132" t="n">
        <v>46582</v>
      </c>
      <c r="E3767" s="131" t="s">
        <v>46</v>
      </c>
      <c r="F3767" s="133" t="s">
        <v>11</v>
      </c>
      <c r="G3767" s="134" t="n">
        <f aca="false">LEN('Saisie programme'!$F$148)+SUMIFS('Vols additionnels'!$E$7:$E$66,'Vols additionnels'!$C$7:$C$66,$E3767,'Vols additionnels'!$D$7:$D$66,$F3767,'Vols additionnels'!$B$7:$B$66,$D3767)</f>
        <v>0</v>
      </c>
      <c r="H3767" s="135" t="n">
        <f aca="false">$G3767*'Analyse capacite'!$F$7</f>
        <v>0</v>
      </c>
      <c r="I3767" s="135" t="n">
        <f aca="false">$G3767*'Analyse capacite'!$C$7</f>
        <v>0</v>
      </c>
      <c r="J3767" s="135" t="n">
        <f aca="false">$G3767*'Analyse capacite'!$D$7</f>
        <v>0</v>
      </c>
      <c r="K3767" s="135" t="n">
        <f aca="false">$G3767*'Analyse capacite'!$E$7</f>
        <v>0</v>
      </c>
    </row>
    <row r="3768" customFormat="false" ht="15" hidden="false" customHeight="false" outlineLevel="0" collapsed="false">
      <c r="B3768" s="130" t="n">
        <v>2027</v>
      </c>
      <c r="C3768" s="131" t="s">
        <v>249</v>
      </c>
      <c r="D3768" s="132" t="n">
        <v>46582</v>
      </c>
      <c r="E3768" s="131" t="s">
        <v>46</v>
      </c>
      <c r="F3768" s="133" t="s">
        <v>19</v>
      </c>
      <c r="G3768" s="134" t="n">
        <f aca="false">LEN('Saisie programme'!$F$149)+SUMIFS('Vols additionnels'!$E$7:$E$66,'Vols additionnels'!$C$7:$C$66,$E3768,'Vols additionnels'!$D$7:$D$66,$F3768,'Vols additionnels'!$B$7:$B$66,$D3768)</f>
        <v>0</v>
      </c>
      <c r="H3768" s="135" t="n">
        <f aca="false">$G3768*'Analyse capacite'!$F$8</f>
        <v>0</v>
      </c>
      <c r="I3768" s="135" t="n">
        <f aca="false">$G3768*'Analyse capacite'!$C$8</f>
        <v>0</v>
      </c>
      <c r="J3768" s="135" t="n">
        <f aca="false">$G3768*'Analyse capacite'!$D$8</f>
        <v>0</v>
      </c>
      <c r="K3768" s="135" t="n">
        <f aca="false">$G3768*'Analyse capacite'!$E$8</f>
        <v>0</v>
      </c>
    </row>
    <row r="3769" customFormat="false" ht="15" hidden="false" customHeight="false" outlineLevel="0" collapsed="false">
      <c r="B3769" s="130" t="n">
        <v>2027</v>
      </c>
      <c r="C3769" s="131" t="s">
        <v>249</v>
      </c>
      <c r="D3769" s="132" t="n">
        <v>46582</v>
      </c>
      <c r="E3769" s="131" t="s">
        <v>46</v>
      </c>
      <c r="F3769" s="133" t="s">
        <v>24</v>
      </c>
      <c r="G3769" s="134" t="n">
        <f aca="false">LEN('Saisie programme'!$F$150)+SUMIFS('Vols additionnels'!$E$7:$E$66,'Vols additionnels'!$C$7:$C$66,$E3769,'Vols additionnels'!$D$7:$D$66,$F3769,'Vols additionnels'!$B$7:$B$66,$D3769)</f>
        <v>0</v>
      </c>
      <c r="H3769" s="135" t="n">
        <f aca="false">$G3769*'Analyse capacite'!$F$9</f>
        <v>0</v>
      </c>
      <c r="I3769" s="135" t="n">
        <f aca="false">$G3769*'Analyse capacite'!$C$9</f>
        <v>0</v>
      </c>
      <c r="J3769" s="135" t="n">
        <f aca="false">$G3769*'Analyse capacite'!$D$9</f>
        <v>0</v>
      </c>
      <c r="K3769" s="135" t="n">
        <f aca="false">$G3769*'Analyse capacite'!$E$9</f>
        <v>0</v>
      </c>
    </row>
    <row r="3770" customFormat="false" ht="15" hidden="false" customHeight="false" outlineLevel="0" collapsed="false">
      <c r="B3770" s="130" t="n">
        <v>2027</v>
      </c>
      <c r="C3770" s="131" t="s">
        <v>249</v>
      </c>
      <c r="D3770" s="132" t="n">
        <v>46582</v>
      </c>
      <c r="E3770" s="131" t="s">
        <v>49</v>
      </c>
      <c r="F3770" s="133" t="s">
        <v>11</v>
      </c>
      <c r="G3770" s="134" t="n">
        <f aca="false">LEN('Saisie programme'!$F$151)+SUMIFS('Vols additionnels'!$E$7:$E$66,'Vols additionnels'!$C$7:$C$66,$E3770,'Vols additionnels'!$D$7:$D$66,$F3770,'Vols additionnels'!$B$7:$B$66,$D3770)</f>
        <v>0</v>
      </c>
      <c r="H3770" s="135" t="n">
        <f aca="false">$G3770*'Analyse capacite'!$F$7</f>
        <v>0</v>
      </c>
      <c r="I3770" s="135" t="n">
        <f aca="false">$G3770*'Analyse capacite'!$C$7</f>
        <v>0</v>
      </c>
      <c r="J3770" s="135" t="n">
        <f aca="false">$G3770*'Analyse capacite'!$D$7</f>
        <v>0</v>
      </c>
      <c r="K3770" s="135" t="n">
        <f aca="false">$G3770*'Analyse capacite'!$E$7</f>
        <v>0</v>
      </c>
    </row>
    <row r="3771" customFormat="false" ht="15" hidden="false" customHeight="false" outlineLevel="0" collapsed="false">
      <c r="B3771" s="130" t="n">
        <v>2027</v>
      </c>
      <c r="C3771" s="131" t="s">
        <v>249</v>
      </c>
      <c r="D3771" s="132" t="n">
        <v>46582</v>
      </c>
      <c r="E3771" s="131" t="s">
        <v>49</v>
      </c>
      <c r="F3771" s="133" t="s">
        <v>19</v>
      </c>
      <c r="G3771" s="134" t="n">
        <f aca="false">LEN('Saisie programme'!$F$152)+SUMIFS('Vols additionnels'!$E$7:$E$66,'Vols additionnels'!$C$7:$C$66,$E3771,'Vols additionnels'!$D$7:$D$66,$F3771,'Vols additionnels'!$B$7:$B$66,$D3771)</f>
        <v>0</v>
      </c>
      <c r="H3771" s="135" t="n">
        <f aca="false">$G3771*'Analyse capacite'!$F$8</f>
        <v>0</v>
      </c>
      <c r="I3771" s="135" t="n">
        <f aca="false">$G3771*'Analyse capacite'!$C$8</f>
        <v>0</v>
      </c>
      <c r="J3771" s="135" t="n">
        <f aca="false">$G3771*'Analyse capacite'!$D$8</f>
        <v>0</v>
      </c>
      <c r="K3771" s="135" t="n">
        <f aca="false">$G3771*'Analyse capacite'!$E$8</f>
        <v>0</v>
      </c>
    </row>
    <row r="3772" customFormat="false" ht="15" hidden="false" customHeight="false" outlineLevel="0" collapsed="false">
      <c r="B3772" s="130" t="n">
        <v>2027</v>
      </c>
      <c r="C3772" s="131" t="s">
        <v>249</v>
      </c>
      <c r="D3772" s="132" t="n">
        <v>46582</v>
      </c>
      <c r="E3772" s="131" t="s">
        <v>49</v>
      </c>
      <c r="F3772" s="133" t="s">
        <v>24</v>
      </c>
      <c r="G3772" s="134" t="n">
        <f aca="false">LEN('Saisie programme'!$F$153)+SUMIFS('Vols additionnels'!$E$7:$E$66,'Vols additionnels'!$C$7:$C$66,$E3772,'Vols additionnels'!$D$7:$D$66,$F3772,'Vols additionnels'!$B$7:$B$66,$D3772)</f>
        <v>0</v>
      </c>
      <c r="H3772" s="135" t="n">
        <f aca="false">$G3772*'Analyse capacite'!$F$9</f>
        <v>0</v>
      </c>
      <c r="I3772" s="135" t="n">
        <f aca="false">$G3772*'Analyse capacite'!$C$9</f>
        <v>0</v>
      </c>
      <c r="J3772" s="135" t="n">
        <f aca="false">$G3772*'Analyse capacite'!$D$9</f>
        <v>0</v>
      </c>
      <c r="K3772" s="135" t="n">
        <f aca="false">$G3772*'Analyse capacite'!$E$9</f>
        <v>0</v>
      </c>
    </row>
    <row r="3773" customFormat="false" ht="15" hidden="false" customHeight="false" outlineLevel="0" collapsed="false">
      <c r="B3773" s="130" t="n">
        <v>2027</v>
      </c>
      <c r="C3773" s="131" t="s">
        <v>249</v>
      </c>
      <c r="D3773" s="132" t="n">
        <v>46582</v>
      </c>
      <c r="E3773" s="131" t="s">
        <v>53</v>
      </c>
      <c r="F3773" s="133" t="s">
        <v>11</v>
      </c>
      <c r="G3773" s="134" t="n">
        <f aca="false">LEN('Saisie programme'!$F$154)+SUMIFS('Vols additionnels'!$E$7:$E$66,'Vols additionnels'!$C$7:$C$66,$E3773,'Vols additionnels'!$D$7:$D$66,$F3773,'Vols additionnels'!$B$7:$B$66,$D3773)</f>
        <v>0</v>
      </c>
      <c r="H3773" s="135" t="n">
        <f aca="false">$G3773*'Analyse capacite'!$F$7</f>
        <v>0</v>
      </c>
      <c r="I3773" s="135" t="n">
        <f aca="false">$G3773*'Analyse capacite'!$C$7</f>
        <v>0</v>
      </c>
      <c r="J3773" s="135" t="n">
        <f aca="false">$G3773*'Analyse capacite'!$D$7</f>
        <v>0</v>
      </c>
      <c r="K3773" s="135" t="n">
        <f aca="false">$G3773*'Analyse capacite'!$E$7</f>
        <v>0</v>
      </c>
    </row>
    <row r="3774" customFormat="false" ht="15" hidden="false" customHeight="false" outlineLevel="0" collapsed="false">
      <c r="B3774" s="130" t="n">
        <v>2027</v>
      </c>
      <c r="C3774" s="131" t="s">
        <v>249</v>
      </c>
      <c r="D3774" s="132" t="n">
        <v>46582</v>
      </c>
      <c r="E3774" s="131" t="s">
        <v>53</v>
      </c>
      <c r="F3774" s="133" t="s">
        <v>19</v>
      </c>
      <c r="G3774" s="134" t="n">
        <f aca="false">LEN('Saisie programme'!$F$155)+SUMIFS('Vols additionnels'!$E$7:$E$66,'Vols additionnels'!$C$7:$C$66,$E3774,'Vols additionnels'!$D$7:$D$66,$F3774,'Vols additionnels'!$B$7:$B$66,$D3774)</f>
        <v>0</v>
      </c>
      <c r="H3774" s="135" t="n">
        <f aca="false">$G3774*'Analyse capacite'!$F$8</f>
        <v>0</v>
      </c>
      <c r="I3774" s="135" t="n">
        <f aca="false">$G3774*'Analyse capacite'!$C$8</f>
        <v>0</v>
      </c>
      <c r="J3774" s="135" t="n">
        <f aca="false">$G3774*'Analyse capacite'!$D$8</f>
        <v>0</v>
      </c>
      <c r="K3774" s="135" t="n">
        <f aca="false">$G3774*'Analyse capacite'!$E$8</f>
        <v>0</v>
      </c>
    </row>
    <row r="3775" customFormat="false" ht="15" hidden="false" customHeight="false" outlineLevel="0" collapsed="false">
      <c r="B3775" s="130" t="n">
        <v>2027</v>
      </c>
      <c r="C3775" s="131" t="s">
        <v>249</v>
      </c>
      <c r="D3775" s="132" t="n">
        <v>46582</v>
      </c>
      <c r="E3775" s="131" t="s">
        <v>53</v>
      </c>
      <c r="F3775" s="133" t="s">
        <v>24</v>
      </c>
      <c r="G3775" s="134" t="n">
        <f aca="false">LEN('Saisie programme'!$F$156)+SUMIFS('Vols additionnels'!$E$7:$E$66,'Vols additionnels'!$C$7:$C$66,$E3775,'Vols additionnels'!$D$7:$D$66,$F3775,'Vols additionnels'!$B$7:$B$66,$D3775)</f>
        <v>0</v>
      </c>
      <c r="H3775" s="135" t="n">
        <f aca="false">$G3775*'Analyse capacite'!$F$9</f>
        <v>0</v>
      </c>
      <c r="I3775" s="135" t="n">
        <f aca="false">$G3775*'Analyse capacite'!$C$9</f>
        <v>0</v>
      </c>
      <c r="J3775" s="135" t="n">
        <f aca="false">$G3775*'Analyse capacite'!$D$9</f>
        <v>0</v>
      </c>
      <c r="K3775" s="135" t="n">
        <f aca="false">$G3775*'Analyse capacite'!$E$9</f>
        <v>0</v>
      </c>
    </row>
    <row r="3776" customFormat="false" ht="15" hidden="false" customHeight="false" outlineLevel="0" collapsed="false">
      <c r="B3776" s="130" t="n">
        <v>2027</v>
      </c>
      <c r="C3776" s="131" t="s">
        <v>249</v>
      </c>
      <c r="D3776" s="132" t="n">
        <v>46582</v>
      </c>
      <c r="E3776" s="131" t="s">
        <v>56</v>
      </c>
      <c r="F3776" s="133" t="s">
        <v>11</v>
      </c>
      <c r="G3776" s="134" t="n">
        <f aca="false">LEN('Saisie programme'!$F$157)+SUMIFS('Vols additionnels'!$E$7:$E$66,'Vols additionnels'!$C$7:$C$66,$E3776,'Vols additionnels'!$D$7:$D$66,$F3776,'Vols additionnels'!$B$7:$B$66,$D3776)</f>
        <v>0</v>
      </c>
      <c r="H3776" s="135" t="n">
        <f aca="false">$G3776*'Analyse capacite'!$F$7</f>
        <v>0</v>
      </c>
      <c r="I3776" s="135" t="n">
        <f aca="false">$G3776*'Analyse capacite'!$C$7</f>
        <v>0</v>
      </c>
      <c r="J3776" s="135" t="n">
        <f aca="false">$G3776*'Analyse capacite'!$D$7</f>
        <v>0</v>
      </c>
      <c r="K3776" s="135" t="n">
        <f aca="false">$G3776*'Analyse capacite'!$E$7</f>
        <v>0</v>
      </c>
    </row>
    <row r="3777" customFormat="false" ht="15" hidden="false" customHeight="false" outlineLevel="0" collapsed="false">
      <c r="B3777" s="130" t="n">
        <v>2027</v>
      </c>
      <c r="C3777" s="131" t="s">
        <v>249</v>
      </c>
      <c r="D3777" s="132" t="n">
        <v>46582</v>
      </c>
      <c r="E3777" s="131" t="s">
        <v>56</v>
      </c>
      <c r="F3777" s="133" t="s">
        <v>19</v>
      </c>
      <c r="G3777" s="134" t="n">
        <f aca="false">LEN('Saisie programme'!$F$158)+SUMIFS('Vols additionnels'!$E$7:$E$66,'Vols additionnels'!$C$7:$C$66,$E3777,'Vols additionnels'!$D$7:$D$66,$F3777,'Vols additionnels'!$B$7:$B$66,$D3777)</f>
        <v>0</v>
      </c>
      <c r="H3777" s="135" t="n">
        <f aca="false">$G3777*'Analyse capacite'!$F$8</f>
        <v>0</v>
      </c>
      <c r="I3777" s="135" t="n">
        <f aca="false">$G3777*'Analyse capacite'!$C$8</f>
        <v>0</v>
      </c>
      <c r="J3777" s="135" t="n">
        <f aca="false">$G3777*'Analyse capacite'!$D$8</f>
        <v>0</v>
      </c>
      <c r="K3777" s="135" t="n">
        <f aca="false">$G3777*'Analyse capacite'!$E$8</f>
        <v>0</v>
      </c>
    </row>
    <row r="3778" customFormat="false" ht="15" hidden="false" customHeight="false" outlineLevel="0" collapsed="false">
      <c r="B3778" s="130" t="n">
        <v>2027</v>
      </c>
      <c r="C3778" s="131" t="s">
        <v>249</v>
      </c>
      <c r="D3778" s="132" t="n">
        <v>46582</v>
      </c>
      <c r="E3778" s="131" t="s">
        <v>56</v>
      </c>
      <c r="F3778" s="133" t="s">
        <v>24</v>
      </c>
      <c r="G3778" s="134" t="n">
        <f aca="false">LEN('Saisie programme'!$F$159)+SUMIFS('Vols additionnels'!$E$7:$E$66,'Vols additionnels'!$C$7:$C$66,$E3778,'Vols additionnels'!$D$7:$D$66,$F3778,'Vols additionnels'!$B$7:$B$66,$D3778)</f>
        <v>0</v>
      </c>
      <c r="H3778" s="135" t="n">
        <f aca="false">$G3778*'Analyse capacite'!$F$9</f>
        <v>0</v>
      </c>
      <c r="I3778" s="135" t="n">
        <f aca="false">$G3778*'Analyse capacite'!$C$9</f>
        <v>0</v>
      </c>
      <c r="J3778" s="135" t="n">
        <f aca="false">$G3778*'Analyse capacite'!$D$9</f>
        <v>0</v>
      </c>
      <c r="K3778" s="135" t="n">
        <f aca="false">$G3778*'Analyse capacite'!$E$9</f>
        <v>0</v>
      </c>
    </row>
    <row r="3779" customFormat="false" ht="15" hidden="false" customHeight="false" outlineLevel="0" collapsed="false">
      <c r="B3779" s="130" t="n">
        <v>2027</v>
      </c>
      <c r="C3779" s="131" t="s">
        <v>249</v>
      </c>
      <c r="D3779" s="132" t="n">
        <v>46582</v>
      </c>
      <c r="E3779" s="131" t="s">
        <v>59</v>
      </c>
      <c r="F3779" s="133" t="s">
        <v>11</v>
      </c>
      <c r="G3779" s="134" t="n">
        <f aca="false">LEN('Saisie programme'!$F$160)+SUMIFS('Vols additionnels'!$E$7:$E$66,'Vols additionnels'!$C$7:$C$66,$E3779,'Vols additionnels'!$D$7:$D$66,$F3779,'Vols additionnels'!$B$7:$B$66,$D3779)</f>
        <v>0</v>
      </c>
      <c r="H3779" s="135" t="n">
        <f aca="false">$G3779*'Analyse capacite'!$F$7</f>
        <v>0</v>
      </c>
      <c r="I3779" s="135" t="n">
        <f aca="false">$G3779*'Analyse capacite'!$C$7</f>
        <v>0</v>
      </c>
      <c r="J3779" s="135" t="n">
        <f aca="false">$G3779*'Analyse capacite'!$D$7</f>
        <v>0</v>
      </c>
      <c r="K3779" s="135" t="n">
        <f aca="false">$G3779*'Analyse capacite'!$E$7</f>
        <v>0</v>
      </c>
    </row>
    <row r="3780" customFormat="false" ht="15" hidden="false" customHeight="false" outlineLevel="0" collapsed="false">
      <c r="B3780" s="130" t="n">
        <v>2027</v>
      </c>
      <c r="C3780" s="131" t="s">
        <v>249</v>
      </c>
      <c r="D3780" s="132" t="n">
        <v>46582</v>
      </c>
      <c r="E3780" s="131" t="s">
        <v>59</v>
      </c>
      <c r="F3780" s="133" t="s">
        <v>19</v>
      </c>
      <c r="G3780" s="134" t="n">
        <f aca="false">LEN('Saisie programme'!$F$161)+SUMIFS('Vols additionnels'!$E$7:$E$66,'Vols additionnels'!$C$7:$C$66,$E3780,'Vols additionnels'!$D$7:$D$66,$F3780,'Vols additionnels'!$B$7:$B$66,$D3780)</f>
        <v>0</v>
      </c>
      <c r="H3780" s="135" t="n">
        <f aca="false">$G3780*'Analyse capacite'!$F$8</f>
        <v>0</v>
      </c>
      <c r="I3780" s="135" t="n">
        <f aca="false">$G3780*'Analyse capacite'!$C$8</f>
        <v>0</v>
      </c>
      <c r="J3780" s="135" t="n">
        <f aca="false">$G3780*'Analyse capacite'!$D$8</f>
        <v>0</v>
      </c>
      <c r="K3780" s="135" t="n">
        <f aca="false">$G3780*'Analyse capacite'!$E$8</f>
        <v>0</v>
      </c>
    </row>
    <row r="3781" customFormat="false" ht="15" hidden="false" customHeight="false" outlineLevel="0" collapsed="false">
      <c r="B3781" s="130" t="n">
        <v>2027</v>
      </c>
      <c r="C3781" s="131" t="s">
        <v>249</v>
      </c>
      <c r="D3781" s="132" t="n">
        <v>46582</v>
      </c>
      <c r="E3781" s="131" t="s">
        <v>59</v>
      </c>
      <c r="F3781" s="133" t="s">
        <v>24</v>
      </c>
      <c r="G3781" s="134" t="n">
        <f aca="false">LEN('Saisie programme'!$F$162)+SUMIFS('Vols additionnels'!$E$7:$E$66,'Vols additionnels'!$C$7:$C$66,$E3781,'Vols additionnels'!$D$7:$D$66,$F3781,'Vols additionnels'!$B$7:$B$66,$D3781)</f>
        <v>1</v>
      </c>
      <c r="H3781" s="135" t="n">
        <f aca="false">$G3781*'Analyse capacite'!$F$9</f>
        <v>174</v>
      </c>
      <c r="I3781" s="135" t="n">
        <f aca="false">$G3781*'Analyse capacite'!$C$9</f>
        <v>0</v>
      </c>
      <c r="J3781" s="135" t="n">
        <f aca="false">$G3781*'Analyse capacite'!$D$9</f>
        <v>12</v>
      </c>
      <c r="K3781" s="135" t="n">
        <f aca="false">$G3781*'Analyse capacite'!$E$9</f>
        <v>162</v>
      </c>
    </row>
    <row r="3782" customFormat="false" ht="15" hidden="false" customHeight="false" outlineLevel="0" collapsed="false">
      <c r="B3782" s="130" t="n">
        <v>2027</v>
      </c>
      <c r="C3782" s="131" t="s">
        <v>249</v>
      </c>
      <c r="D3782" s="132" t="n">
        <v>46582</v>
      </c>
      <c r="E3782" s="131" t="s">
        <v>62</v>
      </c>
      <c r="F3782" s="133" t="s">
        <v>11</v>
      </c>
      <c r="G3782" s="134" t="n">
        <f aca="false">LEN('Saisie programme'!$F$163)+SUMIFS('Vols additionnels'!$E$7:$E$66,'Vols additionnels'!$C$7:$C$66,$E3782,'Vols additionnels'!$D$7:$D$66,$F3782,'Vols additionnels'!$B$7:$B$66,$D3782)</f>
        <v>0</v>
      </c>
      <c r="H3782" s="135" t="n">
        <f aca="false">$G3782*'Analyse capacite'!$F$7</f>
        <v>0</v>
      </c>
      <c r="I3782" s="135" t="n">
        <f aca="false">$G3782*'Analyse capacite'!$C$7</f>
        <v>0</v>
      </c>
      <c r="J3782" s="135" t="n">
        <f aca="false">$G3782*'Analyse capacite'!$D$7</f>
        <v>0</v>
      </c>
      <c r="K3782" s="135" t="n">
        <f aca="false">$G3782*'Analyse capacite'!$E$7</f>
        <v>0</v>
      </c>
    </row>
    <row r="3783" customFormat="false" ht="15" hidden="false" customHeight="false" outlineLevel="0" collapsed="false">
      <c r="B3783" s="130" t="n">
        <v>2027</v>
      </c>
      <c r="C3783" s="131" t="s">
        <v>249</v>
      </c>
      <c r="D3783" s="132" t="n">
        <v>46582</v>
      </c>
      <c r="E3783" s="131" t="s">
        <v>62</v>
      </c>
      <c r="F3783" s="133" t="s">
        <v>19</v>
      </c>
      <c r="G3783" s="134" t="n">
        <f aca="false">LEN('Saisie programme'!$F$164)+SUMIFS('Vols additionnels'!$E$7:$E$66,'Vols additionnels'!$C$7:$C$66,$E3783,'Vols additionnels'!$D$7:$D$66,$F3783,'Vols additionnels'!$B$7:$B$66,$D3783)</f>
        <v>0</v>
      </c>
      <c r="H3783" s="135" t="n">
        <f aca="false">$G3783*'Analyse capacite'!$F$8</f>
        <v>0</v>
      </c>
      <c r="I3783" s="135" t="n">
        <f aca="false">$G3783*'Analyse capacite'!$C$8</f>
        <v>0</v>
      </c>
      <c r="J3783" s="135" t="n">
        <f aca="false">$G3783*'Analyse capacite'!$D$8</f>
        <v>0</v>
      </c>
      <c r="K3783" s="135" t="n">
        <f aca="false">$G3783*'Analyse capacite'!$E$8</f>
        <v>0</v>
      </c>
    </row>
    <row r="3784" customFormat="false" ht="15" hidden="false" customHeight="false" outlineLevel="0" collapsed="false">
      <c r="B3784" s="130" t="n">
        <v>2027</v>
      </c>
      <c r="C3784" s="131" t="s">
        <v>249</v>
      </c>
      <c r="D3784" s="132" t="n">
        <v>46582</v>
      </c>
      <c r="E3784" s="131" t="s">
        <v>62</v>
      </c>
      <c r="F3784" s="133" t="s">
        <v>24</v>
      </c>
      <c r="G3784" s="134" t="n">
        <f aca="false">LEN('Saisie programme'!$F$165)+SUMIFS('Vols additionnels'!$E$7:$E$66,'Vols additionnels'!$C$7:$C$66,$E3784,'Vols additionnels'!$D$7:$D$66,$F3784,'Vols additionnels'!$B$7:$B$66,$D3784)</f>
        <v>1</v>
      </c>
      <c r="H3784" s="135" t="n">
        <f aca="false">$G3784*'Analyse capacite'!$F$9</f>
        <v>174</v>
      </c>
      <c r="I3784" s="135" t="n">
        <f aca="false">$G3784*'Analyse capacite'!$C$9</f>
        <v>0</v>
      </c>
      <c r="J3784" s="135" t="n">
        <f aca="false">$G3784*'Analyse capacite'!$D$9</f>
        <v>12</v>
      </c>
      <c r="K3784" s="135" t="n">
        <f aca="false">$G3784*'Analyse capacite'!$E$9</f>
        <v>162</v>
      </c>
    </row>
    <row r="3785" customFormat="false" ht="15" hidden="false" customHeight="false" outlineLevel="0" collapsed="false">
      <c r="B3785" s="130" t="n">
        <v>2027</v>
      </c>
      <c r="C3785" s="131" t="s">
        <v>249</v>
      </c>
      <c r="D3785" s="132" t="n">
        <v>46583</v>
      </c>
      <c r="E3785" s="131" t="s">
        <v>12</v>
      </c>
      <c r="F3785" s="133" t="s">
        <v>11</v>
      </c>
      <c r="G3785" s="134" t="n">
        <f aca="false">LEN('Saisie programme'!$G$130)+SUMIFS('Vols additionnels'!$E$7:$E$66,'Vols additionnels'!$C$7:$C$66,$E3785,'Vols additionnels'!$D$7:$D$66,$F3785,'Vols additionnels'!$B$7:$B$66,$D3785)</f>
        <v>1</v>
      </c>
      <c r="H3785" s="135" t="n">
        <f aca="false">$G3785*'Analyse capacite'!$F$7</f>
        <v>438</v>
      </c>
      <c r="I3785" s="135" t="n">
        <f aca="false">$G3785*'Analyse capacite'!$C$7</f>
        <v>14</v>
      </c>
      <c r="J3785" s="135" t="n">
        <f aca="false">$G3785*'Analyse capacite'!$D$7</f>
        <v>40</v>
      </c>
      <c r="K3785" s="135" t="n">
        <f aca="false">$G3785*'Analyse capacite'!$E$7</f>
        <v>384</v>
      </c>
    </row>
    <row r="3786" customFormat="false" ht="15" hidden="false" customHeight="false" outlineLevel="0" collapsed="false">
      <c r="B3786" s="130" t="n">
        <v>2027</v>
      </c>
      <c r="C3786" s="131" t="s">
        <v>249</v>
      </c>
      <c r="D3786" s="132" t="n">
        <v>46583</v>
      </c>
      <c r="E3786" s="131" t="s">
        <v>12</v>
      </c>
      <c r="F3786" s="133" t="s">
        <v>19</v>
      </c>
      <c r="G3786" s="134" t="n">
        <f aca="false">LEN('Saisie programme'!$G$131)+SUMIFS('Vols additionnels'!$E$7:$E$66,'Vols additionnels'!$C$7:$C$66,$E3786,'Vols additionnels'!$D$7:$D$66,$F3786,'Vols additionnels'!$B$7:$B$66,$D3786)</f>
        <v>0</v>
      </c>
      <c r="H3786" s="135" t="n">
        <f aca="false">$G3786*'Analyse capacite'!$F$8</f>
        <v>0</v>
      </c>
      <c r="I3786" s="135" t="n">
        <f aca="false">$G3786*'Analyse capacite'!$C$8</f>
        <v>0</v>
      </c>
      <c r="J3786" s="135" t="n">
        <f aca="false">$G3786*'Analyse capacite'!$D$8</f>
        <v>0</v>
      </c>
      <c r="K3786" s="135" t="n">
        <f aca="false">$G3786*'Analyse capacite'!$E$8</f>
        <v>0</v>
      </c>
    </row>
    <row r="3787" customFormat="false" ht="15" hidden="false" customHeight="false" outlineLevel="0" collapsed="false">
      <c r="B3787" s="130" t="n">
        <v>2027</v>
      </c>
      <c r="C3787" s="131" t="s">
        <v>249</v>
      </c>
      <c r="D3787" s="132" t="n">
        <v>46583</v>
      </c>
      <c r="E3787" s="131" t="s">
        <v>12</v>
      </c>
      <c r="F3787" s="133" t="s">
        <v>24</v>
      </c>
      <c r="G3787" s="134" t="n">
        <f aca="false">LEN('Saisie programme'!$G$132)+SUMIFS('Vols additionnels'!$E$7:$E$66,'Vols additionnels'!$C$7:$C$66,$E3787,'Vols additionnels'!$D$7:$D$66,$F3787,'Vols additionnels'!$B$7:$B$66,$D3787)</f>
        <v>0</v>
      </c>
      <c r="H3787" s="135" t="n">
        <f aca="false">$G3787*'Analyse capacite'!$F$9</f>
        <v>0</v>
      </c>
      <c r="I3787" s="135" t="n">
        <f aca="false">$G3787*'Analyse capacite'!$C$9</f>
        <v>0</v>
      </c>
      <c r="J3787" s="135" t="n">
        <f aca="false">$G3787*'Analyse capacite'!$D$9</f>
        <v>0</v>
      </c>
      <c r="K3787" s="135" t="n">
        <f aca="false">$G3787*'Analyse capacite'!$E$9</f>
        <v>0</v>
      </c>
    </row>
    <row r="3788" customFormat="false" ht="15" hidden="false" customHeight="false" outlineLevel="0" collapsed="false">
      <c r="B3788" s="130" t="n">
        <v>2027</v>
      </c>
      <c r="C3788" s="131" t="s">
        <v>249</v>
      </c>
      <c r="D3788" s="132" t="n">
        <v>46583</v>
      </c>
      <c r="E3788" s="131" t="s">
        <v>20</v>
      </c>
      <c r="F3788" s="133" t="s">
        <v>11</v>
      </c>
      <c r="G3788" s="134" t="n">
        <f aca="false">LEN('Saisie programme'!$G$133)+SUMIFS('Vols additionnels'!$E$7:$E$66,'Vols additionnels'!$C$7:$C$66,$E3788,'Vols additionnels'!$D$7:$D$66,$F3788,'Vols additionnels'!$B$7:$B$66,$D3788)</f>
        <v>0</v>
      </c>
      <c r="H3788" s="135" t="n">
        <f aca="false">$G3788*'Analyse capacite'!$F$7</f>
        <v>0</v>
      </c>
      <c r="I3788" s="135" t="n">
        <f aca="false">$G3788*'Analyse capacite'!$C$7</f>
        <v>0</v>
      </c>
      <c r="J3788" s="135" t="n">
        <f aca="false">$G3788*'Analyse capacite'!$D$7</f>
        <v>0</v>
      </c>
      <c r="K3788" s="135" t="n">
        <f aca="false">$G3788*'Analyse capacite'!$E$7</f>
        <v>0</v>
      </c>
    </row>
    <row r="3789" customFormat="false" ht="15" hidden="false" customHeight="false" outlineLevel="0" collapsed="false">
      <c r="B3789" s="130" t="n">
        <v>2027</v>
      </c>
      <c r="C3789" s="131" t="s">
        <v>249</v>
      </c>
      <c r="D3789" s="132" t="n">
        <v>46583</v>
      </c>
      <c r="E3789" s="131" t="s">
        <v>20</v>
      </c>
      <c r="F3789" s="133" t="s">
        <v>19</v>
      </c>
      <c r="G3789" s="134" t="n">
        <f aca="false">LEN('Saisie programme'!$G$134)+SUMIFS('Vols additionnels'!$E$7:$E$66,'Vols additionnels'!$C$7:$C$66,$E3789,'Vols additionnels'!$D$7:$D$66,$F3789,'Vols additionnels'!$B$7:$B$66,$D3789)</f>
        <v>0</v>
      </c>
      <c r="H3789" s="135" t="n">
        <f aca="false">$G3789*'Analyse capacite'!$F$8</f>
        <v>0</v>
      </c>
      <c r="I3789" s="135" t="n">
        <f aca="false">$G3789*'Analyse capacite'!$C$8</f>
        <v>0</v>
      </c>
      <c r="J3789" s="135" t="n">
        <f aca="false">$G3789*'Analyse capacite'!$D$8</f>
        <v>0</v>
      </c>
      <c r="K3789" s="135" t="n">
        <f aca="false">$G3789*'Analyse capacite'!$E$8</f>
        <v>0</v>
      </c>
    </row>
    <row r="3790" customFormat="false" ht="15" hidden="false" customHeight="false" outlineLevel="0" collapsed="false">
      <c r="B3790" s="130" t="n">
        <v>2027</v>
      </c>
      <c r="C3790" s="131" t="s">
        <v>249</v>
      </c>
      <c r="D3790" s="132" t="n">
        <v>46583</v>
      </c>
      <c r="E3790" s="131" t="s">
        <v>20</v>
      </c>
      <c r="F3790" s="133" t="s">
        <v>24</v>
      </c>
      <c r="G3790" s="134" t="n">
        <f aca="false">LEN('Saisie programme'!$G$135)+SUMIFS('Vols additionnels'!$E$7:$E$66,'Vols additionnels'!$C$7:$C$66,$E3790,'Vols additionnels'!$D$7:$D$66,$F3790,'Vols additionnels'!$B$7:$B$66,$D3790)</f>
        <v>0</v>
      </c>
      <c r="H3790" s="135" t="n">
        <f aca="false">$G3790*'Analyse capacite'!$F$9</f>
        <v>0</v>
      </c>
      <c r="I3790" s="135" t="n">
        <f aca="false">$G3790*'Analyse capacite'!$C$9</f>
        <v>0</v>
      </c>
      <c r="J3790" s="135" t="n">
        <f aca="false">$G3790*'Analyse capacite'!$D$9</f>
        <v>0</v>
      </c>
      <c r="K3790" s="135" t="n">
        <f aca="false">$G3790*'Analyse capacite'!$E$9</f>
        <v>0</v>
      </c>
    </row>
    <row r="3791" customFormat="false" ht="15" hidden="false" customHeight="false" outlineLevel="0" collapsed="false">
      <c r="B3791" s="130" t="n">
        <v>2027</v>
      </c>
      <c r="C3791" s="131" t="s">
        <v>249</v>
      </c>
      <c r="D3791" s="132" t="n">
        <v>46583</v>
      </c>
      <c r="E3791" s="131" t="s">
        <v>25</v>
      </c>
      <c r="F3791" s="133" t="s">
        <v>11</v>
      </c>
      <c r="G3791" s="134" t="n">
        <f aca="false">LEN('Saisie programme'!$G$136)+SUMIFS('Vols additionnels'!$E$7:$E$66,'Vols additionnels'!$C$7:$C$66,$E3791,'Vols additionnels'!$D$7:$D$66,$F3791,'Vols additionnels'!$B$7:$B$66,$D3791)</f>
        <v>0</v>
      </c>
      <c r="H3791" s="135" t="n">
        <f aca="false">$G3791*'Analyse capacite'!$F$7</f>
        <v>0</v>
      </c>
      <c r="I3791" s="135" t="n">
        <f aca="false">$G3791*'Analyse capacite'!$C$7</f>
        <v>0</v>
      </c>
      <c r="J3791" s="135" t="n">
        <f aca="false">$G3791*'Analyse capacite'!$D$7</f>
        <v>0</v>
      </c>
      <c r="K3791" s="135" t="n">
        <f aca="false">$G3791*'Analyse capacite'!$E$7</f>
        <v>0</v>
      </c>
    </row>
    <row r="3792" customFormat="false" ht="15" hidden="false" customHeight="false" outlineLevel="0" collapsed="false">
      <c r="B3792" s="130" t="n">
        <v>2027</v>
      </c>
      <c r="C3792" s="131" t="s">
        <v>249</v>
      </c>
      <c r="D3792" s="132" t="n">
        <v>46583</v>
      </c>
      <c r="E3792" s="131" t="s">
        <v>25</v>
      </c>
      <c r="F3792" s="133" t="s">
        <v>19</v>
      </c>
      <c r="G3792" s="134" t="n">
        <f aca="false">LEN('Saisie programme'!$G$137)+SUMIFS('Vols additionnels'!$E$7:$E$66,'Vols additionnels'!$C$7:$C$66,$E3792,'Vols additionnels'!$D$7:$D$66,$F3792,'Vols additionnels'!$B$7:$B$66,$D3792)</f>
        <v>0</v>
      </c>
      <c r="H3792" s="135" t="n">
        <f aca="false">$G3792*'Analyse capacite'!$F$8</f>
        <v>0</v>
      </c>
      <c r="I3792" s="135" t="n">
        <f aca="false">$G3792*'Analyse capacite'!$C$8</f>
        <v>0</v>
      </c>
      <c r="J3792" s="135" t="n">
        <f aca="false">$G3792*'Analyse capacite'!$D$8</f>
        <v>0</v>
      </c>
      <c r="K3792" s="135" t="n">
        <f aca="false">$G3792*'Analyse capacite'!$E$8</f>
        <v>0</v>
      </c>
    </row>
    <row r="3793" customFormat="false" ht="15" hidden="false" customHeight="false" outlineLevel="0" collapsed="false">
      <c r="B3793" s="130" t="n">
        <v>2027</v>
      </c>
      <c r="C3793" s="131" t="s">
        <v>249</v>
      </c>
      <c r="D3793" s="132" t="n">
        <v>46583</v>
      </c>
      <c r="E3793" s="131" t="s">
        <v>25</v>
      </c>
      <c r="F3793" s="133" t="s">
        <v>24</v>
      </c>
      <c r="G3793" s="134" t="n">
        <f aca="false">LEN('Saisie programme'!$G$138)+SUMIFS('Vols additionnels'!$E$7:$E$66,'Vols additionnels'!$C$7:$C$66,$E3793,'Vols additionnels'!$D$7:$D$66,$F3793,'Vols additionnels'!$B$7:$B$66,$D3793)</f>
        <v>0</v>
      </c>
      <c r="H3793" s="135" t="n">
        <f aca="false">$G3793*'Analyse capacite'!$F$9</f>
        <v>0</v>
      </c>
      <c r="I3793" s="135" t="n">
        <f aca="false">$G3793*'Analyse capacite'!$C$9</f>
        <v>0</v>
      </c>
      <c r="J3793" s="135" t="n">
        <f aca="false">$G3793*'Analyse capacite'!$D$9</f>
        <v>0</v>
      </c>
      <c r="K3793" s="135" t="n">
        <f aca="false">$G3793*'Analyse capacite'!$E$9</f>
        <v>0</v>
      </c>
    </row>
    <row r="3794" customFormat="false" ht="15" hidden="false" customHeight="false" outlineLevel="0" collapsed="false">
      <c r="B3794" s="130" t="n">
        <v>2027</v>
      </c>
      <c r="C3794" s="131" t="s">
        <v>249</v>
      </c>
      <c r="D3794" s="132" t="n">
        <v>46583</v>
      </c>
      <c r="E3794" s="131" t="s">
        <v>36</v>
      </c>
      <c r="F3794" s="133" t="s">
        <v>11</v>
      </c>
      <c r="G3794" s="134" t="n">
        <f aca="false">LEN('Saisie programme'!$G$139)+SUMIFS('Vols additionnels'!$E$7:$E$66,'Vols additionnels'!$C$7:$C$66,$E3794,'Vols additionnels'!$D$7:$D$66,$F3794,'Vols additionnels'!$B$7:$B$66,$D3794)</f>
        <v>0</v>
      </c>
      <c r="H3794" s="135" t="n">
        <f aca="false">$G3794*'Analyse capacite'!$F$7</f>
        <v>0</v>
      </c>
      <c r="I3794" s="135" t="n">
        <f aca="false">$G3794*'Analyse capacite'!$C$7</f>
        <v>0</v>
      </c>
      <c r="J3794" s="135" t="n">
        <f aca="false">$G3794*'Analyse capacite'!$D$7</f>
        <v>0</v>
      </c>
      <c r="K3794" s="135" t="n">
        <f aca="false">$G3794*'Analyse capacite'!$E$7</f>
        <v>0</v>
      </c>
    </row>
    <row r="3795" customFormat="false" ht="15" hidden="false" customHeight="false" outlineLevel="0" collapsed="false">
      <c r="B3795" s="130" t="n">
        <v>2027</v>
      </c>
      <c r="C3795" s="131" t="s">
        <v>249</v>
      </c>
      <c r="D3795" s="132" t="n">
        <v>46583</v>
      </c>
      <c r="E3795" s="131" t="s">
        <v>36</v>
      </c>
      <c r="F3795" s="133" t="s">
        <v>19</v>
      </c>
      <c r="G3795" s="134" t="n">
        <f aca="false">LEN('Saisie programme'!$G$140)+SUMIFS('Vols additionnels'!$E$7:$E$66,'Vols additionnels'!$C$7:$C$66,$E3795,'Vols additionnels'!$D$7:$D$66,$F3795,'Vols additionnels'!$B$7:$B$66,$D3795)</f>
        <v>0</v>
      </c>
      <c r="H3795" s="135" t="n">
        <f aca="false">$G3795*'Analyse capacite'!$F$8</f>
        <v>0</v>
      </c>
      <c r="I3795" s="135" t="n">
        <f aca="false">$G3795*'Analyse capacite'!$C$8</f>
        <v>0</v>
      </c>
      <c r="J3795" s="135" t="n">
        <f aca="false">$G3795*'Analyse capacite'!$D$8</f>
        <v>0</v>
      </c>
      <c r="K3795" s="135" t="n">
        <f aca="false">$G3795*'Analyse capacite'!$E$8</f>
        <v>0</v>
      </c>
    </row>
    <row r="3796" customFormat="false" ht="15" hidden="false" customHeight="false" outlineLevel="0" collapsed="false">
      <c r="B3796" s="130" t="n">
        <v>2027</v>
      </c>
      <c r="C3796" s="131" t="s">
        <v>249</v>
      </c>
      <c r="D3796" s="132" t="n">
        <v>46583</v>
      </c>
      <c r="E3796" s="131" t="s">
        <v>36</v>
      </c>
      <c r="F3796" s="133" t="s">
        <v>24</v>
      </c>
      <c r="G3796" s="134" t="n">
        <f aca="false">LEN('Saisie programme'!$G$141)+SUMIFS('Vols additionnels'!$E$7:$E$66,'Vols additionnels'!$C$7:$C$66,$E3796,'Vols additionnels'!$D$7:$D$66,$F3796,'Vols additionnels'!$B$7:$B$66,$D3796)</f>
        <v>1</v>
      </c>
      <c r="H3796" s="135" t="n">
        <f aca="false">$G3796*'Analyse capacite'!$F$9</f>
        <v>174</v>
      </c>
      <c r="I3796" s="135" t="n">
        <f aca="false">$G3796*'Analyse capacite'!$C$9</f>
        <v>0</v>
      </c>
      <c r="J3796" s="135" t="n">
        <f aca="false">$G3796*'Analyse capacite'!$D$9</f>
        <v>12</v>
      </c>
      <c r="K3796" s="135" t="n">
        <f aca="false">$G3796*'Analyse capacite'!$E$9</f>
        <v>162</v>
      </c>
    </row>
    <row r="3797" customFormat="false" ht="15" hidden="false" customHeight="false" outlineLevel="0" collapsed="false">
      <c r="B3797" s="130" t="n">
        <v>2027</v>
      </c>
      <c r="C3797" s="131" t="s">
        <v>249</v>
      </c>
      <c r="D3797" s="132" t="n">
        <v>46583</v>
      </c>
      <c r="E3797" s="131" t="s">
        <v>40</v>
      </c>
      <c r="F3797" s="133" t="s">
        <v>11</v>
      </c>
      <c r="G3797" s="134" t="n">
        <f aca="false">LEN('Saisie programme'!$G$142)+SUMIFS('Vols additionnels'!$E$7:$E$66,'Vols additionnels'!$C$7:$C$66,$E3797,'Vols additionnels'!$D$7:$D$66,$F3797,'Vols additionnels'!$B$7:$B$66,$D3797)</f>
        <v>0</v>
      </c>
      <c r="H3797" s="135" t="n">
        <f aca="false">$G3797*'Analyse capacite'!$F$7</f>
        <v>0</v>
      </c>
      <c r="I3797" s="135" t="n">
        <f aca="false">$G3797*'Analyse capacite'!$C$7</f>
        <v>0</v>
      </c>
      <c r="J3797" s="135" t="n">
        <f aca="false">$G3797*'Analyse capacite'!$D$7</f>
        <v>0</v>
      </c>
      <c r="K3797" s="135" t="n">
        <f aca="false">$G3797*'Analyse capacite'!$E$7</f>
        <v>0</v>
      </c>
    </row>
    <row r="3798" customFormat="false" ht="15" hidden="false" customHeight="false" outlineLevel="0" collapsed="false">
      <c r="B3798" s="130" t="n">
        <v>2027</v>
      </c>
      <c r="C3798" s="131" t="s">
        <v>249</v>
      </c>
      <c r="D3798" s="132" t="n">
        <v>46583</v>
      </c>
      <c r="E3798" s="131" t="s">
        <v>40</v>
      </c>
      <c r="F3798" s="133" t="s">
        <v>19</v>
      </c>
      <c r="G3798" s="134" t="n">
        <f aca="false">LEN('Saisie programme'!$G$143)+SUMIFS('Vols additionnels'!$E$7:$E$66,'Vols additionnels'!$C$7:$C$66,$E3798,'Vols additionnels'!$D$7:$D$66,$F3798,'Vols additionnels'!$B$7:$B$66,$D3798)</f>
        <v>0</v>
      </c>
      <c r="H3798" s="135" t="n">
        <f aca="false">$G3798*'Analyse capacite'!$F$8</f>
        <v>0</v>
      </c>
      <c r="I3798" s="135" t="n">
        <f aca="false">$G3798*'Analyse capacite'!$C$8</f>
        <v>0</v>
      </c>
      <c r="J3798" s="135" t="n">
        <f aca="false">$G3798*'Analyse capacite'!$D$8</f>
        <v>0</v>
      </c>
      <c r="K3798" s="135" t="n">
        <f aca="false">$G3798*'Analyse capacite'!$E$8</f>
        <v>0</v>
      </c>
    </row>
    <row r="3799" customFormat="false" ht="15" hidden="false" customHeight="false" outlineLevel="0" collapsed="false">
      <c r="B3799" s="130" t="n">
        <v>2027</v>
      </c>
      <c r="C3799" s="131" t="s">
        <v>249</v>
      </c>
      <c r="D3799" s="132" t="n">
        <v>46583</v>
      </c>
      <c r="E3799" s="131" t="s">
        <v>40</v>
      </c>
      <c r="F3799" s="133" t="s">
        <v>24</v>
      </c>
      <c r="G3799" s="134" t="n">
        <f aca="false">LEN('Saisie programme'!$G$144)+SUMIFS('Vols additionnels'!$E$7:$E$66,'Vols additionnels'!$C$7:$C$66,$E3799,'Vols additionnels'!$D$7:$D$66,$F3799,'Vols additionnels'!$B$7:$B$66,$D3799)</f>
        <v>0</v>
      </c>
      <c r="H3799" s="135" t="n">
        <f aca="false">$G3799*'Analyse capacite'!$F$9</f>
        <v>0</v>
      </c>
      <c r="I3799" s="135" t="n">
        <f aca="false">$G3799*'Analyse capacite'!$C$9</f>
        <v>0</v>
      </c>
      <c r="J3799" s="135" t="n">
        <f aca="false">$G3799*'Analyse capacite'!$D$9</f>
        <v>0</v>
      </c>
      <c r="K3799" s="135" t="n">
        <f aca="false">$G3799*'Analyse capacite'!$E$9</f>
        <v>0</v>
      </c>
    </row>
    <row r="3800" customFormat="false" ht="15" hidden="false" customHeight="false" outlineLevel="0" collapsed="false">
      <c r="B3800" s="130" t="n">
        <v>2027</v>
      </c>
      <c r="C3800" s="131" t="s">
        <v>249</v>
      </c>
      <c r="D3800" s="132" t="n">
        <v>46583</v>
      </c>
      <c r="E3800" s="131" t="s">
        <v>14</v>
      </c>
      <c r="F3800" s="133" t="s">
        <v>11</v>
      </c>
      <c r="G3800" s="134" t="n">
        <f aca="false">LEN('Saisie programme'!$G$145)+SUMIFS('Vols additionnels'!$E$7:$E$66,'Vols additionnels'!$C$7:$C$66,$E3800,'Vols additionnels'!$D$7:$D$66,$F3800,'Vols additionnels'!$B$7:$B$66,$D3800)</f>
        <v>0</v>
      </c>
      <c r="H3800" s="135" t="n">
        <f aca="false">$G3800*'Analyse capacite'!$F$7</f>
        <v>0</v>
      </c>
      <c r="I3800" s="135" t="n">
        <f aca="false">$G3800*'Analyse capacite'!$C$7</f>
        <v>0</v>
      </c>
      <c r="J3800" s="135" t="n">
        <f aca="false">$G3800*'Analyse capacite'!$D$7</f>
        <v>0</v>
      </c>
      <c r="K3800" s="135" t="n">
        <f aca="false">$G3800*'Analyse capacite'!$E$7</f>
        <v>0</v>
      </c>
    </row>
    <row r="3801" customFormat="false" ht="15" hidden="false" customHeight="false" outlineLevel="0" collapsed="false">
      <c r="B3801" s="130" t="n">
        <v>2027</v>
      </c>
      <c r="C3801" s="131" t="s">
        <v>249</v>
      </c>
      <c r="D3801" s="132" t="n">
        <v>46583</v>
      </c>
      <c r="E3801" s="131" t="s">
        <v>14</v>
      </c>
      <c r="F3801" s="133" t="s">
        <v>19</v>
      </c>
      <c r="G3801" s="134" t="n">
        <f aca="false">LEN('Saisie programme'!$G$146)+SUMIFS('Vols additionnels'!$E$7:$E$66,'Vols additionnels'!$C$7:$C$66,$E3801,'Vols additionnels'!$D$7:$D$66,$F3801,'Vols additionnels'!$B$7:$B$66,$D3801)</f>
        <v>0</v>
      </c>
      <c r="H3801" s="135" t="n">
        <f aca="false">$G3801*'Analyse capacite'!$F$8</f>
        <v>0</v>
      </c>
      <c r="I3801" s="135" t="n">
        <f aca="false">$G3801*'Analyse capacite'!$C$8</f>
        <v>0</v>
      </c>
      <c r="J3801" s="135" t="n">
        <f aca="false">$G3801*'Analyse capacite'!$D$8</f>
        <v>0</v>
      </c>
      <c r="K3801" s="135" t="n">
        <f aca="false">$G3801*'Analyse capacite'!$E$8</f>
        <v>0</v>
      </c>
    </row>
    <row r="3802" customFormat="false" ht="15" hidden="false" customHeight="false" outlineLevel="0" collapsed="false">
      <c r="B3802" s="130" t="n">
        <v>2027</v>
      </c>
      <c r="C3802" s="131" t="s">
        <v>249</v>
      </c>
      <c r="D3802" s="132" t="n">
        <v>46583</v>
      </c>
      <c r="E3802" s="131" t="s">
        <v>14</v>
      </c>
      <c r="F3802" s="133" t="s">
        <v>24</v>
      </c>
      <c r="G3802" s="134" t="n">
        <f aca="false">LEN('Saisie programme'!$G$147)+SUMIFS('Vols additionnels'!$E$7:$E$66,'Vols additionnels'!$C$7:$C$66,$E3802,'Vols additionnels'!$D$7:$D$66,$F3802,'Vols additionnels'!$B$7:$B$66,$D3802)</f>
        <v>1</v>
      </c>
      <c r="H3802" s="135" t="n">
        <f aca="false">$G3802*'Analyse capacite'!$F$9</f>
        <v>174</v>
      </c>
      <c r="I3802" s="135" t="n">
        <f aca="false">$G3802*'Analyse capacite'!$C$9</f>
        <v>0</v>
      </c>
      <c r="J3802" s="135" t="n">
        <f aca="false">$G3802*'Analyse capacite'!$D$9</f>
        <v>12</v>
      </c>
      <c r="K3802" s="135" t="n">
        <f aca="false">$G3802*'Analyse capacite'!$E$9</f>
        <v>162</v>
      </c>
    </row>
    <row r="3803" customFormat="false" ht="15" hidden="false" customHeight="false" outlineLevel="0" collapsed="false">
      <c r="B3803" s="130" t="n">
        <v>2027</v>
      </c>
      <c r="C3803" s="131" t="s">
        <v>249</v>
      </c>
      <c r="D3803" s="132" t="n">
        <v>46583</v>
      </c>
      <c r="E3803" s="131" t="s">
        <v>46</v>
      </c>
      <c r="F3803" s="133" t="s">
        <v>11</v>
      </c>
      <c r="G3803" s="134" t="n">
        <f aca="false">LEN('Saisie programme'!$G$148)+SUMIFS('Vols additionnels'!$E$7:$E$66,'Vols additionnels'!$C$7:$C$66,$E3803,'Vols additionnels'!$D$7:$D$66,$F3803,'Vols additionnels'!$B$7:$B$66,$D3803)</f>
        <v>0</v>
      </c>
      <c r="H3803" s="135" t="n">
        <f aca="false">$G3803*'Analyse capacite'!$F$7</f>
        <v>0</v>
      </c>
      <c r="I3803" s="135" t="n">
        <f aca="false">$G3803*'Analyse capacite'!$C$7</f>
        <v>0</v>
      </c>
      <c r="J3803" s="135" t="n">
        <f aca="false">$G3803*'Analyse capacite'!$D$7</f>
        <v>0</v>
      </c>
      <c r="K3803" s="135" t="n">
        <f aca="false">$G3803*'Analyse capacite'!$E$7</f>
        <v>0</v>
      </c>
    </row>
    <row r="3804" customFormat="false" ht="15" hidden="false" customHeight="false" outlineLevel="0" collapsed="false">
      <c r="B3804" s="130" t="n">
        <v>2027</v>
      </c>
      <c r="C3804" s="131" t="s">
        <v>249</v>
      </c>
      <c r="D3804" s="132" t="n">
        <v>46583</v>
      </c>
      <c r="E3804" s="131" t="s">
        <v>46</v>
      </c>
      <c r="F3804" s="133" t="s">
        <v>19</v>
      </c>
      <c r="G3804" s="134" t="n">
        <f aca="false">LEN('Saisie programme'!$G$149)+SUMIFS('Vols additionnels'!$E$7:$E$66,'Vols additionnels'!$C$7:$C$66,$E3804,'Vols additionnels'!$D$7:$D$66,$F3804,'Vols additionnels'!$B$7:$B$66,$D3804)</f>
        <v>0</v>
      </c>
      <c r="H3804" s="135" t="n">
        <f aca="false">$G3804*'Analyse capacite'!$F$8</f>
        <v>0</v>
      </c>
      <c r="I3804" s="135" t="n">
        <f aca="false">$G3804*'Analyse capacite'!$C$8</f>
        <v>0</v>
      </c>
      <c r="J3804" s="135" t="n">
        <f aca="false">$G3804*'Analyse capacite'!$D$8</f>
        <v>0</v>
      </c>
      <c r="K3804" s="135" t="n">
        <f aca="false">$G3804*'Analyse capacite'!$E$8</f>
        <v>0</v>
      </c>
    </row>
    <row r="3805" customFormat="false" ht="15" hidden="false" customHeight="false" outlineLevel="0" collapsed="false">
      <c r="B3805" s="130" t="n">
        <v>2027</v>
      </c>
      <c r="C3805" s="131" t="s">
        <v>249</v>
      </c>
      <c r="D3805" s="132" t="n">
        <v>46583</v>
      </c>
      <c r="E3805" s="131" t="s">
        <v>46</v>
      </c>
      <c r="F3805" s="133" t="s">
        <v>24</v>
      </c>
      <c r="G3805" s="134" t="n">
        <f aca="false">LEN('Saisie programme'!$G$150)+SUMIFS('Vols additionnels'!$E$7:$E$66,'Vols additionnels'!$C$7:$C$66,$E3805,'Vols additionnels'!$D$7:$D$66,$F3805,'Vols additionnels'!$B$7:$B$66,$D3805)</f>
        <v>1</v>
      </c>
      <c r="H3805" s="135" t="n">
        <f aca="false">$G3805*'Analyse capacite'!$F$9</f>
        <v>174</v>
      </c>
      <c r="I3805" s="135" t="n">
        <f aca="false">$G3805*'Analyse capacite'!$C$9</f>
        <v>0</v>
      </c>
      <c r="J3805" s="135" t="n">
        <f aca="false">$G3805*'Analyse capacite'!$D$9</f>
        <v>12</v>
      </c>
      <c r="K3805" s="135" t="n">
        <f aca="false">$G3805*'Analyse capacite'!$E$9</f>
        <v>162</v>
      </c>
    </row>
    <row r="3806" customFormat="false" ht="15" hidden="false" customHeight="false" outlineLevel="0" collapsed="false">
      <c r="B3806" s="130" t="n">
        <v>2027</v>
      </c>
      <c r="C3806" s="131" t="s">
        <v>249</v>
      </c>
      <c r="D3806" s="132" t="n">
        <v>46583</v>
      </c>
      <c r="E3806" s="131" t="s">
        <v>49</v>
      </c>
      <c r="F3806" s="133" t="s">
        <v>11</v>
      </c>
      <c r="G3806" s="134" t="n">
        <f aca="false">LEN('Saisie programme'!$G$151)+SUMIFS('Vols additionnels'!$E$7:$E$66,'Vols additionnels'!$C$7:$C$66,$E3806,'Vols additionnels'!$D$7:$D$66,$F3806,'Vols additionnels'!$B$7:$B$66,$D3806)</f>
        <v>0</v>
      </c>
      <c r="H3806" s="135" t="n">
        <f aca="false">$G3806*'Analyse capacite'!$F$7</f>
        <v>0</v>
      </c>
      <c r="I3806" s="135" t="n">
        <f aca="false">$G3806*'Analyse capacite'!$C$7</f>
        <v>0</v>
      </c>
      <c r="J3806" s="135" t="n">
        <f aca="false">$G3806*'Analyse capacite'!$D$7</f>
        <v>0</v>
      </c>
      <c r="K3806" s="135" t="n">
        <f aca="false">$G3806*'Analyse capacite'!$E$7</f>
        <v>0</v>
      </c>
    </row>
    <row r="3807" customFormat="false" ht="15" hidden="false" customHeight="false" outlineLevel="0" collapsed="false">
      <c r="B3807" s="130" t="n">
        <v>2027</v>
      </c>
      <c r="C3807" s="131" t="s">
        <v>249</v>
      </c>
      <c r="D3807" s="132" t="n">
        <v>46583</v>
      </c>
      <c r="E3807" s="131" t="s">
        <v>49</v>
      </c>
      <c r="F3807" s="133" t="s">
        <v>19</v>
      </c>
      <c r="G3807" s="134" t="n">
        <f aca="false">LEN('Saisie programme'!$G$152)+SUMIFS('Vols additionnels'!$E$7:$E$66,'Vols additionnels'!$C$7:$C$66,$E3807,'Vols additionnels'!$D$7:$D$66,$F3807,'Vols additionnels'!$B$7:$B$66,$D3807)</f>
        <v>0</v>
      </c>
      <c r="H3807" s="135" t="n">
        <f aca="false">$G3807*'Analyse capacite'!$F$8</f>
        <v>0</v>
      </c>
      <c r="I3807" s="135" t="n">
        <f aca="false">$G3807*'Analyse capacite'!$C$8</f>
        <v>0</v>
      </c>
      <c r="J3807" s="135" t="n">
        <f aca="false">$G3807*'Analyse capacite'!$D$8</f>
        <v>0</v>
      </c>
      <c r="K3807" s="135" t="n">
        <f aca="false">$G3807*'Analyse capacite'!$E$8</f>
        <v>0</v>
      </c>
    </row>
    <row r="3808" customFormat="false" ht="15" hidden="false" customHeight="false" outlineLevel="0" collapsed="false">
      <c r="B3808" s="130" t="n">
        <v>2027</v>
      </c>
      <c r="C3808" s="131" t="s">
        <v>249</v>
      </c>
      <c r="D3808" s="132" t="n">
        <v>46583</v>
      </c>
      <c r="E3808" s="131" t="s">
        <v>49</v>
      </c>
      <c r="F3808" s="133" t="s">
        <v>24</v>
      </c>
      <c r="G3808" s="134" t="n">
        <f aca="false">LEN('Saisie programme'!$G$153)+SUMIFS('Vols additionnels'!$E$7:$E$66,'Vols additionnels'!$C$7:$C$66,$E3808,'Vols additionnels'!$D$7:$D$66,$F3808,'Vols additionnels'!$B$7:$B$66,$D3808)</f>
        <v>0</v>
      </c>
      <c r="H3808" s="135" t="n">
        <f aca="false">$G3808*'Analyse capacite'!$F$9</f>
        <v>0</v>
      </c>
      <c r="I3808" s="135" t="n">
        <f aca="false">$G3808*'Analyse capacite'!$C$9</f>
        <v>0</v>
      </c>
      <c r="J3808" s="135" t="n">
        <f aca="false">$G3808*'Analyse capacite'!$D$9</f>
        <v>0</v>
      </c>
      <c r="K3808" s="135" t="n">
        <f aca="false">$G3808*'Analyse capacite'!$E$9</f>
        <v>0</v>
      </c>
    </row>
    <row r="3809" customFormat="false" ht="15" hidden="false" customHeight="false" outlineLevel="0" collapsed="false">
      <c r="B3809" s="130" t="n">
        <v>2027</v>
      </c>
      <c r="C3809" s="131" t="s">
        <v>249</v>
      </c>
      <c r="D3809" s="132" t="n">
        <v>46583</v>
      </c>
      <c r="E3809" s="131" t="s">
        <v>53</v>
      </c>
      <c r="F3809" s="133" t="s">
        <v>11</v>
      </c>
      <c r="G3809" s="134" t="n">
        <f aca="false">LEN('Saisie programme'!$G$154)+SUMIFS('Vols additionnels'!$E$7:$E$66,'Vols additionnels'!$C$7:$C$66,$E3809,'Vols additionnels'!$D$7:$D$66,$F3809,'Vols additionnels'!$B$7:$B$66,$D3809)</f>
        <v>0</v>
      </c>
      <c r="H3809" s="135" t="n">
        <f aca="false">$G3809*'Analyse capacite'!$F$7</f>
        <v>0</v>
      </c>
      <c r="I3809" s="135" t="n">
        <f aca="false">$G3809*'Analyse capacite'!$C$7</f>
        <v>0</v>
      </c>
      <c r="J3809" s="135" t="n">
        <f aca="false">$G3809*'Analyse capacite'!$D$7</f>
        <v>0</v>
      </c>
      <c r="K3809" s="135" t="n">
        <f aca="false">$G3809*'Analyse capacite'!$E$7</f>
        <v>0</v>
      </c>
    </row>
    <row r="3810" customFormat="false" ht="15" hidden="false" customHeight="false" outlineLevel="0" collapsed="false">
      <c r="B3810" s="130" t="n">
        <v>2027</v>
      </c>
      <c r="C3810" s="131" t="s">
        <v>249</v>
      </c>
      <c r="D3810" s="132" t="n">
        <v>46583</v>
      </c>
      <c r="E3810" s="131" t="s">
        <v>53</v>
      </c>
      <c r="F3810" s="133" t="s">
        <v>19</v>
      </c>
      <c r="G3810" s="134" t="n">
        <f aca="false">LEN('Saisie programme'!$G$155)+SUMIFS('Vols additionnels'!$E$7:$E$66,'Vols additionnels'!$C$7:$C$66,$E3810,'Vols additionnels'!$D$7:$D$66,$F3810,'Vols additionnels'!$B$7:$B$66,$D3810)</f>
        <v>1</v>
      </c>
      <c r="H3810" s="135" t="n">
        <f aca="false">$G3810*'Analyse capacite'!$F$8</f>
        <v>262</v>
      </c>
      <c r="I3810" s="135" t="n">
        <f aca="false">$G3810*'Analyse capacite'!$C$8</f>
        <v>18</v>
      </c>
      <c r="J3810" s="135" t="n">
        <f aca="false">$G3810*'Analyse capacite'!$D$8</f>
        <v>0</v>
      </c>
      <c r="K3810" s="135" t="n">
        <f aca="false">$G3810*'Analyse capacite'!$E$8</f>
        <v>244</v>
      </c>
    </row>
    <row r="3811" customFormat="false" ht="15" hidden="false" customHeight="false" outlineLevel="0" collapsed="false">
      <c r="B3811" s="130" t="n">
        <v>2027</v>
      </c>
      <c r="C3811" s="131" t="s">
        <v>249</v>
      </c>
      <c r="D3811" s="132" t="n">
        <v>46583</v>
      </c>
      <c r="E3811" s="131" t="s">
        <v>53</v>
      </c>
      <c r="F3811" s="133" t="s">
        <v>24</v>
      </c>
      <c r="G3811" s="134" t="n">
        <f aca="false">LEN('Saisie programme'!$G$156)+SUMIFS('Vols additionnels'!$E$7:$E$66,'Vols additionnels'!$C$7:$C$66,$E3811,'Vols additionnels'!$D$7:$D$66,$F3811,'Vols additionnels'!$B$7:$B$66,$D3811)</f>
        <v>0</v>
      </c>
      <c r="H3811" s="135" t="n">
        <f aca="false">$G3811*'Analyse capacite'!$F$9</f>
        <v>0</v>
      </c>
      <c r="I3811" s="135" t="n">
        <f aca="false">$G3811*'Analyse capacite'!$C$9</f>
        <v>0</v>
      </c>
      <c r="J3811" s="135" t="n">
        <f aca="false">$G3811*'Analyse capacite'!$D$9</f>
        <v>0</v>
      </c>
      <c r="K3811" s="135" t="n">
        <f aca="false">$G3811*'Analyse capacite'!$E$9</f>
        <v>0</v>
      </c>
    </row>
    <row r="3812" customFormat="false" ht="15" hidden="false" customHeight="false" outlineLevel="0" collapsed="false">
      <c r="B3812" s="130" t="n">
        <v>2027</v>
      </c>
      <c r="C3812" s="131" t="s">
        <v>249</v>
      </c>
      <c r="D3812" s="132" t="n">
        <v>46583</v>
      </c>
      <c r="E3812" s="131" t="s">
        <v>56</v>
      </c>
      <c r="F3812" s="133" t="s">
        <v>11</v>
      </c>
      <c r="G3812" s="134" t="n">
        <f aca="false">LEN('Saisie programme'!$G$157)+SUMIFS('Vols additionnels'!$E$7:$E$66,'Vols additionnels'!$C$7:$C$66,$E3812,'Vols additionnels'!$D$7:$D$66,$F3812,'Vols additionnels'!$B$7:$B$66,$D3812)</f>
        <v>0</v>
      </c>
      <c r="H3812" s="135" t="n">
        <f aca="false">$G3812*'Analyse capacite'!$F$7</f>
        <v>0</v>
      </c>
      <c r="I3812" s="135" t="n">
        <f aca="false">$G3812*'Analyse capacite'!$C$7</f>
        <v>0</v>
      </c>
      <c r="J3812" s="135" t="n">
        <f aca="false">$G3812*'Analyse capacite'!$D$7</f>
        <v>0</v>
      </c>
      <c r="K3812" s="135" t="n">
        <f aca="false">$G3812*'Analyse capacite'!$E$7</f>
        <v>0</v>
      </c>
    </row>
    <row r="3813" customFormat="false" ht="15" hidden="false" customHeight="false" outlineLevel="0" collapsed="false">
      <c r="B3813" s="130" t="n">
        <v>2027</v>
      </c>
      <c r="C3813" s="131" t="s">
        <v>249</v>
      </c>
      <c r="D3813" s="132" t="n">
        <v>46583</v>
      </c>
      <c r="E3813" s="131" t="s">
        <v>56</v>
      </c>
      <c r="F3813" s="133" t="s">
        <v>19</v>
      </c>
      <c r="G3813" s="134" t="n">
        <f aca="false">LEN('Saisie programme'!$G$158)+SUMIFS('Vols additionnels'!$E$7:$E$66,'Vols additionnels'!$C$7:$C$66,$E3813,'Vols additionnels'!$D$7:$D$66,$F3813,'Vols additionnels'!$B$7:$B$66,$D3813)</f>
        <v>0</v>
      </c>
      <c r="H3813" s="135" t="n">
        <f aca="false">$G3813*'Analyse capacite'!$F$8</f>
        <v>0</v>
      </c>
      <c r="I3813" s="135" t="n">
        <f aca="false">$G3813*'Analyse capacite'!$C$8</f>
        <v>0</v>
      </c>
      <c r="J3813" s="135" t="n">
        <f aca="false">$G3813*'Analyse capacite'!$D$8</f>
        <v>0</v>
      </c>
      <c r="K3813" s="135" t="n">
        <f aca="false">$G3813*'Analyse capacite'!$E$8</f>
        <v>0</v>
      </c>
    </row>
    <row r="3814" customFormat="false" ht="15" hidden="false" customHeight="false" outlineLevel="0" collapsed="false">
      <c r="B3814" s="130" t="n">
        <v>2027</v>
      </c>
      <c r="C3814" s="131" t="s">
        <v>249</v>
      </c>
      <c r="D3814" s="132" t="n">
        <v>46583</v>
      </c>
      <c r="E3814" s="131" t="s">
        <v>56</v>
      </c>
      <c r="F3814" s="133" t="s">
        <v>24</v>
      </c>
      <c r="G3814" s="134" t="n">
        <f aca="false">LEN('Saisie programme'!$G$159)+SUMIFS('Vols additionnels'!$E$7:$E$66,'Vols additionnels'!$C$7:$C$66,$E3814,'Vols additionnels'!$D$7:$D$66,$F3814,'Vols additionnels'!$B$7:$B$66,$D3814)</f>
        <v>0</v>
      </c>
      <c r="H3814" s="135" t="n">
        <f aca="false">$G3814*'Analyse capacite'!$F$9</f>
        <v>0</v>
      </c>
      <c r="I3814" s="135" t="n">
        <f aca="false">$G3814*'Analyse capacite'!$C$9</f>
        <v>0</v>
      </c>
      <c r="J3814" s="135" t="n">
        <f aca="false">$G3814*'Analyse capacite'!$D$9</f>
        <v>0</v>
      </c>
      <c r="K3814" s="135" t="n">
        <f aca="false">$G3814*'Analyse capacite'!$E$9</f>
        <v>0</v>
      </c>
    </row>
    <row r="3815" customFormat="false" ht="15" hidden="false" customHeight="false" outlineLevel="0" collapsed="false">
      <c r="B3815" s="130" t="n">
        <v>2027</v>
      </c>
      <c r="C3815" s="131" t="s">
        <v>249</v>
      </c>
      <c r="D3815" s="132" t="n">
        <v>46583</v>
      </c>
      <c r="E3815" s="131" t="s">
        <v>59</v>
      </c>
      <c r="F3815" s="133" t="s">
        <v>11</v>
      </c>
      <c r="G3815" s="134" t="n">
        <f aca="false">LEN('Saisie programme'!$G$160)+SUMIFS('Vols additionnels'!$E$7:$E$66,'Vols additionnels'!$C$7:$C$66,$E3815,'Vols additionnels'!$D$7:$D$66,$F3815,'Vols additionnels'!$B$7:$B$66,$D3815)</f>
        <v>0</v>
      </c>
      <c r="H3815" s="135" t="n">
        <f aca="false">$G3815*'Analyse capacite'!$F$7</f>
        <v>0</v>
      </c>
      <c r="I3815" s="135" t="n">
        <f aca="false">$G3815*'Analyse capacite'!$C$7</f>
        <v>0</v>
      </c>
      <c r="J3815" s="135" t="n">
        <f aca="false">$G3815*'Analyse capacite'!$D$7</f>
        <v>0</v>
      </c>
      <c r="K3815" s="135" t="n">
        <f aca="false">$G3815*'Analyse capacite'!$E$7</f>
        <v>0</v>
      </c>
    </row>
    <row r="3816" customFormat="false" ht="15" hidden="false" customHeight="false" outlineLevel="0" collapsed="false">
      <c r="B3816" s="130" t="n">
        <v>2027</v>
      </c>
      <c r="C3816" s="131" t="s">
        <v>249</v>
      </c>
      <c r="D3816" s="132" t="n">
        <v>46583</v>
      </c>
      <c r="E3816" s="131" t="s">
        <v>59</v>
      </c>
      <c r="F3816" s="133" t="s">
        <v>19</v>
      </c>
      <c r="G3816" s="134" t="n">
        <f aca="false">LEN('Saisie programme'!$G$161)+SUMIFS('Vols additionnels'!$E$7:$E$66,'Vols additionnels'!$C$7:$C$66,$E3816,'Vols additionnels'!$D$7:$D$66,$F3816,'Vols additionnels'!$B$7:$B$66,$D3816)</f>
        <v>0</v>
      </c>
      <c r="H3816" s="135" t="n">
        <f aca="false">$G3816*'Analyse capacite'!$F$8</f>
        <v>0</v>
      </c>
      <c r="I3816" s="135" t="n">
        <f aca="false">$G3816*'Analyse capacite'!$C$8</f>
        <v>0</v>
      </c>
      <c r="J3816" s="135" t="n">
        <f aca="false">$G3816*'Analyse capacite'!$D$8</f>
        <v>0</v>
      </c>
      <c r="K3816" s="135" t="n">
        <f aca="false">$G3816*'Analyse capacite'!$E$8</f>
        <v>0</v>
      </c>
    </row>
    <row r="3817" customFormat="false" ht="15" hidden="false" customHeight="false" outlineLevel="0" collapsed="false">
      <c r="B3817" s="130" t="n">
        <v>2027</v>
      </c>
      <c r="C3817" s="131" t="s">
        <v>249</v>
      </c>
      <c r="D3817" s="132" t="n">
        <v>46583</v>
      </c>
      <c r="E3817" s="131" t="s">
        <v>59</v>
      </c>
      <c r="F3817" s="133" t="s">
        <v>24</v>
      </c>
      <c r="G3817" s="134" t="n">
        <f aca="false">LEN('Saisie programme'!$G$162)+SUMIFS('Vols additionnels'!$E$7:$E$66,'Vols additionnels'!$C$7:$C$66,$E3817,'Vols additionnels'!$D$7:$D$66,$F3817,'Vols additionnels'!$B$7:$B$66,$D3817)</f>
        <v>2</v>
      </c>
      <c r="H3817" s="135" t="n">
        <f aca="false">$G3817*'Analyse capacite'!$F$9</f>
        <v>348</v>
      </c>
      <c r="I3817" s="135" t="n">
        <f aca="false">$G3817*'Analyse capacite'!$C$9</f>
        <v>0</v>
      </c>
      <c r="J3817" s="135" t="n">
        <f aca="false">$G3817*'Analyse capacite'!$D$9</f>
        <v>24</v>
      </c>
      <c r="K3817" s="135" t="n">
        <f aca="false">$G3817*'Analyse capacite'!$E$9</f>
        <v>324</v>
      </c>
    </row>
    <row r="3818" customFormat="false" ht="15" hidden="false" customHeight="false" outlineLevel="0" collapsed="false">
      <c r="B3818" s="130" t="n">
        <v>2027</v>
      </c>
      <c r="C3818" s="131" t="s">
        <v>249</v>
      </c>
      <c r="D3818" s="132" t="n">
        <v>46583</v>
      </c>
      <c r="E3818" s="131" t="s">
        <v>62</v>
      </c>
      <c r="F3818" s="133" t="s">
        <v>11</v>
      </c>
      <c r="G3818" s="134" t="n">
        <f aca="false">LEN('Saisie programme'!$G$163)+SUMIFS('Vols additionnels'!$E$7:$E$66,'Vols additionnels'!$C$7:$C$66,$E3818,'Vols additionnels'!$D$7:$D$66,$F3818,'Vols additionnels'!$B$7:$B$66,$D3818)</f>
        <v>0</v>
      </c>
      <c r="H3818" s="135" t="n">
        <f aca="false">$G3818*'Analyse capacite'!$F$7</f>
        <v>0</v>
      </c>
      <c r="I3818" s="135" t="n">
        <f aca="false">$G3818*'Analyse capacite'!$C$7</f>
        <v>0</v>
      </c>
      <c r="J3818" s="135" t="n">
        <f aca="false">$G3818*'Analyse capacite'!$D$7</f>
        <v>0</v>
      </c>
      <c r="K3818" s="135" t="n">
        <f aca="false">$G3818*'Analyse capacite'!$E$7</f>
        <v>0</v>
      </c>
    </row>
    <row r="3819" customFormat="false" ht="15" hidden="false" customHeight="false" outlineLevel="0" collapsed="false">
      <c r="B3819" s="130" t="n">
        <v>2027</v>
      </c>
      <c r="C3819" s="131" t="s">
        <v>249</v>
      </c>
      <c r="D3819" s="132" t="n">
        <v>46583</v>
      </c>
      <c r="E3819" s="131" t="s">
        <v>62</v>
      </c>
      <c r="F3819" s="133" t="s">
        <v>19</v>
      </c>
      <c r="G3819" s="134" t="n">
        <f aca="false">LEN('Saisie programme'!$G$164)+SUMIFS('Vols additionnels'!$E$7:$E$66,'Vols additionnels'!$C$7:$C$66,$E3819,'Vols additionnels'!$D$7:$D$66,$F3819,'Vols additionnels'!$B$7:$B$66,$D3819)</f>
        <v>0</v>
      </c>
      <c r="H3819" s="135" t="n">
        <f aca="false">$G3819*'Analyse capacite'!$F$8</f>
        <v>0</v>
      </c>
      <c r="I3819" s="135" t="n">
        <f aca="false">$G3819*'Analyse capacite'!$C$8</f>
        <v>0</v>
      </c>
      <c r="J3819" s="135" t="n">
        <f aca="false">$G3819*'Analyse capacite'!$D$8</f>
        <v>0</v>
      </c>
      <c r="K3819" s="135" t="n">
        <f aca="false">$G3819*'Analyse capacite'!$E$8</f>
        <v>0</v>
      </c>
    </row>
    <row r="3820" customFormat="false" ht="15" hidden="false" customHeight="false" outlineLevel="0" collapsed="false">
      <c r="B3820" s="130" t="n">
        <v>2027</v>
      </c>
      <c r="C3820" s="131" t="s">
        <v>249</v>
      </c>
      <c r="D3820" s="132" t="n">
        <v>46583</v>
      </c>
      <c r="E3820" s="131" t="s">
        <v>62</v>
      </c>
      <c r="F3820" s="133" t="s">
        <v>24</v>
      </c>
      <c r="G3820" s="134" t="n">
        <f aca="false">LEN('Saisie programme'!$G$165)+SUMIFS('Vols additionnels'!$E$7:$E$66,'Vols additionnels'!$C$7:$C$66,$E3820,'Vols additionnels'!$D$7:$D$66,$F3820,'Vols additionnels'!$B$7:$B$66,$D3820)</f>
        <v>0</v>
      </c>
      <c r="H3820" s="135" t="n">
        <f aca="false">$G3820*'Analyse capacite'!$F$9</f>
        <v>0</v>
      </c>
      <c r="I3820" s="135" t="n">
        <f aca="false">$G3820*'Analyse capacite'!$C$9</f>
        <v>0</v>
      </c>
      <c r="J3820" s="135" t="n">
        <f aca="false">$G3820*'Analyse capacite'!$D$9</f>
        <v>0</v>
      </c>
      <c r="K3820" s="135" t="n">
        <f aca="false">$G3820*'Analyse capacite'!$E$9</f>
        <v>0</v>
      </c>
    </row>
    <row r="3821" customFormat="false" ht="15" hidden="false" customHeight="false" outlineLevel="0" collapsed="false">
      <c r="B3821" s="130" t="n">
        <v>2027</v>
      </c>
      <c r="C3821" s="131" t="s">
        <v>249</v>
      </c>
      <c r="D3821" s="132" t="n">
        <v>46584</v>
      </c>
      <c r="E3821" s="131" t="s">
        <v>12</v>
      </c>
      <c r="F3821" s="133" t="s">
        <v>11</v>
      </c>
      <c r="G3821" s="134" t="n">
        <f aca="false">LEN('Saisie programme'!$H$130)+SUMIFS('Vols additionnels'!$E$7:$E$66,'Vols additionnels'!$C$7:$C$66,$E3821,'Vols additionnels'!$D$7:$D$66,$F3821,'Vols additionnels'!$B$7:$B$66,$D3821)</f>
        <v>1</v>
      </c>
      <c r="H3821" s="135" t="n">
        <f aca="false">$G3821*'Analyse capacite'!$F$7</f>
        <v>438</v>
      </c>
      <c r="I3821" s="135" t="n">
        <f aca="false">$G3821*'Analyse capacite'!$C$7</f>
        <v>14</v>
      </c>
      <c r="J3821" s="135" t="n">
        <f aca="false">$G3821*'Analyse capacite'!$D$7</f>
        <v>40</v>
      </c>
      <c r="K3821" s="135" t="n">
        <f aca="false">$G3821*'Analyse capacite'!$E$7</f>
        <v>384</v>
      </c>
    </row>
    <row r="3822" customFormat="false" ht="15" hidden="false" customHeight="false" outlineLevel="0" collapsed="false">
      <c r="B3822" s="130" t="n">
        <v>2027</v>
      </c>
      <c r="C3822" s="131" t="s">
        <v>249</v>
      </c>
      <c r="D3822" s="132" t="n">
        <v>46584</v>
      </c>
      <c r="E3822" s="131" t="s">
        <v>12</v>
      </c>
      <c r="F3822" s="133" t="s">
        <v>19</v>
      </c>
      <c r="G3822" s="134" t="n">
        <f aca="false">LEN('Saisie programme'!$H$131)+SUMIFS('Vols additionnels'!$E$7:$E$66,'Vols additionnels'!$C$7:$C$66,$E3822,'Vols additionnels'!$D$7:$D$66,$F3822,'Vols additionnels'!$B$7:$B$66,$D3822)</f>
        <v>1</v>
      </c>
      <c r="H3822" s="135" t="n">
        <f aca="false">$G3822*'Analyse capacite'!$F$8</f>
        <v>262</v>
      </c>
      <c r="I3822" s="135" t="n">
        <f aca="false">$G3822*'Analyse capacite'!$C$8</f>
        <v>18</v>
      </c>
      <c r="J3822" s="135" t="n">
        <f aca="false">$G3822*'Analyse capacite'!$D$8</f>
        <v>0</v>
      </c>
      <c r="K3822" s="135" t="n">
        <f aca="false">$G3822*'Analyse capacite'!$E$8</f>
        <v>244</v>
      </c>
    </row>
    <row r="3823" customFormat="false" ht="15" hidden="false" customHeight="false" outlineLevel="0" collapsed="false">
      <c r="B3823" s="130" t="n">
        <v>2027</v>
      </c>
      <c r="C3823" s="131" t="s">
        <v>249</v>
      </c>
      <c r="D3823" s="132" t="n">
        <v>46584</v>
      </c>
      <c r="E3823" s="131" t="s">
        <v>12</v>
      </c>
      <c r="F3823" s="133" t="s">
        <v>24</v>
      </c>
      <c r="G3823" s="134" t="n">
        <f aca="false">LEN('Saisie programme'!$H$132)+SUMIFS('Vols additionnels'!$E$7:$E$66,'Vols additionnels'!$C$7:$C$66,$E3823,'Vols additionnels'!$D$7:$D$66,$F3823,'Vols additionnels'!$B$7:$B$66,$D3823)</f>
        <v>0</v>
      </c>
      <c r="H3823" s="135" t="n">
        <f aca="false">$G3823*'Analyse capacite'!$F$9</f>
        <v>0</v>
      </c>
      <c r="I3823" s="135" t="n">
        <f aca="false">$G3823*'Analyse capacite'!$C$9</f>
        <v>0</v>
      </c>
      <c r="J3823" s="135" t="n">
        <f aca="false">$G3823*'Analyse capacite'!$D$9</f>
        <v>0</v>
      </c>
      <c r="K3823" s="135" t="n">
        <f aca="false">$G3823*'Analyse capacite'!$E$9</f>
        <v>0</v>
      </c>
    </row>
    <row r="3824" customFormat="false" ht="15" hidden="false" customHeight="false" outlineLevel="0" collapsed="false">
      <c r="B3824" s="130" t="n">
        <v>2027</v>
      </c>
      <c r="C3824" s="131" t="s">
        <v>249</v>
      </c>
      <c r="D3824" s="132" t="n">
        <v>46584</v>
      </c>
      <c r="E3824" s="131" t="s">
        <v>20</v>
      </c>
      <c r="F3824" s="133" t="s">
        <v>11</v>
      </c>
      <c r="G3824" s="134" t="n">
        <f aca="false">LEN('Saisie programme'!$H$133)+SUMIFS('Vols additionnels'!$E$7:$E$66,'Vols additionnels'!$C$7:$C$66,$E3824,'Vols additionnels'!$D$7:$D$66,$F3824,'Vols additionnels'!$B$7:$B$66,$D3824)</f>
        <v>0</v>
      </c>
      <c r="H3824" s="135" t="n">
        <f aca="false">$G3824*'Analyse capacite'!$F$7</f>
        <v>0</v>
      </c>
      <c r="I3824" s="135" t="n">
        <f aca="false">$G3824*'Analyse capacite'!$C$7</f>
        <v>0</v>
      </c>
      <c r="J3824" s="135" t="n">
        <f aca="false">$G3824*'Analyse capacite'!$D$7</f>
        <v>0</v>
      </c>
      <c r="K3824" s="135" t="n">
        <f aca="false">$G3824*'Analyse capacite'!$E$7</f>
        <v>0</v>
      </c>
    </row>
    <row r="3825" customFormat="false" ht="15" hidden="false" customHeight="false" outlineLevel="0" collapsed="false">
      <c r="B3825" s="130" t="n">
        <v>2027</v>
      </c>
      <c r="C3825" s="131" t="s">
        <v>249</v>
      </c>
      <c r="D3825" s="132" t="n">
        <v>46584</v>
      </c>
      <c r="E3825" s="131" t="s">
        <v>20</v>
      </c>
      <c r="F3825" s="133" t="s">
        <v>19</v>
      </c>
      <c r="G3825" s="134" t="n">
        <f aca="false">LEN('Saisie programme'!$H$134)+SUMIFS('Vols additionnels'!$E$7:$E$66,'Vols additionnels'!$C$7:$C$66,$E3825,'Vols additionnels'!$D$7:$D$66,$F3825,'Vols additionnels'!$B$7:$B$66,$D3825)</f>
        <v>1</v>
      </c>
      <c r="H3825" s="135" t="n">
        <f aca="false">$G3825*'Analyse capacite'!$F$8</f>
        <v>262</v>
      </c>
      <c r="I3825" s="135" t="n">
        <f aca="false">$G3825*'Analyse capacite'!$C$8</f>
        <v>18</v>
      </c>
      <c r="J3825" s="135" t="n">
        <f aca="false">$G3825*'Analyse capacite'!$D$8</f>
        <v>0</v>
      </c>
      <c r="K3825" s="135" t="n">
        <f aca="false">$G3825*'Analyse capacite'!$E$8</f>
        <v>244</v>
      </c>
    </row>
    <row r="3826" customFormat="false" ht="15" hidden="false" customHeight="false" outlineLevel="0" collapsed="false">
      <c r="B3826" s="130" t="n">
        <v>2027</v>
      </c>
      <c r="C3826" s="131" t="s">
        <v>249</v>
      </c>
      <c r="D3826" s="132" t="n">
        <v>46584</v>
      </c>
      <c r="E3826" s="131" t="s">
        <v>20</v>
      </c>
      <c r="F3826" s="133" t="s">
        <v>24</v>
      </c>
      <c r="G3826" s="134" t="n">
        <f aca="false">LEN('Saisie programme'!$H$135)+SUMIFS('Vols additionnels'!$E$7:$E$66,'Vols additionnels'!$C$7:$C$66,$E3826,'Vols additionnels'!$D$7:$D$66,$F3826,'Vols additionnels'!$B$7:$B$66,$D3826)</f>
        <v>0</v>
      </c>
      <c r="H3826" s="135" t="n">
        <f aca="false">$G3826*'Analyse capacite'!$F$9</f>
        <v>0</v>
      </c>
      <c r="I3826" s="135" t="n">
        <f aca="false">$G3826*'Analyse capacite'!$C$9</f>
        <v>0</v>
      </c>
      <c r="J3826" s="135" t="n">
        <f aca="false">$G3826*'Analyse capacite'!$D$9</f>
        <v>0</v>
      </c>
      <c r="K3826" s="135" t="n">
        <f aca="false">$G3826*'Analyse capacite'!$E$9</f>
        <v>0</v>
      </c>
    </row>
    <row r="3827" customFormat="false" ht="15" hidden="false" customHeight="false" outlineLevel="0" collapsed="false">
      <c r="B3827" s="130" t="n">
        <v>2027</v>
      </c>
      <c r="C3827" s="131" t="s">
        <v>249</v>
      </c>
      <c r="D3827" s="132" t="n">
        <v>46584</v>
      </c>
      <c r="E3827" s="131" t="s">
        <v>25</v>
      </c>
      <c r="F3827" s="133" t="s">
        <v>11</v>
      </c>
      <c r="G3827" s="134" t="n">
        <f aca="false">LEN('Saisie programme'!$H$136)+SUMIFS('Vols additionnels'!$E$7:$E$66,'Vols additionnels'!$C$7:$C$66,$E3827,'Vols additionnels'!$D$7:$D$66,$F3827,'Vols additionnels'!$B$7:$B$66,$D3827)</f>
        <v>0</v>
      </c>
      <c r="H3827" s="135" t="n">
        <f aca="false">$G3827*'Analyse capacite'!$F$7</f>
        <v>0</v>
      </c>
      <c r="I3827" s="135" t="n">
        <f aca="false">$G3827*'Analyse capacite'!$C$7</f>
        <v>0</v>
      </c>
      <c r="J3827" s="135" t="n">
        <f aca="false">$G3827*'Analyse capacite'!$D$7</f>
        <v>0</v>
      </c>
      <c r="K3827" s="135" t="n">
        <f aca="false">$G3827*'Analyse capacite'!$E$7</f>
        <v>0</v>
      </c>
    </row>
    <row r="3828" customFormat="false" ht="15" hidden="false" customHeight="false" outlineLevel="0" collapsed="false">
      <c r="B3828" s="130" t="n">
        <v>2027</v>
      </c>
      <c r="C3828" s="131" t="s">
        <v>249</v>
      </c>
      <c r="D3828" s="132" t="n">
        <v>46584</v>
      </c>
      <c r="E3828" s="131" t="s">
        <v>25</v>
      </c>
      <c r="F3828" s="133" t="s">
        <v>19</v>
      </c>
      <c r="G3828" s="134" t="n">
        <f aca="false">LEN('Saisie programme'!$H$137)+SUMIFS('Vols additionnels'!$E$7:$E$66,'Vols additionnels'!$C$7:$C$66,$E3828,'Vols additionnels'!$D$7:$D$66,$F3828,'Vols additionnels'!$B$7:$B$66,$D3828)</f>
        <v>0</v>
      </c>
      <c r="H3828" s="135" t="n">
        <f aca="false">$G3828*'Analyse capacite'!$F$8</f>
        <v>0</v>
      </c>
      <c r="I3828" s="135" t="n">
        <f aca="false">$G3828*'Analyse capacite'!$C$8</f>
        <v>0</v>
      </c>
      <c r="J3828" s="135" t="n">
        <f aca="false">$G3828*'Analyse capacite'!$D$8</f>
        <v>0</v>
      </c>
      <c r="K3828" s="135" t="n">
        <f aca="false">$G3828*'Analyse capacite'!$E$8</f>
        <v>0</v>
      </c>
    </row>
    <row r="3829" customFormat="false" ht="15" hidden="false" customHeight="false" outlineLevel="0" collapsed="false">
      <c r="B3829" s="130" t="n">
        <v>2027</v>
      </c>
      <c r="C3829" s="131" t="s">
        <v>249</v>
      </c>
      <c r="D3829" s="132" t="n">
        <v>46584</v>
      </c>
      <c r="E3829" s="131" t="s">
        <v>25</v>
      </c>
      <c r="F3829" s="133" t="s">
        <v>24</v>
      </c>
      <c r="G3829" s="134" t="n">
        <f aca="false">LEN('Saisie programme'!$H$138)+SUMIFS('Vols additionnels'!$E$7:$E$66,'Vols additionnels'!$C$7:$C$66,$E3829,'Vols additionnels'!$D$7:$D$66,$F3829,'Vols additionnels'!$B$7:$B$66,$D3829)</f>
        <v>0</v>
      </c>
      <c r="H3829" s="135" t="n">
        <f aca="false">$G3829*'Analyse capacite'!$F$9</f>
        <v>0</v>
      </c>
      <c r="I3829" s="135" t="n">
        <f aca="false">$G3829*'Analyse capacite'!$C$9</f>
        <v>0</v>
      </c>
      <c r="J3829" s="135" t="n">
        <f aca="false">$G3829*'Analyse capacite'!$D$9</f>
        <v>0</v>
      </c>
      <c r="K3829" s="135" t="n">
        <f aca="false">$G3829*'Analyse capacite'!$E$9</f>
        <v>0</v>
      </c>
    </row>
    <row r="3830" customFormat="false" ht="15" hidden="false" customHeight="false" outlineLevel="0" collapsed="false">
      <c r="B3830" s="130" t="n">
        <v>2027</v>
      </c>
      <c r="C3830" s="131" t="s">
        <v>249</v>
      </c>
      <c r="D3830" s="132" t="n">
        <v>46584</v>
      </c>
      <c r="E3830" s="131" t="s">
        <v>36</v>
      </c>
      <c r="F3830" s="133" t="s">
        <v>11</v>
      </c>
      <c r="G3830" s="134" t="n">
        <f aca="false">LEN('Saisie programme'!$H$139)+SUMIFS('Vols additionnels'!$E$7:$E$66,'Vols additionnels'!$C$7:$C$66,$E3830,'Vols additionnels'!$D$7:$D$66,$F3830,'Vols additionnels'!$B$7:$B$66,$D3830)</f>
        <v>0</v>
      </c>
      <c r="H3830" s="135" t="n">
        <f aca="false">$G3830*'Analyse capacite'!$F$7</f>
        <v>0</v>
      </c>
      <c r="I3830" s="135" t="n">
        <f aca="false">$G3830*'Analyse capacite'!$C$7</f>
        <v>0</v>
      </c>
      <c r="J3830" s="135" t="n">
        <f aca="false">$G3830*'Analyse capacite'!$D$7</f>
        <v>0</v>
      </c>
      <c r="K3830" s="135" t="n">
        <f aca="false">$G3830*'Analyse capacite'!$E$7</f>
        <v>0</v>
      </c>
    </row>
    <row r="3831" customFormat="false" ht="15" hidden="false" customHeight="false" outlineLevel="0" collapsed="false">
      <c r="B3831" s="130" t="n">
        <v>2027</v>
      </c>
      <c r="C3831" s="131" t="s">
        <v>249</v>
      </c>
      <c r="D3831" s="132" t="n">
        <v>46584</v>
      </c>
      <c r="E3831" s="131" t="s">
        <v>36</v>
      </c>
      <c r="F3831" s="133" t="s">
        <v>19</v>
      </c>
      <c r="G3831" s="134" t="n">
        <f aca="false">LEN('Saisie programme'!$H$140)+SUMIFS('Vols additionnels'!$E$7:$E$66,'Vols additionnels'!$C$7:$C$66,$E3831,'Vols additionnels'!$D$7:$D$66,$F3831,'Vols additionnels'!$B$7:$B$66,$D3831)</f>
        <v>0</v>
      </c>
      <c r="H3831" s="135" t="n">
        <f aca="false">$G3831*'Analyse capacite'!$F$8</f>
        <v>0</v>
      </c>
      <c r="I3831" s="135" t="n">
        <f aca="false">$G3831*'Analyse capacite'!$C$8</f>
        <v>0</v>
      </c>
      <c r="J3831" s="135" t="n">
        <f aca="false">$G3831*'Analyse capacite'!$D$8</f>
        <v>0</v>
      </c>
      <c r="K3831" s="135" t="n">
        <f aca="false">$G3831*'Analyse capacite'!$E$8</f>
        <v>0</v>
      </c>
    </row>
    <row r="3832" customFormat="false" ht="15" hidden="false" customHeight="false" outlineLevel="0" collapsed="false">
      <c r="B3832" s="130" t="n">
        <v>2027</v>
      </c>
      <c r="C3832" s="131" t="s">
        <v>249</v>
      </c>
      <c r="D3832" s="132" t="n">
        <v>46584</v>
      </c>
      <c r="E3832" s="131" t="s">
        <v>36</v>
      </c>
      <c r="F3832" s="133" t="s">
        <v>24</v>
      </c>
      <c r="G3832" s="134" t="n">
        <f aca="false">LEN('Saisie programme'!$H$141)+SUMIFS('Vols additionnels'!$E$7:$E$66,'Vols additionnels'!$C$7:$C$66,$E3832,'Vols additionnels'!$D$7:$D$66,$F3832,'Vols additionnels'!$B$7:$B$66,$D3832)</f>
        <v>1</v>
      </c>
      <c r="H3832" s="135" t="n">
        <f aca="false">$G3832*'Analyse capacite'!$F$9</f>
        <v>174</v>
      </c>
      <c r="I3832" s="135" t="n">
        <f aca="false">$G3832*'Analyse capacite'!$C$9</f>
        <v>0</v>
      </c>
      <c r="J3832" s="135" t="n">
        <f aca="false">$G3832*'Analyse capacite'!$D$9</f>
        <v>12</v>
      </c>
      <c r="K3832" s="135" t="n">
        <f aca="false">$G3832*'Analyse capacite'!$E$9</f>
        <v>162</v>
      </c>
    </row>
    <row r="3833" customFormat="false" ht="15" hidden="false" customHeight="false" outlineLevel="0" collapsed="false">
      <c r="B3833" s="130" t="n">
        <v>2027</v>
      </c>
      <c r="C3833" s="131" t="s">
        <v>249</v>
      </c>
      <c r="D3833" s="132" t="n">
        <v>46584</v>
      </c>
      <c r="E3833" s="131" t="s">
        <v>40</v>
      </c>
      <c r="F3833" s="133" t="s">
        <v>11</v>
      </c>
      <c r="G3833" s="134" t="n">
        <f aca="false">LEN('Saisie programme'!$H$142)+SUMIFS('Vols additionnels'!$E$7:$E$66,'Vols additionnels'!$C$7:$C$66,$E3833,'Vols additionnels'!$D$7:$D$66,$F3833,'Vols additionnels'!$B$7:$B$66,$D3833)</f>
        <v>0</v>
      </c>
      <c r="H3833" s="135" t="n">
        <f aca="false">$G3833*'Analyse capacite'!$F$7</f>
        <v>0</v>
      </c>
      <c r="I3833" s="135" t="n">
        <f aca="false">$G3833*'Analyse capacite'!$C$7</f>
        <v>0</v>
      </c>
      <c r="J3833" s="135" t="n">
        <f aca="false">$G3833*'Analyse capacite'!$D$7</f>
        <v>0</v>
      </c>
      <c r="K3833" s="135" t="n">
        <f aca="false">$G3833*'Analyse capacite'!$E$7</f>
        <v>0</v>
      </c>
    </row>
    <row r="3834" customFormat="false" ht="15" hidden="false" customHeight="false" outlineLevel="0" collapsed="false">
      <c r="B3834" s="130" t="n">
        <v>2027</v>
      </c>
      <c r="C3834" s="131" t="s">
        <v>249</v>
      </c>
      <c r="D3834" s="132" t="n">
        <v>46584</v>
      </c>
      <c r="E3834" s="131" t="s">
        <v>40</v>
      </c>
      <c r="F3834" s="133" t="s">
        <v>19</v>
      </c>
      <c r="G3834" s="134" t="n">
        <f aca="false">LEN('Saisie programme'!$H$143)+SUMIFS('Vols additionnels'!$E$7:$E$66,'Vols additionnels'!$C$7:$C$66,$E3834,'Vols additionnels'!$D$7:$D$66,$F3834,'Vols additionnels'!$B$7:$B$66,$D3834)</f>
        <v>0</v>
      </c>
      <c r="H3834" s="135" t="n">
        <f aca="false">$G3834*'Analyse capacite'!$F$8</f>
        <v>0</v>
      </c>
      <c r="I3834" s="135" t="n">
        <f aca="false">$G3834*'Analyse capacite'!$C$8</f>
        <v>0</v>
      </c>
      <c r="J3834" s="135" t="n">
        <f aca="false">$G3834*'Analyse capacite'!$D$8</f>
        <v>0</v>
      </c>
      <c r="K3834" s="135" t="n">
        <f aca="false">$G3834*'Analyse capacite'!$E$8</f>
        <v>0</v>
      </c>
    </row>
    <row r="3835" customFormat="false" ht="15" hidden="false" customHeight="false" outlineLevel="0" collapsed="false">
      <c r="B3835" s="130" t="n">
        <v>2027</v>
      </c>
      <c r="C3835" s="131" t="s">
        <v>249</v>
      </c>
      <c r="D3835" s="132" t="n">
        <v>46584</v>
      </c>
      <c r="E3835" s="131" t="s">
        <v>40</v>
      </c>
      <c r="F3835" s="133" t="s">
        <v>24</v>
      </c>
      <c r="G3835" s="134" t="n">
        <f aca="false">LEN('Saisie programme'!$H$144)+SUMIFS('Vols additionnels'!$E$7:$E$66,'Vols additionnels'!$C$7:$C$66,$E3835,'Vols additionnels'!$D$7:$D$66,$F3835,'Vols additionnels'!$B$7:$B$66,$D3835)</f>
        <v>1</v>
      </c>
      <c r="H3835" s="135" t="n">
        <f aca="false">$G3835*'Analyse capacite'!$F$9</f>
        <v>174</v>
      </c>
      <c r="I3835" s="135" t="n">
        <f aca="false">$G3835*'Analyse capacite'!$C$9</f>
        <v>0</v>
      </c>
      <c r="J3835" s="135" t="n">
        <f aca="false">$G3835*'Analyse capacite'!$D$9</f>
        <v>12</v>
      </c>
      <c r="K3835" s="135" t="n">
        <f aca="false">$G3835*'Analyse capacite'!$E$9</f>
        <v>162</v>
      </c>
    </row>
    <row r="3836" customFormat="false" ht="15" hidden="false" customHeight="false" outlineLevel="0" collapsed="false">
      <c r="B3836" s="130" t="n">
        <v>2027</v>
      </c>
      <c r="C3836" s="131" t="s">
        <v>249</v>
      </c>
      <c r="D3836" s="132" t="n">
        <v>46584</v>
      </c>
      <c r="E3836" s="131" t="s">
        <v>14</v>
      </c>
      <c r="F3836" s="133" t="s">
        <v>11</v>
      </c>
      <c r="G3836" s="134" t="n">
        <f aca="false">LEN('Saisie programme'!$H$145)+SUMIFS('Vols additionnels'!$E$7:$E$66,'Vols additionnels'!$C$7:$C$66,$E3836,'Vols additionnels'!$D$7:$D$66,$F3836,'Vols additionnels'!$B$7:$B$66,$D3836)</f>
        <v>0</v>
      </c>
      <c r="H3836" s="135" t="n">
        <f aca="false">$G3836*'Analyse capacite'!$F$7</f>
        <v>0</v>
      </c>
      <c r="I3836" s="135" t="n">
        <f aca="false">$G3836*'Analyse capacite'!$C$7</f>
        <v>0</v>
      </c>
      <c r="J3836" s="135" t="n">
        <f aca="false">$G3836*'Analyse capacite'!$D$7</f>
        <v>0</v>
      </c>
      <c r="K3836" s="135" t="n">
        <f aca="false">$G3836*'Analyse capacite'!$E$7</f>
        <v>0</v>
      </c>
    </row>
    <row r="3837" customFormat="false" ht="15" hidden="false" customHeight="false" outlineLevel="0" collapsed="false">
      <c r="B3837" s="130" t="n">
        <v>2027</v>
      </c>
      <c r="C3837" s="131" t="s">
        <v>249</v>
      </c>
      <c r="D3837" s="132" t="n">
        <v>46584</v>
      </c>
      <c r="E3837" s="131" t="s">
        <v>14</v>
      </c>
      <c r="F3837" s="133" t="s">
        <v>19</v>
      </c>
      <c r="G3837" s="134" t="n">
        <f aca="false">LEN('Saisie programme'!$H$146)+SUMIFS('Vols additionnels'!$E$7:$E$66,'Vols additionnels'!$C$7:$C$66,$E3837,'Vols additionnels'!$D$7:$D$66,$F3837,'Vols additionnels'!$B$7:$B$66,$D3837)</f>
        <v>0</v>
      </c>
      <c r="H3837" s="135" t="n">
        <f aca="false">$G3837*'Analyse capacite'!$F$8</f>
        <v>0</v>
      </c>
      <c r="I3837" s="135" t="n">
        <f aca="false">$G3837*'Analyse capacite'!$C$8</f>
        <v>0</v>
      </c>
      <c r="J3837" s="135" t="n">
        <f aca="false">$G3837*'Analyse capacite'!$D$8</f>
        <v>0</v>
      </c>
      <c r="K3837" s="135" t="n">
        <f aca="false">$G3837*'Analyse capacite'!$E$8</f>
        <v>0</v>
      </c>
    </row>
    <row r="3838" customFormat="false" ht="15" hidden="false" customHeight="false" outlineLevel="0" collapsed="false">
      <c r="B3838" s="130" t="n">
        <v>2027</v>
      </c>
      <c r="C3838" s="131" t="s">
        <v>249</v>
      </c>
      <c r="D3838" s="132" t="n">
        <v>46584</v>
      </c>
      <c r="E3838" s="131" t="s">
        <v>14</v>
      </c>
      <c r="F3838" s="133" t="s">
        <v>24</v>
      </c>
      <c r="G3838" s="134" t="n">
        <f aca="false">LEN('Saisie programme'!$H$147)+SUMIFS('Vols additionnels'!$E$7:$E$66,'Vols additionnels'!$C$7:$C$66,$E3838,'Vols additionnels'!$D$7:$D$66,$F3838,'Vols additionnels'!$B$7:$B$66,$D3838)</f>
        <v>0</v>
      </c>
      <c r="H3838" s="135" t="n">
        <f aca="false">$G3838*'Analyse capacite'!$F$9</f>
        <v>0</v>
      </c>
      <c r="I3838" s="135" t="n">
        <f aca="false">$G3838*'Analyse capacite'!$C$9</f>
        <v>0</v>
      </c>
      <c r="J3838" s="135" t="n">
        <f aca="false">$G3838*'Analyse capacite'!$D$9</f>
        <v>0</v>
      </c>
      <c r="K3838" s="135" t="n">
        <f aca="false">$G3838*'Analyse capacite'!$E$9</f>
        <v>0</v>
      </c>
    </row>
    <row r="3839" customFormat="false" ht="15" hidden="false" customHeight="false" outlineLevel="0" collapsed="false">
      <c r="B3839" s="130" t="n">
        <v>2027</v>
      </c>
      <c r="C3839" s="131" t="s">
        <v>249</v>
      </c>
      <c r="D3839" s="132" t="n">
        <v>46584</v>
      </c>
      <c r="E3839" s="131" t="s">
        <v>46</v>
      </c>
      <c r="F3839" s="133" t="s">
        <v>11</v>
      </c>
      <c r="G3839" s="134" t="n">
        <f aca="false">LEN('Saisie programme'!$H$148)+SUMIFS('Vols additionnels'!$E$7:$E$66,'Vols additionnels'!$C$7:$C$66,$E3839,'Vols additionnels'!$D$7:$D$66,$F3839,'Vols additionnels'!$B$7:$B$66,$D3839)</f>
        <v>0</v>
      </c>
      <c r="H3839" s="135" t="n">
        <f aca="false">$G3839*'Analyse capacite'!$F$7</f>
        <v>0</v>
      </c>
      <c r="I3839" s="135" t="n">
        <f aca="false">$G3839*'Analyse capacite'!$C$7</f>
        <v>0</v>
      </c>
      <c r="J3839" s="135" t="n">
        <f aca="false">$G3839*'Analyse capacite'!$D$7</f>
        <v>0</v>
      </c>
      <c r="K3839" s="135" t="n">
        <f aca="false">$G3839*'Analyse capacite'!$E$7</f>
        <v>0</v>
      </c>
    </row>
    <row r="3840" customFormat="false" ht="15" hidden="false" customHeight="false" outlineLevel="0" collapsed="false">
      <c r="B3840" s="130" t="n">
        <v>2027</v>
      </c>
      <c r="C3840" s="131" t="s">
        <v>249</v>
      </c>
      <c r="D3840" s="132" t="n">
        <v>46584</v>
      </c>
      <c r="E3840" s="131" t="s">
        <v>46</v>
      </c>
      <c r="F3840" s="133" t="s">
        <v>19</v>
      </c>
      <c r="G3840" s="134" t="n">
        <f aca="false">LEN('Saisie programme'!$H$149)+SUMIFS('Vols additionnels'!$E$7:$E$66,'Vols additionnels'!$C$7:$C$66,$E3840,'Vols additionnels'!$D$7:$D$66,$F3840,'Vols additionnels'!$B$7:$B$66,$D3840)</f>
        <v>0</v>
      </c>
      <c r="H3840" s="135" t="n">
        <f aca="false">$G3840*'Analyse capacite'!$F$8</f>
        <v>0</v>
      </c>
      <c r="I3840" s="135" t="n">
        <f aca="false">$G3840*'Analyse capacite'!$C$8</f>
        <v>0</v>
      </c>
      <c r="J3840" s="135" t="n">
        <f aca="false">$G3840*'Analyse capacite'!$D$8</f>
        <v>0</v>
      </c>
      <c r="K3840" s="135" t="n">
        <f aca="false">$G3840*'Analyse capacite'!$E$8</f>
        <v>0</v>
      </c>
    </row>
    <row r="3841" customFormat="false" ht="15" hidden="false" customHeight="false" outlineLevel="0" collapsed="false">
      <c r="B3841" s="130" t="n">
        <v>2027</v>
      </c>
      <c r="C3841" s="131" t="s">
        <v>249</v>
      </c>
      <c r="D3841" s="132" t="n">
        <v>46584</v>
      </c>
      <c r="E3841" s="131" t="s">
        <v>46</v>
      </c>
      <c r="F3841" s="133" t="s">
        <v>24</v>
      </c>
      <c r="G3841" s="134" t="n">
        <f aca="false">LEN('Saisie programme'!$H$150)+SUMIFS('Vols additionnels'!$E$7:$E$66,'Vols additionnels'!$C$7:$C$66,$E3841,'Vols additionnels'!$D$7:$D$66,$F3841,'Vols additionnels'!$B$7:$B$66,$D3841)</f>
        <v>0</v>
      </c>
      <c r="H3841" s="135" t="n">
        <f aca="false">$G3841*'Analyse capacite'!$F$9</f>
        <v>0</v>
      </c>
      <c r="I3841" s="135" t="n">
        <f aca="false">$G3841*'Analyse capacite'!$C$9</f>
        <v>0</v>
      </c>
      <c r="J3841" s="135" t="n">
        <f aca="false">$G3841*'Analyse capacite'!$D$9</f>
        <v>0</v>
      </c>
      <c r="K3841" s="135" t="n">
        <f aca="false">$G3841*'Analyse capacite'!$E$9</f>
        <v>0</v>
      </c>
    </row>
    <row r="3842" customFormat="false" ht="15" hidden="false" customHeight="false" outlineLevel="0" collapsed="false">
      <c r="B3842" s="130" t="n">
        <v>2027</v>
      </c>
      <c r="C3842" s="131" t="s">
        <v>249</v>
      </c>
      <c r="D3842" s="132" t="n">
        <v>46584</v>
      </c>
      <c r="E3842" s="131" t="s">
        <v>49</v>
      </c>
      <c r="F3842" s="133" t="s">
        <v>11</v>
      </c>
      <c r="G3842" s="134" t="n">
        <f aca="false">LEN('Saisie programme'!$H$151)+SUMIFS('Vols additionnels'!$E$7:$E$66,'Vols additionnels'!$C$7:$C$66,$E3842,'Vols additionnels'!$D$7:$D$66,$F3842,'Vols additionnels'!$B$7:$B$66,$D3842)</f>
        <v>0</v>
      </c>
      <c r="H3842" s="135" t="n">
        <f aca="false">$G3842*'Analyse capacite'!$F$7</f>
        <v>0</v>
      </c>
      <c r="I3842" s="135" t="n">
        <f aca="false">$G3842*'Analyse capacite'!$C$7</f>
        <v>0</v>
      </c>
      <c r="J3842" s="135" t="n">
        <f aca="false">$G3842*'Analyse capacite'!$D$7</f>
        <v>0</v>
      </c>
      <c r="K3842" s="135" t="n">
        <f aca="false">$G3842*'Analyse capacite'!$E$7</f>
        <v>0</v>
      </c>
    </row>
    <row r="3843" customFormat="false" ht="15" hidden="false" customHeight="false" outlineLevel="0" collapsed="false">
      <c r="B3843" s="130" t="n">
        <v>2027</v>
      </c>
      <c r="C3843" s="131" t="s">
        <v>249</v>
      </c>
      <c r="D3843" s="132" t="n">
        <v>46584</v>
      </c>
      <c r="E3843" s="131" t="s">
        <v>49</v>
      </c>
      <c r="F3843" s="133" t="s">
        <v>19</v>
      </c>
      <c r="G3843" s="134" t="n">
        <f aca="false">LEN('Saisie programme'!$H$152)+SUMIFS('Vols additionnels'!$E$7:$E$66,'Vols additionnels'!$C$7:$C$66,$E3843,'Vols additionnels'!$D$7:$D$66,$F3843,'Vols additionnels'!$B$7:$B$66,$D3843)</f>
        <v>1</v>
      </c>
      <c r="H3843" s="135" t="n">
        <f aca="false">$G3843*'Analyse capacite'!$F$8</f>
        <v>262</v>
      </c>
      <c r="I3843" s="135" t="n">
        <f aca="false">$G3843*'Analyse capacite'!$C$8</f>
        <v>18</v>
      </c>
      <c r="J3843" s="135" t="n">
        <f aca="false">$G3843*'Analyse capacite'!$D$8</f>
        <v>0</v>
      </c>
      <c r="K3843" s="135" t="n">
        <f aca="false">$G3843*'Analyse capacite'!$E$8</f>
        <v>244</v>
      </c>
    </row>
    <row r="3844" customFormat="false" ht="15" hidden="false" customHeight="false" outlineLevel="0" collapsed="false">
      <c r="B3844" s="130" t="n">
        <v>2027</v>
      </c>
      <c r="C3844" s="131" t="s">
        <v>249</v>
      </c>
      <c r="D3844" s="132" t="n">
        <v>46584</v>
      </c>
      <c r="E3844" s="131" t="s">
        <v>49</v>
      </c>
      <c r="F3844" s="133" t="s">
        <v>24</v>
      </c>
      <c r="G3844" s="134" t="n">
        <f aca="false">LEN('Saisie programme'!$H$153)+SUMIFS('Vols additionnels'!$E$7:$E$66,'Vols additionnels'!$C$7:$C$66,$E3844,'Vols additionnels'!$D$7:$D$66,$F3844,'Vols additionnels'!$B$7:$B$66,$D3844)</f>
        <v>0</v>
      </c>
      <c r="H3844" s="135" t="n">
        <f aca="false">$G3844*'Analyse capacite'!$F$9</f>
        <v>0</v>
      </c>
      <c r="I3844" s="135" t="n">
        <f aca="false">$G3844*'Analyse capacite'!$C$9</f>
        <v>0</v>
      </c>
      <c r="J3844" s="135" t="n">
        <f aca="false">$G3844*'Analyse capacite'!$D$9</f>
        <v>0</v>
      </c>
      <c r="K3844" s="135" t="n">
        <f aca="false">$G3844*'Analyse capacite'!$E$9</f>
        <v>0</v>
      </c>
    </row>
    <row r="3845" customFormat="false" ht="15" hidden="false" customHeight="false" outlineLevel="0" collapsed="false">
      <c r="B3845" s="130" t="n">
        <v>2027</v>
      </c>
      <c r="C3845" s="131" t="s">
        <v>249</v>
      </c>
      <c r="D3845" s="132" t="n">
        <v>46584</v>
      </c>
      <c r="E3845" s="131" t="s">
        <v>53</v>
      </c>
      <c r="F3845" s="133" t="s">
        <v>11</v>
      </c>
      <c r="G3845" s="134" t="n">
        <f aca="false">LEN('Saisie programme'!$H$154)+SUMIFS('Vols additionnels'!$E$7:$E$66,'Vols additionnels'!$C$7:$C$66,$E3845,'Vols additionnels'!$D$7:$D$66,$F3845,'Vols additionnels'!$B$7:$B$66,$D3845)</f>
        <v>0</v>
      </c>
      <c r="H3845" s="135" t="n">
        <f aca="false">$G3845*'Analyse capacite'!$F$7</f>
        <v>0</v>
      </c>
      <c r="I3845" s="135" t="n">
        <f aca="false">$G3845*'Analyse capacite'!$C$7</f>
        <v>0</v>
      </c>
      <c r="J3845" s="135" t="n">
        <f aca="false">$G3845*'Analyse capacite'!$D$7</f>
        <v>0</v>
      </c>
      <c r="K3845" s="135" t="n">
        <f aca="false">$G3845*'Analyse capacite'!$E$7</f>
        <v>0</v>
      </c>
    </row>
    <row r="3846" customFormat="false" ht="15" hidden="false" customHeight="false" outlineLevel="0" collapsed="false">
      <c r="B3846" s="130" t="n">
        <v>2027</v>
      </c>
      <c r="C3846" s="131" t="s">
        <v>249</v>
      </c>
      <c r="D3846" s="132" t="n">
        <v>46584</v>
      </c>
      <c r="E3846" s="131" t="s">
        <v>53</v>
      </c>
      <c r="F3846" s="133" t="s">
        <v>19</v>
      </c>
      <c r="G3846" s="134" t="n">
        <f aca="false">LEN('Saisie programme'!$H$155)+SUMIFS('Vols additionnels'!$E$7:$E$66,'Vols additionnels'!$C$7:$C$66,$E3846,'Vols additionnels'!$D$7:$D$66,$F3846,'Vols additionnels'!$B$7:$B$66,$D3846)</f>
        <v>0</v>
      </c>
      <c r="H3846" s="135" t="n">
        <f aca="false">$G3846*'Analyse capacite'!$F$8</f>
        <v>0</v>
      </c>
      <c r="I3846" s="135" t="n">
        <f aca="false">$G3846*'Analyse capacite'!$C$8</f>
        <v>0</v>
      </c>
      <c r="J3846" s="135" t="n">
        <f aca="false">$G3846*'Analyse capacite'!$D$8</f>
        <v>0</v>
      </c>
      <c r="K3846" s="135" t="n">
        <f aca="false">$G3846*'Analyse capacite'!$E$8</f>
        <v>0</v>
      </c>
    </row>
    <row r="3847" customFormat="false" ht="15" hidden="false" customHeight="false" outlineLevel="0" collapsed="false">
      <c r="B3847" s="130" t="n">
        <v>2027</v>
      </c>
      <c r="C3847" s="131" t="s">
        <v>249</v>
      </c>
      <c r="D3847" s="132" t="n">
        <v>46584</v>
      </c>
      <c r="E3847" s="131" t="s">
        <v>53</v>
      </c>
      <c r="F3847" s="133" t="s">
        <v>24</v>
      </c>
      <c r="G3847" s="134" t="n">
        <f aca="false">LEN('Saisie programme'!$H$156)+SUMIFS('Vols additionnels'!$E$7:$E$66,'Vols additionnels'!$C$7:$C$66,$E3847,'Vols additionnels'!$D$7:$D$66,$F3847,'Vols additionnels'!$B$7:$B$66,$D3847)</f>
        <v>0</v>
      </c>
      <c r="H3847" s="135" t="n">
        <f aca="false">$G3847*'Analyse capacite'!$F$9</f>
        <v>0</v>
      </c>
      <c r="I3847" s="135" t="n">
        <f aca="false">$G3847*'Analyse capacite'!$C$9</f>
        <v>0</v>
      </c>
      <c r="J3847" s="135" t="n">
        <f aca="false">$G3847*'Analyse capacite'!$D$9</f>
        <v>0</v>
      </c>
      <c r="K3847" s="135" t="n">
        <f aca="false">$G3847*'Analyse capacite'!$E$9</f>
        <v>0</v>
      </c>
    </row>
    <row r="3848" customFormat="false" ht="15" hidden="false" customHeight="false" outlineLevel="0" collapsed="false">
      <c r="B3848" s="130" t="n">
        <v>2027</v>
      </c>
      <c r="C3848" s="131" t="s">
        <v>249</v>
      </c>
      <c r="D3848" s="132" t="n">
        <v>46584</v>
      </c>
      <c r="E3848" s="131" t="s">
        <v>56</v>
      </c>
      <c r="F3848" s="133" t="s">
        <v>11</v>
      </c>
      <c r="G3848" s="134" t="n">
        <f aca="false">LEN('Saisie programme'!$H$157)+SUMIFS('Vols additionnels'!$E$7:$E$66,'Vols additionnels'!$C$7:$C$66,$E3848,'Vols additionnels'!$D$7:$D$66,$F3848,'Vols additionnels'!$B$7:$B$66,$D3848)</f>
        <v>0</v>
      </c>
      <c r="H3848" s="135" t="n">
        <f aca="false">$G3848*'Analyse capacite'!$F$7</f>
        <v>0</v>
      </c>
      <c r="I3848" s="135" t="n">
        <f aca="false">$G3848*'Analyse capacite'!$C$7</f>
        <v>0</v>
      </c>
      <c r="J3848" s="135" t="n">
        <f aca="false">$G3848*'Analyse capacite'!$D$7</f>
        <v>0</v>
      </c>
      <c r="K3848" s="135" t="n">
        <f aca="false">$G3848*'Analyse capacite'!$E$7</f>
        <v>0</v>
      </c>
    </row>
    <row r="3849" customFormat="false" ht="15" hidden="false" customHeight="false" outlineLevel="0" collapsed="false">
      <c r="B3849" s="130" t="n">
        <v>2027</v>
      </c>
      <c r="C3849" s="131" t="s">
        <v>249</v>
      </c>
      <c r="D3849" s="132" t="n">
        <v>46584</v>
      </c>
      <c r="E3849" s="131" t="s">
        <v>56</v>
      </c>
      <c r="F3849" s="133" t="s">
        <v>19</v>
      </c>
      <c r="G3849" s="134" t="n">
        <f aca="false">LEN('Saisie programme'!$H$158)+SUMIFS('Vols additionnels'!$E$7:$E$66,'Vols additionnels'!$C$7:$C$66,$E3849,'Vols additionnels'!$D$7:$D$66,$F3849,'Vols additionnels'!$B$7:$B$66,$D3849)</f>
        <v>0</v>
      </c>
      <c r="H3849" s="135" t="n">
        <f aca="false">$G3849*'Analyse capacite'!$F$8</f>
        <v>0</v>
      </c>
      <c r="I3849" s="135" t="n">
        <f aca="false">$G3849*'Analyse capacite'!$C$8</f>
        <v>0</v>
      </c>
      <c r="J3849" s="135" t="n">
        <f aca="false">$G3849*'Analyse capacite'!$D$8</f>
        <v>0</v>
      </c>
      <c r="K3849" s="135" t="n">
        <f aca="false">$G3849*'Analyse capacite'!$E$8</f>
        <v>0</v>
      </c>
    </row>
    <row r="3850" customFormat="false" ht="15" hidden="false" customHeight="false" outlineLevel="0" collapsed="false">
      <c r="B3850" s="130" t="n">
        <v>2027</v>
      </c>
      <c r="C3850" s="131" t="s">
        <v>249</v>
      </c>
      <c r="D3850" s="132" t="n">
        <v>46584</v>
      </c>
      <c r="E3850" s="131" t="s">
        <v>56</v>
      </c>
      <c r="F3850" s="133" t="s">
        <v>24</v>
      </c>
      <c r="G3850" s="134" t="n">
        <f aca="false">LEN('Saisie programme'!$H$159)+SUMIFS('Vols additionnels'!$E$7:$E$66,'Vols additionnels'!$C$7:$C$66,$E3850,'Vols additionnels'!$D$7:$D$66,$F3850,'Vols additionnels'!$B$7:$B$66,$D3850)</f>
        <v>0</v>
      </c>
      <c r="H3850" s="135" t="n">
        <f aca="false">$G3850*'Analyse capacite'!$F$9</f>
        <v>0</v>
      </c>
      <c r="I3850" s="135" t="n">
        <f aca="false">$G3850*'Analyse capacite'!$C$9</f>
        <v>0</v>
      </c>
      <c r="J3850" s="135" t="n">
        <f aca="false">$G3850*'Analyse capacite'!$D$9</f>
        <v>0</v>
      </c>
      <c r="K3850" s="135" t="n">
        <f aca="false">$G3850*'Analyse capacite'!$E$9</f>
        <v>0</v>
      </c>
    </row>
    <row r="3851" customFormat="false" ht="15" hidden="false" customHeight="false" outlineLevel="0" collapsed="false">
      <c r="B3851" s="130" t="n">
        <v>2027</v>
      </c>
      <c r="C3851" s="131" t="s">
        <v>249</v>
      </c>
      <c r="D3851" s="132" t="n">
        <v>46584</v>
      </c>
      <c r="E3851" s="131" t="s">
        <v>59</v>
      </c>
      <c r="F3851" s="133" t="s">
        <v>11</v>
      </c>
      <c r="G3851" s="134" t="n">
        <f aca="false">LEN('Saisie programme'!$H$160)+SUMIFS('Vols additionnels'!$E$7:$E$66,'Vols additionnels'!$C$7:$C$66,$E3851,'Vols additionnels'!$D$7:$D$66,$F3851,'Vols additionnels'!$B$7:$B$66,$D3851)</f>
        <v>0</v>
      </c>
      <c r="H3851" s="135" t="n">
        <f aca="false">$G3851*'Analyse capacite'!$F$7</f>
        <v>0</v>
      </c>
      <c r="I3851" s="135" t="n">
        <f aca="false">$G3851*'Analyse capacite'!$C$7</f>
        <v>0</v>
      </c>
      <c r="J3851" s="135" t="n">
        <f aca="false">$G3851*'Analyse capacite'!$D$7</f>
        <v>0</v>
      </c>
      <c r="K3851" s="135" t="n">
        <f aca="false">$G3851*'Analyse capacite'!$E$7</f>
        <v>0</v>
      </c>
    </row>
    <row r="3852" customFormat="false" ht="15" hidden="false" customHeight="false" outlineLevel="0" collapsed="false">
      <c r="B3852" s="130" t="n">
        <v>2027</v>
      </c>
      <c r="C3852" s="131" t="s">
        <v>249</v>
      </c>
      <c r="D3852" s="132" t="n">
        <v>46584</v>
      </c>
      <c r="E3852" s="131" t="s">
        <v>59</v>
      </c>
      <c r="F3852" s="133" t="s">
        <v>19</v>
      </c>
      <c r="G3852" s="134" t="n">
        <f aca="false">LEN('Saisie programme'!$H$161)+SUMIFS('Vols additionnels'!$E$7:$E$66,'Vols additionnels'!$C$7:$C$66,$E3852,'Vols additionnels'!$D$7:$D$66,$F3852,'Vols additionnels'!$B$7:$B$66,$D3852)</f>
        <v>0</v>
      </c>
      <c r="H3852" s="135" t="n">
        <f aca="false">$G3852*'Analyse capacite'!$F$8</f>
        <v>0</v>
      </c>
      <c r="I3852" s="135" t="n">
        <f aca="false">$G3852*'Analyse capacite'!$C$8</f>
        <v>0</v>
      </c>
      <c r="J3852" s="135" t="n">
        <f aca="false">$G3852*'Analyse capacite'!$D$8</f>
        <v>0</v>
      </c>
      <c r="K3852" s="135" t="n">
        <f aca="false">$G3852*'Analyse capacite'!$E$8</f>
        <v>0</v>
      </c>
    </row>
    <row r="3853" customFormat="false" ht="15" hidden="false" customHeight="false" outlineLevel="0" collapsed="false">
      <c r="B3853" s="130" t="n">
        <v>2027</v>
      </c>
      <c r="C3853" s="131" t="s">
        <v>249</v>
      </c>
      <c r="D3853" s="132" t="n">
        <v>46584</v>
      </c>
      <c r="E3853" s="131" t="s">
        <v>59</v>
      </c>
      <c r="F3853" s="133" t="s">
        <v>24</v>
      </c>
      <c r="G3853" s="134" t="n">
        <f aca="false">LEN('Saisie programme'!$H$162)+SUMIFS('Vols additionnels'!$E$7:$E$66,'Vols additionnels'!$C$7:$C$66,$E3853,'Vols additionnels'!$D$7:$D$66,$F3853,'Vols additionnels'!$B$7:$B$66,$D3853)</f>
        <v>1</v>
      </c>
      <c r="H3853" s="135" t="n">
        <f aca="false">$G3853*'Analyse capacite'!$F$9</f>
        <v>174</v>
      </c>
      <c r="I3853" s="135" t="n">
        <f aca="false">$G3853*'Analyse capacite'!$C$9</f>
        <v>0</v>
      </c>
      <c r="J3853" s="135" t="n">
        <f aca="false">$G3853*'Analyse capacite'!$D$9</f>
        <v>12</v>
      </c>
      <c r="K3853" s="135" t="n">
        <f aca="false">$G3853*'Analyse capacite'!$E$9</f>
        <v>162</v>
      </c>
    </row>
    <row r="3854" customFormat="false" ht="15" hidden="false" customHeight="false" outlineLevel="0" collapsed="false">
      <c r="B3854" s="130" t="n">
        <v>2027</v>
      </c>
      <c r="C3854" s="131" t="s">
        <v>249</v>
      </c>
      <c r="D3854" s="132" t="n">
        <v>46584</v>
      </c>
      <c r="E3854" s="131" t="s">
        <v>62</v>
      </c>
      <c r="F3854" s="133" t="s">
        <v>11</v>
      </c>
      <c r="G3854" s="134" t="n">
        <f aca="false">LEN('Saisie programme'!$H$163)+SUMIFS('Vols additionnels'!$E$7:$E$66,'Vols additionnels'!$C$7:$C$66,$E3854,'Vols additionnels'!$D$7:$D$66,$F3854,'Vols additionnels'!$B$7:$B$66,$D3854)</f>
        <v>0</v>
      </c>
      <c r="H3854" s="135" t="n">
        <f aca="false">$G3854*'Analyse capacite'!$F$7</f>
        <v>0</v>
      </c>
      <c r="I3854" s="135" t="n">
        <f aca="false">$G3854*'Analyse capacite'!$C$7</f>
        <v>0</v>
      </c>
      <c r="J3854" s="135" t="n">
        <f aca="false">$G3854*'Analyse capacite'!$D$7</f>
        <v>0</v>
      </c>
      <c r="K3854" s="135" t="n">
        <f aca="false">$G3854*'Analyse capacite'!$E$7</f>
        <v>0</v>
      </c>
    </row>
    <row r="3855" customFormat="false" ht="15" hidden="false" customHeight="false" outlineLevel="0" collapsed="false">
      <c r="B3855" s="130" t="n">
        <v>2027</v>
      </c>
      <c r="C3855" s="131" t="s">
        <v>249</v>
      </c>
      <c r="D3855" s="132" t="n">
        <v>46584</v>
      </c>
      <c r="E3855" s="131" t="s">
        <v>62</v>
      </c>
      <c r="F3855" s="133" t="s">
        <v>19</v>
      </c>
      <c r="G3855" s="134" t="n">
        <f aca="false">LEN('Saisie programme'!$H$164)+SUMIFS('Vols additionnels'!$E$7:$E$66,'Vols additionnels'!$C$7:$C$66,$E3855,'Vols additionnels'!$D$7:$D$66,$F3855,'Vols additionnels'!$B$7:$B$66,$D3855)</f>
        <v>0</v>
      </c>
      <c r="H3855" s="135" t="n">
        <f aca="false">$G3855*'Analyse capacite'!$F$8</f>
        <v>0</v>
      </c>
      <c r="I3855" s="135" t="n">
        <f aca="false">$G3855*'Analyse capacite'!$C$8</f>
        <v>0</v>
      </c>
      <c r="J3855" s="135" t="n">
        <f aca="false">$G3855*'Analyse capacite'!$D$8</f>
        <v>0</v>
      </c>
      <c r="K3855" s="135" t="n">
        <f aca="false">$G3855*'Analyse capacite'!$E$8</f>
        <v>0</v>
      </c>
    </row>
    <row r="3856" customFormat="false" ht="15" hidden="false" customHeight="false" outlineLevel="0" collapsed="false">
      <c r="B3856" s="130" t="n">
        <v>2027</v>
      </c>
      <c r="C3856" s="131" t="s">
        <v>249</v>
      </c>
      <c r="D3856" s="132" t="n">
        <v>46584</v>
      </c>
      <c r="E3856" s="131" t="s">
        <v>62</v>
      </c>
      <c r="F3856" s="133" t="s">
        <v>24</v>
      </c>
      <c r="G3856" s="134" t="n">
        <f aca="false">LEN('Saisie programme'!$H$165)+SUMIFS('Vols additionnels'!$E$7:$E$66,'Vols additionnels'!$C$7:$C$66,$E3856,'Vols additionnels'!$D$7:$D$66,$F3856,'Vols additionnels'!$B$7:$B$66,$D3856)</f>
        <v>0</v>
      </c>
      <c r="H3856" s="135" t="n">
        <f aca="false">$G3856*'Analyse capacite'!$F$9</f>
        <v>0</v>
      </c>
      <c r="I3856" s="135" t="n">
        <f aca="false">$G3856*'Analyse capacite'!$C$9</f>
        <v>0</v>
      </c>
      <c r="J3856" s="135" t="n">
        <f aca="false">$G3856*'Analyse capacite'!$D$9</f>
        <v>0</v>
      </c>
      <c r="K3856" s="135" t="n">
        <f aca="false">$G3856*'Analyse capacite'!$E$9</f>
        <v>0</v>
      </c>
    </row>
    <row r="3857" customFormat="false" ht="15" hidden="false" customHeight="false" outlineLevel="0" collapsed="false">
      <c r="B3857" s="130" t="n">
        <v>2027</v>
      </c>
      <c r="C3857" s="131" t="s">
        <v>249</v>
      </c>
      <c r="D3857" s="132" t="n">
        <v>46585</v>
      </c>
      <c r="E3857" s="131" t="s">
        <v>12</v>
      </c>
      <c r="F3857" s="133" t="s">
        <v>11</v>
      </c>
      <c r="G3857" s="134" t="n">
        <f aca="false">LEN('Saisie programme'!$I$130)+SUMIFS('Vols additionnels'!$E$7:$E$66,'Vols additionnels'!$C$7:$C$66,$E3857,'Vols additionnels'!$D$7:$D$66,$F3857,'Vols additionnels'!$B$7:$B$66,$D3857)</f>
        <v>1</v>
      </c>
      <c r="H3857" s="135" t="n">
        <f aca="false">$G3857*'Analyse capacite'!$F$7</f>
        <v>438</v>
      </c>
      <c r="I3857" s="135" t="n">
        <f aca="false">$G3857*'Analyse capacite'!$C$7</f>
        <v>14</v>
      </c>
      <c r="J3857" s="135" t="n">
        <f aca="false">$G3857*'Analyse capacite'!$D$7</f>
        <v>40</v>
      </c>
      <c r="K3857" s="135" t="n">
        <f aca="false">$G3857*'Analyse capacite'!$E$7</f>
        <v>384</v>
      </c>
    </row>
    <row r="3858" customFormat="false" ht="15" hidden="false" customHeight="false" outlineLevel="0" collapsed="false">
      <c r="B3858" s="130" t="n">
        <v>2027</v>
      </c>
      <c r="C3858" s="131" t="s">
        <v>249</v>
      </c>
      <c r="D3858" s="132" t="n">
        <v>46585</v>
      </c>
      <c r="E3858" s="131" t="s">
        <v>12</v>
      </c>
      <c r="F3858" s="133" t="s">
        <v>19</v>
      </c>
      <c r="G3858" s="134" t="n">
        <f aca="false">LEN('Saisie programme'!$I$131)+SUMIFS('Vols additionnels'!$E$7:$E$66,'Vols additionnels'!$C$7:$C$66,$E3858,'Vols additionnels'!$D$7:$D$66,$F3858,'Vols additionnels'!$B$7:$B$66,$D3858)</f>
        <v>0</v>
      </c>
      <c r="H3858" s="135" t="n">
        <f aca="false">$G3858*'Analyse capacite'!$F$8</f>
        <v>0</v>
      </c>
      <c r="I3858" s="135" t="n">
        <f aca="false">$G3858*'Analyse capacite'!$C$8</f>
        <v>0</v>
      </c>
      <c r="J3858" s="135" t="n">
        <f aca="false">$G3858*'Analyse capacite'!$D$8</f>
        <v>0</v>
      </c>
      <c r="K3858" s="135" t="n">
        <f aca="false">$G3858*'Analyse capacite'!$E$8</f>
        <v>0</v>
      </c>
    </row>
    <row r="3859" customFormat="false" ht="15" hidden="false" customHeight="false" outlineLevel="0" collapsed="false">
      <c r="B3859" s="130" t="n">
        <v>2027</v>
      </c>
      <c r="C3859" s="131" t="s">
        <v>249</v>
      </c>
      <c r="D3859" s="132" t="n">
        <v>46585</v>
      </c>
      <c r="E3859" s="131" t="s">
        <v>12</v>
      </c>
      <c r="F3859" s="133" t="s">
        <v>24</v>
      </c>
      <c r="G3859" s="134" t="n">
        <f aca="false">LEN('Saisie programme'!$I$132)+SUMIFS('Vols additionnels'!$E$7:$E$66,'Vols additionnels'!$C$7:$C$66,$E3859,'Vols additionnels'!$D$7:$D$66,$F3859,'Vols additionnels'!$B$7:$B$66,$D3859)</f>
        <v>0</v>
      </c>
      <c r="H3859" s="135" t="n">
        <f aca="false">$G3859*'Analyse capacite'!$F$9</f>
        <v>0</v>
      </c>
      <c r="I3859" s="135" t="n">
        <f aca="false">$G3859*'Analyse capacite'!$C$9</f>
        <v>0</v>
      </c>
      <c r="J3859" s="135" t="n">
        <f aca="false">$G3859*'Analyse capacite'!$D$9</f>
        <v>0</v>
      </c>
      <c r="K3859" s="135" t="n">
        <f aca="false">$G3859*'Analyse capacite'!$E$9</f>
        <v>0</v>
      </c>
    </row>
    <row r="3860" customFormat="false" ht="15" hidden="false" customHeight="false" outlineLevel="0" collapsed="false">
      <c r="B3860" s="130" t="n">
        <v>2027</v>
      </c>
      <c r="C3860" s="131" t="s">
        <v>249</v>
      </c>
      <c r="D3860" s="132" t="n">
        <v>46585</v>
      </c>
      <c r="E3860" s="131" t="s">
        <v>20</v>
      </c>
      <c r="F3860" s="133" t="s">
        <v>11</v>
      </c>
      <c r="G3860" s="134" t="n">
        <f aca="false">LEN('Saisie programme'!$I$133)+SUMIFS('Vols additionnels'!$E$7:$E$66,'Vols additionnels'!$C$7:$C$66,$E3860,'Vols additionnels'!$D$7:$D$66,$F3860,'Vols additionnels'!$B$7:$B$66,$D3860)</f>
        <v>0</v>
      </c>
      <c r="H3860" s="135" t="n">
        <f aca="false">$G3860*'Analyse capacite'!$F$7</f>
        <v>0</v>
      </c>
      <c r="I3860" s="135" t="n">
        <f aca="false">$G3860*'Analyse capacite'!$C$7</f>
        <v>0</v>
      </c>
      <c r="J3860" s="135" t="n">
        <f aca="false">$G3860*'Analyse capacite'!$D$7</f>
        <v>0</v>
      </c>
      <c r="K3860" s="135" t="n">
        <f aca="false">$G3860*'Analyse capacite'!$E$7</f>
        <v>0</v>
      </c>
    </row>
    <row r="3861" customFormat="false" ht="15" hidden="false" customHeight="false" outlineLevel="0" collapsed="false">
      <c r="B3861" s="130" t="n">
        <v>2027</v>
      </c>
      <c r="C3861" s="131" t="s">
        <v>249</v>
      </c>
      <c r="D3861" s="132" t="n">
        <v>46585</v>
      </c>
      <c r="E3861" s="131" t="s">
        <v>20</v>
      </c>
      <c r="F3861" s="133" t="s">
        <v>19</v>
      </c>
      <c r="G3861" s="134" t="n">
        <f aca="false">LEN('Saisie programme'!$I$134)+SUMIFS('Vols additionnels'!$E$7:$E$66,'Vols additionnels'!$C$7:$C$66,$E3861,'Vols additionnels'!$D$7:$D$66,$F3861,'Vols additionnels'!$B$7:$B$66,$D3861)</f>
        <v>0</v>
      </c>
      <c r="H3861" s="135" t="n">
        <f aca="false">$G3861*'Analyse capacite'!$F$8</f>
        <v>0</v>
      </c>
      <c r="I3861" s="135" t="n">
        <f aca="false">$G3861*'Analyse capacite'!$C$8</f>
        <v>0</v>
      </c>
      <c r="J3861" s="135" t="n">
        <f aca="false">$G3861*'Analyse capacite'!$D$8</f>
        <v>0</v>
      </c>
      <c r="K3861" s="135" t="n">
        <f aca="false">$G3861*'Analyse capacite'!$E$8</f>
        <v>0</v>
      </c>
    </row>
    <row r="3862" customFormat="false" ht="15" hidden="false" customHeight="false" outlineLevel="0" collapsed="false">
      <c r="B3862" s="130" t="n">
        <v>2027</v>
      </c>
      <c r="C3862" s="131" t="s">
        <v>249</v>
      </c>
      <c r="D3862" s="132" t="n">
        <v>46585</v>
      </c>
      <c r="E3862" s="131" t="s">
        <v>20</v>
      </c>
      <c r="F3862" s="133" t="s">
        <v>24</v>
      </c>
      <c r="G3862" s="134" t="n">
        <f aca="false">LEN('Saisie programme'!$I$135)+SUMIFS('Vols additionnels'!$E$7:$E$66,'Vols additionnels'!$C$7:$C$66,$E3862,'Vols additionnels'!$D$7:$D$66,$F3862,'Vols additionnels'!$B$7:$B$66,$D3862)</f>
        <v>0</v>
      </c>
      <c r="H3862" s="135" t="n">
        <f aca="false">$G3862*'Analyse capacite'!$F$9</f>
        <v>0</v>
      </c>
      <c r="I3862" s="135" t="n">
        <f aca="false">$G3862*'Analyse capacite'!$C$9</f>
        <v>0</v>
      </c>
      <c r="J3862" s="135" t="n">
        <f aca="false">$G3862*'Analyse capacite'!$D$9</f>
        <v>0</v>
      </c>
      <c r="K3862" s="135" t="n">
        <f aca="false">$G3862*'Analyse capacite'!$E$9</f>
        <v>0</v>
      </c>
    </row>
    <row r="3863" customFormat="false" ht="15" hidden="false" customHeight="false" outlineLevel="0" collapsed="false">
      <c r="B3863" s="130" t="n">
        <v>2027</v>
      </c>
      <c r="C3863" s="131" t="s">
        <v>249</v>
      </c>
      <c r="D3863" s="132" t="n">
        <v>46585</v>
      </c>
      <c r="E3863" s="131" t="s">
        <v>25</v>
      </c>
      <c r="F3863" s="133" t="s">
        <v>11</v>
      </c>
      <c r="G3863" s="134" t="n">
        <f aca="false">LEN('Saisie programme'!$I$136)+SUMIFS('Vols additionnels'!$E$7:$E$66,'Vols additionnels'!$C$7:$C$66,$E3863,'Vols additionnels'!$D$7:$D$66,$F3863,'Vols additionnels'!$B$7:$B$66,$D3863)</f>
        <v>0</v>
      </c>
      <c r="H3863" s="135" t="n">
        <f aca="false">$G3863*'Analyse capacite'!$F$7</f>
        <v>0</v>
      </c>
      <c r="I3863" s="135" t="n">
        <f aca="false">$G3863*'Analyse capacite'!$C$7</f>
        <v>0</v>
      </c>
      <c r="J3863" s="135" t="n">
        <f aca="false">$G3863*'Analyse capacite'!$D$7</f>
        <v>0</v>
      </c>
      <c r="K3863" s="135" t="n">
        <f aca="false">$G3863*'Analyse capacite'!$E$7</f>
        <v>0</v>
      </c>
    </row>
    <row r="3864" customFormat="false" ht="15" hidden="false" customHeight="false" outlineLevel="0" collapsed="false">
      <c r="B3864" s="130" t="n">
        <v>2027</v>
      </c>
      <c r="C3864" s="131" t="s">
        <v>249</v>
      </c>
      <c r="D3864" s="132" t="n">
        <v>46585</v>
      </c>
      <c r="E3864" s="131" t="s">
        <v>25</v>
      </c>
      <c r="F3864" s="133" t="s">
        <v>19</v>
      </c>
      <c r="G3864" s="134" t="n">
        <f aca="false">LEN('Saisie programme'!$I$137)+SUMIFS('Vols additionnels'!$E$7:$E$66,'Vols additionnels'!$C$7:$C$66,$E3864,'Vols additionnels'!$D$7:$D$66,$F3864,'Vols additionnels'!$B$7:$B$66,$D3864)</f>
        <v>1</v>
      </c>
      <c r="H3864" s="135" t="n">
        <f aca="false">$G3864*'Analyse capacite'!$F$8</f>
        <v>262</v>
      </c>
      <c r="I3864" s="135" t="n">
        <f aca="false">$G3864*'Analyse capacite'!$C$8</f>
        <v>18</v>
      </c>
      <c r="J3864" s="135" t="n">
        <f aca="false">$G3864*'Analyse capacite'!$D$8</f>
        <v>0</v>
      </c>
      <c r="K3864" s="135" t="n">
        <f aca="false">$G3864*'Analyse capacite'!$E$8</f>
        <v>244</v>
      </c>
    </row>
    <row r="3865" customFormat="false" ht="15" hidden="false" customHeight="false" outlineLevel="0" collapsed="false">
      <c r="B3865" s="130" t="n">
        <v>2027</v>
      </c>
      <c r="C3865" s="131" t="s">
        <v>249</v>
      </c>
      <c r="D3865" s="132" t="n">
        <v>46585</v>
      </c>
      <c r="E3865" s="131" t="s">
        <v>25</v>
      </c>
      <c r="F3865" s="133" t="s">
        <v>24</v>
      </c>
      <c r="G3865" s="134" t="n">
        <f aca="false">LEN('Saisie programme'!$I$138)+SUMIFS('Vols additionnels'!$E$7:$E$66,'Vols additionnels'!$C$7:$C$66,$E3865,'Vols additionnels'!$D$7:$D$66,$F3865,'Vols additionnels'!$B$7:$B$66,$D3865)</f>
        <v>0</v>
      </c>
      <c r="H3865" s="135" t="n">
        <f aca="false">$G3865*'Analyse capacite'!$F$9</f>
        <v>0</v>
      </c>
      <c r="I3865" s="135" t="n">
        <f aca="false">$G3865*'Analyse capacite'!$C$9</f>
        <v>0</v>
      </c>
      <c r="J3865" s="135" t="n">
        <f aca="false">$G3865*'Analyse capacite'!$D$9</f>
        <v>0</v>
      </c>
      <c r="K3865" s="135" t="n">
        <f aca="false">$G3865*'Analyse capacite'!$E$9</f>
        <v>0</v>
      </c>
    </row>
    <row r="3866" customFormat="false" ht="15" hidden="false" customHeight="false" outlineLevel="0" collapsed="false">
      <c r="B3866" s="130" t="n">
        <v>2027</v>
      </c>
      <c r="C3866" s="131" t="s">
        <v>249</v>
      </c>
      <c r="D3866" s="132" t="n">
        <v>46585</v>
      </c>
      <c r="E3866" s="131" t="s">
        <v>36</v>
      </c>
      <c r="F3866" s="133" t="s">
        <v>11</v>
      </c>
      <c r="G3866" s="134" t="n">
        <f aca="false">LEN('Saisie programme'!$I$139)+SUMIFS('Vols additionnels'!$E$7:$E$66,'Vols additionnels'!$C$7:$C$66,$E3866,'Vols additionnels'!$D$7:$D$66,$F3866,'Vols additionnels'!$B$7:$B$66,$D3866)</f>
        <v>0</v>
      </c>
      <c r="H3866" s="135" t="n">
        <f aca="false">$G3866*'Analyse capacite'!$F$7</f>
        <v>0</v>
      </c>
      <c r="I3866" s="135" t="n">
        <f aca="false">$G3866*'Analyse capacite'!$C$7</f>
        <v>0</v>
      </c>
      <c r="J3866" s="135" t="n">
        <f aca="false">$G3866*'Analyse capacite'!$D$7</f>
        <v>0</v>
      </c>
      <c r="K3866" s="135" t="n">
        <f aca="false">$G3866*'Analyse capacite'!$E$7</f>
        <v>0</v>
      </c>
    </row>
    <row r="3867" customFormat="false" ht="15" hidden="false" customHeight="false" outlineLevel="0" collapsed="false">
      <c r="B3867" s="130" t="n">
        <v>2027</v>
      </c>
      <c r="C3867" s="131" t="s">
        <v>249</v>
      </c>
      <c r="D3867" s="132" t="n">
        <v>46585</v>
      </c>
      <c r="E3867" s="131" t="s">
        <v>36</v>
      </c>
      <c r="F3867" s="133" t="s">
        <v>19</v>
      </c>
      <c r="G3867" s="134" t="n">
        <f aca="false">LEN('Saisie programme'!$I$140)+SUMIFS('Vols additionnels'!$E$7:$E$66,'Vols additionnels'!$C$7:$C$66,$E3867,'Vols additionnels'!$D$7:$D$66,$F3867,'Vols additionnels'!$B$7:$B$66,$D3867)</f>
        <v>0</v>
      </c>
      <c r="H3867" s="135" t="n">
        <f aca="false">$G3867*'Analyse capacite'!$F$8</f>
        <v>0</v>
      </c>
      <c r="I3867" s="135" t="n">
        <f aca="false">$G3867*'Analyse capacite'!$C$8</f>
        <v>0</v>
      </c>
      <c r="J3867" s="135" t="n">
        <f aca="false">$G3867*'Analyse capacite'!$D$8</f>
        <v>0</v>
      </c>
      <c r="K3867" s="135" t="n">
        <f aca="false">$G3867*'Analyse capacite'!$E$8</f>
        <v>0</v>
      </c>
    </row>
    <row r="3868" customFormat="false" ht="15" hidden="false" customHeight="false" outlineLevel="0" collapsed="false">
      <c r="B3868" s="130" t="n">
        <v>2027</v>
      </c>
      <c r="C3868" s="131" t="s">
        <v>249</v>
      </c>
      <c r="D3868" s="132" t="n">
        <v>46585</v>
      </c>
      <c r="E3868" s="131" t="s">
        <v>36</v>
      </c>
      <c r="F3868" s="133" t="s">
        <v>24</v>
      </c>
      <c r="G3868" s="134" t="n">
        <f aca="false">LEN('Saisie programme'!$I$141)+SUMIFS('Vols additionnels'!$E$7:$E$66,'Vols additionnels'!$C$7:$C$66,$E3868,'Vols additionnels'!$D$7:$D$66,$F3868,'Vols additionnels'!$B$7:$B$66,$D3868)</f>
        <v>0</v>
      </c>
      <c r="H3868" s="135" t="n">
        <f aca="false">$G3868*'Analyse capacite'!$F$9</f>
        <v>0</v>
      </c>
      <c r="I3868" s="135" t="n">
        <f aca="false">$G3868*'Analyse capacite'!$C$9</f>
        <v>0</v>
      </c>
      <c r="J3868" s="135" t="n">
        <f aca="false">$G3868*'Analyse capacite'!$D$9</f>
        <v>0</v>
      </c>
      <c r="K3868" s="135" t="n">
        <f aca="false">$G3868*'Analyse capacite'!$E$9</f>
        <v>0</v>
      </c>
    </row>
    <row r="3869" customFormat="false" ht="15" hidden="false" customHeight="false" outlineLevel="0" collapsed="false">
      <c r="B3869" s="130" t="n">
        <v>2027</v>
      </c>
      <c r="C3869" s="131" t="s">
        <v>249</v>
      </c>
      <c r="D3869" s="132" t="n">
        <v>46585</v>
      </c>
      <c r="E3869" s="131" t="s">
        <v>40</v>
      </c>
      <c r="F3869" s="133" t="s">
        <v>11</v>
      </c>
      <c r="G3869" s="134" t="n">
        <f aca="false">LEN('Saisie programme'!$I$142)+SUMIFS('Vols additionnels'!$E$7:$E$66,'Vols additionnels'!$C$7:$C$66,$E3869,'Vols additionnels'!$D$7:$D$66,$F3869,'Vols additionnels'!$B$7:$B$66,$D3869)</f>
        <v>0</v>
      </c>
      <c r="H3869" s="135" t="n">
        <f aca="false">$G3869*'Analyse capacite'!$F$7</f>
        <v>0</v>
      </c>
      <c r="I3869" s="135" t="n">
        <f aca="false">$G3869*'Analyse capacite'!$C$7</f>
        <v>0</v>
      </c>
      <c r="J3869" s="135" t="n">
        <f aca="false">$G3869*'Analyse capacite'!$D$7</f>
        <v>0</v>
      </c>
      <c r="K3869" s="135" t="n">
        <f aca="false">$G3869*'Analyse capacite'!$E$7</f>
        <v>0</v>
      </c>
    </row>
    <row r="3870" customFormat="false" ht="15" hidden="false" customHeight="false" outlineLevel="0" collapsed="false">
      <c r="B3870" s="130" t="n">
        <v>2027</v>
      </c>
      <c r="C3870" s="131" t="s">
        <v>249</v>
      </c>
      <c r="D3870" s="132" t="n">
        <v>46585</v>
      </c>
      <c r="E3870" s="131" t="s">
        <v>40</v>
      </c>
      <c r="F3870" s="133" t="s">
        <v>19</v>
      </c>
      <c r="G3870" s="134" t="n">
        <f aca="false">LEN('Saisie programme'!$I$143)+SUMIFS('Vols additionnels'!$E$7:$E$66,'Vols additionnels'!$C$7:$C$66,$E3870,'Vols additionnels'!$D$7:$D$66,$F3870,'Vols additionnels'!$B$7:$B$66,$D3870)</f>
        <v>0</v>
      </c>
      <c r="H3870" s="135" t="n">
        <f aca="false">$G3870*'Analyse capacite'!$F$8</f>
        <v>0</v>
      </c>
      <c r="I3870" s="135" t="n">
        <f aca="false">$G3870*'Analyse capacite'!$C$8</f>
        <v>0</v>
      </c>
      <c r="J3870" s="135" t="n">
        <f aca="false">$G3870*'Analyse capacite'!$D$8</f>
        <v>0</v>
      </c>
      <c r="K3870" s="135" t="n">
        <f aca="false">$G3870*'Analyse capacite'!$E$8</f>
        <v>0</v>
      </c>
    </row>
    <row r="3871" customFormat="false" ht="15" hidden="false" customHeight="false" outlineLevel="0" collapsed="false">
      <c r="B3871" s="130" t="n">
        <v>2027</v>
      </c>
      <c r="C3871" s="131" t="s">
        <v>249</v>
      </c>
      <c r="D3871" s="132" t="n">
        <v>46585</v>
      </c>
      <c r="E3871" s="131" t="s">
        <v>40</v>
      </c>
      <c r="F3871" s="133" t="s">
        <v>24</v>
      </c>
      <c r="G3871" s="134" t="n">
        <f aca="false">LEN('Saisie programme'!$I$144)+SUMIFS('Vols additionnels'!$E$7:$E$66,'Vols additionnels'!$C$7:$C$66,$E3871,'Vols additionnels'!$D$7:$D$66,$F3871,'Vols additionnels'!$B$7:$B$66,$D3871)</f>
        <v>0</v>
      </c>
      <c r="H3871" s="135" t="n">
        <f aca="false">$G3871*'Analyse capacite'!$F$9</f>
        <v>0</v>
      </c>
      <c r="I3871" s="135" t="n">
        <f aca="false">$G3871*'Analyse capacite'!$C$9</f>
        <v>0</v>
      </c>
      <c r="J3871" s="135" t="n">
        <f aca="false">$G3871*'Analyse capacite'!$D$9</f>
        <v>0</v>
      </c>
      <c r="K3871" s="135" t="n">
        <f aca="false">$G3871*'Analyse capacite'!$E$9</f>
        <v>0</v>
      </c>
    </row>
    <row r="3872" customFormat="false" ht="15" hidden="false" customHeight="false" outlineLevel="0" collapsed="false">
      <c r="B3872" s="130" t="n">
        <v>2027</v>
      </c>
      <c r="C3872" s="131" t="s">
        <v>249</v>
      </c>
      <c r="D3872" s="132" t="n">
        <v>46585</v>
      </c>
      <c r="E3872" s="131" t="s">
        <v>14</v>
      </c>
      <c r="F3872" s="133" t="s">
        <v>11</v>
      </c>
      <c r="G3872" s="134" t="n">
        <f aca="false">LEN('Saisie programme'!$I$145)+SUMIFS('Vols additionnels'!$E$7:$E$66,'Vols additionnels'!$C$7:$C$66,$E3872,'Vols additionnels'!$D$7:$D$66,$F3872,'Vols additionnels'!$B$7:$B$66,$D3872)</f>
        <v>0</v>
      </c>
      <c r="H3872" s="135" t="n">
        <f aca="false">$G3872*'Analyse capacite'!$F$7</f>
        <v>0</v>
      </c>
      <c r="I3872" s="135" t="n">
        <f aca="false">$G3872*'Analyse capacite'!$C$7</f>
        <v>0</v>
      </c>
      <c r="J3872" s="135" t="n">
        <f aca="false">$G3872*'Analyse capacite'!$D$7</f>
        <v>0</v>
      </c>
      <c r="K3872" s="135" t="n">
        <f aca="false">$G3872*'Analyse capacite'!$E$7</f>
        <v>0</v>
      </c>
    </row>
    <row r="3873" customFormat="false" ht="15" hidden="false" customHeight="false" outlineLevel="0" collapsed="false">
      <c r="B3873" s="130" t="n">
        <v>2027</v>
      </c>
      <c r="C3873" s="131" t="s">
        <v>249</v>
      </c>
      <c r="D3873" s="132" t="n">
        <v>46585</v>
      </c>
      <c r="E3873" s="131" t="s">
        <v>14</v>
      </c>
      <c r="F3873" s="133" t="s">
        <v>19</v>
      </c>
      <c r="G3873" s="134" t="n">
        <f aca="false">LEN('Saisie programme'!$I$146)+SUMIFS('Vols additionnels'!$E$7:$E$66,'Vols additionnels'!$C$7:$C$66,$E3873,'Vols additionnels'!$D$7:$D$66,$F3873,'Vols additionnels'!$B$7:$B$66,$D3873)</f>
        <v>0</v>
      </c>
      <c r="H3873" s="135" t="n">
        <f aca="false">$G3873*'Analyse capacite'!$F$8</f>
        <v>0</v>
      </c>
      <c r="I3873" s="135" t="n">
        <f aca="false">$G3873*'Analyse capacite'!$C$8</f>
        <v>0</v>
      </c>
      <c r="J3873" s="135" t="n">
        <f aca="false">$G3873*'Analyse capacite'!$D$8</f>
        <v>0</v>
      </c>
      <c r="K3873" s="135" t="n">
        <f aca="false">$G3873*'Analyse capacite'!$E$8</f>
        <v>0</v>
      </c>
    </row>
    <row r="3874" customFormat="false" ht="15" hidden="false" customHeight="false" outlineLevel="0" collapsed="false">
      <c r="B3874" s="130" t="n">
        <v>2027</v>
      </c>
      <c r="C3874" s="131" t="s">
        <v>249</v>
      </c>
      <c r="D3874" s="132" t="n">
        <v>46585</v>
      </c>
      <c r="E3874" s="131" t="s">
        <v>14</v>
      </c>
      <c r="F3874" s="133" t="s">
        <v>24</v>
      </c>
      <c r="G3874" s="134" t="n">
        <f aca="false">LEN('Saisie programme'!$I$147)+SUMIFS('Vols additionnels'!$E$7:$E$66,'Vols additionnels'!$C$7:$C$66,$E3874,'Vols additionnels'!$D$7:$D$66,$F3874,'Vols additionnels'!$B$7:$B$66,$D3874)</f>
        <v>1</v>
      </c>
      <c r="H3874" s="135" t="n">
        <f aca="false">$G3874*'Analyse capacite'!$F$9</f>
        <v>174</v>
      </c>
      <c r="I3874" s="135" t="n">
        <f aca="false">$G3874*'Analyse capacite'!$C$9</f>
        <v>0</v>
      </c>
      <c r="J3874" s="135" t="n">
        <f aca="false">$G3874*'Analyse capacite'!$D$9</f>
        <v>12</v>
      </c>
      <c r="K3874" s="135" t="n">
        <f aca="false">$G3874*'Analyse capacite'!$E$9</f>
        <v>162</v>
      </c>
    </row>
    <row r="3875" customFormat="false" ht="15" hidden="false" customHeight="false" outlineLevel="0" collapsed="false">
      <c r="B3875" s="130" t="n">
        <v>2027</v>
      </c>
      <c r="C3875" s="131" t="s">
        <v>249</v>
      </c>
      <c r="D3875" s="132" t="n">
        <v>46585</v>
      </c>
      <c r="E3875" s="131" t="s">
        <v>46</v>
      </c>
      <c r="F3875" s="133" t="s">
        <v>11</v>
      </c>
      <c r="G3875" s="134" t="n">
        <f aca="false">LEN('Saisie programme'!$I$148)+SUMIFS('Vols additionnels'!$E$7:$E$66,'Vols additionnels'!$C$7:$C$66,$E3875,'Vols additionnels'!$D$7:$D$66,$F3875,'Vols additionnels'!$B$7:$B$66,$D3875)</f>
        <v>0</v>
      </c>
      <c r="H3875" s="135" t="n">
        <f aca="false">$G3875*'Analyse capacite'!$F$7</f>
        <v>0</v>
      </c>
      <c r="I3875" s="135" t="n">
        <f aca="false">$G3875*'Analyse capacite'!$C$7</f>
        <v>0</v>
      </c>
      <c r="J3875" s="135" t="n">
        <f aca="false">$G3875*'Analyse capacite'!$D$7</f>
        <v>0</v>
      </c>
      <c r="K3875" s="135" t="n">
        <f aca="false">$G3875*'Analyse capacite'!$E$7</f>
        <v>0</v>
      </c>
    </row>
    <row r="3876" customFormat="false" ht="15" hidden="false" customHeight="false" outlineLevel="0" collapsed="false">
      <c r="B3876" s="130" t="n">
        <v>2027</v>
      </c>
      <c r="C3876" s="131" t="s">
        <v>249</v>
      </c>
      <c r="D3876" s="132" t="n">
        <v>46585</v>
      </c>
      <c r="E3876" s="131" t="s">
        <v>46</v>
      </c>
      <c r="F3876" s="133" t="s">
        <v>19</v>
      </c>
      <c r="G3876" s="134" t="n">
        <f aca="false">LEN('Saisie programme'!$I$149)+SUMIFS('Vols additionnels'!$E$7:$E$66,'Vols additionnels'!$C$7:$C$66,$E3876,'Vols additionnels'!$D$7:$D$66,$F3876,'Vols additionnels'!$B$7:$B$66,$D3876)</f>
        <v>0</v>
      </c>
      <c r="H3876" s="135" t="n">
        <f aca="false">$G3876*'Analyse capacite'!$F$8</f>
        <v>0</v>
      </c>
      <c r="I3876" s="135" t="n">
        <f aca="false">$G3876*'Analyse capacite'!$C$8</f>
        <v>0</v>
      </c>
      <c r="J3876" s="135" t="n">
        <f aca="false">$G3876*'Analyse capacite'!$D$8</f>
        <v>0</v>
      </c>
      <c r="K3876" s="135" t="n">
        <f aca="false">$G3876*'Analyse capacite'!$E$8</f>
        <v>0</v>
      </c>
    </row>
    <row r="3877" customFormat="false" ht="15" hidden="false" customHeight="false" outlineLevel="0" collapsed="false">
      <c r="B3877" s="130" t="n">
        <v>2027</v>
      </c>
      <c r="C3877" s="131" t="s">
        <v>249</v>
      </c>
      <c r="D3877" s="132" t="n">
        <v>46585</v>
      </c>
      <c r="E3877" s="131" t="s">
        <v>46</v>
      </c>
      <c r="F3877" s="133" t="s">
        <v>24</v>
      </c>
      <c r="G3877" s="134" t="n">
        <f aca="false">LEN('Saisie programme'!$I$150)+SUMIFS('Vols additionnels'!$E$7:$E$66,'Vols additionnels'!$C$7:$C$66,$E3877,'Vols additionnels'!$D$7:$D$66,$F3877,'Vols additionnels'!$B$7:$B$66,$D3877)</f>
        <v>1</v>
      </c>
      <c r="H3877" s="135" t="n">
        <f aca="false">$G3877*'Analyse capacite'!$F$9</f>
        <v>174</v>
      </c>
      <c r="I3877" s="135" t="n">
        <f aca="false">$G3877*'Analyse capacite'!$C$9</f>
        <v>0</v>
      </c>
      <c r="J3877" s="135" t="n">
        <f aca="false">$G3877*'Analyse capacite'!$D$9</f>
        <v>12</v>
      </c>
      <c r="K3877" s="135" t="n">
        <f aca="false">$G3877*'Analyse capacite'!$E$9</f>
        <v>162</v>
      </c>
    </row>
    <row r="3878" customFormat="false" ht="15" hidden="false" customHeight="false" outlineLevel="0" collapsed="false">
      <c r="B3878" s="130" t="n">
        <v>2027</v>
      </c>
      <c r="C3878" s="131" t="s">
        <v>249</v>
      </c>
      <c r="D3878" s="132" t="n">
        <v>46585</v>
      </c>
      <c r="E3878" s="131" t="s">
        <v>49</v>
      </c>
      <c r="F3878" s="133" t="s">
        <v>11</v>
      </c>
      <c r="G3878" s="134" t="n">
        <f aca="false">LEN('Saisie programme'!$I$151)+SUMIFS('Vols additionnels'!$E$7:$E$66,'Vols additionnels'!$C$7:$C$66,$E3878,'Vols additionnels'!$D$7:$D$66,$F3878,'Vols additionnels'!$B$7:$B$66,$D3878)</f>
        <v>0</v>
      </c>
      <c r="H3878" s="135" t="n">
        <f aca="false">$G3878*'Analyse capacite'!$F$7</f>
        <v>0</v>
      </c>
      <c r="I3878" s="135" t="n">
        <f aca="false">$G3878*'Analyse capacite'!$C$7</f>
        <v>0</v>
      </c>
      <c r="J3878" s="135" t="n">
        <f aca="false">$G3878*'Analyse capacite'!$D$7</f>
        <v>0</v>
      </c>
      <c r="K3878" s="135" t="n">
        <f aca="false">$G3878*'Analyse capacite'!$E$7</f>
        <v>0</v>
      </c>
    </row>
    <row r="3879" customFormat="false" ht="15" hidden="false" customHeight="false" outlineLevel="0" collapsed="false">
      <c r="B3879" s="130" t="n">
        <v>2027</v>
      </c>
      <c r="C3879" s="131" t="s">
        <v>249</v>
      </c>
      <c r="D3879" s="132" t="n">
        <v>46585</v>
      </c>
      <c r="E3879" s="131" t="s">
        <v>49</v>
      </c>
      <c r="F3879" s="133" t="s">
        <v>19</v>
      </c>
      <c r="G3879" s="134" t="n">
        <f aca="false">LEN('Saisie programme'!$I$152)+SUMIFS('Vols additionnels'!$E$7:$E$66,'Vols additionnels'!$C$7:$C$66,$E3879,'Vols additionnels'!$D$7:$D$66,$F3879,'Vols additionnels'!$B$7:$B$66,$D3879)</f>
        <v>0</v>
      </c>
      <c r="H3879" s="135" t="n">
        <f aca="false">$G3879*'Analyse capacite'!$F$8</f>
        <v>0</v>
      </c>
      <c r="I3879" s="135" t="n">
        <f aca="false">$G3879*'Analyse capacite'!$C$8</f>
        <v>0</v>
      </c>
      <c r="J3879" s="135" t="n">
        <f aca="false">$G3879*'Analyse capacite'!$D$8</f>
        <v>0</v>
      </c>
      <c r="K3879" s="135" t="n">
        <f aca="false">$G3879*'Analyse capacite'!$E$8</f>
        <v>0</v>
      </c>
    </row>
    <row r="3880" customFormat="false" ht="15" hidden="false" customHeight="false" outlineLevel="0" collapsed="false">
      <c r="B3880" s="130" t="n">
        <v>2027</v>
      </c>
      <c r="C3880" s="131" t="s">
        <v>249</v>
      </c>
      <c r="D3880" s="132" t="n">
        <v>46585</v>
      </c>
      <c r="E3880" s="131" t="s">
        <v>49</v>
      </c>
      <c r="F3880" s="133" t="s">
        <v>24</v>
      </c>
      <c r="G3880" s="134" t="n">
        <f aca="false">LEN('Saisie programme'!$I$153)+SUMIFS('Vols additionnels'!$E$7:$E$66,'Vols additionnels'!$C$7:$C$66,$E3880,'Vols additionnels'!$D$7:$D$66,$F3880,'Vols additionnels'!$B$7:$B$66,$D3880)</f>
        <v>0</v>
      </c>
      <c r="H3880" s="135" t="n">
        <f aca="false">$G3880*'Analyse capacite'!$F$9</f>
        <v>0</v>
      </c>
      <c r="I3880" s="135" t="n">
        <f aca="false">$G3880*'Analyse capacite'!$C$9</f>
        <v>0</v>
      </c>
      <c r="J3880" s="135" t="n">
        <f aca="false">$G3880*'Analyse capacite'!$D$9</f>
        <v>0</v>
      </c>
      <c r="K3880" s="135" t="n">
        <f aca="false">$G3880*'Analyse capacite'!$E$9</f>
        <v>0</v>
      </c>
    </row>
    <row r="3881" customFormat="false" ht="15" hidden="false" customHeight="false" outlineLevel="0" collapsed="false">
      <c r="B3881" s="130" t="n">
        <v>2027</v>
      </c>
      <c r="C3881" s="131" t="s">
        <v>249</v>
      </c>
      <c r="D3881" s="132" t="n">
        <v>46585</v>
      </c>
      <c r="E3881" s="131" t="s">
        <v>53</v>
      </c>
      <c r="F3881" s="133" t="s">
        <v>11</v>
      </c>
      <c r="G3881" s="134" t="n">
        <f aca="false">LEN('Saisie programme'!$I$154)+SUMIFS('Vols additionnels'!$E$7:$E$66,'Vols additionnels'!$C$7:$C$66,$E3881,'Vols additionnels'!$D$7:$D$66,$F3881,'Vols additionnels'!$B$7:$B$66,$D3881)</f>
        <v>0</v>
      </c>
      <c r="H3881" s="135" t="n">
        <f aca="false">$G3881*'Analyse capacite'!$F$7</f>
        <v>0</v>
      </c>
      <c r="I3881" s="135" t="n">
        <f aca="false">$G3881*'Analyse capacite'!$C$7</f>
        <v>0</v>
      </c>
      <c r="J3881" s="135" t="n">
        <f aca="false">$G3881*'Analyse capacite'!$D$7</f>
        <v>0</v>
      </c>
      <c r="K3881" s="135" t="n">
        <f aca="false">$G3881*'Analyse capacite'!$E$7</f>
        <v>0</v>
      </c>
    </row>
    <row r="3882" customFormat="false" ht="15" hidden="false" customHeight="false" outlineLevel="0" collapsed="false">
      <c r="B3882" s="130" t="n">
        <v>2027</v>
      </c>
      <c r="C3882" s="131" t="s">
        <v>249</v>
      </c>
      <c r="D3882" s="132" t="n">
        <v>46585</v>
      </c>
      <c r="E3882" s="131" t="s">
        <v>53</v>
      </c>
      <c r="F3882" s="133" t="s">
        <v>19</v>
      </c>
      <c r="G3882" s="134" t="n">
        <f aca="false">LEN('Saisie programme'!$I$155)+SUMIFS('Vols additionnels'!$E$7:$E$66,'Vols additionnels'!$C$7:$C$66,$E3882,'Vols additionnels'!$D$7:$D$66,$F3882,'Vols additionnels'!$B$7:$B$66,$D3882)</f>
        <v>0</v>
      </c>
      <c r="H3882" s="135" t="n">
        <f aca="false">$G3882*'Analyse capacite'!$F$8</f>
        <v>0</v>
      </c>
      <c r="I3882" s="135" t="n">
        <f aca="false">$G3882*'Analyse capacite'!$C$8</f>
        <v>0</v>
      </c>
      <c r="J3882" s="135" t="n">
        <f aca="false">$G3882*'Analyse capacite'!$D$8</f>
        <v>0</v>
      </c>
      <c r="K3882" s="135" t="n">
        <f aca="false">$G3882*'Analyse capacite'!$E$8</f>
        <v>0</v>
      </c>
    </row>
    <row r="3883" customFormat="false" ht="15" hidden="false" customHeight="false" outlineLevel="0" collapsed="false">
      <c r="B3883" s="130" t="n">
        <v>2027</v>
      </c>
      <c r="C3883" s="131" t="s">
        <v>249</v>
      </c>
      <c r="D3883" s="132" t="n">
        <v>46585</v>
      </c>
      <c r="E3883" s="131" t="s">
        <v>53</v>
      </c>
      <c r="F3883" s="133" t="s">
        <v>24</v>
      </c>
      <c r="G3883" s="134" t="n">
        <f aca="false">LEN('Saisie programme'!$I$156)+SUMIFS('Vols additionnels'!$E$7:$E$66,'Vols additionnels'!$C$7:$C$66,$E3883,'Vols additionnels'!$D$7:$D$66,$F3883,'Vols additionnels'!$B$7:$B$66,$D3883)</f>
        <v>0</v>
      </c>
      <c r="H3883" s="135" t="n">
        <f aca="false">$G3883*'Analyse capacite'!$F$9</f>
        <v>0</v>
      </c>
      <c r="I3883" s="135" t="n">
        <f aca="false">$G3883*'Analyse capacite'!$C$9</f>
        <v>0</v>
      </c>
      <c r="J3883" s="135" t="n">
        <f aca="false">$G3883*'Analyse capacite'!$D$9</f>
        <v>0</v>
      </c>
      <c r="K3883" s="135" t="n">
        <f aca="false">$G3883*'Analyse capacite'!$E$9</f>
        <v>0</v>
      </c>
    </row>
    <row r="3884" customFormat="false" ht="15" hidden="false" customHeight="false" outlineLevel="0" collapsed="false">
      <c r="B3884" s="130" t="n">
        <v>2027</v>
      </c>
      <c r="C3884" s="131" t="s">
        <v>249</v>
      </c>
      <c r="D3884" s="132" t="n">
        <v>46585</v>
      </c>
      <c r="E3884" s="131" t="s">
        <v>56</v>
      </c>
      <c r="F3884" s="133" t="s">
        <v>11</v>
      </c>
      <c r="G3884" s="134" t="n">
        <f aca="false">LEN('Saisie programme'!$I$157)+SUMIFS('Vols additionnels'!$E$7:$E$66,'Vols additionnels'!$C$7:$C$66,$E3884,'Vols additionnels'!$D$7:$D$66,$F3884,'Vols additionnels'!$B$7:$B$66,$D3884)</f>
        <v>0</v>
      </c>
      <c r="H3884" s="135" t="n">
        <f aca="false">$G3884*'Analyse capacite'!$F$7</f>
        <v>0</v>
      </c>
      <c r="I3884" s="135" t="n">
        <f aca="false">$G3884*'Analyse capacite'!$C$7</f>
        <v>0</v>
      </c>
      <c r="J3884" s="135" t="n">
        <f aca="false">$G3884*'Analyse capacite'!$D$7</f>
        <v>0</v>
      </c>
      <c r="K3884" s="135" t="n">
        <f aca="false">$G3884*'Analyse capacite'!$E$7</f>
        <v>0</v>
      </c>
    </row>
    <row r="3885" customFormat="false" ht="15" hidden="false" customHeight="false" outlineLevel="0" collapsed="false">
      <c r="B3885" s="130" t="n">
        <v>2027</v>
      </c>
      <c r="C3885" s="131" t="s">
        <v>249</v>
      </c>
      <c r="D3885" s="132" t="n">
        <v>46585</v>
      </c>
      <c r="E3885" s="131" t="s">
        <v>56</v>
      </c>
      <c r="F3885" s="133" t="s">
        <v>19</v>
      </c>
      <c r="G3885" s="134" t="n">
        <f aca="false">LEN('Saisie programme'!$I$158)+SUMIFS('Vols additionnels'!$E$7:$E$66,'Vols additionnels'!$C$7:$C$66,$E3885,'Vols additionnels'!$D$7:$D$66,$F3885,'Vols additionnels'!$B$7:$B$66,$D3885)</f>
        <v>0</v>
      </c>
      <c r="H3885" s="135" t="n">
        <f aca="false">$G3885*'Analyse capacite'!$F$8</f>
        <v>0</v>
      </c>
      <c r="I3885" s="135" t="n">
        <f aca="false">$G3885*'Analyse capacite'!$C$8</f>
        <v>0</v>
      </c>
      <c r="J3885" s="135" t="n">
        <f aca="false">$G3885*'Analyse capacite'!$D$8</f>
        <v>0</v>
      </c>
      <c r="K3885" s="135" t="n">
        <f aca="false">$G3885*'Analyse capacite'!$E$8</f>
        <v>0</v>
      </c>
    </row>
    <row r="3886" customFormat="false" ht="15" hidden="false" customHeight="false" outlineLevel="0" collapsed="false">
      <c r="B3886" s="130" t="n">
        <v>2027</v>
      </c>
      <c r="C3886" s="131" t="s">
        <v>249</v>
      </c>
      <c r="D3886" s="132" t="n">
        <v>46585</v>
      </c>
      <c r="E3886" s="131" t="s">
        <v>56</v>
      </c>
      <c r="F3886" s="133" t="s">
        <v>24</v>
      </c>
      <c r="G3886" s="134" t="n">
        <f aca="false">LEN('Saisie programme'!$I$159)+SUMIFS('Vols additionnels'!$E$7:$E$66,'Vols additionnels'!$C$7:$C$66,$E3886,'Vols additionnels'!$D$7:$D$66,$F3886,'Vols additionnels'!$B$7:$B$66,$D3886)</f>
        <v>1</v>
      </c>
      <c r="H3886" s="135" t="n">
        <f aca="false">$G3886*'Analyse capacite'!$F$9</f>
        <v>174</v>
      </c>
      <c r="I3886" s="135" t="n">
        <f aca="false">$G3886*'Analyse capacite'!$C$9</f>
        <v>0</v>
      </c>
      <c r="J3886" s="135" t="n">
        <f aca="false">$G3886*'Analyse capacite'!$D$9</f>
        <v>12</v>
      </c>
      <c r="K3886" s="135" t="n">
        <f aca="false">$G3886*'Analyse capacite'!$E$9</f>
        <v>162</v>
      </c>
    </row>
    <row r="3887" customFormat="false" ht="15" hidden="false" customHeight="false" outlineLevel="0" collapsed="false">
      <c r="B3887" s="130" t="n">
        <v>2027</v>
      </c>
      <c r="C3887" s="131" t="s">
        <v>249</v>
      </c>
      <c r="D3887" s="132" t="n">
        <v>46585</v>
      </c>
      <c r="E3887" s="131" t="s">
        <v>59</v>
      </c>
      <c r="F3887" s="133" t="s">
        <v>11</v>
      </c>
      <c r="G3887" s="134" t="n">
        <f aca="false">LEN('Saisie programme'!$I$160)+SUMIFS('Vols additionnels'!$E$7:$E$66,'Vols additionnels'!$C$7:$C$66,$E3887,'Vols additionnels'!$D$7:$D$66,$F3887,'Vols additionnels'!$B$7:$B$66,$D3887)</f>
        <v>0</v>
      </c>
      <c r="H3887" s="135" t="n">
        <f aca="false">$G3887*'Analyse capacite'!$F$7</f>
        <v>0</v>
      </c>
      <c r="I3887" s="135" t="n">
        <f aca="false">$G3887*'Analyse capacite'!$C$7</f>
        <v>0</v>
      </c>
      <c r="J3887" s="135" t="n">
        <f aca="false">$G3887*'Analyse capacite'!$D$7</f>
        <v>0</v>
      </c>
      <c r="K3887" s="135" t="n">
        <f aca="false">$G3887*'Analyse capacite'!$E$7</f>
        <v>0</v>
      </c>
    </row>
    <row r="3888" customFormat="false" ht="15" hidden="false" customHeight="false" outlineLevel="0" collapsed="false">
      <c r="B3888" s="130" t="n">
        <v>2027</v>
      </c>
      <c r="C3888" s="131" t="s">
        <v>249</v>
      </c>
      <c r="D3888" s="132" t="n">
        <v>46585</v>
      </c>
      <c r="E3888" s="131" t="s">
        <v>59</v>
      </c>
      <c r="F3888" s="133" t="s">
        <v>19</v>
      </c>
      <c r="G3888" s="134" t="n">
        <f aca="false">LEN('Saisie programme'!$I$161)+SUMIFS('Vols additionnels'!$E$7:$E$66,'Vols additionnels'!$C$7:$C$66,$E3888,'Vols additionnels'!$D$7:$D$66,$F3888,'Vols additionnels'!$B$7:$B$66,$D3888)</f>
        <v>0</v>
      </c>
      <c r="H3888" s="135" t="n">
        <f aca="false">$G3888*'Analyse capacite'!$F$8</f>
        <v>0</v>
      </c>
      <c r="I3888" s="135" t="n">
        <f aca="false">$G3888*'Analyse capacite'!$C$8</f>
        <v>0</v>
      </c>
      <c r="J3888" s="135" t="n">
        <f aca="false">$G3888*'Analyse capacite'!$D$8</f>
        <v>0</v>
      </c>
      <c r="K3888" s="135" t="n">
        <f aca="false">$G3888*'Analyse capacite'!$E$8</f>
        <v>0</v>
      </c>
    </row>
    <row r="3889" customFormat="false" ht="15" hidden="false" customHeight="false" outlineLevel="0" collapsed="false">
      <c r="B3889" s="130" t="n">
        <v>2027</v>
      </c>
      <c r="C3889" s="131" t="s">
        <v>249</v>
      </c>
      <c r="D3889" s="132" t="n">
        <v>46585</v>
      </c>
      <c r="E3889" s="131" t="s">
        <v>59</v>
      </c>
      <c r="F3889" s="133" t="s">
        <v>24</v>
      </c>
      <c r="G3889" s="134" t="n">
        <f aca="false">LEN('Saisie programme'!$I$162)+SUMIFS('Vols additionnels'!$E$7:$E$66,'Vols additionnels'!$C$7:$C$66,$E3889,'Vols additionnels'!$D$7:$D$66,$F3889,'Vols additionnels'!$B$7:$B$66,$D3889)</f>
        <v>1</v>
      </c>
      <c r="H3889" s="135" t="n">
        <f aca="false">$G3889*'Analyse capacite'!$F$9</f>
        <v>174</v>
      </c>
      <c r="I3889" s="135" t="n">
        <f aca="false">$G3889*'Analyse capacite'!$C$9</f>
        <v>0</v>
      </c>
      <c r="J3889" s="135" t="n">
        <f aca="false">$G3889*'Analyse capacite'!$D$9</f>
        <v>12</v>
      </c>
      <c r="K3889" s="135" t="n">
        <f aca="false">$G3889*'Analyse capacite'!$E$9</f>
        <v>162</v>
      </c>
    </row>
    <row r="3890" customFormat="false" ht="15" hidden="false" customHeight="false" outlineLevel="0" collapsed="false">
      <c r="B3890" s="130" t="n">
        <v>2027</v>
      </c>
      <c r="C3890" s="131" t="s">
        <v>249</v>
      </c>
      <c r="D3890" s="132" t="n">
        <v>46585</v>
      </c>
      <c r="E3890" s="131" t="s">
        <v>62</v>
      </c>
      <c r="F3890" s="133" t="s">
        <v>11</v>
      </c>
      <c r="G3890" s="134" t="n">
        <f aca="false">LEN('Saisie programme'!$I$163)+SUMIFS('Vols additionnels'!$E$7:$E$66,'Vols additionnels'!$C$7:$C$66,$E3890,'Vols additionnels'!$D$7:$D$66,$F3890,'Vols additionnels'!$B$7:$B$66,$D3890)</f>
        <v>0</v>
      </c>
      <c r="H3890" s="135" t="n">
        <f aca="false">$G3890*'Analyse capacite'!$F$7</f>
        <v>0</v>
      </c>
      <c r="I3890" s="135" t="n">
        <f aca="false">$G3890*'Analyse capacite'!$C$7</f>
        <v>0</v>
      </c>
      <c r="J3890" s="135" t="n">
        <f aca="false">$G3890*'Analyse capacite'!$D$7</f>
        <v>0</v>
      </c>
      <c r="K3890" s="135" t="n">
        <f aca="false">$G3890*'Analyse capacite'!$E$7</f>
        <v>0</v>
      </c>
    </row>
    <row r="3891" customFormat="false" ht="15" hidden="false" customHeight="false" outlineLevel="0" collapsed="false">
      <c r="B3891" s="130" t="n">
        <v>2027</v>
      </c>
      <c r="C3891" s="131" t="s">
        <v>249</v>
      </c>
      <c r="D3891" s="132" t="n">
        <v>46585</v>
      </c>
      <c r="E3891" s="131" t="s">
        <v>62</v>
      </c>
      <c r="F3891" s="133" t="s">
        <v>19</v>
      </c>
      <c r="G3891" s="134" t="n">
        <f aca="false">LEN('Saisie programme'!$I$164)+SUMIFS('Vols additionnels'!$E$7:$E$66,'Vols additionnels'!$C$7:$C$66,$E3891,'Vols additionnels'!$D$7:$D$66,$F3891,'Vols additionnels'!$B$7:$B$66,$D3891)</f>
        <v>0</v>
      </c>
      <c r="H3891" s="135" t="n">
        <f aca="false">$G3891*'Analyse capacite'!$F$8</f>
        <v>0</v>
      </c>
      <c r="I3891" s="135" t="n">
        <f aca="false">$G3891*'Analyse capacite'!$C$8</f>
        <v>0</v>
      </c>
      <c r="J3891" s="135" t="n">
        <f aca="false">$G3891*'Analyse capacite'!$D$8</f>
        <v>0</v>
      </c>
      <c r="K3891" s="135" t="n">
        <f aca="false">$G3891*'Analyse capacite'!$E$8</f>
        <v>0</v>
      </c>
    </row>
    <row r="3892" customFormat="false" ht="15" hidden="false" customHeight="false" outlineLevel="0" collapsed="false">
      <c r="B3892" s="130" t="n">
        <v>2027</v>
      </c>
      <c r="C3892" s="131" t="s">
        <v>249</v>
      </c>
      <c r="D3892" s="132" t="n">
        <v>46585</v>
      </c>
      <c r="E3892" s="131" t="s">
        <v>62</v>
      </c>
      <c r="F3892" s="133" t="s">
        <v>24</v>
      </c>
      <c r="G3892" s="134" t="n">
        <f aca="false">LEN('Saisie programme'!$I$165)+SUMIFS('Vols additionnels'!$E$7:$E$66,'Vols additionnels'!$C$7:$C$66,$E3892,'Vols additionnels'!$D$7:$D$66,$F3892,'Vols additionnels'!$B$7:$B$66,$D3892)</f>
        <v>0</v>
      </c>
      <c r="H3892" s="135" t="n">
        <f aca="false">$G3892*'Analyse capacite'!$F$9</f>
        <v>0</v>
      </c>
      <c r="I3892" s="135" t="n">
        <f aca="false">$G3892*'Analyse capacite'!$C$9</f>
        <v>0</v>
      </c>
      <c r="J3892" s="135" t="n">
        <f aca="false">$G3892*'Analyse capacite'!$D$9</f>
        <v>0</v>
      </c>
      <c r="K3892" s="135" t="n">
        <f aca="false">$G3892*'Analyse capacite'!$E$9</f>
        <v>0</v>
      </c>
    </row>
    <row r="3893" customFormat="false" ht="15" hidden="false" customHeight="false" outlineLevel="0" collapsed="false">
      <c r="B3893" s="130" t="n">
        <v>2027</v>
      </c>
      <c r="C3893" s="131" t="s">
        <v>249</v>
      </c>
      <c r="D3893" s="132" t="n">
        <v>46586</v>
      </c>
      <c r="E3893" s="131" t="s">
        <v>12</v>
      </c>
      <c r="F3893" s="133" t="s">
        <v>11</v>
      </c>
      <c r="G3893" s="134" t="n">
        <f aca="false">LEN('Saisie programme'!$J$130)+SUMIFS('Vols additionnels'!$E$7:$E$66,'Vols additionnels'!$C$7:$C$66,$E3893,'Vols additionnels'!$D$7:$D$66,$F3893,'Vols additionnels'!$B$7:$B$66,$D3893)</f>
        <v>1</v>
      </c>
      <c r="H3893" s="135" t="n">
        <f aca="false">$G3893*'Analyse capacite'!$F$7</f>
        <v>438</v>
      </c>
      <c r="I3893" s="135" t="n">
        <f aca="false">$G3893*'Analyse capacite'!$C$7</f>
        <v>14</v>
      </c>
      <c r="J3893" s="135" t="n">
        <f aca="false">$G3893*'Analyse capacite'!$D$7</f>
        <v>40</v>
      </c>
      <c r="K3893" s="135" t="n">
        <f aca="false">$G3893*'Analyse capacite'!$E$7</f>
        <v>384</v>
      </c>
    </row>
    <row r="3894" customFormat="false" ht="15" hidden="false" customHeight="false" outlineLevel="0" collapsed="false">
      <c r="B3894" s="130" t="n">
        <v>2027</v>
      </c>
      <c r="C3894" s="131" t="s">
        <v>249</v>
      </c>
      <c r="D3894" s="132" t="n">
        <v>46586</v>
      </c>
      <c r="E3894" s="131" t="s">
        <v>12</v>
      </c>
      <c r="F3894" s="133" t="s">
        <v>19</v>
      </c>
      <c r="G3894" s="134" t="n">
        <f aca="false">LEN('Saisie programme'!$J$131)+SUMIFS('Vols additionnels'!$E$7:$E$66,'Vols additionnels'!$C$7:$C$66,$E3894,'Vols additionnels'!$D$7:$D$66,$F3894,'Vols additionnels'!$B$7:$B$66,$D3894)</f>
        <v>0</v>
      </c>
      <c r="H3894" s="135" t="n">
        <f aca="false">$G3894*'Analyse capacite'!$F$8</f>
        <v>0</v>
      </c>
      <c r="I3894" s="135" t="n">
        <f aca="false">$G3894*'Analyse capacite'!$C$8</f>
        <v>0</v>
      </c>
      <c r="J3894" s="135" t="n">
        <f aca="false">$G3894*'Analyse capacite'!$D$8</f>
        <v>0</v>
      </c>
      <c r="K3894" s="135" t="n">
        <f aca="false">$G3894*'Analyse capacite'!$E$8</f>
        <v>0</v>
      </c>
    </row>
    <row r="3895" customFormat="false" ht="15" hidden="false" customHeight="false" outlineLevel="0" collapsed="false">
      <c r="B3895" s="130" t="n">
        <v>2027</v>
      </c>
      <c r="C3895" s="131" t="s">
        <v>249</v>
      </c>
      <c r="D3895" s="132" t="n">
        <v>46586</v>
      </c>
      <c r="E3895" s="131" t="s">
        <v>12</v>
      </c>
      <c r="F3895" s="133" t="s">
        <v>24</v>
      </c>
      <c r="G3895" s="134" t="n">
        <f aca="false">LEN('Saisie programme'!$J$132)+SUMIFS('Vols additionnels'!$E$7:$E$66,'Vols additionnels'!$C$7:$C$66,$E3895,'Vols additionnels'!$D$7:$D$66,$F3895,'Vols additionnels'!$B$7:$B$66,$D3895)</f>
        <v>0</v>
      </c>
      <c r="H3895" s="135" t="n">
        <f aca="false">$G3895*'Analyse capacite'!$F$9</f>
        <v>0</v>
      </c>
      <c r="I3895" s="135" t="n">
        <f aca="false">$G3895*'Analyse capacite'!$C$9</f>
        <v>0</v>
      </c>
      <c r="J3895" s="135" t="n">
        <f aca="false">$G3895*'Analyse capacite'!$D$9</f>
        <v>0</v>
      </c>
      <c r="K3895" s="135" t="n">
        <f aca="false">$G3895*'Analyse capacite'!$E$9</f>
        <v>0</v>
      </c>
    </row>
    <row r="3896" customFormat="false" ht="15" hidden="false" customHeight="false" outlineLevel="0" collapsed="false">
      <c r="B3896" s="130" t="n">
        <v>2027</v>
      </c>
      <c r="C3896" s="131" t="s">
        <v>249</v>
      </c>
      <c r="D3896" s="132" t="n">
        <v>46586</v>
      </c>
      <c r="E3896" s="131" t="s">
        <v>20</v>
      </c>
      <c r="F3896" s="133" t="s">
        <v>11</v>
      </c>
      <c r="G3896" s="134" t="n">
        <f aca="false">LEN('Saisie programme'!$J$133)+SUMIFS('Vols additionnels'!$E$7:$E$66,'Vols additionnels'!$C$7:$C$66,$E3896,'Vols additionnels'!$D$7:$D$66,$F3896,'Vols additionnels'!$B$7:$B$66,$D3896)</f>
        <v>1</v>
      </c>
      <c r="H3896" s="135" t="n">
        <f aca="false">$G3896*'Analyse capacite'!$F$7</f>
        <v>438</v>
      </c>
      <c r="I3896" s="135" t="n">
        <f aca="false">$G3896*'Analyse capacite'!$C$7</f>
        <v>14</v>
      </c>
      <c r="J3896" s="135" t="n">
        <f aca="false">$G3896*'Analyse capacite'!$D$7</f>
        <v>40</v>
      </c>
      <c r="K3896" s="135" t="n">
        <f aca="false">$G3896*'Analyse capacite'!$E$7</f>
        <v>384</v>
      </c>
    </row>
    <row r="3897" customFormat="false" ht="15" hidden="false" customHeight="false" outlineLevel="0" collapsed="false">
      <c r="B3897" s="130" t="n">
        <v>2027</v>
      </c>
      <c r="C3897" s="131" t="s">
        <v>249</v>
      </c>
      <c r="D3897" s="132" t="n">
        <v>46586</v>
      </c>
      <c r="E3897" s="131" t="s">
        <v>20</v>
      </c>
      <c r="F3897" s="133" t="s">
        <v>19</v>
      </c>
      <c r="G3897" s="134" t="n">
        <f aca="false">LEN('Saisie programme'!$J$134)+SUMIFS('Vols additionnels'!$E$7:$E$66,'Vols additionnels'!$C$7:$C$66,$E3897,'Vols additionnels'!$D$7:$D$66,$F3897,'Vols additionnels'!$B$7:$B$66,$D3897)</f>
        <v>0</v>
      </c>
      <c r="H3897" s="135" t="n">
        <f aca="false">$G3897*'Analyse capacite'!$F$8</f>
        <v>0</v>
      </c>
      <c r="I3897" s="135" t="n">
        <f aca="false">$G3897*'Analyse capacite'!$C$8</f>
        <v>0</v>
      </c>
      <c r="J3897" s="135" t="n">
        <f aca="false">$G3897*'Analyse capacite'!$D$8</f>
        <v>0</v>
      </c>
      <c r="K3897" s="135" t="n">
        <f aca="false">$G3897*'Analyse capacite'!$E$8</f>
        <v>0</v>
      </c>
    </row>
    <row r="3898" customFormat="false" ht="15" hidden="false" customHeight="false" outlineLevel="0" collapsed="false">
      <c r="B3898" s="130" t="n">
        <v>2027</v>
      </c>
      <c r="C3898" s="131" t="s">
        <v>249</v>
      </c>
      <c r="D3898" s="132" t="n">
        <v>46586</v>
      </c>
      <c r="E3898" s="131" t="s">
        <v>20</v>
      </c>
      <c r="F3898" s="133" t="s">
        <v>24</v>
      </c>
      <c r="G3898" s="134" t="n">
        <f aca="false">LEN('Saisie programme'!$J$135)+SUMIFS('Vols additionnels'!$E$7:$E$66,'Vols additionnels'!$C$7:$C$66,$E3898,'Vols additionnels'!$D$7:$D$66,$F3898,'Vols additionnels'!$B$7:$B$66,$D3898)</f>
        <v>0</v>
      </c>
      <c r="H3898" s="135" t="n">
        <f aca="false">$G3898*'Analyse capacite'!$F$9</f>
        <v>0</v>
      </c>
      <c r="I3898" s="135" t="n">
        <f aca="false">$G3898*'Analyse capacite'!$C$9</f>
        <v>0</v>
      </c>
      <c r="J3898" s="135" t="n">
        <f aca="false">$G3898*'Analyse capacite'!$D$9</f>
        <v>0</v>
      </c>
      <c r="K3898" s="135" t="n">
        <f aca="false">$G3898*'Analyse capacite'!$E$9</f>
        <v>0</v>
      </c>
    </row>
    <row r="3899" customFormat="false" ht="15" hidden="false" customHeight="false" outlineLevel="0" collapsed="false">
      <c r="B3899" s="130" t="n">
        <v>2027</v>
      </c>
      <c r="C3899" s="131" t="s">
        <v>249</v>
      </c>
      <c r="D3899" s="132" t="n">
        <v>46586</v>
      </c>
      <c r="E3899" s="131" t="s">
        <v>25</v>
      </c>
      <c r="F3899" s="133" t="s">
        <v>11</v>
      </c>
      <c r="G3899" s="134" t="n">
        <f aca="false">LEN('Saisie programme'!$J$136)+SUMIFS('Vols additionnels'!$E$7:$E$66,'Vols additionnels'!$C$7:$C$66,$E3899,'Vols additionnels'!$D$7:$D$66,$F3899,'Vols additionnels'!$B$7:$B$66,$D3899)</f>
        <v>0</v>
      </c>
      <c r="H3899" s="135" t="n">
        <f aca="false">$G3899*'Analyse capacite'!$F$7</f>
        <v>0</v>
      </c>
      <c r="I3899" s="135" t="n">
        <f aca="false">$G3899*'Analyse capacite'!$C$7</f>
        <v>0</v>
      </c>
      <c r="J3899" s="135" t="n">
        <f aca="false">$G3899*'Analyse capacite'!$D$7</f>
        <v>0</v>
      </c>
      <c r="K3899" s="135" t="n">
        <f aca="false">$G3899*'Analyse capacite'!$E$7</f>
        <v>0</v>
      </c>
    </row>
    <row r="3900" customFormat="false" ht="15" hidden="false" customHeight="false" outlineLevel="0" collapsed="false">
      <c r="B3900" s="130" t="n">
        <v>2027</v>
      </c>
      <c r="C3900" s="131" t="s">
        <v>249</v>
      </c>
      <c r="D3900" s="132" t="n">
        <v>46586</v>
      </c>
      <c r="E3900" s="131" t="s">
        <v>25</v>
      </c>
      <c r="F3900" s="133" t="s">
        <v>19</v>
      </c>
      <c r="G3900" s="134" t="n">
        <f aca="false">LEN('Saisie programme'!$J$137)+SUMIFS('Vols additionnels'!$E$7:$E$66,'Vols additionnels'!$C$7:$C$66,$E3900,'Vols additionnels'!$D$7:$D$66,$F3900,'Vols additionnels'!$B$7:$B$66,$D3900)</f>
        <v>0</v>
      </c>
      <c r="H3900" s="135" t="n">
        <f aca="false">$G3900*'Analyse capacite'!$F$8</f>
        <v>0</v>
      </c>
      <c r="I3900" s="135" t="n">
        <f aca="false">$G3900*'Analyse capacite'!$C$8</f>
        <v>0</v>
      </c>
      <c r="J3900" s="135" t="n">
        <f aca="false">$G3900*'Analyse capacite'!$D$8</f>
        <v>0</v>
      </c>
      <c r="K3900" s="135" t="n">
        <f aca="false">$G3900*'Analyse capacite'!$E$8</f>
        <v>0</v>
      </c>
    </row>
    <row r="3901" customFormat="false" ht="15" hidden="false" customHeight="false" outlineLevel="0" collapsed="false">
      <c r="B3901" s="130" t="n">
        <v>2027</v>
      </c>
      <c r="C3901" s="131" t="s">
        <v>249</v>
      </c>
      <c r="D3901" s="132" t="n">
        <v>46586</v>
      </c>
      <c r="E3901" s="131" t="s">
        <v>25</v>
      </c>
      <c r="F3901" s="133" t="s">
        <v>24</v>
      </c>
      <c r="G3901" s="134" t="n">
        <f aca="false">LEN('Saisie programme'!$J$138)+SUMIFS('Vols additionnels'!$E$7:$E$66,'Vols additionnels'!$C$7:$C$66,$E3901,'Vols additionnels'!$D$7:$D$66,$F3901,'Vols additionnels'!$B$7:$B$66,$D3901)</f>
        <v>0</v>
      </c>
      <c r="H3901" s="135" t="n">
        <f aca="false">$G3901*'Analyse capacite'!$F$9</f>
        <v>0</v>
      </c>
      <c r="I3901" s="135" t="n">
        <f aca="false">$G3901*'Analyse capacite'!$C$9</f>
        <v>0</v>
      </c>
      <c r="J3901" s="135" t="n">
        <f aca="false">$G3901*'Analyse capacite'!$D$9</f>
        <v>0</v>
      </c>
      <c r="K3901" s="135" t="n">
        <f aca="false">$G3901*'Analyse capacite'!$E$9</f>
        <v>0</v>
      </c>
    </row>
    <row r="3902" customFormat="false" ht="15" hidden="false" customHeight="false" outlineLevel="0" collapsed="false">
      <c r="B3902" s="130" t="n">
        <v>2027</v>
      </c>
      <c r="C3902" s="131" t="s">
        <v>249</v>
      </c>
      <c r="D3902" s="132" t="n">
        <v>46586</v>
      </c>
      <c r="E3902" s="131" t="s">
        <v>36</v>
      </c>
      <c r="F3902" s="133" t="s">
        <v>11</v>
      </c>
      <c r="G3902" s="134" t="n">
        <f aca="false">LEN('Saisie programme'!$J$139)+SUMIFS('Vols additionnels'!$E$7:$E$66,'Vols additionnels'!$C$7:$C$66,$E3902,'Vols additionnels'!$D$7:$D$66,$F3902,'Vols additionnels'!$B$7:$B$66,$D3902)</f>
        <v>0</v>
      </c>
      <c r="H3902" s="135" t="n">
        <f aca="false">$G3902*'Analyse capacite'!$F$7</f>
        <v>0</v>
      </c>
      <c r="I3902" s="135" t="n">
        <f aca="false">$G3902*'Analyse capacite'!$C$7</f>
        <v>0</v>
      </c>
      <c r="J3902" s="135" t="n">
        <f aca="false">$G3902*'Analyse capacite'!$D$7</f>
        <v>0</v>
      </c>
      <c r="K3902" s="135" t="n">
        <f aca="false">$G3902*'Analyse capacite'!$E$7</f>
        <v>0</v>
      </c>
    </row>
    <row r="3903" customFormat="false" ht="15" hidden="false" customHeight="false" outlineLevel="0" collapsed="false">
      <c r="B3903" s="130" t="n">
        <v>2027</v>
      </c>
      <c r="C3903" s="131" t="s">
        <v>249</v>
      </c>
      <c r="D3903" s="132" t="n">
        <v>46586</v>
      </c>
      <c r="E3903" s="131" t="s">
        <v>36</v>
      </c>
      <c r="F3903" s="133" t="s">
        <v>19</v>
      </c>
      <c r="G3903" s="134" t="n">
        <f aca="false">LEN('Saisie programme'!$J$140)+SUMIFS('Vols additionnels'!$E$7:$E$66,'Vols additionnels'!$C$7:$C$66,$E3903,'Vols additionnels'!$D$7:$D$66,$F3903,'Vols additionnels'!$B$7:$B$66,$D3903)</f>
        <v>0</v>
      </c>
      <c r="H3903" s="135" t="n">
        <f aca="false">$G3903*'Analyse capacite'!$F$8</f>
        <v>0</v>
      </c>
      <c r="I3903" s="135" t="n">
        <f aca="false">$G3903*'Analyse capacite'!$C$8</f>
        <v>0</v>
      </c>
      <c r="J3903" s="135" t="n">
        <f aca="false">$G3903*'Analyse capacite'!$D$8</f>
        <v>0</v>
      </c>
      <c r="K3903" s="135" t="n">
        <f aca="false">$G3903*'Analyse capacite'!$E$8</f>
        <v>0</v>
      </c>
    </row>
    <row r="3904" customFormat="false" ht="15" hidden="false" customHeight="false" outlineLevel="0" collapsed="false">
      <c r="B3904" s="130" t="n">
        <v>2027</v>
      </c>
      <c r="C3904" s="131" t="s">
        <v>249</v>
      </c>
      <c r="D3904" s="132" t="n">
        <v>46586</v>
      </c>
      <c r="E3904" s="131" t="s">
        <v>36</v>
      </c>
      <c r="F3904" s="133" t="s">
        <v>24</v>
      </c>
      <c r="G3904" s="134" t="n">
        <f aca="false">LEN('Saisie programme'!$J$141)+SUMIFS('Vols additionnels'!$E$7:$E$66,'Vols additionnels'!$C$7:$C$66,$E3904,'Vols additionnels'!$D$7:$D$66,$F3904,'Vols additionnels'!$B$7:$B$66,$D3904)</f>
        <v>0</v>
      </c>
      <c r="H3904" s="135" t="n">
        <f aca="false">$G3904*'Analyse capacite'!$F$9</f>
        <v>0</v>
      </c>
      <c r="I3904" s="135" t="n">
        <f aca="false">$G3904*'Analyse capacite'!$C$9</f>
        <v>0</v>
      </c>
      <c r="J3904" s="135" t="n">
        <f aca="false">$G3904*'Analyse capacite'!$D$9</f>
        <v>0</v>
      </c>
      <c r="K3904" s="135" t="n">
        <f aca="false">$G3904*'Analyse capacite'!$E$9</f>
        <v>0</v>
      </c>
    </row>
    <row r="3905" customFormat="false" ht="15" hidden="false" customHeight="false" outlineLevel="0" collapsed="false">
      <c r="B3905" s="130" t="n">
        <v>2027</v>
      </c>
      <c r="C3905" s="131" t="s">
        <v>249</v>
      </c>
      <c r="D3905" s="132" t="n">
        <v>46586</v>
      </c>
      <c r="E3905" s="131" t="s">
        <v>40</v>
      </c>
      <c r="F3905" s="133" t="s">
        <v>11</v>
      </c>
      <c r="G3905" s="134" t="n">
        <f aca="false">LEN('Saisie programme'!$J$142)+SUMIFS('Vols additionnels'!$E$7:$E$66,'Vols additionnels'!$C$7:$C$66,$E3905,'Vols additionnels'!$D$7:$D$66,$F3905,'Vols additionnels'!$B$7:$B$66,$D3905)</f>
        <v>0</v>
      </c>
      <c r="H3905" s="135" t="n">
        <f aca="false">$G3905*'Analyse capacite'!$F$7</f>
        <v>0</v>
      </c>
      <c r="I3905" s="135" t="n">
        <f aca="false">$G3905*'Analyse capacite'!$C$7</f>
        <v>0</v>
      </c>
      <c r="J3905" s="135" t="n">
        <f aca="false">$G3905*'Analyse capacite'!$D$7</f>
        <v>0</v>
      </c>
      <c r="K3905" s="135" t="n">
        <f aca="false">$G3905*'Analyse capacite'!$E$7</f>
        <v>0</v>
      </c>
    </row>
    <row r="3906" customFormat="false" ht="15" hidden="false" customHeight="false" outlineLevel="0" collapsed="false">
      <c r="B3906" s="130" t="n">
        <v>2027</v>
      </c>
      <c r="C3906" s="131" t="s">
        <v>249</v>
      </c>
      <c r="D3906" s="132" t="n">
        <v>46586</v>
      </c>
      <c r="E3906" s="131" t="s">
        <v>40</v>
      </c>
      <c r="F3906" s="133" t="s">
        <v>19</v>
      </c>
      <c r="G3906" s="134" t="n">
        <f aca="false">LEN('Saisie programme'!$J$143)+SUMIFS('Vols additionnels'!$E$7:$E$66,'Vols additionnels'!$C$7:$C$66,$E3906,'Vols additionnels'!$D$7:$D$66,$F3906,'Vols additionnels'!$B$7:$B$66,$D3906)</f>
        <v>0</v>
      </c>
      <c r="H3906" s="135" t="n">
        <f aca="false">$G3906*'Analyse capacite'!$F$8</f>
        <v>0</v>
      </c>
      <c r="I3906" s="135" t="n">
        <f aca="false">$G3906*'Analyse capacite'!$C$8</f>
        <v>0</v>
      </c>
      <c r="J3906" s="135" t="n">
        <f aca="false">$G3906*'Analyse capacite'!$D$8</f>
        <v>0</v>
      </c>
      <c r="K3906" s="135" t="n">
        <f aca="false">$G3906*'Analyse capacite'!$E$8</f>
        <v>0</v>
      </c>
    </row>
    <row r="3907" customFormat="false" ht="15" hidden="false" customHeight="false" outlineLevel="0" collapsed="false">
      <c r="B3907" s="130" t="n">
        <v>2027</v>
      </c>
      <c r="C3907" s="131" t="s">
        <v>249</v>
      </c>
      <c r="D3907" s="132" t="n">
        <v>46586</v>
      </c>
      <c r="E3907" s="131" t="s">
        <v>40</v>
      </c>
      <c r="F3907" s="133" t="s">
        <v>24</v>
      </c>
      <c r="G3907" s="134" t="n">
        <f aca="false">LEN('Saisie programme'!$J$144)+SUMIFS('Vols additionnels'!$E$7:$E$66,'Vols additionnels'!$C$7:$C$66,$E3907,'Vols additionnels'!$D$7:$D$66,$F3907,'Vols additionnels'!$B$7:$B$66,$D3907)</f>
        <v>1</v>
      </c>
      <c r="H3907" s="135" t="n">
        <f aca="false">$G3907*'Analyse capacite'!$F$9</f>
        <v>174</v>
      </c>
      <c r="I3907" s="135" t="n">
        <f aca="false">$G3907*'Analyse capacite'!$C$9</f>
        <v>0</v>
      </c>
      <c r="J3907" s="135" t="n">
        <f aca="false">$G3907*'Analyse capacite'!$D$9</f>
        <v>12</v>
      </c>
      <c r="K3907" s="135" t="n">
        <f aca="false">$G3907*'Analyse capacite'!$E$9</f>
        <v>162</v>
      </c>
    </row>
    <row r="3908" customFormat="false" ht="15" hidden="false" customHeight="false" outlineLevel="0" collapsed="false">
      <c r="B3908" s="130" t="n">
        <v>2027</v>
      </c>
      <c r="C3908" s="131" t="s">
        <v>249</v>
      </c>
      <c r="D3908" s="132" t="n">
        <v>46586</v>
      </c>
      <c r="E3908" s="131" t="s">
        <v>14</v>
      </c>
      <c r="F3908" s="133" t="s">
        <v>11</v>
      </c>
      <c r="G3908" s="134" t="n">
        <f aca="false">LEN('Saisie programme'!$J$145)+SUMIFS('Vols additionnels'!$E$7:$E$66,'Vols additionnels'!$C$7:$C$66,$E3908,'Vols additionnels'!$D$7:$D$66,$F3908,'Vols additionnels'!$B$7:$B$66,$D3908)</f>
        <v>0</v>
      </c>
      <c r="H3908" s="135" t="n">
        <f aca="false">$G3908*'Analyse capacite'!$F$7</f>
        <v>0</v>
      </c>
      <c r="I3908" s="135" t="n">
        <f aca="false">$G3908*'Analyse capacite'!$C$7</f>
        <v>0</v>
      </c>
      <c r="J3908" s="135" t="n">
        <f aca="false">$G3908*'Analyse capacite'!$D$7</f>
        <v>0</v>
      </c>
      <c r="K3908" s="135" t="n">
        <f aca="false">$G3908*'Analyse capacite'!$E$7</f>
        <v>0</v>
      </c>
    </row>
    <row r="3909" customFormat="false" ht="15" hidden="false" customHeight="false" outlineLevel="0" collapsed="false">
      <c r="B3909" s="130" t="n">
        <v>2027</v>
      </c>
      <c r="C3909" s="131" t="s">
        <v>249</v>
      </c>
      <c r="D3909" s="132" t="n">
        <v>46586</v>
      </c>
      <c r="E3909" s="131" t="s">
        <v>14</v>
      </c>
      <c r="F3909" s="133" t="s">
        <v>19</v>
      </c>
      <c r="G3909" s="134" t="n">
        <f aca="false">LEN('Saisie programme'!$J$146)+SUMIFS('Vols additionnels'!$E$7:$E$66,'Vols additionnels'!$C$7:$C$66,$E3909,'Vols additionnels'!$D$7:$D$66,$F3909,'Vols additionnels'!$B$7:$B$66,$D3909)</f>
        <v>0</v>
      </c>
      <c r="H3909" s="135" t="n">
        <f aca="false">$G3909*'Analyse capacite'!$F$8</f>
        <v>0</v>
      </c>
      <c r="I3909" s="135" t="n">
        <f aca="false">$G3909*'Analyse capacite'!$C$8</f>
        <v>0</v>
      </c>
      <c r="J3909" s="135" t="n">
        <f aca="false">$G3909*'Analyse capacite'!$D$8</f>
        <v>0</v>
      </c>
      <c r="K3909" s="135" t="n">
        <f aca="false">$G3909*'Analyse capacite'!$E$8</f>
        <v>0</v>
      </c>
    </row>
    <row r="3910" customFormat="false" ht="15" hidden="false" customHeight="false" outlineLevel="0" collapsed="false">
      <c r="B3910" s="130" t="n">
        <v>2027</v>
      </c>
      <c r="C3910" s="131" t="s">
        <v>249</v>
      </c>
      <c r="D3910" s="132" t="n">
        <v>46586</v>
      </c>
      <c r="E3910" s="131" t="s">
        <v>14</v>
      </c>
      <c r="F3910" s="133" t="s">
        <v>24</v>
      </c>
      <c r="G3910" s="134" t="n">
        <f aca="false">LEN('Saisie programme'!$J$147)+SUMIFS('Vols additionnels'!$E$7:$E$66,'Vols additionnels'!$C$7:$C$66,$E3910,'Vols additionnels'!$D$7:$D$66,$F3910,'Vols additionnels'!$B$7:$B$66,$D3910)</f>
        <v>0</v>
      </c>
      <c r="H3910" s="135" t="n">
        <f aca="false">$G3910*'Analyse capacite'!$F$9</f>
        <v>0</v>
      </c>
      <c r="I3910" s="135" t="n">
        <f aca="false">$G3910*'Analyse capacite'!$C$9</f>
        <v>0</v>
      </c>
      <c r="J3910" s="135" t="n">
        <f aca="false">$G3910*'Analyse capacite'!$D$9</f>
        <v>0</v>
      </c>
      <c r="K3910" s="135" t="n">
        <f aca="false">$G3910*'Analyse capacite'!$E$9</f>
        <v>0</v>
      </c>
    </row>
    <row r="3911" customFormat="false" ht="15" hidden="false" customHeight="false" outlineLevel="0" collapsed="false">
      <c r="B3911" s="130" t="n">
        <v>2027</v>
      </c>
      <c r="C3911" s="131" t="s">
        <v>249</v>
      </c>
      <c r="D3911" s="132" t="n">
        <v>46586</v>
      </c>
      <c r="E3911" s="131" t="s">
        <v>46</v>
      </c>
      <c r="F3911" s="133" t="s">
        <v>11</v>
      </c>
      <c r="G3911" s="134" t="n">
        <f aca="false">LEN('Saisie programme'!$J$148)+SUMIFS('Vols additionnels'!$E$7:$E$66,'Vols additionnels'!$C$7:$C$66,$E3911,'Vols additionnels'!$D$7:$D$66,$F3911,'Vols additionnels'!$B$7:$B$66,$D3911)</f>
        <v>0</v>
      </c>
      <c r="H3911" s="135" t="n">
        <f aca="false">$G3911*'Analyse capacite'!$F$7</f>
        <v>0</v>
      </c>
      <c r="I3911" s="135" t="n">
        <f aca="false">$G3911*'Analyse capacite'!$C$7</f>
        <v>0</v>
      </c>
      <c r="J3911" s="135" t="n">
        <f aca="false">$G3911*'Analyse capacite'!$D$7</f>
        <v>0</v>
      </c>
      <c r="K3911" s="135" t="n">
        <f aca="false">$G3911*'Analyse capacite'!$E$7</f>
        <v>0</v>
      </c>
    </row>
    <row r="3912" customFormat="false" ht="15" hidden="false" customHeight="false" outlineLevel="0" collapsed="false">
      <c r="B3912" s="130" t="n">
        <v>2027</v>
      </c>
      <c r="C3912" s="131" t="s">
        <v>249</v>
      </c>
      <c r="D3912" s="132" t="n">
        <v>46586</v>
      </c>
      <c r="E3912" s="131" t="s">
        <v>46</v>
      </c>
      <c r="F3912" s="133" t="s">
        <v>19</v>
      </c>
      <c r="G3912" s="134" t="n">
        <f aca="false">LEN('Saisie programme'!$J$149)+SUMIFS('Vols additionnels'!$E$7:$E$66,'Vols additionnels'!$C$7:$C$66,$E3912,'Vols additionnels'!$D$7:$D$66,$F3912,'Vols additionnels'!$B$7:$B$66,$D3912)</f>
        <v>0</v>
      </c>
      <c r="H3912" s="135" t="n">
        <f aca="false">$G3912*'Analyse capacite'!$F$8</f>
        <v>0</v>
      </c>
      <c r="I3912" s="135" t="n">
        <f aca="false">$G3912*'Analyse capacite'!$C$8</f>
        <v>0</v>
      </c>
      <c r="J3912" s="135" t="n">
        <f aca="false">$G3912*'Analyse capacite'!$D$8</f>
        <v>0</v>
      </c>
      <c r="K3912" s="135" t="n">
        <f aca="false">$G3912*'Analyse capacite'!$E$8</f>
        <v>0</v>
      </c>
    </row>
    <row r="3913" customFormat="false" ht="15" hidden="false" customHeight="false" outlineLevel="0" collapsed="false">
      <c r="B3913" s="130" t="n">
        <v>2027</v>
      </c>
      <c r="C3913" s="131" t="s">
        <v>249</v>
      </c>
      <c r="D3913" s="132" t="n">
        <v>46586</v>
      </c>
      <c r="E3913" s="131" t="s">
        <v>46</v>
      </c>
      <c r="F3913" s="133" t="s">
        <v>24</v>
      </c>
      <c r="G3913" s="134" t="n">
        <f aca="false">LEN('Saisie programme'!$J$150)+SUMIFS('Vols additionnels'!$E$7:$E$66,'Vols additionnels'!$C$7:$C$66,$E3913,'Vols additionnels'!$D$7:$D$66,$F3913,'Vols additionnels'!$B$7:$B$66,$D3913)</f>
        <v>0</v>
      </c>
      <c r="H3913" s="135" t="n">
        <f aca="false">$G3913*'Analyse capacite'!$F$9</f>
        <v>0</v>
      </c>
      <c r="I3913" s="135" t="n">
        <f aca="false">$G3913*'Analyse capacite'!$C$9</f>
        <v>0</v>
      </c>
      <c r="J3913" s="135" t="n">
        <f aca="false">$G3913*'Analyse capacite'!$D$9</f>
        <v>0</v>
      </c>
      <c r="K3913" s="135" t="n">
        <f aca="false">$G3913*'Analyse capacite'!$E$9</f>
        <v>0</v>
      </c>
    </row>
    <row r="3914" customFormat="false" ht="15" hidden="false" customHeight="false" outlineLevel="0" collapsed="false">
      <c r="B3914" s="130" t="n">
        <v>2027</v>
      </c>
      <c r="C3914" s="131" t="s">
        <v>249</v>
      </c>
      <c r="D3914" s="132" t="n">
        <v>46586</v>
      </c>
      <c r="E3914" s="131" t="s">
        <v>49</v>
      </c>
      <c r="F3914" s="133" t="s">
        <v>11</v>
      </c>
      <c r="G3914" s="134" t="n">
        <f aca="false">LEN('Saisie programme'!$J$151)+SUMIFS('Vols additionnels'!$E$7:$E$66,'Vols additionnels'!$C$7:$C$66,$E3914,'Vols additionnels'!$D$7:$D$66,$F3914,'Vols additionnels'!$B$7:$B$66,$D3914)</f>
        <v>0</v>
      </c>
      <c r="H3914" s="135" t="n">
        <f aca="false">$G3914*'Analyse capacite'!$F$7</f>
        <v>0</v>
      </c>
      <c r="I3914" s="135" t="n">
        <f aca="false">$G3914*'Analyse capacite'!$C$7</f>
        <v>0</v>
      </c>
      <c r="J3914" s="135" t="n">
        <f aca="false">$G3914*'Analyse capacite'!$D$7</f>
        <v>0</v>
      </c>
      <c r="K3914" s="135" t="n">
        <f aca="false">$G3914*'Analyse capacite'!$E$7</f>
        <v>0</v>
      </c>
    </row>
    <row r="3915" customFormat="false" ht="15" hidden="false" customHeight="false" outlineLevel="0" collapsed="false">
      <c r="B3915" s="130" t="n">
        <v>2027</v>
      </c>
      <c r="C3915" s="131" t="s">
        <v>249</v>
      </c>
      <c r="D3915" s="132" t="n">
        <v>46586</v>
      </c>
      <c r="E3915" s="131" t="s">
        <v>49</v>
      </c>
      <c r="F3915" s="133" t="s">
        <v>19</v>
      </c>
      <c r="G3915" s="134" t="n">
        <f aca="false">LEN('Saisie programme'!$J$152)+SUMIFS('Vols additionnels'!$E$7:$E$66,'Vols additionnels'!$C$7:$C$66,$E3915,'Vols additionnels'!$D$7:$D$66,$F3915,'Vols additionnels'!$B$7:$B$66,$D3915)</f>
        <v>0</v>
      </c>
      <c r="H3915" s="135" t="n">
        <f aca="false">$G3915*'Analyse capacite'!$F$8</f>
        <v>0</v>
      </c>
      <c r="I3915" s="135" t="n">
        <f aca="false">$G3915*'Analyse capacite'!$C$8</f>
        <v>0</v>
      </c>
      <c r="J3915" s="135" t="n">
        <f aca="false">$G3915*'Analyse capacite'!$D$8</f>
        <v>0</v>
      </c>
      <c r="K3915" s="135" t="n">
        <f aca="false">$G3915*'Analyse capacite'!$E$8</f>
        <v>0</v>
      </c>
    </row>
    <row r="3916" customFormat="false" ht="15" hidden="false" customHeight="false" outlineLevel="0" collapsed="false">
      <c r="B3916" s="130" t="n">
        <v>2027</v>
      </c>
      <c r="C3916" s="131" t="s">
        <v>249</v>
      </c>
      <c r="D3916" s="132" t="n">
        <v>46586</v>
      </c>
      <c r="E3916" s="131" t="s">
        <v>49</v>
      </c>
      <c r="F3916" s="133" t="s">
        <v>24</v>
      </c>
      <c r="G3916" s="134" t="n">
        <f aca="false">LEN('Saisie programme'!$J$153)+SUMIFS('Vols additionnels'!$E$7:$E$66,'Vols additionnels'!$C$7:$C$66,$E3916,'Vols additionnels'!$D$7:$D$66,$F3916,'Vols additionnels'!$B$7:$B$66,$D3916)</f>
        <v>0</v>
      </c>
      <c r="H3916" s="135" t="n">
        <f aca="false">$G3916*'Analyse capacite'!$F$9</f>
        <v>0</v>
      </c>
      <c r="I3916" s="135" t="n">
        <f aca="false">$G3916*'Analyse capacite'!$C$9</f>
        <v>0</v>
      </c>
      <c r="J3916" s="135" t="n">
        <f aca="false">$G3916*'Analyse capacite'!$D$9</f>
        <v>0</v>
      </c>
      <c r="K3916" s="135" t="n">
        <f aca="false">$G3916*'Analyse capacite'!$E$9</f>
        <v>0</v>
      </c>
    </row>
    <row r="3917" customFormat="false" ht="15" hidden="false" customHeight="false" outlineLevel="0" collapsed="false">
      <c r="B3917" s="130" t="n">
        <v>2027</v>
      </c>
      <c r="C3917" s="131" t="s">
        <v>249</v>
      </c>
      <c r="D3917" s="132" t="n">
        <v>46586</v>
      </c>
      <c r="E3917" s="131" t="s">
        <v>53</v>
      </c>
      <c r="F3917" s="133" t="s">
        <v>11</v>
      </c>
      <c r="G3917" s="134" t="n">
        <f aca="false">LEN('Saisie programme'!$J$154)+SUMIFS('Vols additionnels'!$E$7:$E$66,'Vols additionnels'!$C$7:$C$66,$E3917,'Vols additionnels'!$D$7:$D$66,$F3917,'Vols additionnels'!$B$7:$B$66,$D3917)</f>
        <v>0</v>
      </c>
      <c r="H3917" s="135" t="n">
        <f aca="false">$G3917*'Analyse capacite'!$F$7</f>
        <v>0</v>
      </c>
      <c r="I3917" s="135" t="n">
        <f aca="false">$G3917*'Analyse capacite'!$C$7</f>
        <v>0</v>
      </c>
      <c r="J3917" s="135" t="n">
        <f aca="false">$G3917*'Analyse capacite'!$D$7</f>
        <v>0</v>
      </c>
      <c r="K3917" s="135" t="n">
        <f aca="false">$G3917*'Analyse capacite'!$E$7</f>
        <v>0</v>
      </c>
    </row>
    <row r="3918" customFormat="false" ht="15" hidden="false" customHeight="false" outlineLevel="0" collapsed="false">
      <c r="B3918" s="130" t="n">
        <v>2027</v>
      </c>
      <c r="C3918" s="131" t="s">
        <v>249</v>
      </c>
      <c r="D3918" s="132" t="n">
        <v>46586</v>
      </c>
      <c r="E3918" s="131" t="s">
        <v>53</v>
      </c>
      <c r="F3918" s="133" t="s">
        <v>19</v>
      </c>
      <c r="G3918" s="134" t="n">
        <f aca="false">LEN('Saisie programme'!$J$155)+SUMIFS('Vols additionnels'!$E$7:$E$66,'Vols additionnels'!$C$7:$C$66,$E3918,'Vols additionnels'!$D$7:$D$66,$F3918,'Vols additionnels'!$B$7:$B$66,$D3918)</f>
        <v>0</v>
      </c>
      <c r="H3918" s="135" t="n">
        <f aca="false">$G3918*'Analyse capacite'!$F$8</f>
        <v>0</v>
      </c>
      <c r="I3918" s="135" t="n">
        <f aca="false">$G3918*'Analyse capacite'!$C$8</f>
        <v>0</v>
      </c>
      <c r="J3918" s="135" t="n">
        <f aca="false">$G3918*'Analyse capacite'!$D$8</f>
        <v>0</v>
      </c>
      <c r="K3918" s="135" t="n">
        <f aca="false">$G3918*'Analyse capacite'!$E$8</f>
        <v>0</v>
      </c>
    </row>
    <row r="3919" customFormat="false" ht="15" hidden="false" customHeight="false" outlineLevel="0" collapsed="false">
      <c r="B3919" s="130" t="n">
        <v>2027</v>
      </c>
      <c r="C3919" s="131" t="s">
        <v>249</v>
      </c>
      <c r="D3919" s="132" t="n">
        <v>46586</v>
      </c>
      <c r="E3919" s="131" t="s">
        <v>53</v>
      </c>
      <c r="F3919" s="133" t="s">
        <v>24</v>
      </c>
      <c r="G3919" s="134" t="n">
        <f aca="false">LEN('Saisie programme'!$J$156)+SUMIFS('Vols additionnels'!$E$7:$E$66,'Vols additionnels'!$C$7:$C$66,$E3919,'Vols additionnels'!$D$7:$D$66,$F3919,'Vols additionnels'!$B$7:$B$66,$D3919)</f>
        <v>0</v>
      </c>
      <c r="H3919" s="135" t="n">
        <f aca="false">$G3919*'Analyse capacite'!$F$9</f>
        <v>0</v>
      </c>
      <c r="I3919" s="135" t="n">
        <f aca="false">$G3919*'Analyse capacite'!$C$9</f>
        <v>0</v>
      </c>
      <c r="J3919" s="135" t="n">
        <f aca="false">$G3919*'Analyse capacite'!$D$9</f>
        <v>0</v>
      </c>
      <c r="K3919" s="135" t="n">
        <f aca="false">$G3919*'Analyse capacite'!$E$9</f>
        <v>0</v>
      </c>
    </row>
    <row r="3920" customFormat="false" ht="15" hidden="false" customHeight="false" outlineLevel="0" collapsed="false">
      <c r="B3920" s="130" t="n">
        <v>2027</v>
      </c>
      <c r="C3920" s="131" t="s">
        <v>249</v>
      </c>
      <c r="D3920" s="132" t="n">
        <v>46586</v>
      </c>
      <c r="E3920" s="131" t="s">
        <v>56</v>
      </c>
      <c r="F3920" s="133" t="s">
        <v>11</v>
      </c>
      <c r="G3920" s="134" t="n">
        <f aca="false">LEN('Saisie programme'!$J$157)+SUMIFS('Vols additionnels'!$E$7:$E$66,'Vols additionnels'!$C$7:$C$66,$E3920,'Vols additionnels'!$D$7:$D$66,$F3920,'Vols additionnels'!$B$7:$B$66,$D3920)</f>
        <v>0</v>
      </c>
      <c r="H3920" s="135" t="n">
        <f aca="false">$G3920*'Analyse capacite'!$F$7</f>
        <v>0</v>
      </c>
      <c r="I3920" s="135" t="n">
        <f aca="false">$G3920*'Analyse capacite'!$C$7</f>
        <v>0</v>
      </c>
      <c r="J3920" s="135" t="n">
        <f aca="false">$G3920*'Analyse capacite'!$D$7</f>
        <v>0</v>
      </c>
      <c r="K3920" s="135" t="n">
        <f aca="false">$G3920*'Analyse capacite'!$E$7</f>
        <v>0</v>
      </c>
    </row>
    <row r="3921" customFormat="false" ht="15" hidden="false" customHeight="false" outlineLevel="0" collapsed="false">
      <c r="B3921" s="130" t="n">
        <v>2027</v>
      </c>
      <c r="C3921" s="131" t="s">
        <v>249</v>
      </c>
      <c r="D3921" s="132" t="n">
        <v>46586</v>
      </c>
      <c r="E3921" s="131" t="s">
        <v>56</v>
      </c>
      <c r="F3921" s="133" t="s">
        <v>19</v>
      </c>
      <c r="G3921" s="134" t="n">
        <f aca="false">LEN('Saisie programme'!$J$158)+SUMIFS('Vols additionnels'!$E$7:$E$66,'Vols additionnels'!$C$7:$C$66,$E3921,'Vols additionnels'!$D$7:$D$66,$F3921,'Vols additionnels'!$B$7:$B$66,$D3921)</f>
        <v>0</v>
      </c>
      <c r="H3921" s="135" t="n">
        <f aca="false">$G3921*'Analyse capacite'!$F$8</f>
        <v>0</v>
      </c>
      <c r="I3921" s="135" t="n">
        <f aca="false">$G3921*'Analyse capacite'!$C$8</f>
        <v>0</v>
      </c>
      <c r="J3921" s="135" t="n">
        <f aca="false">$G3921*'Analyse capacite'!$D$8</f>
        <v>0</v>
      </c>
      <c r="K3921" s="135" t="n">
        <f aca="false">$G3921*'Analyse capacite'!$E$8</f>
        <v>0</v>
      </c>
    </row>
    <row r="3922" customFormat="false" ht="15" hidden="false" customHeight="false" outlineLevel="0" collapsed="false">
      <c r="B3922" s="130" t="n">
        <v>2027</v>
      </c>
      <c r="C3922" s="131" t="s">
        <v>249</v>
      </c>
      <c r="D3922" s="132" t="n">
        <v>46586</v>
      </c>
      <c r="E3922" s="131" t="s">
        <v>56</v>
      </c>
      <c r="F3922" s="133" t="s">
        <v>24</v>
      </c>
      <c r="G3922" s="134" t="n">
        <f aca="false">LEN('Saisie programme'!$J$159)+SUMIFS('Vols additionnels'!$E$7:$E$66,'Vols additionnels'!$C$7:$C$66,$E3922,'Vols additionnels'!$D$7:$D$66,$F3922,'Vols additionnels'!$B$7:$B$66,$D3922)</f>
        <v>0</v>
      </c>
      <c r="H3922" s="135" t="n">
        <f aca="false">$G3922*'Analyse capacite'!$F$9</f>
        <v>0</v>
      </c>
      <c r="I3922" s="135" t="n">
        <f aca="false">$G3922*'Analyse capacite'!$C$9</f>
        <v>0</v>
      </c>
      <c r="J3922" s="135" t="n">
        <f aca="false">$G3922*'Analyse capacite'!$D$9</f>
        <v>0</v>
      </c>
      <c r="K3922" s="135" t="n">
        <f aca="false">$G3922*'Analyse capacite'!$E$9</f>
        <v>0</v>
      </c>
    </row>
    <row r="3923" customFormat="false" ht="15" hidden="false" customHeight="false" outlineLevel="0" collapsed="false">
      <c r="B3923" s="130" t="n">
        <v>2027</v>
      </c>
      <c r="C3923" s="131" t="s">
        <v>249</v>
      </c>
      <c r="D3923" s="132" t="n">
        <v>46586</v>
      </c>
      <c r="E3923" s="131" t="s">
        <v>59</v>
      </c>
      <c r="F3923" s="133" t="s">
        <v>11</v>
      </c>
      <c r="G3923" s="134" t="n">
        <f aca="false">LEN('Saisie programme'!$J$160)+SUMIFS('Vols additionnels'!$E$7:$E$66,'Vols additionnels'!$C$7:$C$66,$E3923,'Vols additionnels'!$D$7:$D$66,$F3923,'Vols additionnels'!$B$7:$B$66,$D3923)</f>
        <v>0</v>
      </c>
      <c r="H3923" s="135" t="n">
        <f aca="false">$G3923*'Analyse capacite'!$F$7</f>
        <v>0</v>
      </c>
      <c r="I3923" s="135" t="n">
        <f aca="false">$G3923*'Analyse capacite'!$C$7</f>
        <v>0</v>
      </c>
      <c r="J3923" s="135" t="n">
        <f aca="false">$G3923*'Analyse capacite'!$D$7</f>
        <v>0</v>
      </c>
      <c r="K3923" s="135" t="n">
        <f aca="false">$G3923*'Analyse capacite'!$E$7</f>
        <v>0</v>
      </c>
    </row>
    <row r="3924" customFormat="false" ht="15" hidden="false" customHeight="false" outlineLevel="0" collapsed="false">
      <c r="B3924" s="130" t="n">
        <v>2027</v>
      </c>
      <c r="C3924" s="131" t="s">
        <v>249</v>
      </c>
      <c r="D3924" s="132" t="n">
        <v>46586</v>
      </c>
      <c r="E3924" s="131" t="s">
        <v>59</v>
      </c>
      <c r="F3924" s="133" t="s">
        <v>19</v>
      </c>
      <c r="G3924" s="134" t="n">
        <f aca="false">LEN('Saisie programme'!$J$161)+SUMIFS('Vols additionnels'!$E$7:$E$66,'Vols additionnels'!$C$7:$C$66,$E3924,'Vols additionnels'!$D$7:$D$66,$F3924,'Vols additionnels'!$B$7:$B$66,$D3924)</f>
        <v>0</v>
      </c>
      <c r="H3924" s="135" t="n">
        <f aca="false">$G3924*'Analyse capacite'!$F$8</f>
        <v>0</v>
      </c>
      <c r="I3924" s="135" t="n">
        <f aca="false">$G3924*'Analyse capacite'!$C$8</f>
        <v>0</v>
      </c>
      <c r="J3924" s="135" t="n">
        <f aca="false">$G3924*'Analyse capacite'!$D$8</f>
        <v>0</v>
      </c>
      <c r="K3924" s="135" t="n">
        <f aca="false">$G3924*'Analyse capacite'!$E$8</f>
        <v>0</v>
      </c>
    </row>
    <row r="3925" customFormat="false" ht="15" hidden="false" customHeight="false" outlineLevel="0" collapsed="false">
      <c r="B3925" s="130" t="n">
        <v>2027</v>
      </c>
      <c r="C3925" s="131" t="s">
        <v>249</v>
      </c>
      <c r="D3925" s="132" t="n">
        <v>46586</v>
      </c>
      <c r="E3925" s="131" t="s">
        <v>59</v>
      </c>
      <c r="F3925" s="133" t="s">
        <v>24</v>
      </c>
      <c r="G3925" s="134" t="n">
        <f aca="false">LEN('Saisie programme'!$J$162)+SUMIFS('Vols additionnels'!$E$7:$E$66,'Vols additionnels'!$C$7:$C$66,$E3925,'Vols additionnels'!$D$7:$D$66,$F3925,'Vols additionnels'!$B$7:$B$66,$D3925)</f>
        <v>0</v>
      </c>
      <c r="H3925" s="135" t="n">
        <f aca="false">$G3925*'Analyse capacite'!$F$9</f>
        <v>0</v>
      </c>
      <c r="I3925" s="135" t="n">
        <f aca="false">$G3925*'Analyse capacite'!$C$9</f>
        <v>0</v>
      </c>
      <c r="J3925" s="135" t="n">
        <f aca="false">$G3925*'Analyse capacite'!$D$9</f>
        <v>0</v>
      </c>
      <c r="K3925" s="135" t="n">
        <f aca="false">$G3925*'Analyse capacite'!$E$9</f>
        <v>0</v>
      </c>
    </row>
    <row r="3926" customFormat="false" ht="15" hidden="false" customHeight="false" outlineLevel="0" collapsed="false">
      <c r="B3926" s="130" t="n">
        <v>2027</v>
      </c>
      <c r="C3926" s="131" t="s">
        <v>249</v>
      </c>
      <c r="D3926" s="132" t="n">
        <v>46586</v>
      </c>
      <c r="E3926" s="131" t="s">
        <v>62</v>
      </c>
      <c r="F3926" s="133" t="s">
        <v>11</v>
      </c>
      <c r="G3926" s="134" t="n">
        <f aca="false">LEN('Saisie programme'!$J$163)+SUMIFS('Vols additionnels'!$E$7:$E$66,'Vols additionnels'!$C$7:$C$66,$E3926,'Vols additionnels'!$D$7:$D$66,$F3926,'Vols additionnels'!$B$7:$B$66,$D3926)</f>
        <v>0</v>
      </c>
      <c r="H3926" s="135" t="n">
        <f aca="false">$G3926*'Analyse capacite'!$F$7</f>
        <v>0</v>
      </c>
      <c r="I3926" s="135" t="n">
        <f aca="false">$G3926*'Analyse capacite'!$C$7</f>
        <v>0</v>
      </c>
      <c r="J3926" s="135" t="n">
        <f aca="false">$G3926*'Analyse capacite'!$D$7</f>
        <v>0</v>
      </c>
      <c r="K3926" s="135" t="n">
        <f aca="false">$G3926*'Analyse capacite'!$E$7</f>
        <v>0</v>
      </c>
    </row>
    <row r="3927" customFormat="false" ht="15" hidden="false" customHeight="false" outlineLevel="0" collapsed="false">
      <c r="B3927" s="130" t="n">
        <v>2027</v>
      </c>
      <c r="C3927" s="131" t="s">
        <v>249</v>
      </c>
      <c r="D3927" s="132" t="n">
        <v>46586</v>
      </c>
      <c r="E3927" s="131" t="s">
        <v>62</v>
      </c>
      <c r="F3927" s="133" t="s">
        <v>19</v>
      </c>
      <c r="G3927" s="134" t="n">
        <f aca="false">LEN('Saisie programme'!$J$164)+SUMIFS('Vols additionnels'!$E$7:$E$66,'Vols additionnels'!$C$7:$C$66,$E3927,'Vols additionnels'!$D$7:$D$66,$F3927,'Vols additionnels'!$B$7:$B$66,$D3927)</f>
        <v>0</v>
      </c>
      <c r="H3927" s="135" t="n">
        <f aca="false">$G3927*'Analyse capacite'!$F$8</f>
        <v>0</v>
      </c>
      <c r="I3927" s="135" t="n">
        <f aca="false">$G3927*'Analyse capacite'!$C$8</f>
        <v>0</v>
      </c>
      <c r="J3927" s="135" t="n">
        <f aca="false">$G3927*'Analyse capacite'!$D$8</f>
        <v>0</v>
      </c>
      <c r="K3927" s="135" t="n">
        <f aca="false">$G3927*'Analyse capacite'!$E$8</f>
        <v>0</v>
      </c>
    </row>
    <row r="3928" customFormat="false" ht="15" hidden="false" customHeight="false" outlineLevel="0" collapsed="false">
      <c r="B3928" s="130" t="n">
        <v>2027</v>
      </c>
      <c r="C3928" s="131" t="s">
        <v>249</v>
      </c>
      <c r="D3928" s="132" t="n">
        <v>46586</v>
      </c>
      <c r="E3928" s="131" t="s">
        <v>62</v>
      </c>
      <c r="F3928" s="133" t="s">
        <v>24</v>
      </c>
      <c r="G3928" s="134" t="n">
        <f aca="false">LEN('Saisie programme'!$J$165)+SUMIFS('Vols additionnels'!$E$7:$E$66,'Vols additionnels'!$C$7:$C$66,$E3928,'Vols additionnels'!$D$7:$D$66,$F3928,'Vols additionnels'!$B$7:$B$66,$D3928)</f>
        <v>1</v>
      </c>
      <c r="H3928" s="135" t="n">
        <f aca="false">$G3928*'Analyse capacite'!$F$9</f>
        <v>174</v>
      </c>
      <c r="I3928" s="135" t="n">
        <f aca="false">$G3928*'Analyse capacite'!$C$9</f>
        <v>0</v>
      </c>
      <c r="J3928" s="135" t="n">
        <f aca="false">$G3928*'Analyse capacite'!$D$9</f>
        <v>12</v>
      </c>
      <c r="K3928" s="135" t="n">
        <f aca="false">$G3928*'Analyse capacite'!$E$9</f>
        <v>162</v>
      </c>
    </row>
    <row r="3929" customFormat="false" ht="15" hidden="false" customHeight="false" outlineLevel="0" collapsed="false">
      <c r="B3929" s="130" t="n">
        <v>2027</v>
      </c>
      <c r="C3929" s="131" t="s">
        <v>249</v>
      </c>
      <c r="D3929" s="132" t="n">
        <v>46587</v>
      </c>
      <c r="E3929" s="131" t="s">
        <v>12</v>
      </c>
      <c r="F3929" s="133" t="s">
        <v>11</v>
      </c>
      <c r="G3929" s="134" t="n">
        <f aca="false">LEN('Saisie programme'!$D$130)+SUMIFS('Vols additionnels'!$E$7:$E$66,'Vols additionnels'!$C$7:$C$66,$E3929,'Vols additionnels'!$D$7:$D$66,$F3929,'Vols additionnels'!$B$7:$B$66,$D3929)</f>
        <v>1</v>
      </c>
      <c r="H3929" s="135" t="n">
        <f aca="false">$G3929*'Analyse capacite'!$F$7</f>
        <v>438</v>
      </c>
      <c r="I3929" s="135" t="n">
        <f aca="false">$G3929*'Analyse capacite'!$C$7</f>
        <v>14</v>
      </c>
      <c r="J3929" s="135" t="n">
        <f aca="false">$G3929*'Analyse capacite'!$D$7</f>
        <v>40</v>
      </c>
      <c r="K3929" s="135" t="n">
        <f aca="false">$G3929*'Analyse capacite'!$E$7</f>
        <v>384</v>
      </c>
    </row>
    <row r="3930" customFormat="false" ht="15" hidden="false" customHeight="false" outlineLevel="0" collapsed="false">
      <c r="B3930" s="130" t="n">
        <v>2027</v>
      </c>
      <c r="C3930" s="131" t="s">
        <v>249</v>
      </c>
      <c r="D3930" s="132" t="n">
        <v>46587</v>
      </c>
      <c r="E3930" s="131" t="s">
        <v>12</v>
      </c>
      <c r="F3930" s="133" t="s">
        <v>19</v>
      </c>
      <c r="G3930" s="134" t="n">
        <f aca="false">LEN('Saisie programme'!$D$131)+SUMIFS('Vols additionnels'!$E$7:$E$66,'Vols additionnels'!$C$7:$C$66,$E3930,'Vols additionnels'!$D$7:$D$66,$F3930,'Vols additionnels'!$B$7:$B$66,$D3930)</f>
        <v>1</v>
      </c>
      <c r="H3930" s="135" t="n">
        <f aca="false">$G3930*'Analyse capacite'!$F$8</f>
        <v>262</v>
      </c>
      <c r="I3930" s="135" t="n">
        <f aca="false">$G3930*'Analyse capacite'!$C$8</f>
        <v>18</v>
      </c>
      <c r="J3930" s="135" t="n">
        <f aca="false">$G3930*'Analyse capacite'!$D$8</f>
        <v>0</v>
      </c>
      <c r="K3930" s="135" t="n">
        <f aca="false">$G3930*'Analyse capacite'!$E$8</f>
        <v>244</v>
      </c>
    </row>
    <row r="3931" customFormat="false" ht="15" hidden="false" customHeight="false" outlineLevel="0" collapsed="false">
      <c r="B3931" s="130" t="n">
        <v>2027</v>
      </c>
      <c r="C3931" s="131" t="s">
        <v>249</v>
      </c>
      <c r="D3931" s="132" t="n">
        <v>46587</v>
      </c>
      <c r="E3931" s="131" t="s">
        <v>12</v>
      </c>
      <c r="F3931" s="133" t="s">
        <v>24</v>
      </c>
      <c r="G3931" s="134" t="n">
        <f aca="false">LEN('Saisie programme'!$D$132)+SUMIFS('Vols additionnels'!$E$7:$E$66,'Vols additionnels'!$C$7:$C$66,$E3931,'Vols additionnels'!$D$7:$D$66,$F3931,'Vols additionnels'!$B$7:$B$66,$D3931)</f>
        <v>2</v>
      </c>
      <c r="H3931" s="135" t="n">
        <f aca="false">$G3931*'Analyse capacite'!$F$9</f>
        <v>348</v>
      </c>
      <c r="I3931" s="135" t="n">
        <f aca="false">$G3931*'Analyse capacite'!$C$9</f>
        <v>0</v>
      </c>
      <c r="J3931" s="135" t="n">
        <f aca="false">$G3931*'Analyse capacite'!$D$9</f>
        <v>24</v>
      </c>
      <c r="K3931" s="135" t="n">
        <f aca="false">$G3931*'Analyse capacite'!$E$9</f>
        <v>324</v>
      </c>
    </row>
    <row r="3932" customFormat="false" ht="15" hidden="false" customHeight="false" outlineLevel="0" collapsed="false">
      <c r="B3932" s="130" t="n">
        <v>2027</v>
      </c>
      <c r="C3932" s="131" t="s">
        <v>249</v>
      </c>
      <c r="D3932" s="132" t="n">
        <v>46587</v>
      </c>
      <c r="E3932" s="131" t="s">
        <v>20</v>
      </c>
      <c r="F3932" s="133" t="s">
        <v>11</v>
      </c>
      <c r="G3932" s="134" t="n">
        <f aca="false">LEN('Saisie programme'!$D$133)+SUMIFS('Vols additionnels'!$E$7:$E$66,'Vols additionnels'!$C$7:$C$66,$E3932,'Vols additionnels'!$D$7:$D$66,$F3932,'Vols additionnels'!$B$7:$B$66,$D3932)</f>
        <v>0</v>
      </c>
      <c r="H3932" s="135" t="n">
        <f aca="false">$G3932*'Analyse capacite'!$F$7</f>
        <v>0</v>
      </c>
      <c r="I3932" s="135" t="n">
        <f aca="false">$G3932*'Analyse capacite'!$C$7</f>
        <v>0</v>
      </c>
      <c r="J3932" s="135" t="n">
        <f aca="false">$G3932*'Analyse capacite'!$D$7</f>
        <v>0</v>
      </c>
      <c r="K3932" s="135" t="n">
        <f aca="false">$G3932*'Analyse capacite'!$E$7</f>
        <v>0</v>
      </c>
    </row>
    <row r="3933" customFormat="false" ht="15" hidden="false" customHeight="false" outlineLevel="0" collapsed="false">
      <c r="B3933" s="130" t="n">
        <v>2027</v>
      </c>
      <c r="C3933" s="131" t="s">
        <v>249</v>
      </c>
      <c r="D3933" s="132" t="n">
        <v>46587</v>
      </c>
      <c r="E3933" s="131" t="s">
        <v>20</v>
      </c>
      <c r="F3933" s="133" t="s">
        <v>19</v>
      </c>
      <c r="G3933" s="134" t="n">
        <f aca="false">LEN('Saisie programme'!$D$134)+SUMIFS('Vols additionnels'!$E$7:$E$66,'Vols additionnels'!$C$7:$C$66,$E3933,'Vols additionnels'!$D$7:$D$66,$F3933,'Vols additionnels'!$B$7:$B$66,$D3933)</f>
        <v>0</v>
      </c>
      <c r="H3933" s="135" t="n">
        <f aca="false">$G3933*'Analyse capacite'!$F$8</f>
        <v>0</v>
      </c>
      <c r="I3933" s="135" t="n">
        <f aca="false">$G3933*'Analyse capacite'!$C$8</f>
        <v>0</v>
      </c>
      <c r="J3933" s="135" t="n">
        <f aca="false">$G3933*'Analyse capacite'!$D$8</f>
        <v>0</v>
      </c>
      <c r="K3933" s="135" t="n">
        <f aca="false">$G3933*'Analyse capacite'!$E$8</f>
        <v>0</v>
      </c>
    </row>
    <row r="3934" customFormat="false" ht="15" hidden="false" customHeight="false" outlineLevel="0" collapsed="false">
      <c r="B3934" s="130" t="n">
        <v>2027</v>
      </c>
      <c r="C3934" s="131" t="s">
        <v>249</v>
      </c>
      <c r="D3934" s="132" t="n">
        <v>46587</v>
      </c>
      <c r="E3934" s="131" t="s">
        <v>20</v>
      </c>
      <c r="F3934" s="133" t="s">
        <v>24</v>
      </c>
      <c r="G3934" s="134" t="n">
        <f aca="false">LEN('Saisie programme'!$D$135)+SUMIFS('Vols additionnels'!$E$7:$E$66,'Vols additionnels'!$C$7:$C$66,$E3934,'Vols additionnels'!$D$7:$D$66,$F3934,'Vols additionnels'!$B$7:$B$66,$D3934)</f>
        <v>0</v>
      </c>
      <c r="H3934" s="135" t="n">
        <f aca="false">$G3934*'Analyse capacite'!$F$9</f>
        <v>0</v>
      </c>
      <c r="I3934" s="135" t="n">
        <f aca="false">$G3934*'Analyse capacite'!$C$9</f>
        <v>0</v>
      </c>
      <c r="J3934" s="135" t="n">
        <f aca="false">$G3934*'Analyse capacite'!$D$9</f>
        <v>0</v>
      </c>
      <c r="K3934" s="135" t="n">
        <f aca="false">$G3934*'Analyse capacite'!$E$9</f>
        <v>0</v>
      </c>
    </row>
    <row r="3935" customFormat="false" ht="15" hidden="false" customHeight="false" outlineLevel="0" collapsed="false">
      <c r="B3935" s="130" t="n">
        <v>2027</v>
      </c>
      <c r="C3935" s="131" t="s">
        <v>249</v>
      </c>
      <c r="D3935" s="132" t="n">
        <v>46587</v>
      </c>
      <c r="E3935" s="131" t="s">
        <v>25</v>
      </c>
      <c r="F3935" s="133" t="s">
        <v>11</v>
      </c>
      <c r="G3935" s="134" t="n">
        <f aca="false">LEN('Saisie programme'!$D$136)+SUMIFS('Vols additionnels'!$E$7:$E$66,'Vols additionnels'!$C$7:$C$66,$E3935,'Vols additionnels'!$D$7:$D$66,$F3935,'Vols additionnels'!$B$7:$B$66,$D3935)</f>
        <v>0</v>
      </c>
      <c r="H3935" s="135" t="n">
        <f aca="false">$G3935*'Analyse capacite'!$F$7</f>
        <v>0</v>
      </c>
      <c r="I3935" s="135" t="n">
        <f aca="false">$G3935*'Analyse capacite'!$C$7</f>
        <v>0</v>
      </c>
      <c r="J3935" s="135" t="n">
        <f aca="false">$G3935*'Analyse capacite'!$D$7</f>
        <v>0</v>
      </c>
      <c r="K3935" s="135" t="n">
        <f aca="false">$G3935*'Analyse capacite'!$E$7</f>
        <v>0</v>
      </c>
    </row>
    <row r="3936" customFormat="false" ht="15" hidden="false" customHeight="false" outlineLevel="0" collapsed="false">
      <c r="B3936" s="130" t="n">
        <v>2027</v>
      </c>
      <c r="C3936" s="131" t="s">
        <v>249</v>
      </c>
      <c r="D3936" s="132" t="n">
        <v>46587</v>
      </c>
      <c r="E3936" s="131" t="s">
        <v>25</v>
      </c>
      <c r="F3936" s="133" t="s">
        <v>19</v>
      </c>
      <c r="G3936" s="134" t="n">
        <f aca="false">LEN('Saisie programme'!$D$137)+SUMIFS('Vols additionnels'!$E$7:$E$66,'Vols additionnels'!$C$7:$C$66,$E3936,'Vols additionnels'!$D$7:$D$66,$F3936,'Vols additionnels'!$B$7:$B$66,$D3936)</f>
        <v>0</v>
      </c>
      <c r="H3936" s="135" t="n">
        <f aca="false">$G3936*'Analyse capacite'!$F$8</f>
        <v>0</v>
      </c>
      <c r="I3936" s="135" t="n">
        <f aca="false">$G3936*'Analyse capacite'!$C$8</f>
        <v>0</v>
      </c>
      <c r="J3936" s="135" t="n">
        <f aca="false">$G3936*'Analyse capacite'!$D$8</f>
        <v>0</v>
      </c>
      <c r="K3936" s="135" t="n">
        <f aca="false">$G3936*'Analyse capacite'!$E$8</f>
        <v>0</v>
      </c>
    </row>
    <row r="3937" customFormat="false" ht="15" hidden="false" customHeight="false" outlineLevel="0" collapsed="false">
      <c r="B3937" s="130" t="n">
        <v>2027</v>
      </c>
      <c r="C3937" s="131" t="s">
        <v>249</v>
      </c>
      <c r="D3937" s="132" t="n">
        <v>46587</v>
      </c>
      <c r="E3937" s="131" t="s">
        <v>25</v>
      </c>
      <c r="F3937" s="133" t="s">
        <v>24</v>
      </c>
      <c r="G3937" s="134" t="n">
        <f aca="false">LEN('Saisie programme'!$D$138)+SUMIFS('Vols additionnels'!$E$7:$E$66,'Vols additionnels'!$C$7:$C$66,$E3937,'Vols additionnels'!$D$7:$D$66,$F3937,'Vols additionnels'!$B$7:$B$66,$D3937)</f>
        <v>0</v>
      </c>
      <c r="H3937" s="135" t="n">
        <f aca="false">$G3937*'Analyse capacite'!$F$9</f>
        <v>0</v>
      </c>
      <c r="I3937" s="135" t="n">
        <f aca="false">$G3937*'Analyse capacite'!$C$9</f>
        <v>0</v>
      </c>
      <c r="J3937" s="135" t="n">
        <f aca="false">$G3937*'Analyse capacite'!$D$9</f>
        <v>0</v>
      </c>
      <c r="K3937" s="135" t="n">
        <f aca="false">$G3937*'Analyse capacite'!$E$9</f>
        <v>0</v>
      </c>
    </row>
    <row r="3938" customFormat="false" ht="15" hidden="false" customHeight="false" outlineLevel="0" collapsed="false">
      <c r="B3938" s="130" t="n">
        <v>2027</v>
      </c>
      <c r="C3938" s="131" t="s">
        <v>249</v>
      </c>
      <c r="D3938" s="132" t="n">
        <v>46587</v>
      </c>
      <c r="E3938" s="131" t="s">
        <v>36</v>
      </c>
      <c r="F3938" s="133" t="s">
        <v>11</v>
      </c>
      <c r="G3938" s="134" t="n">
        <f aca="false">LEN('Saisie programme'!$D$139)+SUMIFS('Vols additionnels'!$E$7:$E$66,'Vols additionnels'!$C$7:$C$66,$E3938,'Vols additionnels'!$D$7:$D$66,$F3938,'Vols additionnels'!$B$7:$B$66,$D3938)</f>
        <v>0</v>
      </c>
      <c r="H3938" s="135" t="n">
        <f aca="false">$G3938*'Analyse capacite'!$F$7</f>
        <v>0</v>
      </c>
      <c r="I3938" s="135" t="n">
        <f aca="false">$G3938*'Analyse capacite'!$C$7</f>
        <v>0</v>
      </c>
      <c r="J3938" s="135" t="n">
        <f aca="false">$G3938*'Analyse capacite'!$D$7</f>
        <v>0</v>
      </c>
      <c r="K3938" s="135" t="n">
        <f aca="false">$G3938*'Analyse capacite'!$E$7</f>
        <v>0</v>
      </c>
    </row>
    <row r="3939" customFormat="false" ht="15" hidden="false" customHeight="false" outlineLevel="0" collapsed="false">
      <c r="B3939" s="130" t="n">
        <v>2027</v>
      </c>
      <c r="C3939" s="131" t="s">
        <v>249</v>
      </c>
      <c r="D3939" s="132" t="n">
        <v>46587</v>
      </c>
      <c r="E3939" s="131" t="s">
        <v>36</v>
      </c>
      <c r="F3939" s="133" t="s">
        <v>19</v>
      </c>
      <c r="G3939" s="134" t="n">
        <f aca="false">LEN('Saisie programme'!$D$140)+SUMIFS('Vols additionnels'!$E$7:$E$66,'Vols additionnels'!$C$7:$C$66,$E3939,'Vols additionnels'!$D$7:$D$66,$F3939,'Vols additionnels'!$B$7:$B$66,$D3939)</f>
        <v>0</v>
      </c>
      <c r="H3939" s="135" t="n">
        <f aca="false">$G3939*'Analyse capacite'!$F$8</f>
        <v>0</v>
      </c>
      <c r="I3939" s="135" t="n">
        <f aca="false">$G3939*'Analyse capacite'!$C$8</f>
        <v>0</v>
      </c>
      <c r="J3939" s="135" t="n">
        <f aca="false">$G3939*'Analyse capacite'!$D$8</f>
        <v>0</v>
      </c>
      <c r="K3939" s="135" t="n">
        <f aca="false">$G3939*'Analyse capacite'!$E$8</f>
        <v>0</v>
      </c>
    </row>
    <row r="3940" customFormat="false" ht="15" hidden="false" customHeight="false" outlineLevel="0" collapsed="false">
      <c r="B3940" s="130" t="n">
        <v>2027</v>
      </c>
      <c r="C3940" s="131" t="s">
        <v>249</v>
      </c>
      <c r="D3940" s="132" t="n">
        <v>46587</v>
      </c>
      <c r="E3940" s="131" t="s">
        <v>36</v>
      </c>
      <c r="F3940" s="133" t="s">
        <v>24</v>
      </c>
      <c r="G3940" s="134" t="n">
        <f aca="false">LEN('Saisie programme'!$D$141)+SUMIFS('Vols additionnels'!$E$7:$E$66,'Vols additionnels'!$C$7:$C$66,$E3940,'Vols additionnels'!$D$7:$D$66,$F3940,'Vols additionnels'!$B$7:$B$66,$D3940)</f>
        <v>1</v>
      </c>
      <c r="H3940" s="135" t="n">
        <f aca="false">$G3940*'Analyse capacite'!$F$9</f>
        <v>174</v>
      </c>
      <c r="I3940" s="135" t="n">
        <f aca="false">$G3940*'Analyse capacite'!$C$9</f>
        <v>0</v>
      </c>
      <c r="J3940" s="135" t="n">
        <f aca="false">$G3940*'Analyse capacite'!$D$9</f>
        <v>12</v>
      </c>
      <c r="K3940" s="135" t="n">
        <f aca="false">$G3940*'Analyse capacite'!$E$9</f>
        <v>162</v>
      </c>
    </row>
    <row r="3941" customFormat="false" ht="15" hidden="false" customHeight="false" outlineLevel="0" collapsed="false">
      <c r="B3941" s="130" t="n">
        <v>2027</v>
      </c>
      <c r="C3941" s="131" t="s">
        <v>249</v>
      </c>
      <c r="D3941" s="132" t="n">
        <v>46587</v>
      </c>
      <c r="E3941" s="131" t="s">
        <v>40</v>
      </c>
      <c r="F3941" s="133" t="s">
        <v>11</v>
      </c>
      <c r="G3941" s="134" t="n">
        <f aca="false">LEN('Saisie programme'!$D$142)+SUMIFS('Vols additionnels'!$E$7:$E$66,'Vols additionnels'!$C$7:$C$66,$E3941,'Vols additionnels'!$D$7:$D$66,$F3941,'Vols additionnels'!$B$7:$B$66,$D3941)</f>
        <v>0</v>
      </c>
      <c r="H3941" s="135" t="n">
        <f aca="false">$G3941*'Analyse capacite'!$F$7</f>
        <v>0</v>
      </c>
      <c r="I3941" s="135" t="n">
        <f aca="false">$G3941*'Analyse capacite'!$C$7</f>
        <v>0</v>
      </c>
      <c r="J3941" s="135" t="n">
        <f aca="false">$G3941*'Analyse capacite'!$D$7</f>
        <v>0</v>
      </c>
      <c r="K3941" s="135" t="n">
        <f aca="false">$G3941*'Analyse capacite'!$E$7</f>
        <v>0</v>
      </c>
    </row>
    <row r="3942" customFormat="false" ht="15" hidden="false" customHeight="false" outlineLevel="0" collapsed="false">
      <c r="B3942" s="130" t="n">
        <v>2027</v>
      </c>
      <c r="C3942" s="131" t="s">
        <v>249</v>
      </c>
      <c r="D3942" s="132" t="n">
        <v>46587</v>
      </c>
      <c r="E3942" s="131" t="s">
        <v>40</v>
      </c>
      <c r="F3942" s="133" t="s">
        <v>19</v>
      </c>
      <c r="G3942" s="134" t="n">
        <f aca="false">LEN('Saisie programme'!$D$143)+SUMIFS('Vols additionnels'!$E$7:$E$66,'Vols additionnels'!$C$7:$C$66,$E3942,'Vols additionnels'!$D$7:$D$66,$F3942,'Vols additionnels'!$B$7:$B$66,$D3942)</f>
        <v>0</v>
      </c>
      <c r="H3942" s="135" t="n">
        <f aca="false">$G3942*'Analyse capacite'!$F$8</f>
        <v>0</v>
      </c>
      <c r="I3942" s="135" t="n">
        <f aca="false">$G3942*'Analyse capacite'!$C$8</f>
        <v>0</v>
      </c>
      <c r="J3942" s="135" t="n">
        <f aca="false">$G3942*'Analyse capacite'!$D$8</f>
        <v>0</v>
      </c>
      <c r="K3942" s="135" t="n">
        <f aca="false">$G3942*'Analyse capacite'!$E$8</f>
        <v>0</v>
      </c>
    </row>
    <row r="3943" customFormat="false" ht="15" hidden="false" customHeight="false" outlineLevel="0" collapsed="false">
      <c r="B3943" s="130" t="n">
        <v>2027</v>
      </c>
      <c r="C3943" s="131" t="s">
        <v>249</v>
      </c>
      <c r="D3943" s="132" t="n">
        <v>46587</v>
      </c>
      <c r="E3943" s="131" t="s">
        <v>40</v>
      </c>
      <c r="F3943" s="133" t="s">
        <v>24</v>
      </c>
      <c r="G3943" s="134" t="n">
        <f aca="false">LEN('Saisie programme'!$D$144)+SUMIFS('Vols additionnels'!$E$7:$E$66,'Vols additionnels'!$C$7:$C$66,$E3943,'Vols additionnels'!$D$7:$D$66,$F3943,'Vols additionnels'!$B$7:$B$66,$D3943)</f>
        <v>1</v>
      </c>
      <c r="H3943" s="135" t="n">
        <f aca="false">$G3943*'Analyse capacite'!$F$9</f>
        <v>174</v>
      </c>
      <c r="I3943" s="135" t="n">
        <f aca="false">$G3943*'Analyse capacite'!$C$9</f>
        <v>0</v>
      </c>
      <c r="J3943" s="135" t="n">
        <f aca="false">$G3943*'Analyse capacite'!$D$9</f>
        <v>12</v>
      </c>
      <c r="K3943" s="135" t="n">
        <f aca="false">$G3943*'Analyse capacite'!$E$9</f>
        <v>162</v>
      </c>
    </row>
    <row r="3944" customFormat="false" ht="15" hidden="false" customHeight="false" outlineLevel="0" collapsed="false">
      <c r="B3944" s="130" t="n">
        <v>2027</v>
      </c>
      <c r="C3944" s="131" t="s">
        <v>249</v>
      </c>
      <c r="D3944" s="132" t="n">
        <v>46587</v>
      </c>
      <c r="E3944" s="131" t="s">
        <v>14</v>
      </c>
      <c r="F3944" s="133" t="s">
        <v>11</v>
      </c>
      <c r="G3944" s="134" t="n">
        <f aca="false">LEN('Saisie programme'!$D$145)+SUMIFS('Vols additionnels'!$E$7:$E$66,'Vols additionnels'!$C$7:$C$66,$E3944,'Vols additionnels'!$D$7:$D$66,$F3944,'Vols additionnels'!$B$7:$B$66,$D3944)</f>
        <v>0</v>
      </c>
      <c r="H3944" s="135" t="n">
        <f aca="false">$G3944*'Analyse capacite'!$F$7</f>
        <v>0</v>
      </c>
      <c r="I3944" s="135" t="n">
        <f aca="false">$G3944*'Analyse capacite'!$C$7</f>
        <v>0</v>
      </c>
      <c r="J3944" s="135" t="n">
        <f aca="false">$G3944*'Analyse capacite'!$D$7</f>
        <v>0</v>
      </c>
      <c r="K3944" s="135" t="n">
        <f aca="false">$G3944*'Analyse capacite'!$E$7</f>
        <v>0</v>
      </c>
    </row>
    <row r="3945" customFormat="false" ht="15" hidden="false" customHeight="false" outlineLevel="0" collapsed="false">
      <c r="B3945" s="130" t="n">
        <v>2027</v>
      </c>
      <c r="C3945" s="131" t="s">
        <v>249</v>
      </c>
      <c r="D3945" s="132" t="n">
        <v>46587</v>
      </c>
      <c r="E3945" s="131" t="s">
        <v>14</v>
      </c>
      <c r="F3945" s="133" t="s">
        <v>19</v>
      </c>
      <c r="G3945" s="134" t="n">
        <f aca="false">LEN('Saisie programme'!$D$146)+SUMIFS('Vols additionnels'!$E$7:$E$66,'Vols additionnels'!$C$7:$C$66,$E3945,'Vols additionnels'!$D$7:$D$66,$F3945,'Vols additionnels'!$B$7:$B$66,$D3945)</f>
        <v>0</v>
      </c>
      <c r="H3945" s="135" t="n">
        <f aca="false">$G3945*'Analyse capacite'!$F$8</f>
        <v>0</v>
      </c>
      <c r="I3945" s="135" t="n">
        <f aca="false">$G3945*'Analyse capacite'!$C$8</f>
        <v>0</v>
      </c>
      <c r="J3945" s="135" t="n">
        <f aca="false">$G3945*'Analyse capacite'!$D$8</f>
        <v>0</v>
      </c>
      <c r="K3945" s="135" t="n">
        <f aca="false">$G3945*'Analyse capacite'!$E$8</f>
        <v>0</v>
      </c>
    </row>
    <row r="3946" customFormat="false" ht="15" hidden="false" customHeight="false" outlineLevel="0" collapsed="false">
      <c r="B3946" s="130" t="n">
        <v>2027</v>
      </c>
      <c r="C3946" s="131" t="s">
        <v>249</v>
      </c>
      <c r="D3946" s="132" t="n">
        <v>46587</v>
      </c>
      <c r="E3946" s="131" t="s">
        <v>14</v>
      </c>
      <c r="F3946" s="133" t="s">
        <v>24</v>
      </c>
      <c r="G3946" s="134" t="n">
        <f aca="false">LEN('Saisie programme'!$D$147)+SUMIFS('Vols additionnels'!$E$7:$E$66,'Vols additionnels'!$C$7:$C$66,$E3946,'Vols additionnels'!$D$7:$D$66,$F3946,'Vols additionnels'!$B$7:$B$66,$D3946)</f>
        <v>1</v>
      </c>
      <c r="H3946" s="135" t="n">
        <f aca="false">$G3946*'Analyse capacite'!$F$9</f>
        <v>174</v>
      </c>
      <c r="I3946" s="135" t="n">
        <f aca="false">$G3946*'Analyse capacite'!$C$9</f>
        <v>0</v>
      </c>
      <c r="J3946" s="135" t="n">
        <f aca="false">$G3946*'Analyse capacite'!$D$9</f>
        <v>12</v>
      </c>
      <c r="K3946" s="135" t="n">
        <f aca="false">$G3946*'Analyse capacite'!$E$9</f>
        <v>162</v>
      </c>
    </row>
    <row r="3947" customFormat="false" ht="15" hidden="false" customHeight="false" outlineLevel="0" collapsed="false">
      <c r="B3947" s="130" t="n">
        <v>2027</v>
      </c>
      <c r="C3947" s="131" t="s">
        <v>249</v>
      </c>
      <c r="D3947" s="132" t="n">
        <v>46587</v>
      </c>
      <c r="E3947" s="131" t="s">
        <v>46</v>
      </c>
      <c r="F3947" s="133" t="s">
        <v>11</v>
      </c>
      <c r="G3947" s="134" t="n">
        <f aca="false">LEN('Saisie programme'!$D$148)+SUMIFS('Vols additionnels'!$E$7:$E$66,'Vols additionnels'!$C$7:$C$66,$E3947,'Vols additionnels'!$D$7:$D$66,$F3947,'Vols additionnels'!$B$7:$B$66,$D3947)</f>
        <v>0</v>
      </c>
      <c r="H3947" s="135" t="n">
        <f aca="false">$G3947*'Analyse capacite'!$F$7</f>
        <v>0</v>
      </c>
      <c r="I3947" s="135" t="n">
        <f aca="false">$G3947*'Analyse capacite'!$C$7</f>
        <v>0</v>
      </c>
      <c r="J3947" s="135" t="n">
        <f aca="false">$G3947*'Analyse capacite'!$D$7</f>
        <v>0</v>
      </c>
      <c r="K3947" s="135" t="n">
        <f aca="false">$G3947*'Analyse capacite'!$E$7</f>
        <v>0</v>
      </c>
    </row>
    <row r="3948" customFormat="false" ht="15" hidden="false" customHeight="false" outlineLevel="0" collapsed="false">
      <c r="B3948" s="130" t="n">
        <v>2027</v>
      </c>
      <c r="C3948" s="131" t="s">
        <v>249</v>
      </c>
      <c r="D3948" s="132" t="n">
        <v>46587</v>
      </c>
      <c r="E3948" s="131" t="s">
        <v>46</v>
      </c>
      <c r="F3948" s="133" t="s">
        <v>19</v>
      </c>
      <c r="G3948" s="134" t="n">
        <f aca="false">LEN('Saisie programme'!$D$149)+SUMIFS('Vols additionnels'!$E$7:$E$66,'Vols additionnels'!$C$7:$C$66,$E3948,'Vols additionnels'!$D$7:$D$66,$F3948,'Vols additionnels'!$B$7:$B$66,$D3948)</f>
        <v>0</v>
      </c>
      <c r="H3948" s="135" t="n">
        <f aca="false">$G3948*'Analyse capacite'!$F$8</f>
        <v>0</v>
      </c>
      <c r="I3948" s="135" t="n">
        <f aca="false">$G3948*'Analyse capacite'!$C$8</f>
        <v>0</v>
      </c>
      <c r="J3948" s="135" t="n">
        <f aca="false">$G3948*'Analyse capacite'!$D$8</f>
        <v>0</v>
      </c>
      <c r="K3948" s="135" t="n">
        <f aca="false">$G3948*'Analyse capacite'!$E$8</f>
        <v>0</v>
      </c>
    </row>
    <row r="3949" customFormat="false" ht="15" hidden="false" customHeight="false" outlineLevel="0" collapsed="false">
      <c r="B3949" s="130" t="n">
        <v>2027</v>
      </c>
      <c r="C3949" s="131" t="s">
        <v>249</v>
      </c>
      <c r="D3949" s="132" t="n">
        <v>46587</v>
      </c>
      <c r="E3949" s="131" t="s">
        <v>46</v>
      </c>
      <c r="F3949" s="133" t="s">
        <v>24</v>
      </c>
      <c r="G3949" s="134" t="n">
        <f aca="false">LEN('Saisie programme'!$D$150)+SUMIFS('Vols additionnels'!$E$7:$E$66,'Vols additionnels'!$C$7:$C$66,$E3949,'Vols additionnels'!$D$7:$D$66,$F3949,'Vols additionnels'!$B$7:$B$66,$D3949)</f>
        <v>0</v>
      </c>
      <c r="H3949" s="135" t="n">
        <f aca="false">$G3949*'Analyse capacite'!$F$9</f>
        <v>0</v>
      </c>
      <c r="I3949" s="135" t="n">
        <f aca="false">$G3949*'Analyse capacite'!$C$9</f>
        <v>0</v>
      </c>
      <c r="J3949" s="135" t="n">
        <f aca="false">$G3949*'Analyse capacite'!$D$9</f>
        <v>0</v>
      </c>
      <c r="K3949" s="135" t="n">
        <f aca="false">$G3949*'Analyse capacite'!$E$9</f>
        <v>0</v>
      </c>
    </row>
    <row r="3950" customFormat="false" ht="15" hidden="false" customHeight="false" outlineLevel="0" collapsed="false">
      <c r="B3950" s="130" t="n">
        <v>2027</v>
      </c>
      <c r="C3950" s="131" t="s">
        <v>249</v>
      </c>
      <c r="D3950" s="132" t="n">
        <v>46587</v>
      </c>
      <c r="E3950" s="131" t="s">
        <v>49</v>
      </c>
      <c r="F3950" s="133" t="s">
        <v>11</v>
      </c>
      <c r="G3950" s="134" t="n">
        <f aca="false">LEN('Saisie programme'!$D$151)+SUMIFS('Vols additionnels'!$E$7:$E$66,'Vols additionnels'!$C$7:$C$66,$E3950,'Vols additionnels'!$D$7:$D$66,$F3950,'Vols additionnels'!$B$7:$B$66,$D3950)</f>
        <v>0</v>
      </c>
      <c r="H3950" s="135" t="n">
        <f aca="false">$G3950*'Analyse capacite'!$F$7</f>
        <v>0</v>
      </c>
      <c r="I3950" s="135" t="n">
        <f aca="false">$G3950*'Analyse capacite'!$C$7</f>
        <v>0</v>
      </c>
      <c r="J3950" s="135" t="n">
        <f aca="false">$G3950*'Analyse capacite'!$D$7</f>
        <v>0</v>
      </c>
      <c r="K3950" s="135" t="n">
        <f aca="false">$G3950*'Analyse capacite'!$E$7</f>
        <v>0</v>
      </c>
    </row>
    <row r="3951" customFormat="false" ht="15" hidden="false" customHeight="false" outlineLevel="0" collapsed="false">
      <c r="B3951" s="130" t="n">
        <v>2027</v>
      </c>
      <c r="C3951" s="131" t="s">
        <v>249</v>
      </c>
      <c r="D3951" s="132" t="n">
        <v>46587</v>
      </c>
      <c r="E3951" s="131" t="s">
        <v>49</v>
      </c>
      <c r="F3951" s="133" t="s">
        <v>19</v>
      </c>
      <c r="G3951" s="134" t="n">
        <f aca="false">LEN('Saisie programme'!$D$152)+SUMIFS('Vols additionnels'!$E$7:$E$66,'Vols additionnels'!$C$7:$C$66,$E3951,'Vols additionnels'!$D$7:$D$66,$F3951,'Vols additionnels'!$B$7:$B$66,$D3951)</f>
        <v>1</v>
      </c>
      <c r="H3951" s="135" t="n">
        <f aca="false">$G3951*'Analyse capacite'!$F$8</f>
        <v>262</v>
      </c>
      <c r="I3951" s="135" t="n">
        <f aca="false">$G3951*'Analyse capacite'!$C$8</f>
        <v>18</v>
      </c>
      <c r="J3951" s="135" t="n">
        <f aca="false">$G3951*'Analyse capacite'!$D$8</f>
        <v>0</v>
      </c>
      <c r="K3951" s="135" t="n">
        <f aca="false">$G3951*'Analyse capacite'!$E$8</f>
        <v>244</v>
      </c>
    </row>
    <row r="3952" customFormat="false" ht="15" hidden="false" customHeight="false" outlineLevel="0" collapsed="false">
      <c r="B3952" s="130" t="n">
        <v>2027</v>
      </c>
      <c r="C3952" s="131" t="s">
        <v>249</v>
      </c>
      <c r="D3952" s="132" t="n">
        <v>46587</v>
      </c>
      <c r="E3952" s="131" t="s">
        <v>49</v>
      </c>
      <c r="F3952" s="133" t="s">
        <v>24</v>
      </c>
      <c r="G3952" s="134" t="n">
        <f aca="false">LEN('Saisie programme'!$D$153)+SUMIFS('Vols additionnels'!$E$7:$E$66,'Vols additionnels'!$C$7:$C$66,$E3952,'Vols additionnels'!$D$7:$D$66,$F3952,'Vols additionnels'!$B$7:$B$66,$D3952)</f>
        <v>0</v>
      </c>
      <c r="H3952" s="135" t="n">
        <f aca="false">$G3952*'Analyse capacite'!$F$9</f>
        <v>0</v>
      </c>
      <c r="I3952" s="135" t="n">
        <f aca="false">$G3952*'Analyse capacite'!$C$9</f>
        <v>0</v>
      </c>
      <c r="J3952" s="135" t="n">
        <f aca="false">$G3952*'Analyse capacite'!$D$9</f>
        <v>0</v>
      </c>
      <c r="K3952" s="135" t="n">
        <f aca="false">$G3952*'Analyse capacite'!$E$9</f>
        <v>0</v>
      </c>
    </row>
    <row r="3953" customFormat="false" ht="15" hidden="false" customHeight="false" outlineLevel="0" collapsed="false">
      <c r="B3953" s="130" t="n">
        <v>2027</v>
      </c>
      <c r="C3953" s="131" t="s">
        <v>249</v>
      </c>
      <c r="D3953" s="132" t="n">
        <v>46587</v>
      </c>
      <c r="E3953" s="131" t="s">
        <v>53</v>
      </c>
      <c r="F3953" s="133" t="s">
        <v>11</v>
      </c>
      <c r="G3953" s="134" t="n">
        <f aca="false">LEN('Saisie programme'!$D$154)+SUMIFS('Vols additionnels'!$E$7:$E$66,'Vols additionnels'!$C$7:$C$66,$E3953,'Vols additionnels'!$D$7:$D$66,$F3953,'Vols additionnels'!$B$7:$B$66,$D3953)</f>
        <v>0</v>
      </c>
      <c r="H3953" s="135" t="n">
        <f aca="false">$G3953*'Analyse capacite'!$F$7</f>
        <v>0</v>
      </c>
      <c r="I3953" s="135" t="n">
        <f aca="false">$G3953*'Analyse capacite'!$C$7</f>
        <v>0</v>
      </c>
      <c r="J3953" s="135" t="n">
        <f aca="false">$G3953*'Analyse capacite'!$D$7</f>
        <v>0</v>
      </c>
      <c r="K3953" s="135" t="n">
        <f aca="false">$G3953*'Analyse capacite'!$E$7</f>
        <v>0</v>
      </c>
    </row>
    <row r="3954" customFormat="false" ht="15" hidden="false" customHeight="false" outlineLevel="0" collapsed="false">
      <c r="B3954" s="130" t="n">
        <v>2027</v>
      </c>
      <c r="C3954" s="131" t="s">
        <v>249</v>
      </c>
      <c r="D3954" s="132" t="n">
        <v>46587</v>
      </c>
      <c r="E3954" s="131" t="s">
        <v>53</v>
      </c>
      <c r="F3954" s="133" t="s">
        <v>19</v>
      </c>
      <c r="G3954" s="134" t="n">
        <f aca="false">LEN('Saisie programme'!$D$155)+SUMIFS('Vols additionnels'!$E$7:$E$66,'Vols additionnels'!$C$7:$C$66,$E3954,'Vols additionnels'!$D$7:$D$66,$F3954,'Vols additionnels'!$B$7:$B$66,$D3954)</f>
        <v>0</v>
      </c>
      <c r="H3954" s="135" t="n">
        <f aca="false">$G3954*'Analyse capacite'!$F$8</f>
        <v>0</v>
      </c>
      <c r="I3954" s="135" t="n">
        <f aca="false">$G3954*'Analyse capacite'!$C$8</f>
        <v>0</v>
      </c>
      <c r="J3954" s="135" t="n">
        <f aca="false">$G3954*'Analyse capacite'!$D$8</f>
        <v>0</v>
      </c>
      <c r="K3954" s="135" t="n">
        <f aca="false">$G3954*'Analyse capacite'!$E$8</f>
        <v>0</v>
      </c>
    </row>
    <row r="3955" customFormat="false" ht="15" hidden="false" customHeight="false" outlineLevel="0" collapsed="false">
      <c r="B3955" s="130" t="n">
        <v>2027</v>
      </c>
      <c r="C3955" s="131" t="s">
        <v>249</v>
      </c>
      <c r="D3955" s="132" t="n">
        <v>46587</v>
      </c>
      <c r="E3955" s="131" t="s">
        <v>53</v>
      </c>
      <c r="F3955" s="133" t="s">
        <v>24</v>
      </c>
      <c r="G3955" s="134" t="n">
        <f aca="false">LEN('Saisie programme'!$D$156)+SUMIFS('Vols additionnels'!$E$7:$E$66,'Vols additionnels'!$C$7:$C$66,$E3955,'Vols additionnels'!$D$7:$D$66,$F3955,'Vols additionnels'!$B$7:$B$66,$D3955)</f>
        <v>0</v>
      </c>
      <c r="H3955" s="135" t="n">
        <f aca="false">$G3955*'Analyse capacite'!$F$9</f>
        <v>0</v>
      </c>
      <c r="I3955" s="135" t="n">
        <f aca="false">$G3955*'Analyse capacite'!$C$9</f>
        <v>0</v>
      </c>
      <c r="J3955" s="135" t="n">
        <f aca="false">$G3955*'Analyse capacite'!$D$9</f>
        <v>0</v>
      </c>
      <c r="K3955" s="135" t="n">
        <f aca="false">$G3955*'Analyse capacite'!$E$9</f>
        <v>0</v>
      </c>
    </row>
    <row r="3956" customFormat="false" ht="15" hidden="false" customHeight="false" outlineLevel="0" collapsed="false">
      <c r="B3956" s="130" t="n">
        <v>2027</v>
      </c>
      <c r="C3956" s="131" t="s">
        <v>249</v>
      </c>
      <c r="D3956" s="132" t="n">
        <v>46587</v>
      </c>
      <c r="E3956" s="131" t="s">
        <v>56</v>
      </c>
      <c r="F3956" s="133" t="s">
        <v>11</v>
      </c>
      <c r="G3956" s="134" t="n">
        <f aca="false">LEN('Saisie programme'!$D$157)+SUMIFS('Vols additionnels'!$E$7:$E$66,'Vols additionnels'!$C$7:$C$66,$E3956,'Vols additionnels'!$D$7:$D$66,$F3956,'Vols additionnels'!$B$7:$B$66,$D3956)</f>
        <v>0</v>
      </c>
      <c r="H3956" s="135" t="n">
        <f aca="false">$G3956*'Analyse capacite'!$F$7</f>
        <v>0</v>
      </c>
      <c r="I3956" s="135" t="n">
        <f aca="false">$G3956*'Analyse capacite'!$C$7</f>
        <v>0</v>
      </c>
      <c r="J3956" s="135" t="n">
        <f aca="false">$G3956*'Analyse capacite'!$D$7</f>
        <v>0</v>
      </c>
      <c r="K3956" s="135" t="n">
        <f aca="false">$G3956*'Analyse capacite'!$E$7</f>
        <v>0</v>
      </c>
    </row>
    <row r="3957" customFormat="false" ht="15" hidden="false" customHeight="false" outlineLevel="0" collapsed="false">
      <c r="B3957" s="130" t="n">
        <v>2027</v>
      </c>
      <c r="C3957" s="131" t="s">
        <v>249</v>
      </c>
      <c r="D3957" s="132" t="n">
        <v>46587</v>
      </c>
      <c r="E3957" s="131" t="s">
        <v>56</v>
      </c>
      <c r="F3957" s="133" t="s">
        <v>19</v>
      </c>
      <c r="G3957" s="134" t="n">
        <f aca="false">LEN('Saisie programme'!$D$158)+SUMIFS('Vols additionnels'!$E$7:$E$66,'Vols additionnels'!$C$7:$C$66,$E3957,'Vols additionnels'!$D$7:$D$66,$F3957,'Vols additionnels'!$B$7:$B$66,$D3957)</f>
        <v>0</v>
      </c>
      <c r="H3957" s="135" t="n">
        <f aca="false">$G3957*'Analyse capacite'!$F$8</f>
        <v>0</v>
      </c>
      <c r="I3957" s="135" t="n">
        <f aca="false">$G3957*'Analyse capacite'!$C$8</f>
        <v>0</v>
      </c>
      <c r="J3957" s="135" t="n">
        <f aca="false">$G3957*'Analyse capacite'!$D$8</f>
        <v>0</v>
      </c>
      <c r="K3957" s="135" t="n">
        <f aca="false">$G3957*'Analyse capacite'!$E$8</f>
        <v>0</v>
      </c>
    </row>
    <row r="3958" customFormat="false" ht="15" hidden="false" customHeight="false" outlineLevel="0" collapsed="false">
      <c r="B3958" s="130" t="n">
        <v>2027</v>
      </c>
      <c r="C3958" s="131" t="s">
        <v>249</v>
      </c>
      <c r="D3958" s="132" t="n">
        <v>46587</v>
      </c>
      <c r="E3958" s="131" t="s">
        <v>56</v>
      </c>
      <c r="F3958" s="133" t="s">
        <v>24</v>
      </c>
      <c r="G3958" s="134" t="n">
        <f aca="false">LEN('Saisie programme'!$D$159)+SUMIFS('Vols additionnels'!$E$7:$E$66,'Vols additionnels'!$C$7:$C$66,$E3958,'Vols additionnels'!$D$7:$D$66,$F3958,'Vols additionnels'!$B$7:$B$66,$D3958)</f>
        <v>0</v>
      </c>
      <c r="H3958" s="135" t="n">
        <f aca="false">$G3958*'Analyse capacite'!$F$9</f>
        <v>0</v>
      </c>
      <c r="I3958" s="135" t="n">
        <f aca="false">$G3958*'Analyse capacite'!$C$9</f>
        <v>0</v>
      </c>
      <c r="J3958" s="135" t="n">
        <f aca="false">$G3958*'Analyse capacite'!$D$9</f>
        <v>0</v>
      </c>
      <c r="K3958" s="135" t="n">
        <f aca="false">$G3958*'Analyse capacite'!$E$9</f>
        <v>0</v>
      </c>
    </row>
    <row r="3959" customFormat="false" ht="15" hidden="false" customHeight="false" outlineLevel="0" collapsed="false">
      <c r="B3959" s="130" t="n">
        <v>2027</v>
      </c>
      <c r="C3959" s="131" t="s">
        <v>249</v>
      </c>
      <c r="D3959" s="132" t="n">
        <v>46587</v>
      </c>
      <c r="E3959" s="131" t="s">
        <v>59</v>
      </c>
      <c r="F3959" s="133" t="s">
        <v>11</v>
      </c>
      <c r="G3959" s="134" t="n">
        <f aca="false">LEN('Saisie programme'!$D$160)+SUMIFS('Vols additionnels'!$E$7:$E$66,'Vols additionnels'!$C$7:$C$66,$E3959,'Vols additionnels'!$D$7:$D$66,$F3959,'Vols additionnels'!$B$7:$B$66,$D3959)</f>
        <v>0</v>
      </c>
      <c r="H3959" s="135" t="n">
        <f aca="false">$G3959*'Analyse capacite'!$F$7</f>
        <v>0</v>
      </c>
      <c r="I3959" s="135" t="n">
        <f aca="false">$G3959*'Analyse capacite'!$C$7</f>
        <v>0</v>
      </c>
      <c r="J3959" s="135" t="n">
        <f aca="false">$G3959*'Analyse capacite'!$D$7</f>
        <v>0</v>
      </c>
      <c r="K3959" s="135" t="n">
        <f aca="false">$G3959*'Analyse capacite'!$E$7</f>
        <v>0</v>
      </c>
    </row>
    <row r="3960" customFormat="false" ht="15" hidden="false" customHeight="false" outlineLevel="0" collapsed="false">
      <c r="B3960" s="130" t="n">
        <v>2027</v>
      </c>
      <c r="C3960" s="131" t="s">
        <v>249</v>
      </c>
      <c r="D3960" s="132" t="n">
        <v>46587</v>
      </c>
      <c r="E3960" s="131" t="s">
        <v>59</v>
      </c>
      <c r="F3960" s="133" t="s">
        <v>19</v>
      </c>
      <c r="G3960" s="134" t="n">
        <f aca="false">LEN('Saisie programme'!$D$161)+SUMIFS('Vols additionnels'!$E$7:$E$66,'Vols additionnels'!$C$7:$C$66,$E3960,'Vols additionnels'!$D$7:$D$66,$F3960,'Vols additionnels'!$B$7:$B$66,$D3960)</f>
        <v>0</v>
      </c>
      <c r="H3960" s="135" t="n">
        <f aca="false">$G3960*'Analyse capacite'!$F$8</f>
        <v>0</v>
      </c>
      <c r="I3960" s="135" t="n">
        <f aca="false">$G3960*'Analyse capacite'!$C$8</f>
        <v>0</v>
      </c>
      <c r="J3960" s="135" t="n">
        <f aca="false">$G3960*'Analyse capacite'!$D$8</f>
        <v>0</v>
      </c>
      <c r="K3960" s="135" t="n">
        <f aca="false">$G3960*'Analyse capacite'!$E$8</f>
        <v>0</v>
      </c>
    </row>
    <row r="3961" customFormat="false" ht="15" hidden="false" customHeight="false" outlineLevel="0" collapsed="false">
      <c r="B3961" s="130" t="n">
        <v>2027</v>
      </c>
      <c r="C3961" s="131" t="s">
        <v>249</v>
      </c>
      <c r="D3961" s="132" t="n">
        <v>46587</v>
      </c>
      <c r="E3961" s="131" t="s">
        <v>59</v>
      </c>
      <c r="F3961" s="133" t="s">
        <v>24</v>
      </c>
      <c r="G3961" s="134" t="n">
        <f aca="false">LEN('Saisie programme'!$D$162)+SUMIFS('Vols additionnels'!$E$7:$E$66,'Vols additionnels'!$C$7:$C$66,$E3961,'Vols additionnels'!$D$7:$D$66,$F3961,'Vols additionnels'!$B$7:$B$66,$D3961)</f>
        <v>1</v>
      </c>
      <c r="H3961" s="135" t="n">
        <f aca="false">$G3961*'Analyse capacite'!$F$9</f>
        <v>174</v>
      </c>
      <c r="I3961" s="135" t="n">
        <f aca="false">$G3961*'Analyse capacite'!$C$9</f>
        <v>0</v>
      </c>
      <c r="J3961" s="135" t="n">
        <f aca="false">$G3961*'Analyse capacite'!$D$9</f>
        <v>12</v>
      </c>
      <c r="K3961" s="135" t="n">
        <f aca="false">$G3961*'Analyse capacite'!$E$9</f>
        <v>162</v>
      </c>
    </row>
    <row r="3962" customFormat="false" ht="15" hidden="false" customHeight="false" outlineLevel="0" collapsed="false">
      <c r="B3962" s="130" t="n">
        <v>2027</v>
      </c>
      <c r="C3962" s="131" t="s">
        <v>249</v>
      </c>
      <c r="D3962" s="132" t="n">
        <v>46587</v>
      </c>
      <c r="E3962" s="131" t="s">
        <v>62</v>
      </c>
      <c r="F3962" s="133" t="s">
        <v>11</v>
      </c>
      <c r="G3962" s="134" t="n">
        <f aca="false">LEN('Saisie programme'!$D$163)+SUMIFS('Vols additionnels'!$E$7:$E$66,'Vols additionnels'!$C$7:$C$66,$E3962,'Vols additionnels'!$D$7:$D$66,$F3962,'Vols additionnels'!$B$7:$B$66,$D3962)</f>
        <v>0</v>
      </c>
      <c r="H3962" s="135" t="n">
        <f aca="false">$G3962*'Analyse capacite'!$F$7</f>
        <v>0</v>
      </c>
      <c r="I3962" s="135" t="n">
        <f aca="false">$G3962*'Analyse capacite'!$C$7</f>
        <v>0</v>
      </c>
      <c r="J3962" s="135" t="n">
        <f aca="false">$G3962*'Analyse capacite'!$D$7</f>
        <v>0</v>
      </c>
      <c r="K3962" s="135" t="n">
        <f aca="false">$G3962*'Analyse capacite'!$E$7</f>
        <v>0</v>
      </c>
    </row>
    <row r="3963" customFormat="false" ht="15" hidden="false" customHeight="false" outlineLevel="0" collapsed="false">
      <c r="B3963" s="130" t="n">
        <v>2027</v>
      </c>
      <c r="C3963" s="131" t="s">
        <v>249</v>
      </c>
      <c r="D3963" s="132" t="n">
        <v>46587</v>
      </c>
      <c r="E3963" s="131" t="s">
        <v>62</v>
      </c>
      <c r="F3963" s="133" t="s">
        <v>19</v>
      </c>
      <c r="G3963" s="134" t="n">
        <f aca="false">LEN('Saisie programme'!$D$164)+SUMIFS('Vols additionnels'!$E$7:$E$66,'Vols additionnels'!$C$7:$C$66,$E3963,'Vols additionnels'!$D$7:$D$66,$F3963,'Vols additionnels'!$B$7:$B$66,$D3963)</f>
        <v>0</v>
      </c>
      <c r="H3963" s="135" t="n">
        <f aca="false">$G3963*'Analyse capacite'!$F$8</f>
        <v>0</v>
      </c>
      <c r="I3963" s="135" t="n">
        <f aca="false">$G3963*'Analyse capacite'!$C$8</f>
        <v>0</v>
      </c>
      <c r="J3963" s="135" t="n">
        <f aca="false">$G3963*'Analyse capacite'!$D$8</f>
        <v>0</v>
      </c>
      <c r="K3963" s="135" t="n">
        <f aca="false">$G3963*'Analyse capacite'!$E$8</f>
        <v>0</v>
      </c>
    </row>
    <row r="3964" customFormat="false" ht="15" hidden="false" customHeight="false" outlineLevel="0" collapsed="false">
      <c r="B3964" s="130" t="n">
        <v>2027</v>
      </c>
      <c r="C3964" s="131" t="s">
        <v>249</v>
      </c>
      <c r="D3964" s="132" t="n">
        <v>46587</v>
      </c>
      <c r="E3964" s="131" t="s">
        <v>62</v>
      </c>
      <c r="F3964" s="133" t="s">
        <v>24</v>
      </c>
      <c r="G3964" s="134" t="n">
        <f aca="false">LEN('Saisie programme'!$D$165)+SUMIFS('Vols additionnels'!$E$7:$E$66,'Vols additionnels'!$C$7:$C$66,$E3964,'Vols additionnels'!$D$7:$D$66,$F3964,'Vols additionnels'!$B$7:$B$66,$D3964)</f>
        <v>0</v>
      </c>
      <c r="H3964" s="135" t="n">
        <f aca="false">$G3964*'Analyse capacite'!$F$9</f>
        <v>0</v>
      </c>
      <c r="I3964" s="135" t="n">
        <f aca="false">$G3964*'Analyse capacite'!$C$9</f>
        <v>0</v>
      </c>
      <c r="J3964" s="135" t="n">
        <f aca="false">$G3964*'Analyse capacite'!$D$9</f>
        <v>0</v>
      </c>
      <c r="K3964" s="135" t="n">
        <f aca="false">$G3964*'Analyse capacite'!$E$9</f>
        <v>0</v>
      </c>
    </row>
    <row r="3965" customFormat="false" ht="15" hidden="false" customHeight="false" outlineLevel="0" collapsed="false">
      <c r="B3965" s="130" t="n">
        <v>2027</v>
      </c>
      <c r="C3965" s="131" t="s">
        <v>249</v>
      </c>
      <c r="D3965" s="132" t="n">
        <v>46588</v>
      </c>
      <c r="E3965" s="131" t="s">
        <v>12</v>
      </c>
      <c r="F3965" s="133" t="s">
        <v>11</v>
      </c>
      <c r="G3965" s="134" t="n">
        <f aca="false">LEN('Saisie programme'!$E$130)+SUMIFS('Vols additionnels'!$E$7:$E$66,'Vols additionnels'!$C$7:$C$66,$E3965,'Vols additionnels'!$D$7:$D$66,$F3965,'Vols additionnels'!$B$7:$B$66,$D3965)</f>
        <v>1</v>
      </c>
      <c r="H3965" s="135" t="n">
        <f aca="false">$G3965*'Analyse capacite'!$F$7</f>
        <v>438</v>
      </c>
      <c r="I3965" s="135" t="n">
        <f aca="false">$G3965*'Analyse capacite'!$C$7</f>
        <v>14</v>
      </c>
      <c r="J3965" s="135" t="n">
        <f aca="false">$G3965*'Analyse capacite'!$D$7</f>
        <v>40</v>
      </c>
      <c r="K3965" s="135" t="n">
        <f aca="false">$G3965*'Analyse capacite'!$E$7</f>
        <v>384</v>
      </c>
    </row>
    <row r="3966" customFormat="false" ht="15" hidden="false" customHeight="false" outlineLevel="0" collapsed="false">
      <c r="B3966" s="130" t="n">
        <v>2027</v>
      </c>
      <c r="C3966" s="131" t="s">
        <v>249</v>
      </c>
      <c r="D3966" s="132" t="n">
        <v>46588</v>
      </c>
      <c r="E3966" s="131" t="s">
        <v>12</v>
      </c>
      <c r="F3966" s="133" t="s">
        <v>19</v>
      </c>
      <c r="G3966" s="134" t="n">
        <f aca="false">LEN('Saisie programme'!$E$131)+SUMIFS('Vols additionnels'!$E$7:$E$66,'Vols additionnels'!$C$7:$C$66,$E3966,'Vols additionnels'!$D$7:$D$66,$F3966,'Vols additionnels'!$B$7:$B$66,$D3966)</f>
        <v>0</v>
      </c>
      <c r="H3966" s="135" t="n">
        <f aca="false">$G3966*'Analyse capacite'!$F$8</f>
        <v>0</v>
      </c>
      <c r="I3966" s="135" t="n">
        <f aca="false">$G3966*'Analyse capacite'!$C$8</f>
        <v>0</v>
      </c>
      <c r="J3966" s="135" t="n">
        <f aca="false">$G3966*'Analyse capacite'!$D$8</f>
        <v>0</v>
      </c>
      <c r="K3966" s="135" t="n">
        <f aca="false">$G3966*'Analyse capacite'!$E$8</f>
        <v>0</v>
      </c>
    </row>
    <row r="3967" customFormat="false" ht="15" hidden="false" customHeight="false" outlineLevel="0" collapsed="false">
      <c r="B3967" s="130" t="n">
        <v>2027</v>
      </c>
      <c r="C3967" s="131" t="s">
        <v>249</v>
      </c>
      <c r="D3967" s="132" t="n">
        <v>46588</v>
      </c>
      <c r="E3967" s="131" t="s">
        <v>12</v>
      </c>
      <c r="F3967" s="133" t="s">
        <v>24</v>
      </c>
      <c r="G3967" s="134" t="n">
        <f aca="false">LEN('Saisie programme'!$E$132)+SUMIFS('Vols additionnels'!$E$7:$E$66,'Vols additionnels'!$C$7:$C$66,$E3967,'Vols additionnels'!$D$7:$D$66,$F3967,'Vols additionnels'!$B$7:$B$66,$D3967)</f>
        <v>0</v>
      </c>
      <c r="H3967" s="135" t="n">
        <f aca="false">$G3967*'Analyse capacite'!$F$9</f>
        <v>0</v>
      </c>
      <c r="I3967" s="135" t="n">
        <f aca="false">$G3967*'Analyse capacite'!$C$9</f>
        <v>0</v>
      </c>
      <c r="J3967" s="135" t="n">
        <f aca="false">$G3967*'Analyse capacite'!$D$9</f>
        <v>0</v>
      </c>
      <c r="K3967" s="135" t="n">
        <f aca="false">$G3967*'Analyse capacite'!$E$9</f>
        <v>0</v>
      </c>
    </row>
    <row r="3968" customFormat="false" ht="15" hidden="false" customHeight="false" outlineLevel="0" collapsed="false">
      <c r="B3968" s="130" t="n">
        <v>2027</v>
      </c>
      <c r="C3968" s="131" t="s">
        <v>249</v>
      </c>
      <c r="D3968" s="132" t="n">
        <v>46588</v>
      </c>
      <c r="E3968" s="131" t="s">
        <v>20</v>
      </c>
      <c r="F3968" s="133" t="s">
        <v>11</v>
      </c>
      <c r="G3968" s="134" t="n">
        <f aca="false">LEN('Saisie programme'!$E$133)+SUMIFS('Vols additionnels'!$E$7:$E$66,'Vols additionnels'!$C$7:$C$66,$E3968,'Vols additionnels'!$D$7:$D$66,$F3968,'Vols additionnels'!$B$7:$B$66,$D3968)</f>
        <v>0</v>
      </c>
      <c r="H3968" s="135" t="n">
        <f aca="false">$G3968*'Analyse capacite'!$F$7</f>
        <v>0</v>
      </c>
      <c r="I3968" s="135" t="n">
        <f aca="false">$G3968*'Analyse capacite'!$C$7</f>
        <v>0</v>
      </c>
      <c r="J3968" s="135" t="n">
        <f aca="false">$G3968*'Analyse capacite'!$D$7</f>
        <v>0</v>
      </c>
      <c r="K3968" s="135" t="n">
        <f aca="false">$G3968*'Analyse capacite'!$E$7</f>
        <v>0</v>
      </c>
    </row>
    <row r="3969" customFormat="false" ht="15" hidden="false" customHeight="false" outlineLevel="0" collapsed="false">
      <c r="B3969" s="130" t="n">
        <v>2027</v>
      </c>
      <c r="C3969" s="131" t="s">
        <v>249</v>
      </c>
      <c r="D3969" s="132" t="n">
        <v>46588</v>
      </c>
      <c r="E3969" s="131" t="s">
        <v>20</v>
      </c>
      <c r="F3969" s="133" t="s">
        <v>19</v>
      </c>
      <c r="G3969" s="134" t="n">
        <f aca="false">LEN('Saisie programme'!$E$134)+SUMIFS('Vols additionnels'!$E$7:$E$66,'Vols additionnels'!$C$7:$C$66,$E3969,'Vols additionnels'!$D$7:$D$66,$F3969,'Vols additionnels'!$B$7:$B$66,$D3969)</f>
        <v>1</v>
      </c>
      <c r="H3969" s="135" t="n">
        <f aca="false">$G3969*'Analyse capacite'!$F$8</f>
        <v>262</v>
      </c>
      <c r="I3969" s="135" t="n">
        <f aca="false">$G3969*'Analyse capacite'!$C$8</f>
        <v>18</v>
      </c>
      <c r="J3969" s="135" t="n">
        <f aca="false">$G3969*'Analyse capacite'!$D$8</f>
        <v>0</v>
      </c>
      <c r="K3969" s="135" t="n">
        <f aca="false">$G3969*'Analyse capacite'!$E$8</f>
        <v>244</v>
      </c>
    </row>
    <row r="3970" customFormat="false" ht="15" hidden="false" customHeight="false" outlineLevel="0" collapsed="false">
      <c r="B3970" s="130" t="n">
        <v>2027</v>
      </c>
      <c r="C3970" s="131" t="s">
        <v>249</v>
      </c>
      <c r="D3970" s="132" t="n">
        <v>46588</v>
      </c>
      <c r="E3970" s="131" t="s">
        <v>20</v>
      </c>
      <c r="F3970" s="133" t="s">
        <v>24</v>
      </c>
      <c r="G3970" s="134" t="n">
        <f aca="false">LEN('Saisie programme'!$E$135)+SUMIFS('Vols additionnels'!$E$7:$E$66,'Vols additionnels'!$C$7:$C$66,$E3970,'Vols additionnels'!$D$7:$D$66,$F3970,'Vols additionnels'!$B$7:$B$66,$D3970)</f>
        <v>0</v>
      </c>
      <c r="H3970" s="135" t="n">
        <f aca="false">$G3970*'Analyse capacite'!$F$9</f>
        <v>0</v>
      </c>
      <c r="I3970" s="135" t="n">
        <f aca="false">$G3970*'Analyse capacite'!$C$9</f>
        <v>0</v>
      </c>
      <c r="J3970" s="135" t="n">
        <f aca="false">$G3970*'Analyse capacite'!$D$9</f>
        <v>0</v>
      </c>
      <c r="K3970" s="135" t="n">
        <f aca="false">$G3970*'Analyse capacite'!$E$9</f>
        <v>0</v>
      </c>
    </row>
    <row r="3971" customFormat="false" ht="15" hidden="false" customHeight="false" outlineLevel="0" collapsed="false">
      <c r="B3971" s="130" t="n">
        <v>2027</v>
      </c>
      <c r="C3971" s="131" t="s">
        <v>249</v>
      </c>
      <c r="D3971" s="132" t="n">
        <v>46588</v>
      </c>
      <c r="E3971" s="131" t="s">
        <v>25</v>
      </c>
      <c r="F3971" s="133" t="s">
        <v>11</v>
      </c>
      <c r="G3971" s="134" t="n">
        <f aca="false">LEN('Saisie programme'!$E$136)+SUMIFS('Vols additionnels'!$E$7:$E$66,'Vols additionnels'!$C$7:$C$66,$E3971,'Vols additionnels'!$D$7:$D$66,$F3971,'Vols additionnels'!$B$7:$B$66,$D3971)</f>
        <v>0</v>
      </c>
      <c r="H3971" s="135" t="n">
        <f aca="false">$G3971*'Analyse capacite'!$F$7</f>
        <v>0</v>
      </c>
      <c r="I3971" s="135" t="n">
        <f aca="false">$G3971*'Analyse capacite'!$C$7</f>
        <v>0</v>
      </c>
      <c r="J3971" s="135" t="n">
        <f aca="false">$G3971*'Analyse capacite'!$D$7</f>
        <v>0</v>
      </c>
      <c r="K3971" s="135" t="n">
        <f aca="false">$G3971*'Analyse capacite'!$E$7</f>
        <v>0</v>
      </c>
    </row>
    <row r="3972" customFormat="false" ht="15" hidden="false" customHeight="false" outlineLevel="0" collapsed="false">
      <c r="B3972" s="130" t="n">
        <v>2027</v>
      </c>
      <c r="C3972" s="131" t="s">
        <v>249</v>
      </c>
      <c r="D3972" s="132" t="n">
        <v>46588</v>
      </c>
      <c r="E3972" s="131" t="s">
        <v>25</v>
      </c>
      <c r="F3972" s="133" t="s">
        <v>19</v>
      </c>
      <c r="G3972" s="134" t="n">
        <f aca="false">LEN('Saisie programme'!$E$137)+SUMIFS('Vols additionnels'!$E$7:$E$66,'Vols additionnels'!$C$7:$C$66,$E3972,'Vols additionnels'!$D$7:$D$66,$F3972,'Vols additionnels'!$B$7:$B$66,$D3972)</f>
        <v>0</v>
      </c>
      <c r="H3972" s="135" t="n">
        <f aca="false">$G3972*'Analyse capacite'!$F$8</f>
        <v>0</v>
      </c>
      <c r="I3972" s="135" t="n">
        <f aca="false">$G3972*'Analyse capacite'!$C$8</f>
        <v>0</v>
      </c>
      <c r="J3972" s="135" t="n">
        <f aca="false">$G3972*'Analyse capacite'!$D$8</f>
        <v>0</v>
      </c>
      <c r="K3972" s="135" t="n">
        <f aca="false">$G3972*'Analyse capacite'!$E$8</f>
        <v>0</v>
      </c>
    </row>
    <row r="3973" customFormat="false" ht="15" hidden="false" customHeight="false" outlineLevel="0" collapsed="false">
      <c r="B3973" s="130" t="n">
        <v>2027</v>
      </c>
      <c r="C3973" s="131" t="s">
        <v>249</v>
      </c>
      <c r="D3973" s="132" t="n">
        <v>46588</v>
      </c>
      <c r="E3973" s="131" t="s">
        <v>25</v>
      </c>
      <c r="F3973" s="133" t="s">
        <v>24</v>
      </c>
      <c r="G3973" s="134" t="n">
        <f aca="false">LEN('Saisie programme'!$E$138)+SUMIFS('Vols additionnels'!$E$7:$E$66,'Vols additionnels'!$C$7:$C$66,$E3973,'Vols additionnels'!$D$7:$D$66,$F3973,'Vols additionnels'!$B$7:$B$66,$D3973)</f>
        <v>0</v>
      </c>
      <c r="H3973" s="135" t="n">
        <f aca="false">$G3973*'Analyse capacite'!$F$9</f>
        <v>0</v>
      </c>
      <c r="I3973" s="135" t="n">
        <f aca="false">$G3973*'Analyse capacite'!$C$9</f>
        <v>0</v>
      </c>
      <c r="J3973" s="135" t="n">
        <f aca="false">$G3973*'Analyse capacite'!$D$9</f>
        <v>0</v>
      </c>
      <c r="K3973" s="135" t="n">
        <f aca="false">$G3973*'Analyse capacite'!$E$9</f>
        <v>0</v>
      </c>
    </row>
    <row r="3974" customFormat="false" ht="15" hidden="false" customHeight="false" outlineLevel="0" collapsed="false">
      <c r="B3974" s="130" t="n">
        <v>2027</v>
      </c>
      <c r="C3974" s="131" t="s">
        <v>249</v>
      </c>
      <c r="D3974" s="132" t="n">
        <v>46588</v>
      </c>
      <c r="E3974" s="131" t="s">
        <v>36</v>
      </c>
      <c r="F3974" s="133" t="s">
        <v>11</v>
      </c>
      <c r="G3974" s="134" t="n">
        <f aca="false">LEN('Saisie programme'!$E$139)+SUMIFS('Vols additionnels'!$E$7:$E$66,'Vols additionnels'!$C$7:$C$66,$E3974,'Vols additionnels'!$D$7:$D$66,$F3974,'Vols additionnels'!$B$7:$B$66,$D3974)</f>
        <v>0</v>
      </c>
      <c r="H3974" s="135" t="n">
        <f aca="false">$G3974*'Analyse capacite'!$F$7</f>
        <v>0</v>
      </c>
      <c r="I3974" s="135" t="n">
        <f aca="false">$G3974*'Analyse capacite'!$C$7</f>
        <v>0</v>
      </c>
      <c r="J3974" s="135" t="n">
        <f aca="false">$G3974*'Analyse capacite'!$D$7</f>
        <v>0</v>
      </c>
      <c r="K3974" s="135" t="n">
        <f aca="false">$G3974*'Analyse capacite'!$E$7</f>
        <v>0</v>
      </c>
    </row>
    <row r="3975" customFormat="false" ht="15" hidden="false" customHeight="false" outlineLevel="0" collapsed="false">
      <c r="B3975" s="130" t="n">
        <v>2027</v>
      </c>
      <c r="C3975" s="131" t="s">
        <v>249</v>
      </c>
      <c r="D3975" s="132" t="n">
        <v>46588</v>
      </c>
      <c r="E3975" s="131" t="s">
        <v>36</v>
      </c>
      <c r="F3975" s="133" t="s">
        <v>19</v>
      </c>
      <c r="G3975" s="134" t="n">
        <f aca="false">LEN('Saisie programme'!$E$140)+SUMIFS('Vols additionnels'!$E$7:$E$66,'Vols additionnels'!$C$7:$C$66,$E3975,'Vols additionnels'!$D$7:$D$66,$F3975,'Vols additionnels'!$B$7:$B$66,$D3975)</f>
        <v>0</v>
      </c>
      <c r="H3975" s="135" t="n">
        <f aca="false">$G3975*'Analyse capacite'!$F$8</f>
        <v>0</v>
      </c>
      <c r="I3975" s="135" t="n">
        <f aca="false">$G3975*'Analyse capacite'!$C$8</f>
        <v>0</v>
      </c>
      <c r="J3975" s="135" t="n">
        <f aca="false">$G3975*'Analyse capacite'!$D$8</f>
        <v>0</v>
      </c>
      <c r="K3975" s="135" t="n">
        <f aca="false">$G3975*'Analyse capacite'!$E$8</f>
        <v>0</v>
      </c>
    </row>
    <row r="3976" customFormat="false" ht="15" hidden="false" customHeight="false" outlineLevel="0" collapsed="false">
      <c r="B3976" s="130" t="n">
        <v>2027</v>
      </c>
      <c r="C3976" s="131" t="s">
        <v>249</v>
      </c>
      <c r="D3976" s="132" t="n">
        <v>46588</v>
      </c>
      <c r="E3976" s="131" t="s">
        <v>36</v>
      </c>
      <c r="F3976" s="133" t="s">
        <v>24</v>
      </c>
      <c r="G3976" s="134" t="n">
        <f aca="false">LEN('Saisie programme'!$E$141)+SUMIFS('Vols additionnels'!$E$7:$E$66,'Vols additionnels'!$C$7:$C$66,$E3976,'Vols additionnels'!$D$7:$D$66,$F3976,'Vols additionnels'!$B$7:$B$66,$D3976)</f>
        <v>1</v>
      </c>
      <c r="H3976" s="135" t="n">
        <f aca="false">$G3976*'Analyse capacite'!$F$9</f>
        <v>174</v>
      </c>
      <c r="I3976" s="135" t="n">
        <f aca="false">$G3976*'Analyse capacite'!$C$9</f>
        <v>0</v>
      </c>
      <c r="J3976" s="135" t="n">
        <f aca="false">$G3976*'Analyse capacite'!$D$9</f>
        <v>12</v>
      </c>
      <c r="K3976" s="135" t="n">
        <f aca="false">$G3976*'Analyse capacite'!$E$9</f>
        <v>162</v>
      </c>
    </row>
    <row r="3977" customFormat="false" ht="15" hidden="false" customHeight="false" outlineLevel="0" collapsed="false">
      <c r="B3977" s="130" t="n">
        <v>2027</v>
      </c>
      <c r="C3977" s="131" t="s">
        <v>249</v>
      </c>
      <c r="D3977" s="132" t="n">
        <v>46588</v>
      </c>
      <c r="E3977" s="131" t="s">
        <v>40</v>
      </c>
      <c r="F3977" s="133" t="s">
        <v>11</v>
      </c>
      <c r="G3977" s="134" t="n">
        <f aca="false">LEN('Saisie programme'!$E$142)+SUMIFS('Vols additionnels'!$E$7:$E$66,'Vols additionnels'!$C$7:$C$66,$E3977,'Vols additionnels'!$D$7:$D$66,$F3977,'Vols additionnels'!$B$7:$B$66,$D3977)</f>
        <v>0</v>
      </c>
      <c r="H3977" s="135" t="n">
        <f aca="false">$G3977*'Analyse capacite'!$F$7</f>
        <v>0</v>
      </c>
      <c r="I3977" s="135" t="n">
        <f aca="false">$G3977*'Analyse capacite'!$C$7</f>
        <v>0</v>
      </c>
      <c r="J3977" s="135" t="n">
        <f aca="false">$G3977*'Analyse capacite'!$D$7</f>
        <v>0</v>
      </c>
      <c r="K3977" s="135" t="n">
        <f aca="false">$G3977*'Analyse capacite'!$E$7</f>
        <v>0</v>
      </c>
    </row>
    <row r="3978" customFormat="false" ht="15" hidden="false" customHeight="false" outlineLevel="0" collapsed="false">
      <c r="B3978" s="130" t="n">
        <v>2027</v>
      </c>
      <c r="C3978" s="131" t="s">
        <v>249</v>
      </c>
      <c r="D3978" s="132" t="n">
        <v>46588</v>
      </c>
      <c r="E3978" s="131" t="s">
        <v>40</v>
      </c>
      <c r="F3978" s="133" t="s">
        <v>19</v>
      </c>
      <c r="G3978" s="134" t="n">
        <f aca="false">LEN('Saisie programme'!$E$143)+SUMIFS('Vols additionnels'!$E$7:$E$66,'Vols additionnels'!$C$7:$C$66,$E3978,'Vols additionnels'!$D$7:$D$66,$F3978,'Vols additionnels'!$B$7:$B$66,$D3978)</f>
        <v>0</v>
      </c>
      <c r="H3978" s="135" t="n">
        <f aca="false">$G3978*'Analyse capacite'!$F$8</f>
        <v>0</v>
      </c>
      <c r="I3978" s="135" t="n">
        <f aca="false">$G3978*'Analyse capacite'!$C$8</f>
        <v>0</v>
      </c>
      <c r="J3978" s="135" t="n">
        <f aca="false">$G3978*'Analyse capacite'!$D$8</f>
        <v>0</v>
      </c>
      <c r="K3978" s="135" t="n">
        <f aca="false">$G3978*'Analyse capacite'!$E$8</f>
        <v>0</v>
      </c>
    </row>
    <row r="3979" customFormat="false" ht="15" hidden="false" customHeight="false" outlineLevel="0" collapsed="false">
      <c r="B3979" s="130" t="n">
        <v>2027</v>
      </c>
      <c r="C3979" s="131" t="s">
        <v>249</v>
      </c>
      <c r="D3979" s="132" t="n">
        <v>46588</v>
      </c>
      <c r="E3979" s="131" t="s">
        <v>40</v>
      </c>
      <c r="F3979" s="133" t="s">
        <v>24</v>
      </c>
      <c r="G3979" s="134" t="n">
        <f aca="false">LEN('Saisie programme'!$E$144)+SUMIFS('Vols additionnels'!$E$7:$E$66,'Vols additionnels'!$C$7:$C$66,$E3979,'Vols additionnels'!$D$7:$D$66,$F3979,'Vols additionnels'!$B$7:$B$66,$D3979)</f>
        <v>0</v>
      </c>
      <c r="H3979" s="135" t="n">
        <f aca="false">$G3979*'Analyse capacite'!$F$9</f>
        <v>0</v>
      </c>
      <c r="I3979" s="135" t="n">
        <f aca="false">$G3979*'Analyse capacite'!$C$9</f>
        <v>0</v>
      </c>
      <c r="J3979" s="135" t="n">
        <f aca="false">$G3979*'Analyse capacite'!$D$9</f>
        <v>0</v>
      </c>
      <c r="K3979" s="135" t="n">
        <f aca="false">$G3979*'Analyse capacite'!$E$9</f>
        <v>0</v>
      </c>
    </row>
    <row r="3980" customFormat="false" ht="15" hidden="false" customHeight="false" outlineLevel="0" collapsed="false">
      <c r="B3980" s="130" t="n">
        <v>2027</v>
      </c>
      <c r="C3980" s="131" t="s">
        <v>249</v>
      </c>
      <c r="D3980" s="132" t="n">
        <v>46588</v>
      </c>
      <c r="E3980" s="131" t="s">
        <v>14</v>
      </c>
      <c r="F3980" s="133" t="s">
        <v>11</v>
      </c>
      <c r="G3980" s="134" t="n">
        <f aca="false">LEN('Saisie programme'!$E$145)+SUMIFS('Vols additionnels'!$E$7:$E$66,'Vols additionnels'!$C$7:$C$66,$E3980,'Vols additionnels'!$D$7:$D$66,$F3980,'Vols additionnels'!$B$7:$B$66,$D3980)</f>
        <v>0</v>
      </c>
      <c r="H3980" s="135" t="n">
        <f aca="false">$G3980*'Analyse capacite'!$F$7</f>
        <v>0</v>
      </c>
      <c r="I3980" s="135" t="n">
        <f aca="false">$G3980*'Analyse capacite'!$C$7</f>
        <v>0</v>
      </c>
      <c r="J3980" s="135" t="n">
        <f aca="false">$G3980*'Analyse capacite'!$D$7</f>
        <v>0</v>
      </c>
      <c r="K3980" s="135" t="n">
        <f aca="false">$G3980*'Analyse capacite'!$E$7</f>
        <v>0</v>
      </c>
    </row>
    <row r="3981" customFormat="false" ht="15" hidden="false" customHeight="false" outlineLevel="0" collapsed="false">
      <c r="B3981" s="130" t="n">
        <v>2027</v>
      </c>
      <c r="C3981" s="131" t="s">
        <v>249</v>
      </c>
      <c r="D3981" s="132" t="n">
        <v>46588</v>
      </c>
      <c r="E3981" s="131" t="s">
        <v>14</v>
      </c>
      <c r="F3981" s="133" t="s">
        <v>19</v>
      </c>
      <c r="G3981" s="134" t="n">
        <f aca="false">LEN('Saisie programme'!$E$146)+SUMIFS('Vols additionnels'!$E$7:$E$66,'Vols additionnels'!$C$7:$C$66,$E3981,'Vols additionnels'!$D$7:$D$66,$F3981,'Vols additionnels'!$B$7:$B$66,$D3981)</f>
        <v>0</v>
      </c>
      <c r="H3981" s="135" t="n">
        <f aca="false">$G3981*'Analyse capacite'!$F$8</f>
        <v>0</v>
      </c>
      <c r="I3981" s="135" t="n">
        <f aca="false">$G3981*'Analyse capacite'!$C$8</f>
        <v>0</v>
      </c>
      <c r="J3981" s="135" t="n">
        <f aca="false">$G3981*'Analyse capacite'!$D$8</f>
        <v>0</v>
      </c>
      <c r="K3981" s="135" t="n">
        <f aca="false">$G3981*'Analyse capacite'!$E$8</f>
        <v>0</v>
      </c>
    </row>
    <row r="3982" customFormat="false" ht="15" hidden="false" customHeight="false" outlineLevel="0" collapsed="false">
      <c r="B3982" s="130" t="n">
        <v>2027</v>
      </c>
      <c r="C3982" s="131" t="s">
        <v>249</v>
      </c>
      <c r="D3982" s="132" t="n">
        <v>46588</v>
      </c>
      <c r="E3982" s="131" t="s">
        <v>14</v>
      </c>
      <c r="F3982" s="133" t="s">
        <v>24</v>
      </c>
      <c r="G3982" s="134" t="n">
        <f aca="false">LEN('Saisie programme'!$E$147)+SUMIFS('Vols additionnels'!$E$7:$E$66,'Vols additionnels'!$C$7:$C$66,$E3982,'Vols additionnels'!$D$7:$D$66,$F3982,'Vols additionnels'!$B$7:$B$66,$D3982)</f>
        <v>0</v>
      </c>
      <c r="H3982" s="135" t="n">
        <f aca="false">$G3982*'Analyse capacite'!$F$9</f>
        <v>0</v>
      </c>
      <c r="I3982" s="135" t="n">
        <f aca="false">$G3982*'Analyse capacite'!$C$9</f>
        <v>0</v>
      </c>
      <c r="J3982" s="135" t="n">
        <f aca="false">$G3982*'Analyse capacite'!$D$9</f>
        <v>0</v>
      </c>
      <c r="K3982" s="135" t="n">
        <f aca="false">$G3982*'Analyse capacite'!$E$9</f>
        <v>0</v>
      </c>
    </row>
    <row r="3983" customFormat="false" ht="15" hidden="false" customHeight="false" outlineLevel="0" collapsed="false">
      <c r="B3983" s="130" t="n">
        <v>2027</v>
      </c>
      <c r="C3983" s="131" t="s">
        <v>249</v>
      </c>
      <c r="D3983" s="132" t="n">
        <v>46588</v>
      </c>
      <c r="E3983" s="131" t="s">
        <v>46</v>
      </c>
      <c r="F3983" s="133" t="s">
        <v>11</v>
      </c>
      <c r="G3983" s="134" t="n">
        <f aca="false">LEN('Saisie programme'!$E$148)+SUMIFS('Vols additionnels'!$E$7:$E$66,'Vols additionnels'!$C$7:$C$66,$E3983,'Vols additionnels'!$D$7:$D$66,$F3983,'Vols additionnels'!$B$7:$B$66,$D3983)</f>
        <v>0</v>
      </c>
      <c r="H3983" s="135" t="n">
        <f aca="false">$G3983*'Analyse capacite'!$F$7</f>
        <v>0</v>
      </c>
      <c r="I3983" s="135" t="n">
        <f aca="false">$G3983*'Analyse capacite'!$C$7</f>
        <v>0</v>
      </c>
      <c r="J3983" s="135" t="n">
        <f aca="false">$G3983*'Analyse capacite'!$D$7</f>
        <v>0</v>
      </c>
      <c r="K3983" s="135" t="n">
        <f aca="false">$G3983*'Analyse capacite'!$E$7</f>
        <v>0</v>
      </c>
    </row>
    <row r="3984" customFormat="false" ht="15" hidden="false" customHeight="false" outlineLevel="0" collapsed="false">
      <c r="B3984" s="130" t="n">
        <v>2027</v>
      </c>
      <c r="C3984" s="131" t="s">
        <v>249</v>
      </c>
      <c r="D3984" s="132" t="n">
        <v>46588</v>
      </c>
      <c r="E3984" s="131" t="s">
        <v>46</v>
      </c>
      <c r="F3984" s="133" t="s">
        <v>19</v>
      </c>
      <c r="G3984" s="134" t="n">
        <f aca="false">LEN('Saisie programme'!$E$149)+SUMIFS('Vols additionnels'!$E$7:$E$66,'Vols additionnels'!$C$7:$C$66,$E3984,'Vols additionnels'!$D$7:$D$66,$F3984,'Vols additionnels'!$B$7:$B$66,$D3984)</f>
        <v>0</v>
      </c>
      <c r="H3984" s="135" t="n">
        <f aca="false">$G3984*'Analyse capacite'!$F$8</f>
        <v>0</v>
      </c>
      <c r="I3984" s="135" t="n">
        <f aca="false">$G3984*'Analyse capacite'!$C$8</f>
        <v>0</v>
      </c>
      <c r="J3984" s="135" t="n">
        <f aca="false">$G3984*'Analyse capacite'!$D$8</f>
        <v>0</v>
      </c>
      <c r="K3984" s="135" t="n">
        <f aca="false">$G3984*'Analyse capacite'!$E$8</f>
        <v>0</v>
      </c>
    </row>
    <row r="3985" customFormat="false" ht="15" hidden="false" customHeight="false" outlineLevel="0" collapsed="false">
      <c r="B3985" s="130" t="n">
        <v>2027</v>
      </c>
      <c r="C3985" s="131" t="s">
        <v>249</v>
      </c>
      <c r="D3985" s="132" t="n">
        <v>46588</v>
      </c>
      <c r="E3985" s="131" t="s">
        <v>46</v>
      </c>
      <c r="F3985" s="133" t="s">
        <v>24</v>
      </c>
      <c r="G3985" s="134" t="n">
        <f aca="false">LEN('Saisie programme'!$E$150)+SUMIFS('Vols additionnels'!$E$7:$E$66,'Vols additionnels'!$C$7:$C$66,$E3985,'Vols additionnels'!$D$7:$D$66,$F3985,'Vols additionnels'!$B$7:$B$66,$D3985)</f>
        <v>1</v>
      </c>
      <c r="H3985" s="135" t="n">
        <f aca="false">$G3985*'Analyse capacite'!$F$9</f>
        <v>174</v>
      </c>
      <c r="I3985" s="135" t="n">
        <f aca="false">$G3985*'Analyse capacite'!$C$9</f>
        <v>0</v>
      </c>
      <c r="J3985" s="135" t="n">
        <f aca="false">$G3985*'Analyse capacite'!$D$9</f>
        <v>12</v>
      </c>
      <c r="K3985" s="135" t="n">
        <f aca="false">$G3985*'Analyse capacite'!$E$9</f>
        <v>162</v>
      </c>
    </row>
    <row r="3986" customFormat="false" ht="15" hidden="false" customHeight="false" outlineLevel="0" collapsed="false">
      <c r="B3986" s="130" t="n">
        <v>2027</v>
      </c>
      <c r="C3986" s="131" t="s">
        <v>249</v>
      </c>
      <c r="D3986" s="132" t="n">
        <v>46588</v>
      </c>
      <c r="E3986" s="131" t="s">
        <v>49</v>
      </c>
      <c r="F3986" s="133" t="s">
        <v>11</v>
      </c>
      <c r="G3986" s="134" t="n">
        <f aca="false">LEN('Saisie programme'!$E$151)+SUMIFS('Vols additionnels'!$E$7:$E$66,'Vols additionnels'!$C$7:$C$66,$E3986,'Vols additionnels'!$D$7:$D$66,$F3986,'Vols additionnels'!$B$7:$B$66,$D3986)</f>
        <v>0</v>
      </c>
      <c r="H3986" s="135" t="n">
        <f aca="false">$G3986*'Analyse capacite'!$F$7</f>
        <v>0</v>
      </c>
      <c r="I3986" s="135" t="n">
        <f aca="false">$G3986*'Analyse capacite'!$C$7</f>
        <v>0</v>
      </c>
      <c r="J3986" s="135" t="n">
        <f aca="false">$G3986*'Analyse capacite'!$D$7</f>
        <v>0</v>
      </c>
      <c r="K3986" s="135" t="n">
        <f aca="false">$G3986*'Analyse capacite'!$E$7</f>
        <v>0</v>
      </c>
    </row>
    <row r="3987" customFormat="false" ht="15" hidden="false" customHeight="false" outlineLevel="0" collapsed="false">
      <c r="B3987" s="130" t="n">
        <v>2027</v>
      </c>
      <c r="C3987" s="131" t="s">
        <v>249</v>
      </c>
      <c r="D3987" s="132" t="n">
        <v>46588</v>
      </c>
      <c r="E3987" s="131" t="s">
        <v>49</v>
      </c>
      <c r="F3987" s="133" t="s">
        <v>19</v>
      </c>
      <c r="G3987" s="134" t="n">
        <f aca="false">LEN('Saisie programme'!$E$152)+SUMIFS('Vols additionnels'!$E$7:$E$66,'Vols additionnels'!$C$7:$C$66,$E3987,'Vols additionnels'!$D$7:$D$66,$F3987,'Vols additionnels'!$B$7:$B$66,$D3987)</f>
        <v>0</v>
      </c>
      <c r="H3987" s="135" t="n">
        <f aca="false">$G3987*'Analyse capacite'!$F$8</f>
        <v>0</v>
      </c>
      <c r="I3987" s="135" t="n">
        <f aca="false">$G3987*'Analyse capacite'!$C$8</f>
        <v>0</v>
      </c>
      <c r="J3987" s="135" t="n">
        <f aca="false">$G3987*'Analyse capacite'!$D$8</f>
        <v>0</v>
      </c>
      <c r="K3987" s="135" t="n">
        <f aca="false">$G3987*'Analyse capacite'!$E$8</f>
        <v>0</v>
      </c>
    </row>
    <row r="3988" customFormat="false" ht="15" hidden="false" customHeight="false" outlineLevel="0" collapsed="false">
      <c r="B3988" s="130" t="n">
        <v>2027</v>
      </c>
      <c r="C3988" s="131" t="s">
        <v>249</v>
      </c>
      <c r="D3988" s="132" t="n">
        <v>46588</v>
      </c>
      <c r="E3988" s="131" t="s">
        <v>49</v>
      </c>
      <c r="F3988" s="133" t="s">
        <v>24</v>
      </c>
      <c r="G3988" s="134" t="n">
        <f aca="false">LEN('Saisie programme'!$E$153)+SUMIFS('Vols additionnels'!$E$7:$E$66,'Vols additionnels'!$C$7:$C$66,$E3988,'Vols additionnels'!$D$7:$D$66,$F3988,'Vols additionnels'!$B$7:$B$66,$D3988)</f>
        <v>0</v>
      </c>
      <c r="H3988" s="135" t="n">
        <f aca="false">$G3988*'Analyse capacite'!$F$9</f>
        <v>0</v>
      </c>
      <c r="I3988" s="135" t="n">
        <f aca="false">$G3988*'Analyse capacite'!$C$9</f>
        <v>0</v>
      </c>
      <c r="J3988" s="135" t="n">
        <f aca="false">$G3988*'Analyse capacite'!$D$9</f>
        <v>0</v>
      </c>
      <c r="K3988" s="135" t="n">
        <f aca="false">$G3988*'Analyse capacite'!$E$9</f>
        <v>0</v>
      </c>
    </row>
    <row r="3989" customFormat="false" ht="15" hidden="false" customHeight="false" outlineLevel="0" collapsed="false">
      <c r="B3989" s="130" t="n">
        <v>2027</v>
      </c>
      <c r="C3989" s="131" t="s">
        <v>249</v>
      </c>
      <c r="D3989" s="132" t="n">
        <v>46588</v>
      </c>
      <c r="E3989" s="131" t="s">
        <v>53</v>
      </c>
      <c r="F3989" s="133" t="s">
        <v>11</v>
      </c>
      <c r="G3989" s="134" t="n">
        <f aca="false">LEN('Saisie programme'!$E$154)+SUMIFS('Vols additionnels'!$E$7:$E$66,'Vols additionnels'!$C$7:$C$66,$E3989,'Vols additionnels'!$D$7:$D$66,$F3989,'Vols additionnels'!$B$7:$B$66,$D3989)</f>
        <v>0</v>
      </c>
      <c r="H3989" s="135" t="n">
        <f aca="false">$G3989*'Analyse capacite'!$F$7</f>
        <v>0</v>
      </c>
      <c r="I3989" s="135" t="n">
        <f aca="false">$G3989*'Analyse capacite'!$C$7</f>
        <v>0</v>
      </c>
      <c r="J3989" s="135" t="n">
        <f aca="false">$G3989*'Analyse capacite'!$D$7</f>
        <v>0</v>
      </c>
      <c r="K3989" s="135" t="n">
        <f aca="false">$G3989*'Analyse capacite'!$E$7</f>
        <v>0</v>
      </c>
    </row>
    <row r="3990" customFormat="false" ht="15" hidden="false" customHeight="false" outlineLevel="0" collapsed="false">
      <c r="B3990" s="130" t="n">
        <v>2027</v>
      </c>
      <c r="C3990" s="131" t="s">
        <v>249</v>
      </c>
      <c r="D3990" s="132" t="n">
        <v>46588</v>
      </c>
      <c r="E3990" s="131" t="s">
        <v>53</v>
      </c>
      <c r="F3990" s="133" t="s">
        <v>19</v>
      </c>
      <c r="G3990" s="134" t="n">
        <f aca="false">LEN('Saisie programme'!$E$155)+SUMIFS('Vols additionnels'!$E$7:$E$66,'Vols additionnels'!$C$7:$C$66,$E3990,'Vols additionnels'!$D$7:$D$66,$F3990,'Vols additionnels'!$B$7:$B$66,$D3990)</f>
        <v>0</v>
      </c>
      <c r="H3990" s="135" t="n">
        <f aca="false">$G3990*'Analyse capacite'!$F$8</f>
        <v>0</v>
      </c>
      <c r="I3990" s="135" t="n">
        <f aca="false">$G3990*'Analyse capacite'!$C$8</f>
        <v>0</v>
      </c>
      <c r="J3990" s="135" t="n">
        <f aca="false">$G3990*'Analyse capacite'!$D$8</f>
        <v>0</v>
      </c>
      <c r="K3990" s="135" t="n">
        <f aca="false">$G3990*'Analyse capacite'!$E$8</f>
        <v>0</v>
      </c>
    </row>
    <row r="3991" customFormat="false" ht="15" hidden="false" customHeight="false" outlineLevel="0" collapsed="false">
      <c r="B3991" s="130" t="n">
        <v>2027</v>
      </c>
      <c r="C3991" s="131" t="s">
        <v>249</v>
      </c>
      <c r="D3991" s="132" t="n">
        <v>46588</v>
      </c>
      <c r="E3991" s="131" t="s">
        <v>53</v>
      </c>
      <c r="F3991" s="133" t="s">
        <v>24</v>
      </c>
      <c r="G3991" s="134" t="n">
        <f aca="false">LEN('Saisie programme'!$E$156)+SUMIFS('Vols additionnels'!$E$7:$E$66,'Vols additionnels'!$C$7:$C$66,$E3991,'Vols additionnels'!$D$7:$D$66,$F3991,'Vols additionnels'!$B$7:$B$66,$D3991)</f>
        <v>0</v>
      </c>
      <c r="H3991" s="135" t="n">
        <f aca="false">$G3991*'Analyse capacite'!$F$9</f>
        <v>0</v>
      </c>
      <c r="I3991" s="135" t="n">
        <f aca="false">$G3991*'Analyse capacite'!$C$9</f>
        <v>0</v>
      </c>
      <c r="J3991" s="135" t="n">
        <f aca="false">$G3991*'Analyse capacite'!$D$9</f>
        <v>0</v>
      </c>
      <c r="K3991" s="135" t="n">
        <f aca="false">$G3991*'Analyse capacite'!$E$9</f>
        <v>0</v>
      </c>
    </row>
    <row r="3992" customFormat="false" ht="15" hidden="false" customHeight="false" outlineLevel="0" collapsed="false">
      <c r="B3992" s="130" t="n">
        <v>2027</v>
      </c>
      <c r="C3992" s="131" t="s">
        <v>249</v>
      </c>
      <c r="D3992" s="132" t="n">
        <v>46588</v>
      </c>
      <c r="E3992" s="131" t="s">
        <v>56</v>
      </c>
      <c r="F3992" s="133" t="s">
        <v>11</v>
      </c>
      <c r="G3992" s="134" t="n">
        <f aca="false">LEN('Saisie programme'!$E$157)+SUMIFS('Vols additionnels'!$E$7:$E$66,'Vols additionnels'!$C$7:$C$66,$E3992,'Vols additionnels'!$D$7:$D$66,$F3992,'Vols additionnels'!$B$7:$B$66,$D3992)</f>
        <v>0</v>
      </c>
      <c r="H3992" s="135" t="n">
        <f aca="false">$G3992*'Analyse capacite'!$F$7</f>
        <v>0</v>
      </c>
      <c r="I3992" s="135" t="n">
        <f aca="false">$G3992*'Analyse capacite'!$C$7</f>
        <v>0</v>
      </c>
      <c r="J3992" s="135" t="n">
        <f aca="false">$G3992*'Analyse capacite'!$D$7</f>
        <v>0</v>
      </c>
      <c r="K3992" s="135" t="n">
        <f aca="false">$G3992*'Analyse capacite'!$E$7</f>
        <v>0</v>
      </c>
    </row>
    <row r="3993" customFormat="false" ht="15" hidden="false" customHeight="false" outlineLevel="0" collapsed="false">
      <c r="B3993" s="130" t="n">
        <v>2027</v>
      </c>
      <c r="C3993" s="131" t="s">
        <v>249</v>
      </c>
      <c r="D3993" s="132" t="n">
        <v>46588</v>
      </c>
      <c r="E3993" s="131" t="s">
        <v>56</v>
      </c>
      <c r="F3993" s="133" t="s">
        <v>19</v>
      </c>
      <c r="G3993" s="134" t="n">
        <f aca="false">LEN('Saisie programme'!$E$158)+SUMIFS('Vols additionnels'!$E$7:$E$66,'Vols additionnels'!$C$7:$C$66,$E3993,'Vols additionnels'!$D$7:$D$66,$F3993,'Vols additionnels'!$B$7:$B$66,$D3993)</f>
        <v>0</v>
      </c>
      <c r="H3993" s="135" t="n">
        <f aca="false">$G3993*'Analyse capacite'!$F$8</f>
        <v>0</v>
      </c>
      <c r="I3993" s="135" t="n">
        <f aca="false">$G3993*'Analyse capacite'!$C$8</f>
        <v>0</v>
      </c>
      <c r="J3993" s="135" t="n">
        <f aca="false">$G3993*'Analyse capacite'!$D$8</f>
        <v>0</v>
      </c>
      <c r="K3993" s="135" t="n">
        <f aca="false">$G3993*'Analyse capacite'!$E$8</f>
        <v>0</v>
      </c>
    </row>
    <row r="3994" customFormat="false" ht="15" hidden="false" customHeight="false" outlineLevel="0" collapsed="false">
      <c r="B3994" s="130" t="n">
        <v>2027</v>
      </c>
      <c r="C3994" s="131" t="s">
        <v>249</v>
      </c>
      <c r="D3994" s="132" t="n">
        <v>46588</v>
      </c>
      <c r="E3994" s="131" t="s">
        <v>56</v>
      </c>
      <c r="F3994" s="133" t="s">
        <v>24</v>
      </c>
      <c r="G3994" s="134" t="n">
        <f aca="false">LEN('Saisie programme'!$E$159)+SUMIFS('Vols additionnels'!$E$7:$E$66,'Vols additionnels'!$C$7:$C$66,$E3994,'Vols additionnels'!$D$7:$D$66,$F3994,'Vols additionnels'!$B$7:$B$66,$D3994)</f>
        <v>1</v>
      </c>
      <c r="H3994" s="135" t="n">
        <f aca="false">$G3994*'Analyse capacite'!$F$9</f>
        <v>174</v>
      </c>
      <c r="I3994" s="135" t="n">
        <f aca="false">$G3994*'Analyse capacite'!$C$9</f>
        <v>0</v>
      </c>
      <c r="J3994" s="135" t="n">
        <f aca="false">$G3994*'Analyse capacite'!$D$9</f>
        <v>12</v>
      </c>
      <c r="K3994" s="135" t="n">
        <f aca="false">$G3994*'Analyse capacite'!$E$9</f>
        <v>162</v>
      </c>
    </row>
    <row r="3995" customFormat="false" ht="15" hidden="false" customHeight="false" outlineLevel="0" collapsed="false">
      <c r="B3995" s="130" t="n">
        <v>2027</v>
      </c>
      <c r="C3995" s="131" t="s">
        <v>249</v>
      </c>
      <c r="D3995" s="132" t="n">
        <v>46588</v>
      </c>
      <c r="E3995" s="131" t="s">
        <v>59</v>
      </c>
      <c r="F3995" s="133" t="s">
        <v>11</v>
      </c>
      <c r="G3995" s="134" t="n">
        <f aca="false">LEN('Saisie programme'!$E$160)+SUMIFS('Vols additionnels'!$E$7:$E$66,'Vols additionnels'!$C$7:$C$66,$E3995,'Vols additionnels'!$D$7:$D$66,$F3995,'Vols additionnels'!$B$7:$B$66,$D3995)</f>
        <v>0</v>
      </c>
      <c r="H3995" s="135" t="n">
        <f aca="false">$G3995*'Analyse capacite'!$F$7</f>
        <v>0</v>
      </c>
      <c r="I3995" s="135" t="n">
        <f aca="false">$G3995*'Analyse capacite'!$C$7</f>
        <v>0</v>
      </c>
      <c r="J3995" s="135" t="n">
        <f aca="false">$G3995*'Analyse capacite'!$D$7</f>
        <v>0</v>
      </c>
      <c r="K3995" s="135" t="n">
        <f aca="false">$G3995*'Analyse capacite'!$E$7</f>
        <v>0</v>
      </c>
    </row>
    <row r="3996" customFormat="false" ht="15" hidden="false" customHeight="false" outlineLevel="0" collapsed="false">
      <c r="B3996" s="130" t="n">
        <v>2027</v>
      </c>
      <c r="C3996" s="131" t="s">
        <v>249</v>
      </c>
      <c r="D3996" s="132" t="n">
        <v>46588</v>
      </c>
      <c r="E3996" s="131" t="s">
        <v>59</v>
      </c>
      <c r="F3996" s="133" t="s">
        <v>19</v>
      </c>
      <c r="G3996" s="134" t="n">
        <f aca="false">LEN('Saisie programme'!$E$161)+SUMIFS('Vols additionnels'!$E$7:$E$66,'Vols additionnels'!$C$7:$C$66,$E3996,'Vols additionnels'!$D$7:$D$66,$F3996,'Vols additionnels'!$B$7:$B$66,$D3996)</f>
        <v>0</v>
      </c>
      <c r="H3996" s="135" t="n">
        <f aca="false">$G3996*'Analyse capacite'!$F$8</f>
        <v>0</v>
      </c>
      <c r="I3996" s="135" t="n">
        <f aca="false">$G3996*'Analyse capacite'!$C$8</f>
        <v>0</v>
      </c>
      <c r="J3996" s="135" t="n">
        <f aca="false">$G3996*'Analyse capacite'!$D$8</f>
        <v>0</v>
      </c>
      <c r="K3996" s="135" t="n">
        <f aca="false">$G3996*'Analyse capacite'!$E$8</f>
        <v>0</v>
      </c>
    </row>
    <row r="3997" customFormat="false" ht="15" hidden="false" customHeight="false" outlineLevel="0" collapsed="false">
      <c r="B3997" s="130" t="n">
        <v>2027</v>
      </c>
      <c r="C3997" s="131" t="s">
        <v>249</v>
      </c>
      <c r="D3997" s="132" t="n">
        <v>46588</v>
      </c>
      <c r="E3997" s="131" t="s">
        <v>59</v>
      </c>
      <c r="F3997" s="133" t="s">
        <v>24</v>
      </c>
      <c r="G3997" s="134" t="n">
        <f aca="false">LEN('Saisie programme'!$E$162)+SUMIFS('Vols additionnels'!$E$7:$E$66,'Vols additionnels'!$C$7:$C$66,$E3997,'Vols additionnels'!$D$7:$D$66,$F3997,'Vols additionnels'!$B$7:$B$66,$D3997)</f>
        <v>1</v>
      </c>
      <c r="H3997" s="135" t="n">
        <f aca="false">$G3997*'Analyse capacite'!$F$9</f>
        <v>174</v>
      </c>
      <c r="I3997" s="135" t="n">
        <f aca="false">$G3997*'Analyse capacite'!$C$9</f>
        <v>0</v>
      </c>
      <c r="J3997" s="135" t="n">
        <f aca="false">$G3997*'Analyse capacite'!$D$9</f>
        <v>12</v>
      </c>
      <c r="K3997" s="135" t="n">
        <f aca="false">$G3997*'Analyse capacite'!$E$9</f>
        <v>162</v>
      </c>
    </row>
    <row r="3998" customFormat="false" ht="15" hidden="false" customHeight="false" outlineLevel="0" collapsed="false">
      <c r="B3998" s="130" t="n">
        <v>2027</v>
      </c>
      <c r="C3998" s="131" t="s">
        <v>249</v>
      </c>
      <c r="D3998" s="132" t="n">
        <v>46588</v>
      </c>
      <c r="E3998" s="131" t="s">
        <v>62</v>
      </c>
      <c r="F3998" s="133" t="s">
        <v>11</v>
      </c>
      <c r="G3998" s="134" t="n">
        <f aca="false">LEN('Saisie programme'!$E$163)+SUMIFS('Vols additionnels'!$E$7:$E$66,'Vols additionnels'!$C$7:$C$66,$E3998,'Vols additionnels'!$D$7:$D$66,$F3998,'Vols additionnels'!$B$7:$B$66,$D3998)</f>
        <v>0</v>
      </c>
      <c r="H3998" s="135" t="n">
        <f aca="false">$G3998*'Analyse capacite'!$F$7</f>
        <v>0</v>
      </c>
      <c r="I3998" s="135" t="n">
        <f aca="false">$G3998*'Analyse capacite'!$C$7</f>
        <v>0</v>
      </c>
      <c r="J3998" s="135" t="n">
        <f aca="false">$G3998*'Analyse capacite'!$D$7</f>
        <v>0</v>
      </c>
      <c r="K3998" s="135" t="n">
        <f aca="false">$G3998*'Analyse capacite'!$E$7</f>
        <v>0</v>
      </c>
    </row>
    <row r="3999" customFormat="false" ht="15" hidden="false" customHeight="false" outlineLevel="0" collapsed="false">
      <c r="B3999" s="130" t="n">
        <v>2027</v>
      </c>
      <c r="C3999" s="131" t="s">
        <v>249</v>
      </c>
      <c r="D3999" s="132" t="n">
        <v>46588</v>
      </c>
      <c r="E3999" s="131" t="s">
        <v>62</v>
      </c>
      <c r="F3999" s="133" t="s">
        <v>19</v>
      </c>
      <c r="G3999" s="134" t="n">
        <f aca="false">LEN('Saisie programme'!$E$164)+SUMIFS('Vols additionnels'!$E$7:$E$66,'Vols additionnels'!$C$7:$C$66,$E3999,'Vols additionnels'!$D$7:$D$66,$F3999,'Vols additionnels'!$B$7:$B$66,$D3999)</f>
        <v>0</v>
      </c>
      <c r="H3999" s="135" t="n">
        <f aca="false">$G3999*'Analyse capacite'!$F$8</f>
        <v>0</v>
      </c>
      <c r="I3999" s="135" t="n">
        <f aca="false">$G3999*'Analyse capacite'!$C$8</f>
        <v>0</v>
      </c>
      <c r="J3999" s="135" t="n">
        <f aca="false">$G3999*'Analyse capacite'!$D$8</f>
        <v>0</v>
      </c>
      <c r="K3999" s="135" t="n">
        <f aca="false">$G3999*'Analyse capacite'!$E$8</f>
        <v>0</v>
      </c>
    </row>
    <row r="4000" customFormat="false" ht="15" hidden="false" customHeight="false" outlineLevel="0" collapsed="false">
      <c r="B4000" s="130" t="n">
        <v>2027</v>
      </c>
      <c r="C4000" s="131" t="s">
        <v>249</v>
      </c>
      <c r="D4000" s="132" t="n">
        <v>46588</v>
      </c>
      <c r="E4000" s="131" t="s">
        <v>62</v>
      </c>
      <c r="F4000" s="133" t="s">
        <v>24</v>
      </c>
      <c r="G4000" s="134" t="n">
        <f aca="false">LEN('Saisie programme'!$E$165)+SUMIFS('Vols additionnels'!$E$7:$E$66,'Vols additionnels'!$C$7:$C$66,$E4000,'Vols additionnels'!$D$7:$D$66,$F4000,'Vols additionnels'!$B$7:$B$66,$D4000)</f>
        <v>0</v>
      </c>
      <c r="H4000" s="135" t="n">
        <f aca="false">$G4000*'Analyse capacite'!$F$9</f>
        <v>0</v>
      </c>
      <c r="I4000" s="135" t="n">
        <f aca="false">$G4000*'Analyse capacite'!$C$9</f>
        <v>0</v>
      </c>
      <c r="J4000" s="135" t="n">
        <f aca="false">$G4000*'Analyse capacite'!$D$9</f>
        <v>0</v>
      </c>
      <c r="K4000" s="135" t="n">
        <f aca="false">$G4000*'Analyse capacite'!$E$9</f>
        <v>0</v>
      </c>
    </row>
    <row r="4001" customFormat="false" ht="15" hidden="false" customHeight="false" outlineLevel="0" collapsed="false">
      <c r="B4001" s="130" t="n">
        <v>2027</v>
      </c>
      <c r="C4001" s="131" t="s">
        <v>249</v>
      </c>
      <c r="D4001" s="132" t="n">
        <v>46589</v>
      </c>
      <c r="E4001" s="131" t="s">
        <v>12</v>
      </c>
      <c r="F4001" s="133" t="s">
        <v>11</v>
      </c>
      <c r="G4001" s="134" t="n">
        <f aca="false">LEN('Saisie programme'!$F$130)+SUMIFS('Vols additionnels'!$E$7:$E$66,'Vols additionnels'!$C$7:$C$66,$E4001,'Vols additionnels'!$D$7:$D$66,$F4001,'Vols additionnels'!$B$7:$B$66,$D4001)</f>
        <v>1</v>
      </c>
      <c r="H4001" s="135" t="n">
        <f aca="false">$G4001*'Analyse capacite'!$F$7</f>
        <v>438</v>
      </c>
      <c r="I4001" s="135" t="n">
        <f aca="false">$G4001*'Analyse capacite'!$C$7</f>
        <v>14</v>
      </c>
      <c r="J4001" s="135" t="n">
        <f aca="false">$G4001*'Analyse capacite'!$D$7</f>
        <v>40</v>
      </c>
      <c r="K4001" s="135" t="n">
        <f aca="false">$G4001*'Analyse capacite'!$E$7</f>
        <v>384</v>
      </c>
    </row>
    <row r="4002" customFormat="false" ht="15" hidden="false" customHeight="false" outlineLevel="0" collapsed="false">
      <c r="B4002" s="130" t="n">
        <v>2027</v>
      </c>
      <c r="C4002" s="131" t="s">
        <v>249</v>
      </c>
      <c r="D4002" s="132" t="n">
        <v>46589</v>
      </c>
      <c r="E4002" s="131" t="s">
        <v>12</v>
      </c>
      <c r="F4002" s="133" t="s">
        <v>19</v>
      </c>
      <c r="G4002" s="134" t="n">
        <f aca="false">LEN('Saisie programme'!$F$131)+SUMIFS('Vols additionnels'!$E$7:$E$66,'Vols additionnels'!$C$7:$C$66,$E4002,'Vols additionnels'!$D$7:$D$66,$F4002,'Vols additionnels'!$B$7:$B$66,$D4002)</f>
        <v>0</v>
      </c>
      <c r="H4002" s="135" t="n">
        <f aca="false">$G4002*'Analyse capacite'!$F$8</f>
        <v>0</v>
      </c>
      <c r="I4002" s="135" t="n">
        <f aca="false">$G4002*'Analyse capacite'!$C$8</f>
        <v>0</v>
      </c>
      <c r="J4002" s="135" t="n">
        <f aca="false">$G4002*'Analyse capacite'!$D$8</f>
        <v>0</v>
      </c>
      <c r="K4002" s="135" t="n">
        <f aca="false">$G4002*'Analyse capacite'!$E$8</f>
        <v>0</v>
      </c>
    </row>
    <row r="4003" customFormat="false" ht="15" hidden="false" customHeight="false" outlineLevel="0" collapsed="false">
      <c r="B4003" s="130" t="n">
        <v>2027</v>
      </c>
      <c r="C4003" s="131" t="s">
        <v>249</v>
      </c>
      <c r="D4003" s="132" t="n">
        <v>46589</v>
      </c>
      <c r="E4003" s="131" t="s">
        <v>12</v>
      </c>
      <c r="F4003" s="133" t="s">
        <v>24</v>
      </c>
      <c r="G4003" s="134" t="n">
        <f aca="false">LEN('Saisie programme'!$F$132)+SUMIFS('Vols additionnels'!$E$7:$E$66,'Vols additionnels'!$C$7:$C$66,$E4003,'Vols additionnels'!$D$7:$D$66,$F4003,'Vols additionnels'!$B$7:$B$66,$D4003)</f>
        <v>0</v>
      </c>
      <c r="H4003" s="135" t="n">
        <f aca="false">$G4003*'Analyse capacite'!$F$9</f>
        <v>0</v>
      </c>
      <c r="I4003" s="135" t="n">
        <f aca="false">$G4003*'Analyse capacite'!$C$9</f>
        <v>0</v>
      </c>
      <c r="J4003" s="135" t="n">
        <f aca="false">$G4003*'Analyse capacite'!$D$9</f>
        <v>0</v>
      </c>
      <c r="K4003" s="135" t="n">
        <f aca="false">$G4003*'Analyse capacite'!$E$9</f>
        <v>0</v>
      </c>
    </row>
    <row r="4004" customFormat="false" ht="15" hidden="false" customHeight="false" outlineLevel="0" collapsed="false">
      <c r="B4004" s="130" t="n">
        <v>2027</v>
      </c>
      <c r="C4004" s="131" t="s">
        <v>249</v>
      </c>
      <c r="D4004" s="132" t="n">
        <v>46589</v>
      </c>
      <c r="E4004" s="131" t="s">
        <v>20</v>
      </c>
      <c r="F4004" s="133" t="s">
        <v>11</v>
      </c>
      <c r="G4004" s="134" t="n">
        <f aca="false">LEN('Saisie programme'!$F$133)+SUMIFS('Vols additionnels'!$E$7:$E$66,'Vols additionnels'!$C$7:$C$66,$E4004,'Vols additionnels'!$D$7:$D$66,$F4004,'Vols additionnels'!$B$7:$B$66,$D4004)</f>
        <v>0</v>
      </c>
      <c r="H4004" s="135" t="n">
        <f aca="false">$G4004*'Analyse capacite'!$F$7</f>
        <v>0</v>
      </c>
      <c r="I4004" s="135" t="n">
        <f aca="false">$G4004*'Analyse capacite'!$C$7</f>
        <v>0</v>
      </c>
      <c r="J4004" s="135" t="n">
        <f aca="false">$G4004*'Analyse capacite'!$D$7</f>
        <v>0</v>
      </c>
      <c r="K4004" s="135" t="n">
        <f aca="false">$G4004*'Analyse capacite'!$E$7</f>
        <v>0</v>
      </c>
    </row>
    <row r="4005" customFormat="false" ht="15" hidden="false" customHeight="false" outlineLevel="0" collapsed="false">
      <c r="B4005" s="130" t="n">
        <v>2027</v>
      </c>
      <c r="C4005" s="131" t="s">
        <v>249</v>
      </c>
      <c r="D4005" s="132" t="n">
        <v>46589</v>
      </c>
      <c r="E4005" s="131" t="s">
        <v>20</v>
      </c>
      <c r="F4005" s="133" t="s">
        <v>19</v>
      </c>
      <c r="G4005" s="134" t="n">
        <f aca="false">LEN('Saisie programme'!$F$134)+SUMIFS('Vols additionnels'!$E$7:$E$66,'Vols additionnels'!$C$7:$C$66,$E4005,'Vols additionnels'!$D$7:$D$66,$F4005,'Vols additionnels'!$B$7:$B$66,$D4005)</f>
        <v>0</v>
      </c>
      <c r="H4005" s="135" t="n">
        <f aca="false">$G4005*'Analyse capacite'!$F$8</f>
        <v>0</v>
      </c>
      <c r="I4005" s="135" t="n">
        <f aca="false">$G4005*'Analyse capacite'!$C$8</f>
        <v>0</v>
      </c>
      <c r="J4005" s="135" t="n">
        <f aca="false">$G4005*'Analyse capacite'!$D$8</f>
        <v>0</v>
      </c>
      <c r="K4005" s="135" t="n">
        <f aca="false">$G4005*'Analyse capacite'!$E$8</f>
        <v>0</v>
      </c>
    </row>
    <row r="4006" customFormat="false" ht="15" hidden="false" customHeight="false" outlineLevel="0" collapsed="false">
      <c r="B4006" s="130" t="n">
        <v>2027</v>
      </c>
      <c r="C4006" s="131" t="s">
        <v>249</v>
      </c>
      <c r="D4006" s="132" t="n">
        <v>46589</v>
      </c>
      <c r="E4006" s="131" t="s">
        <v>20</v>
      </c>
      <c r="F4006" s="133" t="s">
        <v>24</v>
      </c>
      <c r="G4006" s="134" t="n">
        <f aca="false">LEN('Saisie programme'!$F$135)+SUMIFS('Vols additionnels'!$E$7:$E$66,'Vols additionnels'!$C$7:$C$66,$E4006,'Vols additionnels'!$D$7:$D$66,$F4006,'Vols additionnels'!$B$7:$B$66,$D4006)</f>
        <v>0</v>
      </c>
      <c r="H4006" s="135" t="n">
        <f aca="false">$G4006*'Analyse capacite'!$F$9</f>
        <v>0</v>
      </c>
      <c r="I4006" s="135" t="n">
        <f aca="false">$G4006*'Analyse capacite'!$C$9</f>
        <v>0</v>
      </c>
      <c r="J4006" s="135" t="n">
        <f aca="false">$G4006*'Analyse capacite'!$D$9</f>
        <v>0</v>
      </c>
      <c r="K4006" s="135" t="n">
        <f aca="false">$G4006*'Analyse capacite'!$E$9</f>
        <v>0</v>
      </c>
    </row>
    <row r="4007" customFormat="false" ht="15" hidden="false" customHeight="false" outlineLevel="0" collapsed="false">
      <c r="B4007" s="130" t="n">
        <v>2027</v>
      </c>
      <c r="C4007" s="131" t="s">
        <v>249</v>
      </c>
      <c r="D4007" s="132" t="n">
        <v>46589</v>
      </c>
      <c r="E4007" s="131" t="s">
        <v>25</v>
      </c>
      <c r="F4007" s="133" t="s">
        <v>11</v>
      </c>
      <c r="G4007" s="134" t="n">
        <f aca="false">LEN('Saisie programme'!$F$136)+SUMIFS('Vols additionnels'!$E$7:$E$66,'Vols additionnels'!$C$7:$C$66,$E4007,'Vols additionnels'!$D$7:$D$66,$F4007,'Vols additionnels'!$B$7:$B$66,$D4007)</f>
        <v>0</v>
      </c>
      <c r="H4007" s="135" t="n">
        <f aca="false">$G4007*'Analyse capacite'!$F$7</f>
        <v>0</v>
      </c>
      <c r="I4007" s="135" t="n">
        <f aca="false">$G4007*'Analyse capacite'!$C$7</f>
        <v>0</v>
      </c>
      <c r="J4007" s="135" t="n">
        <f aca="false">$G4007*'Analyse capacite'!$D$7</f>
        <v>0</v>
      </c>
      <c r="K4007" s="135" t="n">
        <f aca="false">$G4007*'Analyse capacite'!$E$7</f>
        <v>0</v>
      </c>
    </row>
    <row r="4008" customFormat="false" ht="15" hidden="false" customHeight="false" outlineLevel="0" collapsed="false">
      <c r="B4008" s="130" t="n">
        <v>2027</v>
      </c>
      <c r="C4008" s="131" t="s">
        <v>249</v>
      </c>
      <c r="D4008" s="132" t="n">
        <v>46589</v>
      </c>
      <c r="E4008" s="131" t="s">
        <v>25</v>
      </c>
      <c r="F4008" s="133" t="s">
        <v>19</v>
      </c>
      <c r="G4008" s="134" t="n">
        <f aca="false">LEN('Saisie programme'!$F$137)+SUMIFS('Vols additionnels'!$E$7:$E$66,'Vols additionnels'!$C$7:$C$66,$E4008,'Vols additionnels'!$D$7:$D$66,$F4008,'Vols additionnels'!$B$7:$B$66,$D4008)</f>
        <v>1</v>
      </c>
      <c r="H4008" s="135" t="n">
        <f aca="false">$G4008*'Analyse capacite'!$F$8</f>
        <v>262</v>
      </c>
      <c r="I4008" s="135" t="n">
        <f aca="false">$G4008*'Analyse capacite'!$C$8</f>
        <v>18</v>
      </c>
      <c r="J4008" s="135" t="n">
        <f aca="false">$G4008*'Analyse capacite'!$D$8</f>
        <v>0</v>
      </c>
      <c r="K4008" s="135" t="n">
        <f aca="false">$G4008*'Analyse capacite'!$E$8</f>
        <v>244</v>
      </c>
    </row>
    <row r="4009" customFormat="false" ht="15" hidden="false" customHeight="false" outlineLevel="0" collapsed="false">
      <c r="B4009" s="130" t="n">
        <v>2027</v>
      </c>
      <c r="C4009" s="131" t="s">
        <v>249</v>
      </c>
      <c r="D4009" s="132" t="n">
        <v>46589</v>
      </c>
      <c r="E4009" s="131" t="s">
        <v>25</v>
      </c>
      <c r="F4009" s="133" t="s">
        <v>24</v>
      </c>
      <c r="G4009" s="134" t="n">
        <f aca="false">LEN('Saisie programme'!$F$138)+SUMIFS('Vols additionnels'!$E$7:$E$66,'Vols additionnels'!$C$7:$C$66,$E4009,'Vols additionnels'!$D$7:$D$66,$F4009,'Vols additionnels'!$B$7:$B$66,$D4009)</f>
        <v>0</v>
      </c>
      <c r="H4009" s="135" t="n">
        <f aca="false">$G4009*'Analyse capacite'!$F$9</f>
        <v>0</v>
      </c>
      <c r="I4009" s="135" t="n">
        <f aca="false">$G4009*'Analyse capacite'!$C$9</f>
        <v>0</v>
      </c>
      <c r="J4009" s="135" t="n">
        <f aca="false">$G4009*'Analyse capacite'!$D$9</f>
        <v>0</v>
      </c>
      <c r="K4009" s="135" t="n">
        <f aca="false">$G4009*'Analyse capacite'!$E$9</f>
        <v>0</v>
      </c>
    </row>
    <row r="4010" customFormat="false" ht="15" hidden="false" customHeight="false" outlineLevel="0" collapsed="false">
      <c r="B4010" s="130" t="n">
        <v>2027</v>
      </c>
      <c r="C4010" s="131" t="s">
        <v>249</v>
      </c>
      <c r="D4010" s="132" t="n">
        <v>46589</v>
      </c>
      <c r="E4010" s="131" t="s">
        <v>36</v>
      </c>
      <c r="F4010" s="133" t="s">
        <v>11</v>
      </c>
      <c r="G4010" s="134" t="n">
        <f aca="false">LEN('Saisie programme'!$F$139)+SUMIFS('Vols additionnels'!$E$7:$E$66,'Vols additionnels'!$C$7:$C$66,$E4010,'Vols additionnels'!$D$7:$D$66,$F4010,'Vols additionnels'!$B$7:$B$66,$D4010)</f>
        <v>0</v>
      </c>
      <c r="H4010" s="135" t="n">
        <f aca="false">$G4010*'Analyse capacite'!$F$7</f>
        <v>0</v>
      </c>
      <c r="I4010" s="135" t="n">
        <f aca="false">$G4010*'Analyse capacite'!$C$7</f>
        <v>0</v>
      </c>
      <c r="J4010" s="135" t="n">
        <f aca="false">$G4010*'Analyse capacite'!$D$7</f>
        <v>0</v>
      </c>
      <c r="K4010" s="135" t="n">
        <f aca="false">$G4010*'Analyse capacite'!$E$7</f>
        <v>0</v>
      </c>
    </row>
    <row r="4011" customFormat="false" ht="15" hidden="false" customHeight="false" outlineLevel="0" collapsed="false">
      <c r="B4011" s="130" t="n">
        <v>2027</v>
      </c>
      <c r="C4011" s="131" t="s">
        <v>249</v>
      </c>
      <c r="D4011" s="132" t="n">
        <v>46589</v>
      </c>
      <c r="E4011" s="131" t="s">
        <v>36</v>
      </c>
      <c r="F4011" s="133" t="s">
        <v>19</v>
      </c>
      <c r="G4011" s="134" t="n">
        <f aca="false">LEN('Saisie programme'!$F$140)+SUMIFS('Vols additionnels'!$E$7:$E$66,'Vols additionnels'!$C$7:$C$66,$E4011,'Vols additionnels'!$D$7:$D$66,$F4011,'Vols additionnels'!$B$7:$B$66,$D4011)</f>
        <v>1</v>
      </c>
      <c r="H4011" s="135" t="n">
        <f aca="false">$G4011*'Analyse capacite'!$F$8</f>
        <v>262</v>
      </c>
      <c r="I4011" s="135" t="n">
        <f aca="false">$G4011*'Analyse capacite'!$C$8</f>
        <v>18</v>
      </c>
      <c r="J4011" s="135" t="n">
        <f aca="false">$G4011*'Analyse capacite'!$D$8</f>
        <v>0</v>
      </c>
      <c r="K4011" s="135" t="n">
        <f aca="false">$G4011*'Analyse capacite'!$E$8</f>
        <v>244</v>
      </c>
    </row>
    <row r="4012" customFormat="false" ht="15" hidden="false" customHeight="false" outlineLevel="0" collapsed="false">
      <c r="B4012" s="130" t="n">
        <v>2027</v>
      </c>
      <c r="C4012" s="131" t="s">
        <v>249</v>
      </c>
      <c r="D4012" s="132" t="n">
        <v>46589</v>
      </c>
      <c r="E4012" s="131" t="s">
        <v>36</v>
      </c>
      <c r="F4012" s="133" t="s">
        <v>24</v>
      </c>
      <c r="G4012" s="134" t="n">
        <f aca="false">LEN('Saisie programme'!$F$141)+SUMIFS('Vols additionnels'!$E$7:$E$66,'Vols additionnels'!$C$7:$C$66,$E4012,'Vols additionnels'!$D$7:$D$66,$F4012,'Vols additionnels'!$B$7:$B$66,$D4012)</f>
        <v>1</v>
      </c>
      <c r="H4012" s="135" t="n">
        <f aca="false">$G4012*'Analyse capacite'!$F$9</f>
        <v>174</v>
      </c>
      <c r="I4012" s="135" t="n">
        <f aca="false">$G4012*'Analyse capacite'!$C$9</f>
        <v>0</v>
      </c>
      <c r="J4012" s="135" t="n">
        <f aca="false">$G4012*'Analyse capacite'!$D$9</f>
        <v>12</v>
      </c>
      <c r="K4012" s="135" t="n">
        <f aca="false">$G4012*'Analyse capacite'!$E$9</f>
        <v>162</v>
      </c>
    </row>
    <row r="4013" customFormat="false" ht="15" hidden="false" customHeight="false" outlineLevel="0" collapsed="false">
      <c r="B4013" s="130" t="n">
        <v>2027</v>
      </c>
      <c r="C4013" s="131" t="s">
        <v>249</v>
      </c>
      <c r="D4013" s="132" t="n">
        <v>46589</v>
      </c>
      <c r="E4013" s="131" t="s">
        <v>40</v>
      </c>
      <c r="F4013" s="133" t="s">
        <v>11</v>
      </c>
      <c r="G4013" s="134" t="n">
        <f aca="false">LEN('Saisie programme'!$F$142)+SUMIFS('Vols additionnels'!$E$7:$E$66,'Vols additionnels'!$C$7:$C$66,$E4013,'Vols additionnels'!$D$7:$D$66,$F4013,'Vols additionnels'!$B$7:$B$66,$D4013)</f>
        <v>0</v>
      </c>
      <c r="H4013" s="135" t="n">
        <f aca="false">$G4013*'Analyse capacite'!$F$7</f>
        <v>0</v>
      </c>
      <c r="I4013" s="135" t="n">
        <f aca="false">$G4013*'Analyse capacite'!$C$7</f>
        <v>0</v>
      </c>
      <c r="J4013" s="135" t="n">
        <f aca="false">$G4013*'Analyse capacite'!$D$7</f>
        <v>0</v>
      </c>
      <c r="K4013" s="135" t="n">
        <f aca="false">$G4013*'Analyse capacite'!$E$7</f>
        <v>0</v>
      </c>
    </row>
    <row r="4014" customFormat="false" ht="15" hidden="false" customHeight="false" outlineLevel="0" collapsed="false">
      <c r="B4014" s="130" t="n">
        <v>2027</v>
      </c>
      <c r="C4014" s="131" t="s">
        <v>249</v>
      </c>
      <c r="D4014" s="132" t="n">
        <v>46589</v>
      </c>
      <c r="E4014" s="131" t="s">
        <v>40</v>
      </c>
      <c r="F4014" s="133" t="s">
        <v>19</v>
      </c>
      <c r="G4014" s="134" t="n">
        <f aca="false">LEN('Saisie programme'!$F$143)+SUMIFS('Vols additionnels'!$E$7:$E$66,'Vols additionnels'!$C$7:$C$66,$E4014,'Vols additionnels'!$D$7:$D$66,$F4014,'Vols additionnels'!$B$7:$B$66,$D4014)</f>
        <v>0</v>
      </c>
      <c r="H4014" s="135" t="n">
        <f aca="false">$G4014*'Analyse capacite'!$F$8</f>
        <v>0</v>
      </c>
      <c r="I4014" s="135" t="n">
        <f aca="false">$G4014*'Analyse capacite'!$C$8</f>
        <v>0</v>
      </c>
      <c r="J4014" s="135" t="n">
        <f aca="false">$G4014*'Analyse capacite'!$D$8</f>
        <v>0</v>
      </c>
      <c r="K4014" s="135" t="n">
        <f aca="false">$G4014*'Analyse capacite'!$E$8</f>
        <v>0</v>
      </c>
    </row>
    <row r="4015" customFormat="false" ht="15" hidden="false" customHeight="false" outlineLevel="0" collapsed="false">
      <c r="B4015" s="130" t="n">
        <v>2027</v>
      </c>
      <c r="C4015" s="131" t="s">
        <v>249</v>
      </c>
      <c r="D4015" s="132" t="n">
        <v>46589</v>
      </c>
      <c r="E4015" s="131" t="s">
        <v>40</v>
      </c>
      <c r="F4015" s="133" t="s">
        <v>24</v>
      </c>
      <c r="G4015" s="134" t="n">
        <f aca="false">LEN('Saisie programme'!$F$144)+SUMIFS('Vols additionnels'!$E$7:$E$66,'Vols additionnels'!$C$7:$C$66,$E4015,'Vols additionnels'!$D$7:$D$66,$F4015,'Vols additionnels'!$B$7:$B$66,$D4015)</f>
        <v>1</v>
      </c>
      <c r="H4015" s="135" t="n">
        <f aca="false">$G4015*'Analyse capacite'!$F$9</f>
        <v>174</v>
      </c>
      <c r="I4015" s="135" t="n">
        <f aca="false">$G4015*'Analyse capacite'!$C$9</f>
        <v>0</v>
      </c>
      <c r="J4015" s="135" t="n">
        <f aca="false">$G4015*'Analyse capacite'!$D$9</f>
        <v>12</v>
      </c>
      <c r="K4015" s="135" t="n">
        <f aca="false">$G4015*'Analyse capacite'!$E$9</f>
        <v>162</v>
      </c>
    </row>
    <row r="4016" customFormat="false" ht="15" hidden="false" customHeight="false" outlineLevel="0" collapsed="false">
      <c r="B4016" s="130" t="n">
        <v>2027</v>
      </c>
      <c r="C4016" s="131" t="s">
        <v>249</v>
      </c>
      <c r="D4016" s="132" t="n">
        <v>46589</v>
      </c>
      <c r="E4016" s="131" t="s">
        <v>14</v>
      </c>
      <c r="F4016" s="133" t="s">
        <v>11</v>
      </c>
      <c r="G4016" s="134" t="n">
        <f aca="false">LEN('Saisie programme'!$F$145)+SUMIFS('Vols additionnels'!$E$7:$E$66,'Vols additionnels'!$C$7:$C$66,$E4016,'Vols additionnels'!$D$7:$D$66,$F4016,'Vols additionnels'!$B$7:$B$66,$D4016)</f>
        <v>0</v>
      </c>
      <c r="H4016" s="135" t="n">
        <f aca="false">$G4016*'Analyse capacite'!$F$7</f>
        <v>0</v>
      </c>
      <c r="I4016" s="135" t="n">
        <f aca="false">$G4016*'Analyse capacite'!$C$7</f>
        <v>0</v>
      </c>
      <c r="J4016" s="135" t="n">
        <f aca="false">$G4016*'Analyse capacite'!$D$7</f>
        <v>0</v>
      </c>
      <c r="K4016" s="135" t="n">
        <f aca="false">$G4016*'Analyse capacite'!$E$7</f>
        <v>0</v>
      </c>
    </row>
    <row r="4017" customFormat="false" ht="15" hidden="false" customHeight="false" outlineLevel="0" collapsed="false">
      <c r="B4017" s="130" t="n">
        <v>2027</v>
      </c>
      <c r="C4017" s="131" t="s">
        <v>249</v>
      </c>
      <c r="D4017" s="132" t="n">
        <v>46589</v>
      </c>
      <c r="E4017" s="131" t="s">
        <v>14</v>
      </c>
      <c r="F4017" s="133" t="s">
        <v>19</v>
      </c>
      <c r="G4017" s="134" t="n">
        <f aca="false">LEN('Saisie programme'!$F$146)+SUMIFS('Vols additionnels'!$E$7:$E$66,'Vols additionnels'!$C$7:$C$66,$E4017,'Vols additionnels'!$D$7:$D$66,$F4017,'Vols additionnels'!$B$7:$B$66,$D4017)</f>
        <v>0</v>
      </c>
      <c r="H4017" s="135" t="n">
        <f aca="false">$G4017*'Analyse capacite'!$F$8</f>
        <v>0</v>
      </c>
      <c r="I4017" s="135" t="n">
        <f aca="false">$G4017*'Analyse capacite'!$C$8</f>
        <v>0</v>
      </c>
      <c r="J4017" s="135" t="n">
        <f aca="false">$G4017*'Analyse capacite'!$D$8</f>
        <v>0</v>
      </c>
      <c r="K4017" s="135" t="n">
        <f aca="false">$G4017*'Analyse capacite'!$E$8</f>
        <v>0</v>
      </c>
    </row>
    <row r="4018" customFormat="false" ht="15" hidden="false" customHeight="false" outlineLevel="0" collapsed="false">
      <c r="B4018" s="130" t="n">
        <v>2027</v>
      </c>
      <c r="C4018" s="131" t="s">
        <v>249</v>
      </c>
      <c r="D4018" s="132" t="n">
        <v>46589</v>
      </c>
      <c r="E4018" s="131" t="s">
        <v>14</v>
      </c>
      <c r="F4018" s="133" t="s">
        <v>24</v>
      </c>
      <c r="G4018" s="134" t="n">
        <f aca="false">LEN('Saisie programme'!$F$147)+SUMIFS('Vols additionnels'!$E$7:$E$66,'Vols additionnels'!$C$7:$C$66,$E4018,'Vols additionnels'!$D$7:$D$66,$F4018,'Vols additionnels'!$B$7:$B$66,$D4018)</f>
        <v>1</v>
      </c>
      <c r="H4018" s="135" t="n">
        <f aca="false">$G4018*'Analyse capacite'!$F$9</f>
        <v>174</v>
      </c>
      <c r="I4018" s="135" t="n">
        <f aca="false">$G4018*'Analyse capacite'!$C$9</f>
        <v>0</v>
      </c>
      <c r="J4018" s="135" t="n">
        <f aca="false">$G4018*'Analyse capacite'!$D$9</f>
        <v>12</v>
      </c>
      <c r="K4018" s="135" t="n">
        <f aca="false">$G4018*'Analyse capacite'!$E$9</f>
        <v>162</v>
      </c>
    </row>
    <row r="4019" customFormat="false" ht="15" hidden="false" customHeight="false" outlineLevel="0" collapsed="false">
      <c r="B4019" s="130" t="n">
        <v>2027</v>
      </c>
      <c r="C4019" s="131" t="s">
        <v>249</v>
      </c>
      <c r="D4019" s="132" t="n">
        <v>46589</v>
      </c>
      <c r="E4019" s="131" t="s">
        <v>46</v>
      </c>
      <c r="F4019" s="133" t="s">
        <v>11</v>
      </c>
      <c r="G4019" s="134" t="n">
        <f aca="false">LEN('Saisie programme'!$F$148)+SUMIFS('Vols additionnels'!$E$7:$E$66,'Vols additionnels'!$C$7:$C$66,$E4019,'Vols additionnels'!$D$7:$D$66,$F4019,'Vols additionnels'!$B$7:$B$66,$D4019)</f>
        <v>0</v>
      </c>
      <c r="H4019" s="135" t="n">
        <f aca="false">$G4019*'Analyse capacite'!$F$7</f>
        <v>0</v>
      </c>
      <c r="I4019" s="135" t="n">
        <f aca="false">$G4019*'Analyse capacite'!$C$7</f>
        <v>0</v>
      </c>
      <c r="J4019" s="135" t="n">
        <f aca="false">$G4019*'Analyse capacite'!$D$7</f>
        <v>0</v>
      </c>
      <c r="K4019" s="135" t="n">
        <f aca="false">$G4019*'Analyse capacite'!$E$7</f>
        <v>0</v>
      </c>
    </row>
    <row r="4020" customFormat="false" ht="15" hidden="false" customHeight="false" outlineLevel="0" collapsed="false">
      <c r="B4020" s="130" t="n">
        <v>2027</v>
      </c>
      <c r="C4020" s="131" t="s">
        <v>249</v>
      </c>
      <c r="D4020" s="132" t="n">
        <v>46589</v>
      </c>
      <c r="E4020" s="131" t="s">
        <v>46</v>
      </c>
      <c r="F4020" s="133" t="s">
        <v>19</v>
      </c>
      <c r="G4020" s="134" t="n">
        <f aca="false">LEN('Saisie programme'!$F$149)+SUMIFS('Vols additionnels'!$E$7:$E$66,'Vols additionnels'!$C$7:$C$66,$E4020,'Vols additionnels'!$D$7:$D$66,$F4020,'Vols additionnels'!$B$7:$B$66,$D4020)</f>
        <v>0</v>
      </c>
      <c r="H4020" s="135" t="n">
        <f aca="false">$G4020*'Analyse capacite'!$F$8</f>
        <v>0</v>
      </c>
      <c r="I4020" s="135" t="n">
        <f aca="false">$G4020*'Analyse capacite'!$C$8</f>
        <v>0</v>
      </c>
      <c r="J4020" s="135" t="n">
        <f aca="false">$G4020*'Analyse capacite'!$D$8</f>
        <v>0</v>
      </c>
      <c r="K4020" s="135" t="n">
        <f aca="false">$G4020*'Analyse capacite'!$E$8</f>
        <v>0</v>
      </c>
    </row>
    <row r="4021" customFormat="false" ht="15" hidden="false" customHeight="false" outlineLevel="0" collapsed="false">
      <c r="B4021" s="130" t="n">
        <v>2027</v>
      </c>
      <c r="C4021" s="131" t="s">
        <v>249</v>
      </c>
      <c r="D4021" s="132" t="n">
        <v>46589</v>
      </c>
      <c r="E4021" s="131" t="s">
        <v>46</v>
      </c>
      <c r="F4021" s="133" t="s">
        <v>24</v>
      </c>
      <c r="G4021" s="134" t="n">
        <f aca="false">LEN('Saisie programme'!$F$150)+SUMIFS('Vols additionnels'!$E$7:$E$66,'Vols additionnels'!$C$7:$C$66,$E4021,'Vols additionnels'!$D$7:$D$66,$F4021,'Vols additionnels'!$B$7:$B$66,$D4021)</f>
        <v>0</v>
      </c>
      <c r="H4021" s="135" t="n">
        <f aca="false">$G4021*'Analyse capacite'!$F$9</f>
        <v>0</v>
      </c>
      <c r="I4021" s="135" t="n">
        <f aca="false">$G4021*'Analyse capacite'!$C$9</f>
        <v>0</v>
      </c>
      <c r="J4021" s="135" t="n">
        <f aca="false">$G4021*'Analyse capacite'!$D$9</f>
        <v>0</v>
      </c>
      <c r="K4021" s="135" t="n">
        <f aca="false">$G4021*'Analyse capacite'!$E$9</f>
        <v>0</v>
      </c>
    </row>
    <row r="4022" customFormat="false" ht="15" hidden="false" customHeight="false" outlineLevel="0" collapsed="false">
      <c r="B4022" s="130" t="n">
        <v>2027</v>
      </c>
      <c r="C4022" s="131" t="s">
        <v>249</v>
      </c>
      <c r="D4022" s="132" t="n">
        <v>46589</v>
      </c>
      <c r="E4022" s="131" t="s">
        <v>49</v>
      </c>
      <c r="F4022" s="133" t="s">
        <v>11</v>
      </c>
      <c r="G4022" s="134" t="n">
        <f aca="false">LEN('Saisie programme'!$F$151)+SUMIFS('Vols additionnels'!$E$7:$E$66,'Vols additionnels'!$C$7:$C$66,$E4022,'Vols additionnels'!$D$7:$D$66,$F4022,'Vols additionnels'!$B$7:$B$66,$D4022)</f>
        <v>0</v>
      </c>
      <c r="H4022" s="135" t="n">
        <f aca="false">$G4022*'Analyse capacite'!$F$7</f>
        <v>0</v>
      </c>
      <c r="I4022" s="135" t="n">
        <f aca="false">$G4022*'Analyse capacite'!$C$7</f>
        <v>0</v>
      </c>
      <c r="J4022" s="135" t="n">
        <f aca="false">$G4022*'Analyse capacite'!$D$7</f>
        <v>0</v>
      </c>
      <c r="K4022" s="135" t="n">
        <f aca="false">$G4022*'Analyse capacite'!$E$7</f>
        <v>0</v>
      </c>
    </row>
    <row r="4023" customFormat="false" ht="15" hidden="false" customHeight="false" outlineLevel="0" collapsed="false">
      <c r="B4023" s="130" t="n">
        <v>2027</v>
      </c>
      <c r="C4023" s="131" t="s">
        <v>249</v>
      </c>
      <c r="D4023" s="132" t="n">
        <v>46589</v>
      </c>
      <c r="E4023" s="131" t="s">
        <v>49</v>
      </c>
      <c r="F4023" s="133" t="s">
        <v>19</v>
      </c>
      <c r="G4023" s="134" t="n">
        <f aca="false">LEN('Saisie programme'!$F$152)+SUMIFS('Vols additionnels'!$E$7:$E$66,'Vols additionnels'!$C$7:$C$66,$E4023,'Vols additionnels'!$D$7:$D$66,$F4023,'Vols additionnels'!$B$7:$B$66,$D4023)</f>
        <v>0</v>
      </c>
      <c r="H4023" s="135" t="n">
        <f aca="false">$G4023*'Analyse capacite'!$F$8</f>
        <v>0</v>
      </c>
      <c r="I4023" s="135" t="n">
        <f aca="false">$G4023*'Analyse capacite'!$C$8</f>
        <v>0</v>
      </c>
      <c r="J4023" s="135" t="n">
        <f aca="false">$G4023*'Analyse capacite'!$D$8</f>
        <v>0</v>
      </c>
      <c r="K4023" s="135" t="n">
        <f aca="false">$G4023*'Analyse capacite'!$E$8</f>
        <v>0</v>
      </c>
    </row>
    <row r="4024" customFormat="false" ht="15" hidden="false" customHeight="false" outlineLevel="0" collapsed="false">
      <c r="B4024" s="130" t="n">
        <v>2027</v>
      </c>
      <c r="C4024" s="131" t="s">
        <v>249</v>
      </c>
      <c r="D4024" s="132" t="n">
        <v>46589</v>
      </c>
      <c r="E4024" s="131" t="s">
        <v>49</v>
      </c>
      <c r="F4024" s="133" t="s">
        <v>24</v>
      </c>
      <c r="G4024" s="134" t="n">
        <f aca="false">LEN('Saisie programme'!$F$153)+SUMIFS('Vols additionnels'!$E$7:$E$66,'Vols additionnels'!$C$7:$C$66,$E4024,'Vols additionnels'!$D$7:$D$66,$F4024,'Vols additionnels'!$B$7:$B$66,$D4024)</f>
        <v>0</v>
      </c>
      <c r="H4024" s="135" t="n">
        <f aca="false">$G4024*'Analyse capacite'!$F$9</f>
        <v>0</v>
      </c>
      <c r="I4024" s="135" t="n">
        <f aca="false">$G4024*'Analyse capacite'!$C$9</f>
        <v>0</v>
      </c>
      <c r="J4024" s="135" t="n">
        <f aca="false">$G4024*'Analyse capacite'!$D$9</f>
        <v>0</v>
      </c>
      <c r="K4024" s="135" t="n">
        <f aca="false">$G4024*'Analyse capacite'!$E$9</f>
        <v>0</v>
      </c>
    </row>
    <row r="4025" customFormat="false" ht="15" hidden="false" customHeight="false" outlineLevel="0" collapsed="false">
      <c r="B4025" s="130" t="n">
        <v>2027</v>
      </c>
      <c r="C4025" s="131" t="s">
        <v>249</v>
      </c>
      <c r="D4025" s="132" t="n">
        <v>46589</v>
      </c>
      <c r="E4025" s="131" t="s">
        <v>53</v>
      </c>
      <c r="F4025" s="133" t="s">
        <v>11</v>
      </c>
      <c r="G4025" s="134" t="n">
        <f aca="false">LEN('Saisie programme'!$F$154)+SUMIFS('Vols additionnels'!$E$7:$E$66,'Vols additionnels'!$C$7:$C$66,$E4025,'Vols additionnels'!$D$7:$D$66,$F4025,'Vols additionnels'!$B$7:$B$66,$D4025)</f>
        <v>0</v>
      </c>
      <c r="H4025" s="135" t="n">
        <f aca="false">$G4025*'Analyse capacite'!$F$7</f>
        <v>0</v>
      </c>
      <c r="I4025" s="135" t="n">
        <f aca="false">$G4025*'Analyse capacite'!$C$7</f>
        <v>0</v>
      </c>
      <c r="J4025" s="135" t="n">
        <f aca="false">$G4025*'Analyse capacite'!$D$7</f>
        <v>0</v>
      </c>
      <c r="K4025" s="135" t="n">
        <f aca="false">$G4025*'Analyse capacite'!$E$7</f>
        <v>0</v>
      </c>
    </row>
    <row r="4026" customFormat="false" ht="15" hidden="false" customHeight="false" outlineLevel="0" collapsed="false">
      <c r="B4026" s="130" t="n">
        <v>2027</v>
      </c>
      <c r="C4026" s="131" t="s">
        <v>249</v>
      </c>
      <c r="D4026" s="132" t="n">
        <v>46589</v>
      </c>
      <c r="E4026" s="131" t="s">
        <v>53</v>
      </c>
      <c r="F4026" s="133" t="s">
        <v>19</v>
      </c>
      <c r="G4026" s="134" t="n">
        <f aca="false">LEN('Saisie programme'!$F$155)+SUMIFS('Vols additionnels'!$E$7:$E$66,'Vols additionnels'!$C$7:$C$66,$E4026,'Vols additionnels'!$D$7:$D$66,$F4026,'Vols additionnels'!$B$7:$B$66,$D4026)</f>
        <v>0</v>
      </c>
      <c r="H4026" s="135" t="n">
        <f aca="false">$G4026*'Analyse capacite'!$F$8</f>
        <v>0</v>
      </c>
      <c r="I4026" s="135" t="n">
        <f aca="false">$G4026*'Analyse capacite'!$C$8</f>
        <v>0</v>
      </c>
      <c r="J4026" s="135" t="n">
        <f aca="false">$G4026*'Analyse capacite'!$D$8</f>
        <v>0</v>
      </c>
      <c r="K4026" s="135" t="n">
        <f aca="false">$G4026*'Analyse capacite'!$E$8</f>
        <v>0</v>
      </c>
    </row>
    <row r="4027" customFormat="false" ht="15" hidden="false" customHeight="false" outlineLevel="0" collapsed="false">
      <c r="B4027" s="130" t="n">
        <v>2027</v>
      </c>
      <c r="C4027" s="131" t="s">
        <v>249</v>
      </c>
      <c r="D4027" s="132" t="n">
        <v>46589</v>
      </c>
      <c r="E4027" s="131" t="s">
        <v>53</v>
      </c>
      <c r="F4027" s="133" t="s">
        <v>24</v>
      </c>
      <c r="G4027" s="134" t="n">
        <f aca="false">LEN('Saisie programme'!$F$156)+SUMIFS('Vols additionnels'!$E$7:$E$66,'Vols additionnels'!$C$7:$C$66,$E4027,'Vols additionnels'!$D$7:$D$66,$F4027,'Vols additionnels'!$B$7:$B$66,$D4027)</f>
        <v>0</v>
      </c>
      <c r="H4027" s="135" t="n">
        <f aca="false">$G4027*'Analyse capacite'!$F$9</f>
        <v>0</v>
      </c>
      <c r="I4027" s="135" t="n">
        <f aca="false">$G4027*'Analyse capacite'!$C$9</f>
        <v>0</v>
      </c>
      <c r="J4027" s="135" t="n">
        <f aca="false">$G4027*'Analyse capacite'!$D$9</f>
        <v>0</v>
      </c>
      <c r="K4027" s="135" t="n">
        <f aca="false">$G4027*'Analyse capacite'!$E$9</f>
        <v>0</v>
      </c>
    </row>
    <row r="4028" customFormat="false" ht="15" hidden="false" customHeight="false" outlineLevel="0" collapsed="false">
      <c r="B4028" s="130" t="n">
        <v>2027</v>
      </c>
      <c r="C4028" s="131" t="s">
        <v>249</v>
      </c>
      <c r="D4028" s="132" t="n">
        <v>46589</v>
      </c>
      <c r="E4028" s="131" t="s">
        <v>56</v>
      </c>
      <c r="F4028" s="133" t="s">
        <v>11</v>
      </c>
      <c r="G4028" s="134" t="n">
        <f aca="false">LEN('Saisie programme'!$F$157)+SUMIFS('Vols additionnels'!$E$7:$E$66,'Vols additionnels'!$C$7:$C$66,$E4028,'Vols additionnels'!$D$7:$D$66,$F4028,'Vols additionnels'!$B$7:$B$66,$D4028)</f>
        <v>0</v>
      </c>
      <c r="H4028" s="135" t="n">
        <f aca="false">$G4028*'Analyse capacite'!$F$7</f>
        <v>0</v>
      </c>
      <c r="I4028" s="135" t="n">
        <f aca="false">$G4028*'Analyse capacite'!$C$7</f>
        <v>0</v>
      </c>
      <c r="J4028" s="135" t="n">
        <f aca="false">$G4028*'Analyse capacite'!$D$7</f>
        <v>0</v>
      </c>
      <c r="K4028" s="135" t="n">
        <f aca="false">$G4028*'Analyse capacite'!$E$7</f>
        <v>0</v>
      </c>
    </row>
    <row r="4029" customFormat="false" ht="15" hidden="false" customHeight="false" outlineLevel="0" collapsed="false">
      <c r="B4029" s="130" t="n">
        <v>2027</v>
      </c>
      <c r="C4029" s="131" t="s">
        <v>249</v>
      </c>
      <c r="D4029" s="132" t="n">
        <v>46589</v>
      </c>
      <c r="E4029" s="131" t="s">
        <v>56</v>
      </c>
      <c r="F4029" s="133" t="s">
        <v>19</v>
      </c>
      <c r="G4029" s="134" t="n">
        <f aca="false">LEN('Saisie programme'!$F$158)+SUMIFS('Vols additionnels'!$E$7:$E$66,'Vols additionnels'!$C$7:$C$66,$E4029,'Vols additionnels'!$D$7:$D$66,$F4029,'Vols additionnels'!$B$7:$B$66,$D4029)</f>
        <v>0</v>
      </c>
      <c r="H4029" s="135" t="n">
        <f aca="false">$G4029*'Analyse capacite'!$F$8</f>
        <v>0</v>
      </c>
      <c r="I4029" s="135" t="n">
        <f aca="false">$G4029*'Analyse capacite'!$C$8</f>
        <v>0</v>
      </c>
      <c r="J4029" s="135" t="n">
        <f aca="false">$G4029*'Analyse capacite'!$D$8</f>
        <v>0</v>
      </c>
      <c r="K4029" s="135" t="n">
        <f aca="false">$G4029*'Analyse capacite'!$E$8</f>
        <v>0</v>
      </c>
    </row>
    <row r="4030" customFormat="false" ht="15" hidden="false" customHeight="false" outlineLevel="0" collapsed="false">
      <c r="B4030" s="130" t="n">
        <v>2027</v>
      </c>
      <c r="C4030" s="131" t="s">
        <v>249</v>
      </c>
      <c r="D4030" s="132" t="n">
        <v>46589</v>
      </c>
      <c r="E4030" s="131" t="s">
        <v>56</v>
      </c>
      <c r="F4030" s="133" t="s">
        <v>24</v>
      </c>
      <c r="G4030" s="134" t="n">
        <f aca="false">LEN('Saisie programme'!$F$159)+SUMIFS('Vols additionnels'!$E$7:$E$66,'Vols additionnels'!$C$7:$C$66,$E4030,'Vols additionnels'!$D$7:$D$66,$F4030,'Vols additionnels'!$B$7:$B$66,$D4030)</f>
        <v>0</v>
      </c>
      <c r="H4030" s="135" t="n">
        <f aca="false">$G4030*'Analyse capacite'!$F$9</f>
        <v>0</v>
      </c>
      <c r="I4030" s="135" t="n">
        <f aca="false">$G4030*'Analyse capacite'!$C$9</f>
        <v>0</v>
      </c>
      <c r="J4030" s="135" t="n">
        <f aca="false">$G4030*'Analyse capacite'!$D$9</f>
        <v>0</v>
      </c>
      <c r="K4030" s="135" t="n">
        <f aca="false">$G4030*'Analyse capacite'!$E$9</f>
        <v>0</v>
      </c>
    </row>
    <row r="4031" customFormat="false" ht="15" hidden="false" customHeight="false" outlineLevel="0" collapsed="false">
      <c r="B4031" s="130" t="n">
        <v>2027</v>
      </c>
      <c r="C4031" s="131" t="s">
        <v>249</v>
      </c>
      <c r="D4031" s="132" t="n">
        <v>46589</v>
      </c>
      <c r="E4031" s="131" t="s">
        <v>59</v>
      </c>
      <c r="F4031" s="133" t="s">
        <v>11</v>
      </c>
      <c r="G4031" s="134" t="n">
        <f aca="false">LEN('Saisie programme'!$F$160)+SUMIFS('Vols additionnels'!$E$7:$E$66,'Vols additionnels'!$C$7:$C$66,$E4031,'Vols additionnels'!$D$7:$D$66,$F4031,'Vols additionnels'!$B$7:$B$66,$D4031)</f>
        <v>0</v>
      </c>
      <c r="H4031" s="135" t="n">
        <f aca="false">$G4031*'Analyse capacite'!$F$7</f>
        <v>0</v>
      </c>
      <c r="I4031" s="135" t="n">
        <f aca="false">$G4031*'Analyse capacite'!$C$7</f>
        <v>0</v>
      </c>
      <c r="J4031" s="135" t="n">
        <f aca="false">$G4031*'Analyse capacite'!$D$7</f>
        <v>0</v>
      </c>
      <c r="K4031" s="135" t="n">
        <f aca="false">$G4031*'Analyse capacite'!$E$7</f>
        <v>0</v>
      </c>
    </row>
    <row r="4032" customFormat="false" ht="15" hidden="false" customHeight="false" outlineLevel="0" collapsed="false">
      <c r="B4032" s="130" t="n">
        <v>2027</v>
      </c>
      <c r="C4032" s="131" t="s">
        <v>249</v>
      </c>
      <c r="D4032" s="132" t="n">
        <v>46589</v>
      </c>
      <c r="E4032" s="131" t="s">
        <v>59</v>
      </c>
      <c r="F4032" s="133" t="s">
        <v>19</v>
      </c>
      <c r="G4032" s="134" t="n">
        <f aca="false">LEN('Saisie programme'!$F$161)+SUMIFS('Vols additionnels'!$E$7:$E$66,'Vols additionnels'!$C$7:$C$66,$E4032,'Vols additionnels'!$D$7:$D$66,$F4032,'Vols additionnels'!$B$7:$B$66,$D4032)</f>
        <v>0</v>
      </c>
      <c r="H4032" s="135" t="n">
        <f aca="false">$G4032*'Analyse capacite'!$F$8</f>
        <v>0</v>
      </c>
      <c r="I4032" s="135" t="n">
        <f aca="false">$G4032*'Analyse capacite'!$C$8</f>
        <v>0</v>
      </c>
      <c r="J4032" s="135" t="n">
        <f aca="false">$G4032*'Analyse capacite'!$D$8</f>
        <v>0</v>
      </c>
      <c r="K4032" s="135" t="n">
        <f aca="false">$G4032*'Analyse capacite'!$E$8</f>
        <v>0</v>
      </c>
    </row>
    <row r="4033" customFormat="false" ht="15" hidden="false" customHeight="false" outlineLevel="0" collapsed="false">
      <c r="B4033" s="130" t="n">
        <v>2027</v>
      </c>
      <c r="C4033" s="131" t="s">
        <v>249</v>
      </c>
      <c r="D4033" s="132" t="n">
        <v>46589</v>
      </c>
      <c r="E4033" s="131" t="s">
        <v>59</v>
      </c>
      <c r="F4033" s="133" t="s">
        <v>24</v>
      </c>
      <c r="G4033" s="134" t="n">
        <f aca="false">LEN('Saisie programme'!$F$162)+SUMIFS('Vols additionnels'!$E$7:$E$66,'Vols additionnels'!$C$7:$C$66,$E4033,'Vols additionnels'!$D$7:$D$66,$F4033,'Vols additionnels'!$B$7:$B$66,$D4033)</f>
        <v>1</v>
      </c>
      <c r="H4033" s="135" t="n">
        <f aca="false">$G4033*'Analyse capacite'!$F$9</f>
        <v>174</v>
      </c>
      <c r="I4033" s="135" t="n">
        <f aca="false">$G4033*'Analyse capacite'!$C$9</f>
        <v>0</v>
      </c>
      <c r="J4033" s="135" t="n">
        <f aca="false">$G4033*'Analyse capacite'!$D$9</f>
        <v>12</v>
      </c>
      <c r="K4033" s="135" t="n">
        <f aca="false">$G4033*'Analyse capacite'!$E$9</f>
        <v>162</v>
      </c>
    </row>
    <row r="4034" customFormat="false" ht="15" hidden="false" customHeight="false" outlineLevel="0" collapsed="false">
      <c r="B4034" s="130" t="n">
        <v>2027</v>
      </c>
      <c r="C4034" s="131" t="s">
        <v>249</v>
      </c>
      <c r="D4034" s="132" t="n">
        <v>46589</v>
      </c>
      <c r="E4034" s="131" t="s">
        <v>62</v>
      </c>
      <c r="F4034" s="133" t="s">
        <v>11</v>
      </c>
      <c r="G4034" s="134" t="n">
        <f aca="false">LEN('Saisie programme'!$F$163)+SUMIFS('Vols additionnels'!$E$7:$E$66,'Vols additionnels'!$C$7:$C$66,$E4034,'Vols additionnels'!$D$7:$D$66,$F4034,'Vols additionnels'!$B$7:$B$66,$D4034)</f>
        <v>0</v>
      </c>
      <c r="H4034" s="135" t="n">
        <f aca="false">$G4034*'Analyse capacite'!$F$7</f>
        <v>0</v>
      </c>
      <c r="I4034" s="135" t="n">
        <f aca="false">$G4034*'Analyse capacite'!$C$7</f>
        <v>0</v>
      </c>
      <c r="J4034" s="135" t="n">
        <f aca="false">$G4034*'Analyse capacite'!$D$7</f>
        <v>0</v>
      </c>
      <c r="K4034" s="135" t="n">
        <f aca="false">$G4034*'Analyse capacite'!$E$7</f>
        <v>0</v>
      </c>
    </row>
    <row r="4035" customFormat="false" ht="15" hidden="false" customHeight="false" outlineLevel="0" collapsed="false">
      <c r="B4035" s="130" t="n">
        <v>2027</v>
      </c>
      <c r="C4035" s="131" t="s">
        <v>249</v>
      </c>
      <c r="D4035" s="132" t="n">
        <v>46589</v>
      </c>
      <c r="E4035" s="131" t="s">
        <v>62</v>
      </c>
      <c r="F4035" s="133" t="s">
        <v>19</v>
      </c>
      <c r="G4035" s="134" t="n">
        <f aca="false">LEN('Saisie programme'!$F$164)+SUMIFS('Vols additionnels'!$E$7:$E$66,'Vols additionnels'!$C$7:$C$66,$E4035,'Vols additionnels'!$D$7:$D$66,$F4035,'Vols additionnels'!$B$7:$B$66,$D4035)</f>
        <v>0</v>
      </c>
      <c r="H4035" s="135" t="n">
        <f aca="false">$G4035*'Analyse capacite'!$F$8</f>
        <v>0</v>
      </c>
      <c r="I4035" s="135" t="n">
        <f aca="false">$G4035*'Analyse capacite'!$C$8</f>
        <v>0</v>
      </c>
      <c r="J4035" s="135" t="n">
        <f aca="false">$G4035*'Analyse capacite'!$D$8</f>
        <v>0</v>
      </c>
      <c r="K4035" s="135" t="n">
        <f aca="false">$G4035*'Analyse capacite'!$E$8</f>
        <v>0</v>
      </c>
    </row>
    <row r="4036" customFormat="false" ht="15" hidden="false" customHeight="false" outlineLevel="0" collapsed="false">
      <c r="B4036" s="130" t="n">
        <v>2027</v>
      </c>
      <c r="C4036" s="131" t="s">
        <v>249</v>
      </c>
      <c r="D4036" s="132" t="n">
        <v>46589</v>
      </c>
      <c r="E4036" s="131" t="s">
        <v>62</v>
      </c>
      <c r="F4036" s="133" t="s">
        <v>24</v>
      </c>
      <c r="G4036" s="134" t="n">
        <f aca="false">LEN('Saisie programme'!$F$165)+SUMIFS('Vols additionnels'!$E$7:$E$66,'Vols additionnels'!$C$7:$C$66,$E4036,'Vols additionnels'!$D$7:$D$66,$F4036,'Vols additionnels'!$B$7:$B$66,$D4036)</f>
        <v>1</v>
      </c>
      <c r="H4036" s="135" t="n">
        <f aca="false">$G4036*'Analyse capacite'!$F$9</f>
        <v>174</v>
      </c>
      <c r="I4036" s="135" t="n">
        <f aca="false">$G4036*'Analyse capacite'!$C$9</f>
        <v>0</v>
      </c>
      <c r="J4036" s="135" t="n">
        <f aca="false">$G4036*'Analyse capacite'!$D$9</f>
        <v>12</v>
      </c>
      <c r="K4036" s="135" t="n">
        <f aca="false">$G4036*'Analyse capacite'!$E$9</f>
        <v>162</v>
      </c>
    </row>
    <row r="4037" customFormat="false" ht="15" hidden="false" customHeight="false" outlineLevel="0" collapsed="false">
      <c r="B4037" s="130" t="n">
        <v>2027</v>
      </c>
      <c r="C4037" s="131" t="s">
        <v>249</v>
      </c>
      <c r="D4037" s="132" t="n">
        <v>46590</v>
      </c>
      <c r="E4037" s="131" t="s">
        <v>12</v>
      </c>
      <c r="F4037" s="133" t="s">
        <v>11</v>
      </c>
      <c r="G4037" s="134" t="n">
        <f aca="false">LEN('Saisie programme'!$G$130)+SUMIFS('Vols additionnels'!$E$7:$E$66,'Vols additionnels'!$C$7:$C$66,$E4037,'Vols additionnels'!$D$7:$D$66,$F4037,'Vols additionnels'!$B$7:$B$66,$D4037)</f>
        <v>1</v>
      </c>
      <c r="H4037" s="135" t="n">
        <f aca="false">$G4037*'Analyse capacite'!$F$7</f>
        <v>438</v>
      </c>
      <c r="I4037" s="135" t="n">
        <f aca="false">$G4037*'Analyse capacite'!$C$7</f>
        <v>14</v>
      </c>
      <c r="J4037" s="135" t="n">
        <f aca="false">$G4037*'Analyse capacite'!$D$7</f>
        <v>40</v>
      </c>
      <c r="K4037" s="135" t="n">
        <f aca="false">$G4037*'Analyse capacite'!$E$7</f>
        <v>384</v>
      </c>
    </row>
    <row r="4038" customFormat="false" ht="15" hidden="false" customHeight="false" outlineLevel="0" collapsed="false">
      <c r="B4038" s="130" t="n">
        <v>2027</v>
      </c>
      <c r="C4038" s="131" t="s">
        <v>249</v>
      </c>
      <c r="D4038" s="132" t="n">
        <v>46590</v>
      </c>
      <c r="E4038" s="131" t="s">
        <v>12</v>
      </c>
      <c r="F4038" s="133" t="s">
        <v>19</v>
      </c>
      <c r="G4038" s="134" t="n">
        <f aca="false">LEN('Saisie programme'!$G$131)+SUMIFS('Vols additionnels'!$E$7:$E$66,'Vols additionnels'!$C$7:$C$66,$E4038,'Vols additionnels'!$D$7:$D$66,$F4038,'Vols additionnels'!$B$7:$B$66,$D4038)</f>
        <v>0</v>
      </c>
      <c r="H4038" s="135" t="n">
        <f aca="false">$G4038*'Analyse capacite'!$F$8</f>
        <v>0</v>
      </c>
      <c r="I4038" s="135" t="n">
        <f aca="false">$G4038*'Analyse capacite'!$C$8</f>
        <v>0</v>
      </c>
      <c r="J4038" s="135" t="n">
        <f aca="false">$G4038*'Analyse capacite'!$D$8</f>
        <v>0</v>
      </c>
      <c r="K4038" s="135" t="n">
        <f aca="false">$G4038*'Analyse capacite'!$E$8</f>
        <v>0</v>
      </c>
    </row>
    <row r="4039" customFormat="false" ht="15" hidden="false" customHeight="false" outlineLevel="0" collapsed="false">
      <c r="B4039" s="130" t="n">
        <v>2027</v>
      </c>
      <c r="C4039" s="131" t="s">
        <v>249</v>
      </c>
      <c r="D4039" s="132" t="n">
        <v>46590</v>
      </c>
      <c r="E4039" s="131" t="s">
        <v>12</v>
      </c>
      <c r="F4039" s="133" t="s">
        <v>24</v>
      </c>
      <c r="G4039" s="134" t="n">
        <f aca="false">LEN('Saisie programme'!$G$132)+SUMIFS('Vols additionnels'!$E$7:$E$66,'Vols additionnels'!$C$7:$C$66,$E4039,'Vols additionnels'!$D$7:$D$66,$F4039,'Vols additionnels'!$B$7:$B$66,$D4039)</f>
        <v>0</v>
      </c>
      <c r="H4039" s="135" t="n">
        <f aca="false">$G4039*'Analyse capacite'!$F$9</f>
        <v>0</v>
      </c>
      <c r="I4039" s="135" t="n">
        <f aca="false">$G4039*'Analyse capacite'!$C$9</f>
        <v>0</v>
      </c>
      <c r="J4039" s="135" t="n">
        <f aca="false">$G4039*'Analyse capacite'!$D$9</f>
        <v>0</v>
      </c>
      <c r="K4039" s="135" t="n">
        <f aca="false">$G4039*'Analyse capacite'!$E$9</f>
        <v>0</v>
      </c>
    </row>
    <row r="4040" customFormat="false" ht="15" hidden="false" customHeight="false" outlineLevel="0" collapsed="false">
      <c r="B4040" s="130" t="n">
        <v>2027</v>
      </c>
      <c r="C4040" s="131" t="s">
        <v>249</v>
      </c>
      <c r="D4040" s="132" t="n">
        <v>46590</v>
      </c>
      <c r="E4040" s="131" t="s">
        <v>20</v>
      </c>
      <c r="F4040" s="133" t="s">
        <v>11</v>
      </c>
      <c r="G4040" s="134" t="n">
        <f aca="false">LEN('Saisie programme'!$G$133)+SUMIFS('Vols additionnels'!$E$7:$E$66,'Vols additionnels'!$C$7:$C$66,$E4040,'Vols additionnels'!$D$7:$D$66,$F4040,'Vols additionnels'!$B$7:$B$66,$D4040)</f>
        <v>0</v>
      </c>
      <c r="H4040" s="135" t="n">
        <f aca="false">$G4040*'Analyse capacite'!$F$7</f>
        <v>0</v>
      </c>
      <c r="I4040" s="135" t="n">
        <f aca="false">$G4040*'Analyse capacite'!$C$7</f>
        <v>0</v>
      </c>
      <c r="J4040" s="135" t="n">
        <f aca="false">$G4040*'Analyse capacite'!$D$7</f>
        <v>0</v>
      </c>
      <c r="K4040" s="135" t="n">
        <f aca="false">$G4040*'Analyse capacite'!$E$7</f>
        <v>0</v>
      </c>
    </row>
    <row r="4041" customFormat="false" ht="15" hidden="false" customHeight="false" outlineLevel="0" collapsed="false">
      <c r="B4041" s="130" t="n">
        <v>2027</v>
      </c>
      <c r="C4041" s="131" t="s">
        <v>249</v>
      </c>
      <c r="D4041" s="132" t="n">
        <v>46590</v>
      </c>
      <c r="E4041" s="131" t="s">
        <v>20</v>
      </c>
      <c r="F4041" s="133" t="s">
        <v>19</v>
      </c>
      <c r="G4041" s="134" t="n">
        <f aca="false">LEN('Saisie programme'!$G$134)+SUMIFS('Vols additionnels'!$E$7:$E$66,'Vols additionnels'!$C$7:$C$66,$E4041,'Vols additionnels'!$D$7:$D$66,$F4041,'Vols additionnels'!$B$7:$B$66,$D4041)</f>
        <v>0</v>
      </c>
      <c r="H4041" s="135" t="n">
        <f aca="false">$G4041*'Analyse capacite'!$F$8</f>
        <v>0</v>
      </c>
      <c r="I4041" s="135" t="n">
        <f aca="false">$G4041*'Analyse capacite'!$C$8</f>
        <v>0</v>
      </c>
      <c r="J4041" s="135" t="n">
        <f aca="false">$G4041*'Analyse capacite'!$D$8</f>
        <v>0</v>
      </c>
      <c r="K4041" s="135" t="n">
        <f aca="false">$G4041*'Analyse capacite'!$E$8</f>
        <v>0</v>
      </c>
    </row>
    <row r="4042" customFormat="false" ht="15" hidden="false" customHeight="false" outlineLevel="0" collapsed="false">
      <c r="B4042" s="130" t="n">
        <v>2027</v>
      </c>
      <c r="C4042" s="131" t="s">
        <v>249</v>
      </c>
      <c r="D4042" s="132" t="n">
        <v>46590</v>
      </c>
      <c r="E4042" s="131" t="s">
        <v>20</v>
      </c>
      <c r="F4042" s="133" t="s">
        <v>24</v>
      </c>
      <c r="G4042" s="134" t="n">
        <f aca="false">LEN('Saisie programme'!$G$135)+SUMIFS('Vols additionnels'!$E$7:$E$66,'Vols additionnels'!$C$7:$C$66,$E4042,'Vols additionnels'!$D$7:$D$66,$F4042,'Vols additionnels'!$B$7:$B$66,$D4042)</f>
        <v>0</v>
      </c>
      <c r="H4042" s="135" t="n">
        <f aca="false">$G4042*'Analyse capacite'!$F$9</f>
        <v>0</v>
      </c>
      <c r="I4042" s="135" t="n">
        <f aca="false">$G4042*'Analyse capacite'!$C$9</f>
        <v>0</v>
      </c>
      <c r="J4042" s="135" t="n">
        <f aca="false">$G4042*'Analyse capacite'!$D$9</f>
        <v>0</v>
      </c>
      <c r="K4042" s="135" t="n">
        <f aca="false">$G4042*'Analyse capacite'!$E$9</f>
        <v>0</v>
      </c>
    </row>
    <row r="4043" customFormat="false" ht="15" hidden="false" customHeight="false" outlineLevel="0" collapsed="false">
      <c r="B4043" s="130" t="n">
        <v>2027</v>
      </c>
      <c r="C4043" s="131" t="s">
        <v>249</v>
      </c>
      <c r="D4043" s="132" t="n">
        <v>46590</v>
      </c>
      <c r="E4043" s="131" t="s">
        <v>25</v>
      </c>
      <c r="F4043" s="133" t="s">
        <v>11</v>
      </c>
      <c r="G4043" s="134" t="n">
        <f aca="false">LEN('Saisie programme'!$G$136)+SUMIFS('Vols additionnels'!$E$7:$E$66,'Vols additionnels'!$C$7:$C$66,$E4043,'Vols additionnels'!$D$7:$D$66,$F4043,'Vols additionnels'!$B$7:$B$66,$D4043)</f>
        <v>0</v>
      </c>
      <c r="H4043" s="135" t="n">
        <f aca="false">$G4043*'Analyse capacite'!$F$7</f>
        <v>0</v>
      </c>
      <c r="I4043" s="135" t="n">
        <f aca="false">$G4043*'Analyse capacite'!$C$7</f>
        <v>0</v>
      </c>
      <c r="J4043" s="135" t="n">
        <f aca="false">$G4043*'Analyse capacite'!$D$7</f>
        <v>0</v>
      </c>
      <c r="K4043" s="135" t="n">
        <f aca="false">$G4043*'Analyse capacite'!$E$7</f>
        <v>0</v>
      </c>
    </row>
    <row r="4044" customFormat="false" ht="15" hidden="false" customHeight="false" outlineLevel="0" collapsed="false">
      <c r="B4044" s="130" t="n">
        <v>2027</v>
      </c>
      <c r="C4044" s="131" t="s">
        <v>249</v>
      </c>
      <c r="D4044" s="132" t="n">
        <v>46590</v>
      </c>
      <c r="E4044" s="131" t="s">
        <v>25</v>
      </c>
      <c r="F4044" s="133" t="s">
        <v>19</v>
      </c>
      <c r="G4044" s="134" t="n">
        <f aca="false">LEN('Saisie programme'!$G$137)+SUMIFS('Vols additionnels'!$E$7:$E$66,'Vols additionnels'!$C$7:$C$66,$E4044,'Vols additionnels'!$D$7:$D$66,$F4044,'Vols additionnels'!$B$7:$B$66,$D4044)</f>
        <v>0</v>
      </c>
      <c r="H4044" s="135" t="n">
        <f aca="false">$G4044*'Analyse capacite'!$F$8</f>
        <v>0</v>
      </c>
      <c r="I4044" s="135" t="n">
        <f aca="false">$G4044*'Analyse capacite'!$C$8</f>
        <v>0</v>
      </c>
      <c r="J4044" s="135" t="n">
        <f aca="false">$G4044*'Analyse capacite'!$D$8</f>
        <v>0</v>
      </c>
      <c r="K4044" s="135" t="n">
        <f aca="false">$G4044*'Analyse capacite'!$E$8</f>
        <v>0</v>
      </c>
    </row>
    <row r="4045" customFormat="false" ht="15" hidden="false" customHeight="false" outlineLevel="0" collapsed="false">
      <c r="B4045" s="130" t="n">
        <v>2027</v>
      </c>
      <c r="C4045" s="131" t="s">
        <v>249</v>
      </c>
      <c r="D4045" s="132" t="n">
        <v>46590</v>
      </c>
      <c r="E4045" s="131" t="s">
        <v>25</v>
      </c>
      <c r="F4045" s="133" t="s">
        <v>24</v>
      </c>
      <c r="G4045" s="134" t="n">
        <f aca="false">LEN('Saisie programme'!$G$138)+SUMIFS('Vols additionnels'!$E$7:$E$66,'Vols additionnels'!$C$7:$C$66,$E4045,'Vols additionnels'!$D$7:$D$66,$F4045,'Vols additionnels'!$B$7:$B$66,$D4045)</f>
        <v>0</v>
      </c>
      <c r="H4045" s="135" t="n">
        <f aca="false">$G4045*'Analyse capacite'!$F$9</f>
        <v>0</v>
      </c>
      <c r="I4045" s="135" t="n">
        <f aca="false">$G4045*'Analyse capacite'!$C$9</f>
        <v>0</v>
      </c>
      <c r="J4045" s="135" t="n">
        <f aca="false">$G4045*'Analyse capacite'!$D$9</f>
        <v>0</v>
      </c>
      <c r="K4045" s="135" t="n">
        <f aca="false">$G4045*'Analyse capacite'!$E$9</f>
        <v>0</v>
      </c>
    </row>
    <row r="4046" customFormat="false" ht="15" hidden="false" customHeight="false" outlineLevel="0" collapsed="false">
      <c r="B4046" s="130" t="n">
        <v>2027</v>
      </c>
      <c r="C4046" s="131" t="s">
        <v>249</v>
      </c>
      <c r="D4046" s="132" t="n">
        <v>46590</v>
      </c>
      <c r="E4046" s="131" t="s">
        <v>36</v>
      </c>
      <c r="F4046" s="133" t="s">
        <v>11</v>
      </c>
      <c r="G4046" s="134" t="n">
        <f aca="false">LEN('Saisie programme'!$G$139)+SUMIFS('Vols additionnels'!$E$7:$E$66,'Vols additionnels'!$C$7:$C$66,$E4046,'Vols additionnels'!$D$7:$D$66,$F4046,'Vols additionnels'!$B$7:$B$66,$D4046)</f>
        <v>0</v>
      </c>
      <c r="H4046" s="135" t="n">
        <f aca="false">$G4046*'Analyse capacite'!$F$7</f>
        <v>0</v>
      </c>
      <c r="I4046" s="135" t="n">
        <f aca="false">$G4046*'Analyse capacite'!$C$7</f>
        <v>0</v>
      </c>
      <c r="J4046" s="135" t="n">
        <f aca="false">$G4046*'Analyse capacite'!$D$7</f>
        <v>0</v>
      </c>
      <c r="K4046" s="135" t="n">
        <f aca="false">$G4046*'Analyse capacite'!$E$7</f>
        <v>0</v>
      </c>
    </row>
    <row r="4047" customFormat="false" ht="15" hidden="false" customHeight="false" outlineLevel="0" collapsed="false">
      <c r="B4047" s="130" t="n">
        <v>2027</v>
      </c>
      <c r="C4047" s="131" t="s">
        <v>249</v>
      </c>
      <c r="D4047" s="132" t="n">
        <v>46590</v>
      </c>
      <c r="E4047" s="131" t="s">
        <v>36</v>
      </c>
      <c r="F4047" s="133" t="s">
        <v>19</v>
      </c>
      <c r="G4047" s="134" t="n">
        <f aca="false">LEN('Saisie programme'!$G$140)+SUMIFS('Vols additionnels'!$E$7:$E$66,'Vols additionnels'!$C$7:$C$66,$E4047,'Vols additionnels'!$D$7:$D$66,$F4047,'Vols additionnels'!$B$7:$B$66,$D4047)</f>
        <v>0</v>
      </c>
      <c r="H4047" s="135" t="n">
        <f aca="false">$G4047*'Analyse capacite'!$F$8</f>
        <v>0</v>
      </c>
      <c r="I4047" s="135" t="n">
        <f aca="false">$G4047*'Analyse capacite'!$C$8</f>
        <v>0</v>
      </c>
      <c r="J4047" s="135" t="n">
        <f aca="false">$G4047*'Analyse capacite'!$D$8</f>
        <v>0</v>
      </c>
      <c r="K4047" s="135" t="n">
        <f aca="false">$G4047*'Analyse capacite'!$E$8</f>
        <v>0</v>
      </c>
    </row>
    <row r="4048" customFormat="false" ht="15" hidden="false" customHeight="false" outlineLevel="0" collapsed="false">
      <c r="B4048" s="130" t="n">
        <v>2027</v>
      </c>
      <c r="C4048" s="131" t="s">
        <v>249</v>
      </c>
      <c r="D4048" s="132" t="n">
        <v>46590</v>
      </c>
      <c r="E4048" s="131" t="s">
        <v>36</v>
      </c>
      <c r="F4048" s="133" t="s">
        <v>24</v>
      </c>
      <c r="G4048" s="134" t="n">
        <f aca="false">LEN('Saisie programme'!$G$141)+SUMIFS('Vols additionnels'!$E$7:$E$66,'Vols additionnels'!$C$7:$C$66,$E4048,'Vols additionnels'!$D$7:$D$66,$F4048,'Vols additionnels'!$B$7:$B$66,$D4048)</f>
        <v>1</v>
      </c>
      <c r="H4048" s="135" t="n">
        <f aca="false">$G4048*'Analyse capacite'!$F$9</f>
        <v>174</v>
      </c>
      <c r="I4048" s="135" t="n">
        <f aca="false">$G4048*'Analyse capacite'!$C$9</f>
        <v>0</v>
      </c>
      <c r="J4048" s="135" t="n">
        <f aca="false">$G4048*'Analyse capacite'!$D$9</f>
        <v>12</v>
      </c>
      <c r="K4048" s="135" t="n">
        <f aca="false">$G4048*'Analyse capacite'!$E$9</f>
        <v>162</v>
      </c>
    </row>
    <row r="4049" customFormat="false" ht="15" hidden="false" customHeight="false" outlineLevel="0" collapsed="false">
      <c r="B4049" s="130" t="n">
        <v>2027</v>
      </c>
      <c r="C4049" s="131" t="s">
        <v>249</v>
      </c>
      <c r="D4049" s="132" t="n">
        <v>46590</v>
      </c>
      <c r="E4049" s="131" t="s">
        <v>40</v>
      </c>
      <c r="F4049" s="133" t="s">
        <v>11</v>
      </c>
      <c r="G4049" s="134" t="n">
        <f aca="false">LEN('Saisie programme'!$G$142)+SUMIFS('Vols additionnels'!$E$7:$E$66,'Vols additionnels'!$C$7:$C$66,$E4049,'Vols additionnels'!$D$7:$D$66,$F4049,'Vols additionnels'!$B$7:$B$66,$D4049)</f>
        <v>0</v>
      </c>
      <c r="H4049" s="135" t="n">
        <f aca="false">$G4049*'Analyse capacite'!$F$7</f>
        <v>0</v>
      </c>
      <c r="I4049" s="135" t="n">
        <f aca="false">$G4049*'Analyse capacite'!$C$7</f>
        <v>0</v>
      </c>
      <c r="J4049" s="135" t="n">
        <f aca="false">$G4049*'Analyse capacite'!$D$7</f>
        <v>0</v>
      </c>
      <c r="K4049" s="135" t="n">
        <f aca="false">$G4049*'Analyse capacite'!$E$7</f>
        <v>0</v>
      </c>
    </row>
    <row r="4050" customFormat="false" ht="15" hidden="false" customHeight="false" outlineLevel="0" collapsed="false">
      <c r="B4050" s="130" t="n">
        <v>2027</v>
      </c>
      <c r="C4050" s="131" t="s">
        <v>249</v>
      </c>
      <c r="D4050" s="132" t="n">
        <v>46590</v>
      </c>
      <c r="E4050" s="131" t="s">
        <v>40</v>
      </c>
      <c r="F4050" s="133" t="s">
        <v>19</v>
      </c>
      <c r="G4050" s="134" t="n">
        <f aca="false">LEN('Saisie programme'!$G$143)+SUMIFS('Vols additionnels'!$E$7:$E$66,'Vols additionnels'!$C$7:$C$66,$E4050,'Vols additionnels'!$D$7:$D$66,$F4050,'Vols additionnels'!$B$7:$B$66,$D4050)</f>
        <v>0</v>
      </c>
      <c r="H4050" s="135" t="n">
        <f aca="false">$G4050*'Analyse capacite'!$F$8</f>
        <v>0</v>
      </c>
      <c r="I4050" s="135" t="n">
        <f aca="false">$G4050*'Analyse capacite'!$C$8</f>
        <v>0</v>
      </c>
      <c r="J4050" s="135" t="n">
        <f aca="false">$G4050*'Analyse capacite'!$D$8</f>
        <v>0</v>
      </c>
      <c r="K4050" s="135" t="n">
        <f aca="false">$G4050*'Analyse capacite'!$E$8</f>
        <v>0</v>
      </c>
    </row>
    <row r="4051" customFormat="false" ht="15" hidden="false" customHeight="false" outlineLevel="0" collapsed="false">
      <c r="B4051" s="130" t="n">
        <v>2027</v>
      </c>
      <c r="C4051" s="131" t="s">
        <v>249</v>
      </c>
      <c r="D4051" s="132" t="n">
        <v>46590</v>
      </c>
      <c r="E4051" s="131" t="s">
        <v>40</v>
      </c>
      <c r="F4051" s="133" t="s">
        <v>24</v>
      </c>
      <c r="G4051" s="134" t="n">
        <f aca="false">LEN('Saisie programme'!$G$144)+SUMIFS('Vols additionnels'!$E$7:$E$66,'Vols additionnels'!$C$7:$C$66,$E4051,'Vols additionnels'!$D$7:$D$66,$F4051,'Vols additionnels'!$B$7:$B$66,$D4051)</f>
        <v>0</v>
      </c>
      <c r="H4051" s="135" t="n">
        <f aca="false">$G4051*'Analyse capacite'!$F$9</f>
        <v>0</v>
      </c>
      <c r="I4051" s="135" t="n">
        <f aca="false">$G4051*'Analyse capacite'!$C$9</f>
        <v>0</v>
      </c>
      <c r="J4051" s="135" t="n">
        <f aca="false">$G4051*'Analyse capacite'!$D$9</f>
        <v>0</v>
      </c>
      <c r="K4051" s="135" t="n">
        <f aca="false">$G4051*'Analyse capacite'!$E$9</f>
        <v>0</v>
      </c>
    </row>
    <row r="4052" customFormat="false" ht="15" hidden="false" customHeight="false" outlineLevel="0" collapsed="false">
      <c r="B4052" s="130" t="n">
        <v>2027</v>
      </c>
      <c r="C4052" s="131" t="s">
        <v>249</v>
      </c>
      <c r="D4052" s="132" t="n">
        <v>46590</v>
      </c>
      <c r="E4052" s="131" t="s">
        <v>14</v>
      </c>
      <c r="F4052" s="133" t="s">
        <v>11</v>
      </c>
      <c r="G4052" s="134" t="n">
        <f aca="false">LEN('Saisie programme'!$G$145)+SUMIFS('Vols additionnels'!$E$7:$E$66,'Vols additionnels'!$C$7:$C$66,$E4052,'Vols additionnels'!$D$7:$D$66,$F4052,'Vols additionnels'!$B$7:$B$66,$D4052)</f>
        <v>0</v>
      </c>
      <c r="H4052" s="135" t="n">
        <f aca="false">$G4052*'Analyse capacite'!$F$7</f>
        <v>0</v>
      </c>
      <c r="I4052" s="135" t="n">
        <f aca="false">$G4052*'Analyse capacite'!$C$7</f>
        <v>0</v>
      </c>
      <c r="J4052" s="135" t="n">
        <f aca="false">$G4052*'Analyse capacite'!$D$7</f>
        <v>0</v>
      </c>
      <c r="K4052" s="135" t="n">
        <f aca="false">$G4052*'Analyse capacite'!$E$7</f>
        <v>0</v>
      </c>
    </row>
    <row r="4053" customFormat="false" ht="15" hidden="false" customHeight="false" outlineLevel="0" collapsed="false">
      <c r="B4053" s="130" t="n">
        <v>2027</v>
      </c>
      <c r="C4053" s="131" t="s">
        <v>249</v>
      </c>
      <c r="D4053" s="132" t="n">
        <v>46590</v>
      </c>
      <c r="E4053" s="131" t="s">
        <v>14</v>
      </c>
      <c r="F4053" s="133" t="s">
        <v>19</v>
      </c>
      <c r="G4053" s="134" t="n">
        <f aca="false">LEN('Saisie programme'!$G$146)+SUMIFS('Vols additionnels'!$E$7:$E$66,'Vols additionnels'!$C$7:$C$66,$E4053,'Vols additionnels'!$D$7:$D$66,$F4053,'Vols additionnels'!$B$7:$B$66,$D4053)</f>
        <v>0</v>
      </c>
      <c r="H4053" s="135" t="n">
        <f aca="false">$G4053*'Analyse capacite'!$F$8</f>
        <v>0</v>
      </c>
      <c r="I4053" s="135" t="n">
        <f aca="false">$G4053*'Analyse capacite'!$C$8</f>
        <v>0</v>
      </c>
      <c r="J4053" s="135" t="n">
        <f aca="false">$G4053*'Analyse capacite'!$D$8</f>
        <v>0</v>
      </c>
      <c r="K4053" s="135" t="n">
        <f aca="false">$G4053*'Analyse capacite'!$E$8</f>
        <v>0</v>
      </c>
    </row>
    <row r="4054" customFormat="false" ht="15" hidden="false" customHeight="false" outlineLevel="0" collapsed="false">
      <c r="B4054" s="130" t="n">
        <v>2027</v>
      </c>
      <c r="C4054" s="131" t="s">
        <v>249</v>
      </c>
      <c r="D4054" s="132" t="n">
        <v>46590</v>
      </c>
      <c r="E4054" s="131" t="s">
        <v>14</v>
      </c>
      <c r="F4054" s="133" t="s">
        <v>24</v>
      </c>
      <c r="G4054" s="134" t="n">
        <f aca="false">LEN('Saisie programme'!$G$147)+SUMIFS('Vols additionnels'!$E$7:$E$66,'Vols additionnels'!$C$7:$C$66,$E4054,'Vols additionnels'!$D$7:$D$66,$F4054,'Vols additionnels'!$B$7:$B$66,$D4054)</f>
        <v>1</v>
      </c>
      <c r="H4054" s="135" t="n">
        <f aca="false">$G4054*'Analyse capacite'!$F$9</f>
        <v>174</v>
      </c>
      <c r="I4054" s="135" t="n">
        <f aca="false">$G4054*'Analyse capacite'!$C$9</f>
        <v>0</v>
      </c>
      <c r="J4054" s="135" t="n">
        <f aca="false">$G4054*'Analyse capacite'!$D$9</f>
        <v>12</v>
      </c>
      <c r="K4054" s="135" t="n">
        <f aca="false">$G4054*'Analyse capacite'!$E$9</f>
        <v>162</v>
      </c>
    </row>
    <row r="4055" customFormat="false" ht="15" hidden="false" customHeight="false" outlineLevel="0" collapsed="false">
      <c r="B4055" s="130" t="n">
        <v>2027</v>
      </c>
      <c r="C4055" s="131" t="s">
        <v>249</v>
      </c>
      <c r="D4055" s="132" t="n">
        <v>46590</v>
      </c>
      <c r="E4055" s="131" t="s">
        <v>46</v>
      </c>
      <c r="F4055" s="133" t="s">
        <v>11</v>
      </c>
      <c r="G4055" s="134" t="n">
        <f aca="false">LEN('Saisie programme'!$G$148)+SUMIFS('Vols additionnels'!$E$7:$E$66,'Vols additionnels'!$C$7:$C$66,$E4055,'Vols additionnels'!$D$7:$D$66,$F4055,'Vols additionnels'!$B$7:$B$66,$D4055)</f>
        <v>0</v>
      </c>
      <c r="H4055" s="135" t="n">
        <f aca="false">$G4055*'Analyse capacite'!$F$7</f>
        <v>0</v>
      </c>
      <c r="I4055" s="135" t="n">
        <f aca="false">$G4055*'Analyse capacite'!$C$7</f>
        <v>0</v>
      </c>
      <c r="J4055" s="135" t="n">
        <f aca="false">$G4055*'Analyse capacite'!$D$7</f>
        <v>0</v>
      </c>
      <c r="K4055" s="135" t="n">
        <f aca="false">$G4055*'Analyse capacite'!$E$7</f>
        <v>0</v>
      </c>
    </row>
    <row r="4056" customFormat="false" ht="15" hidden="false" customHeight="false" outlineLevel="0" collapsed="false">
      <c r="B4056" s="130" t="n">
        <v>2027</v>
      </c>
      <c r="C4056" s="131" t="s">
        <v>249</v>
      </c>
      <c r="D4056" s="132" t="n">
        <v>46590</v>
      </c>
      <c r="E4056" s="131" t="s">
        <v>46</v>
      </c>
      <c r="F4056" s="133" t="s">
        <v>19</v>
      </c>
      <c r="G4056" s="134" t="n">
        <f aca="false">LEN('Saisie programme'!$G$149)+SUMIFS('Vols additionnels'!$E$7:$E$66,'Vols additionnels'!$C$7:$C$66,$E4056,'Vols additionnels'!$D$7:$D$66,$F4056,'Vols additionnels'!$B$7:$B$66,$D4056)</f>
        <v>0</v>
      </c>
      <c r="H4056" s="135" t="n">
        <f aca="false">$G4056*'Analyse capacite'!$F$8</f>
        <v>0</v>
      </c>
      <c r="I4056" s="135" t="n">
        <f aca="false">$G4056*'Analyse capacite'!$C$8</f>
        <v>0</v>
      </c>
      <c r="J4056" s="135" t="n">
        <f aca="false">$G4056*'Analyse capacite'!$D$8</f>
        <v>0</v>
      </c>
      <c r="K4056" s="135" t="n">
        <f aca="false">$G4056*'Analyse capacite'!$E$8</f>
        <v>0</v>
      </c>
    </row>
    <row r="4057" customFormat="false" ht="15" hidden="false" customHeight="false" outlineLevel="0" collapsed="false">
      <c r="B4057" s="130" t="n">
        <v>2027</v>
      </c>
      <c r="C4057" s="131" t="s">
        <v>249</v>
      </c>
      <c r="D4057" s="132" t="n">
        <v>46590</v>
      </c>
      <c r="E4057" s="131" t="s">
        <v>46</v>
      </c>
      <c r="F4057" s="133" t="s">
        <v>24</v>
      </c>
      <c r="G4057" s="134" t="n">
        <f aca="false">LEN('Saisie programme'!$G$150)+SUMIFS('Vols additionnels'!$E$7:$E$66,'Vols additionnels'!$C$7:$C$66,$E4057,'Vols additionnels'!$D$7:$D$66,$F4057,'Vols additionnels'!$B$7:$B$66,$D4057)</f>
        <v>1</v>
      </c>
      <c r="H4057" s="135" t="n">
        <f aca="false">$G4057*'Analyse capacite'!$F$9</f>
        <v>174</v>
      </c>
      <c r="I4057" s="135" t="n">
        <f aca="false">$G4057*'Analyse capacite'!$C$9</f>
        <v>0</v>
      </c>
      <c r="J4057" s="135" t="n">
        <f aca="false">$G4057*'Analyse capacite'!$D$9</f>
        <v>12</v>
      </c>
      <c r="K4057" s="135" t="n">
        <f aca="false">$G4057*'Analyse capacite'!$E$9</f>
        <v>162</v>
      </c>
    </row>
    <row r="4058" customFormat="false" ht="15" hidden="false" customHeight="false" outlineLevel="0" collapsed="false">
      <c r="B4058" s="130" t="n">
        <v>2027</v>
      </c>
      <c r="C4058" s="131" t="s">
        <v>249</v>
      </c>
      <c r="D4058" s="132" t="n">
        <v>46590</v>
      </c>
      <c r="E4058" s="131" t="s">
        <v>49</v>
      </c>
      <c r="F4058" s="133" t="s">
        <v>11</v>
      </c>
      <c r="G4058" s="134" t="n">
        <f aca="false">LEN('Saisie programme'!$G$151)+SUMIFS('Vols additionnels'!$E$7:$E$66,'Vols additionnels'!$C$7:$C$66,$E4058,'Vols additionnels'!$D$7:$D$66,$F4058,'Vols additionnels'!$B$7:$B$66,$D4058)</f>
        <v>0</v>
      </c>
      <c r="H4058" s="135" t="n">
        <f aca="false">$G4058*'Analyse capacite'!$F$7</f>
        <v>0</v>
      </c>
      <c r="I4058" s="135" t="n">
        <f aca="false">$G4058*'Analyse capacite'!$C$7</f>
        <v>0</v>
      </c>
      <c r="J4058" s="135" t="n">
        <f aca="false">$G4058*'Analyse capacite'!$D$7</f>
        <v>0</v>
      </c>
      <c r="K4058" s="135" t="n">
        <f aca="false">$G4058*'Analyse capacite'!$E$7</f>
        <v>0</v>
      </c>
    </row>
    <row r="4059" customFormat="false" ht="15" hidden="false" customHeight="false" outlineLevel="0" collapsed="false">
      <c r="B4059" s="130" t="n">
        <v>2027</v>
      </c>
      <c r="C4059" s="131" t="s">
        <v>249</v>
      </c>
      <c r="D4059" s="132" t="n">
        <v>46590</v>
      </c>
      <c r="E4059" s="131" t="s">
        <v>49</v>
      </c>
      <c r="F4059" s="133" t="s">
        <v>19</v>
      </c>
      <c r="G4059" s="134" t="n">
        <f aca="false">LEN('Saisie programme'!$G$152)+SUMIFS('Vols additionnels'!$E$7:$E$66,'Vols additionnels'!$C$7:$C$66,$E4059,'Vols additionnels'!$D$7:$D$66,$F4059,'Vols additionnels'!$B$7:$B$66,$D4059)</f>
        <v>0</v>
      </c>
      <c r="H4059" s="135" t="n">
        <f aca="false">$G4059*'Analyse capacite'!$F$8</f>
        <v>0</v>
      </c>
      <c r="I4059" s="135" t="n">
        <f aca="false">$G4059*'Analyse capacite'!$C$8</f>
        <v>0</v>
      </c>
      <c r="J4059" s="135" t="n">
        <f aca="false">$G4059*'Analyse capacite'!$D$8</f>
        <v>0</v>
      </c>
      <c r="K4059" s="135" t="n">
        <f aca="false">$G4059*'Analyse capacite'!$E$8</f>
        <v>0</v>
      </c>
    </row>
    <row r="4060" customFormat="false" ht="15" hidden="false" customHeight="false" outlineLevel="0" collapsed="false">
      <c r="B4060" s="130" t="n">
        <v>2027</v>
      </c>
      <c r="C4060" s="131" t="s">
        <v>249</v>
      </c>
      <c r="D4060" s="132" t="n">
        <v>46590</v>
      </c>
      <c r="E4060" s="131" t="s">
        <v>49</v>
      </c>
      <c r="F4060" s="133" t="s">
        <v>24</v>
      </c>
      <c r="G4060" s="134" t="n">
        <f aca="false">LEN('Saisie programme'!$G$153)+SUMIFS('Vols additionnels'!$E$7:$E$66,'Vols additionnels'!$C$7:$C$66,$E4060,'Vols additionnels'!$D$7:$D$66,$F4060,'Vols additionnels'!$B$7:$B$66,$D4060)</f>
        <v>0</v>
      </c>
      <c r="H4060" s="135" t="n">
        <f aca="false">$G4060*'Analyse capacite'!$F$9</f>
        <v>0</v>
      </c>
      <c r="I4060" s="135" t="n">
        <f aca="false">$G4060*'Analyse capacite'!$C$9</f>
        <v>0</v>
      </c>
      <c r="J4060" s="135" t="n">
        <f aca="false">$G4060*'Analyse capacite'!$D$9</f>
        <v>0</v>
      </c>
      <c r="K4060" s="135" t="n">
        <f aca="false">$G4060*'Analyse capacite'!$E$9</f>
        <v>0</v>
      </c>
    </row>
    <row r="4061" customFormat="false" ht="15" hidden="false" customHeight="false" outlineLevel="0" collapsed="false">
      <c r="B4061" s="130" t="n">
        <v>2027</v>
      </c>
      <c r="C4061" s="131" t="s">
        <v>249</v>
      </c>
      <c r="D4061" s="132" t="n">
        <v>46590</v>
      </c>
      <c r="E4061" s="131" t="s">
        <v>53</v>
      </c>
      <c r="F4061" s="133" t="s">
        <v>11</v>
      </c>
      <c r="G4061" s="134" t="n">
        <f aca="false">LEN('Saisie programme'!$G$154)+SUMIFS('Vols additionnels'!$E$7:$E$66,'Vols additionnels'!$C$7:$C$66,$E4061,'Vols additionnels'!$D$7:$D$66,$F4061,'Vols additionnels'!$B$7:$B$66,$D4061)</f>
        <v>0</v>
      </c>
      <c r="H4061" s="135" t="n">
        <f aca="false">$G4061*'Analyse capacite'!$F$7</f>
        <v>0</v>
      </c>
      <c r="I4061" s="135" t="n">
        <f aca="false">$G4061*'Analyse capacite'!$C$7</f>
        <v>0</v>
      </c>
      <c r="J4061" s="135" t="n">
        <f aca="false">$G4061*'Analyse capacite'!$D$7</f>
        <v>0</v>
      </c>
      <c r="K4061" s="135" t="n">
        <f aca="false">$G4061*'Analyse capacite'!$E$7</f>
        <v>0</v>
      </c>
    </row>
    <row r="4062" customFormat="false" ht="15" hidden="false" customHeight="false" outlineLevel="0" collapsed="false">
      <c r="B4062" s="130" t="n">
        <v>2027</v>
      </c>
      <c r="C4062" s="131" t="s">
        <v>249</v>
      </c>
      <c r="D4062" s="132" t="n">
        <v>46590</v>
      </c>
      <c r="E4062" s="131" t="s">
        <v>53</v>
      </c>
      <c r="F4062" s="133" t="s">
        <v>19</v>
      </c>
      <c r="G4062" s="134" t="n">
        <f aca="false">LEN('Saisie programme'!$G$155)+SUMIFS('Vols additionnels'!$E$7:$E$66,'Vols additionnels'!$C$7:$C$66,$E4062,'Vols additionnels'!$D$7:$D$66,$F4062,'Vols additionnels'!$B$7:$B$66,$D4062)</f>
        <v>1</v>
      </c>
      <c r="H4062" s="135" t="n">
        <f aca="false">$G4062*'Analyse capacite'!$F$8</f>
        <v>262</v>
      </c>
      <c r="I4062" s="135" t="n">
        <f aca="false">$G4062*'Analyse capacite'!$C$8</f>
        <v>18</v>
      </c>
      <c r="J4062" s="135" t="n">
        <f aca="false">$G4062*'Analyse capacite'!$D$8</f>
        <v>0</v>
      </c>
      <c r="K4062" s="135" t="n">
        <f aca="false">$G4062*'Analyse capacite'!$E$8</f>
        <v>244</v>
      </c>
    </row>
    <row r="4063" customFormat="false" ht="15" hidden="false" customHeight="false" outlineLevel="0" collapsed="false">
      <c r="B4063" s="130" t="n">
        <v>2027</v>
      </c>
      <c r="C4063" s="131" t="s">
        <v>249</v>
      </c>
      <c r="D4063" s="132" t="n">
        <v>46590</v>
      </c>
      <c r="E4063" s="131" t="s">
        <v>53</v>
      </c>
      <c r="F4063" s="133" t="s">
        <v>24</v>
      </c>
      <c r="G4063" s="134" t="n">
        <f aca="false">LEN('Saisie programme'!$G$156)+SUMIFS('Vols additionnels'!$E$7:$E$66,'Vols additionnels'!$C$7:$C$66,$E4063,'Vols additionnels'!$D$7:$D$66,$F4063,'Vols additionnels'!$B$7:$B$66,$D4063)</f>
        <v>0</v>
      </c>
      <c r="H4063" s="135" t="n">
        <f aca="false">$G4063*'Analyse capacite'!$F$9</f>
        <v>0</v>
      </c>
      <c r="I4063" s="135" t="n">
        <f aca="false">$G4063*'Analyse capacite'!$C$9</f>
        <v>0</v>
      </c>
      <c r="J4063" s="135" t="n">
        <f aca="false">$G4063*'Analyse capacite'!$D$9</f>
        <v>0</v>
      </c>
      <c r="K4063" s="135" t="n">
        <f aca="false">$G4063*'Analyse capacite'!$E$9</f>
        <v>0</v>
      </c>
    </row>
    <row r="4064" customFormat="false" ht="15" hidden="false" customHeight="false" outlineLevel="0" collapsed="false">
      <c r="B4064" s="130" t="n">
        <v>2027</v>
      </c>
      <c r="C4064" s="131" t="s">
        <v>249</v>
      </c>
      <c r="D4064" s="132" t="n">
        <v>46590</v>
      </c>
      <c r="E4064" s="131" t="s">
        <v>56</v>
      </c>
      <c r="F4064" s="133" t="s">
        <v>11</v>
      </c>
      <c r="G4064" s="134" t="n">
        <f aca="false">LEN('Saisie programme'!$G$157)+SUMIFS('Vols additionnels'!$E$7:$E$66,'Vols additionnels'!$C$7:$C$66,$E4064,'Vols additionnels'!$D$7:$D$66,$F4064,'Vols additionnels'!$B$7:$B$66,$D4064)</f>
        <v>0</v>
      </c>
      <c r="H4064" s="135" t="n">
        <f aca="false">$G4064*'Analyse capacite'!$F$7</f>
        <v>0</v>
      </c>
      <c r="I4064" s="135" t="n">
        <f aca="false">$G4064*'Analyse capacite'!$C$7</f>
        <v>0</v>
      </c>
      <c r="J4064" s="135" t="n">
        <f aca="false">$G4064*'Analyse capacite'!$D$7</f>
        <v>0</v>
      </c>
      <c r="K4064" s="135" t="n">
        <f aca="false">$G4064*'Analyse capacite'!$E$7</f>
        <v>0</v>
      </c>
    </row>
    <row r="4065" customFormat="false" ht="15" hidden="false" customHeight="false" outlineLevel="0" collapsed="false">
      <c r="B4065" s="130" t="n">
        <v>2027</v>
      </c>
      <c r="C4065" s="131" t="s">
        <v>249</v>
      </c>
      <c r="D4065" s="132" t="n">
        <v>46590</v>
      </c>
      <c r="E4065" s="131" t="s">
        <v>56</v>
      </c>
      <c r="F4065" s="133" t="s">
        <v>19</v>
      </c>
      <c r="G4065" s="134" t="n">
        <f aca="false">LEN('Saisie programme'!$G$158)+SUMIFS('Vols additionnels'!$E$7:$E$66,'Vols additionnels'!$C$7:$C$66,$E4065,'Vols additionnels'!$D$7:$D$66,$F4065,'Vols additionnels'!$B$7:$B$66,$D4065)</f>
        <v>0</v>
      </c>
      <c r="H4065" s="135" t="n">
        <f aca="false">$G4065*'Analyse capacite'!$F$8</f>
        <v>0</v>
      </c>
      <c r="I4065" s="135" t="n">
        <f aca="false">$G4065*'Analyse capacite'!$C$8</f>
        <v>0</v>
      </c>
      <c r="J4065" s="135" t="n">
        <f aca="false">$G4065*'Analyse capacite'!$D$8</f>
        <v>0</v>
      </c>
      <c r="K4065" s="135" t="n">
        <f aca="false">$G4065*'Analyse capacite'!$E$8</f>
        <v>0</v>
      </c>
    </row>
    <row r="4066" customFormat="false" ht="15" hidden="false" customHeight="false" outlineLevel="0" collapsed="false">
      <c r="B4066" s="130" t="n">
        <v>2027</v>
      </c>
      <c r="C4066" s="131" t="s">
        <v>249</v>
      </c>
      <c r="D4066" s="132" t="n">
        <v>46590</v>
      </c>
      <c r="E4066" s="131" t="s">
        <v>56</v>
      </c>
      <c r="F4066" s="133" t="s">
        <v>24</v>
      </c>
      <c r="G4066" s="134" t="n">
        <f aca="false">LEN('Saisie programme'!$G$159)+SUMIFS('Vols additionnels'!$E$7:$E$66,'Vols additionnels'!$C$7:$C$66,$E4066,'Vols additionnels'!$D$7:$D$66,$F4066,'Vols additionnels'!$B$7:$B$66,$D4066)</f>
        <v>0</v>
      </c>
      <c r="H4066" s="135" t="n">
        <f aca="false">$G4066*'Analyse capacite'!$F$9</f>
        <v>0</v>
      </c>
      <c r="I4066" s="135" t="n">
        <f aca="false">$G4066*'Analyse capacite'!$C$9</f>
        <v>0</v>
      </c>
      <c r="J4066" s="135" t="n">
        <f aca="false">$G4066*'Analyse capacite'!$D$9</f>
        <v>0</v>
      </c>
      <c r="K4066" s="135" t="n">
        <f aca="false">$G4066*'Analyse capacite'!$E$9</f>
        <v>0</v>
      </c>
    </row>
    <row r="4067" customFormat="false" ht="15" hidden="false" customHeight="false" outlineLevel="0" collapsed="false">
      <c r="B4067" s="130" t="n">
        <v>2027</v>
      </c>
      <c r="C4067" s="131" t="s">
        <v>249</v>
      </c>
      <c r="D4067" s="132" t="n">
        <v>46590</v>
      </c>
      <c r="E4067" s="131" t="s">
        <v>59</v>
      </c>
      <c r="F4067" s="133" t="s">
        <v>11</v>
      </c>
      <c r="G4067" s="134" t="n">
        <f aca="false">LEN('Saisie programme'!$G$160)+SUMIFS('Vols additionnels'!$E$7:$E$66,'Vols additionnels'!$C$7:$C$66,$E4067,'Vols additionnels'!$D$7:$D$66,$F4067,'Vols additionnels'!$B$7:$B$66,$D4067)</f>
        <v>0</v>
      </c>
      <c r="H4067" s="135" t="n">
        <f aca="false">$G4067*'Analyse capacite'!$F$7</f>
        <v>0</v>
      </c>
      <c r="I4067" s="135" t="n">
        <f aca="false">$G4067*'Analyse capacite'!$C$7</f>
        <v>0</v>
      </c>
      <c r="J4067" s="135" t="n">
        <f aca="false">$G4067*'Analyse capacite'!$D$7</f>
        <v>0</v>
      </c>
      <c r="K4067" s="135" t="n">
        <f aca="false">$G4067*'Analyse capacite'!$E$7</f>
        <v>0</v>
      </c>
    </row>
    <row r="4068" customFormat="false" ht="15" hidden="false" customHeight="false" outlineLevel="0" collapsed="false">
      <c r="B4068" s="130" t="n">
        <v>2027</v>
      </c>
      <c r="C4068" s="131" t="s">
        <v>249</v>
      </c>
      <c r="D4068" s="132" t="n">
        <v>46590</v>
      </c>
      <c r="E4068" s="131" t="s">
        <v>59</v>
      </c>
      <c r="F4068" s="133" t="s">
        <v>19</v>
      </c>
      <c r="G4068" s="134" t="n">
        <f aca="false">LEN('Saisie programme'!$G$161)+SUMIFS('Vols additionnels'!$E$7:$E$66,'Vols additionnels'!$C$7:$C$66,$E4068,'Vols additionnels'!$D$7:$D$66,$F4068,'Vols additionnels'!$B$7:$B$66,$D4068)</f>
        <v>0</v>
      </c>
      <c r="H4068" s="135" t="n">
        <f aca="false">$G4068*'Analyse capacite'!$F$8</f>
        <v>0</v>
      </c>
      <c r="I4068" s="135" t="n">
        <f aca="false">$G4068*'Analyse capacite'!$C$8</f>
        <v>0</v>
      </c>
      <c r="J4068" s="135" t="n">
        <f aca="false">$G4068*'Analyse capacite'!$D$8</f>
        <v>0</v>
      </c>
      <c r="K4068" s="135" t="n">
        <f aca="false">$G4068*'Analyse capacite'!$E$8</f>
        <v>0</v>
      </c>
    </row>
    <row r="4069" customFormat="false" ht="15" hidden="false" customHeight="false" outlineLevel="0" collapsed="false">
      <c r="B4069" s="130" t="n">
        <v>2027</v>
      </c>
      <c r="C4069" s="131" t="s">
        <v>249</v>
      </c>
      <c r="D4069" s="132" t="n">
        <v>46590</v>
      </c>
      <c r="E4069" s="131" t="s">
        <v>59</v>
      </c>
      <c r="F4069" s="133" t="s">
        <v>24</v>
      </c>
      <c r="G4069" s="134" t="n">
        <f aca="false">LEN('Saisie programme'!$G$162)+SUMIFS('Vols additionnels'!$E$7:$E$66,'Vols additionnels'!$C$7:$C$66,$E4069,'Vols additionnels'!$D$7:$D$66,$F4069,'Vols additionnels'!$B$7:$B$66,$D4069)</f>
        <v>2</v>
      </c>
      <c r="H4069" s="135" t="n">
        <f aca="false">$G4069*'Analyse capacite'!$F$9</f>
        <v>348</v>
      </c>
      <c r="I4069" s="135" t="n">
        <f aca="false">$G4069*'Analyse capacite'!$C$9</f>
        <v>0</v>
      </c>
      <c r="J4069" s="135" t="n">
        <f aca="false">$G4069*'Analyse capacite'!$D$9</f>
        <v>24</v>
      </c>
      <c r="K4069" s="135" t="n">
        <f aca="false">$G4069*'Analyse capacite'!$E$9</f>
        <v>324</v>
      </c>
    </row>
    <row r="4070" customFormat="false" ht="15" hidden="false" customHeight="false" outlineLevel="0" collapsed="false">
      <c r="B4070" s="130" t="n">
        <v>2027</v>
      </c>
      <c r="C4070" s="131" t="s">
        <v>249</v>
      </c>
      <c r="D4070" s="132" t="n">
        <v>46590</v>
      </c>
      <c r="E4070" s="131" t="s">
        <v>62</v>
      </c>
      <c r="F4070" s="133" t="s">
        <v>11</v>
      </c>
      <c r="G4070" s="134" t="n">
        <f aca="false">LEN('Saisie programme'!$G$163)+SUMIFS('Vols additionnels'!$E$7:$E$66,'Vols additionnels'!$C$7:$C$66,$E4070,'Vols additionnels'!$D$7:$D$66,$F4070,'Vols additionnels'!$B$7:$B$66,$D4070)</f>
        <v>0</v>
      </c>
      <c r="H4070" s="135" t="n">
        <f aca="false">$G4070*'Analyse capacite'!$F$7</f>
        <v>0</v>
      </c>
      <c r="I4070" s="135" t="n">
        <f aca="false">$G4070*'Analyse capacite'!$C$7</f>
        <v>0</v>
      </c>
      <c r="J4070" s="135" t="n">
        <f aca="false">$G4070*'Analyse capacite'!$D$7</f>
        <v>0</v>
      </c>
      <c r="K4070" s="135" t="n">
        <f aca="false">$G4070*'Analyse capacite'!$E$7</f>
        <v>0</v>
      </c>
    </row>
    <row r="4071" customFormat="false" ht="15" hidden="false" customHeight="false" outlineLevel="0" collapsed="false">
      <c r="B4071" s="130" t="n">
        <v>2027</v>
      </c>
      <c r="C4071" s="131" t="s">
        <v>249</v>
      </c>
      <c r="D4071" s="132" t="n">
        <v>46590</v>
      </c>
      <c r="E4071" s="131" t="s">
        <v>62</v>
      </c>
      <c r="F4071" s="133" t="s">
        <v>19</v>
      </c>
      <c r="G4071" s="134" t="n">
        <f aca="false">LEN('Saisie programme'!$G$164)+SUMIFS('Vols additionnels'!$E$7:$E$66,'Vols additionnels'!$C$7:$C$66,$E4071,'Vols additionnels'!$D$7:$D$66,$F4071,'Vols additionnels'!$B$7:$B$66,$D4071)</f>
        <v>0</v>
      </c>
      <c r="H4071" s="135" t="n">
        <f aca="false">$G4071*'Analyse capacite'!$F$8</f>
        <v>0</v>
      </c>
      <c r="I4071" s="135" t="n">
        <f aca="false">$G4071*'Analyse capacite'!$C$8</f>
        <v>0</v>
      </c>
      <c r="J4071" s="135" t="n">
        <f aca="false">$G4071*'Analyse capacite'!$D$8</f>
        <v>0</v>
      </c>
      <c r="K4071" s="135" t="n">
        <f aca="false">$G4071*'Analyse capacite'!$E$8</f>
        <v>0</v>
      </c>
    </row>
    <row r="4072" customFormat="false" ht="15" hidden="false" customHeight="false" outlineLevel="0" collapsed="false">
      <c r="B4072" s="130" t="n">
        <v>2027</v>
      </c>
      <c r="C4072" s="131" t="s">
        <v>249</v>
      </c>
      <c r="D4072" s="132" t="n">
        <v>46590</v>
      </c>
      <c r="E4072" s="131" t="s">
        <v>62</v>
      </c>
      <c r="F4072" s="133" t="s">
        <v>24</v>
      </c>
      <c r="G4072" s="134" t="n">
        <f aca="false">LEN('Saisie programme'!$G$165)+SUMIFS('Vols additionnels'!$E$7:$E$66,'Vols additionnels'!$C$7:$C$66,$E4072,'Vols additionnels'!$D$7:$D$66,$F4072,'Vols additionnels'!$B$7:$B$66,$D4072)</f>
        <v>0</v>
      </c>
      <c r="H4072" s="135" t="n">
        <f aca="false">$G4072*'Analyse capacite'!$F$9</f>
        <v>0</v>
      </c>
      <c r="I4072" s="135" t="n">
        <f aca="false">$G4072*'Analyse capacite'!$C$9</f>
        <v>0</v>
      </c>
      <c r="J4072" s="135" t="n">
        <f aca="false">$G4072*'Analyse capacite'!$D$9</f>
        <v>0</v>
      </c>
      <c r="K4072" s="135" t="n">
        <f aca="false">$G4072*'Analyse capacite'!$E$9</f>
        <v>0</v>
      </c>
    </row>
    <row r="4073" customFormat="false" ht="15" hidden="false" customHeight="false" outlineLevel="0" collapsed="false">
      <c r="B4073" s="130" t="n">
        <v>2027</v>
      </c>
      <c r="C4073" s="131" t="s">
        <v>249</v>
      </c>
      <c r="D4073" s="132" t="n">
        <v>46591</v>
      </c>
      <c r="E4073" s="131" t="s">
        <v>12</v>
      </c>
      <c r="F4073" s="133" t="s">
        <v>11</v>
      </c>
      <c r="G4073" s="134" t="n">
        <f aca="false">LEN('Saisie programme'!$H$130)+SUMIFS('Vols additionnels'!$E$7:$E$66,'Vols additionnels'!$C$7:$C$66,$E4073,'Vols additionnels'!$D$7:$D$66,$F4073,'Vols additionnels'!$B$7:$B$66,$D4073)</f>
        <v>1</v>
      </c>
      <c r="H4073" s="135" t="n">
        <f aca="false">$G4073*'Analyse capacite'!$F$7</f>
        <v>438</v>
      </c>
      <c r="I4073" s="135" t="n">
        <f aca="false">$G4073*'Analyse capacite'!$C$7</f>
        <v>14</v>
      </c>
      <c r="J4073" s="135" t="n">
        <f aca="false">$G4073*'Analyse capacite'!$D$7</f>
        <v>40</v>
      </c>
      <c r="K4073" s="135" t="n">
        <f aca="false">$G4073*'Analyse capacite'!$E$7</f>
        <v>384</v>
      </c>
    </row>
    <row r="4074" customFormat="false" ht="15" hidden="false" customHeight="false" outlineLevel="0" collapsed="false">
      <c r="B4074" s="130" t="n">
        <v>2027</v>
      </c>
      <c r="C4074" s="131" t="s">
        <v>249</v>
      </c>
      <c r="D4074" s="132" t="n">
        <v>46591</v>
      </c>
      <c r="E4074" s="131" t="s">
        <v>12</v>
      </c>
      <c r="F4074" s="133" t="s">
        <v>19</v>
      </c>
      <c r="G4074" s="134" t="n">
        <f aca="false">LEN('Saisie programme'!$H$131)+SUMIFS('Vols additionnels'!$E$7:$E$66,'Vols additionnels'!$C$7:$C$66,$E4074,'Vols additionnels'!$D$7:$D$66,$F4074,'Vols additionnels'!$B$7:$B$66,$D4074)</f>
        <v>1</v>
      </c>
      <c r="H4074" s="135" t="n">
        <f aca="false">$G4074*'Analyse capacite'!$F$8</f>
        <v>262</v>
      </c>
      <c r="I4074" s="135" t="n">
        <f aca="false">$G4074*'Analyse capacite'!$C$8</f>
        <v>18</v>
      </c>
      <c r="J4074" s="135" t="n">
        <f aca="false">$G4074*'Analyse capacite'!$D$8</f>
        <v>0</v>
      </c>
      <c r="K4074" s="135" t="n">
        <f aca="false">$G4074*'Analyse capacite'!$E$8</f>
        <v>244</v>
      </c>
    </row>
    <row r="4075" customFormat="false" ht="15" hidden="false" customHeight="false" outlineLevel="0" collapsed="false">
      <c r="B4075" s="130" t="n">
        <v>2027</v>
      </c>
      <c r="C4075" s="131" t="s">
        <v>249</v>
      </c>
      <c r="D4075" s="132" t="n">
        <v>46591</v>
      </c>
      <c r="E4075" s="131" t="s">
        <v>12</v>
      </c>
      <c r="F4075" s="133" t="s">
        <v>24</v>
      </c>
      <c r="G4075" s="134" t="n">
        <f aca="false">LEN('Saisie programme'!$H$132)+SUMIFS('Vols additionnels'!$E$7:$E$66,'Vols additionnels'!$C$7:$C$66,$E4075,'Vols additionnels'!$D$7:$D$66,$F4075,'Vols additionnels'!$B$7:$B$66,$D4075)</f>
        <v>0</v>
      </c>
      <c r="H4075" s="135" t="n">
        <f aca="false">$G4075*'Analyse capacite'!$F$9</f>
        <v>0</v>
      </c>
      <c r="I4075" s="135" t="n">
        <f aca="false">$G4075*'Analyse capacite'!$C$9</f>
        <v>0</v>
      </c>
      <c r="J4075" s="135" t="n">
        <f aca="false">$G4075*'Analyse capacite'!$D$9</f>
        <v>0</v>
      </c>
      <c r="K4075" s="135" t="n">
        <f aca="false">$G4075*'Analyse capacite'!$E$9</f>
        <v>0</v>
      </c>
    </row>
    <row r="4076" customFormat="false" ht="15" hidden="false" customHeight="false" outlineLevel="0" collapsed="false">
      <c r="B4076" s="130" t="n">
        <v>2027</v>
      </c>
      <c r="C4076" s="131" t="s">
        <v>249</v>
      </c>
      <c r="D4076" s="132" t="n">
        <v>46591</v>
      </c>
      <c r="E4076" s="131" t="s">
        <v>20</v>
      </c>
      <c r="F4076" s="133" t="s">
        <v>11</v>
      </c>
      <c r="G4076" s="134" t="n">
        <f aca="false">LEN('Saisie programme'!$H$133)+SUMIFS('Vols additionnels'!$E$7:$E$66,'Vols additionnels'!$C$7:$C$66,$E4076,'Vols additionnels'!$D$7:$D$66,$F4076,'Vols additionnels'!$B$7:$B$66,$D4076)</f>
        <v>0</v>
      </c>
      <c r="H4076" s="135" t="n">
        <f aca="false">$G4076*'Analyse capacite'!$F$7</f>
        <v>0</v>
      </c>
      <c r="I4076" s="135" t="n">
        <f aca="false">$G4076*'Analyse capacite'!$C$7</f>
        <v>0</v>
      </c>
      <c r="J4076" s="135" t="n">
        <f aca="false">$G4076*'Analyse capacite'!$D$7</f>
        <v>0</v>
      </c>
      <c r="K4076" s="135" t="n">
        <f aca="false">$G4076*'Analyse capacite'!$E$7</f>
        <v>0</v>
      </c>
    </row>
    <row r="4077" customFormat="false" ht="15" hidden="false" customHeight="false" outlineLevel="0" collapsed="false">
      <c r="B4077" s="130" t="n">
        <v>2027</v>
      </c>
      <c r="C4077" s="131" t="s">
        <v>249</v>
      </c>
      <c r="D4077" s="132" t="n">
        <v>46591</v>
      </c>
      <c r="E4077" s="131" t="s">
        <v>20</v>
      </c>
      <c r="F4077" s="133" t="s">
        <v>19</v>
      </c>
      <c r="G4077" s="134" t="n">
        <f aca="false">LEN('Saisie programme'!$H$134)+SUMIFS('Vols additionnels'!$E$7:$E$66,'Vols additionnels'!$C$7:$C$66,$E4077,'Vols additionnels'!$D$7:$D$66,$F4077,'Vols additionnels'!$B$7:$B$66,$D4077)</f>
        <v>1</v>
      </c>
      <c r="H4077" s="135" t="n">
        <f aca="false">$G4077*'Analyse capacite'!$F$8</f>
        <v>262</v>
      </c>
      <c r="I4077" s="135" t="n">
        <f aca="false">$G4077*'Analyse capacite'!$C$8</f>
        <v>18</v>
      </c>
      <c r="J4077" s="135" t="n">
        <f aca="false">$G4077*'Analyse capacite'!$D$8</f>
        <v>0</v>
      </c>
      <c r="K4077" s="135" t="n">
        <f aca="false">$G4077*'Analyse capacite'!$E$8</f>
        <v>244</v>
      </c>
    </row>
    <row r="4078" customFormat="false" ht="15" hidden="false" customHeight="false" outlineLevel="0" collapsed="false">
      <c r="B4078" s="130" t="n">
        <v>2027</v>
      </c>
      <c r="C4078" s="131" t="s">
        <v>249</v>
      </c>
      <c r="D4078" s="132" t="n">
        <v>46591</v>
      </c>
      <c r="E4078" s="131" t="s">
        <v>20</v>
      </c>
      <c r="F4078" s="133" t="s">
        <v>24</v>
      </c>
      <c r="G4078" s="134" t="n">
        <f aca="false">LEN('Saisie programme'!$H$135)+SUMIFS('Vols additionnels'!$E$7:$E$66,'Vols additionnels'!$C$7:$C$66,$E4078,'Vols additionnels'!$D$7:$D$66,$F4078,'Vols additionnels'!$B$7:$B$66,$D4078)</f>
        <v>0</v>
      </c>
      <c r="H4078" s="135" t="n">
        <f aca="false">$G4078*'Analyse capacite'!$F$9</f>
        <v>0</v>
      </c>
      <c r="I4078" s="135" t="n">
        <f aca="false">$G4078*'Analyse capacite'!$C$9</f>
        <v>0</v>
      </c>
      <c r="J4078" s="135" t="n">
        <f aca="false">$G4078*'Analyse capacite'!$D$9</f>
        <v>0</v>
      </c>
      <c r="K4078" s="135" t="n">
        <f aca="false">$G4078*'Analyse capacite'!$E$9</f>
        <v>0</v>
      </c>
    </row>
    <row r="4079" customFormat="false" ht="15" hidden="false" customHeight="false" outlineLevel="0" collapsed="false">
      <c r="B4079" s="130" t="n">
        <v>2027</v>
      </c>
      <c r="C4079" s="131" t="s">
        <v>249</v>
      </c>
      <c r="D4079" s="132" t="n">
        <v>46591</v>
      </c>
      <c r="E4079" s="131" t="s">
        <v>25</v>
      </c>
      <c r="F4079" s="133" t="s">
        <v>11</v>
      </c>
      <c r="G4079" s="134" t="n">
        <f aca="false">LEN('Saisie programme'!$H$136)+SUMIFS('Vols additionnels'!$E$7:$E$66,'Vols additionnels'!$C$7:$C$66,$E4079,'Vols additionnels'!$D$7:$D$66,$F4079,'Vols additionnels'!$B$7:$B$66,$D4079)</f>
        <v>0</v>
      </c>
      <c r="H4079" s="135" t="n">
        <f aca="false">$G4079*'Analyse capacite'!$F$7</f>
        <v>0</v>
      </c>
      <c r="I4079" s="135" t="n">
        <f aca="false">$G4079*'Analyse capacite'!$C$7</f>
        <v>0</v>
      </c>
      <c r="J4079" s="135" t="n">
        <f aca="false">$G4079*'Analyse capacite'!$D$7</f>
        <v>0</v>
      </c>
      <c r="K4079" s="135" t="n">
        <f aca="false">$G4079*'Analyse capacite'!$E$7</f>
        <v>0</v>
      </c>
    </row>
    <row r="4080" customFormat="false" ht="15" hidden="false" customHeight="false" outlineLevel="0" collapsed="false">
      <c r="B4080" s="130" t="n">
        <v>2027</v>
      </c>
      <c r="C4080" s="131" t="s">
        <v>249</v>
      </c>
      <c r="D4080" s="132" t="n">
        <v>46591</v>
      </c>
      <c r="E4080" s="131" t="s">
        <v>25</v>
      </c>
      <c r="F4080" s="133" t="s">
        <v>19</v>
      </c>
      <c r="G4080" s="134" t="n">
        <f aca="false">LEN('Saisie programme'!$H$137)+SUMIFS('Vols additionnels'!$E$7:$E$66,'Vols additionnels'!$C$7:$C$66,$E4080,'Vols additionnels'!$D$7:$D$66,$F4080,'Vols additionnels'!$B$7:$B$66,$D4080)</f>
        <v>0</v>
      </c>
      <c r="H4080" s="135" t="n">
        <f aca="false">$G4080*'Analyse capacite'!$F$8</f>
        <v>0</v>
      </c>
      <c r="I4080" s="135" t="n">
        <f aca="false">$G4080*'Analyse capacite'!$C$8</f>
        <v>0</v>
      </c>
      <c r="J4080" s="135" t="n">
        <f aca="false">$G4080*'Analyse capacite'!$D$8</f>
        <v>0</v>
      </c>
      <c r="K4080" s="135" t="n">
        <f aca="false">$G4080*'Analyse capacite'!$E$8</f>
        <v>0</v>
      </c>
    </row>
    <row r="4081" customFormat="false" ht="15" hidden="false" customHeight="false" outlineLevel="0" collapsed="false">
      <c r="B4081" s="130" t="n">
        <v>2027</v>
      </c>
      <c r="C4081" s="131" t="s">
        <v>249</v>
      </c>
      <c r="D4081" s="132" t="n">
        <v>46591</v>
      </c>
      <c r="E4081" s="131" t="s">
        <v>25</v>
      </c>
      <c r="F4081" s="133" t="s">
        <v>24</v>
      </c>
      <c r="G4081" s="134" t="n">
        <f aca="false">LEN('Saisie programme'!$H$138)+SUMIFS('Vols additionnels'!$E$7:$E$66,'Vols additionnels'!$C$7:$C$66,$E4081,'Vols additionnels'!$D$7:$D$66,$F4081,'Vols additionnels'!$B$7:$B$66,$D4081)</f>
        <v>0</v>
      </c>
      <c r="H4081" s="135" t="n">
        <f aca="false">$G4081*'Analyse capacite'!$F$9</f>
        <v>0</v>
      </c>
      <c r="I4081" s="135" t="n">
        <f aca="false">$G4081*'Analyse capacite'!$C$9</f>
        <v>0</v>
      </c>
      <c r="J4081" s="135" t="n">
        <f aca="false">$G4081*'Analyse capacite'!$D$9</f>
        <v>0</v>
      </c>
      <c r="K4081" s="135" t="n">
        <f aca="false">$G4081*'Analyse capacite'!$E$9</f>
        <v>0</v>
      </c>
    </row>
    <row r="4082" customFormat="false" ht="15" hidden="false" customHeight="false" outlineLevel="0" collapsed="false">
      <c r="B4082" s="130" t="n">
        <v>2027</v>
      </c>
      <c r="C4082" s="131" t="s">
        <v>249</v>
      </c>
      <c r="D4082" s="132" t="n">
        <v>46591</v>
      </c>
      <c r="E4082" s="131" t="s">
        <v>36</v>
      </c>
      <c r="F4082" s="133" t="s">
        <v>11</v>
      </c>
      <c r="G4082" s="134" t="n">
        <f aca="false">LEN('Saisie programme'!$H$139)+SUMIFS('Vols additionnels'!$E$7:$E$66,'Vols additionnels'!$C$7:$C$66,$E4082,'Vols additionnels'!$D$7:$D$66,$F4082,'Vols additionnels'!$B$7:$B$66,$D4082)</f>
        <v>0</v>
      </c>
      <c r="H4082" s="135" t="n">
        <f aca="false">$G4082*'Analyse capacite'!$F$7</f>
        <v>0</v>
      </c>
      <c r="I4082" s="135" t="n">
        <f aca="false">$G4082*'Analyse capacite'!$C$7</f>
        <v>0</v>
      </c>
      <c r="J4082" s="135" t="n">
        <f aca="false">$G4082*'Analyse capacite'!$D$7</f>
        <v>0</v>
      </c>
      <c r="K4082" s="135" t="n">
        <f aca="false">$G4082*'Analyse capacite'!$E$7</f>
        <v>0</v>
      </c>
    </row>
    <row r="4083" customFormat="false" ht="15" hidden="false" customHeight="false" outlineLevel="0" collapsed="false">
      <c r="B4083" s="130" t="n">
        <v>2027</v>
      </c>
      <c r="C4083" s="131" t="s">
        <v>249</v>
      </c>
      <c r="D4083" s="132" t="n">
        <v>46591</v>
      </c>
      <c r="E4083" s="131" t="s">
        <v>36</v>
      </c>
      <c r="F4083" s="133" t="s">
        <v>19</v>
      </c>
      <c r="G4083" s="134" t="n">
        <f aca="false">LEN('Saisie programme'!$H$140)+SUMIFS('Vols additionnels'!$E$7:$E$66,'Vols additionnels'!$C$7:$C$66,$E4083,'Vols additionnels'!$D$7:$D$66,$F4083,'Vols additionnels'!$B$7:$B$66,$D4083)</f>
        <v>0</v>
      </c>
      <c r="H4083" s="135" t="n">
        <f aca="false">$G4083*'Analyse capacite'!$F$8</f>
        <v>0</v>
      </c>
      <c r="I4083" s="135" t="n">
        <f aca="false">$G4083*'Analyse capacite'!$C$8</f>
        <v>0</v>
      </c>
      <c r="J4083" s="135" t="n">
        <f aca="false">$G4083*'Analyse capacite'!$D$8</f>
        <v>0</v>
      </c>
      <c r="K4083" s="135" t="n">
        <f aca="false">$G4083*'Analyse capacite'!$E$8</f>
        <v>0</v>
      </c>
    </row>
    <row r="4084" customFormat="false" ht="15" hidden="false" customHeight="false" outlineLevel="0" collapsed="false">
      <c r="B4084" s="130" t="n">
        <v>2027</v>
      </c>
      <c r="C4084" s="131" t="s">
        <v>249</v>
      </c>
      <c r="D4084" s="132" t="n">
        <v>46591</v>
      </c>
      <c r="E4084" s="131" t="s">
        <v>36</v>
      </c>
      <c r="F4084" s="133" t="s">
        <v>24</v>
      </c>
      <c r="G4084" s="134" t="n">
        <f aca="false">LEN('Saisie programme'!$H$141)+SUMIFS('Vols additionnels'!$E$7:$E$66,'Vols additionnels'!$C$7:$C$66,$E4084,'Vols additionnels'!$D$7:$D$66,$F4084,'Vols additionnels'!$B$7:$B$66,$D4084)</f>
        <v>1</v>
      </c>
      <c r="H4084" s="135" t="n">
        <f aca="false">$G4084*'Analyse capacite'!$F$9</f>
        <v>174</v>
      </c>
      <c r="I4084" s="135" t="n">
        <f aca="false">$G4084*'Analyse capacite'!$C$9</f>
        <v>0</v>
      </c>
      <c r="J4084" s="135" t="n">
        <f aca="false">$G4084*'Analyse capacite'!$D$9</f>
        <v>12</v>
      </c>
      <c r="K4084" s="135" t="n">
        <f aca="false">$G4084*'Analyse capacite'!$E$9</f>
        <v>162</v>
      </c>
    </row>
    <row r="4085" customFormat="false" ht="15" hidden="false" customHeight="false" outlineLevel="0" collapsed="false">
      <c r="B4085" s="130" t="n">
        <v>2027</v>
      </c>
      <c r="C4085" s="131" t="s">
        <v>249</v>
      </c>
      <c r="D4085" s="132" t="n">
        <v>46591</v>
      </c>
      <c r="E4085" s="131" t="s">
        <v>40</v>
      </c>
      <c r="F4085" s="133" t="s">
        <v>11</v>
      </c>
      <c r="G4085" s="134" t="n">
        <f aca="false">LEN('Saisie programme'!$H$142)+SUMIFS('Vols additionnels'!$E$7:$E$66,'Vols additionnels'!$C$7:$C$66,$E4085,'Vols additionnels'!$D$7:$D$66,$F4085,'Vols additionnels'!$B$7:$B$66,$D4085)</f>
        <v>0</v>
      </c>
      <c r="H4085" s="135" t="n">
        <f aca="false">$G4085*'Analyse capacite'!$F$7</f>
        <v>0</v>
      </c>
      <c r="I4085" s="135" t="n">
        <f aca="false">$G4085*'Analyse capacite'!$C$7</f>
        <v>0</v>
      </c>
      <c r="J4085" s="135" t="n">
        <f aca="false">$G4085*'Analyse capacite'!$D$7</f>
        <v>0</v>
      </c>
      <c r="K4085" s="135" t="n">
        <f aca="false">$G4085*'Analyse capacite'!$E$7</f>
        <v>0</v>
      </c>
    </row>
    <row r="4086" customFormat="false" ht="15" hidden="false" customHeight="false" outlineLevel="0" collapsed="false">
      <c r="B4086" s="130" t="n">
        <v>2027</v>
      </c>
      <c r="C4086" s="131" t="s">
        <v>249</v>
      </c>
      <c r="D4086" s="132" t="n">
        <v>46591</v>
      </c>
      <c r="E4086" s="131" t="s">
        <v>40</v>
      </c>
      <c r="F4086" s="133" t="s">
        <v>19</v>
      </c>
      <c r="G4086" s="134" t="n">
        <f aca="false">LEN('Saisie programme'!$H$143)+SUMIFS('Vols additionnels'!$E$7:$E$66,'Vols additionnels'!$C$7:$C$66,$E4086,'Vols additionnels'!$D$7:$D$66,$F4086,'Vols additionnels'!$B$7:$B$66,$D4086)</f>
        <v>0</v>
      </c>
      <c r="H4086" s="135" t="n">
        <f aca="false">$G4086*'Analyse capacite'!$F$8</f>
        <v>0</v>
      </c>
      <c r="I4086" s="135" t="n">
        <f aca="false">$G4086*'Analyse capacite'!$C$8</f>
        <v>0</v>
      </c>
      <c r="J4086" s="135" t="n">
        <f aca="false">$G4086*'Analyse capacite'!$D$8</f>
        <v>0</v>
      </c>
      <c r="K4086" s="135" t="n">
        <f aca="false">$G4086*'Analyse capacite'!$E$8</f>
        <v>0</v>
      </c>
    </row>
    <row r="4087" customFormat="false" ht="15" hidden="false" customHeight="false" outlineLevel="0" collapsed="false">
      <c r="B4087" s="130" t="n">
        <v>2027</v>
      </c>
      <c r="C4087" s="131" t="s">
        <v>249</v>
      </c>
      <c r="D4087" s="132" t="n">
        <v>46591</v>
      </c>
      <c r="E4087" s="131" t="s">
        <v>40</v>
      </c>
      <c r="F4087" s="133" t="s">
        <v>24</v>
      </c>
      <c r="G4087" s="134" t="n">
        <f aca="false">LEN('Saisie programme'!$H$144)+SUMIFS('Vols additionnels'!$E$7:$E$66,'Vols additionnels'!$C$7:$C$66,$E4087,'Vols additionnels'!$D$7:$D$66,$F4087,'Vols additionnels'!$B$7:$B$66,$D4087)</f>
        <v>1</v>
      </c>
      <c r="H4087" s="135" t="n">
        <f aca="false">$G4087*'Analyse capacite'!$F$9</f>
        <v>174</v>
      </c>
      <c r="I4087" s="135" t="n">
        <f aca="false">$G4087*'Analyse capacite'!$C$9</f>
        <v>0</v>
      </c>
      <c r="J4087" s="135" t="n">
        <f aca="false">$G4087*'Analyse capacite'!$D$9</f>
        <v>12</v>
      </c>
      <c r="K4087" s="135" t="n">
        <f aca="false">$G4087*'Analyse capacite'!$E$9</f>
        <v>162</v>
      </c>
    </row>
    <row r="4088" customFormat="false" ht="15" hidden="false" customHeight="false" outlineLevel="0" collapsed="false">
      <c r="B4088" s="130" t="n">
        <v>2027</v>
      </c>
      <c r="C4088" s="131" t="s">
        <v>249</v>
      </c>
      <c r="D4088" s="132" t="n">
        <v>46591</v>
      </c>
      <c r="E4088" s="131" t="s">
        <v>14</v>
      </c>
      <c r="F4088" s="133" t="s">
        <v>11</v>
      </c>
      <c r="G4088" s="134" t="n">
        <f aca="false">LEN('Saisie programme'!$H$145)+SUMIFS('Vols additionnels'!$E$7:$E$66,'Vols additionnels'!$C$7:$C$66,$E4088,'Vols additionnels'!$D$7:$D$66,$F4088,'Vols additionnels'!$B$7:$B$66,$D4088)</f>
        <v>0</v>
      </c>
      <c r="H4088" s="135" t="n">
        <f aca="false">$G4088*'Analyse capacite'!$F$7</f>
        <v>0</v>
      </c>
      <c r="I4088" s="135" t="n">
        <f aca="false">$G4088*'Analyse capacite'!$C$7</f>
        <v>0</v>
      </c>
      <c r="J4088" s="135" t="n">
        <f aca="false">$G4088*'Analyse capacite'!$D$7</f>
        <v>0</v>
      </c>
      <c r="K4088" s="135" t="n">
        <f aca="false">$G4088*'Analyse capacite'!$E$7</f>
        <v>0</v>
      </c>
    </row>
    <row r="4089" customFormat="false" ht="15" hidden="false" customHeight="false" outlineLevel="0" collapsed="false">
      <c r="B4089" s="130" t="n">
        <v>2027</v>
      </c>
      <c r="C4089" s="131" t="s">
        <v>249</v>
      </c>
      <c r="D4089" s="132" t="n">
        <v>46591</v>
      </c>
      <c r="E4089" s="131" t="s">
        <v>14</v>
      </c>
      <c r="F4089" s="133" t="s">
        <v>19</v>
      </c>
      <c r="G4089" s="134" t="n">
        <f aca="false">LEN('Saisie programme'!$H$146)+SUMIFS('Vols additionnels'!$E$7:$E$66,'Vols additionnels'!$C$7:$C$66,$E4089,'Vols additionnels'!$D$7:$D$66,$F4089,'Vols additionnels'!$B$7:$B$66,$D4089)</f>
        <v>0</v>
      </c>
      <c r="H4089" s="135" t="n">
        <f aca="false">$G4089*'Analyse capacite'!$F$8</f>
        <v>0</v>
      </c>
      <c r="I4089" s="135" t="n">
        <f aca="false">$G4089*'Analyse capacite'!$C$8</f>
        <v>0</v>
      </c>
      <c r="J4089" s="135" t="n">
        <f aca="false">$G4089*'Analyse capacite'!$D$8</f>
        <v>0</v>
      </c>
      <c r="K4089" s="135" t="n">
        <f aca="false">$G4089*'Analyse capacite'!$E$8</f>
        <v>0</v>
      </c>
    </row>
    <row r="4090" customFormat="false" ht="15" hidden="false" customHeight="false" outlineLevel="0" collapsed="false">
      <c r="B4090" s="130" t="n">
        <v>2027</v>
      </c>
      <c r="C4090" s="131" t="s">
        <v>249</v>
      </c>
      <c r="D4090" s="132" t="n">
        <v>46591</v>
      </c>
      <c r="E4090" s="131" t="s">
        <v>14</v>
      </c>
      <c r="F4090" s="133" t="s">
        <v>24</v>
      </c>
      <c r="G4090" s="134" t="n">
        <f aca="false">LEN('Saisie programme'!$H$147)+SUMIFS('Vols additionnels'!$E$7:$E$66,'Vols additionnels'!$C$7:$C$66,$E4090,'Vols additionnels'!$D$7:$D$66,$F4090,'Vols additionnels'!$B$7:$B$66,$D4090)</f>
        <v>0</v>
      </c>
      <c r="H4090" s="135" t="n">
        <f aca="false">$G4090*'Analyse capacite'!$F$9</f>
        <v>0</v>
      </c>
      <c r="I4090" s="135" t="n">
        <f aca="false">$G4090*'Analyse capacite'!$C$9</f>
        <v>0</v>
      </c>
      <c r="J4090" s="135" t="n">
        <f aca="false">$G4090*'Analyse capacite'!$D$9</f>
        <v>0</v>
      </c>
      <c r="K4090" s="135" t="n">
        <f aca="false">$G4090*'Analyse capacite'!$E$9</f>
        <v>0</v>
      </c>
    </row>
    <row r="4091" customFormat="false" ht="15" hidden="false" customHeight="false" outlineLevel="0" collapsed="false">
      <c r="B4091" s="130" t="n">
        <v>2027</v>
      </c>
      <c r="C4091" s="131" t="s">
        <v>249</v>
      </c>
      <c r="D4091" s="132" t="n">
        <v>46591</v>
      </c>
      <c r="E4091" s="131" t="s">
        <v>46</v>
      </c>
      <c r="F4091" s="133" t="s">
        <v>11</v>
      </c>
      <c r="G4091" s="134" t="n">
        <f aca="false">LEN('Saisie programme'!$H$148)+SUMIFS('Vols additionnels'!$E$7:$E$66,'Vols additionnels'!$C$7:$C$66,$E4091,'Vols additionnels'!$D$7:$D$66,$F4091,'Vols additionnels'!$B$7:$B$66,$D4091)</f>
        <v>0</v>
      </c>
      <c r="H4091" s="135" t="n">
        <f aca="false">$G4091*'Analyse capacite'!$F$7</f>
        <v>0</v>
      </c>
      <c r="I4091" s="135" t="n">
        <f aca="false">$G4091*'Analyse capacite'!$C$7</f>
        <v>0</v>
      </c>
      <c r="J4091" s="135" t="n">
        <f aca="false">$G4091*'Analyse capacite'!$D$7</f>
        <v>0</v>
      </c>
      <c r="K4091" s="135" t="n">
        <f aca="false">$G4091*'Analyse capacite'!$E$7</f>
        <v>0</v>
      </c>
    </row>
    <row r="4092" customFormat="false" ht="15" hidden="false" customHeight="false" outlineLevel="0" collapsed="false">
      <c r="B4092" s="130" t="n">
        <v>2027</v>
      </c>
      <c r="C4092" s="131" t="s">
        <v>249</v>
      </c>
      <c r="D4092" s="132" t="n">
        <v>46591</v>
      </c>
      <c r="E4092" s="131" t="s">
        <v>46</v>
      </c>
      <c r="F4092" s="133" t="s">
        <v>19</v>
      </c>
      <c r="G4092" s="134" t="n">
        <f aca="false">LEN('Saisie programme'!$H$149)+SUMIFS('Vols additionnels'!$E$7:$E$66,'Vols additionnels'!$C$7:$C$66,$E4092,'Vols additionnels'!$D$7:$D$66,$F4092,'Vols additionnels'!$B$7:$B$66,$D4092)</f>
        <v>0</v>
      </c>
      <c r="H4092" s="135" t="n">
        <f aca="false">$G4092*'Analyse capacite'!$F$8</f>
        <v>0</v>
      </c>
      <c r="I4092" s="135" t="n">
        <f aca="false">$G4092*'Analyse capacite'!$C$8</f>
        <v>0</v>
      </c>
      <c r="J4092" s="135" t="n">
        <f aca="false">$G4092*'Analyse capacite'!$D$8</f>
        <v>0</v>
      </c>
      <c r="K4092" s="135" t="n">
        <f aca="false">$G4092*'Analyse capacite'!$E$8</f>
        <v>0</v>
      </c>
    </row>
    <row r="4093" customFormat="false" ht="15" hidden="false" customHeight="false" outlineLevel="0" collapsed="false">
      <c r="B4093" s="130" t="n">
        <v>2027</v>
      </c>
      <c r="C4093" s="131" t="s">
        <v>249</v>
      </c>
      <c r="D4093" s="132" t="n">
        <v>46591</v>
      </c>
      <c r="E4093" s="131" t="s">
        <v>46</v>
      </c>
      <c r="F4093" s="133" t="s">
        <v>24</v>
      </c>
      <c r="G4093" s="134" t="n">
        <f aca="false">LEN('Saisie programme'!$H$150)+SUMIFS('Vols additionnels'!$E$7:$E$66,'Vols additionnels'!$C$7:$C$66,$E4093,'Vols additionnels'!$D$7:$D$66,$F4093,'Vols additionnels'!$B$7:$B$66,$D4093)</f>
        <v>0</v>
      </c>
      <c r="H4093" s="135" t="n">
        <f aca="false">$G4093*'Analyse capacite'!$F$9</f>
        <v>0</v>
      </c>
      <c r="I4093" s="135" t="n">
        <f aca="false">$G4093*'Analyse capacite'!$C$9</f>
        <v>0</v>
      </c>
      <c r="J4093" s="135" t="n">
        <f aca="false">$G4093*'Analyse capacite'!$D$9</f>
        <v>0</v>
      </c>
      <c r="K4093" s="135" t="n">
        <f aca="false">$G4093*'Analyse capacite'!$E$9</f>
        <v>0</v>
      </c>
    </row>
    <row r="4094" customFormat="false" ht="15" hidden="false" customHeight="false" outlineLevel="0" collapsed="false">
      <c r="B4094" s="130" t="n">
        <v>2027</v>
      </c>
      <c r="C4094" s="131" t="s">
        <v>249</v>
      </c>
      <c r="D4094" s="132" t="n">
        <v>46591</v>
      </c>
      <c r="E4094" s="131" t="s">
        <v>49</v>
      </c>
      <c r="F4094" s="133" t="s">
        <v>11</v>
      </c>
      <c r="G4094" s="134" t="n">
        <f aca="false">LEN('Saisie programme'!$H$151)+SUMIFS('Vols additionnels'!$E$7:$E$66,'Vols additionnels'!$C$7:$C$66,$E4094,'Vols additionnels'!$D$7:$D$66,$F4094,'Vols additionnels'!$B$7:$B$66,$D4094)</f>
        <v>0</v>
      </c>
      <c r="H4094" s="135" t="n">
        <f aca="false">$G4094*'Analyse capacite'!$F$7</f>
        <v>0</v>
      </c>
      <c r="I4094" s="135" t="n">
        <f aca="false">$G4094*'Analyse capacite'!$C$7</f>
        <v>0</v>
      </c>
      <c r="J4094" s="135" t="n">
        <f aca="false">$G4094*'Analyse capacite'!$D$7</f>
        <v>0</v>
      </c>
      <c r="K4094" s="135" t="n">
        <f aca="false">$G4094*'Analyse capacite'!$E$7</f>
        <v>0</v>
      </c>
    </row>
    <row r="4095" customFormat="false" ht="15" hidden="false" customHeight="false" outlineLevel="0" collapsed="false">
      <c r="B4095" s="130" t="n">
        <v>2027</v>
      </c>
      <c r="C4095" s="131" t="s">
        <v>249</v>
      </c>
      <c r="D4095" s="132" t="n">
        <v>46591</v>
      </c>
      <c r="E4095" s="131" t="s">
        <v>49</v>
      </c>
      <c r="F4095" s="133" t="s">
        <v>19</v>
      </c>
      <c r="G4095" s="134" t="n">
        <f aca="false">LEN('Saisie programme'!$H$152)+SUMIFS('Vols additionnels'!$E$7:$E$66,'Vols additionnels'!$C$7:$C$66,$E4095,'Vols additionnels'!$D$7:$D$66,$F4095,'Vols additionnels'!$B$7:$B$66,$D4095)</f>
        <v>1</v>
      </c>
      <c r="H4095" s="135" t="n">
        <f aca="false">$G4095*'Analyse capacite'!$F$8</f>
        <v>262</v>
      </c>
      <c r="I4095" s="135" t="n">
        <f aca="false">$G4095*'Analyse capacite'!$C$8</f>
        <v>18</v>
      </c>
      <c r="J4095" s="135" t="n">
        <f aca="false">$G4095*'Analyse capacite'!$D$8</f>
        <v>0</v>
      </c>
      <c r="K4095" s="135" t="n">
        <f aca="false">$G4095*'Analyse capacite'!$E$8</f>
        <v>244</v>
      </c>
    </row>
    <row r="4096" customFormat="false" ht="15" hidden="false" customHeight="false" outlineLevel="0" collapsed="false">
      <c r="B4096" s="130" t="n">
        <v>2027</v>
      </c>
      <c r="C4096" s="131" t="s">
        <v>249</v>
      </c>
      <c r="D4096" s="132" t="n">
        <v>46591</v>
      </c>
      <c r="E4096" s="131" t="s">
        <v>49</v>
      </c>
      <c r="F4096" s="133" t="s">
        <v>24</v>
      </c>
      <c r="G4096" s="134" t="n">
        <f aca="false">LEN('Saisie programme'!$H$153)+SUMIFS('Vols additionnels'!$E$7:$E$66,'Vols additionnels'!$C$7:$C$66,$E4096,'Vols additionnels'!$D$7:$D$66,$F4096,'Vols additionnels'!$B$7:$B$66,$D4096)</f>
        <v>0</v>
      </c>
      <c r="H4096" s="135" t="n">
        <f aca="false">$G4096*'Analyse capacite'!$F$9</f>
        <v>0</v>
      </c>
      <c r="I4096" s="135" t="n">
        <f aca="false">$G4096*'Analyse capacite'!$C$9</f>
        <v>0</v>
      </c>
      <c r="J4096" s="135" t="n">
        <f aca="false">$G4096*'Analyse capacite'!$D$9</f>
        <v>0</v>
      </c>
      <c r="K4096" s="135" t="n">
        <f aca="false">$G4096*'Analyse capacite'!$E$9</f>
        <v>0</v>
      </c>
    </row>
    <row r="4097" customFormat="false" ht="15" hidden="false" customHeight="false" outlineLevel="0" collapsed="false">
      <c r="B4097" s="130" t="n">
        <v>2027</v>
      </c>
      <c r="C4097" s="131" t="s">
        <v>249</v>
      </c>
      <c r="D4097" s="132" t="n">
        <v>46591</v>
      </c>
      <c r="E4097" s="131" t="s">
        <v>53</v>
      </c>
      <c r="F4097" s="133" t="s">
        <v>11</v>
      </c>
      <c r="G4097" s="134" t="n">
        <f aca="false">LEN('Saisie programme'!$H$154)+SUMIFS('Vols additionnels'!$E$7:$E$66,'Vols additionnels'!$C$7:$C$66,$E4097,'Vols additionnels'!$D$7:$D$66,$F4097,'Vols additionnels'!$B$7:$B$66,$D4097)</f>
        <v>0</v>
      </c>
      <c r="H4097" s="135" t="n">
        <f aca="false">$G4097*'Analyse capacite'!$F$7</f>
        <v>0</v>
      </c>
      <c r="I4097" s="135" t="n">
        <f aca="false">$G4097*'Analyse capacite'!$C$7</f>
        <v>0</v>
      </c>
      <c r="J4097" s="135" t="n">
        <f aca="false">$G4097*'Analyse capacite'!$D$7</f>
        <v>0</v>
      </c>
      <c r="K4097" s="135" t="n">
        <f aca="false">$G4097*'Analyse capacite'!$E$7</f>
        <v>0</v>
      </c>
    </row>
    <row r="4098" customFormat="false" ht="15" hidden="false" customHeight="false" outlineLevel="0" collapsed="false">
      <c r="B4098" s="130" t="n">
        <v>2027</v>
      </c>
      <c r="C4098" s="131" t="s">
        <v>249</v>
      </c>
      <c r="D4098" s="132" t="n">
        <v>46591</v>
      </c>
      <c r="E4098" s="131" t="s">
        <v>53</v>
      </c>
      <c r="F4098" s="133" t="s">
        <v>19</v>
      </c>
      <c r="G4098" s="134" t="n">
        <f aca="false">LEN('Saisie programme'!$H$155)+SUMIFS('Vols additionnels'!$E$7:$E$66,'Vols additionnels'!$C$7:$C$66,$E4098,'Vols additionnels'!$D$7:$D$66,$F4098,'Vols additionnels'!$B$7:$B$66,$D4098)</f>
        <v>0</v>
      </c>
      <c r="H4098" s="135" t="n">
        <f aca="false">$G4098*'Analyse capacite'!$F$8</f>
        <v>0</v>
      </c>
      <c r="I4098" s="135" t="n">
        <f aca="false">$G4098*'Analyse capacite'!$C$8</f>
        <v>0</v>
      </c>
      <c r="J4098" s="135" t="n">
        <f aca="false">$G4098*'Analyse capacite'!$D$8</f>
        <v>0</v>
      </c>
      <c r="K4098" s="135" t="n">
        <f aca="false">$G4098*'Analyse capacite'!$E$8</f>
        <v>0</v>
      </c>
    </row>
    <row r="4099" customFormat="false" ht="15" hidden="false" customHeight="false" outlineLevel="0" collapsed="false">
      <c r="B4099" s="130" t="n">
        <v>2027</v>
      </c>
      <c r="C4099" s="131" t="s">
        <v>249</v>
      </c>
      <c r="D4099" s="132" t="n">
        <v>46591</v>
      </c>
      <c r="E4099" s="131" t="s">
        <v>53</v>
      </c>
      <c r="F4099" s="133" t="s">
        <v>24</v>
      </c>
      <c r="G4099" s="134" t="n">
        <f aca="false">LEN('Saisie programme'!$H$156)+SUMIFS('Vols additionnels'!$E$7:$E$66,'Vols additionnels'!$C$7:$C$66,$E4099,'Vols additionnels'!$D$7:$D$66,$F4099,'Vols additionnels'!$B$7:$B$66,$D4099)</f>
        <v>0</v>
      </c>
      <c r="H4099" s="135" t="n">
        <f aca="false">$G4099*'Analyse capacite'!$F$9</f>
        <v>0</v>
      </c>
      <c r="I4099" s="135" t="n">
        <f aca="false">$G4099*'Analyse capacite'!$C$9</f>
        <v>0</v>
      </c>
      <c r="J4099" s="135" t="n">
        <f aca="false">$G4099*'Analyse capacite'!$D$9</f>
        <v>0</v>
      </c>
      <c r="K4099" s="135" t="n">
        <f aca="false">$G4099*'Analyse capacite'!$E$9</f>
        <v>0</v>
      </c>
    </row>
    <row r="4100" customFormat="false" ht="15" hidden="false" customHeight="false" outlineLevel="0" collapsed="false">
      <c r="B4100" s="130" t="n">
        <v>2027</v>
      </c>
      <c r="C4100" s="131" t="s">
        <v>249</v>
      </c>
      <c r="D4100" s="132" t="n">
        <v>46591</v>
      </c>
      <c r="E4100" s="131" t="s">
        <v>56</v>
      </c>
      <c r="F4100" s="133" t="s">
        <v>11</v>
      </c>
      <c r="G4100" s="134" t="n">
        <f aca="false">LEN('Saisie programme'!$H$157)+SUMIFS('Vols additionnels'!$E$7:$E$66,'Vols additionnels'!$C$7:$C$66,$E4100,'Vols additionnels'!$D$7:$D$66,$F4100,'Vols additionnels'!$B$7:$B$66,$D4100)</f>
        <v>0</v>
      </c>
      <c r="H4100" s="135" t="n">
        <f aca="false">$G4100*'Analyse capacite'!$F$7</f>
        <v>0</v>
      </c>
      <c r="I4100" s="135" t="n">
        <f aca="false">$G4100*'Analyse capacite'!$C$7</f>
        <v>0</v>
      </c>
      <c r="J4100" s="135" t="n">
        <f aca="false">$G4100*'Analyse capacite'!$D$7</f>
        <v>0</v>
      </c>
      <c r="K4100" s="135" t="n">
        <f aca="false">$G4100*'Analyse capacite'!$E$7</f>
        <v>0</v>
      </c>
    </row>
    <row r="4101" customFormat="false" ht="15" hidden="false" customHeight="false" outlineLevel="0" collapsed="false">
      <c r="B4101" s="130" t="n">
        <v>2027</v>
      </c>
      <c r="C4101" s="131" t="s">
        <v>249</v>
      </c>
      <c r="D4101" s="132" t="n">
        <v>46591</v>
      </c>
      <c r="E4101" s="131" t="s">
        <v>56</v>
      </c>
      <c r="F4101" s="133" t="s">
        <v>19</v>
      </c>
      <c r="G4101" s="134" t="n">
        <f aca="false">LEN('Saisie programme'!$H$158)+SUMIFS('Vols additionnels'!$E$7:$E$66,'Vols additionnels'!$C$7:$C$66,$E4101,'Vols additionnels'!$D$7:$D$66,$F4101,'Vols additionnels'!$B$7:$B$66,$D4101)</f>
        <v>0</v>
      </c>
      <c r="H4101" s="135" t="n">
        <f aca="false">$G4101*'Analyse capacite'!$F$8</f>
        <v>0</v>
      </c>
      <c r="I4101" s="135" t="n">
        <f aca="false">$G4101*'Analyse capacite'!$C$8</f>
        <v>0</v>
      </c>
      <c r="J4101" s="135" t="n">
        <f aca="false">$G4101*'Analyse capacite'!$D$8</f>
        <v>0</v>
      </c>
      <c r="K4101" s="135" t="n">
        <f aca="false">$G4101*'Analyse capacite'!$E$8</f>
        <v>0</v>
      </c>
    </row>
    <row r="4102" customFormat="false" ht="15" hidden="false" customHeight="false" outlineLevel="0" collapsed="false">
      <c r="B4102" s="130" t="n">
        <v>2027</v>
      </c>
      <c r="C4102" s="131" t="s">
        <v>249</v>
      </c>
      <c r="D4102" s="132" t="n">
        <v>46591</v>
      </c>
      <c r="E4102" s="131" t="s">
        <v>56</v>
      </c>
      <c r="F4102" s="133" t="s">
        <v>24</v>
      </c>
      <c r="G4102" s="134" t="n">
        <f aca="false">LEN('Saisie programme'!$H$159)+SUMIFS('Vols additionnels'!$E$7:$E$66,'Vols additionnels'!$C$7:$C$66,$E4102,'Vols additionnels'!$D$7:$D$66,$F4102,'Vols additionnels'!$B$7:$B$66,$D4102)</f>
        <v>0</v>
      </c>
      <c r="H4102" s="135" t="n">
        <f aca="false">$G4102*'Analyse capacite'!$F$9</f>
        <v>0</v>
      </c>
      <c r="I4102" s="135" t="n">
        <f aca="false">$G4102*'Analyse capacite'!$C$9</f>
        <v>0</v>
      </c>
      <c r="J4102" s="135" t="n">
        <f aca="false">$G4102*'Analyse capacite'!$D$9</f>
        <v>0</v>
      </c>
      <c r="K4102" s="135" t="n">
        <f aca="false">$G4102*'Analyse capacite'!$E$9</f>
        <v>0</v>
      </c>
    </row>
    <row r="4103" customFormat="false" ht="15" hidden="false" customHeight="false" outlineLevel="0" collapsed="false">
      <c r="B4103" s="130" t="n">
        <v>2027</v>
      </c>
      <c r="C4103" s="131" t="s">
        <v>249</v>
      </c>
      <c r="D4103" s="132" t="n">
        <v>46591</v>
      </c>
      <c r="E4103" s="131" t="s">
        <v>59</v>
      </c>
      <c r="F4103" s="133" t="s">
        <v>11</v>
      </c>
      <c r="G4103" s="134" t="n">
        <f aca="false">LEN('Saisie programme'!$H$160)+SUMIFS('Vols additionnels'!$E$7:$E$66,'Vols additionnels'!$C$7:$C$66,$E4103,'Vols additionnels'!$D$7:$D$66,$F4103,'Vols additionnels'!$B$7:$B$66,$D4103)</f>
        <v>0</v>
      </c>
      <c r="H4103" s="135" t="n">
        <f aca="false">$G4103*'Analyse capacite'!$F$7</f>
        <v>0</v>
      </c>
      <c r="I4103" s="135" t="n">
        <f aca="false">$G4103*'Analyse capacite'!$C$7</f>
        <v>0</v>
      </c>
      <c r="J4103" s="135" t="n">
        <f aca="false">$G4103*'Analyse capacite'!$D$7</f>
        <v>0</v>
      </c>
      <c r="K4103" s="135" t="n">
        <f aca="false">$G4103*'Analyse capacite'!$E$7</f>
        <v>0</v>
      </c>
    </row>
    <row r="4104" customFormat="false" ht="15" hidden="false" customHeight="false" outlineLevel="0" collapsed="false">
      <c r="B4104" s="130" t="n">
        <v>2027</v>
      </c>
      <c r="C4104" s="131" t="s">
        <v>249</v>
      </c>
      <c r="D4104" s="132" t="n">
        <v>46591</v>
      </c>
      <c r="E4104" s="131" t="s">
        <v>59</v>
      </c>
      <c r="F4104" s="133" t="s">
        <v>19</v>
      </c>
      <c r="G4104" s="134" t="n">
        <f aca="false">LEN('Saisie programme'!$H$161)+SUMIFS('Vols additionnels'!$E$7:$E$66,'Vols additionnels'!$C$7:$C$66,$E4104,'Vols additionnels'!$D$7:$D$66,$F4104,'Vols additionnels'!$B$7:$B$66,$D4104)</f>
        <v>0</v>
      </c>
      <c r="H4104" s="135" t="n">
        <f aca="false">$G4104*'Analyse capacite'!$F$8</f>
        <v>0</v>
      </c>
      <c r="I4104" s="135" t="n">
        <f aca="false">$G4104*'Analyse capacite'!$C$8</f>
        <v>0</v>
      </c>
      <c r="J4104" s="135" t="n">
        <f aca="false">$G4104*'Analyse capacite'!$D$8</f>
        <v>0</v>
      </c>
      <c r="K4104" s="135" t="n">
        <f aca="false">$G4104*'Analyse capacite'!$E$8</f>
        <v>0</v>
      </c>
    </row>
    <row r="4105" customFormat="false" ht="15" hidden="false" customHeight="false" outlineLevel="0" collapsed="false">
      <c r="B4105" s="130" t="n">
        <v>2027</v>
      </c>
      <c r="C4105" s="131" t="s">
        <v>249</v>
      </c>
      <c r="D4105" s="132" t="n">
        <v>46591</v>
      </c>
      <c r="E4105" s="131" t="s">
        <v>59</v>
      </c>
      <c r="F4105" s="133" t="s">
        <v>24</v>
      </c>
      <c r="G4105" s="134" t="n">
        <f aca="false">LEN('Saisie programme'!$H$162)+SUMIFS('Vols additionnels'!$E$7:$E$66,'Vols additionnels'!$C$7:$C$66,$E4105,'Vols additionnels'!$D$7:$D$66,$F4105,'Vols additionnels'!$B$7:$B$66,$D4105)</f>
        <v>1</v>
      </c>
      <c r="H4105" s="135" t="n">
        <f aca="false">$G4105*'Analyse capacite'!$F$9</f>
        <v>174</v>
      </c>
      <c r="I4105" s="135" t="n">
        <f aca="false">$G4105*'Analyse capacite'!$C$9</f>
        <v>0</v>
      </c>
      <c r="J4105" s="135" t="n">
        <f aca="false">$G4105*'Analyse capacite'!$D$9</f>
        <v>12</v>
      </c>
      <c r="K4105" s="135" t="n">
        <f aca="false">$G4105*'Analyse capacite'!$E$9</f>
        <v>162</v>
      </c>
    </row>
    <row r="4106" customFormat="false" ht="15" hidden="false" customHeight="false" outlineLevel="0" collapsed="false">
      <c r="B4106" s="130" t="n">
        <v>2027</v>
      </c>
      <c r="C4106" s="131" t="s">
        <v>249</v>
      </c>
      <c r="D4106" s="132" t="n">
        <v>46591</v>
      </c>
      <c r="E4106" s="131" t="s">
        <v>62</v>
      </c>
      <c r="F4106" s="133" t="s">
        <v>11</v>
      </c>
      <c r="G4106" s="134" t="n">
        <f aca="false">LEN('Saisie programme'!$H$163)+SUMIFS('Vols additionnels'!$E$7:$E$66,'Vols additionnels'!$C$7:$C$66,$E4106,'Vols additionnels'!$D$7:$D$66,$F4106,'Vols additionnels'!$B$7:$B$66,$D4106)</f>
        <v>0</v>
      </c>
      <c r="H4106" s="135" t="n">
        <f aca="false">$G4106*'Analyse capacite'!$F$7</f>
        <v>0</v>
      </c>
      <c r="I4106" s="135" t="n">
        <f aca="false">$G4106*'Analyse capacite'!$C$7</f>
        <v>0</v>
      </c>
      <c r="J4106" s="135" t="n">
        <f aca="false">$G4106*'Analyse capacite'!$D$7</f>
        <v>0</v>
      </c>
      <c r="K4106" s="135" t="n">
        <f aca="false">$G4106*'Analyse capacite'!$E$7</f>
        <v>0</v>
      </c>
    </row>
    <row r="4107" customFormat="false" ht="15" hidden="false" customHeight="false" outlineLevel="0" collapsed="false">
      <c r="B4107" s="130" t="n">
        <v>2027</v>
      </c>
      <c r="C4107" s="131" t="s">
        <v>249</v>
      </c>
      <c r="D4107" s="132" t="n">
        <v>46591</v>
      </c>
      <c r="E4107" s="131" t="s">
        <v>62</v>
      </c>
      <c r="F4107" s="133" t="s">
        <v>19</v>
      </c>
      <c r="G4107" s="134" t="n">
        <f aca="false">LEN('Saisie programme'!$H$164)+SUMIFS('Vols additionnels'!$E$7:$E$66,'Vols additionnels'!$C$7:$C$66,$E4107,'Vols additionnels'!$D$7:$D$66,$F4107,'Vols additionnels'!$B$7:$B$66,$D4107)</f>
        <v>0</v>
      </c>
      <c r="H4107" s="135" t="n">
        <f aca="false">$G4107*'Analyse capacite'!$F$8</f>
        <v>0</v>
      </c>
      <c r="I4107" s="135" t="n">
        <f aca="false">$G4107*'Analyse capacite'!$C$8</f>
        <v>0</v>
      </c>
      <c r="J4107" s="135" t="n">
        <f aca="false">$G4107*'Analyse capacite'!$D$8</f>
        <v>0</v>
      </c>
      <c r="K4107" s="135" t="n">
        <f aca="false">$G4107*'Analyse capacite'!$E$8</f>
        <v>0</v>
      </c>
    </row>
    <row r="4108" customFormat="false" ht="15" hidden="false" customHeight="false" outlineLevel="0" collapsed="false">
      <c r="B4108" s="130" t="n">
        <v>2027</v>
      </c>
      <c r="C4108" s="131" t="s">
        <v>249</v>
      </c>
      <c r="D4108" s="132" t="n">
        <v>46591</v>
      </c>
      <c r="E4108" s="131" t="s">
        <v>62</v>
      </c>
      <c r="F4108" s="133" t="s">
        <v>24</v>
      </c>
      <c r="G4108" s="134" t="n">
        <f aca="false">LEN('Saisie programme'!$H$165)+SUMIFS('Vols additionnels'!$E$7:$E$66,'Vols additionnels'!$C$7:$C$66,$E4108,'Vols additionnels'!$D$7:$D$66,$F4108,'Vols additionnels'!$B$7:$B$66,$D4108)</f>
        <v>0</v>
      </c>
      <c r="H4108" s="135" t="n">
        <f aca="false">$G4108*'Analyse capacite'!$F$9</f>
        <v>0</v>
      </c>
      <c r="I4108" s="135" t="n">
        <f aca="false">$G4108*'Analyse capacite'!$C$9</f>
        <v>0</v>
      </c>
      <c r="J4108" s="135" t="n">
        <f aca="false">$G4108*'Analyse capacite'!$D$9</f>
        <v>0</v>
      </c>
      <c r="K4108" s="135" t="n">
        <f aca="false">$G4108*'Analyse capacite'!$E$9</f>
        <v>0</v>
      </c>
    </row>
    <row r="4109" customFormat="false" ht="15" hidden="false" customHeight="false" outlineLevel="0" collapsed="false">
      <c r="B4109" s="130" t="n">
        <v>2027</v>
      </c>
      <c r="C4109" s="131" t="s">
        <v>249</v>
      </c>
      <c r="D4109" s="132" t="n">
        <v>46592</v>
      </c>
      <c r="E4109" s="131" t="s">
        <v>12</v>
      </c>
      <c r="F4109" s="133" t="s">
        <v>11</v>
      </c>
      <c r="G4109" s="134" t="n">
        <f aca="false">LEN('Saisie programme'!$I$130)+SUMIFS('Vols additionnels'!$E$7:$E$66,'Vols additionnels'!$C$7:$C$66,$E4109,'Vols additionnels'!$D$7:$D$66,$F4109,'Vols additionnels'!$B$7:$B$66,$D4109)</f>
        <v>1</v>
      </c>
      <c r="H4109" s="135" t="n">
        <f aca="false">$G4109*'Analyse capacite'!$F$7</f>
        <v>438</v>
      </c>
      <c r="I4109" s="135" t="n">
        <f aca="false">$G4109*'Analyse capacite'!$C$7</f>
        <v>14</v>
      </c>
      <c r="J4109" s="135" t="n">
        <f aca="false">$G4109*'Analyse capacite'!$D$7</f>
        <v>40</v>
      </c>
      <c r="K4109" s="135" t="n">
        <f aca="false">$G4109*'Analyse capacite'!$E$7</f>
        <v>384</v>
      </c>
    </row>
    <row r="4110" customFormat="false" ht="15" hidden="false" customHeight="false" outlineLevel="0" collapsed="false">
      <c r="B4110" s="130" t="n">
        <v>2027</v>
      </c>
      <c r="C4110" s="131" t="s">
        <v>249</v>
      </c>
      <c r="D4110" s="132" t="n">
        <v>46592</v>
      </c>
      <c r="E4110" s="131" t="s">
        <v>12</v>
      </c>
      <c r="F4110" s="133" t="s">
        <v>19</v>
      </c>
      <c r="G4110" s="134" t="n">
        <f aca="false">LEN('Saisie programme'!$I$131)+SUMIFS('Vols additionnels'!$E$7:$E$66,'Vols additionnels'!$C$7:$C$66,$E4110,'Vols additionnels'!$D$7:$D$66,$F4110,'Vols additionnels'!$B$7:$B$66,$D4110)</f>
        <v>0</v>
      </c>
      <c r="H4110" s="135" t="n">
        <f aca="false">$G4110*'Analyse capacite'!$F$8</f>
        <v>0</v>
      </c>
      <c r="I4110" s="135" t="n">
        <f aca="false">$G4110*'Analyse capacite'!$C$8</f>
        <v>0</v>
      </c>
      <c r="J4110" s="135" t="n">
        <f aca="false">$G4110*'Analyse capacite'!$D$8</f>
        <v>0</v>
      </c>
      <c r="K4110" s="135" t="n">
        <f aca="false">$G4110*'Analyse capacite'!$E$8</f>
        <v>0</v>
      </c>
    </row>
    <row r="4111" customFormat="false" ht="15" hidden="false" customHeight="false" outlineLevel="0" collapsed="false">
      <c r="B4111" s="130" t="n">
        <v>2027</v>
      </c>
      <c r="C4111" s="131" t="s">
        <v>249</v>
      </c>
      <c r="D4111" s="132" t="n">
        <v>46592</v>
      </c>
      <c r="E4111" s="131" t="s">
        <v>12</v>
      </c>
      <c r="F4111" s="133" t="s">
        <v>24</v>
      </c>
      <c r="G4111" s="134" t="n">
        <f aca="false">LEN('Saisie programme'!$I$132)+SUMIFS('Vols additionnels'!$E$7:$E$66,'Vols additionnels'!$C$7:$C$66,$E4111,'Vols additionnels'!$D$7:$D$66,$F4111,'Vols additionnels'!$B$7:$B$66,$D4111)</f>
        <v>0</v>
      </c>
      <c r="H4111" s="135" t="n">
        <f aca="false">$G4111*'Analyse capacite'!$F$9</f>
        <v>0</v>
      </c>
      <c r="I4111" s="135" t="n">
        <f aca="false">$G4111*'Analyse capacite'!$C$9</f>
        <v>0</v>
      </c>
      <c r="J4111" s="135" t="n">
        <f aca="false">$G4111*'Analyse capacite'!$D$9</f>
        <v>0</v>
      </c>
      <c r="K4111" s="135" t="n">
        <f aca="false">$G4111*'Analyse capacite'!$E$9</f>
        <v>0</v>
      </c>
    </row>
    <row r="4112" customFormat="false" ht="15" hidden="false" customHeight="false" outlineLevel="0" collapsed="false">
      <c r="B4112" s="130" t="n">
        <v>2027</v>
      </c>
      <c r="C4112" s="131" t="s">
        <v>249</v>
      </c>
      <c r="D4112" s="132" t="n">
        <v>46592</v>
      </c>
      <c r="E4112" s="131" t="s">
        <v>20</v>
      </c>
      <c r="F4112" s="133" t="s">
        <v>11</v>
      </c>
      <c r="G4112" s="134" t="n">
        <f aca="false">LEN('Saisie programme'!$I$133)+SUMIFS('Vols additionnels'!$E$7:$E$66,'Vols additionnels'!$C$7:$C$66,$E4112,'Vols additionnels'!$D$7:$D$66,$F4112,'Vols additionnels'!$B$7:$B$66,$D4112)</f>
        <v>0</v>
      </c>
      <c r="H4112" s="135" t="n">
        <f aca="false">$G4112*'Analyse capacite'!$F$7</f>
        <v>0</v>
      </c>
      <c r="I4112" s="135" t="n">
        <f aca="false">$G4112*'Analyse capacite'!$C$7</f>
        <v>0</v>
      </c>
      <c r="J4112" s="135" t="n">
        <f aca="false">$G4112*'Analyse capacite'!$D$7</f>
        <v>0</v>
      </c>
      <c r="K4112" s="135" t="n">
        <f aca="false">$G4112*'Analyse capacite'!$E$7</f>
        <v>0</v>
      </c>
    </row>
    <row r="4113" customFormat="false" ht="15" hidden="false" customHeight="false" outlineLevel="0" collapsed="false">
      <c r="B4113" s="130" t="n">
        <v>2027</v>
      </c>
      <c r="C4113" s="131" t="s">
        <v>249</v>
      </c>
      <c r="D4113" s="132" t="n">
        <v>46592</v>
      </c>
      <c r="E4113" s="131" t="s">
        <v>20</v>
      </c>
      <c r="F4113" s="133" t="s">
        <v>19</v>
      </c>
      <c r="G4113" s="134" t="n">
        <f aca="false">LEN('Saisie programme'!$I$134)+SUMIFS('Vols additionnels'!$E$7:$E$66,'Vols additionnels'!$C$7:$C$66,$E4113,'Vols additionnels'!$D$7:$D$66,$F4113,'Vols additionnels'!$B$7:$B$66,$D4113)</f>
        <v>0</v>
      </c>
      <c r="H4113" s="135" t="n">
        <f aca="false">$G4113*'Analyse capacite'!$F$8</f>
        <v>0</v>
      </c>
      <c r="I4113" s="135" t="n">
        <f aca="false">$G4113*'Analyse capacite'!$C$8</f>
        <v>0</v>
      </c>
      <c r="J4113" s="135" t="n">
        <f aca="false">$G4113*'Analyse capacite'!$D$8</f>
        <v>0</v>
      </c>
      <c r="K4113" s="135" t="n">
        <f aca="false">$G4113*'Analyse capacite'!$E$8</f>
        <v>0</v>
      </c>
    </row>
    <row r="4114" customFormat="false" ht="15" hidden="false" customHeight="false" outlineLevel="0" collapsed="false">
      <c r="B4114" s="130" t="n">
        <v>2027</v>
      </c>
      <c r="C4114" s="131" t="s">
        <v>249</v>
      </c>
      <c r="D4114" s="132" t="n">
        <v>46592</v>
      </c>
      <c r="E4114" s="131" t="s">
        <v>20</v>
      </c>
      <c r="F4114" s="133" t="s">
        <v>24</v>
      </c>
      <c r="G4114" s="134" t="n">
        <f aca="false">LEN('Saisie programme'!$I$135)+SUMIFS('Vols additionnels'!$E$7:$E$66,'Vols additionnels'!$C$7:$C$66,$E4114,'Vols additionnels'!$D$7:$D$66,$F4114,'Vols additionnels'!$B$7:$B$66,$D4114)</f>
        <v>0</v>
      </c>
      <c r="H4114" s="135" t="n">
        <f aca="false">$G4114*'Analyse capacite'!$F$9</f>
        <v>0</v>
      </c>
      <c r="I4114" s="135" t="n">
        <f aca="false">$G4114*'Analyse capacite'!$C$9</f>
        <v>0</v>
      </c>
      <c r="J4114" s="135" t="n">
        <f aca="false">$G4114*'Analyse capacite'!$D$9</f>
        <v>0</v>
      </c>
      <c r="K4114" s="135" t="n">
        <f aca="false">$G4114*'Analyse capacite'!$E$9</f>
        <v>0</v>
      </c>
    </row>
    <row r="4115" customFormat="false" ht="15" hidden="false" customHeight="false" outlineLevel="0" collapsed="false">
      <c r="B4115" s="130" t="n">
        <v>2027</v>
      </c>
      <c r="C4115" s="131" t="s">
        <v>249</v>
      </c>
      <c r="D4115" s="132" t="n">
        <v>46592</v>
      </c>
      <c r="E4115" s="131" t="s">
        <v>25</v>
      </c>
      <c r="F4115" s="133" t="s">
        <v>11</v>
      </c>
      <c r="G4115" s="134" t="n">
        <f aca="false">LEN('Saisie programme'!$I$136)+SUMIFS('Vols additionnels'!$E$7:$E$66,'Vols additionnels'!$C$7:$C$66,$E4115,'Vols additionnels'!$D$7:$D$66,$F4115,'Vols additionnels'!$B$7:$B$66,$D4115)</f>
        <v>0</v>
      </c>
      <c r="H4115" s="135" t="n">
        <f aca="false">$G4115*'Analyse capacite'!$F$7</f>
        <v>0</v>
      </c>
      <c r="I4115" s="135" t="n">
        <f aca="false">$G4115*'Analyse capacite'!$C$7</f>
        <v>0</v>
      </c>
      <c r="J4115" s="135" t="n">
        <f aca="false">$G4115*'Analyse capacite'!$D$7</f>
        <v>0</v>
      </c>
      <c r="K4115" s="135" t="n">
        <f aca="false">$G4115*'Analyse capacite'!$E$7</f>
        <v>0</v>
      </c>
    </row>
    <row r="4116" customFormat="false" ht="15" hidden="false" customHeight="false" outlineLevel="0" collapsed="false">
      <c r="B4116" s="130" t="n">
        <v>2027</v>
      </c>
      <c r="C4116" s="131" t="s">
        <v>249</v>
      </c>
      <c r="D4116" s="132" t="n">
        <v>46592</v>
      </c>
      <c r="E4116" s="131" t="s">
        <v>25</v>
      </c>
      <c r="F4116" s="133" t="s">
        <v>19</v>
      </c>
      <c r="G4116" s="134" t="n">
        <f aca="false">LEN('Saisie programme'!$I$137)+SUMIFS('Vols additionnels'!$E$7:$E$66,'Vols additionnels'!$C$7:$C$66,$E4116,'Vols additionnels'!$D$7:$D$66,$F4116,'Vols additionnels'!$B$7:$B$66,$D4116)</f>
        <v>1</v>
      </c>
      <c r="H4116" s="135" t="n">
        <f aca="false">$G4116*'Analyse capacite'!$F$8</f>
        <v>262</v>
      </c>
      <c r="I4116" s="135" t="n">
        <f aca="false">$G4116*'Analyse capacite'!$C$8</f>
        <v>18</v>
      </c>
      <c r="J4116" s="135" t="n">
        <f aca="false">$G4116*'Analyse capacite'!$D$8</f>
        <v>0</v>
      </c>
      <c r="K4116" s="135" t="n">
        <f aca="false">$G4116*'Analyse capacite'!$E$8</f>
        <v>244</v>
      </c>
    </row>
    <row r="4117" customFormat="false" ht="15" hidden="false" customHeight="false" outlineLevel="0" collapsed="false">
      <c r="B4117" s="130" t="n">
        <v>2027</v>
      </c>
      <c r="C4117" s="131" t="s">
        <v>249</v>
      </c>
      <c r="D4117" s="132" t="n">
        <v>46592</v>
      </c>
      <c r="E4117" s="131" t="s">
        <v>25</v>
      </c>
      <c r="F4117" s="133" t="s">
        <v>24</v>
      </c>
      <c r="G4117" s="134" t="n">
        <f aca="false">LEN('Saisie programme'!$I$138)+SUMIFS('Vols additionnels'!$E$7:$E$66,'Vols additionnels'!$C$7:$C$66,$E4117,'Vols additionnels'!$D$7:$D$66,$F4117,'Vols additionnels'!$B$7:$B$66,$D4117)</f>
        <v>0</v>
      </c>
      <c r="H4117" s="135" t="n">
        <f aca="false">$G4117*'Analyse capacite'!$F$9</f>
        <v>0</v>
      </c>
      <c r="I4117" s="135" t="n">
        <f aca="false">$G4117*'Analyse capacite'!$C$9</f>
        <v>0</v>
      </c>
      <c r="J4117" s="135" t="n">
        <f aca="false">$G4117*'Analyse capacite'!$D$9</f>
        <v>0</v>
      </c>
      <c r="K4117" s="135" t="n">
        <f aca="false">$G4117*'Analyse capacite'!$E$9</f>
        <v>0</v>
      </c>
    </row>
    <row r="4118" customFormat="false" ht="15" hidden="false" customHeight="false" outlineLevel="0" collapsed="false">
      <c r="B4118" s="130" t="n">
        <v>2027</v>
      </c>
      <c r="C4118" s="131" t="s">
        <v>249</v>
      </c>
      <c r="D4118" s="132" t="n">
        <v>46592</v>
      </c>
      <c r="E4118" s="131" t="s">
        <v>36</v>
      </c>
      <c r="F4118" s="133" t="s">
        <v>11</v>
      </c>
      <c r="G4118" s="134" t="n">
        <f aca="false">LEN('Saisie programme'!$I$139)+SUMIFS('Vols additionnels'!$E$7:$E$66,'Vols additionnels'!$C$7:$C$66,$E4118,'Vols additionnels'!$D$7:$D$66,$F4118,'Vols additionnels'!$B$7:$B$66,$D4118)</f>
        <v>0</v>
      </c>
      <c r="H4118" s="135" t="n">
        <f aca="false">$G4118*'Analyse capacite'!$F$7</f>
        <v>0</v>
      </c>
      <c r="I4118" s="135" t="n">
        <f aca="false">$G4118*'Analyse capacite'!$C$7</f>
        <v>0</v>
      </c>
      <c r="J4118" s="135" t="n">
        <f aca="false">$G4118*'Analyse capacite'!$D$7</f>
        <v>0</v>
      </c>
      <c r="K4118" s="135" t="n">
        <f aca="false">$G4118*'Analyse capacite'!$E$7</f>
        <v>0</v>
      </c>
    </row>
    <row r="4119" customFormat="false" ht="15" hidden="false" customHeight="false" outlineLevel="0" collapsed="false">
      <c r="B4119" s="130" t="n">
        <v>2027</v>
      </c>
      <c r="C4119" s="131" t="s">
        <v>249</v>
      </c>
      <c r="D4119" s="132" t="n">
        <v>46592</v>
      </c>
      <c r="E4119" s="131" t="s">
        <v>36</v>
      </c>
      <c r="F4119" s="133" t="s">
        <v>19</v>
      </c>
      <c r="G4119" s="134" t="n">
        <f aca="false">LEN('Saisie programme'!$I$140)+SUMIFS('Vols additionnels'!$E$7:$E$66,'Vols additionnels'!$C$7:$C$66,$E4119,'Vols additionnels'!$D$7:$D$66,$F4119,'Vols additionnels'!$B$7:$B$66,$D4119)</f>
        <v>0</v>
      </c>
      <c r="H4119" s="135" t="n">
        <f aca="false">$G4119*'Analyse capacite'!$F$8</f>
        <v>0</v>
      </c>
      <c r="I4119" s="135" t="n">
        <f aca="false">$G4119*'Analyse capacite'!$C$8</f>
        <v>0</v>
      </c>
      <c r="J4119" s="135" t="n">
        <f aca="false">$G4119*'Analyse capacite'!$D$8</f>
        <v>0</v>
      </c>
      <c r="K4119" s="135" t="n">
        <f aca="false">$G4119*'Analyse capacite'!$E$8</f>
        <v>0</v>
      </c>
    </row>
    <row r="4120" customFormat="false" ht="15" hidden="false" customHeight="false" outlineLevel="0" collapsed="false">
      <c r="B4120" s="130" t="n">
        <v>2027</v>
      </c>
      <c r="C4120" s="131" t="s">
        <v>249</v>
      </c>
      <c r="D4120" s="132" t="n">
        <v>46592</v>
      </c>
      <c r="E4120" s="131" t="s">
        <v>36</v>
      </c>
      <c r="F4120" s="133" t="s">
        <v>24</v>
      </c>
      <c r="G4120" s="134" t="n">
        <f aca="false">LEN('Saisie programme'!$I$141)+SUMIFS('Vols additionnels'!$E$7:$E$66,'Vols additionnels'!$C$7:$C$66,$E4120,'Vols additionnels'!$D$7:$D$66,$F4120,'Vols additionnels'!$B$7:$B$66,$D4120)</f>
        <v>0</v>
      </c>
      <c r="H4120" s="135" t="n">
        <f aca="false">$G4120*'Analyse capacite'!$F$9</f>
        <v>0</v>
      </c>
      <c r="I4120" s="135" t="n">
        <f aca="false">$G4120*'Analyse capacite'!$C$9</f>
        <v>0</v>
      </c>
      <c r="J4120" s="135" t="n">
        <f aca="false">$G4120*'Analyse capacite'!$D$9</f>
        <v>0</v>
      </c>
      <c r="K4120" s="135" t="n">
        <f aca="false">$G4120*'Analyse capacite'!$E$9</f>
        <v>0</v>
      </c>
    </row>
    <row r="4121" customFormat="false" ht="15" hidden="false" customHeight="false" outlineLevel="0" collapsed="false">
      <c r="B4121" s="130" t="n">
        <v>2027</v>
      </c>
      <c r="C4121" s="131" t="s">
        <v>249</v>
      </c>
      <c r="D4121" s="132" t="n">
        <v>46592</v>
      </c>
      <c r="E4121" s="131" t="s">
        <v>40</v>
      </c>
      <c r="F4121" s="133" t="s">
        <v>11</v>
      </c>
      <c r="G4121" s="134" t="n">
        <f aca="false">LEN('Saisie programme'!$I$142)+SUMIFS('Vols additionnels'!$E$7:$E$66,'Vols additionnels'!$C$7:$C$66,$E4121,'Vols additionnels'!$D$7:$D$66,$F4121,'Vols additionnels'!$B$7:$B$66,$D4121)</f>
        <v>0</v>
      </c>
      <c r="H4121" s="135" t="n">
        <f aca="false">$G4121*'Analyse capacite'!$F$7</f>
        <v>0</v>
      </c>
      <c r="I4121" s="135" t="n">
        <f aca="false">$G4121*'Analyse capacite'!$C$7</f>
        <v>0</v>
      </c>
      <c r="J4121" s="135" t="n">
        <f aca="false">$G4121*'Analyse capacite'!$D$7</f>
        <v>0</v>
      </c>
      <c r="K4121" s="135" t="n">
        <f aca="false">$G4121*'Analyse capacite'!$E$7</f>
        <v>0</v>
      </c>
    </row>
    <row r="4122" customFormat="false" ht="15" hidden="false" customHeight="false" outlineLevel="0" collapsed="false">
      <c r="B4122" s="130" t="n">
        <v>2027</v>
      </c>
      <c r="C4122" s="131" t="s">
        <v>249</v>
      </c>
      <c r="D4122" s="132" t="n">
        <v>46592</v>
      </c>
      <c r="E4122" s="131" t="s">
        <v>40</v>
      </c>
      <c r="F4122" s="133" t="s">
        <v>19</v>
      </c>
      <c r="G4122" s="134" t="n">
        <f aca="false">LEN('Saisie programme'!$I$143)+SUMIFS('Vols additionnels'!$E$7:$E$66,'Vols additionnels'!$C$7:$C$66,$E4122,'Vols additionnels'!$D$7:$D$66,$F4122,'Vols additionnels'!$B$7:$B$66,$D4122)</f>
        <v>0</v>
      </c>
      <c r="H4122" s="135" t="n">
        <f aca="false">$G4122*'Analyse capacite'!$F$8</f>
        <v>0</v>
      </c>
      <c r="I4122" s="135" t="n">
        <f aca="false">$G4122*'Analyse capacite'!$C$8</f>
        <v>0</v>
      </c>
      <c r="J4122" s="135" t="n">
        <f aca="false">$G4122*'Analyse capacite'!$D$8</f>
        <v>0</v>
      </c>
      <c r="K4122" s="135" t="n">
        <f aca="false">$G4122*'Analyse capacite'!$E$8</f>
        <v>0</v>
      </c>
    </row>
    <row r="4123" customFormat="false" ht="15" hidden="false" customHeight="false" outlineLevel="0" collapsed="false">
      <c r="B4123" s="130" t="n">
        <v>2027</v>
      </c>
      <c r="C4123" s="131" t="s">
        <v>249</v>
      </c>
      <c r="D4123" s="132" t="n">
        <v>46592</v>
      </c>
      <c r="E4123" s="131" t="s">
        <v>40</v>
      </c>
      <c r="F4123" s="133" t="s">
        <v>24</v>
      </c>
      <c r="G4123" s="134" t="n">
        <f aca="false">LEN('Saisie programme'!$I$144)+SUMIFS('Vols additionnels'!$E$7:$E$66,'Vols additionnels'!$C$7:$C$66,$E4123,'Vols additionnels'!$D$7:$D$66,$F4123,'Vols additionnels'!$B$7:$B$66,$D4123)</f>
        <v>0</v>
      </c>
      <c r="H4123" s="135" t="n">
        <f aca="false">$G4123*'Analyse capacite'!$F$9</f>
        <v>0</v>
      </c>
      <c r="I4123" s="135" t="n">
        <f aca="false">$G4123*'Analyse capacite'!$C$9</f>
        <v>0</v>
      </c>
      <c r="J4123" s="135" t="n">
        <f aca="false">$G4123*'Analyse capacite'!$D$9</f>
        <v>0</v>
      </c>
      <c r="K4123" s="135" t="n">
        <f aca="false">$G4123*'Analyse capacite'!$E$9</f>
        <v>0</v>
      </c>
    </row>
    <row r="4124" customFormat="false" ht="15" hidden="false" customHeight="false" outlineLevel="0" collapsed="false">
      <c r="B4124" s="130" t="n">
        <v>2027</v>
      </c>
      <c r="C4124" s="131" t="s">
        <v>249</v>
      </c>
      <c r="D4124" s="132" t="n">
        <v>46592</v>
      </c>
      <c r="E4124" s="131" t="s">
        <v>14</v>
      </c>
      <c r="F4124" s="133" t="s">
        <v>11</v>
      </c>
      <c r="G4124" s="134" t="n">
        <f aca="false">LEN('Saisie programme'!$I$145)+SUMIFS('Vols additionnels'!$E$7:$E$66,'Vols additionnels'!$C$7:$C$66,$E4124,'Vols additionnels'!$D$7:$D$66,$F4124,'Vols additionnels'!$B$7:$B$66,$D4124)</f>
        <v>0</v>
      </c>
      <c r="H4124" s="135" t="n">
        <f aca="false">$G4124*'Analyse capacite'!$F$7</f>
        <v>0</v>
      </c>
      <c r="I4124" s="135" t="n">
        <f aca="false">$G4124*'Analyse capacite'!$C$7</f>
        <v>0</v>
      </c>
      <c r="J4124" s="135" t="n">
        <f aca="false">$G4124*'Analyse capacite'!$D$7</f>
        <v>0</v>
      </c>
      <c r="K4124" s="135" t="n">
        <f aca="false">$G4124*'Analyse capacite'!$E$7</f>
        <v>0</v>
      </c>
    </row>
    <row r="4125" customFormat="false" ht="15" hidden="false" customHeight="false" outlineLevel="0" collapsed="false">
      <c r="B4125" s="130" t="n">
        <v>2027</v>
      </c>
      <c r="C4125" s="131" t="s">
        <v>249</v>
      </c>
      <c r="D4125" s="132" t="n">
        <v>46592</v>
      </c>
      <c r="E4125" s="131" t="s">
        <v>14</v>
      </c>
      <c r="F4125" s="133" t="s">
        <v>19</v>
      </c>
      <c r="G4125" s="134" t="n">
        <f aca="false">LEN('Saisie programme'!$I$146)+SUMIFS('Vols additionnels'!$E$7:$E$66,'Vols additionnels'!$C$7:$C$66,$E4125,'Vols additionnels'!$D$7:$D$66,$F4125,'Vols additionnels'!$B$7:$B$66,$D4125)</f>
        <v>0</v>
      </c>
      <c r="H4125" s="135" t="n">
        <f aca="false">$G4125*'Analyse capacite'!$F$8</f>
        <v>0</v>
      </c>
      <c r="I4125" s="135" t="n">
        <f aca="false">$G4125*'Analyse capacite'!$C$8</f>
        <v>0</v>
      </c>
      <c r="J4125" s="135" t="n">
        <f aca="false">$G4125*'Analyse capacite'!$D$8</f>
        <v>0</v>
      </c>
      <c r="K4125" s="135" t="n">
        <f aca="false">$G4125*'Analyse capacite'!$E$8</f>
        <v>0</v>
      </c>
    </row>
    <row r="4126" customFormat="false" ht="15" hidden="false" customHeight="false" outlineLevel="0" collapsed="false">
      <c r="B4126" s="130" t="n">
        <v>2027</v>
      </c>
      <c r="C4126" s="131" t="s">
        <v>249</v>
      </c>
      <c r="D4126" s="132" t="n">
        <v>46592</v>
      </c>
      <c r="E4126" s="131" t="s">
        <v>14</v>
      </c>
      <c r="F4126" s="133" t="s">
        <v>24</v>
      </c>
      <c r="G4126" s="134" t="n">
        <f aca="false">LEN('Saisie programme'!$I$147)+SUMIFS('Vols additionnels'!$E$7:$E$66,'Vols additionnels'!$C$7:$C$66,$E4126,'Vols additionnels'!$D$7:$D$66,$F4126,'Vols additionnels'!$B$7:$B$66,$D4126)</f>
        <v>1</v>
      </c>
      <c r="H4126" s="135" t="n">
        <f aca="false">$G4126*'Analyse capacite'!$F$9</f>
        <v>174</v>
      </c>
      <c r="I4126" s="135" t="n">
        <f aca="false">$G4126*'Analyse capacite'!$C$9</f>
        <v>0</v>
      </c>
      <c r="J4126" s="135" t="n">
        <f aca="false">$G4126*'Analyse capacite'!$D$9</f>
        <v>12</v>
      </c>
      <c r="K4126" s="135" t="n">
        <f aca="false">$G4126*'Analyse capacite'!$E$9</f>
        <v>162</v>
      </c>
    </row>
    <row r="4127" customFormat="false" ht="15" hidden="false" customHeight="false" outlineLevel="0" collapsed="false">
      <c r="B4127" s="130" t="n">
        <v>2027</v>
      </c>
      <c r="C4127" s="131" t="s">
        <v>249</v>
      </c>
      <c r="D4127" s="132" t="n">
        <v>46592</v>
      </c>
      <c r="E4127" s="131" t="s">
        <v>46</v>
      </c>
      <c r="F4127" s="133" t="s">
        <v>11</v>
      </c>
      <c r="G4127" s="134" t="n">
        <f aca="false">LEN('Saisie programme'!$I$148)+SUMIFS('Vols additionnels'!$E$7:$E$66,'Vols additionnels'!$C$7:$C$66,$E4127,'Vols additionnels'!$D$7:$D$66,$F4127,'Vols additionnels'!$B$7:$B$66,$D4127)</f>
        <v>0</v>
      </c>
      <c r="H4127" s="135" t="n">
        <f aca="false">$G4127*'Analyse capacite'!$F$7</f>
        <v>0</v>
      </c>
      <c r="I4127" s="135" t="n">
        <f aca="false">$G4127*'Analyse capacite'!$C$7</f>
        <v>0</v>
      </c>
      <c r="J4127" s="135" t="n">
        <f aca="false">$G4127*'Analyse capacite'!$D$7</f>
        <v>0</v>
      </c>
      <c r="K4127" s="135" t="n">
        <f aca="false">$G4127*'Analyse capacite'!$E$7</f>
        <v>0</v>
      </c>
    </row>
    <row r="4128" customFormat="false" ht="15" hidden="false" customHeight="false" outlineLevel="0" collapsed="false">
      <c r="B4128" s="130" t="n">
        <v>2027</v>
      </c>
      <c r="C4128" s="131" t="s">
        <v>249</v>
      </c>
      <c r="D4128" s="132" t="n">
        <v>46592</v>
      </c>
      <c r="E4128" s="131" t="s">
        <v>46</v>
      </c>
      <c r="F4128" s="133" t="s">
        <v>19</v>
      </c>
      <c r="G4128" s="134" t="n">
        <f aca="false">LEN('Saisie programme'!$I$149)+SUMIFS('Vols additionnels'!$E$7:$E$66,'Vols additionnels'!$C$7:$C$66,$E4128,'Vols additionnels'!$D$7:$D$66,$F4128,'Vols additionnels'!$B$7:$B$66,$D4128)</f>
        <v>0</v>
      </c>
      <c r="H4128" s="135" t="n">
        <f aca="false">$G4128*'Analyse capacite'!$F$8</f>
        <v>0</v>
      </c>
      <c r="I4128" s="135" t="n">
        <f aca="false">$G4128*'Analyse capacite'!$C$8</f>
        <v>0</v>
      </c>
      <c r="J4128" s="135" t="n">
        <f aca="false">$G4128*'Analyse capacite'!$D$8</f>
        <v>0</v>
      </c>
      <c r="K4128" s="135" t="n">
        <f aca="false">$G4128*'Analyse capacite'!$E$8</f>
        <v>0</v>
      </c>
    </row>
    <row r="4129" customFormat="false" ht="15" hidden="false" customHeight="false" outlineLevel="0" collapsed="false">
      <c r="B4129" s="130" t="n">
        <v>2027</v>
      </c>
      <c r="C4129" s="131" t="s">
        <v>249</v>
      </c>
      <c r="D4129" s="132" t="n">
        <v>46592</v>
      </c>
      <c r="E4129" s="131" t="s">
        <v>46</v>
      </c>
      <c r="F4129" s="133" t="s">
        <v>24</v>
      </c>
      <c r="G4129" s="134" t="n">
        <f aca="false">LEN('Saisie programme'!$I$150)+SUMIFS('Vols additionnels'!$E$7:$E$66,'Vols additionnels'!$C$7:$C$66,$E4129,'Vols additionnels'!$D$7:$D$66,$F4129,'Vols additionnels'!$B$7:$B$66,$D4129)</f>
        <v>1</v>
      </c>
      <c r="H4129" s="135" t="n">
        <f aca="false">$G4129*'Analyse capacite'!$F$9</f>
        <v>174</v>
      </c>
      <c r="I4129" s="135" t="n">
        <f aca="false">$G4129*'Analyse capacite'!$C$9</f>
        <v>0</v>
      </c>
      <c r="J4129" s="135" t="n">
        <f aca="false">$G4129*'Analyse capacite'!$D$9</f>
        <v>12</v>
      </c>
      <c r="K4129" s="135" t="n">
        <f aca="false">$G4129*'Analyse capacite'!$E$9</f>
        <v>162</v>
      </c>
    </row>
    <row r="4130" customFormat="false" ht="15" hidden="false" customHeight="false" outlineLevel="0" collapsed="false">
      <c r="B4130" s="130" t="n">
        <v>2027</v>
      </c>
      <c r="C4130" s="131" t="s">
        <v>249</v>
      </c>
      <c r="D4130" s="132" t="n">
        <v>46592</v>
      </c>
      <c r="E4130" s="131" t="s">
        <v>49</v>
      </c>
      <c r="F4130" s="133" t="s">
        <v>11</v>
      </c>
      <c r="G4130" s="134" t="n">
        <f aca="false">LEN('Saisie programme'!$I$151)+SUMIFS('Vols additionnels'!$E$7:$E$66,'Vols additionnels'!$C$7:$C$66,$E4130,'Vols additionnels'!$D$7:$D$66,$F4130,'Vols additionnels'!$B$7:$B$66,$D4130)</f>
        <v>0</v>
      </c>
      <c r="H4130" s="135" t="n">
        <f aca="false">$G4130*'Analyse capacite'!$F$7</f>
        <v>0</v>
      </c>
      <c r="I4130" s="135" t="n">
        <f aca="false">$G4130*'Analyse capacite'!$C$7</f>
        <v>0</v>
      </c>
      <c r="J4130" s="135" t="n">
        <f aca="false">$G4130*'Analyse capacite'!$D$7</f>
        <v>0</v>
      </c>
      <c r="K4130" s="135" t="n">
        <f aca="false">$G4130*'Analyse capacite'!$E$7</f>
        <v>0</v>
      </c>
    </row>
    <row r="4131" customFormat="false" ht="15" hidden="false" customHeight="false" outlineLevel="0" collapsed="false">
      <c r="B4131" s="130" t="n">
        <v>2027</v>
      </c>
      <c r="C4131" s="131" t="s">
        <v>249</v>
      </c>
      <c r="D4131" s="132" t="n">
        <v>46592</v>
      </c>
      <c r="E4131" s="131" t="s">
        <v>49</v>
      </c>
      <c r="F4131" s="133" t="s">
        <v>19</v>
      </c>
      <c r="G4131" s="134" t="n">
        <f aca="false">LEN('Saisie programme'!$I$152)+SUMIFS('Vols additionnels'!$E$7:$E$66,'Vols additionnels'!$C$7:$C$66,$E4131,'Vols additionnels'!$D$7:$D$66,$F4131,'Vols additionnels'!$B$7:$B$66,$D4131)</f>
        <v>0</v>
      </c>
      <c r="H4131" s="135" t="n">
        <f aca="false">$G4131*'Analyse capacite'!$F$8</f>
        <v>0</v>
      </c>
      <c r="I4131" s="135" t="n">
        <f aca="false">$G4131*'Analyse capacite'!$C$8</f>
        <v>0</v>
      </c>
      <c r="J4131" s="135" t="n">
        <f aca="false">$G4131*'Analyse capacite'!$D$8</f>
        <v>0</v>
      </c>
      <c r="K4131" s="135" t="n">
        <f aca="false">$G4131*'Analyse capacite'!$E$8</f>
        <v>0</v>
      </c>
    </row>
    <row r="4132" customFormat="false" ht="15" hidden="false" customHeight="false" outlineLevel="0" collapsed="false">
      <c r="B4132" s="130" t="n">
        <v>2027</v>
      </c>
      <c r="C4132" s="131" t="s">
        <v>249</v>
      </c>
      <c r="D4132" s="132" t="n">
        <v>46592</v>
      </c>
      <c r="E4132" s="131" t="s">
        <v>49</v>
      </c>
      <c r="F4132" s="133" t="s">
        <v>24</v>
      </c>
      <c r="G4132" s="134" t="n">
        <f aca="false">LEN('Saisie programme'!$I$153)+SUMIFS('Vols additionnels'!$E$7:$E$66,'Vols additionnels'!$C$7:$C$66,$E4132,'Vols additionnels'!$D$7:$D$66,$F4132,'Vols additionnels'!$B$7:$B$66,$D4132)</f>
        <v>0</v>
      </c>
      <c r="H4132" s="135" t="n">
        <f aca="false">$G4132*'Analyse capacite'!$F$9</f>
        <v>0</v>
      </c>
      <c r="I4132" s="135" t="n">
        <f aca="false">$G4132*'Analyse capacite'!$C$9</f>
        <v>0</v>
      </c>
      <c r="J4132" s="135" t="n">
        <f aca="false">$G4132*'Analyse capacite'!$D$9</f>
        <v>0</v>
      </c>
      <c r="K4132" s="135" t="n">
        <f aca="false">$G4132*'Analyse capacite'!$E$9</f>
        <v>0</v>
      </c>
    </row>
    <row r="4133" customFormat="false" ht="15" hidden="false" customHeight="false" outlineLevel="0" collapsed="false">
      <c r="B4133" s="130" t="n">
        <v>2027</v>
      </c>
      <c r="C4133" s="131" t="s">
        <v>249</v>
      </c>
      <c r="D4133" s="132" t="n">
        <v>46592</v>
      </c>
      <c r="E4133" s="131" t="s">
        <v>53</v>
      </c>
      <c r="F4133" s="133" t="s">
        <v>11</v>
      </c>
      <c r="G4133" s="134" t="n">
        <f aca="false">LEN('Saisie programme'!$I$154)+SUMIFS('Vols additionnels'!$E$7:$E$66,'Vols additionnels'!$C$7:$C$66,$E4133,'Vols additionnels'!$D$7:$D$66,$F4133,'Vols additionnels'!$B$7:$B$66,$D4133)</f>
        <v>0</v>
      </c>
      <c r="H4133" s="135" t="n">
        <f aca="false">$G4133*'Analyse capacite'!$F$7</f>
        <v>0</v>
      </c>
      <c r="I4133" s="135" t="n">
        <f aca="false">$G4133*'Analyse capacite'!$C$7</f>
        <v>0</v>
      </c>
      <c r="J4133" s="135" t="n">
        <f aca="false">$G4133*'Analyse capacite'!$D$7</f>
        <v>0</v>
      </c>
      <c r="K4133" s="135" t="n">
        <f aca="false">$G4133*'Analyse capacite'!$E$7</f>
        <v>0</v>
      </c>
    </row>
    <row r="4134" customFormat="false" ht="15" hidden="false" customHeight="false" outlineLevel="0" collapsed="false">
      <c r="B4134" s="130" t="n">
        <v>2027</v>
      </c>
      <c r="C4134" s="131" t="s">
        <v>249</v>
      </c>
      <c r="D4134" s="132" t="n">
        <v>46592</v>
      </c>
      <c r="E4134" s="131" t="s">
        <v>53</v>
      </c>
      <c r="F4134" s="133" t="s">
        <v>19</v>
      </c>
      <c r="G4134" s="134" t="n">
        <f aca="false">LEN('Saisie programme'!$I$155)+SUMIFS('Vols additionnels'!$E$7:$E$66,'Vols additionnels'!$C$7:$C$66,$E4134,'Vols additionnels'!$D$7:$D$66,$F4134,'Vols additionnels'!$B$7:$B$66,$D4134)</f>
        <v>0</v>
      </c>
      <c r="H4134" s="135" t="n">
        <f aca="false">$G4134*'Analyse capacite'!$F$8</f>
        <v>0</v>
      </c>
      <c r="I4134" s="135" t="n">
        <f aca="false">$G4134*'Analyse capacite'!$C$8</f>
        <v>0</v>
      </c>
      <c r="J4134" s="135" t="n">
        <f aca="false">$G4134*'Analyse capacite'!$D$8</f>
        <v>0</v>
      </c>
      <c r="K4134" s="135" t="n">
        <f aca="false">$G4134*'Analyse capacite'!$E$8</f>
        <v>0</v>
      </c>
    </row>
    <row r="4135" customFormat="false" ht="15" hidden="false" customHeight="false" outlineLevel="0" collapsed="false">
      <c r="B4135" s="130" t="n">
        <v>2027</v>
      </c>
      <c r="C4135" s="131" t="s">
        <v>249</v>
      </c>
      <c r="D4135" s="132" t="n">
        <v>46592</v>
      </c>
      <c r="E4135" s="131" t="s">
        <v>53</v>
      </c>
      <c r="F4135" s="133" t="s">
        <v>24</v>
      </c>
      <c r="G4135" s="134" t="n">
        <f aca="false">LEN('Saisie programme'!$I$156)+SUMIFS('Vols additionnels'!$E$7:$E$66,'Vols additionnels'!$C$7:$C$66,$E4135,'Vols additionnels'!$D$7:$D$66,$F4135,'Vols additionnels'!$B$7:$B$66,$D4135)</f>
        <v>0</v>
      </c>
      <c r="H4135" s="135" t="n">
        <f aca="false">$G4135*'Analyse capacite'!$F$9</f>
        <v>0</v>
      </c>
      <c r="I4135" s="135" t="n">
        <f aca="false">$G4135*'Analyse capacite'!$C$9</f>
        <v>0</v>
      </c>
      <c r="J4135" s="135" t="n">
        <f aca="false">$G4135*'Analyse capacite'!$D$9</f>
        <v>0</v>
      </c>
      <c r="K4135" s="135" t="n">
        <f aca="false">$G4135*'Analyse capacite'!$E$9</f>
        <v>0</v>
      </c>
    </row>
    <row r="4136" customFormat="false" ht="15" hidden="false" customHeight="false" outlineLevel="0" collapsed="false">
      <c r="B4136" s="130" t="n">
        <v>2027</v>
      </c>
      <c r="C4136" s="131" t="s">
        <v>249</v>
      </c>
      <c r="D4136" s="132" t="n">
        <v>46592</v>
      </c>
      <c r="E4136" s="131" t="s">
        <v>56</v>
      </c>
      <c r="F4136" s="133" t="s">
        <v>11</v>
      </c>
      <c r="G4136" s="134" t="n">
        <f aca="false">LEN('Saisie programme'!$I$157)+SUMIFS('Vols additionnels'!$E$7:$E$66,'Vols additionnels'!$C$7:$C$66,$E4136,'Vols additionnels'!$D$7:$D$66,$F4136,'Vols additionnels'!$B$7:$B$66,$D4136)</f>
        <v>0</v>
      </c>
      <c r="H4136" s="135" t="n">
        <f aca="false">$G4136*'Analyse capacite'!$F$7</f>
        <v>0</v>
      </c>
      <c r="I4136" s="135" t="n">
        <f aca="false">$G4136*'Analyse capacite'!$C$7</f>
        <v>0</v>
      </c>
      <c r="J4136" s="135" t="n">
        <f aca="false">$G4136*'Analyse capacite'!$D$7</f>
        <v>0</v>
      </c>
      <c r="K4136" s="135" t="n">
        <f aca="false">$G4136*'Analyse capacite'!$E$7</f>
        <v>0</v>
      </c>
    </row>
    <row r="4137" customFormat="false" ht="15" hidden="false" customHeight="false" outlineLevel="0" collapsed="false">
      <c r="B4137" s="130" t="n">
        <v>2027</v>
      </c>
      <c r="C4137" s="131" t="s">
        <v>249</v>
      </c>
      <c r="D4137" s="132" t="n">
        <v>46592</v>
      </c>
      <c r="E4137" s="131" t="s">
        <v>56</v>
      </c>
      <c r="F4137" s="133" t="s">
        <v>19</v>
      </c>
      <c r="G4137" s="134" t="n">
        <f aca="false">LEN('Saisie programme'!$I$158)+SUMIFS('Vols additionnels'!$E$7:$E$66,'Vols additionnels'!$C$7:$C$66,$E4137,'Vols additionnels'!$D$7:$D$66,$F4137,'Vols additionnels'!$B$7:$B$66,$D4137)</f>
        <v>0</v>
      </c>
      <c r="H4137" s="135" t="n">
        <f aca="false">$G4137*'Analyse capacite'!$F$8</f>
        <v>0</v>
      </c>
      <c r="I4137" s="135" t="n">
        <f aca="false">$G4137*'Analyse capacite'!$C$8</f>
        <v>0</v>
      </c>
      <c r="J4137" s="135" t="n">
        <f aca="false">$G4137*'Analyse capacite'!$D$8</f>
        <v>0</v>
      </c>
      <c r="K4137" s="135" t="n">
        <f aca="false">$G4137*'Analyse capacite'!$E$8</f>
        <v>0</v>
      </c>
    </row>
    <row r="4138" customFormat="false" ht="15" hidden="false" customHeight="false" outlineLevel="0" collapsed="false">
      <c r="B4138" s="130" t="n">
        <v>2027</v>
      </c>
      <c r="C4138" s="131" t="s">
        <v>249</v>
      </c>
      <c r="D4138" s="132" t="n">
        <v>46592</v>
      </c>
      <c r="E4138" s="131" t="s">
        <v>56</v>
      </c>
      <c r="F4138" s="133" t="s">
        <v>24</v>
      </c>
      <c r="G4138" s="134" t="n">
        <f aca="false">LEN('Saisie programme'!$I$159)+SUMIFS('Vols additionnels'!$E$7:$E$66,'Vols additionnels'!$C$7:$C$66,$E4138,'Vols additionnels'!$D$7:$D$66,$F4138,'Vols additionnels'!$B$7:$B$66,$D4138)</f>
        <v>1</v>
      </c>
      <c r="H4138" s="135" t="n">
        <f aca="false">$G4138*'Analyse capacite'!$F$9</f>
        <v>174</v>
      </c>
      <c r="I4138" s="135" t="n">
        <f aca="false">$G4138*'Analyse capacite'!$C$9</f>
        <v>0</v>
      </c>
      <c r="J4138" s="135" t="n">
        <f aca="false">$G4138*'Analyse capacite'!$D$9</f>
        <v>12</v>
      </c>
      <c r="K4138" s="135" t="n">
        <f aca="false">$G4138*'Analyse capacite'!$E$9</f>
        <v>162</v>
      </c>
    </row>
    <row r="4139" customFormat="false" ht="15" hidden="false" customHeight="false" outlineLevel="0" collapsed="false">
      <c r="B4139" s="130" t="n">
        <v>2027</v>
      </c>
      <c r="C4139" s="131" t="s">
        <v>249</v>
      </c>
      <c r="D4139" s="132" t="n">
        <v>46592</v>
      </c>
      <c r="E4139" s="131" t="s">
        <v>59</v>
      </c>
      <c r="F4139" s="133" t="s">
        <v>11</v>
      </c>
      <c r="G4139" s="134" t="n">
        <f aca="false">LEN('Saisie programme'!$I$160)+SUMIFS('Vols additionnels'!$E$7:$E$66,'Vols additionnels'!$C$7:$C$66,$E4139,'Vols additionnels'!$D$7:$D$66,$F4139,'Vols additionnels'!$B$7:$B$66,$D4139)</f>
        <v>0</v>
      </c>
      <c r="H4139" s="135" t="n">
        <f aca="false">$G4139*'Analyse capacite'!$F$7</f>
        <v>0</v>
      </c>
      <c r="I4139" s="135" t="n">
        <f aca="false">$G4139*'Analyse capacite'!$C$7</f>
        <v>0</v>
      </c>
      <c r="J4139" s="135" t="n">
        <f aca="false">$G4139*'Analyse capacite'!$D$7</f>
        <v>0</v>
      </c>
      <c r="K4139" s="135" t="n">
        <f aca="false">$G4139*'Analyse capacite'!$E$7</f>
        <v>0</v>
      </c>
    </row>
    <row r="4140" customFormat="false" ht="15" hidden="false" customHeight="false" outlineLevel="0" collapsed="false">
      <c r="B4140" s="130" t="n">
        <v>2027</v>
      </c>
      <c r="C4140" s="131" t="s">
        <v>249</v>
      </c>
      <c r="D4140" s="132" t="n">
        <v>46592</v>
      </c>
      <c r="E4140" s="131" t="s">
        <v>59</v>
      </c>
      <c r="F4140" s="133" t="s">
        <v>19</v>
      </c>
      <c r="G4140" s="134" t="n">
        <f aca="false">LEN('Saisie programme'!$I$161)+SUMIFS('Vols additionnels'!$E$7:$E$66,'Vols additionnels'!$C$7:$C$66,$E4140,'Vols additionnels'!$D$7:$D$66,$F4140,'Vols additionnels'!$B$7:$B$66,$D4140)</f>
        <v>0</v>
      </c>
      <c r="H4140" s="135" t="n">
        <f aca="false">$G4140*'Analyse capacite'!$F$8</f>
        <v>0</v>
      </c>
      <c r="I4140" s="135" t="n">
        <f aca="false">$G4140*'Analyse capacite'!$C$8</f>
        <v>0</v>
      </c>
      <c r="J4140" s="135" t="n">
        <f aca="false">$G4140*'Analyse capacite'!$D$8</f>
        <v>0</v>
      </c>
      <c r="K4140" s="135" t="n">
        <f aca="false">$G4140*'Analyse capacite'!$E$8</f>
        <v>0</v>
      </c>
    </row>
    <row r="4141" customFormat="false" ht="15" hidden="false" customHeight="false" outlineLevel="0" collapsed="false">
      <c r="B4141" s="130" t="n">
        <v>2027</v>
      </c>
      <c r="C4141" s="131" t="s">
        <v>249</v>
      </c>
      <c r="D4141" s="132" t="n">
        <v>46592</v>
      </c>
      <c r="E4141" s="131" t="s">
        <v>59</v>
      </c>
      <c r="F4141" s="133" t="s">
        <v>24</v>
      </c>
      <c r="G4141" s="134" t="n">
        <f aca="false">LEN('Saisie programme'!$I$162)+SUMIFS('Vols additionnels'!$E$7:$E$66,'Vols additionnels'!$C$7:$C$66,$E4141,'Vols additionnels'!$D$7:$D$66,$F4141,'Vols additionnels'!$B$7:$B$66,$D4141)</f>
        <v>1</v>
      </c>
      <c r="H4141" s="135" t="n">
        <f aca="false">$G4141*'Analyse capacite'!$F$9</f>
        <v>174</v>
      </c>
      <c r="I4141" s="135" t="n">
        <f aca="false">$G4141*'Analyse capacite'!$C$9</f>
        <v>0</v>
      </c>
      <c r="J4141" s="135" t="n">
        <f aca="false">$G4141*'Analyse capacite'!$D$9</f>
        <v>12</v>
      </c>
      <c r="K4141" s="135" t="n">
        <f aca="false">$G4141*'Analyse capacite'!$E$9</f>
        <v>162</v>
      </c>
    </row>
    <row r="4142" customFormat="false" ht="15" hidden="false" customHeight="false" outlineLevel="0" collapsed="false">
      <c r="B4142" s="130" t="n">
        <v>2027</v>
      </c>
      <c r="C4142" s="131" t="s">
        <v>249</v>
      </c>
      <c r="D4142" s="132" t="n">
        <v>46592</v>
      </c>
      <c r="E4142" s="131" t="s">
        <v>62</v>
      </c>
      <c r="F4142" s="133" t="s">
        <v>11</v>
      </c>
      <c r="G4142" s="134" t="n">
        <f aca="false">LEN('Saisie programme'!$I$163)+SUMIFS('Vols additionnels'!$E$7:$E$66,'Vols additionnels'!$C$7:$C$66,$E4142,'Vols additionnels'!$D$7:$D$66,$F4142,'Vols additionnels'!$B$7:$B$66,$D4142)</f>
        <v>0</v>
      </c>
      <c r="H4142" s="135" t="n">
        <f aca="false">$G4142*'Analyse capacite'!$F$7</f>
        <v>0</v>
      </c>
      <c r="I4142" s="135" t="n">
        <f aca="false">$G4142*'Analyse capacite'!$C$7</f>
        <v>0</v>
      </c>
      <c r="J4142" s="135" t="n">
        <f aca="false">$G4142*'Analyse capacite'!$D$7</f>
        <v>0</v>
      </c>
      <c r="K4142" s="135" t="n">
        <f aca="false">$G4142*'Analyse capacite'!$E$7</f>
        <v>0</v>
      </c>
    </row>
    <row r="4143" customFormat="false" ht="15" hidden="false" customHeight="false" outlineLevel="0" collapsed="false">
      <c r="B4143" s="130" t="n">
        <v>2027</v>
      </c>
      <c r="C4143" s="131" t="s">
        <v>249</v>
      </c>
      <c r="D4143" s="132" t="n">
        <v>46592</v>
      </c>
      <c r="E4143" s="131" t="s">
        <v>62</v>
      </c>
      <c r="F4143" s="133" t="s">
        <v>19</v>
      </c>
      <c r="G4143" s="134" t="n">
        <f aca="false">LEN('Saisie programme'!$I$164)+SUMIFS('Vols additionnels'!$E$7:$E$66,'Vols additionnels'!$C$7:$C$66,$E4143,'Vols additionnels'!$D$7:$D$66,$F4143,'Vols additionnels'!$B$7:$B$66,$D4143)</f>
        <v>0</v>
      </c>
      <c r="H4143" s="135" t="n">
        <f aca="false">$G4143*'Analyse capacite'!$F$8</f>
        <v>0</v>
      </c>
      <c r="I4143" s="135" t="n">
        <f aca="false">$G4143*'Analyse capacite'!$C$8</f>
        <v>0</v>
      </c>
      <c r="J4143" s="135" t="n">
        <f aca="false">$G4143*'Analyse capacite'!$D$8</f>
        <v>0</v>
      </c>
      <c r="K4143" s="135" t="n">
        <f aca="false">$G4143*'Analyse capacite'!$E$8</f>
        <v>0</v>
      </c>
    </row>
    <row r="4144" customFormat="false" ht="15" hidden="false" customHeight="false" outlineLevel="0" collapsed="false">
      <c r="B4144" s="130" t="n">
        <v>2027</v>
      </c>
      <c r="C4144" s="131" t="s">
        <v>249</v>
      </c>
      <c r="D4144" s="132" t="n">
        <v>46592</v>
      </c>
      <c r="E4144" s="131" t="s">
        <v>62</v>
      </c>
      <c r="F4144" s="133" t="s">
        <v>24</v>
      </c>
      <c r="G4144" s="134" t="n">
        <f aca="false">LEN('Saisie programme'!$I$165)+SUMIFS('Vols additionnels'!$E$7:$E$66,'Vols additionnels'!$C$7:$C$66,$E4144,'Vols additionnels'!$D$7:$D$66,$F4144,'Vols additionnels'!$B$7:$B$66,$D4144)</f>
        <v>0</v>
      </c>
      <c r="H4144" s="135" t="n">
        <f aca="false">$G4144*'Analyse capacite'!$F$9</f>
        <v>0</v>
      </c>
      <c r="I4144" s="135" t="n">
        <f aca="false">$G4144*'Analyse capacite'!$C$9</f>
        <v>0</v>
      </c>
      <c r="J4144" s="135" t="n">
        <f aca="false">$G4144*'Analyse capacite'!$D$9</f>
        <v>0</v>
      </c>
      <c r="K4144" s="135" t="n">
        <f aca="false">$G4144*'Analyse capacite'!$E$9</f>
        <v>0</v>
      </c>
    </row>
    <row r="4145" customFormat="false" ht="15" hidden="false" customHeight="false" outlineLevel="0" collapsed="false">
      <c r="B4145" s="130" t="n">
        <v>2027</v>
      </c>
      <c r="C4145" s="131" t="s">
        <v>249</v>
      </c>
      <c r="D4145" s="132" t="n">
        <v>46593</v>
      </c>
      <c r="E4145" s="131" t="s">
        <v>12</v>
      </c>
      <c r="F4145" s="133" t="s">
        <v>11</v>
      </c>
      <c r="G4145" s="134" t="n">
        <f aca="false">LEN('Saisie programme'!$J$130)+SUMIFS('Vols additionnels'!$E$7:$E$66,'Vols additionnels'!$C$7:$C$66,$E4145,'Vols additionnels'!$D$7:$D$66,$F4145,'Vols additionnels'!$B$7:$B$66,$D4145)</f>
        <v>1</v>
      </c>
      <c r="H4145" s="135" t="n">
        <f aca="false">$G4145*'Analyse capacite'!$F$7</f>
        <v>438</v>
      </c>
      <c r="I4145" s="135" t="n">
        <f aca="false">$G4145*'Analyse capacite'!$C$7</f>
        <v>14</v>
      </c>
      <c r="J4145" s="135" t="n">
        <f aca="false">$G4145*'Analyse capacite'!$D$7</f>
        <v>40</v>
      </c>
      <c r="K4145" s="135" t="n">
        <f aca="false">$G4145*'Analyse capacite'!$E$7</f>
        <v>384</v>
      </c>
    </row>
    <row r="4146" customFormat="false" ht="15" hidden="false" customHeight="false" outlineLevel="0" collapsed="false">
      <c r="B4146" s="130" t="n">
        <v>2027</v>
      </c>
      <c r="C4146" s="131" t="s">
        <v>249</v>
      </c>
      <c r="D4146" s="132" t="n">
        <v>46593</v>
      </c>
      <c r="E4146" s="131" t="s">
        <v>12</v>
      </c>
      <c r="F4146" s="133" t="s">
        <v>19</v>
      </c>
      <c r="G4146" s="134" t="n">
        <f aca="false">LEN('Saisie programme'!$J$131)+SUMIFS('Vols additionnels'!$E$7:$E$66,'Vols additionnels'!$C$7:$C$66,$E4146,'Vols additionnels'!$D$7:$D$66,$F4146,'Vols additionnels'!$B$7:$B$66,$D4146)</f>
        <v>0</v>
      </c>
      <c r="H4146" s="135" t="n">
        <f aca="false">$G4146*'Analyse capacite'!$F$8</f>
        <v>0</v>
      </c>
      <c r="I4146" s="135" t="n">
        <f aca="false">$G4146*'Analyse capacite'!$C$8</f>
        <v>0</v>
      </c>
      <c r="J4146" s="135" t="n">
        <f aca="false">$G4146*'Analyse capacite'!$D$8</f>
        <v>0</v>
      </c>
      <c r="K4146" s="135" t="n">
        <f aca="false">$G4146*'Analyse capacite'!$E$8</f>
        <v>0</v>
      </c>
    </row>
    <row r="4147" customFormat="false" ht="15" hidden="false" customHeight="false" outlineLevel="0" collapsed="false">
      <c r="B4147" s="130" t="n">
        <v>2027</v>
      </c>
      <c r="C4147" s="131" t="s">
        <v>249</v>
      </c>
      <c r="D4147" s="132" t="n">
        <v>46593</v>
      </c>
      <c r="E4147" s="131" t="s">
        <v>12</v>
      </c>
      <c r="F4147" s="133" t="s">
        <v>24</v>
      </c>
      <c r="G4147" s="134" t="n">
        <f aca="false">LEN('Saisie programme'!$J$132)+SUMIFS('Vols additionnels'!$E$7:$E$66,'Vols additionnels'!$C$7:$C$66,$E4147,'Vols additionnels'!$D$7:$D$66,$F4147,'Vols additionnels'!$B$7:$B$66,$D4147)</f>
        <v>0</v>
      </c>
      <c r="H4147" s="135" t="n">
        <f aca="false">$G4147*'Analyse capacite'!$F$9</f>
        <v>0</v>
      </c>
      <c r="I4147" s="135" t="n">
        <f aca="false">$G4147*'Analyse capacite'!$C$9</f>
        <v>0</v>
      </c>
      <c r="J4147" s="135" t="n">
        <f aca="false">$G4147*'Analyse capacite'!$D$9</f>
        <v>0</v>
      </c>
      <c r="K4147" s="135" t="n">
        <f aca="false">$G4147*'Analyse capacite'!$E$9</f>
        <v>0</v>
      </c>
    </row>
    <row r="4148" customFormat="false" ht="15" hidden="false" customHeight="false" outlineLevel="0" collapsed="false">
      <c r="B4148" s="130" t="n">
        <v>2027</v>
      </c>
      <c r="C4148" s="131" t="s">
        <v>249</v>
      </c>
      <c r="D4148" s="132" t="n">
        <v>46593</v>
      </c>
      <c r="E4148" s="131" t="s">
        <v>20</v>
      </c>
      <c r="F4148" s="133" t="s">
        <v>11</v>
      </c>
      <c r="G4148" s="134" t="n">
        <f aca="false">LEN('Saisie programme'!$J$133)+SUMIFS('Vols additionnels'!$E$7:$E$66,'Vols additionnels'!$C$7:$C$66,$E4148,'Vols additionnels'!$D$7:$D$66,$F4148,'Vols additionnels'!$B$7:$B$66,$D4148)</f>
        <v>1</v>
      </c>
      <c r="H4148" s="135" t="n">
        <f aca="false">$G4148*'Analyse capacite'!$F$7</f>
        <v>438</v>
      </c>
      <c r="I4148" s="135" t="n">
        <f aca="false">$G4148*'Analyse capacite'!$C$7</f>
        <v>14</v>
      </c>
      <c r="J4148" s="135" t="n">
        <f aca="false">$G4148*'Analyse capacite'!$D$7</f>
        <v>40</v>
      </c>
      <c r="K4148" s="135" t="n">
        <f aca="false">$G4148*'Analyse capacite'!$E$7</f>
        <v>384</v>
      </c>
    </row>
    <row r="4149" customFormat="false" ht="15" hidden="false" customHeight="false" outlineLevel="0" collapsed="false">
      <c r="B4149" s="130" t="n">
        <v>2027</v>
      </c>
      <c r="C4149" s="131" t="s">
        <v>249</v>
      </c>
      <c r="D4149" s="132" t="n">
        <v>46593</v>
      </c>
      <c r="E4149" s="131" t="s">
        <v>20</v>
      </c>
      <c r="F4149" s="133" t="s">
        <v>19</v>
      </c>
      <c r="G4149" s="134" t="n">
        <f aca="false">LEN('Saisie programme'!$J$134)+SUMIFS('Vols additionnels'!$E$7:$E$66,'Vols additionnels'!$C$7:$C$66,$E4149,'Vols additionnels'!$D$7:$D$66,$F4149,'Vols additionnels'!$B$7:$B$66,$D4149)</f>
        <v>0</v>
      </c>
      <c r="H4149" s="135" t="n">
        <f aca="false">$G4149*'Analyse capacite'!$F$8</f>
        <v>0</v>
      </c>
      <c r="I4149" s="135" t="n">
        <f aca="false">$G4149*'Analyse capacite'!$C$8</f>
        <v>0</v>
      </c>
      <c r="J4149" s="135" t="n">
        <f aca="false">$G4149*'Analyse capacite'!$D$8</f>
        <v>0</v>
      </c>
      <c r="K4149" s="135" t="n">
        <f aca="false">$G4149*'Analyse capacite'!$E$8</f>
        <v>0</v>
      </c>
    </row>
    <row r="4150" customFormat="false" ht="15" hidden="false" customHeight="false" outlineLevel="0" collapsed="false">
      <c r="B4150" s="130" t="n">
        <v>2027</v>
      </c>
      <c r="C4150" s="131" t="s">
        <v>249</v>
      </c>
      <c r="D4150" s="132" t="n">
        <v>46593</v>
      </c>
      <c r="E4150" s="131" t="s">
        <v>20</v>
      </c>
      <c r="F4150" s="133" t="s">
        <v>24</v>
      </c>
      <c r="G4150" s="134" t="n">
        <f aca="false">LEN('Saisie programme'!$J$135)+SUMIFS('Vols additionnels'!$E$7:$E$66,'Vols additionnels'!$C$7:$C$66,$E4150,'Vols additionnels'!$D$7:$D$66,$F4150,'Vols additionnels'!$B$7:$B$66,$D4150)</f>
        <v>0</v>
      </c>
      <c r="H4150" s="135" t="n">
        <f aca="false">$G4150*'Analyse capacite'!$F$9</f>
        <v>0</v>
      </c>
      <c r="I4150" s="135" t="n">
        <f aca="false">$G4150*'Analyse capacite'!$C$9</f>
        <v>0</v>
      </c>
      <c r="J4150" s="135" t="n">
        <f aca="false">$G4150*'Analyse capacite'!$D$9</f>
        <v>0</v>
      </c>
      <c r="K4150" s="135" t="n">
        <f aca="false">$G4150*'Analyse capacite'!$E$9</f>
        <v>0</v>
      </c>
    </row>
    <row r="4151" customFormat="false" ht="15" hidden="false" customHeight="false" outlineLevel="0" collapsed="false">
      <c r="B4151" s="130" t="n">
        <v>2027</v>
      </c>
      <c r="C4151" s="131" t="s">
        <v>249</v>
      </c>
      <c r="D4151" s="132" t="n">
        <v>46593</v>
      </c>
      <c r="E4151" s="131" t="s">
        <v>25</v>
      </c>
      <c r="F4151" s="133" t="s">
        <v>11</v>
      </c>
      <c r="G4151" s="134" t="n">
        <f aca="false">LEN('Saisie programme'!$J$136)+SUMIFS('Vols additionnels'!$E$7:$E$66,'Vols additionnels'!$C$7:$C$66,$E4151,'Vols additionnels'!$D$7:$D$66,$F4151,'Vols additionnels'!$B$7:$B$66,$D4151)</f>
        <v>0</v>
      </c>
      <c r="H4151" s="135" t="n">
        <f aca="false">$G4151*'Analyse capacite'!$F$7</f>
        <v>0</v>
      </c>
      <c r="I4151" s="135" t="n">
        <f aca="false">$G4151*'Analyse capacite'!$C$7</f>
        <v>0</v>
      </c>
      <c r="J4151" s="135" t="n">
        <f aca="false">$G4151*'Analyse capacite'!$D$7</f>
        <v>0</v>
      </c>
      <c r="K4151" s="135" t="n">
        <f aca="false">$G4151*'Analyse capacite'!$E$7</f>
        <v>0</v>
      </c>
    </row>
    <row r="4152" customFormat="false" ht="15" hidden="false" customHeight="false" outlineLevel="0" collapsed="false">
      <c r="B4152" s="130" t="n">
        <v>2027</v>
      </c>
      <c r="C4152" s="131" t="s">
        <v>249</v>
      </c>
      <c r="D4152" s="132" t="n">
        <v>46593</v>
      </c>
      <c r="E4152" s="131" t="s">
        <v>25</v>
      </c>
      <c r="F4152" s="133" t="s">
        <v>19</v>
      </c>
      <c r="G4152" s="134" t="n">
        <f aca="false">LEN('Saisie programme'!$J$137)+SUMIFS('Vols additionnels'!$E$7:$E$66,'Vols additionnels'!$C$7:$C$66,$E4152,'Vols additionnels'!$D$7:$D$66,$F4152,'Vols additionnels'!$B$7:$B$66,$D4152)</f>
        <v>0</v>
      </c>
      <c r="H4152" s="135" t="n">
        <f aca="false">$G4152*'Analyse capacite'!$F$8</f>
        <v>0</v>
      </c>
      <c r="I4152" s="135" t="n">
        <f aca="false">$G4152*'Analyse capacite'!$C$8</f>
        <v>0</v>
      </c>
      <c r="J4152" s="135" t="n">
        <f aca="false">$G4152*'Analyse capacite'!$D$8</f>
        <v>0</v>
      </c>
      <c r="K4152" s="135" t="n">
        <f aca="false">$G4152*'Analyse capacite'!$E$8</f>
        <v>0</v>
      </c>
    </row>
    <row r="4153" customFormat="false" ht="15" hidden="false" customHeight="false" outlineLevel="0" collapsed="false">
      <c r="B4153" s="130" t="n">
        <v>2027</v>
      </c>
      <c r="C4153" s="131" t="s">
        <v>249</v>
      </c>
      <c r="D4153" s="132" t="n">
        <v>46593</v>
      </c>
      <c r="E4153" s="131" t="s">
        <v>25</v>
      </c>
      <c r="F4153" s="133" t="s">
        <v>24</v>
      </c>
      <c r="G4153" s="134" t="n">
        <f aca="false">LEN('Saisie programme'!$J$138)+SUMIFS('Vols additionnels'!$E$7:$E$66,'Vols additionnels'!$C$7:$C$66,$E4153,'Vols additionnels'!$D$7:$D$66,$F4153,'Vols additionnels'!$B$7:$B$66,$D4153)</f>
        <v>0</v>
      </c>
      <c r="H4153" s="135" t="n">
        <f aca="false">$G4153*'Analyse capacite'!$F$9</f>
        <v>0</v>
      </c>
      <c r="I4153" s="135" t="n">
        <f aca="false">$G4153*'Analyse capacite'!$C$9</f>
        <v>0</v>
      </c>
      <c r="J4153" s="135" t="n">
        <f aca="false">$G4153*'Analyse capacite'!$D$9</f>
        <v>0</v>
      </c>
      <c r="K4153" s="135" t="n">
        <f aca="false">$G4153*'Analyse capacite'!$E$9</f>
        <v>0</v>
      </c>
    </row>
    <row r="4154" customFormat="false" ht="15" hidden="false" customHeight="false" outlineLevel="0" collapsed="false">
      <c r="B4154" s="130" t="n">
        <v>2027</v>
      </c>
      <c r="C4154" s="131" t="s">
        <v>249</v>
      </c>
      <c r="D4154" s="132" t="n">
        <v>46593</v>
      </c>
      <c r="E4154" s="131" t="s">
        <v>36</v>
      </c>
      <c r="F4154" s="133" t="s">
        <v>11</v>
      </c>
      <c r="G4154" s="134" t="n">
        <f aca="false">LEN('Saisie programme'!$J$139)+SUMIFS('Vols additionnels'!$E$7:$E$66,'Vols additionnels'!$C$7:$C$66,$E4154,'Vols additionnels'!$D$7:$D$66,$F4154,'Vols additionnels'!$B$7:$B$66,$D4154)</f>
        <v>0</v>
      </c>
      <c r="H4154" s="135" t="n">
        <f aca="false">$G4154*'Analyse capacite'!$F$7</f>
        <v>0</v>
      </c>
      <c r="I4154" s="135" t="n">
        <f aca="false">$G4154*'Analyse capacite'!$C$7</f>
        <v>0</v>
      </c>
      <c r="J4154" s="135" t="n">
        <f aca="false">$G4154*'Analyse capacite'!$D$7</f>
        <v>0</v>
      </c>
      <c r="K4154" s="135" t="n">
        <f aca="false">$G4154*'Analyse capacite'!$E$7</f>
        <v>0</v>
      </c>
    </row>
    <row r="4155" customFormat="false" ht="15" hidden="false" customHeight="false" outlineLevel="0" collapsed="false">
      <c r="B4155" s="130" t="n">
        <v>2027</v>
      </c>
      <c r="C4155" s="131" t="s">
        <v>249</v>
      </c>
      <c r="D4155" s="132" t="n">
        <v>46593</v>
      </c>
      <c r="E4155" s="131" t="s">
        <v>36</v>
      </c>
      <c r="F4155" s="133" t="s">
        <v>19</v>
      </c>
      <c r="G4155" s="134" t="n">
        <f aca="false">LEN('Saisie programme'!$J$140)+SUMIFS('Vols additionnels'!$E$7:$E$66,'Vols additionnels'!$C$7:$C$66,$E4155,'Vols additionnels'!$D$7:$D$66,$F4155,'Vols additionnels'!$B$7:$B$66,$D4155)</f>
        <v>0</v>
      </c>
      <c r="H4155" s="135" t="n">
        <f aca="false">$G4155*'Analyse capacite'!$F$8</f>
        <v>0</v>
      </c>
      <c r="I4155" s="135" t="n">
        <f aca="false">$G4155*'Analyse capacite'!$C$8</f>
        <v>0</v>
      </c>
      <c r="J4155" s="135" t="n">
        <f aca="false">$G4155*'Analyse capacite'!$D$8</f>
        <v>0</v>
      </c>
      <c r="K4155" s="135" t="n">
        <f aca="false">$G4155*'Analyse capacite'!$E$8</f>
        <v>0</v>
      </c>
    </row>
    <row r="4156" customFormat="false" ht="15" hidden="false" customHeight="false" outlineLevel="0" collapsed="false">
      <c r="B4156" s="130" t="n">
        <v>2027</v>
      </c>
      <c r="C4156" s="131" t="s">
        <v>249</v>
      </c>
      <c r="D4156" s="132" t="n">
        <v>46593</v>
      </c>
      <c r="E4156" s="131" t="s">
        <v>36</v>
      </c>
      <c r="F4156" s="133" t="s">
        <v>24</v>
      </c>
      <c r="G4156" s="134" t="n">
        <f aca="false">LEN('Saisie programme'!$J$141)+SUMIFS('Vols additionnels'!$E$7:$E$66,'Vols additionnels'!$C$7:$C$66,$E4156,'Vols additionnels'!$D$7:$D$66,$F4156,'Vols additionnels'!$B$7:$B$66,$D4156)</f>
        <v>0</v>
      </c>
      <c r="H4156" s="135" t="n">
        <f aca="false">$G4156*'Analyse capacite'!$F$9</f>
        <v>0</v>
      </c>
      <c r="I4156" s="135" t="n">
        <f aca="false">$G4156*'Analyse capacite'!$C$9</f>
        <v>0</v>
      </c>
      <c r="J4156" s="135" t="n">
        <f aca="false">$G4156*'Analyse capacite'!$D$9</f>
        <v>0</v>
      </c>
      <c r="K4156" s="135" t="n">
        <f aca="false">$G4156*'Analyse capacite'!$E$9</f>
        <v>0</v>
      </c>
    </row>
    <row r="4157" customFormat="false" ht="15" hidden="false" customHeight="false" outlineLevel="0" collapsed="false">
      <c r="B4157" s="130" t="n">
        <v>2027</v>
      </c>
      <c r="C4157" s="131" t="s">
        <v>249</v>
      </c>
      <c r="D4157" s="132" t="n">
        <v>46593</v>
      </c>
      <c r="E4157" s="131" t="s">
        <v>40</v>
      </c>
      <c r="F4157" s="133" t="s">
        <v>11</v>
      </c>
      <c r="G4157" s="134" t="n">
        <f aca="false">LEN('Saisie programme'!$J$142)+SUMIFS('Vols additionnels'!$E$7:$E$66,'Vols additionnels'!$C$7:$C$66,$E4157,'Vols additionnels'!$D$7:$D$66,$F4157,'Vols additionnels'!$B$7:$B$66,$D4157)</f>
        <v>0</v>
      </c>
      <c r="H4157" s="135" t="n">
        <f aca="false">$G4157*'Analyse capacite'!$F$7</f>
        <v>0</v>
      </c>
      <c r="I4157" s="135" t="n">
        <f aca="false">$G4157*'Analyse capacite'!$C$7</f>
        <v>0</v>
      </c>
      <c r="J4157" s="135" t="n">
        <f aca="false">$G4157*'Analyse capacite'!$D$7</f>
        <v>0</v>
      </c>
      <c r="K4157" s="135" t="n">
        <f aca="false">$G4157*'Analyse capacite'!$E$7</f>
        <v>0</v>
      </c>
    </row>
    <row r="4158" customFormat="false" ht="15" hidden="false" customHeight="false" outlineLevel="0" collapsed="false">
      <c r="B4158" s="130" t="n">
        <v>2027</v>
      </c>
      <c r="C4158" s="131" t="s">
        <v>249</v>
      </c>
      <c r="D4158" s="132" t="n">
        <v>46593</v>
      </c>
      <c r="E4158" s="131" t="s">
        <v>40</v>
      </c>
      <c r="F4158" s="133" t="s">
        <v>19</v>
      </c>
      <c r="G4158" s="134" t="n">
        <f aca="false">LEN('Saisie programme'!$J$143)+SUMIFS('Vols additionnels'!$E$7:$E$66,'Vols additionnels'!$C$7:$C$66,$E4158,'Vols additionnels'!$D$7:$D$66,$F4158,'Vols additionnels'!$B$7:$B$66,$D4158)</f>
        <v>0</v>
      </c>
      <c r="H4158" s="135" t="n">
        <f aca="false">$G4158*'Analyse capacite'!$F$8</f>
        <v>0</v>
      </c>
      <c r="I4158" s="135" t="n">
        <f aca="false">$G4158*'Analyse capacite'!$C$8</f>
        <v>0</v>
      </c>
      <c r="J4158" s="135" t="n">
        <f aca="false">$G4158*'Analyse capacite'!$D$8</f>
        <v>0</v>
      </c>
      <c r="K4158" s="135" t="n">
        <f aca="false">$G4158*'Analyse capacite'!$E$8</f>
        <v>0</v>
      </c>
    </row>
    <row r="4159" customFormat="false" ht="15" hidden="false" customHeight="false" outlineLevel="0" collapsed="false">
      <c r="B4159" s="130" t="n">
        <v>2027</v>
      </c>
      <c r="C4159" s="131" t="s">
        <v>249</v>
      </c>
      <c r="D4159" s="132" t="n">
        <v>46593</v>
      </c>
      <c r="E4159" s="131" t="s">
        <v>40</v>
      </c>
      <c r="F4159" s="133" t="s">
        <v>24</v>
      </c>
      <c r="G4159" s="134" t="n">
        <f aca="false">LEN('Saisie programme'!$J$144)+SUMIFS('Vols additionnels'!$E$7:$E$66,'Vols additionnels'!$C$7:$C$66,$E4159,'Vols additionnels'!$D$7:$D$66,$F4159,'Vols additionnels'!$B$7:$B$66,$D4159)</f>
        <v>1</v>
      </c>
      <c r="H4159" s="135" t="n">
        <f aca="false">$G4159*'Analyse capacite'!$F$9</f>
        <v>174</v>
      </c>
      <c r="I4159" s="135" t="n">
        <f aca="false">$G4159*'Analyse capacite'!$C$9</f>
        <v>0</v>
      </c>
      <c r="J4159" s="135" t="n">
        <f aca="false">$G4159*'Analyse capacite'!$D$9</f>
        <v>12</v>
      </c>
      <c r="K4159" s="135" t="n">
        <f aca="false">$G4159*'Analyse capacite'!$E$9</f>
        <v>162</v>
      </c>
    </row>
    <row r="4160" customFormat="false" ht="15" hidden="false" customHeight="false" outlineLevel="0" collapsed="false">
      <c r="B4160" s="130" t="n">
        <v>2027</v>
      </c>
      <c r="C4160" s="131" t="s">
        <v>249</v>
      </c>
      <c r="D4160" s="132" t="n">
        <v>46593</v>
      </c>
      <c r="E4160" s="131" t="s">
        <v>14</v>
      </c>
      <c r="F4160" s="133" t="s">
        <v>11</v>
      </c>
      <c r="G4160" s="134" t="n">
        <f aca="false">LEN('Saisie programme'!$J$145)+SUMIFS('Vols additionnels'!$E$7:$E$66,'Vols additionnels'!$C$7:$C$66,$E4160,'Vols additionnels'!$D$7:$D$66,$F4160,'Vols additionnels'!$B$7:$B$66,$D4160)</f>
        <v>0</v>
      </c>
      <c r="H4160" s="135" t="n">
        <f aca="false">$G4160*'Analyse capacite'!$F$7</f>
        <v>0</v>
      </c>
      <c r="I4160" s="135" t="n">
        <f aca="false">$G4160*'Analyse capacite'!$C$7</f>
        <v>0</v>
      </c>
      <c r="J4160" s="135" t="n">
        <f aca="false">$G4160*'Analyse capacite'!$D$7</f>
        <v>0</v>
      </c>
      <c r="K4160" s="135" t="n">
        <f aca="false">$G4160*'Analyse capacite'!$E$7</f>
        <v>0</v>
      </c>
    </row>
    <row r="4161" customFormat="false" ht="15" hidden="false" customHeight="false" outlineLevel="0" collapsed="false">
      <c r="B4161" s="130" t="n">
        <v>2027</v>
      </c>
      <c r="C4161" s="131" t="s">
        <v>249</v>
      </c>
      <c r="D4161" s="132" t="n">
        <v>46593</v>
      </c>
      <c r="E4161" s="131" t="s">
        <v>14</v>
      </c>
      <c r="F4161" s="133" t="s">
        <v>19</v>
      </c>
      <c r="G4161" s="134" t="n">
        <f aca="false">LEN('Saisie programme'!$J$146)+SUMIFS('Vols additionnels'!$E$7:$E$66,'Vols additionnels'!$C$7:$C$66,$E4161,'Vols additionnels'!$D$7:$D$66,$F4161,'Vols additionnels'!$B$7:$B$66,$D4161)</f>
        <v>0</v>
      </c>
      <c r="H4161" s="135" t="n">
        <f aca="false">$G4161*'Analyse capacite'!$F$8</f>
        <v>0</v>
      </c>
      <c r="I4161" s="135" t="n">
        <f aca="false">$G4161*'Analyse capacite'!$C$8</f>
        <v>0</v>
      </c>
      <c r="J4161" s="135" t="n">
        <f aca="false">$G4161*'Analyse capacite'!$D$8</f>
        <v>0</v>
      </c>
      <c r="K4161" s="135" t="n">
        <f aca="false">$G4161*'Analyse capacite'!$E$8</f>
        <v>0</v>
      </c>
    </row>
    <row r="4162" customFormat="false" ht="15" hidden="false" customHeight="false" outlineLevel="0" collapsed="false">
      <c r="B4162" s="130" t="n">
        <v>2027</v>
      </c>
      <c r="C4162" s="131" t="s">
        <v>249</v>
      </c>
      <c r="D4162" s="132" t="n">
        <v>46593</v>
      </c>
      <c r="E4162" s="131" t="s">
        <v>14</v>
      </c>
      <c r="F4162" s="133" t="s">
        <v>24</v>
      </c>
      <c r="G4162" s="134" t="n">
        <f aca="false">LEN('Saisie programme'!$J$147)+SUMIFS('Vols additionnels'!$E$7:$E$66,'Vols additionnels'!$C$7:$C$66,$E4162,'Vols additionnels'!$D$7:$D$66,$F4162,'Vols additionnels'!$B$7:$B$66,$D4162)</f>
        <v>0</v>
      </c>
      <c r="H4162" s="135" t="n">
        <f aca="false">$G4162*'Analyse capacite'!$F$9</f>
        <v>0</v>
      </c>
      <c r="I4162" s="135" t="n">
        <f aca="false">$G4162*'Analyse capacite'!$C$9</f>
        <v>0</v>
      </c>
      <c r="J4162" s="135" t="n">
        <f aca="false">$G4162*'Analyse capacite'!$D$9</f>
        <v>0</v>
      </c>
      <c r="K4162" s="135" t="n">
        <f aca="false">$G4162*'Analyse capacite'!$E$9</f>
        <v>0</v>
      </c>
    </row>
    <row r="4163" customFormat="false" ht="15" hidden="false" customHeight="false" outlineLevel="0" collapsed="false">
      <c r="B4163" s="130" t="n">
        <v>2027</v>
      </c>
      <c r="C4163" s="131" t="s">
        <v>249</v>
      </c>
      <c r="D4163" s="132" t="n">
        <v>46593</v>
      </c>
      <c r="E4163" s="131" t="s">
        <v>46</v>
      </c>
      <c r="F4163" s="133" t="s">
        <v>11</v>
      </c>
      <c r="G4163" s="134" t="n">
        <f aca="false">LEN('Saisie programme'!$J$148)+SUMIFS('Vols additionnels'!$E$7:$E$66,'Vols additionnels'!$C$7:$C$66,$E4163,'Vols additionnels'!$D$7:$D$66,$F4163,'Vols additionnels'!$B$7:$B$66,$D4163)</f>
        <v>0</v>
      </c>
      <c r="H4163" s="135" t="n">
        <f aca="false">$G4163*'Analyse capacite'!$F$7</f>
        <v>0</v>
      </c>
      <c r="I4163" s="135" t="n">
        <f aca="false">$G4163*'Analyse capacite'!$C$7</f>
        <v>0</v>
      </c>
      <c r="J4163" s="135" t="n">
        <f aca="false">$G4163*'Analyse capacite'!$D$7</f>
        <v>0</v>
      </c>
      <c r="K4163" s="135" t="n">
        <f aca="false">$G4163*'Analyse capacite'!$E$7</f>
        <v>0</v>
      </c>
    </row>
    <row r="4164" customFormat="false" ht="15" hidden="false" customHeight="false" outlineLevel="0" collapsed="false">
      <c r="B4164" s="130" t="n">
        <v>2027</v>
      </c>
      <c r="C4164" s="131" t="s">
        <v>249</v>
      </c>
      <c r="D4164" s="132" t="n">
        <v>46593</v>
      </c>
      <c r="E4164" s="131" t="s">
        <v>46</v>
      </c>
      <c r="F4164" s="133" t="s">
        <v>19</v>
      </c>
      <c r="G4164" s="134" t="n">
        <f aca="false">LEN('Saisie programme'!$J$149)+SUMIFS('Vols additionnels'!$E$7:$E$66,'Vols additionnels'!$C$7:$C$66,$E4164,'Vols additionnels'!$D$7:$D$66,$F4164,'Vols additionnels'!$B$7:$B$66,$D4164)</f>
        <v>0</v>
      </c>
      <c r="H4164" s="135" t="n">
        <f aca="false">$G4164*'Analyse capacite'!$F$8</f>
        <v>0</v>
      </c>
      <c r="I4164" s="135" t="n">
        <f aca="false">$G4164*'Analyse capacite'!$C$8</f>
        <v>0</v>
      </c>
      <c r="J4164" s="135" t="n">
        <f aca="false">$G4164*'Analyse capacite'!$D$8</f>
        <v>0</v>
      </c>
      <c r="K4164" s="135" t="n">
        <f aca="false">$G4164*'Analyse capacite'!$E$8</f>
        <v>0</v>
      </c>
    </row>
    <row r="4165" customFormat="false" ht="15" hidden="false" customHeight="false" outlineLevel="0" collapsed="false">
      <c r="B4165" s="130" t="n">
        <v>2027</v>
      </c>
      <c r="C4165" s="131" t="s">
        <v>249</v>
      </c>
      <c r="D4165" s="132" t="n">
        <v>46593</v>
      </c>
      <c r="E4165" s="131" t="s">
        <v>46</v>
      </c>
      <c r="F4165" s="133" t="s">
        <v>24</v>
      </c>
      <c r="G4165" s="134" t="n">
        <f aca="false">LEN('Saisie programme'!$J$150)+SUMIFS('Vols additionnels'!$E$7:$E$66,'Vols additionnels'!$C$7:$C$66,$E4165,'Vols additionnels'!$D$7:$D$66,$F4165,'Vols additionnels'!$B$7:$B$66,$D4165)</f>
        <v>0</v>
      </c>
      <c r="H4165" s="135" t="n">
        <f aca="false">$G4165*'Analyse capacite'!$F$9</f>
        <v>0</v>
      </c>
      <c r="I4165" s="135" t="n">
        <f aca="false">$G4165*'Analyse capacite'!$C$9</f>
        <v>0</v>
      </c>
      <c r="J4165" s="135" t="n">
        <f aca="false">$G4165*'Analyse capacite'!$D$9</f>
        <v>0</v>
      </c>
      <c r="K4165" s="135" t="n">
        <f aca="false">$G4165*'Analyse capacite'!$E$9</f>
        <v>0</v>
      </c>
    </row>
    <row r="4166" customFormat="false" ht="15" hidden="false" customHeight="false" outlineLevel="0" collapsed="false">
      <c r="B4166" s="130" t="n">
        <v>2027</v>
      </c>
      <c r="C4166" s="131" t="s">
        <v>249</v>
      </c>
      <c r="D4166" s="132" t="n">
        <v>46593</v>
      </c>
      <c r="E4166" s="131" t="s">
        <v>49</v>
      </c>
      <c r="F4166" s="133" t="s">
        <v>11</v>
      </c>
      <c r="G4166" s="134" t="n">
        <f aca="false">LEN('Saisie programme'!$J$151)+SUMIFS('Vols additionnels'!$E$7:$E$66,'Vols additionnels'!$C$7:$C$66,$E4166,'Vols additionnels'!$D$7:$D$66,$F4166,'Vols additionnels'!$B$7:$B$66,$D4166)</f>
        <v>0</v>
      </c>
      <c r="H4166" s="135" t="n">
        <f aca="false">$G4166*'Analyse capacite'!$F$7</f>
        <v>0</v>
      </c>
      <c r="I4166" s="135" t="n">
        <f aca="false">$G4166*'Analyse capacite'!$C$7</f>
        <v>0</v>
      </c>
      <c r="J4166" s="135" t="n">
        <f aca="false">$G4166*'Analyse capacite'!$D$7</f>
        <v>0</v>
      </c>
      <c r="K4166" s="135" t="n">
        <f aca="false">$G4166*'Analyse capacite'!$E$7</f>
        <v>0</v>
      </c>
    </row>
    <row r="4167" customFormat="false" ht="15" hidden="false" customHeight="false" outlineLevel="0" collapsed="false">
      <c r="B4167" s="130" t="n">
        <v>2027</v>
      </c>
      <c r="C4167" s="131" t="s">
        <v>249</v>
      </c>
      <c r="D4167" s="132" t="n">
        <v>46593</v>
      </c>
      <c r="E4167" s="131" t="s">
        <v>49</v>
      </c>
      <c r="F4167" s="133" t="s">
        <v>19</v>
      </c>
      <c r="G4167" s="134" t="n">
        <f aca="false">LEN('Saisie programme'!$J$152)+SUMIFS('Vols additionnels'!$E$7:$E$66,'Vols additionnels'!$C$7:$C$66,$E4167,'Vols additionnels'!$D$7:$D$66,$F4167,'Vols additionnels'!$B$7:$B$66,$D4167)</f>
        <v>0</v>
      </c>
      <c r="H4167" s="135" t="n">
        <f aca="false">$G4167*'Analyse capacite'!$F$8</f>
        <v>0</v>
      </c>
      <c r="I4167" s="135" t="n">
        <f aca="false">$G4167*'Analyse capacite'!$C$8</f>
        <v>0</v>
      </c>
      <c r="J4167" s="135" t="n">
        <f aca="false">$G4167*'Analyse capacite'!$D$8</f>
        <v>0</v>
      </c>
      <c r="K4167" s="135" t="n">
        <f aca="false">$G4167*'Analyse capacite'!$E$8</f>
        <v>0</v>
      </c>
    </row>
    <row r="4168" customFormat="false" ht="15" hidden="false" customHeight="false" outlineLevel="0" collapsed="false">
      <c r="B4168" s="130" t="n">
        <v>2027</v>
      </c>
      <c r="C4168" s="131" t="s">
        <v>249</v>
      </c>
      <c r="D4168" s="132" t="n">
        <v>46593</v>
      </c>
      <c r="E4168" s="131" t="s">
        <v>49</v>
      </c>
      <c r="F4168" s="133" t="s">
        <v>24</v>
      </c>
      <c r="G4168" s="134" t="n">
        <f aca="false">LEN('Saisie programme'!$J$153)+SUMIFS('Vols additionnels'!$E$7:$E$66,'Vols additionnels'!$C$7:$C$66,$E4168,'Vols additionnels'!$D$7:$D$66,$F4168,'Vols additionnels'!$B$7:$B$66,$D4168)</f>
        <v>0</v>
      </c>
      <c r="H4168" s="135" t="n">
        <f aca="false">$G4168*'Analyse capacite'!$F$9</f>
        <v>0</v>
      </c>
      <c r="I4168" s="135" t="n">
        <f aca="false">$G4168*'Analyse capacite'!$C$9</f>
        <v>0</v>
      </c>
      <c r="J4168" s="135" t="n">
        <f aca="false">$G4168*'Analyse capacite'!$D$9</f>
        <v>0</v>
      </c>
      <c r="K4168" s="135" t="n">
        <f aca="false">$G4168*'Analyse capacite'!$E$9</f>
        <v>0</v>
      </c>
    </row>
    <row r="4169" customFormat="false" ht="15" hidden="false" customHeight="false" outlineLevel="0" collapsed="false">
      <c r="B4169" s="130" t="n">
        <v>2027</v>
      </c>
      <c r="C4169" s="131" t="s">
        <v>249</v>
      </c>
      <c r="D4169" s="132" t="n">
        <v>46593</v>
      </c>
      <c r="E4169" s="131" t="s">
        <v>53</v>
      </c>
      <c r="F4169" s="133" t="s">
        <v>11</v>
      </c>
      <c r="G4169" s="134" t="n">
        <f aca="false">LEN('Saisie programme'!$J$154)+SUMIFS('Vols additionnels'!$E$7:$E$66,'Vols additionnels'!$C$7:$C$66,$E4169,'Vols additionnels'!$D$7:$D$66,$F4169,'Vols additionnels'!$B$7:$B$66,$D4169)</f>
        <v>0</v>
      </c>
      <c r="H4169" s="135" t="n">
        <f aca="false">$G4169*'Analyse capacite'!$F$7</f>
        <v>0</v>
      </c>
      <c r="I4169" s="135" t="n">
        <f aca="false">$G4169*'Analyse capacite'!$C$7</f>
        <v>0</v>
      </c>
      <c r="J4169" s="135" t="n">
        <f aca="false">$G4169*'Analyse capacite'!$D$7</f>
        <v>0</v>
      </c>
      <c r="K4169" s="135" t="n">
        <f aca="false">$G4169*'Analyse capacite'!$E$7</f>
        <v>0</v>
      </c>
    </row>
    <row r="4170" customFormat="false" ht="15" hidden="false" customHeight="false" outlineLevel="0" collapsed="false">
      <c r="B4170" s="130" t="n">
        <v>2027</v>
      </c>
      <c r="C4170" s="131" t="s">
        <v>249</v>
      </c>
      <c r="D4170" s="132" t="n">
        <v>46593</v>
      </c>
      <c r="E4170" s="131" t="s">
        <v>53</v>
      </c>
      <c r="F4170" s="133" t="s">
        <v>19</v>
      </c>
      <c r="G4170" s="134" t="n">
        <f aca="false">LEN('Saisie programme'!$J$155)+SUMIFS('Vols additionnels'!$E$7:$E$66,'Vols additionnels'!$C$7:$C$66,$E4170,'Vols additionnels'!$D$7:$D$66,$F4170,'Vols additionnels'!$B$7:$B$66,$D4170)</f>
        <v>0</v>
      </c>
      <c r="H4170" s="135" t="n">
        <f aca="false">$G4170*'Analyse capacite'!$F$8</f>
        <v>0</v>
      </c>
      <c r="I4170" s="135" t="n">
        <f aca="false">$G4170*'Analyse capacite'!$C$8</f>
        <v>0</v>
      </c>
      <c r="J4170" s="135" t="n">
        <f aca="false">$G4170*'Analyse capacite'!$D$8</f>
        <v>0</v>
      </c>
      <c r="K4170" s="135" t="n">
        <f aca="false">$G4170*'Analyse capacite'!$E$8</f>
        <v>0</v>
      </c>
    </row>
    <row r="4171" customFormat="false" ht="15" hidden="false" customHeight="false" outlineLevel="0" collapsed="false">
      <c r="B4171" s="130" t="n">
        <v>2027</v>
      </c>
      <c r="C4171" s="131" t="s">
        <v>249</v>
      </c>
      <c r="D4171" s="132" t="n">
        <v>46593</v>
      </c>
      <c r="E4171" s="131" t="s">
        <v>53</v>
      </c>
      <c r="F4171" s="133" t="s">
        <v>24</v>
      </c>
      <c r="G4171" s="134" t="n">
        <f aca="false">LEN('Saisie programme'!$J$156)+SUMIFS('Vols additionnels'!$E$7:$E$66,'Vols additionnels'!$C$7:$C$66,$E4171,'Vols additionnels'!$D$7:$D$66,$F4171,'Vols additionnels'!$B$7:$B$66,$D4171)</f>
        <v>0</v>
      </c>
      <c r="H4171" s="135" t="n">
        <f aca="false">$G4171*'Analyse capacite'!$F$9</f>
        <v>0</v>
      </c>
      <c r="I4171" s="135" t="n">
        <f aca="false">$G4171*'Analyse capacite'!$C$9</f>
        <v>0</v>
      </c>
      <c r="J4171" s="135" t="n">
        <f aca="false">$G4171*'Analyse capacite'!$D$9</f>
        <v>0</v>
      </c>
      <c r="K4171" s="135" t="n">
        <f aca="false">$G4171*'Analyse capacite'!$E$9</f>
        <v>0</v>
      </c>
    </row>
    <row r="4172" customFormat="false" ht="15" hidden="false" customHeight="false" outlineLevel="0" collapsed="false">
      <c r="B4172" s="130" t="n">
        <v>2027</v>
      </c>
      <c r="C4172" s="131" t="s">
        <v>249</v>
      </c>
      <c r="D4172" s="132" t="n">
        <v>46593</v>
      </c>
      <c r="E4172" s="131" t="s">
        <v>56</v>
      </c>
      <c r="F4172" s="133" t="s">
        <v>11</v>
      </c>
      <c r="G4172" s="134" t="n">
        <f aca="false">LEN('Saisie programme'!$J$157)+SUMIFS('Vols additionnels'!$E$7:$E$66,'Vols additionnels'!$C$7:$C$66,$E4172,'Vols additionnels'!$D$7:$D$66,$F4172,'Vols additionnels'!$B$7:$B$66,$D4172)</f>
        <v>0</v>
      </c>
      <c r="H4172" s="135" t="n">
        <f aca="false">$G4172*'Analyse capacite'!$F$7</f>
        <v>0</v>
      </c>
      <c r="I4172" s="135" t="n">
        <f aca="false">$G4172*'Analyse capacite'!$C$7</f>
        <v>0</v>
      </c>
      <c r="J4172" s="135" t="n">
        <f aca="false">$G4172*'Analyse capacite'!$D$7</f>
        <v>0</v>
      </c>
      <c r="K4172" s="135" t="n">
        <f aca="false">$G4172*'Analyse capacite'!$E$7</f>
        <v>0</v>
      </c>
    </row>
    <row r="4173" customFormat="false" ht="15" hidden="false" customHeight="false" outlineLevel="0" collapsed="false">
      <c r="B4173" s="130" t="n">
        <v>2027</v>
      </c>
      <c r="C4173" s="131" t="s">
        <v>249</v>
      </c>
      <c r="D4173" s="132" t="n">
        <v>46593</v>
      </c>
      <c r="E4173" s="131" t="s">
        <v>56</v>
      </c>
      <c r="F4173" s="133" t="s">
        <v>19</v>
      </c>
      <c r="G4173" s="134" t="n">
        <f aca="false">LEN('Saisie programme'!$J$158)+SUMIFS('Vols additionnels'!$E$7:$E$66,'Vols additionnels'!$C$7:$C$66,$E4173,'Vols additionnels'!$D$7:$D$66,$F4173,'Vols additionnels'!$B$7:$B$66,$D4173)</f>
        <v>0</v>
      </c>
      <c r="H4173" s="135" t="n">
        <f aca="false">$G4173*'Analyse capacite'!$F$8</f>
        <v>0</v>
      </c>
      <c r="I4173" s="135" t="n">
        <f aca="false">$G4173*'Analyse capacite'!$C$8</f>
        <v>0</v>
      </c>
      <c r="J4173" s="135" t="n">
        <f aca="false">$G4173*'Analyse capacite'!$D$8</f>
        <v>0</v>
      </c>
      <c r="K4173" s="135" t="n">
        <f aca="false">$G4173*'Analyse capacite'!$E$8</f>
        <v>0</v>
      </c>
    </row>
    <row r="4174" customFormat="false" ht="15" hidden="false" customHeight="false" outlineLevel="0" collapsed="false">
      <c r="B4174" s="130" t="n">
        <v>2027</v>
      </c>
      <c r="C4174" s="131" t="s">
        <v>249</v>
      </c>
      <c r="D4174" s="132" t="n">
        <v>46593</v>
      </c>
      <c r="E4174" s="131" t="s">
        <v>56</v>
      </c>
      <c r="F4174" s="133" t="s">
        <v>24</v>
      </c>
      <c r="G4174" s="134" t="n">
        <f aca="false">LEN('Saisie programme'!$J$159)+SUMIFS('Vols additionnels'!$E$7:$E$66,'Vols additionnels'!$C$7:$C$66,$E4174,'Vols additionnels'!$D$7:$D$66,$F4174,'Vols additionnels'!$B$7:$B$66,$D4174)</f>
        <v>0</v>
      </c>
      <c r="H4174" s="135" t="n">
        <f aca="false">$G4174*'Analyse capacite'!$F$9</f>
        <v>0</v>
      </c>
      <c r="I4174" s="135" t="n">
        <f aca="false">$G4174*'Analyse capacite'!$C$9</f>
        <v>0</v>
      </c>
      <c r="J4174" s="135" t="n">
        <f aca="false">$G4174*'Analyse capacite'!$D$9</f>
        <v>0</v>
      </c>
      <c r="K4174" s="135" t="n">
        <f aca="false">$G4174*'Analyse capacite'!$E$9</f>
        <v>0</v>
      </c>
    </row>
    <row r="4175" customFormat="false" ht="15" hidden="false" customHeight="false" outlineLevel="0" collapsed="false">
      <c r="B4175" s="130" t="n">
        <v>2027</v>
      </c>
      <c r="C4175" s="131" t="s">
        <v>249</v>
      </c>
      <c r="D4175" s="132" t="n">
        <v>46593</v>
      </c>
      <c r="E4175" s="131" t="s">
        <v>59</v>
      </c>
      <c r="F4175" s="133" t="s">
        <v>11</v>
      </c>
      <c r="G4175" s="134" t="n">
        <f aca="false">LEN('Saisie programme'!$J$160)+SUMIFS('Vols additionnels'!$E$7:$E$66,'Vols additionnels'!$C$7:$C$66,$E4175,'Vols additionnels'!$D$7:$D$66,$F4175,'Vols additionnels'!$B$7:$B$66,$D4175)</f>
        <v>0</v>
      </c>
      <c r="H4175" s="135" t="n">
        <f aca="false">$G4175*'Analyse capacite'!$F$7</f>
        <v>0</v>
      </c>
      <c r="I4175" s="135" t="n">
        <f aca="false">$G4175*'Analyse capacite'!$C$7</f>
        <v>0</v>
      </c>
      <c r="J4175" s="135" t="n">
        <f aca="false">$G4175*'Analyse capacite'!$D$7</f>
        <v>0</v>
      </c>
      <c r="K4175" s="135" t="n">
        <f aca="false">$G4175*'Analyse capacite'!$E$7</f>
        <v>0</v>
      </c>
    </row>
    <row r="4176" customFormat="false" ht="15" hidden="false" customHeight="false" outlineLevel="0" collapsed="false">
      <c r="B4176" s="130" t="n">
        <v>2027</v>
      </c>
      <c r="C4176" s="131" t="s">
        <v>249</v>
      </c>
      <c r="D4176" s="132" t="n">
        <v>46593</v>
      </c>
      <c r="E4176" s="131" t="s">
        <v>59</v>
      </c>
      <c r="F4176" s="133" t="s">
        <v>19</v>
      </c>
      <c r="G4176" s="134" t="n">
        <f aca="false">LEN('Saisie programme'!$J$161)+SUMIFS('Vols additionnels'!$E$7:$E$66,'Vols additionnels'!$C$7:$C$66,$E4176,'Vols additionnels'!$D$7:$D$66,$F4176,'Vols additionnels'!$B$7:$B$66,$D4176)</f>
        <v>0</v>
      </c>
      <c r="H4176" s="135" t="n">
        <f aca="false">$G4176*'Analyse capacite'!$F$8</f>
        <v>0</v>
      </c>
      <c r="I4176" s="135" t="n">
        <f aca="false">$G4176*'Analyse capacite'!$C$8</f>
        <v>0</v>
      </c>
      <c r="J4176" s="135" t="n">
        <f aca="false">$G4176*'Analyse capacite'!$D$8</f>
        <v>0</v>
      </c>
      <c r="K4176" s="135" t="n">
        <f aca="false">$G4176*'Analyse capacite'!$E$8</f>
        <v>0</v>
      </c>
    </row>
    <row r="4177" customFormat="false" ht="15" hidden="false" customHeight="false" outlineLevel="0" collapsed="false">
      <c r="B4177" s="130" t="n">
        <v>2027</v>
      </c>
      <c r="C4177" s="131" t="s">
        <v>249</v>
      </c>
      <c r="D4177" s="132" t="n">
        <v>46593</v>
      </c>
      <c r="E4177" s="131" t="s">
        <v>59</v>
      </c>
      <c r="F4177" s="133" t="s">
        <v>24</v>
      </c>
      <c r="G4177" s="134" t="n">
        <f aca="false">LEN('Saisie programme'!$J$162)+SUMIFS('Vols additionnels'!$E$7:$E$66,'Vols additionnels'!$C$7:$C$66,$E4177,'Vols additionnels'!$D$7:$D$66,$F4177,'Vols additionnels'!$B$7:$B$66,$D4177)</f>
        <v>0</v>
      </c>
      <c r="H4177" s="135" t="n">
        <f aca="false">$G4177*'Analyse capacite'!$F$9</f>
        <v>0</v>
      </c>
      <c r="I4177" s="135" t="n">
        <f aca="false">$G4177*'Analyse capacite'!$C$9</f>
        <v>0</v>
      </c>
      <c r="J4177" s="135" t="n">
        <f aca="false">$G4177*'Analyse capacite'!$D$9</f>
        <v>0</v>
      </c>
      <c r="K4177" s="135" t="n">
        <f aca="false">$G4177*'Analyse capacite'!$E$9</f>
        <v>0</v>
      </c>
    </row>
    <row r="4178" customFormat="false" ht="15" hidden="false" customHeight="false" outlineLevel="0" collapsed="false">
      <c r="B4178" s="130" t="n">
        <v>2027</v>
      </c>
      <c r="C4178" s="131" t="s">
        <v>249</v>
      </c>
      <c r="D4178" s="132" t="n">
        <v>46593</v>
      </c>
      <c r="E4178" s="131" t="s">
        <v>62</v>
      </c>
      <c r="F4178" s="133" t="s">
        <v>11</v>
      </c>
      <c r="G4178" s="134" t="n">
        <f aca="false">LEN('Saisie programme'!$J$163)+SUMIFS('Vols additionnels'!$E$7:$E$66,'Vols additionnels'!$C$7:$C$66,$E4178,'Vols additionnels'!$D$7:$D$66,$F4178,'Vols additionnels'!$B$7:$B$66,$D4178)</f>
        <v>0</v>
      </c>
      <c r="H4178" s="135" t="n">
        <f aca="false">$G4178*'Analyse capacite'!$F$7</f>
        <v>0</v>
      </c>
      <c r="I4178" s="135" t="n">
        <f aca="false">$G4178*'Analyse capacite'!$C$7</f>
        <v>0</v>
      </c>
      <c r="J4178" s="135" t="n">
        <f aca="false">$G4178*'Analyse capacite'!$D$7</f>
        <v>0</v>
      </c>
      <c r="K4178" s="135" t="n">
        <f aca="false">$G4178*'Analyse capacite'!$E$7</f>
        <v>0</v>
      </c>
    </row>
    <row r="4179" customFormat="false" ht="15" hidden="false" customHeight="false" outlineLevel="0" collapsed="false">
      <c r="B4179" s="130" t="n">
        <v>2027</v>
      </c>
      <c r="C4179" s="131" t="s">
        <v>249</v>
      </c>
      <c r="D4179" s="132" t="n">
        <v>46593</v>
      </c>
      <c r="E4179" s="131" t="s">
        <v>62</v>
      </c>
      <c r="F4179" s="133" t="s">
        <v>19</v>
      </c>
      <c r="G4179" s="134" t="n">
        <f aca="false">LEN('Saisie programme'!$J$164)+SUMIFS('Vols additionnels'!$E$7:$E$66,'Vols additionnels'!$C$7:$C$66,$E4179,'Vols additionnels'!$D$7:$D$66,$F4179,'Vols additionnels'!$B$7:$B$66,$D4179)</f>
        <v>0</v>
      </c>
      <c r="H4179" s="135" t="n">
        <f aca="false">$G4179*'Analyse capacite'!$F$8</f>
        <v>0</v>
      </c>
      <c r="I4179" s="135" t="n">
        <f aca="false">$G4179*'Analyse capacite'!$C$8</f>
        <v>0</v>
      </c>
      <c r="J4179" s="135" t="n">
        <f aca="false">$G4179*'Analyse capacite'!$D$8</f>
        <v>0</v>
      </c>
      <c r="K4179" s="135" t="n">
        <f aca="false">$G4179*'Analyse capacite'!$E$8</f>
        <v>0</v>
      </c>
    </row>
    <row r="4180" customFormat="false" ht="15" hidden="false" customHeight="false" outlineLevel="0" collapsed="false">
      <c r="B4180" s="130" t="n">
        <v>2027</v>
      </c>
      <c r="C4180" s="131" t="s">
        <v>249</v>
      </c>
      <c r="D4180" s="132" t="n">
        <v>46593</v>
      </c>
      <c r="E4180" s="131" t="s">
        <v>62</v>
      </c>
      <c r="F4180" s="133" t="s">
        <v>24</v>
      </c>
      <c r="G4180" s="134" t="n">
        <f aca="false">LEN('Saisie programme'!$J$165)+SUMIFS('Vols additionnels'!$E$7:$E$66,'Vols additionnels'!$C$7:$C$66,$E4180,'Vols additionnels'!$D$7:$D$66,$F4180,'Vols additionnels'!$B$7:$B$66,$D4180)</f>
        <v>1</v>
      </c>
      <c r="H4180" s="135" t="n">
        <f aca="false">$G4180*'Analyse capacite'!$F$9</f>
        <v>174</v>
      </c>
      <c r="I4180" s="135" t="n">
        <f aca="false">$G4180*'Analyse capacite'!$C$9</f>
        <v>0</v>
      </c>
      <c r="J4180" s="135" t="n">
        <f aca="false">$G4180*'Analyse capacite'!$D$9</f>
        <v>12</v>
      </c>
      <c r="K4180" s="135" t="n">
        <f aca="false">$G4180*'Analyse capacite'!$E$9</f>
        <v>162</v>
      </c>
    </row>
    <row r="4181" customFormat="false" ht="15" hidden="false" customHeight="false" outlineLevel="0" collapsed="false">
      <c r="B4181" s="130" t="n">
        <v>2027</v>
      </c>
      <c r="C4181" s="131" t="s">
        <v>249</v>
      </c>
      <c r="D4181" s="132" t="n">
        <v>46594</v>
      </c>
      <c r="E4181" s="131" t="s">
        <v>12</v>
      </c>
      <c r="F4181" s="133" t="s">
        <v>11</v>
      </c>
      <c r="G4181" s="134" t="n">
        <f aca="false">LEN('Saisie programme'!$D$130)+SUMIFS('Vols additionnels'!$E$7:$E$66,'Vols additionnels'!$C$7:$C$66,$E4181,'Vols additionnels'!$D$7:$D$66,$F4181,'Vols additionnels'!$B$7:$B$66,$D4181)</f>
        <v>1</v>
      </c>
      <c r="H4181" s="135" t="n">
        <f aca="false">$G4181*'Analyse capacite'!$F$7</f>
        <v>438</v>
      </c>
      <c r="I4181" s="135" t="n">
        <f aca="false">$G4181*'Analyse capacite'!$C$7</f>
        <v>14</v>
      </c>
      <c r="J4181" s="135" t="n">
        <f aca="false">$G4181*'Analyse capacite'!$D$7</f>
        <v>40</v>
      </c>
      <c r="K4181" s="135" t="n">
        <f aca="false">$G4181*'Analyse capacite'!$E$7</f>
        <v>384</v>
      </c>
    </row>
    <row r="4182" customFormat="false" ht="15" hidden="false" customHeight="false" outlineLevel="0" collapsed="false">
      <c r="B4182" s="130" t="n">
        <v>2027</v>
      </c>
      <c r="C4182" s="131" t="s">
        <v>249</v>
      </c>
      <c r="D4182" s="132" t="n">
        <v>46594</v>
      </c>
      <c r="E4182" s="131" t="s">
        <v>12</v>
      </c>
      <c r="F4182" s="133" t="s">
        <v>19</v>
      </c>
      <c r="G4182" s="134" t="n">
        <f aca="false">LEN('Saisie programme'!$D$131)+SUMIFS('Vols additionnels'!$E$7:$E$66,'Vols additionnels'!$C$7:$C$66,$E4182,'Vols additionnels'!$D$7:$D$66,$F4182,'Vols additionnels'!$B$7:$B$66,$D4182)</f>
        <v>1</v>
      </c>
      <c r="H4182" s="135" t="n">
        <f aca="false">$G4182*'Analyse capacite'!$F$8</f>
        <v>262</v>
      </c>
      <c r="I4182" s="135" t="n">
        <f aca="false">$G4182*'Analyse capacite'!$C$8</f>
        <v>18</v>
      </c>
      <c r="J4182" s="135" t="n">
        <f aca="false">$G4182*'Analyse capacite'!$D$8</f>
        <v>0</v>
      </c>
      <c r="K4182" s="135" t="n">
        <f aca="false">$G4182*'Analyse capacite'!$E$8</f>
        <v>244</v>
      </c>
    </row>
    <row r="4183" customFormat="false" ht="15" hidden="false" customHeight="false" outlineLevel="0" collapsed="false">
      <c r="B4183" s="130" t="n">
        <v>2027</v>
      </c>
      <c r="C4183" s="131" t="s">
        <v>249</v>
      </c>
      <c r="D4183" s="132" t="n">
        <v>46594</v>
      </c>
      <c r="E4183" s="131" t="s">
        <v>12</v>
      </c>
      <c r="F4183" s="133" t="s">
        <v>24</v>
      </c>
      <c r="G4183" s="134" t="n">
        <f aca="false">LEN('Saisie programme'!$D$132)+SUMIFS('Vols additionnels'!$E$7:$E$66,'Vols additionnels'!$C$7:$C$66,$E4183,'Vols additionnels'!$D$7:$D$66,$F4183,'Vols additionnels'!$B$7:$B$66,$D4183)</f>
        <v>2</v>
      </c>
      <c r="H4183" s="135" t="n">
        <f aca="false">$G4183*'Analyse capacite'!$F$9</f>
        <v>348</v>
      </c>
      <c r="I4183" s="135" t="n">
        <f aca="false">$G4183*'Analyse capacite'!$C$9</f>
        <v>0</v>
      </c>
      <c r="J4183" s="135" t="n">
        <f aca="false">$G4183*'Analyse capacite'!$D$9</f>
        <v>24</v>
      </c>
      <c r="K4183" s="135" t="n">
        <f aca="false">$G4183*'Analyse capacite'!$E$9</f>
        <v>324</v>
      </c>
    </row>
    <row r="4184" customFormat="false" ht="15" hidden="false" customHeight="false" outlineLevel="0" collapsed="false">
      <c r="B4184" s="130" t="n">
        <v>2027</v>
      </c>
      <c r="C4184" s="131" t="s">
        <v>249</v>
      </c>
      <c r="D4184" s="132" t="n">
        <v>46594</v>
      </c>
      <c r="E4184" s="131" t="s">
        <v>20</v>
      </c>
      <c r="F4184" s="133" t="s">
        <v>11</v>
      </c>
      <c r="G4184" s="134" t="n">
        <f aca="false">LEN('Saisie programme'!$D$133)+SUMIFS('Vols additionnels'!$E$7:$E$66,'Vols additionnels'!$C$7:$C$66,$E4184,'Vols additionnels'!$D$7:$D$66,$F4184,'Vols additionnels'!$B$7:$B$66,$D4184)</f>
        <v>0</v>
      </c>
      <c r="H4184" s="135" t="n">
        <f aca="false">$G4184*'Analyse capacite'!$F$7</f>
        <v>0</v>
      </c>
      <c r="I4184" s="135" t="n">
        <f aca="false">$G4184*'Analyse capacite'!$C$7</f>
        <v>0</v>
      </c>
      <c r="J4184" s="135" t="n">
        <f aca="false">$G4184*'Analyse capacite'!$D$7</f>
        <v>0</v>
      </c>
      <c r="K4184" s="135" t="n">
        <f aca="false">$G4184*'Analyse capacite'!$E$7</f>
        <v>0</v>
      </c>
    </row>
    <row r="4185" customFormat="false" ht="15" hidden="false" customHeight="false" outlineLevel="0" collapsed="false">
      <c r="B4185" s="130" t="n">
        <v>2027</v>
      </c>
      <c r="C4185" s="131" t="s">
        <v>249</v>
      </c>
      <c r="D4185" s="132" t="n">
        <v>46594</v>
      </c>
      <c r="E4185" s="131" t="s">
        <v>20</v>
      </c>
      <c r="F4185" s="133" t="s">
        <v>19</v>
      </c>
      <c r="G4185" s="134" t="n">
        <f aca="false">LEN('Saisie programme'!$D$134)+SUMIFS('Vols additionnels'!$E$7:$E$66,'Vols additionnels'!$C$7:$C$66,$E4185,'Vols additionnels'!$D$7:$D$66,$F4185,'Vols additionnels'!$B$7:$B$66,$D4185)</f>
        <v>0</v>
      </c>
      <c r="H4185" s="135" t="n">
        <f aca="false">$G4185*'Analyse capacite'!$F$8</f>
        <v>0</v>
      </c>
      <c r="I4185" s="135" t="n">
        <f aca="false">$G4185*'Analyse capacite'!$C$8</f>
        <v>0</v>
      </c>
      <c r="J4185" s="135" t="n">
        <f aca="false">$G4185*'Analyse capacite'!$D$8</f>
        <v>0</v>
      </c>
      <c r="K4185" s="135" t="n">
        <f aca="false">$G4185*'Analyse capacite'!$E$8</f>
        <v>0</v>
      </c>
    </row>
    <row r="4186" customFormat="false" ht="15" hidden="false" customHeight="false" outlineLevel="0" collapsed="false">
      <c r="B4186" s="130" t="n">
        <v>2027</v>
      </c>
      <c r="C4186" s="131" t="s">
        <v>249</v>
      </c>
      <c r="D4186" s="132" t="n">
        <v>46594</v>
      </c>
      <c r="E4186" s="131" t="s">
        <v>20</v>
      </c>
      <c r="F4186" s="133" t="s">
        <v>24</v>
      </c>
      <c r="G4186" s="134" t="n">
        <f aca="false">LEN('Saisie programme'!$D$135)+SUMIFS('Vols additionnels'!$E$7:$E$66,'Vols additionnels'!$C$7:$C$66,$E4186,'Vols additionnels'!$D$7:$D$66,$F4186,'Vols additionnels'!$B$7:$B$66,$D4186)</f>
        <v>0</v>
      </c>
      <c r="H4186" s="135" t="n">
        <f aca="false">$G4186*'Analyse capacite'!$F$9</f>
        <v>0</v>
      </c>
      <c r="I4186" s="135" t="n">
        <f aca="false">$G4186*'Analyse capacite'!$C$9</f>
        <v>0</v>
      </c>
      <c r="J4186" s="135" t="n">
        <f aca="false">$G4186*'Analyse capacite'!$D$9</f>
        <v>0</v>
      </c>
      <c r="K4186" s="135" t="n">
        <f aca="false">$G4186*'Analyse capacite'!$E$9</f>
        <v>0</v>
      </c>
    </row>
    <row r="4187" customFormat="false" ht="15" hidden="false" customHeight="false" outlineLevel="0" collapsed="false">
      <c r="B4187" s="130" t="n">
        <v>2027</v>
      </c>
      <c r="C4187" s="131" t="s">
        <v>249</v>
      </c>
      <c r="D4187" s="132" t="n">
        <v>46594</v>
      </c>
      <c r="E4187" s="131" t="s">
        <v>25</v>
      </c>
      <c r="F4187" s="133" t="s">
        <v>11</v>
      </c>
      <c r="G4187" s="134" t="n">
        <f aca="false">LEN('Saisie programme'!$D$136)+SUMIFS('Vols additionnels'!$E$7:$E$66,'Vols additionnels'!$C$7:$C$66,$E4187,'Vols additionnels'!$D$7:$D$66,$F4187,'Vols additionnels'!$B$7:$B$66,$D4187)</f>
        <v>0</v>
      </c>
      <c r="H4187" s="135" t="n">
        <f aca="false">$G4187*'Analyse capacite'!$F$7</f>
        <v>0</v>
      </c>
      <c r="I4187" s="135" t="n">
        <f aca="false">$G4187*'Analyse capacite'!$C$7</f>
        <v>0</v>
      </c>
      <c r="J4187" s="135" t="n">
        <f aca="false">$G4187*'Analyse capacite'!$D$7</f>
        <v>0</v>
      </c>
      <c r="K4187" s="135" t="n">
        <f aca="false">$G4187*'Analyse capacite'!$E$7</f>
        <v>0</v>
      </c>
    </row>
    <row r="4188" customFormat="false" ht="15" hidden="false" customHeight="false" outlineLevel="0" collapsed="false">
      <c r="B4188" s="130" t="n">
        <v>2027</v>
      </c>
      <c r="C4188" s="131" t="s">
        <v>249</v>
      </c>
      <c r="D4188" s="132" t="n">
        <v>46594</v>
      </c>
      <c r="E4188" s="131" t="s">
        <v>25</v>
      </c>
      <c r="F4188" s="133" t="s">
        <v>19</v>
      </c>
      <c r="G4188" s="134" t="n">
        <f aca="false">LEN('Saisie programme'!$D$137)+SUMIFS('Vols additionnels'!$E$7:$E$66,'Vols additionnels'!$C$7:$C$66,$E4188,'Vols additionnels'!$D$7:$D$66,$F4188,'Vols additionnels'!$B$7:$B$66,$D4188)</f>
        <v>0</v>
      </c>
      <c r="H4188" s="135" t="n">
        <f aca="false">$G4188*'Analyse capacite'!$F$8</f>
        <v>0</v>
      </c>
      <c r="I4188" s="135" t="n">
        <f aca="false">$G4188*'Analyse capacite'!$C$8</f>
        <v>0</v>
      </c>
      <c r="J4188" s="135" t="n">
        <f aca="false">$G4188*'Analyse capacite'!$D$8</f>
        <v>0</v>
      </c>
      <c r="K4188" s="135" t="n">
        <f aca="false">$G4188*'Analyse capacite'!$E$8</f>
        <v>0</v>
      </c>
    </row>
    <row r="4189" customFormat="false" ht="15" hidden="false" customHeight="false" outlineLevel="0" collapsed="false">
      <c r="B4189" s="130" t="n">
        <v>2027</v>
      </c>
      <c r="C4189" s="131" t="s">
        <v>249</v>
      </c>
      <c r="D4189" s="132" t="n">
        <v>46594</v>
      </c>
      <c r="E4189" s="131" t="s">
        <v>25</v>
      </c>
      <c r="F4189" s="133" t="s">
        <v>24</v>
      </c>
      <c r="G4189" s="134" t="n">
        <f aca="false">LEN('Saisie programme'!$D$138)+SUMIFS('Vols additionnels'!$E$7:$E$66,'Vols additionnels'!$C$7:$C$66,$E4189,'Vols additionnels'!$D$7:$D$66,$F4189,'Vols additionnels'!$B$7:$B$66,$D4189)</f>
        <v>0</v>
      </c>
      <c r="H4189" s="135" t="n">
        <f aca="false">$G4189*'Analyse capacite'!$F$9</f>
        <v>0</v>
      </c>
      <c r="I4189" s="135" t="n">
        <f aca="false">$G4189*'Analyse capacite'!$C$9</f>
        <v>0</v>
      </c>
      <c r="J4189" s="135" t="n">
        <f aca="false">$G4189*'Analyse capacite'!$D$9</f>
        <v>0</v>
      </c>
      <c r="K4189" s="135" t="n">
        <f aca="false">$G4189*'Analyse capacite'!$E$9</f>
        <v>0</v>
      </c>
    </row>
    <row r="4190" customFormat="false" ht="15" hidden="false" customHeight="false" outlineLevel="0" collapsed="false">
      <c r="B4190" s="130" t="n">
        <v>2027</v>
      </c>
      <c r="C4190" s="131" t="s">
        <v>249</v>
      </c>
      <c r="D4190" s="132" t="n">
        <v>46594</v>
      </c>
      <c r="E4190" s="131" t="s">
        <v>36</v>
      </c>
      <c r="F4190" s="133" t="s">
        <v>11</v>
      </c>
      <c r="G4190" s="134" t="n">
        <f aca="false">LEN('Saisie programme'!$D$139)+SUMIFS('Vols additionnels'!$E$7:$E$66,'Vols additionnels'!$C$7:$C$66,$E4190,'Vols additionnels'!$D$7:$D$66,$F4190,'Vols additionnels'!$B$7:$B$66,$D4190)</f>
        <v>0</v>
      </c>
      <c r="H4190" s="135" t="n">
        <f aca="false">$G4190*'Analyse capacite'!$F$7</f>
        <v>0</v>
      </c>
      <c r="I4190" s="135" t="n">
        <f aca="false">$G4190*'Analyse capacite'!$C$7</f>
        <v>0</v>
      </c>
      <c r="J4190" s="135" t="n">
        <f aca="false">$G4190*'Analyse capacite'!$D$7</f>
        <v>0</v>
      </c>
      <c r="K4190" s="135" t="n">
        <f aca="false">$G4190*'Analyse capacite'!$E$7</f>
        <v>0</v>
      </c>
    </row>
    <row r="4191" customFormat="false" ht="15" hidden="false" customHeight="false" outlineLevel="0" collapsed="false">
      <c r="B4191" s="130" t="n">
        <v>2027</v>
      </c>
      <c r="C4191" s="131" t="s">
        <v>249</v>
      </c>
      <c r="D4191" s="132" t="n">
        <v>46594</v>
      </c>
      <c r="E4191" s="131" t="s">
        <v>36</v>
      </c>
      <c r="F4191" s="133" t="s">
        <v>19</v>
      </c>
      <c r="G4191" s="134" t="n">
        <f aca="false">LEN('Saisie programme'!$D$140)+SUMIFS('Vols additionnels'!$E$7:$E$66,'Vols additionnels'!$C$7:$C$66,$E4191,'Vols additionnels'!$D$7:$D$66,$F4191,'Vols additionnels'!$B$7:$B$66,$D4191)</f>
        <v>0</v>
      </c>
      <c r="H4191" s="135" t="n">
        <f aca="false">$G4191*'Analyse capacite'!$F$8</f>
        <v>0</v>
      </c>
      <c r="I4191" s="135" t="n">
        <f aca="false">$G4191*'Analyse capacite'!$C$8</f>
        <v>0</v>
      </c>
      <c r="J4191" s="135" t="n">
        <f aca="false">$G4191*'Analyse capacite'!$D$8</f>
        <v>0</v>
      </c>
      <c r="K4191" s="135" t="n">
        <f aca="false">$G4191*'Analyse capacite'!$E$8</f>
        <v>0</v>
      </c>
    </row>
    <row r="4192" customFormat="false" ht="15" hidden="false" customHeight="false" outlineLevel="0" collapsed="false">
      <c r="B4192" s="130" t="n">
        <v>2027</v>
      </c>
      <c r="C4192" s="131" t="s">
        <v>249</v>
      </c>
      <c r="D4192" s="132" t="n">
        <v>46594</v>
      </c>
      <c r="E4192" s="131" t="s">
        <v>36</v>
      </c>
      <c r="F4192" s="133" t="s">
        <v>24</v>
      </c>
      <c r="G4192" s="134" t="n">
        <f aca="false">LEN('Saisie programme'!$D$141)+SUMIFS('Vols additionnels'!$E$7:$E$66,'Vols additionnels'!$C$7:$C$66,$E4192,'Vols additionnels'!$D$7:$D$66,$F4192,'Vols additionnels'!$B$7:$B$66,$D4192)</f>
        <v>1</v>
      </c>
      <c r="H4192" s="135" t="n">
        <f aca="false">$G4192*'Analyse capacite'!$F$9</f>
        <v>174</v>
      </c>
      <c r="I4192" s="135" t="n">
        <f aca="false">$G4192*'Analyse capacite'!$C$9</f>
        <v>0</v>
      </c>
      <c r="J4192" s="135" t="n">
        <f aca="false">$G4192*'Analyse capacite'!$D$9</f>
        <v>12</v>
      </c>
      <c r="K4192" s="135" t="n">
        <f aca="false">$G4192*'Analyse capacite'!$E$9</f>
        <v>162</v>
      </c>
    </row>
    <row r="4193" customFormat="false" ht="15" hidden="false" customHeight="false" outlineLevel="0" collapsed="false">
      <c r="B4193" s="130" t="n">
        <v>2027</v>
      </c>
      <c r="C4193" s="131" t="s">
        <v>249</v>
      </c>
      <c r="D4193" s="132" t="n">
        <v>46594</v>
      </c>
      <c r="E4193" s="131" t="s">
        <v>40</v>
      </c>
      <c r="F4193" s="133" t="s">
        <v>11</v>
      </c>
      <c r="G4193" s="134" t="n">
        <f aca="false">LEN('Saisie programme'!$D$142)+SUMIFS('Vols additionnels'!$E$7:$E$66,'Vols additionnels'!$C$7:$C$66,$E4193,'Vols additionnels'!$D$7:$D$66,$F4193,'Vols additionnels'!$B$7:$B$66,$D4193)</f>
        <v>0</v>
      </c>
      <c r="H4193" s="135" t="n">
        <f aca="false">$G4193*'Analyse capacite'!$F$7</f>
        <v>0</v>
      </c>
      <c r="I4193" s="135" t="n">
        <f aca="false">$G4193*'Analyse capacite'!$C$7</f>
        <v>0</v>
      </c>
      <c r="J4193" s="135" t="n">
        <f aca="false">$G4193*'Analyse capacite'!$D$7</f>
        <v>0</v>
      </c>
      <c r="K4193" s="135" t="n">
        <f aca="false">$G4193*'Analyse capacite'!$E$7</f>
        <v>0</v>
      </c>
    </row>
    <row r="4194" customFormat="false" ht="15" hidden="false" customHeight="false" outlineLevel="0" collapsed="false">
      <c r="B4194" s="130" t="n">
        <v>2027</v>
      </c>
      <c r="C4194" s="131" t="s">
        <v>249</v>
      </c>
      <c r="D4194" s="132" t="n">
        <v>46594</v>
      </c>
      <c r="E4194" s="131" t="s">
        <v>40</v>
      </c>
      <c r="F4194" s="133" t="s">
        <v>19</v>
      </c>
      <c r="G4194" s="134" t="n">
        <f aca="false">LEN('Saisie programme'!$D$143)+SUMIFS('Vols additionnels'!$E$7:$E$66,'Vols additionnels'!$C$7:$C$66,$E4194,'Vols additionnels'!$D$7:$D$66,$F4194,'Vols additionnels'!$B$7:$B$66,$D4194)</f>
        <v>0</v>
      </c>
      <c r="H4194" s="135" t="n">
        <f aca="false">$G4194*'Analyse capacite'!$F$8</f>
        <v>0</v>
      </c>
      <c r="I4194" s="135" t="n">
        <f aca="false">$G4194*'Analyse capacite'!$C$8</f>
        <v>0</v>
      </c>
      <c r="J4194" s="135" t="n">
        <f aca="false">$G4194*'Analyse capacite'!$D$8</f>
        <v>0</v>
      </c>
      <c r="K4194" s="135" t="n">
        <f aca="false">$G4194*'Analyse capacite'!$E$8</f>
        <v>0</v>
      </c>
    </row>
    <row r="4195" customFormat="false" ht="15" hidden="false" customHeight="false" outlineLevel="0" collapsed="false">
      <c r="B4195" s="130" t="n">
        <v>2027</v>
      </c>
      <c r="C4195" s="131" t="s">
        <v>249</v>
      </c>
      <c r="D4195" s="132" t="n">
        <v>46594</v>
      </c>
      <c r="E4195" s="131" t="s">
        <v>40</v>
      </c>
      <c r="F4195" s="133" t="s">
        <v>24</v>
      </c>
      <c r="G4195" s="134" t="n">
        <f aca="false">LEN('Saisie programme'!$D$144)+SUMIFS('Vols additionnels'!$E$7:$E$66,'Vols additionnels'!$C$7:$C$66,$E4195,'Vols additionnels'!$D$7:$D$66,$F4195,'Vols additionnels'!$B$7:$B$66,$D4195)</f>
        <v>1</v>
      </c>
      <c r="H4195" s="135" t="n">
        <f aca="false">$G4195*'Analyse capacite'!$F$9</f>
        <v>174</v>
      </c>
      <c r="I4195" s="135" t="n">
        <f aca="false">$G4195*'Analyse capacite'!$C$9</f>
        <v>0</v>
      </c>
      <c r="J4195" s="135" t="n">
        <f aca="false">$G4195*'Analyse capacite'!$D$9</f>
        <v>12</v>
      </c>
      <c r="K4195" s="135" t="n">
        <f aca="false">$G4195*'Analyse capacite'!$E$9</f>
        <v>162</v>
      </c>
    </row>
    <row r="4196" customFormat="false" ht="15" hidden="false" customHeight="false" outlineLevel="0" collapsed="false">
      <c r="B4196" s="130" t="n">
        <v>2027</v>
      </c>
      <c r="C4196" s="131" t="s">
        <v>249</v>
      </c>
      <c r="D4196" s="132" t="n">
        <v>46594</v>
      </c>
      <c r="E4196" s="131" t="s">
        <v>14</v>
      </c>
      <c r="F4196" s="133" t="s">
        <v>11</v>
      </c>
      <c r="G4196" s="134" t="n">
        <f aca="false">LEN('Saisie programme'!$D$145)+SUMIFS('Vols additionnels'!$E$7:$E$66,'Vols additionnels'!$C$7:$C$66,$E4196,'Vols additionnels'!$D$7:$D$66,$F4196,'Vols additionnels'!$B$7:$B$66,$D4196)</f>
        <v>0</v>
      </c>
      <c r="H4196" s="135" t="n">
        <f aca="false">$G4196*'Analyse capacite'!$F$7</f>
        <v>0</v>
      </c>
      <c r="I4196" s="135" t="n">
        <f aca="false">$G4196*'Analyse capacite'!$C$7</f>
        <v>0</v>
      </c>
      <c r="J4196" s="135" t="n">
        <f aca="false">$G4196*'Analyse capacite'!$D$7</f>
        <v>0</v>
      </c>
      <c r="K4196" s="135" t="n">
        <f aca="false">$G4196*'Analyse capacite'!$E$7</f>
        <v>0</v>
      </c>
    </row>
    <row r="4197" customFormat="false" ht="15" hidden="false" customHeight="false" outlineLevel="0" collapsed="false">
      <c r="B4197" s="130" t="n">
        <v>2027</v>
      </c>
      <c r="C4197" s="131" t="s">
        <v>249</v>
      </c>
      <c r="D4197" s="132" t="n">
        <v>46594</v>
      </c>
      <c r="E4197" s="131" t="s">
        <v>14</v>
      </c>
      <c r="F4197" s="133" t="s">
        <v>19</v>
      </c>
      <c r="G4197" s="134" t="n">
        <f aca="false">LEN('Saisie programme'!$D$146)+SUMIFS('Vols additionnels'!$E$7:$E$66,'Vols additionnels'!$C$7:$C$66,$E4197,'Vols additionnels'!$D$7:$D$66,$F4197,'Vols additionnels'!$B$7:$B$66,$D4197)</f>
        <v>0</v>
      </c>
      <c r="H4197" s="135" t="n">
        <f aca="false">$G4197*'Analyse capacite'!$F$8</f>
        <v>0</v>
      </c>
      <c r="I4197" s="135" t="n">
        <f aca="false">$G4197*'Analyse capacite'!$C$8</f>
        <v>0</v>
      </c>
      <c r="J4197" s="135" t="n">
        <f aca="false">$G4197*'Analyse capacite'!$D$8</f>
        <v>0</v>
      </c>
      <c r="K4197" s="135" t="n">
        <f aca="false">$G4197*'Analyse capacite'!$E$8</f>
        <v>0</v>
      </c>
    </row>
    <row r="4198" customFormat="false" ht="15" hidden="false" customHeight="false" outlineLevel="0" collapsed="false">
      <c r="B4198" s="130" t="n">
        <v>2027</v>
      </c>
      <c r="C4198" s="131" t="s">
        <v>249</v>
      </c>
      <c r="D4198" s="132" t="n">
        <v>46594</v>
      </c>
      <c r="E4198" s="131" t="s">
        <v>14</v>
      </c>
      <c r="F4198" s="133" t="s">
        <v>24</v>
      </c>
      <c r="G4198" s="134" t="n">
        <f aca="false">LEN('Saisie programme'!$D$147)+SUMIFS('Vols additionnels'!$E$7:$E$66,'Vols additionnels'!$C$7:$C$66,$E4198,'Vols additionnels'!$D$7:$D$66,$F4198,'Vols additionnels'!$B$7:$B$66,$D4198)</f>
        <v>1</v>
      </c>
      <c r="H4198" s="135" t="n">
        <f aca="false">$G4198*'Analyse capacite'!$F$9</f>
        <v>174</v>
      </c>
      <c r="I4198" s="135" t="n">
        <f aca="false">$G4198*'Analyse capacite'!$C$9</f>
        <v>0</v>
      </c>
      <c r="J4198" s="135" t="n">
        <f aca="false">$G4198*'Analyse capacite'!$D$9</f>
        <v>12</v>
      </c>
      <c r="K4198" s="135" t="n">
        <f aca="false">$G4198*'Analyse capacite'!$E$9</f>
        <v>162</v>
      </c>
    </row>
    <row r="4199" customFormat="false" ht="15" hidden="false" customHeight="false" outlineLevel="0" collapsed="false">
      <c r="B4199" s="130" t="n">
        <v>2027</v>
      </c>
      <c r="C4199" s="131" t="s">
        <v>249</v>
      </c>
      <c r="D4199" s="132" t="n">
        <v>46594</v>
      </c>
      <c r="E4199" s="131" t="s">
        <v>46</v>
      </c>
      <c r="F4199" s="133" t="s">
        <v>11</v>
      </c>
      <c r="G4199" s="134" t="n">
        <f aca="false">LEN('Saisie programme'!$D$148)+SUMIFS('Vols additionnels'!$E$7:$E$66,'Vols additionnels'!$C$7:$C$66,$E4199,'Vols additionnels'!$D$7:$D$66,$F4199,'Vols additionnels'!$B$7:$B$66,$D4199)</f>
        <v>0</v>
      </c>
      <c r="H4199" s="135" t="n">
        <f aca="false">$G4199*'Analyse capacite'!$F$7</f>
        <v>0</v>
      </c>
      <c r="I4199" s="135" t="n">
        <f aca="false">$G4199*'Analyse capacite'!$C$7</f>
        <v>0</v>
      </c>
      <c r="J4199" s="135" t="n">
        <f aca="false">$G4199*'Analyse capacite'!$D$7</f>
        <v>0</v>
      </c>
      <c r="K4199" s="135" t="n">
        <f aca="false">$G4199*'Analyse capacite'!$E$7</f>
        <v>0</v>
      </c>
    </row>
    <row r="4200" customFormat="false" ht="15" hidden="false" customHeight="false" outlineLevel="0" collapsed="false">
      <c r="B4200" s="130" t="n">
        <v>2027</v>
      </c>
      <c r="C4200" s="131" t="s">
        <v>249</v>
      </c>
      <c r="D4200" s="132" t="n">
        <v>46594</v>
      </c>
      <c r="E4200" s="131" t="s">
        <v>46</v>
      </c>
      <c r="F4200" s="133" t="s">
        <v>19</v>
      </c>
      <c r="G4200" s="134" t="n">
        <f aca="false">LEN('Saisie programme'!$D$149)+SUMIFS('Vols additionnels'!$E$7:$E$66,'Vols additionnels'!$C$7:$C$66,$E4200,'Vols additionnels'!$D$7:$D$66,$F4200,'Vols additionnels'!$B$7:$B$66,$D4200)</f>
        <v>0</v>
      </c>
      <c r="H4200" s="135" t="n">
        <f aca="false">$G4200*'Analyse capacite'!$F$8</f>
        <v>0</v>
      </c>
      <c r="I4200" s="135" t="n">
        <f aca="false">$G4200*'Analyse capacite'!$C$8</f>
        <v>0</v>
      </c>
      <c r="J4200" s="135" t="n">
        <f aca="false">$G4200*'Analyse capacite'!$D$8</f>
        <v>0</v>
      </c>
      <c r="K4200" s="135" t="n">
        <f aca="false">$G4200*'Analyse capacite'!$E$8</f>
        <v>0</v>
      </c>
    </row>
    <row r="4201" customFormat="false" ht="15" hidden="false" customHeight="false" outlineLevel="0" collapsed="false">
      <c r="B4201" s="130" t="n">
        <v>2027</v>
      </c>
      <c r="C4201" s="131" t="s">
        <v>249</v>
      </c>
      <c r="D4201" s="132" t="n">
        <v>46594</v>
      </c>
      <c r="E4201" s="131" t="s">
        <v>46</v>
      </c>
      <c r="F4201" s="133" t="s">
        <v>24</v>
      </c>
      <c r="G4201" s="134" t="n">
        <f aca="false">LEN('Saisie programme'!$D$150)+SUMIFS('Vols additionnels'!$E$7:$E$66,'Vols additionnels'!$C$7:$C$66,$E4201,'Vols additionnels'!$D$7:$D$66,$F4201,'Vols additionnels'!$B$7:$B$66,$D4201)</f>
        <v>0</v>
      </c>
      <c r="H4201" s="135" t="n">
        <f aca="false">$G4201*'Analyse capacite'!$F$9</f>
        <v>0</v>
      </c>
      <c r="I4201" s="135" t="n">
        <f aca="false">$G4201*'Analyse capacite'!$C$9</f>
        <v>0</v>
      </c>
      <c r="J4201" s="135" t="n">
        <f aca="false">$G4201*'Analyse capacite'!$D$9</f>
        <v>0</v>
      </c>
      <c r="K4201" s="135" t="n">
        <f aca="false">$G4201*'Analyse capacite'!$E$9</f>
        <v>0</v>
      </c>
    </row>
    <row r="4202" customFormat="false" ht="15" hidden="false" customHeight="false" outlineLevel="0" collapsed="false">
      <c r="B4202" s="130" t="n">
        <v>2027</v>
      </c>
      <c r="C4202" s="131" t="s">
        <v>249</v>
      </c>
      <c r="D4202" s="132" t="n">
        <v>46594</v>
      </c>
      <c r="E4202" s="131" t="s">
        <v>49</v>
      </c>
      <c r="F4202" s="133" t="s">
        <v>11</v>
      </c>
      <c r="G4202" s="134" t="n">
        <f aca="false">LEN('Saisie programme'!$D$151)+SUMIFS('Vols additionnels'!$E$7:$E$66,'Vols additionnels'!$C$7:$C$66,$E4202,'Vols additionnels'!$D$7:$D$66,$F4202,'Vols additionnels'!$B$7:$B$66,$D4202)</f>
        <v>0</v>
      </c>
      <c r="H4202" s="135" t="n">
        <f aca="false">$G4202*'Analyse capacite'!$F$7</f>
        <v>0</v>
      </c>
      <c r="I4202" s="135" t="n">
        <f aca="false">$G4202*'Analyse capacite'!$C$7</f>
        <v>0</v>
      </c>
      <c r="J4202" s="135" t="n">
        <f aca="false">$G4202*'Analyse capacite'!$D$7</f>
        <v>0</v>
      </c>
      <c r="K4202" s="135" t="n">
        <f aca="false">$G4202*'Analyse capacite'!$E$7</f>
        <v>0</v>
      </c>
    </row>
    <row r="4203" customFormat="false" ht="15" hidden="false" customHeight="false" outlineLevel="0" collapsed="false">
      <c r="B4203" s="130" t="n">
        <v>2027</v>
      </c>
      <c r="C4203" s="131" t="s">
        <v>249</v>
      </c>
      <c r="D4203" s="132" t="n">
        <v>46594</v>
      </c>
      <c r="E4203" s="131" t="s">
        <v>49</v>
      </c>
      <c r="F4203" s="133" t="s">
        <v>19</v>
      </c>
      <c r="G4203" s="134" t="n">
        <f aca="false">LEN('Saisie programme'!$D$152)+SUMIFS('Vols additionnels'!$E$7:$E$66,'Vols additionnels'!$C$7:$C$66,$E4203,'Vols additionnels'!$D$7:$D$66,$F4203,'Vols additionnels'!$B$7:$B$66,$D4203)</f>
        <v>1</v>
      </c>
      <c r="H4203" s="135" t="n">
        <f aca="false">$G4203*'Analyse capacite'!$F$8</f>
        <v>262</v>
      </c>
      <c r="I4203" s="135" t="n">
        <f aca="false">$G4203*'Analyse capacite'!$C$8</f>
        <v>18</v>
      </c>
      <c r="J4203" s="135" t="n">
        <f aca="false">$G4203*'Analyse capacite'!$D$8</f>
        <v>0</v>
      </c>
      <c r="K4203" s="135" t="n">
        <f aca="false">$G4203*'Analyse capacite'!$E$8</f>
        <v>244</v>
      </c>
    </row>
    <row r="4204" customFormat="false" ht="15" hidden="false" customHeight="false" outlineLevel="0" collapsed="false">
      <c r="B4204" s="130" t="n">
        <v>2027</v>
      </c>
      <c r="C4204" s="131" t="s">
        <v>249</v>
      </c>
      <c r="D4204" s="132" t="n">
        <v>46594</v>
      </c>
      <c r="E4204" s="131" t="s">
        <v>49</v>
      </c>
      <c r="F4204" s="133" t="s">
        <v>24</v>
      </c>
      <c r="G4204" s="134" t="n">
        <f aca="false">LEN('Saisie programme'!$D$153)+SUMIFS('Vols additionnels'!$E$7:$E$66,'Vols additionnels'!$C$7:$C$66,$E4204,'Vols additionnels'!$D$7:$D$66,$F4204,'Vols additionnels'!$B$7:$B$66,$D4204)</f>
        <v>0</v>
      </c>
      <c r="H4204" s="135" t="n">
        <f aca="false">$G4204*'Analyse capacite'!$F$9</f>
        <v>0</v>
      </c>
      <c r="I4204" s="135" t="n">
        <f aca="false">$G4204*'Analyse capacite'!$C$9</f>
        <v>0</v>
      </c>
      <c r="J4204" s="135" t="n">
        <f aca="false">$G4204*'Analyse capacite'!$D$9</f>
        <v>0</v>
      </c>
      <c r="K4204" s="135" t="n">
        <f aca="false">$G4204*'Analyse capacite'!$E$9</f>
        <v>0</v>
      </c>
    </row>
    <row r="4205" customFormat="false" ht="15" hidden="false" customHeight="false" outlineLevel="0" collapsed="false">
      <c r="B4205" s="130" t="n">
        <v>2027</v>
      </c>
      <c r="C4205" s="131" t="s">
        <v>249</v>
      </c>
      <c r="D4205" s="132" t="n">
        <v>46594</v>
      </c>
      <c r="E4205" s="131" t="s">
        <v>53</v>
      </c>
      <c r="F4205" s="133" t="s">
        <v>11</v>
      </c>
      <c r="G4205" s="134" t="n">
        <f aca="false">LEN('Saisie programme'!$D$154)+SUMIFS('Vols additionnels'!$E$7:$E$66,'Vols additionnels'!$C$7:$C$66,$E4205,'Vols additionnels'!$D$7:$D$66,$F4205,'Vols additionnels'!$B$7:$B$66,$D4205)</f>
        <v>0</v>
      </c>
      <c r="H4205" s="135" t="n">
        <f aca="false">$G4205*'Analyse capacite'!$F$7</f>
        <v>0</v>
      </c>
      <c r="I4205" s="135" t="n">
        <f aca="false">$G4205*'Analyse capacite'!$C$7</f>
        <v>0</v>
      </c>
      <c r="J4205" s="135" t="n">
        <f aca="false">$G4205*'Analyse capacite'!$D$7</f>
        <v>0</v>
      </c>
      <c r="K4205" s="135" t="n">
        <f aca="false">$G4205*'Analyse capacite'!$E$7</f>
        <v>0</v>
      </c>
    </row>
    <row r="4206" customFormat="false" ht="15" hidden="false" customHeight="false" outlineLevel="0" collapsed="false">
      <c r="B4206" s="130" t="n">
        <v>2027</v>
      </c>
      <c r="C4206" s="131" t="s">
        <v>249</v>
      </c>
      <c r="D4206" s="132" t="n">
        <v>46594</v>
      </c>
      <c r="E4206" s="131" t="s">
        <v>53</v>
      </c>
      <c r="F4206" s="133" t="s">
        <v>19</v>
      </c>
      <c r="G4206" s="134" t="n">
        <f aca="false">LEN('Saisie programme'!$D$155)+SUMIFS('Vols additionnels'!$E$7:$E$66,'Vols additionnels'!$C$7:$C$66,$E4206,'Vols additionnels'!$D$7:$D$66,$F4206,'Vols additionnels'!$B$7:$B$66,$D4206)</f>
        <v>0</v>
      </c>
      <c r="H4206" s="135" t="n">
        <f aca="false">$G4206*'Analyse capacite'!$F$8</f>
        <v>0</v>
      </c>
      <c r="I4206" s="135" t="n">
        <f aca="false">$G4206*'Analyse capacite'!$C$8</f>
        <v>0</v>
      </c>
      <c r="J4206" s="135" t="n">
        <f aca="false">$G4206*'Analyse capacite'!$D$8</f>
        <v>0</v>
      </c>
      <c r="K4206" s="135" t="n">
        <f aca="false">$G4206*'Analyse capacite'!$E$8</f>
        <v>0</v>
      </c>
    </row>
    <row r="4207" customFormat="false" ht="15" hidden="false" customHeight="false" outlineLevel="0" collapsed="false">
      <c r="B4207" s="130" t="n">
        <v>2027</v>
      </c>
      <c r="C4207" s="131" t="s">
        <v>249</v>
      </c>
      <c r="D4207" s="132" t="n">
        <v>46594</v>
      </c>
      <c r="E4207" s="131" t="s">
        <v>53</v>
      </c>
      <c r="F4207" s="133" t="s">
        <v>24</v>
      </c>
      <c r="G4207" s="134" t="n">
        <f aca="false">LEN('Saisie programme'!$D$156)+SUMIFS('Vols additionnels'!$E$7:$E$66,'Vols additionnels'!$C$7:$C$66,$E4207,'Vols additionnels'!$D$7:$D$66,$F4207,'Vols additionnels'!$B$7:$B$66,$D4207)</f>
        <v>0</v>
      </c>
      <c r="H4207" s="135" t="n">
        <f aca="false">$G4207*'Analyse capacite'!$F$9</f>
        <v>0</v>
      </c>
      <c r="I4207" s="135" t="n">
        <f aca="false">$G4207*'Analyse capacite'!$C$9</f>
        <v>0</v>
      </c>
      <c r="J4207" s="135" t="n">
        <f aca="false">$G4207*'Analyse capacite'!$D$9</f>
        <v>0</v>
      </c>
      <c r="K4207" s="135" t="n">
        <f aca="false">$G4207*'Analyse capacite'!$E$9</f>
        <v>0</v>
      </c>
    </row>
    <row r="4208" customFormat="false" ht="15" hidden="false" customHeight="false" outlineLevel="0" collapsed="false">
      <c r="B4208" s="130" t="n">
        <v>2027</v>
      </c>
      <c r="C4208" s="131" t="s">
        <v>249</v>
      </c>
      <c r="D4208" s="132" t="n">
        <v>46594</v>
      </c>
      <c r="E4208" s="131" t="s">
        <v>56</v>
      </c>
      <c r="F4208" s="133" t="s">
        <v>11</v>
      </c>
      <c r="G4208" s="134" t="n">
        <f aca="false">LEN('Saisie programme'!$D$157)+SUMIFS('Vols additionnels'!$E$7:$E$66,'Vols additionnels'!$C$7:$C$66,$E4208,'Vols additionnels'!$D$7:$D$66,$F4208,'Vols additionnels'!$B$7:$B$66,$D4208)</f>
        <v>0</v>
      </c>
      <c r="H4208" s="135" t="n">
        <f aca="false">$G4208*'Analyse capacite'!$F$7</f>
        <v>0</v>
      </c>
      <c r="I4208" s="135" t="n">
        <f aca="false">$G4208*'Analyse capacite'!$C$7</f>
        <v>0</v>
      </c>
      <c r="J4208" s="135" t="n">
        <f aca="false">$G4208*'Analyse capacite'!$D$7</f>
        <v>0</v>
      </c>
      <c r="K4208" s="135" t="n">
        <f aca="false">$G4208*'Analyse capacite'!$E$7</f>
        <v>0</v>
      </c>
    </row>
    <row r="4209" customFormat="false" ht="15" hidden="false" customHeight="false" outlineLevel="0" collapsed="false">
      <c r="B4209" s="130" t="n">
        <v>2027</v>
      </c>
      <c r="C4209" s="131" t="s">
        <v>249</v>
      </c>
      <c r="D4209" s="132" t="n">
        <v>46594</v>
      </c>
      <c r="E4209" s="131" t="s">
        <v>56</v>
      </c>
      <c r="F4209" s="133" t="s">
        <v>19</v>
      </c>
      <c r="G4209" s="134" t="n">
        <f aca="false">LEN('Saisie programme'!$D$158)+SUMIFS('Vols additionnels'!$E$7:$E$66,'Vols additionnels'!$C$7:$C$66,$E4209,'Vols additionnels'!$D$7:$D$66,$F4209,'Vols additionnels'!$B$7:$B$66,$D4209)</f>
        <v>0</v>
      </c>
      <c r="H4209" s="135" t="n">
        <f aca="false">$G4209*'Analyse capacite'!$F$8</f>
        <v>0</v>
      </c>
      <c r="I4209" s="135" t="n">
        <f aca="false">$G4209*'Analyse capacite'!$C$8</f>
        <v>0</v>
      </c>
      <c r="J4209" s="135" t="n">
        <f aca="false">$G4209*'Analyse capacite'!$D$8</f>
        <v>0</v>
      </c>
      <c r="K4209" s="135" t="n">
        <f aca="false">$G4209*'Analyse capacite'!$E$8</f>
        <v>0</v>
      </c>
    </row>
    <row r="4210" customFormat="false" ht="15" hidden="false" customHeight="false" outlineLevel="0" collapsed="false">
      <c r="B4210" s="130" t="n">
        <v>2027</v>
      </c>
      <c r="C4210" s="131" t="s">
        <v>249</v>
      </c>
      <c r="D4210" s="132" t="n">
        <v>46594</v>
      </c>
      <c r="E4210" s="131" t="s">
        <v>56</v>
      </c>
      <c r="F4210" s="133" t="s">
        <v>24</v>
      </c>
      <c r="G4210" s="134" t="n">
        <f aca="false">LEN('Saisie programme'!$D$159)+SUMIFS('Vols additionnels'!$E$7:$E$66,'Vols additionnels'!$C$7:$C$66,$E4210,'Vols additionnels'!$D$7:$D$66,$F4210,'Vols additionnels'!$B$7:$B$66,$D4210)</f>
        <v>0</v>
      </c>
      <c r="H4210" s="135" t="n">
        <f aca="false">$G4210*'Analyse capacite'!$F$9</f>
        <v>0</v>
      </c>
      <c r="I4210" s="135" t="n">
        <f aca="false">$G4210*'Analyse capacite'!$C$9</f>
        <v>0</v>
      </c>
      <c r="J4210" s="135" t="n">
        <f aca="false">$G4210*'Analyse capacite'!$D$9</f>
        <v>0</v>
      </c>
      <c r="K4210" s="135" t="n">
        <f aca="false">$G4210*'Analyse capacite'!$E$9</f>
        <v>0</v>
      </c>
    </row>
    <row r="4211" customFormat="false" ht="15" hidden="false" customHeight="false" outlineLevel="0" collapsed="false">
      <c r="B4211" s="130" t="n">
        <v>2027</v>
      </c>
      <c r="C4211" s="131" t="s">
        <v>249</v>
      </c>
      <c r="D4211" s="132" t="n">
        <v>46594</v>
      </c>
      <c r="E4211" s="131" t="s">
        <v>59</v>
      </c>
      <c r="F4211" s="133" t="s">
        <v>11</v>
      </c>
      <c r="G4211" s="134" t="n">
        <f aca="false">LEN('Saisie programme'!$D$160)+SUMIFS('Vols additionnels'!$E$7:$E$66,'Vols additionnels'!$C$7:$C$66,$E4211,'Vols additionnels'!$D$7:$D$66,$F4211,'Vols additionnels'!$B$7:$B$66,$D4211)</f>
        <v>0</v>
      </c>
      <c r="H4211" s="135" t="n">
        <f aca="false">$G4211*'Analyse capacite'!$F$7</f>
        <v>0</v>
      </c>
      <c r="I4211" s="135" t="n">
        <f aca="false">$G4211*'Analyse capacite'!$C$7</f>
        <v>0</v>
      </c>
      <c r="J4211" s="135" t="n">
        <f aca="false">$G4211*'Analyse capacite'!$D$7</f>
        <v>0</v>
      </c>
      <c r="K4211" s="135" t="n">
        <f aca="false">$G4211*'Analyse capacite'!$E$7</f>
        <v>0</v>
      </c>
    </row>
    <row r="4212" customFormat="false" ht="15" hidden="false" customHeight="false" outlineLevel="0" collapsed="false">
      <c r="B4212" s="130" t="n">
        <v>2027</v>
      </c>
      <c r="C4212" s="131" t="s">
        <v>249</v>
      </c>
      <c r="D4212" s="132" t="n">
        <v>46594</v>
      </c>
      <c r="E4212" s="131" t="s">
        <v>59</v>
      </c>
      <c r="F4212" s="133" t="s">
        <v>19</v>
      </c>
      <c r="G4212" s="134" t="n">
        <f aca="false">LEN('Saisie programme'!$D$161)+SUMIFS('Vols additionnels'!$E$7:$E$66,'Vols additionnels'!$C$7:$C$66,$E4212,'Vols additionnels'!$D$7:$D$66,$F4212,'Vols additionnels'!$B$7:$B$66,$D4212)</f>
        <v>0</v>
      </c>
      <c r="H4212" s="135" t="n">
        <f aca="false">$G4212*'Analyse capacite'!$F$8</f>
        <v>0</v>
      </c>
      <c r="I4212" s="135" t="n">
        <f aca="false">$G4212*'Analyse capacite'!$C$8</f>
        <v>0</v>
      </c>
      <c r="J4212" s="135" t="n">
        <f aca="false">$G4212*'Analyse capacite'!$D$8</f>
        <v>0</v>
      </c>
      <c r="K4212" s="135" t="n">
        <f aca="false">$G4212*'Analyse capacite'!$E$8</f>
        <v>0</v>
      </c>
    </row>
    <row r="4213" customFormat="false" ht="15" hidden="false" customHeight="false" outlineLevel="0" collapsed="false">
      <c r="B4213" s="130" t="n">
        <v>2027</v>
      </c>
      <c r="C4213" s="131" t="s">
        <v>249</v>
      </c>
      <c r="D4213" s="132" t="n">
        <v>46594</v>
      </c>
      <c r="E4213" s="131" t="s">
        <v>59</v>
      </c>
      <c r="F4213" s="133" t="s">
        <v>24</v>
      </c>
      <c r="G4213" s="134" t="n">
        <f aca="false">LEN('Saisie programme'!$D$162)+SUMIFS('Vols additionnels'!$E$7:$E$66,'Vols additionnels'!$C$7:$C$66,$E4213,'Vols additionnels'!$D$7:$D$66,$F4213,'Vols additionnels'!$B$7:$B$66,$D4213)</f>
        <v>1</v>
      </c>
      <c r="H4213" s="135" t="n">
        <f aca="false">$G4213*'Analyse capacite'!$F$9</f>
        <v>174</v>
      </c>
      <c r="I4213" s="135" t="n">
        <f aca="false">$G4213*'Analyse capacite'!$C$9</f>
        <v>0</v>
      </c>
      <c r="J4213" s="135" t="n">
        <f aca="false">$G4213*'Analyse capacite'!$D$9</f>
        <v>12</v>
      </c>
      <c r="K4213" s="135" t="n">
        <f aca="false">$G4213*'Analyse capacite'!$E$9</f>
        <v>162</v>
      </c>
    </row>
    <row r="4214" customFormat="false" ht="15" hidden="false" customHeight="false" outlineLevel="0" collapsed="false">
      <c r="B4214" s="130" t="n">
        <v>2027</v>
      </c>
      <c r="C4214" s="131" t="s">
        <v>249</v>
      </c>
      <c r="D4214" s="132" t="n">
        <v>46594</v>
      </c>
      <c r="E4214" s="131" t="s">
        <v>62</v>
      </c>
      <c r="F4214" s="133" t="s">
        <v>11</v>
      </c>
      <c r="G4214" s="134" t="n">
        <f aca="false">LEN('Saisie programme'!$D$163)+SUMIFS('Vols additionnels'!$E$7:$E$66,'Vols additionnels'!$C$7:$C$66,$E4214,'Vols additionnels'!$D$7:$D$66,$F4214,'Vols additionnels'!$B$7:$B$66,$D4214)</f>
        <v>0</v>
      </c>
      <c r="H4214" s="135" t="n">
        <f aca="false">$G4214*'Analyse capacite'!$F$7</f>
        <v>0</v>
      </c>
      <c r="I4214" s="135" t="n">
        <f aca="false">$G4214*'Analyse capacite'!$C$7</f>
        <v>0</v>
      </c>
      <c r="J4214" s="135" t="n">
        <f aca="false">$G4214*'Analyse capacite'!$D$7</f>
        <v>0</v>
      </c>
      <c r="K4214" s="135" t="n">
        <f aca="false">$G4214*'Analyse capacite'!$E$7</f>
        <v>0</v>
      </c>
    </row>
    <row r="4215" customFormat="false" ht="15" hidden="false" customHeight="false" outlineLevel="0" collapsed="false">
      <c r="B4215" s="130" t="n">
        <v>2027</v>
      </c>
      <c r="C4215" s="131" t="s">
        <v>249</v>
      </c>
      <c r="D4215" s="132" t="n">
        <v>46594</v>
      </c>
      <c r="E4215" s="131" t="s">
        <v>62</v>
      </c>
      <c r="F4215" s="133" t="s">
        <v>19</v>
      </c>
      <c r="G4215" s="134" t="n">
        <f aca="false">LEN('Saisie programme'!$D$164)+SUMIFS('Vols additionnels'!$E$7:$E$66,'Vols additionnels'!$C$7:$C$66,$E4215,'Vols additionnels'!$D$7:$D$66,$F4215,'Vols additionnels'!$B$7:$B$66,$D4215)</f>
        <v>0</v>
      </c>
      <c r="H4215" s="135" t="n">
        <f aca="false">$G4215*'Analyse capacite'!$F$8</f>
        <v>0</v>
      </c>
      <c r="I4215" s="135" t="n">
        <f aca="false">$G4215*'Analyse capacite'!$C$8</f>
        <v>0</v>
      </c>
      <c r="J4215" s="135" t="n">
        <f aca="false">$G4215*'Analyse capacite'!$D$8</f>
        <v>0</v>
      </c>
      <c r="K4215" s="135" t="n">
        <f aca="false">$G4215*'Analyse capacite'!$E$8</f>
        <v>0</v>
      </c>
    </row>
    <row r="4216" customFormat="false" ht="15" hidden="false" customHeight="false" outlineLevel="0" collapsed="false">
      <c r="B4216" s="130" t="n">
        <v>2027</v>
      </c>
      <c r="C4216" s="131" t="s">
        <v>249</v>
      </c>
      <c r="D4216" s="132" t="n">
        <v>46594</v>
      </c>
      <c r="E4216" s="131" t="s">
        <v>62</v>
      </c>
      <c r="F4216" s="133" t="s">
        <v>24</v>
      </c>
      <c r="G4216" s="134" t="n">
        <f aca="false">LEN('Saisie programme'!$D$165)+SUMIFS('Vols additionnels'!$E$7:$E$66,'Vols additionnels'!$C$7:$C$66,$E4216,'Vols additionnels'!$D$7:$D$66,$F4216,'Vols additionnels'!$B$7:$B$66,$D4216)</f>
        <v>0</v>
      </c>
      <c r="H4216" s="135" t="n">
        <f aca="false">$G4216*'Analyse capacite'!$F$9</f>
        <v>0</v>
      </c>
      <c r="I4216" s="135" t="n">
        <f aca="false">$G4216*'Analyse capacite'!$C$9</f>
        <v>0</v>
      </c>
      <c r="J4216" s="135" t="n">
        <f aca="false">$G4216*'Analyse capacite'!$D$9</f>
        <v>0</v>
      </c>
      <c r="K4216" s="135" t="n">
        <f aca="false">$G4216*'Analyse capacite'!$E$9</f>
        <v>0</v>
      </c>
    </row>
    <row r="4217" customFormat="false" ht="15" hidden="false" customHeight="false" outlineLevel="0" collapsed="false">
      <c r="B4217" s="130" t="n">
        <v>2027</v>
      </c>
      <c r="C4217" s="131" t="s">
        <v>249</v>
      </c>
      <c r="D4217" s="132" t="n">
        <v>46595</v>
      </c>
      <c r="E4217" s="131" t="s">
        <v>12</v>
      </c>
      <c r="F4217" s="133" t="s">
        <v>11</v>
      </c>
      <c r="G4217" s="134" t="n">
        <f aca="false">LEN('Saisie programme'!$E$130)+SUMIFS('Vols additionnels'!$E$7:$E$66,'Vols additionnels'!$C$7:$C$66,$E4217,'Vols additionnels'!$D$7:$D$66,$F4217,'Vols additionnels'!$B$7:$B$66,$D4217)</f>
        <v>1</v>
      </c>
      <c r="H4217" s="135" t="n">
        <f aca="false">$G4217*'Analyse capacite'!$F$7</f>
        <v>438</v>
      </c>
      <c r="I4217" s="135" t="n">
        <f aca="false">$G4217*'Analyse capacite'!$C$7</f>
        <v>14</v>
      </c>
      <c r="J4217" s="135" t="n">
        <f aca="false">$G4217*'Analyse capacite'!$D$7</f>
        <v>40</v>
      </c>
      <c r="K4217" s="135" t="n">
        <f aca="false">$G4217*'Analyse capacite'!$E$7</f>
        <v>384</v>
      </c>
    </row>
    <row r="4218" customFormat="false" ht="15" hidden="false" customHeight="false" outlineLevel="0" collapsed="false">
      <c r="B4218" s="130" t="n">
        <v>2027</v>
      </c>
      <c r="C4218" s="131" t="s">
        <v>249</v>
      </c>
      <c r="D4218" s="132" t="n">
        <v>46595</v>
      </c>
      <c r="E4218" s="131" t="s">
        <v>12</v>
      </c>
      <c r="F4218" s="133" t="s">
        <v>19</v>
      </c>
      <c r="G4218" s="134" t="n">
        <f aca="false">LEN('Saisie programme'!$E$131)+SUMIFS('Vols additionnels'!$E$7:$E$66,'Vols additionnels'!$C$7:$C$66,$E4218,'Vols additionnels'!$D$7:$D$66,$F4218,'Vols additionnels'!$B$7:$B$66,$D4218)</f>
        <v>0</v>
      </c>
      <c r="H4218" s="135" t="n">
        <f aca="false">$G4218*'Analyse capacite'!$F$8</f>
        <v>0</v>
      </c>
      <c r="I4218" s="135" t="n">
        <f aca="false">$G4218*'Analyse capacite'!$C$8</f>
        <v>0</v>
      </c>
      <c r="J4218" s="135" t="n">
        <f aca="false">$G4218*'Analyse capacite'!$D$8</f>
        <v>0</v>
      </c>
      <c r="K4218" s="135" t="n">
        <f aca="false">$G4218*'Analyse capacite'!$E$8</f>
        <v>0</v>
      </c>
    </row>
    <row r="4219" customFormat="false" ht="15" hidden="false" customHeight="false" outlineLevel="0" collapsed="false">
      <c r="B4219" s="130" t="n">
        <v>2027</v>
      </c>
      <c r="C4219" s="131" t="s">
        <v>249</v>
      </c>
      <c r="D4219" s="132" t="n">
        <v>46595</v>
      </c>
      <c r="E4219" s="131" t="s">
        <v>12</v>
      </c>
      <c r="F4219" s="133" t="s">
        <v>24</v>
      </c>
      <c r="G4219" s="134" t="n">
        <f aca="false">LEN('Saisie programme'!$E$132)+SUMIFS('Vols additionnels'!$E$7:$E$66,'Vols additionnels'!$C$7:$C$66,$E4219,'Vols additionnels'!$D$7:$D$66,$F4219,'Vols additionnels'!$B$7:$B$66,$D4219)</f>
        <v>0</v>
      </c>
      <c r="H4219" s="135" t="n">
        <f aca="false">$G4219*'Analyse capacite'!$F$9</f>
        <v>0</v>
      </c>
      <c r="I4219" s="135" t="n">
        <f aca="false">$G4219*'Analyse capacite'!$C$9</f>
        <v>0</v>
      </c>
      <c r="J4219" s="135" t="n">
        <f aca="false">$G4219*'Analyse capacite'!$D$9</f>
        <v>0</v>
      </c>
      <c r="K4219" s="135" t="n">
        <f aca="false">$G4219*'Analyse capacite'!$E$9</f>
        <v>0</v>
      </c>
    </row>
    <row r="4220" customFormat="false" ht="15" hidden="false" customHeight="false" outlineLevel="0" collapsed="false">
      <c r="B4220" s="130" t="n">
        <v>2027</v>
      </c>
      <c r="C4220" s="131" t="s">
        <v>249</v>
      </c>
      <c r="D4220" s="132" t="n">
        <v>46595</v>
      </c>
      <c r="E4220" s="131" t="s">
        <v>20</v>
      </c>
      <c r="F4220" s="133" t="s">
        <v>11</v>
      </c>
      <c r="G4220" s="134" t="n">
        <f aca="false">LEN('Saisie programme'!$E$133)+SUMIFS('Vols additionnels'!$E$7:$E$66,'Vols additionnels'!$C$7:$C$66,$E4220,'Vols additionnels'!$D$7:$D$66,$F4220,'Vols additionnels'!$B$7:$B$66,$D4220)</f>
        <v>0</v>
      </c>
      <c r="H4220" s="135" t="n">
        <f aca="false">$G4220*'Analyse capacite'!$F$7</f>
        <v>0</v>
      </c>
      <c r="I4220" s="135" t="n">
        <f aca="false">$G4220*'Analyse capacite'!$C$7</f>
        <v>0</v>
      </c>
      <c r="J4220" s="135" t="n">
        <f aca="false">$G4220*'Analyse capacite'!$D$7</f>
        <v>0</v>
      </c>
      <c r="K4220" s="135" t="n">
        <f aca="false">$G4220*'Analyse capacite'!$E$7</f>
        <v>0</v>
      </c>
    </row>
    <row r="4221" customFormat="false" ht="15" hidden="false" customHeight="false" outlineLevel="0" collapsed="false">
      <c r="B4221" s="130" t="n">
        <v>2027</v>
      </c>
      <c r="C4221" s="131" t="s">
        <v>249</v>
      </c>
      <c r="D4221" s="132" t="n">
        <v>46595</v>
      </c>
      <c r="E4221" s="131" t="s">
        <v>20</v>
      </c>
      <c r="F4221" s="133" t="s">
        <v>19</v>
      </c>
      <c r="G4221" s="134" t="n">
        <f aca="false">LEN('Saisie programme'!$E$134)+SUMIFS('Vols additionnels'!$E$7:$E$66,'Vols additionnels'!$C$7:$C$66,$E4221,'Vols additionnels'!$D$7:$D$66,$F4221,'Vols additionnels'!$B$7:$B$66,$D4221)</f>
        <v>1</v>
      </c>
      <c r="H4221" s="135" t="n">
        <f aca="false">$G4221*'Analyse capacite'!$F$8</f>
        <v>262</v>
      </c>
      <c r="I4221" s="135" t="n">
        <f aca="false">$G4221*'Analyse capacite'!$C$8</f>
        <v>18</v>
      </c>
      <c r="J4221" s="135" t="n">
        <f aca="false">$G4221*'Analyse capacite'!$D$8</f>
        <v>0</v>
      </c>
      <c r="K4221" s="135" t="n">
        <f aca="false">$G4221*'Analyse capacite'!$E$8</f>
        <v>244</v>
      </c>
    </row>
    <row r="4222" customFormat="false" ht="15" hidden="false" customHeight="false" outlineLevel="0" collapsed="false">
      <c r="B4222" s="130" t="n">
        <v>2027</v>
      </c>
      <c r="C4222" s="131" t="s">
        <v>249</v>
      </c>
      <c r="D4222" s="132" t="n">
        <v>46595</v>
      </c>
      <c r="E4222" s="131" t="s">
        <v>20</v>
      </c>
      <c r="F4222" s="133" t="s">
        <v>24</v>
      </c>
      <c r="G4222" s="134" t="n">
        <f aca="false">LEN('Saisie programme'!$E$135)+SUMIFS('Vols additionnels'!$E$7:$E$66,'Vols additionnels'!$C$7:$C$66,$E4222,'Vols additionnels'!$D$7:$D$66,$F4222,'Vols additionnels'!$B$7:$B$66,$D4222)</f>
        <v>0</v>
      </c>
      <c r="H4222" s="135" t="n">
        <f aca="false">$G4222*'Analyse capacite'!$F$9</f>
        <v>0</v>
      </c>
      <c r="I4222" s="135" t="n">
        <f aca="false">$G4222*'Analyse capacite'!$C$9</f>
        <v>0</v>
      </c>
      <c r="J4222" s="135" t="n">
        <f aca="false">$G4222*'Analyse capacite'!$D$9</f>
        <v>0</v>
      </c>
      <c r="K4222" s="135" t="n">
        <f aca="false">$G4222*'Analyse capacite'!$E$9</f>
        <v>0</v>
      </c>
    </row>
    <row r="4223" customFormat="false" ht="15" hidden="false" customHeight="false" outlineLevel="0" collapsed="false">
      <c r="B4223" s="130" t="n">
        <v>2027</v>
      </c>
      <c r="C4223" s="131" t="s">
        <v>249</v>
      </c>
      <c r="D4223" s="132" t="n">
        <v>46595</v>
      </c>
      <c r="E4223" s="131" t="s">
        <v>25</v>
      </c>
      <c r="F4223" s="133" t="s">
        <v>11</v>
      </c>
      <c r="G4223" s="134" t="n">
        <f aca="false">LEN('Saisie programme'!$E$136)+SUMIFS('Vols additionnels'!$E$7:$E$66,'Vols additionnels'!$C$7:$C$66,$E4223,'Vols additionnels'!$D$7:$D$66,$F4223,'Vols additionnels'!$B$7:$B$66,$D4223)</f>
        <v>0</v>
      </c>
      <c r="H4223" s="135" t="n">
        <f aca="false">$G4223*'Analyse capacite'!$F$7</f>
        <v>0</v>
      </c>
      <c r="I4223" s="135" t="n">
        <f aca="false">$G4223*'Analyse capacite'!$C$7</f>
        <v>0</v>
      </c>
      <c r="J4223" s="135" t="n">
        <f aca="false">$G4223*'Analyse capacite'!$D$7</f>
        <v>0</v>
      </c>
      <c r="K4223" s="135" t="n">
        <f aca="false">$G4223*'Analyse capacite'!$E$7</f>
        <v>0</v>
      </c>
    </row>
    <row r="4224" customFormat="false" ht="15" hidden="false" customHeight="false" outlineLevel="0" collapsed="false">
      <c r="B4224" s="130" t="n">
        <v>2027</v>
      </c>
      <c r="C4224" s="131" t="s">
        <v>249</v>
      </c>
      <c r="D4224" s="132" t="n">
        <v>46595</v>
      </c>
      <c r="E4224" s="131" t="s">
        <v>25</v>
      </c>
      <c r="F4224" s="133" t="s">
        <v>19</v>
      </c>
      <c r="G4224" s="134" t="n">
        <f aca="false">LEN('Saisie programme'!$E$137)+SUMIFS('Vols additionnels'!$E$7:$E$66,'Vols additionnels'!$C$7:$C$66,$E4224,'Vols additionnels'!$D$7:$D$66,$F4224,'Vols additionnels'!$B$7:$B$66,$D4224)</f>
        <v>0</v>
      </c>
      <c r="H4224" s="135" t="n">
        <f aca="false">$G4224*'Analyse capacite'!$F$8</f>
        <v>0</v>
      </c>
      <c r="I4224" s="135" t="n">
        <f aca="false">$G4224*'Analyse capacite'!$C$8</f>
        <v>0</v>
      </c>
      <c r="J4224" s="135" t="n">
        <f aca="false">$G4224*'Analyse capacite'!$D$8</f>
        <v>0</v>
      </c>
      <c r="K4224" s="135" t="n">
        <f aca="false">$G4224*'Analyse capacite'!$E$8</f>
        <v>0</v>
      </c>
    </row>
    <row r="4225" customFormat="false" ht="15" hidden="false" customHeight="false" outlineLevel="0" collapsed="false">
      <c r="B4225" s="130" t="n">
        <v>2027</v>
      </c>
      <c r="C4225" s="131" t="s">
        <v>249</v>
      </c>
      <c r="D4225" s="132" t="n">
        <v>46595</v>
      </c>
      <c r="E4225" s="131" t="s">
        <v>25</v>
      </c>
      <c r="F4225" s="133" t="s">
        <v>24</v>
      </c>
      <c r="G4225" s="134" t="n">
        <f aca="false">LEN('Saisie programme'!$E$138)+SUMIFS('Vols additionnels'!$E$7:$E$66,'Vols additionnels'!$C$7:$C$66,$E4225,'Vols additionnels'!$D$7:$D$66,$F4225,'Vols additionnels'!$B$7:$B$66,$D4225)</f>
        <v>0</v>
      </c>
      <c r="H4225" s="135" t="n">
        <f aca="false">$G4225*'Analyse capacite'!$F$9</f>
        <v>0</v>
      </c>
      <c r="I4225" s="135" t="n">
        <f aca="false">$G4225*'Analyse capacite'!$C$9</f>
        <v>0</v>
      </c>
      <c r="J4225" s="135" t="n">
        <f aca="false">$G4225*'Analyse capacite'!$D$9</f>
        <v>0</v>
      </c>
      <c r="K4225" s="135" t="n">
        <f aca="false">$G4225*'Analyse capacite'!$E$9</f>
        <v>0</v>
      </c>
    </row>
    <row r="4226" customFormat="false" ht="15" hidden="false" customHeight="false" outlineLevel="0" collapsed="false">
      <c r="B4226" s="130" t="n">
        <v>2027</v>
      </c>
      <c r="C4226" s="131" t="s">
        <v>249</v>
      </c>
      <c r="D4226" s="132" t="n">
        <v>46595</v>
      </c>
      <c r="E4226" s="131" t="s">
        <v>36</v>
      </c>
      <c r="F4226" s="133" t="s">
        <v>11</v>
      </c>
      <c r="G4226" s="134" t="n">
        <f aca="false">LEN('Saisie programme'!$E$139)+SUMIFS('Vols additionnels'!$E$7:$E$66,'Vols additionnels'!$C$7:$C$66,$E4226,'Vols additionnels'!$D$7:$D$66,$F4226,'Vols additionnels'!$B$7:$B$66,$D4226)</f>
        <v>0</v>
      </c>
      <c r="H4226" s="135" t="n">
        <f aca="false">$G4226*'Analyse capacite'!$F$7</f>
        <v>0</v>
      </c>
      <c r="I4226" s="135" t="n">
        <f aca="false">$G4226*'Analyse capacite'!$C$7</f>
        <v>0</v>
      </c>
      <c r="J4226" s="135" t="n">
        <f aca="false">$G4226*'Analyse capacite'!$D$7</f>
        <v>0</v>
      </c>
      <c r="K4226" s="135" t="n">
        <f aca="false">$G4226*'Analyse capacite'!$E$7</f>
        <v>0</v>
      </c>
    </row>
    <row r="4227" customFormat="false" ht="15" hidden="false" customHeight="false" outlineLevel="0" collapsed="false">
      <c r="B4227" s="130" t="n">
        <v>2027</v>
      </c>
      <c r="C4227" s="131" t="s">
        <v>249</v>
      </c>
      <c r="D4227" s="132" t="n">
        <v>46595</v>
      </c>
      <c r="E4227" s="131" t="s">
        <v>36</v>
      </c>
      <c r="F4227" s="133" t="s">
        <v>19</v>
      </c>
      <c r="G4227" s="134" t="n">
        <f aca="false">LEN('Saisie programme'!$E$140)+SUMIFS('Vols additionnels'!$E$7:$E$66,'Vols additionnels'!$C$7:$C$66,$E4227,'Vols additionnels'!$D$7:$D$66,$F4227,'Vols additionnels'!$B$7:$B$66,$D4227)</f>
        <v>0</v>
      </c>
      <c r="H4227" s="135" t="n">
        <f aca="false">$G4227*'Analyse capacite'!$F$8</f>
        <v>0</v>
      </c>
      <c r="I4227" s="135" t="n">
        <f aca="false">$G4227*'Analyse capacite'!$C$8</f>
        <v>0</v>
      </c>
      <c r="J4227" s="135" t="n">
        <f aca="false">$G4227*'Analyse capacite'!$D$8</f>
        <v>0</v>
      </c>
      <c r="K4227" s="135" t="n">
        <f aca="false">$G4227*'Analyse capacite'!$E$8</f>
        <v>0</v>
      </c>
    </row>
    <row r="4228" customFormat="false" ht="15" hidden="false" customHeight="false" outlineLevel="0" collapsed="false">
      <c r="B4228" s="130" t="n">
        <v>2027</v>
      </c>
      <c r="C4228" s="131" t="s">
        <v>249</v>
      </c>
      <c r="D4228" s="132" t="n">
        <v>46595</v>
      </c>
      <c r="E4228" s="131" t="s">
        <v>36</v>
      </c>
      <c r="F4228" s="133" t="s">
        <v>24</v>
      </c>
      <c r="G4228" s="134" t="n">
        <f aca="false">LEN('Saisie programme'!$E$141)+SUMIFS('Vols additionnels'!$E$7:$E$66,'Vols additionnels'!$C$7:$C$66,$E4228,'Vols additionnels'!$D$7:$D$66,$F4228,'Vols additionnels'!$B$7:$B$66,$D4228)</f>
        <v>1</v>
      </c>
      <c r="H4228" s="135" t="n">
        <f aca="false">$G4228*'Analyse capacite'!$F$9</f>
        <v>174</v>
      </c>
      <c r="I4228" s="135" t="n">
        <f aca="false">$G4228*'Analyse capacite'!$C$9</f>
        <v>0</v>
      </c>
      <c r="J4228" s="135" t="n">
        <f aca="false">$G4228*'Analyse capacite'!$D$9</f>
        <v>12</v>
      </c>
      <c r="K4228" s="135" t="n">
        <f aca="false">$G4228*'Analyse capacite'!$E$9</f>
        <v>162</v>
      </c>
    </row>
    <row r="4229" customFormat="false" ht="15" hidden="false" customHeight="false" outlineLevel="0" collapsed="false">
      <c r="B4229" s="130" t="n">
        <v>2027</v>
      </c>
      <c r="C4229" s="131" t="s">
        <v>249</v>
      </c>
      <c r="D4229" s="132" t="n">
        <v>46595</v>
      </c>
      <c r="E4229" s="131" t="s">
        <v>40</v>
      </c>
      <c r="F4229" s="133" t="s">
        <v>11</v>
      </c>
      <c r="G4229" s="134" t="n">
        <f aca="false">LEN('Saisie programme'!$E$142)+SUMIFS('Vols additionnels'!$E$7:$E$66,'Vols additionnels'!$C$7:$C$66,$E4229,'Vols additionnels'!$D$7:$D$66,$F4229,'Vols additionnels'!$B$7:$B$66,$D4229)</f>
        <v>0</v>
      </c>
      <c r="H4229" s="135" t="n">
        <f aca="false">$G4229*'Analyse capacite'!$F$7</f>
        <v>0</v>
      </c>
      <c r="I4229" s="135" t="n">
        <f aca="false">$G4229*'Analyse capacite'!$C$7</f>
        <v>0</v>
      </c>
      <c r="J4229" s="135" t="n">
        <f aca="false">$G4229*'Analyse capacite'!$D$7</f>
        <v>0</v>
      </c>
      <c r="K4229" s="135" t="n">
        <f aca="false">$G4229*'Analyse capacite'!$E$7</f>
        <v>0</v>
      </c>
    </row>
    <row r="4230" customFormat="false" ht="15" hidden="false" customHeight="false" outlineLevel="0" collapsed="false">
      <c r="B4230" s="130" t="n">
        <v>2027</v>
      </c>
      <c r="C4230" s="131" t="s">
        <v>249</v>
      </c>
      <c r="D4230" s="132" t="n">
        <v>46595</v>
      </c>
      <c r="E4230" s="131" t="s">
        <v>40</v>
      </c>
      <c r="F4230" s="133" t="s">
        <v>19</v>
      </c>
      <c r="G4230" s="134" t="n">
        <f aca="false">LEN('Saisie programme'!$E$143)+SUMIFS('Vols additionnels'!$E$7:$E$66,'Vols additionnels'!$C$7:$C$66,$E4230,'Vols additionnels'!$D$7:$D$66,$F4230,'Vols additionnels'!$B$7:$B$66,$D4230)</f>
        <v>0</v>
      </c>
      <c r="H4230" s="135" t="n">
        <f aca="false">$G4230*'Analyse capacite'!$F$8</f>
        <v>0</v>
      </c>
      <c r="I4230" s="135" t="n">
        <f aca="false">$G4230*'Analyse capacite'!$C$8</f>
        <v>0</v>
      </c>
      <c r="J4230" s="135" t="n">
        <f aca="false">$G4230*'Analyse capacite'!$D$8</f>
        <v>0</v>
      </c>
      <c r="K4230" s="135" t="n">
        <f aca="false">$G4230*'Analyse capacite'!$E$8</f>
        <v>0</v>
      </c>
    </row>
    <row r="4231" customFormat="false" ht="15" hidden="false" customHeight="false" outlineLevel="0" collapsed="false">
      <c r="B4231" s="130" t="n">
        <v>2027</v>
      </c>
      <c r="C4231" s="131" t="s">
        <v>249</v>
      </c>
      <c r="D4231" s="132" t="n">
        <v>46595</v>
      </c>
      <c r="E4231" s="131" t="s">
        <v>40</v>
      </c>
      <c r="F4231" s="133" t="s">
        <v>24</v>
      </c>
      <c r="G4231" s="134" t="n">
        <f aca="false">LEN('Saisie programme'!$E$144)+SUMIFS('Vols additionnels'!$E$7:$E$66,'Vols additionnels'!$C$7:$C$66,$E4231,'Vols additionnels'!$D$7:$D$66,$F4231,'Vols additionnels'!$B$7:$B$66,$D4231)</f>
        <v>0</v>
      </c>
      <c r="H4231" s="135" t="n">
        <f aca="false">$G4231*'Analyse capacite'!$F$9</f>
        <v>0</v>
      </c>
      <c r="I4231" s="135" t="n">
        <f aca="false">$G4231*'Analyse capacite'!$C$9</f>
        <v>0</v>
      </c>
      <c r="J4231" s="135" t="n">
        <f aca="false">$G4231*'Analyse capacite'!$D$9</f>
        <v>0</v>
      </c>
      <c r="K4231" s="135" t="n">
        <f aca="false">$G4231*'Analyse capacite'!$E$9</f>
        <v>0</v>
      </c>
    </row>
    <row r="4232" customFormat="false" ht="15" hidden="false" customHeight="false" outlineLevel="0" collapsed="false">
      <c r="B4232" s="130" t="n">
        <v>2027</v>
      </c>
      <c r="C4232" s="131" t="s">
        <v>249</v>
      </c>
      <c r="D4232" s="132" t="n">
        <v>46595</v>
      </c>
      <c r="E4232" s="131" t="s">
        <v>14</v>
      </c>
      <c r="F4232" s="133" t="s">
        <v>11</v>
      </c>
      <c r="G4232" s="134" t="n">
        <f aca="false">LEN('Saisie programme'!$E$145)+SUMIFS('Vols additionnels'!$E$7:$E$66,'Vols additionnels'!$C$7:$C$66,$E4232,'Vols additionnels'!$D$7:$D$66,$F4232,'Vols additionnels'!$B$7:$B$66,$D4232)</f>
        <v>0</v>
      </c>
      <c r="H4232" s="135" t="n">
        <f aca="false">$G4232*'Analyse capacite'!$F$7</f>
        <v>0</v>
      </c>
      <c r="I4232" s="135" t="n">
        <f aca="false">$G4232*'Analyse capacite'!$C$7</f>
        <v>0</v>
      </c>
      <c r="J4232" s="135" t="n">
        <f aca="false">$G4232*'Analyse capacite'!$D$7</f>
        <v>0</v>
      </c>
      <c r="K4232" s="135" t="n">
        <f aca="false">$G4232*'Analyse capacite'!$E$7</f>
        <v>0</v>
      </c>
    </row>
    <row r="4233" customFormat="false" ht="15" hidden="false" customHeight="false" outlineLevel="0" collapsed="false">
      <c r="B4233" s="130" t="n">
        <v>2027</v>
      </c>
      <c r="C4233" s="131" t="s">
        <v>249</v>
      </c>
      <c r="D4233" s="132" t="n">
        <v>46595</v>
      </c>
      <c r="E4233" s="131" t="s">
        <v>14</v>
      </c>
      <c r="F4233" s="133" t="s">
        <v>19</v>
      </c>
      <c r="G4233" s="134" t="n">
        <f aca="false">LEN('Saisie programme'!$E$146)+SUMIFS('Vols additionnels'!$E$7:$E$66,'Vols additionnels'!$C$7:$C$66,$E4233,'Vols additionnels'!$D$7:$D$66,$F4233,'Vols additionnels'!$B$7:$B$66,$D4233)</f>
        <v>0</v>
      </c>
      <c r="H4233" s="135" t="n">
        <f aca="false">$G4233*'Analyse capacite'!$F$8</f>
        <v>0</v>
      </c>
      <c r="I4233" s="135" t="n">
        <f aca="false">$G4233*'Analyse capacite'!$C$8</f>
        <v>0</v>
      </c>
      <c r="J4233" s="135" t="n">
        <f aca="false">$G4233*'Analyse capacite'!$D$8</f>
        <v>0</v>
      </c>
      <c r="K4233" s="135" t="n">
        <f aca="false">$G4233*'Analyse capacite'!$E$8</f>
        <v>0</v>
      </c>
    </row>
    <row r="4234" customFormat="false" ht="15" hidden="false" customHeight="false" outlineLevel="0" collapsed="false">
      <c r="B4234" s="130" t="n">
        <v>2027</v>
      </c>
      <c r="C4234" s="131" t="s">
        <v>249</v>
      </c>
      <c r="D4234" s="132" t="n">
        <v>46595</v>
      </c>
      <c r="E4234" s="131" t="s">
        <v>14</v>
      </c>
      <c r="F4234" s="133" t="s">
        <v>24</v>
      </c>
      <c r="G4234" s="134" t="n">
        <f aca="false">LEN('Saisie programme'!$E$147)+SUMIFS('Vols additionnels'!$E$7:$E$66,'Vols additionnels'!$C$7:$C$66,$E4234,'Vols additionnels'!$D$7:$D$66,$F4234,'Vols additionnels'!$B$7:$B$66,$D4234)</f>
        <v>0</v>
      </c>
      <c r="H4234" s="135" t="n">
        <f aca="false">$G4234*'Analyse capacite'!$F$9</f>
        <v>0</v>
      </c>
      <c r="I4234" s="135" t="n">
        <f aca="false">$G4234*'Analyse capacite'!$C$9</f>
        <v>0</v>
      </c>
      <c r="J4234" s="135" t="n">
        <f aca="false">$G4234*'Analyse capacite'!$D$9</f>
        <v>0</v>
      </c>
      <c r="K4234" s="135" t="n">
        <f aca="false">$G4234*'Analyse capacite'!$E$9</f>
        <v>0</v>
      </c>
    </row>
    <row r="4235" customFormat="false" ht="15" hidden="false" customHeight="false" outlineLevel="0" collapsed="false">
      <c r="B4235" s="130" t="n">
        <v>2027</v>
      </c>
      <c r="C4235" s="131" t="s">
        <v>249</v>
      </c>
      <c r="D4235" s="132" t="n">
        <v>46595</v>
      </c>
      <c r="E4235" s="131" t="s">
        <v>46</v>
      </c>
      <c r="F4235" s="133" t="s">
        <v>11</v>
      </c>
      <c r="G4235" s="134" t="n">
        <f aca="false">LEN('Saisie programme'!$E$148)+SUMIFS('Vols additionnels'!$E$7:$E$66,'Vols additionnels'!$C$7:$C$66,$E4235,'Vols additionnels'!$D$7:$D$66,$F4235,'Vols additionnels'!$B$7:$B$66,$D4235)</f>
        <v>0</v>
      </c>
      <c r="H4235" s="135" t="n">
        <f aca="false">$G4235*'Analyse capacite'!$F$7</f>
        <v>0</v>
      </c>
      <c r="I4235" s="135" t="n">
        <f aca="false">$G4235*'Analyse capacite'!$C$7</f>
        <v>0</v>
      </c>
      <c r="J4235" s="135" t="n">
        <f aca="false">$G4235*'Analyse capacite'!$D$7</f>
        <v>0</v>
      </c>
      <c r="K4235" s="135" t="n">
        <f aca="false">$G4235*'Analyse capacite'!$E$7</f>
        <v>0</v>
      </c>
    </row>
    <row r="4236" customFormat="false" ht="15" hidden="false" customHeight="false" outlineLevel="0" collapsed="false">
      <c r="B4236" s="130" t="n">
        <v>2027</v>
      </c>
      <c r="C4236" s="131" t="s">
        <v>249</v>
      </c>
      <c r="D4236" s="132" t="n">
        <v>46595</v>
      </c>
      <c r="E4236" s="131" t="s">
        <v>46</v>
      </c>
      <c r="F4236" s="133" t="s">
        <v>19</v>
      </c>
      <c r="G4236" s="134" t="n">
        <f aca="false">LEN('Saisie programme'!$E$149)+SUMIFS('Vols additionnels'!$E$7:$E$66,'Vols additionnels'!$C$7:$C$66,$E4236,'Vols additionnels'!$D$7:$D$66,$F4236,'Vols additionnels'!$B$7:$B$66,$D4236)</f>
        <v>0</v>
      </c>
      <c r="H4236" s="135" t="n">
        <f aca="false">$G4236*'Analyse capacite'!$F$8</f>
        <v>0</v>
      </c>
      <c r="I4236" s="135" t="n">
        <f aca="false">$G4236*'Analyse capacite'!$C$8</f>
        <v>0</v>
      </c>
      <c r="J4236" s="135" t="n">
        <f aca="false">$G4236*'Analyse capacite'!$D$8</f>
        <v>0</v>
      </c>
      <c r="K4236" s="135" t="n">
        <f aca="false">$G4236*'Analyse capacite'!$E$8</f>
        <v>0</v>
      </c>
    </row>
    <row r="4237" customFormat="false" ht="15" hidden="false" customHeight="false" outlineLevel="0" collapsed="false">
      <c r="B4237" s="130" t="n">
        <v>2027</v>
      </c>
      <c r="C4237" s="131" t="s">
        <v>249</v>
      </c>
      <c r="D4237" s="132" t="n">
        <v>46595</v>
      </c>
      <c r="E4237" s="131" t="s">
        <v>46</v>
      </c>
      <c r="F4237" s="133" t="s">
        <v>24</v>
      </c>
      <c r="G4237" s="134" t="n">
        <f aca="false">LEN('Saisie programme'!$E$150)+SUMIFS('Vols additionnels'!$E$7:$E$66,'Vols additionnels'!$C$7:$C$66,$E4237,'Vols additionnels'!$D$7:$D$66,$F4237,'Vols additionnels'!$B$7:$B$66,$D4237)</f>
        <v>1</v>
      </c>
      <c r="H4237" s="135" t="n">
        <f aca="false">$G4237*'Analyse capacite'!$F$9</f>
        <v>174</v>
      </c>
      <c r="I4237" s="135" t="n">
        <f aca="false">$G4237*'Analyse capacite'!$C$9</f>
        <v>0</v>
      </c>
      <c r="J4237" s="135" t="n">
        <f aca="false">$G4237*'Analyse capacite'!$D$9</f>
        <v>12</v>
      </c>
      <c r="K4237" s="135" t="n">
        <f aca="false">$G4237*'Analyse capacite'!$E$9</f>
        <v>162</v>
      </c>
    </row>
    <row r="4238" customFormat="false" ht="15" hidden="false" customHeight="false" outlineLevel="0" collapsed="false">
      <c r="B4238" s="130" t="n">
        <v>2027</v>
      </c>
      <c r="C4238" s="131" t="s">
        <v>249</v>
      </c>
      <c r="D4238" s="132" t="n">
        <v>46595</v>
      </c>
      <c r="E4238" s="131" t="s">
        <v>49</v>
      </c>
      <c r="F4238" s="133" t="s">
        <v>11</v>
      </c>
      <c r="G4238" s="134" t="n">
        <f aca="false">LEN('Saisie programme'!$E$151)+SUMIFS('Vols additionnels'!$E$7:$E$66,'Vols additionnels'!$C$7:$C$66,$E4238,'Vols additionnels'!$D$7:$D$66,$F4238,'Vols additionnels'!$B$7:$B$66,$D4238)</f>
        <v>0</v>
      </c>
      <c r="H4238" s="135" t="n">
        <f aca="false">$G4238*'Analyse capacite'!$F$7</f>
        <v>0</v>
      </c>
      <c r="I4238" s="135" t="n">
        <f aca="false">$G4238*'Analyse capacite'!$C$7</f>
        <v>0</v>
      </c>
      <c r="J4238" s="135" t="n">
        <f aca="false">$G4238*'Analyse capacite'!$D$7</f>
        <v>0</v>
      </c>
      <c r="K4238" s="135" t="n">
        <f aca="false">$G4238*'Analyse capacite'!$E$7</f>
        <v>0</v>
      </c>
    </row>
    <row r="4239" customFormat="false" ht="15" hidden="false" customHeight="false" outlineLevel="0" collapsed="false">
      <c r="B4239" s="130" t="n">
        <v>2027</v>
      </c>
      <c r="C4239" s="131" t="s">
        <v>249</v>
      </c>
      <c r="D4239" s="132" t="n">
        <v>46595</v>
      </c>
      <c r="E4239" s="131" t="s">
        <v>49</v>
      </c>
      <c r="F4239" s="133" t="s">
        <v>19</v>
      </c>
      <c r="G4239" s="134" t="n">
        <f aca="false">LEN('Saisie programme'!$E$152)+SUMIFS('Vols additionnels'!$E$7:$E$66,'Vols additionnels'!$C$7:$C$66,$E4239,'Vols additionnels'!$D$7:$D$66,$F4239,'Vols additionnels'!$B$7:$B$66,$D4239)</f>
        <v>0</v>
      </c>
      <c r="H4239" s="135" t="n">
        <f aca="false">$G4239*'Analyse capacite'!$F$8</f>
        <v>0</v>
      </c>
      <c r="I4239" s="135" t="n">
        <f aca="false">$G4239*'Analyse capacite'!$C$8</f>
        <v>0</v>
      </c>
      <c r="J4239" s="135" t="n">
        <f aca="false">$G4239*'Analyse capacite'!$D$8</f>
        <v>0</v>
      </c>
      <c r="K4239" s="135" t="n">
        <f aca="false">$G4239*'Analyse capacite'!$E$8</f>
        <v>0</v>
      </c>
    </row>
    <row r="4240" customFormat="false" ht="15" hidden="false" customHeight="false" outlineLevel="0" collapsed="false">
      <c r="B4240" s="130" t="n">
        <v>2027</v>
      </c>
      <c r="C4240" s="131" t="s">
        <v>249</v>
      </c>
      <c r="D4240" s="132" t="n">
        <v>46595</v>
      </c>
      <c r="E4240" s="131" t="s">
        <v>49</v>
      </c>
      <c r="F4240" s="133" t="s">
        <v>24</v>
      </c>
      <c r="G4240" s="134" t="n">
        <f aca="false">LEN('Saisie programme'!$E$153)+SUMIFS('Vols additionnels'!$E$7:$E$66,'Vols additionnels'!$C$7:$C$66,$E4240,'Vols additionnels'!$D$7:$D$66,$F4240,'Vols additionnels'!$B$7:$B$66,$D4240)</f>
        <v>0</v>
      </c>
      <c r="H4240" s="135" t="n">
        <f aca="false">$G4240*'Analyse capacite'!$F$9</f>
        <v>0</v>
      </c>
      <c r="I4240" s="135" t="n">
        <f aca="false">$G4240*'Analyse capacite'!$C$9</f>
        <v>0</v>
      </c>
      <c r="J4240" s="135" t="n">
        <f aca="false">$G4240*'Analyse capacite'!$D$9</f>
        <v>0</v>
      </c>
      <c r="K4240" s="135" t="n">
        <f aca="false">$G4240*'Analyse capacite'!$E$9</f>
        <v>0</v>
      </c>
    </row>
    <row r="4241" customFormat="false" ht="15" hidden="false" customHeight="false" outlineLevel="0" collapsed="false">
      <c r="B4241" s="130" t="n">
        <v>2027</v>
      </c>
      <c r="C4241" s="131" t="s">
        <v>249</v>
      </c>
      <c r="D4241" s="132" t="n">
        <v>46595</v>
      </c>
      <c r="E4241" s="131" t="s">
        <v>53</v>
      </c>
      <c r="F4241" s="133" t="s">
        <v>11</v>
      </c>
      <c r="G4241" s="134" t="n">
        <f aca="false">LEN('Saisie programme'!$E$154)+SUMIFS('Vols additionnels'!$E$7:$E$66,'Vols additionnels'!$C$7:$C$66,$E4241,'Vols additionnels'!$D$7:$D$66,$F4241,'Vols additionnels'!$B$7:$B$66,$D4241)</f>
        <v>0</v>
      </c>
      <c r="H4241" s="135" t="n">
        <f aca="false">$G4241*'Analyse capacite'!$F$7</f>
        <v>0</v>
      </c>
      <c r="I4241" s="135" t="n">
        <f aca="false">$G4241*'Analyse capacite'!$C$7</f>
        <v>0</v>
      </c>
      <c r="J4241" s="135" t="n">
        <f aca="false">$G4241*'Analyse capacite'!$D$7</f>
        <v>0</v>
      </c>
      <c r="K4241" s="135" t="n">
        <f aca="false">$G4241*'Analyse capacite'!$E$7</f>
        <v>0</v>
      </c>
    </row>
    <row r="4242" customFormat="false" ht="15" hidden="false" customHeight="false" outlineLevel="0" collapsed="false">
      <c r="B4242" s="130" t="n">
        <v>2027</v>
      </c>
      <c r="C4242" s="131" t="s">
        <v>249</v>
      </c>
      <c r="D4242" s="132" t="n">
        <v>46595</v>
      </c>
      <c r="E4242" s="131" t="s">
        <v>53</v>
      </c>
      <c r="F4242" s="133" t="s">
        <v>19</v>
      </c>
      <c r="G4242" s="134" t="n">
        <f aca="false">LEN('Saisie programme'!$E$155)+SUMIFS('Vols additionnels'!$E$7:$E$66,'Vols additionnels'!$C$7:$C$66,$E4242,'Vols additionnels'!$D$7:$D$66,$F4242,'Vols additionnels'!$B$7:$B$66,$D4242)</f>
        <v>0</v>
      </c>
      <c r="H4242" s="135" t="n">
        <f aca="false">$G4242*'Analyse capacite'!$F$8</f>
        <v>0</v>
      </c>
      <c r="I4242" s="135" t="n">
        <f aca="false">$G4242*'Analyse capacite'!$C$8</f>
        <v>0</v>
      </c>
      <c r="J4242" s="135" t="n">
        <f aca="false">$G4242*'Analyse capacite'!$D$8</f>
        <v>0</v>
      </c>
      <c r="K4242" s="135" t="n">
        <f aca="false">$G4242*'Analyse capacite'!$E$8</f>
        <v>0</v>
      </c>
    </row>
    <row r="4243" customFormat="false" ht="15" hidden="false" customHeight="false" outlineLevel="0" collapsed="false">
      <c r="B4243" s="130" t="n">
        <v>2027</v>
      </c>
      <c r="C4243" s="131" t="s">
        <v>249</v>
      </c>
      <c r="D4243" s="132" t="n">
        <v>46595</v>
      </c>
      <c r="E4243" s="131" t="s">
        <v>53</v>
      </c>
      <c r="F4243" s="133" t="s">
        <v>24</v>
      </c>
      <c r="G4243" s="134" t="n">
        <f aca="false">LEN('Saisie programme'!$E$156)+SUMIFS('Vols additionnels'!$E$7:$E$66,'Vols additionnels'!$C$7:$C$66,$E4243,'Vols additionnels'!$D$7:$D$66,$F4243,'Vols additionnels'!$B$7:$B$66,$D4243)</f>
        <v>0</v>
      </c>
      <c r="H4243" s="135" t="n">
        <f aca="false">$G4243*'Analyse capacite'!$F$9</f>
        <v>0</v>
      </c>
      <c r="I4243" s="135" t="n">
        <f aca="false">$G4243*'Analyse capacite'!$C$9</f>
        <v>0</v>
      </c>
      <c r="J4243" s="135" t="n">
        <f aca="false">$G4243*'Analyse capacite'!$D$9</f>
        <v>0</v>
      </c>
      <c r="K4243" s="135" t="n">
        <f aca="false">$G4243*'Analyse capacite'!$E$9</f>
        <v>0</v>
      </c>
    </row>
    <row r="4244" customFormat="false" ht="15" hidden="false" customHeight="false" outlineLevel="0" collapsed="false">
      <c r="B4244" s="130" t="n">
        <v>2027</v>
      </c>
      <c r="C4244" s="131" t="s">
        <v>249</v>
      </c>
      <c r="D4244" s="132" t="n">
        <v>46595</v>
      </c>
      <c r="E4244" s="131" t="s">
        <v>56</v>
      </c>
      <c r="F4244" s="133" t="s">
        <v>11</v>
      </c>
      <c r="G4244" s="134" t="n">
        <f aca="false">LEN('Saisie programme'!$E$157)+SUMIFS('Vols additionnels'!$E$7:$E$66,'Vols additionnels'!$C$7:$C$66,$E4244,'Vols additionnels'!$D$7:$D$66,$F4244,'Vols additionnels'!$B$7:$B$66,$D4244)</f>
        <v>0</v>
      </c>
      <c r="H4244" s="135" t="n">
        <f aca="false">$G4244*'Analyse capacite'!$F$7</f>
        <v>0</v>
      </c>
      <c r="I4244" s="135" t="n">
        <f aca="false">$G4244*'Analyse capacite'!$C$7</f>
        <v>0</v>
      </c>
      <c r="J4244" s="135" t="n">
        <f aca="false">$G4244*'Analyse capacite'!$D$7</f>
        <v>0</v>
      </c>
      <c r="K4244" s="135" t="n">
        <f aca="false">$G4244*'Analyse capacite'!$E$7</f>
        <v>0</v>
      </c>
    </row>
    <row r="4245" customFormat="false" ht="15" hidden="false" customHeight="false" outlineLevel="0" collapsed="false">
      <c r="B4245" s="130" t="n">
        <v>2027</v>
      </c>
      <c r="C4245" s="131" t="s">
        <v>249</v>
      </c>
      <c r="D4245" s="132" t="n">
        <v>46595</v>
      </c>
      <c r="E4245" s="131" t="s">
        <v>56</v>
      </c>
      <c r="F4245" s="133" t="s">
        <v>19</v>
      </c>
      <c r="G4245" s="134" t="n">
        <f aca="false">LEN('Saisie programme'!$E$158)+SUMIFS('Vols additionnels'!$E$7:$E$66,'Vols additionnels'!$C$7:$C$66,$E4245,'Vols additionnels'!$D$7:$D$66,$F4245,'Vols additionnels'!$B$7:$B$66,$D4245)</f>
        <v>0</v>
      </c>
      <c r="H4245" s="135" t="n">
        <f aca="false">$G4245*'Analyse capacite'!$F$8</f>
        <v>0</v>
      </c>
      <c r="I4245" s="135" t="n">
        <f aca="false">$G4245*'Analyse capacite'!$C$8</f>
        <v>0</v>
      </c>
      <c r="J4245" s="135" t="n">
        <f aca="false">$G4245*'Analyse capacite'!$D$8</f>
        <v>0</v>
      </c>
      <c r="K4245" s="135" t="n">
        <f aca="false">$G4245*'Analyse capacite'!$E$8</f>
        <v>0</v>
      </c>
    </row>
    <row r="4246" customFormat="false" ht="15" hidden="false" customHeight="false" outlineLevel="0" collapsed="false">
      <c r="B4246" s="130" t="n">
        <v>2027</v>
      </c>
      <c r="C4246" s="131" t="s">
        <v>249</v>
      </c>
      <c r="D4246" s="132" t="n">
        <v>46595</v>
      </c>
      <c r="E4246" s="131" t="s">
        <v>56</v>
      </c>
      <c r="F4246" s="133" t="s">
        <v>24</v>
      </c>
      <c r="G4246" s="134" t="n">
        <f aca="false">LEN('Saisie programme'!$E$159)+SUMIFS('Vols additionnels'!$E$7:$E$66,'Vols additionnels'!$C$7:$C$66,$E4246,'Vols additionnels'!$D$7:$D$66,$F4246,'Vols additionnels'!$B$7:$B$66,$D4246)</f>
        <v>1</v>
      </c>
      <c r="H4246" s="135" t="n">
        <f aca="false">$G4246*'Analyse capacite'!$F$9</f>
        <v>174</v>
      </c>
      <c r="I4246" s="135" t="n">
        <f aca="false">$G4246*'Analyse capacite'!$C$9</f>
        <v>0</v>
      </c>
      <c r="J4246" s="135" t="n">
        <f aca="false">$G4246*'Analyse capacite'!$D$9</f>
        <v>12</v>
      </c>
      <c r="K4246" s="135" t="n">
        <f aca="false">$G4246*'Analyse capacite'!$E$9</f>
        <v>162</v>
      </c>
    </row>
    <row r="4247" customFormat="false" ht="15" hidden="false" customHeight="false" outlineLevel="0" collapsed="false">
      <c r="B4247" s="130" t="n">
        <v>2027</v>
      </c>
      <c r="C4247" s="131" t="s">
        <v>249</v>
      </c>
      <c r="D4247" s="132" t="n">
        <v>46595</v>
      </c>
      <c r="E4247" s="131" t="s">
        <v>59</v>
      </c>
      <c r="F4247" s="133" t="s">
        <v>11</v>
      </c>
      <c r="G4247" s="134" t="n">
        <f aca="false">LEN('Saisie programme'!$E$160)+SUMIFS('Vols additionnels'!$E$7:$E$66,'Vols additionnels'!$C$7:$C$66,$E4247,'Vols additionnels'!$D$7:$D$66,$F4247,'Vols additionnels'!$B$7:$B$66,$D4247)</f>
        <v>0</v>
      </c>
      <c r="H4247" s="135" t="n">
        <f aca="false">$G4247*'Analyse capacite'!$F$7</f>
        <v>0</v>
      </c>
      <c r="I4247" s="135" t="n">
        <f aca="false">$G4247*'Analyse capacite'!$C$7</f>
        <v>0</v>
      </c>
      <c r="J4247" s="135" t="n">
        <f aca="false">$G4247*'Analyse capacite'!$D$7</f>
        <v>0</v>
      </c>
      <c r="K4247" s="135" t="n">
        <f aca="false">$G4247*'Analyse capacite'!$E$7</f>
        <v>0</v>
      </c>
    </row>
    <row r="4248" customFormat="false" ht="15" hidden="false" customHeight="false" outlineLevel="0" collapsed="false">
      <c r="B4248" s="130" t="n">
        <v>2027</v>
      </c>
      <c r="C4248" s="131" t="s">
        <v>249</v>
      </c>
      <c r="D4248" s="132" t="n">
        <v>46595</v>
      </c>
      <c r="E4248" s="131" t="s">
        <v>59</v>
      </c>
      <c r="F4248" s="133" t="s">
        <v>19</v>
      </c>
      <c r="G4248" s="134" t="n">
        <f aca="false">LEN('Saisie programme'!$E$161)+SUMIFS('Vols additionnels'!$E$7:$E$66,'Vols additionnels'!$C$7:$C$66,$E4248,'Vols additionnels'!$D$7:$D$66,$F4248,'Vols additionnels'!$B$7:$B$66,$D4248)</f>
        <v>0</v>
      </c>
      <c r="H4248" s="135" t="n">
        <f aca="false">$G4248*'Analyse capacite'!$F$8</f>
        <v>0</v>
      </c>
      <c r="I4248" s="135" t="n">
        <f aca="false">$G4248*'Analyse capacite'!$C$8</f>
        <v>0</v>
      </c>
      <c r="J4248" s="135" t="n">
        <f aca="false">$G4248*'Analyse capacite'!$D$8</f>
        <v>0</v>
      </c>
      <c r="K4248" s="135" t="n">
        <f aca="false">$G4248*'Analyse capacite'!$E$8</f>
        <v>0</v>
      </c>
    </row>
    <row r="4249" customFormat="false" ht="15" hidden="false" customHeight="false" outlineLevel="0" collapsed="false">
      <c r="B4249" s="130" t="n">
        <v>2027</v>
      </c>
      <c r="C4249" s="131" t="s">
        <v>249</v>
      </c>
      <c r="D4249" s="132" t="n">
        <v>46595</v>
      </c>
      <c r="E4249" s="131" t="s">
        <v>59</v>
      </c>
      <c r="F4249" s="133" t="s">
        <v>24</v>
      </c>
      <c r="G4249" s="134" t="n">
        <f aca="false">LEN('Saisie programme'!$E$162)+SUMIFS('Vols additionnels'!$E$7:$E$66,'Vols additionnels'!$C$7:$C$66,$E4249,'Vols additionnels'!$D$7:$D$66,$F4249,'Vols additionnels'!$B$7:$B$66,$D4249)</f>
        <v>1</v>
      </c>
      <c r="H4249" s="135" t="n">
        <f aca="false">$G4249*'Analyse capacite'!$F$9</f>
        <v>174</v>
      </c>
      <c r="I4249" s="135" t="n">
        <f aca="false">$G4249*'Analyse capacite'!$C$9</f>
        <v>0</v>
      </c>
      <c r="J4249" s="135" t="n">
        <f aca="false">$G4249*'Analyse capacite'!$D$9</f>
        <v>12</v>
      </c>
      <c r="K4249" s="135" t="n">
        <f aca="false">$G4249*'Analyse capacite'!$E$9</f>
        <v>162</v>
      </c>
    </row>
    <row r="4250" customFormat="false" ht="15" hidden="false" customHeight="false" outlineLevel="0" collapsed="false">
      <c r="B4250" s="130" t="n">
        <v>2027</v>
      </c>
      <c r="C4250" s="131" t="s">
        <v>249</v>
      </c>
      <c r="D4250" s="132" t="n">
        <v>46595</v>
      </c>
      <c r="E4250" s="131" t="s">
        <v>62</v>
      </c>
      <c r="F4250" s="133" t="s">
        <v>11</v>
      </c>
      <c r="G4250" s="134" t="n">
        <f aca="false">LEN('Saisie programme'!$E$163)+SUMIFS('Vols additionnels'!$E$7:$E$66,'Vols additionnels'!$C$7:$C$66,$E4250,'Vols additionnels'!$D$7:$D$66,$F4250,'Vols additionnels'!$B$7:$B$66,$D4250)</f>
        <v>0</v>
      </c>
      <c r="H4250" s="135" t="n">
        <f aca="false">$G4250*'Analyse capacite'!$F$7</f>
        <v>0</v>
      </c>
      <c r="I4250" s="135" t="n">
        <f aca="false">$G4250*'Analyse capacite'!$C$7</f>
        <v>0</v>
      </c>
      <c r="J4250" s="135" t="n">
        <f aca="false">$G4250*'Analyse capacite'!$D$7</f>
        <v>0</v>
      </c>
      <c r="K4250" s="135" t="n">
        <f aca="false">$G4250*'Analyse capacite'!$E$7</f>
        <v>0</v>
      </c>
    </row>
    <row r="4251" customFormat="false" ht="15" hidden="false" customHeight="false" outlineLevel="0" collapsed="false">
      <c r="B4251" s="130" t="n">
        <v>2027</v>
      </c>
      <c r="C4251" s="131" t="s">
        <v>249</v>
      </c>
      <c r="D4251" s="132" t="n">
        <v>46595</v>
      </c>
      <c r="E4251" s="131" t="s">
        <v>62</v>
      </c>
      <c r="F4251" s="133" t="s">
        <v>19</v>
      </c>
      <c r="G4251" s="134" t="n">
        <f aca="false">LEN('Saisie programme'!$E$164)+SUMIFS('Vols additionnels'!$E$7:$E$66,'Vols additionnels'!$C$7:$C$66,$E4251,'Vols additionnels'!$D$7:$D$66,$F4251,'Vols additionnels'!$B$7:$B$66,$D4251)</f>
        <v>0</v>
      </c>
      <c r="H4251" s="135" t="n">
        <f aca="false">$G4251*'Analyse capacite'!$F$8</f>
        <v>0</v>
      </c>
      <c r="I4251" s="135" t="n">
        <f aca="false">$G4251*'Analyse capacite'!$C$8</f>
        <v>0</v>
      </c>
      <c r="J4251" s="135" t="n">
        <f aca="false">$G4251*'Analyse capacite'!$D$8</f>
        <v>0</v>
      </c>
      <c r="K4251" s="135" t="n">
        <f aca="false">$G4251*'Analyse capacite'!$E$8</f>
        <v>0</v>
      </c>
    </row>
    <row r="4252" customFormat="false" ht="15" hidden="false" customHeight="false" outlineLevel="0" collapsed="false">
      <c r="B4252" s="130" t="n">
        <v>2027</v>
      </c>
      <c r="C4252" s="131" t="s">
        <v>249</v>
      </c>
      <c r="D4252" s="132" t="n">
        <v>46595</v>
      </c>
      <c r="E4252" s="131" t="s">
        <v>62</v>
      </c>
      <c r="F4252" s="133" t="s">
        <v>24</v>
      </c>
      <c r="G4252" s="134" t="n">
        <f aca="false">LEN('Saisie programme'!$E$165)+SUMIFS('Vols additionnels'!$E$7:$E$66,'Vols additionnels'!$C$7:$C$66,$E4252,'Vols additionnels'!$D$7:$D$66,$F4252,'Vols additionnels'!$B$7:$B$66,$D4252)</f>
        <v>0</v>
      </c>
      <c r="H4252" s="135" t="n">
        <f aca="false">$G4252*'Analyse capacite'!$F$9</f>
        <v>0</v>
      </c>
      <c r="I4252" s="135" t="n">
        <f aca="false">$G4252*'Analyse capacite'!$C$9</f>
        <v>0</v>
      </c>
      <c r="J4252" s="135" t="n">
        <f aca="false">$G4252*'Analyse capacite'!$D$9</f>
        <v>0</v>
      </c>
      <c r="K4252" s="135" t="n">
        <f aca="false">$G4252*'Analyse capacite'!$E$9</f>
        <v>0</v>
      </c>
    </row>
    <row r="4253" customFormat="false" ht="15" hidden="false" customHeight="false" outlineLevel="0" collapsed="false">
      <c r="B4253" s="130" t="n">
        <v>2027</v>
      </c>
      <c r="C4253" s="131" t="s">
        <v>249</v>
      </c>
      <c r="D4253" s="132" t="n">
        <v>46596</v>
      </c>
      <c r="E4253" s="131" t="s">
        <v>12</v>
      </c>
      <c r="F4253" s="133" t="s">
        <v>11</v>
      </c>
      <c r="G4253" s="134" t="n">
        <f aca="false">LEN('Saisie programme'!$F$130)+SUMIFS('Vols additionnels'!$E$7:$E$66,'Vols additionnels'!$C$7:$C$66,$E4253,'Vols additionnels'!$D$7:$D$66,$F4253,'Vols additionnels'!$B$7:$B$66,$D4253)</f>
        <v>1</v>
      </c>
      <c r="H4253" s="135" t="n">
        <f aca="false">$G4253*'Analyse capacite'!$F$7</f>
        <v>438</v>
      </c>
      <c r="I4253" s="135" t="n">
        <f aca="false">$G4253*'Analyse capacite'!$C$7</f>
        <v>14</v>
      </c>
      <c r="J4253" s="135" t="n">
        <f aca="false">$G4253*'Analyse capacite'!$D$7</f>
        <v>40</v>
      </c>
      <c r="K4253" s="135" t="n">
        <f aca="false">$G4253*'Analyse capacite'!$E$7</f>
        <v>384</v>
      </c>
    </row>
    <row r="4254" customFormat="false" ht="15" hidden="false" customHeight="false" outlineLevel="0" collapsed="false">
      <c r="B4254" s="130" t="n">
        <v>2027</v>
      </c>
      <c r="C4254" s="131" t="s">
        <v>249</v>
      </c>
      <c r="D4254" s="132" t="n">
        <v>46596</v>
      </c>
      <c r="E4254" s="131" t="s">
        <v>12</v>
      </c>
      <c r="F4254" s="133" t="s">
        <v>19</v>
      </c>
      <c r="G4254" s="134" t="n">
        <f aca="false">LEN('Saisie programme'!$F$131)+SUMIFS('Vols additionnels'!$E$7:$E$66,'Vols additionnels'!$C$7:$C$66,$E4254,'Vols additionnels'!$D$7:$D$66,$F4254,'Vols additionnels'!$B$7:$B$66,$D4254)</f>
        <v>0</v>
      </c>
      <c r="H4254" s="135" t="n">
        <f aca="false">$G4254*'Analyse capacite'!$F$8</f>
        <v>0</v>
      </c>
      <c r="I4254" s="135" t="n">
        <f aca="false">$G4254*'Analyse capacite'!$C$8</f>
        <v>0</v>
      </c>
      <c r="J4254" s="135" t="n">
        <f aca="false">$G4254*'Analyse capacite'!$D$8</f>
        <v>0</v>
      </c>
      <c r="K4254" s="135" t="n">
        <f aca="false">$G4254*'Analyse capacite'!$E$8</f>
        <v>0</v>
      </c>
    </row>
    <row r="4255" customFormat="false" ht="15" hidden="false" customHeight="false" outlineLevel="0" collapsed="false">
      <c r="B4255" s="130" t="n">
        <v>2027</v>
      </c>
      <c r="C4255" s="131" t="s">
        <v>249</v>
      </c>
      <c r="D4255" s="132" t="n">
        <v>46596</v>
      </c>
      <c r="E4255" s="131" t="s">
        <v>12</v>
      </c>
      <c r="F4255" s="133" t="s">
        <v>24</v>
      </c>
      <c r="G4255" s="134" t="n">
        <f aca="false">LEN('Saisie programme'!$F$132)+SUMIFS('Vols additionnels'!$E$7:$E$66,'Vols additionnels'!$C$7:$C$66,$E4255,'Vols additionnels'!$D$7:$D$66,$F4255,'Vols additionnels'!$B$7:$B$66,$D4255)</f>
        <v>0</v>
      </c>
      <c r="H4255" s="135" t="n">
        <f aca="false">$G4255*'Analyse capacite'!$F$9</f>
        <v>0</v>
      </c>
      <c r="I4255" s="135" t="n">
        <f aca="false">$G4255*'Analyse capacite'!$C$9</f>
        <v>0</v>
      </c>
      <c r="J4255" s="135" t="n">
        <f aca="false">$G4255*'Analyse capacite'!$D$9</f>
        <v>0</v>
      </c>
      <c r="K4255" s="135" t="n">
        <f aca="false">$G4255*'Analyse capacite'!$E$9</f>
        <v>0</v>
      </c>
    </row>
    <row r="4256" customFormat="false" ht="15" hidden="false" customHeight="false" outlineLevel="0" collapsed="false">
      <c r="B4256" s="130" t="n">
        <v>2027</v>
      </c>
      <c r="C4256" s="131" t="s">
        <v>249</v>
      </c>
      <c r="D4256" s="132" t="n">
        <v>46596</v>
      </c>
      <c r="E4256" s="131" t="s">
        <v>20</v>
      </c>
      <c r="F4256" s="133" t="s">
        <v>11</v>
      </c>
      <c r="G4256" s="134" t="n">
        <f aca="false">LEN('Saisie programme'!$F$133)+SUMIFS('Vols additionnels'!$E$7:$E$66,'Vols additionnels'!$C$7:$C$66,$E4256,'Vols additionnels'!$D$7:$D$66,$F4256,'Vols additionnels'!$B$7:$B$66,$D4256)</f>
        <v>0</v>
      </c>
      <c r="H4256" s="135" t="n">
        <f aca="false">$G4256*'Analyse capacite'!$F$7</f>
        <v>0</v>
      </c>
      <c r="I4256" s="135" t="n">
        <f aca="false">$G4256*'Analyse capacite'!$C$7</f>
        <v>0</v>
      </c>
      <c r="J4256" s="135" t="n">
        <f aca="false">$G4256*'Analyse capacite'!$D$7</f>
        <v>0</v>
      </c>
      <c r="K4256" s="135" t="n">
        <f aca="false">$G4256*'Analyse capacite'!$E$7</f>
        <v>0</v>
      </c>
    </row>
    <row r="4257" customFormat="false" ht="15" hidden="false" customHeight="false" outlineLevel="0" collapsed="false">
      <c r="B4257" s="130" t="n">
        <v>2027</v>
      </c>
      <c r="C4257" s="131" t="s">
        <v>249</v>
      </c>
      <c r="D4257" s="132" t="n">
        <v>46596</v>
      </c>
      <c r="E4257" s="131" t="s">
        <v>20</v>
      </c>
      <c r="F4257" s="133" t="s">
        <v>19</v>
      </c>
      <c r="G4257" s="134" t="n">
        <f aca="false">LEN('Saisie programme'!$F$134)+SUMIFS('Vols additionnels'!$E$7:$E$66,'Vols additionnels'!$C$7:$C$66,$E4257,'Vols additionnels'!$D$7:$D$66,$F4257,'Vols additionnels'!$B$7:$B$66,$D4257)</f>
        <v>0</v>
      </c>
      <c r="H4257" s="135" t="n">
        <f aca="false">$G4257*'Analyse capacite'!$F$8</f>
        <v>0</v>
      </c>
      <c r="I4257" s="135" t="n">
        <f aca="false">$G4257*'Analyse capacite'!$C$8</f>
        <v>0</v>
      </c>
      <c r="J4257" s="135" t="n">
        <f aca="false">$G4257*'Analyse capacite'!$D$8</f>
        <v>0</v>
      </c>
      <c r="K4257" s="135" t="n">
        <f aca="false">$G4257*'Analyse capacite'!$E$8</f>
        <v>0</v>
      </c>
    </row>
    <row r="4258" customFormat="false" ht="15" hidden="false" customHeight="false" outlineLevel="0" collapsed="false">
      <c r="B4258" s="130" t="n">
        <v>2027</v>
      </c>
      <c r="C4258" s="131" t="s">
        <v>249</v>
      </c>
      <c r="D4258" s="132" t="n">
        <v>46596</v>
      </c>
      <c r="E4258" s="131" t="s">
        <v>20</v>
      </c>
      <c r="F4258" s="133" t="s">
        <v>24</v>
      </c>
      <c r="G4258" s="134" t="n">
        <f aca="false">LEN('Saisie programme'!$F$135)+SUMIFS('Vols additionnels'!$E$7:$E$66,'Vols additionnels'!$C$7:$C$66,$E4258,'Vols additionnels'!$D$7:$D$66,$F4258,'Vols additionnels'!$B$7:$B$66,$D4258)</f>
        <v>0</v>
      </c>
      <c r="H4258" s="135" t="n">
        <f aca="false">$G4258*'Analyse capacite'!$F$9</f>
        <v>0</v>
      </c>
      <c r="I4258" s="135" t="n">
        <f aca="false">$G4258*'Analyse capacite'!$C$9</f>
        <v>0</v>
      </c>
      <c r="J4258" s="135" t="n">
        <f aca="false">$G4258*'Analyse capacite'!$D$9</f>
        <v>0</v>
      </c>
      <c r="K4258" s="135" t="n">
        <f aca="false">$G4258*'Analyse capacite'!$E$9</f>
        <v>0</v>
      </c>
    </row>
    <row r="4259" customFormat="false" ht="15" hidden="false" customHeight="false" outlineLevel="0" collapsed="false">
      <c r="B4259" s="130" t="n">
        <v>2027</v>
      </c>
      <c r="C4259" s="131" t="s">
        <v>249</v>
      </c>
      <c r="D4259" s="132" t="n">
        <v>46596</v>
      </c>
      <c r="E4259" s="131" t="s">
        <v>25</v>
      </c>
      <c r="F4259" s="133" t="s">
        <v>11</v>
      </c>
      <c r="G4259" s="134" t="n">
        <f aca="false">LEN('Saisie programme'!$F$136)+SUMIFS('Vols additionnels'!$E$7:$E$66,'Vols additionnels'!$C$7:$C$66,$E4259,'Vols additionnels'!$D$7:$D$66,$F4259,'Vols additionnels'!$B$7:$B$66,$D4259)</f>
        <v>0</v>
      </c>
      <c r="H4259" s="135" t="n">
        <f aca="false">$G4259*'Analyse capacite'!$F$7</f>
        <v>0</v>
      </c>
      <c r="I4259" s="135" t="n">
        <f aca="false">$G4259*'Analyse capacite'!$C$7</f>
        <v>0</v>
      </c>
      <c r="J4259" s="135" t="n">
        <f aca="false">$G4259*'Analyse capacite'!$D$7</f>
        <v>0</v>
      </c>
      <c r="K4259" s="135" t="n">
        <f aca="false">$G4259*'Analyse capacite'!$E$7</f>
        <v>0</v>
      </c>
    </row>
    <row r="4260" customFormat="false" ht="15" hidden="false" customHeight="false" outlineLevel="0" collapsed="false">
      <c r="B4260" s="130" t="n">
        <v>2027</v>
      </c>
      <c r="C4260" s="131" t="s">
        <v>249</v>
      </c>
      <c r="D4260" s="132" t="n">
        <v>46596</v>
      </c>
      <c r="E4260" s="131" t="s">
        <v>25</v>
      </c>
      <c r="F4260" s="133" t="s">
        <v>19</v>
      </c>
      <c r="G4260" s="134" t="n">
        <f aca="false">LEN('Saisie programme'!$F$137)+SUMIFS('Vols additionnels'!$E$7:$E$66,'Vols additionnels'!$C$7:$C$66,$E4260,'Vols additionnels'!$D$7:$D$66,$F4260,'Vols additionnels'!$B$7:$B$66,$D4260)</f>
        <v>1</v>
      </c>
      <c r="H4260" s="135" t="n">
        <f aca="false">$G4260*'Analyse capacite'!$F$8</f>
        <v>262</v>
      </c>
      <c r="I4260" s="135" t="n">
        <f aca="false">$G4260*'Analyse capacite'!$C$8</f>
        <v>18</v>
      </c>
      <c r="J4260" s="135" t="n">
        <f aca="false">$G4260*'Analyse capacite'!$D$8</f>
        <v>0</v>
      </c>
      <c r="K4260" s="135" t="n">
        <f aca="false">$G4260*'Analyse capacite'!$E$8</f>
        <v>244</v>
      </c>
    </row>
    <row r="4261" customFormat="false" ht="15" hidden="false" customHeight="false" outlineLevel="0" collapsed="false">
      <c r="B4261" s="130" t="n">
        <v>2027</v>
      </c>
      <c r="C4261" s="131" t="s">
        <v>249</v>
      </c>
      <c r="D4261" s="132" t="n">
        <v>46596</v>
      </c>
      <c r="E4261" s="131" t="s">
        <v>25</v>
      </c>
      <c r="F4261" s="133" t="s">
        <v>24</v>
      </c>
      <c r="G4261" s="134" t="n">
        <f aca="false">LEN('Saisie programme'!$F$138)+SUMIFS('Vols additionnels'!$E$7:$E$66,'Vols additionnels'!$C$7:$C$66,$E4261,'Vols additionnels'!$D$7:$D$66,$F4261,'Vols additionnels'!$B$7:$B$66,$D4261)</f>
        <v>0</v>
      </c>
      <c r="H4261" s="135" t="n">
        <f aca="false">$G4261*'Analyse capacite'!$F$9</f>
        <v>0</v>
      </c>
      <c r="I4261" s="135" t="n">
        <f aca="false">$G4261*'Analyse capacite'!$C$9</f>
        <v>0</v>
      </c>
      <c r="J4261" s="135" t="n">
        <f aca="false">$G4261*'Analyse capacite'!$D$9</f>
        <v>0</v>
      </c>
      <c r="K4261" s="135" t="n">
        <f aca="false">$G4261*'Analyse capacite'!$E$9</f>
        <v>0</v>
      </c>
    </row>
    <row r="4262" customFormat="false" ht="15" hidden="false" customHeight="false" outlineLevel="0" collapsed="false">
      <c r="B4262" s="130" t="n">
        <v>2027</v>
      </c>
      <c r="C4262" s="131" t="s">
        <v>249</v>
      </c>
      <c r="D4262" s="132" t="n">
        <v>46596</v>
      </c>
      <c r="E4262" s="131" t="s">
        <v>36</v>
      </c>
      <c r="F4262" s="133" t="s">
        <v>11</v>
      </c>
      <c r="G4262" s="134" t="n">
        <f aca="false">LEN('Saisie programme'!$F$139)+SUMIFS('Vols additionnels'!$E$7:$E$66,'Vols additionnels'!$C$7:$C$66,$E4262,'Vols additionnels'!$D$7:$D$66,$F4262,'Vols additionnels'!$B$7:$B$66,$D4262)</f>
        <v>0</v>
      </c>
      <c r="H4262" s="135" t="n">
        <f aca="false">$G4262*'Analyse capacite'!$F$7</f>
        <v>0</v>
      </c>
      <c r="I4262" s="135" t="n">
        <f aca="false">$G4262*'Analyse capacite'!$C$7</f>
        <v>0</v>
      </c>
      <c r="J4262" s="135" t="n">
        <f aca="false">$G4262*'Analyse capacite'!$D$7</f>
        <v>0</v>
      </c>
      <c r="K4262" s="135" t="n">
        <f aca="false">$G4262*'Analyse capacite'!$E$7</f>
        <v>0</v>
      </c>
    </row>
    <row r="4263" customFormat="false" ht="15" hidden="false" customHeight="false" outlineLevel="0" collapsed="false">
      <c r="B4263" s="130" t="n">
        <v>2027</v>
      </c>
      <c r="C4263" s="131" t="s">
        <v>249</v>
      </c>
      <c r="D4263" s="132" t="n">
        <v>46596</v>
      </c>
      <c r="E4263" s="131" t="s">
        <v>36</v>
      </c>
      <c r="F4263" s="133" t="s">
        <v>19</v>
      </c>
      <c r="G4263" s="134" t="n">
        <f aca="false">LEN('Saisie programme'!$F$140)+SUMIFS('Vols additionnels'!$E$7:$E$66,'Vols additionnels'!$C$7:$C$66,$E4263,'Vols additionnels'!$D$7:$D$66,$F4263,'Vols additionnels'!$B$7:$B$66,$D4263)</f>
        <v>1</v>
      </c>
      <c r="H4263" s="135" t="n">
        <f aca="false">$G4263*'Analyse capacite'!$F$8</f>
        <v>262</v>
      </c>
      <c r="I4263" s="135" t="n">
        <f aca="false">$G4263*'Analyse capacite'!$C$8</f>
        <v>18</v>
      </c>
      <c r="J4263" s="135" t="n">
        <f aca="false">$G4263*'Analyse capacite'!$D$8</f>
        <v>0</v>
      </c>
      <c r="K4263" s="135" t="n">
        <f aca="false">$G4263*'Analyse capacite'!$E$8</f>
        <v>244</v>
      </c>
    </row>
    <row r="4264" customFormat="false" ht="15" hidden="false" customHeight="false" outlineLevel="0" collapsed="false">
      <c r="B4264" s="130" t="n">
        <v>2027</v>
      </c>
      <c r="C4264" s="131" t="s">
        <v>249</v>
      </c>
      <c r="D4264" s="132" t="n">
        <v>46596</v>
      </c>
      <c r="E4264" s="131" t="s">
        <v>36</v>
      </c>
      <c r="F4264" s="133" t="s">
        <v>24</v>
      </c>
      <c r="G4264" s="134" t="n">
        <f aca="false">LEN('Saisie programme'!$F$141)+SUMIFS('Vols additionnels'!$E$7:$E$66,'Vols additionnels'!$C$7:$C$66,$E4264,'Vols additionnels'!$D$7:$D$66,$F4264,'Vols additionnels'!$B$7:$B$66,$D4264)</f>
        <v>1</v>
      </c>
      <c r="H4264" s="135" t="n">
        <f aca="false">$G4264*'Analyse capacite'!$F$9</f>
        <v>174</v>
      </c>
      <c r="I4264" s="135" t="n">
        <f aca="false">$G4264*'Analyse capacite'!$C$9</f>
        <v>0</v>
      </c>
      <c r="J4264" s="135" t="n">
        <f aca="false">$G4264*'Analyse capacite'!$D$9</f>
        <v>12</v>
      </c>
      <c r="K4264" s="135" t="n">
        <f aca="false">$G4264*'Analyse capacite'!$E$9</f>
        <v>162</v>
      </c>
    </row>
    <row r="4265" customFormat="false" ht="15" hidden="false" customHeight="false" outlineLevel="0" collapsed="false">
      <c r="B4265" s="130" t="n">
        <v>2027</v>
      </c>
      <c r="C4265" s="131" t="s">
        <v>249</v>
      </c>
      <c r="D4265" s="132" t="n">
        <v>46596</v>
      </c>
      <c r="E4265" s="131" t="s">
        <v>40</v>
      </c>
      <c r="F4265" s="133" t="s">
        <v>11</v>
      </c>
      <c r="G4265" s="134" t="n">
        <f aca="false">LEN('Saisie programme'!$F$142)+SUMIFS('Vols additionnels'!$E$7:$E$66,'Vols additionnels'!$C$7:$C$66,$E4265,'Vols additionnels'!$D$7:$D$66,$F4265,'Vols additionnels'!$B$7:$B$66,$D4265)</f>
        <v>0</v>
      </c>
      <c r="H4265" s="135" t="n">
        <f aca="false">$G4265*'Analyse capacite'!$F$7</f>
        <v>0</v>
      </c>
      <c r="I4265" s="135" t="n">
        <f aca="false">$G4265*'Analyse capacite'!$C$7</f>
        <v>0</v>
      </c>
      <c r="J4265" s="135" t="n">
        <f aca="false">$G4265*'Analyse capacite'!$D$7</f>
        <v>0</v>
      </c>
      <c r="K4265" s="135" t="n">
        <f aca="false">$G4265*'Analyse capacite'!$E$7</f>
        <v>0</v>
      </c>
    </row>
    <row r="4266" customFormat="false" ht="15" hidden="false" customHeight="false" outlineLevel="0" collapsed="false">
      <c r="B4266" s="130" t="n">
        <v>2027</v>
      </c>
      <c r="C4266" s="131" t="s">
        <v>249</v>
      </c>
      <c r="D4266" s="132" t="n">
        <v>46596</v>
      </c>
      <c r="E4266" s="131" t="s">
        <v>40</v>
      </c>
      <c r="F4266" s="133" t="s">
        <v>19</v>
      </c>
      <c r="G4266" s="134" t="n">
        <f aca="false">LEN('Saisie programme'!$F$143)+SUMIFS('Vols additionnels'!$E$7:$E$66,'Vols additionnels'!$C$7:$C$66,$E4266,'Vols additionnels'!$D$7:$D$66,$F4266,'Vols additionnels'!$B$7:$B$66,$D4266)</f>
        <v>0</v>
      </c>
      <c r="H4266" s="135" t="n">
        <f aca="false">$G4266*'Analyse capacite'!$F$8</f>
        <v>0</v>
      </c>
      <c r="I4266" s="135" t="n">
        <f aca="false">$G4266*'Analyse capacite'!$C$8</f>
        <v>0</v>
      </c>
      <c r="J4266" s="135" t="n">
        <f aca="false">$G4266*'Analyse capacite'!$D$8</f>
        <v>0</v>
      </c>
      <c r="K4266" s="135" t="n">
        <f aca="false">$G4266*'Analyse capacite'!$E$8</f>
        <v>0</v>
      </c>
    </row>
    <row r="4267" customFormat="false" ht="15" hidden="false" customHeight="false" outlineLevel="0" collapsed="false">
      <c r="B4267" s="130" t="n">
        <v>2027</v>
      </c>
      <c r="C4267" s="131" t="s">
        <v>249</v>
      </c>
      <c r="D4267" s="132" t="n">
        <v>46596</v>
      </c>
      <c r="E4267" s="131" t="s">
        <v>40</v>
      </c>
      <c r="F4267" s="133" t="s">
        <v>24</v>
      </c>
      <c r="G4267" s="134" t="n">
        <f aca="false">LEN('Saisie programme'!$F$144)+SUMIFS('Vols additionnels'!$E$7:$E$66,'Vols additionnels'!$C$7:$C$66,$E4267,'Vols additionnels'!$D$7:$D$66,$F4267,'Vols additionnels'!$B$7:$B$66,$D4267)</f>
        <v>1</v>
      </c>
      <c r="H4267" s="135" t="n">
        <f aca="false">$G4267*'Analyse capacite'!$F$9</f>
        <v>174</v>
      </c>
      <c r="I4267" s="135" t="n">
        <f aca="false">$G4267*'Analyse capacite'!$C$9</f>
        <v>0</v>
      </c>
      <c r="J4267" s="135" t="n">
        <f aca="false">$G4267*'Analyse capacite'!$D$9</f>
        <v>12</v>
      </c>
      <c r="K4267" s="135" t="n">
        <f aca="false">$G4267*'Analyse capacite'!$E$9</f>
        <v>162</v>
      </c>
    </row>
    <row r="4268" customFormat="false" ht="15" hidden="false" customHeight="false" outlineLevel="0" collapsed="false">
      <c r="B4268" s="130" t="n">
        <v>2027</v>
      </c>
      <c r="C4268" s="131" t="s">
        <v>249</v>
      </c>
      <c r="D4268" s="132" t="n">
        <v>46596</v>
      </c>
      <c r="E4268" s="131" t="s">
        <v>14</v>
      </c>
      <c r="F4268" s="133" t="s">
        <v>11</v>
      </c>
      <c r="G4268" s="134" t="n">
        <f aca="false">LEN('Saisie programme'!$F$145)+SUMIFS('Vols additionnels'!$E$7:$E$66,'Vols additionnels'!$C$7:$C$66,$E4268,'Vols additionnels'!$D$7:$D$66,$F4268,'Vols additionnels'!$B$7:$B$66,$D4268)</f>
        <v>0</v>
      </c>
      <c r="H4268" s="135" t="n">
        <f aca="false">$G4268*'Analyse capacite'!$F$7</f>
        <v>0</v>
      </c>
      <c r="I4268" s="135" t="n">
        <f aca="false">$G4268*'Analyse capacite'!$C$7</f>
        <v>0</v>
      </c>
      <c r="J4268" s="135" t="n">
        <f aca="false">$G4268*'Analyse capacite'!$D$7</f>
        <v>0</v>
      </c>
      <c r="K4268" s="135" t="n">
        <f aca="false">$G4268*'Analyse capacite'!$E$7</f>
        <v>0</v>
      </c>
    </row>
    <row r="4269" customFormat="false" ht="15" hidden="false" customHeight="false" outlineLevel="0" collapsed="false">
      <c r="B4269" s="130" t="n">
        <v>2027</v>
      </c>
      <c r="C4269" s="131" t="s">
        <v>249</v>
      </c>
      <c r="D4269" s="132" t="n">
        <v>46596</v>
      </c>
      <c r="E4269" s="131" t="s">
        <v>14</v>
      </c>
      <c r="F4269" s="133" t="s">
        <v>19</v>
      </c>
      <c r="G4269" s="134" t="n">
        <f aca="false">LEN('Saisie programme'!$F$146)+SUMIFS('Vols additionnels'!$E$7:$E$66,'Vols additionnels'!$C$7:$C$66,$E4269,'Vols additionnels'!$D$7:$D$66,$F4269,'Vols additionnels'!$B$7:$B$66,$D4269)</f>
        <v>0</v>
      </c>
      <c r="H4269" s="135" t="n">
        <f aca="false">$G4269*'Analyse capacite'!$F$8</f>
        <v>0</v>
      </c>
      <c r="I4269" s="135" t="n">
        <f aca="false">$G4269*'Analyse capacite'!$C$8</f>
        <v>0</v>
      </c>
      <c r="J4269" s="135" t="n">
        <f aca="false">$G4269*'Analyse capacite'!$D$8</f>
        <v>0</v>
      </c>
      <c r="K4269" s="135" t="n">
        <f aca="false">$G4269*'Analyse capacite'!$E$8</f>
        <v>0</v>
      </c>
    </row>
    <row r="4270" customFormat="false" ht="15" hidden="false" customHeight="false" outlineLevel="0" collapsed="false">
      <c r="B4270" s="130" t="n">
        <v>2027</v>
      </c>
      <c r="C4270" s="131" t="s">
        <v>249</v>
      </c>
      <c r="D4270" s="132" t="n">
        <v>46596</v>
      </c>
      <c r="E4270" s="131" t="s">
        <v>14</v>
      </c>
      <c r="F4270" s="133" t="s">
        <v>24</v>
      </c>
      <c r="G4270" s="134" t="n">
        <f aca="false">LEN('Saisie programme'!$F$147)+SUMIFS('Vols additionnels'!$E$7:$E$66,'Vols additionnels'!$C$7:$C$66,$E4270,'Vols additionnels'!$D$7:$D$66,$F4270,'Vols additionnels'!$B$7:$B$66,$D4270)</f>
        <v>1</v>
      </c>
      <c r="H4270" s="135" t="n">
        <f aca="false">$G4270*'Analyse capacite'!$F$9</f>
        <v>174</v>
      </c>
      <c r="I4270" s="135" t="n">
        <f aca="false">$G4270*'Analyse capacite'!$C$9</f>
        <v>0</v>
      </c>
      <c r="J4270" s="135" t="n">
        <f aca="false">$G4270*'Analyse capacite'!$D$9</f>
        <v>12</v>
      </c>
      <c r="K4270" s="135" t="n">
        <f aca="false">$G4270*'Analyse capacite'!$E$9</f>
        <v>162</v>
      </c>
    </row>
    <row r="4271" customFormat="false" ht="15" hidden="false" customHeight="false" outlineLevel="0" collapsed="false">
      <c r="B4271" s="130" t="n">
        <v>2027</v>
      </c>
      <c r="C4271" s="131" t="s">
        <v>249</v>
      </c>
      <c r="D4271" s="132" t="n">
        <v>46596</v>
      </c>
      <c r="E4271" s="131" t="s">
        <v>46</v>
      </c>
      <c r="F4271" s="133" t="s">
        <v>11</v>
      </c>
      <c r="G4271" s="134" t="n">
        <f aca="false">LEN('Saisie programme'!$F$148)+SUMIFS('Vols additionnels'!$E$7:$E$66,'Vols additionnels'!$C$7:$C$66,$E4271,'Vols additionnels'!$D$7:$D$66,$F4271,'Vols additionnels'!$B$7:$B$66,$D4271)</f>
        <v>0</v>
      </c>
      <c r="H4271" s="135" t="n">
        <f aca="false">$G4271*'Analyse capacite'!$F$7</f>
        <v>0</v>
      </c>
      <c r="I4271" s="135" t="n">
        <f aca="false">$G4271*'Analyse capacite'!$C$7</f>
        <v>0</v>
      </c>
      <c r="J4271" s="135" t="n">
        <f aca="false">$G4271*'Analyse capacite'!$D$7</f>
        <v>0</v>
      </c>
      <c r="K4271" s="135" t="n">
        <f aca="false">$G4271*'Analyse capacite'!$E$7</f>
        <v>0</v>
      </c>
    </row>
    <row r="4272" customFormat="false" ht="15" hidden="false" customHeight="false" outlineLevel="0" collapsed="false">
      <c r="B4272" s="130" t="n">
        <v>2027</v>
      </c>
      <c r="C4272" s="131" t="s">
        <v>249</v>
      </c>
      <c r="D4272" s="132" t="n">
        <v>46596</v>
      </c>
      <c r="E4272" s="131" t="s">
        <v>46</v>
      </c>
      <c r="F4272" s="133" t="s">
        <v>19</v>
      </c>
      <c r="G4272" s="134" t="n">
        <f aca="false">LEN('Saisie programme'!$F$149)+SUMIFS('Vols additionnels'!$E$7:$E$66,'Vols additionnels'!$C$7:$C$66,$E4272,'Vols additionnels'!$D$7:$D$66,$F4272,'Vols additionnels'!$B$7:$B$66,$D4272)</f>
        <v>0</v>
      </c>
      <c r="H4272" s="135" t="n">
        <f aca="false">$G4272*'Analyse capacite'!$F$8</f>
        <v>0</v>
      </c>
      <c r="I4272" s="135" t="n">
        <f aca="false">$G4272*'Analyse capacite'!$C$8</f>
        <v>0</v>
      </c>
      <c r="J4272" s="135" t="n">
        <f aca="false">$G4272*'Analyse capacite'!$D$8</f>
        <v>0</v>
      </c>
      <c r="K4272" s="135" t="n">
        <f aca="false">$G4272*'Analyse capacite'!$E$8</f>
        <v>0</v>
      </c>
    </row>
    <row r="4273" customFormat="false" ht="15" hidden="false" customHeight="false" outlineLevel="0" collapsed="false">
      <c r="B4273" s="130" t="n">
        <v>2027</v>
      </c>
      <c r="C4273" s="131" t="s">
        <v>249</v>
      </c>
      <c r="D4273" s="132" t="n">
        <v>46596</v>
      </c>
      <c r="E4273" s="131" t="s">
        <v>46</v>
      </c>
      <c r="F4273" s="133" t="s">
        <v>24</v>
      </c>
      <c r="G4273" s="134" t="n">
        <f aca="false">LEN('Saisie programme'!$F$150)+SUMIFS('Vols additionnels'!$E$7:$E$66,'Vols additionnels'!$C$7:$C$66,$E4273,'Vols additionnels'!$D$7:$D$66,$F4273,'Vols additionnels'!$B$7:$B$66,$D4273)</f>
        <v>0</v>
      </c>
      <c r="H4273" s="135" t="n">
        <f aca="false">$G4273*'Analyse capacite'!$F$9</f>
        <v>0</v>
      </c>
      <c r="I4273" s="135" t="n">
        <f aca="false">$G4273*'Analyse capacite'!$C$9</f>
        <v>0</v>
      </c>
      <c r="J4273" s="135" t="n">
        <f aca="false">$G4273*'Analyse capacite'!$D$9</f>
        <v>0</v>
      </c>
      <c r="K4273" s="135" t="n">
        <f aca="false">$G4273*'Analyse capacite'!$E$9</f>
        <v>0</v>
      </c>
    </row>
    <row r="4274" customFormat="false" ht="15" hidden="false" customHeight="false" outlineLevel="0" collapsed="false">
      <c r="B4274" s="130" t="n">
        <v>2027</v>
      </c>
      <c r="C4274" s="131" t="s">
        <v>249</v>
      </c>
      <c r="D4274" s="132" t="n">
        <v>46596</v>
      </c>
      <c r="E4274" s="131" t="s">
        <v>49</v>
      </c>
      <c r="F4274" s="133" t="s">
        <v>11</v>
      </c>
      <c r="G4274" s="134" t="n">
        <f aca="false">LEN('Saisie programme'!$F$151)+SUMIFS('Vols additionnels'!$E$7:$E$66,'Vols additionnels'!$C$7:$C$66,$E4274,'Vols additionnels'!$D$7:$D$66,$F4274,'Vols additionnels'!$B$7:$B$66,$D4274)</f>
        <v>0</v>
      </c>
      <c r="H4274" s="135" t="n">
        <f aca="false">$G4274*'Analyse capacite'!$F$7</f>
        <v>0</v>
      </c>
      <c r="I4274" s="135" t="n">
        <f aca="false">$G4274*'Analyse capacite'!$C$7</f>
        <v>0</v>
      </c>
      <c r="J4274" s="135" t="n">
        <f aca="false">$G4274*'Analyse capacite'!$D$7</f>
        <v>0</v>
      </c>
      <c r="K4274" s="135" t="n">
        <f aca="false">$G4274*'Analyse capacite'!$E$7</f>
        <v>0</v>
      </c>
    </row>
    <row r="4275" customFormat="false" ht="15" hidden="false" customHeight="false" outlineLevel="0" collapsed="false">
      <c r="B4275" s="130" t="n">
        <v>2027</v>
      </c>
      <c r="C4275" s="131" t="s">
        <v>249</v>
      </c>
      <c r="D4275" s="132" t="n">
        <v>46596</v>
      </c>
      <c r="E4275" s="131" t="s">
        <v>49</v>
      </c>
      <c r="F4275" s="133" t="s">
        <v>19</v>
      </c>
      <c r="G4275" s="134" t="n">
        <f aca="false">LEN('Saisie programme'!$F$152)+SUMIFS('Vols additionnels'!$E$7:$E$66,'Vols additionnels'!$C$7:$C$66,$E4275,'Vols additionnels'!$D$7:$D$66,$F4275,'Vols additionnels'!$B$7:$B$66,$D4275)</f>
        <v>0</v>
      </c>
      <c r="H4275" s="135" t="n">
        <f aca="false">$G4275*'Analyse capacite'!$F$8</f>
        <v>0</v>
      </c>
      <c r="I4275" s="135" t="n">
        <f aca="false">$G4275*'Analyse capacite'!$C$8</f>
        <v>0</v>
      </c>
      <c r="J4275" s="135" t="n">
        <f aca="false">$G4275*'Analyse capacite'!$D$8</f>
        <v>0</v>
      </c>
      <c r="K4275" s="135" t="n">
        <f aca="false">$G4275*'Analyse capacite'!$E$8</f>
        <v>0</v>
      </c>
    </row>
    <row r="4276" customFormat="false" ht="15" hidden="false" customHeight="false" outlineLevel="0" collapsed="false">
      <c r="B4276" s="130" t="n">
        <v>2027</v>
      </c>
      <c r="C4276" s="131" t="s">
        <v>249</v>
      </c>
      <c r="D4276" s="132" t="n">
        <v>46596</v>
      </c>
      <c r="E4276" s="131" t="s">
        <v>49</v>
      </c>
      <c r="F4276" s="133" t="s">
        <v>24</v>
      </c>
      <c r="G4276" s="134" t="n">
        <f aca="false">LEN('Saisie programme'!$F$153)+SUMIFS('Vols additionnels'!$E$7:$E$66,'Vols additionnels'!$C$7:$C$66,$E4276,'Vols additionnels'!$D$7:$D$66,$F4276,'Vols additionnels'!$B$7:$B$66,$D4276)</f>
        <v>0</v>
      </c>
      <c r="H4276" s="135" t="n">
        <f aca="false">$G4276*'Analyse capacite'!$F$9</f>
        <v>0</v>
      </c>
      <c r="I4276" s="135" t="n">
        <f aca="false">$G4276*'Analyse capacite'!$C$9</f>
        <v>0</v>
      </c>
      <c r="J4276" s="135" t="n">
        <f aca="false">$G4276*'Analyse capacite'!$D$9</f>
        <v>0</v>
      </c>
      <c r="K4276" s="135" t="n">
        <f aca="false">$G4276*'Analyse capacite'!$E$9</f>
        <v>0</v>
      </c>
    </row>
    <row r="4277" customFormat="false" ht="15" hidden="false" customHeight="false" outlineLevel="0" collapsed="false">
      <c r="B4277" s="130" t="n">
        <v>2027</v>
      </c>
      <c r="C4277" s="131" t="s">
        <v>249</v>
      </c>
      <c r="D4277" s="132" t="n">
        <v>46596</v>
      </c>
      <c r="E4277" s="131" t="s">
        <v>53</v>
      </c>
      <c r="F4277" s="133" t="s">
        <v>11</v>
      </c>
      <c r="G4277" s="134" t="n">
        <f aca="false">LEN('Saisie programme'!$F$154)+SUMIFS('Vols additionnels'!$E$7:$E$66,'Vols additionnels'!$C$7:$C$66,$E4277,'Vols additionnels'!$D$7:$D$66,$F4277,'Vols additionnels'!$B$7:$B$66,$D4277)</f>
        <v>0</v>
      </c>
      <c r="H4277" s="135" t="n">
        <f aca="false">$G4277*'Analyse capacite'!$F$7</f>
        <v>0</v>
      </c>
      <c r="I4277" s="135" t="n">
        <f aca="false">$G4277*'Analyse capacite'!$C$7</f>
        <v>0</v>
      </c>
      <c r="J4277" s="135" t="n">
        <f aca="false">$G4277*'Analyse capacite'!$D$7</f>
        <v>0</v>
      </c>
      <c r="K4277" s="135" t="n">
        <f aca="false">$G4277*'Analyse capacite'!$E$7</f>
        <v>0</v>
      </c>
    </row>
    <row r="4278" customFormat="false" ht="15" hidden="false" customHeight="false" outlineLevel="0" collapsed="false">
      <c r="B4278" s="130" t="n">
        <v>2027</v>
      </c>
      <c r="C4278" s="131" t="s">
        <v>249</v>
      </c>
      <c r="D4278" s="132" t="n">
        <v>46596</v>
      </c>
      <c r="E4278" s="131" t="s">
        <v>53</v>
      </c>
      <c r="F4278" s="133" t="s">
        <v>19</v>
      </c>
      <c r="G4278" s="134" t="n">
        <f aca="false">LEN('Saisie programme'!$F$155)+SUMIFS('Vols additionnels'!$E$7:$E$66,'Vols additionnels'!$C$7:$C$66,$E4278,'Vols additionnels'!$D$7:$D$66,$F4278,'Vols additionnels'!$B$7:$B$66,$D4278)</f>
        <v>0</v>
      </c>
      <c r="H4278" s="135" t="n">
        <f aca="false">$G4278*'Analyse capacite'!$F$8</f>
        <v>0</v>
      </c>
      <c r="I4278" s="135" t="n">
        <f aca="false">$G4278*'Analyse capacite'!$C$8</f>
        <v>0</v>
      </c>
      <c r="J4278" s="135" t="n">
        <f aca="false">$G4278*'Analyse capacite'!$D$8</f>
        <v>0</v>
      </c>
      <c r="K4278" s="135" t="n">
        <f aca="false">$G4278*'Analyse capacite'!$E$8</f>
        <v>0</v>
      </c>
    </row>
    <row r="4279" customFormat="false" ht="15" hidden="false" customHeight="false" outlineLevel="0" collapsed="false">
      <c r="B4279" s="130" t="n">
        <v>2027</v>
      </c>
      <c r="C4279" s="131" t="s">
        <v>249</v>
      </c>
      <c r="D4279" s="132" t="n">
        <v>46596</v>
      </c>
      <c r="E4279" s="131" t="s">
        <v>53</v>
      </c>
      <c r="F4279" s="133" t="s">
        <v>24</v>
      </c>
      <c r="G4279" s="134" t="n">
        <f aca="false">LEN('Saisie programme'!$F$156)+SUMIFS('Vols additionnels'!$E$7:$E$66,'Vols additionnels'!$C$7:$C$66,$E4279,'Vols additionnels'!$D$7:$D$66,$F4279,'Vols additionnels'!$B$7:$B$66,$D4279)</f>
        <v>0</v>
      </c>
      <c r="H4279" s="135" t="n">
        <f aca="false">$G4279*'Analyse capacite'!$F$9</f>
        <v>0</v>
      </c>
      <c r="I4279" s="135" t="n">
        <f aca="false">$G4279*'Analyse capacite'!$C$9</f>
        <v>0</v>
      </c>
      <c r="J4279" s="135" t="n">
        <f aca="false">$G4279*'Analyse capacite'!$D$9</f>
        <v>0</v>
      </c>
      <c r="K4279" s="135" t="n">
        <f aca="false">$G4279*'Analyse capacite'!$E$9</f>
        <v>0</v>
      </c>
    </row>
    <row r="4280" customFormat="false" ht="15" hidden="false" customHeight="false" outlineLevel="0" collapsed="false">
      <c r="B4280" s="130" t="n">
        <v>2027</v>
      </c>
      <c r="C4280" s="131" t="s">
        <v>249</v>
      </c>
      <c r="D4280" s="132" t="n">
        <v>46596</v>
      </c>
      <c r="E4280" s="131" t="s">
        <v>56</v>
      </c>
      <c r="F4280" s="133" t="s">
        <v>11</v>
      </c>
      <c r="G4280" s="134" t="n">
        <f aca="false">LEN('Saisie programme'!$F$157)+SUMIFS('Vols additionnels'!$E$7:$E$66,'Vols additionnels'!$C$7:$C$66,$E4280,'Vols additionnels'!$D$7:$D$66,$F4280,'Vols additionnels'!$B$7:$B$66,$D4280)</f>
        <v>0</v>
      </c>
      <c r="H4280" s="135" t="n">
        <f aca="false">$G4280*'Analyse capacite'!$F$7</f>
        <v>0</v>
      </c>
      <c r="I4280" s="135" t="n">
        <f aca="false">$G4280*'Analyse capacite'!$C$7</f>
        <v>0</v>
      </c>
      <c r="J4280" s="135" t="n">
        <f aca="false">$G4280*'Analyse capacite'!$D$7</f>
        <v>0</v>
      </c>
      <c r="K4280" s="135" t="n">
        <f aca="false">$G4280*'Analyse capacite'!$E$7</f>
        <v>0</v>
      </c>
    </row>
    <row r="4281" customFormat="false" ht="15" hidden="false" customHeight="false" outlineLevel="0" collapsed="false">
      <c r="B4281" s="130" t="n">
        <v>2027</v>
      </c>
      <c r="C4281" s="131" t="s">
        <v>249</v>
      </c>
      <c r="D4281" s="132" t="n">
        <v>46596</v>
      </c>
      <c r="E4281" s="131" t="s">
        <v>56</v>
      </c>
      <c r="F4281" s="133" t="s">
        <v>19</v>
      </c>
      <c r="G4281" s="134" t="n">
        <f aca="false">LEN('Saisie programme'!$F$158)+SUMIFS('Vols additionnels'!$E$7:$E$66,'Vols additionnels'!$C$7:$C$66,$E4281,'Vols additionnels'!$D$7:$D$66,$F4281,'Vols additionnels'!$B$7:$B$66,$D4281)</f>
        <v>0</v>
      </c>
      <c r="H4281" s="135" t="n">
        <f aca="false">$G4281*'Analyse capacite'!$F$8</f>
        <v>0</v>
      </c>
      <c r="I4281" s="135" t="n">
        <f aca="false">$G4281*'Analyse capacite'!$C$8</f>
        <v>0</v>
      </c>
      <c r="J4281" s="135" t="n">
        <f aca="false">$G4281*'Analyse capacite'!$D$8</f>
        <v>0</v>
      </c>
      <c r="K4281" s="135" t="n">
        <f aca="false">$G4281*'Analyse capacite'!$E$8</f>
        <v>0</v>
      </c>
    </row>
    <row r="4282" customFormat="false" ht="15" hidden="false" customHeight="false" outlineLevel="0" collapsed="false">
      <c r="B4282" s="130" t="n">
        <v>2027</v>
      </c>
      <c r="C4282" s="131" t="s">
        <v>249</v>
      </c>
      <c r="D4282" s="132" t="n">
        <v>46596</v>
      </c>
      <c r="E4282" s="131" t="s">
        <v>56</v>
      </c>
      <c r="F4282" s="133" t="s">
        <v>24</v>
      </c>
      <c r="G4282" s="134" t="n">
        <f aca="false">LEN('Saisie programme'!$F$159)+SUMIFS('Vols additionnels'!$E$7:$E$66,'Vols additionnels'!$C$7:$C$66,$E4282,'Vols additionnels'!$D$7:$D$66,$F4282,'Vols additionnels'!$B$7:$B$66,$D4282)</f>
        <v>0</v>
      </c>
      <c r="H4282" s="135" t="n">
        <f aca="false">$G4282*'Analyse capacite'!$F$9</f>
        <v>0</v>
      </c>
      <c r="I4282" s="135" t="n">
        <f aca="false">$G4282*'Analyse capacite'!$C$9</f>
        <v>0</v>
      </c>
      <c r="J4282" s="135" t="n">
        <f aca="false">$G4282*'Analyse capacite'!$D$9</f>
        <v>0</v>
      </c>
      <c r="K4282" s="135" t="n">
        <f aca="false">$G4282*'Analyse capacite'!$E$9</f>
        <v>0</v>
      </c>
    </row>
    <row r="4283" customFormat="false" ht="15" hidden="false" customHeight="false" outlineLevel="0" collapsed="false">
      <c r="B4283" s="130" t="n">
        <v>2027</v>
      </c>
      <c r="C4283" s="131" t="s">
        <v>249</v>
      </c>
      <c r="D4283" s="132" t="n">
        <v>46596</v>
      </c>
      <c r="E4283" s="131" t="s">
        <v>59</v>
      </c>
      <c r="F4283" s="133" t="s">
        <v>11</v>
      </c>
      <c r="G4283" s="134" t="n">
        <f aca="false">LEN('Saisie programme'!$F$160)+SUMIFS('Vols additionnels'!$E$7:$E$66,'Vols additionnels'!$C$7:$C$66,$E4283,'Vols additionnels'!$D$7:$D$66,$F4283,'Vols additionnels'!$B$7:$B$66,$D4283)</f>
        <v>0</v>
      </c>
      <c r="H4283" s="135" t="n">
        <f aca="false">$G4283*'Analyse capacite'!$F$7</f>
        <v>0</v>
      </c>
      <c r="I4283" s="135" t="n">
        <f aca="false">$G4283*'Analyse capacite'!$C$7</f>
        <v>0</v>
      </c>
      <c r="J4283" s="135" t="n">
        <f aca="false">$G4283*'Analyse capacite'!$D$7</f>
        <v>0</v>
      </c>
      <c r="K4283" s="135" t="n">
        <f aca="false">$G4283*'Analyse capacite'!$E$7</f>
        <v>0</v>
      </c>
    </row>
    <row r="4284" customFormat="false" ht="15" hidden="false" customHeight="false" outlineLevel="0" collapsed="false">
      <c r="B4284" s="130" t="n">
        <v>2027</v>
      </c>
      <c r="C4284" s="131" t="s">
        <v>249</v>
      </c>
      <c r="D4284" s="132" t="n">
        <v>46596</v>
      </c>
      <c r="E4284" s="131" t="s">
        <v>59</v>
      </c>
      <c r="F4284" s="133" t="s">
        <v>19</v>
      </c>
      <c r="G4284" s="134" t="n">
        <f aca="false">LEN('Saisie programme'!$F$161)+SUMIFS('Vols additionnels'!$E$7:$E$66,'Vols additionnels'!$C$7:$C$66,$E4284,'Vols additionnels'!$D$7:$D$66,$F4284,'Vols additionnels'!$B$7:$B$66,$D4284)</f>
        <v>0</v>
      </c>
      <c r="H4284" s="135" t="n">
        <f aca="false">$G4284*'Analyse capacite'!$F$8</f>
        <v>0</v>
      </c>
      <c r="I4284" s="135" t="n">
        <f aca="false">$G4284*'Analyse capacite'!$C$8</f>
        <v>0</v>
      </c>
      <c r="J4284" s="135" t="n">
        <f aca="false">$G4284*'Analyse capacite'!$D$8</f>
        <v>0</v>
      </c>
      <c r="K4284" s="135" t="n">
        <f aca="false">$G4284*'Analyse capacite'!$E$8</f>
        <v>0</v>
      </c>
    </row>
    <row r="4285" customFormat="false" ht="15" hidden="false" customHeight="false" outlineLevel="0" collapsed="false">
      <c r="B4285" s="130" t="n">
        <v>2027</v>
      </c>
      <c r="C4285" s="131" t="s">
        <v>249</v>
      </c>
      <c r="D4285" s="132" t="n">
        <v>46596</v>
      </c>
      <c r="E4285" s="131" t="s">
        <v>59</v>
      </c>
      <c r="F4285" s="133" t="s">
        <v>24</v>
      </c>
      <c r="G4285" s="134" t="n">
        <f aca="false">LEN('Saisie programme'!$F$162)+SUMIFS('Vols additionnels'!$E$7:$E$66,'Vols additionnels'!$C$7:$C$66,$E4285,'Vols additionnels'!$D$7:$D$66,$F4285,'Vols additionnels'!$B$7:$B$66,$D4285)</f>
        <v>1</v>
      </c>
      <c r="H4285" s="135" t="n">
        <f aca="false">$G4285*'Analyse capacite'!$F$9</f>
        <v>174</v>
      </c>
      <c r="I4285" s="135" t="n">
        <f aca="false">$G4285*'Analyse capacite'!$C$9</f>
        <v>0</v>
      </c>
      <c r="J4285" s="135" t="n">
        <f aca="false">$G4285*'Analyse capacite'!$D$9</f>
        <v>12</v>
      </c>
      <c r="K4285" s="135" t="n">
        <f aca="false">$G4285*'Analyse capacite'!$E$9</f>
        <v>162</v>
      </c>
    </row>
    <row r="4286" customFormat="false" ht="15" hidden="false" customHeight="false" outlineLevel="0" collapsed="false">
      <c r="B4286" s="130" t="n">
        <v>2027</v>
      </c>
      <c r="C4286" s="131" t="s">
        <v>249</v>
      </c>
      <c r="D4286" s="132" t="n">
        <v>46596</v>
      </c>
      <c r="E4286" s="131" t="s">
        <v>62</v>
      </c>
      <c r="F4286" s="133" t="s">
        <v>11</v>
      </c>
      <c r="G4286" s="134" t="n">
        <f aca="false">LEN('Saisie programme'!$F$163)+SUMIFS('Vols additionnels'!$E$7:$E$66,'Vols additionnels'!$C$7:$C$66,$E4286,'Vols additionnels'!$D$7:$D$66,$F4286,'Vols additionnels'!$B$7:$B$66,$D4286)</f>
        <v>0</v>
      </c>
      <c r="H4286" s="135" t="n">
        <f aca="false">$G4286*'Analyse capacite'!$F$7</f>
        <v>0</v>
      </c>
      <c r="I4286" s="135" t="n">
        <f aca="false">$G4286*'Analyse capacite'!$C$7</f>
        <v>0</v>
      </c>
      <c r="J4286" s="135" t="n">
        <f aca="false">$G4286*'Analyse capacite'!$D$7</f>
        <v>0</v>
      </c>
      <c r="K4286" s="135" t="n">
        <f aca="false">$G4286*'Analyse capacite'!$E$7</f>
        <v>0</v>
      </c>
    </row>
    <row r="4287" customFormat="false" ht="15" hidden="false" customHeight="false" outlineLevel="0" collapsed="false">
      <c r="B4287" s="130" t="n">
        <v>2027</v>
      </c>
      <c r="C4287" s="131" t="s">
        <v>249</v>
      </c>
      <c r="D4287" s="132" t="n">
        <v>46596</v>
      </c>
      <c r="E4287" s="131" t="s">
        <v>62</v>
      </c>
      <c r="F4287" s="133" t="s">
        <v>19</v>
      </c>
      <c r="G4287" s="134" t="n">
        <f aca="false">LEN('Saisie programme'!$F$164)+SUMIFS('Vols additionnels'!$E$7:$E$66,'Vols additionnels'!$C$7:$C$66,$E4287,'Vols additionnels'!$D$7:$D$66,$F4287,'Vols additionnels'!$B$7:$B$66,$D4287)</f>
        <v>0</v>
      </c>
      <c r="H4287" s="135" t="n">
        <f aca="false">$G4287*'Analyse capacite'!$F$8</f>
        <v>0</v>
      </c>
      <c r="I4287" s="135" t="n">
        <f aca="false">$G4287*'Analyse capacite'!$C$8</f>
        <v>0</v>
      </c>
      <c r="J4287" s="135" t="n">
        <f aca="false">$G4287*'Analyse capacite'!$D$8</f>
        <v>0</v>
      </c>
      <c r="K4287" s="135" t="n">
        <f aca="false">$G4287*'Analyse capacite'!$E$8</f>
        <v>0</v>
      </c>
    </row>
    <row r="4288" customFormat="false" ht="15" hidden="false" customHeight="false" outlineLevel="0" collapsed="false">
      <c r="B4288" s="130" t="n">
        <v>2027</v>
      </c>
      <c r="C4288" s="131" t="s">
        <v>249</v>
      </c>
      <c r="D4288" s="132" t="n">
        <v>46596</v>
      </c>
      <c r="E4288" s="131" t="s">
        <v>62</v>
      </c>
      <c r="F4288" s="133" t="s">
        <v>24</v>
      </c>
      <c r="G4288" s="134" t="n">
        <f aca="false">LEN('Saisie programme'!$F$165)+SUMIFS('Vols additionnels'!$E$7:$E$66,'Vols additionnels'!$C$7:$C$66,$E4288,'Vols additionnels'!$D$7:$D$66,$F4288,'Vols additionnels'!$B$7:$B$66,$D4288)</f>
        <v>1</v>
      </c>
      <c r="H4288" s="135" t="n">
        <f aca="false">$G4288*'Analyse capacite'!$F$9</f>
        <v>174</v>
      </c>
      <c r="I4288" s="135" t="n">
        <f aca="false">$G4288*'Analyse capacite'!$C$9</f>
        <v>0</v>
      </c>
      <c r="J4288" s="135" t="n">
        <f aca="false">$G4288*'Analyse capacite'!$D$9</f>
        <v>12</v>
      </c>
      <c r="K4288" s="135" t="n">
        <f aca="false">$G4288*'Analyse capacite'!$E$9</f>
        <v>162</v>
      </c>
    </row>
    <row r="4289" customFormat="false" ht="15" hidden="false" customHeight="false" outlineLevel="0" collapsed="false">
      <c r="B4289" s="130" t="n">
        <v>2027</v>
      </c>
      <c r="C4289" s="131" t="s">
        <v>249</v>
      </c>
      <c r="D4289" s="132" t="n">
        <v>46597</v>
      </c>
      <c r="E4289" s="131" t="s">
        <v>12</v>
      </c>
      <c r="F4289" s="133" t="s">
        <v>11</v>
      </c>
      <c r="G4289" s="134" t="n">
        <f aca="false">LEN('Saisie programme'!$G$130)+SUMIFS('Vols additionnels'!$E$7:$E$66,'Vols additionnels'!$C$7:$C$66,$E4289,'Vols additionnels'!$D$7:$D$66,$F4289,'Vols additionnels'!$B$7:$B$66,$D4289)</f>
        <v>1</v>
      </c>
      <c r="H4289" s="135" t="n">
        <f aca="false">$G4289*'Analyse capacite'!$F$7</f>
        <v>438</v>
      </c>
      <c r="I4289" s="135" t="n">
        <f aca="false">$G4289*'Analyse capacite'!$C$7</f>
        <v>14</v>
      </c>
      <c r="J4289" s="135" t="n">
        <f aca="false">$G4289*'Analyse capacite'!$D$7</f>
        <v>40</v>
      </c>
      <c r="K4289" s="135" t="n">
        <f aca="false">$G4289*'Analyse capacite'!$E$7</f>
        <v>384</v>
      </c>
    </row>
    <row r="4290" customFormat="false" ht="15" hidden="false" customHeight="false" outlineLevel="0" collapsed="false">
      <c r="B4290" s="130" t="n">
        <v>2027</v>
      </c>
      <c r="C4290" s="131" t="s">
        <v>249</v>
      </c>
      <c r="D4290" s="132" t="n">
        <v>46597</v>
      </c>
      <c r="E4290" s="131" t="s">
        <v>12</v>
      </c>
      <c r="F4290" s="133" t="s">
        <v>19</v>
      </c>
      <c r="G4290" s="134" t="n">
        <f aca="false">LEN('Saisie programme'!$G$131)+SUMIFS('Vols additionnels'!$E$7:$E$66,'Vols additionnels'!$C$7:$C$66,$E4290,'Vols additionnels'!$D$7:$D$66,$F4290,'Vols additionnels'!$B$7:$B$66,$D4290)</f>
        <v>0</v>
      </c>
      <c r="H4290" s="135" t="n">
        <f aca="false">$G4290*'Analyse capacite'!$F$8</f>
        <v>0</v>
      </c>
      <c r="I4290" s="135" t="n">
        <f aca="false">$G4290*'Analyse capacite'!$C$8</f>
        <v>0</v>
      </c>
      <c r="J4290" s="135" t="n">
        <f aca="false">$G4290*'Analyse capacite'!$D$8</f>
        <v>0</v>
      </c>
      <c r="K4290" s="135" t="n">
        <f aca="false">$G4290*'Analyse capacite'!$E$8</f>
        <v>0</v>
      </c>
    </row>
    <row r="4291" customFormat="false" ht="15" hidden="false" customHeight="false" outlineLevel="0" collapsed="false">
      <c r="B4291" s="130" t="n">
        <v>2027</v>
      </c>
      <c r="C4291" s="131" t="s">
        <v>249</v>
      </c>
      <c r="D4291" s="132" t="n">
        <v>46597</v>
      </c>
      <c r="E4291" s="131" t="s">
        <v>12</v>
      </c>
      <c r="F4291" s="133" t="s">
        <v>24</v>
      </c>
      <c r="G4291" s="134" t="n">
        <f aca="false">LEN('Saisie programme'!$G$132)+SUMIFS('Vols additionnels'!$E$7:$E$66,'Vols additionnels'!$C$7:$C$66,$E4291,'Vols additionnels'!$D$7:$D$66,$F4291,'Vols additionnels'!$B$7:$B$66,$D4291)</f>
        <v>0</v>
      </c>
      <c r="H4291" s="135" t="n">
        <f aca="false">$G4291*'Analyse capacite'!$F$9</f>
        <v>0</v>
      </c>
      <c r="I4291" s="135" t="n">
        <f aca="false">$G4291*'Analyse capacite'!$C$9</f>
        <v>0</v>
      </c>
      <c r="J4291" s="135" t="n">
        <f aca="false">$G4291*'Analyse capacite'!$D$9</f>
        <v>0</v>
      </c>
      <c r="K4291" s="135" t="n">
        <f aca="false">$G4291*'Analyse capacite'!$E$9</f>
        <v>0</v>
      </c>
    </row>
    <row r="4292" customFormat="false" ht="15" hidden="false" customHeight="false" outlineLevel="0" collapsed="false">
      <c r="B4292" s="130" t="n">
        <v>2027</v>
      </c>
      <c r="C4292" s="131" t="s">
        <v>249</v>
      </c>
      <c r="D4292" s="132" t="n">
        <v>46597</v>
      </c>
      <c r="E4292" s="131" t="s">
        <v>20</v>
      </c>
      <c r="F4292" s="133" t="s">
        <v>11</v>
      </c>
      <c r="G4292" s="134" t="n">
        <f aca="false">LEN('Saisie programme'!$G$133)+SUMIFS('Vols additionnels'!$E$7:$E$66,'Vols additionnels'!$C$7:$C$66,$E4292,'Vols additionnels'!$D$7:$D$66,$F4292,'Vols additionnels'!$B$7:$B$66,$D4292)</f>
        <v>0</v>
      </c>
      <c r="H4292" s="135" t="n">
        <f aca="false">$G4292*'Analyse capacite'!$F$7</f>
        <v>0</v>
      </c>
      <c r="I4292" s="135" t="n">
        <f aca="false">$G4292*'Analyse capacite'!$C$7</f>
        <v>0</v>
      </c>
      <c r="J4292" s="135" t="n">
        <f aca="false">$G4292*'Analyse capacite'!$D$7</f>
        <v>0</v>
      </c>
      <c r="K4292" s="135" t="n">
        <f aca="false">$G4292*'Analyse capacite'!$E$7</f>
        <v>0</v>
      </c>
    </row>
    <row r="4293" customFormat="false" ht="15" hidden="false" customHeight="false" outlineLevel="0" collapsed="false">
      <c r="B4293" s="130" t="n">
        <v>2027</v>
      </c>
      <c r="C4293" s="131" t="s">
        <v>249</v>
      </c>
      <c r="D4293" s="132" t="n">
        <v>46597</v>
      </c>
      <c r="E4293" s="131" t="s">
        <v>20</v>
      </c>
      <c r="F4293" s="133" t="s">
        <v>19</v>
      </c>
      <c r="G4293" s="134" t="n">
        <f aca="false">LEN('Saisie programme'!$G$134)+SUMIFS('Vols additionnels'!$E$7:$E$66,'Vols additionnels'!$C$7:$C$66,$E4293,'Vols additionnels'!$D$7:$D$66,$F4293,'Vols additionnels'!$B$7:$B$66,$D4293)</f>
        <v>0</v>
      </c>
      <c r="H4293" s="135" t="n">
        <f aca="false">$G4293*'Analyse capacite'!$F$8</f>
        <v>0</v>
      </c>
      <c r="I4293" s="135" t="n">
        <f aca="false">$G4293*'Analyse capacite'!$C$8</f>
        <v>0</v>
      </c>
      <c r="J4293" s="135" t="n">
        <f aca="false">$G4293*'Analyse capacite'!$D$8</f>
        <v>0</v>
      </c>
      <c r="K4293" s="135" t="n">
        <f aca="false">$G4293*'Analyse capacite'!$E$8</f>
        <v>0</v>
      </c>
    </row>
    <row r="4294" customFormat="false" ht="15" hidden="false" customHeight="false" outlineLevel="0" collapsed="false">
      <c r="B4294" s="130" t="n">
        <v>2027</v>
      </c>
      <c r="C4294" s="131" t="s">
        <v>249</v>
      </c>
      <c r="D4294" s="132" t="n">
        <v>46597</v>
      </c>
      <c r="E4294" s="131" t="s">
        <v>20</v>
      </c>
      <c r="F4294" s="133" t="s">
        <v>24</v>
      </c>
      <c r="G4294" s="134" t="n">
        <f aca="false">LEN('Saisie programme'!$G$135)+SUMIFS('Vols additionnels'!$E$7:$E$66,'Vols additionnels'!$C$7:$C$66,$E4294,'Vols additionnels'!$D$7:$D$66,$F4294,'Vols additionnels'!$B$7:$B$66,$D4294)</f>
        <v>0</v>
      </c>
      <c r="H4294" s="135" t="n">
        <f aca="false">$G4294*'Analyse capacite'!$F$9</f>
        <v>0</v>
      </c>
      <c r="I4294" s="135" t="n">
        <f aca="false">$G4294*'Analyse capacite'!$C$9</f>
        <v>0</v>
      </c>
      <c r="J4294" s="135" t="n">
        <f aca="false">$G4294*'Analyse capacite'!$D$9</f>
        <v>0</v>
      </c>
      <c r="K4294" s="135" t="n">
        <f aca="false">$G4294*'Analyse capacite'!$E$9</f>
        <v>0</v>
      </c>
    </row>
    <row r="4295" customFormat="false" ht="15" hidden="false" customHeight="false" outlineLevel="0" collapsed="false">
      <c r="B4295" s="130" t="n">
        <v>2027</v>
      </c>
      <c r="C4295" s="131" t="s">
        <v>249</v>
      </c>
      <c r="D4295" s="132" t="n">
        <v>46597</v>
      </c>
      <c r="E4295" s="131" t="s">
        <v>25</v>
      </c>
      <c r="F4295" s="133" t="s">
        <v>11</v>
      </c>
      <c r="G4295" s="134" t="n">
        <f aca="false">LEN('Saisie programme'!$G$136)+SUMIFS('Vols additionnels'!$E$7:$E$66,'Vols additionnels'!$C$7:$C$66,$E4295,'Vols additionnels'!$D$7:$D$66,$F4295,'Vols additionnels'!$B$7:$B$66,$D4295)</f>
        <v>0</v>
      </c>
      <c r="H4295" s="135" t="n">
        <f aca="false">$G4295*'Analyse capacite'!$F$7</f>
        <v>0</v>
      </c>
      <c r="I4295" s="135" t="n">
        <f aca="false">$G4295*'Analyse capacite'!$C$7</f>
        <v>0</v>
      </c>
      <c r="J4295" s="135" t="n">
        <f aca="false">$G4295*'Analyse capacite'!$D$7</f>
        <v>0</v>
      </c>
      <c r="K4295" s="135" t="n">
        <f aca="false">$G4295*'Analyse capacite'!$E$7</f>
        <v>0</v>
      </c>
    </row>
    <row r="4296" customFormat="false" ht="15" hidden="false" customHeight="false" outlineLevel="0" collapsed="false">
      <c r="B4296" s="130" t="n">
        <v>2027</v>
      </c>
      <c r="C4296" s="131" t="s">
        <v>249</v>
      </c>
      <c r="D4296" s="132" t="n">
        <v>46597</v>
      </c>
      <c r="E4296" s="131" t="s">
        <v>25</v>
      </c>
      <c r="F4296" s="133" t="s">
        <v>19</v>
      </c>
      <c r="G4296" s="134" t="n">
        <f aca="false">LEN('Saisie programme'!$G$137)+SUMIFS('Vols additionnels'!$E$7:$E$66,'Vols additionnels'!$C$7:$C$66,$E4296,'Vols additionnels'!$D$7:$D$66,$F4296,'Vols additionnels'!$B$7:$B$66,$D4296)</f>
        <v>0</v>
      </c>
      <c r="H4296" s="135" t="n">
        <f aca="false">$G4296*'Analyse capacite'!$F$8</f>
        <v>0</v>
      </c>
      <c r="I4296" s="135" t="n">
        <f aca="false">$G4296*'Analyse capacite'!$C$8</f>
        <v>0</v>
      </c>
      <c r="J4296" s="135" t="n">
        <f aca="false">$G4296*'Analyse capacite'!$D$8</f>
        <v>0</v>
      </c>
      <c r="K4296" s="135" t="n">
        <f aca="false">$G4296*'Analyse capacite'!$E$8</f>
        <v>0</v>
      </c>
    </row>
    <row r="4297" customFormat="false" ht="15" hidden="false" customHeight="false" outlineLevel="0" collapsed="false">
      <c r="B4297" s="130" t="n">
        <v>2027</v>
      </c>
      <c r="C4297" s="131" t="s">
        <v>249</v>
      </c>
      <c r="D4297" s="132" t="n">
        <v>46597</v>
      </c>
      <c r="E4297" s="131" t="s">
        <v>25</v>
      </c>
      <c r="F4297" s="133" t="s">
        <v>24</v>
      </c>
      <c r="G4297" s="134" t="n">
        <f aca="false">LEN('Saisie programme'!$G$138)+SUMIFS('Vols additionnels'!$E$7:$E$66,'Vols additionnels'!$C$7:$C$66,$E4297,'Vols additionnels'!$D$7:$D$66,$F4297,'Vols additionnels'!$B$7:$B$66,$D4297)</f>
        <v>0</v>
      </c>
      <c r="H4297" s="135" t="n">
        <f aca="false">$G4297*'Analyse capacite'!$F$9</f>
        <v>0</v>
      </c>
      <c r="I4297" s="135" t="n">
        <f aca="false">$G4297*'Analyse capacite'!$C$9</f>
        <v>0</v>
      </c>
      <c r="J4297" s="135" t="n">
        <f aca="false">$G4297*'Analyse capacite'!$D$9</f>
        <v>0</v>
      </c>
      <c r="K4297" s="135" t="n">
        <f aca="false">$G4297*'Analyse capacite'!$E$9</f>
        <v>0</v>
      </c>
    </row>
    <row r="4298" customFormat="false" ht="15" hidden="false" customHeight="false" outlineLevel="0" collapsed="false">
      <c r="B4298" s="130" t="n">
        <v>2027</v>
      </c>
      <c r="C4298" s="131" t="s">
        <v>249</v>
      </c>
      <c r="D4298" s="132" t="n">
        <v>46597</v>
      </c>
      <c r="E4298" s="131" t="s">
        <v>36</v>
      </c>
      <c r="F4298" s="133" t="s">
        <v>11</v>
      </c>
      <c r="G4298" s="134" t="n">
        <f aca="false">LEN('Saisie programme'!$G$139)+SUMIFS('Vols additionnels'!$E$7:$E$66,'Vols additionnels'!$C$7:$C$66,$E4298,'Vols additionnels'!$D$7:$D$66,$F4298,'Vols additionnels'!$B$7:$B$66,$D4298)</f>
        <v>0</v>
      </c>
      <c r="H4298" s="135" t="n">
        <f aca="false">$G4298*'Analyse capacite'!$F$7</f>
        <v>0</v>
      </c>
      <c r="I4298" s="135" t="n">
        <f aca="false">$G4298*'Analyse capacite'!$C$7</f>
        <v>0</v>
      </c>
      <c r="J4298" s="135" t="n">
        <f aca="false">$G4298*'Analyse capacite'!$D$7</f>
        <v>0</v>
      </c>
      <c r="K4298" s="135" t="n">
        <f aca="false">$G4298*'Analyse capacite'!$E$7</f>
        <v>0</v>
      </c>
    </row>
    <row r="4299" customFormat="false" ht="15" hidden="false" customHeight="false" outlineLevel="0" collapsed="false">
      <c r="B4299" s="130" t="n">
        <v>2027</v>
      </c>
      <c r="C4299" s="131" t="s">
        <v>249</v>
      </c>
      <c r="D4299" s="132" t="n">
        <v>46597</v>
      </c>
      <c r="E4299" s="131" t="s">
        <v>36</v>
      </c>
      <c r="F4299" s="133" t="s">
        <v>19</v>
      </c>
      <c r="G4299" s="134" t="n">
        <f aca="false">LEN('Saisie programme'!$G$140)+SUMIFS('Vols additionnels'!$E$7:$E$66,'Vols additionnels'!$C$7:$C$66,$E4299,'Vols additionnels'!$D$7:$D$66,$F4299,'Vols additionnels'!$B$7:$B$66,$D4299)</f>
        <v>0</v>
      </c>
      <c r="H4299" s="135" t="n">
        <f aca="false">$G4299*'Analyse capacite'!$F$8</f>
        <v>0</v>
      </c>
      <c r="I4299" s="135" t="n">
        <f aca="false">$G4299*'Analyse capacite'!$C$8</f>
        <v>0</v>
      </c>
      <c r="J4299" s="135" t="n">
        <f aca="false">$G4299*'Analyse capacite'!$D$8</f>
        <v>0</v>
      </c>
      <c r="K4299" s="135" t="n">
        <f aca="false">$G4299*'Analyse capacite'!$E$8</f>
        <v>0</v>
      </c>
    </row>
    <row r="4300" customFormat="false" ht="15" hidden="false" customHeight="false" outlineLevel="0" collapsed="false">
      <c r="B4300" s="130" t="n">
        <v>2027</v>
      </c>
      <c r="C4300" s="131" t="s">
        <v>249</v>
      </c>
      <c r="D4300" s="132" t="n">
        <v>46597</v>
      </c>
      <c r="E4300" s="131" t="s">
        <v>36</v>
      </c>
      <c r="F4300" s="133" t="s">
        <v>24</v>
      </c>
      <c r="G4300" s="134" t="n">
        <f aca="false">LEN('Saisie programme'!$G$141)+SUMIFS('Vols additionnels'!$E$7:$E$66,'Vols additionnels'!$C$7:$C$66,$E4300,'Vols additionnels'!$D$7:$D$66,$F4300,'Vols additionnels'!$B$7:$B$66,$D4300)</f>
        <v>1</v>
      </c>
      <c r="H4300" s="135" t="n">
        <f aca="false">$G4300*'Analyse capacite'!$F$9</f>
        <v>174</v>
      </c>
      <c r="I4300" s="135" t="n">
        <f aca="false">$G4300*'Analyse capacite'!$C$9</f>
        <v>0</v>
      </c>
      <c r="J4300" s="135" t="n">
        <f aca="false">$G4300*'Analyse capacite'!$D$9</f>
        <v>12</v>
      </c>
      <c r="K4300" s="135" t="n">
        <f aca="false">$G4300*'Analyse capacite'!$E$9</f>
        <v>162</v>
      </c>
    </row>
    <row r="4301" customFormat="false" ht="15" hidden="false" customHeight="false" outlineLevel="0" collapsed="false">
      <c r="B4301" s="130" t="n">
        <v>2027</v>
      </c>
      <c r="C4301" s="131" t="s">
        <v>249</v>
      </c>
      <c r="D4301" s="132" t="n">
        <v>46597</v>
      </c>
      <c r="E4301" s="131" t="s">
        <v>40</v>
      </c>
      <c r="F4301" s="133" t="s">
        <v>11</v>
      </c>
      <c r="G4301" s="134" t="n">
        <f aca="false">LEN('Saisie programme'!$G$142)+SUMIFS('Vols additionnels'!$E$7:$E$66,'Vols additionnels'!$C$7:$C$66,$E4301,'Vols additionnels'!$D$7:$D$66,$F4301,'Vols additionnels'!$B$7:$B$66,$D4301)</f>
        <v>0</v>
      </c>
      <c r="H4301" s="135" t="n">
        <f aca="false">$G4301*'Analyse capacite'!$F$7</f>
        <v>0</v>
      </c>
      <c r="I4301" s="135" t="n">
        <f aca="false">$G4301*'Analyse capacite'!$C$7</f>
        <v>0</v>
      </c>
      <c r="J4301" s="135" t="n">
        <f aca="false">$G4301*'Analyse capacite'!$D$7</f>
        <v>0</v>
      </c>
      <c r="K4301" s="135" t="n">
        <f aca="false">$G4301*'Analyse capacite'!$E$7</f>
        <v>0</v>
      </c>
    </row>
    <row r="4302" customFormat="false" ht="15" hidden="false" customHeight="false" outlineLevel="0" collapsed="false">
      <c r="B4302" s="130" t="n">
        <v>2027</v>
      </c>
      <c r="C4302" s="131" t="s">
        <v>249</v>
      </c>
      <c r="D4302" s="132" t="n">
        <v>46597</v>
      </c>
      <c r="E4302" s="131" t="s">
        <v>40</v>
      </c>
      <c r="F4302" s="133" t="s">
        <v>19</v>
      </c>
      <c r="G4302" s="134" t="n">
        <f aca="false">LEN('Saisie programme'!$G$143)+SUMIFS('Vols additionnels'!$E$7:$E$66,'Vols additionnels'!$C$7:$C$66,$E4302,'Vols additionnels'!$D$7:$D$66,$F4302,'Vols additionnels'!$B$7:$B$66,$D4302)</f>
        <v>0</v>
      </c>
      <c r="H4302" s="135" t="n">
        <f aca="false">$G4302*'Analyse capacite'!$F$8</f>
        <v>0</v>
      </c>
      <c r="I4302" s="135" t="n">
        <f aca="false">$G4302*'Analyse capacite'!$C$8</f>
        <v>0</v>
      </c>
      <c r="J4302" s="135" t="n">
        <f aca="false">$G4302*'Analyse capacite'!$D$8</f>
        <v>0</v>
      </c>
      <c r="K4302" s="135" t="n">
        <f aca="false">$G4302*'Analyse capacite'!$E$8</f>
        <v>0</v>
      </c>
    </row>
    <row r="4303" customFormat="false" ht="15" hidden="false" customHeight="false" outlineLevel="0" collapsed="false">
      <c r="B4303" s="130" t="n">
        <v>2027</v>
      </c>
      <c r="C4303" s="131" t="s">
        <v>249</v>
      </c>
      <c r="D4303" s="132" t="n">
        <v>46597</v>
      </c>
      <c r="E4303" s="131" t="s">
        <v>40</v>
      </c>
      <c r="F4303" s="133" t="s">
        <v>24</v>
      </c>
      <c r="G4303" s="134" t="n">
        <f aca="false">LEN('Saisie programme'!$G$144)+SUMIFS('Vols additionnels'!$E$7:$E$66,'Vols additionnels'!$C$7:$C$66,$E4303,'Vols additionnels'!$D$7:$D$66,$F4303,'Vols additionnels'!$B$7:$B$66,$D4303)</f>
        <v>0</v>
      </c>
      <c r="H4303" s="135" t="n">
        <f aca="false">$G4303*'Analyse capacite'!$F$9</f>
        <v>0</v>
      </c>
      <c r="I4303" s="135" t="n">
        <f aca="false">$G4303*'Analyse capacite'!$C$9</f>
        <v>0</v>
      </c>
      <c r="J4303" s="135" t="n">
        <f aca="false">$G4303*'Analyse capacite'!$D$9</f>
        <v>0</v>
      </c>
      <c r="K4303" s="135" t="n">
        <f aca="false">$G4303*'Analyse capacite'!$E$9</f>
        <v>0</v>
      </c>
    </row>
    <row r="4304" customFormat="false" ht="15" hidden="false" customHeight="false" outlineLevel="0" collapsed="false">
      <c r="B4304" s="130" t="n">
        <v>2027</v>
      </c>
      <c r="C4304" s="131" t="s">
        <v>249</v>
      </c>
      <c r="D4304" s="132" t="n">
        <v>46597</v>
      </c>
      <c r="E4304" s="131" t="s">
        <v>14</v>
      </c>
      <c r="F4304" s="133" t="s">
        <v>11</v>
      </c>
      <c r="G4304" s="134" t="n">
        <f aca="false">LEN('Saisie programme'!$G$145)+SUMIFS('Vols additionnels'!$E$7:$E$66,'Vols additionnels'!$C$7:$C$66,$E4304,'Vols additionnels'!$D$7:$D$66,$F4304,'Vols additionnels'!$B$7:$B$66,$D4304)</f>
        <v>0</v>
      </c>
      <c r="H4304" s="135" t="n">
        <f aca="false">$G4304*'Analyse capacite'!$F$7</f>
        <v>0</v>
      </c>
      <c r="I4304" s="135" t="n">
        <f aca="false">$G4304*'Analyse capacite'!$C$7</f>
        <v>0</v>
      </c>
      <c r="J4304" s="135" t="n">
        <f aca="false">$G4304*'Analyse capacite'!$D$7</f>
        <v>0</v>
      </c>
      <c r="K4304" s="135" t="n">
        <f aca="false">$G4304*'Analyse capacite'!$E$7</f>
        <v>0</v>
      </c>
    </row>
    <row r="4305" customFormat="false" ht="15" hidden="false" customHeight="false" outlineLevel="0" collapsed="false">
      <c r="B4305" s="130" t="n">
        <v>2027</v>
      </c>
      <c r="C4305" s="131" t="s">
        <v>249</v>
      </c>
      <c r="D4305" s="132" t="n">
        <v>46597</v>
      </c>
      <c r="E4305" s="131" t="s">
        <v>14</v>
      </c>
      <c r="F4305" s="133" t="s">
        <v>19</v>
      </c>
      <c r="G4305" s="134" t="n">
        <f aca="false">LEN('Saisie programme'!$G$146)+SUMIFS('Vols additionnels'!$E$7:$E$66,'Vols additionnels'!$C$7:$C$66,$E4305,'Vols additionnels'!$D$7:$D$66,$F4305,'Vols additionnels'!$B$7:$B$66,$D4305)</f>
        <v>0</v>
      </c>
      <c r="H4305" s="135" t="n">
        <f aca="false">$G4305*'Analyse capacite'!$F$8</f>
        <v>0</v>
      </c>
      <c r="I4305" s="135" t="n">
        <f aca="false">$G4305*'Analyse capacite'!$C$8</f>
        <v>0</v>
      </c>
      <c r="J4305" s="135" t="n">
        <f aca="false">$G4305*'Analyse capacite'!$D$8</f>
        <v>0</v>
      </c>
      <c r="K4305" s="135" t="n">
        <f aca="false">$G4305*'Analyse capacite'!$E$8</f>
        <v>0</v>
      </c>
    </row>
    <row r="4306" customFormat="false" ht="15" hidden="false" customHeight="false" outlineLevel="0" collapsed="false">
      <c r="B4306" s="130" t="n">
        <v>2027</v>
      </c>
      <c r="C4306" s="131" t="s">
        <v>249</v>
      </c>
      <c r="D4306" s="132" t="n">
        <v>46597</v>
      </c>
      <c r="E4306" s="131" t="s">
        <v>14</v>
      </c>
      <c r="F4306" s="133" t="s">
        <v>24</v>
      </c>
      <c r="G4306" s="134" t="n">
        <f aca="false">LEN('Saisie programme'!$G$147)+SUMIFS('Vols additionnels'!$E$7:$E$66,'Vols additionnels'!$C$7:$C$66,$E4306,'Vols additionnels'!$D$7:$D$66,$F4306,'Vols additionnels'!$B$7:$B$66,$D4306)</f>
        <v>1</v>
      </c>
      <c r="H4306" s="135" t="n">
        <f aca="false">$G4306*'Analyse capacite'!$F$9</f>
        <v>174</v>
      </c>
      <c r="I4306" s="135" t="n">
        <f aca="false">$G4306*'Analyse capacite'!$C$9</f>
        <v>0</v>
      </c>
      <c r="J4306" s="135" t="n">
        <f aca="false">$G4306*'Analyse capacite'!$D$9</f>
        <v>12</v>
      </c>
      <c r="K4306" s="135" t="n">
        <f aca="false">$G4306*'Analyse capacite'!$E$9</f>
        <v>162</v>
      </c>
    </row>
    <row r="4307" customFormat="false" ht="15" hidden="false" customHeight="false" outlineLevel="0" collapsed="false">
      <c r="B4307" s="130" t="n">
        <v>2027</v>
      </c>
      <c r="C4307" s="131" t="s">
        <v>249</v>
      </c>
      <c r="D4307" s="132" t="n">
        <v>46597</v>
      </c>
      <c r="E4307" s="131" t="s">
        <v>46</v>
      </c>
      <c r="F4307" s="133" t="s">
        <v>11</v>
      </c>
      <c r="G4307" s="134" t="n">
        <f aca="false">LEN('Saisie programme'!$G$148)+SUMIFS('Vols additionnels'!$E$7:$E$66,'Vols additionnels'!$C$7:$C$66,$E4307,'Vols additionnels'!$D$7:$D$66,$F4307,'Vols additionnels'!$B$7:$B$66,$D4307)</f>
        <v>0</v>
      </c>
      <c r="H4307" s="135" t="n">
        <f aca="false">$G4307*'Analyse capacite'!$F$7</f>
        <v>0</v>
      </c>
      <c r="I4307" s="135" t="n">
        <f aca="false">$G4307*'Analyse capacite'!$C$7</f>
        <v>0</v>
      </c>
      <c r="J4307" s="135" t="n">
        <f aca="false">$G4307*'Analyse capacite'!$D$7</f>
        <v>0</v>
      </c>
      <c r="K4307" s="135" t="n">
        <f aca="false">$G4307*'Analyse capacite'!$E$7</f>
        <v>0</v>
      </c>
    </row>
    <row r="4308" customFormat="false" ht="15" hidden="false" customHeight="false" outlineLevel="0" collapsed="false">
      <c r="B4308" s="130" t="n">
        <v>2027</v>
      </c>
      <c r="C4308" s="131" t="s">
        <v>249</v>
      </c>
      <c r="D4308" s="132" t="n">
        <v>46597</v>
      </c>
      <c r="E4308" s="131" t="s">
        <v>46</v>
      </c>
      <c r="F4308" s="133" t="s">
        <v>19</v>
      </c>
      <c r="G4308" s="134" t="n">
        <f aca="false">LEN('Saisie programme'!$G$149)+SUMIFS('Vols additionnels'!$E$7:$E$66,'Vols additionnels'!$C$7:$C$66,$E4308,'Vols additionnels'!$D$7:$D$66,$F4308,'Vols additionnels'!$B$7:$B$66,$D4308)</f>
        <v>0</v>
      </c>
      <c r="H4308" s="135" t="n">
        <f aca="false">$G4308*'Analyse capacite'!$F$8</f>
        <v>0</v>
      </c>
      <c r="I4308" s="135" t="n">
        <f aca="false">$G4308*'Analyse capacite'!$C$8</f>
        <v>0</v>
      </c>
      <c r="J4308" s="135" t="n">
        <f aca="false">$G4308*'Analyse capacite'!$D$8</f>
        <v>0</v>
      </c>
      <c r="K4308" s="135" t="n">
        <f aca="false">$G4308*'Analyse capacite'!$E$8</f>
        <v>0</v>
      </c>
    </row>
    <row r="4309" customFormat="false" ht="15" hidden="false" customHeight="false" outlineLevel="0" collapsed="false">
      <c r="B4309" s="130" t="n">
        <v>2027</v>
      </c>
      <c r="C4309" s="131" t="s">
        <v>249</v>
      </c>
      <c r="D4309" s="132" t="n">
        <v>46597</v>
      </c>
      <c r="E4309" s="131" t="s">
        <v>46</v>
      </c>
      <c r="F4309" s="133" t="s">
        <v>24</v>
      </c>
      <c r="G4309" s="134" t="n">
        <f aca="false">LEN('Saisie programme'!$G$150)+SUMIFS('Vols additionnels'!$E$7:$E$66,'Vols additionnels'!$C$7:$C$66,$E4309,'Vols additionnels'!$D$7:$D$66,$F4309,'Vols additionnels'!$B$7:$B$66,$D4309)</f>
        <v>1</v>
      </c>
      <c r="H4309" s="135" t="n">
        <f aca="false">$G4309*'Analyse capacite'!$F$9</f>
        <v>174</v>
      </c>
      <c r="I4309" s="135" t="n">
        <f aca="false">$G4309*'Analyse capacite'!$C$9</f>
        <v>0</v>
      </c>
      <c r="J4309" s="135" t="n">
        <f aca="false">$G4309*'Analyse capacite'!$D$9</f>
        <v>12</v>
      </c>
      <c r="K4309" s="135" t="n">
        <f aca="false">$G4309*'Analyse capacite'!$E$9</f>
        <v>162</v>
      </c>
    </row>
    <row r="4310" customFormat="false" ht="15" hidden="false" customHeight="false" outlineLevel="0" collapsed="false">
      <c r="B4310" s="130" t="n">
        <v>2027</v>
      </c>
      <c r="C4310" s="131" t="s">
        <v>249</v>
      </c>
      <c r="D4310" s="132" t="n">
        <v>46597</v>
      </c>
      <c r="E4310" s="131" t="s">
        <v>49</v>
      </c>
      <c r="F4310" s="133" t="s">
        <v>11</v>
      </c>
      <c r="G4310" s="134" t="n">
        <f aca="false">LEN('Saisie programme'!$G$151)+SUMIFS('Vols additionnels'!$E$7:$E$66,'Vols additionnels'!$C$7:$C$66,$E4310,'Vols additionnels'!$D$7:$D$66,$F4310,'Vols additionnels'!$B$7:$B$66,$D4310)</f>
        <v>0</v>
      </c>
      <c r="H4310" s="135" t="n">
        <f aca="false">$G4310*'Analyse capacite'!$F$7</f>
        <v>0</v>
      </c>
      <c r="I4310" s="135" t="n">
        <f aca="false">$G4310*'Analyse capacite'!$C$7</f>
        <v>0</v>
      </c>
      <c r="J4310" s="135" t="n">
        <f aca="false">$G4310*'Analyse capacite'!$D$7</f>
        <v>0</v>
      </c>
      <c r="K4310" s="135" t="n">
        <f aca="false">$G4310*'Analyse capacite'!$E$7</f>
        <v>0</v>
      </c>
    </row>
    <row r="4311" customFormat="false" ht="15" hidden="false" customHeight="false" outlineLevel="0" collapsed="false">
      <c r="B4311" s="130" t="n">
        <v>2027</v>
      </c>
      <c r="C4311" s="131" t="s">
        <v>249</v>
      </c>
      <c r="D4311" s="132" t="n">
        <v>46597</v>
      </c>
      <c r="E4311" s="131" t="s">
        <v>49</v>
      </c>
      <c r="F4311" s="133" t="s">
        <v>19</v>
      </c>
      <c r="G4311" s="134" t="n">
        <f aca="false">LEN('Saisie programme'!$G$152)+SUMIFS('Vols additionnels'!$E$7:$E$66,'Vols additionnels'!$C$7:$C$66,$E4311,'Vols additionnels'!$D$7:$D$66,$F4311,'Vols additionnels'!$B$7:$B$66,$D4311)</f>
        <v>0</v>
      </c>
      <c r="H4311" s="135" t="n">
        <f aca="false">$G4311*'Analyse capacite'!$F$8</f>
        <v>0</v>
      </c>
      <c r="I4311" s="135" t="n">
        <f aca="false">$G4311*'Analyse capacite'!$C$8</f>
        <v>0</v>
      </c>
      <c r="J4311" s="135" t="n">
        <f aca="false">$G4311*'Analyse capacite'!$D$8</f>
        <v>0</v>
      </c>
      <c r="K4311" s="135" t="n">
        <f aca="false">$G4311*'Analyse capacite'!$E$8</f>
        <v>0</v>
      </c>
    </row>
    <row r="4312" customFormat="false" ht="15" hidden="false" customHeight="false" outlineLevel="0" collapsed="false">
      <c r="B4312" s="130" t="n">
        <v>2027</v>
      </c>
      <c r="C4312" s="131" t="s">
        <v>249</v>
      </c>
      <c r="D4312" s="132" t="n">
        <v>46597</v>
      </c>
      <c r="E4312" s="131" t="s">
        <v>49</v>
      </c>
      <c r="F4312" s="133" t="s">
        <v>24</v>
      </c>
      <c r="G4312" s="134" t="n">
        <f aca="false">LEN('Saisie programme'!$G$153)+SUMIFS('Vols additionnels'!$E$7:$E$66,'Vols additionnels'!$C$7:$C$66,$E4312,'Vols additionnels'!$D$7:$D$66,$F4312,'Vols additionnels'!$B$7:$B$66,$D4312)</f>
        <v>0</v>
      </c>
      <c r="H4312" s="135" t="n">
        <f aca="false">$G4312*'Analyse capacite'!$F$9</f>
        <v>0</v>
      </c>
      <c r="I4312" s="135" t="n">
        <f aca="false">$G4312*'Analyse capacite'!$C$9</f>
        <v>0</v>
      </c>
      <c r="J4312" s="135" t="n">
        <f aca="false">$G4312*'Analyse capacite'!$D$9</f>
        <v>0</v>
      </c>
      <c r="K4312" s="135" t="n">
        <f aca="false">$G4312*'Analyse capacite'!$E$9</f>
        <v>0</v>
      </c>
    </row>
    <row r="4313" customFormat="false" ht="15" hidden="false" customHeight="false" outlineLevel="0" collapsed="false">
      <c r="B4313" s="130" t="n">
        <v>2027</v>
      </c>
      <c r="C4313" s="131" t="s">
        <v>249</v>
      </c>
      <c r="D4313" s="132" t="n">
        <v>46597</v>
      </c>
      <c r="E4313" s="131" t="s">
        <v>53</v>
      </c>
      <c r="F4313" s="133" t="s">
        <v>11</v>
      </c>
      <c r="G4313" s="134" t="n">
        <f aca="false">LEN('Saisie programme'!$G$154)+SUMIFS('Vols additionnels'!$E$7:$E$66,'Vols additionnels'!$C$7:$C$66,$E4313,'Vols additionnels'!$D$7:$D$66,$F4313,'Vols additionnels'!$B$7:$B$66,$D4313)</f>
        <v>0</v>
      </c>
      <c r="H4313" s="135" t="n">
        <f aca="false">$G4313*'Analyse capacite'!$F$7</f>
        <v>0</v>
      </c>
      <c r="I4313" s="135" t="n">
        <f aca="false">$G4313*'Analyse capacite'!$C$7</f>
        <v>0</v>
      </c>
      <c r="J4313" s="135" t="n">
        <f aca="false">$G4313*'Analyse capacite'!$D$7</f>
        <v>0</v>
      </c>
      <c r="K4313" s="135" t="n">
        <f aca="false">$G4313*'Analyse capacite'!$E$7</f>
        <v>0</v>
      </c>
    </row>
    <row r="4314" customFormat="false" ht="15" hidden="false" customHeight="false" outlineLevel="0" collapsed="false">
      <c r="B4314" s="130" t="n">
        <v>2027</v>
      </c>
      <c r="C4314" s="131" t="s">
        <v>249</v>
      </c>
      <c r="D4314" s="132" t="n">
        <v>46597</v>
      </c>
      <c r="E4314" s="131" t="s">
        <v>53</v>
      </c>
      <c r="F4314" s="133" t="s">
        <v>19</v>
      </c>
      <c r="G4314" s="134" t="n">
        <f aca="false">LEN('Saisie programme'!$G$155)+SUMIFS('Vols additionnels'!$E$7:$E$66,'Vols additionnels'!$C$7:$C$66,$E4314,'Vols additionnels'!$D$7:$D$66,$F4314,'Vols additionnels'!$B$7:$B$66,$D4314)</f>
        <v>1</v>
      </c>
      <c r="H4314" s="135" t="n">
        <f aca="false">$G4314*'Analyse capacite'!$F$8</f>
        <v>262</v>
      </c>
      <c r="I4314" s="135" t="n">
        <f aca="false">$G4314*'Analyse capacite'!$C$8</f>
        <v>18</v>
      </c>
      <c r="J4314" s="135" t="n">
        <f aca="false">$G4314*'Analyse capacite'!$D$8</f>
        <v>0</v>
      </c>
      <c r="K4314" s="135" t="n">
        <f aca="false">$G4314*'Analyse capacite'!$E$8</f>
        <v>244</v>
      </c>
    </row>
    <row r="4315" customFormat="false" ht="15" hidden="false" customHeight="false" outlineLevel="0" collapsed="false">
      <c r="B4315" s="130" t="n">
        <v>2027</v>
      </c>
      <c r="C4315" s="131" t="s">
        <v>249</v>
      </c>
      <c r="D4315" s="132" t="n">
        <v>46597</v>
      </c>
      <c r="E4315" s="131" t="s">
        <v>53</v>
      </c>
      <c r="F4315" s="133" t="s">
        <v>24</v>
      </c>
      <c r="G4315" s="134" t="n">
        <f aca="false">LEN('Saisie programme'!$G$156)+SUMIFS('Vols additionnels'!$E$7:$E$66,'Vols additionnels'!$C$7:$C$66,$E4315,'Vols additionnels'!$D$7:$D$66,$F4315,'Vols additionnels'!$B$7:$B$66,$D4315)</f>
        <v>0</v>
      </c>
      <c r="H4315" s="135" t="n">
        <f aca="false">$G4315*'Analyse capacite'!$F$9</f>
        <v>0</v>
      </c>
      <c r="I4315" s="135" t="n">
        <f aca="false">$G4315*'Analyse capacite'!$C$9</f>
        <v>0</v>
      </c>
      <c r="J4315" s="135" t="n">
        <f aca="false">$G4315*'Analyse capacite'!$D$9</f>
        <v>0</v>
      </c>
      <c r="K4315" s="135" t="n">
        <f aca="false">$G4315*'Analyse capacite'!$E$9</f>
        <v>0</v>
      </c>
    </row>
    <row r="4316" customFormat="false" ht="15" hidden="false" customHeight="false" outlineLevel="0" collapsed="false">
      <c r="B4316" s="130" t="n">
        <v>2027</v>
      </c>
      <c r="C4316" s="131" t="s">
        <v>249</v>
      </c>
      <c r="D4316" s="132" t="n">
        <v>46597</v>
      </c>
      <c r="E4316" s="131" t="s">
        <v>56</v>
      </c>
      <c r="F4316" s="133" t="s">
        <v>11</v>
      </c>
      <c r="G4316" s="134" t="n">
        <f aca="false">LEN('Saisie programme'!$G$157)+SUMIFS('Vols additionnels'!$E$7:$E$66,'Vols additionnels'!$C$7:$C$66,$E4316,'Vols additionnels'!$D$7:$D$66,$F4316,'Vols additionnels'!$B$7:$B$66,$D4316)</f>
        <v>0</v>
      </c>
      <c r="H4316" s="135" t="n">
        <f aca="false">$G4316*'Analyse capacite'!$F$7</f>
        <v>0</v>
      </c>
      <c r="I4316" s="135" t="n">
        <f aca="false">$G4316*'Analyse capacite'!$C$7</f>
        <v>0</v>
      </c>
      <c r="J4316" s="135" t="n">
        <f aca="false">$G4316*'Analyse capacite'!$D$7</f>
        <v>0</v>
      </c>
      <c r="K4316" s="135" t="n">
        <f aca="false">$G4316*'Analyse capacite'!$E$7</f>
        <v>0</v>
      </c>
    </row>
    <row r="4317" customFormat="false" ht="15" hidden="false" customHeight="false" outlineLevel="0" collapsed="false">
      <c r="B4317" s="130" t="n">
        <v>2027</v>
      </c>
      <c r="C4317" s="131" t="s">
        <v>249</v>
      </c>
      <c r="D4317" s="132" t="n">
        <v>46597</v>
      </c>
      <c r="E4317" s="131" t="s">
        <v>56</v>
      </c>
      <c r="F4317" s="133" t="s">
        <v>19</v>
      </c>
      <c r="G4317" s="134" t="n">
        <f aca="false">LEN('Saisie programme'!$G$158)+SUMIFS('Vols additionnels'!$E$7:$E$66,'Vols additionnels'!$C$7:$C$66,$E4317,'Vols additionnels'!$D$7:$D$66,$F4317,'Vols additionnels'!$B$7:$B$66,$D4317)</f>
        <v>0</v>
      </c>
      <c r="H4317" s="135" t="n">
        <f aca="false">$G4317*'Analyse capacite'!$F$8</f>
        <v>0</v>
      </c>
      <c r="I4317" s="135" t="n">
        <f aca="false">$G4317*'Analyse capacite'!$C$8</f>
        <v>0</v>
      </c>
      <c r="J4317" s="135" t="n">
        <f aca="false">$G4317*'Analyse capacite'!$D$8</f>
        <v>0</v>
      </c>
      <c r="K4317" s="135" t="n">
        <f aca="false">$G4317*'Analyse capacite'!$E$8</f>
        <v>0</v>
      </c>
    </row>
    <row r="4318" customFormat="false" ht="15" hidden="false" customHeight="false" outlineLevel="0" collapsed="false">
      <c r="B4318" s="130" t="n">
        <v>2027</v>
      </c>
      <c r="C4318" s="131" t="s">
        <v>249</v>
      </c>
      <c r="D4318" s="132" t="n">
        <v>46597</v>
      </c>
      <c r="E4318" s="131" t="s">
        <v>56</v>
      </c>
      <c r="F4318" s="133" t="s">
        <v>24</v>
      </c>
      <c r="G4318" s="134" t="n">
        <f aca="false">LEN('Saisie programme'!$G$159)+SUMIFS('Vols additionnels'!$E$7:$E$66,'Vols additionnels'!$C$7:$C$66,$E4318,'Vols additionnels'!$D$7:$D$66,$F4318,'Vols additionnels'!$B$7:$B$66,$D4318)</f>
        <v>0</v>
      </c>
      <c r="H4318" s="135" t="n">
        <f aca="false">$G4318*'Analyse capacite'!$F$9</f>
        <v>0</v>
      </c>
      <c r="I4318" s="135" t="n">
        <f aca="false">$G4318*'Analyse capacite'!$C$9</f>
        <v>0</v>
      </c>
      <c r="J4318" s="135" t="n">
        <f aca="false">$G4318*'Analyse capacite'!$D$9</f>
        <v>0</v>
      </c>
      <c r="K4318" s="135" t="n">
        <f aca="false">$G4318*'Analyse capacite'!$E$9</f>
        <v>0</v>
      </c>
    </row>
    <row r="4319" customFormat="false" ht="15" hidden="false" customHeight="false" outlineLevel="0" collapsed="false">
      <c r="B4319" s="130" t="n">
        <v>2027</v>
      </c>
      <c r="C4319" s="131" t="s">
        <v>249</v>
      </c>
      <c r="D4319" s="132" t="n">
        <v>46597</v>
      </c>
      <c r="E4319" s="131" t="s">
        <v>59</v>
      </c>
      <c r="F4319" s="133" t="s">
        <v>11</v>
      </c>
      <c r="G4319" s="134" t="n">
        <f aca="false">LEN('Saisie programme'!$G$160)+SUMIFS('Vols additionnels'!$E$7:$E$66,'Vols additionnels'!$C$7:$C$66,$E4319,'Vols additionnels'!$D$7:$D$66,$F4319,'Vols additionnels'!$B$7:$B$66,$D4319)</f>
        <v>0</v>
      </c>
      <c r="H4319" s="135" t="n">
        <f aca="false">$G4319*'Analyse capacite'!$F$7</f>
        <v>0</v>
      </c>
      <c r="I4319" s="135" t="n">
        <f aca="false">$G4319*'Analyse capacite'!$C$7</f>
        <v>0</v>
      </c>
      <c r="J4319" s="135" t="n">
        <f aca="false">$G4319*'Analyse capacite'!$D$7</f>
        <v>0</v>
      </c>
      <c r="K4319" s="135" t="n">
        <f aca="false">$G4319*'Analyse capacite'!$E$7</f>
        <v>0</v>
      </c>
    </row>
    <row r="4320" customFormat="false" ht="15" hidden="false" customHeight="false" outlineLevel="0" collapsed="false">
      <c r="B4320" s="130" t="n">
        <v>2027</v>
      </c>
      <c r="C4320" s="131" t="s">
        <v>249</v>
      </c>
      <c r="D4320" s="132" t="n">
        <v>46597</v>
      </c>
      <c r="E4320" s="131" t="s">
        <v>59</v>
      </c>
      <c r="F4320" s="133" t="s">
        <v>19</v>
      </c>
      <c r="G4320" s="134" t="n">
        <f aca="false">LEN('Saisie programme'!$G$161)+SUMIFS('Vols additionnels'!$E$7:$E$66,'Vols additionnels'!$C$7:$C$66,$E4320,'Vols additionnels'!$D$7:$D$66,$F4320,'Vols additionnels'!$B$7:$B$66,$D4320)</f>
        <v>0</v>
      </c>
      <c r="H4320" s="135" t="n">
        <f aca="false">$G4320*'Analyse capacite'!$F$8</f>
        <v>0</v>
      </c>
      <c r="I4320" s="135" t="n">
        <f aca="false">$G4320*'Analyse capacite'!$C$8</f>
        <v>0</v>
      </c>
      <c r="J4320" s="135" t="n">
        <f aca="false">$G4320*'Analyse capacite'!$D$8</f>
        <v>0</v>
      </c>
      <c r="K4320" s="135" t="n">
        <f aca="false">$G4320*'Analyse capacite'!$E$8</f>
        <v>0</v>
      </c>
    </row>
    <row r="4321" customFormat="false" ht="15" hidden="false" customHeight="false" outlineLevel="0" collapsed="false">
      <c r="B4321" s="130" t="n">
        <v>2027</v>
      </c>
      <c r="C4321" s="131" t="s">
        <v>249</v>
      </c>
      <c r="D4321" s="132" t="n">
        <v>46597</v>
      </c>
      <c r="E4321" s="131" t="s">
        <v>59</v>
      </c>
      <c r="F4321" s="133" t="s">
        <v>24</v>
      </c>
      <c r="G4321" s="134" t="n">
        <f aca="false">LEN('Saisie programme'!$G$162)+SUMIFS('Vols additionnels'!$E$7:$E$66,'Vols additionnels'!$C$7:$C$66,$E4321,'Vols additionnels'!$D$7:$D$66,$F4321,'Vols additionnels'!$B$7:$B$66,$D4321)</f>
        <v>2</v>
      </c>
      <c r="H4321" s="135" t="n">
        <f aca="false">$G4321*'Analyse capacite'!$F$9</f>
        <v>348</v>
      </c>
      <c r="I4321" s="135" t="n">
        <f aca="false">$G4321*'Analyse capacite'!$C$9</f>
        <v>0</v>
      </c>
      <c r="J4321" s="135" t="n">
        <f aca="false">$G4321*'Analyse capacite'!$D$9</f>
        <v>24</v>
      </c>
      <c r="K4321" s="135" t="n">
        <f aca="false">$G4321*'Analyse capacite'!$E$9</f>
        <v>324</v>
      </c>
    </row>
    <row r="4322" customFormat="false" ht="15" hidden="false" customHeight="false" outlineLevel="0" collapsed="false">
      <c r="B4322" s="130" t="n">
        <v>2027</v>
      </c>
      <c r="C4322" s="131" t="s">
        <v>249</v>
      </c>
      <c r="D4322" s="132" t="n">
        <v>46597</v>
      </c>
      <c r="E4322" s="131" t="s">
        <v>62</v>
      </c>
      <c r="F4322" s="133" t="s">
        <v>11</v>
      </c>
      <c r="G4322" s="134" t="n">
        <f aca="false">LEN('Saisie programme'!$G$163)+SUMIFS('Vols additionnels'!$E$7:$E$66,'Vols additionnels'!$C$7:$C$66,$E4322,'Vols additionnels'!$D$7:$D$66,$F4322,'Vols additionnels'!$B$7:$B$66,$D4322)</f>
        <v>0</v>
      </c>
      <c r="H4322" s="135" t="n">
        <f aca="false">$G4322*'Analyse capacite'!$F$7</f>
        <v>0</v>
      </c>
      <c r="I4322" s="135" t="n">
        <f aca="false">$G4322*'Analyse capacite'!$C$7</f>
        <v>0</v>
      </c>
      <c r="J4322" s="135" t="n">
        <f aca="false">$G4322*'Analyse capacite'!$D$7</f>
        <v>0</v>
      </c>
      <c r="K4322" s="135" t="n">
        <f aca="false">$G4322*'Analyse capacite'!$E$7</f>
        <v>0</v>
      </c>
    </row>
    <row r="4323" customFormat="false" ht="15" hidden="false" customHeight="false" outlineLevel="0" collapsed="false">
      <c r="B4323" s="130" t="n">
        <v>2027</v>
      </c>
      <c r="C4323" s="131" t="s">
        <v>249</v>
      </c>
      <c r="D4323" s="132" t="n">
        <v>46597</v>
      </c>
      <c r="E4323" s="131" t="s">
        <v>62</v>
      </c>
      <c r="F4323" s="133" t="s">
        <v>19</v>
      </c>
      <c r="G4323" s="134" t="n">
        <f aca="false">LEN('Saisie programme'!$G$164)+SUMIFS('Vols additionnels'!$E$7:$E$66,'Vols additionnels'!$C$7:$C$66,$E4323,'Vols additionnels'!$D$7:$D$66,$F4323,'Vols additionnels'!$B$7:$B$66,$D4323)</f>
        <v>0</v>
      </c>
      <c r="H4323" s="135" t="n">
        <f aca="false">$G4323*'Analyse capacite'!$F$8</f>
        <v>0</v>
      </c>
      <c r="I4323" s="135" t="n">
        <f aca="false">$G4323*'Analyse capacite'!$C$8</f>
        <v>0</v>
      </c>
      <c r="J4323" s="135" t="n">
        <f aca="false">$G4323*'Analyse capacite'!$D$8</f>
        <v>0</v>
      </c>
      <c r="K4323" s="135" t="n">
        <f aca="false">$G4323*'Analyse capacite'!$E$8</f>
        <v>0</v>
      </c>
    </row>
    <row r="4324" customFormat="false" ht="15" hidden="false" customHeight="false" outlineLevel="0" collapsed="false">
      <c r="B4324" s="130" t="n">
        <v>2027</v>
      </c>
      <c r="C4324" s="131" t="s">
        <v>249</v>
      </c>
      <c r="D4324" s="132" t="n">
        <v>46597</v>
      </c>
      <c r="E4324" s="131" t="s">
        <v>62</v>
      </c>
      <c r="F4324" s="133" t="s">
        <v>24</v>
      </c>
      <c r="G4324" s="134" t="n">
        <f aca="false">LEN('Saisie programme'!$G$165)+SUMIFS('Vols additionnels'!$E$7:$E$66,'Vols additionnels'!$C$7:$C$66,$E4324,'Vols additionnels'!$D$7:$D$66,$F4324,'Vols additionnels'!$B$7:$B$66,$D4324)</f>
        <v>0</v>
      </c>
      <c r="H4324" s="135" t="n">
        <f aca="false">$G4324*'Analyse capacite'!$F$9</f>
        <v>0</v>
      </c>
      <c r="I4324" s="135" t="n">
        <f aca="false">$G4324*'Analyse capacite'!$C$9</f>
        <v>0</v>
      </c>
      <c r="J4324" s="135" t="n">
        <f aca="false">$G4324*'Analyse capacite'!$D$9</f>
        <v>0</v>
      </c>
      <c r="K4324" s="135" t="n">
        <f aca="false">$G4324*'Analyse capacite'!$E$9</f>
        <v>0</v>
      </c>
    </row>
    <row r="4325" customFormat="false" ht="15" hidden="false" customHeight="false" outlineLevel="0" collapsed="false">
      <c r="B4325" s="130" t="n">
        <v>2027</v>
      </c>
      <c r="C4325" s="131" t="s">
        <v>249</v>
      </c>
      <c r="D4325" s="132" t="n">
        <v>46598</v>
      </c>
      <c r="E4325" s="131" t="s">
        <v>12</v>
      </c>
      <c r="F4325" s="133" t="s">
        <v>11</v>
      </c>
      <c r="G4325" s="134" t="n">
        <f aca="false">LEN('Saisie programme'!$H$130)+SUMIFS('Vols additionnels'!$E$7:$E$66,'Vols additionnels'!$C$7:$C$66,$E4325,'Vols additionnels'!$D$7:$D$66,$F4325,'Vols additionnels'!$B$7:$B$66,$D4325)</f>
        <v>1</v>
      </c>
      <c r="H4325" s="135" t="n">
        <f aca="false">$G4325*'Analyse capacite'!$F$7</f>
        <v>438</v>
      </c>
      <c r="I4325" s="135" t="n">
        <f aca="false">$G4325*'Analyse capacite'!$C$7</f>
        <v>14</v>
      </c>
      <c r="J4325" s="135" t="n">
        <f aca="false">$G4325*'Analyse capacite'!$D$7</f>
        <v>40</v>
      </c>
      <c r="K4325" s="135" t="n">
        <f aca="false">$G4325*'Analyse capacite'!$E$7</f>
        <v>384</v>
      </c>
    </row>
    <row r="4326" customFormat="false" ht="15" hidden="false" customHeight="false" outlineLevel="0" collapsed="false">
      <c r="B4326" s="130" t="n">
        <v>2027</v>
      </c>
      <c r="C4326" s="131" t="s">
        <v>249</v>
      </c>
      <c r="D4326" s="132" t="n">
        <v>46598</v>
      </c>
      <c r="E4326" s="131" t="s">
        <v>12</v>
      </c>
      <c r="F4326" s="133" t="s">
        <v>19</v>
      </c>
      <c r="G4326" s="134" t="n">
        <f aca="false">LEN('Saisie programme'!$H$131)+SUMIFS('Vols additionnels'!$E$7:$E$66,'Vols additionnels'!$C$7:$C$66,$E4326,'Vols additionnels'!$D$7:$D$66,$F4326,'Vols additionnels'!$B$7:$B$66,$D4326)</f>
        <v>1</v>
      </c>
      <c r="H4326" s="135" t="n">
        <f aca="false">$G4326*'Analyse capacite'!$F$8</f>
        <v>262</v>
      </c>
      <c r="I4326" s="135" t="n">
        <f aca="false">$G4326*'Analyse capacite'!$C$8</f>
        <v>18</v>
      </c>
      <c r="J4326" s="135" t="n">
        <f aca="false">$G4326*'Analyse capacite'!$D$8</f>
        <v>0</v>
      </c>
      <c r="K4326" s="135" t="n">
        <f aca="false">$G4326*'Analyse capacite'!$E$8</f>
        <v>244</v>
      </c>
    </row>
    <row r="4327" customFormat="false" ht="15" hidden="false" customHeight="false" outlineLevel="0" collapsed="false">
      <c r="B4327" s="130" t="n">
        <v>2027</v>
      </c>
      <c r="C4327" s="131" t="s">
        <v>249</v>
      </c>
      <c r="D4327" s="132" t="n">
        <v>46598</v>
      </c>
      <c r="E4327" s="131" t="s">
        <v>12</v>
      </c>
      <c r="F4327" s="133" t="s">
        <v>24</v>
      </c>
      <c r="G4327" s="134" t="n">
        <f aca="false">LEN('Saisie programme'!$H$132)+SUMIFS('Vols additionnels'!$E$7:$E$66,'Vols additionnels'!$C$7:$C$66,$E4327,'Vols additionnels'!$D$7:$D$66,$F4327,'Vols additionnels'!$B$7:$B$66,$D4327)</f>
        <v>0</v>
      </c>
      <c r="H4327" s="135" t="n">
        <f aca="false">$G4327*'Analyse capacite'!$F$9</f>
        <v>0</v>
      </c>
      <c r="I4327" s="135" t="n">
        <f aca="false">$G4327*'Analyse capacite'!$C$9</f>
        <v>0</v>
      </c>
      <c r="J4327" s="135" t="n">
        <f aca="false">$G4327*'Analyse capacite'!$D$9</f>
        <v>0</v>
      </c>
      <c r="K4327" s="135" t="n">
        <f aca="false">$G4327*'Analyse capacite'!$E$9</f>
        <v>0</v>
      </c>
    </row>
    <row r="4328" customFormat="false" ht="15" hidden="false" customHeight="false" outlineLevel="0" collapsed="false">
      <c r="B4328" s="130" t="n">
        <v>2027</v>
      </c>
      <c r="C4328" s="131" t="s">
        <v>249</v>
      </c>
      <c r="D4328" s="132" t="n">
        <v>46598</v>
      </c>
      <c r="E4328" s="131" t="s">
        <v>20</v>
      </c>
      <c r="F4328" s="133" t="s">
        <v>11</v>
      </c>
      <c r="G4328" s="134" t="n">
        <f aca="false">LEN('Saisie programme'!$H$133)+SUMIFS('Vols additionnels'!$E$7:$E$66,'Vols additionnels'!$C$7:$C$66,$E4328,'Vols additionnels'!$D$7:$D$66,$F4328,'Vols additionnels'!$B$7:$B$66,$D4328)</f>
        <v>0</v>
      </c>
      <c r="H4328" s="135" t="n">
        <f aca="false">$G4328*'Analyse capacite'!$F$7</f>
        <v>0</v>
      </c>
      <c r="I4328" s="135" t="n">
        <f aca="false">$G4328*'Analyse capacite'!$C$7</f>
        <v>0</v>
      </c>
      <c r="J4328" s="135" t="n">
        <f aca="false">$G4328*'Analyse capacite'!$D$7</f>
        <v>0</v>
      </c>
      <c r="K4328" s="135" t="n">
        <f aca="false">$G4328*'Analyse capacite'!$E$7</f>
        <v>0</v>
      </c>
    </row>
    <row r="4329" customFormat="false" ht="15" hidden="false" customHeight="false" outlineLevel="0" collapsed="false">
      <c r="B4329" s="130" t="n">
        <v>2027</v>
      </c>
      <c r="C4329" s="131" t="s">
        <v>249</v>
      </c>
      <c r="D4329" s="132" t="n">
        <v>46598</v>
      </c>
      <c r="E4329" s="131" t="s">
        <v>20</v>
      </c>
      <c r="F4329" s="133" t="s">
        <v>19</v>
      </c>
      <c r="G4329" s="134" t="n">
        <f aca="false">LEN('Saisie programme'!$H$134)+SUMIFS('Vols additionnels'!$E$7:$E$66,'Vols additionnels'!$C$7:$C$66,$E4329,'Vols additionnels'!$D$7:$D$66,$F4329,'Vols additionnels'!$B$7:$B$66,$D4329)</f>
        <v>1</v>
      </c>
      <c r="H4329" s="135" t="n">
        <f aca="false">$G4329*'Analyse capacite'!$F$8</f>
        <v>262</v>
      </c>
      <c r="I4329" s="135" t="n">
        <f aca="false">$G4329*'Analyse capacite'!$C$8</f>
        <v>18</v>
      </c>
      <c r="J4329" s="135" t="n">
        <f aca="false">$G4329*'Analyse capacite'!$D$8</f>
        <v>0</v>
      </c>
      <c r="K4329" s="135" t="n">
        <f aca="false">$G4329*'Analyse capacite'!$E$8</f>
        <v>244</v>
      </c>
    </row>
    <row r="4330" customFormat="false" ht="15" hidden="false" customHeight="false" outlineLevel="0" collapsed="false">
      <c r="B4330" s="130" t="n">
        <v>2027</v>
      </c>
      <c r="C4330" s="131" t="s">
        <v>249</v>
      </c>
      <c r="D4330" s="132" t="n">
        <v>46598</v>
      </c>
      <c r="E4330" s="131" t="s">
        <v>20</v>
      </c>
      <c r="F4330" s="133" t="s">
        <v>24</v>
      </c>
      <c r="G4330" s="134" t="n">
        <f aca="false">LEN('Saisie programme'!$H$135)+SUMIFS('Vols additionnels'!$E$7:$E$66,'Vols additionnels'!$C$7:$C$66,$E4330,'Vols additionnels'!$D$7:$D$66,$F4330,'Vols additionnels'!$B$7:$B$66,$D4330)</f>
        <v>0</v>
      </c>
      <c r="H4330" s="135" t="n">
        <f aca="false">$G4330*'Analyse capacite'!$F$9</f>
        <v>0</v>
      </c>
      <c r="I4330" s="135" t="n">
        <f aca="false">$G4330*'Analyse capacite'!$C$9</f>
        <v>0</v>
      </c>
      <c r="J4330" s="135" t="n">
        <f aca="false">$G4330*'Analyse capacite'!$D$9</f>
        <v>0</v>
      </c>
      <c r="K4330" s="135" t="n">
        <f aca="false">$G4330*'Analyse capacite'!$E$9</f>
        <v>0</v>
      </c>
    </row>
    <row r="4331" customFormat="false" ht="15" hidden="false" customHeight="false" outlineLevel="0" collapsed="false">
      <c r="B4331" s="130" t="n">
        <v>2027</v>
      </c>
      <c r="C4331" s="131" t="s">
        <v>249</v>
      </c>
      <c r="D4331" s="132" t="n">
        <v>46598</v>
      </c>
      <c r="E4331" s="131" t="s">
        <v>25</v>
      </c>
      <c r="F4331" s="133" t="s">
        <v>11</v>
      </c>
      <c r="G4331" s="134" t="n">
        <f aca="false">LEN('Saisie programme'!$H$136)+SUMIFS('Vols additionnels'!$E$7:$E$66,'Vols additionnels'!$C$7:$C$66,$E4331,'Vols additionnels'!$D$7:$D$66,$F4331,'Vols additionnels'!$B$7:$B$66,$D4331)</f>
        <v>0</v>
      </c>
      <c r="H4331" s="135" t="n">
        <f aca="false">$G4331*'Analyse capacite'!$F$7</f>
        <v>0</v>
      </c>
      <c r="I4331" s="135" t="n">
        <f aca="false">$G4331*'Analyse capacite'!$C$7</f>
        <v>0</v>
      </c>
      <c r="J4331" s="135" t="n">
        <f aca="false">$G4331*'Analyse capacite'!$D$7</f>
        <v>0</v>
      </c>
      <c r="K4331" s="135" t="n">
        <f aca="false">$G4331*'Analyse capacite'!$E$7</f>
        <v>0</v>
      </c>
    </row>
    <row r="4332" customFormat="false" ht="15" hidden="false" customHeight="false" outlineLevel="0" collapsed="false">
      <c r="B4332" s="130" t="n">
        <v>2027</v>
      </c>
      <c r="C4332" s="131" t="s">
        <v>249</v>
      </c>
      <c r="D4332" s="132" t="n">
        <v>46598</v>
      </c>
      <c r="E4332" s="131" t="s">
        <v>25</v>
      </c>
      <c r="F4332" s="133" t="s">
        <v>19</v>
      </c>
      <c r="G4332" s="134" t="n">
        <f aca="false">LEN('Saisie programme'!$H$137)+SUMIFS('Vols additionnels'!$E$7:$E$66,'Vols additionnels'!$C$7:$C$66,$E4332,'Vols additionnels'!$D$7:$D$66,$F4332,'Vols additionnels'!$B$7:$B$66,$D4332)</f>
        <v>0</v>
      </c>
      <c r="H4332" s="135" t="n">
        <f aca="false">$G4332*'Analyse capacite'!$F$8</f>
        <v>0</v>
      </c>
      <c r="I4332" s="135" t="n">
        <f aca="false">$G4332*'Analyse capacite'!$C$8</f>
        <v>0</v>
      </c>
      <c r="J4332" s="135" t="n">
        <f aca="false">$G4332*'Analyse capacite'!$D$8</f>
        <v>0</v>
      </c>
      <c r="K4332" s="135" t="n">
        <f aca="false">$G4332*'Analyse capacite'!$E$8</f>
        <v>0</v>
      </c>
    </row>
    <row r="4333" customFormat="false" ht="15" hidden="false" customHeight="false" outlineLevel="0" collapsed="false">
      <c r="B4333" s="130" t="n">
        <v>2027</v>
      </c>
      <c r="C4333" s="131" t="s">
        <v>249</v>
      </c>
      <c r="D4333" s="132" t="n">
        <v>46598</v>
      </c>
      <c r="E4333" s="131" t="s">
        <v>25</v>
      </c>
      <c r="F4333" s="133" t="s">
        <v>24</v>
      </c>
      <c r="G4333" s="134" t="n">
        <f aca="false">LEN('Saisie programme'!$H$138)+SUMIFS('Vols additionnels'!$E$7:$E$66,'Vols additionnels'!$C$7:$C$66,$E4333,'Vols additionnels'!$D$7:$D$66,$F4333,'Vols additionnels'!$B$7:$B$66,$D4333)</f>
        <v>0</v>
      </c>
      <c r="H4333" s="135" t="n">
        <f aca="false">$G4333*'Analyse capacite'!$F$9</f>
        <v>0</v>
      </c>
      <c r="I4333" s="135" t="n">
        <f aca="false">$G4333*'Analyse capacite'!$C$9</f>
        <v>0</v>
      </c>
      <c r="J4333" s="135" t="n">
        <f aca="false">$G4333*'Analyse capacite'!$D$9</f>
        <v>0</v>
      </c>
      <c r="K4333" s="135" t="n">
        <f aca="false">$G4333*'Analyse capacite'!$E$9</f>
        <v>0</v>
      </c>
    </row>
    <row r="4334" customFormat="false" ht="15" hidden="false" customHeight="false" outlineLevel="0" collapsed="false">
      <c r="B4334" s="130" t="n">
        <v>2027</v>
      </c>
      <c r="C4334" s="131" t="s">
        <v>249</v>
      </c>
      <c r="D4334" s="132" t="n">
        <v>46598</v>
      </c>
      <c r="E4334" s="131" t="s">
        <v>36</v>
      </c>
      <c r="F4334" s="133" t="s">
        <v>11</v>
      </c>
      <c r="G4334" s="134" t="n">
        <f aca="false">LEN('Saisie programme'!$H$139)+SUMIFS('Vols additionnels'!$E$7:$E$66,'Vols additionnels'!$C$7:$C$66,$E4334,'Vols additionnels'!$D$7:$D$66,$F4334,'Vols additionnels'!$B$7:$B$66,$D4334)</f>
        <v>0</v>
      </c>
      <c r="H4334" s="135" t="n">
        <f aca="false">$G4334*'Analyse capacite'!$F$7</f>
        <v>0</v>
      </c>
      <c r="I4334" s="135" t="n">
        <f aca="false">$G4334*'Analyse capacite'!$C$7</f>
        <v>0</v>
      </c>
      <c r="J4334" s="135" t="n">
        <f aca="false">$G4334*'Analyse capacite'!$D$7</f>
        <v>0</v>
      </c>
      <c r="K4334" s="135" t="n">
        <f aca="false">$G4334*'Analyse capacite'!$E$7</f>
        <v>0</v>
      </c>
    </row>
    <row r="4335" customFormat="false" ht="15" hidden="false" customHeight="false" outlineLevel="0" collapsed="false">
      <c r="B4335" s="130" t="n">
        <v>2027</v>
      </c>
      <c r="C4335" s="131" t="s">
        <v>249</v>
      </c>
      <c r="D4335" s="132" t="n">
        <v>46598</v>
      </c>
      <c r="E4335" s="131" t="s">
        <v>36</v>
      </c>
      <c r="F4335" s="133" t="s">
        <v>19</v>
      </c>
      <c r="G4335" s="134" t="n">
        <f aca="false">LEN('Saisie programme'!$H$140)+SUMIFS('Vols additionnels'!$E$7:$E$66,'Vols additionnels'!$C$7:$C$66,$E4335,'Vols additionnels'!$D$7:$D$66,$F4335,'Vols additionnels'!$B$7:$B$66,$D4335)</f>
        <v>0</v>
      </c>
      <c r="H4335" s="135" t="n">
        <f aca="false">$G4335*'Analyse capacite'!$F$8</f>
        <v>0</v>
      </c>
      <c r="I4335" s="135" t="n">
        <f aca="false">$G4335*'Analyse capacite'!$C$8</f>
        <v>0</v>
      </c>
      <c r="J4335" s="135" t="n">
        <f aca="false">$G4335*'Analyse capacite'!$D$8</f>
        <v>0</v>
      </c>
      <c r="K4335" s="135" t="n">
        <f aca="false">$G4335*'Analyse capacite'!$E$8</f>
        <v>0</v>
      </c>
    </row>
    <row r="4336" customFormat="false" ht="15" hidden="false" customHeight="false" outlineLevel="0" collapsed="false">
      <c r="B4336" s="130" t="n">
        <v>2027</v>
      </c>
      <c r="C4336" s="131" t="s">
        <v>249</v>
      </c>
      <c r="D4336" s="132" t="n">
        <v>46598</v>
      </c>
      <c r="E4336" s="131" t="s">
        <v>36</v>
      </c>
      <c r="F4336" s="133" t="s">
        <v>24</v>
      </c>
      <c r="G4336" s="134" t="n">
        <f aca="false">LEN('Saisie programme'!$H$141)+SUMIFS('Vols additionnels'!$E$7:$E$66,'Vols additionnels'!$C$7:$C$66,$E4336,'Vols additionnels'!$D$7:$D$66,$F4336,'Vols additionnels'!$B$7:$B$66,$D4336)</f>
        <v>1</v>
      </c>
      <c r="H4336" s="135" t="n">
        <f aca="false">$G4336*'Analyse capacite'!$F$9</f>
        <v>174</v>
      </c>
      <c r="I4336" s="135" t="n">
        <f aca="false">$G4336*'Analyse capacite'!$C$9</f>
        <v>0</v>
      </c>
      <c r="J4336" s="135" t="n">
        <f aca="false">$G4336*'Analyse capacite'!$D$9</f>
        <v>12</v>
      </c>
      <c r="K4336" s="135" t="n">
        <f aca="false">$G4336*'Analyse capacite'!$E$9</f>
        <v>162</v>
      </c>
    </row>
    <row r="4337" customFormat="false" ht="15" hidden="false" customHeight="false" outlineLevel="0" collapsed="false">
      <c r="B4337" s="130" t="n">
        <v>2027</v>
      </c>
      <c r="C4337" s="131" t="s">
        <v>249</v>
      </c>
      <c r="D4337" s="132" t="n">
        <v>46598</v>
      </c>
      <c r="E4337" s="131" t="s">
        <v>40</v>
      </c>
      <c r="F4337" s="133" t="s">
        <v>11</v>
      </c>
      <c r="G4337" s="134" t="n">
        <f aca="false">LEN('Saisie programme'!$H$142)+SUMIFS('Vols additionnels'!$E$7:$E$66,'Vols additionnels'!$C$7:$C$66,$E4337,'Vols additionnels'!$D$7:$D$66,$F4337,'Vols additionnels'!$B$7:$B$66,$D4337)</f>
        <v>0</v>
      </c>
      <c r="H4337" s="135" t="n">
        <f aca="false">$G4337*'Analyse capacite'!$F$7</f>
        <v>0</v>
      </c>
      <c r="I4337" s="135" t="n">
        <f aca="false">$G4337*'Analyse capacite'!$C$7</f>
        <v>0</v>
      </c>
      <c r="J4337" s="135" t="n">
        <f aca="false">$G4337*'Analyse capacite'!$D$7</f>
        <v>0</v>
      </c>
      <c r="K4337" s="135" t="n">
        <f aca="false">$G4337*'Analyse capacite'!$E$7</f>
        <v>0</v>
      </c>
    </row>
    <row r="4338" customFormat="false" ht="15" hidden="false" customHeight="false" outlineLevel="0" collapsed="false">
      <c r="B4338" s="130" t="n">
        <v>2027</v>
      </c>
      <c r="C4338" s="131" t="s">
        <v>249</v>
      </c>
      <c r="D4338" s="132" t="n">
        <v>46598</v>
      </c>
      <c r="E4338" s="131" t="s">
        <v>40</v>
      </c>
      <c r="F4338" s="133" t="s">
        <v>19</v>
      </c>
      <c r="G4338" s="134" t="n">
        <f aca="false">LEN('Saisie programme'!$H$143)+SUMIFS('Vols additionnels'!$E$7:$E$66,'Vols additionnels'!$C$7:$C$66,$E4338,'Vols additionnels'!$D$7:$D$66,$F4338,'Vols additionnels'!$B$7:$B$66,$D4338)</f>
        <v>0</v>
      </c>
      <c r="H4338" s="135" t="n">
        <f aca="false">$G4338*'Analyse capacite'!$F$8</f>
        <v>0</v>
      </c>
      <c r="I4338" s="135" t="n">
        <f aca="false">$G4338*'Analyse capacite'!$C$8</f>
        <v>0</v>
      </c>
      <c r="J4338" s="135" t="n">
        <f aca="false">$G4338*'Analyse capacite'!$D$8</f>
        <v>0</v>
      </c>
      <c r="K4338" s="135" t="n">
        <f aca="false">$G4338*'Analyse capacite'!$E$8</f>
        <v>0</v>
      </c>
    </row>
    <row r="4339" customFormat="false" ht="15" hidden="false" customHeight="false" outlineLevel="0" collapsed="false">
      <c r="B4339" s="130" t="n">
        <v>2027</v>
      </c>
      <c r="C4339" s="131" t="s">
        <v>249</v>
      </c>
      <c r="D4339" s="132" t="n">
        <v>46598</v>
      </c>
      <c r="E4339" s="131" t="s">
        <v>40</v>
      </c>
      <c r="F4339" s="133" t="s">
        <v>24</v>
      </c>
      <c r="G4339" s="134" t="n">
        <f aca="false">LEN('Saisie programme'!$H$144)+SUMIFS('Vols additionnels'!$E$7:$E$66,'Vols additionnels'!$C$7:$C$66,$E4339,'Vols additionnels'!$D$7:$D$66,$F4339,'Vols additionnels'!$B$7:$B$66,$D4339)</f>
        <v>1</v>
      </c>
      <c r="H4339" s="135" t="n">
        <f aca="false">$G4339*'Analyse capacite'!$F$9</f>
        <v>174</v>
      </c>
      <c r="I4339" s="135" t="n">
        <f aca="false">$G4339*'Analyse capacite'!$C$9</f>
        <v>0</v>
      </c>
      <c r="J4339" s="135" t="n">
        <f aca="false">$G4339*'Analyse capacite'!$D$9</f>
        <v>12</v>
      </c>
      <c r="K4339" s="135" t="n">
        <f aca="false">$G4339*'Analyse capacite'!$E$9</f>
        <v>162</v>
      </c>
    </row>
    <row r="4340" customFormat="false" ht="15" hidden="false" customHeight="false" outlineLevel="0" collapsed="false">
      <c r="B4340" s="130" t="n">
        <v>2027</v>
      </c>
      <c r="C4340" s="131" t="s">
        <v>249</v>
      </c>
      <c r="D4340" s="132" t="n">
        <v>46598</v>
      </c>
      <c r="E4340" s="131" t="s">
        <v>14</v>
      </c>
      <c r="F4340" s="133" t="s">
        <v>11</v>
      </c>
      <c r="G4340" s="134" t="n">
        <f aca="false">LEN('Saisie programme'!$H$145)+SUMIFS('Vols additionnels'!$E$7:$E$66,'Vols additionnels'!$C$7:$C$66,$E4340,'Vols additionnels'!$D$7:$D$66,$F4340,'Vols additionnels'!$B$7:$B$66,$D4340)</f>
        <v>0</v>
      </c>
      <c r="H4340" s="135" t="n">
        <f aca="false">$G4340*'Analyse capacite'!$F$7</f>
        <v>0</v>
      </c>
      <c r="I4340" s="135" t="n">
        <f aca="false">$G4340*'Analyse capacite'!$C$7</f>
        <v>0</v>
      </c>
      <c r="J4340" s="135" t="n">
        <f aca="false">$G4340*'Analyse capacite'!$D$7</f>
        <v>0</v>
      </c>
      <c r="K4340" s="135" t="n">
        <f aca="false">$G4340*'Analyse capacite'!$E$7</f>
        <v>0</v>
      </c>
    </row>
    <row r="4341" customFormat="false" ht="15" hidden="false" customHeight="false" outlineLevel="0" collapsed="false">
      <c r="B4341" s="130" t="n">
        <v>2027</v>
      </c>
      <c r="C4341" s="131" t="s">
        <v>249</v>
      </c>
      <c r="D4341" s="132" t="n">
        <v>46598</v>
      </c>
      <c r="E4341" s="131" t="s">
        <v>14</v>
      </c>
      <c r="F4341" s="133" t="s">
        <v>19</v>
      </c>
      <c r="G4341" s="134" t="n">
        <f aca="false">LEN('Saisie programme'!$H$146)+SUMIFS('Vols additionnels'!$E$7:$E$66,'Vols additionnels'!$C$7:$C$66,$E4341,'Vols additionnels'!$D$7:$D$66,$F4341,'Vols additionnels'!$B$7:$B$66,$D4341)</f>
        <v>0</v>
      </c>
      <c r="H4341" s="135" t="n">
        <f aca="false">$G4341*'Analyse capacite'!$F$8</f>
        <v>0</v>
      </c>
      <c r="I4341" s="135" t="n">
        <f aca="false">$G4341*'Analyse capacite'!$C$8</f>
        <v>0</v>
      </c>
      <c r="J4341" s="135" t="n">
        <f aca="false">$G4341*'Analyse capacite'!$D$8</f>
        <v>0</v>
      </c>
      <c r="K4341" s="135" t="n">
        <f aca="false">$G4341*'Analyse capacite'!$E$8</f>
        <v>0</v>
      </c>
    </row>
    <row r="4342" customFormat="false" ht="15" hidden="false" customHeight="false" outlineLevel="0" collapsed="false">
      <c r="B4342" s="130" t="n">
        <v>2027</v>
      </c>
      <c r="C4342" s="131" t="s">
        <v>249</v>
      </c>
      <c r="D4342" s="132" t="n">
        <v>46598</v>
      </c>
      <c r="E4342" s="131" t="s">
        <v>14</v>
      </c>
      <c r="F4342" s="133" t="s">
        <v>24</v>
      </c>
      <c r="G4342" s="134" t="n">
        <f aca="false">LEN('Saisie programme'!$H$147)+SUMIFS('Vols additionnels'!$E$7:$E$66,'Vols additionnels'!$C$7:$C$66,$E4342,'Vols additionnels'!$D$7:$D$66,$F4342,'Vols additionnels'!$B$7:$B$66,$D4342)</f>
        <v>0</v>
      </c>
      <c r="H4342" s="135" t="n">
        <f aca="false">$G4342*'Analyse capacite'!$F$9</f>
        <v>0</v>
      </c>
      <c r="I4342" s="135" t="n">
        <f aca="false">$G4342*'Analyse capacite'!$C$9</f>
        <v>0</v>
      </c>
      <c r="J4342" s="135" t="n">
        <f aca="false">$G4342*'Analyse capacite'!$D$9</f>
        <v>0</v>
      </c>
      <c r="K4342" s="135" t="n">
        <f aca="false">$G4342*'Analyse capacite'!$E$9</f>
        <v>0</v>
      </c>
    </row>
    <row r="4343" customFormat="false" ht="15" hidden="false" customHeight="false" outlineLevel="0" collapsed="false">
      <c r="B4343" s="130" t="n">
        <v>2027</v>
      </c>
      <c r="C4343" s="131" t="s">
        <v>249</v>
      </c>
      <c r="D4343" s="132" t="n">
        <v>46598</v>
      </c>
      <c r="E4343" s="131" t="s">
        <v>46</v>
      </c>
      <c r="F4343" s="133" t="s">
        <v>11</v>
      </c>
      <c r="G4343" s="134" t="n">
        <f aca="false">LEN('Saisie programme'!$H$148)+SUMIFS('Vols additionnels'!$E$7:$E$66,'Vols additionnels'!$C$7:$C$66,$E4343,'Vols additionnels'!$D$7:$D$66,$F4343,'Vols additionnels'!$B$7:$B$66,$D4343)</f>
        <v>0</v>
      </c>
      <c r="H4343" s="135" t="n">
        <f aca="false">$G4343*'Analyse capacite'!$F$7</f>
        <v>0</v>
      </c>
      <c r="I4343" s="135" t="n">
        <f aca="false">$G4343*'Analyse capacite'!$C$7</f>
        <v>0</v>
      </c>
      <c r="J4343" s="135" t="n">
        <f aca="false">$G4343*'Analyse capacite'!$D$7</f>
        <v>0</v>
      </c>
      <c r="K4343" s="135" t="n">
        <f aca="false">$G4343*'Analyse capacite'!$E$7</f>
        <v>0</v>
      </c>
    </row>
    <row r="4344" customFormat="false" ht="15" hidden="false" customHeight="false" outlineLevel="0" collapsed="false">
      <c r="B4344" s="130" t="n">
        <v>2027</v>
      </c>
      <c r="C4344" s="131" t="s">
        <v>249</v>
      </c>
      <c r="D4344" s="132" t="n">
        <v>46598</v>
      </c>
      <c r="E4344" s="131" t="s">
        <v>46</v>
      </c>
      <c r="F4344" s="133" t="s">
        <v>19</v>
      </c>
      <c r="G4344" s="134" t="n">
        <f aca="false">LEN('Saisie programme'!$H$149)+SUMIFS('Vols additionnels'!$E$7:$E$66,'Vols additionnels'!$C$7:$C$66,$E4344,'Vols additionnels'!$D$7:$D$66,$F4344,'Vols additionnels'!$B$7:$B$66,$D4344)</f>
        <v>0</v>
      </c>
      <c r="H4344" s="135" t="n">
        <f aca="false">$G4344*'Analyse capacite'!$F$8</f>
        <v>0</v>
      </c>
      <c r="I4344" s="135" t="n">
        <f aca="false">$G4344*'Analyse capacite'!$C$8</f>
        <v>0</v>
      </c>
      <c r="J4344" s="135" t="n">
        <f aca="false">$G4344*'Analyse capacite'!$D$8</f>
        <v>0</v>
      </c>
      <c r="K4344" s="135" t="n">
        <f aca="false">$G4344*'Analyse capacite'!$E$8</f>
        <v>0</v>
      </c>
    </row>
    <row r="4345" customFormat="false" ht="15" hidden="false" customHeight="false" outlineLevel="0" collapsed="false">
      <c r="B4345" s="130" t="n">
        <v>2027</v>
      </c>
      <c r="C4345" s="131" t="s">
        <v>249</v>
      </c>
      <c r="D4345" s="132" t="n">
        <v>46598</v>
      </c>
      <c r="E4345" s="131" t="s">
        <v>46</v>
      </c>
      <c r="F4345" s="133" t="s">
        <v>24</v>
      </c>
      <c r="G4345" s="134" t="n">
        <f aca="false">LEN('Saisie programme'!$H$150)+SUMIFS('Vols additionnels'!$E$7:$E$66,'Vols additionnels'!$C$7:$C$66,$E4345,'Vols additionnels'!$D$7:$D$66,$F4345,'Vols additionnels'!$B$7:$B$66,$D4345)</f>
        <v>0</v>
      </c>
      <c r="H4345" s="135" t="n">
        <f aca="false">$G4345*'Analyse capacite'!$F$9</f>
        <v>0</v>
      </c>
      <c r="I4345" s="135" t="n">
        <f aca="false">$G4345*'Analyse capacite'!$C$9</f>
        <v>0</v>
      </c>
      <c r="J4345" s="135" t="n">
        <f aca="false">$G4345*'Analyse capacite'!$D$9</f>
        <v>0</v>
      </c>
      <c r="K4345" s="135" t="n">
        <f aca="false">$G4345*'Analyse capacite'!$E$9</f>
        <v>0</v>
      </c>
    </row>
    <row r="4346" customFormat="false" ht="15" hidden="false" customHeight="false" outlineLevel="0" collapsed="false">
      <c r="B4346" s="130" t="n">
        <v>2027</v>
      </c>
      <c r="C4346" s="131" t="s">
        <v>249</v>
      </c>
      <c r="D4346" s="132" t="n">
        <v>46598</v>
      </c>
      <c r="E4346" s="131" t="s">
        <v>49</v>
      </c>
      <c r="F4346" s="133" t="s">
        <v>11</v>
      </c>
      <c r="G4346" s="134" t="n">
        <f aca="false">LEN('Saisie programme'!$H$151)+SUMIFS('Vols additionnels'!$E$7:$E$66,'Vols additionnels'!$C$7:$C$66,$E4346,'Vols additionnels'!$D$7:$D$66,$F4346,'Vols additionnels'!$B$7:$B$66,$D4346)</f>
        <v>0</v>
      </c>
      <c r="H4346" s="135" t="n">
        <f aca="false">$G4346*'Analyse capacite'!$F$7</f>
        <v>0</v>
      </c>
      <c r="I4346" s="135" t="n">
        <f aca="false">$G4346*'Analyse capacite'!$C$7</f>
        <v>0</v>
      </c>
      <c r="J4346" s="135" t="n">
        <f aca="false">$G4346*'Analyse capacite'!$D$7</f>
        <v>0</v>
      </c>
      <c r="K4346" s="135" t="n">
        <f aca="false">$G4346*'Analyse capacite'!$E$7</f>
        <v>0</v>
      </c>
    </row>
    <row r="4347" customFormat="false" ht="15" hidden="false" customHeight="false" outlineLevel="0" collapsed="false">
      <c r="B4347" s="130" t="n">
        <v>2027</v>
      </c>
      <c r="C4347" s="131" t="s">
        <v>249</v>
      </c>
      <c r="D4347" s="132" t="n">
        <v>46598</v>
      </c>
      <c r="E4347" s="131" t="s">
        <v>49</v>
      </c>
      <c r="F4347" s="133" t="s">
        <v>19</v>
      </c>
      <c r="G4347" s="134" t="n">
        <f aca="false">LEN('Saisie programme'!$H$152)+SUMIFS('Vols additionnels'!$E$7:$E$66,'Vols additionnels'!$C$7:$C$66,$E4347,'Vols additionnels'!$D$7:$D$66,$F4347,'Vols additionnels'!$B$7:$B$66,$D4347)</f>
        <v>1</v>
      </c>
      <c r="H4347" s="135" t="n">
        <f aca="false">$G4347*'Analyse capacite'!$F$8</f>
        <v>262</v>
      </c>
      <c r="I4347" s="135" t="n">
        <f aca="false">$G4347*'Analyse capacite'!$C$8</f>
        <v>18</v>
      </c>
      <c r="J4347" s="135" t="n">
        <f aca="false">$G4347*'Analyse capacite'!$D$8</f>
        <v>0</v>
      </c>
      <c r="K4347" s="135" t="n">
        <f aca="false">$G4347*'Analyse capacite'!$E$8</f>
        <v>244</v>
      </c>
    </row>
    <row r="4348" customFormat="false" ht="15" hidden="false" customHeight="false" outlineLevel="0" collapsed="false">
      <c r="B4348" s="130" t="n">
        <v>2027</v>
      </c>
      <c r="C4348" s="131" t="s">
        <v>249</v>
      </c>
      <c r="D4348" s="132" t="n">
        <v>46598</v>
      </c>
      <c r="E4348" s="131" t="s">
        <v>49</v>
      </c>
      <c r="F4348" s="133" t="s">
        <v>24</v>
      </c>
      <c r="G4348" s="134" t="n">
        <f aca="false">LEN('Saisie programme'!$H$153)+SUMIFS('Vols additionnels'!$E$7:$E$66,'Vols additionnels'!$C$7:$C$66,$E4348,'Vols additionnels'!$D$7:$D$66,$F4348,'Vols additionnels'!$B$7:$B$66,$D4348)</f>
        <v>0</v>
      </c>
      <c r="H4348" s="135" t="n">
        <f aca="false">$G4348*'Analyse capacite'!$F$9</f>
        <v>0</v>
      </c>
      <c r="I4348" s="135" t="n">
        <f aca="false">$G4348*'Analyse capacite'!$C$9</f>
        <v>0</v>
      </c>
      <c r="J4348" s="135" t="n">
        <f aca="false">$G4348*'Analyse capacite'!$D$9</f>
        <v>0</v>
      </c>
      <c r="K4348" s="135" t="n">
        <f aca="false">$G4348*'Analyse capacite'!$E$9</f>
        <v>0</v>
      </c>
    </row>
    <row r="4349" customFormat="false" ht="15" hidden="false" customHeight="false" outlineLevel="0" collapsed="false">
      <c r="B4349" s="130" t="n">
        <v>2027</v>
      </c>
      <c r="C4349" s="131" t="s">
        <v>249</v>
      </c>
      <c r="D4349" s="132" t="n">
        <v>46598</v>
      </c>
      <c r="E4349" s="131" t="s">
        <v>53</v>
      </c>
      <c r="F4349" s="133" t="s">
        <v>11</v>
      </c>
      <c r="G4349" s="134" t="n">
        <f aca="false">LEN('Saisie programme'!$H$154)+SUMIFS('Vols additionnels'!$E$7:$E$66,'Vols additionnels'!$C$7:$C$66,$E4349,'Vols additionnels'!$D$7:$D$66,$F4349,'Vols additionnels'!$B$7:$B$66,$D4349)</f>
        <v>0</v>
      </c>
      <c r="H4349" s="135" t="n">
        <f aca="false">$G4349*'Analyse capacite'!$F$7</f>
        <v>0</v>
      </c>
      <c r="I4349" s="135" t="n">
        <f aca="false">$G4349*'Analyse capacite'!$C$7</f>
        <v>0</v>
      </c>
      <c r="J4349" s="135" t="n">
        <f aca="false">$G4349*'Analyse capacite'!$D$7</f>
        <v>0</v>
      </c>
      <c r="K4349" s="135" t="n">
        <f aca="false">$G4349*'Analyse capacite'!$E$7</f>
        <v>0</v>
      </c>
    </row>
    <row r="4350" customFormat="false" ht="15" hidden="false" customHeight="false" outlineLevel="0" collapsed="false">
      <c r="B4350" s="130" t="n">
        <v>2027</v>
      </c>
      <c r="C4350" s="131" t="s">
        <v>249</v>
      </c>
      <c r="D4350" s="132" t="n">
        <v>46598</v>
      </c>
      <c r="E4350" s="131" t="s">
        <v>53</v>
      </c>
      <c r="F4350" s="133" t="s">
        <v>19</v>
      </c>
      <c r="G4350" s="134" t="n">
        <f aca="false">LEN('Saisie programme'!$H$155)+SUMIFS('Vols additionnels'!$E$7:$E$66,'Vols additionnels'!$C$7:$C$66,$E4350,'Vols additionnels'!$D$7:$D$66,$F4350,'Vols additionnels'!$B$7:$B$66,$D4350)</f>
        <v>0</v>
      </c>
      <c r="H4350" s="135" t="n">
        <f aca="false">$G4350*'Analyse capacite'!$F$8</f>
        <v>0</v>
      </c>
      <c r="I4350" s="135" t="n">
        <f aca="false">$G4350*'Analyse capacite'!$C$8</f>
        <v>0</v>
      </c>
      <c r="J4350" s="135" t="n">
        <f aca="false">$G4350*'Analyse capacite'!$D$8</f>
        <v>0</v>
      </c>
      <c r="K4350" s="135" t="n">
        <f aca="false">$G4350*'Analyse capacite'!$E$8</f>
        <v>0</v>
      </c>
    </row>
    <row r="4351" customFormat="false" ht="15" hidden="false" customHeight="false" outlineLevel="0" collapsed="false">
      <c r="B4351" s="130" t="n">
        <v>2027</v>
      </c>
      <c r="C4351" s="131" t="s">
        <v>249</v>
      </c>
      <c r="D4351" s="132" t="n">
        <v>46598</v>
      </c>
      <c r="E4351" s="131" t="s">
        <v>53</v>
      </c>
      <c r="F4351" s="133" t="s">
        <v>24</v>
      </c>
      <c r="G4351" s="134" t="n">
        <f aca="false">LEN('Saisie programme'!$H$156)+SUMIFS('Vols additionnels'!$E$7:$E$66,'Vols additionnels'!$C$7:$C$66,$E4351,'Vols additionnels'!$D$7:$D$66,$F4351,'Vols additionnels'!$B$7:$B$66,$D4351)</f>
        <v>0</v>
      </c>
      <c r="H4351" s="135" t="n">
        <f aca="false">$G4351*'Analyse capacite'!$F$9</f>
        <v>0</v>
      </c>
      <c r="I4351" s="135" t="n">
        <f aca="false">$G4351*'Analyse capacite'!$C$9</f>
        <v>0</v>
      </c>
      <c r="J4351" s="135" t="n">
        <f aca="false">$G4351*'Analyse capacite'!$D$9</f>
        <v>0</v>
      </c>
      <c r="K4351" s="135" t="n">
        <f aca="false">$G4351*'Analyse capacite'!$E$9</f>
        <v>0</v>
      </c>
    </row>
    <row r="4352" customFormat="false" ht="15" hidden="false" customHeight="false" outlineLevel="0" collapsed="false">
      <c r="B4352" s="130" t="n">
        <v>2027</v>
      </c>
      <c r="C4352" s="131" t="s">
        <v>249</v>
      </c>
      <c r="D4352" s="132" t="n">
        <v>46598</v>
      </c>
      <c r="E4352" s="131" t="s">
        <v>56</v>
      </c>
      <c r="F4352" s="133" t="s">
        <v>11</v>
      </c>
      <c r="G4352" s="134" t="n">
        <f aca="false">LEN('Saisie programme'!$H$157)+SUMIFS('Vols additionnels'!$E$7:$E$66,'Vols additionnels'!$C$7:$C$66,$E4352,'Vols additionnels'!$D$7:$D$66,$F4352,'Vols additionnels'!$B$7:$B$66,$D4352)</f>
        <v>0</v>
      </c>
      <c r="H4352" s="135" t="n">
        <f aca="false">$G4352*'Analyse capacite'!$F$7</f>
        <v>0</v>
      </c>
      <c r="I4352" s="135" t="n">
        <f aca="false">$G4352*'Analyse capacite'!$C$7</f>
        <v>0</v>
      </c>
      <c r="J4352" s="135" t="n">
        <f aca="false">$G4352*'Analyse capacite'!$D$7</f>
        <v>0</v>
      </c>
      <c r="K4352" s="135" t="n">
        <f aca="false">$G4352*'Analyse capacite'!$E$7</f>
        <v>0</v>
      </c>
    </row>
    <row r="4353" customFormat="false" ht="15" hidden="false" customHeight="false" outlineLevel="0" collapsed="false">
      <c r="B4353" s="130" t="n">
        <v>2027</v>
      </c>
      <c r="C4353" s="131" t="s">
        <v>249</v>
      </c>
      <c r="D4353" s="132" t="n">
        <v>46598</v>
      </c>
      <c r="E4353" s="131" t="s">
        <v>56</v>
      </c>
      <c r="F4353" s="133" t="s">
        <v>19</v>
      </c>
      <c r="G4353" s="134" t="n">
        <f aca="false">LEN('Saisie programme'!$H$158)+SUMIFS('Vols additionnels'!$E$7:$E$66,'Vols additionnels'!$C$7:$C$66,$E4353,'Vols additionnels'!$D$7:$D$66,$F4353,'Vols additionnels'!$B$7:$B$66,$D4353)</f>
        <v>0</v>
      </c>
      <c r="H4353" s="135" t="n">
        <f aca="false">$G4353*'Analyse capacite'!$F$8</f>
        <v>0</v>
      </c>
      <c r="I4353" s="135" t="n">
        <f aca="false">$G4353*'Analyse capacite'!$C$8</f>
        <v>0</v>
      </c>
      <c r="J4353" s="135" t="n">
        <f aca="false">$G4353*'Analyse capacite'!$D$8</f>
        <v>0</v>
      </c>
      <c r="K4353" s="135" t="n">
        <f aca="false">$G4353*'Analyse capacite'!$E$8</f>
        <v>0</v>
      </c>
    </row>
    <row r="4354" customFormat="false" ht="15" hidden="false" customHeight="false" outlineLevel="0" collapsed="false">
      <c r="B4354" s="130" t="n">
        <v>2027</v>
      </c>
      <c r="C4354" s="131" t="s">
        <v>249</v>
      </c>
      <c r="D4354" s="132" t="n">
        <v>46598</v>
      </c>
      <c r="E4354" s="131" t="s">
        <v>56</v>
      </c>
      <c r="F4354" s="133" t="s">
        <v>24</v>
      </c>
      <c r="G4354" s="134" t="n">
        <f aca="false">LEN('Saisie programme'!$H$159)+SUMIFS('Vols additionnels'!$E$7:$E$66,'Vols additionnels'!$C$7:$C$66,$E4354,'Vols additionnels'!$D$7:$D$66,$F4354,'Vols additionnels'!$B$7:$B$66,$D4354)</f>
        <v>0</v>
      </c>
      <c r="H4354" s="135" t="n">
        <f aca="false">$G4354*'Analyse capacite'!$F$9</f>
        <v>0</v>
      </c>
      <c r="I4354" s="135" t="n">
        <f aca="false">$G4354*'Analyse capacite'!$C$9</f>
        <v>0</v>
      </c>
      <c r="J4354" s="135" t="n">
        <f aca="false">$G4354*'Analyse capacite'!$D$9</f>
        <v>0</v>
      </c>
      <c r="K4354" s="135" t="n">
        <f aca="false">$G4354*'Analyse capacite'!$E$9</f>
        <v>0</v>
      </c>
    </row>
    <row r="4355" customFormat="false" ht="15" hidden="false" customHeight="false" outlineLevel="0" collapsed="false">
      <c r="B4355" s="130" t="n">
        <v>2027</v>
      </c>
      <c r="C4355" s="131" t="s">
        <v>249</v>
      </c>
      <c r="D4355" s="132" t="n">
        <v>46598</v>
      </c>
      <c r="E4355" s="131" t="s">
        <v>59</v>
      </c>
      <c r="F4355" s="133" t="s">
        <v>11</v>
      </c>
      <c r="G4355" s="134" t="n">
        <f aca="false">LEN('Saisie programme'!$H$160)+SUMIFS('Vols additionnels'!$E$7:$E$66,'Vols additionnels'!$C$7:$C$66,$E4355,'Vols additionnels'!$D$7:$D$66,$F4355,'Vols additionnels'!$B$7:$B$66,$D4355)</f>
        <v>0</v>
      </c>
      <c r="H4355" s="135" t="n">
        <f aca="false">$G4355*'Analyse capacite'!$F$7</f>
        <v>0</v>
      </c>
      <c r="I4355" s="135" t="n">
        <f aca="false">$G4355*'Analyse capacite'!$C$7</f>
        <v>0</v>
      </c>
      <c r="J4355" s="135" t="n">
        <f aca="false">$G4355*'Analyse capacite'!$D$7</f>
        <v>0</v>
      </c>
      <c r="K4355" s="135" t="n">
        <f aca="false">$G4355*'Analyse capacite'!$E$7</f>
        <v>0</v>
      </c>
    </row>
    <row r="4356" customFormat="false" ht="15" hidden="false" customHeight="false" outlineLevel="0" collapsed="false">
      <c r="B4356" s="130" t="n">
        <v>2027</v>
      </c>
      <c r="C4356" s="131" t="s">
        <v>249</v>
      </c>
      <c r="D4356" s="132" t="n">
        <v>46598</v>
      </c>
      <c r="E4356" s="131" t="s">
        <v>59</v>
      </c>
      <c r="F4356" s="133" t="s">
        <v>19</v>
      </c>
      <c r="G4356" s="134" t="n">
        <f aca="false">LEN('Saisie programme'!$H$161)+SUMIFS('Vols additionnels'!$E$7:$E$66,'Vols additionnels'!$C$7:$C$66,$E4356,'Vols additionnels'!$D$7:$D$66,$F4356,'Vols additionnels'!$B$7:$B$66,$D4356)</f>
        <v>0</v>
      </c>
      <c r="H4356" s="135" t="n">
        <f aca="false">$G4356*'Analyse capacite'!$F$8</f>
        <v>0</v>
      </c>
      <c r="I4356" s="135" t="n">
        <f aca="false">$G4356*'Analyse capacite'!$C$8</f>
        <v>0</v>
      </c>
      <c r="J4356" s="135" t="n">
        <f aca="false">$G4356*'Analyse capacite'!$D$8</f>
        <v>0</v>
      </c>
      <c r="K4356" s="135" t="n">
        <f aca="false">$G4356*'Analyse capacite'!$E$8</f>
        <v>0</v>
      </c>
    </row>
    <row r="4357" customFormat="false" ht="15" hidden="false" customHeight="false" outlineLevel="0" collapsed="false">
      <c r="B4357" s="130" t="n">
        <v>2027</v>
      </c>
      <c r="C4357" s="131" t="s">
        <v>249</v>
      </c>
      <c r="D4357" s="132" t="n">
        <v>46598</v>
      </c>
      <c r="E4357" s="131" t="s">
        <v>59</v>
      </c>
      <c r="F4357" s="133" t="s">
        <v>24</v>
      </c>
      <c r="G4357" s="134" t="n">
        <f aca="false">LEN('Saisie programme'!$H$162)+SUMIFS('Vols additionnels'!$E$7:$E$66,'Vols additionnels'!$C$7:$C$66,$E4357,'Vols additionnels'!$D$7:$D$66,$F4357,'Vols additionnels'!$B$7:$B$66,$D4357)</f>
        <v>1</v>
      </c>
      <c r="H4357" s="135" t="n">
        <f aca="false">$G4357*'Analyse capacite'!$F$9</f>
        <v>174</v>
      </c>
      <c r="I4357" s="135" t="n">
        <f aca="false">$G4357*'Analyse capacite'!$C$9</f>
        <v>0</v>
      </c>
      <c r="J4357" s="135" t="n">
        <f aca="false">$G4357*'Analyse capacite'!$D$9</f>
        <v>12</v>
      </c>
      <c r="K4357" s="135" t="n">
        <f aca="false">$G4357*'Analyse capacite'!$E$9</f>
        <v>162</v>
      </c>
    </row>
    <row r="4358" customFormat="false" ht="15" hidden="false" customHeight="false" outlineLevel="0" collapsed="false">
      <c r="B4358" s="130" t="n">
        <v>2027</v>
      </c>
      <c r="C4358" s="131" t="s">
        <v>249</v>
      </c>
      <c r="D4358" s="132" t="n">
        <v>46598</v>
      </c>
      <c r="E4358" s="131" t="s">
        <v>62</v>
      </c>
      <c r="F4358" s="133" t="s">
        <v>11</v>
      </c>
      <c r="G4358" s="134" t="n">
        <f aca="false">LEN('Saisie programme'!$H$163)+SUMIFS('Vols additionnels'!$E$7:$E$66,'Vols additionnels'!$C$7:$C$66,$E4358,'Vols additionnels'!$D$7:$D$66,$F4358,'Vols additionnels'!$B$7:$B$66,$D4358)</f>
        <v>0</v>
      </c>
      <c r="H4358" s="135" t="n">
        <f aca="false">$G4358*'Analyse capacite'!$F$7</f>
        <v>0</v>
      </c>
      <c r="I4358" s="135" t="n">
        <f aca="false">$G4358*'Analyse capacite'!$C$7</f>
        <v>0</v>
      </c>
      <c r="J4358" s="135" t="n">
        <f aca="false">$G4358*'Analyse capacite'!$D$7</f>
        <v>0</v>
      </c>
      <c r="K4358" s="135" t="n">
        <f aca="false">$G4358*'Analyse capacite'!$E$7</f>
        <v>0</v>
      </c>
    </row>
    <row r="4359" customFormat="false" ht="15" hidden="false" customHeight="false" outlineLevel="0" collapsed="false">
      <c r="B4359" s="130" t="n">
        <v>2027</v>
      </c>
      <c r="C4359" s="131" t="s">
        <v>249</v>
      </c>
      <c r="D4359" s="132" t="n">
        <v>46598</v>
      </c>
      <c r="E4359" s="131" t="s">
        <v>62</v>
      </c>
      <c r="F4359" s="133" t="s">
        <v>19</v>
      </c>
      <c r="G4359" s="134" t="n">
        <f aca="false">LEN('Saisie programme'!$H$164)+SUMIFS('Vols additionnels'!$E$7:$E$66,'Vols additionnels'!$C$7:$C$66,$E4359,'Vols additionnels'!$D$7:$D$66,$F4359,'Vols additionnels'!$B$7:$B$66,$D4359)</f>
        <v>0</v>
      </c>
      <c r="H4359" s="135" t="n">
        <f aca="false">$G4359*'Analyse capacite'!$F$8</f>
        <v>0</v>
      </c>
      <c r="I4359" s="135" t="n">
        <f aca="false">$G4359*'Analyse capacite'!$C$8</f>
        <v>0</v>
      </c>
      <c r="J4359" s="135" t="n">
        <f aca="false">$G4359*'Analyse capacite'!$D$8</f>
        <v>0</v>
      </c>
      <c r="K4359" s="135" t="n">
        <f aca="false">$G4359*'Analyse capacite'!$E$8</f>
        <v>0</v>
      </c>
    </row>
    <row r="4360" customFormat="false" ht="15" hidden="false" customHeight="false" outlineLevel="0" collapsed="false">
      <c r="B4360" s="130" t="n">
        <v>2027</v>
      </c>
      <c r="C4360" s="131" t="s">
        <v>249</v>
      </c>
      <c r="D4360" s="132" t="n">
        <v>46598</v>
      </c>
      <c r="E4360" s="131" t="s">
        <v>62</v>
      </c>
      <c r="F4360" s="133" t="s">
        <v>24</v>
      </c>
      <c r="G4360" s="134" t="n">
        <f aca="false">LEN('Saisie programme'!$H$165)+SUMIFS('Vols additionnels'!$E$7:$E$66,'Vols additionnels'!$C$7:$C$66,$E4360,'Vols additionnels'!$D$7:$D$66,$F4360,'Vols additionnels'!$B$7:$B$66,$D4360)</f>
        <v>0</v>
      </c>
      <c r="H4360" s="135" t="n">
        <f aca="false">$G4360*'Analyse capacite'!$F$9</f>
        <v>0</v>
      </c>
      <c r="I4360" s="135" t="n">
        <f aca="false">$G4360*'Analyse capacite'!$C$9</f>
        <v>0</v>
      </c>
      <c r="J4360" s="135" t="n">
        <f aca="false">$G4360*'Analyse capacite'!$D$9</f>
        <v>0</v>
      </c>
      <c r="K4360" s="135" t="n">
        <f aca="false">$G4360*'Analyse capacite'!$E$9</f>
        <v>0</v>
      </c>
    </row>
    <row r="4361" customFormat="false" ht="15" hidden="false" customHeight="false" outlineLevel="0" collapsed="false">
      <c r="B4361" s="130" t="n">
        <v>2027</v>
      </c>
      <c r="C4361" s="131" t="s">
        <v>249</v>
      </c>
      <c r="D4361" s="132" t="n">
        <v>46599</v>
      </c>
      <c r="E4361" s="131" t="s">
        <v>12</v>
      </c>
      <c r="F4361" s="133" t="s">
        <v>11</v>
      </c>
      <c r="G4361" s="134" t="n">
        <f aca="false">LEN('Saisie programme'!$I$130)+SUMIFS('Vols additionnels'!$E$7:$E$66,'Vols additionnels'!$C$7:$C$66,$E4361,'Vols additionnels'!$D$7:$D$66,$F4361,'Vols additionnels'!$B$7:$B$66,$D4361)</f>
        <v>1</v>
      </c>
      <c r="H4361" s="135" t="n">
        <f aca="false">$G4361*'Analyse capacite'!$F$7</f>
        <v>438</v>
      </c>
      <c r="I4361" s="135" t="n">
        <f aca="false">$G4361*'Analyse capacite'!$C$7</f>
        <v>14</v>
      </c>
      <c r="J4361" s="135" t="n">
        <f aca="false">$G4361*'Analyse capacite'!$D$7</f>
        <v>40</v>
      </c>
      <c r="K4361" s="135" t="n">
        <f aca="false">$G4361*'Analyse capacite'!$E$7</f>
        <v>384</v>
      </c>
    </row>
    <row r="4362" customFormat="false" ht="15" hidden="false" customHeight="false" outlineLevel="0" collapsed="false">
      <c r="B4362" s="130" t="n">
        <v>2027</v>
      </c>
      <c r="C4362" s="131" t="s">
        <v>249</v>
      </c>
      <c r="D4362" s="132" t="n">
        <v>46599</v>
      </c>
      <c r="E4362" s="131" t="s">
        <v>12</v>
      </c>
      <c r="F4362" s="133" t="s">
        <v>19</v>
      </c>
      <c r="G4362" s="134" t="n">
        <f aca="false">LEN('Saisie programme'!$I$131)+SUMIFS('Vols additionnels'!$E$7:$E$66,'Vols additionnels'!$C$7:$C$66,$E4362,'Vols additionnels'!$D$7:$D$66,$F4362,'Vols additionnels'!$B$7:$B$66,$D4362)</f>
        <v>0</v>
      </c>
      <c r="H4362" s="135" t="n">
        <f aca="false">$G4362*'Analyse capacite'!$F$8</f>
        <v>0</v>
      </c>
      <c r="I4362" s="135" t="n">
        <f aca="false">$G4362*'Analyse capacite'!$C$8</f>
        <v>0</v>
      </c>
      <c r="J4362" s="135" t="n">
        <f aca="false">$G4362*'Analyse capacite'!$D$8</f>
        <v>0</v>
      </c>
      <c r="K4362" s="135" t="n">
        <f aca="false">$G4362*'Analyse capacite'!$E$8</f>
        <v>0</v>
      </c>
    </row>
    <row r="4363" customFormat="false" ht="15" hidden="false" customHeight="false" outlineLevel="0" collapsed="false">
      <c r="B4363" s="130" t="n">
        <v>2027</v>
      </c>
      <c r="C4363" s="131" t="s">
        <v>249</v>
      </c>
      <c r="D4363" s="132" t="n">
        <v>46599</v>
      </c>
      <c r="E4363" s="131" t="s">
        <v>12</v>
      </c>
      <c r="F4363" s="133" t="s">
        <v>24</v>
      </c>
      <c r="G4363" s="134" t="n">
        <f aca="false">LEN('Saisie programme'!$I$132)+SUMIFS('Vols additionnels'!$E$7:$E$66,'Vols additionnels'!$C$7:$C$66,$E4363,'Vols additionnels'!$D$7:$D$66,$F4363,'Vols additionnels'!$B$7:$B$66,$D4363)</f>
        <v>0</v>
      </c>
      <c r="H4363" s="135" t="n">
        <f aca="false">$G4363*'Analyse capacite'!$F$9</f>
        <v>0</v>
      </c>
      <c r="I4363" s="135" t="n">
        <f aca="false">$G4363*'Analyse capacite'!$C$9</f>
        <v>0</v>
      </c>
      <c r="J4363" s="135" t="n">
        <f aca="false">$G4363*'Analyse capacite'!$D$9</f>
        <v>0</v>
      </c>
      <c r="K4363" s="135" t="n">
        <f aca="false">$G4363*'Analyse capacite'!$E$9</f>
        <v>0</v>
      </c>
    </row>
    <row r="4364" customFormat="false" ht="15" hidden="false" customHeight="false" outlineLevel="0" collapsed="false">
      <c r="B4364" s="130" t="n">
        <v>2027</v>
      </c>
      <c r="C4364" s="131" t="s">
        <v>249</v>
      </c>
      <c r="D4364" s="132" t="n">
        <v>46599</v>
      </c>
      <c r="E4364" s="131" t="s">
        <v>20</v>
      </c>
      <c r="F4364" s="133" t="s">
        <v>11</v>
      </c>
      <c r="G4364" s="134" t="n">
        <f aca="false">LEN('Saisie programme'!$I$133)+SUMIFS('Vols additionnels'!$E$7:$E$66,'Vols additionnels'!$C$7:$C$66,$E4364,'Vols additionnels'!$D$7:$D$66,$F4364,'Vols additionnels'!$B$7:$B$66,$D4364)</f>
        <v>0</v>
      </c>
      <c r="H4364" s="135" t="n">
        <f aca="false">$G4364*'Analyse capacite'!$F$7</f>
        <v>0</v>
      </c>
      <c r="I4364" s="135" t="n">
        <f aca="false">$G4364*'Analyse capacite'!$C$7</f>
        <v>0</v>
      </c>
      <c r="J4364" s="135" t="n">
        <f aca="false">$G4364*'Analyse capacite'!$D$7</f>
        <v>0</v>
      </c>
      <c r="K4364" s="135" t="n">
        <f aca="false">$G4364*'Analyse capacite'!$E$7</f>
        <v>0</v>
      </c>
    </row>
    <row r="4365" customFormat="false" ht="15" hidden="false" customHeight="false" outlineLevel="0" collapsed="false">
      <c r="B4365" s="130" t="n">
        <v>2027</v>
      </c>
      <c r="C4365" s="131" t="s">
        <v>249</v>
      </c>
      <c r="D4365" s="132" t="n">
        <v>46599</v>
      </c>
      <c r="E4365" s="131" t="s">
        <v>20</v>
      </c>
      <c r="F4365" s="133" t="s">
        <v>19</v>
      </c>
      <c r="G4365" s="134" t="n">
        <f aca="false">LEN('Saisie programme'!$I$134)+SUMIFS('Vols additionnels'!$E$7:$E$66,'Vols additionnels'!$C$7:$C$66,$E4365,'Vols additionnels'!$D$7:$D$66,$F4365,'Vols additionnels'!$B$7:$B$66,$D4365)</f>
        <v>0</v>
      </c>
      <c r="H4365" s="135" t="n">
        <f aca="false">$G4365*'Analyse capacite'!$F$8</f>
        <v>0</v>
      </c>
      <c r="I4365" s="135" t="n">
        <f aca="false">$G4365*'Analyse capacite'!$C$8</f>
        <v>0</v>
      </c>
      <c r="J4365" s="135" t="n">
        <f aca="false">$G4365*'Analyse capacite'!$D$8</f>
        <v>0</v>
      </c>
      <c r="K4365" s="135" t="n">
        <f aca="false">$G4365*'Analyse capacite'!$E$8</f>
        <v>0</v>
      </c>
    </row>
    <row r="4366" customFormat="false" ht="15" hidden="false" customHeight="false" outlineLevel="0" collapsed="false">
      <c r="B4366" s="130" t="n">
        <v>2027</v>
      </c>
      <c r="C4366" s="131" t="s">
        <v>249</v>
      </c>
      <c r="D4366" s="132" t="n">
        <v>46599</v>
      </c>
      <c r="E4366" s="131" t="s">
        <v>20</v>
      </c>
      <c r="F4366" s="133" t="s">
        <v>24</v>
      </c>
      <c r="G4366" s="134" t="n">
        <f aca="false">LEN('Saisie programme'!$I$135)+SUMIFS('Vols additionnels'!$E$7:$E$66,'Vols additionnels'!$C$7:$C$66,$E4366,'Vols additionnels'!$D$7:$D$66,$F4366,'Vols additionnels'!$B$7:$B$66,$D4366)</f>
        <v>0</v>
      </c>
      <c r="H4366" s="135" t="n">
        <f aca="false">$G4366*'Analyse capacite'!$F$9</f>
        <v>0</v>
      </c>
      <c r="I4366" s="135" t="n">
        <f aca="false">$G4366*'Analyse capacite'!$C$9</f>
        <v>0</v>
      </c>
      <c r="J4366" s="135" t="n">
        <f aca="false">$G4366*'Analyse capacite'!$D$9</f>
        <v>0</v>
      </c>
      <c r="K4366" s="135" t="n">
        <f aca="false">$G4366*'Analyse capacite'!$E$9</f>
        <v>0</v>
      </c>
    </row>
    <row r="4367" customFormat="false" ht="15" hidden="false" customHeight="false" outlineLevel="0" collapsed="false">
      <c r="B4367" s="130" t="n">
        <v>2027</v>
      </c>
      <c r="C4367" s="131" t="s">
        <v>249</v>
      </c>
      <c r="D4367" s="132" t="n">
        <v>46599</v>
      </c>
      <c r="E4367" s="131" t="s">
        <v>25</v>
      </c>
      <c r="F4367" s="133" t="s">
        <v>11</v>
      </c>
      <c r="G4367" s="134" t="n">
        <f aca="false">LEN('Saisie programme'!$I$136)+SUMIFS('Vols additionnels'!$E$7:$E$66,'Vols additionnels'!$C$7:$C$66,$E4367,'Vols additionnels'!$D$7:$D$66,$F4367,'Vols additionnels'!$B$7:$B$66,$D4367)</f>
        <v>0</v>
      </c>
      <c r="H4367" s="135" t="n">
        <f aca="false">$G4367*'Analyse capacite'!$F$7</f>
        <v>0</v>
      </c>
      <c r="I4367" s="135" t="n">
        <f aca="false">$G4367*'Analyse capacite'!$C$7</f>
        <v>0</v>
      </c>
      <c r="J4367" s="135" t="n">
        <f aca="false">$G4367*'Analyse capacite'!$D$7</f>
        <v>0</v>
      </c>
      <c r="K4367" s="135" t="n">
        <f aca="false">$G4367*'Analyse capacite'!$E$7</f>
        <v>0</v>
      </c>
    </row>
    <row r="4368" customFormat="false" ht="15" hidden="false" customHeight="false" outlineLevel="0" collapsed="false">
      <c r="B4368" s="130" t="n">
        <v>2027</v>
      </c>
      <c r="C4368" s="131" t="s">
        <v>249</v>
      </c>
      <c r="D4368" s="132" t="n">
        <v>46599</v>
      </c>
      <c r="E4368" s="131" t="s">
        <v>25</v>
      </c>
      <c r="F4368" s="133" t="s">
        <v>19</v>
      </c>
      <c r="G4368" s="134" t="n">
        <f aca="false">LEN('Saisie programme'!$I$137)+SUMIFS('Vols additionnels'!$E$7:$E$66,'Vols additionnels'!$C$7:$C$66,$E4368,'Vols additionnels'!$D$7:$D$66,$F4368,'Vols additionnels'!$B$7:$B$66,$D4368)</f>
        <v>1</v>
      </c>
      <c r="H4368" s="135" t="n">
        <f aca="false">$G4368*'Analyse capacite'!$F$8</f>
        <v>262</v>
      </c>
      <c r="I4368" s="135" t="n">
        <f aca="false">$G4368*'Analyse capacite'!$C$8</f>
        <v>18</v>
      </c>
      <c r="J4368" s="135" t="n">
        <f aca="false">$G4368*'Analyse capacite'!$D$8</f>
        <v>0</v>
      </c>
      <c r="K4368" s="135" t="n">
        <f aca="false">$G4368*'Analyse capacite'!$E$8</f>
        <v>244</v>
      </c>
    </row>
    <row r="4369" customFormat="false" ht="15" hidden="false" customHeight="false" outlineLevel="0" collapsed="false">
      <c r="B4369" s="130" t="n">
        <v>2027</v>
      </c>
      <c r="C4369" s="131" t="s">
        <v>249</v>
      </c>
      <c r="D4369" s="132" t="n">
        <v>46599</v>
      </c>
      <c r="E4369" s="131" t="s">
        <v>25</v>
      </c>
      <c r="F4369" s="133" t="s">
        <v>24</v>
      </c>
      <c r="G4369" s="134" t="n">
        <f aca="false">LEN('Saisie programme'!$I$138)+SUMIFS('Vols additionnels'!$E$7:$E$66,'Vols additionnels'!$C$7:$C$66,$E4369,'Vols additionnels'!$D$7:$D$66,$F4369,'Vols additionnels'!$B$7:$B$66,$D4369)</f>
        <v>0</v>
      </c>
      <c r="H4369" s="135" t="n">
        <f aca="false">$G4369*'Analyse capacite'!$F$9</f>
        <v>0</v>
      </c>
      <c r="I4369" s="135" t="n">
        <f aca="false">$G4369*'Analyse capacite'!$C$9</f>
        <v>0</v>
      </c>
      <c r="J4369" s="135" t="n">
        <f aca="false">$G4369*'Analyse capacite'!$D$9</f>
        <v>0</v>
      </c>
      <c r="K4369" s="135" t="n">
        <f aca="false">$G4369*'Analyse capacite'!$E$9</f>
        <v>0</v>
      </c>
    </row>
    <row r="4370" customFormat="false" ht="15" hidden="false" customHeight="false" outlineLevel="0" collapsed="false">
      <c r="B4370" s="130" t="n">
        <v>2027</v>
      </c>
      <c r="C4370" s="131" t="s">
        <v>249</v>
      </c>
      <c r="D4370" s="132" t="n">
        <v>46599</v>
      </c>
      <c r="E4370" s="131" t="s">
        <v>36</v>
      </c>
      <c r="F4370" s="133" t="s">
        <v>11</v>
      </c>
      <c r="G4370" s="134" t="n">
        <f aca="false">LEN('Saisie programme'!$I$139)+SUMIFS('Vols additionnels'!$E$7:$E$66,'Vols additionnels'!$C$7:$C$66,$E4370,'Vols additionnels'!$D$7:$D$66,$F4370,'Vols additionnels'!$B$7:$B$66,$D4370)</f>
        <v>0</v>
      </c>
      <c r="H4370" s="135" t="n">
        <f aca="false">$G4370*'Analyse capacite'!$F$7</f>
        <v>0</v>
      </c>
      <c r="I4370" s="135" t="n">
        <f aca="false">$G4370*'Analyse capacite'!$C$7</f>
        <v>0</v>
      </c>
      <c r="J4370" s="135" t="n">
        <f aca="false">$G4370*'Analyse capacite'!$D$7</f>
        <v>0</v>
      </c>
      <c r="K4370" s="135" t="n">
        <f aca="false">$G4370*'Analyse capacite'!$E$7</f>
        <v>0</v>
      </c>
    </row>
    <row r="4371" customFormat="false" ht="15" hidden="false" customHeight="false" outlineLevel="0" collapsed="false">
      <c r="B4371" s="130" t="n">
        <v>2027</v>
      </c>
      <c r="C4371" s="131" t="s">
        <v>249</v>
      </c>
      <c r="D4371" s="132" t="n">
        <v>46599</v>
      </c>
      <c r="E4371" s="131" t="s">
        <v>36</v>
      </c>
      <c r="F4371" s="133" t="s">
        <v>19</v>
      </c>
      <c r="G4371" s="134" t="n">
        <f aca="false">LEN('Saisie programme'!$I$140)+SUMIFS('Vols additionnels'!$E$7:$E$66,'Vols additionnels'!$C$7:$C$66,$E4371,'Vols additionnels'!$D$7:$D$66,$F4371,'Vols additionnels'!$B$7:$B$66,$D4371)</f>
        <v>0</v>
      </c>
      <c r="H4371" s="135" t="n">
        <f aca="false">$G4371*'Analyse capacite'!$F$8</f>
        <v>0</v>
      </c>
      <c r="I4371" s="135" t="n">
        <f aca="false">$G4371*'Analyse capacite'!$C$8</f>
        <v>0</v>
      </c>
      <c r="J4371" s="135" t="n">
        <f aca="false">$G4371*'Analyse capacite'!$D$8</f>
        <v>0</v>
      </c>
      <c r="K4371" s="135" t="n">
        <f aca="false">$G4371*'Analyse capacite'!$E$8</f>
        <v>0</v>
      </c>
    </row>
    <row r="4372" customFormat="false" ht="15" hidden="false" customHeight="false" outlineLevel="0" collapsed="false">
      <c r="B4372" s="130" t="n">
        <v>2027</v>
      </c>
      <c r="C4372" s="131" t="s">
        <v>249</v>
      </c>
      <c r="D4372" s="132" t="n">
        <v>46599</v>
      </c>
      <c r="E4372" s="131" t="s">
        <v>36</v>
      </c>
      <c r="F4372" s="133" t="s">
        <v>24</v>
      </c>
      <c r="G4372" s="134" t="n">
        <f aca="false">LEN('Saisie programme'!$I$141)+SUMIFS('Vols additionnels'!$E$7:$E$66,'Vols additionnels'!$C$7:$C$66,$E4372,'Vols additionnels'!$D$7:$D$66,$F4372,'Vols additionnels'!$B$7:$B$66,$D4372)</f>
        <v>0</v>
      </c>
      <c r="H4372" s="135" t="n">
        <f aca="false">$G4372*'Analyse capacite'!$F$9</f>
        <v>0</v>
      </c>
      <c r="I4372" s="135" t="n">
        <f aca="false">$G4372*'Analyse capacite'!$C$9</f>
        <v>0</v>
      </c>
      <c r="J4372" s="135" t="n">
        <f aca="false">$G4372*'Analyse capacite'!$D$9</f>
        <v>0</v>
      </c>
      <c r="K4372" s="135" t="n">
        <f aca="false">$G4372*'Analyse capacite'!$E$9</f>
        <v>0</v>
      </c>
    </row>
    <row r="4373" customFormat="false" ht="15" hidden="false" customHeight="false" outlineLevel="0" collapsed="false">
      <c r="B4373" s="130" t="n">
        <v>2027</v>
      </c>
      <c r="C4373" s="131" t="s">
        <v>249</v>
      </c>
      <c r="D4373" s="132" t="n">
        <v>46599</v>
      </c>
      <c r="E4373" s="131" t="s">
        <v>40</v>
      </c>
      <c r="F4373" s="133" t="s">
        <v>11</v>
      </c>
      <c r="G4373" s="134" t="n">
        <f aca="false">LEN('Saisie programme'!$I$142)+SUMIFS('Vols additionnels'!$E$7:$E$66,'Vols additionnels'!$C$7:$C$66,$E4373,'Vols additionnels'!$D$7:$D$66,$F4373,'Vols additionnels'!$B$7:$B$66,$D4373)</f>
        <v>0</v>
      </c>
      <c r="H4373" s="135" t="n">
        <f aca="false">$G4373*'Analyse capacite'!$F$7</f>
        <v>0</v>
      </c>
      <c r="I4373" s="135" t="n">
        <f aca="false">$G4373*'Analyse capacite'!$C$7</f>
        <v>0</v>
      </c>
      <c r="J4373" s="135" t="n">
        <f aca="false">$G4373*'Analyse capacite'!$D$7</f>
        <v>0</v>
      </c>
      <c r="K4373" s="135" t="n">
        <f aca="false">$G4373*'Analyse capacite'!$E$7</f>
        <v>0</v>
      </c>
    </row>
    <row r="4374" customFormat="false" ht="15" hidden="false" customHeight="false" outlineLevel="0" collapsed="false">
      <c r="B4374" s="130" t="n">
        <v>2027</v>
      </c>
      <c r="C4374" s="131" t="s">
        <v>249</v>
      </c>
      <c r="D4374" s="132" t="n">
        <v>46599</v>
      </c>
      <c r="E4374" s="131" t="s">
        <v>40</v>
      </c>
      <c r="F4374" s="133" t="s">
        <v>19</v>
      </c>
      <c r="G4374" s="134" t="n">
        <f aca="false">LEN('Saisie programme'!$I$143)+SUMIFS('Vols additionnels'!$E$7:$E$66,'Vols additionnels'!$C$7:$C$66,$E4374,'Vols additionnels'!$D$7:$D$66,$F4374,'Vols additionnels'!$B$7:$B$66,$D4374)</f>
        <v>0</v>
      </c>
      <c r="H4374" s="135" t="n">
        <f aca="false">$G4374*'Analyse capacite'!$F$8</f>
        <v>0</v>
      </c>
      <c r="I4374" s="135" t="n">
        <f aca="false">$G4374*'Analyse capacite'!$C$8</f>
        <v>0</v>
      </c>
      <c r="J4374" s="135" t="n">
        <f aca="false">$G4374*'Analyse capacite'!$D$8</f>
        <v>0</v>
      </c>
      <c r="K4374" s="135" t="n">
        <f aca="false">$G4374*'Analyse capacite'!$E$8</f>
        <v>0</v>
      </c>
    </row>
    <row r="4375" customFormat="false" ht="15" hidden="false" customHeight="false" outlineLevel="0" collapsed="false">
      <c r="B4375" s="130" t="n">
        <v>2027</v>
      </c>
      <c r="C4375" s="131" t="s">
        <v>249</v>
      </c>
      <c r="D4375" s="132" t="n">
        <v>46599</v>
      </c>
      <c r="E4375" s="131" t="s">
        <v>40</v>
      </c>
      <c r="F4375" s="133" t="s">
        <v>24</v>
      </c>
      <c r="G4375" s="134" t="n">
        <f aca="false">LEN('Saisie programme'!$I$144)+SUMIFS('Vols additionnels'!$E$7:$E$66,'Vols additionnels'!$C$7:$C$66,$E4375,'Vols additionnels'!$D$7:$D$66,$F4375,'Vols additionnels'!$B$7:$B$66,$D4375)</f>
        <v>0</v>
      </c>
      <c r="H4375" s="135" t="n">
        <f aca="false">$G4375*'Analyse capacite'!$F$9</f>
        <v>0</v>
      </c>
      <c r="I4375" s="135" t="n">
        <f aca="false">$G4375*'Analyse capacite'!$C$9</f>
        <v>0</v>
      </c>
      <c r="J4375" s="135" t="n">
        <f aca="false">$G4375*'Analyse capacite'!$D$9</f>
        <v>0</v>
      </c>
      <c r="K4375" s="135" t="n">
        <f aca="false">$G4375*'Analyse capacite'!$E$9</f>
        <v>0</v>
      </c>
    </row>
    <row r="4376" customFormat="false" ht="15" hidden="false" customHeight="false" outlineLevel="0" collapsed="false">
      <c r="B4376" s="130" t="n">
        <v>2027</v>
      </c>
      <c r="C4376" s="131" t="s">
        <v>249</v>
      </c>
      <c r="D4376" s="132" t="n">
        <v>46599</v>
      </c>
      <c r="E4376" s="131" t="s">
        <v>14</v>
      </c>
      <c r="F4376" s="133" t="s">
        <v>11</v>
      </c>
      <c r="G4376" s="134" t="n">
        <f aca="false">LEN('Saisie programme'!$I$145)+SUMIFS('Vols additionnels'!$E$7:$E$66,'Vols additionnels'!$C$7:$C$66,$E4376,'Vols additionnels'!$D$7:$D$66,$F4376,'Vols additionnels'!$B$7:$B$66,$D4376)</f>
        <v>0</v>
      </c>
      <c r="H4376" s="135" t="n">
        <f aca="false">$G4376*'Analyse capacite'!$F$7</f>
        <v>0</v>
      </c>
      <c r="I4376" s="135" t="n">
        <f aca="false">$G4376*'Analyse capacite'!$C$7</f>
        <v>0</v>
      </c>
      <c r="J4376" s="135" t="n">
        <f aca="false">$G4376*'Analyse capacite'!$D$7</f>
        <v>0</v>
      </c>
      <c r="K4376" s="135" t="n">
        <f aca="false">$G4376*'Analyse capacite'!$E$7</f>
        <v>0</v>
      </c>
    </row>
    <row r="4377" customFormat="false" ht="15" hidden="false" customHeight="false" outlineLevel="0" collapsed="false">
      <c r="B4377" s="130" t="n">
        <v>2027</v>
      </c>
      <c r="C4377" s="131" t="s">
        <v>249</v>
      </c>
      <c r="D4377" s="132" t="n">
        <v>46599</v>
      </c>
      <c r="E4377" s="131" t="s">
        <v>14</v>
      </c>
      <c r="F4377" s="133" t="s">
        <v>19</v>
      </c>
      <c r="G4377" s="134" t="n">
        <f aca="false">LEN('Saisie programme'!$I$146)+SUMIFS('Vols additionnels'!$E$7:$E$66,'Vols additionnels'!$C$7:$C$66,$E4377,'Vols additionnels'!$D$7:$D$66,$F4377,'Vols additionnels'!$B$7:$B$66,$D4377)</f>
        <v>0</v>
      </c>
      <c r="H4377" s="135" t="n">
        <f aca="false">$G4377*'Analyse capacite'!$F$8</f>
        <v>0</v>
      </c>
      <c r="I4377" s="135" t="n">
        <f aca="false">$G4377*'Analyse capacite'!$C$8</f>
        <v>0</v>
      </c>
      <c r="J4377" s="135" t="n">
        <f aca="false">$G4377*'Analyse capacite'!$D$8</f>
        <v>0</v>
      </c>
      <c r="K4377" s="135" t="n">
        <f aca="false">$G4377*'Analyse capacite'!$E$8</f>
        <v>0</v>
      </c>
    </row>
    <row r="4378" customFormat="false" ht="15" hidden="false" customHeight="false" outlineLevel="0" collapsed="false">
      <c r="B4378" s="130" t="n">
        <v>2027</v>
      </c>
      <c r="C4378" s="131" t="s">
        <v>249</v>
      </c>
      <c r="D4378" s="132" t="n">
        <v>46599</v>
      </c>
      <c r="E4378" s="131" t="s">
        <v>14</v>
      </c>
      <c r="F4378" s="133" t="s">
        <v>24</v>
      </c>
      <c r="G4378" s="134" t="n">
        <f aca="false">LEN('Saisie programme'!$I$147)+SUMIFS('Vols additionnels'!$E$7:$E$66,'Vols additionnels'!$C$7:$C$66,$E4378,'Vols additionnels'!$D$7:$D$66,$F4378,'Vols additionnels'!$B$7:$B$66,$D4378)</f>
        <v>1</v>
      </c>
      <c r="H4378" s="135" t="n">
        <f aca="false">$G4378*'Analyse capacite'!$F$9</f>
        <v>174</v>
      </c>
      <c r="I4378" s="135" t="n">
        <f aca="false">$G4378*'Analyse capacite'!$C$9</f>
        <v>0</v>
      </c>
      <c r="J4378" s="135" t="n">
        <f aca="false">$G4378*'Analyse capacite'!$D$9</f>
        <v>12</v>
      </c>
      <c r="K4378" s="135" t="n">
        <f aca="false">$G4378*'Analyse capacite'!$E$9</f>
        <v>162</v>
      </c>
    </row>
    <row r="4379" customFormat="false" ht="15" hidden="false" customHeight="false" outlineLevel="0" collapsed="false">
      <c r="B4379" s="130" t="n">
        <v>2027</v>
      </c>
      <c r="C4379" s="131" t="s">
        <v>249</v>
      </c>
      <c r="D4379" s="132" t="n">
        <v>46599</v>
      </c>
      <c r="E4379" s="131" t="s">
        <v>46</v>
      </c>
      <c r="F4379" s="133" t="s">
        <v>11</v>
      </c>
      <c r="G4379" s="134" t="n">
        <f aca="false">LEN('Saisie programme'!$I$148)+SUMIFS('Vols additionnels'!$E$7:$E$66,'Vols additionnels'!$C$7:$C$66,$E4379,'Vols additionnels'!$D$7:$D$66,$F4379,'Vols additionnels'!$B$7:$B$66,$D4379)</f>
        <v>0</v>
      </c>
      <c r="H4379" s="135" t="n">
        <f aca="false">$G4379*'Analyse capacite'!$F$7</f>
        <v>0</v>
      </c>
      <c r="I4379" s="135" t="n">
        <f aca="false">$G4379*'Analyse capacite'!$C$7</f>
        <v>0</v>
      </c>
      <c r="J4379" s="135" t="n">
        <f aca="false">$G4379*'Analyse capacite'!$D$7</f>
        <v>0</v>
      </c>
      <c r="K4379" s="135" t="n">
        <f aca="false">$G4379*'Analyse capacite'!$E$7</f>
        <v>0</v>
      </c>
    </row>
    <row r="4380" customFormat="false" ht="15" hidden="false" customHeight="false" outlineLevel="0" collapsed="false">
      <c r="B4380" s="130" t="n">
        <v>2027</v>
      </c>
      <c r="C4380" s="131" t="s">
        <v>249</v>
      </c>
      <c r="D4380" s="132" t="n">
        <v>46599</v>
      </c>
      <c r="E4380" s="131" t="s">
        <v>46</v>
      </c>
      <c r="F4380" s="133" t="s">
        <v>19</v>
      </c>
      <c r="G4380" s="134" t="n">
        <f aca="false">LEN('Saisie programme'!$I$149)+SUMIFS('Vols additionnels'!$E$7:$E$66,'Vols additionnels'!$C$7:$C$66,$E4380,'Vols additionnels'!$D$7:$D$66,$F4380,'Vols additionnels'!$B$7:$B$66,$D4380)</f>
        <v>0</v>
      </c>
      <c r="H4380" s="135" t="n">
        <f aca="false">$G4380*'Analyse capacite'!$F$8</f>
        <v>0</v>
      </c>
      <c r="I4380" s="135" t="n">
        <f aca="false">$G4380*'Analyse capacite'!$C$8</f>
        <v>0</v>
      </c>
      <c r="J4380" s="135" t="n">
        <f aca="false">$G4380*'Analyse capacite'!$D$8</f>
        <v>0</v>
      </c>
      <c r="K4380" s="135" t="n">
        <f aca="false">$G4380*'Analyse capacite'!$E$8</f>
        <v>0</v>
      </c>
    </row>
    <row r="4381" customFormat="false" ht="15" hidden="false" customHeight="false" outlineLevel="0" collapsed="false">
      <c r="B4381" s="130" t="n">
        <v>2027</v>
      </c>
      <c r="C4381" s="131" t="s">
        <v>249</v>
      </c>
      <c r="D4381" s="132" t="n">
        <v>46599</v>
      </c>
      <c r="E4381" s="131" t="s">
        <v>46</v>
      </c>
      <c r="F4381" s="133" t="s">
        <v>24</v>
      </c>
      <c r="G4381" s="134" t="n">
        <f aca="false">LEN('Saisie programme'!$I$150)+SUMIFS('Vols additionnels'!$E$7:$E$66,'Vols additionnels'!$C$7:$C$66,$E4381,'Vols additionnels'!$D$7:$D$66,$F4381,'Vols additionnels'!$B$7:$B$66,$D4381)</f>
        <v>1</v>
      </c>
      <c r="H4381" s="135" t="n">
        <f aca="false">$G4381*'Analyse capacite'!$F$9</f>
        <v>174</v>
      </c>
      <c r="I4381" s="135" t="n">
        <f aca="false">$G4381*'Analyse capacite'!$C$9</f>
        <v>0</v>
      </c>
      <c r="J4381" s="135" t="n">
        <f aca="false">$G4381*'Analyse capacite'!$D$9</f>
        <v>12</v>
      </c>
      <c r="K4381" s="135" t="n">
        <f aca="false">$G4381*'Analyse capacite'!$E$9</f>
        <v>162</v>
      </c>
    </row>
    <row r="4382" customFormat="false" ht="15" hidden="false" customHeight="false" outlineLevel="0" collapsed="false">
      <c r="B4382" s="130" t="n">
        <v>2027</v>
      </c>
      <c r="C4382" s="131" t="s">
        <v>249</v>
      </c>
      <c r="D4382" s="132" t="n">
        <v>46599</v>
      </c>
      <c r="E4382" s="131" t="s">
        <v>49</v>
      </c>
      <c r="F4382" s="133" t="s">
        <v>11</v>
      </c>
      <c r="G4382" s="134" t="n">
        <f aca="false">LEN('Saisie programme'!$I$151)+SUMIFS('Vols additionnels'!$E$7:$E$66,'Vols additionnels'!$C$7:$C$66,$E4382,'Vols additionnels'!$D$7:$D$66,$F4382,'Vols additionnels'!$B$7:$B$66,$D4382)</f>
        <v>0</v>
      </c>
      <c r="H4382" s="135" t="n">
        <f aca="false">$G4382*'Analyse capacite'!$F$7</f>
        <v>0</v>
      </c>
      <c r="I4382" s="135" t="n">
        <f aca="false">$G4382*'Analyse capacite'!$C$7</f>
        <v>0</v>
      </c>
      <c r="J4382" s="135" t="n">
        <f aca="false">$G4382*'Analyse capacite'!$D$7</f>
        <v>0</v>
      </c>
      <c r="K4382" s="135" t="n">
        <f aca="false">$G4382*'Analyse capacite'!$E$7</f>
        <v>0</v>
      </c>
    </row>
    <row r="4383" customFormat="false" ht="15" hidden="false" customHeight="false" outlineLevel="0" collapsed="false">
      <c r="B4383" s="130" t="n">
        <v>2027</v>
      </c>
      <c r="C4383" s="131" t="s">
        <v>249</v>
      </c>
      <c r="D4383" s="132" t="n">
        <v>46599</v>
      </c>
      <c r="E4383" s="131" t="s">
        <v>49</v>
      </c>
      <c r="F4383" s="133" t="s">
        <v>19</v>
      </c>
      <c r="G4383" s="134" t="n">
        <f aca="false">LEN('Saisie programme'!$I$152)+SUMIFS('Vols additionnels'!$E$7:$E$66,'Vols additionnels'!$C$7:$C$66,$E4383,'Vols additionnels'!$D$7:$D$66,$F4383,'Vols additionnels'!$B$7:$B$66,$D4383)</f>
        <v>0</v>
      </c>
      <c r="H4383" s="135" t="n">
        <f aca="false">$G4383*'Analyse capacite'!$F$8</f>
        <v>0</v>
      </c>
      <c r="I4383" s="135" t="n">
        <f aca="false">$G4383*'Analyse capacite'!$C$8</f>
        <v>0</v>
      </c>
      <c r="J4383" s="135" t="n">
        <f aca="false">$G4383*'Analyse capacite'!$D$8</f>
        <v>0</v>
      </c>
      <c r="K4383" s="135" t="n">
        <f aca="false">$G4383*'Analyse capacite'!$E$8</f>
        <v>0</v>
      </c>
    </row>
    <row r="4384" customFormat="false" ht="15" hidden="false" customHeight="false" outlineLevel="0" collapsed="false">
      <c r="B4384" s="130" t="n">
        <v>2027</v>
      </c>
      <c r="C4384" s="131" t="s">
        <v>249</v>
      </c>
      <c r="D4384" s="132" t="n">
        <v>46599</v>
      </c>
      <c r="E4384" s="131" t="s">
        <v>49</v>
      </c>
      <c r="F4384" s="133" t="s">
        <v>24</v>
      </c>
      <c r="G4384" s="134" t="n">
        <f aca="false">LEN('Saisie programme'!$I$153)+SUMIFS('Vols additionnels'!$E$7:$E$66,'Vols additionnels'!$C$7:$C$66,$E4384,'Vols additionnels'!$D$7:$D$66,$F4384,'Vols additionnels'!$B$7:$B$66,$D4384)</f>
        <v>0</v>
      </c>
      <c r="H4384" s="135" t="n">
        <f aca="false">$G4384*'Analyse capacite'!$F$9</f>
        <v>0</v>
      </c>
      <c r="I4384" s="135" t="n">
        <f aca="false">$G4384*'Analyse capacite'!$C$9</f>
        <v>0</v>
      </c>
      <c r="J4384" s="135" t="n">
        <f aca="false">$G4384*'Analyse capacite'!$D$9</f>
        <v>0</v>
      </c>
      <c r="K4384" s="135" t="n">
        <f aca="false">$G4384*'Analyse capacite'!$E$9</f>
        <v>0</v>
      </c>
    </row>
    <row r="4385" customFormat="false" ht="15" hidden="false" customHeight="false" outlineLevel="0" collapsed="false">
      <c r="B4385" s="130" t="n">
        <v>2027</v>
      </c>
      <c r="C4385" s="131" t="s">
        <v>249</v>
      </c>
      <c r="D4385" s="132" t="n">
        <v>46599</v>
      </c>
      <c r="E4385" s="131" t="s">
        <v>53</v>
      </c>
      <c r="F4385" s="133" t="s">
        <v>11</v>
      </c>
      <c r="G4385" s="134" t="n">
        <f aca="false">LEN('Saisie programme'!$I$154)+SUMIFS('Vols additionnels'!$E$7:$E$66,'Vols additionnels'!$C$7:$C$66,$E4385,'Vols additionnels'!$D$7:$D$66,$F4385,'Vols additionnels'!$B$7:$B$66,$D4385)</f>
        <v>0</v>
      </c>
      <c r="H4385" s="135" t="n">
        <f aca="false">$G4385*'Analyse capacite'!$F$7</f>
        <v>0</v>
      </c>
      <c r="I4385" s="135" t="n">
        <f aca="false">$G4385*'Analyse capacite'!$C$7</f>
        <v>0</v>
      </c>
      <c r="J4385" s="135" t="n">
        <f aca="false">$G4385*'Analyse capacite'!$D$7</f>
        <v>0</v>
      </c>
      <c r="K4385" s="135" t="n">
        <f aca="false">$G4385*'Analyse capacite'!$E$7</f>
        <v>0</v>
      </c>
    </row>
    <row r="4386" customFormat="false" ht="15" hidden="false" customHeight="false" outlineLevel="0" collapsed="false">
      <c r="B4386" s="130" t="n">
        <v>2027</v>
      </c>
      <c r="C4386" s="131" t="s">
        <v>249</v>
      </c>
      <c r="D4386" s="132" t="n">
        <v>46599</v>
      </c>
      <c r="E4386" s="131" t="s">
        <v>53</v>
      </c>
      <c r="F4386" s="133" t="s">
        <v>19</v>
      </c>
      <c r="G4386" s="134" t="n">
        <f aca="false">LEN('Saisie programme'!$I$155)+SUMIFS('Vols additionnels'!$E$7:$E$66,'Vols additionnels'!$C$7:$C$66,$E4386,'Vols additionnels'!$D$7:$D$66,$F4386,'Vols additionnels'!$B$7:$B$66,$D4386)</f>
        <v>0</v>
      </c>
      <c r="H4386" s="135" t="n">
        <f aca="false">$G4386*'Analyse capacite'!$F$8</f>
        <v>0</v>
      </c>
      <c r="I4386" s="135" t="n">
        <f aca="false">$G4386*'Analyse capacite'!$C$8</f>
        <v>0</v>
      </c>
      <c r="J4386" s="135" t="n">
        <f aca="false">$G4386*'Analyse capacite'!$D$8</f>
        <v>0</v>
      </c>
      <c r="K4386" s="135" t="n">
        <f aca="false">$G4386*'Analyse capacite'!$E$8</f>
        <v>0</v>
      </c>
    </row>
    <row r="4387" customFormat="false" ht="15" hidden="false" customHeight="false" outlineLevel="0" collapsed="false">
      <c r="B4387" s="130" t="n">
        <v>2027</v>
      </c>
      <c r="C4387" s="131" t="s">
        <v>249</v>
      </c>
      <c r="D4387" s="132" t="n">
        <v>46599</v>
      </c>
      <c r="E4387" s="131" t="s">
        <v>53</v>
      </c>
      <c r="F4387" s="133" t="s">
        <v>24</v>
      </c>
      <c r="G4387" s="134" t="n">
        <f aca="false">LEN('Saisie programme'!$I$156)+SUMIFS('Vols additionnels'!$E$7:$E$66,'Vols additionnels'!$C$7:$C$66,$E4387,'Vols additionnels'!$D$7:$D$66,$F4387,'Vols additionnels'!$B$7:$B$66,$D4387)</f>
        <v>0</v>
      </c>
      <c r="H4387" s="135" t="n">
        <f aca="false">$G4387*'Analyse capacite'!$F$9</f>
        <v>0</v>
      </c>
      <c r="I4387" s="135" t="n">
        <f aca="false">$G4387*'Analyse capacite'!$C$9</f>
        <v>0</v>
      </c>
      <c r="J4387" s="135" t="n">
        <f aca="false">$G4387*'Analyse capacite'!$D$9</f>
        <v>0</v>
      </c>
      <c r="K4387" s="135" t="n">
        <f aca="false">$G4387*'Analyse capacite'!$E$9</f>
        <v>0</v>
      </c>
    </row>
    <row r="4388" customFormat="false" ht="15" hidden="false" customHeight="false" outlineLevel="0" collapsed="false">
      <c r="B4388" s="130" t="n">
        <v>2027</v>
      </c>
      <c r="C4388" s="131" t="s">
        <v>249</v>
      </c>
      <c r="D4388" s="132" t="n">
        <v>46599</v>
      </c>
      <c r="E4388" s="131" t="s">
        <v>56</v>
      </c>
      <c r="F4388" s="133" t="s">
        <v>11</v>
      </c>
      <c r="G4388" s="134" t="n">
        <f aca="false">LEN('Saisie programme'!$I$157)+SUMIFS('Vols additionnels'!$E$7:$E$66,'Vols additionnels'!$C$7:$C$66,$E4388,'Vols additionnels'!$D$7:$D$66,$F4388,'Vols additionnels'!$B$7:$B$66,$D4388)</f>
        <v>0</v>
      </c>
      <c r="H4388" s="135" t="n">
        <f aca="false">$G4388*'Analyse capacite'!$F$7</f>
        <v>0</v>
      </c>
      <c r="I4388" s="135" t="n">
        <f aca="false">$G4388*'Analyse capacite'!$C$7</f>
        <v>0</v>
      </c>
      <c r="J4388" s="135" t="n">
        <f aca="false">$G4388*'Analyse capacite'!$D$7</f>
        <v>0</v>
      </c>
      <c r="K4388" s="135" t="n">
        <f aca="false">$G4388*'Analyse capacite'!$E$7</f>
        <v>0</v>
      </c>
    </row>
    <row r="4389" customFormat="false" ht="15" hidden="false" customHeight="false" outlineLevel="0" collapsed="false">
      <c r="B4389" s="130" t="n">
        <v>2027</v>
      </c>
      <c r="C4389" s="131" t="s">
        <v>249</v>
      </c>
      <c r="D4389" s="132" t="n">
        <v>46599</v>
      </c>
      <c r="E4389" s="131" t="s">
        <v>56</v>
      </c>
      <c r="F4389" s="133" t="s">
        <v>19</v>
      </c>
      <c r="G4389" s="134" t="n">
        <f aca="false">LEN('Saisie programme'!$I$158)+SUMIFS('Vols additionnels'!$E$7:$E$66,'Vols additionnels'!$C$7:$C$66,$E4389,'Vols additionnels'!$D$7:$D$66,$F4389,'Vols additionnels'!$B$7:$B$66,$D4389)</f>
        <v>0</v>
      </c>
      <c r="H4389" s="135" t="n">
        <f aca="false">$G4389*'Analyse capacite'!$F$8</f>
        <v>0</v>
      </c>
      <c r="I4389" s="135" t="n">
        <f aca="false">$G4389*'Analyse capacite'!$C$8</f>
        <v>0</v>
      </c>
      <c r="J4389" s="135" t="n">
        <f aca="false">$G4389*'Analyse capacite'!$D$8</f>
        <v>0</v>
      </c>
      <c r="K4389" s="135" t="n">
        <f aca="false">$G4389*'Analyse capacite'!$E$8</f>
        <v>0</v>
      </c>
    </row>
    <row r="4390" customFormat="false" ht="15" hidden="false" customHeight="false" outlineLevel="0" collapsed="false">
      <c r="B4390" s="130" t="n">
        <v>2027</v>
      </c>
      <c r="C4390" s="131" t="s">
        <v>249</v>
      </c>
      <c r="D4390" s="132" t="n">
        <v>46599</v>
      </c>
      <c r="E4390" s="131" t="s">
        <v>56</v>
      </c>
      <c r="F4390" s="133" t="s">
        <v>24</v>
      </c>
      <c r="G4390" s="134" t="n">
        <f aca="false">LEN('Saisie programme'!$I$159)+SUMIFS('Vols additionnels'!$E$7:$E$66,'Vols additionnels'!$C$7:$C$66,$E4390,'Vols additionnels'!$D$7:$D$66,$F4390,'Vols additionnels'!$B$7:$B$66,$D4390)</f>
        <v>1</v>
      </c>
      <c r="H4390" s="135" t="n">
        <f aca="false">$G4390*'Analyse capacite'!$F$9</f>
        <v>174</v>
      </c>
      <c r="I4390" s="135" t="n">
        <f aca="false">$G4390*'Analyse capacite'!$C$9</f>
        <v>0</v>
      </c>
      <c r="J4390" s="135" t="n">
        <f aca="false">$G4390*'Analyse capacite'!$D$9</f>
        <v>12</v>
      </c>
      <c r="K4390" s="135" t="n">
        <f aca="false">$G4390*'Analyse capacite'!$E$9</f>
        <v>162</v>
      </c>
    </row>
    <row r="4391" customFormat="false" ht="15" hidden="false" customHeight="false" outlineLevel="0" collapsed="false">
      <c r="B4391" s="130" t="n">
        <v>2027</v>
      </c>
      <c r="C4391" s="131" t="s">
        <v>249</v>
      </c>
      <c r="D4391" s="132" t="n">
        <v>46599</v>
      </c>
      <c r="E4391" s="131" t="s">
        <v>59</v>
      </c>
      <c r="F4391" s="133" t="s">
        <v>11</v>
      </c>
      <c r="G4391" s="134" t="n">
        <f aca="false">LEN('Saisie programme'!$I$160)+SUMIFS('Vols additionnels'!$E$7:$E$66,'Vols additionnels'!$C$7:$C$66,$E4391,'Vols additionnels'!$D$7:$D$66,$F4391,'Vols additionnels'!$B$7:$B$66,$D4391)</f>
        <v>0</v>
      </c>
      <c r="H4391" s="135" t="n">
        <f aca="false">$G4391*'Analyse capacite'!$F$7</f>
        <v>0</v>
      </c>
      <c r="I4391" s="135" t="n">
        <f aca="false">$G4391*'Analyse capacite'!$C$7</f>
        <v>0</v>
      </c>
      <c r="J4391" s="135" t="n">
        <f aca="false">$G4391*'Analyse capacite'!$D$7</f>
        <v>0</v>
      </c>
      <c r="K4391" s="135" t="n">
        <f aca="false">$G4391*'Analyse capacite'!$E$7</f>
        <v>0</v>
      </c>
    </row>
    <row r="4392" customFormat="false" ht="15" hidden="false" customHeight="false" outlineLevel="0" collapsed="false">
      <c r="B4392" s="130" t="n">
        <v>2027</v>
      </c>
      <c r="C4392" s="131" t="s">
        <v>249</v>
      </c>
      <c r="D4392" s="132" t="n">
        <v>46599</v>
      </c>
      <c r="E4392" s="131" t="s">
        <v>59</v>
      </c>
      <c r="F4392" s="133" t="s">
        <v>19</v>
      </c>
      <c r="G4392" s="134" t="n">
        <f aca="false">LEN('Saisie programme'!$I$161)+SUMIFS('Vols additionnels'!$E$7:$E$66,'Vols additionnels'!$C$7:$C$66,$E4392,'Vols additionnels'!$D$7:$D$66,$F4392,'Vols additionnels'!$B$7:$B$66,$D4392)</f>
        <v>0</v>
      </c>
      <c r="H4392" s="135" t="n">
        <f aca="false">$G4392*'Analyse capacite'!$F$8</f>
        <v>0</v>
      </c>
      <c r="I4392" s="135" t="n">
        <f aca="false">$G4392*'Analyse capacite'!$C$8</f>
        <v>0</v>
      </c>
      <c r="J4392" s="135" t="n">
        <f aca="false">$G4392*'Analyse capacite'!$D$8</f>
        <v>0</v>
      </c>
      <c r="K4392" s="135" t="n">
        <f aca="false">$G4392*'Analyse capacite'!$E$8</f>
        <v>0</v>
      </c>
    </row>
    <row r="4393" customFormat="false" ht="15" hidden="false" customHeight="false" outlineLevel="0" collapsed="false">
      <c r="B4393" s="130" t="n">
        <v>2027</v>
      </c>
      <c r="C4393" s="131" t="s">
        <v>249</v>
      </c>
      <c r="D4393" s="132" t="n">
        <v>46599</v>
      </c>
      <c r="E4393" s="131" t="s">
        <v>59</v>
      </c>
      <c r="F4393" s="133" t="s">
        <v>24</v>
      </c>
      <c r="G4393" s="134" t="n">
        <f aca="false">LEN('Saisie programme'!$I$162)+SUMIFS('Vols additionnels'!$E$7:$E$66,'Vols additionnels'!$C$7:$C$66,$E4393,'Vols additionnels'!$D$7:$D$66,$F4393,'Vols additionnels'!$B$7:$B$66,$D4393)</f>
        <v>1</v>
      </c>
      <c r="H4393" s="135" t="n">
        <f aca="false">$G4393*'Analyse capacite'!$F$9</f>
        <v>174</v>
      </c>
      <c r="I4393" s="135" t="n">
        <f aca="false">$G4393*'Analyse capacite'!$C$9</f>
        <v>0</v>
      </c>
      <c r="J4393" s="135" t="n">
        <f aca="false">$G4393*'Analyse capacite'!$D$9</f>
        <v>12</v>
      </c>
      <c r="K4393" s="135" t="n">
        <f aca="false">$G4393*'Analyse capacite'!$E$9</f>
        <v>162</v>
      </c>
    </row>
    <row r="4394" customFormat="false" ht="15" hidden="false" customHeight="false" outlineLevel="0" collapsed="false">
      <c r="B4394" s="130" t="n">
        <v>2027</v>
      </c>
      <c r="C4394" s="131" t="s">
        <v>249</v>
      </c>
      <c r="D4394" s="132" t="n">
        <v>46599</v>
      </c>
      <c r="E4394" s="131" t="s">
        <v>62</v>
      </c>
      <c r="F4394" s="133" t="s">
        <v>11</v>
      </c>
      <c r="G4394" s="134" t="n">
        <f aca="false">LEN('Saisie programme'!$I$163)+SUMIFS('Vols additionnels'!$E$7:$E$66,'Vols additionnels'!$C$7:$C$66,$E4394,'Vols additionnels'!$D$7:$D$66,$F4394,'Vols additionnels'!$B$7:$B$66,$D4394)</f>
        <v>0</v>
      </c>
      <c r="H4394" s="135" t="n">
        <f aca="false">$G4394*'Analyse capacite'!$F$7</f>
        <v>0</v>
      </c>
      <c r="I4394" s="135" t="n">
        <f aca="false">$G4394*'Analyse capacite'!$C$7</f>
        <v>0</v>
      </c>
      <c r="J4394" s="135" t="n">
        <f aca="false">$G4394*'Analyse capacite'!$D$7</f>
        <v>0</v>
      </c>
      <c r="K4394" s="135" t="n">
        <f aca="false">$G4394*'Analyse capacite'!$E$7</f>
        <v>0</v>
      </c>
    </row>
    <row r="4395" customFormat="false" ht="15" hidden="false" customHeight="false" outlineLevel="0" collapsed="false">
      <c r="B4395" s="130" t="n">
        <v>2027</v>
      </c>
      <c r="C4395" s="131" t="s">
        <v>249</v>
      </c>
      <c r="D4395" s="132" t="n">
        <v>46599</v>
      </c>
      <c r="E4395" s="131" t="s">
        <v>62</v>
      </c>
      <c r="F4395" s="133" t="s">
        <v>19</v>
      </c>
      <c r="G4395" s="134" t="n">
        <f aca="false">LEN('Saisie programme'!$I$164)+SUMIFS('Vols additionnels'!$E$7:$E$66,'Vols additionnels'!$C$7:$C$66,$E4395,'Vols additionnels'!$D$7:$D$66,$F4395,'Vols additionnels'!$B$7:$B$66,$D4395)</f>
        <v>0</v>
      </c>
      <c r="H4395" s="135" t="n">
        <f aca="false">$G4395*'Analyse capacite'!$F$8</f>
        <v>0</v>
      </c>
      <c r="I4395" s="135" t="n">
        <f aca="false">$G4395*'Analyse capacite'!$C$8</f>
        <v>0</v>
      </c>
      <c r="J4395" s="135" t="n">
        <f aca="false">$G4395*'Analyse capacite'!$D$8</f>
        <v>0</v>
      </c>
      <c r="K4395" s="135" t="n">
        <f aca="false">$G4395*'Analyse capacite'!$E$8</f>
        <v>0</v>
      </c>
    </row>
    <row r="4396" customFormat="false" ht="15" hidden="false" customHeight="false" outlineLevel="0" collapsed="false">
      <c r="B4396" s="130" t="n">
        <v>2027</v>
      </c>
      <c r="C4396" s="131" t="s">
        <v>249</v>
      </c>
      <c r="D4396" s="132" t="n">
        <v>46599</v>
      </c>
      <c r="E4396" s="131" t="s">
        <v>62</v>
      </c>
      <c r="F4396" s="133" t="s">
        <v>24</v>
      </c>
      <c r="G4396" s="134" t="n">
        <f aca="false">LEN('Saisie programme'!$I$165)+SUMIFS('Vols additionnels'!$E$7:$E$66,'Vols additionnels'!$C$7:$C$66,$E4396,'Vols additionnels'!$D$7:$D$66,$F4396,'Vols additionnels'!$B$7:$B$66,$D4396)</f>
        <v>0</v>
      </c>
      <c r="H4396" s="135" t="n">
        <f aca="false">$G4396*'Analyse capacite'!$F$9</f>
        <v>0</v>
      </c>
      <c r="I4396" s="135" t="n">
        <f aca="false">$G4396*'Analyse capacite'!$C$9</f>
        <v>0</v>
      </c>
      <c r="J4396" s="135" t="n">
        <f aca="false">$G4396*'Analyse capacite'!$D$9</f>
        <v>0</v>
      </c>
      <c r="K4396" s="135" t="n">
        <f aca="false">$G4396*'Analyse capacite'!$E$9</f>
        <v>0</v>
      </c>
    </row>
    <row r="4397" customFormat="false" ht="15" hidden="false" customHeight="false" outlineLevel="0" collapsed="false">
      <c r="B4397" s="130" t="n">
        <v>2027</v>
      </c>
      <c r="C4397" s="131" t="s">
        <v>250</v>
      </c>
      <c r="D4397" s="132" t="n">
        <v>46600</v>
      </c>
      <c r="E4397" s="131" t="s">
        <v>12</v>
      </c>
      <c r="F4397" s="133" t="s">
        <v>11</v>
      </c>
      <c r="G4397" s="134" t="n">
        <f aca="false">LEN('Saisie programme'!$J$169)+SUMIFS('Vols additionnels'!$E$7:$E$66,'Vols additionnels'!$C$7:$C$66,$E4397,'Vols additionnels'!$D$7:$D$66,$F4397,'Vols additionnels'!$B$7:$B$66,$D4397)</f>
        <v>1</v>
      </c>
      <c r="H4397" s="135" t="n">
        <f aca="false">$G4397*'Analyse capacite'!$F$7</f>
        <v>438</v>
      </c>
      <c r="I4397" s="135" t="n">
        <f aca="false">$G4397*'Analyse capacite'!$C$7</f>
        <v>14</v>
      </c>
      <c r="J4397" s="135" t="n">
        <f aca="false">$G4397*'Analyse capacite'!$D$7</f>
        <v>40</v>
      </c>
      <c r="K4397" s="135" t="n">
        <f aca="false">$G4397*'Analyse capacite'!$E$7</f>
        <v>384</v>
      </c>
    </row>
    <row r="4398" customFormat="false" ht="15" hidden="false" customHeight="false" outlineLevel="0" collapsed="false">
      <c r="B4398" s="130" t="n">
        <v>2027</v>
      </c>
      <c r="C4398" s="131" t="s">
        <v>250</v>
      </c>
      <c r="D4398" s="132" t="n">
        <v>46600</v>
      </c>
      <c r="E4398" s="131" t="s">
        <v>12</v>
      </c>
      <c r="F4398" s="133" t="s">
        <v>19</v>
      </c>
      <c r="G4398" s="134" t="n">
        <f aca="false">LEN('Saisie programme'!$J$170)+SUMIFS('Vols additionnels'!$E$7:$E$66,'Vols additionnels'!$C$7:$C$66,$E4398,'Vols additionnels'!$D$7:$D$66,$F4398,'Vols additionnels'!$B$7:$B$66,$D4398)</f>
        <v>1</v>
      </c>
      <c r="H4398" s="135" t="n">
        <f aca="false">$G4398*'Analyse capacite'!$F$8</f>
        <v>262</v>
      </c>
      <c r="I4398" s="135" t="n">
        <f aca="false">$G4398*'Analyse capacite'!$C$8</f>
        <v>18</v>
      </c>
      <c r="J4398" s="135" t="n">
        <f aca="false">$G4398*'Analyse capacite'!$D$8</f>
        <v>0</v>
      </c>
      <c r="K4398" s="135" t="n">
        <f aca="false">$G4398*'Analyse capacite'!$E$8</f>
        <v>244</v>
      </c>
    </row>
    <row r="4399" customFormat="false" ht="15" hidden="false" customHeight="false" outlineLevel="0" collapsed="false">
      <c r="B4399" s="130" t="n">
        <v>2027</v>
      </c>
      <c r="C4399" s="131" t="s">
        <v>250</v>
      </c>
      <c r="D4399" s="132" t="n">
        <v>46600</v>
      </c>
      <c r="E4399" s="131" t="s">
        <v>12</v>
      </c>
      <c r="F4399" s="133" t="s">
        <v>24</v>
      </c>
      <c r="G4399" s="134" t="n">
        <f aca="false">LEN('Saisie programme'!$J$171)+SUMIFS('Vols additionnels'!$E$7:$E$66,'Vols additionnels'!$C$7:$C$66,$E4399,'Vols additionnels'!$D$7:$D$66,$F4399,'Vols additionnels'!$B$7:$B$66,$D4399)</f>
        <v>0</v>
      </c>
      <c r="H4399" s="135" t="n">
        <f aca="false">$G4399*'Analyse capacite'!$F$9</f>
        <v>0</v>
      </c>
      <c r="I4399" s="135" t="n">
        <f aca="false">$G4399*'Analyse capacite'!$C$9</f>
        <v>0</v>
      </c>
      <c r="J4399" s="135" t="n">
        <f aca="false">$G4399*'Analyse capacite'!$D$9</f>
        <v>0</v>
      </c>
      <c r="K4399" s="135" t="n">
        <f aca="false">$G4399*'Analyse capacite'!$E$9</f>
        <v>0</v>
      </c>
    </row>
    <row r="4400" customFormat="false" ht="15" hidden="false" customHeight="false" outlineLevel="0" collapsed="false">
      <c r="B4400" s="130" t="n">
        <v>2027</v>
      </c>
      <c r="C4400" s="131" t="s">
        <v>250</v>
      </c>
      <c r="D4400" s="132" t="n">
        <v>46600</v>
      </c>
      <c r="E4400" s="131" t="s">
        <v>20</v>
      </c>
      <c r="F4400" s="133" t="s">
        <v>11</v>
      </c>
      <c r="G4400" s="134" t="n">
        <f aca="false">LEN('Saisie programme'!$J$172)+SUMIFS('Vols additionnels'!$E$7:$E$66,'Vols additionnels'!$C$7:$C$66,$E4400,'Vols additionnels'!$D$7:$D$66,$F4400,'Vols additionnels'!$B$7:$B$66,$D4400)</f>
        <v>1</v>
      </c>
      <c r="H4400" s="135" t="n">
        <f aca="false">$G4400*'Analyse capacite'!$F$7</f>
        <v>438</v>
      </c>
      <c r="I4400" s="135" t="n">
        <f aca="false">$G4400*'Analyse capacite'!$C$7</f>
        <v>14</v>
      </c>
      <c r="J4400" s="135" t="n">
        <f aca="false">$G4400*'Analyse capacite'!$D$7</f>
        <v>40</v>
      </c>
      <c r="K4400" s="135" t="n">
        <f aca="false">$G4400*'Analyse capacite'!$E$7</f>
        <v>384</v>
      </c>
    </row>
    <row r="4401" customFormat="false" ht="15" hidden="false" customHeight="false" outlineLevel="0" collapsed="false">
      <c r="B4401" s="130" t="n">
        <v>2027</v>
      </c>
      <c r="C4401" s="131" t="s">
        <v>250</v>
      </c>
      <c r="D4401" s="132" t="n">
        <v>46600</v>
      </c>
      <c r="E4401" s="131" t="s">
        <v>20</v>
      </c>
      <c r="F4401" s="133" t="s">
        <v>19</v>
      </c>
      <c r="G4401" s="134" t="n">
        <f aca="false">LEN('Saisie programme'!$J$173)+SUMIFS('Vols additionnels'!$E$7:$E$66,'Vols additionnels'!$C$7:$C$66,$E4401,'Vols additionnels'!$D$7:$D$66,$F4401,'Vols additionnels'!$B$7:$B$66,$D4401)</f>
        <v>0</v>
      </c>
      <c r="H4401" s="135" t="n">
        <f aca="false">$G4401*'Analyse capacite'!$F$8</f>
        <v>0</v>
      </c>
      <c r="I4401" s="135" t="n">
        <f aca="false">$G4401*'Analyse capacite'!$C$8</f>
        <v>0</v>
      </c>
      <c r="J4401" s="135" t="n">
        <f aca="false">$G4401*'Analyse capacite'!$D$8</f>
        <v>0</v>
      </c>
      <c r="K4401" s="135" t="n">
        <f aca="false">$G4401*'Analyse capacite'!$E$8</f>
        <v>0</v>
      </c>
    </row>
    <row r="4402" customFormat="false" ht="15" hidden="false" customHeight="false" outlineLevel="0" collapsed="false">
      <c r="B4402" s="130" t="n">
        <v>2027</v>
      </c>
      <c r="C4402" s="131" t="s">
        <v>250</v>
      </c>
      <c r="D4402" s="132" t="n">
        <v>46600</v>
      </c>
      <c r="E4402" s="131" t="s">
        <v>20</v>
      </c>
      <c r="F4402" s="133" t="s">
        <v>24</v>
      </c>
      <c r="G4402" s="134" t="n">
        <f aca="false">LEN('Saisie programme'!$J$174)+SUMIFS('Vols additionnels'!$E$7:$E$66,'Vols additionnels'!$C$7:$C$66,$E4402,'Vols additionnels'!$D$7:$D$66,$F4402,'Vols additionnels'!$B$7:$B$66,$D4402)</f>
        <v>0</v>
      </c>
      <c r="H4402" s="135" t="n">
        <f aca="false">$G4402*'Analyse capacite'!$F$9</f>
        <v>0</v>
      </c>
      <c r="I4402" s="135" t="n">
        <f aca="false">$G4402*'Analyse capacite'!$C$9</f>
        <v>0</v>
      </c>
      <c r="J4402" s="135" t="n">
        <f aca="false">$G4402*'Analyse capacite'!$D$9</f>
        <v>0</v>
      </c>
      <c r="K4402" s="135" t="n">
        <f aca="false">$G4402*'Analyse capacite'!$E$9</f>
        <v>0</v>
      </c>
    </row>
    <row r="4403" customFormat="false" ht="15" hidden="false" customHeight="false" outlineLevel="0" collapsed="false">
      <c r="B4403" s="130" t="n">
        <v>2027</v>
      </c>
      <c r="C4403" s="131" t="s">
        <v>250</v>
      </c>
      <c r="D4403" s="132" t="n">
        <v>46600</v>
      </c>
      <c r="E4403" s="131" t="s">
        <v>25</v>
      </c>
      <c r="F4403" s="133" t="s">
        <v>11</v>
      </c>
      <c r="G4403" s="134" t="n">
        <f aca="false">LEN('Saisie programme'!$J$175)+SUMIFS('Vols additionnels'!$E$7:$E$66,'Vols additionnels'!$C$7:$C$66,$E4403,'Vols additionnels'!$D$7:$D$66,$F4403,'Vols additionnels'!$B$7:$B$66,$D4403)</f>
        <v>0</v>
      </c>
      <c r="H4403" s="135" t="n">
        <f aca="false">$G4403*'Analyse capacite'!$F$7</f>
        <v>0</v>
      </c>
      <c r="I4403" s="135" t="n">
        <f aca="false">$G4403*'Analyse capacite'!$C$7</f>
        <v>0</v>
      </c>
      <c r="J4403" s="135" t="n">
        <f aca="false">$G4403*'Analyse capacite'!$D$7</f>
        <v>0</v>
      </c>
      <c r="K4403" s="135" t="n">
        <f aca="false">$G4403*'Analyse capacite'!$E$7</f>
        <v>0</v>
      </c>
    </row>
    <row r="4404" customFormat="false" ht="15" hidden="false" customHeight="false" outlineLevel="0" collapsed="false">
      <c r="B4404" s="130" t="n">
        <v>2027</v>
      </c>
      <c r="C4404" s="131" t="s">
        <v>250</v>
      </c>
      <c r="D4404" s="132" t="n">
        <v>46600</v>
      </c>
      <c r="E4404" s="131" t="s">
        <v>25</v>
      </c>
      <c r="F4404" s="133" t="s">
        <v>19</v>
      </c>
      <c r="G4404" s="134" t="n">
        <f aca="false">LEN('Saisie programme'!$J$176)+SUMIFS('Vols additionnels'!$E$7:$E$66,'Vols additionnels'!$C$7:$C$66,$E4404,'Vols additionnels'!$D$7:$D$66,$F4404,'Vols additionnels'!$B$7:$B$66,$D4404)</f>
        <v>0</v>
      </c>
      <c r="H4404" s="135" t="n">
        <f aca="false">$G4404*'Analyse capacite'!$F$8</f>
        <v>0</v>
      </c>
      <c r="I4404" s="135" t="n">
        <f aca="false">$G4404*'Analyse capacite'!$C$8</f>
        <v>0</v>
      </c>
      <c r="J4404" s="135" t="n">
        <f aca="false">$G4404*'Analyse capacite'!$D$8</f>
        <v>0</v>
      </c>
      <c r="K4404" s="135" t="n">
        <f aca="false">$G4404*'Analyse capacite'!$E$8</f>
        <v>0</v>
      </c>
    </row>
    <row r="4405" customFormat="false" ht="15" hidden="false" customHeight="false" outlineLevel="0" collapsed="false">
      <c r="B4405" s="130" t="n">
        <v>2027</v>
      </c>
      <c r="C4405" s="131" t="s">
        <v>250</v>
      </c>
      <c r="D4405" s="132" t="n">
        <v>46600</v>
      </c>
      <c r="E4405" s="131" t="s">
        <v>25</v>
      </c>
      <c r="F4405" s="133" t="s">
        <v>24</v>
      </c>
      <c r="G4405" s="134" t="n">
        <f aca="false">LEN('Saisie programme'!$J$177)+SUMIFS('Vols additionnels'!$E$7:$E$66,'Vols additionnels'!$C$7:$C$66,$E4405,'Vols additionnels'!$D$7:$D$66,$F4405,'Vols additionnels'!$B$7:$B$66,$D4405)</f>
        <v>0</v>
      </c>
      <c r="H4405" s="135" t="n">
        <f aca="false">$G4405*'Analyse capacite'!$F$9</f>
        <v>0</v>
      </c>
      <c r="I4405" s="135" t="n">
        <f aca="false">$G4405*'Analyse capacite'!$C$9</f>
        <v>0</v>
      </c>
      <c r="J4405" s="135" t="n">
        <f aca="false">$G4405*'Analyse capacite'!$D$9</f>
        <v>0</v>
      </c>
      <c r="K4405" s="135" t="n">
        <f aca="false">$G4405*'Analyse capacite'!$E$9</f>
        <v>0</v>
      </c>
    </row>
    <row r="4406" customFormat="false" ht="15" hidden="false" customHeight="false" outlineLevel="0" collapsed="false">
      <c r="B4406" s="130" t="n">
        <v>2027</v>
      </c>
      <c r="C4406" s="131" t="s">
        <v>250</v>
      </c>
      <c r="D4406" s="132" t="n">
        <v>46600</v>
      </c>
      <c r="E4406" s="131" t="s">
        <v>36</v>
      </c>
      <c r="F4406" s="133" t="s">
        <v>11</v>
      </c>
      <c r="G4406" s="134" t="n">
        <f aca="false">LEN('Saisie programme'!$J$178)+SUMIFS('Vols additionnels'!$E$7:$E$66,'Vols additionnels'!$C$7:$C$66,$E4406,'Vols additionnels'!$D$7:$D$66,$F4406,'Vols additionnels'!$B$7:$B$66,$D4406)</f>
        <v>0</v>
      </c>
      <c r="H4406" s="135" t="n">
        <f aca="false">$G4406*'Analyse capacite'!$F$7</f>
        <v>0</v>
      </c>
      <c r="I4406" s="135" t="n">
        <f aca="false">$G4406*'Analyse capacite'!$C$7</f>
        <v>0</v>
      </c>
      <c r="J4406" s="135" t="n">
        <f aca="false">$G4406*'Analyse capacite'!$D$7</f>
        <v>0</v>
      </c>
      <c r="K4406" s="135" t="n">
        <f aca="false">$G4406*'Analyse capacite'!$E$7</f>
        <v>0</v>
      </c>
    </row>
    <row r="4407" customFormat="false" ht="15" hidden="false" customHeight="false" outlineLevel="0" collapsed="false">
      <c r="B4407" s="130" t="n">
        <v>2027</v>
      </c>
      <c r="C4407" s="131" t="s">
        <v>250</v>
      </c>
      <c r="D4407" s="132" t="n">
        <v>46600</v>
      </c>
      <c r="E4407" s="131" t="s">
        <v>36</v>
      </c>
      <c r="F4407" s="133" t="s">
        <v>19</v>
      </c>
      <c r="G4407" s="134" t="n">
        <f aca="false">LEN('Saisie programme'!$J$179)+SUMIFS('Vols additionnels'!$E$7:$E$66,'Vols additionnels'!$C$7:$C$66,$E4407,'Vols additionnels'!$D$7:$D$66,$F4407,'Vols additionnels'!$B$7:$B$66,$D4407)</f>
        <v>0</v>
      </c>
      <c r="H4407" s="135" t="n">
        <f aca="false">$G4407*'Analyse capacite'!$F$8</f>
        <v>0</v>
      </c>
      <c r="I4407" s="135" t="n">
        <f aca="false">$G4407*'Analyse capacite'!$C$8</f>
        <v>0</v>
      </c>
      <c r="J4407" s="135" t="n">
        <f aca="false">$G4407*'Analyse capacite'!$D$8</f>
        <v>0</v>
      </c>
      <c r="K4407" s="135" t="n">
        <f aca="false">$G4407*'Analyse capacite'!$E$8</f>
        <v>0</v>
      </c>
    </row>
    <row r="4408" customFormat="false" ht="15" hidden="false" customHeight="false" outlineLevel="0" collapsed="false">
      <c r="B4408" s="130" t="n">
        <v>2027</v>
      </c>
      <c r="C4408" s="131" t="s">
        <v>250</v>
      </c>
      <c r="D4408" s="132" t="n">
        <v>46600</v>
      </c>
      <c r="E4408" s="131" t="s">
        <v>36</v>
      </c>
      <c r="F4408" s="133" t="s">
        <v>24</v>
      </c>
      <c r="G4408" s="134" t="n">
        <f aca="false">LEN('Saisie programme'!$J$180)+SUMIFS('Vols additionnels'!$E$7:$E$66,'Vols additionnels'!$C$7:$C$66,$E4408,'Vols additionnels'!$D$7:$D$66,$F4408,'Vols additionnels'!$B$7:$B$66,$D4408)</f>
        <v>0</v>
      </c>
      <c r="H4408" s="135" t="n">
        <f aca="false">$G4408*'Analyse capacite'!$F$9</f>
        <v>0</v>
      </c>
      <c r="I4408" s="135" t="n">
        <f aca="false">$G4408*'Analyse capacite'!$C$9</f>
        <v>0</v>
      </c>
      <c r="J4408" s="135" t="n">
        <f aca="false">$G4408*'Analyse capacite'!$D$9</f>
        <v>0</v>
      </c>
      <c r="K4408" s="135" t="n">
        <f aca="false">$G4408*'Analyse capacite'!$E$9</f>
        <v>0</v>
      </c>
    </row>
    <row r="4409" customFormat="false" ht="15" hidden="false" customHeight="false" outlineLevel="0" collapsed="false">
      <c r="B4409" s="130" t="n">
        <v>2027</v>
      </c>
      <c r="C4409" s="131" t="s">
        <v>250</v>
      </c>
      <c r="D4409" s="132" t="n">
        <v>46600</v>
      </c>
      <c r="E4409" s="131" t="s">
        <v>40</v>
      </c>
      <c r="F4409" s="133" t="s">
        <v>11</v>
      </c>
      <c r="G4409" s="134" t="n">
        <f aca="false">LEN('Saisie programme'!$J$181)+SUMIFS('Vols additionnels'!$E$7:$E$66,'Vols additionnels'!$C$7:$C$66,$E4409,'Vols additionnels'!$D$7:$D$66,$F4409,'Vols additionnels'!$B$7:$B$66,$D4409)</f>
        <v>0</v>
      </c>
      <c r="H4409" s="135" t="n">
        <f aca="false">$G4409*'Analyse capacite'!$F$7</f>
        <v>0</v>
      </c>
      <c r="I4409" s="135" t="n">
        <f aca="false">$G4409*'Analyse capacite'!$C$7</f>
        <v>0</v>
      </c>
      <c r="J4409" s="135" t="n">
        <f aca="false">$G4409*'Analyse capacite'!$D$7</f>
        <v>0</v>
      </c>
      <c r="K4409" s="135" t="n">
        <f aca="false">$G4409*'Analyse capacite'!$E$7</f>
        <v>0</v>
      </c>
    </row>
    <row r="4410" customFormat="false" ht="15" hidden="false" customHeight="false" outlineLevel="0" collapsed="false">
      <c r="B4410" s="130" t="n">
        <v>2027</v>
      </c>
      <c r="C4410" s="131" t="s">
        <v>250</v>
      </c>
      <c r="D4410" s="132" t="n">
        <v>46600</v>
      </c>
      <c r="E4410" s="131" t="s">
        <v>40</v>
      </c>
      <c r="F4410" s="133" t="s">
        <v>19</v>
      </c>
      <c r="G4410" s="134" t="n">
        <f aca="false">LEN('Saisie programme'!$J$182)+SUMIFS('Vols additionnels'!$E$7:$E$66,'Vols additionnels'!$C$7:$C$66,$E4410,'Vols additionnels'!$D$7:$D$66,$F4410,'Vols additionnels'!$B$7:$B$66,$D4410)</f>
        <v>0</v>
      </c>
      <c r="H4410" s="135" t="n">
        <f aca="false">$G4410*'Analyse capacite'!$F$8</f>
        <v>0</v>
      </c>
      <c r="I4410" s="135" t="n">
        <f aca="false">$G4410*'Analyse capacite'!$C$8</f>
        <v>0</v>
      </c>
      <c r="J4410" s="135" t="n">
        <f aca="false">$G4410*'Analyse capacite'!$D$8</f>
        <v>0</v>
      </c>
      <c r="K4410" s="135" t="n">
        <f aca="false">$G4410*'Analyse capacite'!$E$8</f>
        <v>0</v>
      </c>
    </row>
    <row r="4411" customFormat="false" ht="15" hidden="false" customHeight="false" outlineLevel="0" collapsed="false">
      <c r="B4411" s="130" t="n">
        <v>2027</v>
      </c>
      <c r="C4411" s="131" t="s">
        <v>250</v>
      </c>
      <c r="D4411" s="132" t="n">
        <v>46600</v>
      </c>
      <c r="E4411" s="131" t="s">
        <v>40</v>
      </c>
      <c r="F4411" s="133" t="s">
        <v>24</v>
      </c>
      <c r="G4411" s="134" t="n">
        <f aca="false">LEN('Saisie programme'!$J$183)+SUMIFS('Vols additionnels'!$E$7:$E$66,'Vols additionnels'!$C$7:$C$66,$E4411,'Vols additionnels'!$D$7:$D$66,$F4411,'Vols additionnels'!$B$7:$B$66,$D4411)</f>
        <v>1</v>
      </c>
      <c r="H4411" s="135" t="n">
        <f aca="false">$G4411*'Analyse capacite'!$F$9</f>
        <v>174</v>
      </c>
      <c r="I4411" s="135" t="n">
        <f aca="false">$G4411*'Analyse capacite'!$C$9</f>
        <v>0</v>
      </c>
      <c r="J4411" s="135" t="n">
        <f aca="false">$G4411*'Analyse capacite'!$D$9</f>
        <v>12</v>
      </c>
      <c r="K4411" s="135" t="n">
        <f aca="false">$G4411*'Analyse capacite'!$E$9</f>
        <v>162</v>
      </c>
    </row>
    <row r="4412" customFormat="false" ht="15" hidden="false" customHeight="false" outlineLevel="0" collapsed="false">
      <c r="B4412" s="130" t="n">
        <v>2027</v>
      </c>
      <c r="C4412" s="131" t="s">
        <v>250</v>
      </c>
      <c r="D4412" s="132" t="n">
        <v>46600</v>
      </c>
      <c r="E4412" s="131" t="s">
        <v>14</v>
      </c>
      <c r="F4412" s="133" t="s">
        <v>11</v>
      </c>
      <c r="G4412" s="134" t="n">
        <f aca="false">LEN('Saisie programme'!$J$184)+SUMIFS('Vols additionnels'!$E$7:$E$66,'Vols additionnels'!$C$7:$C$66,$E4412,'Vols additionnels'!$D$7:$D$66,$F4412,'Vols additionnels'!$B$7:$B$66,$D4412)</f>
        <v>0</v>
      </c>
      <c r="H4412" s="135" t="n">
        <f aca="false">$G4412*'Analyse capacite'!$F$7</f>
        <v>0</v>
      </c>
      <c r="I4412" s="135" t="n">
        <f aca="false">$G4412*'Analyse capacite'!$C$7</f>
        <v>0</v>
      </c>
      <c r="J4412" s="135" t="n">
        <f aca="false">$G4412*'Analyse capacite'!$D$7</f>
        <v>0</v>
      </c>
      <c r="K4412" s="135" t="n">
        <f aca="false">$G4412*'Analyse capacite'!$E$7</f>
        <v>0</v>
      </c>
    </row>
    <row r="4413" customFormat="false" ht="15" hidden="false" customHeight="false" outlineLevel="0" collapsed="false">
      <c r="B4413" s="130" t="n">
        <v>2027</v>
      </c>
      <c r="C4413" s="131" t="s">
        <v>250</v>
      </c>
      <c r="D4413" s="132" t="n">
        <v>46600</v>
      </c>
      <c r="E4413" s="131" t="s">
        <v>14</v>
      </c>
      <c r="F4413" s="133" t="s">
        <v>19</v>
      </c>
      <c r="G4413" s="134" t="n">
        <f aca="false">LEN('Saisie programme'!$J$185)+SUMIFS('Vols additionnels'!$E$7:$E$66,'Vols additionnels'!$C$7:$C$66,$E4413,'Vols additionnels'!$D$7:$D$66,$F4413,'Vols additionnels'!$B$7:$B$66,$D4413)</f>
        <v>0</v>
      </c>
      <c r="H4413" s="135" t="n">
        <f aca="false">$G4413*'Analyse capacite'!$F$8</f>
        <v>0</v>
      </c>
      <c r="I4413" s="135" t="n">
        <f aca="false">$G4413*'Analyse capacite'!$C$8</f>
        <v>0</v>
      </c>
      <c r="J4413" s="135" t="n">
        <f aca="false">$G4413*'Analyse capacite'!$D$8</f>
        <v>0</v>
      </c>
      <c r="K4413" s="135" t="n">
        <f aca="false">$G4413*'Analyse capacite'!$E$8</f>
        <v>0</v>
      </c>
    </row>
    <row r="4414" customFormat="false" ht="15" hidden="false" customHeight="false" outlineLevel="0" collapsed="false">
      <c r="B4414" s="130" t="n">
        <v>2027</v>
      </c>
      <c r="C4414" s="131" t="s">
        <v>250</v>
      </c>
      <c r="D4414" s="132" t="n">
        <v>46600</v>
      </c>
      <c r="E4414" s="131" t="s">
        <v>14</v>
      </c>
      <c r="F4414" s="133" t="s">
        <v>24</v>
      </c>
      <c r="G4414" s="134" t="n">
        <f aca="false">LEN('Saisie programme'!$J$186)+SUMIFS('Vols additionnels'!$E$7:$E$66,'Vols additionnels'!$C$7:$C$66,$E4414,'Vols additionnels'!$D$7:$D$66,$F4414,'Vols additionnels'!$B$7:$B$66,$D4414)</f>
        <v>0</v>
      </c>
      <c r="H4414" s="135" t="n">
        <f aca="false">$G4414*'Analyse capacite'!$F$9</f>
        <v>0</v>
      </c>
      <c r="I4414" s="135" t="n">
        <f aca="false">$G4414*'Analyse capacite'!$C$9</f>
        <v>0</v>
      </c>
      <c r="J4414" s="135" t="n">
        <f aca="false">$G4414*'Analyse capacite'!$D$9</f>
        <v>0</v>
      </c>
      <c r="K4414" s="135" t="n">
        <f aca="false">$G4414*'Analyse capacite'!$E$9</f>
        <v>0</v>
      </c>
    </row>
    <row r="4415" customFormat="false" ht="15" hidden="false" customHeight="false" outlineLevel="0" collapsed="false">
      <c r="B4415" s="130" t="n">
        <v>2027</v>
      </c>
      <c r="C4415" s="131" t="s">
        <v>250</v>
      </c>
      <c r="D4415" s="132" t="n">
        <v>46600</v>
      </c>
      <c r="E4415" s="131" t="s">
        <v>46</v>
      </c>
      <c r="F4415" s="133" t="s">
        <v>11</v>
      </c>
      <c r="G4415" s="134" t="n">
        <f aca="false">LEN('Saisie programme'!$J$187)+SUMIFS('Vols additionnels'!$E$7:$E$66,'Vols additionnels'!$C$7:$C$66,$E4415,'Vols additionnels'!$D$7:$D$66,$F4415,'Vols additionnels'!$B$7:$B$66,$D4415)</f>
        <v>0</v>
      </c>
      <c r="H4415" s="135" t="n">
        <f aca="false">$G4415*'Analyse capacite'!$F$7</f>
        <v>0</v>
      </c>
      <c r="I4415" s="135" t="n">
        <f aca="false">$G4415*'Analyse capacite'!$C$7</f>
        <v>0</v>
      </c>
      <c r="J4415" s="135" t="n">
        <f aca="false">$G4415*'Analyse capacite'!$D$7</f>
        <v>0</v>
      </c>
      <c r="K4415" s="135" t="n">
        <f aca="false">$G4415*'Analyse capacite'!$E$7</f>
        <v>0</v>
      </c>
    </row>
    <row r="4416" customFormat="false" ht="15" hidden="false" customHeight="false" outlineLevel="0" collapsed="false">
      <c r="B4416" s="130" t="n">
        <v>2027</v>
      </c>
      <c r="C4416" s="131" t="s">
        <v>250</v>
      </c>
      <c r="D4416" s="132" t="n">
        <v>46600</v>
      </c>
      <c r="E4416" s="131" t="s">
        <v>46</v>
      </c>
      <c r="F4416" s="133" t="s">
        <v>19</v>
      </c>
      <c r="G4416" s="134" t="n">
        <f aca="false">LEN('Saisie programme'!$J$188)+SUMIFS('Vols additionnels'!$E$7:$E$66,'Vols additionnels'!$C$7:$C$66,$E4416,'Vols additionnels'!$D$7:$D$66,$F4416,'Vols additionnels'!$B$7:$B$66,$D4416)</f>
        <v>0</v>
      </c>
      <c r="H4416" s="135" t="n">
        <f aca="false">$G4416*'Analyse capacite'!$F$8</f>
        <v>0</v>
      </c>
      <c r="I4416" s="135" t="n">
        <f aca="false">$G4416*'Analyse capacite'!$C$8</f>
        <v>0</v>
      </c>
      <c r="J4416" s="135" t="n">
        <f aca="false">$G4416*'Analyse capacite'!$D$8</f>
        <v>0</v>
      </c>
      <c r="K4416" s="135" t="n">
        <f aca="false">$G4416*'Analyse capacite'!$E$8</f>
        <v>0</v>
      </c>
    </row>
    <row r="4417" customFormat="false" ht="15" hidden="false" customHeight="false" outlineLevel="0" collapsed="false">
      <c r="B4417" s="130" t="n">
        <v>2027</v>
      </c>
      <c r="C4417" s="131" t="s">
        <v>250</v>
      </c>
      <c r="D4417" s="132" t="n">
        <v>46600</v>
      </c>
      <c r="E4417" s="131" t="s">
        <v>46</v>
      </c>
      <c r="F4417" s="133" t="s">
        <v>24</v>
      </c>
      <c r="G4417" s="134" t="n">
        <f aca="false">LEN('Saisie programme'!$J$189)+SUMIFS('Vols additionnels'!$E$7:$E$66,'Vols additionnels'!$C$7:$C$66,$E4417,'Vols additionnels'!$D$7:$D$66,$F4417,'Vols additionnels'!$B$7:$B$66,$D4417)</f>
        <v>0</v>
      </c>
      <c r="H4417" s="135" t="n">
        <f aca="false">$G4417*'Analyse capacite'!$F$9</f>
        <v>0</v>
      </c>
      <c r="I4417" s="135" t="n">
        <f aca="false">$G4417*'Analyse capacite'!$C$9</f>
        <v>0</v>
      </c>
      <c r="J4417" s="135" t="n">
        <f aca="false">$G4417*'Analyse capacite'!$D$9</f>
        <v>0</v>
      </c>
      <c r="K4417" s="135" t="n">
        <f aca="false">$G4417*'Analyse capacite'!$E$9</f>
        <v>0</v>
      </c>
    </row>
    <row r="4418" customFormat="false" ht="15" hidden="false" customHeight="false" outlineLevel="0" collapsed="false">
      <c r="B4418" s="130" t="n">
        <v>2027</v>
      </c>
      <c r="C4418" s="131" t="s">
        <v>250</v>
      </c>
      <c r="D4418" s="132" t="n">
        <v>46600</v>
      </c>
      <c r="E4418" s="131" t="s">
        <v>49</v>
      </c>
      <c r="F4418" s="133" t="s">
        <v>11</v>
      </c>
      <c r="G4418" s="134" t="n">
        <f aca="false">LEN('Saisie programme'!$J$190)+SUMIFS('Vols additionnels'!$E$7:$E$66,'Vols additionnels'!$C$7:$C$66,$E4418,'Vols additionnels'!$D$7:$D$66,$F4418,'Vols additionnels'!$B$7:$B$66,$D4418)</f>
        <v>0</v>
      </c>
      <c r="H4418" s="135" t="n">
        <f aca="false">$G4418*'Analyse capacite'!$F$7</f>
        <v>0</v>
      </c>
      <c r="I4418" s="135" t="n">
        <f aca="false">$G4418*'Analyse capacite'!$C$7</f>
        <v>0</v>
      </c>
      <c r="J4418" s="135" t="n">
        <f aca="false">$G4418*'Analyse capacite'!$D$7</f>
        <v>0</v>
      </c>
      <c r="K4418" s="135" t="n">
        <f aca="false">$G4418*'Analyse capacite'!$E$7</f>
        <v>0</v>
      </c>
    </row>
    <row r="4419" customFormat="false" ht="15" hidden="false" customHeight="false" outlineLevel="0" collapsed="false">
      <c r="B4419" s="130" t="n">
        <v>2027</v>
      </c>
      <c r="C4419" s="131" t="s">
        <v>250</v>
      </c>
      <c r="D4419" s="132" t="n">
        <v>46600</v>
      </c>
      <c r="E4419" s="131" t="s">
        <v>49</v>
      </c>
      <c r="F4419" s="133" t="s">
        <v>19</v>
      </c>
      <c r="G4419" s="134" t="n">
        <f aca="false">LEN('Saisie programme'!$J$191)+SUMIFS('Vols additionnels'!$E$7:$E$66,'Vols additionnels'!$C$7:$C$66,$E4419,'Vols additionnels'!$D$7:$D$66,$F4419,'Vols additionnels'!$B$7:$B$66,$D4419)</f>
        <v>0</v>
      </c>
      <c r="H4419" s="135" t="n">
        <f aca="false">$G4419*'Analyse capacite'!$F$8</f>
        <v>0</v>
      </c>
      <c r="I4419" s="135" t="n">
        <f aca="false">$G4419*'Analyse capacite'!$C$8</f>
        <v>0</v>
      </c>
      <c r="J4419" s="135" t="n">
        <f aca="false">$G4419*'Analyse capacite'!$D$8</f>
        <v>0</v>
      </c>
      <c r="K4419" s="135" t="n">
        <f aca="false">$G4419*'Analyse capacite'!$E$8</f>
        <v>0</v>
      </c>
    </row>
    <row r="4420" customFormat="false" ht="15" hidden="false" customHeight="false" outlineLevel="0" collapsed="false">
      <c r="B4420" s="130" t="n">
        <v>2027</v>
      </c>
      <c r="C4420" s="131" t="s">
        <v>250</v>
      </c>
      <c r="D4420" s="132" t="n">
        <v>46600</v>
      </c>
      <c r="E4420" s="131" t="s">
        <v>49</v>
      </c>
      <c r="F4420" s="133" t="s">
        <v>24</v>
      </c>
      <c r="G4420" s="134" t="n">
        <f aca="false">LEN('Saisie programme'!$J$192)+SUMIFS('Vols additionnels'!$E$7:$E$66,'Vols additionnels'!$C$7:$C$66,$E4420,'Vols additionnels'!$D$7:$D$66,$F4420,'Vols additionnels'!$B$7:$B$66,$D4420)</f>
        <v>0</v>
      </c>
      <c r="H4420" s="135" t="n">
        <f aca="false">$G4420*'Analyse capacite'!$F$9</f>
        <v>0</v>
      </c>
      <c r="I4420" s="135" t="n">
        <f aca="false">$G4420*'Analyse capacite'!$C$9</f>
        <v>0</v>
      </c>
      <c r="J4420" s="135" t="n">
        <f aca="false">$G4420*'Analyse capacite'!$D$9</f>
        <v>0</v>
      </c>
      <c r="K4420" s="135" t="n">
        <f aca="false">$G4420*'Analyse capacite'!$E$9</f>
        <v>0</v>
      </c>
    </row>
    <row r="4421" customFormat="false" ht="15" hidden="false" customHeight="false" outlineLevel="0" collapsed="false">
      <c r="B4421" s="130" t="n">
        <v>2027</v>
      </c>
      <c r="C4421" s="131" t="s">
        <v>250</v>
      </c>
      <c r="D4421" s="132" t="n">
        <v>46600</v>
      </c>
      <c r="E4421" s="131" t="s">
        <v>53</v>
      </c>
      <c r="F4421" s="133" t="s">
        <v>11</v>
      </c>
      <c r="G4421" s="134" t="n">
        <f aca="false">LEN('Saisie programme'!$J$193)+SUMIFS('Vols additionnels'!$E$7:$E$66,'Vols additionnels'!$C$7:$C$66,$E4421,'Vols additionnels'!$D$7:$D$66,$F4421,'Vols additionnels'!$B$7:$B$66,$D4421)</f>
        <v>0</v>
      </c>
      <c r="H4421" s="135" t="n">
        <f aca="false">$G4421*'Analyse capacite'!$F$7</f>
        <v>0</v>
      </c>
      <c r="I4421" s="135" t="n">
        <f aca="false">$G4421*'Analyse capacite'!$C$7</f>
        <v>0</v>
      </c>
      <c r="J4421" s="135" t="n">
        <f aca="false">$G4421*'Analyse capacite'!$D$7</f>
        <v>0</v>
      </c>
      <c r="K4421" s="135" t="n">
        <f aca="false">$G4421*'Analyse capacite'!$E$7</f>
        <v>0</v>
      </c>
    </row>
    <row r="4422" customFormat="false" ht="15" hidden="false" customHeight="false" outlineLevel="0" collapsed="false">
      <c r="B4422" s="130" t="n">
        <v>2027</v>
      </c>
      <c r="C4422" s="131" t="s">
        <v>250</v>
      </c>
      <c r="D4422" s="132" t="n">
        <v>46600</v>
      </c>
      <c r="E4422" s="131" t="s">
        <v>53</v>
      </c>
      <c r="F4422" s="133" t="s">
        <v>19</v>
      </c>
      <c r="G4422" s="134" t="n">
        <f aca="false">LEN('Saisie programme'!$J$194)+SUMIFS('Vols additionnels'!$E$7:$E$66,'Vols additionnels'!$C$7:$C$66,$E4422,'Vols additionnels'!$D$7:$D$66,$F4422,'Vols additionnels'!$B$7:$B$66,$D4422)</f>
        <v>0</v>
      </c>
      <c r="H4422" s="135" t="n">
        <f aca="false">$G4422*'Analyse capacite'!$F$8</f>
        <v>0</v>
      </c>
      <c r="I4422" s="135" t="n">
        <f aca="false">$G4422*'Analyse capacite'!$C$8</f>
        <v>0</v>
      </c>
      <c r="J4422" s="135" t="n">
        <f aca="false">$G4422*'Analyse capacite'!$D$8</f>
        <v>0</v>
      </c>
      <c r="K4422" s="135" t="n">
        <f aca="false">$G4422*'Analyse capacite'!$E$8</f>
        <v>0</v>
      </c>
    </row>
    <row r="4423" customFormat="false" ht="15" hidden="false" customHeight="false" outlineLevel="0" collapsed="false">
      <c r="B4423" s="130" t="n">
        <v>2027</v>
      </c>
      <c r="C4423" s="131" t="s">
        <v>250</v>
      </c>
      <c r="D4423" s="132" t="n">
        <v>46600</v>
      </c>
      <c r="E4423" s="131" t="s">
        <v>53</v>
      </c>
      <c r="F4423" s="133" t="s">
        <v>24</v>
      </c>
      <c r="G4423" s="134" t="n">
        <f aca="false">LEN('Saisie programme'!$J$195)+SUMIFS('Vols additionnels'!$E$7:$E$66,'Vols additionnels'!$C$7:$C$66,$E4423,'Vols additionnels'!$D$7:$D$66,$F4423,'Vols additionnels'!$B$7:$B$66,$D4423)</f>
        <v>0</v>
      </c>
      <c r="H4423" s="135" t="n">
        <f aca="false">$G4423*'Analyse capacite'!$F$9</f>
        <v>0</v>
      </c>
      <c r="I4423" s="135" t="n">
        <f aca="false">$G4423*'Analyse capacite'!$C$9</f>
        <v>0</v>
      </c>
      <c r="J4423" s="135" t="n">
        <f aca="false">$G4423*'Analyse capacite'!$D$9</f>
        <v>0</v>
      </c>
      <c r="K4423" s="135" t="n">
        <f aca="false">$G4423*'Analyse capacite'!$E$9</f>
        <v>0</v>
      </c>
    </row>
    <row r="4424" customFormat="false" ht="15" hidden="false" customHeight="false" outlineLevel="0" collapsed="false">
      <c r="B4424" s="130" t="n">
        <v>2027</v>
      </c>
      <c r="C4424" s="131" t="s">
        <v>250</v>
      </c>
      <c r="D4424" s="132" t="n">
        <v>46600</v>
      </c>
      <c r="E4424" s="131" t="s">
        <v>56</v>
      </c>
      <c r="F4424" s="133" t="s">
        <v>11</v>
      </c>
      <c r="G4424" s="134" t="n">
        <f aca="false">LEN('Saisie programme'!$J$196)+SUMIFS('Vols additionnels'!$E$7:$E$66,'Vols additionnels'!$C$7:$C$66,$E4424,'Vols additionnels'!$D$7:$D$66,$F4424,'Vols additionnels'!$B$7:$B$66,$D4424)</f>
        <v>0</v>
      </c>
      <c r="H4424" s="135" t="n">
        <f aca="false">$G4424*'Analyse capacite'!$F$7</f>
        <v>0</v>
      </c>
      <c r="I4424" s="135" t="n">
        <f aca="false">$G4424*'Analyse capacite'!$C$7</f>
        <v>0</v>
      </c>
      <c r="J4424" s="135" t="n">
        <f aca="false">$G4424*'Analyse capacite'!$D$7</f>
        <v>0</v>
      </c>
      <c r="K4424" s="135" t="n">
        <f aca="false">$G4424*'Analyse capacite'!$E$7</f>
        <v>0</v>
      </c>
    </row>
    <row r="4425" customFormat="false" ht="15" hidden="false" customHeight="false" outlineLevel="0" collapsed="false">
      <c r="B4425" s="130" t="n">
        <v>2027</v>
      </c>
      <c r="C4425" s="131" t="s">
        <v>250</v>
      </c>
      <c r="D4425" s="132" t="n">
        <v>46600</v>
      </c>
      <c r="E4425" s="131" t="s">
        <v>56</v>
      </c>
      <c r="F4425" s="133" t="s">
        <v>19</v>
      </c>
      <c r="G4425" s="134" t="n">
        <f aca="false">LEN('Saisie programme'!$J$197)+SUMIFS('Vols additionnels'!$E$7:$E$66,'Vols additionnels'!$C$7:$C$66,$E4425,'Vols additionnels'!$D$7:$D$66,$F4425,'Vols additionnels'!$B$7:$B$66,$D4425)</f>
        <v>0</v>
      </c>
      <c r="H4425" s="135" t="n">
        <f aca="false">$G4425*'Analyse capacite'!$F$8</f>
        <v>0</v>
      </c>
      <c r="I4425" s="135" t="n">
        <f aca="false">$G4425*'Analyse capacite'!$C$8</f>
        <v>0</v>
      </c>
      <c r="J4425" s="135" t="n">
        <f aca="false">$G4425*'Analyse capacite'!$D$8</f>
        <v>0</v>
      </c>
      <c r="K4425" s="135" t="n">
        <f aca="false">$G4425*'Analyse capacite'!$E$8</f>
        <v>0</v>
      </c>
    </row>
    <row r="4426" customFormat="false" ht="15" hidden="false" customHeight="false" outlineLevel="0" collapsed="false">
      <c r="B4426" s="130" t="n">
        <v>2027</v>
      </c>
      <c r="C4426" s="131" t="s">
        <v>250</v>
      </c>
      <c r="D4426" s="132" t="n">
        <v>46600</v>
      </c>
      <c r="E4426" s="131" t="s">
        <v>56</v>
      </c>
      <c r="F4426" s="133" t="s">
        <v>24</v>
      </c>
      <c r="G4426" s="134" t="n">
        <f aca="false">LEN('Saisie programme'!$J$198)+SUMIFS('Vols additionnels'!$E$7:$E$66,'Vols additionnels'!$C$7:$C$66,$E4426,'Vols additionnels'!$D$7:$D$66,$F4426,'Vols additionnels'!$B$7:$B$66,$D4426)</f>
        <v>0</v>
      </c>
      <c r="H4426" s="135" t="n">
        <f aca="false">$G4426*'Analyse capacite'!$F$9</f>
        <v>0</v>
      </c>
      <c r="I4426" s="135" t="n">
        <f aca="false">$G4426*'Analyse capacite'!$C$9</f>
        <v>0</v>
      </c>
      <c r="J4426" s="135" t="n">
        <f aca="false">$G4426*'Analyse capacite'!$D$9</f>
        <v>0</v>
      </c>
      <c r="K4426" s="135" t="n">
        <f aca="false">$G4426*'Analyse capacite'!$E$9</f>
        <v>0</v>
      </c>
    </row>
    <row r="4427" customFormat="false" ht="15" hidden="false" customHeight="false" outlineLevel="0" collapsed="false">
      <c r="B4427" s="130" t="n">
        <v>2027</v>
      </c>
      <c r="C4427" s="131" t="s">
        <v>250</v>
      </c>
      <c r="D4427" s="132" t="n">
        <v>46600</v>
      </c>
      <c r="E4427" s="131" t="s">
        <v>59</v>
      </c>
      <c r="F4427" s="133" t="s">
        <v>11</v>
      </c>
      <c r="G4427" s="134" t="n">
        <f aca="false">LEN('Saisie programme'!$J$199)+SUMIFS('Vols additionnels'!$E$7:$E$66,'Vols additionnels'!$C$7:$C$66,$E4427,'Vols additionnels'!$D$7:$D$66,$F4427,'Vols additionnels'!$B$7:$B$66,$D4427)</f>
        <v>0</v>
      </c>
      <c r="H4427" s="135" t="n">
        <f aca="false">$G4427*'Analyse capacite'!$F$7</f>
        <v>0</v>
      </c>
      <c r="I4427" s="135" t="n">
        <f aca="false">$G4427*'Analyse capacite'!$C$7</f>
        <v>0</v>
      </c>
      <c r="J4427" s="135" t="n">
        <f aca="false">$G4427*'Analyse capacite'!$D$7</f>
        <v>0</v>
      </c>
      <c r="K4427" s="135" t="n">
        <f aca="false">$G4427*'Analyse capacite'!$E$7</f>
        <v>0</v>
      </c>
    </row>
    <row r="4428" customFormat="false" ht="15" hidden="false" customHeight="false" outlineLevel="0" collapsed="false">
      <c r="B4428" s="130" t="n">
        <v>2027</v>
      </c>
      <c r="C4428" s="131" t="s">
        <v>250</v>
      </c>
      <c r="D4428" s="132" t="n">
        <v>46600</v>
      </c>
      <c r="E4428" s="131" t="s">
        <v>59</v>
      </c>
      <c r="F4428" s="133" t="s">
        <v>19</v>
      </c>
      <c r="G4428" s="134" t="n">
        <f aca="false">LEN('Saisie programme'!$J$200)+SUMIFS('Vols additionnels'!$E$7:$E$66,'Vols additionnels'!$C$7:$C$66,$E4428,'Vols additionnels'!$D$7:$D$66,$F4428,'Vols additionnels'!$B$7:$B$66,$D4428)</f>
        <v>0</v>
      </c>
      <c r="H4428" s="135" t="n">
        <f aca="false">$G4428*'Analyse capacite'!$F$8</f>
        <v>0</v>
      </c>
      <c r="I4428" s="135" t="n">
        <f aca="false">$G4428*'Analyse capacite'!$C$8</f>
        <v>0</v>
      </c>
      <c r="J4428" s="135" t="n">
        <f aca="false">$G4428*'Analyse capacite'!$D$8</f>
        <v>0</v>
      </c>
      <c r="K4428" s="135" t="n">
        <f aca="false">$G4428*'Analyse capacite'!$E$8</f>
        <v>0</v>
      </c>
    </row>
    <row r="4429" customFormat="false" ht="15" hidden="false" customHeight="false" outlineLevel="0" collapsed="false">
      <c r="B4429" s="130" t="n">
        <v>2027</v>
      </c>
      <c r="C4429" s="131" t="s">
        <v>250</v>
      </c>
      <c r="D4429" s="132" t="n">
        <v>46600</v>
      </c>
      <c r="E4429" s="131" t="s">
        <v>59</v>
      </c>
      <c r="F4429" s="133" t="s">
        <v>24</v>
      </c>
      <c r="G4429" s="134" t="n">
        <f aca="false">LEN('Saisie programme'!$J$201)+SUMIFS('Vols additionnels'!$E$7:$E$66,'Vols additionnels'!$C$7:$C$66,$E4429,'Vols additionnels'!$D$7:$D$66,$F4429,'Vols additionnels'!$B$7:$B$66,$D4429)</f>
        <v>0</v>
      </c>
      <c r="H4429" s="135" t="n">
        <f aca="false">$G4429*'Analyse capacite'!$F$9</f>
        <v>0</v>
      </c>
      <c r="I4429" s="135" t="n">
        <f aca="false">$G4429*'Analyse capacite'!$C$9</f>
        <v>0</v>
      </c>
      <c r="J4429" s="135" t="n">
        <f aca="false">$G4429*'Analyse capacite'!$D$9</f>
        <v>0</v>
      </c>
      <c r="K4429" s="135" t="n">
        <f aca="false">$G4429*'Analyse capacite'!$E$9</f>
        <v>0</v>
      </c>
    </row>
    <row r="4430" customFormat="false" ht="15" hidden="false" customHeight="false" outlineLevel="0" collapsed="false">
      <c r="B4430" s="130" t="n">
        <v>2027</v>
      </c>
      <c r="C4430" s="131" t="s">
        <v>250</v>
      </c>
      <c r="D4430" s="132" t="n">
        <v>46600</v>
      </c>
      <c r="E4430" s="131" t="s">
        <v>62</v>
      </c>
      <c r="F4430" s="133" t="s">
        <v>11</v>
      </c>
      <c r="G4430" s="134" t="n">
        <f aca="false">LEN('Saisie programme'!$J$202)+SUMIFS('Vols additionnels'!$E$7:$E$66,'Vols additionnels'!$C$7:$C$66,$E4430,'Vols additionnels'!$D$7:$D$66,$F4430,'Vols additionnels'!$B$7:$B$66,$D4430)</f>
        <v>0</v>
      </c>
      <c r="H4430" s="135" t="n">
        <f aca="false">$G4430*'Analyse capacite'!$F$7</f>
        <v>0</v>
      </c>
      <c r="I4430" s="135" t="n">
        <f aca="false">$G4430*'Analyse capacite'!$C$7</f>
        <v>0</v>
      </c>
      <c r="J4430" s="135" t="n">
        <f aca="false">$G4430*'Analyse capacite'!$D$7</f>
        <v>0</v>
      </c>
      <c r="K4430" s="135" t="n">
        <f aca="false">$G4430*'Analyse capacite'!$E$7</f>
        <v>0</v>
      </c>
    </row>
    <row r="4431" customFormat="false" ht="15" hidden="false" customHeight="false" outlineLevel="0" collapsed="false">
      <c r="B4431" s="130" t="n">
        <v>2027</v>
      </c>
      <c r="C4431" s="131" t="s">
        <v>250</v>
      </c>
      <c r="D4431" s="132" t="n">
        <v>46600</v>
      </c>
      <c r="E4431" s="131" t="s">
        <v>62</v>
      </c>
      <c r="F4431" s="133" t="s">
        <v>19</v>
      </c>
      <c r="G4431" s="134" t="n">
        <f aca="false">LEN('Saisie programme'!$J$203)+SUMIFS('Vols additionnels'!$E$7:$E$66,'Vols additionnels'!$C$7:$C$66,$E4431,'Vols additionnels'!$D$7:$D$66,$F4431,'Vols additionnels'!$B$7:$B$66,$D4431)</f>
        <v>0</v>
      </c>
      <c r="H4431" s="135" t="n">
        <f aca="false">$G4431*'Analyse capacite'!$F$8</f>
        <v>0</v>
      </c>
      <c r="I4431" s="135" t="n">
        <f aca="false">$G4431*'Analyse capacite'!$C$8</f>
        <v>0</v>
      </c>
      <c r="J4431" s="135" t="n">
        <f aca="false">$G4431*'Analyse capacite'!$D$8</f>
        <v>0</v>
      </c>
      <c r="K4431" s="135" t="n">
        <f aca="false">$G4431*'Analyse capacite'!$E$8</f>
        <v>0</v>
      </c>
    </row>
    <row r="4432" customFormat="false" ht="15" hidden="false" customHeight="false" outlineLevel="0" collapsed="false">
      <c r="B4432" s="130" t="n">
        <v>2027</v>
      </c>
      <c r="C4432" s="131" t="s">
        <v>250</v>
      </c>
      <c r="D4432" s="132" t="n">
        <v>46600</v>
      </c>
      <c r="E4432" s="131" t="s">
        <v>62</v>
      </c>
      <c r="F4432" s="133" t="s">
        <v>24</v>
      </c>
      <c r="G4432" s="134" t="n">
        <f aca="false">LEN('Saisie programme'!$J$204)+SUMIFS('Vols additionnels'!$E$7:$E$66,'Vols additionnels'!$C$7:$C$66,$E4432,'Vols additionnels'!$D$7:$D$66,$F4432,'Vols additionnels'!$B$7:$B$66,$D4432)</f>
        <v>1</v>
      </c>
      <c r="H4432" s="135" t="n">
        <f aca="false">$G4432*'Analyse capacite'!$F$9</f>
        <v>174</v>
      </c>
      <c r="I4432" s="135" t="n">
        <f aca="false">$G4432*'Analyse capacite'!$C$9</f>
        <v>0</v>
      </c>
      <c r="J4432" s="135" t="n">
        <f aca="false">$G4432*'Analyse capacite'!$D$9</f>
        <v>12</v>
      </c>
      <c r="K4432" s="135" t="n">
        <f aca="false">$G4432*'Analyse capacite'!$E$9</f>
        <v>162</v>
      </c>
    </row>
    <row r="4433" customFormat="false" ht="15" hidden="false" customHeight="false" outlineLevel="0" collapsed="false">
      <c r="B4433" s="130" t="n">
        <v>2027</v>
      </c>
      <c r="C4433" s="131" t="s">
        <v>250</v>
      </c>
      <c r="D4433" s="132" t="n">
        <v>46601</v>
      </c>
      <c r="E4433" s="131" t="s">
        <v>12</v>
      </c>
      <c r="F4433" s="133" t="s">
        <v>11</v>
      </c>
      <c r="G4433" s="134" t="n">
        <f aca="false">LEN('Saisie programme'!$D$169)+SUMIFS('Vols additionnels'!$E$7:$E$66,'Vols additionnels'!$C$7:$C$66,$E4433,'Vols additionnels'!$D$7:$D$66,$F4433,'Vols additionnels'!$B$7:$B$66,$D4433)</f>
        <v>1</v>
      </c>
      <c r="H4433" s="135" t="n">
        <f aca="false">$G4433*'Analyse capacite'!$F$7</f>
        <v>438</v>
      </c>
      <c r="I4433" s="135" t="n">
        <f aca="false">$G4433*'Analyse capacite'!$C$7</f>
        <v>14</v>
      </c>
      <c r="J4433" s="135" t="n">
        <f aca="false">$G4433*'Analyse capacite'!$D$7</f>
        <v>40</v>
      </c>
      <c r="K4433" s="135" t="n">
        <f aca="false">$G4433*'Analyse capacite'!$E$7</f>
        <v>384</v>
      </c>
    </row>
    <row r="4434" customFormat="false" ht="15" hidden="false" customHeight="false" outlineLevel="0" collapsed="false">
      <c r="B4434" s="130" t="n">
        <v>2027</v>
      </c>
      <c r="C4434" s="131" t="s">
        <v>250</v>
      </c>
      <c r="D4434" s="132" t="n">
        <v>46601</v>
      </c>
      <c r="E4434" s="131" t="s">
        <v>12</v>
      </c>
      <c r="F4434" s="133" t="s">
        <v>19</v>
      </c>
      <c r="G4434" s="134" t="n">
        <f aca="false">LEN('Saisie programme'!$D$170)+SUMIFS('Vols additionnels'!$E$7:$E$66,'Vols additionnels'!$C$7:$C$66,$E4434,'Vols additionnels'!$D$7:$D$66,$F4434,'Vols additionnels'!$B$7:$B$66,$D4434)</f>
        <v>1</v>
      </c>
      <c r="H4434" s="135" t="n">
        <f aca="false">$G4434*'Analyse capacite'!$F$8</f>
        <v>262</v>
      </c>
      <c r="I4434" s="135" t="n">
        <f aca="false">$G4434*'Analyse capacite'!$C$8</f>
        <v>18</v>
      </c>
      <c r="J4434" s="135" t="n">
        <f aca="false">$G4434*'Analyse capacite'!$D$8</f>
        <v>0</v>
      </c>
      <c r="K4434" s="135" t="n">
        <f aca="false">$G4434*'Analyse capacite'!$E$8</f>
        <v>244</v>
      </c>
    </row>
    <row r="4435" customFormat="false" ht="15" hidden="false" customHeight="false" outlineLevel="0" collapsed="false">
      <c r="B4435" s="130" t="n">
        <v>2027</v>
      </c>
      <c r="C4435" s="131" t="s">
        <v>250</v>
      </c>
      <c r="D4435" s="132" t="n">
        <v>46601</v>
      </c>
      <c r="E4435" s="131" t="s">
        <v>12</v>
      </c>
      <c r="F4435" s="133" t="s">
        <v>24</v>
      </c>
      <c r="G4435" s="134" t="n">
        <f aca="false">LEN('Saisie programme'!$D$171)+SUMIFS('Vols additionnels'!$E$7:$E$66,'Vols additionnels'!$C$7:$C$66,$E4435,'Vols additionnels'!$D$7:$D$66,$F4435,'Vols additionnels'!$B$7:$B$66,$D4435)</f>
        <v>0</v>
      </c>
      <c r="H4435" s="135" t="n">
        <f aca="false">$G4435*'Analyse capacite'!$F$9</f>
        <v>0</v>
      </c>
      <c r="I4435" s="135" t="n">
        <f aca="false">$G4435*'Analyse capacite'!$C$9</f>
        <v>0</v>
      </c>
      <c r="J4435" s="135" t="n">
        <f aca="false">$G4435*'Analyse capacite'!$D$9</f>
        <v>0</v>
      </c>
      <c r="K4435" s="135" t="n">
        <f aca="false">$G4435*'Analyse capacite'!$E$9</f>
        <v>0</v>
      </c>
    </row>
    <row r="4436" customFormat="false" ht="15" hidden="false" customHeight="false" outlineLevel="0" collapsed="false">
      <c r="B4436" s="130" t="n">
        <v>2027</v>
      </c>
      <c r="C4436" s="131" t="s">
        <v>250</v>
      </c>
      <c r="D4436" s="132" t="n">
        <v>46601</v>
      </c>
      <c r="E4436" s="131" t="s">
        <v>20</v>
      </c>
      <c r="F4436" s="133" t="s">
        <v>11</v>
      </c>
      <c r="G4436" s="134" t="n">
        <f aca="false">LEN('Saisie programme'!$D$172)+SUMIFS('Vols additionnels'!$E$7:$E$66,'Vols additionnels'!$C$7:$C$66,$E4436,'Vols additionnels'!$D$7:$D$66,$F4436,'Vols additionnels'!$B$7:$B$66,$D4436)</f>
        <v>0</v>
      </c>
      <c r="H4436" s="135" t="n">
        <f aca="false">$G4436*'Analyse capacite'!$F$7</f>
        <v>0</v>
      </c>
      <c r="I4436" s="135" t="n">
        <f aca="false">$G4436*'Analyse capacite'!$C$7</f>
        <v>0</v>
      </c>
      <c r="J4436" s="135" t="n">
        <f aca="false">$G4436*'Analyse capacite'!$D$7</f>
        <v>0</v>
      </c>
      <c r="K4436" s="135" t="n">
        <f aca="false">$G4436*'Analyse capacite'!$E$7</f>
        <v>0</v>
      </c>
    </row>
    <row r="4437" customFormat="false" ht="15" hidden="false" customHeight="false" outlineLevel="0" collapsed="false">
      <c r="B4437" s="130" t="n">
        <v>2027</v>
      </c>
      <c r="C4437" s="131" t="s">
        <v>250</v>
      </c>
      <c r="D4437" s="132" t="n">
        <v>46601</v>
      </c>
      <c r="E4437" s="131" t="s">
        <v>20</v>
      </c>
      <c r="F4437" s="133" t="s">
        <v>19</v>
      </c>
      <c r="G4437" s="134" t="n">
        <f aca="false">LEN('Saisie programme'!$D$173)+SUMIFS('Vols additionnels'!$E$7:$E$66,'Vols additionnels'!$C$7:$C$66,$E4437,'Vols additionnels'!$D$7:$D$66,$F4437,'Vols additionnels'!$B$7:$B$66,$D4437)</f>
        <v>0</v>
      </c>
      <c r="H4437" s="135" t="n">
        <f aca="false">$G4437*'Analyse capacite'!$F$8</f>
        <v>0</v>
      </c>
      <c r="I4437" s="135" t="n">
        <f aca="false">$G4437*'Analyse capacite'!$C$8</f>
        <v>0</v>
      </c>
      <c r="J4437" s="135" t="n">
        <f aca="false">$G4437*'Analyse capacite'!$D$8</f>
        <v>0</v>
      </c>
      <c r="K4437" s="135" t="n">
        <f aca="false">$G4437*'Analyse capacite'!$E$8</f>
        <v>0</v>
      </c>
    </row>
    <row r="4438" customFormat="false" ht="15" hidden="false" customHeight="false" outlineLevel="0" collapsed="false">
      <c r="B4438" s="130" t="n">
        <v>2027</v>
      </c>
      <c r="C4438" s="131" t="s">
        <v>250</v>
      </c>
      <c r="D4438" s="132" t="n">
        <v>46601</v>
      </c>
      <c r="E4438" s="131" t="s">
        <v>20</v>
      </c>
      <c r="F4438" s="133" t="s">
        <v>24</v>
      </c>
      <c r="G4438" s="134" t="n">
        <f aca="false">LEN('Saisie programme'!$D$174)+SUMIFS('Vols additionnels'!$E$7:$E$66,'Vols additionnels'!$C$7:$C$66,$E4438,'Vols additionnels'!$D$7:$D$66,$F4438,'Vols additionnels'!$B$7:$B$66,$D4438)</f>
        <v>0</v>
      </c>
      <c r="H4438" s="135" t="n">
        <f aca="false">$G4438*'Analyse capacite'!$F$9</f>
        <v>0</v>
      </c>
      <c r="I4438" s="135" t="n">
        <f aca="false">$G4438*'Analyse capacite'!$C$9</f>
        <v>0</v>
      </c>
      <c r="J4438" s="135" t="n">
        <f aca="false">$G4438*'Analyse capacite'!$D$9</f>
        <v>0</v>
      </c>
      <c r="K4438" s="135" t="n">
        <f aca="false">$G4438*'Analyse capacite'!$E$9</f>
        <v>0</v>
      </c>
    </row>
    <row r="4439" customFormat="false" ht="15" hidden="false" customHeight="false" outlineLevel="0" collapsed="false">
      <c r="B4439" s="130" t="n">
        <v>2027</v>
      </c>
      <c r="C4439" s="131" t="s">
        <v>250</v>
      </c>
      <c r="D4439" s="132" t="n">
        <v>46601</v>
      </c>
      <c r="E4439" s="131" t="s">
        <v>25</v>
      </c>
      <c r="F4439" s="133" t="s">
        <v>11</v>
      </c>
      <c r="G4439" s="134" t="n">
        <f aca="false">LEN('Saisie programme'!$D$175)+SUMIFS('Vols additionnels'!$E$7:$E$66,'Vols additionnels'!$C$7:$C$66,$E4439,'Vols additionnels'!$D$7:$D$66,$F4439,'Vols additionnels'!$B$7:$B$66,$D4439)</f>
        <v>0</v>
      </c>
      <c r="H4439" s="135" t="n">
        <f aca="false">$G4439*'Analyse capacite'!$F$7</f>
        <v>0</v>
      </c>
      <c r="I4439" s="135" t="n">
        <f aca="false">$G4439*'Analyse capacite'!$C$7</f>
        <v>0</v>
      </c>
      <c r="J4439" s="135" t="n">
        <f aca="false">$G4439*'Analyse capacite'!$D$7</f>
        <v>0</v>
      </c>
      <c r="K4439" s="135" t="n">
        <f aca="false">$G4439*'Analyse capacite'!$E$7</f>
        <v>0</v>
      </c>
    </row>
    <row r="4440" customFormat="false" ht="15" hidden="false" customHeight="false" outlineLevel="0" collapsed="false">
      <c r="B4440" s="130" t="n">
        <v>2027</v>
      </c>
      <c r="C4440" s="131" t="s">
        <v>250</v>
      </c>
      <c r="D4440" s="132" t="n">
        <v>46601</v>
      </c>
      <c r="E4440" s="131" t="s">
        <v>25</v>
      </c>
      <c r="F4440" s="133" t="s">
        <v>19</v>
      </c>
      <c r="G4440" s="134" t="n">
        <f aca="false">LEN('Saisie programme'!$D$176)+SUMIFS('Vols additionnels'!$E$7:$E$66,'Vols additionnels'!$C$7:$C$66,$E4440,'Vols additionnels'!$D$7:$D$66,$F4440,'Vols additionnels'!$B$7:$B$66,$D4440)</f>
        <v>0</v>
      </c>
      <c r="H4440" s="135" t="n">
        <f aca="false">$G4440*'Analyse capacite'!$F$8</f>
        <v>0</v>
      </c>
      <c r="I4440" s="135" t="n">
        <f aca="false">$G4440*'Analyse capacite'!$C$8</f>
        <v>0</v>
      </c>
      <c r="J4440" s="135" t="n">
        <f aca="false">$G4440*'Analyse capacite'!$D$8</f>
        <v>0</v>
      </c>
      <c r="K4440" s="135" t="n">
        <f aca="false">$G4440*'Analyse capacite'!$E$8</f>
        <v>0</v>
      </c>
    </row>
    <row r="4441" customFormat="false" ht="15" hidden="false" customHeight="false" outlineLevel="0" collapsed="false">
      <c r="B4441" s="130" t="n">
        <v>2027</v>
      </c>
      <c r="C4441" s="131" t="s">
        <v>250</v>
      </c>
      <c r="D4441" s="132" t="n">
        <v>46601</v>
      </c>
      <c r="E4441" s="131" t="s">
        <v>25</v>
      </c>
      <c r="F4441" s="133" t="s">
        <v>24</v>
      </c>
      <c r="G4441" s="134" t="n">
        <f aca="false">LEN('Saisie programme'!$D$177)+SUMIFS('Vols additionnels'!$E$7:$E$66,'Vols additionnels'!$C$7:$C$66,$E4441,'Vols additionnels'!$D$7:$D$66,$F4441,'Vols additionnels'!$B$7:$B$66,$D4441)</f>
        <v>0</v>
      </c>
      <c r="H4441" s="135" t="n">
        <f aca="false">$G4441*'Analyse capacite'!$F$9</f>
        <v>0</v>
      </c>
      <c r="I4441" s="135" t="n">
        <f aca="false">$G4441*'Analyse capacite'!$C$9</f>
        <v>0</v>
      </c>
      <c r="J4441" s="135" t="n">
        <f aca="false">$G4441*'Analyse capacite'!$D$9</f>
        <v>0</v>
      </c>
      <c r="K4441" s="135" t="n">
        <f aca="false">$G4441*'Analyse capacite'!$E$9</f>
        <v>0</v>
      </c>
    </row>
    <row r="4442" customFormat="false" ht="15" hidden="false" customHeight="false" outlineLevel="0" collapsed="false">
      <c r="B4442" s="130" t="n">
        <v>2027</v>
      </c>
      <c r="C4442" s="131" t="s">
        <v>250</v>
      </c>
      <c r="D4442" s="132" t="n">
        <v>46601</v>
      </c>
      <c r="E4442" s="131" t="s">
        <v>36</v>
      </c>
      <c r="F4442" s="133" t="s">
        <v>11</v>
      </c>
      <c r="G4442" s="134" t="n">
        <f aca="false">LEN('Saisie programme'!$D$178)+SUMIFS('Vols additionnels'!$E$7:$E$66,'Vols additionnels'!$C$7:$C$66,$E4442,'Vols additionnels'!$D$7:$D$66,$F4442,'Vols additionnels'!$B$7:$B$66,$D4442)</f>
        <v>0</v>
      </c>
      <c r="H4442" s="135" t="n">
        <f aca="false">$G4442*'Analyse capacite'!$F$7</f>
        <v>0</v>
      </c>
      <c r="I4442" s="135" t="n">
        <f aca="false">$G4442*'Analyse capacite'!$C$7</f>
        <v>0</v>
      </c>
      <c r="J4442" s="135" t="n">
        <f aca="false">$G4442*'Analyse capacite'!$D$7</f>
        <v>0</v>
      </c>
      <c r="K4442" s="135" t="n">
        <f aca="false">$G4442*'Analyse capacite'!$E$7</f>
        <v>0</v>
      </c>
    </row>
    <row r="4443" customFormat="false" ht="15" hidden="false" customHeight="false" outlineLevel="0" collapsed="false">
      <c r="B4443" s="130" t="n">
        <v>2027</v>
      </c>
      <c r="C4443" s="131" t="s">
        <v>250</v>
      </c>
      <c r="D4443" s="132" t="n">
        <v>46601</v>
      </c>
      <c r="E4443" s="131" t="s">
        <v>36</v>
      </c>
      <c r="F4443" s="133" t="s">
        <v>19</v>
      </c>
      <c r="G4443" s="134" t="n">
        <f aca="false">LEN('Saisie programme'!$D$179)+SUMIFS('Vols additionnels'!$E$7:$E$66,'Vols additionnels'!$C$7:$C$66,$E4443,'Vols additionnels'!$D$7:$D$66,$F4443,'Vols additionnels'!$B$7:$B$66,$D4443)</f>
        <v>0</v>
      </c>
      <c r="H4443" s="135" t="n">
        <f aca="false">$G4443*'Analyse capacite'!$F$8</f>
        <v>0</v>
      </c>
      <c r="I4443" s="135" t="n">
        <f aca="false">$G4443*'Analyse capacite'!$C$8</f>
        <v>0</v>
      </c>
      <c r="J4443" s="135" t="n">
        <f aca="false">$G4443*'Analyse capacite'!$D$8</f>
        <v>0</v>
      </c>
      <c r="K4443" s="135" t="n">
        <f aca="false">$G4443*'Analyse capacite'!$E$8</f>
        <v>0</v>
      </c>
    </row>
    <row r="4444" customFormat="false" ht="15" hidden="false" customHeight="false" outlineLevel="0" collapsed="false">
      <c r="B4444" s="130" t="n">
        <v>2027</v>
      </c>
      <c r="C4444" s="131" t="s">
        <v>250</v>
      </c>
      <c r="D4444" s="132" t="n">
        <v>46601</v>
      </c>
      <c r="E4444" s="131" t="s">
        <v>36</v>
      </c>
      <c r="F4444" s="133" t="s">
        <v>24</v>
      </c>
      <c r="G4444" s="134" t="n">
        <f aca="false">LEN('Saisie programme'!$D$180)+SUMIFS('Vols additionnels'!$E$7:$E$66,'Vols additionnels'!$C$7:$C$66,$E4444,'Vols additionnels'!$D$7:$D$66,$F4444,'Vols additionnels'!$B$7:$B$66,$D4444)</f>
        <v>1</v>
      </c>
      <c r="H4444" s="135" t="n">
        <f aca="false">$G4444*'Analyse capacite'!$F$9</f>
        <v>174</v>
      </c>
      <c r="I4444" s="135" t="n">
        <f aca="false">$G4444*'Analyse capacite'!$C$9</f>
        <v>0</v>
      </c>
      <c r="J4444" s="135" t="n">
        <f aca="false">$G4444*'Analyse capacite'!$D$9</f>
        <v>12</v>
      </c>
      <c r="K4444" s="135" t="n">
        <f aca="false">$G4444*'Analyse capacite'!$E$9</f>
        <v>162</v>
      </c>
    </row>
    <row r="4445" customFormat="false" ht="15" hidden="false" customHeight="false" outlineLevel="0" collapsed="false">
      <c r="B4445" s="130" t="n">
        <v>2027</v>
      </c>
      <c r="C4445" s="131" t="s">
        <v>250</v>
      </c>
      <c r="D4445" s="132" t="n">
        <v>46601</v>
      </c>
      <c r="E4445" s="131" t="s">
        <v>40</v>
      </c>
      <c r="F4445" s="133" t="s">
        <v>11</v>
      </c>
      <c r="G4445" s="134" t="n">
        <f aca="false">LEN('Saisie programme'!$D$181)+SUMIFS('Vols additionnels'!$E$7:$E$66,'Vols additionnels'!$C$7:$C$66,$E4445,'Vols additionnels'!$D$7:$D$66,$F4445,'Vols additionnels'!$B$7:$B$66,$D4445)</f>
        <v>0</v>
      </c>
      <c r="H4445" s="135" t="n">
        <f aca="false">$G4445*'Analyse capacite'!$F$7</f>
        <v>0</v>
      </c>
      <c r="I4445" s="135" t="n">
        <f aca="false">$G4445*'Analyse capacite'!$C$7</f>
        <v>0</v>
      </c>
      <c r="J4445" s="135" t="n">
        <f aca="false">$G4445*'Analyse capacite'!$D$7</f>
        <v>0</v>
      </c>
      <c r="K4445" s="135" t="n">
        <f aca="false">$G4445*'Analyse capacite'!$E$7</f>
        <v>0</v>
      </c>
    </row>
    <row r="4446" customFormat="false" ht="15" hidden="false" customHeight="false" outlineLevel="0" collapsed="false">
      <c r="B4446" s="130" t="n">
        <v>2027</v>
      </c>
      <c r="C4446" s="131" t="s">
        <v>250</v>
      </c>
      <c r="D4446" s="132" t="n">
        <v>46601</v>
      </c>
      <c r="E4446" s="131" t="s">
        <v>40</v>
      </c>
      <c r="F4446" s="133" t="s">
        <v>19</v>
      </c>
      <c r="G4446" s="134" t="n">
        <f aca="false">LEN('Saisie programme'!$D$182)+SUMIFS('Vols additionnels'!$E$7:$E$66,'Vols additionnels'!$C$7:$C$66,$E4446,'Vols additionnels'!$D$7:$D$66,$F4446,'Vols additionnels'!$B$7:$B$66,$D4446)</f>
        <v>0</v>
      </c>
      <c r="H4446" s="135" t="n">
        <f aca="false">$G4446*'Analyse capacite'!$F$8</f>
        <v>0</v>
      </c>
      <c r="I4446" s="135" t="n">
        <f aca="false">$G4446*'Analyse capacite'!$C$8</f>
        <v>0</v>
      </c>
      <c r="J4446" s="135" t="n">
        <f aca="false">$G4446*'Analyse capacite'!$D$8</f>
        <v>0</v>
      </c>
      <c r="K4446" s="135" t="n">
        <f aca="false">$G4446*'Analyse capacite'!$E$8</f>
        <v>0</v>
      </c>
    </row>
    <row r="4447" customFormat="false" ht="15" hidden="false" customHeight="false" outlineLevel="0" collapsed="false">
      <c r="B4447" s="130" t="n">
        <v>2027</v>
      </c>
      <c r="C4447" s="131" t="s">
        <v>250</v>
      </c>
      <c r="D4447" s="132" t="n">
        <v>46601</v>
      </c>
      <c r="E4447" s="131" t="s">
        <v>40</v>
      </c>
      <c r="F4447" s="133" t="s">
        <v>24</v>
      </c>
      <c r="G4447" s="134" t="n">
        <f aca="false">LEN('Saisie programme'!$D$183)+SUMIFS('Vols additionnels'!$E$7:$E$66,'Vols additionnels'!$C$7:$C$66,$E4447,'Vols additionnels'!$D$7:$D$66,$F4447,'Vols additionnels'!$B$7:$B$66,$D4447)</f>
        <v>1</v>
      </c>
      <c r="H4447" s="135" t="n">
        <f aca="false">$G4447*'Analyse capacite'!$F$9</f>
        <v>174</v>
      </c>
      <c r="I4447" s="135" t="n">
        <f aca="false">$G4447*'Analyse capacite'!$C$9</f>
        <v>0</v>
      </c>
      <c r="J4447" s="135" t="n">
        <f aca="false">$G4447*'Analyse capacite'!$D$9</f>
        <v>12</v>
      </c>
      <c r="K4447" s="135" t="n">
        <f aca="false">$G4447*'Analyse capacite'!$E$9</f>
        <v>162</v>
      </c>
    </row>
    <row r="4448" customFormat="false" ht="15" hidden="false" customHeight="false" outlineLevel="0" collapsed="false">
      <c r="B4448" s="130" t="n">
        <v>2027</v>
      </c>
      <c r="C4448" s="131" t="s">
        <v>250</v>
      </c>
      <c r="D4448" s="132" t="n">
        <v>46601</v>
      </c>
      <c r="E4448" s="131" t="s">
        <v>14</v>
      </c>
      <c r="F4448" s="133" t="s">
        <v>11</v>
      </c>
      <c r="G4448" s="134" t="n">
        <f aca="false">LEN('Saisie programme'!$D$184)+SUMIFS('Vols additionnels'!$E$7:$E$66,'Vols additionnels'!$C$7:$C$66,$E4448,'Vols additionnels'!$D$7:$D$66,$F4448,'Vols additionnels'!$B$7:$B$66,$D4448)</f>
        <v>0</v>
      </c>
      <c r="H4448" s="135" t="n">
        <f aca="false">$G4448*'Analyse capacite'!$F$7</f>
        <v>0</v>
      </c>
      <c r="I4448" s="135" t="n">
        <f aca="false">$G4448*'Analyse capacite'!$C$7</f>
        <v>0</v>
      </c>
      <c r="J4448" s="135" t="n">
        <f aca="false">$G4448*'Analyse capacite'!$D$7</f>
        <v>0</v>
      </c>
      <c r="K4448" s="135" t="n">
        <f aca="false">$G4448*'Analyse capacite'!$E$7</f>
        <v>0</v>
      </c>
    </row>
    <row r="4449" customFormat="false" ht="15" hidden="false" customHeight="false" outlineLevel="0" collapsed="false">
      <c r="B4449" s="130" t="n">
        <v>2027</v>
      </c>
      <c r="C4449" s="131" t="s">
        <v>250</v>
      </c>
      <c r="D4449" s="132" t="n">
        <v>46601</v>
      </c>
      <c r="E4449" s="131" t="s">
        <v>14</v>
      </c>
      <c r="F4449" s="133" t="s">
        <v>19</v>
      </c>
      <c r="G4449" s="134" t="n">
        <f aca="false">LEN('Saisie programme'!$D$185)+SUMIFS('Vols additionnels'!$E$7:$E$66,'Vols additionnels'!$C$7:$C$66,$E4449,'Vols additionnels'!$D$7:$D$66,$F4449,'Vols additionnels'!$B$7:$B$66,$D4449)</f>
        <v>0</v>
      </c>
      <c r="H4449" s="135" t="n">
        <f aca="false">$G4449*'Analyse capacite'!$F$8</f>
        <v>0</v>
      </c>
      <c r="I4449" s="135" t="n">
        <f aca="false">$G4449*'Analyse capacite'!$C$8</f>
        <v>0</v>
      </c>
      <c r="J4449" s="135" t="n">
        <f aca="false">$G4449*'Analyse capacite'!$D$8</f>
        <v>0</v>
      </c>
      <c r="K4449" s="135" t="n">
        <f aca="false">$G4449*'Analyse capacite'!$E$8</f>
        <v>0</v>
      </c>
    </row>
    <row r="4450" customFormat="false" ht="15" hidden="false" customHeight="false" outlineLevel="0" collapsed="false">
      <c r="B4450" s="130" t="n">
        <v>2027</v>
      </c>
      <c r="C4450" s="131" t="s">
        <v>250</v>
      </c>
      <c r="D4450" s="132" t="n">
        <v>46601</v>
      </c>
      <c r="E4450" s="131" t="s">
        <v>14</v>
      </c>
      <c r="F4450" s="133" t="s">
        <v>24</v>
      </c>
      <c r="G4450" s="134" t="n">
        <f aca="false">LEN('Saisie programme'!$D$186)+SUMIFS('Vols additionnels'!$E$7:$E$66,'Vols additionnels'!$C$7:$C$66,$E4450,'Vols additionnels'!$D$7:$D$66,$F4450,'Vols additionnels'!$B$7:$B$66,$D4450)</f>
        <v>1</v>
      </c>
      <c r="H4450" s="135" t="n">
        <f aca="false">$G4450*'Analyse capacite'!$F$9</f>
        <v>174</v>
      </c>
      <c r="I4450" s="135" t="n">
        <f aca="false">$G4450*'Analyse capacite'!$C$9</f>
        <v>0</v>
      </c>
      <c r="J4450" s="135" t="n">
        <f aca="false">$G4450*'Analyse capacite'!$D$9</f>
        <v>12</v>
      </c>
      <c r="K4450" s="135" t="n">
        <f aca="false">$G4450*'Analyse capacite'!$E$9</f>
        <v>162</v>
      </c>
    </row>
    <row r="4451" customFormat="false" ht="15" hidden="false" customHeight="false" outlineLevel="0" collapsed="false">
      <c r="B4451" s="130" t="n">
        <v>2027</v>
      </c>
      <c r="C4451" s="131" t="s">
        <v>250</v>
      </c>
      <c r="D4451" s="132" t="n">
        <v>46601</v>
      </c>
      <c r="E4451" s="131" t="s">
        <v>46</v>
      </c>
      <c r="F4451" s="133" t="s">
        <v>11</v>
      </c>
      <c r="G4451" s="134" t="n">
        <f aca="false">LEN('Saisie programme'!$D$187)+SUMIFS('Vols additionnels'!$E$7:$E$66,'Vols additionnels'!$C$7:$C$66,$E4451,'Vols additionnels'!$D$7:$D$66,$F4451,'Vols additionnels'!$B$7:$B$66,$D4451)</f>
        <v>0</v>
      </c>
      <c r="H4451" s="135" t="n">
        <f aca="false">$G4451*'Analyse capacite'!$F$7</f>
        <v>0</v>
      </c>
      <c r="I4451" s="135" t="n">
        <f aca="false">$G4451*'Analyse capacite'!$C$7</f>
        <v>0</v>
      </c>
      <c r="J4451" s="135" t="n">
        <f aca="false">$G4451*'Analyse capacite'!$D$7</f>
        <v>0</v>
      </c>
      <c r="K4451" s="135" t="n">
        <f aca="false">$G4451*'Analyse capacite'!$E$7</f>
        <v>0</v>
      </c>
    </row>
    <row r="4452" customFormat="false" ht="15" hidden="false" customHeight="false" outlineLevel="0" collapsed="false">
      <c r="B4452" s="130" t="n">
        <v>2027</v>
      </c>
      <c r="C4452" s="131" t="s">
        <v>250</v>
      </c>
      <c r="D4452" s="132" t="n">
        <v>46601</v>
      </c>
      <c r="E4452" s="131" t="s">
        <v>46</v>
      </c>
      <c r="F4452" s="133" t="s">
        <v>19</v>
      </c>
      <c r="G4452" s="134" t="n">
        <f aca="false">LEN('Saisie programme'!$D$188)+SUMIFS('Vols additionnels'!$E$7:$E$66,'Vols additionnels'!$C$7:$C$66,$E4452,'Vols additionnels'!$D$7:$D$66,$F4452,'Vols additionnels'!$B$7:$B$66,$D4452)</f>
        <v>0</v>
      </c>
      <c r="H4452" s="135" t="n">
        <f aca="false">$G4452*'Analyse capacite'!$F$8</f>
        <v>0</v>
      </c>
      <c r="I4452" s="135" t="n">
        <f aca="false">$G4452*'Analyse capacite'!$C$8</f>
        <v>0</v>
      </c>
      <c r="J4452" s="135" t="n">
        <f aca="false">$G4452*'Analyse capacite'!$D$8</f>
        <v>0</v>
      </c>
      <c r="K4452" s="135" t="n">
        <f aca="false">$G4452*'Analyse capacite'!$E$8</f>
        <v>0</v>
      </c>
    </row>
    <row r="4453" customFormat="false" ht="15" hidden="false" customHeight="false" outlineLevel="0" collapsed="false">
      <c r="B4453" s="130" t="n">
        <v>2027</v>
      </c>
      <c r="C4453" s="131" t="s">
        <v>250</v>
      </c>
      <c r="D4453" s="132" t="n">
        <v>46601</v>
      </c>
      <c r="E4453" s="131" t="s">
        <v>46</v>
      </c>
      <c r="F4453" s="133" t="s">
        <v>24</v>
      </c>
      <c r="G4453" s="134" t="n">
        <f aca="false">LEN('Saisie programme'!$D$189)+SUMIFS('Vols additionnels'!$E$7:$E$66,'Vols additionnels'!$C$7:$C$66,$E4453,'Vols additionnels'!$D$7:$D$66,$F4453,'Vols additionnels'!$B$7:$B$66,$D4453)</f>
        <v>0</v>
      </c>
      <c r="H4453" s="135" t="n">
        <f aca="false">$G4453*'Analyse capacite'!$F$9</f>
        <v>0</v>
      </c>
      <c r="I4453" s="135" t="n">
        <f aca="false">$G4453*'Analyse capacite'!$C$9</f>
        <v>0</v>
      </c>
      <c r="J4453" s="135" t="n">
        <f aca="false">$G4453*'Analyse capacite'!$D$9</f>
        <v>0</v>
      </c>
      <c r="K4453" s="135" t="n">
        <f aca="false">$G4453*'Analyse capacite'!$E$9</f>
        <v>0</v>
      </c>
    </row>
    <row r="4454" customFormat="false" ht="15" hidden="false" customHeight="false" outlineLevel="0" collapsed="false">
      <c r="B4454" s="130" t="n">
        <v>2027</v>
      </c>
      <c r="C4454" s="131" t="s">
        <v>250</v>
      </c>
      <c r="D4454" s="132" t="n">
        <v>46601</v>
      </c>
      <c r="E4454" s="131" t="s">
        <v>49</v>
      </c>
      <c r="F4454" s="133" t="s">
        <v>11</v>
      </c>
      <c r="G4454" s="134" t="n">
        <f aca="false">LEN('Saisie programme'!$D$190)+SUMIFS('Vols additionnels'!$E$7:$E$66,'Vols additionnels'!$C$7:$C$66,$E4454,'Vols additionnels'!$D$7:$D$66,$F4454,'Vols additionnels'!$B$7:$B$66,$D4454)</f>
        <v>0</v>
      </c>
      <c r="H4454" s="135" t="n">
        <f aca="false">$G4454*'Analyse capacite'!$F$7</f>
        <v>0</v>
      </c>
      <c r="I4454" s="135" t="n">
        <f aca="false">$G4454*'Analyse capacite'!$C$7</f>
        <v>0</v>
      </c>
      <c r="J4454" s="135" t="n">
        <f aca="false">$G4454*'Analyse capacite'!$D$7</f>
        <v>0</v>
      </c>
      <c r="K4454" s="135" t="n">
        <f aca="false">$G4454*'Analyse capacite'!$E$7</f>
        <v>0</v>
      </c>
    </row>
    <row r="4455" customFormat="false" ht="15" hidden="false" customHeight="false" outlineLevel="0" collapsed="false">
      <c r="B4455" s="130" t="n">
        <v>2027</v>
      </c>
      <c r="C4455" s="131" t="s">
        <v>250</v>
      </c>
      <c r="D4455" s="132" t="n">
        <v>46601</v>
      </c>
      <c r="E4455" s="131" t="s">
        <v>49</v>
      </c>
      <c r="F4455" s="133" t="s">
        <v>19</v>
      </c>
      <c r="G4455" s="134" t="n">
        <f aca="false">LEN('Saisie programme'!$D$191)+SUMIFS('Vols additionnels'!$E$7:$E$66,'Vols additionnels'!$C$7:$C$66,$E4455,'Vols additionnels'!$D$7:$D$66,$F4455,'Vols additionnels'!$B$7:$B$66,$D4455)</f>
        <v>1</v>
      </c>
      <c r="H4455" s="135" t="n">
        <f aca="false">$G4455*'Analyse capacite'!$F$8</f>
        <v>262</v>
      </c>
      <c r="I4455" s="135" t="n">
        <f aca="false">$G4455*'Analyse capacite'!$C$8</f>
        <v>18</v>
      </c>
      <c r="J4455" s="135" t="n">
        <f aca="false">$G4455*'Analyse capacite'!$D$8</f>
        <v>0</v>
      </c>
      <c r="K4455" s="135" t="n">
        <f aca="false">$G4455*'Analyse capacite'!$E$8</f>
        <v>244</v>
      </c>
    </row>
    <row r="4456" customFormat="false" ht="15" hidden="false" customHeight="false" outlineLevel="0" collapsed="false">
      <c r="B4456" s="130" t="n">
        <v>2027</v>
      </c>
      <c r="C4456" s="131" t="s">
        <v>250</v>
      </c>
      <c r="D4456" s="132" t="n">
        <v>46601</v>
      </c>
      <c r="E4456" s="131" t="s">
        <v>49</v>
      </c>
      <c r="F4456" s="133" t="s">
        <v>24</v>
      </c>
      <c r="G4456" s="134" t="n">
        <f aca="false">LEN('Saisie programme'!$D$192)+SUMIFS('Vols additionnels'!$E$7:$E$66,'Vols additionnels'!$C$7:$C$66,$E4456,'Vols additionnels'!$D$7:$D$66,$F4456,'Vols additionnels'!$B$7:$B$66,$D4456)</f>
        <v>0</v>
      </c>
      <c r="H4456" s="135" t="n">
        <f aca="false">$G4456*'Analyse capacite'!$F$9</f>
        <v>0</v>
      </c>
      <c r="I4456" s="135" t="n">
        <f aca="false">$G4456*'Analyse capacite'!$C$9</f>
        <v>0</v>
      </c>
      <c r="J4456" s="135" t="n">
        <f aca="false">$G4456*'Analyse capacite'!$D$9</f>
        <v>0</v>
      </c>
      <c r="K4456" s="135" t="n">
        <f aca="false">$G4456*'Analyse capacite'!$E$9</f>
        <v>0</v>
      </c>
    </row>
    <row r="4457" customFormat="false" ht="15" hidden="false" customHeight="false" outlineLevel="0" collapsed="false">
      <c r="B4457" s="130" t="n">
        <v>2027</v>
      </c>
      <c r="C4457" s="131" t="s">
        <v>250</v>
      </c>
      <c r="D4457" s="132" t="n">
        <v>46601</v>
      </c>
      <c r="E4457" s="131" t="s">
        <v>53</v>
      </c>
      <c r="F4457" s="133" t="s">
        <v>11</v>
      </c>
      <c r="G4457" s="134" t="n">
        <f aca="false">LEN('Saisie programme'!$D$193)+SUMIFS('Vols additionnels'!$E$7:$E$66,'Vols additionnels'!$C$7:$C$66,$E4457,'Vols additionnels'!$D$7:$D$66,$F4457,'Vols additionnels'!$B$7:$B$66,$D4457)</f>
        <v>0</v>
      </c>
      <c r="H4457" s="135" t="n">
        <f aca="false">$G4457*'Analyse capacite'!$F$7</f>
        <v>0</v>
      </c>
      <c r="I4457" s="135" t="n">
        <f aca="false">$G4457*'Analyse capacite'!$C$7</f>
        <v>0</v>
      </c>
      <c r="J4457" s="135" t="n">
        <f aca="false">$G4457*'Analyse capacite'!$D$7</f>
        <v>0</v>
      </c>
      <c r="K4457" s="135" t="n">
        <f aca="false">$G4457*'Analyse capacite'!$E$7</f>
        <v>0</v>
      </c>
    </row>
    <row r="4458" customFormat="false" ht="15" hidden="false" customHeight="false" outlineLevel="0" collapsed="false">
      <c r="B4458" s="130" t="n">
        <v>2027</v>
      </c>
      <c r="C4458" s="131" t="s">
        <v>250</v>
      </c>
      <c r="D4458" s="132" t="n">
        <v>46601</v>
      </c>
      <c r="E4458" s="131" t="s">
        <v>53</v>
      </c>
      <c r="F4458" s="133" t="s">
        <v>19</v>
      </c>
      <c r="G4458" s="134" t="n">
        <f aca="false">LEN('Saisie programme'!$D$194)+SUMIFS('Vols additionnels'!$E$7:$E$66,'Vols additionnels'!$C$7:$C$66,$E4458,'Vols additionnels'!$D$7:$D$66,$F4458,'Vols additionnels'!$B$7:$B$66,$D4458)</f>
        <v>0</v>
      </c>
      <c r="H4458" s="135" t="n">
        <f aca="false">$G4458*'Analyse capacite'!$F$8</f>
        <v>0</v>
      </c>
      <c r="I4458" s="135" t="n">
        <f aca="false">$G4458*'Analyse capacite'!$C$8</f>
        <v>0</v>
      </c>
      <c r="J4458" s="135" t="n">
        <f aca="false">$G4458*'Analyse capacite'!$D$8</f>
        <v>0</v>
      </c>
      <c r="K4458" s="135" t="n">
        <f aca="false">$G4458*'Analyse capacite'!$E$8</f>
        <v>0</v>
      </c>
    </row>
    <row r="4459" customFormat="false" ht="15" hidden="false" customHeight="false" outlineLevel="0" collapsed="false">
      <c r="B4459" s="130" t="n">
        <v>2027</v>
      </c>
      <c r="C4459" s="131" t="s">
        <v>250</v>
      </c>
      <c r="D4459" s="132" t="n">
        <v>46601</v>
      </c>
      <c r="E4459" s="131" t="s">
        <v>53</v>
      </c>
      <c r="F4459" s="133" t="s">
        <v>24</v>
      </c>
      <c r="G4459" s="134" t="n">
        <f aca="false">LEN('Saisie programme'!$D$195)+SUMIFS('Vols additionnels'!$E$7:$E$66,'Vols additionnels'!$C$7:$C$66,$E4459,'Vols additionnels'!$D$7:$D$66,$F4459,'Vols additionnels'!$B$7:$B$66,$D4459)</f>
        <v>0</v>
      </c>
      <c r="H4459" s="135" t="n">
        <f aca="false">$G4459*'Analyse capacite'!$F$9</f>
        <v>0</v>
      </c>
      <c r="I4459" s="135" t="n">
        <f aca="false">$G4459*'Analyse capacite'!$C$9</f>
        <v>0</v>
      </c>
      <c r="J4459" s="135" t="n">
        <f aca="false">$G4459*'Analyse capacite'!$D$9</f>
        <v>0</v>
      </c>
      <c r="K4459" s="135" t="n">
        <f aca="false">$G4459*'Analyse capacite'!$E$9</f>
        <v>0</v>
      </c>
    </row>
    <row r="4460" customFormat="false" ht="15" hidden="false" customHeight="false" outlineLevel="0" collapsed="false">
      <c r="B4460" s="130" t="n">
        <v>2027</v>
      </c>
      <c r="C4460" s="131" t="s">
        <v>250</v>
      </c>
      <c r="D4460" s="132" t="n">
        <v>46601</v>
      </c>
      <c r="E4460" s="131" t="s">
        <v>56</v>
      </c>
      <c r="F4460" s="133" t="s">
        <v>11</v>
      </c>
      <c r="G4460" s="134" t="n">
        <f aca="false">LEN('Saisie programme'!$D$196)+SUMIFS('Vols additionnels'!$E$7:$E$66,'Vols additionnels'!$C$7:$C$66,$E4460,'Vols additionnels'!$D$7:$D$66,$F4460,'Vols additionnels'!$B$7:$B$66,$D4460)</f>
        <v>0</v>
      </c>
      <c r="H4460" s="135" t="n">
        <f aca="false">$G4460*'Analyse capacite'!$F$7</f>
        <v>0</v>
      </c>
      <c r="I4460" s="135" t="n">
        <f aca="false">$G4460*'Analyse capacite'!$C$7</f>
        <v>0</v>
      </c>
      <c r="J4460" s="135" t="n">
        <f aca="false">$G4460*'Analyse capacite'!$D$7</f>
        <v>0</v>
      </c>
      <c r="K4460" s="135" t="n">
        <f aca="false">$G4460*'Analyse capacite'!$E$7</f>
        <v>0</v>
      </c>
    </row>
    <row r="4461" customFormat="false" ht="15" hidden="false" customHeight="false" outlineLevel="0" collapsed="false">
      <c r="B4461" s="130" t="n">
        <v>2027</v>
      </c>
      <c r="C4461" s="131" t="s">
        <v>250</v>
      </c>
      <c r="D4461" s="132" t="n">
        <v>46601</v>
      </c>
      <c r="E4461" s="131" t="s">
        <v>56</v>
      </c>
      <c r="F4461" s="133" t="s">
        <v>19</v>
      </c>
      <c r="G4461" s="134" t="n">
        <f aca="false">LEN('Saisie programme'!$D$197)+SUMIFS('Vols additionnels'!$E$7:$E$66,'Vols additionnels'!$C$7:$C$66,$E4461,'Vols additionnels'!$D$7:$D$66,$F4461,'Vols additionnels'!$B$7:$B$66,$D4461)</f>
        <v>0</v>
      </c>
      <c r="H4461" s="135" t="n">
        <f aca="false">$G4461*'Analyse capacite'!$F$8</f>
        <v>0</v>
      </c>
      <c r="I4461" s="135" t="n">
        <f aca="false">$G4461*'Analyse capacite'!$C$8</f>
        <v>0</v>
      </c>
      <c r="J4461" s="135" t="n">
        <f aca="false">$G4461*'Analyse capacite'!$D$8</f>
        <v>0</v>
      </c>
      <c r="K4461" s="135" t="n">
        <f aca="false">$G4461*'Analyse capacite'!$E$8</f>
        <v>0</v>
      </c>
    </row>
    <row r="4462" customFormat="false" ht="15" hidden="false" customHeight="false" outlineLevel="0" collapsed="false">
      <c r="B4462" s="130" t="n">
        <v>2027</v>
      </c>
      <c r="C4462" s="131" t="s">
        <v>250</v>
      </c>
      <c r="D4462" s="132" t="n">
        <v>46601</v>
      </c>
      <c r="E4462" s="131" t="s">
        <v>56</v>
      </c>
      <c r="F4462" s="133" t="s">
        <v>24</v>
      </c>
      <c r="G4462" s="134" t="n">
        <f aca="false">LEN('Saisie programme'!$D$198)+SUMIFS('Vols additionnels'!$E$7:$E$66,'Vols additionnels'!$C$7:$C$66,$E4462,'Vols additionnels'!$D$7:$D$66,$F4462,'Vols additionnels'!$B$7:$B$66,$D4462)</f>
        <v>0</v>
      </c>
      <c r="H4462" s="135" t="n">
        <f aca="false">$G4462*'Analyse capacite'!$F$9</f>
        <v>0</v>
      </c>
      <c r="I4462" s="135" t="n">
        <f aca="false">$G4462*'Analyse capacite'!$C$9</f>
        <v>0</v>
      </c>
      <c r="J4462" s="135" t="n">
        <f aca="false">$G4462*'Analyse capacite'!$D$9</f>
        <v>0</v>
      </c>
      <c r="K4462" s="135" t="n">
        <f aca="false">$G4462*'Analyse capacite'!$E$9</f>
        <v>0</v>
      </c>
    </row>
    <row r="4463" customFormat="false" ht="15" hidden="false" customHeight="false" outlineLevel="0" collapsed="false">
      <c r="B4463" s="130" t="n">
        <v>2027</v>
      </c>
      <c r="C4463" s="131" t="s">
        <v>250</v>
      </c>
      <c r="D4463" s="132" t="n">
        <v>46601</v>
      </c>
      <c r="E4463" s="131" t="s">
        <v>59</v>
      </c>
      <c r="F4463" s="133" t="s">
        <v>11</v>
      </c>
      <c r="G4463" s="134" t="n">
        <f aca="false">LEN('Saisie programme'!$D$199)+SUMIFS('Vols additionnels'!$E$7:$E$66,'Vols additionnels'!$C$7:$C$66,$E4463,'Vols additionnels'!$D$7:$D$66,$F4463,'Vols additionnels'!$B$7:$B$66,$D4463)</f>
        <v>0</v>
      </c>
      <c r="H4463" s="135" t="n">
        <f aca="false">$G4463*'Analyse capacite'!$F$7</f>
        <v>0</v>
      </c>
      <c r="I4463" s="135" t="n">
        <f aca="false">$G4463*'Analyse capacite'!$C$7</f>
        <v>0</v>
      </c>
      <c r="J4463" s="135" t="n">
        <f aca="false">$G4463*'Analyse capacite'!$D$7</f>
        <v>0</v>
      </c>
      <c r="K4463" s="135" t="n">
        <f aca="false">$G4463*'Analyse capacite'!$E$7</f>
        <v>0</v>
      </c>
    </row>
    <row r="4464" customFormat="false" ht="15" hidden="false" customHeight="false" outlineLevel="0" collapsed="false">
      <c r="B4464" s="130" t="n">
        <v>2027</v>
      </c>
      <c r="C4464" s="131" t="s">
        <v>250</v>
      </c>
      <c r="D4464" s="132" t="n">
        <v>46601</v>
      </c>
      <c r="E4464" s="131" t="s">
        <v>59</v>
      </c>
      <c r="F4464" s="133" t="s">
        <v>19</v>
      </c>
      <c r="G4464" s="134" t="n">
        <f aca="false">LEN('Saisie programme'!$D$200)+SUMIFS('Vols additionnels'!$E$7:$E$66,'Vols additionnels'!$C$7:$C$66,$E4464,'Vols additionnels'!$D$7:$D$66,$F4464,'Vols additionnels'!$B$7:$B$66,$D4464)</f>
        <v>0</v>
      </c>
      <c r="H4464" s="135" t="n">
        <f aca="false">$G4464*'Analyse capacite'!$F$8</f>
        <v>0</v>
      </c>
      <c r="I4464" s="135" t="n">
        <f aca="false">$G4464*'Analyse capacite'!$C$8</f>
        <v>0</v>
      </c>
      <c r="J4464" s="135" t="n">
        <f aca="false">$G4464*'Analyse capacite'!$D$8</f>
        <v>0</v>
      </c>
      <c r="K4464" s="135" t="n">
        <f aca="false">$G4464*'Analyse capacite'!$E$8</f>
        <v>0</v>
      </c>
    </row>
    <row r="4465" customFormat="false" ht="15" hidden="false" customHeight="false" outlineLevel="0" collapsed="false">
      <c r="B4465" s="130" t="n">
        <v>2027</v>
      </c>
      <c r="C4465" s="131" t="s">
        <v>250</v>
      </c>
      <c r="D4465" s="132" t="n">
        <v>46601</v>
      </c>
      <c r="E4465" s="131" t="s">
        <v>59</v>
      </c>
      <c r="F4465" s="133" t="s">
        <v>24</v>
      </c>
      <c r="G4465" s="134" t="n">
        <f aca="false">LEN('Saisie programme'!$D$201)+SUMIFS('Vols additionnels'!$E$7:$E$66,'Vols additionnels'!$C$7:$C$66,$E4465,'Vols additionnels'!$D$7:$D$66,$F4465,'Vols additionnels'!$B$7:$B$66,$D4465)</f>
        <v>1</v>
      </c>
      <c r="H4465" s="135" t="n">
        <f aca="false">$G4465*'Analyse capacite'!$F$9</f>
        <v>174</v>
      </c>
      <c r="I4465" s="135" t="n">
        <f aca="false">$G4465*'Analyse capacite'!$C$9</f>
        <v>0</v>
      </c>
      <c r="J4465" s="135" t="n">
        <f aca="false">$G4465*'Analyse capacite'!$D$9</f>
        <v>12</v>
      </c>
      <c r="K4465" s="135" t="n">
        <f aca="false">$G4465*'Analyse capacite'!$E$9</f>
        <v>162</v>
      </c>
    </row>
    <row r="4466" customFormat="false" ht="15" hidden="false" customHeight="false" outlineLevel="0" collapsed="false">
      <c r="B4466" s="130" t="n">
        <v>2027</v>
      </c>
      <c r="C4466" s="131" t="s">
        <v>250</v>
      </c>
      <c r="D4466" s="132" t="n">
        <v>46601</v>
      </c>
      <c r="E4466" s="131" t="s">
        <v>62</v>
      </c>
      <c r="F4466" s="133" t="s">
        <v>11</v>
      </c>
      <c r="G4466" s="134" t="n">
        <f aca="false">LEN('Saisie programme'!$D$202)+SUMIFS('Vols additionnels'!$E$7:$E$66,'Vols additionnels'!$C$7:$C$66,$E4466,'Vols additionnels'!$D$7:$D$66,$F4466,'Vols additionnels'!$B$7:$B$66,$D4466)</f>
        <v>0</v>
      </c>
      <c r="H4466" s="135" t="n">
        <f aca="false">$G4466*'Analyse capacite'!$F$7</f>
        <v>0</v>
      </c>
      <c r="I4466" s="135" t="n">
        <f aca="false">$G4466*'Analyse capacite'!$C$7</f>
        <v>0</v>
      </c>
      <c r="J4466" s="135" t="n">
        <f aca="false">$G4466*'Analyse capacite'!$D$7</f>
        <v>0</v>
      </c>
      <c r="K4466" s="135" t="n">
        <f aca="false">$G4466*'Analyse capacite'!$E$7</f>
        <v>0</v>
      </c>
    </row>
    <row r="4467" customFormat="false" ht="15" hidden="false" customHeight="false" outlineLevel="0" collapsed="false">
      <c r="B4467" s="130" t="n">
        <v>2027</v>
      </c>
      <c r="C4467" s="131" t="s">
        <v>250</v>
      </c>
      <c r="D4467" s="132" t="n">
        <v>46601</v>
      </c>
      <c r="E4467" s="131" t="s">
        <v>62</v>
      </c>
      <c r="F4467" s="133" t="s">
        <v>19</v>
      </c>
      <c r="G4467" s="134" t="n">
        <f aca="false">LEN('Saisie programme'!$D$203)+SUMIFS('Vols additionnels'!$E$7:$E$66,'Vols additionnels'!$C$7:$C$66,$E4467,'Vols additionnels'!$D$7:$D$66,$F4467,'Vols additionnels'!$B$7:$B$66,$D4467)</f>
        <v>0</v>
      </c>
      <c r="H4467" s="135" t="n">
        <f aca="false">$G4467*'Analyse capacite'!$F$8</f>
        <v>0</v>
      </c>
      <c r="I4467" s="135" t="n">
        <f aca="false">$G4467*'Analyse capacite'!$C$8</f>
        <v>0</v>
      </c>
      <c r="J4467" s="135" t="n">
        <f aca="false">$G4467*'Analyse capacite'!$D$8</f>
        <v>0</v>
      </c>
      <c r="K4467" s="135" t="n">
        <f aca="false">$G4467*'Analyse capacite'!$E$8</f>
        <v>0</v>
      </c>
    </row>
    <row r="4468" customFormat="false" ht="15" hidden="false" customHeight="false" outlineLevel="0" collapsed="false">
      <c r="B4468" s="130" t="n">
        <v>2027</v>
      </c>
      <c r="C4468" s="131" t="s">
        <v>250</v>
      </c>
      <c r="D4468" s="132" t="n">
        <v>46601</v>
      </c>
      <c r="E4468" s="131" t="s">
        <v>62</v>
      </c>
      <c r="F4468" s="133" t="s">
        <v>24</v>
      </c>
      <c r="G4468" s="134" t="n">
        <f aca="false">LEN('Saisie programme'!$D$204)+SUMIFS('Vols additionnels'!$E$7:$E$66,'Vols additionnels'!$C$7:$C$66,$E4468,'Vols additionnels'!$D$7:$D$66,$F4468,'Vols additionnels'!$B$7:$B$66,$D4468)</f>
        <v>0</v>
      </c>
      <c r="H4468" s="135" t="n">
        <f aca="false">$G4468*'Analyse capacite'!$F$9</f>
        <v>0</v>
      </c>
      <c r="I4468" s="135" t="n">
        <f aca="false">$G4468*'Analyse capacite'!$C$9</f>
        <v>0</v>
      </c>
      <c r="J4468" s="135" t="n">
        <f aca="false">$G4468*'Analyse capacite'!$D$9</f>
        <v>0</v>
      </c>
      <c r="K4468" s="135" t="n">
        <f aca="false">$G4468*'Analyse capacite'!$E$9</f>
        <v>0</v>
      </c>
    </row>
    <row r="4469" customFormat="false" ht="15" hidden="false" customHeight="false" outlineLevel="0" collapsed="false">
      <c r="B4469" s="130" t="n">
        <v>2027</v>
      </c>
      <c r="C4469" s="131" t="s">
        <v>250</v>
      </c>
      <c r="D4469" s="132" t="n">
        <v>46602</v>
      </c>
      <c r="E4469" s="131" t="s">
        <v>12</v>
      </c>
      <c r="F4469" s="133" t="s">
        <v>11</v>
      </c>
      <c r="G4469" s="134" t="n">
        <f aca="false">LEN('Saisie programme'!$E$169)+SUMIFS('Vols additionnels'!$E$7:$E$66,'Vols additionnels'!$C$7:$C$66,$E4469,'Vols additionnels'!$D$7:$D$66,$F4469,'Vols additionnels'!$B$7:$B$66,$D4469)</f>
        <v>1</v>
      </c>
      <c r="H4469" s="135" t="n">
        <f aca="false">$G4469*'Analyse capacite'!$F$7</f>
        <v>438</v>
      </c>
      <c r="I4469" s="135" t="n">
        <f aca="false">$G4469*'Analyse capacite'!$C$7</f>
        <v>14</v>
      </c>
      <c r="J4469" s="135" t="n">
        <f aca="false">$G4469*'Analyse capacite'!$D$7</f>
        <v>40</v>
      </c>
      <c r="K4469" s="135" t="n">
        <f aca="false">$G4469*'Analyse capacite'!$E$7</f>
        <v>384</v>
      </c>
    </row>
    <row r="4470" customFormat="false" ht="15" hidden="false" customHeight="false" outlineLevel="0" collapsed="false">
      <c r="B4470" s="130" t="n">
        <v>2027</v>
      </c>
      <c r="C4470" s="131" t="s">
        <v>250</v>
      </c>
      <c r="D4470" s="132" t="n">
        <v>46602</v>
      </c>
      <c r="E4470" s="131" t="s">
        <v>12</v>
      </c>
      <c r="F4470" s="133" t="s">
        <v>19</v>
      </c>
      <c r="G4470" s="134" t="n">
        <f aca="false">LEN('Saisie programme'!$E$170)+SUMIFS('Vols additionnels'!$E$7:$E$66,'Vols additionnels'!$C$7:$C$66,$E4470,'Vols additionnels'!$D$7:$D$66,$F4470,'Vols additionnels'!$B$7:$B$66,$D4470)</f>
        <v>1</v>
      </c>
      <c r="H4470" s="135" t="n">
        <f aca="false">$G4470*'Analyse capacite'!$F$8</f>
        <v>262</v>
      </c>
      <c r="I4470" s="135" t="n">
        <f aca="false">$G4470*'Analyse capacite'!$C$8</f>
        <v>18</v>
      </c>
      <c r="J4470" s="135" t="n">
        <f aca="false">$G4470*'Analyse capacite'!$D$8</f>
        <v>0</v>
      </c>
      <c r="K4470" s="135" t="n">
        <f aca="false">$G4470*'Analyse capacite'!$E$8</f>
        <v>244</v>
      </c>
    </row>
    <row r="4471" customFormat="false" ht="15" hidden="false" customHeight="false" outlineLevel="0" collapsed="false">
      <c r="B4471" s="130" t="n">
        <v>2027</v>
      </c>
      <c r="C4471" s="131" t="s">
        <v>250</v>
      </c>
      <c r="D4471" s="132" t="n">
        <v>46602</v>
      </c>
      <c r="E4471" s="131" t="s">
        <v>12</v>
      </c>
      <c r="F4471" s="133" t="s">
        <v>24</v>
      </c>
      <c r="G4471" s="134" t="n">
        <f aca="false">LEN('Saisie programme'!$E$171)+SUMIFS('Vols additionnels'!$E$7:$E$66,'Vols additionnels'!$C$7:$C$66,$E4471,'Vols additionnels'!$D$7:$D$66,$F4471,'Vols additionnels'!$B$7:$B$66,$D4471)</f>
        <v>0</v>
      </c>
      <c r="H4471" s="135" t="n">
        <f aca="false">$G4471*'Analyse capacite'!$F$9</f>
        <v>0</v>
      </c>
      <c r="I4471" s="135" t="n">
        <f aca="false">$G4471*'Analyse capacite'!$C$9</f>
        <v>0</v>
      </c>
      <c r="J4471" s="135" t="n">
        <f aca="false">$G4471*'Analyse capacite'!$D$9</f>
        <v>0</v>
      </c>
      <c r="K4471" s="135" t="n">
        <f aca="false">$G4471*'Analyse capacite'!$E$9</f>
        <v>0</v>
      </c>
    </row>
    <row r="4472" customFormat="false" ht="15" hidden="false" customHeight="false" outlineLevel="0" collapsed="false">
      <c r="B4472" s="130" t="n">
        <v>2027</v>
      </c>
      <c r="C4472" s="131" t="s">
        <v>250</v>
      </c>
      <c r="D4472" s="132" t="n">
        <v>46602</v>
      </c>
      <c r="E4472" s="131" t="s">
        <v>20</v>
      </c>
      <c r="F4472" s="133" t="s">
        <v>11</v>
      </c>
      <c r="G4472" s="134" t="n">
        <f aca="false">LEN('Saisie programme'!$E$172)+SUMIFS('Vols additionnels'!$E$7:$E$66,'Vols additionnels'!$C$7:$C$66,$E4472,'Vols additionnels'!$D$7:$D$66,$F4472,'Vols additionnels'!$B$7:$B$66,$D4472)</f>
        <v>0</v>
      </c>
      <c r="H4472" s="135" t="n">
        <f aca="false">$G4472*'Analyse capacite'!$F$7</f>
        <v>0</v>
      </c>
      <c r="I4472" s="135" t="n">
        <f aca="false">$G4472*'Analyse capacite'!$C$7</f>
        <v>0</v>
      </c>
      <c r="J4472" s="135" t="n">
        <f aca="false">$G4472*'Analyse capacite'!$D$7</f>
        <v>0</v>
      </c>
      <c r="K4472" s="135" t="n">
        <f aca="false">$G4472*'Analyse capacite'!$E$7</f>
        <v>0</v>
      </c>
    </row>
    <row r="4473" customFormat="false" ht="15" hidden="false" customHeight="false" outlineLevel="0" collapsed="false">
      <c r="B4473" s="130" t="n">
        <v>2027</v>
      </c>
      <c r="C4473" s="131" t="s">
        <v>250</v>
      </c>
      <c r="D4473" s="132" t="n">
        <v>46602</v>
      </c>
      <c r="E4473" s="131" t="s">
        <v>20</v>
      </c>
      <c r="F4473" s="133" t="s">
        <v>19</v>
      </c>
      <c r="G4473" s="134" t="n">
        <f aca="false">LEN('Saisie programme'!$E$173)+SUMIFS('Vols additionnels'!$E$7:$E$66,'Vols additionnels'!$C$7:$C$66,$E4473,'Vols additionnels'!$D$7:$D$66,$F4473,'Vols additionnels'!$B$7:$B$66,$D4473)</f>
        <v>1</v>
      </c>
      <c r="H4473" s="135" t="n">
        <f aca="false">$G4473*'Analyse capacite'!$F$8</f>
        <v>262</v>
      </c>
      <c r="I4473" s="135" t="n">
        <f aca="false">$G4473*'Analyse capacite'!$C$8</f>
        <v>18</v>
      </c>
      <c r="J4473" s="135" t="n">
        <f aca="false">$G4473*'Analyse capacite'!$D$8</f>
        <v>0</v>
      </c>
      <c r="K4473" s="135" t="n">
        <f aca="false">$G4473*'Analyse capacite'!$E$8</f>
        <v>244</v>
      </c>
    </row>
    <row r="4474" customFormat="false" ht="15" hidden="false" customHeight="false" outlineLevel="0" collapsed="false">
      <c r="B4474" s="130" t="n">
        <v>2027</v>
      </c>
      <c r="C4474" s="131" t="s">
        <v>250</v>
      </c>
      <c r="D4474" s="132" t="n">
        <v>46602</v>
      </c>
      <c r="E4474" s="131" t="s">
        <v>20</v>
      </c>
      <c r="F4474" s="133" t="s">
        <v>24</v>
      </c>
      <c r="G4474" s="134" t="n">
        <f aca="false">LEN('Saisie programme'!$E$174)+SUMIFS('Vols additionnels'!$E$7:$E$66,'Vols additionnels'!$C$7:$C$66,$E4474,'Vols additionnels'!$D$7:$D$66,$F4474,'Vols additionnels'!$B$7:$B$66,$D4474)</f>
        <v>0</v>
      </c>
      <c r="H4474" s="135" t="n">
        <f aca="false">$G4474*'Analyse capacite'!$F$9</f>
        <v>0</v>
      </c>
      <c r="I4474" s="135" t="n">
        <f aca="false">$G4474*'Analyse capacite'!$C$9</f>
        <v>0</v>
      </c>
      <c r="J4474" s="135" t="n">
        <f aca="false">$G4474*'Analyse capacite'!$D$9</f>
        <v>0</v>
      </c>
      <c r="K4474" s="135" t="n">
        <f aca="false">$G4474*'Analyse capacite'!$E$9</f>
        <v>0</v>
      </c>
    </row>
    <row r="4475" customFormat="false" ht="15" hidden="false" customHeight="false" outlineLevel="0" collapsed="false">
      <c r="B4475" s="130" t="n">
        <v>2027</v>
      </c>
      <c r="C4475" s="131" t="s">
        <v>250</v>
      </c>
      <c r="D4475" s="132" t="n">
        <v>46602</v>
      </c>
      <c r="E4475" s="131" t="s">
        <v>25</v>
      </c>
      <c r="F4475" s="133" t="s">
        <v>11</v>
      </c>
      <c r="G4475" s="134" t="n">
        <f aca="false">LEN('Saisie programme'!$E$175)+SUMIFS('Vols additionnels'!$E$7:$E$66,'Vols additionnels'!$C$7:$C$66,$E4475,'Vols additionnels'!$D$7:$D$66,$F4475,'Vols additionnels'!$B$7:$B$66,$D4475)</f>
        <v>0</v>
      </c>
      <c r="H4475" s="135" t="n">
        <f aca="false">$G4475*'Analyse capacite'!$F$7</f>
        <v>0</v>
      </c>
      <c r="I4475" s="135" t="n">
        <f aca="false">$G4475*'Analyse capacite'!$C$7</f>
        <v>0</v>
      </c>
      <c r="J4475" s="135" t="n">
        <f aca="false">$G4475*'Analyse capacite'!$D$7</f>
        <v>0</v>
      </c>
      <c r="K4475" s="135" t="n">
        <f aca="false">$G4475*'Analyse capacite'!$E$7</f>
        <v>0</v>
      </c>
    </row>
    <row r="4476" customFormat="false" ht="15" hidden="false" customHeight="false" outlineLevel="0" collapsed="false">
      <c r="B4476" s="130" t="n">
        <v>2027</v>
      </c>
      <c r="C4476" s="131" t="s">
        <v>250</v>
      </c>
      <c r="D4476" s="132" t="n">
        <v>46602</v>
      </c>
      <c r="E4476" s="131" t="s">
        <v>25</v>
      </c>
      <c r="F4476" s="133" t="s">
        <v>19</v>
      </c>
      <c r="G4476" s="134" t="n">
        <f aca="false">LEN('Saisie programme'!$E$176)+SUMIFS('Vols additionnels'!$E$7:$E$66,'Vols additionnels'!$C$7:$C$66,$E4476,'Vols additionnels'!$D$7:$D$66,$F4476,'Vols additionnels'!$B$7:$B$66,$D4476)</f>
        <v>0</v>
      </c>
      <c r="H4476" s="135" t="n">
        <f aca="false">$G4476*'Analyse capacite'!$F$8</f>
        <v>0</v>
      </c>
      <c r="I4476" s="135" t="n">
        <f aca="false">$G4476*'Analyse capacite'!$C$8</f>
        <v>0</v>
      </c>
      <c r="J4476" s="135" t="n">
        <f aca="false">$G4476*'Analyse capacite'!$D$8</f>
        <v>0</v>
      </c>
      <c r="K4476" s="135" t="n">
        <f aca="false">$G4476*'Analyse capacite'!$E$8</f>
        <v>0</v>
      </c>
    </row>
    <row r="4477" customFormat="false" ht="15" hidden="false" customHeight="false" outlineLevel="0" collapsed="false">
      <c r="B4477" s="130" t="n">
        <v>2027</v>
      </c>
      <c r="C4477" s="131" t="s">
        <v>250</v>
      </c>
      <c r="D4477" s="132" t="n">
        <v>46602</v>
      </c>
      <c r="E4477" s="131" t="s">
        <v>25</v>
      </c>
      <c r="F4477" s="133" t="s">
        <v>24</v>
      </c>
      <c r="G4477" s="134" t="n">
        <f aca="false">LEN('Saisie programme'!$E$177)+SUMIFS('Vols additionnels'!$E$7:$E$66,'Vols additionnels'!$C$7:$C$66,$E4477,'Vols additionnels'!$D$7:$D$66,$F4477,'Vols additionnels'!$B$7:$B$66,$D4477)</f>
        <v>0</v>
      </c>
      <c r="H4477" s="135" t="n">
        <f aca="false">$G4477*'Analyse capacite'!$F$9</f>
        <v>0</v>
      </c>
      <c r="I4477" s="135" t="n">
        <f aca="false">$G4477*'Analyse capacite'!$C$9</f>
        <v>0</v>
      </c>
      <c r="J4477" s="135" t="n">
        <f aca="false">$G4477*'Analyse capacite'!$D$9</f>
        <v>0</v>
      </c>
      <c r="K4477" s="135" t="n">
        <f aca="false">$G4477*'Analyse capacite'!$E$9</f>
        <v>0</v>
      </c>
    </row>
    <row r="4478" customFormat="false" ht="15" hidden="false" customHeight="false" outlineLevel="0" collapsed="false">
      <c r="B4478" s="130" t="n">
        <v>2027</v>
      </c>
      <c r="C4478" s="131" t="s">
        <v>250</v>
      </c>
      <c r="D4478" s="132" t="n">
        <v>46602</v>
      </c>
      <c r="E4478" s="131" t="s">
        <v>36</v>
      </c>
      <c r="F4478" s="133" t="s">
        <v>11</v>
      </c>
      <c r="G4478" s="134" t="n">
        <f aca="false">LEN('Saisie programme'!$E$178)+SUMIFS('Vols additionnels'!$E$7:$E$66,'Vols additionnels'!$C$7:$C$66,$E4478,'Vols additionnels'!$D$7:$D$66,$F4478,'Vols additionnels'!$B$7:$B$66,$D4478)</f>
        <v>0</v>
      </c>
      <c r="H4478" s="135" t="n">
        <f aca="false">$G4478*'Analyse capacite'!$F$7</f>
        <v>0</v>
      </c>
      <c r="I4478" s="135" t="n">
        <f aca="false">$G4478*'Analyse capacite'!$C$7</f>
        <v>0</v>
      </c>
      <c r="J4478" s="135" t="n">
        <f aca="false">$G4478*'Analyse capacite'!$D$7</f>
        <v>0</v>
      </c>
      <c r="K4478" s="135" t="n">
        <f aca="false">$G4478*'Analyse capacite'!$E$7</f>
        <v>0</v>
      </c>
    </row>
    <row r="4479" customFormat="false" ht="15" hidden="false" customHeight="false" outlineLevel="0" collapsed="false">
      <c r="B4479" s="130" t="n">
        <v>2027</v>
      </c>
      <c r="C4479" s="131" t="s">
        <v>250</v>
      </c>
      <c r="D4479" s="132" t="n">
        <v>46602</v>
      </c>
      <c r="E4479" s="131" t="s">
        <v>36</v>
      </c>
      <c r="F4479" s="133" t="s">
        <v>19</v>
      </c>
      <c r="G4479" s="134" t="n">
        <f aca="false">LEN('Saisie programme'!$E$179)+SUMIFS('Vols additionnels'!$E$7:$E$66,'Vols additionnels'!$C$7:$C$66,$E4479,'Vols additionnels'!$D$7:$D$66,$F4479,'Vols additionnels'!$B$7:$B$66,$D4479)</f>
        <v>0</v>
      </c>
      <c r="H4479" s="135" t="n">
        <f aca="false">$G4479*'Analyse capacite'!$F$8</f>
        <v>0</v>
      </c>
      <c r="I4479" s="135" t="n">
        <f aca="false">$G4479*'Analyse capacite'!$C$8</f>
        <v>0</v>
      </c>
      <c r="J4479" s="135" t="n">
        <f aca="false">$G4479*'Analyse capacite'!$D$8</f>
        <v>0</v>
      </c>
      <c r="K4479" s="135" t="n">
        <f aca="false">$G4479*'Analyse capacite'!$E$8</f>
        <v>0</v>
      </c>
    </row>
    <row r="4480" customFormat="false" ht="15" hidden="false" customHeight="false" outlineLevel="0" collapsed="false">
      <c r="B4480" s="130" t="n">
        <v>2027</v>
      </c>
      <c r="C4480" s="131" t="s">
        <v>250</v>
      </c>
      <c r="D4480" s="132" t="n">
        <v>46602</v>
      </c>
      <c r="E4480" s="131" t="s">
        <v>36</v>
      </c>
      <c r="F4480" s="133" t="s">
        <v>24</v>
      </c>
      <c r="G4480" s="134" t="n">
        <f aca="false">LEN('Saisie programme'!$E$180)+SUMIFS('Vols additionnels'!$E$7:$E$66,'Vols additionnels'!$C$7:$C$66,$E4480,'Vols additionnels'!$D$7:$D$66,$F4480,'Vols additionnels'!$B$7:$B$66,$D4480)</f>
        <v>1</v>
      </c>
      <c r="H4480" s="135" t="n">
        <f aca="false">$G4480*'Analyse capacite'!$F$9</f>
        <v>174</v>
      </c>
      <c r="I4480" s="135" t="n">
        <f aca="false">$G4480*'Analyse capacite'!$C$9</f>
        <v>0</v>
      </c>
      <c r="J4480" s="135" t="n">
        <f aca="false">$G4480*'Analyse capacite'!$D$9</f>
        <v>12</v>
      </c>
      <c r="K4480" s="135" t="n">
        <f aca="false">$G4480*'Analyse capacite'!$E$9</f>
        <v>162</v>
      </c>
    </row>
    <row r="4481" customFormat="false" ht="15" hidden="false" customHeight="false" outlineLevel="0" collapsed="false">
      <c r="B4481" s="130" t="n">
        <v>2027</v>
      </c>
      <c r="C4481" s="131" t="s">
        <v>250</v>
      </c>
      <c r="D4481" s="132" t="n">
        <v>46602</v>
      </c>
      <c r="E4481" s="131" t="s">
        <v>40</v>
      </c>
      <c r="F4481" s="133" t="s">
        <v>11</v>
      </c>
      <c r="G4481" s="134" t="n">
        <f aca="false">LEN('Saisie programme'!$E$181)+SUMIFS('Vols additionnels'!$E$7:$E$66,'Vols additionnels'!$C$7:$C$66,$E4481,'Vols additionnels'!$D$7:$D$66,$F4481,'Vols additionnels'!$B$7:$B$66,$D4481)</f>
        <v>0</v>
      </c>
      <c r="H4481" s="135" t="n">
        <f aca="false">$G4481*'Analyse capacite'!$F$7</f>
        <v>0</v>
      </c>
      <c r="I4481" s="135" t="n">
        <f aca="false">$G4481*'Analyse capacite'!$C$7</f>
        <v>0</v>
      </c>
      <c r="J4481" s="135" t="n">
        <f aca="false">$G4481*'Analyse capacite'!$D$7</f>
        <v>0</v>
      </c>
      <c r="K4481" s="135" t="n">
        <f aca="false">$G4481*'Analyse capacite'!$E$7</f>
        <v>0</v>
      </c>
    </row>
    <row r="4482" customFormat="false" ht="15" hidden="false" customHeight="false" outlineLevel="0" collapsed="false">
      <c r="B4482" s="130" t="n">
        <v>2027</v>
      </c>
      <c r="C4482" s="131" t="s">
        <v>250</v>
      </c>
      <c r="D4482" s="132" t="n">
        <v>46602</v>
      </c>
      <c r="E4482" s="131" t="s">
        <v>40</v>
      </c>
      <c r="F4482" s="133" t="s">
        <v>19</v>
      </c>
      <c r="G4482" s="134" t="n">
        <f aca="false">LEN('Saisie programme'!$E$182)+SUMIFS('Vols additionnels'!$E$7:$E$66,'Vols additionnels'!$C$7:$C$66,$E4482,'Vols additionnels'!$D$7:$D$66,$F4482,'Vols additionnels'!$B$7:$B$66,$D4482)</f>
        <v>0</v>
      </c>
      <c r="H4482" s="135" t="n">
        <f aca="false">$G4482*'Analyse capacite'!$F$8</f>
        <v>0</v>
      </c>
      <c r="I4482" s="135" t="n">
        <f aca="false">$G4482*'Analyse capacite'!$C$8</f>
        <v>0</v>
      </c>
      <c r="J4482" s="135" t="n">
        <f aca="false">$G4482*'Analyse capacite'!$D$8</f>
        <v>0</v>
      </c>
      <c r="K4482" s="135" t="n">
        <f aca="false">$G4482*'Analyse capacite'!$E$8</f>
        <v>0</v>
      </c>
    </row>
    <row r="4483" customFormat="false" ht="15" hidden="false" customHeight="false" outlineLevel="0" collapsed="false">
      <c r="B4483" s="130" t="n">
        <v>2027</v>
      </c>
      <c r="C4483" s="131" t="s">
        <v>250</v>
      </c>
      <c r="D4483" s="132" t="n">
        <v>46602</v>
      </c>
      <c r="E4483" s="131" t="s">
        <v>40</v>
      </c>
      <c r="F4483" s="133" t="s">
        <v>24</v>
      </c>
      <c r="G4483" s="134" t="n">
        <f aca="false">LEN('Saisie programme'!$E$183)+SUMIFS('Vols additionnels'!$E$7:$E$66,'Vols additionnels'!$C$7:$C$66,$E4483,'Vols additionnels'!$D$7:$D$66,$F4483,'Vols additionnels'!$B$7:$B$66,$D4483)</f>
        <v>0</v>
      </c>
      <c r="H4483" s="135" t="n">
        <f aca="false">$G4483*'Analyse capacite'!$F$9</f>
        <v>0</v>
      </c>
      <c r="I4483" s="135" t="n">
        <f aca="false">$G4483*'Analyse capacite'!$C$9</f>
        <v>0</v>
      </c>
      <c r="J4483" s="135" t="n">
        <f aca="false">$G4483*'Analyse capacite'!$D$9</f>
        <v>0</v>
      </c>
      <c r="K4483" s="135" t="n">
        <f aca="false">$G4483*'Analyse capacite'!$E$9</f>
        <v>0</v>
      </c>
    </row>
    <row r="4484" customFormat="false" ht="15" hidden="false" customHeight="false" outlineLevel="0" collapsed="false">
      <c r="B4484" s="130" t="n">
        <v>2027</v>
      </c>
      <c r="C4484" s="131" t="s">
        <v>250</v>
      </c>
      <c r="D4484" s="132" t="n">
        <v>46602</v>
      </c>
      <c r="E4484" s="131" t="s">
        <v>14</v>
      </c>
      <c r="F4484" s="133" t="s">
        <v>11</v>
      </c>
      <c r="G4484" s="134" t="n">
        <f aca="false">LEN('Saisie programme'!$E$184)+SUMIFS('Vols additionnels'!$E$7:$E$66,'Vols additionnels'!$C$7:$C$66,$E4484,'Vols additionnels'!$D$7:$D$66,$F4484,'Vols additionnels'!$B$7:$B$66,$D4484)</f>
        <v>0</v>
      </c>
      <c r="H4484" s="135" t="n">
        <f aca="false">$G4484*'Analyse capacite'!$F$7</f>
        <v>0</v>
      </c>
      <c r="I4484" s="135" t="n">
        <f aca="false">$G4484*'Analyse capacite'!$C$7</f>
        <v>0</v>
      </c>
      <c r="J4484" s="135" t="n">
        <f aca="false">$G4484*'Analyse capacite'!$D$7</f>
        <v>0</v>
      </c>
      <c r="K4484" s="135" t="n">
        <f aca="false">$G4484*'Analyse capacite'!$E$7</f>
        <v>0</v>
      </c>
    </row>
    <row r="4485" customFormat="false" ht="15" hidden="false" customHeight="false" outlineLevel="0" collapsed="false">
      <c r="B4485" s="130" t="n">
        <v>2027</v>
      </c>
      <c r="C4485" s="131" t="s">
        <v>250</v>
      </c>
      <c r="D4485" s="132" t="n">
        <v>46602</v>
      </c>
      <c r="E4485" s="131" t="s">
        <v>14</v>
      </c>
      <c r="F4485" s="133" t="s">
        <v>19</v>
      </c>
      <c r="G4485" s="134" t="n">
        <f aca="false">LEN('Saisie programme'!$E$185)+SUMIFS('Vols additionnels'!$E$7:$E$66,'Vols additionnels'!$C$7:$C$66,$E4485,'Vols additionnels'!$D$7:$D$66,$F4485,'Vols additionnels'!$B$7:$B$66,$D4485)</f>
        <v>0</v>
      </c>
      <c r="H4485" s="135" t="n">
        <f aca="false">$G4485*'Analyse capacite'!$F$8</f>
        <v>0</v>
      </c>
      <c r="I4485" s="135" t="n">
        <f aca="false">$G4485*'Analyse capacite'!$C$8</f>
        <v>0</v>
      </c>
      <c r="J4485" s="135" t="n">
        <f aca="false">$G4485*'Analyse capacite'!$D$8</f>
        <v>0</v>
      </c>
      <c r="K4485" s="135" t="n">
        <f aca="false">$G4485*'Analyse capacite'!$E$8</f>
        <v>0</v>
      </c>
    </row>
    <row r="4486" customFormat="false" ht="15" hidden="false" customHeight="false" outlineLevel="0" collapsed="false">
      <c r="B4486" s="130" t="n">
        <v>2027</v>
      </c>
      <c r="C4486" s="131" t="s">
        <v>250</v>
      </c>
      <c r="D4486" s="132" t="n">
        <v>46602</v>
      </c>
      <c r="E4486" s="131" t="s">
        <v>14</v>
      </c>
      <c r="F4486" s="133" t="s">
        <v>24</v>
      </c>
      <c r="G4486" s="134" t="n">
        <f aca="false">LEN('Saisie programme'!$E$186)+SUMIFS('Vols additionnels'!$E$7:$E$66,'Vols additionnels'!$C$7:$C$66,$E4486,'Vols additionnels'!$D$7:$D$66,$F4486,'Vols additionnels'!$B$7:$B$66,$D4486)</f>
        <v>0</v>
      </c>
      <c r="H4486" s="135" t="n">
        <f aca="false">$G4486*'Analyse capacite'!$F$9</f>
        <v>0</v>
      </c>
      <c r="I4486" s="135" t="n">
        <f aca="false">$G4486*'Analyse capacite'!$C$9</f>
        <v>0</v>
      </c>
      <c r="J4486" s="135" t="n">
        <f aca="false">$G4486*'Analyse capacite'!$D$9</f>
        <v>0</v>
      </c>
      <c r="K4486" s="135" t="n">
        <f aca="false">$G4486*'Analyse capacite'!$E$9</f>
        <v>0</v>
      </c>
    </row>
    <row r="4487" customFormat="false" ht="15" hidden="false" customHeight="false" outlineLevel="0" collapsed="false">
      <c r="B4487" s="130" t="n">
        <v>2027</v>
      </c>
      <c r="C4487" s="131" t="s">
        <v>250</v>
      </c>
      <c r="D4487" s="132" t="n">
        <v>46602</v>
      </c>
      <c r="E4487" s="131" t="s">
        <v>46</v>
      </c>
      <c r="F4487" s="133" t="s">
        <v>11</v>
      </c>
      <c r="G4487" s="134" t="n">
        <f aca="false">LEN('Saisie programme'!$E$187)+SUMIFS('Vols additionnels'!$E$7:$E$66,'Vols additionnels'!$C$7:$C$66,$E4487,'Vols additionnels'!$D$7:$D$66,$F4487,'Vols additionnels'!$B$7:$B$66,$D4487)</f>
        <v>0</v>
      </c>
      <c r="H4487" s="135" t="n">
        <f aca="false">$G4487*'Analyse capacite'!$F$7</f>
        <v>0</v>
      </c>
      <c r="I4487" s="135" t="n">
        <f aca="false">$G4487*'Analyse capacite'!$C$7</f>
        <v>0</v>
      </c>
      <c r="J4487" s="135" t="n">
        <f aca="false">$G4487*'Analyse capacite'!$D$7</f>
        <v>0</v>
      </c>
      <c r="K4487" s="135" t="n">
        <f aca="false">$G4487*'Analyse capacite'!$E$7</f>
        <v>0</v>
      </c>
    </row>
    <row r="4488" customFormat="false" ht="15" hidden="false" customHeight="false" outlineLevel="0" collapsed="false">
      <c r="B4488" s="130" t="n">
        <v>2027</v>
      </c>
      <c r="C4488" s="131" t="s">
        <v>250</v>
      </c>
      <c r="D4488" s="132" t="n">
        <v>46602</v>
      </c>
      <c r="E4488" s="131" t="s">
        <v>46</v>
      </c>
      <c r="F4488" s="133" t="s">
        <v>19</v>
      </c>
      <c r="G4488" s="134" t="n">
        <f aca="false">LEN('Saisie programme'!$E$188)+SUMIFS('Vols additionnels'!$E$7:$E$66,'Vols additionnels'!$C$7:$C$66,$E4488,'Vols additionnels'!$D$7:$D$66,$F4488,'Vols additionnels'!$B$7:$B$66,$D4488)</f>
        <v>0</v>
      </c>
      <c r="H4488" s="135" t="n">
        <f aca="false">$G4488*'Analyse capacite'!$F$8</f>
        <v>0</v>
      </c>
      <c r="I4488" s="135" t="n">
        <f aca="false">$G4488*'Analyse capacite'!$C$8</f>
        <v>0</v>
      </c>
      <c r="J4488" s="135" t="n">
        <f aca="false">$G4488*'Analyse capacite'!$D$8</f>
        <v>0</v>
      </c>
      <c r="K4488" s="135" t="n">
        <f aca="false">$G4488*'Analyse capacite'!$E$8</f>
        <v>0</v>
      </c>
    </row>
    <row r="4489" customFormat="false" ht="15" hidden="false" customHeight="false" outlineLevel="0" collapsed="false">
      <c r="B4489" s="130" t="n">
        <v>2027</v>
      </c>
      <c r="C4489" s="131" t="s">
        <v>250</v>
      </c>
      <c r="D4489" s="132" t="n">
        <v>46602</v>
      </c>
      <c r="E4489" s="131" t="s">
        <v>46</v>
      </c>
      <c r="F4489" s="133" t="s">
        <v>24</v>
      </c>
      <c r="G4489" s="134" t="n">
        <f aca="false">LEN('Saisie programme'!$E$189)+SUMIFS('Vols additionnels'!$E$7:$E$66,'Vols additionnels'!$C$7:$C$66,$E4489,'Vols additionnels'!$D$7:$D$66,$F4489,'Vols additionnels'!$B$7:$B$66,$D4489)</f>
        <v>1</v>
      </c>
      <c r="H4489" s="135" t="n">
        <f aca="false">$G4489*'Analyse capacite'!$F$9</f>
        <v>174</v>
      </c>
      <c r="I4489" s="135" t="n">
        <f aca="false">$G4489*'Analyse capacite'!$C$9</f>
        <v>0</v>
      </c>
      <c r="J4489" s="135" t="n">
        <f aca="false">$G4489*'Analyse capacite'!$D$9</f>
        <v>12</v>
      </c>
      <c r="K4489" s="135" t="n">
        <f aca="false">$G4489*'Analyse capacite'!$E$9</f>
        <v>162</v>
      </c>
    </row>
    <row r="4490" customFormat="false" ht="15" hidden="false" customHeight="false" outlineLevel="0" collapsed="false">
      <c r="B4490" s="130" t="n">
        <v>2027</v>
      </c>
      <c r="C4490" s="131" t="s">
        <v>250</v>
      </c>
      <c r="D4490" s="132" t="n">
        <v>46602</v>
      </c>
      <c r="E4490" s="131" t="s">
        <v>49</v>
      </c>
      <c r="F4490" s="133" t="s">
        <v>11</v>
      </c>
      <c r="G4490" s="134" t="n">
        <f aca="false">LEN('Saisie programme'!$E$190)+SUMIFS('Vols additionnels'!$E$7:$E$66,'Vols additionnels'!$C$7:$C$66,$E4490,'Vols additionnels'!$D$7:$D$66,$F4490,'Vols additionnels'!$B$7:$B$66,$D4490)</f>
        <v>0</v>
      </c>
      <c r="H4490" s="135" t="n">
        <f aca="false">$G4490*'Analyse capacite'!$F$7</f>
        <v>0</v>
      </c>
      <c r="I4490" s="135" t="n">
        <f aca="false">$G4490*'Analyse capacite'!$C$7</f>
        <v>0</v>
      </c>
      <c r="J4490" s="135" t="n">
        <f aca="false">$G4490*'Analyse capacite'!$D$7</f>
        <v>0</v>
      </c>
      <c r="K4490" s="135" t="n">
        <f aca="false">$G4490*'Analyse capacite'!$E$7</f>
        <v>0</v>
      </c>
    </row>
    <row r="4491" customFormat="false" ht="15" hidden="false" customHeight="false" outlineLevel="0" collapsed="false">
      <c r="B4491" s="130" t="n">
        <v>2027</v>
      </c>
      <c r="C4491" s="131" t="s">
        <v>250</v>
      </c>
      <c r="D4491" s="132" t="n">
        <v>46602</v>
      </c>
      <c r="E4491" s="131" t="s">
        <v>49</v>
      </c>
      <c r="F4491" s="133" t="s">
        <v>19</v>
      </c>
      <c r="G4491" s="134" t="n">
        <f aca="false">LEN('Saisie programme'!$E$191)+SUMIFS('Vols additionnels'!$E$7:$E$66,'Vols additionnels'!$C$7:$C$66,$E4491,'Vols additionnels'!$D$7:$D$66,$F4491,'Vols additionnels'!$B$7:$B$66,$D4491)</f>
        <v>0</v>
      </c>
      <c r="H4491" s="135" t="n">
        <f aca="false">$G4491*'Analyse capacite'!$F$8</f>
        <v>0</v>
      </c>
      <c r="I4491" s="135" t="n">
        <f aca="false">$G4491*'Analyse capacite'!$C$8</f>
        <v>0</v>
      </c>
      <c r="J4491" s="135" t="n">
        <f aca="false">$G4491*'Analyse capacite'!$D$8</f>
        <v>0</v>
      </c>
      <c r="K4491" s="135" t="n">
        <f aca="false">$G4491*'Analyse capacite'!$E$8</f>
        <v>0</v>
      </c>
    </row>
    <row r="4492" customFormat="false" ht="15" hidden="false" customHeight="false" outlineLevel="0" collapsed="false">
      <c r="B4492" s="130" t="n">
        <v>2027</v>
      </c>
      <c r="C4492" s="131" t="s">
        <v>250</v>
      </c>
      <c r="D4492" s="132" t="n">
        <v>46602</v>
      </c>
      <c r="E4492" s="131" t="s">
        <v>49</v>
      </c>
      <c r="F4492" s="133" t="s">
        <v>24</v>
      </c>
      <c r="G4492" s="134" t="n">
        <f aca="false">LEN('Saisie programme'!$E$192)+SUMIFS('Vols additionnels'!$E$7:$E$66,'Vols additionnels'!$C$7:$C$66,$E4492,'Vols additionnels'!$D$7:$D$66,$F4492,'Vols additionnels'!$B$7:$B$66,$D4492)</f>
        <v>0</v>
      </c>
      <c r="H4492" s="135" t="n">
        <f aca="false">$G4492*'Analyse capacite'!$F$9</f>
        <v>0</v>
      </c>
      <c r="I4492" s="135" t="n">
        <f aca="false">$G4492*'Analyse capacite'!$C$9</f>
        <v>0</v>
      </c>
      <c r="J4492" s="135" t="n">
        <f aca="false">$G4492*'Analyse capacite'!$D$9</f>
        <v>0</v>
      </c>
      <c r="K4492" s="135" t="n">
        <f aca="false">$G4492*'Analyse capacite'!$E$9</f>
        <v>0</v>
      </c>
    </row>
    <row r="4493" customFormat="false" ht="15" hidden="false" customHeight="false" outlineLevel="0" collapsed="false">
      <c r="B4493" s="130" t="n">
        <v>2027</v>
      </c>
      <c r="C4493" s="131" t="s">
        <v>250</v>
      </c>
      <c r="D4493" s="132" t="n">
        <v>46602</v>
      </c>
      <c r="E4493" s="131" t="s">
        <v>53</v>
      </c>
      <c r="F4493" s="133" t="s">
        <v>11</v>
      </c>
      <c r="G4493" s="134" t="n">
        <f aca="false">LEN('Saisie programme'!$E$193)+SUMIFS('Vols additionnels'!$E$7:$E$66,'Vols additionnels'!$C$7:$C$66,$E4493,'Vols additionnels'!$D$7:$D$66,$F4493,'Vols additionnels'!$B$7:$B$66,$D4493)</f>
        <v>0</v>
      </c>
      <c r="H4493" s="135" t="n">
        <f aca="false">$G4493*'Analyse capacite'!$F$7</f>
        <v>0</v>
      </c>
      <c r="I4493" s="135" t="n">
        <f aca="false">$G4493*'Analyse capacite'!$C$7</f>
        <v>0</v>
      </c>
      <c r="J4493" s="135" t="n">
        <f aca="false">$G4493*'Analyse capacite'!$D$7</f>
        <v>0</v>
      </c>
      <c r="K4493" s="135" t="n">
        <f aca="false">$G4493*'Analyse capacite'!$E$7</f>
        <v>0</v>
      </c>
    </row>
    <row r="4494" customFormat="false" ht="15" hidden="false" customHeight="false" outlineLevel="0" collapsed="false">
      <c r="B4494" s="130" t="n">
        <v>2027</v>
      </c>
      <c r="C4494" s="131" t="s">
        <v>250</v>
      </c>
      <c r="D4494" s="132" t="n">
        <v>46602</v>
      </c>
      <c r="E4494" s="131" t="s">
        <v>53</v>
      </c>
      <c r="F4494" s="133" t="s">
        <v>19</v>
      </c>
      <c r="G4494" s="134" t="n">
        <f aca="false">LEN('Saisie programme'!$E$194)+SUMIFS('Vols additionnels'!$E$7:$E$66,'Vols additionnels'!$C$7:$C$66,$E4494,'Vols additionnels'!$D$7:$D$66,$F4494,'Vols additionnels'!$B$7:$B$66,$D4494)</f>
        <v>0</v>
      </c>
      <c r="H4494" s="135" t="n">
        <f aca="false">$G4494*'Analyse capacite'!$F$8</f>
        <v>0</v>
      </c>
      <c r="I4494" s="135" t="n">
        <f aca="false">$G4494*'Analyse capacite'!$C$8</f>
        <v>0</v>
      </c>
      <c r="J4494" s="135" t="n">
        <f aca="false">$G4494*'Analyse capacite'!$D$8</f>
        <v>0</v>
      </c>
      <c r="K4494" s="135" t="n">
        <f aca="false">$G4494*'Analyse capacite'!$E$8</f>
        <v>0</v>
      </c>
    </row>
    <row r="4495" customFormat="false" ht="15" hidden="false" customHeight="false" outlineLevel="0" collapsed="false">
      <c r="B4495" s="130" t="n">
        <v>2027</v>
      </c>
      <c r="C4495" s="131" t="s">
        <v>250</v>
      </c>
      <c r="D4495" s="132" t="n">
        <v>46602</v>
      </c>
      <c r="E4495" s="131" t="s">
        <v>53</v>
      </c>
      <c r="F4495" s="133" t="s">
        <v>24</v>
      </c>
      <c r="G4495" s="134" t="n">
        <f aca="false">LEN('Saisie programme'!$E$195)+SUMIFS('Vols additionnels'!$E$7:$E$66,'Vols additionnels'!$C$7:$C$66,$E4495,'Vols additionnels'!$D$7:$D$66,$F4495,'Vols additionnels'!$B$7:$B$66,$D4495)</f>
        <v>0</v>
      </c>
      <c r="H4495" s="135" t="n">
        <f aca="false">$G4495*'Analyse capacite'!$F$9</f>
        <v>0</v>
      </c>
      <c r="I4495" s="135" t="n">
        <f aca="false">$G4495*'Analyse capacite'!$C$9</f>
        <v>0</v>
      </c>
      <c r="J4495" s="135" t="n">
        <f aca="false">$G4495*'Analyse capacite'!$D$9</f>
        <v>0</v>
      </c>
      <c r="K4495" s="135" t="n">
        <f aca="false">$G4495*'Analyse capacite'!$E$9</f>
        <v>0</v>
      </c>
    </row>
    <row r="4496" customFormat="false" ht="15" hidden="false" customHeight="false" outlineLevel="0" collapsed="false">
      <c r="B4496" s="130" t="n">
        <v>2027</v>
      </c>
      <c r="C4496" s="131" t="s">
        <v>250</v>
      </c>
      <c r="D4496" s="132" t="n">
        <v>46602</v>
      </c>
      <c r="E4496" s="131" t="s">
        <v>56</v>
      </c>
      <c r="F4496" s="133" t="s">
        <v>11</v>
      </c>
      <c r="G4496" s="134" t="n">
        <f aca="false">LEN('Saisie programme'!$E$196)+SUMIFS('Vols additionnels'!$E$7:$E$66,'Vols additionnels'!$C$7:$C$66,$E4496,'Vols additionnels'!$D$7:$D$66,$F4496,'Vols additionnels'!$B$7:$B$66,$D4496)</f>
        <v>0</v>
      </c>
      <c r="H4496" s="135" t="n">
        <f aca="false">$G4496*'Analyse capacite'!$F$7</f>
        <v>0</v>
      </c>
      <c r="I4496" s="135" t="n">
        <f aca="false">$G4496*'Analyse capacite'!$C$7</f>
        <v>0</v>
      </c>
      <c r="J4496" s="135" t="n">
        <f aca="false">$G4496*'Analyse capacite'!$D$7</f>
        <v>0</v>
      </c>
      <c r="K4496" s="135" t="n">
        <f aca="false">$G4496*'Analyse capacite'!$E$7</f>
        <v>0</v>
      </c>
    </row>
    <row r="4497" customFormat="false" ht="15" hidden="false" customHeight="false" outlineLevel="0" collapsed="false">
      <c r="B4497" s="130" t="n">
        <v>2027</v>
      </c>
      <c r="C4497" s="131" t="s">
        <v>250</v>
      </c>
      <c r="D4497" s="132" t="n">
        <v>46602</v>
      </c>
      <c r="E4497" s="131" t="s">
        <v>56</v>
      </c>
      <c r="F4497" s="133" t="s">
        <v>19</v>
      </c>
      <c r="G4497" s="134" t="n">
        <f aca="false">LEN('Saisie programme'!$E$197)+SUMIFS('Vols additionnels'!$E$7:$E$66,'Vols additionnels'!$C$7:$C$66,$E4497,'Vols additionnels'!$D$7:$D$66,$F4497,'Vols additionnels'!$B$7:$B$66,$D4497)</f>
        <v>0</v>
      </c>
      <c r="H4497" s="135" t="n">
        <f aca="false">$G4497*'Analyse capacite'!$F$8</f>
        <v>0</v>
      </c>
      <c r="I4497" s="135" t="n">
        <f aca="false">$G4497*'Analyse capacite'!$C$8</f>
        <v>0</v>
      </c>
      <c r="J4497" s="135" t="n">
        <f aca="false">$G4497*'Analyse capacite'!$D$8</f>
        <v>0</v>
      </c>
      <c r="K4497" s="135" t="n">
        <f aca="false">$G4497*'Analyse capacite'!$E$8</f>
        <v>0</v>
      </c>
    </row>
    <row r="4498" customFormat="false" ht="15" hidden="false" customHeight="false" outlineLevel="0" collapsed="false">
      <c r="B4498" s="130" t="n">
        <v>2027</v>
      </c>
      <c r="C4498" s="131" t="s">
        <v>250</v>
      </c>
      <c r="D4498" s="132" t="n">
        <v>46602</v>
      </c>
      <c r="E4498" s="131" t="s">
        <v>56</v>
      </c>
      <c r="F4498" s="133" t="s">
        <v>24</v>
      </c>
      <c r="G4498" s="134" t="n">
        <f aca="false">LEN('Saisie programme'!$E$198)+SUMIFS('Vols additionnels'!$E$7:$E$66,'Vols additionnels'!$C$7:$C$66,$E4498,'Vols additionnels'!$D$7:$D$66,$F4498,'Vols additionnels'!$B$7:$B$66,$D4498)</f>
        <v>1</v>
      </c>
      <c r="H4498" s="135" t="n">
        <f aca="false">$G4498*'Analyse capacite'!$F$9</f>
        <v>174</v>
      </c>
      <c r="I4498" s="135" t="n">
        <f aca="false">$G4498*'Analyse capacite'!$C$9</f>
        <v>0</v>
      </c>
      <c r="J4498" s="135" t="n">
        <f aca="false">$G4498*'Analyse capacite'!$D$9</f>
        <v>12</v>
      </c>
      <c r="K4498" s="135" t="n">
        <f aca="false">$G4498*'Analyse capacite'!$E$9</f>
        <v>162</v>
      </c>
    </row>
    <row r="4499" customFormat="false" ht="15" hidden="false" customHeight="false" outlineLevel="0" collapsed="false">
      <c r="B4499" s="130" t="n">
        <v>2027</v>
      </c>
      <c r="C4499" s="131" t="s">
        <v>250</v>
      </c>
      <c r="D4499" s="132" t="n">
        <v>46602</v>
      </c>
      <c r="E4499" s="131" t="s">
        <v>59</v>
      </c>
      <c r="F4499" s="133" t="s">
        <v>11</v>
      </c>
      <c r="G4499" s="134" t="n">
        <f aca="false">LEN('Saisie programme'!$E$199)+SUMIFS('Vols additionnels'!$E$7:$E$66,'Vols additionnels'!$C$7:$C$66,$E4499,'Vols additionnels'!$D$7:$D$66,$F4499,'Vols additionnels'!$B$7:$B$66,$D4499)</f>
        <v>0</v>
      </c>
      <c r="H4499" s="135" t="n">
        <f aca="false">$G4499*'Analyse capacite'!$F$7</f>
        <v>0</v>
      </c>
      <c r="I4499" s="135" t="n">
        <f aca="false">$G4499*'Analyse capacite'!$C$7</f>
        <v>0</v>
      </c>
      <c r="J4499" s="135" t="n">
        <f aca="false">$G4499*'Analyse capacite'!$D$7</f>
        <v>0</v>
      </c>
      <c r="K4499" s="135" t="n">
        <f aca="false">$G4499*'Analyse capacite'!$E$7</f>
        <v>0</v>
      </c>
    </row>
    <row r="4500" customFormat="false" ht="15" hidden="false" customHeight="false" outlineLevel="0" collapsed="false">
      <c r="B4500" s="130" t="n">
        <v>2027</v>
      </c>
      <c r="C4500" s="131" t="s">
        <v>250</v>
      </c>
      <c r="D4500" s="132" t="n">
        <v>46602</v>
      </c>
      <c r="E4500" s="131" t="s">
        <v>59</v>
      </c>
      <c r="F4500" s="133" t="s">
        <v>19</v>
      </c>
      <c r="G4500" s="134" t="n">
        <f aca="false">LEN('Saisie programme'!$E$200)+SUMIFS('Vols additionnels'!$E$7:$E$66,'Vols additionnels'!$C$7:$C$66,$E4500,'Vols additionnels'!$D$7:$D$66,$F4500,'Vols additionnels'!$B$7:$B$66,$D4500)</f>
        <v>0</v>
      </c>
      <c r="H4500" s="135" t="n">
        <f aca="false">$G4500*'Analyse capacite'!$F$8</f>
        <v>0</v>
      </c>
      <c r="I4500" s="135" t="n">
        <f aca="false">$G4500*'Analyse capacite'!$C$8</f>
        <v>0</v>
      </c>
      <c r="J4500" s="135" t="n">
        <f aca="false">$G4500*'Analyse capacite'!$D$8</f>
        <v>0</v>
      </c>
      <c r="K4500" s="135" t="n">
        <f aca="false">$G4500*'Analyse capacite'!$E$8</f>
        <v>0</v>
      </c>
    </row>
    <row r="4501" customFormat="false" ht="15" hidden="false" customHeight="false" outlineLevel="0" collapsed="false">
      <c r="B4501" s="130" t="n">
        <v>2027</v>
      </c>
      <c r="C4501" s="131" t="s">
        <v>250</v>
      </c>
      <c r="D4501" s="132" t="n">
        <v>46602</v>
      </c>
      <c r="E4501" s="131" t="s">
        <v>59</v>
      </c>
      <c r="F4501" s="133" t="s">
        <v>24</v>
      </c>
      <c r="G4501" s="134" t="n">
        <f aca="false">LEN('Saisie programme'!$E$201)+SUMIFS('Vols additionnels'!$E$7:$E$66,'Vols additionnels'!$C$7:$C$66,$E4501,'Vols additionnels'!$D$7:$D$66,$F4501,'Vols additionnels'!$B$7:$B$66,$D4501)</f>
        <v>1</v>
      </c>
      <c r="H4501" s="135" t="n">
        <f aca="false">$G4501*'Analyse capacite'!$F$9</f>
        <v>174</v>
      </c>
      <c r="I4501" s="135" t="n">
        <f aca="false">$G4501*'Analyse capacite'!$C$9</f>
        <v>0</v>
      </c>
      <c r="J4501" s="135" t="n">
        <f aca="false">$G4501*'Analyse capacite'!$D$9</f>
        <v>12</v>
      </c>
      <c r="K4501" s="135" t="n">
        <f aca="false">$G4501*'Analyse capacite'!$E$9</f>
        <v>162</v>
      </c>
    </row>
    <row r="4502" customFormat="false" ht="15" hidden="false" customHeight="false" outlineLevel="0" collapsed="false">
      <c r="B4502" s="130" t="n">
        <v>2027</v>
      </c>
      <c r="C4502" s="131" t="s">
        <v>250</v>
      </c>
      <c r="D4502" s="132" t="n">
        <v>46602</v>
      </c>
      <c r="E4502" s="131" t="s">
        <v>62</v>
      </c>
      <c r="F4502" s="133" t="s">
        <v>11</v>
      </c>
      <c r="G4502" s="134" t="n">
        <f aca="false">LEN('Saisie programme'!$E$202)+SUMIFS('Vols additionnels'!$E$7:$E$66,'Vols additionnels'!$C$7:$C$66,$E4502,'Vols additionnels'!$D$7:$D$66,$F4502,'Vols additionnels'!$B$7:$B$66,$D4502)</f>
        <v>0</v>
      </c>
      <c r="H4502" s="135" t="n">
        <f aca="false">$G4502*'Analyse capacite'!$F$7</f>
        <v>0</v>
      </c>
      <c r="I4502" s="135" t="n">
        <f aca="false">$G4502*'Analyse capacite'!$C$7</f>
        <v>0</v>
      </c>
      <c r="J4502" s="135" t="n">
        <f aca="false">$G4502*'Analyse capacite'!$D$7</f>
        <v>0</v>
      </c>
      <c r="K4502" s="135" t="n">
        <f aca="false">$G4502*'Analyse capacite'!$E$7</f>
        <v>0</v>
      </c>
    </row>
    <row r="4503" customFormat="false" ht="15" hidden="false" customHeight="false" outlineLevel="0" collapsed="false">
      <c r="B4503" s="130" t="n">
        <v>2027</v>
      </c>
      <c r="C4503" s="131" t="s">
        <v>250</v>
      </c>
      <c r="D4503" s="132" t="n">
        <v>46602</v>
      </c>
      <c r="E4503" s="131" t="s">
        <v>62</v>
      </c>
      <c r="F4503" s="133" t="s">
        <v>19</v>
      </c>
      <c r="G4503" s="134" t="n">
        <f aca="false">LEN('Saisie programme'!$E$203)+SUMIFS('Vols additionnels'!$E$7:$E$66,'Vols additionnels'!$C$7:$C$66,$E4503,'Vols additionnels'!$D$7:$D$66,$F4503,'Vols additionnels'!$B$7:$B$66,$D4503)</f>
        <v>0</v>
      </c>
      <c r="H4503" s="135" t="n">
        <f aca="false">$G4503*'Analyse capacite'!$F$8</f>
        <v>0</v>
      </c>
      <c r="I4503" s="135" t="n">
        <f aca="false">$G4503*'Analyse capacite'!$C$8</f>
        <v>0</v>
      </c>
      <c r="J4503" s="135" t="n">
        <f aca="false">$G4503*'Analyse capacite'!$D$8</f>
        <v>0</v>
      </c>
      <c r="K4503" s="135" t="n">
        <f aca="false">$G4503*'Analyse capacite'!$E$8</f>
        <v>0</v>
      </c>
    </row>
    <row r="4504" customFormat="false" ht="15" hidden="false" customHeight="false" outlineLevel="0" collapsed="false">
      <c r="B4504" s="130" t="n">
        <v>2027</v>
      </c>
      <c r="C4504" s="131" t="s">
        <v>250</v>
      </c>
      <c r="D4504" s="132" t="n">
        <v>46602</v>
      </c>
      <c r="E4504" s="131" t="s">
        <v>62</v>
      </c>
      <c r="F4504" s="133" t="s">
        <v>24</v>
      </c>
      <c r="G4504" s="134" t="n">
        <f aca="false">LEN('Saisie programme'!$E$204)+SUMIFS('Vols additionnels'!$E$7:$E$66,'Vols additionnels'!$C$7:$C$66,$E4504,'Vols additionnels'!$D$7:$D$66,$F4504,'Vols additionnels'!$B$7:$B$66,$D4504)</f>
        <v>0</v>
      </c>
      <c r="H4504" s="135" t="n">
        <f aca="false">$G4504*'Analyse capacite'!$F$9</f>
        <v>0</v>
      </c>
      <c r="I4504" s="135" t="n">
        <f aca="false">$G4504*'Analyse capacite'!$C$9</f>
        <v>0</v>
      </c>
      <c r="J4504" s="135" t="n">
        <f aca="false">$G4504*'Analyse capacite'!$D$9</f>
        <v>0</v>
      </c>
      <c r="K4504" s="135" t="n">
        <f aca="false">$G4504*'Analyse capacite'!$E$9</f>
        <v>0</v>
      </c>
    </row>
    <row r="4505" customFormat="false" ht="15" hidden="false" customHeight="false" outlineLevel="0" collapsed="false">
      <c r="B4505" s="130" t="n">
        <v>2027</v>
      </c>
      <c r="C4505" s="131" t="s">
        <v>250</v>
      </c>
      <c r="D4505" s="132" t="n">
        <v>46603</v>
      </c>
      <c r="E4505" s="131" t="s">
        <v>12</v>
      </c>
      <c r="F4505" s="133" t="s">
        <v>11</v>
      </c>
      <c r="G4505" s="134" t="n">
        <f aca="false">LEN('Saisie programme'!$F$169)+SUMIFS('Vols additionnels'!$E$7:$E$66,'Vols additionnels'!$C$7:$C$66,$E4505,'Vols additionnels'!$D$7:$D$66,$F4505,'Vols additionnels'!$B$7:$B$66,$D4505)</f>
        <v>1</v>
      </c>
      <c r="H4505" s="135" t="n">
        <f aca="false">$G4505*'Analyse capacite'!$F$7</f>
        <v>438</v>
      </c>
      <c r="I4505" s="135" t="n">
        <f aca="false">$G4505*'Analyse capacite'!$C$7</f>
        <v>14</v>
      </c>
      <c r="J4505" s="135" t="n">
        <f aca="false">$G4505*'Analyse capacite'!$D$7</f>
        <v>40</v>
      </c>
      <c r="K4505" s="135" t="n">
        <f aca="false">$G4505*'Analyse capacite'!$E$7</f>
        <v>384</v>
      </c>
    </row>
    <row r="4506" customFormat="false" ht="15" hidden="false" customHeight="false" outlineLevel="0" collapsed="false">
      <c r="B4506" s="130" t="n">
        <v>2027</v>
      </c>
      <c r="C4506" s="131" t="s">
        <v>250</v>
      </c>
      <c r="D4506" s="132" t="n">
        <v>46603</v>
      </c>
      <c r="E4506" s="131" t="s">
        <v>12</v>
      </c>
      <c r="F4506" s="133" t="s">
        <v>19</v>
      </c>
      <c r="G4506" s="134" t="n">
        <f aca="false">LEN('Saisie programme'!$F$170)+SUMIFS('Vols additionnels'!$E$7:$E$66,'Vols additionnels'!$C$7:$C$66,$E4506,'Vols additionnels'!$D$7:$D$66,$F4506,'Vols additionnels'!$B$7:$B$66,$D4506)</f>
        <v>1</v>
      </c>
      <c r="H4506" s="135" t="n">
        <f aca="false">$G4506*'Analyse capacite'!$F$8</f>
        <v>262</v>
      </c>
      <c r="I4506" s="135" t="n">
        <f aca="false">$G4506*'Analyse capacite'!$C$8</f>
        <v>18</v>
      </c>
      <c r="J4506" s="135" t="n">
        <f aca="false">$G4506*'Analyse capacite'!$D$8</f>
        <v>0</v>
      </c>
      <c r="K4506" s="135" t="n">
        <f aca="false">$G4506*'Analyse capacite'!$E$8</f>
        <v>244</v>
      </c>
    </row>
    <row r="4507" customFormat="false" ht="15" hidden="false" customHeight="false" outlineLevel="0" collapsed="false">
      <c r="B4507" s="130" t="n">
        <v>2027</v>
      </c>
      <c r="C4507" s="131" t="s">
        <v>250</v>
      </c>
      <c r="D4507" s="132" t="n">
        <v>46603</v>
      </c>
      <c r="E4507" s="131" t="s">
        <v>12</v>
      </c>
      <c r="F4507" s="133" t="s">
        <v>24</v>
      </c>
      <c r="G4507" s="134" t="n">
        <f aca="false">LEN('Saisie programme'!$F$171)+SUMIFS('Vols additionnels'!$E$7:$E$66,'Vols additionnels'!$C$7:$C$66,$E4507,'Vols additionnels'!$D$7:$D$66,$F4507,'Vols additionnels'!$B$7:$B$66,$D4507)</f>
        <v>0</v>
      </c>
      <c r="H4507" s="135" t="n">
        <f aca="false">$G4507*'Analyse capacite'!$F$9</f>
        <v>0</v>
      </c>
      <c r="I4507" s="135" t="n">
        <f aca="false">$G4507*'Analyse capacite'!$C$9</f>
        <v>0</v>
      </c>
      <c r="J4507" s="135" t="n">
        <f aca="false">$G4507*'Analyse capacite'!$D$9</f>
        <v>0</v>
      </c>
      <c r="K4507" s="135" t="n">
        <f aca="false">$G4507*'Analyse capacite'!$E$9</f>
        <v>0</v>
      </c>
    </row>
    <row r="4508" customFormat="false" ht="15" hidden="false" customHeight="false" outlineLevel="0" collapsed="false">
      <c r="B4508" s="130" t="n">
        <v>2027</v>
      </c>
      <c r="C4508" s="131" t="s">
        <v>250</v>
      </c>
      <c r="D4508" s="132" t="n">
        <v>46603</v>
      </c>
      <c r="E4508" s="131" t="s">
        <v>20</v>
      </c>
      <c r="F4508" s="133" t="s">
        <v>11</v>
      </c>
      <c r="G4508" s="134" t="n">
        <f aca="false">LEN('Saisie programme'!$F$172)+SUMIFS('Vols additionnels'!$E$7:$E$66,'Vols additionnels'!$C$7:$C$66,$E4508,'Vols additionnels'!$D$7:$D$66,$F4508,'Vols additionnels'!$B$7:$B$66,$D4508)</f>
        <v>0</v>
      </c>
      <c r="H4508" s="135" t="n">
        <f aca="false">$G4508*'Analyse capacite'!$F$7</f>
        <v>0</v>
      </c>
      <c r="I4508" s="135" t="n">
        <f aca="false">$G4508*'Analyse capacite'!$C$7</f>
        <v>0</v>
      </c>
      <c r="J4508" s="135" t="n">
        <f aca="false">$G4508*'Analyse capacite'!$D$7</f>
        <v>0</v>
      </c>
      <c r="K4508" s="135" t="n">
        <f aca="false">$G4508*'Analyse capacite'!$E$7</f>
        <v>0</v>
      </c>
    </row>
    <row r="4509" customFormat="false" ht="15" hidden="false" customHeight="false" outlineLevel="0" collapsed="false">
      <c r="B4509" s="130" t="n">
        <v>2027</v>
      </c>
      <c r="C4509" s="131" t="s">
        <v>250</v>
      </c>
      <c r="D4509" s="132" t="n">
        <v>46603</v>
      </c>
      <c r="E4509" s="131" t="s">
        <v>20</v>
      </c>
      <c r="F4509" s="133" t="s">
        <v>19</v>
      </c>
      <c r="G4509" s="134" t="n">
        <f aca="false">LEN('Saisie programme'!$F$173)+SUMIFS('Vols additionnels'!$E$7:$E$66,'Vols additionnels'!$C$7:$C$66,$E4509,'Vols additionnels'!$D$7:$D$66,$F4509,'Vols additionnels'!$B$7:$B$66,$D4509)</f>
        <v>0</v>
      </c>
      <c r="H4509" s="135" t="n">
        <f aca="false">$G4509*'Analyse capacite'!$F$8</f>
        <v>0</v>
      </c>
      <c r="I4509" s="135" t="n">
        <f aca="false">$G4509*'Analyse capacite'!$C$8</f>
        <v>0</v>
      </c>
      <c r="J4509" s="135" t="n">
        <f aca="false">$G4509*'Analyse capacite'!$D$8</f>
        <v>0</v>
      </c>
      <c r="K4509" s="135" t="n">
        <f aca="false">$G4509*'Analyse capacite'!$E$8</f>
        <v>0</v>
      </c>
    </row>
    <row r="4510" customFormat="false" ht="15" hidden="false" customHeight="false" outlineLevel="0" collapsed="false">
      <c r="B4510" s="130" t="n">
        <v>2027</v>
      </c>
      <c r="C4510" s="131" t="s">
        <v>250</v>
      </c>
      <c r="D4510" s="132" t="n">
        <v>46603</v>
      </c>
      <c r="E4510" s="131" t="s">
        <v>20</v>
      </c>
      <c r="F4510" s="133" t="s">
        <v>24</v>
      </c>
      <c r="G4510" s="134" t="n">
        <f aca="false">LEN('Saisie programme'!$F$174)+SUMIFS('Vols additionnels'!$E$7:$E$66,'Vols additionnels'!$C$7:$C$66,$E4510,'Vols additionnels'!$D$7:$D$66,$F4510,'Vols additionnels'!$B$7:$B$66,$D4510)</f>
        <v>0</v>
      </c>
      <c r="H4510" s="135" t="n">
        <f aca="false">$G4510*'Analyse capacite'!$F$9</f>
        <v>0</v>
      </c>
      <c r="I4510" s="135" t="n">
        <f aca="false">$G4510*'Analyse capacite'!$C$9</f>
        <v>0</v>
      </c>
      <c r="J4510" s="135" t="n">
        <f aca="false">$G4510*'Analyse capacite'!$D$9</f>
        <v>0</v>
      </c>
      <c r="K4510" s="135" t="n">
        <f aca="false">$G4510*'Analyse capacite'!$E$9</f>
        <v>0</v>
      </c>
    </row>
    <row r="4511" customFormat="false" ht="15" hidden="false" customHeight="false" outlineLevel="0" collapsed="false">
      <c r="B4511" s="130" t="n">
        <v>2027</v>
      </c>
      <c r="C4511" s="131" t="s">
        <v>250</v>
      </c>
      <c r="D4511" s="132" t="n">
        <v>46603</v>
      </c>
      <c r="E4511" s="131" t="s">
        <v>25</v>
      </c>
      <c r="F4511" s="133" t="s">
        <v>11</v>
      </c>
      <c r="G4511" s="134" t="n">
        <f aca="false">LEN('Saisie programme'!$F$175)+SUMIFS('Vols additionnels'!$E$7:$E$66,'Vols additionnels'!$C$7:$C$66,$E4511,'Vols additionnels'!$D$7:$D$66,$F4511,'Vols additionnels'!$B$7:$B$66,$D4511)</f>
        <v>0</v>
      </c>
      <c r="H4511" s="135" t="n">
        <f aca="false">$G4511*'Analyse capacite'!$F$7</f>
        <v>0</v>
      </c>
      <c r="I4511" s="135" t="n">
        <f aca="false">$G4511*'Analyse capacite'!$C$7</f>
        <v>0</v>
      </c>
      <c r="J4511" s="135" t="n">
        <f aca="false">$G4511*'Analyse capacite'!$D$7</f>
        <v>0</v>
      </c>
      <c r="K4511" s="135" t="n">
        <f aca="false">$G4511*'Analyse capacite'!$E$7</f>
        <v>0</v>
      </c>
    </row>
    <row r="4512" customFormat="false" ht="15" hidden="false" customHeight="false" outlineLevel="0" collapsed="false">
      <c r="B4512" s="130" t="n">
        <v>2027</v>
      </c>
      <c r="C4512" s="131" t="s">
        <v>250</v>
      </c>
      <c r="D4512" s="132" t="n">
        <v>46603</v>
      </c>
      <c r="E4512" s="131" t="s">
        <v>25</v>
      </c>
      <c r="F4512" s="133" t="s">
        <v>19</v>
      </c>
      <c r="G4512" s="134" t="n">
        <f aca="false">LEN('Saisie programme'!$F$176)+SUMIFS('Vols additionnels'!$E$7:$E$66,'Vols additionnels'!$C$7:$C$66,$E4512,'Vols additionnels'!$D$7:$D$66,$F4512,'Vols additionnels'!$B$7:$B$66,$D4512)</f>
        <v>1</v>
      </c>
      <c r="H4512" s="135" t="n">
        <f aca="false">$G4512*'Analyse capacite'!$F$8</f>
        <v>262</v>
      </c>
      <c r="I4512" s="135" t="n">
        <f aca="false">$G4512*'Analyse capacite'!$C$8</f>
        <v>18</v>
      </c>
      <c r="J4512" s="135" t="n">
        <f aca="false">$G4512*'Analyse capacite'!$D$8</f>
        <v>0</v>
      </c>
      <c r="K4512" s="135" t="n">
        <f aca="false">$G4512*'Analyse capacite'!$E$8</f>
        <v>244</v>
      </c>
    </row>
    <row r="4513" customFormat="false" ht="15" hidden="false" customHeight="false" outlineLevel="0" collapsed="false">
      <c r="B4513" s="130" t="n">
        <v>2027</v>
      </c>
      <c r="C4513" s="131" t="s">
        <v>250</v>
      </c>
      <c r="D4513" s="132" t="n">
        <v>46603</v>
      </c>
      <c r="E4513" s="131" t="s">
        <v>25</v>
      </c>
      <c r="F4513" s="133" t="s">
        <v>24</v>
      </c>
      <c r="G4513" s="134" t="n">
        <f aca="false">LEN('Saisie programme'!$F$177)+SUMIFS('Vols additionnels'!$E$7:$E$66,'Vols additionnels'!$C$7:$C$66,$E4513,'Vols additionnels'!$D$7:$D$66,$F4513,'Vols additionnels'!$B$7:$B$66,$D4513)</f>
        <v>0</v>
      </c>
      <c r="H4513" s="135" t="n">
        <f aca="false">$G4513*'Analyse capacite'!$F$9</f>
        <v>0</v>
      </c>
      <c r="I4513" s="135" t="n">
        <f aca="false">$G4513*'Analyse capacite'!$C$9</f>
        <v>0</v>
      </c>
      <c r="J4513" s="135" t="n">
        <f aca="false">$G4513*'Analyse capacite'!$D$9</f>
        <v>0</v>
      </c>
      <c r="K4513" s="135" t="n">
        <f aca="false">$G4513*'Analyse capacite'!$E$9</f>
        <v>0</v>
      </c>
    </row>
    <row r="4514" customFormat="false" ht="15" hidden="false" customHeight="false" outlineLevel="0" collapsed="false">
      <c r="B4514" s="130" t="n">
        <v>2027</v>
      </c>
      <c r="C4514" s="131" t="s">
        <v>250</v>
      </c>
      <c r="D4514" s="132" t="n">
        <v>46603</v>
      </c>
      <c r="E4514" s="131" t="s">
        <v>36</v>
      </c>
      <c r="F4514" s="133" t="s">
        <v>11</v>
      </c>
      <c r="G4514" s="134" t="n">
        <f aca="false">LEN('Saisie programme'!$F$178)+SUMIFS('Vols additionnels'!$E$7:$E$66,'Vols additionnels'!$C$7:$C$66,$E4514,'Vols additionnels'!$D$7:$D$66,$F4514,'Vols additionnels'!$B$7:$B$66,$D4514)</f>
        <v>0</v>
      </c>
      <c r="H4514" s="135" t="n">
        <f aca="false">$G4514*'Analyse capacite'!$F$7</f>
        <v>0</v>
      </c>
      <c r="I4514" s="135" t="n">
        <f aca="false">$G4514*'Analyse capacite'!$C$7</f>
        <v>0</v>
      </c>
      <c r="J4514" s="135" t="n">
        <f aca="false">$G4514*'Analyse capacite'!$D$7</f>
        <v>0</v>
      </c>
      <c r="K4514" s="135" t="n">
        <f aca="false">$G4514*'Analyse capacite'!$E$7</f>
        <v>0</v>
      </c>
    </row>
    <row r="4515" customFormat="false" ht="15" hidden="false" customHeight="false" outlineLevel="0" collapsed="false">
      <c r="B4515" s="130" t="n">
        <v>2027</v>
      </c>
      <c r="C4515" s="131" t="s">
        <v>250</v>
      </c>
      <c r="D4515" s="132" t="n">
        <v>46603</v>
      </c>
      <c r="E4515" s="131" t="s">
        <v>36</v>
      </c>
      <c r="F4515" s="133" t="s">
        <v>19</v>
      </c>
      <c r="G4515" s="134" t="n">
        <f aca="false">LEN('Saisie programme'!$F$179)+SUMIFS('Vols additionnels'!$E$7:$E$66,'Vols additionnels'!$C$7:$C$66,$E4515,'Vols additionnels'!$D$7:$D$66,$F4515,'Vols additionnels'!$B$7:$B$66,$D4515)</f>
        <v>1</v>
      </c>
      <c r="H4515" s="135" t="n">
        <f aca="false">$G4515*'Analyse capacite'!$F$8</f>
        <v>262</v>
      </c>
      <c r="I4515" s="135" t="n">
        <f aca="false">$G4515*'Analyse capacite'!$C$8</f>
        <v>18</v>
      </c>
      <c r="J4515" s="135" t="n">
        <f aca="false">$G4515*'Analyse capacite'!$D$8</f>
        <v>0</v>
      </c>
      <c r="K4515" s="135" t="n">
        <f aca="false">$G4515*'Analyse capacite'!$E$8</f>
        <v>244</v>
      </c>
    </row>
    <row r="4516" customFormat="false" ht="15" hidden="false" customHeight="false" outlineLevel="0" collapsed="false">
      <c r="B4516" s="130" t="n">
        <v>2027</v>
      </c>
      <c r="C4516" s="131" t="s">
        <v>250</v>
      </c>
      <c r="D4516" s="132" t="n">
        <v>46603</v>
      </c>
      <c r="E4516" s="131" t="s">
        <v>36</v>
      </c>
      <c r="F4516" s="133" t="s">
        <v>24</v>
      </c>
      <c r="G4516" s="134" t="n">
        <f aca="false">LEN('Saisie programme'!$F$180)+SUMIFS('Vols additionnels'!$E$7:$E$66,'Vols additionnels'!$C$7:$C$66,$E4516,'Vols additionnels'!$D$7:$D$66,$F4516,'Vols additionnels'!$B$7:$B$66,$D4516)</f>
        <v>1</v>
      </c>
      <c r="H4516" s="135" t="n">
        <f aca="false">$G4516*'Analyse capacite'!$F$9</f>
        <v>174</v>
      </c>
      <c r="I4516" s="135" t="n">
        <f aca="false">$G4516*'Analyse capacite'!$C$9</f>
        <v>0</v>
      </c>
      <c r="J4516" s="135" t="n">
        <f aca="false">$G4516*'Analyse capacite'!$D$9</f>
        <v>12</v>
      </c>
      <c r="K4516" s="135" t="n">
        <f aca="false">$G4516*'Analyse capacite'!$E$9</f>
        <v>162</v>
      </c>
    </row>
    <row r="4517" customFormat="false" ht="15" hidden="false" customHeight="false" outlineLevel="0" collapsed="false">
      <c r="B4517" s="130" t="n">
        <v>2027</v>
      </c>
      <c r="C4517" s="131" t="s">
        <v>250</v>
      </c>
      <c r="D4517" s="132" t="n">
        <v>46603</v>
      </c>
      <c r="E4517" s="131" t="s">
        <v>40</v>
      </c>
      <c r="F4517" s="133" t="s">
        <v>11</v>
      </c>
      <c r="G4517" s="134" t="n">
        <f aca="false">LEN('Saisie programme'!$F$181)+SUMIFS('Vols additionnels'!$E$7:$E$66,'Vols additionnels'!$C$7:$C$66,$E4517,'Vols additionnels'!$D$7:$D$66,$F4517,'Vols additionnels'!$B$7:$B$66,$D4517)</f>
        <v>0</v>
      </c>
      <c r="H4517" s="135" t="n">
        <f aca="false">$G4517*'Analyse capacite'!$F$7</f>
        <v>0</v>
      </c>
      <c r="I4517" s="135" t="n">
        <f aca="false">$G4517*'Analyse capacite'!$C$7</f>
        <v>0</v>
      </c>
      <c r="J4517" s="135" t="n">
        <f aca="false">$G4517*'Analyse capacite'!$D$7</f>
        <v>0</v>
      </c>
      <c r="K4517" s="135" t="n">
        <f aca="false">$G4517*'Analyse capacite'!$E$7</f>
        <v>0</v>
      </c>
    </row>
    <row r="4518" customFormat="false" ht="15" hidden="false" customHeight="false" outlineLevel="0" collapsed="false">
      <c r="B4518" s="130" t="n">
        <v>2027</v>
      </c>
      <c r="C4518" s="131" t="s">
        <v>250</v>
      </c>
      <c r="D4518" s="132" t="n">
        <v>46603</v>
      </c>
      <c r="E4518" s="131" t="s">
        <v>40</v>
      </c>
      <c r="F4518" s="133" t="s">
        <v>19</v>
      </c>
      <c r="G4518" s="134" t="n">
        <f aca="false">LEN('Saisie programme'!$F$182)+SUMIFS('Vols additionnels'!$E$7:$E$66,'Vols additionnels'!$C$7:$C$66,$E4518,'Vols additionnels'!$D$7:$D$66,$F4518,'Vols additionnels'!$B$7:$B$66,$D4518)</f>
        <v>0</v>
      </c>
      <c r="H4518" s="135" t="n">
        <f aca="false">$G4518*'Analyse capacite'!$F$8</f>
        <v>0</v>
      </c>
      <c r="I4518" s="135" t="n">
        <f aca="false">$G4518*'Analyse capacite'!$C$8</f>
        <v>0</v>
      </c>
      <c r="J4518" s="135" t="n">
        <f aca="false">$G4518*'Analyse capacite'!$D$8</f>
        <v>0</v>
      </c>
      <c r="K4518" s="135" t="n">
        <f aca="false">$G4518*'Analyse capacite'!$E$8</f>
        <v>0</v>
      </c>
    </row>
    <row r="4519" customFormat="false" ht="15" hidden="false" customHeight="false" outlineLevel="0" collapsed="false">
      <c r="B4519" s="130" t="n">
        <v>2027</v>
      </c>
      <c r="C4519" s="131" t="s">
        <v>250</v>
      </c>
      <c r="D4519" s="132" t="n">
        <v>46603</v>
      </c>
      <c r="E4519" s="131" t="s">
        <v>40</v>
      </c>
      <c r="F4519" s="133" t="s">
        <v>24</v>
      </c>
      <c r="G4519" s="134" t="n">
        <f aca="false">LEN('Saisie programme'!$F$183)+SUMIFS('Vols additionnels'!$E$7:$E$66,'Vols additionnels'!$C$7:$C$66,$E4519,'Vols additionnels'!$D$7:$D$66,$F4519,'Vols additionnels'!$B$7:$B$66,$D4519)</f>
        <v>1</v>
      </c>
      <c r="H4519" s="135" t="n">
        <f aca="false">$G4519*'Analyse capacite'!$F$9</f>
        <v>174</v>
      </c>
      <c r="I4519" s="135" t="n">
        <f aca="false">$G4519*'Analyse capacite'!$C$9</f>
        <v>0</v>
      </c>
      <c r="J4519" s="135" t="n">
        <f aca="false">$G4519*'Analyse capacite'!$D$9</f>
        <v>12</v>
      </c>
      <c r="K4519" s="135" t="n">
        <f aca="false">$G4519*'Analyse capacite'!$E$9</f>
        <v>162</v>
      </c>
    </row>
    <row r="4520" customFormat="false" ht="15" hidden="false" customHeight="false" outlineLevel="0" collapsed="false">
      <c r="B4520" s="130" t="n">
        <v>2027</v>
      </c>
      <c r="C4520" s="131" t="s">
        <v>250</v>
      </c>
      <c r="D4520" s="132" t="n">
        <v>46603</v>
      </c>
      <c r="E4520" s="131" t="s">
        <v>14</v>
      </c>
      <c r="F4520" s="133" t="s">
        <v>11</v>
      </c>
      <c r="G4520" s="134" t="n">
        <f aca="false">LEN('Saisie programme'!$F$184)+SUMIFS('Vols additionnels'!$E$7:$E$66,'Vols additionnels'!$C$7:$C$66,$E4520,'Vols additionnels'!$D$7:$D$66,$F4520,'Vols additionnels'!$B$7:$B$66,$D4520)</f>
        <v>0</v>
      </c>
      <c r="H4520" s="135" t="n">
        <f aca="false">$G4520*'Analyse capacite'!$F$7</f>
        <v>0</v>
      </c>
      <c r="I4520" s="135" t="n">
        <f aca="false">$G4520*'Analyse capacite'!$C$7</f>
        <v>0</v>
      </c>
      <c r="J4520" s="135" t="n">
        <f aca="false">$G4520*'Analyse capacite'!$D$7</f>
        <v>0</v>
      </c>
      <c r="K4520" s="135" t="n">
        <f aca="false">$G4520*'Analyse capacite'!$E$7</f>
        <v>0</v>
      </c>
    </row>
    <row r="4521" customFormat="false" ht="15" hidden="false" customHeight="false" outlineLevel="0" collapsed="false">
      <c r="B4521" s="130" t="n">
        <v>2027</v>
      </c>
      <c r="C4521" s="131" t="s">
        <v>250</v>
      </c>
      <c r="D4521" s="132" t="n">
        <v>46603</v>
      </c>
      <c r="E4521" s="131" t="s">
        <v>14</v>
      </c>
      <c r="F4521" s="133" t="s">
        <v>19</v>
      </c>
      <c r="G4521" s="134" t="n">
        <f aca="false">LEN('Saisie programme'!$F$185)+SUMIFS('Vols additionnels'!$E$7:$E$66,'Vols additionnels'!$C$7:$C$66,$E4521,'Vols additionnels'!$D$7:$D$66,$F4521,'Vols additionnels'!$B$7:$B$66,$D4521)</f>
        <v>0</v>
      </c>
      <c r="H4521" s="135" t="n">
        <f aca="false">$G4521*'Analyse capacite'!$F$8</f>
        <v>0</v>
      </c>
      <c r="I4521" s="135" t="n">
        <f aca="false">$G4521*'Analyse capacite'!$C$8</f>
        <v>0</v>
      </c>
      <c r="J4521" s="135" t="n">
        <f aca="false">$G4521*'Analyse capacite'!$D$8</f>
        <v>0</v>
      </c>
      <c r="K4521" s="135" t="n">
        <f aca="false">$G4521*'Analyse capacite'!$E$8</f>
        <v>0</v>
      </c>
    </row>
    <row r="4522" customFormat="false" ht="15" hidden="false" customHeight="false" outlineLevel="0" collapsed="false">
      <c r="B4522" s="130" t="n">
        <v>2027</v>
      </c>
      <c r="C4522" s="131" t="s">
        <v>250</v>
      </c>
      <c r="D4522" s="132" t="n">
        <v>46603</v>
      </c>
      <c r="E4522" s="131" t="s">
        <v>14</v>
      </c>
      <c r="F4522" s="133" t="s">
        <v>24</v>
      </c>
      <c r="G4522" s="134" t="n">
        <f aca="false">LEN('Saisie programme'!$F$186)+SUMIFS('Vols additionnels'!$E$7:$E$66,'Vols additionnels'!$C$7:$C$66,$E4522,'Vols additionnels'!$D$7:$D$66,$F4522,'Vols additionnels'!$B$7:$B$66,$D4522)</f>
        <v>0</v>
      </c>
      <c r="H4522" s="135" t="n">
        <f aca="false">$G4522*'Analyse capacite'!$F$9</f>
        <v>0</v>
      </c>
      <c r="I4522" s="135" t="n">
        <f aca="false">$G4522*'Analyse capacite'!$C$9</f>
        <v>0</v>
      </c>
      <c r="J4522" s="135" t="n">
        <f aca="false">$G4522*'Analyse capacite'!$D$9</f>
        <v>0</v>
      </c>
      <c r="K4522" s="135" t="n">
        <f aca="false">$G4522*'Analyse capacite'!$E$9</f>
        <v>0</v>
      </c>
    </row>
    <row r="4523" customFormat="false" ht="15" hidden="false" customHeight="false" outlineLevel="0" collapsed="false">
      <c r="B4523" s="130" t="n">
        <v>2027</v>
      </c>
      <c r="C4523" s="131" t="s">
        <v>250</v>
      </c>
      <c r="D4523" s="132" t="n">
        <v>46603</v>
      </c>
      <c r="E4523" s="131" t="s">
        <v>46</v>
      </c>
      <c r="F4523" s="133" t="s">
        <v>11</v>
      </c>
      <c r="G4523" s="134" t="n">
        <f aca="false">LEN('Saisie programme'!$F$187)+SUMIFS('Vols additionnels'!$E$7:$E$66,'Vols additionnels'!$C$7:$C$66,$E4523,'Vols additionnels'!$D$7:$D$66,$F4523,'Vols additionnels'!$B$7:$B$66,$D4523)</f>
        <v>0</v>
      </c>
      <c r="H4523" s="135" t="n">
        <f aca="false">$G4523*'Analyse capacite'!$F$7</f>
        <v>0</v>
      </c>
      <c r="I4523" s="135" t="n">
        <f aca="false">$G4523*'Analyse capacite'!$C$7</f>
        <v>0</v>
      </c>
      <c r="J4523" s="135" t="n">
        <f aca="false">$G4523*'Analyse capacite'!$D$7</f>
        <v>0</v>
      </c>
      <c r="K4523" s="135" t="n">
        <f aca="false">$G4523*'Analyse capacite'!$E$7</f>
        <v>0</v>
      </c>
    </row>
    <row r="4524" customFormat="false" ht="15" hidden="false" customHeight="false" outlineLevel="0" collapsed="false">
      <c r="B4524" s="130" t="n">
        <v>2027</v>
      </c>
      <c r="C4524" s="131" t="s">
        <v>250</v>
      </c>
      <c r="D4524" s="132" t="n">
        <v>46603</v>
      </c>
      <c r="E4524" s="131" t="s">
        <v>46</v>
      </c>
      <c r="F4524" s="133" t="s">
        <v>19</v>
      </c>
      <c r="G4524" s="134" t="n">
        <f aca="false">LEN('Saisie programme'!$F$188)+SUMIFS('Vols additionnels'!$E$7:$E$66,'Vols additionnels'!$C$7:$C$66,$E4524,'Vols additionnels'!$D$7:$D$66,$F4524,'Vols additionnels'!$B$7:$B$66,$D4524)</f>
        <v>0</v>
      </c>
      <c r="H4524" s="135" t="n">
        <f aca="false">$G4524*'Analyse capacite'!$F$8</f>
        <v>0</v>
      </c>
      <c r="I4524" s="135" t="n">
        <f aca="false">$G4524*'Analyse capacite'!$C$8</f>
        <v>0</v>
      </c>
      <c r="J4524" s="135" t="n">
        <f aca="false">$G4524*'Analyse capacite'!$D$8</f>
        <v>0</v>
      </c>
      <c r="K4524" s="135" t="n">
        <f aca="false">$G4524*'Analyse capacite'!$E$8</f>
        <v>0</v>
      </c>
    </row>
    <row r="4525" customFormat="false" ht="15" hidden="false" customHeight="false" outlineLevel="0" collapsed="false">
      <c r="B4525" s="130" t="n">
        <v>2027</v>
      </c>
      <c r="C4525" s="131" t="s">
        <v>250</v>
      </c>
      <c r="D4525" s="132" t="n">
        <v>46603</v>
      </c>
      <c r="E4525" s="131" t="s">
        <v>46</v>
      </c>
      <c r="F4525" s="133" t="s">
        <v>24</v>
      </c>
      <c r="G4525" s="134" t="n">
        <f aca="false">LEN('Saisie programme'!$F$189)+SUMIFS('Vols additionnels'!$E$7:$E$66,'Vols additionnels'!$C$7:$C$66,$E4525,'Vols additionnels'!$D$7:$D$66,$F4525,'Vols additionnels'!$B$7:$B$66,$D4525)</f>
        <v>0</v>
      </c>
      <c r="H4525" s="135" t="n">
        <f aca="false">$G4525*'Analyse capacite'!$F$9</f>
        <v>0</v>
      </c>
      <c r="I4525" s="135" t="n">
        <f aca="false">$G4525*'Analyse capacite'!$C$9</f>
        <v>0</v>
      </c>
      <c r="J4525" s="135" t="n">
        <f aca="false">$G4525*'Analyse capacite'!$D$9</f>
        <v>0</v>
      </c>
      <c r="K4525" s="135" t="n">
        <f aca="false">$G4525*'Analyse capacite'!$E$9</f>
        <v>0</v>
      </c>
    </row>
    <row r="4526" customFormat="false" ht="15" hidden="false" customHeight="false" outlineLevel="0" collapsed="false">
      <c r="B4526" s="130" t="n">
        <v>2027</v>
      </c>
      <c r="C4526" s="131" t="s">
        <v>250</v>
      </c>
      <c r="D4526" s="132" t="n">
        <v>46603</v>
      </c>
      <c r="E4526" s="131" t="s">
        <v>49</v>
      </c>
      <c r="F4526" s="133" t="s">
        <v>11</v>
      </c>
      <c r="G4526" s="134" t="n">
        <f aca="false">LEN('Saisie programme'!$F$190)+SUMIFS('Vols additionnels'!$E$7:$E$66,'Vols additionnels'!$C$7:$C$66,$E4526,'Vols additionnels'!$D$7:$D$66,$F4526,'Vols additionnels'!$B$7:$B$66,$D4526)</f>
        <v>0</v>
      </c>
      <c r="H4526" s="135" t="n">
        <f aca="false">$G4526*'Analyse capacite'!$F$7</f>
        <v>0</v>
      </c>
      <c r="I4526" s="135" t="n">
        <f aca="false">$G4526*'Analyse capacite'!$C$7</f>
        <v>0</v>
      </c>
      <c r="J4526" s="135" t="n">
        <f aca="false">$G4526*'Analyse capacite'!$D$7</f>
        <v>0</v>
      </c>
      <c r="K4526" s="135" t="n">
        <f aca="false">$G4526*'Analyse capacite'!$E$7</f>
        <v>0</v>
      </c>
    </row>
    <row r="4527" customFormat="false" ht="15" hidden="false" customHeight="false" outlineLevel="0" collapsed="false">
      <c r="B4527" s="130" t="n">
        <v>2027</v>
      </c>
      <c r="C4527" s="131" t="s">
        <v>250</v>
      </c>
      <c r="D4527" s="132" t="n">
        <v>46603</v>
      </c>
      <c r="E4527" s="131" t="s">
        <v>49</v>
      </c>
      <c r="F4527" s="133" t="s">
        <v>19</v>
      </c>
      <c r="G4527" s="134" t="n">
        <f aca="false">LEN('Saisie programme'!$F$191)+SUMIFS('Vols additionnels'!$E$7:$E$66,'Vols additionnels'!$C$7:$C$66,$E4527,'Vols additionnels'!$D$7:$D$66,$F4527,'Vols additionnels'!$B$7:$B$66,$D4527)</f>
        <v>0</v>
      </c>
      <c r="H4527" s="135" t="n">
        <f aca="false">$G4527*'Analyse capacite'!$F$8</f>
        <v>0</v>
      </c>
      <c r="I4527" s="135" t="n">
        <f aca="false">$G4527*'Analyse capacite'!$C$8</f>
        <v>0</v>
      </c>
      <c r="J4527" s="135" t="n">
        <f aca="false">$G4527*'Analyse capacite'!$D$8</f>
        <v>0</v>
      </c>
      <c r="K4527" s="135" t="n">
        <f aca="false">$G4527*'Analyse capacite'!$E$8</f>
        <v>0</v>
      </c>
    </row>
    <row r="4528" customFormat="false" ht="15" hidden="false" customHeight="false" outlineLevel="0" collapsed="false">
      <c r="B4528" s="130" t="n">
        <v>2027</v>
      </c>
      <c r="C4528" s="131" t="s">
        <v>250</v>
      </c>
      <c r="D4528" s="132" t="n">
        <v>46603</v>
      </c>
      <c r="E4528" s="131" t="s">
        <v>49</v>
      </c>
      <c r="F4528" s="133" t="s">
        <v>24</v>
      </c>
      <c r="G4528" s="134" t="n">
        <f aca="false">LEN('Saisie programme'!$F$192)+SUMIFS('Vols additionnels'!$E$7:$E$66,'Vols additionnels'!$C$7:$C$66,$E4528,'Vols additionnels'!$D$7:$D$66,$F4528,'Vols additionnels'!$B$7:$B$66,$D4528)</f>
        <v>0</v>
      </c>
      <c r="H4528" s="135" t="n">
        <f aca="false">$G4528*'Analyse capacite'!$F$9</f>
        <v>0</v>
      </c>
      <c r="I4528" s="135" t="n">
        <f aca="false">$G4528*'Analyse capacite'!$C$9</f>
        <v>0</v>
      </c>
      <c r="J4528" s="135" t="n">
        <f aca="false">$G4528*'Analyse capacite'!$D$9</f>
        <v>0</v>
      </c>
      <c r="K4528" s="135" t="n">
        <f aca="false">$G4528*'Analyse capacite'!$E$9</f>
        <v>0</v>
      </c>
    </row>
    <row r="4529" customFormat="false" ht="15" hidden="false" customHeight="false" outlineLevel="0" collapsed="false">
      <c r="B4529" s="130" t="n">
        <v>2027</v>
      </c>
      <c r="C4529" s="131" t="s">
        <v>250</v>
      </c>
      <c r="D4529" s="132" t="n">
        <v>46603</v>
      </c>
      <c r="E4529" s="131" t="s">
        <v>53</v>
      </c>
      <c r="F4529" s="133" t="s">
        <v>11</v>
      </c>
      <c r="G4529" s="134" t="n">
        <f aca="false">LEN('Saisie programme'!$F$193)+SUMIFS('Vols additionnels'!$E$7:$E$66,'Vols additionnels'!$C$7:$C$66,$E4529,'Vols additionnels'!$D$7:$D$66,$F4529,'Vols additionnels'!$B$7:$B$66,$D4529)</f>
        <v>0</v>
      </c>
      <c r="H4529" s="135" t="n">
        <f aca="false">$G4529*'Analyse capacite'!$F$7</f>
        <v>0</v>
      </c>
      <c r="I4529" s="135" t="n">
        <f aca="false">$G4529*'Analyse capacite'!$C$7</f>
        <v>0</v>
      </c>
      <c r="J4529" s="135" t="n">
        <f aca="false">$G4529*'Analyse capacite'!$D$7</f>
        <v>0</v>
      </c>
      <c r="K4529" s="135" t="n">
        <f aca="false">$G4529*'Analyse capacite'!$E$7</f>
        <v>0</v>
      </c>
    </row>
    <row r="4530" customFormat="false" ht="15" hidden="false" customHeight="false" outlineLevel="0" collapsed="false">
      <c r="B4530" s="130" t="n">
        <v>2027</v>
      </c>
      <c r="C4530" s="131" t="s">
        <v>250</v>
      </c>
      <c r="D4530" s="132" t="n">
        <v>46603</v>
      </c>
      <c r="E4530" s="131" t="s">
        <v>53</v>
      </c>
      <c r="F4530" s="133" t="s">
        <v>19</v>
      </c>
      <c r="G4530" s="134" t="n">
        <f aca="false">LEN('Saisie programme'!$F$194)+SUMIFS('Vols additionnels'!$E$7:$E$66,'Vols additionnels'!$C$7:$C$66,$E4530,'Vols additionnels'!$D$7:$D$66,$F4530,'Vols additionnels'!$B$7:$B$66,$D4530)</f>
        <v>0</v>
      </c>
      <c r="H4530" s="135" t="n">
        <f aca="false">$G4530*'Analyse capacite'!$F$8</f>
        <v>0</v>
      </c>
      <c r="I4530" s="135" t="n">
        <f aca="false">$G4530*'Analyse capacite'!$C$8</f>
        <v>0</v>
      </c>
      <c r="J4530" s="135" t="n">
        <f aca="false">$G4530*'Analyse capacite'!$D$8</f>
        <v>0</v>
      </c>
      <c r="K4530" s="135" t="n">
        <f aca="false">$G4530*'Analyse capacite'!$E$8</f>
        <v>0</v>
      </c>
    </row>
    <row r="4531" customFormat="false" ht="15" hidden="false" customHeight="false" outlineLevel="0" collapsed="false">
      <c r="B4531" s="130" t="n">
        <v>2027</v>
      </c>
      <c r="C4531" s="131" t="s">
        <v>250</v>
      </c>
      <c r="D4531" s="132" t="n">
        <v>46603</v>
      </c>
      <c r="E4531" s="131" t="s">
        <v>53</v>
      </c>
      <c r="F4531" s="133" t="s">
        <v>24</v>
      </c>
      <c r="G4531" s="134" t="n">
        <f aca="false">LEN('Saisie programme'!$F$195)+SUMIFS('Vols additionnels'!$E$7:$E$66,'Vols additionnels'!$C$7:$C$66,$E4531,'Vols additionnels'!$D$7:$D$66,$F4531,'Vols additionnels'!$B$7:$B$66,$D4531)</f>
        <v>0</v>
      </c>
      <c r="H4531" s="135" t="n">
        <f aca="false">$G4531*'Analyse capacite'!$F$9</f>
        <v>0</v>
      </c>
      <c r="I4531" s="135" t="n">
        <f aca="false">$G4531*'Analyse capacite'!$C$9</f>
        <v>0</v>
      </c>
      <c r="J4531" s="135" t="n">
        <f aca="false">$G4531*'Analyse capacite'!$D$9</f>
        <v>0</v>
      </c>
      <c r="K4531" s="135" t="n">
        <f aca="false">$G4531*'Analyse capacite'!$E$9</f>
        <v>0</v>
      </c>
    </row>
    <row r="4532" customFormat="false" ht="15" hidden="false" customHeight="false" outlineLevel="0" collapsed="false">
      <c r="B4532" s="130" t="n">
        <v>2027</v>
      </c>
      <c r="C4532" s="131" t="s">
        <v>250</v>
      </c>
      <c r="D4532" s="132" t="n">
        <v>46603</v>
      </c>
      <c r="E4532" s="131" t="s">
        <v>56</v>
      </c>
      <c r="F4532" s="133" t="s">
        <v>11</v>
      </c>
      <c r="G4532" s="134" t="n">
        <f aca="false">LEN('Saisie programme'!$F$196)+SUMIFS('Vols additionnels'!$E$7:$E$66,'Vols additionnels'!$C$7:$C$66,$E4532,'Vols additionnels'!$D$7:$D$66,$F4532,'Vols additionnels'!$B$7:$B$66,$D4532)</f>
        <v>0</v>
      </c>
      <c r="H4532" s="135" t="n">
        <f aca="false">$G4532*'Analyse capacite'!$F$7</f>
        <v>0</v>
      </c>
      <c r="I4532" s="135" t="n">
        <f aca="false">$G4532*'Analyse capacite'!$C$7</f>
        <v>0</v>
      </c>
      <c r="J4532" s="135" t="n">
        <f aca="false">$G4532*'Analyse capacite'!$D$7</f>
        <v>0</v>
      </c>
      <c r="K4532" s="135" t="n">
        <f aca="false">$G4532*'Analyse capacite'!$E$7</f>
        <v>0</v>
      </c>
    </row>
    <row r="4533" customFormat="false" ht="15" hidden="false" customHeight="false" outlineLevel="0" collapsed="false">
      <c r="B4533" s="130" t="n">
        <v>2027</v>
      </c>
      <c r="C4533" s="131" t="s">
        <v>250</v>
      </c>
      <c r="D4533" s="132" t="n">
        <v>46603</v>
      </c>
      <c r="E4533" s="131" t="s">
        <v>56</v>
      </c>
      <c r="F4533" s="133" t="s">
        <v>19</v>
      </c>
      <c r="G4533" s="134" t="n">
        <f aca="false">LEN('Saisie programme'!$F$197)+SUMIFS('Vols additionnels'!$E$7:$E$66,'Vols additionnels'!$C$7:$C$66,$E4533,'Vols additionnels'!$D$7:$D$66,$F4533,'Vols additionnels'!$B$7:$B$66,$D4533)</f>
        <v>0</v>
      </c>
      <c r="H4533" s="135" t="n">
        <f aca="false">$G4533*'Analyse capacite'!$F$8</f>
        <v>0</v>
      </c>
      <c r="I4533" s="135" t="n">
        <f aca="false">$G4533*'Analyse capacite'!$C$8</f>
        <v>0</v>
      </c>
      <c r="J4533" s="135" t="n">
        <f aca="false">$G4533*'Analyse capacite'!$D$8</f>
        <v>0</v>
      </c>
      <c r="K4533" s="135" t="n">
        <f aca="false">$G4533*'Analyse capacite'!$E$8</f>
        <v>0</v>
      </c>
    </row>
    <row r="4534" customFormat="false" ht="15" hidden="false" customHeight="false" outlineLevel="0" collapsed="false">
      <c r="B4534" s="130" t="n">
        <v>2027</v>
      </c>
      <c r="C4534" s="131" t="s">
        <v>250</v>
      </c>
      <c r="D4534" s="132" t="n">
        <v>46603</v>
      </c>
      <c r="E4534" s="131" t="s">
        <v>56</v>
      </c>
      <c r="F4534" s="133" t="s">
        <v>24</v>
      </c>
      <c r="G4534" s="134" t="n">
        <f aca="false">LEN('Saisie programme'!$F$198)+SUMIFS('Vols additionnels'!$E$7:$E$66,'Vols additionnels'!$C$7:$C$66,$E4534,'Vols additionnels'!$D$7:$D$66,$F4534,'Vols additionnels'!$B$7:$B$66,$D4534)</f>
        <v>0</v>
      </c>
      <c r="H4534" s="135" t="n">
        <f aca="false">$G4534*'Analyse capacite'!$F$9</f>
        <v>0</v>
      </c>
      <c r="I4534" s="135" t="n">
        <f aca="false">$G4534*'Analyse capacite'!$C$9</f>
        <v>0</v>
      </c>
      <c r="J4534" s="135" t="n">
        <f aca="false">$G4534*'Analyse capacite'!$D$9</f>
        <v>0</v>
      </c>
      <c r="K4534" s="135" t="n">
        <f aca="false">$G4534*'Analyse capacite'!$E$9</f>
        <v>0</v>
      </c>
    </row>
    <row r="4535" customFormat="false" ht="15" hidden="false" customHeight="false" outlineLevel="0" collapsed="false">
      <c r="B4535" s="130" t="n">
        <v>2027</v>
      </c>
      <c r="C4535" s="131" t="s">
        <v>250</v>
      </c>
      <c r="D4535" s="132" t="n">
        <v>46603</v>
      </c>
      <c r="E4535" s="131" t="s">
        <v>59</v>
      </c>
      <c r="F4535" s="133" t="s">
        <v>11</v>
      </c>
      <c r="G4535" s="134" t="n">
        <f aca="false">LEN('Saisie programme'!$F$199)+SUMIFS('Vols additionnels'!$E$7:$E$66,'Vols additionnels'!$C$7:$C$66,$E4535,'Vols additionnels'!$D$7:$D$66,$F4535,'Vols additionnels'!$B$7:$B$66,$D4535)</f>
        <v>0</v>
      </c>
      <c r="H4535" s="135" t="n">
        <f aca="false">$G4535*'Analyse capacite'!$F$7</f>
        <v>0</v>
      </c>
      <c r="I4535" s="135" t="n">
        <f aca="false">$G4535*'Analyse capacite'!$C$7</f>
        <v>0</v>
      </c>
      <c r="J4535" s="135" t="n">
        <f aca="false">$G4535*'Analyse capacite'!$D$7</f>
        <v>0</v>
      </c>
      <c r="K4535" s="135" t="n">
        <f aca="false">$G4535*'Analyse capacite'!$E$7</f>
        <v>0</v>
      </c>
    </row>
    <row r="4536" customFormat="false" ht="15" hidden="false" customHeight="false" outlineLevel="0" collapsed="false">
      <c r="B4536" s="130" t="n">
        <v>2027</v>
      </c>
      <c r="C4536" s="131" t="s">
        <v>250</v>
      </c>
      <c r="D4536" s="132" t="n">
        <v>46603</v>
      </c>
      <c r="E4536" s="131" t="s">
        <v>59</v>
      </c>
      <c r="F4536" s="133" t="s">
        <v>19</v>
      </c>
      <c r="G4536" s="134" t="n">
        <f aca="false">LEN('Saisie programme'!$F$200)+SUMIFS('Vols additionnels'!$E$7:$E$66,'Vols additionnels'!$C$7:$C$66,$E4536,'Vols additionnels'!$D$7:$D$66,$F4536,'Vols additionnels'!$B$7:$B$66,$D4536)</f>
        <v>0</v>
      </c>
      <c r="H4536" s="135" t="n">
        <f aca="false">$G4536*'Analyse capacite'!$F$8</f>
        <v>0</v>
      </c>
      <c r="I4536" s="135" t="n">
        <f aca="false">$G4536*'Analyse capacite'!$C$8</f>
        <v>0</v>
      </c>
      <c r="J4536" s="135" t="n">
        <f aca="false">$G4536*'Analyse capacite'!$D$8</f>
        <v>0</v>
      </c>
      <c r="K4536" s="135" t="n">
        <f aca="false">$G4536*'Analyse capacite'!$E$8</f>
        <v>0</v>
      </c>
    </row>
    <row r="4537" customFormat="false" ht="15" hidden="false" customHeight="false" outlineLevel="0" collapsed="false">
      <c r="B4537" s="130" t="n">
        <v>2027</v>
      </c>
      <c r="C4537" s="131" t="s">
        <v>250</v>
      </c>
      <c r="D4537" s="132" t="n">
        <v>46603</v>
      </c>
      <c r="E4537" s="131" t="s">
        <v>59</v>
      </c>
      <c r="F4537" s="133" t="s">
        <v>24</v>
      </c>
      <c r="G4537" s="134" t="n">
        <f aca="false">LEN('Saisie programme'!$F$201)+SUMIFS('Vols additionnels'!$E$7:$E$66,'Vols additionnels'!$C$7:$C$66,$E4537,'Vols additionnels'!$D$7:$D$66,$F4537,'Vols additionnels'!$B$7:$B$66,$D4537)</f>
        <v>1</v>
      </c>
      <c r="H4537" s="135" t="n">
        <f aca="false">$G4537*'Analyse capacite'!$F$9</f>
        <v>174</v>
      </c>
      <c r="I4537" s="135" t="n">
        <f aca="false">$G4537*'Analyse capacite'!$C$9</f>
        <v>0</v>
      </c>
      <c r="J4537" s="135" t="n">
        <f aca="false">$G4537*'Analyse capacite'!$D$9</f>
        <v>12</v>
      </c>
      <c r="K4537" s="135" t="n">
        <f aca="false">$G4537*'Analyse capacite'!$E$9</f>
        <v>162</v>
      </c>
    </row>
    <row r="4538" customFormat="false" ht="15" hidden="false" customHeight="false" outlineLevel="0" collapsed="false">
      <c r="B4538" s="130" t="n">
        <v>2027</v>
      </c>
      <c r="C4538" s="131" t="s">
        <v>250</v>
      </c>
      <c r="D4538" s="132" t="n">
        <v>46603</v>
      </c>
      <c r="E4538" s="131" t="s">
        <v>62</v>
      </c>
      <c r="F4538" s="133" t="s">
        <v>11</v>
      </c>
      <c r="G4538" s="134" t="n">
        <f aca="false">LEN('Saisie programme'!$F$202)+SUMIFS('Vols additionnels'!$E$7:$E$66,'Vols additionnels'!$C$7:$C$66,$E4538,'Vols additionnels'!$D$7:$D$66,$F4538,'Vols additionnels'!$B$7:$B$66,$D4538)</f>
        <v>0</v>
      </c>
      <c r="H4538" s="135" t="n">
        <f aca="false">$G4538*'Analyse capacite'!$F$7</f>
        <v>0</v>
      </c>
      <c r="I4538" s="135" t="n">
        <f aca="false">$G4538*'Analyse capacite'!$C$7</f>
        <v>0</v>
      </c>
      <c r="J4538" s="135" t="n">
        <f aca="false">$G4538*'Analyse capacite'!$D$7</f>
        <v>0</v>
      </c>
      <c r="K4538" s="135" t="n">
        <f aca="false">$G4538*'Analyse capacite'!$E$7</f>
        <v>0</v>
      </c>
    </row>
    <row r="4539" customFormat="false" ht="15" hidden="false" customHeight="false" outlineLevel="0" collapsed="false">
      <c r="B4539" s="130" t="n">
        <v>2027</v>
      </c>
      <c r="C4539" s="131" t="s">
        <v>250</v>
      </c>
      <c r="D4539" s="132" t="n">
        <v>46603</v>
      </c>
      <c r="E4539" s="131" t="s">
        <v>62</v>
      </c>
      <c r="F4539" s="133" t="s">
        <v>19</v>
      </c>
      <c r="G4539" s="134" t="n">
        <f aca="false">LEN('Saisie programme'!$F$203)+SUMIFS('Vols additionnels'!$E$7:$E$66,'Vols additionnels'!$C$7:$C$66,$E4539,'Vols additionnels'!$D$7:$D$66,$F4539,'Vols additionnels'!$B$7:$B$66,$D4539)</f>
        <v>0</v>
      </c>
      <c r="H4539" s="135" t="n">
        <f aca="false">$G4539*'Analyse capacite'!$F$8</f>
        <v>0</v>
      </c>
      <c r="I4539" s="135" t="n">
        <f aca="false">$G4539*'Analyse capacite'!$C$8</f>
        <v>0</v>
      </c>
      <c r="J4539" s="135" t="n">
        <f aca="false">$G4539*'Analyse capacite'!$D$8</f>
        <v>0</v>
      </c>
      <c r="K4539" s="135" t="n">
        <f aca="false">$G4539*'Analyse capacite'!$E$8</f>
        <v>0</v>
      </c>
    </row>
    <row r="4540" customFormat="false" ht="15" hidden="false" customHeight="false" outlineLevel="0" collapsed="false">
      <c r="B4540" s="130" t="n">
        <v>2027</v>
      </c>
      <c r="C4540" s="131" t="s">
        <v>250</v>
      </c>
      <c r="D4540" s="132" t="n">
        <v>46603</v>
      </c>
      <c r="E4540" s="131" t="s">
        <v>62</v>
      </c>
      <c r="F4540" s="133" t="s">
        <v>24</v>
      </c>
      <c r="G4540" s="134" t="n">
        <f aca="false">LEN('Saisie programme'!$F$204)+SUMIFS('Vols additionnels'!$E$7:$E$66,'Vols additionnels'!$C$7:$C$66,$E4540,'Vols additionnels'!$D$7:$D$66,$F4540,'Vols additionnels'!$B$7:$B$66,$D4540)</f>
        <v>1</v>
      </c>
      <c r="H4540" s="135" t="n">
        <f aca="false">$G4540*'Analyse capacite'!$F$9</f>
        <v>174</v>
      </c>
      <c r="I4540" s="135" t="n">
        <f aca="false">$G4540*'Analyse capacite'!$C$9</f>
        <v>0</v>
      </c>
      <c r="J4540" s="135" t="n">
        <f aca="false">$G4540*'Analyse capacite'!$D$9</f>
        <v>12</v>
      </c>
      <c r="K4540" s="135" t="n">
        <f aca="false">$G4540*'Analyse capacite'!$E$9</f>
        <v>162</v>
      </c>
    </row>
    <row r="4541" customFormat="false" ht="15" hidden="false" customHeight="false" outlineLevel="0" collapsed="false">
      <c r="B4541" s="130" t="n">
        <v>2027</v>
      </c>
      <c r="C4541" s="131" t="s">
        <v>250</v>
      </c>
      <c r="D4541" s="132" t="n">
        <v>46604</v>
      </c>
      <c r="E4541" s="131" t="s">
        <v>12</v>
      </c>
      <c r="F4541" s="133" t="s">
        <v>11</v>
      </c>
      <c r="G4541" s="134" t="n">
        <f aca="false">LEN('Saisie programme'!$G$169)+SUMIFS('Vols additionnels'!$E$7:$E$66,'Vols additionnels'!$C$7:$C$66,$E4541,'Vols additionnels'!$D$7:$D$66,$F4541,'Vols additionnels'!$B$7:$B$66,$D4541)</f>
        <v>1</v>
      </c>
      <c r="H4541" s="135" t="n">
        <f aca="false">$G4541*'Analyse capacite'!$F$7</f>
        <v>438</v>
      </c>
      <c r="I4541" s="135" t="n">
        <f aca="false">$G4541*'Analyse capacite'!$C$7</f>
        <v>14</v>
      </c>
      <c r="J4541" s="135" t="n">
        <f aca="false">$G4541*'Analyse capacite'!$D$7</f>
        <v>40</v>
      </c>
      <c r="K4541" s="135" t="n">
        <f aca="false">$G4541*'Analyse capacite'!$E$7</f>
        <v>384</v>
      </c>
    </row>
    <row r="4542" customFormat="false" ht="15" hidden="false" customHeight="false" outlineLevel="0" collapsed="false">
      <c r="B4542" s="130" t="n">
        <v>2027</v>
      </c>
      <c r="C4542" s="131" t="s">
        <v>250</v>
      </c>
      <c r="D4542" s="132" t="n">
        <v>46604</v>
      </c>
      <c r="E4542" s="131" t="s">
        <v>12</v>
      </c>
      <c r="F4542" s="133" t="s">
        <v>19</v>
      </c>
      <c r="G4542" s="134" t="n">
        <f aca="false">LEN('Saisie programme'!$G$170)+SUMIFS('Vols additionnels'!$E$7:$E$66,'Vols additionnels'!$C$7:$C$66,$E4542,'Vols additionnels'!$D$7:$D$66,$F4542,'Vols additionnels'!$B$7:$B$66,$D4542)</f>
        <v>1</v>
      </c>
      <c r="H4542" s="135" t="n">
        <f aca="false">$G4542*'Analyse capacite'!$F$8</f>
        <v>262</v>
      </c>
      <c r="I4542" s="135" t="n">
        <f aca="false">$G4542*'Analyse capacite'!$C$8</f>
        <v>18</v>
      </c>
      <c r="J4542" s="135" t="n">
        <f aca="false">$G4542*'Analyse capacite'!$D$8</f>
        <v>0</v>
      </c>
      <c r="K4542" s="135" t="n">
        <f aca="false">$G4542*'Analyse capacite'!$E$8</f>
        <v>244</v>
      </c>
    </row>
    <row r="4543" customFormat="false" ht="15" hidden="false" customHeight="false" outlineLevel="0" collapsed="false">
      <c r="B4543" s="130" t="n">
        <v>2027</v>
      </c>
      <c r="C4543" s="131" t="s">
        <v>250</v>
      </c>
      <c r="D4543" s="132" t="n">
        <v>46604</v>
      </c>
      <c r="E4543" s="131" t="s">
        <v>12</v>
      </c>
      <c r="F4543" s="133" t="s">
        <v>24</v>
      </c>
      <c r="G4543" s="134" t="n">
        <f aca="false">LEN('Saisie programme'!$G$171)+SUMIFS('Vols additionnels'!$E$7:$E$66,'Vols additionnels'!$C$7:$C$66,$E4543,'Vols additionnels'!$D$7:$D$66,$F4543,'Vols additionnels'!$B$7:$B$66,$D4543)</f>
        <v>0</v>
      </c>
      <c r="H4543" s="135" t="n">
        <f aca="false">$G4543*'Analyse capacite'!$F$9</f>
        <v>0</v>
      </c>
      <c r="I4543" s="135" t="n">
        <f aca="false">$G4543*'Analyse capacite'!$C$9</f>
        <v>0</v>
      </c>
      <c r="J4543" s="135" t="n">
        <f aca="false">$G4543*'Analyse capacite'!$D$9</f>
        <v>0</v>
      </c>
      <c r="K4543" s="135" t="n">
        <f aca="false">$G4543*'Analyse capacite'!$E$9</f>
        <v>0</v>
      </c>
    </row>
    <row r="4544" customFormat="false" ht="15" hidden="false" customHeight="false" outlineLevel="0" collapsed="false">
      <c r="B4544" s="130" t="n">
        <v>2027</v>
      </c>
      <c r="C4544" s="131" t="s">
        <v>250</v>
      </c>
      <c r="D4544" s="132" t="n">
        <v>46604</v>
      </c>
      <c r="E4544" s="131" t="s">
        <v>20</v>
      </c>
      <c r="F4544" s="133" t="s">
        <v>11</v>
      </c>
      <c r="G4544" s="134" t="n">
        <f aca="false">LEN('Saisie programme'!$G$172)+SUMIFS('Vols additionnels'!$E$7:$E$66,'Vols additionnels'!$C$7:$C$66,$E4544,'Vols additionnels'!$D$7:$D$66,$F4544,'Vols additionnels'!$B$7:$B$66,$D4544)</f>
        <v>0</v>
      </c>
      <c r="H4544" s="135" t="n">
        <f aca="false">$G4544*'Analyse capacite'!$F$7</f>
        <v>0</v>
      </c>
      <c r="I4544" s="135" t="n">
        <f aca="false">$G4544*'Analyse capacite'!$C$7</f>
        <v>0</v>
      </c>
      <c r="J4544" s="135" t="n">
        <f aca="false">$G4544*'Analyse capacite'!$D$7</f>
        <v>0</v>
      </c>
      <c r="K4544" s="135" t="n">
        <f aca="false">$G4544*'Analyse capacite'!$E$7</f>
        <v>0</v>
      </c>
    </row>
    <row r="4545" customFormat="false" ht="15" hidden="false" customHeight="false" outlineLevel="0" collapsed="false">
      <c r="B4545" s="130" t="n">
        <v>2027</v>
      </c>
      <c r="C4545" s="131" t="s">
        <v>250</v>
      </c>
      <c r="D4545" s="132" t="n">
        <v>46604</v>
      </c>
      <c r="E4545" s="131" t="s">
        <v>20</v>
      </c>
      <c r="F4545" s="133" t="s">
        <v>19</v>
      </c>
      <c r="G4545" s="134" t="n">
        <f aca="false">LEN('Saisie programme'!$G$173)+SUMIFS('Vols additionnels'!$E$7:$E$66,'Vols additionnels'!$C$7:$C$66,$E4545,'Vols additionnels'!$D$7:$D$66,$F4545,'Vols additionnels'!$B$7:$B$66,$D4545)</f>
        <v>0</v>
      </c>
      <c r="H4545" s="135" t="n">
        <f aca="false">$G4545*'Analyse capacite'!$F$8</f>
        <v>0</v>
      </c>
      <c r="I4545" s="135" t="n">
        <f aca="false">$G4545*'Analyse capacite'!$C$8</f>
        <v>0</v>
      </c>
      <c r="J4545" s="135" t="n">
        <f aca="false">$G4545*'Analyse capacite'!$D$8</f>
        <v>0</v>
      </c>
      <c r="K4545" s="135" t="n">
        <f aca="false">$G4545*'Analyse capacite'!$E$8</f>
        <v>0</v>
      </c>
    </row>
    <row r="4546" customFormat="false" ht="15" hidden="false" customHeight="false" outlineLevel="0" collapsed="false">
      <c r="B4546" s="130" t="n">
        <v>2027</v>
      </c>
      <c r="C4546" s="131" t="s">
        <v>250</v>
      </c>
      <c r="D4546" s="132" t="n">
        <v>46604</v>
      </c>
      <c r="E4546" s="131" t="s">
        <v>20</v>
      </c>
      <c r="F4546" s="133" t="s">
        <v>24</v>
      </c>
      <c r="G4546" s="134" t="n">
        <f aca="false">LEN('Saisie programme'!$G$174)+SUMIFS('Vols additionnels'!$E$7:$E$66,'Vols additionnels'!$C$7:$C$66,$E4546,'Vols additionnels'!$D$7:$D$66,$F4546,'Vols additionnels'!$B$7:$B$66,$D4546)</f>
        <v>0</v>
      </c>
      <c r="H4546" s="135" t="n">
        <f aca="false">$G4546*'Analyse capacite'!$F$9</f>
        <v>0</v>
      </c>
      <c r="I4546" s="135" t="n">
        <f aca="false">$G4546*'Analyse capacite'!$C$9</f>
        <v>0</v>
      </c>
      <c r="J4546" s="135" t="n">
        <f aca="false">$G4546*'Analyse capacite'!$D$9</f>
        <v>0</v>
      </c>
      <c r="K4546" s="135" t="n">
        <f aca="false">$G4546*'Analyse capacite'!$E$9</f>
        <v>0</v>
      </c>
    </row>
    <row r="4547" customFormat="false" ht="15" hidden="false" customHeight="false" outlineLevel="0" collapsed="false">
      <c r="B4547" s="130" t="n">
        <v>2027</v>
      </c>
      <c r="C4547" s="131" t="s">
        <v>250</v>
      </c>
      <c r="D4547" s="132" t="n">
        <v>46604</v>
      </c>
      <c r="E4547" s="131" t="s">
        <v>25</v>
      </c>
      <c r="F4547" s="133" t="s">
        <v>11</v>
      </c>
      <c r="G4547" s="134" t="n">
        <f aca="false">LEN('Saisie programme'!$G$175)+SUMIFS('Vols additionnels'!$E$7:$E$66,'Vols additionnels'!$C$7:$C$66,$E4547,'Vols additionnels'!$D$7:$D$66,$F4547,'Vols additionnels'!$B$7:$B$66,$D4547)</f>
        <v>0</v>
      </c>
      <c r="H4547" s="135" t="n">
        <f aca="false">$G4547*'Analyse capacite'!$F$7</f>
        <v>0</v>
      </c>
      <c r="I4547" s="135" t="n">
        <f aca="false">$G4547*'Analyse capacite'!$C$7</f>
        <v>0</v>
      </c>
      <c r="J4547" s="135" t="n">
        <f aca="false">$G4547*'Analyse capacite'!$D$7</f>
        <v>0</v>
      </c>
      <c r="K4547" s="135" t="n">
        <f aca="false">$G4547*'Analyse capacite'!$E$7</f>
        <v>0</v>
      </c>
    </row>
    <row r="4548" customFormat="false" ht="15" hidden="false" customHeight="false" outlineLevel="0" collapsed="false">
      <c r="B4548" s="130" t="n">
        <v>2027</v>
      </c>
      <c r="C4548" s="131" t="s">
        <v>250</v>
      </c>
      <c r="D4548" s="132" t="n">
        <v>46604</v>
      </c>
      <c r="E4548" s="131" t="s">
        <v>25</v>
      </c>
      <c r="F4548" s="133" t="s">
        <v>19</v>
      </c>
      <c r="G4548" s="134" t="n">
        <f aca="false">LEN('Saisie programme'!$G$176)+SUMIFS('Vols additionnels'!$E$7:$E$66,'Vols additionnels'!$C$7:$C$66,$E4548,'Vols additionnels'!$D$7:$D$66,$F4548,'Vols additionnels'!$B$7:$B$66,$D4548)</f>
        <v>0</v>
      </c>
      <c r="H4548" s="135" t="n">
        <f aca="false">$G4548*'Analyse capacite'!$F$8</f>
        <v>0</v>
      </c>
      <c r="I4548" s="135" t="n">
        <f aca="false">$G4548*'Analyse capacite'!$C$8</f>
        <v>0</v>
      </c>
      <c r="J4548" s="135" t="n">
        <f aca="false">$G4548*'Analyse capacite'!$D$8</f>
        <v>0</v>
      </c>
      <c r="K4548" s="135" t="n">
        <f aca="false">$G4548*'Analyse capacite'!$E$8</f>
        <v>0</v>
      </c>
    </row>
    <row r="4549" customFormat="false" ht="15" hidden="false" customHeight="false" outlineLevel="0" collapsed="false">
      <c r="B4549" s="130" t="n">
        <v>2027</v>
      </c>
      <c r="C4549" s="131" t="s">
        <v>250</v>
      </c>
      <c r="D4549" s="132" t="n">
        <v>46604</v>
      </c>
      <c r="E4549" s="131" t="s">
        <v>25</v>
      </c>
      <c r="F4549" s="133" t="s">
        <v>24</v>
      </c>
      <c r="G4549" s="134" t="n">
        <f aca="false">LEN('Saisie programme'!$G$177)+SUMIFS('Vols additionnels'!$E$7:$E$66,'Vols additionnels'!$C$7:$C$66,$E4549,'Vols additionnels'!$D$7:$D$66,$F4549,'Vols additionnels'!$B$7:$B$66,$D4549)</f>
        <v>0</v>
      </c>
      <c r="H4549" s="135" t="n">
        <f aca="false">$G4549*'Analyse capacite'!$F$9</f>
        <v>0</v>
      </c>
      <c r="I4549" s="135" t="n">
        <f aca="false">$G4549*'Analyse capacite'!$C$9</f>
        <v>0</v>
      </c>
      <c r="J4549" s="135" t="n">
        <f aca="false">$G4549*'Analyse capacite'!$D$9</f>
        <v>0</v>
      </c>
      <c r="K4549" s="135" t="n">
        <f aca="false">$G4549*'Analyse capacite'!$E$9</f>
        <v>0</v>
      </c>
    </row>
    <row r="4550" customFormat="false" ht="15" hidden="false" customHeight="false" outlineLevel="0" collapsed="false">
      <c r="B4550" s="130" t="n">
        <v>2027</v>
      </c>
      <c r="C4550" s="131" t="s">
        <v>250</v>
      </c>
      <c r="D4550" s="132" t="n">
        <v>46604</v>
      </c>
      <c r="E4550" s="131" t="s">
        <v>36</v>
      </c>
      <c r="F4550" s="133" t="s">
        <v>11</v>
      </c>
      <c r="G4550" s="134" t="n">
        <f aca="false">LEN('Saisie programme'!$G$178)+SUMIFS('Vols additionnels'!$E$7:$E$66,'Vols additionnels'!$C$7:$C$66,$E4550,'Vols additionnels'!$D$7:$D$66,$F4550,'Vols additionnels'!$B$7:$B$66,$D4550)</f>
        <v>0</v>
      </c>
      <c r="H4550" s="135" t="n">
        <f aca="false">$G4550*'Analyse capacite'!$F$7</f>
        <v>0</v>
      </c>
      <c r="I4550" s="135" t="n">
        <f aca="false">$G4550*'Analyse capacite'!$C$7</f>
        <v>0</v>
      </c>
      <c r="J4550" s="135" t="n">
        <f aca="false">$G4550*'Analyse capacite'!$D$7</f>
        <v>0</v>
      </c>
      <c r="K4550" s="135" t="n">
        <f aca="false">$G4550*'Analyse capacite'!$E$7</f>
        <v>0</v>
      </c>
    </row>
    <row r="4551" customFormat="false" ht="15" hidden="false" customHeight="false" outlineLevel="0" collapsed="false">
      <c r="B4551" s="130" t="n">
        <v>2027</v>
      </c>
      <c r="C4551" s="131" t="s">
        <v>250</v>
      </c>
      <c r="D4551" s="132" t="n">
        <v>46604</v>
      </c>
      <c r="E4551" s="131" t="s">
        <v>36</v>
      </c>
      <c r="F4551" s="133" t="s">
        <v>19</v>
      </c>
      <c r="G4551" s="134" t="n">
        <f aca="false">LEN('Saisie programme'!$G$179)+SUMIFS('Vols additionnels'!$E$7:$E$66,'Vols additionnels'!$C$7:$C$66,$E4551,'Vols additionnels'!$D$7:$D$66,$F4551,'Vols additionnels'!$B$7:$B$66,$D4551)</f>
        <v>0</v>
      </c>
      <c r="H4551" s="135" t="n">
        <f aca="false">$G4551*'Analyse capacite'!$F$8</f>
        <v>0</v>
      </c>
      <c r="I4551" s="135" t="n">
        <f aca="false">$G4551*'Analyse capacite'!$C$8</f>
        <v>0</v>
      </c>
      <c r="J4551" s="135" t="n">
        <f aca="false">$G4551*'Analyse capacite'!$D$8</f>
        <v>0</v>
      </c>
      <c r="K4551" s="135" t="n">
        <f aca="false">$G4551*'Analyse capacite'!$E$8</f>
        <v>0</v>
      </c>
    </row>
    <row r="4552" customFormat="false" ht="15" hidden="false" customHeight="false" outlineLevel="0" collapsed="false">
      <c r="B4552" s="130" t="n">
        <v>2027</v>
      </c>
      <c r="C4552" s="131" t="s">
        <v>250</v>
      </c>
      <c r="D4552" s="132" t="n">
        <v>46604</v>
      </c>
      <c r="E4552" s="131" t="s">
        <v>36</v>
      </c>
      <c r="F4552" s="133" t="s">
        <v>24</v>
      </c>
      <c r="G4552" s="134" t="n">
        <f aca="false">LEN('Saisie programme'!$G$180)+SUMIFS('Vols additionnels'!$E$7:$E$66,'Vols additionnels'!$C$7:$C$66,$E4552,'Vols additionnels'!$D$7:$D$66,$F4552,'Vols additionnels'!$B$7:$B$66,$D4552)</f>
        <v>1</v>
      </c>
      <c r="H4552" s="135" t="n">
        <f aca="false">$G4552*'Analyse capacite'!$F$9</f>
        <v>174</v>
      </c>
      <c r="I4552" s="135" t="n">
        <f aca="false">$G4552*'Analyse capacite'!$C$9</f>
        <v>0</v>
      </c>
      <c r="J4552" s="135" t="n">
        <f aca="false">$G4552*'Analyse capacite'!$D$9</f>
        <v>12</v>
      </c>
      <c r="K4552" s="135" t="n">
        <f aca="false">$G4552*'Analyse capacite'!$E$9</f>
        <v>162</v>
      </c>
    </row>
    <row r="4553" customFormat="false" ht="15" hidden="false" customHeight="false" outlineLevel="0" collapsed="false">
      <c r="B4553" s="130" t="n">
        <v>2027</v>
      </c>
      <c r="C4553" s="131" t="s">
        <v>250</v>
      </c>
      <c r="D4553" s="132" t="n">
        <v>46604</v>
      </c>
      <c r="E4553" s="131" t="s">
        <v>40</v>
      </c>
      <c r="F4553" s="133" t="s">
        <v>11</v>
      </c>
      <c r="G4553" s="134" t="n">
        <f aca="false">LEN('Saisie programme'!$G$181)+SUMIFS('Vols additionnels'!$E$7:$E$66,'Vols additionnels'!$C$7:$C$66,$E4553,'Vols additionnels'!$D$7:$D$66,$F4553,'Vols additionnels'!$B$7:$B$66,$D4553)</f>
        <v>0</v>
      </c>
      <c r="H4553" s="135" t="n">
        <f aca="false">$G4553*'Analyse capacite'!$F$7</f>
        <v>0</v>
      </c>
      <c r="I4553" s="135" t="n">
        <f aca="false">$G4553*'Analyse capacite'!$C$7</f>
        <v>0</v>
      </c>
      <c r="J4553" s="135" t="n">
        <f aca="false">$G4553*'Analyse capacite'!$D$7</f>
        <v>0</v>
      </c>
      <c r="K4553" s="135" t="n">
        <f aca="false">$G4553*'Analyse capacite'!$E$7</f>
        <v>0</v>
      </c>
    </row>
    <row r="4554" customFormat="false" ht="15" hidden="false" customHeight="false" outlineLevel="0" collapsed="false">
      <c r="B4554" s="130" t="n">
        <v>2027</v>
      </c>
      <c r="C4554" s="131" t="s">
        <v>250</v>
      </c>
      <c r="D4554" s="132" t="n">
        <v>46604</v>
      </c>
      <c r="E4554" s="131" t="s">
        <v>40</v>
      </c>
      <c r="F4554" s="133" t="s">
        <v>19</v>
      </c>
      <c r="G4554" s="134" t="n">
        <f aca="false">LEN('Saisie programme'!$G$182)+SUMIFS('Vols additionnels'!$E$7:$E$66,'Vols additionnels'!$C$7:$C$66,$E4554,'Vols additionnels'!$D$7:$D$66,$F4554,'Vols additionnels'!$B$7:$B$66,$D4554)</f>
        <v>0</v>
      </c>
      <c r="H4554" s="135" t="n">
        <f aca="false">$G4554*'Analyse capacite'!$F$8</f>
        <v>0</v>
      </c>
      <c r="I4554" s="135" t="n">
        <f aca="false">$G4554*'Analyse capacite'!$C$8</f>
        <v>0</v>
      </c>
      <c r="J4554" s="135" t="n">
        <f aca="false">$G4554*'Analyse capacite'!$D$8</f>
        <v>0</v>
      </c>
      <c r="K4554" s="135" t="n">
        <f aca="false">$G4554*'Analyse capacite'!$E$8</f>
        <v>0</v>
      </c>
    </row>
    <row r="4555" customFormat="false" ht="15" hidden="false" customHeight="false" outlineLevel="0" collapsed="false">
      <c r="B4555" s="130" t="n">
        <v>2027</v>
      </c>
      <c r="C4555" s="131" t="s">
        <v>250</v>
      </c>
      <c r="D4555" s="132" t="n">
        <v>46604</v>
      </c>
      <c r="E4555" s="131" t="s">
        <v>40</v>
      </c>
      <c r="F4555" s="133" t="s">
        <v>24</v>
      </c>
      <c r="G4555" s="134" t="n">
        <f aca="false">LEN('Saisie programme'!$G$183)+SUMIFS('Vols additionnels'!$E$7:$E$66,'Vols additionnels'!$C$7:$C$66,$E4555,'Vols additionnels'!$D$7:$D$66,$F4555,'Vols additionnels'!$B$7:$B$66,$D4555)</f>
        <v>0</v>
      </c>
      <c r="H4555" s="135" t="n">
        <f aca="false">$G4555*'Analyse capacite'!$F$9</f>
        <v>0</v>
      </c>
      <c r="I4555" s="135" t="n">
        <f aca="false">$G4555*'Analyse capacite'!$C$9</f>
        <v>0</v>
      </c>
      <c r="J4555" s="135" t="n">
        <f aca="false">$G4555*'Analyse capacite'!$D$9</f>
        <v>0</v>
      </c>
      <c r="K4555" s="135" t="n">
        <f aca="false">$G4555*'Analyse capacite'!$E$9</f>
        <v>0</v>
      </c>
    </row>
    <row r="4556" customFormat="false" ht="15" hidden="false" customHeight="false" outlineLevel="0" collapsed="false">
      <c r="B4556" s="130" t="n">
        <v>2027</v>
      </c>
      <c r="C4556" s="131" t="s">
        <v>250</v>
      </c>
      <c r="D4556" s="132" t="n">
        <v>46604</v>
      </c>
      <c r="E4556" s="131" t="s">
        <v>14</v>
      </c>
      <c r="F4556" s="133" t="s">
        <v>11</v>
      </c>
      <c r="G4556" s="134" t="n">
        <f aca="false">LEN('Saisie programme'!$G$184)+SUMIFS('Vols additionnels'!$E$7:$E$66,'Vols additionnels'!$C$7:$C$66,$E4556,'Vols additionnels'!$D$7:$D$66,$F4556,'Vols additionnels'!$B$7:$B$66,$D4556)</f>
        <v>0</v>
      </c>
      <c r="H4556" s="135" t="n">
        <f aca="false">$G4556*'Analyse capacite'!$F$7</f>
        <v>0</v>
      </c>
      <c r="I4556" s="135" t="n">
        <f aca="false">$G4556*'Analyse capacite'!$C$7</f>
        <v>0</v>
      </c>
      <c r="J4556" s="135" t="n">
        <f aca="false">$G4556*'Analyse capacite'!$D$7</f>
        <v>0</v>
      </c>
      <c r="K4556" s="135" t="n">
        <f aca="false">$G4556*'Analyse capacite'!$E$7</f>
        <v>0</v>
      </c>
    </row>
    <row r="4557" customFormat="false" ht="15" hidden="false" customHeight="false" outlineLevel="0" collapsed="false">
      <c r="B4557" s="130" t="n">
        <v>2027</v>
      </c>
      <c r="C4557" s="131" t="s">
        <v>250</v>
      </c>
      <c r="D4557" s="132" t="n">
        <v>46604</v>
      </c>
      <c r="E4557" s="131" t="s">
        <v>14</v>
      </c>
      <c r="F4557" s="133" t="s">
        <v>19</v>
      </c>
      <c r="G4557" s="134" t="n">
        <f aca="false">LEN('Saisie programme'!$G$185)+SUMIFS('Vols additionnels'!$E$7:$E$66,'Vols additionnels'!$C$7:$C$66,$E4557,'Vols additionnels'!$D$7:$D$66,$F4557,'Vols additionnels'!$B$7:$B$66,$D4557)</f>
        <v>0</v>
      </c>
      <c r="H4557" s="135" t="n">
        <f aca="false">$G4557*'Analyse capacite'!$F$8</f>
        <v>0</v>
      </c>
      <c r="I4557" s="135" t="n">
        <f aca="false">$G4557*'Analyse capacite'!$C$8</f>
        <v>0</v>
      </c>
      <c r="J4557" s="135" t="n">
        <f aca="false">$G4557*'Analyse capacite'!$D$8</f>
        <v>0</v>
      </c>
      <c r="K4557" s="135" t="n">
        <f aca="false">$G4557*'Analyse capacite'!$E$8</f>
        <v>0</v>
      </c>
    </row>
    <row r="4558" customFormat="false" ht="15" hidden="false" customHeight="false" outlineLevel="0" collapsed="false">
      <c r="B4558" s="130" t="n">
        <v>2027</v>
      </c>
      <c r="C4558" s="131" t="s">
        <v>250</v>
      </c>
      <c r="D4558" s="132" t="n">
        <v>46604</v>
      </c>
      <c r="E4558" s="131" t="s">
        <v>14</v>
      </c>
      <c r="F4558" s="133" t="s">
        <v>24</v>
      </c>
      <c r="G4558" s="134" t="n">
        <f aca="false">LEN('Saisie programme'!$G$186)+SUMIFS('Vols additionnels'!$E$7:$E$66,'Vols additionnels'!$C$7:$C$66,$E4558,'Vols additionnels'!$D$7:$D$66,$F4558,'Vols additionnels'!$B$7:$B$66,$D4558)</f>
        <v>1</v>
      </c>
      <c r="H4558" s="135" t="n">
        <f aca="false">$G4558*'Analyse capacite'!$F$9</f>
        <v>174</v>
      </c>
      <c r="I4558" s="135" t="n">
        <f aca="false">$G4558*'Analyse capacite'!$C$9</f>
        <v>0</v>
      </c>
      <c r="J4558" s="135" t="n">
        <f aca="false">$G4558*'Analyse capacite'!$D$9</f>
        <v>12</v>
      </c>
      <c r="K4558" s="135" t="n">
        <f aca="false">$G4558*'Analyse capacite'!$E$9</f>
        <v>162</v>
      </c>
    </row>
    <row r="4559" customFormat="false" ht="15" hidden="false" customHeight="false" outlineLevel="0" collapsed="false">
      <c r="B4559" s="130" t="n">
        <v>2027</v>
      </c>
      <c r="C4559" s="131" t="s">
        <v>250</v>
      </c>
      <c r="D4559" s="132" t="n">
        <v>46604</v>
      </c>
      <c r="E4559" s="131" t="s">
        <v>46</v>
      </c>
      <c r="F4559" s="133" t="s">
        <v>11</v>
      </c>
      <c r="G4559" s="134" t="n">
        <f aca="false">LEN('Saisie programme'!$G$187)+SUMIFS('Vols additionnels'!$E$7:$E$66,'Vols additionnels'!$C$7:$C$66,$E4559,'Vols additionnels'!$D$7:$D$66,$F4559,'Vols additionnels'!$B$7:$B$66,$D4559)</f>
        <v>0</v>
      </c>
      <c r="H4559" s="135" t="n">
        <f aca="false">$G4559*'Analyse capacite'!$F$7</f>
        <v>0</v>
      </c>
      <c r="I4559" s="135" t="n">
        <f aca="false">$G4559*'Analyse capacite'!$C$7</f>
        <v>0</v>
      </c>
      <c r="J4559" s="135" t="n">
        <f aca="false">$G4559*'Analyse capacite'!$D$7</f>
        <v>0</v>
      </c>
      <c r="K4559" s="135" t="n">
        <f aca="false">$G4559*'Analyse capacite'!$E$7</f>
        <v>0</v>
      </c>
    </row>
    <row r="4560" customFormat="false" ht="15" hidden="false" customHeight="false" outlineLevel="0" collapsed="false">
      <c r="B4560" s="130" t="n">
        <v>2027</v>
      </c>
      <c r="C4560" s="131" t="s">
        <v>250</v>
      </c>
      <c r="D4560" s="132" t="n">
        <v>46604</v>
      </c>
      <c r="E4560" s="131" t="s">
        <v>46</v>
      </c>
      <c r="F4560" s="133" t="s">
        <v>19</v>
      </c>
      <c r="G4560" s="134" t="n">
        <f aca="false">LEN('Saisie programme'!$G$188)+SUMIFS('Vols additionnels'!$E$7:$E$66,'Vols additionnels'!$C$7:$C$66,$E4560,'Vols additionnels'!$D$7:$D$66,$F4560,'Vols additionnels'!$B$7:$B$66,$D4560)</f>
        <v>0</v>
      </c>
      <c r="H4560" s="135" t="n">
        <f aca="false">$G4560*'Analyse capacite'!$F$8</f>
        <v>0</v>
      </c>
      <c r="I4560" s="135" t="n">
        <f aca="false">$G4560*'Analyse capacite'!$C$8</f>
        <v>0</v>
      </c>
      <c r="J4560" s="135" t="n">
        <f aca="false">$G4560*'Analyse capacite'!$D$8</f>
        <v>0</v>
      </c>
      <c r="K4560" s="135" t="n">
        <f aca="false">$G4560*'Analyse capacite'!$E$8</f>
        <v>0</v>
      </c>
    </row>
    <row r="4561" customFormat="false" ht="15" hidden="false" customHeight="false" outlineLevel="0" collapsed="false">
      <c r="B4561" s="130" t="n">
        <v>2027</v>
      </c>
      <c r="C4561" s="131" t="s">
        <v>250</v>
      </c>
      <c r="D4561" s="132" t="n">
        <v>46604</v>
      </c>
      <c r="E4561" s="131" t="s">
        <v>46</v>
      </c>
      <c r="F4561" s="133" t="s">
        <v>24</v>
      </c>
      <c r="G4561" s="134" t="n">
        <f aca="false">LEN('Saisie programme'!$G$189)+SUMIFS('Vols additionnels'!$E$7:$E$66,'Vols additionnels'!$C$7:$C$66,$E4561,'Vols additionnels'!$D$7:$D$66,$F4561,'Vols additionnels'!$B$7:$B$66,$D4561)</f>
        <v>1</v>
      </c>
      <c r="H4561" s="135" t="n">
        <f aca="false">$G4561*'Analyse capacite'!$F$9</f>
        <v>174</v>
      </c>
      <c r="I4561" s="135" t="n">
        <f aca="false">$G4561*'Analyse capacite'!$C$9</f>
        <v>0</v>
      </c>
      <c r="J4561" s="135" t="n">
        <f aca="false">$G4561*'Analyse capacite'!$D$9</f>
        <v>12</v>
      </c>
      <c r="K4561" s="135" t="n">
        <f aca="false">$G4561*'Analyse capacite'!$E$9</f>
        <v>162</v>
      </c>
    </row>
    <row r="4562" customFormat="false" ht="15" hidden="false" customHeight="false" outlineLevel="0" collapsed="false">
      <c r="B4562" s="130" t="n">
        <v>2027</v>
      </c>
      <c r="C4562" s="131" t="s">
        <v>250</v>
      </c>
      <c r="D4562" s="132" t="n">
        <v>46604</v>
      </c>
      <c r="E4562" s="131" t="s">
        <v>49</v>
      </c>
      <c r="F4562" s="133" t="s">
        <v>11</v>
      </c>
      <c r="G4562" s="134" t="n">
        <f aca="false">LEN('Saisie programme'!$G$190)+SUMIFS('Vols additionnels'!$E$7:$E$66,'Vols additionnels'!$C$7:$C$66,$E4562,'Vols additionnels'!$D$7:$D$66,$F4562,'Vols additionnels'!$B$7:$B$66,$D4562)</f>
        <v>0</v>
      </c>
      <c r="H4562" s="135" t="n">
        <f aca="false">$G4562*'Analyse capacite'!$F$7</f>
        <v>0</v>
      </c>
      <c r="I4562" s="135" t="n">
        <f aca="false">$G4562*'Analyse capacite'!$C$7</f>
        <v>0</v>
      </c>
      <c r="J4562" s="135" t="n">
        <f aca="false">$G4562*'Analyse capacite'!$D$7</f>
        <v>0</v>
      </c>
      <c r="K4562" s="135" t="n">
        <f aca="false">$G4562*'Analyse capacite'!$E$7</f>
        <v>0</v>
      </c>
    </row>
    <row r="4563" customFormat="false" ht="15" hidden="false" customHeight="false" outlineLevel="0" collapsed="false">
      <c r="B4563" s="130" t="n">
        <v>2027</v>
      </c>
      <c r="C4563" s="131" t="s">
        <v>250</v>
      </c>
      <c r="D4563" s="132" t="n">
        <v>46604</v>
      </c>
      <c r="E4563" s="131" t="s">
        <v>49</v>
      </c>
      <c r="F4563" s="133" t="s">
        <v>19</v>
      </c>
      <c r="G4563" s="134" t="n">
        <f aca="false">LEN('Saisie programme'!$G$191)+SUMIFS('Vols additionnels'!$E$7:$E$66,'Vols additionnels'!$C$7:$C$66,$E4563,'Vols additionnels'!$D$7:$D$66,$F4563,'Vols additionnels'!$B$7:$B$66,$D4563)</f>
        <v>0</v>
      </c>
      <c r="H4563" s="135" t="n">
        <f aca="false">$G4563*'Analyse capacite'!$F$8</f>
        <v>0</v>
      </c>
      <c r="I4563" s="135" t="n">
        <f aca="false">$G4563*'Analyse capacite'!$C$8</f>
        <v>0</v>
      </c>
      <c r="J4563" s="135" t="n">
        <f aca="false">$G4563*'Analyse capacite'!$D$8</f>
        <v>0</v>
      </c>
      <c r="K4563" s="135" t="n">
        <f aca="false">$G4563*'Analyse capacite'!$E$8</f>
        <v>0</v>
      </c>
    </row>
    <row r="4564" customFormat="false" ht="15" hidden="false" customHeight="false" outlineLevel="0" collapsed="false">
      <c r="B4564" s="130" t="n">
        <v>2027</v>
      </c>
      <c r="C4564" s="131" t="s">
        <v>250</v>
      </c>
      <c r="D4564" s="132" t="n">
        <v>46604</v>
      </c>
      <c r="E4564" s="131" t="s">
        <v>49</v>
      </c>
      <c r="F4564" s="133" t="s">
        <v>24</v>
      </c>
      <c r="G4564" s="134" t="n">
        <f aca="false">LEN('Saisie programme'!$G$192)+SUMIFS('Vols additionnels'!$E$7:$E$66,'Vols additionnels'!$C$7:$C$66,$E4564,'Vols additionnels'!$D$7:$D$66,$F4564,'Vols additionnels'!$B$7:$B$66,$D4564)</f>
        <v>0</v>
      </c>
      <c r="H4564" s="135" t="n">
        <f aca="false">$G4564*'Analyse capacite'!$F$9</f>
        <v>0</v>
      </c>
      <c r="I4564" s="135" t="n">
        <f aca="false">$G4564*'Analyse capacite'!$C$9</f>
        <v>0</v>
      </c>
      <c r="J4564" s="135" t="n">
        <f aca="false">$G4564*'Analyse capacite'!$D$9</f>
        <v>0</v>
      </c>
      <c r="K4564" s="135" t="n">
        <f aca="false">$G4564*'Analyse capacite'!$E$9</f>
        <v>0</v>
      </c>
    </row>
    <row r="4565" customFormat="false" ht="15" hidden="false" customHeight="false" outlineLevel="0" collapsed="false">
      <c r="B4565" s="130" t="n">
        <v>2027</v>
      </c>
      <c r="C4565" s="131" t="s">
        <v>250</v>
      </c>
      <c r="D4565" s="132" t="n">
        <v>46604</v>
      </c>
      <c r="E4565" s="131" t="s">
        <v>53</v>
      </c>
      <c r="F4565" s="133" t="s">
        <v>11</v>
      </c>
      <c r="G4565" s="134" t="n">
        <f aca="false">LEN('Saisie programme'!$G$193)+SUMIFS('Vols additionnels'!$E$7:$E$66,'Vols additionnels'!$C$7:$C$66,$E4565,'Vols additionnels'!$D$7:$D$66,$F4565,'Vols additionnels'!$B$7:$B$66,$D4565)</f>
        <v>0</v>
      </c>
      <c r="H4565" s="135" t="n">
        <f aca="false">$G4565*'Analyse capacite'!$F$7</f>
        <v>0</v>
      </c>
      <c r="I4565" s="135" t="n">
        <f aca="false">$G4565*'Analyse capacite'!$C$7</f>
        <v>0</v>
      </c>
      <c r="J4565" s="135" t="n">
        <f aca="false">$G4565*'Analyse capacite'!$D$7</f>
        <v>0</v>
      </c>
      <c r="K4565" s="135" t="n">
        <f aca="false">$G4565*'Analyse capacite'!$E$7</f>
        <v>0</v>
      </c>
    </row>
    <row r="4566" customFormat="false" ht="15" hidden="false" customHeight="false" outlineLevel="0" collapsed="false">
      <c r="B4566" s="130" t="n">
        <v>2027</v>
      </c>
      <c r="C4566" s="131" t="s">
        <v>250</v>
      </c>
      <c r="D4566" s="132" t="n">
        <v>46604</v>
      </c>
      <c r="E4566" s="131" t="s">
        <v>53</v>
      </c>
      <c r="F4566" s="133" t="s">
        <v>19</v>
      </c>
      <c r="G4566" s="134" t="n">
        <f aca="false">LEN('Saisie programme'!$G$194)+SUMIFS('Vols additionnels'!$E$7:$E$66,'Vols additionnels'!$C$7:$C$66,$E4566,'Vols additionnels'!$D$7:$D$66,$F4566,'Vols additionnels'!$B$7:$B$66,$D4566)</f>
        <v>1</v>
      </c>
      <c r="H4566" s="135" t="n">
        <f aca="false">$G4566*'Analyse capacite'!$F$8</f>
        <v>262</v>
      </c>
      <c r="I4566" s="135" t="n">
        <f aca="false">$G4566*'Analyse capacite'!$C$8</f>
        <v>18</v>
      </c>
      <c r="J4566" s="135" t="n">
        <f aca="false">$G4566*'Analyse capacite'!$D$8</f>
        <v>0</v>
      </c>
      <c r="K4566" s="135" t="n">
        <f aca="false">$G4566*'Analyse capacite'!$E$8</f>
        <v>244</v>
      </c>
    </row>
    <row r="4567" customFormat="false" ht="15" hidden="false" customHeight="false" outlineLevel="0" collapsed="false">
      <c r="B4567" s="130" t="n">
        <v>2027</v>
      </c>
      <c r="C4567" s="131" t="s">
        <v>250</v>
      </c>
      <c r="D4567" s="132" t="n">
        <v>46604</v>
      </c>
      <c r="E4567" s="131" t="s">
        <v>53</v>
      </c>
      <c r="F4567" s="133" t="s">
        <v>24</v>
      </c>
      <c r="G4567" s="134" t="n">
        <f aca="false">LEN('Saisie programme'!$G$195)+SUMIFS('Vols additionnels'!$E$7:$E$66,'Vols additionnels'!$C$7:$C$66,$E4567,'Vols additionnels'!$D$7:$D$66,$F4567,'Vols additionnels'!$B$7:$B$66,$D4567)</f>
        <v>0</v>
      </c>
      <c r="H4567" s="135" t="n">
        <f aca="false">$G4567*'Analyse capacite'!$F$9</f>
        <v>0</v>
      </c>
      <c r="I4567" s="135" t="n">
        <f aca="false">$G4567*'Analyse capacite'!$C$9</f>
        <v>0</v>
      </c>
      <c r="J4567" s="135" t="n">
        <f aca="false">$G4567*'Analyse capacite'!$D$9</f>
        <v>0</v>
      </c>
      <c r="K4567" s="135" t="n">
        <f aca="false">$G4567*'Analyse capacite'!$E$9</f>
        <v>0</v>
      </c>
    </row>
    <row r="4568" customFormat="false" ht="15" hidden="false" customHeight="false" outlineLevel="0" collapsed="false">
      <c r="B4568" s="130" t="n">
        <v>2027</v>
      </c>
      <c r="C4568" s="131" t="s">
        <v>250</v>
      </c>
      <c r="D4568" s="132" t="n">
        <v>46604</v>
      </c>
      <c r="E4568" s="131" t="s">
        <v>56</v>
      </c>
      <c r="F4568" s="133" t="s">
        <v>11</v>
      </c>
      <c r="G4568" s="134" t="n">
        <f aca="false">LEN('Saisie programme'!$G$196)+SUMIFS('Vols additionnels'!$E$7:$E$66,'Vols additionnels'!$C$7:$C$66,$E4568,'Vols additionnels'!$D$7:$D$66,$F4568,'Vols additionnels'!$B$7:$B$66,$D4568)</f>
        <v>0</v>
      </c>
      <c r="H4568" s="135" t="n">
        <f aca="false">$G4568*'Analyse capacite'!$F$7</f>
        <v>0</v>
      </c>
      <c r="I4568" s="135" t="n">
        <f aca="false">$G4568*'Analyse capacite'!$C$7</f>
        <v>0</v>
      </c>
      <c r="J4568" s="135" t="n">
        <f aca="false">$G4568*'Analyse capacite'!$D$7</f>
        <v>0</v>
      </c>
      <c r="K4568" s="135" t="n">
        <f aca="false">$G4568*'Analyse capacite'!$E$7</f>
        <v>0</v>
      </c>
    </row>
    <row r="4569" customFormat="false" ht="15" hidden="false" customHeight="false" outlineLevel="0" collapsed="false">
      <c r="B4569" s="130" t="n">
        <v>2027</v>
      </c>
      <c r="C4569" s="131" t="s">
        <v>250</v>
      </c>
      <c r="D4569" s="132" t="n">
        <v>46604</v>
      </c>
      <c r="E4569" s="131" t="s">
        <v>56</v>
      </c>
      <c r="F4569" s="133" t="s">
        <v>19</v>
      </c>
      <c r="G4569" s="134" t="n">
        <f aca="false">LEN('Saisie programme'!$G$197)+SUMIFS('Vols additionnels'!$E$7:$E$66,'Vols additionnels'!$C$7:$C$66,$E4569,'Vols additionnels'!$D$7:$D$66,$F4569,'Vols additionnels'!$B$7:$B$66,$D4569)</f>
        <v>0</v>
      </c>
      <c r="H4569" s="135" t="n">
        <f aca="false">$G4569*'Analyse capacite'!$F$8</f>
        <v>0</v>
      </c>
      <c r="I4569" s="135" t="n">
        <f aca="false">$G4569*'Analyse capacite'!$C$8</f>
        <v>0</v>
      </c>
      <c r="J4569" s="135" t="n">
        <f aca="false">$G4569*'Analyse capacite'!$D$8</f>
        <v>0</v>
      </c>
      <c r="K4569" s="135" t="n">
        <f aca="false">$G4569*'Analyse capacite'!$E$8</f>
        <v>0</v>
      </c>
    </row>
    <row r="4570" customFormat="false" ht="15" hidden="false" customHeight="false" outlineLevel="0" collapsed="false">
      <c r="B4570" s="130" t="n">
        <v>2027</v>
      </c>
      <c r="C4570" s="131" t="s">
        <v>250</v>
      </c>
      <c r="D4570" s="132" t="n">
        <v>46604</v>
      </c>
      <c r="E4570" s="131" t="s">
        <v>56</v>
      </c>
      <c r="F4570" s="133" t="s">
        <v>24</v>
      </c>
      <c r="G4570" s="134" t="n">
        <f aca="false">LEN('Saisie programme'!$G$198)+SUMIFS('Vols additionnels'!$E$7:$E$66,'Vols additionnels'!$C$7:$C$66,$E4570,'Vols additionnels'!$D$7:$D$66,$F4570,'Vols additionnels'!$B$7:$B$66,$D4570)</f>
        <v>0</v>
      </c>
      <c r="H4570" s="135" t="n">
        <f aca="false">$G4570*'Analyse capacite'!$F$9</f>
        <v>0</v>
      </c>
      <c r="I4570" s="135" t="n">
        <f aca="false">$G4570*'Analyse capacite'!$C$9</f>
        <v>0</v>
      </c>
      <c r="J4570" s="135" t="n">
        <f aca="false">$G4570*'Analyse capacite'!$D$9</f>
        <v>0</v>
      </c>
      <c r="K4570" s="135" t="n">
        <f aca="false">$G4570*'Analyse capacite'!$E$9</f>
        <v>0</v>
      </c>
    </row>
    <row r="4571" customFormat="false" ht="15" hidden="false" customHeight="false" outlineLevel="0" collapsed="false">
      <c r="B4571" s="130" t="n">
        <v>2027</v>
      </c>
      <c r="C4571" s="131" t="s">
        <v>250</v>
      </c>
      <c r="D4571" s="132" t="n">
        <v>46604</v>
      </c>
      <c r="E4571" s="131" t="s">
        <v>59</v>
      </c>
      <c r="F4571" s="133" t="s">
        <v>11</v>
      </c>
      <c r="G4571" s="134" t="n">
        <f aca="false">LEN('Saisie programme'!$G$199)+SUMIFS('Vols additionnels'!$E$7:$E$66,'Vols additionnels'!$C$7:$C$66,$E4571,'Vols additionnels'!$D$7:$D$66,$F4571,'Vols additionnels'!$B$7:$B$66,$D4571)</f>
        <v>0</v>
      </c>
      <c r="H4571" s="135" t="n">
        <f aca="false">$G4571*'Analyse capacite'!$F$7</f>
        <v>0</v>
      </c>
      <c r="I4571" s="135" t="n">
        <f aca="false">$G4571*'Analyse capacite'!$C$7</f>
        <v>0</v>
      </c>
      <c r="J4571" s="135" t="n">
        <f aca="false">$G4571*'Analyse capacite'!$D$7</f>
        <v>0</v>
      </c>
      <c r="K4571" s="135" t="n">
        <f aca="false">$G4571*'Analyse capacite'!$E$7</f>
        <v>0</v>
      </c>
    </row>
    <row r="4572" customFormat="false" ht="15" hidden="false" customHeight="false" outlineLevel="0" collapsed="false">
      <c r="B4572" s="130" t="n">
        <v>2027</v>
      </c>
      <c r="C4572" s="131" t="s">
        <v>250</v>
      </c>
      <c r="D4572" s="132" t="n">
        <v>46604</v>
      </c>
      <c r="E4572" s="131" t="s">
        <v>59</v>
      </c>
      <c r="F4572" s="133" t="s">
        <v>19</v>
      </c>
      <c r="G4572" s="134" t="n">
        <f aca="false">LEN('Saisie programme'!$G$200)+SUMIFS('Vols additionnels'!$E$7:$E$66,'Vols additionnels'!$C$7:$C$66,$E4572,'Vols additionnels'!$D$7:$D$66,$F4572,'Vols additionnels'!$B$7:$B$66,$D4572)</f>
        <v>0</v>
      </c>
      <c r="H4572" s="135" t="n">
        <f aca="false">$G4572*'Analyse capacite'!$F$8</f>
        <v>0</v>
      </c>
      <c r="I4572" s="135" t="n">
        <f aca="false">$G4572*'Analyse capacite'!$C$8</f>
        <v>0</v>
      </c>
      <c r="J4572" s="135" t="n">
        <f aca="false">$G4572*'Analyse capacite'!$D$8</f>
        <v>0</v>
      </c>
      <c r="K4572" s="135" t="n">
        <f aca="false">$G4572*'Analyse capacite'!$E$8</f>
        <v>0</v>
      </c>
    </row>
    <row r="4573" customFormat="false" ht="15" hidden="false" customHeight="false" outlineLevel="0" collapsed="false">
      <c r="B4573" s="130" t="n">
        <v>2027</v>
      </c>
      <c r="C4573" s="131" t="s">
        <v>250</v>
      </c>
      <c r="D4573" s="132" t="n">
        <v>46604</v>
      </c>
      <c r="E4573" s="131" t="s">
        <v>59</v>
      </c>
      <c r="F4573" s="133" t="s">
        <v>24</v>
      </c>
      <c r="G4573" s="134" t="n">
        <f aca="false">LEN('Saisie programme'!$G$201)+SUMIFS('Vols additionnels'!$E$7:$E$66,'Vols additionnels'!$C$7:$C$66,$E4573,'Vols additionnels'!$D$7:$D$66,$F4573,'Vols additionnels'!$B$7:$B$66,$D4573)</f>
        <v>2</v>
      </c>
      <c r="H4573" s="135" t="n">
        <f aca="false">$G4573*'Analyse capacite'!$F$9</f>
        <v>348</v>
      </c>
      <c r="I4573" s="135" t="n">
        <f aca="false">$G4573*'Analyse capacite'!$C$9</f>
        <v>0</v>
      </c>
      <c r="J4573" s="135" t="n">
        <f aca="false">$G4573*'Analyse capacite'!$D$9</f>
        <v>24</v>
      </c>
      <c r="K4573" s="135" t="n">
        <f aca="false">$G4573*'Analyse capacite'!$E$9</f>
        <v>324</v>
      </c>
    </row>
    <row r="4574" customFormat="false" ht="15" hidden="false" customHeight="false" outlineLevel="0" collapsed="false">
      <c r="B4574" s="130" t="n">
        <v>2027</v>
      </c>
      <c r="C4574" s="131" t="s">
        <v>250</v>
      </c>
      <c r="D4574" s="132" t="n">
        <v>46604</v>
      </c>
      <c r="E4574" s="131" t="s">
        <v>62</v>
      </c>
      <c r="F4574" s="133" t="s">
        <v>11</v>
      </c>
      <c r="G4574" s="134" t="n">
        <f aca="false">LEN('Saisie programme'!$G$202)+SUMIFS('Vols additionnels'!$E$7:$E$66,'Vols additionnels'!$C$7:$C$66,$E4574,'Vols additionnels'!$D$7:$D$66,$F4574,'Vols additionnels'!$B$7:$B$66,$D4574)</f>
        <v>0</v>
      </c>
      <c r="H4574" s="135" t="n">
        <f aca="false">$G4574*'Analyse capacite'!$F$7</f>
        <v>0</v>
      </c>
      <c r="I4574" s="135" t="n">
        <f aca="false">$G4574*'Analyse capacite'!$C$7</f>
        <v>0</v>
      </c>
      <c r="J4574" s="135" t="n">
        <f aca="false">$G4574*'Analyse capacite'!$D$7</f>
        <v>0</v>
      </c>
      <c r="K4574" s="135" t="n">
        <f aca="false">$G4574*'Analyse capacite'!$E$7</f>
        <v>0</v>
      </c>
    </row>
    <row r="4575" customFormat="false" ht="15" hidden="false" customHeight="false" outlineLevel="0" collapsed="false">
      <c r="B4575" s="130" t="n">
        <v>2027</v>
      </c>
      <c r="C4575" s="131" t="s">
        <v>250</v>
      </c>
      <c r="D4575" s="132" t="n">
        <v>46604</v>
      </c>
      <c r="E4575" s="131" t="s">
        <v>62</v>
      </c>
      <c r="F4575" s="133" t="s">
        <v>19</v>
      </c>
      <c r="G4575" s="134" t="n">
        <f aca="false">LEN('Saisie programme'!$G$203)+SUMIFS('Vols additionnels'!$E$7:$E$66,'Vols additionnels'!$C$7:$C$66,$E4575,'Vols additionnels'!$D$7:$D$66,$F4575,'Vols additionnels'!$B$7:$B$66,$D4575)</f>
        <v>0</v>
      </c>
      <c r="H4575" s="135" t="n">
        <f aca="false">$G4575*'Analyse capacite'!$F$8</f>
        <v>0</v>
      </c>
      <c r="I4575" s="135" t="n">
        <f aca="false">$G4575*'Analyse capacite'!$C$8</f>
        <v>0</v>
      </c>
      <c r="J4575" s="135" t="n">
        <f aca="false">$G4575*'Analyse capacite'!$D$8</f>
        <v>0</v>
      </c>
      <c r="K4575" s="135" t="n">
        <f aca="false">$G4575*'Analyse capacite'!$E$8</f>
        <v>0</v>
      </c>
    </row>
    <row r="4576" customFormat="false" ht="15" hidden="false" customHeight="false" outlineLevel="0" collapsed="false">
      <c r="B4576" s="130" t="n">
        <v>2027</v>
      </c>
      <c r="C4576" s="131" t="s">
        <v>250</v>
      </c>
      <c r="D4576" s="132" t="n">
        <v>46604</v>
      </c>
      <c r="E4576" s="131" t="s">
        <v>62</v>
      </c>
      <c r="F4576" s="133" t="s">
        <v>24</v>
      </c>
      <c r="G4576" s="134" t="n">
        <f aca="false">LEN('Saisie programme'!$G$204)+SUMIFS('Vols additionnels'!$E$7:$E$66,'Vols additionnels'!$C$7:$C$66,$E4576,'Vols additionnels'!$D$7:$D$66,$F4576,'Vols additionnels'!$B$7:$B$66,$D4576)</f>
        <v>0</v>
      </c>
      <c r="H4576" s="135" t="n">
        <f aca="false">$G4576*'Analyse capacite'!$F$9</f>
        <v>0</v>
      </c>
      <c r="I4576" s="135" t="n">
        <f aca="false">$G4576*'Analyse capacite'!$C$9</f>
        <v>0</v>
      </c>
      <c r="J4576" s="135" t="n">
        <f aca="false">$G4576*'Analyse capacite'!$D$9</f>
        <v>0</v>
      </c>
      <c r="K4576" s="135" t="n">
        <f aca="false">$G4576*'Analyse capacite'!$E$9</f>
        <v>0</v>
      </c>
    </row>
    <row r="4577" customFormat="false" ht="15" hidden="false" customHeight="false" outlineLevel="0" collapsed="false">
      <c r="B4577" s="130" t="n">
        <v>2027</v>
      </c>
      <c r="C4577" s="131" t="s">
        <v>250</v>
      </c>
      <c r="D4577" s="132" t="n">
        <v>46605</v>
      </c>
      <c r="E4577" s="131" t="s">
        <v>12</v>
      </c>
      <c r="F4577" s="133" t="s">
        <v>11</v>
      </c>
      <c r="G4577" s="134" t="n">
        <f aca="false">LEN('Saisie programme'!$H$169)+SUMIFS('Vols additionnels'!$E$7:$E$66,'Vols additionnels'!$C$7:$C$66,$E4577,'Vols additionnels'!$D$7:$D$66,$F4577,'Vols additionnels'!$B$7:$B$66,$D4577)</f>
        <v>1</v>
      </c>
      <c r="H4577" s="135" t="n">
        <f aca="false">$G4577*'Analyse capacite'!$F$7</f>
        <v>438</v>
      </c>
      <c r="I4577" s="135" t="n">
        <f aca="false">$G4577*'Analyse capacite'!$C$7</f>
        <v>14</v>
      </c>
      <c r="J4577" s="135" t="n">
        <f aca="false">$G4577*'Analyse capacite'!$D$7</f>
        <v>40</v>
      </c>
      <c r="K4577" s="135" t="n">
        <f aca="false">$G4577*'Analyse capacite'!$E$7</f>
        <v>384</v>
      </c>
    </row>
    <row r="4578" customFormat="false" ht="15" hidden="false" customHeight="false" outlineLevel="0" collapsed="false">
      <c r="B4578" s="130" t="n">
        <v>2027</v>
      </c>
      <c r="C4578" s="131" t="s">
        <v>250</v>
      </c>
      <c r="D4578" s="132" t="n">
        <v>46605</v>
      </c>
      <c r="E4578" s="131" t="s">
        <v>12</v>
      </c>
      <c r="F4578" s="133" t="s">
        <v>19</v>
      </c>
      <c r="G4578" s="134" t="n">
        <f aca="false">LEN('Saisie programme'!$H$170)+SUMIFS('Vols additionnels'!$E$7:$E$66,'Vols additionnels'!$C$7:$C$66,$E4578,'Vols additionnels'!$D$7:$D$66,$F4578,'Vols additionnels'!$B$7:$B$66,$D4578)</f>
        <v>1</v>
      </c>
      <c r="H4578" s="135" t="n">
        <f aca="false">$G4578*'Analyse capacite'!$F$8</f>
        <v>262</v>
      </c>
      <c r="I4578" s="135" t="n">
        <f aca="false">$G4578*'Analyse capacite'!$C$8</f>
        <v>18</v>
      </c>
      <c r="J4578" s="135" t="n">
        <f aca="false">$G4578*'Analyse capacite'!$D$8</f>
        <v>0</v>
      </c>
      <c r="K4578" s="135" t="n">
        <f aca="false">$G4578*'Analyse capacite'!$E$8</f>
        <v>244</v>
      </c>
    </row>
    <row r="4579" customFormat="false" ht="15" hidden="false" customHeight="false" outlineLevel="0" collapsed="false">
      <c r="B4579" s="130" t="n">
        <v>2027</v>
      </c>
      <c r="C4579" s="131" t="s">
        <v>250</v>
      </c>
      <c r="D4579" s="132" t="n">
        <v>46605</v>
      </c>
      <c r="E4579" s="131" t="s">
        <v>12</v>
      </c>
      <c r="F4579" s="133" t="s">
        <v>24</v>
      </c>
      <c r="G4579" s="134" t="n">
        <f aca="false">LEN('Saisie programme'!$H$171)+SUMIFS('Vols additionnels'!$E$7:$E$66,'Vols additionnels'!$C$7:$C$66,$E4579,'Vols additionnels'!$D$7:$D$66,$F4579,'Vols additionnels'!$B$7:$B$66,$D4579)</f>
        <v>0</v>
      </c>
      <c r="H4579" s="135" t="n">
        <f aca="false">$G4579*'Analyse capacite'!$F$9</f>
        <v>0</v>
      </c>
      <c r="I4579" s="135" t="n">
        <f aca="false">$G4579*'Analyse capacite'!$C$9</f>
        <v>0</v>
      </c>
      <c r="J4579" s="135" t="n">
        <f aca="false">$G4579*'Analyse capacite'!$D$9</f>
        <v>0</v>
      </c>
      <c r="K4579" s="135" t="n">
        <f aca="false">$G4579*'Analyse capacite'!$E$9</f>
        <v>0</v>
      </c>
    </row>
    <row r="4580" customFormat="false" ht="15" hidden="false" customHeight="false" outlineLevel="0" collapsed="false">
      <c r="B4580" s="130" t="n">
        <v>2027</v>
      </c>
      <c r="C4580" s="131" t="s">
        <v>250</v>
      </c>
      <c r="D4580" s="132" t="n">
        <v>46605</v>
      </c>
      <c r="E4580" s="131" t="s">
        <v>20</v>
      </c>
      <c r="F4580" s="133" t="s">
        <v>11</v>
      </c>
      <c r="G4580" s="134" t="n">
        <f aca="false">LEN('Saisie programme'!$H$172)+SUMIFS('Vols additionnels'!$E$7:$E$66,'Vols additionnels'!$C$7:$C$66,$E4580,'Vols additionnels'!$D$7:$D$66,$F4580,'Vols additionnels'!$B$7:$B$66,$D4580)</f>
        <v>0</v>
      </c>
      <c r="H4580" s="135" t="n">
        <f aca="false">$G4580*'Analyse capacite'!$F$7</f>
        <v>0</v>
      </c>
      <c r="I4580" s="135" t="n">
        <f aca="false">$G4580*'Analyse capacite'!$C$7</f>
        <v>0</v>
      </c>
      <c r="J4580" s="135" t="n">
        <f aca="false">$G4580*'Analyse capacite'!$D$7</f>
        <v>0</v>
      </c>
      <c r="K4580" s="135" t="n">
        <f aca="false">$G4580*'Analyse capacite'!$E$7</f>
        <v>0</v>
      </c>
    </row>
    <row r="4581" customFormat="false" ht="15" hidden="false" customHeight="false" outlineLevel="0" collapsed="false">
      <c r="B4581" s="130" t="n">
        <v>2027</v>
      </c>
      <c r="C4581" s="131" t="s">
        <v>250</v>
      </c>
      <c r="D4581" s="132" t="n">
        <v>46605</v>
      </c>
      <c r="E4581" s="131" t="s">
        <v>20</v>
      </c>
      <c r="F4581" s="133" t="s">
        <v>19</v>
      </c>
      <c r="G4581" s="134" t="n">
        <f aca="false">LEN('Saisie programme'!$H$173)+SUMIFS('Vols additionnels'!$E$7:$E$66,'Vols additionnels'!$C$7:$C$66,$E4581,'Vols additionnels'!$D$7:$D$66,$F4581,'Vols additionnels'!$B$7:$B$66,$D4581)</f>
        <v>1</v>
      </c>
      <c r="H4581" s="135" t="n">
        <f aca="false">$G4581*'Analyse capacite'!$F$8</f>
        <v>262</v>
      </c>
      <c r="I4581" s="135" t="n">
        <f aca="false">$G4581*'Analyse capacite'!$C$8</f>
        <v>18</v>
      </c>
      <c r="J4581" s="135" t="n">
        <f aca="false">$G4581*'Analyse capacite'!$D$8</f>
        <v>0</v>
      </c>
      <c r="K4581" s="135" t="n">
        <f aca="false">$G4581*'Analyse capacite'!$E$8</f>
        <v>244</v>
      </c>
    </row>
    <row r="4582" customFormat="false" ht="15" hidden="false" customHeight="false" outlineLevel="0" collapsed="false">
      <c r="B4582" s="130" t="n">
        <v>2027</v>
      </c>
      <c r="C4582" s="131" t="s">
        <v>250</v>
      </c>
      <c r="D4582" s="132" t="n">
        <v>46605</v>
      </c>
      <c r="E4582" s="131" t="s">
        <v>20</v>
      </c>
      <c r="F4582" s="133" t="s">
        <v>24</v>
      </c>
      <c r="G4582" s="134" t="n">
        <f aca="false">LEN('Saisie programme'!$H$174)+SUMIFS('Vols additionnels'!$E$7:$E$66,'Vols additionnels'!$C$7:$C$66,$E4582,'Vols additionnels'!$D$7:$D$66,$F4582,'Vols additionnels'!$B$7:$B$66,$D4582)</f>
        <v>0</v>
      </c>
      <c r="H4582" s="135" t="n">
        <f aca="false">$G4582*'Analyse capacite'!$F$9</f>
        <v>0</v>
      </c>
      <c r="I4582" s="135" t="n">
        <f aca="false">$G4582*'Analyse capacite'!$C$9</f>
        <v>0</v>
      </c>
      <c r="J4582" s="135" t="n">
        <f aca="false">$G4582*'Analyse capacite'!$D$9</f>
        <v>0</v>
      </c>
      <c r="K4582" s="135" t="n">
        <f aca="false">$G4582*'Analyse capacite'!$E$9</f>
        <v>0</v>
      </c>
    </row>
    <row r="4583" customFormat="false" ht="15" hidden="false" customHeight="false" outlineLevel="0" collapsed="false">
      <c r="B4583" s="130" t="n">
        <v>2027</v>
      </c>
      <c r="C4583" s="131" t="s">
        <v>250</v>
      </c>
      <c r="D4583" s="132" t="n">
        <v>46605</v>
      </c>
      <c r="E4583" s="131" t="s">
        <v>25</v>
      </c>
      <c r="F4583" s="133" t="s">
        <v>11</v>
      </c>
      <c r="G4583" s="134" t="n">
        <f aca="false">LEN('Saisie programme'!$H$175)+SUMIFS('Vols additionnels'!$E$7:$E$66,'Vols additionnels'!$C$7:$C$66,$E4583,'Vols additionnels'!$D$7:$D$66,$F4583,'Vols additionnels'!$B$7:$B$66,$D4583)</f>
        <v>0</v>
      </c>
      <c r="H4583" s="135" t="n">
        <f aca="false">$G4583*'Analyse capacite'!$F$7</f>
        <v>0</v>
      </c>
      <c r="I4583" s="135" t="n">
        <f aca="false">$G4583*'Analyse capacite'!$C$7</f>
        <v>0</v>
      </c>
      <c r="J4583" s="135" t="n">
        <f aca="false">$G4583*'Analyse capacite'!$D$7</f>
        <v>0</v>
      </c>
      <c r="K4583" s="135" t="n">
        <f aca="false">$G4583*'Analyse capacite'!$E$7</f>
        <v>0</v>
      </c>
    </row>
    <row r="4584" customFormat="false" ht="15" hidden="false" customHeight="false" outlineLevel="0" collapsed="false">
      <c r="B4584" s="130" t="n">
        <v>2027</v>
      </c>
      <c r="C4584" s="131" t="s">
        <v>250</v>
      </c>
      <c r="D4584" s="132" t="n">
        <v>46605</v>
      </c>
      <c r="E4584" s="131" t="s">
        <v>25</v>
      </c>
      <c r="F4584" s="133" t="s">
        <v>19</v>
      </c>
      <c r="G4584" s="134" t="n">
        <f aca="false">LEN('Saisie programme'!$H$176)+SUMIFS('Vols additionnels'!$E$7:$E$66,'Vols additionnels'!$C$7:$C$66,$E4584,'Vols additionnels'!$D$7:$D$66,$F4584,'Vols additionnels'!$B$7:$B$66,$D4584)</f>
        <v>0</v>
      </c>
      <c r="H4584" s="135" t="n">
        <f aca="false">$G4584*'Analyse capacite'!$F$8</f>
        <v>0</v>
      </c>
      <c r="I4584" s="135" t="n">
        <f aca="false">$G4584*'Analyse capacite'!$C$8</f>
        <v>0</v>
      </c>
      <c r="J4584" s="135" t="n">
        <f aca="false">$G4584*'Analyse capacite'!$D$8</f>
        <v>0</v>
      </c>
      <c r="K4584" s="135" t="n">
        <f aca="false">$G4584*'Analyse capacite'!$E$8</f>
        <v>0</v>
      </c>
    </row>
    <row r="4585" customFormat="false" ht="15" hidden="false" customHeight="false" outlineLevel="0" collapsed="false">
      <c r="B4585" s="130" t="n">
        <v>2027</v>
      </c>
      <c r="C4585" s="131" t="s">
        <v>250</v>
      </c>
      <c r="D4585" s="132" t="n">
        <v>46605</v>
      </c>
      <c r="E4585" s="131" t="s">
        <v>25</v>
      </c>
      <c r="F4585" s="133" t="s">
        <v>24</v>
      </c>
      <c r="G4585" s="134" t="n">
        <f aca="false">LEN('Saisie programme'!$H$177)+SUMIFS('Vols additionnels'!$E$7:$E$66,'Vols additionnels'!$C$7:$C$66,$E4585,'Vols additionnels'!$D$7:$D$66,$F4585,'Vols additionnels'!$B$7:$B$66,$D4585)</f>
        <v>0</v>
      </c>
      <c r="H4585" s="135" t="n">
        <f aca="false">$G4585*'Analyse capacite'!$F$9</f>
        <v>0</v>
      </c>
      <c r="I4585" s="135" t="n">
        <f aca="false">$G4585*'Analyse capacite'!$C$9</f>
        <v>0</v>
      </c>
      <c r="J4585" s="135" t="n">
        <f aca="false">$G4585*'Analyse capacite'!$D$9</f>
        <v>0</v>
      </c>
      <c r="K4585" s="135" t="n">
        <f aca="false">$G4585*'Analyse capacite'!$E$9</f>
        <v>0</v>
      </c>
    </row>
    <row r="4586" customFormat="false" ht="15" hidden="false" customHeight="false" outlineLevel="0" collapsed="false">
      <c r="B4586" s="130" t="n">
        <v>2027</v>
      </c>
      <c r="C4586" s="131" t="s">
        <v>250</v>
      </c>
      <c r="D4586" s="132" t="n">
        <v>46605</v>
      </c>
      <c r="E4586" s="131" t="s">
        <v>36</v>
      </c>
      <c r="F4586" s="133" t="s">
        <v>11</v>
      </c>
      <c r="G4586" s="134" t="n">
        <f aca="false">LEN('Saisie programme'!$H$178)+SUMIFS('Vols additionnels'!$E$7:$E$66,'Vols additionnels'!$C$7:$C$66,$E4586,'Vols additionnels'!$D$7:$D$66,$F4586,'Vols additionnels'!$B$7:$B$66,$D4586)</f>
        <v>0</v>
      </c>
      <c r="H4586" s="135" t="n">
        <f aca="false">$G4586*'Analyse capacite'!$F$7</f>
        <v>0</v>
      </c>
      <c r="I4586" s="135" t="n">
        <f aca="false">$G4586*'Analyse capacite'!$C$7</f>
        <v>0</v>
      </c>
      <c r="J4586" s="135" t="n">
        <f aca="false">$G4586*'Analyse capacite'!$D$7</f>
        <v>0</v>
      </c>
      <c r="K4586" s="135" t="n">
        <f aca="false">$G4586*'Analyse capacite'!$E$7</f>
        <v>0</v>
      </c>
    </row>
    <row r="4587" customFormat="false" ht="15" hidden="false" customHeight="false" outlineLevel="0" collapsed="false">
      <c r="B4587" s="130" t="n">
        <v>2027</v>
      </c>
      <c r="C4587" s="131" t="s">
        <v>250</v>
      </c>
      <c r="D4587" s="132" t="n">
        <v>46605</v>
      </c>
      <c r="E4587" s="131" t="s">
        <v>36</v>
      </c>
      <c r="F4587" s="133" t="s">
        <v>19</v>
      </c>
      <c r="G4587" s="134" t="n">
        <f aca="false">LEN('Saisie programme'!$H$179)+SUMIFS('Vols additionnels'!$E$7:$E$66,'Vols additionnels'!$C$7:$C$66,$E4587,'Vols additionnels'!$D$7:$D$66,$F4587,'Vols additionnels'!$B$7:$B$66,$D4587)</f>
        <v>0</v>
      </c>
      <c r="H4587" s="135" t="n">
        <f aca="false">$G4587*'Analyse capacite'!$F$8</f>
        <v>0</v>
      </c>
      <c r="I4587" s="135" t="n">
        <f aca="false">$G4587*'Analyse capacite'!$C$8</f>
        <v>0</v>
      </c>
      <c r="J4587" s="135" t="n">
        <f aca="false">$G4587*'Analyse capacite'!$D$8</f>
        <v>0</v>
      </c>
      <c r="K4587" s="135" t="n">
        <f aca="false">$G4587*'Analyse capacite'!$E$8</f>
        <v>0</v>
      </c>
    </row>
    <row r="4588" customFormat="false" ht="15" hidden="false" customHeight="false" outlineLevel="0" collapsed="false">
      <c r="B4588" s="130" t="n">
        <v>2027</v>
      </c>
      <c r="C4588" s="131" t="s">
        <v>250</v>
      </c>
      <c r="D4588" s="132" t="n">
        <v>46605</v>
      </c>
      <c r="E4588" s="131" t="s">
        <v>36</v>
      </c>
      <c r="F4588" s="133" t="s">
        <v>24</v>
      </c>
      <c r="G4588" s="134" t="n">
        <f aca="false">LEN('Saisie programme'!$H$180)+SUMIFS('Vols additionnels'!$E$7:$E$66,'Vols additionnels'!$C$7:$C$66,$E4588,'Vols additionnels'!$D$7:$D$66,$F4588,'Vols additionnels'!$B$7:$B$66,$D4588)</f>
        <v>1</v>
      </c>
      <c r="H4588" s="135" t="n">
        <f aca="false">$G4588*'Analyse capacite'!$F$9</f>
        <v>174</v>
      </c>
      <c r="I4588" s="135" t="n">
        <f aca="false">$G4588*'Analyse capacite'!$C$9</f>
        <v>0</v>
      </c>
      <c r="J4588" s="135" t="n">
        <f aca="false">$G4588*'Analyse capacite'!$D$9</f>
        <v>12</v>
      </c>
      <c r="K4588" s="135" t="n">
        <f aca="false">$G4588*'Analyse capacite'!$E$9</f>
        <v>162</v>
      </c>
    </row>
    <row r="4589" customFormat="false" ht="15" hidden="false" customHeight="false" outlineLevel="0" collapsed="false">
      <c r="B4589" s="130" t="n">
        <v>2027</v>
      </c>
      <c r="C4589" s="131" t="s">
        <v>250</v>
      </c>
      <c r="D4589" s="132" t="n">
        <v>46605</v>
      </c>
      <c r="E4589" s="131" t="s">
        <v>40</v>
      </c>
      <c r="F4589" s="133" t="s">
        <v>11</v>
      </c>
      <c r="G4589" s="134" t="n">
        <f aca="false">LEN('Saisie programme'!$H$181)+SUMIFS('Vols additionnels'!$E$7:$E$66,'Vols additionnels'!$C$7:$C$66,$E4589,'Vols additionnels'!$D$7:$D$66,$F4589,'Vols additionnels'!$B$7:$B$66,$D4589)</f>
        <v>0</v>
      </c>
      <c r="H4589" s="135" t="n">
        <f aca="false">$G4589*'Analyse capacite'!$F$7</f>
        <v>0</v>
      </c>
      <c r="I4589" s="135" t="n">
        <f aca="false">$G4589*'Analyse capacite'!$C$7</f>
        <v>0</v>
      </c>
      <c r="J4589" s="135" t="n">
        <f aca="false">$G4589*'Analyse capacite'!$D$7</f>
        <v>0</v>
      </c>
      <c r="K4589" s="135" t="n">
        <f aca="false">$G4589*'Analyse capacite'!$E$7</f>
        <v>0</v>
      </c>
    </row>
    <row r="4590" customFormat="false" ht="15" hidden="false" customHeight="false" outlineLevel="0" collapsed="false">
      <c r="B4590" s="130" t="n">
        <v>2027</v>
      </c>
      <c r="C4590" s="131" t="s">
        <v>250</v>
      </c>
      <c r="D4590" s="132" t="n">
        <v>46605</v>
      </c>
      <c r="E4590" s="131" t="s">
        <v>40</v>
      </c>
      <c r="F4590" s="133" t="s">
        <v>19</v>
      </c>
      <c r="G4590" s="134" t="n">
        <f aca="false">LEN('Saisie programme'!$H$182)+SUMIFS('Vols additionnels'!$E$7:$E$66,'Vols additionnels'!$C$7:$C$66,$E4590,'Vols additionnels'!$D$7:$D$66,$F4590,'Vols additionnels'!$B$7:$B$66,$D4590)</f>
        <v>0</v>
      </c>
      <c r="H4590" s="135" t="n">
        <f aca="false">$G4590*'Analyse capacite'!$F$8</f>
        <v>0</v>
      </c>
      <c r="I4590" s="135" t="n">
        <f aca="false">$G4590*'Analyse capacite'!$C$8</f>
        <v>0</v>
      </c>
      <c r="J4590" s="135" t="n">
        <f aca="false">$G4590*'Analyse capacite'!$D$8</f>
        <v>0</v>
      </c>
      <c r="K4590" s="135" t="n">
        <f aca="false">$G4590*'Analyse capacite'!$E$8</f>
        <v>0</v>
      </c>
    </row>
    <row r="4591" customFormat="false" ht="15" hidden="false" customHeight="false" outlineLevel="0" collapsed="false">
      <c r="B4591" s="130" t="n">
        <v>2027</v>
      </c>
      <c r="C4591" s="131" t="s">
        <v>250</v>
      </c>
      <c r="D4591" s="132" t="n">
        <v>46605</v>
      </c>
      <c r="E4591" s="131" t="s">
        <v>40</v>
      </c>
      <c r="F4591" s="133" t="s">
        <v>24</v>
      </c>
      <c r="G4591" s="134" t="n">
        <f aca="false">LEN('Saisie programme'!$H$183)+SUMIFS('Vols additionnels'!$E$7:$E$66,'Vols additionnels'!$C$7:$C$66,$E4591,'Vols additionnels'!$D$7:$D$66,$F4591,'Vols additionnels'!$B$7:$B$66,$D4591)</f>
        <v>1</v>
      </c>
      <c r="H4591" s="135" t="n">
        <f aca="false">$G4591*'Analyse capacite'!$F$9</f>
        <v>174</v>
      </c>
      <c r="I4591" s="135" t="n">
        <f aca="false">$G4591*'Analyse capacite'!$C$9</f>
        <v>0</v>
      </c>
      <c r="J4591" s="135" t="n">
        <f aca="false">$G4591*'Analyse capacite'!$D$9</f>
        <v>12</v>
      </c>
      <c r="K4591" s="135" t="n">
        <f aca="false">$G4591*'Analyse capacite'!$E$9</f>
        <v>162</v>
      </c>
    </row>
    <row r="4592" customFormat="false" ht="15" hidden="false" customHeight="false" outlineLevel="0" collapsed="false">
      <c r="B4592" s="130" t="n">
        <v>2027</v>
      </c>
      <c r="C4592" s="131" t="s">
        <v>250</v>
      </c>
      <c r="D4592" s="132" t="n">
        <v>46605</v>
      </c>
      <c r="E4592" s="131" t="s">
        <v>14</v>
      </c>
      <c r="F4592" s="133" t="s">
        <v>11</v>
      </c>
      <c r="G4592" s="134" t="n">
        <f aca="false">LEN('Saisie programme'!$H$184)+SUMIFS('Vols additionnels'!$E$7:$E$66,'Vols additionnels'!$C$7:$C$66,$E4592,'Vols additionnels'!$D$7:$D$66,$F4592,'Vols additionnels'!$B$7:$B$66,$D4592)</f>
        <v>0</v>
      </c>
      <c r="H4592" s="135" t="n">
        <f aca="false">$G4592*'Analyse capacite'!$F$7</f>
        <v>0</v>
      </c>
      <c r="I4592" s="135" t="n">
        <f aca="false">$G4592*'Analyse capacite'!$C$7</f>
        <v>0</v>
      </c>
      <c r="J4592" s="135" t="n">
        <f aca="false">$G4592*'Analyse capacite'!$D$7</f>
        <v>0</v>
      </c>
      <c r="K4592" s="135" t="n">
        <f aca="false">$G4592*'Analyse capacite'!$E$7</f>
        <v>0</v>
      </c>
    </row>
    <row r="4593" customFormat="false" ht="15" hidden="false" customHeight="false" outlineLevel="0" collapsed="false">
      <c r="B4593" s="130" t="n">
        <v>2027</v>
      </c>
      <c r="C4593" s="131" t="s">
        <v>250</v>
      </c>
      <c r="D4593" s="132" t="n">
        <v>46605</v>
      </c>
      <c r="E4593" s="131" t="s">
        <v>14</v>
      </c>
      <c r="F4593" s="133" t="s">
        <v>19</v>
      </c>
      <c r="G4593" s="134" t="n">
        <f aca="false">LEN('Saisie programme'!$H$185)+SUMIFS('Vols additionnels'!$E$7:$E$66,'Vols additionnels'!$C$7:$C$66,$E4593,'Vols additionnels'!$D$7:$D$66,$F4593,'Vols additionnels'!$B$7:$B$66,$D4593)</f>
        <v>0</v>
      </c>
      <c r="H4593" s="135" t="n">
        <f aca="false">$G4593*'Analyse capacite'!$F$8</f>
        <v>0</v>
      </c>
      <c r="I4593" s="135" t="n">
        <f aca="false">$G4593*'Analyse capacite'!$C$8</f>
        <v>0</v>
      </c>
      <c r="J4593" s="135" t="n">
        <f aca="false">$G4593*'Analyse capacite'!$D$8</f>
        <v>0</v>
      </c>
      <c r="K4593" s="135" t="n">
        <f aca="false">$G4593*'Analyse capacite'!$E$8</f>
        <v>0</v>
      </c>
    </row>
    <row r="4594" customFormat="false" ht="15" hidden="false" customHeight="false" outlineLevel="0" collapsed="false">
      <c r="B4594" s="130" t="n">
        <v>2027</v>
      </c>
      <c r="C4594" s="131" t="s">
        <v>250</v>
      </c>
      <c r="D4594" s="132" t="n">
        <v>46605</v>
      </c>
      <c r="E4594" s="131" t="s">
        <v>14</v>
      </c>
      <c r="F4594" s="133" t="s">
        <v>24</v>
      </c>
      <c r="G4594" s="134" t="n">
        <f aca="false">LEN('Saisie programme'!$H$186)+SUMIFS('Vols additionnels'!$E$7:$E$66,'Vols additionnels'!$C$7:$C$66,$E4594,'Vols additionnels'!$D$7:$D$66,$F4594,'Vols additionnels'!$B$7:$B$66,$D4594)</f>
        <v>0</v>
      </c>
      <c r="H4594" s="135" t="n">
        <f aca="false">$G4594*'Analyse capacite'!$F$9</f>
        <v>0</v>
      </c>
      <c r="I4594" s="135" t="n">
        <f aca="false">$G4594*'Analyse capacite'!$C$9</f>
        <v>0</v>
      </c>
      <c r="J4594" s="135" t="n">
        <f aca="false">$G4594*'Analyse capacite'!$D$9</f>
        <v>0</v>
      </c>
      <c r="K4594" s="135" t="n">
        <f aca="false">$G4594*'Analyse capacite'!$E$9</f>
        <v>0</v>
      </c>
    </row>
    <row r="4595" customFormat="false" ht="15" hidden="false" customHeight="false" outlineLevel="0" collapsed="false">
      <c r="B4595" s="130" t="n">
        <v>2027</v>
      </c>
      <c r="C4595" s="131" t="s">
        <v>250</v>
      </c>
      <c r="D4595" s="132" t="n">
        <v>46605</v>
      </c>
      <c r="E4595" s="131" t="s">
        <v>46</v>
      </c>
      <c r="F4595" s="133" t="s">
        <v>11</v>
      </c>
      <c r="G4595" s="134" t="n">
        <f aca="false">LEN('Saisie programme'!$H$187)+SUMIFS('Vols additionnels'!$E$7:$E$66,'Vols additionnels'!$C$7:$C$66,$E4595,'Vols additionnels'!$D$7:$D$66,$F4595,'Vols additionnels'!$B$7:$B$66,$D4595)</f>
        <v>0</v>
      </c>
      <c r="H4595" s="135" t="n">
        <f aca="false">$G4595*'Analyse capacite'!$F$7</f>
        <v>0</v>
      </c>
      <c r="I4595" s="135" t="n">
        <f aca="false">$G4595*'Analyse capacite'!$C$7</f>
        <v>0</v>
      </c>
      <c r="J4595" s="135" t="n">
        <f aca="false">$G4595*'Analyse capacite'!$D$7</f>
        <v>0</v>
      </c>
      <c r="K4595" s="135" t="n">
        <f aca="false">$G4595*'Analyse capacite'!$E$7</f>
        <v>0</v>
      </c>
    </row>
    <row r="4596" customFormat="false" ht="15" hidden="false" customHeight="false" outlineLevel="0" collapsed="false">
      <c r="B4596" s="130" t="n">
        <v>2027</v>
      </c>
      <c r="C4596" s="131" t="s">
        <v>250</v>
      </c>
      <c r="D4596" s="132" t="n">
        <v>46605</v>
      </c>
      <c r="E4596" s="131" t="s">
        <v>46</v>
      </c>
      <c r="F4596" s="133" t="s">
        <v>19</v>
      </c>
      <c r="G4596" s="134" t="n">
        <f aca="false">LEN('Saisie programme'!$H$188)+SUMIFS('Vols additionnels'!$E$7:$E$66,'Vols additionnels'!$C$7:$C$66,$E4596,'Vols additionnels'!$D$7:$D$66,$F4596,'Vols additionnels'!$B$7:$B$66,$D4596)</f>
        <v>0</v>
      </c>
      <c r="H4596" s="135" t="n">
        <f aca="false">$G4596*'Analyse capacite'!$F$8</f>
        <v>0</v>
      </c>
      <c r="I4596" s="135" t="n">
        <f aca="false">$G4596*'Analyse capacite'!$C$8</f>
        <v>0</v>
      </c>
      <c r="J4596" s="135" t="n">
        <f aca="false">$G4596*'Analyse capacite'!$D$8</f>
        <v>0</v>
      </c>
      <c r="K4596" s="135" t="n">
        <f aca="false">$G4596*'Analyse capacite'!$E$8</f>
        <v>0</v>
      </c>
    </row>
    <row r="4597" customFormat="false" ht="15" hidden="false" customHeight="false" outlineLevel="0" collapsed="false">
      <c r="B4597" s="130" t="n">
        <v>2027</v>
      </c>
      <c r="C4597" s="131" t="s">
        <v>250</v>
      </c>
      <c r="D4597" s="132" t="n">
        <v>46605</v>
      </c>
      <c r="E4597" s="131" t="s">
        <v>46</v>
      </c>
      <c r="F4597" s="133" t="s">
        <v>24</v>
      </c>
      <c r="G4597" s="134" t="n">
        <f aca="false">LEN('Saisie programme'!$H$189)+SUMIFS('Vols additionnels'!$E$7:$E$66,'Vols additionnels'!$C$7:$C$66,$E4597,'Vols additionnels'!$D$7:$D$66,$F4597,'Vols additionnels'!$B$7:$B$66,$D4597)</f>
        <v>0</v>
      </c>
      <c r="H4597" s="135" t="n">
        <f aca="false">$G4597*'Analyse capacite'!$F$9</f>
        <v>0</v>
      </c>
      <c r="I4597" s="135" t="n">
        <f aca="false">$G4597*'Analyse capacite'!$C$9</f>
        <v>0</v>
      </c>
      <c r="J4597" s="135" t="n">
        <f aca="false">$G4597*'Analyse capacite'!$D$9</f>
        <v>0</v>
      </c>
      <c r="K4597" s="135" t="n">
        <f aca="false">$G4597*'Analyse capacite'!$E$9</f>
        <v>0</v>
      </c>
    </row>
    <row r="4598" customFormat="false" ht="15" hidden="false" customHeight="false" outlineLevel="0" collapsed="false">
      <c r="B4598" s="130" t="n">
        <v>2027</v>
      </c>
      <c r="C4598" s="131" t="s">
        <v>250</v>
      </c>
      <c r="D4598" s="132" t="n">
        <v>46605</v>
      </c>
      <c r="E4598" s="131" t="s">
        <v>49</v>
      </c>
      <c r="F4598" s="133" t="s">
        <v>11</v>
      </c>
      <c r="G4598" s="134" t="n">
        <f aca="false">LEN('Saisie programme'!$H$190)+SUMIFS('Vols additionnels'!$E$7:$E$66,'Vols additionnels'!$C$7:$C$66,$E4598,'Vols additionnels'!$D$7:$D$66,$F4598,'Vols additionnels'!$B$7:$B$66,$D4598)</f>
        <v>0</v>
      </c>
      <c r="H4598" s="135" t="n">
        <f aca="false">$G4598*'Analyse capacite'!$F$7</f>
        <v>0</v>
      </c>
      <c r="I4598" s="135" t="n">
        <f aca="false">$G4598*'Analyse capacite'!$C$7</f>
        <v>0</v>
      </c>
      <c r="J4598" s="135" t="n">
        <f aca="false">$G4598*'Analyse capacite'!$D$7</f>
        <v>0</v>
      </c>
      <c r="K4598" s="135" t="n">
        <f aca="false">$G4598*'Analyse capacite'!$E$7</f>
        <v>0</v>
      </c>
    </row>
    <row r="4599" customFormat="false" ht="15" hidden="false" customHeight="false" outlineLevel="0" collapsed="false">
      <c r="B4599" s="130" t="n">
        <v>2027</v>
      </c>
      <c r="C4599" s="131" t="s">
        <v>250</v>
      </c>
      <c r="D4599" s="132" t="n">
        <v>46605</v>
      </c>
      <c r="E4599" s="131" t="s">
        <v>49</v>
      </c>
      <c r="F4599" s="133" t="s">
        <v>19</v>
      </c>
      <c r="G4599" s="134" t="n">
        <f aca="false">LEN('Saisie programme'!$H$191)+SUMIFS('Vols additionnels'!$E$7:$E$66,'Vols additionnels'!$C$7:$C$66,$E4599,'Vols additionnels'!$D$7:$D$66,$F4599,'Vols additionnels'!$B$7:$B$66,$D4599)</f>
        <v>1</v>
      </c>
      <c r="H4599" s="135" t="n">
        <f aca="false">$G4599*'Analyse capacite'!$F$8</f>
        <v>262</v>
      </c>
      <c r="I4599" s="135" t="n">
        <f aca="false">$G4599*'Analyse capacite'!$C$8</f>
        <v>18</v>
      </c>
      <c r="J4599" s="135" t="n">
        <f aca="false">$G4599*'Analyse capacite'!$D$8</f>
        <v>0</v>
      </c>
      <c r="K4599" s="135" t="n">
        <f aca="false">$G4599*'Analyse capacite'!$E$8</f>
        <v>244</v>
      </c>
    </row>
    <row r="4600" customFormat="false" ht="15" hidden="false" customHeight="false" outlineLevel="0" collapsed="false">
      <c r="B4600" s="130" t="n">
        <v>2027</v>
      </c>
      <c r="C4600" s="131" t="s">
        <v>250</v>
      </c>
      <c r="D4600" s="132" t="n">
        <v>46605</v>
      </c>
      <c r="E4600" s="131" t="s">
        <v>49</v>
      </c>
      <c r="F4600" s="133" t="s">
        <v>24</v>
      </c>
      <c r="G4600" s="134" t="n">
        <f aca="false">LEN('Saisie programme'!$H$192)+SUMIFS('Vols additionnels'!$E$7:$E$66,'Vols additionnels'!$C$7:$C$66,$E4600,'Vols additionnels'!$D$7:$D$66,$F4600,'Vols additionnels'!$B$7:$B$66,$D4600)</f>
        <v>0</v>
      </c>
      <c r="H4600" s="135" t="n">
        <f aca="false">$G4600*'Analyse capacite'!$F$9</f>
        <v>0</v>
      </c>
      <c r="I4600" s="135" t="n">
        <f aca="false">$G4600*'Analyse capacite'!$C$9</f>
        <v>0</v>
      </c>
      <c r="J4600" s="135" t="n">
        <f aca="false">$G4600*'Analyse capacite'!$D$9</f>
        <v>0</v>
      </c>
      <c r="K4600" s="135" t="n">
        <f aca="false">$G4600*'Analyse capacite'!$E$9</f>
        <v>0</v>
      </c>
    </row>
    <row r="4601" customFormat="false" ht="15" hidden="false" customHeight="false" outlineLevel="0" collapsed="false">
      <c r="B4601" s="130" t="n">
        <v>2027</v>
      </c>
      <c r="C4601" s="131" t="s">
        <v>250</v>
      </c>
      <c r="D4601" s="132" t="n">
        <v>46605</v>
      </c>
      <c r="E4601" s="131" t="s">
        <v>53</v>
      </c>
      <c r="F4601" s="133" t="s">
        <v>11</v>
      </c>
      <c r="G4601" s="134" t="n">
        <f aca="false">LEN('Saisie programme'!$H$193)+SUMIFS('Vols additionnels'!$E$7:$E$66,'Vols additionnels'!$C$7:$C$66,$E4601,'Vols additionnels'!$D$7:$D$66,$F4601,'Vols additionnels'!$B$7:$B$66,$D4601)</f>
        <v>0</v>
      </c>
      <c r="H4601" s="135" t="n">
        <f aca="false">$G4601*'Analyse capacite'!$F$7</f>
        <v>0</v>
      </c>
      <c r="I4601" s="135" t="n">
        <f aca="false">$G4601*'Analyse capacite'!$C$7</f>
        <v>0</v>
      </c>
      <c r="J4601" s="135" t="n">
        <f aca="false">$G4601*'Analyse capacite'!$D$7</f>
        <v>0</v>
      </c>
      <c r="K4601" s="135" t="n">
        <f aca="false">$G4601*'Analyse capacite'!$E$7</f>
        <v>0</v>
      </c>
    </row>
    <row r="4602" customFormat="false" ht="15" hidden="false" customHeight="false" outlineLevel="0" collapsed="false">
      <c r="B4602" s="130" t="n">
        <v>2027</v>
      </c>
      <c r="C4602" s="131" t="s">
        <v>250</v>
      </c>
      <c r="D4602" s="132" t="n">
        <v>46605</v>
      </c>
      <c r="E4602" s="131" t="s">
        <v>53</v>
      </c>
      <c r="F4602" s="133" t="s">
        <v>19</v>
      </c>
      <c r="G4602" s="134" t="n">
        <f aca="false">LEN('Saisie programme'!$H$194)+SUMIFS('Vols additionnels'!$E$7:$E$66,'Vols additionnels'!$C$7:$C$66,$E4602,'Vols additionnels'!$D$7:$D$66,$F4602,'Vols additionnels'!$B$7:$B$66,$D4602)</f>
        <v>0</v>
      </c>
      <c r="H4602" s="135" t="n">
        <f aca="false">$G4602*'Analyse capacite'!$F$8</f>
        <v>0</v>
      </c>
      <c r="I4602" s="135" t="n">
        <f aca="false">$G4602*'Analyse capacite'!$C$8</f>
        <v>0</v>
      </c>
      <c r="J4602" s="135" t="n">
        <f aca="false">$G4602*'Analyse capacite'!$D$8</f>
        <v>0</v>
      </c>
      <c r="K4602" s="135" t="n">
        <f aca="false">$G4602*'Analyse capacite'!$E$8</f>
        <v>0</v>
      </c>
    </row>
    <row r="4603" customFormat="false" ht="15" hidden="false" customHeight="false" outlineLevel="0" collapsed="false">
      <c r="B4603" s="130" t="n">
        <v>2027</v>
      </c>
      <c r="C4603" s="131" t="s">
        <v>250</v>
      </c>
      <c r="D4603" s="132" t="n">
        <v>46605</v>
      </c>
      <c r="E4603" s="131" t="s">
        <v>53</v>
      </c>
      <c r="F4603" s="133" t="s">
        <v>24</v>
      </c>
      <c r="G4603" s="134" t="n">
        <f aca="false">LEN('Saisie programme'!$H$195)+SUMIFS('Vols additionnels'!$E$7:$E$66,'Vols additionnels'!$C$7:$C$66,$E4603,'Vols additionnels'!$D$7:$D$66,$F4603,'Vols additionnels'!$B$7:$B$66,$D4603)</f>
        <v>0</v>
      </c>
      <c r="H4603" s="135" t="n">
        <f aca="false">$G4603*'Analyse capacite'!$F$9</f>
        <v>0</v>
      </c>
      <c r="I4603" s="135" t="n">
        <f aca="false">$G4603*'Analyse capacite'!$C$9</f>
        <v>0</v>
      </c>
      <c r="J4603" s="135" t="n">
        <f aca="false">$G4603*'Analyse capacite'!$D$9</f>
        <v>0</v>
      </c>
      <c r="K4603" s="135" t="n">
        <f aca="false">$G4603*'Analyse capacite'!$E$9</f>
        <v>0</v>
      </c>
    </row>
    <row r="4604" customFormat="false" ht="15" hidden="false" customHeight="false" outlineLevel="0" collapsed="false">
      <c r="B4604" s="130" t="n">
        <v>2027</v>
      </c>
      <c r="C4604" s="131" t="s">
        <v>250</v>
      </c>
      <c r="D4604" s="132" t="n">
        <v>46605</v>
      </c>
      <c r="E4604" s="131" t="s">
        <v>56</v>
      </c>
      <c r="F4604" s="133" t="s">
        <v>11</v>
      </c>
      <c r="G4604" s="134" t="n">
        <f aca="false">LEN('Saisie programme'!$H$196)+SUMIFS('Vols additionnels'!$E$7:$E$66,'Vols additionnels'!$C$7:$C$66,$E4604,'Vols additionnels'!$D$7:$D$66,$F4604,'Vols additionnels'!$B$7:$B$66,$D4604)</f>
        <v>0</v>
      </c>
      <c r="H4604" s="135" t="n">
        <f aca="false">$G4604*'Analyse capacite'!$F$7</f>
        <v>0</v>
      </c>
      <c r="I4604" s="135" t="n">
        <f aca="false">$G4604*'Analyse capacite'!$C$7</f>
        <v>0</v>
      </c>
      <c r="J4604" s="135" t="n">
        <f aca="false">$G4604*'Analyse capacite'!$D$7</f>
        <v>0</v>
      </c>
      <c r="K4604" s="135" t="n">
        <f aca="false">$G4604*'Analyse capacite'!$E$7</f>
        <v>0</v>
      </c>
    </row>
    <row r="4605" customFormat="false" ht="15" hidden="false" customHeight="false" outlineLevel="0" collapsed="false">
      <c r="B4605" s="130" t="n">
        <v>2027</v>
      </c>
      <c r="C4605" s="131" t="s">
        <v>250</v>
      </c>
      <c r="D4605" s="132" t="n">
        <v>46605</v>
      </c>
      <c r="E4605" s="131" t="s">
        <v>56</v>
      </c>
      <c r="F4605" s="133" t="s">
        <v>19</v>
      </c>
      <c r="G4605" s="134" t="n">
        <f aca="false">LEN('Saisie programme'!$H$197)+SUMIFS('Vols additionnels'!$E$7:$E$66,'Vols additionnels'!$C$7:$C$66,$E4605,'Vols additionnels'!$D$7:$D$66,$F4605,'Vols additionnels'!$B$7:$B$66,$D4605)</f>
        <v>0</v>
      </c>
      <c r="H4605" s="135" t="n">
        <f aca="false">$G4605*'Analyse capacite'!$F$8</f>
        <v>0</v>
      </c>
      <c r="I4605" s="135" t="n">
        <f aca="false">$G4605*'Analyse capacite'!$C$8</f>
        <v>0</v>
      </c>
      <c r="J4605" s="135" t="n">
        <f aca="false">$G4605*'Analyse capacite'!$D$8</f>
        <v>0</v>
      </c>
      <c r="K4605" s="135" t="n">
        <f aca="false">$G4605*'Analyse capacite'!$E$8</f>
        <v>0</v>
      </c>
    </row>
    <row r="4606" customFormat="false" ht="15" hidden="false" customHeight="false" outlineLevel="0" collapsed="false">
      <c r="B4606" s="130" t="n">
        <v>2027</v>
      </c>
      <c r="C4606" s="131" t="s">
        <v>250</v>
      </c>
      <c r="D4606" s="132" t="n">
        <v>46605</v>
      </c>
      <c r="E4606" s="131" t="s">
        <v>56</v>
      </c>
      <c r="F4606" s="133" t="s">
        <v>24</v>
      </c>
      <c r="G4606" s="134" t="n">
        <f aca="false">LEN('Saisie programme'!$H$198)+SUMIFS('Vols additionnels'!$E$7:$E$66,'Vols additionnels'!$C$7:$C$66,$E4606,'Vols additionnels'!$D$7:$D$66,$F4606,'Vols additionnels'!$B$7:$B$66,$D4606)</f>
        <v>0</v>
      </c>
      <c r="H4606" s="135" t="n">
        <f aca="false">$G4606*'Analyse capacite'!$F$9</f>
        <v>0</v>
      </c>
      <c r="I4606" s="135" t="n">
        <f aca="false">$G4606*'Analyse capacite'!$C$9</f>
        <v>0</v>
      </c>
      <c r="J4606" s="135" t="n">
        <f aca="false">$G4606*'Analyse capacite'!$D$9</f>
        <v>0</v>
      </c>
      <c r="K4606" s="135" t="n">
        <f aca="false">$G4606*'Analyse capacite'!$E$9</f>
        <v>0</v>
      </c>
    </row>
    <row r="4607" customFormat="false" ht="15" hidden="false" customHeight="false" outlineLevel="0" collapsed="false">
      <c r="B4607" s="130" t="n">
        <v>2027</v>
      </c>
      <c r="C4607" s="131" t="s">
        <v>250</v>
      </c>
      <c r="D4607" s="132" t="n">
        <v>46605</v>
      </c>
      <c r="E4607" s="131" t="s">
        <v>59</v>
      </c>
      <c r="F4607" s="133" t="s">
        <v>11</v>
      </c>
      <c r="G4607" s="134" t="n">
        <f aca="false">LEN('Saisie programme'!$H$199)+SUMIFS('Vols additionnels'!$E$7:$E$66,'Vols additionnels'!$C$7:$C$66,$E4607,'Vols additionnels'!$D$7:$D$66,$F4607,'Vols additionnels'!$B$7:$B$66,$D4607)</f>
        <v>0</v>
      </c>
      <c r="H4607" s="135" t="n">
        <f aca="false">$G4607*'Analyse capacite'!$F$7</f>
        <v>0</v>
      </c>
      <c r="I4607" s="135" t="n">
        <f aca="false">$G4607*'Analyse capacite'!$C$7</f>
        <v>0</v>
      </c>
      <c r="J4607" s="135" t="n">
        <f aca="false">$G4607*'Analyse capacite'!$D$7</f>
        <v>0</v>
      </c>
      <c r="K4607" s="135" t="n">
        <f aca="false">$G4607*'Analyse capacite'!$E$7</f>
        <v>0</v>
      </c>
    </row>
    <row r="4608" customFormat="false" ht="15" hidden="false" customHeight="false" outlineLevel="0" collapsed="false">
      <c r="B4608" s="130" t="n">
        <v>2027</v>
      </c>
      <c r="C4608" s="131" t="s">
        <v>250</v>
      </c>
      <c r="D4608" s="132" t="n">
        <v>46605</v>
      </c>
      <c r="E4608" s="131" t="s">
        <v>59</v>
      </c>
      <c r="F4608" s="133" t="s">
        <v>19</v>
      </c>
      <c r="G4608" s="134" t="n">
        <f aca="false">LEN('Saisie programme'!$H$200)+SUMIFS('Vols additionnels'!$E$7:$E$66,'Vols additionnels'!$C$7:$C$66,$E4608,'Vols additionnels'!$D$7:$D$66,$F4608,'Vols additionnels'!$B$7:$B$66,$D4608)</f>
        <v>0</v>
      </c>
      <c r="H4608" s="135" t="n">
        <f aca="false">$G4608*'Analyse capacite'!$F$8</f>
        <v>0</v>
      </c>
      <c r="I4608" s="135" t="n">
        <f aca="false">$G4608*'Analyse capacite'!$C$8</f>
        <v>0</v>
      </c>
      <c r="J4608" s="135" t="n">
        <f aca="false">$G4608*'Analyse capacite'!$D$8</f>
        <v>0</v>
      </c>
      <c r="K4608" s="135" t="n">
        <f aca="false">$G4608*'Analyse capacite'!$E$8</f>
        <v>0</v>
      </c>
    </row>
    <row r="4609" customFormat="false" ht="15" hidden="false" customHeight="false" outlineLevel="0" collapsed="false">
      <c r="B4609" s="130" t="n">
        <v>2027</v>
      </c>
      <c r="C4609" s="131" t="s">
        <v>250</v>
      </c>
      <c r="D4609" s="132" t="n">
        <v>46605</v>
      </c>
      <c r="E4609" s="131" t="s">
        <v>59</v>
      </c>
      <c r="F4609" s="133" t="s">
        <v>24</v>
      </c>
      <c r="G4609" s="134" t="n">
        <f aca="false">LEN('Saisie programme'!$H$201)+SUMIFS('Vols additionnels'!$E$7:$E$66,'Vols additionnels'!$C$7:$C$66,$E4609,'Vols additionnels'!$D$7:$D$66,$F4609,'Vols additionnels'!$B$7:$B$66,$D4609)</f>
        <v>1</v>
      </c>
      <c r="H4609" s="135" t="n">
        <f aca="false">$G4609*'Analyse capacite'!$F$9</f>
        <v>174</v>
      </c>
      <c r="I4609" s="135" t="n">
        <f aca="false">$G4609*'Analyse capacite'!$C$9</f>
        <v>0</v>
      </c>
      <c r="J4609" s="135" t="n">
        <f aca="false">$G4609*'Analyse capacite'!$D$9</f>
        <v>12</v>
      </c>
      <c r="K4609" s="135" t="n">
        <f aca="false">$G4609*'Analyse capacite'!$E$9</f>
        <v>162</v>
      </c>
    </row>
    <row r="4610" customFormat="false" ht="15" hidden="false" customHeight="false" outlineLevel="0" collapsed="false">
      <c r="B4610" s="130" t="n">
        <v>2027</v>
      </c>
      <c r="C4610" s="131" t="s">
        <v>250</v>
      </c>
      <c r="D4610" s="132" t="n">
        <v>46605</v>
      </c>
      <c r="E4610" s="131" t="s">
        <v>62</v>
      </c>
      <c r="F4610" s="133" t="s">
        <v>11</v>
      </c>
      <c r="G4610" s="134" t="n">
        <f aca="false">LEN('Saisie programme'!$H$202)+SUMIFS('Vols additionnels'!$E$7:$E$66,'Vols additionnels'!$C$7:$C$66,$E4610,'Vols additionnels'!$D$7:$D$66,$F4610,'Vols additionnels'!$B$7:$B$66,$D4610)</f>
        <v>0</v>
      </c>
      <c r="H4610" s="135" t="n">
        <f aca="false">$G4610*'Analyse capacite'!$F$7</f>
        <v>0</v>
      </c>
      <c r="I4610" s="135" t="n">
        <f aca="false">$G4610*'Analyse capacite'!$C$7</f>
        <v>0</v>
      </c>
      <c r="J4610" s="135" t="n">
        <f aca="false">$G4610*'Analyse capacite'!$D$7</f>
        <v>0</v>
      </c>
      <c r="K4610" s="135" t="n">
        <f aca="false">$G4610*'Analyse capacite'!$E$7</f>
        <v>0</v>
      </c>
    </row>
    <row r="4611" customFormat="false" ht="15" hidden="false" customHeight="false" outlineLevel="0" collapsed="false">
      <c r="B4611" s="130" t="n">
        <v>2027</v>
      </c>
      <c r="C4611" s="131" t="s">
        <v>250</v>
      </c>
      <c r="D4611" s="132" t="n">
        <v>46605</v>
      </c>
      <c r="E4611" s="131" t="s">
        <v>62</v>
      </c>
      <c r="F4611" s="133" t="s">
        <v>19</v>
      </c>
      <c r="G4611" s="134" t="n">
        <f aca="false">LEN('Saisie programme'!$H$203)+SUMIFS('Vols additionnels'!$E$7:$E$66,'Vols additionnels'!$C$7:$C$66,$E4611,'Vols additionnels'!$D$7:$D$66,$F4611,'Vols additionnels'!$B$7:$B$66,$D4611)</f>
        <v>0</v>
      </c>
      <c r="H4611" s="135" t="n">
        <f aca="false">$G4611*'Analyse capacite'!$F$8</f>
        <v>0</v>
      </c>
      <c r="I4611" s="135" t="n">
        <f aca="false">$G4611*'Analyse capacite'!$C$8</f>
        <v>0</v>
      </c>
      <c r="J4611" s="135" t="n">
        <f aca="false">$G4611*'Analyse capacite'!$D$8</f>
        <v>0</v>
      </c>
      <c r="K4611" s="135" t="n">
        <f aca="false">$G4611*'Analyse capacite'!$E$8</f>
        <v>0</v>
      </c>
    </row>
    <row r="4612" customFormat="false" ht="15" hidden="false" customHeight="false" outlineLevel="0" collapsed="false">
      <c r="B4612" s="130" t="n">
        <v>2027</v>
      </c>
      <c r="C4612" s="131" t="s">
        <v>250</v>
      </c>
      <c r="D4612" s="132" t="n">
        <v>46605</v>
      </c>
      <c r="E4612" s="131" t="s">
        <v>62</v>
      </c>
      <c r="F4612" s="133" t="s">
        <v>24</v>
      </c>
      <c r="G4612" s="134" t="n">
        <f aca="false">LEN('Saisie programme'!$H$204)+SUMIFS('Vols additionnels'!$E$7:$E$66,'Vols additionnels'!$C$7:$C$66,$E4612,'Vols additionnels'!$D$7:$D$66,$F4612,'Vols additionnels'!$B$7:$B$66,$D4612)</f>
        <v>0</v>
      </c>
      <c r="H4612" s="135" t="n">
        <f aca="false">$G4612*'Analyse capacite'!$F$9</f>
        <v>0</v>
      </c>
      <c r="I4612" s="135" t="n">
        <f aca="false">$G4612*'Analyse capacite'!$C$9</f>
        <v>0</v>
      </c>
      <c r="J4612" s="135" t="n">
        <f aca="false">$G4612*'Analyse capacite'!$D$9</f>
        <v>0</v>
      </c>
      <c r="K4612" s="135" t="n">
        <f aca="false">$G4612*'Analyse capacite'!$E$9</f>
        <v>0</v>
      </c>
    </row>
    <row r="4613" customFormat="false" ht="15" hidden="false" customHeight="false" outlineLevel="0" collapsed="false">
      <c r="B4613" s="130" t="n">
        <v>2027</v>
      </c>
      <c r="C4613" s="131" t="s">
        <v>250</v>
      </c>
      <c r="D4613" s="132" t="n">
        <v>46606</v>
      </c>
      <c r="E4613" s="131" t="s">
        <v>12</v>
      </c>
      <c r="F4613" s="133" t="s">
        <v>11</v>
      </c>
      <c r="G4613" s="134" t="n">
        <f aca="false">LEN('Saisie programme'!$I$169)+SUMIFS('Vols additionnels'!$E$7:$E$66,'Vols additionnels'!$C$7:$C$66,$E4613,'Vols additionnels'!$D$7:$D$66,$F4613,'Vols additionnels'!$B$7:$B$66,$D4613)</f>
        <v>1</v>
      </c>
      <c r="H4613" s="135" t="n">
        <f aca="false">$G4613*'Analyse capacite'!$F$7</f>
        <v>438</v>
      </c>
      <c r="I4613" s="135" t="n">
        <f aca="false">$G4613*'Analyse capacite'!$C$7</f>
        <v>14</v>
      </c>
      <c r="J4613" s="135" t="n">
        <f aca="false">$G4613*'Analyse capacite'!$D$7</f>
        <v>40</v>
      </c>
      <c r="K4613" s="135" t="n">
        <f aca="false">$G4613*'Analyse capacite'!$E$7</f>
        <v>384</v>
      </c>
    </row>
    <row r="4614" customFormat="false" ht="15" hidden="false" customHeight="false" outlineLevel="0" collapsed="false">
      <c r="B4614" s="130" t="n">
        <v>2027</v>
      </c>
      <c r="C4614" s="131" t="s">
        <v>250</v>
      </c>
      <c r="D4614" s="132" t="n">
        <v>46606</v>
      </c>
      <c r="E4614" s="131" t="s">
        <v>12</v>
      </c>
      <c r="F4614" s="133" t="s">
        <v>19</v>
      </c>
      <c r="G4614" s="134" t="n">
        <f aca="false">LEN('Saisie programme'!$I$170)+SUMIFS('Vols additionnels'!$E$7:$E$66,'Vols additionnels'!$C$7:$C$66,$E4614,'Vols additionnels'!$D$7:$D$66,$F4614,'Vols additionnels'!$B$7:$B$66,$D4614)</f>
        <v>1</v>
      </c>
      <c r="H4614" s="135" t="n">
        <f aca="false">$G4614*'Analyse capacite'!$F$8</f>
        <v>262</v>
      </c>
      <c r="I4614" s="135" t="n">
        <f aca="false">$G4614*'Analyse capacite'!$C$8</f>
        <v>18</v>
      </c>
      <c r="J4614" s="135" t="n">
        <f aca="false">$G4614*'Analyse capacite'!$D$8</f>
        <v>0</v>
      </c>
      <c r="K4614" s="135" t="n">
        <f aca="false">$G4614*'Analyse capacite'!$E$8</f>
        <v>244</v>
      </c>
    </row>
    <row r="4615" customFormat="false" ht="15" hidden="false" customHeight="false" outlineLevel="0" collapsed="false">
      <c r="B4615" s="130" t="n">
        <v>2027</v>
      </c>
      <c r="C4615" s="131" t="s">
        <v>250</v>
      </c>
      <c r="D4615" s="132" t="n">
        <v>46606</v>
      </c>
      <c r="E4615" s="131" t="s">
        <v>12</v>
      </c>
      <c r="F4615" s="133" t="s">
        <v>24</v>
      </c>
      <c r="G4615" s="134" t="n">
        <f aca="false">LEN('Saisie programme'!$I$171)+SUMIFS('Vols additionnels'!$E$7:$E$66,'Vols additionnels'!$C$7:$C$66,$E4615,'Vols additionnels'!$D$7:$D$66,$F4615,'Vols additionnels'!$B$7:$B$66,$D4615)</f>
        <v>0</v>
      </c>
      <c r="H4615" s="135" t="n">
        <f aca="false">$G4615*'Analyse capacite'!$F$9</f>
        <v>0</v>
      </c>
      <c r="I4615" s="135" t="n">
        <f aca="false">$G4615*'Analyse capacite'!$C$9</f>
        <v>0</v>
      </c>
      <c r="J4615" s="135" t="n">
        <f aca="false">$G4615*'Analyse capacite'!$D$9</f>
        <v>0</v>
      </c>
      <c r="K4615" s="135" t="n">
        <f aca="false">$G4615*'Analyse capacite'!$E$9</f>
        <v>0</v>
      </c>
    </row>
    <row r="4616" customFormat="false" ht="15" hidden="false" customHeight="false" outlineLevel="0" collapsed="false">
      <c r="B4616" s="130" t="n">
        <v>2027</v>
      </c>
      <c r="C4616" s="131" t="s">
        <v>250</v>
      </c>
      <c r="D4616" s="132" t="n">
        <v>46606</v>
      </c>
      <c r="E4616" s="131" t="s">
        <v>20</v>
      </c>
      <c r="F4616" s="133" t="s">
        <v>11</v>
      </c>
      <c r="G4616" s="134" t="n">
        <f aca="false">LEN('Saisie programme'!$I$172)+SUMIFS('Vols additionnels'!$E$7:$E$66,'Vols additionnels'!$C$7:$C$66,$E4616,'Vols additionnels'!$D$7:$D$66,$F4616,'Vols additionnels'!$B$7:$B$66,$D4616)</f>
        <v>0</v>
      </c>
      <c r="H4616" s="135" t="n">
        <f aca="false">$G4616*'Analyse capacite'!$F$7</f>
        <v>0</v>
      </c>
      <c r="I4616" s="135" t="n">
        <f aca="false">$G4616*'Analyse capacite'!$C$7</f>
        <v>0</v>
      </c>
      <c r="J4616" s="135" t="n">
        <f aca="false">$G4616*'Analyse capacite'!$D$7</f>
        <v>0</v>
      </c>
      <c r="K4616" s="135" t="n">
        <f aca="false">$G4616*'Analyse capacite'!$E$7</f>
        <v>0</v>
      </c>
    </row>
    <row r="4617" customFormat="false" ht="15" hidden="false" customHeight="false" outlineLevel="0" collapsed="false">
      <c r="B4617" s="130" t="n">
        <v>2027</v>
      </c>
      <c r="C4617" s="131" t="s">
        <v>250</v>
      </c>
      <c r="D4617" s="132" t="n">
        <v>46606</v>
      </c>
      <c r="E4617" s="131" t="s">
        <v>20</v>
      </c>
      <c r="F4617" s="133" t="s">
        <v>19</v>
      </c>
      <c r="G4617" s="134" t="n">
        <f aca="false">LEN('Saisie programme'!$I$173)+SUMIFS('Vols additionnels'!$E$7:$E$66,'Vols additionnels'!$C$7:$C$66,$E4617,'Vols additionnels'!$D$7:$D$66,$F4617,'Vols additionnels'!$B$7:$B$66,$D4617)</f>
        <v>0</v>
      </c>
      <c r="H4617" s="135" t="n">
        <f aca="false">$G4617*'Analyse capacite'!$F$8</f>
        <v>0</v>
      </c>
      <c r="I4617" s="135" t="n">
        <f aca="false">$G4617*'Analyse capacite'!$C$8</f>
        <v>0</v>
      </c>
      <c r="J4617" s="135" t="n">
        <f aca="false">$G4617*'Analyse capacite'!$D$8</f>
        <v>0</v>
      </c>
      <c r="K4617" s="135" t="n">
        <f aca="false">$G4617*'Analyse capacite'!$E$8</f>
        <v>0</v>
      </c>
    </row>
    <row r="4618" customFormat="false" ht="15" hidden="false" customHeight="false" outlineLevel="0" collapsed="false">
      <c r="B4618" s="130" t="n">
        <v>2027</v>
      </c>
      <c r="C4618" s="131" t="s">
        <v>250</v>
      </c>
      <c r="D4618" s="132" t="n">
        <v>46606</v>
      </c>
      <c r="E4618" s="131" t="s">
        <v>20</v>
      </c>
      <c r="F4618" s="133" t="s">
        <v>24</v>
      </c>
      <c r="G4618" s="134" t="n">
        <f aca="false">LEN('Saisie programme'!$I$174)+SUMIFS('Vols additionnels'!$E$7:$E$66,'Vols additionnels'!$C$7:$C$66,$E4618,'Vols additionnels'!$D$7:$D$66,$F4618,'Vols additionnels'!$B$7:$B$66,$D4618)</f>
        <v>0</v>
      </c>
      <c r="H4618" s="135" t="n">
        <f aca="false">$G4618*'Analyse capacite'!$F$9</f>
        <v>0</v>
      </c>
      <c r="I4618" s="135" t="n">
        <f aca="false">$G4618*'Analyse capacite'!$C$9</f>
        <v>0</v>
      </c>
      <c r="J4618" s="135" t="n">
        <f aca="false">$G4618*'Analyse capacite'!$D$9</f>
        <v>0</v>
      </c>
      <c r="K4618" s="135" t="n">
        <f aca="false">$G4618*'Analyse capacite'!$E$9</f>
        <v>0</v>
      </c>
    </row>
    <row r="4619" customFormat="false" ht="15" hidden="false" customHeight="false" outlineLevel="0" collapsed="false">
      <c r="B4619" s="130" t="n">
        <v>2027</v>
      </c>
      <c r="C4619" s="131" t="s">
        <v>250</v>
      </c>
      <c r="D4619" s="132" t="n">
        <v>46606</v>
      </c>
      <c r="E4619" s="131" t="s">
        <v>25</v>
      </c>
      <c r="F4619" s="133" t="s">
        <v>11</v>
      </c>
      <c r="G4619" s="134" t="n">
        <f aca="false">LEN('Saisie programme'!$I$175)+SUMIFS('Vols additionnels'!$E$7:$E$66,'Vols additionnels'!$C$7:$C$66,$E4619,'Vols additionnels'!$D$7:$D$66,$F4619,'Vols additionnels'!$B$7:$B$66,$D4619)</f>
        <v>0</v>
      </c>
      <c r="H4619" s="135" t="n">
        <f aca="false">$G4619*'Analyse capacite'!$F$7</f>
        <v>0</v>
      </c>
      <c r="I4619" s="135" t="n">
        <f aca="false">$G4619*'Analyse capacite'!$C$7</f>
        <v>0</v>
      </c>
      <c r="J4619" s="135" t="n">
        <f aca="false">$G4619*'Analyse capacite'!$D$7</f>
        <v>0</v>
      </c>
      <c r="K4619" s="135" t="n">
        <f aca="false">$G4619*'Analyse capacite'!$E$7</f>
        <v>0</v>
      </c>
    </row>
    <row r="4620" customFormat="false" ht="15" hidden="false" customHeight="false" outlineLevel="0" collapsed="false">
      <c r="B4620" s="130" t="n">
        <v>2027</v>
      </c>
      <c r="C4620" s="131" t="s">
        <v>250</v>
      </c>
      <c r="D4620" s="132" t="n">
        <v>46606</v>
      </c>
      <c r="E4620" s="131" t="s">
        <v>25</v>
      </c>
      <c r="F4620" s="133" t="s">
        <v>19</v>
      </c>
      <c r="G4620" s="134" t="n">
        <f aca="false">LEN('Saisie programme'!$I$176)+SUMIFS('Vols additionnels'!$E$7:$E$66,'Vols additionnels'!$C$7:$C$66,$E4620,'Vols additionnels'!$D$7:$D$66,$F4620,'Vols additionnels'!$B$7:$B$66,$D4620)</f>
        <v>1</v>
      </c>
      <c r="H4620" s="135" t="n">
        <f aca="false">$G4620*'Analyse capacite'!$F$8</f>
        <v>262</v>
      </c>
      <c r="I4620" s="135" t="n">
        <f aca="false">$G4620*'Analyse capacite'!$C$8</f>
        <v>18</v>
      </c>
      <c r="J4620" s="135" t="n">
        <f aca="false">$G4620*'Analyse capacite'!$D$8</f>
        <v>0</v>
      </c>
      <c r="K4620" s="135" t="n">
        <f aca="false">$G4620*'Analyse capacite'!$E$8</f>
        <v>244</v>
      </c>
    </row>
    <row r="4621" customFormat="false" ht="15" hidden="false" customHeight="false" outlineLevel="0" collapsed="false">
      <c r="B4621" s="130" t="n">
        <v>2027</v>
      </c>
      <c r="C4621" s="131" t="s">
        <v>250</v>
      </c>
      <c r="D4621" s="132" t="n">
        <v>46606</v>
      </c>
      <c r="E4621" s="131" t="s">
        <v>25</v>
      </c>
      <c r="F4621" s="133" t="s">
        <v>24</v>
      </c>
      <c r="G4621" s="134" t="n">
        <f aca="false">LEN('Saisie programme'!$I$177)+SUMIFS('Vols additionnels'!$E$7:$E$66,'Vols additionnels'!$C$7:$C$66,$E4621,'Vols additionnels'!$D$7:$D$66,$F4621,'Vols additionnels'!$B$7:$B$66,$D4621)</f>
        <v>0</v>
      </c>
      <c r="H4621" s="135" t="n">
        <f aca="false">$G4621*'Analyse capacite'!$F$9</f>
        <v>0</v>
      </c>
      <c r="I4621" s="135" t="n">
        <f aca="false">$G4621*'Analyse capacite'!$C$9</f>
        <v>0</v>
      </c>
      <c r="J4621" s="135" t="n">
        <f aca="false">$G4621*'Analyse capacite'!$D$9</f>
        <v>0</v>
      </c>
      <c r="K4621" s="135" t="n">
        <f aca="false">$G4621*'Analyse capacite'!$E$9</f>
        <v>0</v>
      </c>
    </row>
    <row r="4622" customFormat="false" ht="15" hidden="false" customHeight="false" outlineLevel="0" collapsed="false">
      <c r="B4622" s="130" t="n">
        <v>2027</v>
      </c>
      <c r="C4622" s="131" t="s">
        <v>250</v>
      </c>
      <c r="D4622" s="132" t="n">
        <v>46606</v>
      </c>
      <c r="E4622" s="131" t="s">
        <v>36</v>
      </c>
      <c r="F4622" s="133" t="s">
        <v>11</v>
      </c>
      <c r="G4622" s="134" t="n">
        <f aca="false">LEN('Saisie programme'!$I$178)+SUMIFS('Vols additionnels'!$E$7:$E$66,'Vols additionnels'!$C$7:$C$66,$E4622,'Vols additionnels'!$D$7:$D$66,$F4622,'Vols additionnels'!$B$7:$B$66,$D4622)</f>
        <v>0</v>
      </c>
      <c r="H4622" s="135" t="n">
        <f aca="false">$G4622*'Analyse capacite'!$F$7</f>
        <v>0</v>
      </c>
      <c r="I4622" s="135" t="n">
        <f aca="false">$G4622*'Analyse capacite'!$C$7</f>
        <v>0</v>
      </c>
      <c r="J4622" s="135" t="n">
        <f aca="false">$G4622*'Analyse capacite'!$D$7</f>
        <v>0</v>
      </c>
      <c r="K4622" s="135" t="n">
        <f aca="false">$G4622*'Analyse capacite'!$E$7</f>
        <v>0</v>
      </c>
    </row>
    <row r="4623" customFormat="false" ht="15" hidden="false" customHeight="false" outlineLevel="0" collapsed="false">
      <c r="B4623" s="130" t="n">
        <v>2027</v>
      </c>
      <c r="C4623" s="131" t="s">
        <v>250</v>
      </c>
      <c r="D4623" s="132" t="n">
        <v>46606</v>
      </c>
      <c r="E4623" s="131" t="s">
        <v>36</v>
      </c>
      <c r="F4623" s="133" t="s">
        <v>19</v>
      </c>
      <c r="G4623" s="134" t="n">
        <f aca="false">LEN('Saisie programme'!$I$179)+SUMIFS('Vols additionnels'!$E$7:$E$66,'Vols additionnels'!$C$7:$C$66,$E4623,'Vols additionnels'!$D$7:$D$66,$F4623,'Vols additionnels'!$B$7:$B$66,$D4623)</f>
        <v>0</v>
      </c>
      <c r="H4623" s="135" t="n">
        <f aca="false">$G4623*'Analyse capacite'!$F$8</f>
        <v>0</v>
      </c>
      <c r="I4623" s="135" t="n">
        <f aca="false">$G4623*'Analyse capacite'!$C$8</f>
        <v>0</v>
      </c>
      <c r="J4623" s="135" t="n">
        <f aca="false">$G4623*'Analyse capacite'!$D$8</f>
        <v>0</v>
      </c>
      <c r="K4623" s="135" t="n">
        <f aca="false">$G4623*'Analyse capacite'!$E$8</f>
        <v>0</v>
      </c>
    </row>
    <row r="4624" customFormat="false" ht="15" hidden="false" customHeight="false" outlineLevel="0" collapsed="false">
      <c r="B4624" s="130" t="n">
        <v>2027</v>
      </c>
      <c r="C4624" s="131" t="s">
        <v>250</v>
      </c>
      <c r="D4624" s="132" t="n">
        <v>46606</v>
      </c>
      <c r="E4624" s="131" t="s">
        <v>36</v>
      </c>
      <c r="F4624" s="133" t="s">
        <v>24</v>
      </c>
      <c r="G4624" s="134" t="n">
        <f aca="false">LEN('Saisie programme'!$I$180)+SUMIFS('Vols additionnels'!$E$7:$E$66,'Vols additionnels'!$C$7:$C$66,$E4624,'Vols additionnels'!$D$7:$D$66,$F4624,'Vols additionnels'!$B$7:$B$66,$D4624)</f>
        <v>0</v>
      </c>
      <c r="H4624" s="135" t="n">
        <f aca="false">$G4624*'Analyse capacite'!$F$9</f>
        <v>0</v>
      </c>
      <c r="I4624" s="135" t="n">
        <f aca="false">$G4624*'Analyse capacite'!$C$9</f>
        <v>0</v>
      </c>
      <c r="J4624" s="135" t="n">
        <f aca="false">$G4624*'Analyse capacite'!$D$9</f>
        <v>0</v>
      </c>
      <c r="K4624" s="135" t="n">
        <f aca="false">$G4624*'Analyse capacite'!$E$9</f>
        <v>0</v>
      </c>
    </row>
    <row r="4625" customFormat="false" ht="15" hidden="false" customHeight="false" outlineLevel="0" collapsed="false">
      <c r="B4625" s="130" t="n">
        <v>2027</v>
      </c>
      <c r="C4625" s="131" t="s">
        <v>250</v>
      </c>
      <c r="D4625" s="132" t="n">
        <v>46606</v>
      </c>
      <c r="E4625" s="131" t="s">
        <v>40</v>
      </c>
      <c r="F4625" s="133" t="s">
        <v>11</v>
      </c>
      <c r="G4625" s="134" t="n">
        <f aca="false">LEN('Saisie programme'!$I$181)+SUMIFS('Vols additionnels'!$E$7:$E$66,'Vols additionnels'!$C$7:$C$66,$E4625,'Vols additionnels'!$D$7:$D$66,$F4625,'Vols additionnels'!$B$7:$B$66,$D4625)</f>
        <v>0</v>
      </c>
      <c r="H4625" s="135" t="n">
        <f aca="false">$G4625*'Analyse capacite'!$F$7</f>
        <v>0</v>
      </c>
      <c r="I4625" s="135" t="n">
        <f aca="false">$G4625*'Analyse capacite'!$C$7</f>
        <v>0</v>
      </c>
      <c r="J4625" s="135" t="n">
        <f aca="false">$G4625*'Analyse capacite'!$D$7</f>
        <v>0</v>
      </c>
      <c r="K4625" s="135" t="n">
        <f aca="false">$G4625*'Analyse capacite'!$E$7</f>
        <v>0</v>
      </c>
    </row>
    <row r="4626" customFormat="false" ht="15" hidden="false" customHeight="false" outlineLevel="0" collapsed="false">
      <c r="B4626" s="130" t="n">
        <v>2027</v>
      </c>
      <c r="C4626" s="131" t="s">
        <v>250</v>
      </c>
      <c r="D4626" s="132" t="n">
        <v>46606</v>
      </c>
      <c r="E4626" s="131" t="s">
        <v>40</v>
      </c>
      <c r="F4626" s="133" t="s">
        <v>19</v>
      </c>
      <c r="G4626" s="134" t="n">
        <f aca="false">LEN('Saisie programme'!$I$182)+SUMIFS('Vols additionnels'!$E$7:$E$66,'Vols additionnels'!$C$7:$C$66,$E4626,'Vols additionnels'!$D$7:$D$66,$F4626,'Vols additionnels'!$B$7:$B$66,$D4626)</f>
        <v>0</v>
      </c>
      <c r="H4626" s="135" t="n">
        <f aca="false">$G4626*'Analyse capacite'!$F$8</f>
        <v>0</v>
      </c>
      <c r="I4626" s="135" t="n">
        <f aca="false">$G4626*'Analyse capacite'!$C$8</f>
        <v>0</v>
      </c>
      <c r="J4626" s="135" t="n">
        <f aca="false">$G4626*'Analyse capacite'!$D$8</f>
        <v>0</v>
      </c>
      <c r="K4626" s="135" t="n">
        <f aca="false">$G4626*'Analyse capacite'!$E$8</f>
        <v>0</v>
      </c>
    </row>
    <row r="4627" customFormat="false" ht="15" hidden="false" customHeight="false" outlineLevel="0" collapsed="false">
      <c r="B4627" s="130" t="n">
        <v>2027</v>
      </c>
      <c r="C4627" s="131" t="s">
        <v>250</v>
      </c>
      <c r="D4627" s="132" t="n">
        <v>46606</v>
      </c>
      <c r="E4627" s="131" t="s">
        <v>40</v>
      </c>
      <c r="F4627" s="133" t="s">
        <v>24</v>
      </c>
      <c r="G4627" s="134" t="n">
        <f aca="false">LEN('Saisie programme'!$I$183)+SUMIFS('Vols additionnels'!$E$7:$E$66,'Vols additionnels'!$C$7:$C$66,$E4627,'Vols additionnels'!$D$7:$D$66,$F4627,'Vols additionnels'!$B$7:$B$66,$D4627)</f>
        <v>0</v>
      </c>
      <c r="H4627" s="135" t="n">
        <f aca="false">$G4627*'Analyse capacite'!$F$9</f>
        <v>0</v>
      </c>
      <c r="I4627" s="135" t="n">
        <f aca="false">$G4627*'Analyse capacite'!$C$9</f>
        <v>0</v>
      </c>
      <c r="J4627" s="135" t="n">
        <f aca="false">$G4627*'Analyse capacite'!$D$9</f>
        <v>0</v>
      </c>
      <c r="K4627" s="135" t="n">
        <f aca="false">$G4627*'Analyse capacite'!$E$9</f>
        <v>0</v>
      </c>
    </row>
    <row r="4628" customFormat="false" ht="15" hidden="false" customHeight="false" outlineLevel="0" collapsed="false">
      <c r="B4628" s="130" t="n">
        <v>2027</v>
      </c>
      <c r="C4628" s="131" t="s">
        <v>250</v>
      </c>
      <c r="D4628" s="132" t="n">
        <v>46606</v>
      </c>
      <c r="E4628" s="131" t="s">
        <v>14</v>
      </c>
      <c r="F4628" s="133" t="s">
        <v>11</v>
      </c>
      <c r="G4628" s="134" t="n">
        <f aca="false">LEN('Saisie programme'!$I$184)+SUMIFS('Vols additionnels'!$E$7:$E$66,'Vols additionnels'!$C$7:$C$66,$E4628,'Vols additionnels'!$D$7:$D$66,$F4628,'Vols additionnels'!$B$7:$B$66,$D4628)</f>
        <v>0</v>
      </c>
      <c r="H4628" s="135" t="n">
        <f aca="false">$G4628*'Analyse capacite'!$F$7</f>
        <v>0</v>
      </c>
      <c r="I4628" s="135" t="n">
        <f aca="false">$G4628*'Analyse capacite'!$C$7</f>
        <v>0</v>
      </c>
      <c r="J4628" s="135" t="n">
        <f aca="false">$G4628*'Analyse capacite'!$D$7</f>
        <v>0</v>
      </c>
      <c r="K4628" s="135" t="n">
        <f aca="false">$G4628*'Analyse capacite'!$E$7</f>
        <v>0</v>
      </c>
    </row>
    <row r="4629" customFormat="false" ht="15" hidden="false" customHeight="false" outlineLevel="0" collapsed="false">
      <c r="B4629" s="130" t="n">
        <v>2027</v>
      </c>
      <c r="C4629" s="131" t="s">
        <v>250</v>
      </c>
      <c r="D4629" s="132" t="n">
        <v>46606</v>
      </c>
      <c r="E4629" s="131" t="s">
        <v>14</v>
      </c>
      <c r="F4629" s="133" t="s">
        <v>19</v>
      </c>
      <c r="G4629" s="134" t="n">
        <f aca="false">LEN('Saisie programme'!$I$185)+SUMIFS('Vols additionnels'!$E$7:$E$66,'Vols additionnels'!$C$7:$C$66,$E4629,'Vols additionnels'!$D$7:$D$66,$F4629,'Vols additionnels'!$B$7:$B$66,$D4629)</f>
        <v>0</v>
      </c>
      <c r="H4629" s="135" t="n">
        <f aca="false">$G4629*'Analyse capacite'!$F$8</f>
        <v>0</v>
      </c>
      <c r="I4629" s="135" t="n">
        <f aca="false">$G4629*'Analyse capacite'!$C$8</f>
        <v>0</v>
      </c>
      <c r="J4629" s="135" t="n">
        <f aca="false">$G4629*'Analyse capacite'!$D$8</f>
        <v>0</v>
      </c>
      <c r="K4629" s="135" t="n">
        <f aca="false">$G4629*'Analyse capacite'!$E$8</f>
        <v>0</v>
      </c>
    </row>
    <row r="4630" customFormat="false" ht="15" hidden="false" customHeight="false" outlineLevel="0" collapsed="false">
      <c r="B4630" s="130" t="n">
        <v>2027</v>
      </c>
      <c r="C4630" s="131" t="s">
        <v>250</v>
      </c>
      <c r="D4630" s="132" t="n">
        <v>46606</v>
      </c>
      <c r="E4630" s="131" t="s">
        <v>14</v>
      </c>
      <c r="F4630" s="133" t="s">
        <v>24</v>
      </c>
      <c r="G4630" s="134" t="n">
        <f aca="false">LEN('Saisie programme'!$I$186)+SUMIFS('Vols additionnels'!$E$7:$E$66,'Vols additionnels'!$C$7:$C$66,$E4630,'Vols additionnels'!$D$7:$D$66,$F4630,'Vols additionnels'!$B$7:$B$66,$D4630)</f>
        <v>1</v>
      </c>
      <c r="H4630" s="135" t="n">
        <f aca="false">$G4630*'Analyse capacite'!$F$9</f>
        <v>174</v>
      </c>
      <c r="I4630" s="135" t="n">
        <f aca="false">$G4630*'Analyse capacite'!$C$9</f>
        <v>0</v>
      </c>
      <c r="J4630" s="135" t="n">
        <f aca="false">$G4630*'Analyse capacite'!$D$9</f>
        <v>12</v>
      </c>
      <c r="K4630" s="135" t="n">
        <f aca="false">$G4630*'Analyse capacite'!$E$9</f>
        <v>162</v>
      </c>
    </row>
    <row r="4631" customFormat="false" ht="15" hidden="false" customHeight="false" outlineLevel="0" collapsed="false">
      <c r="B4631" s="130" t="n">
        <v>2027</v>
      </c>
      <c r="C4631" s="131" t="s">
        <v>250</v>
      </c>
      <c r="D4631" s="132" t="n">
        <v>46606</v>
      </c>
      <c r="E4631" s="131" t="s">
        <v>46</v>
      </c>
      <c r="F4631" s="133" t="s">
        <v>11</v>
      </c>
      <c r="G4631" s="134" t="n">
        <f aca="false">LEN('Saisie programme'!$I$187)+SUMIFS('Vols additionnels'!$E$7:$E$66,'Vols additionnels'!$C$7:$C$66,$E4631,'Vols additionnels'!$D$7:$D$66,$F4631,'Vols additionnels'!$B$7:$B$66,$D4631)</f>
        <v>0</v>
      </c>
      <c r="H4631" s="135" t="n">
        <f aca="false">$G4631*'Analyse capacite'!$F$7</f>
        <v>0</v>
      </c>
      <c r="I4631" s="135" t="n">
        <f aca="false">$G4631*'Analyse capacite'!$C$7</f>
        <v>0</v>
      </c>
      <c r="J4631" s="135" t="n">
        <f aca="false">$G4631*'Analyse capacite'!$D$7</f>
        <v>0</v>
      </c>
      <c r="K4631" s="135" t="n">
        <f aca="false">$G4631*'Analyse capacite'!$E$7</f>
        <v>0</v>
      </c>
    </row>
    <row r="4632" customFormat="false" ht="15" hidden="false" customHeight="false" outlineLevel="0" collapsed="false">
      <c r="B4632" s="130" t="n">
        <v>2027</v>
      </c>
      <c r="C4632" s="131" t="s">
        <v>250</v>
      </c>
      <c r="D4632" s="132" t="n">
        <v>46606</v>
      </c>
      <c r="E4632" s="131" t="s">
        <v>46</v>
      </c>
      <c r="F4632" s="133" t="s">
        <v>19</v>
      </c>
      <c r="G4632" s="134" t="n">
        <f aca="false">LEN('Saisie programme'!$I$188)+SUMIFS('Vols additionnels'!$E$7:$E$66,'Vols additionnels'!$C$7:$C$66,$E4632,'Vols additionnels'!$D$7:$D$66,$F4632,'Vols additionnels'!$B$7:$B$66,$D4632)</f>
        <v>0</v>
      </c>
      <c r="H4632" s="135" t="n">
        <f aca="false">$G4632*'Analyse capacite'!$F$8</f>
        <v>0</v>
      </c>
      <c r="I4632" s="135" t="n">
        <f aca="false">$G4632*'Analyse capacite'!$C$8</f>
        <v>0</v>
      </c>
      <c r="J4632" s="135" t="n">
        <f aca="false">$G4632*'Analyse capacite'!$D$8</f>
        <v>0</v>
      </c>
      <c r="K4632" s="135" t="n">
        <f aca="false">$G4632*'Analyse capacite'!$E$8</f>
        <v>0</v>
      </c>
    </row>
    <row r="4633" customFormat="false" ht="15" hidden="false" customHeight="false" outlineLevel="0" collapsed="false">
      <c r="B4633" s="130" t="n">
        <v>2027</v>
      </c>
      <c r="C4633" s="131" t="s">
        <v>250</v>
      </c>
      <c r="D4633" s="132" t="n">
        <v>46606</v>
      </c>
      <c r="E4633" s="131" t="s">
        <v>46</v>
      </c>
      <c r="F4633" s="133" t="s">
        <v>24</v>
      </c>
      <c r="G4633" s="134" t="n">
        <f aca="false">LEN('Saisie programme'!$I$189)+SUMIFS('Vols additionnels'!$E$7:$E$66,'Vols additionnels'!$C$7:$C$66,$E4633,'Vols additionnels'!$D$7:$D$66,$F4633,'Vols additionnels'!$B$7:$B$66,$D4633)</f>
        <v>1</v>
      </c>
      <c r="H4633" s="135" t="n">
        <f aca="false">$G4633*'Analyse capacite'!$F$9</f>
        <v>174</v>
      </c>
      <c r="I4633" s="135" t="n">
        <f aca="false">$G4633*'Analyse capacite'!$C$9</f>
        <v>0</v>
      </c>
      <c r="J4633" s="135" t="n">
        <f aca="false">$G4633*'Analyse capacite'!$D$9</f>
        <v>12</v>
      </c>
      <c r="K4633" s="135" t="n">
        <f aca="false">$G4633*'Analyse capacite'!$E$9</f>
        <v>162</v>
      </c>
    </row>
    <row r="4634" customFormat="false" ht="15" hidden="false" customHeight="false" outlineLevel="0" collapsed="false">
      <c r="B4634" s="130" t="n">
        <v>2027</v>
      </c>
      <c r="C4634" s="131" t="s">
        <v>250</v>
      </c>
      <c r="D4634" s="132" t="n">
        <v>46606</v>
      </c>
      <c r="E4634" s="131" t="s">
        <v>49</v>
      </c>
      <c r="F4634" s="133" t="s">
        <v>11</v>
      </c>
      <c r="G4634" s="134" t="n">
        <f aca="false">LEN('Saisie programme'!$I$190)+SUMIFS('Vols additionnels'!$E$7:$E$66,'Vols additionnels'!$C$7:$C$66,$E4634,'Vols additionnels'!$D$7:$D$66,$F4634,'Vols additionnels'!$B$7:$B$66,$D4634)</f>
        <v>0</v>
      </c>
      <c r="H4634" s="135" t="n">
        <f aca="false">$G4634*'Analyse capacite'!$F$7</f>
        <v>0</v>
      </c>
      <c r="I4634" s="135" t="n">
        <f aca="false">$G4634*'Analyse capacite'!$C$7</f>
        <v>0</v>
      </c>
      <c r="J4634" s="135" t="n">
        <f aca="false">$G4634*'Analyse capacite'!$D$7</f>
        <v>0</v>
      </c>
      <c r="K4634" s="135" t="n">
        <f aca="false">$G4634*'Analyse capacite'!$E$7</f>
        <v>0</v>
      </c>
    </row>
    <row r="4635" customFormat="false" ht="15" hidden="false" customHeight="false" outlineLevel="0" collapsed="false">
      <c r="B4635" s="130" t="n">
        <v>2027</v>
      </c>
      <c r="C4635" s="131" t="s">
        <v>250</v>
      </c>
      <c r="D4635" s="132" t="n">
        <v>46606</v>
      </c>
      <c r="E4635" s="131" t="s">
        <v>49</v>
      </c>
      <c r="F4635" s="133" t="s">
        <v>19</v>
      </c>
      <c r="G4635" s="134" t="n">
        <f aca="false">LEN('Saisie programme'!$I$191)+SUMIFS('Vols additionnels'!$E$7:$E$66,'Vols additionnels'!$C$7:$C$66,$E4635,'Vols additionnels'!$D$7:$D$66,$F4635,'Vols additionnels'!$B$7:$B$66,$D4635)</f>
        <v>0</v>
      </c>
      <c r="H4635" s="135" t="n">
        <f aca="false">$G4635*'Analyse capacite'!$F$8</f>
        <v>0</v>
      </c>
      <c r="I4635" s="135" t="n">
        <f aca="false">$G4635*'Analyse capacite'!$C$8</f>
        <v>0</v>
      </c>
      <c r="J4635" s="135" t="n">
        <f aca="false">$G4635*'Analyse capacite'!$D$8</f>
        <v>0</v>
      </c>
      <c r="K4635" s="135" t="n">
        <f aca="false">$G4635*'Analyse capacite'!$E$8</f>
        <v>0</v>
      </c>
    </row>
    <row r="4636" customFormat="false" ht="15" hidden="false" customHeight="false" outlineLevel="0" collapsed="false">
      <c r="B4636" s="130" t="n">
        <v>2027</v>
      </c>
      <c r="C4636" s="131" t="s">
        <v>250</v>
      </c>
      <c r="D4636" s="132" t="n">
        <v>46606</v>
      </c>
      <c r="E4636" s="131" t="s">
        <v>49</v>
      </c>
      <c r="F4636" s="133" t="s">
        <v>24</v>
      </c>
      <c r="G4636" s="134" t="n">
        <f aca="false">LEN('Saisie programme'!$I$192)+SUMIFS('Vols additionnels'!$E$7:$E$66,'Vols additionnels'!$C$7:$C$66,$E4636,'Vols additionnels'!$D$7:$D$66,$F4636,'Vols additionnels'!$B$7:$B$66,$D4636)</f>
        <v>0</v>
      </c>
      <c r="H4636" s="135" t="n">
        <f aca="false">$G4636*'Analyse capacite'!$F$9</f>
        <v>0</v>
      </c>
      <c r="I4636" s="135" t="n">
        <f aca="false">$G4636*'Analyse capacite'!$C$9</f>
        <v>0</v>
      </c>
      <c r="J4636" s="135" t="n">
        <f aca="false">$G4636*'Analyse capacite'!$D$9</f>
        <v>0</v>
      </c>
      <c r="K4636" s="135" t="n">
        <f aca="false">$G4636*'Analyse capacite'!$E$9</f>
        <v>0</v>
      </c>
    </row>
    <row r="4637" customFormat="false" ht="15" hidden="false" customHeight="false" outlineLevel="0" collapsed="false">
      <c r="B4637" s="130" t="n">
        <v>2027</v>
      </c>
      <c r="C4637" s="131" t="s">
        <v>250</v>
      </c>
      <c r="D4637" s="132" t="n">
        <v>46606</v>
      </c>
      <c r="E4637" s="131" t="s">
        <v>53</v>
      </c>
      <c r="F4637" s="133" t="s">
        <v>11</v>
      </c>
      <c r="G4637" s="134" t="n">
        <f aca="false">LEN('Saisie programme'!$I$193)+SUMIFS('Vols additionnels'!$E$7:$E$66,'Vols additionnels'!$C$7:$C$66,$E4637,'Vols additionnels'!$D$7:$D$66,$F4637,'Vols additionnels'!$B$7:$B$66,$D4637)</f>
        <v>0</v>
      </c>
      <c r="H4637" s="135" t="n">
        <f aca="false">$G4637*'Analyse capacite'!$F$7</f>
        <v>0</v>
      </c>
      <c r="I4637" s="135" t="n">
        <f aca="false">$G4637*'Analyse capacite'!$C$7</f>
        <v>0</v>
      </c>
      <c r="J4637" s="135" t="n">
        <f aca="false">$G4637*'Analyse capacite'!$D$7</f>
        <v>0</v>
      </c>
      <c r="K4637" s="135" t="n">
        <f aca="false">$G4637*'Analyse capacite'!$E$7</f>
        <v>0</v>
      </c>
    </row>
    <row r="4638" customFormat="false" ht="15" hidden="false" customHeight="false" outlineLevel="0" collapsed="false">
      <c r="B4638" s="130" t="n">
        <v>2027</v>
      </c>
      <c r="C4638" s="131" t="s">
        <v>250</v>
      </c>
      <c r="D4638" s="132" t="n">
        <v>46606</v>
      </c>
      <c r="E4638" s="131" t="s">
        <v>53</v>
      </c>
      <c r="F4638" s="133" t="s">
        <v>19</v>
      </c>
      <c r="G4638" s="134" t="n">
        <f aca="false">LEN('Saisie programme'!$I$194)+SUMIFS('Vols additionnels'!$E$7:$E$66,'Vols additionnels'!$C$7:$C$66,$E4638,'Vols additionnels'!$D$7:$D$66,$F4638,'Vols additionnels'!$B$7:$B$66,$D4638)</f>
        <v>0</v>
      </c>
      <c r="H4638" s="135" t="n">
        <f aca="false">$G4638*'Analyse capacite'!$F$8</f>
        <v>0</v>
      </c>
      <c r="I4638" s="135" t="n">
        <f aca="false">$G4638*'Analyse capacite'!$C$8</f>
        <v>0</v>
      </c>
      <c r="J4638" s="135" t="n">
        <f aca="false">$G4638*'Analyse capacite'!$D$8</f>
        <v>0</v>
      </c>
      <c r="K4638" s="135" t="n">
        <f aca="false">$G4638*'Analyse capacite'!$E$8</f>
        <v>0</v>
      </c>
    </row>
    <row r="4639" customFormat="false" ht="15" hidden="false" customHeight="false" outlineLevel="0" collapsed="false">
      <c r="B4639" s="130" t="n">
        <v>2027</v>
      </c>
      <c r="C4639" s="131" t="s">
        <v>250</v>
      </c>
      <c r="D4639" s="132" t="n">
        <v>46606</v>
      </c>
      <c r="E4639" s="131" t="s">
        <v>53</v>
      </c>
      <c r="F4639" s="133" t="s">
        <v>24</v>
      </c>
      <c r="G4639" s="134" t="n">
        <f aca="false">LEN('Saisie programme'!$I$195)+SUMIFS('Vols additionnels'!$E$7:$E$66,'Vols additionnels'!$C$7:$C$66,$E4639,'Vols additionnels'!$D$7:$D$66,$F4639,'Vols additionnels'!$B$7:$B$66,$D4639)</f>
        <v>0</v>
      </c>
      <c r="H4639" s="135" t="n">
        <f aca="false">$G4639*'Analyse capacite'!$F$9</f>
        <v>0</v>
      </c>
      <c r="I4639" s="135" t="n">
        <f aca="false">$G4639*'Analyse capacite'!$C$9</f>
        <v>0</v>
      </c>
      <c r="J4639" s="135" t="n">
        <f aca="false">$G4639*'Analyse capacite'!$D$9</f>
        <v>0</v>
      </c>
      <c r="K4639" s="135" t="n">
        <f aca="false">$G4639*'Analyse capacite'!$E$9</f>
        <v>0</v>
      </c>
    </row>
    <row r="4640" customFormat="false" ht="15" hidden="false" customHeight="false" outlineLevel="0" collapsed="false">
      <c r="B4640" s="130" t="n">
        <v>2027</v>
      </c>
      <c r="C4640" s="131" t="s">
        <v>250</v>
      </c>
      <c r="D4640" s="132" t="n">
        <v>46606</v>
      </c>
      <c r="E4640" s="131" t="s">
        <v>56</v>
      </c>
      <c r="F4640" s="133" t="s">
        <v>11</v>
      </c>
      <c r="G4640" s="134" t="n">
        <f aca="false">LEN('Saisie programme'!$I$196)+SUMIFS('Vols additionnels'!$E$7:$E$66,'Vols additionnels'!$C$7:$C$66,$E4640,'Vols additionnels'!$D$7:$D$66,$F4640,'Vols additionnels'!$B$7:$B$66,$D4640)</f>
        <v>0</v>
      </c>
      <c r="H4640" s="135" t="n">
        <f aca="false">$G4640*'Analyse capacite'!$F$7</f>
        <v>0</v>
      </c>
      <c r="I4640" s="135" t="n">
        <f aca="false">$G4640*'Analyse capacite'!$C$7</f>
        <v>0</v>
      </c>
      <c r="J4640" s="135" t="n">
        <f aca="false">$G4640*'Analyse capacite'!$D$7</f>
        <v>0</v>
      </c>
      <c r="K4640" s="135" t="n">
        <f aca="false">$G4640*'Analyse capacite'!$E$7</f>
        <v>0</v>
      </c>
    </row>
    <row r="4641" customFormat="false" ht="15" hidden="false" customHeight="false" outlineLevel="0" collapsed="false">
      <c r="B4641" s="130" t="n">
        <v>2027</v>
      </c>
      <c r="C4641" s="131" t="s">
        <v>250</v>
      </c>
      <c r="D4641" s="132" t="n">
        <v>46606</v>
      </c>
      <c r="E4641" s="131" t="s">
        <v>56</v>
      </c>
      <c r="F4641" s="133" t="s">
        <v>19</v>
      </c>
      <c r="G4641" s="134" t="n">
        <f aca="false">LEN('Saisie programme'!$I$197)+SUMIFS('Vols additionnels'!$E$7:$E$66,'Vols additionnels'!$C$7:$C$66,$E4641,'Vols additionnels'!$D$7:$D$66,$F4641,'Vols additionnels'!$B$7:$B$66,$D4641)</f>
        <v>0</v>
      </c>
      <c r="H4641" s="135" t="n">
        <f aca="false">$G4641*'Analyse capacite'!$F$8</f>
        <v>0</v>
      </c>
      <c r="I4641" s="135" t="n">
        <f aca="false">$G4641*'Analyse capacite'!$C$8</f>
        <v>0</v>
      </c>
      <c r="J4641" s="135" t="n">
        <f aca="false">$G4641*'Analyse capacite'!$D$8</f>
        <v>0</v>
      </c>
      <c r="K4641" s="135" t="n">
        <f aca="false">$G4641*'Analyse capacite'!$E$8</f>
        <v>0</v>
      </c>
    </row>
    <row r="4642" customFormat="false" ht="15" hidden="false" customHeight="false" outlineLevel="0" collapsed="false">
      <c r="B4642" s="130" t="n">
        <v>2027</v>
      </c>
      <c r="C4642" s="131" t="s">
        <v>250</v>
      </c>
      <c r="D4642" s="132" t="n">
        <v>46606</v>
      </c>
      <c r="E4642" s="131" t="s">
        <v>56</v>
      </c>
      <c r="F4642" s="133" t="s">
        <v>24</v>
      </c>
      <c r="G4642" s="134" t="n">
        <f aca="false">LEN('Saisie programme'!$I$198)+SUMIFS('Vols additionnels'!$E$7:$E$66,'Vols additionnels'!$C$7:$C$66,$E4642,'Vols additionnels'!$D$7:$D$66,$F4642,'Vols additionnels'!$B$7:$B$66,$D4642)</f>
        <v>1</v>
      </c>
      <c r="H4642" s="135" t="n">
        <f aca="false">$G4642*'Analyse capacite'!$F$9</f>
        <v>174</v>
      </c>
      <c r="I4642" s="135" t="n">
        <f aca="false">$G4642*'Analyse capacite'!$C$9</f>
        <v>0</v>
      </c>
      <c r="J4642" s="135" t="n">
        <f aca="false">$G4642*'Analyse capacite'!$D$9</f>
        <v>12</v>
      </c>
      <c r="K4642" s="135" t="n">
        <f aca="false">$G4642*'Analyse capacite'!$E$9</f>
        <v>162</v>
      </c>
    </row>
    <row r="4643" customFormat="false" ht="15" hidden="false" customHeight="false" outlineLevel="0" collapsed="false">
      <c r="B4643" s="130" t="n">
        <v>2027</v>
      </c>
      <c r="C4643" s="131" t="s">
        <v>250</v>
      </c>
      <c r="D4643" s="132" t="n">
        <v>46606</v>
      </c>
      <c r="E4643" s="131" t="s">
        <v>59</v>
      </c>
      <c r="F4643" s="133" t="s">
        <v>11</v>
      </c>
      <c r="G4643" s="134" t="n">
        <f aca="false">LEN('Saisie programme'!$I$199)+SUMIFS('Vols additionnels'!$E$7:$E$66,'Vols additionnels'!$C$7:$C$66,$E4643,'Vols additionnels'!$D$7:$D$66,$F4643,'Vols additionnels'!$B$7:$B$66,$D4643)</f>
        <v>0</v>
      </c>
      <c r="H4643" s="135" t="n">
        <f aca="false">$G4643*'Analyse capacite'!$F$7</f>
        <v>0</v>
      </c>
      <c r="I4643" s="135" t="n">
        <f aca="false">$G4643*'Analyse capacite'!$C$7</f>
        <v>0</v>
      </c>
      <c r="J4643" s="135" t="n">
        <f aca="false">$G4643*'Analyse capacite'!$D$7</f>
        <v>0</v>
      </c>
      <c r="K4643" s="135" t="n">
        <f aca="false">$G4643*'Analyse capacite'!$E$7</f>
        <v>0</v>
      </c>
    </row>
    <row r="4644" customFormat="false" ht="15" hidden="false" customHeight="false" outlineLevel="0" collapsed="false">
      <c r="B4644" s="130" t="n">
        <v>2027</v>
      </c>
      <c r="C4644" s="131" t="s">
        <v>250</v>
      </c>
      <c r="D4644" s="132" t="n">
        <v>46606</v>
      </c>
      <c r="E4644" s="131" t="s">
        <v>59</v>
      </c>
      <c r="F4644" s="133" t="s">
        <v>19</v>
      </c>
      <c r="G4644" s="134" t="n">
        <f aca="false">LEN('Saisie programme'!$I$200)+SUMIFS('Vols additionnels'!$E$7:$E$66,'Vols additionnels'!$C$7:$C$66,$E4644,'Vols additionnels'!$D$7:$D$66,$F4644,'Vols additionnels'!$B$7:$B$66,$D4644)</f>
        <v>0</v>
      </c>
      <c r="H4644" s="135" t="n">
        <f aca="false">$G4644*'Analyse capacite'!$F$8</f>
        <v>0</v>
      </c>
      <c r="I4644" s="135" t="n">
        <f aca="false">$G4644*'Analyse capacite'!$C$8</f>
        <v>0</v>
      </c>
      <c r="J4644" s="135" t="n">
        <f aca="false">$G4644*'Analyse capacite'!$D$8</f>
        <v>0</v>
      </c>
      <c r="K4644" s="135" t="n">
        <f aca="false">$G4644*'Analyse capacite'!$E$8</f>
        <v>0</v>
      </c>
    </row>
    <row r="4645" customFormat="false" ht="15" hidden="false" customHeight="false" outlineLevel="0" collapsed="false">
      <c r="B4645" s="130" t="n">
        <v>2027</v>
      </c>
      <c r="C4645" s="131" t="s">
        <v>250</v>
      </c>
      <c r="D4645" s="132" t="n">
        <v>46606</v>
      </c>
      <c r="E4645" s="131" t="s">
        <v>59</v>
      </c>
      <c r="F4645" s="133" t="s">
        <v>24</v>
      </c>
      <c r="G4645" s="134" t="n">
        <f aca="false">LEN('Saisie programme'!$I$201)+SUMIFS('Vols additionnels'!$E$7:$E$66,'Vols additionnels'!$C$7:$C$66,$E4645,'Vols additionnels'!$D$7:$D$66,$F4645,'Vols additionnels'!$B$7:$B$66,$D4645)</f>
        <v>1</v>
      </c>
      <c r="H4645" s="135" t="n">
        <f aca="false">$G4645*'Analyse capacite'!$F$9</f>
        <v>174</v>
      </c>
      <c r="I4645" s="135" t="n">
        <f aca="false">$G4645*'Analyse capacite'!$C$9</f>
        <v>0</v>
      </c>
      <c r="J4645" s="135" t="n">
        <f aca="false">$G4645*'Analyse capacite'!$D$9</f>
        <v>12</v>
      </c>
      <c r="K4645" s="135" t="n">
        <f aca="false">$G4645*'Analyse capacite'!$E$9</f>
        <v>162</v>
      </c>
    </row>
    <row r="4646" customFormat="false" ht="15" hidden="false" customHeight="false" outlineLevel="0" collapsed="false">
      <c r="B4646" s="130" t="n">
        <v>2027</v>
      </c>
      <c r="C4646" s="131" t="s">
        <v>250</v>
      </c>
      <c r="D4646" s="132" t="n">
        <v>46606</v>
      </c>
      <c r="E4646" s="131" t="s">
        <v>62</v>
      </c>
      <c r="F4646" s="133" t="s">
        <v>11</v>
      </c>
      <c r="G4646" s="134" t="n">
        <f aca="false">LEN('Saisie programme'!$I$202)+SUMIFS('Vols additionnels'!$E$7:$E$66,'Vols additionnels'!$C$7:$C$66,$E4646,'Vols additionnels'!$D$7:$D$66,$F4646,'Vols additionnels'!$B$7:$B$66,$D4646)</f>
        <v>0</v>
      </c>
      <c r="H4646" s="135" t="n">
        <f aca="false">$G4646*'Analyse capacite'!$F$7</f>
        <v>0</v>
      </c>
      <c r="I4646" s="135" t="n">
        <f aca="false">$G4646*'Analyse capacite'!$C$7</f>
        <v>0</v>
      </c>
      <c r="J4646" s="135" t="n">
        <f aca="false">$G4646*'Analyse capacite'!$D$7</f>
        <v>0</v>
      </c>
      <c r="K4646" s="135" t="n">
        <f aca="false">$G4646*'Analyse capacite'!$E$7</f>
        <v>0</v>
      </c>
    </row>
    <row r="4647" customFormat="false" ht="15" hidden="false" customHeight="false" outlineLevel="0" collapsed="false">
      <c r="B4647" s="130" t="n">
        <v>2027</v>
      </c>
      <c r="C4647" s="131" t="s">
        <v>250</v>
      </c>
      <c r="D4647" s="132" t="n">
        <v>46606</v>
      </c>
      <c r="E4647" s="131" t="s">
        <v>62</v>
      </c>
      <c r="F4647" s="133" t="s">
        <v>19</v>
      </c>
      <c r="G4647" s="134" t="n">
        <f aca="false">LEN('Saisie programme'!$I$203)+SUMIFS('Vols additionnels'!$E$7:$E$66,'Vols additionnels'!$C$7:$C$66,$E4647,'Vols additionnels'!$D$7:$D$66,$F4647,'Vols additionnels'!$B$7:$B$66,$D4647)</f>
        <v>0</v>
      </c>
      <c r="H4647" s="135" t="n">
        <f aca="false">$G4647*'Analyse capacite'!$F$8</f>
        <v>0</v>
      </c>
      <c r="I4647" s="135" t="n">
        <f aca="false">$G4647*'Analyse capacite'!$C$8</f>
        <v>0</v>
      </c>
      <c r="J4647" s="135" t="n">
        <f aca="false">$G4647*'Analyse capacite'!$D$8</f>
        <v>0</v>
      </c>
      <c r="K4647" s="135" t="n">
        <f aca="false">$G4647*'Analyse capacite'!$E$8</f>
        <v>0</v>
      </c>
    </row>
    <row r="4648" customFormat="false" ht="15" hidden="false" customHeight="false" outlineLevel="0" collapsed="false">
      <c r="B4648" s="130" t="n">
        <v>2027</v>
      </c>
      <c r="C4648" s="131" t="s">
        <v>250</v>
      </c>
      <c r="D4648" s="132" t="n">
        <v>46606</v>
      </c>
      <c r="E4648" s="131" t="s">
        <v>62</v>
      </c>
      <c r="F4648" s="133" t="s">
        <v>24</v>
      </c>
      <c r="G4648" s="134" t="n">
        <f aca="false">LEN('Saisie programme'!$I$204)+SUMIFS('Vols additionnels'!$E$7:$E$66,'Vols additionnels'!$C$7:$C$66,$E4648,'Vols additionnels'!$D$7:$D$66,$F4648,'Vols additionnels'!$B$7:$B$66,$D4648)</f>
        <v>0</v>
      </c>
      <c r="H4648" s="135" t="n">
        <f aca="false">$G4648*'Analyse capacite'!$F$9</f>
        <v>0</v>
      </c>
      <c r="I4648" s="135" t="n">
        <f aca="false">$G4648*'Analyse capacite'!$C$9</f>
        <v>0</v>
      </c>
      <c r="J4648" s="135" t="n">
        <f aca="false">$G4648*'Analyse capacite'!$D$9</f>
        <v>0</v>
      </c>
      <c r="K4648" s="135" t="n">
        <f aca="false">$G4648*'Analyse capacite'!$E$9</f>
        <v>0</v>
      </c>
    </row>
    <row r="4649" customFormat="false" ht="15" hidden="false" customHeight="false" outlineLevel="0" collapsed="false">
      <c r="B4649" s="130" t="n">
        <v>2027</v>
      </c>
      <c r="C4649" s="131" t="s">
        <v>250</v>
      </c>
      <c r="D4649" s="132" t="n">
        <v>46607</v>
      </c>
      <c r="E4649" s="131" t="s">
        <v>12</v>
      </c>
      <c r="F4649" s="133" t="s">
        <v>11</v>
      </c>
      <c r="G4649" s="134" t="n">
        <f aca="false">LEN('Saisie programme'!$J$169)+SUMIFS('Vols additionnels'!$E$7:$E$66,'Vols additionnels'!$C$7:$C$66,$E4649,'Vols additionnels'!$D$7:$D$66,$F4649,'Vols additionnels'!$B$7:$B$66,$D4649)</f>
        <v>1</v>
      </c>
      <c r="H4649" s="135" t="n">
        <f aca="false">$G4649*'Analyse capacite'!$F$7</f>
        <v>438</v>
      </c>
      <c r="I4649" s="135" t="n">
        <f aca="false">$G4649*'Analyse capacite'!$C$7</f>
        <v>14</v>
      </c>
      <c r="J4649" s="135" t="n">
        <f aca="false">$G4649*'Analyse capacite'!$D$7</f>
        <v>40</v>
      </c>
      <c r="K4649" s="135" t="n">
        <f aca="false">$G4649*'Analyse capacite'!$E$7</f>
        <v>384</v>
      </c>
    </row>
    <row r="4650" customFormat="false" ht="15" hidden="false" customHeight="false" outlineLevel="0" collapsed="false">
      <c r="B4650" s="130" t="n">
        <v>2027</v>
      </c>
      <c r="C4650" s="131" t="s">
        <v>250</v>
      </c>
      <c r="D4650" s="132" t="n">
        <v>46607</v>
      </c>
      <c r="E4650" s="131" t="s">
        <v>12</v>
      </c>
      <c r="F4650" s="133" t="s">
        <v>19</v>
      </c>
      <c r="G4650" s="134" t="n">
        <f aca="false">LEN('Saisie programme'!$J$170)+SUMIFS('Vols additionnels'!$E$7:$E$66,'Vols additionnels'!$C$7:$C$66,$E4650,'Vols additionnels'!$D$7:$D$66,$F4650,'Vols additionnels'!$B$7:$B$66,$D4650)</f>
        <v>1</v>
      </c>
      <c r="H4650" s="135" t="n">
        <f aca="false">$G4650*'Analyse capacite'!$F$8</f>
        <v>262</v>
      </c>
      <c r="I4650" s="135" t="n">
        <f aca="false">$G4650*'Analyse capacite'!$C$8</f>
        <v>18</v>
      </c>
      <c r="J4650" s="135" t="n">
        <f aca="false">$G4650*'Analyse capacite'!$D$8</f>
        <v>0</v>
      </c>
      <c r="K4650" s="135" t="n">
        <f aca="false">$G4650*'Analyse capacite'!$E$8</f>
        <v>244</v>
      </c>
    </row>
    <row r="4651" customFormat="false" ht="15" hidden="false" customHeight="false" outlineLevel="0" collapsed="false">
      <c r="B4651" s="130" t="n">
        <v>2027</v>
      </c>
      <c r="C4651" s="131" t="s">
        <v>250</v>
      </c>
      <c r="D4651" s="132" t="n">
        <v>46607</v>
      </c>
      <c r="E4651" s="131" t="s">
        <v>12</v>
      </c>
      <c r="F4651" s="133" t="s">
        <v>24</v>
      </c>
      <c r="G4651" s="134" t="n">
        <f aca="false">LEN('Saisie programme'!$J$171)+SUMIFS('Vols additionnels'!$E$7:$E$66,'Vols additionnels'!$C$7:$C$66,$E4651,'Vols additionnels'!$D$7:$D$66,$F4651,'Vols additionnels'!$B$7:$B$66,$D4651)</f>
        <v>0</v>
      </c>
      <c r="H4651" s="135" t="n">
        <f aca="false">$G4651*'Analyse capacite'!$F$9</f>
        <v>0</v>
      </c>
      <c r="I4651" s="135" t="n">
        <f aca="false">$G4651*'Analyse capacite'!$C$9</f>
        <v>0</v>
      </c>
      <c r="J4651" s="135" t="n">
        <f aca="false">$G4651*'Analyse capacite'!$D$9</f>
        <v>0</v>
      </c>
      <c r="K4651" s="135" t="n">
        <f aca="false">$G4651*'Analyse capacite'!$E$9</f>
        <v>0</v>
      </c>
    </row>
    <row r="4652" customFormat="false" ht="15" hidden="false" customHeight="false" outlineLevel="0" collapsed="false">
      <c r="B4652" s="130" t="n">
        <v>2027</v>
      </c>
      <c r="C4652" s="131" t="s">
        <v>250</v>
      </c>
      <c r="D4652" s="132" t="n">
        <v>46607</v>
      </c>
      <c r="E4652" s="131" t="s">
        <v>20</v>
      </c>
      <c r="F4652" s="133" t="s">
        <v>11</v>
      </c>
      <c r="G4652" s="134" t="n">
        <f aca="false">LEN('Saisie programme'!$J$172)+SUMIFS('Vols additionnels'!$E$7:$E$66,'Vols additionnels'!$C$7:$C$66,$E4652,'Vols additionnels'!$D$7:$D$66,$F4652,'Vols additionnels'!$B$7:$B$66,$D4652)</f>
        <v>1</v>
      </c>
      <c r="H4652" s="135" t="n">
        <f aca="false">$G4652*'Analyse capacite'!$F$7</f>
        <v>438</v>
      </c>
      <c r="I4652" s="135" t="n">
        <f aca="false">$G4652*'Analyse capacite'!$C$7</f>
        <v>14</v>
      </c>
      <c r="J4652" s="135" t="n">
        <f aca="false">$G4652*'Analyse capacite'!$D$7</f>
        <v>40</v>
      </c>
      <c r="K4652" s="135" t="n">
        <f aca="false">$G4652*'Analyse capacite'!$E$7</f>
        <v>384</v>
      </c>
    </row>
    <row r="4653" customFormat="false" ht="15" hidden="false" customHeight="false" outlineLevel="0" collapsed="false">
      <c r="B4653" s="130" t="n">
        <v>2027</v>
      </c>
      <c r="C4653" s="131" t="s">
        <v>250</v>
      </c>
      <c r="D4653" s="132" t="n">
        <v>46607</v>
      </c>
      <c r="E4653" s="131" t="s">
        <v>20</v>
      </c>
      <c r="F4653" s="133" t="s">
        <v>19</v>
      </c>
      <c r="G4653" s="134" t="n">
        <f aca="false">LEN('Saisie programme'!$J$173)+SUMIFS('Vols additionnels'!$E$7:$E$66,'Vols additionnels'!$C$7:$C$66,$E4653,'Vols additionnels'!$D$7:$D$66,$F4653,'Vols additionnels'!$B$7:$B$66,$D4653)</f>
        <v>0</v>
      </c>
      <c r="H4653" s="135" t="n">
        <f aca="false">$G4653*'Analyse capacite'!$F$8</f>
        <v>0</v>
      </c>
      <c r="I4653" s="135" t="n">
        <f aca="false">$G4653*'Analyse capacite'!$C$8</f>
        <v>0</v>
      </c>
      <c r="J4653" s="135" t="n">
        <f aca="false">$G4653*'Analyse capacite'!$D$8</f>
        <v>0</v>
      </c>
      <c r="K4653" s="135" t="n">
        <f aca="false">$G4653*'Analyse capacite'!$E$8</f>
        <v>0</v>
      </c>
    </row>
    <row r="4654" customFormat="false" ht="15" hidden="false" customHeight="false" outlineLevel="0" collapsed="false">
      <c r="B4654" s="130" t="n">
        <v>2027</v>
      </c>
      <c r="C4654" s="131" t="s">
        <v>250</v>
      </c>
      <c r="D4654" s="132" t="n">
        <v>46607</v>
      </c>
      <c r="E4654" s="131" t="s">
        <v>20</v>
      </c>
      <c r="F4654" s="133" t="s">
        <v>24</v>
      </c>
      <c r="G4654" s="134" t="n">
        <f aca="false">LEN('Saisie programme'!$J$174)+SUMIFS('Vols additionnels'!$E$7:$E$66,'Vols additionnels'!$C$7:$C$66,$E4654,'Vols additionnels'!$D$7:$D$66,$F4654,'Vols additionnels'!$B$7:$B$66,$D4654)</f>
        <v>0</v>
      </c>
      <c r="H4654" s="135" t="n">
        <f aca="false">$G4654*'Analyse capacite'!$F$9</f>
        <v>0</v>
      </c>
      <c r="I4654" s="135" t="n">
        <f aca="false">$G4654*'Analyse capacite'!$C$9</f>
        <v>0</v>
      </c>
      <c r="J4654" s="135" t="n">
        <f aca="false">$G4654*'Analyse capacite'!$D$9</f>
        <v>0</v>
      </c>
      <c r="K4654" s="135" t="n">
        <f aca="false">$G4654*'Analyse capacite'!$E$9</f>
        <v>0</v>
      </c>
    </row>
    <row r="4655" customFormat="false" ht="15" hidden="false" customHeight="false" outlineLevel="0" collapsed="false">
      <c r="B4655" s="130" t="n">
        <v>2027</v>
      </c>
      <c r="C4655" s="131" t="s">
        <v>250</v>
      </c>
      <c r="D4655" s="132" t="n">
        <v>46607</v>
      </c>
      <c r="E4655" s="131" t="s">
        <v>25</v>
      </c>
      <c r="F4655" s="133" t="s">
        <v>11</v>
      </c>
      <c r="G4655" s="134" t="n">
        <f aca="false">LEN('Saisie programme'!$J$175)+SUMIFS('Vols additionnels'!$E$7:$E$66,'Vols additionnels'!$C$7:$C$66,$E4655,'Vols additionnels'!$D$7:$D$66,$F4655,'Vols additionnels'!$B$7:$B$66,$D4655)</f>
        <v>0</v>
      </c>
      <c r="H4655" s="135" t="n">
        <f aca="false">$G4655*'Analyse capacite'!$F$7</f>
        <v>0</v>
      </c>
      <c r="I4655" s="135" t="n">
        <f aca="false">$G4655*'Analyse capacite'!$C$7</f>
        <v>0</v>
      </c>
      <c r="J4655" s="135" t="n">
        <f aca="false">$G4655*'Analyse capacite'!$D$7</f>
        <v>0</v>
      </c>
      <c r="K4655" s="135" t="n">
        <f aca="false">$G4655*'Analyse capacite'!$E$7</f>
        <v>0</v>
      </c>
    </row>
    <row r="4656" customFormat="false" ht="15" hidden="false" customHeight="false" outlineLevel="0" collapsed="false">
      <c r="B4656" s="130" t="n">
        <v>2027</v>
      </c>
      <c r="C4656" s="131" t="s">
        <v>250</v>
      </c>
      <c r="D4656" s="132" t="n">
        <v>46607</v>
      </c>
      <c r="E4656" s="131" t="s">
        <v>25</v>
      </c>
      <c r="F4656" s="133" t="s">
        <v>19</v>
      </c>
      <c r="G4656" s="134" t="n">
        <f aca="false">LEN('Saisie programme'!$J$176)+SUMIFS('Vols additionnels'!$E$7:$E$66,'Vols additionnels'!$C$7:$C$66,$E4656,'Vols additionnels'!$D$7:$D$66,$F4656,'Vols additionnels'!$B$7:$B$66,$D4656)</f>
        <v>0</v>
      </c>
      <c r="H4656" s="135" t="n">
        <f aca="false">$G4656*'Analyse capacite'!$F$8</f>
        <v>0</v>
      </c>
      <c r="I4656" s="135" t="n">
        <f aca="false">$G4656*'Analyse capacite'!$C$8</f>
        <v>0</v>
      </c>
      <c r="J4656" s="135" t="n">
        <f aca="false">$G4656*'Analyse capacite'!$D$8</f>
        <v>0</v>
      </c>
      <c r="K4656" s="135" t="n">
        <f aca="false">$G4656*'Analyse capacite'!$E$8</f>
        <v>0</v>
      </c>
    </row>
    <row r="4657" customFormat="false" ht="15" hidden="false" customHeight="false" outlineLevel="0" collapsed="false">
      <c r="B4657" s="130" t="n">
        <v>2027</v>
      </c>
      <c r="C4657" s="131" t="s">
        <v>250</v>
      </c>
      <c r="D4657" s="132" t="n">
        <v>46607</v>
      </c>
      <c r="E4657" s="131" t="s">
        <v>25</v>
      </c>
      <c r="F4657" s="133" t="s">
        <v>24</v>
      </c>
      <c r="G4657" s="134" t="n">
        <f aca="false">LEN('Saisie programme'!$J$177)+SUMIFS('Vols additionnels'!$E$7:$E$66,'Vols additionnels'!$C$7:$C$66,$E4657,'Vols additionnels'!$D$7:$D$66,$F4657,'Vols additionnels'!$B$7:$B$66,$D4657)</f>
        <v>0</v>
      </c>
      <c r="H4657" s="135" t="n">
        <f aca="false">$G4657*'Analyse capacite'!$F$9</f>
        <v>0</v>
      </c>
      <c r="I4657" s="135" t="n">
        <f aca="false">$G4657*'Analyse capacite'!$C$9</f>
        <v>0</v>
      </c>
      <c r="J4657" s="135" t="n">
        <f aca="false">$G4657*'Analyse capacite'!$D$9</f>
        <v>0</v>
      </c>
      <c r="K4657" s="135" t="n">
        <f aca="false">$G4657*'Analyse capacite'!$E$9</f>
        <v>0</v>
      </c>
    </row>
    <row r="4658" customFormat="false" ht="15" hidden="false" customHeight="false" outlineLevel="0" collapsed="false">
      <c r="B4658" s="130" t="n">
        <v>2027</v>
      </c>
      <c r="C4658" s="131" t="s">
        <v>250</v>
      </c>
      <c r="D4658" s="132" t="n">
        <v>46607</v>
      </c>
      <c r="E4658" s="131" t="s">
        <v>36</v>
      </c>
      <c r="F4658" s="133" t="s">
        <v>11</v>
      </c>
      <c r="G4658" s="134" t="n">
        <f aca="false">LEN('Saisie programme'!$J$178)+SUMIFS('Vols additionnels'!$E$7:$E$66,'Vols additionnels'!$C$7:$C$66,$E4658,'Vols additionnels'!$D$7:$D$66,$F4658,'Vols additionnels'!$B$7:$B$66,$D4658)</f>
        <v>0</v>
      </c>
      <c r="H4658" s="135" t="n">
        <f aca="false">$G4658*'Analyse capacite'!$F$7</f>
        <v>0</v>
      </c>
      <c r="I4658" s="135" t="n">
        <f aca="false">$G4658*'Analyse capacite'!$C$7</f>
        <v>0</v>
      </c>
      <c r="J4658" s="135" t="n">
        <f aca="false">$G4658*'Analyse capacite'!$D$7</f>
        <v>0</v>
      </c>
      <c r="K4658" s="135" t="n">
        <f aca="false">$G4658*'Analyse capacite'!$E$7</f>
        <v>0</v>
      </c>
    </row>
    <row r="4659" customFormat="false" ht="15" hidden="false" customHeight="false" outlineLevel="0" collapsed="false">
      <c r="B4659" s="130" t="n">
        <v>2027</v>
      </c>
      <c r="C4659" s="131" t="s">
        <v>250</v>
      </c>
      <c r="D4659" s="132" t="n">
        <v>46607</v>
      </c>
      <c r="E4659" s="131" t="s">
        <v>36</v>
      </c>
      <c r="F4659" s="133" t="s">
        <v>19</v>
      </c>
      <c r="G4659" s="134" t="n">
        <f aca="false">LEN('Saisie programme'!$J$179)+SUMIFS('Vols additionnels'!$E$7:$E$66,'Vols additionnels'!$C$7:$C$66,$E4659,'Vols additionnels'!$D$7:$D$66,$F4659,'Vols additionnels'!$B$7:$B$66,$D4659)</f>
        <v>0</v>
      </c>
      <c r="H4659" s="135" t="n">
        <f aca="false">$G4659*'Analyse capacite'!$F$8</f>
        <v>0</v>
      </c>
      <c r="I4659" s="135" t="n">
        <f aca="false">$G4659*'Analyse capacite'!$C$8</f>
        <v>0</v>
      </c>
      <c r="J4659" s="135" t="n">
        <f aca="false">$G4659*'Analyse capacite'!$D$8</f>
        <v>0</v>
      </c>
      <c r="K4659" s="135" t="n">
        <f aca="false">$G4659*'Analyse capacite'!$E$8</f>
        <v>0</v>
      </c>
    </row>
    <row r="4660" customFormat="false" ht="15" hidden="false" customHeight="false" outlineLevel="0" collapsed="false">
      <c r="B4660" s="130" t="n">
        <v>2027</v>
      </c>
      <c r="C4660" s="131" t="s">
        <v>250</v>
      </c>
      <c r="D4660" s="132" t="n">
        <v>46607</v>
      </c>
      <c r="E4660" s="131" t="s">
        <v>36</v>
      </c>
      <c r="F4660" s="133" t="s">
        <v>24</v>
      </c>
      <c r="G4660" s="134" t="n">
        <f aca="false">LEN('Saisie programme'!$J$180)+SUMIFS('Vols additionnels'!$E$7:$E$66,'Vols additionnels'!$C$7:$C$66,$E4660,'Vols additionnels'!$D$7:$D$66,$F4660,'Vols additionnels'!$B$7:$B$66,$D4660)</f>
        <v>0</v>
      </c>
      <c r="H4660" s="135" t="n">
        <f aca="false">$G4660*'Analyse capacite'!$F$9</f>
        <v>0</v>
      </c>
      <c r="I4660" s="135" t="n">
        <f aca="false">$G4660*'Analyse capacite'!$C$9</f>
        <v>0</v>
      </c>
      <c r="J4660" s="135" t="n">
        <f aca="false">$G4660*'Analyse capacite'!$D$9</f>
        <v>0</v>
      </c>
      <c r="K4660" s="135" t="n">
        <f aca="false">$G4660*'Analyse capacite'!$E$9</f>
        <v>0</v>
      </c>
    </row>
    <row r="4661" customFormat="false" ht="15" hidden="false" customHeight="false" outlineLevel="0" collapsed="false">
      <c r="B4661" s="130" t="n">
        <v>2027</v>
      </c>
      <c r="C4661" s="131" t="s">
        <v>250</v>
      </c>
      <c r="D4661" s="132" t="n">
        <v>46607</v>
      </c>
      <c r="E4661" s="131" t="s">
        <v>40</v>
      </c>
      <c r="F4661" s="133" t="s">
        <v>11</v>
      </c>
      <c r="G4661" s="134" t="n">
        <f aca="false">LEN('Saisie programme'!$J$181)+SUMIFS('Vols additionnels'!$E$7:$E$66,'Vols additionnels'!$C$7:$C$66,$E4661,'Vols additionnels'!$D$7:$D$66,$F4661,'Vols additionnels'!$B$7:$B$66,$D4661)</f>
        <v>0</v>
      </c>
      <c r="H4661" s="135" t="n">
        <f aca="false">$G4661*'Analyse capacite'!$F$7</f>
        <v>0</v>
      </c>
      <c r="I4661" s="135" t="n">
        <f aca="false">$G4661*'Analyse capacite'!$C$7</f>
        <v>0</v>
      </c>
      <c r="J4661" s="135" t="n">
        <f aca="false">$G4661*'Analyse capacite'!$D$7</f>
        <v>0</v>
      </c>
      <c r="K4661" s="135" t="n">
        <f aca="false">$G4661*'Analyse capacite'!$E$7</f>
        <v>0</v>
      </c>
    </row>
    <row r="4662" customFormat="false" ht="15" hidden="false" customHeight="false" outlineLevel="0" collapsed="false">
      <c r="B4662" s="130" t="n">
        <v>2027</v>
      </c>
      <c r="C4662" s="131" t="s">
        <v>250</v>
      </c>
      <c r="D4662" s="132" t="n">
        <v>46607</v>
      </c>
      <c r="E4662" s="131" t="s">
        <v>40</v>
      </c>
      <c r="F4662" s="133" t="s">
        <v>19</v>
      </c>
      <c r="G4662" s="134" t="n">
        <f aca="false">LEN('Saisie programme'!$J$182)+SUMIFS('Vols additionnels'!$E$7:$E$66,'Vols additionnels'!$C$7:$C$66,$E4662,'Vols additionnels'!$D$7:$D$66,$F4662,'Vols additionnels'!$B$7:$B$66,$D4662)</f>
        <v>0</v>
      </c>
      <c r="H4662" s="135" t="n">
        <f aca="false">$G4662*'Analyse capacite'!$F$8</f>
        <v>0</v>
      </c>
      <c r="I4662" s="135" t="n">
        <f aca="false">$G4662*'Analyse capacite'!$C$8</f>
        <v>0</v>
      </c>
      <c r="J4662" s="135" t="n">
        <f aca="false">$G4662*'Analyse capacite'!$D$8</f>
        <v>0</v>
      </c>
      <c r="K4662" s="135" t="n">
        <f aca="false">$G4662*'Analyse capacite'!$E$8</f>
        <v>0</v>
      </c>
    </row>
    <row r="4663" customFormat="false" ht="15" hidden="false" customHeight="false" outlineLevel="0" collapsed="false">
      <c r="B4663" s="130" t="n">
        <v>2027</v>
      </c>
      <c r="C4663" s="131" t="s">
        <v>250</v>
      </c>
      <c r="D4663" s="132" t="n">
        <v>46607</v>
      </c>
      <c r="E4663" s="131" t="s">
        <v>40</v>
      </c>
      <c r="F4663" s="133" t="s">
        <v>24</v>
      </c>
      <c r="G4663" s="134" t="n">
        <f aca="false">LEN('Saisie programme'!$J$183)+SUMIFS('Vols additionnels'!$E$7:$E$66,'Vols additionnels'!$C$7:$C$66,$E4663,'Vols additionnels'!$D$7:$D$66,$F4663,'Vols additionnels'!$B$7:$B$66,$D4663)</f>
        <v>1</v>
      </c>
      <c r="H4663" s="135" t="n">
        <f aca="false">$G4663*'Analyse capacite'!$F$9</f>
        <v>174</v>
      </c>
      <c r="I4663" s="135" t="n">
        <f aca="false">$G4663*'Analyse capacite'!$C$9</f>
        <v>0</v>
      </c>
      <c r="J4663" s="135" t="n">
        <f aca="false">$G4663*'Analyse capacite'!$D$9</f>
        <v>12</v>
      </c>
      <c r="K4663" s="135" t="n">
        <f aca="false">$G4663*'Analyse capacite'!$E$9</f>
        <v>162</v>
      </c>
    </row>
    <row r="4664" customFormat="false" ht="15" hidden="false" customHeight="false" outlineLevel="0" collapsed="false">
      <c r="B4664" s="130" t="n">
        <v>2027</v>
      </c>
      <c r="C4664" s="131" t="s">
        <v>250</v>
      </c>
      <c r="D4664" s="132" t="n">
        <v>46607</v>
      </c>
      <c r="E4664" s="131" t="s">
        <v>14</v>
      </c>
      <c r="F4664" s="133" t="s">
        <v>11</v>
      </c>
      <c r="G4664" s="134" t="n">
        <f aca="false">LEN('Saisie programme'!$J$184)+SUMIFS('Vols additionnels'!$E$7:$E$66,'Vols additionnels'!$C$7:$C$66,$E4664,'Vols additionnels'!$D$7:$D$66,$F4664,'Vols additionnels'!$B$7:$B$66,$D4664)</f>
        <v>0</v>
      </c>
      <c r="H4664" s="135" t="n">
        <f aca="false">$G4664*'Analyse capacite'!$F$7</f>
        <v>0</v>
      </c>
      <c r="I4664" s="135" t="n">
        <f aca="false">$G4664*'Analyse capacite'!$C$7</f>
        <v>0</v>
      </c>
      <c r="J4664" s="135" t="n">
        <f aca="false">$G4664*'Analyse capacite'!$D$7</f>
        <v>0</v>
      </c>
      <c r="K4664" s="135" t="n">
        <f aca="false">$G4664*'Analyse capacite'!$E$7</f>
        <v>0</v>
      </c>
    </row>
    <row r="4665" customFormat="false" ht="15" hidden="false" customHeight="false" outlineLevel="0" collapsed="false">
      <c r="B4665" s="130" t="n">
        <v>2027</v>
      </c>
      <c r="C4665" s="131" t="s">
        <v>250</v>
      </c>
      <c r="D4665" s="132" t="n">
        <v>46607</v>
      </c>
      <c r="E4665" s="131" t="s">
        <v>14</v>
      </c>
      <c r="F4665" s="133" t="s">
        <v>19</v>
      </c>
      <c r="G4665" s="134" t="n">
        <f aca="false">LEN('Saisie programme'!$J$185)+SUMIFS('Vols additionnels'!$E$7:$E$66,'Vols additionnels'!$C$7:$C$66,$E4665,'Vols additionnels'!$D$7:$D$66,$F4665,'Vols additionnels'!$B$7:$B$66,$D4665)</f>
        <v>0</v>
      </c>
      <c r="H4665" s="135" t="n">
        <f aca="false">$G4665*'Analyse capacite'!$F$8</f>
        <v>0</v>
      </c>
      <c r="I4665" s="135" t="n">
        <f aca="false">$G4665*'Analyse capacite'!$C$8</f>
        <v>0</v>
      </c>
      <c r="J4665" s="135" t="n">
        <f aca="false">$G4665*'Analyse capacite'!$D$8</f>
        <v>0</v>
      </c>
      <c r="K4665" s="135" t="n">
        <f aca="false">$G4665*'Analyse capacite'!$E$8</f>
        <v>0</v>
      </c>
    </row>
    <row r="4666" customFormat="false" ht="15" hidden="false" customHeight="false" outlineLevel="0" collapsed="false">
      <c r="B4666" s="130" t="n">
        <v>2027</v>
      </c>
      <c r="C4666" s="131" t="s">
        <v>250</v>
      </c>
      <c r="D4666" s="132" t="n">
        <v>46607</v>
      </c>
      <c r="E4666" s="131" t="s">
        <v>14</v>
      </c>
      <c r="F4666" s="133" t="s">
        <v>24</v>
      </c>
      <c r="G4666" s="134" t="n">
        <f aca="false">LEN('Saisie programme'!$J$186)+SUMIFS('Vols additionnels'!$E$7:$E$66,'Vols additionnels'!$C$7:$C$66,$E4666,'Vols additionnels'!$D$7:$D$66,$F4666,'Vols additionnels'!$B$7:$B$66,$D4666)</f>
        <v>0</v>
      </c>
      <c r="H4666" s="135" t="n">
        <f aca="false">$G4666*'Analyse capacite'!$F$9</f>
        <v>0</v>
      </c>
      <c r="I4666" s="135" t="n">
        <f aca="false">$G4666*'Analyse capacite'!$C$9</f>
        <v>0</v>
      </c>
      <c r="J4666" s="135" t="n">
        <f aca="false">$G4666*'Analyse capacite'!$D$9</f>
        <v>0</v>
      </c>
      <c r="K4666" s="135" t="n">
        <f aca="false">$G4666*'Analyse capacite'!$E$9</f>
        <v>0</v>
      </c>
    </row>
    <row r="4667" customFormat="false" ht="15" hidden="false" customHeight="false" outlineLevel="0" collapsed="false">
      <c r="B4667" s="130" t="n">
        <v>2027</v>
      </c>
      <c r="C4667" s="131" t="s">
        <v>250</v>
      </c>
      <c r="D4667" s="132" t="n">
        <v>46607</v>
      </c>
      <c r="E4667" s="131" t="s">
        <v>46</v>
      </c>
      <c r="F4667" s="133" t="s">
        <v>11</v>
      </c>
      <c r="G4667" s="134" t="n">
        <f aca="false">LEN('Saisie programme'!$J$187)+SUMIFS('Vols additionnels'!$E$7:$E$66,'Vols additionnels'!$C$7:$C$66,$E4667,'Vols additionnels'!$D$7:$D$66,$F4667,'Vols additionnels'!$B$7:$B$66,$D4667)</f>
        <v>0</v>
      </c>
      <c r="H4667" s="135" t="n">
        <f aca="false">$G4667*'Analyse capacite'!$F$7</f>
        <v>0</v>
      </c>
      <c r="I4667" s="135" t="n">
        <f aca="false">$G4667*'Analyse capacite'!$C$7</f>
        <v>0</v>
      </c>
      <c r="J4667" s="135" t="n">
        <f aca="false">$G4667*'Analyse capacite'!$D$7</f>
        <v>0</v>
      </c>
      <c r="K4667" s="135" t="n">
        <f aca="false">$G4667*'Analyse capacite'!$E$7</f>
        <v>0</v>
      </c>
    </row>
    <row r="4668" customFormat="false" ht="15" hidden="false" customHeight="false" outlineLevel="0" collapsed="false">
      <c r="B4668" s="130" t="n">
        <v>2027</v>
      </c>
      <c r="C4668" s="131" t="s">
        <v>250</v>
      </c>
      <c r="D4668" s="132" t="n">
        <v>46607</v>
      </c>
      <c r="E4668" s="131" t="s">
        <v>46</v>
      </c>
      <c r="F4668" s="133" t="s">
        <v>19</v>
      </c>
      <c r="G4668" s="134" t="n">
        <f aca="false">LEN('Saisie programme'!$J$188)+SUMIFS('Vols additionnels'!$E$7:$E$66,'Vols additionnels'!$C$7:$C$66,$E4668,'Vols additionnels'!$D$7:$D$66,$F4668,'Vols additionnels'!$B$7:$B$66,$D4668)</f>
        <v>0</v>
      </c>
      <c r="H4668" s="135" t="n">
        <f aca="false">$G4668*'Analyse capacite'!$F$8</f>
        <v>0</v>
      </c>
      <c r="I4668" s="135" t="n">
        <f aca="false">$G4668*'Analyse capacite'!$C$8</f>
        <v>0</v>
      </c>
      <c r="J4668" s="135" t="n">
        <f aca="false">$G4668*'Analyse capacite'!$D$8</f>
        <v>0</v>
      </c>
      <c r="K4668" s="135" t="n">
        <f aca="false">$G4668*'Analyse capacite'!$E$8</f>
        <v>0</v>
      </c>
    </row>
    <row r="4669" customFormat="false" ht="15" hidden="false" customHeight="false" outlineLevel="0" collapsed="false">
      <c r="B4669" s="130" t="n">
        <v>2027</v>
      </c>
      <c r="C4669" s="131" t="s">
        <v>250</v>
      </c>
      <c r="D4669" s="132" t="n">
        <v>46607</v>
      </c>
      <c r="E4669" s="131" t="s">
        <v>46</v>
      </c>
      <c r="F4669" s="133" t="s">
        <v>24</v>
      </c>
      <c r="G4669" s="134" t="n">
        <f aca="false">LEN('Saisie programme'!$J$189)+SUMIFS('Vols additionnels'!$E$7:$E$66,'Vols additionnels'!$C$7:$C$66,$E4669,'Vols additionnels'!$D$7:$D$66,$F4669,'Vols additionnels'!$B$7:$B$66,$D4669)</f>
        <v>0</v>
      </c>
      <c r="H4669" s="135" t="n">
        <f aca="false">$G4669*'Analyse capacite'!$F$9</f>
        <v>0</v>
      </c>
      <c r="I4669" s="135" t="n">
        <f aca="false">$G4669*'Analyse capacite'!$C$9</f>
        <v>0</v>
      </c>
      <c r="J4669" s="135" t="n">
        <f aca="false">$G4669*'Analyse capacite'!$D$9</f>
        <v>0</v>
      </c>
      <c r="K4669" s="135" t="n">
        <f aca="false">$G4669*'Analyse capacite'!$E$9</f>
        <v>0</v>
      </c>
    </row>
    <row r="4670" customFormat="false" ht="15" hidden="false" customHeight="false" outlineLevel="0" collapsed="false">
      <c r="B4670" s="130" t="n">
        <v>2027</v>
      </c>
      <c r="C4670" s="131" t="s">
        <v>250</v>
      </c>
      <c r="D4670" s="132" t="n">
        <v>46607</v>
      </c>
      <c r="E4670" s="131" t="s">
        <v>49</v>
      </c>
      <c r="F4670" s="133" t="s">
        <v>11</v>
      </c>
      <c r="G4670" s="134" t="n">
        <f aca="false">LEN('Saisie programme'!$J$190)+SUMIFS('Vols additionnels'!$E$7:$E$66,'Vols additionnels'!$C$7:$C$66,$E4670,'Vols additionnels'!$D$7:$D$66,$F4670,'Vols additionnels'!$B$7:$B$66,$D4670)</f>
        <v>0</v>
      </c>
      <c r="H4670" s="135" t="n">
        <f aca="false">$G4670*'Analyse capacite'!$F$7</f>
        <v>0</v>
      </c>
      <c r="I4670" s="135" t="n">
        <f aca="false">$G4670*'Analyse capacite'!$C$7</f>
        <v>0</v>
      </c>
      <c r="J4670" s="135" t="n">
        <f aca="false">$G4670*'Analyse capacite'!$D$7</f>
        <v>0</v>
      </c>
      <c r="K4670" s="135" t="n">
        <f aca="false">$G4670*'Analyse capacite'!$E$7</f>
        <v>0</v>
      </c>
    </row>
    <row r="4671" customFormat="false" ht="15" hidden="false" customHeight="false" outlineLevel="0" collapsed="false">
      <c r="B4671" s="130" t="n">
        <v>2027</v>
      </c>
      <c r="C4671" s="131" t="s">
        <v>250</v>
      </c>
      <c r="D4671" s="132" t="n">
        <v>46607</v>
      </c>
      <c r="E4671" s="131" t="s">
        <v>49</v>
      </c>
      <c r="F4671" s="133" t="s">
        <v>19</v>
      </c>
      <c r="G4671" s="134" t="n">
        <f aca="false">LEN('Saisie programme'!$J$191)+SUMIFS('Vols additionnels'!$E$7:$E$66,'Vols additionnels'!$C$7:$C$66,$E4671,'Vols additionnels'!$D$7:$D$66,$F4671,'Vols additionnels'!$B$7:$B$66,$D4671)</f>
        <v>0</v>
      </c>
      <c r="H4671" s="135" t="n">
        <f aca="false">$G4671*'Analyse capacite'!$F$8</f>
        <v>0</v>
      </c>
      <c r="I4671" s="135" t="n">
        <f aca="false">$G4671*'Analyse capacite'!$C$8</f>
        <v>0</v>
      </c>
      <c r="J4671" s="135" t="n">
        <f aca="false">$G4671*'Analyse capacite'!$D$8</f>
        <v>0</v>
      </c>
      <c r="K4671" s="135" t="n">
        <f aca="false">$G4671*'Analyse capacite'!$E$8</f>
        <v>0</v>
      </c>
    </row>
    <row r="4672" customFormat="false" ht="15" hidden="false" customHeight="false" outlineLevel="0" collapsed="false">
      <c r="B4672" s="130" t="n">
        <v>2027</v>
      </c>
      <c r="C4672" s="131" t="s">
        <v>250</v>
      </c>
      <c r="D4672" s="132" t="n">
        <v>46607</v>
      </c>
      <c r="E4672" s="131" t="s">
        <v>49</v>
      </c>
      <c r="F4672" s="133" t="s">
        <v>24</v>
      </c>
      <c r="G4672" s="134" t="n">
        <f aca="false">LEN('Saisie programme'!$J$192)+SUMIFS('Vols additionnels'!$E$7:$E$66,'Vols additionnels'!$C$7:$C$66,$E4672,'Vols additionnels'!$D$7:$D$66,$F4672,'Vols additionnels'!$B$7:$B$66,$D4672)</f>
        <v>0</v>
      </c>
      <c r="H4672" s="135" t="n">
        <f aca="false">$G4672*'Analyse capacite'!$F$9</f>
        <v>0</v>
      </c>
      <c r="I4672" s="135" t="n">
        <f aca="false">$G4672*'Analyse capacite'!$C$9</f>
        <v>0</v>
      </c>
      <c r="J4672" s="135" t="n">
        <f aca="false">$G4672*'Analyse capacite'!$D$9</f>
        <v>0</v>
      </c>
      <c r="K4672" s="135" t="n">
        <f aca="false">$G4672*'Analyse capacite'!$E$9</f>
        <v>0</v>
      </c>
    </row>
    <row r="4673" customFormat="false" ht="15" hidden="false" customHeight="false" outlineLevel="0" collapsed="false">
      <c r="B4673" s="130" t="n">
        <v>2027</v>
      </c>
      <c r="C4673" s="131" t="s">
        <v>250</v>
      </c>
      <c r="D4673" s="132" t="n">
        <v>46607</v>
      </c>
      <c r="E4673" s="131" t="s">
        <v>53</v>
      </c>
      <c r="F4673" s="133" t="s">
        <v>11</v>
      </c>
      <c r="G4673" s="134" t="n">
        <f aca="false">LEN('Saisie programme'!$J$193)+SUMIFS('Vols additionnels'!$E$7:$E$66,'Vols additionnels'!$C$7:$C$66,$E4673,'Vols additionnels'!$D$7:$D$66,$F4673,'Vols additionnels'!$B$7:$B$66,$D4673)</f>
        <v>0</v>
      </c>
      <c r="H4673" s="135" t="n">
        <f aca="false">$G4673*'Analyse capacite'!$F$7</f>
        <v>0</v>
      </c>
      <c r="I4673" s="135" t="n">
        <f aca="false">$G4673*'Analyse capacite'!$C$7</f>
        <v>0</v>
      </c>
      <c r="J4673" s="135" t="n">
        <f aca="false">$G4673*'Analyse capacite'!$D$7</f>
        <v>0</v>
      </c>
      <c r="K4673" s="135" t="n">
        <f aca="false">$G4673*'Analyse capacite'!$E$7</f>
        <v>0</v>
      </c>
    </row>
    <row r="4674" customFormat="false" ht="15" hidden="false" customHeight="false" outlineLevel="0" collapsed="false">
      <c r="B4674" s="130" t="n">
        <v>2027</v>
      </c>
      <c r="C4674" s="131" t="s">
        <v>250</v>
      </c>
      <c r="D4674" s="132" t="n">
        <v>46607</v>
      </c>
      <c r="E4674" s="131" t="s">
        <v>53</v>
      </c>
      <c r="F4674" s="133" t="s">
        <v>19</v>
      </c>
      <c r="G4674" s="134" t="n">
        <f aca="false">LEN('Saisie programme'!$J$194)+SUMIFS('Vols additionnels'!$E$7:$E$66,'Vols additionnels'!$C$7:$C$66,$E4674,'Vols additionnels'!$D$7:$D$66,$F4674,'Vols additionnels'!$B$7:$B$66,$D4674)</f>
        <v>0</v>
      </c>
      <c r="H4674" s="135" t="n">
        <f aca="false">$G4674*'Analyse capacite'!$F$8</f>
        <v>0</v>
      </c>
      <c r="I4674" s="135" t="n">
        <f aca="false">$G4674*'Analyse capacite'!$C$8</f>
        <v>0</v>
      </c>
      <c r="J4674" s="135" t="n">
        <f aca="false">$G4674*'Analyse capacite'!$D$8</f>
        <v>0</v>
      </c>
      <c r="K4674" s="135" t="n">
        <f aca="false">$G4674*'Analyse capacite'!$E$8</f>
        <v>0</v>
      </c>
    </row>
    <row r="4675" customFormat="false" ht="15" hidden="false" customHeight="false" outlineLevel="0" collapsed="false">
      <c r="B4675" s="130" t="n">
        <v>2027</v>
      </c>
      <c r="C4675" s="131" t="s">
        <v>250</v>
      </c>
      <c r="D4675" s="132" t="n">
        <v>46607</v>
      </c>
      <c r="E4675" s="131" t="s">
        <v>53</v>
      </c>
      <c r="F4675" s="133" t="s">
        <v>24</v>
      </c>
      <c r="G4675" s="134" t="n">
        <f aca="false">LEN('Saisie programme'!$J$195)+SUMIFS('Vols additionnels'!$E$7:$E$66,'Vols additionnels'!$C$7:$C$66,$E4675,'Vols additionnels'!$D$7:$D$66,$F4675,'Vols additionnels'!$B$7:$B$66,$D4675)</f>
        <v>0</v>
      </c>
      <c r="H4675" s="135" t="n">
        <f aca="false">$G4675*'Analyse capacite'!$F$9</f>
        <v>0</v>
      </c>
      <c r="I4675" s="135" t="n">
        <f aca="false">$G4675*'Analyse capacite'!$C$9</f>
        <v>0</v>
      </c>
      <c r="J4675" s="135" t="n">
        <f aca="false">$G4675*'Analyse capacite'!$D$9</f>
        <v>0</v>
      </c>
      <c r="K4675" s="135" t="n">
        <f aca="false">$G4675*'Analyse capacite'!$E$9</f>
        <v>0</v>
      </c>
    </row>
    <row r="4676" customFormat="false" ht="15" hidden="false" customHeight="false" outlineLevel="0" collapsed="false">
      <c r="B4676" s="130" t="n">
        <v>2027</v>
      </c>
      <c r="C4676" s="131" t="s">
        <v>250</v>
      </c>
      <c r="D4676" s="132" t="n">
        <v>46607</v>
      </c>
      <c r="E4676" s="131" t="s">
        <v>56</v>
      </c>
      <c r="F4676" s="133" t="s">
        <v>11</v>
      </c>
      <c r="G4676" s="134" t="n">
        <f aca="false">LEN('Saisie programme'!$J$196)+SUMIFS('Vols additionnels'!$E$7:$E$66,'Vols additionnels'!$C$7:$C$66,$E4676,'Vols additionnels'!$D$7:$D$66,$F4676,'Vols additionnels'!$B$7:$B$66,$D4676)</f>
        <v>0</v>
      </c>
      <c r="H4676" s="135" t="n">
        <f aca="false">$G4676*'Analyse capacite'!$F$7</f>
        <v>0</v>
      </c>
      <c r="I4676" s="135" t="n">
        <f aca="false">$G4676*'Analyse capacite'!$C$7</f>
        <v>0</v>
      </c>
      <c r="J4676" s="135" t="n">
        <f aca="false">$G4676*'Analyse capacite'!$D$7</f>
        <v>0</v>
      </c>
      <c r="K4676" s="135" t="n">
        <f aca="false">$G4676*'Analyse capacite'!$E$7</f>
        <v>0</v>
      </c>
    </row>
    <row r="4677" customFormat="false" ht="15" hidden="false" customHeight="false" outlineLevel="0" collapsed="false">
      <c r="B4677" s="130" t="n">
        <v>2027</v>
      </c>
      <c r="C4677" s="131" t="s">
        <v>250</v>
      </c>
      <c r="D4677" s="132" t="n">
        <v>46607</v>
      </c>
      <c r="E4677" s="131" t="s">
        <v>56</v>
      </c>
      <c r="F4677" s="133" t="s">
        <v>19</v>
      </c>
      <c r="G4677" s="134" t="n">
        <f aca="false">LEN('Saisie programme'!$J$197)+SUMIFS('Vols additionnels'!$E$7:$E$66,'Vols additionnels'!$C$7:$C$66,$E4677,'Vols additionnels'!$D$7:$D$66,$F4677,'Vols additionnels'!$B$7:$B$66,$D4677)</f>
        <v>0</v>
      </c>
      <c r="H4677" s="135" t="n">
        <f aca="false">$G4677*'Analyse capacite'!$F$8</f>
        <v>0</v>
      </c>
      <c r="I4677" s="135" t="n">
        <f aca="false">$G4677*'Analyse capacite'!$C$8</f>
        <v>0</v>
      </c>
      <c r="J4677" s="135" t="n">
        <f aca="false">$G4677*'Analyse capacite'!$D$8</f>
        <v>0</v>
      </c>
      <c r="K4677" s="135" t="n">
        <f aca="false">$G4677*'Analyse capacite'!$E$8</f>
        <v>0</v>
      </c>
    </row>
    <row r="4678" customFormat="false" ht="15" hidden="false" customHeight="false" outlineLevel="0" collapsed="false">
      <c r="B4678" s="130" t="n">
        <v>2027</v>
      </c>
      <c r="C4678" s="131" t="s">
        <v>250</v>
      </c>
      <c r="D4678" s="132" t="n">
        <v>46607</v>
      </c>
      <c r="E4678" s="131" t="s">
        <v>56</v>
      </c>
      <c r="F4678" s="133" t="s">
        <v>24</v>
      </c>
      <c r="G4678" s="134" t="n">
        <f aca="false">LEN('Saisie programme'!$J$198)+SUMIFS('Vols additionnels'!$E$7:$E$66,'Vols additionnels'!$C$7:$C$66,$E4678,'Vols additionnels'!$D$7:$D$66,$F4678,'Vols additionnels'!$B$7:$B$66,$D4678)</f>
        <v>0</v>
      </c>
      <c r="H4678" s="135" t="n">
        <f aca="false">$G4678*'Analyse capacite'!$F$9</f>
        <v>0</v>
      </c>
      <c r="I4678" s="135" t="n">
        <f aca="false">$G4678*'Analyse capacite'!$C$9</f>
        <v>0</v>
      </c>
      <c r="J4678" s="135" t="n">
        <f aca="false">$G4678*'Analyse capacite'!$D$9</f>
        <v>0</v>
      </c>
      <c r="K4678" s="135" t="n">
        <f aca="false">$G4678*'Analyse capacite'!$E$9</f>
        <v>0</v>
      </c>
    </row>
    <row r="4679" customFormat="false" ht="15" hidden="false" customHeight="false" outlineLevel="0" collapsed="false">
      <c r="B4679" s="130" t="n">
        <v>2027</v>
      </c>
      <c r="C4679" s="131" t="s">
        <v>250</v>
      </c>
      <c r="D4679" s="132" t="n">
        <v>46607</v>
      </c>
      <c r="E4679" s="131" t="s">
        <v>59</v>
      </c>
      <c r="F4679" s="133" t="s">
        <v>11</v>
      </c>
      <c r="G4679" s="134" t="n">
        <f aca="false">LEN('Saisie programme'!$J$199)+SUMIFS('Vols additionnels'!$E$7:$E$66,'Vols additionnels'!$C$7:$C$66,$E4679,'Vols additionnels'!$D$7:$D$66,$F4679,'Vols additionnels'!$B$7:$B$66,$D4679)</f>
        <v>0</v>
      </c>
      <c r="H4679" s="135" t="n">
        <f aca="false">$G4679*'Analyse capacite'!$F$7</f>
        <v>0</v>
      </c>
      <c r="I4679" s="135" t="n">
        <f aca="false">$G4679*'Analyse capacite'!$C$7</f>
        <v>0</v>
      </c>
      <c r="J4679" s="135" t="n">
        <f aca="false">$G4679*'Analyse capacite'!$D$7</f>
        <v>0</v>
      </c>
      <c r="K4679" s="135" t="n">
        <f aca="false">$G4679*'Analyse capacite'!$E$7</f>
        <v>0</v>
      </c>
    </row>
    <row r="4680" customFormat="false" ht="15" hidden="false" customHeight="false" outlineLevel="0" collapsed="false">
      <c r="B4680" s="130" t="n">
        <v>2027</v>
      </c>
      <c r="C4680" s="131" t="s">
        <v>250</v>
      </c>
      <c r="D4680" s="132" t="n">
        <v>46607</v>
      </c>
      <c r="E4680" s="131" t="s">
        <v>59</v>
      </c>
      <c r="F4680" s="133" t="s">
        <v>19</v>
      </c>
      <c r="G4680" s="134" t="n">
        <f aca="false">LEN('Saisie programme'!$J$200)+SUMIFS('Vols additionnels'!$E$7:$E$66,'Vols additionnels'!$C$7:$C$66,$E4680,'Vols additionnels'!$D$7:$D$66,$F4680,'Vols additionnels'!$B$7:$B$66,$D4680)</f>
        <v>0</v>
      </c>
      <c r="H4680" s="135" t="n">
        <f aca="false">$G4680*'Analyse capacite'!$F$8</f>
        <v>0</v>
      </c>
      <c r="I4680" s="135" t="n">
        <f aca="false">$G4680*'Analyse capacite'!$C$8</f>
        <v>0</v>
      </c>
      <c r="J4680" s="135" t="n">
        <f aca="false">$G4680*'Analyse capacite'!$D$8</f>
        <v>0</v>
      </c>
      <c r="K4680" s="135" t="n">
        <f aca="false">$G4680*'Analyse capacite'!$E$8</f>
        <v>0</v>
      </c>
    </row>
    <row r="4681" customFormat="false" ht="15" hidden="false" customHeight="false" outlineLevel="0" collapsed="false">
      <c r="B4681" s="130" t="n">
        <v>2027</v>
      </c>
      <c r="C4681" s="131" t="s">
        <v>250</v>
      </c>
      <c r="D4681" s="132" t="n">
        <v>46607</v>
      </c>
      <c r="E4681" s="131" t="s">
        <v>59</v>
      </c>
      <c r="F4681" s="133" t="s">
        <v>24</v>
      </c>
      <c r="G4681" s="134" t="n">
        <f aca="false">LEN('Saisie programme'!$J$201)+SUMIFS('Vols additionnels'!$E$7:$E$66,'Vols additionnels'!$C$7:$C$66,$E4681,'Vols additionnels'!$D$7:$D$66,$F4681,'Vols additionnels'!$B$7:$B$66,$D4681)</f>
        <v>0</v>
      </c>
      <c r="H4681" s="135" t="n">
        <f aca="false">$G4681*'Analyse capacite'!$F$9</f>
        <v>0</v>
      </c>
      <c r="I4681" s="135" t="n">
        <f aca="false">$G4681*'Analyse capacite'!$C$9</f>
        <v>0</v>
      </c>
      <c r="J4681" s="135" t="n">
        <f aca="false">$G4681*'Analyse capacite'!$D$9</f>
        <v>0</v>
      </c>
      <c r="K4681" s="135" t="n">
        <f aca="false">$G4681*'Analyse capacite'!$E$9</f>
        <v>0</v>
      </c>
    </row>
    <row r="4682" customFormat="false" ht="15" hidden="false" customHeight="false" outlineLevel="0" collapsed="false">
      <c r="B4682" s="130" t="n">
        <v>2027</v>
      </c>
      <c r="C4682" s="131" t="s">
        <v>250</v>
      </c>
      <c r="D4682" s="132" t="n">
        <v>46607</v>
      </c>
      <c r="E4682" s="131" t="s">
        <v>62</v>
      </c>
      <c r="F4682" s="133" t="s">
        <v>11</v>
      </c>
      <c r="G4682" s="134" t="n">
        <f aca="false">LEN('Saisie programme'!$J$202)+SUMIFS('Vols additionnels'!$E$7:$E$66,'Vols additionnels'!$C$7:$C$66,$E4682,'Vols additionnels'!$D$7:$D$66,$F4682,'Vols additionnels'!$B$7:$B$66,$D4682)</f>
        <v>0</v>
      </c>
      <c r="H4682" s="135" t="n">
        <f aca="false">$G4682*'Analyse capacite'!$F$7</f>
        <v>0</v>
      </c>
      <c r="I4682" s="135" t="n">
        <f aca="false">$G4682*'Analyse capacite'!$C$7</f>
        <v>0</v>
      </c>
      <c r="J4682" s="135" t="n">
        <f aca="false">$G4682*'Analyse capacite'!$D$7</f>
        <v>0</v>
      </c>
      <c r="K4682" s="135" t="n">
        <f aca="false">$G4682*'Analyse capacite'!$E$7</f>
        <v>0</v>
      </c>
    </row>
    <row r="4683" customFormat="false" ht="15" hidden="false" customHeight="false" outlineLevel="0" collapsed="false">
      <c r="B4683" s="130" t="n">
        <v>2027</v>
      </c>
      <c r="C4683" s="131" t="s">
        <v>250</v>
      </c>
      <c r="D4683" s="132" t="n">
        <v>46607</v>
      </c>
      <c r="E4683" s="131" t="s">
        <v>62</v>
      </c>
      <c r="F4683" s="133" t="s">
        <v>19</v>
      </c>
      <c r="G4683" s="134" t="n">
        <f aca="false">LEN('Saisie programme'!$J$203)+SUMIFS('Vols additionnels'!$E$7:$E$66,'Vols additionnels'!$C$7:$C$66,$E4683,'Vols additionnels'!$D$7:$D$66,$F4683,'Vols additionnels'!$B$7:$B$66,$D4683)</f>
        <v>0</v>
      </c>
      <c r="H4683" s="135" t="n">
        <f aca="false">$G4683*'Analyse capacite'!$F$8</f>
        <v>0</v>
      </c>
      <c r="I4683" s="135" t="n">
        <f aca="false">$G4683*'Analyse capacite'!$C$8</f>
        <v>0</v>
      </c>
      <c r="J4683" s="135" t="n">
        <f aca="false">$G4683*'Analyse capacite'!$D$8</f>
        <v>0</v>
      </c>
      <c r="K4683" s="135" t="n">
        <f aca="false">$G4683*'Analyse capacite'!$E$8</f>
        <v>0</v>
      </c>
    </row>
    <row r="4684" customFormat="false" ht="15" hidden="false" customHeight="false" outlineLevel="0" collapsed="false">
      <c r="B4684" s="130" t="n">
        <v>2027</v>
      </c>
      <c r="C4684" s="131" t="s">
        <v>250</v>
      </c>
      <c r="D4684" s="132" t="n">
        <v>46607</v>
      </c>
      <c r="E4684" s="131" t="s">
        <v>62</v>
      </c>
      <c r="F4684" s="133" t="s">
        <v>24</v>
      </c>
      <c r="G4684" s="134" t="n">
        <f aca="false">LEN('Saisie programme'!$J$204)+SUMIFS('Vols additionnels'!$E$7:$E$66,'Vols additionnels'!$C$7:$C$66,$E4684,'Vols additionnels'!$D$7:$D$66,$F4684,'Vols additionnels'!$B$7:$B$66,$D4684)</f>
        <v>1</v>
      </c>
      <c r="H4684" s="135" t="n">
        <f aca="false">$G4684*'Analyse capacite'!$F$9</f>
        <v>174</v>
      </c>
      <c r="I4684" s="135" t="n">
        <f aca="false">$G4684*'Analyse capacite'!$C$9</f>
        <v>0</v>
      </c>
      <c r="J4684" s="135" t="n">
        <f aca="false">$G4684*'Analyse capacite'!$D$9</f>
        <v>12</v>
      </c>
      <c r="K4684" s="135" t="n">
        <f aca="false">$G4684*'Analyse capacite'!$E$9</f>
        <v>162</v>
      </c>
    </row>
    <row r="4685" customFormat="false" ht="15" hidden="false" customHeight="false" outlineLevel="0" collapsed="false">
      <c r="B4685" s="130" t="n">
        <v>2027</v>
      </c>
      <c r="C4685" s="131" t="s">
        <v>250</v>
      </c>
      <c r="D4685" s="132" t="n">
        <v>46608</v>
      </c>
      <c r="E4685" s="131" t="s">
        <v>12</v>
      </c>
      <c r="F4685" s="133" t="s">
        <v>11</v>
      </c>
      <c r="G4685" s="134" t="n">
        <f aca="false">LEN('Saisie programme'!$D$169)+SUMIFS('Vols additionnels'!$E$7:$E$66,'Vols additionnels'!$C$7:$C$66,$E4685,'Vols additionnels'!$D$7:$D$66,$F4685,'Vols additionnels'!$B$7:$B$66,$D4685)</f>
        <v>1</v>
      </c>
      <c r="H4685" s="135" t="n">
        <f aca="false">$G4685*'Analyse capacite'!$F$7</f>
        <v>438</v>
      </c>
      <c r="I4685" s="135" t="n">
        <f aca="false">$G4685*'Analyse capacite'!$C$7</f>
        <v>14</v>
      </c>
      <c r="J4685" s="135" t="n">
        <f aca="false">$G4685*'Analyse capacite'!$D$7</f>
        <v>40</v>
      </c>
      <c r="K4685" s="135" t="n">
        <f aca="false">$G4685*'Analyse capacite'!$E$7</f>
        <v>384</v>
      </c>
    </row>
    <row r="4686" customFormat="false" ht="15" hidden="false" customHeight="false" outlineLevel="0" collapsed="false">
      <c r="B4686" s="130" t="n">
        <v>2027</v>
      </c>
      <c r="C4686" s="131" t="s">
        <v>250</v>
      </c>
      <c r="D4686" s="132" t="n">
        <v>46608</v>
      </c>
      <c r="E4686" s="131" t="s">
        <v>12</v>
      </c>
      <c r="F4686" s="133" t="s">
        <v>19</v>
      </c>
      <c r="G4686" s="134" t="n">
        <f aca="false">LEN('Saisie programme'!$D$170)+SUMIFS('Vols additionnels'!$E$7:$E$66,'Vols additionnels'!$C$7:$C$66,$E4686,'Vols additionnels'!$D$7:$D$66,$F4686,'Vols additionnels'!$B$7:$B$66,$D4686)</f>
        <v>1</v>
      </c>
      <c r="H4686" s="135" t="n">
        <f aca="false">$G4686*'Analyse capacite'!$F$8</f>
        <v>262</v>
      </c>
      <c r="I4686" s="135" t="n">
        <f aca="false">$G4686*'Analyse capacite'!$C$8</f>
        <v>18</v>
      </c>
      <c r="J4686" s="135" t="n">
        <f aca="false">$G4686*'Analyse capacite'!$D$8</f>
        <v>0</v>
      </c>
      <c r="K4686" s="135" t="n">
        <f aca="false">$G4686*'Analyse capacite'!$E$8</f>
        <v>244</v>
      </c>
    </row>
    <row r="4687" customFormat="false" ht="15" hidden="false" customHeight="false" outlineLevel="0" collapsed="false">
      <c r="B4687" s="130" t="n">
        <v>2027</v>
      </c>
      <c r="C4687" s="131" t="s">
        <v>250</v>
      </c>
      <c r="D4687" s="132" t="n">
        <v>46608</v>
      </c>
      <c r="E4687" s="131" t="s">
        <v>12</v>
      </c>
      <c r="F4687" s="133" t="s">
        <v>24</v>
      </c>
      <c r="G4687" s="134" t="n">
        <f aca="false">LEN('Saisie programme'!$D$171)+SUMIFS('Vols additionnels'!$E$7:$E$66,'Vols additionnels'!$C$7:$C$66,$E4687,'Vols additionnels'!$D$7:$D$66,$F4687,'Vols additionnels'!$B$7:$B$66,$D4687)</f>
        <v>0</v>
      </c>
      <c r="H4687" s="135" t="n">
        <f aca="false">$G4687*'Analyse capacite'!$F$9</f>
        <v>0</v>
      </c>
      <c r="I4687" s="135" t="n">
        <f aca="false">$G4687*'Analyse capacite'!$C$9</f>
        <v>0</v>
      </c>
      <c r="J4687" s="135" t="n">
        <f aca="false">$G4687*'Analyse capacite'!$D$9</f>
        <v>0</v>
      </c>
      <c r="K4687" s="135" t="n">
        <f aca="false">$G4687*'Analyse capacite'!$E$9</f>
        <v>0</v>
      </c>
    </row>
    <row r="4688" customFormat="false" ht="15" hidden="false" customHeight="false" outlineLevel="0" collapsed="false">
      <c r="B4688" s="130" t="n">
        <v>2027</v>
      </c>
      <c r="C4688" s="131" t="s">
        <v>250</v>
      </c>
      <c r="D4688" s="132" t="n">
        <v>46608</v>
      </c>
      <c r="E4688" s="131" t="s">
        <v>20</v>
      </c>
      <c r="F4688" s="133" t="s">
        <v>11</v>
      </c>
      <c r="G4688" s="134" t="n">
        <f aca="false">LEN('Saisie programme'!$D$172)+SUMIFS('Vols additionnels'!$E$7:$E$66,'Vols additionnels'!$C$7:$C$66,$E4688,'Vols additionnels'!$D$7:$D$66,$F4688,'Vols additionnels'!$B$7:$B$66,$D4688)</f>
        <v>0</v>
      </c>
      <c r="H4688" s="135" t="n">
        <f aca="false">$G4688*'Analyse capacite'!$F$7</f>
        <v>0</v>
      </c>
      <c r="I4688" s="135" t="n">
        <f aca="false">$G4688*'Analyse capacite'!$C$7</f>
        <v>0</v>
      </c>
      <c r="J4688" s="135" t="n">
        <f aca="false">$G4688*'Analyse capacite'!$D$7</f>
        <v>0</v>
      </c>
      <c r="K4688" s="135" t="n">
        <f aca="false">$G4688*'Analyse capacite'!$E$7</f>
        <v>0</v>
      </c>
    </row>
    <row r="4689" customFormat="false" ht="15" hidden="false" customHeight="false" outlineLevel="0" collapsed="false">
      <c r="B4689" s="130" t="n">
        <v>2027</v>
      </c>
      <c r="C4689" s="131" t="s">
        <v>250</v>
      </c>
      <c r="D4689" s="132" t="n">
        <v>46608</v>
      </c>
      <c r="E4689" s="131" t="s">
        <v>20</v>
      </c>
      <c r="F4689" s="133" t="s">
        <v>19</v>
      </c>
      <c r="G4689" s="134" t="n">
        <f aca="false">LEN('Saisie programme'!$D$173)+SUMIFS('Vols additionnels'!$E$7:$E$66,'Vols additionnels'!$C$7:$C$66,$E4689,'Vols additionnels'!$D$7:$D$66,$F4689,'Vols additionnels'!$B$7:$B$66,$D4689)</f>
        <v>0</v>
      </c>
      <c r="H4689" s="135" t="n">
        <f aca="false">$G4689*'Analyse capacite'!$F$8</f>
        <v>0</v>
      </c>
      <c r="I4689" s="135" t="n">
        <f aca="false">$G4689*'Analyse capacite'!$C$8</f>
        <v>0</v>
      </c>
      <c r="J4689" s="135" t="n">
        <f aca="false">$G4689*'Analyse capacite'!$D$8</f>
        <v>0</v>
      </c>
      <c r="K4689" s="135" t="n">
        <f aca="false">$G4689*'Analyse capacite'!$E$8</f>
        <v>0</v>
      </c>
    </row>
    <row r="4690" customFormat="false" ht="15" hidden="false" customHeight="false" outlineLevel="0" collapsed="false">
      <c r="B4690" s="130" t="n">
        <v>2027</v>
      </c>
      <c r="C4690" s="131" t="s">
        <v>250</v>
      </c>
      <c r="D4690" s="132" t="n">
        <v>46608</v>
      </c>
      <c r="E4690" s="131" t="s">
        <v>20</v>
      </c>
      <c r="F4690" s="133" t="s">
        <v>24</v>
      </c>
      <c r="G4690" s="134" t="n">
        <f aca="false">LEN('Saisie programme'!$D$174)+SUMIFS('Vols additionnels'!$E$7:$E$66,'Vols additionnels'!$C$7:$C$66,$E4690,'Vols additionnels'!$D$7:$D$66,$F4690,'Vols additionnels'!$B$7:$B$66,$D4690)</f>
        <v>0</v>
      </c>
      <c r="H4690" s="135" t="n">
        <f aca="false">$G4690*'Analyse capacite'!$F$9</f>
        <v>0</v>
      </c>
      <c r="I4690" s="135" t="n">
        <f aca="false">$G4690*'Analyse capacite'!$C$9</f>
        <v>0</v>
      </c>
      <c r="J4690" s="135" t="n">
        <f aca="false">$G4690*'Analyse capacite'!$D$9</f>
        <v>0</v>
      </c>
      <c r="K4690" s="135" t="n">
        <f aca="false">$G4690*'Analyse capacite'!$E$9</f>
        <v>0</v>
      </c>
    </row>
    <row r="4691" customFormat="false" ht="15" hidden="false" customHeight="false" outlineLevel="0" collapsed="false">
      <c r="B4691" s="130" t="n">
        <v>2027</v>
      </c>
      <c r="C4691" s="131" t="s">
        <v>250</v>
      </c>
      <c r="D4691" s="132" t="n">
        <v>46608</v>
      </c>
      <c r="E4691" s="131" t="s">
        <v>25</v>
      </c>
      <c r="F4691" s="133" t="s">
        <v>11</v>
      </c>
      <c r="G4691" s="134" t="n">
        <f aca="false">LEN('Saisie programme'!$D$175)+SUMIFS('Vols additionnels'!$E$7:$E$66,'Vols additionnels'!$C$7:$C$66,$E4691,'Vols additionnels'!$D$7:$D$66,$F4691,'Vols additionnels'!$B$7:$B$66,$D4691)</f>
        <v>0</v>
      </c>
      <c r="H4691" s="135" t="n">
        <f aca="false">$G4691*'Analyse capacite'!$F$7</f>
        <v>0</v>
      </c>
      <c r="I4691" s="135" t="n">
        <f aca="false">$G4691*'Analyse capacite'!$C$7</f>
        <v>0</v>
      </c>
      <c r="J4691" s="135" t="n">
        <f aca="false">$G4691*'Analyse capacite'!$D$7</f>
        <v>0</v>
      </c>
      <c r="K4691" s="135" t="n">
        <f aca="false">$G4691*'Analyse capacite'!$E$7</f>
        <v>0</v>
      </c>
    </row>
    <row r="4692" customFormat="false" ht="15" hidden="false" customHeight="false" outlineLevel="0" collapsed="false">
      <c r="B4692" s="130" t="n">
        <v>2027</v>
      </c>
      <c r="C4692" s="131" t="s">
        <v>250</v>
      </c>
      <c r="D4692" s="132" t="n">
        <v>46608</v>
      </c>
      <c r="E4692" s="131" t="s">
        <v>25</v>
      </c>
      <c r="F4692" s="133" t="s">
        <v>19</v>
      </c>
      <c r="G4692" s="134" t="n">
        <f aca="false">LEN('Saisie programme'!$D$176)+SUMIFS('Vols additionnels'!$E$7:$E$66,'Vols additionnels'!$C$7:$C$66,$E4692,'Vols additionnels'!$D$7:$D$66,$F4692,'Vols additionnels'!$B$7:$B$66,$D4692)</f>
        <v>0</v>
      </c>
      <c r="H4692" s="135" t="n">
        <f aca="false">$G4692*'Analyse capacite'!$F$8</f>
        <v>0</v>
      </c>
      <c r="I4692" s="135" t="n">
        <f aca="false">$G4692*'Analyse capacite'!$C$8</f>
        <v>0</v>
      </c>
      <c r="J4692" s="135" t="n">
        <f aca="false">$G4692*'Analyse capacite'!$D$8</f>
        <v>0</v>
      </c>
      <c r="K4692" s="135" t="n">
        <f aca="false">$G4692*'Analyse capacite'!$E$8</f>
        <v>0</v>
      </c>
    </row>
    <row r="4693" customFormat="false" ht="15" hidden="false" customHeight="false" outlineLevel="0" collapsed="false">
      <c r="B4693" s="130" t="n">
        <v>2027</v>
      </c>
      <c r="C4693" s="131" t="s">
        <v>250</v>
      </c>
      <c r="D4693" s="132" t="n">
        <v>46608</v>
      </c>
      <c r="E4693" s="131" t="s">
        <v>25</v>
      </c>
      <c r="F4693" s="133" t="s">
        <v>24</v>
      </c>
      <c r="G4693" s="134" t="n">
        <f aca="false">LEN('Saisie programme'!$D$177)+SUMIFS('Vols additionnels'!$E$7:$E$66,'Vols additionnels'!$C$7:$C$66,$E4693,'Vols additionnels'!$D$7:$D$66,$F4693,'Vols additionnels'!$B$7:$B$66,$D4693)</f>
        <v>0</v>
      </c>
      <c r="H4693" s="135" t="n">
        <f aca="false">$G4693*'Analyse capacite'!$F$9</f>
        <v>0</v>
      </c>
      <c r="I4693" s="135" t="n">
        <f aca="false">$G4693*'Analyse capacite'!$C$9</f>
        <v>0</v>
      </c>
      <c r="J4693" s="135" t="n">
        <f aca="false">$G4693*'Analyse capacite'!$D$9</f>
        <v>0</v>
      </c>
      <c r="K4693" s="135" t="n">
        <f aca="false">$G4693*'Analyse capacite'!$E$9</f>
        <v>0</v>
      </c>
    </row>
    <row r="4694" customFormat="false" ht="15" hidden="false" customHeight="false" outlineLevel="0" collapsed="false">
      <c r="B4694" s="130" t="n">
        <v>2027</v>
      </c>
      <c r="C4694" s="131" t="s">
        <v>250</v>
      </c>
      <c r="D4694" s="132" t="n">
        <v>46608</v>
      </c>
      <c r="E4694" s="131" t="s">
        <v>36</v>
      </c>
      <c r="F4694" s="133" t="s">
        <v>11</v>
      </c>
      <c r="G4694" s="134" t="n">
        <f aca="false">LEN('Saisie programme'!$D$178)+SUMIFS('Vols additionnels'!$E$7:$E$66,'Vols additionnels'!$C$7:$C$66,$E4694,'Vols additionnels'!$D$7:$D$66,$F4694,'Vols additionnels'!$B$7:$B$66,$D4694)</f>
        <v>0</v>
      </c>
      <c r="H4694" s="135" t="n">
        <f aca="false">$G4694*'Analyse capacite'!$F$7</f>
        <v>0</v>
      </c>
      <c r="I4694" s="135" t="n">
        <f aca="false">$G4694*'Analyse capacite'!$C$7</f>
        <v>0</v>
      </c>
      <c r="J4694" s="135" t="n">
        <f aca="false">$G4694*'Analyse capacite'!$D$7</f>
        <v>0</v>
      </c>
      <c r="K4694" s="135" t="n">
        <f aca="false">$G4694*'Analyse capacite'!$E$7</f>
        <v>0</v>
      </c>
    </row>
    <row r="4695" customFormat="false" ht="15" hidden="false" customHeight="false" outlineLevel="0" collapsed="false">
      <c r="B4695" s="130" t="n">
        <v>2027</v>
      </c>
      <c r="C4695" s="131" t="s">
        <v>250</v>
      </c>
      <c r="D4695" s="132" t="n">
        <v>46608</v>
      </c>
      <c r="E4695" s="131" t="s">
        <v>36</v>
      </c>
      <c r="F4695" s="133" t="s">
        <v>19</v>
      </c>
      <c r="G4695" s="134" t="n">
        <f aca="false">LEN('Saisie programme'!$D$179)+SUMIFS('Vols additionnels'!$E$7:$E$66,'Vols additionnels'!$C$7:$C$66,$E4695,'Vols additionnels'!$D$7:$D$66,$F4695,'Vols additionnels'!$B$7:$B$66,$D4695)</f>
        <v>0</v>
      </c>
      <c r="H4695" s="135" t="n">
        <f aca="false">$G4695*'Analyse capacite'!$F$8</f>
        <v>0</v>
      </c>
      <c r="I4695" s="135" t="n">
        <f aca="false">$G4695*'Analyse capacite'!$C$8</f>
        <v>0</v>
      </c>
      <c r="J4695" s="135" t="n">
        <f aca="false">$G4695*'Analyse capacite'!$D$8</f>
        <v>0</v>
      </c>
      <c r="K4695" s="135" t="n">
        <f aca="false">$G4695*'Analyse capacite'!$E$8</f>
        <v>0</v>
      </c>
    </row>
    <row r="4696" customFormat="false" ht="15" hidden="false" customHeight="false" outlineLevel="0" collapsed="false">
      <c r="B4696" s="130" t="n">
        <v>2027</v>
      </c>
      <c r="C4696" s="131" t="s">
        <v>250</v>
      </c>
      <c r="D4696" s="132" t="n">
        <v>46608</v>
      </c>
      <c r="E4696" s="131" t="s">
        <v>36</v>
      </c>
      <c r="F4696" s="133" t="s">
        <v>24</v>
      </c>
      <c r="G4696" s="134" t="n">
        <f aca="false">LEN('Saisie programme'!$D$180)+SUMIFS('Vols additionnels'!$E$7:$E$66,'Vols additionnels'!$C$7:$C$66,$E4696,'Vols additionnels'!$D$7:$D$66,$F4696,'Vols additionnels'!$B$7:$B$66,$D4696)</f>
        <v>1</v>
      </c>
      <c r="H4696" s="135" t="n">
        <f aca="false">$G4696*'Analyse capacite'!$F$9</f>
        <v>174</v>
      </c>
      <c r="I4696" s="135" t="n">
        <f aca="false">$G4696*'Analyse capacite'!$C$9</f>
        <v>0</v>
      </c>
      <c r="J4696" s="135" t="n">
        <f aca="false">$G4696*'Analyse capacite'!$D$9</f>
        <v>12</v>
      </c>
      <c r="K4696" s="135" t="n">
        <f aca="false">$G4696*'Analyse capacite'!$E$9</f>
        <v>162</v>
      </c>
    </row>
    <row r="4697" customFormat="false" ht="15" hidden="false" customHeight="false" outlineLevel="0" collapsed="false">
      <c r="B4697" s="130" t="n">
        <v>2027</v>
      </c>
      <c r="C4697" s="131" t="s">
        <v>250</v>
      </c>
      <c r="D4697" s="132" t="n">
        <v>46608</v>
      </c>
      <c r="E4697" s="131" t="s">
        <v>40</v>
      </c>
      <c r="F4697" s="133" t="s">
        <v>11</v>
      </c>
      <c r="G4697" s="134" t="n">
        <f aca="false">LEN('Saisie programme'!$D$181)+SUMIFS('Vols additionnels'!$E$7:$E$66,'Vols additionnels'!$C$7:$C$66,$E4697,'Vols additionnels'!$D$7:$D$66,$F4697,'Vols additionnels'!$B$7:$B$66,$D4697)</f>
        <v>0</v>
      </c>
      <c r="H4697" s="135" t="n">
        <f aca="false">$G4697*'Analyse capacite'!$F$7</f>
        <v>0</v>
      </c>
      <c r="I4697" s="135" t="n">
        <f aca="false">$G4697*'Analyse capacite'!$C$7</f>
        <v>0</v>
      </c>
      <c r="J4697" s="135" t="n">
        <f aca="false">$G4697*'Analyse capacite'!$D$7</f>
        <v>0</v>
      </c>
      <c r="K4697" s="135" t="n">
        <f aca="false">$G4697*'Analyse capacite'!$E$7</f>
        <v>0</v>
      </c>
    </row>
    <row r="4698" customFormat="false" ht="15" hidden="false" customHeight="false" outlineLevel="0" collapsed="false">
      <c r="B4698" s="130" t="n">
        <v>2027</v>
      </c>
      <c r="C4698" s="131" t="s">
        <v>250</v>
      </c>
      <c r="D4698" s="132" t="n">
        <v>46608</v>
      </c>
      <c r="E4698" s="131" t="s">
        <v>40</v>
      </c>
      <c r="F4698" s="133" t="s">
        <v>19</v>
      </c>
      <c r="G4698" s="134" t="n">
        <f aca="false">LEN('Saisie programme'!$D$182)+SUMIFS('Vols additionnels'!$E$7:$E$66,'Vols additionnels'!$C$7:$C$66,$E4698,'Vols additionnels'!$D$7:$D$66,$F4698,'Vols additionnels'!$B$7:$B$66,$D4698)</f>
        <v>0</v>
      </c>
      <c r="H4698" s="135" t="n">
        <f aca="false">$G4698*'Analyse capacite'!$F$8</f>
        <v>0</v>
      </c>
      <c r="I4698" s="135" t="n">
        <f aca="false">$G4698*'Analyse capacite'!$C$8</f>
        <v>0</v>
      </c>
      <c r="J4698" s="135" t="n">
        <f aca="false">$G4698*'Analyse capacite'!$D$8</f>
        <v>0</v>
      </c>
      <c r="K4698" s="135" t="n">
        <f aca="false">$G4698*'Analyse capacite'!$E$8</f>
        <v>0</v>
      </c>
    </row>
    <row r="4699" customFormat="false" ht="15" hidden="false" customHeight="false" outlineLevel="0" collapsed="false">
      <c r="B4699" s="130" t="n">
        <v>2027</v>
      </c>
      <c r="C4699" s="131" t="s">
        <v>250</v>
      </c>
      <c r="D4699" s="132" t="n">
        <v>46608</v>
      </c>
      <c r="E4699" s="131" t="s">
        <v>40</v>
      </c>
      <c r="F4699" s="133" t="s">
        <v>24</v>
      </c>
      <c r="G4699" s="134" t="n">
        <f aca="false">LEN('Saisie programme'!$D$183)+SUMIFS('Vols additionnels'!$E$7:$E$66,'Vols additionnels'!$C$7:$C$66,$E4699,'Vols additionnels'!$D$7:$D$66,$F4699,'Vols additionnels'!$B$7:$B$66,$D4699)</f>
        <v>1</v>
      </c>
      <c r="H4699" s="135" t="n">
        <f aca="false">$G4699*'Analyse capacite'!$F$9</f>
        <v>174</v>
      </c>
      <c r="I4699" s="135" t="n">
        <f aca="false">$G4699*'Analyse capacite'!$C$9</f>
        <v>0</v>
      </c>
      <c r="J4699" s="135" t="n">
        <f aca="false">$G4699*'Analyse capacite'!$D$9</f>
        <v>12</v>
      </c>
      <c r="K4699" s="135" t="n">
        <f aca="false">$G4699*'Analyse capacite'!$E$9</f>
        <v>162</v>
      </c>
    </row>
    <row r="4700" customFormat="false" ht="15" hidden="false" customHeight="false" outlineLevel="0" collapsed="false">
      <c r="B4700" s="130" t="n">
        <v>2027</v>
      </c>
      <c r="C4700" s="131" t="s">
        <v>250</v>
      </c>
      <c r="D4700" s="132" t="n">
        <v>46608</v>
      </c>
      <c r="E4700" s="131" t="s">
        <v>14</v>
      </c>
      <c r="F4700" s="133" t="s">
        <v>11</v>
      </c>
      <c r="G4700" s="134" t="n">
        <f aca="false">LEN('Saisie programme'!$D$184)+SUMIFS('Vols additionnels'!$E$7:$E$66,'Vols additionnels'!$C$7:$C$66,$E4700,'Vols additionnels'!$D$7:$D$66,$F4700,'Vols additionnels'!$B$7:$B$66,$D4700)</f>
        <v>0</v>
      </c>
      <c r="H4700" s="135" t="n">
        <f aca="false">$G4700*'Analyse capacite'!$F$7</f>
        <v>0</v>
      </c>
      <c r="I4700" s="135" t="n">
        <f aca="false">$G4700*'Analyse capacite'!$C$7</f>
        <v>0</v>
      </c>
      <c r="J4700" s="135" t="n">
        <f aca="false">$G4700*'Analyse capacite'!$D$7</f>
        <v>0</v>
      </c>
      <c r="K4700" s="135" t="n">
        <f aca="false">$G4700*'Analyse capacite'!$E$7</f>
        <v>0</v>
      </c>
    </row>
    <row r="4701" customFormat="false" ht="15" hidden="false" customHeight="false" outlineLevel="0" collapsed="false">
      <c r="B4701" s="130" t="n">
        <v>2027</v>
      </c>
      <c r="C4701" s="131" t="s">
        <v>250</v>
      </c>
      <c r="D4701" s="132" t="n">
        <v>46608</v>
      </c>
      <c r="E4701" s="131" t="s">
        <v>14</v>
      </c>
      <c r="F4701" s="133" t="s">
        <v>19</v>
      </c>
      <c r="G4701" s="134" t="n">
        <f aca="false">LEN('Saisie programme'!$D$185)+SUMIFS('Vols additionnels'!$E$7:$E$66,'Vols additionnels'!$C$7:$C$66,$E4701,'Vols additionnels'!$D$7:$D$66,$F4701,'Vols additionnels'!$B$7:$B$66,$D4701)</f>
        <v>0</v>
      </c>
      <c r="H4701" s="135" t="n">
        <f aca="false">$G4701*'Analyse capacite'!$F$8</f>
        <v>0</v>
      </c>
      <c r="I4701" s="135" t="n">
        <f aca="false">$G4701*'Analyse capacite'!$C$8</f>
        <v>0</v>
      </c>
      <c r="J4701" s="135" t="n">
        <f aca="false">$G4701*'Analyse capacite'!$D$8</f>
        <v>0</v>
      </c>
      <c r="K4701" s="135" t="n">
        <f aca="false">$G4701*'Analyse capacite'!$E$8</f>
        <v>0</v>
      </c>
    </row>
    <row r="4702" customFormat="false" ht="15" hidden="false" customHeight="false" outlineLevel="0" collapsed="false">
      <c r="B4702" s="130" t="n">
        <v>2027</v>
      </c>
      <c r="C4702" s="131" t="s">
        <v>250</v>
      </c>
      <c r="D4702" s="132" t="n">
        <v>46608</v>
      </c>
      <c r="E4702" s="131" t="s">
        <v>14</v>
      </c>
      <c r="F4702" s="133" t="s">
        <v>24</v>
      </c>
      <c r="G4702" s="134" t="n">
        <f aca="false">LEN('Saisie programme'!$D$186)+SUMIFS('Vols additionnels'!$E$7:$E$66,'Vols additionnels'!$C$7:$C$66,$E4702,'Vols additionnels'!$D$7:$D$66,$F4702,'Vols additionnels'!$B$7:$B$66,$D4702)</f>
        <v>1</v>
      </c>
      <c r="H4702" s="135" t="n">
        <f aca="false">$G4702*'Analyse capacite'!$F$9</f>
        <v>174</v>
      </c>
      <c r="I4702" s="135" t="n">
        <f aca="false">$G4702*'Analyse capacite'!$C$9</f>
        <v>0</v>
      </c>
      <c r="J4702" s="135" t="n">
        <f aca="false">$G4702*'Analyse capacite'!$D$9</f>
        <v>12</v>
      </c>
      <c r="K4702" s="135" t="n">
        <f aca="false">$G4702*'Analyse capacite'!$E$9</f>
        <v>162</v>
      </c>
    </row>
    <row r="4703" customFormat="false" ht="15" hidden="false" customHeight="false" outlineLevel="0" collapsed="false">
      <c r="B4703" s="130" t="n">
        <v>2027</v>
      </c>
      <c r="C4703" s="131" t="s">
        <v>250</v>
      </c>
      <c r="D4703" s="132" t="n">
        <v>46608</v>
      </c>
      <c r="E4703" s="131" t="s">
        <v>46</v>
      </c>
      <c r="F4703" s="133" t="s">
        <v>11</v>
      </c>
      <c r="G4703" s="134" t="n">
        <f aca="false">LEN('Saisie programme'!$D$187)+SUMIFS('Vols additionnels'!$E$7:$E$66,'Vols additionnels'!$C$7:$C$66,$E4703,'Vols additionnels'!$D$7:$D$66,$F4703,'Vols additionnels'!$B$7:$B$66,$D4703)</f>
        <v>0</v>
      </c>
      <c r="H4703" s="135" t="n">
        <f aca="false">$G4703*'Analyse capacite'!$F$7</f>
        <v>0</v>
      </c>
      <c r="I4703" s="135" t="n">
        <f aca="false">$G4703*'Analyse capacite'!$C$7</f>
        <v>0</v>
      </c>
      <c r="J4703" s="135" t="n">
        <f aca="false">$G4703*'Analyse capacite'!$D$7</f>
        <v>0</v>
      </c>
      <c r="K4703" s="135" t="n">
        <f aca="false">$G4703*'Analyse capacite'!$E$7</f>
        <v>0</v>
      </c>
    </row>
    <row r="4704" customFormat="false" ht="15" hidden="false" customHeight="false" outlineLevel="0" collapsed="false">
      <c r="B4704" s="130" t="n">
        <v>2027</v>
      </c>
      <c r="C4704" s="131" t="s">
        <v>250</v>
      </c>
      <c r="D4704" s="132" t="n">
        <v>46608</v>
      </c>
      <c r="E4704" s="131" t="s">
        <v>46</v>
      </c>
      <c r="F4704" s="133" t="s">
        <v>19</v>
      </c>
      <c r="G4704" s="134" t="n">
        <f aca="false">LEN('Saisie programme'!$D$188)+SUMIFS('Vols additionnels'!$E$7:$E$66,'Vols additionnels'!$C$7:$C$66,$E4704,'Vols additionnels'!$D$7:$D$66,$F4704,'Vols additionnels'!$B$7:$B$66,$D4704)</f>
        <v>0</v>
      </c>
      <c r="H4704" s="135" t="n">
        <f aca="false">$G4704*'Analyse capacite'!$F$8</f>
        <v>0</v>
      </c>
      <c r="I4704" s="135" t="n">
        <f aca="false">$G4704*'Analyse capacite'!$C$8</f>
        <v>0</v>
      </c>
      <c r="J4704" s="135" t="n">
        <f aca="false">$G4704*'Analyse capacite'!$D$8</f>
        <v>0</v>
      </c>
      <c r="K4704" s="135" t="n">
        <f aca="false">$G4704*'Analyse capacite'!$E$8</f>
        <v>0</v>
      </c>
    </row>
    <row r="4705" customFormat="false" ht="15" hidden="false" customHeight="false" outlineLevel="0" collapsed="false">
      <c r="B4705" s="130" t="n">
        <v>2027</v>
      </c>
      <c r="C4705" s="131" t="s">
        <v>250</v>
      </c>
      <c r="D4705" s="132" t="n">
        <v>46608</v>
      </c>
      <c r="E4705" s="131" t="s">
        <v>46</v>
      </c>
      <c r="F4705" s="133" t="s">
        <v>24</v>
      </c>
      <c r="G4705" s="134" t="n">
        <f aca="false">LEN('Saisie programme'!$D$189)+SUMIFS('Vols additionnels'!$E$7:$E$66,'Vols additionnels'!$C$7:$C$66,$E4705,'Vols additionnels'!$D$7:$D$66,$F4705,'Vols additionnels'!$B$7:$B$66,$D4705)</f>
        <v>0</v>
      </c>
      <c r="H4705" s="135" t="n">
        <f aca="false">$G4705*'Analyse capacite'!$F$9</f>
        <v>0</v>
      </c>
      <c r="I4705" s="135" t="n">
        <f aca="false">$G4705*'Analyse capacite'!$C$9</f>
        <v>0</v>
      </c>
      <c r="J4705" s="135" t="n">
        <f aca="false">$G4705*'Analyse capacite'!$D$9</f>
        <v>0</v>
      </c>
      <c r="K4705" s="135" t="n">
        <f aca="false">$G4705*'Analyse capacite'!$E$9</f>
        <v>0</v>
      </c>
    </row>
    <row r="4706" customFormat="false" ht="15" hidden="false" customHeight="false" outlineLevel="0" collapsed="false">
      <c r="B4706" s="130" t="n">
        <v>2027</v>
      </c>
      <c r="C4706" s="131" t="s">
        <v>250</v>
      </c>
      <c r="D4706" s="132" t="n">
        <v>46608</v>
      </c>
      <c r="E4706" s="131" t="s">
        <v>49</v>
      </c>
      <c r="F4706" s="133" t="s">
        <v>11</v>
      </c>
      <c r="G4706" s="134" t="n">
        <f aca="false">LEN('Saisie programme'!$D$190)+SUMIFS('Vols additionnels'!$E$7:$E$66,'Vols additionnels'!$C$7:$C$66,$E4706,'Vols additionnels'!$D$7:$D$66,$F4706,'Vols additionnels'!$B$7:$B$66,$D4706)</f>
        <v>0</v>
      </c>
      <c r="H4706" s="135" t="n">
        <f aca="false">$G4706*'Analyse capacite'!$F$7</f>
        <v>0</v>
      </c>
      <c r="I4706" s="135" t="n">
        <f aca="false">$G4706*'Analyse capacite'!$C$7</f>
        <v>0</v>
      </c>
      <c r="J4706" s="135" t="n">
        <f aca="false">$G4706*'Analyse capacite'!$D$7</f>
        <v>0</v>
      </c>
      <c r="K4706" s="135" t="n">
        <f aca="false">$G4706*'Analyse capacite'!$E$7</f>
        <v>0</v>
      </c>
    </row>
    <row r="4707" customFormat="false" ht="15" hidden="false" customHeight="false" outlineLevel="0" collapsed="false">
      <c r="B4707" s="130" t="n">
        <v>2027</v>
      </c>
      <c r="C4707" s="131" t="s">
        <v>250</v>
      </c>
      <c r="D4707" s="132" t="n">
        <v>46608</v>
      </c>
      <c r="E4707" s="131" t="s">
        <v>49</v>
      </c>
      <c r="F4707" s="133" t="s">
        <v>19</v>
      </c>
      <c r="G4707" s="134" t="n">
        <f aca="false">LEN('Saisie programme'!$D$191)+SUMIFS('Vols additionnels'!$E$7:$E$66,'Vols additionnels'!$C$7:$C$66,$E4707,'Vols additionnels'!$D$7:$D$66,$F4707,'Vols additionnels'!$B$7:$B$66,$D4707)</f>
        <v>1</v>
      </c>
      <c r="H4707" s="135" t="n">
        <f aca="false">$G4707*'Analyse capacite'!$F$8</f>
        <v>262</v>
      </c>
      <c r="I4707" s="135" t="n">
        <f aca="false">$G4707*'Analyse capacite'!$C$8</f>
        <v>18</v>
      </c>
      <c r="J4707" s="135" t="n">
        <f aca="false">$G4707*'Analyse capacite'!$D$8</f>
        <v>0</v>
      </c>
      <c r="K4707" s="135" t="n">
        <f aca="false">$G4707*'Analyse capacite'!$E$8</f>
        <v>244</v>
      </c>
    </row>
    <row r="4708" customFormat="false" ht="15" hidden="false" customHeight="false" outlineLevel="0" collapsed="false">
      <c r="B4708" s="130" t="n">
        <v>2027</v>
      </c>
      <c r="C4708" s="131" t="s">
        <v>250</v>
      </c>
      <c r="D4708" s="132" t="n">
        <v>46608</v>
      </c>
      <c r="E4708" s="131" t="s">
        <v>49</v>
      </c>
      <c r="F4708" s="133" t="s">
        <v>24</v>
      </c>
      <c r="G4708" s="134" t="n">
        <f aca="false">LEN('Saisie programme'!$D$192)+SUMIFS('Vols additionnels'!$E$7:$E$66,'Vols additionnels'!$C$7:$C$66,$E4708,'Vols additionnels'!$D$7:$D$66,$F4708,'Vols additionnels'!$B$7:$B$66,$D4708)</f>
        <v>0</v>
      </c>
      <c r="H4708" s="135" t="n">
        <f aca="false">$G4708*'Analyse capacite'!$F$9</f>
        <v>0</v>
      </c>
      <c r="I4708" s="135" t="n">
        <f aca="false">$G4708*'Analyse capacite'!$C$9</f>
        <v>0</v>
      </c>
      <c r="J4708" s="135" t="n">
        <f aca="false">$G4708*'Analyse capacite'!$D$9</f>
        <v>0</v>
      </c>
      <c r="K4708" s="135" t="n">
        <f aca="false">$G4708*'Analyse capacite'!$E$9</f>
        <v>0</v>
      </c>
    </row>
    <row r="4709" customFormat="false" ht="15" hidden="false" customHeight="false" outlineLevel="0" collapsed="false">
      <c r="B4709" s="130" t="n">
        <v>2027</v>
      </c>
      <c r="C4709" s="131" t="s">
        <v>250</v>
      </c>
      <c r="D4709" s="132" t="n">
        <v>46608</v>
      </c>
      <c r="E4709" s="131" t="s">
        <v>53</v>
      </c>
      <c r="F4709" s="133" t="s">
        <v>11</v>
      </c>
      <c r="G4709" s="134" t="n">
        <f aca="false">LEN('Saisie programme'!$D$193)+SUMIFS('Vols additionnels'!$E$7:$E$66,'Vols additionnels'!$C$7:$C$66,$E4709,'Vols additionnels'!$D$7:$D$66,$F4709,'Vols additionnels'!$B$7:$B$66,$D4709)</f>
        <v>0</v>
      </c>
      <c r="H4709" s="135" t="n">
        <f aca="false">$G4709*'Analyse capacite'!$F$7</f>
        <v>0</v>
      </c>
      <c r="I4709" s="135" t="n">
        <f aca="false">$G4709*'Analyse capacite'!$C$7</f>
        <v>0</v>
      </c>
      <c r="J4709" s="135" t="n">
        <f aca="false">$G4709*'Analyse capacite'!$D$7</f>
        <v>0</v>
      </c>
      <c r="K4709" s="135" t="n">
        <f aca="false">$G4709*'Analyse capacite'!$E$7</f>
        <v>0</v>
      </c>
    </row>
    <row r="4710" customFormat="false" ht="15" hidden="false" customHeight="false" outlineLevel="0" collapsed="false">
      <c r="B4710" s="130" t="n">
        <v>2027</v>
      </c>
      <c r="C4710" s="131" t="s">
        <v>250</v>
      </c>
      <c r="D4710" s="132" t="n">
        <v>46608</v>
      </c>
      <c r="E4710" s="131" t="s">
        <v>53</v>
      </c>
      <c r="F4710" s="133" t="s">
        <v>19</v>
      </c>
      <c r="G4710" s="134" t="n">
        <f aca="false">LEN('Saisie programme'!$D$194)+SUMIFS('Vols additionnels'!$E$7:$E$66,'Vols additionnels'!$C$7:$C$66,$E4710,'Vols additionnels'!$D$7:$D$66,$F4710,'Vols additionnels'!$B$7:$B$66,$D4710)</f>
        <v>0</v>
      </c>
      <c r="H4710" s="135" t="n">
        <f aca="false">$G4710*'Analyse capacite'!$F$8</f>
        <v>0</v>
      </c>
      <c r="I4710" s="135" t="n">
        <f aca="false">$G4710*'Analyse capacite'!$C$8</f>
        <v>0</v>
      </c>
      <c r="J4710" s="135" t="n">
        <f aca="false">$G4710*'Analyse capacite'!$D$8</f>
        <v>0</v>
      </c>
      <c r="K4710" s="135" t="n">
        <f aca="false">$G4710*'Analyse capacite'!$E$8</f>
        <v>0</v>
      </c>
    </row>
    <row r="4711" customFormat="false" ht="15" hidden="false" customHeight="false" outlineLevel="0" collapsed="false">
      <c r="B4711" s="130" t="n">
        <v>2027</v>
      </c>
      <c r="C4711" s="131" t="s">
        <v>250</v>
      </c>
      <c r="D4711" s="132" t="n">
        <v>46608</v>
      </c>
      <c r="E4711" s="131" t="s">
        <v>53</v>
      </c>
      <c r="F4711" s="133" t="s">
        <v>24</v>
      </c>
      <c r="G4711" s="134" t="n">
        <f aca="false">LEN('Saisie programme'!$D$195)+SUMIFS('Vols additionnels'!$E$7:$E$66,'Vols additionnels'!$C$7:$C$66,$E4711,'Vols additionnels'!$D$7:$D$66,$F4711,'Vols additionnels'!$B$7:$B$66,$D4711)</f>
        <v>0</v>
      </c>
      <c r="H4711" s="135" t="n">
        <f aca="false">$G4711*'Analyse capacite'!$F$9</f>
        <v>0</v>
      </c>
      <c r="I4711" s="135" t="n">
        <f aca="false">$G4711*'Analyse capacite'!$C$9</f>
        <v>0</v>
      </c>
      <c r="J4711" s="135" t="n">
        <f aca="false">$G4711*'Analyse capacite'!$D$9</f>
        <v>0</v>
      </c>
      <c r="K4711" s="135" t="n">
        <f aca="false">$G4711*'Analyse capacite'!$E$9</f>
        <v>0</v>
      </c>
    </row>
    <row r="4712" customFormat="false" ht="15" hidden="false" customHeight="false" outlineLevel="0" collapsed="false">
      <c r="B4712" s="130" t="n">
        <v>2027</v>
      </c>
      <c r="C4712" s="131" t="s">
        <v>250</v>
      </c>
      <c r="D4712" s="132" t="n">
        <v>46608</v>
      </c>
      <c r="E4712" s="131" t="s">
        <v>56</v>
      </c>
      <c r="F4712" s="133" t="s">
        <v>11</v>
      </c>
      <c r="G4712" s="134" t="n">
        <f aca="false">LEN('Saisie programme'!$D$196)+SUMIFS('Vols additionnels'!$E$7:$E$66,'Vols additionnels'!$C$7:$C$66,$E4712,'Vols additionnels'!$D$7:$D$66,$F4712,'Vols additionnels'!$B$7:$B$66,$D4712)</f>
        <v>0</v>
      </c>
      <c r="H4712" s="135" t="n">
        <f aca="false">$G4712*'Analyse capacite'!$F$7</f>
        <v>0</v>
      </c>
      <c r="I4712" s="135" t="n">
        <f aca="false">$G4712*'Analyse capacite'!$C$7</f>
        <v>0</v>
      </c>
      <c r="J4712" s="135" t="n">
        <f aca="false">$G4712*'Analyse capacite'!$D$7</f>
        <v>0</v>
      </c>
      <c r="K4712" s="135" t="n">
        <f aca="false">$G4712*'Analyse capacite'!$E$7</f>
        <v>0</v>
      </c>
    </row>
    <row r="4713" customFormat="false" ht="15" hidden="false" customHeight="false" outlineLevel="0" collapsed="false">
      <c r="B4713" s="130" t="n">
        <v>2027</v>
      </c>
      <c r="C4713" s="131" t="s">
        <v>250</v>
      </c>
      <c r="D4713" s="132" t="n">
        <v>46608</v>
      </c>
      <c r="E4713" s="131" t="s">
        <v>56</v>
      </c>
      <c r="F4713" s="133" t="s">
        <v>19</v>
      </c>
      <c r="G4713" s="134" t="n">
        <f aca="false">LEN('Saisie programme'!$D$197)+SUMIFS('Vols additionnels'!$E$7:$E$66,'Vols additionnels'!$C$7:$C$66,$E4713,'Vols additionnels'!$D$7:$D$66,$F4713,'Vols additionnels'!$B$7:$B$66,$D4713)</f>
        <v>0</v>
      </c>
      <c r="H4713" s="135" t="n">
        <f aca="false">$G4713*'Analyse capacite'!$F$8</f>
        <v>0</v>
      </c>
      <c r="I4713" s="135" t="n">
        <f aca="false">$G4713*'Analyse capacite'!$C$8</f>
        <v>0</v>
      </c>
      <c r="J4713" s="135" t="n">
        <f aca="false">$G4713*'Analyse capacite'!$D$8</f>
        <v>0</v>
      </c>
      <c r="K4713" s="135" t="n">
        <f aca="false">$G4713*'Analyse capacite'!$E$8</f>
        <v>0</v>
      </c>
    </row>
    <row r="4714" customFormat="false" ht="15" hidden="false" customHeight="false" outlineLevel="0" collapsed="false">
      <c r="B4714" s="130" t="n">
        <v>2027</v>
      </c>
      <c r="C4714" s="131" t="s">
        <v>250</v>
      </c>
      <c r="D4714" s="132" t="n">
        <v>46608</v>
      </c>
      <c r="E4714" s="131" t="s">
        <v>56</v>
      </c>
      <c r="F4714" s="133" t="s">
        <v>24</v>
      </c>
      <c r="G4714" s="134" t="n">
        <f aca="false">LEN('Saisie programme'!$D$198)+SUMIFS('Vols additionnels'!$E$7:$E$66,'Vols additionnels'!$C$7:$C$66,$E4714,'Vols additionnels'!$D$7:$D$66,$F4714,'Vols additionnels'!$B$7:$B$66,$D4714)</f>
        <v>0</v>
      </c>
      <c r="H4714" s="135" t="n">
        <f aca="false">$G4714*'Analyse capacite'!$F$9</f>
        <v>0</v>
      </c>
      <c r="I4714" s="135" t="n">
        <f aca="false">$G4714*'Analyse capacite'!$C$9</f>
        <v>0</v>
      </c>
      <c r="J4714" s="135" t="n">
        <f aca="false">$G4714*'Analyse capacite'!$D$9</f>
        <v>0</v>
      </c>
      <c r="K4714" s="135" t="n">
        <f aca="false">$G4714*'Analyse capacite'!$E$9</f>
        <v>0</v>
      </c>
    </row>
    <row r="4715" customFormat="false" ht="15" hidden="false" customHeight="false" outlineLevel="0" collapsed="false">
      <c r="B4715" s="130" t="n">
        <v>2027</v>
      </c>
      <c r="C4715" s="131" t="s">
        <v>250</v>
      </c>
      <c r="D4715" s="132" t="n">
        <v>46608</v>
      </c>
      <c r="E4715" s="131" t="s">
        <v>59</v>
      </c>
      <c r="F4715" s="133" t="s">
        <v>11</v>
      </c>
      <c r="G4715" s="134" t="n">
        <f aca="false">LEN('Saisie programme'!$D$199)+SUMIFS('Vols additionnels'!$E$7:$E$66,'Vols additionnels'!$C$7:$C$66,$E4715,'Vols additionnels'!$D$7:$D$66,$F4715,'Vols additionnels'!$B$7:$B$66,$D4715)</f>
        <v>0</v>
      </c>
      <c r="H4715" s="135" t="n">
        <f aca="false">$G4715*'Analyse capacite'!$F$7</f>
        <v>0</v>
      </c>
      <c r="I4715" s="135" t="n">
        <f aca="false">$G4715*'Analyse capacite'!$C$7</f>
        <v>0</v>
      </c>
      <c r="J4715" s="135" t="n">
        <f aca="false">$G4715*'Analyse capacite'!$D$7</f>
        <v>0</v>
      </c>
      <c r="K4715" s="135" t="n">
        <f aca="false">$G4715*'Analyse capacite'!$E$7</f>
        <v>0</v>
      </c>
    </row>
    <row r="4716" customFormat="false" ht="15" hidden="false" customHeight="false" outlineLevel="0" collapsed="false">
      <c r="B4716" s="130" t="n">
        <v>2027</v>
      </c>
      <c r="C4716" s="131" t="s">
        <v>250</v>
      </c>
      <c r="D4716" s="132" t="n">
        <v>46608</v>
      </c>
      <c r="E4716" s="131" t="s">
        <v>59</v>
      </c>
      <c r="F4716" s="133" t="s">
        <v>19</v>
      </c>
      <c r="G4716" s="134" t="n">
        <f aca="false">LEN('Saisie programme'!$D$200)+SUMIFS('Vols additionnels'!$E$7:$E$66,'Vols additionnels'!$C$7:$C$66,$E4716,'Vols additionnels'!$D$7:$D$66,$F4716,'Vols additionnels'!$B$7:$B$66,$D4716)</f>
        <v>0</v>
      </c>
      <c r="H4716" s="135" t="n">
        <f aca="false">$G4716*'Analyse capacite'!$F$8</f>
        <v>0</v>
      </c>
      <c r="I4716" s="135" t="n">
        <f aca="false">$G4716*'Analyse capacite'!$C$8</f>
        <v>0</v>
      </c>
      <c r="J4716" s="135" t="n">
        <f aca="false">$G4716*'Analyse capacite'!$D$8</f>
        <v>0</v>
      </c>
      <c r="K4716" s="135" t="n">
        <f aca="false">$G4716*'Analyse capacite'!$E$8</f>
        <v>0</v>
      </c>
    </row>
    <row r="4717" customFormat="false" ht="15" hidden="false" customHeight="false" outlineLevel="0" collapsed="false">
      <c r="B4717" s="130" t="n">
        <v>2027</v>
      </c>
      <c r="C4717" s="131" t="s">
        <v>250</v>
      </c>
      <c r="D4717" s="132" t="n">
        <v>46608</v>
      </c>
      <c r="E4717" s="131" t="s">
        <v>59</v>
      </c>
      <c r="F4717" s="133" t="s">
        <v>24</v>
      </c>
      <c r="G4717" s="134" t="n">
        <f aca="false">LEN('Saisie programme'!$D$201)+SUMIFS('Vols additionnels'!$E$7:$E$66,'Vols additionnels'!$C$7:$C$66,$E4717,'Vols additionnels'!$D$7:$D$66,$F4717,'Vols additionnels'!$B$7:$B$66,$D4717)</f>
        <v>1</v>
      </c>
      <c r="H4717" s="135" t="n">
        <f aca="false">$G4717*'Analyse capacite'!$F$9</f>
        <v>174</v>
      </c>
      <c r="I4717" s="135" t="n">
        <f aca="false">$G4717*'Analyse capacite'!$C$9</f>
        <v>0</v>
      </c>
      <c r="J4717" s="135" t="n">
        <f aca="false">$G4717*'Analyse capacite'!$D$9</f>
        <v>12</v>
      </c>
      <c r="K4717" s="135" t="n">
        <f aca="false">$G4717*'Analyse capacite'!$E$9</f>
        <v>162</v>
      </c>
    </row>
    <row r="4718" customFormat="false" ht="15" hidden="false" customHeight="false" outlineLevel="0" collapsed="false">
      <c r="B4718" s="130" t="n">
        <v>2027</v>
      </c>
      <c r="C4718" s="131" t="s">
        <v>250</v>
      </c>
      <c r="D4718" s="132" t="n">
        <v>46608</v>
      </c>
      <c r="E4718" s="131" t="s">
        <v>62</v>
      </c>
      <c r="F4718" s="133" t="s">
        <v>11</v>
      </c>
      <c r="G4718" s="134" t="n">
        <f aca="false">LEN('Saisie programme'!$D$202)+SUMIFS('Vols additionnels'!$E$7:$E$66,'Vols additionnels'!$C$7:$C$66,$E4718,'Vols additionnels'!$D$7:$D$66,$F4718,'Vols additionnels'!$B$7:$B$66,$D4718)</f>
        <v>0</v>
      </c>
      <c r="H4718" s="135" t="n">
        <f aca="false">$G4718*'Analyse capacite'!$F$7</f>
        <v>0</v>
      </c>
      <c r="I4718" s="135" t="n">
        <f aca="false">$G4718*'Analyse capacite'!$C$7</f>
        <v>0</v>
      </c>
      <c r="J4718" s="135" t="n">
        <f aca="false">$G4718*'Analyse capacite'!$D$7</f>
        <v>0</v>
      </c>
      <c r="K4718" s="135" t="n">
        <f aca="false">$G4718*'Analyse capacite'!$E$7</f>
        <v>0</v>
      </c>
    </row>
    <row r="4719" customFormat="false" ht="15" hidden="false" customHeight="false" outlineLevel="0" collapsed="false">
      <c r="B4719" s="130" t="n">
        <v>2027</v>
      </c>
      <c r="C4719" s="131" t="s">
        <v>250</v>
      </c>
      <c r="D4719" s="132" t="n">
        <v>46608</v>
      </c>
      <c r="E4719" s="131" t="s">
        <v>62</v>
      </c>
      <c r="F4719" s="133" t="s">
        <v>19</v>
      </c>
      <c r="G4719" s="134" t="n">
        <f aca="false">LEN('Saisie programme'!$D$203)+SUMIFS('Vols additionnels'!$E$7:$E$66,'Vols additionnels'!$C$7:$C$66,$E4719,'Vols additionnels'!$D$7:$D$66,$F4719,'Vols additionnels'!$B$7:$B$66,$D4719)</f>
        <v>0</v>
      </c>
      <c r="H4719" s="135" t="n">
        <f aca="false">$G4719*'Analyse capacite'!$F$8</f>
        <v>0</v>
      </c>
      <c r="I4719" s="135" t="n">
        <f aca="false">$G4719*'Analyse capacite'!$C$8</f>
        <v>0</v>
      </c>
      <c r="J4719" s="135" t="n">
        <f aca="false">$G4719*'Analyse capacite'!$D$8</f>
        <v>0</v>
      </c>
      <c r="K4719" s="135" t="n">
        <f aca="false">$G4719*'Analyse capacite'!$E$8</f>
        <v>0</v>
      </c>
    </row>
    <row r="4720" customFormat="false" ht="15" hidden="false" customHeight="false" outlineLevel="0" collapsed="false">
      <c r="B4720" s="130" t="n">
        <v>2027</v>
      </c>
      <c r="C4720" s="131" t="s">
        <v>250</v>
      </c>
      <c r="D4720" s="132" t="n">
        <v>46608</v>
      </c>
      <c r="E4720" s="131" t="s">
        <v>62</v>
      </c>
      <c r="F4720" s="133" t="s">
        <v>24</v>
      </c>
      <c r="G4720" s="134" t="n">
        <f aca="false">LEN('Saisie programme'!$D$204)+SUMIFS('Vols additionnels'!$E$7:$E$66,'Vols additionnels'!$C$7:$C$66,$E4720,'Vols additionnels'!$D$7:$D$66,$F4720,'Vols additionnels'!$B$7:$B$66,$D4720)</f>
        <v>0</v>
      </c>
      <c r="H4720" s="135" t="n">
        <f aca="false">$G4720*'Analyse capacite'!$F$9</f>
        <v>0</v>
      </c>
      <c r="I4720" s="135" t="n">
        <f aca="false">$G4720*'Analyse capacite'!$C$9</f>
        <v>0</v>
      </c>
      <c r="J4720" s="135" t="n">
        <f aca="false">$G4720*'Analyse capacite'!$D$9</f>
        <v>0</v>
      </c>
      <c r="K4720" s="135" t="n">
        <f aca="false">$G4720*'Analyse capacite'!$E$9</f>
        <v>0</v>
      </c>
    </row>
    <row r="4721" customFormat="false" ht="15" hidden="false" customHeight="false" outlineLevel="0" collapsed="false">
      <c r="B4721" s="130" t="n">
        <v>2027</v>
      </c>
      <c r="C4721" s="131" t="s">
        <v>250</v>
      </c>
      <c r="D4721" s="132" t="n">
        <v>46609</v>
      </c>
      <c r="E4721" s="131" t="s">
        <v>12</v>
      </c>
      <c r="F4721" s="133" t="s">
        <v>11</v>
      </c>
      <c r="G4721" s="134" t="n">
        <f aca="false">LEN('Saisie programme'!$E$169)+SUMIFS('Vols additionnels'!$E$7:$E$66,'Vols additionnels'!$C$7:$C$66,$E4721,'Vols additionnels'!$D$7:$D$66,$F4721,'Vols additionnels'!$B$7:$B$66,$D4721)</f>
        <v>1</v>
      </c>
      <c r="H4721" s="135" t="n">
        <f aca="false">$G4721*'Analyse capacite'!$F$7</f>
        <v>438</v>
      </c>
      <c r="I4721" s="135" t="n">
        <f aca="false">$G4721*'Analyse capacite'!$C$7</f>
        <v>14</v>
      </c>
      <c r="J4721" s="135" t="n">
        <f aca="false">$G4721*'Analyse capacite'!$D$7</f>
        <v>40</v>
      </c>
      <c r="K4721" s="135" t="n">
        <f aca="false">$G4721*'Analyse capacite'!$E$7</f>
        <v>384</v>
      </c>
    </row>
    <row r="4722" customFormat="false" ht="15" hidden="false" customHeight="false" outlineLevel="0" collapsed="false">
      <c r="B4722" s="130" t="n">
        <v>2027</v>
      </c>
      <c r="C4722" s="131" t="s">
        <v>250</v>
      </c>
      <c r="D4722" s="132" t="n">
        <v>46609</v>
      </c>
      <c r="E4722" s="131" t="s">
        <v>12</v>
      </c>
      <c r="F4722" s="133" t="s">
        <v>19</v>
      </c>
      <c r="G4722" s="134" t="n">
        <f aca="false">LEN('Saisie programme'!$E$170)+SUMIFS('Vols additionnels'!$E$7:$E$66,'Vols additionnels'!$C$7:$C$66,$E4722,'Vols additionnels'!$D$7:$D$66,$F4722,'Vols additionnels'!$B$7:$B$66,$D4722)</f>
        <v>1</v>
      </c>
      <c r="H4722" s="135" t="n">
        <f aca="false">$G4722*'Analyse capacite'!$F$8</f>
        <v>262</v>
      </c>
      <c r="I4722" s="135" t="n">
        <f aca="false">$G4722*'Analyse capacite'!$C$8</f>
        <v>18</v>
      </c>
      <c r="J4722" s="135" t="n">
        <f aca="false">$G4722*'Analyse capacite'!$D$8</f>
        <v>0</v>
      </c>
      <c r="K4722" s="135" t="n">
        <f aca="false">$G4722*'Analyse capacite'!$E$8</f>
        <v>244</v>
      </c>
    </row>
    <row r="4723" customFormat="false" ht="15" hidden="false" customHeight="false" outlineLevel="0" collapsed="false">
      <c r="B4723" s="130" t="n">
        <v>2027</v>
      </c>
      <c r="C4723" s="131" t="s">
        <v>250</v>
      </c>
      <c r="D4723" s="132" t="n">
        <v>46609</v>
      </c>
      <c r="E4723" s="131" t="s">
        <v>12</v>
      </c>
      <c r="F4723" s="133" t="s">
        <v>24</v>
      </c>
      <c r="G4723" s="134" t="n">
        <f aca="false">LEN('Saisie programme'!$E$171)+SUMIFS('Vols additionnels'!$E$7:$E$66,'Vols additionnels'!$C$7:$C$66,$E4723,'Vols additionnels'!$D$7:$D$66,$F4723,'Vols additionnels'!$B$7:$B$66,$D4723)</f>
        <v>0</v>
      </c>
      <c r="H4723" s="135" t="n">
        <f aca="false">$G4723*'Analyse capacite'!$F$9</f>
        <v>0</v>
      </c>
      <c r="I4723" s="135" t="n">
        <f aca="false">$G4723*'Analyse capacite'!$C$9</f>
        <v>0</v>
      </c>
      <c r="J4723" s="135" t="n">
        <f aca="false">$G4723*'Analyse capacite'!$D$9</f>
        <v>0</v>
      </c>
      <c r="K4723" s="135" t="n">
        <f aca="false">$G4723*'Analyse capacite'!$E$9</f>
        <v>0</v>
      </c>
    </row>
    <row r="4724" customFormat="false" ht="15" hidden="false" customHeight="false" outlineLevel="0" collapsed="false">
      <c r="B4724" s="130" t="n">
        <v>2027</v>
      </c>
      <c r="C4724" s="131" t="s">
        <v>250</v>
      </c>
      <c r="D4724" s="132" t="n">
        <v>46609</v>
      </c>
      <c r="E4724" s="131" t="s">
        <v>20</v>
      </c>
      <c r="F4724" s="133" t="s">
        <v>11</v>
      </c>
      <c r="G4724" s="134" t="n">
        <f aca="false">LEN('Saisie programme'!$E$172)+SUMIFS('Vols additionnels'!$E$7:$E$66,'Vols additionnels'!$C$7:$C$66,$E4724,'Vols additionnels'!$D$7:$D$66,$F4724,'Vols additionnels'!$B$7:$B$66,$D4724)</f>
        <v>0</v>
      </c>
      <c r="H4724" s="135" t="n">
        <f aca="false">$G4724*'Analyse capacite'!$F$7</f>
        <v>0</v>
      </c>
      <c r="I4724" s="135" t="n">
        <f aca="false">$G4724*'Analyse capacite'!$C$7</f>
        <v>0</v>
      </c>
      <c r="J4724" s="135" t="n">
        <f aca="false">$G4724*'Analyse capacite'!$D$7</f>
        <v>0</v>
      </c>
      <c r="K4724" s="135" t="n">
        <f aca="false">$G4724*'Analyse capacite'!$E$7</f>
        <v>0</v>
      </c>
    </row>
    <row r="4725" customFormat="false" ht="15" hidden="false" customHeight="false" outlineLevel="0" collapsed="false">
      <c r="B4725" s="130" t="n">
        <v>2027</v>
      </c>
      <c r="C4725" s="131" t="s">
        <v>250</v>
      </c>
      <c r="D4725" s="132" t="n">
        <v>46609</v>
      </c>
      <c r="E4725" s="131" t="s">
        <v>20</v>
      </c>
      <c r="F4725" s="133" t="s">
        <v>19</v>
      </c>
      <c r="G4725" s="134" t="n">
        <f aca="false">LEN('Saisie programme'!$E$173)+SUMIFS('Vols additionnels'!$E$7:$E$66,'Vols additionnels'!$C$7:$C$66,$E4725,'Vols additionnels'!$D$7:$D$66,$F4725,'Vols additionnels'!$B$7:$B$66,$D4725)</f>
        <v>1</v>
      </c>
      <c r="H4725" s="135" t="n">
        <f aca="false">$G4725*'Analyse capacite'!$F$8</f>
        <v>262</v>
      </c>
      <c r="I4725" s="135" t="n">
        <f aca="false">$G4725*'Analyse capacite'!$C$8</f>
        <v>18</v>
      </c>
      <c r="J4725" s="135" t="n">
        <f aca="false">$G4725*'Analyse capacite'!$D$8</f>
        <v>0</v>
      </c>
      <c r="K4725" s="135" t="n">
        <f aca="false">$G4725*'Analyse capacite'!$E$8</f>
        <v>244</v>
      </c>
    </row>
    <row r="4726" customFormat="false" ht="15" hidden="false" customHeight="false" outlineLevel="0" collapsed="false">
      <c r="B4726" s="130" t="n">
        <v>2027</v>
      </c>
      <c r="C4726" s="131" t="s">
        <v>250</v>
      </c>
      <c r="D4726" s="132" t="n">
        <v>46609</v>
      </c>
      <c r="E4726" s="131" t="s">
        <v>20</v>
      </c>
      <c r="F4726" s="133" t="s">
        <v>24</v>
      </c>
      <c r="G4726" s="134" t="n">
        <f aca="false">LEN('Saisie programme'!$E$174)+SUMIFS('Vols additionnels'!$E$7:$E$66,'Vols additionnels'!$C$7:$C$66,$E4726,'Vols additionnels'!$D$7:$D$66,$F4726,'Vols additionnels'!$B$7:$B$66,$D4726)</f>
        <v>0</v>
      </c>
      <c r="H4726" s="135" t="n">
        <f aca="false">$G4726*'Analyse capacite'!$F$9</f>
        <v>0</v>
      </c>
      <c r="I4726" s="135" t="n">
        <f aca="false">$G4726*'Analyse capacite'!$C$9</f>
        <v>0</v>
      </c>
      <c r="J4726" s="135" t="n">
        <f aca="false">$G4726*'Analyse capacite'!$D$9</f>
        <v>0</v>
      </c>
      <c r="K4726" s="135" t="n">
        <f aca="false">$G4726*'Analyse capacite'!$E$9</f>
        <v>0</v>
      </c>
    </row>
    <row r="4727" customFormat="false" ht="15" hidden="false" customHeight="false" outlineLevel="0" collapsed="false">
      <c r="B4727" s="130" t="n">
        <v>2027</v>
      </c>
      <c r="C4727" s="131" t="s">
        <v>250</v>
      </c>
      <c r="D4727" s="132" t="n">
        <v>46609</v>
      </c>
      <c r="E4727" s="131" t="s">
        <v>25</v>
      </c>
      <c r="F4727" s="133" t="s">
        <v>11</v>
      </c>
      <c r="G4727" s="134" t="n">
        <f aca="false">LEN('Saisie programme'!$E$175)+SUMIFS('Vols additionnels'!$E$7:$E$66,'Vols additionnels'!$C$7:$C$66,$E4727,'Vols additionnels'!$D$7:$D$66,$F4727,'Vols additionnels'!$B$7:$B$66,$D4727)</f>
        <v>0</v>
      </c>
      <c r="H4727" s="135" t="n">
        <f aca="false">$G4727*'Analyse capacite'!$F$7</f>
        <v>0</v>
      </c>
      <c r="I4727" s="135" t="n">
        <f aca="false">$G4727*'Analyse capacite'!$C$7</f>
        <v>0</v>
      </c>
      <c r="J4727" s="135" t="n">
        <f aca="false">$G4727*'Analyse capacite'!$D$7</f>
        <v>0</v>
      </c>
      <c r="K4727" s="135" t="n">
        <f aca="false">$G4727*'Analyse capacite'!$E$7</f>
        <v>0</v>
      </c>
    </row>
    <row r="4728" customFormat="false" ht="15" hidden="false" customHeight="false" outlineLevel="0" collapsed="false">
      <c r="B4728" s="130" t="n">
        <v>2027</v>
      </c>
      <c r="C4728" s="131" t="s">
        <v>250</v>
      </c>
      <c r="D4728" s="132" t="n">
        <v>46609</v>
      </c>
      <c r="E4728" s="131" t="s">
        <v>25</v>
      </c>
      <c r="F4728" s="133" t="s">
        <v>19</v>
      </c>
      <c r="G4728" s="134" t="n">
        <f aca="false">LEN('Saisie programme'!$E$176)+SUMIFS('Vols additionnels'!$E$7:$E$66,'Vols additionnels'!$C$7:$C$66,$E4728,'Vols additionnels'!$D$7:$D$66,$F4728,'Vols additionnels'!$B$7:$B$66,$D4728)</f>
        <v>0</v>
      </c>
      <c r="H4728" s="135" t="n">
        <f aca="false">$G4728*'Analyse capacite'!$F$8</f>
        <v>0</v>
      </c>
      <c r="I4728" s="135" t="n">
        <f aca="false">$G4728*'Analyse capacite'!$C$8</f>
        <v>0</v>
      </c>
      <c r="J4728" s="135" t="n">
        <f aca="false">$G4728*'Analyse capacite'!$D$8</f>
        <v>0</v>
      </c>
      <c r="K4728" s="135" t="n">
        <f aca="false">$G4728*'Analyse capacite'!$E$8</f>
        <v>0</v>
      </c>
    </row>
    <row r="4729" customFormat="false" ht="15" hidden="false" customHeight="false" outlineLevel="0" collapsed="false">
      <c r="B4729" s="130" t="n">
        <v>2027</v>
      </c>
      <c r="C4729" s="131" t="s">
        <v>250</v>
      </c>
      <c r="D4729" s="132" t="n">
        <v>46609</v>
      </c>
      <c r="E4729" s="131" t="s">
        <v>25</v>
      </c>
      <c r="F4729" s="133" t="s">
        <v>24</v>
      </c>
      <c r="G4729" s="134" t="n">
        <f aca="false">LEN('Saisie programme'!$E$177)+SUMIFS('Vols additionnels'!$E$7:$E$66,'Vols additionnels'!$C$7:$C$66,$E4729,'Vols additionnels'!$D$7:$D$66,$F4729,'Vols additionnels'!$B$7:$B$66,$D4729)</f>
        <v>0</v>
      </c>
      <c r="H4729" s="135" t="n">
        <f aca="false">$G4729*'Analyse capacite'!$F$9</f>
        <v>0</v>
      </c>
      <c r="I4729" s="135" t="n">
        <f aca="false">$G4729*'Analyse capacite'!$C$9</f>
        <v>0</v>
      </c>
      <c r="J4729" s="135" t="n">
        <f aca="false">$G4729*'Analyse capacite'!$D$9</f>
        <v>0</v>
      </c>
      <c r="K4729" s="135" t="n">
        <f aca="false">$G4729*'Analyse capacite'!$E$9</f>
        <v>0</v>
      </c>
    </row>
    <row r="4730" customFormat="false" ht="15" hidden="false" customHeight="false" outlineLevel="0" collapsed="false">
      <c r="B4730" s="130" t="n">
        <v>2027</v>
      </c>
      <c r="C4730" s="131" t="s">
        <v>250</v>
      </c>
      <c r="D4730" s="132" t="n">
        <v>46609</v>
      </c>
      <c r="E4730" s="131" t="s">
        <v>36</v>
      </c>
      <c r="F4730" s="133" t="s">
        <v>11</v>
      </c>
      <c r="G4730" s="134" t="n">
        <f aca="false">LEN('Saisie programme'!$E$178)+SUMIFS('Vols additionnels'!$E$7:$E$66,'Vols additionnels'!$C$7:$C$66,$E4730,'Vols additionnels'!$D$7:$D$66,$F4730,'Vols additionnels'!$B$7:$B$66,$D4730)</f>
        <v>0</v>
      </c>
      <c r="H4730" s="135" t="n">
        <f aca="false">$G4730*'Analyse capacite'!$F$7</f>
        <v>0</v>
      </c>
      <c r="I4730" s="135" t="n">
        <f aca="false">$G4730*'Analyse capacite'!$C$7</f>
        <v>0</v>
      </c>
      <c r="J4730" s="135" t="n">
        <f aca="false">$G4730*'Analyse capacite'!$D$7</f>
        <v>0</v>
      </c>
      <c r="K4730" s="135" t="n">
        <f aca="false">$G4730*'Analyse capacite'!$E$7</f>
        <v>0</v>
      </c>
    </row>
    <row r="4731" customFormat="false" ht="15" hidden="false" customHeight="false" outlineLevel="0" collapsed="false">
      <c r="B4731" s="130" t="n">
        <v>2027</v>
      </c>
      <c r="C4731" s="131" t="s">
        <v>250</v>
      </c>
      <c r="D4731" s="132" t="n">
        <v>46609</v>
      </c>
      <c r="E4731" s="131" t="s">
        <v>36</v>
      </c>
      <c r="F4731" s="133" t="s">
        <v>19</v>
      </c>
      <c r="G4731" s="134" t="n">
        <f aca="false">LEN('Saisie programme'!$E$179)+SUMIFS('Vols additionnels'!$E$7:$E$66,'Vols additionnels'!$C$7:$C$66,$E4731,'Vols additionnels'!$D$7:$D$66,$F4731,'Vols additionnels'!$B$7:$B$66,$D4731)</f>
        <v>0</v>
      </c>
      <c r="H4731" s="135" t="n">
        <f aca="false">$G4731*'Analyse capacite'!$F$8</f>
        <v>0</v>
      </c>
      <c r="I4731" s="135" t="n">
        <f aca="false">$G4731*'Analyse capacite'!$C$8</f>
        <v>0</v>
      </c>
      <c r="J4731" s="135" t="n">
        <f aca="false">$G4731*'Analyse capacite'!$D$8</f>
        <v>0</v>
      </c>
      <c r="K4731" s="135" t="n">
        <f aca="false">$G4731*'Analyse capacite'!$E$8</f>
        <v>0</v>
      </c>
    </row>
    <row r="4732" customFormat="false" ht="15" hidden="false" customHeight="false" outlineLevel="0" collapsed="false">
      <c r="B4732" s="130" t="n">
        <v>2027</v>
      </c>
      <c r="C4732" s="131" t="s">
        <v>250</v>
      </c>
      <c r="D4732" s="132" t="n">
        <v>46609</v>
      </c>
      <c r="E4732" s="131" t="s">
        <v>36</v>
      </c>
      <c r="F4732" s="133" t="s">
        <v>24</v>
      </c>
      <c r="G4732" s="134" t="n">
        <f aca="false">LEN('Saisie programme'!$E$180)+SUMIFS('Vols additionnels'!$E$7:$E$66,'Vols additionnels'!$C$7:$C$66,$E4732,'Vols additionnels'!$D$7:$D$66,$F4732,'Vols additionnels'!$B$7:$B$66,$D4732)</f>
        <v>1</v>
      </c>
      <c r="H4732" s="135" t="n">
        <f aca="false">$G4732*'Analyse capacite'!$F$9</f>
        <v>174</v>
      </c>
      <c r="I4732" s="135" t="n">
        <f aca="false">$G4732*'Analyse capacite'!$C$9</f>
        <v>0</v>
      </c>
      <c r="J4732" s="135" t="n">
        <f aca="false">$G4732*'Analyse capacite'!$D$9</f>
        <v>12</v>
      </c>
      <c r="K4732" s="135" t="n">
        <f aca="false">$G4732*'Analyse capacite'!$E$9</f>
        <v>162</v>
      </c>
    </row>
    <row r="4733" customFormat="false" ht="15" hidden="false" customHeight="false" outlineLevel="0" collapsed="false">
      <c r="B4733" s="130" t="n">
        <v>2027</v>
      </c>
      <c r="C4733" s="131" t="s">
        <v>250</v>
      </c>
      <c r="D4733" s="132" t="n">
        <v>46609</v>
      </c>
      <c r="E4733" s="131" t="s">
        <v>40</v>
      </c>
      <c r="F4733" s="133" t="s">
        <v>11</v>
      </c>
      <c r="G4733" s="134" t="n">
        <f aca="false">LEN('Saisie programme'!$E$181)+SUMIFS('Vols additionnels'!$E$7:$E$66,'Vols additionnels'!$C$7:$C$66,$E4733,'Vols additionnels'!$D$7:$D$66,$F4733,'Vols additionnels'!$B$7:$B$66,$D4733)</f>
        <v>0</v>
      </c>
      <c r="H4733" s="135" t="n">
        <f aca="false">$G4733*'Analyse capacite'!$F$7</f>
        <v>0</v>
      </c>
      <c r="I4733" s="135" t="n">
        <f aca="false">$G4733*'Analyse capacite'!$C$7</f>
        <v>0</v>
      </c>
      <c r="J4733" s="135" t="n">
        <f aca="false">$G4733*'Analyse capacite'!$D$7</f>
        <v>0</v>
      </c>
      <c r="K4733" s="135" t="n">
        <f aca="false">$G4733*'Analyse capacite'!$E$7</f>
        <v>0</v>
      </c>
    </row>
    <row r="4734" customFormat="false" ht="15" hidden="false" customHeight="false" outlineLevel="0" collapsed="false">
      <c r="B4734" s="130" t="n">
        <v>2027</v>
      </c>
      <c r="C4734" s="131" t="s">
        <v>250</v>
      </c>
      <c r="D4734" s="132" t="n">
        <v>46609</v>
      </c>
      <c r="E4734" s="131" t="s">
        <v>40</v>
      </c>
      <c r="F4734" s="133" t="s">
        <v>19</v>
      </c>
      <c r="G4734" s="134" t="n">
        <f aca="false">LEN('Saisie programme'!$E$182)+SUMIFS('Vols additionnels'!$E$7:$E$66,'Vols additionnels'!$C$7:$C$66,$E4734,'Vols additionnels'!$D$7:$D$66,$F4734,'Vols additionnels'!$B$7:$B$66,$D4734)</f>
        <v>0</v>
      </c>
      <c r="H4734" s="135" t="n">
        <f aca="false">$G4734*'Analyse capacite'!$F$8</f>
        <v>0</v>
      </c>
      <c r="I4734" s="135" t="n">
        <f aca="false">$G4734*'Analyse capacite'!$C$8</f>
        <v>0</v>
      </c>
      <c r="J4734" s="135" t="n">
        <f aca="false">$G4734*'Analyse capacite'!$D$8</f>
        <v>0</v>
      </c>
      <c r="K4734" s="135" t="n">
        <f aca="false">$G4734*'Analyse capacite'!$E$8</f>
        <v>0</v>
      </c>
    </row>
    <row r="4735" customFormat="false" ht="15" hidden="false" customHeight="false" outlineLevel="0" collapsed="false">
      <c r="B4735" s="130" t="n">
        <v>2027</v>
      </c>
      <c r="C4735" s="131" t="s">
        <v>250</v>
      </c>
      <c r="D4735" s="132" t="n">
        <v>46609</v>
      </c>
      <c r="E4735" s="131" t="s">
        <v>40</v>
      </c>
      <c r="F4735" s="133" t="s">
        <v>24</v>
      </c>
      <c r="G4735" s="134" t="n">
        <f aca="false">LEN('Saisie programme'!$E$183)+SUMIFS('Vols additionnels'!$E$7:$E$66,'Vols additionnels'!$C$7:$C$66,$E4735,'Vols additionnels'!$D$7:$D$66,$F4735,'Vols additionnels'!$B$7:$B$66,$D4735)</f>
        <v>0</v>
      </c>
      <c r="H4735" s="135" t="n">
        <f aca="false">$G4735*'Analyse capacite'!$F$9</f>
        <v>0</v>
      </c>
      <c r="I4735" s="135" t="n">
        <f aca="false">$G4735*'Analyse capacite'!$C$9</f>
        <v>0</v>
      </c>
      <c r="J4735" s="135" t="n">
        <f aca="false">$G4735*'Analyse capacite'!$D$9</f>
        <v>0</v>
      </c>
      <c r="K4735" s="135" t="n">
        <f aca="false">$G4735*'Analyse capacite'!$E$9</f>
        <v>0</v>
      </c>
    </row>
    <row r="4736" customFormat="false" ht="15" hidden="false" customHeight="false" outlineLevel="0" collapsed="false">
      <c r="B4736" s="130" t="n">
        <v>2027</v>
      </c>
      <c r="C4736" s="131" t="s">
        <v>250</v>
      </c>
      <c r="D4736" s="132" t="n">
        <v>46609</v>
      </c>
      <c r="E4736" s="131" t="s">
        <v>14</v>
      </c>
      <c r="F4736" s="133" t="s">
        <v>11</v>
      </c>
      <c r="G4736" s="134" t="n">
        <f aca="false">LEN('Saisie programme'!$E$184)+SUMIFS('Vols additionnels'!$E$7:$E$66,'Vols additionnels'!$C$7:$C$66,$E4736,'Vols additionnels'!$D$7:$D$66,$F4736,'Vols additionnels'!$B$7:$B$66,$D4736)</f>
        <v>0</v>
      </c>
      <c r="H4736" s="135" t="n">
        <f aca="false">$G4736*'Analyse capacite'!$F$7</f>
        <v>0</v>
      </c>
      <c r="I4736" s="135" t="n">
        <f aca="false">$G4736*'Analyse capacite'!$C$7</f>
        <v>0</v>
      </c>
      <c r="J4736" s="135" t="n">
        <f aca="false">$G4736*'Analyse capacite'!$D$7</f>
        <v>0</v>
      </c>
      <c r="K4736" s="135" t="n">
        <f aca="false">$G4736*'Analyse capacite'!$E$7</f>
        <v>0</v>
      </c>
    </row>
    <row r="4737" customFormat="false" ht="15" hidden="false" customHeight="false" outlineLevel="0" collapsed="false">
      <c r="B4737" s="130" t="n">
        <v>2027</v>
      </c>
      <c r="C4737" s="131" t="s">
        <v>250</v>
      </c>
      <c r="D4737" s="132" t="n">
        <v>46609</v>
      </c>
      <c r="E4737" s="131" t="s">
        <v>14</v>
      </c>
      <c r="F4737" s="133" t="s">
        <v>19</v>
      </c>
      <c r="G4737" s="134" t="n">
        <f aca="false">LEN('Saisie programme'!$E$185)+SUMIFS('Vols additionnels'!$E$7:$E$66,'Vols additionnels'!$C$7:$C$66,$E4737,'Vols additionnels'!$D$7:$D$66,$F4737,'Vols additionnels'!$B$7:$B$66,$D4737)</f>
        <v>0</v>
      </c>
      <c r="H4737" s="135" t="n">
        <f aca="false">$G4737*'Analyse capacite'!$F$8</f>
        <v>0</v>
      </c>
      <c r="I4737" s="135" t="n">
        <f aca="false">$G4737*'Analyse capacite'!$C$8</f>
        <v>0</v>
      </c>
      <c r="J4737" s="135" t="n">
        <f aca="false">$G4737*'Analyse capacite'!$D$8</f>
        <v>0</v>
      </c>
      <c r="K4737" s="135" t="n">
        <f aca="false">$G4737*'Analyse capacite'!$E$8</f>
        <v>0</v>
      </c>
    </row>
    <row r="4738" customFormat="false" ht="15" hidden="false" customHeight="false" outlineLevel="0" collapsed="false">
      <c r="B4738" s="130" t="n">
        <v>2027</v>
      </c>
      <c r="C4738" s="131" t="s">
        <v>250</v>
      </c>
      <c r="D4738" s="132" t="n">
        <v>46609</v>
      </c>
      <c r="E4738" s="131" t="s">
        <v>14</v>
      </c>
      <c r="F4738" s="133" t="s">
        <v>24</v>
      </c>
      <c r="G4738" s="134" t="n">
        <f aca="false">LEN('Saisie programme'!$E$186)+SUMIFS('Vols additionnels'!$E$7:$E$66,'Vols additionnels'!$C$7:$C$66,$E4738,'Vols additionnels'!$D$7:$D$66,$F4738,'Vols additionnels'!$B$7:$B$66,$D4738)</f>
        <v>0</v>
      </c>
      <c r="H4738" s="135" t="n">
        <f aca="false">$G4738*'Analyse capacite'!$F$9</f>
        <v>0</v>
      </c>
      <c r="I4738" s="135" t="n">
        <f aca="false">$G4738*'Analyse capacite'!$C$9</f>
        <v>0</v>
      </c>
      <c r="J4738" s="135" t="n">
        <f aca="false">$G4738*'Analyse capacite'!$D$9</f>
        <v>0</v>
      </c>
      <c r="K4738" s="135" t="n">
        <f aca="false">$G4738*'Analyse capacite'!$E$9</f>
        <v>0</v>
      </c>
    </row>
    <row r="4739" customFormat="false" ht="15" hidden="false" customHeight="false" outlineLevel="0" collapsed="false">
      <c r="B4739" s="130" t="n">
        <v>2027</v>
      </c>
      <c r="C4739" s="131" t="s">
        <v>250</v>
      </c>
      <c r="D4739" s="132" t="n">
        <v>46609</v>
      </c>
      <c r="E4739" s="131" t="s">
        <v>46</v>
      </c>
      <c r="F4739" s="133" t="s">
        <v>11</v>
      </c>
      <c r="G4739" s="134" t="n">
        <f aca="false">LEN('Saisie programme'!$E$187)+SUMIFS('Vols additionnels'!$E$7:$E$66,'Vols additionnels'!$C$7:$C$66,$E4739,'Vols additionnels'!$D$7:$D$66,$F4739,'Vols additionnels'!$B$7:$B$66,$D4739)</f>
        <v>0</v>
      </c>
      <c r="H4739" s="135" t="n">
        <f aca="false">$G4739*'Analyse capacite'!$F$7</f>
        <v>0</v>
      </c>
      <c r="I4739" s="135" t="n">
        <f aca="false">$G4739*'Analyse capacite'!$C$7</f>
        <v>0</v>
      </c>
      <c r="J4739" s="135" t="n">
        <f aca="false">$G4739*'Analyse capacite'!$D$7</f>
        <v>0</v>
      </c>
      <c r="K4739" s="135" t="n">
        <f aca="false">$G4739*'Analyse capacite'!$E$7</f>
        <v>0</v>
      </c>
    </row>
    <row r="4740" customFormat="false" ht="15" hidden="false" customHeight="false" outlineLevel="0" collapsed="false">
      <c r="B4740" s="130" t="n">
        <v>2027</v>
      </c>
      <c r="C4740" s="131" t="s">
        <v>250</v>
      </c>
      <c r="D4740" s="132" t="n">
        <v>46609</v>
      </c>
      <c r="E4740" s="131" t="s">
        <v>46</v>
      </c>
      <c r="F4740" s="133" t="s">
        <v>19</v>
      </c>
      <c r="G4740" s="134" t="n">
        <f aca="false">LEN('Saisie programme'!$E$188)+SUMIFS('Vols additionnels'!$E$7:$E$66,'Vols additionnels'!$C$7:$C$66,$E4740,'Vols additionnels'!$D$7:$D$66,$F4740,'Vols additionnels'!$B$7:$B$66,$D4740)</f>
        <v>0</v>
      </c>
      <c r="H4740" s="135" t="n">
        <f aca="false">$G4740*'Analyse capacite'!$F$8</f>
        <v>0</v>
      </c>
      <c r="I4740" s="135" t="n">
        <f aca="false">$G4740*'Analyse capacite'!$C$8</f>
        <v>0</v>
      </c>
      <c r="J4740" s="135" t="n">
        <f aca="false">$G4740*'Analyse capacite'!$D$8</f>
        <v>0</v>
      </c>
      <c r="K4740" s="135" t="n">
        <f aca="false">$G4740*'Analyse capacite'!$E$8</f>
        <v>0</v>
      </c>
    </row>
    <row r="4741" customFormat="false" ht="15" hidden="false" customHeight="false" outlineLevel="0" collapsed="false">
      <c r="B4741" s="130" t="n">
        <v>2027</v>
      </c>
      <c r="C4741" s="131" t="s">
        <v>250</v>
      </c>
      <c r="D4741" s="132" t="n">
        <v>46609</v>
      </c>
      <c r="E4741" s="131" t="s">
        <v>46</v>
      </c>
      <c r="F4741" s="133" t="s">
        <v>24</v>
      </c>
      <c r="G4741" s="134" t="n">
        <f aca="false">LEN('Saisie programme'!$E$189)+SUMIFS('Vols additionnels'!$E$7:$E$66,'Vols additionnels'!$C$7:$C$66,$E4741,'Vols additionnels'!$D$7:$D$66,$F4741,'Vols additionnels'!$B$7:$B$66,$D4741)</f>
        <v>1</v>
      </c>
      <c r="H4741" s="135" t="n">
        <f aca="false">$G4741*'Analyse capacite'!$F$9</f>
        <v>174</v>
      </c>
      <c r="I4741" s="135" t="n">
        <f aca="false">$G4741*'Analyse capacite'!$C$9</f>
        <v>0</v>
      </c>
      <c r="J4741" s="135" t="n">
        <f aca="false">$G4741*'Analyse capacite'!$D$9</f>
        <v>12</v>
      </c>
      <c r="K4741" s="135" t="n">
        <f aca="false">$G4741*'Analyse capacite'!$E$9</f>
        <v>162</v>
      </c>
    </row>
    <row r="4742" customFormat="false" ht="15" hidden="false" customHeight="false" outlineLevel="0" collapsed="false">
      <c r="B4742" s="130" t="n">
        <v>2027</v>
      </c>
      <c r="C4742" s="131" t="s">
        <v>250</v>
      </c>
      <c r="D4742" s="132" t="n">
        <v>46609</v>
      </c>
      <c r="E4742" s="131" t="s">
        <v>49</v>
      </c>
      <c r="F4742" s="133" t="s">
        <v>11</v>
      </c>
      <c r="G4742" s="134" t="n">
        <f aca="false">LEN('Saisie programme'!$E$190)+SUMIFS('Vols additionnels'!$E$7:$E$66,'Vols additionnels'!$C$7:$C$66,$E4742,'Vols additionnels'!$D$7:$D$66,$F4742,'Vols additionnels'!$B$7:$B$66,$D4742)</f>
        <v>0</v>
      </c>
      <c r="H4742" s="135" t="n">
        <f aca="false">$G4742*'Analyse capacite'!$F$7</f>
        <v>0</v>
      </c>
      <c r="I4742" s="135" t="n">
        <f aca="false">$G4742*'Analyse capacite'!$C$7</f>
        <v>0</v>
      </c>
      <c r="J4742" s="135" t="n">
        <f aca="false">$G4742*'Analyse capacite'!$D$7</f>
        <v>0</v>
      </c>
      <c r="K4742" s="135" t="n">
        <f aca="false">$G4742*'Analyse capacite'!$E$7</f>
        <v>0</v>
      </c>
    </row>
    <row r="4743" customFormat="false" ht="15" hidden="false" customHeight="false" outlineLevel="0" collapsed="false">
      <c r="B4743" s="130" t="n">
        <v>2027</v>
      </c>
      <c r="C4743" s="131" t="s">
        <v>250</v>
      </c>
      <c r="D4743" s="132" t="n">
        <v>46609</v>
      </c>
      <c r="E4743" s="131" t="s">
        <v>49</v>
      </c>
      <c r="F4743" s="133" t="s">
        <v>19</v>
      </c>
      <c r="G4743" s="134" t="n">
        <f aca="false">LEN('Saisie programme'!$E$191)+SUMIFS('Vols additionnels'!$E$7:$E$66,'Vols additionnels'!$C$7:$C$66,$E4743,'Vols additionnels'!$D$7:$D$66,$F4743,'Vols additionnels'!$B$7:$B$66,$D4743)</f>
        <v>0</v>
      </c>
      <c r="H4743" s="135" t="n">
        <f aca="false">$G4743*'Analyse capacite'!$F$8</f>
        <v>0</v>
      </c>
      <c r="I4743" s="135" t="n">
        <f aca="false">$G4743*'Analyse capacite'!$C$8</f>
        <v>0</v>
      </c>
      <c r="J4743" s="135" t="n">
        <f aca="false">$G4743*'Analyse capacite'!$D$8</f>
        <v>0</v>
      </c>
      <c r="K4743" s="135" t="n">
        <f aca="false">$G4743*'Analyse capacite'!$E$8</f>
        <v>0</v>
      </c>
    </row>
    <row r="4744" customFormat="false" ht="15" hidden="false" customHeight="false" outlineLevel="0" collapsed="false">
      <c r="B4744" s="130" t="n">
        <v>2027</v>
      </c>
      <c r="C4744" s="131" t="s">
        <v>250</v>
      </c>
      <c r="D4744" s="132" t="n">
        <v>46609</v>
      </c>
      <c r="E4744" s="131" t="s">
        <v>49</v>
      </c>
      <c r="F4744" s="133" t="s">
        <v>24</v>
      </c>
      <c r="G4744" s="134" t="n">
        <f aca="false">LEN('Saisie programme'!$E$192)+SUMIFS('Vols additionnels'!$E$7:$E$66,'Vols additionnels'!$C$7:$C$66,$E4744,'Vols additionnels'!$D$7:$D$66,$F4744,'Vols additionnels'!$B$7:$B$66,$D4744)</f>
        <v>0</v>
      </c>
      <c r="H4744" s="135" t="n">
        <f aca="false">$G4744*'Analyse capacite'!$F$9</f>
        <v>0</v>
      </c>
      <c r="I4744" s="135" t="n">
        <f aca="false">$G4744*'Analyse capacite'!$C$9</f>
        <v>0</v>
      </c>
      <c r="J4744" s="135" t="n">
        <f aca="false">$G4744*'Analyse capacite'!$D$9</f>
        <v>0</v>
      </c>
      <c r="K4744" s="135" t="n">
        <f aca="false">$G4744*'Analyse capacite'!$E$9</f>
        <v>0</v>
      </c>
    </row>
    <row r="4745" customFormat="false" ht="15" hidden="false" customHeight="false" outlineLevel="0" collapsed="false">
      <c r="B4745" s="130" t="n">
        <v>2027</v>
      </c>
      <c r="C4745" s="131" t="s">
        <v>250</v>
      </c>
      <c r="D4745" s="132" t="n">
        <v>46609</v>
      </c>
      <c r="E4745" s="131" t="s">
        <v>53</v>
      </c>
      <c r="F4745" s="133" t="s">
        <v>11</v>
      </c>
      <c r="G4745" s="134" t="n">
        <f aca="false">LEN('Saisie programme'!$E$193)+SUMIFS('Vols additionnels'!$E$7:$E$66,'Vols additionnels'!$C$7:$C$66,$E4745,'Vols additionnels'!$D$7:$D$66,$F4745,'Vols additionnels'!$B$7:$B$66,$D4745)</f>
        <v>0</v>
      </c>
      <c r="H4745" s="135" t="n">
        <f aca="false">$G4745*'Analyse capacite'!$F$7</f>
        <v>0</v>
      </c>
      <c r="I4745" s="135" t="n">
        <f aca="false">$G4745*'Analyse capacite'!$C$7</f>
        <v>0</v>
      </c>
      <c r="J4745" s="135" t="n">
        <f aca="false">$G4745*'Analyse capacite'!$D$7</f>
        <v>0</v>
      </c>
      <c r="K4745" s="135" t="n">
        <f aca="false">$G4745*'Analyse capacite'!$E$7</f>
        <v>0</v>
      </c>
    </row>
    <row r="4746" customFormat="false" ht="15" hidden="false" customHeight="false" outlineLevel="0" collapsed="false">
      <c r="B4746" s="130" t="n">
        <v>2027</v>
      </c>
      <c r="C4746" s="131" t="s">
        <v>250</v>
      </c>
      <c r="D4746" s="132" t="n">
        <v>46609</v>
      </c>
      <c r="E4746" s="131" t="s">
        <v>53</v>
      </c>
      <c r="F4746" s="133" t="s">
        <v>19</v>
      </c>
      <c r="G4746" s="134" t="n">
        <f aca="false">LEN('Saisie programme'!$E$194)+SUMIFS('Vols additionnels'!$E$7:$E$66,'Vols additionnels'!$C$7:$C$66,$E4746,'Vols additionnels'!$D$7:$D$66,$F4746,'Vols additionnels'!$B$7:$B$66,$D4746)</f>
        <v>0</v>
      </c>
      <c r="H4746" s="135" t="n">
        <f aca="false">$G4746*'Analyse capacite'!$F$8</f>
        <v>0</v>
      </c>
      <c r="I4746" s="135" t="n">
        <f aca="false">$G4746*'Analyse capacite'!$C$8</f>
        <v>0</v>
      </c>
      <c r="J4746" s="135" t="n">
        <f aca="false">$G4746*'Analyse capacite'!$D$8</f>
        <v>0</v>
      </c>
      <c r="K4746" s="135" t="n">
        <f aca="false">$G4746*'Analyse capacite'!$E$8</f>
        <v>0</v>
      </c>
    </row>
    <row r="4747" customFormat="false" ht="15" hidden="false" customHeight="false" outlineLevel="0" collapsed="false">
      <c r="B4747" s="130" t="n">
        <v>2027</v>
      </c>
      <c r="C4747" s="131" t="s">
        <v>250</v>
      </c>
      <c r="D4747" s="132" t="n">
        <v>46609</v>
      </c>
      <c r="E4747" s="131" t="s">
        <v>53</v>
      </c>
      <c r="F4747" s="133" t="s">
        <v>24</v>
      </c>
      <c r="G4747" s="134" t="n">
        <f aca="false">LEN('Saisie programme'!$E$195)+SUMIFS('Vols additionnels'!$E$7:$E$66,'Vols additionnels'!$C$7:$C$66,$E4747,'Vols additionnels'!$D$7:$D$66,$F4747,'Vols additionnels'!$B$7:$B$66,$D4747)</f>
        <v>0</v>
      </c>
      <c r="H4747" s="135" t="n">
        <f aca="false">$G4747*'Analyse capacite'!$F$9</f>
        <v>0</v>
      </c>
      <c r="I4747" s="135" t="n">
        <f aca="false">$G4747*'Analyse capacite'!$C$9</f>
        <v>0</v>
      </c>
      <c r="J4747" s="135" t="n">
        <f aca="false">$G4747*'Analyse capacite'!$D$9</f>
        <v>0</v>
      </c>
      <c r="K4747" s="135" t="n">
        <f aca="false">$G4747*'Analyse capacite'!$E$9</f>
        <v>0</v>
      </c>
    </row>
    <row r="4748" customFormat="false" ht="15" hidden="false" customHeight="false" outlineLevel="0" collapsed="false">
      <c r="B4748" s="130" t="n">
        <v>2027</v>
      </c>
      <c r="C4748" s="131" t="s">
        <v>250</v>
      </c>
      <c r="D4748" s="132" t="n">
        <v>46609</v>
      </c>
      <c r="E4748" s="131" t="s">
        <v>56</v>
      </c>
      <c r="F4748" s="133" t="s">
        <v>11</v>
      </c>
      <c r="G4748" s="134" t="n">
        <f aca="false">LEN('Saisie programme'!$E$196)+SUMIFS('Vols additionnels'!$E$7:$E$66,'Vols additionnels'!$C$7:$C$66,$E4748,'Vols additionnels'!$D$7:$D$66,$F4748,'Vols additionnels'!$B$7:$B$66,$D4748)</f>
        <v>0</v>
      </c>
      <c r="H4748" s="135" t="n">
        <f aca="false">$G4748*'Analyse capacite'!$F$7</f>
        <v>0</v>
      </c>
      <c r="I4748" s="135" t="n">
        <f aca="false">$G4748*'Analyse capacite'!$C$7</f>
        <v>0</v>
      </c>
      <c r="J4748" s="135" t="n">
        <f aca="false">$G4748*'Analyse capacite'!$D$7</f>
        <v>0</v>
      </c>
      <c r="K4748" s="135" t="n">
        <f aca="false">$G4748*'Analyse capacite'!$E$7</f>
        <v>0</v>
      </c>
    </row>
    <row r="4749" customFormat="false" ht="15" hidden="false" customHeight="false" outlineLevel="0" collapsed="false">
      <c r="B4749" s="130" t="n">
        <v>2027</v>
      </c>
      <c r="C4749" s="131" t="s">
        <v>250</v>
      </c>
      <c r="D4749" s="132" t="n">
        <v>46609</v>
      </c>
      <c r="E4749" s="131" t="s">
        <v>56</v>
      </c>
      <c r="F4749" s="133" t="s">
        <v>19</v>
      </c>
      <c r="G4749" s="134" t="n">
        <f aca="false">LEN('Saisie programme'!$E$197)+SUMIFS('Vols additionnels'!$E$7:$E$66,'Vols additionnels'!$C$7:$C$66,$E4749,'Vols additionnels'!$D$7:$D$66,$F4749,'Vols additionnels'!$B$7:$B$66,$D4749)</f>
        <v>0</v>
      </c>
      <c r="H4749" s="135" t="n">
        <f aca="false">$G4749*'Analyse capacite'!$F$8</f>
        <v>0</v>
      </c>
      <c r="I4749" s="135" t="n">
        <f aca="false">$G4749*'Analyse capacite'!$C$8</f>
        <v>0</v>
      </c>
      <c r="J4749" s="135" t="n">
        <f aca="false">$G4749*'Analyse capacite'!$D$8</f>
        <v>0</v>
      </c>
      <c r="K4749" s="135" t="n">
        <f aca="false">$G4749*'Analyse capacite'!$E$8</f>
        <v>0</v>
      </c>
    </row>
    <row r="4750" customFormat="false" ht="15" hidden="false" customHeight="false" outlineLevel="0" collapsed="false">
      <c r="B4750" s="130" t="n">
        <v>2027</v>
      </c>
      <c r="C4750" s="131" t="s">
        <v>250</v>
      </c>
      <c r="D4750" s="132" t="n">
        <v>46609</v>
      </c>
      <c r="E4750" s="131" t="s">
        <v>56</v>
      </c>
      <c r="F4750" s="133" t="s">
        <v>24</v>
      </c>
      <c r="G4750" s="134" t="n">
        <f aca="false">LEN('Saisie programme'!$E$198)+SUMIFS('Vols additionnels'!$E$7:$E$66,'Vols additionnels'!$C$7:$C$66,$E4750,'Vols additionnels'!$D$7:$D$66,$F4750,'Vols additionnels'!$B$7:$B$66,$D4750)</f>
        <v>1</v>
      </c>
      <c r="H4750" s="135" t="n">
        <f aca="false">$G4750*'Analyse capacite'!$F$9</f>
        <v>174</v>
      </c>
      <c r="I4750" s="135" t="n">
        <f aca="false">$G4750*'Analyse capacite'!$C$9</f>
        <v>0</v>
      </c>
      <c r="J4750" s="135" t="n">
        <f aca="false">$G4750*'Analyse capacite'!$D$9</f>
        <v>12</v>
      </c>
      <c r="K4750" s="135" t="n">
        <f aca="false">$G4750*'Analyse capacite'!$E$9</f>
        <v>162</v>
      </c>
    </row>
    <row r="4751" customFormat="false" ht="15" hidden="false" customHeight="false" outlineLevel="0" collapsed="false">
      <c r="B4751" s="130" t="n">
        <v>2027</v>
      </c>
      <c r="C4751" s="131" t="s">
        <v>250</v>
      </c>
      <c r="D4751" s="132" t="n">
        <v>46609</v>
      </c>
      <c r="E4751" s="131" t="s">
        <v>59</v>
      </c>
      <c r="F4751" s="133" t="s">
        <v>11</v>
      </c>
      <c r="G4751" s="134" t="n">
        <f aca="false">LEN('Saisie programme'!$E$199)+SUMIFS('Vols additionnels'!$E$7:$E$66,'Vols additionnels'!$C$7:$C$66,$E4751,'Vols additionnels'!$D$7:$D$66,$F4751,'Vols additionnels'!$B$7:$B$66,$D4751)</f>
        <v>0</v>
      </c>
      <c r="H4751" s="135" t="n">
        <f aca="false">$G4751*'Analyse capacite'!$F$7</f>
        <v>0</v>
      </c>
      <c r="I4751" s="135" t="n">
        <f aca="false">$G4751*'Analyse capacite'!$C$7</f>
        <v>0</v>
      </c>
      <c r="J4751" s="135" t="n">
        <f aca="false">$G4751*'Analyse capacite'!$D$7</f>
        <v>0</v>
      </c>
      <c r="K4751" s="135" t="n">
        <f aca="false">$G4751*'Analyse capacite'!$E$7</f>
        <v>0</v>
      </c>
    </row>
    <row r="4752" customFormat="false" ht="15" hidden="false" customHeight="false" outlineLevel="0" collapsed="false">
      <c r="B4752" s="130" t="n">
        <v>2027</v>
      </c>
      <c r="C4752" s="131" t="s">
        <v>250</v>
      </c>
      <c r="D4752" s="132" t="n">
        <v>46609</v>
      </c>
      <c r="E4752" s="131" t="s">
        <v>59</v>
      </c>
      <c r="F4752" s="133" t="s">
        <v>19</v>
      </c>
      <c r="G4752" s="134" t="n">
        <f aca="false">LEN('Saisie programme'!$E$200)+SUMIFS('Vols additionnels'!$E$7:$E$66,'Vols additionnels'!$C$7:$C$66,$E4752,'Vols additionnels'!$D$7:$D$66,$F4752,'Vols additionnels'!$B$7:$B$66,$D4752)</f>
        <v>0</v>
      </c>
      <c r="H4752" s="135" t="n">
        <f aca="false">$G4752*'Analyse capacite'!$F$8</f>
        <v>0</v>
      </c>
      <c r="I4752" s="135" t="n">
        <f aca="false">$G4752*'Analyse capacite'!$C$8</f>
        <v>0</v>
      </c>
      <c r="J4752" s="135" t="n">
        <f aca="false">$G4752*'Analyse capacite'!$D$8</f>
        <v>0</v>
      </c>
      <c r="K4752" s="135" t="n">
        <f aca="false">$G4752*'Analyse capacite'!$E$8</f>
        <v>0</v>
      </c>
    </row>
    <row r="4753" customFormat="false" ht="15" hidden="false" customHeight="false" outlineLevel="0" collapsed="false">
      <c r="B4753" s="130" t="n">
        <v>2027</v>
      </c>
      <c r="C4753" s="131" t="s">
        <v>250</v>
      </c>
      <c r="D4753" s="132" t="n">
        <v>46609</v>
      </c>
      <c r="E4753" s="131" t="s">
        <v>59</v>
      </c>
      <c r="F4753" s="133" t="s">
        <v>24</v>
      </c>
      <c r="G4753" s="134" t="n">
        <f aca="false">LEN('Saisie programme'!$E$201)+SUMIFS('Vols additionnels'!$E$7:$E$66,'Vols additionnels'!$C$7:$C$66,$E4753,'Vols additionnels'!$D$7:$D$66,$F4753,'Vols additionnels'!$B$7:$B$66,$D4753)</f>
        <v>1</v>
      </c>
      <c r="H4753" s="135" t="n">
        <f aca="false">$G4753*'Analyse capacite'!$F$9</f>
        <v>174</v>
      </c>
      <c r="I4753" s="135" t="n">
        <f aca="false">$G4753*'Analyse capacite'!$C$9</f>
        <v>0</v>
      </c>
      <c r="J4753" s="135" t="n">
        <f aca="false">$G4753*'Analyse capacite'!$D$9</f>
        <v>12</v>
      </c>
      <c r="K4753" s="135" t="n">
        <f aca="false">$G4753*'Analyse capacite'!$E$9</f>
        <v>162</v>
      </c>
    </row>
    <row r="4754" customFormat="false" ht="15" hidden="false" customHeight="false" outlineLevel="0" collapsed="false">
      <c r="B4754" s="130" t="n">
        <v>2027</v>
      </c>
      <c r="C4754" s="131" t="s">
        <v>250</v>
      </c>
      <c r="D4754" s="132" t="n">
        <v>46609</v>
      </c>
      <c r="E4754" s="131" t="s">
        <v>62</v>
      </c>
      <c r="F4754" s="133" t="s">
        <v>11</v>
      </c>
      <c r="G4754" s="134" t="n">
        <f aca="false">LEN('Saisie programme'!$E$202)+SUMIFS('Vols additionnels'!$E$7:$E$66,'Vols additionnels'!$C$7:$C$66,$E4754,'Vols additionnels'!$D$7:$D$66,$F4754,'Vols additionnels'!$B$7:$B$66,$D4754)</f>
        <v>0</v>
      </c>
      <c r="H4754" s="135" t="n">
        <f aca="false">$G4754*'Analyse capacite'!$F$7</f>
        <v>0</v>
      </c>
      <c r="I4754" s="135" t="n">
        <f aca="false">$G4754*'Analyse capacite'!$C$7</f>
        <v>0</v>
      </c>
      <c r="J4754" s="135" t="n">
        <f aca="false">$G4754*'Analyse capacite'!$D$7</f>
        <v>0</v>
      </c>
      <c r="K4754" s="135" t="n">
        <f aca="false">$G4754*'Analyse capacite'!$E$7</f>
        <v>0</v>
      </c>
    </row>
    <row r="4755" customFormat="false" ht="15" hidden="false" customHeight="false" outlineLevel="0" collapsed="false">
      <c r="B4755" s="130" t="n">
        <v>2027</v>
      </c>
      <c r="C4755" s="131" t="s">
        <v>250</v>
      </c>
      <c r="D4755" s="132" t="n">
        <v>46609</v>
      </c>
      <c r="E4755" s="131" t="s">
        <v>62</v>
      </c>
      <c r="F4755" s="133" t="s">
        <v>19</v>
      </c>
      <c r="G4755" s="134" t="n">
        <f aca="false">LEN('Saisie programme'!$E$203)+SUMIFS('Vols additionnels'!$E$7:$E$66,'Vols additionnels'!$C$7:$C$66,$E4755,'Vols additionnels'!$D$7:$D$66,$F4755,'Vols additionnels'!$B$7:$B$66,$D4755)</f>
        <v>0</v>
      </c>
      <c r="H4755" s="135" t="n">
        <f aca="false">$G4755*'Analyse capacite'!$F$8</f>
        <v>0</v>
      </c>
      <c r="I4755" s="135" t="n">
        <f aca="false">$G4755*'Analyse capacite'!$C$8</f>
        <v>0</v>
      </c>
      <c r="J4755" s="135" t="n">
        <f aca="false">$G4755*'Analyse capacite'!$D$8</f>
        <v>0</v>
      </c>
      <c r="K4755" s="135" t="n">
        <f aca="false">$G4755*'Analyse capacite'!$E$8</f>
        <v>0</v>
      </c>
    </row>
    <row r="4756" customFormat="false" ht="15" hidden="false" customHeight="false" outlineLevel="0" collapsed="false">
      <c r="B4756" s="130" t="n">
        <v>2027</v>
      </c>
      <c r="C4756" s="131" t="s">
        <v>250</v>
      </c>
      <c r="D4756" s="132" t="n">
        <v>46609</v>
      </c>
      <c r="E4756" s="131" t="s">
        <v>62</v>
      </c>
      <c r="F4756" s="133" t="s">
        <v>24</v>
      </c>
      <c r="G4756" s="134" t="n">
        <f aca="false">LEN('Saisie programme'!$E$204)+SUMIFS('Vols additionnels'!$E$7:$E$66,'Vols additionnels'!$C$7:$C$66,$E4756,'Vols additionnels'!$D$7:$D$66,$F4756,'Vols additionnels'!$B$7:$B$66,$D4756)</f>
        <v>0</v>
      </c>
      <c r="H4756" s="135" t="n">
        <f aca="false">$G4756*'Analyse capacite'!$F$9</f>
        <v>0</v>
      </c>
      <c r="I4756" s="135" t="n">
        <f aca="false">$G4756*'Analyse capacite'!$C$9</f>
        <v>0</v>
      </c>
      <c r="J4756" s="135" t="n">
        <f aca="false">$G4756*'Analyse capacite'!$D$9</f>
        <v>0</v>
      </c>
      <c r="K4756" s="135" t="n">
        <f aca="false">$G4756*'Analyse capacite'!$E$9</f>
        <v>0</v>
      </c>
    </row>
    <row r="4757" customFormat="false" ht="15" hidden="false" customHeight="false" outlineLevel="0" collapsed="false">
      <c r="B4757" s="130" t="n">
        <v>2027</v>
      </c>
      <c r="C4757" s="131" t="s">
        <v>250</v>
      </c>
      <c r="D4757" s="132" t="n">
        <v>46610</v>
      </c>
      <c r="E4757" s="131" t="s">
        <v>12</v>
      </c>
      <c r="F4757" s="133" t="s">
        <v>11</v>
      </c>
      <c r="G4757" s="134" t="n">
        <f aca="false">LEN('Saisie programme'!$F$169)+SUMIFS('Vols additionnels'!$E$7:$E$66,'Vols additionnels'!$C$7:$C$66,$E4757,'Vols additionnels'!$D$7:$D$66,$F4757,'Vols additionnels'!$B$7:$B$66,$D4757)</f>
        <v>1</v>
      </c>
      <c r="H4757" s="135" t="n">
        <f aca="false">$G4757*'Analyse capacite'!$F$7</f>
        <v>438</v>
      </c>
      <c r="I4757" s="135" t="n">
        <f aca="false">$G4757*'Analyse capacite'!$C$7</f>
        <v>14</v>
      </c>
      <c r="J4757" s="135" t="n">
        <f aca="false">$G4757*'Analyse capacite'!$D$7</f>
        <v>40</v>
      </c>
      <c r="K4757" s="135" t="n">
        <f aca="false">$G4757*'Analyse capacite'!$E$7</f>
        <v>384</v>
      </c>
    </row>
    <row r="4758" customFormat="false" ht="15" hidden="false" customHeight="false" outlineLevel="0" collapsed="false">
      <c r="B4758" s="130" t="n">
        <v>2027</v>
      </c>
      <c r="C4758" s="131" t="s">
        <v>250</v>
      </c>
      <c r="D4758" s="132" t="n">
        <v>46610</v>
      </c>
      <c r="E4758" s="131" t="s">
        <v>12</v>
      </c>
      <c r="F4758" s="133" t="s">
        <v>19</v>
      </c>
      <c r="G4758" s="134" t="n">
        <f aca="false">LEN('Saisie programme'!$F$170)+SUMIFS('Vols additionnels'!$E$7:$E$66,'Vols additionnels'!$C$7:$C$66,$E4758,'Vols additionnels'!$D$7:$D$66,$F4758,'Vols additionnels'!$B$7:$B$66,$D4758)</f>
        <v>1</v>
      </c>
      <c r="H4758" s="135" t="n">
        <f aca="false">$G4758*'Analyse capacite'!$F$8</f>
        <v>262</v>
      </c>
      <c r="I4758" s="135" t="n">
        <f aca="false">$G4758*'Analyse capacite'!$C$8</f>
        <v>18</v>
      </c>
      <c r="J4758" s="135" t="n">
        <f aca="false">$G4758*'Analyse capacite'!$D$8</f>
        <v>0</v>
      </c>
      <c r="K4758" s="135" t="n">
        <f aca="false">$G4758*'Analyse capacite'!$E$8</f>
        <v>244</v>
      </c>
    </row>
    <row r="4759" customFormat="false" ht="15" hidden="false" customHeight="false" outlineLevel="0" collapsed="false">
      <c r="B4759" s="130" t="n">
        <v>2027</v>
      </c>
      <c r="C4759" s="131" t="s">
        <v>250</v>
      </c>
      <c r="D4759" s="132" t="n">
        <v>46610</v>
      </c>
      <c r="E4759" s="131" t="s">
        <v>12</v>
      </c>
      <c r="F4759" s="133" t="s">
        <v>24</v>
      </c>
      <c r="G4759" s="134" t="n">
        <f aca="false">LEN('Saisie programme'!$F$171)+SUMIFS('Vols additionnels'!$E$7:$E$66,'Vols additionnels'!$C$7:$C$66,$E4759,'Vols additionnels'!$D$7:$D$66,$F4759,'Vols additionnels'!$B$7:$B$66,$D4759)</f>
        <v>0</v>
      </c>
      <c r="H4759" s="135" t="n">
        <f aca="false">$G4759*'Analyse capacite'!$F$9</f>
        <v>0</v>
      </c>
      <c r="I4759" s="135" t="n">
        <f aca="false">$G4759*'Analyse capacite'!$C$9</f>
        <v>0</v>
      </c>
      <c r="J4759" s="135" t="n">
        <f aca="false">$G4759*'Analyse capacite'!$D$9</f>
        <v>0</v>
      </c>
      <c r="K4759" s="135" t="n">
        <f aca="false">$G4759*'Analyse capacite'!$E$9</f>
        <v>0</v>
      </c>
    </row>
    <row r="4760" customFormat="false" ht="15" hidden="false" customHeight="false" outlineLevel="0" collapsed="false">
      <c r="B4760" s="130" t="n">
        <v>2027</v>
      </c>
      <c r="C4760" s="131" t="s">
        <v>250</v>
      </c>
      <c r="D4760" s="132" t="n">
        <v>46610</v>
      </c>
      <c r="E4760" s="131" t="s">
        <v>20</v>
      </c>
      <c r="F4760" s="133" t="s">
        <v>11</v>
      </c>
      <c r="G4760" s="134" t="n">
        <f aca="false">LEN('Saisie programme'!$F$172)+SUMIFS('Vols additionnels'!$E$7:$E$66,'Vols additionnels'!$C$7:$C$66,$E4760,'Vols additionnels'!$D$7:$D$66,$F4760,'Vols additionnels'!$B$7:$B$66,$D4760)</f>
        <v>0</v>
      </c>
      <c r="H4760" s="135" t="n">
        <f aca="false">$G4760*'Analyse capacite'!$F$7</f>
        <v>0</v>
      </c>
      <c r="I4760" s="135" t="n">
        <f aca="false">$G4760*'Analyse capacite'!$C$7</f>
        <v>0</v>
      </c>
      <c r="J4760" s="135" t="n">
        <f aca="false">$G4760*'Analyse capacite'!$D$7</f>
        <v>0</v>
      </c>
      <c r="K4760" s="135" t="n">
        <f aca="false">$G4760*'Analyse capacite'!$E$7</f>
        <v>0</v>
      </c>
    </row>
    <row r="4761" customFormat="false" ht="15" hidden="false" customHeight="false" outlineLevel="0" collapsed="false">
      <c r="B4761" s="130" t="n">
        <v>2027</v>
      </c>
      <c r="C4761" s="131" t="s">
        <v>250</v>
      </c>
      <c r="D4761" s="132" t="n">
        <v>46610</v>
      </c>
      <c r="E4761" s="131" t="s">
        <v>20</v>
      </c>
      <c r="F4761" s="133" t="s">
        <v>19</v>
      </c>
      <c r="G4761" s="134" t="n">
        <f aca="false">LEN('Saisie programme'!$F$173)+SUMIFS('Vols additionnels'!$E$7:$E$66,'Vols additionnels'!$C$7:$C$66,$E4761,'Vols additionnels'!$D$7:$D$66,$F4761,'Vols additionnels'!$B$7:$B$66,$D4761)</f>
        <v>0</v>
      </c>
      <c r="H4761" s="135" t="n">
        <f aca="false">$G4761*'Analyse capacite'!$F$8</f>
        <v>0</v>
      </c>
      <c r="I4761" s="135" t="n">
        <f aca="false">$G4761*'Analyse capacite'!$C$8</f>
        <v>0</v>
      </c>
      <c r="J4761" s="135" t="n">
        <f aca="false">$G4761*'Analyse capacite'!$D$8</f>
        <v>0</v>
      </c>
      <c r="K4761" s="135" t="n">
        <f aca="false">$G4761*'Analyse capacite'!$E$8</f>
        <v>0</v>
      </c>
    </row>
    <row r="4762" customFormat="false" ht="15" hidden="false" customHeight="false" outlineLevel="0" collapsed="false">
      <c r="B4762" s="130" t="n">
        <v>2027</v>
      </c>
      <c r="C4762" s="131" t="s">
        <v>250</v>
      </c>
      <c r="D4762" s="132" t="n">
        <v>46610</v>
      </c>
      <c r="E4762" s="131" t="s">
        <v>20</v>
      </c>
      <c r="F4762" s="133" t="s">
        <v>24</v>
      </c>
      <c r="G4762" s="134" t="n">
        <f aca="false">LEN('Saisie programme'!$F$174)+SUMIFS('Vols additionnels'!$E$7:$E$66,'Vols additionnels'!$C$7:$C$66,$E4762,'Vols additionnels'!$D$7:$D$66,$F4762,'Vols additionnels'!$B$7:$B$66,$D4762)</f>
        <v>0</v>
      </c>
      <c r="H4762" s="135" t="n">
        <f aca="false">$G4762*'Analyse capacite'!$F$9</f>
        <v>0</v>
      </c>
      <c r="I4762" s="135" t="n">
        <f aca="false">$G4762*'Analyse capacite'!$C$9</f>
        <v>0</v>
      </c>
      <c r="J4762" s="135" t="n">
        <f aca="false">$G4762*'Analyse capacite'!$D$9</f>
        <v>0</v>
      </c>
      <c r="K4762" s="135" t="n">
        <f aca="false">$G4762*'Analyse capacite'!$E$9</f>
        <v>0</v>
      </c>
    </row>
    <row r="4763" customFormat="false" ht="15" hidden="false" customHeight="false" outlineLevel="0" collapsed="false">
      <c r="B4763" s="130" t="n">
        <v>2027</v>
      </c>
      <c r="C4763" s="131" t="s">
        <v>250</v>
      </c>
      <c r="D4763" s="132" t="n">
        <v>46610</v>
      </c>
      <c r="E4763" s="131" t="s">
        <v>25</v>
      </c>
      <c r="F4763" s="133" t="s">
        <v>11</v>
      </c>
      <c r="G4763" s="134" t="n">
        <f aca="false">LEN('Saisie programme'!$F$175)+SUMIFS('Vols additionnels'!$E$7:$E$66,'Vols additionnels'!$C$7:$C$66,$E4763,'Vols additionnels'!$D$7:$D$66,$F4763,'Vols additionnels'!$B$7:$B$66,$D4763)</f>
        <v>0</v>
      </c>
      <c r="H4763" s="135" t="n">
        <f aca="false">$G4763*'Analyse capacite'!$F$7</f>
        <v>0</v>
      </c>
      <c r="I4763" s="135" t="n">
        <f aca="false">$G4763*'Analyse capacite'!$C$7</f>
        <v>0</v>
      </c>
      <c r="J4763" s="135" t="n">
        <f aca="false">$G4763*'Analyse capacite'!$D$7</f>
        <v>0</v>
      </c>
      <c r="K4763" s="135" t="n">
        <f aca="false">$G4763*'Analyse capacite'!$E$7</f>
        <v>0</v>
      </c>
    </row>
    <row r="4764" customFormat="false" ht="15" hidden="false" customHeight="false" outlineLevel="0" collapsed="false">
      <c r="B4764" s="130" t="n">
        <v>2027</v>
      </c>
      <c r="C4764" s="131" t="s">
        <v>250</v>
      </c>
      <c r="D4764" s="132" t="n">
        <v>46610</v>
      </c>
      <c r="E4764" s="131" t="s">
        <v>25</v>
      </c>
      <c r="F4764" s="133" t="s">
        <v>19</v>
      </c>
      <c r="G4764" s="134" t="n">
        <f aca="false">LEN('Saisie programme'!$F$176)+SUMIFS('Vols additionnels'!$E$7:$E$66,'Vols additionnels'!$C$7:$C$66,$E4764,'Vols additionnels'!$D$7:$D$66,$F4764,'Vols additionnels'!$B$7:$B$66,$D4764)</f>
        <v>1</v>
      </c>
      <c r="H4764" s="135" t="n">
        <f aca="false">$G4764*'Analyse capacite'!$F$8</f>
        <v>262</v>
      </c>
      <c r="I4764" s="135" t="n">
        <f aca="false">$G4764*'Analyse capacite'!$C$8</f>
        <v>18</v>
      </c>
      <c r="J4764" s="135" t="n">
        <f aca="false">$G4764*'Analyse capacite'!$D$8</f>
        <v>0</v>
      </c>
      <c r="K4764" s="135" t="n">
        <f aca="false">$G4764*'Analyse capacite'!$E$8</f>
        <v>244</v>
      </c>
    </row>
    <row r="4765" customFormat="false" ht="15" hidden="false" customHeight="false" outlineLevel="0" collapsed="false">
      <c r="B4765" s="130" t="n">
        <v>2027</v>
      </c>
      <c r="C4765" s="131" t="s">
        <v>250</v>
      </c>
      <c r="D4765" s="132" t="n">
        <v>46610</v>
      </c>
      <c r="E4765" s="131" t="s">
        <v>25</v>
      </c>
      <c r="F4765" s="133" t="s">
        <v>24</v>
      </c>
      <c r="G4765" s="134" t="n">
        <f aca="false">LEN('Saisie programme'!$F$177)+SUMIFS('Vols additionnels'!$E$7:$E$66,'Vols additionnels'!$C$7:$C$66,$E4765,'Vols additionnels'!$D$7:$D$66,$F4765,'Vols additionnels'!$B$7:$B$66,$D4765)</f>
        <v>0</v>
      </c>
      <c r="H4765" s="135" t="n">
        <f aca="false">$G4765*'Analyse capacite'!$F$9</f>
        <v>0</v>
      </c>
      <c r="I4765" s="135" t="n">
        <f aca="false">$G4765*'Analyse capacite'!$C$9</f>
        <v>0</v>
      </c>
      <c r="J4765" s="135" t="n">
        <f aca="false">$G4765*'Analyse capacite'!$D$9</f>
        <v>0</v>
      </c>
      <c r="K4765" s="135" t="n">
        <f aca="false">$G4765*'Analyse capacite'!$E$9</f>
        <v>0</v>
      </c>
    </row>
    <row r="4766" customFormat="false" ht="15" hidden="false" customHeight="false" outlineLevel="0" collapsed="false">
      <c r="B4766" s="130" t="n">
        <v>2027</v>
      </c>
      <c r="C4766" s="131" t="s">
        <v>250</v>
      </c>
      <c r="D4766" s="132" t="n">
        <v>46610</v>
      </c>
      <c r="E4766" s="131" t="s">
        <v>36</v>
      </c>
      <c r="F4766" s="133" t="s">
        <v>11</v>
      </c>
      <c r="G4766" s="134" t="n">
        <f aca="false">LEN('Saisie programme'!$F$178)+SUMIFS('Vols additionnels'!$E$7:$E$66,'Vols additionnels'!$C$7:$C$66,$E4766,'Vols additionnels'!$D$7:$D$66,$F4766,'Vols additionnels'!$B$7:$B$66,$D4766)</f>
        <v>0</v>
      </c>
      <c r="H4766" s="135" t="n">
        <f aca="false">$G4766*'Analyse capacite'!$F$7</f>
        <v>0</v>
      </c>
      <c r="I4766" s="135" t="n">
        <f aca="false">$G4766*'Analyse capacite'!$C$7</f>
        <v>0</v>
      </c>
      <c r="J4766" s="135" t="n">
        <f aca="false">$G4766*'Analyse capacite'!$D$7</f>
        <v>0</v>
      </c>
      <c r="K4766" s="135" t="n">
        <f aca="false">$G4766*'Analyse capacite'!$E$7</f>
        <v>0</v>
      </c>
    </row>
    <row r="4767" customFormat="false" ht="15" hidden="false" customHeight="false" outlineLevel="0" collapsed="false">
      <c r="B4767" s="130" t="n">
        <v>2027</v>
      </c>
      <c r="C4767" s="131" t="s">
        <v>250</v>
      </c>
      <c r="D4767" s="132" t="n">
        <v>46610</v>
      </c>
      <c r="E4767" s="131" t="s">
        <v>36</v>
      </c>
      <c r="F4767" s="133" t="s">
        <v>19</v>
      </c>
      <c r="G4767" s="134" t="n">
        <f aca="false">LEN('Saisie programme'!$F$179)+SUMIFS('Vols additionnels'!$E$7:$E$66,'Vols additionnels'!$C$7:$C$66,$E4767,'Vols additionnels'!$D$7:$D$66,$F4767,'Vols additionnels'!$B$7:$B$66,$D4767)</f>
        <v>1</v>
      </c>
      <c r="H4767" s="135" t="n">
        <f aca="false">$G4767*'Analyse capacite'!$F$8</f>
        <v>262</v>
      </c>
      <c r="I4767" s="135" t="n">
        <f aca="false">$G4767*'Analyse capacite'!$C$8</f>
        <v>18</v>
      </c>
      <c r="J4767" s="135" t="n">
        <f aca="false">$G4767*'Analyse capacite'!$D$8</f>
        <v>0</v>
      </c>
      <c r="K4767" s="135" t="n">
        <f aca="false">$G4767*'Analyse capacite'!$E$8</f>
        <v>244</v>
      </c>
    </row>
    <row r="4768" customFormat="false" ht="15" hidden="false" customHeight="false" outlineLevel="0" collapsed="false">
      <c r="B4768" s="130" t="n">
        <v>2027</v>
      </c>
      <c r="C4768" s="131" t="s">
        <v>250</v>
      </c>
      <c r="D4768" s="132" t="n">
        <v>46610</v>
      </c>
      <c r="E4768" s="131" t="s">
        <v>36</v>
      </c>
      <c r="F4768" s="133" t="s">
        <v>24</v>
      </c>
      <c r="G4768" s="134" t="n">
        <f aca="false">LEN('Saisie programme'!$F$180)+SUMIFS('Vols additionnels'!$E$7:$E$66,'Vols additionnels'!$C$7:$C$66,$E4768,'Vols additionnels'!$D$7:$D$66,$F4768,'Vols additionnels'!$B$7:$B$66,$D4768)</f>
        <v>1</v>
      </c>
      <c r="H4768" s="135" t="n">
        <f aca="false">$G4768*'Analyse capacite'!$F$9</f>
        <v>174</v>
      </c>
      <c r="I4768" s="135" t="n">
        <f aca="false">$G4768*'Analyse capacite'!$C$9</f>
        <v>0</v>
      </c>
      <c r="J4768" s="135" t="n">
        <f aca="false">$G4768*'Analyse capacite'!$D$9</f>
        <v>12</v>
      </c>
      <c r="K4768" s="135" t="n">
        <f aca="false">$G4768*'Analyse capacite'!$E$9</f>
        <v>162</v>
      </c>
    </row>
    <row r="4769" customFormat="false" ht="15" hidden="false" customHeight="false" outlineLevel="0" collapsed="false">
      <c r="B4769" s="130" t="n">
        <v>2027</v>
      </c>
      <c r="C4769" s="131" t="s">
        <v>250</v>
      </c>
      <c r="D4769" s="132" t="n">
        <v>46610</v>
      </c>
      <c r="E4769" s="131" t="s">
        <v>40</v>
      </c>
      <c r="F4769" s="133" t="s">
        <v>11</v>
      </c>
      <c r="G4769" s="134" t="n">
        <f aca="false">LEN('Saisie programme'!$F$181)+SUMIFS('Vols additionnels'!$E$7:$E$66,'Vols additionnels'!$C$7:$C$66,$E4769,'Vols additionnels'!$D$7:$D$66,$F4769,'Vols additionnels'!$B$7:$B$66,$D4769)</f>
        <v>0</v>
      </c>
      <c r="H4769" s="135" t="n">
        <f aca="false">$G4769*'Analyse capacite'!$F$7</f>
        <v>0</v>
      </c>
      <c r="I4769" s="135" t="n">
        <f aca="false">$G4769*'Analyse capacite'!$C$7</f>
        <v>0</v>
      </c>
      <c r="J4769" s="135" t="n">
        <f aca="false">$G4769*'Analyse capacite'!$D$7</f>
        <v>0</v>
      </c>
      <c r="K4769" s="135" t="n">
        <f aca="false">$G4769*'Analyse capacite'!$E$7</f>
        <v>0</v>
      </c>
    </row>
    <row r="4770" customFormat="false" ht="15" hidden="false" customHeight="false" outlineLevel="0" collapsed="false">
      <c r="B4770" s="130" t="n">
        <v>2027</v>
      </c>
      <c r="C4770" s="131" t="s">
        <v>250</v>
      </c>
      <c r="D4770" s="132" t="n">
        <v>46610</v>
      </c>
      <c r="E4770" s="131" t="s">
        <v>40</v>
      </c>
      <c r="F4770" s="133" t="s">
        <v>19</v>
      </c>
      <c r="G4770" s="134" t="n">
        <f aca="false">LEN('Saisie programme'!$F$182)+SUMIFS('Vols additionnels'!$E$7:$E$66,'Vols additionnels'!$C$7:$C$66,$E4770,'Vols additionnels'!$D$7:$D$66,$F4770,'Vols additionnels'!$B$7:$B$66,$D4770)</f>
        <v>0</v>
      </c>
      <c r="H4770" s="135" t="n">
        <f aca="false">$G4770*'Analyse capacite'!$F$8</f>
        <v>0</v>
      </c>
      <c r="I4770" s="135" t="n">
        <f aca="false">$G4770*'Analyse capacite'!$C$8</f>
        <v>0</v>
      </c>
      <c r="J4770" s="135" t="n">
        <f aca="false">$G4770*'Analyse capacite'!$D$8</f>
        <v>0</v>
      </c>
      <c r="K4770" s="135" t="n">
        <f aca="false">$G4770*'Analyse capacite'!$E$8</f>
        <v>0</v>
      </c>
    </row>
    <row r="4771" customFormat="false" ht="15" hidden="false" customHeight="false" outlineLevel="0" collapsed="false">
      <c r="B4771" s="130" t="n">
        <v>2027</v>
      </c>
      <c r="C4771" s="131" t="s">
        <v>250</v>
      </c>
      <c r="D4771" s="132" t="n">
        <v>46610</v>
      </c>
      <c r="E4771" s="131" t="s">
        <v>40</v>
      </c>
      <c r="F4771" s="133" t="s">
        <v>24</v>
      </c>
      <c r="G4771" s="134" t="n">
        <f aca="false">LEN('Saisie programme'!$F$183)+SUMIFS('Vols additionnels'!$E$7:$E$66,'Vols additionnels'!$C$7:$C$66,$E4771,'Vols additionnels'!$D$7:$D$66,$F4771,'Vols additionnels'!$B$7:$B$66,$D4771)</f>
        <v>1</v>
      </c>
      <c r="H4771" s="135" t="n">
        <f aca="false">$G4771*'Analyse capacite'!$F$9</f>
        <v>174</v>
      </c>
      <c r="I4771" s="135" t="n">
        <f aca="false">$G4771*'Analyse capacite'!$C$9</f>
        <v>0</v>
      </c>
      <c r="J4771" s="135" t="n">
        <f aca="false">$G4771*'Analyse capacite'!$D$9</f>
        <v>12</v>
      </c>
      <c r="K4771" s="135" t="n">
        <f aca="false">$G4771*'Analyse capacite'!$E$9</f>
        <v>162</v>
      </c>
    </row>
    <row r="4772" customFormat="false" ht="15" hidden="false" customHeight="false" outlineLevel="0" collapsed="false">
      <c r="B4772" s="130" t="n">
        <v>2027</v>
      </c>
      <c r="C4772" s="131" t="s">
        <v>250</v>
      </c>
      <c r="D4772" s="132" t="n">
        <v>46610</v>
      </c>
      <c r="E4772" s="131" t="s">
        <v>14</v>
      </c>
      <c r="F4772" s="133" t="s">
        <v>11</v>
      </c>
      <c r="G4772" s="134" t="n">
        <f aca="false">LEN('Saisie programme'!$F$184)+SUMIFS('Vols additionnels'!$E$7:$E$66,'Vols additionnels'!$C$7:$C$66,$E4772,'Vols additionnels'!$D$7:$D$66,$F4772,'Vols additionnels'!$B$7:$B$66,$D4772)</f>
        <v>0</v>
      </c>
      <c r="H4772" s="135" t="n">
        <f aca="false">$G4772*'Analyse capacite'!$F$7</f>
        <v>0</v>
      </c>
      <c r="I4772" s="135" t="n">
        <f aca="false">$G4772*'Analyse capacite'!$C$7</f>
        <v>0</v>
      </c>
      <c r="J4772" s="135" t="n">
        <f aca="false">$G4772*'Analyse capacite'!$D$7</f>
        <v>0</v>
      </c>
      <c r="K4772" s="135" t="n">
        <f aca="false">$G4772*'Analyse capacite'!$E$7</f>
        <v>0</v>
      </c>
    </row>
    <row r="4773" customFormat="false" ht="15" hidden="false" customHeight="false" outlineLevel="0" collapsed="false">
      <c r="B4773" s="130" t="n">
        <v>2027</v>
      </c>
      <c r="C4773" s="131" t="s">
        <v>250</v>
      </c>
      <c r="D4773" s="132" t="n">
        <v>46610</v>
      </c>
      <c r="E4773" s="131" t="s">
        <v>14</v>
      </c>
      <c r="F4773" s="133" t="s">
        <v>19</v>
      </c>
      <c r="G4773" s="134" t="n">
        <f aca="false">LEN('Saisie programme'!$F$185)+SUMIFS('Vols additionnels'!$E$7:$E$66,'Vols additionnels'!$C$7:$C$66,$E4773,'Vols additionnels'!$D$7:$D$66,$F4773,'Vols additionnels'!$B$7:$B$66,$D4773)</f>
        <v>0</v>
      </c>
      <c r="H4773" s="135" t="n">
        <f aca="false">$G4773*'Analyse capacite'!$F$8</f>
        <v>0</v>
      </c>
      <c r="I4773" s="135" t="n">
        <f aca="false">$G4773*'Analyse capacite'!$C$8</f>
        <v>0</v>
      </c>
      <c r="J4773" s="135" t="n">
        <f aca="false">$G4773*'Analyse capacite'!$D$8</f>
        <v>0</v>
      </c>
      <c r="K4773" s="135" t="n">
        <f aca="false">$G4773*'Analyse capacite'!$E$8</f>
        <v>0</v>
      </c>
    </row>
    <row r="4774" customFormat="false" ht="15" hidden="false" customHeight="false" outlineLevel="0" collapsed="false">
      <c r="B4774" s="130" t="n">
        <v>2027</v>
      </c>
      <c r="C4774" s="131" t="s">
        <v>250</v>
      </c>
      <c r="D4774" s="132" t="n">
        <v>46610</v>
      </c>
      <c r="E4774" s="131" t="s">
        <v>14</v>
      </c>
      <c r="F4774" s="133" t="s">
        <v>24</v>
      </c>
      <c r="G4774" s="134" t="n">
        <f aca="false">LEN('Saisie programme'!$F$186)+SUMIFS('Vols additionnels'!$E$7:$E$66,'Vols additionnels'!$C$7:$C$66,$E4774,'Vols additionnels'!$D$7:$D$66,$F4774,'Vols additionnels'!$B$7:$B$66,$D4774)</f>
        <v>0</v>
      </c>
      <c r="H4774" s="135" t="n">
        <f aca="false">$G4774*'Analyse capacite'!$F$9</f>
        <v>0</v>
      </c>
      <c r="I4774" s="135" t="n">
        <f aca="false">$G4774*'Analyse capacite'!$C$9</f>
        <v>0</v>
      </c>
      <c r="J4774" s="135" t="n">
        <f aca="false">$G4774*'Analyse capacite'!$D$9</f>
        <v>0</v>
      </c>
      <c r="K4774" s="135" t="n">
        <f aca="false">$G4774*'Analyse capacite'!$E$9</f>
        <v>0</v>
      </c>
    </row>
    <row r="4775" customFormat="false" ht="15" hidden="false" customHeight="false" outlineLevel="0" collapsed="false">
      <c r="B4775" s="130" t="n">
        <v>2027</v>
      </c>
      <c r="C4775" s="131" t="s">
        <v>250</v>
      </c>
      <c r="D4775" s="132" t="n">
        <v>46610</v>
      </c>
      <c r="E4775" s="131" t="s">
        <v>46</v>
      </c>
      <c r="F4775" s="133" t="s">
        <v>11</v>
      </c>
      <c r="G4775" s="134" t="n">
        <f aca="false">LEN('Saisie programme'!$F$187)+SUMIFS('Vols additionnels'!$E$7:$E$66,'Vols additionnels'!$C$7:$C$66,$E4775,'Vols additionnels'!$D$7:$D$66,$F4775,'Vols additionnels'!$B$7:$B$66,$D4775)</f>
        <v>0</v>
      </c>
      <c r="H4775" s="135" t="n">
        <f aca="false">$G4775*'Analyse capacite'!$F$7</f>
        <v>0</v>
      </c>
      <c r="I4775" s="135" t="n">
        <f aca="false">$G4775*'Analyse capacite'!$C$7</f>
        <v>0</v>
      </c>
      <c r="J4775" s="135" t="n">
        <f aca="false">$G4775*'Analyse capacite'!$D$7</f>
        <v>0</v>
      </c>
      <c r="K4775" s="135" t="n">
        <f aca="false">$G4775*'Analyse capacite'!$E$7</f>
        <v>0</v>
      </c>
    </row>
    <row r="4776" customFormat="false" ht="15" hidden="false" customHeight="false" outlineLevel="0" collapsed="false">
      <c r="B4776" s="130" t="n">
        <v>2027</v>
      </c>
      <c r="C4776" s="131" t="s">
        <v>250</v>
      </c>
      <c r="D4776" s="132" t="n">
        <v>46610</v>
      </c>
      <c r="E4776" s="131" t="s">
        <v>46</v>
      </c>
      <c r="F4776" s="133" t="s">
        <v>19</v>
      </c>
      <c r="G4776" s="134" t="n">
        <f aca="false">LEN('Saisie programme'!$F$188)+SUMIFS('Vols additionnels'!$E$7:$E$66,'Vols additionnels'!$C$7:$C$66,$E4776,'Vols additionnels'!$D$7:$D$66,$F4776,'Vols additionnels'!$B$7:$B$66,$D4776)</f>
        <v>0</v>
      </c>
      <c r="H4776" s="135" t="n">
        <f aca="false">$G4776*'Analyse capacite'!$F$8</f>
        <v>0</v>
      </c>
      <c r="I4776" s="135" t="n">
        <f aca="false">$G4776*'Analyse capacite'!$C$8</f>
        <v>0</v>
      </c>
      <c r="J4776" s="135" t="n">
        <f aca="false">$G4776*'Analyse capacite'!$D$8</f>
        <v>0</v>
      </c>
      <c r="K4776" s="135" t="n">
        <f aca="false">$G4776*'Analyse capacite'!$E$8</f>
        <v>0</v>
      </c>
    </row>
    <row r="4777" customFormat="false" ht="15" hidden="false" customHeight="false" outlineLevel="0" collapsed="false">
      <c r="B4777" s="130" t="n">
        <v>2027</v>
      </c>
      <c r="C4777" s="131" t="s">
        <v>250</v>
      </c>
      <c r="D4777" s="132" t="n">
        <v>46610</v>
      </c>
      <c r="E4777" s="131" t="s">
        <v>46</v>
      </c>
      <c r="F4777" s="133" t="s">
        <v>24</v>
      </c>
      <c r="G4777" s="134" t="n">
        <f aca="false">LEN('Saisie programme'!$F$189)+SUMIFS('Vols additionnels'!$E$7:$E$66,'Vols additionnels'!$C$7:$C$66,$E4777,'Vols additionnels'!$D$7:$D$66,$F4777,'Vols additionnels'!$B$7:$B$66,$D4777)</f>
        <v>0</v>
      </c>
      <c r="H4777" s="135" t="n">
        <f aca="false">$G4777*'Analyse capacite'!$F$9</f>
        <v>0</v>
      </c>
      <c r="I4777" s="135" t="n">
        <f aca="false">$G4777*'Analyse capacite'!$C$9</f>
        <v>0</v>
      </c>
      <c r="J4777" s="135" t="n">
        <f aca="false">$G4777*'Analyse capacite'!$D$9</f>
        <v>0</v>
      </c>
      <c r="K4777" s="135" t="n">
        <f aca="false">$G4777*'Analyse capacite'!$E$9</f>
        <v>0</v>
      </c>
    </row>
    <row r="4778" customFormat="false" ht="15" hidden="false" customHeight="false" outlineLevel="0" collapsed="false">
      <c r="B4778" s="130" t="n">
        <v>2027</v>
      </c>
      <c r="C4778" s="131" t="s">
        <v>250</v>
      </c>
      <c r="D4778" s="132" t="n">
        <v>46610</v>
      </c>
      <c r="E4778" s="131" t="s">
        <v>49</v>
      </c>
      <c r="F4778" s="133" t="s">
        <v>11</v>
      </c>
      <c r="G4778" s="134" t="n">
        <f aca="false">LEN('Saisie programme'!$F$190)+SUMIFS('Vols additionnels'!$E$7:$E$66,'Vols additionnels'!$C$7:$C$66,$E4778,'Vols additionnels'!$D$7:$D$66,$F4778,'Vols additionnels'!$B$7:$B$66,$D4778)</f>
        <v>0</v>
      </c>
      <c r="H4778" s="135" t="n">
        <f aca="false">$G4778*'Analyse capacite'!$F$7</f>
        <v>0</v>
      </c>
      <c r="I4778" s="135" t="n">
        <f aca="false">$G4778*'Analyse capacite'!$C$7</f>
        <v>0</v>
      </c>
      <c r="J4778" s="135" t="n">
        <f aca="false">$G4778*'Analyse capacite'!$D$7</f>
        <v>0</v>
      </c>
      <c r="K4778" s="135" t="n">
        <f aca="false">$G4778*'Analyse capacite'!$E$7</f>
        <v>0</v>
      </c>
    </row>
    <row r="4779" customFormat="false" ht="15" hidden="false" customHeight="false" outlineLevel="0" collapsed="false">
      <c r="B4779" s="130" t="n">
        <v>2027</v>
      </c>
      <c r="C4779" s="131" t="s">
        <v>250</v>
      </c>
      <c r="D4779" s="132" t="n">
        <v>46610</v>
      </c>
      <c r="E4779" s="131" t="s">
        <v>49</v>
      </c>
      <c r="F4779" s="133" t="s">
        <v>19</v>
      </c>
      <c r="G4779" s="134" t="n">
        <f aca="false">LEN('Saisie programme'!$F$191)+SUMIFS('Vols additionnels'!$E$7:$E$66,'Vols additionnels'!$C$7:$C$66,$E4779,'Vols additionnels'!$D$7:$D$66,$F4779,'Vols additionnels'!$B$7:$B$66,$D4779)</f>
        <v>0</v>
      </c>
      <c r="H4779" s="135" t="n">
        <f aca="false">$G4779*'Analyse capacite'!$F$8</f>
        <v>0</v>
      </c>
      <c r="I4779" s="135" t="n">
        <f aca="false">$G4779*'Analyse capacite'!$C$8</f>
        <v>0</v>
      </c>
      <c r="J4779" s="135" t="n">
        <f aca="false">$G4779*'Analyse capacite'!$D$8</f>
        <v>0</v>
      </c>
      <c r="K4779" s="135" t="n">
        <f aca="false">$G4779*'Analyse capacite'!$E$8</f>
        <v>0</v>
      </c>
    </row>
    <row r="4780" customFormat="false" ht="15" hidden="false" customHeight="false" outlineLevel="0" collapsed="false">
      <c r="B4780" s="130" t="n">
        <v>2027</v>
      </c>
      <c r="C4780" s="131" t="s">
        <v>250</v>
      </c>
      <c r="D4780" s="132" t="n">
        <v>46610</v>
      </c>
      <c r="E4780" s="131" t="s">
        <v>49</v>
      </c>
      <c r="F4780" s="133" t="s">
        <v>24</v>
      </c>
      <c r="G4780" s="134" t="n">
        <f aca="false">LEN('Saisie programme'!$F$192)+SUMIFS('Vols additionnels'!$E$7:$E$66,'Vols additionnels'!$C$7:$C$66,$E4780,'Vols additionnels'!$D$7:$D$66,$F4780,'Vols additionnels'!$B$7:$B$66,$D4780)</f>
        <v>0</v>
      </c>
      <c r="H4780" s="135" t="n">
        <f aca="false">$G4780*'Analyse capacite'!$F$9</f>
        <v>0</v>
      </c>
      <c r="I4780" s="135" t="n">
        <f aca="false">$G4780*'Analyse capacite'!$C$9</f>
        <v>0</v>
      </c>
      <c r="J4780" s="135" t="n">
        <f aca="false">$G4780*'Analyse capacite'!$D$9</f>
        <v>0</v>
      </c>
      <c r="K4780" s="135" t="n">
        <f aca="false">$G4780*'Analyse capacite'!$E$9</f>
        <v>0</v>
      </c>
    </row>
    <row r="4781" customFormat="false" ht="15" hidden="false" customHeight="false" outlineLevel="0" collapsed="false">
      <c r="B4781" s="130" t="n">
        <v>2027</v>
      </c>
      <c r="C4781" s="131" t="s">
        <v>250</v>
      </c>
      <c r="D4781" s="132" t="n">
        <v>46610</v>
      </c>
      <c r="E4781" s="131" t="s">
        <v>53</v>
      </c>
      <c r="F4781" s="133" t="s">
        <v>11</v>
      </c>
      <c r="G4781" s="134" t="n">
        <f aca="false">LEN('Saisie programme'!$F$193)+SUMIFS('Vols additionnels'!$E$7:$E$66,'Vols additionnels'!$C$7:$C$66,$E4781,'Vols additionnels'!$D$7:$D$66,$F4781,'Vols additionnels'!$B$7:$B$66,$D4781)</f>
        <v>0</v>
      </c>
      <c r="H4781" s="135" t="n">
        <f aca="false">$G4781*'Analyse capacite'!$F$7</f>
        <v>0</v>
      </c>
      <c r="I4781" s="135" t="n">
        <f aca="false">$G4781*'Analyse capacite'!$C$7</f>
        <v>0</v>
      </c>
      <c r="J4781" s="135" t="n">
        <f aca="false">$G4781*'Analyse capacite'!$D$7</f>
        <v>0</v>
      </c>
      <c r="K4781" s="135" t="n">
        <f aca="false">$G4781*'Analyse capacite'!$E$7</f>
        <v>0</v>
      </c>
    </row>
    <row r="4782" customFormat="false" ht="15" hidden="false" customHeight="false" outlineLevel="0" collapsed="false">
      <c r="B4782" s="130" t="n">
        <v>2027</v>
      </c>
      <c r="C4782" s="131" t="s">
        <v>250</v>
      </c>
      <c r="D4782" s="132" t="n">
        <v>46610</v>
      </c>
      <c r="E4782" s="131" t="s">
        <v>53</v>
      </c>
      <c r="F4782" s="133" t="s">
        <v>19</v>
      </c>
      <c r="G4782" s="134" t="n">
        <f aca="false">LEN('Saisie programme'!$F$194)+SUMIFS('Vols additionnels'!$E$7:$E$66,'Vols additionnels'!$C$7:$C$66,$E4782,'Vols additionnels'!$D$7:$D$66,$F4782,'Vols additionnels'!$B$7:$B$66,$D4782)</f>
        <v>0</v>
      </c>
      <c r="H4782" s="135" t="n">
        <f aca="false">$G4782*'Analyse capacite'!$F$8</f>
        <v>0</v>
      </c>
      <c r="I4782" s="135" t="n">
        <f aca="false">$G4782*'Analyse capacite'!$C$8</f>
        <v>0</v>
      </c>
      <c r="J4782" s="135" t="n">
        <f aca="false">$G4782*'Analyse capacite'!$D$8</f>
        <v>0</v>
      </c>
      <c r="K4782" s="135" t="n">
        <f aca="false">$G4782*'Analyse capacite'!$E$8</f>
        <v>0</v>
      </c>
    </row>
    <row r="4783" customFormat="false" ht="15" hidden="false" customHeight="false" outlineLevel="0" collapsed="false">
      <c r="B4783" s="130" t="n">
        <v>2027</v>
      </c>
      <c r="C4783" s="131" t="s">
        <v>250</v>
      </c>
      <c r="D4783" s="132" t="n">
        <v>46610</v>
      </c>
      <c r="E4783" s="131" t="s">
        <v>53</v>
      </c>
      <c r="F4783" s="133" t="s">
        <v>24</v>
      </c>
      <c r="G4783" s="134" t="n">
        <f aca="false">LEN('Saisie programme'!$F$195)+SUMIFS('Vols additionnels'!$E$7:$E$66,'Vols additionnels'!$C$7:$C$66,$E4783,'Vols additionnels'!$D$7:$D$66,$F4783,'Vols additionnels'!$B$7:$B$66,$D4783)</f>
        <v>0</v>
      </c>
      <c r="H4783" s="135" t="n">
        <f aca="false">$G4783*'Analyse capacite'!$F$9</f>
        <v>0</v>
      </c>
      <c r="I4783" s="135" t="n">
        <f aca="false">$G4783*'Analyse capacite'!$C$9</f>
        <v>0</v>
      </c>
      <c r="J4783" s="135" t="n">
        <f aca="false">$G4783*'Analyse capacite'!$D$9</f>
        <v>0</v>
      </c>
      <c r="K4783" s="135" t="n">
        <f aca="false">$G4783*'Analyse capacite'!$E$9</f>
        <v>0</v>
      </c>
    </row>
    <row r="4784" customFormat="false" ht="15" hidden="false" customHeight="false" outlineLevel="0" collapsed="false">
      <c r="B4784" s="130" t="n">
        <v>2027</v>
      </c>
      <c r="C4784" s="131" t="s">
        <v>250</v>
      </c>
      <c r="D4784" s="132" t="n">
        <v>46610</v>
      </c>
      <c r="E4784" s="131" t="s">
        <v>56</v>
      </c>
      <c r="F4784" s="133" t="s">
        <v>11</v>
      </c>
      <c r="G4784" s="134" t="n">
        <f aca="false">LEN('Saisie programme'!$F$196)+SUMIFS('Vols additionnels'!$E$7:$E$66,'Vols additionnels'!$C$7:$C$66,$E4784,'Vols additionnels'!$D$7:$D$66,$F4784,'Vols additionnels'!$B$7:$B$66,$D4784)</f>
        <v>0</v>
      </c>
      <c r="H4784" s="135" t="n">
        <f aca="false">$G4784*'Analyse capacite'!$F$7</f>
        <v>0</v>
      </c>
      <c r="I4784" s="135" t="n">
        <f aca="false">$G4784*'Analyse capacite'!$C$7</f>
        <v>0</v>
      </c>
      <c r="J4784" s="135" t="n">
        <f aca="false">$G4784*'Analyse capacite'!$D$7</f>
        <v>0</v>
      </c>
      <c r="K4784" s="135" t="n">
        <f aca="false">$G4784*'Analyse capacite'!$E$7</f>
        <v>0</v>
      </c>
    </row>
    <row r="4785" customFormat="false" ht="15" hidden="false" customHeight="false" outlineLevel="0" collapsed="false">
      <c r="B4785" s="130" t="n">
        <v>2027</v>
      </c>
      <c r="C4785" s="131" t="s">
        <v>250</v>
      </c>
      <c r="D4785" s="132" t="n">
        <v>46610</v>
      </c>
      <c r="E4785" s="131" t="s">
        <v>56</v>
      </c>
      <c r="F4785" s="133" t="s">
        <v>19</v>
      </c>
      <c r="G4785" s="134" t="n">
        <f aca="false">LEN('Saisie programme'!$F$197)+SUMIFS('Vols additionnels'!$E$7:$E$66,'Vols additionnels'!$C$7:$C$66,$E4785,'Vols additionnels'!$D$7:$D$66,$F4785,'Vols additionnels'!$B$7:$B$66,$D4785)</f>
        <v>0</v>
      </c>
      <c r="H4785" s="135" t="n">
        <f aca="false">$G4785*'Analyse capacite'!$F$8</f>
        <v>0</v>
      </c>
      <c r="I4785" s="135" t="n">
        <f aca="false">$G4785*'Analyse capacite'!$C$8</f>
        <v>0</v>
      </c>
      <c r="J4785" s="135" t="n">
        <f aca="false">$G4785*'Analyse capacite'!$D$8</f>
        <v>0</v>
      </c>
      <c r="K4785" s="135" t="n">
        <f aca="false">$G4785*'Analyse capacite'!$E$8</f>
        <v>0</v>
      </c>
    </row>
    <row r="4786" customFormat="false" ht="15" hidden="false" customHeight="false" outlineLevel="0" collapsed="false">
      <c r="B4786" s="130" t="n">
        <v>2027</v>
      </c>
      <c r="C4786" s="131" t="s">
        <v>250</v>
      </c>
      <c r="D4786" s="132" t="n">
        <v>46610</v>
      </c>
      <c r="E4786" s="131" t="s">
        <v>56</v>
      </c>
      <c r="F4786" s="133" t="s">
        <v>24</v>
      </c>
      <c r="G4786" s="134" t="n">
        <f aca="false">LEN('Saisie programme'!$F$198)+SUMIFS('Vols additionnels'!$E$7:$E$66,'Vols additionnels'!$C$7:$C$66,$E4786,'Vols additionnels'!$D$7:$D$66,$F4786,'Vols additionnels'!$B$7:$B$66,$D4786)</f>
        <v>0</v>
      </c>
      <c r="H4786" s="135" t="n">
        <f aca="false">$G4786*'Analyse capacite'!$F$9</f>
        <v>0</v>
      </c>
      <c r="I4786" s="135" t="n">
        <f aca="false">$G4786*'Analyse capacite'!$C$9</f>
        <v>0</v>
      </c>
      <c r="J4786" s="135" t="n">
        <f aca="false">$G4786*'Analyse capacite'!$D$9</f>
        <v>0</v>
      </c>
      <c r="K4786" s="135" t="n">
        <f aca="false">$G4786*'Analyse capacite'!$E$9</f>
        <v>0</v>
      </c>
    </row>
    <row r="4787" customFormat="false" ht="15" hidden="false" customHeight="false" outlineLevel="0" collapsed="false">
      <c r="B4787" s="130" t="n">
        <v>2027</v>
      </c>
      <c r="C4787" s="131" t="s">
        <v>250</v>
      </c>
      <c r="D4787" s="132" t="n">
        <v>46610</v>
      </c>
      <c r="E4787" s="131" t="s">
        <v>59</v>
      </c>
      <c r="F4787" s="133" t="s">
        <v>11</v>
      </c>
      <c r="G4787" s="134" t="n">
        <f aca="false">LEN('Saisie programme'!$F$199)+SUMIFS('Vols additionnels'!$E$7:$E$66,'Vols additionnels'!$C$7:$C$66,$E4787,'Vols additionnels'!$D$7:$D$66,$F4787,'Vols additionnels'!$B$7:$B$66,$D4787)</f>
        <v>0</v>
      </c>
      <c r="H4787" s="135" t="n">
        <f aca="false">$G4787*'Analyse capacite'!$F$7</f>
        <v>0</v>
      </c>
      <c r="I4787" s="135" t="n">
        <f aca="false">$G4787*'Analyse capacite'!$C$7</f>
        <v>0</v>
      </c>
      <c r="J4787" s="135" t="n">
        <f aca="false">$G4787*'Analyse capacite'!$D$7</f>
        <v>0</v>
      </c>
      <c r="K4787" s="135" t="n">
        <f aca="false">$G4787*'Analyse capacite'!$E$7</f>
        <v>0</v>
      </c>
    </row>
    <row r="4788" customFormat="false" ht="15" hidden="false" customHeight="false" outlineLevel="0" collapsed="false">
      <c r="B4788" s="130" t="n">
        <v>2027</v>
      </c>
      <c r="C4788" s="131" t="s">
        <v>250</v>
      </c>
      <c r="D4788" s="132" t="n">
        <v>46610</v>
      </c>
      <c r="E4788" s="131" t="s">
        <v>59</v>
      </c>
      <c r="F4788" s="133" t="s">
        <v>19</v>
      </c>
      <c r="G4788" s="134" t="n">
        <f aca="false">LEN('Saisie programme'!$F$200)+SUMIFS('Vols additionnels'!$E$7:$E$66,'Vols additionnels'!$C$7:$C$66,$E4788,'Vols additionnels'!$D$7:$D$66,$F4788,'Vols additionnels'!$B$7:$B$66,$D4788)</f>
        <v>0</v>
      </c>
      <c r="H4788" s="135" t="n">
        <f aca="false">$G4788*'Analyse capacite'!$F$8</f>
        <v>0</v>
      </c>
      <c r="I4788" s="135" t="n">
        <f aca="false">$G4788*'Analyse capacite'!$C$8</f>
        <v>0</v>
      </c>
      <c r="J4788" s="135" t="n">
        <f aca="false">$G4788*'Analyse capacite'!$D$8</f>
        <v>0</v>
      </c>
      <c r="K4788" s="135" t="n">
        <f aca="false">$G4788*'Analyse capacite'!$E$8</f>
        <v>0</v>
      </c>
    </row>
    <row r="4789" customFormat="false" ht="15" hidden="false" customHeight="false" outlineLevel="0" collapsed="false">
      <c r="B4789" s="130" t="n">
        <v>2027</v>
      </c>
      <c r="C4789" s="131" t="s">
        <v>250</v>
      </c>
      <c r="D4789" s="132" t="n">
        <v>46610</v>
      </c>
      <c r="E4789" s="131" t="s">
        <v>59</v>
      </c>
      <c r="F4789" s="133" t="s">
        <v>24</v>
      </c>
      <c r="G4789" s="134" t="n">
        <f aca="false">LEN('Saisie programme'!$F$201)+SUMIFS('Vols additionnels'!$E$7:$E$66,'Vols additionnels'!$C$7:$C$66,$E4789,'Vols additionnels'!$D$7:$D$66,$F4789,'Vols additionnels'!$B$7:$B$66,$D4789)</f>
        <v>1</v>
      </c>
      <c r="H4789" s="135" t="n">
        <f aca="false">$G4789*'Analyse capacite'!$F$9</f>
        <v>174</v>
      </c>
      <c r="I4789" s="135" t="n">
        <f aca="false">$G4789*'Analyse capacite'!$C$9</f>
        <v>0</v>
      </c>
      <c r="J4789" s="135" t="n">
        <f aca="false">$G4789*'Analyse capacite'!$D$9</f>
        <v>12</v>
      </c>
      <c r="K4789" s="135" t="n">
        <f aca="false">$G4789*'Analyse capacite'!$E$9</f>
        <v>162</v>
      </c>
    </row>
    <row r="4790" customFormat="false" ht="15" hidden="false" customHeight="false" outlineLevel="0" collapsed="false">
      <c r="B4790" s="130" t="n">
        <v>2027</v>
      </c>
      <c r="C4790" s="131" t="s">
        <v>250</v>
      </c>
      <c r="D4790" s="132" t="n">
        <v>46610</v>
      </c>
      <c r="E4790" s="131" t="s">
        <v>62</v>
      </c>
      <c r="F4790" s="133" t="s">
        <v>11</v>
      </c>
      <c r="G4790" s="134" t="n">
        <f aca="false">LEN('Saisie programme'!$F$202)+SUMIFS('Vols additionnels'!$E$7:$E$66,'Vols additionnels'!$C$7:$C$66,$E4790,'Vols additionnels'!$D$7:$D$66,$F4790,'Vols additionnels'!$B$7:$B$66,$D4790)</f>
        <v>0</v>
      </c>
      <c r="H4790" s="135" t="n">
        <f aca="false">$G4790*'Analyse capacite'!$F$7</f>
        <v>0</v>
      </c>
      <c r="I4790" s="135" t="n">
        <f aca="false">$G4790*'Analyse capacite'!$C$7</f>
        <v>0</v>
      </c>
      <c r="J4790" s="135" t="n">
        <f aca="false">$G4790*'Analyse capacite'!$D$7</f>
        <v>0</v>
      </c>
      <c r="K4790" s="135" t="n">
        <f aca="false">$G4790*'Analyse capacite'!$E$7</f>
        <v>0</v>
      </c>
    </row>
    <row r="4791" customFormat="false" ht="15" hidden="false" customHeight="false" outlineLevel="0" collapsed="false">
      <c r="B4791" s="130" t="n">
        <v>2027</v>
      </c>
      <c r="C4791" s="131" t="s">
        <v>250</v>
      </c>
      <c r="D4791" s="132" t="n">
        <v>46610</v>
      </c>
      <c r="E4791" s="131" t="s">
        <v>62</v>
      </c>
      <c r="F4791" s="133" t="s">
        <v>19</v>
      </c>
      <c r="G4791" s="134" t="n">
        <f aca="false">LEN('Saisie programme'!$F$203)+SUMIFS('Vols additionnels'!$E$7:$E$66,'Vols additionnels'!$C$7:$C$66,$E4791,'Vols additionnels'!$D$7:$D$66,$F4791,'Vols additionnels'!$B$7:$B$66,$D4791)</f>
        <v>0</v>
      </c>
      <c r="H4791" s="135" t="n">
        <f aca="false">$G4791*'Analyse capacite'!$F$8</f>
        <v>0</v>
      </c>
      <c r="I4791" s="135" t="n">
        <f aca="false">$G4791*'Analyse capacite'!$C$8</f>
        <v>0</v>
      </c>
      <c r="J4791" s="135" t="n">
        <f aca="false">$G4791*'Analyse capacite'!$D$8</f>
        <v>0</v>
      </c>
      <c r="K4791" s="135" t="n">
        <f aca="false">$G4791*'Analyse capacite'!$E$8</f>
        <v>0</v>
      </c>
    </row>
    <row r="4792" customFormat="false" ht="15" hidden="false" customHeight="false" outlineLevel="0" collapsed="false">
      <c r="B4792" s="130" t="n">
        <v>2027</v>
      </c>
      <c r="C4792" s="131" t="s">
        <v>250</v>
      </c>
      <c r="D4792" s="132" t="n">
        <v>46610</v>
      </c>
      <c r="E4792" s="131" t="s">
        <v>62</v>
      </c>
      <c r="F4792" s="133" t="s">
        <v>24</v>
      </c>
      <c r="G4792" s="134" t="n">
        <f aca="false">LEN('Saisie programme'!$F$204)+SUMIFS('Vols additionnels'!$E$7:$E$66,'Vols additionnels'!$C$7:$C$66,$E4792,'Vols additionnels'!$D$7:$D$66,$F4792,'Vols additionnels'!$B$7:$B$66,$D4792)</f>
        <v>1</v>
      </c>
      <c r="H4792" s="135" t="n">
        <f aca="false">$G4792*'Analyse capacite'!$F$9</f>
        <v>174</v>
      </c>
      <c r="I4792" s="135" t="n">
        <f aca="false">$G4792*'Analyse capacite'!$C$9</f>
        <v>0</v>
      </c>
      <c r="J4792" s="135" t="n">
        <f aca="false">$G4792*'Analyse capacite'!$D$9</f>
        <v>12</v>
      </c>
      <c r="K4792" s="135" t="n">
        <f aca="false">$G4792*'Analyse capacite'!$E$9</f>
        <v>162</v>
      </c>
    </row>
    <row r="4793" customFormat="false" ht="15" hidden="false" customHeight="false" outlineLevel="0" collapsed="false">
      <c r="B4793" s="130" t="n">
        <v>2027</v>
      </c>
      <c r="C4793" s="131" t="s">
        <v>250</v>
      </c>
      <c r="D4793" s="132" t="n">
        <v>46611</v>
      </c>
      <c r="E4793" s="131" t="s">
        <v>12</v>
      </c>
      <c r="F4793" s="133" t="s">
        <v>11</v>
      </c>
      <c r="G4793" s="134" t="n">
        <f aca="false">LEN('Saisie programme'!$G$169)+SUMIFS('Vols additionnels'!$E$7:$E$66,'Vols additionnels'!$C$7:$C$66,$E4793,'Vols additionnels'!$D$7:$D$66,$F4793,'Vols additionnels'!$B$7:$B$66,$D4793)</f>
        <v>1</v>
      </c>
      <c r="H4793" s="135" t="n">
        <f aca="false">$G4793*'Analyse capacite'!$F$7</f>
        <v>438</v>
      </c>
      <c r="I4793" s="135" t="n">
        <f aca="false">$G4793*'Analyse capacite'!$C$7</f>
        <v>14</v>
      </c>
      <c r="J4793" s="135" t="n">
        <f aca="false">$G4793*'Analyse capacite'!$D$7</f>
        <v>40</v>
      </c>
      <c r="K4793" s="135" t="n">
        <f aca="false">$G4793*'Analyse capacite'!$E$7</f>
        <v>384</v>
      </c>
    </row>
    <row r="4794" customFormat="false" ht="15" hidden="false" customHeight="false" outlineLevel="0" collapsed="false">
      <c r="B4794" s="130" t="n">
        <v>2027</v>
      </c>
      <c r="C4794" s="131" t="s">
        <v>250</v>
      </c>
      <c r="D4794" s="132" t="n">
        <v>46611</v>
      </c>
      <c r="E4794" s="131" t="s">
        <v>12</v>
      </c>
      <c r="F4794" s="133" t="s">
        <v>19</v>
      </c>
      <c r="G4794" s="134" t="n">
        <f aca="false">LEN('Saisie programme'!$G$170)+SUMIFS('Vols additionnels'!$E$7:$E$66,'Vols additionnels'!$C$7:$C$66,$E4794,'Vols additionnels'!$D$7:$D$66,$F4794,'Vols additionnels'!$B$7:$B$66,$D4794)</f>
        <v>1</v>
      </c>
      <c r="H4794" s="135" t="n">
        <f aca="false">$G4794*'Analyse capacite'!$F$8</f>
        <v>262</v>
      </c>
      <c r="I4794" s="135" t="n">
        <f aca="false">$G4794*'Analyse capacite'!$C$8</f>
        <v>18</v>
      </c>
      <c r="J4794" s="135" t="n">
        <f aca="false">$G4794*'Analyse capacite'!$D$8</f>
        <v>0</v>
      </c>
      <c r="K4794" s="135" t="n">
        <f aca="false">$G4794*'Analyse capacite'!$E$8</f>
        <v>244</v>
      </c>
    </row>
    <row r="4795" customFormat="false" ht="15" hidden="false" customHeight="false" outlineLevel="0" collapsed="false">
      <c r="B4795" s="130" t="n">
        <v>2027</v>
      </c>
      <c r="C4795" s="131" t="s">
        <v>250</v>
      </c>
      <c r="D4795" s="132" t="n">
        <v>46611</v>
      </c>
      <c r="E4795" s="131" t="s">
        <v>12</v>
      </c>
      <c r="F4795" s="133" t="s">
        <v>24</v>
      </c>
      <c r="G4795" s="134" t="n">
        <f aca="false">LEN('Saisie programme'!$G$171)+SUMIFS('Vols additionnels'!$E$7:$E$66,'Vols additionnels'!$C$7:$C$66,$E4795,'Vols additionnels'!$D$7:$D$66,$F4795,'Vols additionnels'!$B$7:$B$66,$D4795)</f>
        <v>0</v>
      </c>
      <c r="H4795" s="135" t="n">
        <f aca="false">$G4795*'Analyse capacite'!$F$9</f>
        <v>0</v>
      </c>
      <c r="I4795" s="135" t="n">
        <f aca="false">$G4795*'Analyse capacite'!$C$9</f>
        <v>0</v>
      </c>
      <c r="J4795" s="135" t="n">
        <f aca="false">$G4795*'Analyse capacite'!$D$9</f>
        <v>0</v>
      </c>
      <c r="K4795" s="135" t="n">
        <f aca="false">$G4795*'Analyse capacite'!$E$9</f>
        <v>0</v>
      </c>
    </row>
    <row r="4796" customFormat="false" ht="15" hidden="false" customHeight="false" outlineLevel="0" collapsed="false">
      <c r="B4796" s="130" t="n">
        <v>2027</v>
      </c>
      <c r="C4796" s="131" t="s">
        <v>250</v>
      </c>
      <c r="D4796" s="132" t="n">
        <v>46611</v>
      </c>
      <c r="E4796" s="131" t="s">
        <v>20</v>
      </c>
      <c r="F4796" s="133" t="s">
        <v>11</v>
      </c>
      <c r="G4796" s="134" t="n">
        <f aca="false">LEN('Saisie programme'!$G$172)+SUMIFS('Vols additionnels'!$E$7:$E$66,'Vols additionnels'!$C$7:$C$66,$E4796,'Vols additionnels'!$D$7:$D$66,$F4796,'Vols additionnels'!$B$7:$B$66,$D4796)</f>
        <v>0</v>
      </c>
      <c r="H4796" s="135" t="n">
        <f aca="false">$G4796*'Analyse capacite'!$F$7</f>
        <v>0</v>
      </c>
      <c r="I4796" s="135" t="n">
        <f aca="false">$G4796*'Analyse capacite'!$C$7</f>
        <v>0</v>
      </c>
      <c r="J4796" s="135" t="n">
        <f aca="false">$G4796*'Analyse capacite'!$D$7</f>
        <v>0</v>
      </c>
      <c r="K4796" s="135" t="n">
        <f aca="false">$G4796*'Analyse capacite'!$E$7</f>
        <v>0</v>
      </c>
    </row>
    <row r="4797" customFormat="false" ht="15" hidden="false" customHeight="false" outlineLevel="0" collapsed="false">
      <c r="B4797" s="130" t="n">
        <v>2027</v>
      </c>
      <c r="C4797" s="131" t="s">
        <v>250</v>
      </c>
      <c r="D4797" s="132" t="n">
        <v>46611</v>
      </c>
      <c r="E4797" s="131" t="s">
        <v>20</v>
      </c>
      <c r="F4797" s="133" t="s">
        <v>19</v>
      </c>
      <c r="G4797" s="134" t="n">
        <f aca="false">LEN('Saisie programme'!$G$173)+SUMIFS('Vols additionnels'!$E$7:$E$66,'Vols additionnels'!$C$7:$C$66,$E4797,'Vols additionnels'!$D$7:$D$66,$F4797,'Vols additionnels'!$B$7:$B$66,$D4797)</f>
        <v>0</v>
      </c>
      <c r="H4797" s="135" t="n">
        <f aca="false">$G4797*'Analyse capacite'!$F$8</f>
        <v>0</v>
      </c>
      <c r="I4797" s="135" t="n">
        <f aca="false">$G4797*'Analyse capacite'!$C$8</f>
        <v>0</v>
      </c>
      <c r="J4797" s="135" t="n">
        <f aca="false">$G4797*'Analyse capacite'!$D$8</f>
        <v>0</v>
      </c>
      <c r="K4797" s="135" t="n">
        <f aca="false">$G4797*'Analyse capacite'!$E$8</f>
        <v>0</v>
      </c>
    </row>
    <row r="4798" customFormat="false" ht="15" hidden="false" customHeight="false" outlineLevel="0" collapsed="false">
      <c r="B4798" s="130" t="n">
        <v>2027</v>
      </c>
      <c r="C4798" s="131" t="s">
        <v>250</v>
      </c>
      <c r="D4798" s="132" t="n">
        <v>46611</v>
      </c>
      <c r="E4798" s="131" t="s">
        <v>20</v>
      </c>
      <c r="F4798" s="133" t="s">
        <v>24</v>
      </c>
      <c r="G4798" s="134" t="n">
        <f aca="false">LEN('Saisie programme'!$G$174)+SUMIFS('Vols additionnels'!$E$7:$E$66,'Vols additionnels'!$C$7:$C$66,$E4798,'Vols additionnels'!$D$7:$D$66,$F4798,'Vols additionnels'!$B$7:$B$66,$D4798)</f>
        <v>0</v>
      </c>
      <c r="H4798" s="135" t="n">
        <f aca="false">$G4798*'Analyse capacite'!$F$9</f>
        <v>0</v>
      </c>
      <c r="I4798" s="135" t="n">
        <f aca="false">$G4798*'Analyse capacite'!$C$9</f>
        <v>0</v>
      </c>
      <c r="J4798" s="135" t="n">
        <f aca="false">$G4798*'Analyse capacite'!$D$9</f>
        <v>0</v>
      </c>
      <c r="K4798" s="135" t="n">
        <f aca="false">$G4798*'Analyse capacite'!$E$9</f>
        <v>0</v>
      </c>
    </row>
    <row r="4799" customFormat="false" ht="15" hidden="false" customHeight="false" outlineLevel="0" collapsed="false">
      <c r="B4799" s="130" t="n">
        <v>2027</v>
      </c>
      <c r="C4799" s="131" t="s">
        <v>250</v>
      </c>
      <c r="D4799" s="132" t="n">
        <v>46611</v>
      </c>
      <c r="E4799" s="131" t="s">
        <v>25</v>
      </c>
      <c r="F4799" s="133" t="s">
        <v>11</v>
      </c>
      <c r="G4799" s="134" t="n">
        <f aca="false">LEN('Saisie programme'!$G$175)+SUMIFS('Vols additionnels'!$E$7:$E$66,'Vols additionnels'!$C$7:$C$66,$E4799,'Vols additionnels'!$D$7:$D$66,$F4799,'Vols additionnels'!$B$7:$B$66,$D4799)</f>
        <v>0</v>
      </c>
      <c r="H4799" s="135" t="n">
        <f aca="false">$G4799*'Analyse capacite'!$F$7</f>
        <v>0</v>
      </c>
      <c r="I4799" s="135" t="n">
        <f aca="false">$G4799*'Analyse capacite'!$C$7</f>
        <v>0</v>
      </c>
      <c r="J4799" s="135" t="n">
        <f aca="false">$G4799*'Analyse capacite'!$D$7</f>
        <v>0</v>
      </c>
      <c r="K4799" s="135" t="n">
        <f aca="false">$G4799*'Analyse capacite'!$E$7</f>
        <v>0</v>
      </c>
    </row>
    <row r="4800" customFormat="false" ht="15" hidden="false" customHeight="false" outlineLevel="0" collapsed="false">
      <c r="B4800" s="130" t="n">
        <v>2027</v>
      </c>
      <c r="C4800" s="131" t="s">
        <v>250</v>
      </c>
      <c r="D4800" s="132" t="n">
        <v>46611</v>
      </c>
      <c r="E4800" s="131" t="s">
        <v>25</v>
      </c>
      <c r="F4800" s="133" t="s">
        <v>19</v>
      </c>
      <c r="G4800" s="134" t="n">
        <f aca="false">LEN('Saisie programme'!$G$176)+SUMIFS('Vols additionnels'!$E$7:$E$66,'Vols additionnels'!$C$7:$C$66,$E4800,'Vols additionnels'!$D$7:$D$66,$F4800,'Vols additionnels'!$B$7:$B$66,$D4800)</f>
        <v>0</v>
      </c>
      <c r="H4800" s="135" t="n">
        <f aca="false">$G4800*'Analyse capacite'!$F$8</f>
        <v>0</v>
      </c>
      <c r="I4800" s="135" t="n">
        <f aca="false">$G4800*'Analyse capacite'!$C$8</f>
        <v>0</v>
      </c>
      <c r="J4800" s="135" t="n">
        <f aca="false">$G4800*'Analyse capacite'!$D$8</f>
        <v>0</v>
      </c>
      <c r="K4800" s="135" t="n">
        <f aca="false">$G4800*'Analyse capacite'!$E$8</f>
        <v>0</v>
      </c>
    </row>
    <row r="4801" customFormat="false" ht="15" hidden="false" customHeight="false" outlineLevel="0" collapsed="false">
      <c r="B4801" s="130" t="n">
        <v>2027</v>
      </c>
      <c r="C4801" s="131" t="s">
        <v>250</v>
      </c>
      <c r="D4801" s="132" t="n">
        <v>46611</v>
      </c>
      <c r="E4801" s="131" t="s">
        <v>25</v>
      </c>
      <c r="F4801" s="133" t="s">
        <v>24</v>
      </c>
      <c r="G4801" s="134" t="n">
        <f aca="false">LEN('Saisie programme'!$G$177)+SUMIFS('Vols additionnels'!$E$7:$E$66,'Vols additionnels'!$C$7:$C$66,$E4801,'Vols additionnels'!$D$7:$D$66,$F4801,'Vols additionnels'!$B$7:$B$66,$D4801)</f>
        <v>0</v>
      </c>
      <c r="H4801" s="135" t="n">
        <f aca="false">$G4801*'Analyse capacite'!$F$9</f>
        <v>0</v>
      </c>
      <c r="I4801" s="135" t="n">
        <f aca="false">$G4801*'Analyse capacite'!$C$9</f>
        <v>0</v>
      </c>
      <c r="J4801" s="135" t="n">
        <f aca="false">$G4801*'Analyse capacite'!$D$9</f>
        <v>0</v>
      </c>
      <c r="K4801" s="135" t="n">
        <f aca="false">$G4801*'Analyse capacite'!$E$9</f>
        <v>0</v>
      </c>
    </row>
    <row r="4802" customFormat="false" ht="15" hidden="false" customHeight="false" outlineLevel="0" collapsed="false">
      <c r="B4802" s="130" t="n">
        <v>2027</v>
      </c>
      <c r="C4802" s="131" t="s">
        <v>250</v>
      </c>
      <c r="D4802" s="132" t="n">
        <v>46611</v>
      </c>
      <c r="E4802" s="131" t="s">
        <v>36</v>
      </c>
      <c r="F4802" s="133" t="s">
        <v>11</v>
      </c>
      <c r="G4802" s="134" t="n">
        <f aca="false">LEN('Saisie programme'!$G$178)+SUMIFS('Vols additionnels'!$E$7:$E$66,'Vols additionnels'!$C$7:$C$66,$E4802,'Vols additionnels'!$D$7:$D$66,$F4802,'Vols additionnels'!$B$7:$B$66,$D4802)</f>
        <v>0</v>
      </c>
      <c r="H4802" s="135" t="n">
        <f aca="false">$G4802*'Analyse capacite'!$F$7</f>
        <v>0</v>
      </c>
      <c r="I4802" s="135" t="n">
        <f aca="false">$G4802*'Analyse capacite'!$C$7</f>
        <v>0</v>
      </c>
      <c r="J4802" s="135" t="n">
        <f aca="false">$G4802*'Analyse capacite'!$D$7</f>
        <v>0</v>
      </c>
      <c r="K4802" s="135" t="n">
        <f aca="false">$G4802*'Analyse capacite'!$E$7</f>
        <v>0</v>
      </c>
    </row>
    <row r="4803" customFormat="false" ht="15" hidden="false" customHeight="false" outlineLevel="0" collapsed="false">
      <c r="B4803" s="130" t="n">
        <v>2027</v>
      </c>
      <c r="C4803" s="131" t="s">
        <v>250</v>
      </c>
      <c r="D4803" s="132" t="n">
        <v>46611</v>
      </c>
      <c r="E4803" s="131" t="s">
        <v>36</v>
      </c>
      <c r="F4803" s="133" t="s">
        <v>19</v>
      </c>
      <c r="G4803" s="134" t="n">
        <f aca="false">LEN('Saisie programme'!$G$179)+SUMIFS('Vols additionnels'!$E$7:$E$66,'Vols additionnels'!$C$7:$C$66,$E4803,'Vols additionnels'!$D$7:$D$66,$F4803,'Vols additionnels'!$B$7:$B$66,$D4803)</f>
        <v>0</v>
      </c>
      <c r="H4803" s="135" t="n">
        <f aca="false">$G4803*'Analyse capacite'!$F$8</f>
        <v>0</v>
      </c>
      <c r="I4803" s="135" t="n">
        <f aca="false">$G4803*'Analyse capacite'!$C$8</f>
        <v>0</v>
      </c>
      <c r="J4803" s="135" t="n">
        <f aca="false">$G4803*'Analyse capacite'!$D$8</f>
        <v>0</v>
      </c>
      <c r="K4803" s="135" t="n">
        <f aca="false">$G4803*'Analyse capacite'!$E$8</f>
        <v>0</v>
      </c>
    </row>
    <row r="4804" customFormat="false" ht="15" hidden="false" customHeight="false" outlineLevel="0" collapsed="false">
      <c r="B4804" s="130" t="n">
        <v>2027</v>
      </c>
      <c r="C4804" s="131" t="s">
        <v>250</v>
      </c>
      <c r="D4804" s="132" t="n">
        <v>46611</v>
      </c>
      <c r="E4804" s="131" t="s">
        <v>36</v>
      </c>
      <c r="F4804" s="133" t="s">
        <v>24</v>
      </c>
      <c r="G4804" s="134" t="n">
        <f aca="false">LEN('Saisie programme'!$G$180)+SUMIFS('Vols additionnels'!$E$7:$E$66,'Vols additionnels'!$C$7:$C$66,$E4804,'Vols additionnels'!$D$7:$D$66,$F4804,'Vols additionnels'!$B$7:$B$66,$D4804)</f>
        <v>1</v>
      </c>
      <c r="H4804" s="135" t="n">
        <f aca="false">$G4804*'Analyse capacite'!$F$9</f>
        <v>174</v>
      </c>
      <c r="I4804" s="135" t="n">
        <f aca="false">$G4804*'Analyse capacite'!$C$9</f>
        <v>0</v>
      </c>
      <c r="J4804" s="135" t="n">
        <f aca="false">$G4804*'Analyse capacite'!$D$9</f>
        <v>12</v>
      </c>
      <c r="K4804" s="135" t="n">
        <f aca="false">$G4804*'Analyse capacite'!$E$9</f>
        <v>162</v>
      </c>
    </row>
    <row r="4805" customFormat="false" ht="15" hidden="false" customHeight="false" outlineLevel="0" collapsed="false">
      <c r="B4805" s="130" t="n">
        <v>2027</v>
      </c>
      <c r="C4805" s="131" t="s">
        <v>250</v>
      </c>
      <c r="D4805" s="132" t="n">
        <v>46611</v>
      </c>
      <c r="E4805" s="131" t="s">
        <v>40</v>
      </c>
      <c r="F4805" s="133" t="s">
        <v>11</v>
      </c>
      <c r="G4805" s="134" t="n">
        <f aca="false">LEN('Saisie programme'!$G$181)+SUMIFS('Vols additionnels'!$E$7:$E$66,'Vols additionnels'!$C$7:$C$66,$E4805,'Vols additionnels'!$D$7:$D$66,$F4805,'Vols additionnels'!$B$7:$B$66,$D4805)</f>
        <v>0</v>
      </c>
      <c r="H4805" s="135" t="n">
        <f aca="false">$G4805*'Analyse capacite'!$F$7</f>
        <v>0</v>
      </c>
      <c r="I4805" s="135" t="n">
        <f aca="false">$G4805*'Analyse capacite'!$C$7</f>
        <v>0</v>
      </c>
      <c r="J4805" s="135" t="n">
        <f aca="false">$G4805*'Analyse capacite'!$D$7</f>
        <v>0</v>
      </c>
      <c r="K4805" s="135" t="n">
        <f aca="false">$G4805*'Analyse capacite'!$E$7</f>
        <v>0</v>
      </c>
    </row>
    <row r="4806" customFormat="false" ht="15" hidden="false" customHeight="false" outlineLevel="0" collapsed="false">
      <c r="B4806" s="130" t="n">
        <v>2027</v>
      </c>
      <c r="C4806" s="131" t="s">
        <v>250</v>
      </c>
      <c r="D4806" s="132" t="n">
        <v>46611</v>
      </c>
      <c r="E4806" s="131" t="s">
        <v>40</v>
      </c>
      <c r="F4806" s="133" t="s">
        <v>19</v>
      </c>
      <c r="G4806" s="134" t="n">
        <f aca="false">LEN('Saisie programme'!$G$182)+SUMIFS('Vols additionnels'!$E$7:$E$66,'Vols additionnels'!$C$7:$C$66,$E4806,'Vols additionnels'!$D$7:$D$66,$F4806,'Vols additionnels'!$B$7:$B$66,$D4806)</f>
        <v>0</v>
      </c>
      <c r="H4806" s="135" t="n">
        <f aca="false">$G4806*'Analyse capacite'!$F$8</f>
        <v>0</v>
      </c>
      <c r="I4806" s="135" t="n">
        <f aca="false">$G4806*'Analyse capacite'!$C$8</f>
        <v>0</v>
      </c>
      <c r="J4806" s="135" t="n">
        <f aca="false">$G4806*'Analyse capacite'!$D$8</f>
        <v>0</v>
      </c>
      <c r="K4806" s="135" t="n">
        <f aca="false">$G4806*'Analyse capacite'!$E$8</f>
        <v>0</v>
      </c>
    </row>
    <row r="4807" customFormat="false" ht="15" hidden="false" customHeight="false" outlineLevel="0" collapsed="false">
      <c r="B4807" s="130" t="n">
        <v>2027</v>
      </c>
      <c r="C4807" s="131" t="s">
        <v>250</v>
      </c>
      <c r="D4807" s="132" t="n">
        <v>46611</v>
      </c>
      <c r="E4807" s="131" t="s">
        <v>40</v>
      </c>
      <c r="F4807" s="133" t="s">
        <v>24</v>
      </c>
      <c r="G4807" s="134" t="n">
        <f aca="false">LEN('Saisie programme'!$G$183)+SUMIFS('Vols additionnels'!$E$7:$E$66,'Vols additionnels'!$C$7:$C$66,$E4807,'Vols additionnels'!$D$7:$D$66,$F4807,'Vols additionnels'!$B$7:$B$66,$D4807)</f>
        <v>0</v>
      </c>
      <c r="H4807" s="135" t="n">
        <f aca="false">$G4807*'Analyse capacite'!$F$9</f>
        <v>0</v>
      </c>
      <c r="I4807" s="135" t="n">
        <f aca="false">$G4807*'Analyse capacite'!$C$9</f>
        <v>0</v>
      </c>
      <c r="J4807" s="135" t="n">
        <f aca="false">$G4807*'Analyse capacite'!$D$9</f>
        <v>0</v>
      </c>
      <c r="K4807" s="135" t="n">
        <f aca="false">$G4807*'Analyse capacite'!$E$9</f>
        <v>0</v>
      </c>
    </row>
    <row r="4808" customFormat="false" ht="15" hidden="false" customHeight="false" outlineLevel="0" collapsed="false">
      <c r="B4808" s="130" t="n">
        <v>2027</v>
      </c>
      <c r="C4808" s="131" t="s">
        <v>250</v>
      </c>
      <c r="D4808" s="132" t="n">
        <v>46611</v>
      </c>
      <c r="E4808" s="131" t="s">
        <v>14</v>
      </c>
      <c r="F4808" s="133" t="s">
        <v>11</v>
      </c>
      <c r="G4808" s="134" t="n">
        <f aca="false">LEN('Saisie programme'!$G$184)+SUMIFS('Vols additionnels'!$E$7:$E$66,'Vols additionnels'!$C$7:$C$66,$E4808,'Vols additionnels'!$D$7:$D$66,$F4808,'Vols additionnels'!$B$7:$B$66,$D4808)</f>
        <v>0</v>
      </c>
      <c r="H4808" s="135" t="n">
        <f aca="false">$G4808*'Analyse capacite'!$F$7</f>
        <v>0</v>
      </c>
      <c r="I4808" s="135" t="n">
        <f aca="false">$G4808*'Analyse capacite'!$C$7</f>
        <v>0</v>
      </c>
      <c r="J4808" s="135" t="n">
        <f aca="false">$G4808*'Analyse capacite'!$D$7</f>
        <v>0</v>
      </c>
      <c r="K4808" s="135" t="n">
        <f aca="false">$G4808*'Analyse capacite'!$E$7</f>
        <v>0</v>
      </c>
    </row>
    <row r="4809" customFormat="false" ht="15" hidden="false" customHeight="false" outlineLevel="0" collapsed="false">
      <c r="B4809" s="130" t="n">
        <v>2027</v>
      </c>
      <c r="C4809" s="131" t="s">
        <v>250</v>
      </c>
      <c r="D4809" s="132" t="n">
        <v>46611</v>
      </c>
      <c r="E4809" s="131" t="s">
        <v>14</v>
      </c>
      <c r="F4809" s="133" t="s">
        <v>19</v>
      </c>
      <c r="G4809" s="134" t="n">
        <f aca="false">LEN('Saisie programme'!$G$185)+SUMIFS('Vols additionnels'!$E$7:$E$66,'Vols additionnels'!$C$7:$C$66,$E4809,'Vols additionnels'!$D$7:$D$66,$F4809,'Vols additionnels'!$B$7:$B$66,$D4809)</f>
        <v>0</v>
      </c>
      <c r="H4809" s="135" t="n">
        <f aca="false">$G4809*'Analyse capacite'!$F$8</f>
        <v>0</v>
      </c>
      <c r="I4809" s="135" t="n">
        <f aca="false">$G4809*'Analyse capacite'!$C$8</f>
        <v>0</v>
      </c>
      <c r="J4809" s="135" t="n">
        <f aca="false">$G4809*'Analyse capacite'!$D$8</f>
        <v>0</v>
      </c>
      <c r="K4809" s="135" t="n">
        <f aca="false">$G4809*'Analyse capacite'!$E$8</f>
        <v>0</v>
      </c>
    </row>
    <row r="4810" customFormat="false" ht="15" hidden="false" customHeight="false" outlineLevel="0" collapsed="false">
      <c r="B4810" s="130" t="n">
        <v>2027</v>
      </c>
      <c r="C4810" s="131" t="s">
        <v>250</v>
      </c>
      <c r="D4810" s="132" t="n">
        <v>46611</v>
      </c>
      <c r="E4810" s="131" t="s">
        <v>14</v>
      </c>
      <c r="F4810" s="133" t="s">
        <v>24</v>
      </c>
      <c r="G4810" s="134" t="n">
        <f aca="false">LEN('Saisie programme'!$G$186)+SUMIFS('Vols additionnels'!$E$7:$E$66,'Vols additionnels'!$C$7:$C$66,$E4810,'Vols additionnels'!$D$7:$D$66,$F4810,'Vols additionnels'!$B$7:$B$66,$D4810)</f>
        <v>1</v>
      </c>
      <c r="H4810" s="135" t="n">
        <f aca="false">$G4810*'Analyse capacite'!$F$9</f>
        <v>174</v>
      </c>
      <c r="I4810" s="135" t="n">
        <f aca="false">$G4810*'Analyse capacite'!$C$9</f>
        <v>0</v>
      </c>
      <c r="J4810" s="135" t="n">
        <f aca="false">$G4810*'Analyse capacite'!$D$9</f>
        <v>12</v>
      </c>
      <c r="K4810" s="135" t="n">
        <f aca="false">$G4810*'Analyse capacite'!$E$9</f>
        <v>162</v>
      </c>
    </row>
    <row r="4811" customFormat="false" ht="15" hidden="false" customHeight="false" outlineLevel="0" collapsed="false">
      <c r="B4811" s="130" t="n">
        <v>2027</v>
      </c>
      <c r="C4811" s="131" t="s">
        <v>250</v>
      </c>
      <c r="D4811" s="132" t="n">
        <v>46611</v>
      </c>
      <c r="E4811" s="131" t="s">
        <v>46</v>
      </c>
      <c r="F4811" s="133" t="s">
        <v>11</v>
      </c>
      <c r="G4811" s="134" t="n">
        <f aca="false">LEN('Saisie programme'!$G$187)+SUMIFS('Vols additionnels'!$E$7:$E$66,'Vols additionnels'!$C$7:$C$66,$E4811,'Vols additionnels'!$D$7:$D$66,$F4811,'Vols additionnels'!$B$7:$B$66,$D4811)</f>
        <v>0</v>
      </c>
      <c r="H4811" s="135" t="n">
        <f aca="false">$G4811*'Analyse capacite'!$F$7</f>
        <v>0</v>
      </c>
      <c r="I4811" s="135" t="n">
        <f aca="false">$G4811*'Analyse capacite'!$C$7</f>
        <v>0</v>
      </c>
      <c r="J4811" s="135" t="n">
        <f aca="false">$G4811*'Analyse capacite'!$D$7</f>
        <v>0</v>
      </c>
      <c r="K4811" s="135" t="n">
        <f aca="false">$G4811*'Analyse capacite'!$E$7</f>
        <v>0</v>
      </c>
    </row>
    <row r="4812" customFormat="false" ht="15" hidden="false" customHeight="false" outlineLevel="0" collapsed="false">
      <c r="B4812" s="130" t="n">
        <v>2027</v>
      </c>
      <c r="C4812" s="131" t="s">
        <v>250</v>
      </c>
      <c r="D4812" s="132" t="n">
        <v>46611</v>
      </c>
      <c r="E4812" s="131" t="s">
        <v>46</v>
      </c>
      <c r="F4812" s="133" t="s">
        <v>19</v>
      </c>
      <c r="G4812" s="134" t="n">
        <f aca="false">LEN('Saisie programme'!$G$188)+SUMIFS('Vols additionnels'!$E$7:$E$66,'Vols additionnels'!$C$7:$C$66,$E4812,'Vols additionnels'!$D$7:$D$66,$F4812,'Vols additionnels'!$B$7:$B$66,$D4812)</f>
        <v>0</v>
      </c>
      <c r="H4812" s="135" t="n">
        <f aca="false">$G4812*'Analyse capacite'!$F$8</f>
        <v>0</v>
      </c>
      <c r="I4812" s="135" t="n">
        <f aca="false">$G4812*'Analyse capacite'!$C$8</f>
        <v>0</v>
      </c>
      <c r="J4812" s="135" t="n">
        <f aca="false">$G4812*'Analyse capacite'!$D$8</f>
        <v>0</v>
      </c>
      <c r="K4812" s="135" t="n">
        <f aca="false">$G4812*'Analyse capacite'!$E$8</f>
        <v>0</v>
      </c>
    </row>
    <row r="4813" customFormat="false" ht="15" hidden="false" customHeight="false" outlineLevel="0" collapsed="false">
      <c r="B4813" s="130" t="n">
        <v>2027</v>
      </c>
      <c r="C4813" s="131" t="s">
        <v>250</v>
      </c>
      <c r="D4813" s="132" t="n">
        <v>46611</v>
      </c>
      <c r="E4813" s="131" t="s">
        <v>46</v>
      </c>
      <c r="F4813" s="133" t="s">
        <v>24</v>
      </c>
      <c r="G4813" s="134" t="n">
        <f aca="false">LEN('Saisie programme'!$G$189)+SUMIFS('Vols additionnels'!$E$7:$E$66,'Vols additionnels'!$C$7:$C$66,$E4813,'Vols additionnels'!$D$7:$D$66,$F4813,'Vols additionnels'!$B$7:$B$66,$D4813)</f>
        <v>1</v>
      </c>
      <c r="H4813" s="135" t="n">
        <f aca="false">$G4813*'Analyse capacite'!$F$9</f>
        <v>174</v>
      </c>
      <c r="I4813" s="135" t="n">
        <f aca="false">$G4813*'Analyse capacite'!$C$9</f>
        <v>0</v>
      </c>
      <c r="J4813" s="135" t="n">
        <f aca="false">$G4813*'Analyse capacite'!$D$9</f>
        <v>12</v>
      </c>
      <c r="K4813" s="135" t="n">
        <f aca="false">$G4813*'Analyse capacite'!$E$9</f>
        <v>162</v>
      </c>
    </row>
    <row r="4814" customFormat="false" ht="15" hidden="false" customHeight="false" outlineLevel="0" collapsed="false">
      <c r="B4814" s="130" t="n">
        <v>2027</v>
      </c>
      <c r="C4814" s="131" t="s">
        <v>250</v>
      </c>
      <c r="D4814" s="132" t="n">
        <v>46611</v>
      </c>
      <c r="E4814" s="131" t="s">
        <v>49</v>
      </c>
      <c r="F4814" s="133" t="s">
        <v>11</v>
      </c>
      <c r="G4814" s="134" t="n">
        <f aca="false">LEN('Saisie programme'!$G$190)+SUMIFS('Vols additionnels'!$E$7:$E$66,'Vols additionnels'!$C$7:$C$66,$E4814,'Vols additionnels'!$D$7:$D$66,$F4814,'Vols additionnels'!$B$7:$B$66,$D4814)</f>
        <v>0</v>
      </c>
      <c r="H4814" s="135" t="n">
        <f aca="false">$G4814*'Analyse capacite'!$F$7</f>
        <v>0</v>
      </c>
      <c r="I4814" s="135" t="n">
        <f aca="false">$G4814*'Analyse capacite'!$C$7</f>
        <v>0</v>
      </c>
      <c r="J4814" s="135" t="n">
        <f aca="false">$G4814*'Analyse capacite'!$D$7</f>
        <v>0</v>
      </c>
      <c r="K4814" s="135" t="n">
        <f aca="false">$G4814*'Analyse capacite'!$E$7</f>
        <v>0</v>
      </c>
    </row>
    <row r="4815" customFormat="false" ht="15" hidden="false" customHeight="false" outlineLevel="0" collapsed="false">
      <c r="B4815" s="130" t="n">
        <v>2027</v>
      </c>
      <c r="C4815" s="131" t="s">
        <v>250</v>
      </c>
      <c r="D4815" s="132" t="n">
        <v>46611</v>
      </c>
      <c r="E4815" s="131" t="s">
        <v>49</v>
      </c>
      <c r="F4815" s="133" t="s">
        <v>19</v>
      </c>
      <c r="G4815" s="134" t="n">
        <f aca="false">LEN('Saisie programme'!$G$191)+SUMIFS('Vols additionnels'!$E$7:$E$66,'Vols additionnels'!$C$7:$C$66,$E4815,'Vols additionnels'!$D$7:$D$66,$F4815,'Vols additionnels'!$B$7:$B$66,$D4815)</f>
        <v>0</v>
      </c>
      <c r="H4815" s="135" t="n">
        <f aca="false">$G4815*'Analyse capacite'!$F$8</f>
        <v>0</v>
      </c>
      <c r="I4815" s="135" t="n">
        <f aca="false">$G4815*'Analyse capacite'!$C$8</f>
        <v>0</v>
      </c>
      <c r="J4815" s="135" t="n">
        <f aca="false">$G4815*'Analyse capacite'!$D$8</f>
        <v>0</v>
      </c>
      <c r="K4815" s="135" t="n">
        <f aca="false">$G4815*'Analyse capacite'!$E$8</f>
        <v>0</v>
      </c>
    </row>
    <row r="4816" customFormat="false" ht="15" hidden="false" customHeight="false" outlineLevel="0" collapsed="false">
      <c r="B4816" s="130" t="n">
        <v>2027</v>
      </c>
      <c r="C4816" s="131" t="s">
        <v>250</v>
      </c>
      <c r="D4816" s="132" t="n">
        <v>46611</v>
      </c>
      <c r="E4816" s="131" t="s">
        <v>49</v>
      </c>
      <c r="F4816" s="133" t="s">
        <v>24</v>
      </c>
      <c r="G4816" s="134" t="n">
        <f aca="false">LEN('Saisie programme'!$G$192)+SUMIFS('Vols additionnels'!$E$7:$E$66,'Vols additionnels'!$C$7:$C$66,$E4816,'Vols additionnels'!$D$7:$D$66,$F4816,'Vols additionnels'!$B$7:$B$66,$D4816)</f>
        <v>0</v>
      </c>
      <c r="H4816" s="135" t="n">
        <f aca="false">$G4816*'Analyse capacite'!$F$9</f>
        <v>0</v>
      </c>
      <c r="I4816" s="135" t="n">
        <f aca="false">$G4816*'Analyse capacite'!$C$9</f>
        <v>0</v>
      </c>
      <c r="J4816" s="135" t="n">
        <f aca="false">$G4816*'Analyse capacite'!$D$9</f>
        <v>0</v>
      </c>
      <c r="K4816" s="135" t="n">
        <f aca="false">$G4816*'Analyse capacite'!$E$9</f>
        <v>0</v>
      </c>
    </row>
    <row r="4817" customFormat="false" ht="15" hidden="false" customHeight="false" outlineLevel="0" collapsed="false">
      <c r="B4817" s="130" t="n">
        <v>2027</v>
      </c>
      <c r="C4817" s="131" t="s">
        <v>250</v>
      </c>
      <c r="D4817" s="132" t="n">
        <v>46611</v>
      </c>
      <c r="E4817" s="131" t="s">
        <v>53</v>
      </c>
      <c r="F4817" s="133" t="s">
        <v>11</v>
      </c>
      <c r="G4817" s="134" t="n">
        <f aca="false">LEN('Saisie programme'!$G$193)+SUMIFS('Vols additionnels'!$E$7:$E$66,'Vols additionnels'!$C$7:$C$66,$E4817,'Vols additionnels'!$D$7:$D$66,$F4817,'Vols additionnels'!$B$7:$B$66,$D4817)</f>
        <v>0</v>
      </c>
      <c r="H4817" s="135" t="n">
        <f aca="false">$G4817*'Analyse capacite'!$F$7</f>
        <v>0</v>
      </c>
      <c r="I4817" s="135" t="n">
        <f aca="false">$G4817*'Analyse capacite'!$C$7</f>
        <v>0</v>
      </c>
      <c r="J4817" s="135" t="n">
        <f aca="false">$G4817*'Analyse capacite'!$D$7</f>
        <v>0</v>
      </c>
      <c r="K4817" s="135" t="n">
        <f aca="false">$G4817*'Analyse capacite'!$E$7</f>
        <v>0</v>
      </c>
    </row>
    <row r="4818" customFormat="false" ht="15" hidden="false" customHeight="false" outlineLevel="0" collapsed="false">
      <c r="B4818" s="130" t="n">
        <v>2027</v>
      </c>
      <c r="C4818" s="131" t="s">
        <v>250</v>
      </c>
      <c r="D4818" s="132" t="n">
        <v>46611</v>
      </c>
      <c r="E4818" s="131" t="s">
        <v>53</v>
      </c>
      <c r="F4818" s="133" t="s">
        <v>19</v>
      </c>
      <c r="G4818" s="134" t="n">
        <f aca="false">LEN('Saisie programme'!$G$194)+SUMIFS('Vols additionnels'!$E$7:$E$66,'Vols additionnels'!$C$7:$C$66,$E4818,'Vols additionnels'!$D$7:$D$66,$F4818,'Vols additionnels'!$B$7:$B$66,$D4818)</f>
        <v>1</v>
      </c>
      <c r="H4818" s="135" t="n">
        <f aca="false">$G4818*'Analyse capacite'!$F$8</f>
        <v>262</v>
      </c>
      <c r="I4818" s="135" t="n">
        <f aca="false">$G4818*'Analyse capacite'!$C$8</f>
        <v>18</v>
      </c>
      <c r="J4818" s="135" t="n">
        <f aca="false">$G4818*'Analyse capacite'!$D$8</f>
        <v>0</v>
      </c>
      <c r="K4818" s="135" t="n">
        <f aca="false">$G4818*'Analyse capacite'!$E$8</f>
        <v>244</v>
      </c>
    </row>
    <row r="4819" customFormat="false" ht="15" hidden="false" customHeight="false" outlineLevel="0" collapsed="false">
      <c r="B4819" s="130" t="n">
        <v>2027</v>
      </c>
      <c r="C4819" s="131" t="s">
        <v>250</v>
      </c>
      <c r="D4819" s="132" t="n">
        <v>46611</v>
      </c>
      <c r="E4819" s="131" t="s">
        <v>53</v>
      </c>
      <c r="F4819" s="133" t="s">
        <v>24</v>
      </c>
      <c r="G4819" s="134" t="n">
        <f aca="false">LEN('Saisie programme'!$G$195)+SUMIFS('Vols additionnels'!$E$7:$E$66,'Vols additionnels'!$C$7:$C$66,$E4819,'Vols additionnels'!$D$7:$D$66,$F4819,'Vols additionnels'!$B$7:$B$66,$D4819)</f>
        <v>0</v>
      </c>
      <c r="H4819" s="135" t="n">
        <f aca="false">$G4819*'Analyse capacite'!$F$9</f>
        <v>0</v>
      </c>
      <c r="I4819" s="135" t="n">
        <f aca="false">$G4819*'Analyse capacite'!$C$9</f>
        <v>0</v>
      </c>
      <c r="J4819" s="135" t="n">
        <f aca="false">$G4819*'Analyse capacite'!$D$9</f>
        <v>0</v>
      </c>
      <c r="K4819" s="135" t="n">
        <f aca="false">$G4819*'Analyse capacite'!$E$9</f>
        <v>0</v>
      </c>
    </row>
    <row r="4820" customFormat="false" ht="15" hidden="false" customHeight="false" outlineLevel="0" collapsed="false">
      <c r="B4820" s="130" t="n">
        <v>2027</v>
      </c>
      <c r="C4820" s="131" t="s">
        <v>250</v>
      </c>
      <c r="D4820" s="132" t="n">
        <v>46611</v>
      </c>
      <c r="E4820" s="131" t="s">
        <v>56</v>
      </c>
      <c r="F4820" s="133" t="s">
        <v>11</v>
      </c>
      <c r="G4820" s="134" t="n">
        <f aca="false">LEN('Saisie programme'!$G$196)+SUMIFS('Vols additionnels'!$E$7:$E$66,'Vols additionnels'!$C$7:$C$66,$E4820,'Vols additionnels'!$D$7:$D$66,$F4820,'Vols additionnels'!$B$7:$B$66,$D4820)</f>
        <v>0</v>
      </c>
      <c r="H4820" s="135" t="n">
        <f aca="false">$G4820*'Analyse capacite'!$F$7</f>
        <v>0</v>
      </c>
      <c r="I4820" s="135" t="n">
        <f aca="false">$G4820*'Analyse capacite'!$C$7</f>
        <v>0</v>
      </c>
      <c r="J4820" s="135" t="n">
        <f aca="false">$G4820*'Analyse capacite'!$D$7</f>
        <v>0</v>
      </c>
      <c r="K4820" s="135" t="n">
        <f aca="false">$G4820*'Analyse capacite'!$E$7</f>
        <v>0</v>
      </c>
    </row>
    <row r="4821" customFormat="false" ht="15" hidden="false" customHeight="false" outlineLevel="0" collapsed="false">
      <c r="B4821" s="130" t="n">
        <v>2027</v>
      </c>
      <c r="C4821" s="131" t="s">
        <v>250</v>
      </c>
      <c r="D4821" s="132" t="n">
        <v>46611</v>
      </c>
      <c r="E4821" s="131" t="s">
        <v>56</v>
      </c>
      <c r="F4821" s="133" t="s">
        <v>19</v>
      </c>
      <c r="G4821" s="134" t="n">
        <f aca="false">LEN('Saisie programme'!$G$197)+SUMIFS('Vols additionnels'!$E$7:$E$66,'Vols additionnels'!$C$7:$C$66,$E4821,'Vols additionnels'!$D$7:$D$66,$F4821,'Vols additionnels'!$B$7:$B$66,$D4821)</f>
        <v>0</v>
      </c>
      <c r="H4821" s="135" t="n">
        <f aca="false">$G4821*'Analyse capacite'!$F$8</f>
        <v>0</v>
      </c>
      <c r="I4821" s="135" t="n">
        <f aca="false">$G4821*'Analyse capacite'!$C$8</f>
        <v>0</v>
      </c>
      <c r="J4821" s="135" t="n">
        <f aca="false">$G4821*'Analyse capacite'!$D$8</f>
        <v>0</v>
      </c>
      <c r="K4821" s="135" t="n">
        <f aca="false">$G4821*'Analyse capacite'!$E$8</f>
        <v>0</v>
      </c>
    </row>
    <row r="4822" customFormat="false" ht="15" hidden="false" customHeight="false" outlineLevel="0" collapsed="false">
      <c r="B4822" s="130" t="n">
        <v>2027</v>
      </c>
      <c r="C4822" s="131" t="s">
        <v>250</v>
      </c>
      <c r="D4822" s="132" t="n">
        <v>46611</v>
      </c>
      <c r="E4822" s="131" t="s">
        <v>56</v>
      </c>
      <c r="F4822" s="133" t="s">
        <v>24</v>
      </c>
      <c r="G4822" s="134" t="n">
        <f aca="false">LEN('Saisie programme'!$G$198)+SUMIFS('Vols additionnels'!$E$7:$E$66,'Vols additionnels'!$C$7:$C$66,$E4822,'Vols additionnels'!$D$7:$D$66,$F4822,'Vols additionnels'!$B$7:$B$66,$D4822)</f>
        <v>0</v>
      </c>
      <c r="H4822" s="135" t="n">
        <f aca="false">$G4822*'Analyse capacite'!$F$9</f>
        <v>0</v>
      </c>
      <c r="I4822" s="135" t="n">
        <f aca="false">$G4822*'Analyse capacite'!$C$9</f>
        <v>0</v>
      </c>
      <c r="J4822" s="135" t="n">
        <f aca="false">$G4822*'Analyse capacite'!$D$9</f>
        <v>0</v>
      </c>
      <c r="K4822" s="135" t="n">
        <f aca="false">$G4822*'Analyse capacite'!$E$9</f>
        <v>0</v>
      </c>
    </row>
    <row r="4823" customFormat="false" ht="15" hidden="false" customHeight="false" outlineLevel="0" collapsed="false">
      <c r="B4823" s="130" t="n">
        <v>2027</v>
      </c>
      <c r="C4823" s="131" t="s">
        <v>250</v>
      </c>
      <c r="D4823" s="132" t="n">
        <v>46611</v>
      </c>
      <c r="E4823" s="131" t="s">
        <v>59</v>
      </c>
      <c r="F4823" s="133" t="s">
        <v>11</v>
      </c>
      <c r="G4823" s="134" t="n">
        <f aca="false">LEN('Saisie programme'!$G$199)+SUMIFS('Vols additionnels'!$E$7:$E$66,'Vols additionnels'!$C$7:$C$66,$E4823,'Vols additionnels'!$D$7:$D$66,$F4823,'Vols additionnels'!$B$7:$B$66,$D4823)</f>
        <v>0</v>
      </c>
      <c r="H4823" s="135" t="n">
        <f aca="false">$G4823*'Analyse capacite'!$F$7</f>
        <v>0</v>
      </c>
      <c r="I4823" s="135" t="n">
        <f aca="false">$G4823*'Analyse capacite'!$C$7</f>
        <v>0</v>
      </c>
      <c r="J4823" s="135" t="n">
        <f aca="false">$G4823*'Analyse capacite'!$D$7</f>
        <v>0</v>
      </c>
      <c r="K4823" s="135" t="n">
        <f aca="false">$G4823*'Analyse capacite'!$E$7</f>
        <v>0</v>
      </c>
    </row>
    <row r="4824" customFormat="false" ht="15" hidden="false" customHeight="false" outlineLevel="0" collapsed="false">
      <c r="B4824" s="130" t="n">
        <v>2027</v>
      </c>
      <c r="C4824" s="131" t="s">
        <v>250</v>
      </c>
      <c r="D4824" s="132" t="n">
        <v>46611</v>
      </c>
      <c r="E4824" s="131" t="s">
        <v>59</v>
      </c>
      <c r="F4824" s="133" t="s">
        <v>19</v>
      </c>
      <c r="G4824" s="134" t="n">
        <f aca="false">LEN('Saisie programme'!$G$200)+SUMIFS('Vols additionnels'!$E$7:$E$66,'Vols additionnels'!$C$7:$C$66,$E4824,'Vols additionnels'!$D$7:$D$66,$F4824,'Vols additionnels'!$B$7:$B$66,$D4824)</f>
        <v>0</v>
      </c>
      <c r="H4824" s="135" t="n">
        <f aca="false">$G4824*'Analyse capacite'!$F$8</f>
        <v>0</v>
      </c>
      <c r="I4824" s="135" t="n">
        <f aca="false">$G4824*'Analyse capacite'!$C$8</f>
        <v>0</v>
      </c>
      <c r="J4824" s="135" t="n">
        <f aca="false">$G4824*'Analyse capacite'!$D$8</f>
        <v>0</v>
      </c>
      <c r="K4824" s="135" t="n">
        <f aca="false">$G4824*'Analyse capacite'!$E$8</f>
        <v>0</v>
      </c>
    </row>
    <row r="4825" customFormat="false" ht="15" hidden="false" customHeight="false" outlineLevel="0" collapsed="false">
      <c r="B4825" s="130" t="n">
        <v>2027</v>
      </c>
      <c r="C4825" s="131" t="s">
        <v>250</v>
      </c>
      <c r="D4825" s="132" t="n">
        <v>46611</v>
      </c>
      <c r="E4825" s="131" t="s">
        <v>59</v>
      </c>
      <c r="F4825" s="133" t="s">
        <v>24</v>
      </c>
      <c r="G4825" s="134" t="n">
        <f aca="false">LEN('Saisie programme'!$G$201)+SUMIFS('Vols additionnels'!$E$7:$E$66,'Vols additionnels'!$C$7:$C$66,$E4825,'Vols additionnels'!$D$7:$D$66,$F4825,'Vols additionnels'!$B$7:$B$66,$D4825)</f>
        <v>2</v>
      </c>
      <c r="H4825" s="135" t="n">
        <f aca="false">$G4825*'Analyse capacite'!$F$9</f>
        <v>348</v>
      </c>
      <c r="I4825" s="135" t="n">
        <f aca="false">$G4825*'Analyse capacite'!$C$9</f>
        <v>0</v>
      </c>
      <c r="J4825" s="135" t="n">
        <f aca="false">$G4825*'Analyse capacite'!$D$9</f>
        <v>24</v>
      </c>
      <c r="K4825" s="135" t="n">
        <f aca="false">$G4825*'Analyse capacite'!$E$9</f>
        <v>324</v>
      </c>
    </row>
    <row r="4826" customFormat="false" ht="15" hidden="false" customHeight="false" outlineLevel="0" collapsed="false">
      <c r="B4826" s="130" t="n">
        <v>2027</v>
      </c>
      <c r="C4826" s="131" t="s">
        <v>250</v>
      </c>
      <c r="D4826" s="132" t="n">
        <v>46611</v>
      </c>
      <c r="E4826" s="131" t="s">
        <v>62</v>
      </c>
      <c r="F4826" s="133" t="s">
        <v>11</v>
      </c>
      <c r="G4826" s="134" t="n">
        <f aca="false">LEN('Saisie programme'!$G$202)+SUMIFS('Vols additionnels'!$E$7:$E$66,'Vols additionnels'!$C$7:$C$66,$E4826,'Vols additionnels'!$D$7:$D$66,$F4826,'Vols additionnels'!$B$7:$B$66,$D4826)</f>
        <v>0</v>
      </c>
      <c r="H4826" s="135" t="n">
        <f aca="false">$G4826*'Analyse capacite'!$F$7</f>
        <v>0</v>
      </c>
      <c r="I4826" s="135" t="n">
        <f aca="false">$G4826*'Analyse capacite'!$C$7</f>
        <v>0</v>
      </c>
      <c r="J4826" s="135" t="n">
        <f aca="false">$G4826*'Analyse capacite'!$D$7</f>
        <v>0</v>
      </c>
      <c r="K4826" s="135" t="n">
        <f aca="false">$G4826*'Analyse capacite'!$E$7</f>
        <v>0</v>
      </c>
    </row>
    <row r="4827" customFormat="false" ht="15" hidden="false" customHeight="false" outlineLevel="0" collapsed="false">
      <c r="B4827" s="130" t="n">
        <v>2027</v>
      </c>
      <c r="C4827" s="131" t="s">
        <v>250</v>
      </c>
      <c r="D4827" s="132" t="n">
        <v>46611</v>
      </c>
      <c r="E4827" s="131" t="s">
        <v>62</v>
      </c>
      <c r="F4827" s="133" t="s">
        <v>19</v>
      </c>
      <c r="G4827" s="134" t="n">
        <f aca="false">LEN('Saisie programme'!$G$203)+SUMIFS('Vols additionnels'!$E$7:$E$66,'Vols additionnels'!$C$7:$C$66,$E4827,'Vols additionnels'!$D$7:$D$66,$F4827,'Vols additionnels'!$B$7:$B$66,$D4827)</f>
        <v>0</v>
      </c>
      <c r="H4827" s="135" t="n">
        <f aca="false">$G4827*'Analyse capacite'!$F$8</f>
        <v>0</v>
      </c>
      <c r="I4827" s="135" t="n">
        <f aca="false">$G4827*'Analyse capacite'!$C$8</f>
        <v>0</v>
      </c>
      <c r="J4827" s="135" t="n">
        <f aca="false">$G4827*'Analyse capacite'!$D$8</f>
        <v>0</v>
      </c>
      <c r="K4827" s="135" t="n">
        <f aca="false">$G4827*'Analyse capacite'!$E$8</f>
        <v>0</v>
      </c>
    </row>
    <row r="4828" customFormat="false" ht="15" hidden="false" customHeight="false" outlineLevel="0" collapsed="false">
      <c r="B4828" s="130" t="n">
        <v>2027</v>
      </c>
      <c r="C4828" s="131" t="s">
        <v>250</v>
      </c>
      <c r="D4828" s="132" t="n">
        <v>46611</v>
      </c>
      <c r="E4828" s="131" t="s">
        <v>62</v>
      </c>
      <c r="F4828" s="133" t="s">
        <v>24</v>
      </c>
      <c r="G4828" s="134" t="n">
        <f aca="false">LEN('Saisie programme'!$G$204)+SUMIFS('Vols additionnels'!$E$7:$E$66,'Vols additionnels'!$C$7:$C$66,$E4828,'Vols additionnels'!$D$7:$D$66,$F4828,'Vols additionnels'!$B$7:$B$66,$D4828)</f>
        <v>0</v>
      </c>
      <c r="H4828" s="135" t="n">
        <f aca="false">$G4828*'Analyse capacite'!$F$9</f>
        <v>0</v>
      </c>
      <c r="I4828" s="135" t="n">
        <f aca="false">$G4828*'Analyse capacite'!$C$9</f>
        <v>0</v>
      </c>
      <c r="J4828" s="135" t="n">
        <f aca="false">$G4828*'Analyse capacite'!$D$9</f>
        <v>0</v>
      </c>
      <c r="K4828" s="135" t="n">
        <f aca="false">$G4828*'Analyse capacite'!$E$9</f>
        <v>0</v>
      </c>
    </row>
    <row r="4829" customFormat="false" ht="15" hidden="false" customHeight="false" outlineLevel="0" collapsed="false">
      <c r="B4829" s="130" t="n">
        <v>2027</v>
      </c>
      <c r="C4829" s="131" t="s">
        <v>250</v>
      </c>
      <c r="D4829" s="132" t="n">
        <v>46612</v>
      </c>
      <c r="E4829" s="131" t="s">
        <v>12</v>
      </c>
      <c r="F4829" s="133" t="s">
        <v>11</v>
      </c>
      <c r="G4829" s="134" t="n">
        <f aca="false">LEN('Saisie programme'!$H$169)+SUMIFS('Vols additionnels'!$E$7:$E$66,'Vols additionnels'!$C$7:$C$66,$E4829,'Vols additionnels'!$D$7:$D$66,$F4829,'Vols additionnels'!$B$7:$B$66,$D4829)</f>
        <v>1</v>
      </c>
      <c r="H4829" s="135" t="n">
        <f aca="false">$G4829*'Analyse capacite'!$F$7</f>
        <v>438</v>
      </c>
      <c r="I4829" s="135" t="n">
        <f aca="false">$G4829*'Analyse capacite'!$C$7</f>
        <v>14</v>
      </c>
      <c r="J4829" s="135" t="n">
        <f aca="false">$G4829*'Analyse capacite'!$D$7</f>
        <v>40</v>
      </c>
      <c r="K4829" s="135" t="n">
        <f aca="false">$G4829*'Analyse capacite'!$E$7</f>
        <v>384</v>
      </c>
    </row>
    <row r="4830" customFormat="false" ht="15" hidden="false" customHeight="false" outlineLevel="0" collapsed="false">
      <c r="B4830" s="130" t="n">
        <v>2027</v>
      </c>
      <c r="C4830" s="131" t="s">
        <v>250</v>
      </c>
      <c r="D4830" s="132" t="n">
        <v>46612</v>
      </c>
      <c r="E4830" s="131" t="s">
        <v>12</v>
      </c>
      <c r="F4830" s="133" t="s">
        <v>19</v>
      </c>
      <c r="G4830" s="134" t="n">
        <f aca="false">LEN('Saisie programme'!$H$170)+SUMIFS('Vols additionnels'!$E$7:$E$66,'Vols additionnels'!$C$7:$C$66,$E4830,'Vols additionnels'!$D$7:$D$66,$F4830,'Vols additionnels'!$B$7:$B$66,$D4830)</f>
        <v>1</v>
      </c>
      <c r="H4830" s="135" t="n">
        <f aca="false">$G4830*'Analyse capacite'!$F$8</f>
        <v>262</v>
      </c>
      <c r="I4830" s="135" t="n">
        <f aca="false">$G4830*'Analyse capacite'!$C$8</f>
        <v>18</v>
      </c>
      <c r="J4830" s="135" t="n">
        <f aca="false">$G4830*'Analyse capacite'!$D$8</f>
        <v>0</v>
      </c>
      <c r="K4830" s="135" t="n">
        <f aca="false">$G4830*'Analyse capacite'!$E$8</f>
        <v>244</v>
      </c>
    </row>
    <row r="4831" customFormat="false" ht="15" hidden="false" customHeight="false" outlineLevel="0" collapsed="false">
      <c r="B4831" s="130" t="n">
        <v>2027</v>
      </c>
      <c r="C4831" s="131" t="s">
        <v>250</v>
      </c>
      <c r="D4831" s="132" t="n">
        <v>46612</v>
      </c>
      <c r="E4831" s="131" t="s">
        <v>12</v>
      </c>
      <c r="F4831" s="133" t="s">
        <v>24</v>
      </c>
      <c r="G4831" s="134" t="n">
        <f aca="false">LEN('Saisie programme'!$H$171)+SUMIFS('Vols additionnels'!$E$7:$E$66,'Vols additionnels'!$C$7:$C$66,$E4831,'Vols additionnels'!$D$7:$D$66,$F4831,'Vols additionnels'!$B$7:$B$66,$D4831)</f>
        <v>0</v>
      </c>
      <c r="H4831" s="135" t="n">
        <f aca="false">$G4831*'Analyse capacite'!$F$9</f>
        <v>0</v>
      </c>
      <c r="I4831" s="135" t="n">
        <f aca="false">$G4831*'Analyse capacite'!$C$9</f>
        <v>0</v>
      </c>
      <c r="J4831" s="135" t="n">
        <f aca="false">$G4831*'Analyse capacite'!$D$9</f>
        <v>0</v>
      </c>
      <c r="K4831" s="135" t="n">
        <f aca="false">$G4831*'Analyse capacite'!$E$9</f>
        <v>0</v>
      </c>
    </row>
    <row r="4832" customFormat="false" ht="15" hidden="false" customHeight="false" outlineLevel="0" collapsed="false">
      <c r="B4832" s="130" t="n">
        <v>2027</v>
      </c>
      <c r="C4832" s="131" t="s">
        <v>250</v>
      </c>
      <c r="D4832" s="132" t="n">
        <v>46612</v>
      </c>
      <c r="E4832" s="131" t="s">
        <v>20</v>
      </c>
      <c r="F4832" s="133" t="s">
        <v>11</v>
      </c>
      <c r="G4832" s="134" t="n">
        <f aca="false">LEN('Saisie programme'!$H$172)+SUMIFS('Vols additionnels'!$E$7:$E$66,'Vols additionnels'!$C$7:$C$66,$E4832,'Vols additionnels'!$D$7:$D$66,$F4832,'Vols additionnels'!$B$7:$B$66,$D4832)</f>
        <v>0</v>
      </c>
      <c r="H4832" s="135" t="n">
        <f aca="false">$G4832*'Analyse capacite'!$F$7</f>
        <v>0</v>
      </c>
      <c r="I4832" s="135" t="n">
        <f aca="false">$G4832*'Analyse capacite'!$C$7</f>
        <v>0</v>
      </c>
      <c r="J4832" s="135" t="n">
        <f aca="false">$G4832*'Analyse capacite'!$D$7</f>
        <v>0</v>
      </c>
      <c r="K4832" s="135" t="n">
        <f aca="false">$G4832*'Analyse capacite'!$E$7</f>
        <v>0</v>
      </c>
    </row>
    <row r="4833" customFormat="false" ht="15" hidden="false" customHeight="false" outlineLevel="0" collapsed="false">
      <c r="B4833" s="130" t="n">
        <v>2027</v>
      </c>
      <c r="C4833" s="131" t="s">
        <v>250</v>
      </c>
      <c r="D4833" s="132" t="n">
        <v>46612</v>
      </c>
      <c r="E4833" s="131" t="s">
        <v>20</v>
      </c>
      <c r="F4833" s="133" t="s">
        <v>19</v>
      </c>
      <c r="G4833" s="134" t="n">
        <f aca="false">LEN('Saisie programme'!$H$173)+SUMIFS('Vols additionnels'!$E$7:$E$66,'Vols additionnels'!$C$7:$C$66,$E4833,'Vols additionnels'!$D$7:$D$66,$F4833,'Vols additionnels'!$B$7:$B$66,$D4833)</f>
        <v>1</v>
      </c>
      <c r="H4833" s="135" t="n">
        <f aca="false">$G4833*'Analyse capacite'!$F$8</f>
        <v>262</v>
      </c>
      <c r="I4833" s="135" t="n">
        <f aca="false">$G4833*'Analyse capacite'!$C$8</f>
        <v>18</v>
      </c>
      <c r="J4833" s="135" t="n">
        <f aca="false">$G4833*'Analyse capacite'!$D$8</f>
        <v>0</v>
      </c>
      <c r="K4833" s="135" t="n">
        <f aca="false">$G4833*'Analyse capacite'!$E$8</f>
        <v>244</v>
      </c>
    </row>
    <row r="4834" customFormat="false" ht="15" hidden="false" customHeight="false" outlineLevel="0" collapsed="false">
      <c r="B4834" s="130" t="n">
        <v>2027</v>
      </c>
      <c r="C4834" s="131" t="s">
        <v>250</v>
      </c>
      <c r="D4834" s="132" t="n">
        <v>46612</v>
      </c>
      <c r="E4834" s="131" t="s">
        <v>20</v>
      </c>
      <c r="F4834" s="133" t="s">
        <v>24</v>
      </c>
      <c r="G4834" s="134" t="n">
        <f aca="false">LEN('Saisie programme'!$H$174)+SUMIFS('Vols additionnels'!$E$7:$E$66,'Vols additionnels'!$C$7:$C$66,$E4834,'Vols additionnels'!$D$7:$D$66,$F4834,'Vols additionnels'!$B$7:$B$66,$D4834)</f>
        <v>0</v>
      </c>
      <c r="H4834" s="135" t="n">
        <f aca="false">$G4834*'Analyse capacite'!$F$9</f>
        <v>0</v>
      </c>
      <c r="I4834" s="135" t="n">
        <f aca="false">$G4834*'Analyse capacite'!$C$9</f>
        <v>0</v>
      </c>
      <c r="J4834" s="135" t="n">
        <f aca="false">$G4834*'Analyse capacite'!$D$9</f>
        <v>0</v>
      </c>
      <c r="K4834" s="135" t="n">
        <f aca="false">$G4834*'Analyse capacite'!$E$9</f>
        <v>0</v>
      </c>
    </row>
    <row r="4835" customFormat="false" ht="15" hidden="false" customHeight="false" outlineLevel="0" collapsed="false">
      <c r="B4835" s="130" t="n">
        <v>2027</v>
      </c>
      <c r="C4835" s="131" t="s">
        <v>250</v>
      </c>
      <c r="D4835" s="132" t="n">
        <v>46612</v>
      </c>
      <c r="E4835" s="131" t="s">
        <v>25</v>
      </c>
      <c r="F4835" s="133" t="s">
        <v>11</v>
      </c>
      <c r="G4835" s="134" t="n">
        <f aca="false">LEN('Saisie programme'!$H$175)+SUMIFS('Vols additionnels'!$E$7:$E$66,'Vols additionnels'!$C$7:$C$66,$E4835,'Vols additionnels'!$D$7:$D$66,$F4835,'Vols additionnels'!$B$7:$B$66,$D4835)</f>
        <v>0</v>
      </c>
      <c r="H4835" s="135" t="n">
        <f aca="false">$G4835*'Analyse capacite'!$F$7</f>
        <v>0</v>
      </c>
      <c r="I4835" s="135" t="n">
        <f aca="false">$G4835*'Analyse capacite'!$C$7</f>
        <v>0</v>
      </c>
      <c r="J4835" s="135" t="n">
        <f aca="false">$G4835*'Analyse capacite'!$D$7</f>
        <v>0</v>
      </c>
      <c r="K4835" s="135" t="n">
        <f aca="false">$G4835*'Analyse capacite'!$E$7</f>
        <v>0</v>
      </c>
    </row>
    <row r="4836" customFormat="false" ht="15" hidden="false" customHeight="false" outlineLevel="0" collapsed="false">
      <c r="B4836" s="130" t="n">
        <v>2027</v>
      </c>
      <c r="C4836" s="131" t="s">
        <v>250</v>
      </c>
      <c r="D4836" s="132" t="n">
        <v>46612</v>
      </c>
      <c r="E4836" s="131" t="s">
        <v>25</v>
      </c>
      <c r="F4836" s="133" t="s">
        <v>19</v>
      </c>
      <c r="G4836" s="134" t="n">
        <f aca="false">LEN('Saisie programme'!$H$176)+SUMIFS('Vols additionnels'!$E$7:$E$66,'Vols additionnels'!$C$7:$C$66,$E4836,'Vols additionnels'!$D$7:$D$66,$F4836,'Vols additionnels'!$B$7:$B$66,$D4836)</f>
        <v>0</v>
      </c>
      <c r="H4836" s="135" t="n">
        <f aca="false">$G4836*'Analyse capacite'!$F$8</f>
        <v>0</v>
      </c>
      <c r="I4836" s="135" t="n">
        <f aca="false">$G4836*'Analyse capacite'!$C$8</f>
        <v>0</v>
      </c>
      <c r="J4836" s="135" t="n">
        <f aca="false">$G4836*'Analyse capacite'!$D$8</f>
        <v>0</v>
      </c>
      <c r="K4836" s="135" t="n">
        <f aca="false">$G4836*'Analyse capacite'!$E$8</f>
        <v>0</v>
      </c>
    </row>
    <row r="4837" customFormat="false" ht="15" hidden="false" customHeight="false" outlineLevel="0" collapsed="false">
      <c r="B4837" s="130" t="n">
        <v>2027</v>
      </c>
      <c r="C4837" s="131" t="s">
        <v>250</v>
      </c>
      <c r="D4837" s="132" t="n">
        <v>46612</v>
      </c>
      <c r="E4837" s="131" t="s">
        <v>25</v>
      </c>
      <c r="F4837" s="133" t="s">
        <v>24</v>
      </c>
      <c r="G4837" s="134" t="n">
        <f aca="false">LEN('Saisie programme'!$H$177)+SUMIFS('Vols additionnels'!$E$7:$E$66,'Vols additionnels'!$C$7:$C$66,$E4837,'Vols additionnels'!$D$7:$D$66,$F4837,'Vols additionnels'!$B$7:$B$66,$D4837)</f>
        <v>0</v>
      </c>
      <c r="H4837" s="135" t="n">
        <f aca="false">$G4837*'Analyse capacite'!$F$9</f>
        <v>0</v>
      </c>
      <c r="I4837" s="135" t="n">
        <f aca="false">$G4837*'Analyse capacite'!$C$9</f>
        <v>0</v>
      </c>
      <c r="J4837" s="135" t="n">
        <f aca="false">$G4837*'Analyse capacite'!$D$9</f>
        <v>0</v>
      </c>
      <c r="K4837" s="135" t="n">
        <f aca="false">$G4837*'Analyse capacite'!$E$9</f>
        <v>0</v>
      </c>
    </row>
    <row r="4838" customFormat="false" ht="15" hidden="false" customHeight="false" outlineLevel="0" collapsed="false">
      <c r="B4838" s="130" t="n">
        <v>2027</v>
      </c>
      <c r="C4838" s="131" t="s">
        <v>250</v>
      </c>
      <c r="D4838" s="132" t="n">
        <v>46612</v>
      </c>
      <c r="E4838" s="131" t="s">
        <v>36</v>
      </c>
      <c r="F4838" s="133" t="s">
        <v>11</v>
      </c>
      <c r="G4838" s="134" t="n">
        <f aca="false">LEN('Saisie programme'!$H$178)+SUMIFS('Vols additionnels'!$E$7:$E$66,'Vols additionnels'!$C$7:$C$66,$E4838,'Vols additionnels'!$D$7:$D$66,$F4838,'Vols additionnels'!$B$7:$B$66,$D4838)</f>
        <v>0</v>
      </c>
      <c r="H4838" s="135" t="n">
        <f aca="false">$G4838*'Analyse capacite'!$F$7</f>
        <v>0</v>
      </c>
      <c r="I4838" s="135" t="n">
        <f aca="false">$G4838*'Analyse capacite'!$C$7</f>
        <v>0</v>
      </c>
      <c r="J4838" s="135" t="n">
        <f aca="false">$G4838*'Analyse capacite'!$D$7</f>
        <v>0</v>
      </c>
      <c r="K4838" s="135" t="n">
        <f aca="false">$G4838*'Analyse capacite'!$E$7</f>
        <v>0</v>
      </c>
    </row>
    <row r="4839" customFormat="false" ht="15" hidden="false" customHeight="false" outlineLevel="0" collapsed="false">
      <c r="B4839" s="130" t="n">
        <v>2027</v>
      </c>
      <c r="C4839" s="131" t="s">
        <v>250</v>
      </c>
      <c r="D4839" s="132" t="n">
        <v>46612</v>
      </c>
      <c r="E4839" s="131" t="s">
        <v>36</v>
      </c>
      <c r="F4839" s="133" t="s">
        <v>19</v>
      </c>
      <c r="G4839" s="134" t="n">
        <f aca="false">LEN('Saisie programme'!$H$179)+SUMIFS('Vols additionnels'!$E$7:$E$66,'Vols additionnels'!$C$7:$C$66,$E4839,'Vols additionnels'!$D$7:$D$66,$F4839,'Vols additionnels'!$B$7:$B$66,$D4839)</f>
        <v>0</v>
      </c>
      <c r="H4839" s="135" t="n">
        <f aca="false">$G4839*'Analyse capacite'!$F$8</f>
        <v>0</v>
      </c>
      <c r="I4839" s="135" t="n">
        <f aca="false">$G4839*'Analyse capacite'!$C$8</f>
        <v>0</v>
      </c>
      <c r="J4839" s="135" t="n">
        <f aca="false">$G4839*'Analyse capacite'!$D$8</f>
        <v>0</v>
      </c>
      <c r="K4839" s="135" t="n">
        <f aca="false">$G4839*'Analyse capacite'!$E$8</f>
        <v>0</v>
      </c>
    </row>
    <row r="4840" customFormat="false" ht="15" hidden="false" customHeight="false" outlineLevel="0" collapsed="false">
      <c r="B4840" s="130" t="n">
        <v>2027</v>
      </c>
      <c r="C4840" s="131" t="s">
        <v>250</v>
      </c>
      <c r="D4840" s="132" t="n">
        <v>46612</v>
      </c>
      <c r="E4840" s="131" t="s">
        <v>36</v>
      </c>
      <c r="F4840" s="133" t="s">
        <v>24</v>
      </c>
      <c r="G4840" s="134" t="n">
        <f aca="false">LEN('Saisie programme'!$H$180)+SUMIFS('Vols additionnels'!$E$7:$E$66,'Vols additionnels'!$C$7:$C$66,$E4840,'Vols additionnels'!$D$7:$D$66,$F4840,'Vols additionnels'!$B$7:$B$66,$D4840)</f>
        <v>1</v>
      </c>
      <c r="H4840" s="135" t="n">
        <f aca="false">$G4840*'Analyse capacite'!$F$9</f>
        <v>174</v>
      </c>
      <c r="I4840" s="135" t="n">
        <f aca="false">$G4840*'Analyse capacite'!$C$9</f>
        <v>0</v>
      </c>
      <c r="J4840" s="135" t="n">
        <f aca="false">$G4840*'Analyse capacite'!$D$9</f>
        <v>12</v>
      </c>
      <c r="K4840" s="135" t="n">
        <f aca="false">$G4840*'Analyse capacite'!$E$9</f>
        <v>162</v>
      </c>
    </row>
    <row r="4841" customFormat="false" ht="15" hidden="false" customHeight="false" outlineLevel="0" collapsed="false">
      <c r="B4841" s="130" t="n">
        <v>2027</v>
      </c>
      <c r="C4841" s="131" t="s">
        <v>250</v>
      </c>
      <c r="D4841" s="132" t="n">
        <v>46612</v>
      </c>
      <c r="E4841" s="131" t="s">
        <v>40</v>
      </c>
      <c r="F4841" s="133" t="s">
        <v>11</v>
      </c>
      <c r="G4841" s="134" t="n">
        <f aca="false">LEN('Saisie programme'!$H$181)+SUMIFS('Vols additionnels'!$E$7:$E$66,'Vols additionnels'!$C$7:$C$66,$E4841,'Vols additionnels'!$D$7:$D$66,$F4841,'Vols additionnels'!$B$7:$B$66,$D4841)</f>
        <v>0</v>
      </c>
      <c r="H4841" s="135" t="n">
        <f aca="false">$G4841*'Analyse capacite'!$F$7</f>
        <v>0</v>
      </c>
      <c r="I4841" s="135" t="n">
        <f aca="false">$G4841*'Analyse capacite'!$C$7</f>
        <v>0</v>
      </c>
      <c r="J4841" s="135" t="n">
        <f aca="false">$G4841*'Analyse capacite'!$D$7</f>
        <v>0</v>
      </c>
      <c r="K4841" s="135" t="n">
        <f aca="false">$G4841*'Analyse capacite'!$E$7</f>
        <v>0</v>
      </c>
    </row>
    <row r="4842" customFormat="false" ht="15" hidden="false" customHeight="false" outlineLevel="0" collapsed="false">
      <c r="B4842" s="130" t="n">
        <v>2027</v>
      </c>
      <c r="C4842" s="131" t="s">
        <v>250</v>
      </c>
      <c r="D4842" s="132" t="n">
        <v>46612</v>
      </c>
      <c r="E4842" s="131" t="s">
        <v>40</v>
      </c>
      <c r="F4842" s="133" t="s">
        <v>19</v>
      </c>
      <c r="G4842" s="134" t="n">
        <f aca="false">LEN('Saisie programme'!$H$182)+SUMIFS('Vols additionnels'!$E$7:$E$66,'Vols additionnels'!$C$7:$C$66,$E4842,'Vols additionnels'!$D$7:$D$66,$F4842,'Vols additionnels'!$B$7:$B$66,$D4842)</f>
        <v>0</v>
      </c>
      <c r="H4842" s="135" t="n">
        <f aca="false">$G4842*'Analyse capacite'!$F$8</f>
        <v>0</v>
      </c>
      <c r="I4842" s="135" t="n">
        <f aca="false">$G4842*'Analyse capacite'!$C$8</f>
        <v>0</v>
      </c>
      <c r="J4842" s="135" t="n">
        <f aca="false">$G4842*'Analyse capacite'!$D$8</f>
        <v>0</v>
      </c>
      <c r="K4842" s="135" t="n">
        <f aca="false">$G4842*'Analyse capacite'!$E$8</f>
        <v>0</v>
      </c>
    </row>
    <row r="4843" customFormat="false" ht="15" hidden="false" customHeight="false" outlineLevel="0" collapsed="false">
      <c r="B4843" s="130" t="n">
        <v>2027</v>
      </c>
      <c r="C4843" s="131" t="s">
        <v>250</v>
      </c>
      <c r="D4843" s="132" t="n">
        <v>46612</v>
      </c>
      <c r="E4843" s="131" t="s">
        <v>40</v>
      </c>
      <c r="F4843" s="133" t="s">
        <v>24</v>
      </c>
      <c r="G4843" s="134" t="n">
        <f aca="false">LEN('Saisie programme'!$H$183)+SUMIFS('Vols additionnels'!$E$7:$E$66,'Vols additionnels'!$C$7:$C$66,$E4843,'Vols additionnels'!$D$7:$D$66,$F4843,'Vols additionnels'!$B$7:$B$66,$D4843)</f>
        <v>1</v>
      </c>
      <c r="H4843" s="135" t="n">
        <f aca="false">$G4843*'Analyse capacite'!$F$9</f>
        <v>174</v>
      </c>
      <c r="I4843" s="135" t="n">
        <f aca="false">$G4843*'Analyse capacite'!$C$9</f>
        <v>0</v>
      </c>
      <c r="J4843" s="135" t="n">
        <f aca="false">$G4843*'Analyse capacite'!$D$9</f>
        <v>12</v>
      </c>
      <c r="K4843" s="135" t="n">
        <f aca="false">$G4843*'Analyse capacite'!$E$9</f>
        <v>162</v>
      </c>
    </row>
    <row r="4844" customFormat="false" ht="15" hidden="false" customHeight="false" outlineLevel="0" collapsed="false">
      <c r="B4844" s="130" t="n">
        <v>2027</v>
      </c>
      <c r="C4844" s="131" t="s">
        <v>250</v>
      </c>
      <c r="D4844" s="132" t="n">
        <v>46612</v>
      </c>
      <c r="E4844" s="131" t="s">
        <v>14</v>
      </c>
      <c r="F4844" s="133" t="s">
        <v>11</v>
      </c>
      <c r="G4844" s="134" t="n">
        <f aca="false">LEN('Saisie programme'!$H$184)+SUMIFS('Vols additionnels'!$E$7:$E$66,'Vols additionnels'!$C$7:$C$66,$E4844,'Vols additionnels'!$D$7:$D$66,$F4844,'Vols additionnels'!$B$7:$B$66,$D4844)</f>
        <v>0</v>
      </c>
      <c r="H4844" s="135" t="n">
        <f aca="false">$G4844*'Analyse capacite'!$F$7</f>
        <v>0</v>
      </c>
      <c r="I4844" s="135" t="n">
        <f aca="false">$G4844*'Analyse capacite'!$C$7</f>
        <v>0</v>
      </c>
      <c r="J4844" s="135" t="n">
        <f aca="false">$G4844*'Analyse capacite'!$D$7</f>
        <v>0</v>
      </c>
      <c r="K4844" s="135" t="n">
        <f aca="false">$G4844*'Analyse capacite'!$E$7</f>
        <v>0</v>
      </c>
    </row>
    <row r="4845" customFormat="false" ht="15" hidden="false" customHeight="false" outlineLevel="0" collapsed="false">
      <c r="B4845" s="130" t="n">
        <v>2027</v>
      </c>
      <c r="C4845" s="131" t="s">
        <v>250</v>
      </c>
      <c r="D4845" s="132" t="n">
        <v>46612</v>
      </c>
      <c r="E4845" s="131" t="s">
        <v>14</v>
      </c>
      <c r="F4845" s="133" t="s">
        <v>19</v>
      </c>
      <c r="G4845" s="134" t="n">
        <f aca="false">LEN('Saisie programme'!$H$185)+SUMIFS('Vols additionnels'!$E$7:$E$66,'Vols additionnels'!$C$7:$C$66,$E4845,'Vols additionnels'!$D$7:$D$66,$F4845,'Vols additionnels'!$B$7:$B$66,$D4845)</f>
        <v>0</v>
      </c>
      <c r="H4845" s="135" t="n">
        <f aca="false">$G4845*'Analyse capacite'!$F$8</f>
        <v>0</v>
      </c>
      <c r="I4845" s="135" t="n">
        <f aca="false">$G4845*'Analyse capacite'!$C$8</f>
        <v>0</v>
      </c>
      <c r="J4845" s="135" t="n">
        <f aca="false">$G4845*'Analyse capacite'!$D$8</f>
        <v>0</v>
      </c>
      <c r="K4845" s="135" t="n">
        <f aca="false">$G4845*'Analyse capacite'!$E$8</f>
        <v>0</v>
      </c>
    </row>
    <row r="4846" customFormat="false" ht="15" hidden="false" customHeight="false" outlineLevel="0" collapsed="false">
      <c r="B4846" s="130" t="n">
        <v>2027</v>
      </c>
      <c r="C4846" s="131" t="s">
        <v>250</v>
      </c>
      <c r="D4846" s="132" t="n">
        <v>46612</v>
      </c>
      <c r="E4846" s="131" t="s">
        <v>14</v>
      </c>
      <c r="F4846" s="133" t="s">
        <v>24</v>
      </c>
      <c r="G4846" s="134" t="n">
        <f aca="false">LEN('Saisie programme'!$H$186)+SUMIFS('Vols additionnels'!$E$7:$E$66,'Vols additionnels'!$C$7:$C$66,$E4846,'Vols additionnels'!$D$7:$D$66,$F4846,'Vols additionnels'!$B$7:$B$66,$D4846)</f>
        <v>0</v>
      </c>
      <c r="H4846" s="135" t="n">
        <f aca="false">$G4846*'Analyse capacite'!$F$9</f>
        <v>0</v>
      </c>
      <c r="I4846" s="135" t="n">
        <f aca="false">$G4846*'Analyse capacite'!$C$9</f>
        <v>0</v>
      </c>
      <c r="J4846" s="135" t="n">
        <f aca="false">$G4846*'Analyse capacite'!$D$9</f>
        <v>0</v>
      </c>
      <c r="K4846" s="135" t="n">
        <f aca="false">$G4846*'Analyse capacite'!$E$9</f>
        <v>0</v>
      </c>
    </row>
    <row r="4847" customFormat="false" ht="15" hidden="false" customHeight="false" outlineLevel="0" collapsed="false">
      <c r="B4847" s="130" t="n">
        <v>2027</v>
      </c>
      <c r="C4847" s="131" t="s">
        <v>250</v>
      </c>
      <c r="D4847" s="132" t="n">
        <v>46612</v>
      </c>
      <c r="E4847" s="131" t="s">
        <v>46</v>
      </c>
      <c r="F4847" s="133" t="s">
        <v>11</v>
      </c>
      <c r="G4847" s="134" t="n">
        <f aca="false">LEN('Saisie programme'!$H$187)+SUMIFS('Vols additionnels'!$E$7:$E$66,'Vols additionnels'!$C$7:$C$66,$E4847,'Vols additionnels'!$D$7:$D$66,$F4847,'Vols additionnels'!$B$7:$B$66,$D4847)</f>
        <v>0</v>
      </c>
      <c r="H4847" s="135" t="n">
        <f aca="false">$G4847*'Analyse capacite'!$F$7</f>
        <v>0</v>
      </c>
      <c r="I4847" s="135" t="n">
        <f aca="false">$G4847*'Analyse capacite'!$C$7</f>
        <v>0</v>
      </c>
      <c r="J4847" s="135" t="n">
        <f aca="false">$G4847*'Analyse capacite'!$D$7</f>
        <v>0</v>
      </c>
      <c r="K4847" s="135" t="n">
        <f aca="false">$G4847*'Analyse capacite'!$E$7</f>
        <v>0</v>
      </c>
    </row>
    <row r="4848" customFormat="false" ht="15" hidden="false" customHeight="false" outlineLevel="0" collapsed="false">
      <c r="B4848" s="130" t="n">
        <v>2027</v>
      </c>
      <c r="C4848" s="131" t="s">
        <v>250</v>
      </c>
      <c r="D4848" s="132" t="n">
        <v>46612</v>
      </c>
      <c r="E4848" s="131" t="s">
        <v>46</v>
      </c>
      <c r="F4848" s="133" t="s">
        <v>19</v>
      </c>
      <c r="G4848" s="134" t="n">
        <f aca="false">LEN('Saisie programme'!$H$188)+SUMIFS('Vols additionnels'!$E$7:$E$66,'Vols additionnels'!$C$7:$C$66,$E4848,'Vols additionnels'!$D$7:$D$66,$F4848,'Vols additionnels'!$B$7:$B$66,$D4848)</f>
        <v>0</v>
      </c>
      <c r="H4848" s="135" t="n">
        <f aca="false">$G4848*'Analyse capacite'!$F$8</f>
        <v>0</v>
      </c>
      <c r="I4848" s="135" t="n">
        <f aca="false">$G4848*'Analyse capacite'!$C$8</f>
        <v>0</v>
      </c>
      <c r="J4848" s="135" t="n">
        <f aca="false">$G4848*'Analyse capacite'!$D$8</f>
        <v>0</v>
      </c>
      <c r="K4848" s="135" t="n">
        <f aca="false">$G4848*'Analyse capacite'!$E$8</f>
        <v>0</v>
      </c>
    </row>
    <row r="4849" customFormat="false" ht="15" hidden="false" customHeight="false" outlineLevel="0" collapsed="false">
      <c r="B4849" s="130" t="n">
        <v>2027</v>
      </c>
      <c r="C4849" s="131" t="s">
        <v>250</v>
      </c>
      <c r="D4849" s="132" t="n">
        <v>46612</v>
      </c>
      <c r="E4849" s="131" t="s">
        <v>46</v>
      </c>
      <c r="F4849" s="133" t="s">
        <v>24</v>
      </c>
      <c r="G4849" s="134" t="n">
        <f aca="false">LEN('Saisie programme'!$H$189)+SUMIFS('Vols additionnels'!$E$7:$E$66,'Vols additionnels'!$C$7:$C$66,$E4849,'Vols additionnels'!$D$7:$D$66,$F4849,'Vols additionnels'!$B$7:$B$66,$D4849)</f>
        <v>0</v>
      </c>
      <c r="H4849" s="135" t="n">
        <f aca="false">$G4849*'Analyse capacite'!$F$9</f>
        <v>0</v>
      </c>
      <c r="I4849" s="135" t="n">
        <f aca="false">$G4849*'Analyse capacite'!$C$9</f>
        <v>0</v>
      </c>
      <c r="J4849" s="135" t="n">
        <f aca="false">$G4849*'Analyse capacite'!$D$9</f>
        <v>0</v>
      </c>
      <c r="K4849" s="135" t="n">
        <f aca="false">$G4849*'Analyse capacite'!$E$9</f>
        <v>0</v>
      </c>
    </row>
    <row r="4850" customFormat="false" ht="15" hidden="false" customHeight="false" outlineLevel="0" collapsed="false">
      <c r="B4850" s="130" t="n">
        <v>2027</v>
      </c>
      <c r="C4850" s="131" t="s">
        <v>250</v>
      </c>
      <c r="D4850" s="132" t="n">
        <v>46612</v>
      </c>
      <c r="E4850" s="131" t="s">
        <v>49</v>
      </c>
      <c r="F4850" s="133" t="s">
        <v>11</v>
      </c>
      <c r="G4850" s="134" t="n">
        <f aca="false">LEN('Saisie programme'!$H$190)+SUMIFS('Vols additionnels'!$E$7:$E$66,'Vols additionnels'!$C$7:$C$66,$E4850,'Vols additionnels'!$D$7:$D$66,$F4850,'Vols additionnels'!$B$7:$B$66,$D4850)</f>
        <v>0</v>
      </c>
      <c r="H4850" s="135" t="n">
        <f aca="false">$G4850*'Analyse capacite'!$F$7</f>
        <v>0</v>
      </c>
      <c r="I4850" s="135" t="n">
        <f aca="false">$G4850*'Analyse capacite'!$C$7</f>
        <v>0</v>
      </c>
      <c r="J4850" s="135" t="n">
        <f aca="false">$G4850*'Analyse capacite'!$D$7</f>
        <v>0</v>
      </c>
      <c r="K4850" s="135" t="n">
        <f aca="false">$G4850*'Analyse capacite'!$E$7</f>
        <v>0</v>
      </c>
    </row>
    <row r="4851" customFormat="false" ht="15" hidden="false" customHeight="false" outlineLevel="0" collapsed="false">
      <c r="B4851" s="130" t="n">
        <v>2027</v>
      </c>
      <c r="C4851" s="131" t="s">
        <v>250</v>
      </c>
      <c r="D4851" s="132" t="n">
        <v>46612</v>
      </c>
      <c r="E4851" s="131" t="s">
        <v>49</v>
      </c>
      <c r="F4851" s="133" t="s">
        <v>19</v>
      </c>
      <c r="G4851" s="134" t="n">
        <f aca="false">LEN('Saisie programme'!$H$191)+SUMIFS('Vols additionnels'!$E$7:$E$66,'Vols additionnels'!$C$7:$C$66,$E4851,'Vols additionnels'!$D$7:$D$66,$F4851,'Vols additionnels'!$B$7:$B$66,$D4851)</f>
        <v>1</v>
      </c>
      <c r="H4851" s="135" t="n">
        <f aca="false">$G4851*'Analyse capacite'!$F$8</f>
        <v>262</v>
      </c>
      <c r="I4851" s="135" t="n">
        <f aca="false">$G4851*'Analyse capacite'!$C$8</f>
        <v>18</v>
      </c>
      <c r="J4851" s="135" t="n">
        <f aca="false">$G4851*'Analyse capacite'!$D$8</f>
        <v>0</v>
      </c>
      <c r="K4851" s="135" t="n">
        <f aca="false">$G4851*'Analyse capacite'!$E$8</f>
        <v>244</v>
      </c>
    </row>
    <row r="4852" customFormat="false" ht="15" hidden="false" customHeight="false" outlineLevel="0" collapsed="false">
      <c r="B4852" s="130" t="n">
        <v>2027</v>
      </c>
      <c r="C4852" s="131" t="s">
        <v>250</v>
      </c>
      <c r="D4852" s="132" t="n">
        <v>46612</v>
      </c>
      <c r="E4852" s="131" t="s">
        <v>49</v>
      </c>
      <c r="F4852" s="133" t="s">
        <v>24</v>
      </c>
      <c r="G4852" s="134" t="n">
        <f aca="false">LEN('Saisie programme'!$H$192)+SUMIFS('Vols additionnels'!$E$7:$E$66,'Vols additionnels'!$C$7:$C$66,$E4852,'Vols additionnels'!$D$7:$D$66,$F4852,'Vols additionnels'!$B$7:$B$66,$D4852)</f>
        <v>0</v>
      </c>
      <c r="H4852" s="135" t="n">
        <f aca="false">$G4852*'Analyse capacite'!$F$9</f>
        <v>0</v>
      </c>
      <c r="I4852" s="135" t="n">
        <f aca="false">$G4852*'Analyse capacite'!$C$9</f>
        <v>0</v>
      </c>
      <c r="J4852" s="135" t="n">
        <f aca="false">$G4852*'Analyse capacite'!$D$9</f>
        <v>0</v>
      </c>
      <c r="K4852" s="135" t="n">
        <f aca="false">$G4852*'Analyse capacite'!$E$9</f>
        <v>0</v>
      </c>
    </row>
    <row r="4853" customFormat="false" ht="15" hidden="false" customHeight="false" outlineLevel="0" collapsed="false">
      <c r="B4853" s="130" t="n">
        <v>2027</v>
      </c>
      <c r="C4853" s="131" t="s">
        <v>250</v>
      </c>
      <c r="D4853" s="132" t="n">
        <v>46612</v>
      </c>
      <c r="E4853" s="131" t="s">
        <v>53</v>
      </c>
      <c r="F4853" s="133" t="s">
        <v>11</v>
      </c>
      <c r="G4853" s="134" t="n">
        <f aca="false">LEN('Saisie programme'!$H$193)+SUMIFS('Vols additionnels'!$E$7:$E$66,'Vols additionnels'!$C$7:$C$66,$E4853,'Vols additionnels'!$D$7:$D$66,$F4853,'Vols additionnels'!$B$7:$B$66,$D4853)</f>
        <v>0</v>
      </c>
      <c r="H4853" s="135" t="n">
        <f aca="false">$G4853*'Analyse capacite'!$F$7</f>
        <v>0</v>
      </c>
      <c r="I4853" s="135" t="n">
        <f aca="false">$G4853*'Analyse capacite'!$C$7</f>
        <v>0</v>
      </c>
      <c r="J4853" s="135" t="n">
        <f aca="false">$G4853*'Analyse capacite'!$D$7</f>
        <v>0</v>
      </c>
      <c r="K4853" s="135" t="n">
        <f aca="false">$G4853*'Analyse capacite'!$E$7</f>
        <v>0</v>
      </c>
    </row>
    <row r="4854" customFormat="false" ht="15" hidden="false" customHeight="false" outlineLevel="0" collapsed="false">
      <c r="B4854" s="130" t="n">
        <v>2027</v>
      </c>
      <c r="C4854" s="131" t="s">
        <v>250</v>
      </c>
      <c r="D4854" s="132" t="n">
        <v>46612</v>
      </c>
      <c r="E4854" s="131" t="s">
        <v>53</v>
      </c>
      <c r="F4854" s="133" t="s">
        <v>19</v>
      </c>
      <c r="G4854" s="134" t="n">
        <f aca="false">LEN('Saisie programme'!$H$194)+SUMIFS('Vols additionnels'!$E$7:$E$66,'Vols additionnels'!$C$7:$C$66,$E4854,'Vols additionnels'!$D$7:$D$66,$F4854,'Vols additionnels'!$B$7:$B$66,$D4854)</f>
        <v>0</v>
      </c>
      <c r="H4854" s="135" t="n">
        <f aca="false">$G4854*'Analyse capacite'!$F$8</f>
        <v>0</v>
      </c>
      <c r="I4854" s="135" t="n">
        <f aca="false">$G4854*'Analyse capacite'!$C$8</f>
        <v>0</v>
      </c>
      <c r="J4854" s="135" t="n">
        <f aca="false">$G4854*'Analyse capacite'!$D$8</f>
        <v>0</v>
      </c>
      <c r="K4854" s="135" t="n">
        <f aca="false">$G4854*'Analyse capacite'!$E$8</f>
        <v>0</v>
      </c>
    </row>
    <row r="4855" customFormat="false" ht="15" hidden="false" customHeight="false" outlineLevel="0" collapsed="false">
      <c r="B4855" s="130" t="n">
        <v>2027</v>
      </c>
      <c r="C4855" s="131" t="s">
        <v>250</v>
      </c>
      <c r="D4855" s="132" t="n">
        <v>46612</v>
      </c>
      <c r="E4855" s="131" t="s">
        <v>53</v>
      </c>
      <c r="F4855" s="133" t="s">
        <v>24</v>
      </c>
      <c r="G4855" s="134" t="n">
        <f aca="false">LEN('Saisie programme'!$H$195)+SUMIFS('Vols additionnels'!$E$7:$E$66,'Vols additionnels'!$C$7:$C$66,$E4855,'Vols additionnels'!$D$7:$D$66,$F4855,'Vols additionnels'!$B$7:$B$66,$D4855)</f>
        <v>0</v>
      </c>
      <c r="H4855" s="135" t="n">
        <f aca="false">$G4855*'Analyse capacite'!$F$9</f>
        <v>0</v>
      </c>
      <c r="I4855" s="135" t="n">
        <f aca="false">$G4855*'Analyse capacite'!$C$9</f>
        <v>0</v>
      </c>
      <c r="J4855" s="135" t="n">
        <f aca="false">$G4855*'Analyse capacite'!$D$9</f>
        <v>0</v>
      </c>
      <c r="K4855" s="135" t="n">
        <f aca="false">$G4855*'Analyse capacite'!$E$9</f>
        <v>0</v>
      </c>
    </row>
    <row r="4856" customFormat="false" ht="15" hidden="false" customHeight="false" outlineLevel="0" collapsed="false">
      <c r="B4856" s="130" t="n">
        <v>2027</v>
      </c>
      <c r="C4856" s="131" t="s">
        <v>250</v>
      </c>
      <c r="D4856" s="132" t="n">
        <v>46612</v>
      </c>
      <c r="E4856" s="131" t="s">
        <v>56</v>
      </c>
      <c r="F4856" s="133" t="s">
        <v>11</v>
      </c>
      <c r="G4856" s="134" t="n">
        <f aca="false">LEN('Saisie programme'!$H$196)+SUMIFS('Vols additionnels'!$E$7:$E$66,'Vols additionnels'!$C$7:$C$66,$E4856,'Vols additionnels'!$D$7:$D$66,$F4856,'Vols additionnels'!$B$7:$B$66,$D4856)</f>
        <v>0</v>
      </c>
      <c r="H4856" s="135" t="n">
        <f aca="false">$G4856*'Analyse capacite'!$F$7</f>
        <v>0</v>
      </c>
      <c r="I4856" s="135" t="n">
        <f aca="false">$G4856*'Analyse capacite'!$C$7</f>
        <v>0</v>
      </c>
      <c r="J4856" s="135" t="n">
        <f aca="false">$G4856*'Analyse capacite'!$D$7</f>
        <v>0</v>
      </c>
      <c r="K4856" s="135" t="n">
        <f aca="false">$G4856*'Analyse capacite'!$E$7</f>
        <v>0</v>
      </c>
    </row>
    <row r="4857" customFormat="false" ht="15" hidden="false" customHeight="false" outlineLevel="0" collapsed="false">
      <c r="B4857" s="130" t="n">
        <v>2027</v>
      </c>
      <c r="C4857" s="131" t="s">
        <v>250</v>
      </c>
      <c r="D4857" s="132" t="n">
        <v>46612</v>
      </c>
      <c r="E4857" s="131" t="s">
        <v>56</v>
      </c>
      <c r="F4857" s="133" t="s">
        <v>19</v>
      </c>
      <c r="G4857" s="134" t="n">
        <f aca="false">LEN('Saisie programme'!$H$197)+SUMIFS('Vols additionnels'!$E$7:$E$66,'Vols additionnels'!$C$7:$C$66,$E4857,'Vols additionnels'!$D$7:$D$66,$F4857,'Vols additionnels'!$B$7:$B$66,$D4857)</f>
        <v>0</v>
      </c>
      <c r="H4857" s="135" t="n">
        <f aca="false">$G4857*'Analyse capacite'!$F$8</f>
        <v>0</v>
      </c>
      <c r="I4857" s="135" t="n">
        <f aca="false">$G4857*'Analyse capacite'!$C$8</f>
        <v>0</v>
      </c>
      <c r="J4857" s="135" t="n">
        <f aca="false">$G4857*'Analyse capacite'!$D$8</f>
        <v>0</v>
      </c>
      <c r="K4857" s="135" t="n">
        <f aca="false">$G4857*'Analyse capacite'!$E$8</f>
        <v>0</v>
      </c>
    </row>
    <row r="4858" customFormat="false" ht="15" hidden="false" customHeight="false" outlineLevel="0" collapsed="false">
      <c r="B4858" s="130" t="n">
        <v>2027</v>
      </c>
      <c r="C4858" s="131" t="s">
        <v>250</v>
      </c>
      <c r="D4858" s="132" t="n">
        <v>46612</v>
      </c>
      <c r="E4858" s="131" t="s">
        <v>56</v>
      </c>
      <c r="F4858" s="133" t="s">
        <v>24</v>
      </c>
      <c r="G4858" s="134" t="n">
        <f aca="false">LEN('Saisie programme'!$H$198)+SUMIFS('Vols additionnels'!$E$7:$E$66,'Vols additionnels'!$C$7:$C$66,$E4858,'Vols additionnels'!$D$7:$D$66,$F4858,'Vols additionnels'!$B$7:$B$66,$D4858)</f>
        <v>0</v>
      </c>
      <c r="H4858" s="135" t="n">
        <f aca="false">$G4858*'Analyse capacite'!$F$9</f>
        <v>0</v>
      </c>
      <c r="I4858" s="135" t="n">
        <f aca="false">$G4858*'Analyse capacite'!$C$9</f>
        <v>0</v>
      </c>
      <c r="J4858" s="135" t="n">
        <f aca="false">$G4858*'Analyse capacite'!$D$9</f>
        <v>0</v>
      </c>
      <c r="K4858" s="135" t="n">
        <f aca="false">$G4858*'Analyse capacite'!$E$9</f>
        <v>0</v>
      </c>
    </row>
    <row r="4859" customFormat="false" ht="15" hidden="false" customHeight="false" outlineLevel="0" collapsed="false">
      <c r="B4859" s="130" t="n">
        <v>2027</v>
      </c>
      <c r="C4859" s="131" t="s">
        <v>250</v>
      </c>
      <c r="D4859" s="132" t="n">
        <v>46612</v>
      </c>
      <c r="E4859" s="131" t="s">
        <v>59</v>
      </c>
      <c r="F4859" s="133" t="s">
        <v>11</v>
      </c>
      <c r="G4859" s="134" t="n">
        <f aca="false">LEN('Saisie programme'!$H$199)+SUMIFS('Vols additionnels'!$E$7:$E$66,'Vols additionnels'!$C$7:$C$66,$E4859,'Vols additionnels'!$D$7:$D$66,$F4859,'Vols additionnels'!$B$7:$B$66,$D4859)</f>
        <v>0</v>
      </c>
      <c r="H4859" s="135" t="n">
        <f aca="false">$G4859*'Analyse capacite'!$F$7</f>
        <v>0</v>
      </c>
      <c r="I4859" s="135" t="n">
        <f aca="false">$G4859*'Analyse capacite'!$C$7</f>
        <v>0</v>
      </c>
      <c r="J4859" s="135" t="n">
        <f aca="false">$G4859*'Analyse capacite'!$D$7</f>
        <v>0</v>
      </c>
      <c r="K4859" s="135" t="n">
        <f aca="false">$G4859*'Analyse capacite'!$E$7</f>
        <v>0</v>
      </c>
    </row>
    <row r="4860" customFormat="false" ht="15" hidden="false" customHeight="false" outlineLevel="0" collapsed="false">
      <c r="B4860" s="130" t="n">
        <v>2027</v>
      </c>
      <c r="C4860" s="131" t="s">
        <v>250</v>
      </c>
      <c r="D4860" s="132" t="n">
        <v>46612</v>
      </c>
      <c r="E4860" s="131" t="s">
        <v>59</v>
      </c>
      <c r="F4860" s="133" t="s">
        <v>19</v>
      </c>
      <c r="G4860" s="134" t="n">
        <f aca="false">LEN('Saisie programme'!$H$200)+SUMIFS('Vols additionnels'!$E$7:$E$66,'Vols additionnels'!$C$7:$C$66,$E4860,'Vols additionnels'!$D$7:$D$66,$F4860,'Vols additionnels'!$B$7:$B$66,$D4860)</f>
        <v>0</v>
      </c>
      <c r="H4860" s="135" t="n">
        <f aca="false">$G4860*'Analyse capacite'!$F$8</f>
        <v>0</v>
      </c>
      <c r="I4860" s="135" t="n">
        <f aca="false">$G4860*'Analyse capacite'!$C$8</f>
        <v>0</v>
      </c>
      <c r="J4860" s="135" t="n">
        <f aca="false">$G4860*'Analyse capacite'!$D$8</f>
        <v>0</v>
      </c>
      <c r="K4860" s="135" t="n">
        <f aca="false">$G4860*'Analyse capacite'!$E$8</f>
        <v>0</v>
      </c>
    </row>
    <row r="4861" customFormat="false" ht="15" hidden="false" customHeight="false" outlineLevel="0" collapsed="false">
      <c r="B4861" s="130" t="n">
        <v>2027</v>
      </c>
      <c r="C4861" s="131" t="s">
        <v>250</v>
      </c>
      <c r="D4861" s="132" t="n">
        <v>46612</v>
      </c>
      <c r="E4861" s="131" t="s">
        <v>59</v>
      </c>
      <c r="F4861" s="133" t="s">
        <v>24</v>
      </c>
      <c r="G4861" s="134" t="n">
        <f aca="false">LEN('Saisie programme'!$H$201)+SUMIFS('Vols additionnels'!$E$7:$E$66,'Vols additionnels'!$C$7:$C$66,$E4861,'Vols additionnels'!$D$7:$D$66,$F4861,'Vols additionnels'!$B$7:$B$66,$D4861)</f>
        <v>1</v>
      </c>
      <c r="H4861" s="135" t="n">
        <f aca="false">$G4861*'Analyse capacite'!$F$9</f>
        <v>174</v>
      </c>
      <c r="I4861" s="135" t="n">
        <f aca="false">$G4861*'Analyse capacite'!$C$9</f>
        <v>0</v>
      </c>
      <c r="J4861" s="135" t="n">
        <f aca="false">$G4861*'Analyse capacite'!$D$9</f>
        <v>12</v>
      </c>
      <c r="K4861" s="135" t="n">
        <f aca="false">$G4861*'Analyse capacite'!$E$9</f>
        <v>162</v>
      </c>
    </row>
    <row r="4862" customFormat="false" ht="15" hidden="false" customHeight="false" outlineLevel="0" collapsed="false">
      <c r="B4862" s="130" t="n">
        <v>2027</v>
      </c>
      <c r="C4862" s="131" t="s">
        <v>250</v>
      </c>
      <c r="D4862" s="132" t="n">
        <v>46612</v>
      </c>
      <c r="E4862" s="131" t="s">
        <v>62</v>
      </c>
      <c r="F4862" s="133" t="s">
        <v>11</v>
      </c>
      <c r="G4862" s="134" t="n">
        <f aca="false">LEN('Saisie programme'!$H$202)+SUMIFS('Vols additionnels'!$E$7:$E$66,'Vols additionnels'!$C$7:$C$66,$E4862,'Vols additionnels'!$D$7:$D$66,$F4862,'Vols additionnels'!$B$7:$B$66,$D4862)</f>
        <v>0</v>
      </c>
      <c r="H4862" s="135" t="n">
        <f aca="false">$G4862*'Analyse capacite'!$F$7</f>
        <v>0</v>
      </c>
      <c r="I4862" s="135" t="n">
        <f aca="false">$G4862*'Analyse capacite'!$C$7</f>
        <v>0</v>
      </c>
      <c r="J4862" s="135" t="n">
        <f aca="false">$G4862*'Analyse capacite'!$D$7</f>
        <v>0</v>
      </c>
      <c r="K4862" s="135" t="n">
        <f aca="false">$G4862*'Analyse capacite'!$E$7</f>
        <v>0</v>
      </c>
    </row>
    <row r="4863" customFormat="false" ht="15" hidden="false" customHeight="false" outlineLevel="0" collapsed="false">
      <c r="B4863" s="130" t="n">
        <v>2027</v>
      </c>
      <c r="C4863" s="131" t="s">
        <v>250</v>
      </c>
      <c r="D4863" s="132" t="n">
        <v>46612</v>
      </c>
      <c r="E4863" s="131" t="s">
        <v>62</v>
      </c>
      <c r="F4863" s="133" t="s">
        <v>19</v>
      </c>
      <c r="G4863" s="134" t="n">
        <f aca="false">LEN('Saisie programme'!$H$203)+SUMIFS('Vols additionnels'!$E$7:$E$66,'Vols additionnels'!$C$7:$C$66,$E4863,'Vols additionnels'!$D$7:$D$66,$F4863,'Vols additionnels'!$B$7:$B$66,$D4863)</f>
        <v>0</v>
      </c>
      <c r="H4863" s="135" t="n">
        <f aca="false">$G4863*'Analyse capacite'!$F$8</f>
        <v>0</v>
      </c>
      <c r="I4863" s="135" t="n">
        <f aca="false">$G4863*'Analyse capacite'!$C$8</f>
        <v>0</v>
      </c>
      <c r="J4863" s="135" t="n">
        <f aca="false">$G4863*'Analyse capacite'!$D$8</f>
        <v>0</v>
      </c>
      <c r="K4863" s="135" t="n">
        <f aca="false">$G4863*'Analyse capacite'!$E$8</f>
        <v>0</v>
      </c>
    </row>
    <row r="4864" customFormat="false" ht="15" hidden="false" customHeight="false" outlineLevel="0" collapsed="false">
      <c r="B4864" s="130" t="n">
        <v>2027</v>
      </c>
      <c r="C4864" s="131" t="s">
        <v>250</v>
      </c>
      <c r="D4864" s="132" t="n">
        <v>46612</v>
      </c>
      <c r="E4864" s="131" t="s">
        <v>62</v>
      </c>
      <c r="F4864" s="133" t="s">
        <v>24</v>
      </c>
      <c r="G4864" s="134" t="n">
        <f aca="false">LEN('Saisie programme'!$H$204)+SUMIFS('Vols additionnels'!$E$7:$E$66,'Vols additionnels'!$C$7:$C$66,$E4864,'Vols additionnels'!$D$7:$D$66,$F4864,'Vols additionnels'!$B$7:$B$66,$D4864)</f>
        <v>0</v>
      </c>
      <c r="H4864" s="135" t="n">
        <f aca="false">$G4864*'Analyse capacite'!$F$9</f>
        <v>0</v>
      </c>
      <c r="I4864" s="135" t="n">
        <f aca="false">$G4864*'Analyse capacite'!$C$9</f>
        <v>0</v>
      </c>
      <c r="J4864" s="135" t="n">
        <f aca="false">$G4864*'Analyse capacite'!$D$9</f>
        <v>0</v>
      </c>
      <c r="K4864" s="135" t="n">
        <f aca="false">$G4864*'Analyse capacite'!$E$9</f>
        <v>0</v>
      </c>
    </row>
    <row r="4865" customFormat="false" ht="15" hidden="false" customHeight="false" outlineLevel="0" collapsed="false">
      <c r="B4865" s="130" t="n">
        <v>2027</v>
      </c>
      <c r="C4865" s="131" t="s">
        <v>250</v>
      </c>
      <c r="D4865" s="132" t="n">
        <v>46613</v>
      </c>
      <c r="E4865" s="131" t="s">
        <v>12</v>
      </c>
      <c r="F4865" s="133" t="s">
        <v>11</v>
      </c>
      <c r="G4865" s="134" t="n">
        <f aca="false">LEN('Saisie programme'!$I$169)+SUMIFS('Vols additionnels'!$E$7:$E$66,'Vols additionnels'!$C$7:$C$66,$E4865,'Vols additionnels'!$D$7:$D$66,$F4865,'Vols additionnels'!$B$7:$B$66,$D4865)</f>
        <v>1</v>
      </c>
      <c r="H4865" s="135" t="n">
        <f aca="false">$G4865*'Analyse capacite'!$F$7</f>
        <v>438</v>
      </c>
      <c r="I4865" s="135" t="n">
        <f aca="false">$G4865*'Analyse capacite'!$C$7</f>
        <v>14</v>
      </c>
      <c r="J4865" s="135" t="n">
        <f aca="false">$G4865*'Analyse capacite'!$D$7</f>
        <v>40</v>
      </c>
      <c r="K4865" s="135" t="n">
        <f aca="false">$G4865*'Analyse capacite'!$E$7</f>
        <v>384</v>
      </c>
    </row>
    <row r="4866" customFormat="false" ht="15" hidden="false" customHeight="false" outlineLevel="0" collapsed="false">
      <c r="B4866" s="130" t="n">
        <v>2027</v>
      </c>
      <c r="C4866" s="131" t="s">
        <v>250</v>
      </c>
      <c r="D4866" s="132" t="n">
        <v>46613</v>
      </c>
      <c r="E4866" s="131" t="s">
        <v>12</v>
      </c>
      <c r="F4866" s="133" t="s">
        <v>19</v>
      </c>
      <c r="G4866" s="134" t="n">
        <f aca="false">LEN('Saisie programme'!$I$170)+SUMIFS('Vols additionnels'!$E$7:$E$66,'Vols additionnels'!$C$7:$C$66,$E4866,'Vols additionnels'!$D$7:$D$66,$F4866,'Vols additionnels'!$B$7:$B$66,$D4866)</f>
        <v>1</v>
      </c>
      <c r="H4866" s="135" t="n">
        <f aca="false">$G4866*'Analyse capacite'!$F$8</f>
        <v>262</v>
      </c>
      <c r="I4866" s="135" t="n">
        <f aca="false">$G4866*'Analyse capacite'!$C$8</f>
        <v>18</v>
      </c>
      <c r="J4866" s="135" t="n">
        <f aca="false">$G4866*'Analyse capacite'!$D$8</f>
        <v>0</v>
      </c>
      <c r="K4866" s="135" t="n">
        <f aca="false">$G4866*'Analyse capacite'!$E$8</f>
        <v>244</v>
      </c>
    </row>
    <row r="4867" customFormat="false" ht="15" hidden="false" customHeight="false" outlineLevel="0" collapsed="false">
      <c r="B4867" s="130" t="n">
        <v>2027</v>
      </c>
      <c r="C4867" s="131" t="s">
        <v>250</v>
      </c>
      <c r="D4867" s="132" t="n">
        <v>46613</v>
      </c>
      <c r="E4867" s="131" t="s">
        <v>12</v>
      </c>
      <c r="F4867" s="133" t="s">
        <v>24</v>
      </c>
      <c r="G4867" s="134" t="n">
        <f aca="false">LEN('Saisie programme'!$I$171)+SUMIFS('Vols additionnels'!$E$7:$E$66,'Vols additionnels'!$C$7:$C$66,$E4867,'Vols additionnels'!$D$7:$D$66,$F4867,'Vols additionnels'!$B$7:$B$66,$D4867)</f>
        <v>0</v>
      </c>
      <c r="H4867" s="135" t="n">
        <f aca="false">$G4867*'Analyse capacite'!$F$9</f>
        <v>0</v>
      </c>
      <c r="I4867" s="135" t="n">
        <f aca="false">$G4867*'Analyse capacite'!$C$9</f>
        <v>0</v>
      </c>
      <c r="J4867" s="135" t="n">
        <f aca="false">$G4867*'Analyse capacite'!$D$9</f>
        <v>0</v>
      </c>
      <c r="K4867" s="135" t="n">
        <f aca="false">$G4867*'Analyse capacite'!$E$9</f>
        <v>0</v>
      </c>
    </row>
    <row r="4868" customFormat="false" ht="15" hidden="false" customHeight="false" outlineLevel="0" collapsed="false">
      <c r="B4868" s="130" t="n">
        <v>2027</v>
      </c>
      <c r="C4868" s="131" t="s">
        <v>250</v>
      </c>
      <c r="D4868" s="132" t="n">
        <v>46613</v>
      </c>
      <c r="E4868" s="131" t="s">
        <v>20</v>
      </c>
      <c r="F4868" s="133" t="s">
        <v>11</v>
      </c>
      <c r="G4868" s="134" t="n">
        <f aca="false">LEN('Saisie programme'!$I$172)+SUMIFS('Vols additionnels'!$E$7:$E$66,'Vols additionnels'!$C$7:$C$66,$E4868,'Vols additionnels'!$D$7:$D$66,$F4868,'Vols additionnels'!$B$7:$B$66,$D4868)</f>
        <v>0</v>
      </c>
      <c r="H4868" s="135" t="n">
        <f aca="false">$G4868*'Analyse capacite'!$F$7</f>
        <v>0</v>
      </c>
      <c r="I4868" s="135" t="n">
        <f aca="false">$G4868*'Analyse capacite'!$C$7</f>
        <v>0</v>
      </c>
      <c r="J4868" s="135" t="n">
        <f aca="false">$G4868*'Analyse capacite'!$D$7</f>
        <v>0</v>
      </c>
      <c r="K4868" s="135" t="n">
        <f aca="false">$G4868*'Analyse capacite'!$E$7</f>
        <v>0</v>
      </c>
    </row>
    <row r="4869" customFormat="false" ht="15" hidden="false" customHeight="false" outlineLevel="0" collapsed="false">
      <c r="B4869" s="130" t="n">
        <v>2027</v>
      </c>
      <c r="C4869" s="131" t="s">
        <v>250</v>
      </c>
      <c r="D4869" s="132" t="n">
        <v>46613</v>
      </c>
      <c r="E4869" s="131" t="s">
        <v>20</v>
      </c>
      <c r="F4869" s="133" t="s">
        <v>19</v>
      </c>
      <c r="G4869" s="134" t="n">
        <f aca="false">LEN('Saisie programme'!$I$173)+SUMIFS('Vols additionnels'!$E$7:$E$66,'Vols additionnels'!$C$7:$C$66,$E4869,'Vols additionnels'!$D$7:$D$66,$F4869,'Vols additionnels'!$B$7:$B$66,$D4869)</f>
        <v>0</v>
      </c>
      <c r="H4869" s="135" t="n">
        <f aca="false">$G4869*'Analyse capacite'!$F$8</f>
        <v>0</v>
      </c>
      <c r="I4869" s="135" t="n">
        <f aca="false">$G4869*'Analyse capacite'!$C$8</f>
        <v>0</v>
      </c>
      <c r="J4869" s="135" t="n">
        <f aca="false">$G4869*'Analyse capacite'!$D$8</f>
        <v>0</v>
      </c>
      <c r="K4869" s="135" t="n">
        <f aca="false">$G4869*'Analyse capacite'!$E$8</f>
        <v>0</v>
      </c>
    </row>
    <row r="4870" customFormat="false" ht="15" hidden="false" customHeight="false" outlineLevel="0" collapsed="false">
      <c r="B4870" s="130" t="n">
        <v>2027</v>
      </c>
      <c r="C4870" s="131" t="s">
        <v>250</v>
      </c>
      <c r="D4870" s="132" t="n">
        <v>46613</v>
      </c>
      <c r="E4870" s="131" t="s">
        <v>20</v>
      </c>
      <c r="F4870" s="133" t="s">
        <v>24</v>
      </c>
      <c r="G4870" s="134" t="n">
        <f aca="false">LEN('Saisie programme'!$I$174)+SUMIFS('Vols additionnels'!$E$7:$E$66,'Vols additionnels'!$C$7:$C$66,$E4870,'Vols additionnels'!$D$7:$D$66,$F4870,'Vols additionnels'!$B$7:$B$66,$D4870)</f>
        <v>0</v>
      </c>
      <c r="H4870" s="135" t="n">
        <f aca="false">$G4870*'Analyse capacite'!$F$9</f>
        <v>0</v>
      </c>
      <c r="I4870" s="135" t="n">
        <f aca="false">$G4870*'Analyse capacite'!$C$9</f>
        <v>0</v>
      </c>
      <c r="J4870" s="135" t="n">
        <f aca="false">$G4870*'Analyse capacite'!$D$9</f>
        <v>0</v>
      </c>
      <c r="K4870" s="135" t="n">
        <f aca="false">$G4870*'Analyse capacite'!$E$9</f>
        <v>0</v>
      </c>
    </row>
    <row r="4871" customFormat="false" ht="15" hidden="false" customHeight="false" outlineLevel="0" collapsed="false">
      <c r="B4871" s="130" t="n">
        <v>2027</v>
      </c>
      <c r="C4871" s="131" t="s">
        <v>250</v>
      </c>
      <c r="D4871" s="132" t="n">
        <v>46613</v>
      </c>
      <c r="E4871" s="131" t="s">
        <v>25</v>
      </c>
      <c r="F4871" s="133" t="s">
        <v>11</v>
      </c>
      <c r="G4871" s="134" t="n">
        <f aca="false">LEN('Saisie programme'!$I$175)+SUMIFS('Vols additionnels'!$E$7:$E$66,'Vols additionnels'!$C$7:$C$66,$E4871,'Vols additionnels'!$D$7:$D$66,$F4871,'Vols additionnels'!$B$7:$B$66,$D4871)</f>
        <v>0</v>
      </c>
      <c r="H4871" s="135" t="n">
        <f aca="false">$G4871*'Analyse capacite'!$F$7</f>
        <v>0</v>
      </c>
      <c r="I4871" s="135" t="n">
        <f aca="false">$G4871*'Analyse capacite'!$C$7</f>
        <v>0</v>
      </c>
      <c r="J4871" s="135" t="n">
        <f aca="false">$G4871*'Analyse capacite'!$D$7</f>
        <v>0</v>
      </c>
      <c r="K4871" s="135" t="n">
        <f aca="false">$G4871*'Analyse capacite'!$E$7</f>
        <v>0</v>
      </c>
    </row>
    <row r="4872" customFormat="false" ht="15" hidden="false" customHeight="false" outlineLevel="0" collapsed="false">
      <c r="B4872" s="130" t="n">
        <v>2027</v>
      </c>
      <c r="C4872" s="131" t="s">
        <v>250</v>
      </c>
      <c r="D4872" s="132" t="n">
        <v>46613</v>
      </c>
      <c r="E4872" s="131" t="s">
        <v>25</v>
      </c>
      <c r="F4872" s="133" t="s">
        <v>19</v>
      </c>
      <c r="G4872" s="134" t="n">
        <f aca="false">LEN('Saisie programme'!$I$176)+SUMIFS('Vols additionnels'!$E$7:$E$66,'Vols additionnels'!$C$7:$C$66,$E4872,'Vols additionnels'!$D$7:$D$66,$F4872,'Vols additionnels'!$B$7:$B$66,$D4872)</f>
        <v>1</v>
      </c>
      <c r="H4872" s="135" t="n">
        <f aca="false">$G4872*'Analyse capacite'!$F$8</f>
        <v>262</v>
      </c>
      <c r="I4872" s="135" t="n">
        <f aca="false">$G4872*'Analyse capacite'!$C$8</f>
        <v>18</v>
      </c>
      <c r="J4872" s="135" t="n">
        <f aca="false">$G4872*'Analyse capacite'!$D$8</f>
        <v>0</v>
      </c>
      <c r="K4872" s="135" t="n">
        <f aca="false">$G4872*'Analyse capacite'!$E$8</f>
        <v>244</v>
      </c>
    </row>
    <row r="4873" customFormat="false" ht="15" hidden="false" customHeight="false" outlineLevel="0" collapsed="false">
      <c r="B4873" s="130" t="n">
        <v>2027</v>
      </c>
      <c r="C4873" s="131" t="s">
        <v>250</v>
      </c>
      <c r="D4873" s="132" t="n">
        <v>46613</v>
      </c>
      <c r="E4873" s="131" t="s">
        <v>25</v>
      </c>
      <c r="F4873" s="133" t="s">
        <v>24</v>
      </c>
      <c r="G4873" s="134" t="n">
        <f aca="false">LEN('Saisie programme'!$I$177)+SUMIFS('Vols additionnels'!$E$7:$E$66,'Vols additionnels'!$C$7:$C$66,$E4873,'Vols additionnels'!$D$7:$D$66,$F4873,'Vols additionnels'!$B$7:$B$66,$D4873)</f>
        <v>0</v>
      </c>
      <c r="H4873" s="135" t="n">
        <f aca="false">$G4873*'Analyse capacite'!$F$9</f>
        <v>0</v>
      </c>
      <c r="I4873" s="135" t="n">
        <f aca="false">$G4873*'Analyse capacite'!$C$9</f>
        <v>0</v>
      </c>
      <c r="J4873" s="135" t="n">
        <f aca="false">$G4873*'Analyse capacite'!$D$9</f>
        <v>0</v>
      </c>
      <c r="K4873" s="135" t="n">
        <f aca="false">$G4873*'Analyse capacite'!$E$9</f>
        <v>0</v>
      </c>
    </row>
    <row r="4874" customFormat="false" ht="15" hidden="false" customHeight="false" outlineLevel="0" collapsed="false">
      <c r="B4874" s="130" t="n">
        <v>2027</v>
      </c>
      <c r="C4874" s="131" t="s">
        <v>250</v>
      </c>
      <c r="D4874" s="132" t="n">
        <v>46613</v>
      </c>
      <c r="E4874" s="131" t="s">
        <v>36</v>
      </c>
      <c r="F4874" s="133" t="s">
        <v>11</v>
      </c>
      <c r="G4874" s="134" t="n">
        <f aca="false">LEN('Saisie programme'!$I$178)+SUMIFS('Vols additionnels'!$E$7:$E$66,'Vols additionnels'!$C$7:$C$66,$E4874,'Vols additionnels'!$D$7:$D$66,$F4874,'Vols additionnels'!$B$7:$B$66,$D4874)</f>
        <v>0</v>
      </c>
      <c r="H4874" s="135" t="n">
        <f aca="false">$G4874*'Analyse capacite'!$F$7</f>
        <v>0</v>
      </c>
      <c r="I4874" s="135" t="n">
        <f aca="false">$G4874*'Analyse capacite'!$C$7</f>
        <v>0</v>
      </c>
      <c r="J4874" s="135" t="n">
        <f aca="false">$G4874*'Analyse capacite'!$D$7</f>
        <v>0</v>
      </c>
      <c r="K4874" s="135" t="n">
        <f aca="false">$G4874*'Analyse capacite'!$E$7</f>
        <v>0</v>
      </c>
    </row>
    <row r="4875" customFormat="false" ht="15" hidden="false" customHeight="false" outlineLevel="0" collapsed="false">
      <c r="B4875" s="130" t="n">
        <v>2027</v>
      </c>
      <c r="C4875" s="131" t="s">
        <v>250</v>
      </c>
      <c r="D4875" s="132" t="n">
        <v>46613</v>
      </c>
      <c r="E4875" s="131" t="s">
        <v>36</v>
      </c>
      <c r="F4875" s="133" t="s">
        <v>19</v>
      </c>
      <c r="G4875" s="134" t="n">
        <f aca="false">LEN('Saisie programme'!$I$179)+SUMIFS('Vols additionnels'!$E$7:$E$66,'Vols additionnels'!$C$7:$C$66,$E4875,'Vols additionnels'!$D$7:$D$66,$F4875,'Vols additionnels'!$B$7:$B$66,$D4875)</f>
        <v>0</v>
      </c>
      <c r="H4875" s="135" t="n">
        <f aca="false">$G4875*'Analyse capacite'!$F$8</f>
        <v>0</v>
      </c>
      <c r="I4875" s="135" t="n">
        <f aca="false">$G4875*'Analyse capacite'!$C$8</f>
        <v>0</v>
      </c>
      <c r="J4875" s="135" t="n">
        <f aca="false">$G4875*'Analyse capacite'!$D$8</f>
        <v>0</v>
      </c>
      <c r="K4875" s="135" t="n">
        <f aca="false">$G4875*'Analyse capacite'!$E$8</f>
        <v>0</v>
      </c>
    </row>
    <row r="4876" customFormat="false" ht="15" hidden="false" customHeight="false" outlineLevel="0" collapsed="false">
      <c r="B4876" s="130" t="n">
        <v>2027</v>
      </c>
      <c r="C4876" s="131" t="s">
        <v>250</v>
      </c>
      <c r="D4876" s="132" t="n">
        <v>46613</v>
      </c>
      <c r="E4876" s="131" t="s">
        <v>36</v>
      </c>
      <c r="F4876" s="133" t="s">
        <v>24</v>
      </c>
      <c r="G4876" s="134" t="n">
        <f aca="false">LEN('Saisie programme'!$I$180)+SUMIFS('Vols additionnels'!$E$7:$E$66,'Vols additionnels'!$C$7:$C$66,$E4876,'Vols additionnels'!$D$7:$D$66,$F4876,'Vols additionnels'!$B$7:$B$66,$D4876)</f>
        <v>0</v>
      </c>
      <c r="H4876" s="135" t="n">
        <f aca="false">$G4876*'Analyse capacite'!$F$9</f>
        <v>0</v>
      </c>
      <c r="I4876" s="135" t="n">
        <f aca="false">$G4876*'Analyse capacite'!$C$9</f>
        <v>0</v>
      </c>
      <c r="J4876" s="135" t="n">
        <f aca="false">$G4876*'Analyse capacite'!$D$9</f>
        <v>0</v>
      </c>
      <c r="K4876" s="135" t="n">
        <f aca="false">$G4876*'Analyse capacite'!$E$9</f>
        <v>0</v>
      </c>
    </row>
    <row r="4877" customFormat="false" ht="15" hidden="false" customHeight="false" outlineLevel="0" collapsed="false">
      <c r="B4877" s="130" t="n">
        <v>2027</v>
      </c>
      <c r="C4877" s="131" t="s">
        <v>250</v>
      </c>
      <c r="D4877" s="132" t="n">
        <v>46613</v>
      </c>
      <c r="E4877" s="131" t="s">
        <v>40</v>
      </c>
      <c r="F4877" s="133" t="s">
        <v>11</v>
      </c>
      <c r="G4877" s="134" t="n">
        <f aca="false">LEN('Saisie programme'!$I$181)+SUMIFS('Vols additionnels'!$E$7:$E$66,'Vols additionnels'!$C$7:$C$66,$E4877,'Vols additionnels'!$D$7:$D$66,$F4877,'Vols additionnels'!$B$7:$B$66,$D4877)</f>
        <v>0</v>
      </c>
      <c r="H4877" s="135" t="n">
        <f aca="false">$G4877*'Analyse capacite'!$F$7</f>
        <v>0</v>
      </c>
      <c r="I4877" s="135" t="n">
        <f aca="false">$G4877*'Analyse capacite'!$C$7</f>
        <v>0</v>
      </c>
      <c r="J4877" s="135" t="n">
        <f aca="false">$G4877*'Analyse capacite'!$D$7</f>
        <v>0</v>
      </c>
      <c r="K4877" s="135" t="n">
        <f aca="false">$G4877*'Analyse capacite'!$E$7</f>
        <v>0</v>
      </c>
    </row>
    <row r="4878" customFormat="false" ht="15" hidden="false" customHeight="false" outlineLevel="0" collapsed="false">
      <c r="B4878" s="130" t="n">
        <v>2027</v>
      </c>
      <c r="C4878" s="131" t="s">
        <v>250</v>
      </c>
      <c r="D4878" s="132" t="n">
        <v>46613</v>
      </c>
      <c r="E4878" s="131" t="s">
        <v>40</v>
      </c>
      <c r="F4878" s="133" t="s">
        <v>19</v>
      </c>
      <c r="G4878" s="134" t="n">
        <f aca="false">LEN('Saisie programme'!$I$182)+SUMIFS('Vols additionnels'!$E$7:$E$66,'Vols additionnels'!$C$7:$C$66,$E4878,'Vols additionnels'!$D$7:$D$66,$F4878,'Vols additionnels'!$B$7:$B$66,$D4878)</f>
        <v>0</v>
      </c>
      <c r="H4878" s="135" t="n">
        <f aca="false">$G4878*'Analyse capacite'!$F$8</f>
        <v>0</v>
      </c>
      <c r="I4878" s="135" t="n">
        <f aca="false">$G4878*'Analyse capacite'!$C$8</f>
        <v>0</v>
      </c>
      <c r="J4878" s="135" t="n">
        <f aca="false">$G4878*'Analyse capacite'!$D$8</f>
        <v>0</v>
      </c>
      <c r="K4878" s="135" t="n">
        <f aca="false">$G4878*'Analyse capacite'!$E$8</f>
        <v>0</v>
      </c>
    </row>
    <row r="4879" customFormat="false" ht="15" hidden="false" customHeight="false" outlineLevel="0" collapsed="false">
      <c r="B4879" s="130" t="n">
        <v>2027</v>
      </c>
      <c r="C4879" s="131" t="s">
        <v>250</v>
      </c>
      <c r="D4879" s="132" t="n">
        <v>46613</v>
      </c>
      <c r="E4879" s="131" t="s">
        <v>40</v>
      </c>
      <c r="F4879" s="133" t="s">
        <v>24</v>
      </c>
      <c r="G4879" s="134" t="n">
        <f aca="false">LEN('Saisie programme'!$I$183)+SUMIFS('Vols additionnels'!$E$7:$E$66,'Vols additionnels'!$C$7:$C$66,$E4879,'Vols additionnels'!$D$7:$D$66,$F4879,'Vols additionnels'!$B$7:$B$66,$D4879)</f>
        <v>0</v>
      </c>
      <c r="H4879" s="135" t="n">
        <f aca="false">$G4879*'Analyse capacite'!$F$9</f>
        <v>0</v>
      </c>
      <c r="I4879" s="135" t="n">
        <f aca="false">$G4879*'Analyse capacite'!$C$9</f>
        <v>0</v>
      </c>
      <c r="J4879" s="135" t="n">
        <f aca="false">$G4879*'Analyse capacite'!$D$9</f>
        <v>0</v>
      </c>
      <c r="K4879" s="135" t="n">
        <f aca="false">$G4879*'Analyse capacite'!$E$9</f>
        <v>0</v>
      </c>
    </row>
    <row r="4880" customFormat="false" ht="15" hidden="false" customHeight="false" outlineLevel="0" collapsed="false">
      <c r="B4880" s="130" t="n">
        <v>2027</v>
      </c>
      <c r="C4880" s="131" t="s">
        <v>250</v>
      </c>
      <c r="D4880" s="132" t="n">
        <v>46613</v>
      </c>
      <c r="E4880" s="131" t="s">
        <v>14</v>
      </c>
      <c r="F4880" s="133" t="s">
        <v>11</v>
      </c>
      <c r="G4880" s="134" t="n">
        <f aca="false">LEN('Saisie programme'!$I$184)+SUMIFS('Vols additionnels'!$E$7:$E$66,'Vols additionnels'!$C$7:$C$66,$E4880,'Vols additionnels'!$D$7:$D$66,$F4880,'Vols additionnels'!$B$7:$B$66,$D4880)</f>
        <v>0</v>
      </c>
      <c r="H4880" s="135" t="n">
        <f aca="false">$G4880*'Analyse capacite'!$F$7</f>
        <v>0</v>
      </c>
      <c r="I4880" s="135" t="n">
        <f aca="false">$G4880*'Analyse capacite'!$C$7</f>
        <v>0</v>
      </c>
      <c r="J4880" s="135" t="n">
        <f aca="false">$G4880*'Analyse capacite'!$D$7</f>
        <v>0</v>
      </c>
      <c r="K4880" s="135" t="n">
        <f aca="false">$G4880*'Analyse capacite'!$E$7</f>
        <v>0</v>
      </c>
    </row>
    <row r="4881" customFormat="false" ht="15" hidden="false" customHeight="false" outlineLevel="0" collapsed="false">
      <c r="B4881" s="130" t="n">
        <v>2027</v>
      </c>
      <c r="C4881" s="131" t="s">
        <v>250</v>
      </c>
      <c r="D4881" s="132" t="n">
        <v>46613</v>
      </c>
      <c r="E4881" s="131" t="s">
        <v>14</v>
      </c>
      <c r="F4881" s="133" t="s">
        <v>19</v>
      </c>
      <c r="G4881" s="134" t="n">
        <f aca="false">LEN('Saisie programme'!$I$185)+SUMIFS('Vols additionnels'!$E$7:$E$66,'Vols additionnels'!$C$7:$C$66,$E4881,'Vols additionnels'!$D$7:$D$66,$F4881,'Vols additionnels'!$B$7:$B$66,$D4881)</f>
        <v>0</v>
      </c>
      <c r="H4881" s="135" t="n">
        <f aca="false">$G4881*'Analyse capacite'!$F$8</f>
        <v>0</v>
      </c>
      <c r="I4881" s="135" t="n">
        <f aca="false">$G4881*'Analyse capacite'!$C$8</f>
        <v>0</v>
      </c>
      <c r="J4881" s="135" t="n">
        <f aca="false">$G4881*'Analyse capacite'!$D$8</f>
        <v>0</v>
      </c>
      <c r="K4881" s="135" t="n">
        <f aca="false">$G4881*'Analyse capacite'!$E$8</f>
        <v>0</v>
      </c>
    </row>
    <row r="4882" customFormat="false" ht="15" hidden="false" customHeight="false" outlineLevel="0" collapsed="false">
      <c r="B4882" s="130" t="n">
        <v>2027</v>
      </c>
      <c r="C4882" s="131" t="s">
        <v>250</v>
      </c>
      <c r="D4882" s="132" t="n">
        <v>46613</v>
      </c>
      <c r="E4882" s="131" t="s">
        <v>14</v>
      </c>
      <c r="F4882" s="133" t="s">
        <v>24</v>
      </c>
      <c r="G4882" s="134" t="n">
        <f aca="false">LEN('Saisie programme'!$I$186)+SUMIFS('Vols additionnels'!$E$7:$E$66,'Vols additionnels'!$C$7:$C$66,$E4882,'Vols additionnels'!$D$7:$D$66,$F4882,'Vols additionnels'!$B$7:$B$66,$D4882)</f>
        <v>1</v>
      </c>
      <c r="H4882" s="135" t="n">
        <f aca="false">$G4882*'Analyse capacite'!$F$9</f>
        <v>174</v>
      </c>
      <c r="I4882" s="135" t="n">
        <f aca="false">$G4882*'Analyse capacite'!$C$9</f>
        <v>0</v>
      </c>
      <c r="J4882" s="135" t="n">
        <f aca="false">$G4882*'Analyse capacite'!$D$9</f>
        <v>12</v>
      </c>
      <c r="K4882" s="135" t="n">
        <f aca="false">$G4882*'Analyse capacite'!$E$9</f>
        <v>162</v>
      </c>
    </row>
    <row r="4883" customFormat="false" ht="15" hidden="false" customHeight="false" outlineLevel="0" collapsed="false">
      <c r="B4883" s="130" t="n">
        <v>2027</v>
      </c>
      <c r="C4883" s="131" t="s">
        <v>250</v>
      </c>
      <c r="D4883" s="132" t="n">
        <v>46613</v>
      </c>
      <c r="E4883" s="131" t="s">
        <v>46</v>
      </c>
      <c r="F4883" s="133" t="s">
        <v>11</v>
      </c>
      <c r="G4883" s="134" t="n">
        <f aca="false">LEN('Saisie programme'!$I$187)+SUMIFS('Vols additionnels'!$E$7:$E$66,'Vols additionnels'!$C$7:$C$66,$E4883,'Vols additionnels'!$D$7:$D$66,$F4883,'Vols additionnels'!$B$7:$B$66,$D4883)</f>
        <v>0</v>
      </c>
      <c r="H4883" s="135" t="n">
        <f aca="false">$G4883*'Analyse capacite'!$F$7</f>
        <v>0</v>
      </c>
      <c r="I4883" s="135" t="n">
        <f aca="false">$G4883*'Analyse capacite'!$C$7</f>
        <v>0</v>
      </c>
      <c r="J4883" s="135" t="n">
        <f aca="false">$G4883*'Analyse capacite'!$D$7</f>
        <v>0</v>
      </c>
      <c r="K4883" s="135" t="n">
        <f aca="false">$G4883*'Analyse capacite'!$E$7</f>
        <v>0</v>
      </c>
    </row>
    <row r="4884" customFormat="false" ht="15" hidden="false" customHeight="false" outlineLevel="0" collapsed="false">
      <c r="B4884" s="130" t="n">
        <v>2027</v>
      </c>
      <c r="C4884" s="131" t="s">
        <v>250</v>
      </c>
      <c r="D4884" s="132" t="n">
        <v>46613</v>
      </c>
      <c r="E4884" s="131" t="s">
        <v>46</v>
      </c>
      <c r="F4884" s="133" t="s">
        <v>19</v>
      </c>
      <c r="G4884" s="134" t="n">
        <f aca="false">LEN('Saisie programme'!$I$188)+SUMIFS('Vols additionnels'!$E$7:$E$66,'Vols additionnels'!$C$7:$C$66,$E4884,'Vols additionnels'!$D$7:$D$66,$F4884,'Vols additionnels'!$B$7:$B$66,$D4884)</f>
        <v>0</v>
      </c>
      <c r="H4884" s="135" t="n">
        <f aca="false">$G4884*'Analyse capacite'!$F$8</f>
        <v>0</v>
      </c>
      <c r="I4884" s="135" t="n">
        <f aca="false">$G4884*'Analyse capacite'!$C$8</f>
        <v>0</v>
      </c>
      <c r="J4884" s="135" t="n">
        <f aca="false">$G4884*'Analyse capacite'!$D$8</f>
        <v>0</v>
      </c>
      <c r="K4884" s="135" t="n">
        <f aca="false">$G4884*'Analyse capacite'!$E$8</f>
        <v>0</v>
      </c>
    </row>
    <row r="4885" customFormat="false" ht="15" hidden="false" customHeight="false" outlineLevel="0" collapsed="false">
      <c r="B4885" s="130" t="n">
        <v>2027</v>
      </c>
      <c r="C4885" s="131" t="s">
        <v>250</v>
      </c>
      <c r="D4885" s="132" t="n">
        <v>46613</v>
      </c>
      <c r="E4885" s="131" t="s">
        <v>46</v>
      </c>
      <c r="F4885" s="133" t="s">
        <v>24</v>
      </c>
      <c r="G4885" s="134" t="n">
        <f aca="false">LEN('Saisie programme'!$I$189)+SUMIFS('Vols additionnels'!$E$7:$E$66,'Vols additionnels'!$C$7:$C$66,$E4885,'Vols additionnels'!$D$7:$D$66,$F4885,'Vols additionnels'!$B$7:$B$66,$D4885)</f>
        <v>1</v>
      </c>
      <c r="H4885" s="135" t="n">
        <f aca="false">$G4885*'Analyse capacite'!$F$9</f>
        <v>174</v>
      </c>
      <c r="I4885" s="135" t="n">
        <f aca="false">$G4885*'Analyse capacite'!$C$9</f>
        <v>0</v>
      </c>
      <c r="J4885" s="135" t="n">
        <f aca="false">$G4885*'Analyse capacite'!$D$9</f>
        <v>12</v>
      </c>
      <c r="K4885" s="135" t="n">
        <f aca="false">$G4885*'Analyse capacite'!$E$9</f>
        <v>162</v>
      </c>
    </row>
    <row r="4886" customFormat="false" ht="15" hidden="false" customHeight="false" outlineLevel="0" collapsed="false">
      <c r="B4886" s="130" t="n">
        <v>2027</v>
      </c>
      <c r="C4886" s="131" t="s">
        <v>250</v>
      </c>
      <c r="D4886" s="132" t="n">
        <v>46613</v>
      </c>
      <c r="E4886" s="131" t="s">
        <v>49</v>
      </c>
      <c r="F4886" s="133" t="s">
        <v>11</v>
      </c>
      <c r="G4886" s="134" t="n">
        <f aca="false">LEN('Saisie programme'!$I$190)+SUMIFS('Vols additionnels'!$E$7:$E$66,'Vols additionnels'!$C$7:$C$66,$E4886,'Vols additionnels'!$D$7:$D$66,$F4886,'Vols additionnels'!$B$7:$B$66,$D4886)</f>
        <v>0</v>
      </c>
      <c r="H4886" s="135" t="n">
        <f aca="false">$G4886*'Analyse capacite'!$F$7</f>
        <v>0</v>
      </c>
      <c r="I4886" s="135" t="n">
        <f aca="false">$G4886*'Analyse capacite'!$C$7</f>
        <v>0</v>
      </c>
      <c r="J4886" s="135" t="n">
        <f aca="false">$G4886*'Analyse capacite'!$D$7</f>
        <v>0</v>
      </c>
      <c r="K4886" s="135" t="n">
        <f aca="false">$G4886*'Analyse capacite'!$E$7</f>
        <v>0</v>
      </c>
    </row>
    <row r="4887" customFormat="false" ht="15" hidden="false" customHeight="false" outlineLevel="0" collapsed="false">
      <c r="B4887" s="130" t="n">
        <v>2027</v>
      </c>
      <c r="C4887" s="131" t="s">
        <v>250</v>
      </c>
      <c r="D4887" s="132" t="n">
        <v>46613</v>
      </c>
      <c r="E4887" s="131" t="s">
        <v>49</v>
      </c>
      <c r="F4887" s="133" t="s">
        <v>19</v>
      </c>
      <c r="G4887" s="134" t="n">
        <f aca="false">LEN('Saisie programme'!$I$191)+SUMIFS('Vols additionnels'!$E$7:$E$66,'Vols additionnels'!$C$7:$C$66,$E4887,'Vols additionnels'!$D$7:$D$66,$F4887,'Vols additionnels'!$B$7:$B$66,$D4887)</f>
        <v>0</v>
      </c>
      <c r="H4887" s="135" t="n">
        <f aca="false">$G4887*'Analyse capacite'!$F$8</f>
        <v>0</v>
      </c>
      <c r="I4887" s="135" t="n">
        <f aca="false">$G4887*'Analyse capacite'!$C$8</f>
        <v>0</v>
      </c>
      <c r="J4887" s="135" t="n">
        <f aca="false">$G4887*'Analyse capacite'!$D$8</f>
        <v>0</v>
      </c>
      <c r="K4887" s="135" t="n">
        <f aca="false">$G4887*'Analyse capacite'!$E$8</f>
        <v>0</v>
      </c>
    </row>
    <row r="4888" customFormat="false" ht="15" hidden="false" customHeight="false" outlineLevel="0" collapsed="false">
      <c r="B4888" s="130" t="n">
        <v>2027</v>
      </c>
      <c r="C4888" s="131" t="s">
        <v>250</v>
      </c>
      <c r="D4888" s="132" t="n">
        <v>46613</v>
      </c>
      <c r="E4888" s="131" t="s">
        <v>49</v>
      </c>
      <c r="F4888" s="133" t="s">
        <v>24</v>
      </c>
      <c r="G4888" s="134" t="n">
        <f aca="false">LEN('Saisie programme'!$I$192)+SUMIFS('Vols additionnels'!$E$7:$E$66,'Vols additionnels'!$C$7:$C$66,$E4888,'Vols additionnels'!$D$7:$D$66,$F4888,'Vols additionnels'!$B$7:$B$66,$D4888)</f>
        <v>0</v>
      </c>
      <c r="H4888" s="135" t="n">
        <f aca="false">$G4888*'Analyse capacite'!$F$9</f>
        <v>0</v>
      </c>
      <c r="I4888" s="135" t="n">
        <f aca="false">$G4888*'Analyse capacite'!$C$9</f>
        <v>0</v>
      </c>
      <c r="J4888" s="135" t="n">
        <f aca="false">$G4888*'Analyse capacite'!$D$9</f>
        <v>0</v>
      </c>
      <c r="K4888" s="135" t="n">
        <f aca="false">$G4888*'Analyse capacite'!$E$9</f>
        <v>0</v>
      </c>
    </row>
    <row r="4889" customFormat="false" ht="15" hidden="false" customHeight="false" outlineLevel="0" collapsed="false">
      <c r="B4889" s="130" t="n">
        <v>2027</v>
      </c>
      <c r="C4889" s="131" t="s">
        <v>250</v>
      </c>
      <c r="D4889" s="132" t="n">
        <v>46613</v>
      </c>
      <c r="E4889" s="131" t="s">
        <v>53</v>
      </c>
      <c r="F4889" s="133" t="s">
        <v>11</v>
      </c>
      <c r="G4889" s="134" t="n">
        <f aca="false">LEN('Saisie programme'!$I$193)+SUMIFS('Vols additionnels'!$E$7:$E$66,'Vols additionnels'!$C$7:$C$66,$E4889,'Vols additionnels'!$D$7:$D$66,$F4889,'Vols additionnels'!$B$7:$B$66,$D4889)</f>
        <v>0</v>
      </c>
      <c r="H4889" s="135" t="n">
        <f aca="false">$G4889*'Analyse capacite'!$F$7</f>
        <v>0</v>
      </c>
      <c r="I4889" s="135" t="n">
        <f aca="false">$G4889*'Analyse capacite'!$C$7</f>
        <v>0</v>
      </c>
      <c r="J4889" s="135" t="n">
        <f aca="false">$G4889*'Analyse capacite'!$D$7</f>
        <v>0</v>
      </c>
      <c r="K4889" s="135" t="n">
        <f aca="false">$G4889*'Analyse capacite'!$E$7</f>
        <v>0</v>
      </c>
    </row>
    <row r="4890" customFormat="false" ht="15" hidden="false" customHeight="false" outlineLevel="0" collapsed="false">
      <c r="B4890" s="130" t="n">
        <v>2027</v>
      </c>
      <c r="C4890" s="131" t="s">
        <v>250</v>
      </c>
      <c r="D4890" s="132" t="n">
        <v>46613</v>
      </c>
      <c r="E4890" s="131" t="s">
        <v>53</v>
      </c>
      <c r="F4890" s="133" t="s">
        <v>19</v>
      </c>
      <c r="G4890" s="134" t="n">
        <f aca="false">LEN('Saisie programme'!$I$194)+SUMIFS('Vols additionnels'!$E$7:$E$66,'Vols additionnels'!$C$7:$C$66,$E4890,'Vols additionnels'!$D$7:$D$66,$F4890,'Vols additionnels'!$B$7:$B$66,$D4890)</f>
        <v>0</v>
      </c>
      <c r="H4890" s="135" t="n">
        <f aca="false">$G4890*'Analyse capacite'!$F$8</f>
        <v>0</v>
      </c>
      <c r="I4890" s="135" t="n">
        <f aca="false">$G4890*'Analyse capacite'!$C$8</f>
        <v>0</v>
      </c>
      <c r="J4890" s="135" t="n">
        <f aca="false">$G4890*'Analyse capacite'!$D$8</f>
        <v>0</v>
      </c>
      <c r="K4890" s="135" t="n">
        <f aca="false">$G4890*'Analyse capacite'!$E$8</f>
        <v>0</v>
      </c>
    </row>
    <row r="4891" customFormat="false" ht="15" hidden="false" customHeight="false" outlineLevel="0" collapsed="false">
      <c r="B4891" s="130" t="n">
        <v>2027</v>
      </c>
      <c r="C4891" s="131" t="s">
        <v>250</v>
      </c>
      <c r="D4891" s="132" t="n">
        <v>46613</v>
      </c>
      <c r="E4891" s="131" t="s">
        <v>53</v>
      </c>
      <c r="F4891" s="133" t="s">
        <v>24</v>
      </c>
      <c r="G4891" s="134" t="n">
        <f aca="false">LEN('Saisie programme'!$I$195)+SUMIFS('Vols additionnels'!$E$7:$E$66,'Vols additionnels'!$C$7:$C$66,$E4891,'Vols additionnels'!$D$7:$D$66,$F4891,'Vols additionnels'!$B$7:$B$66,$D4891)</f>
        <v>0</v>
      </c>
      <c r="H4891" s="135" t="n">
        <f aca="false">$G4891*'Analyse capacite'!$F$9</f>
        <v>0</v>
      </c>
      <c r="I4891" s="135" t="n">
        <f aca="false">$G4891*'Analyse capacite'!$C$9</f>
        <v>0</v>
      </c>
      <c r="J4891" s="135" t="n">
        <f aca="false">$G4891*'Analyse capacite'!$D$9</f>
        <v>0</v>
      </c>
      <c r="K4891" s="135" t="n">
        <f aca="false">$G4891*'Analyse capacite'!$E$9</f>
        <v>0</v>
      </c>
    </row>
    <row r="4892" customFormat="false" ht="15" hidden="false" customHeight="false" outlineLevel="0" collapsed="false">
      <c r="B4892" s="130" t="n">
        <v>2027</v>
      </c>
      <c r="C4892" s="131" t="s">
        <v>250</v>
      </c>
      <c r="D4892" s="132" t="n">
        <v>46613</v>
      </c>
      <c r="E4892" s="131" t="s">
        <v>56</v>
      </c>
      <c r="F4892" s="133" t="s">
        <v>11</v>
      </c>
      <c r="G4892" s="134" t="n">
        <f aca="false">LEN('Saisie programme'!$I$196)+SUMIFS('Vols additionnels'!$E$7:$E$66,'Vols additionnels'!$C$7:$C$66,$E4892,'Vols additionnels'!$D$7:$D$66,$F4892,'Vols additionnels'!$B$7:$B$66,$D4892)</f>
        <v>0</v>
      </c>
      <c r="H4892" s="135" t="n">
        <f aca="false">$G4892*'Analyse capacite'!$F$7</f>
        <v>0</v>
      </c>
      <c r="I4892" s="135" t="n">
        <f aca="false">$G4892*'Analyse capacite'!$C$7</f>
        <v>0</v>
      </c>
      <c r="J4892" s="135" t="n">
        <f aca="false">$G4892*'Analyse capacite'!$D$7</f>
        <v>0</v>
      </c>
      <c r="K4892" s="135" t="n">
        <f aca="false">$G4892*'Analyse capacite'!$E$7</f>
        <v>0</v>
      </c>
    </row>
    <row r="4893" customFormat="false" ht="15" hidden="false" customHeight="false" outlineLevel="0" collapsed="false">
      <c r="B4893" s="130" t="n">
        <v>2027</v>
      </c>
      <c r="C4893" s="131" t="s">
        <v>250</v>
      </c>
      <c r="D4893" s="132" t="n">
        <v>46613</v>
      </c>
      <c r="E4893" s="131" t="s">
        <v>56</v>
      </c>
      <c r="F4893" s="133" t="s">
        <v>19</v>
      </c>
      <c r="G4893" s="134" t="n">
        <f aca="false">LEN('Saisie programme'!$I$197)+SUMIFS('Vols additionnels'!$E$7:$E$66,'Vols additionnels'!$C$7:$C$66,$E4893,'Vols additionnels'!$D$7:$D$66,$F4893,'Vols additionnels'!$B$7:$B$66,$D4893)</f>
        <v>0</v>
      </c>
      <c r="H4893" s="135" t="n">
        <f aca="false">$G4893*'Analyse capacite'!$F$8</f>
        <v>0</v>
      </c>
      <c r="I4893" s="135" t="n">
        <f aca="false">$G4893*'Analyse capacite'!$C$8</f>
        <v>0</v>
      </c>
      <c r="J4893" s="135" t="n">
        <f aca="false">$G4893*'Analyse capacite'!$D$8</f>
        <v>0</v>
      </c>
      <c r="K4893" s="135" t="n">
        <f aca="false">$G4893*'Analyse capacite'!$E$8</f>
        <v>0</v>
      </c>
    </row>
    <row r="4894" customFormat="false" ht="15" hidden="false" customHeight="false" outlineLevel="0" collapsed="false">
      <c r="B4894" s="130" t="n">
        <v>2027</v>
      </c>
      <c r="C4894" s="131" t="s">
        <v>250</v>
      </c>
      <c r="D4894" s="132" t="n">
        <v>46613</v>
      </c>
      <c r="E4894" s="131" t="s">
        <v>56</v>
      </c>
      <c r="F4894" s="133" t="s">
        <v>24</v>
      </c>
      <c r="G4894" s="134" t="n">
        <f aca="false">LEN('Saisie programme'!$I$198)+SUMIFS('Vols additionnels'!$E$7:$E$66,'Vols additionnels'!$C$7:$C$66,$E4894,'Vols additionnels'!$D$7:$D$66,$F4894,'Vols additionnels'!$B$7:$B$66,$D4894)</f>
        <v>1</v>
      </c>
      <c r="H4894" s="135" t="n">
        <f aca="false">$G4894*'Analyse capacite'!$F$9</f>
        <v>174</v>
      </c>
      <c r="I4894" s="135" t="n">
        <f aca="false">$G4894*'Analyse capacite'!$C$9</f>
        <v>0</v>
      </c>
      <c r="J4894" s="135" t="n">
        <f aca="false">$G4894*'Analyse capacite'!$D$9</f>
        <v>12</v>
      </c>
      <c r="K4894" s="135" t="n">
        <f aca="false">$G4894*'Analyse capacite'!$E$9</f>
        <v>162</v>
      </c>
    </row>
    <row r="4895" customFormat="false" ht="15" hidden="false" customHeight="false" outlineLevel="0" collapsed="false">
      <c r="B4895" s="130" t="n">
        <v>2027</v>
      </c>
      <c r="C4895" s="131" t="s">
        <v>250</v>
      </c>
      <c r="D4895" s="132" t="n">
        <v>46613</v>
      </c>
      <c r="E4895" s="131" t="s">
        <v>59</v>
      </c>
      <c r="F4895" s="133" t="s">
        <v>11</v>
      </c>
      <c r="G4895" s="134" t="n">
        <f aca="false">LEN('Saisie programme'!$I$199)+SUMIFS('Vols additionnels'!$E$7:$E$66,'Vols additionnels'!$C$7:$C$66,$E4895,'Vols additionnels'!$D$7:$D$66,$F4895,'Vols additionnels'!$B$7:$B$66,$D4895)</f>
        <v>0</v>
      </c>
      <c r="H4895" s="135" t="n">
        <f aca="false">$G4895*'Analyse capacite'!$F$7</f>
        <v>0</v>
      </c>
      <c r="I4895" s="135" t="n">
        <f aca="false">$G4895*'Analyse capacite'!$C$7</f>
        <v>0</v>
      </c>
      <c r="J4895" s="135" t="n">
        <f aca="false">$G4895*'Analyse capacite'!$D$7</f>
        <v>0</v>
      </c>
      <c r="K4895" s="135" t="n">
        <f aca="false">$G4895*'Analyse capacite'!$E$7</f>
        <v>0</v>
      </c>
    </row>
    <row r="4896" customFormat="false" ht="15" hidden="false" customHeight="false" outlineLevel="0" collapsed="false">
      <c r="B4896" s="130" t="n">
        <v>2027</v>
      </c>
      <c r="C4896" s="131" t="s">
        <v>250</v>
      </c>
      <c r="D4896" s="132" t="n">
        <v>46613</v>
      </c>
      <c r="E4896" s="131" t="s">
        <v>59</v>
      </c>
      <c r="F4896" s="133" t="s">
        <v>19</v>
      </c>
      <c r="G4896" s="134" t="n">
        <f aca="false">LEN('Saisie programme'!$I$200)+SUMIFS('Vols additionnels'!$E$7:$E$66,'Vols additionnels'!$C$7:$C$66,$E4896,'Vols additionnels'!$D$7:$D$66,$F4896,'Vols additionnels'!$B$7:$B$66,$D4896)</f>
        <v>0</v>
      </c>
      <c r="H4896" s="135" t="n">
        <f aca="false">$G4896*'Analyse capacite'!$F$8</f>
        <v>0</v>
      </c>
      <c r="I4896" s="135" t="n">
        <f aca="false">$G4896*'Analyse capacite'!$C$8</f>
        <v>0</v>
      </c>
      <c r="J4896" s="135" t="n">
        <f aca="false">$G4896*'Analyse capacite'!$D$8</f>
        <v>0</v>
      </c>
      <c r="K4896" s="135" t="n">
        <f aca="false">$G4896*'Analyse capacite'!$E$8</f>
        <v>0</v>
      </c>
    </row>
    <row r="4897" customFormat="false" ht="15" hidden="false" customHeight="false" outlineLevel="0" collapsed="false">
      <c r="B4897" s="130" t="n">
        <v>2027</v>
      </c>
      <c r="C4897" s="131" t="s">
        <v>250</v>
      </c>
      <c r="D4897" s="132" t="n">
        <v>46613</v>
      </c>
      <c r="E4897" s="131" t="s">
        <v>59</v>
      </c>
      <c r="F4897" s="133" t="s">
        <v>24</v>
      </c>
      <c r="G4897" s="134" t="n">
        <f aca="false">LEN('Saisie programme'!$I$201)+SUMIFS('Vols additionnels'!$E$7:$E$66,'Vols additionnels'!$C$7:$C$66,$E4897,'Vols additionnels'!$D$7:$D$66,$F4897,'Vols additionnels'!$B$7:$B$66,$D4897)</f>
        <v>1</v>
      </c>
      <c r="H4897" s="135" t="n">
        <f aca="false">$G4897*'Analyse capacite'!$F$9</f>
        <v>174</v>
      </c>
      <c r="I4897" s="135" t="n">
        <f aca="false">$G4897*'Analyse capacite'!$C$9</f>
        <v>0</v>
      </c>
      <c r="J4897" s="135" t="n">
        <f aca="false">$G4897*'Analyse capacite'!$D$9</f>
        <v>12</v>
      </c>
      <c r="K4897" s="135" t="n">
        <f aca="false">$G4897*'Analyse capacite'!$E$9</f>
        <v>162</v>
      </c>
    </row>
    <row r="4898" customFormat="false" ht="15" hidden="false" customHeight="false" outlineLevel="0" collapsed="false">
      <c r="B4898" s="130" t="n">
        <v>2027</v>
      </c>
      <c r="C4898" s="131" t="s">
        <v>250</v>
      </c>
      <c r="D4898" s="132" t="n">
        <v>46613</v>
      </c>
      <c r="E4898" s="131" t="s">
        <v>62</v>
      </c>
      <c r="F4898" s="133" t="s">
        <v>11</v>
      </c>
      <c r="G4898" s="134" t="n">
        <f aca="false">LEN('Saisie programme'!$I$202)+SUMIFS('Vols additionnels'!$E$7:$E$66,'Vols additionnels'!$C$7:$C$66,$E4898,'Vols additionnels'!$D$7:$D$66,$F4898,'Vols additionnels'!$B$7:$B$66,$D4898)</f>
        <v>0</v>
      </c>
      <c r="H4898" s="135" t="n">
        <f aca="false">$G4898*'Analyse capacite'!$F$7</f>
        <v>0</v>
      </c>
      <c r="I4898" s="135" t="n">
        <f aca="false">$G4898*'Analyse capacite'!$C$7</f>
        <v>0</v>
      </c>
      <c r="J4898" s="135" t="n">
        <f aca="false">$G4898*'Analyse capacite'!$D$7</f>
        <v>0</v>
      </c>
      <c r="K4898" s="135" t="n">
        <f aca="false">$G4898*'Analyse capacite'!$E$7</f>
        <v>0</v>
      </c>
    </row>
    <row r="4899" customFormat="false" ht="15" hidden="false" customHeight="false" outlineLevel="0" collapsed="false">
      <c r="B4899" s="130" t="n">
        <v>2027</v>
      </c>
      <c r="C4899" s="131" t="s">
        <v>250</v>
      </c>
      <c r="D4899" s="132" t="n">
        <v>46613</v>
      </c>
      <c r="E4899" s="131" t="s">
        <v>62</v>
      </c>
      <c r="F4899" s="133" t="s">
        <v>19</v>
      </c>
      <c r="G4899" s="134" t="n">
        <f aca="false">LEN('Saisie programme'!$I$203)+SUMIFS('Vols additionnels'!$E$7:$E$66,'Vols additionnels'!$C$7:$C$66,$E4899,'Vols additionnels'!$D$7:$D$66,$F4899,'Vols additionnels'!$B$7:$B$66,$D4899)</f>
        <v>0</v>
      </c>
      <c r="H4899" s="135" t="n">
        <f aca="false">$G4899*'Analyse capacite'!$F$8</f>
        <v>0</v>
      </c>
      <c r="I4899" s="135" t="n">
        <f aca="false">$G4899*'Analyse capacite'!$C$8</f>
        <v>0</v>
      </c>
      <c r="J4899" s="135" t="n">
        <f aca="false">$G4899*'Analyse capacite'!$D$8</f>
        <v>0</v>
      </c>
      <c r="K4899" s="135" t="n">
        <f aca="false">$G4899*'Analyse capacite'!$E$8</f>
        <v>0</v>
      </c>
    </row>
    <row r="4900" customFormat="false" ht="15" hidden="false" customHeight="false" outlineLevel="0" collapsed="false">
      <c r="B4900" s="130" t="n">
        <v>2027</v>
      </c>
      <c r="C4900" s="131" t="s">
        <v>250</v>
      </c>
      <c r="D4900" s="132" t="n">
        <v>46613</v>
      </c>
      <c r="E4900" s="131" t="s">
        <v>62</v>
      </c>
      <c r="F4900" s="133" t="s">
        <v>24</v>
      </c>
      <c r="G4900" s="134" t="n">
        <f aca="false">LEN('Saisie programme'!$I$204)+SUMIFS('Vols additionnels'!$E$7:$E$66,'Vols additionnels'!$C$7:$C$66,$E4900,'Vols additionnels'!$D$7:$D$66,$F4900,'Vols additionnels'!$B$7:$B$66,$D4900)</f>
        <v>0</v>
      </c>
      <c r="H4900" s="135" t="n">
        <f aca="false">$G4900*'Analyse capacite'!$F$9</f>
        <v>0</v>
      </c>
      <c r="I4900" s="135" t="n">
        <f aca="false">$G4900*'Analyse capacite'!$C$9</f>
        <v>0</v>
      </c>
      <c r="J4900" s="135" t="n">
        <f aca="false">$G4900*'Analyse capacite'!$D$9</f>
        <v>0</v>
      </c>
      <c r="K4900" s="135" t="n">
        <f aca="false">$G4900*'Analyse capacite'!$E$9</f>
        <v>0</v>
      </c>
    </row>
    <row r="4901" customFormat="false" ht="15" hidden="false" customHeight="false" outlineLevel="0" collapsed="false">
      <c r="B4901" s="130" t="n">
        <v>2027</v>
      </c>
      <c r="C4901" s="131" t="s">
        <v>250</v>
      </c>
      <c r="D4901" s="132" t="n">
        <v>46614</v>
      </c>
      <c r="E4901" s="131" t="s">
        <v>12</v>
      </c>
      <c r="F4901" s="133" t="s">
        <v>11</v>
      </c>
      <c r="G4901" s="134" t="n">
        <f aca="false">LEN('Saisie programme'!$J$169)+SUMIFS('Vols additionnels'!$E$7:$E$66,'Vols additionnels'!$C$7:$C$66,$E4901,'Vols additionnels'!$D$7:$D$66,$F4901,'Vols additionnels'!$B$7:$B$66,$D4901)</f>
        <v>1</v>
      </c>
      <c r="H4901" s="135" t="n">
        <f aca="false">$G4901*'Analyse capacite'!$F$7</f>
        <v>438</v>
      </c>
      <c r="I4901" s="135" t="n">
        <f aca="false">$G4901*'Analyse capacite'!$C$7</f>
        <v>14</v>
      </c>
      <c r="J4901" s="135" t="n">
        <f aca="false">$G4901*'Analyse capacite'!$D$7</f>
        <v>40</v>
      </c>
      <c r="K4901" s="135" t="n">
        <f aca="false">$G4901*'Analyse capacite'!$E$7</f>
        <v>384</v>
      </c>
    </row>
    <row r="4902" customFormat="false" ht="15" hidden="false" customHeight="false" outlineLevel="0" collapsed="false">
      <c r="B4902" s="130" t="n">
        <v>2027</v>
      </c>
      <c r="C4902" s="131" t="s">
        <v>250</v>
      </c>
      <c r="D4902" s="132" t="n">
        <v>46614</v>
      </c>
      <c r="E4902" s="131" t="s">
        <v>12</v>
      </c>
      <c r="F4902" s="133" t="s">
        <v>19</v>
      </c>
      <c r="G4902" s="134" t="n">
        <f aca="false">LEN('Saisie programme'!$J$170)+SUMIFS('Vols additionnels'!$E$7:$E$66,'Vols additionnels'!$C$7:$C$66,$E4902,'Vols additionnels'!$D$7:$D$66,$F4902,'Vols additionnels'!$B$7:$B$66,$D4902)</f>
        <v>1</v>
      </c>
      <c r="H4902" s="135" t="n">
        <f aca="false">$G4902*'Analyse capacite'!$F$8</f>
        <v>262</v>
      </c>
      <c r="I4902" s="135" t="n">
        <f aca="false">$G4902*'Analyse capacite'!$C$8</f>
        <v>18</v>
      </c>
      <c r="J4902" s="135" t="n">
        <f aca="false">$G4902*'Analyse capacite'!$D$8</f>
        <v>0</v>
      </c>
      <c r="K4902" s="135" t="n">
        <f aca="false">$G4902*'Analyse capacite'!$E$8</f>
        <v>244</v>
      </c>
    </row>
    <row r="4903" customFormat="false" ht="15" hidden="false" customHeight="false" outlineLevel="0" collapsed="false">
      <c r="B4903" s="130" t="n">
        <v>2027</v>
      </c>
      <c r="C4903" s="131" t="s">
        <v>250</v>
      </c>
      <c r="D4903" s="132" t="n">
        <v>46614</v>
      </c>
      <c r="E4903" s="131" t="s">
        <v>12</v>
      </c>
      <c r="F4903" s="133" t="s">
        <v>24</v>
      </c>
      <c r="G4903" s="134" t="n">
        <f aca="false">LEN('Saisie programme'!$J$171)+SUMIFS('Vols additionnels'!$E$7:$E$66,'Vols additionnels'!$C$7:$C$66,$E4903,'Vols additionnels'!$D$7:$D$66,$F4903,'Vols additionnels'!$B$7:$B$66,$D4903)</f>
        <v>0</v>
      </c>
      <c r="H4903" s="135" t="n">
        <f aca="false">$G4903*'Analyse capacite'!$F$9</f>
        <v>0</v>
      </c>
      <c r="I4903" s="135" t="n">
        <f aca="false">$G4903*'Analyse capacite'!$C$9</f>
        <v>0</v>
      </c>
      <c r="J4903" s="135" t="n">
        <f aca="false">$G4903*'Analyse capacite'!$D$9</f>
        <v>0</v>
      </c>
      <c r="K4903" s="135" t="n">
        <f aca="false">$G4903*'Analyse capacite'!$E$9</f>
        <v>0</v>
      </c>
    </row>
    <row r="4904" customFormat="false" ht="15" hidden="false" customHeight="false" outlineLevel="0" collapsed="false">
      <c r="B4904" s="130" t="n">
        <v>2027</v>
      </c>
      <c r="C4904" s="131" t="s">
        <v>250</v>
      </c>
      <c r="D4904" s="132" t="n">
        <v>46614</v>
      </c>
      <c r="E4904" s="131" t="s">
        <v>20</v>
      </c>
      <c r="F4904" s="133" t="s">
        <v>11</v>
      </c>
      <c r="G4904" s="134" t="n">
        <f aca="false">LEN('Saisie programme'!$J$172)+SUMIFS('Vols additionnels'!$E$7:$E$66,'Vols additionnels'!$C$7:$C$66,$E4904,'Vols additionnels'!$D$7:$D$66,$F4904,'Vols additionnels'!$B$7:$B$66,$D4904)</f>
        <v>1</v>
      </c>
      <c r="H4904" s="135" t="n">
        <f aca="false">$G4904*'Analyse capacite'!$F$7</f>
        <v>438</v>
      </c>
      <c r="I4904" s="135" t="n">
        <f aca="false">$G4904*'Analyse capacite'!$C$7</f>
        <v>14</v>
      </c>
      <c r="J4904" s="135" t="n">
        <f aca="false">$G4904*'Analyse capacite'!$D$7</f>
        <v>40</v>
      </c>
      <c r="K4904" s="135" t="n">
        <f aca="false">$G4904*'Analyse capacite'!$E$7</f>
        <v>384</v>
      </c>
    </row>
    <row r="4905" customFormat="false" ht="15" hidden="false" customHeight="false" outlineLevel="0" collapsed="false">
      <c r="B4905" s="130" t="n">
        <v>2027</v>
      </c>
      <c r="C4905" s="131" t="s">
        <v>250</v>
      </c>
      <c r="D4905" s="132" t="n">
        <v>46614</v>
      </c>
      <c r="E4905" s="131" t="s">
        <v>20</v>
      </c>
      <c r="F4905" s="133" t="s">
        <v>19</v>
      </c>
      <c r="G4905" s="134" t="n">
        <f aca="false">LEN('Saisie programme'!$J$173)+SUMIFS('Vols additionnels'!$E$7:$E$66,'Vols additionnels'!$C$7:$C$66,$E4905,'Vols additionnels'!$D$7:$D$66,$F4905,'Vols additionnels'!$B$7:$B$66,$D4905)</f>
        <v>0</v>
      </c>
      <c r="H4905" s="135" t="n">
        <f aca="false">$G4905*'Analyse capacite'!$F$8</f>
        <v>0</v>
      </c>
      <c r="I4905" s="135" t="n">
        <f aca="false">$G4905*'Analyse capacite'!$C$8</f>
        <v>0</v>
      </c>
      <c r="J4905" s="135" t="n">
        <f aca="false">$G4905*'Analyse capacite'!$D$8</f>
        <v>0</v>
      </c>
      <c r="K4905" s="135" t="n">
        <f aca="false">$G4905*'Analyse capacite'!$E$8</f>
        <v>0</v>
      </c>
    </row>
    <row r="4906" customFormat="false" ht="15" hidden="false" customHeight="false" outlineLevel="0" collapsed="false">
      <c r="B4906" s="130" t="n">
        <v>2027</v>
      </c>
      <c r="C4906" s="131" t="s">
        <v>250</v>
      </c>
      <c r="D4906" s="132" t="n">
        <v>46614</v>
      </c>
      <c r="E4906" s="131" t="s">
        <v>20</v>
      </c>
      <c r="F4906" s="133" t="s">
        <v>24</v>
      </c>
      <c r="G4906" s="134" t="n">
        <f aca="false">LEN('Saisie programme'!$J$174)+SUMIFS('Vols additionnels'!$E$7:$E$66,'Vols additionnels'!$C$7:$C$66,$E4906,'Vols additionnels'!$D$7:$D$66,$F4906,'Vols additionnels'!$B$7:$B$66,$D4906)</f>
        <v>0</v>
      </c>
      <c r="H4906" s="135" t="n">
        <f aca="false">$G4906*'Analyse capacite'!$F$9</f>
        <v>0</v>
      </c>
      <c r="I4906" s="135" t="n">
        <f aca="false">$G4906*'Analyse capacite'!$C$9</f>
        <v>0</v>
      </c>
      <c r="J4906" s="135" t="n">
        <f aca="false">$G4906*'Analyse capacite'!$D$9</f>
        <v>0</v>
      </c>
      <c r="K4906" s="135" t="n">
        <f aca="false">$G4906*'Analyse capacite'!$E$9</f>
        <v>0</v>
      </c>
    </row>
    <row r="4907" customFormat="false" ht="15" hidden="false" customHeight="false" outlineLevel="0" collapsed="false">
      <c r="B4907" s="130" t="n">
        <v>2027</v>
      </c>
      <c r="C4907" s="131" t="s">
        <v>250</v>
      </c>
      <c r="D4907" s="132" t="n">
        <v>46614</v>
      </c>
      <c r="E4907" s="131" t="s">
        <v>25</v>
      </c>
      <c r="F4907" s="133" t="s">
        <v>11</v>
      </c>
      <c r="G4907" s="134" t="n">
        <f aca="false">LEN('Saisie programme'!$J$175)+SUMIFS('Vols additionnels'!$E$7:$E$66,'Vols additionnels'!$C$7:$C$66,$E4907,'Vols additionnels'!$D$7:$D$66,$F4907,'Vols additionnels'!$B$7:$B$66,$D4907)</f>
        <v>0</v>
      </c>
      <c r="H4907" s="135" t="n">
        <f aca="false">$G4907*'Analyse capacite'!$F$7</f>
        <v>0</v>
      </c>
      <c r="I4907" s="135" t="n">
        <f aca="false">$G4907*'Analyse capacite'!$C$7</f>
        <v>0</v>
      </c>
      <c r="J4907" s="135" t="n">
        <f aca="false">$G4907*'Analyse capacite'!$D$7</f>
        <v>0</v>
      </c>
      <c r="K4907" s="135" t="n">
        <f aca="false">$G4907*'Analyse capacite'!$E$7</f>
        <v>0</v>
      </c>
    </row>
    <row r="4908" customFormat="false" ht="15" hidden="false" customHeight="false" outlineLevel="0" collapsed="false">
      <c r="B4908" s="130" t="n">
        <v>2027</v>
      </c>
      <c r="C4908" s="131" t="s">
        <v>250</v>
      </c>
      <c r="D4908" s="132" t="n">
        <v>46614</v>
      </c>
      <c r="E4908" s="131" t="s">
        <v>25</v>
      </c>
      <c r="F4908" s="133" t="s">
        <v>19</v>
      </c>
      <c r="G4908" s="134" t="n">
        <f aca="false">LEN('Saisie programme'!$J$176)+SUMIFS('Vols additionnels'!$E$7:$E$66,'Vols additionnels'!$C$7:$C$66,$E4908,'Vols additionnels'!$D$7:$D$66,$F4908,'Vols additionnels'!$B$7:$B$66,$D4908)</f>
        <v>0</v>
      </c>
      <c r="H4908" s="135" t="n">
        <f aca="false">$G4908*'Analyse capacite'!$F$8</f>
        <v>0</v>
      </c>
      <c r="I4908" s="135" t="n">
        <f aca="false">$G4908*'Analyse capacite'!$C$8</f>
        <v>0</v>
      </c>
      <c r="J4908" s="135" t="n">
        <f aca="false">$G4908*'Analyse capacite'!$D$8</f>
        <v>0</v>
      </c>
      <c r="K4908" s="135" t="n">
        <f aca="false">$G4908*'Analyse capacite'!$E$8</f>
        <v>0</v>
      </c>
    </row>
    <row r="4909" customFormat="false" ht="15" hidden="false" customHeight="false" outlineLevel="0" collapsed="false">
      <c r="B4909" s="130" t="n">
        <v>2027</v>
      </c>
      <c r="C4909" s="131" t="s">
        <v>250</v>
      </c>
      <c r="D4909" s="132" t="n">
        <v>46614</v>
      </c>
      <c r="E4909" s="131" t="s">
        <v>25</v>
      </c>
      <c r="F4909" s="133" t="s">
        <v>24</v>
      </c>
      <c r="G4909" s="134" t="n">
        <f aca="false">LEN('Saisie programme'!$J$177)+SUMIFS('Vols additionnels'!$E$7:$E$66,'Vols additionnels'!$C$7:$C$66,$E4909,'Vols additionnels'!$D$7:$D$66,$F4909,'Vols additionnels'!$B$7:$B$66,$D4909)</f>
        <v>0</v>
      </c>
      <c r="H4909" s="135" t="n">
        <f aca="false">$G4909*'Analyse capacite'!$F$9</f>
        <v>0</v>
      </c>
      <c r="I4909" s="135" t="n">
        <f aca="false">$G4909*'Analyse capacite'!$C$9</f>
        <v>0</v>
      </c>
      <c r="J4909" s="135" t="n">
        <f aca="false">$G4909*'Analyse capacite'!$D$9</f>
        <v>0</v>
      </c>
      <c r="K4909" s="135" t="n">
        <f aca="false">$G4909*'Analyse capacite'!$E$9</f>
        <v>0</v>
      </c>
    </row>
    <row r="4910" customFormat="false" ht="15" hidden="false" customHeight="false" outlineLevel="0" collapsed="false">
      <c r="B4910" s="130" t="n">
        <v>2027</v>
      </c>
      <c r="C4910" s="131" t="s">
        <v>250</v>
      </c>
      <c r="D4910" s="132" t="n">
        <v>46614</v>
      </c>
      <c r="E4910" s="131" t="s">
        <v>36</v>
      </c>
      <c r="F4910" s="133" t="s">
        <v>11</v>
      </c>
      <c r="G4910" s="134" t="n">
        <f aca="false">LEN('Saisie programme'!$J$178)+SUMIFS('Vols additionnels'!$E$7:$E$66,'Vols additionnels'!$C$7:$C$66,$E4910,'Vols additionnels'!$D$7:$D$66,$F4910,'Vols additionnels'!$B$7:$B$66,$D4910)</f>
        <v>0</v>
      </c>
      <c r="H4910" s="135" t="n">
        <f aca="false">$G4910*'Analyse capacite'!$F$7</f>
        <v>0</v>
      </c>
      <c r="I4910" s="135" t="n">
        <f aca="false">$G4910*'Analyse capacite'!$C$7</f>
        <v>0</v>
      </c>
      <c r="J4910" s="135" t="n">
        <f aca="false">$G4910*'Analyse capacite'!$D$7</f>
        <v>0</v>
      </c>
      <c r="K4910" s="135" t="n">
        <f aca="false">$G4910*'Analyse capacite'!$E$7</f>
        <v>0</v>
      </c>
    </row>
    <row r="4911" customFormat="false" ht="15" hidden="false" customHeight="false" outlineLevel="0" collapsed="false">
      <c r="B4911" s="130" t="n">
        <v>2027</v>
      </c>
      <c r="C4911" s="131" t="s">
        <v>250</v>
      </c>
      <c r="D4911" s="132" t="n">
        <v>46614</v>
      </c>
      <c r="E4911" s="131" t="s">
        <v>36</v>
      </c>
      <c r="F4911" s="133" t="s">
        <v>19</v>
      </c>
      <c r="G4911" s="134" t="n">
        <f aca="false">LEN('Saisie programme'!$J$179)+SUMIFS('Vols additionnels'!$E$7:$E$66,'Vols additionnels'!$C$7:$C$66,$E4911,'Vols additionnels'!$D$7:$D$66,$F4911,'Vols additionnels'!$B$7:$B$66,$D4911)</f>
        <v>0</v>
      </c>
      <c r="H4911" s="135" t="n">
        <f aca="false">$G4911*'Analyse capacite'!$F$8</f>
        <v>0</v>
      </c>
      <c r="I4911" s="135" t="n">
        <f aca="false">$G4911*'Analyse capacite'!$C$8</f>
        <v>0</v>
      </c>
      <c r="J4911" s="135" t="n">
        <f aca="false">$G4911*'Analyse capacite'!$D$8</f>
        <v>0</v>
      </c>
      <c r="K4911" s="135" t="n">
        <f aca="false">$G4911*'Analyse capacite'!$E$8</f>
        <v>0</v>
      </c>
    </row>
    <row r="4912" customFormat="false" ht="15" hidden="false" customHeight="false" outlineLevel="0" collapsed="false">
      <c r="B4912" s="130" t="n">
        <v>2027</v>
      </c>
      <c r="C4912" s="131" t="s">
        <v>250</v>
      </c>
      <c r="D4912" s="132" t="n">
        <v>46614</v>
      </c>
      <c r="E4912" s="131" t="s">
        <v>36</v>
      </c>
      <c r="F4912" s="133" t="s">
        <v>24</v>
      </c>
      <c r="G4912" s="134" t="n">
        <f aca="false">LEN('Saisie programme'!$J$180)+SUMIFS('Vols additionnels'!$E$7:$E$66,'Vols additionnels'!$C$7:$C$66,$E4912,'Vols additionnels'!$D$7:$D$66,$F4912,'Vols additionnels'!$B$7:$B$66,$D4912)</f>
        <v>0</v>
      </c>
      <c r="H4912" s="135" t="n">
        <f aca="false">$G4912*'Analyse capacite'!$F$9</f>
        <v>0</v>
      </c>
      <c r="I4912" s="135" t="n">
        <f aca="false">$G4912*'Analyse capacite'!$C$9</f>
        <v>0</v>
      </c>
      <c r="J4912" s="135" t="n">
        <f aca="false">$G4912*'Analyse capacite'!$D$9</f>
        <v>0</v>
      </c>
      <c r="K4912" s="135" t="n">
        <f aca="false">$G4912*'Analyse capacite'!$E$9</f>
        <v>0</v>
      </c>
    </row>
    <row r="4913" customFormat="false" ht="15" hidden="false" customHeight="false" outlineLevel="0" collapsed="false">
      <c r="B4913" s="130" t="n">
        <v>2027</v>
      </c>
      <c r="C4913" s="131" t="s">
        <v>250</v>
      </c>
      <c r="D4913" s="132" t="n">
        <v>46614</v>
      </c>
      <c r="E4913" s="131" t="s">
        <v>40</v>
      </c>
      <c r="F4913" s="133" t="s">
        <v>11</v>
      </c>
      <c r="G4913" s="134" t="n">
        <f aca="false">LEN('Saisie programme'!$J$181)+SUMIFS('Vols additionnels'!$E$7:$E$66,'Vols additionnels'!$C$7:$C$66,$E4913,'Vols additionnels'!$D$7:$D$66,$F4913,'Vols additionnels'!$B$7:$B$66,$D4913)</f>
        <v>0</v>
      </c>
      <c r="H4913" s="135" t="n">
        <f aca="false">$G4913*'Analyse capacite'!$F$7</f>
        <v>0</v>
      </c>
      <c r="I4913" s="135" t="n">
        <f aca="false">$G4913*'Analyse capacite'!$C$7</f>
        <v>0</v>
      </c>
      <c r="J4913" s="135" t="n">
        <f aca="false">$G4913*'Analyse capacite'!$D$7</f>
        <v>0</v>
      </c>
      <c r="K4913" s="135" t="n">
        <f aca="false">$G4913*'Analyse capacite'!$E$7</f>
        <v>0</v>
      </c>
    </row>
    <row r="4914" customFormat="false" ht="15" hidden="false" customHeight="false" outlineLevel="0" collapsed="false">
      <c r="B4914" s="130" t="n">
        <v>2027</v>
      </c>
      <c r="C4914" s="131" t="s">
        <v>250</v>
      </c>
      <c r="D4914" s="132" t="n">
        <v>46614</v>
      </c>
      <c r="E4914" s="131" t="s">
        <v>40</v>
      </c>
      <c r="F4914" s="133" t="s">
        <v>19</v>
      </c>
      <c r="G4914" s="134" t="n">
        <f aca="false">LEN('Saisie programme'!$J$182)+SUMIFS('Vols additionnels'!$E$7:$E$66,'Vols additionnels'!$C$7:$C$66,$E4914,'Vols additionnels'!$D$7:$D$66,$F4914,'Vols additionnels'!$B$7:$B$66,$D4914)</f>
        <v>0</v>
      </c>
      <c r="H4914" s="135" t="n">
        <f aca="false">$G4914*'Analyse capacite'!$F$8</f>
        <v>0</v>
      </c>
      <c r="I4914" s="135" t="n">
        <f aca="false">$G4914*'Analyse capacite'!$C$8</f>
        <v>0</v>
      </c>
      <c r="J4914" s="135" t="n">
        <f aca="false">$G4914*'Analyse capacite'!$D$8</f>
        <v>0</v>
      </c>
      <c r="K4914" s="135" t="n">
        <f aca="false">$G4914*'Analyse capacite'!$E$8</f>
        <v>0</v>
      </c>
    </row>
    <row r="4915" customFormat="false" ht="15" hidden="false" customHeight="false" outlineLevel="0" collapsed="false">
      <c r="B4915" s="130" t="n">
        <v>2027</v>
      </c>
      <c r="C4915" s="131" t="s">
        <v>250</v>
      </c>
      <c r="D4915" s="132" t="n">
        <v>46614</v>
      </c>
      <c r="E4915" s="131" t="s">
        <v>40</v>
      </c>
      <c r="F4915" s="133" t="s">
        <v>24</v>
      </c>
      <c r="G4915" s="134" t="n">
        <f aca="false">LEN('Saisie programme'!$J$183)+SUMIFS('Vols additionnels'!$E$7:$E$66,'Vols additionnels'!$C$7:$C$66,$E4915,'Vols additionnels'!$D$7:$D$66,$F4915,'Vols additionnels'!$B$7:$B$66,$D4915)</f>
        <v>1</v>
      </c>
      <c r="H4915" s="135" t="n">
        <f aca="false">$G4915*'Analyse capacite'!$F$9</f>
        <v>174</v>
      </c>
      <c r="I4915" s="135" t="n">
        <f aca="false">$G4915*'Analyse capacite'!$C$9</f>
        <v>0</v>
      </c>
      <c r="J4915" s="135" t="n">
        <f aca="false">$G4915*'Analyse capacite'!$D$9</f>
        <v>12</v>
      </c>
      <c r="K4915" s="135" t="n">
        <f aca="false">$G4915*'Analyse capacite'!$E$9</f>
        <v>162</v>
      </c>
    </row>
    <row r="4916" customFormat="false" ht="15" hidden="false" customHeight="false" outlineLevel="0" collapsed="false">
      <c r="B4916" s="130" t="n">
        <v>2027</v>
      </c>
      <c r="C4916" s="131" t="s">
        <v>250</v>
      </c>
      <c r="D4916" s="132" t="n">
        <v>46614</v>
      </c>
      <c r="E4916" s="131" t="s">
        <v>14</v>
      </c>
      <c r="F4916" s="133" t="s">
        <v>11</v>
      </c>
      <c r="G4916" s="134" t="n">
        <f aca="false">LEN('Saisie programme'!$J$184)+SUMIFS('Vols additionnels'!$E$7:$E$66,'Vols additionnels'!$C$7:$C$66,$E4916,'Vols additionnels'!$D$7:$D$66,$F4916,'Vols additionnels'!$B$7:$B$66,$D4916)</f>
        <v>0</v>
      </c>
      <c r="H4916" s="135" t="n">
        <f aca="false">$G4916*'Analyse capacite'!$F$7</f>
        <v>0</v>
      </c>
      <c r="I4916" s="135" t="n">
        <f aca="false">$G4916*'Analyse capacite'!$C$7</f>
        <v>0</v>
      </c>
      <c r="J4916" s="135" t="n">
        <f aca="false">$G4916*'Analyse capacite'!$D$7</f>
        <v>0</v>
      </c>
      <c r="K4916" s="135" t="n">
        <f aca="false">$G4916*'Analyse capacite'!$E$7</f>
        <v>0</v>
      </c>
    </row>
    <row r="4917" customFormat="false" ht="15" hidden="false" customHeight="false" outlineLevel="0" collapsed="false">
      <c r="B4917" s="130" t="n">
        <v>2027</v>
      </c>
      <c r="C4917" s="131" t="s">
        <v>250</v>
      </c>
      <c r="D4917" s="132" t="n">
        <v>46614</v>
      </c>
      <c r="E4917" s="131" t="s">
        <v>14</v>
      </c>
      <c r="F4917" s="133" t="s">
        <v>19</v>
      </c>
      <c r="G4917" s="134" t="n">
        <f aca="false">LEN('Saisie programme'!$J$185)+SUMIFS('Vols additionnels'!$E$7:$E$66,'Vols additionnels'!$C$7:$C$66,$E4917,'Vols additionnels'!$D$7:$D$66,$F4917,'Vols additionnels'!$B$7:$B$66,$D4917)</f>
        <v>0</v>
      </c>
      <c r="H4917" s="135" t="n">
        <f aca="false">$G4917*'Analyse capacite'!$F$8</f>
        <v>0</v>
      </c>
      <c r="I4917" s="135" t="n">
        <f aca="false">$G4917*'Analyse capacite'!$C$8</f>
        <v>0</v>
      </c>
      <c r="J4917" s="135" t="n">
        <f aca="false">$G4917*'Analyse capacite'!$D$8</f>
        <v>0</v>
      </c>
      <c r="K4917" s="135" t="n">
        <f aca="false">$G4917*'Analyse capacite'!$E$8</f>
        <v>0</v>
      </c>
    </row>
    <row r="4918" customFormat="false" ht="15" hidden="false" customHeight="false" outlineLevel="0" collapsed="false">
      <c r="B4918" s="130" t="n">
        <v>2027</v>
      </c>
      <c r="C4918" s="131" t="s">
        <v>250</v>
      </c>
      <c r="D4918" s="132" t="n">
        <v>46614</v>
      </c>
      <c r="E4918" s="131" t="s">
        <v>14</v>
      </c>
      <c r="F4918" s="133" t="s">
        <v>24</v>
      </c>
      <c r="G4918" s="134" t="n">
        <f aca="false">LEN('Saisie programme'!$J$186)+SUMIFS('Vols additionnels'!$E$7:$E$66,'Vols additionnels'!$C$7:$C$66,$E4918,'Vols additionnels'!$D$7:$D$66,$F4918,'Vols additionnels'!$B$7:$B$66,$D4918)</f>
        <v>0</v>
      </c>
      <c r="H4918" s="135" t="n">
        <f aca="false">$G4918*'Analyse capacite'!$F$9</f>
        <v>0</v>
      </c>
      <c r="I4918" s="135" t="n">
        <f aca="false">$G4918*'Analyse capacite'!$C$9</f>
        <v>0</v>
      </c>
      <c r="J4918" s="135" t="n">
        <f aca="false">$G4918*'Analyse capacite'!$D$9</f>
        <v>0</v>
      </c>
      <c r="K4918" s="135" t="n">
        <f aca="false">$G4918*'Analyse capacite'!$E$9</f>
        <v>0</v>
      </c>
    </row>
    <row r="4919" customFormat="false" ht="15" hidden="false" customHeight="false" outlineLevel="0" collapsed="false">
      <c r="B4919" s="130" t="n">
        <v>2027</v>
      </c>
      <c r="C4919" s="131" t="s">
        <v>250</v>
      </c>
      <c r="D4919" s="132" t="n">
        <v>46614</v>
      </c>
      <c r="E4919" s="131" t="s">
        <v>46</v>
      </c>
      <c r="F4919" s="133" t="s">
        <v>11</v>
      </c>
      <c r="G4919" s="134" t="n">
        <f aca="false">LEN('Saisie programme'!$J$187)+SUMIFS('Vols additionnels'!$E$7:$E$66,'Vols additionnels'!$C$7:$C$66,$E4919,'Vols additionnels'!$D$7:$D$66,$F4919,'Vols additionnels'!$B$7:$B$66,$D4919)</f>
        <v>0</v>
      </c>
      <c r="H4919" s="135" t="n">
        <f aca="false">$G4919*'Analyse capacite'!$F$7</f>
        <v>0</v>
      </c>
      <c r="I4919" s="135" t="n">
        <f aca="false">$G4919*'Analyse capacite'!$C$7</f>
        <v>0</v>
      </c>
      <c r="J4919" s="135" t="n">
        <f aca="false">$G4919*'Analyse capacite'!$D$7</f>
        <v>0</v>
      </c>
      <c r="K4919" s="135" t="n">
        <f aca="false">$G4919*'Analyse capacite'!$E$7</f>
        <v>0</v>
      </c>
    </row>
    <row r="4920" customFormat="false" ht="15" hidden="false" customHeight="false" outlineLevel="0" collapsed="false">
      <c r="B4920" s="130" t="n">
        <v>2027</v>
      </c>
      <c r="C4920" s="131" t="s">
        <v>250</v>
      </c>
      <c r="D4920" s="132" t="n">
        <v>46614</v>
      </c>
      <c r="E4920" s="131" t="s">
        <v>46</v>
      </c>
      <c r="F4920" s="133" t="s">
        <v>19</v>
      </c>
      <c r="G4920" s="134" t="n">
        <f aca="false">LEN('Saisie programme'!$J$188)+SUMIFS('Vols additionnels'!$E$7:$E$66,'Vols additionnels'!$C$7:$C$66,$E4920,'Vols additionnels'!$D$7:$D$66,$F4920,'Vols additionnels'!$B$7:$B$66,$D4920)</f>
        <v>0</v>
      </c>
      <c r="H4920" s="135" t="n">
        <f aca="false">$G4920*'Analyse capacite'!$F$8</f>
        <v>0</v>
      </c>
      <c r="I4920" s="135" t="n">
        <f aca="false">$G4920*'Analyse capacite'!$C$8</f>
        <v>0</v>
      </c>
      <c r="J4920" s="135" t="n">
        <f aca="false">$G4920*'Analyse capacite'!$D$8</f>
        <v>0</v>
      </c>
      <c r="K4920" s="135" t="n">
        <f aca="false">$G4920*'Analyse capacite'!$E$8</f>
        <v>0</v>
      </c>
    </row>
    <row r="4921" customFormat="false" ht="15" hidden="false" customHeight="false" outlineLevel="0" collapsed="false">
      <c r="B4921" s="130" t="n">
        <v>2027</v>
      </c>
      <c r="C4921" s="131" t="s">
        <v>250</v>
      </c>
      <c r="D4921" s="132" t="n">
        <v>46614</v>
      </c>
      <c r="E4921" s="131" t="s">
        <v>46</v>
      </c>
      <c r="F4921" s="133" t="s">
        <v>24</v>
      </c>
      <c r="G4921" s="134" t="n">
        <f aca="false">LEN('Saisie programme'!$J$189)+SUMIFS('Vols additionnels'!$E$7:$E$66,'Vols additionnels'!$C$7:$C$66,$E4921,'Vols additionnels'!$D$7:$D$66,$F4921,'Vols additionnels'!$B$7:$B$66,$D4921)</f>
        <v>0</v>
      </c>
      <c r="H4921" s="135" t="n">
        <f aca="false">$G4921*'Analyse capacite'!$F$9</f>
        <v>0</v>
      </c>
      <c r="I4921" s="135" t="n">
        <f aca="false">$G4921*'Analyse capacite'!$C$9</f>
        <v>0</v>
      </c>
      <c r="J4921" s="135" t="n">
        <f aca="false">$G4921*'Analyse capacite'!$D$9</f>
        <v>0</v>
      </c>
      <c r="K4921" s="135" t="n">
        <f aca="false">$G4921*'Analyse capacite'!$E$9</f>
        <v>0</v>
      </c>
    </row>
    <row r="4922" customFormat="false" ht="15" hidden="false" customHeight="false" outlineLevel="0" collapsed="false">
      <c r="B4922" s="130" t="n">
        <v>2027</v>
      </c>
      <c r="C4922" s="131" t="s">
        <v>250</v>
      </c>
      <c r="D4922" s="132" t="n">
        <v>46614</v>
      </c>
      <c r="E4922" s="131" t="s">
        <v>49</v>
      </c>
      <c r="F4922" s="133" t="s">
        <v>11</v>
      </c>
      <c r="G4922" s="134" t="n">
        <f aca="false">LEN('Saisie programme'!$J$190)+SUMIFS('Vols additionnels'!$E$7:$E$66,'Vols additionnels'!$C$7:$C$66,$E4922,'Vols additionnels'!$D$7:$D$66,$F4922,'Vols additionnels'!$B$7:$B$66,$D4922)</f>
        <v>0</v>
      </c>
      <c r="H4922" s="135" t="n">
        <f aca="false">$G4922*'Analyse capacite'!$F$7</f>
        <v>0</v>
      </c>
      <c r="I4922" s="135" t="n">
        <f aca="false">$G4922*'Analyse capacite'!$C$7</f>
        <v>0</v>
      </c>
      <c r="J4922" s="135" t="n">
        <f aca="false">$G4922*'Analyse capacite'!$D$7</f>
        <v>0</v>
      </c>
      <c r="K4922" s="135" t="n">
        <f aca="false">$G4922*'Analyse capacite'!$E$7</f>
        <v>0</v>
      </c>
    </row>
    <row r="4923" customFormat="false" ht="15" hidden="false" customHeight="false" outlineLevel="0" collapsed="false">
      <c r="B4923" s="130" t="n">
        <v>2027</v>
      </c>
      <c r="C4923" s="131" t="s">
        <v>250</v>
      </c>
      <c r="D4923" s="132" t="n">
        <v>46614</v>
      </c>
      <c r="E4923" s="131" t="s">
        <v>49</v>
      </c>
      <c r="F4923" s="133" t="s">
        <v>19</v>
      </c>
      <c r="G4923" s="134" t="n">
        <f aca="false">LEN('Saisie programme'!$J$191)+SUMIFS('Vols additionnels'!$E$7:$E$66,'Vols additionnels'!$C$7:$C$66,$E4923,'Vols additionnels'!$D$7:$D$66,$F4923,'Vols additionnels'!$B$7:$B$66,$D4923)</f>
        <v>0</v>
      </c>
      <c r="H4923" s="135" t="n">
        <f aca="false">$G4923*'Analyse capacite'!$F$8</f>
        <v>0</v>
      </c>
      <c r="I4923" s="135" t="n">
        <f aca="false">$G4923*'Analyse capacite'!$C$8</f>
        <v>0</v>
      </c>
      <c r="J4923" s="135" t="n">
        <f aca="false">$G4923*'Analyse capacite'!$D$8</f>
        <v>0</v>
      </c>
      <c r="K4923" s="135" t="n">
        <f aca="false">$G4923*'Analyse capacite'!$E$8</f>
        <v>0</v>
      </c>
    </row>
    <row r="4924" customFormat="false" ht="15" hidden="false" customHeight="false" outlineLevel="0" collapsed="false">
      <c r="B4924" s="130" t="n">
        <v>2027</v>
      </c>
      <c r="C4924" s="131" t="s">
        <v>250</v>
      </c>
      <c r="D4924" s="132" t="n">
        <v>46614</v>
      </c>
      <c r="E4924" s="131" t="s">
        <v>49</v>
      </c>
      <c r="F4924" s="133" t="s">
        <v>24</v>
      </c>
      <c r="G4924" s="134" t="n">
        <f aca="false">LEN('Saisie programme'!$J$192)+SUMIFS('Vols additionnels'!$E$7:$E$66,'Vols additionnels'!$C$7:$C$66,$E4924,'Vols additionnels'!$D$7:$D$66,$F4924,'Vols additionnels'!$B$7:$B$66,$D4924)</f>
        <v>0</v>
      </c>
      <c r="H4924" s="135" t="n">
        <f aca="false">$G4924*'Analyse capacite'!$F$9</f>
        <v>0</v>
      </c>
      <c r="I4924" s="135" t="n">
        <f aca="false">$G4924*'Analyse capacite'!$C$9</f>
        <v>0</v>
      </c>
      <c r="J4924" s="135" t="n">
        <f aca="false">$G4924*'Analyse capacite'!$D$9</f>
        <v>0</v>
      </c>
      <c r="K4924" s="135" t="n">
        <f aca="false">$G4924*'Analyse capacite'!$E$9</f>
        <v>0</v>
      </c>
    </row>
    <row r="4925" customFormat="false" ht="15" hidden="false" customHeight="false" outlineLevel="0" collapsed="false">
      <c r="B4925" s="130" t="n">
        <v>2027</v>
      </c>
      <c r="C4925" s="131" t="s">
        <v>250</v>
      </c>
      <c r="D4925" s="132" t="n">
        <v>46614</v>
      </c>
      <c r="E4925" s="131" t="s">
        <v>53</v>
      </c>
      <c r="F4925" s="133" t="s">
        <v>11</v>
      </c>
      <c r="G4925" s="134" t="n">
        <f aca="false">LEN('Saisie programme'!$J$193)+SUMIFS('Vols additionnels'!$E$7:$E$66,'Vols additionnels'!$C$7:$C$66,$E4925,'Vols additionnels'!$D$7:$D$66,$F4925,'Vols additionnels'!$B$7:$B$66,$D4925)</f>
        <v>0</v>
      </c>
      <c r="H4925" s="135" t="n">
        <f aca="false">$G4925*'Analyse capacite'!$F$7</f>
        <v>0</v>
      </c>
      <c r="I4925" s="135" t="n">
        <f aca="false">$G4925*'Analyse capacite'!$C$7</f>
        <v>0</v>
      </c>
      <c r="J4925" s="135" t="n">
        <f aca="false">$G4925*'Analyse capacite'!$D$7</f>
        <v>0</v>
      </c>
      <c r="K4925" s="135" t="n">
        <f aca="false">$G4925*'Analyse capacite'!$E$7</f>
        <v>0</v>
      </c>
    </row>
    <row r="4926" customFormat="false" ht="15" hidden="false" customHeight="false" outlineLevel="0" collapsed="false">
      <c r="B4926" s="130" t="n">
        <v>2027</v>
      </c>
      <c r="C4926" s="131" t="s">
        <v>250</v>
      </c>
      <c r="D4926" s="132" t="n">
        <v>46614</v>
      </c>
      <c r="E4926" s="131" t="s">
        <v>53</v>
      </c>
      <c r="F4926" s="133" t="s">
        <v>19</v>
      </c>
      <c r="G4926" s="134" t="n">
        <f aca="false">LEN('Saisie programme'!$J$194)+SUMIFS('Vols additionnels'!$E$7:$E$66,'Vols additionnels'!$C$7:$C$66,$E4926,'Vols additionnels'!$D$7:$D$66,$F4926,'Vols additionnels'!$B$7:$B$66,$D4926)</f>
        <v>0</v>
      </c>
      <c r="H4926" s="135" t="n">
        <f aca="false">$G4926*'Analyse capacite'!$F$8</f>
        <v>0</v>
      </c>
      <c r="I4926" s="135" t="n">
        <f aca="false">$G4926*'Analyse capacite'!$C$8</f>
        <v>0</v>
      </c>
      <c r="J4926" s="135" t="n">
        <f aca="false">$G4926*'Analyse capacite'!$D$8</f>
        <v>0</v>
      </c>
      <c r="K4926" s="135" t="n">
        <f aca="false">$G4926*'Analyse capacite'!$E$8</f>
        <v>0</v>
      </c>
    </row>
    <row r="4927" customFormat="false" ht="15" hidden="false" customHeight="false" outlineLevel="0" collapsed="false">
      <c r="B4927" s="130" t="n">
        <v>2027</v>
      </c>
      <c r="C4927" s="131" t="s">
        <v>250</v>
      </c>
      <c r="D4927" s="132" t="n">
        <v>46614</v>
      </c>
      <c r="E4927" s="131" t="s">
        <v>53</v>
      </c>
      <c r="F4927" s="133" t="s">
        <v>24</v>
      </c>
      <c r="G4927" s="134" t="n">
        <f aca="false">LEN('Saisie programme'!$J$195)+SUMIFS('Vols additionnels'!$E$7:$E$66,'Vols additionnels'!$C$7:$C$66,$E4927,'Vols additionnels'!$D$7:$D$66,$F4927,'Vols additionnels'!$B$7:$B$66,$D4927)</f>
        <v>0</v>
      </c>
      <c r="H4927" s="135" t="n">
        <f aca="false">$G4927*'Analyse capacite'!$F$9</f>
        <v>0</v>
      </c>
      <c r="I4927" s="135" t="n">
        <f aca="false">$G4927*'Analyse capacite'!$C$9</f>
        <v>0</v>
      </c>
      <c r="J4927" s="135" t="n">
        <f aca="false">$G4927*'Analyse capacite'!$D$9</f>
        <v>0</v>
      </c>
      <c r="K4927" s="135" t="n">
        <f aca="false">$G4927*'Analyse capacite'!$E$9</f>
        <v>0</v>
      </c>
    </row>
    <row r="4928" customFormat="false" ht="15" hidden="false" customHeight="false" outlineLevel="0" collapsed="false">
      <c r="B4928" s="130" t="n">
        <v>2027</v>
      </c>
      <c r="C4928" s="131" t="s">
        <v>250</v>
      </c>
      <c r="D4928" s="132" t="n">
        <v>46614</v>
      </c>
      <c r="E4928" s="131" t="s">
        <v>56</v>
      </c>
      <c r="F4928" s="133" t="s">
        <v>11</v>
      </c>
      <c r="G4928" s="134" t="n">
        <f aca="false">LEN('Saisie programme'!$J$196)+SUMIFS('Vols additionnels'!$E$7:$E$66,'Vols additionnels'!$C$7:$C$66,$E4928,'Vols additionnels'!$D$7:$D$66,$F4928,'Vols additionnels'!$B$7:$B$66,$D4928)</f>
        <v>0</v>
      </c>
      <c r="H4928" s="135" t="n">
        <f aca="false">$G4928*'Analyse capacite'!$F$7</f>
        <v>0</v>
      </c>
      <c r="I4928" s="135" t="n">
        <f aca="false">$G4928*'Analyse capacite'!$C$7</f>
        <v>0</v>
      </c>
      <c r="J4928" s="135" t="n">
        <f aca="false">$G4928*'Analyse capacite'!$D$7</f>
        <v>0</v>
      </c>
      <c r="K4928" s="135" t="n">
        <f aca="false">$G4928*'Analyse capacite'!$E$7</f>
        <v>0</v>
      </c>
    </row>
    <row r="4929" customFormat="false" ht="15" hidden="false" customHeight="false" outlineLevel="0" collapsed="false">
      <c r="B4929" s="130" t="n">
        <v>2027</v>
      </c>
      <c r="C4929" s="131" t="s">
        <v>250</v>
      </c>
      <c r="D4929" s="132" t="n">
        <v>46614</v>
      </c>
      <c r="E4929" s="131" t="s">
        <v>56</v>
      </c>
      <c r="F4929" s="133" t="s">
        <v>19</v>
      </c>
      <c r="G4929" s="134" t="n">
        <f aca="false">LEN('Saisie programme'!$J$197)+SUMIFS('Vols additionnels'!$E$7:$E$66,'Vols additionnels'!$C$7:$C$66,$E4929,'Vols additionnels'!$D$7:$D$66,$F4929,'Vols additionnels'!$B$7:$B$66,$D4929)</f>
        <v>0</v>
      </c>
      <c r="H4929" s="135" t="n">
        <f aca="false">$G4929*'Analyse capacite'!$F$8</f>
        <v>0</v>
      </c>
      <c r="I4929" s="135" t="n">
        <f aca="false">$G4929*'Analyse capacite'!$C$8</f>
        <v>0</v>
      </c>
      <c r="J4929" s="135" t="n">
        <f aca="false">$G4929*'Analyse capacite'!$D$8</f>
        <v>0</v>
      </c>
      <c r="K4929" s="135" t="n">
        <f aca="false">$G4929*'Analyse capacite'!$E$8</f>
        <v>0</v>
      </c>
    </row>
    <row r="4930" customFormat="false" ht="15" hidden="false" customHeight="false" outlineLevel="0" collapsed="false">
      <c r="B4930" s="130" t="n">
        <v>2027</v>
      </c>
      <c r="C4930" s="131" t="s">
        <v>250</v>
      </c>
      <c r="D4930" s="132" t="n">
        <v>46614</v>
      </c>
      <c r="E4930" s="131" t="s">
        <v>56</v>
      </c>
      <c r="F4930" s="133" t="s">
        <v>24</v>
      </c>
      <c r="G4930" s="134" t="n">
        <f aca="false">LEN('Saisie programme'!$J$198)+SUMIFS('Vols additionnels'!$E$7:$E$66,'Vols additionnels'!$C$7:$C$66,$E4930,'Vols additionnels'!$D$7:$D$66,$F4930,'Vols additionnels'!$B$7:$B$66,$D4930)</f>
        <v>0</v>
      </c>
      <c r="H4930" s="135" t="n">
        <f aca="false">$G4930*'Analyse capacite'!$F$9</f>
        <v>0</v>
      </c>
      <c r="I4930" s="135" t="n">
        <f aca="false">$G4930*'Analyse capacite'!$C$9</f>
        <v>0</v>
      </c>
      <c r="J4930" s="135" t="n">
        <f aca="false">$G4930*'Analyse capacite'!$D$9</f>
        <v>0</v>
      </c>
      <c r="K4930" s="135" t="n">
        <f aca="false">$G4930*'Analyse capacite'!$E$9</f>
        <v>0</v>
      </c>
    </row>
    <row r="4931" customFormat="false" ht="15" hidden="false" customHeight="false" outlineLevel="0" collapsed="false">
      <c r="B4931" s="130" t="n">
        <v>2027</v>
      </c>
      <c r="C4931" s="131" t="s">
        <v>250</v>
      </c>
      <c r="D4931" s="132" t="n">
        <v>46614</v>
      </c>
      <c r="E4931" s="131" t="s">
        <v>59</v>
      </c>
      <c r="F4931" s="133" t="s">
        <v>11</v>
      </c>
      <c r="G4931" s="134" t="n">
        <f aca="false">LEN('Saisie programme'!$J$199)+SUMIFS('Vols additionnels'!$E$7:$E$66,'Vols additionnels'!$C$7:$C$66,$E4931,'Vols additionnels'!$D$7:$D$66,$F4931,'Vols additionnels'!$B$7:$B$66,$D4931)</f>
        <v>0</v>
      </c>
      <c r="H4931" s="135" t="n">
        <f aca="false">$G4931*'Analyse capacite'!$F$7</f>
        <v>0</v>
      </c>
      <c r="I4931" s="135" t="n">
        <f aca="false">$G4931*'Analyse capacite'!$C$7</f>
        <v>0</v>
      </c>
      <c r="J4931" s="135" t="n">
        <f aca="false">$G4931*'Analyse capacite'!$D$7</f>
        <v>0</v>
      </c>
      <c r="K4931" s="135" t="n">
        <f aca="false">$G4931*'Analyse capacite'!$E$7</f>
        <v>0</v>
      </c>
    </row>
    <row r="4932" customFormat="false" ht="15" hidden="false" customHeight="false" outlineLevel="0" collapsed="false">
      <c r="B4932" s="130" t="n">
        <v>2027</v>
      </c>
      <c r="C4932" s="131" t="s">
        <v>250</v>
      </c>
      <c r="D4932" s="132" t="n">
        <v>46614</v>
      </c>
      <c r="E4932" s="131" t="s">
        <v>59</v>
      </c>
      <c r="F4932" s="133" t="s">
        <v>19</v>
      </c>
      <c r="G4932" s="134" t="n">
        <f aca="false">LEN('Saisie programme'!$J$200)+SUMIFS('Vols additionnels'!$E$7:$E$66,'Vols additionnels'!$C$7:$C$66,$E4932,'Vols additionnels'!$D$7:$D$66,$F4932,'Vols additionnels'!$B$7:$B$66,$D4932)</f>
        <v>0</v>
      </c>
      <c r="H4932" s="135" t="n">
        <f aca="false">$G4932*'Analyse capacite'!$F$8</f>
        <v>0</v>
      </c>
      <c r="I4932" s="135" t="n">
        <f aca="false">$G4932*'Analyse capacite'!$C$8</f>
        <v>0</v>
      </c>
      <c r="J4932" s="135" t="n">
        <f aca="false">$G4932*'Analyse capacite'!$D$8</f>
        <v>0</v>
      </c>
      <c r="K4932" s="135" t="n">
        <f aca="false">$G4932*'Analyse capacite'!$E$8</f>
        <v>0</v>
      </c>
    </row>
    <row r="4933" customFormat="false" ht="15" hidden="false" customHeight="false" outlineLevel="0" collapsed="false">
      <c r="B4933" s="130" t="n">
        <v>2027</v>
      </c>
      <c r="C4933" s="131" t="s">
        <v>250</v>
      </c>
      <c r="D4933" s="132" t="n">
        <v>46614</v>
      </c>
      <c r="E4933" s="131" t="s">
        <v>59</v>
      </c>
      <c r="F4933" s="133" t="s">
        <v>24</v>
      </c>
      <c r="G4933" s="134" t="n">
        <f aca="false">LEN('Saisie programme'!$J$201)+SUMIFS('Vols additionnels'!$E$7:$E$66,'Vols additionnels'!$C$7:$C$66,$E4933,'Vols additionnels'!$D$7:$D$66,$F4933,'Vols additionnels'!$B$7:$B$66,$D4933)</f>
        <v>0</v>
      </c>
      <c r="H4933" s="135" t="n">
        <f aca="false">$G4933*'Analyse capacite'!$F$9</f>
        <v>0</v>
      </c>
      <c r="I4933" s="135" t="n">
        <f aca="false">$G4933*'Analyse capacite'!$C$9</f>
        <v>0</v>
      </c>
      <c r="J4933" s="135" t="n">
        <f aca="false">$G4933*'Analyse capacite'!$D$9</f>
        <v>0</v>
      </c>
      <c r="K4933" s="135" t="n">
        <f aca="false">$G4933*'Analyse capacite'!$E$9</f>
        <v>0</v>
      </c>
    </row>
    <row r="4934" customFormat="false" ht="15" hidden="false" customHeight="false" outlineLevel="0" collapsed="false">
      <c r="B4934" s="130" t="n">
        <v>2027</v>
      </c>
      <c r="C4934" s="131" t="s">
        <v>250</v>
      </c>
      <c r="D4934" s="132" t="n">
        <v>46614</v>
      </c>
      <c r="E4934" s="131" t="s">
        <v>62</v>
      </c>
      <c r="F4934" s="133" t="s">
        <v>11</v>
      </c>
      <c r="G4934" s="134" t="n">
        <f aca="false">LEN('Saisie programme'!$J$202)+SUMIFS('Vols additionnels'!$E$7:$E$66,'Vols additionnels'!$C$7:$C$66,$E4934,'Vols additionnels'!$D$7:$D$66,$F4934,'Vols additionnels'!$B$7:$B$66,$D4934)</f>
        <v>0</v>
      </c>
      <c r="H4934" s="135" t="n">
        <f aca="false">$G4934*'Analyse capacite'!$F$7</f>
        <v>0</v>
      </c>
      <c r="I4934" s="135" t="n">
        <f aca="false">$G4934*'Analyse capacite'!$C$7</f>
        <v>0</v>
      </c>
      <c r="J4934" s="135" t="n">
        <f aca="false">$G4934*'Analyse capacite'!$D$7</f>
        <v>0</v>
      </c>
      <c r="K4934" s="135" t="n">
        <f aca="false">$G4934*'Analyse capacite'!$E$7</f>
        <v>0</v>
      </c>
    </row>
    <row r="4935" customFormat="false" ht="15" hidden="false" customHeight="false" outlineLevel="0" collapsed="false">
      <c r="B4935" s="130" t="n">
        <v>2027</v>
      </c>
      <c r="C4935" s="131" t="s">
        <v>250</v>
      </c>
      <c r="D4935" s="132" t="n">
        <v>46614</v>
      </c>
      <c r="E4935" s="131" t="s">
        <v>62</v>
      </c>
      <c r="F4935" s="133" t="s">
        <v>19</v>
      </c>
      <c r="G4935" s="134" t="n">
        <f aca="false">LEN('Saisie programme'!$J$203)+SUMIFS('Vols additionnels'!$E$7:$E$66,'Vols additionnels'!$C$7:$C$66,$E4935,'Vols additionnels'!$D$7:$D$66,$F4935,'Vols additionnels'!$B$7:$B$66,$D4935)</f>
        <v>0</v>
      </c>
      <c r="H4935" s="135" t="n">
        <f aca="false">$G4935*'Analyse capacite'!$F$8</f>
        <v>0</v>
      </c>
      <c r="I4935" s="135" t="n">
        <f aca="false">$G4935*'Analyse capacite'!$C$8</f>
        <v>0</v>
      </c>
      <c r="J4935" s="135" t="n">
        <f aca="false">$G4935*'Analyse capacite'!$D$8</f>
        <v>0</v>
      </c>
      <c r="K4935" s="135" t="n">
        <f aca="false">$G4935*'Analyse capacite'!$E$8</f>
        <v>0</v>
      </c>
    </row>
    <row r="4936" customFormat="false" ht="15" hidden="false" customHeight="false" outlineLevel="0" collapsed="false">
      <c r="B4936" s="130" t="n">
        <v>2027</v>
      </c>
      <c r="C4936" s="131" t="s">
        <v>250</v>
      </c>
      <c r="D4936" s="132" t="n">
        <v>46614</v>
      </c>
      <c r="E4936" s="131" t="s">
        <v>62</v>
      </c>
      <c r="F4936" s="133" t="s">
        <v>24</v>
      </c>
      <c r="G4936" s="134" t="n">
        <f aca="false">LEN('Saisie programme'!$J$204)+SUMIFS('Vols additionnels'!$E$7:$E$66,'Vols additionnels'!$C$7:$C$66,$E4936,'Vols additionnels'!$D$7:$D$66,$F4936,'Vols additionnels'!$B$7:$B$66,$D4936)</f>
        <v>1</v>
      </c>
      <c r="H4936" s="135" t="n">
        <f aca="false">$G4936*'Analyse capacite'!$F$9</f>
        <v>174</v>
      </c>
      <c r="I4936" s="135" t="n">
        <f aca="false">$G4936*'Analyse capacite'!$C$9</f>
        <v>0</v>
      </c>
      <c r="J4936" s="135" t="n">
        <f aca="false">$G4936*'Analyse capacite'!$D$9</f>
        <v>12</v>
      </c>
      <c r="K4936" s="135" t="n">
        <f aca="false">$G4936*'Analyse capacite'!$E$9</f>
        <v>162</v>
      </c>
    </row>
    <row r="4937" customFormat="false" ht="15" hidden="false" customHeight="false" outlineLevel="0" collapsed="false">
      <c r="B4937" s="130" t="n">
        <v>2027</v>
      </c>
      <c r="C4937" s="131" t="s">
        <v>250</v>
      </c>
      <c r="D4937" s="132" t="n">
        <v>46615</v>
      </c>
      <c r="E4937" s="131" t="s">
        <v>12</v>
      </c>
      <c r="F4937" s="133" t="s">
        <v>11</v>
      </c>
      <c r="G4937" s="134" t="n">
        <f aca="false">LEN('Saisie programme'!$D$169)+SUMIFS('Vols additionnels'!$E$7:$E$66,'Vols additionnels'!$C$7:$C$66,$E4937,'Vols additionnels'!$D$7:$D$66,$F4937,'Vols additionnels'!$B$7:$B$66,$D4937)</f>
        <v>1</v>
      </c>
      <c r="H4937" s="135" t="n">
        <f aca="false">$G4937*'Analyse capacite'!$F$7</f>
        <v>438</v>
      </c>
      <c r="I4937" s="135" t="n">
        <f aca="false">$G4937*'Analyse capacite'!$C$7</f>
        <v>14</v>
      </c>
      <c r="J4937" s="135" t="n">
        <f aca="false">$G4937*'Analyse capacite'!$D$7</f>
        <v>40</v>
      </c>
      <c r="K4937" s="135" t="n">
        <f aca="false">$G4937*'Analyse capacite'!$E$7</f>
        <v>384</v>
      </c>
    </row>
    <row r="4938" customFormat="false" ht="15" hidden="false" customHeight="false" outlineLevel="0" collapsed="false">
      <c r="B4938" s="130" t="n">
        <v>2027</v>
      </c>
      <c r="C4938" s="131" t="s">
        <v>250</v>
      </c>
      <c r="D4938" s="132" t="n">
        <v>46615</v>
      </c>
      <c r="E4938" s="131" t="s">
        <v>12</v>
      </c>
      <c r="F4938" s="133" t="s">
        <v>19</v>
      </c>
      <c r="G4938" s="134" t="n">
        <f aca="false">LEN('Saisie programme'!$D$170)+SUMIFS('Vols additionnels'!$E$7:$E$66,'Vols additionnels'!$C$7:$C$66,$E4938,'Vols additionnels'!$D$7:$D$66,$F4938,'Vols additionnels'!$B$7:$B$66,$D4938)</f>
        <v>1</v>
      </c>
      <c r="H4938" s="135" t="n">
        <f aca="false">$G4938*'Analyse capacite'!$F$8</f>
        <v>262</v>
      </c>
      <c r="I4938" s="135" t="n">
        <f aca="false">$G4938*'Analyse capacite'!$C$8</f>
        <v>18</v>
      </c>
      <c r="J4938" s="135" t="n">
        <f aca="false">$G4938*'Analyse capacite'!$D$8</f>
        <v>0</v>
      </c>
      <c r="K4938" s="135" t="n">
        <f aca="false">$G4938*'Analyse capacite'!$E$8</f>
        <v>244</v>
      </c>
    </row>
    <row r="4939" customFormat="false" ht="15" hidden="false" customHeight="false" outlineLevel="0" collapsed="false">
      <c r="B4939" s="130" t="n">
        <v>2027</v>
      </c>
      <c r="C4939" s="131" t="s">
        <v>250</v>
      </c>
      <c r="D4939" s="132" t="n">
        <v>46615</v>
      </c>
      <c r="E4939" s="131" t="s">
        <v>12</v>
      </c>
      <c r="F4939" s="133" t="s">
        <v>24</v>
      </c>
      <c r="G4939" s="134" t="n">
        <f aca="false">LEN('Saisie programme'!$D$171)+SUMIFS('Vols additionnels'!$E$7:$E$66,'Vols additionnels'!$C$7:$C$66,$E4939,'Vols additionnels'!$D$7:$D$66,$F4939,'Vols additionnels'!$B$7:$B$66,$D4939)</f>
        <v>0</v>
      </c>
      <c r="H4939" s="135" t="n">
        <f aca="false">$G4939*'Analyse capacite'!$F$9</f>
        <v>0</v>
      </c>
      <c r="I4939" s="135" t="n">
        <f aca="false">$G4939*'Analyse capacite'!$C$9</f>
        <v>0</v>
      </c>
      <c r="J4939" s="135" t="n">
        <f aca="false">$G4939*'Analyse capacite'!$D$9</f>
        <v>0</v>
      </c>
      <c r="K4939" s="135" t="n">
        <f aca="false">$G4939*'Analyse capacite'!$E$9</f>
        <v>0</v>
      </c>
    </row>
    <row r="4940" customFormat="false" ht="15" hidden="false" customHeight="false" outlineLevel="0" collapsed="false">
      <c r="B4940" s="130" t="n">
        <v>2027</v>
      </c>
      <c r="C4940" s="131" t="s">
        <v>250</v>
      </c>
      <c r="D4940" s="132" t="n">
        <v>46615</v>
      </c>
      <c r="E4940" s="131" t="s">
        <v>20</v>
      </c>
      <c r="F4940" s="133" t="s">
        <v>11</v>
      </c>
      <c r="G4940" s="134" t="n">
        <f aca="false">LEN('Saisie programme'!$D$172)+SUMIFS('Vols additionnels'!$E$7:$E$66,'Vols additionnels'!$C$7:$C$66,$E4940,'Vols additionnels'!$D$7:$D$66,$F4940,'Vols additionnels'!$B$7:$B$66,$D4940)</f>
        <v>0</v>
      </c>
      <c r="H4940" s="135" t="n">
        <f aca="false">$G4940*'Analyse capacite'!$F$7</f>
        <v>0</v>
      </c>
      <c r="I4940" s="135" t="n">
        <f aca="false">$G4940*'Analyse capacite'!$C$7</f>
        <v>0</v>
      </c>
      <c r="J4940" s="135" t="n">
        <f aca="false">$G4940*'Analyse capacite'!$D$7</f>
        <v>0</v>
      </c>
      <c r="K4940" s="135" t="n">
        <f aca="false">$G4940*'Analyse capacite'!$E$7</f>
        <v>0</v>
      </c>
    </row>
    <row r="4941" customFormat="false" ht="15" hidden="false" customHeight="false" outlineLevel="0" collapsed="false">
      <c r="B4941" s="130" t="n">
        <v>2027</v>
      </c>
      <c r="C4941" s="131" t="s">
        <v>250</v>
      </c>
      <c r="D4941" s="132" t="n">
        <v>46615</v>
      </c>
      <c r="E4941" s="131" t="s">
        <v>20</v>
      </c>
      <c r="F4941" s="133" t="s">
        <v>19</v>
      </c>
      <c r="G4941" s="134" t="n">
        <f aca="false">LEN('Saisie programme'!$D$173)+SUMIFS('Vols additionnels'!$E$7:$E$66,'Vols additionnels'!$C$7:$C$66,$E4941,'Vols additionnels'!$D$7:$D$66,$F4941,'Vols additionnels'!$B$7:$B$66,$D4941)</f>
        <v>0</v>
      </c>
      <c r="H4941" s="135" t="n">
        <f aca="false">$G4941*'Analyse capacite'!$F$8</f>
        <v>0</v>
      </c>
      <c r="I4941" s="135" t="n">
        <f aca="false">$G4941*'Analyse capacite'!$C$8</f>
        <v>0</v>
      </c>
      <c r="J4941" s="135" t="n">
        <f aca="false">$G4941*'Analyse capacite'!$D$8</f>
        <v>0</v>
      </c>
      <c r="K4941" s="135" t="n">
        <f aca="false">$G4941*'Analyse capacite'!$E$8</f>
        <v>0</v>
      </c>
    </row>
    <row r="4942" customFormat="false" ht="15" hidden="false" customHeight="false" outlineLevel="0" collapsed="false">
      <c r="B4942" s="130" t="n">
        <v>2027</v>
      </c>
      <c r="C4942" s="131" t="s">
        <v>250</v>
      </c>
      <c r="D4942" s="132" t="n">
        <v>46615</v>
      </c>
      <c r="E4942" s="131" t="s">
        <v>20</v>
      </c>
      <c r="F4942" s="133" t="s">
        <v>24</v>
      </c>
      <c r="G4942" s="134" t="n">
        <f aca="false">LEN('Saisie programme'!$D$174)+SUMIFS('Vols additionnels'!$E$7:$E$66,'Vols additionnels'!$C$7:$C$66,$E4942,'Vols additionnels'!$D$7:$D$66,$F4942,'Vols additionnels'!$B$7:$B$66,$D4942)</f>
        <v>0</v>
      </c>
      <c r="H4942" s="135" t="n">
        <f aca="false">$G4942*'Analyse capacite'!$F$9</f>
        <v>0</v>
      </c>
      <c r="I4942" s="135" t="n">
        <f aca="false">$G4942*'Analyse capacite'!$C$9</f>
        <v>0</v>
      </c>
      <c r="J4942" s="135" t="n">
        <f aca="false">$G4942*'Analyse capacite'!$D$9</f>
        <v>0</v>
      </c>
      <c r="K4942" s="135" t="n">
        <f aca="false">$G4942*'Analyse capacite'!$E$9</f>
        <v>0</v>
      </c>
    </row>
    <row r="4943" customFormat="false" ht="15" hidden="false" customHeight="false" outlineLevel="0" collapsed="false">
      <c r="B4943" s="130" t="n">
        <v>2027</v>
      </c>
      <c r="C4943" s="131" t="s">
        <v>250</v>
      </c>
      <c r="D4943" s="132" t="n">
        <v>46615</v>
      </c>
      <c r="E4943" s="131" t="s">
        <v>25</v>
      </c>
      <c r="F4943" s="133" t="s">
        <v>11</v>
      </c>
      <c r="G4943" s="134" t="n">
        <f aca="false">LEN('Saisie programme'!$D$175)+SUMIFS('Vols additionnels'!$E$7:$E$66,'Vols additionnels'!$C$7:$C$66,$E4943,'Vols additionnels'!$D$7:$D$66,$F4943,'Vols additionnels'!$B$7:$B$66,$D4943)</f>
        <v>0</v>
      </c>
      <c r="H4943" s="135" t="n">
        <f aca="false">$G4943*'Analyse capacite'!$F$7</f>
        <v>0</v>
      </c>
      <c r="I4943" s="135" t="n">
        <f aca="false">$G4943*'Analyse capacite'!$C$7</f>
        <v>0</v>
      </c>
      <c r="J4943" s="135" t="n">
        <f aca="false">$G4943*'Analyse capacite'!$D$7</f>
        <v>0</v>
      </c>
      <c r="K4943" s="135" t="n">
        <f aca="false">$G4943*'Analyse capacite'!$E$7</f>
        <v>0</v>
      </c>
    </row>
    <row r="4944" customFormat="false" ht="15" hidden="false" customHeight="false" outlineLevel="0" collapsed="false">
      <c r="B4944" s="130" t="n">
        <v>2027</v>
      </c>
      <c r="C4944" s="131" t="s">
        <v>250</v>
      </c>
      <c r="D4944" s="132" t="n">
        <v>46615</v>
      </c>
      <c r="E4944" s="131" t="s">
        <v>25</v>
      </c>
      <c r="F4944" s="133" t="s">
        <v>19</v>
      </c>
      <c r="G4944" s="134" t="n">
        <f aca="false">LEN('Saisie programme'!$D$176)+SUMIFS('Vols additionnels'!$E$7:$E$66,'Vols additionnels'!$C$7:$C$66,$E4944,'Vols additionnels'!$D$7:$D$66,$F4944,'Vols additionnels'!$B$7:$B$66,$D4944)</f>
        <v>0</v>
      </c>
      <c r="H4944" s="135" t="n">
        <f aca="false">$G4944*'Analyse capacite'!$F$8</f>
        <v>0</v>
      </c>
      <c r="I4944" s="135" t="n">
        <f aca="false">$G4944*'Analyse capacite'!$C$8</f>
        <v>0</v>
      </c>
      <c r="J4944" s="135" t="n">
        <f aca="false">$G4944*'Analyse capacite'!$D$8</f>
        <v>0</v>
      </c>
      <c r="K4944" s="135" t="n">
        <f aca="false">$G4944*'Analyse capacite'!$E$8</f>
        <v>0</v>
      </c>
    </row>
    <row r="4945" customFormat="false" ht="15" hidden="false" customHeight="false" outlineLevel="0" collapsed="false">
      <c r="B4945" s="130" t="n">
        <v>2027</v>
      </c>
      <c r="C4945" s="131" t="s">
        <v>250</v>
      </c>
      <c r="D4945" s="132" t="n">
        <v>46615</v>
      </c>
      <c r="E4945" s="131" t="s">
        <v>25</v>
      </c>
      <c r="F4945" s="133" t="s">
        <v>24</v>
      </c>
      <c r="G4945" s="134" t="n">
        <f aca="false">LEN('Saisie programme'!$D$177)+SUMIFS('Vols additionnels'!$E$7:$E$66,'Vols additionnels'!$C$7:$C$66,$E4945,'Vols additionnels'!$D$7:$D$66,$F4945,'Vols additionnels'!$B$7:$B$66,$D4945)</f>
        <v>0</v>
      </c>
      <c r="H4945" s="135" t="n">
        <f aca="false">$G4945*'Analyse capacite'!$F$9</f>
        <v>0</v>
      </c>
      <c r="I4945" s="135" t="n">
        <f aca="false">$G4945*'Analyse capacite'!$C$9</f>
        <v>0</v>
      </c>
      <c r="J4945" s="135" t="n">
        <f aca="false">$G4945*'Analyse capacite'!$D$9</f>
        <v>0</v>
      </c>
      <c r="K4945" s="135" t="n">
        <f aca="false">$G4945*'Analyse capacite'!$E$9</f>
        <v>0</v>
      </c>
    </row>
    <row r="4946" customFormat="false" ht="15" hidden="false" customHeight="false" outlineLevel="0" collapsed="false">
      <c r="B4946" s="130" t="n">
        <v>2027</v>
      </c>
      <c r="C4946" s="131" t="s">
        <v>250</v>
      </c>
      <c r="D4946" s="132" t="n">
        <v>46615</v>
      </c>
      <c r="E4946" s="131" t="s">
        <v>36</v>
      </c>
      <c r="F4946" s="133" t="s">
        <v>11</v>
      </c>
      <c r="G4946" s="134" t="n">
        <f aca="false">LEN('Saisie programme'!$D$178)+SUMIFS('Vols additionnels'!$E$7:$E$66,'Vols additionnels'!$C$7:$C$66,$E4946,'Vols additionnels'!$D$7:$D$66,$F4946,'Vols additionnels'!$B$7:$B$66,$D4946)</f>
        <v>0</v>
      </c>
      <c r="H4946" s="135" t="n">
        <f aca="false">$G4946*'Analyse capacite'!$F$7</f>
        <v>0</v>
      </c>
      <c r="I4946" s="135" t="n">
        <f aca="false">$G4946*'Analyse capacite'!$C$7</f>
        <v>0</v>
      </c>
      <c r="J4946" s="135" t="n">
        <f aca="false">$G4946*'Analyse capacite'!$D$7</f>
        <v>0</v>
      </c>
      <c r="K4946" s="135" t="n">
        <f aca="false">$G4946*'Analyse capacite'!$E$7</f>
        <v>0</v>
      </c>
    </row>
    <row r="4947" customFormat="false" ht="15" hidden="false" customHeight="false" outlineLevel="0" collapsed="false">
      <c r="B4947" s="130" t="n">
        <v>2027</v>
      </c>
      <c r="C4947" s="131" t="s">
        <v>250</v>
      </c>
      <c r="D4947" s="132" t="n">
        <v>46615</v>
      </c>
      <c r="E4947" s="131" t="s">
        <v>36</v>
      </c>
      <c r="F4947" s="133" t="s">
        <v>19</v>
      </c>
      <c r="G4947" s="134" t="n">
        <f aca="false">LEN('Saisie programme'!$D$179)+SUMIFS('Vols additionnels'!$E$7:$E$66,'Vols additionnels'!$C$7:$C$66,$E4947,'Vols additionnels'!$D$7:$D$66,$F4947,'Vols additionnels'!$B$7:$B$66,$D4947)</f>
        <v>0</v>
      </c>
      <c r="H4947" s="135" t="n">
        <f aca="false">$G4947*'Analyse capacite'!$F$8</f>
        <v>0</v>
      </c>
      <c r="I4947" s="135" t="n">
        <f aca="false">$G4947*'Analyse capacite'!$C$8</f>
        <v>0</v>
      </c>
      <c r="J4947" s="135" t="n">
        <f aca="false">$G4947*'Analyse capacite'!$D$8</f>
        <v>0</v>
      </c>
      <c r="K4947" s="135" t="n">
        <f aca="false">$G4947*'Analyse capacite'!$E$8</f>
        <v>0</v>
      </c>
    </row>
    <row r="4948" customFormat="false" ht="15" hidden="false" customHeight="false" outlineLevel="0" collapsed="false">
      <c r="B4948" s="130" t="n">
        <v>2027</v>
      </c>
      <c r="C4948" s="131" t="s">
        <v>250</v>
      </c>
      <c r="D4948" s="132" t="n">
        <v>46615</v>
      </c>
      <c r="E4948" s="131" t="s">
        <v>36</v>
      </c>
      <c r="F4948" s="133" t="s">
        <v>24</v>
      </c>
      <c r="G4948" s="134" t="n">
        <f aca="false">LEN('Saisie programme'!$D$180)+SUMIFS('Vols additionnels'!$E$7:$E$66,'Vols additionnels'!$C$7:$C$66,$E4948,'Vols additionnels'!$D$7:$D$66,$F4948,'Vols additionnels'!$B$7:$B$66,$D4948)</f>
        <v>1</v>
      </c>
      <c r="H4948" s="135" t="n">
        <f aca="false">$G4948*'Analyse capacite'!$F$9</f>
        <v>174</v>
      </c>
      <c r="I4948" s="135" t="n">
        <f aca="false">$G4948*'Analyse capacite'!$C$9</f>
        <v>0</v>
      </c>
      <c r="J4948" s="135" t="n">
        <f aca="false">$G4948*'Analyse capacite'!$D$9</f>
        <v>12</v>
      </c>
      <c r="K4948" s="135" t="n">
        <f aca="false">$G4948*'Analyse capacite'!$E$9</f>
        <v>162</v>
      </c>
    </row>
    <row r="4949" customFormat="false" ht="15" hidden="false" customHeight="false" outlineLevel="0" collapsed="false">
      <c r="B4949" s="130" t="n">
        <v>2027</v>
      </c>
      <c r="C4949" s="131" t="s">
        <v>250</v>
      </c>
      <c r="D4949" s="132" t="n">
        <v>46615</v>
      </c>
      <c r="E4949" s="131" t="s">
        <v>40</v>
      </c>
      <c r="F4949" s="133" t="s">
        <v>11</v>
      </c>
      <c r="G4949" s="134" t="n">
        <f aca="false">LEN('Saisie programme'!$D$181)+SUMIFS('Vols additionnels'!$E$7:$E$66,'Vols additionnels'!$C$7:$C$66,$E4949,'Vols additionnels'!$D$7:$D$66,$F4949,'Vols additionnels'!$B$7:$B$66,$D4949)</f>
        <v>0</v>
      </c>
      <c r="H4949" s="135" t="n">
        <f aca="false">$G4949*'Analyse capacite'!$F$7</f>
        <v>0</v>
      </c>
      <c r="I4949" s="135" t="n">
        <f aca="false">$G4949*'Analyse capacite'!$C$7</f>
        <v>0</v>
      </c>
      <c r="J4949" s="135" t="n">
        <f aca="false">$G4949*'Analyse capacite'!$D$7</f>
        <v>0</v>
      </c>
      <c r="K4949" s="135" t="n">
        <f aca="false">$G4949*'Analyse capacite'!$E$7</f>
        <v>0</v>
      </c>
    </row>
    <row r="4950" customFormat="false" ht="15" hidden="false" customHeight="false" outlineLevel="0" collapsed="false">
      <c r="B4950" s="130" t="n">
        <v>2027</v>
      </c>
      <c r="C4950" s="131" t="s">
        <v>250</v>
      </c>
      <c r="D4950" s="132" t="n">
        <v>46615</v>
      </c>
      <c r="E4950" s="131" t="s">
        <v>40</v>
      </c>
      <c r="F4950" s="133" t="s">
        <v>19</v>
      </c>
      <c r="G4950" s="134" t="n">
        <f aca="false">LEN('Saisie programme'!$D$182)+SUMIFS('Vols additionnels'!$E$7:$E$66,'Vols additionnels'!$C$7:$C$66,$E4950,'Vols additionnels'!$D$7:$D$66,$F4950,'Vols additionnels'!$B$7:$B$66,$D4950)</f>
        <v>0</v>
      </c>
      <c r="H4950" s="135" t="n">
        <f aca="false">$G4950*'Analyse capacite'!$F$8</f>
        <v>0</v>
      </c>
      <c r="I4950" s="135" t="n">
        <f aca="false">$G4950*'Analyse capacite'!$C$8</f>
        <v>0</v>
      </c>
      <c r="J4950" s="135" t="n">
        <f aca="false">$G4950*'Analyse capacite'!$D$8</f>
        <v>0</v>
      </c>
      <c r="K4950" s="135" t="n">
        <f aca="false">$G4950*'Analyse capacite'!$E$8</f>
        <v>0</v>
      </c>
    </row>
    <row r="4951" customFormat="false" ht="15" hidden="false" customHeight="false" outlineLevel="0" collapsed="false">
      <c r="B4951" s="130" t="n">
        <v>2027</v>
      </c>
      <c r="C4951" s="131" t="s">
        <v>250</v>
      </c>
      <c r="D4951" s="132" t="n">
        <v>46615</v>
      </c>
      <c r="E4951" s="131" t="s">
        <v>40</v>
      </c>
      <c r="F4951" s="133" t="s">
        <v>24</v>
      </c>
      <c r="G4951" s="134" t="n">
        <f aca="false">LEN('Saisie programme'!$D$183)+SUMIFS('Vols additionnels'!$E$7:$E$66,'Vols additionnels'!$C$7:$C$66,$E4951,'Vols additionnels'!$D$7:$D$66,$F4951,'Vols additionnels'!$B$7:$B$66,$D4951)</f>
        <v>1</v>
      </c>
      <c r="H4951" s="135" t="n">
        <f aca="false">$G4951*'Analyse capacite'!$F$9</f>
        <v>174</v>
      </c>
      <c r="I4951" s="135" t="n">
        <f aca="false">$G4951*'Analyse capacite'!$C$9</f>
        <v>0</v>
      </c>
      <c r="J4951" s="135" t="n">
        <f aca="false">$G4951*'Analyse capacite'!$D$9</f>
        <v>12</v>
      </c>
      <c r="K4951" s="135" t="n">
        <f aca="false">$G4951*'Analyse capacite'!$E$9</f>
        <v>162</v>
      </c>
    </row>
    <row r="4952" customFormat="false" ht="15" hidden="false" customHeight="false" outlineLevel="0" collapsed="false">
      <c r="B4952" s="130" t="n">
        <v>2027</v>
      </c>
      <c r="C4952" s="131" t="s">
        <v>250</v>
      </c>
      <c r="D4952" s="132" t="n">
        <v>46615</v>
      </c>
      <c r="E4952" s="131" t="s">
        <v>14</v>
      </c>
      <c r="F4952" s="133" t="s">
        <v>11</v>
      </c>
      <c r="G4952" s="134" t="n">
        <f aca="false">LEN('Saisie programme'!$D$184)+SUMIFS('Vols additionnels'!$E$7:$E$66,'Vols additionnels'!$C$7:$C$66,$E4952,'Vols additionnels'!$D$7:$D$66,$F4952,'Vols additionnels'!$B$7:$B$66,$D4952)</f>
        <v>0</v>
      </c>
      <c r="H4952" s="135" t="n">
        <f aca="false">$G4952*'Analyse capacite'!$F$7</f>
        <v>0</v>
      </c>
      <c r="I4952" s="135" t="n">
        <f aca="false">$G4952*'Analyse capacite'!$C$7</f>
        <v>0</v>
      </c>
      <c r="J4952" s="135" t="n">
        <f aca="false">$G4952*'Analyse capacite'!$D$7</f>
        <v>0</v>
      </c>
      <c r="K4952" s="135" t="n">
        <f aca="false">$G4952*'Analyse capacite'!$E$7</f>
        <v>0</v>
      </c>
    </row>
    <row r="4953" customFormat="false" ht="15" hidden="false" customHeight="false" outlineLevel="0" collapsed="false">
      <c r="B4953" s="130" t="n">
        <v>2027</v>
      </c>
      <c r="C4953" s="131" t="s">
        <v>250</v>
      </c>
      <c r="D4953" s="132" t="n">
        <v>46615</v>
      </c>
      <c r="E4953" s="131" t="s">
        <v>14</v>
      </c>
      <c r="F4953" s="133" t="s">
        <v>19</v>
      </c>
      <c r="G4953" s="134" t="n">
        <f aca="false">LEN('Saisie programme'!$D$185)+SUMIFS('Vols additionnels'!$E$7:$E$66,'Vols additionnels'!$C$7:$C$66,$E4953,'Vols additionnels'!$D$7:$D$66,$F4953,'Vols additionnels'!$B$7:$B$66,$D4953)</f>
        <v>0</v>
      </c>
      <c r="H4953" s="135" t="n">
        <f aca="false">$G4953*'Analyse capacite'!$F$8</f>
        <v>0</v>
      </c>
      <c r="I4953" s="135" t="n">
        <f aca="false">$G4953*'Analyse capacite'!$C$8</f>
        <v>0</v>
      </c>
      <c r="J4953" s="135" t="n">
        <f aca="false">$G4953*'Analyse capacite'!$D$8</f>
        <v>0</v>
      </c>
      <c r="K4953" s="135" t="n">
        <f aca="false">$G4953*'Analyse capacite'!$E$8</f>
        <v>0</v>
      </c>
    </row>
    <row r="4954" customFormat="false" ht="15" hidden="false" customHeight="false" outlineLevel="0" collapsed="false">
      <c r="B4954" s="130" t="n">
        <v>2027</v>
      </c>
      <c r="C4954" s="131" t="s">
        <v>250</v>
      </c>
      <c r="D4954" s="132" t="n">
        <v>46615</v>
      </c>
      <c r="E4954" s="131" t="s">
        <v>14</v>
      </c>
      <c r="F4954" s="133" t="s">
        <v>24</v>
      </c>
      <c r="G4954" s="134" t="n">
        <f aca="false">LEN('Saisie programme'!$D$186)+SUMIFS('Vols additionnels'!$E$7:$E$66,'Vols additionnels'!$C$7:$C$66,$E4954,'Vols additionnels'!$D$7:$D$66,$F4954,'Vols additionnels'!$B$7:$B$66,$D4954)</f>
        <v>1</v>
      </c>
      <c r="H4954" s="135" t="n">
        <f aca="false">$G4954*'Analyse capacite'!$F$9</f>
        <v>174</v>
      </c>
      <c r="I4954" s="135" t="n">
        <f aca="false">$G4954*'Analyse capacite'!$C$9</f>
        <v>0</v>
      </c>
      <c r="J4954" s="135" t="n">
        <f aca="false">$G4954*'Analyse capacite'!$D$9</f>
        <v>12</v>
      </c>
      <c r="K4954" s="135" t="n">
        <f aca="false">$G4954*'Analyse capacite'!$E$9</f>
        <v>162</v>
      </c>
    </row>
    <row r="4955" customFormat="false" ht="15" hidden="false" customHeight="false" outlineLevel="0" collapsed="false">
      <c r="B4955" s="130" t="n">
        <v>2027</v>
      </c>
      <c r="C4955" s="131" t="s">
        <v>250</v>
      </c>
      <c r="D4955" s="132" t="n">
        <v>46615</v>
      </c>
      <c r="E4955" s="131" t="s">
        <v>46</v>
      </c>
      <c r="F4955" s="133" t="s">
        <v>11</v>
      </c>
      <c r="G4955" s="134" t="n">
        <f aca="false">LEN('Saisie programme'!$D$187)+SUMIFS('Vols additionnels'!$E$7:$E$66,'Vols additionnels'!$C$7:$C$66,$E4955,'Vols additionnels'!$D$7:$D$66,$F4955,'Vols additionnels'!$B$7:$B$66,$D4955)</f>
        <v>0</v>
      </c>
      <c r="H4955" s="135" t="n">
        <f aca="false">$G4955*'Analyse capacite'!$F$7</f>
        <v>0</v>
      </c>
      <c r="I4955" s="135" t="n">
        <f aca="false">$G4955*'Analyse capacite'!$C$7</f>
        <v>0</v>
      </c>
      <c r="J4955" s="135" t="n">
        <f aca="false">$G4955*'Analyse capacite'!$D$7</f>
        <v>0</v>
      </c>
      <c r="K4955" s="135" t="n">
        <f aca="false">$G4955*'Analyse capacite'!$E$7</f>
        <v>0</v>
      </c>
    </row>
    <row r="4956" customFormat="false" ht="15" hidden="false" customHeight="false" outlineLevel="0" collapsed="false">
      <c r="B4956" s="130" t="n">
        <v>2027</v>
      </c>
      <c r="C4956" s="131" t="s">
        <v>250</v>
      </c>
      <c r="D4956" s="132" t="n">
        <v>46615</v>
      </c>
      <c r="E4956" s="131" t="s">
        <v>46</v>
      </c>
      <c r="F4956" s="133" t="s">
        <v>19</v>
      </c>
      <c r="G4956" s="134" t="n">
        <f aca="false">LEN('Saisie programme'!$D$188)+SUMIFS('Vols additionnels'!$E$7:$E$66,'Vols additionnels'!$C$7:$C$66,$E4956,'Vols additionnels'!$D$7:$D$66,$F4956,'Vols additionnels'!$B$7:$B$66,$D4956)</f>
        <v>0</v>
      </c>
      <c r="H4956" s="135" t="n">
        <f aca="false">$G4956*'Analyse capacite'!$F$8</f>
        <v>0</v>
      </c>
      <c r="I4956" s="135" t="n">
        <f aca="false">$G4956*'Analyse capacite'!$C$8</f>
        <v>0</v>
      </c>
      <c r="J4956" s="135" t="n">
        <f aca="false">$G4956*'Analyse capacite'!$D$8</f>
        <v>0</v>
      </c>
      <c r="K4956" s="135" t="n">
        <f aca="false">$G4956*'Analyse capacite'!$E$8</f>
        <v>0</v>
      </c>
    </row>
    <row r="4957" customFormat="false" ht="15" hidden="false" customHeight="false" outlineLevel="0" collapsed="false">
      <c r="B4957" s="130" t="n">
        <v>2027</v>
      </c>
      <c r="C4957" s="131" t="s">
        <v>250</v>
      </c>
      <c r="D4957" s="132" t="n">
        <v>46615</v>
      </c>
      <c r="E4957" s="131" t="s">
        <v>46</v>
      </c>
      <c r="F4957" s="133" t="s">
        <v>24</v>
      </c>
      <c r="G4957" s="134" t="n">
        <f aca="false">LEN('Saisie programme'!$D$189)+SUMIFS('Vols additionnels'!$E$7:$E$66,'Vols additionnels'!$C$7:$C$66,$E4957,'Vols additionnels'!$D$7:$D$66,$F4957,'Vols additionnels'!$B$7:$B$66,$D4957)</f>
        <v>0</v>
      </c>
      <c r="H4957" s="135" t="n">
        <f aca="false">$G4957*'Analyse capacite'!$F$9</f>
        <v>0</v>
      </c>
      <c r="I4957" s="135" t="n">
        <f aca="false">$G4957*'Analyse capacite'!$C$9</f>
        <v>0</v>
      </c>
      <c r="J4957" s="135" t="n">
        <f aca="false">$G4957*'Analyse capacite'!$D$9</f>
        <v>0</v>
      </c>
      <c r="K4957" s="135" t="n">
        <f aca="false">$G4957*'Analyse capacite'!$E$9</f>
        <v>0</v>
      </c>
    </row>
    <row r="4958" customFormat="false" ht="15" hidden="false" customHeight="false" outlineLevel="0" collapsed="false">
      <c r="B4958" s="130" t="n">
        <v>2027</v>
      </c>
      <c r="C4958" s="131" t="s">
        <v>250</v>
      </c>
      <c r="D4958" s="132" t="n">
        <v>46615</v>
      </c>
      <c r="E4958" s="131" t="s">
        <v>49</v>
      </c>
      <c r="F4958" s="133" t="s">
        <v>11</v>
      </c>
      <c r="G4958" s="134" t="n">
        <f aca="false">LEN('Saisie programme'!$D$190)+SUMIFS('Vols additionnels'!$E$7:$E$66,'Vols additionnels'!$C$7:$C$66,$E4958,'Vols additionnels'!$D$7:$D$66,$F4958,'Vols additionnels'!$B$7:$B$66,$D4958)</f>
        <v>0</v>
      </c>
      <c r="H4958" s="135" t="n">
        <f aca="false">$G4958*'Analyse capacite'!$F$7</f>
        <v>0</v>
      </c>
      <c r="I4958" s="135" t="n">
        <f aca="false">$G4958*'Analyse capacite'!$C$7</f>
        <v>0</v>
      </c>
      <c r="J4958" s="135" t="n">
        <f aca="false">$G4958*'Analyse capacite'!$D$7</f>
        <v>0</v>
      </c>
      <c r="K4958" s="135" t="n">
        <f aca="false">$G4958*'Analyse capacite'!$E$7</f>
        <v>0</v>
      </c>
    </row>
    <row r="4959" customFormat="false" ht="15" hidden="false" customHeight="false" outlineLevel="0" collapsed="false">
      <c r="B4959" s="130" t="n">
        <v>2027</v>
      </c>
      <c r="C4959" s="131" t="s">
        <v>250</v>
      </c>
      <c r="D4959" s="132" t="n">
        <v>46615</v>
      </c>
      <c r="E4959" s="131" t="s">
        <v>49</v>
      </c>
      <c r="F4959" s="133" t="s">
        <v>19</v>
      </c>
      <c r="G4959" s="134" t="n">
        <f aca="false">LEN('Saisie programme'!$D$191)+SUMIFS('Vols additionnels'!$E$7:$E$66,'Vols additionnels'!$C$7:$C$66,$E4959,'Vols additionnels'!$D$7:$D$66,$F4959,'Vols additionnels'!$B$7:$B$66,$D4959)</f>
        <v>1</v>
      </c>
      <c r="H4959" s="135" t="n">
        <f aca="false">$G4959*'Analyse capacite'!$F$8</f>
        <v>262</v>
      </c>
      <c r="I4959" s="135" t="n">
        <f aca="false">$G4959*'Analyse capacite'!$C$8</f>
        <v>18</v>
      </c>
      <c r="J4959" s="135" t="n">
        <f aca="false">$G4959*'Analyse capacite'!$D$8</f>
        <v>0</v>
      </c>
      <c r="K4959" s="135" t="n">
        <f aca="false">$G4959*'Analyse capacite'!$E$8</f>
        <v>244</v>
      </c>
    </row>
    <row r="4960" customFormat="false" ht="15" hidden="false" customHeight="false" outlineLevel="0" collapsed="false">
      <c r="B4960" s="130" t="n">
        <v>2027</v>
      </c>
      <c r="C4960" s="131" t="s">
        <v>250</v>
      </c>
      <c r="D4960" s="132" t="n">
        <v>46615</v>
      </c>
      <c r="E4960" s="131" t="s">
        <v>49</v>
      </c>
      <c r="F4960" s="133" t="s">
        <v>24</v>
      </c>
      <c r="G4960" s="134" t="n">
        <f aca="false">LEN('Saisie programme'!$D$192)+SUMIFS('Vols additionnels'!$E$7:$E$66,'Vols additionnels'!$C$7:$C$66,$E4960,'Vols additionnels'!$D$7:$D$66,$F4960,'Vols additionnels'!$B$7:$B$66,$D4960)</f>
        <v>0</v>
      </c>
      <c r="H4960" s="135" t="n">
        <f aca="false">$G4960*'Analyse capacite'!$F$9</f>
        <v>0</v>
      </c>
      <c r="I4960" s="135" t="n">
        <f aca="false">$G4960*'Analyse capacite'!$C$9</f>
        <v>0</v>
      </c>
      <c r="J4960" s="135" t="n">
        <f aca="false">$G4960*'Analyse capacite'!$D$9</f>
        <v>0</v>
      </c>
      <c r="K4960" s="135" t="n">
        <f aca="false">$G4960*'Analyse capacite'!$E$9</f>
        <v>0</v>
      </c>
    </row>
    <row r="4961" customFormat="false" ht="15" hidden="false" customHeight="false" outlineLevel="0" collapsed="false">
      <c r="B4961" s="130" t="n">
        <v>2027</v>
      </c>
      <c r="C4961" s="131" t="s">
        <v>250</v>
      </c>
      <c r="D4961" s="132" t="n">
        <v>46615</v>
      </c>
      <c r="E4961" s="131" t="s">
        <v>53</v>
      </c>
      <c r="F4961" s="133" t="s">
        <v>11</v>
      </c>
      <c r="G4961" s="134" t="n">
        <f aca="false">LEN('Saisie programme'!$D$193)+SUMIFS('Vols additionnels'!$E$7:$E$66,'Vols additionnels'!$C$7:$C$66,$E4961,'Vols additionnels'!$D$7:$D$66,$F4961,'Vols additionnels'!$B$7:$B$66,$D4961)</f>
        <v>0</v>
      </c>
      <c r="H4961" s="135" t="n">
        <f aca="false">$G4961*'Analyse capacite'!$F$7</f>
        <v>0</v>
      </c>
      <c r="I4961" s="135" t="n">
        <f aca="false">$G4961*'Analyse capacite'!$C$7</f>
        <v>0</v>
      </c>
      <c r="J4961" s="135" t="n">
        <f aca="false">$G4961*'Analyse capacite'!$D$7</f>
        <v>0</v>
      </c>
      <c r="K4961" s="135" t="n">
        <f aca="false">$G4961*'Analyse capacite'!$E$7</f>
        <v>0</v>
      </c>
    </row>
    <row r="4962" customFormat="false" ht="15" hidden="false" customHeight="false" outlineLevel="0" collapsed="false">
      <c r="B4962" s="130" t="n">
        <v>2027</v>
      </c>
      <c r="C4962" s="131" t="s">
        <v>250</v>
      </c>
      <c r="D4962" s="132" t="n">
        <v>46615</v>
      </c>
      <c r="E4962" s="131" t="s">
        <v>53</v>
      </c>
      <c r="F4962" s="133" t="s">
        <v>19</v>
      </c>
      <c r="G4962" s="134" t="n">
        <f aca="false">LEN('Saisie programme'!$D$194)+SUMIFS('Vols additionnels'!$E$7:$E$66,'Vols additionnels'!$C$7:$C$66,$E4962,'Vols additionnels'!$D$7:$D$66,$F4962,'Vols additionnels'!$B$7:$B$66,$D4962)</f>
        <v>0</v>
      </c>
      <c r="H4962" s="135" t="n">
        <f aca="false">$G4962*'Analyse capacite'!$F$8</f>
        <v>0</v>
      </c>
      <c r="I4962" s="135" t="n">
        <f aca="false">$G4962*'Analyse capacite'!$C$8</f>
        <v>0</v>
      </c>
      <c r="J4962" s="135" t="n">
        <f aca="false">$G4962*'Analyse capacite'!$D$8</f>
        <v>0</v>
      </c>
      <c r="K4962" s="135" t="n">
        <f aca="false">$G4962*'Analyse capacite'!$E$8</f>
        <v>0</v>
      </c>
    </row>
    <row r="4963" customFormat="false" ht="15" hidden="false" customHeight="false" outlineLevel="0" collapsed="false">
      <c r="B4963" s="130" t="n">
        <v>2027</v>
      </c>
      <c r="C4963" s="131" t="s">
        <v>250</v>
      </c>
      <c r="D4963" s="132" t="n">
        <v>46615</v>
      </c>
      <c r="E4963" s="131" t="s">
        <v>53</v>
      </c>
      <c r="F4963" s="133" t="s">
        <v>24</v>
      </c>
      <c r="G4963" s="134" t="n">
        <f aca="false">LEN('Saisie programme'!$D$195)+SUMIFS('Vols additionnels'!$E$7:$E$66,'Vols additionnels'!$C$7:$C$66,$E4963,'Vols additionnels'!$D$7:$D$66,$F4963,'Vols additionnels'!$B$7:$B$66,$D4963)</f>
        <v>0</v>
      </c>
      <c r="H4963" s="135" t="n">
        <f aca="false">$G4963*'Analyse capacite'!$F$9</f>
        <v>0</v>
      </c>
      <c r="I4963" s="135" t="n">
        <f aca="false">$G4963*'Analyse capacite'!$C$9</f>
        <v>0</v>
      </c>
      <c r="J4963" s="135" t="n">
        <f aca="false">$G4963*'Analyse capacite'!$D$9</f>
        <v>0</v>
      </c>
      <c r="K4963" s="135" t="n">
        <f aca="false">$G4963*'Analyse capacite'!$E$9</f>
        <v>0</v>
      </c>
    </row>
    <row r="4964" customFormat="false" ht="15" hidden="false" customHeight="false" outlineLevel="0" collapsed="false">
      <c r="B4964" s="130" t="n">
        <v>2027</v>
      </c>
      <c r="C4964" s="131" t="s">
        <v>250</v>
      </c>
      <c r="D4964" s="132" t="n">
        <v>46615</v>
      </c>
      <c r="E4964" s="131" t="s">
        <v>56</v>
      </c>
      <c r="F4964" s="133" t="s">
        <v>11</v>
      </c>
      <c r="G4964" s="134" t="n">
        <f aca="false">LEN('Saisie programme'!$D$196)+SUMIFS('Vols additionnels'!$E$7:$E$66,'Vols additionnels'!$C$7:$C$66,$E4964,'Vols additionnels'!$D$7:$D$66,$F4964,'Vols additionnels'!$B$7:$B$66,$D4964)</f>
        <v>0</v>
      </c>
      <c r="H4964" s="135" t="n">
        <f aca="false">$G4964*'Analyse capacite'!$F$7</f>
        <v>0</v>
      </c>
      <c r="I4964" s="135" t="n">
        <f aca="false">$G4964*'Analyse capacite'!$C$7</f>
        <v>0</v>
      </c>
      <c r="J4964" s="135" t="n">
        <f aca="false">$G4964*'Analyse capacite'!$D$7</f>
        <v>0</v>
      </c>
      <c r="K4964" s="135" t="n">
        <f aca="false">$G4964*'Analyse capacite'!$E$7</f>
        <v>0</v>
      </c>
    </row>
    <row r="4965" customFormat="false" ht="15" hidden="false" customHeight="false" outlineLevel="0" collapsed="false">
      <c r="B4965" s="130" t="n">
        <v>2027</v>
      </c>
      <c r="C4965" s="131" t="s">
        <v>250</v>
      </c>
      <c r="D4965" s="132" t="n">
        <v>46615</v>
      </c>
      <c r="E4965" s="131" t="s">
        <v>56</v>
      </c>
      <c r="F4965" s="133" t="s">
        <v>19</v>
      </c>
      <c r="G4965" s="134" t="n">
        <f aca="false">LEN('Saisie programme'!$D$197)+SUMIFS('Vols additionnels'!$E$7:$E$66,'Vols additionnels'!$C$7:$C$66,$E4965,'Vols additionnels'!$D$7:$D$66,$F4965,'Vols additionnels'!$B$7:$B$66,$D4965)</f>
        <v>0</v>
      </c>
      <c r="H4965" s="135" t="n">
        <f aca="false">$G4965*'Analyse capacite'!$F$8</f>
        <v>0</v>
      </c>
      <c r="I4965" s="135" t="n">
        <f aca="false">$G4965*'Analyse capacite'!$C$8</f>
        <v>0</v>
      </c>
      <c r="J4965" s="135" t="n">
        <f aca="false">$G4965*'Analyse capacite'!$D$8</f>
        <v>0</v>
      </c>
      <c r="K4965" s="135" t="n">
        <f aca="false">$G4965*'Analyse capacite'!$E$8</f>
        <v>0</v>
      </c>
    </row>
    <row r="4966" customFormat="false" ht="15" hidden="false" customHeight="false" outlineLevel="0" collapsed="false">
      <c r="B4966" s="130" t="n">
        <v>2027</v>
      </c>
      <c r="C4966" s="131" t="s">
        <v>250</v>
      </c>
      <c r="D4966" s="132" t="n">
        <v>46615</v>
      </c>
      <c r="E4966" s="131" t="s">
        <v>56</v>
      </c>
      <c r="F4966" s="133" t="s">
        <v>24</v>
      </c>
      <c r="G4966" s="134" t="n">
        <f aca="false">LEN('Saisie programme'!$D$198)+SUMIFS('Vols additionnels'!$E$7:$E$66,'Vols additionnels'!$C$7:$C$66,$E4966,'Vols additionnels'!$D$7:$D$66,$F4966,'Vols additionnels'!$B$7:$B$66,$D4966)</f>
        <v>0</v>
      </c>
      <c r="H4966" s="135" t="n">
        <f aca="false">$G4966*'Analyse capacite'!$F$9</f>
        <v>0</v>
      </c>
      <c r="I4966" s="135" t="n">
        <f aca="false">$G4966*'Analyse capacite'!$C$9</f>
        <v>0</v>
      </c>
      <c r="J4966" s="135" t="n">
        <f aca="false">$G4966*'Analyse capacite'!$D$9</f>
        <v>0</v>
      </c>
      <c r="K4966" s="135" t="n">
        <f aca="false">$G4966*'Analyse capacite'!$E$9</f>
        <v>0</v>
      </c>
    </row>
    <row r="4967" customFormat="false" ht="15" hidden="false" customHeight="false" outlineLevel="0" collapsed="false">
      <c r="B4967" s="130" t="n">
        <v>2027</v>
      </c>
      <c r="C4967" s="131" t="s">
        <v>250</v>
      </c>
      <c r="D4967" s="132" t="n">
        <v>46615</v>
      </c>
      <c r="E4967" s="131" t="s">
        <v>59</v>
      </c>
      <c r="F4967" s="133" t="s">
        <v>11</v>
      </c>
      <c r="G4967" s="134" t="n">
        <f aca="false">LEN('Saisie programme'!$D$199)+SUMIFS('Vols additionnels'!$E$7:$E$66,'Vols additionnels'!$C$7:$C$66,$E4967,'Vols additionnels'!$D$7:$D$66,$F4967,'Vols additionnels'!$B$7:$B$66,$D4967)</f>
        <v>0</v>
      </c>
      <c r="H4967" s="135" t="n">
        <f aca="false">$G4967*'Analyse capacite'!$F$7</f>
        <v>0</v>
      </c>
      <c r="I4967" s="135" t="n">
        <f aca="false">$G4967*'Analyse capacite'!$C$7</f>
        <v>0</v>
      </c>
      <c r="J4967" s="135" t="n">
        <f aca="false">$G4967*'Analyse capacite'!$D$7</f>
        <v>0</v>
      </c>
      <c r="K4967" s="135" t="n">
        <f aca="false">$G4967*'Analyse capacite'!$E$7</f>
        <v>0</v>
      </c>
    </row>
    <row r="4968" customFormat="false" ht="15" hidden="false" customHeight="false" outlineLevel="0" collapsed="false">
      <c r="B4968" s="130" t="n">
        <v>2027</v>
      </c>
      <c r="C4968" s="131" t="s">
        <v>250</v>
      </c>
      <c r="D4968" s="132" t="n">
        <v>46615</v>
      </c>
      <c r="E4968" s="131" t="s">
        <v>59</v>
      </c>
      <c r="F4968" s="133" t="s">
        <v>19</v>
      </c>
      <c r="G4968" s="134" t="n">
        <f aca="false">LEN('Saisie programme'!$D$200)+SUMIFS('Vols additionnels'!$E$7:$E$66,'Vols additionnels'!$C$7:$C$66,$E4968,'Vols additionnels'!$D$7:$D$66,$F4968,'Vols additionnels'!$B$7:$B$66,$D4968)</f>
        <v>0</v>
      </c>
      <c r="H4968" s="135" t="n">
        <f aca="false">$G4968*'Analyse capacite'!$F$8</f>
        <v>0</v>
      </c>
      <c r="I4968" s="135" t="n">
        <f aca="false">$G4968*'Analyse capacite'!$C$8</f>
        <v>0</v>
      </c>
      <c r="J4968" s="135" t="n">
        <f aca="false">$G4968*'Analyse capacite'!$D$8</f>
        <v>0</v>
      </c>
      <c r="K4968" s="135" t="n">
        <f aca="false">$G4968*'Analyse capacite'!$E$8</f>
        <v>0</v>
      </c>
    </row>
    <row r="4969" customFormat="false" ht="15" hidden="false" customHeight="false" outlineLevel="0" collapsed="false">
      <c r="B4969" s="130" t="n">
        <v>2027</v>
      </c>
      <c r="C4969" s="131" t="s">
        <v>250</v>
      </c>
      <c r="D4969" s="132" t="n">
        <v>46615</v>
      </c>
      <c r="E4969" s="131" t="s">
        <v>59</v>
      </c>
      <c r="F4969" s="133" t="s">
        <v>24</v>
      </c>
      <c r="G4969" s="134" t="n">
        <f aca="false">LEN('Saisie programme'!$D$201)+SUMIFS('Vols additionnels'!$E$7:$E$66,'Vols additionnels'!$C$7:$C$66,$E4969,'Vols additionnels'!$D$7:$D$66,$F4969,'Vols additionnels'!$B$7:$B$66,$D4969)</f>
        <v>1</v>
      </c>
      <c r="H4969" s="135" t="n">
        <f aca="false">$G4969*'Analyse capacite'!$F$9</f>
        <v>174</v>
      </c>
      <c r="I4969" s="135" t="n">
        <f aca="false">$G4969*'Analyse capacite'!$C$9</f>
        <v>0</v>
      </c>
      <c r="J4969" s="135" t="n">
        <f aca="false">$G4969*'Analyse capacite'!$D$9</f>
        <v>12</v>
      </c>
      <c r="K4969" s="135" t="n">
        <f aca="false">$G4969*'Analyse capacite'!$E$9</f>
        <v>162</v>
      </c>
    </row>
    <row r="4970" customFormat="false" ht="15" hidden="false" customHeight="false" outlineLevel="0" collapsed="false">
      <c r="B4970" s="130" t="n">
        <v>2027</v>
      </c>
      <c r="C4970" s="131" t="s">
        <v>250</v>
      </c>
      <c r="D4970" s="132" t="n">
        <v>46615</v>
      </c>
      <c r="E4970" s="131" t="s">
        <v>62</v>
      </c>
      <c r="F4970" s="133" t="s">
        <v>11</v>
      </c>
      <c r="G4970" s="134" t="n">
        <f aca="false">LEN('Saisie programme'!$D$202)+SUMIFS('Vols additionnels'!$E$7:$E$66,'Vols additionnels'!$C$7:$C$66,$E4970,'Vols additionnels'!$D$7:$D$66,$F4970,'Vols additionnels'!$B$7:$B$66,$D4970)</f>
        <v>0</v>
      </c>
      <c r="H4970" s="135" t="n">
        <f aca="false">$G4970*'Analyse capacite'!$F$7</f>
        <v>0</v>
      </c>
      <c r="I4970" s="135" t="n">
        <f aca="false">$G4970*'Analyse capacite'!$C$7</f>
        <v>0</v>
      </c>
      <c r="J4970" s="135" t="n">
        <f aca="false">$G4970*'Analyse capacite'!$D$7</f>
        <v>0</v>
      </c>
      <c r="K4970" s="135" t="n">
        <f aca="false">$G4970*'Analyse capacite'!$E$7</f>
        <v>0</v>
      </c>
    </row>
    <row r="4971" customFormat="false" ht="15" hidden="false" customHeight="false" outlineLevel="0" collapsed="false">
      <c r="B4971" s="130" t="n">
        <v>2027</v>
      </c>
      <c r="C4971" s="131" t="s">
        <v>250</v>
      </c>
      <c r="D4971" s="132" t="n">
        <v>46615</v>
      </c>
      <c r="E4971" s="131" t="s">
        <v>62</v>
      </c>
      <c r="F4971" s="133" t="s">
        <v>19</v>
      </c>
      <c r="G4971" s="134" t="n">
        <f aca="false">LEN('Saisie programme'!$D$203)+SUMIFS('Vols additionnels'!$E$7:$E$66,'Vols additionnels'!$C$7:$C$66,$E4971,'Vols additionnels'!$D$7:$D$66,$F4971,'Vols additionnels'!$B$7:$B$66,$D4971)</f>
        <v>0</v>
      </c>
      <c r="H4971" s="135" t="n">
        <f aca="false">$G4971*'Analyse capacite'!$F$8</f>
        <v>0</v>
      </c>
      <c r="I4971" s="135" t="n">
        <f aca="false">$G4971*'Analyse capacite'!$C$8</f>
        <v>0</v>
      </c>
      <c r="J4971" s="135" t="n">
        <f aca="false">$G4971*'Analyse capacite'!$D$8</f>
        <v>0</v>
      </c>
      <c r="K4971" s="135" t="n">
        <f aca="false">$G4971*'Analyse capacite'!$E$8</f>
        <v>0</v>
      </c>
    </row>
    <row r="4972" customFormat="false" ht="15" hidden="false" customHeight="false" outlineLevel="0" collapsed="false">
      <c r="B4972" s="130" t="n">
        <v>2027</v>
      </c>
      <c r="C4972" s="131" t="s">
        <v>250</v>
      </c>
      <c r="D4972" s="132" t="n">
        <v>46615</v>
      </c>
      <c r="E4972" s="131" t="s">
        <v>62</v>
      </c>
      <c r="F4972" s="133" t="s">
        <v>24</v>
      </c>
      <c r="G4972" s="134" t="n">
        <f aca="false">LEN('Saisie programme'!$D$204)+SUMIFS('Vols additionnels'!$E$7:$E$66,'Vols additionnels'!$C$7:$C$66,$E4972,'Vols additionnels'!$D$7:$D$66,$F4972,'Vols additionnels'!$B$7:$B$66,$D4972)</f>
        <v>0</v>
      </c>
      <c r="H4972" s="135" t="n">
        <f aca="false">$G4972*'Analyse capacite'!$F$9</f>
        <v>0</v>
      </c>
      <c r="I4972" s="135" t="n">
        <f aca="false">$G4972*'Analyse capacite'!$C$9</f>
        <v>0</v>
      </c>
      <c r="J4972" s="135" t="n">
        <f aca="false">$G4972*'Analyse capacite'!$D$9</f>
        <v>0</v>
      </c>
      <c r="K4972" s="135" t="n">
        <f aca="false">$G4972*'Analyse capacite'!$E$9</f>
        <v>0</v>
      </c>
    </row>
    <row r="4973" customFormat="false" ht="15" hidden="false" customHeight="false" outlineLevel="0" collapsed="false">
      <c r="B4973" s="130" t="n">
        <v>2027</v>
      </c>
      <c r="C4973" s="131" t="s">
        <v>250</v>
      </c>
      <c r="D4973" s="132" t="n">
        <v>46616</v>
      </c>
      <c r="E4973" s="131" t="s">
        <v>12</v>
      </c>
      <c r="F4973" s="133" t="s">
        <v>11</v>
      </c>
      <c r="G4973" s="134" t="n">
        <f aca="false">LEN('Saisie programme'!$E$169)+SUMIFS('Vols additionnels'!$E$7:$E$66,'Vols additionnels'!$C$7:$C$66,$E4973,'Vols additionnels'!$D$7:$D$66,$F4973,'Vols additionnels'!$B$7:$B$66,$D4973)</f>
        <v>1</v>
      </c>
      <c r="H4973" s="135" t="n">
        <f aca="false">$G4973*'Analyse capacite'!$F$7</f>
        <v>438</v>
      </c>
      <c r="I4973" s="135" t="n">
        <f aca="false">$G4973*'Analyse capacite'!$C$7</f>
        <v>14</v>
      </c>
      <c r="J4973" s="135" t="n">
        <f aca="false">$G4973*'Analyse capacite'!$D$7</f>
        <v>40</v>
      </c>
      <c r="K4973" s="135" t="n">
        <f aca="false">$G4973*'Analyse capacite'!$E$7</f>
        <v>384</v>
      </c>
    </row>
    <row r="4974" customFormat="false" ht="15" hidden="false" customHeight="false" outlineLevel="0" collapsed="false">
      <c r="B4974" s="130" t="n">
        <v>2027</v>
      </c>
      <c r="C4974" s="131" t="s">
        <v>250</v>
      </c>
      <c r="D4974" s="132" t="n">
        <v>46616</v>
      </c>
      <c r="E4974" s="131" t="s">
        <v>12</v>
      </c>
      <c r="F4974" s="133" t="s">
        <v>19</v>
      </c>
      <c r="G4974" s="134" t="n">
        <f aca="false">LEN('Saisie programme'!$E$170)+SUMIFS('Vols additionnels'!$E$7:$E$66,'Vols additionnels'!$C$7:$C$66,$E4974,'Vols additionnels'!$D$7:$D$66,$F4974,'Vols additionnels'!$B$7:$B$66,$D4974)</f>
        <v>1</v>
      </c>
      <c r="H4974" s="135" t="n">
        <f aca="false">$G4974*'Analyse capacite'!$F$8</f>
        <v>262</v>
      </c>
      <c r="I4974" s="135" t="n">
        <f aca="false">$G4974*'Analyse capacite'!$C$8</f>
        <v>18</v>
      </c>
      <c r="J4974" s="135" t="n">
        <f aca="false">$G4974*'Analyse capacite'!$D$8</f>
        <v>0</v>
      </c>
      <c r="K4974" s="135" t="n">
        <f aca="false">$G4974*'Analyse capacite'!$E$8</f>
        <v>244</v>
      </c>
    </row>
    <row r="4975" customFormat="false" ht="15" hidden="false" customHeight="false" outlineLevel="0" collapsed="false">
      <c r="B4975" s="130" t="n">
        <v>2027</v>
      </c>
      <c r="C4975" s="131" t="s">
        <v>250</v>
      </c>
      <c r="D4975" s="132" t="n">
        <v>46616</v>
      </c>
      <c r="E4975" s="131" t="s">
        <v>12</v>
      </c>
      <c r="F4975" s="133" t="s">
        <v>24</v>
      </c>
      <c r="G4975" s="134" t="n">
        <f aca="false">LEN('Saisie programme'!$E$171)+SUMIFS('Vols additionnels'!$E$7:$E$66,'Vols additionnels'!$C$7:$C$66,$E4975,'Vols additionnels'!$D$7:$D$66,$F4975,'Vols additionnels'!$B$7:$B$66,$D4975)</f>
        <v>0</v>
      </c>
      <c r="H4975" s="135" t="n">
        <f aca="false">$G4975*'Analyse capacite'!$F$9</f>
        <v>0</v>
      </c>
      <c r="I4975" s="135" t="n">
        <f aca="false">$G4975*'Analyse capacite'!$C$9</f>
        <v>0</v>
      </c>
      <c r="J4975" s="135" t="n">
        <f aca="false">$G4975*'Analyse capacite'!$D$9</f>
        <v>0</v>
      </c>
      <c r="K4975" s="135" t="n">
        <f aca="false">$G4975*'Analyse capacite'!$E$9</f>
        <v>0</v>
      </c>
    </row>
    <row r="4976" customFormat="false" ht="15" hidden="false" customHeight="false" outlineLevel="0" collapsed="false">
      <c r="B4976" s="130" t="n">
        <v>2027</v>
      </c>
      <c r="C4976" s="131" t="s">
        <v>250</v>
      </c>
      <c r="D4976" s="132" t="n">
        <v>46616</v>
      </c>
      <c r="E4976" s="131" t="s">
        <v>20</v>
      </c>
      <c r="F4976" s="133" t="s">
        <v>11</v>
      </c>
      <c r="G4976" s="134" t="n">
        <f aca="false">LEN('Saisie programme'!$E$172)+SUMIFS('Vols additionnels'!$E$7:$E$66,'Vols additionnels'!$C$7:$C$66,$E4976,'Vols additionnels'!$D$7:$D$66,$F4976,'Vols additionnels'!$B$7:$B$66,$D4976)</f>
        <v>0</v>
      </c>
      <c r="H4976" s="135" t="n">
        <f aca="false">$G4976*'Analyse capacite'!$F$7</f>
        <v>0</v>
      </c>
      <c r="I4976" s="135" t="n">
        <f aca="false">$G4976*'Analyse capacite'!$C$7</f>
        <v>0</v>
      </c>
      <c r="J4976" s="135" t="n">
        <f aca="false">$G4976*'Analyse capacite'!$D$7</f>
        <v>0</v>
      </c>
      <c r="K4976" s="135" t="n">
        <f aca="false">$G4976*'Analyse capacite'!$E$7</f>
        <v>0</v>
      </c>
    </row>
    <row r="4977" customFormat="false" ht="15" hidden="false" customHeight="false" outlineLevel="0" collapsed="false">
      <c r="B4977" s="130" t="n">
        <v>2027</v>
      </c>
      <c r="C4977" s="131" t="s">
        <v>250</v>
      </c>
      <c r="D4977" s="132" t="n">
        <v>46616</v>
      </c>
      <c r="E4977" s="131" t="s">
        <v>20</v>
      </c>
      <c r="F4977" s="133" t="s">
        <v>19</v>
      </c>
      <c r="G4977" s="134" t="n">
        <f aca="false">LEN('Saisie programme'!$E$173)+SUMIFS('Vols additionnels'!$E$7:$E$66,'Vols additionnels'!$C$7:$C$66,$E4977,'Vols additionnels'!$D$7:$D$66,$F4977,'Vols additionnels'!$B$7:$B$66,$D4977)</f>
        <v>1</v>
      </c>
      <c r="H4977" s="135" t="n">
        <f aca="false">$G4977*'Analyse capacite'!$F$8</f>
        <v>262</v>
      </c>
      <c r="I4977" s="135" t="n">
        <f aca="false">$G4977*'Analyse capacite'!$C$8</f>
        <v>18</v>
      </c>
      <c r="J4977" s="135" t="n">
        <f aca="false">$G4977*'Analyse capacite'!$D$8</f>
        <v>0</v>
      </c>
      <c r="K4977" s="135" t="n">
        <f aca="false">$G4977*'Analyse capacite'!$E$8</f>
        <v>244</v>
      </c>
    </row>
    <row r="4978" customFormat="false" ht="15" hidden="false" customHeight="false" outlineLevel="0" collapsed="false">
      <c r="B4978" s="130" t="n">
        <v>2027</v>
      </c>
      <c r="C4978" s="131" t="s">
        <v>250</v>
      </c>
      <c r="D4978" s="132" t="n">
        <v>46616</v>
      </c>
      <c r="E4978" s="131" t="s">
        <v>20</v>
      </c>
      <c r="F4978" s="133" t="s">
        <v>24</v>
      </c>
      <c r="G4978" s="134" t="n">
        <f aca="false">LEN('Saisie programme'!$E$174)+SUMIFS('Vols additionnels'!$E$7:$E$66,'Vols additionnels'!$C$7:$C$66,$E4978,'Vols additionnels'!$D$7:$D$66,$F4978,'Vols additionnels'!$B$7:$B$66,$D4978)</f>
        <v>0</v>
      </c>
      <c r="H4978" s="135" t="n">
        <f aca="false">$G4978*'Analyse capacite'!$F$9</f>
        <v>0</v>
      </c>
      <c r="I4978" s="135" t="n">
        <f aca="false">$G4978*'Analyse capacite'!$C$9</f>
        <v>0</v>
      </c>
      <c r="J4978" s="135" t="n">
        <f aca="false">$G4978*'Analyse capacite'!$D$9</f>
        <v>0</v>
      </c>
      <c r="K4978" s="135" t="n">
        <f aca="false">$G4978*'Analyse capacite'!$E$9</f>
        <v>0</v>
      </c>
    </row>
    <row r="4979" customFormat="false" ht="15" hidden="false" customHeight="false" outlineLevel="0" collapsed="false">
      <c r="B4979" s="130" t="n">
        <v>2027</v>
      </c>
      <c r="C4979" s="131" t="s">
        <v>250</v>
      </c>
      <c r="D4979" s="132" t="n">
        <v>46616</v>
      </c>
      <c r="E4979" s="131" t="s">
        <v>25</v>
      </c>
      <c r="F4979" s="133" t="s">
        <v>11</v>
      </c>
      <c r="G4979" s="134" t="n">
        <f aca="false">LEN('Saisie programme'!$E$175)+SUMIFS('Vols additionnels'!$E$7:$E$66,'Vols additionnels'!$C$7:$C$66,$E4979,'Vols additionnels'!$D$7:$D$66,$F4979,'Vols additionnels'!$B$7:$B$66,$D4979)</f>
        <v>0</v>
      </c>
      <c r="H4979" s="135" t="n">
        <f aca="false">$G4979*'Analyse capacite'!$F$7</f>
        <v>0</v>
      </c>
      <c r="I4979" s="135" t="n">
        <f aca="false">$G4979*'Analyse capacite'!$C$7</f>
        <v>0</v>
      </c>
      <c r="J4979" s="135" t="n">
        <f aca="false">$G4979*'Analyse capacite'!$D$7</f>
        <v>0</v>
      </c>
      <c r="K4979" s="135" t="n">
        <f aca="false">$G4979*'Analyse capacite'!$E$7</f>
        <v>0</v>
      </c>
    </row>
    <row r="4980" customFormat="false" ht="15" hidden="false" customHeight="false" outlineLevel="0" collapsed="false">
      <c r="B4980" s="130" t="n">
        <v>2027</v>
      </c>
      <c r="C4980" s="131" t="s">
        <v>250</v>
      </c>
      <c r="D4980" s="132" t="n">
        <v>46616</v>
      </c>
      <c r="E4980" s="131" t="s">
        <v>25</v>
      </c>
      <c r="F4980" s="133" t="s">
        <v>19</v>
      </c>
      <c r="G4980" s="134" t="n">
        <f aca="false">LEN('Saisie programme'!$E$176)+SUMIFS('Vols additionnels'!$E$7:$E$66,'Vols additionnels'!$C$7:$C$66,$E4980,'Vols additionnels'!$D$7:$D$66,$F4980,'Vols additionnels'!$B$7:$B$66,$D4980)</f>
        <v>0</v>
      </c>
      <c r="H4980" s="135" t="n">
        <f aca="false">$G4980*'Analyse capacite'!$F$8</f>
        <v>0</v>
      </c>
      <c r="I4980" s="135" t="n">
        <f aca="false">$G4980*'Analyse capacite'!$C$8</f>
        <v>0</v>
      </c>
      <c r="J4980" s="135" t="n">
        <f aca="false">$G4980*'Analyse capacite'!$D$8</f>
        <v>0</v>
      </c>
      <c r="K4980" s="135" t="n">
        <f aca="false">$G4980*'Analyse capacite'!$E$8</f>
        <v>0</v>
      </c>
    </row>
    <row r="4981" customFormat="false" ht="15" hidden="false" customHeight="false" outlineLevel="0" collapsed="false">
      <c r="B4981" s="130" t="n">
        <v>2027</v>
      </c>
      <c r="C4981" s="131" t="s">
        <v>250</v>
      </c>
      <c r="D4981" s="132" t="n">
        <v>46616</v>
      </c>
      <c r="E4981" s="131" t="s">
        <v>25</v>
      </c>
      <c r="F4981" s="133" t="s">
        <v>24</v>
      </c>
      <c r="G4981" s="134" t="n">
        <f aca="false">LEN('Saisie programme'!$E$177)+SUMIFS('Vols additionnels'!$E$7:$E$66,'Vols additionnels'!$C$7:$C$66,$E4981,'Vols additionnels'!$D$7:$D$66,$F4981,'Vols additionnels'!$B$7:$B$66,$D4981)</f>
        <v>0</v>
      </c>
      <c r="H4981" s="135" t="n">
        <f aca="false">$G4981*'Analyse capacite'!$F$9</f>
        <v>0</v>
      </c>
      <c r="I4981" s="135" t="n">
        <f aca="false">$G4981*'Analyse capacite'!$C$9</f>
        <v>0</v>
      </c>
      <c r="J4981" s="135" t="n">
        <f aca="false">$G4981*'Analyse capacite'!$D$9</f>
        <v>0</v>
      </c>
      <c r="K4981" s="135" t="n">
        <f aca="false">$G4981*'Analyse capacite'!$E$9</f>
        <v>0</v>
      </c>
    </row>
    <row r="4982" customFormat="false" ht="15" hidden="false" customHeight="false" outlineLevel="0" collapsed="false">
      <c r="B4982" s="130" t="n">
        <v>2027</v>
      </c>
      <c r="C4982" s="131" t="s">
        <v>250</v>
      </c>
      <c r="D4982" s="132" t="n">
        <v>46616</v>
      </c>
      <c r="E4982" s="131" t="s">
        <v>36</v>
      </c>
      <c r="F4982" s="133" t="s">
        <v>11</v>
      </c>
      <c r="G4982" s="134" t="n">
        <f aca="false">LEN('Saisie programme'!$E$178)+SUMIFS('Vols additionnels'!$E$7:$E$66,'Vols additionnels'!$C$7:$C$66,$E4982,'Vols additionnels'!$D$7:$D$66,$F4982,'Vols additionnels'!$B$7:$B$66,$D4982)</f>
        <v>0</v>
      </c>
      <c r="H4982" s="135" t="n">
        <f aca="false">$G4982*'Analyse capacite'!$F$7</f>
        <v>0</v>
      </c>
      <c r="I4982" s="135" t="n">
        <f aca="false">$G4982*'Analyse capacite'!$C$7</f>
        <v>0</v>
      </c>
      <c r="J4982" s="135" t="n">
        <f aca="false">$G4982*'Analyse capacite'!$D$7</f>
        <v>0</v>
      </c>
      <c r="K4982" s="135" t="n">
        <f aca="false">$G4982*'Analyse capacite'!$E$7</f>
        <v>0</v>
      </c>
    </row>
    <row r="4983" customFormat="false" ht="15" hidden="false" customHeight="false" outlineLevel="0" collapsed="false">
      <c r="B4983" s="130" t="n">
        <v>2027</v>
      </c>
      <c r="C4983" s="131" t="s">
        <v>250</v>
      </c>
      <c r="D4983" s="132" t="n">
        <v>46616</v>
      </c>
      <c r="E4983" s="131" t="s">
        <v>36</v>
      </c>
      <c r="F4983" s="133" t="s">
        <v>19</v>
      </c>
      <c r="G4983" s="134" t="n">
        <f aca="false">LEN('Saisie programme'!$E$179)+SUMIFS('Vols additionnels'!$E$7:$E$66,'Vols additionnels'!$C$7:$C$66,$E4983,'Vols additionnels'!$D$7:$D$66,$F4983,'Vols additionnels'!$B$7:$B$66,$D4983)</f>
        <v>0</v>
      </c>
      <c r="H4983" s="135" t="n">
        <f aca="false">$G4983*'Analyse capacite'!$F$8</f>
        <v>0</v>
      </c>
      <c r="I4983" s="135" t="n">
        <f aca="false">$G4983*'Analyse capacite'!$C$8</f>
        <v>0</v>
      </c>
      <c r="J4983" s="135" t="n">
        <f aca="false">$G4983*'Analyse capacite'!$D$8</f>
        <v>0</v>
      </c>
      <c r="K4983" s="135" t="n">
        <f aca="false">$G4983*'Analyse capacite'!$E$8</f>
        <v>0</v>
      </c>
    </row>
    <row r="4984" customFormat="false" ht="15" hidden="false" customHeight="false" outlineLevel="0" collapsed="false">
      <c r="B4984" s="130" t="n">
        <v>2027</v>
      </c>
      <c r="C4984" s="131" t="s">
        <v>250</v>
      </c>
      <c r="D4984" s="132" t="n">
        <v>46616</v>
      </c>
      <c r="E4984" s="131" t="s">
        <v>36</v>
      </c>
      <c r="F4984" s="133" t="s">
        <v>24</v>
      </c>
      <c r="G4984" s="134" t="n">
        <f aca="false">LEN('Saisie programme'!$E$180)+SUMIFS('Vols additionnels'!$E$7:$E$66,'Vols additionnels'!$C$7:$C$66,$E4984,'Vols additionnels'!$D$7:$D$66,$F4984,'Vols additionnels'!$B$7:$B$66,$D4984)</f>
        <v>1</v>
      </c>
      <c r="H4984" s="135" t="n">
        <f aca="false">$G4984*'Analyse capacite'!$F$9</f>
        <v>174</v>
      </c>
      <c r="I4984" s="135" t="n">
        <f aca="false">$G4984*'Analyse capacite'!$C$9</f>
        <v>0</v>
      </c>
      <c r="J4984" s="135" t="n">
        <f aca="false">$G4984*'Analyse capacite'!$D$9</f>
        <v>12</v>
      </c>
      <c r="K4984" s="135" t="n">
        <f aca="false">$G4984*'Analyse capacite'!$E$9</f>
        <v>162</v>
      </c>
    </row>
    <row r="4985" customFormat="false" ht="15" hidden="false" customHeight="false" outlineLevel="0" collapsed="false">
      <c r="B4985" s="130" t="n">
        <v>2027</v>
      </c>
      <c r="C4985" s="131" t="s">
        <v>250</v>
      </c>
      <c r="D4985" s="132" t="n">
        <v>46616</v>
      </c>
      <c r="E4985" s="131" t="s">
        <v>40</v>
      </c>
      <c r="F4985" s="133" t="s">
        <v>11</v>
      </c>
      <c r="G4985" s="134" t="n">
        <f aca="false">LEN('Saisie programme'!$E$181)+SUMIFS('Vols additionnels'!$E$7:$E$66,'Vols additionnels'!$C$7:$C$66,$E4985,'Vols additionnels'!$D$7:$D$66,$F4985,'Vols additionnels'!$B$7:$B$66,$D4985)</f>
        <v>0</v>
      </c>
      <c r="H4985" s="135" t="n">
        <f aca="false">$G4985*'Analyse capacite'!$F$7</f>
        <v>0</v>
      </c>
      <c r="I4985" s="135" t="n">
        <f aca="false">$G4985*'Analyse capacite'!$C$7</f>
        <v>0</v>
      </c>
      <c r="J4985" s="135" t="n">
        <f aca="false">$G4985*'Analyse capacite'!$D$7</f>
        <v>0</v>
      </c>
      <c r="K4985" s="135" t="n">
        <f aca="false">$G4985*'Analyse capacite'!$E$7</f>
        <v>0</v>
      </c>
    </row>
    <row r="4986" customFormat="false" ht="15" hidden="false" customHeight="false" outlineLevel="0" collapsed="false">
      <c r="B4986" s="130" t="n">
        <v>2027</v>
      </c>
      <c r="C4986" s="131" t="s">
        <v>250</v>
      </c>
      <c r="D4986" s="132" t="n">
        <v>46616</v>
      </c>
      <c r="E4986" s="131" t="s">
        <v>40</v>
      </c>
      <c r="F4986" s="133" t="s">
        <v>19</v>
      </c>
      <c r="G4986" s="134" t="n">
        <f aca="false">LEN('Saisie programme'!$E$182)+SUMIFS('Vols additionnels'!$E$7:$E$66,'Vols additionnels'!$C$7:$C$66,$E4986,'Vols additionnels'!$D$7:$D$66,$F4986,'Vols additionnels'!$B$7:$B$66,$D4986)</f>
        <v>0</v>
      </c>
      <c r="H4986" s="135" t="n">
        <f aca="false">$G4986*'Analyse capacite'!$F$8</f>
        <v>0</v>
      </c>
      <c r="I4986" s="135" t="n">
        <f aca="false">$G4986*'Analyse capacite'!$C$8</f>
        <v>0</v>
      </c>
      <c r="J4986" s="135" t="n">
        <f aca="false">$G4986*'Analyse capacite'!$D$8</f>
        <v>0</v>
      </c>
      <c r="K4986" s="135" t="n">
        <f aca="false">$G4986*'Analyse capacite'!$E$8</f>
        <v>0</v>
      </c>
    </row>
    <row r="4987" customFormat="false" ht="15" hidden="false" customHeight="false" outlineLevel="0" collapsed="false">
      <c r="B4987" s="130" t="n">
        <v>2027</v>
      </c>
      <c r="C4987" s="131" t="s">
        <v>250</v>
      </c>
      <c r="D4987" s="132" t="n">
        <v>46616</v>
      </c>
      <c r="E4987" s="131" t="s">
        <v>40</v>
      </c>
      <c r="F4987" s="133" t="s">
        <v>24</v>
      </c>
      <c r="G4987" s="134" t="n">
        <f aca="false">LEN('Saisie programme'!$E$183)+SUMIFS('Vols additionnels'!$E$7:$E$66,'Vols additionnels'!$C$7:$C$66,$E4987,'Vols additionnels'!$D$7:$D$66,$F4987,'Vols additionnels'!$B$7:$B$66,$D4987)</f>
        <v>0</v>
      </c>
      <c r="H4987" s="135" t="n">
        <f aca="false">$G4987*'Analyse capacite'!$F$9</f>
        <v>0</v>
      </c>
      <c r="I4987" s="135" t="n">
        <f aca="false">$G4987*'Analyse capacite'!$C$9</f>
        <v>0</v>
      </c>
      <c r="J4987" s="135" t="n">
        <f aca="false">$G4987*'Analyse capacite'!$D$9</f>
        <v>0</v>
      </c>
      <c r="K4987" s="135" t="n">
        <f aca="false">$G4987*'Analyse capacite'!$E$9</f>
        <v>0</v>
      </c>
    </row>
    <row r="4988" customFormat="false" ht="15" hidden="false" customHeight="false" outlineLevel="0" collapsed="false">
      <c r="B4988" s="130" t="n">
        <v>2027</v>
      </c>
      <c r="C4988" s="131" t="s">
        <v>250</v>
      </c>
      <c r="D4988" s="132" t="n">
        <v>46616</v>
      </c>
      <c r="E4988" s="131" t="s">
        <v>14</v>
      </c>
      <c r="F4988" s="133" t="s">
        <v>11</v>
      </c>
      <c r="G4988" s="134" t="n">
        <f aca="false">LEN('Saisie programme'!$E$184)+SUMIFS('Vols additionnels'!$E$7:$E$66,'Vols additionnels'!$C$7:$C$66,$E4988,'Vols additionnels'!$D$7:$D$66,$F4988,'Vols additionnels'!$B$7:$B$66,$D4988)</f>
        <v>0</v>
      </c>
      <c r="H4988" s="135" t="n">
        <f aca="false">$G4988*'Analyse capacite'!$F$7</f>
        <v>0</v>
      </c>
      <c r="I4988" s="135" t="n">
        <f aca="false">$G4988*'Analyse capacite'!$C$7</f>
        <v>0</v>
      </c>
      <c r="J4988" s="135" t="n">
        <f aca="false">$G4988*'Analyse capacite'!$D$7</f>
        <v>0</v>
      </c>
      <c r="K4988" s="135" t="n">
        <f aca="false">$G4988*'Analyse capacite'!$E$7</f>
        <v>0</v>
      </c>
    </row>
    <row r="4989" customFormat="false" ht="15" hidden="false" customHeight="false" outlineLevel="0" collapsed="false">
      <c r="B4989" s="130" t="n">
        <v>2027</v>
      </c>
      <c r="C4989" s="131" t="s">
        <v>250</v>
      </c>
      <c r="D4989" s="132" t="n">
        <v>46616</v>
      </c>
      <c r="E4989" s="131" t="s">
        <v>14</v>
      </c>
      <c r="F4989" s="133" t="s">
        <v>19</v>
      </c>
      <c r="G4989" s="134" t="n">
        <f aca="false">LEN('Saisie programme'!$E$185)+SUMIFS('Vols additionnels'!$E$7:$E$66,'Vols additionnels'!$C$7:$C$66,$E4989,'Vols additionnels'!$D$7:$D$66,$F4989,'Vols additionnels'!$B$7:$B$66,$D4989)</f>
        <v>0</v>
      </c>
      <c r="H4989" s="135" t="n">
        <f aca="false">$G4989*'Analyse capacite'!$F$8</f>
        <v>0</v>
      </c>
      <c r="I4989" s="135" t="n">
        <f aca="false">$G4989*'Analyse capacite'!$C$8</f>
        <v>0</v>
      </c>
      <c r="J4989" s="135" t="n">
        <f aca="false">$G4989*'Analyse capacite'!$D$8</f>
        <v>0</v>
      </c>
      <c r="K4989" s="135" t="n">
        <f aca="false">$G4989*'Analyse capacite'!$E$8</f>
        <v>0</v>
      </c>
    </row>
    <row r="4990" customFormat="false" ht="15" hidden="false" customHeight="false" outlineLevel="0" collapsed="false">
      <c r="B4990" s="130" t="n">
        <v>2027</v>
      </c>
      <c r="C4990" s="131" t="s">
        <v>250</v>
      </c>
      <c r="D4990" s="132" t="n">
        <v>46616</v>
      </c>
      <c r="E4990" s="131" t="s">
        <v>14</v>
      </c>
      <c r="F4990" s="133" t="s">
        <v>24</v>
      </c>
      <c r="G4990" s="134" t="n">
        <f aca="false">LEN('Saisie programme'!$E$186)+SUMIFS('Vols additionnels'!$E$7:$E$66,'Vols additionnels'!$C$7:$C$66,$E4990,'Vols additionnels'!$D$7:$D$66,$F4990,'Vols additionnels'!$B$7:$B$66,$D4990)</f>
        <v>0</v>
      </c>
      <c r="H4990" s="135" t="n">
        <f aca="false">$G4990*'Analyse capacite'!$F$9</f>
        <v>0</v>
      </c>
      <c r="I4990" s="135" t="n">
        <f aca="false">$G4990*'Analyse capacite'!$C$9</f>
        <v>0</v>
      </c>
      <c r="J4990" s="135" t="n">
        <f aca="false">$G4990*'Analyse capacite'!$D$9</f>
        <v>0</v>
      </c>
      <c r="K4990" s="135" t="n">
        <f aca="false">$G4990*'Analyse capacite'!$E$9</f>
        <v>0</v>
      </c>
    </row>
    <row r="4991" customFormat="false" ht="15" hidden="false" customHeight="false" outlineLevel="0" collapsed="false">
      <c r="B4991" s="130" t="n">
        <v>2027</v>
      </c>
      <c r="C4991" s="131" t="s">
        <v>250</v>
      </c>
      <c r="D4991" s="132" t="n">
        <v>46616</v>
      </c>
      <c r="E4991" s="131" t="s">
        <v>46</v>
      </c>
      <c r="F4991" s="133" t="s">
        <v>11</v>
      </c>
      <c r="G4991" s="134" t="n">
        <f aca="false">LEN('Saisie programme'!$E$187)+SUMIFS('Vols additionnels'!$E$7:$E$66,'Vols additionnels'!$C$7:$C$66,$E4991,'Vols additionnels'!$D$7:$D$66,$F4991,'Vols additionnels'!$B$7:$B$66,$D4991)</f>
        <v>0</v>
      </c>
      <c r="H4991" s="135" t="n">
        <f aca="false">$G4991*'Analyse capacite'!$F$7</f>
        <v>0</v>
      </c>
      <c r="I4991" s="135" t="n">
        <f aca="false">$G4991*'Analyse capacite'!$C$7</f>
        <v>0</v>
      </c>
      <c r="J4991" s="135" t="n">
        <f aca="false">$G4991*'Analyse capacite'!$D$7</f>
        <v>0</v>
      </c>
      <c r="K4991" s="135" t="n">
        <f aca="false">$G4991*'Analyse capacite'!$E$7</f>
        <v>0</v>
      </c>
    </row>
    <row r="4992" customFormat="false" ht="15" hidden="false" customHeight="false" outlineLevel="0" collapsed="false">
      <c r="B4992" s="130" t="n">
        <v>2027</v>
      </c>
      <c r="C4992" s="131" t="s">
        <v>250</v>
      </c>
      <c r="D4992" s="132" t="n">
        <v>46616</v>
      </c>
      <c r="E4992" s="131" t="s">
        <v>46</v>
      </c>
      <c r="F4992" s="133" t="s">
        <v>19</v>
      </c>
      <c r="G4992" s="134" t="n">
        <f aca="false">LEN('Saisie programme'!$E$188)+SUMIFS('Vols additionnels'!$E$7:$E$66,'Vols additionnels'!$C$7:$C$66,$E4992,'Vols additionnels'!$D$7:$D$66,$F4992,'Vols additionnels'!$B$7:$B$66,$D4992)</f>
        <v>0</v>
      </c>
      <c r="H4992" s="135" t="n">
        <f aca="false">$G4992*'Analyse capacite'!$F$8</f>
        <v>0</v>
      </c>
      <c r="I4992" s="135" t="n">
        <f aca="false">$G4992*'Analyse capacite'!$C$8</f>
        <v>0</v>
      </c>
      <c r="J4992" s="135" t="n">
        <f aca="false">$G4992*'Analyse capacite'!$D$8</f>
        <v>0</v>
      </c>
      <c r="K4992" s="135" t="n">
        <f aca="false">$G4992*'Analyse capacite'!$E$8</f>
        <v>0</v>
      </c>
    </row>
    <row r="4993" customFormat="false" ht="15" hidden="false" customHeight="false" outlineLevel="0" collapsed="false">
      <c r="B4993" s="130" t="n">
        <v>2027</v>
      </c>
      <c r="C4993" s="131" t="s">
        <v>250</v>
      </c>
      <c r="D4993" s="132" t="n">
        <v>46616</v>
      </c>
      <c r="E4993" s="131" t="s">
        <v>46</v>
      </c>
      <c r="F4993" s="133" t="s">
        <v>24</v>
      </c>
      <c r="G4993" s="134" t="n">
        <f aca="false">LEN('Saisie programme'!$E$189)+SUMIFS('Vols additionnels'!$E$7:$E$66,'Vols additionnels'!$C$7:$C$66,$E4993,'Vols additionnels'!$D$7:$D$66,$F4993,'Vols additionnels'!$B$7:$B$66,$D4993)</f>
        <v>1</v>
      </c>
      <c r="H4993" s="135" t="n">
        <f aca="false">$G4993*'Analyse capacite'!$F$9</f>
        <v>174</v>
      </c>
      <c r="I4993" s="135" t="n">
        <f aca="false">$G4993*'Analyse capacite'!$C$9</f>
        <v>0</v>
      </c>
      <c r="J4993" s="135" t="n">
        <f aca="false">$G4993*'Analyse capacite'!$D$9</f>
        <v>12</v>
      </c>
      <c r="K4993" s="135" t="n">
        <f aca="false">$G4993*'Analyse capacite'!$E$9</f>
        <v>162</v>
      </c>
    </row>
    <row r="4994" customFormat="false" ht="15" hidden="false" customHeight="false" outlineLevel="0" collapsed="false">
      <c r="B4994" s="130" t="n">
        <v>2027</v>
      </c>
      <c r="C4994" s="131" t="s">
        <v>250</v>
      </c>
      <c r="D4994" s="132" t="n">
        <v>46616</v>
      </c>
      <c r="E4994" s="131" t="s">
        <v>49</v>
      </c>
      <c r="F4994" s="133" t="s">
        <v>11</v>
      </c>
      <c r="G4994" s="134" t="n">
        <f aca="false">LEN('Saisie programme'!$E$190)+SUMIFS('Vols additionnels'!$E$7:$E$66,'Vols additionnels'!$C$7:$C$66,$E4994,'Vols additionnels'!$D$7:$D$66,$F4994,'Vols additionnels'!$B$7:$B$66,$D4994)</f>
        <v>0</v>
      </c>
      <c r="H4994" s="135" t="n">
        <f aca="false">$G4994*'Analyse capacite'!$F$7</f>
        <v>0</v>
      </c>
      <c r="I4994" s="135" t="n">
        <f aca="false">$G4994*'Analyse capacite'!$C$7</f>
        <v>0</v>
      </c>
      <c r="J4994" s="135" t="n">
        <f aca="false">$G4994*'Analyse capacite'!$D$7</f>
        <v>0</v>
      </c>
      <c r="K4994" s="135" t="n">
        <f aca="false">$G4994*'Analyse capacite'!$E$7</f>
        <v>0</v>
      </c>
    </row>
    <row r="4995" customFormat="false" ht="15" hidden="false" customHeight="false" outlineLevel="0" collapsed="false">
      <c r="B4995" s="130" t="n">
        <v>2027</v>
      </c>
      <c r="C4995" s="131" t="s">
        <v>250</v>
      </c>
      <c r="D4995" s="132" t="n">
        <v>46616</v>
      </c>
      <c r="E4995" s="131" t="s">
        <v>49</v>
      </c>
      <c r="F4995" s="133" t="s">
        <v>19</v>
      </c>
      <c r="G4995" s="134" t="n">
        <f aca="false">LEN('Saisie programme'!$E$191)+SUMIFS('Vols additionnels'!$E$7:$E$66,'Vols additionnels'!$C$7:$C$66,$E4995,'Vols additionnels'!$D$7:$D$66,$F4995,'Vols additionnels'!$B$7:$B$66,$D4995)</f>
        <v>0</v>
      </c>
      <c r="H4995" s="135" t="n">
        <f aca="false">$G4995*'Analyse capacite'!$F$8</f>
        <v>0</v>
      </c>
      <c r="I4995" s="135" t="n">
        <f aca="false">$G4995*'Analyse capacite'!$C$8</f>
        <v>0</v>
      </c>
      <c r="J4995" s="135" t="n">
        <f aca="false">$G4995*'Analyse capacite'!$D$8</f>
        <v>0</v>
      </c>
      <c r="K4995" s="135" t="n">
        <f aca="false">$G4995*'Analyse capacite'!$E$8</f>
        <v>0</v>
      </c>
    </row>
    <row r="4996" customFormat="false" ht="15" hidden="false" customHeight="false" outlineLevel="0" collapsed="false">
      <c r="B4996" s="130" t="n">
        <v>2027</v>
      </c>
      <c r="C4996" s="131" t="s">
        <v>250</v>
      </c>
      <c r="D4996" s="132" t="n">
        <v>46616</v>
      </c>
      <c r="E4996" s="131" t="s">
        <v>49</v>
      </c>
      <c r="F4996" s="133" t="s">
        <v>24</v>
      </c>
      <c r="G4996" s="134" t="n">
        <f aca="false">LEN('Saisie programme'!$E$192)+SUMIFS('Vols additionnels'!$E$7:$E$66,'Vols additionnels'!$C$7:$C$66,$E4996,'Vols additionnels'!$D$7:$D$66,$F4996,'Vols additionnels'!$B$7:$B$66,$D4996)</f>
        <v>0</v>
      </c>
      <c r="H4996" s="135" t="n">
        <f aca="false">$G4996*'Analyse capacite'!$F$9</f>
        <v>0</v>
      </c>
      <c r="I4996" s="135" t="n">
        <f aca="false">$G4996*'Analyse capacite'!$C$9</f>
        <v>0</v>
      </c>
      <c r="J4996" s="135" t="n">
        <f aca="false">$G4996*'Analyse capacite'!$D$9</f>
        <v>0</v>
      </c>
      <c r="K4996" s="135" t="n">
        <f aca="false">$G4996*'Analyse capacite'!$E$9</f>
        <v>0</v>
      </c>
    </row>
    <row r="4997" customFormat="false" ht="15" hidden="false" customHeight="false" outlineLevel="0" collapsed="false">
      <c r="B4997" s="130" t="n">
        <v>2027</v>
      </c>
      <c r="C4997" s="131" t="s">
        <v>250</v>
      </c>
      <c r="D4997" s="132" t="n">
        <v>46616</v>
      </c>
      <c r="E4997" s="131" t="s">
        <v>53</v>
      </c>
      <c r="F4997" s="133" t="s">
        <v>11</v>
      </c>
      <c r="G4997" s="134" t="n">
        <f aca="false">LEN('Saisie programme'!$E$193)+SUMIFS('Vols additionnels'!$E$7:$E$66,'Vols additionnels'!$C$7:$C$66,$E4997,'Vols additionnels'!$D$7:$D$66,$F4997,'Vols additionnels'!$B$7:$B$66,$D4997)</f>
        <v>0</v>
      </c>
      <c r="H4997" s="135" t="n">
        <f aca="false">$G4997*'Analyse capacite'!$F$7</f>
        <v>0</v>
      </c>
      <c r="I4997" s="135" t="n">
        <f aca="false">$G4997*'Analyse capacite'!$C$7</f>
        <v>0</v>
      </c>
      <c r="J4997" s="135" t="n">
        <f aca="false">$G4997*'Analyse capacite'!$D$7</f>
        <v>0</v>
      </c>
      <c r="K4997" s="135" t="n">
        <f aca="false">$G4997*'Analyse capacite'!$E$7</f>
        <v>0</v>
      </c>
    </row>
    <row r="4998" customFormat="false" ht="15" hidden="false" customHeight="false" outlineLevel="0" collapsed="false">
      <c r="B4998" s="130" t="n">
        <v>2027</v>
      </c>
      <c r="C4998" s="131" t="s">
        <v>250</v>
      </c>
      <c r="D4998" s="132" t="n">
        <v>46616</v>
      </c>
      <c r="E4998" s="131" t="s">
        <v>53</v>
      </c>
      <c r="F4998" s="133" t="s">
        <v>19</v>
      </c>
      <c r="G4998" s="134" t="n">
        <f aca="false">LEN('Saisie programme'!$E$194)+SUMIFS('Vols additionnels'!$E$7:$E$66,'Vols additionnels'!$C$7:$C$66,$E4998,'Vols additionnels'!$D$7:$D$66,$F4998,'Vols additionnels'!$B$7:$B$66,$D4998)</f>
        <v>0</v>
      </c>
      <c r="H4998" s="135" t="n">
        <f aca="false">$G4998*'Analyse capacite'!$F$8</f>
        <v>0</v>
      </c>
      <c r="I4998" s="135" t="n">
        <f aca="false">$G4998*'Analyse capacite'!$C$8</f>
        <v>0</v>
      </c>
      <c r="J4998" s="135" t="n">
        <f aca="false">$G4998*'Analyse capacite'!$D$8</f>
        <v>0</v>
      </c>
      <c r="K4998" s="135" t="n">
        <f aca="false">$G4998*'Analyse capacite'!$E$8</f>
        <v>0</v>
      </c>
    </row>
    <row r="4999" customFormat="false" ht="15" hidden="false" customHeight="false" outlineLevel="0" collapsed="false">
      <c r="B4999" s="130" t="n">
        <v>2027</v>
      </c>
      <c r="C4999" s="131" t="s">
        <v>250</v>
      </c>
      <c r="D4999" s="132" t="n">
        <v>46616</v>
      </c>
      <c r="E4999" s="131" t="s">
        <v>53</v>
      </c>
      <c r="F4999" s="133" t="s">
        <v>24</v>
      </c>
      <c r="G4999" s="134" t="n">
        <f aca="false">LEN('Saisie programme'!$E$195)+SUMIFS('Vols additionnels'!$E$7:$E$66,'Vols additionnels'!$C$7:$C$66,$E4999,'Vols additionnels'!$D$7:$D$66,$F4999,'Vols additionnels'!$B$7:$B$66,$D4999)</f>
        <v>0</v>
      </c>
      <c r="H4999" s="135" t="n">
        <f aca="false">$G4999*'Analyse capacite'!$F$9</f>
        <v>0</v>
      </c>
      <c r="I4999" s="135" t="n">
        <f aca="false">$G4999*'Analyse capacite'!$C$9</f>
        <v>0</v>
      </c>
      <c r="J4999" s="135" t="n">
        <f aca="false">$G4999*'Analyse capacite'!$D$9</f>
        <v>0</v>
      </c>
      <c r="K4999" s="135" t="n">
        <f aca="false">$G4999*'Analyse capacite'!$E$9</f>
        <v>0</v>
      </c>
    </row>
    <row r="5000" customFormat="false" ht="15" hidden="false" customHeight="false" outlineLevel="0" collapsed="false">
      <c r="B5000" s="130" t="n">
        <v>2027</v>
      </c>
      <c r="C5000" s="131" t="s">
        <v>250</v>
      </c>
      <c r="D5000" s="132" t="n">
        <v>46616</v>
      </c>
      <c r="E5000" s="131" t="s">
        <v>56</v>
      </c>
      <c r="F5000" s="133" t="s">
        <v>11</v>
      </c>
      <c r="G5000" s="134" t="n">
        <f aca="false">LEN('Saisie programme'!$E$196)+SUMIFS('Vols additionnels'!$E$7:$E$66,'Vols additionnels'!$C$7:$C$66,$E5000,'Vols additionnels'!$D$7:$D$66,$F5000,'Vols additionnels'!$B$7:$B$66,$D5000)</f>
        <v>0</v>
      </c>
      <c r="H5000" s="135" t="n">
        <f aca="false">$G5000*'Analyse capacite'!$F$7</f>
        <v>0</v>
      </c>
      <c r="I5000" s="135" t="n">
        <f aca="false">$G5000*'Analyse capacite'!$C$7</f>
        <v>0</v>
      </c>
      <c r="J5000" s="135" t="n">
        <f aca="false">$G5000*'Analyse capacite'!$D$7</f>
        <v>0</v>
      </c>
      <c r="K5000" s="135" t="n">
        <f aca="false">$G5000*'Analyse capacite'!$E$7</f>
        <v>0</v>
      </c>
    </row>
    <row r="5001" customFormat="false" ht="15" hidden="false" customHeight="false" outlineLevel="0" collapsed="false">
      <c r="B5001" s="130" t="n">
        <v>2027</v>
      </c>
      <c r="C5001" s="131" t="s">
        <v>250</v>
      </c>
      <c r="D5001" s="132" t="n">
        <v>46616</v>
      </c>
      <c r="E5001" s="131" t="s">
        <v>56</v>
      </c>
      <c r="F5001" s="133" t="s">
        <v>19</v>
      </c>
      <c r="G5001" s="134" t="n">
        <f aca="false">LEN('Saisie programme'!$E$197)+SUMIFS('Vols additionnels'!$E$7:$E$66,'Vols additionnels'!$C$7:$C$66,$E5001,'Vols additionnels'!$D$7:$D$66,$F5001,'Vols additionnels'!$B$7:$B$66,$D5001)</f>
        <v>0</v>
      </c>
      <c r="H5001" s="135" t="n">
        <f aca="false">$G5001*'Analyse capacite'!$F$8</f>
        <v>0</v>
      </c>
      <c r="I5001" s="135" t="n">
        <f aca="false">$G5001*'Analyse capacite'!$C$8</f>
        <v>0</v>
      </c>
      <c r="J5001" s="135" t="n">
        <f aca="false">$G5001*'Analyse capacite'!$D$8</f>
        <v>0</v>
      </c>
      <c r="K5001" s="135" t="n">
        <f aca="false">$G5001*'Analyse capacite'!$E$8</f>
        <v>0</v>
      </c>
    </row>
    <row r="5002" customFormat="false" ht="15" hidden="false" customHeight="false" outlineLevel="0" collapsed="false">
      <c r="B5002" s="130" t="n">
        <v>2027</v>
      </c>
      <c r="C5002" s="131" t="s">
        <v>250</v>
      </c>
      <c r="D5002" s="132" t="n">
        <v>46616</v>
      </c>
      <c r="E5002" s="131" t="s">
        <v>56</v>
      </c>
      <c r="F5002" s="133" t="s">
        <v>24</v>
      </c>
      <c r="G5002" s="134" t="n">
        <f aca="false">LEN('Saisie programme'!$E$198)+SUMIFS('Vols additionnels'!$E$7:$E$66,'Vols additionnels'!$C$7:$C$66,$E5002,'Vols additionnels'!$D$7:$D$66,$F5002,'Vols additionnels'!$B$7:$B$66,$D5002)</f>
        <v>1</v>
      </c>
      <c r="H5002" s="135" t="n">
        <f aca="false">$G5002*'Analyse capacite'!$F$9</f>
        <v>174</v>
      </c>
      <c r="I5002" s="135" t="n">
        <f aca="false">$G5002*'Analyse capacite'!$C$9</f>
        <v>0</v>
      </c>
      <c r="J5002" s="135" t="n">
        <f aca="false">$G5002*'Analyse capacite'!$D$9</f>
        <v>12</v>
      </c>
      <c r="K5002" s="135" t="n">
        <f aca="false">$G5002*'Analyse capacite'!$E$9</f>
        <v>162</v>
      </c>
    </row>
    <row r="5003" customFormat="false" ht="15" hidden="false" customHeight="false" outlineLevel="0" collapsed="false">
      <c r="B5003" s="130" t="n">
        <v>2027</v>
      </c>
      <c r="C5003" s="131" t="s">
        <v>250</v>
      </c>
      <c r="D5003" s="132" t="n">
        <v>46616</v>
      </c>
      <c r="E5003" s="131" t="s">
        <v>59</v>
      </c>
      <c r="F5003" s="133" t="s">
        <v>11</v>
      </c>
      <c r="G5003" s="134" t="n">
        <f aca="false">LEN('Saisie programme'!$E$199)+SUMIFS('Vols additionnels'!$E$7:$E$66,'Vols additionnels'!$C$7:$C$66,$E5003,'Vols additionnels'!$D$7:$D$66,$F5003,'Vols additionnels'!$B$7:$B$66,$D5003)</f>
        <v>0</v>
      </c>
      <c r="H5003" s="135" t="n">
        <f aca="false">$G5003*'Analyse capacite'!$F$7</f>
        <v>0</v>
      </c>
      <c r="I5003" s="135" t="n">
        <f aca="false">$G5003*'Analyse capacite'!$C$7</f>
        <v>0</v>
      </c>
      <c r="J5003" s="135" t="n">
        <f aca="false">$G5003*'Analyse capacite'!$D$7</f>
        <v>0</v>
      </c>
      <c r="K5003" s="135" t="n">
        <f aca="false">$G5003*'Analyse capacite'!$E$7</f>
        <v>0</v>
      </c>
    </row>
    <row r="5004" customFormat="false" ht="15" hidden="false" customHeight="false" outlineLevel="0" collapsed="false">
      <c r="B5004" s="130" t="n">
        <v>2027</v>
      </c>
      <c r="C5004" s="131" t="s">
        <v>250</v>
      </c>
      <c r="D5004" s="132" t="n">
        <v>46616</v>
      </c>
      <c r="E5004" s="131" t="s">
        <v>59</v>
      </c>
      <c r="F5004" s="133" t="s">
        <v>19</v>
      </c>
      <c r="G5004" s="134" t="n">
        <f aca="false">LEN('Saisie programme'!$E$200)+SUMIFS('Vols additionnels'!$E$7:$E$66,'Vols additionnels'!$C$7:$C$66,$E5004,'Vols additionnels'!$D$7:$D$66,$F5004,'Vols additionnels'!$B$7:$B$66,$D5004)</f>
        <v>0</v>
      </c>
      <c r="H5004" s="135" t="n">
        <f aca="false">$G5004*'Analyse capacite'!$F$8</f>
        <v>0</v>
      </c>
      <c r="I5004" s="135" t="n">
        <f aca="false">$G5004*'Analyse capacite'!$C$8</f>
        <v>0</v>
      </c>
      <c r="J5004" s="135" t="n">
        <f aca="false">$G5004*'Analyse capacite'!$D$8</f>
        <v>0</v>
      </c>
      <c r="K5004" s="135" t="n">
        <f aca="false">$G5004*'Analyse capacite'!$E$8</f>
        <v>0</v>
      </c>
    </row>
    <row r="5005" customFormat="false" ht="15" hidden="false" customHeight="false" outlineLevel="0" collapsed="false">
      <c r="B5005" s="130" t="n">
        <v>2027</v>
      </c>
      <c r="C5005" s="131" t="s">
        <v>250</v>
      </c>
      <c r="D5005" s="132" t="n">
        <v>46616</v>
      </c>
      <c r="E5005" s="131" t="s">
        <v>59</v>
      </c>
      <c r="F5005" s="133" t="s">
        <v>24</v>
      </c>
      <c r="G5005" s="134" t="n">
        <f aca="false">LEN('Saisie programme'!$E$201)+SUMIFS('Vols additionnels'!$E$7:$E$66,'Vols additionnels'!$C$7:$C$66,$E5005,'Vols additionnels'!$D$7:$D$66,$F5005,'Vols additionnels'!$B$7:$B$66,$D5005)</f>
        <v>1</v>
      </c>
      <c r="H5005" s="135" t="n">
        <f aca="false">$G5005*'Analyse capacite'!$F$9</f>
        <v>174</v>
      </c>
      <c r="I5005" s="135" t="n">
        <f aca="false">$G5005*'Analyse capacite'!$C$9</f>
        <v>0</v>
      </c>
      <c r="J5005" s="135" t="n">
        <f aca="false">$G5005*'Analyse capacite'!$D$9</f>
        <v>12</v>
      </c>
      <c r="K5005" s="135" t="n">
        <f aca="false">$G5005*'Analyse capacite'!$E$9</f>
        <v>162</v>
      </c>
    </row>
    <row r="5006" customFormat="false" ht="15" hidden="false" customHeight="false" outlineLevel="0" collapsed="false">
      <c r="B5006" s="130" t="n">
        <v>2027</v>
      </c>
      <c r="C5006" s="131" t="s">
        <v>250</v>
      </c>
      <c r="D5006" s="132" t="n">
        <v>46616</v>
      </c>
      <c r="E5006" s="131" t="s">
        <v>62</v>
      </c>
      <c r="F5006" s="133" t="s">
        <v>11</v>
      </c>
      <c r="G5006" s="134" t="n">
        <f aca="false">LEN('Saisie programme'!$E$202)+SUMIFS('Vols additionnels'!$E$7:$E$66,'Vols additionnels'!$C$7:$C$66,$E5006,'Vols additionnels'!$D$7:$D$66,$F5006,'Vols additionnels'!$B$7:$B$66,$D5006)</f>
        <v>0</v>
      </c>
      <c r="H5006" s="135" t="n">
        <f aca="false">$G5006*'Analyse capacite'!$F$7</f>
        <v>0</v>
      </c>
      <c r="I5006" s="135" t="n">
        <f aca="false">$G5006*'Analyse capacite'!$C$7</f>
        <v>0</v>
      </c>
      <c r="J5006" s="135" t="n">
        <f aca="false">$G5006*'Analyse capacite'!$D$7</f>
        <v>0</v>
      </c>
      <c r="K5006" s="135" t="n">
        <f aca="false">$G5006*'Analyse capacite'!$E$7</f>
        <v>0</v>
      </c>
    </row>
    <row r="5007" customFormat="false" ht="15" hidden="false" customHeight="false" outlineLevel="0" collapsed="false">
      <c r="B5007" s="130" t="n">
        <v>2027</v>
      </c>
      <c r="C5007" s="131" t="s">
        <v>250</v>
      </c>
      <c r="D5007" s="132" t="n">
        <v>46616</v>
      </c>
      <c r="E5007" s="131" t="s">
        <v>62</v>
      </c>
      <c r="F5007" s="133" t="s">
        <v>19</v>
      </c>
      <c r="G5007" s="134" t="n">
        <f aca="false">LEN('Saisie programme'!$E$203)+SUMIFS('Vols additionnels'!$E$7:$E$66,'Vols additionnels'!$C$7:$C$66,$E5007,'Vols additionnels'!$D$7:$D$66,$F5007,'Vols additionnels'!$B$7:$B$66,$D5007)</f>
        <v>0</v>
      </c>
      <c r="H5007" s="135" t="n">
        <f aca="false">$G5007*'Analyse capacite'!$F$8</f>
        <v>0</v>
      </c>
      <c r="I5007" s="135" t="n">
        <f aca="false">$G5007*'Analyse capacite'!$C$8</f>
        <v>0</v>
      </c>
      <c r="J5007" s="135" t="n">
        <f aca="false">$G5007*'Analyse capacite'!$D$8</f>
        <v>0</v>
      </c>
      <c r="K5007" s="135" t="n">
        <f aca="false">$G5007*'Analyse capacite'!$E$8</f>
        <v>0</v>
      </c>
    </row>
    <row r="5008" customFormat="false" ht="15" hidden="false" customHeight="false" outlineLevel="0" collapsed="false">
      <c r="B5008" s="130" t="n">
        <v>2027</v>
      </c>
      <c r="C5008" s="131" t="s">
        <v>250</v>
      </c>
      <c r="D5008" s="132" t="n">
        <v>46616</v>
      </c>
      <c r="E5008" s="131" t="s">
        <v>62</v>
      </c>
      <c r="F5008" s="133" t="s">
        <v>24</v>
      </c>
      <c r="G5008" s="134" t="n">
        <f aca="false">LEN('Saisie programme'!$E$204)+SUMIFS('Vols additionnels'!$E$7:$E$66,'Vols additionnels'!$C$7:$C$66,$E5008,'Vols additionnels'!$D$7:$D$66,$F5008,'Vols additionnels'!$B$7:$B$66,$D5008)</f>
        <v>0</v>
      </c>
      <c r="H5008" s="135" t="n">
        <f aca="false">$G5008*'Analyse capacite'!$F$9</f>
        <v>0</v>
      </c>
      <c r="I5008" s="135" t="n">
        <f aca="false">$G5008*'Analyse capacite'!$C$9</f>
        <v>0</v>
      </c>
      <c r="J5008" s="135" t="n">
        <f aca="false">$G5008*'Analyse capacite'!$D$9</f>
        <v>0</v>
      </c>
      <c r="K5008" s="135" t="n">
        <f aca="false">$G5008*'Analyse capacite'!$E$9</f>
        <v>0</v>
      </c>
    </row>
    <row r="5009" customFormat="false" ht="15" hidden="false" customHeight="false" outlineLevel="0" collapsed="false">
      <c r="B5009" s="130" t="n">
        <v>2027</v>
      </c>
      <c r="C5009" s="131" t="s">
        <v>250</v>
      </c>
      <c r="D5009" s="132" t="n">
        <v>46617</v>
      </c>
      <c r="E5009" s="131" t="s">
        <v>12</v>
      </c>
      <c r="F5009" s="133" t="s">
        <v>11</v>
      </c>
      <c r="G5009" s="134" t="n">
        <f aca="false">LEN('Saisie programme'!$F$169)+SUMIFS('Vols additionnels'!$E$7:$E$66,'Vols additionnels'!$C$7:$C$66,$E5009,'Vols additionnels'!$D$7:$D$66,$F5009,'Vols additionnels'!$B$7:$B$66,$D5009)</f>
        <v>1</v>
      </c>
      <c r="H5009" s="135" t="n">
        <f aca="false">$G5009*'Analyse capacite'!$F$7</f>
        <v>438</v>
      </c>
      <c r="I5009" s="135" t="n">
        <f aca="false">$G5009*'Analyse capacite'!$C$7</f>
        <v>14</v>
      </c>
      <c r="J5009" s="135" t="n">
        <f aca="false">$G5009*'Analyse capacite'!$D$7</f>
        <v>40</v>
      </c>
      <c r="K5009" s="135" t="n">
        <f aca="false">$G5009*'Analyse capacite'!$E$7</f>
        <v>384</v>
      </c>
    </row>
    <row r="5010" customFormat="false" ht="15" hidden="false" customHeight="false" outlineLevel="0" collapsed="false">
      <c r="B5010" s="130" t="n">
        <v>2027</v>
      </c>
      <c r="C5010" s="131" t="s">
        <v>250</v>
      </c>
      <c r="D5010" s="132" t="n">
        <v>46617</v>
      </c>
      <c r="E5010" s="131" t="s">
        <v>12</v>
      </c>
      <c r="F5010" s="133" t="s">
        <v>19</v>
      </c>
      <c r="G5010" s="134" t="n">
        <f aca="false">LEN('Saisie programme'!$F$170)+SUMIFS('Vols additionnels'!$E$7:$E$66,'Vols additionnels'!$C$7:$C$66,$E5010,'Vols additionnels'!$D$7:$D$66,$F5010,'Vols additionnels'!$B$7:$B$66,$D5010)</f>
        <v>1</v>
      </c>
      <c r="H5010" s="135" t="n">
        <f aca="false">$G5010*'Analyse capacite'!$F$8</f>
        <v>262</v>
      </c>
      <c r="I5010" s="135" t="n">
        <f aca="false">$G5010*'Analyse capacite'!$C$8</f>
        <v>18</v>
      </c>
      <c r="J5010" s="135" t="n">
        <f aca="false">$G5010*'Analyse capacite'!$D$8</f>
        <v>0</v>
      </c>
      <c r="K5010" s="135" t="n">
        <f aca="false">$G5010*'Analyse capacite'!$E$8</f>
        <v>244</v>
      </c>
    </row>
    <row r="5011" customFormat="false" ht="15" hidden="false" customHeight="false" outlineLevel="0" collapsed="false">
      <c r="B5011" s="130" t="n">
        <v>2027</v>
      </c>
      <c r="C5011" s="131" t="s">
        <v>250</v>
      </c>
      <c r="D5011" s="132" t="n">
        <v>46617</v>
      </c>
      <c r="E5011" s="131" t="s">
        <v>12</v>
      </c>
      <c r="F5011" s="133" t="s">
        <v>24</v>
      </c>
      <c r="G5011" s="134" t="n">
        <f aca="false">LEN('Saisie programme'!$F$171)+SUMIFS('Vols additionnels'!$E$7:$E$66,'Vols additionnels'!$C$7:$C$66,$E5011,'Vols additionnels'!$D$7:$D$66,$F5011,'Vols additionnels'!$B$7:$B$66,$D5011)</f>
        <v>0</v>
      </c>
      <c r="H5011" s="135" t="n">
        <f aca="false">$G5011*'Analyse capacite'!$F$9</f>
        <v>0</v>
      </c>
      <c r="I5011" s="135" t="n">
        <f aca="false">$G5011*'Analyse capacite'!$C$9</f>
        <v>0</v>
      </c>
      <c r="J5011" s="135" t="n">
        <f aca="false">$G5011*'Analyse capacite'!$D$9</f>
        <v>0</v>
      </c>
      <c r="K5011" s="135" t="n">
        <f aca="false">$G5011*'Analyse capacite'!$E$9</f>
        <v>0</v>
      </c>
    </row>
    <row r="5012" customFormat="false" ht="15" hidden="false" customHeight="false" outlineLevel="0" collapsed="false">
      <c r="B5012" s="130" t="n">
        <v>2027</v>
      </c>
      <c r="C5012" s="131" t="s">
        <v>250</v>
      </c>
      <c r="D5012" s="132" t="n">
        <v>46617</v>
      </c>
      <c r="E5012" s="131" t="s">
        <v>20</v>
      </c>
      <c r="F5012" s="133" t="s">
        <v>11</v>
      </c>
      <c r="G5012" s="134" t="n">
        <f aca="false">LEN('Saisie programme'!$F$172)+SUMIFS('Vols additionnels'!$E$7:$E$66,'Vols additionnels'!$C$7:$C$66,$E5012,'Vols additionnels'!$D$7:$D$66,$F5012,'Vols additionnels'!$B$7:$B$66,$D5012)</f>
        <v>0</v>
      </c>
      <c r="H5012" s="135" t="n">
        <f aca="false">$G5012*'Analyse capacite'!$F$7</f>
        <v>0</v>
      </c>
      <c r="I5012" s="135" t="n">
        <f aca="false">$G5012*'Analyse capacite'!$C$7</f>
        <v>0</v>
      </c>
      <c r="J5012" s="135" t="n">
        <f aca="false">$G5012*'Analyse capacite'!$D$7</f>
        <v>0</v>
      </c>
      <c r="K5012" s="135" t="n">
        <f aca="false">$G5012*'Analyse capacite'!$E$7</f>
        <v>0</v>
      </c>
    </row>
    <row r="5013" customFormat="false" ht="15" hidden="false" customHeight="false" outlineLevel="0" collapsed="false">
      <c r="B5013" s="130" t="n">
        <v>2027</v>
      </c>
      <c r="C5013" s="131" t="s">
        <v>250</v>
      </c>
      <c r="D5013" s="132" t="n">
        <v>46617</v>
      </c>
      <c r="E5013" s="131" t="s">
        <v>20</v>
      </c>
      <c r="F5013" s="133" t="s">
        <v>19</v>
      </c>
      <c r="G5013" s="134" t="n">
        <f aca="false">LEN('Saisie programme'!$F$173)+SUMIFS('Vols additionnels'!$E$7:$E$66,'Vols additionnels'!$C$7:$C$66,$E5013,'Vols additionnels'!$D$7:$D$66,$F5013,'Vols additionnels'!$B$7:$B$66,$D5013)</f>
        <v>0</v>
      </c>
      <c r="H5013" s="135" t="n">
        <f aca="false">$G5013*'Analyse capacite'!$F$8</f>
        <v>0</v>
      </c>
      <c r="I5013" s="135" t="n">
        <f aca="false">$G5013*'Analyse capacite'!$C$8</f>
        <v>0</v>
      </c>
      <c r="J5013" s="135" t="n">
        <f aca="false">$G5013*'Analyse capacite'!$D$8</f>
        <v>0</v>
      </c>
      <c r="K5013" s="135" t="n">
        <f aca="false">$G5013*'Analyse capacite'!$E$8</f>
        <v>0</v>
      </c>
    </row>
    <row r="5014" customFormat="false" ht="15" hidden="false" customHeight="false" outlineLevel="0" collapsed="false">
      <c r="B5014" s="130" t="n">
        <v>2027</v>
      </c>
      <c r="C5014" s="131" t="s">
        <v>250</v>
      </c>
      <c r="D5014" s="132" t="n">
        <v>46617</v>
      </c>
      <c r="E5014" s="131" t="s">
        <v>20</v>
      </c>
      <c r="F5014" s="133" t="s">
        <v>24</v>
      </c>
      <c r="G5014" s="134" t="n">
        <f aca="false">LEN('Saisie programme'!$F$174)+SUMIFS('Vols additionnels'!$E$7:$E$66,'Vols additionnels'!$C$7:$C$66,$E5014,'Vols additionnels'!$D$7:$D$66,$F5014,'Vols additionnels'!$B$7:$B$66,$D5014)</f>
        <v>0</v>
      </c>
      <c r="H5014" s="135" t="n">
        <f aca="false">$G5014*'Analyse capacite'!$F$9</f>
        <v>0</v>
      </c>
      <c r="I5014" s="135" t="n">
        <f aca="false">$G5014*'Analyse capacite'!$C$9</f>
        <v>0</v>
      </c>
      <c r="J5014" s="135" t="n">
        <f aca="false">$G5014*'Analyse capacite'!$D$9</f>
        <v>0</v>
      </c>
      <c r="K5014" s="135" t="n">
        <f aca="false">$G5014*'Analyse capacite'!$E$9</f>
        <v>0</v>
      </c>
    </row>
    <row r="5015" customFormat="false" ht="15" hidden="false" customHeight="false" outlineLevel="0" collapsed="false">
      <c r="B5015" s="130" t="n">
        <v>2027</v>
      </c>
      <c r="C5015" s="131" t="s">
        <v>250</v>
      </c>
      <c r="D5015" s="132" t="n">
        <v>46617</v>
      </c>
      <c r="E5015" s="131" t="s">
        <v>25</v>
      </c>
      <c r="F5015" s="133" t="s">
        <v>11</v>
      </c>
      <c r="G5015" s="134" t="n">
        <f aca="false">LEN('Saisie programme'!$F$175)+SUMIFS('Vols additionnels'!$E$7:$E$66,'Vols additionnels'!$C$7:$C$66,$E5015,'Vols additionnels'!$D$7:$D$66,$F5015,'Vols additionnels'!$B$7:$B$66,$D5015)</f>
        <v>0</v>
      </c>
      <c r="H5015" s="135" t="n">
        <f aca="false">$G5015*'Analyse capacite'!$F$7</f>
        <v>0</v>
      </c>
      <c r="I5015" s="135" t="n">
        <f aca="false">$G5015*'Analyse capacite'!$C$7</f>
        <v>0</v>
      </c>
      <c r="J5015" s="135" t="n">
        <f aca="false">$G5015*'Analyse capacite'!$D$7</f>
        <v>0</v>
      </c>
      <c r="K5015" s="135" t="n">
        <f aca="false">$G5015*'Analyse capacite'!$E$7</f>
        <v>0</v>
      </c>
    </row>
    <row r="5016" customFormat="false" ht="15" hidden="false" customHeight="false" outlineLevel="0" collapsed="false">
      <c r="B5016" s="130" t="n">
        <v>2027</v>
      </c>
      <c r="C5016" s="131" t="s">
        <v>250</v>
      </c>
      <c r="D5016" s="132" t="n">
        <v>46617</v>
      </c>
      <c r="E5016" s="131" t="s">
        <v>25</v>
      </c>
      <c r="F5016" s="133" t="s">
        <v>19</v>
      </c>
      <c r="G5016" s="134" t="n">
        <f aca="false">LEN('Saisie programme'!$F$176)+SUMIFS('Vols additionnels'!$E$7:$E$66,'Vols additionnels'!$C$7:$C$66,$E5016,'Vols additionnels'!$D$7:$D$66,$F5016,'Vols additionnels'!$B$7:$B$66,$D5016)</f>
        <v>1</v>
      </c>
      <c r="H5016" s="135" t="n">
        <f aca="false">$G5016*'Analyse capacite'!$F$8</f>
        <v>262</v>
      </c>
      <c r="I5016" s="135" t="n">
        <f aca="false">$G5016*'Analyse capacite'!$C$8</f>
        <v>18</v>
      </c>
      <c r="J5016" s="135" t="n">
        <f aca="false">$G5016*'Analyse capacite'!$D$8</f>
        <v>0</v>
      </c>
      <c r="K5016" s="135" t="n">
        <f aca="false">$G5016*'Analyse capacite'!$E$8</f>
        <v>244</v>
      </c>
    </row>
    <row r="5017" customFormat="false" ht="15" hidden="false" customHeight="false" outlineLevel="0" collapsed="false">
      <c r="B5017" s="130" t="n">
        <v>2027</v>
      </c>
      <c r="C5017" s="131" t="s">
        <v>250</v>
      </c>
      <c r="D5017" s="132" t="n">
        <v>46617</v>
      </c>
      <c r="E5017" s="131" t="s">
        <v>25</v>
      </c>
      <c r="F5017" s="133" t="s">
        <v>24</v>
      </c>
      <c r="G5017" s="134" t="n">
        <f aca="false">LEN('Saisie programme'!$F$177)+SUMIFS('Vols additionnels'!$E$7:$E$66,'Vols additionnels'!$C$7:$C$66,$E5017,'Vols additionnels'!$D$7:$D$66,$F5017,'Vols additionnels'!$B$7:$B$66,$D5017)</f>
        <v>0</v>
      </c>
      <c r="H5017" s="135" t="n">
        <f aca="false">$G5017*'Analyse capacite'!$F$9</f>
        <v>0</v>
      </c>
      <c r="I5017" s="135" t="n">
        <f aca="false">$G5017*'Analyse capacite'!$C$9</f>
        <v>0</v>
      </c>
      <c r="J5017" s="135" t="n">
        <f aca="false">$G5017*'Analyse capacite'!$D$9</f>
        <v>0</v>
      </c>
      <c r="K5017" s="135" t="n">
        <f aca="false">$G5017*'Analyse capacite'!$E$9</f>
        <v>0</v>
      </c>
    </row>
    <row r="5018" customFormat="false" ht="15" hidden="false" customHeight="false" outlineLevel="0" collapsed="false">
      <c r="B5018" s="130" t="n">
        <v>2027</v>
      </c>
      <c r="C5018" s="131" t="s">
        <v>250</v>
      </c>
      <c r="D5018" s="132" t="n">
        <v>46617</v>
      </c>
      <c r="E5018" s="131" t="s">
        <v>36</v>
      </c>
      <c r="F5018" s="133" t="s">
        <v>11</v>
      </c>
      <c r="G5018" s="134" t="n">
        <f aca="false">LEN('Saisie programme'!$F$178)+SUMIFS('Vols additionnels'!$E$7:$E$66,'Vols additionnels'!$C$7:$C$66,$E5018,'Vols additionnels'!$D$7:$D$66,$F5018,'Vols additionnels'!$B$7:$B$66,$D5018)</f>
        <v>0</v>
      </c>
      <c r="H5018" s="135" t="n">
        <f aca="false">$G5018*'Analyse capacite'!$F$7</f>
        <v>0</v>
      </c>
      <c r="I5018" s="135" t="n">
        <f aca="false">$G5018*'Analyse capacite'!$C$7</f>
        <v>0</v>
      </c>
      <c r="J5018" s="135" t="n">
        <f aca="false">$G5018*'Analyse capacite'!$D$7</f>
        <v>0</v>
      </c>
      <c r="K5018" s="135" t="n">
        <f aca="false">$G5018*'Analyse capacite'!$E$7</f>
        <v>0</v>
      </c>
    </row>
    <row r="5019" customFormat="false" ht="15" hidden="false" customHeight="false" outlineLevel="0" collapsed="false">
      <c r="B5019" s="130" t="n">
        <v>2027</v>
      </c>
      <c r="C5019" s="131" t="s">
        <v>250</v>
      </c>
      <c r="D5019" s="132" t="n">
        <v>46617</v>
      </c>
      <c r="E5019" s="131" t="s">
        <v>36</v>
      </c>
      <c r="F5019" s="133" t="s">
        <v>19</v>
      </c>
      <c r="G5019" s="134" t="n">
        <f aca="false">LEN('Saisie programme'!$F$179)+SUMIFS('Vols additionnels'!$E$7:$E$66,'Vols additionnels'!$C$7:$C$66,$E5019,'Vols additionnels'!$D$7:$D$66,$F5019,'Vols additionnels'!$B$7:$B$66,$D5019)</f>
        <v>1</v>
      </c>
      <c r="H5019" s="135" t="n">
        <f aca="false">$G5019*'Analyse capacite'!$F$8</f>
        <v>262</v>
      </c>
      <c r="I5019" s="135" t="n">
        <f aca="false">$G5019*'Analyse capacite'!$C$8</f>
        <v>18</v>
      </c>
      <c r="J5019" s="135" t="n">
        <f aca="false">$G5019*'Analyse capacite'!$D$8</f>
        <v>0</v>
      </c>
      <c r="K5019" s="135" t="n">
        <f aca="false">$G5019*'Analyse capacite'!$E$8</f>
        <v>244</v>
      </c>
    </row>
    <row r="5020" customFormat="false" ht="15" hidden="false" customHeight="false" outlineLevel="0" collapsed="false">
      <c r="B5020" s="130" t="n">
        <v>2027</v>
      </c>
      <c r="C5020" s="131" t="s">
        <v>250</v>
      </c>
      <c r="D5020" s="132" t="n">
        <v>46617</v>
      </c>
      <c r="E5020" s="131" t="s">
        <v>36</v>
      </c>
      <c r="F5020" s="133" t="s">
        <v>24</v>
      </c>
      <c r="G5020" s="134" t="n">
        <f aca="false">LEN('Saisie programme'!$F$180)+SUMIFS('Vols additionnels'!$E$7:$E$66,'Vols additionnels'!$C$7:$C$66,$E5020,'Vols additionnels'!$D$7:$D$66,$F5020,'Vols additionnels'!$B$7:$B$66,$D5020)</f>
        <v>1</v>
      </c>
      <c r="H5020" s="135" t="n">
        <f aca="false">$G5020*'Analyse capacite'!$F$9</f>
        <v>174</v>
      </c>
      <c r="I5020" s="135" t="n">
        <f aca="false">$G5020*'Analyse capacite'!$C$9</f>
        <v>0</v>
      </c>
      <c r="J5020" s="135" t="n">
        <f aca="false">$G5020*'Analyse capacite'!$D$9</f>
        <v>12</v>
      </c>
      <c r="K5020" s="135" t="n">
        <f aca="false">$G5020*'Analyse capacite'!$E$9</f>
        <v>162</v>
      </c>
    </row>
    <row r="5021" customFormat="false" ht="15" hidden="false" customHeight="false" outlineLevel="0" collapsed="false">
      <c r="B5021" s="130" t="n">
        <v>2027</v>
      </c>
      <c r="C5021" s="131" t="s">
        <v>250</v>
      </c>
      <c r="D5021" s="132" t="n">
        <v>46617</v>
      </c>
      <c r="E5021" s="131" t="s">
        <v>40</v>
      </c>
      <c r="F5021" s="133" t="s">
        <v>11</v>
      </c>
      <c r="G5021" s="134" t="n">
        <f aca="false">LEN('Saisie programme'!$F$181)+SUMIFS('Vols additionnels'!$E$7:$E$66,'Vols additionnels'!$C$7:$C$66,$E5021,'Vols additionnels'!$D$7:$D$66,$F5021,'Vols additionnels'!$B$7:$B$66,$D5021)</f>
        <v>0</v>
      </c>
      <c r="H5021" s="135" t="n">
        <f aca="false">$G5021*'Analyse capacite'!$F$7</f>
        <v>0</v>
      </c>
      <c r="I5021" s="135" t="n">
        <f aca="false">$G5021*'Analyse capacite'!$C$7</f>
        <v>0</v>
      </c>
      <c r="J5021" s="135" t="n">
        <f aca="false">$G5021*'Analyse capacite'!$D$7</f>
        <v>0</v>
      </c>
      <c r="K5021" s="135" t="n">
        <f aca="false">$G5021*'Analyse capacite'!$E$7</f>
        <v>0</v>
      </c>
    </row>
    <row r="5022" customFormat="false" ht="15" hidden="false" customHeight="false" outlineLevel="0" collapsed="false">
      <c r="B5022" s="130" t="n">
        <v>2027</v>
      </c>
      <c r="C5022" s="131" t="s">
        <v>250</v>
      </c>
      <c r="D5022" s="132" t="n">
        <v>46617</v>
      </c>
      <c r="E5022" s="131" t="s">
        <v>40</v>
      </c>
      <c r="F5022" s="133" t="s">
        <v>19</v>
      </c>
      <c r="G5022" s="134" t="n">
        <f aca="false">LEN('Saisie programme'!$F$182)+SUMIFS('Vols additionnels'!$E$7:$E$66,'Vols additionnels'!$C$7:$C$66,$E5022,'Vols additionnels'!$D$7:$D$66,$F5022,'Vols additionnels'!$B$7:$B$66,$D5022)</f>
        <v>0</v>
      </c>
      <c r="H5022" s="135" t="n">
        <f aca="false">$G5022*'Analyse capacite'!$F$8</f>
        <v>0</v>
      </c>
      <c r="I5022" s="135" t="n">
        <f aca="false">$G5022*'Analyse capacite'!$C$8</f>
        <v>0</v>
      </c>
      <c r="J5022" s="135" t="n">
        <f aca="false">$G5022*'Analyse capacite'!$D$8</f>
        <v>0</v>
      </c>
      <c r="K5022" s="135" t="n">
        <f aca="false">$G5022*'Analyse capacite'!$E$8</f>
        <v>0</v>
      </c>
    </row>
    <row r="5023" customFormat="false" ht="15" hidden="false" customHeight="false" outlineLevel="0" collapsed="false">
      <c r="B5023" s="130" t="n">
        <v>2027</v>
      </c>
      <c r="C5023" s="131" t="s">
        <v>250</v>
      </c>
      <c r="D5023" s="132" t="n">
        <v>46617</v>
      </c>
      <c r="E5023" s="131" t="s">
        <v>40</v>
      </c>
      <c r="F5023" s="133" t="s">
        <v>24</v>
      </c>
      <c r="G5023" s="134" t="n">
        <f aca="false">LEN('Saisie programme'!$F$183)+SUMIFS('Vols additionnels'!$E$7:$E$66,'Vols additionnels'!$C$7:$C$66,$E5023,'Vols additionnels'!$D$7:$D$66,$F5023,'Vols additionnels'!$B$7:$B$66,$D5023)</f>
        <v>1</v>
      </c>
      <c r="H5023" s="135" t="n">
        <f aca="false">$G5023*'Analyse capacite'!$F$9</f>
        <v>174</v>
      </c>
      <c r="I5023" s="135" t="n">
        <f aca="false">$G5023*'Analyse capacite'!$C$9</f>
        <v>0</v>
      </c>
      <c r="J5023" s="135" t="n">
        <f aca="false">$G5023*'Analyse capacite'!$D$9</f>
        <v>12</v>
      </c>
      <c r="K5023" s="135" t="n">
        <f aca="false">$G5023*'Analyse capacite'!$E$9</f>
        <v>162</v>
      </c>
    </row>
    <row r="5024" customFormat="false" ht="15" hidden="false" customHeight="false" outlineLevel="0" collapsed="false">
      <c r="B5024" s="130" t="n">
        <v>2027</v>
      </c>
      <c r="C5024" s="131" t="s">
        <v>250</v>
      </c>
      <c r="D5024" s="132" t="n">
        <v>46617</v>
      </c>
      <c r="E5024" s="131" t="s">
        <v>14</v>
      </c>
      <c r="F5024" s="133" t="s">
        <v>11</v>
      </c>
      <c r="G5024" s="134" t="n">
        <f aca="false">LEN('Saisie programme'!$F$184)+SUMIFS('Vols additionnels'!$E$7:$E$66,'Vols additionnels'!$C$7:$C$66,$E5024,'Vols additionnels'!$D$7:$D$66,$F5024,'Vols additionnels'!$B$7:$B$66,$D5024)</f>
        <v>0</v>
      </c>
      <c r="H5024" s="135" t="n">
        <f aca="false">$G5024*'Analyse capacite'!$F$7</f>
        <v>0</v>
      </c>
      <c r="I5024" s="135" t="n">
        <f aca="false">$G5024*'Analyse capacite'!$C$7</f>
        <v>0</v>
      </c>
      <c r="J5024" s="135" t="n">
        <f aca="false">$G5024*'Analyse capacite'!$D$7</f>
        <v>0</v>
      </c>
      <c r="K5024" s="135" t="n">
        <f aca="false">$G5024*'Analyse capacite'!$E$7</f>
        <v>0</v>
      </c>
    </row>
    <row r="5025" customFormat="false" ht="15" hidden="false" customHeight="false" outlineLevel="0" collapsed="false">
      <c r="B5025" s="130" t="n">
        <v>2027</v>
      </c>
      <c r="C5025" s="131" t="s">
        <v>250</v>
      </c>
      <c r="D5025" s="132" t="n">
        <v>46617</v>
      </c>
      <c r="E5025" s="131" t="s">
        <v>14</v>
      </c>
      <c r="F5025" s="133" t="s">
        <v>19</v>
      </c>
      <c r="G5025" s="134" t="n">
        <f aca="false">LEN('Saisie programme'!$F$185)+SUMIFS('Vols additionnels'!$E$7:$E$66,'Vols additionnels'!$C$7:$C$66,$E5025,'Vols additionnels'!$D$7:$D$66,$F5025,'Vols additionnels'!$B$7:$B$66,$D5025)</f>
        <v>0</v>
      </c>
      <c r="H5025" s="135" t="n">
        <f aca="false">$G5025*'Analyse capacite'!$F$8</f>
        <v>0</v>
      </c>
      <c r="I5025" s="135" t="n">
        <f aca="false">$G5025*'Analyse capacite'!$C$8</f>
        <v>0</v>
      </c>
      <c r="J5025" s="135" t="n">
        <f aca="false">$G5025*'Analyse capacite'!$D$8</f>
        <v>0</v>
      </c>
      <c r="K5025" s="135" t="n">
        <f aca="false">$G5025*'Analyse capacite'!$E$8</f>
        <v>0</v>
      </c>
    </row>
    <row r="5026" customFormat="false" ht="15" hidden="false" customHeight="false" outlineLevel="0" collapsed="false">
      <c r="B5026" s="130" t="n">
        <v>2027</v>
      </c>
      <c r="C5026" s="131" t="s">
        <v>250</v>
      </c>
      <c r="D5026" s="132" t="n">
        <v>46617</v>
      </c>
      <c r="E5026" s="131" t="s">
        <v>14</v>
      </c>
      <c r="F5026" s="133" t="s">
        <v>24</v>
      </c>
      <c r="G5026" s="134" t="n">
        <f aca="false">LEN('Saisie programme'!$F$186)+SUMIFS('Vols additionnels'!$E$7:$E$66,'Vols additionnels'!$C$7:$C$66,$E5026,'Vols additionnels'!$D$7:$D$66,$F5026,'Vols additionnels'!$B$7:$B$66,$D5026)</f>
        <v>0</v>
      </c>
      <c r="H5026" s="135" t="n">
        <f aca="false">$G5026*'Analyse capacite'!$F$9</f>
        <v>0</v>
      </c>
      <c r="I5026" s="135" t="n">
        <f aca="false">$G5026*'Analyse capacite'!$C$9</f>
        <v>0</v>
      </c>
      <c r="J5026" s="135" t="n">
        <f aca="false">$G5026*'Analyse capacite'!$D$9</f>
        <v>0</v>
      </c>
      <c r="K5026" s="135" t="n">
        <f aca="false">$G5026*'Analyse capacite'!$E$9</f>
        <v>0</v>
      </c>
    </row>
    <row r="5027" customFormat="false" ht="15" hidden="false" customHeight="false" outlineLevel="0" collapsed="false">
      <c r="B5027" s="130" t="n">
        <v>2027</v>
      </c>
      <c r="C5027" s="131" t="s">
        <v>250</v>
      </c>
      <c r="D5027" s="132" t="n">
        <v>46617</v>
      </c>
      <c r="E5027" s="131" t="s">
        <v>46</v>
      </c>
      <c r="F5027" s="133" t="s">
        <v>11</v>
      </c>
      <c r="G5027" s="134" t="n">
        <f aca="false">LEN('Saisie programme'!$F$187)+SUMIFS('Vols additionnels'!$E$7:$E$66,'Vols additionnels'!$C$7:$C$66,$E5027,'Vols additionnels'!$D$7:$D$66,$F5027,'Vols additionnels'!$B$7:$B$66,$D5027)</f>
        <v>0</v>
      </c>
      <c r="H5027" s="135" t="n">
        <f aca="false">$G5027*'Analyse capacite'!$F$7</f>
        <v>0</v>
      </c>
      <c r="I5027" s="135" t="n">
        <f aca="false">$G5027*'Analyse capacite'!$C$7</f>
        <v>0</v>
      </c>
      <c r="J5027" s="135" t="n">
        <f aca="false">$G5027*'Analyse capacite'!$D$7</f>
        <v>0</v>
      </c>
      <c r="K5027" s="135" t="n">
        <f aca="false">$G5027*'Analyse capacite'!$E$7</f>
        <v>0</v>
      </c>
    </row>
    <row r="5028" customFormat="false" ht="15" hidden="false" customHeight="false" outlineLevel="0" collapsed="false">
      <c r="B5028" s="130" t="n">
        <v>2027</v>
      </c>
      <c r="C5028" s="131" t="s">
        <v>250</v>
      </c>
      <c r="D5028" s="132" t="n">
        <v>46617</v>
      </c>
      <c r="E5028" s="131" t="s">
        <v>46</v>
      </c>
      <c r="F5028" s="133" t="s">
        <v>19</v>
      </c>
      <c r="G5028" s="134" t="n">
        <f aca="false">LEN('Saisie programme'!$F$188)+SUMIFS('Vols additionnels'!$E$7:$E$66,'Vols additionnels'!$C$7:$C$66,$E5028,'Vols additionnels'!$D$7:$D$66,$F5028,'Vols additionnels'!$B$7:$B$66,$D5028)</f>
        <v>0</v>
      </c>
      <c r="H5028" s="135" t="n">
        <f aca="false">$G5028*'Analyse capacite'!$F$8</f>
        <v>0</v>
      </c>
      <c r="I5028" s="135" t="n">
        <f aca="false">$G5028*'Analyse capacite'!$C$8</f>
        <v>0</v>
      </c>
      <c r="J5028" s="135" t="n">
        <f aca="false">$G5028*'Analyse capacite'!$D$8</f>
        <v>0</v>
      </c>
      <c r="K5028" s="135" t="n">
        <f aca="false">$G5028*'Analyse capacite'!$E$8</f>
        <v>0</v>
      </c>
    </row>
    <row r="5029" customFormat="false" ht="15" hidden="false" customHeight="false" outlineLevel="0" collapsed="false">
      <c r="B5029" s="130" t="n">
        <v>2027</v>
      </c>
      <c r="C5029" s="131" t="s">
        <v>250</v>
      </c>
      <c r="D5029" s="132" t="n">
        <v>46617</v>
      </c>
      <c r="E5029" s="131" t="s">
        <v>46</v>
      </c>
      <c r="F5029" s="133" t="s">
        <v>24</v>
      </c>
      <c r="G5029" s="134" t="n">
        <f aca="false">LEN('Saisie programme'!$F$189)+SUMIFS('Vols additionnels'!$E$7:$E$66,'Vols additionnels'!$C$7:$C$66,$E5029,'Vols additionnels'!$D$7:$D$66,$F5029,'Vols additionnels'!$B$7:$B$66,$D5029)</f>
        <v>0</v>
      </c>
      <c r="H5029" s="135" t="n">
        <f aca="false">$G5029*'Analyse capacite'!$F$9</f>
        <v>0</v>
      </c>
      <c r="I5029" s="135" t="n">
        <f aca="false">$G5029*'Analyse capacite'!$C$9</f>
        <v>0</v>
      </c>
      <c r="J5029" s="135" t="n">
        <f aca="false">$G5029*'Analyse capacite'!$D$9</f>
        <v>0</v>
      </c>
      <c r="K5029" s="135" t="n">
        <f aca="false">$G5029*'Analyse capacite'!$E$9</f>
        <v>0</v>
      </c>
    </row>
    <row r="5030" customFormat="false" ht="15" hidden="false" customHeight="false" outlineLevel="0" collapsed="false">
      <c r="B5030" s="130" t="n">
        <v>2027</v>
      </c>
      <c r="C5030" s="131" t="s">
        <v>250</v>
      </c>
      <c r="D5030" s="132" t="n">
        <v>46617</v>
      </c>
      <c r="E5030" s="131" t="s">
        <v>49</v>
      </c>
      <c r="F5030" s="133" t="s">
        <v>11</v>
      </c>
      <c r="G5030" s="134" t="n">
        <f aca="false">LEN('Saisie programme'!$F$190)+SUMIFS('Vols additionnels'!$E$7:$E$66,'Vols additionnels'!$C$7:$C$66,$E5030,'Vols additionnels'!$D$7:$D$66,$F5030,'Vols additionnels'!$B$7:$B$66,$D5030)</f>
        <v>0</v>
      </c>
      <c r="H5030" s="135" t="n">
        <f aca="false">$G5030*'Analyse capacite'!$F$7</f>
        <v>0</v>
      </c>
      <c r="I5030" s="135" t="n">
        <f aca="false">$G5030*'Analyse capacite'!$C$7</f>
        <v>0</v>
      </c>
      <c r="J5030" s="135" t="n">
        <f aca="false">$G5030*'Analyse capacite'!$D$7</f>
        <v>0</v>
      </c>
      <c r="K5030" s="135" t="n">
        <f aca="false">$G5030*'Analyse capacite'!$E$7</f>
        <v>0</v>
      </c>
    </row>
    <row r="5031" customFormat="false" ht="15" hidden="false" customHeight="false" outlineLevel="0" collapsed="false">
      <c r="B5031" s="130" t="n">
        <v>2027</v>
      </c>
      <c r="C5031" s="131" t="s">
        <v>250</v>
      </c>
      <c r="D5031" s="132" t="n">
        <v>46617</v>
      </c>
      <c r="E5031" s="131" t="s">
        <v>49</v>
      </c>
      <c r="F5031" s="133" t="s">
        <v>19</v>
      </c>
      <c r="G5031" s="134" t="n">
        <f aca="false">LEN('Saisie programme'!$F$191)+SUMIFS('Vols additionnels'!$E$7:$E$66,'Vols additionnels'!$C$7:$C$66,$E5031,'Vols additionnels'!$D$7:$D$66,$F5031,'Vols additionnels'!$B$7:$B$66,$D5031)</f>
        <v>0</v>
      </c>
      <c r="H5031" s="135" t="n">
        <f aca="false">$G5031*'Analyse capacite'!$F$8</f>
        <v>0</v>
      </c>
      <c r="I5031" s="135" t="n">
        <f aca="false">$G5031*'Analyse capacite'!$C$8</f>
        <v>0</v>
      </c>
      <c r="J5031" s="135" t="n">
        <f aca="false">$G5031*'Analyse capacite'!$D$8</f>
        <v>0</v>
      </c>
      <c r="K5031" s="135" t="n">
        <f aca="false">$G5031*'Analyse capacite'!$E$8</f>
        <v>0</v>
      </c>
    </row>
    <row r="5032" customFormat="false" ht="15" hidden="false" customHeight="false" outlineLevel="0" collapsed="false">
      <c r="B5032" s="130" t="n">
        <v>2027</v>
      </c>
      <c r="C5032" s="131" t="s">
        <v>250</v>
      </c>
      <c r="D5032" s="132" t="n">
        <v>46617</v>
      </c>
      <c r="E5032" s="131" t="s">
        <v>49</v>
      </c>
      <c r="F5032" s="133" t="s">
        <v>24</v>
      </c>
      <c r="G5032" s="134" t="n">
        <f aca="false">LEN('Saisie programme'!$F$192)+SUMIFS('Vols additionnels'!$E$7:$E$66,'Vols additionnels'!$C$7:$C$66,$E5032,'Vols additionnels'!$D$7:$D$66,$F5032,'Vols additionnels'!$B$7:$B$66,$D5032)</f>
        <v>0</v>
      </c>
      <c r="H5032" s="135" t="n">
        <f aca="false">$G5032*'Analyse capacite'!$F$9</f>
        <v>0</v>
      </c>
      <c r="I5032" s="135" t="n">
        <f aca="false">$G5032*'Analyse capacite'!$C$9</f>
        <v>0</v>
      </c>
      <c r="J5032" s="135" t="n">
        <f aca="false">$G5032*'Analyse capacite'!$D$9</f>
        <v>0</v>
      </c>
      <c r="K5032" s="135" t="n">
        <f aca="false">$G5032*'Analyse capacite'!$E$9</f>
        <v>0</v>
      </c>
    </row>
    <row r="5033" customFormat="false" ht="15" hidden="false" customHeight="false" outlineLevel="0" collapsed="false">
      <c r="B5033" s="130" t="n">
        <v>2027</v>
      </c>
      <c r="C5033" s="131" t="s">
        <v>250</v>
      </c>
      <c r="D5033" s="132" t="n">
        <v>46617</v>
      </c>
      <c r="E5033" s="131" t="s">
        <v>53</v>
      </c>
      <c r="F5033" s="133" t="s">
        <v>11</v>
      </c>
      <c r="G5033" s="134" t="n">
        <f aca="false">LEN('Saisie programme'!$F$193)+SUMIFS('Vols additionnels'!$E$7:$E$66,'Vols additionnels'!$C$7:$C$66,$E5033,'Vols additionnels'!$D$7:$D$66,$F5033,'Vols additionnels'!$B$7:$B$66,$D5033)</f>
        <v>0</v>
      </c>
      <c r="H5033" s="135" t="n">
        <f aca="false">$G5033*'Analyse capacite'!$F$7</f>
        <v>0</v>
      </c>
      <c r="I5033" s="135" t="n">
        <f aca="false">$G5033*'Analyse capacite'!$C$7</f>
        <v>0</v>
      </c>
      <c r="J5033" s="135" t="n">
        <f aca="false">$G5033*'Analyse capacite'!$D$7</f>
        <v>0</v>
      </c>
      <c r="K5033" s="135" t="n">
        <f aca="false">$G5033*'Analyse capacite'!$E$7</f>
        <v>0</v>
      </c>
    </row>
    <row r="5034" customFormat="false" ht="15" hidden="false" customHeight="false" outlineLevel="0" collapsed="false">
      <c r="B5034" s="130" t="n">
        <v>2027</v>
      </c>
      <c r="C5034" s="131" t="s">
        <v>250</v>
      </c>
      <c r="D5034" s="132" t="n">
        <v>46617</v>
      </c>
      <c r="E5034" s="131" t="s">
        <v>53</v>
      </c>
      <c r="F5034" s="133" t="s">
        <v>19</v>
      </c>
      <c r="G5034" s="134" t="n">
        <f aca="false">LEN('Saisie programme'!$F$194)+SUMIFS('Vols additionnels'!$E$7:$E$66,'Vols additionnels'!$C$7:$C$66,$E5034,'Vols additionnels'!$D$7:$D$66,$F5034,'Vols additionnels'!$B$7:$B$66,$D5034)</f>
        <v>0</v>
      </c>
      <c r="H5034" s="135" t="n">
        <f aca="false">$G5034*'Analyse capacite'!$F$8</f>
        <v>0</v>
      </c>
      <c r="I5034" s="135" t="n">
        <f aca="false">$G5034*'Analyse capacite'!$C$8</f>
        <v>0</v>
      </c>
      <c r="J5034" s="135" t="n">
        <f aca="false">$G5034*'Analyse capacite'!$D$8</f>
        <v>0</v>
      </c>
      <c r="K5034" s="135" t="n">
        <f aca="false">$G5034*'Analyse capacite'!$E$8</f>
        <v>0</v>
      </c>
    </row>
    <row r="5035" customFormat="false" ht="15" hidden="false" customHeight="false" outlineLevel="0" collapsed="false">
      <c r="B5035" s="130" t="n">
        <v>2027</v>
      </c>
      <c r="C5035" s="131" t="s">
        <v>250</v>
      </c>
      <c r="D5035" s="132" t="n">
        <v>46617</v>
      </c>
      <c r="E5035" s="131" t="s">
        <v>53</v>
      </c>
      <c r="F5035" s="133" t="s">
        <v>24</v>
      </c>
      <c r="G5035" s="134" t="n">
        <f aca="false">LEN('Saisie programme'!$F$195)+SUMIFS('Vols additionnels'!$E$7:$E$66,'Vols additionnels'!$C$7:$C$66,$E5035,'Vols additionnels'!$D$7:$D$66,$F5035,'Vols additionnels'!$B$7:$B$66,$D5035)</f>
        <v>0</v>
      </c>
      <c r="H5035" s="135" t="n">
        <f aca="false">$G5035*'Analyse capacite'!$F$9</f>
        <v>0</v>
      </c>
      <c r="I5035" s="135" t="n">
        <f aca="false">$G5035*'Analyse capacite'!$C$9</f>
        <v>0</v>
      </c>
      <c r="J5035" s="135" t="n">
        <f aca="false">$G5035*'Analyse capacite'!$D$9</f>
        <v>0</v>
      </c>
      <c r="K5035" s="135" t="n">
        <f aca="false">$G5035*'Analyse capacite'!$E$9</f>
        <v>0</v>
      </c>
    </row>
    <row r="5036" customFormat="false" ht="15" hidden="false" customHeight="false" outlineLevel="0" collapsed="false">
      <c r="B5036" s="130" t="n">
        <v>2027</v>
      </c>
      <c r="C5036" s="131" t="s">
        <v>250</v>
      </c>
      <c r="D5036" s="132" t="n">
        <v>46617</v>
      </c>
      <c r="E5036" s="131" t="s">
        <v>56</v>
      </c>
      <c r="F5036" s="133" t="s">
        <v>11</v>
      </c>
      <c r="G5036" s="134" t="n">
        <f aca="false">LEN('Saisie programme'!$F$196)+SUMIFS('Vols additionnels'!$E$7:$E$66,'Vols additionnels'!$C$7:$C$66,$E5036,'Vols additionnels'!$D$7:$D$66,$F5036,'Vols additionnels'!$B$7:$B$66,$D5036)</f>
        <v>0</v>
      </c>
      <c r="H5036" s="135" t="n">
        <f aca="false">$G5036*'Analyse capacite'!$F$7</f>
        <v>0</v>
      </c>
      <c r="I5036" s="135" t="n">
        <f aca="false">$G5036*'Analyse capacite'!$C$7</f>
        <v>0</v>
      </c>
      <c r="J5036" s="135" t="n">
        <f aca="false">$G5036*'Analyse capacite'!$D$7</f>
        <v>0</v>
      </c>
      <c r="K5036" s="135" t="n">
        <f aca="false">$G5036*'Analyse capacite'!$E$7</f>
        <v>0</v>
      </c>
    </row>
    <row r="5037" customFormat="false" ht="15" hidden="false" customHeight="false" outlineLevel="0" collapsed="false">
      <c r="B5037" s="130" t="n">
        <v>2027</v>
      </c>
      <c r="C5037" s="131" t="s">
        <v>250</v>
      </c>
      <c r="D5037" s="132" t="n">
        <v>46617</v>
      </c>
      <c r="E5037" s="131" t="s">
        <v>56</v>
      </c>
      <c r="F5037" s="133" t="s">
        <v>19</v>
      </c>
      <c r="G5037" s="134" t="n">
        <f aca="false">LEN('Saisie programme'!$F$197)+SUMIFS('Vols additionnels'!$E$7:$E$66,'Vols additionnels'!$C$7:$C$66,$E5037,'Vols additionnels'!$D$7:$D$66,$F5037,'Vols additionnels'!$B$7:$B$66,$D5037)</f>
        <v>0</v>
      </c>
      <c r="H5037" s="135" t="n">
        <f aca="false">$G5037*'Analyse capacite'!$F$8</f>
        <v>0</v>
      </c>
      <c r="I5037" s="135" t="n">
        <f aca="false">$G5037*'Analyse capacite'!$C$8</f>
        <v>0</v>
      </c>
      <c r="J5037" s="135" t="n">
        <f aca="false">$G5037*'Analyse capacite'!$D$8</f>
        <v>0</v>
      </c>
      <c r="K5037" s="135" t="n">
        <f aca="false">$G5037*'Analyse capacite'!$E$8</f>
        <v>0</v>
      </c>
    </row>
    <row r="5038" customFormat="false" ht="15" hidden="false" customHeight="false" outlineLevel="0" collapsed="false">
      <c r="B5038" s="130" t="n">
        <v>2027</v>
      </c>
      <c r="C5038" s="131" t="s">
        <v>250</v>
      </c>
      <c r="D5038" s="132" t="n">
        <v>46617</v>
      </c>
      <c r="E5038" s="131" t="s">
        <v>56</v>
      </c>
      <c r="F5038" s="133" t="s">
        <v>24</v>
      </c>
      <c r="G5038" s="134" t="n">
        <f aca="false">LEN('Saisie programme'!$F$198)+SUMIFS('Vols additionnels'!$E$7:$E$66,'Vols additionnels'!$C$7:$C$66,$E5038,'Vols additionnels'!$D$7:$D$66,$F5038,'Vols additionnels'!$B$7:$B$66,$D5038)</f>
        <v>0</v>
      </c>
      <c r="H5038" s="135" t="n">
        <f aca="false">$G5038*'Analyse capacite'!$F$9</f>
        <v>0</v>
      </c>
      <c r="I5038" s="135" t="n">
        <f aca="false">$G5038*'Analyse capacite'!$C$9</f>
        <v>0</v>
      </c>
      <c r="J5038" s="135" t="n">
        <f aca="false">$G5038*'Analyse capacite'!$D$9</f>
        <v>0</v>
      </c>
      <c r="K5038" s="135" t="n">
        <f aca="false">$G5038*'Analyse capacite'!$E$9</f>
        <v>0</v>
      </c>
    </row>
    <row r="5039" customFormat="false" ht="15" hidden="false" customHeight="false" outlineLevel="0" collapsed="false">
      <c r="B5039" s="130" t="n">
        <v>2027</v>
      </c>
      <c r="C5039" s="131" t="s">
        <v>250</v>
      </c>
      <c r="D5039" s="132" t="n">
        <v>46617</v>
      </c>
      <c r="E5039" s="131" t="s">
        <v>59</v>
      </c>
      <c r="F5039" s="133" t="s">
        <v>11</v>
      </c>
      <c r="G5039" s="134" t="n">
        <f aca="false">LEN('Saisie programme'!$F$199)+SUMIFS('Vols additionnels'!$E$7:$E$66,'Vols additionnels'!$C$7:$C$66,$E5039,'Vols additionnels'!$D$7:$D$66,$F5039,'Vols additionnels'!$B$7:$B$66,$D5039)</f>
        <v>0</v>
      </c>
      <c r="H5039" s="135" t="n">
        <f aca="false">$G5039*'Analyse capacite'!$F$7</f>
        <v>0</v>
      </c>
      <c r="I5039" s="135" t="n">
        <f aca="false">$G5039*'Analyse capacite'!$C$7</f>
        <v>0</v>
      </c>
      <c r="J5039" s="135" t="n">
        <f aca="false">$G5039*'Analyse capacite'!$D$7</f>
        <v>0</v>
      </c>
      <c r="K5039" s="135" t="n">
        <f aca="false">$G5039*'Analyse capacite'!$E$7</f>
        <v>0</v>
      </c>
    </row>
    <row r="5040" customFormat="false" ht="15" hidden="false" customHeight="false" outlineLevel="0" collapsed="false">
      <c r="B5040" s="130" t="n">
        <v>2027</v>
      </c>
      <c r="C5040" s="131" t="s">
        <v>250</v>
      </c>
      <c r="D5040" s="132" t="n">
        <v>46617</v>
      </c>
      <c r="E5040" s="131" t="s">
        <v>59</v>
      </c>
      <c r="F5040" s="133" t="s">
        <v>19</v>
      </c>
      <c r="G5040" s="134" t="n">
        <f aca="false">LEN('Saisie programme'!$F$200)+SUMIFS('Vols additionnels'!$E$7:$E$66,'Vols additionnels'!$C$7:$C$66,$E5040,'Vols additionnels'!$D$7:$D$66,$F5040,'Vols additionnels'!$B$7:$B$66,$D5040)</f>
        <v>0</v>
      </c>
      <c r="H5040" s="135" t="n">
        <f aca="false">$G5040*'Analyse capacite'!$F$8</f>
        <v>0</v>
      </c>
      <c r="I5040" s="135" t="n">
        <f aca="false">$G5040*'Analyse capacite'!$C$8</f>
        <v>0</v>
      </c>
      <c r="J5040" s="135" t="n">
        <f aca="false">$G5040*'Analyse capacite'!$D$8</f>
        <v>0</v>
      </c>
      <c r="K5040" s="135" t="n">
        <f aca="false">$G5040*'Analyse capacite'!$E$8</f>
        <v>0</v>
      </c>
    </row>
    <row r="5041" customFormat="false" ht="15" hidden="false" customHeight="false" outlineLevel="0" collapsed="false">
      <c r="B5041" s="130" t="n">
        <v>2027</v>
      </c>
      <c r="C5041" s="131" t="s">
        <v>250</v>
      </c>
      <c r="D5041" s="132" t="n">
        <v>46617</v>
      </c>
      <c r="E5041" s="131" t="s">
        <v>59</v>
      </c>
      <c r="F5041" s="133" t="s">
        <v>24</v>
      </c>
      <c r="G5041" s="134" t="n">
        <f aca="false">LEN('Saisie programme'!$F$201)+SUMIFS('Vols additionnels'!$E$7:$E$66,'Vols additionnels'!$C$7:$C$66,$E5041,'Vols additionnels'!$D$7:$D$66,$F5041,'Vols additionnels'!$B$7:$B$66,$D5041)</f>
        <v>1</v>
      </c>
      <c r="H5041" s="135" t="n">
        <f aca="false">$G5041*'Analyse capacite'!$F$9</f>
        <v>174</v>
      </c>
      <c r="I5041" s="135" t="n">
        <f aca="false">$G5041*'Analyse capacite'!$C$9</f>
        <v>0</v>
      </c>
      <c r="J5041" s="135" t="n">
        <f aca="false">$G5041*'Analyse capacite'!$D$9</f>
        <v>12</v>
      </c>
      <c r="K5041" s="135" t="n">
        <f aca="false">$G5041*'Analyse capacite'!$E$9</f>
        <v>162</v>
      </c>
    </row>
    <row r="5042" customFormat="false" ht="15" hidden="false" customHeight="false" outlineLevel="0" collapsed="false">
      <c r="B5042" s="130" t="n">
        <v>2027</v>
      </c>
      <c r="C5042" s="131" t="s">
        <v>250</v>
      </c>
      <c r="D5042" s="132" t="n">
        <v>46617</v>
      </c>
      <c r="E5042" s="131" t="s">
        <v>62</v>
      </c>
      <c r="F5042" s="133" t="s">
        <v>11</v>
      </c>
      <c r="G5042" s="134" t="n">
        <f aca="false">LEN('Saisie programme'!$F$202)+SUMIFS('Vols additionnels'!$E$7:$E$66,'Vols additionnels'!$C$7:$C$66,$E5042,'Vols additionnels'!$D$7:$D$66,$F5042,'Vols additionnels'!$B$7:$B$66,$D5042)</f>
        <v>0</v>
      </c>
      <c r="H5042" s="135" t="n">
        <f aca="false">$G5042*'Analyse capacite'!$F$7</f>
        <v>0</v>
      </c>
      <c r="I5042" s="135" t="n">
        <f aca="false">$G5042*'Analyse capacite'!$C$7</f>
        <v>0</v>
      </c>
      <c r="J5042" s="135" t="n">
        <f aca="false">$G5042*'Analyse capacite'!$D$7</f>
        <v>0</v>
      </c>
      <c r="K5042" s="135" t="n">
        <f aca="false">$G5042*'Analyse capacite'!$E$7</f>
        <v>0</v>
      </c>
    </row>
    <row r="5043" customFormat="false" ht="15" hidden="false" customHeight="false" outlineLevel="0" collapsed="false">
      <c r="B5043" s="130" t="n">
        <v>2027</v>
      </c>
      <c r="C5043" s="131" t="s">
        <v>250</v>
      </c>
      <c r="D5043" s="132" t="n">
        <v>46617</v>
      </c>
      <c r="E5043" s="131" t="s">
        <v>62</v>
      </c>
      <c r="F5043" s="133" t="s">
        <v>19</v>
      </c>
      <c r="G5043" s="134" t="n">
        <f aca="false">LEN('Saisie programme'!$F$203)+SUMIFS('Vols additionnels'!$E$7:$E$66,'Vols additionnels'!$C$7:$C$66,$E5043,'Vols additionnels'!$D$7:$D$66,$F5043,'Vols additionnels'!$B$7:$B$66,$D5043)</f>
        <v>0</v>
      </c>
      <c r="H5043" s="135" t="n">
        <f aca="false">$G5043*'Analyse capacite'!$F$8</f>
        <v>0</v>
      </c>
      <c r="I5043" s="135" t="n">
        <f aca="false">$G5043*'Analyse capacite'!$C$8</f>
        <v>0</v>
      </c>
      <c r="J5043" s="135" t="n">
        <f aca="false">$G5043*'Analyse capacite'!$D$8</f>
        <v>0</v>
      </c>
      <c r="K5043" s="135" t="n">
        <f aca="false">$G5043*'Analyse capacite'!$E$8</f>
        <v>0</v>
      </c>
    </row>
    <row r="5044" customFormat="false" ht="15" hidden="false" customHeight="false" outlineLevel="0" collapsed="false">
      <c r="B5044" s="130" t="n">
        <v>2027</v>
      </c>
      <c r="C5044" s="131" t="s">
        <v>250</v>
      </c>
      <c r="D5044" s="132" t="n">
        <v>46617</v>
      </c>
      <c r="E5044" s="131" t="s">
        <v>62</v>
      </c>
      <c r="F5044" s="133" t="s">
        <v>24</v>
      </c>
      <c r="G5044" s="134" t="n">
        <f aca="false">LEN('Saisie programme'!$F$204)+SUMIFS('Vols additionnels'!$E$7:$E$66,'Vols additionnels'!$C$7:$C$66,$E5044,'Vols additionnels'!$D$7:$D$66,$F5044,'Vols additionnels'!$B$7:$B$66,$D5044)</f>
        <v>1</v>
      </c>
      <c r="H5044" s="135" t="n">
        <f aca="false">$G5044*'Analyse capacite'!$F$9</f>
        <v>174</v>
      </c>
      <c r="I5044" s="135" t="n">
        <f aca="false">$G5044*'Analyse capacite'!$C$9</f>
        <v>0</v>
      </c>
      <c r="J5044" s="135" t="n">
        <f aca="false">$G5044*'Analyse capacite'!$D$9</f>
        <v>12</v>
      </c>
      <c r="K5044" s="135" t="n">
        <f aca="false">$G5044*'Analyse capacite'!$E$9</f>
        <v>162</v>
      </c>
    </row>
    <row r="5045" customFormat="false" ht="15" hidden="false" customHeight="false" outlineLevel="0" collapsed="false">
      <c r="B5045" s="130" t="n">
        <v>2027</v>
      </c>
      <c r="C5045" s="131" t="s">
        <v>250</v>
      </c>
      <c r="D5045" s="132" t="n">
        <v>46618</v>
      </c>
      <c r="E5045" s="131" t="s">
        <v>12</v>
      </c>
      <c r="F5045" s="133" t="s">
        <v>11</v>
      </c>
      <c r="G5045" s="134" t="n">
        <f aca="false">LEN('Saisie programme'!$G$169)+SUMIFS('Vols additionnels'!$E$7:$E$66,'Vols additionnels'!$C$7:$C$66,$E5045,'Vols additionnels'!$D$7:$D$66,$F5045,'Vols additionnels'!$B$7:$B$66,$D5045)</f>
        <v>1</v>
      </c>
      <c r="H5045" s="135" t="n">
        <f aca="false">$G5045*'Analyse capacite'!$F$7</f>
        <v>438</v>
      </c>
      <c r="I5045" s="135" t="n">
        <f aca="false">$G5045*'Analyse capacite'!$C$7</f>
        <v>14</v>
      </c>
      <c r="J5045" s="135" t="n">
        <f aca="false">$G5045*'Analyse capacite'!$D$7</f>
        <v>40</v>
      </c>
      <c r="K5045" s="135" t="n">
        <f aca="false">$G5045*'Analyse capacite'!$E$7</f>
        <v>384</v>
      </c>
    </row>
    <row r="5046" customFormat="false" ht="15" hidden="false" customHeight="false" outlineLevel="0" collapsed="false">
      <c r="B5046" s="130" t="n">
        <v>2027</v>
      </c>
      <c r="C5046" s="131" t="s">
        <v>250</v>
      </c>
      <c r="D5046" s="132" t="n">
        <v>46618</v>
      </c>
      <c r="E5046" s="131" t="s">
        <v>12</v>
      </c>
      <c r="F5046" s="133" t="s">
        <v>19</v>
      </c>
      <c r="G5046" s="134" t="n">
        <f aca="false">LEN('Saisie programme'!$G$170)+SUMIFS('Vols additionnels'!$E$7:$E$66,'Vols additionnels'!$C$7:$C$66,$E5046,'Vols additionnels'!$D$7:$D$66,$F5046,'Vols additionnels'!$B$7:$B$66,$D5046)</f>
        <v>1</v>
      </c>
      <c r="H5046" s="135" t="n">
        <f aca="false">$G5046*'Analyse capacite'!$F$8</f>
        <v>262</v>
      </c>
      <c r="I5046" s="135" t="n">
        <f aca="false">$G5046*'Analyse capacite'!$C$8</f>
        <v>18</v>
      </c>
      <c r="J5046" s="135" t="n">
        <f aca="false">$G5046*'Analyse capacite'!$D$8</f>
        <v>0</v>
      </c>
      <c r="K5046" s="135" t="n">
        <f aca="false">$G5046*'Analyse capacite'!$E$8</f>
        <v>244</v>
      </c>
    </row>
    <row r="5047" customFormat="false" ht="15" hidden="false" customHeight="false" outlineLevel="0" collapsed="false">
      <c r="B5047" s="130" t="n">
        <v>2027</v>
      </c>
      <c r="C5047" s="131" t="s">
        <v>250</v>
      </c>
      <c r="D5047" s="132" t="n">
        <v>46618</v>
      </c>
      <c r="E5047" s="131" t="s">
        <v>12</v>
      </c>
      <c r="F5047" s="133" t="s">
        <v>24</v>
      </c>
      <c r="G5047" s="134" t="n">
        <f aca="false">LEN('Saisie programme'!$G$171)+SUMIFS('Vols additionnels'!$E$7:$E$66,'Vols additionnels'!$C$7:$C$66,$E5047,'Vols additionnels'!$D$7:$D$66,$F5047,'Vols additionnels'!$B$7:$B$66,$D5047)</f>
        <v>0</v>
      </c>
      <c r="H5047" s="135" t="n">
        <f aca="false">$G5047*'Analyse capacite'!$F$9</f>
        <v>0</v>
      </c>
      <c r="I5047" s="135" t="n">
        <f aca="false">$G5047*'Analyse capacite'!$C$9</f>
        <v>0</v>
      </c>
      <c r="J5047" s="135" t="n">
        <f aca="false">$G5047*'Analyse capacite'!$D$9</f>
        <v>0</v>
      </c>
      <c r="K5047" s="135" t="n">
        <f aca="false">$G5047*'Analyse capacite'!$E$9</f>
        <v>0</v>
      </c>
    </row>
    <row r="5048" customFormat="false" ht="15" hidden="false" customHeight="false" outlineLevel="0" collapsed="false">
      <c r="B5048" s="130" t="n">
        <v>2027</v>
      </c>
      <c r="C5048" s="131" t="s">
        <v>250</v>
      </c>
      <c r="D5048" s="132" t="n">
        <v>46618</v>
      </c>
      <c r="E5048" s="131" t="s">
        <v>20</v>
      </c>
      <c r="F5048" s="133" t="s">
        <v>11</v>
      </c>
      <c r="G5048" s="134" t="n">
        <f aca="false">LEN('Saisie programme'!$G$172)+SUMIFS('Vols additionnels'!$E$7:$E$66,'Vols additionnels'!$C$7:$C$66,$E5048,'Vols additionnels'!$D$7:$D$66,$F5048,'Vols additionnels'!$B$7:$B$66,$D5048)</f>
        <v>0</v>
      </c>
      <c r="H5048" s="135" t="n">
        <f aca="false">$G5048*'Analyse capacite'!$F$7</f>
        <v>0</v>
      </c>
      <c r="I5048" s="135" t="n">
        <f aca="false">$G5048*'Analyse capacite'!$C$7</f>
        <v>0</v>
      </c>
      <c r="J5048" s="135" t="n">
        <f aca="false">$G5048*'Analyse capacite'!$D$7</f>
        <v>0</v>
      </c>
      <c r="K5048" s="135" t="n">
        <f aca="false">$G5048*'Analyse capacite'!$E$7</f>
        <v>0</v>
      </c>
    </row>
    <row r="5049" customFormat="false" ht="15" hidden="false" customHeight="false" outlineLevel="0" collapsed="false">
      <c r="B5049" s="130" t="n">
        <v>2027</v>
      </c>
      <c r="C5049" s="131" t="s">
        <v>250</v>
      </c>
      <c r="D5049" s="132" t="n">
        <v>46618</v>
      </c>
      <c r="E5049" s="131" t="s">
        <v>20</v>
      </c>
      <c r="F5049" s="133" t="s">
        <v>19</v>
      </c>
      <c r="G5049" s="134" t="n">
        <f aca="false">LEN('Saisie programme'!$G$173)+SUMIFS('Vols additionnels'!$E$7:$E$66,'Vols additionnels'!$C$7:$C$66,$E5049,'Vols additionnels'!$D$7:$D$66,$F5049,'Vols additionnels'!$B$7:$B$66,$D5049)</f>
        <v>0</v>
      </c>
      <c r="H5049" s="135" t="n">
        <f aca="false">$G5049*'Analyse capacite'!$F$8</f>
        <v>0</v>
      </c>
      <c r="I5049" s="135" t="n">
        <f aca="false">$G5049*'Analyse capacite'!$C$8</f>
        <v>0</v>
      </c>
      <c r="J5049" s="135" t="n">
        <f aca="false">$G5049*'Analyse capacite'!$D$8</f>
        <v>0</v>
      </c>
      <c r="K5049" s="135" t="n">
        <f aca="false">$G5049*'Analyse capacite'!$E$8</f>
        <v>0</v>
      </c>
    </row>
    <row r="5050" customFormat="false" ht="15" hidden="false" customHeight="false" outlineLevel="0" collapsed="false">
      <c r="B5050" s="130" t="n">
        <v>2027</v>
      </c>
      <c r="C5050" s="131" t="s">
        <v>250</v>
      </c>
      <c r="D5050" s="132" t="n">
        <v>46618</v>
      </c>
      <c r="E5050" s="131" t="s">
        <v>20</v>
      </c>
      <c r="F5050" s="133" t="s">
        <v>24</v>
      </c>
      <c r="G5050" s="134" t="n">
        <f aca="false">LEN('Saisie programme'!$G$174)+SUMIFS('Vols additionnels'!$E$7:$E$66,'Vols additionnels'!$C$7:$C$66,$E5050,'Vols additionnels'!$D$7:$D$66,$F5050,'Vols additionnels'!$B$7:$B$66,$D5050)</f>
        <v>0</v>
      </c>
      <c r="H5050" s="135" t="n">
        <f aca="false">$G5050*'Analyse capacite'!$F$9</f>
        <v>0</v>
      </c>
      <c r="I5050" s="135" t="n">
        <f aca="false">$G5050*'Analyse capacite'!$C$9</f>
        <v>0</v>
      </c>
      <c r="J5050" s="135" t="n">
        <f aca="false">$G5050*'Analyse capacite'!$D$9</f>
        <v>0</v>
      </c>
      <c r="K5050" s="135" t="n">
        <f aca="false">$G5050*'Analyse capacite'!$E$9</f>
        <v>0</v>
      </c>
    </row>
    <row r="5051" customFormat="false" ht="15" hidden="false" customHeight="false" outlineLevel="0" collapsed="false">
      <c r="B5051" s="130" t="n">
        <v>2027</v>
      </c>
      <c r="C5051" s="131" t="s">
        <v>250</v>
      </c>
      <c r="D5051" s="132" t="n">
        <v>46618</v>
      </c>
      <c r="E5051" s="131" t="s">
        <v>25</v>
      </c>
      <c r="F5051" s="133" t="s">
        <v>11</v>
      </c>
      <c r="G5051" s="134" t="n">
        <f aca="false">LEN('Saisie programme'!$G$175)+SUMIFS('Vols additionnels'!$E$7:$E$66,'Vols additionnels'!$C$7:$C$66,$E5051,'Vols additionnels'!$D$7:$D$66,$F5051,'Vols additionnels'!$B$7:$B$66,$D5051)</f>
        <v>0</v>
      </c>
      <c r="H5051" s="135" t="n">
        <f aca="false">$G5051*'Analyse capacite'!$F$7</f>
        <v>0</v>
      </c>
      <c r="I5051" s="135" t="n">
        <f aca="false">$G5051*'Analyse capacite'!$C$7</f>
        <v>0</v>
      </c>
      <c r="J5051" s="135" t="n">
        <f aca="false">$G5051*'Analyse capacite'!$D$7</f>
        <v>0</v>
      </c>
      <c r="K5051" s="135" t="n">
        <f aca="false">$G5051*'Analyse capacite'!$E$7</f>
        <v>0</v>
      </c>
    </row>
    <row r="5052" customFormat="false" ht="15" hidden="false" customHeight="false" outlineLevel="0" collapsed="false">
      <c r="B5052" s="130" t="n">
        <v>2027</v>
      </c>
      <c r="C5052" s="131" t="s">
        <v>250</v>
      </c>
      <c r="D5052" s="132" t="n">
        <v>46618</v>
      </c>
      <c r="E5052" s="131" t="s">
        <v>25</v>
      </c>
      <c r="F5052" s="133" t="s">
        <v>19</v>
      </c>
      <c r="G5052" s="134" t="n">
        <f aca="false">LEN('Saisie programme'!$G$176)+SUMIFS('Vols additionnels'!$E$7:$E$66,'Vols additionnels'!$C$7:$C$66,$E5052,'Vols additionnels'!$D$7:$D$66,$F5052,'Vols additionnels'!$B$7:$B$66,$D5052)</f>
        <v>0</v>
      </c>
      <c r="H5052" s="135" t="n">
        <f aca="false">$G5052*'Analyse capacite'!$F$8</f>
        <v>0</v>
      </c>
      <c r="I5052" s="135" t="n">
        <f aca="false">$G5052*'Analyse capacite'!$C$8</f>
        <v>0</v>
      </c>
      <c r="J5052" s="135" t="n">
        <f aca="false">$G5052*'Analyse capacite'!$D$8</f>
        <v>0</v>
      </c>
      <c r="K5052" s="135" t="n">
        <f aca="false">$G5052*'Analyse capacite'!$E$8</f>
        <v>0</v>
      </c>
    </row>
    <row r="5053" customFormat="false" ht="15" hidden="false" customHeight="false" outlineLevel="0" collapsed="false">
      <c r="B5053" s="130" t="n">
        <v>2027</v>
      </c>
      <c r="C5053" s="131" t="s">
        <v>250</v>
      </c>
      <c r="D5053" s="132" t="n">
        <v>46618</v>
      </c>
      <c r="E5053" s="131" t="s">
        <v>25</v>
      </c>
      <c r="F5053" s="133" t="s">
        <v>24</v>
      </c>
      <c r="G5053" s="134" t="n">
        <f aca="false">LEN('Saisie programme'!$G$177)+SUMIFS('Vols additionnels'!$E$7:$E$66,'Vols additionnels'!$C$7:$C$66,$E5053,'Vols additionnels'!$D$7:$D$66,$F5053,'Vols additionnels'!$B$7:$B$66,$D5053)</f>
        <v>0</v>
      </c>
      <c r="H5053" s="135" t="n">
        <f aca="false">$G5053*'Analyse capacite'!$F$9</f>
        <v>0</v>
      </c>
      <c r="I5053" s="135" t="n">
        <f aca="false">$G5053*'Analyse capacite'!$C$9</f>
        <v>0</v>
      </c>
      <c r="J5053" s="135" t="n">
        <f aca="false">$G5053*'Analyse capacite'!$D$9</f>
        <v>0</v>
      </c>
      <c r="K5053" s="135" t="n">
        <f aca="false">$G5053*'Analyse capacite'!$E$9</f>
        <v>0</v>
      </c>
    </row>
    <row r="5054" customFormat="false" ht="15" hidden="false" customHeight="false" outlineLevel="0" collapsed="false">
      <c r="B5054" s="130" t="n">
        <v>2027</v>
      </c>
      <c r="C5054" s="131" t="s">
        <v>250</v>
      </c>
      <c r="D5054" s="132" t="n">
        <v>46618</v>
      </c>
      <c r="E5054" s="131" t="s">
        <v>36</v>
      </c>
      <c r="F5054" s="133" t="s">
        <v>11</v>
      </c>
      <c r="G5054" s="134" t="n">
        <f aca="false">LEN('Saisie programme'!$G$178)+SUMIFS('Vols additionnels'!$E$7:$E$66,'Vols additionnels'!$C$7:$C$66,$E5054,'Vols additionnels'!$D$7:$D$66,$F5054,'Vols additionnels'!$B$7:$B$66,$D5054)</f>
        <v>0</v>
      </c>
      <c r="H5054" s="135" t="n">
        <f aca="false">$G5054*'Analyse capacite'!$F$7</f>
        <v>0</v>
      </c>
      <c r="I5054" s="135" t="n">
        <f aca="false">$G5054*'Analyse capacite'!$C$7</f>
        <v>0</v>
      </c>
      <c r="J5054" s="135" t="n">
        <f aca="false">$G5054*'Analyse capacite'!$D$7</f>
        <v>0</v>
      </c>
      <c r="K5054" s="135" t="n">
        <f aca="false">$G5054*'Analyse capacite'!$E$7</f>
        <v>0</v>
      </c>
    </row>
    <row r="5055" customFormat="false" ht="15" hidden="false" customHeight="false" outlineLevel="0" collapsed="false">
      <c r="B5055" s="130" t="n">
        <v>2027</v>
      </c>
      <c r="C5055" s="131" t="s">
        <v>250</v>
      </c>
      <c r="D5055" s="132" t="n">
        <v>46618</v>
      </c>
      <c r="E5055" s="131" t="s">
        <v>36</v>
      </c>
      <c r="F5055" s="133" t="s">
        <v>19</v>
      </c>
      <c r="G5055" s="134" t="n">
        <f aca="false">LEN('Saisie programme'!$G$179)+SUMIFS('Vols additionnels'!$E$7:$E$66,'Vols additionnels'!$C$7:$C$66,$E5055,'Vols additionnels'!$D$7:$D$66,$F5055,'Vols additionnels'!$B$7:$B$66,$D5055)</f>
        <v>0</v>
      </c>
      <c r="H5055" s="135" t="n">
        <f aca="false">$G5055*'Analyse capacite'!$F$8</f>
        <v>0</v>
      </c>
      <c r="I5055" s="135" t="n">
        <f aca="false">$G5055*'Analyse capacite'!$C$8</f>
        <v>0</v>
      </c>
      <c r="J5055" s="135" t="n">
        <f aca="false">$G5055*'Analyse capacite'!$D$8</f>
        <v>0</v>
      </c>
      <c r="K5055" s="135" t="n">
        <f aca="false">$G5055*'Analyse capacite'!$E$8</f>
        <v>0</v>
      </c>
    </row>
    <row r="5056" customFormat="false" ht="15" hidden="false" customHeight="false" outlineLevel="0" collapsed="false">
      <c r="B5056" s="130" t="n">
        <v>2027</v>
      </c>
      <c r="C5056" s="131" t="s">
        <v>250</v>
      </c>
      <c r="D5056" s="132" t="n">
        <v>46618</v>
      </c>
      <c r="E5056" s="131" t="s">
        <v>36</v>
      </c>
      <c r="F5056" s="133" t="s">
        <v>24</v>
      </c>
      <c r="G5056" s="134" t="n">
        <f aca="false">LEN('Saisie programme'!$G$180)+SUMIFS('Vols additionnels'!$E$7:$E$66,'Vols additionnels'!$C$7:$C$66,$E5056,'Vols additionnels'!$D$7:$D$66,$F5056,'Vols additionnels'!$B$7:$B$66,$D5056)</f>
        <v>1</v>
      </c>
      <c r="H5056" s="135" t="n">
        <f aca="false">$G5056*'Analyse capacite'!$F$9</f>
        <v>174</v>
      </c>
      <c r="I5056" s="135" t="n">
        <f aca="false">$G5056*'Analyse capacite'!$C$9</f>
        <v>0</v>
      </c>
      <c r="J5056" s="135" t="n">
        <f aca="false">$G5056*'Analyse capacite'!$D$9</f>
        <v>12</v>
      </c>
      <c r="K5056" s="135" t="n">
        <f aca="false">$G5056*'Analyse capacite'!$E$9</f>
        <v>162</v>
      </c>
    </row>
    <row r="5057" customFormat="false" ht="15" hidden="false" customHeight="false" outlineLevel="0" collapsed="false">
      <c r="B5057" s="130" t="n">
        <v>2027</v>
      </c>
      <c r="C5057" s="131" t="s">
        <v>250</v>
      </c>
      <c r="D5057" s="132" t="n">
        <v>46618</v>
      </c>
      <c r="E5057" s="131" t="s">
        <v>40</v>
      </c>
      <c r="F5057" s="133" t="s">
        <v>11</v>
      </c>
      <c r="G5057" s="134" t="n">
        <f aca="false">LEN('Saisie programme'!$G$181)+SUMIFS('Vols additionnels'!$E$7:$E$66,'Vols additionnels'!$C$7:$C$66,$E5057,'Vols additionnels'!$D$7:$D$66,$F5057,'Vols additionnels'!$B$7:$B$66,$D5057)</f>
        <v>0</v>
      </c>
      <c r="H5057" s="135" t="n">
        <f aca="false">$G5057*'Analyse capacite'!$F$7</f>
        <v>0</v>
      </c>
      <c r="I5057" s="135" t="n">
        <f aca="false">$G5057*'Analyse capacite'!$C$7</f>
        <v>0</v>
      </c>
      <c r="J5057" s="135" t="n">
        <f aca="false">$G5057*'Analyse capacite'!$D$7</f>
        <v>0</v>
      </c>
      <c r="K5057" s="135" t="n">
        <f aca="false">$G5057*'Analyse capacite'!$E$7</f>
        <v>0</v>
      </c>
    </row>
    <row r="5058" customFormat="false" ht="15" hidden="false" customHeight="false" outlineLevel="0" collapsed="false">
      <c r="B5058" s="130" t="n">
        <v>2027</v>
      </c>
      <c r="C5058" s="131" t="s">
        <v>250</v>
      </c>
      <c r="D5058" s="132" t="n">
        <v>46618</v>
      </c>
      <c r="E5058" s="131" t="s">
        <v>40</v>
      </c>
      <c r="F5058" s="133" t="s">
        <v>19</v>
      </c>
      <c r="G5058" s="134" t="n">
        <f aca="false">LEN('Saisie programme'!$G$182)+SUMIFS('Vols additionnels'!$E$7:$E$66,'Vols additionnels'!$C$7:$C$66,$E5058,'Vols additionnels'!$D$7:$D$66,$F5058,'Vols additionnels'!$B$7:$B$66,$D5058)</f>
        <v>0</v>
      </c>
      <c r="H5058" s="135" t="n">
        <f aca="false">$G5058*'Analyse capacite'!$F$8</f>
        <v>0</v>
      </c>
      <c r="I5058" s="135" t="n">
        <f aca="false">$G5058*'Analyse capacite'!$C$8</f>
        <v>0</v>
      </c>
      <c r="J5058" s="135" t="n">
        <f aca="false">$G5058*'Analyse capacite'!$D$8</f>
        <v>0</v>
      </c>
      <c r="K5058" s="135" t="n">
        <f aca="false">$G5058*'Analyse capacite'!$E$8</f>
        <v>0</v>
      </c>
    </row>
    <row r="5059" customFormat="false" ht="15" hidden="false" customHeight="false" outlineLevel="0" collapsed="false">
      <c r="B5059" s="130" t="n">
        <v>2027</v>
      </c>
      <c r="C5059" s="131" t="s">
        <v>250</v>
      </c>
      <c r="D5059" s="132" t="n">
        <v>46618</v>
      </c>
      <c r="E5059" s="131" t="s">
        <v>40</v>
      </c>
      <c r="F5059" s="133" t="s">
        <v>24</v>
      </c>
      <c r="G5059" s="134" t="n">
        <f aca="false">LEN('Saisie programme'!$G$183)+SUMIFS('Vols additionnels'!$E$7:$E$66,'Vols additionnels'!$C$7:$C$66,$E5059,'Vols additionnels'!$D$7:$D$66,$F5059,'Vols additionnels'!$B$7:$B$66,$D5059)</f>
        <v>0</v>
      </c>
      <c r="H5059" s="135" t="n">
        <f aca="false">$G5059*'Analyse capacite'!$F$9</f>
        <v>0</v>
      </c>
      <c r="I5059" s="135" t="n">
        <f aca="false">$G5059*'Analyse capacite'!$C$9</f>
        <v>0</v>
      </c>
      <c r="J5059" s="135" t="n">
        <f aca="false">$G5059*'Analyse capacite'!$D$9</f>
        <v>0</v>
      </c>
      <c r="K5059" s="135" t="n">
        <f aca="false">$G5059*'Analyse capacite'!$E$9</f>
        <v>0</v>
      </c>
    </row>
    <row r="5060" customFormat="false" ht="15" hidden="false" customHeight="false" outlineLevel="0" collapsed="false">
      <c r="B5060" s="130" t="n">
        <v>2027</v>
      </c>
      <c r="C5060" s="131" t="s">
        <v>250</v>
      </c>
      <c r="D5060" s="132" t="n">
        <v>46618</v>
      </c>
      <c r="E5060" s="131" t="s">
        <v>14</v>
      </c>
      <c r="F5060" s="133" t="s">
        <v>11</v>
      </c>
      <c r="G5060" s="134" t="n">
        <f aca="false">LEN('Saisie programme'!$G$184)+SUMIFS('Vols additionnels'!$E$7:$E$66,'Vols additionnels'!$C$7:$C$66,$E5060,'Vols additionnels'!$D$7:$D$66,$F5060,'Vols additionnels'!$B$7:$B$66,$D5060)</f>
        <v>0</v>
      </c>
      <c r="H5060" s="135" t="n">
        <f aca="false">$G5060*'Analyse capacite'!$F$7</f>
        <v>0</v>
      </c>
      <c r="I5060" s="135" t="n">
        <f aca="false">$G5060*'Analyse capacite'!$C$7</f>
        <v>0</v>
      </c>
      <c r="J5060" s="135" t="n">
        <f aca="false">$G5060*'Analyse capacite'!$D$7</f>
        <v>0</v>
      </c>
      <c r="K5060" s="135" t="n">
        <f aca="false">$G5060*'Analyse capacite'!$E$7</f>
        <v>0</v>
      </c>
    </row>
    <row r="5061" customFormat="false" ht="15" hidden="false" customHeight="false" outlineLevel="0" collapsed="false">
      <c r="B5061" s="130" t="n">
        <v>2027</v>
      </c>
      <c r="C5061" s="131" t="s">
        <v>250</v>
      </c>
      <c r="D5061" s="132" t="n">
        <v>46618</v>
      </c>
      <c r="E5061" s="131" t="s">
        <v>14</v>
      </c>
      <c r="F5061" s="133" t="s">
        <v>19</v>
      </c>
      <c r="G5061" s="134" t="n">
        <f aca="false">LEN('Saisie programme'!$G$185)+SUMIFS('Vols additionnels'!$E$7:$E$66,'Vols additionnels'!$C$7:$C$66,$E5061,'Vols additionnels'!$D$7:$D$66,$F5061,'Vols additionnels'!$B$7:$B$66,$D5061)</f>
        <v>0</v>
      </c>
      <c r="H5061" s="135" t="n">
        <f aca="false">$G5061*'Analyse capacite'!$F$8</f>
        <v>0</v>
      </c>
      <c r="I5061" s="135" t="n">
        <f aca="false">$G5061*'Analyse capacite'!$C$8</f>
        <v>0</v>
      </c>
      <c r="J5061" s="135" t="n">
        <f aca="false">$G5061*'Analyse capacite'!$D$8</f>
        <v>0</v>
      </c>
      <c r="K5061" s="135" t="n">
        <f aca="false">$G5061*'Analyse capacite'!$E$8</f>
        <v>0</v>
      </c>
    </row>
    <row r="5062" customFormat="false" ht="15" hidden="false" customHeight="false" outlineLevel="0" collapsed="false">
      <c r="B5062" s="130" t="n">
        <v>2027</v>
      </c>
      <c r="C5062" s="131" t="s">
        <v>250</v>
      </c>
      <c r="D5062" s="132" t="n">
        <v>46618</v>
      </c>
      <c r="E5062" s="131" t="s">
        <v>14</v>
      </c>
      <c r="F5062" s="133" t="s">
        <v>24</v>
      </c>
      <c r="G5062" s="134" t="n">
        <f aca="false">LEN('Saisie programme'!$G$186)+SUMIFS('Vols additionnels'!$E$7:$E$66,'Vols additionnels'!$C$7:$C$66,$E5062,'Vols additionnels'!$D$7:$D$66,$F5062,'Vols additionnels'!$B$7:$B$66,$D5062)</f>
        <v>1</v>
      </c>
      <c r="H5062" s="135" t="n">
        <f aca="false">$G5062*'Analyse capacite'!$F$9</f>
        <v>174</v>
      </c>
      <c r="I5062" s="135" t="n">
        <f aca="false">$G5062*'Analyse capacite'!$C$9</f>
        <v>0</v>
      </c>
      <c r="J5062" s="135" t="n">
        <f aca="false">$G5062*'Analyse capacite'!$D$9</f>
        <v>12</v>
      </c>
      <c r="K5062" s="135" t="n">
        <f aca="false">$G5062*'Analyse capacite'!$E$9</f>
        <v>162</v>
      </c>
    </row>
    <row r="5063" customFormat="false" ht="15" hidden="false" customHeight="false" outlineLevel="0" collapsed="false">
      <c r="B5063" s="130" t="n">
        <v>2027</v>
      </c>
      <c r="C5063" s="131" t="s">
        <v>250</v>
      </c>
      <c r="D5063" s="132" t="n">
        <v>46618</v>
      </c>
      <c r="E5063" s="131" t="s">
        <v>46</v>
      </c>
      <c r="F5063" s="133" t="s">
        <v>11</v>
      </c>
      <c r="G5063" s="134" t="n">
        <f aca="false">LEN('Saisie programme'!$G$187)+SUMIFS('Vols additionnels'!$E$7:$E$66,'Vols additionnels'!$C$7:$C$66,$E5063,'Vols additionnels'!$D$7:$D$66,$F5063,'Vols additionnels'!$B$7:$B$66,$D5063)</f>
        <v>0</v>
      </c>
      <c r="H5063" s="135" t="n">
        <f aca="false">$G5063*'Analyse capacite'!$F$7</f>
        <v>0</v>
      </c>
      <c r="I5063" s="135" t="n">
        <f aca="false">$G5063*'Analyse capacite'!$C$7</f>
        <v>0</v>
      </c>
      <c r="J5063" s="135" t="n">
        <f aca="false">$G5063*'Analyse capacite'!$D$7</f>
        <v>0</v>
      </c>
      <c r="K5063" s="135" t="n">
        <f aca="false">$G5063*'Analyse capacite'!$E$7</f>
        <v>0</v>
      </c>
    </row>
    <row r="5064" customFormat="false" ht="15" hidden="false" customHeight="false" outlineLevel="0" collapsed="false">
      <c r="B5064" s="130" t="n">
        <v>2027</v>
      </c>
      <c r="C5064" s="131" t="s">
        <v>250</v>
      </c>
      <c r="D5064" s="132" t="n">
        <v>46618</v>
      </c>
      <c r="E5064" s="131" t="s">
        <v>46</v>
      </c>
      <c r="F5064" s="133" t="s">
        <v>19</v>
      </c>
      <c r="G5064" s="134" t="n">
        <f aca="false">LEN('Saisie programme'!$G$188)+SUMIFS('Vols additionnels'!$E$7:$E$66,'Vols additionnels'!$C$7:$C$66,$E5064,'Vols additionnels'!$D$7:$D$66,$F5064,'Vols additionnels'!$B$7:$B$66,$D5064)</f>
        <v>0</v>
      </c>
      <c r="H5064" s="135" t="n">
        <f aca="false">$G5064*'Analyse capacite'!$F$8</f>
        <v>0</v>
      </c>
      <c r="I5064" s="135" t="n">
        <f aca="false">$G5064*'Analyse capacite'!$C$8</f>
        <v>0</v>
      </c>
      <c r="J5064" s="135" t="n">
        <f aca="false">$G5064*'Analyse capacite'!$D$8</f>
        <v>0</v>
      </c>
      <c r="K5064" s="135" t="n">
        <f aca="false">$G5064*'Analyse capacite'!$E$8</f>
        <v>0</v>
      </c>
    </row>
    <row r="5065" customFormat="false" ht="15" hidden="false" customHeight="false" outlineLevel="0" collapsed="false">
      <c r="B5065" s="130" t="n">
        <v>2027</v>
      </c>
      <c r="C5065" s="131" t="s">
        <v>250</v>
      </c>
      <c r="D5065" s="132" t="n">
        <v>46618</v>
      </c>
      <c r="E5065" s="131" t="s">
        <v>46</v>
      </c>
      <c r="F5065" s="133" t="s">
        <v>24</v>
      </c>
      <c r="G5065" s="134" t="n">
        <f aca="false">LEN('Saisie programme'!$G$189)+SUMIFS('Vols additionnels'!$E$7:$E$66,'Vols additionnels'!$C$7:$C$66,$E5065,'Vols additionnels'!$D$7:$D$66,$F5065,'Vols additionnels'!$B$7:$B$66,$D5065)</f>
        <v>1</v>
      </c>
      <c r="H5065" s="135" t="n">
        <f aca="false">$G5065*'Analyse capacite'!$F$9</f>
        <v>174</v>
      </c>
      <c r="I5065" s="135" t="n">
        <f aca="false">$G5065*'Analyse capacite'!$C$9</f>
        <v>0</v>
      </c>
      <c r="J5065" s="135" t="n">
        <f aca="false">$G5065*'Analyse capacite'!$D$9</f>
        <v>12</v>
      </c>
      <c r="K5065" s="135" t="n">
        <f aca="false">$G5065*'Analyse capacite'!$E$9</f>
        <v>162</v>
      </c>
    </row>
    <row r="5066" customFormat="false" ht="15" hidden="false" customHeight="false" outlineLevel="0" collapsed="false">
      <c r="B5066" s="130" t="n">
        <v>2027</v>
      </c>
      <c r="C5066" s="131" t="s">
        <v>250</v>
      </c>
      <c r="D5066" s="132" t="n">
        <v>46618</v>
      </c>
      <c r="E5066" s="131" t="s">
        <v>49</v>
      </c>
      <c r="F5066" s="133" t="s">
        <v>11</v>
      </c>
      <c r="G5066" s="134" t="n">
        <f aca="false">LEN('Saisie programme'!$G$190)+SUMIFS('Vols additionnels'!$E$7:$E$66,'Vols additionnels'!$C$7:$C$66,$E5066,'Vols additionnels'!$D$7:$D$66,$F5066,'Vols additionnels'!$B$7:$B$66,$D5066)</f>
        <v>0</v>
      </c>
      <c r="H5066" s="135" t="n">
        <f aca="false">$G5066*'Analyse capacite'!$F$7</f>
        <v>0</v>
      </c>
      <c r="I5066" s="135" t="n">
        <f aca="false">$G5066*'Analyse capacite'!$C$7</f>
        <v>0</v>
      </c>
      <c r="J5066" s="135" t="n">
        <f aca="false">$G5066*'Analyse capacite'!$D$7</f>
        <v>0</v>
      </c>
      <c r="K5066" s="135" t="n">
        <f aca="false">$G5066*'Analyse capacite'!$E$7</f>
        <v>0</v>
      </c>
    </row>
    <row r="5067" customFormat="false" ht="15" hidden="false" customHeight="false" outlineLevel="0" collapsed="false">
      <c r="B5067" s="130" t="n">
        <v>2027</v>
      </c>
      <c r="C5067" s="131" t="s">
        <v>250</v>
      </c>
      <c r="D5067" s="132" t="n">
        <v>46618</v>
      </c>
      <c r="E5067" s="131" t="s">
        <v>49</v>
      </c>
      <c r="F5067" s="133" t="s">
        <v>19</v>
      </c>
      <c r="G5067" s="134" t="n">
        <f aca="false">LEN('Saisie programme'!$G$191)+SUMIFS('Vols additionnels'!$E$7:$E$66,'Vols additionnels'!$C$7:$C$66,$E5067,'Vols additionnels'!$D$7:$D$66,$F5067,'Vols additionnels'!$B$7:$B$66,$D5067)</f>
        <v>0</v>
      </c>
      <c r="H5067" s="135" t="n">
        <f aca="false">$G5067*'Analyse capacite'!$F$8</f>
        <v>0</v>
      </c>
      <c r="I5067" s="135" t="n">
        <f aca="false">$G5067*'Analyse capacite'!$C$8</f>
        <v>0</v>
      </c>
      <c r="J5067" s="135" t="n">
        <f aca="false">$G5067*'Analyse capacite'!$D$8</f>
        <v>0</v>
      </c>
      <c r="K5067" s="135" t="n">
        <f aca="false">$G5067*'Analyse capacite'!$E$8</f>
        <v>0</v>
      </c>
    </row>
    <row r="5068" customFormat="false" ht="15" hidden="false" customHeight="false" outlineLevel="0" collapsed="false">
      <c r="B5068" s="130" t="n">
        <v>2027</v>
      </c>
      <c r="C5068" s="131" t="s">
        <v>250</v>
      </c>
      <c r="D5068" s="132" t="n">
        <v>46618</v>
      </c>
      <c r="E5068" s="131" t="s">
        <v>49</v>
      </c>
      <c r="F5068" s="133" t="s">
        <v>24</v>
      </c>
      <c r="G5068" s="134" t="n">
        <f aca="false">LEN('Saisie programme'!$G$192)+SUMIFS('Vols additionnels'!$E$7:$E$66,'Vols additionnels'!$C$7:$C$66,$E5068,'Vols additionnels'!$D$7:$D$66,$F5068,'Vols additionnels'!$B$7:$B$66,$D5068)</f>
        <v>0</v>
      </c>
      <c r="H5068" s="135" t="n">
        <f aca="false">$G5068*'Analyse capacite'!$F$9</f>
        <v>0</v>
      </c>
      <c r="I5068" s="135" t="n">
        <f aca="false">$G5068*'Analyse capacite'!$C$9</f>
        <v>0</v>
      </c>
      <c r="J5068" s="135" t="n">
        <f aca="false">$G5068*'Analyse capacite'!$D$9</f>
        <v>0</v>
      </c>
      <c r="K5068" s="135" t="n">
        <f aca="false">$G5068*'Analyse capacite'!$E$9</f>
        <v>0</v>
      </c>
    </row>
    <row r="5069" customFormat="false" ht="15" hidden="false" customHeight="false" outlineLevel="0" collapsed="false">
      <c r="B5069" s="130" t="n">
        <v>2027</v>
      </c>
      <c r="C5069" s="131" t="s">
        <v>250</v>
      </c>
      <c r="D5069" s="132" t="n">
        <v>46618</v>
      </c>
      <c r="E5069" s="131" t="s">
        <v>53</v>
      </c>
      <c r="F5069" s="133" t="s">
        <v>11</v>
      </c>
      <c r="G5069" s="134" t="n">
        <f aca="false">LEN('Saisie programme'!$G$193)+SUMIFS('Vols additionnels'!$E$7:$E$66,'Vols additionnels'!$C$7:$C$66,$E5069,'Vols additionnels'!$D$7:$D$66,$F5069,'Vols additionnels'!$B$7:$B$66,$D5069)</f>
        <v>0</v>
      </c>
      <c r="H5069" s="135" t="n">
        <f aca="false">$G5069*'Analyse capacite'!$F$7</f>
        <v>0</v>
      </c>
      <c r="I5069" s="135" t="n">
        <f aca="false">$G5069*'Analyse capacite'!$C$7</f>
        <v>0</v>
      </c>
      <c r="J5069" s="135" t="n">
        <f aca="false">$G5069*'Analyse capacite'!$D$7</f>
        <v>0</v>
      </c>
      <c r="K5069" s="135" t="n">
        <f aca="false">$G5069*'Analyse capacite'!$E$7</f>
        <v>0</v>
      </c>
    </row>
    <row r="5070" customFormat="false" ht="15" hidden="false" customHeight="false" outlineLevel="0" collapsed="false">
      <c r="B5070" s="130" t="n">
        <v>2027</v>
      </c>
      <c r="C5070" s="131" t="s">
        <v>250</v>
      </c>
      <c r="D5070" s="132" t="n">
        <v>46618</v>
      </c>
      <c r="E5070" s="131" t="s">
        <v>53</v>
      </c>
      <c r="F5070" s="133" t="s">
        <v>19</v>
      </c>
      <c r="G5070" s="134" t="n">
        <f aca="false">LEN('Saisie programme'!$G$194)+SUMIFS('Vols additionnels'!$E$7:$E$66,'Vols additionnels'!$C$7:$C$66,$E5070,'Vols additionnels'!$D$7:$D$66,$F5070,'Vols additionnels'!$B$7:$B$66,$D5070)</f>
        <v>1</v>
      </c>
      <c r="H5070" s="135" t="n">
        <f aca="false">$G5070*'Analyse capacite'!$F$8</f>
        <v>262</v>
      </c>
      <c r="I5070" s="135" t="n">
        <f aca="false">$G5070*'Analyse capacite'!$C$8</f>
        <v>18</v>
      </c>
      <c r="J5070" s="135" t="n">
        <f aca="false">$G5070*'Analyse capacite'!$D$8</f>
        <v>0</v>
      </c>
      <c r="K5070" s="135" t="n">
        <f aca="false">$G5070*'Analyse capacite'!$E$8</f>
        <v>244</v>
      </c>
    </row>
    <row r="5071" customFormat="false" ht="15" hidden="false" customHeight="false" outlineLevel="0" collapsed="false">
      <c r="B5071" s="130" t="n">
        <v>2027</v>
      </c>
      <c r="C5071" s="131" t="s">
        <v>250</v>
      </c>
      <c r="D5071" s="132" t="n">
        <v>46618</v>
      </c>
      <c r="E5071" s="131" t="s">
        <v>53</v>
      </c>
      <c r="F5071" s="133" t="s">
        <v>24</v>
      </c>
      <c r="G5071" s="134" t="n">
        <f aca="false">LEN('Saisie programme'!$G$195)+SUMIFS('Vols additionnels'!$E$7:$E$66,'Vols additionnels'!$C$7:$C$66,$E5071,'Vols additionnels'!$D$7:$D$66,$F5071,'Vols additionnels'!$B$7:$B$66,$D5071)</f>
        <v>0</v>
      </c>
      <c r="H5071" s="135" t="n">
        <f aca="false">$G5071*'Analyse capacite'!$F$9</f>
        <v>0</v>
      </c>
      <c r="I5071" s="135" t="n">
        <f aca="false">$G5071*'Analyse capacite'!$C$9</f>
        <v>0</v>
      </c>
      <c r="J5071" s="135" t="n">
        <f aca="false">$G5071*'Analyse capacite'!$D$9</f>
        <v>0</v>
      </c>
      <c r="K5071" s="135" t="n">
        <f aca="false">$G5071*'Analyse capacite'!$E$9</f>
        <v>0</v>
      </c>
    </row>
    <row r="5072" customFormat="false" ht="15" hidden="false" customHeight="false" outlineLevel="0" collapsed="false">
      <c r="B5072" s="130" t="n">
        <v>2027</v>
      </c>
      <c r="C5072" s="131" t="s">
        <v>250</v>
      </c>
      <c r="D5072" s="132" t="n">
        <v>46618</v>
      </c>
      <c r="E5072" s="131" t="s">
        <v>56</v>
      </c>
      <c r="F5072" s="133" t="s">
        <v>11</v>
      </c>
      <c r="G5072" s="134" t="n">
        <f aca="false">LEN('Saisie programme'!$G$196)+SUMIFS('Vols additionnels'!$E$7:$E$66,'Vols additionnels'!$C$7:$C$66,$E5072,'Vols additionnels'!$D$7:$D$66,$F5072,'Vols additionnels'!$B$7:$B$66,$D5072)</f>
        <v>0</v>
      </c>
      <c r="H5072" s="135" t="n">
        <f aca="false">$G5072*'Analyse capacite'!$F$7</f>
        <v>0</v>
      </c>
      <c r="I5072" s="135" t="n">
        <f aca="false">$G5072*'Analyse capacite'!$C$7</f>
        <v>0</v>
      </c>
      <c r="J5072" s="135" t="n">
        <f aca="false">$G5072*'Analyse capacite'!$D$7</f>
        <v>0</v>
      </c>
      <c r="K5072" s="135" t="n">
        <f aca="false">$G5072*'Analyse capacite'!$E$7</f>
        <v>0</v>
      </c>
    </row>
    <row r="5073" customFormat="false" ht="15" hidden="false" customHeight="false" outlineLevel="0" collapsed="false">
      <c r="B5073" s="130" t="n">
        <v>2027</v>
      </c>
      <c r="C5073" s="131" t="s">
        <v>250</v>
      </c>
      <c r="D5073" s="132" t="n">
        <v>46618</v>
      </c>
      <c r="E5073" s="131" t="s">
        <v>56</v>
      </c>
      <c r="F5073" s="133" t="s">
        <v>19</v>
      </c>
      <c r="G5073" s="134" t="n">
        <f aca="false">LEN('Saisie programme'!$G$197)+SUMIFS('Vols additionnels'!$E$7:$E$66,'Vols additionnels'!$C$7:$C$66,$E5073,'Vols additionnels'!$D$7:$D$66,$F5073,'Vols additionnels'!$B$7:$B$66,$D5073)</f>
        <v>0</v>
      </c>
      <c r="H5073" s="135" t="n">
        <f aca="false">$G5073*'Analyse capacite'!$F$8</f>
        <v>0</v>
      </c>
      <c r="I5073" s="135" t="n">
        <f aca="false">$G5073*'Analyse capacite'!$C$8</f>
        <v>0</v>
      </c>
      <c r="J5073" s="135" t="n">
        <f aca="false">$G5073*'Analyse capacite'!$D$8</f>
        <v>0</v>
      </c>
      <c r="K5073" s="135" t="n">
        <f aca="false">$G5073*'Analyse capacite'!$E$8</f>
        <v>0</v>
      </c>
    </row>
    <row r="5074" customFormat="false" ht="15" hidden="false" customHeight="false" outlineLevel="0" collapsed="false">
      <c r="B5074" s="130" t="n">
        <v>2027</v>
      </c>
      <c r="C5074" s="131" t="s">
        <v>250</v>
      </c>
      <c r="D5074" s="132" t="n">
        <v>46618</v>
      </c>
      <c r="E5074" s="131" t="s">
        <v>56</v>
      </c>
      <c r="F5074" s="133" t="s">
        <v>24</v>
      </c>
      <c r="G5074" s="134" t="n">
        <f aca="false">LEN('Saisie programme'!$G$198)+SUMIFS('Vols additionnels'!$E$7:$E$66,'Vols additionnels'!$C$7:$C$66,$E5074,'Vols additionnels'!$D$7:$D$66,$F5074,'Vols additionnels'!$B$7:$B$66,$D5074)</f>
        <v>0</v>
      </c>
      <c r="H5074" s="135" t="n">
        <f aca="false">$G5074*'Analyse capacite'!$F$9</f>
        <v>0</v>
      </c>
      <c r="I5074" s="135" t="n">
        <f aca="false">$G5074*'Analyse capacite'!$C$9</f>
        <v>0</v>
      </c>
      <c r="J5074" s="135" t="n">
        <f aca="false">$G5074*'Analyse capacite'!$D$9</f>
        <v>0</v>
      </c>
      <c r="K5074" s="135" t="n">
        <f aca="false">$G5074*'Analyse capacite'!$E$9</f>
        <v>0</v>
      </c>
    </row>
    <row r="5075" customFormat="false" ht="15" hidden="false" customHeight="false" outlineLevel="0" collapsed="false">
      <c r="B5075" s="130" t="n">
        <v>2027</v>
      </c>
      <c r="C5075" s="131" t="s">
        <v>250</v>
      </c>
      <c r="D5075" s="132" t="n">
        <v>46618</v>
      </c>
      <c r="E5075" s="131" t="s">
        <v>59</v>
      </c>
      <c r="F5075" s="133" t="s">
        <v>11</v>
      </c>
      <c r="G5075" s="134" t="n">
        <f aca="false">LEN('Saisie programme'!$G$199)+SUMIFS('Vols additionnels'!$E$7:$E$66,'Vols additionnels'!$C$7:$C$66,$E5075,'Vols additionnels'!$D$7:$D$66,$F5075,'Vols additionnels'!$B$7:$B$66,$D5075)</f>
        <v>0</v>
      </c>
      <c r="H5075" s="135" t="n">
        <f aca="false">$G5075*'Analyse capacite'!$F$7</f>
        <v>0</v>
      </c>
      <c r="I5075" s="135" t="n">
        <f aca="false">$G5075*'Analyse capacite'!$C$7</f>
        <v>0</v>
      </c>
      <c r="J5075" s="135" t="n">
        <f aca="false">$G5075*'Analyse capacite'!$D$7</f>
        <v>0</v>
      </c>
      <c r="K5075" s="135" t="n">
        <f aca="false">$G5075*'Analyse capacite'!$E$7</f>
        <v>0</v>
      </c>
    </row>
    <row r="5076" customFormat="false" ht="15" hidden="false" customHeight="false" outlineLevel="0" collapsed="false">
      <c r="B5076" s="130" t="n">
        <v>2027</v>
      </c>
      <c r="C5076" s="131" t="s">
        <v>250</v>
      </c>
      <c r="D5076" s="132" t="n">
        <v>46618</v>
      </c>
      <c r="E5076" s="131" t="s">
        <v>59</v>
      </c>
      <c r="F5076" s="133" t="s">
        <v>19</v>
      </c>
      <c r="G5076" s="134" t="n">
        <f aca="false">LEN('Saisie programme'!$G$200)+SUMIFS('Vols additionnels'!$E$7:$E$66,'Vols additionnels'!$C$7:$C$66,$E5076,'Vols additionnels'!$D$7:$D$66,$F5076,'Vols additionnels'!$B$7:$B$66,$D5076)</f>
        <v>0</v>
      </c>
      <c r="H5076" s="135" t="n">
        <f aca="false">$G5076*'Analyse capacite'!$F$8</f>
        <v>0</v>
      </c>
      <c r="I5076" s="135" t="n">
        <f aca="false">$G5076*'Analyse capacite'!$C$8</f>
        <v>0</v>
      </c>
      <c r="J5076" s="135" t="n">
        <f aca="false">$G5076*'Analyse capacite'!$D$8</f>
        <v>0</v>
      </c>
      <c r="K5076" s="135" t="n">
        <f aca="false">$G5076*'Analyse capacite'!$E$8</f>
        <v>0</v>
      </c>
    </row>
    <row r="5077" customFormat="false" ht="15" hidden="false" customHeight="false" outlineLevel="0" collapsed="false">
      <c r="B5077" s="130" t="n">
        <v>2027</v>
      </c>
      <c r="C5077" s="131" t="s">
        <v>250</v>
      </c>
      <c r="D5077" s="132" t="n">
        <v>46618</v>
      </c>
      <c r="E5077" s="131" t="s">
        <v>59</v>
      </c>
      <c r="F5077" s="133" t="s">
        <v>24</v>
      </c>
      <c r="G5077" s="134" t="n">
        <f aca="false">LEN('Saisie programme'!$G$201)+SUMIFS('Vols additionnels'!$E$7:$E$66,'Vols additionnels'!$C$7:$C$66,$E5077,'Vols additionnels'!$D$7:$D$66,$F5077,'Vols additionnels'!$B$7:$B$66,$D5077)</f>
        <v>2</v>
      </c>
      <c r="H5077" s="135" t="n">
        <f aca="false">$G5077*'Analyse capacite'!$F$9</f>
        <v>348</v>
      </c>
      <c r="I5077" s="135" t="n">
        <f aca="false">$G5077*'Analyse capacite'!$C$9</f>
        <v>0</v>
      </c>
      <c r="J5077" s="135" t="n">
        <f aca="false">$G5077*'Analyse capacite'!$D$9</f>
        <v>24</v>
      </c>
      <c r="K5077" s="135" t="n">
        <f aca="false">$G5077*'Analyse capacite'!$E$9</f>
        <v>324</v>
      </c>
    </row>
    <row r="5078" customFormat="false" ht="15" hidden="false" customHeight="false" outlineLevel="0" collapsed="false">
      <c r="B5078" s="130" t="n">
        <v>2027</v>
      </c>
      <c r="C5078" s="131" t="s">
        <v>250</v>
      </c>
      <c r="D5078" s="132" t="n">
        <v>46618</v>
      </c>
      <c r="E5078" s="131" t="s">
        <v>62</v>
      </c>
      <c r="F5078" s="133" t="s">
        <v>11</v>
      </c>
      <c r="G5078" s="134" t="n">
        <f aca="false">LEN('Saisie programme'!$G$202)+SUMIFS('Vols additionnels'!$E$7:$E$66,'Vols additionnels'!$C$7:$C$66,$E5078,'Vols additionnels'!$D$7:$D$66,$F5078,'Vols additionnels'!$B$7:$B$66,$D5078)</f>
        <v>0</v>
      </c>
      <c r="H5078" s="135" t="n">
        <f aca="false">$G5078*'Analyse capacite'!$F$7</f>
        <v>0</v>
      </c>
      <c r="I5078" s="135" t="n">
        <f aca="false">$G5078*'Analyse capacite'!$C$7</f>
        <v>0</v>
      </c>
      <c r="J5078" s="135" t="n">
        <f aca="false">$G5078*'Analyse capacite'!$D$7</f>
        <v>0</v>
      </c>
      <c r="K5078" s="135" t="n">
        <f aca="false">$G5078*'Analyse capacite'!$E$7</f>
        <v>0</v>
      </c>
    </row>
    <row r="5079" customFormat="false" ht="15" hidden="false" customHeight="false" outlineLevel="0" collapsed="false">
      <c r="B5079" s="130" t="n">
        <v>2027</v>
      </c>
      <c r="C5079" s="131" t="s">
        <v>250</v>
      </c>
      <c r="D5079" s="132" t="n">
        <v>46618</v>
      </c>
      <c r="E5079" s="131" t="s">
        <v>62</v>
      </c>
      <c r="F5079" s="133" t="s">
        <v>19</v>
      </c>
      <c r="G5079" s="134" t="n">
        <f aca="false">LEN('Saisie programme'!$G$203)+SUMIFS('Vols additionnels'!$E$7:$E$66,'Vols additionnels'!$C$7:$C$66,$E5079,'Vols additionnels'!$D$7:$D$66,$F5079,'Vols additionnels'!$B$7:$B$66,$D5079)</f>
        <v>0</v>
      </c>
      <c r="H5079" s="135" t="n">
        <f aca="false">$G5079*'Analyse capacite'!$F$8</f>
        <v>0</v>
      </c>
      <c r="I5079" s="135" t="n">
        <f aca="false">$G5079*'Analyse capacite'!$C$8</f>
        <v>0</v>
      </c>
      <c r="J5079" s="135" t="n">
        <f aca="false">$G5079*'Analyse capacite'!$D$8</f>
        <v>0</v>
      </c>
      <c r="K5079" s="135" t="n">
        <f aca="false">$G5079*'Analyse capacite'!$E$8</f>
        <v>0</v>
      </c>
    </row>
    <row r="5080" customFormat="false" ht="15" hidden="false" customHeight="false" outlineLevel="0" collapsed="false">
      <c r="B5080" s="130" t="n">
        <v>2027</v>
      </c>
      <c r="C5080" s="131" t="s">
        <v>250</v>
      </c>
      <c r="D5080" s="132" t="n">
        <v>46618</v>
      </c>
      <c r="E5080" s="131" t="s">
        <v>62</v>
      </c>
      <c r="F5080" s="133" t="s">
        <v>24</v>
      </c>
      <c r="G5080" s="134" t="n">
        <f aca="false">LEN('Saisie programme'!$G$204)+SUMIFS('Vols additionnels'!$E$7:$E$66,'Vols additionnels'!$C$7:$C$66,$E5080,'Vols additionnels'!$D$7:$D$66,$F5080,'Vols additionnels'!$B$7:$B$66,$D5080)</f>
        <v>0</v>
      </c>
      <c r="H5080" s="135" t="n">
        <f aca="false">$G5080*'Analyse capacite'!$F$9</f>
        <v>0</v>
      </c>
      <c r="I5080" s="135" t="n">
        <f aca="false">$G5080*'Analyse capacite'!$C$9</f>
        <v>0</v>
      </c>
      <c r="J5080" s="135" t="n">
        <f aca="false">$G5080*'Analyse capacite'!$D$9</f>
        <v>0</v>
      </c>
      <c r="K5080" s="135" t="n">
        <f aca="false">$G5080*'Analyse capacite'!$E$9</f>
        <v>0</v>
      </c>
    </row>
    <row r="5081" customFormat="false" ht="15" hidden="false" customHeight="false" outlineLevel="0" collapsed="false">
      <c r="B5081" s="130" t="n">
        <v>2027</v>
      </c>
      <c r="C5081" s="131" t="s">
        <v>250</v>
      </c>
      <c r="D5081" s="132" t="n">
        <v>46619</v>
      </c>
      <c r="E5081" s="131" t="s">
        <v>12</v>
      </c>
      <c r="F5081" s="133" t="s">
        <v>11</v>
      </c>
      <c r="G5081" s="134" t="n">
        <f aca="false">LEN('Saisie programme'!$H$169)+SUMIFS('Vols additionnels'!$E$7:$E$66,'Vols additionnels'!$C$7:$C$66,$E5081,'Vols additionnels'!$D$7:$D$66,$F5081,'Vols additionnels'!$B$7:$B$66,$D5081)</f>
        <v>1</v>
      </c>
      <c r="H5081" s="135" t="n">
        <f aca="false">$G5081*'Analyse capacite'!$F$7</f>
        <v>438</v>
      </c>
      <c r="I5081" s="135" t="n">
        <f aca="false">$G5081*'Analyse capacite'!$C$7</f>
        <v>14</v>
      </c>
      <c r="J5081" s="135" t="n">
        <f aca="false">$G5081*'Analyse capacite'!$D$7</f>
        <v>40</v>
      </c>
      <c r="K5081" s="135" t="n">
        <f aca="false">$G5081*'Analyse capacite'!$E$7</f>
        <v>384</v>
      </c>
    </row>
    <row r="5082" customFormat="false" ht="15" hidden="false" customHeight="false" outlineLevel="0" collapsed="false">
      <c r="B5082" s="130" t="n">
        <v>2027</v>
      </c>
      <c r="C5082" s="131" t="s">
        <v>250</v>
      </c>
      <c r="D5082" s="132" t="n">
        <v>46619</v>
      </c>
      <c r="E5082" s="131" t="s">
        <v>12</v>
      </c>
      <c r="F5082" s="133" t="s">
        <v>19</v>
      </c>
      <c r="G5082" s="134" t="n">
        <f aca="false">LEN('Saisie programme'!$H$170)+SUMIFS('Vols additionnels'!$E$7:$E$66,'Vols additionnels'!$C$7:$C$66,$E5082,'Vols additionnels'!$D$7:$D$66,$F5082,'Vols additionnels'!$B$7:$B$66,$D5082)</f>
        <v>1</v>
      </c>
      <c r="H5082" s="135" t="n">
        <f aca="false">$G5082*'Analyse capacite'!$F$8</f>
        <v>262</v>
      </c>
      <c r="I5082" s="135" t="n">
        <f aca="false">$G5082*'Analyse capacite'!$C$8</f>
        <v>18</v>
      </c>
      <c r="J5082" s="135" t="n">
        <f aca="false">$G5082*'Analyse capacite'!$D$8</f>
        <v>0</v>
      </c>
      <c r="K5082" s="135" t="n">
        <f aca="false">$G5082*'Analyse capacite'!$E$8</f>
        <v>244</v>
      </c>
    </row>
    <row r="5083" customFormat="false" ht="15" hidden="false" customHeight="false" outlineLevel="0" collapsed="false">
      <c r="B5083" s="130" t="n">
        <v>2027</v>
      </c>
      <c r="C5083" s="131" t="s">
        <v>250</v>
      </c>
      <c r="D5083" s="132" t="n">
        <v>46619</v>
      </c>
      <c r="E5083" s="131" t="s">
        <v>12</v>
      </c>
      <c r="F5083" s="133" t="s">
        <v>24</v>
      </c>
      <c r="G5083" s="134" t="n">
        <f aca="false">LEN('Saisie programme'!$H$171)+SUMIFS('Vols additionnels'!$E$7:$E$66,'Vols additionnels'!$C$7:$C$66,$E5083,'Vols additionnels'!$D$7:$D$66,$F5083,'Vols additionnels'!$B$7:$B$66,$D5083)</f>
        <v>0</v>
      </c>
      <c r="H5083" s="135" t="n">
        <f aca="false">$G5083*'Analyse capacite'!$F$9</f>
        <v>0</v>
      </c>
      <c r="I5083" s="135" t="n">
        <f aca="false">$G5083*'Analyse capacite'!$C$9</f>
        <v>0</v>
      </c>
      <c r="J5083" s="135" t="n">
        <f aca="false">$G5083*'Analyse capacite'!$D$9</f>
        <v>0</v>
      </c>
      <c r="K5083" s="135" t="n">
        <f aca="false">$G5083*'Analyse capacite'!$E$9</f>
        <v>0</v>
      </c>
    </row>
    <row r="5084" customFormat="false" ht="15" hidden="false" customHeight="false" outlineLevel="0" collapsed="false">
      <c r="B5084" s="130" t="n">
        <v>2027</v>
      </c>
      <c r="C5084" s="131" t="s">
        <v>250</v>
      </c>
      <c r="D5084" s="132" t="n">
        <v>46619</v>
      </c>
      <c r="E5084" s="131" t="s">
        <v>20</v>
      </c>
      <c r="F5084" s="133" t="s">
        <v>11</v>
      </c>
      <c r="G5084" s="134" t="n">
        <f aca="false">LEN('Saisie programme'!$H$172)+SUMIFS('Vols additionnels'!$E$7:$E$66,'Vols additionnels'!$C$7:$C$66,$E5084,'Vols additionnels'!$D$7:$D$66,$F5084,'Vols additionnels'!$B$7:$B$66,$D5084)</f>
        <v>0</v>
      </c>
      <c r="H5084" s="135" t="n">
        <f aca="false">$G5084*'Analyse capacite'!$F$7</f>
        <v>0</v>
      </c>
      <c r="I5084" s="135" t="n">
        <f aca="false">$G5084*'Analyse capacite'!$C$7</f>
        <v>0</v>
      </c>
      <c r="J5084" s="135" t="n">
        <f aca="false">$G5084*'Analyse capacite'!$D$7</f>
        <v>0</v>
      </c>
      <c r="K5084" s="135" t="n">
        <f aca="false">$G5084*'Analyse capacite'!$E$7</f>
        <v>0</v>
      </c>
    </row>
    <row r="5085" customFormat="false" ht="15" hidden="false" customHeight="false" outlineLevel="0" collapsed="false">
      <c r="B5085" s="130" t="n">
        <v>2027</v>
      </c>
      <c r="C5085" s="131" t="s">
        <v>250</v>
      </c>
      <c r="D5085" s="132" t="n">
        <v>46619</v>
      </c>
      <c r="E5085" s="131" t="s">
        <v>20</v>
      </c>
      <c r="F5085" s="133" t="s">
        <v>19</v>
      </c>
      <c r="G5085" s="134" t="n">
        <f aca="false">LEN('Saisie programme'!$H$173)+SUMIFS('Vols additionnels'!$E$7:$E$66,'Vols additionnels'!$C$7:$C$66,$E5085,'Vols additionnels'!$D$7:$D$66,$F5085,'Vols additionnels'!$B$7:$B$66,$D5085)</f>
        <v>1</v>
      </c>
      <c r="H5085" s="135" t="n">
        <f aca="false">$G5085*'Analyse capacite'!$F$8</f>
        <v>262</v>
      </c>
      <c r="I5085" s="135" t="n">
        <f aca="false">$G5085*'Analyse capacite'!$C$8</f>
        <v>18</v>
      </c>
      <c r="J5085" s="135" t="n">
        <f aca="false">$G5085*'Analyse capacite'!$D$8</f>
        <v>0</v>
      </c>
      <c r="K5085" s="135" t="n">
        <f aca="false">$G5085*'Analyse capacite'!$E$8</f>
        <v>244</v>
      </c>
    </row>
    <row r="5086" customFormat="false" ht="15" hidden="false" customHeight="false" outlineLevel="0" collapsed="false">
      <c r="B5086" s="130" t="n">
        <v>2027</v>
      </c>
      <c r="C5086" s="131" t="s">
        <v>250</v>
      </c>
      <c r="D5086" s="132" t="n">
        <v>46619</v>
      </c>
      <c r="E5086" s="131" t="s">
        <v>20</v>
      </c>
      <c r="F5086" s="133" t="s">
        <v>24</v>
      </c>
      <c r="G5086" s="134" t="n">
        <f aca="false">LEN('Saisie programme'!$H$174)+SUMIFS('Vols additionnels'!$E$7:$E$66,'Vols additionnels'!$C$7:$C$66,$E5086,'Vols additionnels'!$D$7:$D$66,$F5086,'Vols additionnels'!$B$7:$B$66,$D5086)</f>
        <v>0</v>
      </c>
      <c r="H5086" s="135" t="n">
        <f aca="false">$G5086*'Analyse capacite'!$F$9</f>
        <v>0</v>
      </c>
      <c r="I5086" s="135" t="n">
        <f aca="false">$G5086*'Analyse capacite'!$C$9</f>
        <v>0</v>
      </c>
      <c r="J5086" s="135" t="n">
        <f aca="false">$G5086*'Analyse capacite'!$D$9</f>
        <v>0</v>
      </c>
      <c r="K5086" s="135" t="n">
        <f aca="false">$G5086*'Analyse capacite'!$E$9</f>
        <v>0</v>
      </c>
    </row>
    <row r="5087" customFormat="false" ht="15" hidden="false" customHeight="false" outlineLevel="0" collapsed="false">
      <c r="B5087" s="130" t="n">
        <v>2027</v>
      </c>
      <c r="C5087" s="131" t="s">
        <v>250</v>
      </c>
      <c r="D5087" s="132" t="n">
        <v>46619</v>
      </c>
      <c r="E5087" s="131" t="s">
        <v>25</v>
      </c>
      <c r="F5087" s="133" t="s">
        <v>11</v>
      </c>
      <c r="G5087" s="134" t="n">
        <f aca="false">LEN('Saisie programme'!$H$175)+SUMIFS('Vols additionnels'!$E$7:$E$66,'Vols additionnels'!$C$7:$C$66,$E5087,'Vols additionnels'!$D$7:$D$66,$F5087,'Vols additionnels'!$B$7:$B$66,$D5087)</f>
        <v>0</v>
      </c>
      <c r="H5087" s="135" t="n">
        <f aca="false">$G5087*'Analyse capacite'!$F$7</f>
        <v>0</v>
      </c>
      <c r="I5087" s="135" t="n">
        <f aca="false">$G5087*'Analyse capacite'!$C$7</f>
        <v>0</v>
      </c>
      <c r="J5087" s="135" t="n">
        <f aca="false">$G5087*'Analyse capacite'!$D$7</f>
        <v>0</v>
      </c>
      <c r="K5087" s="135" t="n">
        <f aca="false">$G5087*'Analyse capacite'!$E$7</f>
        <v>0</v>
      </c>
    </row>
    <row r="5088" customFormat="false" ht="15" hidden="false" customHeight="false" outlineLevel="0" collapsed="false">
      <c r="B5088" s="130" t="n">
        <v>2027</v>
      </c>
      <c r="C5088" s="131" t="s">
        <v>250</v>
      </c>
      <c r="D5088" s="132" t="n">
        <v>46619</v>
      </c>
      <c r="E5088" s="131" t="s">
        <v>25</v>
      </c>
      <c r="F5088" s="133" t="s">
        <v>19</v>
      </c>
      <c r="G5088" s="134" t="n">
        <f aca="false">LEN('Saisie programme'!$H$176)+SUMIFS('Vols additionnels'!$E$7:$E$66,'Vols additionnels'!$C$7:$C$66,$E5088,'Vols additionnels'!$D$7:$D$66,$F5088,'Vols additionnels'!$B$7:$B$66,$D5088)</f>
        <v>0</v>
      </c>
      <c r="H5088" s="135" t="n">
        <f aca="false">$G5088*'Analyse capacite'!$F$8</f>
        <v>0</v>
      </c>
      <c r="I5088" s="135" t="n">
        <f aca="false">$G5088*'Analyse capacite'!$C$8</f>
        <v>0</v>
      </c>
      <c r="J5088" s="135" t="n">
        <f aca="false">$G5088*'Analyse capacite'!$D$8</f>
        <v>0</v>
      </c>
      <c r="K5088" s="135" t="n">
        <f aca="false">$G5088*'Analyse capacite'!$E$8</f>
        <v>0</v>
      </c>
    </row>
    <row r="5089" customFormat="false" ht="15" hidden="false" customHeight="false" outlineLevel="0" collapsed="false">
      <c r="B5089" s="130" t="n">
        <v>2027</v>
      </c>
      <c r="C5089" s="131" t="s">
        <v>250</v>
      </c>
      <c r="D5089" s="132" t="n">
        <v>46619</v>
      </c>
      <c r="E5089" s="131" t="s">
        <v>25</v>
      </c>
      <c r="F5089" s="133" t="s">
        <v>24</v>
      </c>
      <c r="G5089" s="134" t="n">
        <f aca="false">LEN('Saisie programme'!$H$177)+SUMIFS('Vols additionnels'!$E$7:$E$66,'Vols additionnels'!$C$7:$C$66,$E5089,'Vols additionnels'!$D$7:$D$66,$F5089,'Vols additionnels'!$B$7:$B$66,$D5089)</f>
        <v>0</v>
      </c>
      <c r="H5089" s="135" t="n">
        <f aca="false">$G5089*'Analyse capacite'!$F$9</f>
        <v>0</v>
      </c>
      <c r="I5089" s="135" t="n">
        <f aca="false">$G5089*'Analyse capacite'!$C$9</f>
        <v>0</v>
      </c>
      <c r="J5089" s="135" t="n">
        <f aca="false">$G5089*'Analyse capacite'!$D$9</f>
        <v>0</v>
      </c>
      <c r="K5089" s="135" t="n">
        <f aca="false">$G5089*'Analyse capacite'!$E$9</f>
        <v>0</v>
      </c>
    </row>
    <row r="5090" customFormat="false" ht="15" hidden="false" customHeight="false" outlineLevel="0" collapsed="false">
      <c r="B5090" s="130" t="n">
        <v>2027</v>
      </c>
      <c r="C5090" s="131" t="s">
        <v>250</v>
      </c>
      <c r="D5090" s="132" t="n">
        <v>46619</v>
      </c>
      <c r="E5090" s="131" t="s">
        <v>36</v>
      </c>
      <c r="F5090" s="133" t="s">
        <v>11</v>
      </c>
      <c r="G5090" s="134" t="n">
        <f aca="false">LEN('Saisie programme'!$H$178)+SUMIFS('Vols additionnels'!$E$7:$E$66,'Vols additionnels'!$C$7:$C$66,$E5090,'Vols additionnels'!$D$7:$D$66,$F5090,'Vols additionnels'!$B$7:$B$66,$D5090)</f>
        <v>0</v>
      </c>
      <c r="H5090" s="135" t="n">
        <f aca="false">$G5090*'Analyse capacite'!$F$7</f>
        <v>0</v>
      </c>
      <c r="I5090" s="135" t="n">
        <f aca="false">$G5090*'Analyse capacite'!$C$7</f>
        <v>0</v>
      </c>
      <c r="J5090" s="135" t="n">
        <f aca="false">$G5090*'Analyse capacite'!$D$7</f>
        <v>0</v>
      </c>
      <c r="K5090" s="135" t="n">
        <f aca="false">$G5090*'Analyse capacite'!$E$7</f>
        <v>0</v>
      </c>
    </row>
    <row r="5091" customFormat="false" ht="15" hidden="false" customHeight="false" outlineLevel="0" collapsed="false">
      <c r="B5091" s="130" t="n">
        <v>2027</v>
      </c>
      <c r="C5091" s="131" t="s">
        <v>250</v>
      </c>
      <c r="D5091" s="132" t="n">
        <v>46619</v>
      </c>
      <c r="E5091" s="131" t="s">
        <v>36</v>
      </c>
      <c r="F5091" s="133" t="s">
        <v>19</v>
      </c>
      <c r="G5091" s="134" t="n">
        <f aca="false">LEN('Saisie programme'!$H$179)+SUMIFS('Vols additionnels'!$E$7:$E$66,'Vols additionnels'!$C$7:$C$66,$E5091,'Vols additionnels'!$D$7:$D$66,$F5091,'Vols additionnels'!$B$7:$B$66,$D5091)</f>
        <v>0</v>
      </c>
      <c r="H5091" s="135" t="n">
        <f aca="false">$G5091*'Analyse capacite'!$F$8</f>
        <v>0</v>
      </c>
      <c r="I5091" s="135" t="n">
        <f aca="false">$G5091*'Analyse capacite'!$C$8</f>
        <v>0</v>
      </c>
      <c r="J5091" s="135" t="n">
        <f aca="false">$G5091*'Analyse capacite'!$D$8</f>
        <v>0</v>
      </c>
      <c r="K5091" s="135" t="n">
        <f aca="false">$G5091*'Analyse capacite'!$E$8</f>
        <v>0</v>
      </c>
    </row>
    <row r="5092" customFormat="false" ht="15" hidden="false" customHeight="false" outlineLevel="0" collapsed="false">
      <c r="B5092" s="130" t="n">
        <v>2027</v>
      </c>
      <c r="C5092" s="131" t="s">
        <v>250</v>
      </c>
      <c r="D5092" s="132" t="n">
        <v>46619</v>
      </c>
      <c r="E5092" s="131" t="s">
        <v>36</v>
      </c>
      <c r="F5092" s="133" t="s">
        <v>24</v>
      </c>
      <c r="G5092" s="134" t="n">
        <f aca="false">LEN('Saisie programme'!$H$180)+SUMIFS('Vols additionnels'!$E$7:$E$66,'Vols additionnels'!$C$7:$C$66,$E5092,'Vols additionnels'!$D$7:$D$66,$F5092,'Vols additionnels'!$B$7:$B$66,$D5092)</f>
        <v>1</v>
      </c>
      <c r="H5092" s="135" t="n">
        <f aca="false">$G5092*'Analyse capacite'!$F$9</f>
        <v>174</v>
      </c>
      <c r="I5092" s="135" t="n">
        <f aca="false">$G5092*'Analyse capacite'!$C$9</f>
        <v>0</v>
      </c>
      <c r="J5092" s="135" t="n">
        <f aca="false">$G5092*'Analyse capacite'!$D$9</f>
        <v>12</v>
      </c>
      <c r="K5092" s="135" t="n">
        <f aca="false">$G5092*'Analyse capacite'!$E$9</f>
        <v>162</v>
      </c>
    </row>
    <row r="5093" customFormat="false" ht="15" hidden="false" customHeight="false" outlineLevel="0" collapsed="false">
      <c r="B5093" s="130" t="n">
        <v>2027</v>
      </c>
      <c r="C5093" s="131" t="s">
        <v>250</v>
      </c>
      <c r="D5093" s="132" t="n">
        <v>46619</v>
      </c>
      <c r="E5093" s="131" t="s">
        <v>40</v>
      </c>
      <c r="F5093" s="133" t="s">
        <v>11</v>
      </c>
      <c r="G5093" s="134" t="n">
        <f aca="false">LEN('Saisie programme'!$H$181)+SUMIFS('Vols additionnels'!$E$7:$E$66,'Vols additionnels'!$C$7:$C$66,$E5093,'Vols additionnels'!$D$7:$D$66,$F5093,'Vols additionnels'!$B$7:$B$66,$D5093)</f>
        <v>0</v>
      </c>
      <c r="H5093" s="135" t="n">
        <f aca="false">$G5093*'Analyse capacite'!$F$7</f>
        <v>0</v>
      </c>
      <c r="I5093" s="135" t="n">
        <f aca="false">$G5093*'Analyse capacite'!$C$7</f>
        <v>0</v>
      </c>
      <c r="J5093" s="135" t="n">
        <f aca="false">$G5093*'Analyse capacite'!$D$7</f>
        <v>0</v>
      </c>
      <c r="K5093" s="135" t="n">
        <f aca="false">$G5093*'Analyse capacite'!$E$7</f>
        <v>0</v>
      </c>
    </row>
    <row r="5094" customFormat="false" ht="15" hidden="false" customHeight="false" outlineLevel="0" collapsed="false">
      <c r="B5094" s="130" t="n">
        <v>2027</v>
      </c>
      <c r="C5094" s="131" t="s">
        <v>250</v>
      </c>
      <c r="D5094" s="132" t="n">
        <v>46619</v>
      </c>
      <c r="E5094" s="131" t="s">
        <v>40</v>
      </c>
      <c r="F5094" s="133" t="s">
        <v>19</v>
      </c>
      <c r="G5094" s="134" t="n">
        <f aca="false">LEN('Saisie programme'!$H$182)+SUMIFS('Vols additionnels'!$E$7:$E$66,'Vols additionnels'!$C$7:$C$66,$E5094,'Vols additionnels'!$D$7:$D$66,$F5094,'Vols additionnels'!$B$7:$B$66,$D5094)</f>
        <v>0</v>
      </c>
      <c r="H5094" s="135" t="n">
        <f aca="false">$G5094*'Analyse capacite'!$F$8</f>
        <v>0</v>
      </c>
      <c r="I5094" s="135" t="n">
        <f aca="false">$G5094*'Analyse capacite'!$C$8</f>
        <v>0</v>
      </c>
      <c r="J5094" s="135" t="n">
        <f aca="false">$G5094*'Analyse capacite'!$D$8</f>
        <v>0</v>
      </c>
      <c r="K5094" s="135" t="n">
        <f aca="false">$G5094*'Analyse capacite'!$E$8</f>
        <v>0</v>
      </c>
    </row>
    <row r="5095" customFormat="false" ht="15" hidden="false" customHeight="false" outlineLevel="0" collapsed="false">
      <c r="B5095" s="130" t="n">
        <v>2027</v>
      </c>
      <c r="C5095" s="131" t="s">
        <v>250</v>
      </c>
      <c r="D5095" s="132" t="n">
        <v>46619</v>
      </c>
      <c r="E5095" s="131" t="s">
        <v>40</v>
      </c>
      <c r="F5095" s="133" t="s">
        <v>24</v>
      </c>
      <c r="G5095" s="134" t="n">
        <f aca="false">LEN('Saisie programme'!$H$183)+SUMIFS('Vols additionnels'!$E$7:$E$66,'Vols additionnels'!$C$7:$C$66,$E5095,'Vols additionnels'!$D$7:$D$66,$F5095,'Vols additionnels'!$B$7:$B$66,$D5095)</f>
        <v>1</v>
      </c>
      <c r="H5095" s="135" t="n">
        <f aca="false">$G5095*'Analyse capacite'!$F$9</f>
        <v>174</v>
      </c>
      <c r="I5095" s="135" t="n">
        <f aca="false">$G5095*'Analyse capacite'!$C$9</f>
        <v>0</v>
      </c>
      <c r="J5095" s="135" t="n">
        <f aca="false">$G5095*'Analyse capacite'!$D$9</f>
        <v>12</v>
      </c>
      <c r="K5095" s="135" t="n">
        <f aca="false">$G5095*'Analyse capacite'!$E$9</f>
        <v>162</v>
      </c>
    </row>
    <row r="5096" customFormat="false" ht="15" hidden="false" customHeight="false" outlineLevel="0" collapsed="false">
      <c r="B5096" s="130" t="n">
        <v>2027</v>
      </c>
      <c r="C5096" s="131" t="s">
        <v>250</v>
      </c>
      <c r="D5096" s="132" t="n">
        <v>46619</v>
      </c>
      <c r="E5096" s="131" t="s">
        <v>14</v>
      </c>
      <c r="F5096" s="133" t="s">
        <v>11</v>
      </c>
      <c r="G5096" s="134" t="n">
        <f aca="false">LEN('Saisie programme'!$H$184)+SUMIFS('Vols additionnels'!$E$7:$E$66,'Vols additionnels'!$C$7:$C$66,$E5096,'Vols additionnels'!$D$7:$D$66,$F5096,'Vols additionnels'!$B$7:$B$66,$D5096)</f>
        <v>0</v>
      </c>
      <c r="H5096" s="135" t="n">
        <f aca="false">$G5096*'Analyse capacite'!$F$7</f>
        <v>0</v>
      </c>
      <c r="I5096" s="135" t="n">
        <f aca="false">$G5096*'Analyse capacite'!$C$7</f>
        <v>0</v>
      </c>
      <c r="J5096" s="135" t="n">
        <f aca="false">$G5096*'Analyse capacite'!$D$7</f>
        <v>0</v>
      </c>
      <c r="K5096" s="135" t="n">
        <f aca="false">$G5096*'Analyse capacite'!$E$7</f>
        <v>0</v>
      </c>
    </row>
    <row r="5097" customFormat="false" ht="15" hidden="false" customHeight="false" outlineLevel="0" collapsed="false">
      <c r="B5097" s="130" t="n">
        <v>2027</v>
      </c>
      <c r="C5097" s="131" t="s">
        <v>250</v>
      </c>
      <c r="D5097" s="132" t="n">
        <v>46619</v>
      </c>
      <c r="E5097" s="131" t="s">
        <v>14</v>
      </c>
      <c r="F5097" s="133" t="s">
        <v>19</v>
      </c>
      <c r="G5097" s="134" t="n">
        <f aca="false">LEN('Saisie programme'!$H$185)+SUMIFS('Vols additionnels'!$E$7:$E$66,'Vols additionnels'!$C$7:$C$66,$E5097,'Vols additionnels'!$D$7:$D$66,$F5097,'Vols additionnels'!$B$7:$B$66,$D5097)</f>
        <v>0</v>
      </c>
      <c r="H5097" s="135" t="n">
        <f aca="false">$G5097*'Analyse capacite'!$F$8</f>
        <v>0</v>
      </c>
      <c r="I5097" s="135" t="n">
        <f aca="false">$G5097*'Analyse capacite'!$C$8</f>
        <v>0</v>
      </c>
      <c r="J5097" s="135" t="n">
        <f aca="false">$G5097*'Analyse capacite'!$D$8</f>
        <v>0</v>
      </c>
      <c r="K5097" s="135" t="n">
        <f aca="false">$G5097*'Analyse capacite'!$E$8</f>
        <v>0</v>
      </c>
    </row>
    <row r="5098" customFormat="false" ht="15" hidden="false" customHeight="false" outlineLevel="0" collapsed="false">
      <c r="B5098" s="130" t="n">
        <v>2027</v>
      </c>
      <c r="C5098" s="131" t="s">
        <v>250</v>
      </c>
      <c r="D5098" s="132" t="n">
        <v>46619</v>
      </c>
      <c r="E5098" s="131" t="s">
        <v>14</v>
      </c>
      <c r="F5098" s="133" t="s">
        <v>24</v>
      </c>
      <c r="G5098" s="134" t="n">
        <f aca="false">LEN('Saisie programme'!$H$186)+SUMIFS('Vols additionnels'!$E$7:$E$66,'Vols additionnels'!$C$7:$C$66,$E5098,'Vols additionnels'!$D$7:$D$66,$F5098,'Vols additionnels'!$B$7:$B$66,$D5098)</f>
        <v>0</v>
      </c>
      <c r="H5098" s="135" t="n">
        <f aca="false">$G5098*'Analyse capacite'!$F$9</f>
        <v>0</v>
      </c>
      <c r="I5098" s="135" t="n">
        <f aca="false">$G5098*'Analyse capacite'!$C$9</f>
        <v>0</v>
      </c>
      <c r="J5098" s="135" t="n">
        <f aca="false">$G5098*'Analyse capacite'!$D$9</f>
        <v>0</v>
      </c>
      <c r="K5098" s="135" t="n">
        <f aca="false">$G5098*'Analyse capacite'!$E$9</f>
        <v>0</v>
      </c>
    </row>
    <row r="5099" customFormat="false" ht="15" hidden="false" customHeight="false" outlineLevel="0" collapsed="false">
      <c r="B5099" s="130" t="n">
        <v>2027</v>
      </c>
      <c r="C5099" s="131" t="s">
        <v>250</v>
      </c>
      <c r="D5099" s="132" t="n">
        <v>46619</v>
      </c>
      <c r="E5099" s="131" t="s">
        <v>46</v>
      </c>
      <c r="F5099" s="133" t="s">
        <v>11</v>
      </c>
      <c r="G5099" s="134" t="n">
        <f aca="false">LEN('Saisie programme'!$H$187)+SUMIFS('Vols additionnels'!$E$7:$E$66,'Vols additionnels'!$C$7:$C$66,$E5099,'Vols additionnels'!$D$7:$D$66,$F5099,'Vols additionnels'!$B$7:$B$66,$D5099)</f>
        <v>0</v>
      </c>
      <c r="H5099" s="135" t="n">
        <f aca="false">$G5099*'Analyse capacite'!$F$7</f>
        <v>0</v>
      </c>
      <c r="I5099" s="135" t="n">
        <f aca="false">$G5099*'Analyse capacite'!$C$7</f>
        <v>0</v>
      </c>
      <c r="J5099" s="135" t="n">
        <f aca="false">$G5099*'Analyse capacite'!$D$7</f>
        <v>0</v>
      </c>
      <c r="K5099" s="135" t="n">
        <f aca="false">$G5099*'Analyse capacite'!$E$7</f>
        <v>0</v>
      </c>
    </row>
    <row r="5100" customFormat="false" ht="15" hidden="false" customHeight="false" outlineLevel="0" collapsed="false">
      <c r="B5100" s="130" t="n">
        <v>2027</v>
      </c>
      <c r="C5100" s="131" t="s">
        <v>250</v>
      </c>
      <c r="D5100" s="132" t="n">
        <v>46619</v>
      </c>
      <c r="E5100" s="131" t="s">
        <v>46</v>
      </c>
      <c r="F5100" s="133" t="s">
        <v>19</v>
      </c>
      <c r="G5100" s="134" t="n">
        <f aca="false">LEN('Saisie programme'!$H$188)+SUMIFS('Vols additionnels'!$E$7:$E$66,'Vols additionnels'!$C$7:$C$66,$E5100,'Vols additionnels'!$D$7:$D$66,$F5100,'Vols additionnels'!$B$7:$B$66,$D5100)</f>
        <v>0</v>
      </c>
      <c r="H5100" s="135" t="n">
        <f aca="false">$G5100*'Analyse capacite'!$F$8</f>
        <v>0</v>
      </c>
      <c r="I5100" s="135" t="n">
        <f aca="false">$G5100*'Analyse capacite'!$C$8</f>
        <v>0</v>
      </c>
      <c r="J5100" s="135" t="n">
        <f aca="false">$G5100*'Analyse capacite'!$D$8</f>
        <v>0</v>
      </c>
      <c r="K5100" s="135" t="n">
        <f aca="false">$G5100*'Analyse capacite'!$E$8</f>
        <v>0</v>
      </c>
    </row>
    <row r="5101" customFormat="false" ht="15" hidden="false" customHeight="false" outlineLevel="0" collapsed="false">
      <c r="B5101" s="130" t="n">
        <v>2027</v>
      </c>
      <c r="C5101" s="131" t="s">
        <v>250</v>
      </c>
      <c r="D5101" s="132" t="n">
        <v>46619</v>
      </c>
      <c r="E5101" s="131" t="s">
        <v>46</v>
      </c>
      <c r="F5101" s="133" t="s">
        <v>24</v>
      </c>
      <c r="G5101" s="134" t="n">
        <f aca="false">LEN('Saisie programme'!$H$189)+SUMIFS('Vols additionnels'!$E$7:$E$66,'Vols additionnels'!$C$7:$C$66,$E5101,'Vols additionnels'!$D$7:$D$66,$F5101,'Vols additionnels'!$B$7:$B$66,$D5101)</f>
        <v>0</v>
      </c>
      <c r="H5101" s="135" t="n">
        <f aca="false">$G5101*'Analyse capacite'!$F$9</f>
        <v>0</v>
      </c>
      <c r="I5101" s="135" t="n">
        <f aca="false">$G5101*'Analyse capacite'!$C$9</f>
        <v>0</v>
      </c>
      <c r="J5101" s="135" t="n">
        <f aca="false">$G5101*'Analyse capacite'!$D$9</f>
        <v>0</v>
      </c>
      <c r="K5101" s="135" t="n">
        <f aca="false">$G5101*'Analyse capacite'!$E$9</f>
        <v>0</v>
      </c>
    </row>
    <row r="5102" customFormat="false" ht="15" hidden="false" customHeight="false" outlineLevel="0" collapsed="false">
      <c r="B5102" s="130" t="n">
        <v>2027</v>
      </c>
      <c r="C5102" s="131" t="s">
        <v>250</v>
      </c>
      <c r="D5102" s="132" t="n">
        <v>46619</v>
      </c>
      <c r="E5102" s="131" t="s">
        <v>49</v>
      </c>
      <c r="F5102" s="133" t="s">
        <v>11</v>
      </c>
      <c r="G5102" s="134" t="n">
        <f aca="false">LEN('Saisie programme'!$H$190)+SUMIFS('Vols additionnels'!$E$7:$E$66,'Vols additionnels'!$C$7:$C$66,$E5102,'Vols additionnels'!$D$7:$D$66,$F5102,'Vols additionnels'!$B$7:$B$66,$D5102)</f>
        <v>0</v>
      </c>
      <c r="H5102" s="135" t="n">
        <f aca="false">$G5102*'Analyse capacite'!$F$7</f>
        <v>0</v>
      </c>
      <c r="I5102" s="135" t="n">
        <f aca="false">$G5102*'Analyse capacite'!$C$7</f>
        <v>0</v>
      </c>
      <c r="J5102" s="135" t="n">
        <f aca="false">$G5102*'Analyse capacite'!$D$7</f>
        <v>0</v>
      </c>
      <c r="K5102" s="135" t="n">
        <f aca="false">$G5102*'Analyse capacite'!$E$7</f>
        <v>0</v>
      </c>
    </row>
    <row r="5103" customFormat="false" ht="15" hidden="false" customHeight="false" outlineLevel="0" collapsed="false">
      <c r="B5103" s="130" t="n">
        <v>2027</v>
      </c>
      <c r="C5103" s="131" t="s">
        <v>250</v>
      </c>
      <c r="D5103" s="132" t="n">
        <v>46619</v>
      </c>
      <c r="E5103" s="131" t="s">
        <v>49</v>
      </c>
      <c r="F5103" s="133" t="s">
        <v>19</v>
      </c>
      <c r="G5103" s="134" t="n">
        <f aca="false">LEN('Saisie programme'!$H$191)+SUMIFS('Vols additionnels'!$E$7:$E$66,'Vols additionnels'!$C$7:$C$66,$E5103,'Vols additionnels'!$D$7:$D$66,$F5103,'Vols additionnels'!$B$7:$B$66,$D5103)</f>
        <v>1</v>
      </c>
      <c r="H5103" s="135" t="n">
        <f aca="false">$G5103*'Analyse capacite'!$F$8</f>
        <v>262</v>
      </c>
      <c r="I5103" s="135" t="n">
        <f aca="false">$G5103*'Analyse capacite'!$C$8</f>
        <v>18</v>
      </c>
      <c r="J5103" s="135" t="n">
        <f aca="false">$G5103*'Analyse capacite'!$D$8</f>
        <v>0</v>
      </c>
      <c r="K5103" s="135" t="n">
        <f aca="false">$G5103*'Analyse capacite'!$E$8</f>
        <v>244</v>
      </c>
    </row>
    <row r="5104" customFormat="false" ht="15" hidden="false" customHeight="false" outlineLevel="0" collapsed="false">
      <c r="B5104" s="130" t="n">
        <v>2027</v>
      </c>
      <c r="C5104" s="131" t="s">
        <v>250</v>
      </c>
      <c r="D5104" s="132" t="n">
        <v>46619</v>
      </c>
      <c r="E5104" s="131" t="s">
        <v>49</v>
      </c>
      <c r="F5104" s="133" t="s">
        <v>24</v>
      </c>
      <c r="G5104" s="134" t="n">
        <f aca="false">LEN('Saisie programme'!$H$192)+SUMIFS('Vols additionnels'!$E$7:$E$66,'Vols additionnels'!$C$7:$C$66,$E5104,'Vols additionnels'!$D$7:$D$66,$F5104,'Vols additionnels'!$B$7:$B$66,$D5104)</f>
        <v>0</v>
      </c>
      <c r="H5104" s="135" t="n">
        <f aca="false">$G5104*'Analyse capacite'!$F$9</f>
        <v>0</v>
      </c>
      <c r="I5104" s="135" t="n">
        <f aca="false">$G5104*'Analyse capacite'!$C$9</f>
        <v>0</v>
      </c>
      <c r="J5104" s="135" t="n">
        <f aca="false">$G5104*'Analyse capacite'!$D$9</f>
        <v>0</v>
      </c>
      <c r="K5104" s="135" t="n">
        <f aca="false">$G5104*'Analyse capacite'!$E$9</f>
        <v>0</v>
      </c>
    </row>
    <row r="5105" customFormat="false" ht="15" hidden="false" customHeight="false" outlineLevel="0" collapsed="false">
      <c r="B5105" s="130" t="n">
        <v>2027</v>
      </c>
      <c r="C5105" s="131" t="s">
        <v>250</v>
      </c>
      <c r="D5105" s="132" t="n">
        <v>46619</v>
      </c>
      <c r="E5105" s="131" t="s">
        <v>53</v>
      </c>
      <c r="F5105" s="133" t="s">
        <v>11</v>
      </c>
      <c r="G5105" s="134" t="n">
        <f aca="false">LEN('Saisie programme'!$H$193)+SUMIFS('Vols additionnels'!$E$7:$E$66,'Vols additionnels'!$C$7:$C$66,$E5105,'Vols additionnels'!$D$7:$D$66,$F5105,'Vols additionnels'!$B$7:$B$66,$D5105)</f>
        <v>0</v>
      </c>
      <c r="H5105" s="135" t="n">
        <f aca="false">$G5105*'Analyse capacite'!$F$7</f>
        <v>0</v>
      </c>
      <c r="I5105" s="135" t="n">
        <f aca="false">$G5105*'Analyse capacite'!$C$7</f>
        <v>0</v>
      </c>
      <c r="J5105" s="135" t="n">
        <f aca="false">$G5105*'Analyse capacite'!$D$7</f>
        <v>0</v>
      </c>
      <c r="K5105" s="135" t="n">
        <f aca="false">$G5105*'Analyse capacite'!$E$7</f>
        <v>0</v>
      </c>
    </row>
    <row r="5106" customFormat="false" ht="15" hidden="false" customHeight="false" outlineLevel="0" collapsed="false">
      <c r="B5106" s="130" t="n">
        <v>2027</v>
      </c>
      <c r="C5106" s="131" t="s">
        <v>250</v>
      </c>
      <c r="D5106" s="132" t="n">
        <v>46619</v>
      </c>
      <c r="E5106" s="131" t="s">
        <v>53</v>
      </c>
      <c r="F5106" s="133" t="s">
        <v>19</v>
      </c>
      <c r="G5106" s="134" t="n">
        <f aca="false">LEN('Saisie programme'!$H$194)+SUMIFS('Vols additionnels'!$E$7:$E$66,'Vols additionnels'!$C$7:$C$66,$E5106,'Vols additionnels'!$D$7:$D$66,$F5106,'Vols additionnels'!$B$7:$B$66,$D5106)</f>
        <v>0</v>
      </c>
      <c r="H5106" s="135" t="n">
        <f aca="false">$G5106*'Analyse capacite'!$F$8</f>
        <v>0</v>
      </c>
      <c r="I5106" s="135" t="n">
        <f aca="false">$G5106*'Analyse capacite'!$C$8</f>
        <v>0</v>
      </c>
      <c r="J5106" s="135" t="n">
        <f aca="false">$G5106*'Analyse capacite'!$D$8</f>
        <v>0</v>
      </c>
      <c r="K5106" s="135" t="n">
        <f aca="false">$G5106*'Analyse capacite'!$E$8</f>
        <v>0</v>
      </c>
    </row>
    <row r="5107" customFormat="false" ht="15" hidden="false" customHeight="false" outlineLevel="0" collapsed="false">
      <c r="B5107" s="130" t="n">
        <v>2027</v>
      </c>
      <c r="C5107" s="131" t="s">
        <v>250</v>
      </c>
      <c r="D5107" s="132" t="n">
        <v>46619</v>
      </c>
      <c r="E5107" s="131" t="s">
        <v>53</v>
      </c>
      <c r="F5107" s="133" t="s">
        <v>24</v>
      </c>
      <c r="G5107" s="134" t="n">
        <f aca="false">LEN('Saisie programme'!$H$195)+SUMIFS('Vols additionnels'!$E$7:$E$66,'Vols additionnels'!$C$7:$C$66,$E5107,'Vols additionnels'!$D$7:$D$66,$F5107,'Vols additionnels'!$B$7:$B$66,$D5107)</f>
        <v>0</v>
      </c>
      <c r="H5107" s="135" t="n">
        <f aca="false">$G5107*'Analyse capacite'!$F$9</f>
        <v>0</v>
      </c>
      <c r="I5107" s="135" t="n">
        <f aca="false">$G5107*'Analyse capacite'!$C$9</f>
        <v>0</v>
      </c>
      <c r="J5107" s="135" t="n">
        <f aca="false">$G5107*'Analyse capacite'!$D$9</f>
        <v>0</v>
      </c>
      <c r="K5107" s="135" t="n">
        <f aca="false">$G5107*'Analyse capacite'!$E$9</f>
        <v>0</v>
      </c>
    </row>
    <row r="5108" customFormat="false" ht="15" hidden="false" customHeight="false" outlineLevel="0" collapsed="false">
      <c r="B5108" s="130" t="n">
        <v>2027</v>
      </c>
      <c r="C5108" s="131" t="s">
        <v>250</v>
      </c>
      <c r="D5108" s="132" t="n">
        <v>46619</v>
      </c>
      <c r="E5108" s="131" t="s">
        <v>56</v>
      </c>
      <c r="F5108" s="133" t="s">
        <v>11</v>
      </c>
      <c r="G5108" s="134" t="n">
        <f aca="false">LEN('Saisie programme'!$H$196)+SUMIFS('Vols additionnels'!$E$7:$E$66,'Vols additionnels'!$C$7:$C$66,$E5108,'Vols additionnels'!$D$7:$D$66,$F5108,'Vols additionnels'!$B$7:$B$66,$D5108)</f>
        <v>0</v>
      </c>
      <c r="H5108" s="135" t="n">
        <f aca="false">$G5108*'Analyse capacite'!$F$7</f>
        <v>0</v>
      </c>
      <c r="I5108" s="135" t="n">
        <f aca="false">$G5108*'Analyse capacite'!$C$7</f>
        <v>0</v>
      </c>
      <c r="J5108" s="135" t="n">
        <f aca="false">$G5108*'Analyse capacite'!$D$7</f>
        <v>0</v>
      </c>
      <c r="K5108" s="135" t="n">
        <f aca="false">$G5108*'Analyse capacite'!$E$7</f>
        <v>0</v>
      </c>
    </row>
    <row r="5109" customFormat="false" ht="15" hidden="false" customHeight="false" outlineLevel="0" collapsed="false">
      <c r="B5109" s="130" t="n">
        <v>2027</v>
      </c>
      <c r="C5109" s="131" t="s">
        <v>250</v>
      </c>
      <c r="D5109" s="132" t="n">
        <v>46619</v>
      </c>
      <c r="E5109" s="131" t="s">
        <v>56</v>
      </c>
      <c r="F5109" s="133" t="s">
        <v>19</v>
      </c>
      <c r="G5109" s="134" t="n">
        <f aca="false">LEN('Saisie programme'!$H$197)+SUMIFS('Vols additionnels'!$E$7:$E$66,'Vols additionnels'!$C$7:$C$66,$E5109,'Vols additionnels'!$D$7:$D$66,$F5109,'Vols additionnels'!$B$7:$B$66,$D5109)</f>
        <v>0</v>
      </c>
      <c r="H5109" s="135" t="n">
        <f aca="false">$G5109*'Analyse capacite'!$F$8</f>
        <v>0</v>
      </c>
      <c r="I5109" s="135" t="n">
        <f aca="false">$G5109*'Analyse capacite'!$C$8</f>
        <v>0</v>
      </c>
      <c r="J5109" s="135" t="n">
        <f aca="false">$G5109*'Analyse capacite'!$D$8</f>
        <v>0</v>
      </c>
      <c r="K5109" s="135" t="n">
        <f aca="false">$G5109*'Analyse capacite'!$E$8</f>
        <v>0</v>
      </c>
    </row>
    <row r="5110" customFormat="false" ht="15" hidden="false" customHeight="false" outlineLevel="0" collapsed="false">
      <c r="B5110" s="130" t="n">
        <v>2027</v>
      </c>
      <c r="C5110" s="131" t="s">
        <v>250</v>
      </c>
      <c r="D5110" s="132" t="n">
        <v>46619</v>
      </c>
      <c r="E5110" s="131" t="s">
        <v>56</v>
      </c>
      <c r="F5110" s="133" t="s">
        <v>24</v>
      </c>
      <c r="G5110" s="134" t="n">
        <f aca="false">LEN('Saisie programme'!$H$198)+SUMIFS('Vols additionnels'!$E$7:$E$66,'Vols additionnels'!$C$7:$C$66,$E5110,'Vols additionnels'!$D$7:$D$66,$F5110,'Vols additionnels'!$B$7:$B$66,$D5110)</f>
        <v>0</v>
      </c>
      <c r="H5110" s="135" t="n">
        <f aca="false">$G5110*'Analyse capacite'!$F$9</f>
        <v>0</v>
      </c>
      <c r="I5110" s="135" t="n">
        <f aca="false">$G5110*'Analyse capacite'!$C$9</f>
        <v>0</v>
      </c>
      <c r="J5110" s="135" t="n">
        <f aca="false">$G5110*'Analyse capacite'!$D$9</f>
        <v>0</v>
      </c>
      <c r="K5110" s="135" t="n">
        <f aca="false">$G5110*'Analyse capacite'!$E$9</f>
        <v>0</v>
      </c>
    </row>
    <row r="5111" customFormat="false" ht="15" hidden="false" customHeight="false" outlineLevel="0" collapsed="false">
      <c r="B5111" s="130" t="n">
        <v>2027</v>
      </c>
      <c r="C5111" s="131" t="s">
        <v>250</v>
      </c>
      <c r="D5111" s="132" t="n">
        <v>46619</v>
      </c>
      <c r="E5111" s="131" t="s">
        <v>59</v>
      </c>
      <c r="F5111" s="133" t="s">
        <v>11</v>
      </c>
      <c r="G5111" s="134" t="n">
        <f aca="false">LEN('Saisie programme'!$H$199)+SUMIFS('Vols additionnels'!$E$7:$E$66,'Vols additionnels'!$C$7:$C$66,$E5111,'Vols additionnels'!$D$7:$D$66,$F5111,'Vols additionnels'!$B$7:$B$66,$D5111)</f>
        <v>0</v>
      </c>
      <c r="H5111" s="135" t="n">
        <f aca="false">$G5111*'Analyse capacite'!$F$7</f>
        <v>0</v>
      </c>
      <c r="I5111" s="135" t="n">
        <f aca="false">$G5111*'Analyse capacite'!$C$7</f>
        <v>0</v>
      </c>
      <c r="J5111" s="135" t="n">
        <f aca="false">$G5111*'Analyse capacite'!$D$7</f>
        <v>0</v>
      </c>
      <c r="K5111" s="135" t="n">
        <f aca="false">$G5111*'Analyse capacite'!$E$7</f>
        <v>0</v>
      </c>
    </row>
    <row r="5112" customFormat="false" ht="15" hidden="false" customHeight="false" outlineLevel="0" collapsed="false">
      <c r="B5112" s="130" t="n">
        <v>2027</v>
      </c>
      <c r="C5112" s="131" t="s">
        <v>250</v>
      </c>
      <c r="D5112" s="132" t="n">
        <v>46619</v>
      </c>
      <c r="E5112" s="131" t="s">
        <v>59</v>
      </c>
      <c r="F5112" s="133" t="s">
        <v>19</v>
      </c>
      <c r="G5112" s="134" t="n">
        <f aca="false">LEN('Saisie programme'!$H$200)+SUMIFS('Vols additionnels'!$E$7:$E$66,'Vols additionnels'!$C$7:$C$66,$E5112,'Vols additionnels'!$D$7:$D$66,$F5112,'Vols additionnels'!$B$7:$B$66,$D5112)</f>
        <v>0</v>
      </c>
      <c r="H5112" s="135" t="n">
        <f aca="false">$G5112*'Analyse capacite'!$F$8</f>
        <v>0</v>
      </c>
      <c r="I5112" s="135" t="n">
        <f aca="false">$G5112*'Analyse capacite'!$C$8</f>
        <v>0</v>
      </c>
      <c r="J5112" s="135" t="n">
        <f aca="false">$G5112*'Analyse capacite'!$D$8</f>
        <v>0</v>
      </c>
      <c r="K5112" s="135" t="n">
        <f aca="false">$G5112*'Analyse capacite'!$E$8</f>
        <v>0</v>
      </c>
    </row>
    <row r="5113" customFormat="false" ht="15" hidden="false" customHeight="false" outlineLevel="0" collapsed="false">
      <c r="B5113" s="130" t="n">
        <v>2027</v>
      </c>
      <c r="C5113" s="131" t="s">
        <v>250</v>
      </c>
      <c r="D5113" s="132" t="n">
        <v>46619</v>
      </c>
      <c r="E5113" s="131" t="s">
        <v>59</v>
      </c>
      <c r="F5113" s="133" t="s">
        <v>24</v>
      </c>
      <c r="G5113" s="134" t="n">
        <f aca="false">LEN('Saisie programme'!$H$201)+SUMIFS('Vols additionnels'!$E$7:$E$66,'Vols additionnels'!$C$7:$C$66,$E5113,'Vols additionnels'!$D$7:$D$66,$F5113,'Vols additionnels'!$B$7:$B$66,$D5113)</f>
        <v>1</v>
      </c>
      <c r="H5113" s="135" t="n">
        <f aca="false">$G5113*'Analyse capacite'!$F$9</f>
        <v>174</v>
      </c>
      <c r="I5113" s="135" t="n">
        <f aca="false">$G5113*'Analyse capacite'!$C$9</f>
        <v>0</v>
      </c>
      <c r="J5113" s="135" t="n">
        <f aca="false">$G5113*'Analyse capacite'!$D$9</f>
        <v>12</v>
      </c>
      <c r="K5113" s="135" t="n">
        <f aca="false">$G5113*'Analyse capacite'!$E$9</f>
        <v>162</v>
      </c>
    </row>
    <row r="5114" customFormat="false" ht="15" hidden="false" customHeight="false" outlineLevel="0" collapsed="false">
      <c r="B5114" s="130" t="n">
        <v>2027</v>
      </c>
      <c r="C5114" s="131" t="s">
        <v>250</v>
      </c>
      <c r="D5114" s="132" t="n">
        <v>46619</v>
      </c>
      <c r="E5114" s="131" t="s">
        <v>62</v>
      </c>
      <c r="F5114" s="133" t="s">
        <v>11</v>
      </c>
      <c r="G5114" s="134" t="n">
        <f aca="false">LEN('Saisie programme'!$H$202)+SUMIFS('Vols additionnels'!$E$7:$E$66,'Vols additionnels'!$C$7:$C$66,$E5114,'Vols additionnels'!$D$7:$D$66,$F5114,'Vols additionnels'!$B$7:$B$66,$D5114)</f>
        <v>0</v>
      </c>
      <c r="H5114" s="135" t="n">
        <f aca="false">$G5114*'Analyse capacite'!$F$7</f>
        <v>0</v>
      </c>
      <c r="I5114" s="135" t="n">
        <f aca="false">$G5114*'Analyse capacite'!$C$7</f>
        <v>0</v>
      </c>
      <c r="J5114" s="135" t="n">
        <f aca="false">$G5114*'Analyse capacite'!$D$7</f>
        <v>0</v>
      </c>
      <c r="K5114" s="135" t="n">
        <f aca="false">$G5114*'Analyse capacite'!$E$7</f>
        <v>0</v>
      </c>
    </row>
    <row r="5115" customFormat="false" ht="15" hidden="false" customHeight="false" outlineLevel="0" collapsed="false">
      <c r="B5115" s="130" t="n">
        <v>2027</v>
      </c>
      <c r="C5115" s="131" t="s">
        <v>250</v>
      </c>
      <c r="D5115" s="132" t="n">
        <v>46619</v>
      </c>
      <c r="E5115" s="131" t="s">
        <v>62</v>
      </c>
      <c r="F5115" s="133" t="s">
        <v>19</v>
      </c>
      <c r="G5115" s="134" t="n">
        <f aca="false">LEN('Saisie programme'!$H$203)+SUMIFS('Vols additionnels'!$E$7:$E$66,'Vols additionnels'!$C$7:$C$66,$E5115,'Vols additionnels'!$D$7:$D$66,$F5115,'Vols additionnels'!$B$7:$B$66,$D5115)</f>
        <v>0</v>
      </c>
      <c r="H5115" s="135" t="n">
        <f aca="false">$G5115*'Analyse capacite'!$F$8</f>
        <v>0</v>
      </c>
      <c r="I5115" s="135" t="n">
        <f aca="false">$G5115*'Analyse capacite'!$C$8</f>
        <v>0</v>
      </c>
      <c r="J5115" s="135" t="n">
        <f aca="false">$G5115*'Analyse capacite'!$D$8</f>
        <v>0</v>
      </c>
      <c r="K5115" s="135" t="n">
        <f aca="false">$G5115*'Analyse capacite'!$E$8</f>
        <v>0</v>
      </c>
    </row>
    <row r="5116" customFormat="false" ht="15" hidden="false" customHeight="false" outlineLevel="0" collapsed="false">
      <c r="B5116" s="130" t="n">
        <v>2027</v>
      </c>
      <c r="C5116" s="131" t="s">
        <v>250</v>
      </c>
      <c r="D5116" s="132" t="n">
        <v>46619</v>
      </c>
      <c r="E5116" s="131" t="s">
        <v>62</v>
      </c>
      <c r="F5116" s="133" t="s">
        <v>24</v>
      </c>
      <c r="G5116" s="134" t="n">
        <f aca="false">LEN('Saisie programme'!$H$204)+SUMIFS('Vols additionnels'!$E$7:$E$66,'Vols additionnels'!$C$7:$C$66,$E5116,'Vols additionnels'!$D$7:$D$66,$F5116,'Vols additionnels'!$B$7:$B$66,$D5116)</f>
        <v>0</v>
      </c>
      <c r="H5116" s="135" t="n">
        <f aca="false">$G5116*'Analyse capacite'!$F$9</f>
        <v>0</v>
      </c>
      <c r="I5116" s="135" t="n">
        <f aca="false">$G5116*'Analyse capacite'!$C$9</f>
        <v>0</v>
      </c>
      <c r="J5116" s="135" t="n">
        <f aca="false">$G5116*'Analyse capacite'!$D$9</f>
        <v>0</v>
      </c>
      <c r="K5116" s="135" t="n">
        <f aca="false">$G5116*'Analyse capacite'!$E$9</f>
        <v>0</v>
      </c>
    </row>
    <row r="5117" customFormat="false" ht="15" hidden="false" customHeight="false" outlineLevel="0" collapsed="false">
      <c r="B5117" s="130" t="n">
        <v>2027</v>
      </c>
      <c r="C5117" s="131" t="s">
        <v>250</v>
      </c>
      <c r="D5117" s="132" t="n">
        <v>46620</v>
      </c>
      <c r="E5117" s="131" t="s">
        <v>12</v>
      </c>
      <c r="F5117" s="133" t="s">
        <v>11</v>
      </c>
      <c r="G5117" s="134" t="n">
        <f aca="false">LEN('Saisie programme'!$I$169)+SUMIFS('Vols additionnels'!$E$7:$E$66,'Vols additionnels'!$C$7:$C$66,$E5117,'Vols additionnels'!$D$7:$D$66,$F5117,'Vols additionnels'!$B$7:$B$66,$D5117)</f>
        <v>1</v>
      </c>
      <c r="H5117" s="135" t="n">
        <f aca="false">$G5117*'Analyse capacite'!$F$7</f>
        <v>438</v>
      </c>
      <c r="I5117" s="135" t="n">
        <f aca="false">$G5117*'Analyse capacite'!$C$7</f>
        <v>14</v>
      </c>
      <c r="J5117" s="135" t="n">
        <f aca="false">$G5117*'Analyse capacite'!$D$7</f>
        <v>40</v>
      </c>
      <c r="K5117" s="135" t="n">
        <f aca="false">$G5117*'Analyse capacite'!$E$7</f>
        <v>384</v>
      </c>
    </row>
    <row r="5118" customFormat="false" ht="15" hidden="false" customHeight="false" outlineLevel="0" collapsed="false">
      <c r="B5118" s="130" t="n">
        <v>2027</v>
      </c>
      <c r="C5118" s="131" t="s">
        <v>250</v>
      </c>
      <c r="D5118" s="132" t="n">
        <v>46620</v>
      </c>
      <c r="E5118" s="131" t="s">
        <v>12</v>
      </c>
      <c r="F5118" s="133" t="s">
        <v>19</v>
      </c>
      <c r="G5118" s="134" t="n">
        <f aca="false">LEN('Saisie programme'!$I$170)+SUMIFS('Vols additionnels'!$E$7:$E$66,'Vols additionnels'!$C$7:$C$66,$E5118,'Vols additionnels'!$D$7:$D$66,$F5118,'Vols additionnels'!$B$7:$B$66,$D5118)</f>
        <v>1</v>
      </c>
      <c r="H5118" s="135" t="n">
        <f aca="false">$G5118*'Analyse capacite'!$F$8</f>
        <v>262</v>
      </c>
      <c r="I5118" s="135" t="n">
        <f aca="false">$G5118*'Analyse capacite'!$C$8</f>
        <v>18</v>
      </c>
      <c r="J5118" s="135" t="n">
        <f aca="false">$G5118*'Analyse capacite'!$D$8</f>
        <v>0</v>
      </c>
      <c r="K5118" s="135" t="n">
        <f aca="false">$G5118*'Analyse capacite'!$E$8</f>
        <v>244</v>
      </c>
    </row>
    <row r="5119" customFormat="false" ht="15" hidden="false" customHeight="false" outlineLevel="0" collapsed="false">
      <c r="B5119" s="130" t="n">
        <v>2027</v>
      </c>
      <c r="C5119" s="131" t="s">
        <v>250</v>
      </c>
      <c r="D5119" s="132" t="n">
        <v>46620</v>
      </c>
      <c r="E5119" s="131" t="s">
        <v>12</v>
      </c>
      <c r="F5119" s="133" t="s">
        <v>24</v>
      </c>
      <c r="G5119" s="134" t="n">
        <f aca="false">LEN('Saisie programme'!$I$171)+SUMIFS('Vols additionnels'!$E$7:$E$66,'Vols additionnels'!$C$7:$C$66,$E5119,'Vols additionnels'!$D$7:$D$66,$F5119,'Vols additionnels'!$B$7:$B$66,$D5119)</f>
        <v>0</v>
      </c>
      <c r="H5119" s="135" t="n">
        <f aca="false">$G5119*'Analyse capacite'!$F$9</f>
        <v>0</v>
      </c>
      <c r="I5119" s="135" t="n">
        <f aca="false">$G5119*'Analyse capacite'!$C$9</f>
        <v>0</v>
      </c>
      <c r="J5119" s="135" t="n">
        <f aca="false">$G5119*'Analyse capacite'!$D$9</f>
        <v>0</v>
      </c>
      <c r="K5119" s="135" t="n">
        <f aca="false">$G5119*'Analyse capacite'!$E$9</f>
        <v>0</v>
      </c>
    </row>
    <row r="5120" customFormat="false" ht="15" hidden="false" customHeight="false" outlineLevel="0" collapsed="false">
      <c r="B5120" s="130" t="n">
        <v>2027</v>
      </c>
      <c r="C5120" s="131" t="s">
        <v>250</v>
      </c>
      <c r="D5120" s="132" t="n">
        <v>46620</v>
      </c>
      <c r="E5120" s="131" t="s">
        <v>20</v>
      </c>
      <c r="F5120" s="133" t="s">
        <v>11</v>
      </c>
      <c r="G5120" s="134" t="n">
        <f aca="false">LEN('Saisie programme'!$I$172)+SUMIFS('Vols additionnels'!$E$7:$E$66,'Vols additionnels'!$C$7:$C$66,$E5120,'Vols additionnels'!$D$7:$D$66,$F5120,'Vols additionnels'!$B$7:$B$66,$D5120)</f>
        <v>0</v>
      </c>
      <c r="H5120" s="135" t="n">
        <f aca="false">$G5120*'Analyse capacite'!$F$7</f>
        <v>0</v>
      </c>
      <c r="I5120" s="135" t="n">
        <f aca="false">$G5120*'Analyse capacite'!$C$7</f>
        <v>0</v>
      </c>
      <c r="J5120" s="135" t="n">
        <f aca="false">$G5120*'Analyse capacite'!$D$7</f>
        <v>0</v>
      </c>
      <c r="K5120" s="135" t="n">
        <f aca="false">$G5120*'Analyse capacite'!$E$7</f>
        <v>0</v>
      </c>
    </row>
    <row r="5121" customFormat="false" ht="15" hidden="false" customHeight="false" outlineLevel="0" collapsed="false">
      <c r="B5121" s="130" t="n">
        <v>2027</v>
      </c>
      <c r="C5121" s="131" t="s">
        <v>250</v>
      </c>
      <c r="D5121" s="132" t="n">
        <v>46620</v>
      </c>
      <c r="E5121" s="131" t="s">
        <v>20</v>
      </c>
      <c r="F5121" s="133" t="s">
        <v>19</v>
      </c>
      <c r="G5121" s="134" t="n">
        <f aca="false">LEN('Saisie programme'!$I$173)+SUMIFS('Vols additionnels'!$E$7:$E$66,'Vols additionnels'!$C$7:$C$66,$E5121,'Vols additionnels'!$D$7:$D$66,$F5121,'Vols additionnels'!$B$7:$B$66,$D5121)</f>
        <v>0</v>
      </c>
      <c r="H5121" s="135" t="n">
        <f aca="false">$G5121*'Analyse capacite'!$F$8</f>
        <v>0</v>
      </c>
      <c r="I5121" s="135" t="n">
        <f aca="false">$G5121*'Analyse capacite'!$C$8</f>
        <v>0</v>
      </c>
      <c r="J5121" s="135" t="n">
        <f aca="false">$G5121*'Analyse capacite'!$D$8</f>
        <v>0</v>
      </c>
      <c r="K5121" s="135" t="n">
        <f aca="false">$G5121*'Analyse capacite'!$E$8</f>
        <v>0</v>
      </c>
    </row>
    <row r="5122" customFormat="false" ht="15" hidden="false" customHeight="false" outlineLevel="0" collapsed="false">
      <c r="B5122" s="130" t="n">
        <v>2027</v>
      </c>
      <c r="C5122" s="131" t="s">
        <v>250</v>
      </c>
      <c r="D5122" s="132" t="n">
        <v>46620</v>
      </c>
      <c r="E5122" s="131" t="s">
        <v>20</v>
      </c>
      <c r="F5122" s="133" t="s">
        <v>24</v>
      </c>
      <c r="G5122" s="134" t="n">
        <f aca="false">LEN('Saisie programme'!$I$174)+SUMIFS('Vols additionnels'!$E$7:$E$66,'Vols additionnels'!$C$7:$C$66,$E5122,'Vols additionnels'!$D$7:$D$66,$F5122,'Vols additionnels'!$B$7:$B$66,$D5122)</f>
        <v>0</v>
      </c>
      <c r="H5122" s="135" t="n">
        <f aca="false">$G5122*'Analyse capacite'!$F$9</f>
        <v>0</v>
      </c>
      <c r="I5122" s="135" t="n">
        <f aca="false">$G5122*'Analyse capacite'!$C$9</f>
        <v>0</v>
      </c>
      <c r="J5122" s="135" t="n">
        <f aca="false">$G5122*'Analyse capacite'!$D$9</f>
        <v>0</v>
      </c>
      <c r="K5122" s="135" t="n">
        <f aca="false">$G5122*'Analyse capacite'!$E$9</f>
        <v>0</v>
      </c>
    </row>
    <row r="5123" customFormat="false" ht="15" hidden="false" customHeight="false" outlineLevel="0" collapsed="false">
      <c r="B5123" s="130" t="n">
        <v>2027</v>
      </c>
      <c r="C5123" s="131" t="s">
        <v>250</v>
      </c>
      <c r="D5123" s="132" t="n">
        <v>46620</v>
      </c>
      <c r="E5123" s="131" t="s">
        <v>25</v>
      </c>
      <c r="F5123" s="133" t="s">
        <v>11</v>
      </c>
      <c r="G5123" s="134" t="n">
        <f aca="false">LEN('Saisie programme'!$I$175)+SUMIFS('Vols additionnels'!$E$7:$E$66,'Vols additionnels'!$C$7:$C$66,$E5123,'Vols additionnels'!$D$7:$D$66,$F5123,'Vols additionnels'!$B$7:$B$66,$D5123)</f>
        <v>0</v>
      </c>
      <c r="H5123" s="135" t="n">
        <f aca="false">$G5123*'Analyse capacite'!$F$7</f>
        <v>0</v>
      </c>
      <c r="I5123" s="135" t="n">
        <f aca="false">$G5123*'Analyse capacite'!$C$7</f>
        <v>0</v>
      </c>
      <c r="J5123" s="135" t="n">
        <f aca="false">$G5123*'Analyse capacite'!$D$7</f>
        <v>0</v>
      </c>
      <c r="K5123" s="135" t="n">
        <f aca="false">$G5123*'Analyse capacite'!$E$7</f>
        <v>0</v>
      </c>
    </row>
    <row r="5124" customFormat="false" ht="15" hidden="false" customHeight="false" outlineLevel="0" collapsed="false">
      <c r="B5124" s="130" t="n">
        <v>2027</v>
      </c>
      <c r="C5124" s="131" t="s">
        <v>250</v>
      </c>
      <c r="D5124" s="132" t="n">
        <v>46620</v>
      </c>
      <c r="E5124" s="131" t="s">
        <v>25</v>
      </c>
      <c r="F5124" s="133" t="s">
        <v>19</v>
      </c>
      <c r="G5124" s="134" t="n">
        <f aca="false">LEN('Saisie programme'!$I$176)+SUMIFS('Vols additionnels'!$E$7:$E$66,'Vols additionnels'!$C$7:$C$66,$E5124,'Vols additionnels'!$D$7:$D$66,$F5124,'Vols additionnels'!$B$7:$B$66,$D5124)</f>
        <v>1</v>
      </c>
      <c r="H5124" s="135" t="n">
        <f aca="false">$G5124*'Analyse capacite'!$F$8</f>
        <v>262</v>
      </c>
      <c r="I5124" s="135" t="n">
        <f aca="false">$G5124*'Analyse capacite'!$C$8</f>
        <v>18</v>
      </c>
      <c r="J5124" s="135" t="n">
        <f aca="false">$G5124*'Analyse capacite'!$D$8</f>
        <v>0</v>
      </c>
      <c r="K5124" s="135" t="n">
        <f aca="false">$G5124*'Analyse capacite'!$E$8</f>
        <v>244</v>
      </c>
    </row>
    <row r="5125" customFormat="false" ht="15" hidden="false" customHeight="false" outlineLevel="0" collapsed="false">
      <c r="B5125" s="130" t="n">
        <v>2027</v>
      </c>
      <c r="C5125" s="131" t="s">
        <v>250</v>
      </c>
      <c r="D5125" s="132" t="n">
        <v>46620</v>
      </c>
      <c r="E5125" s="131" t="s">
        <v>25</v>
      </c>
      <c r="F5125" s="133" t="s">
        <v>24</v>
      </c>
      <c r="G5125" s="134" t="n">
        <f aca="false">LEN('Saisie programme'!$I$177)+SUMIFS('Vols additionnels'!$E$7:$E$66,'Vols additionnels'!$C$7:$C$66,$E5125,'Vols additionnels'!$D$7:$D$66,$F5125,'Vols additionnels'!$B$7:$B$66,$D5125)</f>
        <v>0</v>
      </c>
      <c r="H5125" s="135" t="n">
        <f aca="false">$G5125*'Analyse capacite'!$F$9</f>
        <v>0</v>
      </c>
      <c r="I5125" s="135" t="n">
        <f aca="false">$G5125*'Analyse capacite'!$C$9</f>
        <v>0</v>
      </c>
      <c r="J5125" s="135" t="n">
        <f aca="false">$G5125*'Analyse capacite'!$D$9</f>
        <v>0</v>
      </c>
      <c r="K5125" s="135" t="n">
        <f aca="false">$G5125*'Analyse capacite'!$E$9</f>
        <v>0</v>
      </c>
    </row>
    <row r="5126" customFormat="false" ht="15" hidden="false" customHeight="false" outlineLevel="0" collapsed="false">
      <c r="B5126" s="130" t="n">
        <v>2027</v>
      </c>
      <c r="C5126" s="131" t="s">
        <v>250</v>
      </c>
      <c r="D5126" s="132" t="n">
        <v>46620</v>
      </c>
      <c r="E5126" s="131" t="s">
        <v>36</v>
      </c>
      <c r="F5126" s="133" t="s">
        <v>11</v>
      </c>
      <c r="G5126" s="134" t="n">
        <f aca="false">LEN('Saisie programme'!$I$178)+SUMIFS('Vols additionnels'!$E$7:$E$66,'Vols additionnels'!$C$7:$C$66,$E5126,'Vols additionnels'!$D$7:$D$66,$F5126,'Vols additionnels'!$B$7:$B$66,$D5126)</f>
        <v>0</v>
      </c>
      <c r="H5126" s="135" t="n">
        <f aca="false">$G5126*'Analyse capacite'!$F$7</f>
        <v>0</v>
      </c>
      <c r="I5126" s="135" t="n">
        <f aca="false">$G5126*'Analyse capacite'!$C$7</f>
        <v>0</v>
      </c>
      <c r="J5126" s="135" t="n">
        <f aca="false">$G5126*'Analyse capacite'!$D$7</f>
        <v>0</v>
      </c>
      <c r="K5126" s="135" t="n">
        <f aca="false">$G5126*'Analyse capacite'!$E$7</f>
        <v>0</v>
      </c>
    </row>
    <row r="5127" customFormat="false" ht="15" hidden="false" customHeight="false" outlineLevel="0" collapsed="false">
      <c r="B5127" s="130" t="n">
        <v>2027</v>
      </c>
      <c r="C5127" s="131" t="s">
        <v>250</v>
      </c>
      <c r="D5127" s="132" t="n">
        <v>46620</v>
      </c>
      <c r="E5127" s="131" t="s">
        <v>36</v>
      </c>
      <c r="F5127" s="133" t="s">
        <v>19</v>
      </c>
      <c r="G5127" s="134" t="n">
        <f aca="false">LEN('Saisie programme'!$I$179)+SUMIFS('Vols additionnels'!$E$7:$E$66,'Vols additionnels'!$C$7:$C$66,$E5127,'Vols additionnels'!$D$7:$D$66,$F5127,'Vols additionnels'!$B$7:$B$66,$D5127)</f>
        <v>0</v>
      </c>
      <c r="H5127" s="135" t="n">
        <f aca="false">$G5127*'Analyse capacite'!$F$8</f>
        <v>0</v>
      </c>
      <c r="I5127" s="135" t="n">
        <f aca="false">$G5127*'Analyse capacite'!$C$8</f>
        <v>0</v>
      </c>
      <c r="J5127" s="135" t="n">
        <f aca="false">$G5127*'Analyse capacite'!$D$8</f>
        <v>0</v>
      </c>
      <c r="K5127" s="135" t="n">
        <f aca="false">$G5127*'Analyse capacite'!$E$8</f>
        <v>0</v>
      </c>
    </row>
    <row r="5128" customFormat="false" ht="15" hidden="false" customHeight="false" outlineLevel="0" collapsed="false">
      <c r="B5128" s="130" t="n">
        <v>2027</v>
      </c>
      <c r="C5128" s="131" t="s">
        <v>250</v>
      </c>
      <c r="D5128" s="132" t="n">
        <v>46620</v>
      </c>
      <c r="E5128" s="131" t="s">
        <v>36</v>
      </c>
      <c r="F5128" s="133" t="s">
        <v>24</v>
      </c>
      <c r="G5128" s="134" t="n">
        <f aca="false">LEN('Saisie programme'!$I$180)+SUMIFS('Vols additionnels'!$E$7:$E$66,'Vols additionnels'!$C$7:$C$66,$E5128,'Vols additionnels'!$D$7:$D$66,$F5128,'Vols additionnels'!$B$7:$B$66,$D5128)</f>
        <v>0</v>
      </c>
      <c r="H5128" s="135" t="n">
        <f aca="false">$G5128*'Analyse capacite'!$F$9</f>
        <v>0</v>
      </c>
      <c r="I5128" s="135" t="n">
        <f aca="false">$G5128*'Analyse capacite'!$C$9</f>
        <v>0</v>
      </c>
      <c r="J5128" s="135" t="n">
        <f aca="false">$G5128*'Analyse capacite'!$D$9</f>
        <v>0</v>
      </c>
      <c r="K5128" s="135" t="n">
        <f aca="false">$G5128*'Analyse capacite'!$E$9</f>
        <v>0</v>
      </c>
    </row>
    <row r="5129" customFormat="false" ht="15" hidden="false" customHeight="false" outlineLevel="0" collapsed="false">
      <c r="B5129" s="130" t="n">
        <v>2027</v>
      </c>
      <c r="C5129" s="131" t="s">
        <v>250</v>
      </c>
      <c r="D5129" s="132" t="n">
        <v>46620</v>
      </c>
      <c r="E5129" s="131" t="s">
        <v>40</v>
      </c>
      <c r="F5129" s="133" t="s">
        <v>11</v>
      </c>
      <c r="G5129" s="134" t="n">
        <f aca="false">LEN('Saisie programme'!$I$181)+SUMIFS('Vols additionnels'!$E$7:$E$66,'Vols additionnels'!$C$7:$C$66,$E5129,'Vols additionnels'!$D$7:$D$66,$F5129,'Vols additionnels'!$B$7:$B$66,$D5129)</f>
        <v>0</v>
      </c>
      <c r="H5129" s="135" t="n">
        <f aca="false">$G5129*'Analyse capacite'!$F$7</f>
        <v>0</v>
      </c>
      <c r="I5129" s="135" t="n">
        <f aca="false">$G5129*'Analyse capacite'!$C$7</f>
        <v>0</v>
      </c>
      <c r="J5129" s="135" t="n">
        <f aca="false">$G5129*'Analyse capacite'!$D$7</f>
        <v>0</v>
      </c>
      <c r="K5129" s="135" t="n">
        <f aca="false">$G5129*'Analyse capacite'!$E$7</f>
        <v>0</v>
      </c>
    </row>
    <row r="5130" customFormat="false" ht="15" hidden="false" customHeight="false" outlineLevel="0" collapsed="false">
      <c r="B5130" s="130" t="n">
        <v>2027</v>
      </c>
      <c r="C5130" s="131" t="s">
        <v>250</v>
      </c>
      <c r="D5130" s="132" t="n">
        <v>46620</v>
      </c>
      <c r="E5130" s="131" t="s">
        <v>40</v>
      </c>
      <c r="F5130" s="133" t="s">
        <v>19</v>
      </c>
      <c r="G5130" s="134" t="n">
        <f aca="false">LEN('Saisie programme'!$I$182)+SUMIFS('Vols additionnels'!$E$7:$E$66,'Vols additionnels'!$C$7:$C$66,$E5130,'Vols additionnels'!$D$7:$D$66,$F5130,'Vols additionnels'!$B$7:$B$66,$D5130)</f>
        <v>0</v>
      </c>
      <c r="H5130" s="135" t="n">
        <f aca="false">$G5130*'Analyse capacite'!$F$8</f>
        <v>0</v>
      </c>
      <c r="I5130" s="135" t="n">
        <f aca="false">$G5130*'Analyse capacite'!$C$8</f>
        <v>0</v>
      </c>
      <c r="J5130" s="135" t="n">
        <f aca="false">$G5130*'Analyse capacite'!$D$8</f>
        <v>0</v>
      </c>
      <c r="K5130" s="135" t="n">
        <f aca="false">$G5130*'Analyse capacite'!$E$8</f>
        <v>0</v>
      </c>
    </row>
    <row r="5131" customFormat="false" ht="15" hidden="false" customHeight="false" outlineLevel="0" collapsed="false">
      <c r="B5131" s="130" t="n">
        <v>2027</v>
      </c>
      <c r="C5131" s="131" t="s">
        <v>250</v>
      </c>
      <c r="D5131" s="132" t="n">
        <v>46620</v>
      </c>
      <c r="E5131" s="131" t="s">
        <v>40</v>
      </c>
      <c r="F5131" s="133" t="s">
        <v>24</v>
      </c>
      <c r="G5131" s="134" t="n">
        <f aca="false">LEN('Saisie programme'!$I$183)+SUMIFS('Vols additionnels'!$E$7:$E$66,'Vols additionnels'!$C$7:$C$66,$E5131,'Vols additionnels'!$D$7:$D$66,$F5131,'Vols additionnels'!$B$7:$B$66,$D5131)</f>
        <v>0</v>
      </c>
      <c r="H5131" s="135" t="n">
        <f aca="false">$G5131*'Analyse capacite'!$F$9</f>
        <v>0</v>
      </c>
      <c r="I5131" s="135" t="n">
        <f aca="false">$G5131*'Analyse capacite'!$C$9</f>
        <v>0</v>
      </c>
      <c r="J5131" s="135" t="n">
        <f aca="false">$G5131*'Analyse capacite'!$D$9</f>
        <v>0</v>
      </c>
      <c r="K5131" s="135" t="n">
        <f aca="false">$G5131*'Analyse capacite'!$E$9</f>
        <v>0</v>
      </c>
    </row>
    <row r="5132" customFormat="false" ht="15" hidden="false" customHeight="false" outlineLevel="0" collapsed="false">
      <c r="B5132" s="130" t="n">
        <v>2027</v>
      </c>
      <c r="C5132" s="131" t="s">
        <v>250</v>
      </c>
      <c r="D5132" s="132" t="n">
        <v>46620</v>
      </c>
      <c r="E5132" s="131" t="s">
        <v>14</v>
      </c>
      <c r="F5132" s="133" t="s">
        <v>11</v>
      </c>
      <c r="G5132" s="134" t="n">
        <f aca="false">LEN('Saisie programme'!$I$184)+SUMIFS('Vols additionnels'!$E$7:$E$66,'Vols additionnels'!$C$7:$C$66,$E5132,'Vols additionnels'!$D$7:$D$66,$F5132,'Vols additionnels'!$B$7:$B$66,$D5132)</f>
        <v>0</v>
      </c>
      <c r="H5132" s="135" t="n">
        <f aca="false">$G5132*'Analyse capacite'!$F$7</f>
        <v>0</v>
      </c>
      <c r="I5132" s="135" t="n">
        <f aca="false">$G5132*'Analyse capacite'!$C$7</f>
        <v>0</v>
      </c>
      <c r="J5132" s="135" t="n">
        <f aca="false">$G5132*'Analyse capacite'!$D$7</f>
        <v>0</v>
      </c>
      <c r="K5132" s="135" t="n">
        <f aca="false">$G5132*'Analyse capacite'!$E$7</f>
        <v>0</v>
      </c>
    </row>
    <row r="5133" customFormat="false" ht="15" hidden="false" customHeight="false" outlineLevel="0" collapsed="false">
      <c r="B5133" s="130" t="n">
        <v>2027</v>
      </c>
      <c r="C5133" s="131" t="s">
        <v>250</v>
      </c>
      <c r="D5133" s="132" t="n">
        <v>46620</v>
      </c>
      <c r="E5133" s="131" t="s">
        <v>14</v>
      </c>
      <c r="F5133" s="133" t="s">
        <v>19</v>
      </c>
      <c r="G5133" s="134" t="n">
        <f aca="false">LEN('Saisie programme'!$I$185)+SUMIFS('Vols additionnels'!$E$7:$E$66,'Vols additionnels'!$C$7:$C$66,$E5133,'Vols additionnels'!$D$7:$D$66,$F5133,'Vols additionnels'!$B$7:$B$66,$D5133)</f>
        <v>0</v>
      </c>
      <c r="H5133" s="135" t="n">
        <f aca="false">$G5133*'Analyse capacite'!$F$8</f>
        <v>0</v>
      </c>
      <c r="I5133" s="135" t="n">
        <f aca="false">$G5133*'Analyse capacite'!$C$8</f>
        <v>0</v>
      </c>
      <c r="J5133" s="135" t="n">
        <f aca="false">$G5133*'Analyse capacite'!$D$8</f>
        <v>0</v>
      </c>
      <c r="K5133" s="135" t="n">
        <f aca="false">$G5133*'Analyse capacite'!$E$8</f>
        <v>0</v>
      </c>
    </row>
    <row r="5134" customFormat="false" ht="15" hidden="false" customHeight="false" outlineLevel="0" collapsed="false">
      <c r="B5134" s="130" t="n">
        <v>2027</v>
      </c>
      <c r="C5134" s="131" t="s">
        <v>250</v>
      </c>
      <c r="D5134" s="132" t="n">
        <v>46620</v>
      </c>
      <c r="E5134" s="131" t="s">
        <v>14</v>
      </c>
      <c r="F5134" s="133" t="s">
        <v>24</v>
      </c>
      <c r="G5134" s="134" t="n">
        <f aca="false">LEN('Saisie programme'!$I$186)+SUMIFS('Vols additionnels'!$E$7:$E$66,'Vols additionnels'!$C$7:$C$66,$E5134,'Vols additionnels'!$D$7:$D$66,$F5134,'Vols additionnels'!$B$7:$B$66,$D5134)</f>
        <v>1</v>
      </c>
      <c r="H5134" s="135" t="n">
        <f aca="false">$G5134*'Analyse capacite'!$F$9</f>
        <v>174</v>
      </c>
      <c r="I5134" s="135" t="n">
        <f aca="false">$G5134*'Analyse capacite'!$C$9</f>
        <v>0</v>
      </c>
      <c r="J5134" s="135" t="n">
        <f aca="false">$G5134*'Analyse capacite'!$D$9</f>
        <v>12</v>
      </c>
      <c r="K5134" s="135" t="n">
        <f aca="false">$G5134*'Analyse capacite'!$E$9</f>
        <v>162</v>
      </c>
    </row>
    <row r="5135" customFormat="false" ht="15" hidden="false" customHeight="false" outlineLevel="0" collapsed="false">
      <c r="B5135" s="130" t="n">
        <v>2027</v>
      </c>
      <c r="C5135" s="131" t="s">
        <v>250</v>
      </c>
      <c r="D5135" s="132" t="n">
        <v>46620</v>
      </c>
      <c r="E5135" s="131" t="s">
        <v>46</v>
      </c>
      <c r="F5135" s="133" t="s">
        <v>11</v>
      </c>
      <c r="G5135" s="134" t="n">
        <f aca="false">LEN('Saisie programme'!$I$187)+SUMIFS('Vols additionnels'!$E$7:$E$66,'Vols additionnels'!$C$7:$C$66,$E5135,'Vols additionnels'!$D$7:$D$66,$F5135,'Vols additionnels'!$B$7:$B$66,$D5135)</f>
        <v>0</v>
      </c>
      <c r="H5135" s="135" t="n">
        <f aca="false">$G5135*'Analyse capacite'!$F$7</f>
        <v>0</v>
      </c>
      <c r="I5135" s="135" t="n">
        <f aca="false">$G5135*'Analyse capacite'!$C$7</f>
        <v>0</v>
      </c>
      <c r="J5135" s="135" t="n">
        <f aca="false">$G5135*'Analyse capacite'!$D$7</f>
        <v>0</v>
      </c>
      <c r="K5135" s="135" t="n">
        <f aca="false">$G5135*'Analyse capacite'!$E$7</f>
        <v>0</v>
      </c>
    </row>
    <row r="5136" customFormat="false" ht="15" hidden="false" customHeight="false" outlineLevel="0" collapsed="false">
      <c r="B5136" s="130" t="n">
        <v>2027</v>
      </c>
      <c r="C5136" s="131" t="s">
        <v>250</v>
      </c>
      <c r="D5136" s="132" t="n">
        <v>46620</v>
      </c>
      <c r="E5136" s="131" t="s">
        <v>46</v>
      </c>
      <c r="F5136" s="133" t="s">
        <v>19</v>
      </c>
      <c r="G5136" s="134" t="n">
        <f aca="false">LEN('Saisie programme'!$I$188)+SUMIFS('Vols additionnels'!$E$7:$E$66,'Vols additionnels'!$C$7:$C$66,$E5136,'Vols additionnels'!$D$7:$D$66,$F5136,'Vols additionnels'!$B$7:$B$66,$D5136)</f>
        <v>0</v>
      </c>
      <c r="H5136" s="135" t="n">
        <f aca="false">$G5136*'Analyse capacite'!$F$8</f>
        <v>0</v>
      </c>
      <c r="I5136" s="135" t="n">
        <f aca="false">$G5136*'Analyse capacite'!$C$8</f>
        <v>0</v>
      </c>
      <c r="J5136" s="135" t="n">
        <f aca="false">$G5136*'Analyse capacite'!$D$8</f>
        <v>0</v>
      </c>
      <c r="K5136" s="135" t="n">
        <f aca="false">$G5136*'Analyse capacite'!$E$8</f>
        <v>0</v>
      </c>
    </row>
    <row r="5137" customFormat="false" ht="15" hidden="false" customHeight="false" outlineLevel="0" collapsed="false">
      <c r="B5137" s="130" t="n">
        <v>2027</v>
      </c>
      <c r="C5137" s="131" t="s">
        <v>250</v>
      </c>
      <c r="D5137" s="132" t="n">
        <v>46620</v>
      </c>
      <c r="E5137" s="131" t="s">
        <v>46</v>
      </c>
      <c r="F5137" s="133" t="s">
        <v>24</v>
      </c>
      <c r="G5137" s="134" t="n">
        <f aca="false">LEN('Saisie programme'!$I$189)+SUMIFS('Vols additionnels'!$E$7:$E$66,'Vols additionnels'!$C$7:$C$66,$E5137,'Vols additionnels'!$D$7:$D$66,$F5137,'Vols additionnels'!$B$7:$B$66,$D5137)</f>
        <v>1</v>
      </c>
      <c r="H5137" s="135" t="n">
        <f aca="false">$G5137*'Analyse capacite'!$F$9</f>
        <v>174</v>
      </c>
      <c r="I5137" s="135" t="n">
        <f aca="false">$G5137*'Analyse capacite'!$C$9</f>
        <v>0</v>
      </c>
      <c r="J5137" s="135" t="n">
        <f aca="false">$G5137*'Analyse capacite'!$D$9</f>
        <v>12</v>
      </c>
      <c r="K5137" s="135" t="n">
        <f aca="false">$G5137*'Analyse capacite'!$E$9</f>
        <v>162</v>
      </c>
    </row>
    <row r="5138" customFormat="false" ht="15" hidden="false" customHeight="false" outlineLevel="0" collapsed="false">
      <c r="B5138" s="130" t="n">
        <v>2027</v>
      </c>
      <c r="C5138" s="131" t="s">
        <v>250</v>
      </c>
      <c r="D5138" s="132" t="n">
        <v>46620</v>
      </c>
      <c r="E5138" s="131" t="s">
        <v>49</v>
      </c>
      <c r="F5138" s="133" t="s">
        <v>11</v>
      </c>
      <c r="G5138" s="134" t="n">
        <f aca="false">LEN('Saisie programme'!$I$190)+SUMIFS('Vols additionnels'!$E$7:$E$66,'Vols additionnels'!$C$7:$C$66,$E5138,'Vols additionnels'!$D$7:$D$66,$F5138,'Vols additionnels'!$B$7:$B$66,$D5138)</f>
        <v>0</v>
      </c>
      <c r="H5138" s="135" t="n">
        <f aca="false">$G5138*'Analyse capacite'!$F$7</f>
        <v>0</v>
      </c>
      <c r="I5138" s="135" t="n">
        <f aca="false">$G5138*'Analyse capacite'!$C$7</f>
        <v>0</v>
      </c>
      <c r="J5138" s="135" t="n">
        <f aca="false">$G5138*'Analyse capacite'!$D$7</f>
        <v>0</v>
      </c>
      <c r="K5138" s="135" t="n">
        <f aca="false">$G5138*'Analyse capacite'!$E$7</f>
        <v>0</v>
      </c>
    </row>
    <row r="5139" customFormat="false" ht="15" hidden="false" customHeight="false" outlineLevel="0" collapsed="false">
      <c r="B5139" s="130" t="n">
        <v>2027</v>
      </c>
      <c r="C5139" s="131" t="s">
        <v>250</v>
      </c>
      <c r="D5139" s="132" t="n">
        <v>46620</v>
      </c>
      <c r="E5139" s="131" t="s">
        <v>49</v>
      </c>
      <c r="F5139" s="133" t="s">
        <v>19</v>
      </c>
      <c r="G5139" s="134" t="n">
        <f aca="false">LEN('Saisie programme'!$I$191)+SUMIFS('Vols additionnels'!$E$7:$E$66,'Vols additionnels'!$C$7:$C$66,$E5139,'Vols additionnels'!$D$7:$D$66,$F5139,'Vols additionnels'!$B$7:$B$66,$D5139)</f>
        <v>0</v>
      </c>
      <c r="H5139" s="135" t="n">
        <f aca="false">$G5139*'Analyse capacite'!$F$8</f>
        <v>0</v>
      </c>
      <c r="I5139" s="135" t="n">
        <f aca="false">$G5139*'Analyse capacite'!$C$8</f>
        <v>0</v>
      </c>
      <c r="J5139" s="135" t="n">
        <f aca="false">$G5139*'Analyse capacite'!$D$8</f>
        <v>0</v>
      </c>
      <c r="K5139" s="135" t="n">
        <f aca="false">$G5139*'Analyse capacite'!$E$8</f>
        <v>0</v>
      </c>
    </row>
    <row r="5140" customFormat="false" ht="15" hidden="false" customHeight="false" outlineLevel="0" collapsed="false">
      <c r="B5140" s="130" t="n">
        <v>2027</v>
      </c>
      <c r="C5140" s="131" t="s">
        <v>250</v>
      </c>
      <c r="D5140" s="132" t="n">
        <v>46620</v>
      </c>
      <c r="E5140" s="131" t="s">
        <v>49</v>
      </c>
      <c r="F5140" s="133" t="s">
        <v>24</v>
      </c>
      <c r="G5140" s="134" t="n">
        <f aca="false">LEN('Saisie programme'!$I$192)+SUMIFS('Vols additionnels'!$E$7:$E$66,'Vols additionnels'!$C$7:$C$66,$E5140,'Vols additionnels'!$D$7:$D$66,$F5140,'Vols additionnels'!$B$7:$B$66,$D5140)</f>
        <v>0</v>
      </c>
      <c r="H5140" s="135" t="n">
        <f aca="false">$G5140*'Analyse capacite'!$F$9</f>
        <v>0</v>
      </c>
      <c r="I5140" s="135" t="n">
        <f aca="false">$G5140*'Analyse capacite'!$C$9</f>
        <v>0</v>
      </c>
      <c r="J5140" s="135" t="n">
        <f aca="false">$G5140*'Analyse capacite'!$D$9</f>
        <v>0</v>
      </c>
      <c r="K5140" s="135" t="n">
        <f aca="false">$G5140*'Analyse capacite'!$E$9</f>
        <v>0</v>
      </c>
    </row>
    <row r="5141" customFormat="false" ht="15" hidden="false" customHeight="false" outlineLevel="0" collapsed="false">
      <c r="B5141" s="130" t="n">
        <v>2027</v>
      </c>
      <c r="C5141" s="131" t="s">
        <v>250</v>
      </c>
      <c r="D5141" s="132" t="n">
        <v>46620</v>
      </c>
      <c r="E5141" s="131" t="s">
        <v>53</v>
      </c>
      <c r="F5141" s="133" t="s">
        <v>11</v>
      </c>
      <c r="G5141" s="134" t="n">
        <f aca="false">LEN('Saisie programme'!$I$193)+SUMIFS('Vols additionnels'!$E$7:$E$66,'Vols additionnels'!$C$7:$C$66,$E5141,'Vols additionnels'!$D$7:$D$66,$F5141,'Vols additionnels'!$B$7:$B$66,$D5141)</f>
        <v>0</v>
      </c>
      <c r="H5141" s="135" t="n">
        <f aca="false">$G5141*'Analyse capacite'!$F$7</f>
        <v>0</v>
      </c>
      <c r="I5141" s="135" t="n">
        <f aca="false">$G5141*'Analyse capacite'!$C$7</f>
        <v>0</v>
      </c>
      <c r="J5141" s="135" t="n">
        <f aca="false">$G5141*'Analyse capacite'!$D$7</f>
        <v>0</v>
      </c>
      <c r="K5141" s="135" t="n">
        <f aca="false">$G5141*'Analyse capacite'!$E$7</f>
        <v>0</v>
      </c>
    </row>
    <row r="5142" customFormat="false" ht="15" hidden="false" customHeight="false" outlineLevel="0" collapsed="false">
      <c r="B5142" s="130" t="n">
        <v>2027</v>
      </c>
      <c r="C5142" s="131" t="s">
        <v>250</v>
      </c>
      <c r="D5142" s="132" t="n">
        <v>46620</v>
      </c>
      <c r="E5142" s="131" t="s">
        <v>53</v>
      </c>
      <c r="F5142" s="133" t="s">
        <v>19</v>
      </c>
      <c r="G5142" s="134" t="n">
        <f aca="false">LEN('Saisie programme'!$I$194)+SUMIFS('Vols additionnels'!$E$7:$E$66,'Vols additionnels'!$C$7:$C$66,$E5142,'Vols additionnels'!$D$7:$D$66,$F5142,'Vols additionnels'!$B$7:$B$66,$D5142)</f>
        <v>0</v>
      </c>
      <c r="H5142" s="135" t="n">
        <f aca="false">$G5142*'Analyse capacite'!$F$8</f>
        <v>0</v>
      </c>
      <c r="I5142" s="135" t="n">
        <f aca="false">$G5142*'Analyse capacite'!$C$8</f>
        <v>0</v>
      </c>
      <c r="J5142" s="135" t="n">
        <f aca="false">$G5142*'Analyse capacite'!$D$8</f>
        <v>0</v>
      </c>
      <c r="K5142" s="135" t="n">
        <f aca="false">$G5142*'Analyse capacite'!$E$8</f>
        <v>0</v>
      </c>
    </row>
    <row r="5143" customFormat="false" ht="15" hidden="false" customHeight="false" outlineLevel="0" collapsed="false">
      <c r="B5143" s="130" t="n">
        <v>2027</v>
      </c>
      <c r="C5143" s="131" t="s">
        <v>250</v>
      </c>
      <c r="D5143" s="132" t="n">
        <v>46620</v>
      </c>
      <c r="E5143" s="131" t="s">
        <v>53</v>
      </c>
      <c r="F5143" s="133" t="s">
        <v>24</v>
      </c>
      <c r="G5143" s="134" t="n">
        <f aca="false">LEN('Saisie programme'!$I$195)+SUMIFS('Vols additionnels'!$E$7:$E$66,'Vols additionnels'!$C$7:$C$66,$E5143,'Vols additionnels'!$D$7:$D$66,$F5143,'Vols additionnels'!$B$7:$B$66,$D5143)</f>
        <v>0</v>
      </c>
      <c r="H5143" s="135" t="n">
        <f aca="false">$G5143*'Analyse capacite'!$F$9</f>
        <v>0</v>
      </c>
      <c r="I5143" s="135" t="n">
        <f aca="false">$G5143*'Analyse capacite'!$C$9</f>
        <v>0</v>
      </c>
      <c r="J5143" s="135" t="n">
        <f aca="false">$G5143*'Analyse capacite'!$D$9</f>
        <v>0</v>
      </c>
      <c r="K5143" s="135" t="n">
        <f aca="false">$G5143*'Analyse capacite'!$E$9</f>
        <v>0</v>
      </c>
    </row>
    <row r="5144" customFormat="false" ht="15" hidden="false" customHeight="false" outlineLevel="0" collapsed="false">
      <c r="B5144" s="130" t="n">
        <v>2027</v>
      </c>
      <c r="C5144" s="131" t="s">
        <v>250</v>
      </c>
      <c r="D5144" s="132" t="n">
        <v>46620</v>
      </c>
      <c r="E5144" s="131" t="s">
        <v>56</v>
      </c>
      <c r="F5144" s="133" t="s">
        <v>11</v>
      </c>
      <c r="G5144" s="134" t="n">
        <f aca="false">LEN('Saisie programme'!$I$196)+SUMIFS('Vols additionnels'!$E$7:$E$66,'Vols additionnels'!$C$7:$C$66,$E5144,'Vols additionnels'!$D$7:$D$66,$F5144,'Vols additionnels'!$B$7:$B$66,$D5144)</f>
        <v>0</v>
      </c>
      <c r="H5144" s="135" t="n">
        <f aca="false">$G5144*'Analyse capacite'!$F$7</f>
        <v>0</v>
      </c>
      <c r="I5144" s="135" t="n">
        <f aca="false">$G5144*'Analyse capacite'!$C$7</f>
        <v>0</v>
      </c>
      <c r="J5144" s="135" t="n">
        <f aca="false">$G5144*'Analyse capacite'!$D$7</f>
        <v>0</v>
      </c>
      <c r="K5144" s="135" t="n">
        <f aca="false">$G5144*'Analyse capacite'!$E$7</f>
        <v>0</v>
      </c>
    </row>
    <row r="5145" customFormat="false" ht="15" hidden="false" customHeight="false" outlineLevel="0" collapsed="false">
      <c r="B5145" s="130" t="n">
        <v>2027</v>
      </c>
      <c r="C5145" s="131" t="s">
        <v>250</v>
      </c>
      <c r="D5145" s="132" t="n">
        <v>46620</v>
      </c>
      <c r="E5145" s="131" t="s">
        <v>56</v>
      </c>
      <c r="F5145" s="133" t="s">
        <v>19</v>
      </c>
      <c r="G5145" s="134" t="n">
        <f aca="false">LEN('Saisie programme'!$I$197)+SUMIFS('Vols additionnels'!$E$7:$E$66,'Vols additionnels'!$C$7:$C$66,$E5145,'Vols additionnels'!$D$7:$D$66,$F5145,'Vols additionnels'!$B$7:$B$66,$D5145)</f>
        <v>0</v>
      </c>
      <c r="H5145" s="135" t="n">
        <f aca="false">$G5145*'Analyse capacite'!$F$8</f>
        <v>0</v>
      </c>
      <c r="I5145" s="135" t="n">
        <f aca="false">$G5145*'Analyse capacite'!$C$8</f>
        <v>0</v>
      </c>
      <c r="J5145" s="135" t="n">
        <f aca="false">$G5145*'Analyse capacite'!$D$8</f>
        <v>0</v>
      </c>
      <c r="K5145" s="135" t="n">
        <f aca="false">$G5145*'Analyse capacite'!$E$8</f>
        <v>0</v>
      </c>
    </row>
    <row r="5146" customFormat="false" ht="15" hidden="false" customHeight="false" outlineLevel="0" collapsed="false">
      <c r="B5146" s="130" t="n">
        <v>2027</v>
      </c>
      <c r="C5146" s="131" t="s">
        <v>250</v>
      </c>
      <c r="D5146" s="132" t="n">
        <v>46620</v>
      </c>
      <c r="E5146" s="131" t="s">
        <v>56</v>
      </c>
      <c r="F5146" s="133" t="s">
        <v>24</v>
      </c>
      <c r="G5146" s="134" t="n">
        <f aca="false">LEN('Saisie programme'!$I$198)+SUMIFS('Vols additionnels'!$E$7:$E$66,'Vols additionnels'!$C$7:$C$66,$E5146,'Vols additionnels'!$D$7:$D$66,$F5146,'Vols additionnels'!$B$7:$B$66,$D5146)</f>
        <v>1</v>
      </c>
      <c r="H5146" s="135" t="n">
        <f aca="false">$G5146*'Analyse capacite'!$F$9</f>
        <v>174</v>
      </c>
      <c r="I5146" s="135" t="n">
        <f aca="false">$G5146*'Analyse capacite'!$C$9</f>
        <v>0</v>
      </c>
      <c r="J5146" s="135" t="n">
        <f aca="false">$G5146*'Analyse capacite'!$D$9</f>
        <v>12</v>
      </c>
      <c r="K5146" s="135" t="n">
        <f aca="false">$G5146*'Analyse capacite'!$E$9</f>
        <v>162</v>
      </c>
    </row>
    <row r="5147" customFormat="false" ht="15" hidden="false" customHeight="false" outlineLevel="0" collapsed="false">
      <c r="B5147" s="130" t="n">
        <v>2027</v>
      </c>
      <c r="C5147" s="131" t="s">
        <v>250</v>
      </c>
      <c r="D5147" s="132" t="n">
        <v>46620</v>
      </c>
      <c r="E5147" s="131" t="s">
        <v>59</v>
      </c>
      <c r="F5147" s="133" t="s">
        <v>11</v>
      </c>
      <c r="G5147" s="134" t="n">
        <f aca="false">LEN('Saisie programme'!$I$199)+SUMIFS('Vols additionnels'!$E$7:$E$66,'Vols additionnels'!$C$7:$C$66,$E5147,'Vols additionnels'!$D$7:$D$66,$F5147,'Vols additionnels'!$B$7:$B$66,$D5147)</f>
        <v>0</v>
      </c>
      <c r="H5147" s="135" t="n">
        <f aca="false">$G5147*'Analyse capacite'!$F$7</f>
        <v>0</v>
      </c>
      <c r="I5147" s="135" t="n">
        <f aca="false">$G5147*'Analyse capacite'!$C$7</f>
        <v>0</v>
      </c>
      <c r="J5147" s="135" t="n">
        <f aca="false">$G5147*'Analyse capacite'!$D$7</f>
        <v>0</v>
      </c>
      <c r="K5147" s="135" t="n">
        <f aca="false">$G5147*'Analyse capacite'!$E$7</f>
        <v>0</v>
      </c>
    </row>
    <row r="5148" customFormat="false" ht="15" hidden="false" customHeight="false" outlineLevel="0" collapsed="false">
      <c r="B5148" s="130" t="n">
        <v>2027</v>
      </c>
      <c r="C5148" s="131" t="s">
        <v>250</v>
      </c>
      <c r="D5148" s="132" t="n">
        <v>46620</v>
      </c>
      <c r="E5148" s="131" t="s">
        <v>59</v>
      </c>
      <c r="F5148" s="133" t="s">
        <v>19</v>
      </c>
      <c r="G5148" s="134" t="n">
        <f aca="false">LEN('Saisie programme'!$I$200)+SUMIFS('Vols additionnels'!$E$7:$E$66,'Vols additionnels'!$C$7:$C$66,$E5148,'Vols additionnels'!$D$7:$D$66,$F5148,'Vols additionnels'!$B$7:$B$66,$D5148)</f>
        <v>0</v>
      </c>
      <c r="H5148" s="135" t="n">
        <f aca="false">$G5148*'Analyse capacite'!$F$8</f>
        <v>0</v>
      </c>
      <c r="I5148" s="135" t="n">
        <f aca="false">$G5148*'Analyse capacite'!$C$8</f>
        <v>0</v>
      </c>
      <c r="J5148" s="135" t="n">
        <f aca="false">$G5148*'Analyse capacite'!$D$8</f>
        <v>0</v>
      </c>
      <c r="K5148" s="135" t="n">
        <f aca="false">$G5148*'Analyse capacite'!$E$8</f>
        <v>0</v>
      </c>
    </row>
    <row r="5149" customFormat="false" ht="15" hidden="false" customHeight="false" outlineLevel="0" collapsed="false">
      <c r="B5149" s="130" t="n">
        <v>2027</v>
      </c>
      <c r="C5149" s="131" t="s">
        <v>250</v>
      </c>
      <c r="D5149" s="132" t="n">
        <v>46620</v>
      </c>
      <c r="E5149" s="131" t="s">
        <v>59</v>
      </c>
      <c r="F5149" s="133" t="s">
        <v>24</v>
      </c>
      <c r="G5149" s="134" t="n">
        <f aca="false">LEN('Saisie programme'!$I$201)+SUMIFS('Vols additionnels'!$E$7:$E$66,'Vols additionnels'!$C$7:$C$66,$E5149,'Vols additionnels'!$D$7:$D$66,$F5149,'Vols additionnels'!$B$7:$B$66,$D5149)</f>
        <v>1</v>
      </c>
      <c r="H5149" s="135" t="n">
        <f aca="false">$G5149*'Analyse capacite'!$F$9</f>
        <v>174</v>
      </c>
      <c r="I5149" s="135" t="n">
        <f aca="false">$G5149*'Analyse capacite'!$C$9</f>
        <v>0</v>
      </c>
      <c r="J5149" s="135" t="n">
        <f aca="false">$G5149*'Analyse capacite'!$D$9</f>
        <v>12</v>
      </c>
      <c r="K5149" s="135" t="n">
        <f aca="false">$G5149*'Analyse capacite'!$E$9</f>
        <v>162</v>
      </c>
    </row>
    <row r="5150" customFormat="false" ht="15" hidden="false" customHeight="false" outlineLevel="0" collapsed="false">
      <c r="B5150" s="130" t="n">
        <v>2027</v>
      </c>
      <c r="C5150" s="131" t="s">
        <v>250</v>
      </c>
      <c r="D5150" s="132" t="n">
        <v>46620</v>
      </c>
      <c r="E5150" s="131" t="s">
        <v>62</v>
      </c>
      <c r="F5150" s="133" t="s">
        <v>11</v>
      </c>
      <c r="G5150" s="134" t="n">
        <f aca="false">LEN('Saisie programme'!$I$202)+SUMIFS('Vols additionnels'!$E$7:$E$66,'Vols additionnels'!$C$7:$C$66,$E5150,'Vols additionnels'!$D$7:$D$66,$F5150,'Vols additionnels'!$B$7:$B$66,$D5150)</f>
        <v>0</v>
      </c>
      <c r="H5150" s="135" t="n">
        <f aca="false">$G5150*'Analyse capacite'!$F$7</f>
        <v>0</v>
      </c>
      <c r="I5150" s="135" t="n">
        <f aca="false">$G5150*'Analyse capacite'!$C$7</f>
        <v>0</v>
      </c>
      <c r="J5150" s="135" t="n">
        <f aca="false">$G5150*'Analyse capacite'!$D$7</f>
        <v>0</v>
      </c>
      <c r="K5150" s="135" t="n">
        <f aca="false">$G5150*'Analyse capacite'!$E$7</f>
        <v>0</v>
      </c>
    </row>
    <row r="5151" customFormat="false" ht="15" hidden="false" customHeight="false" outlineLevel="0" collapsed="false">
      <c r="B5151" s="130" t="n">
        <v>2027</v>
      </c>
      <c r="C5151" s="131" t="s">
        <v>250</v>
      </c>
      <c r="D5151" s="132" t="n">
        <v>46620</v>
      </c>
      <c r="E5151" s="131" t="s">
        <v>62</v>
      </c>
      <c r="F5151" s="133" t="s">
        <v>19</v>
      </c>
      <c r="G5151" s="134" t="n">
        <f aca="false">LEN('Saisie programme'!$I$203)+SUMIFS('Vols additionnels'!$E$7:$E$66,'Vols additionnels'!$C$7:$C$66,$E5151,'Vols additionnels'!$D$7:$D$66,$F5151,'Vols additionnels'!$B$7:$B$66,$D5151)</f>
        <v>0</v>
      </c>
      <c r="H5151" s="135" t="n">
        <f aca="false">$G5151*'Analyse capacite'!$F$8</f>
        <v>0</v>
      </c>
      <c r="I5151" s="135" t="n">
        <f aca="false">$G5151*'Analyse capacite'!$C$8</f>
        <v>0</v>
      </c>
      <c r="J5151" s="135" t="n">
        <f aca="false">$G5151*'Analyse capacite'!$D$8</f>
        <v>0</v>
      </c>
      <c r="K5151" s="135" t="n">
        <f aca="false">$G5151*'Analyse capacite'!$E$8</f>
        <v>0</v>
      </c>
    </row>
    <row r="5152" customFormat="false" ht="15" hidden="false" customHeight="false" outlineLevel="0" collapsed="false">
      <c r="B5152" s="130" t="n">
        <v>2027</v>
      </c>
      <c r="C5152" s="131" t="s">
        <v>250</v>
      </c>
      <c r="D5152" s="132" t="n">
        <v>46620</v>
      </c>
      <c r="E5152" s="131" t="s">
        <v>62</v>
      </c>
      <c r="F5152" s="133" t="s">
        <v>24</v>
      </c>
      <c r="G5152" s="134" t="n">
        <f aca="false">LEN('Saisie programme'!$I$204)+SUMIFS('Vols additionnels'!$E$7:$E$66,'Vols additionnels'!$C$7:$C$66,$E5152,'Vols additionnels'!$D$7:$D$66,$F5152,'Vols additionnels'!$B$7:$B$66,$D5152)</f>
        <v>0</v>
      </c>
      <c r="H5152" s="135" t="n">
        <f aca="false">$G5152*'Analyse capacite'!$F$9</f>
        <v>0</v>
      </c>
      <c r="I5152" s="135" t="n">
        <f aca="false">$G5152*'Analyse capacite'!$C$9</f>
        <v>0</v>
      </c>
      <c r="J5152" s="135" t="n">
        <f aca="false">$G5152*'Analyse capacite'!$D$9</f>
        <v>0</v>
      </c>
      <c r="K5152" s="135" t="n">
        <f aca="false">$G5152*'Analyse capacite'!$E$9</f>
        <v>0</v>
      </c>
    </row>
    <row r="5153" customFormat="false" ht="15" hidden="false" customHeight="false" outlineLevel="0" collapsed="false">
      <c r="B5153" s="130" t="n">
        <v>2027</v>
      </c>
      <c r="C5153" s="131" t="s">
        <v>250</v>
      </c>
      <c r="D5153" s="132" t="n">
        <v>46621</v>
      </c>
      <c r="E5153" s="131" t="s">
        <v>12</v>
      </c>
      <c r="F5153" s="133" t="s">
        <v>11</v>
      </c>
      <c r="G5153" s="134" t="n">
        <f aca="false">LEN('Saisie programme'!$J$169)+SUMIFS('Vols additionnels'!$E$7:$E$66,'Vols additionnels'!$C$7:$C$66,$E5153,'Vols additionnels'!$D$7:$D$66,$F5153,'Vols additionnels'!$B$7:$B$66,$D5153)</f>
        <v>1</v>
      </c>
      <c r="H5153" s="135" t="n">
        <f aca="false">$G5153*'Analyse capacite'!$F$7</f>
        <v>438</v>
      </c>
      <c r="I5153" s="135" t="n">
        <f aca="false">$G5153*'Analyse capacite'!$C$7</f>
        <v>14</v>
      </c>
      <c r="J5153" s="135" t="n">
        <f aca="false">$G5153*'Analyse capacite'!$D$7</f>
        <v>40</v>
      </c>
      <c r="K5153" s="135" t="n">
        <f aca="false">$G5153*'Analyse capacite'!$E$7</f>
        <v>384</v>
      </c>
    </row>
    <row r="5154" customFormat="false" ht="15" hidden="false" customHeight="false" outlineLevel="0" collapsed="false">
      <c r="B5154" s="130" t="n">
        <v>2027</v>
      </c>
      <c r="C5154" s="131" t="s">
        <v>250</v>
      </c>
      <c r="D5154" s="132" t="n">
        <v>46621</v>
      </c>
      <c r="E5154" s="131" t="s">
        <v>12</v>
      </c>
      <c r="F5154" s="133" t="s">
        <v>19</v>
      </c>
      <c r="G5154" s="134" t="n">
        <f aca="false">LEN('Saisie programme'!$J$170)+SUMIFS('Vols additionnels'!$E$7:$E$66,'Vols additionnels'!$C$7:$C$66,$E5154,'Vols additionnels'!$D$7:$D$66,$F5154,'Vols additionnels'!$B$7:$B$66,$D5154)</f>
        <v>1</v>
      </c>
      <c r="H5154" s="135" t="n">
        <f aca="false">$G5154*'Analyse capacite'!$F$8</f>
        <v>262</v>
      </c>
      <c r="I5154" s="135" t="n">
        <f aca="false">$G5154*'Analyse capacite'!$C$8</f>
        <v>18</v>
      </c>
      <c r="J5154" s="135" t="n">
        <f aca="false">$G5154*'Analyse capacite'!$D$8</f>
        <v>0</v>
      </c>
      <c r="K5154" s="135" t="n">
        <f aca="false">$G5154*'Analyse capacite'!$E$8</f>
        <v>244</v>
      </c>
    </row>
    <row r="5155" customFormat="false" ht="15" hidden="false" customHeight="false" outlineLevel="0" collapsed="false">
      <c r="B5155" s="130" t="n">
        <v>2027</v>
      </c>
      <c r="C5155" s="131" t="s">
        <v>250</v>
      </c>
      <c r="D5155" s="132" t="n">
        <v>46621</v>
      </c>
      <c r="E5155" s="131" t="s">
        <v>12</v>
      </c>
      <c r="F5155" s="133" t="s">
        <v>24</v>
      </c>
      <c r="G5155" s="134" t="n">
        <f aca="false">LEN('Saisie programme'!$J$171)+SUMIFS('Vols additionnels'!$E$7:$E$66,'Vols additionnels'!$C$7:$C$66,$E5155,'Vols additionnels'!$D$7:$D$66,$F5155,'Vols additionnels'!$B$7:$B$66,$D5155)</f>
        <v>0</v>
      </c>
      <c r="H5155" s="135" t="n">
        <f aca="false">$G5155*'Analyse capacite'!$F$9</f>
        <v>0</v>
      </c>
      <c r="I5155" s="135" t="n">
        <f aca="false">$G5155*'Analyse capacite'!$C$9</f>
        <v>0</v>
      </c>
      <c r="J5155" s="135" t="n">
        <f aca="false">$G5155*'Analyse capacite'!$D$9</f>
        <v>0</v>
      </c>
      <c r="K5155" s="135" t="n">
        <f aca="false">$G5155*'Analyse capacite'!$E$9</f>
        <v>0</v>
      </c>
    </row>
    <row r="5156" customFormat="false" ht="15" hidden="false" customHeight="false" outlineLevel="0" collapsed="false">
      <c r="B5156" s="130" t="n">
        <v>2027</v>
      </c>
      <c r="C5156" s="131" t="s">
        <v>250</v>
      </c>
      <c r="D5156" s="132" t="n">
        <v>46621</v>
      </c>
      <c r="E5156" s="131" t="s">
        <v>20</v>
      </c>
      <c r="F5156" s="133" t="s">
        <v>11</v>
      </c>
      <c r="G5156" s="134" t="n">
        <f aca="false">LEN('Saisie programme'!$J$172)+SUMIFS('Vols additionnels'!$E$7:$E$66,'Vols additionnels'!$C$7:$C$66,$E5156,'Vols additionnels'!$D$7:$D$66,$F5156,'Vols additionnels'!$B$7:$B$66,$D5156)</f>
        <v>1</v>
      </c>
      <c r="H5156" s="135" t="n">
        <f aca="false">$G5156*'Analyse capacite'!$F$7</f>
        <v>438</v>
      </c>
      <c r="I5156" s="135" t="n">
        <f aca="false">$G5156*'Analyse capacite'!$C$7</f>
        <v>14</v>
      </c>
      <c r="J5156" s="135" t="n">
        <f aca="false">$G5156*'Analyse capacite'!$D$7</f>
        <v>40</v>
      </c>
      <c r="K5156" s="135" t="n">
        <f aca="false">$G5156*'Analyse capacite'!$E$7</f>
        <v>384</v>
      </c>
    </row>
    <row r="5157" customFormat="false" ht="15" hidden="false" customHeight="false" outlineLevel="0" collapsed="false">
      <c r="B5157" s="130" t="n">
        <v>2027</v>
      </c>
      <c r="C5157" s="131" t="s">
        <v>250</v>
      </c>
      <c r="D5157" s="132" t="n">
        <v>46621</v>
      </c>
      <c r="E5157" s="131" t="s">
        <v>20</v>
      </c>
      <c r="F5157" s="133" t="s">
        <v>19</v>
      </c>
      <c r="G5157" s="134" t="n">
        <f aca="false">LEN('Saisie programme'!$J$173)+SUMIFS('Vols additionnels'!$E$7:$E$66,'Vols additionnels'!$C$7:$C$66,$E5157,'Vols additionnels'!$D$7:$D$66,$F5157,'Vols additionnels'!$B$7:$B$66,$D5157)</f>
        <v>0</v>
      </c>
      <c r="H5157" s="135" t="n">
        <f aca="false">$G5157*'Analyse capacite'!$F$8</f>
        <v>0</v>
      </c>
      <c r="I5157" s="135" t="n">
        <f aca="false">$G5157*'Analyse capacite'!$C$8</f>
        <v>0</v>
      </c>
      <c r="J5157" s="135" t="n">
        <f aca="false">$G5157*'Analyse capacite'!$D$8</f>
        <v>0</v>
      </c>
      <c r="K5157" s="135" t="n">
        <f aca="false">$G5157*'Analyse capacite'!$E$8</f>
        <v>0</v>
      </c>
    </row>
    <row r="5158" customFormat="false" ht="15" hidden="false" customHeight="false" outlineLevel="0" collapsed="false">
      <c r="B5158" s="130" t="n">
        <v>2027</v>
      </c>
      <c r="C5158" s="131" t="s">
        <v>250</v>
      </c>
      <c r="D5158" s="132" t="n">
        <v>46621</v>
      </c>
      <c r="E5158" s="131" t="s">
        <v>20</v>
      </c>
      <c r="F5158" s="133" t="s">
        <v>24</v>
      </c>
      <c r="G5158" s="134" t="n">
        <f aca="false">LEN('Saisie programme'!$J$174)+SUMIFS('Vols additionnels'!$E$7:$E$66,'Vols additionnels'!$C$7:$C$66,$E5158,'Vols additionnels'!$D$7:$D$66,$F5158,'Vols additionnels'!$B$7:$B$66,$D5158)</f>
        <v>0</v>
      </c>
      <c r="H5158" s="135" t="n">
        <f aca="false">$G5158*'Analyse capacite'!$F$9</f>
        <v>0</v>
      </c>
      <c r="I5158" s="135" t="n">
        <f aca="false">$G5158*'Analyse capacite'!$C$9</f>
        <v>0</v>
      </c>
      <c r="J5158" s="135" t="n">
        <f aca="false">$G5158*'Analyse capacite'!$D$9</f>
        <v>0</v>
      </c>
      <c r="K5158" s="135" t="n">
        <f aca="false">$G5158*'Analyse capacite'!$E$9</f>
        <v>0</v>
      </c>
    </row>
    <row r="5159" customFormat="false" ht="15" hidden="false" customHeight="false" outlineLevel="0" collapsed="false">
      <c r="B5159" s="130" t="n">
        <v>2027</v>
      </c>
      <c r="C5159" s="131" t="s">
        <v>250</v>
      </c>
      <c r="D5159" s="132" t="n">
        <v>46621</v>
      </c>
      <c r="E5159" s="131" t="s">
        <v>25</v>
      </c>
      <c r="F5159" s="133" t="s">
        <v>11</v>
      </c>
      <c r="G5159" s="134" t="n">
        <f aca="false">LEN('Saisie programme'!$J$175)+SUMIFS('Vols additionnels'!$E$7:$E$66,'Vols additionnels'!$C$7:$C$66,$E5159,'Vols additionnels'!$D$7:$D$66,$F5159,'Vols additionnels'!$B$7:$B$66,$D5159)</f>
        <v>0</v>
      </c>
      <c r="H5159" s="135" t="n">
        <f aca="false">$G5159*'Analyse capacite'!$F$7</f>
        <v>0</v>
      </c>
      <c r="I5159" s="135" t="n">
        <f aca="false">$G5159*'Analyse capacite'!$C$7</f>
        <v>0</v>
      </c>
      <c r="J5159" s="135" t="n">
        <f aca="false">$G5159*'Analyse capacite'!$D$7</f>
        <v>0</v>
      </c>
      <c r="K5159" s="135" t="n">
        <f aca="false">$G5159*'Analyse capacite'!$E$7</f>
        <v>0</v>
      </c>
    </row>
    <row r="5160" customFormat="false" ht="15" hidden="false" customHeight="false" outlineLevel="0" collapsed="false">
      <c r="B5160" s="130" t="n">
        <v>2027</v>
      </c>
      <c r="C5160" s="131" t="s">
        <v>250</v>
      </c>
      <c r="D5160" s="132" t="n">
        <v>46621</v>
      </c>
      <c r="E5160" s="131" t="s">
        <v>25</v>
      </c>
      <c r="F5160" s="133" t="s">
        <v>19</v>
      </c>
      <c r="G5160" s="134" t="n">
        <f aca="false">LEN('Saisie programme'!$J$176)+SUMIFS('Vols additionnels'!$E$7:$E$66,'Vols additionnels'!$C$7:$C$66,$E5160,'Vols additionnels'!$D$7:$D$66,$F5160,'Vols additionnels'!$B$7:$B$66,$D5160)</f>
        <v>0</v>
      </c>
      <c r="H5160" s="135" t="n">
        <f aca="false">$G5160*'Analyse capacite'!$F$8</f>
        <v>0</v>
      </c>
      <c r="I5160" s="135" t="n">
        <f aca="false">$G5160*'Analyse capacite'!$C$8</f>
        <v>0</v>
      </c>
      <c r="J5160" s="135" t="n">
        <f aca="false">$G5160*'Analyse capacite'!$D$8</f>
        <v>0</v>
      </c>
      <c r="K5160" s="135" t="n">
        <f aca="false">$G5160*'Analyse capacite'!$E$8</f>
        <v>0</v>
      </c>
    </row>
    <row r="5161" customFormat="false" ht="15" hidden="false" customHeight="false" outlineLevel="0" collapsed="false">
      <c r="B5161" s="130" t="n">
        <v>2027</v>
      </c>
      <c r="C5161" s="131" t="s">
        <v>250</v>
      </c>
      <c r="D5161" s="132" t="n">
        <v>46621</v>
      </c>
      <c r="E5161" s="131" t="s">
        <v>25</v>
      </c>
      <c r="F5161" s="133" t="s">
        <v>24</v>
      </c>
      <c r="G5161" s="134" t="n">
        <f aca="false">LEN('Saisie programme'!$J$177)+SUMIFS('Vols additionnels'!$E$7:$E$66,'Vols additionnels'!$C$7:$C$66,$E5161,'Vols additionnels'!$D$7:$D$66,$F5161,'Vols additionnels'!$B$7:$B$66,$D5161)</f>
        <v>0</v>
      </c>
      <c r="H5161" s="135" t="n">
        <f aca="false">$G5161*'Analyse capacite'!$F$9</f>
        <v>0</v>
      </c>
      <c r="I5161" s="135" t="n">
        <f aca="false">$G5161*'Analyse capacite'!$C$9</f>
        <v>0</v>
      </c>
      <c r="J5161" s="135" t="n">
        <f aca="false">$G5161*'Analyse capacite'!$D$9</f>
        <v>0</v>
      </c>
      <c r="K5161" s="135" t="n">
        <f aca="false">$G5161*'Analyse capacite'!$E$9</f>
        <v>0</v>
      </c>
    </row>
    <row r="5162" customFormat="false" ht="15" hidden="false" customHeight="false" outlineLevel="0" collapsed="false">
      <c r="B5162" s="130" t="n">
        <v>2027</v>
      </c>
      <c r="C5162" s="131" t="s">
        <v>250</v>
      </c>
      <c r="D5162" s="132" t="n">
        <v>46621</v>
      </c>
      <c r="E5162" s="131" t="s">
        <v>36</v>
      </c>
      <c r="F5162" s="133" t="s">
        <v>11</v>
      </c>
      <c r="G5162" s="134" t="n">
        <f aca="false">LEN('Saisie programme'!$J$178)+SUMIFS('Vols additionnels'!$E$7:$E$66,'Vols additionnels'!$C$7:$C$66,$E5162,'Vols additionnels'!$D$7:$D$66,$F5162,'Vols additionnels'!$B$7:$B$66,$D5162)</f>
        <v>0</v>
      </c>
      <c r="H5162" s="135" t="n">
        <f aca="false">$G5162*'Analyse capacite'!$F$7</f>
        <v>0</v>
      </c>
      <c r="I5162" s="135" t="n">
        <f aca="false">$G5162*'Analyse capacite'!$C$7</f>
        <v>0</v>
      </c>
      <c r="J5162" s="135" t="n">
        <f aca="false">$G5162*'Analyse capacite'!$D$7</f>
        <v>0</v>
      </c>
      <c r="K5162" s="135" t="n">
        <f aca="false">$G5162*'Analyse capacite'!$E$7</f>
        <v>0</v>
      </c>
    </row>
    <row r="5163" customFormat="false" ht="15" hidden="false" customHeight="false" outlineLevel="0" collapsed="false">
      <c r="B5163" s="130" t="n">
        <v>2027</v>
      </c>
      <c r="C5163" s="131" t="s">
        <v>250</v>
      </c>
      <c r="D5163" s="132" t="n">
        <v>46621</v>
      </c>
      <c r="E5163" s="131" t="s">
        <v>36</v>
      </c>
      <c r="F5163" s="133" t="s">
        <v>19</v>
      </c>
      <c r="G5163" s="134" t="n">
        <f aca="false">LEN('Saisie programme'!$J$179)+SUMIFS('Vols additionnels'!$E$7:$E$66,'Vols additionnels'!$C$7:$C$66,$E5163,'Vols additionnels'!$D$7:$D$66,$F5163,'Vols additionnels'!$B$7:$B$66,$D5163)</f>
        <v>0</v>
      </c>
      <c r="H5163" s="135" t="n">
        <f aca="false">$G5163*'Analyse capacite'!$F$8</f>
        <v>0</v>
      </c>
      <c r="I5163" s="135" t="n">
        <f aca="false">$G5163*'Analyse capacite'!$C$8</f>
        <v>0</v>
      </c>
      <c r="J5163" s="135" t="n">
        <f aca="false">$G5163*'Analyse capacite'!$D$8</f>
        <v>0</v>
      </c>
      <c r="K5163" s="135" t="n">
        <f aca="false">$G5163*'Analyse capacite'!$E$8</f>
        <v>0</v>
      </c>
    </row>
    <row r="5164" customFormat="false" ht="15" hidden="false" customHeight="false" outlineLevel="0" collapsed="false">
      <c r="B5164" s="130" t="n">
        <v>2027</v>
      </c>
      <c r="C5164" s="131" t="s">
        <v>250</v>
      </c>
      <c r="D5164" s="132" t="n">
        <v>46621</v>
      </c>
      <c r="E5164" s="131" t="s">
        <v>36</v>
      </c>
      <c r="F5164" s="133" t="s">
        <v>24</v>
      </c>
      <c r="G5164" s="134" t="n">
        <f aca="false">LEN('Saisie programme'!$J$180)+SUMIFS('Vols additionnels'!$E$7:$E$66,'Vols additionnels'!$C$7:$C$66,$E5164,'Vols additionnels'!$D$7:$D$66,$F5164,'Vols additionnels'!$B$7:$B$66,$D5164)</f>
        <v>0</v>
      </c>
      <c r="H5164" s="135" t="n">
        <f aca="false">$G5164*'Analyse capacite'!$F$9</f>
        <v>0</v>
      </c>
      <c r="I5164" s="135" t="n">
        <f aca="false">$G5164*'Analyse capacite'!$C$9</f>
        <v>0</v>
      </c>
      <c r="J5164" s="135" t="n">
        <f aca="false">$G5164*'Analyse capacite'!$D$9</f>
        <v>0</v>
      </c>
      <c r="K5164" s="135" t="n">
        <f aca="false">$G5164*'Analyse capacite'!$E$9</f>
        <v>0</v>
      </c>
    </row>
    <row r="5165" customFormat="false" ht="15" hidden="false" customHeight="false" outlineLevel="0" collapsed="false">
      <c r="B5165" s="130" t="n">
        <v>2027</v>
      </c>
      <c r="C5165" s="131" t="s">
        <v>250</v>
      </c>
      <c r="D5165" s="132" t="n">
        <v>46621</v>
      </c>
      <c r="E5165" s="131" t="s">
        <v>40</v>
      </c>
      <c r="F5165" s="133" t="s">
        <v>11</v>
      </c>
      <c r="G5165" s="134" t="n">
        <f aca="false">LEN('Saisie programme'!$J$181)+SUMIFS('Vols additionnels'!$E$7:$E$66,'Vols additionnels'!$C$7:$C$66,$E5165,'Vols additionnels'!$D$7:$D$66,$F5165,'Vols additionnels'!$B$7:$B$66,$D5165)</f>
        <v>0</v>
      </c>
      <c r="H5165" s="135" t="n">
        <f aca="false">$G5165*'Analyse capacite'!$F$7</f>
        <v>0</v>
      </c>
      <c r="I5165" s="135" t="n">
        <f aca="false">$G5165*'Analyse capacite'!$C$7</f>
        <v>0</v>
      </c>
      <c r="J5165" s="135" t="n">
        <f aca="false">$G5165*'Analyse capacite'!$D$7</f>
        <v>0</v>
      </c>
      <c r="K5165" s="135" t="n">
        <f aca="false">$G5165*'Analyse capacite'!$E$7</f>
        <v>0</v>
      </c>
    </row>
    <row r="5166" customFormat="false" ht="15" hidden="false" customHeight="false" outlineLevel="0" collapsed="false">
      <c r="B5166" s="130" t="n">
        <v>2027</v>
      </c>
      <c r="C5166" s="131" t="s">
        <v>250</v>
      </c>
      <c r="D5166" s="132" t="n">
        <v>46621</v>
      </c>
      <c r="E5166" s="131" t="s">
        <v>40</v>
      </c>
      <c r="F5166" s="133" t="s">
        <v>19</v>
      </c>
      <c r="G5166" s="134" t="n">
        <f aca="false">LEN('Saisie programme'!$J$182)+SUMIFS('Vols additionnels'!$E$7:$E$66,'Vols additionnels'!$C$7:$C$66,$E5166,'Vols additionnels'!$D$7:$D$66,$F5166,'Vols additionnels'!$B$7:$B$66,$D5166)</f>
        <v>0</v>
      </c>
      <c r="H5166" s="135" t="n">
        <f aca="false">$G5166*'Analyse capacite'!$F$8</f>
        <v>0</v>
      </c>
      <c r="I5166" s="135" t="n">
        <f aca="false">$G5166*'Analyse capacite'!$C$8</f>
        <v>0</v>
      </c>
      <c r="J5166" s="135" t="n">
        <f aca="false">$G5166*'Analyse capacite'!$D$8</f>
        <v>0</v>
      </c>
      <c r="K5166" s="135" t="n">
        <f aca="false">$G5166*'Analyse capacite'!$E$8</f>
        <v>0</v>
      </c>
    </row>
    <row r="5167" customFormat="false" ht="15" hidden="false" customHeight="false" outlineLevel="0" collapsed="false">
      <c r="B5167" s="130" t="n">
        <v>2027</v>
      </c>
      <c r="C5167" s="131" t="s">
        <v>250</v>
      </c>
      <c r="D5167" s="132" t="n">
        <v>46621</v>
      </c>
      <c r="E5167" s="131" t="s">
        <v>40</v>
      </c>
      <c r="F5167" s="133" t="s">
        <v>24</v>
      </c>
      <c r="G5167" s="134" t="n">
        <f aca="false">LEN('Saisie programme'!$J$183)+SUMIFS('Vols additionnels'!$E$7:$E$66,'Vols additionnels'!$C$7:$C$66,$E5167,'Vols additionnels'!$D$7:$D$66,$F5167,'Vols additionnels'!$B$7:$B$66,$D5167)</f>
        <v>1</v>
      </c>
      <c r="H5167" s="135" t="n">
        <f aca="false">$G5167*'Analyse capacite'!$F$9</f>
        <v>174</v>
      </c>
      <c r="I5167" s="135" t="n">
        <f aca="false">$G5167*'Analyse capacite'!$C$9</f>
        <v>0</v>
      </c>
      <c r="J5167" s="135" t="n">
        <f aca="false">$G5167*'Analyse capacite'!$D$9</f>
        <v>12</v>
      </c>
      <c r="K5167" s="135" t="n">
        <f aca="false">$G5167*'Analyse capacite'!$E$9</f>
        <v>162</v>
      </c>
    </row>
    <row r="5168" customFormat="false" ht="15" hidden="false" customHeight="false" outlineLevel="0" collapsed="false">
      <c r="B5168" s="130" t="n">
        <v>2027</v>
      </c>
      <c r="C5168" s="131" t="s">
        <v>250</v>
      </c>
      <c r="D5168" s="132" t="n">
        <v>46621</v>
      </c>
      <c r="E5168" s="131" t="s">
        <v>14</v>
      </c>
      <c r="F5168" s="133" t="s">
        <v>11</v>
      </c>
      <c r="G5168" s="134" t="n">
        <f aca="false">LEN('Saisie programme'!$J$184)+SUMIFS('Vols additionnels'!$E$7:$E$66,'Vols additionnels'!$C$7:$C$66,$E5168,'Vols additionnels'!$D$7:$D$66,$F5168,'Vols additionnels'!$B$7:$B$66,$D5168)</f>
        <v>0</v>
      </c>
      <c r="H5168" s="135" t="n">
        <f aca="false">$G5168*'Analyse capacite'!$F$7</f>
        <v>0</v>
      </c>
      <c r="I5168" s="135" t="n">
        <f aca="false">$G5168*'Analyse capacite'!$C$7</f>
        <v>0</v>
      </c>
      <c r="J5168" s="135" t="n">
        <f aca="false">$G5168*'Analyse capacite'!$D$7</f>
        <v>0</v>
      </c>
      <c r="K5168" s="135" t="n">
        <f aca="false">$G5168*'Analyse capacite'!$E$7</f>
        <v>0</v>
      </c>
    </row>
    <row r="5169" customFormat="false" ht="15" hidden="false" customHeight="false" outlineLevel="0" collapsed="false">
      <c r="B5169" s="130" t="n">
        <v>2027</v>
      </c>
      <c r="C5169" s="131" t="s">
        <v>250</v>
      </c>
      <c r="D5169" s="132" t="n">
        <v>46621</v>
      </c>
      <c r="E5169" s="131" t="s">
        <v>14</v>
      </c>
      <c r="F5169" s="133" t="s">
        <v>19</v>
      </c>
      <c r="G5169" s="134" t="n">
        <f aca="false">LEN('Saisie programme'!$J$185)+SUMIFS('Vols additionnels'!$E$7:$E$66,'Vols additionnels'!$C$7:$C$66,$E5169,'Vols additionnels'!$D$7:$D$66,$F5169,'Vols additionnels'!$B$7:$B$66,$D5169)</f>
        <v>0</v>
      </c>
      <c r="H5169" s="135" t="n">
        <f aca="false">$G5169*'Analyse capacite'!$F$8</f>
        <v>0</v>
      </c>
      <c r="I5169" s="135" t="n">
        <f aca="false">$G5169*'Analyse capacite'!$C$8</f>
        <v>0</v>
      </c>
      <c r="J5169" s="135" t="n">
        <f aca="false">$G5169*'Analyse capacite'!$D$8</f>
        <v>0</v>
      </c>
      <c r="K5169" s="135" t="n">
        <f aca="false">$G5169*'Analyse capacite'!$E$8</f>
        <v>0</v>
      </c>
    </row>
    <row r="5170" customFormat="false" ht="15" hidden="false" customHeight="false" outlineLevel="0" collapsed="false">
      <c r="B5170" s="130" t="n">
        <v>2027</v>
      </c>
      <c r="C5170" s="131" t="s">
        <v>250</v>
      </c>
      <c r="D5170" s="132" t="n">
        <v>46621</v>
      </c>
      <c r="E5170" s="131" t="s">
        <v>14</v>
      </c>
      <c r="F5170" s="133" t="s">
        <v>24</v>
      </c>
      <c r="G5170" s="134" t="n">
        <f aca="false">LEN('Saisie programme'!$J$186)+SUMIFS('Vols additionnels'!$E$7:$E$66,'Vols additionnels'!$C$7:$C$66,$E5170,'Vols additionnels'!$D$7:$D$66,$F5170,'Vols additionnels'!$B$7:$B$66,$D5170)</f>
        <v>0</v>
      </c>
      <c r="H5170" s="135" t="n">
        <f aca="false">$G5170*'Analyse capacite'!$F$9</f>
        <v>0</v>
      </c>
      <c r="I5170" s="135" t="n">
        <f aca="false">$G5170*'Analyse capacite'!$C$9</f>
        <v>0</v>
      </c>
      <c r="J5170" s="135" t="n">
        <f aca="false">$G5170*'Analyse capacite'!$D$9</f>
        <v>0</v>
      </c>
      <c r="K5170" s="135" t="n">
        <f aca="false">$G5170*'Analyse capacite'!$E$9</f>
        <v>0</v>
      </c>
    </row>
    <row r="5171" customFormat="false" ht="15" hidden="false" customHeight="false" outlineLevel="0" collapsed="false">
      <c r="B5171" s="130" t="n">
        <v>2027</v>
      </c>
      <c r="C5171" s="131" t="s">
        <v>250</v>
      </c>
      <c r="D5171" s="132" t="n">
        <v>46621</v>
      </c>
      <c r="E5171" s="131" t="s">
        <v>46</v>
      </c>
      <c r="F5171" s="133" t="s">
        <v>11</v>
      </c>
      <c r="G5171" s="134" t="n">
        <f aca="false">LEN('Saisie programme'!$J$187)+SUMIFS('Vols additionnels'!$E$7:$E$66,'Vols additionnels'!$C$7:$C$66,$E5171,'Vols additionnels'!$D$7:$D$66,$F5171,'Vols additionnels'!$B$7:$B$66,$D5171)</f>
        <v>0</v>
      </c>
      <c r="H5171" s="135" t="n">
        <f aca="false">$G5171*'Analyse capacite'!$F$7</f>
        <v>0</v>
      </c>
      <c r="I5171" s="135" t="n">
        <f aca="false">$G5171*'Analyse capacite'!$C$7</f>
        <v>0</v>
      </c>
      <c r="J5171" s="135" t="n">
        <f aca="false">$G5171*'Analyse capacite'!$D$7</f>
        <v>0</v>
      </c>
      <c r="K5171" s="135" t="n">
        <f aca="false">$G5171*'Analyse capacite'!$E$7</f>
        <v>0</v>
      </c>
    </row>
    <row r="5172" customFormat="false" ht="15" hidden="false" customHeight="false" outlineLevel="0" collapsed="false">
      <c r="B5172" s="130" t="n">
        <v>2027</v>
      </c>
      <c r="C5172" s="131" t="s">
        <v>250</v>
      </c>
      <c r="D5172" s="132" t="n">
        <v>46621</v>
      </c>
      <c r="E5172" s="131" t="s">
        <v>46</v>
      </c>
      <c r="F5172" s="133" t="s">
        <v>19</v>
      </c>
      <c r="G5172" s="134" t="n">
        <f aca="false">LEN('Saisie programme'!$J$188)+SUMIFS('Vols additionnels'!$E$7:$E$66,'Vols additionnels'!$C$7:$C$66,$E5172,'Vols additionnels'!$D$7:$D$66,$F5172,'Vols additionnels'!$B$7:$B$66,$D5172)</f>
        <v>0</v>
      </c>
      <c r="H5172" s="135" t="n">
        <f aca="false">$G5172*'Analyse capacite'!$F$8</f>
        <v>0</v>
      </c>
      <c r="I5172" s="135" t="n">
        <f aca="false">$G5172*'Analyse capacite'!$C$8</f>
        <v>0</v>
      </c>
      <c r="J5172" s="135" t="n">
        <f aca="false">$G5172*'Analyse capacite'!$D$8</f>
        <v>0</v>
      </c>
      <c r="K5172" s="135" t="n">
        <f aca="false">$G5172*'Analyse capacite'!$E$8</f>
        <v>0</v>
      </c>
    </row>
    <row r="5173" customFormat="false" ht="15" hidden="false" customHeight="false" outlineLevel="0" collapsed="false">
      <c r="B5173" s="130" t="n">
        <v>2027</v>
      </c>
      <c r="C5173" s="131" t="s">
        <v>250</v>
      </c>
      <c r="D5173" s="132" t="n">
        <v>46621</v>
      </c>
      <c r="E5173" s="131" t="s">
        <v>46</v>
      </c>
      <c r="F5173" s="133" t="s">
        <v>24</v>
      </c>
      <c r="G5173" s="134" t="n">
        <f aca="false">LEN('Saisie programme'!$J$189)+SUMIFS('Vols additionnels'!$E$7:$E$66,'Vols additionnels'!$C$7:$C$66,$E5173,'Vols additionnels'!$D$7:$D$66,$F5173,'Vols additionnels'!$B$7:$B$66,$D5173)</f>
        <v>0</v>
      </c>
      <c r="H5173" s="135" t="n">
        <f aca="false">$G5173*'Analyse capacite'!$F$9</f>
        <v>0</v>
      </c>
      <c r="I5173" s="135" t="n">
        <f aca="false">$G5173*'Analyse capacite'!$C$9</f>
        <v>0</v>
      </c>
      <c r="J5173" s="135" t="n">
        <f aca="false">$G5173*'Analyse capacite'!$D$9</f>
        <v>0</v>
      </c>
      <c r="K5173" s="135" t="n">
        <f aca="false">$G5173*'Analyse capacite'!$E$9</f>
        <v>0</v>
      </c>
    </row>
    <row r="5174" customFormat="false" ht="15" hidden="false" customHeight="false" outlineLevel="0" collapsed="false">
      <c r="B5174" s="130" t="n">
        <v>2027</v>
      </c>
      <c r="C5174" s="131" t="s">
        <v>250</v>
      </c>
      <c r="D5174" s="132" t="n">
        <v>46621</v>
      </c>
      <c r="E5174" s="131" t="s">
        <v>49</v>
      </c>
      <c r="F5174" s="133" t="s">
        <v>11</v>
      </c>
      <c r="G5174" s="134" t="n">
        <f aca="false">LEN('Saisie programme'!$J$190)+SUMIFS('Vols additionnels'!$E$7:$E$66,'Vols additionnels'!$C$7:$C$66,$E5174,'Vols additionnels'!$D$7:$D$66,$F5174,'Vols additionnels'!$B$7:$B$66,$D5174)</f>
        <v>0</v>
      </c>
      <c r="H5174" s="135" t="n">
        <f aca="false">$G5174*'Analyse capacite'!$F$7</f>
        <v>0</v>
      </c>
      <c r="I5174" s="135" t="n">
        <f aca="false">$G5174*'Analyse capacite'!$C$7</f>
        <v>0</v>
      </c>
      <c r="J5174" s="135" t="n">
        <f aca="false">$G5174*'Analyse capacite'!$D$7</f>
        <v>0</v>
      </c>
      <c r="K5174" s="135" t="n">
        <f aca="false">$G5174*'Analyse capacite'!$E$7</f>
        <v>0</v>
      </c>
    </row>
    <row r="5175" customFormat="false" ht="15" hidden="false" customHeight="false" outlineLevel="0" collapsed="false">
      <c r="B5175" s="130" t="n">
        <v>2027</v>
      </c>
      <c r="C5175" s="131" t="s">
        <v>250</v>
      </c>
      <c r="D5175" s="132" t="n">
        <v>46621</v>
      </c>
      <c r="E5175" s="131" t="s">
        <v>49</v>
      </c>
      <c r="F5175" s="133" t="s">
        <v>19</v>
      </c>
      <c r="G5175" s="134" t="n">
        <f aca="false">LEN('Saisie programme'!$J$191)+SUMIFS('Vols additionnels'!$E$7:$E$66,'Vols additionnels'!$C$7:$C$66,$E5175,'Vols additionnels'!$D$7:$D$66,$F5175,'Vols additionnels'!$B$7:$B$66,$D5175)</f>
        <v>0</v>
      </c>
      <c r="H5175" s="135" t="n">
        <f aca="false">$G5175*'Analyse capacite'!$F$8</f>
        <v>0</v>
      </c>
      <c r="I5175" s="135" t="n">
        <f aca="false">$G5175*'Analyse capacite'!$C$8</f>
        <v>0</v>
      </c>
      <c r="J5175" s="135" t="n">
        <f aca="false">$G5175*'Analyse capacite'!$D$8</f>
        <v>0</v>
      </c>
      <c r="K5175" s="135" t="n">
        <f aca="false">$G5175*'Analyse capacite'!$E$8</f>
        <v>0</v>
      </c>
    </row>
    <row r="5176" customFormat="false" ht="15" hidden="false" customHeight="false" outlineLevel="0" collapsed="false">
      <c r="B5176" s="130" t="n">
        <v>2027</v>
      </c>
      <c r="C5176" s="131" t="s">
        <v>250</v>
      </c>
      <c r="D5176" s="132" t="n">
        <v>46621</v>
      </c>
      <c r="E5176" s="131" t="s">
        <v>49</v>
      </c>
      <c r="F5176" s="133" t="s">
        <v>24</v>
      </c>
      <c r="G5176" s="134" t="n">
        <f aca="false">LEN('Saisie programme'!$J$192)+SUMIFS('Vols additionnels'!$E$7:$E$66,'Vols additionnels'!$C$7:$C$66,$E5176,'Vols additionnels'!$D$7:$D$66,$F5176,'Vols additionnels'!$B$7:$B$66,$D5176)</f>
        <v>0</v>
      </c>
      <c r="H5176" s="135" t="n">
        <f aca="false">$G5176*'Analyse capacite'!$F$9</f>
        <v>0</v>
      </c>
      <c r="I5176" s="135" t="n">
        <f aca="false">$G5176*'Analyse capacite'!$C$9</f>
        <v>0</v>
      </c>
      <c r="J5176" s="135" t="n">
        <f aca="false">$G5176*'Analyse capacite'!$D$9</f>
        <v>0</v>
      </c>
      <c r="K5176" s="135" t="n">
        <f aca="false">$G5176*'Analyse capacite'!$E$9</f>
        <v>0</v>
      </c>
    </row>
    <row r="5177" customFormat="false" ht="15" hidden="false" customHeight="false" outlineLevel="0" collapsed="false">
      <c r="B5177" s="130" t="n">
        <v>2027</v>
      </c>
      <c r="C5177" s="131" t="s">
        <v>250</v>
      </c>
      <c r="D5177" s="132" t="n">
        <v>46621</v>
      </c>
      <c r="E5177" s="131" t="s">
        <v>53</v>
      </c>
      <c r="F5177" s="133" t="s">
        <v>11</v>
      </c>
      <c r="G5177" s="134" t="n">
        <f aca="false">LEN('Saisie programme'!$J$193)+SUMIFS('Vols additionnels'!$E$7:$E$66,'Vols additionnels'!$C$7:$C$66,$E5177,'Vols additionnels'!$D$7:$D$66,$F5177,'Vols additionnels'!$B$7:$B$66,$D5177)</f>
        <v>0</v>
      </c>
      <c r="H5177" s="135" t="n">
        <f aca="false">$G5177*'Analyse capacite'!$F$7</f>
        <v>0</v>
      </c>
      <c r="I5177" s="135" t="n">
        <f aca="false">$G5177*'Analyse capacite'!$C$7</f>
        <v>0</v>
      </c>
      <c r="J5177" s="135" t="n">
        <f aca="false">$G5177*'Analyse capacite'!$D$7</f>
        <v>0</v>
      </c>
      <c r="K5177" s="135" t="n">
        <f aca="false">$G5177*'Analyse capacite'!$E$7</f>
        <v>0</v>
      </c>
    </row>
    <row r="5178" customFormat="false" ht="15" hidden="false" customHeight="false" outlineLevel="0" collapsed="false">
      <c r="B5178" s="130" t="n">
        <v>2027</v>
      </c>
      <c r="C5178" s="131" t="s">
        <v>250</v>
      </c>
      <c r="D5178" s="132" t="n">
        <v>46621</v>
      </c>
      <c r="E5178" s="131" t="s">
        <v>53</v>
      </c>
      <c r="F5178" s="133" t="s">
        <v>19</v>
      </c>
      <c r="G5178" s="134" t="n">
        <f aca="false">LEN('Saisie programme'!$J$194)+SUMIFS('Vols additionnels'!$E$7:$E$66,'Vols additionnels'!$C$7:$C$66,$E5178,'Vols additionnels'!$D$7:$D$66,$F5178,'Vols additionnels'!$B$7:$B$66,$D5178)</f>
        <v>0</v>
      </c>
      <c r="H5178" s="135" t="n">
        <f aca="false">$G5178*'Analyse capacite'!$F$8</f>
        <v>0</v>
      </c>
      <c r="I5178" s="135" t="n">
        <f aca="false">$G5178*'Analyse capacite'!$C$8</f>
        <v>0</v>
      </c>
      <c r="J5178" s="135" t="n">
        <f aca="false">$G5178*'Analyse capacite'!$D$8</f>
        <v>0</v>
      </c>
      <c r="K5178" s="135" t="n">
        <f aca="false">$G5178*'Analyse capacite'!$E$8</f>
        <v>0</v>
      </c>
    </row>
    <row r="5179" customFormat="false" ht="15" hidden="false" customHeight="false" outlineLevel="0" collapsed="false">
      <c r="B5179" s="130" t="n">
        <v>2027</v>
      </c>
      <c r="C5179" s="131" t="s">
        <v>250</v>
      </c>
      <c r="D5179" s="132" t="n">
        <v>46621</v>
      </c>
      <c r="E5179" s="131" t="s">
        <v>53</v>
      </c>
      <c r="F5179" s="133" t="s">
        <v>24</v>
      </c>
      <c r="G5179" s="134" t="n">
        <f aca="false">LEN('Saisie programme'!$J$195)+SUMIFS('Vols additionnels'!$E$7:$E$66,'Vols additionnels'!$C$7:$C$66,$E5179,'Vols additionnels'!$D$7:$D$66,$F5179,'Vols additionnels'!$B$7:$B$66,$D5179)</f>
        <v>0</v>
      </c>
      <c r="H5179" s="135" t="n">
        <f aca="false">$G5179*'Analyse capacite'!$F$9</f>
        <v>0</v>
      </c>
      <c r="I5179" s="135" t="n">
        <f aca="false">$G5179*'Analyse capacite'!$C$9</f>
        <v>0</v>
      </c>
      <c r="J5179" s="135" t="n">
        <f aca="false">$G5179*'Analyse capacite'!$D$9</f>
        <v>0</v>
      </c>
      <c r="K5179" s="135" t="n">
        <f aca="false">$G5179*'Analyse capacite'!$E$9</f>
        <v>0</v>
      </c>
    </row>
    <row r="5180" customFormat="false" ht="15" hidden="false" customHeight="false" outlineLevel="0" collapsed="false">
      <c r="B5180" s="130" t="n">
        <v>2027</v>
      </c>
      <c r="C5180" s="131" t="s">
        <v>250</v>
      </c>
      <c r="D5180" s="132" t="n">
        <v>46621</v>
      </c>
      <c r="E5180" s="131" t="s">
        <v>56</v>
      </c>
      <c r="F5180" s="133" t="s">
        <v>11</v>
      </c>
      <c r="G5180" s="134" t="n">
        <f aca="false">LEN('Saisie programme'!$J$196)+SUMIFS('Vols additionnels'!$E$7:$E$66,'Vols additionnels'!$C$7:$C$66,$E5180,'Vols additionnels'!$D$7:$D$66,$F5180,'Vols additionnels'!$B$7:$B$66,$D5180)</f>
        <v>0</v>
      </c>
      <c r="H5180" s="135" t="n">
        <f aca="false">$G5180*'Analyse capacite'!$F$7</f>
        <v>0</v>
      </c>
      <c r="I5180" s="135" t="n">
        <f aca="false">$G5180*'Analyse capacite'!$C$7</f>
        <v>0</v>
      </c>
      <c r="J5180" s="135" t="n">
        <f aca="false">$G5180*'Analyse capacite'!$D$7</f>
        <v>0</v>
      </c>
      <c r="K5180" s="135" t="n">
        <f aca="false">$G5180*'Analyse capacite'!$E$7</f>
        <v>0</v>
      </c>
    </row>
    <row r="5181" customFormat="false" ht="15" hidden="false" customHeight="false" outlineLevel="0" collapsed="false">
      <c r="B5181" s="130" t="n">
        <v>2027</v>
      </c>
      <c r="C5181" s="131" t="s">
        <v>250</v>
      </c>
      <c r="D5181" s="132" t="n">
        <v>46621</v>
      </c>
      <c r="E5181" s="131" t="s">
        <v>56</v>
      </c>
      <c r="F5181" s="133" t="s">
        <v>19</v>
      </c>
      <c r="G5181" s="134" t="n">
        <f aca="false">LEN('Saisie programme'!$J$197)+SUMIFS('Vols additionnels'!$E$7:$E$66,'Vols additionnels'!$C$7:$C$66,$E5181,'Vols additionnels'!$D$7:$D$66,$F5181,'Vols additionnels'!$B$7:$B$66,$D5181)</f>
        <v>0</v>
      </c>
      <c r="H5181" s="135" t="n">
        <f aca="false">$G5181*'Analyse capacite'!$F$8</f>
        <v>0</v>
      </c>
      <c r="I5181" s="135" t="n">
        <f aca="false">$G5181*'Analyse capacite'!$C$8</f>
        <v>0</v>
      </c>
      <c r="J5181" s="135" t="n">
        <f aca="false">$G5181*'Analyse capacite'!$D$8</f>
        <v>0</v>
      </c>
      <c r="K5181" s="135" t="n">
        <f aca="false">$G5181*'Analyse capacite'!$E$8</f>
        <v>0</v>
      </c>
    </row>
    <row r="5182" customFormat="false" ht="15" hidden="false" customHeight="false" outlineLevel="0" collapsed="false">
      <c r="B5182" s="130" t="n">
        <v>2027</v>
      </c>
      <c r="C5182" s="131" t="s">
        <v>250</v>
      </c>
      <c r="D5182" s="132" t="n">
        <v>46621</v>
      </c>
      <c r="E5182" s="131" t="s">
        <v>56</v>
      </c>
      <c r="F5182" s="133" t="s">
        <v>24</v>
      </c>
      <c r="G5182" s="134" t="n">
        <f aca="false">LEN('Saisie programme'!$J$198)+SUMIFS('Vols additionnels'!$E$7:$E$66,'Vols additionnels'!$C$7:$C$66,$E5182,'Vols additionnels'!$D$7:$D$66,$F5182,'Vols additionnels'!$B$7:$B$66,$D5182)</f>
        <v>0</v>
      </c>
      <c r="H5182" s="135" t="n">
        <f aca="false">$G5182*'Analyse capacite'!$F$9</f>
        <v>0</v>
      </c>
      <c r="I5182" s="135" t="n">
        <f aca="false">$G5182*'Analyse capacite'!$C$9</f>
        <v>0</v>
      </c>
      <c r="J5182" s="135" t="n">
        <f aca="false">$G5182*'Analyse capacite'!$D$9</f>
        <v>0</v>
      </c>
      <c r="K5182" s="135" t="n">
        <f aca="false">$G5182*'Analyse capacite'!$E$9</f>
        <v>0</v>
      </c>
    </row>
    <row r="5183" customFormat="false" ht="15" hidden="false" customHeight="false" outlineLevel="0" collapsed="false">
      <c r="B5183" s="130" t="n">
        <v>2027</v>
      </c>
      <c r="C5183" s="131" t="s">
        <v>250</v>
      </c>
      <c r="D5183" s="132" t="n">
        <v>46621</v>
      </c>
      <c r="E5183" s="131" t="s">
        <v>59</v>
      </c>
      <c r="F5183" s="133" t="s">
        <v>11</v>
      </c>
      <c r="G5183" s="134" t="n">
        <f aca="false">LEN('Saisie programme'!$J$199)+SUMIFS('Vols additionnels'!$E$7:$E$66,'Vols additionnels'!$C$7:$C$66,$E5183,'Vols additionnels'!$D$7:$D$66,$F5183,'Vols additionnels'!$B$7:$B$66,$D5183)</f>
        <v>0</v>
      </c>
      <c r="H5183" s="135" t="n">
        <f aca="false">$G5183*'Analyse capacite'!$F$7</f>
        <v>0</v>
      </c>
      <c r="I5183" s="135" t="n">
        <f aca="false">$G5183*'Analyse capacite'!$C$7</f>
        <v>0</v>
      </c>
      <c r="J5183" s="135" t="n">
        <f aca="false">$G5183*'Analyse capacite'!$D$7</f>
        <v>0</v>
      </c>
      <c r="K5183" s="135" t="n">
        <f aca="false">$G5183*'Analyse capacite'!$E$7</f>
        <v>0</v>
      </c>
    </row>
    <row r="5184" customFormat="false" ht="15" hidden="false" customHeight="false" outlineLevel="0" collapsed="false">
      <c r="B5184" s="130" t="n">
        <v>2027</v>
      </c>
      <c r="C5184" s="131" t="s">
        <v>250</v>
      </c>
      <c r="D5184" s="132" t="n">
        <v>46621</v>
      </c>
      <c r="E5184" s="131" t="s">
        <v>59</v>
      </c>
      <c r="F5184" s="133" t="s">
        <v>19</v>
      </c>
      <c r="G5184" s="134" t="n">
        <f aca="false">LEN('Saisie programme'!$J$200)+SUMIFS('Vols additionnels'!$E$7:$E$66,'Vols additionnels'!$C$7:$C$66,$E5184,'Vols additionnels'!$D$7:$D$66,$F5184,'Vols additionnels'!$B$7:$B$66,$D5184)</f>
        <v>0</v>
      </c>
      <c r="H5184" s="135" t="n">
        <f aca="false">$G5184*'Analyse capacite'!$F$8</f>
        <v>0</v>
      </c>
      <c r="I5184" s="135" t="n">
        <f aca="false">$G5184*'Analyse capacite'!$C$8</f>
        <v>0</v>
      </c>
      <c r="J5184" s="135" t="n">
        <f aca="false">$G5184*'Analyse capacite'!$D$8</f>
        <v>0</v>
      </c>
      <c r="K5184" s="135" t="n">
        <f aca="false">$G5184*'Analyse capacite'!$E$8</f>
        <v>0</v>
      </c>
    </row>
    <row r="5185" customFormat="false" ht="15" hidden="false" customHeight="false" outlineLevel="0" collapsed="false">
      <c r="B5185" s="130" t="n">
        <v>2027</v>
      </c>
      <c r="C5185" s="131" t="s">
        <v>250</v>
      </c>
      <c r="D5185" s="132" t="n">
        <v>46621</v>
      </c>
      <c r="E5185" s="131" t="s">
        <v>59</v>
      </c>
      <c r="F5185" s="133" t="s">
        <v>24</v>
      </c>
      <c r="G5185" s="134" t="n">
        <f aca="false">LEN('Saisie programme'!$J$201)+SUMIFS('Vols additionnels'!$E$7:$E$66,'Vols additionnels'!$C$7:$C$66,$E5185,'Vols additionnels'!$D$7:$D$66,$F5185,'Vols additionnels'!$B$7:$B$66,$D5185)</f>
        <v>0</v>
      </c>
      <c r="H5185" s="135" t="n">
        <f aca="false">$G5185*'Analyse capacite'!$F$9</f>
        <v>0</v>
      </c>
      <c r="I5185" s="135" t="n">
        <f aca="false">$G5185*'Analyse capacite'!$C$9</f>
        <v>0</v>
      </c>
      <c r="J5185" s="135" t="n">
        <f aca="false">$G5185*'Analyse capacite'!$D$9</f>
        <v>0</v>
      </c>
      <c r="K5185" s="135" t="n">
        <f aca="false">$G5185*'Analyse capacite'!$E$9</f>
        <v>0</v>
      </c>
    </row>
    <row r="5186" customFormat="false" ht="15" hidden="false" customHeight="false" outlineLevel="0" collapsed="false">
      <c r="B5186" s="130" t="n">
        <v>2027</v>
      </c>
      <c r="C5186" s="131" t="s">
        <v>250</v>
      </c>
      <c r="D5186" s="132" t="n">
        <v>46621</v>
      </c>
      <c r="E5186" s="131" t="s">
        <v>62</v>
      </c>
      <c r="F5186" s="133" t="s">
        <v>11</v>
      </c>
      <c r="G5186" s="134" t="n">
        <f aca="false">LEN('Saisie programme'!$J$202)+SUMIFS('Vols additionnels'!$E$7:$E$66,'Vols additionnels'!$C$7:$C$66,$E5186,'Vols additionnels'!$D$7:$D$66,$F5186,'Vols additionnels'!$B$7:$B$66,$D5186)</f>
        <v>0</v>
      </c>
      <c r="H5186" s="135" t="n">
        <f aca="false">$G5186*'Analyse capacite'!$F$7</f>
        <v>0</v>
      </c>
      <c r="I5186" s="135" t="n">
        <f aca="false">$G5186*'Analyse capacite'!$C$7</f>
        <v>0</v>
      </c>
      <c r="J5186" s="135" t="n">
        <f aca="false">$G5186*'Analyse capacite'!$D$7</f>
        <v>0</v>
      </c>
      <c r="K5186" s="135" t="n">
        <f aca="false">$G5186*'Analyse capacite'!$E$7</f>
        <v>0</v>
      </c>
    </row>
    <row r="5187" customFormat="false" ht="15" hidden="false" customHeight="false" outlineLevel="0" collapsed="false">
      <c r="B5187" s="130" t="n">
        <v>2027</v>
      </c>
      <c r="C5187" s="131" t="s">
        <v>250</v>
      </c>
      <c r="D5187" s="132" t="n">
        <v>46621</v>
      </c>
      <c r="E5187" s="131" t="s">
        <v>62</v>
      </c>
      <c r="F5187" s="133" t="s">
        <v>19</v>
      </c>
      <c r="G5187" s="134" t="n">
        <f aca="false">LEN('Saisie programme'!$J$203)+SUMIFS('Vols additionnels'!$E$7:$E$66,'Vols additionnels'!$C$7:$C$66,$E5187,'Vols additionnels'!$D$7:$D$66,$F5187,'Vols additionnels'!$B$7:$B$66,$D5187)</f>
        <v>0</v>
      </c>
      <c r="H5187" s="135" t="n">
        <f aca="false">$G5187*'Analyse capacite'!$F$8</f>
        <v>0</v>
      </c>
      <c r="I5187" s="135" t="n">
        <f aca="false">$G5187*'Analyse capacite'!$C$8</f>
        <v>0</v>
      </c>
      <c r="J5187" s="135" t="n">
        <f aca="false">$G5187*'Analyse capacite'!$D$8</f>
        <v>0</v>
      </c>
      <c r="K5187" s="135" t="n">
        <f aca="false">$G5187*'Analyse capacite'!$E$8</f>
        <v>0</v>
      </c>
    </row>
    <row r="5188" customFormat="false" ht="15" hidden="false" customHeight="false" outlineLevel="0" collapsed="false">
      <c r="B5188" s="130" t="n">
        <v>2027</v>
      </c>
      <c r="C5188" s="131" t="s">
        <v>250</v>
      </c>
      <c r="D5188" s="132" t="n">
        <v>46621</v>
      </c>
      <c r="E5188" s="131" t="s">
        <v>62</v>
      </c>
      <c r="F5188" s="133" t="s">
        <v>24</v>
      </c>
      <c r="G5188" s="134" t="n">
        <f aca="false">LEN('Saisie programme'!$J$204)+SUMIFS('Vols additionnels'!$E$7:$E$66,'Vols additionnels'!$C$7:$C$66,$E5188,'Vols additionnels'!$D$7:$D$66,$F5188,'Vols additionnels'!$B$7:$B$66,$D5188)</f>
        <v>1</v>
      </c>
      <c r="H5188" s="135" t="n">
        <f aca="false">$G5188*'Analyse capacite'!$F$9</f>
        <v>174</v>
      </c>
      <c r="I5188" s="135" t="n">
        <f aca="false">$G5188*'Analyse capacite'!$C$9</f>
        <v>0</v>
      </c>
      <c r="J5188" s="135" t="n">
        <f aca="false">$G5188*'Analyse capacite'!$D$9</f>
        <v>12</v>
      </c>
      <c r="K5188" s="135" t="n">
        <f aca="false">$G5188*'Analyse capacite'!$E$9</f>
        <v>162</v>
      </c>
    </row>
    <row r="5189" customFormat="false" ht="15" hidden="false" customHeight="false" outlineLevel="0" collapsed="false">
      <c r="B5189" s="130" t="n">
        <v>2027</v>
      </c>
      <c r="C5189" s="131" t="s">
        <v>250</v>
      </c>
      <c r="D5189" s="132" t="n">
        <v>46622</v>
      </c>
      <c r="E5189" s="131" t="s">
        <v>12</v>
      </c>
      <c r="F5189" s="133" t="s">
        <v>11</v>
      </c>
      <c r="G5189" s="134" t="n">
        <f aca="false">LEN('Saisie programme'!$D$169)+SUMIFS('Vols additionnels'!$E$7:$E$66,'Vols additionnels'!$C$7:$C$66,$E5189,'Vols additionnels'!$D$7:$D$66,$F5189,'Vols additionnels'!$B$7:$B$66,$D5189)</f>
        <v>1</v>
      </c>
      <c r="H5189" s="135" t="n">
        <f aca="false">$G5189*'Analyse capacite'!$F$7</f>
        <v>438</v>
      </c>
      <c r="I5189" s="135" t="n">
        <f aca="false">$G5189*'Analyse capacite'!$C$7</f>
        <v>14</v>
      </c>
      <c r="J5189" s="135" t="n">
        <f aca="false">$G5189*'Analyse capacite'!$D$7</f>
        <v>40</v>
      </c>
      <c r="K5189" s="135" t="n">
        <f aca="false">$G5189*'Analyse capacite'!$E$7</f>
        <v>384</v>
      </c>
    </row>
    <row r="5190" customFormat="false" ht="15" hidden="false" customHeight="false" outlineLevel="0" collapsed="false">
      <c r="B5190" s="130" t="n">
        <v>2027</v>
      </c>
      <c r="C5190" s="131" t="s">
        <v>250</v>
      </c>
      <c r="D5190" s="132" t="n">
        <v>46622</v>
      </c>
      <c r="E5190" s="131" t="s">
        <v>12</v>
      </c>
      <c r="F5190" s="133" t="s">
        <v>19</v>
      </c>
      <c r="G5190" s="134" t="n">
        <f aca="false">LEN('Saisie programme'!$D$170)+SUMIFS('Vols additionnels'!$E$7:$E$66,'Vols additionnels'!$C$7:$C$66,$E5190,'Vols additionnels'!$D$7:$D$66,$F5190,'Vols additionnels'!$B$7:$B$66,$D5190)</f>
        <v>1</v>
      </c>
      <c r="H5190" s="135" t="n">
        <f aca="false">$G5190*'Analyse capacite'!$F$8</f>
        <v>262</v>
      </c>
      <c r="I5190" s="135" t="n">
        <f aca="false">$G5190*'Analyse capacite'!$C$8</f>
        <v>18</v>
      </c>
      <c r="J5190" s="135" t="n">
        <f aca="false">$G5190*'Analyse capacite'!$D$8</f>
        <v>0</v>
      </c>
      <c r="K5190" s="135" t="n">
        <f aca="false">$G5190*'Analyse capacite'!$E$8</f>
        <v>244</v>
      </c>
    </row>
    <row r="5191" customFormat="false" ht="15" hidden="false" customHeight="false" outlineLevel="0" collapsed="false">
      <c r="B5191" s="130" t="n">
        <v>2027</v>
      </c>
      <c r="C5191" s="131" t="s">
        <v>250</v>
      </c>
      <c r="D5191" s="132" t="n">
        <v>46622</v>
      </c>
      <c r="E5191" s="131" t="s">
        <v>12</v>
      </c>
      <c r="F5191" s="133" t="s">
        <v>24</v>
      </c>
      <c r="G5191" s="134" t="n">
        <f aca="false">LEN('Saisie programme'!$D$171)+SUMIFS('Vols additionnels'!$E$7:$E$66,'Vols additionnels'!$C$7:$C$66,$E5191,'Vols additionnels'!$D$7:$D$66,$F5191,'Vols additionnels'!$B$7:$B$66,$D5191)</f>
        <v>0</v>
      </c>
      <c r="H5191" s="135" t="n">
        <f aca="false">$G5191*'Analyse capacite'!$F$9</f>
        <v>0</v>
      </c>
      <c r="I5191" s="135" t="n">
        <f aca="false">$G5191*'Analyse capacite'!$C$9</f>
        <v>0</v>
      </c>
      <c r="J5191" s="135" t="n">
        <f aca="false">$G5191*'Analyse capacite'!$D$9</f>
        <v>0</v>
      </c>
      <c r="K5191" s="135" t="n">
        <f aca="false">$G5191*'Analyse capacite'!$E$9</f>
        <v>0</v>
      </c>
    </row>
    <row r="5192" customFormat="false" ht="15" hidden="false" customHeight="false" outlineLevel="0" collapsed="false">
      <c r="B5192" s="130" t="n">
        <v>2027</v>
      </c>
      <c r="C5192" s="131" t="s">
        <v>250</v>
      </c>
      <c r="D5192" s="132" t="n">
        <v>46622</v>
      </c>
      <c r="E5192" s="131" t="s">
        <v>20</v>
      </c>
      <c r="F5192" s="133" t="s">
        <v>11</v>
      </c>
      <c r="G5192" s="134" t="n">
        <f aca="false">LEN('Saisie programme'!$D$172)+SUMIFS('Vols additionnels'!$E$7:$E$66,'Vols additionnels'!$C$7:$C$66,$E5192,'Vols additionnels'!$D$7:$D$66,$F5192,'Vols additionnels'!$B$7:$B$66,$D5192)</f>
        <v>0</v>
      </c>
      <c r="H5192" s="135" t="n">
        <f aca="false">$G5192*'Analyse capacite'!$F$7</f>
        <v>0</v>
      </c>
      <c r="I5192" s="135" t="n">
        <f aca="false">$G5192*'Analyse capacite'!$C$7</f>
        <v>0</v>
      </c>
      <c r="J5192" s="135" t="n">
        <f aca="false">$G5192*'Analyse capacite'!$D$7</f>
        <v>0</v>
      </c>
      <c r="K5192" s="135" t="n">
        <f aca="false">$G5192*'Analyse capacite'!$E$7</f>
        <v>0</v>
      </c>
    </row>
    <row r="5193" customFormat="false" ht="15" hidden="false" customHeight="false" outlineLevel="0" collapsed="false">
      <c r="B5193" s="130" t="n">
        <v>2027</v>
      </c>
      <c r="C5193" s="131" t="s">
        <v>250</v>
      </c>
      <c r="D5193" s="132" t="n">
        <v>46622</v>
      </c>
      <c r="E5193" s="131" t="s">
        <v>20</v>
      </c>
      <c r="F5193" s="133" t="s">
        <v>19</v>
      </c>
      <c r="G5193" s="134" t="n">
        <f aca="false">LEN('Saisie programme'!$D$173)+SUMIFS('Vols additionnels'!$E$7:$E$66,'Vols additionnels'!$C$7:$C$66,$E5193,'Vols additionnels'!$D$7:$D$66,$F5193,'Vols additionnels'!$B$7:$B$66,$D5193)</f>
        <v>0</v>
      </c>
      <c r="H5193" s="135" t="n">
        <f aca="false">$G5193*'Analyse capacite'!$F$8</f>
        <v>0</v>
      </c>
      <c r="I5193" s="135" t="n">
        <f aca="false">$G5193*'Analyse capacite'!$C$8</f>
        <v>0</v>
      </c>
      <c r="J5193" s="135" t="n">
        <f aca="false">$G5193*'Analyse capacite'!$D$8</f>
        <v>0</v>
      </c>
      <c r="K5193" s="135" t="n">
        <f aca="false">$G5193*'Analyse capacite'!$E$8</f>
        <v>0</v>
      </c>
    </row>
    <row r="5194" customFormat="false" ht="15" hidden="false" customHeight="false" outlineLevel="0" collapsed="false">
      <c r="B5194" s="130" t="n">
        <v>2027</v>
      </c>
      <c r="C5194" s="131" t="s">
        <v>250</v>
      </c>
      <c r="D5194" s="132" t="n">
        <v>46622</v>
      </c>
      <c r="E5194" s="131" t="s">
        <v>20</v>
      </c>
      <c r="F5194" s="133" t="s">
        <v>24</v>
      </c>
      <c r="G5194" s="134" t="n">
        <f aca="false">LEN('Saisie programme'!$D$174)+SUMIFS('Vols additionnels'!$E$7:$E$66,'Vols additionnels'!$C$7:$C$66,$E5194,'Vols additionnels'!$D$7:$D$66,$F5194,'Vols additionnels'!$B$7:$B$66,$D5194)</f>
        <v>0</v>
      </c>
      <c r="H5194" s="135" t="n">
        <f aca="false">$G5194*'Analyse capacite'!$F$9</f>
        <v>0</v>
      </c>
      <c r="I5194" s="135" t="n">
        <f aca="false">$G5194*'Analyse capacite'!$C$9</f>
        <v>0</v>
      </c>
      <c r="J5194" s="135" t="n">
        <f aca="false">$G5194*'Analyse capacite'!$D$9</f>
        <v>0</v>
      </c>
      <c r="K5194" s="135" t="n">
        <f aca="false">$G5194*'Analyse capacite'!$E$9</f>
        <v>0</v>
      </c>
    </row>
    <row r="5195" customFormat="false" ht="15" hidden="false" customHeight="false" outlineLevel="0" collapsed="false">
      <c r="B5195" s="130" t="n">
        <v>2027</v>
      </c>
      <c r="C5195" s="131" t="s">
        <v>250</v>
      </c>
      <c r="D5195" s="132" t="n">
        <v>46622</v>
      </c>
      <c r="E5195" s="131" t="s">
        <v>25</v>
      </c>
      <c r="F5195" s="133" t="s">
        <v>11</v>
      </c>
      <c r="G5195" s="134" t="n">
        <f aca="false">LEN('Saisie programme'!$D$175)+SUMIFS('Vols additionnels'!$E$7:$E$66,'Vols additionnels'!$C$7:$C$66,$E5195,'Vols additionnels'!$D$7:$D$66,$F5195,'Vols additionnels'!$B$7:$B$66,$D5195)</f>
        <v>0</v>
      </c>
      <c r="H5195" s="135" t="n">
        <f aca="false">$G5195*'Analyse capacite'!$F$7</f>
        <v>0</v>
      </c>
      <c r="I5195" s="135" t="n">
        <f aca="false">$G5195*'Analyse capacite'!$C$7</f>
        <v>0</v>
      </c>
      <c r="J5195" s="135" t="n">
        <f aca="false">$G5195*'Analyse capacite'!$D$7</f>
        <v>0</v>
      </c>
      <c r="K5195" s="135" t="n">
        <f aca="false">$G5195*'Analyse capacite'!$E$7</f>
        <v>0</v>
      </c>
    </row>
    <row r="5196" customFormat="false" ht="15" hidden="false" customHeight="false" outlineLevel="0" collapsed="false">
      <c r="B5196" s="130" t="n">
        <v>2027</v>
      </c>
      <c r="C5196" s="131" t="s">
        <v>250</v>
      </c>
      <c r="D5196" s="132" t="n">
        <v>46622</v>
      </c>
      <c r="E5196" s="131" t="s">
        <v>25</v>
      </c>
      <c r="F5196" s="133" t="s">
        <v>19</v>
      </c>
      <c r="G5196" s="134" t="n">
        <f aca="false">LEN('Saisie programme'!$D$176)+SUMIFS('Vols additionnels'!$E$7:$E$66,'Vols additionnels'!$C$7:$C$66,$E5196,'Vols additionnels'!$D$7:$D$66,$F5196,'Vols additionnels'!$B$7:$B$66,$D5196)</f>
        <v>0</v>
      </c>
      <c r="H5196" s="135" t="n">
        <f aca="false">$G5196*'Analyse capacite'!$F$8</f>
        <v>0</v>
      </c>
      <c r="I5196" s="135" t="n">
        <f aca="false">$G5196*'Analyse capacite'!$C$8</f>
        <v>0</v>
      </c>
      <c r="J5196" s="135" t="n">
        <f aca="false">$G5196*'Analyse capacite'!$D$8</f>
        <v>0</v>
      </c>
      <c r="K5196" s="135" t="n">
        <f aca="false">$G5196*'Analyse capacite'!$E$8</f>
        <v>0</v>
      </c>
    </row>
    <row r="5197" customFormat="false" ht="15" hidden="false" customHeight="false" outlineLevel="0" collapsed="false">
      <c r="B5197" s="130" t="n">
        <v>2027</v>
      </c>
      <c r="C5197" s="131" t="s">
        <v>250</v>
      </c>
      <c r="D5197" s="132" t="n">
        <v>46622</v>
      </c>
      <c r="E5197" s="131" t="s">
        <v>25</v>
      </c>
      <c r="F5197" s="133" t="s">
        <v>24</v>
      </c>
      <c r="G5197" s="134" t="n">
        <f aca="false">LEN('Saisie programme'!$D$177)+SUMIFS('Vols additionnels'!$E$7:$E$66,'Vols additionnels'!$C$7:$C$66,$E5197,'Vols additionnels'!$D$7:$D$66,$F5197,'Vols additionnels'!$B$7:$B$66,$D5197)</f>
        <v>0</v>
      </c>
      <c r="H5197" s="135" t="n">
        <f aca="false">$G5197*'Analyse capacite'!$F$9</f>
        <v>0</v>
      </c>
      <c r="I5197" s="135" t="n">
        <f aca="false">$G5197*'Analyse capacite'!$C$9</f>
        <v>0</v>
      </c>
      <c r="J5197" s="135" t="n">
        <f aca="false">$G5197*'Analyse capacite'!$D$9</f>
        <v>0</v>
      </c>
      <c r="K5197" s="135" t="n">
        <f aca="false">$G5197*'Analyse capacite'!$E$9</f>
        <v>0</v>
      </c>
    </row>
    <row r="5198" customFormat="false" ht="15" hidden="false" customHeight="false" outlineLevel="0" collapsed="false">
      <c r="B5198" s="130" t="n">
        <v>2027</v>
      </c>
      <c r="C5198" s="131" t="s">
        <v>250</v>
      </c>
      <c r="D5198" s="132" t="n">
        <v>46622</v>
      </c>
      <c r="E5198" s="131" t="s">
        <v>36</v>
      </c>
      <c r="F5198" s="133" t="s">
        <v>11</v>
      </c>
      <c r="G5198" s="134" t="n">
        <f aca="false">LEN('Saisie programme'!$D$178)+SUMIFS('Vols additionnels'!$E$7:$E$66,'Vols additionnels'!$C$7:$C$66,$E5198,'Vols additionnels'!$D$7:$D$66,$F5198,'Vols additionnels'!$B$7:$B$66,$D5198)</f>
        <v>0</v>
      </c>
      <c r="H5198" s="135" t="n">
        <f aca="false">$G5198*'Analyse capacite'!$F$7</f>
        <v>0</v>
      </c>
      <c r="I5198" s="135" t="n">
        <f aca="false">$G5198*'Analyse capacite'!$C$7</f>
        <v>0</v>
      </c>
      <c r="J5198" s="135" t="n">
        <f aca="false">$G5198*'Analyse capacite'!$D$7</f>
        <v>0</v>
      </c>
      <c r="K5198" s="135" t="n">
        <f aca="false">$G5198*'Analyse capacite'!$E$7</f>
        <v>0</v>
      </c>
    </row>
    <row r="5199" customFormat="false" ht="15" hidden="false" customHeight="false" outlineLevel="0" collapsed="false">
      <c r="B5199" s="130" t="n">
        <v>2027</v>
      </c>
      <c r="C5199" s="131" t="s">
        <v>250</v>
      </c>
      <c r="D5199" s="132" t="n">
        <v>46622</v>
      </c>
      <c r="E5199" s="131" t="s">
        <v>36</v>
      </c>
      <c r="F5199" s="133" t="s">
        <v>19</v>
      </c>
      <c r="G5199" s="134" t="n">
        <f aca="false">LEN('Saisie programme'!$D$179)+SUMIFS('Vols additionnels'!$E$7:$E$66,'Vols additionnels'!$C$7:$C$66,$E5199,'Vols additionnels'!$D$7:$D$66,$F5199,'Vols additionnels'!$B$7:$B$66,$D5199)</f>
        <v>0</v>
      </c>
      <c r="H5199" s="135" t="n">
        <f aca="false">$G5199*'Analyse capacite'!$F$8</f>
        <v>0</v>
      </c>
      <c r="I5199" s="135" t="n">
        <f aca="false">$G5199*'Analyse capacite'!$C$8</f>
        <v>0</v>
      </c>
      <c r="J5199" s="135" t="n">
        <f aca="false">$G5199*'Analyse capacite'!$D$8</f>
        <v>0</v>
      </c>
      <c r="K5199" s="135" t="n">
        <f aca="false">$G5199*'Analyse capacite'!$E$8</f>
        <v>0</v>
      </c>
    </row>
    <row r="5200" customFormat="false" ht="15" hidden="false" customHeight="false" outlineLevel="0" collapsed="false">
      <c r="B5200" s="130" t="n">
        <v>2027</v>
      </c>
      <c r="C5200" s="131" t="s">
        <v>250</v>
      </c>
      <c r="D5200" s="132" t="n">
        <v>46622</v>
      </c>
      <c r="E5200" s="131" t="s">
        <v>36</v>
      </c>
      <c r="F5200" s="133" t="s">
        <v>24</v>
      </c>
      <c r="G5200" s="134" t="n">
        <f aca="false">LEN('Saisie programme'!$D$180)+SUMIFS('Vols additionnels'!$E$7:$E$66,'Vols additionnels'!$C$7:$C$66,$E5200,'Vols additionnels'!$D$7:$D$66,$F5200,'Vols additionnels'!$B$7:$B$66,$D5200)</f>
        <v>1</v>
      </c>
      <c r="H5200" s="135" t="n">
        <f aca="false">$G5200*'Analyse capacite'!$F$9</f>
        <v>174</v>
      </c>
      <c r="I5200" s="135" t="n">
        <f aca="false">$G5200*'Analyse capacite'!$C$9</f>
        <v>0</v>
      </c>
      <c r="J5200" s="135" t="n">
        <f aca="false">$G5200*'Analyse capacite'!$D$9</f>
        <v>12</v>
      </c>
      <c r="K5200" s="135" t="n">
        <f aca="false">$G5200*'Analyse capacite'!$E$9</f>
        <v>162</v>
      </c>
    </row>
    <row r="5201" customFormat="false" ht="15" hidden="false" customHeight="false" outlineLevel="0" collapsed="false">
      <c r="B5201" s="130" t="n">
        <v>2027</v>
      </c>
      <c r="C5201" s="131" t="s">
        <v>250</v>
      </c>
      <c r="D5201" s="132" t="n">
        <v>46622</v>
      </c>
      <c r="E5201" s="131" t="s">
        <v>40</v>
      </c>
      <c r="F5201" s="133" t="s">
        <v>11</v>
      </c>
      <c r="G5201" s="134" t="n">
        <f aca="false">LEN('Saisie programme'!$D$181)+SUMIFS('Vols additionnels'!$E$7:$E$66,'Vols additionnels'!$C$7:$C$66,$E5201,'Vols additionnels'!$D$7:$D$66,$F5201,'Vols additionnels'!$B$7:$B$66,$D5201)</f>
        <v>0</v>
      </c>
      <c r="H5201" s="135" t="n">
        <f aca="false">$G5201*'Analyse capacite'!$F$7</f>
        <v>0</v>
      </c>
      <c r="I5201" s="135" t="n">
        <f aca="false">$G5201*'Analyse capacite'!$C$7</f>
        <v>0</v>
      </c>
      <c r="J5201" s="135" t="n">
        <f aca="false">$G5201*'Analyse capacite'!$D$7</f>
        <v>0</v>
      </c>
      <c r="K5201" s="135" t="n">
        <f aca="false">$G5201*'Analyse capacite'!$E$7</f>
        <v>0</v>
      </c>
    </row>
    <row r="5202" customFormat="false" ht="15" hidden="false" customHeight="false" outlineLevel="0" collapsed="false">
      <c r="B5202" s="130" t="n">
        <v>2027</v>
      </c>
      <c r="C5202" s="131" t="s">
        <v>250</v>
      </c>
      <c r="D5202" s="132" t="n">
        <v>46622</v>
      </c>
      <c r="E5202" s="131" t="s">
        <v>40</v>
      </c>
      <c r="F5202" s="133" t="s">
        <v>19</v>
      </c>
      <c r="G5202" s="134" t="n">
        <f aca="false">LEN('Saisie programme'!$D$182)+SUMIFS('Vols additionnels'!$E$7:$E$66,'Vols additionnels'!$C$7:$C$66,$E5202,'Vols additionnels'!$D$7:$D$66,$F5202,'Vols additionnels'!$B$7:$B$66,$D5202)</f>
        <v>0</v>
      </c>
      <c r="H5202" s="135" t="n">
        <f aca="false">$G5202*'Analyse capacite'!$F$8</f>
        <v>0</v>
      </c>
      <c r="I5202" s="135" t="n">
        <f aca="false">$G5202*'Analyse capacite'!$C$8</f>
        <v>0</v>
      </c>
      <c r="J5202" s="135" t="n">
        <f aca="false">$G5202*'Analyse capacite'!$D$8</f>
        <v>0</v>
      </c>
      <c r="K5202" s="135" t="n">
        <f aca="false">$G5202*'Analyse capacite'!$E$8</f>
        <v>0</v>
      </c>
    </row>
    <row r="5203" customFormat="false" ht="15" hidden="false" customHeight="false" outlineLevel="0" collapsed="false">
      <c r="B5203" s="130" t="n">
        <v>2027</v>
      </c>
      <c r="C5203" s="131" t="s">
        <v>250</v>
      </c>
      <c r="D5203" s="132" t="n">
        <v>46622</v>
      </c>
      <c r="E5203" s="131" t="s">
        <v>40</v>
      </c>
      <c r="F5203" s="133" t="s">
        <v>24</v>
      </c>
      <c r="G5203" s="134" t="n">
        <f aca="false">LEN('Saisie programme'!$D$183)+SUMIFS('Vols additionnels'!$E$7:$E$66,'Vols additionnels'!$C$7:$C$66,$E5203,'Vols additionnels'!$D$7:$D$66,$F5203,'Vols additionnels'!$B$7:$B$66,$D5203)</f>
        <v>1</v>
      </c>
      <c r="H5203" s="135" t="n">
        <f aca="false">$G5203*'Analyse capacite'!$F$9</f>
        <v>174</v>
      </c>
      <c r="I5203" s="135" t="n">
        <f aca="false">$G5203*'Analyse capacite'!$C$9</f>
        <v>0</v>
      </c>
      <c r="J5203" s="135" t="n">
        <f aca="false">$G5203*'Analyse capacite'!$D$9</f>
        <v>12</v>
      </c>
      <c r="K5203" s="135" t="n">
        <f aca="false">$G5203*'Analyse capacite'!$E$9</f>
        <v>162</v>
      </c>
    </row>
    <row r="5204" customFormat="false" ht="15" hidden="false" customHeight="false" outlineLevel="0" collapsed="false">
      <c r="B5204" s="130" t="n">
        <v>2027</v>
      </c>
      <c r="C5204" s="131" t="s">
        <v>250</v>
      </c>
      <c r="D5204" s="132" t="n">
        <v>46622</v>
      </c>
      <c r="E5204" s="131" t="s">
        <v>14</v>
      </c>
      <c r="F5204" s="133" t="s">
        <v>11</v>
      </c>
      <c r="G5204" s="134" t="n">
        <f aca="false">LEN('Saisie programme'!$D$184)+SUMIFS('Vols additionnels'!$E$7:$E$66,'Vols additionnels'!$C$7:$C$66,$E5204,'Vols additionnels'!$D$7:$D$66,$F5204,'Vols additionnels'!$B$7:$B$66,$D5204)</f>
        <v>0</v>
      </c>
      <c r="H5204" s="135" t="n">
        <f aca="false">$G5204*'Analyse capacite'!$F$7</f>
        <v>0</v>
      </c>
      <c r="I5204" s="135" t="n">
        <f aca="false">$G5204*'Analyse capacite'!$C$7</f>
        <v>0</v>
      </c>
      <c r="J5204" s="135" t="n">
        <f aca="false">$G5204*'Analyse capacite'!$D$7</f>
        <v>0</v>
      </c>
      <c r="K5204" s="135" t="n">
        <f aca="false">$G5204*'Analyse capacite'!$E$7</f>
        <v>0</v>
      </c>
    </row>
    <row r="5205" customFormat="false" ht="15" hidden="false" customHeight="false" outlineLevel="0" collapsed="false">
      <c r="B5205" s="130" t="n">
        <v>2027</v>
      </c>
      <c r="C5205" s="131" t="s">
        <v>250</v>
      </c>
      <c r="D5205" s="132" t="n">
        <v>46622</v>
      </c>
      <c r="E5205" s="131" t="s">
        <v>14</v>
      </c>
      <c r="F5205" s="133" t="s">
        <v>19</v>
      </c>
      <c r="G5205" s="134" t="n">
        <f aca="false">LEN('Saisie programme'!$D$185)+SUMIFS('Vols additionnels'!$E$7:$E$66,'Vols additionnels'!$C$7:$C$66,$E5205,'Vols additionnels'!$D$7:$D$66,$F5205,'Vols additionnels'!$B$7:$B$66,$D5205)</f>
        <v>0</v>
      </c>
      <c r="H5205" s="135" t="n">
        <f aca="false">$G5205*'Analyse capacite'!$F$8</f>
        <v>0</v>
      </c>
      <c r="I5205" s="135" t="n">
        <f aca="false">$G5205*'Analyse capacite'!$C$8</f>
        <v>0</v>
      </c>
      <c r="J5205" s="135" t="n">
        <f aca="false">$G5205*'Analyse capacite'!$D$8</f>
        <v>0</v>
      </c>
      <c r="K5205" s="135" t="n">
        <f aca="false">$G5205*'Analyse capacite'!$E$8</f>
        <v>0</v>
      </c>
    </row>
    <row r="5206" customFormat="false" ht="15" hidden="false" customHeight="false" outlineLevel="0" collapsed="false">
      <c r="B5206" s="130" t="n">
        <v>2027</v>
      </c>
      <c r="C5206" s="131" t="s">
        <v>250</v>
      </c>
      <c r="D5206" s="132" t="n">
        <v>46622</v>
      </c>
      <c r="E5206" s="131" t="s">
        <v>14</v>
      </c>
      <c r="F5206" s="133" t="s">
        <v>24</v>
      </c>
      <c r="G5206" s="134" t="n">
        <f aca="false">LEN('Saisie programme'!$D$186)+SUMIFS('Vols additionnels'!$E$7:$E$66,'Vols additionnels'!$C$7:$C$66,$E5206,'Vols additionnels'!$D$7:$D$66,$F5206,'Vols additionnels'!$B$7:$B$66,$D5206)</f>
        <v>1</v>
      </c>
      <c r="H5206" s="135" t="n">
        <f aca="false">$G5206*'Analyse capacite'!$F$9</f>
        <v>174</v>
      </c>
      <c r="I5206" s="135" t="n">
        <f aca="false">$G5206*'Analyse capacite'!$C$9</f>
        <v>0</v>
      </c>
      <c r="J5206" s="135" t="n">
        <f aca="false">$G5206*'Analyse capacite'!$D$9</f>
        <v>12</v>
      </c>
      <c r="K5206" s="135" t="n">
        <f aca="false">$G5206*'Analyse capacite'!$E$9</f>
        <v>162</v>
      </c>
    </row>
    <row r="5207" customFormat="false" ht="15" hidden="false" customHeight="false" outlineLevel="0" collapsed="false">
      <c r="B5207" s="130" t="n">
        <v>2027</v>
      </c>
      <c r="C5207" s="131" t="s">
        <v>250</v>
      </c>
      <c r="D5207" s="132" t="n">
        <v>46622</v>
      </c>
      <c r="E5207" s="131" t="s">
        <v>46</v>
      </c>
      <c r="F5207" s="133" t="s">
        <v>11</v>
      </c>
      <c r="G5207" s="134" t="n">
        <f aca="false">LEN('Saisie programme'!$D$187)+SUMIFS('Vols additionnels'!$E$7:$E$66,'Vols additionnels'!$C$7:$C$66,$E5207,'Vols additionnels'!$D$7:$D$66,$F5207,'Vols additionnels'!$B$7:$B$66,$D5207)</f>
        <v>0</v>
      </c>
      <c r="H5207" s="135" t="n">
        <f aca="false">$G5207*'Analyse capacite'!$F$7</f>
        <v>0</v>
      </c>
      <c r="I5207" s="135" t="n">
        <f aca="false">$G5207*'Analyse capacite'!$C$7</f>
        <v>0</v>
      </c>
      <c r="J5207" s="135" t="n">
        <f aca="false">$G5207*'Analyse capacite'!$D$7</f>
        <v>0</v>
      </c>
      <c r="K5207" s="135" t="n">
        <f aca="false">$G5207*'Analyse capacite'!$E$7</f>
        <v>0</v>
      </c>
    </row>
    <row r="5208" customFormat="false" ht="15" hidden="false" customHeight="false" outlineLevel="0" collapsed="false">
      <c r="B5208" s="130" t="n">
        <v>2027</v>
      </c>
      <c r="C5208" s="131" t="s">
        <v>250</v>
      </c>
      <c r="D5208" s="132" t="n">
        <v>46622</v>
      </c>
      <c r="E5208" s="131" t="s">
        <v>46</v>
      </c>
      <c r="F5208" s="133" t="s">
        <v>19</v>
      </c>
      <c r="G5208" s="134" t="n">
        <f aca="false">LEN('Saisie programme'!$D$188)+SUMIFS('Vols additionnels'!$E$7:$E$66,'Vols additionnels'!$C$7:$C$66,$E5208,'Vols additionnels'!$D$7:$D$66,$F5208,'Vols additionnels'!$B$7:$B$66,$D5208)</f>
        <v>0</v>
      </c>
      <c r="H5208" s="135" t="n">
        <f aca="false">$G5208*'Analyse capacite'!$F$8</f>
        <v>0</v>
      </c>
      <c r="I5208" s="135" t="n">
        <f aca="false">$G5208*'Analyse capacite'!$C$8</f>
        <v>0</v>
      </c>
      <c r="J5208" s="135" t="n">
        <f aca="false">$G5208*'Analyse capacite'!$D$8</f>
        <v>0</v>
      </c>
      <c r="K5208" s="135" t="n">
        <f aca="false">$G5208*'Analyse capacite'!$E$8</f>
        <v>0</v>
      </c>
    </row>
    <row r="5209" customFormat="false" ht="15" hidden="false" customHeight="false" outlineLevel="0" collapsed="false">
      <c r="B5209" s="130" t="n">
        <v>2027</v>
      </c>
      <c r="C5209" s="131" t="s">
        <v>250</v>
      </c>
      <c r="D5209" s="132" t="n">
        <v>46622</v>
      </c>
      <c r="E5209" s="131" t="s">
        <v>46</v>
      </c>
      <c r="F5209" s="133" t="s">
        <v>24</v>
      </c>
      <c r="G5209" s="134" t="n">
        <f aca="false">LEN('Saisie programme'!$D$189)+SUMIFS('Vols additionnels'!$E$7:$E$66,'Vols additionnels'!$C$7:$C$66,$E5209,'Vols additionnels'!$D$7:$D$66,$F5209,'Vols additionnels'!$B$7:$B$66,$D5209)</f>
        <v>0</v>
      </c>
      <c r="H5209" s="135" t="n">
        <f aca="false">$G5209*'Analyse capacite'!$F$9</f>
        <v>0</v>
      </c>
      <c r="I5209" s="135" t="n">
        <f aca="false">$G5209*'Analyse capacite'!$C$9</f>
        <v>0</v>
      </c>
      <c r="J5209" s="135" t="n">
        <f aca="false">$G5209*'Analyse capacite'!$D$9</f>
        <v>0</v>
      </c>
      <c r="K5209" s="135" t="n">
        <f aca="false">$G5209*'Analyse capacite'!$E$9</f>
        <v>0</v>
      </c>
    </row>
    <row r="5210" customFormat="false" ht="15" hidden="false" customHeight="false" outlineLevel="0" collapsed="false">
      <c r="B5210" s="130" t="n">
        <v>2027</v>
      </c>
      <c r="C5210" s="131" t="s">
        <v>250</v>
      </c>
      <c r="D5210" s="132" t="n">
        <v>46622</v>
      </c>
      <c r="E5210" s="131" t="s">
        <v>49</v>
      </c>
      <c r="F5210" s="133" t="s">
        <v>11</v>
      </c>
      <c r="G5210" s="134" t="n">
        <f aca="false">LEN('Saisie programme'!$D$190)+SUMIFS('Vols additionnels'!$E$7:$E$66,'Vols additionnels'!$C$7:$C$66,$E5210,'Vols additionnels'!$D$7:$D$66,$F5210,'Vols additionnels'!$B$7:$B$66,$D5210)</f>
        <v>0</v>
      </c>
      <c r="H5210" s="135" t="n">
        <f aca="false">$G5210*'Analyse capacite'!$F$7</f>
        <v>0</v>
      </c>
      <c r="I5210" s="135" t="n">
        <f aca="false">$G5210*'Analyse capacite'!$C$7</f>
        <v>0</v>
      </c>
      <c r="J5210" s="135" t="n">
        <f aca="false">$G5210*'Analyse capacite'!$D$7</f>
        <v>0</v>
      </c>
      <c r="K5210" s="135" t="n">
        <f aca="false">$G5210*'Analyse capacite'!$E$7</f>
        <v>0</v>
      </c>
    </row>
    <row r="5211" customFormat="false" ht="15" hidden="false" customHeight="false" outlineLevel="0" collapsed="false">
      <c r="B5211" s="130" t="n">
        <v>2027</v>
      </c>
      <c r="C5211" s="131" t="s">
        <v>250</v>
      </c>
      <c r="D5211" s="132" t="n">
        <v>46622</v>
      </c>
      <c r="E5211" s="131" t="s">
        <v>49</v>
      </c>
      <c r="F5211" s="133" t="s">
        <v>19</v>
      </c>
      <c r="G5211" s="134" t="n">
        <f aca="false">LEN('Saisie programme'!$D$191)+SUMIFS('Vols additionnels'!$E$7:$E$66,'Vols additionnels'!$C$7:$C$66,$E5211,'Vols additionnels'!$D$7:$D$66,$F5211,'Vols additionnels'!$B$7:$B$66,$D5211)</f>
        <v>1</v>
      </c>
      <c r="H5211" s="135" t="n">
        <f aca="false">$G5211*'Analyse capacite'!$F$8</f>
        <v>262</v>
      </c>
      <c r="I5211" s="135" t="n">
        <f aca="false">$G5211*'Analyse capacite'!$C$8</f>
        <v>18</v>
      </c>
      <c r="J5211" s="135" t="n">
        <f aca="false">$G5211*'Analyse capacite'!$D$8</f>
        <v>0</v>
      </c>
      <c r="K5211" s="135" t="n">
        <f aca="false">$G5211*'Analyse capacite'!$E$8</f>
        <v>244</v>
      </c>
    </row>
    <row r="5212" customFormat="false" ht="15" hidden="false" customHeight="false" outlineLevel="0" collapsed="false">
      <c r="B5212" s="130" t="n">
        <v>2027</v>
      </c>
      <c r="C5212" s="131" t="s">
        <v>250</v>
      </c>
      <c r="D5212" s="132" t="n">
        <v>46622</v>
      </c>
      <c r="E5212" s="131" t="s">
        <v>49</v>
      </c>
      <c r="F5212" s="133" t="s">
        <v>24</v>
      </c>
      <c r="G5212" s="134" t="n">
        <f aca="false">LEN('Saisie programme'!$D$192)+SUMIFS('Vols additionnels'!$E$7:$E$66,'Vols additionnels'!$C$7:$C$66,$E5212,'Vols additionnels'!$D$7:$D$66,$F5212,'Vols additionnels'!$B$7:$B$66,$D5212)</f>
        <v>0</v>
      </c>
      <c r="H5212" s="135" t="n">
        <f aca="false">$G5212*'Analyse capacite'!$F$9</f>
        <v>0</v>
      </c>
      <c r="I5212" s="135" t="n">
        <f aca="false">$G5212*'Analyse capacite'!$C$9</f>
        <v>0</v>
      </c>
      <c r="J5212" s="135" t="n">
        <f aca="false">$G5212*'Analyse capacite'!$D$9</f>
        <v>0</v>
      </c>
      <c r="K5212" s="135" t="n">
        <f aca="false">$G5212*'Analyse capacite'!$E$9</f>
        <v>0</v>
      </c>
    </row>
    <row r="5213" customFormat="false" ht="15" hidden="false" customHeight="false" outlineLevel="0" collapsed="false">
      <c r="B5213" s="130" t="n">
        <v>2027</v>
      </c>
      <c r="C5213" s="131" t="s">
        <v>250</v>
      </c>
      <c r="D5213" s="132" t="n">
        <v>46622</v>
      </c>
      <c r="E5213" s="131" t="s">
        <v>53</v>
      </c>
      <c r="F5213" s="133" t="s">
        <v>11</v>
      </c>
      <c r="G5213" s="134" t="n">
        <f aca="false">LEN('Saisie programme'!$D$193)+SUMIFS('Vols additionnels'!$E$7:$E$66,'Vols additionnels'!$C$7:$C$66,$E5213,'Vols additionnels'!$D$7:$D$66,$F5213,'Vols additionnels'!$B$7:$B$66,$D5213)</f>
        <v>0</v>
      </c>
      <c r="H5213" s="135" t="n">
        <f aca="false">$G5213*'Analyse capacite'!$F$7</f>
        <v>0</v>
      </c>
      <c r="I5213" s="135" t="n">
        <f aca="false">$G5213*'Analyse capacite'!$C$7</f>
        <v>0</v>
      </c>
      <c r="J5213" s="135" t="n">
        <f aca="false">$G5213*'Analyse capacite'!$D$7</f>
        <v>0</v>
      </c>
      <c r="K5213" s="135" t="n">
        <f aca="false">$G5213*'Analyse capacite'!$E$7</f>
        <v>0</v>
      </c>
    </row>
    <row r="5214" customFormat="false" ht="15" hidden="false" customHeight="false" outlineLevel="0" collapsed="false">
      <c r="B5214" s="130" t="n">
        <v>2027</v>
      </c>
      <c r="C5214" s="131" t="s">
        <v>250</v>
      </c>
      <c r="D5214" s="132" t="n">
        <v>46622</v>
      </c>
      <c r="E5214" s="131" t="s">
        <v>53</v>
      </c>
      <c r="F5214" s="133" t="s">
        <v>19</v>
      </c>
      <c r="G5214" s="134" t="n">
        <f aca="false">LEN('Saisie programme'!$D$194)+SUMIFS('Vols additionnels'!$E$7:$E$66,'Vols additionnels'!$C$7:$C$66,$E5214,'Vols additionnels'!$D$7:$D$66,$F5214,'Vols additionnels'!$B$7:$B$66,$D5214)</f>
        <v>0</v>
      </c>
      <c r="H5214" s="135" t="n">
        <f aca="false">$G5214*'Analyse capacite'!$F$8</f>
        <v>0</v>
      </c>
      <c r="I5214" s="135" t="n">
        <f aca="false">$G5214*'Analyse capacite'!$C$8</f>
        <v>0</v>
      </c>
      <c r="J5214" s="135" t="n">
        <f aca="false">$G5214*'Analyse capacite'!$D$8</f>
        <v>0</v>
      </c>
      <c r="K5214" s="135" t="n">
        <f aca="false">$G5214*'Analyse capacite'!$E$8</f>
        <v>0</v>
      </c>
    </row>
    <row r="5215" customFormat="false" ht="15" hidden="false" customHeight="false" outlineLevel="0" collapsed="false">
      <c r="B5215" s="130" t="n">
        <v>2027</v>
      </c>
      <c r="C5215" s="131" t="s">
        <v>250</v>
      </c>
      <c r="D5215" s="132" t="n">
        <v>46622</v>
      </c>
      <c r="E5215" s="131" t="s">
        <v>53</v>
      </c>
      <c r="F5215" s="133" t="s">
        <v>24</v>
      </c>
      <c r="G5215" s="134" t="n">
        <f aca="false">LEN('Saisie programme'!$D$195)+SUMIFS('Vols additionnels'!$E$7:$E$66,'Vols additionnels'!$C$7:$C$66,$E5215,'Vols additionnels'!$D$7:$D$66,$F5215,'Vols additionnels'!$B$7:$B$66,$D5215)</f>
        <v>0</v>
      </c>
      <c r="H5215" s="135" t="n">
        <f aca="false">$G5215*'Analyse capacite'!$F$9</f>
        <v>0</v>
      </c>
      <c r="I5215" s="135" t="n">
        <f aca="false">$G5215*'Analyse capacite'!$C$9</f>
        <v>0</v>
      </c>
      <c r="J5215" s="135" t="n">
        <f aca="false">$G5215*'Analyse capacite'!$D$9</f>
        <v>0</v>
      </c>
      <c r="K5215" s="135" t="n">
        <f aca="false">$G5215*'Analyse capacite'!$E$9</f>
        <v>0</v>
      </c>
    </row>
    <row r="5216" customFormat="false" ht="15" hidden="false" customHeight="false" outlineLevel="0" collapsed="false">
      <c r="B5216" s="130" t="n">
        <v>2027</v>
      </c>
      <c r="C5216" s="131" t="s">
        <v>250</v>
      </c>
      <c r="D5216" s="132" t="n">
        <v>46622</v>
      </c>
      <c r="E5216" s="131" t="s">
        <v>56</v>
      </c>
      <c r="F5216" s="133" t="s">
        <v>11</v>
      </c>
      <c r="G5216" s="134" t="n">
        <f aca="false">LEN('Saisie programme'!$D$196)+SUMIFS('Vols additionnels'!$E$7:$E$66,'Vols additionnels'!$C$7:$C$66,$E5216,'Vols additionnels'!$D$7:$D$66,$F5216,'Vols additionnels'!$B$7:$B$66,$D5216)</f>
        <v>0</v>
      </c>
      <c r="H5216" s="135" t="n">
        <f aca="false">$G5216*'Analyse capacite'!$F$7</f>
        <v>0</v>
      </c>
      <c r="I5216" s="135" t="n">
        <f aca="false">$G5216*'Analyse capacite'!$C$7</f>
        <v>0</v>
      </c>
      <c r="J5216" s="135" t="n">
        <f aca="false">$G5216*'Analyse capacite'!$D$7</f>
        <v>0</v>
      </c>
      <c r="K5216" s="135" t="n">
        <f aca="false">$G5216*'Analyse capacite'!$E$7</f>
        <v>0</v>
      </c>
    </row>
    <row r="5217" customFormat="false" ht="15" hidden="false" customHeight="false" outlineLevel="0" collapsed="false">
      <c r="B5217" s="130" t="n">
        <v>2027</v>
      </c>
      <c r="C5217" s="131" t="s">
        <v>250</v>
      </c>
      <c r="D5217" s="132" t="n">
        <v>46622</v>
      </c>
      <c r="E5217" s="131" t="s">
        <v>56</v>
      </c>
      <c r="F5217" s="133" t="s">
        <v>19</v>
      </c>
      <c r="G5217" s="134" t="n">
        <f aca="false">LEN('Saisie programme'!$D$197)+SUMIFS('Vols additionnels'!$E$7:$E$66,'Vols additionnels'!$C$7:$C$66,$E5217,'Vols additionnels'!$D$7:$D$66,$F5217,'Vols additionnels'!$B$7:$B$66,$D5217)</f>
        <v>0</v>
      </c>
      <c r="H5217" s="135" t="n">
        <f aca="false">$G5217*'Analyse capacite'!$F$8</f>
        <v>0</v>
      </c>
      <c r="I5217" s="135" t="n">
        <f aca="false">$G5217*'Analyse capacite'!$C$8</f>
        <v>0</v>
      </c>
      <c r="J5217" s="135" t="n">
        <f aca="false">$G5217*'Analyse capacite'!$D$8</f>
        <v>0</v>
      </c>
      <c r="K5217" s="135" t="n">
        <f aca="false">$G5217*'Analyse capacite'!$E$8</f>
        <v>0</v>
      </c>
    </row>
    <row r="5218" customFormat="false" ht="15" hidden="false" customHeight="false" outlineLevel="0" collapsed="false">
      <c r="B5218" s="130" t="n">
        <v>2027</v>
      </c>
      <c r="C5218" s="131" t="s">
        <v>250</v>
      </c>
      <c r="D5218" s="132" t="n">
        <v>46622</v>
      </c>
      <c r="E5218" s="131" t="s">
        <v>56</v>
      </c>
      <c r="F5218" s="133" t="s">
        <v>24</v>
      </c>
      <c r="G5218" s="134" t="n">
        <f aca="false">LEN('Saisie programme'!$D$198)+SUMIFS('Vols additionnels'!$E$7:$E$66,'Vols additionnels'!$C$7:$C$66,$E5218,'Vols additionnels'!$D$7:$D$66,$F5218,'Vols additionnels'!$B$7:$B$66,$D5218)</f>
        <v>0</v>
      </c>
      <c r="H5218" s="135" t="n">
        <f aca="false">$G5218*'Analyse capacite'!$F$9</f>
        <v>0</v>
      </c>
      <c r="I5218" s="135" t="n">
        <f aca="false">$G5218*'Analyse capacite'!$C$9</f>
        <v>0</v>
      </c>
      <c r="J5218" s="135" t="n">
        <f aca="false">$G5218*'Analyse capacite'!$D$9</f>
        <v>0</v>
      </c>
      <c r="K5218" s="135" t="n">
        <f aca="false">$G5218*'Analyse capacite'!$E$9</f>
        <v>0</v>
      </c>
    </row>
    <row r="5219" customFormat="false" ht="15" hidden="false" customHeight="false" outlineLevel="0" collapsed="false">
      <c r="B5219" s="130" t="n">
        <v>2027</v>
      </c>
      <c r="C5219" s="131" t="s">
        <v>250</v>
      </c>
      <c r="D5219" s="132" t="n">
        <v>46622</v>
      </c>
      <c r="E5219" s="131" t="s">
        <v>59</v>
      </c>
      <c r="F5219" s="133" t="s">
        <v>11</v>
      </c>
      <c r="G5219" s="134" t="n">
        <f aca="false">LEN('Saisie programme'!$D$199)+SUMIFS('Vols additionnels'!$E$7:$E$66,'Vols additionnels'!$C$7:$C$66,$E5219,'Vols additionnels'!$D$7:$D$66,$F5219,'Vols additionnels'!$B$7:$B$66,$D5219)</f>
        <v>0</v>
      </c>
      <c r="H5219" s="135" t="n">
        <f aca="false">$G5219*'Analyse capacite'!$F$7</f>
        <v>0</v>
      </c>
      <c r="I5219" s="135" t="n">
        <f aca="false">$G5219*'Analyse capacite'!$C$7</f>
        <v>0</v>
      </c>
      <c r="J5219" s="135" t="n">
        <f aca="false">$G5219*'Analyse capacite'!$D$7</f>
        <v>0</v>
      </c>
      <c r="K5219" s="135" t="n">
        <f aca="false">$G5219*'Analyse capacite'!$E$7</f>
        <v>0</v>
      </c>
    </row>
    <row r="5220" customFormat="false" ht="15" hidden="false" customHeight="false" outlineLevel="0" collapsed="false">
      <c r="B5220" s="130" t="n">
        <v>2027</v>
      </c>
      <c r="C5220" s="131" t="s">
        <v>250</v>
      </c>
      <c r="D5220" s="132" t="n">
        <v>46622</v>
      </c>
      <c r="E5220" s="131" t="s">
        <v>59</v>
      </c>
      <c r="F5220" s="133" t="s">
        <v>19</v>
      </c>
      <c r="G5220" s="134" t="n">
        <f aca="false">LEN('Saisie programme'!$D$200)+SUMIFS('Vols additionnels'!$E$7:$E$66,'Vols additionnels'!$C$7:$C$66,$E5220,'Vols additionnels'!$D$7:$D$66,$F5220,'Vols additionnels'!$B$7:$B$66,$D5220)</f>
        <v>0</v>
      </c>
      <c r="H5220" s="135" t="n">
        <f aca="false">$G5220*'Analyse capacite'!$F$8</f>
        <v>0</v>
      </c>
      <c r="I5220" s="135" t="n">
        <f aca="false">$G5220*'Analyse capacite'!$C$8</f>
        <v>0</v>
      </c>
      <c r="J5220" s="135" t="n">
        <f aca="false">$G5220*'Analyse capacite'!$D$8</f>
        <v>0</v>
      </c>
      <c r="K5220" s="135" t="n">
        <f aca="false">$G5220*'Analyse capacite'!$E$8</f>
        <v>0</v>
      </c>
    </row>
    <row r="5221" customFormat="false" ht="15" hidden="false" customHeight="false" outlineLevel="0" collapsed="false">
      <c r="B5221" s="130" t="n">
        <v>2027</v>
      </c>
      <c r="C5221" s="131" t="s">
        <v>250</v>
      </c>
      <c r="D5221" s="132" t="n">
        <v>46622</v>
      </c>
      <c r="E5221" s="131" t="s">
        <v>59</v>
      </c>
      <c r="F5221" s="133" t="s">
        <v>24</v>
      </c>
      <c r="G5221" s="134" t="n">
        <f aca="false">LEN('Saisie programme'!$D$201)+SUMIFS('Vols additionnels'!$E$7:$E$66,'Vols additionnels'!$C$7:$C$66,$E5221,'Vols additionnels'!$D$7:$D$66,$F5221,'Vols additionnels'!$B$7:$B$66,$D5221)</f>
        <v>1</v>
      </c>
      <c r="H5221" s="135" t="n">
        <f aca="false">$G5221*'Analyse capacite'!$F$9</f>
        <v>174</v>
      </c>
      <c r="I5221" s="135" t="n">
        <f aca="false">$G5221*'Analyse capacite'!$C$9</f>
        <v>0</v>
      </c>
      <c r="J5221" s="135" t="n">
        <f aca="false">$G5221*'Analyse capacite'!$D$9</f>
        <v>12</v>
      </c>
      <c r="K5221" s="135" t="n">
        <f aca="false">$G5221*'Analyse capacite'!$E$9</f>
        <v>162</v>
      </c>
    </row>
    <row r="5222" customFormat="false" ht="15" hidden="false" customHeight="false" outlineLevel="0" collapsed="false">
      <c r="B5222" s="130" t="n">
        <v>2027</v>
      </c>
      <c r="C5222" s="131" t="s">
        <v>250</v>
      </c>
      <c r="D5222" s="132" t="n">
        <v>46622</v>
      </c>
      <c r="E5222" s="131" t="s">
        <v>62</v>
      </c>
      <c r="F5222" s="133" t="s">
        <v>11</v>
      </c>
      <c r="G5222" s="134" t="n">
        <f aca="false">LEN('Saisie programme'!$D$202)+SUMIFS('Vols additionnels'!$E$7:$E$66,'Vols additionnels'!$C$7:$C$66,$E5222,'Vols additionnels'!$D$7:$D$66,$F5222,'Vols additionnels'!$B$7:$B$66,$D5222)</f>
        <v>0</v>
      </c>
      <c r="H5222" s="135" t="n">
        <f aca="false">$G5222*'Analyse capacite'!$F$7</f>
        <v>0</v>
      </c>
      <c r="I5222" s="135" t="n">
        <f aca="false">$G5222*'Analyse capacite'!$C$7</f>
        <v>0</v>
      </c>
      <c r="J5222" s="135" t="n">
        <f aca="false">$G5222*'Analyse capacite'!$D$7</f>
        <v>0</v>
      </c>
      <c r="K5222" s="135" t="n">
        <f aca="false">$G5222*'Analyse capacite'!$E$7</f>
        <v>0</v>
      </c>
    </row>
    <row r="5223" customFormat="false" ht="15" hidden="false" customHeight="false" outlineLevel="0" collapsed="false">
      <c r="B5223" s="130" t="n">
        <v>2027</v>
      </c>
      <c r="C5223" s="131" t="s">
        <v>250</v>
      </c>
      <c r="D5223" s="132" t="n">
        <v>46622</v>
      </c>
      <c r="E5223" s="131" t="s">
        <v>62</v>
      </c>
      <c r="F5223" s="133" t="s">
        <v>19</v>
      </c>
      <c r="G5223" s="134" t="n">
        <f aca="false">LEN('Saisie programme'!$D$203)+SUMIFS('Vols additionnels'!$E$7:$E$66,'Vols additionnels'!$C$7:$C$66,$E5223,'Vols additionnels'!$D$7:$D$66,$F5223,'Vols additionnels'!$B$7:$B$66,$D5223)</f>
        <v>0</v>
      </c>
      <c r="H5223" s="135" t="n">
        <f aca="false">$G5223*'Analyse capacite'!$F$8</f>
        <v>0</v>
      </c>
      <c r="I5223" s="135" t="n">
        <f aca="false">$G5223*'Analyse capacite'!$C$8</f>
        <v>0</v>
      </c>
      <c r="J5223" s="135" t="n">
        <f aca="false">$G5223*'Analyse capacite'!$D$8</f>
        <v>0</v>
      </c>
      <c r="K5223" s="135" t="n">
        <f aca="false">$G5223*'Analyse capacite'!$E$8</f>
        <v>0</v>
      </c>
    </row>
    <row r="5224" customFormat="false" ht="15" hidden="false" customHeight="false" outlineLevel="0" collapsed="false">
      <c r="B5224" s="130" t="n">
        <v>2027</v>
      </c>
      <c r="C5224" s="131" t="s">
        <v>250</v>
      </c>
      <c r="D5224" s="132" t="n">
        <v>46622</v>
      </c>
      <c r="E5224" s="131" t="s">
        <v>62</v>
      </c>
      <c r="F5224" s="133" t="s">
        <v>24</v>
      </c>
      <c r="G5224" s="134" t="n">
        <f aca="false">LEN('Saisie programme'!$D$204)+SUMIFS('Vols additionnels'!$E$7:$E$66,'Vols additionnels'!$C$7:$C$66,$E5224,'Vols additionnels'!$D$7:$D$66,$F5224,'Vols additionnels'!$B$7:$B$66,$D5224)</f>
        <v>0</v>
      </c>
      <c r="H5224" s="135" t="n">
        <f aca="false">$G5224*'Analyse capacite'!$F$9</f>
        <v>0</v>
      </c>
      <c r="I5224" s="135" t="n">
        <f aca="false">$G5224*'Analyse capacite'!$C$9</f>
        <v>0</v>
      </c>
      <c r="J5224" s="135" t="n">
        <f aca="false">$G5224*'Analyse capacite'!$D$9</f>
        <v>0</v>
      </c>
      <c r="K5224" s="135" t="n">
        <f aca="false">$G5224*'Analyse capacite'!$E$9</f>
        <v>0</v>
      </c>
    </row>
    <row r="5225" customFormat="false" ht="15" hidden="false" customHeight="false" outlineLevel="0" collapsed="false">
      <c r="B5225" s="130" t="n">
        <v>2027</v>
      </c>
      <c r="C5225" s="131" t="s">
        <v>250</v>
      </c>
      <c r="D5225" s="132" t="n">
        <v>46623</v>
      </c>
      <c r="E5225" s="131" t="s">
        <v>12</v>
      </c>
      <c r="F5225" s="133" t="s">
        <v>11</v>
      </c>
      <c r="G5225" s="134" t="n">
        <f aca="false">LEN('Saisie programme'!$E$169)+SUMIFS('Vols additionnels'!$E$7:$E$66,'Vols additionnels'!$C$7:$C$66,$E5225,'Vols additionnels'!$D$7:$D$66,$F5225,'Vols additionnels'!$B$7:$B$66,$D5225)</f>
        <v>1</v>
      </c>
      <c r="H5225" s="135" t="n">
        <f aca="false">$G5225*'Analyse capacite'!$F$7</f>
        <v>438</v>
      </c>
      <c r="I5225" s="135" t="n">
        <f aca="false">$G5225*'Analyse capacite'!$C$7</f>
        <v>14</v>
      </c>
      <c r="J5225" s="135" t="n">
        <f aca="false">$G5225*'Analyse capacite'!$D$7</f>
        <v>40</v>
      </c>
      <c r="K5225" s="135" t="n">
        <f aca="false">$G5225*'Analyse capacite'!$E$7</f>
        <v>384</v>
      </c>
    </row>
    <row r="5226" customFormat="false" ht="15" hidden="false" customHeight="false" outlineLevel="0" collapsed="false">
      <c r="B5226" s="130" t="n">
        <v>2027</v>
      </c>
      <c r="C5226" s="131" t="s">
        <v>250</v>
      </c>
      <c r="D5226" s="132" t="n">
        <v>46623</v>
      </c>
      <c r="E5226" s="131" t="s">
        <v>12</v>
      </c>
      <c r="F5226" s="133" t="s">
        <v>19</v>
      </c>
      <c r="G5226" s="134" t="n">
        <f aca="false">LEN('Saisie programme'!$E$170)+SUMIFS('Vols additionnels'!$E$7:$E$66,'Vols additionnels'!$C$7:$C$66,$E5226,'Vols additionnels'!$D$7:$D$66,$F5226,'Vols additionnels'!$B$7:$B$66,$D5226)</f>
        <v>1</v>
      </c>
      <c r="H5226" s="135" t="n">
        <f aca="false">$G5226*'Analyse capacite'!$F$8</f>
        <v>262</v>
      </c>
      <c r="I5226" s="135" t="n">
        <f aca="false">$G5226*'Analyse capacite'!$C$8</f>
        <v>18</v>
      </c>
      <c r="J5226" s="135" t="n">
        <f aca="false">$G5226*'Analyse capacite'!$D$8</f>
        <v>0</v>
      </c>
      <c r="K5226" s="135" t="n">
        <f aca="false">$G5226*'Analyse capacite'!$E$8</f>
        <v>244</v>
      </c>
    </row>
    <row r="5227" customFormat="false" ht="15" hidden="false" customHeight="false" outlineLevel="0" collapsed="false">
      <c r="B5227" s="130" t="n">
        <v>2027</v>
      </c>
      <c r="C5227" s="131" t="s">
        <v>250</v>
      </c>
      <c r="D5227" s="132" t="n">
        <v>46623</v>
      </c>
      <c r="E5227" s="131" t="s">
        <v>12</v>
      </c>
      <c r="F5227" s="133" t="s">
        <v>24</v>
      </c>
      <c r="G5227" s="134" t="n">
        <f aca="false">LEN('Saisie programme'!$E$171)+SUMIFS('Vols additionnels'!$E$7:$E$66,'Vols additionnels'!$C$7:$C$66,$E5227,'Vols additionnels'!$D$7:$D$66,$F5227,'Vols additionnels'!$B$7:$B$66,$D5227)</f>
        <v>0</v>
      </c>
      <c r="H5227" s="135" t="n">
        <f aca="false">$G5227*'Analyse capacite'!$F$9</f>
        <v>0</v>
      </c>
      <c r="I5227" s="135" t="n">
        <f aca="false">$G5227*'Analyse capacite'!$C$9</f>
        <v>0</v>
      </c>
      <c r="J5227" s="135" t="n">
        <f aca="false">$G5227*'Analyse capacite'!$D$9</f>
        <v>0</v>
      </c>
      <c r="K5227" s="135" t="n">
        <f aca="false">$G5227*'Analyse capacite'!$E$9</f>
        <v>0</v>
      </c>
    </row>
    <row r="5228" customFormat="false" ht="15" hidden="false" customHeight="false" outlineLevel="0" collapsed="false">
      <c r="B5228" s="130" t="n">
        <v>2027</v>
      </c>
      <c r="C5228" s="131" t="s">
        <v>250</v>
      </c>
      <c r="D5228" s="132" t="n">
        <v>46623</v>
      </c>
      <c r="E5228" s="131" t="s">
        <v>20</v>
      </c>
      <c r="F5228" s="133" t="s">
        <v>11</v>
      </c>
      <c r="G5228" s="134" t="n">
        <f aca="false">LEN('Saisie programme'!$E$172)+SUMIFS('Vols additionnels'!$E$7:$E$66,'Vols additionnels'!$C$7:$C$66,$E5228,'Vols additionnels'!$D$7:$D$66,$F5228,'Vols additionnels'!$B$7:$B$66,$D5228)</f>
        <v>0</v>
      </c>
      <c r="H5228" s="135" t="n">
        <f aca="false">$G5228*'Analyse capacite'!$F$7</f>
        <v>0</v>
      </c>
      <c r="I5228" s="135" t="n">
        <f aca="false">$G5228*'Analyse capacite'!$C$7</f>
        <v>0</v>
      </c>
      <c r="J5228" s="135" t="n">
        <f aca="false">$G5228*'Analyse capacite'!$D$7</f>
        <v>0</v>
      </c>
      <c r="K5228" s="135" t="n">
        <f aca="false">$G5228*'Analyse capacite'!$E$7</f>
        <v>0</v>
      </c>
    </row>
    <row r="5229" customFormat="false" ht="15" hidden="false" customHeight="false" outlineLevel="0" collapsed="false">
      <c r="B5229" s="130" t="n">
        <v>2027</v>
      </c>
      <c r="C5229" s="131" t="s">
        <v>250</v>
      </c>
      <c r="D5229" s="132" t="n">
        <v>46623</v>
      </c>
      <c r="E5229" s="131" t="s">
        <v>20</v>
      </c>
      <c r="F5229" s="133" t="s">
        <v>19</v>
      </c>
      <c r="G5229" s="134" t="n">
        <f aca="false">LEN('Saisie programme'!$E$173)+SUMIFS('Vols additionnels'!$E$7:$E$66,'Vols additionnels'!$C$7:$C$66,$E5229,'Vols additionnels'!$D$7:$D$66,$F5229,'Vols additionnels'!$B$7:$B$66,$D5229)</f>
        <v>1</v>
      </c>
      <c r="H5229" s="135" t="n">
        <f aca="false">$G5229*'Analyse capacite'!$F$8</f>
        <v>262</v>
      </c>
      <c r="I5229" s="135" t="n">
        <f aca="false">$G5229*'Analyse capacite'!$C$8</f>
        <v>18</v>
      </c>
      <c r="J5229" s="135" t="n">
        <f aca="false">$G5229*'Analyse capacite'!$D$8</f>
        <v>0</v>
      </c>
      <c r="K5229" s="135" t="n">
        <f aca="false">$G5229*'Analyse capacite'!$E$8</f>
        <v>244</v>
      </c>
    </row>
    <row r="5230" customFormat="false" ht="15" hidden="false" customHeight="false" outlineLevel="0" collapsed="false">
      <c r="B5230" s="130" t="n">
        <v>2027</v>
      </c>
      <c r="C5230" s="131" t="s">
        <v>250</v>
      </c>
      <c r="D5230" s="132" t="n">
        <v>46623</v>
      </c>
      <c r="E5230" s="131" t="s">
        <v>20</v>
      </c>
      <c r="F5230" s="133" t="s">
        <v>24</v>
      </c>
      <c r="G5230" s="134" t="n">
        <f aca="false">LEN('Saisie programme'!$E$174)+SUMIFS('Vols additionnels'!$E$7:$E$66,'Vols additionnels'!$C$7:$C$66,$E5230,'Vols additionnels'!$D$7:$D$66,$F5230,'Vols additionnels'!$B$7:$B$66,$D5230)</f>
        <v>0</v>
      </c>
      <c r="H5230" s="135" t="n">
        <f aca="false">$G5230*'Analyse capacite'!$F$9</f>
        <v>0</v>
      </c>
      <c r="I5230" s="135" t="n">
        <f aca="false">$G5230*'Analyse capacite'!$C$9</f>
        <v>0</v>
      </c>
      <c r="J5230" s="135" t="n">
        <f aca="false">$G5230*'Analyse capacite'!$D$9</f>
        <v>0</v>
      </c>
      <c r="K5230" s="135" t="n">
        <f aca="false">$G5230*'Analyse capacite'!$E$9</f>
        <v>0</v>
      </c>
    </row>
    <row r="5231" customFormat="false" ht="15" hidden="false" customHeight="false" outlineLevel="0" collapsed="false">
      <c r="B5231" s="130" t="n">
        <v>2027</v>
      </c>
      <c r="C5231" s="131" t="s">
        <v>250</v>
      </c>
      <c r="D5231" s="132" t="n">
        <v>46623</v>
      </c>
      <c r="E5231" s="131" t="s">
        <v>25</v>
      </c>
      <c r="F5231" s="133" t="s">
        <v>11</v>
      </c>
      <c r="G5231" s="134" t="n">
        <f aca="false">LEN('Saisie programme'!$E$175)+SUMIFS('Vols additionnels'!$E$7:$E$66,'Vols additionnels'!$C$7:$C$66,$E5231,'Vols additionnels'!$D$7:$D$66,$F5231,'Vols additionnels'!$B$7:$B$66,$D5231)</f>
        <v>0</v>
      </c>
      <c r="H5231" s="135" t="n">
        <f aca="false">$G5231*'Analyse capacite'!$F$7</f>
        <v>0</v>
      </c>
      <c r="I5231" s="135" t="n">
        <f aca="false">$G5231*'Analyse capacite'!$C$7</f>
        <v>0</v>
      </c>
      <c r="J5231" s="135" t="n">
        <f aca="false">$G5231*'Analyse capacite'!$D$7</f>
        <v>0</v>
      </c>
      <c r="K5231" s="135" t="n">
        <f aca="false">$G5231*'Analyse capacite'!$E$7</f>
        <v>0</v>
      </c>
    </row>
    <row r="5232" customFormat="false" ht="15" hidden="false" customHeight="false" outlineLevel="0" collapsed="false">
      <c r="B5232" s="130" t="n">
        <v>2027</v>
      </c>
      <c r="C5232" s="131" t="s">
        <v>250</v>
      </c>
      <c r="D5232" s="132" t="n">
        <v>46623</v>
      </c>
      <c r="E5232" s="131" t="s">
        <v>25</v>
      </c>
      <c r="F5232" s="133" t="s">
        <v>19</v>
      </c>
      <c r="G5232" s="134" t="n">
        <f aca="false">LEN('Saisie programme'!$E$176)+SUMIFS('Vols additionnels'!$E$7:$E$66,'Vols additionnels'!$C$7:$C$66,$E5232,'Vols additionnels'!$D$7:$D$66,$F5232,'Vols additionnels'!$B$7:$B$66,$D5232)</f>
        <v>0</v>
      </c>
      <c r="H5232" s="135" t="n">
        <f aca="false">$G5232*'Analyse capacite'!$F$8</f>
        <v>0</v>
      </c>
      <c r="I5232" s="135" t="n">
        <f aca="false">$G5232*'Analyse capacite'!$C$8</f>
        <v>0</v>
      </c>
      <c r="J5232" s="135" t="n">
        <f aca="false">$G5232*'Analyse capacite'!$D$8</f>
        <v>0</v>
      </c>
      <c r="K5232" s="135" t="n">
        <f aca="false">$G5232*'Analyse capacite'!$E$8</f>
        <v>0</v>
      </c>
    </row>
    <row r="5233" customFormat="false" ht="15" hidden="false" customHeight="false" outlineLevel="0" collapsed="false">
      <c r="B5233" s="130" t="n">
        <v>2027</v>
      </c>
      <c r="C5233" s="131" t="s">
        <v>250</v>
      </c>
      <c r="D5233" s="132" t="n">
        <v>46623</v>
      </c>
      <c r="E5233" s="131" t="s">
        <v>25</v>
      </c>
      <c r="F5233" s="133" t="s">
        <v>24</v>
      </c>
      <c r="G5233" s="134" t="n">
        <f aca="false">LEN('Saisie programme'!$E$177)+SUMIFS('Vols additionnels'!$E$7:$E$66,'Vols additionnels'!$C$7:$C$66,$E5233,'Vols additionnels'!$D$7:$D$66,$F5233,'Vols additionnels'!$B$7:$B$66,$D5233)</f>
        <v>0</v>
      </c>
      <c r="H5233" s="135" t="n">
        <f aca="false">$G5233*'Analyse capacite'!$F$9</f>
        <v>0</v>
      </c>
      <c r="I5233" s="135" t="n">
        <f aca="false">$G5233*'Analyse capacite'!$C$9</f>
        <v>0</v>
      </c>
      <c r="J5233" s="135" t="n">
        <f aca="false">$G5233*'Analyse capacite'!$D$9</f>
        <v>0</v>
      </c>
      <c r="K5233" s="135" t="n">
        <f aca="false">$G5233*'Analyse capacite'!$E$9</f>
        <v>0</v>
      </c>
    </row>
    <row r="5234" customFormat="false" ht="15" hidden="false" customHeight="false" outlineLevel="0" collapsed="false">
      <c r="B5234" s="130" t="n">
        <v>2027</v>
      </c>
      <c r="C5234" s="131" t="s">
        <v>250</v>
      </c>
      <c r="D5234" s="132" t="n">
        <v>46623</v>
      </c>
      <c r="E5234" s="131" t="s">
        <v>36</v>
      </c>
      <c r="F5234" s="133" t="s">
        <v>11</v>
      </c>
      <c r="G5234" s="134" t="n">
        <f aca="false">LEN('Saisie programme'!$E$178)+SUMIFS('Vols additionnels'!$E$7:$E$66,'Vols additionnels'!$C$7:$C$66,$E5234,'Vols additionnels'!$D$7:$D$66,$F5234,'Vols additionnels'!$B$7:$B$66,$D5234)</f>
        <v>0</v>
      </c>
      <c r="H5234" s="135" t="n">
        <f aca="false">$G5234*'Analyse capacite'!$F$7</f>
        <v>0</v>
      </c>
      <c r="I5234" s="135" t="n">
        <f aca="false">$G5234*'Analyse capacite'!$C$7</f>
        <v>0</v>
      </c>
      <c r="J5234" s="135" t="n">
        <f aca="false">$G5234*'Analyse capacite'!$D$7</f>
        <v>0</v>
      </c>
      <c r="K5234" s="135" t="n">
        <f aca="false">$G5234*'Analyse capacite'!$E$7</f>
        <v>0</v>
      </c>
    </row>
    <row r="5235" customFormat="false" ht="15" hidden="false" customHeight="false" outlineLevel="0" collapsed="false">
      <c r="B5235" s="130" t="n">
        <v>2027</v>
      </c>
      <c r="C5235" s="131" t="s">
        <v>250</v>
      </c>
      <c r="D5235" s="132" t="n">
        <v>46623</v>
      </c>
      <c r="E5235" s="131" t="s">
        <v>36</v>
      </c>
      <c r="F5235" s="133" t="s">
        <v>19</v>
      </c>
      <c r="G5235" s="134" t="n">
        <f aca="false">LEN('Saisie programme'!$E$179)+SUMIFS('Vols additionnels'!$E$7:$E$66,'Vols additionnels'!$C$7:$C$66,$E5235,'Vols additionnels'!$D$7:$D$66,$F5235,'Vols additionnels'!$B$7:$B$66,$D5235)</f>
        <v>0</v>
      </c>
      <c r="H5235" s="135" t="n">
        <f aca="false">$G5235*'Analyse capacite'!$F$8</f>
        <v>0</v>
      </c>
      <c r="I5235" s="135" t="n">
        <f aca="false">$G5235*'Analyse capacite'!$C$8</f>
        <v>0</v>
      </c>
      <c r="J5235" s="135" t="n">
        <f aca="false">$G5235*'Analyse capacite'!$D$8</f>
        <v>0</v>
      </c>
      <c r="K5235" s="135" t="n">
        <f aca="false">$G5235*'Analyse capacite'!$E$8</f>
        <v>0</v>
      </c>
    </row>
    <row r="5236" customFormat="false" ht="15" hidden="false" customHeight="false" outlineLevel="0" collapsed="false">
      <c r="B5236" s="130" t="n">
        <v>2027</v>
      </c>
      <c r="C5236" s="131" t="s">
        <v>250</v>
      </c>
      <c r="D5236" s="132" t="n">
        <v>46623</v>
      </c>
      <c r="E5236" s="131" t="s">
        <v>36</v>
      </c>
      <c r="F5236" s="133" t="s">
        <v>24</v>
      </c>
      <c r="G5236" s="134" t="n">
        <f aca="false">LEN('Saisie programme'!$E$180)+SUMIFS('Vols additionnels'!$E$7:$E$66,'Vols additionnels'!$C$7:$C$66,$E5236,'Vols additionnels'!$D$7:$D$66,$F5236,'Vols additionnels'!$B$7:$B$66,$D5236)</f>
        <v>1</v>
      </c>
      <c r="H5236" s="135" t="n">
        <f aca="false">$G5236*'Analyse capacite'!$F$9</f>
        <v>174</v>
      </c>
      <c r="I5236" s="135" t="n">
        <f aca="false">$G5236*'Analyse capacite'!$C$9</f>
        <v>0</v>
      </c>
      <c r="J5236" s="135" t="n">
        <f aca="false">$G5236*'Analyse capacite'!$D$9</f>
        <v>12</v>
      </c>
      <c r="K5236" s="135" t="n">
        <f aca="false">$G5236*'Analyse capacite'!$E$9</f>
        <v>162</v>
      </c>
    </row>
    <row r="5237" customFormat="false" ht="15" hidden="false" customHeight="false" outlineLevel="0" collapsed="false">
      <c r="B5237" s="130" t="n">
        <v>2027</v>
      </c>
      <c r="C5237" s="131" t="s">
        <v>250</v>
      </c>
      <c r="D5237" s="132" t="n">
        <v>46623</v>
      </c>
      <c r="E5237" s="131" t="s">
        <v>40</v>
      </c>
      <c r="F5237" s="133" t="s">
        <v>11</v>
      </c>
      <c r="G5237" s="134" t="n">
        <f aca="false">LEN('Saisie programme'!$E$181)+SUMIFS('Vols additionnels'!$E$7:$E$66,'Vols additionnels'!$C$7:$C$66,$E5237,'Vols additionnels'!$D$7:$D$66,$F5237,'Vols additionnels'!$B$7:$B$66,$D5237)</f>
        <v>0</v>
      </c>
      <c r="H5237" s="135" t="n">
        <f aca="false">$G5237*'Analyse capacite'!$F$7</f>
        <v>0</v>
      </c>
      <c r="I5237" s="135" t="n">
        <f aca="false">$G5237*'Analyse capacite'!$C$7</f>
        <v>0</v>
      </c>
      <c r="J5237" s="135" t="n">
        <f aca="false">$G5237*'Analyse capacite'!$D$7</f>
        <v>0</v>
      </c>
      <c r="K5237" s="135" t="n">
        <f aca="false">$G5237*'Analyse capacite'!$E$7</f>
        <v>0</v>
      </c>
    </row>
    <row r="5238" customFormat="false" ht="15" hidden="false" customHeight="false" outlineLevel="0" collapsed="false">
      <c r="B5238" s="130" t="n">
        <v>2027</v>
      </c>
      <c r="C5238" s="131" t="s">
        <v>250</v>
      </c>
      <c r="D5238" s="132" t="n">
        <v>46623</v>
      </c>
      <c r="E5238" s="131" t="s">
        <v>40</v>
      </c>
      <c r="F5238" s="133" t="s">
        <v>19</v>
      </c>
      <c r="G5238" s="134" t="n">
        <f aca="false">LEN('Saisie programme'!$E$182)+SUMIFS('Vols additionnels'!$E$7:$E$66,'Vols additionnels'!$C$7:$C$66,$E5238,'Vols additionnels'!$D$7:$D$66,$F5238,'Vols additionnels'!$B$7:$B$66,$D5238)</f>
        <v>0</v>
      </c>
      <c r="H5238" s="135" t="n">
        <f aca="false">$G5238*'Analyse capacite'!$F$8</f>
        <v>0</v>
      </c>
      <c r="I5238" s="135" t="n">
        <f aca="false">$G5238*'Analyse capacite'!$C$8</f>
        <v>0</v>
      </c>
      <c r="J5238" s="135" t="n">
        <f aca="false">$G5238*'Analyse capacite'!$D$8</f>
        <v>0</v>
      </c>
      <c r="K5238" s="135" t="n">
        <f aca="false">$G5238*'Analyse capacite'!$E$8</f>
        <v>0</v>
      </c>
    </row>
    <row r="5239" customFormat="false" ht="15" hidden="false" customHeight="false" outlineLevel="0" collapsed="false">
      <c r="B5239" s="130" t="n">
        <v>2027</v>
      </c>
      <c r="C5239" s="131" t="s">
        <v>250</v>
      </c>
      <c r="D5239" s="132" t="n">
        <v>46623</v>
      </c>
      <c r="E5239" s="131" t="s">
        <v>40</v>
      </c>
      <c r="F5239" s="133" t="s">
        <v>24</v>
      </c>
      <c r="G5239" s="134" t="n">
        <f aca="false">LEN('Saisie programme'!$E$183)+SUMIFS('Vols additionnels'!$E$7:$E$66,'Vols additionnels'!$C$7:$C$66,$E5239,'Vols additionnels'!$D$7:$D$66,$F5239,'Vols additionnels'!$B$7:$B$66,$D5239)</f>
        <v>0</v>
      </c>
      <c r="H5239" s="135" t="n">
        <f aca="false">$G5239*'Analyse capacite'!$F$9</f>
        <v>0</v>
      </c>
      <c r="I5239" s="135" t="n">
        <f aca="false">$G5239*'Analyse capacite'!$C$9</f>
        <v>0</v>
      </c>
      <c r="J5239" s="135" t="n">
        <f aca="false">$G5239*'Analyse capacite'!$D$9</f>
        <v>0</v>
      </c>
      <c r="K5239" s="135" t="n">
        <f aca="false">$G5239*'Analyse capacite'!$E$9</f>
        <v>0</v>
      </c>
    </row>
    <row r="5240" customFormat="false" ht="15" hidden="false" customHeight="false" outlineLevel="0" collapsed="false">
      <c r="B5240" s="130" t="n">
        <v>2027</v>
      </c>
      <c r="C5240" s="131" t="s">
        <v>250</v>
      </c>
      <c r="D5240" s="132" t="n">
        <v>46623</v>
      </c>
      <c r="E5240" s="131" t="s">
        <v>14</v>
      </c>
      <c r="F5240" s="133" t="s">
        <v>11</v>
      </c>
      <c r="G5240" s="134" t="n">
        <f aca="false">LEN('Saisie programme'!$E$184)+SUMIFS('Vols additionnels'!$E$7:$E$66,'Vols additionnels'!$C$7:$C$66,$E5240,'Vols additionnels'!$D$7:$D$66,$F5240,'Vols additionnels'!$B$7:$B$66,$D5240)</f>
        <v>0</v>
      </c>
      <c r="H5240" s="135" t="n">
        <f aca="false">$G5240*'Analyse capacite'!$F$7</f>
        <v>0</v>
      </c>
      <c r="I5240" s="135" t="n">
        <f aca="false">$G5240*'Analyse capacite'!$C$7</f>
        <v>0</v>
      </c>
      <c r="J5240" s="135" t="n">
        <f aca="false">$G5240*'Analyse capacite'!$D$7</f>
        <v>0</v>
      </c>
      <c r="K5240" s="135" t="n">
        <f aca="false">$G5240*'Analyse capacite'!$E$7</f>
        <v>0</v>
      </c>
    </row>
    <row r="5241" customFormat="false" ht="15" hidden="false" customHeight="false" outlineLevel="0" collapsed="false">
      <c r="B5241" s="130" t="n">
        <v>2027</v>
      </c>
      <c r="C5241" s="131" t="s">
        <v>250</v>
      </c>
      <c r="D5241" s="132" t="n">
        <v>46623</v>
      </c>
      <c r="E5241" s="131" t="s">
        <v>14</v>
      </c>
      <c r="F5241" s="133" t="s">
        <v>19</v>
      </c>
      <c r="G5241" s="134" t="n">
        <f aca="false">LEN('Saisie programme'!$E$185)+SUMIFS('Vols additionnels'!$E$7:$E$66,'Vols additionnels'!$C$7:$C$66,$E5241,'Vols additionnels'!$D$7:$D$66,$F5241,'Vols additionnels'!$B$7:$B$66,$D5241)</f>
        <v>0</v>
      </c>
      <c r="H5241" s="135" t="n">
        <f aca="false">$G5241*'Analyse capacite'!$F$8</f>
        <v>0</v>
      </c>
      <c r="I5241" s="135" t="n">
        <f aca="false">$G5241*'Analyse capacite'!$C$8</f>
        <v>0</v>
      </c>
      <c r="J5241" s="135" t="n">
        <f aca="false">$G5241*'Analyse capacite'!$D$8</f>
        <v>0</v>
      </c>
      <c r="K5241" s="135" t="n">
        <f aca="false">$G5241*'Analyse capacite'!$E$8</f>
        <v>0</v>
      </c>
    </row>
    <row r="5242" customFormat="false" ht="15" hidden="false" customHeight="false" outlineLevel="0" collapsed="false">
      <c r="B5242" s="130" t="n">
        <v>2027</v>
      </c>
      <c r="C5242" s="131" t="s">
        <v>250</v>
      </c>
      <c r="D5242" s="132" t="n">
        <v>46623</v>
      </c>
      <c r="E5242" s="131" t="s">
        <v>14</v>
      </c>
      <c r="F5242" s="133" t="s">
        <v>24</v>
      </c>
      <c r="G5242" s="134" t="n">
        <f aca="false">LEN('Saisie programme'!$E$186)+SUMIFS('Vols additionnels'!$E$7:$E$66,'Vols additionnels'!$C$7:$C$66,$E5242,'Vols additionnels'!$D$7:$D$66,$F5242,'Vols additionnels'!$B$7:$B$66,$D5242)</f>
        <v>0</v>
      </c>
      <c r="H5242" s="135" t="n">
        <f aca="false">$G5242*'Analyse capacite'!$F$9</f>
        <v>0</v>
      </c>
      <c r="I5242" s="135" t="n">
        <f aca="false">$G5242*'Analyse capacite'!$C$9</f>
        <v>0</v>
      </c>
      <c r="J5242" s="135" t="n">
        <f aca="false">$G5242*'Analyse capacite'!$D$9</f>
        <v>0</v>
      </c>
      <c r="K5242" s="135" t="n">
        <f aca="false">$G5242*'Analyse capacite'!$E$9</f>
        <v>0</v>
      </c>
    </row>
    <row r="5243" customFormat="false" ht="15" hidden="false" customHeight="false" outlineLevel="0" collapsed="false">
      <c r="B5243" s="130" t="n">
        <v>2027</v>
      </c>
      <c r="C5243" s="131" t="s">
        <v>250</v>
      </c>
      <c r="D5243" s="132" t="n">
        <v>46623</v>
      </c>
      <c r="E5243" s="131" t="s">
        <v>46</v>
      </c>
      <c r="F5243" s="133" t="s">
        <v>11</v>
      </c>
      <c r="G5243" s="134" t="n">
        <f aca="false">LEN('Saisie programme'!$E$187)+SUMIFS('Vols additionnels'!$E$7:$E$66,'Vols additionnels'!$C$7:$C$66,$E5243,'Vols additionnels'!$D$7:$D$66,$F5243,'Vols additionnels'!$B$7:$B$66,$D5243)</f>
        <v>0</v>
      </c>
      <c r="H5243" s="135" t="n">
        <f aca="false">$G5243*'Analyse capacite'!$F$7</f>
        <v>0</v>
      </c>
      <c r="I5243" s="135" t="n">
        <f aca="false">$G5243*'Analyse capacite'!$C$7</f>
        <v>0</v>
      </c>
      <c r="J5243" s="135" t="n">
        <f aca="false">$G5243*'Analyse capacite'!$D$7</f>
        <v>0</v>
      </c>
      <c r="K5243" s="135" t="n">
        <f aca="false">$G5243*'Analyse capacite'!$E$7</f>
        <v>0</v>
      </c>
    </row>
    <row r="5244" customFormat="false" ht="15" hidden="false" customHeight="false" outlineLevel="0" collapsed="false">
      <c r="B5244" s="130" t="n">
        <v>2027</v>
      </c>
      <c r="C5244" s="131" t="s">
        <v>250</v>
      </c>
      <c r="D5244" s="132" t="n">
        <v>46623</v>
      </c>
      <c r="E5244" s="131" t="s">
        <v>46</v>
      </c>
      <c r="F5244" s="133" t="s">
        <v>19</v>
      </c>
      <c r="G5244" s="134" t="n">
        <f aca="false">LEN('Saisie programme'!$E$188)+SUMIFS('Vols additionnels'!$E$7:$E$66,'Vols additionnels'!$C$7:$C$66,$E5244,'Vols additionnels'!$D$7:$D$66,$F5244,'Vols additionnels'!$B$7:$B$66,$D5244)</f>
        <v>0</v>
      </c>
      <c r="H5244" s="135" t="n">
        <f aca="false">$G5244*'Analyse capacite'!$F$8</f>
        <v>0</v>
      </c>
      <c r="I5244" s="135" t="n">
        <f aca="false">$G5244*'Analyse capacite'!$C$8</f>
        <v>0</v>
      </c>
      <c r="J5244" s="135" t="n">
        <f aca="false">$G5244*'Analyse capacite'!$D$8</f>
        <v>0</v>
      </c>
      <c r="K5244" s="135" t="n">
        <f aca="false">$G5244*'Analyse capacite'!$E$8</f>
        <v>0</v>
      </c>
    </row>
    <row r="5245" customFormat="false" ht="15" hidden="false" customHeight="false" outlineLevel="0" collapsed="false">
      <c r="B5245" s="130" t="n">
        <v>2027</v>
      </c>
      <c r="C5245" s="131" t="s">
        <v>250</v>
      </c>
      <c r="D5245" s="132" t="n">
        <v>46623</v>
      </c>
      <c r="E5245" s="131" t="s">
        <v>46</v>
      </c>
      <c r="F5245" s="133" t="s">
        <v>24</v>
      </c>
      <c r="G5245" s="134" t="n">
        <f aca="false">LEN('Saisie programme'!$E$189)+SUMIFS('Vols additionnels'!$E$7:$E$66,'Vols additionnels'!$C$7:$C$66,$E5245,'Vols additionnels'!$D$7:$D$66,$F5245,'Vols additionnels'!$B$7:$B$66,$D5245)</f>
        <v>1</v>
      </c>
      <c r="H5245" s="135" t="n">
        <f aca="false">$G5245*'Analyse capacite'!$F$9</f>
        <v>174</v>
      </c>
      <c r="I5245" s="135" t="n">
        <f aca="false">$G5245*'Analyse capacite'!$C$9</f>
        <v>0</v>
      </c>
      <c r="J5245" s="135" t="n">
        <f aca="false">$G5245*'Analyse capacite'!$D$9</f>
        <v>12</v>
      </c>
      <c r="K5245" s="135" t="n">
        <f aca="false">$G5245*'Analyse capacite'!$E$9</f>
        <v>162</v>
      </c>
    </row>
    <row r="5246" customFormat="false" ht="15" hidden="false" customHeight="false" outlineLevel="0" collapsed="false">
      <c r="B5246" s="130" t="n">
        <v>2027</v>
      </c>
      <c r="C5246" s="131" t="s">
        <v>250</v>
      </c>
      <c r="D5246" s="132" t="n">
        <v>46623</v>
      </c>
      <c r="E5246" s="131" t="s">
        <v>49</v>
      </c>
      <c r="F5246" s="133" t="s">
        <v>11</v>
      </c>
      <c r="G5246" s="134" t="n">
        <f aca="false">LEN('Saisie programme'!$E$190)+SUMIFS('Vols additionnels'!$E$7:$E$66,'Vols additionnels'!$C$7:$C$66,$E5246,'Vols additionnels'!$D$7:$D$66,$F5246,'Vols additionnels'!$B$7:$B$66,$D5246)</f>
        <v>0</v>
      </c>
      <c r="H5246" s="135" t="n">
        <f aca="false">$G5246*'Analyse capacite'!$F$7</f>
        <v>0</v>
      </c>
      <c r="I5246" s="135" t="n">
        <f aca="false">$G5246*'Analyse capacite'!$C$7</f>
        <v>0</v>
      </c>
      <c r="J5246" s="135" t="n">
        <f aca="false">$G5246*'Analyse capacite'!$D$7</f>
        <v>0</v>
      </c>
      <c r="K5246" s="135" t="n">
        <f aca="false">$G5246*'Analyse capacite'!$E$7</f>
        <v>0</v>
      </c>
    </row>
    <row r="5247" customFormat="false" ht="15" hidden="false" customHeight="false" outlineLevel="0" collapsed="false">
      <c r="B5247" s="130" t="n">
        <v>2027</v>
      </c>
      <c r="C5247" s="131" t="s">
        <v>250</v>
      </c>
      <c r="D5247" s="132" t="n">
        <v>46623</v>
      </c>
      <c r="E5247" s="131" t="s">
        <v>49</v>
      </c>
      <c r="F5247" s="133" t="s">
        <v>19</v>
      </c>
      <c r="G5247" s="134" t="n">
        <f aca="false">LEN('Saisie programme'!$E$191)+SUMIFS('Vols additionnels'!$E$7:$E$66,'Vols additionnels'!$C$7:$C$66,$E5247,'Vols additionnels'!$D$7:$D$66,$F5247,'Vols additionnels'!$B$7:$B$66,$D5247)</f>
        <v>0</v>
      </c>
      <c r="H5247" s="135" t="n">
        <f aca="false">$G5247*'Analyse capacite'!$F$8</f>
        <v>0</v>
      </c>
      <c r="I5247" s="135" t="n">
        <f aca="false">$G5247*'Analyse capacite'!$C$8</f>
        <v>0</v>
      </c>
      <c r="J5247" s="135" t="n">
        <f aca="false">$G5247*'Analyse capacite'!$D$8</f>
        <v>0</v>
      </c>
      <c r="K5247" s="135" t="n">
        <f aca="false">$G5247*'Analyse capacite'!$E$8</f>
        <v>0</v>
      </c>
    </row>
    <row r="5248" customFormat="false" ht="15" hidden="false" customHeight="false" outlineLevel="0" collapsed="false">
      <c r="B5248" s="130" t="n">
        <v>2027</v>
      </c>
      <c r="C5248" s="131" t="s">
        <v>250</v>
      </c>
      <c r="D5248" s="132" t="n">
        <v>46623</v>
      </c>
      <c r="E5248" s="131" t="s">
        <v>49</v>
      </c>
      <c r="F5248" s="133" t="s">
        <v>24</v>
      </c>
      <c r="G5248" s="134" t="n">
        <f aca="false">LEN('Saisie programme'!$E$192)+SUMIFS('Vols additionnels'!$E$7:$E$66,'Vols additionnels'!$C$7:$C$66,$E5248,'Vols additionnels'!$D$7:$D$66,$F5248,'Vols additionnels'!$B$7:$B$66,$D5248)</f>
        <v>0</v>
      </c>
      <c r="H5248" s="135" t="n">
        <f aca="false">$G5248*'Analyse capacite'!$F$9</f>
        <v>0</v>
      </c>
      <c r="I5248" s="135" t="n">
        <f aca="false">$G5248*'Analyse capacite'!$C$9</f>
        <v>0</v>
      </c>
      <c r="J5248" s="135" t="n">
        <f aca="false">$G5248*'Analyse capacite'!$D$9</f>
        <v>0</v>
      </c>
      <c r="K5248" s="135" t="n">
        <f aca="false">$G5248*'Analyse capacite'!$E$9</f>
        <v>0</v>
      </c>
    </row>
    <row r="5249" customFormat="false" ht="15" hidden="false" customHeight="false" outlineLevel="0" collapsed="false">
      <c r="B5249" s="130" t="n">
        <v>2027</v>
      </c>
      <c r="C5249" s="131" t="s">
        <v>250</v>
      </c>
      <c r="D5249" s="132" t="n">
        <v>46623</v>
      </c>
      <c r="E5249" s="131" t="s">
        <v>53</v>
      </c>
      <c r="F5249" s="133" t="s">
        <v>11</v>
      </c>
      <c r="G5249" s="134" t="n">
        <f aca="false">LEN('Saisie programme'!$E$193)+SUMIFS('Vols additionnels'!$E$7:$E$66,'Vols additionnels'!$C$7:$C$66,$E5249,'Vols additionnels'!$D$7:$D$66,$F5249,'Vols additionnels'!$B$7:$B$66,$D5249)</f>
        <v>0</v>
      </c>
      <c r="H5249" s="135" t="n">
        <f aca="false">$G5249*'Analyse capacite'!$F$7</f>
        <v>0</v>
      </c>
      <c r="I5249" s="135" t="n">
        <f aca="false">$G5249*'Analyse capacite'!$C$7</f>
        <v>0</v>
      </c>
      <c r="J5249" s="135" t="n">
        <f aca="false">$G5249*'Analyse capacite'!$D$7</f>
        <v>0</v>
      </c>
      <c r="K5249" s="135" t="n">
        <f aca="false">$G5249*'Analyse capacite'!$E$7</f>
        <v>0</v>
      </c>
    </row>
    <row r="5250" customFormat="false" ht="15" hidden="false" customHeight="false" outlineLevel="0" collapsed="false">
      <c r="B5250" s="130" t="n">
        <v>2027</v>
      </c>
      <c r="C5250" s="131" t="s">
        <v>250</v>
      </c>
      <c r="D5250" s="132" t="n">
        <v>46623</v>
      </c>
      <c r="E5250" s="131" t="s">
        <v>53</v>
      </c>
      <c r="F5250" s="133" t="s">
        <v>19</v>
      </c>
      <c r="G5250" s="134" t="n">
        <f aca="false">LEN('Saisie programme'!$E$194)+SUMIFS('Vols additionnels'!$E$7:$E$66,'Vols additionnels'!$C$7:$C$66,$E5250,'Vols additionnels'!$D$7:$D$66,$F5250,'Vols additionnels'!$B$7:$B$66,$D5250)</f>
        <v>0</v>
      </c>
      <c r="H5250" s="135" t="n">
        <f aca="false">$G5250*'Analyse capacite'!$F$8</f>
        <v>0</v>
      </c>
      <c r="I5250" s="135" t="n">
        <f aca="false">$G5250*'Analyse capacite'!$C$8</f>
        <v>0</v>
      </c>
      <c r="J5250" s="135" t="n">
        <f aca="false">$G5250*'Analyse capacite'!$D$8</f>
        <v>0</v>
      </c>
      <c r="K5250" s="135" t="n">
        <f aca="false">$G5250*'Analyse capacite'!$E$8</f>
        <v>0</v>
      </c>
    </row>
    <row r="5251" customFormat="false" ht="15" hidden="false" customHeight="false" outlineLevel="0" collapsed="false">
      <c r="B5251" s="130" t="n">
        <v>2027</v>
      </c>
      <c r="C5251" s="131" t="s">
        <v>250</v>
      </c>
      <c r="D5251" s="132" t="n">
        <v>46623</v>
      </c>
      <c r="E5251" s="131" t="s">
        <v>53</v>
      </c>
      <c r="F5251" s="133" t="s">
        <v>24</v>
      </c>
      <c r="G5251" s="134" t="n">
        <f aca="false">LEN('Saisie programme'!$E$195)+SUMIFS('Vols additionnels'!$E$7:$E$66,'Vols additionnels'!$C$7:$C$66,$E5251,'Vols additionnels'!$D$7:$D$66,$F5251,'Vols additionnels'!$B$7:$B$66,$D5251)</f>
        <v>0</v>
      </c>
      <c r="H5251" s="135" t="n">
        <f aca="false">$G5251*'Analyse capacite'!$F$9</f>
        <v>0</v>
      </c>
      <c r="I5251" s="135" t="n">
        <f aca="false">$G5251*'Analyse capacite'!$C$9</f>
        <v>0</v>
      </c>
      <c r="J5251" s="135" t="n">
        <f aca="false">$G5251*'Analyse capacite'!$D$9</f>
        <v>0</v>
      </c>
      <c r="K5251" s="135" t="n">
        <f aca="false">$G5251*'Analyse capacite'!$E$9</f>
        <v>0</v>
      </c>
    </row>
    <row r="5252" customFormat="false" ht="15" hidden="false" customHeight="false" outlineLevel="0" collapsed="false">
      <c r="B5252" s="130" t="n">
        <v>2027</v>
      </c>
      <c r="C5252" s="131" t="s">
        <v>250</v>
      </c>
      <c r="D5252" s="132" t="n">
        <v>46623</v>
      </c>
      <c r="E5252" s="131" t="s">
        <v>56</v>
      </c>
      <c r="F5252" s="133" t="s">
        <v>11</v>
      </c>
      <c r="G5252" s="134" t="n">
        <f aca="false">LEN('Saisie programme'!$E$196)+SUMIFS('Vols additionnels'!$E$7:$E$66,'Vols additionnels'!$C$7:$C$66,$E5252,'Vols additionnels'!$D$7:$D$66,$F5252,'Vols additionnels'!$B$7:$B$66,$D5252)</f>
        <v>0</v>
      </c>
      <c r="H5252" s="135" t="n">
        <f aca="false">$G5252*'Analyse capacite'!$F$7</f>
        <v>0</v>
      </c>
      <c r="I5252" s="135" t="n">
        <f aca="false">$G5252*'Analyse capacite'!$C$7</f>
        <v>0</v>
      </c>
      <c r="J5252" s="135" t="n">
        <f aca="false">$G5252*'Analyse capacite'!$D$7</f>
        <v>0</v>
      </c>
      <c r="K5252" s="135" t="n">
        <f aca="false">$G5252*'Analyse capacite'!$E$7</f>
        <v>0</v>
      </c>
    </row>
    <row r="5253" customFormat="false" ht="15" hidden="false" customHeight="false" outlineLevel="0" collapsed="false">
      <c r="B5253" s="130" t="n">
        <v>2027</v>
      </c>
      <c r="C5253" s="131" t="s">
        <v>250</v>
      </c>
      <c r="D5253" s="132" t="n">
        <v>46623</v>
      </c>
      <c r="E5253" s="131" t="s">
        <v>56</v>
      </c>
      <c r="F5253" s="133" t="s">
        <v>19</v>
      </c>
      <c r="G5253" s="134" t="n">
        <f aca="false">LEN('Saisie programme'!$E$197)+SUMIFS('Vols additionnels'!$E$7:$E$66,'Vols additionnels'!$C$7:$C$66,$E5253,'Vols additionnels'!$D$7:$D$66,$F5253,'Vols additionnels'!$B$7:$B$66,$D5253)</f>
        <v>0</v>
      </c>
      <c r="H5253" s="135" t="n">
        <f aca="false">$G5253*'Analyse capacite'!$F$8</f>
        <v>0</v>
      </c>
      <c r="I5253" s="135" t="n">
        <f aca="false">$G5253*'Analyse capacite'!$C$8</f>
        <v>0</v>
      </c>
      <c r="J5253" s="135" t="n">
        <f aca="false">$G5253*'Analyse capacite'!$D$8</f>
        <v>0</v>
      </c>
      <c r="K5253" s="135" t="n">
        <f aca="false">$G5253*'Analyse capacite'!$E$8</f>
        <v>0</v>
      </c>
    </row>
    <row r="5254" customFormat="false" ht="15" hidden="false" customHeight="false" outlineLevel="0" collapsed="false">
      <c r="B5254" s="130" t="n">
        <v>2027</v>
      </c>
      <c r="C5254" s="131" t="s">
        <v>250</v>
      </c>
      <c r="D5254" s="132" t="n">
        <v>46623</v>
      </c>
      <c r="E5254" s="131" t="s">
        <v>56</v>
      </c>
      <c r="F5254" s="133" t="s">
        <v>24</v>
      </c>
      <c r="G5254" s="134" t="n">
        <f aca="false">LEN('Saisie programme'!$E$198)+SUMIFS('Vols additionnels'!$E$7:$E$66,'Vols additionnels'!$C$7:$C$66,$E5254,'Vols additionnels'!$D$7:$D$66,$F5254,'Vols additionnels'!$B$7:$B$66,$D5254)</f>
        <v>1</v>
      </c>
      <c r="H5254" s="135" t="n">
        <f aca="false">$G5254*'Analyse capacite'!$F$9</f>
        <v>174</v>
      </c>
      <c r="I5254" s="135" t="n">
        <f aca="false">$G5254*'Analyse capacite'!$C$9</f>
        <v>0</v>
      </c>
      <c r="J5254" s="135" t="n">
        <f aca="false">$G5254*'Analyse capacite'!$D$9</f>
        <v>12</v>
      </c>
      <c r="K5254" s="135" t="n">
        <f aca="false">$G5254*'Analyse capacite'!$E$9</f>
        <v>162</v>
      </c>
    </row>
    <row r="5255" customFormat="false" ht="15" hidden="false" customHeight="false" outlineLevel="0" collapsed="false">
      <c r="B5255" s="130" t="n">
        <v>2027</v>
      </c>
      <c r="C5255" s="131" t="s">
        <v>250</v>
      </c>
      <c r="D5255" s="132" t="n">
        <v>46623</v>
      </c>
      <c r="E5255" s="131" t="s">
        <v>59</v>
      </c>
      <c r="F5255" s="133" t="s">
        <v>11</v>
      </c>
      <c r="G5255" s="134" t="n">
        <f aca="false">LEN('Saisie programme'!$E$199)+SUMIFS('Vols additionnels'!$E$7:$E$66,'Vols additionnels'!$C$7:$C$66,$E5255,'Vols additionnels'!$D$7:$D$66,$F5255,'Vols additionnels'!$B$7:$B$66,$D5255)</f>
        <v>0</v>
      </c>
      <c r="H5255" s="135" t="n">
        <f aca="false">$G5255*'Analyse capacite'!$F$7</f>
        <v>0</v>
      </c>
      <c r="I5255" s="135" t="n">
        <f aca="false">$G5255*'Analyse capacite'!$C$7</f>
        <v>0</v>
      </c>
      <c r="J5255" s="135" t="n">
        <f aca="false">$G5255*'Analyse capacite'!$D$7</f>
        <v>0</v>
      </c>
      <c r="K5255" s="135" t="n">
        <f aca="false">$G5255*'Analyse capacite'!$E$7</f>
        <v>0</v>
      </c>
    </row>
    <row r="5256" customFormat="false" ht="15" hidden="false" customHeight="false" outlineLevel="0" collapsed="false">
      <c r="B5256" s="130" t="n">
        <v>2027</v>
      </c>
      <c r="C5256" s="131" t="s">
        <v>250</v>
      </c>
      <c r="D5256" s="132" t="n">
        <v>46623</v>
      </c>
      <c r="E5256" s="131" t="s">
        <v>59</v>
      </c>
      <c r="F5256" s="133" t="s">
        <v>19</v>
      </c>
      <c r="G5256" s="134" t="n">
        <f aca="false">LEN('Saisie programme'!$E$200)+SUMIFS('Vols additionnels'!$E$7:$E$66,'Vols additionnels'!$C$7:$C$66,$E5256,'Vols additionnels'!$D$7:$D$66,$F5256,'Vols additionnels'!$B$7:$B$66,$D5256)</f>
        <v>0</v>
      </c>
      <c r="H5256" s="135" t="n">
        <f aca="false">$G5256*'Analyse capacite'!$F$8</f>
        <v>0</v>
      </c>
      <c r="I5256" s="135" t="n">
        <f aca="false">$G5256*'Analyse capacite'!$C$8</f>
        <v>0</v>
      </c>
      <c r="J5256" s="135" t="n">
        <f aca="false">$G5256*'Analyse capacite'!$D$8</f>
        <v>0</v>
      </c>
      <c r="K5256" s="135" t="n">
        <f aca="false">$G5256*'Analyse capacite'!$E$8</f>
        <v>0</v>
      </c>
    </row>
    <row r="5257" customFormat="false" ht="15" hidden="false" customHeight="false" outlineLevel="0" collapsed="false">
      <c r="B5257" s="130" t="n">
        <v>2027</v>
      </c>
      <c r="C5257" s="131" t="s">
        <v>250</v>
      </c>
      <c r="D5257" s="132" t="n">
        <v>46623</v>
      </c>
      <c r="E5257" s="131" t="s">
        <v>59</v>
      </c>
      <c r="F5257" s="133" t="s">
        <v>24</v>
      </c>
      <c r="G5257" s="134" t="n">
        <f aca="false">LEN('Saisie programme'!$E$201)+SUMIFS('Vols additionnels'!$E$7:$E$66,'Vols additionnels'!$C$7:$C$66,$E5257,'Vols additionnels'!$D$7:$D$66,$F5257,'Vols additionnels'!$B$7:$B$66,$D5257)</f>
        <v>1</v>
      </c>
      <c r="H5257" s="135" t="n">
        <f aca="false">$G5257*'Analyse capacite'!$F$9</f>
        <v>174</v>
      </c>
      <c r="I5257" s="135" t="n">
        <f aca="false">$G5257*'Analyse capacite'!$C$9</f>
        <v>0</v>
      </c>
      <c r="J5257" s="135" t="n">
        <f aca="false">$G5257*'Analyse capacite'!$D$9</f>
        <v>12</v>
      </c>
      <c r="K5257" s="135" t="n">
        <f aca="false">$G5257*'Analyse capacite'!$E$9</f>
        <v>162</v>
      </c>
    </row>
    <row r="5258" customFormat="false" ht="15" hidden="false" customHeight="false" outlineLevel="0" collapsed="false">
      <c r="B5258" s="130" t="n">
        <v>2027</v>
      </c>
      <c r="C5258" s="131" t="s">
        <v>250</v>
      </c>
      <c r="D5258" s="132" t="n">
        <v>46623</v>
      </c>
      <c r="E5258" s="131" t="s">
        <v>62</v>
      </c>
      <c r="F5258" s="133" t="s">
        <v>11</v>
      </c>
      <c r="G5258" s="134" t="n">
        <f aca="false">LEN('Saisie programme'!$E$202)+SUMIFS('Vols additionnels'!$E$7:$E$66,'Vols additionnels'!$C$7:$C$66,$E5258,'Vols additionnels'!$D$7:$D$66,$F5258,'Vols additionnels'!$B$7:$B$66,$D5258)</f>
        <v>0</v>
      </c>
      <c r="H5258" s="135" t="n">
        <f aca="false">$G5258*'Analyse capacite'!$F$7</f>
        <v>0</v>
      </c>
      <c r="I5258" s="135" t="n">
        <f aca="false">$G5258*'Analyse capacite'!$C$7</f>
        <v>0</v>
      </c>
      <c r="J5258" s="135" t="n">
        <f aca="false">$G5258*'Analyse capacite'!$D$7</f>
        <v>0</v>
      </c>
      <c r="K5258" s="135" t="n">
        <f aca="false">$G5258*'Analyse capacite'!$E$7</f>
        <v>0</v>
      </c>
    </row>
    <row r="5259" customFormat="false" ht="15" hidden="false" customHeight="false" outlineLevel="0" collapsed="false">
      <c r="B5259" s="130" t="n">
        <v>2027</v>
      </c>
      <c r="C5259" s="131" t="s">
        <v>250</v>
      </c>
      <c r="D5259" s="132" t="n">
        <v>46623</v>
      </c>
      <c r="E5259" s="131" t="s">
        <v>62</v>
      </c>
      <c r="F5259" s="133" t="s">
        <v>19</v>
      </c>
      <c r="G5259" s="134" t="n">
        <f aca="false">LEN('Saisie programme'!$E$203)+SUMIFS('Vols additionnels'!$E$7:$E$66,'Vols additionnels'!$C$7:$C$66,$E5259,'Vols additionnels'!$D$7:$D$66,$F5259,'Vols additionnels'!$B$7:$B$66,$D5259)</f>
        <v>0</v>
      </c>
      <c r="H5259" s="135" t="n">
        <f aca="false">$G5259*'Analyse capacite'!$F$8</f>
        <v>0</v>
      </c>
      <c r="I5259" s="135" t="n">
        <f aca="false">$G5259*'Analyse capacite'!$C$8</f>
        <v>0</v>
      </c>
      <c r="J5259" s="135" t="n">
        <f aca="false">$G5259*'Analyse capacite'!$D$8</f>
        <v>0</v>
      </c>
      <c r="K5259" s="135" t="n">
        <f aca="false">$G5259*'Analyse capacite'!$E$8</f>
        <v>0</v>
      </c>
    </row>
    <row r="5260" customFormat="false" ht="15" hidden="false" customHeight="false" outlineLevel="0" collapsed="false">
      <c r="B5260" s="130" t="n">
        <v>2027</v>
      </c>
      <c r="C5260" s="131" t="s">
        <v>250</v>
      </c>
      <c r="D5260" s="132" t="n">
        <v>46623</v>
      </c>
      <c r="E5260" s="131" t="s">
        <v>62</v>
      </c>
      <c r="F5260" s="133" t="s">
        <v>24</v>
      </c>
      <c r="G5260" s="134" t="n">
        <f aca="false">LEN('Saisie programme'!$E$204)+SUMIFS('Vols additionnels'!$E$7:$E$66,'Vols additionnels'!$C$7:$C$66,$E5260,'Vols additionnels'!$D$7:$D$66,$F5260,'Vols additionnels'!$B$7:$B$66,$D5260)</f>
        <v>0</v>
      </c>
      <c r="H5260" s="135" t="n">
        <f aca="false">$G5260*'Analyse capacite'!$F$9</f>
        <v>0</v>
      </c>
      <c r="I5260" s="135" t="n">
        <f aca="false">$G5260*'Analyse capacite'!$C$9</f>
        <v>0</v>
      </c>
      <c r="J5260" s="135" t="n">
        <f aca="false">$G5260*'Analyse capacite'!$D$9</f>
        <v>0</v>
      </c>
      <c r="K5260" s="135" t="n">
        <f aca="false">$G5260*'Analyse capacite'!$E$9</f>
        <v>0</v>
      </c>
    </row>
    <row r="5261" customFormat="false" ht="15" hidden="false" customHeight="false" outlineLevel="0" collapsed="false">
      <c r="B5261" s="130" t="n">
        <v>2027</v>
      </c>
      <c r="C5261" s="131" t="s">
        <v>250</v>
      </c>
      <c r="D5261" s="132" t="n">
        <v>46624</v>
      </c>
      <c r="E5261" s="131" t="s">
        <v>12</v>
      </c>
      <c r="F5261" s="133" t="s">
        <v>11</v>
      </c>
      <c r="G5261" s="134" t="n">
        <f aca="false">LEN('Saisie programme'!$F$169)+SUMIFS('Vols additionnels'!$E$7:$E$66,'Vols additionnels'!$C$7:$C$66,$E5261,'Vols additionnels'!$D$7:$D$66,$F5261,'Vols additionnels'!$B$7:$B$66,$D5261)</f>
        <v>1</v>
      </c>
      <c r="H5261" s="135" t="n">
        <f aca="false">$G5261*'Analyse capacite'!$F$7</f>
        <v>438</v>
      </c>
      <c r="I5261" s="135" t="n">
        <f aca="false">$G5261*'Analyse capacite'!$C$7</f>
        <v>14</v>
      </c>
      <c r="J5261" s="135" t="n">
        <f aca="false">$G5261*'Analyse capacite'!$D$7</f>
        <v>40</v>
      </c>
      <c r="K5261" s="135" t="n">
        <f aca="false">$G5261*'Analyse capacite'!$E$7</f>
        <v>384</v>
      </c>
    </row>
    <row r="5262" customFormat="false" ht="15" hidden="false" customHeight="false" outlineLevel="0" collapsed="false">
      <c r="B5262" s="130" t="n">
        <v>2027</v>
      </c>
      <c r="C5262" s="131" t="s">
        <v>250</v>
      </c>
      <c r="D5262" s="132" t="n">
        <v>46624</v>
      </c>
      <c r="E5262" s="131" t="s">
        <v>12</v>
      </c>
      <c r="F5262" s="133" t="s">
        <v>19</v>
      </c>
      <c r="G5262" s="134" t="n">
        <f aca="false">LEN('Saisie programme'!$F$170)+SUMIFS('Vols additionnels'!$E$7:$E$66,'Vols additionnels'!$C$7:$C$66,$E5262,'Vols additionnels'!$D$7:$D$66,$F5262,'Vols additionnels'!$B$7:$B$66,$D5262)</f>
        <v>1</v>
      </c>
      <c r="H5262" s="135" t="n">
        <f aca="false">$G5262*'Analyse capacite'!$F$8</f>
        <v>262</v>
      </c>
      <c r="I5262" s="135" t="n">
        <f aca="false">$G5262*'Analyse capacite'!$C$8</f>
        <v>18</v>
      </c>
      <c r="J5262" s="135" t="n">
        <f aca="false">$G5262*'Analyse capacite'!$D$8</f>
        <v>0</v>
      </c>
      <c r="K5262" s="135" t="n">
        <f aca="false">$G5262*'Analyse capacite'!$E$8</f>
        <v>244</v>
      </c>
    </row>
    <row r="5263" customFormat="false" ht="15" hidden="false" customHeight="false" outlineLevel="0" collapsed="false">
      <c r="B5263" s="130" t="n">
        <v>2027</v>
      </c>
      <c r="C5263" s="131" t="s">
        <v>250</v>
      </c>
      <c r="D5263" s="132" t="n">
        <v>46624</v>
      </c>
      <c r="E5263" s="131" t="s">
        <v>12</v>
      </c>
      <c r="F5263" s="133" t="s">
        <v>24</v>
      </c>
      <c r="G5263" s="134" t="n">
        <f aca="false">LEN('Saisie programme'!$F$171)+SUMIFS('Vols additionnels'!$E$7:$E$66,'Vols additionnels'!$C$7:$C$66,$E5263,'Vols additionnels'!$D$7:$D$66,$F5263,'Vols additionnels'!$B$7:$B$66,$D5263)</f>
        <v>0</v>
      </c>
      <c r="H5263" s="135" t="n">
        <f aca="false">$G5263*'Analyse capacite'!$F$9</f>
        <v>0</v>
      </c>
      <c r="I5263" s="135" t="n">
        <f aca="false">$G5263*'Analyse capacite'!$C$9</f>
        <v>0</v>
      </c>
      <c r="J5263" s="135" t="n">
        <f aca="false">$G5263*'Analyse capacite'!$D$9</f>
        <v>0</v>
      </c>
      <c r="K5263" s="135" t="n">
        <f aca="false">$G5263*'Analyse capacite'!$E$9</f>
        <v>0</v>
      </c>
    </row>
    <row r="5264" customFormat="false" ht="15" hidden="false" customHeight="false" outlineLevel="0" collapsed="false">
      <c r="B5264" s="130" t="n">
        <v>2027</v>
      </c>
      <c r="C5264" s="131" t="s">
        <v>250</v>
      </c>
      <c r="D5264" s="132" t="n">
        <v>46624</v>
      </c>
      <c r="E5264" s="131" t="s">
        <v>20</v>
      </c>
      <c r="F5264" s="133" t="s">
        <v>11</v>
      </c>
      <c r="G5264" s="134" t="n">
        <f aca="false">LEN('Saisie programme'!$F$172)+SUMIFS('Vols additionnels'!$E$7:$E$66,'Vols additionnels'!$C$7:$C$66,$E5264,'Vols additionnels'!$D$7:$D$66,$F5264,'Vols additionnels'!$B$7:$B$66,$D5264)</f>
        <v>0</v>
      </c>
      <c r="H5264" s="135" t="n">
        <f aca="false">$G5264*'Analyse capacite'!$F$7</f>
        <v>0</v>
      </c>
      <c r="I5264" s="135" t="n">
        <f aca="false">$G5264*'Analyse capacite'!$C$7</f>
        <v>0</v>
      </c>
      <c r="J5264" s="135" t="n">
        <f aca="false">$G5264*'Analyse capacite'!$D$7</f>
        <v>0</v>
      </c>
      <c r="K5264" s="135" t="n">
        <f aca="false">$G5264*'Analyse capacite'!$E$7</f>
        <v>0</v>
      </c>
    </row>
    <row r="5265" customFormat="false" ht="15" hidden="false" customHeight="false" outlineLevel="0" collapsed="false">
      <c r="B5265" s="130" t="n">
        <v>2027</v>
      </c>
      <c r="C5265" s="131" t="s">
        <v>250</v>
      </c>
      <c r="D5265" s="132" t="n">
        <v>46624</v>
      </c>
      <c r="E5265" s="131" t="s">
        <v>20</v>
      </c>
      <c r="F5265" s="133" t="s">
        <v>19</v>
      </c>
      <c r="G5265" s="134" t="n">
        <f aca="false">LEN('Saisie programme'!$F$173)+SUMIFS('Vols additionnels'!$E$7:$E$66,'Vols additionnels'!$C$7:$C$66,$E5265,'Vols additionnels'!$D$7:$D$66,$F5265,'Vols additionnels'!$B$7:$B$66,$D5265)</f>
        <v>0</v>
      </c>
      <c r="H5265" s="135" t="n">
        <f aca="false">$G5265*'Analyse capacite'!$F$8</f>
        <v>0</v>
      </c>
      <c r="I5265" s="135" t="n">
        <f aca="false">$G5265*'Analyse capacite'!$C$8</f>
        <v>0</v>
      </c>
      <c r="J5265" s="135" t="n">
        <f aca="false">$G5265*'Analyse capacite'!$D$8</f>
        <v>0</v>
      </c>
      <c r="K5265" s="135" t="n">
        <f aca="false">$G5265*'Analyse capacite'!$E$8</f>
        <v>0</v>
      </c>
    </row>
    <row r="5266" customFormat="false" ht="15" hidden="false" customHeight="false" outlineLevel="0" collapsed="false">
      <c r="B5266" s="130" t="n">
        <v>2027</v>
      </c>
      <c r="C5266" s="131" t="s">
        <v>250</v>
      </c>
      <c r="D5266" s="132" t="n">
        <v>46624</v>
      </c>
      <c r="E5266" s="131" t="s">
        <v>20</v>
      </c>
      <c r="F5266" s="133" t="s">
        <v>24</v>
      </c>
      <c r="G5266" s="134" t="n">
        <f aca="false">LEN('Saisie programme'!$F$174)+SUMIFS('Vols additionnels'!$E$7:$E$66,'Vols additionnels'!$C$7:$C$66,$E5266,'Vols additionnels'!$D$7:$D$66,$F5266,'Vols additionnels'!$B$7:$B$66,$D5266)</f>
        <v>0</v>
      </c>
      <c r="H5266" s="135" t="n">
        <f aca="false">$G5266*'Analyse capacite'!$F$9</f>
        <v>0</v>
      </c>
      <c r="I5266" s="135" t="n">
        <f aca="false">$G5266*'Analyse capacite'!$C$9</f>
        <v>0</v>
      </c>
      <c r="J5266" s="135" t="n">
        <f aca="false">$G5266*'Analyse capacite'!$D$9</f>
        <v>0</v>
      </c>
      <c r="K5266" s="135" t="n">
        <f aca="false">$G5266*'Analyse capacite'!$E$9</f>
        <v>0</v>
      </c>
    </row>
    <row r="5267" customFormat="false" ht="15" hidden="false" customHeight="false" outlineLevel="0" collapsed="false">
      <c r="B5267" s="130" t="n">
        <v>2027</v>
      </c>
      <c r="C5267" s="131" t="s">
        <v>250</v>
      </c>
      <c r="D5267" s="132" t="n">
        <v>46624</v>
      </c>
      <c r="E5267" s="131" t="s">
        <v>25</v>
      </c>
      <c r="F5267" s="133" t="s">
        <v>11</v>
      </c>
      <c r="G5267" s="134" t="n">
        <f aca="false">LEN('Saisie programme'!$F$175)+SUMIFS('Vols additionnels'!$E$7:$E$66,'Vols additionnels'!$C$7:$C$66,$E5267,'Vols additionnels'!$D$7:$D$66,$F5267,'Vols additionnels'!$B$7:$B$66,$D5267)</f>
        <v>0</v>
      </c>
      <c r="H5267" s="135" t="n">
        <f aca="false">$G5267*'Analyse capacite'!$F$7</f>
        <v>0</v>
      </c>
      <c r="I5267" s="135" t="n">
        <f aca="false">$G5267*'Analyse capacite'!$C$7</f>
        <v>0</v>
      </c>
      <c r="J5267" s="135" t="n">
        <f aca="false">$G5267*'Analyse capacite'!$D$7</f>
        <v>0</v>
      </c>
      <c r="K5267" s="135" t="n">
        <f aca="false">$G5267*'Analyse capacite'!$E$7</f>
        <v>0</v>
      </c>
    </row>
    <row r="5268" customFormat="false" ht="15" hidden="false" customHeight="false" outlineLevel="0" collapsed="false">
      <c r="B5268" s="130" t="n">
        <v>2027</v>
      </c>
      <c r="C5268" s="131" t="s">
        <v>250</v>
      </c>
      <c r="D5268" s="132" t="n">
        <v>46624</v>
      </c>
      <c r="E5268" s="131" t="s">
        <v>25</v>
      </c>
      <c r="F5268" s="133" t="s">
        <v>19</v>
      </c>
      <c r="G5268" s="134" t="n">
        <f aca="false">LEN('Saisie programme'!$F$176)+SUMIFS('Vols additionnels'!$E$7:$E$66,'Vols additionnels'!$C$7:$C$66,$E5268,'Vols additionnels'!$D$7:$D$66,$F5268,'Vols additionnels'!$B$7:$B$66,$D5268)</f>
        <v>1</v>
      </c>
      <c r="H5268" s="135" t="n">
        <f aca="false">$G5268*'Analyse capacite'!$F$8</f>
        <v>262</v>
      </c>
      <c r="I5268" s="135" t="n">
        <f aca="false">$G5268*'Analyse capacite'!$C$8</f>
        <v>18</v>
      </c>
      <c r="J5268" s="135" t="n">
        <f aca="false">$G5268*'Analyse capacite'!$D$8</f>
        <v>0</v>
      </c>
      <c r="K5268" s="135" t="n">
        <f aca="false">$G5268*'Analyse capacite'!$E$8</f>
        <v>244</v>
      </c>
    </row>
    <row r="5269" customFormat="false" ht="15" hidden="false" customHeight="false" outlineLevel="0" collapsed="false">
      <c r="B5269" s="130" t="n">
        <v>2027</v>
      </c>
      <c r="C5269" s="131" t="s">
        <v>250</v>
      </c>
      <c r="D5269" s="132" t="n">
        <v>46624</v>
      </c>
      <c r="E5269" s="131" t="s">
        <v>25</v>
      </c>
      <c r="F5269" s="133" t="s">
        <v>24</v>
      </c>
      <c r="G5269" s="134" t="n">
        <f aca="false">LEN('Saisie programme'!$F$177)+SUMIFS('Vols additionnels'!$E$7:$E$66,'Vols additionnels'!$C$7:$C$66,$E5269,'Vols additionnels'!$D$7:$D$66,$F5269,'Vols additionnels'!$B$7:$B$66,$D5269)</f>
        <v>0</v>
      </c>
      <c r="H5269" s="135" t="n">
        <f aca="false">$G5269*'Analyse capacite'!$F$9</f>
        <v>0</v>
      </c>
      <c r="I5269" s="135" t="n">
        <f aca="false">$G5269*'Analyse capacite'!$C$9</f>
        <v>0</v>
      </c>
      <c r="J5269" s="135" t="n">
        <f aca="false">$G5269*'Analyse capacite'!$D$9</f>
        <v>0</v>
      </c>
      <c r="K5269" s="135" t="n">
        <f aca="false">$G5269*'Analyse capacite'!$E$9</f>
        <v>0</v>
      </c>
    </row>
    <row r="5270" customFormat="false" ht="15" hidden="false" customHeight="false" outlineLevel="0" collapsed="false">
      <c r="B5270" s="130" t="n">
        <v>2027</v>
      </c>
      <c r="C5270" s="131" t="s">
        <v>250</v>
      </c>
      <c r="D5270" s="132" t="n">
        <v>46624</v>
      </c>
      <c r="E5270" s="131" t="s">
        <v>36</v>
      </c>
      <c r="F5270" s="133" t="s">
        <v>11</v>
      </c>
      <c r="G5270" s="134" t="n">
        <f aca="false">LEN('Saisie programme'!$F$178)+SUMIFS('Vols additionnels'!$E$7:$E$66,'Vols additionnels'!$C$7:$C$66,$E5270,'Vols additionnels'!$D$7:$D$66,$F5270,'Vols additionnels'!$B$7:$B$66,$D5270)</f>
        <v>0</v>
      </c>
      <c r="H5270" s="135" t="n">
        <f aca="false">$G5270*'Analyse capacite'!$F$7</f>
        <v>0</v>
      </c>
      <c r="I5270" s="135" t="n">
        <f aca="false">$G5270*'Analyse capacite'!$C$7</f>
        <v>0</v>
      </c>
      <c r="J5270" s="135" t="n">
        <f aca="false">$G5270*'Analyse capacite'!$D$7</f>
        <v>0</v>
      </c>
      <c r="K5270" s="135" t="n">
        <f aca="false">$G5270*'Analyse capacite'!$E$7</f>
        <v>0</v>
      </c>
    </row>
    <row r="5271" customFormat="false" ht="15" hidden="false" customHeight="false" outlineLevel="0" collapsed="false">
      <c r="B5271" s="130" t="n">
        <v>2027</v>
      </c>
      <c r="C5271" s="131" t="s">
        <v>250</v>
      </c>
      <c r="D5271" s="132" t="n">
        <v>46624</v>
      </c>
      <c r="E5271" s="131" t="s">
        <v>36</v>
      </c>
      <c r="F5271" s="133" t="s">
        <v>19</v>
      </c>
      <c r="G5271" s="134" t="n">
        <f aca="false">LEN('Saisie programme'!$F$179)+SUMIFS('Vols additionnels'!$E$7:$E$66,'Vols additionnels'!$C$7:$C$66,$E5271,'Vols additionnels'!$D$7:$D$66,$F5271,'Vols additionnels'!$B$7:$B$66,$D5271)</f>
        <v>1</v>
      </c>
      <c r="H5271" s="135" t="n">
        <f aca="false">$G5271*'Analyse capacite'!$F$8</f>
        <v>262</v>
      </c>
      <c r="I5271" s="135" t="n">
        <f aca="false">$G5271*'Analyse capacite'!$C$8</f>
        <v>18</v>
      </c>
      <c r="J5271" s="135" t="n">
        <f aca="false">$G5271*'Analyse capacite'!$D$8</f>
        <v>0</v>
      </c>
      <c r="K5271" s="135" t="n">
        <f aca="false">$G5271*'Analyse capacite'!$E$8</f>
        <v>244</v>
      </c>
    </row>
    <row r="5272" customFormat="false" ht="15" hidden="false" customHeight="false" outlineLevel="0" collapsed="false">
      <c r="B5272" s="130" t="n">
        <v>2027</v>
      </c>
      <c r="C5272" s="131" t="s">
        <v>250</v>
      </c>
      <c r="D5272" s="132" t="n">
        <v>46624</v>
      </c>
      <c r="E5272" s="131" t="s">
        <v>36</v>
      </c>
      <c r="F5272" s="133" t="s">
        <v>24</v>
      </c>
      <c r="G5272" s="134" t="n">
        <f aca="false">LEN('Saisie programme'!$F$180)+SUMIFS('Vols additionnels'!$E$7:$E$66,'Vols additionnels'!$C$7:$C$66,$E5272,'Vols additionnels'!$D$7:$D$66,$F5272,'Vols additionnels'!$B$7:$B$66,$D5272)</f>
        <v>1</v>
      </c>
      <c r="H5272" s="135" t="n">
        <f aca="false">$G5272*'Analyse capacite'!$F$9</f>
        <v>174</v>
      </c>
      <c r="I5272" s="135" t="n">
        <f aca="false">$G5272*'Analyse capacite'!$C$9</f>
        <v>0</v>
      </c>
      <c r="J5272" s="135" t="n">
        <f aca="false">$G5272*'Analyse capacite'!$D$9</f>
        <v>12</v>
      </c>
      <c r="K5272" s="135" t="n">
        <f aca="false">$G5272*'Analyse capacite'!$E$9</f>
        <v>162</v>
      </c>
    </row>
    <row r="5273" customFormat="false" ht="15" hidden="false" customHeight="false" outlineLevel="0" collapsed="false">
      <c r="B5273" s="130" t="n">
        <v>2027</v>
      </c>
      <c r="C5273" s="131" t="s">
        <v>250</v>
      </c>
      <c r="D5273" s="132" t="n">
        <v>46624</v>
      </c>
      <c r="E5273" s="131" t="s">
        <v>40</v>
      </c>
      <c r="F5273" s="133" t="s">
        <v>11</v>
      </c>
      <c r="G5273" s="134" t="n">
        <f aca="false">LEN('Saisie programme'!$F$181)+SUMIFS('Vols additionnels'!$E$7:$E$66,'Vols additionnels'!$C$7:$C$66,$E5273,'Vols additionnels'!$D$7:$D$66,$F5273,'Vols additionnels'!$B$7:$B$66,$D5273)</f>
        <v>0</v>
      </c>
      <c r="H5273" s="135" t="n">
        <f aca="false">$G5273*'Analyse capacite'!$F$7</f>
        <v>0</v>
      </c>
      <c r="I5273" s="135" t="n">
        <f aca="false">$G5273*'Analyse capacite'!$C$7</f>
        <v>0</v>
      </c>
      <c r="J5273" s="135" t="n">
        <f aca="false">$G5273*'Analyse capacite'!$D$7</f>
        <v>0</v>
      </c>
      <c r="K5273" s="135" t="n">
        <f aca="false">$G5273*'Analyse capacite'!$E$7</f>
        <v>0</v>
      </c>
    </row>
    <row r="5274" customFormat="false" ht="15" hidden="false" customHeight="false" outlineLevel="0" collapsed="false">
      <c r="B5274" s="130" t="n">
        <v>2027</v>
      </c>
      <c r="C5274" s="131" t="s">
        <v>250</v>
      </c>
      <c r="D5274" s="132" t="n">
        <v>46624</v>
      </c>
      <c r="E5274" s="131" t="s">
        <v>40</v>
      </c>
      <c r="F5274" s="133" t="s">
        <v>19</v>
      </c>
      <c r="G5274" s="134" t="n">
        <f aca="false">LEN('Saisie programme'!$F$182)+SUMIFS('Vols additionnels'!$E$7:$E$66,'Vols additionnels'!$C$7:$C$66,$E5274,'Vols additionnels'!$D$7:$D$66,$F5274,'Vols additionnels'!$B$7:$B$66,$D5274)</f>
        <v>0</v>
      </c>
      <c r="H5274" s="135" t="n">
        <f aca="false">$G5274*'Analyse capacite'!$F$8</f>
        <v>0</v>
      </c>
      <c r="I5274" s="135" t="n">
        <f aca="false">$G5274*'Analyse capacite'!$C$8</f>
        <v>0</v>
      </c>
      <c r="J5274" s="135" t="n">
        <f aca="false">$G5274*'Analyse capacite'!$D$8</f>
        <v>0</v>
      </c>
      <c r="K5274" s="135" t="n">
        <f aca="false">$G5274*'Analyse capacite'!$E$8</f>
        <v>0</v>
      </c>
    </row>
    <row r="5275" customFormat="false" ht="15" hidden="false" customHeight="false" outlineLevel="0" collapsed="false">
      <c r="B5275" s="130" t="n">
        <v>2027</v>
      </c>
      <c r="C5275" s="131" t="s">
        <v>250</v>
      </c>
      <c r="D5275" s="132" t="n">
        <v>46624</v>
      </c>
      <c r="E5275" s="131" t="s">
        <v>40</v>
      </c>
      <c r="F5275" s="133" t="s">
        <v>24</v>
      </c>
      <c r="G5275" s="134" t="n">
        <f aca="false">LEN('Saisie programme'!$F$183)+SUMIFS('Vols additionnels'!$E$7:$E$66,'Vols additionnels'!$C$7:$C$66,$E5275,'Vols additionnels'!$D$7:$D$66,$F5275,'Vols additionnels'!$B$7:$B$66,$D5275)</f>
        <v>1</v>
      </c>
      <c r="H5275" s="135" t="n">
        <f aca="false">$G5275*'Analyse capacite'!$F$9</f>
        <v>174</v>
      </c>
      <c r="I5275" s="135" t="n">
        <f aca="false">$G5275*'Analyse capacite'!$C$9</f>
        <v>0</v>
      </c>
      <c r="J5275" s="135" t="n">
        <f aca="false">$G5275*'Analyse capacite'!$D$9</f>
        <v>12</v>
      </c>
      <c r="K5275" s="135" t="n">
        <f aca="false">$G5275*'Analyse capacite'!$E$9</f>
        <v>162</v>
      </c>
    </row>
    <row r="5276" customFormat="false" ht="15" hidden="false" customHeight="false" outlineLevel="0" collapsed="false">
      <c r="B5276" s="130" t="n">
        <v>2027</v>
      </c>
      <c r="C5276" s="131" t="s">
        <v>250</v>
      </c>
      <c r="D5276" s="132" t="n">
        <v>46624</v>
      </c>
      <c r="E5276" s="131" t="s">
        <v>14</v>
      </c>
      <c r="F5276" s="133" t="s">
        <v>11</v>
      </c>
      <c r="G5276" s="134" t="n">
        <f aca="false">LEN('Saisie programme'!$F$184)+SUMIFS('Vols additionnels'!$E$7:$E$66,'Vols additionnels'!$C$7:$C$66,$E5276,'Vols additionnels'!$D$7:$D$66,$F5276,'Vols additionnels'!$B$7:$B$66,$D5276)</f>
        <v>0</v>
      </c>
      <c r="H5276" s="135" t="n">
        <f aca="false">$G5276*'Analyse capacite'!$F$7</f>
        <v>0</v>
      </c>
      <c r="I5276" s="135" t="n">
        <f aca="false">$G5276*'Analyse capacite'!$C$7</f>
        <v>0</v>
      </c>
      <c r="J5276" s="135" t="n">
        <f aca="false">$G5276*'Analyse capacite'!$D$7</f>
        <v>0</v>
      </c>
      <c r="K5276" s="135" t="n">
        <f aca="false">$G5276*'Analyse capacite'!$E$7</f>
        <v>0</v>
      </c>
    </row>
    <row r="5277" customFormat="false" ht="15" hidden="false" customHeight="false" outlineLevel="0" collapsed="false">
      <c r="B5277" s="130" t="n">
        <v>2027</v>
      </c>
      <c r="C5277" s="131" t="s">
        <v>250</v>
      </c>
      <c r="D5277" s="132" t="n">
        <v>46624</v>
      </c>
      <c r="E5277" s="131" t="s">
        <v>14</v>
      </c>
      <c r="F5277" s="133" t="s">
        <v>19</v>
      </c>
      <c r="G5277" s="134" t="n">
        <f aca="false">LEN('Saisie programme'!$F$185)+SUMIFS('Vols additionnels'!$E$7:$E$66,'Vols additionnels'!$C$7:$C$66,$E5277,'Vols additionnels'!$D$7:$D$66,$F5277,'Vols additionnels'!$B$7:$B$66,$D5277)</f>
        <v>0</v>
      </c>
      <c r="H5277" s="135" t="n">
        <f aca="false">$G5277*'Analyse capacite'!$F$8</f>
        <v>0</v>
      </c>
      <c r="I5277" s="135" t="n">
        <f aca="false">$G5277*'Analyse capacite'!$C$8</f>
        <v>0</v>
      </c>
      <c r="J5277" s="135" t="n">
        <f aca="false">$G5277*'Analyse capacite'!$D$8</f>
        <v>0</v>
      </c>
      <c r="K5277" s="135" t="n">
        <f aca="false">$G5277*'Analyse capacite'!$E$8</f>
        <v>0</v>
      </c>
    </row>
    <row r="5278" customFormat="false" ht="15" hidden="false" customHeight="false" outlineLevel="0" collapsed="false">
      <c r="B5278" s="130" t="n">
        <v>2027</v>
      </c>
      <c r="C5278" s="131" t="s">
        <v>250</v>
      </c>
      <c r="D5278" s="132" t="n">
        <v>46624</v>
      </c>
      <c r="E5278" s="131" t="s">
        <v>14</v>
      </c>
      <c r="F5278" s="133" t="s">
        <v>24</v>
      </c>
      <c r="G5278" s="134" t="n">
        <f aca="false">LEN('Saisie programme'!$F$186)+SUMIFS('Vols additionnels'!$E$7:$E$66,'Vols additionnels'!$C$7:$C$66,$E5278,'Vols additionnels'!$D$7:$D$66,$F5278,'Vols additionnels'!$B$7:$B$66,$D5278)</f>
        <v>0</v>
      </c>
      <c r="H5278" s="135" t="n">
        <f aca="false">$G5278*'Analyse capacite'!$F$9</f>
        <v>0</v>
      </c>
      <c r="I5278" s="135" t="n">
        <f aca="false">$G5278*'Analyse capacite'!$C$9</f>
        <v>0</v>
      </c>
      <c r="J5278" s="135" t="n">
        <f aca="false">$G5278*'Analyse capacite'!$D$9</f>
        <v>0</v>
      </c>
      <c r="K5278" s="135" t="n">
        <f aca="false">$G5278*'Analyse capacite'!$E$9</f>
        <v>0</v>
      </c>
    </row>
    <row r="5279" customFormat="false" ht="15" hidden="false" customHeight="false" outlineLevel="0" collapsed="false">
      <c r="B5279" s="130" t="n">
        <v>2027</v>
      </c>
      <c r="C5279" s="131" t="s">
        <v>250</v>
      </c>
      <c r="D5279" s="132" t="n">
        <v>46624</v>
      </c>
      <c r="E5279" s="131" t="s">
        <v>46</v>
      </c>
      <c r="F5279" s="133" t="s">
        <v>11</v>
      </c>
      <c r="G5279" s="134" t="n">
        <f aca="false">LEN('Saisie programme'!$F$187)+SUMIFS('Vols additionnels'!$E$7:$E$66,'Vols additionnels'!$C$7:$C$66,$E5279,'Vols additionnels'!$D$7:$D$66,$F5279,'Vols additionnels'!$B$7:$B$66,$D5279)</f>
        <v>0</v>
      </c>
      <c r="H5279" s="135" t="n">
        <f aca="false">$G5279*'Analyse capacite'!$F$7</f>
        <v>0</v>
      </c>
      <c r="I5279" s="135" t="n">
        <f aca="false">$G5279*'Analyse capacite'!$C$7</f>
        <v>0</v>
      </c>
      <c r="J5279" s="135" t="n">
        <f aca="false">$G5279*'Analyse capacite'!$D$7</f>
        <v>0</v>
      </c>
      <c r="K5279" s="135" t="n">
        <f aca="false">$G5279*'Analyse capacite'!$E$7</f>
        <v>0</v>
      </c>
    </row>
    <row r="5280" customFormat="false" ht="15" hidden="false" customHeight="false" outlineLevel="0" collapsed="false">
      <c r="B5280" s="130" t="n">
        <v>2027</v>
      </c>
      <c r="C5280" s="131" t="s">
        <v>250</v>
      </c>
      <c r="D5280" s="132" t="n">
        <v>46624</v>
      </c>
      <c r="E5280" s="131" t="s">
        <v>46</v>
      </c>
      <c r="F5280" s="133" t="s">
        <v>19</v>
      </c>
      <c r="G5280" s="134" t="n">
        <f aca="false">LEN('Saisie programme'!$F$188)+SUMIFS('Vols additionnels'!$E$7:$E$66,'Vols additionnels'!$C$7:$C$66,$E5280,'Vols additionnels'!$D$7:$D$66,$F5280,'Vols additionnels'!$B$7:$B$66,$D5280)</f>
        <v>0</v>
      </c>
      <c r="H5280" s="135" t="n">
        <f aca="false">$G5280*'Analyse capacite'!$F$8</f>
        <v>0</v>
      </c>
      <c r="I5280" s="135" t="n">
        <f aca="false">$G5280*'Analyse capacite'!$C$8</f>
        <v>0</v>
      </c>
      <c r="J5280" s="135" t="n">
        <f aca="false">$G5280*'Analyse capacite'!$D$8</f>
        <v>0</v>
      </c>
      <c r="K5280" s="135" t="n">
        <f aca="false">$G5280*'Analyse capacite'!$E$8</f>
        <v>0</v>
      </c>
    </row>
    <row r="5281" customFormat="false" ht="15" hidden="false" customHeight="false" outlineLevel="0" collapsed="false">
      <c r="B5281" s="130" t="n">
        <v>2027</v>
      </c>
      <c r="C5281" s="131" t="s">
        <v>250</v>
      </c>
      <c r="D5281" s="132" t="n">
        <v>46624</v>
      </c>
      <c r="E5281" s="131" t="s">
        <v>46</v>
      </c>
      <c r="F5281" s="133" t="s">
        <v>24</v>
      </c>
      <c r="G5281" s="134" t="n">
        <f aca="false">LEN('Saisie programme'!$F$189)+SUMIFS('Vols additionnels'!$E$7:$E$66,'Vols additionnels'!$C$7:$C$66,$E5281,'Vols additionnels'!$D$7:$D$66,$F5281,'Vols additionnels'!$B$7:$B$66,$D5281)</f>
        <v>0</v>
      </c>
      <c r="H5281" s="135" t="n">
        <f aca="false">$G5281*'Analyse capacite'!$F$9</f>
        <v>0</v>
      </c>
      <c r="I5281" s="135" t="n">
        <f aca="false">$G5281*'Analyse capacite'!$C$9</f>
        <v>0</v>
      </c>
      <c r="J5281" s="135" t="n">
        <f aca="false">$G5281*'Analyse capacite'!$D$9</f>
        <v>0</v>
      </c>
      <c r="K5281" s="135" t="n">
        <f aca="false">$G5281*'Analyse capacite'!$E$9</f>
        <v>0</v>
      </c>
    </row>
    <row r="5282" customFormat="false" ht="15" hidden="false" customHeight="false" outlineLevel="0" collapsed="false">
      <c r="B5282" s="130" t="n">
        <v>2027</v>
      </c>
      <c r="C5282" s="131" t="s">
        <v>250</v>
      </c>
      <c r="D5282" s="132" t="n">
        <v>46624</v>
      </c>
      <c r="E5282" s="131" t="s">
        <v>49</v>
      </c>
      <c r="F5282" s="133" t="s">
        <v>11</v>
      </c>
      <c r="G5282" s="134" t="n">
        <f aca="false">LEN('Saisie programme'!$F$190)+SUMIFS('Vols additionnels'!$E$7:$E$66,'Vols additionnels'!$C$7:$C$66,$E5282,'Vols additionnels'!$D$7:$D$66,$F5282,'Vols additionnels'!$B$7:$B$66,$D5282)</f>
        <v>0</v>
      </c>
      <c r="H5282" s="135" t="n">
        <f aca="false">$G5282*'Analyse capacite'!$F$7</f>
        <v>0</v>
      </c>
      <c r="I5282" s="135" t="n">
        <f aca="false">$G5282*'Analyse capacite'!$C$7</f>
        <v>0</v>
      </c>
      <c r="J5282" s="135" t="n">
        <f aca="false">$G5282*'Analyse capacite'!$D$7</f>
        <v>0</v>
      </c>
      <c r="K5282" s="135" t="n">
        <f aca="false">$G5282*'Analyse capacite'!$E$7</f>
        <v>0</v>
      </c>
    </row>
    <row r="5283" customFormat="false" ht="15" hidden="false" customHeight="false" outlineLevel="0" collapsed="false">
      <c r="B5283" s="130" t="n">
        <v>2027</v>
      </c>
      <c r="C5283" s="131" t="s">
        <v>250</v>
      </c>
      <c r="D5283" s="132" t="n">
        <v>46624</v>
      </c>
      <c r="E5283" s="131" t="s">
        <v>49</v>
      </c>
      <c r="F5283" s="133" t="s">
        <v>19</v>
      </c>
      <c r="G5283" s="134" t="n">
        <f aca="false">LEN('Saisie programme'!$F$191)+SUMIFS('Vols additionnels'!$E$7:$E$66,'Vols additionnels'!$C$7:$C$66,$E5283,'Vols additionnels'!$D$7:$D$66,$F5283,'Vols additionnels'!$B$7:$B$66,$D5283)</f>
        <v>0</v>
      </c>
      <c r="H5283" s="135" t="n">
        <f aca="false">$G5283*'Analyse capacite'!$F$8</f>
        <v>0</v>
      </c>
      <c r="I5283" s="135" t="n">
        <f aca="false">$G5283*'Analyse capacite'!$C$8</f>
        <v>0</v>
      </c>
      <c r="J5283" s="135" t="n">
        <f aca="false">$G5283*'Analyse capacite'!$D$8</f>
        <v>0</v>
      </c>
      <c r="K5283" s="135" t="n">
        <f aca="false">$G5283*'Analyse capacite'!$E$8</f>
        <v>0</v>
      </c>
    </row>
    <row r="5284" customFormat="false" ht="15" hidden="false" customHeight="false" outlineLevel="0" collapsed="false">
      <c r="B5284" s="130" t="n">
        <v>2027</v>
      </c>
      <c r="C5284" s="131" t="s">
        <v>250</v>
      </c>
      <c r="D5284" s="132" t="n">
        <v>46624</v>
      </c>
      <c r="E5284" s="131" t="s">
        <v>49</v>
      </c>
      <c r="F5284" s="133" t="s">
        <v>24</v>
      </c>
      <c r="G5284" s="134" t="n">
        <f aca="false">LEN('Saisie programme'!$F$192)+SUMIFS('Vols additionnels'!$E$7:$E$66,'Vols additionnels'!$C$7:$C$66,$E5284,'Vols additionnels'!$D$7:$D$66,$F5284,'Vols additionnels'!$B$7:$B$66,$D5284)</f>
        <v>0</v>
      </c>
      <c r="H5284" s="135" t="n">
        <f aca="false">$G5284*'Analyse capacite'!$F$9</f>
        <v>0</v>
      </c>
      <c r="I5284" s="135" t="n">
        <f aca="false">$G5284*'Analyse capacite'!$C$9</f>
        <v>0</v>
      </c>
      <c r="J5284" s="135" t="n">
        <f aca="false">$G5284*'Analyse capacite'!$D$9</f>
        <v>0</v>
      </c>
      <c r="K5284" s="135" t="n">
        <f aca="false">$G5284*'Analyse capacite'!$E$9</f>
        <v>0</v>
      </c>
    </row>
    <row r="5285" customFormat="false" ht="15" hidden="false" customHeight="false" outlineLevel="0" collapsed="false">
      <c r="B5285" s="130" t="n">
        <v>2027</v>
      </c>
      <c r="C5285" s="131" t="s">
        <v>250</v>
      </c>
      <c r="D5285" s="132" t="n">
        <v>46624</v>
      </c>
      <c r="E5285" s="131" t="s">
        <v>53</v>
      </c>
      <c r="F5285" s="133" t="s">
        <v>11</v>
      </c>
      <c r="G5285" s="134" t="n">
        <f aca="false">LEN('Saisie programme'!$F$193)+SUMIFS('Vols additionnels'!$E$7:$E$66,'Vols additionnels'!$C$7:$C$66,$E5285,'Vols additionnels'!$D$7:$D$66,$F5285,'Vols additionnels'!$B$7:$B$66,$D5285)</f>
        <v>0</v>
      </c>
      <c r="H5285" s="135" t="n">
        <f aca="false">$G5285*'Analyse capacite'!$F$7</f>
        <v>0</v>
      </c>
      <c r="I5285" s="135" t="n">
        <f aca="false">$G5285*'Analyse capacite'!$C$7</f>
        <v>0</v>
      </c>
      <c r="J5285" s="135" t="n">
        <f aca="false">$G5285*'Analyse capacite'!$D$7</f>
        <v>0</v>
      </c>
      <c r="K5285" s="135" t="n">
        <f aca="false">$G5285*'Analyse capacite'!$E$7</f>
        <v>0</v>
      </c>
    </row>
    <row r="5286" customFormat="false" ht="15" hidden="false" customHeight="false" outlineLevel="0" collapsed="false">
      <c r="B5286" s="130" t="n">
        <v>2027</v>
      </c>
      <c r="C5286" s="131" t="s">
        <v>250</v>
      </c>
      <c r="D5286" s="132" t="n">
        <v>46624</v>
      </c>
      <c r="E5286" s="131" t="s">
        <v>53</v>
      </c>
      <c r="F5286" s="133" t="s">
        <v>19</v>
      </c>
      <c r="G5286" s="134" t="n">
        <f aca="false">LEN('Saisie programme'!$F$194)+SUMIFS('Vols additionnels'!$E$7:$E$66,'Vols additionnels'!$C$7:$C$66,$E5286,'Vols additionnels'!$D$7:$D$66,$F5286,'Vols additionnels'!$B$7:$B$66,$D5286)</f>
        <v>0</v>
      </c>
      <c r="H5286" s="135" t="n">
        <f aca="false">$G5286*'Analyse capacite'!$F$8</f>
        <v>0</v>
      </c>
      <c r="I5286" s="135" t="n">
        <f aca="false">$G5286*'Analyse capacite'!$C$8</f>
        <v>0</v>
      </c>
      <c r="J5286" s="135" t="n">
        <f aca="false">$G5286*'Analyse capacite'!$D$8</f>
        <v>0</v>
      </c>
      <c r="K5286" s="135" t="n">
        <f aca="false">$G5286*'Analyse capacite'!$E$8</f>
        <v>0</v>
      </c>
    </row>
    <row r="5287" customFormat="false" ht="15" hidden="false" customHeight="false" outlineLevel="0" collapsed="false">
      <c r="B5287" s="130" t="n">
        <v>2027</v>
      </c>
      <c r="C5287" s="131" t="s">
        <v>250</v>
      </c>
      <c r="D5287" s="132" t="n">
        <v>46624</v>
      </c>
      <c r="E5287" s="131" t="s">
        <v>53</v>
      </c>
      <c r="F5287" s="133" t="s">
        <v>24</v>
      </c>
      <c r="G5287" s="134" t="n">
        <f aca="false">LEN('Saisie programme'!$F$195)+SUMIFS('Vols additionnels'!$E$7:$E$66,'Vols additionnels'!$C$7:$C$66,$E5287,'Vols additionnels'!$D$7:$D$66,$F5287,'Vols additionnels'!$B$7:$B$66,$D5287)</f>
        <v>0</v>
      </c>
      <c r="H5287" s="135" t="n">
        <f aca="false">$G5287*'Analyse capacite'!$F$9</f>
        <v>0</v>
      </c>
      <c r="I5287" s="135" t="n">
        <f aca="false">$G5287*'Analyse capacite'!$C$9</f>
        <v>0</v>
      </c>
      <c r="J5287" s="135" t="n">
        <f aca="false">$G5287*'Analyse capacite'!$D$9</f>
        <v>0</v>
      </c>
      <c r="K5287" s="135" t="n">
        <f aca="false">$G5287*'Analyse capacite'!$E$9</f>
        <v>0</v>
      </c>
    </row>
    <row r="5288" customFormat="false" ht="15" hidden="false" customHeight="false" outlineLevel="0" collapsed="false">
      <c r="B5288" s="130" t="n">
        <v>2027</v>
      </c>
      <c r="C5288" s="131" t="s">
        <v>250</v>
      </c>
      <c r="D5288" s="132" t="n">
        <v>46624</v>
      </c>
      <c r="E5288" s="131" t="s">
        <v>56</v>
      </c>
      <c r="F5288" s="133" t="s">
        <v>11</v>
      </c>
      <c r="G5288" s="134" t="n">
        <f aca="false">LEN('Saisie programme'!$F$196)+SUMIFS('Vols additionnels'!$E$7:$E$66,'Vols additionnels'!$C$7:$C$66,$E5288,'Vols additionnels'!$D$7:$D$66,$F5288,'Vols additionnels'!$B$7:$B$66,$D5288)</f>
        <v>0</v>
      </c>
      <c r="H5288" s="135" t="n">
        <f aca="false">$G5288*'Analyse capacite'!$F$7</f>
        <v>0</v>
      </c>
      <c r="I5288" s="135" t="n">
        <f aca="false">$G5288*'Analyse capacite'!$C$7</f>
        <v>0</v>
      </c>
      <c r="J5288" s="135" t="n">
        <f aca="false">$G5288*'Analyse capacite'!$D$7</f>
        <v>0</v>
      </c>
      <c r="K5288" s="135" t="n">
        <f aca="false">$G5288*'Analyse capacite'!$E$7</f>
        <v>0</v>
      </c>
    </row>
    <row r="5289" customFormat="false" ht="15" hidden="false" customHeight="false" outlineLevel="0" collapsed="false">
      <c r="B5289" s="130" t="n">
        <v>2027</v>
      </c>
      <c r="C5289" s="131" t="s">
        <v>250</v>
      </c>
      <c r="D5289" s="132" t="n">
        <v>46624</v>
      </c>
      <c r="E5289" s="131" t="s">
        <v>56</v>
      </c>
      <c r="F5289" s="133" t="s">
        <v>19</v>
      </c>
      <c r="G5289" s="134" t="n">
        <f aca="false">LEN('Saisie programme'!$F$197)+SUMIFS('Vols additionnels'!$E$7:$E$66,'Vols additionnels'!$C$7:$C$66,$E5289,'Vols additionnels'!$D$7:$D$66,$F5289,'Vols additionnels'!$B$7:$B$66,$D5289)</f>
        <v>0</v>
      </c>
      <c r="H5289" s="135" t="n">
        <f aca="false">$G5289*'Analyse capacite'!$F$8</f>
        <v>0</v>
      </c>
      <c r="I5289" s="135" t="n">
        <f aca="false">$G5289*'Analyse capacite'!$C$8</f>
        <v>0</v>
      </c>
      <c r="J5289" s="135" t="n">
        <f aca="false">$G5289*'Analyse capacite'!$D$8</f>
        <v>0</v>
      </c>
      <c r="K5289" s="135" t="n">
        <f aca="false">$G5289*'Analyse capacite'!$E$8</f>
        <v>0</v>
      </c>
    </row>
    <row r="5290" customFormat="false" ht="15" hidden="false" customHeight="false" outlineLevel="0" collapsed="false">
      <c r="B5290" s="130" t="n">
        <v>2027</v>
      </c>
      <c r="C5290" s="131" t="s">
        <v>250</v>
      </c>
      <c r="D5290" s="132" t="n">
        <v>46624</v>
      </c>
      <c r="E5290" s="131" t="s">
        <v>56</v>
      </c>
      <c r="F5290" s="133" t="s">
        <v>24</v>
      </c>
      <c r="G5290" s="134" t="n">
        <f aca="false">LEN('Saisie programme'!$F$198)+SUMIFS('Vols additionnels'!$E$7:$E$66,'Vols additionnels'!$C$7:$C$66,$E5290,'Vols additionnels'!$D$7:$D$66,$F5290,'Vols additionnels'!$B$7:$B$66,$D5290)</f>
        <v>0</v>
      </c>
      <c r="H5290" s="135" t="n">
        <f aca="false">$G5290*'Analyse capacite'!$F$9</f>
        <v>0</v>
      </c>
      <c r="I5290" s="135" t="n">
        <f aca="false">$G5290*'Analyse capacite'!$C$9</f>
        <v>0</v>
      </c>
      <c r="J5290" s="135" t="n">
        <f aca="false">$G5290*'Analyse capacite'!$D$9</f>
        <v>0</v>
      </c>
      <c r="K5290" s="135" t="n">
        <f aca="false">$G5290*'Analyse capacite'!$E$9</f>
        <v>0</v>
      </c>
    </row>
    <row r="5291" customFormat="false" ht="15" hidden="false" customHeight="false" outlineLevel="0" collapsed="false">
      <c r="B5291" s="130" t="n">
        <v>2027</v>
      </c>
      <c r="C5291" s="131" t="s">
        <v>250</v>
      </c>
      <c r="D5291" s="132" t="n">
        <v>46624</v>
      </c>
      <c r="E5291" s="131" t="s">
        <v>59</v>
      </c>
      <c r="F5291" s="133" t="s">
        <v>11</v>
      </c>
      <c r="G5291" s="134" t="n">
        <f aca="false">LEN('Saisie programme'!$F$199)+SUMIFS('Vols additionnels'!$E$7:$E$66,'Vols additionnels'!$C$7:$C$66,$E5291,'Vols additionnels'!$D$7:$D$66,$F5291,'Vols additionnels'!$B$7:$B$66,$D5291)</f>
        <v>0</v>
      </c>
      <c r="H5291" s="135" t="n">
        <f aca="false">$G5291*'Analyse capacite'!$F$7</f>
        <v>0</v>
      </c>
      <c r="I5291" s="135" t="n">
        <f aca="false">$G5291*'Analyse capacite'!$C$7</f>
        <v>0</v>
      </c>
      <c r="J5291" s="135" t="n">
        <f aca="false">$G5291*'Analyse capacite'!$D$7</f>
        <v>0</v>
      </c>
      <c r="K5291" s="135" t="n">
        <f aca="false">$G5291*'Analyse capacite'!$E$7</f>
        <v>0</v>
      </c>
    </row>
    <row r="5292" customFormat="false" ht="15" hidden="false" customHeight="false" outlineLevel="0" collapsed="false">
      <c r="B5292" s="130" t="n">
        <v>2027</v>
      </c>
      <c r="C5292" s="131" t="s">
        <v>250</v>
      </c>
      <c r="D5292" s="132" t="n">
        <v>46624</v>
      </c>
      <c r="E5292" s="131" t="s">
        <v>59</v>
      </c>
      <c r="F5292" s="133" t="s">
        <v>19</v>
      </c>
      <c r="G5292" s="134" t="n">
        <f aca="false">LEN('Saisie programme'!$F$200)+SUMIFS('Vols additionnels'!$E$7:$E$66,'Vols additionnels'!$C$7:$C$66,$E5292,'Vols additionnels'!$D$7:$D$66,$F5292,'Vols additionnels'!$B$7:$B$66,$D5292)</f>
        <v>0</v>
      </c>
      <c r="H5292" s="135" t="n">
        <f aca="false">$G5292*'Analyse capacite'!$F$8</f>
        <v>0</v>
      </c>
      <c r="I5292" s="135" t="n">
        <f aca="false">$G5292*'Analyse capacite'!$C$8</f>
        <v>0</v>
      </c>
      <c r="J5292" s="135" t="n">
        <f aca="false">$G5292*'Analyse capacite'!$D$8</f>
        <v>0</v>
      </c>
      <c r="K5292" s="135" t="n">
        <f aca="false">$G5292*'Analyse capacite'!$E$8</f>
        <v>0</v>
      </c>
    </row>
    <row r="5293" customFormat="false" ht="15" hidden="false" customHeight="false" outlineLevel="0" collapsed="false">
      <c r="B5293" s="130" t="n">
        <v>2027</v>
      </c>
      <c r="C5293" s="131" t="s">
        <v>250</v>
      </c>
      <c r="D5293" s="132" t="n">
        <v>46624</v>
      </c>
      <c r="E5293" s="131" t="s">
        <v>59</v>
      </c>
      <c r="F5293" s="133" t="s">
        <v>24</v>
      </c>
      <c r="G5293" s="134" t="n">
        <f aca="false">LEN('Saisie programme'!$F$201)+SUMIFS('Vols additionnels'!$E$7:$E$66,'Vols additionnels'!$C$7:$C$66,$E5293,'Vols additionnels'!$D$7:$D$66,$F5293,'Vols additionnels'!$B$7:$B$66,$D5293)</f>
        <v>1</v>
      </c>
      <c r="H5293" s="135" t="n">
        <f aca="false">$G5293*'Analyse capacite'!$F$9</f>
        <v>174</v>
      </c>
      <c r="I5293" s="135" t="n">
        <f aca="false">$G5293*'Analyse capacite'!$C$9</f>
        <v>0</v>
      </c>
      <c r="J5293" s="135" t="n">
        <f aca="false">$G5293*'Analyse capacite'!$D$9</f>
        <v>12</v>
      </c>
      <c r="K5293" s="135" t="n">
        <f aca="false">$G5293*'Analyse capacite'!$E$9</f>
        <v>162</v>
      </c>
    </row>
    <row r="5294" customFormat="false" ht="15" hidden="false" customHeight="false" outlineLevel="0" collapsed="false">
      <c r="B5294" s="130" t="n">
        <v>2027</v>
      </c>
      <c r="C5294" s="131" t="s">
        <v>250</v>
      </c>
      <c r="D5294" s="132" t="n">
        <v>46624</v>
      </c>
      <c r="E5294" s="131" t="s">
        <v>62</v>
      </c>
      <c r="F5294" s="133" t="s">
        <v>11</v>
      </c>
      <c r="G5294" s="134" t="n">
        <f aca="false">LEN('Saisie programme'!$F$202)+SUMIFS('Vols additionnels'!$E$7:$E$66,'Vols additionnels'!$C$7:$C$66,$E5294,'Vols additionnels'!$D$7:$D$66,$F5294,'Vols additionnels'!$B$7:$B$66,$D5294)</f>
        <v>0</v>
      </c>
      <c r="H5294" s="135" t="n">
        <f aca="false">$G5294*'Analyse capacite'!$F$7</f>
        <v>0</v>
      </c>
      <c r="I5294" s="135" t="n">
        <f aca="false">$G5294*'Analyse capacite'!$C$7</f>
        <v>0</v>
      </c>
      <c r="J5294" s="135" t="n">
        <f aca="false">$G5294*'Analyse capacite'!$D$7</f>
        <v>0</v>
      </c>
      <c r="K5294" s="135" t="n">
        <f aca="false">$G5294*'Analyse capacite'!$E$7</f>
        <v>0</v>
      </c>
    </row>
    <row r="5295" customFormat="false" ht="15" hidden="false" customHeight="false" outlineLevel="0" collapsed="false">
      <c r="B5295" s="130" t="n">
        <v>2027</v>
      </c>
      <c r="C5295" s="131" t="s">
        <v>250</v>
      </c>
      <c r="D5295" s="132" t="n">
        <v>46624</v>
      </c>
      <c r="E5295" s="131" t="s">
        <v>62</v>
      </c>
      <c r="F5295" s="133" t="s">
        <v>19</v>
      </c>
      <c r="G5295" s="134" t="n">
        <f aca="false">LEN('Saisie programme'!$F$203)+SUMIFS('Vols additionnels'!$E$7:$E$66,'Vols additionnels'!$C$7:$C$66,$E5295,'Vols additionnels'!$D$7:$D$66,$F5295,'Vols additionnels'!$B$7:$B$66,$D5295)</f>
        <v>0</v>
      </c>
      <c r="H5295" s="135" t="n">
        <f aca="false">$G5295*'Analyse capacite'!$F$8</f>
        <v>0</v>
      </c>
      <c r="I5295" s="135" t="n">
        <f aca="false">$G5295*'Analyse capacite'!$C$8</f>
        <v>0</v>
      </c>
      <c r="J5295" s="135" t="n">
        <f aca="false">$G5295*'Analyse capacite'!$D$8</f>
        <v>0</v>
      </c>
      <c r="K5295" s="135" t="n">
        <f aca="false">$G5295*'Analyse capacite'!$E$8</f>
        <v>0</v>
      </c>
    </row>
    <row r="5296" customFormat="false" ht="15" hidden="false" customHeight="false" outlineLevel="0" collapsed="false">
      <c r="B5296" s="130" t="n">
        <v>2027</v>
      </c>
      <c r="C5296" s="131" t="s">
        <v>250</v>
      </c>
      <c r="D5296" s="132" t="n">
        <v>46624</v>
      </c>
      <c r="E5296" s="131" t="s">
        <v>62</v>
      </c>
      <c r="F5296" s="133" t="s">
        <v>24</v>
      </c>
      <c r="G5296" s="134" t="n">
        <f aca="false">LEN('Saisie programme'!$F$204)+SUMIFS('Vols additionnels'!$E$7:$E$66,'Vols additionnels'!$C$7:$C$66,$E5296,'Vols additionnels'!$D$7:$D$66,$F5296,'Vols additionnels'!$B$7:$B$66,$D5296)</f>
        <v>1</v>
      </c>
      <c r="H5296" s="135" t="n">
        <f aca="false">$G5296*'Analyse capacite'!$F$9</f>
        <v>174</v>
      </c>
      <c r="I5296" s="135" t="n">
        <f aca="false">$G5296*'Analyse capacite'!$C$9</f>
        <v>0</v>
      </c>
      <c r="J5296" s="135" t="n">
        <f aca="false">$G5296*'Analyse capacite'!$D$9</f>
        <v>12</v>
      </c>
      <c r="K5296" s="135" t="n">
        <f aca="false">$G5296*'Analyse capacite'!$E$9</f>
        <v>162</v>
      </c>
    </row>
    <row r="5297" customFormat="false" ht="15" hidden="false" customHeight="false" outlineLevel="0" collapsed="false">
      <c r="B5297" s="130" t="n">
        <v>2027</v>
      </c>
      <c r="C5297" s="131" t="s">
        <v>250</v>
      </c>
      <c r="D5297" s="132" t="n">
        <v>46625</v>
      </c>
      <c r="E5297" s="131" t="s">
        <v>12</v>
      </c>
      <c r="F5297" s="133" t="s">
        <v>11</v>
      </c>
      <c r="G5297" s="134" t="n">
        <f aca="false">LEN('Saisie programme'!$G$169)+SUMIFS('Vols additionnels'!$E$7:$E$66,'Vols additionnels'!$C$7:$C$66,$E5297,'Vols additionnels'!$D$7:$D$66,$F5297,'Vols additionnels'!$B$7:$B$66,$D5297)</f>
        <v>1</v>
      </c>
      <c r="H5297" s="135" t="n">
        <f aca="false">$G5297*'Analyse capacite'!$F$7</f>
        <v>438</v>
      </c>
      <c r="I5297" s="135" t="n">
        <f aca="false">$G5297*'Analyse capacite'!$C$7</f>
        <v>14</v>
      </c>
      <c r="J5297" s="135" t="n">
        <f aca="false">$G5297*'Analyse capacite'!$D$7</f>
        <v>40</v>
      </c>
      <c r="K5297" s="135" t="n">
        <f aca="false">$G5297*'Analyse capacite'!$E$7</f>
        <v>384</v>
      </c>
    </row>
    <row r="5298" customFormat="false" ht="15" hidden="false" customHeight="false" outlineLevel="0" collapsed="false">
      <c r="B5298" s="130" t="n">
        <v>2027</v>
      </c>
      <c r="C5298" s="131" t="s">
        <v>250</v>
      </c>
      <c r="D5298" s="132" t="n">
        <v>46625</v>
      </c>
      <c r="E5298" s="131" t="s">
        <v>12</v>
      </c>
      <c r="F5298" s="133" t="s">
        <v>19</v>
      </c>
      <c r="G5298" s="134" t="n">
        <f aca="false">LEN('Saisie programme'!$G$170)+SUMIFS('Vols additionnels'!$E$7:$E$66,'Vols additionnels'!$C$7:$C$66,$E5298,'Vols additionnels'!$D$7:$D$66,$F5298,'Vols additionnels'!$B$7:$B$66,$D5298)</f>
        <v>1</v>
      </c>
      <c r="H5298" s="135" t="n">
        <f aca="false">$G5298*'Analyse capacite'!$F$8</f>
        <v>262</v>
      </c>
      <c r="I5298" s="135" t="n">
        <f aca="false">$G5298*'Analyse capacite'!$C$8</f>
        <v>18</v>
      </c>
      <c r="J5298" s="135" t="n">
        <f aca="false">$G5298*'Analyse capacite'!$D$8</f>
        <v>0</v>
      </c>
      <c r="K5298" s="135" t="n">
        <f aca="false">$G5298*'Analyse capacite'!$E$8</f>
        <v>244</v>
      </c>
    </row>
    <row r="5299" customFormat="false" ht="15" hidden="false" customHeight="false" outlineLevel="0" collapsed="false">
      <c r="B5299" s="130" t="n">
        <v>2027</v>
      </c>
      <c r="C5299" s="131" t="s">
        <v>250</v>
      </c>
      <c r="D5299" s="132" t="n">
        <v>46625</v>
      </c>
      <c r="E5299" s="131" t="s">
        <v>12</v>
      </c>
      <c r="F5299" s="133" t="s">
        <v>24</v>
      </c>
      <c r="G5299" s="134" t="n">
        <f aca="false">LEN('Saisie programme'!$G$171)+SUMIFS('Vols additionnels'!$E$7:$E$66,'Vols additionnels'!$C$7:$C$66,$E5299,'Vols additionnels'!$D$7:$D$66,$F5299,'Vols additionnels'!$B$7:$B$66,$D5299)</f>
        <v>0</v>
      </c>
      <c r="H5299" s="135" t="n">
        <f aca="false">$G5299*'Analyse capacite'!$F$9</f>
        <v>0</v>
      </c>
      <c r="I5299" s="135" t="n">
        <f aca="false">$G5299*'Analyse capacite'!$C$9</f>
        <v>0</v>
      </c>
      <c r="J5299" s="135" t="n">
        <f aca="false">$G5299*'Analyse capacite'!$D$9</f>
        <v>0</v>
      </c>
      <c r="K5299" s="135" t="n">
        <f aca="false">$G5299*'Analyse capacite'!$E$9</f>
        <v>0</v>
      </c>
    </row>
    <row r="5300" customFormat="false" ht="15" hidden="false" customHeight="false" outlineLevel="0" collapsed="false">
      <c r="B5300" s="130" t="n">
        <v>2027</v>
      </c>
      <c r="C5300" s="131" t="s">
        <v>250</v>
      </c>
      <c r="D5300" s="132" t="n">
        <v>46625</v>
      </c>
      <c r="E5300" s="131" t="s">
        <v>20</v>
      </c>
      <c r="F5300" s="133" t="s">
        <v>11</v>
      </c>
      <c r="G5300" s="134" t="n">
        <f aca="false">LEN('Saisie programme'!$G$172)+SUMIFS('Vols additionnels'!$E$7:$E$66,'Vols additionnels'!$C$7:$C$66,$E5300,'Vols additionnels'!$D$7:$D$66,$F5300,'Vols additionnels'!$B$7:$B$66,$D5300)</f>
        <v>0</v>
      </c>
      <c r="H5300" s="135" t="n">
        <f aca="false">$G5300*'Analyse capacite'!$F$7</f>
        <v>0</v>
      </c>
      <c r="I5300" s="135" t="n">
        <f aca="false">$G5300*'Analyse capacite'!$C$7</f>
        <v>0</v>
      </c>
      <c r="J5300" s="135" t="n">
        <f aca="false">$G5300*'Analyse capacite'!$D$7</f>
        <v>0</v>
      </c>
      <c r="K5300" s="135" t="n">
        <f aca="false">$G5300*'Analyse capacite'!$E$7</f>
        <v>0</v>
      </c>
    </row>
    <row r="5301" customFormat="false" ht="15" hidden="false" customHeight="false" outlineLevel="0" collapsed="false">
      <c r="B5301" s="130" t="n">
        <v>2027</v>
      </c>
      <c r="C5301" s="131" t="s">
        <v>250</v>
      </c>
      <c r="D5301" s="132" t="n">
        <v>46625</v>
      </c>
      <c r="E5301" s="131" t="s">
        <v>20</v>
      </c>
      <c r="F5301" s="133" t="s">
        <v>19</v>
      </c>
      <c r="G5301" s="134" t="n">
        <f aca="false">LEN('Saisie programme'!$G$173)+SUMIFS('Vols additionnels'!$E$7:$E$66,'Vols additionnels'!$C$7:$C$66,$E5301,'Vols additionnels'!$D$7:$D$66,$F5301,'Vols additionnels'!$B$7:$B$66,$D5301)</f>
        <v>0</v>
      </c>
      <c r="H5301" s="135" t="n">
        <f aca="false">$G5301*'Analyse capacite'!$F$8</f>
        <v>0</v>
      </c>
      <c r="I5301" s="135" t="n">
        <f aca="false">$G5301*'Analyse capacite'!$C$8</f>
        <v>0</v>
      </c>
      <c r="J5301" s="135" t="n">
        <f aca="false">$G5301*'Analyse capacite'!$D$8</f>
        <v>0</v>
      </c>
      <c r="K5301" s="135" t="n">
        <f aca="false">$G5301*'Analyse capacite'!$E$8</f>
        <v>0</v>
      </c>
    </row>
    <row r="5302" customFormat="false" ht="15" hidden="false" customHeight="false" outlineLevel="0" collapsed="false">
      <c r="B5302" s="130" t="n">
        <v>2027</v>
      </c>
      <c r="C5302" s="131" t="s">
        <v>250</v>
      </c>
      <c r="D5302" s="132" t="n">
        <v>46625</v>
      </c>
      <c r="E5302" s="131" t="s">
        <v>20</v>
      </c>
      <c r="F5302" s="133" t="s">
        <v>24</v>
      </c>
      <c r="G5302" s="134" t="n">
        <f aca="false">LEN('Saisie programme'!$G$174)+SUMIFS('Vols additionnels'!$E$7:$E$66,'Vols additionnels'!$C$7:$C$66,$E5302,'Vols additionnels'!$D$7:$D$66,$F5302,'Vols additionnels'!$B$7:$B$66,$D5302)</f>
        <v>0</v>
      </c>
      <c r="H5302" s="135" t="n">
        <f aca="false">$G5302*'Analyse capacite'!$F$9</f>
        <v>0</v>
      </c>
      <c r="I5302" s="135" t="n">
        <f aca="false">$G5302*'Analyse capacite'!$C$9</f>
        <v>0</v>
      </c>
      <c r="J5302" s="135" t="n">
        <f aca="false">$G5302*'Analyse capacite'!$D$9</f>
        <v>0</v>
      </c>
      <c r="K5302" s="135" t="n">
        <f aca="false">$G5302*'Analyse capacite'!$E$9</f>
        <v>0</v>
      </c>
    </row>
    <row r="5303" customFormat="false" ht="15" hidden="false" customHeight="false" outlineLevel="0" collapsed="false">
      <c r="B5303" s="130" t="n">
        <v>2027</v>
      </c>
      <c r="C5303" s="131" t="s">
        <v>250</v>
      </c>
      <c r="D5303" s="132" t="n">
        <v>46625</v>
      </c>
      <c r="E5303" s="131" t="s">
        <v>25</v>
      </c>
      <c r="F5303" s="133" t="s">
        <v>11</v>
      </c>
      <c r="G5303" s="134" t="n">
        <f aca="false">LEN('Saisie programme'!$G$175)+SUMIFS('Vols additionnels'!$E$7:$E$66,'Vols additionnels'!$C$7:$C$66,$E5303,'Vols additionnels'!$D$7:$D$66,$F5303,'Vols additionnels'!$B$7:$B$66,$D5303)</f>
        <v>0</v>
      </c>
      <c r="H5303" s="135" t="n">
        <f aca="false">$G5303*'Analyse capacite'!$F$7</f>
        <v>0</v>
      </c>
      <c r="I5303" s="135" t="n">
        <f aca="false">$G5303*'Analyse capacite'!$C$7</f>
        <v>0</v>
      </c>
      <c r="J5303" s="135" t="n">
        <f aca="false">$G5303*'Analyse capacite'!$D$7</f>
        <v>0</v>
      </c>
      <c r="K5303" s="135" t="n">
        <f aca="false">$G5303*'Analyse capacite'!$E$7</f>
        <v>0</v>
      </c>
    </row>
    <row r="5304" customFormat="false" ht="15" hidden="false" customHeight="false" outlineLevel="0" collapsed="false">
      <c r="B5304" s="130" t="n">
        <v>2027</v>
      </c>
      <c r="C5304" s="131" t="s">
        <v>250</v>
      </c>
      <c r="D5304" s="132" t="n">
        <v>46625</v>
      </c>
      <c r="E5304" s="131" t="s">
        <v>25</v>
      </c>
      <c r="F5304" s="133" t="s">
        <v>19</v>
      </c>
      <c r="G5304" s="134" t="n">
        <f aca="false">LEN('Saisie programme'!$G$176)+SUMIFS('Vols additionnels'!$E$7:$E$66,'Vols additionnels'!$C$7:$C$66,$E5304,'Vols additionnels'!$D$7:$D$66,$F5304,'Vols additionnels'!$B$7:$B$66,$D5304)</f>
        <v>0</v>
      </c>
      <c r="H5304" s="135" t="n">
        <f aca="false">$G5304*'Analyse capacite'!$F$8</f>
        <v>0</v>
      </c>
      <c r="I5304" s="135" t="n">
        <f aca="false">$G5304*'Analyse capacite'!$C$8</f>
        <v>0</v>
      </c>
      <c r="J5304" s="135" t="n">
        <f aca="false">$G5304*'Analyse capacite'!$D$8</f>
        <v>0</v>
      </c>
      <c r="K5304" s="135" t="n">
        <f aca="false">$G5304*'Analyse capacite'!$E$8</f>
        <v>0</v>
      </c>
    </row>
    <row r="5305" customFormat="false" ht="15" hidden="false" customHeight="false" outlineLevel="0" collapsed="false">
      <c r="B5305" s="130" t="n">
        <v>2027</v>
      </c>
      <c r="C5305" s="131" t="s">
        <v>250</v>
      </c>
      <c r="D5305" s="132" t="n">
        <v>46625</v>
      </c>
      <c r="E5305" s="131" t="s">
        <v>25</v>
      </c>
      <c r="F5305" s="133" t="s">
        <v>24</v>
      </c>
      <c r="G5305" s="134" t="n">
        <f aca="false">LEN('Saisie programme'!$G$177)+SUMIFS('Vols additionnels'!$E$7:$E$66,'Vols additionnels'!$C$7:$C$66,$E5305,'Vols additionnels'!$D$7:$D$66,$F5305,'Vols additionnels'!$B$7:$B$66,$D5305)</f>
        <v>0</v>
      </c>
      <c r="H5305" s="135" t="n">
        <f aca="false">$G5305*'Analyse capacite'!$F$9</f>
        <v>0</v>
      </c>
      <c r="I5305" s="135" t="n">
        <f aca="false">$G5305*'Analyse capacite'!$C$9</f>
        <v>0</v>
      </c>
      <c r="J5305" s="135" t="n">
        <f aca="false">$G5305*'Analyse capacite'!$D$9</f>
        <v>0</v>
      </c>
      <c r="K5305" s="135" t="n">
        <f aca="false">$G5305*'Analyse capacite'!$E$9</f>
        <v>0</v>
      </c>
    </row>
    <row r="5306" customFormat="false" ht="15" hidden="false" customHeight="false" outlineLevel="0" collapsed="false">
      <c r="B5306" s="130" t="n">
        <v>2027</v>
      </c>
      <c r="C5306" s="131" t="s">
        <v>250</v>
      </c>
      <c r="D5306" s="132" t="n">
        <v>46625</v>
      </c>
      <c r="E5306" s="131" t="s">
        <v>36</v>
      </c>
      <c r="F5306" s="133" t="s">
        <v>11</v>
      </c>
      <c r="G5306" s="134" t="n">
        <f aca="false">LEN('Saisie programme'!$G$178)+SUMIFS('Vols additionnels'!$E$7:$E$66,'Vols additionnels'!$C$7:$C$66,$E5306,'Vols additionnels'!$D$7:$D$66,$F5306,'Vols additionnels'!$B$7:$B$66,$D5306)</f>
        <v>0</v>
      </c>
      <c r="H5306" s="135" t="n">
        <f aca="false">$G5306*'Analyse capacite'!$F$7</f>
        <v>0</v>
      </c>
      <c r="I5306" s="135" t="n">
        <f aca="false">$G5306*'Analyse capacite'!$C$7</f>
        <v>0</v>
      </c>
      <c r="J5306" s="135" t="n">
        <f aca="false">$G5306*'Analyse capacite'!$D$7</f>
        <v>0</v>
      </c>
      <c r="K5306" s="135" t="n">
        <f aca="false">$G5306*'Analyse capacite'!$E$7</f>
        <v>0</v>
      </c>
    </row>
    <row r="5307" customFormat="false" ht="15" hidden="false" customHeight="false" outlineLevel="0" collapsed="false">
      <c r="B5307" s="130" t="n">
        <v>2027</v>
      </c>
      <c r="C5307" s="131" t="s">
        <v>250</v>
      </c>
      <c r="D5307" s="132" t="n">
        <v>46625</v>
      </c>
      <c r="E5307" s="131" t="s">
        <v>36</v>
      </c>
      <c r="F5307" s="133" t="s">
        <v>19</v>
      </c>
      <c r="G5307" s="134" t="n">
        <f aca="false">LEN('Saisie programme'!$G$179)+SUMIFS('Vols additionnels'!$E$7:$E$66,'Vols additionnels'!$C$7:$C$66,$E5307,'Vols additionnels'!$D$7:$D$66,$F5307,'Vols additionnels'!$B$7:$B$66,$D5307)</f>
        <v>0</v>
      </c>
      <c r="H5307" s="135" t="n">
        <f aca="false">$G5307*'Analyse capacite'!$F$8</f>
        <v>0</v>
      </c>
      <c r="I5307" s="135" t="n">
        <f aca="false">$G5307*'Analyse capacite'!$C$8</f>
        <v>0</v>
      </c>
      <c r="J5307" s="135" t="n">
        <f aca="false">$G5307*'Analyse capacite'!$D$8</f>
        <v>0</v>
      </c>
      <c r="K5307" s="135" t="n">
        <f aca="false">$G5307*'Analyse capacite'!$E$8</f>
        <v>0</v>
      </c>
    </row>
    <row r="5308" customFormat="false" ht="15" hidden="false" customHeight="false" outlineLevel="0" collapsed="false">
      <c r="B5308" s="130" t="n">
        <v>2027</v>
      </c>
      <c r="C5308" s="131" t="s">
        <v>250</v>
      </c>
      <c r="D5308" s="132" t="n">
        <v>46625</v>
      </c>
      <c r="E5308" s="131" t="s">
        <v>36</v>
      </c>
      <c r="F5308" s="133" t="s">
        <v>24</v>
      </c>
      <c r="G5308" s="134" t="n">
        <f aca="false">LEN('Saisie programme'!$G$180)+SUMIFS('Vols additionnels'!$E$7:$E$66,'Vols additionnels'!$C$7:$C$66,$E5308,'Vols additionnels'!$D$7:$D$66,$F5308,'Vols additionnels'!$B$7:$B$66,$D5308)</f>
        <v>1</v>
      </c>
      <c r="H5308" s="135" t="n">
        <f aca="false">$G5308*'Analyse capacite'!$F$9</f>
        <v>174</v>
      </c>
      <c r="I5308" s="135" t="n">
        <f aca="false">$G5308*'Analyse capacite'!$C$9</f>
        <v>0</v>
      </c>
      <c r="J5308" s="135" t="n">
        <f aca="false">$G5308*'Analyse capacite'!$D$9</f>
        <v>12</v>
      </c>
      <c r="K5308" s="135" t="n">
        <f aca="false">$G5308*'Analyse capacite'!$E$9</f>
        <v>162</v>
      </c>
    </row>
    <row r="5309" customFormat="false" ht="15" hidden="false" customHeight="false" outlineLevel="0" collapsed="false">
      <c r="B5309" s="130" t="n">
        <v>2027</v>
      </c>
      <c r="C5309" s="131" t="s">
        <v>250</v>
      </c>
      <c r="D5309" s="132" t="n">
        <v>46625</v>
      </c>
      <c r="E5309" s="131" t="s">
        <v>40</v>
      </c>
      <c r="F5309" s="133" t="s">
        <v>11</v>
      </c>
      <c r="G5309" s="134" t="n">
        <f aca="false">LEN('Saisie programme'!$G$181)+SUMIFS('Vols additionnels'!$E$7:$E$66,'Vols additionnels'!$C$7:$C$66,$E5309,'Vols additionnels'!$D$7:$D$66,$F5309,'Vols additionnels'!$B$7:$B$66,$D5309)</f>
        <v>0</v>
      </c>
      <c r="H5309" s="135" t="n">
        <f aca="false">$G5309*'Analyse capacite'!$F$7</f>
        <v>0</v>
      </c>
      <c r="I5309" s="135" t="n">
        <f aca="false">$G5309*'Analyse capacite'!$C$7</f>
        <v>0</v>
      </c>
      <c r="J5309" s="135" t="n">
        <f aca="false">$G5309*'Analyse capacite'!$D$7</f>
        <v>0</v>
      </c>
      <c r="K5309" s="135" t="n">
        <f aca="false">$G5309*'Analyse capacite'!$E$7</f>
        <v>0</v>
      </c>
    </row>
    <row r="5310" customFormat="false" ht="15" hidden="false" customHeight="false" outlineLevel="0" collapsed="false">
      <c r="B5310" s="130" t="n">
        <v>2027</v>
      </c>
      <c r="C5310" s="131" t="s">
        <v>250</v>
      </c>
      <c r="D5310" s="132" t="n">
        <v>46625</v>
      </c>
      <c r="E5310" s="131" t="s">
        <v>40</v>
      </c>
      <c r="F5310" s="133" t="s">
        <v>19</v>
      </c>
      <c r="G5310" s="134" t="n">
        <f aca="false">LEN('Saisie programme'!$G$182)+SUMIFS('Vols additionnels'!$E$7:$E$66,'Vols additionnels'!$C$7:$C$66,$E5310,'Vols additionnels'!$D$7:$D$66,$F5310,'Vols additionnels'!$B$7:$B$66,$D5310)</f>
        <v>0</v>
      </c>
      <c r="H5310" s="135" t="n">
        <f aca="false">$G5310*'Analyse capacite'!$F$8</f>
        <v>0</v>
      </c>
      <c r="I5310" s="135" t="n">
        <f aca="false">$G5310*'Analyse capacite'!$C$8</f>
        <v>0</v>
      </c>
      <c r="J5310" s="135" t="n">
        <f aca="false">$G5310*'Analyse capacite'!$D$8</f>
        <v>0</v>
      </c>
      <c r="K5310" s="135" t="n">
        <f aca="false">$G5310*'Analyse capacite'!$E$8</f>
        <v>0</v>
      </c>
    </row>
    <row r="5311" customFormat="false" ht="15" hidden="false" customHeight="false" outlineLevel="0" collapsed="false">
      <c r="B5311" s="130" t="n">
        <v>2027</v>
      </c>
      <c r="C5311" s="131" t="s">
        <v>250</v>
      </c>
      <c r="D5311" s="132" t="n">
        <v>46625</v>
      </c>
      <c r="E5311" s="131" t="s">
        <v>40</v>
      </c>
      <c r="F5311" s="133" t="s">
        <v>24</v>
      </c>
      <c r="G5311" s="134" t="n">
        <f aca="false">LEN('Saisie programme'!$G$183)+SUMIFS('Vols additionnels'!$E$7:$E$66,'Vols additionnels'!$C$7:$C$66,$E5311,'Vols additionnels'!$D$7:$D$66,$F5311,'Vols additionnels'!$B$7:$B$66,$D5311)</f>
        <v>0</v>
      </c>
      <c r="H5311" s="135" t="n">
        <f aca="false">$G5311*'Analyse capacite'!$F$9</f>
        <v>0</v>
      </c>
      <c r="I5311" s="135" t="n">
        <f aca="false">$G5311*'Analyse capacite'!$C$9</f>
        <v>0</v>
      </c>
      <c r="J5311" s="135" t="n">
        <f aca="false">$G5311*'Analyse capacite'!$D$9</f>
        <v>0</v>
      </c>
      <c r="K5311" s="135" t="n">
        <f aca="false">$G5311*'Analyse capacite'!$E$9</f>
        <v>0</v>
      </c>
    </row>
    <row r="5312" customFormat="false" ht="15" hidden="false" customHeight="false" outlineLevel="0" collapsed="false">
      <c r="B5312" s="130" t="n">
        <v>2027</v>
      </c>
      <c r="C5312" s="131" t="s">
        <v>250</v>
      </c>
      <c r="D5312" s="132" t="n">
        <v>46625</v>
      </c>
      <c r="E5312" s="131" t="s">
        <v>14</v>
      </c>
      <c r="F5312" s="133" t="s">
        <v>11</v>
      </c>
      <c r="G5312" s="134" t="n">
        <f aca="false">LEN('Saisie programme'!$G$184)+SUMIFS('Vols additionnels'!$E$7:$E$66,'Vols additionnels'!$C$7:$C$66,$E5312,'Vols additionnels'!$D$7:$D$66,$F5312,'Vols additionnels'!$B$7:$B$66,$D5312)</f>
        <v>0</v>
      </c>
      <c r="H5312" s="135" t="n">
        <f aca="false">$G5312*'Analyse capacite'!$F$7</f>
        <v>0</v>
      </c>
      <c r="I5312" s="135" t="n">
        <f aca="false">$G5312*'Analyse capacite'!$C$7</f>
        <v>0</v>
      </c>
      <c r="J5312" s="135" t="n">
        <f aca="false">$G5312*'Analyse capacite'!$D$7</f>
        <v>0</v>
      </c>
      <c r="K5312" s="135" t="n">
        <f aca="false">$G5312*'Analyse capacite'!$E$7</f>
        <v>0</v>
      </c>
    </row>
    <row r="5313" customFormat="false" ht="15" hidden="false" customHeight="false" outlineLevel="0" collapsed="false">
      <c r="B5313" s="130" t="n">
        <v>2027</v>
      </c>
      <c r="C5313" s="131" t="s">
        <v>250</v>
      </c>
      <c r="D5313" s="132" t="n">
        <v>46625</v>
      </c>
      <c r="E5313" s="131" t="s">
        <v>14</v>
      </c>
      <c r="F5313" s="133" t="s">
        <v>19</v>
      </c>
      <c r="G5313" s="134" t="n">
        <f aca="false">LEN('Saisie programme'!$G$185)+SUMIFS('Vols additionnels'!$E$7:$E$66,'Vols additionnels'!$C$7:$C$66,$E5313,'Vols additionnels'!$D$7:$D$66,$F5313,'Vols additionnels'!$B$7:$B$66,$D5313)</f>
        <v>0</v>
      </c>
      <c r="H5313" s="135" t="n">
        <f aca="false">$G5313*'Analyse capacite'!$F$8</f>
        <v>0</v>
      </c>
      <c r="I5313" s="135" t="n">
        <f aca="false">$G5313*'Analyse capacite'!$C$8</f>
        <v>0</v>
      </c>
      <c r="J5313" s="135" t="n">
        <f aca="false">$G5313*'Analyse capacite'!$D$8</f>
        <v>0</v>
      </c>
      <c r="K5313" s="135" t="n">
        <f aca="false">$G5313*'Analyse capacite'!$E$8</f>
        <v>0</v>
      </c>
    </row>
    <row r="5314" customFormat="false" ht="15" hidden="false" customHeight="false" outlineLevel="0" collapsed="false">
      <c r="B5314" s="130" t="n">
        <v>2027</v>
      </c>
      <c r="C5314" s="131" t="s">
        <v>250</v>
      </c>
      <c r="D5314" s="132" t="n">
        <v>46625</v>
      </c>
      <c r="E5314" s="131" t="s">
        <v>14</v>
      </c>
      <c r="F5314" s="133" t="s">
        <v>24</v>
      </c>
      <c r="G5314" s="134" t="n">
        <f aca="false">LEN('Saisie programme'!$G$186)+SUMIFS('Vols additionnels'!$E$7:$E$66,'Vols additionnels'!$C$7:$C$66,$E5314,'Vols additionnels'!$D$7:$D$66,$F5314,'Vols additionnels'!$B$7:$B$66,$D5314)</f>
        <v>1</v>
      </c>
      <c r="H5314" s="135" t="n">
        <f aca="false">$G5314*'Analyse capacite'!$F$9</f>
        <v>174</v>
      </c>
      <c r="I5314" s="135" t="n">
        <f aca="false">$G5314*'Analyse capacite'!$C$9</f>
        <v>0</v>
      </c>
      <c r="J5314" s="135" t="n">
        <f aca="false">$G5314*'Analyse capacite'!$D$9</f>
        <v>12</v>
      </c>
      <c r="K5314" s="135" t="n">
        <f aca="false">$G5314*'Analyse capacite'!$E$9</f>
        <v>162</v>
      </c>
    </row>
    <row r="5315" customFormat="false" ht="15" hidden="false" customHeight="false" outlineLevel="0" collapsed="false">
      <c r="B5315" s="130" t="n">
        <v>2027</v>
      </c>
      <c r="C5315" s="131" t="s">
        <v>250</v>
      </c>
      <c r="D5315" s="132" t="n">
        <v>46625</v>
      </c>
      <c r="E5315" s="131" t="s">
        <v>46</v>
      </c>
      <c r="F5315" s="133" t="s">
        <v>11</v>
      </c>
      <c r="G5315" s="134" t="n">
        <f aca="false">LEN('Saisie programme'!$G$187)+SUMIFS('Vols additionnels'!$E$7:$E$66,'Vols additionnels'!$C$7:$C$66,$E5315,'Vols additionnels'!$D$7:$D$66,$F5315,'Vols additionnels'!$B$7:$B$66,$D5315)</f>
        <v>0</v>
      </c>
      <c r="H5315" s="135" t="n">
        <f aca="false">$G5315*'Analyse capacite'!$F$7</f>
        <v>0</v>
      </c>
      <c r="I5315" s="135" t="n">
        <f aca="false">$G5315*'Analyse capacite'!$C$7</f>
        <v>0</v>
      </c>
      <c r="J5315" s="135" t="n">
        <f aca="false">$G5315*'Analyse capacite'!$D$7</f>
        <v>0</v>
      </c>
      <c r="K5315" s="135" t="n">
        <f aca="false">$G5315*'Analyse capacite'!$E$7</f>
        <v>0</v>
      </c>
    </row>
    <row r="5316" customFormat="false" ht="15" hidden="false" customHeight="false" outlineLevel="0" collapsed="false">
      <c r="B5316" s="130" t="n">
        <v>2027</v>
      </c>
      <c r="C5316" s="131" t="s">
        <v>250</v>
      </c>
      <c r="D5316" s="132" t="n">
        <v>46625</v>
      </c>
      <c r="E5316" s="131" t="s">
        <v>46</v>
      </c>
      <c r="F5316" s="133" t="s">
        <v>19</v>
      </c>
      <c r="G5316" s="134" t="n">
        <f aca="false">LEN('Saisie programme'!$G$188)+SUMIFS('Vols additionnels'!$E$7:$E$66,'Vols additionnels'!$C$7:$C$66,$E5316,'Vols additionnels'!$D$7:$D$66,$F5316,'Vols additionnels'!$B$7:$B$66,$D5316)</f>
        <v>0</v>
      </c>
      <c r="H5316" s="135" t="n">
        <f aca="false">$G5316*'Analyse capacite'!$F$8</f>
        <v>0</v>
      </c>
      <c r="I5316" s="135" t="n">
        <f aca="false">$G5316*'Analyse capacite'!$C$8</f>
        <v>0</v>
      </c>
      <c r="J5316" s="135" t="n">
        <f aca="false">$G5316*'Analyse capacite'!$D$8</f>
        <v>0</v>
      </c>
      <c r="K5316" s="135" t="n">
        <f aca="false">$G5316*'Analyse capacite'!$E$8</f>
        <v>0</v>
      </c>
    </row>
    <row r="5317" customFormat="false" ht="15" hidden="false" customHeight="false" outlineLevel="0" collapsed="false">
      <c r="B5317" s="130" t="n">
        <v>2027</v>
      </c>
      <c r="C5317" s="131" t="s">
        <v>250</v>
      </c>
      <c r="D5317" s="132" t="n">
        <v>46625</v>
      </c>
      <c r="E5317" s="131" t="s">
        <v>46</v>
      </c>
      <c r="F5317" s="133" t="s">
        <v>24</v>
      </c>
      <c r="G5317" s="134" t="n">
        <f aca="false">LEN('Saisie programme'!$G$189)+SUMIFS('Vols additionnels'!$E$7:$E$66,'Vols additionnels'!$C$7:$C$66,$E5317,'Vols additionnels'!$D$7:$D$66,$F5317,'Vols additionnels'!$B$7:$B$66,$D5317)</f>
        <v>1</v>
      </c>
      <c r="H5317" s="135" t="n">
        <f aca="false">$G5317*'Analyse capacite'!$F$9</f>
        <v>174</v>
      </c>
      <c r="I5317" s="135" t="n">
        <f aca="false">$G5317*'Analyse capacite'!$C$9</f>
        <v>0</v>
      </c>
      <c r="J5317" s="135" t="n">
        <f aca="false">$G5317*'Analyse capacite'!$D$9</f>
        <v>12</v>
      </c>
      <c r="K5317" s="135" t="n">
        <f aca="false">$G5317*'Analyse capacite'!$E$9</f>
        <v>162</v>
      </c>
    </row>
    <row r="5318" customFormat="false" ht="15" hidden="false" customHeight="false" outlineLevel="0" collapsed="false">
      <c r="B5318" s="130" t="n">
        <v>2027</v>
      </c>
      <c r="C5318" s="131" t="s">
        <v>250</v>
      </c>
      <c r="D5318" s="132" t="n">
        <v>46625</v>
      </c>
      <c r="E5318" s="131" t="s">
        <v>49</v>
      </c>
      <c r="F5318" s="133" t="s">
        <v>11</v>
      </c>
      <c r="G5318" s="134" t="n">
        <f aca="false">LEN('Saisie programme'!$G$190)+SUMIFS('Vols additionnels'!$E$7:$E$66,'Vols additionnels'!$C$7:$C$66,$E5318,'Vols additionnels'!$D$7:$D$66,$F5318,'Vols additionnels'!$B$7:$B$66,$D5318)</f>
        <v>0</v>
      </c>
      <c r="H5318" s="135" t="n">
        <f aca="false">$G5318*'Analyse capacite'!$F$7</f>
        <v>0</v>
      </c>
      <c r="I5318" s="135" t="n">
        <f aca="false">$G5318*'Analyse capacite'!$C$7</f>
        <v>0</v>
      </c>
      <c r="J5318" s="135" t="n">
        <f aca="false">$G5318*'Analyse capacite'!$D$7</f>
        <v>0</v>
      </c>
      <c r="K5318" s="135" t="n">
        <f aca="false">$G5318*'Analyse capacite'!$E$7</f>
        <v>0</v>
      </c>
    </row>
    <row r="5319" customFormat="false" ht="15" hidden="false" customHeight="false" outlineLevel="0" collapsed="false">
      <c r="B5319" s="130" t="n">
        <v>2027</v>
      </c>
      <c r="C5319" s="131" t="s">
        <v>250</v>
      </c>
      <c r="D5319" s="132" t="n">
        <v>46625</v>
      </c>
      <c r="E5319" s="131" t="s">
        <v>49</v>
      </c>
      <c r="F5319" s="133" t="s">
        <v>19</v>
      </c>
      <c r="G5319" s="134" t="n">
        <f aca="false">LEN('Saisie programme'!$G$191)+SUMIFS('Vols additionnels'!$E$7:$E$66,'Vols additionnels'!$C$7:$C$66,$E5319,'Vols additionnels'!$D$7:$D$66,$F5319,'Vols additionnels'!$B$7:$B$66,$D5319)</f>
        <v>0</v>
      </c>
      <c r="H5319" s="135" t="n">
        <f aca="false">$G5319*'Analyse capacite'!$F$8</f>
        <v>0</v>
      </c>
      <c r="I5319" s="135" t="n">
        <f aca="false">$G5319*'Analyse capacite'!$C$8</f>
        <v>0</v>
      </c>
      <c r="J5319" s="135" t="n">
        <f aca="false">$G5319*'Analyse capacite'!$D$8</f>
        <v>0</v>
      </c>
      <c r="K5319" s="135" t="n">
        <f aca="false">$G5319*'Analyse capacite'!$E$8</f>
        <v>0</v>
      </c>
    </row>
    <row r="5320" customFormat="false" ht="15" hidden="false" customHeight="false" outlineLevel="0" collapsed="false">
      <c r="B5320" s="130" t="n">
        <v>2027</v>
      </c>
      <c r="C5320" s="131" t="s">
        <v>250</v>
      </c>
      <c r="D5320" s="132" t="n">
        <v>46625</v>
      </c>
      <c r="E5320" s="131" t="s">
        <v>49</v>
      </c>
      <c r="F5320" s="133" t="s">
        <v>24</v>
      </c>
      <c r="G5320" s="134" t="n">
        <f aca="false">LEN('Saisie programme'!$G$192)+SUMIFS('Vols additionnels'!$E$7:$E$66,'Vols additionnels'!$C$7:$C$66,$E5320,'Vols additionnels'!$D$7:$D$66,$F5320,'Vols additionnels'!$B$7:$B$66,$D5320)</f>
        <v>0</v>
      </c>
      <c r="H5320" s="135" t="n">
        <f aca="false">$G5320*'Analyse capacite'!$F$9</f>
        <v>0</v>
      </c>
      <c r="I5320" s="135" t="n">
        <f aca="false">$G5320*'Analyse capacite'!$C$9</f>
        <v>0</v>
      </c>
      <c r="J5320" s="135" t="n">
        <f aca="false">$G5320*'Analyse capacite'!$D$9</f>
        <v>0</v>
      </c>
      <c r="K5320" s="135" t="n">
        <f aca="false">$G5320*'Analyse capacite'!$E$9</f>
        <v>0</v>
      </c>
    </row>
    <row r="5321" customFormat="false" ht="15" hidden="false" customHeight="false" outlineLevel="0" collapsed="false">
      <c r="B5321" s="130" t="n">
        <v>2027</v>
      </c>
      <c r="C5321" s="131" t="s">
        <v>250</v>
      </c>
      <c r="D5321" s="132" t="n">
        <v>46625</v>
      </c>
      <c r="E5321" s="131" t="s">
        <v>53</v>
      </c>
      <c r="F5321" s="133" t="s">
        <v>11</v>
      </c>
      <c r="G5321" s="134" t="n">
        <f aca="false">LEN('Saisie programme'!$G$193)+SUMIFS('Vols additionnels'!$E$7:$E$66,'Vols additionnels'!$C$7:$C$66,$E5321,'Vols additionnels'!$D$7:$D$66,$F5321,'Vols additionnels'!$B$7:$B$66,$D5321)</f>
        <v>0</v>
      </c>
      <c r="H5321" s="135" t="n">
        <f aca="false">$G5321*'Analyse capacite'!$F$7</f>
        <v>0</v>
      </c>
      <c r="I5321" s="135" t="n">
        <f aca="false">$G5321*'Analyse capacite'!$C$7</f>
        <v>0</v>
      </c>
      <c r="J5321" s="135" t="n">
        <f aca="false">$G5321*'Analyse capacite'!$D$7</f>
        <v>0</v>
      </c>
      <c r="K5321" s="135" t="n">
        <f aca="false">$G5321*'Analyse capacite'!$E$7</f>
        <v>0</v>
      </c>
    </row>
    <row r="5322" customFormat="false" ht="15" hidden="false" customHeight="false" outlineLevel="0" collapsed="false">
      <c r="B5322" s="130" t="n">
        <v>2027</v>
      </c>
      <c r="C5322" s="131" t="s">
        <v>250</v>
      </c>
      <c r="D5322" s="132" t="n">
        <v>46625</v>
      </c>
      <c r="E5322" s="131" t="s">
        <v>53</v>
      </c>
      <c r="F5322" s="133" t="s">
        <v>19</v>
      </c>
      <c r="G5322" s="134" t="n">
        <f aca="false">LEN('Saisie programme'!$G$194)+SUMIFS('Vols additionnels'!$E$7:$E$66,'Vols additionnels'!$C$7:$C$66,$E5322,'Vols additionnels'!$D$7:$D$66,$F5322,'Vols additionnels'!$B$7:$B$66,$D5322)</f>
        <v>1</v>
      </c>
      <c r="H5322" s="135" t="n">
        <f aca="false">$G5322*'Analyse capacite'!$F$8</f>
        <v>262</v>
      </c>
      <c r="I5322" s="135" t="n">
        <f aca="false">$G5322*'Analyse capacite'!$C$8</f>
        <v>18</v>
      </c>
      <c r="J5322" s="135" t="n">
        <f aca="false">$G5322*'Analyse capacite'!$D$8</f>
        <v>0</v>
      </c>
      <c r="K5322" s="135" t="n">
        <f aca="false">$G5322*'Analyse capacite'!$E$8</f>
        <v>244</v>
      </c>
    </row>
    <row r="5323" customFormat="false" ht="15" hidden="false" customHeight="false" outlineLevel="0" collapsed="false">
      <c r="B5323" s="130" t="n">
        <v>2027</v>
      </c>
      <c r="C5323" s="131" t="s">
        <v>250</v>
      </c>
      <c r="D5323" s="132" t="n">
        <v>46625</v>
      </c>
      <c r="E5323" s="131" t="s">
        <v>53</v>
      </c>
      <c r="F5323" s="133" t="s">
        <v>24</v>
      </c>
      <c r="G5323" s="134" t="n">
        <f aca="false">LEN('Saisie programme'!$G$195)+SUMIFS('Vols additionnels'!$E$7:$E$66,'Vols additionnels'!$C$7:$C$66,$E5323,'Vols additionnels'!$D$7:$D$66,$F5323,'Vols additionnels'!$B$7:$B$66,$D5323)</f>
        <v>0</v>
      </c>
      <c r="H5323" s="135" t="n">
        <f aca="false">$G5323*'Analyse capacite'!$F$9</f>
        <v>0</v>
      </c>
      <c r="I5323" s="135" t="n">
        <f aca="false">$G5323*'Analyse capacite'!$C$9</f>
        <v>0</v>
      </c>
      <c r="J5323" s="135" t="n">
        <f aca="false">$G5323*'Analyse capacite'!$D$9</f>
        <v>0</v>
      </c>
      <c r="K5323" s="135" t="n">
        <f aca="false">$G5323*'Analyse capacite'!$E$9</f>
        <v>0</v>
      </c>
    </row>
    <row r="5324" customFormat="false" ht="15" hidden="false" customHeight="false" outlineLevel="0" collapsed="false">
      <c r="B5324" s="130" t="n">
        <v>2027</v>
      </c>
      <c r="C5324" s="131" t="s">
        <v>250</v>
      </c>
      <c r="D5324" s="132" t="n">
        <v>46625</v>
      </c>
      <c r="E5324" s="131" t="s">
        <v>56</v>
      </c>
      <c r="F5324" s="133" t="s">
        <v>11</v>
      </c>
      <c r="G5324" s="134" t="n">
        <f aca="false">LEN('Saisie programme'!$G$196)+SUMIFS('Vols additionnels'!$E$7:$E$66,'Vols additionnels'!$C$7:$C$66,$E5324,'Vols additionnels'!$D$7:$D$66,$F5324,'Vols additionnels'!$B$7:$B$66,$D5324)</f>
        <v>0</v>
      </c>
      <c r="H5324" s="135" t="n">
        <f aca="false">$G5324*'Analyse capacite'!$F$7</f>
        <v>0</v>
      </c>
      <c r="I5324" s="135" t="n">
        <f aca="false">$G5324*'Analyse capacite'!$C$7</f>
        <v>0</v>
      </c>
      <c r="J5324" s="135" t="n">
        <f aca="false">$G5324*'Analyse capacite'!$D$7</f>
        <v>0</v>
      </c>
      <c r="K5324" s="135" t="n">
        <f aca="false">$G5324*'Analyse capacite'!$E$7</f>
        <v>0</v>
      </c>
    </row>
    <row r="5325" customFormat="false" ht="15" hidden="false" customHeight="false" outlineLevel="0" collapsed="false">
      <c r="B5325" s="130" t="n">
        <v>2027</v>
      </c>
      <c r="C5325" s="131" t="s">
        <v>250</v>
      </c>
      <c r="D5325" s="132" t="n">
        <v>46625</v>
      </c>
      <c r="E5325" s="131" t="s">
        <v>56</v>
      </c>
      <c r="F5325" s="133" t="s">
        <v>19</v>
      </c>
      <c r="G5325" s="134" t="n">
        <f aca="false">LEN('Saisie programme'!$G$197)+SUMIFS('Vols additionnels'!$E$7:$E$66,'Vols additionnels'!$C$7:$C$66,$E5325,'Vols additionnels'!$D$7:$D$66,$F5325,'Vols additionnels'!$B$7:$B$66,$D5325)</f>
        <v>0</v>
      </c>
      <c r="H5325" s="135" t="n">
        <f aca="false">$G5325*'Analyse capacite'!$F$8</f>
        <v>0</v>
      </c>
      <c r="I5325" s="135" t="n">
        <f aca="false">$G5325*'Analyse capacite'!$C$8</f>
        <v>0</v>
      </c>
      <c r="J5325" s="135" t="n">
        <f aca="false">$G5325*'Analyse capacite'!$D$8</f>
        <v>0</v>
      </c>
      <c r="K5325" s="135" t="n">
        <f aca="false">$G5325*'Analyse capacite'!$E$8</f>
        <v>0</v>
      </c>
    </row>
    <row r="5326" customFormat="false" ht="15" hidden="false" customHeight="false" outlineLevel="0" collapsed="false">
      <c r="B5326" s="130" t="n">
        <v>2027</v>
      </c>
      <c r="C5326" s="131" t="s">
        <v>250</v>
      </c>
      <c r="D5326" s="132" t="n">
        <v>46625</v>
      </c>
      <c r="E5326" s="131" t="s">
        <v>56</v>
      </c>
      <c r="F5326" s="133" t="s">
        <v>24</v>
      </c>
      <c r="G5326" s="134" t="n">
        <f aca="false">LEN('Saisie programme'!$G$198)+SUMIFS('Vols additionnels'!$E$7:$E$66,'Vols additionnels'!$C$7:$C$66,$E5326,'Vols additionnels'!$D$7:$D$66,$F5326,'Vols additionnels'!$B$7:$B$66,$D5326)</f>
        <v>0</v>
      </c>
      <c r="H5326" s="135" t="n">
        <f aca="false">$G5326*'Analyse capacite'!$F$9</f>
        <v>0</v>
      </c>
      <c r="I5326" s="135" t="n">
        <f aca="false">$G5326*'Analyse capacite'!$C$9</f>
        <v>0</v>
      </c>
      <c r="J5326" s="135" t="n">
        <f aca="false">$G5326*'Analyse capacite'!$D$9</f>
        <v>0</v>
      </c>
      <c r="K5326" s="135" t="n">
        <f aca="false">$G5326*'Analyse capacite'!$E$9</f>
        <v>0</v>
      </c>
    </row>
    <row r="5327" customFormat="false" ht="15" hidden="false" customHeight="false" outlineLevel="0" collapsed="false">
      <c r="B5327" s="130" t="n">
        <v>2027</v>
      </c>
      <c r="C5327" s="131" t="s">
        <v>250</v>
      </c>
      <c r="D5327" s="132" t="n">
        <v>46625</v>
      </c>
      <c r="E5327" s="131" t="s">
        <v>59</v>
      </c>
      <c r="F5327" s="133" t="s">
        <v>11</v>
      </c>
      <c r="G5327" s="134" t="n">
        <f aca="false">LEN('Saisie programme'!$G$199)+SUMIFS('Vols additionnels'!$E$7:$E$66,'Vols additionnels'!$C$7:$C$66,$E5327,'Vols additionnels'!$D$7:$D$66,$F5327,'Vols additionnels'!$B$7:$B$66,$D5327)</f>
        <v>0</v>
      </c>
      <c r="H5327" s="135" t="n">
        <f aca="false">$G5327*'Analyse capacite'!$F$7</f>
        <v>0</v>
      </c>
      <c r="I5327" s="135" t="n">
        <f aca="false">$G5327*'Analyse capacite'!$C$7</f>
        <v>0</v>
      </c>
      <c r="J5327" s="135" t="n">
        <f aca="false">$G5327*'Analyse capacite'!$D$7</f>
        <v>0</v>
      </c>
      <c r="K5327" s="135" t="n">
        <f aca="false">$G5327*'Analyse capacite'!$E$7</f>
        <v>0</v>
      </c>
    </row>
    <row r="5328" customFormat="false" ht="15" hidden="false" customHeight="false" outlineLevel="0" collapsed="false">
      <c r="B5328" s="130" t="n">
        <v>2027</v>
      </c>
      <c r="C5328" s="131" t="s">
        <v>250</v>
      </c>
      <c r="D5328" s="132" t="n">
        <v>46625</v>
      </c>
      <c r="E5328" s="131" t="s">
        <v>59</v>
      </c>
      <c r="F5328" s="133" t="s">
        <v>19</v>
      </c>
      <c r="G5328" s="134" t="n">
        <f aca="false">LEN('Saisie programme'!$G$200)+SUMIFS('Vols additionnels'!$E$7:$E$66,'Vols additionnels'!$C$7:$C$66,$E5328,'Vols additionnels'!$D$7:$D$66,$F5328,'Vols additionnels'!$B$7:$B$66,$D5328)</f>
        <v>0</v>
      </c>
      <c r="H5328" s="135" t="n">
        <f aca="false">$G5328*'Analyse capacite'!$F$8</f>
        <v>0</v>
      </c>
      <c r="I5328" s="135" t="n">
        <f aca="false">$G5328*'Analyse capacite'!$C$8</f>
        <v>0</v>
      </c>
      <c r="J5328" s="135" t="n">
        <f aca="false">$G5328*'Analyse capacite'!$D$8</f>
        <v>0</v>
      </c>
      <c r="K5328" s="135" t="n">
        <f aca="false">$G5328*'Analyse capacite'!$E$8</f>
        <v>0</v>
      </c>
    </row>
    <row r="5329" customFormat="false" ht="15" hidden="false" customHeight="false" outlineLevel="0" collapsed="false">
      <c r="B5329" s="130" t="n">
        <v>2027</v>
      </c>
      <c r="C5329" s="131" t="s">
        <v>250</v>
      </c>
      <c r="D5329" s="132" t="n">
        <v>46625</v>
      </c>
      <c r="E5329" s="131" t="s">
        <v>59</v>
      </c>
      <c r="F5329" s="133" t="s">
        <v>24</v>
      </c>
      <c r="G5329" s="134" t="n">
        <f aca="false">LEN('Saisie programme'!$G$201)+SUMIFS('Vols additionnels'!$E$7:$E$66,'Vols additionnels'!$C$7:$C$66,$E5329,'Vols additionnels'!$D$7:$D$66,$F5329,'Vols additionnels'!$B$7:$B$66,$D5329)</f>
        <v>2</v>
      </c>
      <c r="H5329" s="135" t="n">
        <f aca="false">$G5329*'Analyse capacite'!$F$9</f>
        <v>348</v>
      </c>
      <c r="I5329" s="135" t="n">
        <f aca="false">$G5329*'Analyse capacite'!$C$9</f>
        <v>0</v>
      </c>
      <c r="J5329" s="135" t="n">
        <f aca="false">$G5329*'Analyse capacite'!$D$9</f>
        <v>24</v>
      </c>
      <c r="K5329" s="135" t="n">
        <f aca="false">$G5329*'Analyse capacite'!$E$9</f>
        <v>324</v>
      </c>
    </row>
    <row r="5330" customFormat="false" ht="15" hidden="false" customHeight="false" outlineLevel="0" collapsed="false">
      <c r="B5330" s="130" t="n">
        <v>2027</v>
      </c>
      <c r="C5330" s="131" t="s">
        <v>250</v>
      </c>
      <c r="D5330" s="132" t="n">
        <v>46625</v>
      </c>
      <c r="E5330" s="131" t="s">
        <v>62</v>
      </c>
      <c r="F5330" s="133" t="s">
        <v>11</v>
      </c>
      <c r="G5330" s="134" t="n">
        <f aca="false">LEN('Saisie programme'!$G$202)+SUMIFS('Vols additionnels'!$E$7:$E$66,'Vols additionnels'!$C$7:$C$66,$E5330,'Vols additionnels'!$D$7:$D$66,$F5330,'Vols additionnels'!$B$7:$B$66,$D5330)</f>
        <v>0</v>
      </c>
      <c r="H5330" s="135" t="n">
        <f aca="false">$G5330*'Analyse capacite'!$F$7</f>
        <v>0</v>
      </c>
      <c r="I5330" s="135" t="n">
        <f aca="false">$G5330*'Analyse capacite'!$C$7</f>
        <v>0</v>
      </c>
      <c r="J5330" s="135" t="n">
        <f aca="false">$G5330*'Analyse capacite'!$D$7</f>
        <v>0</v>
      </c>
      <c r="K5330" s="135" t="n">
        <f aca="false">$G5330*'Analyse capacite'!$E$7</f>
        <v>0</v>
      </c>
    </row>
    <row r="5331" customFormat="false" ht="15" hidden="false" customHeight="false" outlineLevel="0" collapsed="false">
      <c r="B5331" s="130" t="n">
        <v>2027</v>
      </c>
      <c r="C5331" s="131" t="s">
        <v>250</v>
      </c>
      <c r="D5331" s="132" t="n">
        <v>46625</v>
      </c>
      <c r="E5331" s="131" t="s">
        <v>62</v>
      </c>
      <c r="F5331" s="133" t="s">
        <v>19</v>
      </c>
      <c r="G5331" s="134" t="n">
        <f aca="false">LEN('Saisie programme'!$G$203)+SUMIFS('Vols additionnels'!$E$7:$E$66,'Vols additionnels'!$C$7:$C$66,$E5331,'Vols additionnels'!$D$7:$D$66,$F5331,'Vols additionnels'!$B$7:$B$66,$D5331)</f>
        <v>0</v>
      </c>
      <c r="H5331" s="135" t="n">
        <f aca="false">$G5331*'Analyse capacite'!$F$8</f>
        <v>0</v>
      </c>
      <c r="I5331" s="135" t="n">
        <f aca="false">$G5331*'Analyse capacite'!$C$8</f>
        <v>0</v>
      </c>
      <c r="J5331" s="135" t="n">
        <f aca="false">$G5331*'Analyse capacite'!$D$8</f>
        <v>0</v>
      </c>
      <c r="K5331" s="135" t="n">
        <f aca="false">$G5331*'Analyse capacite'!$E$8</f>
        <v>0</v>
      </c>
    </row>
    <row r="5332" customFormat="false" ht="15" hidden="false" customHeight="false" outlineLevel="0" collapsed="false">
      <c r="B5332" s="130" t="n">
        <v>2027</v>
      </c>
      <c r="C5332" s="131" t="s">
        <v>250</v>
      </c>
      <c r="D5332" s="132" t="n">
        <v>46625</v>
      </c>
      <c r="E5332" s="131" t="s">
        <v>62</v>
      </c>
      <c r="F5332" s="133" t="s">
        <v>24</v>
      </c>
      <c r="G5332" s="134" t="n">
        <f aca="false">LEN('Saisie programme'!$G$204)+SUMIFS('Vols additionnels'!$E$7:$E$66,'Vols additionnels'!$C$7:$C$66,$E5332,'Vols additionnels'!$D$7:$D$66,$F5332,'Vols additionnels'!$B$7:$B$66,$D5332)</f>
        <v>0</v>
      </c>
      <c r="H5332" s="135" t="n">
        <f aca="false">$G5332*'Analyse capacite'!$F$9</f>
        <v>0</v>
      </c>
      <c r="I5332" s="135" t="n">
        <f aca="false">$G5332*'Analyse capacite'!$C$9</f>
        <v>0</v>
      </c>
      <c r="J5332" s="135" t="n">
        <f aca="false">$G5332*'Analyse capacite'!$D$9</f>
        <v>0</v>
      </c>
      <c r="K5332" s="135" t="n">
        <f aca="false">$G5332*'Analyse capacite'!$E$9</f>
        <v>0</v>
      </c>
    </row>
    <row r="5333" customFormat="false" ht="15" hidden="false" customHeight="false" outlineLevel="0" collapsed="false">
      <c r="B5333" s="130" t="n">
        <v>2027</v>
      </c>
      <c r="C5333" s="131" t="s">
        <v>250</v>
      </c>
      <c r="D5333" s="132" t="n">
        <v>46626</v>
      </c>
      <c r="E5333" s="131" t="s">
        <v>12</v>
      </c>
      <c r="F5333" s="133" t="s">
        <v>11</v>
      </c>
      <c r="G5333" s="134" t="n">
        <f aca="false">LEN('Saisie programme'!$H$169)+SUMIFS('Vols additionnels'!$E$7:$E$66,'Vols additionnels'!$C$7:$C$66,$E5333,'Vols additionnels'!$D$7:$D$66,$F5333,'Vols additionnels'!$B$7:$B$66,$D5333)</f>
        <v>1</v>
      </c>
      <c r="H5333" s="135" t="n">
        <f aca="false">$G5333*'Analyse capacite'!$F$7</f>
        <v>438</v>
      </c>
      <c r="I5333" s="135" t="n">
        <f aca="false">$G5333*'Analyse capacite'!$C$7</f>
        <v>14</v>
      </c>
      <c r="J5333" s="135" t="n">
        <f aca="false">$G5333*'Analyse capacite'!$D$7</f>
        <v>40</v>
      </c>
      <c r="K5333" s="135" t="n">
        <f aca="false">$G5333*'Analyse capacite'!$E$7</f>
        <v>384</v>
      </c>
    </row>
    <row r="5334" customFormat="false" ht="15" hidden="false" customHeight="false" outlineLevel="0" collapsed="false">
      <c r="B5334" s="130" t="n">
        <v>2027</v>
      </c>
      <c r="C5334" s="131" t="s">
        <v>250</v>
      </c>
      <c r="D5334" s="132" t="n">
        <v>46626</v>
      </c>
      <c r="E5334" s="131" t="s">
        <v>12</v>
      </c>
      <c r="F5334" s="133" t="s">
        <v>19</v>
      </c>
      <c r="G5334" s="134" t="n">
        <f aca="false">LEN('Saisie programme'!$H$170)+SUMIFS('Vols additionnels'!$E$7:$E$66,'Vols additionnels'!$C$7:$C$66,$E5334,'Vols additionnels'!$D$7:$D$66,$F5334,'Vols additionnels'!$B$7:$B$66,$D5334)</f>
        <v>1</v>
      </c>
      <c r="H5334" s="135" t="n">
        <f aca="false">$G5334*'Analyse capacite'!$F$8</f>
        <v>262</v>
      </c>
      <c r="I5334" s="135" t="n">
        <f aca="false">$G5334*'Analyse capacite'!$C$8</f>
        <v>18</v>
      </c>
      <c r="J5334" s="135" t="n">
        <f aca="false">$G5334*'Analyse capacite'!$D$8</f>
        <v>0</v>
      </c>
      <c r="K5334" s="135" t="n">
        <f aca="false">$G5334*'Analyse capacite'!$E$8</f>
        <v>244</v>
      </c>
    </row>
    <row r="5335" customFormat="false" ht="15" hidden="false" customHeight="false" outlineLevel="0" collapsed="false">
      <c r="B5335" s="130" t="n">
        <v>2027</v>
      </c>
      <c r="C5335" s="131" t="s">
        <v>250</v>
      </c>
      <c r="D5335" s="132" t="n">
        <v>46626</v>
      </c>
      <c r="E5335" s="131" t="s">
        <v>12</v>
      </c>
      <c r="F5335" s="133" t="s">
        <v>24</v>
      </c>
      <c r="G5335" s="134" t="n">
        <f aca="false">LEN('Saisie programme'!$H$171)+SUMIFS('Vols additionnels'!$E$7:$E$66,'Vols additionnels'!$C$7:$C$66,$E5335,'Vols additionnels'!$D$7:$D$66,$F5335,'Vols additionnels'!$B$7:$B$66,$D5335)</f>
        <v>0</v>
      </c>
      <c r="H5335" s="135" t="n">
        <f aca="false">$G5335*'Analyse capacite'!$F$9</f>
        <v>0</v>
      </c>
      <c r="I5335" s="135" t="n">
        <f aca="false">$G5335*'Analyse capacite'!$C$9</f>
        <v>0</v>
      </c>
      <c r="J5335" s="135" t="n">
        <f aca="false">$G5335*'Analyse capacite'!$D$9</f>
        <v>0</v>
      </c>
      <c r="K5335" s="135" t="n">
        <f aca="false">$G5335*'Analyse capacite'!$E$9</f>
        <v>0</v>
      </c>
    </row>
    <row r="5336" customFormat="false" ht="15" hidden="false" customHeight="false" outlineLevel="0" collapsed="false">
      <c r="B5336" s="130" t="n">
        <v>2027</v>
      </c>
      <c r="C5336" s="131" t="s">
        <v>250</v>
      </c>
      <c r="D5336" s="132" t="n">
        <v>46626</v>
      </c>
      <c r="E5336" s="131" t="s">
        <v>20</v>
      </c>
      <c r="F5336" s="133" t="s">
        <v>11</v>
      </c>
      <c r="G5336" s="134" t="n">
        <f aca="false">LEN('Saisie programme'!$H$172)+SUMIFS('Vols additionnels'!$E$7:$E$66,'Vols additionnels'!$C$7:$C$66,$E5336,'Vols additionnels'!$D$7:$D$66,$F5336,'Vols additionnels'!$B$7:$B$66,$D5336)</f>
        <v>0</v>
      </c>
      <c r="H5336" s="135" t="n">
        <f aca="false">$G5336*'Analyse capacite'!$F$7</f>
        <v>0</v>
      </c>
      <c r="I5336" s="135" t="n">
        <f aca="false">$G5336*'Analyse capacite'!$C$7</f>
        <v>0</v>
      </c>
      <c r="J5336" s="135" t="n">
        <f aca="false">$G5336*'Analyse capacite'!$D$7</f>
        <v>0</v>
      </c>
      <c r="K5336" s="135" t="n">
        <f aca="false">$G5336*'Analyse capacite'!$E$7</f>
        <v>0</v>
      </c>
    </row>
    <row r="5337" customFormat="false" ht="15" hidden="false" customHeight="false" outlineLevel="0" collapsed="false">
      <c r="B5337" s="130" t="n">
        <v>2027</v>
      </c>
      <c r="C5337" s="131" t="s">
        <v>250</v>
      </c>
      <c r="D5337" s="132" t="n">
        <v>46626</v>
      </c>
      <c r="E5337" s="131" t="s">
        <v>20</v>
      </c>
      <c r="F5337" s="133" t="s">
        <v>19</v>
      </c>
      <c r="G5337" s="134" t="n">
        <f aca="false">LEN('Saisie programme'!$H$173)+SUMIFS('Vols additionnels'!$E$7:$E$66,'Vols additionnels'!$C$7:$C$66,$E5337,'Vols additionnels'!$D$7:$D$66,$F5337,'Vols additionnels'!$B$7:$B$66,$D5337)</f>
        <v>1</v>
      </c>
      <c r="H5337" s="135" t="n">
        <f aca="false">$G5337*'Analyse capacite'!$F$8</f>
        <v>262</v>
      </c>
      <c r="I5337" s="135" t="n">
        <f aca="false">$G5337*'Analyse capacite'!$C$8</f>
        <v>18</v>
      </c>
      <c r="J5337" s="135" t="n">
        <f aca="false">$G5337*'Analyse capacite'!$D$8</f>
        <v>0</v>
      </c>
      <c r="K5337" s="135" t="n">
        <f aca="false">$G5337*'Analyse capacite'!$E$8</f>
        <v>244</v>
      </c>
    </row>
    <row r="5338" customFormat="false" ht="15" hidden="false" customHeight="false" outlineLevel="0" collapsed="false">
      <c r="B5338" s="130" t="n">
        <v>2027</v>
      </c>
      <c r="C5338" s="131" t="s">
        <v>250</v>
      </c>
      <c r="D5338" s="132" t="n">
        <v>46626</v>
      </c>
      <c r="E5338" s="131" t="s">
        <v>20</v>
      </c>
      <c r="F5338" s="133" t="s">
        <v>24</v>
      </c>
      <c r="G5338" s="134" t="n">
        <f aca="false">LEN('Saisie programme'!$H$174)+SUMIFS('Vols additionnels'!$E$7:$E$66,'Vols additionnels'!$C$7:$C$66,$E5338,'Vols additionnels'!$D$7:$D$66,$F5338,'Vols additionnels'!$B$7:$B$66,$D5338)</f>
        <v>0</v>
      </c>
      <c r="H5338" s="135" t="n">
        <f aca="false">$G5338*'Analyse capacite'!$F$9</f>
        <v>0</v>
      </c>
      <c r="I5338" s="135" t="n">
        <f aca="false">$G5338*'Analyse capacite'!$C$9</f>
        <v>0</v>
      </c>
      <c r="J5338" s="135" t="n">
        <f aca="false">$G5338*'Analyse capacite'!$D$9</f>
        <v>0</v>
      </c>
      <c r="K5338" s="135" t="n">
        <f aca="false">$G5338*'Analyse capacite'!$E$9</f>
        <v>0</v>
      </c>
    </row>
    <row r="5339" customFormat="false" ht="15" hidden="false" customHeight="false" outlineLevel="0" collapsed="false">
      <c r="B5339" s="130" t="n">
        <v>2027</v>
      </c>
      <c r="C5339" s="131" t="s">
        <v>250</v>
      </c>
      <c r="D5339" s="132" t="n">
        <v>46626</v>
      </c>
      <c r="E5339" s="131" t="s">
        <v>25</v>
      </c>
      <c r="F5339" s="133" t="s">
        <v>11</v>
      </c>
      <c r="G5339" s="134" t="n">
        <f aca="false">LEN('Saisie programme'!$H$175)+SUMIFS('Vols additionnels'!$E$7:$E$66,'Vols additionnels'!$C$7:$C$66,$E5339,'Vols additionnels'!$D$7:$D$66,$F5339,'Vols additionnels'!$B$7:$B$66,$D5339)</f>
        <v>0</v>
      </c>
      <c r="H5339" s="135" t="n">
        <f aca="false">$G5339*'Analyse capacite'!$F$7</f>
        <v>0</v>
      </c>
      <c r="I5339" s="135" t="n">
        <f aca="false">$G5339*'Analyse capacite'!$C$7</f>
        <v>0</v>
      </c>
      <c r="J5339" s="135" t="n">
        <f aca="false">$G5339*'Analyse capacite'!$D$7</f>
        <v>0</v>
      </c>
      <c r="K5339" s="135" t="n">
        <f aca="false">$G5339*'Analyse capacite'!$E$7</f>
        <v>0</v>
      </c>
    </row>
    <row r="5340" customFormat="false" ht="15" hidden="false" customHeight="false" outlineLevel="0" collapsed="false">
      <c r="B5340" s="130" t="n">
        <v>2027</v>
      </c>
      <c r="C5340" s="131" t="s">
        <v>250</v>
      </c>
      <c r="D5340" s="132" t="n">
        <v>46626</v>
      </c>
      <c r="E5340" s="131" t="s">
        <v>25</v>
      </c>
      <c r="F5340" s="133" t="s">
        <v>19</v>
      </c>
      <c r="G5340" s="134" t="n">
        <f aca="false">LEN('Saisie programme'!$H$176)+SUMIFS('Vols additionnels'!$E$7:$E$66,'Vols additionnels'!$C$7:$C$66,$E5340,'Vols additionnels'!$D$7:$D$66,$F5340,'Vols additionnels'!$B$7:$B$66,$D5340)</f>
        <v>0</v>
      </c>
      <c r="H5340" s="135" t="n">
        <f aca="false">$G5340*'Analyse capacite'!$F$8</f>
        <v>0</v>
      </c>
      <c r="I5340" s="135" t="n">
        <f aca="false">$G5340*'Analyse capacite'!$C$8</f>
        <v>0</v>
      </c>
      <c r="J5340" s="135" t="n">
        <f aca="false">$G5340*'Analyse capacite'!$D$8</f>
        <v>0</v>
      </c>
      <c r="K5340" s="135" t="n">
        <f aca="false">$G5340*'Analyse capacite'!$E$8</f>
        <v>0</v>
      </c>
    </row>
    <row r="5341" customFormat="false" ht="15" hidden="false" customHeight="false" outlineLevel="0" collapsed="false">
      <c r="B5341" s="130" t="n">
        <v>2027</v>
      </c>
      <c r="C5341" s="131" t="s">
        <v>250</v>
      </c>
      <c r="D5341" s="132" t="n">
        <v>46626</v>
      </c>
      <c r="E5341" s="131" t="s">
        <v>25</v>
      </c>
      <c r="F5341" s="133" t="s">
        <v>24</v>
      </c>
      <c r="G5341" s="134" t="n">
        <f aca="false">LEN('Saisie programme'!$H$177)+SUMIFS('Vols additionnels'!$E$7:$E$66,'Vols additionnels'!$C$7:$C$66,$E5341,'Vols additionnels'!$D$7:$D$66,$F5341,'Vols additionnels'!$B$7:$B$66,$D5341)</f>
        <v>0</v>
      </c>
      <c r="H5341" s="135" t="n">
        <f aca="false">$G5341*'Analyse capacite'!$F$9</f>
        <v>0</v>
      </c>
      <c r="I5341" s="135" t="n">
        <f aca="false">$G5341*'Analyse capacite'!$C$9</f>
        <v>0</v>
      </c>
      <c r="J5341" s="135" t="n">
        <f aca="false">$G5341*'Analyse capacite'!$D$9</f>
        <v>0</v>
      </c>
      <c r="K5341" s="135" t="n">
        <f aca="false">$G5341*'Analyse capacite'!$E$9</f>
        <v>0</v>
      </c>
    </row>
    <row r="5342" customFormat="false" ht="15" hidden="false" customHeight="false" outlineLevel="0" collapsed="false">
      <c r="B5342" s="130" t="n">
        <v>2027</v>
      </c>
      <c r="C5342" s="131" t="s">
        <v>250</v>
      </c>
      <c r="D5342" s="132" t="n">
        <v>46626</v>
      </c>
      <c r="E5342" s="131" t="s">
        <v>36</v>
      </c>
      <c r="F5342" s="133" t="s">
        <v>11</v>
      </c>
      <c r="G5342" s="134" t="n">
        <f aca="false">LEN('Saisie programme'!$H$178)+SUMIFS('Vols additionnels'!$E$7:$E$66,'Vols additionnels'!$C$7:$C$66,$E5342,'Vols additionnels'!$D$7:$D$66,$F5342,'Vols additionnels'!$B$7:$B$66,$D5342)</f>
        <v>0</v>
      </c>
      <c r="H5342" s="135" t="n">
        <f aca="false">$G5342*'Analyse capacite'!$F$7</f>
        <v>0</v>
      </c>
      <c r="I5342" s="135" t="n">
        <f aca="false">$G5342*'Analyse capacite'!$C$7</f>
        <v>0</v>
      </c>
      <c r="J5342" s="135" t="n">
        <f aca="false">$G5342*'Analyse capacite'!$D$7</f>
        <v>0</v>
      </c>
      <c r="K5342" s="135" t="n">
        <f aca="false">$G5342*'Analyse capacite'!$E$7</f>
        <v>0</v>
      </c>
    </row>
    <row r="5343" customFormat="false" ht="15" hidden="false" customHeight="false" outlineLevel="0" collapsed="false">
      <c r="B5343" s="130" t="n">
        <v>2027</v>
      </c>
      <c r="C5343" s="131" t="s">
        <v>250</v>
      </c>
      <c r="D5343" s="132" t="n">
        <v>46626</v>
      </c>
      <c r="E5343" s="131" t="s">
        <v>36</v>
      </c>
      <c r="F5343" s="133" t="s">
        <v>19</v>
      </c>
      <c r="G5343" s="134" t="n">
        <f aca="false">LEN('Saisie programme'!$H$179)+SUMIFS('Vols additionnels'!$E$7:$E$66,'Vols additionnels'!$C$7:$C$66,$E5343,'Vols additionnels'!$D$7:$D$66,$F5343,'Vols additionnels'!$B$7:$B$66,$D5343)</f>
        <v>0</v>
      </c>
      <c r="H5343" s="135" t="n">
        <f aca="false">$G5343*'Analyse capacite'!$F$8</f>
        <v>0</v>
      </c>
      <c r="I5343" s="135" t="n">
        <f aca="false">$G5343*'Analyse capacite'!$C$8</f>
        <v>0</v>
      </c>
      <c r="J5343" s="135" t="n">
        <f aca="false">$G5343*'Analyse capacite'!$D$8</f>
        <v>0</v>
      </c>
      <c r="K5343" s="135" t="n">
        <f aca="false">$G5343*'Analyse capacite'!$E$8</f>
        <v>0</v>
      </c>
    </row>
    <row r="5344" customFormat="false" ht="15" hidden="false" customHeight="false" outlineLevel="0" collapsed="false">
      <c r="B5344" s="130" t="n">
        <v>2027</v>
      </c>
      <c r="C5344" s="131" t="s">
        <v>250</v>
      </c>
      <c r="D5344" s="132" t="n">
        <v>46626</v>
      </c>
      <c r="E5344" s="131" t="s">
        <v>36</v>
      </c>
      <c r="F5344" s="133" t="s">
        <v>24</v>
      </c>
      <c r="G5344" s="134" t="n">
        <f aca="false">LEN('Saisie programme'!$H$180)+SUMIFS('Vols additionnels'!$E$7:$E$66,'Vols additionnels'!$C$7:$C$66,$E5344,'Vols additionnels'!$D$7:$D$66,$F5344,'Vols additionnels'!$B$7:$B$66,$D5344)</f>
        <v>1</v>
      </c>
      <c r="H5344" s="135" t="n">
        <f aca="false">$G5344*'Analyse capacite'!$F$9</f>
        <v>174</v>
      </c>
      <c r="I5344" s="135" t="n">
        <f aca="false">$G5344*'Analyse capacite'!$C$9</f>
        <v>0</v>
      </c>
      <c r="J5344" s="135" t="n">
        <f aca="false">$G5344*'Analyse capacite'!$D$9</f>
        <v>12</v>
      </c>
      <c r="K5344" s="135" t="n">
        <f aca="false">$G5344*'Analyse capacite'!$E$9</f>
        <v>162</v>
      </c>
    </row>
    <row r="5345" customFormat="false" ht="15" hidden="false" customHeight="false" outlineLevel="0" collapsed="false">
      <c r="B5345" s="130" t="n">
        <v>2027</v>
      </c>
      <c r="C5345" s="131" t="s">
        <v>250</v>
      </c>
      <c r="D5345" s="132" t="n">
        <v>46626</v>
      </c>
      <c r="E5345" s="131" t="s">
        <v>40</v>
      </c>
      <c r="F5345" s="133" t="s">
        <v>11</v>
      </c>
      <c r="G5345" s="134" t="n">
        <f aca="false">LEN('Saisie programme'!$H$181)+SUMIFS('Vols additionnels'!$E$7:$E$66,'Vols additionnels'!$C$7:$C$66,$E5345,'Vols additionnels'!$D$7:$D$66,$F5345,'Vols additionnels'!$B$7:$B$66,$D5345)</f>
        <v>0</v>
      </c>
      <c r="H5345" s="135" t="n">
        <f aca="false">$G5345*'Analyse capacite'!$F$7</f>
        <v>0</v>
      </c>
      <c r="I5345" s="135" t="n">
        <f aca="false">$G5345*'Analyse capacite'!$C$7</f>
        <v>0</v>
      </c>
      <c r="J5345" s="135" t="n">
        <f aca="false">$G5345*'Analyse capacite'!$D$7</f>
        <v>0</v>
      </c>
      <c r="K5345" s="135" t="n">
        <f aca="false">$G5345*'Analyse capacite'!$E$7</f>
        <v>0</v>
      </c>
    </row>
    <row r="5346" customFormat="false" ht="15" hidden="false" customHeight="false" outlineLevel="0" collapsed="false">
      <c r="B5346" s="130" t="n">
        <v>2027</v>
      </c>
      <c r="C5346" s="131" t="s">
        <v>250</v>
      </c>
      <c r="D5346" s="132" t="n">
        <v>46626</v>
      </c>
      <c r="E5346" s="131" t="s">
        <v>40</v>
      </c>
      <c r="F5346" s="133" t="s">
        <v>19</v>
      </c>
      <c r="G5346" s="134" t="n">
        <f aca="false">LEN('Saisie programme'!$H$182)+SUMIFS('Vols additionnels'!$E$7:$E$66,'Vols additionnels'!$C$7:$C$66,$E5346,'Vols additionnels'!$D$7:$D$66,$F5346,'Vols additionnels'!$B$7:$B$66,$D5346)</f>
        <v>0</v>
      </c>
      <c r="H5346" s="135" t="n">
        <f aca="false">$G5346*'Analyse capacite'!$F$8</f>
        <v>0</v>
      </c>
      <c r="I5346" s="135" t="n">
        <f aca="false">$G5346*'Analyse capacite'!$C$8</f>
        <v>0</v>
      </c>
      <c r="J5346" s="135" t="n">
        <f aca="false">$G5346*'Analyse capacite'!$D$8</f>
        <v>0</v>
      </c>
      <c r="K5346" s="135" t="n">
        <f aca="false">$G5346*'Analyse capacite'!$E$8</f>
        <v>0</v>
      </c>
    </row>
    <row r="5347" customFormat="false" ht="15" hidden="false" customHeight="false" outlineLevel="0" collapsed="false">
      <c r="B5347" s="130" t="n">
        <v>2027</v>
      </c>
      <c r="C5347" s="131" t="s">
        <v>250</v>
      </c>
      <c r="D5347" s="132" t="n">
        <v>46626</v>
      </c>
      <c r="E5347" s="131" t="s">
        <v>40</v>
      </c>
      <c r="F5347" s="133" t="s">
        <v>24</v>
      </c>
      <c r="G5347" s="134" t="n">
        <f aca="false">LEN('Saisie programme'!$H$183)+SUMIFS('Vols additionnels'!$E$7:$E$66,'Vols additionnels'!$C$7:$C$66,$E5347,'Vols additionnels'!$D$7:$D$66,$F5347,'Vols additionnels'!$B$7:$B$66,$D5347)</f>
        <v>1</v>
      </c>
      <c r="H5347" s="135" t="n">
        <f aca="false">$G5347*'Analyse capacite'!$F$9</f>
        <v>174</v>
      </c>
      <c r="I5347" s="135" t="n">
        <f aca="false">$G5347*'Analyse capacite'!$C$9</f>
        <v>0</v>
      </c>
      <c r="J5347" s="135" t="n">
        <f aca="false">$G5347*'Analyse capacite'!$D$9</f>
        <v>12</v>
      </c>
      <c r="K5347" s="135" t="n">
        <f aca="false">$G5347*'Analyse capacite'!$E$9</f>
        <v>162</v>
      </c>
    </row>
    <row r="5348" customFormat="false" ht="15" hidden="false" customHeight="false" outlineLevel="0" collapsed="false">
      <c r="B5348" s="130" t="n">
        <v>2027</v>
      </c>
      <c r="C5348" s="131" t="s">
        <v>250</v>
      </c>
      <c r="D5348" s="132" t="n">
        <v>46626</v>
      </c>
      <c r="E5348" s="131" t="s">
        <v>14</v>
      </c>
      <c r="F5348" s="133" t="s">
        <v>11</v>
      </c>
      <c r="G5348" s="134" t="n">
        <f aca="false">LEN('Saisie programme'!$H$184)+SUMIFS('Vols additionnels'!$E$7:$E$66,'Vols additionnels'!$C$7:$C$66,$E5348,'Vols additionnels'!$D$7:$D$66,$F5348,'Vols additionnels'!$B$7:$B$66,$D5348)</f>
        <v>0</v>
      </c>
      <c r="H5348" s="135" t="n">
        <f aca="false">$G5348*'Analyse capacite'!$F$7</f>
        <v>0</v>
      </c>
      <c r="I5348" s="135" t="n">
        <f aca="false">$G5348*'Analyse capacite'!$C$7</f>
        <v>0</v>
      </c>
      <c r="J5348" s="135" t="n">
        <f aca="false">$G5348*'Analyse capacite'!$D$7</f>
        <v>0</v>
      </c>
      <c r="K5348" s="135" t="n">
        <f aca="false">$G5348*'Analyse capacite'!$E$7</f>
        <v>0</v>
      </c>
    </row>
    <row r="5349" customFormat="false" ht="15" hidden="false" customHeight="false" outlineLevel="0" collapsed="false">
      <c r="B5349" s="130" t="n">
        <v>2027</v>
      </c>
      <c r="C5349" s="131" t="s">
        <v>250</v>
      </c>
      <c r="D5349" s="132" t="n">
        <v>46626</v>
      </c>
      <c r="E5349" s="131" t="s">
        <v>14</v>
      </c>
      <c r="F5349" s="133" t="s">
        <v>19</v>
      </c>
      <c r="G5349" s="134" t="n">
        <f aca="false">LEN('Saisie programme'!$H$185)+SUMIFS('Vols additionnels'!$E$7:$E$66,'Vols additionnels'!$C$7:$C$66,$E5349,'Vols additionnels'!$D$7:$D$66,$F5349,'Vols additionnels'!$B$7:$B$66,$D5349)</f>
        <v>0</v>
      </c>
      <c r="H5349" s="135" t="n">
        <f aca="false">$G5349*'Analyse capacite'!$F$8</f>
        <v>0</v>
      </c>
      <c r="I5349" s="135" t="n">
        <f aca="false">$G5349*'Analyse capacite'!$C$8</f>
        <v>0</v>
      </c>
      <c r="J5349" s="135" t="n">
        <f aca="false">$G5349*'Analyse capacite'!$D$8</f>
        <v>0</v>
      </c>
      <c r="K5349" s="135" t="n">
        <f aca="false">$G5349*'Analyse capacite'!$E$8</f>
        <v>0</v>
      </c>
    </row>
    <row r="5350" customFormat="false" ht="15" hidden="false" customHeight="false" outlineLevel="0" collapsed="false">
      <c r="B5350" s="130" t="n">
        <v>2027</v>
      </c>
      <c r="C5350" s="131" t="s">
        <v>250</v>
      </c>
      <c r="D5350" s="132" t="n">
        <v>46626</v>
      </c>
      <c r="E5350" s="131" t="s">
        <v>14</v>
      </c>
      <c r="F5350" s="133" t="s">
        <v>24</v>
      </c>
      <c r="G5350" s="134" t="n">
        <f aca="false">LEN('Saisie programme'!$H$186)+SUMIFS('Vols additionnels'!$E$7:$E$66,'Vols additionnels'!$C$7:$C$66,$E5350,'Vols additionnels'!$D$7:$D$66,$F5350,'Vols additionnels'!$B$7:$B$66,$D5350)</f>
        <v>0</v>
      </c>
      <c r="H5350" s="135" t="n">
        <f aca="false">$G5350*'Analyse capacite'!$F$9</f>
        <v>0</v>
      </c>
      <c r="I5350" s="135" t="n">
        <f aca="false">$G5350*'Analyse capacite'!$C$9</f>
        <v>0</v>
      </c>
      <c r="J5350" s="135" t="n">
        <f aca="false">$G5350*'Analyse capacite'!$D$9</f>
        <v>0</v>
      </c>
      <c r="K5350" s="135" t="n">
        <f aca="false">$G5350*'Analyse capacite'!$E$9</f>
        <v>0</v>
      </c>
    </row>
    <row r="5351" customFormat="false" ht="15" hidden="false" customHeight="false" outlineLevel="0" collapsed="false">
      <c r="B5351" s="130" t="n">
        <v>2027</v>
      </c>
      <c r="C5351" s="131" t="s">
        <v>250</v>
      </c>
      <c r="D5351" s="132" t="n">
        <v>46626</v>
      </c>
      <c r="E5351" s="131" t="s">
        <v>46</v>
      </c>
      <c r="F5351" s="133" t="s">
        <v>11</v>
      </c>
      <c r="G5351" s="134" t="n">
        <f aca="false">LEN('Saisie programme'!$H$187)+SUMIFS('Vols additionnels'!$E$7:$E$66,'Vols additionnels'!$C$7:$C$66,$E5351,'Vols additionnels'!$D$7:$D$66,$F5351,'Vols additionnels'!$B$7:$B$66,$D5351)</f>
        <v>0</v>
      </c>
      <c r="H5351" s="135" t="n">
        <f aca="false">$G5351*'Analyse capacite'!$F$7</f>
        <v>0</v>
      </c>
      <c r="I5351" s="135" t="n">
        <f aca="false">$G5351*'Analyse capacite'!$C$7</f>
        <v>0</v>
      </c>
      <c r="J5351" s="135" t="n">
        <f aca="false">$G5351*'Analyse capacite'!$D$7</f>
        <v>0</v>
      </c>
      <c r="K5351" s="135" t="n">
        <f aca="false">$G5351*'Analyse capacite'!$E$7</f>
        <v>0</v>
      </c>
    </row>
    <row r="5352" customFormat="false" ht="15" hidden="false" customHeight="false" outlineLevel="0" collapsed="false">
      <c r="B5352" s="130" t="n">
        <v>2027</v>
      </c>
      <c r="C5352" s="131" t="s">
        <v>250</v>
      </c>
      <c r="D5352" s="132" t="n">
        <v>46626</v>
      </c>
      <c r="E5352" s="131" t="s">
        <v>46</v>
      </c>
      <c r="F5352" s="133" t="s">
        <v>19</v>
      </c>
      <c r="G5352" s="134" t="n">
        <f aca="false">LEN('Saisie programme'!$H$188)+SUMIFS('Vols additionnels'!$E$7:$E$66,'Vols additionnels'!$C$7:$C$66,$E5352,'Vols additionnels'!$D$7:$D$66,$F5352,'Vols additionnels'!$B$7:$B$66,$D5352)</f>
        <v>0</v>
      </c>
      <c r="H5352" s="135" t="n">
        <f aca="false">$G5352*'Analyse capacite'!$F$8</f>
        <v>0</v>
      </c>
      <c r="I5352" s="135" t="n">
        <f aca="false">$G5352*'Analyse capacite'!$C$8</f>
        <v>0</v>
      </c>
      <c r="J5352" s="135" t="n">
        <f aca="false">$G5352*'Analyse capacite'!$D$8</f>
        <v>0</v>
      </c>
      <c r="K5352" s="135" t="n">
        <f aca="false">$G5352*'Analyse capacite'!$E$8</f>
        <v>0</v>
      </c>
    </row>
    <row r="5353" customFormat="false" ht="15" hidden="false" customHeight="false" outlineLevel="0" collapsed="false">
      <c r="B5353" s="130" t="n">
        <v>2027</v>
      </c>
      <c r="C5353" s="131" t="s">
        <v>250</v>
      </c>
      <c r="D5353" s="132" t="n">
        <v>46626</v>
      </c>
      <c r="E5353" s="131" t="s">
        <v>46</v>
      </c>
      <c r="F5353" s="133" t="s">
        <v>24</v>
      </c>
      <c r="G5353" s="134" t="n">
        <f aca="false">LEN('Saisie programme'!$H$189)+SUMIFS('Vols additionnels'!$E$7:$E$66,'Vols additionnels'!$C$7:$C$66,$E5353,'Vols additionnels'!$D$7:$D$66,$F5353,'Vols additionnels'!$B$7:$B$66,$D5353)</f>
        <v>0</v>
      </c>
      <c r="H5353" s="135" t="n">
        <f aca="false">$G5353*'Analyse capacite'!$F$9</f>
        <v>0</v>
      </c>
      <c r="I5353" s="135" t="n">
        <f aca="false">$G5353*'Analyse capacite'!$C$9</f>
        <v>0</v>
      </c>
      <c r="J5353" s="135" t="n">
        <f aca="false">$G5353*'Analyse capacite'!$D$9</f>
        <v>0</v>
      </c>
      <c r="K5353" s="135" t="n">
        <f aca="false">$G5353*'Analyse capacite'!$E$9</f>
        <v>0</v>
      </c>
    </row>
    <row r="5354" customFormat="false" ht="15" hidden="false" customHeight="false" outlineLevel="0" collapsed="false">
      <c r="B5354" s="130" t="n">
        <v>2027</v>
      </c>
      <c r="C5354" s="131" t="s">
        <v>250</v>
      </c>
      <c r="D5354" s="132" t="n">
        <v>46626</v>
      </c>
      <c r="E5354" s="131" t="s">
        <v>49</v>
      </c>
      <c r="F5354" s="133" t="s">
        <v>11</v>
      </c>
      <c r="G5354" s="134" t="n">
        <f aca="false">LEN('Saisie programme'!$H$190)+SUMIFS('Vols additionnels'!$E$7:$E$66,'Vols additionnels'!$C$7:$C$66,$E5354,'Vols additionnels'!$D$7:$D$66,$F5354,'Vols additionnels'!$B$7:$B$66,$D5354)</f>
        <v>0</v>
      </c>
      <c r="H5354" s="135" t="n">
        <f aca="false">$G5354*'Analyse capacite'!$F$7</f>
        <v>0</v>
      </c>
      <c r="I5354" s="135" t="n">
        <f aca="false">$G5354*'Analyse capacite'!$C$7</f>
        <v>0</v>
      </c>
      <c r="J5354" s="135" t="n">
        <f aca="false">$G5354*'Analyse capacite'!$D$7</f>
        <v>0</v>
      </c>
      <c r="K5354" s="135" t="n">
        <f aca="false">$G5354*'Analyse capacite'!$E$7</f>
        <v>0</v>
      </c>
    </row>
    <row r="5355" customFormat="false" ht="15" hidden="false" customHeight="false" outlineLevel="0" collapsed="false">
      <c r="B5355" s="130" t="n">
        <v>2027</v>
      </c>
      <c r="C5355" s="131" t="s">
        <v>250</v>
      </c>
      <c r="D5355" s="132" t="n">
        <v>46626</v>
      </c>
      <c r="E5355" s="131" t="s">
        <v>49</v>
      </c>
      <c r="F5355" s="133" t="s">
        <v>19</v>
      </c>
      <c r="G5355" s="134" t="n">
        <f aca="false">LEN('Saisie programme'!$H$191)+SUMIFS('Vols additionnels'!$E$7:$E$66,'Vols additionnels'!$C$7:$C$66,$E5355,'Vols additionnels'!$D$7:$D$66,$F5355,'Vols additionnels'!$B$7:$B$66,$D5355)</f>
        <v>1</v>
      </c>
      <c r="H5355" s="135" t="n">
        <f aca="false">$G5355*'Analyse capacite'!$F$8</f>
        <v>262</v>
      </c>
      <c r="I5355" s="135" t="n">
        <f aca="false">$G5355*'Analyse capacite'!$C$8</f>
        <v>18</v>
      </c>
      <c r="J5355" s="135" t="n">
        <f aca="false">$G5355*'Analyse capacite'!$D$8</f>
        <v>0</v>
      </c>
      <c r="K5355" s="135" t="n">
        <f aca="false">$G5355*'Analyse capacite'!$E$8</f>
        <v>244</v>
      </c>
    </row>
    <row r="5356" customFormat="false" ht="15" hidden="false" customHeight="false" outlineLevel="0" collapsed="false">
      <c r="B5356" s="130" t="n">
        <v>2027</v>
      </c>
      <c r="C5356" s="131" t="s">
        <v>250</v>
      </c>
      <c r="D5356" s="132" t="n">
        <v>46626</v>
      </c>
      <c r="E5356" s="131" t="s">
        <v>49</v>
      </c>
      <c r="F5356" s="133" t="s">
        <v>24</v>
      </c>
      <c r="G5356" s="134" t="n">
        <f aca="false">LEN('Saisie programme'!$H$192)+SUMIFS('Vols additionnels'!$E$7:$E$66,'Vols additionnels'!$C$7:$C$66,$E5356,'Vols additionnels'!$D$7:$D$66,$F5356,'Vols additionnels'!$B$7:$B$66,$D5356)</f>
        <v>0</v>
      </c>
      <c r="H5356" s="135" t="n">
        <f aca="false">$G5356*'Analyse capacite'!$F$9</f>
        <v>0</v>
      </c>
      <c r="I5356" s="135" t="n">
        <f aca="false">$G5356*'Analyse capacite'!$C$9</f>
        <v>0</v>
      </c>
      <c r="J5356" s="135" t="n">
        <f aca="false">$G5356*'Analyse capacite'!$D$9</f>
        <v>0</v>
      </c>
      <c r="K5356" s="135" t="n">
        <f aca="false">$G5356*'Analyse capacite'!$E$9</f>
        <v>0</v>
      </c>
    </row>
    <row r="5357" customFormat="false" ht="15" hidden="false" customHeight="false" outlineLevel="0" collapsed="false">
      <c r="B5357" s="130" t="n">
        <v>2027</v>
      </c>
      <c r="C5357" s="131" t="s">
        <v>250</v>
      </c>
      <c r="D5357" s="132" t="n">
        <v>46626</v>
      </c>
      <c r="E5357" s="131" t="s">
        <v>53</v>
      </c>
      <c r="F5357" s="133" t="s">
        <v>11</v>
      </c>
      <c r="G5357" s="134" t="n">
        <f aca="false">LEN('Saisie programme'!$H$193)+SUMIFS('Vols additionnels'!$E$7:$E$66,'Vols additionnels'!$C$7:$C$66,$E5357,'Vols additionnels'!$D$7:$D$66,$F5357,'Vols additionnels'!$B$7:$B$66,$D5357)</f>
        <v>0</v>
      </c>
      <c r="H5357" s="135" t="n">
        <f aca="false">$G5357*'Analyse capacite'!$F$7</f>
        <v>0</v>
      </c>
      <c r="I5357" s="135" t="n">
        <f aca="false">$G5357*'Analyse capacite'!$C$7</f>
        <v>0</v>
      </c>
      <c r="J5357" s="135" t="n">
        <f aca="false">$G5357*'Analyse capacite'!$D$7</f>
        <v>0</v>
      </c>
      <c r="K5357" s="135" t="n">
        <f aca="false">$G5357*'Analyse capacite'!$E$7</f>
        <v>0</v>
      </c>
    </row>
    <row r="5358" customFormat="false" ht="15" hidden="false" customHeight="false" outlineLevel="0" collapsed="false">
      <c r="B5358" s="130" t="n">
        <v>2027</v>
      </c>
      <c r="C5358" s="131" t="s">
        <v>250</v>
      </c>
      <c r="D5358" s="132" t="n">
        <v>46626</v>
      </c>
      <c r="E5358" s="131" t="s">
        <v>53</v>
      </c>
      <c r="F5358" s="133" t="s">
        <v>19</v>
      </c>
      <c r="G5358" s="134" t="n">
        <f aca="false">LEN('Saisie programme'!$H$194)+SUMIFS('Vols additionnels'!$E$7:$E$66,'Vols additionnels'!$C$7:$C$66,$E5358,'Vols additionnels'!$D$7:$D$66,$F5358,'Vols additionnels'!$B$7:$B$66,$D5358)</f>
        <v>0</v>
      </c>
      <c r="H5358" s="135" t="n">
        <f aca="false">$G5358*'Analyse capacite'!$F$8</f>
        <v>0</v>
      </c>
      <c r="I5358" s="135" t="n">
        <f aca="false">$G5358*'Analyse capacite'!$C$8</f>
        <v>0</v>
      </c>
      <c r="J5358" s="135" t="n">
        <f aca="false">$G5358*'Analyse capacite'!$D$8</f>
        <v>0</v>
      </c>
      <c r="K5358" s="135" t="n">
        <f aca="false">$G5358*'Analyse capacite'!$E$8</f>
        <v>0</v>
      </c>
    </row>
    <row r="5359" customFormat="false" ht="15" hidden="false" customHeight="false" outlineLevel="0" collapsed="false">
      <c r="B5359" s="130" t="n">
        <v>2027</v>
      </c>
      <c r="C5359" s="131" t="s">
        <v>250</v>
      </c>
      <c r="D5359" s="132" t="n">
        <v>46626</v>
      </c>
      <c r="E5359" s="131" t="s">
        <v>53</v>
      </c>
      <c r="F5359" s="133" t="s">
        <v>24</v>
      </c>
      <c r="G5359" s="134" t="n">
        <f aca="false">LEN('Saisie programme'!$H$195)+SUMIFS('Vols additionnels'!$E$7:$E$66,'Vols additionnels'!$C$7:$C$66,$E5359,'Vols additionnels'!$D$7:$D$66,$F5359,'Vols additionnels'!$B$7:$B$66,$D5359)</f>
        <v>0</v>
      </c>
      <c r="H5359" s="135" t="n">
        <f aca="false">$G5359*'Analyse capacite'!$F$9</f>
        <v>0</v>
      </c>
      <c r="I5359" s="135" t="n">
        <f aca="false">$G5359*'Analyse capacite'!$C$9</f>
        <v>0</v>
      </c>
      <c r="J5359" s="135" t="n">
        <f aca="false">$G5359*'Analyse capacite'!$D$9</f>
        <v>0</v>
      </c>
      <c r="K5359" s="135" t="n">
        <f aca="false">$G5359*'Analyse capacite'!$E$9</f>
        <v>0</v>
      </c>
    </row>
    <row r="5360" customFormat="false" ht="15" hidden="false" customHeight="false" outlineLevel="0" collapsed="false">
      <c r="B5360" s="130" t="n">
        <v>2027</v>
      </c>
      <c r="C5360" s="131" t="s">
        <v>250</v>
      </c>
      <c r="D5360" s="132" t="n">
        <v>46626</v>
      </c>
      <c r="E5360" s="131" t="s">
        <v>56</v>
      </c>
      <c r="F5360" s="133" t="s">
        <v>11</v>
      </c>
      <c r="G5360" s="134" t="n">
        <f aca="false">LEN('Saisie programme'!$H$196)+SUMIFS('Vols additionnels'!$E$7:$E$66,'Vols additionnels'!$C$7:$C$66,$E5360,'Vols additionnels'!$D$7:$D$66,$F5360,'Vols additionnels'!$B$7:$B$66,$D5360)</f>
        <v>0</v>
      </c>
      <c r="H5360" s="135" t="n">
        <f aca="false">$G5360*'Analyse capacite'!$F$7</f>
        <v>0</v>
      </c>
      <c r="I5360" s="135" t="n">
        <f aca="false">$G5360*'Analyse capacite'!$C$7</f>
        <v>0</v>
      </c>
      <c r="J5360" s="135" t="n">
        <f aca="false">$G5360*'Analyse capacite'!$D$7</f>
        <v>0</v>
      </c>
      <c r="K5360" s="135" t="n">
        <f aca="false">$G5360*'Analyse capacite'!$E$7</f>
        <v>0</v>
      </c>
    </row>
    <row r="5361" customFormat="false" ht="15" hidden="false" customHeight="false" outlineLevel="0" collapsed="false">
      <c r="B5361" s="130" t="n">
        <v>2027</v>
      </c>
      <c r="C5361" s="131" t="s">
        <v>250</v>
      </c>
      <c r="D5361" s="132" t="n">
        <v>46626</v>
      </c>
      <c r="E5361" s="131" t="s">
        <v>56</v>
      </c>
      <c r="F5361" s="133" t="s">
        <v>19</v>
      </c>
      <c r="G5361" s="134" t="n">
        <f aca="false">LEN('Saisie programme'!$H$197)+SUMIFS('Vols additionnels'!$E$7:$E$66,'Vols additionnels'!$C$7:$C$66,$E5361,'Vols additionnels'!$D$7:$D$66,$F5361,'Vols additionnels'!$B$7:$B$66,$D5361)</f>
        <v>0</v>
      </c>
      <c r="H5361" s="135" t="n">
        <f aca="false">$G5361*'Analyse capacite'!$F$8</f>
        <v>0</v>
      </c>
      <c r="I5361" s="135" t="n">
        <f aca="false">$G5361*'Analyse capacite'!$C$8</f>
        <v>0</v>
      </c>
      <c r="J5361" s="135" t="n">
        <f aca="false">$G5361*'Analyse capacite'!$D$8</f>
        <v>0</v>
      </c>
      <c r="K5361" s="135" t="n">
        <f aca="false">$G5361*'Analyse capacite'!$E$8</f>
        <v>0</v>
      </c>
    </row>
    <row r="5362" customFormat="false" ht="15" hidden="false" customHeight="false" outlineLevel="0" collapsed="false">
      <c r="B5362" s="130" t="n">
        <v>2027</v>
      </c>
      <c r="C5362" s="131" t="s">
        <v>250</v>
      </c>
      <c r="D5362" s="132" t="n">
        <v>46626</v>
      </c>
      <c r="E5362" s="131" t="s">
        <v>56</v>
      </c>
      <c r="F5362" s="133" t="s">
        <v>24</v>
      </c>
      <c r="G5362" s="134" t="n">
        <f aca="false">LEN('Saisie programme'!$H$198)+SUMIFS('Vols additionnels'!$E$7:$E$66,'Vols additionnels'!$C$7:$C$66,$E5362,'Vols additionnels'!$D$7:$D$66,$F5362,'Vols additionnels'!$B$7:$B$66,$D5362)</f>
        <v>0</v>
      </c>
      <c r="H5362" s="135" t="n">
        <f aca="false">$G5362*'Analyse capacite'!$F$9</f>
        <v>0</v>
      </c>
      <c r="I5362" s="135" t="n">
        <f aca="false">$G5362*'Analyse capacite'!$C$9</f>
        <v>0</v>
      </c>
      <c r="J5362" s="135" t="n">
        <f aca="false">$G5362*'Analyse capacite'!$D$9</f>
        <v>0</v>
      </c>
      <c r="K5362" s="135" t="n">
        <f aca="false">$G5362*'Analyse capacite'!$E$9</f>
        <v>0</v>
      </c>
    </row>
    <row r="5363" customFormat="false" ht="15" hidden="false" customHeight="false" outlineLevel="0" collapsed="false">
      <c r="B5363" s="130" t="n">
        <v>2027</v>
      </c>
      <c r="C5363" s="131" t="s">
        <v>250</v>
      </c>
      <c r="D5363" s="132" t="n">
        <v>46626</v>
      </c>
      <c r="E5363" s="131" t="s">
        <v>59</v>
      </c>
      <c r="F5363" s="133" t="s">
        <v>11</v>
      </c>
      <c r="G5363" s="134" t="n">
        <f aca="false">LEN('Saisie programme'!$H$199)+SUMIFS('Vols additionnels'!$E$7:$E$66,'Vols additionnels'!$C$7:$C$66,$E5363,'Vols additionnels'!$D$7:$D$66,$F5363,'Vols additionnels'!$B$7:$B$66,$D5363)</f>
        <v>0</v>
      </c>
      <c r="H5363" s="135" t="n">
        <f aca="false">$G5363*'Analyse capacite'!$F$7</f>
        <v>0</v>
      </c>
      <c r="I5363" s="135" t="n">
        <f aca="false">$G5363*'Analyse capacite'!$C$7</f>
        <v>0</v>
      </c>
      <c r="J5363" s="135" t="n">
        <f aca="false">$G5363*'Analyse capacite'!$D$7</f>
        <v>0</v>
      </c>
      <c r="K5363" s="135" t="n">
        <f aca="false">$G5363*'Analyse capacite'!$E$7</f>
        <v>0</v>
      </c>
    </row>
    <row r="5364" customFormat="false" ht="15" hidden="false" customHeight="false" outlineLevel="0" collapsed="false">
      <c r="B5364" s="130" t="n">
        <v>2027</v>
      </c>
      <c r="C5364" s="131" t="s">
        <v>250</v>
      </c>
      <c r="D5364" s="132" t="n">
        <v>46626</v>
      </c>
      <c r="E5364" s="131" t="s">
        <v>59</v>
      </c>
      <c r="F5364" s="133" t="s">
        <v>19</v>
      </c>
      <c r="G5364" s="134" t="n">
        <f aca="false">LEN('Saisie programme'!$H$200)+SUMIFS('Vols additionnels'!$E$7:$E$66,'Vols additionnels'!$C$7:$C$66,$E5364,'Vols additionnels'!$D$7:$D$66,$F5364,'Vols additionnels'!$B$7:$B$66,$D5364)</f>
        <v>0</v>
      </c>
      <c r="H5364" s="135" t="n">
        <f aca="false">$G5364*'Analyse capacite'!$F$8</f>
        <v>0</v>
      </c>
      <c r="I5364" s="135" t="n">
        <f aca="false">$G5364*'Analyse capacite'!$C$8</f>
        <v>0</v>
      </c>
      <c r="J5364" s="135" t="n">
        <f aca="false">$G5364*'Analyse capacite'!$D$8</f>
        <v>0</v>
      </c>
      <c r="K5364" s="135" t="n">
        <f aca="false">$G5364*'Analyse capacite'!$E$8</f>
        <v>0</v>
      </c>
    </row>
    <row r="5365" customFormat="false" ht="15" hidden="false" customHeight="false" outlineLevel="0" collapsed="false">
      <c r="B5365" s="130" t="n">
        <v>2027</v>
      </c>
      <c r="C5365" s="131" t="s">
        <v>250</v>
      </c>
      <c r="D5365" s="132" t="n">
        <v>46626</v>
      </c>
      <c r="E5365" s="131" t="s">
        <v>59</v>
      </c>
      <c r="F5365" s="133" t="s">
        <v>24</v>
      </c>
      <c r="G5365" s="134" t="n">
        <f aca="false">LEN('Saisie programme'!$H$201)+SUMIFS('Vols additionnels'!$E$7:$E$66,'Vols additionnels'!$C$7:$C$66,$E5365,'Vols additionnels'!$D$7:$D$66,$F5365,'Vols additionnels'!$B$7:$B$66,$D5365)</f>
        <v>1</v>
      </c>
      <c r="H5365" s="135" t="n">
        <f aca="false">$G5365*'Analyse capacite'!$F$9</f>
        <v>174</v>
      </c>
      <c r="I5365" s="135" t="n">
        <f aca="false">$G5365*'Analyse capacite'!$C$9</f>
        <v>0</v>
      </c>
      <c r="J5365" s="135" t="n">
        <f aca="false">$G5365*'Analyse capacite'!$D$9</f>
        <v>12</v>
      </c>
      <c r="K5365" s="135" t="n">
        <f aca="false">$G5365*'Analyse capacite'!$E$9</f>
        <v>162</v>
      </c>
    </row>
    <row r="5366" customFormat="false" ht="15" hidden="false" customHeight="false" outlineLevel="0" collapsed="false">
      <c r="B5366" s="130" t="n">
        <v>2027</v>
      </c>
      <c r="C5366" s="131" t="s">
        <v>250</v>
      </c>
      <c r="D5366" s="132" t="n">
        <v>46626</v>
      </c>
      <c r="E5366" s="131" t="s">
        <v>62</v>
      </c>
      <c r="F5366" s="133" t="s">
        <v>11</v>
      </c>
      <c r="G5366" s="134" t="n">
        <f aca="false">LEN('Saisie programme'!$H$202)+SUMIFS('Vols additionnels'!$E$7:$E$66,'Vols additionnels'!$C$7:$C$66,$E5366,'Vols additionnels'!$D$7:$D$66,$F5366,'Vols additionnels'!$B$7:$B$66,$D5366)</f>
        <v>0</v>
      </c>
      <c r="H5366" s="135" t="n">
        <f aca="false">$G5366*'Analyse capacite'!$F$7</f>
        <v>0</v>
      </c>
      <c r="I5366" s="135" t="n">
        <f aca="false">$G5366*'Analyse capacite'!$C$7</f>
        <v>0</v>
      </c>
      <c r="J5366" s="135" t="n">
        <f aca="false">$G5366*'Analyse capacite'!$D$7</f>
        <v>0</v>
      </c>
      <c r="K5366" s="135" t="n">
        <f aca="false">$G5366*'Analyse capacite'!$E$7</f>
        <v>0</v>
      </c>
    </row>
    <row r="5367" customFormat="false" ht="15" hidden="false" customHeight="false" outlineLevel="0" collapsed="false">
      <c r="B5367" s="130" t="n">
        <v>2027</v>
      </c>
      <c r="C5367" s="131" t="s">
        <v>250</v>
      </c>
      <c r="D5367" s="132" t="n">
        <v>46626</v>
      </c>
      <c r="E5367" s="131" t="s">
        <v>62</v>
      </c>
      <c r="F5367" s="133" t="s">
        <v>19</v>
      </c>
      <c r="G5367" s="134" t="n">
        <f aca="false">LEN('Saisie programme'!$H$203)+SUMIFS('Vols additionnels'!$E$7:$E$66,'Vols additionnels'!$C$7:$C$66,$E5367,'Vols additionnels'!$D$7:$D$66,$F5367,'Vols additionnels'!$B$7:$B$66,$D5367)</f>
        <v>0</v>
      </c>
      <c r="H5367" s="135" t="n">
        <f aca="false">$G5367*'Analyse capacite'!$F$8</f>
        <v>0</v>
      </c>
      <c r="I5367" s="135" t="n">
        <f aca="false">$G5367*'Analyse capacite'!$C$8</f>
        <v>0</v>
      </c>
      <c r="J5367" s="135" t="n">
        <f aca="false">$G5367*'Analyse capacite'!$D$8</f>
        <v>0</v>
      </c>
      <c r="K5367" s="135" t="n">
        <f aca="false">$G5367*'Analyse capacite'!$E$8</f>
        <v>0</v>
      </c>
    </row>
    <row r="5368" customFormat="false" ht="15" hidden="false" customHeight="false" outlineLevel="0" collapsed="false">
      <c r="B5368" s="130" t="n">
        <v>2027</v>
      </c>
      <c r="C5368" s="131" t="s">
        <v>250</v>
      </c>
      <c r="D5368" s="132" t="n">
        <v>46626</v>
      </c>
      <c r="E5368" s="131" t="s">
        <v>62</v>
      </c>
      <c r="F5368" s="133" t="s">
        <v>24</v>
      </c>
      <c r="G5368" s="134" t="n">
        <f aca="false">LEN('Saisie programme'!$H$204)+SUMIFS('Vols additionnels'!$E$7:$E$66,'Vols additionnels'!$C$7:$C$66,$E5368,'Vols additionnels'!$D$7:$D$66,$F5368,'Vols additionnels'!$B$7:$B$66,$D5368)</f>
        <v>0</v>
      </c>
      <c r="H5368" s="135" t="n">
        <f aca="false">$G5368*'Analyse capacite'!$F$9</f>
        <v>0</v>
      </c>
      <c r="I5368" s="135" t="n">
        <f aca="false">$G5368*'Analyse capacite'!$C$9</f>
        <v>0</v>
      </c>
      <c r="J5368" s="135" t="n">
        <f aca="false">$G5368*'Analyse capacite'!$D$9</f>
        <v>0</v>
      </c>
      <c r="K5368" s="135" t="n">
        <f aca="false">$G5368*'Analyse capacite'!$E$9</f>
        <v>0</v>
      </c>
    </row>
    <row r="5369" customFormat="false" ht="15" hidden="false" customHeight="false" outlineLevel="0" collapsed="false">
      <c r="B5369" s="130" t="n">
        <v>2027</v>
      </c>
      <c r="C5369" s="131" t="s">
        <v>250</v>
      </c>
      <c r="D5369" s="132" t="n">
        <v>46627</v>
      </c>
      <c r="E5369" s="131" t="s">
        <v>12</v>
      </c>
      <c r="F5369" s="133" t="s">
        <v>11</v>
      </c>
      <c r="G5369" s="134" t="n">
        <f aca="false">LEN('Saisie programme'!$I$169)+SUMIFS('Vols additionnels'!$E$7:$E$66,'Vols additionnels'!$C$7:$C$66,$E5369,'Vols additionnels'!$D$7:$D$66,$F5369,'Vols additionnels'!$B$7:$B$66,$D5369)</f>
        <v>1</v>
      </c>
      <c r="H5369" s="135" t="n">
        <f aca="false">$G5369*'Analyse capacite'!$F$7</f>
        <v>438</v>
      </c>
      <c r="I5369" s="135" t="n">
        <f aca="false">$G5369*'Analyse capacite'!$C$7</f>
        <v>14</v>
      </c>
      <c r="J5369" s="135" t="n">
        <f aca="false">$G5369*'Analyse capacite'!$D$7</f>
        <v>40</v>
      </c>
      <c r="K5369" s="135" t="n">
        <f aca="false">$G5369*'Analyse capacite'!$E$7</f>
        <v>384</v>
      </c>
    </row>
    <row r="5370" customFormat="false" ht="15" hidden="false" customHeight="false" outlineLevel="0" collapsed="false">
      <c r="B5370" s="130" t="n">
        <v>2027</v>
      </c>
      <c r="C5370" s="131" t="s">
        <v>250</v>
      </c>
      <c r="D5370" s="132" t="n">
        <v>46627</v>
      </c>
      <c r="E5370" s="131" t="s">
        <v>12</v>
      </c>
      <c r="F5370" s="133" t="s">
        <v>19</v>
      </c>
      <c r="G5370" s="134" t="n">
        <f aca="false">LEN('Saisie programme'!$I$170)+SUMIFS('Vols additionnels'!$E$7:$E$66,'Vols additionnels'!$C$7:$C$66,$E5370,'Vols additionnels'!$D$7:$D$66,$F5370,'Vols additionnels'!$B$7:$B$66,$D5370)</f>
        <v>1</v>
      </c>
      <c r="H5370" s="135" t="n">
        <f aca="false">$G5370*'Analyse capacite'!$F$8</f>
        <v>262</v>
      </c>
      <c r="I5370" s="135" t="n">
        <f aca="false">$G5370*'Analyse capacite'!$C$8</f>
        <v>18</v>
      </c>
      <c r="J5370" s="135" t="n">
        <f aca="false">$G5370*'Analyse capacite'!$D$8</f>
        <v>0</v>
      </c>
      <c r="K5370" s="135" t="n">
        <f aca="false">$G5370*'Analyse capacite'!$E$8</f>
        <v>244</v>
      </c>
    </row>
    <row r="5371" customFormat="false" ht="15" hidden="false" customHeight="false" outlineLevel="0" collapsed="false">
      <c r="B5371" s="130" t="n">
        <v>2027</v>
      </c>
      <c r="C5371" s="131" t="s">
        <v>250</v>
      </c>
      <c r="D5371" s="132" t="n">
        <v>46627</v>
      </c>
      <c r="E5371" s="131" t="s">
        <v>12</v>
      </c>
      <c r="F5371" s="133" t="s">
        <v>24</v>
      </c>
      <c r="G5371" s="134" t="n">
        <f aca="false">LEN('Saisie programme'!$I$171)+SUMIFS('Vols additionnels'!$E$7:$E$66,'Vols additionnels'!$C$7:$C$66,$E5371,'Vols additionnels'!$D$7:$D$66,$F5371,'Vols additionnels'!$B$7:$B$66,$D5371)</f>
        <v>0</v>
      </c>
      <c r="H5371" s="135" t="n">
        <f aca="false">$G5371*'Analyse capacite'!$F$9</f>
        <v>0</v>
      </c>
      <c r="I5371" s="135" t="n">
        <f aca="false">$G5371*'Analyse capacite'!$C$9</f>
        <v>0</v>
      </c>
      <c r="J5371" s="135" t="n">
        <f aca="false">$G5371*'Analyse capacite'!$D$9</f>
        <v>0</v>
      </c>
      <c r="K5371" s="135" t="n">
        <f aca="false">$G5371*'Analyse capacite'!$E$9</f>
        <v>0</v>
      </c>
    </row>
    <row r="5372" customFormat="false" ht="15" hidden="false" customHeight="false" outlineLevel="0" collapsed="false">
      <c r="B5372" s="130" t="n">
        <v>2027</v>
      </c>
      <c r="C5372" s="131" t="s">
        <v>250</v>
      </c>
      <c r="D5372" s="132" t="n">
        <v>46627</v>
      </c>
      <c r="E5372" s="131" t="s">
        <v>20</v>
      </c>
      <c r="F5372" s="133" t="s">
        <v>11</v>
      </c>
      <c r="G5372" s="134" t="n">
        <f aca="false">LEN('Saisie programme'!$I$172)+SUMIFS('Vols additionnels'!$E$7:$E$66,'Vols additionnels'!$C$7:$C$66,$E5372,'Vols additionnels'!$D$7:$D$66,$F5372,'Vols additionnels'!$B$7:$B$66,$D5372)</f>
        <v>0</v>
      </c>
      <c r="H5372" s="135" t="n">
        <f aca="false">$G5372*'Analyse capacite'!$F$7</f>
        <v>0</v>
      </c>
      <c r="I5372" s="135" t="n">
        <f aca="false">$G5372*'Analyse capacite'!$C$7</f>
        <v>0</v>
      </c>
      <c r="J5372" s="135" t="n">
        <f aca="false">$G5372*'Analyse capacite'!$D$7</f>
        <v>0</v>
      </c>
      <c r="K5372" s="135" t="n">
        <f aca="false">$G5372*'Analyse capacite'!$E$7</f>
        <v>0</v>
      </c>
    </row>
    <row r="5373" customFormat="false" ht="15" hidden="false" customHeight="false" outlineLevel="0" collapsed="false">
      <c r="B5373" s="130" t="n">
        <v>2027</v>
      </c>
      <c r="C5373" s="131" t="s">
        <v>250</v>
      </c>
      <c r="D5373" s="132" t="n">
        <v>46627</v>
      </c>
      <c r="E5373" s="131" t="s">
        <v>20</v>
      </c>
      <c r="F5373" s="133" t="s">
        <v>19</v>
      </c>
      <c r="G5373" s="134" t="n">
        <f aca="false">LEN('Saisie programme'!$I$173)+SUMIFS('Vols additionnels'!$E$7:$E$66,'Vols additionnels'!$C$7:$C$66,$E5373,'Vols additionnels'!$D$7:$D$66,$F5373,'Vols additionnels'!$B$7:$B$66,$D5373)</f>
        <v>0</v>
      </c>
      <c r="H5373" s="135" t="n">
        <f aca="false">$G5373*'Analyse capacite'!$F$8</f>
        <v>0</v>
      </c>
      <c r="I5373" s="135" t="n">
        <f aca="false">$G5373*'Analyse capacite'!$C$8</f>
        <v>0</v>
      </c>
      <c r="J5373" s="135" t="n">
        <f aca="false">$G5373*'Analyse capacite'!$D$8</f>
        <v>0</v>
      </c>
      <c r="K5373" s="135" t="n">
        <f aca="false">$G5373*'Analyse capacite'!$E$8</f>
        <v>0</v>
      </c>
    </row>
    <row r="5374" customFormat="false" ht="15" hidden="false" customHeight="false" outlineLevel="0" collapsed="false">
      <c r="B5374" s="130" t="n">
        <v>2027</v>
      </c>
      <c r="C5374" s="131" t="s">
        <v>250</v>
      </c>
      <c r="D5374" s="132" t="n">
        <v>46627</v>
      </c>
      <c r="E5374" s="131" t="s">
        <v>20</v>
      </c>
      <c r="F5374" s="133" t="s">
        <v>24</v>
      </c>
      <c r="G5374" s="134" t="n">
        <f aca="false">LEN('Saisie programme'!$I$174)+SUMIFS('Vols additionnels'!$E$7:$E$66,'Vols additionnels'!$C$7:$C$66,$E5374,'Vols additionnels'!$D$7:$D$66,$F5374,'Vols additionnels'!$B$7:$B$66,$D5374)</f>
        <v>0</v>
      </c>
      <c r="H5374" s="135" t="n">
        <f aca="false">$G5374*'Analyse capacite'!$F$9</f>
        <v>0</v>
      </c>
      <c r="I5374" s="135" t="n">
        <f aca="false">$G5374*'Analyse capacite'!$C$9</f>
        <v>0</v>
      </c>
      <c r="J5374" s="135" t="n">
        <f aca="false">$G5374*'Analyse capacite'!$D$9</f>
        <v>0</v>
      </c>
      <c r="K5374" s="135" t="n">
        <f aca="false">$G5374*'Analyse capacite'!$E$9</f>
        <v>0</v>
      </c>
    </row>
    <row r="5375" customFormat="false" ht="15" hidden="false" customHeight="false" outlineLevel="0" collapsed="false">
      <c r="B5375" s="130" t="n">
        <v>2027</v>
      </c>
      <c r="C5375" s="131" t="s">
        <v>250</v>
      </c>
      <c r="D5375" s="132" t="n">
        <v>46627</v>
      </c>
      <c r="E5375" s="131" t="s">
        <v>25</v>
      </c>
      <c r="F5375" s="133" t="s">
        <v>11</v>
      </c>
      <c r="G5375" s="134" t="n">
        <f aca="false">LEN('Saisie programme'!$I$175)+SUMIFS('Vols additionnels'!$E$7:$E$66,'Vols additionnels'!$C$7:$C$66,$E5375,'Vols additionnels'!$D$7:$D$66,$F5375,'Vols additionnels'!$B$7:$B$66,$D5375)</f>
        <v>0</v>
      </c>
      <c r="H5375" s="135" t="n">
        <f aca="false">$G5375*'Analyse capacite'!$F$7</f>
        <v>0</v>
      </c>
      <c r="I5375" s="135" t="n">
        <f aca="false">$G5375*'Analyse capacite'!$C$7</f>
        <v>0</v>
      </c>
      <c r="J5375" s="135" t="n">
        <f aca="false">$G5375*'Analyse capacite'!$D$7</f>
        <v>0</v>
      </c>
      <c r="K5375" s="135" t="n">
        <f aca="false">$G5375*'Analyse capacite'!$E$7</f>
        <v>0</v>
      </c>
    </row>
    <row r="5376" customFormat="false" ht="15" hidden="false" customHeight="false" outlineLevel="0" collapsed="false">
      <c r="B5376" s="130" t="n">
        <v>2027</v>
      </c>
      <c r="C5376" s="131" t="s">
        <v>250</v>
      </c>
      <c r="D5376" s="132" t="n">
        <v>46627</v>
      </c>
      <c r="E5376" s="131" t="s">
        <v>25</v>
      </c>
      <c r="F5376" s="133" t="s">
        <v>19</v>
      </c>
      <c r="G5376" s="134" t="n">
        <f aca="false">LEN('Saisie programme'!$I$176)+SUMIFS('Vols additionnels'!$E$7:$E$66,'Vols additionnels'!$C$7:$C$66,$E5376,'Vols additionnels'!$D$7:$D$66,$F5376,'Vols additionnels'!$B$7:$B$66,$D5376)</f>
        <v>1</v>
      </c>
      <c r="H5376" s="135" t="n">
        <f aca="false">$G5376*'Analyse capacite'!$F$8</f>
        <v>262</v>
      </c>
      <c r="I5376" s="135" t="n">
        <f aca="false">$G5376*'Analyse capacite'!$C$8</f>
        <v>18</v>
      </c>
      <c r="J5376" s="135" t="n">
        <f aca="false">$G5376*'Analyse capacite'!$D$8</f>
        <v>0</v>
      </c>
      <c r="K5376" s="135" t="n">
        <f aca="false">$G5376*'Analyse capacite'!$E$8</f>
        <v>244</v>
      </c>
    </row>
    <row r="5377" customFormat="false" ht="15" hidden="false" customHeight="false" outlineLevel="0" collapsed="false">
      <c r="B5377" s="130" t="n">
        <v>2027</v>
      </c>
      <c r="C5377" s="131" t="s">
        <v>250</v>
      </c>
      <c r="D5377" s="132" t="n">
        <v>46627</v>
      </c>
      <c r="E5377" s="131" t="s">
        <v>25</v>
      </c>
      <c r="F5377" s="133" t="s">
        <v>24</v>
      </c>
      <c r="G5377" s="134" t="n">
        <f aca="false">LEN('Saisie programme'!$I$177)+SUMIFS('Vols additionnels'!$E$7:$E$66,'Vols additionnels'!$C$7:$C$66,$E5377,'Vols additionnels'!$D$7:$D$66,$F5377,'Vols additionnels'!$B$7:$B$66,$D5377)</f>
        <v>0</v>
      </c>
      <c r="H5377" s="135" t="n">
        <f aca="false">$G5377*'Analyse capacite'!$F$9</f>
        <v>0</v>
      </c>
      <c r="I5377" s="135" t="n">
        <f aca="false">$G5377*'Analyse capacite'!$C$9</f>
        <v>0</v>
      </c>
      <c r="J5377" s="135" t="n">
        <f aca="false">$G5377*'Analyse capacite'!$D$9</f>
        <v>0</v>
      </c>
      <c r="K5377" s="135" t="n">
        <f aca="false">$G5377*'Analyse capacite'!$E$9</f>
        <v>0</v>
      </c>
    </row>
    <row r="5378" customFormat="false" ht="15" hidden="false" customHeight="false" outlineLevel="0" collapsed="false">
      <c r="B5378" s="130" t="n">
        <v>2027</v>
      </c>
      <c r="C5378" s="131" t="s">
        <v>250</v>
      </c>
      <c r="D5378" s="132" t="n">
        <v>46627</v>
      </c>
      <c r="E5378" s="131" t="s">
        <v>36</v>
      </c>
      <c r="F5378" s="133" t="s">
        <v>11</v>
      </c>
      <c r="G5378" s="134" t="n">
        <f aca="false">LEN('Saisie programme'!$I$178)+SUMIFS('Vols additionnels'!$E$7:$E$66,'Vols additionnels'!$C$7:$C$66,$E5378,'Vols additionnels'!$D$7:$D$66,$F5378,'Vols additionnels'!$B$7:$B$66,$D5378)</f>
        <v>0</v>
      </c>
      <c r="H5378" s="135" t="n">
        <f aca="false">$G5378*'Analyse capacite'!$F$7</f>
        <v>0</v>
      </c>
      <c r="I5378" s="135" t="n">
        <f aca="false">$G5378*'Analyse capacite'!$C$7</f>
        <v>0</v>
      </c>
      <c r="J5378" s="135" t="n">
        <f aca="false">$G5378*'Analyse capacite'!$D$7</f>
        <v>0</v>
      </c>
      <c r="K5378" s="135" t="n">
        <f aca="false">$G5378*'Analyse capacite'!$E$7</f>
        <v>0</v>
      </c>
    </row>
    <row r="5379" customFormat="false" ht="15" hidden="false" customHeight="false" outlineLevel="0" collapsed="false">
      <c r="B5379" s="130" t="n">
        <v>2027</v>
      </c>
      <c r="C5379" s="131" t="s">
        <v>250</v>
      </c>
      <c r="D5379" s="132" t="n">
        <v>46627</v>
      </c>
      <c r="E5379" s="131" t="s">
        <v>36</v>
      </c>
      <c r="F5379" s="133" t="s">
        <v>19</v>
      </c>
      <c r="G5379" s="134" t="n">
        <f aca="false">LEN('Saisie programme'!$I$179)+SUMIFS('Vols additionnels'!$E$7:$E$66,'Vols additionnels'!$C$7:$C$66,$E5379,'Vols additionnels'!$D$7:$D$66,$F5379,'Vols additionnels'!$B$7:$B$66,$D5379)</f>
        <v>0</v>
      </c>
      <c r="H5379" s="135" t="n">
        <f aca="false">$G5379*'Analyse capacite'!$F$8</f>
        <v>0</v>
      </c>
      <c r="I5379" s="135" t="n">
        <f aca="false">$G5379*'Analyse capacite'!$C$8</f>
        <v>0</v>
      </c>
      <c r="J5379" s="135" t="n">
        <f aca="false">$G5379*'Analyse capacite'!$D$8</f>
        <v>0</v>
      </c>
      <c r="K5379" s="135" t="n">
        <f aca="false">$G5379*'Analyse capacite'!$E$8</f>
        <v>0</v>
      </c>
    </row>
    <row r="5380" customFormat="false" ht="15" hidden="false" customHeight="false" outlineLevel="0" collapsed="false">
      <c r="B5380" s="130" t="n">
        <v>2027</v>
      </c>
      <c r="C5380" s="131" t="s">
        <v>250</v>
      </c>
      <c r="D5380" s="132" t="n">
        <v>46627</v>
      </c>
      <c r="E5380" s="131" t="s">
        <v>36</v>
      </c>
      <c r="F5380" s="133" t="s">
        <v>24</v>
      </c>
      <c r="G5380" s="134" t="n">
        <f aca="false">LEN('Saisie programme'!$I$180)+SUMIFS('Vols additionnels'!$E$7:$E$66,'Vols additionnels'!$C$7:$C$66,$E5380,'Vols additionnels'!$D$7:$D$66,$F5380,'Vols additionnels'!$B$7:$B$66,$D5380)</f>
        <v>0</v>
      </c>
      <c r="H5380" s="135" t="n">
        <f aca="false">$G5380*'Analyse capacite'!$F$9</f>
        <v>0</v>
      </c>
      <c r="I5380" s="135" t="n">
        <f aca="false">$G5380*'Analyse capacite'!$C$9</f>
        <v>0</v>
      </c>
      <c r="J5380" s="135" t="n">
        <f aca="false">$G5380*'Analyse capacite'!$D$9</f>
        <v>0</v>
      </c>
      <c r="K5380" s="135" t="n">
        <f aca="false">$G5380*'Analyse capacite'!$E$9</f>
        <v>0</v>
      </c>
    </row>
    <row r="5381" customFormat="false" ht="15" hidden="false" customHeight="false" outlineLevel="0" collapsed="false">
      <c r="B5381" s="130" t="n">
        <v>2027</v>
      </c>
      <c r="C5381" s="131" t="s">
        <v>250</v>
      </c>
      <c r="D5381" s="132" t="n">
        <v>46627</v>
      </c>
      <c r="E5381" s="131" t="s">
        <v>40</v>
      </c>
      <c r="F5381" s="133" t="s">
        <v>11</v>
      </c>
      <c r="G5381" s="134" t="n">
        <f aca="false">LEN('Saisie programme'!$I$181)+SUMIFS('Vols additionnels'!$E$7:$E$66,'Vols additionnels'!$C$7:$C$66,$E5381,'Vols additionnels'!$D$7:$D$66,$F5381,'Vols additionnels'!$B$7:$B$66,$D5381)</f>
        <v>0</v>
      </c>
      <c r="H5381" s="135" t="n">
        <f aca="false">$G5381*'Analyse capacite'!$F$7</f>
        <v>0</v>
      </c>
      <c r="I5381" s="135" t="n">
        <f aca="false">$G5381*'Analyse capacite'!$C$7</f>
        <v>0</v>
      </c>
      <c r="J5381" s="135" t="n">
        <f aca="false">$G5381*'Analyse capacite'!$D$7</f>
        <v>0</v>
      </c>
      <c r="K5381" s="135" t="n">
        <f aca="false">$G5381*'Analyse capacite'!$E$7</f>
        <v>0</v>
      </c>
    </row>
    <row r="5382" customFormat="false" ht="15" hidden="false" customHeight="false" outlineLevel="0" collapsed="false">
      <c r="B5382" s="130" t="n">
        <v>2027</v>
      </c>
      <c r="C5382" s="131" t="s">
        <v>250</v>
      </c>
      <c r="D5382" s="132" t="n">
        <v>46627</v>
      </c>
      <c r="E5382" s="131" t="s">
        <v>40</v>
      </c>
      <c r="F5382" s="133" t="s">
        <v>19</v>
      </c>
      <c r="G5382" s="134" t="n">
        <f aca="false">LEN('Saisie programme'!$I$182)+SUMIFS('Vols additionnels'!$E$7:$E$66,'Vols additionnels'!$C$7:$C$66,$E5382,'Vols additionnels'!$D$7:$D$66,$F5382,'Vols additionnels'!$B$7:$B$66,$D5382)</f>
        <v>0</v>
      </c>
      <c r="H5382" s="135" t="n">
        <f aca="false">$G5382*'Analyse capacite'!$F$8</f>
        <v>0</v>
      </c>
      <c r="I5382" s="135" t="n">
        <f aca="false">$G5382*'Analyse capacite'!$C$8</f>
        <v>0</v>
      </c>
      <c r="J5382" s="135" t="n">
        <f aca="false">$G5382*'Analyse capacite'!$D$8</f>
        <v>0</v>
      </c>
      <c r="K5382" s="135" t="n">
        <f aca="false">$G5382*'Analyse capacite'!$E$8</f>
        <v>0</v>
      </c>
    </row>
    <row r="5383" customFormat="false" ht="15" hidden="false" customHeight="false" outlineLevel="0" collapsed="false">
      <c r="B5383" s="130" t="n">
        <v>2027</v>
      </c>
      <c r="C5383" s="131" t="s">
        <v>250</v>
      </c>
      <c r="D5383" s="132" t="n">
        <v>46627</v>
      </c>
      <c r="E5383" s="131" t="s">
        <v>40</v>
      </c>
      <c r="F5383" s="133" t="s">
        <v>24</v>
      </c>
      <c r="G5383" s="134" t="n">
        <f aca="false">LEN('Saisie programme'!$I$183)+SUMIFS('Vols additionnels'!$E$7:$E$66,'Vols additionnels'!$C$7:$C$66,$E5383,'Vols additionnels'!$D$7:$D$66,$F5383,'Vols additionnels'!$B$7:$B$66,$D5383)</f>
        <v>0</v>
      </c>
      <c r="H5383" s="135" t="n">
        <f aca="false">$G5383*'Analyse capacite'!$F$9</f>
        <v>0</v>
      </c>
      <c r="I5383" s="135" t="n">
        <f aca="false">$G5383*'Analyse capacite'!$C$9</f>
        <v>0</v>
      </c>
      <c r="J5383" s="135" t="n">
        <f aca="false">$G5383*'Analyse capacite'!$D$9</f>
        <v>0</v>
      </c>
      <c r="K5383" s="135" t="n">
        <f aca="false">$G5383*'Analyse capacite'!$E$9</f>
        <v>0</v>
      </c>
    </row>
    <row r="5384" customFormat="false" ht="15" hidden="false" customHeight="false" outlineLevel="0" collapsed="false">
      <c r="B5384" s="130" t="n">
        <v>2027</v>
      </c>
      <c r="C5384" s="131" t="s">
        <v>250</v>
      </c>
      <c r="D5384" s="132" t="n">
        <v>46627</v>
      </c>
      <c r="E5384" s="131" t="s">
        <v>14</v>
      </c>
      <c r="F5384" s="133" t="s">
        <v>11</v>
      </c>
      <c r="G5384" s="134" t="n">
        <f aca="false">LEN('Saisie programme'!$I$184)+SUMIFS('Vols additionnels'!$E$7:$E$66,'Vols additionnels'!$C$7:$C$66,$E5384,'Vols additionnels'!$D$7:$D$66,$F5384,'Vols additionnels'!$B$7:$B$66,$D5384)</f>
        <v>0</v>
      </c>
      <c r="H5384" s="135" t="n">
        <f aca="false">$G5384*'Analyse capacite'!$F$7</f>
        <v>0</v>
      </c>
      <c r="I5384" s="135" t="n">
        <f aca="false">$G5384*'Analyse capacite'!$C$7</f>
        <v>0</v>
      </c>
      <c r="J5384" s="135" t="n">
        <f aca="false">$G5384*'Analyse capacite'!$D$7</f>
        <v>0</v>
      </c>
      <c r="K5384" s="135" t="n">
        <f aca="false">$G5384*'Analyse capacite'!$E$7</f>
        <v>0</v>
      </c>
    </row>
    <row r="5385" customFormat="false" ht="15" hidden="false" customHeight="false" outlineLevel="0" collapsed="false">
      <c r="B5385" s="130" t="n">
        <v>2027</v>
      </c>
      <c r="C5385" s="131" t="s">
        <v>250</v>
      </c>
      <c r="D5385" s="132" t="n">
        <v>46627</v>
      </c>
      <c r="E5385" s="131" t="s">
        <v>14</v>
      </c>
      <c r="F5385" s="133" t="s">
        <v>19</v>
      </c>
      <c r="G5385" s="134" t="n">
        <f aca="false">LEN('Saisie programme'!$I$185)+SUMIFS('Vols additionnels'!$E$7:$E$66,'Vols additionnels'!$C$7:$C$66,$E5385,'Vols additionnels'!$D$7:$D$66,$F5385,'Vols additionnels'!$B$7:$B$66,$D5385)</f>
        <v>0</v>
      </c>
      <c r="H5385" s="135" t="n">
        <f aca="false">$G5385*'Analyse capacite'!$F$8</f>
        <v>0</v>
      </c>
      <c r="I5385" s="135" t="n">
        <f aca="false">$G5385*'Analyse capacite'!$C$8</f>
        <v>0</v>
      </c>
      <c r="J5385" s="135" t="n">
        <f aca="false">$G5385*'Analyse capacite'!$D$8</f>
        <v>0</v>
      </c>
      <c r="K5385" s="135" t="n">
        <f aca="false">$G5385*'Analyse capacite'!$E$8</f>
        <v>0</v>
      </c>
    </row>
    <row r="5386" customFormat="false" ht="15" hidden="false" customHeight="false" outlineLevel="0" collapsed="false">
      <c r="B5386" s="130" t="n">
        <v>2027</v>
      </c>
      <c r="C5386" s="131" t="s">
        <v>250</v>
      </c>
      <c r="D5386" s="132" t="n">
        <v>46627</v>
      </c>
      <c r="E5386" s="131" t="s">
        <v>14</v>
      </c>
      <c r="F5386" s="133" t="s">
        <v>24</v>
      </c>
      <c r="G5386" s="134" t="n">
        <f aca="false">LEN('Saisie programme'!$I$186)+SUMIFS('Vols additionnels'!$E$7:$E$66,'Vols additionnels'!$C$7:$C$66,$E5386,'Vols additionnels'!$D$7:$D$66,$F5386,'Vols additionnels'!$B$7:$B$66,$D5386)</f>
        <v>1</v>
      </c>
      <c r="H5386" s="135" t="n">
        <f aca="false">$G5386*'Analyse capacite'!$F$9</f>
        <v>174</v>
      </c>
      <c r="I5386" s="135" t="n">
        <f aca="false">$G5386*'Analyse capacite'!$C$9</f>
        <v>0</v>
      </c>
      <c r="J5386" s="135" t="n">
        <f aca="false">$G5386*'Analyse capacite'!$D$9</f>
        <v>12</v>
      </c>
      <c r="K5386" s="135" t="n">
        <f aca="false">$G5386*'Analyse capacite'!$E$9</f>
        <v>162</v>
      </c>
    </row>
    <row r="5387" customFormat="false" ht="15" hidden="false" customHeight="false" outlineLevel="0" collapsed="false">
      <c r="B5387" s="130" t="n">
        <v>2027</v>
      </c>
      <c r="C5387" s="131" t="s">
        <v>250</v>
      </c>
      <c r="D5387" s="132" t="n">
        <v>46627</v>
      </c>
      <c r="E5387" s="131" t="s">
        <v>46</v>
      </c>
      <c r="F5387" s="133" t="s">
        <v>11</v>
      </c>
      <c r="G5387" s="134" t="n">
        <f aca="false">LEN('Saisie programme'!$I$187)+SUMIFS('Vols additionnels'!$E$7:$E$66,'Vols additionnels'!$C$7:$C$66,$E5387,'Vols additionnels'!$D$7:$D$66,$F5387,'Vols additionnels'!$B$7:$B$66,$D5387)</f>
        <v>0</v>
      </c>
      <c r="H5387" s="135" t="n">
        <f aca="false">$G5387*'Analyse capacite'!$F$7</f>
        <v>0</v>
      </c>
      <c r="I5387" s="135" t="n">
        <f aca="false">$G5387*'Analyse capacite'!$C$7</f>
        <v>0</v>
      </c>
      <c r="J5387" s="135" t="n">
        <f aca="false">$G5387*'Analyse capacite'!$D$7</f>
        <v>0</v>
      </c>
      <c r="K5387" s="135" t="n">
        <f aca="false">$G5387*'Analyse capacite'!$E$7</f>
        <v>0</v>
      </c>
    </row>
    <row r="5388" customFormat="false" ht="15" hidden="false" customHeight="false" outlineLevel="0" collapsed="false">
      <c r="B5388" s="130" t="n">
        <v>2027</v>
      </c>
      <c r="C5388" s="131" t="s">
        <v>250</v>
      </c>
      <c r="D5388" s="132" t="n">
        <v>46627</v>
      </c>
      <c r="E5388" s="131" t="s">
        <v>46</v>
      </c>
      <c r="F5388" s="133" t="s">
        <v>19</v>
      </c>
      <c r="G5388" s="134" t="n">
        <f aca="false">LEN('Saisie programme'!$I$188)+SUMIFS('Vols additionnels'!$E$7:$E$66,'Vols additionnels'!$C$7:$C$66,$E5388,'Vols additionnels'!$D$7:$D$66,$F5388,'Vols additionnels'!$B$7:$B$66,$D5388)</f>
        <v>0</v>
      </c>
      <c r="H5388" s="135" t="n">
        <f aca="false">$G5388*'Analyse capacite'!$F$8</f>
        <v>0</v>
      </c>
      <c r="I5388" s="135" t="n">
        <f aca="false">$G5388*'Analyse capacite'!$C$8</f>
        <v>0</v>
      </c>
      <c r="J5388" s="135" t="n">
        <f aca="false">$G5388*'Analyse capacite'!$D$8</f>
        <v>0</v>
      </c>
      <c r="K5388" s="135" t="n">
        <f aca="false">$G5388*'Analyse capacite'!$E$8</f>
        <v>0</v>
      </c>
    </row>
    <row r="5389" customFormat="false" ht="15" hidden="false" customHeight="false" outlineLevel="0" collapsed="false">
      <c r="B5389" s="130" t="n">
        <v>2027</v>
      </c>
      <c r="C5389" s="131" t="s">
        <v>250</v>
      </c>
      <c r="D5389" s="132" t="n">
        <v>46627</v>
      </c>
      <c r="E5389" s="131" t="s">
        <v>46</v>
      </c>
      <c r="F5389" s="133" t="s">
        <v>24</v>
      </c>
      <c r="G5389" s="134" t="n">
        <f aca="false">LEN('Saisie programme'!$I$189)+SUMIFS('Vols additionnels'!$E$7:$E$66,'Vols additionnels'!$C$7:$C$66,$E5389,'Vols additionnels'!$D$7:$D$66,$F5389,'Vols additionnels'!$B$7:$B$66,$D5389)</f>
        <v>1</v>
      </c>
      <c r="H5389" s="135" t="n">
        <f aca="false">$G5389*'Analyse capacite'!$F$9</f>
        <v>174</v>
      </c>
      <c r="I5389" s="135" t="n">
        <f aca="false">$G5389*'Analyse capacite'!$C$9</f>
        <v>0</v>
      </c>
      <c r="J5389" s="135" t="n">
        <f aca="false">$G5389*'Analyse capacite'!$D$9</f>
        <v>12</v>
      </c>
      <c r="K5389" s="135" t="n">
        <f aca="false">$G5389*'Analyse capacite'!$E$9</f>
        <v>162</v>
      </c>
    </row>
    <row r="5390" customFormat="false" ht="15" hidden="false" customHeight="false" outlineLevel="0" collapsed="false">
      <c r="B5390" s="130" t="n">
        <v>2027</v>
      </c>
      <c r="C5390" s="131" t="s">
        <v>250</v>
      </c>
      <c r="D5390" s="132" t="n">
        <v>46627</v>
      </c>
      <c r="E5390" s="131" t="s">
        <v>49</v>
      </c>
      <c r="F5390" s="133" t="s">
        <v>11</v>
      </c>
      <c r="G5390" s="134" t="n">
        <f aca="false">LEN('Saisie programme'!$I$190)+SUMIFS('Vols additionnels'!$E$7:$E$66,'Vols additionnels'!$C$7:$C$66,$E5390,'Vols additionnels'!$D$7:$D$66,$F5390,'Vols additionnels'!$B$7:$B$66,$D5390)</f>
        <v>0</v>
      </c>
      <c r="H5390" s="135" t="n">
        <f aca="false">$G5390*'Analyse capacite'!$F$7</f>
        <v>0</v>
      </c>
      <c r="I5390" s="135" t="n">
        <f aca="false">$G5390*'Analyse capacite'!$C$7</f>
        <v>0</v>
      </c>
      <c r="J5390" s="135" t="n">
        <f aca="false">$G5390*'Analyse capacite'!$D$7</f>
        <v>0</v>
      </c>
      <c r="K5390" s="135" t="n">
        <f aca="false">$G5390*'Analyse capacite'!$E$7</f>
        <v>0</v>
      </c>
    </row>
    <row r="5391" customFormat="false" ht="15" hidden="false" customHeight="false" outlineLevel="0" collapsed="false">
      <c r="B5391" s="130" t="n">
        <v>2027</v>
      </c>
      <c r="C5391" s="131" t="s">
        <v>250</v>
      </c>
      <c r="D5391" s="132" t="n">
        <v>46627</v>
      </c>
      <c r="E5391" s="131" t="s">
        <v>49</v>
      </c>
      <c r="F5391" s="133" t="s">
        <v>19</v>
      </c>
      <c r="G5391" s="134" t="n">
        <f aca="false">LEN('Saisie programme'!$I$191)+SUMIFS('Vols additionnels'!$E$7:$E$66,'Vols additionnels'!$C$7:$C$66,$E5391,'Vols additionnels'!$D$7:$D$66,$F5391,'Vols additionnels'!$B$7:$B$66,$D5391)</f>
        <v>0</v>
      </c>
      <c r="H5391" s="135" t="n">
        <f aca="false">$G5391*'Analyse capacite'!$F$8</f>
        <v>0</v>
      </c>
      <c r="I5391" s="135" t="n">
        <f aca="false">$G5391*'Analyse capacite'!$C$8</f>
        <v>0</v>
      </c>
      <c r="J5391" s="135" t="n">
        <f aca="false">$G5391*'Analyse capacite'!$D$8</f>
        <v>0</v>
      </c>
      <c r="K5391" s="135" t="n">
        <f aca="false">$G5391*'Analyse capacite'!$E$8</f>
        <v>0</v>
      </c>
    </row>
    <row r="5392" customFormat="false" ht="15" hidden="false" customHeight="false" outlineLevel="0" collapsed="false">
      <c r="B5392" s="130" t="n">
        <v>2027</v>
      </c>
      <c r="C5392" s="131" t="s">
        <v>250</v>
      </c>
      <c r="D5392" s="132" t="n">
        <v>46627</v>
      </c>
      <c r="E5392" s="131" t="s">
        <v>49</v>
      </c>
      <c r="F5392" s="133" t="s">
        <v>24</v>
      </c>
      <c r="G5392" s="134" t="n">
        <f aca="false">LEN('Saisie programme'!$I$192)+SUMIFS('Vols additionnels'!$E$7:$E$66,'Vols additionnels'!$C$7:$C$66,$E5392,'Vols additionnels'!$D$7:$D$66,$F5392,'Vols additionnels'!$B$7:$B$66,$D5392)</f>
        <v>0</v>
      </c>
      <c r="H5392" s="135" t="n">
        <f aca="false">$G5392*'Analyse capacite'!$F$9</f>
        <v>0</v>
      </c>
      <c r="I5392" s="135" t="n">
        <f aca="false">$G5392*'Analyse capacite'!$C$9</f>
        <v>0</v>
      </c>
      <c r="J5392" s="135" t="n">
        <f aca="false">$G5392*'Analyse capacite'!$D$9</f>
        <v>0</v>
      </c>
      <c r="K5392" s="135" t="n">
        <f aca="false">$G5392*'Analyse capacite'!$E$9</f>
        <v>0</v>
      </c>
    </row>
    <row r="5393" customFormat="false" ht="15" hidden="false" customHeight="false" outlineLevel="0" collapsed="false">
      <c r="B5393" s="130" t="n">
        <v>2027</v>
      </c>
      <c r="C5393" s="131" t="s">
        <v>250</v>
      </c>
      <c r="D5393" s="132" t="n">
        <v>46627</v>
      </c>
      <c r="E5393" s="131" t="s">
        <v>53</v>
      </c>
      <c r="F5393" s="133" t="s">
        <v>11</v>
      </c>
      <c r="G5393" s="134" t="n">
        <f aca="false">LEN('Saisie programme'!$I$193)+SUMIFS('Vols additionnels'!$E$7:$E$66,'Vols additionnels'!$C$7:$C$66,$E5393,'Vols additionnels'!$D$7:$D$66,$F5393,'Vols additionnels'!$B$7:$B$66,$D5393)</f>
        <v>0</v>
      </c>
      <c r="H5393" s="135" t="n">
        <f aca="false">$G5393*'Analyse capacite'!$F$7</f>
        <v>0</v>
      </c>
      <c r="I5393" s="135" t="n">
        <f aca="false">$G5393*'Analyse capacite'!$C$7</f>
        <v>0</v>
      </c>
      <c r="J5393" s="135" t="n">
        <f aca="false">$G5393*'Analyse capacite'!$D$7</f>
        <v>0</v>
      </c>
      <c r="K5393" s="135" t="n">
        <f aca="false">$G5393*'Analyse capacite'!$E$7</f>
        <v>0</v>
      </c>
    </row>
    <row r="5394" customFormat="false" ht="15" hidden="false" customHeight="false" outlineLevel="0" collapsed="false">
      <c r="B5394" s="130" t="n">
        <v>2027</v>
      </c>
      <c r="C5394" s="131" t="s">
        <v>250</v>
      </c>
      <c r="D5394" s="132" t="n">
        <v>46627</v>
      </c>
      <c r="E5394" s="131" t="s">
        <v>53</v>
      </c>
      <c r="F5394" s="133" t="s">
        <v>19</v>
      </c>
      <c r="G5394" s="134" t="n">
        <f aca="false">LEN('Saisie programme'!$I$194)+SUMIFS('Vols additionnels'!$E$7:$E$66,'Vols additionnels'!$C$7:$C$66,$E5394,'Vols additionnels'!$D$7:$D$66,$F5394,'Vols additionnels'!$B$7:$B$66,$D5394)</f>
        <v>0</v>
      </c>
      <c r="H5394" s="135" t="n">
        <f aca="false">$G5394*'Analyse capacite'!$F$8</f>
        <v>0</v>
      </c>
      <c r="I5394" s="135" t="n">
        <f aca="false">$G5394*'Analyse capacite'!$C$8</f>
        <v>0</v>
      </c>
      <c r="J5394" s="135" t="n">
        <f aca="false">$G5394*'Analyse capacite'!$D$8</f>
        <v>0</v>
      </c>
      <c r="K5394" s="135" t="n">
        <f aca="false">$G5394*'Analyse capacite'!$E$8</f>
        <v>0</v>
      </c>
    </row>
    <row r="5395" customFormat="false" ht="15" hidden="false" customHeight="false" outlineLevel="0" collapsed="false">
      <c r="B5395" s="130" t="n">
        <v>2027</v>
      </c>
      <c r="C5395" s="131" t="s">
        <v>250</v>
      </c>
      <c r="D5395" s="132" t="n">
        <v>46627</v>
      </c>
      <c r="E5395" s="131" t="s">
        <v>53</v>
      </c>
      <c r="F5395" s="133" t="s">
        <v>24</v>
      </c>
      <c r="G5395" s="134" t="n">
        <f aca="false">LEN('Saisie programme'!$I$195)+SUMIFS('Vols additionnels'!$E$7:$E$66,'Vols additionnels'!$C$7:$C$66,$E5395,'Vols additionnels'!$D$7:$D$66,$F5395,'Vols additionnels'!$B$7:$B$66,$D5395)</f>
        <v>0</v>
      </c>
      <c r="H5395" s="135" t="n">
        <f aca="false">$G5395*'Analyse capacite'!$F$9</f>
        <v>0</v>
      </c>
      <c r="I5395" s="135" t="n">
        <f aca="false">$G5395*'Analyse capacite'!$C$9</f>
        <v>0</v>
      </c>
      <c r="J5395" s="135" t="n">
        <f aca="false">$G5395*'Analyse capacite'!$D$9</f>
        <v>0</v>
      </c>
      <c r="K5395" s="135" t="n">
        <f aca="false">$G5395*'Analyse capacite'!$E$9</f>
        <v>0</v>
      </c>
    </row>
    <row r="5396" customFormat="false" ht="15" hidden="false" customHeight="false" outlineLevel="0" collapsed="false">
      <c r="B5396" s="130" t="n">
        <v>2027</v>
      </c>
      <c r="C5396" s="131" t="s">
        <v>250</v>
      </c>
      <c r="D5396" s="132" t="n">
        <v>46627</v>
      </c>
      <c r="E5396" s="131" t="s">
        <v>56</v>
      </c>
      <c r="F5396" s="133" t="s">
        <v>11</v>
      </c>
      <c r="G5396" s="134" t="n">
        <f aca="false">LEN('Saisie programme'!$I$196)+SUMIFS('Vols additionnels'!$E$7:$E$66,'Vols additionnels'!$C$7:$C$66,$E5396,'Vols additionnels'!$D$7:$D$66,$F5396,'Vols additionnels'!$B$7:$B$66,$D5396)</f>
        <v>0</v>
      </c>
      <c r="H5396" s="135" t="n">
        <f aca="false">$G5396*'Analyse capacite'!$F$7</f>
        <v>0</v>
      </c>
      <c r="I5396" s="135" t="n">
        <f aca="false">$G5396*'Analyse capacite'!$C$7</f>
        <v>0</v>
      </c>
      <c r="J5396" s="135" t="n">
        <f aca="false">$G5396*'Analyse capacite'!$D$7</f>
        <v>0</v>
      </c>
      <c r="K5396" s="135" t="n">
        <f aca="false">$G5396*'Analyse capacite'!$E$7</f>
        <v>0</v>
      </c>
    </row>
    <row r="5397" customFormat="false" ht="15" hidden="false" customHeight="false" outlineLevel="0" collapsed="false">
      <c r="B5397" s="130" t="n">
        <v>2027</v>
      </c>
      <c r="C5397" s="131" t="s">
        <v>250</v>
      </c>
      <c r="D5397" s="132" t="n">
        <v>46627</v>
      </c>
      <c r="E5397" s="131" t="s">
        <v>56</v>
      </c>
      <c r="F5397" s="133" t="s">
        <v>19</v>
      </c>
      <c r="G5397" s="134" t="n">
        <f aca="false">LEN('Saisie programme'!$I$197)+SUMIFS('Vols additionnels'!$E$7:$E$66,'Vols additionnels'!$C$7:$C$66,$E5397,'Vols additionnels'!$D$7:$D$66,$F5397,'Vols additionnels'!$B$7:$B$66,$D5397)</f>
        <v>0</v>
      </c>
      <c r="H5397" s="135" t="n">
        <f aca="false">$G5397*'Analyse capacite'!$F$8</f>
        <v>0</v>
      </c>
      <c r="I5397" s="135" t="n">
        <f aca="false">$G5397*'Analyse capacite'!$C$8</f>
        <v>0</v>
      </c>
      <c r="J5397" s="135" t="n">
        <f aca="false">$G5397*'Analyse capacite'!$D$8</f>
        <v>0</v>
      </c>
      <c r="K5397" s="135" t="n">
        <f aca="false">$G5397*'Analyse capacite'!$E$8</f>
        <v>0</v>
      </c>
    </row>
    <row r="5398" customFormat="false" ht="15" hidden="false" customHeight="false" outlineLevel="0" collapsed="false">
      <c r="B5398" s="130" t="n">
        <v>2027</v>
      </c>
      <c r="C5398" s="131" t="s">
        <v>250</v>
      </c>
      <c r="D5398" s="132" t="n">
        <v>46627</v>
      </c>
      <c r="E5398" s="131" t="s">
        <v>56</v>
      </c>
      <c r="F5398" s="133" t="s">
        <v>24</v>
      </c>
      <c r="G5398" s="134" t="n">
        <f aca="false">LEN('Saisie programme'!$I$198)+SUMIFS('Vols additionnels'!$E$7:$E$66,'Vols additionnels'!$C$7:$C$66,$E5398,'Vols additionnels'!$D$7:$D$66,$F5398,'Vols additionnels'!$B$7:$B$66,$D5398)</f>
        <v>1</v>
      </c>
      <c r="H5398" s="135" t="n">
        <f aca="false">$G5398*'Analyse capacite'!$F$9</f>
        <v>174</v>
      </c>
      <c r="I5398" s="135" t="n">
        <f aca="false">$G5398*'Analyse capacite'!$C$9</f>
        <v>0</v>
      </c>
      <c r="J5398" s="135" t="n">
        <f aca="false">$G5398*'Analyse capacite'!$D$9</f>
        <v>12</v>
      </c>
      <c r="K5398" s="135" t="n">
        <f aca="false">$G5398*'Analyse capacite'!$E$9</f>
        <v>162</v>
      </c>
    </row>
    <row r="5399" customFormat="false" ht="15" hidden="false" customHeight="false" outlineLevel="0" collapsed="false">
      <c r="B5399" s="130" t="n">
        <v>2027</v>
      </c>
      <c r="C5399" s="131" t="s">
        <v>250</v>
      </c>
      <c r="D5399" s="132" t="n">
        <v>46627</v>
      </c>
      <c r="E5399" s="131" t="s">
        <v>59</v>
      </c>
      <c r="F5399" s="133" t="s">
        <v>11</v>
      </c>
      <c r="G5399" s="134" t="n">
        <f aca="false">LEN('Saisie programme'!$I$199)+SUMIFS('Vols additionnels'!$E$7:$E$66,'Vols additionnels'!$C$7:$C$66,$E5399,'Vols additionnels'!$D$7:$D$66,$F5399,'Vols additionnels'!$B$7:$B$66,$D5399)</f>
        <v>0</v>
      </c>
      <c r="H5399" s="135" t="n">
        <f aca="false">$G5399*'Analyse capacite'!$F$7</f>
        <v>0</v>
      </c>
      <c r="I5399" s="135" t="n">
        <f aca="false">$G5399*'Analyse capacite'!$C$7</f>
        <v>0</v>
      </c>
      <c r="J5399" s="135" t="n">
        <f aca="false">$G5399*'Analyse capacite'!$D$7</f>
        <v>0</v>
      </c>
      <c r="K5399" s="135" t="n">
        <f aca="false">$G5399*'Analyse capacite'!$E$7</f>
        <v>0</v>
      </c>
    </row>
    <row r="5400" customFormat="false" ht="15" hidden="false" customHeight="false" outlineLevel="0" collapsed="false">
      <c r="B5400" s="130" t="n">
        <v>2027</v>
      </c>
      <c r="C5400" s="131" t="s">
        <v>250</v>
      </c>
      <c r="D5400" s="132" t="n">
        <v>46627</v>
      </c>
      <c r="E5400" s="131" t="s">
        <v>59</v>
      </c>
      <c r="F5400" s="133" t="s">
        <v>19</v>
      </c>
      <c r="G5400" s="134" t="n">
        <f aca="false">LEN('Saisie programme'!$I$200)+SUMIFS('Vols additionnels'!$E$7:$E$66,'Vols additionnels'!$C$7:$C$66,$E5400,'Vols additionnels'!$D$7:$D$66,$F5400,'Vols additionnels'!$B$7:$B$66,$D5400)</f>
        <v>0</v>
      </c>
      <c r="H5400" s="135" t="n">
        <f aca="false">$G5400*'Analyse capacite'!$F$8</f>
        <v>0</v>
      </c>
      <c r="I5400" s="135" t="n">
        <f aca="false">$G5400*'Analyse capacite'!$C$8</f>
        <v>0</v>
      </c>
      <c r="J5400" s="135" t="n">
        <f aca="false">$G5400*'Analyse capacite'!$D$8</f>
        <v>0</v>
      </c>
      <c r="K5400" s="135" t="n">
        <f aca="false">$G5400*'Analyse capacite'!$E$8</f>
        <v>0</v>
      </c>
    </row>
    <row r="5401" customFormat="false" ht="15" hidden="false" customHeight="false" outlineLevel="0" collapsed="false">
      <c r="B5401" s="130" t="n">
        <v>2027</v>
      </c>
      <c r="C5401" s="131" t="s">
        <v>250</v>
      </c>
      <c r="D5401" s="132" t="n">
        <v>46627</v>
      </c>
      <c r="E5401" s="131" t="s">
        <v>59</v>
      </c>
      <c r="F5401" s="133" t="s">
        <v>24</v>
      </c>
      <c r="G5401" s="134" t="n">
        <f aca="false">LEN('Saisie programme'!$I$201)+SUMIFS('Vols additionnels'!$E$7:$E$66,'Vols additionnels'!$C$7:$C$66,$E5401,'Vols additionnels'!$D$7:$D$66,$F5401,'Vols additionnels'!$B$7:$B$66,$D5401)</f>
        <v>1</v>
      </c>
      <c r="H5401" s="135" t="n">
        <f aca="false">$G5401*'Analyse capacite'!$F$9</f>
        <v>174</v>
      </c>
      <c r="I5401" s="135" t="n">
        <f aca="false">$G5401*'Analyse capacite'!$C$9</f>
        <v>0</v>
      </c>
      <c r="J5401" s="135" t="n">
        <f aca="false">$G5401*'Analyse capacite'!$D$9</f>
        <v>12</v>
      </c>
      <c r="K5401" s="135" t="n">
        <f aca="false">$G5401*'Analyse capacite'!$E$9</f>
        <v>162</v>
      </c>
    </row>
    <row r="5402" customFormat="false" ht="15" hidden="false" customHeight="false" outlineLevel="0" collapsed="false">
      <c r="B5402" s="130" t="n">
        <v>2027</v>
      </c>
      <c r="C5402" s="131" t="s">
        <v>250</v>
      </c>
      <c r="D5402" s="132" t="n">
        <v>46627</v>
      </c>
      <c r="E5402" s="131" t="s">
        <v>62</v>
      </c>
      <c r="F5402" s="133" t="s">
        <v>11</v>
      </c>
      <c r="G5402" s="134" t="n">
        <f aca="false">LEN('Saisie programme'!$I$202)+SUMIFS('Vols additionnels'!$E$7:$E$66,'Vols additionnels'!$C$7:$C$66,$E5402,'Vols additionnels'!$D$7:$D$66,$F5402,'Vols additionnels'!$B$7:$B$66,$D5402)</f>
        <v>0</v>
      </c>
      <c r="H5402" s="135" t="n">
        <f aca="false">$G5402*'Analyse capacite'!$F$7</f>
        <v>0</v>
      </c>
      <c r="I5402" s="135" t="n">
        <f aca="false">$G5402*'Analyse capacite'!$C$7</f>
        <v>0</v>
      </c>
      <c r="J5402" s="135" t="n">
        <f aca="false">$G5402*'Analyse capacite'!$D$7</f>
        <v>0</v>
      </c>
      <c r="K5402" s="135" t="n">
        <f aca="false">$G5402*'Analyse capacite'!$E$7</f>
        <v>0</v>
      </c>
    </row>
    <row r="5403" customFormat="false" ht="15" hidden="false" customHeight="false" outlineLevel="0" collapsed="false">
      <c r="B5403" s="130" t="n">
        <v>2027</v>
      </c>
      <c r="C5403" s="131" t="s">
        <v>250</v>
      </c>
      <c r="D5403" s="132" t="n">
        <v>46627</v>
      </c>
      <c r="E5403" s="131" t="s">
        <v>62</v>
      </c>
      <c r="F5403" s="133" t="s">
        <v>19</v>
      </c>
      <c r="G5403" s="134" t="n">
        <f aca="false">LEN('Saisie programme'!$I$203)+SUMIFS('Vols additionnels'!$E$7:$E$66,'Vols additionnels'!$C$7:$C$66,$E5403,'Vols additionnels'!$D$7:$D$66,$F5403,'Vols additionnels'!$B$7:$B$66,$D5403)</f>
        <v>0</v>
      </c>
      <c r="H5403" s="135" t="n">
        <f aca="false">$G5403*'Analyse capacite'!$F$8</f>
        <v>0</v>
      </c>
      <c r="I5403" s="135" t="n">
        <f aca="false">$G5403*'Analyse capacite'!$C$8</f>
        <v>0</v>
      </c>
      <c r="J5403" s="135" t="n">
        <f aca="false">$G5403*'Analyse capacite'!$D$8</f>
        <v>0</v>
      </c>
      <c r="K5403" s="135" t="n">
        <f aca="false">$G5403*'Analyse capacite'!$E$8</f>
        <v>0</v>
      </c>
    </row>
    <row r="5404" customFormat="false" ht="15" hidden="false" customHeight="false" outlineLevel="0" collapsed="false">
      <c r="B5404" s="130" t="n">
        <v>2027</v>
      </c>
      <c r="C5404" s="131" t="s">
        <v>250</v>
      </c>
      <c r="D5404" s="132" t="n">
        <v>46627</v>
      </c>
      <c r="E5404" s="131" t="s">
        <v>62</v>
      </c>
      <c r="F5404" s="133" t="s">
        <v>24</v>
      </c>
      <c r="G5404" s="134" t="n">
        <f aca="false">LEN('Saisie programme'!$I$204)+SUMIFS('Vols additionnels'!$E$7:$E$66,'Vols additionnels'!$C$7:$C$66,$E5404,'Vols additionnels'!$D$7:$D$66,$F5404,'Vols additionnels'!$B$7:$B$66,$D5404)</f>
        <v>0</v>
      </c>
      <c r="H5404" s="135" t="n">
        <f aca="false">$G5404*'Analyse capacite'!$F$9</f>
        <v>0</v>
      </c>
      <c r="I5404" s="135" t="n">
        <f aca="false">$G5404*'Analyse capacite'!$C$9</f>
        <v>0</v>
      </c>
      <c r="J5404" s="135" t="n">
        <f aca="false">$G5404*'Analyse capacite'!$D$9</f>
        <v>0</v>
      </c>
      <c r="K5404" s="135" t="n">
        <f aca="false">$G5404*'Analyse capacite'!$E$9</f>
        <v>0</v>
      </c>
    </row>
    <row r="5405" customFormat="false" ht="15" hidden="false" customHeight="false" outlineLevel="0" collapsed="false">
      <c r="B5405" s="130" t="n">
        <v>2027</v>
      </c>
      <c r="C5405" s="131" t="s">
        <v>250</v>
      </c>
      <c r="D5405" s="132" t="n">
        <v>46628</v>
      </c>
      <c r="E5405" s="131" t="s">
        <v>12</v>
      </c>
      <c r="F5405" s="133" t="s">
        <v>11</v>
      </c>
      <c r="G5405" s="134" t="n">
        <f aca="false">LEN('Saisie programme'!$J$169)+SUMIFS('Vols additionnels'!$E$7:$E$66,'Vols additionnels'!$C$7:$C$66,$E5405,'Vols additionnels'!$D$7:$D$66,$F5405,'Vols additionnels'!$B$7:$B$66,$D5405)</f>
        <v>1</v>
      </c>
      <c r="H5405" s="135" t="n">
        <f aca="false">$G5405*'Analyse capacite'!$F$7</f>
        <v>438</v>
      </c>
      <c r="I5405" s="135" t="n">
        <f aca="false">$G5405*'Analyse capacite'!$C$7</f>
        <v>14</v>
      </c>
      <c r="J5405" s="135" t="n">
        <f aca="false">$G5405*'Analyse capacite'!$D$7</f>
        <v>40</v>
      </c>
      <c r="K5405" s="135" t="n">
        <f aca="false">$G5405*'Analyse capacite'!$E$7</f>
        <v>384</v>
      </c>
    </row>
    <row r="5406" customFormat="false" ht="15" hidden="false" customHeight="false" outlineLevel="0" collapsed="false">
      <c r="B5406" s="130" t="n">
        <v>2027</v>
      </c>
      <c r="C5406" s="131" t="s">
        <v>250</v>
      </c>
      <c r="D5406" s="132" t="n">
        <v>46628</v>
      </c>
      <c r="E5406" s="131" t="s">
        <v>12</v>
      </c>
      <c r="F5406" s="133" t="s">
        <v>19</v>
      </c>
      <c r="G5406" s="134" t="n">
        <f aca="false">LEN('Saisie programme'!$J$170)+SUMIFS('Vols additionnels'!$E$7:$E$66,'Vols additionnels'!$C$7:$C$66,$E5406,'Vols additionnels'!$D$7:$D$66,$F5406,'Vols additionnels'!$B$7:$B$66,$D5406)</f>
        <v>1</v>
      </c>
      <c r="H5406" s="135" t="n">
        <f aca="false">$G5406*'Analyse capacite'!$F$8</f>
        <v>262</v>
      </c>
      <c r="I5406" s="135" t="n">
        <f aca="false">$G5406*'Analyse capacite'!$C$8</f>
        <v>18</v>
      </c>
      <c r="J5406" s="135" t="n">
        <f aca="false">$G5406*'Analyse capacite'!$D$8</f>
        <v>0</v>
      </c>
      <c r="K5406" s="135" t="n">
        <f aca="false">$G5406*'Analyse capacite'!$E$8</f>
        <v>244</v>
      </c>
    </row>
    <row r="5407" customFormat="false" ht="15" hidden="false" customHeight="false" outlineLevel="0" collapsed="false">
      <c r="B5407" s="130" t="n">
        <v>2027</v>
      </c>
      <c r="C5407" s="131" t="s">
        <v>250</v>
      </c>
      <c r="D5407" s="132" t="n">
        <v>46628</v>
      </c>
      <c r="E5407" s="131" t="s">
        <v>12</v>
      </c>
      <c r="F5407" s="133" t="s">
        <v>24</v>
      </c>
      <c r="G5407" s="134" t="n">
        <f aca="false">LEN('Saisie programme'!$J$171)+SUMIFS('Vols additionnels'!$E$7:$E$66,'Vols additionnels'!$C$7:$C$66,$E5407,'Vols additionnels'!$D$7:$D$66,$F5407,'Vols additionnels'!$B$7:$B$66,$D5407)</f>
        <v>0</v>
      </c>
      <c r="H5407" s="135" t="n">
        <f aca="false">$G5407*'Analyse capacite'!$F$9</f>
        <v>0</v>
      </c>
      <c r="I5407" s="135" t="n">
        <f aca="false">$G5407*'Analyse capacite'!$C$9</f>
        <v>0</v>
      </c>
      <c r="J5407" s="135" t="n">
        <f aca="false">$G5407*'Analyse capacite'!$D$9</f>
        <v>0</v>
      </c>
      <c r="K5407" s="135" t="n">
        <f aca="false">$G5407*'Analyse capacite'!$E$9</f>
        <v>0</v>
      </c>
    </row>
    <row r="5408" customFormat="false" ht="15" hidden="false" customHeight="false" outlineLevel="0" collapsed="false">
      <c r="B5408" s="130" t="n">
        <v>2027</v>
      </c>
      <c r="C5408" s="131" t="s">
        <v>250</v>
      </c>
      <c r="D5408" s="132" t="n">
        <v>46628</v>
      </c>
      <c r="E5408" s="131" t="s">
        <v>20</v>
      </c>
      <c r="F5408" s="133" t="s">
        <v>11</v>
      </c>
      <c r="G5408" s="134" t="n">
        <f aca="false">LEN('Saisie programme'!$J$172)+SUMIFS('Vols additionnels'!$E$7:$E$66,'Vols additionnels'!$C$7:$C$66,$E5408,'Vols additionnels'!$D$7:$D$66,$F5408,'Vols additionnels'!$B$7:$B$66,$D5408)</f>
        <v>1</v>
      </c>
      <c r="H5408" s="135" t="n">
        <f aca="false">$G5408*'Analyse capacite'!$F$7</f>
        <v>438</v>
      </c>
      <c r="I5408" s="135" t="n">
        <f aca="false">$G5408*'Analyse capacite'!$C$7</f>
        <v>14</v>
      </c>
      <c r="J5408" s="135" t="n">
        <f aca="false">$G5408*'Analyse capacite'!$D$7</f>
        <v>40</v>
      </c>
      <c r="K5408" s="135" t="n">
        <f aca="false">$G5408*'Analyse capacite'!$E$7</f>
        <v>384</v>
      </c>
    </row>
    <row r="5409" customFormat="false" ht="15" hidden="false" customHeight="false" outlineLevel="0" collapsed="false">
      <c r="B5409" s="130" t="n">
        <v>2027</v>
      </c>
      <c r="C5409" s="131" t="s">
        <v>250</v>
      </c>
      <c r="D5409" s="132" t="n">
        <v>46628</v>
      </c>
      <c r="E5409" s="131" t="s">
        <v>20</v>
      </c>
      <c r="F5409" s="133" t="s">
        <v>19</v>
      </c>
      <c r="G5409" s="134" t="n">
        <f aca="false">LEN('Saisie programme'!$J$173)+SUMIFS('Vols additionnels'!$E$7:$E$66,'Vols additionnels'!$C$7:$C$66,$E5409,'Vols additionnels'!$D$7:$D$66,$F5409,'Vols additionnels'!$B$7:$B$66,$D5409)</f>
        <v>0</v>
      </c>
      <c r="H5409" s="135" t="n">
        <f aca="false">$G5409*'Analyse capacite'!$F$8</f>
        <v>0</v>
      </c>
      <c r="I5409" s="135" t="n">
        <f aca="false">$G5409*'Analyse capacite'!$C$8</f>
        <v>0</v>
      </c>
      <c r="J5409" s="135" t="n">
        <f aca="false">$G5409*'Analyse capacite'!$D$8</f>
        <v>0</v>
      </c>
      <c r="K5409" s="135" t="n">
        <f aca="false">$G5409*'Analyse capacite'!$E$8</f>
        <v>0</v>
      </c>
    </row>
    <row r="5410" customFormat="false" ht="15" hidden="false" customHeight="false" outlineLevel="0" collapsed="false">
      <c r="B5410" s="130" t="n">
        <v>2027</v>
      </c>
      <c r="C5410" s="131" t="s">
        <v>250</v>
      </c>
      <c r="D5410" s="132" t="n">
        <v>46628</v>
      </c>
      <c r="E5410" s="131" t="s">
        <v>20</v>
      </c>
      <c r="F5410" s="133" t="s">
        <v>24</v>
      </c>
      <c r="G5410" s="134" t="n">
        <f aca="false">LEN('Saisie programme'!$J$174)+SUMIFS('Vols additionnels'!$E$7:$E$66,'Vols additionnels'!$C$7:$C$66,$E5410,'Vols additionnels'!$D$7:$D$66,$F5410,'Vols additionnels'!$B$7:$B$66,$D5410)</f>
        <v>0</v>
      </c>
      <c r="H5410" s="135" t="n">
        <f aca="false">$G5410*'Analyse capacite'!$F$9</f>
        <v>0</v>
      </c>
      <c r="I5410" s="135" t="n">
        <f aca="false">$G5410*'Analyse capacite'!$C$9</f>
        <v>0</v>
      </c>
      <c r="J5410" s="135" t="n">
        <f aca="false">$G5410*'Analyse capacite'!$D$9</f>
        <v>0</v>
      </c>
      <c r="K5410" s="135" t="n">
        <f aca="false">$G5410*'Analyse capacite'!$E$9</f>
        <v>0</v>
      </c>
    </row>
    <row r="5411" customFormat="false" ht="15" hidden="false" customHeight="false" outlineLevel="0" collapsed="false">
      <c r="B5411" s="130" t="n">
        <v>2027</v>
      </c>
      <c r="C5411" s="131" t="s">
        <v>250</v>
      </c>
      <c r="D5411" s="132" t="n">
        <v>46628</v>
      </c>
      <c r="E5411" s="131" t="s">
        <v>25</v>
      </c>
      <c r="F5411" s="133" t="s">
        <v>11</v>
      </c>
      <c r="G5411" s="134" t="n">
        <f aca="false">LEN('Saisie programme'!$J$175)+SUMIFS('Vols additionnels'!$E$7:$E$66,'Vols additionnels'!$C$7:$C$66,$E5411,'Vols additionnels'!$D$7:$D$66,$F5411,'Vols additionnels'!$B$7:$B$66,$D5411)</f>
        <v>0</v>
      </c>
      <c r="H5411" s="135" t="n">
        <f aca="false">$G5411*'Analyse capacite'!$F$7</f>
        <v>0</v>
      </c>
      <c r="I5411" s="135" t="n">
        <f aca="false">$G5411*'Analyse capacite'!$C$7</f>
        <v>0</v>
      </c>
      <c r="J5411" s="135" t="n">
        <f aca="false">$G5411*'Analyse capacite'!$D$7</f>
        <v>0</v>
      </c>
      <c r="K5411" s="135" t="n">
        <f aca="false">$G5411*'Analyse capacite'!$E$7</f>
        <v>0</v>
      </c>
    </row>
    <row r="5412" customFormat="false" ht="15" hidden="false" customHeight="false" outlineLevel="0" collapsed="false">
      <c r="B5412" s="130" t="n">
        <v>2027</v>
      </c>
      <c r="C5412" s="131" t="s">
        <v>250</v>
      </c>
      <c r="D5412" s="132" t="n">
        <v>46628</v>
      </c>
      <c r="E5412" s="131" t="s">
        <v>25</v>
      </c>
      <c r="F5412" s="133" t="s">
        <v>19</v>
      </c>
      <c r="G5412" s="134" t="n">
        <f aca="false">LEN('Saisie programme'!$J$176)+SUMIFS('Vols additionnels'!$E$7:$E$66,'Vols additionnels'!$C$7:$C$66,$E5412,'Vols additionnels'!$D$7:$D$66,$F5412,'Vols additionnels'!$B$7:$B$66,$D5412)</f>
        <v>0</v>
      </c>
      <c r="H5412" s="135" t="n">
        <f aca="false">$G5412*'Analyse capacite'!$F$8</f>
        <v>0</v>
      </c>
      <c r="I5412" s="135" t="n">
        <f aca="false">$G5412*'Analyse capacite'!$C$8</f>
        <v>0</v>
      </c>
      <c r="J5412" s="135" t="n">
        <f aca="false">$G5412*'Analyse capacite'!$D$8</f>
        <v>0</v>
      </c>
      <c r="K5412" s="135" t="n">
        <f aca="false">$G5412*'Analyse capacite'!$E$8</f>
        <v>0</v>
      </c>
    </row>
    <row r="5413" customFormat="false" ht="15" hidden="false" customHeight="false" outlineLevel="0" collapsed="false">
      <c r="B5413" s="130" t="n">
        <v>2027</v>
      </c>
      <c r="C5413" s="131" t="s">
        <v>250</v>
      </c>
      <c r="D5413" s="132" t="n">
        <v>46628</v>
      </c>
      <c r="E5413" s="131" t="s">
        <v>25</v>
      </c>
      <c r="F5413" s="133" t="s">
        <v>24</v>
      </c>
      <c r="G5413" s="134" t="n">
        <f aca="false">LEN('Saisie programme'!$J$177)+SUMIFS('Vols additionnels'!$E$7:$E$66,'Vols additionnels'!$C$7:$C$66,$E5413,'Vols additionnels'!$D$7:$D$66,$F5413,'Vols additionnels'!$B$7:$B$66,$D5413)</f>
        <v>0</v>
      </c>
      <c r="H5413" s="135" t="n">
        <f aca="false">$G5413*'Analyse capacite'!$F$9</f>
        <v>0</v>
      </c>
      <c r="I5413" s="135" t="n">
        <f aca="false">$G5413*'Analyse capacite'!$C$9</f>
        <v>0</v>
      </c>
      <c r="J5413" s="135" t="n">
        <f aca="false">$G5413*'Analyse capacite'!$D$9</f>
        <v>0</v>
      </c>
      <c r="K5413" s="135" t="n">
        <f aca="false">$G5413*'Analyse capacite'!$E$9</f>
        <v>0</v>
      </c>
    </row>
    <row r="5414" customFormat="false" ht="15" hidden="false" customHeight="false" outlineLevel="0" collapsed="false">
      <c r="B5414" s="130" t="n">
        <v>2027</v>
      </c>
      <c r="C5414" s="131" t="s">
        <v>250</v>
      </c>
      <c r="D5414" s="132" t="n">
        <v>46628</v>
      </c>
      <c r="E5414" s="131" t="s">
        <v>36</v>
      </c>
      <c r="F5414" s="133" t="s">
        <v>11</v>
      </c>
      <c r="G5414" s="134" t="n">
        <f aca="false">LEN('Saisie programme'!$J$178)+SUMIFS('Vols additionnels'!$E$7:$E$66,'Vols additionnels'!$C$7:$C$66,$E5414,'Vols additionnels'!$D$7:$D$66,$F5414,'Vols additionnels'!$B$7:$B$66,$D5414)</f>
        <v>0</v>
      </c>
      <c r="H5414" s="135" t="n">
        <f aca="false">$G5414*'Analyse capacite'!$F$7</f>
        <v>0</v>
      </c>
      <c r="I5414" s="135" t="n">
        <f aca="false">$G5414*'Analyse capacite'!$C$7</f>
        <v>0</v>
      </c>
      <c r="J5414" s="135" t="n">
        <f aca="false">$G5414*'Analyse capacite'!$D$7</f>
        <v>0</v>
      </c>
      <c r="K5414" s="135" t="n">
        <f aca="false">$G5414*'Analyse capacite'!$E$7</f>
        <v>0</v>
      </c>
    </row>
    <row r="5415" customFormat="false" ht="15" hidden="false" customHeight="false" outlineLevel="0" collapsed="false">
      <c r="B5415" s="130" t="n">
        <v>2027</v>
      </c>
      <c r="C5415" s="131" t="s">
        <v>250</v>
      </c>
      <c r="D5415" s="132" t="n">
        <v>46628</v>
      </c>
      <c r="E5415" s="131" t="s">
        <v>36</v>
      </c>
      <c r="F5415" s="133" t="s">
        <v>19</v>
      </c>
      <c r="G5415" s="134" t="n">
        <f aca="false">LEN('Saisie programme'!$J$179)+SUMIFS('Vols additionnels'!$E$7:$E$66,'Vols additionnels'!$C$7:$C$66,$E5415,'Vols additionnels'!$D$7:$D$66,$F5415,'Vols additionnels'!$B$7:$B$66,$D5415)</f>
        <v>0</v>
      </c>
      <c r="H5415" s="135" t="n">
        <f aca="false">$G5415*'Analyse capacite'!$F$8</f>
        <v>0</v>
      </c>
      <c r="I5415" s="135" t="n">
        <f aca="false">$G5415*'Analyse capacite'!$C$8</f>
        <v>0</v>
      </c>
      <c r="J5415" s="135" t="n">
        <f aca="false">$G5415*'Analyse capacite'!$D$8</f>
        <v>0</v>
      </c>
      <c r="K5415" s="135" t="n">
        <f aca="false">$G5415*'Analyse capacite'!$E$8</f>
        <v>0</v>
      </c>
    </row>
    <row r="5416" customFormat="false" ht="15" hidden="false" customHeight="false" outlineLevel="0" collapsed="false">
      <c r="B5416" s="130" t="n">
        <v>2027</v>
      </c>
      <c r="C5416" s="131" t="s">
        <v>250</v>
      </c>
      <c r="D5416" s="132" t="n">
        <v>46628</v>
      </c>
      <c r="E5416" s="131" t="s">
        <v>36</v>
      </c>
      <c r="F5416" s="133" t="s">
        <v>24</v>
      </c>
      <c r="G5416" s="134" t="n">
        <f aca="false">LEN('Saisie programme'!$J$180)+SUMIFS('Vols additionnels'!$E$7:$E$66,'Vols additionnels'!$C$7:$C$66,$E5416,'Vols additionnels'!$D$7:$D$66,$F5416,'Vols additionnels'!$B$7:$B$66,$D5416)</f>
        <v>0</v>
      </c>
      <c r="H5416" s="135" t="n">
        <f aca="false">$G5416*'Analyse capacite'!$F$9</f>
        <v>0</v>
      </c>
      <c r="I5416" s="135" t="n">
        <f aca="false">$G5416*'Analyse capacite'!$C$9</f>
        <v>0</v>
      </c>
      <c r="J5416" s="135" t="n">
        <f aca="false">$G5416*'Analyse capacite'!$D$9</f>
        <v>0</v>
      </c>
      <c r="K5416" s="135" t="n">
        <f aca="false">$G5416*'Analyse capacite'!$E$9</f>
        <v>0</v>
      </c>
    </row>
    <row r="5417" customFormat="false" ht="15" hidden="false" customHeight="false" outlineLevel="0" collapsed="false">
      <c r="B5417" s="130" t="n">
        <v>2027</v>
      </c>
      <c r="C5417" s="131" t="s">
        <v>250</v>
      </c>
      <c r="D5417" s="132" t="n">
        <v>46628</v>
      </c>
      <c r="E5417" s="131" t="s">
        <v>40</v>
      </c>
      <c r="F5417" s="133" t="s">
        <v>11</v>
      </c>
      <c r="G5417" s="134" t="n">
        <f aca="false">LEN('Saisie programme'!$J$181)+SUMIFS('Vols additionnels'!$E$7:$E$66,'Vols additionnels'!$C$7:$C$66,$E5417,'Vols additionnels'!$D$7:$D$66,$F5417,'Vols additionnels'!$B$7:$B$66,$D5417)</f>
        <v>0</v>
      </c>
      <c r="H5417" s="135" t="n">
        <f aca="false">$G5417*'Analyse capacite'!$F$7</f>
        <v>0</v>
      </c>
      <c r="I5417" s="135" t="n">
        <f aca="false">$G5417*'Analyse capacite'!$C$7</f>
        <v>0</v>
      </c>
      <c r="J5417" s="135" t="n">
        <f aca="false">$G5417*'Analyse capacite'!$D$7</f>
        <v>0</v>
      </c>
      <c r="K5417" s="135" t="n">
        <f aca="false">$G5417*'Analyse capacite'!$E$7</f>
        <v>0</v>
      </c>
    </row>
    <row r="5418" customFormat="false" ht="15" hidden="false" customHeight="false" outlineLevel="0" collapsed="false">
      <c r="B5418" s="130" t="n">
        <v>2027</v>
      </c>
      <c r="C5418" s="131" t="s">
        <v>250</v>
      </c>
      <c r="D5418" s="132" t="n">
        <v>46628</v>
      </c>
      <c r="E5418" s="131" t="s">
        <v>40</v>
      </c>
      <c r="F5418" s="133" t="s">
        <v>19</v>
      </c>
      <c r="G5418" s="134" t="n">
        <f aca="false">LEN('Saisie programme'!$J$182)+SUMIFS('Vols additionnels'!$E$7:$E$66,'Vols additionnels'!$C$7:$C$66,$E5418,'Vols additionnels'!$D$7:$D$66,$F5418,'Vols additionnels'!$B$7:$B$66,$D5418)</f>
        <v>0</v>
      </c>
      <c r="H5418" s="135" t="n">
        <f aca="false">$G5418*'Analyse capacite'!$F$8</f>
        <v>0</v>
      </c>
      <c r="I5418" s="135" t="n">
        <f aca="false">$G5418*'Analyse capacite'!$C$8</f>
        <v>0</v>
      </c>
      <c r="J5418" s="135" t="n">
        <f aca="false">$G5418*'Analyse capacite'!$D$8</f>
        <v>0</v>
      </c>
      <c r="K5418" s="135" t="n">
        <f aca="false">$G5418*'Analyse capacite'!$E$8</f>
        <v>0</v>
      </c>
    </row>
    <row r="5419" customFormat="false" ht="15" hidden="false" customHeight="false" outlineLevel="0" collapsed="false">
      <c r="B5419" s="130" t="n">
        <v>2027</v>
      </c>
      <c r="C5419" s="131" t="s">
        <v>250</v>
      </c>
      <c r="D5419" s="132" t="n">
        <v>46628</v>
      </c>
      <c r="E5419" s="131" t="s">
        <v>40</v>
      </c>
      <c r="F5419" s="133" t="s">
        <v>24</v>
      </c>
      <c r="G5419" s="134" t="n">
        <f aca="false">LEN('Saisie programme'!$J$183)+SUMIFS('Vols additionnels'!$E$7:$E$66,'Vols additionnels'!$C$7:$C$66,$E5419,'Vols additionnels'!$D$7:$D$66,$F5419,'Vols additionnels'!$B$7:$B$66,$D5419)</f>
        <v>1</v>
      </c>
      <c r="H5419" s="135" t="n">
        <f aca="false">$G5419*'Analyse capacite'!$F$9</f>
        <v>174</v>
      </c>
      <c r="I5419" s="135" t="n">
        <f aca="false">$G5419*'Analyse capacite'!$C$9</f>
        <v>0</v>
      </c>
      <c r="J5419" s="135" t="n">
        <f aca="false">$G5419*'Analyse capacite'!$D$9</f>
        <v>12</v>
      </c>
      <c r="K5419" s="135" t="n">
        <f aca="false">$G5419*'Analyse capacite'!$E$9</f>
        <v>162</v>
      </c>
    </row>
    <row r="5420" customFormat="false" ht="15" hidden="false" customHeight="false" outlineLevel="0" collapsed="false">
      <c r="B5420" s="130" t="n">
        <v>2027</v>
      </c>
      <c r="C5420" s="131" t="s">
        <v>250</v>
      </c>
      <c r="D5420" s="132" t="n">
        <v>46628</v>
      </c>
      <c r="E5420" s="131" t="s">
        <v>14</v>
      </c>
      <c r="F5420" s="133" t="s">
        <v>11</v>
      </c>
      <c r="G5420" s="134" t="n">
        <f aca="false">LEN('Saisie programme'!$J$184)+SUMIFS('Vols additionnels'!$E$7:$E$66,'Vols additionnels'!$C$7:$C$66,$E5420,'Vols additionnels'!$D$7:$D$66,$F5420,'Vols additionnels'!$B$7:$B$66,$D5420)</f>
        <v>0</v>
      </c>
      <c r="H5420" s="135" t="n">
        <f aca="false">$G5420*'Analyse capacite'!$F$7</f>
        <v>0</v>
      </c>
      <c r="I5420" s="135" t="n">
        <f aca="false">$G5420*'Analyse capacite'!$C$7</f>
        <v>0</v>
      </c>
      <c r="J5420" s="135" t="n">
        <f aca="false">$G5420*'Analyse capacite'!$D$7</f>
        <v>0</v>
      </c>
      <c r="K5420" s="135" t="n">
        <f aca="false">$G5420*'Analyse capacite'!$E$7</f>
        <v>0</v>
      </c>
    </row>
    <row r="5421" customFormat="false" ht="15" hidden="false" customHeight="false" outlineLevel="0" collapsed="false">
      <c r="B5421" s="130" t="n">
        <v>2027</v>
      </c>
      <c r="C5421" s="131" t="s">
        <v>250</v>
      </c>
      <c r="D5421" s="132" t="n">
        <v>46628</v>
      </c>
      <c r="E5421" s="131" t="s">
        <v>14</v>
      </c>
      <c r="F5421" s="133" t="s">
        <v>19</v>
      </c>
      <c r="G5421" s="134" t="n">
        <f aca="false">LEN('Saisie programme'!$J$185)+SUMIFS('Vols additionnels'!$E$7:$E$66,'Vols additionnels'!$C$7:$C$66,$E5421,'Vols additionnels'!$D$7:$D$66,$F5421,'Vols additionnels'!$B$7:$B$66,$D5421)</f>
        <v>0</v>
      </c>
      <c r="H5421" s="135" t="n">
        <f aca="false">$G5421*'Analyse capacite'!$F$8</f>
        <v>0</v>
      </c>
      <c r="I5421" s="135" t="n">
        <f aca="false">$G5421*'Analyse capacite'!$C$8</f>
        <v>0</v>
      </c>
      <c r="J5421" s="135" t="n">
        <f aca="false">$G5421*'Analyse capacite'!$D$8</f>
        <v>0</v>
      </c>
      <c r="K5421" s="135" t="n">
        <f aca="false">$G5421*'Analyse capacite'!$E$8</f>
        <v>0</v>
      </c>
    </row>
    <row r="5422" customFormat="false" ht="15" hidden="false" customHeight="false" outlineLevel="0" collapsed="false">
      <c r="B5422" s="130" t="n">
        <v>2027</v>
      </c>
      <c r="C5422" s="131" t="s">
        <v>250</v>
      </c>
      <c r="D5422" s="132" t="n">
        <v>46628</v>
      </c>
      <c r="E5422" s="131" t="s">
        <v>14</v>
      </c>
      <c r="F5422" s="133" t="s">
        <v>24</v>
      </c>
      <c r="G5422" s="134" t="n">
        <f aca="false">LEN('Saisie programme'!$J$186)+SUMIFS('Vols additionnels'!$E$7:$E$66,'Vols additionnels'!$C$7:$C$66,$E5422,'Vols additionnels'!$D$7:$D$66,$F5422,'Vols additionnels'!$B$7:$B$66,$D5422)</f>
        <v>0</v>
      </c>
      <c r="H5422" s="135" t="n">
        <f aca="false">$G5422*'Analyse capacite'!$F$9</f>
        <v>0</v>
      </c>
      <c r="I5422" s="135" t="n">
        <f aca="false">$G5422*'Analyse capacite'!$C$9</f>
        <v>0</v>
      </c>
      <c r="J5422" s="135" t="n">
        <f aca="false">$G5422*'Analyse capacite'!$D$9</f>
        <v>0</v>
      </c>
      <c r="K5422" s="135" t="n">
        <f aca="false">$G5422*'Analyse capacite'!$E$9</f>
        <v>0</v>
      </c>
    </row>
    <row r="5423" customFormat="false" ht="15" hidden="false" customHeight="false" outlineLevel="0" collapsed="false">
      <c r="B5423" s="130" t="n">
        <v>2027</v>
      </c>
      <c r="C5423" s="131" t="s">
        <v>250</v>
      </c>
      <c r="D5423" s="132" t="n">
        <v>46628</v>
      </c>
      <c r="E5423" s="131" t="s">
        <v>46</v>
      </c>
      <c r="F5423" s="133" t="s">
        <v>11</v>
      </c>
      <c r="G5423" s="134" t="n">
        <f aca="false">LEN('Saisie programme'!$J$187)+SUMIFS('Vols additionnels'!$E$7:$E$66,'Vols additionnels'!$C$7:$C$66,$E5423,'Vols additionnels'!$D$7:$D$66,$F5423,'Vols additionnels'!$B$7:$B$66,$D5423)</f>
        <v>0</v>
      </c>
      <c r="H5423" s="135" t="n">
        <f aca="false">$G5423*'Analyse capacite'!$F$7</f>
        <v>0</v>
      </c>
      <c r="I5423" s="135" t="n">
        <f aca="false">$G5423*'Analyse capacite'!$C$7</f>
        <v>0</v>
      </c>
      <c r="J5423" s="135" t="n">
        <f aca="false">$G5423*'Analyse capacite'!$D$7</f>
        <v>0</v>
      </c>
      <c r="K5423" s="135" t="n">
        <f aca="false">$G5423*'Analyse capacite'!$E$7</f>
        <v>0</v>
      </c>
    </row>
    <row r="5424" customFormat="false" ht="15" hidden="false" customHeight="false" outlineLevel="0" collapsed="false">
      <c r="B5424" s="130" t="n">
        <v>2027</v>
      </c>
      <c r="C5424" s="131" t="s">
        <v>250</v>
      </c>
      <c r="D5424" s="132" t="n">
        <v>46628</v>
      </c>
      <c r="E5424" s="131" t="s">
        <v>46</v>
      </c>
      <c r="F5424" s="133" t="s">
        <v>19</v>
      </c>
      <c r="G5424" s="134" t="n">
        <f aca="false">LEN('Saisie programme'!$J$188)+SUMIFS('Vols additionnels'!$E$7:$E$66,'Vols additionnels'!$C$7:$C$66,$E5424,'Vols additionnels'!$D$7:$D$66,$F5424,'Vols additionnels'!$B$7:$B$66,$D5424)</f>
        <v>0</v>
      </c>
      <c r="H5424" s="135" t="n">
        <f aca="false">$G5424*'Analyse capacite'!$F$8</f>
        <v>0</v>
      </c>
      <c r="I5424" s="135" t="n">
        <f aca="false">$G5424*'Analyse capacite'!$C$8</f>
        <v>0</v>
      </c>
      <c r="J5424" s="135" t="n">
        <f aca="false">$G5424*'Analyse capacite'!$D$8</f>
        <v>0</v>
      </c>
      <c r="K5424" s="135" t="n">
        <f aca="false">$G5424*'Analyse capacite'!$E$8</f>
        <v>0</v>
      </c>
    </row>
    <row r="5425" customFormat="false" ht="15" hidden="false" customHeight="false" outlineLevel="0" collapsed="false">
      <c r="B5425" s="130" t="n">
        <v>2027</v>
      </c>
      <c r="C5425" s="131" t="s">
        <v>250</v>
      </c>
      <c r="D5425" s="132" t="n">
        <v>46628</v>
      </c>
      <c r="E5425" s="131" t="s">
        <v>46</v>
      </c>
      <c r="F5425" s="133" t="s">
        <v>24</v>
      </c>
      <c r="G5425" s="134" t="n">
        <f aca="false">LEN('Saisie programme'!$J$189)+SUMIFS('Vols additionnels'!$E$7:$E$66,'Vols additionnels'!$C$7:$C$66,$E5425,'Vols additionnels'!$D$7:$D$66,$F5425,'Vols additionnels'!$B$7:$B$66,$D5425)</f>
        <v>0</v>
      </c>
      <c r="H5425" s="135" t="n">
        <f aca="false">$G5425*'Analyse capacite'!$F$9</f>
        <v>0</v>
      </c>
      <c r="I5425" s="135" t="n">
        <f aca="false">$G5425*'Analyse capacite'!$C$9</f>
        <v>0</v>
      </c>
      <c r="J5425" s="135" t="n">
        <f aca="false">$G5425*'Analyse capacite'!$D$9</f>
        <v>0</v>
      </c>
      <c r="K5425" s="135" t="n">
        <f aca="false">$G5425*'Analyse capacite'!$E$9</f>
        <v>0</v>
      </c>
    </row>
    <row r="5426" customFormat="false" ht="15" hidden="false" customHeight="false" outlineLevel="0" collapsed="false">
      <c r="B5426" s="130" t="n">
        <v>2027</v>
      </c>
      <c r="C5426" s="131" t="s">
        <v>250</v>
      </c>
      <c r="D5426" s="132" t="n">
        <v>46628</v>
      </c>
      <c r="E5426" s="131" t="s">
        <v>49</v>
      </c>
      <c r="F5426" s="133" t="s">
        <v>11</v>
      </c>
      <c r="G5426" s="134" t="n">
        <f aca="false">LEN('Saisie programme'!$J$190)+SUMIFS('Vols additionnels'!$E$7:$E$66,'Vols additionnels'!$C$7:$C$66,$E5426,'Vols additionnels'!$D$7:$D$66,$F5426,'Vols additionnels'!$B$7:$B$66,$D5426)</f>
        <v>0</v>
      </c>
      <c r="H5426" s="135" t="n">
        <f aca="false">$G5426*'Analyse capacite'!$F$7</f>
        <v>0</v>
      </c>
      <c r="I5426" s="135" t="n">
        <f aca="false">$G5426*'Analyse capacite'!$C$7</f>
        <v>0</v>
      </c>
      <c r="J5426" s="135" t="n">
        <f aca="false">$G5426*'Analyse capacite'!$D$7</f>
        <v>0</v>
      </c>
      <c r="K5426" s="135" t="n">
        <f aca="false">$G5426*'Analyse capacite'!$E$7</f>
        <v>0</v>
      </c>
    </row>
    <row r="5427" customFormat="false" ht="15" hidden="false" customHeight="false" outlineLevel="0" collapsed="false">
      <c r="B5427" s="130" t="n">
        <v>2027</v>
      </c>
      <c r="C5427" s="131" t="s">
        <v>250</v>
      </c>
      <c r="D5427" s="132" t="n">
        <v>46628</v>
      </c>
      <c r="E5427" s="131" t="s">
        <v>49</v>
      </c>
      <c r="F5427" s="133" t="s">
        <v>19</v>
      </c>
      <c r="G5427" s="134" t="n">
        <f aca="false">LEN('Saisie programme'!$J$191)+SUMIFS('Vols additionnels'!$E$7:$E$66,'Vols additionnels'!$C$7:$C$66,$E5427,'Vols additionnels'!$D$7:$D$66,$F5427,'Vols additionnels'!$B$7:$B$66,$D5427)</f>
        <v>0</v>
      </c>
      <c r="H5427" s="135" t="n">
        <f aca="false">$G5427*'Analyse capacite'!$F$8</f>
        <v>0</v>
      </c>
      <c r="I5427" s="135" t="n">
        <f aca="false">$G5427*'Analyse capacite'!$C$8</f>
        <v>0</v>
      </c>
      <c r="J5427" s="135" t="n">
        <f aca="false">$G5427*'Analyse capacite'!$D$8</f>
        <v>0</v>
      </c>
      <c r="K5427" s="135" t="n">
        <f aca="false">$G5427*'Analyse capacite'!$E$8</f>
        <v>0</v>
      </c>
    </row>
    <row r="5428" customFormat="false" ht="15" hidden="false" customHeight="false" outlineLevel="0" collapsed="false">
      <c r="B5428" s="130" t="n">
        <v>2027</v>
      </c>
      <c r="C5428" s="131" t="s">
        <v>250</v>
      </c>
      <c r="D5428" s="132" t="n">
        <v>46628</v>
      </c>
      <c r="E5428" s="131" t="s">
        <v>49</v>
      </c>
      <c r="F5428" s="133" t="s">
        <v>24</v>
      </c>
      <c r="G5428" s="134" t="n">
        <f aca="false">LEN('Saisie programme'!$J$192)+SUMIFS('Vols additionnels'!$E$7:$E$66,'Vols additionnels'!$C$7:$C$66,$E5428,'Vols additionnels'!$D$7:$D$66,$F5428,'Vols additionnels'!$B$7:$B$66,$D5428)</f>
        <v>0</v>
      </c>
      <c r="H5428" s="135" t="n">
        <f aca="false">$G5428*'Analyse capacite'!$F$9</f>
        <v>0</v>
      </c>
      <c r="I5428" s="135" t="n">
        <f aca="false">$G5428*'Analyse capacite'!$C$9</f>
        <v>0</v>
      </c>
      <c r="J5428" s="135" t="n">
        <f aca="false">$G5428*'Analyse capacite'!$D$9</f>
        <v>0</v>
      </c>
      <c r="K5428" s="135" t="n">
        <f aca="false">$G5428*'Analyse capacite'!$E$9</f>
        <v>0</v>
      </c>
    </row>
    <row r="5429" customFormat="false" ht="15" hidden="false" customHeight="false" outlineLevel="0" collapsed="false">
      <c r="B5429" s="130" t="n">
        <v>2027</v>
      </c>
      <c r="C5429" s="131" t="s">
        <v>250</v>
      </c>
      <c r="D5429" s="132" t="n">
        <v>46628</v>
      </c>
      <c r="E5429" s="131" t="s">
        <v>53</v>
      </c>
      <c r="F5429" s="133" t="s">
        <v>11</v>
      </c>
      <c r="G5429" s="134" t="n">
        <f aca="false">LEN('Saisie programme'!$J$193)+SUMIFS('Vols additionnels'!$E$7:$E$66,'Vols additionnels'!$C$7:$C$66,$E5429,'Vols additionnels'!$D$7:$D$66,$F5429,'Vols additionnels'!$B$7:$B$66,$D5429)</f>
        <v>0</v>
      </c>
      <c r="H5429" s="135" t="n">
        <f aca="false">$G5429*'Analyse capacite'!$F$7</f>
        <v>0</v>
      </c>
      <c r="I5429" s="135" t="n">
        <f aca="false">$G5429*'Analyse capacite'!$C$7</f>
        <v>0</v>
      </c>
      <c r="J5429" s="135" t="n">
        <f aca="false">$G5429*'Analyse capacite'!$D$7</f>
        <v>0</v>
      </c>
      <c r="K5429" s="135" t="n">
        <f aca="false">$G5429*'Analyse capacite'!$E$7</f>
        <v>0</v>
      </c>
    </row>
    <row r="5430" customFormat="false" ht="15" hidden="false" customHeight="false" outlineLevel="0" collapsed="false">
      <c r="B5430" s="130" t="n">
        <v>2027</v>
      </c>
      <c r="C5430" s="131" t="s">
        <v>250</v>
      </c>
      <c r="D5430" s="132" t="n">
        <v>46628</v>
      </c>
      <c r="E5430" s="131" t="s">
        <v>53</v>
      </c>
      <c r="F5430" s="133" t="s">
        <v>19</v>
      </c>
      <c r="G5430" s="134" t="n">
        <f aca="false">LEN('Saisie programme'!$J$194)+SUMIFS('Vols additionnels'!$E$7:$E$66,'Vols additionnels'!$C$7:$C$66,$E5430,'Vols additionnels'!$D$7:$D$66,$F5430,'Vols additionnels'!$B$7:$B$66,$D5430)</f>
        <v>0</v>
      </c>
      <c r="H5430" s="135" t="n">
        <f aca="false">$G5430*'Analyse capacite'!$F$8</f>
        <v>0</v>
      </c>
      <c r="I5430" s="135" t="n">
        <f aca="false">$G5430*'Analyse capacite'!$C$8</f>
        <v>0</v>
      </c>
      <c r="J5430" s="135" t="n">
        <f aca="false">$G5430*'Analyse capacite'!$D$8</f>
        <v>0</v>
      </c>
      <c r="K5430" s="135" t="n">
        <f aca="false">$G5430*'Analyse capacite'!$E$8</f>
        <v>0</v>
      </c>
    </row>
    <row r="5431" customFormat="false" ht="15" hidden="false" customHeight="false" outlineLevel="0" collapsed="false">
      <c r="B5431" s="130" t="n">
        <v>2027</v>
      </c>
      <c r="C5431" s="131" t="s">
        <v>250</v>
      </c>
      <c r="D5431" s="132" t="n">
        <v>46628</v>
      </c>
      <c r="E5431" s="131" t="s">
        <v>53</v>
      </c>
      <c r="F5431" s="133" t="s">
        <v>24</v>
      </c>
      <c r="G5431" s="134" t="n">
        <f aca="false">LEN('Saisie programme'!$J$195)+SUMIFS('Vols additionnels'!$E$7:$E$66,'Vols additionnels'!$C$7:$C$66,$E5431,'Vols additionnels'!$D$7:$D$66,$F5431,'Vols additionnels'!$B$7:$B$66,$D5431)</f>
        <v>0</v>
      </c>
      <c r="H5431" s="135" t="n">
        <f aca="false">$G5431*'Analyse capacite'!$F$9</f>
        <v>0</v>
      </c>
      <c r="I5431" s="135" t="n">
        <f aca="false">$G5431*'Analyse capacite'!$C$9</f>
        <v>0</v>
      </c>
      <c r="J5431" s="135" t="n">
        <f aca="false">$G5431*'Analyse capacite'!$D$9</f>
        <v>0</v>
      </c>
      <c r="K5431" s="135" t="n">
        <f aca="false">$G5431*'Analyse capacite'!$E$9</f>
        <v>0</v>
      </c>
    </row>
    <row r="5432" customFormat="false" ht="15" hidden="false" customHeight="false" outlineLevel="0" collapsed="false">
      <c r="B5432" s="130" t="n">
        <v>2027</v>
      </c>
      <c r="C5432" s="131" t="s">
        <v>250</v>
      </c>
      <c r="D5432" s="132" t="n">
        <v>46628</v>
      </c>
      <c r="E5432" s="131" t="s">
        <v>56</v>
      </c>
      <c r="F5432" s="133" t="s">
        <v>11</v>
      </c>
      <c r="G5432" s="134" t="n">
        <f aca="false">LEN('Saisie programme'!$J$196)+SUMIFS('Vols additionnels'!$E$7:$E$66,'Vols additionnels'!$C$7:$C$66,$E5432,'Vols additionnels'!$D$7:$D$66,$F5432,'Vols additionnels'!$B$7:$B$66,$D5432)</f>
        <v>0</v>
      </c>
      <c r="H5432" s="135" t="n">
        <f aca="false">$G5432*'Analyse capacite'!$F$7</f>
        <v>0</v>
      </c>
      <c r="I5432" s="135" t="n">
        <f aca="false">$G5432*'Analyse capacite'!$C$7</f>
        <v>0</v>
      </c>
      <c r="J5432" s="135" t="n">
        <f aca="false">$G5432*'Analyse capacite'!$D$7</f>
        <v>0</v>
      </c>
      <c r="K5432" s="135" t="n">
        <f aca="false">$G5432*'Analyse capacite'!$E$7</f>
        <v>0</v>
      </c>
    </row>
    <row r="5433" customFormat="false" ht="15" hidden="false" customHeight="false" outlineLevel="0" collapsed="false">
      <c r="B5433" s="130" t="n">
        <v>2027</v>
      </c>
      <c r="C5433" s="131" t="s">
        <v>250</v>
      </c>
      <c r="D5433" s="132" t="n">
        <v>46628</v>
      </c>
      <c r="E5433" s="131" t="s">
        <v>56</v>
      </c>
      <c r="F5433" s="133" t="s">
        <v>19</v>
      </c>
      <c r="G5433" s="134" t="n">
        <f aca="false">LEN('Saisie programme'!$J$197)+SUMIFS('Vols additionnels'!$E$7:$E$66,'Vols additionnels'!$C$7:$C$66,$E5433,'Vols additionnels'!$D$7:$D$66,$F5433,'Vols additionnels'!$B$7:$B$66,$D5433)</f>
        <v>0</v>
      </c>
      <c r="H5433" s="135" t="n">
        <f aca="false">$G5433*'Analyse capacite'!$F$8</f>
        <v>0</v>
      </c>
      <c r="I5433" s="135" t="n">
        <f aca="false">$G5433*'Analyse capacite'!$C$8</f>
        <v>0</v>
      </c>
      <c r="J5433" s="135" t="n">
        <f aca="false">$G5433*'Analyse capacite'!$D$8</f>
        <v>0</v>
      </c>
      <c r="K5433" s="135" t="n">
        <f aca="false">$G5433*'Analyse capacite'!$E$8</f>
        <v>0</v>
      </c>
    </row>
    <row r="5434" customFormat="false" ht="15" hidden="false" customHeight="false" outlineLevel="0" collapsed="false">
      <c r="B5434" s="130" t="n">
        <v>2027</v>
      </c>
      <c r="C5434" s="131" t="s">
        <v>250</v>
      </c>
      <c r="D5434" s="132" t="n">
        <v>46628</v>
      </c>
      <c r="E5434" s="131" t="s">
        <v>56</v>
      </c>
      <c r="F5434" s="133" t="s">
        <v>24</v>
      </c>
      <c r="G5434" s="134" t="n">
        <f aca="false">LEN('Saisie programme'!$J$198)+SUMIFS('Vols additionnels'!$E$7:$E$66,'Vols additionnels'!$C$7:$C$66,$E5434,'Vols additionnels'!$D$7:$D$66,$F5434,'Vols additionnels'!$B$7:$B$66,$D5434)</f>
        <v>0</v>
      </c>
      <c r="H5434" s="135" t="n">
        <f aca="false">$G5434*'Analyse capacite'!$F$9</f>
        <v>0</v>
      </c>
      <c r="I5434" s="135" t="n">
        <f aca="false">$G5434*'Analyse capacite'!$C$9</f>
        <v>0</v>
      </c>
      <c r="J5434" s="135" t="n">
        <f aca="false">$G5434*'Analyse capacite'!$D$9</f>
        <v>0</v>
      </c>
      <c r="K5434" s="135" t="n">
        <f aca="false">$G5434*'Analyse capacite'!$E$9</f>
        <v>0</v>
      </c>
    </row>
    <row r="5435" customFormat="false" ht="15" hidden="false" customHeight="false" outlineLevel="0" collapsed="false">
      <c r="B5435" s="130" t="n">
        <v>2027</v>
      </c>
      <c r="C5435" s="131" t="s">
        <v>250</v>
      </c>
      <c r="D5435" s="132" t="n">
        <v>46628</v>
      </c>
      <c r="E5435" s="131" t="s">
        <v>59</v>
      </c>
      <c r="F5435" s="133" t="s">
        <v>11</v>
      </c>
      <c r="G5435" s="134" t="n">
        <f aca="false">LEN('Saisie programme'!$J$199)+SUMIFS('Vols additionnels'!$E$7:$E$66,'Vols additionnels'!$C$7:$C$66,$E5435,'Vols additionnels'!$D$7:$D$66,$F5435,'Vols additionnels'!$B$7:$B$66,$D5435)</f>
        <v>0</v>
      </c>
      <c r="H5435" s="135" t="n">
        <f aca="false">$G5435*'Analyse capacite'!$F$7</f>
        <v>0</v>
      </c>
      <c r="I5435" s="135" t="n">
        <f aca="false">$G5435*'Analyse capacite'!$C$7</f>
        <v>0</v>
      </c>
      <c r="J5435" s="135" t="n">
        <f aca="false">$G5435*'Analyse capacite'!$D$7</f>
        <v>0</v>
      </c>
      <c r="K5435" s="135" t="n">
        <f aca="false">$G5435*'Analyse capacite'!$E$7</f>
        <v>0</v>
      </c>
    </row>
    <row r="5436" customFormat="false" ht="15" hidden="false" customHeight="false" outlineLevel="0" collapsed="false">
      <c r="B5436" s="130" t="n">
        <v>2027</v>
      </c>
      <c r="C5436" s="131" t="s">
        <v>250</v>
      </c>
      <c r="D5436" s="132" t="n">
        <v>46628</v>
      </c>
      <c r="E5436" s="131" t="s">
        <v>59</v>
      </c>
      <c r="F5436" s="133" t="s">
        <v>19</v>
      </c>
      <c r="G5436" s="134" t="n">
        <f aca="false">LEN('Saisie programme'!$J$200)+SUMIFS('Vols additionnels'!$E$7:$E$66,'Vols additionnels'!$C$7:$C$66,$E5436,'Vols additionnels'!$D$7:$D$66,$F5436,'Vols additionnels'!$B$7:$B$66,$D5436)</f>
        <v>0</v>
      </c>
      <c r="H5436" s="135" t="n">
        <f aca="false">$G5436*'Analyse capacite'!$F$8</f>
        <v>0</v>
      </c>
      <c r="I5436" s="135" t="n">
        <f aca="false">$G5436*'Analyse capacite'!$C$8</f>
        <v>0</v>
      </c>
      <c r="J5436" s="135" t="n">
        <f aca="false">$G5436*'Analyse capacite'!$D$8</f>
        <v>0</v>
      </c>
      <c r="K5436" s="135" t="n">
        <f aca="false">$G5436*'Analyse capacite'!$E$8</f>
        <v>0</v>
      </c>
    </row>
    <row r="5437" customFormat="false" ht="15" hidden="false" customHeight="false" outlineLevel="0" collapsed="false">
      <c r="B5437" s="130" t="n">
        <v>2027</v>
      </c>
      <c r="C5437" s="131" t="s">
        <v>250</v>
      </c>
      <c r="D5437" s="132" t="n">
        <v>46628</v>
      </c>
      <c r="E5437" s="131" t="s">
        <v>59</v>
      </c>
      <c r="F5437" s="133" t="s">
        <v>24</v>
      </c>
      <c r="G5437" s="134" t="n">
        <f aca="false">LEN('Saisie programme'!$J$201)+SUMIFS('Vols additionnels'!$E$7:$E$66,'Vols additionnels'!$C$7:$C$66,$E5437,'Vols additionnels'!$D$7:$D$66,$F5437,'Vols additionnels'!$B$7:$B$66,$D5437)</f>
        <v>0</v>
      </c>
      <c r="H5437" s="135" t="n">
        <f aca="false">$G5437*'Analyse capacite'!$F$9</f>
        <v>0</v>
      </c>
      <c r="I5437" s="135" t="n">
        <f aca="false">$G5437*'Analyse capacite'!$C$9</f>
        <v>0</v>
      </c>
      <c r="J5437" s="135" t="n">
        <f aca="false">$G5437*'Analyse capacite'!$D$9</f>
        <v>0</v>
      </c>
      <c r="K5437" s="135" t="n">
        <f aca="false">$G5437*'Analyse capacite'!$E$9</f>
        <v>0</v>
      </c>
    </row>
    <row r="5438" customFormat="false" ht="15" hidden="false" customHeight="false" outlineLevel="0" collapsed="false">
      <c r="B5438" s="130" t="n">
        <v>2027</v>
      </c>
      <c r="C5438" s="131" t="s">
        <v>250</v>
      </c>
      <c r="D5438" s="132" t="n">
        <v>46628</v>
      </c>
      <c r="E5438" s="131" t="s">
        <v>62</v>
      </c>
      <c r="F5438" s="133" t="s">
        <v>11</v>
      </c>
      <c r="G5438" s="134" t="n">
        <f aca="false">LEN('Saisie programme'!$J$202)+SUMIFS('Vols additionnels'!$E$7:$E$66,'Vols additionnels'!$C$7:$C$66,$E5438,'Vols additionnels'!$D$7:$D$66,$F5438,'Vols additionnels'!$B$7:$B$66,$D5438)</f>
        <v>0</v>
      </c>
      <c r="H5438" s="135" t="n">
        <f aca="false">$G5438*'Analyse capacite'!$F$7</f>
        <v>0</v>
      </c>
      <c r="I5438" s="135" t="n">
        <f aca="false">$G5438*'Analyse capacite'!$C$7</f>
        <v>0</v>
      </c>
      <c r="J5438" s="135" t="n">
        <f aca="false">$G5438*'Analyse capacite'!$D$7</f>
        <v>0</v>
      </c>
      <c r="K5438" s="135" t="n">
        <f aca="false">$G5438*'Analyse capacite'!$E$7</f>
        <v>0</v>
      </c>
    </row>
    <row r="5439" customFormat="false" ht="15" hidden="false" customHeight="false" outlineLevel="0" collapsed="false">
      <c r="B5439" s="130" t="n">
        <v>2027</v>
      </c>
      <c r="C5439" s="131" t="s">
        <v>250</v>
      </c>
      <c r="D5439" s="132" t="n">
        <v>46628</v>
      </c>
      <c r="E5439" s="131" t="s">
        <v>62</v>
      </c>
      <c r="F5439" s="133" t="s">
        <v>19</v>
      </c>
      <c r="G5439" s="134" t="n">
        <f aca="false">LEN('Saisie programme'!$J$203)+SUMIFS('Vols additionnels'!$E$7:$E$66,'Vols additionnels'!$C$7:$C$66,$E5439,'Vols additionnels'!$D$7:$D$66,$F5439,'Vols additionnels'!$B$7:$B$66,$D5439)</f>
        <v>0</v>
      </c>
      <c r="H5439" s="135" t="n">
        <f aca="false">$G5439*'Analyse capacite'!$F$8</f>
        <v>0</v>
      </c>
      <c r="I5439" s="135" t="n">
        <f aca="false">$G5439*'Analyse capacite'!$C$8</f>
        <v>0</v>
      </c>
      <c r="J5439" s="135" t="n">
        <f aca="false">$G5439*'Analyse capacite'!$D$8</f>
        <v>0</v>
      </c>
      <c r="K5439" s="135" t="n">
        <f aca="false">$G5439*'Analyse capacite'!$E$8</f>
        <v>0</v>
      </c>
    </row>
    <row r="5440" customFormat="false" ht="15" hidden="false" customHeight="false" outlineLevel="0" collapsed="false">
      <c r="B5440" s="130" t="n">
        <v>2027</v>
      </c>
      <c r="C5440" s="131" t="s">
        <v>250</v>
      </c>
      <c r="D5440" s="132" t="n">
        <v>46628</v>
      </c>
      <c r="E5440" s="131" t="s">
        <v>62</v>
      </c>
      <c r="F5440" s="133" t="s">
        <v>24</v>
      </c>
      <c r="G5440" s="134" t="n">
        <f aca="false">LEN('Saisie programme'!$J$204)+SUMIFS('Vols additionnels'!$E$7:$E$66,'Vols additionnels'!$C$7:$C$66,$E5440,'Vols additionnels'!$D$7:$D$66,$F5440,'Vols additionnels'!$B$7:$B$66,$D5440)</f>
        <v>1</v>
      </c>
      <c r="H5440" s="135" t="n">
        <f aca="false">$G5440*'Analyse capacite'!$F$9</f>
        <v>174</v>
      </c>
      <c r="I5440" s="135" t="n">
        <f aca="false">$G5440*'Analyse capacite'!$C$9</f>
        <v>0</v>
      </c>
      <c r="J5440" s="135" t="n">
        <f aca="false">$G5440*'Analyse capacite'!$D$9</f>
        <v>12</v>
      </c>
      <c r="K5440" s="135" t="n">
        <f aca="false">$G5440*'Analyse capacite'!$E$9</f>
        <v>162</v>
      </c>
    </row>
    <row r="5441" customFormat="false" ht="15" hidden="false" customHeight="false" outlineLevel="0" collapsed="false">
      <c r="B5441" s="130" t="n">
        <v>2027</v>
      </c>
      <c r="C5441" s="131" t="s">
        <v>250</v>
      </c>
      <c r="D5441" s="132" t="n">
        <v>46629</v>
      </c>
      <c r="E5441" s="131" t="s">
        <v>12</v>
      </c>
      <c r="F5441" s="133" t="s">
        <v>11</v>
      </c>
      <c r="G5441" s="134" t="n">
        <f aca="false">LEN('Saisie programme'!$D$169)+SUMIFS('Vols additionnels'!$E$7:$E$66,'Vols additionnels'!$C$7:$C$66,$E5441,'Vols additionnels'!$D$7:$D$66,$F5441,'Vols additionnels'!$B$7:$B$66,$D5441)</f>
        <v>1</v>
      </c>
      <c r="H5441" s="135" t="n">
        <f aca="false">$G5441*'Analyse capacite'!$F$7</f>
        <v>438</v>
      </c>
      <c r="I5441" s="135" t="n">
        <f aca="false">$G5441*'Analyse capacite'!$C$7</f>
        <v>14</v>
      </c>
      <c r="J5441" s="135" t="n">
        <f aca="false">$G5441*'Analyse capacite'!$D$7</f>
        <v>40</v>
      </c>
      <c r="K5441" s="135" t="n">
        <f aca="false">$G5441*'Analyse capacite'!$E$7</f>
        <v>384</v>
      </c>
    </row>
    <row r="5442" customFormat="false" ht="15" hidden="false" customHeight="false" outlineLevel="0" collapsed="false">
      <c r="B5442" s="130" t="n">
        <v>2027</v>
      </c>
      <c r="C5442" s="131" t="s">
        <v>250</v>
      </c>
      <c r="D5442" s="132" t="n">
        <v>46629</v>
      </c>
      <c r="E5442" s="131" t="s">
        <v>12</v>
      </c>
      <c r="F5442" s="133" t="s">
        <v>19</v>
      </c>
      <c r="G5442" s="134" t="n">
        <f aca="false">LEN('Saisie programme'!$D$170)+SUMIFS('Vols additionnels'!$E$7:$E$66,'Vols additionnels'!$C$7:$C$66,$E5442,'Vols additionnels'!$D$7:$D$66,$F5442,'Vols additionnels'!$B$7:$B$66,$D5442)</f>
        <v>1</v>
      </c>
      <c r="H5442" s="135" t="n">
        <f aca="false">$G5442*'Analyse capacite'!$F$8</f>
        <v>262</v>
      </c>
      <c r="I5442" s="135" t="n">
        <f aca="false">$G5442*'Analyse capacite'!$C$8</f>
        <v>18</v>
      </c>
      <c r="J5442" s="135" t="n">
        <f aca="false">$G5442*'Analyse capacite'!$D$8</f>
        <v>0</v>
      </c>
      <c r="K5442" s="135" t="n">
        <f aca="false">$G5442*'Analyse capacite'!$E$8</f>
        <v>244</v>
      </c>
    </row>
    <row r="5443" customFormat="false" ht="15" hidden="false" customHeight="false" outlineLevel="0" collapsed="false">
      <c r="B5443" s="130" t="n">
        <v>2027</v>
      </c>
      <c r="C5443" s="131" t="s">
        <v>250</v>
      </c>
      <c r="D5443" s="132" t="n">
        <v>46629</v>
      </c>
      <c r="E5443" s="131" t="s">
        <v>12</v>
      </c>
      <c r="F5443" s="133" t="s">
        <v>24</v>
      </c>
      <c r="G5443" s="134" t="n">
        <f aca="false">LEN('Saisie programme'!$D$171)+SUMIFS('Vols additionnels'!$E$7:$E$66,'Vols additionnels'!$C$7:$C$66,$E5443,'Vols additionnels'!$D$7:$D$66,$F5443,'Vols additionnels'!$B$7:$B$66,$D5443)</f>
        <v>0</v>
      </c>
      <c r="H5443" s="135" t="n">
        <f aca="false">$G5443*'Analyse capacite'!$F$9</f>
        <v>0</v>
      </c>
      <c r="I5443" s="135" t="n">
        <f aca="false">$G5443*'Analyse capacite'!$C$9</f>
        <v>0</v>
      </c>
      <c r="J5443" s="135" t="n">
        <f aca="false">$G5443*'Analyse capacite'!$D$9</f>
        <v>0</v>
      </c>
      <c r="K5443" s="135" t="n">
        <f aca="false">$G5443*'Analyse capacite'!$E$9</f>
        <v>0</v>
      </c>
    </row>
    <row r="5444" customFormat="false" ht="15" hidden="false" customHeight="false" outlineLevel="0" collapsed="false">
      <c r="B5444" s="130" t="n">
        <v>2027</v>
      </c>
      <c r="C5444" s="131" t="s">
        <v>250</v>
      </c>
      <c r="D5444" s="132" t="n">
        <v>46629</v>
      </c>
      <c r="E5444" s="131" t="s">
        <v>20</v>
      </c>
      <c r="F5444" s="133" t="s">
        <v>11</v>
      </c>
      <c r="G5444" s="134" t="n">
        <f aca="false">LEN('Saisie programme'!$D$172)+SUMIFS('Vols additionnels'!$E$7:$E$66,'Vols additionnels'!$C$7:$C$66,$E5444,'Vols additionnels'!$D$7:$D$66,$F5444,'Vols additionnels'!$B$7:$B$66,$D5444)</f>
        <v>0</v>
      </c>
      <c r="H5444" s="135" t="n">
        <f aca="false">$G5444*'Analyse capacite'!$F$7</f>
        <v>0</v>
      </c>
      <c r="I5444" s="135" t="n">
        <f aca="false">$G5444*'Analyse capacite'!$C$7</f>
        <v>0</v>
      </c>
      <c r="J5444" s="135" t="n">
        <f aca="false">$G5444*'Analyse capacite'!$D$7</f>
        <v>0</v>
      </c>
      <c r="K5444" s="135" t="n">
        <f aca="false">$G5444*'Analyse capacite'!$E$7</f>
        <v>0</v>
      </c>
    </row>
    <row r="5445" customFormat="false" ht="15" hidden="false" customHeight="false" outlineLevel="0" collapsed="false">
      <c r="B5445" s="130" t="n">
        <v>2027</v>
      </c>
      <c r="C5445" s="131" t="s">
        <v>250</v>
      </c>
      <c r="D5445" s="132" t="n">
        <v>46629</v>
      </c>
      <c r="E5445" s="131" t="s">
        <v>20</v>
      </c>
      <c r="F5445" s="133" t="s">
        <v>19</v>
      </c>
      <c r="G5445" s="134" t="n">
        <f aca="false">LEN('Saisie programme'!$D$173)+SUMIFS('Vols additionnels'!$E$7:$E$66,'Vols additionnels'!$C$7:$C$66,$E5445,'Vols additionnels'!$D$7:$D$66,$F5445,'Vols additionnels'!$B$7:$B$66,$D5445)</f>
        <v>0</v>
      </c>
      <c r="H5445" s="135" t="n">
        <f aca="false">$G5445*'Analyse capacite'!$F$8</f>
        <v>0</v>
      </c>
      <c r="I5445" s="135" t="n">
        <f aca="false">$G5445*'Analyse capacite'!$C$8</f>
        <v>0</v>
      </c>
      <c r="J5445" s="135" t="n">
        <f aca="false">$G5445*'Analyse capacite'!$D$8</f>
        <v>0</v>
      </c>
      <c r="K5445" s="135" t="n">
        <f aca="false">$G5445*'Analyse capacite'!$E$8</f>
        <v>0</v>
      </c>
    </row>
    <row r="5446" customFormat="false" ht="15" hidden="false" customHeight="false" outlineLevel="0" collapsed="false">
      <c r="B5446" s="130" t="n">
        <v>2027</v>
      </c>
      <c r="C5446" s="131" t="s">
        <v>250</v>
      </c>
      <c r="D5446" s="132" t="n">
        <v>46629</v>
      </c>
      <c r="E5446" s="131" t="s">
        <v>20</v>
      </c>
      <c r="F5446" s="133" t="s">
        <v>24</v>
      </c>
      <c r="G5446" s="134" t="n">
        <f aca="false">LEN('Saisie programme'!$D$174)+SUMIFS('Vols additionnels'!$E$7:$E$66,'Vols additionnels'!$C$7:$C$66,$E5446,'Vols additionnels'!$D$7:$D$66,$F5446,'Vols additionnels'!$B$7:$B$66,$D5446)</f>
        <v>0</v>
      </c>
      <c r="H5446" s="135" t="n">
        <f aca="false">$G5446*'Analyse capacite'!$F$9</f>
        <v>0</v>
      </c>
      <c r="I5446" s="135" t="n">
        <f aca="false">$G5446*'Analyse capacite'!$C$9</f>
        <v>0</v>
      </c>
      <c r="J5446" s="135" t="n">
        <f aca="false">$G5446*'Analyse capacite'!$D$9</f>
        <v>0</v>
      </c>
      <c r="K5446" s="135" t="n">
        <f aca="false">$G5446*'Analyse capacite'!$E$9</f>
        <v>0</v>
      </c>
    </row>
    <row r="5447" customFormat="false" ht="15" hidden="false" customHeight="false" outlineLevel="0" collapsed="false">
      <c r="B5447" s="130" t="n">
        <v>2027</v>
      </c>
      <c r="C5447" s="131" t="s">
        <v>250</v>
      </c>
      <c r="D5447" s="132" t="n">
        <v>46629</v>
      </c>
      <c r="E5447" s="131" t="s">
        <v>25</v>
      </c>
      <c r="F5447" s="133" t="s">
        <v>11</v>
      </c>
      <c r="G5447" s="134" t="n">
        <f aca="false">LEN('Saisie programme'!$D$175)+SUMIFS('Vols additionnels'!$E$7:$E$66,'Vols additionnels'!$C$7:$C$66,$E5447,'Vols additionnels'!$D$7:$D$66,$F5447,'Vols additionnels'!$B$7:$B$66,$D5447)</f>
        <v>0</v>
      </c>
      <c r="H5447" s="135" t="n">
        <f aca="false">$G5447*'Analyse capacite'!$F$7</f>
        <v>0</v>
      </c>
      <c r="I5447" s="135" t="n">
        <f aca="false">$G5447*'Analyse capacite'!$C$7</f>
        <v>0</v>
      </c>
      <c r="J5447" s="135" t="n">
        <f aca="false">$G5447*'Analyse capacite'!$D$7</f>
        <v>0</v>
      </c>
      <c r="K5447" s="135" t="n">
        <f aca="false">$G5447*'Analyse capacite'!$E$7</f>
        <v>0</v>
      </c>
    </row>
    <row r="5448" customFormat="false" ht="15" hidden="false" customHeight="false" outlineLevel="0" collapsed="false">
      <c r="B5448" s="130" t="n">
        <v>2027</v>
      </c>
      <c r="C5448" s="131" t="s">
        <v>250</v>
      </c>
      <c r="D5448" s="132" t="n">
        <v>46629</v>
      </c>
      <c r="E5448" s="131" t="s">
        <v>25</v>
      </c>
      <c r="F5448" s="133" t="s">
        <v>19</v>
      </c>
      <c r="G5448" s="134" t="n">
        <f aca="false">LEN('Saisie programme'!$D$176)+SUMIFS('Vols additionnels'!$E$7:$E$66,'Vols additionnels'!$C$7:$C$66,$E5448,'Vols additionnels'!$D$7:$D$66,$F5448,'Vols additionnels'!$B$7:$B$66,$D5448)</f>
        <v>0</v>
      </c>
      <c r="H5448" s="135" t="n">
        <f aca="false">$G5448*'Analyse capacite'!$F$8</f>
        <v>0</v>
      </c>
      <c r="I5448" s="135" t="n">
        <f aca="false">$G5448*'Analyse capacite'!$C$8</f>
        <v>0</v>
      </c>
      <c r="J5448" s="135" t="n">
        <f aca="false">$G5448*'Analyse capacite'!$D$8</f>
        <v>0</v>
      </c>
      <c r="K5448" s="135" t="n">
        <f aca="false">$G5448*'Analyse capacite'!$E$8</f>
        <v>0</v>
      </c>
    </row>
    <row r="5449" customFormat="false" ht="15" hidden="false" customHeight="false" outlineLevel="0" collapsed="false">
      <c r="B5449" s="130" t="n">
        <v>2027</v>
      </c>
      <c r="C5449" s="131" t="s">
        <v>250</v>
      </c>
      <c r="D5449" s="132" t="n">
        <v>46629</v>
      </c>
      <c r="E5449" s="131" t="s">
        <v>25</v>
      </c>
      <c r="F5449" s="133" t="s">
        <v>24</v>
      </c>
      <c r="G5449" s="134" t="n">
        <f aca="false">LEN('Saisie programme'!$D$177)+SUMIFS('Vols additionnels'!$E$7:$E$66,'Vols additionnels'!$C$7:$C$66,$E5449,'Vols additionnels'!$D$7:$D$66,$F5449,'Vols additionnels'!$B$7:$B$66,$D5449)</f>
        <v>0</v>
      </c>
      <c r="H5449" s="135" t="n">
        <f aca="false">$G5449*'Analyse capacite'!$F$9</f>
        <v>0</v>
      </c>
      <c r="I5449" s="135" t="n">
        <f aca="false">$G5449*'Analyse capacite'!$C$9</f>
        <v>0</v>
      </c>
      <c r="J5449" s="135" t="n">
        <f aca="false">$G5449*'Analyse capacite'!$D$9</f>
        <v>0</v>
      </c>
      <c r="K5449" s="135" t="n">
        <f aca="false">$G5449*'Analyse capacite'!$E$9</f>
        <v>0</v>
      </c>
    </row>
    <row r="5450" customFormat="false" ht="15" hidden="false" customHeight="false" outlineLevel="0" collapsed="false">
      <c r="B5450" s="130" t="n">
        <v>2027</v>
      </c>
      <c r="C5450" s="131" t="s">
        <v>250</v>
      </c>
      <c r="D5450" s="132" t="n">
        <v>46629</v>
      </c>
      <c r="E5450" s="131" t="s">
        <v>36</v>
      </c>
      <c r="F5450" s="133" t="s">
        <v>11</v>
      </c>
      <c r="G5450" s="134" t="n">
        <f aca="false">LEN('Saisie programme'!$D$178)+SUMIFS('Vols additionnels'!$E$7:$E$66,'Vols additionnels'!$C$7:$C$66,$E5450,'Vols additionnels'!$D$7:$D$66,$F5450,'Vols additionnels'!$B$7:$B$66,$D5450)</f>
        <v>0</v>
      </c>
      <c r="H5450" s="135" t="n">
        <f aca="false">$G5450*'Analyse capacite'!$F$7</f>
        <v>0</v>
      </c>
      <c r="I5450" s="135" t="n">
        <f aca="false">$G5450*'Analyse capacite'!$C$7</f>
        <v>0</v>
      </c>
      <c r="J5450" s="135" t="n">
        <f aca="false">$G5450*'Analyse capacite'!$D$7</f>
        <v>0</v>
      </c>
      <c r="K5450" s="135" t="n">
        <f aca="false">$G5450*'Analyse capacite'!$E$7</f>
        <v>0</v>
      </c>
    </row>
    <row r="5451" customFormat="false" ht="15" hidden="false" customHeight="false" outlineLevel="0" collapsed="false">
      <c r="B5451" s="130" t="n">
        <v>2027</v>
      </c>
      <c r="C5451" s="131" t="s">
        <v>250</v>
      </c>
      <c r="D5451" s="132" t="n">
        <v>46629</v>
      </c>
      <c r="E5451" s="131" t="s">
        <v>36</v>
      </c>
      <c r="F5451" s="133" t="s">
        <v>19</v>
      </c>
      <c r="G5451" s="134" t="n">
        <f aca="false">LEN('Saisie programme'!$D$179)+SUMIFS('Vols additionnels'!$E$7:$E$66,'Vols additionnels'!$C$7:$C$66,$E5451,'Vols additionnels'!$D$7:$D$66,$F5451,'Vols additionnels'!$B$7:$B$66,$D5451)</f>
        <v>0</v>
      </c>
      <c r="H5451" s="135" t="n">
        <f aca="false">$G5451*'Analyse capacite'!$F$8</f>
        <v>0</v>
      </c>
      <c r="I5451" s="135" t="n">
        <f aca="false">$G5451*'Analyse capacite'!$C$8</f>
        <v>0</v>
      </c>
      <c r="J5451" s="135" t="n">
        <f aca="false">$G5451*'Analyse capacite'!$D$8</f>
        <v>0</v>
      </c>
      <c r="K5451" s="135" t="n">
        <f aca="false">$G5451*'Analyse capacite'!$E$8</f>
        <v>0</v>
      </c>
    </row>
    <row r="5452" customFormat="false" ht="15" hidden="false" customHeight="false" outlineLevel="0" collapsed="false">
      <c r="B5452" s="130" t="n">
        <v>2027</v>
      </c>
      <c r="C5452" s="131" t="s">
        <v>250</v>
      </c>
      <c r="D5452" s="132" t="n">
        <v>46629</v>
      </c>
      <c r="E5452" s="131" t="s">
        <v>36</v>
      </c>
      <c r="F5452" s="133" t="s">
        <v>24</v>
      </c>
      <c r="G5452" s="134" t="n">
        <f aca="false">LEN('Saisie programme'!$D$180)+SUMIFS('Vols additionnels'!$E$7:$E$66,'Vols additionnels'!$C$7:$C$66,$E5452,'Vols additionnels'!$D$7:$D$66,$F5452,'Vols additionnels'!$B$7:$B$66,$D5452)</f>
        <v>1</v>
      </c>
      <c r="H5452" s="135" t="n">
        <f aca="false">$G5452*'Analyse capacite'!$F$9</f>
        <v>174</v>
      </c>
      <c r="I5452" s="135" t="n">
        <f aca="false">$G5452*'Analyse capacite'!$C$9</f>
        <v>0</v>
      </c>
      <c r="J5452" s="135" t="n">
        <f aca="false">$G5452*'Analyse capacite'!$D$9</f>
        <v>12</v>
      </c>
      <c r="K5452" s="135" t="n">
        <f aca="false">$G5452*'Analyse capacite'!$E$9</f>
        <v>162</v>
      </c>
    </row>
    <row r="5453" customFormat="false" ht="15" hidden="false" customHeight="false" outlineLevel="0" collapsed="false">
      <c r="B5453" s="130" t="n">
        <v>2027</v>
      </c>
      <c r="C5453" s="131" t="s">
        <v>250</v>
      </c>
      <c r="D5453" s="132" t="n">
        <v>46629</v>
      </c>
      <c r="E5453" s="131" t="s">
        <v>40</v>
      </c>
      <c r="F5453" s="133" t="s">
        <v>11</v>
      </c>
      <c r="G5453" s="134" t="n">
        <f aca="false">LEN('Saisie programme'!$D$181)+SUMIFS('Vols additionnels'!$E$7:$E$66,'Vols additionnels'!$C$7:$C$66,$E5453,'Vols additionnels'!$D$7:$D$66,$F5453,'Vols additionnels'!$B$7:$B$66,$D5453)</f>
        <v>0</v>
      </c>
      <c r="H5453" s="135" t="n">
        <f aca="false">$G5453*'Analyse capacite'!$F$7</f>
        <v>0</v>
      </c>
      <c r="I5453" s="135" t="n">
        <f aca="false">$G5453*'Analyse capacite'!$C$7</f>
        <v>0</v>
      </c>
      <c r="J5453" s="135" t="n">
        <f aca="false">$G5453*'Analyse capacite'!$D$7</f>
        <v>0</v>
      </c>
      <c r="K5453" s="135" t="n">
        <f aca="false">$G5453*'Analyse capacite'!$E$7</f>
        <v>0</v>
      </c>
    </row>
    <row r="5454" customFormat="false" ht="15" hidden="false" customHeight="false" outlineLevel="0" collapsed="false">
      <c r="B5454" s="130" t="n">
        <v>2027</v>
      </c>
      <c r="C5454" s="131" t="s">
        <v>250</v>
      </c>
      <c r="D5454" s="132" t="n">
        <v>46629</v>
      </c>
      <c r="E5454" s="131" t="s">
        <v>40</v>
      </c>
      <c r="F5454" s="133" t="s">
        <v>19</v>
      </c>
      <c r="G5454" s="134" t="n">
        <f aca="false">LEN('Saisie programme'!$D$182)+SUMIFS('Vols additionnels'!$E$7:$E$66,'Vols additionnels'!$C$7:$C$66,$E5454,'Vols additionnels'!$D$7:$D$66,$F5454,'Vols additionnels'!$B$7:$B$66,$D5454)</f>
        <v>0</v>
      </c>
      <c r="H5454" s="135" t="n">
        <f aca="false">$G5454*'Analyse capacite'!$F$8</f>
        <v>0</v>
      </c>
      <c r="I5454" s="135" t="n">
        <f aca="false">$G5454*'Analyse capacite'!$C$8</f>
        <v>0</v>
      </c>
      <c r="J5454" s="135" t="n">
        <f aca="false">$G5454*'Analyse capacite'!$D$8</f>
        <v>0</v>
      </c>
      <c r="K5454" s="135" t="n">
        <f aca="false">$G5454*'Analyse capacite'!$E$8</f>
        <v>0</v>
      </c>
    </row>
    <row r="5455" customFormat="false" ht="15" hidden="false" customHeight="false" outlineLevel="0" collapsed="false">
      <c r="B5455" s="130" t="n">
        <v>2027</v>
      </c>
      <c r="C5455" s="131" t="s">
        <v>250</v>
      </c>
      <c r="D5455" s="132" t="n">
        <v>46629</v>
      </c>
      <c r="E5455" s="131" t="s">
        <v>40</v>
      </c>
      <c r="F5455" s="133" t="s">
        <v>24</v>
      </c>
      <c r="G5455" s="134" t="n">
        <f aca="false">LEN('Saisie programme'!$D$183)+SUMIFS('Vols additionnels'!$E$7:$E$66,'Vols additionnels'!$C$7:$C$66,$E5455,'Vols additionnels'!$D$7:$D$66,$F5455,'Vols additionnels'!$B$7:$B$66,$D5455)</f>
        <v>1</v>
      </c>
      <c r="H5455" s="135" t="n">
        <f aca="false">$G5455*'Analyse capacite'!$F$9</f>
        <v>174</v>
      </c>
      <c r="I5455" s="135" t="n">
        <f aca="false">$G5455*'Analyse capacite'!$C$9</f>
        <v>0</v>
      </c>
      <c r="J5455" s="135" t="n">
        <f aca="false">$G5455*'Analyse capacite'!$D$9</f>
        <v>12</v>
      </c>
      <c r="K5455" s="135" t="n">
        <f aca="false">$G5455*'Analyse capacite'!$E$9</f>
        <v>162</v>
      </c>
    </row>
    <row r="5456" customFormat="false" ht="15" hidden="false" customHeight="false" outlineLevel="0" collapsed="false">
      <c r="B5456" s="130" t="n">
        <v>2027</v>
      </c>
      <c r="C5456" s="131" t="s">
        <v>250</v>
      </c>
      <c r="D5456" s="132" t="n">
        <v>46629</v>
      </c>
      <c r="E5456" s="131" t="s">
        <v>14</v>
      </c>
      <c r="F5456" s="133" t="s">
        <v>11</v>
      </c>
      <c r="G5456" s="134" t="n">
        <f aca="false">LEN('Saisie programme'!$D$184)+SUMIFS('Vols additionnels'!$E$7:$E$66,'Vols additionnels'!$C$7:$C$66,$E5456,'Vols additionnels'!$D$7:$D$66,$F5456,'Vols additionnels'!$B$7:$B$66,$D5456)</f>
        <v>0</v>
      </c>
      <c r="H5456" s="135" t="n">
        <f aca="false">$G5456*'Analyse capacite'!$F$7</f>
        <v>0</v>
      </c>
      <c r="I5456" s="135" t="n">
        <f aca="false">$G5456*'Analyse capacite'!$C$7</f>
        <v>0</v>
      </c>
      <c r="J5456" s="135" t="n">
        <f aca="false">$G5456*'Analyse capacite'!$D$7</f>
        <v>0</v>
      </c>
      <c r="K5456" s="135" t="n">
        <f aca="false">$G5456*'Analyse capacite'!$E$7</f>
        <v>0</v>
      </c>
    </row>
    <row r="5457" customFormat="false" ht="15" hidden="false" customHeight="false" outlineLevel="0" collapsed="false">
      <c r="B5457" s="130" t="n">
        <v>2027</v>
      </c>
      <c r="C5457" s="131" t="s">
        <v>250</v>
      </c>
      <c r="D5457" s="132" t="n">
        <v>46629</v>
      </c>
      <c r="E5457" s="131" t="s">
        <v>14</v>
      </c>
      <c r="F5457" s="133" t="s">
        <v>19</v>
      </c>
      <c r="G5457" s="134" t="n">
        <f aca="false">LEN('Saisie programme'!$D$185)+SUMIFS('Vols additionnels'!$E$7:$E$66,'Vols additionnels'!$C$7:$C$66,$E5457,'Vols additionnels'!$D$7:$D$66,$F5457,'Vols additionnels'!$B$7:$B$66,$D5457)</f>
        <v>0</v>
      </c>
      <c r="H5457" s="135" t="n">
        <f aca="false">$G5457*'Analyse capacite'!$F$8</f>
        <v>0</v>
      </c>
      <c r="I5457" s="135" t="n">
        <f aca="false">$G5457*'Analyse capacite'!$C$8</f>
        <v>0</v>
      </c>
      <c r="J5457" s="135" t="n">
        <f aca="false">$G5457*'Analyse capacite'!$D$8</f>
        <v>0</v>
      </c>
      <c r="K5457" s="135" t="n">
        <f aca="false">$G5457*'Analyse capacite'!$E$8</f>
        <v>0</v>
      </c>
    </row>
    <row r="5458" customFormat="false" ht="15" hidden="false" customHeight="false" outlineLevel="0" collapsed="false">
      <c r="B5458" s="130" t="n">
        <v>2027</v>
      </c>
      <c r="C5458" s="131" t="s">
        <v>250</v>
      </c>
      <c r="D5458" s="132" t="n">
        <v>46629</v>
      </c>
      <c r="E5458" s="131" t="s">
        <v>14</v>
      </c>
      <c r="F5458" s="133" t="s">
        <v>24</v>
      </c>
      <c r="G5458" s="134" t="n">
        <f aca="false">LEN('Saisie programme'!$D$186)+SUMIFS('Vols additionnels'!$E$7:$E$66,'Vols additionnels'!$C$7:$C$66,$E5458,'Vols additionnels'!$D$7:$D$66,$F5458,'Vols additionnels'!$B$7:$B$66,$D5458)</f>
        <v>1</v>
      </c>
      <c r="H5458" s="135" t="n">
        <f aca="false">$G5458*'Analyse capacite'!$F$9</f>
        <v>174</v>
      </c>
      <c r="I5458" s="135" t="n">
        <f aca="false">$G5458*'Analyse capacite'!$C$9</f>
        <v>0</v>
      </c>
      <c r="J5458" s="135" t="n">
        <f aca="false">$G5458*'Analyse capacite'!$D$9</f>
        <v>12</v>
      </c>
      <c r="K5458" s="135" t="n">
        <f aca="false">$G5458*'Analyse capacite'!$E$9</f>
        <v>162</v>
      </c>
    </row>
    <row r="5459" customFormat="false" ht="15" hidden="false" customHeight="false" outlineLevel="0" collapsed="false">
      <c r="B5459" s="130" t="n">
        <v>2027</v>
      </c>
      <c r="C5459" s="131" t="s">
        <v>250</v>
      </c>
      <c r="D5459" s="132" t="n">
        <v>46629</v>
      </c>
      <c r="E5459" s="131" t="s">
        <v>46</v>
      </c>
      <c r="F5459" s="133" t="s">
        <v>11</v>
      </c>
      <c r="G5459" s="134" t="n">
        <f aca="false">LEN('Saisie programme'!$D$187)+SUMIFS('Vols additionnels'!$E$7:$E$66,'Vols additionnels'!$C$7:$C$66,$E5459,'Vols additionnels'!$D$7:$D$66,$F5459,'Vols additionnels'!$B$7:$B$66,$D5459)</f>
        <v>0</v>
      </c>
      <c r="H5459" s="135" t="n">
        <f aca="false">$G5459*'Analyse capacite'!$F$7</f>
        <v>0</v>
      </c>
      <c r="I5459" s="135" t="n">
        <f aca="false">$G5459*'Analyse capacite'!$C$7</f>
        <v>0</v>
      </c>
      <c r="J5459" s="135" t="n">
        <f aca="false">$G5459*'Analyse capacite'!$D$7</f>
        <v>0</v>
      </c>
      <c r="K5459" s="135" t="n">
        <f aca="false">$G5459*'Analyse capacite'!$E$7</f>
        <v>0</v>
      </c>
    </row>
    <row r="5460" customFormat="false" ht="15" hidden="false" customHeight="false" outlineLevel="0" collapsed="false">
      <c r="B5460" s="130" t="n">
        <v>2027</v>
      </c>
      <c r="C5460" s="131" t="s">
        <v>250</v>
      </c>
      <c r="D5460" s="132" t="n">
        <v>46629</v>
      </c>
      <c r="E5460" s="131" t="s">
        <v>46</v>
      </c>
      <c r="F5460" s="133" t="s">
        <v>19</v>
      </c>
      <c r="G5460" s="134" t="n">
        <f aca="false">LEN('Saisie programme'!$D$188)+SUMIFS('Vols additionnels'!$E$7:$E$66,'Vols additionnels'!$C$7:$C$66,$E5460,'Vols additionnels'!$D$7:$D$66,$F5460,'Vols additionnels'!$B$7:$B$66,$D5460)</f>
        <v>0</v>
      </c>
      <c r="H5460" s="135" t="n">
        <f aca="false">$G5460*'Analyse capacite'!$F$8</f>
        <v>0</v>
      </c>
      <c r="I5460" s="135" t="n">
        <f aca="false">$G5460*'Analyse capacite'!$C$8</f>
        <v>0</v>
      </c>
      <c r="J5460" s="135" t="n">
        <f aca="false">$G5460*'Analyse capacite'!$D$8</f>
        <v>0</v>
      </c>
      <c r="K5460" s="135" t="n">
        <f aca="false">$G5460*'Analyse capacite'!$E$8</f>
        <v>0</v>
      </c>
    </row>
    <row r="5461" customFormat="false" ht="15" hidden="false" customHeight="false" outlineLevel="0" collapsed="false">
      <c r="B5461" s="130" t="n">
        <v>2027</v>
      </c>
      <c r="C5461" s="131" t="s">
        <v>250</v>
      </c>
      <c r="D5461" s="132" t="n">
        <v>46629</v>
      </c>
      <c r="E5461" s="131" t="s">
        <v>46</v>
      </c>
      <c r="F5461" s="133" t="s">
        <v>24</v>
      </c>
      <c r="G5461" s="134" t="n">
        <f aca="false">LEN('Saisie programme'!$D$189)+SUMIFS('Vols additionnels'!$E$7:$E$66,'Vols additionnels'!$C$7:$C$66,$E5461,'Vols additionnels'!$D$7:$D$66,$F5461,'Vols additionnels'!$B$7:$B$66,$D5461)</f>
        <v>0</v>
      </c>
      <c r="H5461" s="135" t="n">
        <f aca="false">$G5461*'Analyse capacite'!$F$9</f>
        <v>0</v>
      </c>
      <c r="I5461" s="135" t="n">
        <f aca="false">$G5461*'Analyse capacite'!$C$9</f>
        <v>0</v>
      </c>
      <c r="J5461" s="135" t="n">
        <f aca="false">$G5461*'Analyse capacite'!$D$9</f>
        <v>0</v>
      </c>
      <c r="K5461" s="135" t="n">
        <f aca="false">$G5461*'Analyse capacite'!$E$9</f>
        <v>0</v>
      </c>
    </row>
    <row r="5462" customFormat="false" ht="15" hidden="false" customHeight="false" outlineLevel="0" collapsed="false">
      <c r="B5462" s="130" t="n">
        <v>2027</v>
      </c>
      <c r="C5462" s="131" t="s">
        <v>250</v>
      </c>
      <c r="D5462" s="132" t="n">
        <v>46629</v>
      </c>
      <c r="E5462" s="131" t="s">
        <v>49</v>
      </c>
      <c r="F5462" s="133" t="s">
        <v>11</v>
      </c>
      <c r="G5462" s="134" t="n">
        <f aca="false">LEN('Saisie programme'!$D$190)+SUMIFS('Vols additionnels'!$E$7:$E$66,'Vols additionnels'!$C$7:$C$66,$E5462,'Vols additionnels'!$D$7:$D$66,$F5462,'Vols additionnels'!$B$7:$B$66,$D5462)</f>
        <v>0</v>
      </c>
      <c r="H5462" s="135" t="n">
        <f aca="false">$G5462*'Analyse capacite'!$F$7</f>
        <v>0</v>
      </c>
      <c r="I5462" s="135" t="n">
        <f aca="false">$G5462*'Analyse capacite'!$C$7</f>
        <v>0</v>
      </c>
      <c r="J5462" s="135" t="n">
        <f aca="false">$G5462*'Analyse capacite'!$D$7</f>
        <v>0</v>
      </c>
      <c r="K5462" s="135" t="n">
        <f aca="false">$G5462*'Analyse capacite'!$E$7</f>
        <v>0</v>
      </c>
    </row>
    <row r="5463" customFormat="false" ht="15" hidden="false" customHeight="false" outlineLevel="0" collapsed="false">
      <c r="B5463" s="130" t="n">
        <v>2027</v>
      </c>
      <c r="C5463" s="131" t="s">
        <v>250</v>
      </c>
      <c r="D5463" s="132" t="n">
        <v>46629</v>
      </c>
      <c r="E5463" s="131" t="s">
        <v>49</v>
      </c>
      <c r="F5463" s="133" t="s">
        <v>19</v>
      </c>
      <c r="G5463" s="134" t="n">
        <f aca="false">LEN('Saisie programme'!$D$191)+SUMIFS('Vols additionnels'!$E$7:$E$66,'Vols additionnels'!$C$7:$C$66,$E5463,'Vols additionnels'!$D$7:$D$66,$F5463,'Vols additionnels'!$B$7:$B$66,$D5463)</f>
        <v>1</v>
      </c>
      <c r="H5463" s="135" t="n">
        <f aca="false">$G5463*'Analyse capacite'!$F$8</f>
        <v>262</v>
      </c>
      <c r="I5463" s="135" t="n">
        <f aca="false">$G5463*'Analyse capacite'!$C$8</f>
        <v>18</v>
      </c>
      <c r="J5463" s="135" t="n">
        <f aca="false">$G5463*'Analyse capacite'!$D$8</f>
        <v>0</v>
      </c>
      <c r="K5463" s="135" t="n">
        <f aca="false">$G5463*'Analyse capacite'!$E$8</f>
        <v>244</v>
      </c>
    </row>
    <row r="5464" customFormat="false" ht="15" hidden="false" customHeight="false" outlineLevel="0" collapsed="false">
      <c r="B5464" s="130" t="n">
        <v>2027</v>
      </c>
      <c r="C5464" s="131" t="s">
        <v>250</v>
      </c>
      <c r="D5464" s="132" t="n">
        <v>46629</v>
      </c>
      <c r="E5464" s="131" t="s">
        <v>49</v>
      </c>
      <c r="F5464" s="133" t="s">
        <v>24</v>
      </c>
      <c r="G5464" s="134" t="n">
        <f aca="false">LEN('Saisie programme'!$D$192)+SUMIFS('Vols additionnels'!$E$7:$E$66,'Vols additionnels'!$C$7:$C$66,$E5464,'Vols additionnels'!$D$7:$D$66,$F5464,'Vols additionnels'!$B$7:$B$66,$D5464)</f>
        <v>0</v>
      </c>
      <c r="H5464" s="135" t="n">
        <f aca="false">$G5464*'Analyse capacite'!$F$9</f>
        <v>0</v>
      </c>
      <c r="I5464" s="135" t="n">
        <f aca="false">$G5464*'Analyse capacite'!$C$9</f>
        <v>0</v>
      </c>
      <c r="J5464" s="135" t="n">
        <f aca="false">$G5464*'Analyse capacite'!$D$9</f>
        <v>0</v>
      </c>
      <c r="K5464" s="135" t="n">
        <f aca="false">$G5464*'Analyse capacite'!$E$9</f>
        <v>0</v>
      </c>
    </row>
    <row r="5465" customFormat="false" ht="15" hidden="false" customHeight="false" outlineLevel="0" collapsed="false">
      <c r="B5465" s="130" t="n">
        <v>2027</v>
      </c>
      <c r="C5465" s="131" t="s">
        <v>250</v>
      </c>
      <c r="D5465" s="132" t="n">
        <v>46629</v>
      </c>
      <c r="E5465" s="131" t="s">
        <v>53</v>
      </c>
      <c r="F5465" s="133" t="s">
        <v>11</v>
      </c>
      <c r="G5465" s="134" t="n">
        <f aca="false">LEN('Saisie programme'!$D$193)+SUMIFS('Vols additionnels'!$E$7:$E$66,'Vols additionnels'!$C$7:$C$66,$E5465,'Vols additionnels'!$D$7:$D$66,$F5465,'Vols additionnels'!$B$7:$B$66,$D5465)</f>
        <v>0</v>
      </c>
      <c r="H5465" s="135" t="n">
        <f aca="false">$G5465*'Analyse capacite'!$F$7</f>
        <v>0</v>
      </c>
      <c r="I5465" s="135" t="n">
        <f aca="false">$G5465*'Analyse capacite'!$C$7</f>
        <v>0</v>
      </c>
      <c r="J5465" s="135" t="n">
        <f aca="false">$G5465*'Analyse capacite'!$D$7</f>
        <v>0</v>
      </c>
      <c r="K5465" s="135" t="n">
        <f aca="false">$G5465*'Analyse capacite'!$E$7</f>
        <v>0</v>
      </c>
    </row>
    <row r="5466" customFormat="false" ht="15" hidden="false" customHeight="false" outlineLevel="0" collapsed="false">
      <c r="B5466" s="130" t="n">
        <v>2027</v>
      </c>
      <c r="C5466" s="131" t="s">
        <v>250</v>
      </c>
      <c r="D5466" s="132" t="n">
        <v>46629</v>
      </c>
      <c r="E5466" s="131" t="s">
        <v>53</v>
      </c>
      <c r="F5466" s="133" t="s">
        <v>19</v>
      </c>
      <c r="G5466" s="134" t="n">
        <f aca="false">LEN('Saisie programme'!$D$194)+SUMIFS('Vols additionnels'!$E$7:$E$66,'Vols additionnels'!$C$7:$C$66,$E5466,'Vols additionnels'!$D$7:$D$66,$F5466,'Vols additionnels'!$B$7:$B$66,$D5466)</f>
        <v>0</v>
      </c>
      <c r="H5466" s="135" t="n">
        <f aca="false">$G5466*'Analyse capacite'!$F$8</f>
        <v>0</v>
      </c>
      <c r="I5466" s="135" t="n">
        <f aca="false">$G5466*'Analyse capacite'!$C$8</f>
        <v>0</v>
      </c>
      <c r="J5466" s="135" t="n">
        <f aca="false">$G5466*'Analyse capacite'!$D$8</f>
        <v>0</v>
      </c>
      <c r="K5466" s="135" t="n">
        <f aca="false">$G5466*'Analyse capacite'!$E$8</f>
        <v>0</v>
      </c>
    </row>
    <row r="5467" customFormat="false" ht="15" hidden="false" customHeight="false" outlineLevel="0" collapsed="false">
      <c r="B5467" s="130" t="n">
        <v>2027</v>
      </c>
      <c r="C5467" s="131" t="s">
        <v>250</v>
      </c>
      <c r="D5467" s="132" t="n">
        <v>46629</v>
      </c>
      <c r="E5467" s="131" t="s">
        <v>53</v>
      </c>
      <c r="F5467" s="133" t="s">
        <v>24</v>
      </c>
      <c r="G5467" s="134" t="n">
        <f aca="false">LEN('Saisie programme'!$D$195)+SUMIFS('Vols additionnels'!$E$7:$E$66,'Vols additionnels'!$C$7:$C$66,$E5467,'Vols additionnels'!$D$7:$D$66,$F5467,'Vols additionnels'!$B$7:$B$66,$D5467)</f>
        <v>0</v>
      </c>
      <c r="H5467" s="135" t="n">
        <f aca="false">$G5467*'Analyse capacite'!$F$9</f>
        <v>0</v>
      </c>
      <c r="I5467" s="135" t="n">
        <f aca="false">$G5467*'Analyse capacite'!$C$9</f>
        <v>0</v>
      </c>
      <c r="J5467" s="135" t="n">
        <f aca="false">$G5467*'Analyse capacite'!$D$9</f>
        <v>0</v>
      </c>
      <c r="K5467" s="135" t="n">
        <f aca="false">$G5467*'Analyse capacite'!$E$9</f>
        <v>0</v>
      </c>
    </row>
    <row r="5468" customFormat="false" ht="15" hidden="false" customHeight="false" outlineLevel="0" collapsed="false">
      <c r="B5468" s="130" t="n">
        <v>2027</v>
      </c>
      <c r="C5468" s="131" t="s">
        <v>250</v>
      </c>
      <c r="D5468" s="132" t="n">
        <v>46629</v>
      </c>
      <c r="E5468" s="131" t="s">
        <v>56</v>
      </c>
      <c r="F5468" s="133" t="s">
        <v>11</v>
      </c>
      <c r="G5468" s="134" t="n">
        <f aca="false">LEN('Saisie programme'!$D$196)+SUMIFS('Vols additionnels'!$E$7:$E$66,'Vols additionnels'!$C$7:$C$66,$E5468,'Vols additionnels'!$D$7:$D$66,$F5468,'Vols additionnels'!$B$7:$B$66,$D5468)</f>
        <v>0</v>
      </c>
      <c r="H5468" s="135" t="n">
        <f aca="false">$G5468*'Analyse capacite'!$F$7</f>
        <v>0</v>
      </c>
      <c r="I5468" s="135" t="n">
        <f aca="false">$G5468*'Analyse capacite'!$C$7</f>
        <v>0</v>
      </c>
      <c r="J5468" s="135" t="n">
        <f aca="false">$G5468*'Analyse capacite'!$D$7</f>
        <v>0</v>
      </c>
      <c r="K5468" s="135" t="n">
        <f aca="false">$G5468*'Analyse capacite'!$E$7</f>
        <v>0</v>
      </c>
    </row>
    <row r="5469" customFormat="false" ht="15" hidden="false" customHeight="false" outlineLevel="0" collapsed="false">
      <c r="B5469" s="130" t="n">
        <v>2027</v>
      </c>
      <c r="C5469" s="131" t="s">
        <v>250</v>
      </c>
      <c r="D5469" s="132" t="n">
        <v>46629</v>
      </c>
      <c r="E5469" s="131" t="s">
        <v>56</v>
      </c>
      <c r="F5469" s="133" t="s">
        <v>19</v>
      </c>
      <c r="G5469" s="134" t="n">
        <f aca="false">LEN('Saisie programme'!$D$197)+SUMIFS('Vols additionnels'!$E$7:$E$66,'Vols additionnels'!$C$7:$C$66,$E5469,'Vols additionnels'!$D$7:$D$66,$F5469,'Vols additionnels'!$B$7:$B$66,$D5469)</f>
        <v>0</v>
      </c>
      <c r="H5469" s="135" t="n">
        <f aca="false">$G5469*'Analyse capacite'!$F$8</f>
        <v>0</v>
      </c>
      <c r="I5469" s="135" t="n">
        <f aca="false">$G5469*'Analyse capacite'!$C$8</f>
        <v>0</v>
      </c>
      <c r="J5469" s="135" t="n">
        <f aca="false">$G5469*'Analyse capacite'!$D$8</f>
        <v>0</v>
      </c>
      <c r="K5469" s="135" t="n">
        <f aca="false">$G5469*'Analyse capacite'!$E$8</f>
        <v>0</v>
      </c>
    </row>
    <row r="5470" customFormat="false" ht="15" hidden="false" customHeight="false" outlineLevel="0" collapsed="false">
      <c r="B5470" s="130" t="n">
        <v>2027</v>
      </c>
      <c r="C5470" s="131" t="s">
        <v>250</v>
      </c>
      <c r="D5470" s="132" t="n">
        <v>46629</v>
      </c>
      <c r="E5470" s="131" t="s">
        <v>56</v>
      </c>
      <c r="F5470" s="133" t="s">
        <v>24</v>
      </c>
      <c r="G5470" s="134" t="n">
        <f aca="false">LEN('Saisie programme'!$D$198)+SUMIFS('Vols additionnels'!$E$7:$E$66,'Vols additionnels'!$C$7:$C$66,$E5470,'Vols additionnels'!$D$7:$D$66,$F5470,'Vols additionnels'!$B$7:$B$66,$D5470)</f>
        <v>0</v>
      </c>
      <c r="H5470" s="135" t="n">
        <f aca="false">$G5470*'Analyse capacite'!$F$9</f>
        <v>0</v>
      </c>
      <c r="I5470" s="135" t="n">
        <f aca="false">$G5470*'Analyse capacite'!$C$9</f>
        <v>0</v>
      </c>
      <c r="J5470" s="135" t="n">
        <f aca="false">$G5470*'Analyse capacite'!$D$9</f>
        <v>0</v>
      </c>
      <c r="K5470" s="135" t="n">
        <f aca="false">$G5470*'Analyse capacite'!$E$9</f>
        <v>0</v>
      </c>
    </row>
    <row r="5471" customFormat="false" ht="15" hidden="false" customHeight="false" outlineLevel="0" collapsed="false">
      <c r="B5471" s="130" t="n">
        <v>2027</v>
      </c>
      <c r="C5471" s="131" t="s">
        <v>250</v>
      </c>
      <c r="D5471" s="132" t="n">
        <v>46629</v>
      </c>
      <c r="E5471" s="131" t="s">
        <v>59</v>
      </c>
      <c r="F5471" s="133" t="s">
        <v>11</v>
      </c>
      <c r="G5471" s="134" t="n">
        <f aca="false">LEN('Saisie programme'!$D$199)+SUMIFS('Vols additionnels'!$E$7:$E$66,'Vols additionnels'!$C$7:$C$66,$E5471,'Vols additionnels'!$D$7:$D$66,$F5471,'Vols additionnels'!$B$7:$B$66,$D5471)</f>
        <v>0</v>
      </c>
      <c r="H5471" s="135" t="n">
        <f aca="false">$G5471*'Analyse capacite'!$F$7</f>
        <v>0</v>
      </c>
      <c r="I5471" s="135" t="n">
        <f aca="false">$G5471*'Analyse capacite'!$C$7</f>
        <v>0</v>
      </c>
      <c r="J5471" s="135" t="n">
        <f aca="false">$G5471*'Analyse capacite'!$D$7</f>
        <v>0</v>
      </c>
      <c r="K5471" s="135" t="n">
        <f aca="false">$G5471*'Analyse capacite'!$E$7</f>
        <v>0</v>
      </c>
    </row>
    <row r="5472" customFormat="false" ht="15" hidden="false" customHeight="false" outlineLevel="0" collapsed="false">
      <c r="B5472" s="130" t="n">
        <v>2027</v>
      </c>
      <c r="C5472" s="131" t="s">
        <v>250</v>
      </c>
      <c r="D5472" s="132" t="n">
        <v>46629</v>
      </c>
      <c r="E5472" s="131" t="s">
        <v>59</v>
      </c>
      <c r="F5472" s="133" t="s">
        <v>19</v>
      </c>
      <c r="G5472" s="134" t="n">
        <f aca="false">LEN('Saisie programme'!$D$200)+SUMIFS('Vols additionnels'!$E$7:$E$66,'Vols additionnels'!$C$7:$C$66,$E5472,'Vols additionnels'!$D$7:$D$66,$F5472,'Vols additionnels'!$B$7:$B$66,$D5472)</f>
        <v>0</v>
      </c>
      <c r="H5472" s="135" t="n">
        <f aca="false">$G5472*'Analyse capacite'!$F$8</f>
        <v>0</v>
      </c>
      <c r="I5472" s="135" t="n">
        <f aca="false">$G5472*'Analyse capacite'!$C$8</f>
        <v>0</v>
      </c>
      <c r="J5472" s="135" t="n">
        <f aca="false">$G5472*'Analyse capacite'!$D$8</f>
        <v>0</v>
      </c>
      <c r="K5472" s="135" t="n">
        <f aca="false">$G5472*'Analyse capacite'!$E$8</f>
        <v>0</v>
      </c>
    </row>
    <row r="5473" customFormat="false" ht="15" hidden="false" customHeight="false" outlineLevel="0" collapsed="false">
      <c r="B5473" s="130" t="n">
        <v>2027</v>
      </c>
      <c r="C5473" s="131" t="s">
        <v>250</v>
      </c>
      <c r="D5473" s="132" t="n">
        <v>46629</v>
      </c>
      <c r="E5473" s="131" t="s">
        <v>59</v>
      </c>
      <c r="F5473" s="133" t="s">
        <v>24</v>
      </c>
      <c r="G5473" s="134" t="n">
        <f aca="false">LEN('Saisie programme'!$D$201)+SUMIFS('Vols additionnels'!$E$7:$E$66,'Vols additionnels'!$C$7:$C$66,$E5473,'Vols additionnels'!$D$7:$D$66,$F5473,'Vols additionnels'!$B$7:$B$66,$D5473)</f>
        <v>1</v>
      </c>
      <c r="H5473" s="135" t="n">
        <f aca="false">$G5473*'Analyse capacite'!$F$9</f>
        <v>174</v>
      </c>
      <c r="I5473" s="135" t="n">
        <f aca="false">$G5473*'Analyse capacite'!$C$9</f>
        <v>0</v>
      </c>
      <c r="J5473" s="135" t="n">
        <f aca="false">$G5473*'Analyse capacite'!$D$9</f>
        <v>12</v>
      </c>
      <c r="K5473" s="135" t="n">
        <f aca="false">$G5473*'Analyse capacite'!$E$9</f>
        <v>162</v>
      </c>
    </row>
    <row r="5474" customFormat="false" ht="15" hidden="false" customHeight="false" outlineLevel="0" collapsed="false">
      <c r="B5474" s="130" t="n">
        <v>2027</v>
      </c>
      <c r="C5474" s="131" t="s">
        <v>250</v>
      </c>
      <c r="D5474" s="132" t="n">
        <v>46629</v>
      </c>
      <c r="E5474" s="131" t="s">
        <v>62</v>
      </c>
      <c r="F5474" s="133" t="s">
        <v>11</v>
      </c>
      <c r="G5474" s="134" t="n">
        <f aca="false">LEN('Saisie programme'!$D$202)+SUMIFS('Vols additionnels'!$E$7:$E$66,'Vols additionnels'!$C$7:$C$66,$E5474,'Vols additionnels'!$D$7:$D$66,$F5474,'Vols additionnels'!$B$7:$B$66,$D5474)</f>
        <v>0</v>
      </c>
      <c r="H5474" s="135" t="n">
        <f aca="false">$G5474*'Analyse capacite'!$F$7</f>
        <v>0</v>
      </c>
      <c r="I5474" s="135" t="n">
        <f aca="false">$G5474*'Analyse capacite'!$C$7</f>
        <v>0</v>
      </c>
      <c r="J5474" s="135" t="n">
        <f aca="false">$G5474*'Analyse capacite'!$D$7</f>
        <v>0</v>
      </c>
      <c r="K5474" s="135" t="n">
        <f aca="false">$G5474*'Analyse capacite'!$E$7</f>
        <v>0</v>
      </c>
    </row>
    <row r="5475" customFormat="false" ht="15" hidden="false" customHeight="false" outlineLevel="0" collapsed="false">
      <c r="B5475" s="130" t="n">
        <v>2027</v>
      </c>
      <c r="C5475" s="131" t="s">
        <v>250</v>
      </c>
      <c r="D5475" s="132" t="n">
        <v>46629</v>
      </c>
      <c r="E5475" s="131" t="s">
        <v>62</v>
      </c>
      <c r="F5475" s="133" t="s">
        <v>19</v>
      </c>
      <c r="G5475" s="134" t="n">
        <f aca="false">LEN('Saisie programme'!$D$203)+SUMIFS('Vols additionnels'!$E$7:$E$66,'Vols additionnels'!$C$7:$C$66,$E5475,'Vols additionnels'!$D$7:$D$66,$F5475,'Vols additionnels'!$B$7:$B$66,$D5475)</f>
        <v>0</v>
      </c>
      <c r="H5475" s="135" t="n">
        <f aca="false">$G5475*'Analyse capacite'!$F$8</f>
        <v>0</v>
      </c>
      <c r="I5475" s="135" t="n">
        <f aca="false">$G5475*'Analyse capacite'!$C$8</f>
        <v>0</v>
      </c>
      <c r="J5475" s="135" t="n">
        <f aca="false">$G5475*'Analyse capacite'!$D$8</f>
        <v>0</v>
      </c>
      <c r="K5475" s="135" t="n">
        <f aca="false">$G5475*'Analyse capacite'!$E$8</f>
        <v>0</v>
      </c>
    </row>
    <row r="5476" customFormat="false" ht="15" hidden="false" customHeight="false" outlineLevel="0" collapsed="false">
      <c r="B5476" s="130" t="n">
        <v>2027</v>
      </c>
      <c r="C5476" s="131" t="s">
        <v>250</v>
      </c>
      <c r="D5476" s="132" t="n">
        <v>46629</v>
      </c>
      <c r="E5476" s="131" t="s">
        <v>62</v>
      </c>
      <c r="F5476" s="133" t="s">
        <v>24</v>
      </c>
      <c r="G5476" s="134" t="n">
        <f aca="false">LEN('Saisie programme'!$D$204)+SUMIFS('Vols additionnels'!$E$7:$E$66,'Vols additionnels'!$C$7:$C$66,$E5476,'Vols additionnels'!$D$7:$D$66,$F5476,'Vols additionnels'!$B$7:$B$66,$D5476)</f>
        <v>0</v>
      </c>
      <c r="H5476" s="135" t="n">
        <f aca="false">$G5476*'Analyse capacite'!$F$9</f>
        <v>0</v>
      </c>
      <c r="I5476" s="135" t="n">
        <f aca="false">$G5476*'Analyse capacite'!$C$9</f>
        <v>0</v>
      </c>
      <c r="J5476" s="135" t="n">
        <f aca="false">$G5476*'Analyse capacite'!$D$9</f>
        <v>0</v>
      </c>
      <c r="K5476" s="135" t="n">
        <f aca="false">$G5476*'Analyse capacite'!$E$9</f>
        <v>0</v>
      </c>
    </row>
    <row r="5477" customFormat="false" ht="15" hidden="false" customHeight="false" outlineLevel="0" collapsed="false">
      <c r="B5477" s="130" t="n">
        <v>2027</v>
      </c>
      <c r="C5477" s="131" t="s">
        <v>250</v>
      </c>
      <c r="D5477" s="132" t="n">
        <v>46630</v>
      </c>
      <c r="E5477" s="131" t="s">
        <v>12</v>
      </c>
      <c r="F5477" s="133" t="s">
        <v>11</v>
      </c>
      <c r="G5477" s="134" t="n">
        <f aca="false">LEN('Saisie programme'!$E$169)+SUMIFS('Vols additionnels'!$E$7:$E$66,'Vols additionnels'!$C$7:$C$66,$E5477,'Vols additionnels'!$D$7:$D$66,$F5477,'Vols additionnels'!$B$7:$B$66,$D5477)</f>
        <v>1</v>
      </c>
      <c r="H5477" s="135" t="n">
        <f aca="false">$G5477*'Analyse capacite'!$F$7</f>
        <v>438</v>
      </c>
      <c r="I5477" s="135" t="n">
        <f aca="false">$G5477*'Analyse capacite'!$C$7</f>
        <v>14</v>
      </c>
      <c r="J5477" s="135" t="n">
        <f aca="false">$G5477*'Analyse capacite'!$D$7</f>
        <v>40</v>
      </c>
      <c r="K5477" s="135" t="n">
        <f aca="false">$G5477*'Analyse capacite'!$E$7</f>
        <v>384</v>
      </c>
    </row>
    <row r="5478" customFormat="false" ht="15" hidden="false" customHeight="false" outlineLevel="0" collapsed="false">
      <c r="B5478" s="130" t="n">
        <v>2027</v>
      </c>
      <c r="C5478" s="131" t="s">
        <v>250</v>
      </c>
      <c r="D5478" s="132" t="n">
        <v>46630</v>
      </c>
      <c r="E5478" s="131" t="s">
        <v>12</v>
      </c>
      <c r="F5478" s="133" t="s">
        <v>19</v>
      </c>
      <c r="G5478" s="134" t="n">
        <f aca="false">LEN('Saisie programme'!$E$170)+SUMIFS('Vols additionnels'!$E$7:$E$66,'Vols additionnels'!$C$7:$C$66,$E5478,'Vols additionnels'!$D$7:$D$66,$F5478,'Vols additionnels'!$B$7:$B$66,$D5478)</f>
        <v>1</v>
      </c>
      <c r="H5478" s="135" t="n">
        <f aca="false">$G5478*'Analyse capacite'!$F$8</f>
        <v>262</v>
      </c>
      <c r="I5478" s="135" t="n">
        <f aca="false">$G5478*'Analyse capacite'!$C$8</f>
        <v>18</v>
      </c>
      <c r="J5478" s="135" t="n">
        <f aca="false">$G5478*'Analyse capacite'!$D$8</f>
        <v>0</v>
      </c>
      <c r="K5478" s="135" t="n">
        <f aca="false">$G5478*'Analyse capacite'!$E$8</f>
        <v>244</v>
      </c>
    </row>
    <row r="5479" customFormat="false" ht="15" hidden="false" customHeight="false" outlineLevel="0" collapsed="false">
      <c r="B5479" s="130" t="n">
        <v>2027</v>
      </c>
      <c r="C5479" s="131" t="s">
        <v>250</v>
      </c>
      <c r="D5479" s="132" t="n">
        <v>46630</v>
      </c>
      <c r="E5479" s="131" t="s">
        <v>12</v>
      </c>
      <c r="F5479" s="133" t="s">
        <v>24</v>
      </c>
      <c r="G5479" s="134" t="n">
        <f aca="false">LEN('Saisie programme'!$E$171)+SUMIFS('Vols additionnels'!$E$7:$E$66,'Vols additionnels'!$C$7:$C$66,$E5479,'Vols additionnels'!$D$7:$D$66,$F5479,'Vols additionnels'!$B$7:$B$66,$D5479)</f>
        <v>0</v>
      </c>
      <c r="H5479" s="135" t="n">
        <f aca="false">$G5479*'Analyse capacite'!$F$9</f>
        <v>0</v>
      </c>
      <c r="I5479" s="135" t="n">
        <f aca="false">$G5479*'Analyse capacite'!$C$9</f>
        <v>0</v>
      </c>
      <c r="J5479" s="135" t="n">
        <f aca="false">$G5479*'Analyse capacite'!$D$9</f>
        <v>0</v>
      </c>
      <c r="K5479" s="135" t="n">
        <f aca="false">$G5479*'Analyse capacite'!$E$9</f>
        <v>0</v>
      </c>
    </row>
    <row r="5480" customFormat="false" ht="15" hidden="false" customHeight="false" outlineLevel="0" collapsed="false">
      <c r="B5480" s="130" t="n">
        <v>2027</v>
      </c>
      <c r="C5480" s="131" t="s">
        <v>250</v>
      </c>
      <c r="D5480" s="132" t="n">
        <v>46630</v>
      </c>
      <c r="E5480" s="131" t="s">
        <v>20</v>
      </c>
      <c r="F5480" s="133" t="s">
        <v>11</v>
      </c>
      <c r="G5480" s="134" t="n">
        <f aca="false">LEN('Saisie programme'!$E$172)+SUMIFS('Vols additionnels'!$E$7:$E$66,'Vols additionnels'!$C$7:$C$66,$E5480,'Vols additionnels'!$D$7:$D$66,$F5480,'Vols additionnels'!$B$7:$B$66,$D5480)</f>
        <v>0</v>
      </c>
      <c r="H5480" s="135" t="n">
        <f aca="false">$G5480*'Analyse capacite'!$F$7</f>
        <v>0</v>
      </c>
      <c r="I5480" s="135" t="n">
        <f aca="false">$G5480*'Analyse capacite'!$C$7</f>
        <v>0</v>
      </c>
      <c r="J5480" s="135" t="n">
        <f aca="false">$G5480*'Analyse capacite'!$D$7</f>
        <v>0</v>
      </c>
      <c r="K5480" s="135" t="n">
        <f aca="false">$G5480*'Analyse capacite'!$E$7</f>
        <v>0</v>
      </c>
    </row>
    <row r="5481" customFormat="false" ht="15" hidden="false" customHeight="false" outlineLevel="0" collapsed="false">
      <c r="B5481" s="130" t="n">
        <v>2027</v>
      </c>
      <c r="C5481" s="131" t="s">
        <v>250</v>
      </c>
      <c r="D5481" s="132" t="n">
        <v>46630</v>
      </c>
      <c r="E5481" s="131" t="s">
        <v>20</v>
      </c>
      <c r="F5481" s="133" t="s">
        <v>19</v>
      </c>
      <c r="G5481" s="134" t="n">
        <f aca="false">LEN('Saisie programme'!$E$173)+SUMIFS('Vols additionnels'!$E$7:$E$66,'Vols additionnels'!$C$7:$C$66,$E5481,'Vols additionnels'!$D$7:$D$66,$F5481,'Vols additionnels'!$B$7:$B$66,$D5481)</f>
        <v>1</v>
      </c>
      <c r="H5481" s="135" t="n">
        <f aca="false">$G5481*'Analyse capacite'!$F$8</f>
        <v>262</v>
      </c>
      <c r="I5481" s="135" t="n">
        <f aca="false">$G5481*'Analyse capacite'!$C$8</f>
        <v>18</v>
      </c>
      <c r="J5481" s="135" t="n">
        <f aca="false">$G5481*'Analyse capacite'!$D$8</f>
        <v>0</v>
      </c>
      <c r="K5481" s="135" t="n">
        <f aca="false">$G5481*'Analyse capacite'!$E$8</f>
        <v>244</v>
      </c>
    </row>
    <row r="5482" customFormat="false" ht="15" hidden="false" customHeight="false" outlineLevel="0" collapsed="false">
      <c r="B5482" s="130" t="n">
        <v>2027</v>
      </c>
      <c r="C5482" s="131" t="s">
        <v>250</v>
      </c>
      <c r="D5482" s="132" t="n">
        <v>46630</v>
      </c>
      <c r="E5482" s="131" t="s">
        <v>20</v>
      </c>
      <c r="F5482" s="133" t="s">
        <v>24</v>
      </c>
      <c r="G5482" s="134" t="n">
        <f aca="false">LEN('Saisie programme'!$E$174)+SUMIFS('Vols additionnels'!$E$7:$E$66,'Vols additionnels'!$C$7:$C$66,$E5482,'Vols additionnels'!$D$7:$D$66,$F5482,'Vols additionnels'!$B$7:$B$66,$D5482)</f>
        <v>0</v>
      </c>
      <c r="H5482" s="135" t="n">
        <f aca="false">$G5482*'Analyse capacite'!$F$9</f>
        <v>0</v>
      </c>
      <c r="I5482" s="135" t="n">
        <f aca="false">$G5482*'Analyse capacite'!$C$9</f>
        <v>0</v>
      </c>
      <c r="J5482" s="135" t="n">
        <f aca="false">$G5482*'Analyse capacite'!$D$9</f>
        <v>0</v>
      </c>
      <c r="K5482" s="135" t="n">
        <f aca="false">$G5482*'Analyse capacite'!$E$9</f>
        <v>0</v>
      </c>
    </row>
    <row r="5483" customFormat="false" ht="15" hidden="false" customHeight="false" outlineLevel="0" collapsed="false">
      <c r="B5483" s="130" t="n">
        <v>2027</v>
      </c>
      <c r="C5483" s="131" t="s">
        <v>250</v>
      </c>
      <c r="D5483" s="132" t="n">
        <v>46630</v>
      </c>
      <c r="E5483" s="131" t="s">
        <v>25</v>
      </c>
      <c r="F5483" s="133" t="s">
        <v>11</v>
      </c>
      <c r="G5483" s="134" t="n">
        <f aca="false">LEN('Saisie programme'!$E$175)+SUMIFS('Vols additionnels'!$E$7:$E$66,'Vols additionnels'!$C$7:$C$66,$E5483,'Vols additionnels'!$D$7:$D$66,$F5483,'Vols additionnels'!$B$7:$B$66,$D5483)</f>
        <v>0</v>
      </c>
      <c r="H5483" s="135" t="n">
        <f aca="false">$G5483*'Analyse capacite'!$F$7</f>
        <v>0</v>
      </c>
      <c r="I5483" s="135" t="n">
        <f aca="false">$G5483*'Analyse capacite'!$C$7</f>
        <v>0</v>
      </c>
      <c r="J5483" s="135" t="n">
        <f aca="false">$G5483*'Analyse capacite'!$D$7</f>
        <v>0</v>
      </c>
      <c r="K5483" s="135" t="n">
        <f aca="false">$G5483*'Analyse capacite'!$E$7</f>
        <v>0</v>
      </c>
    </row>
    <row r="5484" customFormat="false" ht="15" hidden="false" customHeight="false" outlineLevel="0" collapsed="false">
      <c r="B5484" s="130" t="n">
        <v>2027</v>
      </c>
      <c r="C5484" s="131" t="s">
        <v>250</v>
      </c>
      <c r="D5484" s="132" t="n">
        <v>46630</v>
      </c>
      <c r="E5484" s="131" t="s">
        <v>25</v>
      </c>
      <c r="F5484" s="133" t="s">
        <v>19</v>
      </c>
      <c r="G5484" s="134" t="n">
        <f aca="false">LEN('Saisie programme'!$E$176)+SUMIFS('Vols additionnels'!$E$7:$E$66,'Vols additionnels'!$C$7:$C$66,$E5484,'Vols additionnels'!$D$7:$D$66,$F5484,'Vols additionnels'!$B$7:$B$66,$D5484)</f>
        <v>0</v>
      </c>
      <c r="H5484" s="135" t="n">
        <f aca="false">$G5484*'Analyse capacite'!$F$8</f>
        <v>0</v>
      </c>
      <c r="I5484" s="135" t="n">
        <f aca="false">$G5484*'Analyse capacite'!$C$8</f>
        <v>0</v>
      </c>
      <c r="J5484" s="135" t="n">
        <f aca="false">$G5484*'Analyse capacite'!$D$8</f>
        <v>0</v>
      </c>
      <c r="K5484" s="135" t="n">
        <f aca="false">$G5484*'Analyse capacite'!$E$8</f>
        <v>0</v>
      </c>
    </row>
    <row r="5485" customFormat="false" ht="15" hidden="false" customHeight="false" outlineLevel="0" collapsed="false">
      <c r="B5485" s="130" t="n">
        <v>2027</v>
      </c>
      <c r="C5485" s="131" t="s">
        <v>250</v>
      </c>
      <c r="D5485" s="132" t="n">
        <v>46630</v>
      </c>
      <c r="E5485" s="131" t="s">
        <v>25</v>
      </c>
      <c r="F5485" s="133" t="s">
        <v>24</v>
      </c>
      <c r="G5485" s="134" t="n">
        <f aca="false">LEN('Saisie programme'!$E$177)+SUMIFS('Vols additionnels'!$E$7:$E$66,'Vols additionnels'!$C$7:$C$66,$E5485,'Vols additionnels'!$D$7:$D$66,$F5485,'Vols additionnels'!$B$7:$B$66,$D5485)</f>
        <v>0</v>
      </c>
      <c r="H5485" s="135" t="n">
        <f aca="false">$G5485*'Analyse capacite'!$F$9</f>
        <v>0</v>
      </c>
      <c r="I5485" s="135" t="n">
        <f aca="false">$G5485*'Analyse capacite'!$C$9</f>
        <v>0</v>
      </c>
      <c r="J5485" s="135" t="n">
        <f aca="false">$G5485*'Analyse capacite'!$D$9</f>
        <v>0</v>
      </c>
      <c r="K5485" s="135" t="n">
        <f aca="false">$G5485*'Analyse capacite'!$E$9</f>
        <v>0</v>
      </c>
    </row>
    <row r="5486" customFormat="false" ht="15" hidden="false" customHeight="false" outlineLevel="0" collapsed="false">
      <c r="B5486" s="130" t="n">
        <v>2027</v>
      </c>
      <c r="C5486" s="131" t="s">
        <v>250</v>
      </c>
      <c r="D5486" s="132" t="n">
        <v>46630</v>
      </c>
      <c r="E5486" s="131" t="s">
        <v>36</v>
      </c>
      <c r="F5486" s="133" t="s">
        <v>11</v>
      </c>
      <c r="G5486" s="134" t="n">
        <f aca="false">LEN('Saisie programme'!$E$178)+SUMIFS('Vols additionnels'!$E$7:$E$66,'Vols additionnels'!$C$7:$C$66,$E5486,'Vols additionnels'!$D$7:$D$66,$F5486,'Vols additionnels'!$B$7:$B$66,$D5486)</f>
        <v>0</v>
      </c>
      <c r="H5486" s="135" t="n">
        <f aca="false">$G5486*'Analyse capacite'!$F$7</f>
        <v>0</v>
      </c>
      <c r="I5486" s="135" t="n">
        <f aca="false">$G5486*'Analyse capacite'!$C$7</f>
        <v>0</v>
      </c>
      <c r="J5486" s="135" t="n">
        <f aca="false">$G5486*'Analyse capacite'!$D$7</f>
        <v>0</v>
      </c>
      <c r="K5486" s="135" t="n">
        <f aca="false">$G5486*'Analyse capacite'!$E$7</f>
        <v>0</v>
      </c>
    </row>
    <row r="5487" customFormat="false" ht="15" hidden="false" customHeight="false" outlineLevel="0" collapsed="false">
      <c r="B5487" s="130" t="n">
        <v>2027</v>
      </c>
      <c r="C5487" s="131" t="s">
        <v>250</v>
      </c>
      <c r="D5487" s="132" t="n">
        <v>46630</v>
      </c>
      <c r="E5487" s="131" t="s">
        <v>36</v>
      </c>
      <c r="F5487" s="133" t="s">
        <v>19</v>
      </c>
      <c r="G5487" s="134" t="n">
        <f aca="false">LEN('Saisie programme'!$E$179)+SUMIFS('Vols additionnels'!$E$7:$E$66,'Vols additionnels'!$C$7:$C$66,$E5487,'Vols additionnels'!$D$7:$D$66,$F5487,'Vols additionnels'!$B$7:$B$66,$D5487)</f>
        <v>0</v>
      </c>
      <c r="H5487" s="135" t="n">
        <f aca="false">$G5487*'Analyse capacite'!$F$8</f>
        <v>0</v>
      </c>
      <c r="I5487" s="135" t="n">
        <f aca="false">$G5487*'Analyse capacite'!$C$8</f>
        <v>0</v>
      </c>
      <c r="J5487" s="135" t="n">
        <f aca="false">$G5487*'Analyse capacite'!$D$8</f>
        <v>0</v>
      </c>
      <c r="K5487" s="135" t="n">
        <f aca="false">$G5487*'Analyse capacite'!$E$8</f>
        <v>0</v>
      </c>
    </row>
    <row r="5488" customFormat="false" ht="15" hidden="false" customHeight="false" outlineLevel="0" collapsed="false">
      <c r="B5488" s="130" t="n">
        <v>2027</v>
      </c>
      <c r="C5488" s="131" t="s">
        <v>250</v>
      </c>
      <c r="D5488" s="132" t="n">
        <v>46630</v>
      </c>
      <c r="E5488" s="131" t="s">
        <v>36</v>
      </c>
      <c r="F5488" s="133" t="s">
        <v>24</v>
      </c>
      <c r="G5488" s="134" t="n">
        <f aca="false">LEN('Saisie programme'!$E$180)+SUMIFS('Vols additionnels'!$E$7:$E$66,'Vols additionnels'!$C$7:$C$66,$E5488,'Vols additionnels'!$D$7:$D$66,$F5488,'Vols additionnels'!$B$7:$B$66,$D5488)</f>
        <v>1</v>
      </c>
      <c r="H5488" s="135" t="n">
        <f aca="false">$G5488*'Analyse capacite'!$F$9</f>
        <v>174</v>
      </c>
      <c r="I5488" s="135" t="n">
        <f aca="false">$G5488*'Analyse capacite'!$C$9</f>
        <v>0</v>
      </c>
      <c r="J5488" s="135" t="n">
        <f aca="false">$G5488*'Analyse capacite'!$D$9</f>
        <v>12</v>
      </c>
      <c r="K5488" s="135" t="n">
        <f aca="false">$G5488*'Analyse capacite'!$E$9</f>
        <v>162</v>
      </c>
    </row>
    <row r="5489" customFormat="false" ht="15" hidden="false" customHeight="false" outlineLevel="0" collapsed="false">
      <c r="B5489" s="130" t="n">
        <v>2027</v>
      </c>
      <c r="C5489" s="131" t="s">
        <v>250</v>
      </c>
      <c r="D5489" s="132" t="n">
        <v>46630</v>
      </c>
      <c r="E5489" s="131" t="s">
        <v>40</v>
      </c>
      <c r="F5489" s="133" t="s">
        <v>11</v>
      </c>
      <c r="G5489" s="134" t="n">
        <f aca="false">LEN('Saisie programme'!$E$181)+SUMIFS('Vols additionnels'!$E$7:$E$66,'Vols additionnels'!$C$7:$C$66,$E5489,'Vols additionnels'!$D$7:$D$66,$F5489,'Vols additionnels'!$B$7:$B$66,$D5489)</f>
        <v>0</v>
      </c>
      <c r="H5489" s="135" t="n">
        <f aca="false">$G5489*'Analyse capacite'!$F$7</f>
        <v>0</v>
      </c>
      <c r="I5489" s="135" t="n">
        <f aca="false">$G5489*'Analyse capacite'!$C$7</f>
        <v>0</v>
      </c>
      <c r="J5489" s="135" t="n">
        <f aca="false">$G5489*'Analyse capacite'!$D$7</f>
        <v>0</v>
      </c>
      <c r="K5489" s="135" t="n">
        <f aca="false">$G5489*'Analyse capacite'!$E$7</f>
        <v>0</v>
      </c>
    </row>
    <row r="5490" customFormat="false" ht="15" hidden="false" customHeight="false" outlineLevel="0" collapsed="false">
      <c r="B5490" s="130" t="n">
        <v>2027</v>
      </c>
      <c r="C5490" s="131" t="s">
        <v>250</v>
      </c>
      <c r="D5490" s="132" t="n">
        <v>46630</v>
      </c>
      <c r="E5490" s="131" t="s">
        <v>40</v>
      </c>
      <c r="F5490" s="133" t="s">
        <v>19</v>
      </c>
      <c r="G5490" s="134" t="n">
        <f aca="false">LEN('Saisie programme'!$E$182)+SUMIFS('Vols additionnels'!$E$7:$E$66,'Vols additionnels'!$C$7:$C$66,$E5490,'Vols additionnels'!$D$7:$D$66,$F5490,'Vols additionnels'!$B$7:$B$66,$D5490)</f>
        <v>0</v>
      </c>
      <c r="H5490" s="135" t="n">
        <f aca="false">$G5490*'Analyse capacite'!$F$8</f>
        <v>0</v>
      </c>
      <c r="I5490" s="135" t="n">
        <f aca="false">$G5490*'Analyse capacite'!$C$8</f>
        <v>0</v>
      </c>
      <c r="J5490" s="135" t="n">
        <f aca="false">$G5490*'Analyse capacite'!$D$8</f>
        <v>0</v>
      </c>
      <c r="K5490" s="135" t="n">
        <f aca="false">$G5490*'Analyse capacite'!$E$8</f>
        <v>0</v>
      </c>
    </row>
    <row r="5491" customFormat="false" ht="15" hidden="false" customHeight="false" outlineLevel="0" collapsed="false">
      <c r="B5491" s="130" t="n">
        <v>2027</v>
      </c>
      <c r="C5491" s="131" t="s">
        <v>250</v>
      </c>
      <c r="D5491" s="132" t="n">
        <v>46630</v>
      </c>
      <c r="E5491" s="131" t="s">
        <v>40</v>
      </c>
      <c r="F5491" s="133" t="s">
        <v>24</v>
      </c>
      <c r="G5491" s="134" t="n">
        <f aca="false">LEN('Saisie programme'!$E$183)+SUMIFS('Vols additionnels'!$E$7:$E$66,'Vols additionnels'!$C$7:$C$66,$E5491,'Vols additionnels'!$D$7:$D$66,$F5491,'Vols additionnels'!$B$7:$B$66,$D5491)</f>
        <v>0</v>
      </c>
      <c r="H5491" s="135" t="n">
        <f aca="false">$G5491*'Analyse capacite'!$F$9</f>
        <v>0</v>
      </c>
      <c r="I5491" s="135" t="n">
        <f aca="false">$G5491*'Analyse capacite'!$C$9</f>
        <v>0</v>
      </c>
      <c r="J5491" s="135" t="n">
        <f aca="false">$G5491*'Analyse capacite'!$D$9</f>
        <v>0</v>
      </c>
      <c r="K5491" s="135" t="n">
        <f aca="false">$G5491*'Analyse capacite'!$E$9</f>
        <v>0</v>
      </c>
    </row>
    <row r="5492" customFormat="false" ht="15" hidden="false" customHeight="false" outlineLevel="0" collapsed="false">
      <c r="B5492" s="130" t="n">
        <v>2027</v>
      </c>
      <c r="C5492" s="131" t="s">
        <v>250</v>
      </c>
      <c r="D5492" s="132" t="n">
        <v>46630</v>
      </c>
      <c r="E5492" s="131" t="s">
        <v>14</v>
      </c>
      <c r="F5492" s="133" t="s">
        <v>11</v>
      </c>
      <c r="G5492" s="134" t="n">
        <f aca="false">LEN('Saisie programme'!$E$184)+SUMIFS('Vols additionnels'!$E$7:$E$66,'Vols additionnels'!$C$7:$C$66,$E5492,'Vols additionnels'!$D$7:$D$66,$F5492,'Vols additionnels'!$B$7:$B$66,$D5492)</f>
        <v>0</v>
      </c>
      <c r="H5492" s="135" t="n">
        <f aca="false">$G5492*'Analyse capacite'!$F$7</f>
        <v>0</v>
      </c>
      <c r="I5492" s="135" t="n">
        <f aca="false">$G5492*'Analyse capacite'!$C$7</f>
        <v>0</v>
      </c>
      <c r="J5492" s="135" t="n">
        <f aca="false">$G5492*'Analyse capacite'!$D$7</f>
        <v>0</v>
      </c>
      <c r="K5492" s="135" t="n">
        <f aca="false">$G5492*'Analyse capacite'!$E$7</f>
        <v>0</v>
      </c>
    </row>
    <row r="5493" customFormat="false" ht="15" hidden="false" customHeight="false" outlineLevel="0" collapsed="false">
      <c r="B5493" s="130" t="n">
        <v>2027</v>
      </c>
      <c r="C5493" s="131" t="s">
        <v>250</v>
      </c>
      <c r="D5493" s="132" t="n">
        <v>46630</v>
      </c>
      <c r="E5493" s="131" t="s">
        <v>14</v>
      </c>
      <c r="F5493" s="133" t="s">
        <v>19</v>
      </c>
      <c r="G5493" s="134" t="n">
        <f aca="false">LEN('Saisie programme'!$E$185)+SUMIFS('Vols additionnels'!$E$7:$E$66,'Vols additionnels'!$C$7:$C$66,$E5493,'Vols additionnels'!$D$7:$D$66,$F5493,'Vols additionnels'!$B$7:$B$66,$D5493)</f>
        <v>0</v>
      </c>
      <c r="H5493" s="135" t="n">
        <f aca="false">$G5493*'Analyse capacite'!$F$8</f>
        <v>0</v>
      </c>
      <c r="I5493" s="135" t="n">
        <f aca="false">$G5493*'Analyse capacite'!$C$8</f>
        <v>0</v>
      </c>
      <c r="J5493" s="135" t="n">
        <f aca="false">$G5493*'Analyse capacite'!$D$8</f>
        <v>0</v>
      </c>
      <c r="K5493" s="135" t="n">
        <f aca="false">$G5493*'Analyse capacite'!$E$8</f>
        <v>0</v>
      </c>
    </row>
    <row r="5494" customFormat="false" ht="15" hidden="false" customHeight="false" outlineLevel="0" collapsed="false">
      <c r="B5494" s="130" t="n">
        <v>2027</v>
      </c>
      <c r="C5494" s="131" t="s">
        <v>250</v>
      </c>
      <c r="D5494" s="132" t="n">
        <v>46630</v>
      </c>
      <c r="E5494" s="131" t="s">
        <v>14</v>
      </c>
      <c r="F5494" s="133" t="s">
        <v>24</v>
      </c>
      <c r="G5494" s="134" t="n">
        <f aca="false">LEN('Saisie programme'!$E$186)+SUMIFS('Vols additionnels'!$E$7:$E$66,'Vols additionnels'!$C$7:$C$66,$E5494,'Vols additionnels'!$D$7:$D$66,$F5494,'Vols additionnels'!$B$7:$B$66,$D5494)</f>
        <v>0</v>
      </c>
      <c r="H5494" s="135" t="n">
        <f aca="false">$G5494*'Analyse capacite'!$F$9</f>
        <v>0</v>
      </c>
      <c r="I5494" s="135" t="n">
        <f aca="false">$G5494*'Analyse capacite'!$C$9</f>
        <v>0</v>
      </c>
      <c r="J5494" s="135" t="n">
        <f aca="false">$G5494*'Analyse capacite'!$D$9</f>
        <v>0</v>
      </c>
      <c r="K5494" s="135" t="n">
        <f aca="false">$G5494*'Analyse capacite'!$E$9</f>
        <v>0</v>
      </c>
    </row>
    <row r="5495" customFormat="false" ht="15" hidden="false" customHeight="false" outlineLevel="0" collapsed="false">
      <c r="B5495" s="130" t="n">
        <v>2027</v>
      </c>
      <c r="C5495" s="131" t="s">
        <v>250</v>
      </c>
      <c r="D5495" s="132" t="n">
        <v>46630</v>
      </c>
      <c r="E5495" s="131" t="s">
        <v>46</v>
      </c>
      <c r="F5495" s="133" t="s">
        <v>11</v>
      </c>
      <c r="G5495" s="134" t="n">
        <f aca="false">LEN('Saisie programme'!$E$187)+SUMIFS('Vols additionnels'!$E$7:$E$66,'Vols additionnels'!$C$7:$C$66,$E5495,'Vols additionnels'!$D$7:$D$66,$F5495,'Vols additionnels'!$B$7:$B$66,$D5495)</f>
        <v>0</v>
      </c>
      <c r="H5495" s="135" t="n">
        <f aca="false">$G5495*'Analyse capacite'!$F$7</f>
        <v>0</v>
      </c>
      <c r="I5495" s="135" t="n">
        <f aca="false">$G5495*'Analyse capacite'!$C$7</f>
        <v>0</v>
      </c>
      <c r="J5495" s="135" t="n">
        <f aca="false">$G5495*'Analyse capacite'!$D$7</f>
        <v>0</v>
      </c>
      <c r="K5495" s="135" t="n">
        <f aca="false">$G5495*'Analyse capacite'!$E$7</f>
        <v>0</v>
      </c>
    </row>
    <row r="5496" customFormat="false" ht="15" hidden="false" customHeight="false" outlineLevel="0" collapsed="false">
      <c r="B5496" s="130" t="n">
        <v>2027</v>
      </c>
      <c r="C5496" s="131" t="s">
        <v>250</v>
      </c>
      <c r="D5496" s="132" t="n">
        <v>46630</v>
      </c>
      <c r="E5496" s="131" t="s">
        <v>46</v>
      </c>
      <c r="F5496" s="133" t="s">
        <v>19</v>
      </c>
      <c r="G5496" s="134" t="n">
        <f aca="false">LEN('Saisie programme'!$E$188)+SUMIFS('Vols additionnels'!$E$7:$E$66,'Vols additionnels'!$C$7:$C$66,$E5496,'Vols additionnels'!$D$7:$D$66,$F5496,'Vols additionnels'!$B$7:$B$66,$D5496)</f>
        <v>0</v>
      </c>
      <c r="H5496" s="135" t="n">
        <f aca="false">$G5496*'Analyse capacite'!$F$8</f>
        <v>0</v>
      </c>
      <c r="I5496" s="135" t="n">
        <f aca="false">$G5496*'Analyse capacite'!$C$8</f>
        <v>0</v>
      </c>
      <c r="J5496" s="135" t="n">
        <f aca="false">$G5496*'Analyse capacite'!$D$8</f>
        <v>0</v>
      </c>
      <c r="K5496" s="135" t="n">
        <f aca="false">$G5496*'Analyse capacite'!$E$8</f>
        <v>0</v>
      </c>
    </row>
    <row r="5497" customFormat="false" ht="15" hidden="false" customHeight="false" outlineLevel="0" collapsed="false">
      <c r="B5497" s="130" t="n">
        <v>2027</v>
      </c>
      <c r="C5497" s="131" t="s">
        <v>250</v>
      </c>
      <c r="D5497" s="132" t="n">
        <v>46630</v>
      </c>
      <c r="E5497" s="131" t="s">
        <v>46</v>
      </c>
      <c r="F5497" s="133" t="s">
        <v>24</v>
      </c>
      <c r="G5497" s="134" t="n">
        <f aca="false">LEN('Saisie programme'!$E$189)+SUMIFS('Vols additionnels'!$E$7:$E$66,'Vols additionnels'!$C$7:$C$66,$E5497,'Vols additionnels'!$D$7:$D$66,$F5497,'Vols additionnels'!$B$7:$B$66,$D5497)</f>
        <v>1</v>
      </c>
      <c r="H5497" s="135" t="n">
        <f aca="false">$G5497*'Analyse capacite'!$F$9</f>
        <v>174</v>
      </c>
      <c r="I5497" s="135" t="n">
        <f aca="false">$G5497*'Analyse capacite'!$C$9</f>
        <v>0</v>
      </c>
      <c r="J5497" s="135" t="n">
        <f aca="false">$G5497*'Analyse capacite'!$D$9</f>
        <v>12</v>
      </c>
      <c r="K5497" s="135" t="n">
        <f aca="false">$G5497*'Analyse capacite'!$E$9</f>
        <v>162</v>
      </c>
    </row>
    <row r="5498" customFormat="false" ht="15" hidden="false" customHeight="false" outlineLevel="0" collapsed="false">
      <c r="B5498" s="130" t="n">
        <v>2027</v>
      </c>
      <c r="C5498" s="131" t="s">
        <v>250</v>
      </c>
      <c r="D5498" s="132" t="n">
        <v>46630</v>
      </c>
      <c r="E5498" s="131" t="s">
        <v>49</v>
      </c>
      <c r="F5498" s="133" t="s">
        <v>11</v>
      </c>
      <c r="G5498" s="134" t="n">
        <f aca="false">LEN('Saisie programme'!$E$190)+SUMIFS('Vols additionnels'!$E$7:$E$66,'Vols additionnels'!$C$7:$C$66,$E5498,'Vols additionnels'!$D$7:$D$66,$F5498,'Vols additionnels'!$B$7:$B$66,$D5498)</f>
        <v>0</v>
      </c>
      <c r="H5498" s="135" t="n">
        <f aca="false">$G5498*'Analyse capacite'!$F$7</f>
        <v>0</v>
      </c>
      <c r="I5498" s="135" t="n">
        <f aca="false">$G5498*'Analyse capacite'!$C$7</f>
        <v>0</v>
      </c>
      <c r="J5498" s="135" t="n">
        <f aca="false">$G5498*'Analyse capacite'!$D$7</f>
        <v>0</v>
      </c>
      <c r="K5498" s="135" t="n">
        <f aca="false">$G5498*'Analyse capacite'!$E$7</f>
        <v>0</v>
      </c>
    </row>
    <row r="5499" customFormat="false" ht="15" hidden="false" customHeight="false" outlineLevel="0" collapsed="false">
      <c r="B5499" s="130" t="n">
        <v>2027</v>
      </c>
      <c r="C5499" s="131" t="s">
        <v>250</v>
      </c>
      <c r="D5499" s="132" t="n">
        <v>46630</v>
      </c>
      <c r="E5499" s="131" t="s">
        <v>49</v>
      </c>
      <c r="F5499" s="133" t="s">
        <v>19</v>
      </c>
      <c r="G5499" s="134" t="n">
        <f aca="false">LEN('Saisie programme'!$E$191)+SUMIFS('Vols additionnels'!$E$7:$E$66,'Vols additionnels'!$C$7:$C$66,$E5499,'Vols additionnels'!$D$7:$D$66,$F5499,'Vols additionnels'!$B$7:$B$66,$D5499)</f>
        <v>0</v>
      </c>
      <c r="H5499" s="135" t="n">
        <f aca="false">$G5499*'Analyse capacite'!$F$8</f>
        <v>0</v>
      </c>
      <c r="I5499" s="135" t="n">
        <f aca="false">$G5499*'Analyse capacite'!$C$8</f>
        <v>0</v>
      </c>
      <c r="J5499" s="135" t="n">
        <f aca="false">$G5499*'Analyse capacite'!$D$8</f>
        <v>0</v>
      </c>
      <c r="K5499" s="135" t="n">
        <f aca="false">$G5499*'Analyse capacite'!$E$8</f>
        <v>0</v>
      </c>
    </row>
    <row r="5500" customFormat="false" ht="15" hidden="false" customHeight="false" outlineLevel="0" collapsed="false">
      <c r="B5500" s="130" t="n">
        <v>2027</v>
      </c>
      <c r="C5500" s="131" t="s">
        <v>250</v>
      </c>
      <c r="D5500" s="132" t="n">
        <v>46630</v>
      </c>
      <c r="E5500" s="131" t="s">
        <v>49</v>
      </c>
      <c r="F5500" s="133" t="s">
        <v>24</v>
      </c>
      <c r="G5500" s="134" t="n">
        <f aca="false">LEN('Saisie programme'!$E$192)+SUMIFS('Vols additionnels'!$E$7:$E$66,'Vols additionnels'!$C$7:$C$66,$E5500,'Vols additionnels'!$D$7:$D$66,$F5500,'Vols additionnels'!$B$7:$B$66,$D5500)</f>
        <v>0</v>
      </c>
      <c r="H5500" s="135" t="n">
        <f aca="false">$G5500*'Analyse capacite'!$F$9</f>
        <v>0</v>
      </c>
      <c r="I5500" s="135" t="n">
        <f aca="false">$G5500*'Analyse capacite'!$C$9</f>
        <v>0</v>
      </c>
      <c r="J5500" s="135" t="n">
        <f aca="false">$G5500*'Analyse capacite'!$D$9</f>
        <v>0</v>
      </c>
      <c r="K5500" s="135" t="n">
        <f aca="false">$G5500*'Analyse capacite'!$E$9</f>
        <v>0</v>
      </c>
    </row>
    <row r="5501" customFormat="false" ht="15" hidden="false" customHeight="false" outlineLevel="0" collapsed="false">
      <c r="B5501" s="130" t="n">
        <v>2027</v>
      </c>
      <c r="C5501" s="131" t="s">
        <v>250</v>
      </c>
      <c r="D5501" s="132" t="n">
        <v>46630</v>
      </c>
      <c r="E5501" s="131" t="s">
        <v>53</v>
      </c>
      <c r="F5501" s="133" t="s">
        <v>11</v>
      </c>
      <c r="G5501" s="134" t="n">
        <f aca="false">LEN('Saisie programme'!$E$193)+SUMIFS('Vols additionnels'!$E$7:$E$66,'Vols additionnels'!$C$7:$C$66,$E5501,'Vols additionnels'!$D$7:$D$66,$F5501,'Vols additionnels'!$B$7:$B$66,$D5501)</f>
        <v>0</v>
      </c>
      <c r="H5501" s="135" t="n">
        <f aca="false">$G5501*'Analyse capacite'!$F$7</f>
        <v>0</v>
      </c>
      <c r="I5501" s="135" t="n">
        <f aca="false">$G5501*'Analyse capacite'!$C$7</f>
        <v>0</v>
      </c>
      <c r="J5501" s="135" t="n">
        <f aca="false">$G5501*'Analyse capacite'!$D$7</f>
        <v>0</v>
      </c>
      <c r="K5501" s="135" t="n">
        <f aca="false">$G5501*'Analyse capacite'!$E$7</f>
        <v>0</v>
      </c>
    </row>
    <row r="5502" customFormat="false" ht="15" hidden="false" customHeight="false" outlineLevel="0" collapsed="false">
      <c r="B5502" s="130" t="n">
        <v>2027</v>
      </c>
      <c r="C5502" s="131" t="s">
        <v>250</v>
      </c>
      <c r="D5502" s="132" t="n">
        <v>46630</v>
      </c>
      <c r="E5502" s="131" t="s">
        <v>53</v>
      </c>
      <c r="F5502" s="133" t="s">
        <v>19</v>
      </c>
      <c r="G5502" s="134" t="n">
        <f aca="false">LEN('Saisie programme'!$E$194)+SUMIFS('Vols additionnels'!$E$7:$E$66,'Vols additionnels'!$C$7:$C$66,$E5502,'Vols additionnels'!$D$7:$D$66,$F5502,'Vols additionnels'!$B$7:$B$66,$D5502)</f>
        <v>0</v>
      </c>
      <c r="H5502" s="135" t="n">
        <f aca="false">$G5502*'Analyse capacite'!$F$8</f>
        <v>0</v>
      </c>
      <c r="I5502" s="135" t="n">
        <f aca="false">$G5502*'Analyse capacite'!$C$8</f>
        <v>0</v>
      </c>
      <c r="J5502" s="135" t="n">
        <f aca="false">$G5502*'Analyse capacite'!$D$8</f>
        <v>0</v>
      </c>
      <c r="K5502" s="135" t="n">
        <f aca="false">$G5502*'Analyse capacite'!$E$8</f>
        <v>0</v>
      </c>
    </row>
    <row r="5503" customFormat="false" ht="15" hidden="false" customHeight="false" outlineLevel="0" collapsed="false">
      <c r="B5503" s="130" t="n">
        <v>2027</v>
      </c>
      <c r="C5503" s="131" t="s">
        <v>250</v>
      </c>
      <c r="D5503" s="132" t="n">
        <v>46630</v>
      </c>
      <c r="E5503" s="131" t="s">
        <v>53</v>
      </c>
      <c r="F5503" s="133" t="s">
        <v>24</v>
      </c>
      <c r="G5503" s="134" t="n">
        <f aca="false">LEN('Saisie programme'!$E$195)+SUMIFS('Vols additionnels'!$E$7:$E$66,'Vols additionnels'!$C$7:$C$66,$E5503,'Vols additionnels'!$D$7:$D$66,$F5503,'Vols additionnels'!$B$7:$B$66,$D5503)</f>
        <v>0</v>
      </c>
      <c r="H5503" s="135" t="n">
        <f aca="false">$G5503*'Analyse capacite'!$F$9</f>
        <v>0</v>
      </c>
      <c r="I5503" s="135" t="n">
        <f aca="false">$G5503*'Analyse capacite'!$C$9</f>
        <v>0</v>
      </c>
      <c r="J5503" s="135" t="n">
        <f aca="false">$G5503*'Analyse capacite'!$D$9</f>
        <v>0</v>
      </c>
      <c r="K5503" s="135" t="n">
        <f aca="false">$G5503*'Analyse capacite'!$E$9</f>
        <v>0</v>
      </c>
    </row>
    <row r="5504" customFormat="false" ht="15" hidden="false" customHeight="false" outlineLevel="0" collapsed="false">
      <c r="B5504" s="130" t="n">
        <v>2027</v>
      </c>
      <c r="C5504" s="131" t="s">
        <v>250</v>
      </c>
      <c r="D5504" s="132" t="n">
        <v>46630</v>
      </c>
      <c r="E5504" s="131" t="s">
        <v>56</v>
      </c>
      <c r="F5504" s="133" t="s">
        <v>11</v>
      </c>
      <c r="G5504" s="134" t="n">
        <f aca="false">LEN('Saisie programme'!$E$196)+SUMIFS('Vols additionnels'!$E$7:$E$66,'Vols additionnels'!$C$7:$C$66,$E5504,'Vols additionnels'!$D$7:$D$66,$F5504,'Vols additionnels'!$B$7:$B$66,$D5504)</f>
        <v>0</v>
      </c>
      <c r="H5504" s="135" t="n">
        <f aca="false">$G5504*'Analyse capacite'!$F$7</f>
        <v>0</v>
      </c>
      <c r="I5504" s="135" t="n">
        <f aca="false">$G5504*'Analyse capacite'!$C$7</f>
        <v>0</v>
      </c>
      <c r="J5504" s="135" t="n">
        <f aca="false">$G5504*'Analyse capacite'!$D$7</f>
        <v>0</v>
      </c>
      <c r="K5504" s="135" t="n">
        <f aca="false">$G5504*'Analyse capacite'!$E$7</f>
        <v>0</v>
      </c>
    </row>
    <row r="5505" customFormat="false" ht="15" hidden="false" customHeight="false" outlineLevel="0" collapsed="false">
      <c r="B5505" s="130" t="n">
        <v>2027</v>
      </c>
      <c r="C5505" s="131" t="s">
        <v>250</v>
      </c>
      <c r="D5505" s="132" t="n">
        <v>46630</v>
      </c>
      <c r="E5505" s="131" t="s">
        <v>56</v>
      </c>
      <c r="F5505" s="133" t="s">
        <v>19</v>
      </c>
      <c r="G5505" s="134" t="n">
        <f aca="false">LEN('Saisie programme'!$E$197)+SUMIFS('Vols additionnels'!$E$7:$E$66,'Vols additionnels'!$C$7:$C$66,$E5505,'Vols additionnels'!$D$7:$D$66,$F5505,'Vols additionnels'!$B$7:$B$66,$D5505)</f>
        <v>0</v>
      </c>
      <c r="H5505" s="135" t="n">
        <f aca="false">$G5505*'Analyse capacite'!$F$8</f>
        <v>0</v>
      </c>
      <c r="I5505" s="135" t="n">
        <f aca="false">$G5505*'Analyse capacite'!$C$8</f>
        <v>0</v>
      </c>
      <c r="J5505" s="135" t="n">
        <f aca="false">$G5505*'Analyse capacite'!$D$8</f>
        <v>0</v>
      </c>
      <c r="K5505" s="135" t="n">
        <f aca="false">$G5505*'Analyse capacite'!$E$8</f>
        <v>0</v>
      </c>
    </row>
    <row r="5506" customFormat="false" ht="15" hidden="false" customHeight="false" outlineLevel="0" collapsed="false">
      <c r="B5506" s="130" t="n">
        <v>2027</v>
      </c>
      <c r="C5506" s="131" t="s">
        <v>250</v>
      </c>
      <c r="D5506" s="132" t="n">
        <v>46630</v>
      </c>
      <c r="E5506" s="131" t="s">
        <v>56</v>
      </c>
      <c r="F5506" s="133" t="s">
        <v>24</v>
      </c>
      <c r="G5506" s="134" t="n">
        <f aca="false">LEN('Saisie programme'!$E$198)+SUMIFS('Vols additionnels'!$E$7:$E$66,'Vols additionnels'!$C$7:$C$66,$E5506,'Vols additionnels'!$D$7:$D$66,$F5506,'Vols additionnels'!$B$7:$B$66,$D5506)</f>
        <v>1</v>
      </c>
      <c r="H5506" s="135" t="n">
        <f aca="false">$G5506*'Analyse capacite'!$F$9</f>
        <v>174</v>
      </c>
      <c r="I5506" s="135" t="n">
        <f aca="false">$G5506*'Analyse capacite'!$C$9</f>
        <v>0</v>
      </c>
      <c r="J5506" s="135" t="n">
        <f aca="false">$G5506*'Analyse capacite'!$D$9</f>
        <v>12</v>
      </c>
      <c r="K5506" s="135" t="n">
        <f aca="false">$G5506*'Analyse capacite'!$E$9</f>
        <v>162</v>
      </c>
    </row>
    <row r="5507" customFormat="false" ht="15" hidden="false" customHeight="false" outlineLevel="0" collapsed="false">
      <c r="B5507" s="130" t="n">
        <v>2027</v>
      </c>
      <c r="C5507" s="131" t="s">
        <v>250</v>
      </c>
      <c r="D5507" s="132" t="n">
        <v>46630</v>
      </c>
      <c r="E5507" s="131" t="s">
        <v>59</v>
      </c>
      <c r="F5507" s="133" t="s">
        <v>11</v>
      </c>
      <c r="G5507" s="134" t="n">
        <f aca="false">LEN('Saisie programme'!$E$199)+SUMIFS('Vols additionnels'!$E$7:$E$66,'Vols additionnels'!$C$7:$C$66,$E5507,'Vols additionnels'!$D$7:$D$66,$F5507,'Vols additionnels'!$B$7:$B$66,$D5507)</f>
        <v>0</v>
      </c>
      <c r="H5507" s="135" t="n">
        <f aca="false">$G5507*'Analyse capacite'!$F$7</f>
        <v>0</v>
      </c>
      <c r="I5507" s="135" t="n">
        <f aca="false">$G5507*'Analyse capacite'!$C$7</f>
        <v>0</v>
      </c>
      <c r="J5507" s="135" t="n">
        <f aca="false">$G5507*'Analyse capacite'!$D$7</f>
        <v>0</v>
      </c>
      <c r="K5507" s="135" t="n">
        <f aca="false">$G5507*'Analyse capacite'!$E$7</f>
        <v>0</v>
      </c>
    </row>
    <row r="5508" customFormat="false" ht="15" hidden="false" customHeight="false" outlineLevel="0" collapsed="false">
      <c r="B5508" s="130" t="n">
        <v>2027</v>
      </c>
      <c r="C5508" s="131" t="s">
        <v>250</v>
      </c>
      <c r="D5508" s="132" t="n">
        <v>46630</v>
      </c>
      <c r="E5508" s="131" t="s">
        <v>59</v>
      </c>
      <c r="F5508" s="133" t="s">
        <v>19</v>
      </c>
      <c r="G5508" s="134" t="n">
        <f aca="false">LEN('Saisie programme'!$E$200)+SUMIFS('Vols additionnels'!$E$7:$E$66,'Vols additionnels'!$C$7:$C$66,$E5508,'Vols additionnels'!$D$7:$D$66,$F5508,'Vols additionnels'!$B$7:$B$66,$D5508)</f>
        <v>0</v>
      </c>
      <c r="H5508" s="135" t="n">
        <f aca="false">$G5508*'Analyse capacite'!$F$8</f>
        <v>0</v>
      </c>
      <c r="I5508" s="135" t="n">
        <f aca="false">$G5508*'Analyse capacite'!$C$8</f>
        <v>0</v>
      </c>
      <c r="J5508" s="135" t="n">
        <f aca="false">$G5508*'Analyse capacite'!$D$8</f>
        <v>0</v>
      </c>
      <c r="K5508" s="135" t="n">
        <f aca="false">$G5508*'Analyse capacite'!$E$8</f>
        <v>0</v>
      </c>
    </row>
    <row r="5509" customFormat="false" ht="15" hidden="false" customHeight="false" outlineLevel="0" collapsed="false">
      <c r="B5509" s="130" t="n">
        <v>2027</v>
      </c>
      <c r="C5509" s="131" t="s">
        <v>250</v>
      </c>
      <c r="D5509" s="132" t="n">
        <v>46630</v>
      </c>
      <c r="E5509" s="131" t="s">
        <v>59</v>
      </c>
      <c r="F5509" s="133" t="s">
        <v>24</v>
      </c>
      <c r="G5509" s="134" t="n">
        <f aca="false">LEN('Saisie programme'!$E$201)+SUMIFS('Vols additionnels'!$E$7:$E$66,'Vols additionnels'!$C$7:$C$66,$E5509,'Vols additionnels'!$D$7:$D$66,$F5509,'Vols additionnels'!$B$7:$B$66,$D5509)</f>
        <v>1</v>
      </c>
      <c r="H5509" s="135" t="n">
        <f aca="false">$G5509*'Analyse capacite'!$F$9</f>
        <v>174</v>
      </c>
      <c r="I5509" s="135" t="n">
        <f aca="false">$G5509*'Analyse capacite'!$C$9</f>
        <v>0</v>
      </c>
      <c r="J5509" s="135" t="n">
        <f aca="false">$G5509*'Analyse capacite'!$D$9</f>
        <v>12</v>
      </c>
      <c r="K5509" s="135" t="n">
        <f aca="false">$G5509*'Analyse capacite'!$E$9</f>
        <v>162</v>
      </c>
    </row>
    <row r="5510" customFormat="false" ht="15" hidden="false" customHeight="false" outlineLevel="0" collapsed="false">
      <c r="B5510" s="130" t="n">
        <v>2027</v>
      </c>
      <c r="C5510" s="131" t="s">
        <v>250</v>
      </c>
      <c r="D5510" s="132" t="n">
        <v>46630</v>
      </c>
      <c r="E5510" s="131" t="s">
        <v>62</v>
      </c>
      <c r="F5510" s="133" t="s">
        <v>11</v>
      </c>
      <c r="G5510" s="134" t="n">
        <f aca="false">LEN('Saisie programme'!$E$202)+SUMIFS('Vols additionnels'!$E$7:$E$66,'Vols additionnels'!$C$7:$C$66,$E5510,'Vols additionnels'!$D$7:$D$66,$F5510,'Vols additionnels'!$B$7:$B$66,$D5510)</f>
        <v>0</v>
      </c>
      <c r="H5510" s="135" t="n">
        <f aca="false">$G5510*'Analyse capacite'!$F$7</f>
        <v>0</v>
      </c>
      <c r="I5510" s="135" t="n">
        <f aca="false">$G5510*'Analyse capacite'!$C$7</f>
        <v>0</v>
      </c>
      <c r="J5510" s="135" t="n">
        <f aca="false">$G5510*'Analyse capacite'!$D$7</f>
        <v>0</v>
      </c>
      <c r="K5510" s="135" t="n">
        <f aca="false">$G5510*'Analyse capacite'!$E$7</f>
        <v>0</v>
      </c>
    </row>
    <row r="5511" customFormat="false" ht="15" hidden="false" customHeight="false" outlineLevel="0" collapsed="false">
      <c r="B5511" s="130" t="n">
        <v>2027</v>
      </c>
      <c r="C5511" s="131" t="s">
        <v>250</v>
      </c>
      <c r="D5511" s="132" t="n">
        <v>46630</v>
      </c>
      <c r="E5511" s="131" t="s">
        <v>62</v>
      </c>
      <c r="F5511" s="133" t="s">
        <v>19</v>
      </c>
      <c r="G5511" s="134" t="n">
        <f aca="false">LEN('Saisie programme'!$E$203)+SUMIFS('Vols additionnels'!$E$7:$E$66,'Vols additionnels'!$C$7:$C$66,$E5511,'Vols additionnels'!$D$7:$D$66,$F5511,'Vols additionnels'!$B$7:$B$66,$D5511)</f>
        <v>0</v>
      </c>
      <c r="H5511" s="135" t="n">
        <f aca="false">$G5511*'Analyse capacite'!$F$8</f>
        <v>0</v>
      </c>
      <c r="I5511" s="135" t="n">
        <f aca="false">$G5511*'Analyse capacite'!$C$8</f>
        <v>0</v>
      </c>
      <c r="J5511" s="135" t="n">
        <f aca="false">$G5511*'Analyse capacite'!$D$8</f>
        <v>0</v>
      </c>
      <c r="K5511" s="135" t="n">
        <f aca="false">$G5511*'Analyse capacite'!$E$8</f>
        <v>0</v>
      </c>
    </row>
    <row r="5512" customFormat="false" ht="15" hidden="false" customHeight="false" outlineLevel="0" collapsed="false">
      <c r="B5512" s="130" t="n">
        <v>2027</v>
      </c>
      <c r="C5512" s="131" t="s">
        <v>250</v>
      </c>
      <c r="D5512" s="132" t="n">
        <v>46630</v>
      </c>
      <c r="E5512" s="131" t="s">
        <v>62</v>
      </c>
      <c r="F5512" s="133" t="s">
        <v>24</v>
      </c>
      <c r="G5512" s="134" t="n">
        <f aca="false">LEN('Saisie programme'!$E$204)+SUMIFS('Vols additionnels'!$E$7:$E$66,'Vols additionnels'!$C$7:$C$66,$E5512,'Vols additionnels'!$D$7:$D$66,$F5512,'Vols additionnels'!$B$7:$B$66,$D5512)</f>
        <v>0</v>
      </c>
      <c r="H5512" s="135" t="n">
        <f aca="false">$G5512*'Analyse capacite'!$F$9</f>
        <v>0</v>
      </c>
      <c r="I5512" s="135" t="n">
        <f aca="false">$G5512*'Analyse capacite'!$C$9</f>
        <v>0</v>
      </c>
      <c r="J5512" s="135" t="n">
        <f aca="false">$G5512*'Analyse capacite'!$D$9</f>
        <v>0</v>
      </c>
      <c r="K5512" s="135" t="n">
        <f aca="false">$G5512*'Analyse capacite'!$E$9</f>
        <v>0</v>
      </c>
    </row>
    <row r="5513" customFormat="false" ht="15" hidden="false" customHeight="false" outlineLevel="0" collapsed="false">
      <c r="B5513" s="130" t="n">
        <v>2027</v>
      </c>
      <c r="C5513" s="131" t="s">
        <v>251</v>
      </c>
      <c r="D5513" s="132" t="n">
        <v>46631</v>
      </c>
      <c r="E5513" s="131" t="s">
        <v>12</v>
      </c>
      <c r="F5513" s="133" t="s">
        <v>11</v>
      </c>
      <c r="G5513" s="134" t="n">
        <f aca="false">LEN('Saisie programme'!$F$208)+SUMIFS('Vols additionnels'!$E$7:$E$66,'Vols additionnels'!$C$7:$C$66,$E5513,'Vols additionnels'!$D$7:$D$66,$F5513,'Vols additionnels'!$B$7:$B$66,$D5513)</f>
        <v>1</v>
      </c>
      <c r="H5513" s="135" t="n">
        <f aca="false">$G5513*'Analyse capacite'!$F$7</f>
        <v>438</v>
      </c>
      <c r="I5513" s="135" t="n">
        <f aca="false">$G5513*'Analyse capacite'!$C$7</f>
        <v>14</v>
      </c>
      <c r="J5513" s="135" t="n">
        <f aca="false">$G5513*'Analyse capacite'!$D$7</f>
        <v>40</v>
      </c>
      <c r="K5513" s="135" t="n">
        <f aca="false">$G5513*'Analyse capacite'!$E$7</f>
        <v>384</v>
      </c>
    </row>
    <row r="5514" customFormat="false" ht="15" hidden="false" customHeight="false" outlineLevel="0" collapsed="false">
      <c r="B5514" s="130" t="n">
        <v>2027</v>
      </c>
      <c r="C5514" s="131" t="s">
        <v>251</v>
      </c>
      <c r="D5514" s="132" t="n">
        <v>46631</v>
      </c>
      <c r="E5514" s="131" t="s">
        <v>12</v>
      </c>
      <c r="F5514" s="133" t="s">
        <v>19</v>
      </c>
      <c r="G5514" s="134" t="n">
        <f aca="false">LEN('Saisie programme'!$F$209)+SUMIFS('Vols additionnels'!$E$7:$E$66,'Vols additionnels'!$C$7:$C$66,$E5514,'Vols additionnels'!$D$7:$D$66,$F5514,'Vols additionnels'!$B$7:$B$66,$D5514)</f>
        <v>0</v>
      </c>
      <c r="H5514" s="135" t="n">
        <f aca="false">$G5514*'Analyse capacite'!$F$8</f>
        <v>0</v>
      </c>
      <c r="I5514" s="135" t="n">
        <f aca="false">$G5514*'Analyse capacite'!$C$8</f>
        <v>0</v>
      </c>
      <c r="J5514" s="135" t="n">
        <f aca="false">$G5514*'Analyse capacite'!$D$8</f>
        <v>0</v>
      </c>
      <c r="K5514" s="135" t="n">
        <f aca="false">$G5514*'Analyse capacite'!$E$8</f>
        <v>0</v>
      </c>
    </row>
    <row r="5515" customFormat="false" ht="15" hidden="false" customHeight="false" outlineLevel="0" collapsed="false">
      <c r="B5515" s="130" t="n">
        <v>2027</v>
      </c>
      <c r="C5515" s="131" t="s">
        <v>251</v>
      </c>
      <c r="D5515" s="132" t="n">
        <v>46631</v>
      </c>
      <c r="E5515" s="131" t="s">
        <v>12</v>
      </c>
      <c r="F5515" s="133" t="s">
        <v>24</v>
      </c>
      <c r="G5515" s="134" t="n">
        <f aca="false">LEN('Saisie programme'!$F$210)+SUMIFS('Vols additionnels'!$E$7:$E$66,'Vols additionnels'!$C$7:$C$66,$E5515,'Vols additionnels'!$D$7:$D$66,$F5515,'Vols additionnels'!$B$7:$B$66,$D5515)</f>
        <v>0</v>
      </c>
      <c r="H5515" s="135" t="n">
        <f aca="false">$G5515*'Analyse capacite'!$F$9</f>
        <v>0</v>
      </c>
      <c r="I5515" s="135" t="n">
        <f aca="false">$G5515*'Analyse capacite'!$C$9</f>
        <v>0</v>
      </c>
      <c r="J5515" s="135" t="n">
        <f aca="false">$G5515*'Analyse capacite'!$D$9</f>
        <v>0</v>
      </c>
      <c r="K5515" s="135" t="n">
        <f aca="false">$G5515*'Analyse capacite'!$E$9</f>
        <v>0</v>
      </c>
    </row>
    <row r="5516" customFormat="false" ht="15" hidden="false" customHeight="false" outlineLevel="0" collapsed="false">
      <c r="B5516" s="130" t="n">
        <v>2027</v>
      </c>
      <c r="C5516" s="131" t="s">
        <v>251</v>
      </c>
      <c r="D5516" s="132" t="n">
        <v>46631</v>
      </c>
      <c r="E5516" s="131" t="s">
        <v>20</v>
      </c>
      <c r="F5516" s="133" t="s">
        <v>11</v>
      </c>
      <c r="G5516" s="134" t="n">
        <f aca="false">LEN('Saisie programme'!$F$211)+SUMIFS('Vols additionnels'!$E$7:$E$66,'Vols additionnels'!$C$7:$C$66,$E5516,'Vols additionnels'!$D$7:$D$66,$F5516,'Vols additionnels'!$B$7:$B$66,$D5516)</f>
        <v>0</v>
      </c>
      <c r="H5516" s="135" t="n">
        <f aca="false">$G5516*'Analyse capacite'!$F$7</f>
        <v>0</v>
      </c>
      <c r="I5516" s="135" t="n">
        <f aca="false">$G5516*'Analyse capacite'!$C$7</f>
        <v>0</v>
      </c>
      <c r="J5516" s="135" t="n">
        <f aca="false">$G5516*'Analyse capacite'!$D$7</f>
        <v>0</v>
      </c>
      <c r="K5516" s="135" t="n">
        <f aca="false">$G5516*'Analyse capacite'!$E$7</f>
        <v>0</v>
      </c>
    </row>
    <row r="5517" customFormat="false" ht="15" hidden="false" customHeight="false" outlineLevel="0" collapsed="false">
      <c r="B5517" s="130" t="n">
        <v>2027</v>
      </c>
      <c r="C5517" s="131" t="s">
        <v>251</v>
      </c>
      <c r="D5517" s="132" t="n">
        <v>46631</v>
      </c>
      <c r="E5517" s="131" t="s">
        <v>20</v>
      </c>
      <c r="F5517" s="133" t="s">
        <v>19</v>
      </c>
      <c r="G5517" s="134" t="n">
        <f aca="false">LEN('Saisie programme'!$F$212)+SUMIFS('Vols additionnels'!$E$7:$E$66,'Vols additionnels'!$C$7:$C$66,$E5517,'Vols additionnels'!$D$7:$D$66,$F5517,'Vols additionnels'!$B$7:$B$66,$D5517)</f>
        <v>0</v>
      </c>
      <c r="H5517" s="135" t="n">
        <f aca="false">$G5517*'Analyse capacite'!$F$8</f>
        <v>0</v>
      </c>
      <c r="I5517" s="135" t="n">
        <f aca="false">$G5517*'Analyse capacite'!$C$8</f>
        <v>0</v>
      </c>
      <c r="J5517" s="135" t="n">
        <f aca="false">$G5517*'Analyse capacite'!$D$8</f>
        <v>0</v>
      </c>
      <c r="K5517" s="135" t="n">
        <f aca="false">$G5517*'Analyse capacite'!$E$8</f>
        <v>0</v>
      </c>
    </row>
    <row r="5518" customFormat="false" ht="15" hidden="false" customHeight="false" outlineLevel="0" collapsed="false">
      <c r="B5518" s="130" t="n">
        <v>2027</v>
      </c>
      <c r="C5518" s="131" t="s">
        <v>251</v>
      </c>
      <c r="D5518" s="132" t="n">
        <v>46631</v>
      </c>
      <c r="E5518" s="131" t="s">
        <v>20</v>
      </c>
      <c r="F5518" s="133" t="s">
        <v>24</v>
      </c>
      <c r="G5518" s="134" t="n">
        <f aca="false">LEN('Saisie programme'!$F$213)+SUMIFS('Vols additionnels'!$E$7:$E$66,'Vols additionnels'!$C$7:$C$66,$E5518,'Vols additionnels'!$D$7:$D$66,$F5518,'Vols additionnels'!$B$7:$B$66,$D5518)</f>
        <v>0</v>
      </c>
      <c r="H5518" s="135" t="n">
        <f aca="false">$G5518*'Analyse capacite'!$F$9</f>
        <v>0</v>
      </c>
      <c r="I5518" s="135" t="n">
        <f aca="false">$G5518*'Analyse capacite'!$C$9</f>
        <v>0</v>
      </c>
      <c r="J5518" s="135" t="n">
        <f aca="false">$G5518*'Analyse capacite'!$D$9</f>
        <v>0</v>
      </c>
      <c r="K5518" s="135" t="n">
        <f aca="false">$G5518*'Analyse capacite'!$E$9</f>
        <v>0</v>
      </c>
    </row>
    <row r="5519" customFormat="false" ht="15" hidden="false" customHeight="false" outlineLevel="0" collapsed="false">
      <c r="B5519" s="130" t="n">
        <v>2027</v>
      </c>
      <c r="C5519" s="131" t="s">
        <v>251</v>
      </c>
      <c r="D5519" s="132" t="n">
        <v>46631</v>
      </c>
      <c r="E5519" s="131" t="s">
        <v>25</v>
      </c>
      <c r="F5519" s="133" t="s">
        <v>11</v>
      </c>
      <c r="G5519" s="134" t="n">
        <f aca="false">LEN('Saisie programme'!$F$214)+SUMIFS('Vols additionnels'!$E$7:$E$66,'Vols additionnels'!$C$7:$C$66,$E5519,'Vols additionnels'!$D$7:$D$66,$F5519,'Vols additionnels'!$B$7:$B$66,$D5519)</f>
        <v>0</v>
      </c>
      <c r="H5519" s="135" t="n">
        <f aca="false">$G5519*'Analyse capacite'!$F$7</f>
        <v>0</v>
      </c>
      <c r="I5519" s="135" t="n">
        <f aca="false">$G5519*'Analyse capacite'!$C$7</f>
        <v>0</v>
      </c>
      <c r="J5519" s="135" t="n">
        <f aca="false">$G5519*'Analyse capacite'!$D$7</f>
        <v>0</v>
      </c>
      <c r="K5519" s="135" t="n">
        <f aca="false">$G5519*'Analyse capacite'!$E$7</f>
        <v>0</v>
      </c>
    </row>
    <row r="5520" customFormat="false" ht="15" hidden="false" customHeight="false" outlineLevel="0" collapsed="false">
      <c r="B5520" s="130" t="n">
        <v>2027</v>
      </c>
      <c r="C5520" s="131" t="s">
        <v>251</v>
      </c>
      <c r="D5520" s="132" t="n">
        <v>46631</v>
      </c>
      <c r="E5520" s="131" t="s">
        <v>25</v>
      </c>
      <c r="F5520" s="133" t="s">
        <v>19</v>
      </c>
      <c r="G5520" s="134" t="n">
        <f aca="false">LEN('Saisie programme'!$F$215)+SUMIFS('Vols additionnels'!$E$7:$E$66,'Vols additionnels'!$C$7:$C$66,$E5520,'Vols additionnels'!$D$7:$D$66,$F5520,'Vols additionnels'!$B$7:$B$66,$D5520)</f>
        <v>1</v>
      </c>
      <c r="H5520" s="135" t="n">
        <f aca="false">$G5520*'Analyse capacite'!$F$8</f>
        <v>262</v>
      </c>
      <c r="I5520" s="135" t="n">
        <f aca="false">$G5520*'Analyse capacite'!$C$8</f>
        <v>18</v>
      </c>
      <c r="J5520" s="135" t="n">
        <f aca="false">$G5520*'Analyse capacite'!$D$8</f>
        <v>0</v>
      </c>
      <c r="K5520" s="135" t="n">
        <f aca="false">$G5520*'Analyse capacite'!$E$8</f>
        <v>244</v>
      </c>
    </row>
    <row r="5521" customFormat="false" ht="15" hidden="false" customHeight="false" outlineLevel="0" collapsed="false">
      <c r="B5521" s="130" t="n">
        <v>2027</v>
      </c>
      <c r="C5521" s="131" t="s">
        <v>251</v>
      </c>
      <c r="D5521" s="132" t="n">
        <v>46631</v>
      </c>
      <c r="E5521" s="131" t="s">
        <v>25</v>
      </c>
      <c r="F5521" s="133" t="s">
        <v>24</v>
      </c>
      <c r="G5521" s="134" t="n">
        <f aca="false">LEN('Saisie programme'!$F$216)+SUMIFS('Vols additionnels'!$E$7:$E$66,'Vols additionnels'!$C$7:$C$66,$E5521,'Vols additionnels'!$D$7:$D$66,$F5521,'Vols additionnels'!$B$7:$B$66,$D5521)</f>
        <v>0</v>
      </c>
      <c r="H5521" s="135" t="n">
        <f aca="false">$G5521*'Analyse capacite'!$F$9</f>
        <v>0</v>
      </c>
      <c r="I5521" s="135" t="n">
        <f aca="false">$G5521*'Analyse capacite'!$C$9</f>
        <v>0</v>
      </c>
      <c r="J5521" s="135" t="n">
        <f aca="false">$G5521*'Analyse capacite'!$D$9</f>
        <v>0</v>
      </c>
      <c r="K5521" s="135" t="n">
        <f aca="false">$G5521*'Analyse capacite'!$E$9</f>
        <v>0</v>
      </c>
    </row>
    <row r="5522" customFormat="false" ht="15" hidden="false" customHeight="false" outlineLevel="0" collapsed="false">
      <c r="B5522" s="130" t="n">
        <v>2027</v>
      </c>
      <c r="C5522" s="131" t="s">
        <v>251</v>
      </c>
      <c r="D5522" s="132" t="n">
        <v>46631</v>
      </c>
      <c r="E5522" s="131" t="s">
        <v>36</v>
      </c>
      <c r="F5522" s="133" t="s">
        <v>11</v>
      </c>
      <c r="G5522" s="134" t="n">
        <f aca="false">LEN('Saisie programme'!$F$217)+SUMIFS('Vols additionnels'!$E$7:$E$66,'Vols additionnels'!$C$7:$C$66,$E5522,'Vols additionnels'!$D$7:$D$66,$F5522,'Vols additionnels'!$B$7:$B$66,$D5522)</f>
        <v>0</v>
      </c>
      <c r="H5522" s="135" t="n">
        <f aca="false">$G5522*'Analyse capacite'!$F$7</f>
        <v>0</v>
      </c>
      <c r="I5522" s="135" t="n">
        <f aca="false">$G5522*'Analyse capacite'!$C$7</f>
        <v>0</v>
      </c>
      <c r="J5522" s="135" t="n">
        <f aca="false">$G5522*'Analyse capacite'!$D$7</f>
        <v>0</v>
      </c>
      <c r="K5522" s="135" t="n">
        <f aca="false">$G5522*'Analyse capacite'!$E$7</f>
        <v>0</v>
      </c>
    </row>
    <row r="5523" customFormat="false" ht="15" hidden="false" customHeight="false" outlineLevel="0" collapsed="false">
      <c r="B5523" s="130" t="n">
        <v>2027</v>
      </c>
      <c r="C5523" s="131" t="s">
        <v>251</v>
      </c>
      <c r="D5523" s="132" t="n">
        <v>46631</v>
      </c>
      <c r="E5523" s="131" t="s">
        <v>36</v>
      </c>
      <c r="F5523" s="133" t="s">
        <v>19</v>
      </c>
      <c r="G5523" s="134" t="n">
        <f aca="false">LEN('Saisie programme'!$F$218)+SUMIFS('Vols additionnels'!$E$7:$E$66,'Vols additionnels'!$C$7:$C$66,$E5523,'Vols additionnels'!$D$7:$D$66,$F5523,'Vols additionnels'!$B$7:$B$66,$D5523)</f>
        <v>1</v>
      </c>
      <c r="H5523" s="135" t="n">
        <f aca="false">$G5523*'Analyse capacite'!$F$8</f>
        <v>262</v>
      </c>
      <c r="I5523" s="135" t="n">
        <f aca="false">$G5523*'Analyse capacite'!$C$8</f>
        <v>18</v>
      </c>
      <c r="J5523" s="135" t="n">
        <f aca="false">$G5523*'Analyse capacite'!$D$8</f>
        <v>0</v>
      </c>
      <c r="K5523" s="135" t="n">
        <f aca="false">$G5523*'Analyse capacite'!$E$8</f>
        <v>244</v>
      </c>
    </row>
    <row r="5524" customFormat="false" ht="15" hidden="false" customHeight="false" outlineLevel="0" collapsed="false">
      <c r="B5524" s="130" t="n">
        <v>2027</v>
      </c>
      <c r="C5524" s="131" t="s">
        <v>251</v>
      </c>
      <c r="D5524" s="132" t="n">
        <v>46631</v>
      </c>
      <c r="E5524" s="131" t="s">
        <v>36</v>
      </c>
      <c r="F5524" s="133" t="s">
        <v>24</v>
      </c>
      <c r="G5524" s="134" t="n">
        <f aca="false">LEN('Saisie programme'!$F$219)+SUMIFS('Vols additionnels'!$E$7:$E$66,'Vols additionnels'!$C$7:$C$66,$E5524,'Vols additionnels'!$D$7:$D$66,$F5524,'Vols additionnels'!$B$7:$B$66,$D5524)</f>
        <v>1</v>
      </c>
      <c r="H5524" s="135" t="n">
        <f aca="false">$G5524*'Analyse capacite'!$F$9</f>
        <v>174</v>
      </c>
      <c r="I5524" s="135" t="n">
        <f aca="false">$G5524*'Analyse capacite'!$C$9</f>
        <v>0</v>
      </c>
      <c r="J5524" s="135" t="n">
        <f aca="false">$G5524*'Analyse capacite'!$D$9</f>
        <v>12</v>
      </c>
      <c r="K5524" s="135" t="n">
        <f aca="false">$G5524*'Analyse capacite'!$E$9</f>
        <v>162</v>
      </c>
    </row>
    <row r="5525" customFormat="false" ht="15" hidden="false" customHeight="false" outlineLevel="0" collapsed="false">
      <c r="B5525" s="130" t="n">
        <v>2027</v>
      </c>
      <c r="C5525" s="131" t="s">
        <v>251</v>
      </c>
      <c r="D5525" s="132" t="n">
        <v>46631</v>
      </c>
      <c r="E5525" s="131" t="s">
        <v>40</v>
      </c>
      <c r="F5525" s="133" t="s">
        <v>11</v>
      </c>
      <c r="G5525" s="134" t="n">
        <f aca="false">LEN('Saisie programme'!$F$220)+SUMIFS('Vols additionnels'!$E$7:$E$66,'Vols additionnels'!$C$7:$C$66,$E5525,'Vols additionnels'!$D$7:$D$66,$F5525,'Vols additionnels'!$B$7:$B$66,$D5525)</f>
        <v>0</v>
      </c>
      <c r="H5525" s="135" t="n">
        <f aca="false">$G5525*'Analyse capacite'!$F$7</f>
        <v>0</v>
      </c>
      <c r="I5525" s="135" t="n">
        <f aca="false">$G5525*'Analyse capacite'!$C$7</f>
        <v>0</v>
      </c>
      <c r="J5525" s="135" t="n">
        <f aca="false">$G5525*'Analyse capacite'!$D$7</f>
        <v>0</v>
      </c>
      <c r="K5525" s="135" t="n">
        <f aca="false">$G5525*'Analyse capacite'!$E$7</f>
        <v>0</v>
      </c>
    </row>
    <row r="5526" customFormat="false" ht="15" hidden="false" customHeight="false" outlineLevel="0" collapsed="false">
      <c r="B5526" s="130" t="n">
        <v>2027</v>
      </c>
      <c r="C5526" s="131" t="s">
        <v>251</v>
      </c>
      <c r="D5526" s="132" t="n">
        <v>46631</v>
      </c>
      <c r="E5526" s="131" t="s">
        <v>40</v>
      </c>
      <c r="F5526" s="133" t="s">
        <v>19</v>
      </c>
      <c r="G5526" s="134" t="n">
        <f aca="false">LEN('Saisie programme'!$F$221)+SUMIFS('Vols additionnels'!$E$7:$E$66,'Vols additionnels'!$C$7:$C$66,$E5526,'Vols additionnels'!$D$7:$D$66,$F5526,'Vols additionnels'!$B$7:$B$66,$D5526)</f>
        <v>0</v>
      </c>
      <c r="H5526" s="135" t="n">
        <f aca="false">$G5526*'Analyse capacite'!$F$8</f>
        <v>0</v>
      </c>
      <c r="I5526" s="135" t="n">
        <f aca="false">$G5526*'Analyse capacite'!$C$8</f>
        <v>0</v>
      </c>
      <c r="J5526" s="135" t="n">
        <f aca="false">$G5526*'Analyse capacite'!$D$8</f>
        <v>0</v>
      </c>
      <c r="K5526" s="135" t="n">
        <f aca="false">$G5526*'Analyse capacite'!$E$8</f>
        <v>0</v>
      </c>
    </row>
    <row r="5527" customFormat="false" ht="15" hidden="false" customHeight="false" outlineLevel="0" collapsed="false">
      <c r="B5527" s="130" t="n">
        <v>2027</v>
      </c>
      <c r="C5527" s="131" t="s">
        <v>251</v>
      </c>
      <c r="D5527" s="132" t="n">
        <v>46631</v>
      </c>
      <c r="E5527" s="131" t="s">
        <v>40</v>
      </c>
      <c r="F5527" s="133" t="s">
        <v>24</v>
      </c>
      <c r="G5527" s="134" t="n">
        <f aca="false">LEN('Saisie programme'!$F$222)+SUMIFS('Vols additionnels'!$E$7:$E$66,'Vols additionnels'!$C$7:$C$66,$E5527,'Vols additionnels'!$D$7:$D$66,$F5527,'Vols additionnels'!$B$7:$B$66,$D5527)</f>
        <v>1</v>
      </c>
      <c r="H5527" s="135" t="n">
        <f aca="false">$G5527*'Analyse capacite'!$F$9</f>
        <v>174</v>
      </c>
      <c r="I5527" s="135" t="n">
        <f aca="false">$G5527*'Analyse capacite'!$C$9</f>
        <v>0</v>
      </c>
      <c r="J5527" s="135" t="n">
        <f aca="false">$G5527*'Analyse capacite'!$D$9</f>
        <v>12</v>
      </c>
      <c r="K5527" s="135" t="n">
        <f aca="false">$G5527*'Analyse capacite'!$E$9</f>
        <v>162</v>
      </c>
    </row>
    <row r="5528" customFormat="false" ht="15" hidden="false" customHeight="false" outlineLevel="0" collapsed="false">
      <c r="B5528" s="130" t="n">
        <v>2027</v>
      </c>
      <c r="C5528" s="131" t="s">
        <v>251</v>
      </c>
      <c r="D5528" s="132" t="n">
        <v>46631</v>
      </c>
      <c r="E5528" s="131" t="s">
        <v>14</v>
      </c>
      <c r="F5528" s="133" t="s">
        <v>11</v>
      </c>
      <c r="G5528" s="134" t="n">
        <f aca="false">LEN('Saisie programme'!$F$223)+SUMIFS('Vols additionnels'!$E$7:$E$66,'Vols additionnels'!$C$7:$C$66,$E5528,'Vols additionnels'!$D$7:$D$66,$F5528,'Vols additionnels'!$B$7:$B$66,$D5528)</f>
        <v>0</v>
      </c>
      <c r="H5528" s="135" t="n">
        <f aca="false">$G5528*'Analyse capacite'!$F$7</f>
        <v>0</v>
      </c>
      <c r="I5528" s="135" t="n">
        <f aca="false">$G5528*'Analyse capacite'!$C$7</f>
        <v>0</v>
      </c>
      <c r="J5528" s="135" t="n">
        <f aca="false">$G5528*'Analyse capacite'!$D$7</f>
        <v>0</v>
      </c>
      <c r="K5528" s="135" t="n">
        <f aca="false">$G5528*'Analyse capacite'!$E$7</f>
        <v>0</v>
      </c>
    </row>
    <row r="5529" customFormat="false" ht="15" hidden="false" customHeight="false" outlineLevel="0" collapsed="false">
      <c r="B5529" s="130" t="n">
        <v>2027</v>
      </c>
      <c r="C5529" s="131" t="s">
        <v>251</v>
      </c>
      <c r="D5529" s="132" t="n">
        <v>46631</v>
      </c>
      <c r="E5529" s="131" t="s">
        <v>14</v>
      </c>
      <c r="F5529" s="133" t="s">
        <v>19</v>
      </c>
      <c r="G5529" s="134" t="n">
        <f aca="false">LEN('Saisie programme'!$F$224)+SUMIFS('Vols additionnels'!$E$7:$E$66,'Vols additionnels'!$C$7:$C$66,$E5529,'Vols additionnels'!$D$7:$D$66,$F5529,'Vols additionnels'!$B$7:$B$66,$D5529)</f>
        <v>0</v>
      </c>
      <c r="H5529" s="135" t="n">
        <f aca="false">$G5529*'Analyse capacite'!$F$8</f>
        <v>0</v>
      </c>
      <c r="I5529" s="135" t="n">
        <f aca="false">$G5529*'Analyse capacite'!$C$8</f>
        <v>0</v>
      </c>
      <c r="J5529" s="135" t="n">
        <f aca="false">$G5529*'Analyse capacite'!$D$8</f>
        <v>0</v>
      </c>
      <c r="K5529" s="135" t="n">
        <f aca="false">$G5529*'Analyse capacite'!$E$8</f>
        <v>0</v>
      </c>
    </row>
    <row r="5530" customFormat="false" ht="15" hidden="false" customHeight="false" outlineLevel="0" collapsed="false">
      <c r="B5530" s="130" t="n">
        <v>2027</v>
      </c>
      <c r="C5530" s="131" t="s">
        <v>251</v>
      </c>
      <c r="D5530" s="132" t="n">
        <v>46631</v>
      </c>
      <c r="E5530" s="131" t="s">
        <v>14</v>
      </c>
      <c r="F5530" s="133" t="s">
        <v>24</v>
      </c>
      <c r="G5530" s="134" t="n">
        <f aca="false">LEN('Saisie programme'!$F$225)+SUMIFS('Vols additionnels'!$E$7:$E$66,'Vols additionnels'!$C$7:$C$66,$E5530,'Vols additionnels'!$D$7:$D$66,$F5530,'Vols additionnels'!$B$7:$B$66,$D5530)</f>
        <v>0</v>
      </c>
      <c r="H5530" s="135" t="n">
        <f aca="false">$G5530*'Analyse capacite'!$F$9</f>
        <v>0</v>
      </c>
      <c r="I5530" s="135" t="n">
        <f aca="false">$G5530*'Analyse capacite'!$C$9</f>
        <v>0</v>
      </c>
      <c r="J5530" s="135" t="n">
        <f aca="false">$G5530*'Analyse capacite'!$D$9</f>
        <v>0</v>
      </c>
      <c r="K5530" s="135" t="n">
        <f aca="false">$G5530*'Analyse capacite'!$E$9</f>
        <v>0</v>
      </c>
    </row>
    <row r="5531" customFormat="false" ht="15" hidden="false" customHeight="false" outlineLevel="0" collapsed="false">
      <c r="B5531" s="130" t="n">
        <v>2027</v>
      </c>
      <c r="C5531" s="131" t="s">
        <v>251</v>
      </c>
      <c r="D5531" s="132" t="n">
        <v>46631</v>
      </c>
      <c r="E5531" s="131" t="s">
        <v>46</v>
      </c>
      <c r="F5531" s="133" t="s">
        <v>11</v>
      </c>
      <c r="G5531" s="134" t="n">
        <f aca="false">LEN('Saisie programme'!$F$226)+SUMIFS('Vols additionnels'!$E$7:$E$66,'Vols additionnels'!$C$7:$C$66,$E5531,'Vols additionnels'!$D$7:$D$66,$F5531,'Vols additionnels'!$B$7:$B$66,$D5531)</f>
        <v>0</v>
      </c>
      <c r="H5531" s="135" t="n">
        <f aca="false">$G5531*'Analyse capacite'!$F$7</f>
        <v>0</v>
      </c>
      <c r="I5531" s="135" t="n">
        <f aca="false">$G5531*'Analyse capacite'!$C$7</f>
        <v>0</v>
      </c>
      <c r="J5531" s="135" t="n">
        <f aca="false">$G5531*'Analyse capacite'!$D$7</f>
        <v>0</v>
      </c>
      <c r="K5531" s="135" t="n">
        <f aca="false">$G5531*'Analyse capacite'!$E$7</f>
        <v>0</v>
      </c>
    </row>
    <row r="5532" customFormat="false" ht="15" hidden="false" customHeight="false" outlineLevel="0" collapsed="false">
      <c r="B5532" s="130" t="n">
        <v>2027</v>
      </c>
      <c r="C5532" s="131" t="s">
        <v>251</v>
      </c>
      <c r="D5532" s="132" t="n">
        <v>46631</v>
      </c>
      <c r="E5532" s="131" t="s">
        <v>46</v>
      </c>
      <c r="F5532" s="133" t="s">
        <v>19</v>
      </c>
      <c r="G5532" s="134" t="n">
        <f aca="false">LEN('Saisie programme'!$F$227)+SUMIFS('Vols additionnels'!$E$7:$E$66,'Vols additionnels'!$C$7:$C$66,$E5532,'Vols additionnels'!$D$7:$D$66,$F5532,'Vols additionnels'!$B$7:$B$66,$D5532)</f>
        <v>0</v>
      </c>
      <c r="H5532" s="135" t="n">
        <f aca="false">$G5532*'Analyse capacite'!$F$8</f>
        <v>0</v>
      </c>
      <c r="I5532" s="135" t="n">
        <f aca="false">$G5532*'Analyse capacite'!$C$8</f>
        <v>0</v>
      </c>
      <c r="J5532" s="135" t="n">
        <f aca="false">$G5532*'Analyse capacite'!$D$8</f>
        <v>0</v>
      </c>
      <c r="K5532" s="135" t="n">
        <f aca="false">$G5532*'Analyse capacite'!$E$8</f>
        <v>0</v>
      </c>
    </row>
    <row r="5533" customFormat="false" ht="15" hidden="false" customHeight="false" outlineLevel="0" collapsed="false">
      <c r="B5533" s="130" t="n">
        <v>2027</v>
      </c>
      <c r="C5533" s="131" t="s">
        <v>251</v>
      </c>
      <c r="D5533" s="132" t="n">
        <v>46631</v>
      </c>
      <c r="E5533" s="131" t="s">
        <v>46</v>
      </c>
      <c r="F5533" s="133" t="s">
        <v>24</v>
      </c>
      <c r="G5533" s="134" t="n">
        <f aca="false">LEN('Saisie programme'!$F$228)+SUMIFS('Vols additionnels'!$E$7:$E$66,'Vols additionnels'!$C$7:$C$66,$E5533,'Vols additionnels'!$D$7:$D$66,$F5533,'Vols additionnels'!$B$7:$B$66,$D5533)</f>
        <v>0</v>
      </c>
      <c r="H5533" s="135" t="n">
        <f aca="false">$G5533*'Analyse capacite'!$F$9</f>
        <v>0</v>
      </c>
      <c r="I5533" s="135" t="n">
        <f aca="false">$G5533*'Analyse capacite'!$C$9</f>
        <v>0</v>
      </c>
      <c r="J5533" s="135" t="n">
        <f aca="false">$G5533*'Analyse capacite'!$D$9</f>
        <v>0</v>
      </c>
      <c r="K5533" s="135" t="n">
        <f aca="false">$G5533*'Analyse capacite'!$E$9</f>
        <v>0</v>
      </c>
    </row>
    <row r="5534" customFormat="false" ht="15" hidden="false" customHeight="false" outlineLevel="0" collapsed="false">
      <c r="B5534" s="130" t="n">
        <v>2027</v>
      </c>
      <c r="C5534" s="131" t="s">
        <v>251</v>
      </c>
      <c r="D5534" s="132" t="n">
        <v>46631</v>
      </c>
      <c r="E5534" s="131" t="s">
        <v>49</v>
      </c>
      <c r="F5534" s="133" t="s">
        <v>11</v>
      </c>
      <c r="G5534" s="134" t="n">
        <f aca="false">LEN('Saisie programme'!$F$229)+SUMIFS('Vols additionnels'!$E$7:$E$66,'Vols additionnels'!$C$7:$C$66,$E5534,'Vols additionnels'!$D$7:$D$66,$F5534,'Vols additionnels'!$B$7:$B$66,$D5534)</f>
        <v>0</v>
      </c>
      <c r="H5534" s="135" t="n">
        <f aca="false">$G5534*'Analyse capacite'!$F$7</f>
        <v>0</v>
      </c>
      <c r="I5534" s="135" t="n">
        <f aca="false">$G5534*'Analyse capacite'!$C$7</f>
        <v>0</v>
      </c>
      <c r="J5534" s="135" t="n">
        <f aca="false">$G5534*'Analyse capacite'!$D$7</f>
        <v>0</v>
      </c>
      <c r="K5534" s="135" t="n">
        <f aca="false">$G5534*'Analyse capacite'!$E$7</f>
        <v>0</v>
      </c>
    </row>
    <row r="5535" customFormat="false" ht="15" hidden="false" customHeight="false" outlineLevel="0" collapsed="false">
      <c r="B5535" s="130" t="n">
        <v>2027</v>
      </c>
      <c r="C5535" s="131" t="s">
        <v>251</v>
      </c>
      <c r="D5535" s="132" t="n">
        <v>46631</v>
      </c>
      <c r="E5535" s="131" t="s">
        <v>49</v>
      </c>
      <c r="F5535" s="133" t="s">
        <v>19</v>
      </c>
      <c r="G5535" s="134" t="n">
        <f aca="false">LEN('Saisie programme'!$F$230)+SUMIFS('Vols additionnels'!$E$7:$E$66,'Vols additionnels'!$C$7:$C$66,$E5535,'Vols additionnels'!$D$7:$D$66,$F5535,'Vols additionnels'!$B$7:$B$66,$D5535)</f>
        <v>0</v>
      </c>
      <c r="H5535" s="135" t="n">
        <f aca="false">$G5535*'Analyse capacite'!$F$8</f>
        <v>0</v>
      </c>
      <c r="I5535" s="135" t="n">
        <f aca="false">$G5535*'Analyse capacite'!$C$8</f>
        <v>0</v>
      </c>
      <c r="J5535" s="135" t="n">
        <f aca="false">$G5535*'Analyse capacite'!$D$8</f>
        <v>0</v>
      </c>
      <c r="K5535" s="135" t="n">
        <f aca="false">$G5535*'Analyse capacite'!$E$8</f>
        <v>0</v>
      </c>
    </row>
    <row r="5536" customFormat="false" ht="15" hidden="false" customHeight="false" outlineLevel="0" collapsed="false">
      <c r="B5536" s="130" t="n">
        <v>2027</v>
      </c>
      <c r="C5536" s="131" t="s">
        <v>251</v>
      </c>
      <c r="D5536" s="132" t="n">
        <v>46631</v>
      </c>
      <c r="E5536" s="131" t="s">
        <v>49</v>
      </c>
      <c r="F5536" s="133" t="s">
        <v>24</v>
      </c>
      <c r="G5536" s="134" t="n">
        <f aca="false">LEN('Saisie programme'!$F$231)+SUMIFS('Vols additionnels'!$E$7:$E$66,'Vols additionnels'!$C$7:$C$66,$E5536,'Vols additionnels'!$D$7:$D$66,$F5536,'Vols additionnels'!$B$7:$B$66,$D5536)</f>
        <v>0</v>
      </c>
      <c r="H5536" s="135" t="n">
        <f aca="false">$G5536*'Analyse capacite'!$F$9</f>
        <v>0</v>
      </c>
      <c r="I5536" s="135" t="n">
        <f aca="false">$G5536*'Analyse capacite'!$C$9</f>
        <v>0</v>
      </c>
      <c r="J5536" s="135" t="n">
        <f aca="false">$G5536*'Analyse capacite'!$D$9</f>
        <v>0</v>
      </c>
      <c r="K5536" s="135" t="n">
        <f aca="false">$G5536*'Analyse capacite'!$E$9</f>
        <v>0</v>
      </c>
    </row>
    <row r="5537" customFormat="false" ht="15" hidden="false" customHeight="false" outlineLevel="0" collapsed="false">
      <c r="B5537" s="130" t="n">
        <v>2027</v>
      </c>
      <c r="C5537" s="131" t="s">
        <v>251</v>
      </c>
      <c r="D5537" s="132" t="n">
        <v>46631</v>
      </c>
      <c r="E5537" s="131" t="s">
        <v>53</v>
      </c>
      <c r="F5537" s="133" t="s">
        <v>11</v>
      </c>
      <c r="G5537" s="134" t="n">
        <f aca="false">LEN('Saisie programme'!$F$232)+SUMIFS('Vols additionnels'!$E$7:$E$66,'Vols additionnels'!$C$7:$C$66,$E5537,'Vols additionnels'!$D$7:$D$66,$F5537,'Vols additionnels'!$B$7:$B$66,$D5537)</f>
        <v>0</v>
      </c>
      <c r="H5537" s="135" t="n">
        <f aca="false">$G5537*'Analyse capacite'!$F$7</f>
        <v>0</v>
      </c>
      <c r="I5537" s="135" t="n">
        <f aca="false">$G5537*'Analyse capacite'!$C$7</f>
        <v>0</v>
      </c>
      <c r="J5537" s="135" t="n">
        <f aca="false">$G5537*'Analyse capacite'!$D$7</f>
        <v>0</v>
      </c>
      <c r="K5537" s="135" t="n">
        <f aca="false">$G5537*'Analyse capacite'!$E$7</f>
        <v>0</v>
      </c>
    </row>
    <row r="5538" customFormat="false" ht="15" hidden="false" customHeight="false" outlineLevel="0" collapsed="false">
      <c r="B5538" s="130" t="n">
        <v>2027</v>
      </c>
      <c r="C5538" s="131" t="s">
        <v>251</v>
      </c>
      <c r="D5538" s="132" t="n">
        <v>46631</v>
      </c>
      <c r="E5538" s="131" t="s">
        <v>53</v>
      </c>
      <c r="F5538" s="133" t="s">
        <v>19</v>
      </c>
      <c r="G5538" s="134" t="n">
        <f aca="false">LEN('Saisie programme'!$F$233)+SUMIFS('Vols additionnels'!$E$7:$E$66,'Vols additionnels'!$C$7:$C$66,$E5538,'Vols additionnels'!$D$7:$D$66,$F5538,'Vols additionnels'!$B$7:$B$66,$D5538)</f>
        <v>0</v>
      </c>
      <c r="H5538" s="135" t="n">
        <f aca="false">$G5538*'Analyse capacite'!$F$8</f>
        <v>0</v>
      </c>
      <c r="I5538" s="135" t="n">
        <f aca="false">$G5538*'Analyse capacite'!$C$8</f>
        <v>0</v>
      </c>
      <c r="J5538" s="135" t="n">
        <f aca="false">$G5538*'Analyse capacite'!$D$8</f>
        <v>0</v>
      </c>
      <c r="K5538" s="135" t="n">
        <f aca="false">$G5538*'Analyse capacite'!$E$8</f>
        <v>0</v>
      </c>
    </row>
    <row r="5539" customFormat="false" ht="15" hidden="false" customHeight="false" outlineLevel="0" collapsed="false">
      <c r="B5539" s="130" t="n">
        <v>2027</v>
      </c>
      <c r="C5539" s="131" t="s">
        <v>251</v>
      </c>
      <c r="D5539" s="132" t="n">
        <v>46631</v>
      </c>
      <c r="E5539" s="131" t="s">
        <v>53</v>
      </c>
      <c r="F5539" s="133" t="s">
        <v>24</v>
      </c>
      <c r="G5539" s="134" t="n">
        <f aca="false">LEN('Saisie programme'!$F$234)+SUMIFS('Vols additionnels'!$E$7:$E$66,'Vols additionnels'!$C$7:$C$66,$E5539,'Vols additionnels'!$D$7:$D$66,$F5539,'Vols additionnels'!$B$7:$B$66,$D5539)</f>
        <v>0</v>
      </c>
      <c r="H5539" s="135" t="n">
        <f aca="false">$G5539*'Analyse capacite'!$F$9</f>
        <v>0</v>
      </c>
      <c r="I5539" s="135" t="n">
        <f aca="false">$G5539*'Analyse capacite'!$C$9</f>
        <v>0</v>
      </c>
      <c r="J5539" s="135" t="n">
        <f aca="false">$G5539*'Analyse capacite'!$D$9</f>
        <v>0</v>
      </c>
      <c r="K5539" s="135" t="n">
        <f aca="false">$G5539*'Analyse capacite'!$E$9</f>
        <v>0</v>
      </c>
    </row>
    <row r="5540" customFormat="false" ht="15" hidden="false" customHeight="false" outlineLevel="0" collapsed="false">
      <c r="B5540" s="130" t="n">
        <v>2027</v>
      </c>
      <c r="C5540" s="131" t="s">
        <v>251</v>
      </c>
      <c r="D5540" s="132" t="n">
        <v>46631</v>
      </c>
      <c r="E5540" s="131" t="s">
        <v>56</v>
      </c>
      <c r="F5540" s="133" t="s">
        <v>11</v>
      </c>
      <c r="G5540" s="134" t="n">
        <f aca="false">LEN('Saisie programme'!$F$235)+SUMIFS('Vols additionnels'!$E$7:$E$66,'Vols additionnels'!$C$7:$C$66,$E5540,'Vols additionnels'!$D$7:$D$66,$F5540,'Vols additionnels'!$B$7:$B$66,$D5540)</f>
        <v>0</v>
      </c>
      <c r="H5540" s="135" t="n">
        <f aca="false">$G5540*'Analyse capacite'!$F$7</f>
        <v>0</v>
      </c>
      <c r="I5540" s="135" t="n">
        <f aca="false">$G5540*'Analyse capacite'!$C$7</f>
        <v>0</v>
      </c>
      <c r="J5540" s="135" t="n">
        <f aca="false">$G5540*'Analyse capacite'!$D$7</f>
        <v>0</v>
      </c>
      <c r="K5540" s="135" t="n">
        <f aca="false">$G5540*'Analyse capacite'!$E$7</f>
        <v>0</v>
      </c>
    </row>
    <row r="5541" customFormat="false" ht="15" hidden="false" customHeight="false" outlineLevel="0" collapsed="false">
      <c r="B5541" s="130" t="n">
        <v>2027</v>
      </c>
      <c r="C5541" s="131" t="s">
        <v>251</v>
      </c>
      <c r="D5541" s="132" t="n">
        <v>46631</v>
      </c>
      <c r="E5541" s="131" t="s">
        <v>56</v>
      </c>
      <c r="F5541" s="133" t="s">
        <v>19</v>
      </c>
      <c r="G5541" s="134" t="n">
        <f aca="false">LEN('Saisie programme'!$F$236)+SUMIFS('Vols additionnels'!$E$7:$E$66,'Vols additionnels'!$C$7:$C$66,$E5541,'Vols additionnels'!$D$7:$D$66,$F5541,'Vols additionnels'!$B$7:$B$66,$D5541)</f>
        <v>0</v>
      </c>
      <c r="H5541" s="135" t="n">
        <f aca="false">$G5541*'Analyse capacite'!$F$8</f>
        <v>0</v>
      </c>
      <c r="I5541" s="135" t="n">
        <f aca="false">$G5541*'Analyse capacite'!$C$8</f>
        <v>0</v>
      </c>
      <c r="J5541" s="135" t="n">
        <f aca="false">$G5541*'Analyse capacite'!$D$8</f>
        <v>0</v>
      </c>
      <c r="K5541" s="135" t="n">
        <f aca="false">$G5541*'Analyse capacite'!$E$8</f>
        <v>0</v>
      </c>
    </row>
    <row r="5542" customFormat="false" ht="15" hidden="false" customHeight="false" outlineLevel="0" collapsed="false">
      <c r="B5542" s="130" t="n">
        <v>2027</v>
      </c>
      <c r="C5542" s="131" t="s">
        <v>251</v>
      </c>
      <c r="D5542" s="132" t="n">
        <v>46631</v>
      </c>
      <c r="E5542" s="131" t="s">
        <v>56</v>
      </c>
      <c r="F5542" s="133" t="s">
        <v>24</v>
      </c>
      <c r="G5542" s="134" t="n">
        <f aca="false">LEN('Saisie programme'!$F$237)+SUMIFS('Vols additionnels'!$E$7:$E$66,'Vols additionnels'!$C$7:$C$66,$E5542,'Vols additionnels'!$D$7:$D$66,$F5542,'Vols additionnels'!$B$7:$B$66,$D5542)</f>
        <v>0</v>
      </c>
      <c r="H5542" s="135" t="n">
        <f aca="false">$G5542*'Analyse capacite'!$F$9</f>
        <v>0</v>
      </c>
      <c r="I5542" s="135" t="n">
        <f aca="false">$G5542*'Analyse capacite'!$C$9</f>
        <v>0</v>
      </c>
      <c r="J5542" s="135" t="n">
        <f aca="false">$G5542*'Analyse capacite'!$D$9</f>
        <v>0</v>
      </c>
      <c r="K5542" s="135" t="n">
        <f aca="false">$G5542*'Analyse capacite'!$E$9</f>
        <v>0</v>
      </c>
    </row>
    <row r="5543" customFormat="false" ht="15" hidden="false" customHeight="false" outlineLevel="0" collapsed="false">
      <c r="B5543" s="130" t="n">
        <v>2027</v>
      </c>
      <c r="C5543" s="131" t="s">
        <v>251</v>
      </c>
      <c r="D5543" s="132" t="n">
        <v>46631</v>
      </c>
      <c r="E5543" s="131" t="s">
        <v>59</v>
      </c>
      <c r="F5543" s="133" t="s">
        <v>11</v>
      </c>
      <c r="G5543" s="134" t="n">
        <f aca="false">LEN('Saisie programme'!$F$238)+SUMIFS('Vols additionnels'!$E$7:$E$66,'Vols additionnels'!$C$7:$C$66,$E5543,'Vols additionnels'!$D$7:$D$66,$F5543,'Vols additionnels'!$B$7:$B$66,$D5543)</f>
        <v>0</v>
      </c>
      <c r="H5543" s="135" t="n">
        <f aca="false">$G5543*'Analyse capacite'!$F$7</f>
        <v>0</v>
      </c>
      <c r="I5543" s="135" t="n">
        <f aca="false">$G5543*'Analyse capacite'!$C$7</f>
        <v>0</v>
      </c>
      <c r="J5543" s="135" t="n">
        <f aca="false">$G5543*'Analyse capacite'!$D$7</f>
        <v>0</v>
      </c>
      <c r="K5543" s="135" t="n">
        <f aca="false">$G5543*'Analyse capacite'!$E$7</f>
        <v>0</v>
      </c>
    </row>
    <row r="5544" customFormat="false" ht="15" hidden="false" customHeight="false" outlineLevel="0" collapsed="false">
      <c r="B5544" s="130" t="n">
        <v>2027</v>
      </c>
      <c r="C5544" s="131" t="s">
        <v>251</v>
      </c>
      <c r="D5544" s="132" t="n">
        <v>46631</v>
      </c>
      <c r="E5544" s="131" t="s">
        <v>59</v>
      </c>
      <c r="F5544" s="133" t="s">
        <v>19</v>
      </c>
      <c r="G5544" s="134" t="n">
        <f aca="false">LEN('Saisie programme'!$F$239)+SUMIFS('Vols additionnels'!$E$7:$E$66,'Vols additionnels'!$C$7:$C$66,$E5544,'Vols additionnels'!$D$7:$D$66,$F5544,'Vols additionnels'!$B$7:$B$66,$D5544)</f>
        <v>0</v>
      </c>
      <c r="H5544" s="135" t="n">
        <f aca="false">$G5544*'Analyse capacite'!$F$8</f>
        <v>0</v>
      </c>
      <c r="I5544" s="135" t="n">
        <f aca="false">$G5544*'Analyse capacite'!$C$8</f>
        <v>0</v>
      </c>
      <c r="J5544" s="135" t="n">
        <f aca="false">$G5544*'Analyse capacite'!$D$8</f>
        <v>0</v>
      </c>
      <c r="K5544" s="135" t="n">
        <f aca="false">$G5544*'Analyse capacite'!$E$8</f>
        <v>0</v>
      </c>
    </row>
    <row r="5545" customFormat="false" ht="15" hidden="false" customHeight="false" outlineLevel="0" collapsed="false">
      <c r="B5545" s="130" t="n">
        <v>2027</v>
      </c>
      <c r="C5545" s="131" t="s">
        <v>251</v>
      </c>
      <c r="D5545" s="132" t="n">
        <v>46631</v>
      </c>
      <c r="E5545" s="131" t="s">
        <v>59</v>
      </c>
      <c r="F5545" s="133" t="s">
        <v>24</v>
      </c>
      <c r="G5545" s="134" t="n">
        <f aca="false">LEN('Saisie programme'!$F$240)+SUMIFS('Vols additionnels'!$E$7:$E$66,'Vols additionnels'!$C$7:$C$66,$E5545,'Vols additionnels'!$D$7:$D$66,$F5545,'Vols additionnels'!$B$7:$B$66,$D5545)</f>
        <v>1</v>
      </c>
      <c r="H5545" s="135" t="n">
        <f aca="false">$G5545*'Analyse capacite'!$F$9</f>
        <v>174</v>
      </c>
      <c r="I5545" s="135" t="n">
        <f aca="false">$G5545*'Analyse capacite'!$C$9</f>
        <v>0</v>
      </c>
      <c r="J5545" s="135" t="n">
        <f aca="false">$G5545*'Analyse capacite'!$D$9</f>
        <v>12</v>
      </c>
      <c r="K5545" s="135" t="n">
        <f aca="false">$G5545*'Analyse capacite'!$E$9</f>
        <v>162</v>
      </c>
    </row>
    <row r="5546" customFormat="false" ht="15" hidden="false" customHeight="false" outlineLevel="0" collapsed="false">
      <c r="B5546" s="130" t="n">
        <v>2027</v>
      </c>
      <c r="C5546" s="131" t="s">
        <v>251</v>
      </c>
      <c r="D5546" s="132" t="n">
        <v>46631</v>
      </c>
      <c r="E5546" s="131" t="s">
        <v>62</v>
      </c>
      <c r="F5546" s="133" t="s">
        <v>11</v>
      </c>
      <c r="G5546" s="134" t="n">
        <f aca="false">LEN('Saisie programme'!$F$241)+SUMIFS('Vols additionnels'!$E$7:$E$66,'Vols additionnels'!$C$7:$C$66,$E5546,'Vols additionnels'!$D$7:$D$66,$F5546,'Vols additionnels'!$B$7:$B$66,$D5546)</f>
        <v>0</v>
      </c>
      <c r="H5546" s="135" t="n">
        <f aca="false">$G5546*'Analyse capacite'!$F$7</f>
        <v>0</v>
      </c>
      <c r="I5546" s="135" t="n">
        <f aca="false">$G5546*'Analyse capacite'!$C$7</f>
        <v>0</v>
      </c>
      <c r="J5546" s="135" t="n">
        <f aca="false">$G5546*'Analyse capacite'!$D$7</f>
        <v>0</v>
      </c>
      <c r="K5546" s="135" t="n">
        <f aca="false">$G5546*'Analyse capacite'!$E$7</f>
        <v>0</v>
      </c>
    </row>
    <row r="5547" customFormat="false" ht="15" hidden="false" customHeight="false" outlineLevel="0" collapsed="false">
      <c r="B5547" s="130" t="n">
        <v>2027</v>
      </c>
      <c r="C5547" s="131" t="s">
        <v>251</v>
      </c>
      <c r="D5547" s="132" t="n">
        <v>46631</v>
      </c>
      <c r="E5547" s="131" t="s">
        <v>62</v>
      </c>
      <c r="F5547" s="133" t="s">
        <v>19</v>
      </c>
      <c r="G5547" s="134" t="n">
        <f aca="false">LEN('Saisie programme'!$F$242)+SUMIFS('Vols additionnels'!$E$7:$E$66,'Vols additionnels'!$C$7:$C$66,$E5547,'Vols additionnels'!$D$7:$D$66,$F5547,'Vols additionnels'!$B$7:$B$66,$D5547)</f>
        <v>0</v>
      </c>
      <c r="H5547" s="135" t="n">
        <f aca="false">$G5547*'Analyse capacite'!$F$8</f>
        <v>0</v>
      </c>
      <c r="I5547" s="135" t="n">
        <f aca="false">$G5547*'Analyse capacite'!$C$8</f>
        <v>0</v>
      </c>
      <c r="J5547" s="135" t="n">
        <f aca="false">$G5547*'Analyse capacite'!$D$8</f>
        <v>0</v>
      </c>
      <c r="K5547" s="135" t="n">
        <f aca="false">$G5547*'Analyse capacite'!$E$8</f>
        <v>0</v>
      </c>
    </row>
    <row r="5548" customFormat="false" ht="15" hidden="false" customHeight="false" outlineLevel="0" collapsed="false">
      <c r="B5548" s="130" t="n">
        <v>2027</v>
      </c>
      <c r="C5548" s="131" t="s">
        <v>251</v>
      </c>
      <c r="D5548" s="132" t="n">
        <v>46631</v>
      </c>
      <c r="E5548" s="131" t="s">
        <v>62</v>
      </c>
      <c r="F5548" s="133" t="s">
        <v>24</v>
      </c>
      <c r="G5548" s="134" t="n">
        <f aca="false">LEN('Saisie programme'!$F$243)+SUMIFS('Vols additionnels'!$E$7:$E$66,'Vols additionnels'!$C$7:$C$66,$E5548,'Vols additionnels'!$D$7:$D$66,$F5548,'Vols additionnels'!$B$7:$B$66,$D5548)</f>
        <v>1</v>
      </c>
      <c r="H5548" s="135" t="n">
        <f aca="false">$G5548*'Analyse capacite'!$F$9</f>
        <v>174</v>
      </c>
      <c r="I5548" s="135" t="n">
        <f aca="false">$G5548*'Analyse capacite'!$C$9</f>
        <v>0</v>
      </c>
      <c r="J5548" s="135" t="n">
        <f aca="false">$G5548*'Analyse capacite'!$D$9</f>
        <v>12</v>
      </c>
      <c r="K5548" s="135" t="n">
        <f aca="false">$G5548*'Analyse capacite'!$E$9</f>
        <v>162</v>
      </c>
    </row>
    <row r="5549" customFormat="false" ht="15" hidden="false" customHeight="false" outlineLevel="0" collapsed="false">
      <c r="B5549" s="130" t="n">
        <v>2027</v>
      </c>
      <c r="C5549" s="131" t="s">
        <v>251</v>
      </c>
      <c r="D5549" s="132" t="n">
        <v>46632</v>
      </c>
      <c r="E5549" s="131" t="s">
        <v>12</v>
      </c>
      <c r="F5549" s="133" t="s">
        <v>11</v>
      </c>
      <c r="G5549" s="134" t="n">
        <f aca="false">LEN('Saisie programme'!$G$208)+SUMIFS('Vols additionnels'!$E$7:$E$66,'Vols additionnels'!$C$7:$C$66,$E5549,'Vols additionnels'!$D$7:$D$66,$F5549,'Vols additionnels'!$B$7:$B$66,$D5549)</f>
        <v>1</v>
      </c>
      <c r="H5549" s="135" t="n">
        <f aca="false">$G5549*'Analyse capacite'!$F$7</f>
        <v>438</v>
      </c>
      <c r="I5549" s="135" t="n">
        <f aca="false">$G5549*'Analyse capacite'!$C$7</f>
        <v>14</v>
      </c>
      <c r="J5549" s="135" t="n">
        <f aca="false">$G5549*'Analyse capacite'!$D$7</f>
        <v>40</v>
      </c>
      <c r="K5549" s="135" t="n">
        <f aca="false">$G5549*'Analyse capacite'!$E$7</f>
        <v>384</v>
      </c>
    </row>
    <row r="5550" customFormat="false" ht="15" hidden="false" customHeight="false" outlineLevel="0" collapsed="false">
      <c r="B5550" s="130" t="n">
        <v>2027</v>
      </c>
      <c r="C5550" s="131" t="s">
        <v>251</v>
      </c>
      <c r="D5550" s="132" t="n">
        <v>46632</v>
      </c>
      <c r="E5550" s="131" t="s">
        <v>12</v>
      </c>
      <c r="F5550" s="133" t="s">
        <v>19</v>
      </c>
      <c r="G5550" s="134" t="n">
        <f aca="false">LEN('Saisie programme'!$G$209)+SUMIFS('Vols additionnels'!$E$7:$E$66,'Vols additionnels'!$C$7:$C$66,$E5550,'Vols additionnels'!$D$7:$D$66,$F5550,'Vols additionnels'!$B$7:$B$66,$D5550)</f>
        <v>0</v>
      </c>
      <c r="H5550" s="135" t="n">
        <f aca="false">$G5550*'Analyse capacite'!$F$8</f>
        <v>0</v>
      </c>
      <c r="I5550" s="135" t="n">
        <f aca="false">$G5550*'Analyse capacite'!$C$8</f>
        <v>0</v>
      </c>
      <c r="J5550" s="135" t="n">
        <f aca="false">$G5550*'Analyse capacite'!$D$8</f>
        <v>0</v>
      </c>
      <c r="K5550" s="135" t="n">
        <f aca="false">$G5550*'Analyse capacite'!$E$8</f>
        <v>0</v>
      </c>
    </row>
    <row r="5551" customFormat="false" ht="15" hidden="false" customHeight="false" outlineLevel="0" collapsed="false">
      <c r="B5551" s="130" t="n">
        <v>2027</v>
      </c>
      <c r="C5551" s="131" t="s">
        <v>251</v>
      </c>
      <c r="D5551" s="132" t="n">
        <v>46632</v>
      </c>
      <c r="E5551" s="131" t="s">
        <v>12</v>
      </c>
      <c r="F5551" s="133" t="s">
        <v>24</v>
      </c>
      <c r="G5551" s="134" t="n">
        <f aca="false">LEN('Saisie programme'!$G$210)+SUMIFS('Vols additionnels'!$E$7:$E$66,'Vols additionnels'!$C$7:$C$66,$E5551,'Vols additionnels'!$D$7:$D$66,$F5551,'Vols additionnels'!$B$7:$B$66,$D5551)</f>
        <v>0</v>
      </c>
      <c r="H5551" s="135" t="n">
        <f aca="false">$G5551*'Analyse capacite'!$F$9</f>
        <v>0</v>
      </c>
      <c r="I5551" s="135" t="n">
        <f aca="false">$G5551*'Analyse capacite'!$C$9</f>
        <v>0</v>
      </c>
      <c r="J5551" s="135" t="n">
        <f aca="false">$G5551*'Analyse capacite'!$D$9</f>
        <v>0</v>
      </c>
      <c r="K5551" s="135" t="n">
        <f aca="false">$G5551*'Analyse capacite'!$E$9</f>
        <v>0</v>
      </c>
    </row>
    <row r="5552" customFormat="false" ht="15" hidden="false" customHeight="false" outlineLevel="0" collapsed="false">
      <c r="B5552" s="130" t="n">
        <v>2027</v>
      </c>
      <c r="C5552" s="131" t="s">
        <v>251</v>
      </c>
      <c r="D5552" s="132" t="n">
        <v>46632</v>
      </c>
      <c r="E5552" s="131" t="s">
        <v>20</v>
      </c>
      <c r="F5552" s="133" t="s">
        <v>11</v>
      </c>
      <c r="G5552" s="134" t="n">
        <f aca="false">LEN('Saisie programme'!$G$211)+SUMIFS('Vols additionnels'!$E$7:$E$66,'Vols additionnels'!$C$7:$C$66,$E5552,'Vols additionnels'!$D$7:$D$66,$F5552,'Vols additionnels'!$B$7:$B$66,$D5552)</f>
        <v>0</v>
      </c>
      <c r="H5552" s="135" t="n">
        <f aca="false">$G5552*'Analyse capacite'!$F$7</f>
        <v>0</v>
      </c>
      <c r="I5552" s="135" t="n">
        <f aca="false">$G5552*'Analyse capacite'!$C$7</f>
        <v>0</v>
      </c>
      <c r="J5552" s="135" t="n">
        <f aca="false">$G5552*'Analyse capacite'!$D$7</f>
        <v>0</v>
      </c>
      <c r="K5552" s="135" t="n">
        <f aca="false">$G5552*'Analyse capacite'!$E$7</f>
        <v>0</v>
      </c>
    </row>
    <row r="5553" customFormat="false" ht="15" hidden="false" customHeight="false" outlineLevel="0" collapsed="false">
      <c r="B5553" s="130" t="n">
        <v>2027</v>
      </c>
      <c r="C5553" s="131" t="s">
        <v>251</v>
      </c>
      <c r="D5553" s="132" t="n">
        <v>46632</v>
      </c>
      <c r="E5553" s="131" t="s">
        <v>20</v>
      </c>
      <c r="F5553" s="133" t="s">
        <v>19</v>
      </c>
      <c r="G5553" s="134" t="n">
        <f aca="false">LEN('Saisie programme'!$G$212)+SUMIFS('Vols additionnels'!$E$7:$E$66,'Vols additionnels'!$C$7:$C$66,$E5553,'Vols additionnels'!$D$7:$D$66,$F5553,'Vols additionnels'!$B$7:$B$66,$D5553)</f>
        <v>0</v>
      </c>
      <c r="H5553" s="135" t="n">
        <f aca="false">$G5553*'Analyse capacite'!$F$8</f>
        <v>0</v>
      </c>
      <c r="I5553" s="135" t="n">
        <f aca="false">$G5553*'Analyse capacite'!$C$8</f>
        <v>0</v>
      </c>
      <c r="J5553" s="135" t="n">
        <f aca="false">$G5553*'Analyse capacite'!$D$8</f>
        <v>0</v>
      </c>
      <c r="K5553" s="135" t="n">
        <f aca="false">$G5553*'Analyse capacite'!$E$8</f>
        <v>0</v>
      </c>
    </row>
    <row r="5554" customFormat="false" ht="15" hidden="false" customHeight="false" outlineLevel="0" collapsed="false">
      <c r="B5554" s="130" t="n">
        <v>2027</v>
      </c>
      <c r="C5554" s="131" t="s">
        <v>251</v>
      </c>
      <c r="D5554" s="132" t="n">
        <v>46632</v>
      </c>
      <c r="E5554" s="131" t="s">
        <v>20</v>
      </c>
      <c r="F5554" s="133" t="s">
        <v>24</v>
      </c>
      <c r="G5554" s="134" t="n">
        <f aca="false">LEN('Saisie programme'!$G$213)+SUMIFS('Vols additionnels'!$E$7:$E$66,'Vols additionnels'!$C$7:$C$66,$E5554,'Vols additionnels'!$D$7:$D$66,$F5554,'Vols additionnels'!$B$7:$B$66,$D5554)</f>
        <v>0</v>
      </c>
      <c r="H5554" s="135" t="n">
        <f aca="false">$G5554*'Analyse capacite'!$F$9</f>
        <v>0</v>
      </c>
      <c r="I5554" s="135" t="n">
        <f aca="false">$G5554*'Analyse capacite'!$C$9</f>
        <v>0</v>
      </c>
      <c r="J5554" s="135" t="n">
        <f aca="false">$G5554*'Analyse capacite'!$D$9</f>
        <v>0</v>
      </c>
      <c r="K5554" s="135" t="n">
        <f aca="false">$G5554*'Analyse capacite'!$E$9</f>
        <v>0</v>
      </c>
    </row>
    <row r="5555" customFormat="false" ht="15" hidden="false" customHeight="false" outlineLevel="0" collapsed="false">
      <c r="B5555" s="130" t="n">
        <v>2027</v>
      </c>
      <c r="C5555" s="131" t="s">
        <v>251</v>
      </c>
      <c r="D5555" s="132" t="n">
        <v>46632</v>
      </c>
      <c r="E5555" s="131" t="s">
        <v>25</v>
      </c>
      <c r="F5555" s="133" t="s">
        <v>11</v>
      </c>
      <c r="G5555" s="134" t="n">
        <f aca="false">LEN('Saisie programme'!$G$214)+SUMIFS('Vols additionnels'!$E$7:$E$66,'Vols additionnels'!$C$7:$C$66,$E5555,'Vols additionnels'!$D$7:$D$66,$F5555,'Vols additionnels'!$B$7:$B$66,$D5555)</f>
        <v>0</v>
      </c>
      <c r="H5555" s="135" t="n">
        <f aca="false">$G5555*'Analyse capacite'!$F$7</f>
        <v>0</v>
      </c>
      <c r="I5555" s="135" t="n">
        <f aca="false">$G5555*'Analyse capacite'!$C$7</f>
        <v>0</v>
      </c>
      <c r="J5555" s="135" t="n">
        <f aca="false">$G5555*'Analyse capacite'!$D$7</f>
        <v>0</v>
      </c>
      <c r="K5555" s="135" t="n">
        <f aca="false">$G5555*'Analyse capacite'!$E$7</f>
        <v>0</v>
      </c>
    </row>
    <row r="5556" customFormat="false" ht="15" hidden="false" customHeight="false" outlineLevel="0" collapsed="false">
      <c r="B5556" s="130" t="n">
        <v>2027</v>
      </c>
      <c r="C5556" s="131" t="s">
        <v>251</v>
      </c>
      <c r="D5556" s="132" t="n">
        <v>46632</v>
      </c>
      <c r="E5556" s="131" t="s">
        <v>25</v>
      </c>
      <c r="F5556" s="133" t="s">
        <v>19</v>
      </c>
      <c r="G5556" s="134" t="n">
        <f aca="false">LEN('Saisie programme'!$G$215)+SUMIFS('Vols additionnels'!$E$7:$E$66,'Vols additionnels'!$C$7:$C$66,$E5556,'Vols additionnels'!$D$7:$D$66,$F5556,'Vols additionnels'!$B$7:$B$66,$D5556)</f>
        <v>0</v>
      </c>
      <c r="H5556" s="135" t="n">
        <f aca="false">$G5556*'Analyse capacite'!$F$8</f>
        <v>0</v>
      </c>
      <c r="I5556" s="135" t="n">
        <f aca="false">$G5556*'Analyse capacite'!$C$8</f>
        <v>0</v>
      </c>
      <c r="J5556" s="135" t="n">
        <f aca="false">$G5556*'Analyse capacite'!$D$8</f>
        <v>0</v>
      </c>
      <c r="K5556" s="135" t="n">
        <f aca="false">$G5556*'Analyse capacite'!$E$8</f>
        <v>0</v>
      </c>
    </row>
    <row r="5557" customFormat="false" ht="15" hidden="false" customHeight="false" outlineLevel="0" collapsed="false">
      <c r="B5557" s="130" t="n">
        <v>2027</v>
      </c>
      <c r="C5557" s="131" t="s">
        <v>251</v>
      </c>
      <c r="D5557" s="132" t="n">
        <v>46632</v>
      </c>
      <c r="E5557" s="131" t="s">
        <v>25</v>
      </c>
      <c r="F5557" s="133" t="s">
        <v>24</v>
      </c>
      <c r="G5557" s="134" t="n">
        <f aca="false">LEN('Saisie programme'!$G$216)+SUMIFS('Vols additionnels'!$E$7:$E$66,'Vols additionnels'!$C$7:$C$66,$E5557,'Vols additionnels'!$D$7:$D$66,$F5557,'Vols additionnels'!$B$7:$B$66,$D5557)</f>
        <v>0</v>
      </c>
      <c r="H5557" s="135" t="n">
        <f aca="false">$G5557*'Analyse capacite'!$F$9</f>
        <v>0</v>
      </c>
      <c r="I5557" s="135" t="n">
        <f aca="false">$G5557*'Analyse capacite'!$C$9</f>
        <v>0</v>
      </c>
      <c r="J5557" s="135" t="n">
        <f aca="false">$G5557*'Analyse capacite'!$D$9</f>
        <v>0</v>
      </c>
      <c r="K5557" s="135" t="n">
        <f aca="false">$G5557*'Analyse capacite'!$E$9</f>
        <v>0</v>
      </c>
    </row>
    <row r="5558" customFormat="false" ht="15" hidden="false" customHeight="false" outlineLevel="0" collapsed="false">
      <c r="B5558" s="130" t="n">
        <v>2027</v>
      </c>
      <c r="C5558" s="131" t="s">
        <v>251</v>
      </c>
      <c r="D5558" s="132" t="n">
        <v>46632</v>
      </c>
      <c r="E5558" s="131" t="s">
        <v>36</v>
      </c>
      <c r="F5558" s="133" t="s">
        <v>11</v>
      </c>
      <c r="G5558" s="134" t="n">
        <f aca="false">LEN('Saisie programme'!$G$217)+SUMIFS('Vols additionnels'!$E$7:$E$66,'Vols additionnels'!$C$7:$C$66,$E5558,'Vols additionnels'!$D$7:$D$66,$F5558,'Vols additionnels'!$B$7:$B$66,$D5558)</f>
        <v>0</v>
      </c>
      <c r="H5558" s="135" t="n">
        <f aca="false">$G5558*'Analyse capacite'!$F$7</f>
        <v>0</v>
      </c>
      <c r="I5558" s="135" t="n">
        <f aca="false">$G5558*'Analyse capacite'!$C$7</f>
        <v>0</v>
      </c>
      <c r="J5558" s="135" t="n">
        <f aca="false">$G5558*'Analyse capacite'!$D$7</f>
        <v>0</v>
      </c>
      <c r="K5558" s="135" t="n">
        <f aca="false">$G5558*'Analyse capacite'!$E$7</f>
        <v>0</v>
      </c>
    </row>
    <row r="5559" customFormat="false" ht="15" hidden="false" customHeight="false" outlineLevel="0" collapsed="false">
      <c r="B5559" s="130" t="n">
        <v>2027</v>
      </c>
      <c r="C5559" s="131" t="s">
        <v>251</v>
      </c>
      <c r="D5559" s="132" t="n">
        <v>46632</v>
      </c>
      <c r="E5559" s="131" t="s">
        <v>36</v>
      </c>
      <c r="F5559" s="133" t="s">
        <v>19</v>
      </c>
      <c r="G5559" s="134" t="n">
        <f aca="false">LEN('Saisie programme'!$G$218)+SUMIFS('Vols additionnels'!$E$7:$E$66,'Vols additionnels'!$C$7:$C$66,$E5559,'Vols additionnels'!$D$7:$D$66,$F5559,'Vols additionnels'!$B$7:$B$66,$D5559)</f>
        <v>0</v>
      </c>
      <c r="H5559" s="135" t="n">
        <f aca="false">$G5559*'Analyse capacite'!$F$8</f>
        <v>0</v>
      </c>
      <c r="I5559" s="135" t="n">
        <f aca="false">$G5559*'Analyse capacite'!$C$8</f>
        <v>0</v>
      </c>
      <c r="J5559" s="135" t="n">
        <f aca="false">$G5559*'Analyse capacite'!$D$8</f>
        <v>0</v>
      </c>
      <c r="K5559" s="135" t="n">
        <f aca="false">$G5559*'Analyse capacite'!$E$8</f>
        <v>0</v>
      </c>
    </row>
    <row r="5560" customFormat="false" ht="15" hidden="false" customHeight="false" outlineLevel="0" collapsed="false">
      <c r="B5560" s="130" t="n">
        <v>2027</v>
      </c>
      <c r="C5560" s="131" t="s">
        <v>251</v>
      </c>
      <c r="D5560" s="132" t="n">
        <v>46632</v>
      </c>
      <c r="E5560" s="131" t="s">
        <v>36</v>
      </c>
      <c r="F5560" s="133" t="s">
        <v>24</v>
      </c>
      <c r="G5560" s="134" t="n">
        <f aca="false">LEN('Saisie programme'!$G$219)+SUMIFS('Vols additionnels'!$E$7:$E$66,'Vols additionnels'!$C$7:$C$66,$E5560,'Vols additionnels'!$D$7:$D$66,$F5560,'Vols additionnels'!$B$7:$B$66,$D5560)</f>
        <v>1</v>
      </c>
      <c r="H5560" s="135" t="n">
        <f aca="false">$G5560*'Analyse capacite'!$F$9</f>
        <v>174</v>
      </c>
      <c r="I5560" s="135" t="n">
        <f aca="false">$G5560*'Analyse capacite'!$C$9</f>
        <v>0</v>
      </c>
      <c r="J5560" s="135" t="n">
        <f aca="false">$G5560*'Analyse capacite'!$D$9</f>
        <v>12</v>
      </c>
      <c r="K5560" s="135" t="n">
        <f aca="false">$G5560*'Analyse capacite'!$E$9</f>
        <v>162</v>
      </c>
    </row>
    <row r="5561" customFormat="false" ht="15" hidden="false" customHeight="false" outlineLevel="0" collapsed="false">
      <c r="B5561" s="130" t="n">
        <v>2027</v>
      </c>
      <c r="C5561" s="131" t="s">
        <v>251</v>
      </c>
      <c r="D5561" s="132" t="n">
        <v>46632</v>
      </c>
      <c r="E5561" s="131" t="s">
        <v>40</v>
      </c>
      <c r="F5561" s="133" t="s">
        <v>11</v>
      </c>
      <c r="G5561" s="134" t="n">
        <f aca="false">LEN('Saisie programme'!$G$220)+SUMIFS('Vols additionnels'!$E$7:$E$66,'Vols additionnels'!$C$7:$C$66,$E5561,'Vols additionnels'!$D$7:$D$66,$F5561,'Vols additionnels'!$B$7:$B$66,$D5561)</f>
        <v>0</v>
      </c>
      <c r="H5561" s="135" t="n">
        <f aca="false">$G5561*'Analyse capacite'!$F$7</f>
        <v>0</v>
      </c>
      <c r="I5561" s="135" t="n">
        <f aca="false">$G5561*'Analyse capacite'!$C$7</f>
        <v>0</v>
      </c>
      <c r="J5561" s="135" t="n">
        <f aca="false">$G5561*'Analyse capacite'!$D$7</f>
        <v>0</v>
      </c>
      <c r="K5561" s="135" t="n">
        <f aca="false">$G5561*'Analyse capacite'!$E$7</f>
        <v>0</v>
      </c>
    </row>
    <row r="5562" customFormat="false" ht="15" hidden="false" customHeight="false" outlineLevel="0" collapsed="false">
      <c r="B5562" s="130" t="n">
        <v>2027</v>
      </c>
      <c r="C5562" s="131" t="s">
        <v>251</v>
      </c>
      <c r="D5562" s="132" t="n">
        <v>46632</v>
      </c>
      <c r="E5562" s="131" t="s">
        <v>40</v>
      </c>
      <c r="F5562" s="133" t="s">
        <v>19</v>
      </c>
      <c r="G5562" s="134" t="n">
        <f aca="false">LEN('Saisie programme'!$G$221)+SUMIFS('Vols additionnels'!$E$7:$E$66,'Vols additionnels'!$C$7:$C$66,$E5562,'Vols additionnels'!$D$7:$D$66,$F5562,'Vols additionnels'!$B$7:$B$66,$D5562)</f>
        <v>0</v>
      </c>
      <c r="H5562" s="135" t="n">
        <f aca="false">$G5562*'Analyse capacite'!$F$8</f>
        <v>0</v>
      </c>
      <c r="I5562" s="135" t="n">
        <f aca="false">$G5562*'Analyse capacite'!$C$8</f>
        <v>0</v>
      </c>
      <c r="J5562" s="135" t="n">
        <f aca="false">$G5562*'Analyse capacite'!$D$8</f>
        <v>0</v>
      </c>
      <c r="K5562" s="135" t="n">
        <f aca="false">$G5562*'Analyse capacite'!$E$8</f>
        <v>0</v>
      </c>
    </row>
    <row r="5563" customFormat="false" ht="15" hidden="false" customHeight="false" outlineLevel="0" collapsed="false">
      <c r="B5563" s="130" t="n">
        <v>2027</v>
      </c>
      <c r="C5563" s="131" t="s">
        <v>251</v>
      </c>
      <c r="D5563" s="132" t="n">
        <v>46632</v>
      </c>
      <c r="E5563" s="131" t="s">
        <v>40</v>
      </c>
      <c r="F5563" s="133" t="s">
        <v>24</v>
      </c>
      <c r="G5563" s="134" t="n">
        <f aca="false">LEN('Saisie programme'!$G$222)+SUMIFS('Vols additionnels'!$E$7:$E$66,'Vols additionnels'!$C$7:$C$66,$E5563,'Vols additionnels'!$D$7:$D$66,$F5563,'Vols additionnels'!$B$7:$B$66,$D5563)</f>
        <v>0</v>
      </c>
      <c r="H5563" s="135" t="n">
        <f aca="false">$G5563*'Analyse capacite'!$F$9</f>
        <v>0</v>
      </c>
      <c r="I5563" s="135" t="n">
        <f aca="false">$G5563*'Analyse capacite'!$C$9</f>
        <v>0</v>
      </c>
      <c r="J5563" s="135" t="n">
        <f aca="false">$G5563*'Analyse capacite'!$D$9</f>
        <v>0</v>
      </c>
      <c r="K5563" s="135" t="n">
        <f aca="false">$G5563*'Analyse capacite'!$E$9</f>
        <v>0</v>
      </c>
    </row>
    <row r="5564" customFormat="false" ht="15" hidden="false" customHeight="false" outlineLevel="0" collapsed="false">
      <c r="B5564" s="130" t="n">
        <v>2027</v>
      </c>
      <c r="C5564" s="131" t="s">
        <v>251</v>
      </c>
      <c r="D5564" s="132" t="n">
        <v>46632</v>
      </c>
      <c r="E5564" s="131" t="s">
        <v>14</v>
      </c>
      <c r="F5564" s="133" t="s">
        <v>11</v>
      </c>
      <c r="G5564" s="134" t="n">
        <f aca="false">LEN('Saisie programme'!$G$223)+SUMIFS('Vols additionnels'!$E$7:$E$66,'Vols additionnels'!$C$7:$C$66,$E5564,'Vols additionnels'!$D$7:$D$66,$F5564,'Vols additionnels'!$B$7:$B$66,$D5564)</f>
        <v>0</v>
      </c>
      <c r="H5564" s="135" t="n">
        <f aca="false">$G5564*'Analyse capacite'!$F$7</f>
        <v>0</v>
      </c>
      <c r="I5564" s="135" t="n">
        <f aca="false">$G5564*'Analyse capacite'!$C$7</f>
        <v>0</v>
      </c>
      <c r="J5564" s="135" t="n">
        <f aca="false">$G5564*'Analyse capacite'!$D$7</f>
        <v>0</v>
      </c>
      <c r="K5564" s="135" t="n">
        <f aca="false">$G5564*'Analyse capacite'!$E$7</f>
        <v>0</v>
      </c>
    </row>
    <row r="5565" customFormat="false" ht="15" hidden="false" customHeight="false" outlineLevel="0" collapsed="false">
      <c r="B5565" s="130" t="n">
        <v>2027</v>
      </c>
      <c r="C5565" s="131" t="s">
        <v>251</v>
      </c>
      <c r="D5565" s="132" t="n">
        <v>46632</v>
      </c>
      <c r="E5565" s="131" t="s">
        <v>14</v>
      </c>
      <c r="F5565" s="133" t="s">
        <v>19</v>
      </c>
      <c r="G5565" s="134" t="n">
        <f aca="false">LEN('Saisie programme'!$G$224)+SUMIFS('Vols additionnels'!$E$7:$E$66,'Vols additionnels'!$C$7:$C$66,$E5565,'Vols additionnels'!$D$7:$D$66,$F5565,'Vols additionnels'!$B$7:$B$66,$D5565)</f>
        <v>0</v>
      </c>
      <c r="H5565" s="135" t="n">
        <f aca="false">$G5565*'Analyse capacite'!$F$8</f>
        <v>0</v>
      </c>
      <c r="I5565" s="135" t="n">
        <f aca="false">$G5565*'Analyse capacite'!$C$8</f>
        <v>0</v>
      </c>
      <c r="J5565" s="135" t="n">
        <f aca="false">$G5565*'Analyse capacite'!$D$8</f>
        <v>0</v>
      </c>
      <c r="K5565" s="135" t="n">
        <f aca="false">$G5565*'Analyse capacite'!$E$8</f>
        <v>0</v>
      </c>
    </row>
    <row r="5566" customFormat="false" ht="15" hidden="false" customHeight="false" outlineLevel="0" collapsed="false">
      <c r="B5566" s="130" t="n">
        <v>2027</v>
      </c>
      <c r="C5566" s="131" t="s">
        <v>251</v>
      </c>
      <c r="D5566" s="132" t="n">
        <v>46632</v>
      </c>
      <c r="E5566" s="131" t="s">
        <v>14</v>
      </c>
      <c r="F5566" s="133" t="s">
        <v>24</v>
      </c>
      <c r="G5566" s="134" t="n">
        <f aca="false">LEN('Saisie programme'!$G$225)+SUMIFS('Vols additionnels'!$E$7:$E$66,'Vols additionnels'!$C$7:$C$66,$E5566,'Vols additionnels'!$D$7:$D$66,$F5566,'Vols additionnels'!$B$7:$B$66,$D5566)</f>
        <v>1</v>
      </c>
      <c r="H5566" s="135" t="n">
        <f aca="false">$G5566*'Analyse capacite'!$F$9</f>
        <v>174</v>
      </c>
      <c r="I5566" s="135" t="n">
        <f aca="false">$G5566*'Analyse capacite'!$C$9</f>
        <v>0</v>
      </c>
      <c r="J5566" s="135" t="n">
        <f aca="false">$G5566*'Analyse capacite'!$D$9</f>
        <v>12</v>
      </c>
      <c r="K5566" s="135" t="n">
        <f aca="false">$G5566*'Analyse capacite'!$E$9</f>
        <v>162</v>
      </c>
    </row>
    <row r="5567" customFormat="false" ht="15" hidden="false" customHeight="false" outlineLevel="0" collapsed="false">
      <c r="B5567" s="130" t="n">
        <v>2027</v>
      </c>
      <c r="C5567" s="131" t="s">
        <v>251</v>
      </c>
      <c r="D5567" s="132" t="n">
        <v>46632</v>
      </c>
      <c r="E5567" s="131" t="s">
        <v>46</v>
      </c>
      <c r="F5567" s="133" t="s">
        <v>11</v>
      </c>
      <c r="G5567" s="134" t="n">
        <f aca="false">LEN('Saisie programme'!$G$226)+SUMIFS('Vols additionnels'!$E$7:$E$66,'Vols additionnels'!$C$7:$C$66,$E5567,'Vols additionnels'!$D$7:$D$66,$F5567,'Vols additionnels'!$B$7:$B$66,$D5567)</f>
        <v>0</v>
      </c>
      <c r="H5567" s="135" t="n">
        <f aca="false">$G5567*'Analyse capacite'!$F$7</f>
        <v>0</v>
      </c>
      <c r="I5567" s="135" t="n">
        <f aca="false">$G5567*'Analyse capacite'!$C$7</f>
        <v>0</v>
      </c>
      <c r="J5567" s="135" t="n">
        <f aca="false">$G5567*'Analyse capacite'!$D$7</f>
        <v>0</v>
      </c>
      <c r="K5567" s="135" t="n">
        <f aca="false">$G5567*'Analyse capacite'!$E$7</f>
        <v>0</v>
      </c>
    </row>
    <row r="5568" customFormat="false" ht="15" hidden="false" customHeight="false" outlineLevel="0" collapsed="false">
      <c r="B5568" s="130" t="n">
        <v>2027</v>
      </c>
      <c r="C5568" s="131" t="s">
        <v>251</v>
      </c>
      <c r="D5568" s="132" t="n">
        <v>46632</v>
      </c>
      <c r="E5568" s="131" t="s">
        <v>46</v>
      </c>
      <c r="F5568" s="133" t="s">
        <v>19</v>
      </c>
      <c r="G5568" s="134" t="n">
        <f aca="false">LEN('Saisie programme'!$G$227)+SUMIFS('Vols additionnels'!$E$7:$E$66,'Vols additionnels'!$C$7:$C$66,$E5568,'Vols additionnels'!$D$7:$D$66,$F5568,'Vols additionnels'!$B$7:$B$66,$D5568)</f>
        <v>0</v>
      </c>
      <c r="H5568" s="135" t="n">
        <f aca="false">$G5568*'Analyse capacite'!$F$8</f>
        <v>0</v>
      </c>
      <c r="I5568" s="135" t="n">
        <f aca="false">$G5568*'Analyse capacite'!$C$8</f>
        <v>0</v>
      </c>
      <c r="J5568" s="135" t="n">
        <f aca="false">$G5568*'Analyse capacite'!$D$8</f>
        <v>0</v>
      </c>
      <c r="K5568" s="135" t="n">
        <f aca="false">$G5568*'Analyse capacite'!$E$8</f>
        <v>0</v>
      </c>
    </row>
    <row r="5569" customFormat="false" ht="15" hidden="false" customHeight="false" outlineLevel="0" collapsed="false">
      <c r="B5569" s="130" t="n">
        <v>2027</v>
      </c>
      <c r="C5569" s="131" t="s">
        <v>251</v>
      </c>
      <c r="D5569" s="132" t="n">
        <v>46632</v>
      </c>
      <c r="E5569" s="131" t="s">
        <v>46</v>
      </c>
      <c r="F5569" s="133" t="s">
        <v>24</v>
      </c>
      <c r="G5569" s="134" t="n">
        <f aca="false">LEN('Saisie programme'!$G$228)+SUMIFS('Vols additionnels'!$E$7:$E$66,'Vols additionnels'!$C$7:$C$66,$E5569,'Vols additionnels'!$D$7:$D$66,$F5569,'Vols additionnels'!$B$7:$B$66,$D5569)</f>
        <v>1</v>
      </c>
      <c r="H5569" s="135" t="n">
        <f aca="false">$G5569*'Analyse capacite'!$F$9</f>
        <v>174</v>
      </c>
      <c r="I5569" s="135" t="n">
        <f aca="false">$G5569*'Analyse capacite'!$C$9</f>
        <v>0</v>
      </c>
      <c r="J5569" s="135" t="n">
        <f aca="false">$G5569*'Analyse capacite'!$D$9</f>
        <v>12</v>
      </c>
      <c r="K5569" s="135" t="n">
        <f aca="false">$G5569*'Analyse capacite'!$E$9</f>
        <v>162</v>
      </c>
    </row>
    <row r="5570" customFormat="false" ht="15" hidden="false" customHeight="false" outlineLevel="0" collapsed="false">
      <c r="B5570" s="130" t="n">
        <v>2027</v>
      </c>
      <c r="C5570" s="131" t="s">
        <v>251</v>
      </c>
      <c r="D5570" s="132" t="n">
        <v>46632</v>
      </c>
      <c r="E5570" s="131" t="s">
        <v>49</v>
      </c>
      <c r="F5570" s="133" t="s">
        <v>11</v>
      </c>
      <c r="G5570" s="134" t="n">
        <f aca="false">LEN('Saisie programme'!$G$229)+SUMIFS('Vols additionnels'!$E$7:$E$66,'Vols additionnels'!$C$7:$C$66,$E5570,'Vols additionnels'!$D$7:$D$66,$F5570,'Vols additionnels'!$B$7:$B$66,$D5570)</f>
        <v>0</v>
      </c>
      <c r="H5570" s="135" t="n">
        <f aca="false">$G5570*'Analyse capacite'!$F$7</f>
        <v>0</v>
      </c>
      <c r="I5570" s="135" t="n">
        <f aca="false">$G5570*'Analyse capacite'!$C$7</f>
        <v>0</v>
      </c>
      <c r="J5570" s="135" t="n">
        <f aca="false">$G5570*'Analyse capacite'!$D$7</f>
        <v>0</v>
      </c>
      <c r="K5570" s="135" t="n">
        <f aca="false">$G5570*'Analyse capacite'!$E$7</f>
        <v>0</v>
      </c>
    </row>
    <row r="5571" customFormat="false" ht="15" hidden="false" customHeight="false" outlineLevel="0" collapsed="false">
      <c r="B5571" s="130" t="n">
        <v>2027</v>
      </c>
      <c r="C5571" s="131" t="s">
        <v>251</v>
      </c>
      <c r="D5571" s="132" t="n">
        <v>46632</v>
      </c>
      <c r="E5571" s="131" t="s">
        <v>49</v>
      </c>
      <c r="F5571" s="133" t="s">
        <v>19</v>
      </c>
      <c r="G5571" s="134" t="n">
        <f aca="false">LEN('Saisie programme'!$G$230)+SUMIFS('Vols additionnels'!$E$7:$E$66,'Vols additionnels'!$C$7:$C$66,$E5571,'Vols additionnels'!$D$7:$D$66,$F5571,'Vols additionnels'!$B$7:$B$66,$D5571)</f>
        <v>0</v>
      </c>
      <c r="H5571" s="135" t="n">
        <f aca="false">$G5571*'Analyse capacite'!$F$8</f>
        <v>0</v>
      </c>
      <c r="I5571" s="135" t="n">
        <f aca="false">$G5571*'Analyse capacite'!$C$8</f>
        <v>0</v>
      </c>
      <c r="J5571" s="135" t="n">
        <f aca="false">$G5571*'Analyse capacite'!$D$8</f>
        <v>0</v>
      </c>
      <c r="K5571" s="135" t="n">
        <f aca="false">$G5571*'Analyse capacite'!$E$8</f>
        <v>0</v>
      </c>
    </row>
    <row r="5572" customFormat="false" ht="15" hidden="false" customHeight="false" outlineLevel="0" collapsed="false">
      <c r="B5572" s="130" t="n">
        <v>2027</v>
      </c>
      <c r="C5572" s="131" t="s">
        <v>251</v>
      </c>
      <c r="D5572" s="132" t="n">
        <v>46632</v>
      </c>
      <c r="E5572" s="131" t="s">
        <v>49</v>
      </c>
      <c r="F5572" s="133" t="s">
        <v>24</v>
      </c>
      <c r="G5572" s="134" t="n">
        <f aca="false">LEN('Saisie programme'!$G$231)+SUMIFS('Vols additionnels'!$E$7:$E$66,'Vols additionnels'!$C$7:$C$66,$E5572,'Vols additionnels'!$D$7:$D$66,$F5572,'Vols additionnels'!$B$7:$B$66,$D5572)</f>
        <v>0</v>
      </c>
      <c r="H5572" s="135" t="n">
        <f aca="false">$G5572*'Analyse capacite'!$F$9</f>
        <v>0</v>
      </c>
      <c r="I5572" s="135" t="n">
        <f aca="false">$G5572*'Analyse capacite'!$C$9</f>
        <v>0</v>
      </c>
      <c r="J5572" s="135" t="n">
        <f aca="false">$G5572*'Analyse capacite'!$D$9</f>
        <v>0</v>
      </c>
      <c r="K5572" s="135" t="n">
        <f aca="false">$G5572*'Analyse capacite'!$E$9</f>
        <v>0</v>
      </c>
    </row>
    <row r="5573" customFormat="false" ht="15" hidden="false" customHeight="false" outlineLevel="0" collapsed="false">
      <c r="B5573" s="130" t="n">
        <v>2027</v>
      </c>
      <c r="C5573" s="131" t="s">
        <v>251</v>
      </c>
      <c r="D5573" s="132" t="n">
        <v>46632</v>
      </c>
      <c r="E5573" s="131" t="s">
        <v>53</v>
      </c>
      <c r="F5573" s="133" t="s">
        <v>11</v>
      </c>
      <c r="G5573" s="134" t="n">
        <f aca="false">LEN('Saisie programme'!$G$232)+SUMIFS('Vols additionnels'!$E$7:$E$66,'Vols additionnels'!$C$7:$C$66,$E5573,'Vols additionnels'!$D$7:$D$66,$F5573,'Vols additionnels'!$B$7:$B$66,$D5573)</f>
        <v>0</v>
      </c>
      <c r="H5573" s="135" t="n">
        <f aca="false">$G5573*'Analyse capacite'!$F$7</f>
        <v>0</v>
      </c>
      <c r="I5573" s="135" t="n">
        <f aca="false">$G5573*'Analyse capacite'!$C$7</f>
        <v>0</v>
      </c>
      <c r="J5573" s="135" t="n">
        <f aca="false">$G5573*'Analyse capacite'!$D$7</f>
        <v>0</v>
      </c>
      <c r="K5573" s="135" t="n">
        <f aca="false">$G5573*'Analyse capacite'!$E$7</f>
        <v>0</v>
      </c>
    </row>
    <row r="5574" customFormat="false" ht="15" hidden="false" customHeight="false" outlineLevel="0" collapsed="false">
      <c r="B5574" s="130" t="n">
        <v>2027</v>
      </c>
      <c r="C5574" s="131" t="s">
        <v>251</v>
      </c>
      <c r="D5574" s="132" t="n">
        <v>46632</v>
      </c>
      <c r="E5574" s="131" t="s">
        <v>53</v>
      </c>
      <c r="F5574" s="133" t="s">
        <v>19</v>
      </c>
      <c r="G5574" s="134" t="n">
        <f aca="false">LEN('Saisie programme'!$G$233)+SUMIFS('Vols additionnels'!$E$7:$E$66,'Vols additionnels'!$C$7:$C$66,$E5574,'Vols additionnels'!$D$7:$D$66,$F5574,'Vols additionnels'!$B$7:$B$66,$D5574)</f>
        <v>1</v>
      </c>
      <c r="H5574" s="135" t="n">
        <f aca="false">$G5574*'Analyse capacite'!$F$8</f>
        <v>262</v>
      </c>
      <c r="I5574" s="135" t="n">
        <f aca="false">$G5574*'Analyse capacite'!$C$8</f>
        <v>18</v>
      </c>
      <c r="J5574" s="135" t="n">
        <f aca="false">$G5574*'Analyse capacite'!$D$8</f>
        <v>0</v>
      </c>
      <c r="K5574" s="135" t="n">
        <f aca="false">$G5574*'Analyse capacite'!$E$8</f>
        <v>244</v>
      </c>
    </row>
    <row r="5575" customFormat="false" ht="15" hidden="false" customHeight="false" outlineLevel="0" collapsed="false">
      <c r="B5575" s="130" t="n">
        <v>2027</v>
      </c>
      <c r="C5575" s="131" t="s">
        <v>251</v>
      </c>
      <c r="D5575" s="132" t="n">
        <v>46632</v>
      </c>
      <c r="E5575" s="131" t="s">
        <v>53</v>
      </c>
      <c r="F5575" s="133" t="s">
        <v>24</v>
      </c>
      <c r="G5575" s="134" t="n">
        <f aca="false">LEN('Saisie programme'!$G$234)+SUMIFS('Vols additionnels'!$E$7:$E$66,'Vols additionnels'!$C$7:$C$66,$E5575,'Vols additionnels'!$D$7:$D$66,$F5575,'Vols additionnels'!$B$7:$B$66,$D5575)</f>
        <v>0</v>
      </c>
      <c r="H5575" s="135" t="n">
        <f aca="false">$G5575*'Analyse capacite'!$F$9</f>
        <v>0</v>
      </c>
      <c r="I5575" s="135" t="n">
        <f aca="false">$G5575*'Analyse capacite'!$C$9</f>
        <v>0</v>
      </c>
      <c r="J5575" s="135" t="n">
        <f aca="false">$G5575*'Analyse capacite'!$D$9</f>
        <v>0</v>
      </c>
      <c r="K5575" s="135" t="n">
        <f aca="false">$G5575*'Analyse capacite'!$E$9</f>
        <v>0</v>
      </c>
    </row>
    <row r="5576" customFormat="false" ht="15" hidden="false" customHeight="false" outlineLevel="0" collapsed="false">
      <c r="B5576" s="130" t="n">
        <v>2027</v>
      </c>
      <c r="C5576" s="131" t="s">
        <v>251</v>
      </c>
      <c r="D5576" s="132" t="n">
        <v>46632</v>
      </c>
      <c r="E5576" s="131" t="s">
        <v>56</v>
      </c>
      <c r="F5576" s="133" t="s">
        <v>11</v>
      </c>
      <c r="G5576" s="134" t="n">
        <f aca="false">LEN('Saisie programme'!$G$235)+SUMIFS('Vols additionnels'!$E$7:$E$66,'Vols additionnels'!$C$7:$C$66,$E5576,'Vols additionnels'!$D$7:$D$66,$F5576,'Vols additionnels'!$B$7:$B$66,$D5576)</f>
        <v>0</v>
      </c>
      <c r="H5576" s="135" t="n">
        <f aca="false">$G5576*'Analyse capacite'!$F$7</f>
        <v>0</v>
      </c>
      <c r="I5576" s="135" t="n">
        <f aca="false">$G5576*'Analyse capacite'!$C$7</f>
        <v>0</v>
      </c>
      <c r="J5576" s="135" t="n">
        <f aca="false">$G5576*'Analyse capacite'!$D$7</f>
        <v>0</v>
      </c>
      <c r="K5576" s="135" t="n">
        <f aca="false">$G5576*'Analyse capacite'!$E$7</f>
        <v>0</v>
      </c>
    </row>
    <row r="5577" customFormat="false" ht="15" hidden="false" customHeight="false" outlineLevel="0" collapsed="false">
      <c r="B5577" s="130" t="n">
        <v>2027</v>
      </c>
      <c r="C5577" s="131" t="s">
        <v>251</v>
      </c>
      <c r="D5577" s="132" t="n">
        <v>46632</v>
      </c>
      <c r="E5577" s="131" t="s">
        <v>56</v>
      </c>
      <c r="F5577" s="133" t="s">
        <v>19</v>
      </c>
      <c r="G5577" s="134" t="n">
        <f aca="false">LEN('Saisie programme'!$G$236)+SUMIFS('Vols additionnels'!$E$7:$E$66,'Vols additionnels'!$C$7:$C$66,$E5577,'Vols additionnels'!$D$7:$D$66,$F5577,'Vols additionnels'!$B$7:$B$66,$D5577)</f>
        <v>0</v>
      </c>
      <c r="H5577" s="135" t="n">
        <f aca="false">$G5577*'Analyse capacite'!$F$8</f>
        <v>0</v>
      </c>
      <c r="I5577" s="135" t="n">
        <f aca="false">$G5577*'Analyse capacite'!$C$8</f>
        <v>0</v>
      </c>
      <c r="J5577" s="135" t="n">
        <f aca="false">$G5577*'Analyse capacite'!$D$8</f>
        <v>0</v>
      </c>
      <c r="K5577" s="135" t="n">
        <f aca="false">$G5577*'Analyse capacite'!$E$8</f>
        <v>0</v>
      </c>
    </row>
    <row r="5578" customFormat="false" ht="15" hidden="false" customHeight="false" outlineLevel="0" collapsed="false">
      <c r="B5578" s="130" t="n">
        <v>2027</v>
      </c>
      <c r="C5578" s="131" t="s">
        <v>251</v>
      </c>
      <c r="D5578" s="132" t="n">
        <v>46632</v>
      </c>
      <c r="E5578" s="131" t="s">
        <v>56</v>
      </c>
      <c r="F5578" s="133" t="s">
        <v>24</v>
      </c>
      <c r="G5578" s="134" t="n">
        <f aca="false">LEN('Saisie programme'!$G$237)+SUMIFS('Vols additionnels'!$E$7:$E$66,'Vols additionnels'!$C$7:$C$66,$E5578,'Vols additionnels'!$D$7:$D$66,$F5578,'Vols additionnels'!$B$7:$B$66,$D5578)</f>
        <v>0</v>
      </c>
      <c r="H5578" s="135" t="n">
        <f aca="false">$G5578*'Analyse capacite'!$F$9</f>
        <v>0</v>
      </c>
      <c r="I5578" s="135" t="n">
        <f aca="false">$G5578*'Analyse capacite'!$C$9</f>
        <v>0</v>
      </c>
      <c r="J5578" s="135" t="n">
        <f aca="false">$G5578*'Analyse capacite'!$D$9</f>
        <v>0</v>
      </c>
      <c r="K5578" s="135" t="n">
        <f aca="false">$G5578*'Analyse capacite'!$E$9</f>
        <v>0</v>
      </c>
    </row>
    <row r="5579" customFormat="false" ht="15" hidden="false" customHeight="false" outlineLevel="0" collapsed="false">
      <c r="B5579" s="130" t="n">
        <v>2027</v>
      </c>
      <c r="C5579" s="131" t="s">
        <v>251</v>
      </c>
      <c r="D5579" s="132" t="n">
        <v>46632</v>
      </c>
      <c r="E5579" s="131" t="s">
        <v>59</v>
      </c>
      <c r="F5579" s="133" t="s">
        <v>11</v>
      </c>
      <c r="G5579" s="134" t="n">
        <f aca="false">LEN('Saisie programme'!$G$238)+SUMIFS('Vols additionnels'!$E$7:$E$66,'Vols additionnels'!$C$7:$C$66,$E5579,'Vols additionnels'!$D$7:$D$66,$F5579,'Vols additionnels'!$B$7:$B$66,$D5579)</f>
        <v>0</v>
      </c>
      <c r="H5579" s="135" t="n">
        <f aca="false">$G5579*'Analyse capacite'!$F$7</f>
        <v>0</v>
      </c>
      <c r="I5579" s="135" t="n">
        <f aca="false">$G5579*'Analyse capacite'!$C$7</f>
        <v>0</v>
      </c>
      <c r="J5579" s="135" t="n">
        <f aca="false">$G5579*'Analyse capacite'!$D$7</f>
        <v>0</v>
      </c>
      <c r="K5579" s="135" t="n">
        <f aca="false">$G5579*'Analyse capacite'!$E$7</f>
        <v>0</v>
      </c>
    </row>
    <row r="5580" customFormat="false" ht="15" hidden="false" customHeight="false" outlineLevel="0" collapsed="false">
      <c r="B5580" s="130" t="n">
        <v>2027</v>
      </c>
      <c r="C5580" s="131" t="s">
        <v>251</v>
      </c>
      <c r="D5580" s="132" t="n">
        <v>46632</v>
      </c>
      <c r="E5580" s="131" t="s">
        <v>59</v>
      </c>
      <c r="F5580" s="133" t="s">
        <v>19</v>
      </c>
      <c r="G5580" s="134" t="n">
        <f aca="false">LEN('Saisie programme'!$G$239)+SUMIFS('Vols additionnels'!$E$7:$E$66,'Vols additionnels'!$C$7:$C$66,$E5580,'Vols additionnels'!$D$7:$D$66,$F5580,'Vols additionnels'!$B$7:$B$66,$D5580)</f>
        <v>0</v>
      </c>
      <c r="H5580" s="135" t="n">
        <f aca="false">$G5580*'Analyse capacite'!$F$8</f>
        <v>0</v>
      </c>
      <c r="I5580" s="135" t="n">
        <f aca="false">$G5580*'Analyse capacite'!$C$8</f>
        <v>0</v>
      </c>
      <c r="J5580" s="135" t="n">
        <f aca="false">$G5580*'Analyse capacite'!$D$8</f>
        <v>0</v>
      </c>
      <c r="K5580" s="135" t="n">
        <f aca="false">$G5580*'Analyse capacite'!$E$8</f>
        <v>0</v>
      </c>
    </row>
    <row r="5581" customFormat="false" ht="15" hidden="false" customHeight="false" outlineLevel="0" collapsed="false">
      <c r="B5581" s="130" t="n">
        <v>2027</v>
      </c>
      <c r="C5581" s="131" t="s">
        <v>251</v>
      </c>
      <c r="D5581" s="132" t="n">
        <v>46632</v>
      </c>
      <c r="E5581" s="131" t="s">
        <v>59</v>
      </c>
      <c r="F5581" s="133" t="s">
        <v>24</v>
      </c>
      <c r="G5581" s="134" t="n">
        <f aca="false">LEN('Saisie programme'!$G$240)+SUMIFS('Vols additionnels'!$E$7:$E$66,'Vols additionnels'!$C$7:$C$66,$E5581,'Vols additionnels'!$D$7:$D$66,$F5581,'Vols additionnels'!$B$7:$B$66,$D5581)</f>
        <v>2</v>
      </c>
      <c r="H5581" s="135" t="n">
        <f aca="false">$G5581*'Analyse capacite'!$F$9</f>
        <v>348</v>
      </c>
      <c r="I5581" s="135" t="n">
        <f aca="false">$G5581*'Analyse capacite'!$C$9</f>
        <v>0</v>
      </c>
      <c r="J5581" s="135" t="n">
        <f aca="false">$G5581*'Analyse capacite'!$D$9</f>
        <v>24</v>
      </c>
      <c r="K5581" s="135" t="n">
        <f aca="false">$G5581*'Analyse capacite'!$E$9</f>
        <v>324</v>
      </c>
    </row>
    <row r="5582" customFormat="false" ht="15" hidden="false" customHeight="false" outlineLevel="0" collapsed="false">
      <c r="B5582" s="130" t="n">
        <v>2027</v>
      </c>
      <c r="C5582" s="131" t="s">
        <v>251</v>
      </c>
      <c r="D5582" s="132" t="n">
        <v>46632</v>
      </c>
      <c r="E5582" s="131" t="s">
        <v>62</v>
      </c>
      <c r="F5582" s="133" t="s">
        <v>11</v>
      </c>
      <c r="G5582" s="134" t="n">
        <f aca="false">LEN('Saisie programme'!$G$241)+SUMIFS('Vols additionnels'!$E$7:$E$66,'Vols additionnels'!$C$7:$C$66,$E5582,'Vols additionnels'!$D$7:$D$66,$F5582,'Vols additionnels'!$B$7:$B$66,$D5582)</f>
        <v>0</v>
      </c>
      <c r="H5582" s="135" t="n">
        <f aca="false">$G5582*'Analyse capacite'!$F$7</f>
        <v>0</v>
      </c>
      <c r="I5582" s="135" t="n">
        <f aca="false">$G5582*'Analyse capacite'!$C$7</f>
        <v>0</v>
      </c>
      <c r="J5582" s="135" t="n">
        <f aca="false">$G5582*'Analyse capacite'!$D$7</f>
        <v>0</v>
      </c>
      <c r="K5582" s="135" t="n">
        <f aca="false">$G5582*'Analyse capacite'!$E$7</f>
        <v>0</v>
      </c>
    </row>
    <row r="5583" customFormat="false" ht="15" hidden="false" customHeight="false" outlineLevel="0" collapsed="false">
      <c r="B5583" s="130" t="n">
        <v>2027</v>
      </c>
      <c r="C5583" s="131" t="s">
        <v>251</v>
      </c>
      <c r="D5583" s="132" t="n">
        <v>46632</v>
      </c>
      <c r="E5583" s="131" t="s">
        <v>62</v>
      </c>
      <c r="F5583" s="133" t="s">
        <v>19</v>
      </c>
      <c r="G5583" s="134" t="n">
        <f aca="false">LEN('Saisie programme'!$G$242)+SUMIFS('Vols additionnels'!$E$7:$E$66,'Vols additionnels'!$C$7:$C$66,$E5583,'Vols additionnels'!$D$7:$D$66,$F5583,'Vols additionnels'!$B$7:$B$66,$D5583)</f>
        <v>0</v>
      </c>
      <c r="H5583" s="135" t="n">
        <f aca="false">$G5583*'Analyse capacite'!$F$8</f>
        <v>0</v>
      </c>
      <c r="I5583" s="135" t="n">
        <f aca="false">$G5583*'Analyse capacite'!$C$8</f>
        <v>0</v>
      </c>
      <c r="J5583" s="135" t="n">
        <f aca="false">$G5583*'Analyse capacite'!$D$8</f>
        <v>0</v>
      </c>
      <c r="K5583" s="135" t="n">
        <f aca="false">$G5583*'Analyse capacite'!$E$8</f>
        <v>0</v>
      </c>
    </row>
    <row r="5584" customFormat="false" ht="15" hidden="false" customHeight="false" outlineLevel="0" collapsed="false">
      <c r="B5584" s="130" t="n">
        <v>2027</v>
      </c>
      <c r="C5584" s="131" t="s">
        <v>251</v>
      </c>
      <c r="D5584" s="132" t="n">
        <v>46632</v>
      </c>
      <c r="E5584" s="131" t="s">
        <v>62</v>
      </c>
      <c r="F5584" s="133" t="s">
        <v>24</v>
      </c>
      <c r="G5584" s="134" t="n">
        <f aca="false">LEN('Saisie programme'!$G$243)+SUMIFS('Vols additionnels'!$E$7:$E$66,'Vols additionnels'!$C$7:$C$66,$E5584,'Vols additionnels'!$D$7:$D$66,$F5584,'Vols additionnels'!$B$7:$B$66,$D5584)</f>
        <v>0</v>
      </c>
      <c r="H5584" s="135" t="n">
        <f aca="false">$G5584*'Analyse capacite'!$F$9</f>
        <v>0</v>
      </c>
      <c r="I5584" s="135" t="n">
        <f aca="false">$G5584*'Analyse capacite'!$C$9</f>
        <v>0</v>
      </c>
      <c r="J5584" s="135" t="n">
        <f aca="false">$G5584*'Analyse capacite'!$D$9</f>
        <v>0</v>
      </c>
      <c r="K5584" s="135" t="n">
        <f aca="false">$G5584*'Analyse capacite'!$E$9</f>
        <v>0</v>
      </c>
    </row>
    <row r="5585" customFormat="false" ht="15" hidden="false" customHeight="false" outlineLevel="0" collapsed="false">
      <c r="B5585" s="130" t="n">
        <v>2027</v>
      </c>
      <c r="C5585" s="131" t="s">
        <v>251</v>
      </c>
      <c r="D5585" s="132" t="n">
        <v>46633</v>
      </c>
      <c r="E5585" s="131" t="s">
        <v>12</v>
      </c>
      <c r="F5585" s="133" t="s">
        <v>11</v>
      </c>
      <c r="G5585" s="134" t="n">
        <f aca="false">LEN('Saisie programme'!$H$208)+SUMIFS('Vols additionnels'!$E$7:$E$66,'Vols additionnels'!$C$7:$C$66,$E5585,'Vols additionnels'!$D$7:$D$66,$F5585,'Vols additionnels'!$B$7:$B$66,$D5585)</f>
        <v>1</v>
      </c>
      <c r="H5585" s="135" t="n">
        <f aca="false">$G5585*'Analyse capacite'!$F$7</f>
        <v>438</v>
      </c>
      <c r="I5585" s="135" t="n">
        <f aca="false">$G5585*'Analyse capacite'!$C$7</f>
        <v>14</v>
      </c>
      <c r="J5585" s="135" t="n">
        <f aca="false">$G5585*'Analyse capacite'!$D$7</f>
        <v>40</v>
      </c>
      <c r="K5585" s="135" t="n">
        <f aca="false">$G5585*'Analyse capacite'!$E$7</f>
        <v>384</v>
      </c>
    </row>
    <row r="5586" customFormat="false" ht="15" hidden="false" customHeight="false" outlineLevel="0" collapsed="false">
      <c r="B5586" s="130" t="n">
        <v>2027</v>
      </c>
      <c r="C5586" s="131" t="s">
        <v>251</v>
      </c>
      <c r="D5586" s="132" t="n">
        <v>46633</v>
      </c>
      <c r="E5586" s="131" t="s">
        <v>12</v>
      </c>
      <c r="F5586" s="133" t="s">
        <v>19</v>
      </c>
      <c r="G5586" s="134" t="n">
        <f aca="false">LEN('Saisie programme'!$H$209)+SUMIFS('Vols additionnels'!$E$7:$E$66,'Vols additionnels'!$C$7:$C$66,$E5586,'Vols additionnels'!$D$7:$D$66,$F5586,'Vols additionnels'!$B$7:$B$66,$D5586)</f>
        <v>1</v>
      </c>
      <c r="H5586" s="135" t="n">
        <f aca="false">$G5586*'Analyse capacite'!$F$8</f>
        <v>262</v>
      </c>
      <c r="I5586" s="135" t="n">
        <f aca="false">$G5586*'Analyse capacite'!$C$8</f>
        <v>18</v>
      </c>
      <c r="J5586" s="135" t="n">
        <f aca="false">$G5586*'Analyse capacite'!$D$8</f>
        <v>0</v>
      </c>
      <c r="K5586" s="135" t="n">
        <f aca="false">$G5586*'Analyse capacite'!$E$8</f>
        <v>244</v>
      </c>
    </row>
    <row r="5587" customFormat="false" ht="15" hidden="false" customHeight="false" outlineLevel="0" collapsed="false">
      <c r="B5587" s="130" t="n">
        <v>2027</v>
      </c>
      <c r="C5587" s="131" t="s">
        <v>251</v>
      </c>
      <c r="D5587" s="132" t="n">
        <v>46633</v>
      </c>
      <c r="E5587" s="131" t="s">
        <v>12</v>
      </c>
      <c r="F5587" s="133" t="s">
        <v>24</v>
      </c>
      <c r="G5587" s="134" t="n">
        <f aca="false">LEN('Saisie programme'!$H$210)+SUMIFS('Vols additionnels'!$E$7:$E$66,'Vols additionnels'!$C$7:$C$66,$E5587,'Vols additionnels'!$D$7:$D$66,$F5587,'Vols additionnels'!$B$7:$B$66,$D5587)</f>
        <v>0</v>
      </c>
      <c r="H5587" s="135" t="n">
        <f aca="false">$G5587*'Analyse capacite'!$F$9</f>
        <v>0</v>
      </c>
      <c r="I5587" s="135" t="n">
        <f aca="false">$G5587*'Analyse capacite'!$C$9</f>
        <v>0</v>
      </c>
      <c r="J5587" s="135" t="n">
        <f aca="false">$G5587*'Analyse capacite'!$D$9</f>
        <v>0</v>
      </c>
      <c r="K5587" s="135" t="n">
        <f aca="false">$G5587*'Analyse capacite'!$E$9</f>
        <v>0</v>
      </c>
    </row>
    <row r="5588" customFormat="false" ht="15" hidden="false" customHeight="false" outlineLevel="0" collapsed="false">
      <c r="B5588" s="130" t="n">
        <v>2027</v>
      </c>
      <c r="C5588" s="131" t="s">
        <v>251</v>
      </c>
      <c r="D5588" s="132" t="n">
        <v>46633</v>
      </c>
      <c r="E5588" s="131" t="s">
        <v>20</v>
      </c>
      <c r="F5588" s="133" t="s">
        <v>11</v>
      </c>
      <c r="G5588" s="134" t="n">
        <f aca="false">LEN('Saisie programme'!$H$211)+SUMIFS('Vols additionnels'!$E$7:$E$66,'Vols additionnels'!$C$7:$C$66,$E5588,'Vols additionnels'!$D$7:$D$66,$F5588,'Vols additionnels'!$B$7:$B$66,$D5588)</f>
        <v>0</v>
      </c>
      <c r="H5588" s="135" t="n">
        <f aca="false">$G5588*'Analyse capacite'!$F$7</f>
        <v>0</v>
      </c>
      <c r="I5588" s="135" t="n">
        <f aca="false">$G5588*'Analyse capacite'!$C$7</f>
        <v>0</v>
      </c>
      <c r="J5588" s="135" t="n">
        <f aca="false">$G5588*'Analyse capacite'!$D$7</f>
        <v>0</v>
      </c>
      <c r="K5588" s="135" t="n">
        <f aca="false">$G5588*'Analyse capacite'!$E$7</f>
        <v>0</v>
      </c>
    </row>
    <row r="5589" customFormat="false" ht="15" hidden="false" customHeight="false" outlineLevel="0" collapsed="false">
      <c r="B5589" s="130" t="n">
        <v>2027</v>
      </c>
      <c r="C5589" s="131" t="s">
        <v>251</v>
      </c>
      <c r="D5589" s="132" t="n">
        <v>46633</v>
      </c>
      <c r="E5589" s="131" t="s">
        <v>20</v>
      </c>
      <c r="F5589" s="133" t="s">
        <v>19</v>
      </c>
      <c r="G5589" s="134" t="n">
        <f aca="false">LEN('Saisie programme'!$H$212)+SUMIFS('Vols additionnels'!$E$7:$E$66,'Vols additionnels'!$C$7:$C$66,$E5589,'Vols additionnels'!$D$7:$D$66,$F5589,'Vols additionnels'!$B$7:$B$66,$D5589)</f>
        <v>1</v>
      </c>
      <c r="H5589" s="135" t="n">
        <f aca="false">$G5589*'Analyse capacite'!$F$8</f>
        <v>262</v>
      </c>
      <c r="I5589" s="135" t="n">
        <f aca="false">$G5589*'Analyse capacite'!$C$8</f>
        <v>18</v>
      </c>
      <c r="J5589" s="135" t="n">
        <f aca="false">$G5589*'Analyse capacite'!$D$8</f>
        <v>0</v>
      </c>
      <c r="K5589" s="135" t="n">
        <f aca="false">$G5589*'Analyse capacite'!$E$8</f>
        <v>244</v>
      </c>
    </row>
    <row r="5590" customFormat="false" ht="15" hidden="false" customHeight="false" outlineLevel="0" collapsed="false">
      <c r="B5590" s="130" t="n">
        <v>2027</v>
      </c>
      <c r="C5590" s="131" t="s">
        <v>251</v>
      </c>
      <c r="D5590" s="132" t="n">
        <v>46633</v>
      </c>
      <c r="E5590" s="131" t="s">
        <v>20</v>
      </c>
      <c r="F5590" s="133" t="s">
        <v>24</v>
      </c>
      <c r="G5590" s="134" t="n">
        <f aca="false">LEN('Saisie programme'!$H$213)+SUMIFS('Vols additionnels'!$E$7:$E$66,'Vols additionnels'!$C$7:$C$66,$E5590,'Vols additionnels'!$D$7:$D$66,$F5590,'Vols additionnels'!$B$7:$B$66,$D5590)</f>
        <v>0</v>
      </c>
      <c r="H5590" s="135" t="n">
        <f aca="false">$G5590*'Analyse capacite'!$F$9</f>
        <v>0</v>
      </c>
      <c r="I5590" s="135" t="n">
        <f aca="false">$G5590*'Analyse capacite'!$C$9</f>
        <v>0</v>
      </c>
      <c r="J5590" s="135" t="n">
        <f aca="false">$G5590*'Analyse capacite'!$D$9</f>
        <v>0</v>
      </c>
      <c r="K5590" s="135" t="n">
        <f aca="false">$G5590*'Analyse capacite'!$E$9</f>
        <v>0</v>
      </c>
    </row>
    <row r="5591" customFormat="false" ht="15" hidden="false" customHeight="false" outlineLevel="0" collapsed="false">
      <c r="B5591" s="130" t="n">
        <v>2027</v>
      </c>
      <c r="C5591" s="131" t="s">
        <v>251</v>
      </c>
      <c r="D5591" s="132" t="n">
        <v>46633</v>
      </c>
      <c r="E5591" s="131" t="s">
        <v>25</v>
      </c>
      <c r="F5591" s="133" t="s">
        <v>11</v>
      </c>
      <c r="G5591" s="134" t="n">
        <f aca="false">LEN('Saisie programme'!$H$214)+SUMIFS('Vols additionnels'!$E$7:$E$66,'Vols additionnels'!$C$7:$C$66,$E5591,'Vols additionnels'!$D$7:$D$66,$F5591,'Vols additionnels'!$B$7:$B$66,$D5591)</f>
        <v>0</v>
      </c>
      <c r="H5591" s="135" t="n">
        <f aca="false">$G5591*'Analyse capacite'!$F$7</f>
        <v>0</v>
      </c>
      <c r="I5591" s="135" t="n">
        <f aca="false">$G5591*'Analyse capacite'!$C$7</f>
        <v>0</v>
      </c>
      <c r="J5591" s="135" t="n">
        <f aca="false">$G5591*'Analyse capacite'!$D$7</f>
        <v>0</v>
      </c>
      <c r="K5591" s="135" t="n">
        <f aca="false">$G5591*'Analyse capacite'!$E$7</f>
        <v>0</v>
      </c>
    </row>
    <row r="5592" customFormat="false" ht="15" hidden="false" customHeight="false" outlineLevel="0" collapsed="false">
      <c r="B5592" s="130" t="n">
        <v>2027</v>
      </c>
      <c r="C5592" s="131" t="s">
        <v>251</v>
      </c>
      <c r="D5592" s="132" t="n">
        <v>46633</v>
      </c>
      <c r="E5592" s="131" t="s">
        <v>25</v>
      </c>
      <c r="F5592" s="133" t="s">
        <v>19</v>
      </c>
      <c r="G5592" s="134" t="n">
        <f aca="false">LEN('Saisie programme'!$H$215)+SUMIFS('Vols additionnels'!$E$7:$E$66,'Vols additionnels'!$C$7:$C$66,$E5592,'Vols additionnels'!$D$7:$D$66,$F5592,'Vols additionnels'!$B$7:$B$66,$D5592)</f>
        <v>0</v>
      </c>
      <c r="H5592" s="135" t="n">
        <f aca="false">$G5592*'Analyse capacite'!$F$8</f>
        <v>0</v>
      </c>
      <c r="I5592" s="135" t="n">
        <f aca="false">$G5592*'Analyse capacite'!$C$8</f>
        <v>0</v>
      </c>
      <c r="J5592" s="135" t="n">
        <f aca="false">$G5592*'Analyse capacite'!$D$8</f>
        <v>0</v>
      </c>
      <c r="K5592" s="135" t="n">
        <f aca="false">$G5592*'Analyse capacite'!$E$8</f>
        <v>0</v>
      </c>
    </row>
    <row r="5593" customFormat="false" ht="15" hidden="false" customHeight="false" outlineLevel="0" collapsed="false">
      <c r="B5593" s="130" t="n">
        <v>2027</v>
      </c>
      <c r="C5593" s="131" t="s">
        <v>251</v>
      </c>
      <c r="D5593" s="132" t="n">
        <v>46633</v>
      </c>
      <c r="E5593" s="131" t="s">
        <v>25</v>
      </c>
      <c r="F5593" s="133" t="s">
        <v>24</v>
      </c>
      <c r="G5593" s="134" t="n">
        <f aca="false">LEN('Saisie programme'!$H$216)+SUMIFS('Vols additionnels'!$E$7:$E$66,'Vols additionnels'!$C$7:$C$66,$E5593,'Vols additionnels'!$D$7:$D$66,$F5593,'Vols additionnels'!$B$7:$B$66,$D5593)</f>
        <v>0</v>
      </c>
      <c r="H5593" s="135" t="n">
        <f aca="false">$G5593*'Analyse capacite'!$F$9</f>
        <v>0</v>
      </c>
      <c r="I5593" s="135" t="n">
        <f aca="false">$G5593*'Analyse capacite'!$C$9</f>
        <v>0</v>
      </c>
      <c r="J5593" s="135" t="n">
        <f aca="false">$G5593*'Analyse capacite'!$D$9</f>
        <v>0</v>
      </c>
      <c r="K5593" s="135" t="n">
        <f aca="false">$G5593*'Analyse capacite'!$E$9</f>
        <v>0</v>
      </c>
    </row>
    <row r="5594" customFormat="false" ht="15" hidden="false" customHeight="false" outlineLevel="0" collapsed="false">
      <c r="B5594" s="130" t="n">
        <v>2027</v>
      </c>
      <c r="C5594" s="131" t="s">
        <v>251</v>
      </c>
      <c r="D5594" s="132" t="n">
        <v>46633</v>
      </c>
      <c r="E5594" s="131" t="s">
        <v>36</v>
      </c>
      <c r="F5594" s="133" t="s">
        <v>11</v>
      </c>
      <c r="G5594" s="134" t="n">
        <f aca="false">LEN('Saisie programme'!$H$217)+SUMIFS('Vols additionnels'!$E$7:$E$66,'Vols additionnels'!$C$7:$C$66,$E5594,'Vols additionnels'!$D$7:$D$66,$F5594,'Vols additionnels'!$B$7:$B$66,$D5594)</f>
        <v>0</v>
      </c>
      <c r="H5594" s="135" t="n">
        <f aca="false">$G5594*'Analyse capacite'!$F$7</f>
        <v>0</v>
      </c>
      <c r="I5594" s="135" t="n">
        <f aca="false">$G5594*'Analyse capacite'!$C$7</f>
        <v>0</v>
      </c>
      <c r="J5594" s="135" t="n">
        <f aca="false">$G5594*'Analyse capacite'!$D$7</f>
        <v>0</v>
      </c>
      <c r="K5594" s="135" t="n">
        <f aca="false">$G5594*'Analyse capacite'!$E$7</f>
        <v>0</v>
      </c>
    </row>
    <row r="5595" customFormat="false" ht="15" hidden="false" customHeight="false" outlineLevel="0" collapsed="false">
      <c r="B5595" s="130" t="n">
        <v>2027</v>
      </c>
      <c r="C5595" s="131" t="s">
        <v>251</v>
      </c>
      <c r="D5595" s="132" t="n">
        <v>46633</v>
      </c>
      <c r="E5595" s="131" t="s">
        <v>36</v>
      </c>
      <c r="F5595" s="133" t="s">
        <v>19</v>
      </c>
      <c r="G5595" s="134" t="n">
        <f aca="false">LEN('Saisie programme'!$H$218)+SUMIFS('Vols additionnels'!$E$7:$E$66,'Vols additionnels'!$C$7:$C$66,$E5595,'Vols additionnels'!$D$7:$D$66,$F5595,'Vols additionnels'!$B$7:$B$66,$D5595)</f>
        <v>0</v>
      </c>
      <c r="H5595" s="135" t="n">
        <f aca="false">$G5595*'Analyse capacite'!$F$8</f>
        <v>0</v>
      </c>
      <c r="I5595" s="135" t="n">
        <f aca="false">$G5595*'Analyse capacite'!$C$8</f>
        <v>0</v>
      </c>
      <c r="J5595" s="135" t="n">
        <f aca="false">$G5595*'Analyse capacite'!$D$8</f>
        <v>0</v>
      </c>
      <c r="K5595" s="135" t="n">
        <f aca="false">$G5595*'Analyse capacite'!$E$8</f>
        <v>0</v>
      </c>
    </row>
    <row r="5596" customFormat="false" ht="15" hidden="false" customHeight="false" outlineLevel="0" collapsed="false">
      <c r="B5596" s="130" t="n">
        <v>2027</v>
      </c>
      <c r="C5596" s="131" t="s">
        <v>251</v>
      </c>
      <c r="D5596" s="132" t="n">
        <v>46633</v>
      </c>
      <c r="E5596" s="131" t="s">
        <v>36</v>
      </c>
      <c r="F5596" s="133" t="s">
        <v>24</v>
      </c>
      <c r="G5596" s="134" t="n">
        <f aca="false">LEN('Saisie programme'!$H$219)+SUMIFS('Vols additionnels'!$E$7:$E$66,'Vols additionnels'!$C$7:$C$66,$E5596,'Vols additionnels'!$D$7:$D$66,$F5596,'Vols additionnels'!$B$7:$B$66,$D5596)</f>
        <v>1</v>
      </c>
      <c r="H5596" s="135" t="n">
        <f aca="false">$G5596*'Analyse capacite'!$F$9</f>
        <v>174</v>
      </c>
      <c r="I5596" s="135" t="n">
        <f aca="false">$G5596*'Analyse capacite'!$C$9</f>
        <v>0</v>
      </c>
      <c r="J5596" s="135" t="n">
        <f aca="false">$G5596*'Analyse capacite'!$D$9</f>
        <v>12</v>
      </c>
      <c r="K5596" s="135" t="n">
        <f aca="false">$G5596*'Analyse capacite'!$E$9</f>
        <v>162</v>
      </c>
    </row>
    <row r="5597" customFormat="false" ht="15" hidden="false" customHeight="false" outlineLevel="0" collapsed="false">
      <c r="B5597" s="130" t="n">
        <v>2027</v>
      </c>
      <c r="C5597" s="131" t="s">
        <v>251</v>
      </c>
      <c r="D5597" s="132" t="n">
        <v>46633</v>
      </c>
      <c r="E5597" s="131" t="s">
        <v>40</v>
      </c>
      <c r="F5597" s="133" t="s">
        <v>11</v>
      </c>
      <c r="G5597" s="134" t="n">
        <f aca="false">LEN('Saisie programme'!$H$220)+SUMIFS('Vols additionnels'!$E$7:$E$66,'Vols additionnels'!$C$7:$C$66,$E5597,'Vols additionnels'!$D$7:$D$66,$F5597,'Vols additionnels'!$B$7:$B$66,$D5597)</f>
        <v>0</v>
      </c>
      <c r="H5597" s="135" t="n">
        <f aca="false">$G5597*'Analyse capacite'!$F$7</f>
        <v>0</v>
      </c>
      <c r="I5597" s="135" t="n">
        <f aca="false">$G5597*'Analyse capacite'!$C$7</f>
        <v>0</v>
      </c>
      <c r="J5597" s="135" t="n">
        <f aca="false">$G5597*'Analyse capacite'!$D$7</f>
        <v>0</v>
      </c>
      <c r="K5597" s="135" t="n">
        <f aca="false">$G5597*'Analyse capacite'!$E$7</f>
        <v>0</v>
      </c>
    </row>
    <row r="5598" customFormat="false" ht="15" hidden="false" customHeight="false" outlineLevel="0" collapsed="false">
      <c r="B5598" s="130" t="n">
        <v>2027</v>
      </c>
      <c r="C5598" s="131" t="s">
        <v>251</v>
      </c>
      <c r="D5598" s="132" t="n">
        <v>46633</v>
      </c>
      <c r="E5598" s="131" t="s">
        <v>40</v>
      </c>
      <c r="F5598" s="133" t="s">
        <v>19</v>
      </c>
      <c r="G5598" s="134" t="n">
        <f aca="false">LEN('Saisie programme'!$H$221)+SUMIFS('Vols additionnels'!$E$7:$E$66,'Vols additionnels'!$C$7:$C$66,$E5598,'Vols additionnels'!$D$7:$D$66,$F5598,'Vols additionnels'!$B$7:$B$66,$D5598)</f>
        <v>0</v>
      </c>
      <c r="H5598" s="135" t="n">
        <f aca="false">$G5598*'Analyse capacite'!$F$8</f>
        <v>0</v>
      </c>
      <c r="I5598" s="135" t="n">
        <f aca="false">$G5598*'Analyse capacite'!$C$8</f>
        <v>0</v>
      </c>
      <c r="J5598" s="135" t="n">
        <f aca="false">$G5598*'Analyse capacite'!$D$8</f>
        <v>0</v>
      </c>
      <c r="K5598" s="135" t="n">
        <f aca="false">$G5598*'Analyse capacite'!$E$8</f>
        <v>0</v>
      </c>
    </row>
    <row r="5599" customFormat="false" ht="15" hidden="false" customHeight="false" outlineLevel="0" collapsed="false">
      <c r="B5599" s="130" t="n">
        <v>2027</v>
      </c>
      <c r="C5599" s="131" t="s">
        <v>251</v>
      </c>
      <c r="D5599" s="132" t="n">
        <v>46633</v>
      </c>
      <c r="E5599" s="131" t="s">
        <v>40</v>
      </c>
      <c r="F5599" s="133" t="s">
        <v>24</v>
      </c>
      <c r="G5599" s="134" t="n">
        <f aca="false">LEN('Saisie programme'!$H$222)+SUMIFS('Vols additionnels'!$E$7:$E$66,'Vols additionnels'!$C$7:$C$66,$E5599,'Vols additionnels'!$D$7:$D$66,$F5599,'Vols additionnels'!$B$7:$B$66,$D5599)</f>
        <v>1</v>
      </c>
      <c r="H5599" s="135" t="n">
        <f aca="false">$G5599*'Analyse capacite'!$F$9</f>
        <v>174</v>
      </c>
      <c r="I5599" s="135" t="n">
        <f aca="false">$G5599*'Analyse capacite'!$C$9</f>
        <v>0</v>
      </c>
      <c r="J5599" s="135" t="n">
        <f aca="false">$G5599*'Analyse capacite'!$D$9</f>
        <v>12</v>
      </c>
      <c r="K5599" s="135" t="n">
        <f aca="false">$G5599*'Analyse capacite'!$E$9</f>
        <v>162</v>
      </c>
    </row>
    <row r="5600" customFormat="false" ht="15" hidden="false" customHeight="false" outlineLevel="0" collapsed="false">
      <c r="B5600" s="130" t="n">
        <v>2027</v>
      </c>
      <c r="C5600" s="131" t="s">
        <v>251</v>
      </c>
      <c r="D5600" s="132" t="n">
        <v>46633</v>
      </c>
      <c r="E5600" s="131" t="s">
        <v>14</v>
      </c>
      <c r="F5600" s="133" t="s">
        <v>11</v>
      </c>
      <c r="G5600" s="134" t="n">
        <f aca="false">LEN('Saisie programme'!$H$223)+SUMIFS('Vols additionnels'!$E$7:$E$66,'Vols additionnels'!$C$7:$C$66,$E5600,'Vols additionnels'!$D$7:$D$66,$F5600,'Vols additionnels'!$B$7:$B$66,$D5600)</f>
        <v>0</v>
      </c>
      <c r="H5600" s="135" t="n">
        <f aca="false">$G5600*'Analyse capacite'!$F$7</f>
        <v>0</v>
      </c>
      <c r="I5600" s="135" t="n">
        <f aca="false">$G5600*'Analyse capacite'!$C$7</f>
        <v>0</v>
      </c>
      <c r="J5600" s="135" t="n">
        <f aca="false">$G5600*'Analyse capacite'!$D$7</f>
        <v>0</v>
      </c>
      <c r="K5600" s="135" t="n">
        <f aca="false">$G5600*'Analyse capacite'!$E$7</f>
        <v>0</v>
      </c>
    </row>
    <row r="5601" customFormat="false" ht="15" hidden="false" customHeight="false" outlineLevel="0" collapsed="false">
      <c r="B5601" s="130" t="n">
        <v>2027</v>
      </c>
      <c r="C5601" s="131" t="s">
        <v>251</v>
      </c>
      <c r="D5601" s="132" t="n">
        <v>46633</v>
      </c>
      <c r="E5601" s="131" t="s">
        <v>14</v>
      </c>
      <c r="F5601" s="133" t="s">
        <v>19</v>
      </c>
      <c r="G5601" s="134" t="n">
        <f aca="false">LEN('Saisie programme'!$H$224)+SUMIFS('Vols additionnels'!$E$7:$E$66,'Vols additionnels'!$C$7:$C$66,$E5601,'Vols additionnels'!$D$7:$D$66,$F5601,'Vols additionnels'!$B$7:$B$66,$D5601)</f>
        <v>0</v>
      </c>
      <c r="H5601" s="135" t="n">
        <f aca="false">$G5601*'Analyse capacite'!$F$8</f>
        <v>0</v>
      </c>
      <c r="I5601" s="135" t="n">
        <f aca="false">$G5601*'Analyse capacite'!$C$8</f>
        <v>0</v>
      </c>
      <c r="J5601" s="135" t="n">
        <f aca="false">$G5601*'Analyse capacite'!$D$8</f>
        <v>0</v>
      </c>
      <c r="K5601" s="135" t="n">
        <f aca="false">$G5601*'Analyse capacite'!$E$8</f>
        <v>0</v>
      </c>
    </row>
    <row r="5602" customFormat="false" ht="15" hidden="false" customHeight="false" outlineLevel="0" collapsed="false">
      <c r="B5602" s="130" t="n">
        <v>2027</v>
      </c>
      <c r="C5602" s="131" t="s">
        <v>251</v>
      </c>
      <c r="D5602" s="132" t="n">
        <v>46633</v>
      </c>
      <c r="E5602" s="131" t="s">
        <v>14</v>
      </c>
      <c r="F5602" s="133" t="s">
        <v>24</v>
      </c>
      <c r="G5602" s="134" t="n">
        <f aca="false">LEN('Saisie programme'!$H$225)+SUMIFS('Vols additionnels'!$E$7:$E$66,'Vols additionnels'!$C$7:$C$66,$E5602,'Vols additionnels'!$D$7:$D$66,$F5602,'Vols additionnels'!$B$7:$B$66,$D5602)</f>
        <v>0</v>
      </c>
      <c r="H5602" s="135" t="n">
        <f aca="false">$G5602*'Analyse capacite'!$F$9</f>
        <v>0</v>
      </c>
      <c r="I5602" s="135" t="n">
        <f aca="false">$G5602*'Analyse capacite'!$C$9</f>
        <v>0</v>
      </c>
      <c r="J5602" s="135" t="n">
        <f aca="false">$G5602*'Analyse capacite'!$D$9</f>
        <v>0</v>
      </c>
      <c r="K5602" s="135" t="n">
        <f aca="false">$G5602*'Analyse capacite'!$E$9</f>
        <v>0</v>
      </c>
    </row>
    <row r="5603" customFormat="false" ht="15" hidden="false" customHeight="false" outlineLevel="0" collapsed="false">
      <c r="B5603" s="130" t="n">
        <v>2027</v>
      </c>
      <c r="C5603" s="131" t="s">
        <v>251</v>
      </c>
      <c r="D5603" s="132" t="n">
        <v>46633</v>
      </c>
      <c r="E5603" s="131" t="s">
        <v>46</v>
      </c>
      <c r="F5603" s="133" t="s">
        <v>11</v>
      </c>
      <c r="G5603" s="134" t="n">
        <f aca="false">LEN('Saisie programme'!$H$226)+SUMIFS('Vols additionnels'!$E$7:$E$66,'Vols additionnels'!$C$7:$C$66,$E5603,'Vols additionnels'!$D$7:$D$66,$F5603,'Vols additionnels'!$B$7:$B$66,$D5603)</f>
        <v>0</v>
      </c>
      <c r="H5603" s="135" t="n">
        <f aca="false">$G5603*'Analyse capacite'!$F$7</f>
        <v>0</v>
      </c>
      <c r="I5603" s="135" t="n">
        <f aca="false">$G5603*'Analyse capacite'!$C$7</f>
        <v>0</v>
      </c>
      <c r="J5603" s="135" t="n">
        <f aca="false">$G5603*'Analyse capacite'!$D$7</f>
        <v>0</v>
      </c>
      <c r="K5603" s="135" t="n">
        <f aca="false">$G5603*'Analyse capacite'!$E$7</f>
        <v>0</v>
      </c>
    </row>
    <row r="5604" customFormat="false" ht="15" hidden="false" customHeight="false" outlineLevel="0" collapsed="false">
      <c r="B5604" s="130" t="n">
        <v>2027</v>
      </c>
      <c r="C5604" s="131" t="s">
        <v>251</v>
      </c>
      <c r="D5604" s="132" t="n">
        <v>46633</v>
      </c>
      <c r="E5604" s="131" t="s">
        <v>46</v>
      </c>
      <c r="F5604" s="133" t="s">
        <v>19</v>
      </c>
      <c r="G5604" s="134" t="n">
        <f aca="false">LEN('Saisie programme'!$H$227)+SUMIFS('Vols additionnels'!$E$7:$E$66,'Vols additionnels'!$C$7:$C$66,$E5604,'Vols additionnels'!$D$7:$D$66,$F5604,'Vols additionnels'!$B$7:$B$66,$D5604)</f>
        <v>0</v>
      </c>
      <c r="H5604" s="135" t="n">
        <f aca="false">$G5604*'Analyse capacite'!$F$8</f>
        <v>0</v>
      </c>
      <c r="I5604" s="135" t="n">
        <f aca="false">$G5604*'Analyse capacite'!$C$8</f>
        <v>0</v>
      </c>
      <c r="J5604" s="135" t="n">
        <f aca="false">$G5604*'Analyse capacite'!$D$8</f>
        <v>0</v>
      </c>
      <c r="K5604" s="135" t="n">
        <f aca="false">$G5604*'Analyse capacite'!$E$8</f>
        <v>0</v>
      </c>
    </row>
    <row r="5605" customFormat="false" ht="15" hidden="false" customHeight="false" outlineLevel="0" collapsed="false">
      <c r="B5605" s="130" t="n">
        <v>2027</v>
      </c>
      <c r="C5605" s="131" t="s">
        <v>251</v>
      </c>
      <c r="D5605" s="132" t="n">
        <v>46633</v>
      </c>
      <c r="E5605" s="131" t="s">
        <v>46</v>
      </c>
      <c r="F5605" s="133" t="s">
        <v>24</v>
      </c>
      <c r="G5605" s="134" t="n">
        <f aca="false">LEN('Saisie programme'!$H$228)+SUMIFS('Vols additionnels'!$E$7:$E$66,'Vols additionnels'!$C$7:$C$66,$E5605,'Vols additionnels'!$D$7:$D$66,$F5605,'Vols additionnels'!$B$7:$B$66,$D5605)</f>
        <v>0</v>
      </c>
      <c r="H5605" s="135" t="n">
        <f aca="false">$G5605*'Analyse capacite'!$F$9</f>
        <v>0</v>
      </c>
      <c r="I5605" s="135" t="n">
        <f aca="false">$G5605*'Analyse capacite'!$C$9</f>
        <v>0</v>
      </c>
      <c r="J5605" s="135" t="n">
        <f aca="false">$G5605*'Analyse capacite'!$D$9</f>
        <v>0</v>
      </c>
      <c r="K5605" s="135" t="n">
        <f aca="false">$G5605*'Analyse capacite'!$E$9</f>
        <v>0</v>
      </c>
    </row>
    <row r="5606" customFormat="false" ht="15" hidden="false" customHeight="false" outlineLevel="0" collapsed="false">
      <c r="B5606" s="130" t="n">
        <v>2027</v>
      </c>
      <c r="C5606" s="131" t="s">
        <v>251</v>
      </c>
      <c r="D5606" s="132" t="n">
        <v>46633</v>
      </c>
      <c r="E5606" s="131" t="s">
        <v>49</v>
      </c>
      <c r="F5606" s="133" t="s">
        <v>11</v>
      </c>
      <c r="G5606" s="134" t="n">
        <f aca="false">LEN('Saisie programme'!$H$229)+SUMIFS('Vols additionnels'!$E$7:$E$66,'Vols additionnels'!$C$7:$C$66,$E5606,'Vols additionnels'!$D$7:$D$66,$F5606,'Vols additionnels'!$B$7:$B$66,$D5606)</f>
        <v>0</v>
      </c>
      <c r="H5606" s="135" t="n">
        <f aca="false">$G5606*'Analyse capacite'!$F$7</f>
        <v>0</v>
      </c>
      <c r="I5606" s="135" t="n">
        <f aca="false">$G5606*'Analyse capacite'!$C$7</f>
        <v>0</v>
      </c>
      <c r="J5606" s="135" t="n">
        <f aca="false">$G5606*'Analyse capacite'!$D$7</f>
        <v>0</v>
      </c>
      <c r="K5606" s="135" t="n">
        <f aca="false">$G5606*'Analyse capacite'!$E$7</f>
        <v>0</v>
      </c>
    </row>
    <row r="5607" customFormat="false" ht="15" hidden="false" customHeight="false" outlineLevel="0" collapsed="false">
      <c r="B5607" s="130" t="n">
        <v>2027</v>
      </c>
      <c r="C5607" s="131" t="s">
        <v>251</v>
      </c>
      <c r="D5607" s="132" t="n">
        <v>46633</v>
      </c>
      <c r="E5607" s="131" t="s">
        <v>49</v>
      </c>
      <c r="F5607" s="133" t="s">
        <v>19</v>
      </c>
      <c r="G5607" s="134" t="n">
        <f aca="false">LEN('Saisie programme'!$H$230)+SUMIFS('Vols additionnels'!$E$7:$E$66,'Vols additionnels'!$C$7:$C$66,$E5607,'Vols additionnels'!$D$7:$D$66,$F5607,'Vols additionnels'!$B$7:$B$66,$D5607)</f>
        <v>1</v>
      </c>
      <c r="H5607" s="135" t="n">
        <f aca="false">$G5607*'Analyse capacite'!$F$8</f>
        <v>262</v>
      </c>
      <c r="I5607" s="135" t="n">
        <f aca="false">$G5607*'Analyse capacite'!$C$8</f>
        <v>18</v>
      </c>
      <c r="J5607" s="135" t="n">
        <f aca="false">$G5607*'Analyse capacite'!$D$8</f>
        <v>0</v>
      </c>
      <c r="K5607" s="135" t="n">
        <f aca="false">$G5607*'Analyse capacite'!$E$8</f>
        <v>244</v>
      </c>
    </row>
    <row r="5608" customFormat="false" ht="15" hidden="false" customHeight="false" outlineLevel="0" collapsed="false">
      <c r="B5608" s="130" t="n">
        <v>2027</v>
      </c>
      <c r="C5608" s="131" t="s">
        <v>251</v>
      </c>
      <c r="D5608" s="132" t="n">
        <v>46633</v>
      </c>
      <c r="E5608" s="131" t="s">
        <v>49</v>
      </c>
      <c r="F5608" s="133" t="s">
        <v>24</v>
      </c>
      <c r="G5608" s="134" t="n">
        <f aca="false">LEN('Saisie programme'!$H$231)+SUMIFS('Vols additionnels'!$E$7:$E$66,'Vols additionnels'!$C$7:$C$66,$E5608,'Vols additionnels'!$D$7:$D$66,$F5608,'Vols additionnels'!$B$7:$B$66,$D5608)</f>
        <v>0</v>
      </c>
      <c r="H5608" s="135" t="n">
        <f aca="false">$G5608*'Analyse capacite'!$F$9</f>
        <v>0</v>
      </c>
      <c r="I5608" s="135" t="n">
        <f aca="false">$G5608*'Analyse capacite'!$C$9</f>
        <v>0</v>
      </c>
      <c r="J5608" s="135" t="n">
        <f aca="false">$G5608*'Analyse capacite'!$D$9</f>
        <v>0</v>
      </c>
      <c r="K5608" s="135" t="n">
        <f aca="false">$G5608*'Analyse capacite'!$E$9</f>
        <v>0</v>
      </c>
    </row>
    <row r="5609" customFormat="false" ht="15" hidden="false" customHeight="false" outlineLevel="0" collapsed="false">
      <c r="B5609" s="130" t="n">
        <v>2027</v>
      </c>
      <c r="C5609" s="131" t="s">
        <v>251</v>
      </c>
      <c r="D5609" s="132" t="n">
        <v>46633</v>
      </c>
      <c r="E5609" s="131" t="s">
        <v>53</v>
      </c>
      <c r="F5609" s="133" t="s">
        <v>11</v>
      </c>
      <c r="G5609" s="134" t="n">
        <f aca="false">LEN('Saisie programme'!$H$232)+SUMIFS('Vols additionnels'!$E$7:$E$66,'Vols additionnels'!$C$7:$C$66,$E5609,'Vols additionnels'!$D$7:$D$66,$F5609,'Vols additionnels'!$B$7:$B$66,$D5609)</f>
        <v>0</v>
      </c>
      <c r="H5609" s="135" t="n">
        <f aca="false">$G5609*'Analyse capacite'!$F$7</f>
        <v>0</v>
      </c>
      <c r="I5609" s="135" t="n">
        <f aca="false">$G5609*'Analyse capacite'!$C$7</f>
        <v>0</v>
      </c>
      <c r="J5609" s="135" t="n">
        <f aca="false">$G5609*'Analyse capacite'!$D$7</f>
        <v>0</v>
      </c>
      <c r="K5609" s="135" t="n">
        <f aca="false">$G5609*'Analyse capacite'!$E$7</f>
        <v>0</v>
      </c>
    </row>
    <row r="5610" customFormat="false" ht="15" hidden="false" customHeight="false" outlineLevel="0" collapsed="false">
      <c r="B5610" s="130" t="n">
        <v>2027</v>
      </c>
      <c r="C5610" s="131" t="s">
        <v>251</v>
      </c>
      <c r="D5610" s="132" t="n">
        <v>46633</v>
      </c>
      <c r="E5610" s="131" t="s">
        <v>53</v>
      </c>
      <c r="F5610" s="133" t="s">
        <v>19</v>
      </c>
      <c r="G5610" s="134" t="n">
        <f aca="false">LEN('Saisie programme'!$H$233)+SUMIFS('Vols additionnels'!$E$7:$E$66,'Vols additionnels'!$C$7:$C$66,$E5610,'Vols additionnels'!$D$7:$D$66,$F5610,'Vols additionnels'!$B$7:$B$66,$D5610)</f>
        <v>0</v>
      </c>
      <c r="H5610" s="135" t="n">
        <f aca="false">$G5610*'Analyse capacite'!$F$8</f>
        <v>0</v>
      </c>
      <c r="I5610" s="135" t="n">
        <f aca="false">$G5610*'Analyse capacite'!$C$8</f>
        <v>0</v>
      </c>
      <c r="J5610" s="135" t="n">
        <f aca="false">$G5610*'Analyse capacite'!$D$8</f>
        <v>0</v>
      </c>
      <c r="K5610" s="135" t="n">
        <f aca="false">$G5610*'Analyse capacite'!$E$8</f>
        <v>0</v>
      </c>
    </row>
    <row r="5611" customFormat="false" ht="15" hidden="false" customHeight="false" outlineLevel="0" collapsed="false">
      <c r="B5611" s="130" t="n">
        <v>2027</v>
      </c>
      <c r="C5611" s="131" t="s">
        <v>251</v>
      </c>
      <c r="D5611" s="132" t="n">
        <v>46633</v>
      </c>
      <c r="E5611" s="131" t="s">
        <v>53</v>
      </c>
      <c r="F5611" s="133" t="s">
        <v>24</v>
      </c>
      <c r="G5611" s="134" t="n">
        <f aca="false">LEN('Saisie programme'!$H$234)+SUMIFS('Vols additionnels'!$E$7:$E$66,'Vols additionnels'!$C$7:$C$66,$E5611,'Vols additionnels'!$D$7:$D$66,$F5611,'Vols additionnels'!$B$7:$B$66,$D5611)</f>
        <v>0</v>
      </c>
      <c r="H5611" s="135" t="n">
        <f aca="false">$G5611*'Analyse capacite'!$F$9</f>
        <v>0</v>
      </c>
      <c r="I5611" s="135" t="n">
        <f aca="false">$G5611*'Analyse capacite'!$C$9</f>
        <v>0</v>
      </c>
      <c r="J5611" s="135" t="n">
        <f aca="false">$G5611*'Analyse capacite'!$D$9</f>
        <v>0</v>
      </c>
      <c r="K5611" s="135" t="n">
        <f aca="false">$G5611*'Analyse capacite'!$E$9</f>
        <v>0</v>
      </c>
    </row>
    <row r="5612" customFormat="false" ht="15" hidden="false" customHeight="false" outlineLevel="0" collapsed="false">
      <c r="B5612" s="130" t="n">
        <v>2027</v>
      </c>
      <c r="C5612" s="131" t="s">
        <v>251</v>
      </c>
      <c r="D5612" s="132" t="n">
        <v>46633</v>
      </c>
      <c r="E5612" s="131" t="s">
        <v>56</v>
      </c>
      <c r="F5612" s="133" t="s">
        <v>11</v>
      </c>
      <c r="G5612" s="134" t="n">
        <f aca="false">LEN('Saisie programme'!$H$235)+SUMIFS('Vols additionnels'!$E$7:$E$66,'Vols additionnels'!$C$7:$C$66,$E5612,'Vols additionnels'!$D$7:$D$66,$F5612,'Vols additionnels'!$B$7:$B$66,$D5612)</f>
        <v>0</v>
      </c>
      <c r="H5612" s="135" t="n">
        <f aca="false">$G5612*'Analyse capacite'!$F$7</f>
        <v>0</v>
      </c>
      <c r="I5612" s="135" t="n">
        <f aca="false">$G5612*'Analyse capacite'!$C$7</f>
        <v>0</v>
      </c>
      <c r="J5612" s="135" t="n">
        <f aca="false">$G5612*'Analyse capacite'!$D$7</f>
        <v>0</v>
      </c>
      <c r="K5612" s="135" t="n">
        <f aca="false">$G5612*'Analyse capacite'!$E$7</f>
        <v>0</v>
      </c>
    </row>
    <row r="5613" customFormat="false" ht="15" hidden="false" customHeight="false" outlineLevel="0" collapsed="false">
      <c r="B5613" s="130" t="n">
        <v>2027</v>
      </c>
      <c r="C5613" s="131" t="s">
        <v>251</v>
      </c>
      <c r="D5613" s="132" t="n">
        <v>46633</v>
      </c>
      <c r="E5613" s="131" t="s">
        <v>56</v>
      </c>
      <c r="F5613" s="133" t="s">
        <v>19</v>
      </c>
      <c r="G5613" s="134" t="n">
        <f aca="false">LEN('Saisie programme'!$H$236)+SUMIFS('Vols additionnels'!$E$7:$E$66,'Vols additionnels'!$C$7:$C$66,$E5613,'Vols additionnels'!$D$7:$D$66,$F5613,'Vols additionnels'!$B$7:$B$66,$D5613)</f>
        <v>0</v>
      </c>
      <c r="H5613" s="135" t="n">
        <f aca="false">$G5613*'Analyse capacite'!$F$8</f>
        <v>0</v>
      </c>
      <c r="I5613" s="135" t="n">
        <f aca="false">$G5613*'Analyse capacite'!$C$8</f>
        <v>0</v>
      </c>
      <c r="J5613" s="135" t="n">
        <f aca="false">$G5613*'Analyse capacite'!$D$8</f>
        <v>0</v>
      </c>
      <c r="K5613" s="135" t="n">
        <f aca="false">$G5613*'Analyse capacite'!$E$8</f>
        <v>0</v>
      </c>
    </row>
    <row r="5614" customFormat="false" ht="15" hidden="false" customHeight="false" outlineLevel="0" collapsed="false">
      <c r="B5614" s="130" t="n">
        <v>2027</v>
      </c>
      <c r="C5614" s="131" t="s">
        <v>251</v>
      </c>
      <c r="D5614" s="132" t="n">
        <v>46633</v>
      </c>
      <c r="E5614" s="131" t="s">
        <v>56</v>
      </c>
      <c r="F5614" s="133" t="s">
        <v>24</v>
      </c>
      <c r="G5614" s="134" t="n">
        <f aca="false">LEN('Saisie programme'!$H$237)+SUMIFS('Vols additionnels'!$E$7:$E$66,'Vols additionnels'!$C$7:$C$66,$E5614,'Vols additionnels'!$D$7:$D$66,$F5614,'Vols additionnels'!$B$7:$B$66,$D5614)</f>
        <v>0</v>
      </c>
      <c r="H5614" s="135" t="n">
        <f aca="false">$G5614*'Analyse capacite'!$F$9</f>
        <v>0</v>
      </c>
      <c r="I5614" s="135" t="n">
        <f aca="false">$G5614*'Analyse capacite'!$C$9</f>
        <v>0</v>
      </c>
      <c r="J5614" s="135" t="n">
        <f aca="false">$G5614*'Analyse capacite'!$D$9</f>
        <v>0</v>
      </c>
      <c r="K5614" s="135" t="n">
        <f aca="false">$G5614*'Analyse capacite'!$E$9</f>
        <v>0</v>
      </c>
    </row>
    <row r="5615" customFormat="false" ht="15" hidden="false" customHeight="false" outlineLevel="0" collapsed="false">
      <c r="B5615" s="130" t="n">
        <v>2027</v>
      </c>
      <c r="C5615" s="131" t="s">
        <v>251</v>
      </c>
      <c r="D5615" s="132" t="n">
        <v>46633</v>
      </c>
      <c r="E5615" s="131" t="s">
        <v>59</v>
      </c>
      <c r="F5615" s="133" t="s">
        <v>11</v>
      </c>
      <c r="G5615" s="134" t="n">
        <f aca="false">LEN('Saisie programme'!$H$238)+SUMIFS('Vols additionnels'!$E$7:$E$66,'Vols additionnels'!$C$7:$C$66,$E5615,'Vols additionnels'!$D$7:$D$66,$F5615,'Vols additionnels'!$B$7:$B$66,$D5615)</f>
        <v>0</v>
      </c>
      <c r="H5615" s="135" t="n">
        <f aca="false">$G5615*'Analyse capacite'!$F$7</f>
        <v>0</v>
      </c>
      <c r="I5615" s="135" t="n">
        <f aca="false">$G5615*'Analyse capacite'!$C$7</f>
        <v>0</v>
      </c>
      <c r="J5615" s="135" t="n">
        <f aca="false">$G5615*'Analyse capacite'!$D$7</f>
        <v>0</v>
      </c>
      <c r="K5615" s="135" t="n">
        <f aca="false">$G5615*'Analyse capacite'!$E$7</f>
        <v>0</v>
      </c>
    </row>
    <row r="5616" customFormat="false" ht="15" hidden="false" customHeight="false" outlineLevel="0" collapsed="false">
      <c r="B5616" s="130" t="n">
        <v>2027</v>
      </c>
      <c r="C5616" s="131" t="s">
        <v>251</v>
      </c>
      <c r="D5616" s="132" t="n">
        <v>46633</v>
      </c>
      <c r="E5616" s="131" t="s">
        <v>59</v>
      </c>
      <c r="F5616" s="133" t="s">
        <v>19</v>
      </c>
      <c r="G5616" s="134" t="n">
        <f aca="false">LEN('Saisie programme'!$H$239)+SUMIFS('Vols additionnels'!$E$7:$E$66,'Vols additionnels'!$C$7:$C$66,$E5616,'Vols additionnels'!$D$7:$D$66,$F5616,'Vols additionnels'!$B$7:$B$66,$D5616)</f>
        <v>0</v>
      </c>
      <c r="H5616" s="135" t="n">
        <f aca="false">$G5616*'Analyse capacite'!$F$8</f>
        <v>0</v>
      </c>
      <c r="I5616" s="135" t="n">
        <f aca="false">$G5616*'Analyse capacite'!$C$8</f>
        <v>0</v>
      </c>
      <c r="J5616" s="135" t="n">
        <f aca="false">$G5616*'Analyse capacite'!$D$8</f>
        <v>0</v>
      </c>
      <c r="K5616" s="135" t="n">
        <f aca="false">$G5616*'Analyse capacite'!$E$8</f>
        <v>0</v>
      </c>
    </row>
    <row r="5617" customFormat="false" ht="15" hidden="false" customHeight="false" outlineLevel="0" collapsed="false">
      <c r="B5617" s="130" t="n">
        <v>2027</v>
      </c>
      <c r="C5617" s="131" t="s">
        <v>251</v>
      </c>
      <c r="D5617" s="132" t="n">
        <v>46633</v>
      </c>
      <c r="E5617" s="131" t="s">
        <v>59</v>
      </c>
      <c r="F5617" s="133" t="s">
        <v>24</v>
      </c>
      <c r="G5617" s="134" t="n">
        <f aca="false">LEN('Saisie programme'!$H$240)+SUMIFS('Vols additionnels'!$E$7:$E$66,'Vols additionnels'!$C$7:$C$66,$E5617,'Vols additionnels'!$D$7:$D$66,$F5617,'Vols additionnels'!$B$7:$B$66,$D5617)</f>
        <v>1</v>
      </c>
      <c r="H5617" s="135" t="n">
        <f aca="false">$G5617*'Analyse capacite'!$F$9</f>
        <v>174</v>
      </c>
      <c r="I5617" s="135" t="n">
        <f aca="false">$G5617*'Analyse capacite'!$C$9</f>
        <v>0</v>
      </c>
      <c r="J5617" s="135" t="n">
        <f aca="false">$G5617*'Analyse capacite'!$D$9</f>
        <v>12</v>
      </c>
      <c r="K5617" s="135" t="n">
        <f aca="false">$G5617*'Analyse capacite'!$E$9</f>
        <v>162</v>
      </c>
    </row>
    <row r="5618" customFormat="false" ht="15" hidden="false" customHeight="false" outlineLevel="0" collapsed="false">
      <c r="B5618" s="130" t="n">
        <v>2027</v>
      </c>
      <c r="C5618" s="131" t="s">
        <v>251</v>
      </c>
      <c r="D5618" s="132" t="n">
        <v>46633</v>
      </c>
      <c r="E5618" s="131" t="s">
        <v>62</v>
      </c>
      <c r="F5618" s="133" t="s">
        <v>11</v>
      </c>
      <c r="G5618" s="134" t="n">
        <f aca="false">LEN('Saisie programme'!$H$241)+SUMIFS('Vols additionnels'!$E$7:$E$66,'Vols additionnels'!$C$7:$C$66,$E5618,'Vols additionnels'!$D$7:$D$66,$F5618,'Vols additionnels'!$B$7:$B$66,$D5618)</f>
        <v>0</v>
      </c>
      <c r="H5618" s="135" t="n">
        <f aca="false">$G5618*'Analyse capacite'!$F$7</f>
        <v>0</v>
      </c>
      <c r="I5618" s="135" t="n">
        <f aca="false">$G5618*'Analyse capacite'!$C$7</f>
        <v>0</v>
      </c>
      <c r="J5618" s="135" t="n">
        <f aca="false">$G5618*'Analyse capacite'!$D$7</f>
        <v>0</v>
      </c>
      <c r="K5618" s="135" t="n">
        <f aca="false">$G5618*'Analyse capacite'!$E$7</f>
        <v>0</v>
      </c>
    </row>
    <row r="5619" customFormat="false" ht="15" hidden="false" customHeight="false" outlineLevel="0" collapsed="false">
      <c r="B5619" s="130" t="n">
        <v>2027</v>
      </c>
      <c r="C5619" s="131" t="s">
        <v>251</v>
      </c>
      <c r="D5619" s="132" t="n">
        <v>46633</v>
      </c>
      <c r="E5619" s="131" t="s">
        <v>62</v>
      </c>
      <c r="F5619" s="133" t="s">
        <v>19</v>
      </c>
      <c r="G5619" s="134" t="n">
        <f aca="false">LEN('Saisie programme'!$H$242)+SUMIFS('Vols additionnels'!$E$7:$E$66,'Vols additionnels'!$C$7:$C$66,$E5619,'Vols additionnels'!$D$7:$D$66,$F5619,'Vols additionnels'!$B$7:$B$66,$D5619)</f>
        <v>0</v>
      </c>
      <c r="H5619" s="135" t="n">
        <f aca="false">$G5619*'Analyse capacite'!$F$8</f>
        <v>0</v>
      </c>
      <c r="I5619" s="135" t="n">
        <f aca="false">$G5619*'Analyse capacite'!$C$8</f>
        <v>0</v>
      </c>
      <c r="J5619" s="135" t="n">
        <f aca="false">$G5619*'Analyse capacite'!$D$8</f>
        <v>0</v>
      </c>
      <c r="K5619" s="135" t="n">
        <f aca="false">$G5619*'Analyse capacite'!$E$8</f>
        <v>0</v>
      </c>
    </row>
    <row r="5620" customFormat="false" ht="15" hidden="false" customHeight="false" outlineLevel="0" collapsed="false">
      <c r="B5620" s="130" t="n">
        <v>2027</v>
      </c>
      <c r="C5620" s="131" t="s">
        <v>251</v>
      </c>
      <c r="D5620" s="132" t="n">
        <v>46633</v>
      </c>
      <c r="E5620" s="131" t="s">
        <v>62</v>
      </c>
      <c r="F5620" s="133" t="s">
        <v>24</v>
      </c>
      <c r="G5620" s="134" t="n">
        <f aca="false">LEN('Saisie programme'!$H$243)+SUMIFS('Vols additionnels'!$E$7:$E$66,'Vols additionnels'!$C$7:$C$66,$E5620,'Vols additionnels'!$D$7:$D$66,$F5620,'Vols additionnels'!$B$7:$B$66,$D5620)</f>
        <v>0</v>
      </c>
      <c r="H5620" s="135" t="n">
        <f aca="false">$G5620*'Analyse capacite'!$F$9</f>
        <v>0</v>
      </c>
      <c r="I5620" s="135" t="n">
        <f aca="false">$G5620*'Analyse capacite'!$C$9</f>
        <v>0</v>
      </c>
      <c r="J5620" s="135" t="n">
        <f aca="false">$G5620*'Analyse capacite'!$D$9</f>
        <v>0</v>
      </c>
      <c r="K5620" s="135" t="n">
        <f aca="false">$G5620*'Analyse capacite'!$E$9</f>
        <v>0</v>
      </c>
    </row>
    <row r="5621" customFormat="false" ht="15" hidden="false" customHeight="false" outlineLevel="0" collapsed="false">
      <c r="B5621" s="130" t="n">
        <v>2027</v>
      </c>
      <c r="C5621" s="131" t="s">
        <v>251</v>
      </c>
      <c r="D5621" s="132" t="n">
        <v>46634</v>
      </c>
      <c r="E5621" s="131" t="s">
        <v>12</v>
      </c>
      <c r="F5621" s="133" t="s">
        <v>11</v>
      </c>
      <c r="G5621" s="134" t="n">
        <f aca="false">LEN('Saisie programme'!$I$208)+SUMIFS('Vols additionnels'!$E$7:$E$66,'Vols additionnels'!$C$7:$C$66,$E5621,'Vols additionnels'!$D$7:$D$66,$F5621,'Vols additionnels'!$B$7:$B$66,$D5621)</f>
        <v>1</v>
      </c>
      <c r="H5621" s="135" t="n">
        <f aca="false">$G5621*'Analyse capacite'!$F$7</f>
        <v>438</v>
      </c>
      <c r="I5621" s="135" t="n">
        <f aca="false">$G5621*'Analyse capacite'!$C$7</f>
        <v>14</v>
      </c>
      <c r="J5621" s="135" t="n">
        <f aca="false">$G5621*'Analyse capacite'!$D$7</f>
        <v>40</v>
      </c>
      <c r="K5621" s="135" t="n">
        <f aca="false">$G5621*'Analyse capacite'!$E$7</f>
        <v>384</v>
      </c>
    </row>
    <row r="5622" customFormat="false" ht="15" hidden="false" customHeight="false" outlineLevel="0" collapsed="false">
      <c r="B5622" s="130" t="n">
        <v>2027</v>
      </c>
      <c r="C5622" s="131" t="s">
        <v>251</v>
      </c>
      <c r="D5622" s="132" t="n">
        <v>46634</v>
      </c>
      <c r="E5622" s="131" t="s">
        <v>12</v>
      </c>
      <c r="F5622" s="133" t="s">
        <v>19</v>
      </c>
      <c r="G5622" s="134" t="n">
        <f aca="false">LEN('Saisie programme'!$I$209)+SUMIFS('Vols additionnels'!$E$7:$E$66,'Vols additionnels'!$C$7:$C$66,$E5622,'Vols additionnels'!$D$7:$D$66,$F5622,'Vols additionnels'!$B$7:$B$66,$D5622)</f>
        <v>0</v>
      </c>
      <c r="H5622" s="135" t="n">
        <f aca="false">$G5622*'Analyse capacite'!$F$8</f>
        <v>0</v>
      </c>
      <c r="I5622" s="135" t="n">
        <f aca="false">$G5622*'Analyse capacite'!$C$8</f>
        <v>0</v>
      </c>
      <c r="J5622" s="135" t="n">
        <f aca="false">$G5622*'Analyse capacite'!$D$8</f>
        <v>0</v>
      </c>
      <c r="K5622" s="135" t="n">
        <f aca="false">$G5622*'Analyse capacite'!$E$8</f>
        <v>0</v>
      </c>
    </row>
    <row r="5623" customFormat="false" ht="15" hidden="false" customHeight="false" outlineLevel="0" collapsed="false">
      <c r="B5623" s="130" t="n">
        <v>2027</v>
      </c>
      <c r="C5623" s="131" t="s">
        <v>251</v>
      </c>
      <c r="D5623" s="132" t="n">
        <v>46634</v>
      </c>
      <c r="E5623" s="131" t="s">
        <v>12</v>
      </c>
      <c r="F5623" s="133" t="s">
        <v>24</v>
      </c>
      <c r="G5623" s="134" t="n">
        <f aca="false">LEN('Saisie programme'!$I$210)+SUMIFS('Vols additionnels'!$E$7:$E$66,'Vols additionnels'!$C$7:$C$66,$E5623,'Vols additionnels'!$D$7:$D$66,$F5623,'Vols additionnels'!$B$7:$B$66,$D5623)</f>
        <v>0</v>
      </c>
      <c r="H5623" s="135" t="n">
        <f aca="false">$G5623*'Analyse capacite'!$F$9</f>
        <v>0</v>
      </c>
      <c r="I5623" s="135" t="n">
        <f aca="false">$G5623*'Analyse capacite'!$C$9</f>
        <v>0</v>
      </c>
      <c r="J5623" s="135" t="n">
        <f aca="false">$G5623*'Analyse capacite'!$D$9</f>
        <v>0</v>
      </c>
      <c r="K5623" s="135" t="n">
        <f aca="false">$G5623*'Analyse capacite'!$E$9</f>
        <v>0</v>
      </c>
    </row>
    <row r="5624" customFormat="false" ht="15" hidden="false" customHeight="false" outlineLevel="0" collapsed="false">
      <c r="B5624" s="130" t="n">
        <v>2027</v>
      </c>
      <c r="C5624" s="131" t="s">
        <v>251</v>
      </c>
      <c r="D5624" s="132" t="n">
        <v>46634</v>
      </c>
      <c r="E5624" s="131" t="s">
        <v>20</v>
      </c>
      <c r="F5624" s="133" t="s">
        <v>11</v>
      </c>
      <c r="G5624" s="134" t="n">
        <f aca="false">LEN('Saisie programme'!$I$211)+SUMIFS('Vols additionnels'!$E$7:$E$66,'Vols additionnels'!$C$7:$C$66,$E5624,'Vols additionnels'!$D$7:$D$66,$F5624,'Vols additionnels'!$B$7:$B$66,$D5624)</f>
        <v>0</v>
      </c>
      <c r="H5624" s="135" t="n">
        <f aca="false">$G5624*'Analyse capacite'!$F$7</f>
        <v>0</v>
      </c>
      <c r="I5624" s="135" t="n">
        <f aca="false">$G5624*'Analyse capacite'!$C$7</f>
        <v>0</v>
      </c>
      <c r="J5624" s="135" t="n">
        <f aca="false">$G5624*'Analyse capacite'!$D$7</f>
        <v>0</v>
      </c>
      <c r="K5624" s="135" t="n">
        <f aca="false">$G5624*'Analyse capacite'!$E$7</f>
        <v>0</v>
      </c>
    </row>
    <row r="5625" customFormat="false" ht="15" hidden="false" customHeight="false" outlineLevel="0" collapsed="false">
      <c r="B5625" s="130" t="n">
        <v>2027</v>
      </c>
      <c r="C5625" s="131" t="s">
        <v>251</v>
      </c>
      <c r="D5625" s="132" t="n">
        <v>46634</v>
      </c>
      <c r="E5625" s="131" t="s">
        <v>20</v>
      </c>
      <c r="F5625" s="133" t="s">
        <v>19</v>
      </c>
      <c r="G5625" s="134" t="n">
        <f aca="false">LEN('Saisie programme'!$I$212)+SUMIFS('Vols additionnels'!$E$7:$E$66,'Vols additionnels'!$C$7:$C$66,$E5625,'Vols additionnels'!$D$7:$D$66,$F5625,'Vols additionnels'!$B$7:$B$66,$D5625)</f>
        <v>0</v>
      </c>
      <c r="H5625" s="135" t="n">
        <f aca="false">$G5625*'Analyse capacite'!$F$8</f>
        <v>0</v>
      </c>
      <c r="I5625" s="135" t="n">
        <f aca="false">$G5625*'Analyse capacite'!$C$8</f>
        <v>0</v>
      </c>
      <c r="J5625" s="135" t="n">
        <f aca="false">$G5625*'Analyse capacite'!$D$8</f>
        <v>0</v>
      </c>
      <c r="K5625" s="135" t="n">
        <f aca="false">$G5625*'Analyse capacite'!$E$8</f>
        <v>0</v>
      </c>
    </row>
    <row r="5626" customFormat="false" ht="15" hidden="false" customHeight="false" outlineLevel="0" collapsed="false">
      <c r="B5626" s="130" t="n">
        <v>2027</v>
      </c>
      <c r="C5626" s="131" t="s">
        <v>251</v>
      </c>
      <c r="D5626" s="132" t="n">
        <v>46634</v>
      </c>
      <c r="E5626" s="131" t="s">
        <v>20</v>
      </c>
      <c r="F5626" s="133" t="s">
        <v>24</v>
      </c>
      <c r="G5626" s="134" t="n">
        <f aca="false">LEN('Saisie programme'!$I$213)+SUMIFS('Vols additionnels'!$E$7:$E$66,'Vols additionnels'!$C$7:$C$66,$E5626,'Vols additionnels'!$D$7:$D$66,$F5626,'Vols additionnels'!$B$7:$B$66,$D5626)</f>
        <v>0</v>
      </c>
      <c r="H5626" s="135" t="n">
        <f aca="false">$G5626*'Analyse capacite'!$F$9</f>
        <v>0</v>
      </c>
      <c r="I5626" s="135" t="n">
        <f aca="false">$G5626*'Analyse capacite'!$C$9</f>
        <v>0</v>
      </c>
      <c r="J5626" s="135" t="n">
        <f aca="false">$G5626*'Analyse capacite'!$D$9</f>
        <v>0</v>
      </c>
      <c r="K5626" s="135" t="n">
        <f aca="false">$G5626*'Analyse capacite'!$E$9</f>
        <v>0</v>
      </c>
    </row>
    <row r="5627" customFormat="false" ht="15" hidden="false" customHeight="false" outlineLevel="0" collapsed="false">
      <c r="B5627" s="130" t="n">
        <v>2027</v>
      </c>
      <c r="C5627" s="131" t="s">
        <v>251</v>
      </c>
      <c r="D5627" s="132" t="n">
        <v>46634</v>
      </c>
      <c r="E5627" s="131" t="s">
        <v>25</v>
      </c>
      <c r="F5627" s="133" t="s">
        <v>11</v>
      </c>
      <c r="G5627" s="134" t="n">
        <f aca="false">LEN('Saisie programme'!$I$214)+SUMIFS('Vols additionnels'!$E$7:$E$66,'Vols additionnels'!$C$7:$C$66,$E5627,'Vols additionnels'!$D$7:$D$66,$F5627,'Vols additionnels'!$B$7:$B$66,$D5627)</f>
        <v>0</v>
      </c>
      <c r="H5627" s="135" t="n">
        <f aca="false">$G5627*'Analyse capacite'!$F$7</f>
        <v>0</v>
      </c>
      <c r="I5627" s="135" t="n">
        <f aca="false">$G5627*'Analyse capacite'!$C$7</f>
        <v>0</v>
      </c>
      <c r="J5627" s="135" t="n">
        <f aca="false">$G5627*'Analyse capacite'!$D$7</f>
        <v>0</v>
      </c>
      <c r="K5627" s="135" t="n">
        <f aca="false">$G5627*'Analyse capacite'!$E$7</f>
        <v>0</v>
      </c>
    </row>
    <row r="5628" customFormat="false" ht="15" hidden="false" customHeight="false" outlineLevel="0" collapsed="false">
      <c r="B5628" s="130" t="n">
        <v>2027</v>
      </c>
      <c r="C5628" s="131" t="s">
        <v>251</v>
      </c>
      <c r="D5628" s="132" t="n">
        <v>46634</v>
      </c>
      <c r="E5628" s="131" t="s">
        <v>25</v>
      </c>
      <c r="F5628" s="133" t="s">
        <v>19</v>
      </c>
      <c r="G5628" s="134" t="n">
        <f aca="false">LEN('Saisie programme'!$I$215)+SUMIFS('Vols additionnels'!$E$7:$E$66,'Vols additionnels'!$C$7:$C$66,$E5628,'Vols additionnels'!$D$7:$D$66,$F5628,'Vols additionnels'!$B$7:$B$66,$D5628)</f>
        <v>1</v>
      </c>
      <c r="H5628" s="135" t="n">
        <f aca="false">$G5628*'Analyse capacite'!$F$8</f>
        <v>262</v>
      </c>
      <c r="I5628" s="135" t="n">
        <f aca="false">$G5628*'Analyse capacite'!$C$8</f>
        <v>18</v>
      </c>
      <c r="J5628" s="135" t="n">
        <f aca="false">$G5628*'Analyse capacite'!$D$8</f>
        <v>0</v>
      </c>
      <c r="K5628" s="135" t="n">
        <f aca="false">$G5628*'Analyse capacite'!$E$8</f>
        <v>244</v>
      </c>
    </row>
    <row r="5629" customFormat="false" ht="15" hidden="false" customHeight="false" outlineLevel="0" collapsed="false">
      <c r="B5629" s="130" t="n">
        <v>2027</v>
      </c>
      <c r="C5629" s="131" t="s">
        <v>251</v>
      </c>
      <c r="D5629" s="132" t="n">
        <v>46634</v>
      </c>
      <c r="E5629" s="131" t="s">
        <v>25</v>
      </c>
      <c r="F5629" s="133" t="s">
        <v>24</v>
      </c>
      <c r="G5629" s="134" t="n">
        <f aca="false">LEN('Saisie programme'!$I$216)+SUMIFS('Vols additionnels'!$E$7:$E$66,'Vols additionnels'!$C$7:$C$66,$E5629,'Vols additionnels'!$D$7:$D$66,$F5629,'Vols additionnels'!$B$7:$B$66,$D5629)</f>
        <v>0</v>
      </c>
      <c r="H5629" s="135" t="n">
        <f aca="false">$G5629*'Analyse capacite'!$F$9</f>
        <v>0</v>
      </c>
      <c r="I5629" s="135" t="n">
        <f aca="false">$G5629*'Analyse capacite'!$C$9</f>
        <v>0</v>
      </c>
      <c r="J5629" s="135" t="n">
        <f aca="false">$G5629*'Analyse capacite'!$D$9</f>
        <v>0</v>
      </c>
      <c r="K5629" s="135" t="n">
        <f aca="false">$G5629*'Analyse capacite'!$E$9</f>
        <v>0</v>
      </c>
    </row>
    <row r="5630" customFormat="false" ht="15" hidden="false" customHeight="false" outlineLevel="0" collapsed="false">
      <c r="B5630" s="130" t="n">
        <v>2027</v>
      </c>
      <c r="C5630" s="131" t="s">
        <v>251</v>
      </c>
      <c r="D5630" s="132" t="n">
        <v>46634</v>
      </c>
      <c r="E5630" s="131" t="s">
        <v>36</v>
      </c>
      <c r="F5630" s="133" t="s">
        <v>11</v>
      </c>
      <c r="G5630" s="134" t="n">
        <f aca="false">LEN('Saisie programme'!$I$217)+SUMIFS('Vols additionnels'!$E$7:$E$66,'Vols additionnels'!$C$7:$C$66,$E5630,'Vols additionnels'!$D$7:$D$66,$F5630,'Vols additionnels'!$B$7:$B$66,$D5630)</f>
        <v>0</v>
      </c>
      <c r="H5630" s="135" t="n">
        <f aca="false">$G5630*'Analyse capacite'!$F$7</f>
        <v>0</v>
      </c>
      <c r="I5630" s="135" t="n">
        <f aca="false">$G5630*'Analyse capacite'!$C$7</f>
        <v>0</v>
      </c>
      <c r="J5630" s="135" t="n">
        <f aca="false">$G5630*'Analyse capacite'!$D$7</f>
        <v>0</v>
      </c>
      <c r="K5630" s="135" t="n">
        <f aca="false">$G5630*'Analyse capacite'!$E$7</f>
        <v>0</v>
      </c>
    </row>
    <row r="5631" customFormat="false" ht="15" hidden="false" customHeight="false" outlineLevel="0" collapsed="false">
      <c r="B5631" s="130" t="n">
        <v>2027</v>
      </c>
      <c r="C5631" s="131" t="s">
        <v>251</v>
      </c>
      <c r="D5631" s="132" t="n">
        <v>46634</v>
      </c>
      <c r="E5631" s="131" t="s">
        <v>36</v>
      </c>
      <c r="F5631" s="133" t="s">
        <v>19</v>
      </c>
      <c r="G5631" s="134" t="n">
        <f aca="false">LEN('Saisie programme'!$I$218)+SUMIFS('Vols additionnels'!$E$7:$E$66,'Vols additionnels'!$C$7:$C$66,$E5631,'Vols additionnels'!$D$7:$D$66,$F5631,'Vols additionnels'!$B$7:$B$66,$D5631)</f>
        <v>0</v>
      </c>
      <c r="H5631" s="135" t="n">
        <f aca="false">$G5631*'Analyse capacite'!$F$8</f>
        <v>0</v>
      </c>
      <c r="I5631" s="135" t="n">
        <f aca="false">$G5631*'Analyse capacite'!$C$8</f>
        <v>0</v>
      </c>
      <c r="J5631" s="135" t="n">
        <f aca="false">$G5631*'Analyse capacite'!$D$8</f>
        <v>0</v>
      </c>
      <c r="K5631" s="135" t="n">
        <f aca="false">$G5631*'Analyse capacite'!$E$8</f>
        <v>0</v>
      </c>
    </row>
    <row r="5632" customFormat="false" ht="15" hidden="false" customHeight="false" outlineLevel="0" collapsed="false">
      <c r="B5632" s="130" t="n">
        <v>2027</v>
      </c>
      <c r="C5632" s="131" t="s">
        <v>251</v>
      </c>
      <c r="D5632" s="132" t="n">
        <v>46634</v>
      </c>
      <c r="E5632" s="131" t="s">
        <v>36</v>
      </c>
      <c r="F5632" s="133" t="s">
        <v>24</v>
      </c>
      <c r="G5632" s="134" t="n">
        <f aca="false">LEN('Saisie programme'!$I$219)+SUMIFS('Vols additionnels'!$E$7:$E$66,'Vols additionnels'!$C$7:$C$66,$E5632,'Vols additionnels'!$D$7:$D$66,$F5632,'Vols additionnels'!$B$7:$B$66,$D5632)</f>
        <v>0</v>
      </c>
      <c r="H5632" s="135" t="n">
        <f aca="false">$G5632*'Analyse capacite'!$F$9</f>
        <v>0</v>
      </c>
      <c r="I5632" s="135" t="n">
        <f aca="false">$G5632*'Analyse capacite'!$C$9</f>
        <v>0</v>
      </c>
      <c r="J5632" s="135" t="n">
        <f aca="false">$G5632*'Analyse capacite'!$D$9</f>
        <v>0</v>
      </c>
      <c r="K5632" s="135" t="n">
        <f aca="false">$G5632*'Analyse capacite'!$E$9</f>
        <v>0</v>
      </c>
    </row>
    <row r="5633" customFormat="false" ht="15" hidden="false" customHeight="false" outlineLevel="0" collapsed="false">
      <c r="B5633" s="130" t="n">
        <v>2027</v>
      </c>
      <c r="C5633" s="131" t="s">
        <v>251</v>
      </c>
      <c r="D5633" s="132" t="n">
        <v>46634</v>
      </c>
      <c r="E5633" s="131" t="s">
        <v>40</v>
      </c>
      <c r="F5633" s="133" t="s">
        <v>11</v>
      </c>
      <c r="G5633" s="134" t="n">
        <f aca="false">LEN('Saisie programme'!$I$220)+SUMIFS('Vols additionnels'!$E$7:$E$66,'Vols additionnels'!$C$7:$C$66,$E5633,'Vols additionnels'!$D$7:$D$66,$F5633,'Vols additionnels'!$B$7:$B$66,$D5633)</f>
        <v>0</v>
      </c>
      <c r="H5633" s="135" t="n">
        <f aca="false">$G5633*'Analyse capacite'!$F$7</f>
        <v>0</v>
      </c>
      <c r="I5633" s="135" t="n">
        <f aca="false">$G5633*'Analyse capacite'!$C$7</f>
        <v>0</v>
      </c>
      <c r="J5633" s="135" t="n">
        <f aca="false">$G5633*'Analyse capacite'!$D$7</f>
        <v>0</v>
      </c>
      <c r="K5633" s="135" t="n">
        <f aca="false">$G5633*'Analyse capacite'!$E$7</f>
        <v>0</v>
      </c>
    </row>
    <row r="5634" customFormat="false" ht="15" hidden="false" customHeight="false" outlineLevel="0" collapsed="false">
      <c r="B5634" s="130" t="n">
        <v>2027</v>
      </c>
      <c r="C5634" s="131" t="s">
        <v>251</v>
      </c>
      <c r="D5634" s="132" t="n">
        <v>46634</v>
      </c>
      <c r="E5634" s="131" t="s">
        <v>40</v>
      </c>
      <c r="F5634" s="133" t="s">
        <v>19</v>
      </c>
      <c r="G5634" s="134" t="n">
        <f aca="false">LEN('Saisie programme'!$I$221)+SUMIFS('Vols additionnels'!$E$7:$E$66,'Vols additionnels'!$C$7:$C$66,$E5634,'Vols additionnels'!$D$7:$D$66,$F5634,'Vols additionnels'!$B$7:$B$66,$D5634)</f>
        <v>0</v>
      </c>
      <c r="H5634" s="135" t="n">
        <f aca="false">$G5634*'Analyse capacite'!$F$8</f>
        <v>0</v>
      </c>
      <c r="I5634" s="135" t="n">
        <f aca="false">$G5634*'Analyse capacite'!$C$8</f>
        <v>0</v>
      </c>
      <c r="J5634" s="135" t="n">
        <f aca="false">$G5634*'Analyse capacite'!$D$8</f>
        <v>0</v>
      </c>
      <c r="K5634" s="135" t="n">
        <f aca="false">$G5634*'Analyse capacite'!$E$8</f>
        <v>0</v>
      </c>
    </row>
    <row r="5635" customFormat="false" ht="15" hidden="false" customHeight="false" outlineLevel="0" collapsed="false">
      <c r="B5635" s="130" t="n">
        <v>2027</v>
      </c>
      <c r="C5635" s="131" t="s">
        <v>251</v>
      </c>
      <c r="D5635" s="132" t="n">
        <v>46634</v>
      </c>
      <c r="E5635" s="131" t="s">
        <v>40</v>
      </c>
      <c r="F5635" s="133" t="s">
        <v>24</v>
      </c>
      <c r="G5635" s="134" t="n">
        <f aca="false">LEN('Saisie programme'!$I$222)+SUMIFS('Vols additionnels'!$E$7:$E$66,'Vols additionnels'!$C$7:$C$66,$E5635,'Vols additionnels'!$D$7:$D$66,$F5635,'Vols additionnels'!$B$7:$B$66,$D5635)</f>
        <v>0</v>
      </c>
      <c r="H5635" s="135" t="n">
        <f aca="false">$G5635*'Analyse capacite'!$F$9</f>
        <v>0</v>
      </c>
      <c r="I5635" s="135" t="n">
        <f aca="false">$G5635*'Analyse capacite'!$C$9</f>
        <v>0</v>
      </c>
      <c r="J5635" s="135" t="n">
        <f aca="false">$G5635*'Analyse capacite'!$D$9</f>
        <v>0</v>
      </c>
      <c r="K5635" s="135" t="n">
        <f aca="false">$G5635*'Analyse capacite'!$E$9</f>
        <v>0</v>
      </c>
    </row>
    <row r="5636" customFormat="false" ht="15" hidden="false" customHeight="false" outlineLevel="0" collapsed="false">
      <c r="B5636" s="130" t="n">
        <v>2027</v>
      </c>
      <c r="C5636" s="131" t="s">
        <v>251</v>
      </c>
      <c r="D5636" s="132" t="n">
        <v>46634</v>
      </c>
      <c r="E5636" s="131" t="s">
        <v>14</v>
      </c>
      <c r="F5636" s="133" t="s">
        <v>11</v>
      </c>
      <c r="G5636" s="134" t="n">
        <f aca="false">LEN('Saisie programme'!$I$223)+SUMIFS('Vols additionnels'!$E$7:$E$66,'Vols additionnels'!$C$7:$C$66,$E5636,'Vols additionnels'!$D$7:$D$66,$F5636,'Vols additionnels'!$B$7:$B$66,$D5636)</f>
        <v>0</v>
      </c>
      <c r="H5636" s="135" t="n">
        <f aca="false">$G5636*'Analyse capacite'!$F$7</f>
        <v>0</v>
      </c>
      <c r="I5636" s="135" t="n">
        <f aca="false">$G5636*'Analyse capacite'!$C$7</f>
        <v>0</v>
      </c>
      <c r="J5636" s="135" t="n">
        <f aca="false">$G5636*'Analyse capacite'!$D$7</f>
        <v>0</v>
      </c>
      <c r="K5636" s="135" t="n">
        <f aca="false">$G5636*'Analyse capacite'!$E$7</f>
        <v>0</v>
      </c>
    </row>
    <row r="5637" customFormat="false" ht="15" hidden="false" customHeight="false" outlineLevel="0" collapsed="false">
      <c r="B5637" s="130" t="n">
        <v>2027</v>
      </c>
      <c r="C5637" s="131" t="s">
        <v>251</v>
      </c>
      <c r="D5637" s="132" t="n">
        <v>46634</v>
      </c>
      <c r="E5637" s="131" t="s">
        <v>14</v>
      </c>
      <c r="F5637" s="133" t="s">
        <v>19</v>
      </c>
      <c r="G5637" s="134" t="n">
        <f aca="false">LEN('Saisie programme'!$I$224)+SUMIFS('Vols additionnels'!$E$7:$E$66,'Vols additionnels'!$C$7:$C$66,$E5637,'Vols additionnels'!$D$7:$D$66,$F5637,'Vols additionnels'!$B$7:$B$66,$D5637)</f>
        <v>0</v>
      </c>
      <c r="H5637" s="135" t="n">
        <f aca="false">$G5637*'Analyse capacite'!$F$8</f>
        <v>0</v>
      </c>
      <c r="I5637" s="135" t="n">
        <f aca="false">$G5637*'Analyse capacite'!$C$8</f>
        <v>0</v>
      </c>
      <c r="J5637" s="135" t="n">
        <f aca="false">$G5637*'Analyse capacite'!$D$8</f>
        <v>0</v>
      </c>
      <c r="K5637" s="135" t="n">
        <f aca="false">$G5637*'Analyse capacite'!$E$8</f>
        <v>0</v>
      </c>
    </row>
    <row r="5638" customFormat="false" ht="15" hidden="false" customHeight="false" outlineLevel="0" collapsed="false">
      <c r="B5638" s="130" t="n">
        <v>2027</v>
      </c>
      <c r="C5638" s="131" t="s">
        <v>251</v>
      </c>
      <c r="D5638" s="132" t="n">
        <v>46634</v>
      </c>
      <c r="E5638" s="131" t="s">
        <v>14</v>
      </c>
      <c r="F5638" s="133" t="s">
        <v>24</v>
      </c>
      <c r="G5638" s="134" t="n">
        <f aca="false">LEN('Saisie programme'!$I$225)+SUMIFS('Vols additionnels'!$E$7:$E$66,'Vols additionnels'!$C$7:$C$66,$E5638,'Vols additionnels'!$D$7:$D$66,$F5638,'Vols additionnels'!$B$7:$B$66,$D5638)</f>
        <v>1</v>
      </c>
      <c r="H5638" s="135" t="n">
        <f aca="false">$G5638*'Analyse capacite'!$F$9</f>
        <v>174</v>
      </c>
      <c r="I5638" s="135" t="n">
        <f aca="false">$G5638*'Analyse capacite'!$C$9</f>
        <v>0</v>
      </c>
      <c r="J5638" s="135" t="n">
        <f aca="false">$G5638*'Analyse capacite'!$D$9</f>
        <v>12</v>
      </c>
      <c r="K5638" s="135" t="n">
        <f aca="false">$G5638*'Analyse capacite'!$E$9</f>
        <v>162</v>
      </c>
    </row>
    <row r="5639" customFormat="false" ht="15" hidden="false" customHeight="false" outlineLevel="0" collapsed="false">
      <c r="B5639" s="130" t="n">
        <v>2027</v>
      </c>
      <c r="C5639" s="131" t="s">
        <v>251</v>
      </c>
      <c r="D5639" s="132" t="n">
        <v>46634</v>
      </c>
      <c r="E5639" s="131" t="s">
        <v>46</v>
      </c>
      <c r="F5639" s="133" t="s">
        <v>11</v>
      </c>
      <c r="G5639" s="134" t="n">
        <f aca="false">LEN('Saisie programme'!$I$226)+SUMIFS('Vols additionnels'!$E$7:$E$66,'Vols additionnels'!$C$7:$C$66,$E5639,'Vols additionnels'!$D$7:$D$66,$F5639,'Vols additionnels'!$B$7:$B$66,$D5639)</f>
        <v>0</v>
      </c>
      <c r="H5639" s="135" t="n">
        <f aca="false">$G5639*'Analyse capacite'!$F$7</f>
        <v>0</v>
      </c>
      <c r="I5639" s="135" t="n">
        <f aca="false">$G5639*'Analyse capacite'!$C$7</f>
        <v>0</v>
      </c>
      <c r="J5639" s="135" t="n">
        <f aca="false">$G5639*'Analyse capacite'!$D$7</f>
        <v>0</v>
      </c>
      <c r="K5639" s="135" t="n">
        <f aca="false">$G5639*'Analyse capacite'!$E$7</f>
        <v>0</v>
      </c>
    </row>
    <row r="5640" customFormat="false" ht="15" hidden="false" customHeight="false" outlineLevel="0" collapsed="false">
      <c r="B5640" s="130" t="n">
        <v>2027</v>
      </c>
      <c r="C5640" s="131" t="s">
        <v>251</v>
      </c>
      <c r="D5640" s="132" t="n">
        <v>46634</v>
      </c>
      <c r="E5640" s="131" t="s">
        <v>46</v>
      </c>
      <c r="F5640" s="133" t="s">
        <v>19</v>
      </c>
      <c r="G5640" s="134" t="n">
        <f aca="false">LEN('Saisie programme'!$I$227)+SUMIFS('Vols additionnels'!$E$7:$E$66,'Vols additionnels'!$C$7:$C$66,$E5640,'Vols additionnels'!$D$7:$D$66,$F5640,'Vols additionnels'!$B$7:$B$66,$D5640)</f>
        <v>0</v>
      </c>
      <c r="H5640" s="135" t="n">
        <f aca="false">$G5640*'Analyse capacite'!$F$8</f>
        <v>0</v>
      </c>
      <c r="I5640" s="135" t="n">
        <f aca="false">$G5640*'Analyse capacite'!$C$8</f>
        <v>0</v>
      </c>
      <c r="J5640" s="135" t="n">
        <f aca="false">$G5640*'Analyse capacite'!$D$8</f>
        <v>0</v>
      </c>
      <c r="K5640" s="135" t="n">
        <f aca="false">$G5640*'Analyse capacite'!$E$8</f>
        <v>0</v>
      </c>
    </row>
    <row r="5641" customFormat="false" ht="15" hidden="false" customHeight="false" outlineLevel="0" collapsed="false">
      <c r="B5641" s="130" t="n">
        <v>2027</v>
      </c>
      <c r="C5641" s="131" t="s">
        <v>251</v>
      </c>
      <c r="D5641" s="132" t="n">
        <v>46634</v>
      </c>
      <c r="E5641" s="131" t="s">
        <v>46</v>
      </c>
      <c r="F5641" s="133" t="s">
        <v>24</v>
      </c>
      <c r="G5641" s="134" t="n">
        <f aca="false">LEN('Saisie programme'!$I$228)+SUMIFS('Vols additionnels'!$E$7:$E$66,'Vols additionnels'!$C$7:$C$66,$E5641,'Vols additionnels'!$D$7:$D$66,$F5641,'Vols additionnels'!$B$7:$B$66,$D5641)</f>
        <v>1</v>
      </c>
      <c r="H5641" s="135" t="n">
        <f aca="false">$G5641*'Analyse capacite'!$F$9</f>
        <v>174</v>
      </c>
      <c r="I5641" s="135" t="n">
        <f aca="false">$G5641*'Analyse capacite'!$C$9</f>
        <v>0</v>
      </c>
      <c r="J5641" s="135" t="n">
        <f aca="false">$G5641*'Analyse capacite'!$D$9</f>
        <v>12</v>
      </c>
      <c r="K5641" s="135" t="n">
        <f aca="false">$G5641*'Analyse capacite'!$E$9</f>
        <v>162</v>
      </c>
    </row>
    <row r="5642" customFormat="false" ht="15" hidden="false" customHeight="false" outlineLevel="0" collapsed="false">
      <c r="B5642" s="130" t="n">
        <v>2027</v>
      </c>
      <c r="C5642" s="131" t="s">
        <v>251</v>
      </c>
      <c r="D5642" s="132" t="n">
        <v>46634</v>
      </c>
      <c r="E5642" s="131" t="s">
        <v>49</v>
      </c>
      <c r="F5642" s="133" t="s">
        <v>11</v>
      </c>
      <c r="G5642" s="134" t="n">
        <f aca="false">LEN('Saisie programme'!$I$229)+SUMIFS('Vols additionnels'!$E$7:$E$66,'Vols additionnels'!$C$7:$C$66,$E5642,'Vols additionnels'!$D$7:$D$66,$F5642,'Vols additionnels'!$B$7:$B$66,$D5642)</f>
        <v>0</v>
      </c>
      <c r="H5642" s="135" t="n">
        <f aca="false">$G5642*'Analyse capacite'!$F$7</f>
        <v>0</v>
      </c>
      <c r="I5642" s="135" t="n">
        <f aca="false">$G5642*'Analyse capacite'!$C$7</f>
        <v>0</v>
      </c>
      <c r="J5642" s="135" t="n">
        <f aca="false">$G5642*'Analyse capacite'!$D$7</f>
        <v>0</v>
      </c>
      <c r="K5642" s="135" t="n">
        <f aca="false">$G5642*'Analyse capacite'!$E$7</f>
        <v>0</v>
      </c>
    </row>
    <row r="5643" customFormat="false" ht="15" hidden="false" customHeight="false" outlineLevel="0" collapsed="false">
      <c r="B5643" s="130" t="n">
        <v>2027</v>
      </c>
      <c r="C5643" s="131" t="s">
        <v>251</v>
      </c>
      <c r="D5643" s="132" t="n">
        <v>46634</v>
      </c>
      <c r="E5643" s="131" t="s">
        <v>49</v>
      </c>
      <c r="F5643" s="133" t="s">
        <v>19</v>
      </c>
      <c r="G5643" s="134" t="n">
        <f aca="false">LEN('Saisie programme'!$I$230)+SUMIFS('Vols additionnels'!$E$7:$E$66,'Vols additionnels'!$C$7:$C$66,$E5643,'Vols additionnels'!$D$7:$D$66,$F5643,'Vols additionnels'!$B$7:$B$66,$D5643)</f>
        <v>0</v>
      </c>
      <c r="H5643" s="135" t="n">
        <f aca="false">$G5643*'Analyse capacite'!$F$8</f>
        <v>0</v>
      </c>
      <c r="I5643" s="135" t="n">
        <f aca="false">$G5643*'Analyse capacite'!$C$8</f>
        <v>0</v>
      </c>
      <c r="J5643" s="135" t="n">
        <f aca="false">$G5643*'Analyse capacite'!$D$8</f>
        <v>0</v>
      </c>
      <c r="K5643" s="135" t="n">
        <f aca="false">$G5643*'Analyse capacite'!$E$8</f>
        <v>0</v>
      </c>
    </row>
    <row r="5644" customFormat="false" ht="15" hidden="false" customHeight="false" outlineLevel="0" collapsed="false">
      <c r="B5644" s="130" t="n">
        <v>2027</v>
      </c>
      <c r="C5644" s="131" t="s">
        <v>251</v>
      </c>
      <c r="D5644" s="132" t="n">
        <v>46634</v>
      </c>
      <c r="E5644" s="131" t="s">
        <v>49</v>
      </c>
      <c r="F5644" s="133" t="s">
        <v>24</v>
      </c>
      <c r="G5644" s="134" t="n">
        <f aca="false">LEN('Saisie programme'!$I$231)+SUMIFS('Vols additionnels'!$E$7:$E$66,'Vols additionnels'!$C$7:$C$66,$E5644,'Vols additionnels'!$D$7:$D$66,$F5644,'Vols additionnels'!$B$7:$B$66,$D5644)</f>
        <v>0</v>
      </c>
      <c r="H5644" s="135" t="n">
        <f aca="false">$G5644*'Analyse capacite'!$F$9</f>
        <v>0</v>
      </c>
      <c r="I5644" s="135" t="n">
        <f aca="false">$G5644*'Analyse capacite'!$C$9</f>
        <v>0</v>
      </c>
      <c r="J5644" s="135" t="n">
        <f aca="false">$G5644*'Analyse capacite'!$D$9</f>
        <v>0</v>
      </c>
      <c r="K5644" s="135" t="n">
        <f aca="false">$G5644*'Analyse capacite'!$E$9</f>
        <v>0</v>
      </c>
    </row>
    <row r="5645" customFormat="false" ht="15" hidden="false" customHeight="false" outlineLevel="0" collapsed="false">
      <c r="B5645" s="130" t="n">
        <v>2027</v>
      </c>
      <c r="C5645" s="131" t="s">
        <v>251</v>
      </c>
      <c r="D5645" s="132" t="n">
        <v>46634</v>
      </c>
      <c r="E5645" s="131" t="s">
        <v>53</v>
      </c>
      <c r="F5645" s="133" t="s">
        <v>11</v>
      </c>
      <c r="G5645" s="134" t="n">
        <f aca="false">LEN('Saisie programme'!$I$232)+SUMIFS('Vols additionnels'!$E$7:$E$66,'Vols additionnels'!$C$7:$C$66,$E5645,'Vols additionnels'!$D$7:$D$66,$F5645,'Vols additionnels'!$B$7:$B$66,$D5645)</f>
        <v>0</v>
      </c>
      <c r="H5645" s="135" t="n">
        <f aca="false">$G5645*'Analyse capacite'!$F$7</f>
        <v>0</v>
      </c>
      <c r="I5645" s="135" t="n">
        <f aca="false">$G5645*'Analyse capacite'!$C$7</f>
        <v>0</v>
      </c>
      <c r="J5645" s="135" t="n">
        <f aca="false">$G5645*'Analyse capacite'!$D$7</f>
        <v>0</v>
      </c>
      <c r="K5645" s="135" t="n">
        <f aca="false">$G5645*'Analyse capacite'!$E$7</f>
        <v>0</v>
      </c>
    </row>
    <row r="5646" customFormat="false" ht="15" hidden="false" customHeight="false" outlineLevel="0" collapsed="false">
      <c r="B5646" s="130" t="n">
        <v>2027</v>
      </c>
      <c r="C5646" s="131" t="s">
        <v>251</v>
      </c>
      <c r="D5646" s="132" t="n">
        <v>46634</v>
      </c>
      <c r="E5646" s="131" t="s">
        <v>53</v>
      </c>
      <c r="F5646" s="133" t="s">
        <v>19</v>
      </c>
      <c r="G5646" s="134" t="n">
        <f aca="false">LEN('Saisie programme'!$I$233)+SUMIFS('Vols additionnels'!$E$7:$E$66,'Vols additionnels'!$C$7:$C$66,$E5646,'Vols additionnels'!$D$7:$D$66,$F5646,'Vols additionnels'!$B$7:$B$66,$D5646)</f>
        <v>0</v>
      </c>
      <c r="H5646" s="135" t="n">
        <f aca="false">$G5646*'Analyse capacite'!$F$8</f>
        <v>0</v>
      </c>
      <c r="I5646" s="135" t="n">
        <f aca="false">$G5646*'Analyse capacite'!$C$8</f>
        <v>0</v>
      </c>
      <c r="J5646" s="135" t="n">
        <f aca="false">$G5646*'Analyse capacite'!$D$8</f>
        <v>0</v>
      </c>
      <c r="K5646" s="135" t="n">
        <f aca="false">$G5646*'Analyse capacite'!$E$8</f>
        <v>0</v>
      </c>
    </row>
    <row r="5647" customFormat="false" ht="15" hidden="false" customHeight="false" outlineLevel="0" collapsed="false">
      <c r="B5647" s="130" t="n">
        <v>2027</v>
      </c>
      <c r="C5647" s="131" t="s">
        <v>251</v>
      </c>
      <c r="D5647" s="132" t="n">
        <v>46634</v>
      </c>
      <c r="E5647" s="131" t="s">
        <v>53</v>
      </c>
      <c r="F5647" s="133" t="s">
        <v>24</v>
      </c>
      <c r="G5647" s="134" t="n">
        <f aca="false">LEN('Saisie programme'!$I$234)+SUMIFS('Vols additionnels'!$E$7:$E$66,'Vols additionnels'!$C$7:$C$66,$E5647,'Vols additionnels'!$D$7:$D$66,$F5647,'Vols additionnels'!$B$7:$B$66,$D5647)</f>
        <v>0</v>
      </c>
      <c r="H5647" s="135" t="n">
        <f aca="false">$G5647*'Analyse capacite'!$F$9</f>
        <v>0</v>
      </c>
      <c r="I5647" s="135" t="n">
        <f aca="false">$G5647*'Analyse capacite'!$C$9</f>
        <v>0</v>
      </c>
      <c r="J5647" s="135" t="n">
        <f aca="false">$G5647*'Analyse capacite'!$D$9</f>
        <v>0</v>
      </c>
      <c r="K5647" s="135" t="n">
        <f aca="false">$G5647*'Analyse capacite'!$E$9</f>
        <v>0</v>
      </c>
    </row>
    <row r="5648" customFormat="false" ht="15" hidden="false" customHeight="false" outlineLevel="0" collapsed="false">
      <c r="B5648" s="130" t="n">
        <v>2027</v>
      </c>
      <c r="C5648" s="131" t="s">
        <v>251</v>
      </c>
      <c r="D5648" s="132" t="n">
        <v>46634</v>
      </c>
      <c r="E5648" s="131" t="s">
        <v>56</v>
      </c>
      <c r="F5648" s="133" t="s">
        <v>11</v>
      </c>
      <c r="G5648" s="134" t="n">
        <f aca="false">LEN('Saisie programme'!$I$235)+SUMIFS('Vols additionnels'!$E$7:$E$66,'Vols additionnels'!$C$7:$C$66,$E5648,'Vols additionnels'!$D$7:$D$66,$F5648,'Vols additionnels'!$B$7:$B$66,$D5648)</f>
        <v>0</v>
      </c>
      <c r="H5648" s="135" t="n">
        <f aca="false">$G5648*'Analyse capacite'!$F$7</f>
        <v>0</v>
      </c>
      <c r="I5648" s="135" t="n">
        <f aca="false">$G5648*'Analyse capacite'!$C$7</f>
        <v>0</v>
      </c>
      <c r="J5648" s="135" t="n">
        <f aca="false">$G5648*'Analyse capacite'!$D$7</f>
        <v>0</v>
      </c>
      <c r="K5648" s="135" t="n">
        <f aca="false">$G5648*'Analyse capacite'!$E$7</f>
        <v>0</v>
      </c>
    </row>
    <row r="5649" customFormat="false" ht="15" hidden="false" customHeight="false" outlineLevel="0" collapsed="false">
      <c r="B5649" s="130" t="n">
        <v>2027</v>
      </c>
      <c r="C5649" s="131" t="s">
        <v>251</v>
      </c>
      <c r="D5649" s="132" t="n">
        <v>46634</v>
      </c>
      <c r="E5649" s="131" t="s">
        <v>56</v>
      </c>
      <c r="F5649" s="133" t="s">
        <v>19</v>
      </c>
      <c r="G5649" s="134" t="n">
        <f aca="false">LEN('Saisie programme'!$I$236)+SUMIFS('Vols additionnels'!$E$7:$E$66,'Vols additionnels'!$C$7:$C$66,$E5649,'Vols additionnels'!$D$7:$D$66,$F5649,'Vols additionnels'!$B$7:$B$66,$D5649)</f>
        <v>0</v>
      </c>
      <c r="H5649" s="135" t="n">
        <f aca="false">$G5649*'Analyse capacite'!$F$8</f>
        <v>0</v>
      </c>
      <c r="I5649" s="135" t="n">
        <f aca="false">$G5649*'Analyse capacite'!$C$8</f>
        <v>0</v>
      </c>
      <c r="J5649" s="135" t="n">
        <f aca="false">$G5649*'Analyse capacite'!$D$8</f>
        <v>0</v>
      </c>
      <c r="K5649" s="135" t="n">
        <f aca="false">$G5649*'Analyse capacite'!$E$8</f>
        <v>0</v>
      </c>
    </row>
    <row r="5650" customFormat="false" ht="15" hidden="false" customHeight="false" outlineLevel="0" collapsed="false">
      <c r="B5650" s="130" t="n">
        <v>2027</v>
      </c>
      <c r="C5650" s="131" t="s">
        <v>251</v>
      </c>
      <c r="D5650" s="132" t="n">
        <v>46634</v>
      </c>
      <c r="E5650" s="131" t="s">
        <v>56</v>
      </c>
      <c r="F5650" s="133" t="s">
        <v>24</v>
      </c>
      <c r="G5650" s="134" t="n">
        <f aca="false">LEN('Saisie programme'!$I$237)+SUMIFS('Vols additionnels'!$E$7:$E$66,'Vols additionnels'!$C$7:$C$66,$E5650,'Vols additionnels'!$D$7:$D$66,$F5650,'Vols additionnels'!$B$7:$B$66,$D5650)</f>
        <v>1</v>
      </c>
      <c r="H5650" s="135" t="n">
        <f aca="false">$G5650*'Analyse capacite'!$F$9</f>
        <v>174</v>
      </c>
      <c r="I5650" s="135" t="n">
        <f aca="false">$G5650*'Analyse capacite'!$C$9</f>
        <v>0</v>
      </c>
      <c r="J5650" s="135" t="n">
        <f aca="false">$G5650*'Analyse capacite'!$D$9</f>
        <v>12</v>
      </c>
      <c r="K5650" s="135" t="n">
        <f aca="false">$G5650*'Analyse capacite'!$E$9</f>
        <v>162</v>
      </c>
    </row>
    <row r="5651" customFormat="false" ht="15" hidden="false" customHeight="false" outlineLevel="0" collapsed="false">
      <c r="B5651" s="130" t="n">
        <v>2027</v>
      </c>
      <c r="C5651" s="131" t="s">
        <v>251</v>
      </c>
      <c r="D5651" s="132" t="n">
        <v>46634</v>
      </c>
      <c r="E5651" s="131" t="s">
        <v>59</v>
      </c>
      <c r="F5651" s="133" t="s">
        <v>11</v>
      </c>
      <c r="G5651" s="134" t="n">
        <f aca="false">LEN('Saisie programme'!$I$238)+SUMIFS('Vols additionnels'!$E$7:$E$66,'Vols additionnels'!$C$7:$C$66,$E5651,'Vols additionnels'!$D$7:$D$66,$F5651,'Vols additionnels'!$B$7:$B$66,$D5651)</f>
        <v>0</v>
      </c>
      <c r="H5651" s="135" t="n">
        <f aca="false">$G5651*'Analyse capacite'!$F$7</f>
        <v>0</v>
      </c>
      <c r="I5651" s="135" t="n">
        <f aca="false">$G5651*'Analyse capacite'!$C$7</f>
        <v>0</v>
      </c>
      <c r="J5651" s="135" t="n">
        <f aca="false">$G5651*'Analyse capacite'!$D$7</f>
        <v>0</v>
      </c>
      <c r="K5651" s="135" t="n">
        <f aca="false">$G5651*'Analyse capacite'!$E$7</f>
        <v>0</v>
      </c>
    </row>
    <row r="5652" customFormat="false" ht="15" hidden="false" customHeight="false" outlineLevel="0" collapsed="false">
      <c r="B5652" s="130" t="n">
        <v>2027</v>
      </c>
      <c r="C5652" s="131" t="s">
        <v>251</v>
      </c>
      <c r="D5652" s="132" t="n">
        <v>46634</v>
      </c>
      <c r="E5652" s="131" t="s">
        <v>59</v>
      </c>
      <c r="F5652" s="133" t="s">
        <v>19</v>
      </c>
      <c r="G5652" s="134" t="n">
        <f aca="false">LEN('Saisie programme'!$I$239)+SUMIFS('Vols additionnels'!$E$7:$E$66,'Vols additionnels'!$C$7:$C$66,$E5652,'Vols additionnels'!$D$7:$D$66,$F5652,'Vols additionnels'!$B$7:$B$66,$D5652)</f>
        <v>0</v>
      </c>
      <c r="H5652" s="135" t="n">
        <f aca="false">$G5652*'Analyse capacite'!$F$8</f>
        <v>0</v>
      </c>
      <c r="I5652" s="135" t="n">
        <f aca="false">$G5652*'Analyse capacite'!$C$8</f>
        <v>0</v>
      </c>
      <c r="J5652" s="135" t="n">
        <f aca="false">$G5652*'Analyse capacite'!$D$8</f>
        <v>0</v>
      </c>
      <c r="K5652" s="135" t="n">
        <f aca="false">$G5652*'Analyse capacite'!$E$8</f>
        <v>0</v>
      </c>
    </row>
    <row r="5653" customFormat="false" ht="15" hidden="false" customHeight="false" outlineLevel="0" collapsed="false">
      <c r="B5653" s="130" t="n">
        <v>2027</v>
      </c>
      <c r="C5653" s="131" t="s">
        <v>251</v>
      </c>
      <c r="D5653" s="132" t="n">
        <v>46634</v>
      </c>
      <c r="E5653" s="131" t="s">
        <v>59</v>
      </c>
      <c r="F5653" s="133" t="s">
        <v>24</v>
      </c>
      <c r="G5653" s="134" t="n">
        <f aca="false">LEN('Saisie programme'!$I$240)+SUMIFS('Vols additionnels'!$E$7:$E$66,'Vols additionnels'!$C$7:$C$66,$E5653,'Vols additionnels'!$D$7:$D$66,$F5653,'Vols additionnels'!$B$7:$B$66,$D5653)</f>
        <v>1</v>
      </c>
      <c r="H5653" s="135" t="n">
        <f aca="false">$G5653*'Analyse capacite'!$F$9</f>
        <v>174</v>
      </c>
      <c r="I5653" s="135" t="n">
        <f aca="false">$G5653*'Analyse capacite'!$C$9</f>
        <v>0</v>
      </c>
      <c r="J5653" s="135" t="n">
        <f aca="false">$G5653*'Analyse capacite'!$D$9</f>
        <v>12</v>
      </c>
      <c r="K5653" s="135" t="n">
        <f aca="false">$G5653*'Analyse capacite'!$E$9</f>
        <v>162</v>
      </c>
    </row>
    <row r="5654" customFormat="false" ht="15" hidden="false" customHeight="false" outlineLevel="0" collapsed="false">
      <c r="B5654" s="130" t="n">
        <v>2027</v>
      </c>
      <c r="C5654" s="131" t="s">
        <v>251</v>
      </c>
      <c r="D5654" s="132" t="n">
        <v>46634</v>
      </c>
      <c r="E5654" s="131" t="s">
        <v>62</v>
      </c>
      <c r="F5654" s="133" t="s">
        <v>11</v>
      </c>
      <c r="G5654" s="134" t="n">
        <f aca="false">LEN('Saisie programme'!$I$241)+SUMIFS('Vols additionnels'!$E$7:$E$66,'Vols additionnels'!$C$7:$C$66,$E5654,'Vols additionnels'!$D$7:$D$66,$F5654,'Vols additionnels'!$B$7:$B$66,$D5654)</f>
        <v>0</v>
      </c>
      <c r="H5654" s="135" t="n">
        <f aca="false">$G5654*'Analyse capacite'!$F$7</f>
        <v>0</v>
      </c>
      <c r="I5654" s="135" t="n">
        <f aca="false">$G5654*'Analyse capacite'!$C$7</f>
        <v>0</v>
      </c>
      <c r="J5654" s="135" t="n">
        <f aca="false">$G5654*'Analyse capacite'!$D$7</f>
        <v>0</v>
      </c>
      <c r="K5654" s="135" t="n">
        <f aca="false">$G5654*'Analyse capacite'!$E$7</f>
        <v>0</v>
      </c>
    </row>
    <row r="5655" customFormat="false" ht="15" hidden="false" customHeight="false" outlineLevel="0" collapsed="false">
      <c r="B5655" s="130" t="n">
        <v>2027</v>
      </c>
      <c r="C5655" s="131" t="s">
        <v>251</v>
      </c>
      <c r="D5655" s="132" t="n">
        <v>46634</v>
      </c>
      <c r="E5655" s="131" t="s">
        <v>62</v>
      </c>
      <c r="F5655" s="133" t="s">
        <v>19</v>
      </c>
      <c r="G5655" s="134" t="n">
        <f aca="false">LEN('Saisie programme'!$I$242)+SUMIFS('Vols additionnels'!$E$7:$E$66,'Vols additionnels'!$C$7:$C$66,$E5655,'Vols additionnels'!$D$7:$D$66,$F5655,'Vols additionnels'!$B$7:$B$66,$D5655)</f>
        <v>0</v>
      </c>
      <c r="H5655" s="135" t="n">
        <f aca="false">$G5655*'Analyse capacite'!$F$8</f>
        <v>0</v>
      </c>
      <c r="I5655" s="135" t="n">
        <f aca="false">$G5655*'Analyse capacite'!$C$8</f>
        <v>0</v>
      </c>
      <c r="J5655" s="135" t="n">
        <f aca="false">$G5655*'Analyse capacite'!$D$8</f>
        <v>0</v>
      </c>
      <c r="K5655" s="135" t="n">
        <f aca="false">$G5655*'Analyse capacite'!$E$8</f>
        <v>0</v>
      </c>
    </row>
    <row r="5656" customFormat="false" ht="15" hidden="false" customHeight="false" outlineLevel="0" collapsed="false">
      <c r="B5656" s="130" t="n">
        <v>2027</v>
      </c>
      <c r="C5656" s="131" t="s">
        <v>251</v>
      </c>
      <c r="D5656" s="132" t="n">
        <v>46634</v>
      </c>
      <c r="E5656" s="131" t="s">
        <v>62</v>
      </c>
      <c r="F5656" s="133" t="s">
        <v>24</v>
      </c>
      <c r="G5656" s="134" t="n">
        <f aca="false">LEN('Saisie programme'!$I$243)+SUMIFS('Vols additionnels'!$E$7:$E$66,'Vols additionnels'!$C$7:$C$66,$E5656,'Vols additionnels'!$D$7:$D$66,$F5656,'Vols additionnels'!$B$7:$B$66,$D5656)</f>
        <v>0</v>
      </c>
      <c r="H5656" s="135" t="n">
        <f aca="false">$G5656*'Analyse capacite'!$F$9</f>
        <v>0</v>
      </c>
      <c r="I5656" s="135" t="n">
        <f aca="false">$G5656*'Analyse capacite'!$C$9</f>
        <v>0</v>
      </c>
      <c r="J5656" s="135" t="n">
        <f aca="false">$G5656*'Analyse capacite'!$D$9</f>
        <v>0</v>
      </c>
      <c r="K5656" s="135" t="n">
        <f aca="false">$G5656*'Analyse capacite'!$E$9</f>
        <v>0</v>
      </c>
    </row>
    <row r="5657" customFormat="false" ht="15" hidden="false" customHeight="false" outlineLevel="0" collapsed="false">
      <c r="B5657" s="130" t="n">
        <v>2027</v>
      </c>
      <c r="C5657" s="131" t="s">
        <v>251</v>
      </c>
      <c r="D5657" s="132" t="n">
        <v>46635</v>
      </c>
      <c r="E5657" s="131" t="s">
        <v>12</v>
      </c>
      <c r="F5657" s="133" t="s">
        <v>11</v>
      </c>
      <c r="G5657" s="134" t="n">
        <f aca="false">LEN('Saisie programme'!$J$208)+SUMIFS('Vols additionnels'!$E$7:$E$66,'Vols additionnels'!$C$7:$C$66,$E5657,'Vols additionnels'!$D$7:$D$66,$F5657,'Vols additionnels'!$B$7:$B$66,$D5657)</f>
        <v>1</v>
      </c>
      <c r="H5657" s="135" t="n">
        <f aca="false">$G5657*'Analyse capacite'!$F$7</f>
        <v>438</v>
      </c>
      <c r="I5657" s="135" t="n">
        <f aca="false">$G5657*'Analyse capacite'!$C$7</f>
        <v>14</v>
      </c>
      <c r="J5657" s="135" t="n">
        <f aca="false">$G5657*'Analyse capacite'!$D$7</f>
        <v>40</v>
      </c>
      <c r="K5657" s="135" t="n">
        <f aca="false">$G5657*'Analyse capacite'!$E$7</f>
        <v>384</v>
      </c>
    </row>
    <row r="5658" customFormat="false" ht="15" hidden="false" customHeight="false" outlineLevel="0" collapsed="false">
      <c r="B5658" s="130" t="n">
        <v>2027</v>
      </c>
      <c r="C5658" s="131" t="s">
        <v>251</v>
      </c>
      <c r="D5658" s="132" t="n">
        <v>46635</v>
      </c>
      <c r="E5658" s="131" t="s">
        <v>12</v>
      </c>
      <c r="F5658" s="133" t="s">
        <v>19</v>
      </c>
      <c r="G5658" s="134" t="n">
        <f aca="false">LEN('Saisie programme'!$J$209)+SUMIFS('Vols additionnels'!$E$7:$E$66,'Vols additionnels'!$C$7:$C$66,$E5658,'Vols additionnels'!$D$7:$D$66,$F5658,'Vols additionnels'!$B$7:$B$66,$D5658)</f>
        <v>0</v>
      </c>
      <c r="H5658" s="135" t="n">
        <f aca="false">$G5658*'Analyse capacite'!$F$8</f>
        <v>0</v>
      </c>
      <c r="I5658" s="135" t="n">
        <f aca="false">$G5658*'Analyse capacite'!$C$8</f>
        <v>0</v>
      </c>
      <c r="J5658" s="135" t="n">
        <f aca="false">$G5658*'Analyse capacite'!$D$8</f>
        <v>0</v>
      </c>
      <c r="K5658" s="135" t="n">
        <f aca="false">$G5658*'Analyse capacite'!$E$8</f>
        <v>0</v>
      </c>
    </row>
    <row r="5659" customFormat="false" ht="15" hidden="false" customHeight="false" outlineLevel="0" collapsed="false">
      <c r="B5659" s="130" t="n">
        <v>2027</v>
      </c>
      <c r="C5659" s="131" t="s">
        <v>251</v>
      </c>
      <c r="D5659" s="132" t="n">
        <v>46635</v>
      </c>
      <c r="E5659" s="131" t="s">
        <v>12</v>
      </c>
      <c r="F5659" s="133" t="s">
        <v>24</v>
      </c>
      <c r="G5659" s="134" t="n">
        <f aca="false">LEN('Saisie programme'!$J$210)+SUMIFS('Vols additionnels'!$E$7:$E$66,'Vols additionnels'!$C$7:$C$66,$E5659,'Vols additionnels'!$D$7:$D$66,$F5659,'Vols additionnels'!$B$7:$B$66,$D5659)</f>
        <v>0</v>
      </c>
      <c r="H5659" s="135" t="n">
        <f aca="false">$G5659*'Analyse capacite'!$F$9</f>
        <v>0</v>
      </c>
      <c r="I5659" s="135" t="n">
        <f aca="false">$G5659*'Analyse capacite'!$C$9</f>
        <v>0</v>
      </c>
      <c r="J5659" s="135" t="n">
        <f aca="false">$G5659*'Analyse capacite'!$D$9</f>
        <v>0</v>
      </c>
      <c r="K5659" s="135" t="n">
        <f aca="false">$G5659*'Analyse capacite'!$E$9</f>
        <v>0</v>
      </c>
    </row>
    <row r="5660" customFormat="false" ht="15" hidden="false" customHeight="false" outlineLevel="0" collapsed="false">
      <c r="B5660" s="130" t="n">
        <v>2027</v>
      </c>
      <c r="C5660" s="131" t="s">
        <v>251</v>
      </c>
      <c r="D5660" s="132" t="n">
        <v>46635</v>
      </c>
      <c r="E5660" s="131" t="s">
        <v>20</v>
      </c>
      <c r="F5660" s="133" t="s">
        <v>11</v>
      </c>
      <c r="G5660" s="134" t="n">
        <f aca="false">LEN('Saisie programme'!$J$211)+SUMIFS('Vols additionnels'!$E$7:$E$66,'Vols additionnels'!$C$7:$C$66,$E5660,'Vols additionnels'!$D$7:$D$66,$F5660,'Vols additionnels'!$B$7:$B$66,$D5660)</f>
        <v>1</v>
      </c>
      <c r="H5660" s="135" t="n">
        <f aca="false">$G5660*'Analyse capacite'!$F$7</f>
        <v>438</v>
      </c>
      <c r="I5660" s="135" t="n">
        <f aca="false">$G5660*'Analyse capacite'!$C$7</f>
        <v>14</v>
      </c>
      <c r="J5660" s="135" t="n">
        <f aca="false">$G5660*'Analyse capacite'!$D$7</f>
        <v>40</v>
      </c>
      <c r="K5660" s="135" t="n">
        <f aca="false">$G5660*'Analyse capacite'!$E$7</f>
        <v>384</v>
      </c>
    </row>
    <row r="5661" customFormat="false" ht="15" hidden="false" customHeight="false" outlineLevel="0" collapsed="false">
      <c r="B5661" s="130" t="n">
        <v>2027</v>
      </c>
      <c r="C5661" s="131" t="s">
        <v>251</v>
      </c>
      <c r="D5661" s="132" t="n">
        <v>46635</v>
      </c>
      <c r="E5661" s="131" t="s">
        <v>20</v>
      </c>
      <c r="F5661" s="133" t="s">
        <v>19</v>
      </c>
      <c r="G5661" s="134" t="n">
        <f aca="false">LEN('Saisie programme'!$J$212)+SUMIFS('Vols additionnels'!$E$7:$E$66,'Vols additionnels'!$C$7:$C$66,$E5661,'Vols additionnels'!$D$7:$D$66,$F5661,'Vols additionnels'!$B$7:$B$66,$D5661)</f>
        <v>0</v>
      </c>
      <c r="H5661" s="135" t="n">
        <f aca="false">$G5661*'Analyse capacite'!$F$8</f>
        <v>0</v>
      </c>
      <c r="I5661" s="135" t="n">
        <f aca="false">$G5661*'Analyse capacite'!$C$8</f>
        <v>0</v>
      </c>
      <c r="J5661" s="135" t="n">
        <f aca="false">$G5661*'Analyse capacite'!$D$8</f>
        <v>0</v>
      </c>
      <c r="K5661" s="135" t="n">
        <f aca="false">$G5661*'Analyse capacite'!$E$8</f>
        <v>0</v>
      </c>
    </row>
    <row r="5662" customFormat="false" ht="15" hidden="false" customHeight="false" outlineLevel="0" collapsed="false">
      <c r="B5662" s="130" t="n">
        <v>2027</v>
      </c>
      <c r="C5662" s="131" t="s">
        <v>251</v>
      </c>
      <c r="D5662" s="132" t="n">
        <v>46635</v>
      </c>
      <c r="E5662" s="131" t="s">
        <v>20</v>
      </c>
      <c r="F5662" s="133" t="s">
        <v>24</v>
      </c>
      <c r="G5662" s="134" t="n">
        <f aca="false">LEN('Saisie programme'!$J$213)+SUMIFS('Vols additionnels'!$E$7:$E$66,'Vols additionnels'!$C$7:$C$66,$E5662,'Vols additionnels'!$D$7:$D$66,$F5662,'Vols additionnels'!$B$7:$B$66,$D5662)</f>
        <v>0</v>
      </c>
      <c r="H5662" s="135" t="n">
        <f aca="false">$G5662*'Analyse capacite'!$F$9</f>
        <v>0</v>
      </c>
      <c r="I5662" s="135" t="n">
        <f aca="false">$G5662*'Analyse capacite'!$C$9</f>
        <v>0</v>
      </c>
      <c r="J5662" s="135" t="n">
        <f aca="false">$G5662*'Analyse capacite'!$D$9</f>
        <v>0</v>
      </c>
      <c r="K5662" s="135" t="n">
        <f aca="false">$G5662*'Analyse capacite'!$E$9</f>
        <v>0</v>
      </c>
    </row>
    <row r="5663" customFormat="false" ht="15" hidden="false" customHeight="false" outlineLevel="0" collapsed="false">
      <c r="B5663" s="130" t="n">
        <v>2027</v>
      </c>
      <c r="C5663" s="131" t="s">
        <v>251</v>
      </c>
      <c r="D5663" s="132" t="n">
        <v>46635</v>
      </c>
      <c r="E5663" s="131" t="s">
        <v>25</v>
      </c>
      <c r="F5663" s="133" t="s">
        <v>11</v>
      </c>
      <c r="G5663" s="134" t="n">
        <f aca="false">LEN('Saisie programme'!$J$214)+SUMIFS('Vols additionnels'!$E$7:$E$66,'Vols additionnels'!$C$7:$C$66,$E5663,'Vols additionnels'!$D$7:$D$66,$F5663,'Vols additionnels'!$B$7:$B$66,$D5663)</f>
        <v>0</v>
      </c>
      <c r="H5663" s="135" t="n">
        <f aca="false">$G5663*'Analyse capacite'!$F$7</f>
        <v>0</v>
      </c>
      <c r="I5663" s="135" t="n">
        <f aca="false">$G5663*'Analyse capacite'!$C$7</f>
        <v>0</v>
      </c>
      <c r="J5663" s="135" t="n">
        <f aca="false">$G5663*'Analyse capacite'!$D$7</f>
        <v>0</v>
      </c>
      <c r="K5663" s="135" t="n">
        <f aca="false">$G5663*'Analyse capacite'!$E$7</f>
        <v>0</v>
      </c>
    </row>
    <row r="5664" customFormat="false" ht="15" hidden="false" customHeight="false" outlineLevel="0" collapsed="false">
      <c r="B5664" s="130" t="n">
        <v>2027</v>
      </c>
      <c r="C5664" s="131" t="s">
        <v>251</v>
      </c>
      <c r="D5664" s="132" t="n">
        <v>46635</v>
      </c>
      <c r="E5664" s="131" t="s">
        <v>25</v>
      </c>
      <c r="F5664" s="133" t="s">
        <v>19</v>
      </c>
      <c r="G5664" s="134" t="n">
        <f aca="false">LEN('Saisie programme'!$J$215)+SUMIFS('Vols additionnels'!$E$7:$E$66,'Vols additionnels'!$C$7:$C$66,$E5664,'Vols additionnels'!$D$7:$D$66,$F5664,'Vols additionnels'!$B$7:$B$66,$D5664)</f>
        <v>0</v>
      </c>
      <c r="H5664" s="135" t="n">
        <f aca="false">$G5664*'Analyse capacite'!$F$8</f>
        <v>0</v>
      </c>
      <c r="I5664" s="135" t="n">
        <f aca="false">$G5664*'Analyse capacite'!$C$8</f>
        <v>0</v>
      </c>
      <c r="J5664" s="135" t="n">
        <f aca="false">$G5664*'Analyse capacite'!$D$8</f>
        <v>0</v>
      </c>
      <c r="K5664" s="135" t="n">
        <f aca="false">$G5664*'Analyse capacite'!$E$8</f>
        <v>0</v>
      </c>
    </row>
    <row r="5665" customFormat="false" ht="15" hidden="false" customHeight="false" outlineLevel="0" collapsed="false">
      <c r="B5665" s="130" t="n">
        <v>2027</v>
      </c>
      <c r="C5665" s="131" t="s">
        <v>251</v>
      </c>
      <c r="D5665" s="132" t="n">
        <v>46635</v>
      </c>
      <c r="E5665" s="131" t="s">
        <v>25</v>
      </c>
      <c r="F5665" s="133" t="s">
        <v>24</v>
      </c>
      <c r="G5665" s="134" t="n">
        <f aca="false">LEN('Saisie programme'!$J$216)+SUMIFS('Vols additionnels'!$E$7:$E$66,'Vols additionnels'!$C$7:$C$66,$E5665,'Vols additionnels'!$D$7:$D$66,$F5665,'Vols additionnels'!$B$7:$B$66,$D5665)</f>
        <v>0</v>
      </c>
      <c r="H5665" s="135" t="n">
        <f aca="false">$G5665*'Analyse capacite'!$F$9</f>
        <v>0</v>
      </c>
      <c r="I5665" s="135" t="n">
        <f aca="false">$G5665*'Analyse capacite'!$C$9</f>
        <v>0</v>
      </c>
      <c r="J5665" s="135" t="n">
        <f aca="false">$G5665*'Analyse capacite'!$D$9</f>
        <v>0</v>
      </c>
      <c r="K5665" s="135" t="n">
        <f aca="false">$G5665*'Analyse capacite'!$E$9</f>
        <v>0</v>
      </c>
    </row>
    <row r="5666" customFormat="false" ht="15" hidden="false" customHeight="false" outlineLevel="0" collapsed="false">
      <c r="B5666" s="130" t="n">
        <v>2027</v>
      </c>
      <c r="C5666" s="131" t="s">
        <v>251</v>
      </c>
      <c r="D5666" s="132" t="n">
        <v>46635</v>
      </c>
      <c r="E5666" s="131" t="s">
        <v>36</v>
      </c>
      <c r="F5666" s="133" t="s">
        <v>11</v>
      </c>
      <c r="G5666" s="134" t="n">
        <f aca="false">LEN('Saisie programme'!$J$217)+SUMIFS('Vols additionnels'!$E$7:$E$66,'Vols additionnels'!$C$7:$C$66,$E5666,'Vols additionnels'!$D$7:$D$66,$F5666,'Vols additionnels'!$B$7:$B$66,$D5666)</f>
        <v>0</v>
      </c>
      <c r="H5666" s="135" t="n">
        <f aca="false">$G5666*'Analyse capacite'!$F$7</f>
        <v>0</v>
      </c>
      <c r="I5666" s="135" t="n">
        <f aca="false">$G5666*'Analyse capacite'!$C$7</f>
        <v>0</v>
      </c>
      <c r="J5666" s="135" t="n">
        <f aca="false">$G5666*'Analyse capacite'!$D$7</f>
        <v>0</v>
      </c>
      <c r="K5666" s="135" t="n">
        <f aca="false">$G5666*'Analyse capacite'!$E$7</f>
        <v>0</v>
      </c>
    </row>
    <row r="5667" customFormat="false" ht="15" hidden="false" customHeight="false" outlineLevel="0" collapsed="false">
      <c r="B5667" s="130" t="n">
        <v>2027</v>
      </c>
      <c r="C5667" s="131" t="s">
        <v>251</v>
      </c>
      <c r="D5667" s="132" t="n">
        <v>46635</v>
      </c>
      <c r="E5667" s="131" t="s">
        <v>36</v>
      </c>
      <c r="F5667" s="133" t="s">
        <v>19</v>
      </c>
      <c r="G5667" s="134" t="n">
        <f aca="false">LEN('Saisie programme'!$J$218)+SUMIFS('Vols additionnels'!$E$7:$E$66,'Vols additionnels'!$C$7:$C$66,$E5667,'Vols additionnels'!$D$7:$D$66,$F5667,'Vols additionnels'!$B$7:$B$66,$D5667)</f>
        <v>0</v>
      </c>
      <c r="H5667" s="135" t="n">
        <f aca="false">$G5667*'Analyse capacite'!$F$8</f>
        <v>0</v>
      </c>
      <c r="I5667" s="135" t="n">
        <f aca="false">$G5667*'Analyse capacite'!$C$8</f>
        <v>0</v>
      </c>
      <c r="J5667" s="135" t="n">
        <f aca="false">$G5667*'Analyse capacite'!$D$8</f>
        <v>0</v>
      </c>
      <c r="K5667" s="135" t="n">
        <f aca="false">$G5667*'Analyse capacite'!$E$8</f>
        <v>0</v>
      </c>
    </row>
    <row r="5668" customFormat="false" ht="15" hidden="false" customHeight="false" outlineLevel="0" collapsed="false">
      <c r="B5668" s="130" t="n">
        <v>2027</v>
      </c>
      <c r="C5668" s="131" t="s">
        <v>251</v>
      </c>
      <c r="D5668" s="132" t="n">
        <v>46635</v>
      </c>
      <c r="E5668" s="131" t="s">
        <v>36</v>
      </c>
      <c r="F5668" s="133" t="s">
        <v>24</v>
      </c>
      <c r="G5668" s="134" t="n">
        <f aca="false">LEN('Saisie programme'!$J$219)+SUMIFS('Vols additionnels'!$E$7:$E$66,'Vols additionnels'!$C$7:$C$66,$E5668,'Vols additionnels'!$D$7:$D$66,$F5668,'Vols additionnels'!$B$7:$B$66,$D5668)</f>
        <v>0</v>
      </c>
      <c r="H5668" s="135" t="n">
        <f aca="false">$G5668*'Analyse capacite'!$F$9</f>
        <v>0</v>
      </c>
      <c r="I5668" s="135" t="n">
        <f aca="false">$G5668*'Analyse capacite'!$C$9</f>
        <v>0</v>
      </c>
      <c r="J5668" s="135" t="n">
        <f aca="false">$G5668*'Analyse capacite'!$D$9</f>
        <v>0</v>
      </c>
      <c r="K5668" s="135" t="n">
        <f aca="false">$G5668*'Analyse capacite'!$E$9</f>
        <v>0</v>
      </c>
    </row>
    <row r="5669" customFormat="false" ht="15" hidden="false" customHeight="false" outlineLevel="0" collapsed="false">
      <c r="B5669" s="130" t="n">
        <v>2027</v>
      </c>
      <c r="C5669" s="131" t="s">
        <v>251</v>
      </c>
      <c r="D5669" s="132" t="n">
        <v>46635</v>
      </c>
      <c r="E5669" s="131" t="s">
        <v>40</v>
      </c>
      <c r="F5669" s="133" t="s">
        <v>11</v>
      </c>
      <c r="G5669" s="134" t="n">
        <f aca="false">LEN('Saisie programme'!$J$220)+SUMIFS('Vols additionnels'!$E$7:$E$66,'Vols additionnels'!$C$7:$C$66,$E5669,'Vols additionnels'!$D$7:$D$66,$F5669,'Vols additionnels'!$B$7:$B$66,$D5669)</f>
        <v>0</v>
      </c>
      <c r="H5669" s="135" t="n">
        <f aca="false">$G5669*'Analyse capacite'!$F$7</f>
        <v>0</v>
      </c>
      <c r="I5669" s="135" t="n">
        <f aca="false">$G5669*'Analyse capacite'!$C$7</f>
        <v>0</v>
      </c>
      <c r="J5669" s="135" t="n">
        <f aca="false">$G5669*'Analyse capacite'!$D$7</f>
        <v>0</v>
      </c>
      <c r="K5669" s="135" t="n">
        <f aca="false">$G5669*'Analyse capacite'!$E$7</f>
        <v>0</v>
      </c>
    </row>
    <row r="5670" customFormat="false" ht="15" hidden="false" customHeight="false" outlineLevel="0" collapsed="false">
      <c r="B5670" s="130" t="n">
        <v>2027</v>
      </c>
      <c r="C5670" s="131" t="s">
        <v>251</v>
      </c>
      <c r="D5670" s="132" t="n">
        <v>46635</v>
      </c>
      <c r="E5670" s="131" t="s">
        <v>40</v>
      </c>
      <c r="F5670" s="133" t="s">
        <v>19</v>
      </c>
      <c r="G5670" s="134" t="n">
        <f aca="false">LEN('Saisie programme'!$J$221)+SUMIFS('Vols additionnels'!$E$7:$E$66,'Vols additionnels'!$C$7:$C$66,$E5670,'Vols additionnels'!$D$7:$D$66,$F5670,'Vols additionnels'!$B$7:$B$66,$D5670)</f>
        <v>0</v>
      </c>
      <c r="H5670" s="135" t="n">
        <f aca="false">$G5670*'Analyse capacite'!$F$8</f>
        <v>0</v>
      </c>
      <c r="I5670" s="135" t="n">
        <f aca="false">$G5670*'Analyse capacite'!$C$8</f>
        <v>0</v>
      </c>
      <c r="J5670" s="135" t="n">
        <f aca="false">$G5670*'Analyse capacite'!$D$8</f>
        <v>0</v>
      </c>
      <c r="K5670" s="135" t="n">
        <f aca="false">$G5670*'Analyse capacite'!$E$8</f>
        <v>0</v>
      </c>
    </row>
    <row r="5671" customFormat="false" ht="15" hidden="false" customHeight="false" outlineLevel="0" collapsed="false">
      <c r="B5671" s="130" t="n">
        <v>2027</v>
      </c>
      <c r="C5671" s="131" t="s">
        <v>251</v>
      </c>
      <c r="D5671" s="132" t="n">
        <v>46635</v>
      </c>
      <c r="E5671" s="131" t="s">
        <v>40</v>
      </c>
      <c r="F5671" s="133" t="s">
        <v>24</v>
      </c>
      <c r="G5671" s="134" t="n">
        <f aca="false">LEN('Saisie programme'!$J$222)+SUMIFS('Vols additionnels'!$E$7:$E$66,'Vols additionnels'!$C$7:$C$66,$E5671,'Vols additionnels'!$D$7:$D$66,$F5671,'Vols additionnels'!$B$7:$B$66,$D5671)</f>
        <v>1</v>
      </c>
      <c r="H5671" s="135" t="n">
        <f aca="false">$G5671*'Analyse capacite'!$F$9</f>
        <v>174</v>
      </c>
      <c r="I5671" s="135" t="n">
        <f aca="false">$G5671*'Analyse capacite'!$C$9</f>
        <v>0</v>
      </c>
      <c r="J5671" s="135" t="n">
        <f aca="false">$G5671*'Analyse capacite'!$D$9</f>
        <v>12</v>
      </c>
      <c r="K5671" s="135" t="n">
        <f aca="false">$G5671*'Analyse capacite'!$E$9</f>
        <v>162</v>
      </c>
    </row>
    <row r="5672" customFormat="false" ht="15" hidden="false" customHeight="false" outlineLevel="0" collapsed="false">
      <c r="B5672" s="130" t="n">
        <v>2027</v>
      </c>
      <c r="C5672" s="131" t="s">
        <v>251</v>
      </c>
      <c r="D5672" s="132" t="n">
        <v>46635</v>
      </c>
      <c r="E5672" s="131" t="s">
        <v>14</v>
      </c>
      <c r="F5672" s="133" t="s">
        <v>11</v>
      </c>
      <c r="G5672" s="134" t="n">
        <f aca="false">LEN('Saisie programme'!$J$223)+SUMIFS('Vols additionnels'!$E$7:$E$66,'Vols additionnels'!$C$7:$C$66,$E5672,'Vols additionnels'!$D$7:$D$66,$F5672,'Vols additionnels'!$B$7:$B$66,$D5672)</f>
        <v>0</v>
      </c>
      <c r="H5672" s="135" t="n">
        <f aca="false">$G5672*'Analyse capacite'!$F$7</f>
        <v>0</v>
      </c>
      <c r="I5672" s="135" t="n">
        <f aca="false">$G5672*'Analyse capacite'!$C$7</f>
        <v>0</v>
      </c>
      <c r="J5672" s="135" t="n">
        <f aca="false">$G5672*'Analyse capacite'!$D$7</f>
        <v>0</v>
      </c>
      <c r="K5672" s="135" t="n">
        <f aca="false">$G5672*'Analyse capacite'!$E$7</f>
        <v>0</v>
      </c>
    </row>
    <row r="5673" customFormat="false" ht="15" hidden="false" customHeight="false" outlineLevel="0" collapsed="false">
      <c r="B5673" s="130" t="n">
        <v>2027</v>
      </c>
      <c r="C5673" s="131" t="s">
        <v>251</v>
      </c>
      <c r="D5673" s="132" t="n">
        <v>46635</v>
      </c>
      <c r="E5673" s="131" t="s">
        <v>14</v>
      </c>
      <c r="F5673" s="133" t="s">
        <v>19</v>
      </c>
      <c r="G5673" s="134" t="n">
        <f aca="false">LEN('Saisie programme'!$J$224)+SUMIFS('Vols additionnels'!$E$7:$E$66,'Vols additionnels'!$C$7:$C$66,$E5673,'Vols additionnels'!$D$7:$D$66,$F5673,'Vols additionnels'!$B$7:$B$66,$D5673)</f>
        <v>0</v>
      </c>
      <c r="H5673" s="135" t="n">
        <f aca="false">$G5673*'Analyse capacite'!$F$8</f>
        <v>0</v>
      </c>
      <c r="I5673" s="135" t="n">
        <f aca="false">$G5673*'Analyse capacite'!$C$8</f>
        <v>0</v>
      </c>
      <c r="J5673" s="135" t="n">
        <f aca="false">$G5673*'Analyse capacite'!$D$8</f>
        <v>0</v>
      </c>
      <c r="K5673" s="135" t="n">
        <f aca="false">$G5673*'Analyse capacite'!$E$8</f>
        <v>0</v>
      </c>
    </row>
    <row r="5674" customFormat="false" ht="15" hidden="false" customHeight="false" outlineLevel="0" collapsed="false">
      <c r="B5674" s="130" t="n">
        <v>2027</v>
      </c>
      <c r="C5674" s="131" t="s">
        <v>251</v>
      </c>
      <c r="D5674" s="132" t="n">
        <v>46635</v>
      </c>
      <c r="E5674" s="131" t="s">
        <v>14</v>
      </c>
      <c r="F5674" s="133" t="s">
        <v>24</v>
      </c>
      <c r="G5674" s="134" t="n">
        <f aca="false">LEN('Saisie programme'!$J$225)+SUMIFS('Vols additionnels'!$E$7:$E$66,'Vols additionnels'!$C$7:$C$66,$E5674,'Vols additionnels'!$D$7:$D$66,$F5674,'Vols additionnels'!$B$7:$B$66,$D5674)</f>
        <v>0</v>
      </c>
      <c r="H5674" s="135" t="n">
        <f aca="false">$G5674*'Analyse capacite'!$F$9</f>
        <v>0</v>
      </c>
      <c r="I5674" s="135" t="n">
        <f aca="false">$G5674*'Analyse capacite'!$C$9</f>
        <v>0</v>
      </c>
      <c r="J5674" s="135" t="n">
        <f aca="false">$G5674*'Analyse capacite'!$D$9</f>
        <v>0</v>
      </c>
      <c r="K5674" s="135" t="n">
        <f aca="false">$G5674*'Analyse capacite'!$E$9</f>
        <v>0</v>
      </c>
    </row>
    <row r="5675" customFormat="false" ht="15" hidden="false" customHeight="false" outlineLevel="0" collapsed="false">
      <c r="B5675" s="130" t="n">
        <v>2027</v>
      </c>
      <c r="C5675" s="131" t="s">
        <v>251</v>
      </c>
      <c r="D5675" s="132" t="n">
        <v>46635</v>
      </c>
      <c r="E5675" s="131" t="s">
        <v>46</v>
      </c>
      <c r="F5675" s="133" t="s">
        <v>11</v>
      </c>
      <c r="G5675" s="134" t="n">
        <f aca="false">LEN('Saisie programme'!$J$226)+SUMIFS('Vols additionnels'!$E$7:$E$66,'Vols additionnels'!$C$7:$C$66,$E5675,'Vols additionnels'!$D$7:$D$66,$F5675,'Vols additionnels'!$B$7:$B$66,$D5675)</f>
        <v>0</v>
      </c>
      <c r="H5675" s="135" t="n">
        <f aca="false">$G5675*'Analyse capacite'!$F$7</f>
        <v>0</v>
      </c>
      <c r="I5675" s="135" t="n">
        <f aca="false">$G5675*'Analyse capacite'!$C$7</f>
        <v>0</v>
      </c>
      <c r="J5675" s="135" t="n">
        <f aca="false">$G5675*'Analyse capacite'!$D$7</f>
        <v>0</v>
      </c>
      <c r="K5675" s="135" t="n">
        <f aca="false">$G5675*'Analyse capacite'!$E$7</f>
        <v>0</v>
      </c>
    </row>
    <row r="5676" customFormat="false" ht="15" hidden="false" customHeight="false" outlineLevel="0" collapsed="false">
      <c r="B5676" s="130" t="n">
        <v>2027</v>
      </c>
      <c r="C5676" s="131" t="s">
        <v>251</v>
      </c>
      <c r="D5676" s="132" t="n">
        <v>46635</v>
      </c>
      <c r="E5676" s="131" t="s">
        <v>46</v>
      </c>
      <c r="F5676" s="133" t="s">
        <v>19</v>
      </c>
      <c r="G5676" s="134" t="n">
        <f aca="false">LEN('Saisie programme'!$J$227)+SUMIFS('Vols additionnels'!$E$7:$E$66,'Vols additionnels'!$C$7:$C$66,$E5676,'Vols additionnels'!$D$7:$D$66,$F5676,'Vols additionnels'!$B$7:$B$66,$D5676)</f>
        <v>0</v>
      </c>
      <c r="H5676" s="135" t="n">
        <f aca="false">$G5676*'Analyse capacite'!$F$8</f>
        <v>0</v>
      </c>
      <c r="I5676" s="135" t="n">
        <f aca="false">$G5676*'Analyse capacite'!$C$8</f>
        <v>0</v>
      </c>
      <c r="J5676" s="135" t="n">
        <f aca="false">$G5676*'Analyse capacite'!$D$8</f>
        <v>0</v>
      </c>
      <c r="K5676" s="135" t="n">
        <f aca="false">$G5676*'Analyse capacite'!$E$8</f>
        <v>0</v>
      </c>
    </row>
    <row r="5677" customFormat="false" ht="15" hidden="false" customHeight="false" outlineLevel="0" collapsed="false">
      <c r="B5677" s="130" t="n">
        <v>2027</v>
      </c>
      <c r="C5677" s="131" t="s">
        <v>251</v>
      </c>
      <c r="D5677" s="132" t="n">
        <v>46635</v>
      </c>
      <c r="E5677" s="131" t="s">
        <v>46</v>
      </c>
      <c r="F5677" s="133" t="s">
        <v>24</v>
      </c>
      <c r="G5677" s="134" t="n">
        <f aca="false">LEN('Saisie programme'!$J$228)+SUMIFS('Vols additionnels'!$E$7:$E$66,'Vols additionnels'!$C$7:$C$66,$E5677,'Vols additionnels'!$D$7:$D$66,$F5677,'Vols additionnels'!$B$7:$B$66,$D5677)</f>
        <v>0</v>
      </c>
      <c r="H5677" s="135" t="n">
        <f aca="false">$G5677*'Analyse capacite'!$F$9</f>
        <v>0</v>
      </c>
      <c r="I5677" s="135" t="n">
        <f aca="false">$G5677*'Analyse capacite'!$C$9</f>
        <v>0</v>
      </c>
      <c r="J5677" s="135" t="n">
        <f aca="false">$G5677*'Analyse capacite'!$D$9</f>
        <v>0</v>
      </c>
      <c r="K5677" s="135" t="n">
        <f aca="false">$G5677*'Analyse capacite'!$E$9</f>
        <v>0</v>
      </c>
    </row>
    <row r="5678" customFormat="false" ht="15" hidden="false" customHeight="false" outlineLevel="0" collapsed="false">
      <c r="B5678" s="130" t="n">
        <v>2027</v>
      </c>
      <c r="C5678" s="131" t="s">
        <v>251</v>
      </c>
      <c r="D5678" s="132" t="n">
        <v>46635</v>
      </c>
      <c r="E5678" s="131" t="s">
        <v>49</v>
      </c>
      <c r="F5678" s="133" t="s">
        <v>11</v>
      </c>
      <c r="G5678" s="134" t="n">
        <f aca="false">LEN('Saisie programme'!$J$229)+SUMIFS('Vols additionnels'!$E$7:$E$66,'Vols additionnels'!$C$7:$C$66,$E5678,'Vols additionnels'!$D$7:$D$66,$F5678,'Vols additionnels'!$B$7:$B$66,$D5678)</f>
        <v>0</v>
      </c>
      <c r="H5678" s="135" t="n">
        <f aca="false">$G5678*'Analyse capacite'!$F$7</f>
        <v>0</v>
      </c>
      <c r="I5678" s="135" t="n">
        <f aca="false">$G5678*'Analyse capacite'!$C$7</f>
        <v>0</v>
      </c>
      <c r="J5678" s="135" t="n">
        <f aca="false">$G5678*'Analyse capacite'!$D$7</f>
        <v>0</v>
      </c>
      <c r="K5678" s="135" t="n">
        <f aca="false">$G5678*'Analyse capacite'!$E$7</f>
        <v>0</v>
      </c>
    </row>
    <row r="5679" customFormat="false" ht="15" hidden="false" customHeight="false" outlineLevel="0" collapsed="false">
      <c r="B5679" s="130" t="n">
        <v>2027</v>
      </c>
      <c r="C5679" s="131" t="s">
        <v>251</v>
      </c>
      <c r="D5679" s="132" t="n">
        <v>46635</v>
      </c>
      <c r="E5679" s="131" t="s">
        <v>49</v>
      </c>
      <c r="F5679" s="133" t="s">
        <v>19</v>
      </c>
      <c r="G5679" s="134" t="n">
        <f aca="false">LEN('Saisie programme'!$J$230)+SUMIFS('Vols additionnels'!$E$7:$E$66,'Vols additionnels'!$C$7:$C$66,$E5679,'Vols additionnels'!$D$7:$D$66,$F5679,'Vols additionnels'!$B$7:$B$66,$D5679)</f>
        <v>0</v>
      </c>
      <c r="H5679" s="135" t="n">
        <f aca="false">$G5679*'Analyse capacite'!$F$8</f>
        <v>0</v>
      </c>
      <c r="I5679" s="135" t="n">
        <f aca="false">$G5679*'Analyse capacite'!$C$8</f>
        <v>0</v>
      </c>
      <c r="J5679" s="135" t="n">
        <f aca="false">$G5679*'Analyse capacite'!$D$8</f>
        <v>0</v>
      </c>
      <c r="K5679" s="135" t="n">
        <f aca="false">$G5679*'Analyse capacite'!$E$8</f>
        <v>0</v>
      </c>
    </row>
    <row r="5680" customFormat="false" ht="15" hidden="false" customHeight="false" outlineLevel="0" collapsed="false">
      <c r="B5680" s="130" t="n">
        <v>2027</v>
      </c>
      <c r="C5680" s="131" t="s">
        <v>251</v>
      </c>
      <c r="D5680" s="132" t="n">
        <v>46635</v>
      </c>
      <c r="E5680" s="131" t="s">
        <v>49</v>
      </c>
      <c r="F5680" s="133" t="s">
        <v>24</v>
      </c>
      <c r="G5680" s="134" t="n">
        <f aca="false">LEN('Saisie programme'!$J$231)+SUMIFS('Vols additionnels'!$E$7:$E$66,'Vols additionnels'!$C$7:$C$66,$E5680,'Vols additionnels'!$D$7:$D$66,$F5680,'Vols additionnels'!$B$7:$B$66,$D5680)</f>
        <v>0</v>
      </c>
      <c r="H5680" s="135" t="n">
        <f aca="false">$G5680*'Analyse capacite'!$F$9</f>
        <v>0</v>
      </c>
      <c r="I5680" s="135" t="n">
        <f aca="false">$G5680*'Analyse capacite'!$C$9</f>
        <v>0</v>
      </c>
      <c r="J5680" s="135" t="n">
        <f aca="false">$G5680*'Analyse capacite'!$D$9</f>
        <v>0</v>
      </c>
      <c r="K5680" s="135" t="n">
        <f aca="false">$G5680*'Analyse capacite'!$E$9</f>
        <v>0</v>
      </c>
    </row>
    <row r="5681" customFormat="false" ht="15" hidden="false" customHeight="false" outlineLevel="0" collapsed="false">
      <c r="B5681" s="130" t="n">
        <v>2027</v>
      </c>
      <c r="C5681" s="131" t="s">
        <v>251</v>
      </c>
      <c r="D5681" s="132" t="n">
        <v>46635</v>
      </c>
      <c r="E5681" s="131" t="s">
        <v>53</v>
      </c>
      <c r="F5681" s="133" t="s">
        <v>11</v>
      </c>
      <c r="G5681" s="134" t="n">
        <f aca="false">LEN('Saisie programme'!$J$232)+SUMIFS('Vols additionnels'!$E$7:$E$66,'Vols additionnels'!$C$7:$C$66,$E5681,'Vols additionnels'!$D$7:$D$66,$F5681,'Vols additionnels'!$B$7:$B$66,$D5681)</f>
        <v>0</v>
      </c>
      <c r="H5681" s="135" t="n">
        <f aca="false">$G5681*'Analyse capacite'!$F$7</f>
        <v>0</v>
      </c>
      <c r="I5681" s="135" t="n">
        <f aca="false">$G5681*'Analyse capacite'!$C$7</f>
        <v>0</v>
      </c>
      <c r="J5681" s="135" t="n">
        <f aca="false">$G5681*'Analyse capacite'!$D$7</f>
        <v>0</v>
      </c>
      <c r="K5681" s="135" t="n">
        <f aca="false">$G5681*'Analyse capacite'!$E$7</f>
        <v>0</v>
      </c>
    </row>
    <row r="5682" customFormat="false" ht="15" hidden="false" customHeight="false" outlineLevel="0" collapsed="false">
      <c r="B5682" s="130" t="n">
        <v>2027</v>
      </c>
      <c r="C5682" s="131" t="s">
        <v>251</v>
      </c>
      <c r="D5682" s="132" t="n">
        <v>46635</v>
      </c>
      <c r="E5682" s="131" t="s">
        <v>53</v>
      </c>
      <c r="F5682" s="133" t="s">
        <v>19</v>
      </c>
      <c r="G5682" s="134" t="n">
        <f aca="false">LEN('Saisie programme'!$J$233)+SUMIFS('Vols additionnels'!$E$7:$E$66,'Vols additionnels'!$C$7:$C$66,$E5682,'Vols additionnels'!$D$7:$D$66,$F5682,'Vols additionnels'!$B$7:$B$66,$D5682)</f>
        <v>0</v>
      </c>
      <c r="H5682" s="135" t="n">
        <f aca="false">$G5682*'Analyse capacite'!$F$8</f>
        <v>0</v>
      </c>
      <c r="I5682" s="135" t="n">
        <f aca="false">$G5682*'Analyse capacite'!$C$8</f>
        <v>0</v>
      </c>
      <c r="J5682" s="135" t="n">
        <f aca="false">$G5682*'Analyse capacite'!$D$8</f>
        <v>0</v>
      </c>
      <c r="K5682" s="135" t="n">
        <f aca="false">$G5682*'Analyse capacite'!$E$8</f>
        <v>0</v>
      </c>
    </row>
    <row r="5683" customFormat="false" ht="15" hidden="false" customHeight="false" outlineLevel="0" collapsed="false">
      <c r="B5683" s="130" t="n">
        <v>2027</v>
      </c>
      <c r="C5683" s="131" t="s">
        <v>251</v>
      </c>
      <c r="D5683" s="132" t="n">
        <v>46635</v>
      </c>
      <c r="E5683" s="131" t="s">
        <v>53</v>
      </c>
      <c r="F5683" s="133" t="s">
        <v>24</v>
      </c>
      <c r="G5683" s="134" t="n">
        <f aca="false">LEN('Saisie programme'!$J$234)+SUMIFS('Vols additionnels'!$E$7:$E$66,'Vols additionnels'!$C$7:$C$66,$E5683,'Vols additionnels'!$D$7:$D$66,$F5683,'Vols additionnels'!$B$7:$B$66,$D5683)</f>
        <v>0</v>
      </c>
      <c r="H5683" s="135" t="n">
        <f aca="false">$G5683*'Analyse capacite'!$F$9</f>
        <v>0</v>
      </c>
      <c r="I5683" s="135" t="n">
        <f aca="false">$G5683*'Analyse capacite'!$C$9</f>
        <v>0</v>
      </c>
      <c r="J5683" s="135" t="n">
        <f aca="false">$G5683*'Analyse capacite'!$D$9</f>
        <v>0</v>
      </c>
      <c r="K5683" s="135" t="n">
        <f aca="false">$G5683*'Analyse capacite'!$E$9</f>
        <v>0</v>
      </c>
    </row>
    <row r="5684" customFormat="false" ht="15" hidden="false" customHeight="false" outlineLevel="0" collapsed="false">
      <c r="B5684" s="130" t="n">
        <v>2027</v>
      </c>
      <c r="C5684" s="131" t="s">
        <v>251</v>
      </c>
      <c r="D5684" s="132" t="n">
        <v>46635</v>
      </c>
      <c r="E5684" s="131" t="s">
        <v>56</v>
      </c>
      <c r="F5684" s="133" t="s">
        <v>11</v>
      </c>
      <c r="G5684" s="134" t="n">
        <f aca="false">LEN('Saisie programme'!$J$235)+SUMIFS('Vols additionnels'!$E$7:$E$66,'Vols additionnels'!$C$7:$C$66,$E5684,'Vols additionnels'!$D$7:$D$66,$F5684,'Vols additionnels'!$B$7:$B$66,$D5684)</f>
        <v>0</v>
      </c>
      <c r="H5684" s="135" t="n">
        <f aca="false">$G5684*'Analyse capacite'!$F$7</f>
        <v>0</v>
      </c>
      <c r="I5684" s="135" t="n">
        <f aca="false">$G5684*'Analyse capacite'!$C$7</f>
        <v>0</v>
      </c>
      <c r="J5684" s="135" t="n">
        <f aca="false">$G5684*'Analyse capacite'!$D$7</f>
        <v>0</v>
      </c>
      <c r="K5684" s="135" t="n">
        <f aca="false">$G5684*'Analyse capacite'!$E$7</f>
        <v>0</v>
      </c>
    </row>
    <row r="5685" customFormat="false" ht="15" hidden="false" customHeight="false" outlineLevel="0" collapsed="false">
      <c r="B5685" s="130" t="n">
        <v>2027</v>
      </c>
      <c r="C5685" s="131" t="s">
        <v>251</v>
      </c>
      <c r="D5685" s="132" t="n">
        <v>46635</v>
      </c>
      <c r="E5685" s="131" t="s">
        <v>56</v>
      </c>
      <c r="F5685" s="133" t="s">
        <v>19</v>
      </c>
      <c r="G5685" s="134" t="n">
        <f aca="false">LEN('Saisie programme'!$J$236)+SUMIFS('Vols additionnels'!$E$7:$E$66,'Vols additionnels'!$C$7:$C$66,$E5685,'Vols additionnels'!$D$7:$D$66,$F5685,'Vols additionnels'!$B$7:$B$66,$D5685)</f>
        <v>0</v>
      </c>
      <c r="H5685" s="135" t="n">
        <f aca="false">$G5685*'Analyse capacite'!$F$8</f>
        <v>0</v>
      </c>
      <c r="I5685" s="135" t="n">
        <f aca="false">$G5685*'Analyse capacite'!$C$8</f>
        <v>0</v>
      </c>
      <c r="J5685" s="135" t="n">
        <f aca="false">$G5685*'Analyse capacite'!$D$8</f>
        <v>0</v>
      </c>
      <c r="K5685" s="135" t="n">
        <f aca="false">$G5685*'Analyse capacite'!$E$8</f>
        <v>0</v>
      </c>
    </row>
    <row r="5686" customFormat="false" ht="15" hidden="false" customHeight="false" outlineLevel="0" collapsed="false">
      <c r="B5686" s="130" t="n">
        <v>2027</v>
      </c>
      <c r="C5686" s="131" t="s">
        <v>251</v>
      </c>
      <c r="D5686" s="132" t="n">
        <v>46635</v>
      </c>
      <c r="E5686" s="131" t="s">
        <v>56</v>
      </c>
      <c r="F5686" s="133" t="s">
        <v>24</v>
      </c>
      <c r="G5686" s="134" t="n">
        <f aca="false">LEN('Saisie programme'!$J$237)+SUMIFS('Vols additionnels'!$E$7:$E$66,'Vols additionnels'!$C$7:$C$66,$E5686,'Vols additionnels'!$D$7:$D$66,$F5686,'Vols additionnels'!$B$7:$B$66,$D5686)</f>
        <v>0</v>
      </c>
      <c r="H5686" s="135" t="n">
        <f aca="false">$G5686*'Analyse capacite'!$F$9</f>
        <v>0</v>
      </c>
      <c r="I5686" s="135" t="n">
        <f aca="false">$G5686*'Analyse capacite'!$C$9</f>
        <v>0</v>
      </c>
      <c r="J5686" s="135" t="n">
        <f aca="false">$G5686*'Analyse capacite'!$D$9</f>
        <v>0</v>
      </c>
      <c r="K5686" s="135" t="n">
        <f aca="false">$G5686*'Analyse capacite'!$E$9</f>
        <v>0</v>
      </c>
    </row>
    <row r="5687" customFormat="false" ht="15" hidden="false" customHeight="false" outlineLevel="0" collapsed="false">
      <c r="B5687" s="130" t="n">
        <v>2027</v>
      </c>
      <c r="C5687" s="131" t="s">
        <v>251</v>
      </c>
      <c r="D5687" s="132" t="n">
        <v>46635</v>
      </c>
      <c r="E5687" s="131" t="s">
        <v>59</v>
      </c>
      <c r="F5687" s="133" t="s">
        <v>11</v>
      </c>
      <c r="G5687" s="134" t="n">
        <f aca="false">LEN('Saisie programme'!$J$238)+SUMIFS('Vols additionnels'!$E$7:$E$66,'Vols additionnels'!$C$7:$C$66,$E5687,'Vols additionnels'!$D$7:$D$66,$F5687,'Vols additionnels'!$B$7:$B$66,$D5687)</f>
        <v>0</v>
      </c>
      <c r="H5687" s="135" t="n">
        <f aca="false">$G5687*'Analyse capacite'!$F$7</f>
        <v>0</v>
      </c>
      <c r="I5687" s="135" t="n">
        <f aca="false">$G5687*'Analyse capacite'!$C$7</f>
        <v>0</v>
      </c>
      <c r="J5687" s="135" t="n">
        <f aca="false">$G5687*'Analyse capacite'!$D$7</f>
        <v>0</v>
      </c>
      <c r="K5687" s="135" t="n">
        <f aca="false">$G5687*'Analyse capacite'!$E$7</f>
        <v>0</v>
      </c>
    </row>
    <row r="5688" customFormat="false" ht="15" hidden="false" customHeight="false" outlineLevel="0" collapsed="false">
      <c r="B5688" s="130" t="n">
        <v>2027</v>
      </c>
      <c r="C5688" s="131" t="s">
        <v>251</v>
      </c>
      <c r="D5688" s="132" t="n">
        <v>46635</v>
      </c>
      <c r="E5688" s="131" t="s">
        <v>59</v>
      </c>
      <c r="F5688" s="133" t="s">
        <v>19</v>
      </c>
      <c r="G5688" s="134" t="n">
        <f aca="false">LEN('Saisie programme'!$J$239)+SUMIFS('Vols additionnels'!$E$7:$E$66,'Vols additionnels'!$C$7:$C$66,$E5688,'Vols additionnels'!$D$7:$D$66,$F5688,'Vols additionnels'!$B$7:$B$66,$D5688)</f>
        <v>0</v>
      </c>
      <c r="H5688" s="135" t="n">
        <f aca="false">$G5688*'Analyse capacite'!$F$8</f>
        <v>0</v>
      </c>
      <c r="I5688" s="135" t="n">
        <f aca="false">$G5688*'Analyse capacite'!$C$8</f>
        <v>0</v>
      </c>
      <c r="J5688" s="135" t="n">
        <f aca="false">$G5688*'Analyse capacite'!$D$8</f>
        <v>0</v>
      </c>
      <c r="K5688" s="135" t="n">
        <f aca="false">$G5688*'Analyse capacite'!$E$8</f>
        <v>0</v>
      </c>
    </row>
    <row r="5689" customFormat="false" ht="15" hidden="false" customHeight="false" outlineLevel="0" collapsed="false">
      <c r="B5689" s="130" t="n">
        <v>2027</v>
      </c>
      <c r="C5689" s="131" t="s">
        <v>251</v>
      </c>
      <c r="D5689" s="132" t="n">
        <v>46635</v>
      </c>
      <c r="E5689" s="131" t="s">
        <v>59</v>
      </c>
      <c r="F5689" s="133" t="s">
        <v>24</v>
      </c>
      <c r="G5689" s="134" t="n">
        <f aca="false">LEN('Saisie programme'!$J$240)+SUMIFS('Vols additionnels'!$E$7:$E$66,'Vols additionnels'!$C$7:$C$66,$E5689,'Vols additionnels'!$D$7:$D$66,$F5689,'Vols additionnels'!$B$7:$B$66,$D5689)</f>
        <v>0</v>
      </c>
      <c r="H5689" s="135" t="n">
        <f aca="false">$G5689*'Analyse capacite'!$F$9</f>
        <v>0</v>
      </c>
      <c r="I5689" s="135" t="n">
        <f aca="false">$G5689*'Analyse capacite'!$C$9</f>
        <v>0</v>
      </c>
      <c r="J5689" s="135" t="n">
        <f aca="false">$G5689*'Analyse capacite'!$D$9</f>
        <v>0</v>
      </c>
      <c r="K5689" s="135" t="n">
        <f aca="false">$G5689*'Analyse capacite'!$E$9</f>
        <v>0</v>
      </c>
    </row>
    <row r="5690" customFormat="false" ht="15" hidden="false" customHeight="false" outlineLevel="0" collapsed="false">
      <c r="B5690" s="130" t="n">
        <v>2027</v>
      </c>
      <c r="C5690" s="131" t="s">
        <v>251</v>
      </c>
      <c r="D5690" s="132" t="n">
        <v>46635</v>
      </c>
      <c r="E5690" s="131" t="s">
        <v>62</v>
      </c>
      <c r="F5690" s="133" t="s">
        <v>11</v>
      </c>
      <c r="G5690" s="134" t="n">
        <f aca="false">LEN('Saisie programme'!$J$241)+SUMIFS('Vols additionnels'!$E$7:$E$66,'Vols additionnels'!$C$7:$C$66,$E5690,'Vols additionnels'!$D$7:$D$66,$F5690,'Vols additionnels'!$B$7:$B$66,$D5690)</f>
        <v>0</v>
      </c>
      <c r="H5690" s="135" t="n">
        <f aca="false">$G5690*'Analyse capacite'!$F$7</f>
        <v>0</v>
      </c>
      <c r="I5690" s="135" t="n">
        <f aca="false">$G5690*'Analyse capacite'!$C$7</f>
        <v>0</v>
      </c>
      <c r="J5690" s="135" t="n">
        <f aca="false">$G5690*'Analyse capacite'!$D$7</f>
        <v>0</v>
      </c>
      <c r="K5690" s="135" t="n">
        <f aca="false">$G5690*'Analyse capacite'!$E$7</f>
        <v>0</v>
      </c>
    </row>
    <row r="5691" customFormat="false" ht="15" hidden="false" customHeight="false" outlineLevel="0" collapsed="false">
      <c r="B5691" s="130" t="n">
        <v>2027</v>
      </c>
      <c r="C5691" s="131" t="s">
        <v>251</v>
      </c>
      <c r="D5691" s="132" t="n">
        <v>46635</v>
      </c>
      <c r="E5691" s="131" t="s">
        <v>62</v>
      </c>
      <c r="F5691" s="133" t="s">
        <v>19</v>
      </c>
      <c r="G5691" s="134" t="n">
        <f aca="false">LEN('Saisie programme'!$J$242)+SUMIFS('Vols additionnels'!$E$7:$E$66,'Vols additionnels'!$C$7:$C$66,$E5691,'Vols additionnels'!$D$7:$D$66,$F5691,'Vols additionnels'!$B$7:$B$66,$D5691)</f>
        <v>0</v>
      </c>
      <c r="H5691" s="135" t="n">
        <f aca="false">$G5691*'Analyse capacite'!$F$8</f>
        <v>0</v>
      </c>
      <c r="I5691" s="135" t="n">
        <f aca="false">$G5691*'Analyse capacite'!$C$8</f>
        <v>0</v>
      </c>
      <c r="J5691" s="135" t="n">
        <f aca="false">$G5691*'Analyse capacite'!$D$8</f>
        <v>0</v>
      </c>
      <c r="K5691" s="135" t="n">
        <f aca="false">$G5691*'Analyse capacite'!$E$8</f>
        <v>0</v>
      </c>
    </row>
    <row r="5692" customFormat="false" ht="15" hidden="false" customHeight="false" outlineLevel="0" collapsed="false">
      <c r="B5692" s="130" t="n">
        <v>2027</v>
      </c>
      <c r="C5692" s="131" t="s">
        <v>251</v>
      </c>
      <c r="D5692" s="132" t="n">
        <v>46635</v>
      </c>
      <c r="E5692" s="131" t="s">
        <v>62</v>
      </c>
      <c r="F5692" s="133" t="s">
        <v>24</v>
      </c>
      <c r="G5692" s="134" t="n">
        <f aca="false">LEN('Saisie programme'!$J$243)+SUMIFS('Vols additionnels'!$E$7:$E$66,'Vols additionnels'!$C$7:$C$66,$E5692,'Vols additionnels'!$D$7:$D$66,$F5692,'Vols additionnels'!$B$7:$B$66,$D5692)</f>
        <v>1</v>
      </c>
      <c r="H5692" s="135" t="n">
        <f aca="false">$G5692*'Analyse capacite'!$F$9</f>
        <v>174</v>
      </c>
      <c r="I5692" s="135" t="n">
        <f aca="false">$G5692*'Analyse capacite'!$C$9</f>
        <v>0</v>
      </c>
      <c r="J5692" s="135" t="n">
        <f aca="false">$G5692*'Analyse capacite'!$D$9</f>
        <v>12</v>
      </c>
      <c r="K5692" s="135" t="n">
        <f aca="false">$G5692*'Analyse capacite'!$E$9</f>
        <v>162</v>
      </c>
    </row>
    <row r="5693" customFormat="false" ht="15" hidden="false" customHeight="false" outlineLevel="0" collapsed="false">
      <c r="B5693" s="130" t="n">
        <v>2027</v>
      </c>
      <c r="C5693" s="131" t="s">
        <v>251</v>
      </c>
      <c r="D5693" s="132" t="n">
        <v>46636</v>
      </c>
      <c r="E5693" s="131" t="s">
        <v>12</v>
      </c>
      <c r="F5693" s="133" t="s">
        <v>11</v>
      </c>
      <c r="G5693" s="134" t="n">
        <f aca="false">LEN('Saisie programme'!$D$208)+SUMIFS('Vols additionnels'!$E$7:$E$66,'Vols additionnels'!$C$7:$C$66,$E5693,'Vols additionnels'!$D$7:$D$66,$F5693,'Vols additionnels'!$B$7:$B$66,$D5693)</f>
        <v>1</v>
      </c>
      <c r="H5693" s="135" t="n">
        <f aca="false">$G5693*'Analyse capacite'!$F$7</f>
        <v>438</v>
      </c>
      <c r="I5693" s="135" t="n">
        <f aca="false">$G5693*'Analyse capacite'!$C$7</f>
        <v>14</v>
      </c>
      <c r="J5693" s="135" t="n">
        <f aca="false">$G5693*'Analyse capacite'!$D$7</f>
        <v>40</v>
      </c>
      <c r="K5693" s="135" t="n">
        <f aca="false">$G5693*'Analyse capacite'!$E$7</f>
        <v>384</v>
      </c>
    </row>
    <row r="5694" customFormat="false" ht="15" hidden="false" customHeight="false" outlineLevel="0" collapsed="false">
      <c r="B5694" s="130" t="n">
        <v>2027</v>
      </c>
      <c r="C5694" s="131" t="s">
        <v>251</v>
      </c>
      <c r="D5694" s="132" t="n">
        <v>46636</v>
      </c>
      <c r="E5694" s="131" t="s">
        <v>12</v>
      </c>
      <c r="F5694" s="133" t="s">
        <v>19</v>
      </c>
      <c r="G5694" s="134" t="n">
        <f aca="false">LEN('Saisie programme'!$D$209)+SUMIFS('Vols additionnels'!$E$7:$E$66,'Vols additionnels'!$C$7:$C$66,$E5694,'Vols additionnels'!$D$7:$D$66,$F5694,'Vols additionnels'!$B$7:$B$66,$D5694)</f>
        <v>1</v>
      </c>
      <c r="H5694" s="135" t="n">
        <f aca="false">$G5694*'Analyse capacite'!$F$8</f>
        <v>262</v>
      </c>
      <c r="I5694" s="135" t="n">
        <f aca="false">$G5694*'Analyse capacite'!$C$8</f>
        <v>18</v>
      </c>
      <c r="J5694" s="135" t="n">
        <f aca="false">$G5694*'Analyse capacite'!$D$8</f>
        <v>0</v>
      </c>
      <c r="K5694" s="135" t="n">
        <f aca="false">$G5694*'Analyse capacite'!$E$8</f>
        <v>244</v>
      </c>
    </row>
    <row r="5695" customFormat="false" ht="15" hidden="false" customHeight="false" outlineLevel="0" collapsed="false">
      <c r="B5695" s="130" t="n">
        <v>2027</v>
      </c>
      <c r="C5695" s="131" t="s">
        <v>251</v>
      </c>
      <c r="D5695" s="132" t="n">
        <v>46636</v>
      </c>
      <c r="E5695" s="131" t="s">
        <v>12</v>
      </c>
      <c r="F5695" s="133" t="s">
        <v>24</v>
      </c>
      <c r="G5695" s="134" t="n">
        <f aca="false">LEN('Saisie programme'!$D$210)+SUMIFS('Vols additionnels'!$E$7:$E$66,'Vols additionnels'!$C$7:$C$66,$E5695,'Vols additionnels'!$D$7:$D$66,$F5695,'Vols additionnels'!$B$7:$B$66,$D5695)</f>
        <v>2</v>
      </c>
      <c r="H5695" s="135" t="n">
        <f aca="false">$G5695*'Analyse capacite'!$F$9</f>
        <v>348</v>
      </c>
      <c r="I5695" s="135" t="n">
        <f aca="false">$G5695*'Analyse capacite'!$C$9</f>
        <v>0</v>
      </c>
      <c r="J5695" s="135" t="n">
        <f aca="false">$G5695*'Analyse capacite'!$D$9</f>
        <v>24</v>
      </c>
      <c r="K5695" s="135" t="n">
        <f aca="false">$G5695*'Analyse capacite'!$E$9</f>
        <v>324</v>
      </c>
    </row>
    <row r="5696" customFormat="false" ht="15" hidden="false" customHeight="false" outlineLevel="0" collapsed="false">
      <c r="B5696" s="130" t="n">
        <v>2027</v>
      </c>
      <c r="C5696" s="131" t="s">
        <v>251</v>
      </c>
      <c r="D5696" s="132" t="n">
        <v>46636</v>
      </c>
      <c r="E5696" s="131" t="s">
        <v>20</v>
      </c>
      <c r="F5696" s="133" t="s">
        <v>11</v>
      </c>
      <c r="G5696" s="134" t="n">
        <f aca="false">LEN('Saisie programme'!$D$211)+SUMIFS('Vols additionnels'!$E$7:$E$66,'Vols additionnels'!$C$7:$C$66,$E5696,'Vols additionnels'!$D$7:$D$66,$F5696,'Vols additionnels'!$B$7:$B$66,$D5696)</f>
        <v>0</v>
      </c>
      <c r="H5696" s="135" t="n">
        <f aca="false">$G5696*'Analyse capacite'!$F$7</f>
        <v>0</v>
      </c>
      <c r="I5696" s="135" t="n">
        <f aca="false">$G5696*'Analyse capacite'!$C$7</f>
        <v>0</v>
      </c>
      <c r="J5696" s="135" t="n">
        <f aca="false">$G5696*'Analyse capacite'!$D$7</f>
        <v>0</v>
      </c>
      <c r="K5696" s="135" t="n">
        <f aca="false">$G5696*'Analyse capacite'!$E$7</f>
        <v>0</v>
      </c>
    </row>
    <row r="5697" customFormat="false" ht="15" hidden="false" customHeight="false" outlineLevel="0" collapsed="false">
      <c r="B5697" s="130" t="n">
        <v>2027</v>
      </c>
      <c r="C5697" s="131" t="s">
        <v>251</v>
      </c>
      <c r="D5697" s="132" t="n">
        <v>46636</v>
      </c>
      <c r="E5697" s="131" t="s">
        <v>20</v>
      </c>
      <c r="F5697" s="133" t="s">
        <v>19</v>
      </c>
      <c r="G5697" s="134" t="n">
        <f aca="false">LEN('Saisie programme'!$D$212)+SUMIFS('Vols additionnels'!$E$7:$E$66,'Vols additionnels'!$C$7:$C$66,$E5697,'Vols additionnels'!$D$7:$D$66,$F5697,'Vols additionnels'!$B$7:$B$66,$D5697)</f>
        <v>0</v>
      </c>
      <c r="H5697" s="135" t="n">
        <f aca="false">$G5697*'Analyse capacite'!$F$8</f>
        <v>0</v>
      </c>
      <c r="I5697" s="135" t="n">
        <f aca="false">$G5697*'Analyse capacite'!$C$8</f>
        <v>0</v>
      </c>
      <c r="J5697" s="135" t="n">
        <f aca="false">$G5697*'Analyse capacite'!$D$8</f>
        <v>0</v>
      </c>
      <c r="K5697" s="135" t="n">
        <f aca="false">$G5697*'Analyse capacite'!$E$8</f>
        <v>0</v>
      </c>
    </row>
    <row r="5698" customFormat="false" ht="15" hidden="false" customHeight="false" outlineLevel="0" collapsed="false">
      <c r="B5698" s="130" t="n">
        <v>2027</v>
      </c>
      <c r="C5698" s="131" t="s">
        <v>251</v>
      </c>
      <c r="D5698" s="132" t="n">
        <v>46636</v>
      </c>
      <c r="E5698" s="131" t="s">
        <v>20</v>
      </c>
      <c r="F5698" s="133" t="s">
        <v>24</v>
      </c>
      <c r="G5698" s="134" t="n">
        <f aca="false">LEN('Saisie programme'!$D$213)+SUMIFS('Vols additionnels'!$E$7:$E$66,'Vols additionnels'!$C$7:$C$66,$E5698,'Vols additionnels'!$D$7:$D$66,$F5698,'Vols additionnels'!$B$7:$B$66,$D5698)</f>
        <v>0</v>
      </c>
      <c r="H5698" s="135" t="n">
        <f aca="false">$G5698*'Analyse capacite'!$F$9</f>
        <v>0</v>
      </c>
      <c r="I5698" s="135" t="n">
        <f aca="false">$G5698*'Analyse capacite'!$C$9</f>
        <v>0</v>
      </c>
      <c r="J5698" s="135" t="n">
        <f aca="false">$G5698*'Analyse capacite'!$D$9</f>
        <v>0</v>
      </c>
      <c r="K5698" s="135" t="n">
        <f aca="false">$G5698*'Analyse capacite'!$E$9</f>
        <v>0</v>
      </c>
    </row>
    <row r="5699" customFormat="false" ht="15" hidden="false" customHeight="false" outlineLevel="0" collapsed="false">
      <c r="B5699" s="130" t="n">
        <v>2027</v>
      </c>
      <c r="C5699" s="131" t="s">
        <v>251</v>
      </c>
      <c r="D5699" s="132" t="n">
        <v>46636</v>
      </c>
      <c r="E5699" s="131" t="s">
        <v>25</v>
      </c>
      <c r="F5699" s="133" t="s">
        <v>11</v>
      </c>
      <c r="G5699" s="134" t="n">
        <f aca="false">LEN('Saisie programme'!$D$214)+SUMIFS('Vols additionnels'!$E$7:$E$66,'Vols additionnels'!$C$7:$C$66,$E5699,'Vols additionnels'!$D$7:$D$66,$F5699,'Vols additionnels'!$B$7:$B$66,$D5699)</f>
        <v>0</v>
      </c>
      <c r="H5699" s="135" t="n">
        <f aca="false">$G5699*'Analyse capacite'!$F$7</f>
        <v>0</v>
      </c>
      <c r="I5699" s="135" t="n">
        <f aca="false">$G5699*'Analyse capacite'!$C$7</f>
        <v>0</v>
      </c>
      <c r="J5699" s="135" t="n">
        <f aca="false">$G5699*'Analyse capacite'!$D$7</f>
        <v>0</v>
      </c>
      <c r="K5699" s="135" t="n">
        <f aca="false">$G5699*'Analyse capacite'!$E$7</f>
        <v>0</v>
      </c>
    </row>
    <row r="5700" customFormat="false" ht="15" hidden="false" customHeight="false" outlineLevel="0" collapsed="false">
      <c r="B5700" s="130" t="n">
        <v>2027</v>
      </c>
      <c r="C5700" s="131" t="s">
        <v>251</v>
      </c>
      <c r="D5700" s="132" t="n">
        <v>46636</v>
      </c>
      <c r="E5700" s="131" t="s">
        <v>25</v>
      </c>
      <c r="F5700" s="133" t="s">
        <v>19</v>
      </c>
      <c r="G5700" s="134" t="n">
        <f aca="false">LEN('Saisie programme'!$D$215)+SUMIFS('Vols additionnels'!$E$7:$E$66,'Vols additionnels'!$C$7:$C$66,$E5700,'Vols additionnels'!$D$7:$D$66,$F5700,'Vols additionnels'!$B$7:$B$66,$D5700)</f>
        <v>0</v>
      </c>
      <c r="H5700" s="135" t="n">
        <f aca="false">$G5700*'Analyse capacite'!$F$8</f>
        <v>0</v>
      </c>
      <c r="I5700" s="135" t="n">
        <f aca="false">$G5700*'Analyse capacite'!$C$8</f>
        <v>0</v>
      </c>
      <c r="J5700" s="135" t="n">
        <f aca="false">$G5700*'Analyse capacite'!$D$8</f>
        <v>0</v>
      </c>
      <c r="K5700" s="135" t="n">
        <f aca="false">$G5700*'Analyse capacite'!$E$8</f>
        <v>0</v>
      </c>
    </row>
    <row r="5701" customFormat="false" ht="15" hidden="false" customHeight="false" outlineLevel="0" collapsed="false">
      <c r="B5701" s="130" t="n">
        <v>2027</v>
      </c>
      <c r="C5701" s="131" t="s">
        <v>251</v>
      </c>
      <c r="D5701" s="132" t="n">
        <v>46636</v>
      </c>
      <c r="E5701" s="131" t="s">
        <v>25</v>
      </c>
      <c r="F5701" s="133" t="s">
        <v>24</v>
      </c>
      <c r="G5701" s="134" t="n">
        <f aca="false">LEN('Saisie programme'!$D$216)+SUMIFS('Vols additionnels'!$E$7:$E$66,'Vols additionnels'!$C$7:$C$66,$E5701,'Vols additionnels'!$D$7:$D$66,$F5701,'Vols additionnels'!$B$7:$B$66,$D5701)</f>
        <v>0</v>
      </c>
      <c r="H5701" s="135" t="n">
        <f aca="false">$G5701*'Analyse capacite'!$F$9</f>
        <v>0</v>
      </c>
      <c r="I5701" s="135" t="n">
        <f aca="false">$G5701*'Analyse capacite'!$C$9</f>
        <v>0</v>
      </c>
      <c r="J5701" s="135" t="n">
        <f aca="false">$G5701*'Analyse capacite'!$D$9</f>
        <v>0</v>
      </c>
      <c r="K5701" s="135" t="n">
        <f aca="false">$G5701*'Analyse capacite'!$E$9</f>
        <v>0</v>
      </c>
    </row>
    <row r="5702" customFormat="false" ht="15" hidden="false" customHeight="false" outlineLevel="0" collapsed="false">
      <c r="B5702" s="130" t="n">
        <v>2027</v>
      </c>
      <c r="C5702" s="131" t="s">
        <v>251</v>
      </c>
      <c r="D5702" s="132" t="n">
        <v>46636</v>
      </c>
      <c r="E5702" s="131" t="s">
        <v>36</v>
      </c>
      <c r="F5702" s="133" t="s">
        <v>11</v>
      </c>
      <c r="G5702" s="134" t="n">
        <f aca="false">LEN('Saisie programme'!$D$217)+SUMIFS('Vols additionnels'!$E$7:$E$66,'Vols additionnels'!$C$7:$C$66,$E5702,'Vols additionnels'!$D$7:$D$66,$F5702,'Vols additionnels'!$B$7:$B$66,$D5702)</f>
        <v>0</v>
      </c>
      <c r="H5702" s="135" t="n">
        <f aca="false">$G5702*'Analyse capacite'!$F$7</f>
        <v>0</v>
      </c>
      <c r="I5702" s="135" t="n">
        <f aca="false">$G5702*'Analyse capacite'!$C$7</f>
        <v>0</v>
      </c>
      <c r="J5702" s="135" t="n">
        <f aca="false">$G5702*'Analyse capacite'!$D$7</f>
        <v>0</v>
      </c>
      <c r="K5702" s="135" t="n">
        <f aca="false">$G5702*'Analyse capacite'!$E$7</f>
        <v>0</v>
      </c>
    </row>
    <row r="5703" customFormat="false" ht="15" hidden="false" customHeight="false" outlineLevel="0" collapsed="false">
      <c r="B5703" s="130" t="n">
        <v>2027</v>
      </c>
      <c r="C5703" s="131" t="s">
        <v>251</v>
      </c>
      <c r="D5703" s="132" t="n">
        <v>46636</v>
      </c>
      <c r="E5703" s="131" t="s">
        <v>36</v>
      </c>
      <c r="F5703" s="133" t="s">
        <v>19</v>
      </c>
      <c r="G5703" s="134" t="n">
        <f aca="false">LEN('Saisie programme'!$D$218)+SUMIFS('Vols additionnels'!$E$7:$E$66,'Vols additionnels'!$C$7:$C$66,$E5703,'Vols additionnels'!$D$7:$D$66,$F5703,'Vols additionnels'!$B$7:$B$66,$D5703)</f>
        <v>0</v>
      </c>
      <c r="H5703" s="135" t="n">
        <f aca="false">$G5703*'Analyse capacite'!$F$8</f>
        <v>0</v>
      </c>
      <c r="I5703" s="135" t="n">
        <f aca="false">$G5703*'Analyse capacite'!$C$8</f>
        <v>0</v>
      </c>
      <c r="J5703" s="135" t="n">
        <f aca="false">$G5703*'Analyse capacite'!$D$8</f>
        <v>0</v>
      </c>
      <c r="K5703" s="135" t="n">
        <f aca="false">$G5703*'Analyse capacite'!$E$8</f>
        <v>0</v>
      </c>
    </row>
    <row r="5704" customFormat="false" ht="15" hidden="false" customHeight="false" outlineLevel="0" collapsed="false">
      <c r="B5704" s="130" t="n">
        <v>2027</v>
      </c>
      <c r="C5704" s="131" t="s">
        <v>251</v>
      </c>
      <c r="D5704" s="132" t="n">
        <v>46636</v>
      </c>
      <c r="E5704" s="131" t="s">
        <v>36</v>
      </c>
      <c r="F5704" s="133" t="s">
        <v>24</v>
      </c>
      <c r="G5704" s="134" t="n">
        <f aca="false">LEN('Saisie programme'!$D$219)+SUMIFS('Vols additionnels'!$E$7:$E$66,'Vols additionnels'!$C$7:$C$66,$E5704,'Vols additionnels'!$D$7:$D$66,$F5704,'Vols additionnels'!$B$7:$B$66,$D5704)</f>
        <v>1</v>
      </c>
      <c r="H5704" s="135" t="n">
        <f aca="false">$G5704*'Analyse capacite'!$F$9</f>
        <v>174</v>
      </c>
      <c r="I5704" s="135" t="n">
        <f aca="false">$G5704*'Analyse capacite'!$C$9</f>
        <v>0</v>
      </c>
      <c r="J5704" s="135" t="n">
        <f aca="false">$G5704*'Analyse capacite'!$D$9</f>
        <v>12</v>
      </c>
      <c r="K5704" s="135" t="n">
        <f aca="false">$G5704*'Analyse capacite'!$E$9</f>
        <v>162</v>
      </c>
    </row>
    <row r="5705" customFormat="false" ht="15" hidden="false" customHeight="false" outlineLevel="0" collapsed="false">
      <c r="B5705" s="130" t="n">
        <v>2027</v>
      </c>
      <c r="C5705" s="131" t="s">
        <v>251</v>
      </c>
      <c r="D5705" s="132" t="n">
        <v>46636</v>
      </c>
      <c r="E5705" s="131" t="s">
        <v>40</v>
      </c>
      <c r="F5705" s="133" t="s">
        <v>11</v>
      </c>
      <c r="G5705" s="134" t="n">
        <f aca="false">LEN('Saisie programme'!$D$220)+SUMIFS('Vols additionnels'!$E$7:$E$66,'Vols additionnels'!$C$7:$C$66,$E5705,'Vols additionnels'!$D$7:$D$66,$F5705,'Vols additionnels'!$B$7:$B$66,$D5705)</f>
        <v>0</v>
      </c>
      <c r="H5705" s="135" t="n">
        <f aca="false">$G5705*'Analyse capacite'!$F$7</f>
        <v>0</v>
      </c>
      <c r="I5705" s="135" t="n">
        <f aca="false">$G5705*'Analyse capacite'!$C$7</f>
        <v>0</v>
      </c>
      <c r="J5705" s="135" t="n">
        <f aca="false">$G5705*'Analyse capacite'!$D$7</f>
        <v>0</v>
      </c>
      <c r="K5705" s="135" t="n">
        <f aca="false">$G5705*'Analyse capacite'!$E$7</f>
        <v>0</v>
      </c>
    </row>
    <row r="5706" customFormat="false" ht="15" hidden="false" customHeight="false" outlineLevel="0" collapsed="false">
      <c r="B5706" s="130" t="n">
        <v>2027</v>
      </c>
      <c r="C5706" s="131" t="s">
        <v>251</v>
      </c>
      <c r="D5706" s="132" t="n">
        <v>46636</v>
      </c>
      <c r="E5706" s="131" t="s">
        <v>40</v>
      </c>
      <c r="F5706" s="133" t="s">
        <v>19</v>
      </c>
      <c r="G5706" s="134" t="n">
        <f aca="false">LEN('Saisie programme'!$D$221)+SUMIFS('Vols additionnels'!$E$7:$E$66,'Vols additionnels'!$C$7:$C$66,$E5706,'Vols additionnels'!$D$7:$D$66,$F5706,'Vols additionnels'!$B$7:$B$66,$D5706)</f>
        <v>0</v>
      </c>
      <c r="H5706" s="135" t="n">
        <f aca="false">$G5706*'Analyse capacite'!$F$8</f>
        <v>0</v>
      </c>
      <c r="I5706" s="135" t="n">
        <f aca="false">$G5706*'Analyse capacite'!$C$8</f>
        <v>0</v>
      </c>
      <c r="J5706" s="135" t="n">
        <f aca="false">$G5706*'Analyse capacite'!$D$8</f>
        <v>0</v>
      </c>
      <c r="K5706" s="135" t="n">
        <f aca="false">$G5706*'Analyse capacite'!$E$8</f>
        <v>0</v>
      </c>
    </row>
    <row r="5707" customFormat="false" ht="15" hidden="false" customHeight="false" outlineLevel="0" collapsed="false">
      <c r="B5707" s="130" t="n">
        <v>2027</v>
      </c>
      <c r="C5707" s="131" t="s">
        <v>251</v>
      </c>
      <c r="D5707" s="132" t="n">
        <v>46636</v>
      </c>
      <c r="E5707" s="131" t="s">
        <v>40</v>
      </c>
      <c r="F5707" s="133" t="s">
        <v>24</v>
      </c>
      <c r="G5707" s="134" t="n">
        <f aca="false">LEN('Saisie programme'!$D$222)+SUMIFS('Vols additionnels'!$E$7:$E$66,'Vols additionnels'!$C$7:$C$66,$E5707,'Vols additionnels'!$D$7:$D$66,$F5707,'Vols additionnels'!$B$7:$B$66,$D5707)</f>
        <v>1</v>
      </c>
      <c r="H5707" s="135" t="n">
        <f aca="false">$G5707*'Analyse capacite'!$F$9</f>
        <v>174</v>
      </c>
      <c r="I5707" s="135" t="n">
        <f aca="false">$G5707*'Analyse capacite'!$C$9</f>
        <v>0</v>
      </c>
      <c r="J5707" s="135" t="n">
        <f aca="false">$G5707*'Analyse capacite'!$D$9</f>
        <v>12</v>
      </c>
      <c r="K5707" s="135" t="n">
        <f aca="false">$G5707*'Analyse capacite'!$E$9</f>
        <v>162</v>
      </c>
    </row>
    <row r="5708" customFormat="false" ht="15" hidden="false" customHeight="false" outlineLevel="0" collapsed="false">
      <c r="B5708" s="130" t="n">
        <v>2027</v>
      </c>
      <c r="C5708" s="131" t="s">
        <v>251</v>
      </c>
      <c r="D5708" s="132" t="n">
        <v>46636</v>
      </c>
      <c r="E5708" s="131" t="s">
        <v>14</v>
      </c>
      <c r="F5708" s="133" t="s">
        <v>11</v>
      </c>
      <c r="G5708" s="134" t="n">
        <f aca="false">LEN('Saisie programme'!$D$223)+SUMIFS('Vols additionnels'!$E$7:$E$66,'Vols additionnels'!$C$7:$C$66,$E5708,'Vols additionnels'!$D$7:$D$66,$F5708,'Vols additionnels'!$B$7:$B$66,$D5708)</f>
        <v>0</v>
      </c>
      <c r="H5708" s="135" t="n">
        <f aca="false">$G5708*'Analyse capacite'!$F$7</f>
        <v>0</v>
      </c>
      <c r="I5708" s="135" t="n">
        <f aca="false">$G5708*'Analyse capacite'!$C$7</f>
        <v>0</v>
      </c>
      <c r="J5708" s="135" t="n">
        <f aca="false">$G5708*'Analyse capacite'!$D$7</f>
        <v>0</v>
      </c>
      <c r="K5708" s="135" t="n">
        <f aca="false">$G5708*'Analyse capacite'!$E$7</f>
        <v>0</v>
      </c>
    </row>
    <row r="5709" customFormat="false" ht="15" hidden="false" customHeight="false" outlineLevel="0" collapsed="false">
      <c r="B5709" s="130" t="n">
        <v>2027</v>
      </c>
      <c r="C5709" s="131" t="s">
        <v>251</v>
      </c>
      <c r="D5709" s="132" t="n">
        <v>46636</v>
      </c>
      <c r="E5709" s="131" t="s">
        <v>14</v>
      </c>
      <c r="F5709" s="133" t="s">
        <v>19</v>
      </c>
      <c r="G5709" s="134" t="n">
        <f aca="false">LEN('Saisie programme'!$D$224)+SUMIFS('Vols additionnels'!$E$7:$E$66,'Vols additionnels'!$C$7:$C$66,$E5709,'Vols additionnels'!$D$7:$D$66,$F5709,'Vols additionnels'!$B$7:$B$66,$D5709)</f>
        <v>0</v>
      </c>
      <c r="H5709" s="135" t="n">
        <f aca="false">$G5709*'Analyse capacite'!$F$8</f>
        <v>0</v>
      </c>
      <c r="I5709" s="135" t="n">
        <f aca="false">$G5709*'Analyse capacite'!$C$8</f>
        <v>0</v>
      </c>
      <c r="J5709" s="135" t="n">
        <f aca="false">$G5709*'Analyse capacite'!$D$8</f>
        <v>0</v>
      </c>
      <c r="K5709" s="135" t="n">
        <f aca="false">$G5709*'Analyse capacite'!$E$8</f>
        <v>0</v>
      </c>
    </row>
    <row r="5710" customFormat="false" ht="15" hidden="false" customHeight="false" outlineLevel="0" collapsed="false">
      <c r="B5710" s="130" t="n">
        <v>2027</v>
      </c>
      <c r="C5710" s="131" t="s">
        <v>251</v>
      </c>
      <c r="D5710" s="132" t="n">
        <v>46636</v>
      </c>
      <c r="E5710" s="131" t="s">
        <v>14</v>
      </c>
      <c r="F5710" s="133" t="s">
        <v>24</v>
      </c>
      <c r="G5710" s="134" t="n">
        <f aca="false">LEN('Saisie programme'!$D$225)+SUMIFS('Vols additionnels'!$E$7:$E$66,'Vols additionnels'!$C$7:$C$66,$E5710,'Vols additionnels'!$D$7:$D$66,$F5710,'Vols additionnels'!$B$7:$B$66,$D5710)</f>
        <v>1</v>
      </c>
      <c r="H5710" s="135" t="n">
        <f aca="false">$G5710*'Analyse capacite'!$F$9</f>
        <v>174</v>
      </c>
      <c r="I5710" s="135" t="n">
        <f aca="false">$G5710*'Analyse capacite'!$C$9</f>
        <v>0</v>
      </c>
      <c r="J5710" s="135" t="n">
        <f aca="false">$G5710*'Analyse capacite'!$D$9</f>
        <v>12</v>
      </c>
      <c r="K5710" s="135" t="n">
        <f aca="false">$G5710*'Analyse capacite'!$E$9</f>
        <v>162</v>
      </c>
    </row>
    <row r="5711" customFormat="false" ht="15" hidden="false" customHeight="false" outlineLevel="0" collapsed="false">
      <c r="B5711" s="130" t="n">
        <v>2027</v>
      </c>
      <c r="C5711" s="131" t="s">
        <v>251</v>
      </c>
      <c r="D5711" s="132" t="n">
        <v>46636</v>
      </c>
      <c r="E5711" s="131" t="s">
        <v>46</v>
      </c>
      <c r="F5711" s="133" t="s">
        <v>11</v>
      </c>
      <c r="G5711" s="134" t="n">
        <f aca="false">LEN('Saisie programme'!$D$226)+SUMIFS('Vols additionnels'!$E$7:$E$66,'Vols additionnels'!$C$7:$C$66,$E5711,'Vols additionnels'!$D$7:$D$66,$F5711,'Vols additionnels'!$B$7:$B$66,$D5711)</f>
        <v>0</v>
      </c>
      <c r="H5711" s="135" t="n">
        <f aca="false">$G5711*'Analyse capacite'!$F$7</f>
        <v>0</v>
      </c>
      <c r="I5711" s="135" t="n">
        <f aca="false">$G5711*'Analyse capacite'!$C$7</f>
        <v>0</v>
      </c>
      <c r="J5711" s="135" t="n">
        <f aca="false">$G5711*'Analyse capacite'!$D$7</f>
        <v>0</v>
      </c>
      <c r="K5711" s="135" t="n">
        <f aca="false">$G5711*'Analyse capacite'!$E$7</f>
        <v>0</v>
      </c>
    </row>
    <row r="5712" customFormat="false" ht="15" hidden="false" customHeight="false" outlineLevel="0" collapsed="false">
      <c r="B5712" s="130" t="n">
        <v>2027</v>
      </c>
      <c r="C5712" s="131" t="s">
        <v>251</v>
      </c>
      <c r="D5712" s="132" t="n">
        <v>46636</v>
      </c>
      <c r="E5712" s="131" t="s">
        <v>46</v>
      </c>
      <c r="F5712" s="133" t="s">
        <v>19</v>
      </c>
      <c r="G5712" s="134" t="n">
        <f aca="false">LEN('Saisie programme'!$D$227)+SUMIFS('Vols additionnels'!$E$7:$E$66,'Vols additionnels'!$C$7:$C$66,$E5712,'Vols additionnels'!$D$7:$D$66,$F5712,'Vols additionnels'!$B$7:$B$66,$D5712)</f>
        <v>0</v>
      </c>
      <c r="H5712" s="135" t="n">
        <f aca="false">$G5712*'Analyse capacite'!$F$8</f>
        <v>0</v>
      </c>
      <c r="I5712" s="135" t="n">
        <f aca="false">$G5712*'Analyse capacite'!$C$8</f>
        <v>0</v>
      </c>
      <c r="J5712" s="135" t="n">
        <f aca="false">$G5712*'Analyse capacite'!$D$8</f>
        <v>0</v>
      </c>
      <c r="K5712" s="135" t="n">
        <f aca="false">$G5712*'Analyse capacite'!$E$8</f>
        <v>0</v>
      </c>
    </row>
    <row r="5713" customFormat="false" ht="15" hidden="false" customHeight="false" outlineLevel="0" collapsed="false">
      <c r="B5713" s="130" t="n">
        <v>2027</v>
      </c>
      <c r="C5713" s="131" t="s">
        <v>251</v>
      </c>
      <c r="D5713" s="132" t="n">
        <v>46636</v>
      </c>
      <c r="E5713" s="131" t="s">
        <v>46</v>
      </c>
      <c r="F5713" s="133" t="s">
        <v>24</v>
      </c>
      <c r="G5713" s="134" t="n">
        <f aca="false">LEN('Saisie programme'!$D$228)+SUMIFS('Vols additionnels'!$E$7:$E$66,'Vols additionnels'!$C$7:$C$66,$E5713,'Vols additionnels'!$D$7:$D$66,$F5713,'Vols additionnels'!$B$7:$B$66,$D5713)</f>
        <v>0</v>
      </c>
      <c r="H5713" s="135" t="n">
        <f aca="false">$G5713*'Analyse capacite'!$F$9</f>
        <v>0</v>
      </c>
      <c r="I5713" s="135" t="n">
        <f aca="false">$G5713*'Analyse capacite'!$C$9</f>
        <v>0</v>
      </c>
      <c r="J5713" s="135" t="n">
        <f aca="false">$G5713*'Analyse capacite'!$D$9</f>
        <v>0</v>
      </c>
      <c r="K5713" s="135" t="n">
        <f aca="false">$G5713*'Analyse capacite'!$E$9</f>
        <v>0</v>
      </c>
    </row>
    <row r="5714" customFormat="false" ht="15" hidden="false" customHeight="false" outlineLevel="0" collapsed="false">
      <c r="B5714" s="130" t="n">
        <v>2027</v>
      </c>
      <c r="C5714" s="131" t="s">
        <v>251</v>
      </c>
      <c r="D5714" s="132" t="n">
        <v>46636</v>
      </c>
      <c r="E5714" s="131" t="s">
        <v>49</v>
      </c>
      <c r="F5714" s="133" t="s">
        <v>11</v>
      </c>
      <c r="G5714" s="134" t="n">
        <f aca="false">LEN('Saisie programme'!$D$229)+SUMIFS('Vols additionnels'!$E$7:$E$66,'Vols additionnels'!$C$7:$C$66,$E5714,'Vols additionnels'!$D$7:$D$66,$F5714,'Vols additionnels'!$B$7:$B$66,$D5714)</f>
        <v>0</v>
      </c>
      <c r="H5714" s="135" t="n">
        <f aca="false">$G5714*'Analyse capacite'!$F$7</f>
        <v>0</v>
      </c>
      <c r="I5714" s="135" t="n">
        <f aca="false">$G5714*'Analyse capacite'!$C$7</f>
        <v>0</v>
      </c>
      <c r="J5714" s="135" t="n">
        <f aca="false">$G5714*'Analyse capacite'!$D$7</f>
        <v>0</v>
      </c>
      <c r="K5714" s="135" t="n">
        <f aca="false">$G5714*'Analyse capacite'!$E$7</f>
        <v>0</v>
      </c>
    </row>
    <row r="5715" customFormat="false" ht="15" hidden="false" customHeight="false" outlineLevel="0" collapsed="false">
      <c r="B5715" s="130" t="n">
        <v>2027</v>
      </c>
      <c r="C5715" s="131" t="s">
        <v>251</v>
      </c>
      <c r="D5715" s="132" t="n">
        <v>46636</v>
      </c>
      <c r="E5715" s="131" t="s">
        <v>49</v>
      </c>
      <c r="F5715" s="133" t="s">
        <v>19</v>
      </c>
      <c r="G5715" s="134" t="n">
        <f aca="false">LEN('Saisie programme'!$D$230)+SUMIFS('Vols additionnels'!$E$7:$E$66,'Vols additionnels'!$C$7:$C$66,$E5715,'Vols additionnels'!$D$7:$D$66,$F5715,'Vols additionnels'!$B$7:$B$66,$D5715)</f>
        <v>1</v>
      </c>
      <c r="H5715" s="135" t="n">
        <f aca="false">$G5715*'Analyse capacite'!$F$8</f>
        <v>262</v>
      </c>
      <c r="I5715" s="135" t="n">
        <f aca="false">$G5715*'Analyse capacite'!$C$8</f>
        <v>18</v>
      </c>
      <c r="J5715" s="135" t="n">
        <f aca="false">$G5715*'Analyse capacite'!$D$8</f>
        <v>0</v>
      </c>
      <c r="K5715" s="135" t="n">
        <f aca="false">$G5715*'Analyse capacite'!$E$8</f>
        <v>244</v>
      </c>
    </row>
    <row r="5716" customFormat="false" ht="15" hidden="false" customHeight="false" outlineLevel="0" collapsed="false">
      <c r="B5716" s="130" t="n">
        <v>2027</v>
      </c>
      <c r="C5716" s="131" t="s">
        <v>251</v>
      </c>
      <c r="D5716" s="132" t="n">
        <v>46636</v>
      </c>
      <c r="E5716" s="131" t="s">
        <v>49</v>
      </c>
      <c r="F5716" s="133" t="s">
        <v>24</v>
      </c>
      <c r="G5716" s="134" t="n">
        <f aca="false">LEN('Saisie programme'!$D$231)+SUMIFS('Vols additionnels'!$E$7:$E$66,'Vols additionnels'!$C$7:$C$66,$E5716,'Vols additionnels'!$D$7:$D$66,$F5716,'Vols additionnels'!$B$7:$B$66,$D5716)</f>
        <v>0</v>
      </c>
      <c r="H5716" s="135" t="n">
        <f aca="false">$G5716*'Analyse capacite'!$F$9</f>
        <v>0</v>
      </c>
      <c r="I5716" s="135" t="n">
        <f aca="false">$G5716*'Analyse capacite'!$C$9</f>
        <v>0</v>
      </c>
      <c r="J5716" s="135" t="n">
        <f aca="false">$G5716*'Analyse capacite'!$D$9</f>
        <v>0</v>
      </c>
      <c r="K5716" s="135" t="n">
        <f aca="false">$G5716*'Analyse capacite'!$E$9</f>
        <v>0</v>
      </c>
    </row>
    <row r="5717" customFormat="false" ht="15" hidden="false" customHeight="false" outlineLevel="0" collapsed="false">
      <c r="B5717" s="130" t="n">
        <v>2027</v>
      </c>
      <c r="C5717" s="131" t="s">
        <v>251</v>
      </c>
      <c r="D5717" s="132" t="n">
        <v>46636</v>
      </c>
      <c r="E5717" s="131" t="s">
        <v>53</v>
      </c>
      <c r="F5717" s="133" t="s">
        <v>11</v>
      </c>
      <c r="G5717" s="134" t="n">
        <f aca="false">LEN('Saisie programme'!$D$232)+SUMIFS('Vols additionnels'!$E$7:$E$66,'Vols additionnels'!$C$7:$C$66,$E5717,'Vols additionnels'!$D$7:$D$66,$F5717,'Vols additionnels'!$B$7:$B$66,$D5717)</f>
        <v>0</v>
      </c>
      <c r="H5717" s="135" t="n">
        <f aca="false">$G5717*'Analyse capacite'!$F$7</f>
        <v>0</v>
      </c>
      <c r="I5717" s="135" t="n">
        <f aca="false">$G5717*'Analyse capacite'!$C$7</f>
        <v>0</v>
      </c>
      <c r="J5717" s="135" t="n">
        <f aca="false">$G5717*'Analyse capacite'!$D$7</f>
        <v>0</v>
      </c>
      <c r="K5717" s="135" t="n">
        <f aca="false">$G5717*'Analyse capacite'!$E$7</f>
        <v>0</v>
      </c>
    </row>
    <row r="5718" customFormat="false" ht="15" hidden="false" customHeight="false" outlineLevel="0" collapsed="false">
      <c r="B5718" s="130" t="n">
        <v>2027</v>
      </c>
      <c r="C5718" s="131" t="s">
        <v>251</v>
      </c>
      <c r="D5718" s="132" t="n">
        <v>46636</v>
      </c>
      <c r="E5718" s="131" t="s">
        <v>53</v>
      </c>
      <c r="F5718" s="133" t="s">
        <v>19</v>
      </c>
      <c r="G5718" s="134" t="n">
        <f aca="false">LEN('Saisie programme'!$D$233)+SUMIFS('Vols additionnels'!$E$7:$E$66,'Vols additionnels'!$C$7:$C$66,$E5718,'Vols additionnels'!$D$7:$D$66,$F5718,'Vols additionnels'!$B$7:$B$66,$D5718)</f>
        <v>0</v>
      </c>
      <c r="H5718" s="135" t="n">
        <f aca="false">$G5718*'Analyse capacite'!$F$8</f>
        <v>0</v>
      </c>
      <c r="I5718" s="135" t="n">
        <f aca="false">$G5718*'Analyse capacite'!$C$8</f>
        <v>0</v>
      </c>
      <c r="J5718" s="135" t="n">
        <f aca="false">$G5718*'Analyse capacite'!$D$8</f>
        <v>0</v>
      </c>
      <c r="K5718" s="135" t="n">
        <f aca="false">$G5718*'Analyse capacite'!$E$8</f>
        <v>0</v>
      </c>
    </row>
    <row r="5719" customFormat="false" ht="15" hidden="false" customHeight="false" outlineLevel="0" collapsed="false">
      <c r="B5719" s="130" t="n">
        <v>2027</v>
      </c>
      <c r="C5719" s="131" t="s">
        <v>251</v>
      </c>
      <c r="D5719" s="132" t="n">
        <v>46636</v>
      </c>
      <c r="E5719" s="131" t="s">
        <v>53</v>
      </c>
      <c r="F5719" s="133" t="s">
        <v>24</v>
      </c>
      <c r="G5719" s="134" t="n">
        <f aca="false">LEN('Saisie programme'!$D$234)+SUMIFS('Vols additionnels'!$E$7:$E$66,'Vols additionnels'!$C$7:$C$66,$E5719,'Vols additionnels'!$D$7:$D$66,$F5719,'Vols additionnels'!$B$7:$B$66,$D5719)</f>
        <v>0</v>
      </c>
      <c r="H5719" s="135" t="n">
        <f aca="false">$G5719*'Analyse capacite'!$F$9</f>
        <v>0</v>
      </c>
      <c r="I5719" s="135" t="n">
        <f aca="false">$G5719*'Analyse capacite'!$C$9</f>
        <v>0</v>
      </c>
      <c r="J5719" s="135" t="n">
        <f aca="false">$G5719*'Analyse capacite'!$D$9</f>
        <v>0</v>
      </c>
      <c r="K5719" s="135" t="n">
        <f aca="false">$G5719*'Analyse capacite'!$E$9</f>
        <v>0</v>
      </c>
    </row>
    <row r="5720" customFormat="false" ht="15" hidden="false" customHeight="false" outlineLevel="0" collapsed="false">
      <c r="B5720" s="130" t="n">
        <v>2027</v>
      </c>
      <c r="C5720" s="131" t="s">
        <v>251</v>
      </c>
      <c r="D5720" s="132" t="n">
        <v>46636</v>
      </c>
      <c r="E5720" s="131" t="s">
        <v>56</v>
      </c>
      <c r="F5720" s="133" t="s">
        <v>11</v>
      </c>
      <c r="G5720" s="134" t="n">
        <f aca="false">LEN('Saisie programme'!$D$235)+SUMIFS('Vols additionnels'!$E$7:$E$66,'Vols additionnels'!$C$7:$C$66,$E5720,'Vols additionnels'!$D$7:$D$66,$F5720,'Vols additionnels'!$B$7:$B$66,$D5720)</f>
        <v>0</v>
      </c>
      <c r="H5720" s="135" t="n">
        <f aca="false">$G5720*'Analyse capacite'!$F$7</f>
        <v>0</v>
      </c>
      <c r="I5720" s="135" t="n">
        <f aca="false">$G5720*'Analyse capacite'!$C$7</f>
        <v>0</v>
      </c>
      <c r="J5720" s="135" t="n">
        <f aca="false">$G5720*'Analyse capacite'!$D$7</f>
        <v>0</v>
      </c>
      <c r="K5720" s="135" t="n">
        <f aca="false">$G5720*'Analyse capacite'!$E$7</f>
        <v>0</v>
      </c>
    </row>
    <row r="5721" customFormat="false" ht="15" hidden="false" customHeight="false" outlineLevel="0" collapsed="false">
      <c r="B5721" s="130" t="n">
        <v>2027</v>
      </c>
      <c r="C5721" s="131" t="s">
        <v>251</v>
      </c>
      <c r="D5721" s="132" t="n">
        <v>46636</v>
      </c>
      <c r="E5721" s="131" t="s">
        <v>56</v>
      </c>
      <c r="F5721" s="133" t="s">
        <v>19</v>
      </c>
      <c r="G5721" s="134" t="n">
        <f aca="false">LEN('Saisie programme'!$D$236)+SUMIFS('Vols additionnels'!$E$7:$E$66,'Vols additionnels'!$C$7:$C$66,$E5721,'Vols additionnels'!$D$7:$D$66,$F5721,'Vols additionnels'!$B$7:$B$66,$D5721)</f>
        <v>0</v>
      </c>
      <c r="H5721" s="135" t="n">
        <f aca="false">$G5721*'Analyse capacite'!$F$8</f>
        <v>0</v>
      </c>
      <c r="I5721" s="135" t="n">
        <f aca="false">$G5721*'Analyse capacite'!$C$8</f>
        <v>0</v>
      </c>
      <c r="J5721" s="135" t="n">
        <f aca="false">$G5721*'Analyse capacite'!$D$8</f>
        <v>0</v>
      </c>
      <c r="K5721" s="135" t="n">
        <f aca="false">$G5721*'Analyse capacite'!$E$8</f>
        <v>0</v>
      </c>
    </row>
    <row r="5722" customFormat="false" ht="15" hidden="false" customHeight="false" outlineLevel="0" collapsed="false">
      <c r="B5722" s="130" t="n">
        <v>2027</v>
      </c>
      <c r="C5722" s="131" t="s">
        <v>251</v>
      </c>
      <c r="D5722" s="132" t="n">
        <v>46636</v>
      </c>
      <c r="E5722" s="131" t="s">
        <v>56</v>
      </c>
      <c r="F5722" s="133" t="s">
        <v>24</v>
      </c>
      <c r="G5722" s="134" t="n">
        <f aca="false">LEN('Saisie programme'!$D$237)+SUMIFS('Vols additionnels'!$E$7:$E$66,'Vols additionnels'!$C$7:$C$66,$E5722,'Vols additionnels'!$D$7:$D$66,$F5722,'Vols additionnels'!$B$7:$B$66,$D5722)</f>
        <v>0</v>
      </c>
      <c r="H5722" s="135" t="n">
        <f aca="false">$G5722*'Analyse capacite'!$F$9</f>
        <v>0</v>
      </c>
      <c r="I5722" s="135" t="n">
        <f aca="false">$G5722*'Analyse capacite'!$C$9</f>
        <v>0</v>
      </c>
      <c r="J5722" s="135" t="n">
        <f aca="false">$G5722*'Analyse capacite'!$D$9</f>
        <v>0</v>
      </c>
      <c r="K5722" s="135" t="n">
        <f aca="false">$G5722*'Analyse capacite'!$E$9</f>
        <v>0</v>
      </c>
    </row>
    <row r="5723" customFormat="false" ht="15" hidden="false" customHeight="false" outlineLevel="0" collapsed="false">
      <c r="B5723" s="130" t="n">
        <v>2027</v>
      </c>
      <c r="C5723" s="131" t="s">
        <v>251</v>
      </c>
      <c r="D5723" s="132" t="n">
        <v>46636</v>
      </c>
      <c r="E5723" s="131" t="s">
        <v>59</v>
      </c>
      <c r="F5723" s="133" t="s">
        <v>11</v>
      </c>
      <c r="G5723" s="134" t="n">
        <f aca="false">LEN('Saisie programme'!$D$238)+SUMIFS('Vols additionnels'!$E$7:$E$66,'Vols additionnels'!$C$7:$C$66,$E5723,'Vols additionnels'!$D$7:$D$66,$F5723,'Vols additionnels'!$B$7:$B$66,$D5723)</f>
        <v>0</v>
      </c>
      <c r="H5723" s="135" t="n">
        <f aca="false">$G5723*'Analyse capacite'!$F$7</f>
        <v>0</v>
      </c>
      <c r="I5723" s="135" t="n">
        <f aca="false">$G5723*'Analyse capacite'!$C$7</f>
        <v>0</v>
      </c>
      <c r="J5723" s="135" t="n">
        <f aca="false">$G5723*'Analyse capacite'!$D$7</f>
        <v>0</v>
      </c>
      <c r="K5723" s="135" t="n">
        <f aca="false">$G5723*'Analyse capacite'!$E$7</f>
        <v>0</v>
      </c>
    </row>
    <row r="5724" customFormat="false" ht="15" hidden="false" customHeight="false" outlineLevel="0" collapsed="false">
      <c r="B5724" s="130" t="n">
        <v>2027</v>
      </c>
      <c r="C5724" s="131" t="s">
        <v>251</v>
      </c>
      <c r="D5724" s="132" t="n">
        <v>46636</v>
      </c>
      <c r="E5724" s="131" t="s">
        <v>59</v>
      </c>
      <c r="F5724" s="133" t="s">
        <v>19</v>
      </c>
      <c r="G5724" s="134" t="n">
        <f aca="false">LEN('Saisie programme'!$D$239)+SUMIFS('Vols additionnels'!$E$7:$E$66,'Vols additionnels'!$C$7:$C$66,$E5724,'Vols additionnels'!$D$7:$D$66,$F5724,'Vols additionnels'!$B$7:$B$66,$D5724)</f>
        <v>0</v>
      </c>
      <c r="H5724" s="135" t="n">
        <f aca="false">$G5724*'Analyse capacite'!$F$8</f>
        <v>0</v>
      </c>
      <c r="I5724" s="135" t="n">
        <f aca="false">$G5724*'Analyse capacite'!$C$8</f>
        <v>0</v>
      </c>
      <c r="J5724" s="135" t="n">
        <f aca="false">$G5724*'Analyse capacite'!$D$8</f>
        <v>0</v>
      </c>
      <c r="K5724" s="135" t="n">
        <f aca="false">$G5724*'Analyse capacite'!$E$8</f>
        <v>0</v>
      </c>
    </row>
    <row r="5725" customFormat="false" ht="15" hidden="false" customHeight="false" outlineLevel="0" collapsed="false">
      <c r="B5725" s="130" t="n">
        <v>2027</v>
      </c>
      <c r="C5725" s="131" t="s">
        <v>251</v>
      </c>
      <c r="D5725" s="132" t="n">
        <v>46636</v>
      </c>
      <c r="E5725" s="131" t="s">
        <v>59</v>
      </c>
      <c r="F5725" s="133" t="s">
        <v>24</v>
      </c>
      <c r="G5725" s="134" t="n">
        <f aca="false">LEN('Saisie programme'!$D$240)+SUMIFS('Vols additionnels'!$E$7:$E$66,'Vols additionnels'!$C$7:$C$66,$E5725,'Vols additionnels'!$D$7:$D$66,$F5725,'Vols additionnels'!$B$7:$B$66,$D5725)</f>
        <v>1</v>
      </c>
      <c r="H5725" s="135" t="n">
        <f aca="false">$G5725*'Analyse capacite'!$F$9</f>
        <v>174</v>
      </c>
      <c r="I5725" s="135" t="n">
        <f aca="false">$G5725*'Analyse capacite'!$C$9</f>
        <v>0</v>
      </c>
      <c r="J5725" s="135" t="n">
        <f aca="false">$G5725*'Analyse capacite'!$D$9</f>
        <v>12</v>
      </c>
      <c r="K5725" s="135" t="n">
        <f aca="false">$G5725*'Analyse capacite'!$E$9</f>
        <v>162</v>
      </c>
    </row>
    <row r="5726" customFormat="false" ht="15" hidden="false" customHeight="false" outlineLevel="0" collapsed="false">
      <c r="B5726" s="130" t="n">
        <v>2027</v>
      </c>
      <c r="C5726" s="131" t="s">
        <v>251</v>
      </c>
      <c r="D5726" s="132" t="n">
        <v>46636</v>
      </c>
      <c r="E5726" s="131" t="s">
        <v>62</v>
      </c>
      <c r="F5726" s="133" t="s">
        <v>11</v>
      </c>
      <c r="G5726" s="134" t="n">
        <f aca="false">LEN('Saisie programme'!$D$241)+SUMIFS('Vols additionnels'!$E$7:$E$66,'Vols additionnels'!$C$7:$C$66,$E5726,'Vols additionnels'!$D$7:$D$66,$F5726,'Vols additionnels'!$B$7:$B$66,$D5726)</f>
        <v>0</v>
      </c>
      <c r="H5726" s="135" t="n">
        <f aca="false">$G5726*'Analyse capacite'!$F$7</f>
        <v>0</v>
      </c>
      <c r="I5726" s="135" t="n">
        <f aca="false">$G5726*'Analyse capacite'!$C$7</f>
        <v>0</v>
      </c>
      <c r="J5726" s="135" t="n">
        <f aca="false">$G5726*'Analyse capacite'!$D$7</f>
        <v>0</v>
      </c>
      <c r="K5726" s="135" t="n">
        <f aca="false">$G5726*'Analyse capacite'!$E$7</f>
        <v>0</v>
      </c>
    </row>
    <row r="5727" customFormat="false" ht="15" hidden="false" customHeight="false" outlineLevel="0" collapsed="false">
      <c r="B5727" s="130" t="n">
        <v>2027</v>
      </c>
      <c r="C5727" s="131" t="s">
        <v>251</v>
      </c>
      <c r="D5727" s="132" t="n">
        <v>46636</v>
      </c>
      <c r="E5727" s="131" t="s">
        <v>62</v>
      </c>
      <c r="F5727" s="133" t="s">
        <v>19</v>
      </c>
      <c r="G5727" s="134" t="n">
        <f aca="false">LEN('Saisie programme'!$D$242)+SUMIFS('Vols additionnels'!$E$7:$E$66,'Vols additionnels'!$C$7:$C$66,$E5727,'Vols additionnels'!$D$7:$D$66,$F5727,'Vols additionnels'!$B$7:$B$66,$D5727)</f>
        <v>0</v>
      </c>
      <c r="H5727" s="135" t="n">
        <f aca="false">$G5727*'Analyse capacite'!$F$8</f>
        <v>0</v>
      </c>
      <c r="I5727" s="135" t="n">
        <f aca="false">$G5727*'Analyse capacite'!$C$8</f>
        <v>0</v>
      </c>
      <c r="J5727" s="135" t="n">
        <f aca="false">$G5727*'Analyse capacite'!$D$8</f>
        <v>0</v>
      </c>
      <c r="K5727" s="135" t="n">
        <f aca="false">$G5727*'Analyse capacite'!$E$8</f>
        <v>0</v>
      </c>
    </row>
    <row r="5728" customFormat="false" ht="15" hidden="false" customHeight="false" outlineLevel="0" collapsed="false">
      <c r="B5728" s="130" t="n">
        <v>2027</v>
      </c>
      <c r="C5728" s="131" t="s">
        <v>251</v>
      </c>
      <c r="D5728" s="132" t="n">
        <v>46636</v>
      </c>
      <c r="E5728" s="131" t="s">
        <v>62</v>
      </c>
      <c r="F5728" s="133" t="s">
        <v>24</v>
      </c>
      <c r="G5728" s="134" t="n">
        <f aca="false">LEN('Saisie programme'!$D$243)+SUMIFS('Vols additionnels'!$E$7:$E$66,'Vols additionnels'!$C$7:$C$66,$E5728,'Vols additionnels'!$D$7:$D$66,$F5728,'Vols additionnels'!$B$7:$B$66,$D5728)</f>
        <v>0</v>
      </c>
      <c r="H5728" s="135" t="n">
        <f aca="false">$G5728*'Analyse capacite'!$F$9</f>
        <v>0</v>
      </c>
      <c r="I5728" s="135" t="n">
        <f aca="false">$G5728*'Analyse capacite'!$C$9</f>
        <v>0</v>
      </c>
      <c r="J5728" s="135" t="n">
        <f aca="false">$G5728*'Analyse capacite'!$D$9</f>
        <v>0</v>
      </c>
      <c r="K5728" s="135" t="n">
        <f aca="false">$G5728*'Analyse capacite'!$E$9</f>
        <v>0</v>
      </c>
    </row>
    <row r="5729" customFormat="false" ht="15" hidden="false" customHeight="false" outlineLevel="0" collapsed="false">
      <c r="B5729" s="130" t="n">
        <v>2027</v>
      </c>
      <c r="C5729" s="131" t="s">
        <v>251</v>
      </c>
      <c r="D5729" s="132" t="n">
        <v>46637</v>
      </c>
      <c r="E5729" s="131" t="s">
        <v>12</v>
      </c>
      <c r="F5729" s="133" t="s">
        <v>11</v>
      </c>
      <c r="G5729" s="134" t="n">
        <f aca="false">LEN('Saisie programme'!$E$208)+SUMIFS('Vols additionnels'!$E$7:$E$66,'Vols additionnels'!$C$7:$C$66,$E5729,'Vols additionnels'!$D$7:$D$66,$F5729,'Vols additionnels'!$B$7:$B$66,$D5729)</f>
        <v>1</v>
      </c>
      <c r="H5729" s="135" t="n">
        <f aca="false">$G5729*'Analyse capacite'!$F$7</f>
        <v>438</v>
      </c>
      <c r="I5729" s="135" t="n">
        <f aca="false">$G5729*'Analyse capacite'!$C$7</f>
        <v>14</v>
      </c>
      <c r="J5729" s="135" t="n">
        <f aca="false">$G5729*'Analyse capacite'!$D$7</f>
        <v>40</v>
      </c>
      <c r="K5729" s="135" t="n">
        <f aca="false">$G5729*'Analyse capacite'!$E$7</f>
        <v>384</v>
      </c>
    </row>
    <row r="5730" customFormat="false" ht="15" hidden="false" customHeight="false" outlineLevel="0" collapsed="false">
      <c r="B5730" s="130" t="n">
        <v>2027</v>
      </c>
      <c r="C5730" s="131" t="s">
        <v>251</v>
      </c>
      <c r="D5730" s="132" t="n">
        <v>46637</v>
      </c>
      <c r="E5730" s="131" t="s">
        <v>12</v>
      </c>
      <c r="F5730" s="133" t="s">
        <v>19</v>
      </c>
      <c r="G5730" s="134" t="n">
        <f aca="false">LEN('Saisie programme'!$E$209)+SUMIFS('Vols additionnels'!$E$7:$E$66,'Vols additionnels'!$C$7:$C$66,$E5730,'Vols additionnels'!$D$7:$D$66,$F5730,'Vols additionnels'!$B$7:$B$66,$D5730)</f>
        <v>0</v>
      </c>
      <c r="H5730" s="135" t="n">
        <f aca="false">$G5730*'Analyse capacite'!$F$8</f>
        <v>0</v>
      </c>
      <c r="I5730" s="135" t="n">
        <f aca="false">$G5730*'Analyse capacite'!$C$8</f>
        <v>0</v>
      </c>
      <c r="J5730" s="135" t="n">
        <f aca="false">$G5730*'Analyse capacite'!$D$8</f>
        <v>0</v>
      </c>
      <c r="K5730" s="135" t="n">
        <f aca="false">$G5730*'Analyse capacite'!$E$8</f>
        <v>0</v>
      </c>
    </row>
    <row r="5731" customFormat="false" ht="15" hidden="false" customHeight="false" outlineLevel="0" collapsed="false">
      <c r="B5731" s="130" t="n">
        <v>2027</v>
      </c>
      <c r="C5731" s="131" t="s">
        <v>251</v>
      </c>
      <c r="D5731" s="132" t="n">
        <v>46637</v>
      </c>
      <c r="E5731" s="131" t="s">
        <v>12</v>
      </c>
      <c r="F5731" s="133" t="s">
        <v>24</v>
      </c>
      <c r="G5731" s="134" t="n">
        <f aca="false">LEN('Saisie programme'!$E$210)+SUMIFS('Vols additionnels'!$E$7:$E$66,'Vols additionnels'!$C$7:$C$66,$E5731,'Vols additionnels'!$D$7:$D$66,$F5731,'Vols additionnels'!$B$7:$B$66,$D5731)</f>
        <v>0</v>
      </c>
      <c r="H5731" s="135" t="n">
        <f aca="false">$G5731*'Analyse capacite'!$F$9</f>
        <v>0</v>
      </c>
      <c r="I5731" s="135" t="n">
        <f aca="false">$G5731*'Analyse capacite'!$C$9</f>
        <v>0</v>
      </c>
      <c r="J5731" s="135" t="n">
        <f aca="false">$G5731*'Analyse capacite'!$D$9</f>
        <v>0</v>
      </c>
      <c r="K5731" s="135" t="n">
        <f aca="false">$G5731*'Analyse capacite'!$E$9</f>
        <v>0</v>
      </c>
    </row>
    <row r="5732" customFormat="false" ht="15" hidden="false" customHeight="false" outlineLevel="0" collapsed="false">
      <c r="B5732" s="130" t="n">
        <v>2027</v>
      </c>
      <c r="C5732" s="131" t="s">
        <v>251</v>
      </c>
      <c r="D5732" s="132" t="n">
        <v>46637</v>
      </c>
      <c r="E5732" s="131" t="s">
        <v>20</v>
      </c>
      <c r="F5732" s="133" t="s">
        <v>11</v>
      </c>
      <c r="G5732" s="134" t="n">
        <f aca="false">LEN('Saisie programme'!$E$211)+SUMIFS('Vols additionnels'!$E$7:$E$66,'Vols additionnels'!$C$7:$C$66,$E5732,'Vols additionnels'!$D$7:$D$66,$F5732,'Vols additionnels'!$B$7:$B$66,$D5732)</f>
        <v>0</v>
      </c>
      <c r="H5732" s="135" t="n">
        <f aca="false">$G5732*'Analyse capacite'!$F$7</f>
        <v>0</v>
      </c>
      <c r="I5732" s="135" t="n">
        <f aca="false">$G5732*'Analyse capacite'!$C$7</f>
        <v>0</v>
      </c>
      <c r="J5732" s="135" t="n">
        <f aca="false">$G5732*'Analyse capacite'!$D$7</f>
        <v>0</v>
      </c>
      <c r="K5732" s="135" t="n">
        <f aca="false">$G5732*'Analyse capacite'!$E$7</f>
        <v>0</v>
      </c>
    </row>
    <row r="5733" customFormat="false" ht="15" hidden="false" customHeight="false" outlineLevel="0" collapsed="false">
      <c r="B5733" s="130" t="n">
        <v>2027</v>
      </c>
      <c r="C5733" s="131" t="s">
        <v>251</v>
      </c>
      <c r="D5733" s="132" t="n">
        <v>46637</v>
      </c>
      <c r="E5733" s="131" t="s">
        <v>20</v>
      </c>
      <c r="F5733" s="133" t="s">
        <v>19</v>
      </c>
      <c r="G5733" s="134" t="n">
        <f aca="false">LEN('Saisie programme'!$E$212)+SUMIFS('Vols additionnels'!$E$7:$E$66,'Vols additionnels'!$C$7:$C$66,$E5733,'Vols additionnels'!$D$7:$D$66,$F5733,'Vols additionnels'!$B$7:$B$66,$D5733)</f>
        <v>1</v>
      </c>
      <c r="H5733" s="135" t="n">
        <f aca="false">$G5733*'Analyse capacite'!$F$8</f>
        <v>262</v>
      </c>
      <c r="I5733" s="135" t="n">
        <f aca="false">$G5733*'Analyse capacite'!$C$8</f>
        <v>18</v>
      </c>
      <c r="J5733" s="135" t="n">
        <f aca="false">$G5733*'Analyse capacite'!$D$8</f>
        <v>0</v>
      </c>
      <c r="K5733" s="135" t="n">
        <f aca="false">$G5733*'Analyse capacite'!$E$8</f>
        <v>244</v>
      </c>
    </row>
    <row r="5734" customFormat="false" ht="15" hidden="false" customHeight="false" outlineLevel="0" collapsed="false">
      <c r="B5734" s="130" t="n">
        <v>2027</v>
      </c>
      <c r="C5734" s="131" t="s">
        <v>251</v>
      </c>
      <c r="D5734" s="132" t="n">
        <v>46637</v>
      </c>
      <c r="E5734" s="131" t="s">
        <v>20</v>
      </c>
      <c r="F5734" s="133" t="s">
        <v>24</v>
      </c>
      <c r="G5734" s="134" t="n">
        <f aca="false">LEN('Saisie programme'!$E$213)+SUMIFS('Vols additionnels'!$E$7:$E$66,'Vols additionnels'!$C$7:$C$66,$E5734,'Vols additionnels'!$D$7:$D$66,$F5734,'Vols additionnels'!$B$7:$B$66,$D5734)</f>
        <v>0</v>
      </c>
      <c r="H5734" s="135" t="n">
        <f aca="false">$G5734*'Analyse capacite'!$F$9</f>
        <v>0</v>
      </c>
      <c r="I5734" s="135" t="n">
        <f aca="false">$G5734*'Analyse capacite'!$C$9</f>
        <v>0</v>
      </c>
      <c r="J5734" s="135" t="n">
        <f aca="false">$G5734*'Analyse capacite'!$D$9</f>
        <v>0</v>
      </c>
      <c r="K5734" s="135" t="n">
        <f aca="false">$G5734*'Analyse capacite'!$E$9</f>
        <v>0</v>
      </c>
    </row>
    <row r="5735" customFormat="false" ht="15" hidden="false" customHeight="false" outlineLevel="0" collapsed="false">
      <c r="B5735" s="130" t="n">
        <v>2027</v>
      </c>
      <c r="C5735" s="131" t="s">
        <v>251</v>
      </c>
      <c r="D5735" s="132" t="n">
        <v>46637</v>
      </c>
      <c r="E5735" s="131" t="s">
        <v>25</v>
      </c>
      <c r="F5735" s="133" t="s">
        <v>11</v>
      </c>
      <c r="G5735" s="134" t="n">
        <f aca="false">LEN('Saisie programme'!$E$214)+SUMIFS('Vols additionnels'!$E$7:$E$66,'Vols additionnels'!$C$7:$C$66,$E5735,'Vols additionnels'!$D$7:$D$66,$F5735,'Vols additionnels'!$B$7:$B$66,$D5735)</f>
        <v>0</v>
      </c>
      <c r="H5735" s="135" t="n">
        <f aca="false">$G5735*'Analyse capacite'!$F$7</f>
        <v>0</v>
      </c>
      <c r="I5735" s="135" t="n">
        <f aca="false">$G5735*'Analyse capacite'!$C$7</f>
        <v>0</v>
      </c>
      <c r="J5735" s="135" t="n">
        <f aca="false">$G5735*'Analyse capacite'!$D$7</f>
        <v>0</v>
      </c>
      <c r="K5735" s="135" t="n">
        <f aca="false">$G5735*'Analyse capacite'!$E$7</f>
        <v>0</v>
      </c>
    </row>
    <row r="5736" customFormat="false" ht="15" hidden="false" customHeight="false" outlineLevel="0" collapsed="false">
      <c r="B5736" s="130" t="n">
        <v>2027</v>
      </c>
      <c r="C5736" s="131" t="s">
        <v>251</v>
      </c>
      <c r="D5736" s="132" t="n">
        <v>46637</v>
      </c>
      <c r="E5736" s="131" t="s">
        <v>25</v>
      </c>
      <c r="F5736" s="133" t="s">
        <v>19</v>
      </c>
      <c r="G5736" s="134" t="n">
        <f aca="false">LEN('Saisie programme'!$E$215)+SUMIFS('Vols additionnels'!$E$7:$E$66,'Vols additionnels'!$C$7:$C$66,$E5736,'Vols additionnels'!$D$7:$D$66,$F5736,'Vols additionnels'!$B$7:$B$66,$D5736)</f>
        <v>0</v>
      </c>
      <c r="H5736" s="135" t="n">
        <f aca="false">$G5736*'Analyse capacite'!$F$8</f>
        <v>0</v>
      </c>
      <c r="I5736" s="135" t="n">
        <f aca="false">$G5736*'Analyse capacite'!$C$8</f>
        <v>0</v>
      </c>
      <c r="J5736" s="135" t="n">
        <f aca="false">$G5736*'Analyse capacite'!$D$8</f>
        <v>0</v>
      </c>
      <c r="K5736" s="135" t="n">
        <f aca="false">$G5736*'Analyse capacite'!$E$8</f>
        <v>0</v>
      </c>
    </row>
    <row r="5737" customFormat="false" ht="15" hidden="false" customHeight="false" outlineLevel="0" collapsed="false">
      <c r="B5737" s="130" t="n">
        <v>2027</v>
      </c>
      <c r="C5737" s="131" t="s">
        <v>251</v>
      </c>
      <c r="D5737" s="132" t="n">
        <v>46637</v>
      </c>
      <c r="E5737" s="131" t="s">
        <v>25</v>
      </c>
      <c r="F5737" s="133" t="s">
        <v>24</v>
      </c>
      <c r="G5737" s="134" t="n">
        <f aca="false">LEN('Saisie programme'!$E$216)+SUMIFS('Vols additionnels'!$E$7:$E$66,'Vols additionnels'!$C$7:$C$66,$E5737,'Vols additionnels'!$D$7:$D$66,$F5737,'Vols additionnels'!$B$7:$B$66,$D5737)</f>
        <v>0</v>
      </c>
      <c r="H5737" s="135" t="n">
        <f aca="false">$G5737*'Analyse capacite'!$F$9</f>
        <v>0</v>
      </c>
      <c r="I5737" s="135" t="n">
        <f aca="false">$G5737*'Analyse capacite'!$C$9</f>
        <v>0</v>
      </c>
      <c r="J5737" s="135" t="n">
        <f aca="false">$G5737*'Analyse capacite'!$D$9</f>
        <v>0</v>
      </c>
      <c r="K5737" s="135" t="n">
        <f aca="false">$G5737*'Analyse capacite'!$E$9</f>
        <v>0</v>
      </c>
    </row>
    <row r="5738" customFormat="false" ht="15" hidden="false" customHeight="false" outlineLevel="0" collapsed="false">
      <c r="B5738" s="130" t="n">
        <v>2027</v>
      </c>
      <c r="C5738" s="131" t="s">
        <v>251</v>
      </c>
      <c r="D5738" s="132" t="n">
        <v>46637</v>
      </c>
      <c r="E5738" s="131" t="s">
        <v>36</v>
      </c>
      <c r="F5738" s="133" t="s">
        <v>11</v>
      </c>
      <c r="G5738" s="134" t="n">
        <f aca="false">LEN('Saisie programme'!$E$217)+SUMIFS('Vols additionnels'!$E$7:$E$66,'Vols additionnels'!$C$7:$C$66,$E5738,'Vols additionnels'!$D$7:$D$66,$F5738,'Vols additionnels'!$B$7:$B$66,$D5738)</f>
        <v>0</v>
      </c>
      <c r="H5738" s="135" t="n">
        <f aca="false">$G5738*'Analyse capacite'!$F$7</f>
        <v>0</v>
      </c>
      <c r="I5738" s="135" t="n">
        <f aca="false">$G5738*'Analyse capacite'!$C$7</f>
        <v>0</v>
      </c>
      <c r="J5738" s="135" t="n">
        <f aca="false">$G5738*'Analyse capacite'!$D$7</f>
        <v>0</v>
      </c>
      <c r="K5738" s="135" t="n">
        <f aca="false">$G5738*'Analyse capacite'!$E$7</f>
        <v>0</v>
      </c>
    </row>
    <row r="5739" customFormat="false" ht="15" hidden="false" customHeight="false" outlineLevel="0" collapsed="false">
      <c r="B5739" s="130" t="n">
        <v>2027</v>
      </c>
      <c r="C5739" s="131" t="s">
        <v>251</v>
      </c>
      <c r="D5739" s="132" t="n">
        <v>46637</v>
      </c>
      <c r="E5739" s="131" t="s">
        <v>36</v>
      </c>
      <c r="F5739" s="133" t="s">
        <v>19</v>
      </c>
      <c r="G5739" s="134" t="n">
        <f aca="false">LEN('Saisie programme'!$E$218)+SUMIFS('Vols additionnels'!$E$7:$E$66,'Vols additionnels'!$C$7:$C$66,$E5739,'Vols additionnels'!$D$7:$D$66,$F5739,'Vols additionnels'!$B$7:$B$66,$D5739)</f>
        <v>0</v>
      </c>
      <c r="H5739" s="135" t="n">
        <f aca="false">$G5739*'Analyse capacite'!$F$8</f>
        <v>0</v>
      </c>
      <c r="I5739" s="135" t="n">
        <f aca="false">$G5739*'Analyse capacite'!$C$8</f>
        <v>0</v>
      </c>
      <c r="J5739" s="135" t="n">
        <f aca="false">$G5739*'Analyse capacite'!$D$8</f>
        <v>0</v>
      </c>
      <c r="K5739" s="135" t="n">
        <f aca="false">$G5739*'Analyse capacite'!$E$8</f>
        <v>0</v>
      </c>
    </row>
    <row r="5740" customFormat="false" ht="15" hidden="false" customHeight="false" outlineLevel="0" collapsed="false">
      <c r="B5740" s="130" t="n">
        <v>2027</v>
      </c>
      <c r="C5740" s="131" t="s">
        <v>251</v>
      </c>
      <c r="D5740" s="132" t="n">
        <v>46637</v>
      </c>
      <c r="E5740" s="131" t="s">
        <v>36</v>
      </c>
      <c r="F5740" s="133" t="s">
        <v>24</v>
      </c>
      <c r="G5740" s="134" t="n">
        <f aca="false">LEN('Saisie programme'!$E$219)+SUMIFS('Vols additionnels'!$E$7:$E$66,'Vols additionnels'!$C$7:$C$66,$E5740,'Vols additionnels'!$D$7:$D$66,$F5740,'Vols additionnels'!$B$7:$B$66,$D5740)</f>
        <v>1</v>
      </c>
      <c r="H5740" s="135" t="n">
        <f aca="false">$G5740*'Analyse capacite'!$F$9</f>
        <v>174</v>
      </c>
      <c r="I5740" s="135" t="n">
        <f aca="false">$G5740*'Analyse capacite'!$C$9</f>
        <v>0</v>
      </c>
      <c r="J5740" s="135" t="n">
        <f aca="false">$G5740*'Analyse capacite'!$D$9</f>
        <v>12</v>
      </c>
      <c r="K5740" s="135" t="n">
        <f aca="false">$G5740*'Analyse capacite'!$E$9</f>
        <v>162</v>
      </c>
    </row>
    <row r="5741" customFormat="false" ht="15" hidden="false" customHeight="false" outlineLevel="0" collapsed="false">
      <c r="B5741" s="130" t="n">
        <v>2027</v>
      </c>
      <c r="C5741" s="131" t="s">
        <v>251</v>
      </c>
      <c r="D5741" s="132" t="n">
        <v>46637</v>
      </c>
      <c r="E5741" s="131" t="s">
        <v>40</v>
      </c>
      <c r="F5741" s="133" t="s">
        <v>11</v>
      </c>
      <c r="G5741" s="134" t="n">
        <f aca="false">LEN('Saisie programme'!$E$220)+SUMIFS('Vols additionnels'!$E$7:$E$66,'Vols additionnels'!$C$7:$C$66,$E5741,'Vols additionnels'!$D$7:$D$66,$F5741,'Vols additionnels'!$B$7:$B$66,$D5741)</f>
        <v>0</v>
      </c>
      <c r="H5741" s="135" t="n">
        <f aca="false">$G5741*'Analyse capacite'!$F$7</f>
        <v>0</v>
      </c>
      <c r="I5741" s="135" t="n">
        <f aca="false">$G5741*'Analyse capacite'!$C$7</f>
        <v>0</v>
      </c>
      <c r="J5741" s="135" t="n">
        <f aca="false">$G5741*'Analyse capacite'!$D$7</f>
        <v>0</v>
      </c>
      <c r="K5741" s="135" t="n">
        <f aca="false">$G5741*'Analyse capacite'!$E$7</f>
        <v>0</v>
      </c>
    </row>
    <row r="5742" customFormat="false" ht="15" hidden="false" customHeight="false" outlineLevel="0" collapsed="false">
      <c r="B5742" s="130" t="n">
        <v>2027</v>
      </c>
      <c r="C5742" s="131" t="s">
        <v>251</v>
      </c>
      <c r="D5742" s="132" t="n">
        <v>46637</v>
      </c>
      <c r="E5742" s="131" t="s">
        <v>40</v>
      </c>
      <c r="F5742" s="133" t="s">
        <v>19</v>
      </c>
      <c r="G5742" s="134" t="n">
        <f aca="false">LEN('Saisie programme'!$E$221)+SUMIFS('Vols additionnels'!$E$7:$E$66,'Vols additionnels'!$C$7:$C$66,$E5742,'Vols additionnels'!$D$7:$D$66,$F5742,'Vols additionnels'!$B$7:$B$66,$D5742)</f>
        <v>0</v>
      </c>
      <c r="H5742" s="135" t="n">
        <f aca="false">$G5742*'Analyse capacite'!$F$8</f>
        <v>0</v>
      </c>
      <c r="I5742" s="135" t="n">
        <f aca="false">$G5742*'Analyse capacite'!$C$8</f>
        <v>0</v>
      </c>
      <c r="J5742" s="135" t="n">
        <f aca="false">$G5742*'Analyse capacite'!$D$8</f>
        <v>0</v>
      </c>
      <c r="K5742" s="135" t="n">
        <f aca="false">$G5742*'Analyse capacite'!$E$8</f>
        <v>0</v>
      </c>
    </row>
    <row r="5743" customFormat="false" ht="15" hidden="false" customHeight="false" outlineLevel="0" collapsed="false">
      <c r="B5743" s="130" t="n">
        <v>2027</v>
      </c>
      <c r="C5743" s="131" t="s">
        <v>251</v>
      </c>
      <c r="D5743" s="132" t="n">
        <v>46637</v>
      </c>
      <c r="E5743" s="131" t="s">
        <v>40</v>
      </c>
      <c r="F5743" s="133" t="s">
        <v>24</v>
      </c>
      <c r="G5743" s="134" t="n">
        <f aca="false">LEN('Saisie programme'!$E$222)+SUMIFS('Vols additionnels'!$E$7:$E$66,'Vols additionnels'!$C$7:$C$66,$E5743,'Vols additionnels'!$D$7:$D$66,$F5743,'Vols additionnels'!$B$7:$B$66,$D5743)</f>
        <v>0</v>
      </c>
      <c r="H5743" s="135" t="n">
        <f aca="false">$G5743*'Analyse capacite'!$F$9</f>
        <v>0</v>
      </c>
      <c r="I5743" s="135" t="n">
        <f aca="false">$G5743*'Analyse capacite'!$C$9</f>
        <v>0</v>
      </c>
      <c r="J5743" s="135" t="n">
        <f aca="false">$G5743*'Analyse capacite'!$D$9</f>
        <v>0</v>
      </c>
      <c r="K5743" s="135" t="n">
        <f aca="false">$G5743*'Analyse capacite'!$E$9</f>
        <v>0</v>
      </c>
    </row>
    <row r="5744" customFormat="false" ht="15" hidden="false" customHeight="false" outlineLevel="0" collapsed="false">
      <c r="B5744" s="130" t="n">
        <v>2027</v>
      </c>
      <c r="C5744" s="131" t="s">
        <v>251</v>
      </c>
      <c r="D5744" s="132" t="n">
        <v>46637</v>
      </c>
      <c r="E5744" s="131" t="s">
        <v>14</v>
      </c>
      <c r="F5744" s="133" t="s">
        <v>11</v>
      </c>
      <c r="G5744" s="134" t="n">
        <f aca="false">LEN('Saisie programme'!$E$223)+SUMIFS('Vols additionnels'!$E$7:$E$66,'Vols additionnels'!$C$7:$C$66,$E5744,'Vols additionnels'!$D$7:$D$66,$F5744,'Vols additionnels'!$B$7:$B$66,$D5744)</f>
        <v>0</v>
      </c>
      <c r="H5744" s="135" t="n">
        <f aca="false">$G5744*'Analyse capacite'!$F$7</f>
        <v>0</v>
      </c>
      <c r="I5744" s="135" t="n">
        <f aca="false">$G5744*'Analyse capacite'!$C$7</f>
        <v>0</v>
      </c>
      <c r="J5744" s="135" t="n">
        <f aca="false">$G5744*'Analyse capacite'!$D$7</f>
        <v>0</v>
      </c>
      <c r="K5744" s="135" t="n">
        <f aca="false">$G5744*'Analyse capacite'!$E$7</f>
        <v>0</v>
      </c>
    </row>
    <row r="5745" customFormat="false" ht="15" hidden="false" customHeight="false" outlineLevel="0" collapsed="false">
      <c r="B5745" s="130" t="n">
        <v>2027</v>
      </c>
      <c r="C5745" s="131" t="s">
        <v>251</v>
      </c>
      <c r="D5745" s="132" t="n">
        <v>46637</v>
      </c>
      <c r="E5745" s="131" t="s">
        <v>14</v>
      </c>
      <c r="F5745" s="133" t="s">
        <v>19</v>
      </c>
      <c r="G5745" s="134" t="n">
        <f aca="false">LEN('Saisie programme'!$E$224)+SUMIFS('Vols additionnels'!$E$7:$E$66,'Vols additionnels'!$C$7:$C$66,$E5745,'Vols additionnels'!$D$7:$D$66,$F5745,'Vols additionnels'!$B$7:$B$66,$D5745)</f>
        <v>0</v>
      </c>
      <c r="H5745" s="135" t="n">
        <f aca="false">$G5745*'Analyse capacite'!$F$8</f>
        <v>0</v>
      </c>
      <c r="I5745" s="135" t="n">
        <f aca="false">$G5745*'Analyse capacite'!$C$8</f>
        <v>0</v>
      </c>
      <c r="J5745" s="135" t="n">
        <f aca="false">$G5745*'Analyse capacite'!$D$8</f>
        <v>0</v>
      </c>
      <c r="K5745" s="135" t="n">
        <f aca="false">$G5745*'Analyse capacite'!$E$8</f>
        <v>0</v>
      </c>
    </row>
    <row r="5746" customFormat="false" ht="15" hidden="false" customHeight="false" outlineLevel="0" collapsed="false">
      <c r="B5746" s="130" t="n">
        <v>2027</v>
      </c>
      <c r="C5746" s="131" t="s">
        <v>251</v>
      </c>
      <c r="D5746" s="132" t="n">
        <v>46637</v>
      </c>
      <c r="E5746" s="131" t="s">
        <v>14</v>
      </c>
      <c r="F5746" s="133" t="s">
        <v>24</v>
      </c>
      <c r="G5746" s="134" t="n">
        <f aca="false">LEN('Saisie programme'!$E$225)+SUMIFS('Vols additionnels'!$E$7:$E$66,'Vols additionnels'!$C$7:$C$66,$E5746,'Vols additionnels'!$D$7:$D$66,$F5746,'Vols additionnels'!$B$7:$B$66,$D5746)</f>
        <v>0</v>
      </c>
      <c r="H5746" s="135" t="n">
        <f aca="false">$G5746*'Analyse capacite'!$F$9</f>
        <v>0</v>
      </c>
      <c r="I5746" s="135" t="n">
        <f aca="false">$G5746*'Analyse capacite'!$C$9</f>
        <v>0</v>
      </c>
      <c r="J5746" s="135" t="n">
        <f aca="false">$G5746*'Analyse capacite'!$D$9</f>
        <v>0</v>
      </c>
      <c r="K5746" s="135" t="n">
        <f aca="false">$G5746*'Analyse capacite'!$E$9</f>
        <v>0</v>
      </c>
    </row>
    <row r="5747" customFormat="false" ht="15" hidden="false" customHeight="false" outlineLevel="0" collapsed="false">
      <c r="B5747" s="130" t="n">
        <v>2027</v>
      </c>
      <c r="C5747" s="131" t="s">
        <v>251</v>
      </c>
      <c r="D5747" s="132" t="n">
        <v>46637</v>
      </c>
      <c r="E5747" s="131" t="s">
        <v>46</v>
      </c>
      <c r="F5747" s="133" t="s">
        <v>11</v>
      </c>
      <c r="G5747" s="134" t="n">
        <f aca="false">LEN('Saisie programme'!$E$226)+SUMIFS('Vols additionnels'!$E$7:$E$66,'Vols additionnels'!$C$7:$C$66,$E5747,'Vols additionnels'!$D$7:$D$66,$F5747,'Vols additionnels'!$B$7:$B$66,$D5747)</f>
        <v>0</v>
      </c>
      <c r="H5747" s="135" t="n">
        <f aca="false">$G5747*'Analyse capacite'!$F$7</f>
        <v>0</v>
      </c>
      <c r="I5747" s="135" t="n">
        <f aca="false">$G5747*'Analyse capacite'!$C$7</f>
        <v>0</v>
      </c>
      <c r="J5747" s="135" t="n">
        <f aca="false">$G5747*'Analyse capacite'!$D$7</f>
        <v>0</v>
      </c>
      <c r="K5747" s="135" t="n">
        <f aca="false">$G5747*'Analyse capacite'!$E$7</f>
        <v>0</v>
      </c>
    </row>
    <row r="5748" customFormat="false" ht="15" hidden="false" customHeight="false" outlineLevel="0" collapsed="false">
      <c r="B5748" s="130" t="n">
        <v>2027</v>
      </c>
      <c r="C5748" s="131" t="s">
        <v>251</v>
      </c>
      <c r="D5748" s="132" t="n">
        <v>46637</v>
      </c>
      <c r="E5748" s="131" t="s">
        <v>46</v>
      </c>
      <c r="F5748" s="133" t="s">
        <v>19</v>
      </c>
      <c r="G5748" s="134" t="n">
        <f aca="false">LEN('Saisie programme'!$E$227)+SUMIFS('Vols additionnels'!$E$7:$E$66,'Vols additionnels'!$C$7:$C$66,$E5748,'Vols additionnels'!$D$7:$D$66,$F5748,'Vols additionnels'!$B$7:$B$66,$D5748)</f>
        <v>0</v>
      </c>
      <c r="H5748" s="135" t="n">
        <f aca="false">$G5748*'Analyse capacite'!$F$8</f>
        <v>0</v>
      </c>
      <c r="I5748" s="135" t="n">
        <f aca="false">$G5748*'Analyse capacite'!$C$8</f>
        <v>0</v>
      </c>
      <c r="J5748" s="135" t="n">
        <f aca="false">$G5748*'Analyse capacite'!$D$8</f>
        <v>0</v>
      </c>
      <c r="K5748" s="135" t="n">
        <f aca="false">$G5748*'Analyse capacite'!$E$8</f>
        <v>0</v>
      </c>
    </row>
    <row r="5749" customFormat="false" ht="15" hidden="false" customHeight="false" outlineLevel="0" collapsed="false">
      <c r="B5749" s="130" t="n">
        <v>2027</v>
      </c>
      <c r="C5749" s="131" t="s">
        <v>251</v>
      </c>
      <c r="D5749" s="132" t="n">
        <v>46637</v>
      </c>
      <c r="E5749" s="131" t="s">
        <v>46</v>
      </c>
      <c r="F5749" s="133" t="s">
        <v>24</v>
      </c>
      <c r="G5749" s="134" t="n">
        <f aca="false">LEN('Saisie programme'!$E$228)+SUMIFS('Vols additionnels'!$E$7:$E$66,'Vols additionnels'!$C$7:$C$66,$E5749,'Vols additionnels'!$D$7:$D$66,$F5749,'Vols additionnels'!$B$7:$B$66,$D5749)</f>
        <v>1</v>
      </c>
      <c r="H5749" s="135" t="n">
        <f aca="false">$G5749*'Analyse capacite'!$F$9</f>
        <v>174</v>
      </c>
      <c r="I5749" s="135" t="n">
        <f aca="false">$G5749*'Analyse capacite'!$C$9</f>
        <v>0</v>
      </c>
      <c r="J5749" s="135" t="n">
        <f aca="false">$G5749*'Analyse capacite'!$D$9</f>
        <v>12</v>
      </c>
      <c r="K5749" s="135" t="n">
        <f aca="false">$G5749*'Analyse capacite'!$E$9</f>
        <v>162</v>
      </c>
    </row>
    <row r="5750" customFormat="false" ht="15" hidden="false" customHeight="false" outlineLevel="0" collapsed="false">
      <c r="B5750" s="130" t="n">
        <v>2027</v>
      </c>
      <c r="C5750" s="131" t="s">
        <v>251</v>
      </c>
      <c r="D5750" s="132" t="n">
        <v>46637</v>
      </c>
      <c r="E5750" s="131" t="s">
        <v>49</v>
      </c>
      <c r="F5750" s="133" t="s">
        <v>11</v>
      </c>
      <c r="G5750" s="134" t="n">
        <f aca="false">LEN('Saisie programme'!$E$229)+SUMIFS('Vols additionnels'!$E$7:$E$66,'Vols additionnels'!$C$7:$C$66,$E5750,'Vols additionnels'!$D$7:$D$66,$F5750,'Vols additionnels'!$B$7:$B$66,$D5750)</f>
        <v>0</v>
      </c>
      <c r="H5750" s="135" t="n">
        <f aca="false">$G5750*'Analyse capacite'!$F$7</f>
        <v>0</v>
      </c>
      <c r="I5750" s="135" t="n">
        <f aca="false">$G5750*'Analyse capacite'!$C$7</f>
        <v>0</v>
      </c>
      <c r="J5750" s="135" t="n">
        <f aca="false">$G5750*'Analyse capacite'!$D$7</f>
        <v>0</v>
      </c>
      <c r="K5750" s="135" t="n">
        <f aca="false">$G5750*'Analyse capacite'!$E$7</f>
        <v>0</v>
      </c>
    </row>
    <row r="5751" customFormat="false" ht="15" hidden="false" customHeight="false" outlineLevel="0" collapsed="false">
      <c r="B5751" s="130" t="n">
        <v>2027</v>
      </c>
      <c r="C5751" s="131" t="s">
        <v>251</v>
      </c>
      <c r="D5751" s="132" t="n">
        <v>46637</v>
      </c>
      <c r="E5751" s="131" t="s">
        <v>49</v>
      </c>
      <c r="F5751" s="133" t="s">
        <v>19</v>
      </c>
      <c r="G5751" s="134" t="n">
        <f aca="false">LEN('Saisie programme'!$E$230)+SUMIFS('Vols additionnels'!$E$7:$E$66,'Vols additionnels'!$C$7:$C$66,$E5751,'Vols additionnels'!$D$7:$D$66,$F5751,'Vols additionnels'!$B$7:$B$66,$D5751)</f>
        <v>0</v>
      </c>
      <c r="H5751" s="135" t="n">
        <f aca="false">$G5751*'Analyse capacite'!$F$8</f>
        <v>0</v>
      </c>
      <c r="I5751" s="135" t="n">
        <f aca="false">$G5751*'Analyse capacite'!$C$8</f>
        <v>0</v>
      </c>
      <c r="J5751" s="135" t="n">
        <f aca="false">$G5751*'Analyse capacite'!$D$8</f>
        <v>0</v>
      </c>
      <c r="K5751" s="135" t="n">
        <f aca="false">$G5751*'Analyse capacite'!$E$8</f>
        <v>0</v>
      </c>
    </row>
    <row r="5752" customFormat="false" ht="15" hidden="false" customHeight="false" outlineLevel="0" collapsed="false">
      <c r="B5752" s="130" t="n">
        <v>2027</v>
      </c>
      <c r="C5752" s="131" t="s">
        <v>251</v>
      </c>
      <c r="D5752" s="132" t="n">
        <v>46637</v>
      </c>
      <c r="E5752" s="131" t="s">
        <v>49</v>
      </c>
      <c r="F5752" s="133" t="s">
        <v>24</v>
      </c>
      <c r="G5752" s="134" t="n">
        <f aca="false">LEN('Saisie programme'!$E$231)+SUMIFS('Vols additionnels'!$E$7:$E$66,'Vols additionnels'!$C$7:$C$66,$E5752,'Vols additionnels'!$D$7:$D$66,$F5752,'Vols additionnels'!$B$7:$B$66,$D5752)</f>
        <v>0</v>
      </c>
      <c r="H5752" s="135" t="n">
        <f aca="false">$G5752*'Analyse capacite'!$F$9</f>
        <v>0</v>
      </c>
      <c r="I5752" s="135" t="n">
        <f aca="false">$G5752*'Analyse capacite'!$C$9</f>
        <v>0</v>
      </c>
      <c r="J5752" s="135" t="n">
        <f aca="false">$G5752*'Analyse capacite'!$D$9</f>
        <v>0</v>
      </c>
      <c r="K5752" s="135" t="n">
        <f aca="false">$G5752*'Analyse capacite'!$E$9</f>
        <v>0</v>
      </c>
    </row>
    <row r="5753" customFormat="false" ht="15" hidden="false" customHeight="false" outlineLevel="0" collapsed="false">
      <c r="B5753" s="130" t="n">
        <v>2027</v>
      </c>
      <c r="C5753" s="131" t="s">
        <v>251</v>
      </c>
      <c r="D5753" s="132" t="n">
        <v>46637</v>
      </c>
      <c r="E5753" s="131" t="s">
        <v>53</v>
      </c>
      <c r="F5753" s="133" t="s">
        <v>11</v>
      </c>
      <c r="G5753" s="134" t="n">
        <f aca="false">LEN('Saisie programme'!$E$232)+SUMIFS('Vols additionnels'!$E$7:$E$66,'Vols additionnels'!$C$7:$C$66,$E5753,'Vols additionnels'!$D$7:$D$66,$F5753,'Vols additionnels'!$B$7:$B$66,$D5753)</f>
        <v>0</v>
      </c>
      <c r="H5753" s="135" t="n">
        <f aca="false">$G5753*'Analyse capacite'!$F$7</f>
        <v>0</v>
      </c>
      <c r="I5753" s="135" t="n">
        <f aca="false">$G5753*'Analyse capacite'!$C$7</f>
        <v>0</v>
      </c>
      <c r="J5753" s="135" t="n">
        <f aca="false">$G5753*'Analyse capacite'!$D$7</f>
        <v>0</v>
      </c>
      <c r="K5753" s="135" t="n">
        <f aca="false">$G5753*'Analyse capacite'!$E$7</f>
        <v>0</v>
      </c>
    </row>
    <row r="5754" customFormat="false" ht="15" hidden="false" customHeight="false" outlineLevel="0" collapsed="false">
      <c r="B5754" s="130" t="n">
        <v>2027</v>
      </c>
      <c r="C5754" s="131" t="s">
        <v>251</v>
      </c>
      <c r="D5754" s="132" t="n">
        <v>46637</v>
      </c>
      <c r="E5754" s="131" t="s">
        <v>53</v>
      </c>
      <c r="F5754" s="133" t="s">
        <v>19</v>
      </c>
      <c r="G5754" s="134" t="n">
        <f aca="false">LEN('Saisie programme'!$E$233)+SUMIFS('Vols additionnels'!$E$7:$E$66,'Vols additionnels'!$C$7:$C$66,$E5754,'Vols additionnels'!$D$7:$D$66,$F5754,'Vols additionnels'!$B$7:$B$66,$D5754)</f>
        <v>0</v>
      </c>
      <c r="H5754" s="135" t="n">
        <f aca="false">$G5754*'Analyse capacite'!$F$8</f>
        <v>0</v>
      </c>
      <c r="I5754" s="135" t="n">
        <f aca="false">$G5754*'Analyse capacite'!$C$8</f>
        <v>0</v>
      </c>
      <c r="J5754" s="135" t="n">
        <f aca="false">$G5754*'Analyse capacite'!$D$8</f>
        <v>0</v>
      </c>
      <c r="K5754" s="135" t="n">
        <f aca="false">$G5754*'Analyse capacite'!$E$8</f>
        <v>0</v>
      </c>
    </row>
    <row r="5755" customFormat="false" ht="15" hidden="false" customHeight="false" outlineLevel="0" collapsed="false">
      <c r="B5755" s="130" t="n">
        <v>2027</v>
      </c>
      <c r="C5755" s="131" t="s">
        <v>251</v>
      </c>
      <c r="D5755" s="132" t="n">
        <v>46637</v>
      </c>
      <c r="E5755" s="131" t="s">
        <v>53</v>
      </c>
      <c r="F5755" s="133" t="s">
        <v>24</v>
      </c>
      <c r="G5755" s="134" t="n">
        <f aca="false">LEN('Saisie programme'!$E$234)+SUMIFS('Vols additionnels'!$E$7:$E$66,'Vols additionnels'!$C$7:$C$66,$E5755,'Vols additionnels'!$D$7:$D$66,$F5755,'Vols additionnels'!$B$7:$B$66,$D5755)</f>
        <v>0</v>
      </c>
      <c r="H5755" s="135" t="n">
        <f aca="false">$G5755*'Analyse capacite'!$F$9</f>
        <v>0</v>
      </c>
      <c r="I5755" s="135" t="n">
        <f aca="false">$G5755*'Analyse capacite'!$C$9</f>
        <v>0</v>
      </c>
      <c r="J5755" s="135" t="n">
        <f aca="false">$G5755*'Analyse capacite'!$D$9</f>
        <v>0</v>
      </c>
      <c r="K5755" s="135" t="n">
        <f aca="false">$G5755*'Analyse capacite'!$E$9</f>
        <v>0</v>
      </c>
    </row>
    <row r="5756" customFormat="false" ht="15" hidden="false" customHeight="false" outlineLevel="0" collapsed="false">
      <c r="B5756" s="130" t="n">
        <v>2027</v>
      </c>
      <c r="C5756" s="131" t="s">
        <v>251</v>
      </c>
      <c r="D5756" s="132" t="n">
        <v>46637</v>
      </c>
      <c r="E5756" s="131" t="s">
        <v>56</v>
      </c>
      <c r="F5756" s="133" t="s">
        <v>11</v>
      </c>
      <c r="G5756" s="134" t="n">
        <f aca="false">LEN('Saisie programme'!$E$235)+SUMIFS('Vols additionnels'!$E$7:$E$66,'Vols additionnels'!$C$7:$C$66,$E5756,'Vols additionnels'!$D$7:$D$66,$F5756,'Vols additionnels'!$B$7:$B$66,$D5756)</f>
        <v>0</v>
      </c>
      <c r="H5756" s="135" t="n">
        <f aca="false">$G5756*'Analyse capacite'!$F$7</f>
        <v>0</v>
      </c>
      <c r="I5756" s="135" t="n">
        <f aca="false">$G5756*'Analyse capacite'!$C$7</f>
        <v>0</v>
      </c>
      <c r="J5756" s="135" t="n">
        <f aca="false">$G5756*'Analyse capacite'!$D$7</f>
        <v>0</v>
      </c>
      <c r="K5756" s="135" t="n">
        <f aca="false">$G5756*'Analyse capacite'!$E$7</f>
        <v>0</v>
      </c>
    </row>
    <row r="5757" customFormat="false" ht="15" hidden="false" customHeight="false" outlineLevel="0" collapsed="false">
      <c r="B5757" s="130" t="n">
        <v>2027</v>
      </c>
      <c r="C5757" s="131" t="s">
        <v>251</v>
      </c>
      <c r="D5757" s="132" t="n">
        <v>46637</v>
      </c>
      <c r="E5757" s="131" t="s">
        <v>56</v>
      </c>
      <c r="F5757" s="133" t="s">
        <v>19</v>
      </c>
      <c r="G5757" s="134" t="n">
        <f aca="false">LEN('Saisie programme'!$E$236)+SUMIFS('Vols additionnels'!$E$7:$E$66,'Vols additionnels'!$C$7:$C$66,$E5757,'Vols additionnels'!$D$7:$D$66,$F5757,'Vols additionnels'!$B$7:$B$66,$D5757)</f>
        <v>0</v>
      </c>
      <c r="H5757" s="135" t="n">
        <f aca="false">$G5757*'Analyse capacite'!$F$8</f>
        <v>0</v>
      </c>
      <c r="I5757" s="135" t="n">
        <f aca="false">$G5757*'Analyse capacite'!$C$8</f>
        <v>0</v>
      </c>
      <c r="J5757" s="135" t="n">
        <f aca="false">$G5757*'Analyse capacite'!$D$8</f>
        <v>0</v>
      </c>
      <c r="K5757" s="135" t="n">
        <f aca="false">$G5757*'Analyse capacite'!$E$8</f>
        <v>0</v>
      </c>
    </row>
    <row r="5758" customFormat="false" ht="15" hidden="false" customHeight="false" outlineLevel="0" collapsed="false">
      <c r="B5758" s="130" t="n">
        <v>2027</v>
      </c>
      <c r="C5758" s="131" t="s">
        <v>251</v>
      </c>
      <c r="D5758" s="132" t="n">
        <v>46637</v>
      </c>
      <c r="E5758" s="131" t="s">
        <v>56</v>
      </c>
      <c r="F5758" s="133" t="s">
        <v>24</v>
      </c>
      <c r="G5758" s="134" t="n">
        <f aca="false">LEN('Saisie programme'!$E$237)+SUMIFS('Vols additionnels'!$E$7:$E$66,'Vols additionnels'!$C$7:$C$66,$E5758,'Vols additionnels'!$D$7:$D$66,$F5758,'Vols additionnels'!$B$7:$B$66,$D5758)</f>
        <v>1</v>
      </c>
      <c r="H5758" s="135" t="n">
        <f aca="false">$G5758*'Analyse capacite'!$F$9</f>
        <v>174</v>
      </c>
      <c r="I5758" s="135" t="n">
        <f aca="false">$G5758*'Analyse capacite'!$C$9</f>
        <v>0</v>
      </c>
      <c r="J5758" s="135" t="n">
        <f aca="false">$G5758*'Analyse capacite'!$D$9</f>
        <v>12</v>
      </c>
      <c r="K5758" s="135" t="n">
        <f aca="false">$G5758*'Analyse capacite'!$E$9</f>
        <v>162</v>
      </c>
    </row>
    <row r="5759" customFormat="false" ht="15" hidden="false" customHeight="false" outlineLevel="0" collapsed="false">
      <c r="B5759" s="130" t="n">
        <v>2027</v>
      </c>
      <c r="C5759" s="131" t="s">
        <v>251</v>
      </c>
      <c r="D5759" s="132" t="n">
        <v>46637</v>
      </c>
      <c r="E5759" s="131" t="s">
        <v>59</v>
      </c>
      <c r="F5759" s="133" t="s">
        <v>11</v>
      </c>
      <c r="G5759" s="134" t="n">
        <f aca="false">LEN('Saisie programme'!$E$238)+SUMIFS('Vols additionnels'!$E$7:$E$66,'Vols additionnels'!$C$7:$C$66,$E5759,'Vols additionnels'!$D$7:$D$66,$F5759,'Vols additionnels'!$B$7:$B$66,$D5759)</f>
        <v>0</v>
      </c>
      <c r="H5759" s="135" t="n">
        <f aca="false">$G5759*'Analyse capacite'!$F$7</f>
        <v>0</v>
      </c>
      <c r="I5759" s="135" t="n">
        <f aca="false">$G5759*'Analyse capacite'!$C$7</f>
        <v>0</v>
      </c>
      <c r="J5759" s="135" t="n">
        <f aca="false">$G5759*'Analyse capacite'!$D$7</f>
        <v>0</v>
      </c>
      <c r="K5759" s="135" t="n">
        <f aca="false">$G5759*'Analyse capacite'!$E$7</f>
        <v>0</v>
      </c>
    </row>
    <row r="5760" customFormat="false" ht="15" hidden="false" customHeight="false" outlineLevel="0" collapsed="false">
      <c r="B5760" s="130" t="n">
        <v>2027</v>
      </c>
      <c r="C5760" s="131" t="s">
        <v>251</v>
      </c>
      <c r="D5760" s="132" t="n">
        <v>46637</v>
      </c>
      <c r="E5760" s="131" t="s">
        <v>59</v>
      </c>
      <c r="F5760" s="133" t="s">
        <v>19</v>
      </c>
      <c r="G5760" s="134" t="n">
        <f aca="false">LEN('Saisie programme'!$E$239)+SUMIFS('Vols additionnels'!$E$7:$E$66,'Vols additionnels'!$C$7:$C$66,$E5760,'Vols additionnels'!$D$7:$D$66,$F5760,'Vols additionnels'!$B$7:$B$66,$D5760)</f>
        <v>0</v>
      </c>
      <c r="H5760" s="135" t="n">
        <f aca="false">$G5760*'Analyse capacite'!$F$8</f>
        <v>0</v>
      </c>
      <c r="I5760" s="135" t="n">
        <f aca="false">$G5760*'Analyse capacite'!$C$8</f>
        <v>0</v>
      </c>
      <c r="J5760" s="135" t="n">
        <f aca="false">$G5760*'Analyse capacite'!$D$8</f>
        <v>0</v>
      </c>
      <c r="K5760" s="135" t="n">
        <f aca="false">$G5760*'Analyse capacite'!$E$8</f>
        <v>0</v>
      </c>
    </row>
    <row r="5761" customFormat="false" ht="15" hidden="false" customHeight="false" outlineLevel="0" collapsed="false">
      <c r="B5761" s="130" t="n">
        <v>2027</v>
      </c>
      <c r="C5761" s="131" t="s">
        <v>251</v>
      </c>
      <c r="D5761" s="132" t="n">
        <v>46637</v>
      </c>
      <c r="E5761" s="131" t="s">
        <v>59</v>
      </c>
      <c r="F5761" s="133" t="s">
        <v>24</v>
      </c>
      <c r="G5761" s="134" t="n">
        <f aca="false">LEN('Saisie programme'!$E$240)+SUMIFS('Vols additionnels'!$E$7:$E$66,'Vols additionnels'!$C$7:$C$66,$E5761,'Vols additionnels'!$D$7:$D$66,$F5761,'Vols additionnels'!$B$7:$B$66,$D5761)</f>
        <v>1</v>
      </c>
      <c r="H5761" s="135" t="n">
        <f aca="false">$G5761*'Analyse capacite'!$F$9</f>
        <v>174</v>
      </c>
      <c r="I5761" s="135" t="n">
        <f aca="false">$G5761*'Analyse capacite'!$C$9</f>
        <v>0</v>
      </c>
      <c r="J5761" s="135" t="n">
        <f aca="false">$G5761*'Analyse capacite'!$D$9</f>
        <v>12</v>
      </c>
      <c r="K5761" s="135" t="n">
        <f aca="false">$G5761*'Analyse capacite'!$E$9</f>
        <v>162</v>
      </c>
    </row>
    <row r="5762" customFormat="false" ht="15" hidden="false" customHeight="false" outlineLevel="0" collapsed="false">
      <c r="B5762" s="130" t="n">
        <v>2027</v>
      </c>
      <c r="C5762" s="131" t="s">
        <v>251</v>
      </c>
      <c r="D5762" s="132" t="n">
        <v>46637</v>
      </c>
      <c r="E5762" s="131" t="s">
        <v>62</v>
      </c>
      <c r="F5762" s="133" t="s">
        <v>11</v>
      </c>
      <c r="G5762" s="134" t="n">
        <f aca="false">LEN('Saisie programme'!$E$241)+SUMIFS('Vols additionnels'!$E$7:$E$66,'Vols additionnels'!$C$7:$C$66,$E5762,'Vols additionnels'!$D$7:$D$66,$F5762,'Vols additionnels'!$B$7:$B$66,$D5762)</f>
        <v>0</v>
      </c>
      <c r="H5762" s="135" t="n">
        <f aca="false">$G5762*'Analyse capacite'!$F$7</f>
        <v>0</v>
      </c>
      <c r="I5762" s="135" t="n">
        <f aca="false">$G5762*'Analyse capacite'!$C$7</f>
        <v>0</v>
      </c>
      <c r="J5762" s="135" t="n">
        <f aca="false">$G5762*'Analyse capacite'!$D$7</f>
        <v>0</v>
      </c>
      <c r="K5762" s="135" t="n">
        <f aca="false">$G5762*'Analyse capacite'!$E$7</f>
        <v>0</v>
      </c>
    </row>
    <row r="5763" customFormat="false" ht="15" hidden="false" customHeight="false" outlineLevel="0" collapsed="false">
      <c r="B5763" s="130" t="n">
        <v>2027</v>
      </c>
      <c r="C5763" s="131" t="s">
        <v>251</v>
      </c>
      <c r="D5763" s="132" t="n">
        <v>46637</v>
      </c>
      <c r="E5763" s="131" t="s">
        <v>62</v>
      </c>
      <c r="F5763" s="133" t="s">
        <v>19</v>
      </c>
      <c r="G5763" s="134" t="n">
        <f aca="false">LEN('Saisie programme'!$E$242)+SUMIFS('Vols additionnels'!$E$7:$E$66,'Vols additionnels'!$C$7:$C$66,$E5763,'Vols additionnels'!$D$7:$D$66,$F5763,'Vols additionnels'!$B$7:$B$66,$D5763)</f>
        <v>0</v>
      </c>
      <c r="H5763" s="135" t="n">
        <f aca="false">$G5763*'Analyse capacite'!$F$8</f>
        <v>0</v>
      </c>
      <c r="I5763" s="135" t="n">
        <f aca="false">$G5763*'Analyse capacite'!$C$8</f>
        <v>0</v>
      </c>
      <c r="J5763" s="135" t="n">
        <f aca="false">$G5763*'Analyse capacite'!$D$8</f>
        <v>0</v>
      </c>
      <c r="K5763" s="135" t="n">
        <f aca="false">$G5763*'Analyse capacite'!$E$8</f>
        <v>0</v>
      </c>
    </row>
    <row r="5764" customFormat="false" ht="15" hidden="false" customHeight="false" outlineLevel="0" collapsed="false">
      <c r="B5764" s="130" t="n">
        <v>2027</v>
      </c>
      <c r="C5764" s="131" t="s">
        <v>251</v>
      </c>
      <c r="D5764" s="132" t="n">
        <v>46637</v>
      </c>
      <c r="E5764" s="131" t="s">
        <v>62</v>
      </c>
      <c r="F5764" s="133" t="s">
        <v>24</v>
      </c>
      <c r="G5764" s="134" t="n">
        <f aca="false">LEN('Saisie programme'!$E$243)+SUMIFS('Vols additionnels'!$E$7:$E$66,'Vols additionnels'!$C$7:$C$66,$E5764,'Vols additionnels'!$D$7:$D$66,$F5764,'Vols additionnels'!$B$7:$B$66,$D5764)</f>
        <v>0</v>
      </c>
      <c r="H5764" s="135" t="n">
        <f aca="false">$G5764*'Analyse capacite'!$F$9</f>
        <v>0</v>
      </c>
      <c r="I5764" s="135" t="n">
        <f aca="false">$G5764*'Analyse capacite'!$C$9</f>
        <v>0</v>
      </c>
      <c r="J5764" s="135" t="n">
        <f aca="false">$G5764*'Analyse capacite'!$D$9</f>
        <v>0</v>
      </c>
      <c r="K5764" s="135" t="n">
        <f aca="false">$G5764*'Analyse capacite'!$E$9</f>
        <v>0</v>
      </c>
    </row>
    <row r="5765" customFormat="false" ht="15" hidden="false" customHeight="false" outlineLevel="0" collapsed="false">
      <c r="B5765" s="130" t="n">
        <v>2027</v>
      </c>
      <c r="C5765" s="131" t="s">
        <v>251</v>
      </c>
      <c r="D5765" s="132" t="n">
        <v>46638</v>
      </c>
      <c r="E5765" s="131" t="s">
        <v>12</v>
      </c>
      <c r="F5765" s="133" t="s">
        <v>11</v>
      </c>
      <c r="G5765" s="134" t="n">
        <f aca="false">LEN('Saisie programme'!$F$208)+SUMIFS('Vols additionnels'!$E$7:$E$66,'Vols additionnels'!$C$7:$C$66,$E5765,'Vols additionnels'!$D$7:$D$66,$F5765,'Vols additionnels'!$B$7:$B$66,$D5765)</f>
        <v>1</v>
      </c>
      <c r="H5765" s="135" t="n">
        <f aca="false">$G5765*'Analyse capacite'!$F$7</f>
        <v>438</v>
      </c>
      <c r="I5765" s="135" t="n">
        <f aca="false">$G5765*'Analyse capacite'!$C$7</f>
        <v>14</v>
      </c>
      <c r="J5765" s="135" t="n">
        <f aca="false">$G5765*'Analyse capacite'!$D$7</f>
        <v>40</v>
      </c>
      <c r="K5765" s="135" t="n">
        <f aca="false">$G5765*'Analyse capacite'!$E$7</f>
        <v>384</v>
      </c>
    </row>
    <row r="5766" customFormat="false" ht="15" hidden="false" customHeight="false" outlineLevel="0" collapsed="false">
      <c r="B5766" s="130" t="n">
        <v>2027</v>
      </c>
      <c r="C5766" s="131" t="s">
        <v>251</v>
      </c>
      <c r="D5766" s="132" t="n">
        <v>46638</v>
      </c>
      <c r="E5766" s="131" t="s">
        <v>12</v>
      </c>
      <c r="F5766" s="133" t="s">
        <v>19</v>
      </c>
      <c r="G5766" s="134" t="n">
        <f aca="false">LEN('Saisie programme'!$F$209)+SUMIFS('Vols additionnels'!$E$7:$E$66,'Vols additionnels'!$C$7:$C$66,$E5766,'Vols additionnels'!$D$7:$D$66,$F5766,'Vols additionnels'!$B$7:$B$66,$D5766)</f>
        <v>0</v>
      </c>
      <c r="H5766" s="135" t="n">
        <f aca="false">$G5766*'Analyse capacite'!$F$8</f>
        <v>0</v>
      </c>
      <c r="I5766" s="135" t="n">
        <f aca="false">$G5766*'Analyse capacite'!$C$8</f>
        <v>0</v>
      </c>
      <c r="J5766" s="135" t="n">
        <f aca="false">$G5766*'Analyse capacite'!$D$8</f>
        <v>0</v>
      </c>
      <c r="K5766" s="135" t="n">
        <f aca="false">$G5766*'Analyse capacite'!$E$8</f>
        <v>0</v>
      </c>
    </row>
    <row r="5767" customFormat="false" ht="15" hidden="false" customHeight="false" outlineLevel="0" collapsed="false">
      <c r="B5767" s="130" t="n">
        <v>2027</v>
      </c>
      <c r="C5767" s="131" t="s">
        <v>251</v>
      </c>
      <c r="D5767" s="132" t="n">
        <v>46638</v>
      </c>
      <c r="E5767" s="131" t="s">
        <v>12</v>
      </c>
      <c r="F5767" s="133" t="s">
        <v>24</v>
      </c>
      <c r="G5767" s="134" t="n">
        <f aca="false">LEN('Saisie programme'!$F$210)+SUMIFS('Vols additionnels'!$E$7:$E$66,'Vols additionnels'!$C$7:$C$66,$E5767,'Vols additionnels'!$D$7:$D$66,$F5767,'Vols additionnels'!$B$7:$B$66,$D5767)</f>
        <v>0</v>
      </c>
      <c r="H5767" s="135" t="n">
        <f aca="false">$G5767*'Analyse capacite'!$F$9</f>
        <v>0</v>
      </c>
      <c r="I5767" s="135" t="n">
        <f aca="false">$G5767*'Analyse capacite'!$C$9</f>
        <v>0</v>
      </c>
      <c r="J5767" s="135" t="n">
        <f aca="false">$G5767*'Analyse capacite'!$D$9</f>
        <v>0</v>
      </c>
      <c r="K5767" s="135" t="n">
        <f aca="false">$G5767*'Analyse capacite'!$E$9</f>
        <v>0</v>
      </c>
    </row>
    <row r="5768" customFormat="false" ht="15" hidden="false" customHeight="false" outlineLevel="0" collapsed="false">
      <c r="B5768" s="130" t="n">
        <v>2027</v>
      </c>
      <c r="C5768" s="131" t="s">
        <v>251</v>
      </c>
      <c r="D5768" s="132" t="n">
        <v>46638</v>
      </c>
      <c r="E5768" s="131" t="s">
        <v>20</v>
      </c>
      <c r="F5768" s="133" t="s">
        <v>11</v>
      </c>
      <c r="G5768" s="134" t="n">
        <f aca="false">LEN('Saisie programme'!$F$211)+SUMIFS('Vols additionnels'!$E$7:$E$66,'Vols additionnels'!$C$7:$C$66,$E5768,'Vols additionnels'!$D$7:$D$66,$F5768,'Vols additionnels'!$B$7:$B$66,$D5768)</f>
        <v>0</v>
      </c>
      <c r="H5768" s="135" t="n">
        <f aca="false">$G5768*'Analyse capacite'!$F$7</f>
        <v>0</v>
      </c>
      <c r="I5768" s="135" t="n">
        <f aca="false">$G5768*'Analyse capacite'!$C$7</f>
        <v>0</v>
      </c>
      <c r="J5768" s="135" t="n">
        <f aca="false">$G5768*'Analyse capacite'!$D$7</f>
        <v>0</v>
      </c>
      <c r="K5768" s="135" t="n">
        <f aca="false">$G5768*'Analyse capacite'!$E$7</f>
        <v>0</v>
      </c>
    </row>
    <row r="5769" customFormat="false" ht="15" hidden="false" customHeight="false" outlineLevel="0" collapsed="false">
      <c r="B5769" s="130" t="n">
        <v>2027</v>
      </c>
      <c r="C5769" s="131" t="s">
        <v>251</v>
      </c>
      <c r="D5769" s="132" t="n">
        <v>46638</v>
      </c>
      <c r="E5769" s="131" t="s">
        <v>20</v>
      </c>
      <c r="F5769" s="133" t="s">
        <v>19</v>
      </c>
      <c r="G5769" s="134" t="n">
        <f aca="false">LEN('Saisie programme'!$F$212)+SUMIFS('Vols additionnels'!$E$7:$E$66,'Vols additionnels'!$C$7:$C$66,$E5769,'Vols additionnels'!$D$7:$D$66,$F5769,'Vols additionnels'!$B$7:$B$66,$D5769)</f>
        <v>0</v>
      </c>
      <c r="H5769" s="135" t="n">
        <f aca="false">$G5769*'Analyse capacite'!$F$8</f>
        <v>0</v>
      </c>
      <c r="I5769" s="135" t="n">
        <f aca="false">$G5769*'Analyse capacite'!$C$8</f>
        <v>0</v>
      </c>
      <c r="J5769" s="135" t="n">
        <f aca="false">$G5769*'Analyse capacite'!$D$8</f>
        <v>0</v>
      </c>
      <c r="K5769" s="135" t="n">
        <f aca="false">$G5769*'Analyse capacite'!$E$8</f>
        <v>0</v>
      </c>
    </row>
    <row r="5770" customFormat="false" ht="15" hidden="false" customHeight="false" outlineLevel="0" collapsed="false">
      <c r="B5770" s="130" t="n">
        <v>2027</v>
      </c>
      <c r="C5770" s="131" t="s">
        <v>251</v>
      </c>
      <c r="D5770" s="132" t="n">
        <v>46638</v>
      </c>
      <c r="E5770" s="131" t="s">
        <v>20</v>
      </c>
      <c r="F5770" s="133" t="s">
        <v>24</v>
      </c>
      <c r="G5770" s="134" t="n">
        <f aca="false">LEN('Saisie programme'!$F$213)+SUMIFS('Vols additionnels'!$E$7:$E$66,'Vols additionnels'!$C$7:$C$66,$E5770,'Vols additionnels'!$D$7:$D$66,$F5770,'Vols additionnels'!$B$7:$B$66,$D5770)</f>
        <v>0</v>
      </c>
      <c r="H5770" s="135" t="n">
        <f aca="false">$G5770*'Analyse capacite'!$F$9</f>
        <v>0</v>
      </c>
      <c r="I5770" s="135" t="n">
        <f aca="false">$G5770*'Analyse capacite'!$C$9</f>
        <v>0</v>
      </c>
      <c r="J5770" s="135" t="n">
        <f aca="false">$G5770*'Analyse capacite'!$D$9</f>
        <v>0</v>
      </c>
      <c r="K5770" s="135" t="n">
        <f aca="false">$G5770*'Analyse capacite'!$E$9</f>
        <v>0</v>
      </c>
    </row>
    <row r="5771" customFormat="false" ht="15" hidden="false" customHeight="false" outlineLevel="0" collapsed="false">
      <c r="B5771" s="130" t="n">
        <v>2027</v>
      </c>
      <c r="C5771" s="131" t="s">
        <v>251</v>
      </c>
      <c r="D5771" s="132" t="n">
        <v>46638</v>
      </c>
      <c r="E5771" s="131" t="s">
        <v>25</v>
      </c>
      <c r="F5771" s="133" t="s">
        <v>11</v>
      </c>
      <c r="G5771" s="134" t="n">
        <f aca="false">LEN('Saisie programme'!$F$214)+SUMIFS('Vols additionnels'!$E$7:$E$66,'Vols additionnels'!$C$7:$C$66,$E5771,'Vols additionnels'!$D$7:$D$66,$F5771,'Vols additionnels'!$B$7:$B$66,$D5771)</f>
        <v>0</v>
      </c>
      <c r="H5771" s="135" t="n">
        <f aca="false">$G5771*'Analyse capacite'!$F$7</f>
        <v>0</v>
      </c>
      <c r="I5771" s="135" t="n">
        <f aca="false">$G5771*'Analyse capacite'!$C$7</f>
        <v>0</v>
      </c>
      <c r="J5771" s="135" t="n">
        <f aca="false">$G5771*'Analyse capacite'!$D$7</f>
        <v>0</v>
      </c>
      <c r="K5771" s="135" t="n">
        <f aca="false">$G5771*'Analyse capacite'!$E$7</f>
        <v>0</v>
      </c>
    </row>
    <row r="5772" customFormat="false" ht="15" hidden="false" customHeight="false" outlineLevel="0" collapsed="false">
      <c r="B5772" s="130" t="n">
        <v>2027</v>
      </c>
      <c r="C5772" s="131" t="s">
        <v>251</v>
      </c>
      <c r="D5772" s="132" t="n">
        <v>46638</v>
      </c>
      <c r="E5772" s="131" t="s">
        <v>25</v>
      </c>
      <c r="F5772" s="133" t="s">
        <v>19</v>
      </c>
      <c r="G5772" s="134" t="n">
        <f aca="false">LEN('Saisie programme'!$F$215)+SUMIFS('Vols additionnels'!$E$7:$E$66,'Vols additionnels'!$C$7:$C$66,$E5772,'Vols additionnels'!$D$7:$D$66,$F5772,'Vols additionnels'!$B$7:$B$66,$D5772)</f>
        <v>1</v>
      </c>
      <c r="H5772" s="135" t="n">
        <f aca="false">$G5772*'Analyse capacite'!$F$8</f>
        <v>262</v>
      </c>
      <c r="I5772" s="135" t="n">
        <f aca="false">$G5772*'Analyse capacite'!$C$8</f>
        <v>18</v>
      </c>
      <c r="J5772" s="135" t="n">
        <f aca="false">$G5772*'Analyse capacite'!$D$8</f>
        <v>0</v>
      </c>
      <c r="K5772" s="135" t="n">
        <f aca="false">$G5772*'Analyse capacite'!$E$8</f>
        <v>244</v>
      </c>
    </row>
    <row r="5773" customFormat="false" ht="15" hidden="false" customHeight="false" outlineLevel="0" collapsed="false">
      <c r="B5773" s="130" t="n">
        <v>2027</v>
      </c>
      <c r="C5773" s="131" t="s">
        <v>251</v>
      </c>
      <c r="D5773" s="132" t="n">
        <v>46638</v>
      </c>
      <c r="E5773" s="131" t="s">
        <v>25</v>
      </c>
      <c r="F5773" s="133" t="s">
        <v>24</v>
      </c>
      <c r="G5773" s="134" t="n">
        <f aca="false">LEN('Saisie programme'!$F$216)+SUMIFS('Vols additionnels'!$E$7:$E$66,'Vols additionnels'!$C$7:$C$66,$E5773,'Vols additionnels'!$D$7:$D$66,$F5773,'Vols additionnels'!$B$7:$B$66,$D5773)</f>
        <v>0</v>
      </c>
      <c r="H5773" s="135" t="n">
        <f aca="false">$G5773*'Analyse capacite'!$F$9</f>
        <v>0</v>
      </c>
      <c r="I5773" s="135" t="n">
        <f aca="false">$G5773*'Analyse capacite'!$C$9</f>
        <v>0</v>
      </c>
      <c r="J5773" s="135" t="n">
        <f aca="false">$G5773*'Analyse capacite'!$D$9</f>
        <v>0</v>
      </c>
      <c r="K5773" s="135" t="n">
        <f aca="false">$G5773*'Analyse capacite'!$E$9</f>
        <v>0</v>
      </c>
    </row>
    <row r="5774" customFormat="false" ht="15" hidden="false" customHeight="false" outlineLevel="0" collapsed="false">
      <c r="B5774" s="130" t="n">
        <v>2027</v>
      </c>
      <c r="C5774" s="131" t="s">
        <v>251</v>
      </c>
      <c r="D5774" s="132" t="n">
        <v>46638</v>
      </c>
      <c r="E5774" s="131" t="s">
        <v>36</v>
      </c>
      <c r="F5774" s="133" t="s">
        <v>11</v>
      </c>
      <c r="G5774" s="134" t="n">
        <f aca="false">LEN('Saisie programme'!$F$217)+SUMIFS('Vols additionnels'!$E$7:$E$66,'Vols additionnels'!$C$7:$C$66,$E5774,'Vols additionnels'!$D$7:$D$66,$F5774,'Vols additionnels'!$B$7:$B$66,$D5774)</f>
        <v>0</v>
      </c>
      <c r="H5774" s="135" t="n">
        <f aca="false">$G5774*'Analyse capacite'!$F$7</f>
        <v>0</v>
      </c>
      <c r="I5774" s="135" t="n">
        <f aca="false">$G5774*'Analyse capacite'!$C$7</f>
        <v>0</v>
      </c>
      <c r="J5774" s="135" t="n">
        <f aca="false">$G5774*'Analyse capacite'!$D$7</f>
        <v>0</v>
      </c>
      <c r="K5774" s="135" t="n">
        <f aca="false">$G5774*'Analyse capacite'!$E$7</f>
        <v>0</v>
      </c>
    </row>
    <row r="5775" customFormat="false" ht="15" hidden="false" customHeight="false" outlineLevel="0" collapsed="false">
      <c r="B5775" s="130" t="n">
        <v>2027</v>
      </c>
      <c r="C5775" s="131" t="s">
        <v>251</v>
      </c>
      <c r="D5775" s="132" t="n">
        <v>46638</v>
      </c>
      <c r="E5775" s="131" t="s">
        <v>36</v>
      </c>
      <c r="F5775" s="133" t="s">
        <v>19</v>
      </c>
      <c r="G5775" s="134" t="n">
        <f aca="false">LEN('Saisie programme'!$F$218)+SUMIFS('Vols additionnels'!$E$7:$E$66,'Vols additionnels'!$C$7:$C$66,$E5775,'Vols additionnels'!$D$7:$D$66,$F5775,'Vols additionnels'!$B$7:$B$66,$D5775)</f>
        <v>1</v>
      </c>
      <c r="H5775" s="135" t="n">
        <f aca="false">$G5775*'Analyse capacite'!$F$8</f>
        <v>262</v>
      </c>
      <c r="I5775" s="135" t="n">
        <f aca="false">$G5775*'Analyse capacite'!$C$8</f>
        <v>18</v>
      </c>
      <c r="J5775" s="135" t="n">
        <f aca="false">$G5775*'Analyse capacite'!$D$8</f>
        <v>0</v>
      </c>
      <c r="K5775" s="135" t="n">
        <f aca="false">$G5775*'Analyse capacite'!$E$8</f>
        <v>244</v>
      </c>
    </row>
    <row r="5776" customFormat="false" ht="15" hidden="false" customHeight="false" outlineLevel="0" collapsed="false">
      <c r="B5776" s="130" t="n">
        <v>2027</v>
      </c>
      <c r="C5776" s="131" t="s">
        <v>251</v>
      </c>
      <c r="D5776" s="132" t="n">
        <v>46638</v>
      </c>
      <c r="E5776" s="131" t="s">
        <v>36</v>
      </c>
      <c r="F5776" s="133" t="s">
        <v>24</v>
      </c>
      <c r="G5776" s="134" t="n">
        <f aca="false">LEN('Saisie programme'!$F$219)+SUMIFS('Vols additionnels'!$E$7:$E$66,'Vols additionnels'!$C$7:$C$66,$E5776,'Vols additionnels'!$D$7:$D$66,$F5776,'Vols additionnels'!$B$7:$B$66,$D5776)</f>
        <v>1</v>
      </c>
      <c r="H5776" s="135" t="n">
        <f aca="false">$G5776*'Analyse capacite'!$F$9</f>
        <v>174</v>
      </c>
      <c r="I5776" s="135" t="n">
        <f aca="false">$G5776*'Analyse capacite'!$C$9</f>
        <v>0</v>
      </c>
      <c r="J5776" s="135" t="n">
        <f aca="false">$G5776*'Analyse capacite'!$D$9</f>
        <v>12</v>
      </c>
      <c r="K5776" s="135" t="n">
        <f aca="false">$G5776*'Analyse capacite'!$E$9</f>
        <v>162</v>
      </c>
    </row>
    <row r="5777" customFormat="false" ht="15" hidden="false" customHeight="false" outlineLevel="0" collapsed="false">
      <c r="B5777" s="130" t="n">
        <v>2027</v>
      </c>
      <c r="C5777" s="131" t="s">
        <v>251</v>
      </c>
      <c r="D5777" s="132" t="n">
        <v>46638</v>
      </c>
      <c r="E5777" s="131" t="s">
        <v>40</v>
      </c>
      <c r="F5777" s="133" t="s">
        <v>11</v>
      </c>
      <c r="G5777" s="134" t="n">
        <f aca="false">LEN('Saisie programme'!$F$220)+SUMIFS('Vols additionnels'!$E$7:$E$66,'Vols additionnels'!$C$7:$C$66,$E5777,'Vols additionnels'!$D$7:$D$66,$F5777,'Vols additionnels'!$B$7:$B$66,$D5777)</f>
        <v>0</v>
      </c>
      <c r="H5777" s="135" t="n">
        <f aca="false">$G5777*'Analyse capacite'!$F$7</f>
        <v>0</v>
      </c>
      <c r="I5777" s="135" t="n">
        <f aca="false">$G5777*'Analyse capacite'!$C$7</f>
        <v>0</v>
      </c>
      <c r="J5777" s="135" t="n">
        <f aca="false">$G5777*'Analyse capacite'!$D$7</f>
        <v>0</v>
      </c>
      <c r="K5777" s="135" t="n">
        <f aca="false">$G5777*'Analyse capacite'!$E$7</f>
        <v>0</v>
      </c>
    </row>
    <row r="5778" customFormat="false" ht="15" hidden="false" customHeight="false" outlineLevel="0" collapsed="false">
      <c r="B5778" s="130" t="n">
        <v>2027</v>
      </c>
      <c r="C5778" s="131" t="s">
        <v>251</v>
      </c>
      <c r="D5778" s="132" t="n">
        <v>46638</v>
      </c>
      <c r="E5778" s="131" t="s">
        <v>40</v>
      </c>
      <c r="F5778" s="133" t="s">
        <v>19</v>
      </c>
      <c r="G5778" s="134" t="n">
        <f aca="false">LEN('Saisie programme'!$F$221)+SUMIFS('Vols additionnels'!$E$7:$E$66,'Vols additionnels'!$C$7:$C$66,$E5778,'Vols additionnels'!$D$7:$D$66,$F5778,'Vols additionnels'!$B$7:$B$66,$D5778)</f>
        <v>0</v>
      </c>
      <c r="H5778" s="135" t="n">
        <f aca="false">$G5778*'Analyse capacite'!$F$8</f>
        <v>0</v>
      </c>
      <c r="I5778" s="135" t="n">
        <f aca="false">$G5778*'Analyse capacite'!$C$8</f>
        <v>0</v>
      </c>
      <c r="J5778" s="135" t="n">
        <f aca="false">$G5778*'Analyse capacite'!$D$8</f>
        <v>0</v>
      </c>
      <c r="K5778" s="135" t="n">
        <f aca="false">$G5778*'Analyse capacite'!$E$8</f>
        <v>0</v>
      </c>
    </row>
    <row r="5779" customFormat="false" ht="15" hidden="false" customHeight="false" outlineLevel="0" collapsed="false">
      <c r="B5779" s="130" t="n">
        <v>2027</v>
      </c>
      <c r="C5779" s="131" t="s">
        <v>251</v>
      </c>
      <c r="D5779" s="132" t="n">
        <v>46638</v>
      </c>
      <c r="E5779" s="131" t="s">
        <v>40</v>
      </c>
      <c r="F5779" s="133" t="s">
        <v>24</v>
      </c>
      <c r="G5779" s="134" t="n">
        <f aca="false">LEN('Saisie programme'!$F$222)+SUMIFS('Vols additionnels'!$E$7:$E$66,'Vols additionnels'!$C$7:$C$66,$E5779,'Vols additionnels'!$D$7:$D$66,$F5779,'Vols additionnels'!$B$7:$B$66,$D5779)</f>
        <v>1</v>
      </c>
      <c r="H5779" s="135" t="n">
        <f aca="false">$G5779*'Analyse capacite'!$F$9</f>
        <v>174</v>
      </c>
      <c r="I5779" s="135" t="n">
        <f aca="false">$G5779*'Analyse capacite'!$C$9</f>
        <v>0</v>
      </c>
      <c r="J5779" s="135" t="n">
        <f aca="false">$G5779*'Analyse capacite'!$D$9</f>
        <v>12</v>
      </c>
      <c r="K5779" s="135" t="n">
        <f aca="false">$G5779*'Analyse capacite'!$E$9</f>
        <v>162</v>
      </c>
    </row>
    <row r="5780" customFormat="false" ht="15" hidden="false" customHeight="false" outlineLevel="0" collapsed="false">
      <c r="B5780" s="130" t="n">
        <v>2027</v>
      </c>
      <c r="C5780" s="131" t="s">
        <v>251</v>
      </c>
      <c r="D5780" s="132" t="n">
        <v>46638</v>
      </c>
      <c r="E5780" s="131" t="s">
        <v>14</v>
      </c>
      <c r="F5780" s="133" t="s">
        <v>11</v>
      </c>
      <c r="G5780" s="134" t="n">
        <f aca="false">LEN('Saisie programme'!$F$223)+SUMIFS('Vols additionnels'!$E$7:$E$66,'Vols additionnels'!$C$7:$C$66,$E5780,'Vols additionnels'!$D$7:$D$66,$F5780,'Vols additionnels'!$B$7:$B$66,$D5780)</f>
        <v>0</v>
      </c>
      <c r="H5780" s="135" t="n">
        <f aca="false">$G5780*'Analyse capacite'!$F$7</f>
        <v>0</v>
      </c>
      <c r="I5780" s="135" t="n">
        <f aca="false">$G5780*'Analyse capacite'!$C$7</f>
        <v>0</v>
      </c>
      <c r="J5780" s="135" t="n">
        <f aca="false">$G5780*'Analyse capacite'!$D$7</f>
        <v>0</v>
      </c>
      <c r="K5780" s="135" t="n">
        <f aca="false">$G5780*'Analyse capacite'!$E$7</f>
        <v>0</v>
      </c>
    </row>
    <row r="5781" customFormat="false" ht="15" hidden="false" customHeight="false" outlineLevel="0" collapsed="false">
      <c r="B5781" s="130" t="n">
        <v>2027</v>
      </c>
      <c r="C5781" s="131" t="s">
        <v>251</v>
      </c>
      <c r="D5781" s="132" t="n">
        <v>46638</v>
      </c>
      <c r="E5781" s="131" t="s">
        <v>14</v>
      </c>
      <c r="F5781" s="133" t="s">
        <v>19</v>
      </c>
      <c r="G5781" s="134" t="n">
        <f aca="false">LEN('Saisie programme'!$F$224)+SUMIFS('Vols additionnels'!$E$7:$E$66,'Vols additionnels'!$C$7:$C$66,$E5781,'Vols additionnels'!$D$7:$D$66,$F5781,'Vols additionnels'!$B$7:$B$66,$D5781)</f>
        <v>0</v>
      </c>
      <c r="H5781" s="135" t="n">
        <f aca="false">$G5781*'Analyse capacite'!$F$8</f>
        <v>0</v>
      </c>
      <c r="I5781" s="135" t="n">
        <f aca="false">$G5781*'Analyse capacite'!$C$8</f>
        <v>0</v>
      </c>
      <c r="J5781" s="135" t="n">
        <f aca="false">$G5781*'Analyse capacite'!$D$8</f>
        <v>0</v>
      </c>
      <c r="K5781" s="135" t="n">
        <f aca="false">$G5781*'Analyse capacite'!$E$8</f>
        <v>0</v>
      </c>
    </row>
    <row r="5782" customFormat="false" ht="15" hidden="false" customHeight="false" outlineLevel="0" collapsed="false">
      <c r="B5782" s="130" t="n">
        <v>2027</v>
      </c>
      <c r="C5782" s="131" t="s">
        <v>251</v>
      </c>
      <c r="D5782" s="132" t="n">
        <v>46638</v>
      </c>
      <c r="E5782" s="131" t="s">
        <v>14</v>
      </c>
      <c r="F5782" s="133" t="s">
        <v>24</v>
      </c>
      <c r="G5782" s="134" t="n">
        <f aca="false">LEN('Saisie programme'!$F$225)+SUMIFS('Vols additionnels'!$E$7:$E$66,'Vols additionnels'!$C$7:$C$66,$E5782,'Vols additionnels'!$D$7:$D$66,$F5782,'Vols additionnels'!$B$7:$B$66,$D5782)</f>
        <v>0</v>
      </c>
      <c r="H5782" s="135" t="n">
        <f aca="false">$G5782*'Analyse capacite'!$F$9</f>
        <v>0</v>
      </c>
      <c r="I5782" s="135" t="n">
        <f aca="false">$G5782*'Analyse capacite'!$C$9</f>
        <v>0</v>
      </c>
      <c r="J5782" s="135" t="n">
        <f aca="false">$G5782*'Analyse capacite'!$D$9</f>
        <v>0</v>
      </c>
      <c r="K5782" s="135" t="n">
        <f aca="false">$G5782*'Analyse capacite'!$E$9</f>
        <v>0</v>
      </c>
    </row>
    <row r="5783" customFormat="false" ht="15" hidden="false" customHeight="false" outlineLevel="0" collapsed="false">
      <c r="B5783" s="130" t="n">
        <v>2027</v>
      </c>
      <c r="C5783" s="131" t="s">
        <v>251</v>
      </c>
      <c r="D5783" s="132" t="n">
        <v>46638</v>
      </c>
      <c r="E5783" s="131" t="s">
        <v>46</v>
      </c>
      <c r="F5783" s="133" t="s">
        <v>11</v>
      </c>
      <c r="G5783" s="134" t="n">
        <f aca="false">LEN('Saisie programme'!$F$226)+SUMIFS('Vols additionnels'!$E$7:$E$66,'Vols additionnels'!$C$7:$C$66,$E5783,'Vols additionnels'!$D$7:$D$66,$F5783,'Vols additionnels'!$B$7:$B$66,$D5783)</f>
        <v>0</v>
      </c>
      <c r="H5783" s="135" t="n">
        <f aca="false">$G5783*'Analyse capacite'!$F$7</f>
        <v>0</v>
      </c>
      <c r="I5783" s="135" t="n">
        <f aca="false">$G5783*'Analyse capacite'!$C$7</f>
        <v>0</v>
      </c>
      <c r="J5783" s="135" t="n">
        <f aca="false">$G5783*'Analyse capacite'!$D$7</f>
        <v>0</v>
      </c>
      <c r="K5783" s="135" t="n">
        <f aca="false">$G5783*'Analyse capacite'!$E$7</f>
        <v>0</v>
      </c>
    </row>
    <row r="5784" customFormat="false" ht="15" hidden="false" customHeight="false" outlineLevel="0" collapsed="false">
      <c r="B5784" s="130" t="n">
        <v>2027</v>
      </c>
      <c r="C5784" s="131" t="s">
        <v>251</v>
      </c>
      <c r="D5784" s="132" t="n">
        <v>46638</v>
      </c>
      <c r="E5784" s="131" t="s">
        <v>46</v>
      </c>
      <c r="F5784" s="133" t="s">
        <v>19</v>
      </c>
      <c r="G5784" s="134" t="n">
        <f aca="false">LEN('Saisie programme'!$F$227)+SUMIFS('Vols additionnels'!$E$7:$E$66,'Vols additionnels'!$C$7:$C$66,$E5784,'Vols additionnels'!$D$7:$D$66,$F5784,'Vols additionnels'!$B$7:$B$66,$D5784)</f>
        <v>0</v>
      </c>
      <c r="H5784" s="135" t="n">
        <f aca="false">$G5784*'Analyse capacite'!$F$8</f>
        <v>0</v>
      </c>
      <c r="I5784" s="135" t="n">
        <f aca="false">$G5784*'Analyse capacite'!$C$8</f>
        <v>0</v>
      </c>
      <c r="J5784" s="135" t="n">
        <f aca="false">$G5784*'Analyse capacite'!$D$8</f>
        <v>0</v>
      </c>
      <c r="K5784" s="135" t="n">
        <f aca="false">$G5784*'Analyse capacite'!$E$8</f>
        <v>0</v>
      </c>
    </row>
    <row r="5785" customFormat="false" ht="15" hidden="false" customHeight="false" outlineLevel="0" collapsed="false">
      <c r="B5785" s="130" t="n">
        <v>2027</v>
      </c>
      <c r="C5785" s="131" t="s">
        <v>251</v>
      </c>
      <c r="D5785" s="132" t="n">
        <v>46638</v>
      </c>
      <c r="E5785" s="131" t="s">
        <v>46</v>
      </c>
      <c r="F5785" s="133" t="s">
        <v>24</v>
      </c>
      <c r="G5785" s="134" t="n">
        <f aca="false">LEN('Saisie programme'!$F$228)+SUMIFS('Vols additionnels'!$E$7:$E$66,'Vols additionnels'!$C$7:$C$66,$E5785,'Vols additionnels'!$D$7:$D$66,$F5785,'Vols additionnels'!$B$7:$B$66,$D5785)</f>
        <v>0</v>
      </c>
      <c r="H5785" s="135" t="n">
        <f aca="false">$G5785*'Analyse capacite'!$F$9</f>
        <v>0</v>
      </c>
      <c r="I5785" s="135" t="n">
        <f aca="false">$G5785*'Analyse capacite'!$C$9</f>
        <v>0</v>
      </c>
      <c r="J5785" s="135" t="n">
        <f aca="false">$G5785*'Analyse capacite'!$D$9</f>
        <v>0</v>
      </c>
      <c r="K5785" s="135" t="n">
        <f aca="false">$G5785*'Analyse capacite'!$E$9</f>
        <v>0</v>
      </c>
    </row>
    <row r="5786" customFormat="false" ht="15" hidden="false" customHeight="false" outlineLevel="0" collapsed="false">
      <c r="B5786" s="130" t="n">
        <v>2027</v>
      </c>
      <c r="C5786" s="131" t="s">
        <v>251</v>
      </c>
      <c r="D5786" s="132" t="n">
        <v>46638</v>
      </c>
      <c r="E5786" s="131" t="s">
        <v>49</v>
      </c>
      <c r="F5786" s="133" t="s">
        <v>11</v>
      </c>
      <c r="G5786" s="134" t="n">
        <f aca="false">LEN('Saisie programme'!$F$229)+SUMIFS('Vols additionnels'!$E$7:$E$66,'Vols additionnels'!$C$7:$C$66,$E5786,'Vols additionnels'!$D$7:$D$66,$F5786,'Vols additionnels'!$B$7:$B$66,$D5786)</f>
        <v>0</v>
      </c>
      <c r="H5786" s="135" t="n">
        <f aca="false">$G5786*'Analyse capacite'!$F$7</f>
        <v>0</v>
      </c>
      <c r="I5786" s="135" t="n">
        <f aca="false">$G5786*'Analyse capacite'!$C$7</f>
        <v>0</v>
      </c>
      <c r="J5786" s="135" t="n">
        <f aca="false">$G5786*'Analyse capacite'!$D$7</f>
        <v>0</v>
      </c>
      <c r="K5786" s="135" t="n">
        <f aca="false">$G5786*'Analyse capacite'!$E$7</f>
        <v>0</v>
      </c>
    </row>
    <row r="5787" customFormat="false" ht="15" hidden="false" customHeight="false" outlineLevel="0" collapsed="false">
      <c r="B5787" s="130" t="n">
        <v>2027</v>
      </c>
      <c r="C5787" s="131" t="s">
        <v>251</v>
      </c>
      <c r="D5787" s="132" t="n">
        <v>46638</v>
      </c>
      <c r="E5787" s="131" t="s">
        <v>49</v>
      </c>
      <c r="F5787" s="133" t="s">
        <v>19</v>
      </c>
      <c r="G5787" s="134" t="n">
        <f aca="false">LEN('Saisie programme'!$F$230)+SUMIFS('Vols additionnels'!$E$7:$E$66,'Vols additionnels'!$C$7:$C$66,$E5787,'Vols additionnels'!$D$7:$D$66,$F5787,'Vols additionnels'!$B$7:$B$66,$D5787)</f>
        <v>0</v>
      </c>
      <c r="H5787" s="135" t="n">
        <f aca="false">$G5787*'Analyse capacite'!$F$8</f>
        <v>0</v>
      </c>
      <c r="I5787" s="135" t="n">
        <f aca="false">$G5787*'Analyse capacite'!$C$8</f>
        <v>0</v>
      </c>
      <c r="J5787" s="135" t="n">
        <f aca="false">$G5787*'Analyse capacite'!$D$8</f>
        <v>0</v>
      </c>
      <c r="K5787" s="135" t="n">
        <f aca="false">$G5787*'Analyse capacite'!$E$8</f>
        <v>0</v>
      </c>
    </row>
    <row r="5788" customFormat="false" ht="15" hidden="false" customHeight="false" outlineLevel="0" collapsed="false">
      <c r="B5788" s="130" t="n">
        <v>2027</v>
      </c>
      <c r="C5788" s="131" t="s">
        <v>251</v>
      </c>
      <c r="D5788" s="132" t="n">
        <v>46638</v>
      </c>
      <c r="E5788" s="131" t="s">
        <v>49</v>
      </c>
      <c r="F5788" s="133" t="s">
        <v>24</v>
      </c>
      <c r="G5788" s="134" t="n">
        <f aca="false">LEN('Saisie programme'!$F$231)+SUMIFS('Vols additionnels'!$E$7:$E$66,'Vols additionnels'!$C$7:$C$66,$E5788,'Vols additionnels'!$D$7:$D$66,$F5788,'Vols additionnels'!$B$7:$B$66,$D5788)</f>
        <v>0</v>
      </c>
      <c r="H5788" s="135" t="n">
        <f aca="false">$G5788*'Analyse capacite'!$F$9</f>
        <v>0</v>
      </c>
      <c r="I5788" s="135" t="n">
        <f aca="false">$G5788*'Analyse capacite'!$C$9</f>
        <v>0</v>
      </c>
      <c r="J5788" s="135" t="n">
        <f aca="false">$G5788*'Analyse capacite'!$D$9</f>
        <v>0</v>
      </c>
      <c r="K5788" s="135" t="n">
        <f aca="false">$G5788*'Analyse capacite'!$E$9</f>
        <v>0</v>
      </c>
    </row>
    <row r="5789" customFormat="false" ht="15" hidden="false" customHeight="false" outlineLevel="0" collapsed="false">
      <c r="B5789" s="130" t="n">
        <v>2027</v>
      </c>
      <c r="C5789" s="131" t="s">
        <v>251</v>
      </c>
      <c r="D5789" s="132" t="n">
        <v>46638</v>
      </c>
      <c r="E5789" s="131" t="s">
        <v>53</v>
      </c>
      <c r="F5789" s="133" t="s">
        <v>11</v>
      </c>
      <c r="G5789" s="134" t="n">
        <f aca="false">LEN('Saisie programme'!$F$232)+SUMIFS('Vols additionnels'!$E$7:$E$66,'Vols additionnels'!$C$7:$C$66,$E5789,'Vols additionnels'!$D$7:$D$66,$F5789,'Vols additionnels'!$B$7:$B$66,$D5789)</f>
        <v>0</v>
      </c>
      <c r="H5789" s="135" t="n">
        <f aca="false">$G5789*'Analyse capacite'!$F$7</f>
        <v>0</v>
      </c>
      <c r="I5789" s="135" t="n">
        <f aca="false">$G5789*'Analyse capacite'!$C$7</f>
        <v>0</v>
      </c>
      <c r="J5789" s="135" t="n">
        <f aca="false">$G5789*'Analyse capacite'!$D$7</f>
        <v>0</v>
      </c>
      <c r="K5789" s="135" t="n">
        <f aca="false">$G5789*'Analyse capacite'!$E$7</f>
        <v>0</v>
      </c>
    </row>
    <row r="5790" customFormat="false" ht="15" hidden="false" customHeight="false" outlineLevel="0" collapsed="false">
      <c r="B5790" s="130" t="n">
        <v>2027</v>
      </c>
      <c r="C5790" s="131" t="s">
        <v>251</v>
      </c>
      <c r="D5790" s="132" t="n">
        <v>46638</v>
      </c>
      <c r="E5790" s="131" t="s">
        <v>53</v>
      </c>
      <c r="F5790" s="133" t="s">
        <v>19</v>
      </c>
      <c r="G5790" s="134" t="n">
        <f aca="false">LEN('Saisie programme'!$F$233)+SUMIFS('Vols additionnels'!$E$7:$E$66,'Vols additionnels'!$C$7:$C$66,$E5790,'Vols additionnels'!$D$7:$D$66,$F5790,'Vols additionnels'!$B$7:$B$66,$D5790)</f>
        <v>0</v>
      </c>
      <c r="H5790" s="135" t="n">
        <f aca="false">$G5790*'Analyse capacite'!$F$8</f>
        <v>0</v>
      </c>
      <c r="I5790" s="135" t="n">
        <f aca="false">$G5790*'Analyse capacite'!$C$8</f>
        <v>0</v>
      </c>
      <c r="J5790" s="135" t="n">
        <f aca="false">$G5790*'Analyse capacite'!$D$8</f>
        <v>0</v>
      </c>
      <c r="K5790" s="135" t="n">
        <f aca="false">$G5790*'Analyse capacite'!$E$8</f>
        <v>0</v>
      </c>
    </row>
    <row r="5791" customFormat="false" ht="15" hidden="false" customHeight="false" outlineLevel="0" collapsed="false">
      <c r="B5791" s="130" t="n">
        <v>2027</v>
      </c>
      <c r="C5791" s="131" t="s">
        <v>251</v>
      </c>
      <c r="D5791" s="132" t="n">
        <v>46638</v>
      </c>
      <c r="E5791" s="131" t="s">
        <v>53</v>
      </c>
      <c r="F5791" s="133" t="s">
        <v>24</v>
      </c>
      <c r="G5791" s="134" t="n">
        <f aca="false">LEN('Saisie programme'!$F$234)+SUMIFS('Vols additionnels'!$E$7:$E$66,'Vols additionnels'!$C$7:$C$66,$E5791,'Vols additionnels'!$D$7:$D$66,$F5791,'Vols additionnels'!$B$7:$B$66,$D5791)</f>
        <v>0</v>
      </c>
      <c r="H5791" s="135" t="n">
        <f aca="false">$G5791*'Analyse capacite'!$F$9</f>
        <v>0</v>
      </c>
      <c r="I5791" s="135" t="n">
        <f aca="false">$G5791*'Analyse capacite'!$C$9</f>
        <v>0</v>
      </c>
      <c r="J5791" s="135" t="n">
        <f aca="false">$G5791*'Analyse capacite'!$D$9</f>
        <v>0</v>
      </c>
      <c r="K5791" s="135" t="n">
        <f aca="false">$G5791*'Analyse capacite'!$E$9</f>
        <v>0</v>
      </c>
    </row>
    <row r="5792" customFormat="false" ht="15" hidden="false" customHeight="false" outlineLevel="0" collapsed="false">
      <c r="B5792" s="130" t="n">
        <v>2027</v>
      </c>
      <c r="C5792" s="131" t="s">
        <v>251</v>
      </c>
      <c r="D5792" s="132" t="n">
        <v>46638</v>
      </c>
      <c r="E5792" s="131" t="s">
        <v>56</v>
      </c>
      <c r="F5792" s="133" t="s">
        <v>11</v>
      </c>
      <c r="G5792" s="134" t="n">
        <f aca="false">LEN('Saisie programme'!$F$235)+SUMIFS('Vols additionnels'!$E$7:$E$66,'Vols additionnels'!$C$7:$C$66,$E5792,'Vols additionnels'!$D$7:$D$66,$F5792,'Vols additionnels'!$B$7:$B$66,$D5792)</f>
        <v>0</v>
      </c>
      <c r="H5792" s="135" t="n">
        <f aca="false">$G5792*'Analyse capacite'!$F$7</f>
        <v>0</v>
      </c>
      <c r="I5792" s="135" t="n">
        <f aca="false">$G5792*'Analyse capacite'!$C$7</f>
        <v>0</v>
      </c>
      <c r="J5792" s="135" t="n">
        <f aca="false">$G5792*'Analyse capacite'!$D$7</f>
        <v>0</v>
      </c>
      <c r="K5792" s="135" t="n">
        <f aca="false">$G5792*'Analyse capacite'!$E$7</f>
        <v>0</v>
      </c>
    </row>
    <row r="5793" customFormat="false" ht="15" hidden="false" customHeight="false" outlineLevel="0" collapsed="false">
      <c r="B5793" s="130" t="n">
        <v>2027</v>
      </c>
      <c r="C5793" s="131" t="s">
        <v>251</v>
      </c>
      <c r="D5793" s="132" t="n">
        <v>46638</v>
      </c>
      <c r="E5793" s="131" t="s">
        <v>56</v>
      </c>
      <c r="F5793" s="133" t="s">
        <v>19</v>
      </c>
      <c r="G5793" s="134" t="n">
        <f aca="false">LEN('Saisie programme'!$F$236)+SUMIFS('Vols additionnels'!$E$7:$E$66,'Vols additionnels'!$C$7:$C$66,$E5793,'Vols additionnels'!$D$7:$D$66,$F5793,'Vols additionnels'!$B$7:$B$66,$D5793)</f>
        <v>0</v>
      </c>
      <c r="H5793" s="135" t="n">
        <f aca="false">$G5793*'Analyse capacite'!$F$8</f>
        <v>0</v>
      </c>
      <c r="I5793" s="135" t="n">
        <f aca="false">$G5793*'Analyse capacite'!$C$8</f>
        <v>0</v>
      </c>
      <c r="J5793" s="135" t="n">
        <f aca="false">$G5793*'Analyse capacite'!$D$8</f>
        <v>0</v>
      </c>
      <c r="K5793" s="135" t="n">
        <f aca="false">$G5793*'Analyse capacite'!$E$8</f>
        <v>0</v>
      </c>
    </row>
    <row r="5794" customFormat="false" ht="15" hidden="false" customHeight="false" outlineLevel="0" collapsed="false">
      <c r="B5794" s="130" t="n">
        <v>2027</v>
      </c>
      <c r="C5794" s="131" t="s">
        <v>251</v>
      </c>
      <c r="D5794" s="132" t="n">
        <v>46638</v>
      </c>
      <c r="E5794" s="131" t="s">
        <v>56</v>
      </c>
      <c r="F5794" s="133" t="s">
        <v>24</v>
      </c>
      <c r="G5794" s="134" t="n">
        <f aca="false">LEN('Saisie programme'!$F$237)+SUMIFS('Vols additionnels'!$E$7:$E$66,'Vols additionnels'!$C$7:$C$66,$E5794,'Vols additionnels'!$D$7:$D$66,$F5794,'Vols additionnels'!$B$7:$B$66,$D5794)</f>
        <v>0</v>
      </c>
      <c r="H5794" s="135" t="n">
        <f aca="false">$G5794*'Analyse capacite'!$F$9</f>
        <v>0</v>
      </c>
      <c r="I5794" s="135" t="n">
        <f aca="false">$G5794*'Analyse capacite'!$C$9</f>
        <v>0</v>
      </c>
      <c r="J5794" s="135" t="n">
        <f aca="false">$G5794*'Analyse capacite'!$D$9</f>
        <v>0</v>
      </c>
      <c r="K5794" s="135" t="n">
        <f aca="false">$G5794*'Analyse capacite'!$E$9</f>
        <v>0</v>
      </c>
    </row>
    <row r="5795" customFormat="false" ht="15" hidden="false" customHeight="false" outlineLevel="0" collapsed="false">
      <c r="B5795" s="130" t="n">
        <v>2027</v>
      </c>
      <c r="C5795" s="131" t="s">
        <v>251</v>
      </c>
      <c r="D5795" s="132" t="n">
        <v>46638</v>
      </c>
      <c r="E5795" s="131" t="s">
        <v>59</v>
      </c>
      <c r="F5795" s="133" t="s">
        <v>11</v>
      </c>
      <c r="G5795" s="134" t="n">
        <f aca="false">LEN('Saisie programme'!$F$238)+SUMIFS('Vols additionnels'!$E$7:$E$66,'Vols additionnels'!$C$7:$C$66,$E5795,'Vols additionnels'!$D$7:$D$66,$F5795,'Vols additionnels'!$B$7:$B$66,$D5795)</f>
        <v>0</v>
      </c>
      <c r="H5795" s="135" t="n">
        <f aca="false">$G5795*'Analyse capacite'!$F$7</f>
        <v>0</v>
      </c>
      <c r="I5795" s="135" t="n">
        <f aca="false">$G5795*'Analyse capacite'!$C$7</f>
        <v>0</v>
      </c>
      <c r="J5795" s="135" t="n">
        <f aca="false">$G5795*'Analyse capacite'!$D$7</f>
        <v>0</v>
      </c>
      <c r="K5795" s="135" t="n">
        <f aca="false">$G5795*'Analyse capacite'!$E$7</f>
        <v>0</v>
      </c>
    </row>
    <row r="5796" customFormat="false" ht="15" hidden="false" customHeight="false" outlineLevel="0" collapsed="false">
      <c r="B5796" s="130" t="n">
        <v>2027</v>
      </c>
      <c r="C5796" s="131" t="s">
        <v>251</v>
      </c>
      <c r="D5796" s="132" t="n">
        <v>46638</v>
      </c>
      <c r="E5796" s="131" t="s">
        <v>59</v>
      </c>
      <c r="F5796" s="133" t="s">
        <v>19</v>
      </c>
      <c r="G5796" s="134" t="n">
        <f aca="false">LEN('Saisie programme'!$F$239)+SUMIFS('Vols additionnels'!$E$7:$E$66,'Vols additionnels'!$C$7:$C$66,$E5796,'Vols additionnels'!$D$7:$D$66,$F5796,'Vols additionnels'!$B$7:$B$66,$D5796)</f>
        <v>0</v>
      </c>
      <c r="H5796" s="135" t="n">
        <f aca="false">$G5796*'Analyse capacite'!$F$8</f>
        <v>0</v>
      </c>
      <c r="I5796" s="135" t="n">
        <f aca="false">$G5796*'Analyse capacite'!$C$8</f>
        <v>0</v>
      </c>
      <c r="J5796" s="135" t="n">
        <f aca="false">$G5796*'Analyse capacite'!$D$8</f>
        <v>0</v>
      </c>
      <c r="K5796" s="135" t="n">
        <f aca="false">$G5796*'Analyse capacite'!$E$8</f>
        <v>0</v>
      </c>
    </row>
    <row r="5797" customFormat="false" ht="15" hidden="false" customHeight="false" outlineLevel="0" collapsed="false">
      <c r="B5797" s="130" t="n">
        <v>2027</v>
      </c>
      <c r="C5797" s="131" t="s">
        <v>251</v>
      </c>
      <c r="D5797" s="132" t="n">
        <v>46638</v>
      </c>
      <c r="E5797" s="131" t="s">
        <v>59</v>
      </c>
      <c r="F5797" s="133" t="s">
        <v>24</v>
      </c>
      <c r="G5797" s="134" t="n">
        <f aca="false">LEN('Saisie programme'!$F$240)+SUMIFS('Vols additionnels'!$E$7:$E$66,'Vols additionnels'!$C$7:$C$66,$E5797,'Vols additionnels'!$D$7:$D$66,$F5797,'Vols additionnels'!$B$7:$B$66,$D5797)</f>
        <v>1</v>
      </c>
      <c r="H5797" s="135" t="n">
        <f aca="false">$G5797*'Analyse capacite'!$F$9</f>
        <v>174</v>
      </c>
      <c r="I5797" s="135" t="n">
        <f aca="false">$G5797*'Analyse capacite'!$C$9</f>
        <v>0</v>
      </c>
      <c r="J5797" s="135" t="n">
        <f aca="false">$G5797*'Analyse capacite'!$D$9</f>
        <v>12</v>
      </c>
      <c r="K5797" s="135" t="n">
        <f aca="false">$G5797*'Analyse capacite'!$E$9</f>
        <v>162</v>
      </c>
    </row>
    <row r="5798" customFormat="false" ht="15" hidden="false" customHeight="false" outlineLevel="0" collapsed="false">
      <c r="B5798" s="130" t="n">
        <v>2027</v>
      </c>
      <c r="C5798" s="131" t="s">
        <v>251</v>
      </c>
      <c r="D5798" s="132" t="n">
        <v>46638</v>
      </c>
      <c r="E5798" s="131" t="s">
        <v>62</v>
      </c>
      <c r="F5798" s="133" t="s">
        <v>11</v>
      </c>
      <c r="G5798" s="134" t="n">
        <f aca="false">LEN('Saisie programme'!$F$241)+SUMIFS('Vols additionnels'!$E$7:$E$66,'Vols additionnels'!$C$7:$C$66,$E5798,'Vols additionnels'!$D$7:$D$66,$F5798,'Vols additionnels'!$B$7:$B$66,$D5798)</f>
        <v>0</v>
      </c>
      <c r="H5798" s="135" t="n">
        <f aca="false">$G5798*'Analyse capacite'!$F$7</f>
        <v>0</v>
      </c>
      <c r="I5798" s="135" t="n">
        <f aca="false">$G5798*'Analyse capacite'!$C$7</f>
        <v>0</v>
      </c>
      <c r="J5798" s="135" t="n">
        <f aca="false">$G5798*'Analyse capacite'!$D$7</f>
        <v>0</v>
      </c>
      <c r="K5798" s="135" t="n">
        <f aca="false">$G5798*'Analyse capacite'!$E$7</f>
        <v>0</v>
      </c>
    </row>
    <row r="5799" customFormat="false" ht="15" hidden="false" customHeight="false" outlineLevel="0" collapsed="false">
      <c r="B5799" s="130" t="n">
        <v>2027</v>
      </c>
      <c r="C5799" s="131" t="s">
        <v>251</v>
      </c>
      <c r="D5799" s="132" t="n">
        <v>46638</v>
      </c>
      <c r="E5799" s="131" t="s">
        <v>62</v>
      </c>
      <c r="F5799" s="133" t="s">
        <v>19</v>
      </c>
      <c r="G5799" s="134" t="n">
        <f aca="false">LEN('Saisie programme'!$F$242)+SUMIFS('Vols additionnels'!$E$7:$E$66,'Vols additionnels'!$C$7:$C$66,$E5799,'Vols additionnels'!$D$7:$D$66,$F5799,'Vols additionnels'!$B$7:$B$66,$D5799)</f>
        <v>0</v>
      </c>
      <c r="H5799" s="135" t="n">
        <f aca="false">$G5799*'Analyse capacite'!$F$8</f>
        <v>0</v>
      </c>
      <c r="I5799" s="135" t="n">
        <f aca="false">$G5799*'Analyse capacite'!$C$8</f>
        <v>0</v>
      </c>
      <c r="J5799" s="135" t="n">
        <f aca="false">$G5799*'Analyse capacite'!$D$8</f>
        <v>0</v>
      </c>
      <c r="K5799" s="135" t="n">
        <f aca="false">$G5799*'Analyse capacite'!$E$8</f>
        <v>0</v>
      </c>
    </row>
    <row r="5800" customFormat="false" ht="15" hidden="false" customHeight="false" outlineLevel="0" collapsed="false">
      <c r="B5800" s="130" t="n">
        <v>2027</v>
      </c>
      <c r="C5800" s="131" t="s">
        <v>251</v>
      </c>
      <c r="D5800" s="132" t="n">
        <v>46638</v>
      </c>
      <c r="E5800" s="131" t="s">
        <v>62</v>
      </c>
      <c r="F5800" s="133" t="s">
        <v>24</v>
      </c>
      <c r="G5800" s="134" t="n">
        <f aca="false">LEN('Saisie programme'!$F$243)+SUMIFS('Vols additionnels'!$E$7:$E$66,'Vols additionnels'!$C$7:$C$66,$E5800,'Vols additionnels'!$D$7:$D$66,$F5800,'Vols additionnels'!$B$7:$B$66,$D5800)</f>
        <v>1</v>
      </c>
      <c r="H5800" s="135" t="n">
        <f aca="false">$G5800*'Analyse capacite'!$F$9</f>
        <v>174</v>
      </c>
      <c r="I5800" s="135" t="n">
        <f aca="false">$G5800*'Analyse capacite'!$C$9</f>
        <v>0</v>
      </c>
      <c r="J5800" s="135" t="n">
        <f aca="false">$G5800*'Analyse capacite'!$D$9</f>
        <v>12</v>
      </c>
      <c r="K5800" s="135" t="n">
        <f aca="false">$G5800*'Analyse capacite'!$E$9</f>
        <v>162</v>
      </c>
    </row>
    <row r="5801" customFormat="false" ht="15" hidden="false" customHeight="false" outlineLevel="0" collapsed="false">
      <c r="B5801" s="130" t="n">
        <v>2027</v>
      </c>
      <c r="C5801" s="131" t="s">
        <v>251</v>
      </c>
      <c r="D5801" s="132" t="n">
        <v>46639</v>
      </c>
      <c r="E5801" s="131" t="s">
        <v>12</v>
      </c>
      <c r="F5801" s="133" t="s">
        <v>11</v>
      </c>
      <c r="G5801" s="134" t="n">
        <f aca="false">LEN('Saisie programme'!$G$208)+SUMIFS('Vols additionnels'!$E$7:$E$66,'Vols additionnels'!$C$7:$C$66,$E5801,'Vols additionnels'!$D$7:$D$66,$F5801,'Vols additionnels'!$B$7:$B$66,$D5801)</f>
        <v>1</v>
      </c>
      <c r="H5801" s="135" t="n">
        <f aca="false">$G5801*'Analyse capacite'!$F$7</f>
        <v>438</v>
      </c>
      <c r="I5801" s="135" t="n">
        <f aca="false">$G5801*'Analyse capacite'!$C$7</f>
        <v>14</v>
      </c>
      <c r="J5801" s="135" t="n">
        <f aca="false">$G5801*'Analyse capacite'!$D$7</f>
        <v>40</v>
      </c>
      <c r="K5801" s="135" t="n">
        <f aca="false">$G5801*'Analyse capacite'!$E$7</f>
        <v>384</v>
      </c>
    </row>
    <row r="5802" customFormat="false" ht="15" hidden="false" customHeight="false" outlineLevel="0" collapsed="false">
      <c r="B5802" s="130" t="n">
        <v>2027</v>
      </c>
      <c r="C5802" s="131" t="s">
        <v>251</v>
      </c>
      <c r="D5802" s="132" t="n">
        <v>46639</v>
      </c>
      <c r="E5802" s="131" t="s">
        <v>12</v>
      </c>
      <c r="F5802" s="133" t="s">
        <v>19</v>
      </c>
      <c r="G5802" s="134" t="n">
        <f aca="false">LEN('Saisie programme'!$G$209)+SUMIFS('Vols additionnels'!$E$7:$E$66,'Vols additionnels'!$C$7:$C$66,$E5802,'Vols additionnels'!$D$7:$D$66,$F5802,'Vols additionnels'!$B$7:$B$66,$D5802)</f>
        <v>0</v>
      </c>
      <c r="H5802" s="135" t="n">
        <f aca="false">$G5802*'Analyse capacite'!$F$8</f>
        <v>0</v>
      </c>
      <c r="I5802" s="135" t="n">
        <f aca="false">$G5802*'Analyse capacite'!$C$8</f>
        <v>0</v>
      </c>
      <c r="J5802" s="135" t="n">
        <f aca="false">$G5802*'Analyse capacite'!$D$8</f>
        <v>0</v>
      </c>
      <c r="K5802" s="135" t="n">
        <f aca="false">$G5802*'Analyse capacite'!$E$8</f>
        <v>0</v>
      </c>
    </row>
    <row r="5803" customFormat="false" ht="15" hidden="false" customHeight="false" outlineLevel="0" collapsed="false">
      <c r="B5803" s="130" t="n">
        <v>2027</v>
      </c>
      <c r="C5803" s="131" t="s">
        <v>251</v>
      </c>
      <c r="D5803" s="132" t="n">
        <v>46639</v>
      </c>
      <c r="E5803" s="131" t="s">
        <v>12</v>
      </c>
      <c r="F5803" s="133" t="s">
        <v>24</v>
      </c>
      <c r="G5803" s="134" t="n">
        <f aca="false">LEN('Saisie programme'!$G$210)+SUMIFS('Vols additionnels'!$E$7:$E$66,'Vols additionnels'!$C$7:$C$66,$E5803,'Vols additionnels'!$D$7:$D$66,$F5803,'Vols additionnels'!$B$7:$B$66,$D5803)</f>
        <v>0</v>
      </c>
      <c r="H5803" s="135" t="n">
        <f aca="false">$G5803*'Analyse capacite'!$F$9</f>
        <v>0</v>
      </c>
      <c r="I5803" s="135" t="n">
        <f aca="false">$G5803*'Analyse capacite'!$C$9</f>
        <v>0</v>
      </c>
      <c r="J5803" s="135" t="n">
        <f aca="false">$G5803*'Analyse capacite'!$D$9</f>
        <v>0</v>
      </c>
      <c r="K5803" s="135" t="n">
        <f aca="false">$G5803*'Analyse capacite'!$E$9</f>
        <v>0</v>
      </c>
    </row>
    <row r="5804" customFormat="false" ht="15" hidden="false" customHeight="false" outlineLevel="0" collapsed="false">
      <c r="B5804" s="130" t="n">
        <v>2027</v>
      </c>
      <c r="C5804" s="131" t="s">
        <v>251</v>
      </c>
      <c r="D5804" s="132" t="n">
        <v>46639</v>
      </c>
      <c r="E5804" s="131" t="s">
        <v>20</v>
      </c>
      <c r="F5804" s="133" t="s">
        <v>11</v>
      </c>
      <c r="G5804" s="134" t="n">
        <f aca="false">LEN('Saisie programme'!$G$211)+SUMIFS('Vols additionnels'!$E$7:$E$66,'Vols additionnels'!$C$7:$C$66,$E5804,'Vols additionnels'!$D$7:$D$66,$F5804,'Vols additionnels'!$B$7:$B$66,$D5804)</f>
        <v>0</v>
      </c>
      <c r="H5804" s="135" t="n">
        <f aca="false">$G5804*'Analyse capacite'!$F$7</f>
        <v>0</v>
      </c>
      <c r="I5804" s="135" t="n">
        <f aca="false">$G5804*'Analyse capacite'!$C$7</f>
        <v>0</v>
      </c>
      <c r="J5804" s="135" t="n">
        <f aca="false">$G5804*'Analyse capacite'!$D$7</f>
        <v>0</v>
      </c>
      <c r="K5804" s="135" t="n">
        <f aca="false">$G5804*'Analyse capacite'!$E$7</f>
        <v>0</v>
      </c>
    </row>
    <row r="5805" customFormat="false" ht="15" hidden="false" customHeight="false" outlineLevel="0" collapsed="false">
      <c r="B5805" s="130" t="n">
        <v>2027</v>
      </c>
      <c r="C5805" s="131" t="s">
        <v>251</v>
      </c>
      <c r="D5805" s="132" t="n">
        <v>46639</v>
      </c>
      <c r="E5805" s="131" t="s">
        <v>20</v>
      </c>
      <c r="F5805" s="133" t="s">
        <v>19</v>
      </c>
      <c r="G5805" s="134" t="n">
        <f aca="false">LEN('Saisie programme'!$G$212)+SUMIFS('Vols additionnels'!$E$7:$E$66,'Vols additionnels'!$C$7:$C$66,$E5805,'Vols additionnels'!$D$7:$D$66,$F5805,'Vols additionnels'!$B$7:$B$66,$D5805)</f>
        <v>0</v>
      </c>
      <c r="H5805" s="135" t="n">
        <f aca="false">$G5805*'Analyse capacite'!$F$8</f>
        <v>0</v>
      </c>
      <c r="I5805" s="135" t="n">
        <f aca="false">$G5805*'Analyse capacite'!$C$8</f>
        <v>0</v>
      </c>
      <c r="J5805" s="135" t="n">
        <f aca="false">$G5805*'Analyse capacite'!$D$8</f>
        <v>0</v>
      </c>
      <c r="K5805" s="135" t="n">
        <f aca="false">$G5805*'Analyse capacite'!$E$8</f>
        <v>0</v>
      </c>
    </row>
    <row r="5806" customFormat="false" ht="15" hidden="false" customHeight="false" outlineLevel="0" collapsed="false">
      <c r="B5806" s="130" t="n">
        <v>2027</v>
      </c>
      <c r="C5806" s="131" t="s">
        <v>251</v>
      </c>
      <c r="D5806" s="132" t="n">
        <v>46639</v>
      </c>
      <c r="E5806" s="131" t="s">
        <v>20</v>
      </c>
      <c r="F5806" s="133" t="s">
        <v>24</v>
      </c>
      <c r="G5806" s="134" t="n">
        <f aca="false">LEN('Saisie programme'!$G$213)+SUMIFS('Vols additionnels'!$E$7:$E$66,'Vols additionnels'!$C$7:$C$66,$E5806,'Vols additionnels'!$D$7:$D$66,$F5806,'Vols additionnels'!$B$7:$B$66,$D5806)</f>
        <v>0</v>
      </c>
      <c r="H5806" s="135" t="n">
        <f aca="false">$G5806*'Analyse capacite'!$F$9</f>
        <v>0</v>
      </c>
      <c r="I5806" s="135" t="n">
        <f aca="false">$G5806*'Analyse capacite'!$C$9</f>
        <v>0</v>
      </c>
      <c r="J5806" s="135" t="n">
        <f aca="false">$G5806*'Analyse capacite'!$D$9</f>
        <v>0</v>
      </c>
      <c r="K5806" s="135" t="n">
        <f aca="false">$G5806*'Analyse capacite'!$E$9</f>
        <v>0</v>
      </c>
    </row>
    <row r="5807" customFormat="false" ht="15" hidden="false" customHeight="false" outlineLevel="0" collapsed="false">
      <c r="B5807" s="130" t="n">
        <v>2027</v>
      </c>
      <c r="C5807" s="131" t="s">
        <v>251</v>
      </c>
      <c r="D5807" s="132" t="n">
        <v>46639</v>
      </c>
      <c r="E5807" s="131" t="s">
        <v>25</v>
      </c>
      <c r="F5807" s="133" t="s">
        <v>11</v>
      </c>
      <c r="G5807" s="134" t="n">
        <f aca="false">LEN('Saisie programme'!$G$214)+SUMIFS('Vols additionnels'!$E$7:$E$66,'Vols additionnels'!$C$7:$C$66,$E5807,'Vols additionnels'!$D$7:$D$66,$F5807,'Vols additionnels'!$B$7:$B$66,$D5807)</f>
        <v>0</v>
      </c>
      <c r="H5807" s="135" t="n">
        <f aca="false">$G5807*'Analyse capacite'!$F$7</f>
        <v>0</v>
      </c>
      <c r="I5807" s="135" t="n">
        <f aca="false">$G5807*'Analyse capacite'!$C$7</f>
        <v>0</v>
      </c>
      <c r="J5807" s="135" t="n">
        <f aca="false">$G5807*'Analyse capacite'!$D$7</f>
        <v>0</v>
      </c>
      <c r="K5807" s="135" t="n">
        <f aca="false">$G5807*'Analyse capacite'!$E$7</f>
        <v>0</v>
      </c>
    </row>
    <row r="5808" customFormat="false" ht="15" hidden="false" customHeight="false" outlineLevel="0" collapsed="false">
      <c r="B5808" s="130" t="n">
        <v>2027</v>
      </c>
      <c r="C5808" s="131" t="s">
        <v>251</v>
      </c>
      <c r="D5808" s="132" t="n">
        <v>46639</v>
      </c>
      <c r="E5808" s="131" t="s">
        <v>25</v>
      </c>
      <c r="F5808" s="133" t="s">
        <v>19</v>
      </c>
      <c r="G5808" s="134" t="n">
        <f aca="false">LEN('Saisie programme'!$G$215)+SUMIFS('Vols additionnels'!$E$7:$E$66,'Vols additionnels'!$C$7:$C$66,$E5808,'Vols additionnels'!$D$7:$D$66,$F5808,'Vols additionnels'!$B$7:$B$66,$D5808)</f>
        <v>0</v>
      </c>
      <c r="H5808" s="135" t="n">
        <f aca="false">$G5808*'Analyse capacite'!$F$8</f>
        <v>0</v>
      </c>
      <c r="I5808" s="135" t="n">
        <f aca="false">$G5808*'Analyse capacite'!$C$8</f>
        <v>0</v>
      </c>
      <c r="J5808" s="135" t="n">
        <f aca="false">$G5808*'Analyse capacite'!$D$8</f>
        <v>0</v>
      </c>
      <c r="K5808" s="135" t="n">
        <f aca="false">$G5808*'Analyse capacite'!$E$8</f>
        <v>0</v>
      </c>
    </row>
    <row r="5809" customFormat="false" ht="15" hidden="false" customHeight="false" outlineLevel="0" collapsed="false">
      <c r="B5809" s="130" t="n">
        <v>2027</v>
      </c>
      <c r="C5809" s="131" t="s">
        <v>251</v>
      </c>
      <c r="D5809" s="132" t="n">
        <v>46639</v>
      </c>
      <c r="E5809" s="131" t="s">
        <v>25</v>
      </c>
      <c r="F5809" s="133" t="s">
        <v>24</v>
      </c>
      <c r="G5809" s="134" t="n">
        <f aca="false">LEN('Saisie programme'!$G$216)+SUMIFS('Vols additionnels'!$E$7:$E$66,'Vols additionnels'!$C$7:$C$66,$E5809,'Vols additionnels'!$D$7:$D$66,$F5809,'Vols additionnels'!$B$7:$B$66,$D5809)</f>
        <v>0</v>
      </c>
      <c r="H5809" s="135" t="n">
        <f aca="false">$G5809*'Analyse capacite'!$F$9</f>
        <v>0</v>
      </c>
      <c r="I5809" s="135" t="n">
        <f aca="false">$G5809*'Analyse capacite'!$C$9</f>
        <v>0</v>
      </c>
      <c r="J5809" s="135" t="n">
        <f aca="false">$G5809*'Analyse capacite'!$D$9</f>
        <v>0</v>
      </c>
      <c r="K5809" s="135" t="n">
        <f aca="false">$G5809*'Analyse capacite'!$E$9</f>
        <v>0</v>
      </c>
    </row>
    <row r="5810" customFormat="false" ht="15" hidden="false" customHeight="false" outlineLevel="0" collapsed="false">
      <c r="B5810" s="130" t="n">
        <v>2027</v>
      </c>
      <c r="C5810" s="131" t="s">
        <v>251</v>
      </c>
      <c r="D5810" s="132" t="n">
        <v>46639</v>
      </c>
      <c r="E5810" s="131" t="s">
        <v>36</v>
      </c>
      <c r="F5810" s="133" t="s">
        <v>11</v>
      </c>
      <c r="G5810" s="134" t="n">
        <f aca="false">LEN('Saisie programme'!$G$217)+SUMIFS('Vols additionnels'!$E$7:$E$66,'Vols additionnels'!$C$7:$C$66,$E5810,'Vols additionnels'!$D$7:$D$66,$F5810,'Vols additionnels'!$B$7:$B$66,$D5810)</f>
        <v>0</v>
      </c>
      <c r="H5810" s="135" t="n">
        <f aca="false">$G5810*'Analyse capacite'!$F$7</f>
        <v>0</v>
      </c>
      <c r="I5810" s="135" t="n">
        <f aca="false">$G5810*'Analyse capacite'!$C$7</f>
        <v>0</v>
      </c>
      <c r="J5810" s="135" t="n">
        <f aca="false">$G5810*'Analyse capacite'!$D$7</f>
        <v>0</v>
      </c>
      <c r="K5810" s="135" t="n">
        <f aca="false">$G5810*'Analyse capacite'!$E$7</f>
        <v>0</v>
      </c>
    </row>
    <row r="5811" customFormat="false" ht="15" hidden="false" customHeight="false" outlineLevel="0" collapsed="false">
      <c r="B5811" s="130" t="n">
        <v>2027</v>
      </c>
      <c r="C5811" s="131" t="s">
        <v>251</v>
      </c>
      <c r="D5811" s="132" t="n">
        <v>46639</v>
      </c>
      <c r="E5811" s="131" t="s">
        <v>36</v>
      </c>
      <c r="F5811" s="133" t="s">
        <v>19</v>
      </c>
      <c r="G5811" s="134" t="n">
        <f aca="false">LEN('Saisie programme'!$G$218)+SUMIFS('Vols additionnels'!$E$7:$E$66,'Vols additionnels'!$C$7:$C$66,$E5811,'Vols additionnels'!$D$7:$D$66,$F5811,'Vols additionnels'!$B$7:$B$66,$D5811)</f>
        <v>0</v>
      </c>
      <c r="H5811" s="135" t="n">
        <f aca="false">$G5811*'Analyse capacite'!$F$8</f>
        <v>0</v>
      </c>
      <c r="I5811" s="135" t="n">
        <f aca="false">$G5811*'Analyse capacite'!$C$8</f>
        <v>0</v>
      </c>
      <c r="J5811" s="135" t="n">
        <f aca="false">$G5811*'Analyse capacite'!$D$8</f>
        <v>0</v>
      </c>
      <c r="K5811" s="135" t="n">
        <f aca="false">$G5811*'Analyse capacite'!$E$8</f>
        <v>0</v>
      </c>
    </row>
    <row r="5812" customFormat="false" ht="15" hidden="false" customHeight="false" outlineLevel="0" collapsed="false">
      <c r="B5812" s="130" t="n">
        <v>2027</v>
      </c>
      <c r="C5812" s="131" t="s">
        <v>251</v>
      </c>
      <c r="D5812" s="132" t="n">
        <v>46639</v>
      </c>
      <c r="E5812" s="131" t="s">
        <v>36</v>
      </c>
      <c r="F5812" s="133" t="s">
        <v>24</v>
      </c>
      <c r="G5812" s="134" t="n">
        <f aca="false">LEN('Saisie programme'!$G$219)+SUMIFS('Vols additionnels'!$E$7:$E$66,'Vols additionnels'!$C$7:$C$66,$E5812,'Vols additionnels'!$D$7:$D$66,$F5812,'Vols additionnels'!$B$7:$B$66,$D5812)</f>
        <v>1</v>
      </c>
      <c r="H5812" s="135" t="n">
        <f aca="false">$G5812*'Analyse capacite'!$F$9</f>
        <v>174</v>
      </c>
      <c r="I5812" s="135" t="n">
        <f aca="false">$G5812*'Analyse capacite'!$C$9</f>
        <v>0</v>
      </c>
      <c r="J5812" s="135" t="n">
        <f aca="false">$G5812*'Analyse capacite'!$D$9</f>
        <v>12</v>
      </c>
      <c r="K5812" s="135" t="n">
        <f aca="false">$G5812*'Analyse capacite'!$E$9</f>
        <v>162</v>
      </c>
    </row>
    <row r="5813" customFormat="false" ht="15" hidden="false" customHeight="false" outlineLevel="0" collapsed="false">
      <c r="B5813" s="130" t="n">
        <v>2027</v>
      </c>
      <c r="C5813" s="131" t="s">
        <v>251</v>
      </c>
      <c r="D5813" s="132" t="n">
        <v>46639</v>
      </c>
      <c r="E5813" s="131" t="s">
        <v>40</v>
      </c>
      <c r="F5813" s="133" t="s">
        <v>11</v>
      </c>
      <c r="G5813" s="134" t="n">
        <f aca="false">LEN('Saisie programme'!$G$220)+SUMIFS('Vols additionnels'!$E$7:$E$66,'Vols additionnels'!$C$7:$C$66,$E5813,'Vols additionnels'!$D$7:$D$66,$F5813,'Vols additionnels'!$B$7:$B$66,$D5813)</f>
        <v>0</v>
      </c>
      <c r="H5813" s="135" t="n">
        <f aca="false">$G5813*'Analyse capacite'!$F$7</f>
        <v>0</v>
      </c>
      <c r="I5813" s="135" t="n">
        <f aca="false">$G5813*'Analyse capacite'!$C$7</f>
        <v>0</v>
      </c>
      <c r="J5813" s="135" t="n">
        <f aca="false">$G5813*'Analyse capacite'!$D$7</f>
        <v>0</v>
      </c>
      <c r="K5813" s="135" t="n">
        <f aca="false">$G5813*'Analyse capacite'!$E$7</f>
        <v>0</v>
      </c>
    </row>
    <row r="5814" customFormat="false" ht="15" hidden="false" customHeight="false" outlineLevel="0" collapsed="false">
      <c r="B5814" s="130" t="n">
        <v>2027</v>
      </c>
      <c r="C5814" s="131" t="s">
        <v>251</v>
      </c>
      <c r="D5814" s="132" t="n">
        <v>46639</v>
      </c>
      <c r="E5814" s="131" t="s">
        <v>40</v>
      </c>
      <c r="F5814" s="133" t="s">
        <v>19</v>
      </c>
      <c r="G5814" s="134" t="n">
        <f aca="false">LEN('Saisie programme'!$G$221)+SUMIFS('Vols additionnels'!$E$7:$E$66,'Vols additionnels'!$C$7:$C$66,$E5814,'Vols additionnels'!$D$7:$D$66,$F5814,'Vols additionnels'!$B$7:$B$66,$D5814)</f>
        <v>0</v>
      </c>
      <c r="H5814" s="135" t="n">
        <f aca="false">$G5814*'Analyse capacite'!$F$8</f>
        <v>0</v>
      </c>
      <c r="I5814" s="135" t="n">
        <f aca="false">$G5814*'Analyse capacite'!$C$8</f>
        <v>0</v>
      </c>
      <c r="J5814" s="135" t="n">
        <f aca="false">$G5814*'Analyse capacite'!$D$8</f>
        <v>0</v>
      </c>
      <c r="K5814" s="135" t="n">
        <f aca="false">$G5814*'Analyse capacite'!$E$8</f>
        <v>0</v>
      </c>
    </row>
    <row r="5815" customFormat="false" ht="15" hidden="false" customHeight="false" outlineLevel="0" collapsed="false">
      <c r="B5815" s="130" t="n">
        <v>2027</v>
      </c>
      <c r="C5815" s="131" t="s">
        <v>251</v>
      </c>
      <c r="D5815" s="132" t="n">
        <v>46639</v>
      </c>
      <c r="E5815" s="131" t="s">
        <v>40</v>
      </c>
      <c r="F5815" s="133" t="s">
        <v>24</v>
      </c>
      <c r="G5815" s="134" t="n">
        <f aca="false">LEN('Saisie programme'!$G$222)+SUMIFS('Vols additionnels'!$E$7:$E$66,'Vols additionnels'!$C$7:$C$66,$E5815,'Vols additionnels'!$D$7:$D$66,$F5815,'Vols additionnels'!$B$7:$B$66,$D5815)</f>
        <v>0</v>
      </c>
      <c r="H5815" s="135" t="n">
        <f aca="false">$G5815*'Analyse capacite'!$F$9</f>
        <v>0</v>
      </c>
      <c r="I5815" s="135" t="n">
        <f aca="false">$G5815*'Analyse capacite'!$C$9</f>
        <v>0</v>
      </c>
      <c r="J5815" s="135" t="n">
        <f aca="false">$G5815*'Analyse capacite'!$D$9</f>
        <v>0</v>
      </c>
      <c r="K5815" s="135" t="n">
        <f aca="false">$G5815*'Analyse capacite'!$E$9</f>
        <v>0</v>
      </c>
    </row>
    <row r="5816" customFormat="false" ht="15" hidden="false" customHeight="false" outlineLevel="0" collapsed="false">
      <c r="B5816" s="130" t="n">
        <v>2027</v>
      </c>
      <c r="C5816" s="131" t="s">
        <v>251</v>
      </c>
      <c r="D5816" s="132" t="n">
        <v>46639</v>
      </c>
      <c r="E5816" s="131" t="s">
        <v>14</v>
      </c>
      <c r="F5816" s="133" t="s">
        <v>11</v>
      </c>
      <c r="G5816" s="134" t="n">
        <f aca="false">LEN('Saisie programme'!$G$223)+SUMIFS('Vols additionnels'!$E$7:$E$66,'Vols additionnels'!$C$7:$C$66,$E5816,'Vols additionnels'!$D$7:$D$66,$F5816,'Vols additionnels'!$B$7:$B$66,$D5816)</f>
        <v>0</v>
      </c>
      <c r="H5816" s="135" t="n">
        <f aca="false">$G5816*'Analyse capacite'!$F$7</f>
        <v>0</v>
      </c>
      <c r="I5816" s="135" t="n">
        <f aca="false">$G5816*'Analyse capacite'!$C$7</f>
        <v>0</v>
      </c>
      <c r="J5816" s="135" t="n">
        <f aca="false">$G5816*'Analyse capacite'!$D$7</f>
        <v>0</v>
      </c>
      <c r="K5816" s="135" t="n">
        <f aca="false">$G5816*'Analyse capacite'!$E$7</f>
        <v>0</v>
      </c>
    </row>
    <row r="5817" customFormat="false" ht="15" hidden="false" customHeight="false" outlineLevel="0" collapsed="false">
      <c r="B5817" s="130" t="n">
        <v>2027</v>
      </c>
      <c r="C5817" s="131" t="s">
        <v>251</v>
      </c>
      <c r="D5817" s="132" t="n">
        <v>46639</v>
      </c>
      <c r="E5817" s="131" t="s">
        <v>14</v>
      </c>
      <c r="F5817" s="133" t="s">
        <v>19</v>
      </c>
      <c r="G5817" s="134" t="n">
        <f aca="false">LEN('Saisie programme'!$G$224)+SUMIFS('Vols additionnels'!$E$7:$E$66,'Vols additionnels'!$C$7:$C$66,$E5817,'Vols additionnels'!$D$7:$D$66,$F5817,'Vols additionnels'!$B$7:$B$66,$D5817)</f>
        <v>0</v>
      </c>
      <c r="H5817" s="135" t="n">
        <f aca="false">$G5817*'Analyse capacite'!$F$8</f>
        <v>0</v>
      </c>
      <c r="I5817" s="135" t="n">
        <f aca="false">$G5817*'Analyse capacite'!$C$8</f>
        <v>0</v>
      </c>
      <c r="J5817" s="135" t="n">
        <f aca="false">$G5817*'Analyse capacite'!$D$8</f>
        <v>0</v>
      </c>
      <c r="K5817" s="135" t="n">
        <f aca="false">$G5817*'Analyse capacite'!$E$8</f>
        <v>0</v>
      </c>
    </row>
    <row r="5818" customFormat="false" ht="15" hidden="false" customHeight="false" outlineLevel="0" collapsed="false">
      <c r="B5818" s="130" t="n">
        <v>2027</v>
      </c>
      <c r="C5818" s="131" t="s">
        <v>251</v>
      </c>
      <c r="D5818" s="132" t="n">
        <v>46639</v>
      </c>
      <c r="E5818" s="131" t="s">
        <v>14</v>
      </c>
      <c r="F5818" s="133" t="s">
        <v>24</v>
      </c>
      <c r="G5818" s="134" t="n">
        <f aca="false">LEN('Saisie programme'!$G$225)+SUMIFS('Vols additionnels'!$E$7:$E$66,'Vols additionnels'!$C$7:$C$66,$E5818,'Vols additionnels'!$D$7:$D$66,$F5818,'Vols additionnels'!$B$7:$B$66,$D5818)</f>
        <v>1</v>
      </c>
      <c r="H5818" s="135" t="n">
        <f aca="false">$G5818*'Analyse capacite'!$F$9</f>
        <v>174</v>
      </c>
      <c r="I5818" s="135" t="n">
        <f aca="false">$G5818*'Analyse capacite'!$C$9</f>
        <v>0</v>
      </c>
      <c r="J5818" s="135" t="n">
        <f aca="false">$G5818*'Analyse capacite'!$D$9</f>
        <v>12</v>
      </c>
      <c r="K5818" s="135" t="n">
        <f aca="false">$G5818*'Analyse capacite'!$E$9</f>
        <v>162</v>
      </c>
    </row>
    <row r="5819" customFormat="false" ht="15" hidden="false" customHeight="false" outlineLevel="0" collapsed="false">
      <c r="B5819" s="130" t="n">
        <v>2027</v>
      </c>
      <c r="C5819" s="131" t="s">
        <v>251</v>
      </c>
      <c r="D5819" s="132" t="n">
        <v>46639</v>
      </c>
      <c r="E5819" s="131" t="s">
        <v>46</v>
      </c>
      <c r="F5819" s="133" t="s">
        <v>11</v>
      </c>
      <c r="G5819" s="134" t="n">
        <f aca="false">LEN('Saisie programme'!$G$226)+SUMIFS('Vols additionnels'!$E$7:$E$66,'Vols additionnels'!$C$7:$C$66,$E5819,'Vols additionnels'!$D$7:$D$66,$F5819,'Vols additionnels'!$B$7:$B$66,$D5819)</f>
        <v>0</v>
      </c>
      <c r="H5819" s="135" t="n">
        <f aca="false">$G5819*'Analyse capacite'!$F$7</f>
        <v>0</v>
      </c>
      <c r="I5819" s="135" t="n">
        <f aca="false">$G5819*'Analyse capacite'!$C$7</f>
        <v>0</v>
      </c>
      <c r="J5819" s="135" t="n">
        <f aca="false">$G5819*'Analyse capacite'!$D$7</f>
        <v>0</v>
      </c>
      <c r="K5819" s="135" t="n">
        <f aca="false">$G5819*'Analyse capacite'!$E$7</f>
        <v>0</v>
      </c>
    </row>
    <row r="5820" customFormat="false" ht="15" hidden="false" customHeight="false" outlineLevel="0" collapsed="false">
      <c r="B5820" s="130" t="n">
        <v>2027</v>
      </c>
      <c r="C5820" s="131" t="s">
        <v>251</v>
      </c>
      <c r="D5820" s="132" t="n">
        <v>46639</v>
      </c>
      <c r="E5820" s="131" t="s">
        <v>46</v>
      </c>
      <c r="F5820" s="133" t="s">
        <v>19</v>
      </c>
      <c r="G5820" s="134" t="n">
        <f aca="false">LEN('Saisie programme'!$G$227)+SUMIFS('Vols additionnels'!$E$7:$E$66,'Vols additionnels'!$C$7:$C$66,$E5820,'Vols additionnels'!$D$7:$D$66,$F5820,'Vols additionnels'!$B$7:$B$66,$D5820)</f>
        <v>0</v>
      </c>
      <c r="H5820" s="135" t="n">
        <f aca="false">$G5820*'Analyse capacite'!$F$8</f>
        <v>0</v>
      </c>
      <c r="I5820" s="135" t="n">
        <f aca="false">$G5820*'Analyse capacite'!$C$8</f>
        <v>0</v>
      </c>
      <c r="J5820" s="135" t="n">
        <f aca="false">$G5820*'Analyse capacite'!$D$8</f>
        <v>0</v>
      </c>
      <c r="K5820" s="135" t="n">
        <f aca="false">$G5820*'Analyse capacite'!$E$8</f>
        <v>0</v>
      </c>
    </row>
    <row r="5821" customFormat="false" ht="15" hidden="false" customHeight="false" outlineLevel="0" collapsed="false">
      <c r="B5821" s="130" t="n">
        <v>2027</v>
      </c>
      <c r="C5821" s="131" t="s">
        <v>251</v>
      </c>
      <c r="D5821" s="132" t="n">
        <v>46639</v>
      </c>
      <c r="E5821" s="131" t="s">
        <v>46</v>
      </c>
      <c r="F5821" s="133" t="s">
        <v>24</v>
      </c>
      <c r="G5821" s="134" t="n">
        <f aca="false">LEN('Saisie programme'!$G$228)+SUMIFS('Vols additionnels'!$E$7:$E$66,'Vols additionnels'!$C$7:$C$66,$E5821,'Vols additionnels'!$D$7:$D$66,$F5821,'Vols additionnels'!$B$7:$B$66,$D5821)</f>
        <v>1</v>
      </c>
      <c r="H5821" s="135" t="n">
        <f aca="false">$G5821*'Analyse capacite'!$F$9</f>
        <v>174</v>
      </c>
      <c r="I5821" s="135" t="n">
        <f aca="false">$G5821*'Analyse capacite'!$C$9</f>
        <v>0</v>
      </c>
      <c r="J5821" s="135" t="n">
        <f aca="false">$G5821*'Analyse capacite'!$D$9</f>
        <v>12</v>
      </c>
      <c r="K5821" s="135" t="n">
        <f aca="false">$G5821*'Analyse capacite'!$E$9</f>
        <v>162</v>
      </c>
    </row>
    <row r="5822" customFormat="false" ht="15" hidden="false" customHeight="false" outlineLevel="0" collapsed="false">
      <c r="B5822" s="130" t="n">
        <v>2027</v>
      </c>
      <c r="C5822" s="131" t="s">
        <v>251</v>
      </c>
      <c r="D5822" s="132" t="n">
        <v>46639</v>
      </c>
      <c r="E5822" s="131" t="s">
        <v>49</v>
      </c>
      <c r="F5822" s="133" t="s">
        <v>11</v>
      </c>
      <c r="G5822" s="134" t="n">
        <f aca="false">LEN('Saisie programme'!$G$229)+SUMIFS('Vols additionnels'!$E$7:$E$66,'Vols additionnels'!$C$7:$C$66,$E5822,'Vols additionnels'!$D$7:$D$66,$F5822,'Vols additionnels'!$B$7:$B$66,$D5822)</f>
        <v>0</v>
      </c>
      <c r="H5822" s="135" t="n">
        <f aca="false">$G5822*'Analyse capacite'!$F$7</f>
        <v>0</v>
      </c>
      <c r="I5822" s="135" t="n">
        <f aca="false">$G5822*'Analyse capacite'!$C$7</f>
        <v>0</v>
      </c>
      <c r="J5822" s="135" t="n">
        <f aca="false">$G5822*'Analyse capacite'!$D$7</f>
        <v>0</v>
      </c>
      <c r="K5822" s="135" t="n">
        <f aca="false">$G5822*'Analyse capacite'!$E$7</f>
        <v>0</v>
      </c>
    </row>
    <row r="5823" customFormat="false" ht="15" hidden="false" customHeight="false" outlineLevel="0" collapsed="false">
      <c r="B5823" s="130" t="n">
        <v>2027</v>
      </c>
      <c r="C5823" s="131" t="s">
        <v>251</v>
      </c>
      <c r="D5823" s="132" t="n">
        <v>46639</v>
      </c>
      <c r="E5823" s="131" t="s">
        <v>49</v>
      </c>
      <c r="F5823" s="133" t="s">
        <v>19</v>
      </c>
      <c r="G5823" s="134" t="n">
        <f aca="false">LEN('Saisie programme'!$G$230)+SUMIFS('Vols additionnels'!$E$7:$E$66,'Vols additionnels'!$C$7:$C$66,$E5823,'Vols additionnels'!$D$7:$D$66,$F5823,'Vols additionnels'!$B$7:$B$66,$D5823)</f>
        <v>0</v>
      </c>
      <c r="H5823" s="135" t="n">
        <f aca="false">$G5823*'Analyse capacite'!$F$8</f>
        <v>0</v>
      </c>
      <c r="I5823" s="135" t="n">
        <f aca="false">$G5823*'Analyse capacite'!$C$8</f>
        <v>0</v>
      </c>
      <c r="J5823" s="135" t="n">
        <f aca="false">$G5823*'Analyse capacite'!$D$8</f>
        <v>0</v>
      </c>
      <c r="K5823" s="135" t="n">
        <f aca="false">$G5823*'Analyse capacite'!$E$8</f>
        <v>0</v>
      </c>
    </row>
    <row r="5824" customFormat="false" ht="15" hidden="false" customHeight="false" outlineLevel="0" collapsed="false">
      <c r="B5824" s="130" t="n">
        <v>2027</v>
      </c>
      <c r="C5824" s="131" t="s">
        <v>251</v>
      </c>
      <c r="D5824" s="132" t="n">
        <v>46639</v>
      </c>
      <c r="E5824" s="131" t="s">
        <v>49</v>
      </c>
      <c r="F5824" s="133" t="s">
        <v>24</v>
      </c>
      <c r="G5824" s="134" t="n">
        <f aca="false">LEN('Saisie programme'!$G$231)+SUMIFS('Vols additionnels'!$E$7:$E$66,'Vols additionnels'!$C$7:$C$66,$E5824,'Vols additionnels'!$D$7:$D$66,$F5824,'Vols additionnels'!$B$7:$B$66,$D5824)</f>
        <v>0</v>
      </c>
      <c r="H5824" s="135" t="n">
        <f aca="false">$G5824*'Analyse capacite'!$F$9</f>
        <v>0</v>
      </c>
      <c r="I5824" s="135" t="n">
        <f aca="false">$G5824*'Analyse capacite'!$C$9</f>
        <v>0</v>
      </c>
      <c r="J5824" s="135" t="n">
        <f aca="false">$G5824*'Analyse capacite'!$D$9</f>
        <v>0</v>
      </c>
      <c r="K5824" s="135" t="n">
        <f aca="false">$G5824*'Analyse capacite'!$E$9</f>
        <v>0</v>
      </c>
    </row>
    <row r="5825" customFormat="false" ht="15" hidden="false" customHeight="false" outlineLevel="0" collapsed="false">
      <c r="B5825" s="130" t="n">
        <v>2027</v>
      </c>
      <c r="C5825" s="131" t="s">
        <v>251</v>
      </c>
      <c r="D5825" s="132" t="n">
        <v>46639</v>
      </c>
      <c r="E5825" s="131" t="s">
        <v>53</v>
      </c>
      <c r="F5825" s="133" t="s">
        <v>11</v>
      </c>
      <c r="G5825" s="134" t="n">
        <f aca="false">LEN('Saisie programme'!$G$232)+SUMIFS('Vols additionnels'!$E$7:$E$66,'Vols additionnels'!$C$7:$C$66,$E5825,'Vols additionnels'!$D$7:$D$66,$F5825,'Vols additionnels'!$B$7:$B$66,$D5825)</f>
        <v>0</v>
      </c>
      <c r="H5825" s="135" t="n">
        <f aca="false">$G5825*'Analyse capacite'!$F$7</f>
        <v>0</v>
      </c>
      <c r="I5825" s="135" t="n">
        <f aca="false">$G5825*'Analyse capacite'!$C$7</f>
        <v>0</v>
      </c>
      <c r="J5825" s="135" t="n">
        <f aca="false">$G5825*'Analyse capacite'!$D$7</f>
        <v>0</v>
      </c>
      <c r="K5825" s="135" t="n">
        <f aca="false">$G5825*'Analyse capacite'!$E$7</f>
        <v>0</v>
      </c>
    </row>
    <row r="5826" customFormat="false" ht="15" hidden="false" customHeight="false" outlineLevel="0" collapsed="false">
      <c r="B5826" s="130" t="n">
        <v>2027</v>
      </c>
      <c r="C5826" s="131" t="s">
        <v>251</v>
      </c>
      <c r="D5826" s="132" t="n">
        <v>46639</v>
      </c>
      <c r="E5826" s="131" t="s">
        <v>53</v>
      </c>
      <c r="F5826" s="133" t="s">
        <v>19</v>
      </c>
      <c r="G5826" s="134" t="n">
        <f aca="false">LEN('Saisie programme'!$G$233)+SUMIFS('Vols additionnels'!$E$7:$E$66,'Vols additionnels'!$C$7:$C$66,$E5826,'Vols additionnels'!$D$7:$D$66,$F5826,'Vols additionnels'!$B$7:$B$66,$D5826)</f>
        <v>1</v>
      </c>
      <c r="H5826" s="135" t="n">
        <f aca="false">$G5826*'Analyse capacite'!$F$8</f>
        <v>262</v>
      </c>
      <c r="I5826" s="135" t="n">
        <f aca="false">$G5826*'Analyse capacite'!$C$8</f>
        <v>18</v>
      </c>
      <c r="J5826" s="135" t="n">
        <f aca="false">$G5826*'Analyse capacite'!$D$8</f>
        <v>0</v>
      </c>
      <c r="K5826" s="135" t="n">
        <f aca="false">$G5826*'Analyse capacite'!$E$8</f>
        <v>244</v>
      </c>
    </row>
    <row r="5827" customFormat="false" ht="15" hidden="false" customHeight="false" outlineLevel="0" collapsed="false">
      <c r="B5827" s="130" t="n">
        <v>2027</v>
      </c>
      <c r="C5827" s="131" t="s">
        <v>251</v>
      </c>
      <c r="D5827" s="132" t="n">
        <v>46639</v>
      </c>
      <c r="E5827" s="131" t="s">
        <v>53</v>
      </c>
      <c r="F5827" s="133" t="s">
        <v>24</v>
      </c>
      <c r="G5827" s="134" t="n">
        <f aca="false">LEN('Saisie programme'!$G$234)+SUMIFS('Vols additionnels'!$E$7:$E$66,'Vols additionnels'!$C$7:$C$66,$E5827,'Vols additionnels'!$D$7:$D$66,$F5827,'Vols additionnels'!$B$7:$B$66,$D5827)</f>
        <v>0</v>
      </c>
      <c r="H5827" s="135" t="n">
        <f aca="false">$G5827*'Analyse capacite'!$F$9</f>
        <v>0</v>
      </c>
      <c r="I5827" s="135" t="n">
        <f aca="false">$G5827*'Analyse capacite'!$C$9</f>
        <v>0</v>
      </c>
      <c r="J5827" s="135" t="n">
        <f aca="false">$G5827*'Analyse capacite'!$D$9</f>
        <v>0</v>
      </c>
      <c r="K5827" s="135" t="n">
        <f aca="false">$G5827*'Analyse capacite'!$E$9</f>
        <v>0</v>
      </c>
    </row>
    <row r="5828" customFormat="false" ht="15" hidden="false" customHeight="false" outlineLevel="0" collapsed="false">
      <c r="B5828" s="130" t="n">
        <v>2027</v>
      </c>
      <c r="C5828" s="131" t="s">
        <v>251</v>
      </c>
      <c r="D5828" s="132" t="n">
        <v>46639</v>
      </c>
      <c r="E5828" s="131" t="s">
        <v>56</v>
      </c>
      <c r="F5828" s="133" t="s">
        <v>11</v>
      </c>
      <c r="G5828" s="134" t="n">
        <f aca="false">LEN('Saisie programme'!$G$235)+SUMIFS('Vols additionnels'!$E$7:$E$66,'Vols additionnels'!$C$7:$C$66,$E5828,'Vols additionnels'!$D$7:$D$66,$F5828,'Vols additionnels'!$B$7:$B$66,$D5828)</f>
        <v>0</v>
      </c>
      <c r="H5828" s="135" t="n">
        <f aca="false">$G5828*'Analyse capacite'!$F$7</f>
        <v>0</v>
      </c>
      <c r="I5828" s="135" t="n">
        <f aca="false">$G5828*'Analyse capacite'!$C$7</f>
        <v>0</v>
      </c>
      <c r="J5828" s="135" t="n">
        <f aca="false">$G5828*'Analyse capacite'!$D$7</f>
        <v>0</v>
      </c>
      <c r="K5828" s="135" t="n">
        <f aca="false">$G5828*'Analyse capacite'!$E$7</f>
        <v>0</v>
      </c>
    </row>
    <row r="5829" customFormat="false" ht="15" hidden="false" customHeight="false" outlineLevel="0" collapsed="false">
      <c r="B5829" s="130" t="n">
        <v>2027</v>
      </c>
      <c r="C5829" s="131" t="s">
        <v>251</v>
      </c>
      <c r="D5829" s="132" t="n">
        <v>46639</v>
      </c>
      <c r="E5829" s="131" t="s">
        <v>56</v>
      </c>
      <c r="F5829" s="133" t="s">
        <v>19</v>
      </c>
      <c r="G5829" s="134" t="n">
        <f aca="false">LEN('Saisie programme'!$G$236)+SUMIFS('Vols additionnels'!$E$7:$E$66,'Vols additionnels'!$C$7:$C$66,$E5829,'Vols additionnels'!$D$7:$D$66,$F5829,'Vols additionnels'!$B$7:$B$66,$D5829)</f>
        <v>0</v>
      </c>
      <c r="H5829" s="135" t="n">
        <f aca="false">$G5829*'Analyse capacite'!$F$8</f>
        <v>0</v>
      </c>
      <c r="I5829" s="135" t="n">
        <f aca="false">$G5829*'Analyse capacite'!$C$8</f>
        <v>0</v>
      </c>
      <c r="J5829" s="135" t="n">
        <f aca="false">$G5829*'Analyse capacite'!$D$8</f>
        <v>0</v>
      </c>
      <c r="K5829" s="135" t="n">
        <f aca="false">$G5829*'Analyse capacite'!$E$8</f>
        <v>0</v>
      </c>
    </row>
    <row r="5830" customFormat="false" ht="15" hidden="false" customHeight="false" outlineLevel="0" collapsed="false">
      <c r="B5830" s="130" t="n">
        <v>2027</v>
      </c>
      <c r="C5830" s="131" t="s">
        <v>251</v>
      </c>
      <c r="D5830" s="132" t="n">
        <v>46639</v>
      </c>
      <c r="E5830" s="131" t="s">
        <v>56</v>
      </c>
      <c r="F5830" s="133" t="s">
        <v>24</v>
      </c>
      <c r="G5830" s="134" t="n">
        <f aca="false">LEN('Saisie programme'!$G$237)+SUMIFS('Vols additionnels'!$E$7:$E$66,'Vols additionnels'!$C$7:$C$66,$E5830,'Vols additionnels'!$D$7:$D$66,$F5830,'Vols additionnels'!$B$7:$B$66,$D5830)</f>
        <v>0</v>
      </c>
      <c r="H5830" s="135" t="n">
        <f aca="false">$G5830*'Analyse capacite'!$F$9</f>
        <v>0</v>
      </c>
      <c r="I5830" s="135" t="n">
        <f aca="false">$G5830*'Analyse capacite'!$C$9</f>
        <v>0</v>
      </c>
      <c r="J5830" s="135" t="n">
        <f aca="false">$G5830*'Analyse capacite'!$D$9</f>
        <v>0</v>
      </c>
      <c r="K5830" s="135" t="n">
        <f aca="false">$G5830*'Analyse capacite'!$E$9</f>
        <v>0</v>
      </c>
    </row>
    <row r="5831" customFormat="false" ht="15" hidden="false" customHeight="false" outlineLevel="0" collapsed="false">
      <c r="B5831" s="130" t="n">
        <v>2027</v>
      </c>
      <c r="C5831" s="131" t="s">
        <v>251</v>
      </c>
      <c r="D5831" s="132" t="n">
        <v>46639</v>
      </c>
      <c r="E5831" s="131" t="s">
        <v>59</v>
      </c>
      <c r="F5831" s="133" t="s">
        <v>11</v>
      </c>
      <c r="G5831" s="134" t="n">
        <f aca="false">LEN('Saisie programme'!$G$238)+SUMIFS('Vols additionnels'!$E$7:$E$66,'Vols additionnels'!$C$7:$C$66,$E5831,'Vols additionnels'!$D$7:$D$66,$F5831,'Vols additionnels'!$B$7:$B$66,$D5831)</f>
        <v>0</v>
      </c>
      <c r="H5831" s="135" t="n">
        <f aca="false">$G5831*'Analyse capacite'!$F$7</f>
        <v>0</v>
      </c>
      <c r="I5831" s="135" t="n">
        <f aca="false">$G5831*'Analyse capacite'!$C$7</f>
        <v>0</v>
      </c>
      <c r="J5831" s="135" t="n">
        <f aca="false">$G5831*'Analyse capacite'!$D$7</f>
        <v>0</v>
      </c>
      <c r="K5831" s="135" t="n">
        <f aca="false">$G5831*'Analyse capacite'!$E$7</f>
        <v>0</v>
      </c>
    </row>
    <row r="5832" customFormat="false" ht="15" hidden="false" customHeight="false" outlineLevel="0" collapsed="false">
      <c r="B5832" s="130" t="n">
        <v>2027</v>
      </c>
      <c r="C5832" s="131" t="s">
        <v>251</v>
      </c>
      <c r="D5832" s="132" t="n">
        <v>46639</v>
      </c>
      <c r="E5832" s="131" t="s">
        <v>59</v>
      </c>
      <c r="F5832" s="133" t="s">
        <v>19</v>
      </c>
      <c r="G5832" s="134" t="n">
        <f aca="false">LEN('Saisie programme'!$G$239)+SUMIFS('Vols additionnels'!$E$7:$E$66,'Vols additionnels'!$C$7:$C$66,$E5832,'Vols additionnels'!$D$7:$D$66,$F5832,'Vols additionnels'!$B$7:$B$66,$D5832)</f>
        <v>0</v>
      </c>
      <c r="H5832" s="135" t="n">
        <f aca="false">$G5832*'Analyse capacite'!$F$8</f>
        <v>0</v>
      </c>
      <c r="I5832" s="135" t="n">
        <f aca="false">$G5832*'Analyse capacite'!$C$8</f>
        <v>0</v>
      </c>
      <c r="J5832" s="135" t="n">
        <f aca="false">$G5832*'Analyse capacite'!$D$8</f>
        <v>0</v>
      </c>
      <c r="K5832" s="135" t="n">
        <f aca="false">$G5832*'Analyse capacite'!$E$8</f>
        <v>0</v>
      </c>
    </row>
    <row r="5833" customFormat="false" ht="15" hidden="false" customHeight="false" outlineLevel="0" collapsed="false">
      <c r="B5833" s="130" t="n">
        <v>2027</v>
      </c>
      <c r="C5833" s="131" t="s">
        <v>251</v>
      </c>
      <c r="D5833" s="132" t="n">
        <v>46639</v>
      </c>
      <c r="E5833" s="131" t="s">
        <v>59</v>
      </c>
      <c r="F5833" s="133" t="s">
        <v>24</v>
      </c>
      <c r="G5833" s="134" t="n">
        <f aca="false">LEN('Saisie programme'!$G$240)+SUMIFS('Vols additionnels'!$E$7:$E$66,'Vols additionnels'!$C$7:$C$66,$E5833,'Vols additionnels'!$D$7:$D$66,$F5833,'Vols additionnels'!$B$7:$B$66,$D5833)</f>
        <v>2</v>
      </c>
      <c r="H5833" s="135" t="n">
        <f aca="false">$G5833*'Analyse capacite'!$F$9</f>
        <v>348</v>
      </c>
      <c r="I5833" s="135" t="n">
        <f aca="false">$G5833*'Analyse capacite'!$C$9</f>
        <v>0</v>
      </c>
      <c r="J5833" s="135" t="n">
        <f aca="false">$G5833*'Analyse capacite'!$D$9</f>
        <v>24</v>
      </c>
      <c r="K5833" s="135" t="n">
        <f aca="false">$G5833*'Analyse capacite'!$E$9</f>
        <v>324</v>
      </c>
    </row>
    <row r="5834" customFormat="false" ht="15" hidden="false" customHeight="false" outlineLevel="0" collapsed="false">
      <c r="B5834" s="130" t="n">
        <v>2027</v>
      </c>
      <c r="C5834" s="131" t="s">
        <v>251</v>
      </c>
      <c r="D5834" s="132" t="n">
        <v>46639</v>
      </c>
      <c r="E5834" s="131" t="s">
        <v>62</v>
      </c>
      <c r="F5834" s="133" t="s">
        <v>11</v>
      </c>
      <c r="G5834" s="134" t="n">
        <f aca="false">LEN('Saisie programme'!$G$241)+SUMIFS('Vols additionnels'!$E$7:$E$66,'Vols additionnels'!$C$7:$C$66,$E5834,'Vols additionnels'!$D$7:$D$66,$F5834,'Vols additionnels'!$B$7:$B$66,$D5834)</f>
        <v>0</v>
      </c>
      <c r="H5834" s="135" t="n">
        <f aca="false">$G5834*'Analyse capacite'!$F$7</f>
        <v>0</v>
      </c>
      <c r="I5834" s="135" t="n">
        <f aca="false">$G5834*'Analyse capacite'!$C$7</f>
        <v>0</v>
      </c>
      <c r="J5834" s="135" t="n">
        <f aca="false">$G5834*'Analyse capacite'!$D$7</f>
        <v>0</v>
      </c>
      <c r="K5834" s="135" t="n">
        <f aca="false">$G5834*'Analyse capacite'!$E$7</f>
        <v>0</v>
      </c>
    </row>
    <row r="5835" customFormat="false" ht="15" hidden="false" customHeight="false" outlineLevel="0" collapsed="false">
      <c r="B5835" s="130" t="n">
        <v>2027</v>
      </c>
      <c r="C5835" s="131" t="s">
        <v>251</v>
      </c>
      <c r="D5835" s="132" t="n">
        <v>46639</v>
      </c>
      <c r="E5835" s="131" t="s">
        <v>62</v>
      </c>
      <c r="F5835" s="133" t="s">
        <v>19</v>
      </c>
      <c r="G5835" s="134" t="n">
        <f aca="false">LEN('Saisie programme'!$G$242)+SUMIFS('Vols additionnels'!$E$7:$E$66,'Vols additionnels'!$C$7:$C$66,$E5835,'Vols additionnels'!$D$7:$D$66,$F5835,'Vols additionnels'!$B$7:$B$66,$D5835)</f>
        <v>0</v>
      </c>
      <c r="H5835" s="135" t="n">
        <f aca="false">$G5835*'Analyse capacite'!$F$8</f>
        <v>0</v>
      </c>
      <c r="I5835" s="135" t="n">
        <f aca="false">$G5835*'Analyse capacite'!$C$8</f>
        <v>0</v>
      </c>
      <c r="J5835" s="135" t="n">
        <f aca="false">$G5835*'Analyse capacite'!$D$8</f>
        <v>0</v>
      </c>
      <c r="K5835" s="135" t="n">
        <f aca="false">$G5835*'Analyse capacite'!$E$8</f>
        <v>0</v>
      </c>
    </row>
    <row r="5836" customFormat="false" ht="15" hidden="false" customHeight="false" outlineLevel="0" collapsed="false">
      <c r="B5836" s="130" t="n">
        <v>2027</v>
      </c>
      <c r="C5836" s="131" t="s">
        <v>251</v>
      </c>
      <c r="D5836" s="132" t="n">
        <v>46639</v>
      </c>
      <c r="E5836" s="131" t="s">
        <v>62</v>
      </c>
      <c r="F5836" s="133" t="s">
        <v>24</v>
      </c>
      <c r="G5836" s="134" t="n">
        <f aca="false">LEN('Saisie programme'!$G$243)+SUMIFS('Vols additionnels'!$E$7:$E$66,'Vols additionnels'!$C$7:$C$66,$E5836,'Vols additionnels'!$D$7:$D$66,$F5836,'Vols additionnels'!$B$7:$B$66,$D5836)</f>
        <v>0</v>
      </c>
      <c r="H5836" s="135" t="n">
        <f aca="false">$G5836*'Analyse capacite'!$F$9</f>
        <v>0</v>
      </c>
      <c r="I5836" s="135" t="n">
        <f aca="false">$G5836*'Analyse capacite'!$C$9</f>
        <v>0</v>
      </c>
      <c r="J5836" s="135" t="n">
        <f aca="false">$G5836*'Analyse capacite'!$D$9</f>
        <v>0</v>
      </c>
      <c r="K5836" s="135" t="n">
        <f aca="false">$G5836*'Analyse capacite'!$E$9</f>
        <v>0</v>
      </c>
    </row>
    <row r="5837" customFormat="false" ht="15" hidden="false" customHeight="false" outlineLevel="0" collapsed="false">
      <c r="B5837" s="130" t="n">
        <v>2027</v>
      </c>
      <c r="C5837" s="131" t="s">
        <v>251</v>
      </c>
      <c r="D5837" s="132" t="n">
        <v>46640</v>
      </c>
      <c r="E5837" s="131" t="s">
        <v>12</v>
      </c>
      <c r="F5837" s="133" t="s">
        <v>11</v>
      </c>
      <c r="G5837" s="134" t="n">
        <f aca="false">LEN('Saisie programme'!$H$208)+SUMIFS('Vols additionnels'!$E$7:$E$66,'Vols additionnels'!$C$7:$C$66,$E5837,'Vols additionnels'!$D$7:$D$66,$F5837,'Vols additionnels'!$B$7:$B$66,$D5837)</f>
        <v>1</v>
      </c>
      <c r="H5837" s="135" t="n">
        <f aca="false">$G5837*'Analyse capacite'!$F$7</f>
        <v>438</v>
      </c>
      <c r="I5837" s="135" t="n">
        <f aca="false">$G5837*'Analyse capacite'!$C$7</f>
        <v>14</v>
      </c>
      <c r="J5837" s="135" t="n">
        <f aca="false">$G5837*'Analyse capacite'!$D$7</f>
        <v>40</v>
      </c>
      <c r="K5837" s="135" t="n">
        <f aca="false">$G5837*'Analyse capacite'!$E$7</f>
        <v>384</v>
      </c>
    </row>
    <row r="5838" customFormat="false" ht="15" hidden="false" customHeight="false" outlineLevel="0" collapsed="false">
      <c r="B5838" s="130" t="n">
        <v>2027</v>
      </c>
      <c r="C5838" s="131" t="s">
        <v>251</v>
      </c>
      <c r="D5838" s="132" t="n">
        <v>46640</v>
      </c>
      <c r="E5838" s="131" t="s">
        <v>12</v>
      </c>
      <c r="F5838" s="133" t="s">
        <v>19</v>
      </c>
      <c r="G5838" s="134" t="n">
        <f aca="false">LEN('Saisie programme'!$H$209)+SUMIFS('Vols additionnels'!$E$7:$E$66,'Vols additionnels'!$C$7:$C$66,$E5838,'Vols additionnels'!$D$7:$D$66,$F5838,'Vols additionnels'!$B$7:$B$66,$D5838)</f>
        <v>1</v>
      </c>
      <c r="H5838" s="135" t="n">
        <f aca="false">$G5838*'Analyse capacite'!$F$8</f>
        <v>262</v>
      </c>
      <c r="I5838" s="135" t="n">
        <f aca="false">$G5838*'Analyse capacite'!$C$8</f>
        <v>18</v>
      </c>
      <c r="J5838" s="135" t="n">
        <f aca="false">$G5838*'Analyse capacite'!$D$8</f>
        <v>0</v>
      </c>
      <c r="K5838" s="135" t="n">
        <f aca="false">$G5838*'Analyse capacite'!$E$8</f>
        <v>244</v>
      </c>
    </row>
    <row r="5839" customFormat="false" ht="15" hidden="false" customHeight="false" outlineLevel="0" collapsed="false">
      <c r="B5839" s="130" t="n">
        <v>2027</v>
      </c>
      <c r="C5839" s="131" t="s">
        <v>251</v>
      </c>
      <c r="D5839" s="132" t="n">
        <v>46640</v>
      </c>
      <c r="E5839" s="131" t="s">
        <v>12</v>
      </c>
      <c r="F5839" s="133" t="s">
        <v>24</v>
      </c>
      <c r="G5839" s="134" t="n">
        <f aca="false">LEN('Saisie programme'!$H$210)+SUMIFS('Vols additionnels'!$E$7:$E$66,'Vols additionnels'!$C$7:$C$66,$E5839,'Vols additionnels'!$D$7:$D$66,$F5839,'Vols additionnels'!$B$7:$B$66,$D5839)</f>
        <v>0</v>
      </c>
      <c r="H5839" s="135" t="n">
        <f aca="false">$G5839*'Analyse capacite'!$F$9</f>
        <v>0</v>
      </c>
      <c r="I5839" s="135" t="n">
        <f aca="false">$G5839*'Analyse capacite'!$C$9</f>
        <v>0</v>
      </c>
      <c r="J5839" s="135" t="n">
        <f aca="false">$G5839*'Analyse capacite'!$D$9</f>
        <v>0</v>
      </c>
      <c r="K5839" s="135" t="n">
        <f aca="false">$G5839*'Analyse capacite'!$E$9</f>
        <v>0</v>
      </c>
    </row>
    <row r="5840" customFormat="false" ht="15" hidden="false" customHeight="false" outlineLevel="0" collapsed="false">
      <c r="B5840" s="130" t="n">
        <v>2027</v>
      </c>
      <c r="C5840" s="131" t="s">
        <v>251</v>
      </c>
      <c r="D5840" s="132" t="n">
        <v>46640</v>
      </c>
      <c r="E5840" s="131" t="s">
        <v>20</v>
      </c>
      <c r="F5840" s="133" t="s">
        <v>11</v>
      </c>
      <c r="G5840" s="134" t="n">
        <f aca="false">LEN('Saisie programme'!$H$211)+SUMIFS('Vols additionnels'!$E$7:$E$66,'Vols additionnels'!$C$7:$C$66,$E5840,'Vols additionnels'!$D$7:$D$66,$F5840,'Vols additionnels'!$B$7:$B$66,$D5840)</f>
        <v>0</v>
      </c>
      <c r="H5840" s="135" t="n">
        <f aca="false">$G5840*'Analyse capacite'!$F$7</f>
        <v>0</v>
      </c>
      <c r="I5840" s="135" t="n">
        <f aca="false">$G5840*'Analyse capacite'!$C$7</f>
        <v>0</v>
      </c>
      <c r="J5840" s="135" t="n">
        <f aca="false">$G5840*'Analyse capacite'!$D$7</f>
        <v>0</v>
      </c>
      <c r="K5840" s="135" t="n">
        <f aca="false">$G5840*'Analyse capacite'!$E$7</f>
        <v>0</v>
      </c>
    </row>
    <row r="5841" customFormat="false" ht="15" hidden="false" customHeight="false" outlineLevel="0" collapsed="false">
      <c r="B5841" s="130" t="n">
        <v>2027</v>
      </c>
      <c r="C5841" s="131" t="s">
        <v>251</v>
      </c>
      <c r="D5841" s="132" t="n">
        <v>46640</v>
      </c>
      <c r="E5841" s="131" t="s">
        <v>20</v>
      </c>
      <c r="F5841" s="133" t="s">
        <v>19</v>
      </c>
      <c r="G5841" s="134" t="n">
        <f aca="false">LEN('Saisie programme'!$H$212)+SUMIFS('Vols additionnels'!$E$7:$E$66,'Vols additionnels'!$C$7:$C$66,$E5841,'Vols additionnels'!$D$7:$D$66,$F5841,'Vols additionnels'!$B$7:$B$66,$D5841)</f>
        <v>1</v>
      </c>
      <c r="H5841" s="135" t="n">
        <f aca="false">$G5841*'Analyse capacite'!$F$8</f>
        <v>262</v>
      </c>
      <c r="I5841" s="135" t="n">
        <f aca="false">$G5841*'Analyse capacite'!$C$8</f>
        <v>18</v>
      </c>
      <c r="J5841" s="135" t="n">
        <f aca="false">$G5841*'Analyse capacite'!$D$8</f>
        <v>0</v>
      </c>
      <c r="K5841" s="135" t="n">
        <f aca="false">$G5841*'Analyse capacite'!$E$8</f>
        <v>244</v>
      </c>
    </row>
    <row r="5842" customFormat="false" ht="15" hidden="false" customHeight="false" outlineLevel="0" collapsed="false">
      <c r="B5842" s="130" t="n">
        <v>2027</v>
      </c>
      <c r="C5842" s="131" t="s">
        <v>251</v>
      </c>
      <c r="D5842" s="132" t="n">
        <v>46640</v>
      </c>
      <c r="E5842" s="131" t="s">
        <v>20</v>
      </c>
      <c r="F5842" s="133" t="s">
        <v>24</v>
      </c>
      <c r="G5842" s="134" t="n">
        <f aca="false">LEN('Saisie programme'!$H$213)+SUMIFS('Vols additionnels'!$E$7:$E$66,'Vols additionnels'!$C$7:$C$66,$E5842,'Vols additionnels'!$D$7:$D$66,$F5842,'Vols additionnels'!$B$7:$B$66,$D5842)</f>
        <v>0</v>
      </c>
      <c r="H5842" s="135" t="n">
        <f aca="false">$G5842*'Analyse capacite'!$F$9</f>
        <v>0</v>
      </c>
      <c r="I5842" s="135" t="n">
        <f aca="false">$G5842*'Analyse capacite'!$C$9</f>
        <v>0</v>
      </c>
      <c r="J5842" s="135" t="n">
        <f aca="false">$G5842*'Analyse capacite'!$D$9</f>
        <v>0</v>
      </c>
      <c r="K5842" s="135" t="n">
        <f aca="false">$G5842*'Analyse capacite'!$E$9</f>
        <v>0</v>
      </c>
    </row>
    <row r="5843" customFormat="false" ht="15" hidden="false" customHeight="false" outlineLevel="0" collapsed="false">
      <c r="B5843" s="130" t="n">
        <v>2027</v>
      </c>
      <c r="C5843" s="131" t="s">
        <v>251</v>
      </c>
      <c r="D5843" s="132" t="n">
        <v>46640</v>
      </c>
      <c r="E5843" s="131" t="s">
        <v>25</v>
      </c>
      <c r="F5843" s="133" t="s">
        <v>11</v>
      </c>
      <c r="G5843" s="134" t="n">
        <f aca="false">LEN('Saisie programme'!$H$214)+SUMIFS('Vols additionnels'!$E$7:$E$66,'Vols additionnels'!$C$7:$C$66,$E5843,'Vols additionnels'!$D$7:$D$66,$F5843,'Vols additionnels'!$B$7:$B$66,$D5843)</f>
        <v>0</v>
      </c>
      <c r="H5843" s="135" t="n">
        <f aca="false">$G5843*'Analyse capacite'!$F$7</f>
        <v>0</v>
      </c>
      <c r="I5843" s="135" t="n">
        <f aca="false">$G5843*'Analyse capacite'!$C$7</f>
        <v>0</v>
      </c>
      <c r="J5843" s="135" t="n">
        <f aca="false">$G5843*'Analyse capacite'!$D$7</f>
        <v>0</v>
      </c>
      <c r="K5843" s="135" t="n">
        <f aca="false">$G5843*'Analyse capacite'!$E$7</f>
        <v>0</v>
      </c>
    </row>
    <row r="5844" customFormat="false" ht="15" hidden="false" customHeight="false" outlineLevel="0" collapsed="false">
      <c r="B5844" s="130" t="n">
        <v>2027</v>
      </c>
      <c r="C5844" s="131" t="s">
        <v>251</v>
      </c>
      <c r="D5844" s="132" t="n">
        <v>46640</v>
      </c>
      <c r="E5844" s="131" t="s">
        <v>25</v>
      </c>
      <c r="F5844" s="133" t="s">
        <v>19</v>
      </c>
      <c r="G5844" s="134" t="n">
        <f aca="false">LEN('Saisie programme'!$H$215)+SUMIFS('Vols additionnels'!$E$7:$E$66,'Vols additionnels'!$C$7:$C$66,$E5844,'Vols additionnels'!$D$7:$D$66,$F5844,'Vols additionnels'!$B$7:$B$66,$D5844)</f>
        <v>0</v>
      </c>
      <c r="H5844" s="135" t="n">
        <f aca="false">$G5844*'Analyse capacite'!$F$8</f>
        <v>0</v>
      </c>
      <c r="I5844" s="135" t="n">
        <f aca="false">$G5844*'Analyse capacite'!$C$8</f>
        <v>0</v>
      </c>
      <c r="J5844" s="135" t="n">
        <f aca="false">$G5844*'Analyse capacite'!$D$8</f>
        <v>0</v>
      </c>
      <c r="K5844" s="135" t="n">
        <f aca="false">$G5844*'Analyse capacite'!$E$8</f>
        <v>0</v>
      </c>
    </row>
    <row r="5845" customFormat="false" ht="15" hidden="false" customHeight="false" outlineLevel="0" collapsed="false">
      <c r="B5845" s="130" t="n">
        <v>2027</v>
      </c>
      <c r="C5845" s="131" t="s">
        <v>251</v>
      </c>
      <c r="D5845" s="132" t="n">
        <v>46640</v>
      </c>
      <c r="E5845" s="131" t="s">
        <v>25</v>
      </c>
      <c r="F5845" s="133" t="s">
        <v>24</v>
      </c>
      <c r="G5845" s="134" t="n">
        <f aca="false">LEN('Saisie programme'!$H$216)+SUMIFS('Vols additionnels'!$E$7:$E$66,'Vols additionnels'!$C$7:$C$66,$E5845,'Vols additionnels'!$D$7:$D$66,$F5845,'Vols additionnels'!$B$7:$B$66,$D5845)</f>
        <v>0</v>
      </c>
      <c r="H5845" s="135" t="n">
        <f aca="false">$G5845*'Analyse capacite'!$F$9</f>
        <v>0</v>
      </c>
      <c r="I5845" s="135" t="n">
        <f aca="false">$G5845*'Analyse capacite'!$C$9</f>
        <v>0</v>
      </c>
      <c r="J5845" s="135" t="n">
        <f aca="false">$G5845*'Analyse capacite'!$D$9</f>
        <v>0</v>
      </c>
      <c r="K5845" s="135" t="n">
        <f aca="false">$G5845*'Analyse capacite'!$E$9</f>
        <v>0</v>
      </c>
    </row>
    <row r="5846" customFormat="false" ht="15" hidden="false" customHeight="false" outlineLevel="0" collapsed="false">
      <c r="B5846" s="130" t="n">
        <v>2027</v>
      </c>
      <c r="C5846" s="131" t="s">
        <v>251</v>
      </c>
      <c r="D5846" s="132" t="n">
        <v>46640</v>
      </c>
      <c r="E5846" s="131" t="s">
        <v>36</v>
      </c>
      <c r="F5846" s="133" t="s">
        <v>11</v>
      </c>
      <c r="G5846" s="134" t="n">
        <f aca="false">LEN('Saisie programme'!$H$217)+SUMIFS('Vols additionnels'!$E$7:$E$66,'Vols additionnels'!$C$7:$C$66,$E5846,'Vols additionnels'!$D$7:$D$66,$F5846,'Vols additionnels'!$B$7:$B$66,$D5846)</f>
        <v>0</v>
      </c>
      <c r="H5846" s="135" t="n">
        <f aca="false">$G5846*'Analyse capacite'!$F$7</f>
        <v>0</v>
      </c>
      <c r="I5846" s="135" t="n">
        <f aca="false">$G5846*'Analyse capacite'!$C$7</f>
        <v>0</v>
      </c>
      <c r="J5846" s="135" t="n">
        <f aca="false">$G5846*'Analyse capacite'!$D$7</f>
        <v>0</v>
      </c>
      <c r="K5846" s="135" t="n">
        <f aca="false">$G5846*'Analyse capacite'!$E$7</f>
        <v>0</v>
      </c>
    </row>
    <row r="5847" customFormat="false" ht="15" hidden="false" customHeight="false" outlineLevel="0" collapsed="false">
      <c r="B5847" s="130" t="n">
        <v>2027</v>
      </c>
      <c r="C5847" s="131" t="s">
        <v>251</v>
      </c>
      <c r="D5847" s="132" t="n">
        <v>46640</v>
      </c>
      <c r="E5847" s="131" t="s">
        <v>36</v>
      </c>
      <c r="F5847" s="133" t="s">
        <v>19</v>
      </c>
      <c r="G5847" s="134" t="n">
        <f aca="false">LEN('Saisie programme'!$H$218)+SUMIFS('Vols additionnels'!$E$7:$E$66,'Vols additionnels'!$C$7:$C$66,$E5847,'Vols additionnels'!$D$7:$D$66,$F5847,'Vols additionnels'!$B$7:$B$66,$D5847)</f>
        <v>0</v>
      </c>
      <c r="H5847" s="135" t="n">
        <f aca="false">$G5847*'Analyse capacite'!$F$8</f>
        <v>0</v>
      </c>
      <c r="I5847" s="135" t="n">
        <f aca="false">$G5847*'Analyse capacite'!$C$8</f>
        <v>0</v>
      </c>
      <c r="J5847" s="135" t="n">
        <f aca="false">$G5847*'Analyse capacite'!$D$8</f>
        <v>0</v>
      </c>
      <c r="K5847" s="135" t="n">
        <f aca="false">$G5847*'Analyse capacite'!$E$8</f>
        <v>0</v>
      </c>
    </row>
    <row r="5848" customFormat="false" ht="15" hidden="false" customHeight="false" outlineLevel="0" collapsed="false">
      <c r="B5848" s="130" t="n">
        <v>2027</v>
      </c>
      <c r="C5848" s="131" t="s">
        <v>251</v>
      </c>
      <c r="D5848" s="132" t="n">
        <v>46640</v>
      </c>
      <c r="E5848" s="131" t="s">
        <v>36</v>
      </c>
      <c r="F5848" s="133" t="s">
        <v>24</v>
      </c>
      <c r="G5848" s="134" t="n">
        <f aca="false">LEN('Saisie programme'!$H$219)+SUMIFS('Vols additionnels'!$E$7:$E$66,'Vols additionnels'!$C$7:$C$66,$E5848,'Vols additionnels'!$D$7:$D$66,$F5848,'Vols additionnels'!$B$7:$B$66,$D5848)</f>
        <v>1</v>
      </c>
      <c r="H5848" s="135" t="n">
        <f aca="false">$G5848*'Analyse capacite'!$F$9</f>
        <v>174</v>
      </c>
      <c r="I5848" s="135" t="n">
        <f aca="false">$G5848*'Analyse capacite'!$C$9</f>
        <v>0</v>
      </c>
      <c r="J5848" s="135" t="n">
        <f aca="false">$G5848*'Analyse capacite'!$D$9</f>
        <v>12</v>
      </c>
      <c r="K5848" s="135" t="n">
        <f aca="false">$G5848*'Analyse capacite'!$E$9</f>
        <v>162</v>
      </c>
    </row>
    <row r="5849" customFormat="false" ht="15" hidden="false" customHeight="false" outlineLevel="0" collapsed="false">
      <c r="B5849" s="130" t="n">
        <v>2027</v>
      </c>
      <c r="C5849" s="131" t="s">
        <v>251</v>
      </c>
      <c r="D5849" s="132" t="n">
        <v>46640</v>
      </c>
      <c r="E5849" s="131" t="s">
        <v>40</v>
      </c>
      <c r="F5849" s="133" t="s">
        <v>11</v>
      </c>
      <c r="G5849" s="134" t="n">
        <f aca="false">LEN('Saisie programme'!$H$220)+SUMIFS('Vols additionnels'!$E$7:$E$66,'Vols additionnels'!$C$7:$C$66,$E5849,'Vols additionnels'!$D$7:$D$66,$F5849,'Vols additionnels'!$B$7:$B$66,$D5849)</f>
        <v>0</v>
      </c>
      <c r="H5849" s="135" t="n">
        <f aca="false">$G5849*'Analyse capacite'!$F$7</f>
        <v>0</v>
      </c>
      <c r="I5849" s="135" t="n">
        <f aca="false">$G5849*'Analyse capacite'!$C$7</f>
        <v>0</v>
      </c>
      <c r="J5849" s="135" t="n">
        <f aca="false">$G5849*'Analyse capacite'!$D$7</f>
        <v>0</v>
      </c>
      <c r="K5849" s="135" t="n">
        <f aca="false">$G5849*'Analyse capacite'!$E$7</f>
        <v>0</v>
      </c>
    </row>
    <row r="5850" customFormat="false" ht="15" hidden="false" customHeight="false" outlineLevel="0" collapsed="false">
      <c r="B5850" s="130" t="n">
        <v>2027</v>
      </c>
      <c r="C5850" s="131" t="s">
        <v>251</v>
      </c>
      <c r="D5850" s="132" t="n">
        <v>46640</v>
      </c>
      <c r="E5850" s="131" t="s">
        <v>40</v>
      </c>
      <c r="F5850" s="133" t="s">
        <v>19</v>
      </c>
      <c r="G5850" s="134" t="n">
        <f aca="false">LEN('Saisie programme'!$H$221)+SUMIFS('Vols additionnels'!$E$7:$E$66,'Vols additionnels'!$C$7:$C$66,$E5850,'Vols additionnels'!$D$7:$D$66,$F5850,'Vols additionnels'!$B$7:$B$66,$D5850)</f>
        <v>0</v>
      </c>
      <c r="H5850" s="135" t="n">
        <f aca="false">$G5850*'Analyse capacite'!$F$8</f>
        <v>0</v>
      </c>
      <c r="I5850" s="135" t="n">
        <f aca="false">$G5850*'Analyse capacite'!$C$8</f>
        <v>0</v>
      </c>
      <c r="J5850" s="135" t="n">
        <f aca="false">$G5850*'Analyse capacite'!$D$8</f>
        <v>0</v>
      </c>
      <c r="K5850" s="135" t="n">
        <f aca="false">$G5850*'Analyse capacite'!$E$8</f>
        <v>0</v>
      </c>
    </row>
    <row r="5851" customFormat="false" ht="15" hidden="false" customHeight="false" outlineLevel="0" collapsed="false">
      <c r="B5851" s="130" t="n">
        <v>2027</v>
      </c>
      <c r="C5851" s="131" t="s">
        <v>251</v>
      </c>
      <c r="D5851" s="132" t="n">
        <v>46640</v>
      </c>
      <c r="E5851" s="131" t="s">
        <v>40</v>
      </c>
      <c r="F5851" s="133" t="s">
        <v>24</v>
      </c>
      <c r="G5851" s="134" t="n">
        <f aca="false">LEN('Saisie programme'!$H$222)+SUMIFS('Vols additionnels'!$E$7:$E$66,'Vols additionnels'!$C$7:$C$66,$E5851,'Vols additionnels'!$D$7:$D$66,$F5851,'Vols additionnels'!$B$7:$B$66,$D5851)</f>
        <v>1</v>
      </c>
      <c r="H5851" s="135" t="n">
        <f aca="false">$G5851*'Analyse capacite'!$F$9</f>
        <v>174</v>
      </c>
      <c r="I5851" s="135" t="n">
        <f aca="false">$G5851*'Analyse capacite'!$C$9</f>
        <v>0</v>
      </c>
      <c r="J5851" s="135" t="n">
        <f aca="false">$G5851*'Analyse capacite'!$D$9</f>
        <v>12</v>
      </c>
      <c r="K5851" s="135" t="n">
        <f aca="false">$G5851*'Analyse capacite'!$E$9</f>
        <v>162</v>
      </c>
    </row>
    <row r="5852" customFormat="false" ht="15" hidden="false" customHeight="false" outlineLevel="0" collapsed="false">
      <c r="B5852" s="130" t="n">
        <v>2027</v>
      </c>
      <c r="C5852" s="131" t="s">
        <v>251</v>
      </c>
      <c r="D5852" s="132" t="n">
        <v>46640</v>
      </c>
      <c r="E5852" s="131" t="s">
        <v>14</v>
      </c>
      <c r="F5852" s="133" t="s">
        <v>11</v>
      </c>
      <c r="G5852" s="134" t="n">
        <f aca="false">LEN('Saisie programme'!$H$223)+SUMIFS('Vols additionnels'!$E$7:$E$66,'Vols additionnels'!$C$7:$C$66,$E5852,'Vols additionnels'!$D$7:$D$66,$F5852,'Vols additionnels'!$B$7:$B$66,$D5852)</f>
        <v>0</v>
      </c>
      <c r="H5852" s="135" t="n">
        <f aca="false">$G5852*'Analyse capacite'!$F$7</f>
        <v>0</v>
      </c>
      <c r="I5852" s="135" t="n">
        <f aca="false">$G5852*'Analyse capacite'!$C$7</f>
        <v>0</v>
      </c>
      <c r="J5852" s="135" t="n">
        <f aca="false">$G5852*'Analyse capacite'!$D$7</f>
        <v>0</v>
      </c>
      <c r="K5852" s="135" t="n">
        <f aca="false">$G5852*'Analyse capacite'!$E$7</f>
        <v>0</v>
      </c>
    </row>
    <row r="5853" customFormat="false" ht="15" hidden="false" customHeight="false" outlineLevel="0" collapsed="false">
      <c r="B5853" s="130" t="n">
        <v>2027</v>
      </c>
      <c r="C5853" s="131" t="s">
        <v>251</v>
      </c>
      <c r="D5853" s="132" t="n">
        <v>46640</v>
      </c>
      <c r="E5853" s="131" t="s">
        <v>14</v>
      </c>
      <c r="F5853" s="133" t="s">
        <v>19</v>
      </c>
      <c r="G5853" s="134" t="n">
        <f aca="false">LEN('Saisie programme'!$H$224)+SUMIFS('Vols additionnels'!$E$7:$E$66,'Vols additionnels'!$C$7:$C$66,$E5853,'Vols additionnels'!$D$7:$D$66,$F5853,'Vols additionnels'!$B$7:$B$66,$D5853)</f>
        <v>0</v>
      </c>
      <c r="H5853" s="135" t="n">
        <f aca="false">$G5853*'Analyse capacite'!$F$8</f>
        <v>0</v>
      </c>
      <c r="I5853" s="135" t="n">
        <f aca="false">$G5853*'Analyse capacite'!$C$8</f>
        <v>0</v>
      </c>
      <c r="J5853" s="135" t="n">
        <f aca="false">$G5853*'Analyse capacite'!$D$8</f>
        <v>0</v>
      </c>
      <c r="K5853" s="135" t="n">
        <f aca="false">$G5853*'Analyse capacite'!$E$8</f>
        <v>0</v>
      </c>
    </row>
    <row r="5854" customFormat="false" ht="15" hidden="false" customHeight="false" outlineLevel="0" collapsed="false">
      <c r="B5854" s="130" t="n">
        <v>2027</v>
      </c>
      <c r="C5854" s="131" t="s">
        <v>251</v>
      </c>
      <c r="D5854" s="132" t="n">
        <v>46640</v>
      </c>
      <c r="E5854" s="131" t="s">
        <v>14</v>
      </c>
      <c r="F5854" s="133" t="s">
        <v>24</v>
      </c>
      <c r="G5854" s="134" t="n">
        <f aca="false">LEN('Saisie programme'!$H$225)+SUMIFS('Vols additionnels'!$E$7:$E$66,'Vols additionnels'!$C$7:$C$66,$E5854,'Vols additionnels'!$D$7:$D$66,$F5854,'Vols additionnels'!$B$7:$B$66,$D5854)</f>
        <v>0</v>
      </c>
      <c r="H5854" s="135" t="n">
        <f aca="false">$G5854*'Analyse capacite'!$F$9</f>
        <v>0</v>
      </c>
      <c r="I5854" s="135" t="n">
        <f aca="false">$G5854*'Analyse capacite'!$C$9</f>
        <v>0</v>
      </c>
      <c r="J5854" s="135" t="n">
        <f aca="false">$G5854*'Analyse capacite'!$D$9</f>
        <v>0</v>
      </c>
      <c r="K5854" s="135" t="n">
        <f aca="false">$G5854*'Analyse capacite'!$E$9</f>
        <v>0</v>
      </c>
    </row>
    <row r="5855" customFormat="false" ht="15" hidden="false" customHeight="false" outlineLevel="0" collapsed="false">
      <c r="B5855" s="130" t="n">
        <v>2027</v>
      </c>
      <c r="C5855" s="131" t="s">
        <v>251</v>
      </c>
      <c r="D5855" s="132" t="n">
        <v>46640</v>
      </c>
      <c r="E5855" s="131" t="s">
        <v>46</v>
      </c>
      <c r="F5855" s="133" t="s">
        <v>11</v>
      </c>
      <c r="G5855" s="134" t="n">
        <f aca="false">LEN('Saisie programme'!$H$226)+SUMIFS('Vols additionnels'!$E$7:$E$66,'Vols additionnels'!$C$7:$C$66,$E5855,'Vols additionnels'!$D$7:$D$66,$F5855,'Vols additionnels'!$B$7:$B$66,$D5855)</f>
        <v>0</v>
      </c>
      <c r="H5855" s="135" t="n">
        <f aca="false">$G5855*'Analyse capacite'!$F$7</f>
        <v>0</v>
      </c>
      <c r="I5855" s="135" t="n">
        <f aca="false">$G5855*'Analyse capacite'!$C$7</f>
        <v>0</v>
      </c>
      <c r="J5855" s="135" t="n">
        <f aca="false">$G5855*'Analyse capacite'!$D$7</f>
        <v>0</v>
      </c>
      <c r="K5855" s="135" t="n">
        <f aca="false">$G5855*'Analyse capacite'!$E$7</f>
        <v>0</v>
      </c>
    </row>
    <row r="5856" customFormat="false" ht="15" hidden="false" customHeight="false" outlineLevel="0" collapsed="false">
      <c r="B5856" s="130" t="n">
        <v>2027</v>
      </c>
      <c r="C5856" s="131" t="s">
        <v>251</v>
      </c>
      <c r="D5856" s="132" t="n">
        <v>46640</v>
      </c>
      <c r="E5856" s="131" t="s">
        <v>46</v>
      </c>
      <c r="F5856" s="133" t="s">
        <v>19</v>
      </c>
      <c r="G5856" s="134" t="n">
        <f aca="false">LEN('Saisie programme'!$H$227)+SUMIFS('Vols additionnels'!$E$7:$E$66,'Vols additionnels'!$C$7:$C$66,$E5856,'Vols additionnels'!$D$7:$D$66,$F5856,'Vols additionnels'!$B$7:$B$66,$D5856)</f>
        <v>0</v>
      </c>
      <c r="H5856" s="135" t="n">
        <f aca="false">$G5856*'Analyse capacite'!$F$8</f>
        <v>0</v>
      </c>
      <c r="I5856" s="135" t="n">
        <f aca="false">$G5856*'Analyse capacite'!$C$8</f>
        <v>0</v>
      </c>
      <c r="J5856" s="135" t="n">
        <f aca="false">$G5856*'Analyse capacite'!$D$8</f>
        <v>0</v>
      </c>
      <c r="K5856" s="135" t="n">
        <f aca="false">$G5856*'Analyse capacite'!$E$8</f>
        <v>0</v>
      </c>
    </row>
    <row r="5857" customFormat="false" ht="15" hidden="false" customHeight="false" outlineLevel="0" collapsed="false">
      <c r="B5857" s="130" t="n">
        <v>2027</v>
      </c>
      <c r="C5857" s="131" t="s">
        <v>251</v>
      </c>
      <c r="D5857" s="132" t="n">
        <v>46640</v>
      </c>
      <c r="E5857" s="131" t="s">
        <v>46</v>
      </c>
      <c r="F5857" s="133" t="s">
        <v>24</v>
      </c>
      <c r="G5857" s="134" t="n">
        <f aca="false">LEN('Saisie programme'!$H$228)+SUMIFS('Vols additionnels'!$E$7:$E$66,'Vols additionnels'!$C$7:$C$66,$E5857,'Vols additionnels'!$D$7:$D$66,$F5857,'Vols additionnels'!$B$7:$B$66,$D5857)</f>
        <v>0</v>
      </c>
      <c r="H5857" s="135" t="n">
        <f aca="false">$G5857*'Analyse capacite'!$F$9</f>
        <v>0</v>
      </c>
      <c r="I5857" s="135" t="n">
        <f aca="false">$G5857*'Analyse capacite'!$C$9</f>
        <v>0</v>
      </c>
      <c r="J5857" s="135" t="n">
        <f aca="false">$G5857*'Analyse capacite'!$D$9</f>
        <v>0</v>
      </c>
      <c r="K5857" s="135" t="n">
        <f aca="false">$G5857*'Analyse capacite'!$E$9</f>
        <v>0</v>
      </c>
    </row>
    <row r="5858" customFormat="false" ht="15" hidden="false" customHeight="false" outlineLevel="0" collapsed="false">
      <c r="B5858" s="130" t="n">
        <v>2027</v>
      </c>
      <c r="C5858" s="131" t="s">
        <v>251</v>
      </c>
      <c r="D5858" s="132" t="n">
        <v>46640</v>
      </c>
      <c r="E5858" s="131" t="s">
        <v>49</v>
      </c>
      <c r="F5858" s="133" t="s">
        <v>11</v>
      </c>
      <c r="G5858" s="134" t="n">
        <f aca="false">LEN('Saisie programme'!$H$229)+SUMIFS('Vols additionnels'!$E$7:$E$66,'Vols additionnels'!$C$7:$C$66,$E5858,'Vols additionnels'!$D$7:$D$66,$F5858,'Vols additionnels'!$B$7:$B$66,$D5858)</f>
        <v>0</v>
      </c>
      <c r="H5858" s="135" t="n">
        <f aca="false">$G5858*'Analyse capacite'!$F$7</f>
        <v>0</v>
      </c>
      <c r="I5858" s="135" t="n">
        <f aca="false">$G5858*'Analyse capacite'!$C$7</f>
        <v>0</v>
      </c>
      <c r="J5858" s="135" t="n">
        <f aca="false">$G5858*'Analyse capacite'!$D$7</f>
        <v>0</v>
      </c>
      <c r="K5858" s="135" t="n">
        <f aca="false">$G5858*'Analyse capacite'!$E$7</f>
        <v>0</v>
      </c>
    </row>
    <row r="5859" customFormat="false" ht="15" hidden="false" customHeight="false" outlineLevel="0" collapsed="false">
      <c r="B5859" s="130" t="n">
        <v>2027</v>
      </c>
      <c r="C5859" s="131" t="s">
        <v>251</v>
      </c>
      <c r="D5859" s="132" t="n">
        <v>46640</v>
      </c>
      <c r="E5859" s="131" t="s">
        <v>49</v>
      </c>
      <c r="F5859" s="133" t="s">
        <v>19</v>
      </c>
      <c r="G5859" s="134" t="n">
        <f aca="false">LEN('Saisie programme'!$H$230)+SUMIFS('Vols additionnels'!$E$7:$E$66,'Vols additionnels'!$C$7:$C$66,$E5859,'Vols additionnels'!$D$7:$D$66,$F5859,'Vols additionnels'!$B$7:$B$66,$D5859)</f>
        <v>1</v>
      </c>
      <c r="H5859" s="135" t="n">
        <f aca="false">$G5859*'Analyse capacite'!$F$8</f>
        <v>262</v>
      </c>
      <c r="I5859" s="135" t="n">
        <f aca="false">$G5859*'Analyse capacite'!$C$8</f>
        <v>18</v>
      </c>
      <c r="J5859" s="135" t="n">
        <f aca="false">$G5859*'Analyse capacite'!$D$8</f>
        <v>0</v>
      </c>
      <c r="K5859" s="135" t="n">
        <f aca="false">$G5859*'Analyse capacite'!$E$8</f>
        <v>244</v>
      </c>
    </row>
    <row r="5860" customFormat="false" ht="15" hidden="false" customHeight="false" outlineLevel="0" collapsed="false">
      <c r="B5860" s="130" t="n">
        <v>2027</v>
      </c>
      <c r="C5860" s="131" t="s">
        <v>251</v>
      </c>
      <c r="D5860" s="132" t="n">
        <v>46640</v>
      </c>
      <c r="E5860" s="131" t="s">
        <v>49</v>
      </c>
      <c r="F5860" s="133" t="s">
        <v>24</v>
      </c>
      <c r="G5860" s="134" t="n">
        <f aca="false">LEN('Saisie programme'!$H$231)+SUMIFS('Vols additionnels'!$E$7:$E$66,'Vols additionnels'!$C$7:$C$66,$E5860,'Vols additionnels'!$D$7:$D$66,$F5860,'Vols additionnels'!$B$7:$B$66,$D5860)</f>
        <v>0</v>
      </c>
      <c r="H5860" s="135" t="n">
        <f aca="false">$G5860*'Analyse capacite'!$F$9</f>
        <v>0</v>
      </c>
      <c r="I5860" s="135" t="n">
        <f aca="false">$G5860*'Analyse capacite'!$C$9</f>
        <v>0</v>
      </c>
      <c r="J5860" s="135" t="n">
        <f aca="false">$G5860*'Analyse capacite'!$D$9</f>
        <v>0</v>
      </c>
      <c r="K5860" s="135" t="n">
        <f aca="false">$G5860*'Analyse capacite'!$E$9</f>
        <v>0</v>
      </c>
    </row>
    <row r="5861" customFormat="false" ht="15" hidden="false" customHeight="false" outlineLevel="0" collapsed="false">
      <c r="B5861" s="130" t="n">
        <v>2027</v>
      </c>
      <c r="C5861" s="131" t="s">
        <v>251</v>
      </c>
      <c r="D5861" s="132" t="n">
        <v>46640</v>
      </c>
      <c r="E5861" s="131" t="s">
        <v>53</v>
      </c>
      <c r="F5861" s="133" t="s">
        <v>11</v>
      </c>
      <c r="G5861" s="134" t="n">
        <f aca="false">LEN('Saisie programme'!$H$232)+SUMIFS('Vols additionnels'!$E$7:$E$66,'Vols additionnels'!$C$7:$C$66,$E5861,'Vols additionnels'!$D$7:$D$66,$F5861,'Vols additionnels'!$B$7:$B$66,$D5861)</f>
        <v>0</v>
      </c>
      <c r="H5861" s="135" t="n">
        <f aca="false">$G5861*'Analyse capacite'!$F$7</f>
        <v>0</v>
      </c>
      <c r="I5861" s="135" t="n">
        <f aca="false">$G5861*'Analyse capacite'!$C$7</f>
        <v>0</v>
      </c>
      <c r="J5861" s="135" t="n">
        <f aca="false">$G5861*'Analyse capacite'!$D$7</f>
        <v>0</v>
      </c>
      <c r="K5861" s="135" t="n">
        <f aca="false">$G5861*'Analyse capacite'!$E$7</f>
        <v>0</v>
      </c>
    </row>
    <row r="5862" customFormat="false" ht="15" hidden="false" customHeight="false" outlineLevel="0" collapsed="false">
      <c r="B5862" s="130" t="n">
        <v>2027</v>
      </c>
      <c r="C5862" s="131" t="s">
        <v>251</v>
      </c>
      <c r="D5862" s="132" t="n">
        <v>46640</v>
      </c>
      <c r="E5862" s="131" t="s">
        <v>53</v>
      </c>
      <c r="F5862" s="133" t="s">
        <v>19</v>
      </c>
      <c r="G5862" s="134" t="n">
        <f aca="false">LEN('Saisie programme'!$H$233)+SUMIFS('Vols additionnels'!$E$7:$E$66,'Vols additionnels'!$C$7:$C$66,$E5862,'Vols additionnels'!$D$7:$D$66,$F5862,'Vols additionnels'!$B$7:$B$66,$D5862)</f>
        <v>0</v>
      </c>
      <c r="H5862" s="135" t="n">
        <f aca="false">$G5862*'Analyse capacite'!$F$8</f>
        <v>0</v>
      </c>
      <c r="I5862" s="135" t="n">
        <f aca="false">$G5862*'Analyse capacite'!$C$8</f>
        <v>0</v>
      </c>
      <c r="J5862" s="135" t="n">
        <f aca="false">$G5862*'Analyse capacite'!$D$8</f>
        <v>0</v>
      </c>
      <c r="K5862" s="135" t="n">
        <f aca="false">$G5862*'Analyse capacite'!$E$8</f>
        <v>0</v>
      </c>
    </row>
    <row r="5863" customFormat="false" ht="15" hidden="false" customHeight="false" outlineLevel="0" collapsed="false">
      <c r="B5863" s="130" t="n">
        <v>2027</v>
      </c>
      <c r="C5863" s="131" t="s">
        <v>251</v>
      </c>
      <c r="D5863" s="132" t="n">
        <v>46640</v>
      </c>
      <c r="E5863" s="131" t="s">
        <v>53</v>
      </c>
      <c r="F5863" s="133" t="s">
        <v>24</v>
      </c>
      <c r="G5863" s="134" t="n">
        <f aca="false">LEN('Saisie programme'!$H$234)+SUMIFS('Vols additionnels'!$E$7:$E$66,'Vols additionnels'!$C$7:$C$66,$E5863,'Vols additionnels'!$D$7:$D$66,$F5863,'Vols additionnels'!$B$7:$B$66,$D5863)</f>
        <v>0</v>
      </c>
      <c r="H5863" s="135" t="n">
        <f aca="false">$G5863*'Analyse capacite'!$F$9</f>
        <v>0</v>
      </c>
      <c r="I5863" s="135" t="n">
        <f aca="false">$G5863*'Analyse capacite'!$C$9</f>
        <v>0</v>
      </c>
      <c r="J5863" s="135" t="n">
        <f aca="false">$G5863*'Analyse capacite'!$D$9</f>
        <v>0</v>
      </c>
      <c r="K5863" s="135" t="n">
        <f aca="false">$G5863*'Analyse capacite'!$E$9</f>
        <v>0</v>
      </c>
    </row>
    <row r="5864" customFormat="false" ht="15" hidden="false" customHeight="false" outlineLevel="0" collapsed="false">
      <c r="B5864" s="130" t="n">
        <v>2027</v>
      </c>
      <c r="C5864" s="131" t="s">
        <v>251</v>
      </c>
      <c r="D5864" s="132" t="n">
        <v>46640</v>
      </c>
      <c r="E5864" s="131" t="s">
        <v>56</v>
      </c>
      <c r="F5864" s="133" t="s">
        <v>11</v>
      </c>
      <c r="G5864" s="134" t="n">
        <f aca="false">LEN('Saisie programme'!$H$235)+SUMIFS('Vols additionnels'!$E$7:$E$66,'Vols additionnels'!$C$7:$C$66,$E5864,'Vols additionnels'!$D$7:$D$66,$F5864,'Vols additionnels'!$B$7:$B$66,$D5864)</f>
        <v>0</v>
      </c>
      <c r="H5864" s="135" t="n">
        <f aca="false">$G5864*'Analyse capacite'!$F$7</f>
        <v>0</v>
      </c>
      <c r="I5864" s="135" t="n">
        <f aca="false">$G5864*'Analyse capacite'!$C$7</f>
        <v>0</v>
      </c>
      <c r="J5864" s="135" t="n">
        <f aca="false">$G5864*'Analyse capacite'!$D$7</f>
        <v>0</v>
      </c>
      <c r="K5864" s="135" t="n">
        <f aca="false">$G5864*'Analyse capacite'!$E$7</f>
        <v>0</v>
      </c>
    </row>
    <row r="5865" customFormat="false" ht="15" hidden="false" customHeight="false" outlineLevel="0" collapsed="false">
      <c r="B5865" s="130" t="n">
        <v>2027</v>
      </c>
      <c r="C5865" s="131" t="s">
        <v>251</v>
      </c>
      <c r="D5865" s="132" t="n">
        <v>46640</v>
      </c>
      <c r="E5865" s="131" t="s">
        <v>56</v>
      </c>
      <c r="F5865" s="133" t="s">
        <v>19</v>
      </c>
      <c r="G5865" s="134" t="n">
        <f aca="false">LEN('Saisie programme'!$H$236)+SUMIFS('Vols additionnels'!$E$7:$E$66,'Vols additionnels'!$C$7:$C$66,$E5865,'Vols additionnels'!$D$7:$D$66,$F5865,'Vols additionnels'!$B$7:$B$66,$D5865)</f>
        <v>0</v>
      </c>
      <c r="H5865" s="135" t="n">
        <f aca="false">$G5865*'Analyse capacite'!$F$8</f>
        <v>0</v>
      </c>
      <c r="I5865" s="135" t="n">
        <f aca="false">$G5865*'Analyse capacite'!$C$8</f>
        <v>0</v>
      </c>
      <c r="J5865" s="135" t="n">
        <f aca="false">$G5865*'Analyse capacite'!$D$8</f>
        <v>0</v>
      </c>
      <c r="K5865" s="135" t="n">
        <f aca="false">$G5865*'Analyse capacite'!$E$8</f>
        <v>0</v>
      </c>
    </row>
    <row r="5866" customFormat="false" ht="15" hidden="false" customHeight="false" outlineLevel="0" collapsed="false">
      <c r="B5866" s="130" t="n">
        <v>2027</v>
      </c>
      <c r="C5866" s="131" t="s">
        <v>251</v>
      </c>
      <c r="D5866" s="132" t="n">
        <v>46640</v>
      </c>
      <c r="E5866" s="131" t="s">
        <v>56</v>
      </c>
      <c r="F5866" s="133" t="s">
        <v>24</v>
      </c>
      <c r="G5866" s="134" t="n">
        <f aca="false">LEN('Saisie programme'!$H$237)+SUMIFS('Vols additionnels'!$E$7:$E$66,'Vols additionnels'!$C$7:$C$66,$E5866,'Vols additionnels'!$D$7:$D$66,$F5866,'Vols additionnels'!$B$7:$B$66,$D5866)</f>
        <v>0</v>
      </c>
      <c r="H5866" s="135" t="n">
        <f aca="false">$G5866*'Analyse capacite'!$F$9</f>
        <v>0</v>
      </c>
      <c r="I5866" s="135" t="n">
        <f aca="false">$G5866*'Analyse capacite'!$C$9</f>
        <v>0</v>
      </c>
      <c r="J5866" s="135" t="n">
        <f aca="false">$G5866*'Analyse capacite'!$D$9</f>
        <v>0</v>
      </c>
      <c r="K5866" s="135" t="n">
        <f aca="false">$G5866*'Analyse capacite'!$E$9</f>
        <v>0</v>
      </c>
    </row>
    <row r="5867" customFormat="false" ht="15" hidden="false" customHeight="false" outlineLevel="0" collapsed="false">
      <c r="B5867" s="130" t="n">
        <v>2027</v>
      </c>
      <c r="C5867" s="131" t="s">
        <v>251</v>
      </c>
      <c r="D5867" s="132" t="n">
        <v>46640</v>
      </c>
      <c r="E5867" s="131" t="s">
        <v>59</v>
      </c>
      <c r="F5867" s="133" t="s">
        <v>11</v>
      </c>
      <c r="G5867" s="134" t="n">
        <f aca="false">LEN('Saisie programme'!$H$238)+SUMIFS('Vols additionnels'!$E$7:$E$66,'Vols additionnels'!$C$7:$C$66,$E5867,'Vols additionnels'!$D$7:$D$66,$F5867,'Vols additionnels'!$B$7:$B$66,$D5867)</f>
        <v>0</v>
      </c>
      <c r="H5867" s="135" t="n">
        <f aca="false">$G5867*'Analyse capacite'!$F$7</f>
        <v>0</v>
      </c>
      <c r="I5867" s="135" t="n">
        <f aca="false">$G5867*'Analyse capacite'!$C$7</f>
        <v>0</v>
      </c>
      <c r="J5867" s="135" t="n">
        <f aca="false">$G5867*'Analyse capacite'!$D$7</f>
        <v>0</v>
      </c>
      <c r="K5867" s="135" t="n">
        <f aca="false">$G5867*'Analyse capacite'!$E$7</f>
        <v>0</v>
      </c>
    </row>
    <row r="5868" customFormat="false" ht="15" hidden="false" customHeight="false" outlineLevel="0" collapsed="false">
      <c r="B5868" s="130" t="n">
        <v>2027</v>
      </c>
      <c r="C5868" s="131" t="s">
        <v>251</v>
      </c>
      <c r="D5868" s="132" t="n">
        <v>46640</v>
      </c>
      <c r="E5868" s="131" t="s">
        <v>59</v>
      </c>
      <c r="F5868" s="133" t="s">
        <v>19</v>
      </c>
      <c r="G5868" s="134" t="n">
        <f aca="false">LEN('Saisie programme'!$H$239)+SUMIFS('Vols additionnels'!$E$7:$E$66,'Vols additionnels'!$C$7:$C$66,$E5868,'Vols additionnels'!$D$7:$D$66,$F5868,'Vols additionnels'!$B$7:$B$66,$D5868)</f>
        <v>0</v>
      </c>
      <c r="H5868" s="135" t="n">
        <f aca="false">$G5868*'Analyse capacite'!$F$8</f>
        <v>0</v>
      </c>
      <c r="I5868" s="135" t="n">
        <f aca="false">$G5868*'Analyse capacite'!$C$8</f>
        <v>0</v>
      </c>
      <c r="J5868" s="135" t="n">
        <f aca="false">$G5868*'Analyse capacite'!$D$8</f>
        <v>0</v>
      </c>
      <c r="K5868" s="135" t="n">
        <f aca="false">$G5868*'Analyse capacite'!$E$8</f>
        <v>0</v>
      </c>
    </row>
    <row r="5869" customFormat="false" ht="15" hidden="false" customHeight="false" outlineLevel="0" collapsed="false">
      <c r="B5869" s="130" t="n">
        <v>2027</v>
      </c>
      <c r="C5869" s="131" t="s">
        <v>251</v>
      </c>
      <c r="D5869" s="132" t="n">
        <v>46640</v>
      </c>
      <c r="E5869" s="131" t="s">
        <v>59</v>
      </c>
      <c r="F5869" s="133" t="s">
        <v>24</v>
      </c>
      <c r="G5869" s="134" t="n">
        <f aca="false">LEN('Saisie programme'!$H$240)+SUMIFS('Vols additionnels'!$E$7:$E$66,'Vols additionnels'!$C$7:$C$66,$E5869,'Vols additionnels'!$D$7:$D$66,$F5869,'Vols additionnels'!$B$7:$B$66,$D5869)</f>
        <v>1</v>
      </c>
      <c r="H5869" s="135" t="n">
        <f aca="false">$G5869*'Analyse capacite'!$F$9</f>
        <v>174</v>
      </c>
      <c r="I5869" s="135" t="n">
        <f aca="false">$G5869*'Analyse capacite'!$C$9</f>
        <v>0</v>
      </c>
      <c r="J5869" s="135" t="n">
        <f aca="false">$G5869*'Analyse capacite'!$D$9</f>
        <v>12</v>
      </c>
      <c r="K5869" s="135" t="n">
        <f aca="false">$G5869*'Analyse capacite'!$E$9</f>
        <v>162</v>
      </c>
    </row>
    <row r="5870" customFormat="false" ht="15" hidden="false" customHeight="false" outlineLevel="0" collapsed="false">
      <c r="B5870" s="130" t="n">
        <v>2027</v>
      </c>
      <c r="C5870" s="131" t="s">
        <v>251</v>
      </c>
      <c r="D5870" s="132" t="n">
        <v>46640</v>
      </c>
      <c r="E5870" s="131" t="s">
        <v>62</v>
      </c>
      <c r="F5870" s="133" t="s">
        <v>11</v>
      </c>
      <c r="G5870" s="134" t="n">
        <f aca="false">LEN('Saisie programme'!$H$241)+SUMIFS('Vols additionnels'!$E$7:$E$66,'Vols additionnels'!$C$7:$C$66,$E5870,'Vols additionnels'!$D$7:$D$66,$F5870,'Vols additionnels'!$B$7:$B$66,$D5870)</f>
        <v>0</v>
      </c>
      <c r="H5870" s="135" t="n">
        <f aca="false">$G5870*'Analyse capacite'!$F$7</f>
        <v>0</v>
      </c>
      <c r="I5870" s="135" t="n">
        <f aca="false">$G5870*'Analyse capacite'!$C$7</f>
        <v>0</v>
      </c>
      <c r="J5870" s="135" t="n">
        <f aca="false">$G5870*'Analyse capacite'!$D$7</f>
        <v>0</v>
      </c>
      <c r="K5870" s="135" t="n">
        <f aca="false">$G5870*'Analyse capacite'!$E$7</f>
        <v>0</v>
      </c>
    </row>
    <row r="5871" customFormat="false" ht="15" hidden="false" customHeight="false" outlineLevel="0" collapsed="false">
      <c r="B5871" s="130" t="n">
        <v>2027</v>
      </c>
      <c r="C5871" s="131" t="s">
        <v>251</v>
      </c>
      <c r="D5871" s="132" t="n">
        <v>46640</v>
      </c>
      <c r="E5871" s="131" t="s">
        <v>62</v>
      </c>
      <c r="F5871" s="133" t="s">
        <v>19</v>
      </c>
      <c r="G5871" s="134" t="n">
        <f aca="false">LEN('Saisie programme'!$H$242)+SUMIFS('Vols additionnels'!$E$7:$E$66,'Vols additionnels'!$C$7:$C$66,$E5871,'Vols additionnels'!$D$7:$D$66,$F5871,'Vols additionnels'!$B$7:$B$66,$D5871)</f>
        <v>0</v>
      </c>
      <c r="H5871" s="135" t="n">
        <f aca="false">$G5871*'Analyse capacite'!$F$8</f>
        <v>0</v>
      </c>
      <c r="I5871" s="135" t="n">
        <f aca="false">$G5871*'Analyse capacite'!$C$8</f>
        <v>0</v>
      </c>
      <c r="J5871" s="135" t="n">
        <f aca="false">$G5871*'Analyse capacite'!$D$8</f>
        <v>0</v>
      </c>
      <c r="K5871" s="135" t="n">
        <f aca="false">$G5871*'Analyse capacite'!$E$8</f>
        <v>0</v>
      </c>
    </row>
    <row r="5872" customFormat="false" ht="15" hidden="false" customHeight="false" outlineLevel="0" collapsed="false">
      <c r="B5872" s="130" t="n">
        <v>2027</v>
      </c>
      <c r="C5872" s="131" t="s">
        <v>251</v>
      </c>
      <c r="D5872" s="132" t="n">
        <v>46640</v>
      </c>
      <c r="E5872" s="131" t="s">
        <v>62</v>
      </c>
      <c r="F5872" s="133" t="s">
        <v>24</v>
      </c>
      <c r="G5872" s="134" t="n">
        <f aca="false">LEN('Saisie programme'!$H$243)+SUMIFS('Vols additionnels'!$E$7:$E$66,'Vols additionnels'!$C$7:$C$66,$E5872,'Vols additionnels'!$D$7:$D$66,$F5872,'Vols additionnels'!$B$7:$B$66,$D5872)</f>
        <v>0</v>
      </c>
      <c r="H5872" s="135" t="n">
        <f aca="false">$G5872*'Analyse capacite'!$F$9</f>
        <v>0</v>
      </c>
      <c r="I5872" s="135" t="n">
        <f aca="false">$G5872*'Analyse capacite'!$C$9</f>
        <v>0</v>
      </c>
      <c r="J5872" s="135" t="n">
        <f aca="false">$G5872*'Analyse capacite'!$D$9</f>
        <v>0</v>
      </c>
      <c r="K5872" s="135" t="n">
        <f aca="false">$G5872*'Analyse capacite'!$E$9</f>
        <v>0</v>
      </c>
    </row>
    <row r="5873" customFormat="false" ht="15" hidden="false" customHeight="false" outlineLevel="0" collapsed="false">
      <c r="B5873" s="130" t="n">
        <v>2027</v>
      </c>
      <c r="C5873" s="131" t="s">
        <v>251</v>
      </c>
      <c r="D5873" s="132" t="n">
        <v>46641</v>
      </c>
      <c r="E5873" s="131" t="s">
        <v>12</v>
      </c>
      <c r="F5873" s="133" t="s">
        <v>11</v>
      </c>
      <c r="G5873" s="134" t="n">
        <f aca="false">LEN('Saisie programme'!$I$208)+SUMIFS('Vols additionnels'!$E$7:$E$66,'Vols additionnels'!$C$7:$C$66,$E5873,'Vols additionnels'!$D$7:$D$66,$F5873,'Vols additionnels'!$B$7:$B$66,$D5873)</f>
        <v>1</v>
      </c>
      <c r="H5873" s="135" t="n">
        <f aca="false">$G5873*'Analyse capacite'!$F$7</f>
        <v>438</v>
      </c>
      <c r="I5873" s="135" t="n">
        <f aca="false">$G5873*'Analyse capacite'!$C$7</f>
        <v>14</v>
      </c>
      <c r="J5873" s="135" t="n">
        <f aca="false">$G5873*'Analyse capacite'!$D$7</f>
        <v>40</v>
      </c>
      <c r="K5873" s="135" t="n">
        <f aca="false">$G5873*'Analyse capacite'!$E$7</f>
        <v>384</v>
      </c>
    </row>
    <row r="5874" customFormat="false" ht="15" hidden="false" customHeight="false" outlineLevel="0" collapsed="false">
      <c r="B5874" s="130" t="n">
        <v>2027</v>
      </c>
      <c r="C5874" s="131" t="s">
        <v>251</v>
      </c>
      <c r="D5874" s="132" t="n">
        <v>46641</v>
      </c>
      <c r="E5874" s="131" t="s">
        <v>12</v>
      </c>
      <c r="F5874" s="133" t="s">
        <v>19</v>
      </c>
      <c r="G5874" s="134" t="n">
        <f aca="false">LEN('Saisie programme'!$I$209)+SUMIFS('Vols additionnels'!$E$7:$E$66,'Vols additionnels'!$C$7:$C$66,$E5874,'Vols additionnels'!$D$7:$D$66,$F5874,'Vols additionnels'!$B$7:$B$66,$D5874)</f>
        <v>0</v>
      </c>
      <c r="H5874" s="135" t="n">
        <f aca="false">$G5874*'Analyse capacite'!$F$8</f>
        <v>0</v>
      </c>
      <c r="I5874" s="135" t="n">
        <f aca="false">$G5874*'Analyse capacite'!$C$8</f>
        <v>0</v>
      </c>
      <c r="J5874" s="135" t="n">
        <f aca="false">$G5874*'Analyse capacite'!$D$8</f>
        <v>0</v>
      </c>
      <c r="K5874" s="135" t="n">
        <f aca="false">$G5874*'Analyse capacite'!$E$8</f>
        <v>0</v>
      </c>
    </row>
    <row r="5875" customFormat="false" ht="15" hidden="false" customHeight="false" outlineLevel="0" collapsed="false">
      <c r="B5875" s="130" t="n">
        <v>2027</v>
      </c>
      <c r="C5875" s="131" t="s">
        <v>251</v>
      </c>
      <c r="D5875" s="132" t="n">
        <v>46641</v>
      </c>
      <c r="E5875" s="131" t="s">
        <v>12</v>
      </c>
      <c r="F5875" s="133" t="s">
        <v>24</v>
      </c>
      <c r="G5875" s="134" t="n">
        <f aca="false">LEN('Saisie programme'!$I$210)+SUMIFS('Vols additionnels'!$E$7:$E$66,'Vols additionnels'!$C$7:$C$66,$E5875,'Vols additionnels'!$D$7:$D$66,$F5875,'Vols additionnels'!$B$7:$B$66,$D5875)</f>
        <v>0</v>
      </c>
      <c r="H5875" s="135" t="n">
        <f aca="false">$G5875*'Analyse capacite'!$F$9</f>
        <v>0</v>
      </c>
      <c r="I5875" s="135" t="n">
        <f aca="false">$G5875*'Analyse capacite'!$C$9</f>
        <v>0</v>
      </c>
      <c r="J5875" s="135" t="n">
        <f aca="false">$G5875*'Analyse capacite'!$D$9</f>
        <v>0</v>
      </c>
      <c r="K5875" s="135" t="n">
        <f aca="false">$G5875*'Analyse capacite'!$E$9</f>
        <v>0</v>
      </c>
    </row>
    <row r="5876" customFormat="false" ht="15" hidden="false" customHeight="false" outlineLevel="0" collapsed="false">
      <c r="B5876" s="130" t="n">
        <v>2027</v>
      </c>
      <c r="C5876" s="131" t="s">
        <v>251</v>
      </c>
      <c r="D5876" s="132" t="n">
        <v>46641</v>
      </c>
      <c r="E5876" s="131" t="s">
        <v>20</v>
      </c>
      <c r="F5876" s="133" t="s">
        <v>11</v>
      </c>
      <c r="G5876" s="134" t="n">
        <f aca="false">LEN('Saisie programme'!$I$211)+SUMIFS('Vols additionnels'!$E$7:$E$66,'Vols additionnels'!$C$7:$C$66,$E5876,'Vols additionnels'!$D$7:$D$66,$F5876,'Vols additionnels'!$B$7:$B$66,$D5876)</f>
        <v>0</v>
      </c>
      <c r="H5876" s="135" t="n">
        <f aca="false">$G5876*'Analyse capacite'!$F$7</f>
        <v>0</v>
      </c>
      <c r="I5876" s="135" t="n">
        <f aca="false">$G5876*'Analyse capacite'!$C$7</f>
        <v>0</v>
      </c>
      <c r="J5876" s="135" t="n">
        <f aca="false">$G5876*'Analyse capacite'!$D$7</f>
        <v>0</v>
      </c>
      <c r="K5876" s="135" t="n">
        <f aca="false">$G5876*'Analyse capacite'!$E$7</f>
        <v>0</v>
      </c>
    </row>
    <row r="5877" customFormat="false" ht="15" hidden="false" customHeight="false" outlineLevel="0" collapsed="false">
      <c r="B5877" s="130" t="n">
        <v>2027</v>
      </c>
      <c r="C5877" s="131" t="s">
        <v>251</v>
      </c>
      <c r="D5877" s="132" t="n">
        <v>46641</v>
      </c>
      <c r="E5877" s="131" t="s">
        <v>20</v>
      </c>
      <c r="F5877" s="133" t="s">
        <v>19</v>
      </c>
      <c r="G5877" s="134" t="n">
        <f aca="false">LEN('Saisie programme'!$I$212)+SUMIFS('Vols additionnels'!$E$7:$E$66,'Vols additionnels'!$C$7:$C$66,$E5877,'Vols additionnels'!$D$7:$D$66,$F5877,'Vols additionnels'!$B$7:$B$66,$D5877)</f>
        <v>0</v>
      </c>
      <c r="H5877" s="135" t="n">
        <f aca="false">$G5877*'Analyse capacite'!$F$8</f>
        <v>0</v>
      </c>
      <c r="I5877" s="135" t="n">
        <f aca="false">$G5877*'Analyse capacite'!$C$8</f>
        <v>0</v>
      </c>
      <c r="J5877" s="135" t="n">
        <f aca="false">$G5877*'Analyse capacite'!$D$8</f>
        <v>0</v>
      </c>
      <c r="K5877" s="135" t="n">
        <f aca="false">$G5877*'Analyse capacite'!$E$8</f>
        <v>0</v>
      </c>
    </row>
    <row r="5878" customFormat="false" ht="15" hidden="false" customHeight="false" outlineLevel="0" collapsed="false">
      <c r="B5878" s="130" t="n">
        <v>2027</v>
      </c>
      <c r="C5878" s="131" t="s">
        <v>251</v>
      </c>
      <c r="D5878" s="132" t="n">
        <v>46641</v>
      </c>
      <c r="E5878" s="131" t="s">
        <v>20</v>
      </c>
      <c r="F5878" s="133" t="s">
        <v>24</v>
      </c>
      <c r="G5878" s="134" t="n">
        <f aca="false">LEN('Saisie programme'!$I$213)+SUMIFS('Vols additionnels'!$E$7:$E$66,'Vols additionnels'!$C$7:$C$66,$E5878,'Vols additionnels'!$D$7:$D$66,$F5878,'Vols additionnels'!$B$7:$B$66,$D5878)</f>
        <v>0</v>
      </c>
      <c r="H5878" s="135" t="n">
        <f aca="false">$G5878*'Analyse capacite'!$F$9</f>
        <v>0</v>
      </c>
      <c r="I5878" s="135" t="n">
        <f aca="false">$G5878*'Analyse capacite'!$C$9</f>
        <v>0</v>
      </c>
      <c r="J5878" s="135" t="n">
        <f aca="false">$G5878*'Analyse capacite'!$D$9</f>
        <v>0</v>
      </c>
      <c r="K5878" s="135" t="n">
        <f aca="false">$G5878*'Analyse capacite'!$E$9</f>
        <v>0</v>
      </c>
    </row>
    <row r="5879" customFormat="false" ht="15" hidden="false" customHeight="false" outlineLevel="0" collapsed="false">
      <c r="B5879" s="130" t="n">
        <v>2027</v>
      </c>
      <c r="C5879" s="131" t="s">
        <v>251</v>
      </c>
      <c r="D5879" s="132" t="n">
        <v>46641</v>
      </c>
      <c r="E5879" s="131" t="s">
        <v>25</v>
      </c>
      <c r="F5879" s="133" t="s">
        <v>11</v>
      </c>
      <c r="G5879" s="134" t="n">
        <f aca="false">LEN('Saisie programme'!$I$214)+SUMIFS('Vols additionnels'!$E$7:$E$66,'Vols additionnels'!$C$7:$C$66,$E5879,'Vols additionnels'!$D$7:$D$66,$F5879,'Vols additionnels'!$B$7:$B$66,$D5879)</f>
        <v>0</v>
      </c>
      <c r="H5879" s="135" t="n">
        <f aca="false">$G5879*'Analyse capacite'!$F$7</f>
        <v>0</v>
      </c>
      <c r="I5879" s="135" t="n">
        <f aca="false">$G5879*'Analyse capacite'!$C$7</f>
        <v>0</v>
      </c>
      <c r="J5879" s="135" t="n">
        <f aca="false">$G5879*'Analyse capacite'!$D$7</f>
        <v>0</v>
      </c>
      <c r="K5879" s="135" t="n">
        <f aca="false">$G5879*'Analyse capacite'!$E$7</f>
        <v>0</v>
      </c>
    </row>
    <row r="5880" customFormat="false" ht="15" hidden="false" customHeight="false" outlineLevel="0" collapsed="false">
      <c r="B5880" s="130" t="n">
        <v>2027</v>
      </c>
      <c r="C5880" s="131" t="s">
        <v>251</v>
      </c>
      <c r="D5880" s="132" t="n">
        <v>46641</v>
      </c>
      <c r="E5880" s="131" t="s">
        <v>25</v>
      </c>
      <c r="F5880" s="133" t="s">
        <v>19</v>
      </c>
      <c r="G5880" s="134" t="n">
        <f aca="false">LEN('Saisie programme'!$I$215)+SUMIFS('Vols additionnels'!$E$7:$E$66,'Vols additionnels'!$C$7:$C$66,$E5880,'Vols additionnels'!$D$7:$D$66,$F5880,'Vols additionnels'!$B$7:$B$66,$D5880)</f>
        <v>1</v>
      </c>
      <c r="H5880" s="135" t="n">
        <f aca="false">$G5880*'Analyse capacite'!$F$8</f>
        <v>262</v>
      </c>
      <c r="I5880" s="135" t="n">
        <f aca="false">$G5880*'Analyse capacite'!$C$8</f>
        <v>18</v>
      </c>
      <c r="J5880" s="135" t="n">
        <f aca="false">$G5880*'Analyse capacite'!$D$8</f>
        <v>0</v>
      </c>
      <c r="K5880" s="135" t="n">
        <f aca="false">$G5880*'Analyse capacite'!$E$8</f>
        <v>244</v>
      </c>
    </row>
    <row r="5881" customFormat="false" ht="15" hidden="false" customHeight="false" outlineLevel="0" collapsed="false">
      <c r="B5881" s="130" t="n">
        <v>2027</v>
      </c>
      <c r="C5881" s="131" t="s">
        <v>251</v>
      </c>
      <c r="D5881" s="132" t="n">
        <v>46641</v>
      </c>
      <c r="E5881" s="131" t="s">
        <v>25</v>
      </c>
      <c r="F5881" s="133" t="s">
        <v>24</v>
      </c>
      <c r="G5881" s="134" t="n">
        <f aca="false">LEN('Saisie programme'!$I$216)+SUMIFS('Vols additionnels'!$E$7:$E$66,'Vols additionnels'!$C$7:$C$66,$E5881,'Vols additionnels'!$D$7:$D$66,$F5881,'Vols additionnels'!$B$7:$B$66,$D5881)</f>
        <v>0</v>
      </c>
      <c r="H5881" s="135" t="n">
        <f aca="false">$G5881*'Analyse capacite'!$F$9</f>
        <v>0</v>
      </c>
      <c r="I5881" s="135" t="n">
        <f aca="false">$G5881*'Analyse capacite'!$C$9</f>
        <v>0</v>
      </c>
      <c r="J5881" s="135" t="n">
        <f aca="false">$G5881*'Analyse capacite'!$D$9</f>
        <v>0</v>
      </c>
      <c r="K5881" s="135" t="n">
        <f aca="false">$G5881*'Analyse capacite'!$E$9</f>
        <v>0</v>
      </c>
    </row>
    <row r="5882" customFormat="false" ht="15" hidden="false" customHeight="false" outlineLevel="0" collapsed="false">
      <c r="B5882" s="130" t="n">
        <v>2027</v>
      </c>
      <c r="C5882" s="131" t="s">
        <v>251</v>
      </c>
      <c r="D5882" s="132" t="n">
        <v>46641</v>
      </c>
      <c r="E5882" s="131" t="s">
        <v>36</v>
      </c>
      <c r="F5882" s="133" t="s">
        <v>11</v>
      </c>
      <c r="G5882" s="134" t="n">
        <f aca="false">LEN('Saisie programme'!$I$217)+SUMIFS('Vols additionnels'!$E$7:$E$66,'Vols additionnels'!$C$7:$C$66,$E5882,'Vols additionnels'!$D$7:$D$66,$F5882,'Vols additionnels'!$B$7:$B$66,$D5882)</f>
        <v>0</v>
      </c>
      <c r="H5882" s="135" t="n">
        <f aca="false">$G5882*'Analyse capacite'!$F$7</f>
        <v>0</v>
      </c>
      <c r="I5882" s="135" t="n">
        <f aca="false">$G5882*'Analyse capacite'!$C$7</f>
        <v>0</v>
      </c>
      <c r="J5882" s="135" t="n">
        <f aca="false">$G5882*'Analyse capacite'!$D$7</f>
        <v>0</v>
      </c>
      <c r="K5882" s="135" t="n">
        <f aca="false">$G5882*'Analyse capacite'!$E$7</f>
        <v>0</v>
      </c>
    </row>
    <row r="5883" customFormat="false" ht="15" hidden="false" customHeight="false" outlineLevel="0" collapsed="false">
      <c r="B5883" s="130" t="n">
        <v>2027</v>
      </c>
      <c r="C5883" s="131" t="s">
        <v>251</v>
      </c>
      <c r="D5883" s="132" t="n">
        <v>46641</v>
      </c>
      <c r="E5883" s="131" t="s">
        <v>36</v>
      </c>
      <c r="F5883" s="133" t="s">
        <v>19</v>
      </c>
      <c r="G5883" s="134" t="n">
        <f aca="false">LEN('Saisie programme'!$I$218)+SUMIFS('Vols additionnels'!$E$7:$E$66,'Vols additionnels'!$C$7:$C$66,$E5883,'Vols additionnels'!$D$7:$D$66,$F5883,'Vols additionnels'!$B$7:$B$66,$D5883)</f>
        <v>0</v>
      </c>
      <c r="H5883" s="135" t="n">
        <f aca="false">$G5883*'Analyse capacite'!$F$8</f>
        <v>0</v>
      </c>
      <c r="I5883" s="135" t="n">
        <f aca="false">$G5883*'Analyse capacite'!$C$8</f>
        <v>0</v>
      </c>
      <c r="J5883" s="135" t="n">
        <f aca="false">$G5883*'Analyse capacite'!$D$8</f>
        <v>0</v>
      </c>
      <c r="K5883" s="135" t="n">
        <f aca="false">$G5883*'Analyse capacite'!$E$8</f>
        <v>0</v>
      </c>
    </row>
    <row r="5884" customFormat="false" ht="15" hidden="false" customHeight="false" outlineLevel="0" collapsed="false">
      <c r="B5884" s="130" t="n">
        <v>2027</v>
      </c>
      <c r="C5884" s="131" t="s">
        <v>251</v>
      </c>
      <c r="D5884" s="132" t="n">
        <v>46641</v>
      </c>
      <c r="E5884" s="131" t="s">
        <v>36</v>
      </c>
      <c r="F5884" s="133" t="s">
        <v>24</v>
      </c>
      <c r="G5884" s="134" t="n">
        <f aca="false">LEN('Saisie programme'!$I$219)+SUMIFS('Vols additionnels'!$E$7:$E$66,'Vols additionnels'!$C$7:$C$66,$E5884,'Vols additionnels'!$D$7:$D$66,$F5884,'Vols additionnels'!$B$7:$B$66,$D5884)</f>
        <v>0</v>
      </c>
      <c r="H5884" s="135" t="n">
        <f aca="false">$G5884*'Analyse capacite'!$F$9</f>
        <v>0</v>
      </c>
      <c r="I5884" s="135" t="n">
        <f aca="false">$G5884*'Analyse capacite'!$C$9</f>
        <v>0</v>
      </c>
      <c r="J5884" s="135" t="n">
        <f aca="false">$G5884*'Analyse capacite'!$D$9</f>
        <v>0</v>
      </c>
      <c r="K5884" s="135" t="n">
        <f aca="false">$G5884*'Analyse capacite'!$E$9</f>
        <v>0</v>
      </c>
    </row>
    <row r="5885" customFormat="false" ht="15" hidden="false" customHeight="false" outlineLevel="0" collapsed="false">
      <c r="B5885" s="130" t="n">
        <v>2027</v>
      </c>
      <c r="C5885" s="131" t="s">
        <v>251</v>
      </c>
      <c r="D5885" s="132" t="n">
        <v>46641</v>
      </c>
      <c r="E5885" s="131" t="s">
        <v>40</v>
      </c>
      <c r="F5885" s="133" t="s">
        <v>11</v>
      </c>
      <c r="G5885" s="134" t="n">
        <f aca="false">LEN('Saisie programme'!$I$220)+SUMIFS('Vols additionnels'!$E$7:$E$66,'Vols additionnels'!$C$7:$C$66,$E5885,'Vols additionnels'!$D$7:$D$66,$F5885,'Vols additionnels'!$B$7:$B$66,$D5885)</f>
        <v>0</v>
      </c>
      <c r="H5885" s="135" t="n">
        <f aca="false">$G5885*'Analyse capacite'!$F$7</f>
        <v>0</v>
      </c>
      <c r="I5885" s="135" t="n">
        <f aca="false">$G5885*'Analyse capacite'!$C$7</f>
        <v>0</v>
      </c>
      <c r="J5885" s="135" t="n">
        <f aca="false">$G5885*'Analyse capacite'!$D$7</f>
        <v>0</v>
      </c>
      <c r="K5885" s="135" t="n">
        <f aca="false">$G5885*'Analyse capacite'!$E$7</f>
        <v>0</v>
      </c>
    </row>
    <row r="5886" customFormat="false" ht="15" hidden="false" customHeight="false" outlineLevel="0" collapsed="false">
      <c r="B5886" s="130" t="n">
        <v>2027</v>
      </c>
      <c r="C5886" s="131" t="s">
        <v>251</v>
      </c>
      <c r="D5886" s="132" t="n">
        <v>46641</v>
      </c>
      <c r="E5886" s="131" t="s">
        <v>40</v>
      </c>
      <c r="F5886" s="133" t="s">
        <v>19</v>
      </c>
      <c r="G5886" s="134" t="n">
        <f aca="false">LEN('Saisie programme'!$I$221)+SUMIFS('Vols additionnels'!$E$7:$E$66,'Vols additionnels'!$C$7:$C$66,$E5886,'Vols additionnels'!$D$7:$D$66,$F5886,'Vols additionnels'!$B$7:$B$66,$D5886)</f>
        <v>0</v>
      </c>
      <c r="H5886" s="135" t="n">
        <f aca="false">$G5886*'Analyse capacite'!$F$8</f>
        <v>0</v>
      </c>
      <c r="I5886" s="135" t="n">
        <f aca="false">$G5886*'Analyse capacite'!$C$8</f>
        <v>0</v>
      </c>
      <c r="J5886" s="135" t="n">
        <f aca="false">$G5886*'Analyse capacite'!$D$8</f>
        <v>0</v>
      </c>
      <c r="K5886" s="135" t="n">
        <f aca="false">$G5886*'Analyse capacite'!$E$8</f>
        <v>0</v>
      </c>
    </row>
    <row r="5887" customFormat="false" ht="15" hidden="false" customHeight="false" outlineLevel="0" collapsed="false">
      <c r="B5887" s="130" t="n">
        <v>2027</v>
      </c>
      <c r="C5887" s="131" t="s">
        <v>251</v>
      </c>
      <c r="D5887" s="132" t="n">
        <v>46641</v>
      </c>
      <c r="E5887" s="131" t="s">
        <v>40</v>
      </c>
      <c r="F5887" s="133" t="s">
        <v>24</v>
      </c>
      <c r="G5887" s="134" t="n">
        <f aca="false">LEN('Saisie programme'!$I$222)+SUMIFS('Vols additionnels'!$E$7:$E$66,'Vols additionnels'!$C$7:$C$66,$E5887,'Vols additionnels'!$D$7:$D$66,$F5887,'Vols additionnels'!$B$7:$B$66,$D5887)</f>
        <v>0</v>
      </c>
      <c r="H5887" s="135" t="n">
        <f aca="false">$G5887*'Analyse capacite'!$F$9</f>
        <v>0</v>
      </c>
      <c r="I5887" s="135" t="n">
        <f aca="false">$G5887*'Analyse capacite'!$C$9</f>
        <v>0</v>
      </c>
      <c r="J5887" s="135" t="n">
        <f aca="false">$G5887*'Analyse capacite'!$D$9</f>
        <v>0</v>
      </c>
      <c r="K5887" s="135" t="n">
        <f aca="false">$G5887*'Analyse capacite'!$E$9</f>
        <v>0</v>
      </c>
    </row>
    <row r="5888" customFormat="false" ht="15" hidden="false" customHeight="false" outlineLevel="0" collapsed="false">
      <c r="B5888" s="130" t="n">
        <v>2027</v>
      </c>
      <c r="C5888" s="131" t="s">
        <v>251</v>
      </c>
      <c r="D5888" s="132" t="n">
        <v>46641</v>
      </c>
      <c r="E5888" s="131" t="s">
        <v>14</v>
      </c>
      <c r="F5888" s="133" t="s">
        <v>11</v>
      </c>
      <c r="G5888" s="134" t="n">
        <f aca="false">LEN('Saisie programme'!$I$223)+SUMIFS('Vols additionnels'!$E$7:$E$66,'Vols additionnels'!$C$7:$C$66,$E5888,'Vols additionnels'!$D$7:$D$66,$F5888,'Vols additionnels'!$B$7:$B$66,$D5888)</f>
        <v>0</v>
      </c>
      <c r="H5888" s="135" t="n">
        <f aca="false">$G5888*'Analyse capacite'!$F$7</f>
        <v>0</v>
      </c>
      <c r="I5888" s="135" t="n">
        <f aca="false">$G5888*'Analyse capacite'!$C$7</f>
        <v>0</v>
      </c>
      <c r="J5888" s="135" t="n">
        <f aca="false">$G5888*'Analyse capacite'!$D$7</f>
        <v>0</v>
      </c>
      <c r="K5888" s="135" t="n">
        <f aca="false">$G5888*'Analyse capacite'!$E$7</f>
        <v>0</v>
      </c>
    </row>
    <row r="5889" customFormat="false" ht="15" hidden="false" customHeight="false" outlineLevel="0" collapsed="false">
      <c r="B5889" s="130" t="n">
        <v>2027</v>
      </c>
      <c r="C5889" s="131" t="s">
        <v>251</v>
      </c>
      <c r="D5889" s="132" t="n">
        <v>46641</v>
      </c>
      <c r="E5889" s="131" t="s">
        <v>14</v>
      </c>
      <c r="F5889" s="133" t="s">
        <v>19</v>
      </c>
      <c r="G5889" s="134" t="n">
        <f aca="false">LEN('Saisie programme'!$I$224)+SUMIFS('Vols additionnels'!$E$7:$E$66,'Vols additionnels'!$C$7:$C$66,$E5889,'Vols additionnels'!$D$7:$D$66,$F5889,'Vols additionnels'!$B$7:$B$66,$D5889)</f>
        <v>0</v>
      </c>
      <c r="H5889" s="135" t="n">
        <f aca="false">$G5889*'Analyse capacite'!$F$8</f>
        <v>0</v>
      </c>
      <c r="I5889" s="135" t="n">
        <f aca="false">$G5889*'Analyse capacite'!$C$8</f>
        <v>0</v>
      </c>
      <c r="J5889" s="135" t="n">
        <f aca="false">$G5889*'Analyse capacite'!$D$8</f>
        <v>0</v>
      </c>
      <c r="K5889" s="135" t="n">
        <f aca="false">$G5889*'Analyse capacite'!$E$8</f>
        <v>0</v>
      </c>
    </row>
    <row r="5890" customFormat="false" ht="15" hidden="false" customHeight="false" outlineLevel="0" collapsed="false">
      <c r="B5890" s="130" t="n">
        <v>2027</v>
      </c>
      <c r="C5890" s="131" t="s">
        <v>251</v>
      </c>
      <c r="D5890" s="132" t="n">
        <v>46641</v>
      </c>
      <c r="E5890" s="131" t="s">
        <v>14</v>
      </c>
      <c r="F5890" s="133" t="s">
        <v>24</v>
      </c>
      <c r="G5890" s="134" t="n">
        <f aca="false">LEN('Saisie programme'!$I$225)+SUMIFS('Vols additionnels'!$E$7:$E$66,'Vols additionnels'!$C$7:$C$66,$E5890,'Vols additionnels'!$D$7:$D$66,$F5890,'Vols additionnels'!$B$7:$B$66,$D5890)</f>
        <v>1</v>
      </c>
      <c r="H5890" s="135" t="n">
        <f aca="false">$G5890*'Analyse capacite'!$F$9</f>
        <v>174</v>
      </c>
      <c r="I5890" s="135" t="n">
        <f aca="false">$G5890*'Analyse capacite'!$C$9</f>
        <v>0</v>
      </c>
      <c r="J5890" s="135" t="n">
        <f aca="false">$G5890*'Analyse capacite'!$D$9</f>
        <v>12</v>
      </c>
      <c r="K5890" s="135" t="n">
        <f aca="false">$G5890*'Analyse capacite'!$E$9</f>
        <v>162</v>
      </c>
    </row>
    <row r="5891" customFormat="false" ht="15" hidden="false" customHeight="false" outlineLevel="0" collapsed="false">
      <c r="B5891" s="130" t="n">
        <v>2027</v>
      </c>
      <c r="C5891" s="131" t="s">
        <v>251</v>
      </c>
      <c r="D5891" s="132" t="n">
        <v>46641</v>
      </c>
      <c r="E5891" s="131" t="s">
        <v>46</v>
      </c>
      <c r="F5891" s="133" t="s">
        <v>11</v>
      </c>
      <c r="G5891" s="134" t="n">
        <f aca="false">LEN('Saisie programme'!$I$226)+SUMIFS('Vols additionnels'!$E$7:$E$66,'Vols additionnels'!$C$7:$C$66,$E5891,'Vols additionnels'!$D$7:$D$66,$F5891,'Vols additionnels'!$B$7:$B$66,$D5891)</f>
        <v>0</v>
      </c>
      <c r="H5891" s="135" t="n">
        <f aca="false">$G5891*'Analyse capacite'!$F$7</f>
        <v>0</v>
      </c>
      <c r="I5891" s="135" t="n">
        <f aca="false">$G5891*'Analyse capacite'!$C$7</f>
        <v>0</v>
      </c>
      <c r="J5891" s="135" t="n">
        <f aca="false">$G5891*'Analyse capacite'!$D$7</f>
        <v>0</v>
      </c>
      <c r="K5891" s="135" t="n">
        <f aca="false">$G5891*'Analyse capacite'!$E$7</f>
        <v>0</v>
      </c>
    </row>
    <row r="5892" customFormat="false" ht="15" hidden="false" customHeight="false" outlineLevel="0" collapsed="false">
      <c r="B5892" s="130" t="n">
        <v>2027</v>
      </c>
      <c r="C5892" s="131" t="s">
        <v>251</v>
      </c>
      <c r="D5892" s="132" t="n">
        <v>46641</v>
      </c>
      <c r="E5892" s="131" t="s">
        <v>46</v>
      </c>
      <c r="F5892" s="133" t="s">
        <v>19</v>
      </c>
      <c r="G5892" s="134" t="n">
        <f aca="false">LEN('Saisie programme'!$I$227)+SUMIFS('Vols additionnels'!$E$7:$E$66,'Vols additionnels'!$C$7:$C$66,$E5892,'Vols additionnels'!$D$7:$D$66,$F5892,'Vols additionnels'!$B$7:$B$66,$D5892)</f>
        <v>0</v>
      </c>
      <c r="H5892" s="135" t="n">
        <f aca="false">$G5892*'Analyse capacite'!$F$8</f>
        <v>0</v>
      </c>
      <c r="I5892" s="135" t="n">
        <f aca="false">$G5892*'Analyse capacite'!$C$8</f>
        <v>0</v>
      </c>
      <c r="J5892" s="135" t="n">
        <f aca="false">$G5892*'Analyse capacite'!$D$8</f>
        <v>0</v>
      </c>
      <c r="K5892" s="135" t="n">
        <f aca="false">$G5892*'Analyse capacite'!$E$8</f>
        <v>0</v>
      </c>
    </row>
    <row r="5893" customFormat="false" ht="15" hidden="false" customHeight="false" outlineLevel="0" collapsed="false">
      <c r="B5893" s="130" t="n">
        <v>2027</v>
      </c>
      <c r="C5893" s="131" t="s">
        <v>251</v>
      </c>
      <c r="D5893" s="132" t="n">
        <v>46641</v>
      </c>
      <c r="E5893" s="131" t="s">
        <v>46</v>
      </c>
      <c r="F5893" s="133" t="s">
        <v>24</v>
      </c>
      <c r="G5893" s="134" t="n">
        <f aca="false">LEN('Saisie programme'!$I$228)+SUMIFS('Vols additionnels'!$E$7:$E$66,'Vols additionnels'!$C$7:$C$66,$E5893,'Vols additionnels'!$D$7:$D$66,$F5893,'Vols additionnels'!$B$7:$B$66,$D5893)</f>
        <v>1</v>
      </c>
      <c r="H5893" s="135" t="n">
        <f aca="false">$G5893*'Analyse capacite'!$F$9</f>
        <v>174</v>
      </c>
      <c r="I5893" s="135" t="n">
        <f aca="false">$G5893*'Analyse capacite'!$C$9</f>
        <v>0</v>
      </c>
      <c r="J5893" s="135" t="n">
        <f aca="false">$G5893*'Analyse capacite'!$D$9</f>
        <v>12</v>
      </c>
      <c r="K5893" s="135" t="n">
        <f aca="false">$G5893*'Analyse capacite'!$E$9</f>
        <v>162</v>
      </c>
    </row>
    <row r="5894" customFormat="false" ht="15" hidden="false" customHeight="false" outlineLevel="0" collapsed="false">
      <c r="B5894" s="130" t="n">
        <v>2027</v>
      </c>
      <c r="C5894" s="131" t="s">
        <v>251</v>
      </c>
      <c r="D5894" s="132" t="n">
        <v>46641</v>
      </c>
      <c r="E5894" s="131" t="s">
        <v>49</v>
      </c>
      <c r="F5894" s="133" t="s">
        <v>11</v>
      </c>
      <c r="G5894" s="134" t="n">
        <f aca="false">LEN('Saisie programme'!$I$229)+SUMIFS('Vols additionnels'!$E$7:$E$66,'Vols additionnels'!$C$7:$C$66,$E5894,'Vols additionnels'!$D$7:$D$66,$F5894,'Vols additionnels'!$B$7:$B$66,$D5894)</f>
        <v>0</v>
      </c>
      <c r="H5894" s="135" t="n">
        <f aca="false">$G5894*'Analyse capacite'!$F$7</f>
        <v>0</v>
      </c>
      <c r="I5894" s="135" t="n">
        <f aca="false">$G5894*'Analyse capacite'!$C$7</f>
        <v>0</v>
      </c>
      <c r="J5894" s="135" t="n">
        <f aca="false">$G5894*'Analyse capacite'!$D$7</f>
        <v>0</v>
      </c>
      <c r="K5894" s="135" t="n">
        <f aca="false">$G5894*'Analyse capacite'!$E$7</f>
        <v>0</v>
      </c>
    </row>
    <row r="5895" customFormat="false" ht="15" hidden="false" customHeight="false" outlineLevel="0" collapsed="false">
      <c r="B5895" s="130" t="n">
        <v>2027</v>
      </c>
      <c r="C5895" s="131" t="s">
        <v>251</v>
      </c>
      <c r="D5895" s="132" t="n">
        <v>46641</v>
      </c>
      <c r="E5895" s="131" t="s">
        <v>49</v>
      </c>
      <c r="F5895" s="133" t="s">
        <v>19</v>
      </c>
      <c r="G5895" s="134" t="n">
        <f aca="false">LEN('Saisie programme'!$I$230)+SUMIFS('Vols additionnels'!$E$7:$E$66,'Vols additionnels'!$C$7:$C$66,$E5895,'Vols additionnels'!$D$7:$D$66,$F5895,'Vols additionnels'!$B$7:$B$66,$D5895)</f>
        <v>0</v>
      </c>
      <c r="H5895" s="135" t="n">
        <f aca="false">$G5895*'Analyse capacite'!$F$8</f>
        <v>0</v>
      </c>
      <c r="I5895" s="135" t="n">
        <f aca="false">$G5895*'Analyse capacite'!$C$8</f>
        <v>0</v>
      </c>
      <c r="J5895" s="135" t="n">
        <f aca="false">$G5895*'Analyse capacite'!$D$8</f>
        <v>0</v>
      </c>
      <c r="K5895" s="135" t="n">
        <f aca="false">$G5895*'Analyse capacite'!$E$8</f>
        <v>0</v>
      </c>
    </row>
    <row r="5896" customFormat="false" ht="15" hidden="false" customHeight="false" outlineLevel="0" collapsed="false">
      <c r="B5896" s="130" t="n">
        <v>2027</v>
      </c>
      <c r="C5896" s="131" t="s">
        <v>251</v>
      </c>
      <c r="D5896" s="132" t="n">
        <v>46641</v>
      </c>
      <c r="E5896" s="131" t="s">
        <v>49</v>
      </c>
      <c r="F5896" s="133" t="s">
        <v>24</v>
      </c>
      <c r="G5896" s="134" t="n">
        <f aca="false">LEN('Saisie programme'!$I$231)+SUMIFS('Vols additionnels'!$E$7:$E$66,'Vols additionnels'!$C$7:$C$66,$E5896,'Vols additionnels'!$D$7:$D$66,$F5896,'Vols additionnels'!$B$7:$B$66,$D5896)</f>
        <v>0</v>
      </c>
      <c r="H5896" s="135" t="n">
        <f aca="false">$G5896*'Analyse capacite'!$F$9</f>
        <v>0</v>
      </c>
      <c r="I5896" s="135" t="n">
        <f aca="false">$G5896*'Analyse capacite'!$C$9</f>
        <v>0</v>
      </c>
      <c r="J5896" s="135" t="n">
        <f aca="false">$G5896*'Analyse capacite'!$D$9</f>
        <v>0</v>
      </c>
      <c r="K5896" s="135" t="n">
        <f aca="false">$G5896*'Analyse capacite'!$E$9</f>
        <v>0</v>
      </c>
    </row>
    <row r="5897" customFormat="false" ht="15" hidden="false" customHeight="false" outlineLevel="0" collapsed="false">
      <c r="B5897" s="130" t="n">
        <v>2027</v>
      </c>
      <c r="C5897" s="131" t="s">
        <v>251</v>
      </c>
      <c r="D5897" s="132" t="n">
        <v>46641</v>
      </c>
      <c r="E5897" s="131" t="s">
        <v>53</v>
      </c>
      <c r="F5897" s="133" t="s">
        <v>11</v>
      </c>
      <c r="G5897" s="134" t="n">
        <f aca="false">LEN('Saisie programme'!$I$232)+SUMIFS('Vols additionnels'!$E$7:$E$66,'Vols additionnels'!$C$7:$C$66,$E5897,'Vols additionnels'!$D$7:$D$66,$F5897,'Vols additionnels'!$B$7:$B$66,$D5897)</f>
        <v>0</v>
      </c>
      <c r="H5897" s="135" t="n">
        <f aca="false">$G5897*'Analyse capacite'!$F$7</f>
        <v>0</v>
      </c>
      <c r="I5897" s="135" t="n">
        <f aca="false">$G5897*'Analyse capacite'!$C$7</f>
        <v>0</v>
      </c>
      <c r="J5897" s="135" t="n">
        <f aca="false">$G5897*'Analyse capacite'!$D$7</f>
        <v>0</v>
      </c>
      <c r="K5897" s="135" t="n">
        <f aca="false">$G5897*'Analyse capacite'!$E$7</f>
        <v>0</v>
      </c>
    </row>
    <row r="5898" customFormat="false" ht="15" hidden="false" customHeight="false" outlineLevel="0" collapsed="false">
      <c r="B5898" s="130" t="n">
        <v>2027</v>
      </c>
      <c r="C5898" s="131" t="s">
        <v>251</v>
      </c>
      <c r="D5898" s="132" t="n">
        <v>46641</v>
      </c>
      <c r="E5898" s="131" t="s">
        <v>53</v>
      </c>
      <c r="F5898" s="133" t="s">
        <v>19</v>
      </c>
      <c r="G5898" s="134" t="n">
        <f aca="false">LEN('Saisie programme'!$I$233)+SUMIFS('Vols additionnels'!$E$7:$E$66,'Vols additionnels'!$C$7:$C$66,$E5898,'Vols additionnels'!$D$7:$D$66,$F5898,'Vols additionnels'!$B$7:$B$66,$D5898)</f>
        <v>0</v>
      </c>
      <c r="H5898" s="135" t="n">
        <f aca="false">$G5898*'Analyse capacite'!$F$8</f>
        <v>0</v>
      </c>
      <c r="I5898" s="135" t="n">
        <f aca="false">$G5898*'Analyse capacite'!$C$8</f>
        <v>0</v>
      </c>
      <c r="J5898" s="135" t="n">
        <f aca="false">$G5898*'Analyse capacite'!$D$8</f>
        <v>0</v>
      </c>
      <c r="K5898" s="135" t="n">
        <f aca="false">$G5898*'Analyse capacite'!$E$8</f>
        <v>0</v>
      </c>
    </row>
    <row r="5899" customFormat="false" ht="15" hidden="false" customHeight="false" outlineLevel="0" collapsed="false">
      <c r="B5899" s="130" t="n">
        <v>2027</v>
      </c>
      <c r="C5899" s="131" t="s">
        <v>251</v>
      </c>
      <c r="D5899" s="132" t="n">
        <v>46641</v>
      </c>
      <c r="E5899" s="131" t="s">
        <v>53</v>
      </c>
      <c r="F5899" s="133" t="s">
        <v>24</v>
      </c>
      <c r="G5899" s="134" t="n">
        <f aca="false">LEN('Saisie programme'!$I$234)+SUMIFS('Vols additionnels'!$E$7:$E$66,'Vols additionnels'!$C$7:$C$66,$E5899,'Vols additionnels'!$D$7:$D$66,$F5899,'Vols additionnels'!$B$7:$B$66,$D5899)</f>
        <v>0</v>
      </c>
      <c r="H5899" s="135" t="n">
        <f aca="false">$G5899*'Analyse capacite'!$F$9</f>
        <v>0</v>
      </c>
      <c r="I5899" s="135" t="n">
        <f aca="false">$G5899*'Analyse capacite'!$C$9</f>
        <v>0</v>
      </c>
      <c r="J5899" s="135" t="n">
        <f aca="false">$G5899*'Analyse capacite'!$D$9</f>
        <v>0</v>
      </c>
      <c r="K5899" s="135" t="n">
        <f aca="false">$G5899*'Analyse capacite'!$E$9</f>
        <v>0</v>
      </c>
    </row>
    <row r="5900" customFormat="false" ht="15" hidden="false" customHeight="false" outlineLevel="0" collapsed="false">
      <c r="B5900" s="130" t="n">
        <v>2027</v>
      </c>
      <c r="C5900" s="131" t="s">
        <v>251</v>
      </c>
      <c r="D5900" s="132" t="n">
        <v>46641</v>
      </c>
      <c r="E5900" s="131" t="s">
        <v>56</v>
      </c>
      <c r="F5900" s="133" t="s">
        <v>11</v>
      </c>
      <c r="G5900" s="134" t="n">
        <f aca="false">LEN('Saisie programme'!$I$235)+SUMIFS('Vols additionnels'!$E$7:$E$66,'Vols additionnels'!$C$7:$C$66,$E5900,'Vols additionnels'!$D$7:$D$66,$F5900,'Vols additionnels'!$B$7:$B$66,$D5900)</f>
        <v>0</v>
      </c>
      <c r="H5900" s="135" t="n">
        <f aca="false">$G5900*'Analyse capacite'!$F$7</f>
        <v>0</v>
      </c>
      <c r="I5900" s="135" t="n">
        <f aca="false">$G5900*'Analyse capacite'!$C$7</f>
        <v>0</v>
      </c>
      <c r="J5900" s="135" t="n">
        <f aca="false">$G5900*'Analyse capacite'!$D$7</f>
        <v>0</v>
      </c>
      <c r="K5900" s="135" t="n">
        <f aca="false">$G5900*'Analyse capacite'!$E$7</f>
        <v>0</v>
      </c>
    </row>
    <row r="5901" customFormat="false" ht="15" hidden="false" customHeight="false" outlineLevel="0" collapsed="false">
      <c r="B5901" s="130" t="n">
        <v>2027</v>
      </c>
      <c r="C5901" s="131" t="s">
        <v>251</v>
      </c>
      <c r="D5901" s="132" t="n">
        <v>46641</v>
      </c>
      <c r="E5901" s="131" t="s">
        <v>56</v>
      </c>
      <c r="F5901" s="133" t="s">
        <v>19</v>
      </c>
      <c r="G5901" s="134" t="n">
        <f aca="false">LEN('Saisie programme'!$I$236)+SUMIFS('Vols additionnels'!$E$7:$E$66,'Vols additionnels'!$C$7:$C$66,$E5901,'Vols additionnels'!$D$7:$D$66,$F5901,'Vols additionnels'!$B$7:$B$66,$D5901)</f>
        <v>0</v>
      </c>
      <c r="H5901" s="135" t="n">
        <f aca="false">$G5901*'Analyse capacite'!$F$8</f>
        <v>0</v>
      </c>
      <c r="I5901" s="135" t="n">
        <f aca="false">$G5901*'Analyse capacite'!$C$8</f>
        <v>0</v>
      </c>
      <c r="J5901" s="135" t="n">
        <f aca="false">$G5901*'Analyse capacite'!$D$8</f>
        <v>0</v>
      </c>
      <c r="K5901" s="135" t="n">
        <f aca="false">$G5901*'Analyse capacite'!$E$8</f>
        <v>0</v>
      </c>
    </row>
    <row r="5902" customFormat="false" ht="15" hidden="false" customHeight="false" outlineLevel="0" collapsed="false">
      <c r="B5902" s="130" t="n">
        <v>2027</v>
      </c>
      <c r="C5902" s="131" t="s">
        <v>251</v>
      </c>
      <c r="D5902" s="132" t="n">
        <v>46641</v>
      </c>
      <c r="E5902" s="131" t="s">
        <v>56</v>
      </c>
      <c r="F5902" s="133" t="s">
        <v>24</v>
      </c>
      <c r="G5902" s="134" t="n">
        <f aca="false">LEN('Saisie programme'!$I$237)+SUMIFS('Vols additionnels'!$E$7:$E$66,'Vols additionnels'!$C$7:$C$66,$E5902,'Vols additionnels'!$D$7:$D$66,$F5902,'Vols additionnels'!$B$7:$B$66,$D5902)</f>
        <v>1</v>
      </c>
      <c r="H5902" s="135" t="n">
        <f aca="false">$G5902*'Analyse capacite'!$F$9</f>
        <v>174</v>
      </c>
      <c r="I5902" s="135" t="n">
        <f aca="false">$G5902*'Analyse capacite'!$C$9</f>
        <v>0</v>
      </c>
      <c r="J5902" s="135" t="n">
        <f aca="false">$G5902*'Analyse capacite'!$D$9</f>
        <v>12</v>
      </c>
      <c r="K5902" s="135" t="n">
        <f aca="false">$G5902*'Analyse capacite'!$E$9</f>
        <v>162</v>
      </c>
    </row>
    <row r="5903" customFormat="false" ht="15" hidden="false" customHeight="false" outlineLevel="0" collapsed="false">
      <c r="B5903" s="130" t="n">
        <v>2027</v>
      </c>
      <c r="C5903" s="131" t="s">
        <v>251</v>
      </c>
      <c r="D5903" s="132" t="n">
        <v>46641</v>
      </c>
      <c r="E5903" s="131" t="s">
        <v>59</v>
      </c>
      <c r="F5903" s="133" t="s">
        <v>11</v>
      </c>
      <c r="G5903" s="134" t="n">
        <f aca="false">LEN('Saisie programme'!$I$238)+SUMIFS('Vols additionnels'!$E$7:$E$66,'Vols additionnels'!$C$7:$C$66,$E5903,'Vols additionnels'!$D$7:$D$66,$F5903,'Vols additionnels'!$B$7:$B$66,$D5903)</f>
        <v>0</v>
      </c>
      <c r="H5903" s="135" t="n">
        <f aca="false">$G5903*'Analyse capacite'!$F$7</f>
        <v>0</v>
      </c>
      <c r="I5903" s="135" t="n">
        <f aca="false">$G5903*'Analyse capacite'!$C$7</f>
        <v>0</v>
      </c>
      <c r="J5903" s="135" t="n">
        <f aca="false">$G5903*'Analyse capacite'!$D$7</f>
        <v>0</v>
      </c>
      <c r="K5903" s="135" t="n">
        <f aca="false">$G5903*'Analyse capacite'!$E$7</f>
        <v>0</v>
      </c>
    </row>
    <row r="5904" customFormat="false" ht="15" hidden="false" customHeight="false" outlineLevel="0" collapsed="false">
      <c r="B5904" s="130" t="n">
        <v>2027</v>
      </c>
      <c r="C5904" s="131" t="s">
        <v>251</v>
      </c>
      <c r="D5904" s="132" t="n">
        <v>46641</v>
      </c>
      <c r="E5904" s="131" t="s">
        <v>59</v>
      </c>
      <c r="F5904" s="133" t="s">
        <v>19</v>
      </c>
      <c r="G5904" s="134" t="n">
        <f aca="false">LEN('Saisie programme'!$I$239)+SUMIFS('Vols additionnels'!$E$7:$E$66,'Vols additionnels'!$C$7:$C$66,$E5904,'Vols additionnels'!$D$7:$D$66,$F5904,'Vols additionnels'!$B$7:$B$66,$D5904)</f>
        <v>0</v>
      </c>
      <c r="H5904" s="135" t="n">
        <f aca="false">$G5904*'Analyse capacite'!$F$8</f>
        <v>0</v>
      </c>
      <c r="I5904" s="135" t="n">
        <f aca="false">$G5904*'Analyse capacite'!$C$8</f>
        <v>0</v>
      </c>
      <c r="J5904" s="135" t="n">
        <f aca="false">$G5904*'Analyse capacite'!$D$8</f>
        <v>0</v>
      </c>
      <c r="K5904" s="135" t="n">
        <f aca="false">$G5904*'Analyse capacite'!$E$8</f>
        <v>0</v>
      </c>
    </row>
    <row r="5905" customFormat="false" ht="15" hidden="false" customHeight="false" outlineLevel="0" collapsed="false">
      <c r="B5905" s="130" t="n">
        <v>2027</v>
      </c>
      <c r="C5905" s="131" t="s">
        <v>251</v>
      </c>
      <c r="D5905" s="132" t="n">
        <v>46641</v>
      </c>
      <c r="E5905" s="131" t="s">
        <v>59</v>
      </c>
      <c r="F5905" s="133" t="s">
        <v>24</v>
      </c>
      <c r="G5905" s="134" t="n">
        <f aca="false">LEN('Saisie programme'!$I$240)+SUMIFS('Vols additionnels'!$E$7:$E$66,'Vols additionnels'!$C$7:$C$66,$E5905,'Vols additionnels'!$D$7:$D$66,$F5905,'Vols additionnels'!$B$7:$B$66,$D5905)</f>
        <v>1</v>
      </c>
      <c r="H5905" s="135" t="n">
        <f aca="false">$G5905*'Analyse capacite'!$F$9</f>
        <v>174</v>
      </c>
      <c r="I5905" s="135" t="n">
        <f aca="false">$G5905*'Analyse capacite'!$C$9</f>
        <v>0</v>
      </c>
      <c r="J5905" s="135" t="n">
        <f aca="false">$G5905*'Analyse capacite'!$D$9</f>
        <v>12</v>
      </c>
      <c r="K5905" s="135" t="n">
        <f aca="false">$G5905*'Analyse capacite'!$E$9</f>
        <v>162</v>
      </c>
    </row>
    <row r="5906" customFormat="false" ht="15" hidden="false" customHeight="false" outlineLevel="0" collapsed="false">
      <c r="B5906" s="130" t="n">
        <v>2027</v>
      </c>
      <c r="C5906" s="131" t="s">
        <v>251</v>
      </c>
      <c r="D5906" s="132" t="n">
        <v>46641</v>
      </c>
      <c r="E5906" s="131" t="s">
        <v>62</v>
      </c>
      <c r="F5906" s="133" t="s">
        <v>11</v>
      </c>
      <c r="G5906" s="134" t="n">
        <f aca="false">LEN('Saisie programme'!$I$241)+SUMIFS('Vols additionnels'!$E$7:$E$66,'Vols additionnels'!$C$7:$C$66,$E5906,'Vols additionnels'!$D$7:$D$66,$F5906,'Vols additionnels'!$B$7:$B$66,$D5906)</f>
        <v>0</v>
      </c>
      <c r="H5906" s="135" t="n">
        <f aca="false">$G5906*'Analyse capacite'!$F$7</f>
        <v>0</v>
      </c>
      <c r="I5906" s="135" t="n">
        <f aca="false">$G5906*'Analyse capacite'!$C$7</f>
        <v>0</v>
      </c>
      <c r="J5906" s="135" t="n">
        <f aca="false">$G5906*'Analyse capacite'!$D$7</f>
        <v>0</v>
      </c>
      <c r="K5906" s="135" t="n">
        <f aca="false">$G5906*'Analyse capacite'!$E$7</f>
        <v>0</v>
      </c>
    </row>
    <row r="5907" customFormat="false" ht="15" hidden="false" customHeight="false" outlineLevel="0" collapsed="false">
      <c r="B5907" s="130" t="n">
        <v>2027</v>
      </c>
      <c r="C5907" s="131" t="s">
        <v>251</v>
      </c>
      <c r="D5907" s="132" t="n">
        <v>46641</v>
      </c>
      <c r="E5907" s="131" t="s">
        <v>62</v>
      </c>
      <c r="F5907" s="133" t="s">
        <v>19</v>
      </c>
      <c r="G5907" s="134" t="n">
        <f aca="false">LEN('Saisie programme'!$I$242)+SUMIFS('Vols additionnels'!$E$7:$E$66,'Vols additionnels'!$C$7:$C$66,$E5907,'Vols additionnels'!$D$7:$D$66,$F5907,'Vols additionnels'!$B$7:$B$66,$D5907)</f>
        <v>0</v>
      </c>
      <c r="H5907" s="135" t="n">
        <f aca="false">$G5907*'Analyse capacite'!$F$8</f>
        <v>0</v>
      </c>
      <c r="I5907" s="135" t="n">
        <f aca="false">$G5907*'Analyse capacite'!$C$8</f>
        <v>0</v>
      </c>
      <c r="J5907" s="135" t="n">
        <f aca="false">$G5907*'Analyse capacite'!$D$8</f>
        <v>0</v>
      </c>
      <c r="K5907" s="135" t="n">
        <f aca="false">$G5907*'Analyse capacite'!$E$8</f>
        <v>0</v>
      </c>
    </row>
    <row r="5908" customFormat="false" ht="15" hidden="false" customHeight="false" outlineLevel="0" collapsed="false">
      <c r="B5908" s="130" t="n">
        <v>2027</v>
      </c>
      <c r="C5908" s="131" t="s">
        <v>251</v>
      </c>
      <c r="D5908" s="132" t="n">
        <v>46641</v>
      </c>
      <c r="E5908" s="131" t="s">
        <v>62</v>
      </c>
      <c r="F5908" s="133" t="s">
        <v>24</v>
      </c>
      <c r="G5908" s="134" t="n">
        <f aca="false">LEN('Saisie programme'!$I$243)+SUMIFS('Vols additionnels'!$E$7:$E$66,'Vols additionnels'!$C$7:$C$66,$E5908,'Vols additionnels'!$D$7:$D$66,$F5908,'Vols additionnels'!$B$7:$B$66,$D5908)</f>
        <v>0</v>
      </c>
      <c r="H5908" s="135" t="n">
        <f aca="false">$G5908*'Analyse capacite'!$F$9</f>
        <v>0</v>
      </c>
      <c r="I5908" s="135" t="n">
        <f aca="false">$G5908*'Analyse capacite'!$C$9</f>
        <v>0</v>
      </c>
      <c r="J5908" s="135" t="n">
        <f aca="false">$G5908*'Analyse capacite'!$D$9</f>
        <v>0</v>
      </c>
      <c r="K5908" s="135" t="n">
        <f aca="false">$G5908*'Analyse capacite'!$E$9</f>
        <v>0</v>
      </c>
    </row>
    <row r="5909" customFormat="false" ht="15" hidden="false" customHeight="false" outlineLevel="0" collapsed="false">
      <c r="B5909" s="130" t="n">
        <v>2027</v>
      </c>
      <c r="C5909" s="131" t="s">
        <v>251</v>
      </c>
      <c r="D5909" s="132" t="n">
        <v>46642</v>
      </c>
      <c r="E5909" s="131" t="s">
        <v>12</v>
      </c>
      <c r="F5909" s="133" t="s">
        <v>11</v>
      </c>
      <c r="G5909" s="134" t="n">
        <f aca="false">LEN('Saisie programme'!$J$208)+SUMIFS('Vols additionnels'!$E$7:$E$66,'Vols additionnels'!$C$7:$C$66,$E5909,'Vols additionnels'!$D$7:$D$66,$F5909,'Vols additionnels'!$B$7:$B$66,$D5909)</f>
        <v>1</v>
      </c>
      <c r="H5909" s="135" t="n">
        <f aca="false">$G5909*'Analyse capacite'!$F$7</f>
        <v>438</v>
      </c>
      <c r="I5909" s="135" t="n">
        <f aca="false">$G5909*'Analyse capacite'!$C$7</f>
        <v>14</v>
      </c>
      <c r="J5909" s="135" t="n">
        <f aca="false">$G5909*'Analyse capacite'!$D$7</f>
        <v>40</v>
      </c>
      <c r="K5909" s="135" t="n">
        <f aca="false">$G5909*'Analyse capacite'!$E$7</f>
        <v>384</v>
      </c>
    </row>
    <row r="5910" customFormat="false" ht="15" hidden="false" customHeight="false" outlineLevel="0" collapsed="false">
      <c r="B5910" s="130" t="n">
        <v>2027</v>
      </c>
      <c r="C5910" s="131" t="s">
        <v>251</v>
      </c>
      <c r="D5910" s="132" t="n">
        <v>46642</v>
      </c>
      <c r="E5910" s="131" t="s">
        <v>12</v>
      </c>
      <c r="F5910" s="133" t="s">
        <v>19</v>
      </c>
      <c r="G5910" s="134" t="n">
        <f aca="false">LEN('Saisie programme'!$J$209)+SUMIFS('Vols additionnels'!$E$7:$E$66,'Vols additionnels'!$C$7:$C$66,$E5910,'Vols additionnels'!$D$7:$D$66,$F5910,'Vols additionnels'!$B$7:$B$66,$D5910)</f>
        <v>0</v>
      </c>
      <c r="H5910" s="135" t="n">
        <f aca="false">$G5910*'Analyse capacite'!$F$8</f>
        <v>0</v>
      </c>
      <c r="I5910" s="135" t="n">
        <f aca="false">$G5910*'Analyse capacite'!$C$8</f>
        <v>0</v>
      </c>
      <c r="J5910" s="135" t="n">
        <f aca="false">$G5910*'Analyse capacite'!$D$8</f>
        <v>0</v>
      </c>
      <c r="K5910" s="135" t="n">
        <f aca="false">$G5910*'Analyse capacite'!$E$8</f>
        <v>0</v>
      </c>
    </row>
    <row r="5911" customFormat="false" ht="15" hidden="false" customHeight="false" outlineLevel="0" collapsed="false">
      <c r="B5911" s="130" t="n">
        <v>2027</v>
      </c>
      <c r="C5911" s="131" t="s">
        <v>251</v>
      </c>
      <c r="D5911" s="132" t="n">
        <v>46642</v>
      </c>
      <c r="E5911" s="131" t="s">
        <v>12</v>
      </c>
      <c r="F5911" s="133" t="s">
        <v>24</v>
      </c>
      <c r="G5911" s="134" t="n">
        <f aca="false">LEN('Saisie programme'!$J$210)+SUMIFS('Vols additionnels'!$E$7:$E$66,'Vols additionnels'!$C$7:$C$66,$E5911,'Vols additionnels'!$D$7:$D$66,$F5911,'Vols additionnels'!$B$7:$B$66,$D5911)</f>
        <v>0</v>
      </c>
      <c r="H5911" s="135" t="n">
        <f aca="false">$G5911*'Analyse capacite'!$F$9</f>
        <v>0</v>
      </c>
      <c r="I5911" s="135" t="n">
        <f aca="false">$G5911*'Analyse capacite'!$C$9</f>
        <v>0</v>
      </c>
      <c r="J5911" s="135" t="n">
        <f aca="false">$G5911*'Analyse capacite'!$D$9</f>
        <v>0</v>
      </c>
      <c r="K5911" s="135" t="n">
        <f aca="false">$G5911*'Analyse capacite'!$E$9</f>
        <v>0</v>
      </c>
    </row>
    <row r="5912" customFormat="false" ht="15" hidden="false" customHeight="false" outlineLevel="0" collapsed="false">
      <c r="B5912" s="130" t="n">
        <v>2027</v>
      </c>
      <c r="C5912" s="131" t="s">
        <v>251</v>
      </c>
      <c r="D5912" s="132" t="n">
        <v>46642</v>
      </c>
      <c r="E5912" s="131" t="s">
        <v>20</v>
      </c>
      <c r="F5912" s="133" t="s">
        <v>11</v>
      </c>
      <c r="G5912" s="134" t="n">
        <f aca="false">LEN('Saisie programme'!$J$211)+SUMIFS('Vols additionnels'!$E$7:$E$66,'Vols additionnels'!$C$7:$C$66,$E5912,'Vols additionnels'!$D$7:$D$66,$F5912,'Vols additionnels'!$B$7:$B$66,$D5912)</f>
        <v>1</v>
      </c>
      <c r="H5912" s="135" t="n">
        <f aca="false">$G5912*'Analyse capacite'!$F$7</f>
        <v>438</v>
      </c>
      <c r="I5912" s="135" t="n">
        <f aca="false">$G5912*'Analyse capacite'!$C$7</f>
        <v>14</v>
      </c>
      <c r="J5912" s="135" t="n">
        <f aca="false">$G5912*'Analyse capacite'!$D$7</f>
        <v>40</v>
      </c>
      <c r="K5912" s="135" t="n">
        <f aca="false">$G5912*'Analyse capacite'!$E$7</f>
        <v>384</v>
      </c>
    </row>
    <row r="5913" customFormat="false" ht="15" hidden="false" customHeight="false" outlineLevel="0" collapsed="false">
      <c r="B5913" s="130" t="n">
        <v>2027</v>
      </c>
      <c r="C5913" s="131" t="s">
        <v>251</v>
      </c>
      <c r="D5913" s="132" t="n">
        <v>46642</v>
      </c>
      <c r="E5913" s="131" t="s">
        <v>20</v>
      </c>
      <c r="F5913" s="133" t="s">
        <v>19</v>
      </c>
      <c r="G5913" s="134" t="n">
        <f aca="false">LEN('Saisie programme'!$J$212)+SUMIFS('Vols additionnels'!$E$7:$E$66,'Vols additionnels'!$C$7:$C$66,$E5913,'Vols additionnels'!$D$7:$D$66,$F5913,'Vols additionnels'!$B$7:$B$66,$D5913)</f>
        <v>0</v>
      </c>
      <c r="H5913" s="135" t="n">
        <f aca="false">$G5913*'Analyse capacite'!$F$8</f>
        <v>0</v>
      </c>
      <c r="I5913" s="135" t="n">
        <f aca="false">$G5913*'Analyse capacite'!$C$8</f>
        <v>0</v>
      </c>
      <c r="J5913" s="135" t="n">
        <f aca="false">$G5913*'Analyse capacite'!$D$8</f>
        <v>0</v>
      </c>
      <c r="K5913" s="135" t="n">
        <f aca="false">$G5913*'Analyse capacite'!$E$8</f>
        <v>0</v>
      </c>
    </row>
    <row r="5914" customFormat="false" ht="15" hidden="false" customHeight="false" outlineLevel="0" collapsed="false">
      <c r="B5914" s="130" t="n">
        <v>2027</v>
      </c>
      <c r="C5914" s="131" t="s">
        <v>251</v>
      </c>
      <c r="D5914" s="132" t="n">
        <v>46642</v>
      </c>
      <c r="E5914" s="131" t="s">
        <v>20</v>
      </c>
      <c r="F5914" s="133" t="s">
        <v>24</v>
      </c>
      <c r="G5914" s="134" t="n">
        <f aca="false">LEN('Saisie programme'!$J$213)+SUMIFS('Vols additionnels'!$E$7:$E$66,'Vols additionnels'!$C$7:$C$66,$E5914,'Vols additionnels'!$D$7:$D$66,$F5914,'Vols additionnels'!$B$7:$B$66,$D5914)</f>
        <v>0</v>
      </c>
      <c r="H5914" s="135" t="n">
        <f aca="false">$G5914*'Analyse capacite'!$F$9</f>
        <v>0</v>
      </c>
      <c r="I5914" s="135" t="n">
        <f aca="false">$G5914*'Analyse capacite'!$C$9</f>
        <v>0</v>
      </c>
      <c r="J5914" s="135" t="n">
        <f aca="false">$G5914*'Analyse capacite'!$D$9</f>
        <v>0</v>
      </c>
      <c r="K5914" s="135" t="n">
        <f aca="false">$G5914*'Analyse capacite'!$E$9</f>
        <v>0</v>
      </c>
    </row>
    <row r="5915" customFormat="false" ht="15" hidden="false" customHeight="false" outlineLevel="0" collapsed="false">
      <c r="B5915" s="130" t="n">
        <v>2027</v>
      </c>
      <c r="C5915" s="131" t="s">
        <v>251</v>
      </c>
      <c r="D5915" s="132" t="n">
        <v>46642</v>
      </c>
      <c r="E5915" s="131" t="s">
        <v>25</v>
      </c>
      <c r="F5915" s="133" t="s">
        <v>11</v>
      </c>
      <c r="G5915" s="134" t="n">
        <f aca="false">LEN('Saisie programme'!$J$214)+SUMIFS('Vols additionnels'!$E$7:$E$66,'Vols additionnels'!$C$7:$C$66,$E5915,'Vols additionnels'!$D$7:$D$66,$F5915,'Vols additionnels'!$B$7:$B$66,$D5915)</f>
        <v>0</v>
      </c>
      <c r="H5915" s="135" t="n">
        <f aca="false">$G5915*'Analyse capacite'!$F$7</f>
        <v>0</v>
      </c>
      <c r="I5915" s="135" t="n">
        <f aca="false">$G5915*'Analyse capacite'!$C$7</f>
        <v>0</v>
      </c>
      <c r="J5915" s="135" t="n">
        <f aca="false">$G5915*'Analyse capacite'!$D$7</f>
        <v>0</v>
      </c>
      <c r="K5915" s="135" t="n">
        <f aca="false">$G5915*'Analyse capacite'!$E$7</f>
        <v>0</v>
      </c>
    </row>
    <row r="5916" customFormat="false" ht="15" hidden="false" customHeight="false" outlineLevel="0" collapsed="false">
      <c r="B5916" s="130" t="n">
        <v>2027</v>
      </c>
      <c r="C5916" s="131" t="s">
        <v>251</v>
      </c>
      <c r="D5916" s="132" t="n">
        <v>46642</v>
      </c>
      <c r="E5916" s="131" t="s">
        <v>25</v>
      </c>
      <c r="F5916" s="133" t="s">
        <v>19</v>
      </c>
      <c r="G5916" s="134" t="n">
        <f aca="false">LEN('Saisie programme'!$J$215)+SUMIFS('Vols additionnels'!$E$7:$E$66,'Vols additionnels'!$C$7:$C$66,$E5916,'Vols additionnels'!$D$7:$D$66,$F5916,'Vols additionnels'!$B$7:$B$66,$D5916)</f>
        <v>0</v>
      </c>
      <c r="H5916" s="135" t="n">
        <f aca="false">$G5916*'Analyse capacite'!$F$8</f>
        <v>0</v>
      </c>
      <c r="I5916" s="135" t="n">
        <f aca="false">$G5916*'Analyse capacite'!$C$8</f>
        <v>0</v>
      </c>
      <c r="J5916" s="135" t="n">
        <f aca="false">$G5916*'Analyse capacite'!$D$8</f>
        <v>0</v>
      </c>
      <c r="K5916" s="135" t="n">
        <f aca="false">$G5916*'Analyse capacite'!$E$8</f>
        <v>0</v>
      </c>
    </row>
    <row r="5917" customFormat="false" ht="15" hidden="false" customHeight="false" outlineLevel="0" collapsed="false">
      <c r="B5917" s="130" t="n">
        <v>2027</v>
      </c>
      <c r="C5917" s="131" t="s">
        <v>251</v>
      </c>
      <c r="D5917" s="132" t="n">
        <v>46642</v>
      </c>
      <c r="E5917" s="131" t="s">
        <v>25</v>
      </c>
      <c r="F5917" s="133" t="s">
        <v>24</v>
      </c>
      <c r="G5917" s="134" t="n">
        <f aca="false">LEN('Saisie programme'!$J$216)+SUMIFS('Vols additionnels'!$E$7:$E$66,'Vols additionnels'!$C$7:$C$66,$E5917,'Vols additionnels'!$D$7:$D$66,$F5917,'Vols additionnels'!$B$7:$B$66,$D5917)</f>
        <v>0</v>
      </c>
      <c r="H5917" s="135" t="n">
        <f aca="false">$G5917*'Analyse capacite'!$F$9</f>
        <v>0</v>
      </c>
      <c r="I5917" s="135" t="n">
        <f aca="false">$G5917*'Analyse capacite'!$C$9</f>
        <v>0</v>
      </c>
      <c r="J5917" s="135" t="n">
        <f aca="false">$G5917*'Analyse capacite'!$D$9</f>
        <v>0</v>
      </c>
      <c r="K5917" s="135" t="n">
        <f aca="false">$G5917*'Analyse capacite'!$E$9</f>
        <v>0</v>
      </c>
    </row>
    <row r="5918" customFormat="false" ht="15" hidden="false" customHeight="false" outlineLevel="0" collapsed="false">
      <c r="B5918" s="130" t="n">
        <v>2027</v>
      </c>
      <c r="C5918" s="131" t="s">
        <v>251</v>
      </c>
      <c r="D5918" s="132" t="n">
        <v>46642</v>
      </c>
      <c r="E5918" s="131" t="s">
        <v>36</v>
      </c>
      <c r="F5918" s="133" t="s">
        <v>11</v>
      </c>
      <c r="G5918" s="134" t="n">
        <f aca="false">LEN('Saisie programme'!$J$217)+SUMIFS('Vols additionnels'!$E$7:$E$66,'Vols additionnels'!$C$7:$C$66,$E5918,'Vols additionnels'!$D$7:$D$66,$F5918,'Vols additionnels'!$B$7:$B$66,$D5918)</f>
        <v>0</v>
      </c>
      <c r="H5918" s="135" t="n">
        <f aca="false">$G5918*'Analyse capacite'!$F$7</f>
        <v>0</v>
      </c>
      <c r="I5918" s="135" t="n">
        <f aca="false">$G5918*'Analyse capacite'!$C$7</f>
        <v>0</v>
      </c>
      <c r="J5918" s="135" t="n">
        <f aca="false">$G5918*'Analyse capacite'!$D$7</f>
        <v>0</v>
      </c>
      <c r="K5918" s="135" t="n">
        <f aca="false">$G5918*'Analyse capacite'!$E$7</f>
        <v>0</v>
      </c>
    </row>
    <row r="5919" customFormat="false" ht="15" hidden="false" customHeight="false" outlineLevel="0" collapsed="false">
      <c r="B5919" s="130" t="n">
        <v>2027</v>
      </c>
      <c r="C5919" s="131" t="s">
        <v>251</v>
      </c>
      <c r="D5919" s="132" t="n">
        <v>46642</v>
      </c>
      <c r="E5919" s="131" t="s">
        <v>36</v>
      </c>
      <c r="F5919" s="133" t="s">
        <v>19</v>
      </c>
      <c r="G5919" s="134" t="n">
        <f aca="false">LEN('Saisie programme'!$J$218)+SUMIFS('Vols additionnels'!$E$7:$E$66,'Vols additionnels'!$C$7:$C$66,$E5919,'Vols additionnels'!$D$7:$D$66,$F5919,'Vols additionnels'!$B$7:$B$66,$D5919)</f>
        <v>0</v>
      </c>
      <c r="H5919" s="135" t="n">
        <f aca="false">$G5919*'Analyse capacite'!$F$8</f>
        <v>0</v>
      </c>
      <c r="I5919" s="135" t="n">
        <f aca="false">$G5919*'Analyse capacite'!$C$8</f>
        <v>0</v>
      </c>
      <c r="J5919" s="135" t="n">
        <f aca="false">$G5919*'Analyse capacite'!$D$8</f>
        <v>0</v>
      </c>
      <c r="K5919" s="135" t="n">
        <f aca="false">$G5919*'Analyse capacite'!$E$8</f>
        <v>0</v>
      </c>
    </row>
    <row r="5920" customFormat="false" ht="15" hidden="false" customHeight="false" outlineLevel="0" collapsed="false">
      <c r="B5920" s="130" t="n">
        <v>2027</v>
      </c>
      <c r="C5920" s="131" t="s">
        <v>251</v>
      </c>
      <c r="D5920" s="132" t="n">
        <v>46642</v>
      </c>
      <c r="E5920" s="131" t="s">
        <v>36</v>
      </c>
      <c r="F5920" s="133" t="s">
        <v>24</v>
      </c>
      <c r="G5920" s="134" t="n">
        <f aca="false">LEN('Saisie programme'!$J$219)+SUMIFS('Vols additionnels'!$E$7:$E$66,'Vols additionnels'!$C$7:$C$66,$E5920,'Vols additionnels'!$D$7:$D$66,$F5920,'Vols additionnels'!$B$7:$B$66,$D5920)</f>
        <v>0</v>
      </c>
      <c r="H5920" s="135" t="n">
        <f aca="false">$G5920*'Analyse capacite'!$F$9</f>
        <v>0</v>
      </c>
      <c r="I5920" s="135" t="n">
        <f aca="false">$G5920*'Analyse capacite'!$C$9</f>
        <v>0</v>
      </c>
      <c r="J5920" s="135" t="n">
        <f aca="false">$G5920*'Analyse capacite'!$D$9</f>
        <v>0</v>
      </c>
      <c r="K5920" s="135" t="n">
        <f aca="false">$G5920*'Analyse capacite'!$E$9</f>
        <v>0</v>
      </c>
    </row>
    <row r="5921" customFormat="false" ht="15" hidden="false" customHeight="false" outlineLevel="0" collapsed="false">
      <c r="B5921" s="130" t="n">
        <v>2027</v>
      </c>
      <c r="C5921" s="131" t="s">
        <v>251</v>
      </c>
      <c r="D5921" s="132" t="n">
        <v>46642</v>
      </c>
      <c r="E5921" s="131" t="s">
        <v>40</v>
      </c>
      <c r="F5921" s="133" t="s">
        <v>11</v>
      </c>
      <c r="G5921" s="134" t="n">
        <f aca="false">LEN('Saisie programme'!$J$220)+SUMIFS('Vols additionnels'!$E$7:$E$66,'Vols additionnels'!$C$7:$C$66,$E5921,'Vols additionnels'!$D$7:$D$66,$F5921,'Vols additionnels'!$B$7:$B$66,$D5921)</f>
        <v>0</v>
      </c>
      <c r="H5921" s="135" t="n">
        <f aca="false">$G5921*'Analyse capacite'!$F$7</f>
        <v>0</v>
      </c>
      <c r="I5921" s="135" t="n">
        <f aca="false">$G5921*'Analyse capacite'!$C$7</f>
        <v>0</v>
      </c>
      <c r="J5921" s="135" t="n">
        <f aca="false">$G5921*'Analyse capacite'!$D$7</f>
        <v>0</v>
      </c>
      <c r="K5921" s="135" t="n">
        <f aca="false">$G5921*'Analyse capacite'!$E$7</f>
        <v>0</v>
      </c>
    </row>
    <row r="5922" customFormat="false" ht="15" hidden="false" customHeight="false" outlineLevel="0" collapsed="false">
      <c r="B5922" s="130" t="n">
        <v>2027</v>
      </c>
      <c r="C5922" s="131" t="s">
        <v>251</v>
      </c>
      <c r="D5922" s="132" t="n">
        <v>46642</v>
      </c>
      <c r="E5922" s="131" t="s">
        <v>40</v>
      </c>
      <c r="F5922" s="133" t="s">
        <v>19</v>
      </c>
      <c r="G5922" s="134" t="n">
        <f aca="false">LEN('Saisie programme'!$J$221)+SUMIFS('Vols additionnels'!$E$7:$E$66,'Vols additionnels'!$C$7:$C$66,$E5922,'Vols additionnels'!$D$7:$D$66,$F5922,'Vols additionnels'!$B$7:$B$66,$D5922)</f>
        <v>0</v>
      </c>
      <c r="H5922" s="135" t="n">
        <f aca="false">$G5922*'Analyse capacite'!$F$8</f>
        <v>0</v>
      </c>
      <c r="I5922" s="135" t="n">
        <f aca="false">$G5922*'Analyse capacite'!$C$8</f>
        <v>0</v>
      </c>
      <c r="J5922" s="135" t="n">
        <f aca="false">$G5922*'Analyse capacite'!$D$8</f>
        <v>0</v>
      </c>
      <c r="K5922" s="135" t="n">
        <f aca="false">$G5922*'Analyse capacite'!$E$8</f>
        <v>0</v>
      </c>
    </row>
    <row r="5923" customFormat="false" ht="15" hidden="false" customHeight="false" outlineLevel="0" collapsed="false">
      <c r="B5923" s="130" t="n">
        <v>2027</v>
      </c>
      <c r="C5923" s="131" t="s">
        <v>251</v>
      </c>
      <c r="D5923" s="132" t="n">
        <v>46642</v>
      </c>
      <c r="E5923" s="131" t="s">
        <v>40</v>
      </c>
      <c r="F5923" s="133" t="s">
        <v>24</v>
      </c>
      <c r="G5923" s="134" t="n">
        <f aca="false">LEN('Saisie programme'!$J$222)+SUMIFS('Vols additionnels'!$E$7:$E$66,'Vols additionnels'!$C$7:$C$66,$E5923,'Vols additionnels'!$D$7:$D$66,$F5923,'Vols additionnels'!$B$7:$B$66,$D5923)</f>
        <v>1</v>
      </c>
      <c r="H5923" s="135" t="n">
        <f aca="false">$G5923*'Analyse capacite'!$F$9</f>
        <v>174</v>
      </c>
      <c r="I5923" s="135" t="n">
        <f aca="false">$G5923*'Analyse capacite'!$C$9</f>
        <v>0</v>
      </c>
      <c r="J5923" s="135" t="n">
        <f aca="false">$G5923*'Analyse capacite'!$D$9</f>
        <v>12</v>
      </c>
      <c r="K5923" s="135" t="n">
        <f aca="false">$G5923*'Analyse capacite'!$E$9</f>
        <v>162</v>
      </c>
    </row>
    <row r="5924" customFormat="false" ht="15" hidden="false" customHeight="false" outlineLevel="0" collapsed="false">
      <c r="B5924" s="130" t="n">
        <v>2027</v>
      </c>
      <c r="C5924" s="131" t="s">
        <v>251</v>
      </c>
      <c r="D5924" s="132" t="n">
        <v>46642</v>
      </c>
      <c r="E5924" s="131" t="s">
        <v>14</v>
      </c>
      <c r="F5924" s="133" t="s">
        <v>11</v>
      </c>
      <c r="G5924" s="134" t="n">
        <f aca="false">LEN('Saisie programme'!$J$223)+SUMIFS('Vols additionnels'!$E$7:$E$66,'Vols additionnels'!$C$7:$C$66,$E5924,'Vols additionnels'!$D$7:$D$66,$F5924,'Vols additionnels'!$B$7:$B$66,$D5924)</f>
        <v>0</v>
      </c>
      <c r="H5924" s="135" t="n">
        <f aca="false">$G5924*'Analyse capacite'!$F$7</f>
        <v>0</v>
      </c>
      <c r="I5924" s="135" t="n">
        <f aca="false">$G5924*'Analyse capacite'!$C$7</f>
        <v>0</v>
      </c>
      <c r="J5924" s="135" t="n">
        <f aca="false">$G5924*'Analyse capacite'!$D$7</f>
        <v>0</v>
      </c>
      <c r="K5924" s="135" t="n">
        <f aca="false">$G5924*'Analyse capacite'!$E$7</f>
        <v>0</v>
      </c>
    </row>
    <row r="5925" customFormat="false" ht="15" hidden="false" customHeight="false" outlineLevel="0" collapsed="false">
      <c r="B5925" s="130" t="n">
        <v>2027</v>
      </c>
      <c r="C5925" s="131" t="s">
        <v>251</v>
      </c>
      <c r="D5925" s="132" t="n">
        <v>46642</v>
      </c>
      <c r="E5925" s="131" t="s">
        <v>14</v>
      </c>
      <c r="F5925" s="133" t="s">
        <v>19</v>
      </c>
      <c r="G5925" s="134" t="n">
        <f aca="false">LEN('Saisie programme'!$J$224)+SUMIFS('Vols additionnels'!$E$7:$E$66,'Vols additionnels'!$C$7:$C$66,$E5925,'Vols additionnels'!$D$7:$D$66,$F5925,'Vols additionnels'!$B$7:$B$66,$D5925)</f>
        <v>0</v>
      </c>
      <c r="H5925" s="135" t="n">
        <f aca="false">$G5925*'Analyse capacite'!$F$8</f>
        <v>0</v>
      </c>
      <c r="I5925" s="135" t="n">
        <f aca="false">$G5925*'Analyse capacite'!$C$8</f>
        <v>0</v>
      </c>
      <c r="J5925" s="135" t="n">
        <f aca="false">$G5925*'Analyse capacite'!$D$8</f>
        <v>0</v>
      </c>
      <c r="K5925" s="135" t="n">
        <f aca="false">$G5925*'Analyse capacite'!$E$8</f>
        <v>0</v>
      </c>
    </row>
    <row r="5926" customFormat="false" ht="15" hidden="false" customHeight="false" outlineLevel="0" collapsed="false">
      <c r="B5926" s="130" t="n">
        <v>2027</v>
      </c>
      <c r="C5926" s="131" t="s">
        <v>251</v>
      </c>
      <c r="D5926" s="132" t="n">
        <v>46642</v>
      </c>
      <c r="E5926" s="131" t="s">
        <v>14</v>
      </c>
      <c r="F5926" s="133" t="s">
        <v>24</v>
      </c>
      <c r="G5926" s="134" t="n">
        <f aca="false">LEN('Saisie programme'!$J$225)+SUMIFS('Vols additionnels'!$E$7:$E$66,'Vols additionnels'!$C$7:$C$66,$E5926,'Vols additionnels'!$D$7:$D$66,$F5926,'Vols additionnels'!$B$7:$B$66,$D5926)</f>
        <v>0</v>
      </c>
      <c r="H5926" s="135" t="n">
        <f aca="false">$G5926*'Analyse capacite'!$F$9</f>
        <v>0</v>
      </c>
      <c r="I5926" s="135" t="n">
        <f aca="false">$G5926*'Analyse capacite'!$C$9</f>
        <v>0</v>
      </c>
      <c r="J5926" s="135" t="n">
        <f aca="false">$G5926*'Analyse capacite'!$D$9</f>
        <v>0</v>
      </c>
      <c r="K5926" s="135" t="n">
        <f aca="false">$G5926*'Analyse capacite'!$E$9</f>
        <v>0</v>
      </c>
    </row>
    <row r="5927" customFormat="false" ht="15" hidden="false" customHeight="false" outlineLevel="0" collapsed="false">
      <c r="B5927" s="130" t="n">
        <v>2027</v>
      </c>
      <c r="C5927" s="131" t="s">
        <v>251</v>
      </c>
      <c r="D5927" s="132" t="n">
        <v>46642</v>
      </c>
      <c r="E5927" s="131" t="s">
        <v>46</v>
      </c>
      <c r="F5927" s="133" t="s">
        <v>11</v>
      </c>
      <c r="G5927" s="134" t="n">
        <f aca="false">LEN('Saisie programme'!$J$226)+SUMIFS('Vols additionnels'!$E$7:$E$66,'Vols additionnels'!$C$7:$C$66,$E5927,'Vols additionnels'!$D$7:$D$66,$F5927,'Vols additionnels'!$B$7:$B$66,$D5927)</f>
        <v>0</v>
      </c>
      <c r="H5927" s="135" t="n">
        <f aca="false">$G5927*'Analyse capacite'!$F$7</f>
        <v>0</v>
      </c>
      <c r="I5927" s="135" t="n">
        <f aca="false">$G5927*'Analyse capacite'!$C$7</f>
        <v>0</v>
      </c>
      <c r="J5927" s="135" t="n">
        <f aca="false">$G5927*'Analyse capacite'!$D$7</f>
        <v>0</v>
      </c>
      <c r="K5927" s="135" t="n">
        <f aca="false">$G5927*'Analyse capacite'!$E$7</f>
        <v>0</v>
      </c>
    </row>
    <row r="5928" customFormat="false" ht="15" hidden="false" customHeight="false" outlineLevel="0" collapsed="false">
      <c r="B5928" s="130" t="n">
        <v>2027</v>
      </c>
      <c r="C5928" s="131" t="s">
        <v>251</v>
      </c>
      <c r="D5928" s="132" t="n">
        <v>46642</v>
      </c>
      <c r="E5928" s="131" t="s">
        <v>46</v>
      </c>
      <c r="F5928" s="133" t="s">
        <v>19</v>
      </c>
      <c r="G5928" s="134" t="n">
        <f aca="false">LEN('Saisie programme'!$J$227)+SUMIFS('Vols additionnels'!$E$7:$E$66,'Vols additionnels'!$C$7:$C$66,$E5928,'Vols additionnels'!$D$7:$D$66,$F5928,'Vols additionnels'!$B$7:$B$66,$D5928)</f>
        <v>0</v>
      </c>
      <c r="H5928" s="135" t="n">
        <f aca="false">$G5928*'Analyse capacite'!$F$8</f>
        <v>0</v>
      </c>
      <c r="I5928" s="135" t="n">
        <f aca="false">$G5928*'Analyse capacite'!$C$8</f>
        <v>0</v>
      </c>
      <c r="J5928" s="135" t="n">
        <f aca="false">$G5928*'Analyse capacite'!$D$8</f>
        <v>0</v>
      </c>
      <c r="K5928" s="135" t="n">
        <f aca="false">$G5928*'Analyse capacite'!$E$8</f>
        <v>0</v>
      </c>
    </row>
    <row r="5929" customFormat="false" ht="15" hidden="false" customHeight="false" outlineLevel="0" collapsed="false">
      <c r="B5929" s="130" t="n">
        <v>2027</v>
      </c>
      <c r="C5929" s="131" t="s">
        <v>251</v>
      </c>
      <c r="D5929" s="132" t="n">
        <v>46642</v>
      </c>
      <c r="E5929" s="131" t="s">
        <v>46</v>
      </c>
      <c r="F5929" s="133" t="s">
        <v>24</v>
      </c>
      <c r="G5929" s="134" t="n">
        <f aca="false">LEN('Saisie programme'!$J$228)+SUMIFS('Vols additionnels'!$E$7:$E$66,'Vols additionnels'!$C$7:$C$66,$E5929,'Vols additionnels'!$D$7:$D$66,$F5929,'Vols additionnels'!$B$7:$B$66,$D5929)</f>
        <v>0</v>
      </c>
      <c r="H5929" s="135" t="n">
        <f aca="false">$G5929*'Analyse capacite'!$F$9</f>
        <v>0</v>
      </c>
      <c r="I5929" s="135" t="n">
        <f aca="false">$G5929*'Analyse capacite'!$C$9</f>
        <v>0</v>
      </c>
      <c r="J5929" s="135" t="n">
        <f aca="false">$G5929*'Analyse capacite'!$D$9</f>
        <v>0</v>
      </c>
      <c r="K5929" s="135" t="n">
        <f aca="false">$G5929*'Analyse capacite'!$E$9</f>
        <v>0</v>
      </c>
    </row>
    <row r="5930" customFormat="false" ht="15" hidden="false" customHeight="false" outlineLevel="0" collapsed="false">
      <c r="B5930" s="130" t="n">
        <v>2027</v>
      </c>
      <c r="C5930" s="131" t="s">
        <v>251</v>
      </c>
      <c r="D5930" s="132" t="n">
        <v>46642</v>
      </c>
      <c r="E5930" s="131" t="s">
        <v>49</v>
      </c>
      <c r="F5930" s="133" t="s">
        <v>11</v>
      </c>
      <c r="G5930" s="134" t="n">
        <f aca="false">LEN('Saisie programme'!$J$229)+SUMIFS('Vols additionnels'!$E$7:$E$66,'Vols additionnels'!$C$7:$C$66,$E5930,'Vols additionnels'!$D$7:$D$66,$F5930,'Vols additionnels'!$B$7:$B$66,$D5930)</f>
        <v>0</v>
      </c>
      <c r="H5930" s="135" t="n">
        <f aca="false">$G5930*'Analyse capacite'!$F$7</f>
        <v>0</v>
      </c>
      <c r="I5930" s="135" t="n">
        <f aca="false">$G5930*'Analyse capacite'!$C$7</f>
        <v>0</v>
      </c>
      <c r="J5930" s="135" t="n">
        <f aca="false">$G5930*'Analyse capacite'!$D$7</f>
        <v>0</v>
      </c>
      <c r="K5930" s="135" t="n">
        <f aca="false">$G5930*'Analyse capacite'!$E$7</f>
        <v>0</v>
      </c>
    </row>
    <row r="5931" customFormat="false" ht="15" hidden="false" customHeight="false" outlineLevel="0" collapsed="false">
      <c r="B5931" s="130" t="n">
        <v>2027</v>
      </c>
      <c r="C5931" s="131" t="s">
        <v>251</v>
      </c>
      <c r="D5931" s="132" t="n">
        <v>46642</v>
      </c>
      <c r="E5931" s="131" t="s">
        <v>49</v>
      </c>
      <c r="F5931" s="133" t="s">
        <v>19</v>
      </c>
      <c r="G5931" s="134" t="n">
        <f aca="false">LEN('Saisie programme'!$J$230)+SUMIFS('Vols additionnels'!$E$7:$E$66,'Vols additionnels'!$C$7:$C$66,$E5931,'Vols additionnels'!$D$7:$D$66,$F5931,'Vols additionnels'!$B$7:$B$66,$D5931)</f>
        <v>0</v>
      </c>
      <c r="H5931" s="135" t="n">
        <f aca="false">$G5931*'Analyse capacite'!$F$8</f>
        <v>0</v>
      </c>
      <c r="I5931" s="135" t="n">
        <f aca="false">$G5931*'Analyse capacite'!$C$8</f>
        <v>0</v>
      </c>
      <c r="J5931" s="135" t="n">
        <f aca="false">$G5931*'Analyse capacite'!$D$8</f>
        <v>0</v>
      </c>
      <c r="K5931" s="135" t="n">
        <f aca="false">$G5931*'Analyse capacite'!$E$8</f>
        <v>0</v>
      </c>
    </row>
    <row r="5932" customFormat="false" ht="15" hidden="false" customHeight="false" outlineLevel="0" collapsed="false">
      <c r="B5932" s="130" t="n">
        <v>2027</v>
      </c>
      <c r="C5932" s="131" t="s">
        <v>251</v>
      </c>
      <c r="D5932" s="132" t="n">
        <v>46642</v>
      </c>
      <c r="E5932" s="131" t="s">
        <v>49</v>
      </c>
      <c r="F5932" s="133" t="s">
        <v>24</v>
      </c>
      <c r="G5932" s="134" t="n">
        <f aca="false">LEN('Saisie programme'!$J$231)+SUMIFS('Vols additionnels'!$E$7:$E$66,'Vols additionnels'!$C$7:$C$66,$E5932,'Vols additionnels'!$D$7:$D$66,$F5932,'Vols additionnels'!$B$7:$B$66,$D5932)</f>
        <v>0</v>
      </c>
      <c r="H5932" s="135" t="n">
        <f aca="false">$G5932*'Analyse capacite'!$F$9</f>
        <v>0</v>
      </c>
      <c r="I5932" s="135" t="n">
        <f aca="false">$G5932*'Analyse capacite'!$C$9</f>
        <v>0</v>
      </c>
      <c r="J5932" s="135" t="n">
        <f aca="false">$G5932*'Analyse capacite'!$D$9</f>
        <v>0</v>
      </c>
      <c r="K5932" s="135" t="n">
        <f aca="false">$G5932*'Analyse capacite'!$E$9</f>
        <v>0</v>
      </c>
    </row>
    <row r="5933" customFormat="false" ht="15" hidden="false" customHeight="false" outlineLevel="0" collapsed="false">
      <c r="B5933" s="130" t="n">
        <v>2027</v>
      </c>
      <c r="C5933" s="131" t="s">
        <v>251</v>
      </c>
      <c r="D5933" s="132" t="n">
        <v>46642</v>
      </c>
      <c r="E5933" s="131" t="s">
        <v>53</v>
      </c>
      <c r="F5933" s="133" t="s">
        <v>11</v>
      </c>
      <c r="G5933" s="134" t="n">
        <f aca="false">LEN('Saisie programme'!$J$232)+SUMIFS('Vols additionnels'!$E$7:$E$66,'Vols additionnels'!$C$7:$C$66,$E5933,'Vols additionnels'!$D$7:$D$66,$F5933,'Vols additionnels'!$B$7:$B$66,$D5933)</f>
        <v>0</v>
      </c>
      <c r="H5933" s="135" t="n">
        <f aca="false">$G5933*'Analyse capacite'!$F$7</f>
        <v>0</v>
      </c>
      <c r="I5933" s="135" t="n">
        <f aca="false">$G5933*'Analyse capacite'!$C$7</f>
        <v>0</v>
      </c>
      <c r="J5933" s="135" t="n">
        <f aca="false">$G5933*'Analyse capacite'!$D$7</f>
        <v>0</v>
      </c>
      <c r="K5933" s="135" t="n">
        <f aca="false">$G5933*'Analyse capacite'!$E$7</f>
        <v>0</v>
      </c>
    </row>
    <row r="5934" customFormat="false" ht="15" hidden="false" customHeight="false" outlineLevel="0" collapsed="false">
      <c r="B5934" s="130" t="n">
        <v>2027</v>
      </c>
      <c r="C5934" s="131" t="s">
        <v>251</v>
      </c>
      <c r="D5934" s="132" t="n">
        <v>46642</v>
      </c>
      <c r="E5934" s="131" t="s">
        <v>53</v>
      </c>
      <c r="F5934" s="133" t="s">
        <v>19</v>
      </c>
      <c r="G5934" s="134" t="n">
        <f aca="false">LEN('Saisie programme'!$J$233)+SUMIFS('Vols additionnels'!$E$7:$E$66,'Vols additionnels'!$C$7:$C$66,$E5934,'Vols additionnels'!$D$7:$D$66,$F5934,'Vols additionnels'!$B$7:$B$66,$D5934)</f>
        <v>0</v>
      </c>
      <c r="H5934" s="135" t="n">
        <f aca="false">$G5934*'Analyse capacite'!$F$8</f>
        <v>0</v>
      </c>
      <c r="I5934" s="135" t="n">
        <f aca="false">$G5934*'Analyse capacite'!$C$8</f>
        <v>0</v>
      </c>
      <c r="J5934" s="135" t="n">
        <f aca="false">$G5934*'Analyse capacite'!$D$8</f>
        <v>0</v>
      </c>
      <c r="K5934" s="135" t="n">
        <f aca="false">$G5934*'Analyse capacite'!$E$8</f>
        <v>0</v>
      </c>
    </row>
    <row r="5935" customFormat="false" ht="15" hidden="false" customHeight="false" outlineLevel="0" collapsed="false">
      <c r="B5935" s="130" t="n">
        <v>2027</v>
      </c>
      <c r="C5935" s="131" t="s">
        <v>251</v>
      </c>
      <c r="D5935" s="132" t="n">
        <v>46642</v>
      </c>
      <c r="E5935" s="131" t="s">
        <v>53</v>
      </c>
      <c r="F5935" s="133" t="s">
        <v>24</v>
      </c>
      <c r="G5935" s="134" t="n">
        <f aca="false">LEN('Saisie programme'!$J$234)+SUMIFS('Vols additionnels'!$E$7:$E$66,'Vols additionnels'!$C$7:$C$66,$E5935,'Vols additionnels'!$D$7:$D$66,$F5935,'Vols additionnels'!$B$7:$B$66,$D5935)</f>
        <v>0</v>
      </c>
      <c r="H5935" s="135" t="n">
        <f aca="false">$G5935*'Analyse capacite'!$F$9</f>
        <v>0</v>
      </c>
      <c r="I5935" s="135" t="n">
        <f aca="false">$G5935*'Analyse capacite'!$C$9</f>
        <v>0</v>
      </c>
      <c r="J5935" s="135" t="n">
        <f aca="false">$G5935*'Analyse capacite'!$D$9</f>
        <v>0</v>
      </c>
      <c r="K5935" s="135" t="n">
        <f aca="false">$G5935*'Analyse capacite'!$E$9</f>
        <v>0</v>
      </c>
    </row>
    <row r="5936" customFormat="false" ht="15" hidden="false" customHeight="false" outlineLevel="0" collapsed="false">
      <c r="B5936" s="130" t="n">
        <v>2027</v>
      </c>
      <c r="C5936" s="131" t="s">
        <v>251</v>
      </c>
      <c r="D5936" s="132" t="n">
        <v>46642</v>
      </c>
      <c r="E5936" s="131" t="s">
        <v>56</v>
      </c>
      <c r="F5936" s="133" t="s">
        <v>11</v>
      </c>
      <c r="G5936" s="134" t="n">
        <f aca="false">LEN('Saisie programme'!$J$235)+SUMIFS('Vols additionnels'!$E$7:$E$66,'Vols additionnels'!$C$7:$C$66,$E5936,'Vols additionnels'!$D$7:$D$66,$F5936,'Vols additionnels'!$B$7:$B$66,$D5936)</f>
        <v>0</v>
      </c>
      <c r="H5936" s="135" t="n">
        <f aca="false">$G5936*'Analyse capacite'!$F$7</f>
        <v>0</v>
      </c>
      <c r="I5936" s="135" t="n">
        <f aca="false">$G5936*'Analyse capacite'!$C$7</f>
        <v>0</v>
      </c>
      <c r="J5936" s="135" t="n">
        <f aca="false">$G5936*'Analyse capacite'!$D$7</f>
        <v>0</v>
      </c>
      <c r="K5936" s="135" t="n">
        <f aca="false">$G5936*'Analyse capacite'!$E$7</f>
        <v>0</v>
      </c>
    </row>
    <row r="5937" customFormat="false" ht="15" hidden="false" customHeight="false" outlineLevel="0" collapsed="false">
      <c r="B5937" s="130" t="n">
        <v>2027</v>
      </c>
      <c r="C5937" s="131" t="s">
        <v>251</v>
      </c>
      <c r="D5937" s="132" t="n">
        <v>46642</v>
      </c>
      <c r="E5937" s="131" t="s">
        <v>56</v>
      </c>
      <c r="F5937" s="133" t="s">
        <v>19</v>
      </c>
      <c r="G5937" s="134" t="n">
        <f aca="false">LEN('Saisie programme'!$J$236)+SUMIFS('Vols additionnels'!$E$7:$E$66,'Vols additionnels'!$C$7:$C$66,$E5937,'Vols additionnels'!$D$7:$D$66,$F5937,'Vols additionnels'!$B$7:$B$66,$D5937)</f>
        <v>0</v>
      </c>
      <c r="H5937" s="135" t="n">
        <f aca="false">$G5937*'Analyse capacite'!$F$8</f>
        <v>0</v>
      </c>
      <c r="I5937" s="135" t="n">
        <f aca="false">$G5937*'Analyse capacite'!$C$8</f>
        <v>0</v>
      </c>
      <c r="J5937" s="135" t="n">
        <f aca="false">$G5937*'Analyse capacite'!$D$8</f>
        <v>0</v>
      </c>
      <c r="K5937" s="135" t="n">
        <f aca="false">$G5937*'Analyse capacite'!$E$8</f>
        <v>0</v>
      </c>
    </row>
    <row r="5938" customFormat="false" ht="15" hidden="false" customHeight="false" outlineLevel="0" collapsed="false">
      <c r="B5938" s="130" t="n">
        <v>2027</v>
      </c>
      <c r="C5938" s="131" t="s">
        <v>251</v>
      </c>
      <c r="D5938" s="132" t="n">
        <v>46642</v>
      </c>
      <c r="E5938" s="131" t="s">
        <v>56</v>
      </c>
      <c r="F5938" s="133" t="s">
        <v>24</v>
      </c>
      <c r="G5938" s="134" t="n">
        <f aca="false">LEN('Saisie programme'!$J$237)+SUMIFS('Vols additionnels'!$E$7:$E$66,'Vols additionnels'!$C$7:$C$66,$E5938,'Vols additionnels'!$D$7:$D$66,$F5938,'Vols additionnels'!$B$7:$B$66,$D5938)</f>
        <v>0</v>
      </c>
      <c r="H5938" s="135" t="n">
        <f aca="false">$G5938*'Analyse capacite'!$F$9</f>
        <v>0</v>
      </c>
      <c r="I5938" s="135" t="n">
        <f aca="false">$G5938*'Analyse capacite'!$C$9</f>
        <v>0</v>
      </c>
      <c r="J5938" s="135" t="n">
        <f aca="false">$G5938*'Analyse capacite'!$D$9</f>
        <v>0</v>
      </c>
      <c r="K5938" s="135" t="n">
        <f aca="false">$G5938*'Analyse capacite'!$E$9</f>
        <v>0</v>
      </c>
    </row>
    <row r="5939" customFormat="false" ht="15" hidden="false" customHeight="false" outlineLevel="0" collapsed="false">
      <c r="B5939" s="130" t="n">
        <v>2027</v>
      </c>
      <c r="C5939" s="131" t="s">
        <v>251</v>
      </c>
      <c r="D5939" s="132" t="n">
        <v>46642</v>
      </c>
      <c r="E5939" s="131" t="s">
        <v>59</v>
      </c>
      <c r="F5939" s="133" t="s">
        <v>11</v>
      </c>
      <c r="G5939" s="134" t="n">
        <f aca="false">LEN('Saisie programme'!$J$238)+SUMIFS('Vols additionnels'!$E$7:$E$66,'Vols additionnels'!$C$7:$C$66,$E5939,'Vols additionnels'!$D$7:$D$66,$F5939,'Vols additionnels'!$B$7:$B$66,$D5939)</f>
        <v>0</v>
      </c>
      <c r="H5939" s="135" t="n">
        <f aca="false">$G5939*'Analyse capacite'!$F$7</f>
        <v>0</v>
      </c>
      <c r="I5939" s="135" t="n">
        <f aca="false">$G5939*'Analyse capacite'!$C$7</f>
        <v>0</v>
      </c>
      <c r="J5939" s="135" t="n">
        <f aca="false">$G5939*'Analyse capacite'!$D$7</f>
        <v>0</v>
      </c>
      <c r="K5939" s="135" t="n">
        <f aca="false">$G5939*'Analyse capacite'!$E$7</f>
        <v>0</v>
      </c>
    </row>
    <row r="5940" customFormat="false" ht="15" hidden="false" customHeight="false" outlineLevel="0" collapsed="false">
      <c r="B5940" s="130" t="n">
        <v>2027</v>
      </c>
      <c r="C5940" s="131" t="s">
        <v>251</v>
      </c>
      <c r="D5940" s="132" t="n">
        <v>46642</v>
      </c>
      <c r="E5940" s="131" t="s">
        <v>59</v>
      </c>
      <c r="F5940" s="133" t="s">
        <v>19</v>
      </c>
      <c r="G5940" s="134" t="n">
        <f aca="false">LEN('Saisie programme'!$J$239)+SUMIFS('Vols additionnels'!$E$7:$E$66,'Vols additionnels'!$C$7:$C$66,$E5940,'Vols additionnels'!$D$7:$D$66,$F5940,'Vols additionnels'!$B$7:$B$66,$D5940)</f>
        <v>0</v>
      </c>
      <c r="H5940" s="135" t="n">
        <f aca="false">$G5940*'Analyse capacite'!$F$8</f>
        <v>0</v>
      </c>
      <c r="I5940" s="135" t="n">
        <f aca="false">$G5940*'Analyse capacite'!$C$8</f>
        <v>0</v>
      </c>
      <c r="J5940" s="135" t="n">
        <f aca="false">$G5940*'Analyse capacite'!$D$8</f>
        <v>0</v>
      </c>
      <c r="K5940" s="135" t="n">
        <f aca="false">$G5940*'Analyse capacite'!$E$8</f>
        <v>0</v>
      </c>
    </row>
    <row r="5941" customFormat="false" ht="15" hidden="false" customHeight="false" outlineLevel="0" collapsed="false">
      <c r="B5941" s="130" t="n">
        <v>2027</v>
      </c>
      <c r="C5941" s="131" t="s">
        <v>251</v>
      </c>
      <c r="D5941" s="132" t="n">
        <v>46642</v>
      </c>
      <c r="E5941" s="131" t="s">
        <v>59</v>
      </c>
      <c r="F5941" s="133" t="s">
        <v>24</v>
      </c>
      <c r="G5941" s="134" t="n">
        <f aca="false">LEN('Saisie programme'!$J$240)+SUMIFS('Vols additionnels'!$E$7:$E$66,'Vols additionnels'!$C$7:$C$66,$E5941,'Vols additionnels'!$D$7:$D$66,$F5941,'Vols additionnels'!$B$7:$B$66,$D5941)</f>
        <v>0</v>
      </c>
      <c r="H5941" s="135" t="n">
        <f aca="false">$G5941*'Analyse capacite'!$F$9</f>
        <v>0</v>
      </c>
      <c r="I5941" s="135" t="n">
        <f aca="false">$G5941*'Analyse capacite'!$C$9</f>
        <v>0</v>
      </c>
      <c r="J5941" s="135" t="n">
        <f aca="false">$G5941*'Analyse capacite'!$D$9</f>
        <v>0</v>
      </c>
      <c r="K5941" s="135" t="n">
        <f aca="false">$G5941*'Analyse capacite'!$E$9</f>
        <v>0</v>
      </c>
    </row>
    <row r="5942" customFormat="false" ht="15" hidden="false" customHeight="false" outlineLevel="0" collapsed="false">
      <c r="B5942" s="130" t="n">
        <v>2027</v>
      </c>
      <c r="C5942" s="131" t="s">
        <v>251</v>
      </c>
      <c r="D5942" s="132" t="n">
        <v>46642</v>
      </c>
      <c r="E5942" s="131" t="s">
        <v>62</v>
      </c>
      <c r="F5942" s="133" t="s">
        <v>11</v>
      </c>
      <c r="G5942" s="134" t="n">
        <f aca="false">LEN('Saisie programme'!$J$241)+SUMIFS('Vols additionnels'!$E$7:$E$66,'Vols additionnels'!$C$7:$C$66,$E5942,'Vols additionnels'!$D$7:$D$66,$F5942,'Vols additionnels'!$B$7:$B$66,$D5942)</f>
        <v>0</v>
      </c>
      <c r="H5942" s="135" t="n">
        <f aca="false">$G5942*'Analyse capacite'!$F$7</f>
        <v>0</v>
      </c>
      <c r="I5942" s="135" t="n">
        <f aca="false">$G5942*'Analyse capacite'!$C$7</f>
        <v>0</v>
      </c>
      <c r="J5942" s="135" t="n">
        <f aca="false">$G5942*'Analyse capacite'!$D$7</f>
        <v>0</v>
      </c>
      <c r="K5942" s="135" t="n">
        <f aca="false">$G5942*'Analyse capacite'!$E$7</f>
        <v>0</v>
      </c>
    </row>
    <row r="5943" customFormat="false" ht="15" hidden="false" customHeight="false" outlineLevel="0" collapsed="false">
      <c r="B5943" s="130" t="n">
        <v>2027</v>
      </c>
      <c r="C5943" s="131" t="s">
        <v>251</v>
      </c>
      <c r="D5943" s="132" t="n">
        <v>46642</v>
      </c>
      <c r="E5943" s="131" t="s">
        <v>62</v>
      </c>
      <c r="F5943" s="133" t="s">
        <v>19</v>
      </c>
      <c r="G5943" s="134" t="n">
        <f aca="false">LEN('Saisie programme'!$J$242)+SUMIFS('Vols additionnels'!$E$7:$E$66,'Vols additionnels'!$C$7:$C$66,$E5943,'Vols additionnels'!$D$7:$D$66,$F5943,'Vols additionnels'!$B$7:$B$66,$D5943)</f>
        <v>0</v>
      </c>
      <c r="H5943" s="135" t="n">
        <f aca="false">$G5943*'Analyse capacite'!$F$8</f>
        <v>0</v>
      </c>
      <c r="I5943" s="135" t="n">
        <f aca="false">$G5943*'Analyse capacite'!$C$8</f>
        <v>0</v>
      </c>
      <c r="J5943" s="135" t="n">
        <f aca="false">$G5943*'Analyse capacite'!$D$8</f>
        <v>0</v>
      </c>
      <c r="K5943" s="135" t="n">
        <f aca="false">$G5943*'Analyse capacite'!$E$8</f>
        <v>0</v>
      </c>
    </row>
    <row r="5944" customFormat="false" ht="15" hidden="false" customHeight="false" outlineLevel="0" collapsed="false">
      <c r="B5944" s="130" t="n">
        <v>2027</v>
      </c>
      <c r="C5944" s="131" t="s">
        <v>251</v>
      </c>
      <c r="D5944" s="132" t="n">
        <v>46642</v>
      </c>
      <c r="E5944" s="131" t="s">
        <v>62</v>
      </c>
      <c r="F5944" s="133" t="s">
        <v>24</v>
      </c>
      <c r="G5944" s="134" t="n">
        <f aca="false">LEN('Saisie programme'!$J$243)+SUMIFS('Vols additionnels'!$E$7:$E$66,'Vols additionnels'!$C$7:$C$66,$E5944,'Vols additionnels'!$D$7:$D$66,$F5944,'Vols additionnels'!$B$7:$B$66,$D5944)</f>
        <v>1</v>
      </c>
      <c r="H5944" s="135" t="n">
        <f aca="false">$G5944*'Analyse capacite'!$F$9</f>
        <v>174</v>
      </c>
      <c r="I5944" s="135" t="n">
        <f aca="false">$G5944*'Analyse capacite'!$C$9</f>
        <v>0</v>
      </c>
      <c r="J5944" s="135" t="n">
        <f aca="false">$G5944*'Analyse capacite'!$D$9</f>
        <v>12</v>
      </c>
      <c r="K5944" s="135" t="n">
        <f aca="false">$G5944*'Analyse capacite'!$E$9</f>
        <v>162</v>
      </c>
    </row>
    <row r="5945" customFormat="false" ht="15" hidden="false" customHeight="false" outlineLevel="0" collapsed="false">
      <c r="B5945" s="130" t="n">
        <v>2027</v>
      </c>
      <c r="C5945" s="131" t="s">
        <v>251</v>
      </c>
      <c r="D5945" s="132" t="n">
        <v>46643</v>
      </c>
      <c r="E5945" s="131" t="s">
        <v>12</v>
      </c>
      <c r="F5945" s="133" t="s">
        <v>11</v>
      </c>
      <c r="G5945" s="134" t="n">
        <f aca="false">LEN('Saisie programme'!$D$208)+SUMIFS('Vols additionnels'!$E$7:$E$66,'Vols additionnels'!$C$7:$C$66,$E5945,'Vols additionnels'!$D$7:$D$66,$F5945,'Vols additionnels'!$B$7:$B$66,$D5945)</f>
        <v>1</v>
      </c>
      <c r="H5945" s="135" t="n">
        <f aca="false">$G5945*'Analyse capacite'!$F$7</f>
        <v>438</v>
      </c>
      <c r="I5945" s="135" t="n">
        <f aca="false">$G5945*'Analyse capacite'!$C$7</f>
        <v>14</v>
      </c>
      <c r="J5945" s="135" t="n">
        <f aca="false">$G5945*'Analyse capacite'!$D$7</f>
        <v>40</v>
      </c>
      <c r="K5945" s="135" t="n">
        <f aca="false">$G5945*'Analyse capacite'!$E$7</f>
        <v>384</v>
      </c>
    </row>
    <row r="5946" customFormat="false" ht="15" hidden="false" customHeight="false" outlineLevel="0" collapsed="false">
      <c r="B5946" s="130" t="n">
        <v>2027</v>
      </c>
      <c r="C5946" s="131" t="s">
        <v>251</v>
      </c>
      <c r="D5946" s="132" t="n">
        <v>46643</v>
      </c>
      <c r="E5946" s="131" t="s">
        <v>12</v>
      </c>
      <c r="F5946" s="133" t="s">
        <v>19</v>
      </c>
      <c r="G5946" s="134" t="n">
        <f aca="false">LEN('Saisie programme'!$D$209)+SUMIFS('Vols additionnels'!$E$7:$E$66,'Vols additionnels'!$C$7:$C$66,$E5946,'Vols additionnels'!$D$7:$D$66,$F5946,'Vols additionnels'!$B$7:$B$66,$D5946)</f>
        <v>1</v>
      </c>
      <c r="H5946" s="135" t="n">
        <f aca="false">$G5946*'Analyse capacite'!$F$8</f>
        <v>262</v>
      </c>
      <c r="I5946" s="135" t="n">
        <f aca="false">$G5946*'Analyse capacite'!$C$8</f>
        <v>18</v>
      </c>
      <c r="J5946" s="135" t="n">
        <f aca="false">$G5946*'Analyse capacite'!$D$8</f>
        <v>0</v>
      </c>
      <c r="K5946" s="135" t="n">
        <f aca="false">$G5946*'Analyse capacite'!$E$8</f>
        <v>244</v>
      </c>
    </row>
    <row r="5947" customFormat="false" ht="15" hidden="false" customHeight="false" outlineLevel="0" collapsed="false">
      <c r="B5947" s="130" t="n">
        <v>2027</v>
      </c>
      <c r="C5947" s="131" t="s">
        <v>251</v>
      </c>
      <c r="D5947" s="132" t="n">
        <v>46643</v>
      </c>
      <c r="E5947" s="131" t="s">
        <v>12</v>
      </c>
      <c r="F5947" s="133" t="s">
        <v>24</v>
      </c>
      <c r="G5947" s="134" t="n">
        <f aca="false">LEN('Saisie programme'!$D$210)+SUMIFS('Vols additionnels'!$E$7:$E$66,'Vols additionnels'!$C$7:$C$66,$E5947,'Vols additionnels'!$D$7:$D$66,$F5947,'Vols additionnels'!$B$7:$B$66,$D5947)</f>
        <v>2</v>
      </c>
      <c r="H5947" s="135" t="n">
        <f aca="false">$G5947*'Analyse capacite'!$F$9</f>
        <v>348</v>
      </c>
      <c r="I5947" s="135" t="n">
        <f aca="false">$G5947*'Analyse capacite'!$C$9</f>
        <v>0</v>
      </c>
      <c r="J5947" s="135" t="n">
        <f aca="false">$G5947*'Analyse capacite'!$D$9</f>
        <v>24</v>
      </c>
      <c r="K5947" s="135" t="n">
        <f aca="false">$G5947*'Analyse capacite'!$E$9</f>
        <v>324</v>
      </c>
    </row>
    <row r="5948" customFormat="false" ht="15" hidden="false" customHeight="false" outlineLevel="0" collapsed="false">
      <c r="B5948" s="130" t="n">
        <v>2027</v>
      </c>
      <c r="C5948" s="131" t="s">
        <v>251</v>
      </c>
      <c r="D5948" s="132" t="n">
        <v>46643</v>
      </c>
      <c r="E5948" s="131" t="s">
        <v>20</v>
      </c>
      <c r="F5948" s="133" t="s">
        <v>11</v>
      </c>
      <c r="G5948" s="134" t="n">
        <f aca="false">LEN('Saisie programme'!$D$211)+SUMIFS('Vols additionnels'!$E$7:$E$66,'Vols additionnels'!$C$7:$C$66,$E5948,'Vols additionnels'!$D$7:$D$66,$F5948,'Vols additionnels'!$B$7:$B$66,$D5948)</f>
        <v>0</v>
      </c>
      <c r="H5948" s="135" t="n">
        <f aca="false">$G5948*'Analyse capacite'!$F$7</f>
        <v>0</v>
      </c>
      <c r="I5948" s="135" t="n">
        <f aca="false">$G5948*'Analyse capacite'!$C$7</f>
        <v>0</v>
      </c>
      <c r="J5948" s="135" t="n">
        <f aca="false">$G5948*'Analyse capacite'!$D$7</f>
        <v>0</v>
      </c>
      <c r="K5948" s="135" t="n">
        <f aca="false">$G5948*'Analyse capacite'!$E$7</f>
        <v>0</v>
      </c>
    </row>
    <row r="5949" customFormat="false" ht="15" hidden="false" customHeight="false" outlineLevel="0" collapsed="false">
      <c r="B5949" s="130" t="n">
        <v>2027</v>
      </c>
      <c r="C5949" s="131" t="s">
        <v>251</v>
      </c>
      <c r="D5949" s="132" t="n">
        <v>46643</v>
      </c>
      <c r="E5949" s="131" t="s">
        <v>20</v>
      </c>
      <c r="F5949" s="133" t="s">
        <v>19</v>
      </c>
      <c r="G5949" s="134" t="n">
        <f aca="false">LEN('Saisie programme'!$D$212)+SUMIFS('Vols additionnels'!$E$7:$E$66,'Vols additionnels'!$C$7:$C$66,$E5949,'Vols additionnels'!$D$7:$D$66,$F5949,'Vols additionnels'!$B$7:$B$66,$D5949)</f>
        <v>0</v>
      </c>
      <c r="H5949" s="135" t="n">
        <f aca="false">$G5949*'Analyse capacite'!$F$8</f>
        <v>0</v>
      </c>
      <c r="I5949" s="135" t="n">
        <f aca="false">$G5949*'Analyse capacite'!$C$8</f>
        <v>0</v>
      </c>
      <c r="J5949" s="135" t="n">
        <f aca="false">$G5949*'Analyse capacite'!$D$8</f>
        <v>0</v>
      </c>
      <c r="K5949" s="135" t="n">
        <f aca="false">$G5949*'Analyse capacite'!$E$8</f>
        <v>0</v>
      </c>
    </row>
    <row r="5950" customFormat="false" ht="15" hidden="false" customHeight="false" outlineLevel="0" collapsed="false">
      <c r="B5950" s="130" t="n">
        <v>2027</v>
      </c>
      <c r="C5950" s="131" t="s">
        <v>251</v>
      </c>
      <c r="D5950" s="132" t="n">
        <v>46643</v>
      </c>
      <c r="E5950" s="131" t="s">
        <v>20</v>
      </c>
      <c r="F5950" s="133" t="s">
        <v>24</v>
      </c>
      <c r="G5950" s="134" t="n">
        <f aca="false">LEN('Saisie programme'!$D$213)+SUMIFS('Vols additionnels'!$E$7:$E$66,'Vols additionnels'!$C$7:$C$66,$E5950,'Vols additionnels'!$D$7:$D$66,$F5950,'Vols additionnels'!$B$7:$B$66,$D5950)</f>
        <v>0</v>
      </c>
      <c r="H5950" s="135" t="n">
        <f aca="false">$G5950*'Analyse capacite'!$F$9</f>
        <v>0</v>
      </c>
      <c r="I5950" s="135" t="n">
        <f aca="false">$G5950*'Analyse capacite'!$C$9</f>
        <v>0</v>
      </c>
      <c r="J5950" s="135" t="n">
        <f aca="false">$G5950*'Analyse capacite'!$D$9</f>
        <v>0</v>
      </c>
      <c r="K5950" s="135" t="n">
        <f aca="false">$G5950*'Analyse capacite'!$E$9</f>
        <v>0</v>
      </c>
    </row>
    <row r="5951" customFormat="false" ht="15" hidden="false" customHeight="false" outlineLevel="0" collapsed="false">
      <c r="B5951" s="130" t="n">
        <v>2027</v>
      </c>
      <c r="C5951" s="131" t="s">
        <v>251</v>
      </c>
      <c r="D5951" s="132" t="n">
        <v>46643</v>
      </c>
      <c r="E5951" s="131" t="s">
        <v>25</v>
      </c>
      <c r="F5951" s="133" t="s">
        <v>11</v>
      </c>
      <c r="G5951" s="134" t="n">
        <f aca="false">LEN('Saisie programme'!$D$214)+SUMIFS('Vols additionnels'!$E$7:$E$66,'Vols additionnels'!$C$7:$C$66,$E5951,'Vols additionnels'!$D$7:$D$66,$F5951,'Vols additionnels'!$B$7:$B$66,$D5951)</f>
        <v>0</v>
      </c>
      <c r="H5951" s="135" t="n">
        <f aca="false">$G5951*'Analyse capacite'!$F$7</f>
        <v>0</v>
      </c>
      <c r="I5951" s="135" t="n">
        <f aca="false">$G5951*'Analyse capacite'!$C$7</f>
        <v>0</v>
      </c>
      <c r="J5951" s="135" t="n">
        <f aca="false">$G5951*'Analyse capacite'!$D$7</f>
        <v>0</v>
      </c>
      <c r="K5951" s="135" t="n">
        <f aca="false">$G5951*'Analyse capacite'!$E$7</f>
        <v>0</v>
      </c>
    </row>
    <row r="5952" customFormat="false" ht="15" hidden="false" customHeight="false" outlineLevel="0" collapsed="false">
      <c r="B5952" s="130" t="n">
        <v>2027</v>
      </c>
      <c r="C5952" s="131" t="s">
        <v>251</v>
      </c>
      <c r="D5952" s="132" t="n">
        <v>46643</v>
      </c>
      <c r="E5952" s="131" t="s">
        <v>25</v>
      </c>
      <c r="F5952" s="133" t="s">
        <v>19</v>
      </c>
      <c r="G5952" s="134" t="n">
        <f aca="false">LEN('Saisie programme'!$D$215)+SUMIFS('Vols additionnels'!$E$7:$E$66,'Vols additionnels'!$C$7:$C$66,$E5952,'Vols additionnels'!$D$7:$D$66,$F5952,'Vols additionnels'!$B$7:$B$66,$D5952)</f>
        <v>0</v>
      </c>
      <c r="H5952" s="135" t="n">
        <f aca="false">$G5952*'Analyse capacite'!$F$8</f>
        <v>0</v>
      </c>
      <c r="I5952" s="135" t="n">
        <f aca="false">$G5952*'Analyse capacite'!$C$8</f>
        <v>0</v>
      </c>
      <c r="J5952" s="135" t="n">
        <f aca="false">$G5952*'Analyse capacite'!$D$8</f>
        <v>0</v>
      </c>
      <c r="K5952" s="135" t="n">
        <f aca="false">$G5952*'Analyse capacite'!$E$8</f>
        <v>0</v>
      </c>
    </row>
    <row r="5953" customFormat="false" ht="15" hidden="false" customHeight="false" outlineLevel="0" collapsed="false">
      <c r="B5953" s="130" t="n">
        <v>2027</v>
      </c>
      <c r="C5953" s="131" t="s">
        <v>251</v>
      </c>
      <c r="D5953" s="132" t="n">
        <v>46643</v>
      </c>
      <c r="E5953" s="131" t="s">
        <v>25</v>
      </c>
      <c r="F5953" s="133" t="s">
        <v>24</v>
      </c>
      <c r="G5953" s="134" t="n">
        <f aca="false">LEN('Saisie programme'!$D$216)+SUMIFS('Vols additionnels'!$E$7:$E$66,'Vols additionnels'!$C$7:$C$66,$E5953,'Vols additionnels'!$D$7:$D$66,$F5953,'Vols additionnels'!$B$7:$B$66,$D5953)</f>
        <v>0</v>
      </c>
      <c r="H5953" s="135" t="n">
        <f aca="false">$G5953*'Analyse capacite'!$F$9</f>
        <v>0</v>
      </c>
      <c r="I5953" s="135" t="n">
        <f aca="false">$G5953*'Analyse capacite'!$C$9</f>
        <v>0</v>
      </c>
      <c r="J5953" s="135" t="n">
        <f aca="false">$G5953*'Analyse capacite'!$D$9</f>
        <v>0</v>
      </c>
      <c r="K5953" s="135" t="n">
        <f aca="false">$G5953*'Analyse capacite'!$E$9</f>
        <v>0</v>
      </c>
    </row>
    <row r="5954" customFormat="false" ht="15" hidden="false" customHeight="false" outlineLevel="0" collapsed="false">
      <c r="B5954" s="130" t="n">
        <v>2027</v>
      </c>
      <c r="C5954" s="131" t="s">
        <v>251</v>
      </c>
      <c r="D5954" s="132" t="n">
        <v>46643</v>
      </c>
      <c r="E5954" s="131" t="s">
        <v>36</v>
      </c>
      <c r="F5954" s="133" t="s">
        <v>11</v>
      </c>
      <c r="G5954" s="134" t="n">
        <f aca="false">LEN('Saisie programme'!$D$217)+SUMIFS('Vols additionnels'!$E$7:$E$66,'Vols additionnels'!$C$7:$C$66,$E5954,'Vols additionnels'!$D$7:$D$66,$F5954,'Vols additionnels'!$B$7:$B$66,$D5954)</f>
        <v>0</v>
      </c>
      <c r="H5954" s="135" t="n">
        <f aca="false">$G5954*'Analyse capacite'!$F$7</f>
        <v>0</v>
      </c>
      <c r="I5954" s="135" t="n">
        <f aca="false">$G5954*'Analyse capacite'!$C$7</f>
        <v>0</v>
      </c>
      <c r="J5954" s="135" t="n">
        <f aca="false">$G5954*'Analyse capacite'!$D$7</f>
        <v>0</v>
      </c>
      <c r="K5954" s="135" t="n">
        <f aca="false">$G5954*'Analyse capacite'!$E$7</f>
        <v>0</v>
      </c>
    </row>
    <row r="5955" customFormat="false" ht="15" hidden="false" customHeight="false" outlineLevel="0" collapsed="false">
      <c r="B5955" s="130" t="n">
        <v>2027</v>
      </c>
      <c r="C5955" s="131" t="s">
        <v>251</v>
      </c>
      <c r="D5955" s="132" t="n">
        <v>46643</v>
      </c>
      <c r="E5955" s="131" t="s">
        <v>36</v>
      </c>
      <c r="F5955" s="133" t="s">
        <v>19</v>
      </c>
      <c r="G5955" s="134" t="n">
        <f aca="false">LEN('Saisie programme'!$D$218)+SUMIFS('Vols additionnels'!$E$7:$E$66,'Vols additionnels'!$C$7:$C$66,$E5955,'Vols additionnels'!$D$7:$D$66,$F5955,'Vols additionnels'!$B$7:$B$66,$D5955)</f>
        <v>0</v>
      </c>
      <c r="H5955" s="135" t="n">
        <f aca="false">$G5955*'Analyse capacite'!$F$8</f>
        <v>0</v>
      </c>
      <c r="I5955" s="135" t="n">
        <f aca="false">$G5955*'Analyse capacite'!$C$8</f>
        <v>0</v>
      </c>
      <c r="J5955" s="135" t="n">
        <f aca="false">$G5955*'Analyse capacite'!$D$8</f>
        <v>0</v>
      </c>
      <c r="K5955" s="135" t="n">
        <f aca="false">$G5955*'Analyse capacite'!$E$8</f>
        <v>0</v>
      </c>
    </row>
    <row r="5956" customFormat="false" ht="15" hidden="false" customHeight="false" outlineLevel="0" collapsed="false">
      <c r="B5956" s="130" t="n">
        <v>2027</v>
      </c>
      <c r="C5956" s="131" t="s">
        <v>251</v>
      </c>
      <c r="D5956" s="132" t="n">
        <v>46643</v>
      </c>
      <c r="E5956" s="131" t="s">
        <v>36</v>
      </c>
      <c r="F5956" s="133" t="s">
        <v>24</v>
      </c>
      <c r="G5956" s="134" t="n">
        <f aca="false">LEN('Saisie programme'!$D$219)+SUMIFS('Vols additionnels'!$E$7:$E$66,'Vols additionnels'!$C$7:$C$66,$E5956,'Vols additionnels'!$D$7:$D$66,$F5956,'Vols additionnels'!$B$7:$B$66,$D5956)</f>
        <v>1</v>
      </c>
      <c r="H5956" s="135" t="n">
        <f aca="false">$G5956*'Analyse capacite'!$F$9</f>
        <v>174</v>
      </c>
      <c r="I5956" s="135" t="n">
        <f aca="false">$G5956*'Analyse capacite'!$C$9</f>
        <v>0</v>
      </c>
      <c r="J5956" s="135" t="n">
        <f aca="false">$G5956*'Analyse capacite'!$D$9</f>
        <v>12</v>
      </c>
      <c r="K5956" s="135" t="n">
        <f aca="false">$G5956*'Analyse capacite'!$E$9</f>
        <v>162</v>
      </c>
    </row>
    <row r="5957" customFormat="false" ht="15" hidden="false" customHeight="false" outlineLevel="0" collapsed="false">
      <c r="B5957" s="130" t="n">
        <v>2027</v>
      </c>
      <c r="C5957" s="131" t="s">
        <v>251</v>
      </c>
      <c r="D5957" s="132" t="n">
        <v>46643</v>
      </c>
      <c r="E5957" s="131" t="s">
        <v>40</v>
      </c>
      <c r="F5957" s="133" t="s">
        <v>11</v>
      </c>
      <c r="G5957" s="134" t="n">
        <f aca="false">LEN('Saisie programme'!$D$220)+SUMIFS('Vols additionnels'!$E$7:$E$66,'Vols additionnels'!$C$7:$C$66,$E5957,'Vols additionnels'!$D$7:$D$66,$F5957,'Vols additionnels'!$B$7:$B$66,$D5957)</f>
        <v>0</v>
      </c>
      <c r="H5957" s="135" t="n">
        <f aca="false">$G5957*'Analyse capacite'!$F$7</f>
        <v>0</v>
      </c>
      <c r="I5957" s="135" t="n">
        <f aca="false">$G5957*'Analyse capacite'!$C$7</f>
        <v>0</v>
      </c>
      <c r="J5957" s="135" t="n">
        <f aca="false">$G5957*'Analyse capacite'!$D$7</f>
        <v>0</v>
      </c>
      <c r="K5957" s="135" t="n">
        <f aca="false">$G5957*'Analyse capacite'!$E$7</f>
        <v>0</v>
      </c>
    </row>
    <row r="5958" customFormat="false" ht="15" hidden="false" customHeight="false" outlineLevel="0" collapsed="false">
      <c r="B5958" s="130" t="n">
        <v>2027</v>
      </c>
      <c r="C5958" s="131" t="s">
        <v>251</v>
      </c>
      <c r="D5958" s="132" t="n">
        <v>46643</v>
      </c>
      <c r="E5958" s="131" t="s">
        <v>40</v>
      </c>
      <c r="F5958" s="133" t="s">
        <v>19</v>
      </c>
      <c r="G5958" s="134" t="n">
        <f aca="false">LEN('Saisie programme'!$D$221)+SUMIFS('Vols additionnels'!$E$7:$E$66,'Vols additionnels'!$C$7:$C$66,$E5958,'Vols additionnels'!$D$7:$D$66,$F5958,'Vols additionnels'!$B$7:$B$66,$D5958)</f>
        <v>0</v>
      </c>
      <c r="H5958" s="135" t="n">
        <f aca="false">$G5958*'Analyse capacite'!$F$8</f>
        <v>0</v>
      </c>
      <c r="I5958" s="135" t="n">
        <f aca="false">$G5958*'Analyse capacite'!$C$8</f>
        <v>0</v>
      </c>
      <c r="J5958" s="135" t="n">
        <f aca="false">$G5958*'Analyse capacite'!$D$8</f>
        <v>0</v>
      </c>
      <c r="K5958" s="135" t="n">
        <f aca="false">$G5958*'Analyse capacite'!$E$8</f>
        <v>0</v>
      </c>
    </row>
    <row r="5959" customFormat="false" ht="15" hidden="false" customHeight="false" outlineLevel="0" collapsed="false">
      <c r="B5959" s="130" t="n">
        <v>2027</v>
      </c>
      <c r="C5959" s="131" t="s">
        <v>251</v>
      </c>
      <c r="D5959" s="132" t="n">
        <v>46643</v>
      </c>
      <c r="E5959" s="131" t="s">
        <v>40</v>
      </c>
      <c r="F5959" s="133" t="s">
        <v>24</v>
      </c>
      <c r="G5959" s="134" t="n">
        <f aca="false">LEN('Saisie programme'!$D$222)+SUMIFS('Vols additionnels'!$E$7:$E$66,'Vols additionnels'!$C$7:$C$66,$E5959,'Vols additionnels'!$D$7:$D$66,$F5959,'Vols additionnels'!$B$7:$B$66,$D5959)</f>
        <v>1</v>
      </c>
      <c r="H5959" s="135" t="n">
        <f aca="false">$G5959*'Analyse capacite'!$F$9</f>
        <v>174</v>
      </c>
      <c r="I5959" s="135" t="n">
        <f aca="false">$G5959*'Analyse capacite'!$C$9</f>
        <v>0</v>
      </c>
      <c r="J5959" s="135" t="n">
        <f aca="false">$G5959*'Analyse capacite'!$D$9</f>
        <v>12</v>
      </c>
      <c r="K5959" s="135" t="n">
        <f aca="false">$G5959*'Analyse capacite'!$E$9</f>
        <v>162</v>
      </c>
    </row>
    <row r="5960" customFormat="false" ht="15" hidden="false" customHeight="false" outlineLevel="0" collapsed="false">
      <c r="B5960" s="130" t="n">
        <v>2027</v>
      </c>
      <c r="C5960" s="131" t="s">
        <v>251</v>
      </c>
      <c r="D5960" s="132" t="n">
        <v>46643</v>
      </c>
      <c r="E5960" s="131" t="s">
        <v>14</v>
      </c>
      <c r="F5960" s="133" t="s">
        <v>11</v>
      </c>
      <c r="G5960" s="134" t="n">
        <f aca="false">LEN('Saisie programme'!$D$223)+SUMIFS('Vols additionnels'!$E$7:$E$66,'Vols additionnels'!$C$7:$C$66,$E5960,'Vols additionnels'!$D$7:$D$66,$F5960,'Vols additionnels'!$B$7:$B$66,$D5960)</f>
        <v>0</v>
      </c>
      <c r="H5960" s="135" t="n">
        <f aca="false">$G5960*'Analyse capacite'!$F$7</f>
        <v>0</v>
      </c>
      <c r="I5960" s="135" t="n">
        <f aca="false">$G5960*'Analyse capacite'!$C$7</f>
        <v>0</v>
      </c>
      <c r="J5960" s="135" t="n">
        <f aca="false">$G5960*'Analyse capacite'!$D$7</f>
        <v>0</v>
      </c>
      <c r="K5960" s="135" t="n">
        <f aca="false">$G5960*'Analyse capacite'!$E$7</f>
        <v>0</v>
      </c>
    </row>
    <row r="5961" customFormat="false" ht="15" hidden="false" customHeight="false" outlineLevel="0" collapsed="false">
      <c r="B5961" s="130" t="n">
        <v>2027</v>
      </c>
      <c r="C5961" s="131" t="s">
        <v>251</v>
      </c>
      <c r="D5961" s="132" t="n">
        <v>46643</v>
      </c>
      <c r="E5961" s="131" t="s">
        <v>14</v>
      </c>
      <c r="F5961" s="133" t="s">
        <v>19</v>
      </c>
      <c r="G5961" s="134" t="n">
        <f aca="false">LEN('Saisie programme'!$D$224)+SUMIFS('Vols additionnels'!$E$7:$E$66,'Vols additionnels'!$C$7:$C$66,$E5961,'Vols additionnels'!$D$7:$D$66,$F5961,'Vols additionnels'!$B$7:$B$66,$D5961)</f>
        <v>0</v>
      </c>
      <c r="H5961" s="135" t="n">
        <f aca="false">$G5961*'Analyse capacite'!$F$8</f>
        <v>0</v>
      </c>
      <c r="I5961" s="135" t="n">
        <f aca="false">$G5961*'Analyse capacite'!$C$8</f>
        <v>0</v>
      </c>
      <c r="J5961" s="135" t="n">
        <f aca="false">$G5961*'Analyse capacite'!$D$8</f>
        <v>0</v>
      </c>
      <c r="K5961" s="135" t="n">
        <f aca="false">$G5961*'Analyse capacite'!$E$8</f>
        <v>0</v>
      </c>
    </row>
    <row r="5962" customFormat="false" ht="15" hidden="false" customHeight="false" outlineLevel="0" collapsed="false">
      <c r="B5962" s="130" t="n">
        <v>2027</v>
      </c>
      <c r="C5962" s="131" t="s">
        <v>251</v>
      </c>
      <c r="D5962" s="132" t="n">
        <v>46643</v>
      </c>
      <c r="E5962" s="131" t="s">
        <v>14</v>
      </c>
      <c r="F5962" s="133" t="s">
        <v>24</v>
      </c>
      <c r="G5962" s="134" t="n">
        <f aca="false">LEN('Saisie programme'!$D$225)+SUMIFS('Vols additionnels'!$E$7:$E$66,'Vols additionnels'!$C$7:$C$66,$E5962,'Vols additionnels'!$D$7:$D$66,$F5962,'Vols additionnels'!$B$7:$B$66,$D5962)</f>
        <v>1</v>
      </c>
      <c r="H5962" s="135" t="n">
        <f aca="false">$G5962*'Analyse capacite'!$F$9</f>
        <v>174</v>
      </c>
      <c r="I5962" s="135" t="n">
        <f aca="false">$G5962*'Analyse capacite'!$C$9</f>
        <v>0</v>
      </c>
      <c r="J5962" s="135" t="n">
        <f aca="false">$G5962*'Analyse capacite'!$D$9</f>
        <v>12</v>
      </c>
      <c r="K5962" s="135" t="n">
        <f aca="false">$G5962*'Analyse capacite'!$E$9</f>
        <v>162</v>
      </c>
    </row>
    <row r="5963" customFormat="false" ht="15" hidden="false" customHeight="false" outlineLevel="0" collapsed="false">
      <c r="B5963" s="130" t="n">
        <v>2027</v>
      </c>
      <c r="C5963" s="131" t="s">
        <v>251</v>
      </c>
      <c r="D5963" s="132" t="n">
        <v>46643</v>
      </c>
      <c r="E5963" s="131" t="s">
        <v>46</v>
      </c>
      <c r="F5963" s="133" t="s">
        <v>11</v>
      </c>
      <c r="G5963" s="134" t="n">
        <f aca="false">LEN('Saisie programme'!$D$226)+SUMIFS('Vols additionnels'!$E$7:$E$66,'Vols additionnels'!$C$7:$C$66,$E5963,'Vols additionnels'!$D$7:$D$66,$F5963,'Vols additionnels'!$B$7:$B$66,$D5963)</f>
        <v>0</v>
      </c>
      <c r="H5963" s="135" t="n">
        <f aca="false">$G5963*'Analyse capacite'!$F$7</f>
        <v>0</v>
      </c>
      <c r="I5963" s="135" t="n">
        <f aca="false">$G5963*'Analyse capacite'!$C$7</f>
        <v>0</v>
      </c>
      <c r="J5963" s="135" t="n">
        <f aca="false">$G5963*'Analyse capacite'!$D$7</f>
        <v>0</v>
      </c>
      <c r="K5963" s="135" t="n">
        <f aca="false">$G5963*'Analyse capacite'!$E$7</f>
        <v>0</v>
      </c>
    </row>
    <row r="5964" customFormat="false" ht="15" hidden="false" customHeight="false" outlineLevel="0" collapsed="false">
      <c r="B5964" s="130" t="n">
        <v>2027</v>
      </c>
      <c r="C5964" s="131" t="s">
        <v>251</v>
      </c>
      <c r="D5964" s="132" t="n">
        <v>46643</v>
      </c>
      <c r="E5964" s="131" t="s">
        <v>46</v>
      </c>
      <c r="F5964" s="133" t="s">
        <v>19</v>
      </c>
      <c r="G5964" s="134" t="n">
        <f aca="false">LEN('Saisie programme'!$D$227)+SUMIFS('Vols additionnels'!$E$7:$E$66,'Vols additionnels'!$C$7:$C$66,$E5964,'Vols additionnels'!$D$7:$D$66,$F5964,'Vols additionnels'!$B$7:$B$66,$D5964)</f>
        <v>0</v>
      </c>
      <c r="H5964" s="135" t="n">
        <f aca="false">$G5964*'Analyse capacite'!$F$8</f>
        <v>0</v>
      </c>
      <c r="I5964" s="135" t="n">
        <f aca="false">$G5964*'Analyse capacite'!$C$8</f>
        <v>0</v>
      </c>
      <c r="J5964" s="135" t="n">
        <f aca="false">$G5964*'Analyse capacite'!$D$8</f>
        <v>0</v>
      </c>
      <c r="K5964" s="135" t="n">
        <f aca="false">$G5964*'Analyse capacite'!$E$8</f>
        <v>0</v>
      </c>
    </row>
    <row r="5965" customFormat="false" ht="15" hidden="false" customHeight="false" outlineLevel="0" collapsed="false">
      <c r="B5965" s="130" t="n">
        <v>2027</v>
      </c>
      <c r="C5965" s="131" t="s">
        <v>251</v>
      </c>
      <c r="D5965" s="132" t="n">
        <v>46643</v>
      </c>
      <c r="E5965" s="131" t="s">
        <v>46</v>
      </c>
      <c r="F5965" s="133" t="s">
        <v>24</v>
      </c>
      <c r="G5965" s="134" t="n">
        <f aca="false">LEN('Saisie programme'!$D$228)+SUMIFS('Vols additionnels'!$E$7:$E$66,'Vols additionnels'!$C$7:$C$66,$E5965,'Vols additionnels'!$D$7:$D$66,$F5965,'Vols additionnels'!$B$7:$B$66,$D5965)</f>
        <v>0</v>
      </c>
      <c r="H5965" s="135" t="n">
        <f aca="false">$G5965*'Analyse capacite'!$F$9</f>
        <v>0</v>
      </c>
      <c r="I5965" s="135" t="n">
        <f aca="false">$G5965*'Analyse capacite'!$C$9</f>
        <v>0</v>
      </c>
      <c r="J5965" s="135" t="n">
        <f aca="false">$G5965*'Analyse capacite'!$D$9</f>
        <v>0</v>
      </c>
      <c r="K5965" s="135" t="n">
        <f aca="false">$G5965*'Analyse capacite'!$E$9</f>
        <v>0</v>
      </c>
    </row>
    <row r="5966" customFormat="false" ht="15" hidden="false" customHeight="false" outlineLevel="0" collapsed="false">
      <c r="B5966" s="130" t="n">
        <v>2027</v>
      </c>
      <c r="C5966" s="131" t="s">
        <v>251</v>
      </c>
      <c r="D5966" s="132" t="n">
        <v>46643</v>
      </c>
      <c r="E5966" s="131" t="s">
        <v>49</v>
      </c>
      <c r="F5966" s="133" t="s">
        <v>11</v>
      </c>
      <c r="G5966" s="134" t="n">
        <f aca="false">LEN('Saisie programme'!$D$229)+SUMIFS('Vols additionnels'!$E$7:$E$66,'Vols additionnels'!$C$7:$C$66,$E5966,'Vols additionnels'!$D$7:$D$66,$F5966,'Vols additionnels'!$B$7:$B$66,$D5966)</f>
        <v>0</v>
      </c>
      <c r="H5966" s="135" t="n">
        <f aca="false">$G5966*'Analyse capacite'!$F$7</f>
        <v>0</v>
      </c>
      <c r="I5966" s="135" t="n">
        <f aca="false">$G5966*'Analyse capacite'!$C$7</f>
        <v>0</v>
      </c>
      <c r="J5966" s="135" t="n">
        <f aca="false">$G5966*'Analyse capacite'!$D$7</f>
        <v>0</v>
      </c>
      <c r="K5966" s="135" t="n">
        <f aca="false">$G5966*'Analyse capacite'!$E$7</f>
        <v>0</v>
      </c>
    </row>
    <row r="5967" customFormat="false" ht="15" hidden="false" customHeight="false" outlineLevel="0" collapsed="false">
      <c r="B5967" s="130" t="n">
        <v>2027</v>
      </c>
      <c r="C5967" s="131" t="s">
        <v>251</v>
      </c>
      <c r="D5967" s="132" t="n">
        <v>46643</v>
      </c>
      <c r="E5967" s="131" t="s">
        <v>49</v>
      </c>
      <c r="F5967" s="133" t="s">
        <v>19</v>
      </c>
      <c r="G5967" s="134" t="n">
        <f aca="false">LEN('Saisie programme'!$D$230)+SUMIFS('Vols additionnels'!$E$7:$E$66,'Vols additionnels'!$C$7:$C$66,$E5967,'Vols additionnels'!$D$7:$D$66,$F5967,'Vols additionnels'!$B$7:$B$66,$D5967)</f>
        <v>1</v>
      </c>
      <c r="H5967" s="135" t="n">
        <f aca="false">$G5967*'Analyse capacite'!$F$8</f>
        <v>262</v>
      </c>
      <c r="I5967" s="135" t="n">
        <f aca="false">$G5967*'Analyse capacite'!$C$8</f>
        <v>18</v>
      </c>
      <c r="J5967" s="135" t="n">
        <f aca="false">$G5967*'Analyse capacite'!$D$8</f>
        <v>0</v>
      </c>
      <c r="K5967" s="135" t="n">
        <f aca="false">$G5967*'Analyse capacite'!$E$8</f>
        <v>244</v>
      </c>
    </row>
    <row r="5968" customFormat="false" ht="15" hidden="false" customHeight="false" outlineLevel="0" collapsed="false">
      <c r="B5968" s="130" t="n">
        <v>2027</v>
      </c>
      <c r="C5968" s="131" t="s">
        <v>251</v>
      </c>
      <c r="D5968" s="132" t="n">
        <v>46643</v>
      </c>
      <c r="E5968" s="131" t="s">
        <v>49</v>
      </c>
      <c r="F5968" s="133" t="s">
        <v>24</v>
      </c>
      <c r="G5968" s="134" t="n">
        <f aca="false">LEN('Saisie programme'!$D$231)+SUMIFS('Vols additionnels'!$E$7:$E$66,'Vols additionnels'!$C$7:$C$66,$E5968,'Vols additionnels'!$D$7:$D$66,$F5968,'Vols additionnels'!$B$7:$B$66,$D5968)</f>
        <v>0</v>
      </c>
      <c r="H5968" s="135" t="n">
        <f aca="false">$G5968*'Analyse capacite'!$F$9</f>
        <v>0</v>
      </c>
      <c r="I5968" s="135" t="n">
        <f aca="false">$G5968*'Analyse capacite'!$C$9</f>
        <v>0</v>
      </c>
      <c r="J5968" s="135" t="n">
        <f aca="false">$G5968*'Analyse capacite'!$D$9</f>
        <v>0</v>
      </c>
      <c r="K5968" s="135" t="n">
        <f aca="false">$G5968*'Analyse capacite'!$E$9</f>
        <v>0</v>
      </c>
    </row>
    <row r="5969" customFormat="false" ht="15" hidden="false" customHeight="false" outlineLevel="0" collapsed="false">
      <c r="B5969" s="130" t="n">
        <v>2027</v>
      </c>
      <c r="C5969" s="131" t="s">
        <v>251</v>
      </c>
      <c r="D5969" s="132" t="n">
        <v>46643</v>
      </c>
      <c r="E5969" s="131" t="s">
        <v>53</v>
      </c>
      <c r="F5969" s="133" t="s">
        <v>11</v>
      </c>
      <c r="G5969" s="134" t="n">
        <f aca="false">LEN('Saisie programme'!$D$232)+SUMIFS('Vols additionnels'!$E$7:$E$66,'Vols additionnels'!$C$7:$C$66,$E5969,'Vols additionnels'!$D$7:$D$66,$F5969,'Vols additionnels'!$B$7:$B$66,$D5969)</f>
        <v>0</v>
      </c>
      <c r="H5969" s="135" t="n">
        <f aca="false">$G5969*'Analyse capacite'!$F$7</f>
        <v>0</v>
      </c>
      <c r="I5969" s="135" t="n">
        <f aca="false">$G5969*'Analyse capacite'!$C$7</f>
        <v>0</v>
      </c>
      <c r="J5969" s="135" t="n">
        <f aca="false">$G5969*'Analyse capacite'!$D$7</f>
        <v>0</v>
      </c>
      <c r="K5969" s="135" t="n">
        <f aca="false">$G5969*'Analyse capacite'!$E$7</f>
        <v>0</v>
      </c>
    </row>
    <row r="5970" customFormat="false" ht="15" hidden="false" customHeight="false" outlineLevel="0" collapsed="false">
      <c r="B5970" s="130" t="n">
        <v>2027</v>
      </c>
      <c r="C5970" s="131" t="s">
        <v>251</v>
      </c>
      <c r="D5970" s="132" t="n">
        <v>46643</v>
      </c>
      <c r="E5970" s="131" t="s">
        <v>53</v>
      </c>
      <c r="F5970" s="133" t="s">
        <v>19</v>
      </c>
      <c r="G5970" s="134" t="n">
        <f aca="false">LEN('Saisie programme'!$D$233)+SUMIFS('Vols additionnels'!$E$7:$E$66,'Vols additionnels'!$C$7:$C$66,$E5970,'Vols additionnels'!$D$7:$D$66,$F5970,'Vols additionnels'!$B$7:$B$66,$D5970)</f>
        <v>0</v>
      </c>
      <c r="H5970" s="135" t="n">
        <f aca="false">$G5970*'Analyse capacite'!$F$8</f>
        <v>0</v>
      </c>
      <c r="I5970" s="135" t="n">
        <f aca="false">$G5970*'Analyse capacite'!$C$8</f>
        <v>0</v>
      </c>
      <c r="J5970" s="135" t="n">
        <f aca="false">$G5970*'Analyse capacite'!$D$8</f>
        <v>0</v>
      </c>
      <c r="K5970" s="135" t="n">
        <f aca="false">$G5970*'Analyse capacite'!$E$8</f>
        <v>0</v>
      </c>
    </row>
    <row r="5971" customFormat="false" ht="15" hidden="false" customHeight="false" outlineLevel="0" collapsed="false">
      <c r="B5971" s="130" t="n">
        <v>2027</v>
      </c>
      <c r="C5971" s="131" t="s">
        <v>251</v>
      </c>
      <c r="D5971" s="132" t="n">
        <v>46643</v>
      </c>
      <c r="E5971" s="131" t="s">
        <v>53</v>
      </c>
      <c r="F5971" s="133" t="s">
        <v>24</v>
      </c>
      <c r="G5971" s="134" t="n">
        <f aca="false">LEN('Saisie programme'!$D$234)+SUMIFS('Vols additionnels'!$E$7:$E$66,'Vols additionnels'!$C$7:$C$66,$E5971,'Vols additionnels'!$D$7:$D$66,$F5971,'Vols additionnels'!$B$7:$B$66,$D5971)</f>
        <v>0</v>
      </c>
      <c r="H5971" s="135" t="n">
        <f aca="false">$G5971*'Analyse capacite'!$F$9</f>
        <v>0</v>
      </c>
      <c r="I5971" s="135" t="n">
        <f aca="false">$G5971*'Analyse capacite'!$C$9</f>
        <v>0</v>
      </c>
      <c r="J5971" s="135" t="n">
        <f aca="false">$G5971*'Analyse capacite'!$D$9</f>
        <v>0</v>
      </c>
      <c r="K5971" s="135" t="n">
        <f aca="false">$G5971*'Analyse capacite'!$E$9</f>
        <v>0</v>
      </c>
    </row>
    <row r="5972" customFormat="false" ht="15" hidden="false" customHeight="false" outlineLevel="0" collapsed="false">
      <c r="B5972" s="130" t="n">
        <v>2027</v>
      </c>
      <c r="C5972" s="131" t="s">
        <v>251</v>
      </c>
      <c r="D5972" s="132" t="n">
        <v>46643</v>
      </c>
      <c r="E5972" s="131" t="s">
        <v>56</v>
      </c>
      <c r="F5972" s="133" t="s">
        <v>11</v>
      </c>
      <c r="G5972" s="134" t="n">
        <f aca="false">LEN('Saisie programme'!$D$235)+SUMIFS('Vols additionnels'!$E$7:$E$66,'Vols additionnels'!$C$7:$C$66,$E5972,'Vols additionnels'!$D$7:$D$66,$F5972,'Vols additionnels'!$B$7:$B$66,$D5972)</f>
        <v>0</v>
      </c>
      <c r="H5972" s="135" t="n">
        <f aca="false">$G5972*'Analyse capacite'!$F$7</f>
        <v>0</v>
      </c>
      <c r="I5972" s="135" t="n">
        <f aca="false">$G5972*'Analyse capacite'!$C$7</f>
        <v>0</v>
      </c>
      <c r="J5972" s="135" t="n">
        <f aca="false">$G5972*'Analyse capacite'!$D$7</f>
        <v>0</v>
      </c>
      <c r="K5972" s="135" t="n">
        <f aca="false">$G5972*'Analyse capacite'!$E$7</f>
        <v>0</v>
      </c>
    </row>
    <row r="5973" customFormat="false" ht="15" hidden="false" customHeight="false" outlineLevel="0" collapsed="false">
      <c r="B5973" s="130" t="n">
        <v>2027</v>
      </c>
      <c r="C5973" s="131" t="s">
        <v>251</v>
      </c>
      <c r="D5973" s="132" t="n">
        <v>46643</v>
      </c>
      <c r="E5973" s="131" t="s">
        <v>56</v>
      </c>
      <c r="F5973" s="133" t="s">
        <v>19</v>
      </c>
      <c r="G5973" s="134" t="n">
        <f aca="false">LEN('Saisie programme'!$D$236)+SUMIFS('Vols additionnels'!$E$7:$E$66,'Vols additionnels'!$C$7:$C$66,$E5973,'Vols additionnels'!$D$7:$D$66,$F5973,'Vols additionnels'!$B$7:$B$66,$D5973)</f>
        <v>0</v>
      </c>
      <c r="H5973" s="135" t="n">
        <f aca="false">$G5973*'Analyse capacite'!$F$8</f>
        <v>0</v>
      </c>
      <c r="I5973" s="135" t="n">
        <f aca="false">$G5973*'Analyse capacite'!$C$8</f>
        <v>0</v>
      </c>
      <c r="J5973" s="135" t="n">
        <f aca="false">$G5973*'Analyse capacite'!$D$8</f>
        <v>0</v>
      </c>
      <c r="K5973" s="135" t="n">
        <f aca="false">$G5973*'Analyse capacite'!$E$8</f>
        <v>0</v>
      </c>
    </row>
    <row r="5974" customFormat="false" ht="15" hidden="false" customHeight="false" outlineLevel="0" collapsed="false">
      <c r="B5974" s="130" t="n">
        <v>2027</v>
      </c>
      <c r="C5974" s="131" t="s">
        <v>251</v>
      </c>
      <c r="D5974" s="132" t="n">
        <v>46643</v>
      </c>
      <c r="E5974" s="131" t="s">
        <v>56</v>
      </c>
      <c r="F5974" s="133" t="s">
        <v>24</v>
      </c>
      <c r="G5974" s="134" t="n">
        <f aca="false">LEN('Saisie programme'!$D$237)+SUMIFS('Vols additionnels'!$E$7:$E$66,'Vols additionnels'!$C$7:$C$66,$E5974,'Vols additionnels'!$D$7:$D$66,$F5974,'Vols additionnels'!$B$7:$B$66,$D5974)</f>
        <v>0</v>
      </c>
      <c r="H5974" s="135" t="n">
        <f aca="false">$G5974*'Analyse capacite'!$F$9</f>
        <v>0</v>
      </c>
      <c r="I5974" s="135" t="n">
        <f aca="false">$G5974*'Analyse capacite'!$C$9</f>
        <v>0</v>
      </c>
      <c r="J5974" s="135" t="n">
        <f aca="false">$G5974*'Analyse capacite'!$D$9</f>
        <v>0</v>
      </c>
      <c r="K5974" s="135" t="n">
        <f aca="false">$G5974*'Analyse capacite'!$E$9</f>
        <v>0</v>
      </c>
    </row>
    <row r="5975" customFormat="false" ht="15" hidden="false" customHeight="false" outlineLevel="0" collapsed="false">
      <c r="B5975" s="130" t="n">
        <v>2027</v>
      </c>
      <c r="C5975" s="131" t="s">
        <v>251</v>
      </c>
      <c r="D5975" s="132" t="n">
        <v>46643</v>
      </c>
      <c r="E5975" s="131" t="s">
        <v>59</v>
      </c>
      <c r="F5975" s="133" t="s">
        <v>11</v>
      </c>
      <c r="G5975" s="134" t="n">
        <f aca="false">LEN('Saisie programme'!$D$238)+SUMIFS('Vols additionnels'!$E$7:$E$66,'Vols additionnels'!$C$7:$C$66,$E5975,'Vols additionnels'!$D$7:$D$66,$F5975,'Vols additionnels'!$B$7:$B$66,$D5975)</f>
        <v>0</v>
      </c>
      <c r="H5975" s="135" t="n">
        <f aca="false">$G5975*'Analyse capacite'!$F$7</f>
        <v>0</v>
      </c>
      <c r="I5975" s="135" t="n">
        <f aca="false">$G5975*'Analyse capacite'!$C$7</f>
        <v>0</v>
      </c>
      <c r="J5975" s="135" t="n">
        <f aca="false">$G5975*'Analyse capacite'!$D$7</f>
        <v>0</v>
      </c>
      <c r="K5975" s="135" t="n">
        <f aca="false">$G5975*'Analyse capacite'!$E$7</f>
        <v>0</v>
      </c>
    </row>
    <row r="5976" customFormat="false" ht="15" hidden="false" customHeight="false" outlineLevel="0" collapsed="false">
      <c r="B5976" s="130" t="n">
        <v>2027</v>
      </c>
      <c r="C5976" s="131" t="s">
        <v>251</v>
      </c>
      <c r="D5976" s="132" t="n">
        <v>46643</v>
      </c>
      <c r="E5976" s="131" t="s">
        <v>59</v>
      </c>
      <c r="F5976" s="133" t="s">
        <v>19</v>
      </c>
      <c r="G5976" s="134" t="n">
        <f aca="false">LEN('Saisie programme'!$D$239)+SUMIFS('Vols additionnels'!$E$7:$E$66,'Vols additionnels'!$C$7:$C$66,$E5976,'Vols additionnels'!$D$7:$D$66,$F5976,'Vols additionnels'!$B$7:$B$66,$D5976)</f>
        <v>0</v>
      </c>
      <c r="H5976" s="135" t="n">
        <f aca="false">$G5976*'Analyse capacite'!$F$8</f>
        <v>0</v>
      </c>
      <c r="I5976" s="135" t="n">
        <f aca="false">$G5976*'Analyse capacite'!$C$8</f>
        <v>0</v>
      </c>
      <c r="J5976" s="135" t="n">
        <f aca="false">$G5976*'Analyse capacite'!$D$8</f>
        <v>0</v>
      </c>
      <c r="K5976" s="135" t="n">
        <f aca="false">$G5976*'Analyse capacite'!$E$8</f>
        <v>0</v>
      </c>
    </row>
    <row r="5977" customFormat="false" ht="15" hidden="false" customHeight="false" outlineLevel="0" collapsed="false">
      <c r="B5977" s="130" t="n">
        <v>2027</v>
      </c>
      <c r="C5977" s="131" t="s">
        <v>251</v>
      </c>
      <c r="D5977" s="132" t="n">
        <v>46643</v>
      </c>
      <c r="E5977" s="131" t="s">
        <v>59</v>
      </c>
      <c r="F5977" s="133" t="s">
        <v>24</v>
      </c>
      <c r="G5977" s="134" t="n">
        <f aca="false">LEN('Saisie programme'!$D$240)+SUMIFS('Vols additionnels'!$E$7:$E$66,'Vols additionnels'!$C$7:$C$66,$E5977,'Vols additionnels'!$D$7:$D$66,$F5977,'Vols additionnels'!$B$7:$B$66,$D5977)</f>
        <v>1</v>
      </c>
      <c r="H5977" s="135" t="n">
        <f aca="false">$G5977*'Analyse capacite'!$F$9</f>
        <v>174</v>
      </c>
      <c r="I5977" s="135" t="n">
        <f aca="false">$G5977*'Analyse capacite'!$C$9</f>
        <v>0</v>
      </c>
      <c r="J5977" s="135" t="n">
        <f aca="false">$G5977*'Analyse capacite'!$D$9</f>
        <v>12</v>
      </c>
      <c r="K5977" s="135" t="n">
        <f aca="false">$G5977*'Analyse capacite'!$E$9</f>
        <v>162</v>
      </c>
    </row>
    <row r="5978" customFormat="false" ht="15" hidden="false" customHeight="false" outlineLevel="0" collapsed="false">
      <c r="B5978" s="130" t="n">
        <v>2027</v>
      </c>
      <c r="C5978" s="131" t="s">
        <v>251</v>
      </c>
      <c r="D5978" s="132" t="n">
        <v>46643</v>
      </c>
      <c r="E5978" s="131" t="s">
        <v>62</v>
      </c>
      <c r="F5978" s="133" t="s">
        <v>11</v>
      </c>
      <c r="G5978" s="134" t="n">
        <f aca="false">LEN('Saisie programme'!$D$241)+SUMIFS('Vols additionnels'!$E$7:$E$66,'Vols additionnels'!$C$7:$C$66,$E5978,'Vols additionnels'!$D$7:$D$66,$F5978,'Vols additionnels'!$B$7:$B$66,$D5978)</f>
        <v>0</v>
      </c>
      <c r="H5978" s="135" t="n">
        <f aca="false">$G5978*'Analyse capacite'!$F$7</f>
        <v>0</v>
      </c>
      <c r="I5978" s="135" t="n">
        <f aca="false">$G5978*'Analyse capacite'!$C$7</f>
        <v>0</v>
      </c>
      <c r="J5978" s="135" t="n">
        <f aca="false">$G5978*'Analyse capacite'!$D$7</f>
        <v>0</v>
      </c>
      <c r="K5978" s="135" t="n">
        <f aca="false">$G5978*'Analyse capacite'!$E$7</f>
        <v>0</v>
      </c>
    </row>
    <row r="5979" customFormat="false" ht="15" hidden="false" customHeight="false" outlineLevel="0" collapsed="false">
      <c r="B5979" s="130" t="n">
        <v>2027</v>
      </c>
      <c r="C5979" s="131" t="s">
        <v>251</v>
      </c>
      <c r="D5979" s="132" t="n">
        <v>46643</v>
      </c>
      <c r="E5979" s="131" t="s">
        <v>62</v>
      </c>
      <c r="F5979" s="133" t="s">
        <v>19</v>
      </c>
      <c r="G5979" s="134" t="n">
        <f aca="false">LEN('Saisie programme'!$D$242)+SUMIFS('Vols additionnels'!$E$7:$E$66,'Vols additionnels'!$C$7:$C$66,$E5979,'Vols additionnels'!$D$7:$D$66,$F5979,'Vols additionnels'!$B$7:$B$66,$D5979)</f>
        <v>0</v>
      </c>
      <c r="H5979" s="135" t="n">
        <f aca="false">$G5979*'Analyse capacite'!$F$8</f>
        <v>0</v>
      </c>
      <c r="I5979" s="135" t="n">
        <f aca="false">$G5979*'Analyse capacite'!$C$8</f>
        <v>0</v>
      </c>
      <c r="J5979" s="135" t="n">
        <f aca="false">$G5979*'Analyse capacite'!$D$8</f>
        <v>0</v>
      </c>
      <c r="K5979" s="135" t="n">
        <f aca="false">$G5979*'Analyse capacite'!$E$8</f>
        <v>0</v>
      </c>
    </row>
    <row r="5980" customFormat="false" ht="15" hidden="false" customHeight="false" outlineLevel="0" collapsed="false">
      <c r="B5980" s="130" t="n">
        <v>2027</v>
      </c>
      <c r="C5980" s="131" t="s">
        <v>251</v>
      </c>
      <c r="D5980" s="132" t="n">
        <v>46643</v>
      </c>
      <c r="E5980" s="131" t="s">
        <v>62</v>
      </c>
      <c r="F5980" s="133" t="s">
        <v>24</v>
      </c>
      <c r="G5980" s="134" t="n">
        <f aca="false">LEN('Saisie programme'!$D$243)+SUMIFS('Vols additionnels'!$E$7:$E$66,'Vols additionnels'!$C$7:$C$66,$E5980,'Vols additionnels'!$D$7:$D$66,$F5980,'Vols additionnels'!$B$7:$B$66,$D5980)</f>
        <v>0</v>
      </c>
      <c r="H5980" s="135" t="n">
        <f aca="false">$G5980*'Analyse capacite'!$F$9</f>
        <v>0</v>
      </c>
      <c r="I5980" s="135" t="n">
        <f aca="false">$G5980*'Analyse capacite'!$C$9</f>
        <v>0</v>
      </c>
      <c r="J5980" s="135" t="n">
        <f aca="false">$G5980*'Analyse capacite'!$D$9</f>
        <v>0</v>
      </c>
      <c r="K5980" s="135" t="n">
        <f aca="false">$G5980*'Analyse capacite'!$E$9</f>
        <v>0</v>
      </c>
    </row>
    <row r="5981" customFormat="false" ht="15" hidden="false" customHeight="false" outlineLevel="0" collapsed="false">
      <c r="B5981" s="130" t="n">
        <v>2027</v>
      </c>
      <c r="C5981" s="131" t="s">
        <v>251</v>
      </c>
      <c r="D5981" s="132" t="n">
        <v>46644</v>
      </c>
      <c r="E5981" s="131" t="s">
        <v>12</v>
      </c>
      <c r="F5981" s="133" t="s">
        <v>11</v>
      </c>
      <c r="G5981" s="134" t="n">
        <f aca="false">LEN('Saisie programme'!$E$208)+SUMIFS('Vols additionnels'!$E$7:$E$66,'Vols additionnels'!$C$7:$C$66,$E5981,'Vols additionnels'!$D$7:$D$66,$F5981,'Vols additionnels'!$B$7:$B$66,$D5981)</f>
        <v>1</v>
      </c>
      <c r="H5981" s="135" t="n">
        <f aca="false">$G5981*'Analyse capacite'!$F$7</f>
        <v>438</v>
      </c>
      <c r="I5981" s="135" t="n">
        <f aca="false">$G5981*'Analyse capacite'!$C$7</f>
        <v>14</v>
      </c>
      <c r="J5981" s="135" t="n">
        <f aca="false">$G5981*'Analyse capacite'!$D$7</f>
        <v>40</v>
      </c>
      <c r="K5981" s="135" t="n">
        <f aca="false">$G5981*'Analyse capacite'!$E$7</f>
        <v>384</v>
      </c>
    </row>
    <row r="5982" customFormat="false" ht="15" hidden="false" customHeight="false" outlineLevel="0" collapsed="false">
      <c r="B5982" s="130" t="n">
        <v>2027</v>
      </c>
      <c r="C5982" s="131" t="s">
        <v>251</v>
      </c>
      <c r="D5982" s="132" t="n">
        <v>46644</v>
      </c>
      <c r="E5982" s="131" t="s">
        <v>12</v>
      </c>
      <c r="F5982" s="133" t="s">
        <v>19</v>
      </c>
      <c r="G5982" s="134" t="n">
        <f aca="false">LEN('Saisie programme'!$E$209)+SUMIFS('Vols additionnels'!$E$7:$E$66,'Vols additionnels'!$C$7:$C$66,$E5982,'Vols additionnels'!$D$7:$D$66,$F5982,'Vols additionnels'!$B$7:$B$66,$D5982)</f>
        <v>0</v>
      </c>
      <c r="H5982" s="135" t="n">
        <f aca="false">$G5982*'Analyse capacite'!$F$8</f>
        <v>0</v>
      </c>
      <c r="I5982" s="135" t="n">
        <f aca="false">$G5982*'Analyse capacite'!$C$8</f>
        <v>0</v>
      </c>
      <c r="J5982" s="135" t="n">
        <f aca="false">$G5982*'Analyse capacite'!$D$8</f>
        <v>0</v>
      </c>
      <c r="K5982" s="135" t="n">
        <f aca="false">$G5982*'Analyse capacite'!$E$8</f>
        <v>0</v>
      </c>
    </row>
    <row r="5983" customFormat="false" ht="15" hidden="false" customHeight="false" outlineLevel="0" collapsed="false">
      <c r="B5983" s="130" t="n">
        <v>2027</v>
      </c>
      <c r="C5983" s="131" t="s">
        <v>251</v>
      </c>
      <c r="D5983" s="132" t="n">
        <v>46644</v>
      </c>
      <c r="E5983" s="131" t="s">
        <v>12</v>
      </c>
      <c r="F5983" s="133" t="s">
        <v>24</v>
      </c>
      <c r="G5983" s="134" t="n">
        <f aca="false">LEN('Saisie programme'!$E$210)+SUMIFS('Vols additionnels'!$E$7:$E$66,'Vols additionnels'!$C$7:$C$66,$E5983,'Vols additionnels'!$D$7:$D$66,$F5983,'Vols additionnels'!$B$7:$B$66,$D5983)</f>
        <v>0</v>
      </c>
      <c r="H5983" s="135" t="n">
        <f aca="false">$G5983*'Analyse capacite'!$F$9</f>
        <v>0</v>
      </c>
      <c r="I5983" s="135" t="n">
        <f aca="false">$G5983*'Analyse capacite'!$C$9</f>
        <v>0</v>
      </c>
      <c r="J5983" s="135" t="n">
        <f aca="false">$G5983*'Analyse capacite'!$D$9</f>
        <v>0</v>
      </c>
      <c r="K5983" s="135" t="n">
        <f aca="false">$G5983*'Analyse capacite'!$E$9</f>
        <v>0</v>
      </c>
    </row>
    <row r="5984" customFormat="false" ht="15" hidden="false" customHeight="false" outlineLevel="0" collapsed="false">
      <c r="B5984" s="130" t="n">
        <v>2027</v>
      </c>
      <c r="C5984" s="131" t="s">
        <v>251</v>
      </c>
      <c r="D5984" s="132" t="n">
        <v>46644</v>
      </c>
      <c r="E5984" s="131" t="s">
        <v>20</v>
      </c>
      <c r="F5984" s="133" t="s">
        <v>11</v>
      </c>
      <c r="G5984" s="134" t="n">
        <f aca="false">LEN('Saisie programme'!$E$211)+SUMIFS('Vols additionnels'!$E$7:$E$66,'Vols additionnels'!$C$7:$C$66,$E5984,'Vols additionnels'!$D$7:$D$66,$F5984,'Vols additionnels'!$B$7:$B$66,$D5984)</f>
        <v>0</v>
      </c>
      <c r="H5984" s="135" t="n">
        <f aca="false">$G5984*'Analyse capacite'!$F$7</f>
        <v>0</v>
      </c>
      <c r="I5984" s="135" t="n">
        <f aca="false">$G5984*'Analyse capacite'!$C$7</f>
        <v>0</v>
      </c>
      <c r="J5984" s="135" t="n">
        <f aca="false">$G5984*'Analyse capacite'!$D$7</f>
        <v>0</v>
      </c>
      <c r="K5984" s="135" t="n">
        <f aca="false">$G5984*'Analyse capacite'!$E$7</f>
        <v>0</v>
      </c>
    </row>
    <row r="5985" customFormat="false" ht="15" hidden="false" customHeight="false" outlineLevel="0" collapsed="false">
      <c r="B5985" s="130" t="n">
        <v>2027</v>
      </c>
      <c r="C5985" s="131" t="s">
        <v>251</v>
      </c>
      <c r="D5985" s="132" t="n">
        <v>46644</v>
      </c>
      <c r="E5985" s="131" t="s">
        <v>20</v>
      </c>
      <c r="F5985" s="133" t="s">
        <v>19</v>
      </c>
      <c r="G5985" s="134" t="n">
        <f aca="false">LEN('Saisie programme'!$E$212)+SUMIFS('Vols additionnels'!$E$7:$E$66,'Vols additionnels'!$C$7:$C$66,$E5985,'Vols additionnels'!$D$7:$D$66,$F5985,'Vols additionnels'!$B$7:$B$66,$D5985)</f>
        <v>1</v>
      </c>
      <c r="H5985" s="135" t="n">
        <f aca="false">$G5985*'Analyse capacite'!$F$8</f>
        <v>262</v>
      </c>
      <c r="I5985" s="135" t="n">
        <f aca="false">$G5985*'Analyse capacite'!$C$8</f>
        <v>18</v>
      </c>
      <c r="J5985" s="135" t="n">
        <f aca="false">$G5985*'Analyse capacite'!$D$8</f>
        <v>0</v>
      </c>
      <c r="K5985" s="135" t="n">
        <f aca="false">$G5985*'Analyse capacite'!$E$8</f>
        <v>244</v>
      </c>
    </row>
    <row r="5986" customFormat="false" ht="15" hidden="false" customHeight="false" outlineLevel="0" collapsed="false">
      <c r="B5986" s="130" t="n">
        <v>2027</v>
      </c>
      <c r="C5986" s="131" t="s">
        <v>251</v>
      </c>
      <c r="D5986" s="132" t="n">
        <v>46644</v>
      </c>
      <c r="E5986" s="131" t="s">
        <v>20</v>
      </c>
      <c r="F5986" s="133" t="s">
        <v>24</v>
      </c>
      <c r="G5986" s="134" t="n">
        <f aca="false">LEN('Saisie programme'!$E$213)+SUMIFS('Vols additionnels'!$E$7:$E$66,'Vols additionnels'!$C$7:$C$66,$E5986,'Vols additionnels'!$D$7:$D$66,$F5986,'Vols additionnels'!$B$7:$B$66,$D5986)</f>
        <v>0</v>
      </c>
      <c r="H5986" s="135" t="n">
        <f aca="false">$G5986*'Analyse capacite'!$F$9</f>
        <v>0</v>
      </c>
      <c r="I5986" s="135" t="n">
        <f aca="false">$G5986*'Analyse capacite'!$C$9</f>
        <v>0</v>
      </c>
      <c r="J5986" s="135" t="n">
        <f aca="false">$G5986*'Analyse capacite'!$D$9</f>
        <v>0</v>
      </c>
      <c r="K5986" s="135" t="n">
        <f aca="false">$G5986*'Analyse capacite'!$E$9</f>
        <v>0</v>
      </c>
    </row>
    <row r="5987" customFormat="false" ht="15" hidden="false" customHeight="false" outlineLevel="0" collapsed="false">
      <c r="B5987" s="130" t="n">
        <v>2027</v>
      </c>
      <c r="C5987" s="131" t="s">
        <v>251</v>
      </c>
      <c r="D5987" s="132" t="n">
        <v>46644</v>
      </c>
      <c r="E5987" s="131" t="s">
        <v>25</v>
      </c>
      <c r="F5987" s="133" t="s">
        <v>11</v>
      </c>
      <c r="G5987" s="134" t="n">
        <f aca="false">LEN('Saisie programme'!$E$214)+SUMIFS('Vols additionnels'!$E$7:$E$66,'Vols additionnels'!$C$7:$C$66,$E5987,'Vols additionnels'!$D$7:$D$66,$F5987,'Vols additionnels'!$B$7:$B$66,$D5987)</f>
        <v>0</v>
      </c>
      <c r="H5987" s="135" t="n">
        <f aca="false">$G5987*'Analyse capacite'!$F$7</f>
        <v>0</v>
      </c>
      <c r="I5987" s="135" t="n">
        <f aca="false">$G5987*'Analyse capacite'!$C$7</f>
        <v>0</v>
      </c>
      <c r="J5987" s="135" t="n">
        <f aca="false">$G5987*'Analyse capacite'!$D$7</f>
        <v>0</v>
      </c>
      <c r="K5987" s="135" t="n">
        <f aca="false">$G5987*'Analyse capacite'!$E$7</f>
        <v>0</v>
      </c>
    </row>
    <row r="5988" customFormat="false" ht="15" hidden="false" customHeight="false" outlineLevel="0" collapsed="false">
      <c r="B5988" s="130" t="n">
        <v>2027</v>
      </c>
      <c r="C5988" s="131" t="s">
        <v>251</v>
      </c>
      <c r="D5988" s="132" t="n">
        <v>46644</v>
      </c>
      <c r="E5988" s="131" t="s">
        <v>25</v>
      </c>
      <c r="F5988" s="133" t="s">
        <v>19</v>
      </c>
      <c r="G5988" s="134" t="n">
        <f aca="false">LEN('Saisie programme'!$E$215)+SUMIFS('Vols additionnels'!$E$7:$E$66,'Vols additionnels'!$C$7:$C$66,$E5988,'Vols additionnels'!$D$7:$D$66,$F5988,'Vols additionnels'!$B$7:$B$66,$D5988)</f>
        <v>0</v>
      </c>
      <c r="H5988" s="135" t="n">
        <f aca="false">$G5988*'Analyse capacite'!$F$8</f>
        <v>0</v>
      </c>
      <c r="I5988" s="135" t="n">
        <f aca="false">$G5988*'Analyse capacite'!$C$8</f>
        <v>0</v>
      </c>
      <c r="J5988" s="135" t="n">
        <f aca="false">$G5988*'Analyse capacite'!$D$8</f>
        <v>0</v>
      </c>
      <c r="K5988" s="135" t="n">
        <f aca="false">$G5988*'Analyse capacite'!$E$8</f>
        <v>0</v>
      </c>
    </row>
    <row r="5989" customFormat="false" ht="15" hidden="false" customHeight="false" outlineLevel="0" collapsed="false">
      <c r="B5989" s="130" t="n">
        <v>2027</v>
      </c>
      <c r="C5989" s="131" t="s">
        <v>251</v>
      </c>
      <c r="D5989" s="132" t="n">
        <v>46644</v>
      </c>
      <c r="E5989" s="131" t="s">
        <v>25</v>
      </c>
      <c r="F5989" s="133" t="s">
        <v>24</v>
      </c>
      <c r="G5989" s="134" t="n">
        <f aca="false">LEN('Saisie programme'!$E$216)+SUMIFS('Vols additionnels'!$E$7:$E$66,'Vols additionnels'!$C$7:$C$66,$E5989,'Vols additionnels'!$D$7:$D$66,$F5989,'Vols additionnels'!$B$7:$B$66,$D5989)</f>
        <v>0</v>
      </c>
      <c r="H5989" s="135" t="n">
        <f aca="false">$G5989*'Analyse capacite'!$F$9</f>
        <v>0</v>
      </c>
      <c r="I5989" s="135" t="n">
        <f aca="false">$G5989*'Analyse capacite'!$C$9</f>
        <v>0</v>
      </c>
      <c r="J5989" s="135" t="n">
        <f aca="false">$G5989*'Analyse capacite'!$D$9</f>
        <v>0</v>
      </c>
      <c r="K5989" s="135" t="n">
        <f aca="false">$G5989*'Analyse capacite'!$E$9</f>
        <v>0</v>
      </c>
    </row>
    <row r="5990" customFormat="false" ht="15" hidden="false" customHeight="false" outlineLevel="0" collapsed="false">
      <c r="B5990" s="130" t="n">
        <v>2027</v>
      </c>
      <c r="C5990" s="131" t="s">
        <v>251</v>
      </c>
      <c r="D5990" s="132" t="n">
        <v>46644</v>
      </c>
      <c r="E5990" s="131" t="s">
        <v>36</v>
      </c>
      <c r="F5990" s="133" t="s">
        <v>11</v>
      </c>
      <c r="G5990" s="134" t="n">
        <f aca="false">LEN('Saisie programme'!$E$217)+SUMIFS('Vols additionnels'!$E$7:$E$66,'Vols additionnels'!$C$7:$C$66,$E5990,'Vols additionnels'!$D$7:$D$66,$F5990,'Vols additionnels'!$B$7:$B$66,$D5990)</f>
        <v>0</v>
      </c>
      <c r="H5990" s="135" t="n">
        <f aca="false">$G5990*'Analyse capacite'!$F$7</f>
        <v>0</v>
      </c>
      <c r="I5990" s="135" t="n">
        <f aca="false">$G5990*'Analyse capacite'!$C$7</f>
        <v>0</v>
      </c>
      <c r="J5990" s="135" t="n">
        <f aca="false">$G5990*'Analyse capacite'!$D$7</f>
        <v>0</v>
      </c>
      <c r="K5990" s="135" t="n">
        <f aca="false">$G5990*'Analyse capacite'!$E$7</f>
        <v>0</v>
      </c>
    </row>
    <row r="5991" customFormat="false" ht="15" hidden="false" customHeight="false" outlineLevel="0" collapsed="false">
      <c r="B5991" s="130" t="n">
        <v>2027</v>
      </c>
      <c r="C5991" s="131" t="s">
        <v>251</v>
      </c>
      <c r="D5991" s="132" t="n">
        <v>46644</v>
      </c>
      <c r="E5991" s="131" t="s">
        <v>36</v>
      </c>
      <c r="F5991" s="133" t="s">
        <v>19</v>
      </c>
      <c r="G5991" s="134" t="n">
        <f aca="false">LEN('Saisie programme'!$E$218)+SUMIFS('Vols additionnels'!$E$7:$E$66,'Vols additionnels'!$C$7:$C$66,$E5991,'Vols additionnels'!$D$7:$D$66,$F5991,'Vols additionnels'!$B$7:$B$66,$D5991)</f>
        <v>0</v>
      </c>
      <c r="H5991" s="135" t="n">
        <f aca="false">$G5991*'Analyse capacite'!$F$8</f>
        <v>0</v>
      </c>
      <c r="I5991" s="135" t="n">
        <f aca="false">$G5991*'Analyse capacite'!$C$8</f>
        <v>0</v>
      </c>
      <c r="J5991" s="135" t="n">
        <f aca="false">$G5991*'Analyse capacite'!$D$8</f>
        <v>0</v>
      </c>
      <c r="K5991" s="135" t="n">
        <f aca="false">$G5991*'Analyse capacite'!$E$8</f>
        <v>0</v>
      </c>
    </row>
    <row r="5992" customFormat="false" ht="15" hidden="false" customHeight="false" outlineLevel="0" collapsed="false">
      <c r="B5992" s="130" t="n">
        <v>2027</v>
      </c>
      <c r="C5992" s="131" t="s">
        <v>251</v>
      </c>
      <c r="D5992" s="132" t="n">
        <v>46644</v>
      </c>
      <c r="E5992" s="131" t="s">
        <v>36</v>
      </c>
      <c r="F5992" s="133" t="s">
        <v>24</v>
      </c>
      <c r="G5992" s="134" t="n">
        <f aca="false">LEN('Saisie programme'!$E$219)+SUMIFS('Vols additionnels'!$E$7:$E$66,'Vols additionnels'!$C$7:$C$66,$E5992,'Vols additionnels'!$D$7:$D$66,$F5992,'Vols additionnels'!$B$7:$B$66,$D5992)</f>
        <v>1</v>
      </c>
      <c r="H5992" s="135" t="n">
        <f aca="false">$G5992*'Analyse capacite'!$F$9</f>
        <v>174</v>
      </c>
      <c r="I5992" s="135" t="n">
        <f aca="false">$G5992*'Analyse capacite'!$C$9</f>
        <v>0</v>
      </c>
      <c r="J5992" s="135" t="n">
        <f aca="false">$G5992*'Analyse capacite'!$D$9</f>
        <v>12</v>
      </c>
      <c r="K5992" s="135" t="n">
        <f aca="false">$G5992*'Analyse capacite'!$E$9</f>
        <v>162</v>
      </c>
    </row>
    <row r="5993" customFormat="false" ht="15" hidden="false" customHeight="false" outlineLevel="0" collapsed="false">
      <c r="B5993" s="130" t="n">
        <v>2027</v>
      </c>
      <c r="C5993" s="131" t="s">
        <v>251</v>
      </c>
      <c r="D5993" s="132" t="n">
        <v>46644</v>
      </c>
      <c r="E5993" s="131" t="s">
        <v>40</v>
      </c>
      <c r="F5993" s="133" t="s">
        <v>11</v>
      </c>
      <c r="G5993" s="134" t="n">
        <f aca="false">LEN('Saisie programme'!$E$220)+SUMIFS('Vols additionnels'!$E$7:$E$66,'Vols additionnels'!$C$7:$C$66,$E5993,'Vols additionnels'!$D$7:$D$66,$F5993,'Vols additionnels'!$B$7:$B$66,$D5993)</f>
        <v>0</v>
      </c>
      <c r="H5993" s="135" t="n">
        <f aca="false">$G5993*'Analyse capacite'!$F$7</f>
        <v>0</v>
      </c>
      <c r="I5993" s="135" t="n">
        <f aca="false">$G5993*'Analyse capacite'!$C$7</f>
        <v>0</v>
      </c>
      <c r="J5993" s="135" t="n">
        <f aca="false">$G5993*'Analyse capacite'!$D$7</f>
        <v>0</v>
      </c>
      <c r="K5993" s="135" t="n">
        <f aca="false">$G5993*'Analyse capacite'!$E$7</f>
        <v>0</v>
      </c>
    </row>
    <row r="5994" customFormat="false" ht="15" hidden="false" customHeight="false" outlineLevel="0" collapsed="false">
      <c r="B5994" s="130" t="n">
        <v>2027</v>
      </c>
      <c r="C5994" s="131" t="s">
        <v>251</v>
      </c>
      <c r="D5994" s="132" t="n">
        <v>46644</v>
      </c>
      <c r="E5994" s="131" t="s">
        <v>40</v>
      </c>
      <c r="F5994" s="133" t="s">
        <v>19</v>
      </c>
      <c r="G5994" s="134" t="n">
        <f aca="false">LEN('Saisie programme'!$E$221)+SUMIFS('Vols additionnels'!$E$7:$E$66,'Vols additionnels'!$C$7:$C$66,$E5994,'Vols additionnels'!$D$7:$D$66,$F5994,'Vols additionnels'!$B$7:$B$66,$D5994)</f>
        <v>0</v>
      </c>
      <c r="H5994" s="135" t="n">
        <f aca="false">$G5994*'Analyse capacite'!$F$8</f>
        <v>0</v>
      </c>
      <c r="I5994" s="135" t="n">
        <f aca="false">$G5994*'Analyse capacite'!$C$8</f>
        <v>0</v>
      </c>
      <c r="J5994" s="135" t="n">
        <f aca="false">$G5994*'Analyse capacite'!$D$8</f>
        <v>0</v>
      </c>
      <c r="K5994" s="135" t="n">
        <f aca="false">$G5994*'Analyse capacite'!$E$8</f>
        <v>0</v>
      </c>
    </row>
    <row r="5995" customFormat="false" ht="15" hidden="false" customHeight="false" outlineLevel="0" collapsed="false">
      <c r="B5995" s="130" t="n">
        <v>2027</v>
      </c>
      <c r="C5995" s="131" t="s">
        <v>251</v>
      </c>
      <c r="D5995" s="132" t="n">
        <v>46644</v>
      </c>
      <c r="E5995" s="131" t="s">
        <v>40</v>
      </c>
      <c r="F5995" s="133" t="s">
        <v>24</v>
      </c>
      <c r="G5995" s="134" t="n">
        <f aca="false">LEN('Saisie programme'!$E$222)+SUMIFS('Vols additionnels'!$E$7:$E$66,'Vols additionnels'!$C$7:$C$66,$E5995,'Vols additionnels'!$D$7:$D$66,$F5995,'Vols additionnels'!$B$7:$B$66,$D5995)</f>
        <v>0</v>
      </c>
      <c r="H5995" s="135" t="n">
        <f aca="false">$G5995*'Analyse capacite'!$F$9</f>
        <v>0</v>
      </c>
      <c r="I5995" s="135" t="n">
        <f aca="false">$G5995*'Analyse capacite'!$C$9</f>
        <v>0</v>
      </c>
      <c r="J5995" s="135" t="n">
        <f aca="false">$G5995*'Analyse capacite'!$D$9</f>
        <v>0</v>
      </c>
      <c r="K5995" s="135" t="n">
        <f aca="false">$G5995*'Analyse capacite'!$E$9</f>
        <v>0</v>
      </c>
    </row>
    <row r="5996" customFormat="false" ht="15" hidden="false" customHeight="false" outlineLevel="0" collapsed="false">
      <c r="B5996" s="130" t="n">
        <v>2027</v>
      </c>
      <c r="C5996" s="131" t="s">
        <v>251</v>
      </c>
      <c r="D5996" s="132" t="n">
        <v>46644</v>
      </c>
      <c r="E5996" s="131" t="s">
        <v>14</v>
      </c>
      <c r="F5996" s="133" t="s">
        <v>11</v>
      </c>
      <c r="G5996" s="134" t="n">
        <f aca="false">LEN('Saisie programme'!$E$223)+SUMIFS('Vols additionnels'!$E$7:$E$66,'Vols additionnels'!$C$7:$C$66,$E5996,'Vols additionnels'!$D$7:$D$66,$F5996,'Vols additionnels'!$B$7:$B$66,$D5996)</f>
        <v>0</v>
      </c>
      <c r="H5996" s="135" t="n">
        <f aca="false">$G5996*'Analyse capacite'!$F$7</f>
        <v>0</v>
      </c>
      <c r="I5996" s="135" t="n">
        <f aca="false">$G5996*'Analyse capacite'!$C$7</f>
        <v>0</v>
      </c>
      <c r="J5996" s="135" t="n">
        <f aca="false">$G5996*'Analyse capacite'!$D$7</f>
        <v>0</v>
      </c>
      <c r="K5996" s="135" t="n">
        <f aca="false">$G5996*'Analyse capacite'!$E$7</f>
        <v>0</v>
      </c>
    </row>
    <row r="5997" customFormat="false" ht="15" hidden="false" customHeight="false" outlineLevel="0" collapsed="false">
      <c r="B5997" s="130" t="n">
        <v>2027</v>
      </c>
      <c r="C5997" s="131" t="s">
        <v>251</v>
      </c>
      <c r="D5997" s="132" t="n">
        <v>46644</v>
      </c>
      <c r="E5997" s="131" t="s">
        <v>14</v>
      </c>
      <c r="F5997" s="133" t="s">
        <v>19</v>
      </c>
      <c r="G5997" s="134" t="n">
        <f aca="false">LEN('Saisie programme'!$E$224)+SUMIFS('Vols additionnels'!$E$7:$E$66,'Vols additionnels'!$C$7:$C$66,$E5997,'Vols additionnels'!$D$7:$D$66,$F5997,'Vols additionnels'!$B$7:$B$66,$D5997)</f>
        <v>0</v>
      </c>
      <c r="H5997" s="135" t="n">
        <f aca="false">$G5997*'Analyse capacite'!$F$8</f>
        <v>0</v>
      </c>
      <c r="I5997" s="135" t="n">
        <f aca="false">$G5997*'Analyse capacite'!$C$8</f>
        <v>0</v>
      </c>
      <c r="J5997" s="135" t="n">
        <f aca="false">$G5997*'Analyse capacite'!$D$8</f>
        <v>0</v>
      </c>
      <c r="K5997" s="135" t="n">
        <f aca="false">$G5997*'Analyse capacite'!$E$8</f>
        <v>0</v>
      </c>
    </row>
    <row r="5998" customFormat="false" ht="15" hidden="false" customHeight="false" outlineLevel="0" collapsed="false">
      <c r="B5998" s="130" t="n">
        <v>2027</v>
      </c>
      <c r="C5998" s="131" t="s">
        <v>251</v>
      </c>
      <c r="D5998" s="132" t="n">
        <v>46644</v>
      </c>
      <c r="E5998" s="131" t="s">
        <v>14</v>
      </c>
      <c r="F5998" s="133" t="s">
        <v>24</v>
      </c>
      <c r="G5998" s="134" t="n">
        <f aca="false">LEN('Saisie programme'!$E$225)+SUMIFS('Vols additionnels'!$E$7:$E$66,'Vols additionnels'!$C$7:$C$66,$E5998,'Vols additionnels'!$D$7:$D$66,$F5998,'Vols additionnels'!$B$7:$B$66,$D5998)</f>
        <v>0</v>
      </c>
      <c r="H5998" s="135" t="n">
        <f aca="false">$G5998*'Analyse capacite'!$F$9</f>
        <v>0</v>
      </c>
      <c r="I5998" s="135" t="n">
        <f aca="false">$G5998*'Analyse capacite'!$C$9</f>
        <v>0</v>
      </c>
      <c r="J5998" s="135" t="n">
        <f aca="false">$G5998*'Analyse capacite'!$D$9</f>
        <v>0</v>
      </c>
      <c r="K5998" s="135" t="n">
        <f aca="false">$G5998*'Analyse capacite'!$E$9</f>
        <v>0</v>
      </c>
    </row>
    <row r="5999" customFormat="false" ht="15" hidden="false" customHeight="false" outlineLevel="0" collapsed="false">
      <c r="B5999" s="130" t="n">
        <v>2027</v>
      </c>
      <c r="C5999" s="131" t="s">
        <v>251</v>
      </c>
      <c r="D5999" s="132" t="n">
        <v>46644</v>
      </c>
      <c r="E5999" s="131" t="s">
        <v>46</v>
      </c>
      <c r="F5999" s="133" t="s">
        <v>11</v>
      </c>
      <c r="G5999" s="134" t="n">
        <f aca="false">LEN('Saisie programme'!$E$226)+SUMIFS('Vols additionnels'!$E$7:$E$66,'Vols additionnels'!$C$7:$C$66,$E5999,'Vols additionnels'!$D$7:$D$66,$F5999,'Vols additionnels'!$B$7:$B$66,$D5999)</f>
        <v>0</v>
      </c>
      <c r="H5999" s="135" t="n">
        <f aca="false">$G5999*'Analyse capacite'!$F$7</f>
        <v>0</v>
      </c>
      <c r="I5999" s="135" t="n">
        <f aca="false">$G5999*'Analyse capacite'!$C$7</f>
        <v>0</v>
      </c>
      <c r="J5999" s="135" t="n">
        <f aca="false">$G5999*'Analyse capacite'!$D$7</f>
        <v>0</v>
      </c>
      <c r="K5999" s="135" t="n">
        <f aca="false">$G5999*'Analyse capacite'!$E$7</f>
        <v>0</v>
      </c>
    </row>
    <row r="6000" customFormat="false" ht="15" hidden="false" customHeight="false" outlineLevel="0" collapsed="false">
      <c r="B6000" s="130" t="n">
        <v>2027</v>
      </c>
      <c r="C6000" s="131" t="s">
        <v>251</v>
      </c>
      <c r="D6000" s="132" t="n">
        <v>46644</v>
      </c>
      <c r="E6000" s="131" t="s">
        <v>46</v>
      </c>
      <c r="F6000" s="133" t="s">
        <v>19</v>
      </c>
      <c r="G6000" s="134" t="n">
        <f aca="false">LEN('Saisie programme'!$E$227)+SUMIFS('Vols additionnels'!$E$7:$E$66,'Vols additionnels'!$C$7:$C$66,$E6000,'Vols additionnels'!$D$7:$D$66,$F6000,'Vols additionnels'!$B$7:$B$66,$D6000)</f>
        <v>0</v>
      </c>
      <c r="H6000" s="135" t="n">
        <f aca="false">$G6000*'Analyse capacite'!$F$8</f>
        <v>0</v>
      </c>
      <c r="I6000" s="135" t="n">
        <f aca="false">$G6000*'Analyse capacite'!$C$8</f>
        <v>0</v>
      </c>
      <c r="J6000" s="135" t="n">
        <f aca="false">$G6000*'Analyse capacite'!$D$8</f>
        <v>0</v>
      </c>
      <c r="K6000" s="135" t="n">
        <f aca="false">$G6000*'Analyse capacite'!$E$8</f>
        <v>0</v>
      </c>
    </row>
    <row r="6001" customFormat="false" ht="15" hidden="false" customHeight="false" outlineLevel="0" collapsed="false">
      <c r="B6001" s="130" t="n">
        <v>2027</v>
      </c>
      <c r="C6001" s="131" t="s">
        <v>251</v>
      </c>
      <c r="D6001" s="132" t="n">
        <v>46644</v>
      </c>
      <c r="E6001" s="131" t="s">
        <v>46</v>
      </c>
      <c r="F6001" s="133" t="s">
        <v>24</v>
      </c>
      <c r="G6001" s="134" t="n">
        <f aca="false">LEN('Saisie programme'!$E$228)+SUMIFS('Vols additionnels'!$E$7:$E$66,'Vols additionnels'!$C$7:$C$66,$E6001,'Vols additionnels'!$D$7:$D$66,$F6001,'Vols additionnels'!$B$7:$B$66,$D6001)</f>
        <v>1</v>
      </c>
      <c r="H6001" s="135" t="n">
        <f aca="false">$G6001*'Analyse capacite'!$F$9</f>
        <v>174</v>
      </c>
      <c r="I6001" s="135" t="n">
        <f aca="false">$G6001*'Analyse capacite'!$C$9</f>
        <v>0</v>
      </c>
      <c r="J6001" s="135" t="n">
        <f aca="false">$G6001*'Analyse capacite'!$D$9</f>
        <v>12</v>
      </c>
      <c r="K6001" s="135" t="n">
        <f aca="false">$G6001*'Analyse capacite'!$E$9</f>
        <v>162</v>
      </c>
    </row>
    <row r="6002" customFormat="false" ht="15" hidden="false" customHeight="false" outlineLevel="0" collapsed="false">
      <c r="B6002" s="130" t="n">
        <v>2027</v>
      </c>
      <c r="C6002" s="131" t="s">
        <v>251</v>
      </c>
      <c r="D6002" s="132" t="n">
        <v>46644</v>
      </c>
      <c r="E6002" s="131" t="s">
        <v>49</v>
      </c>
      <c r="F6002" s="133" t="s">
        <v>11</v>
      </c>
      <c r="G6002" s="134" t="n">
        <f aca="false">LEN('Saisie programme'!$E$229)+SUMIFS('Vols additionnels'!$E$7:$E$66,'Vols additionnels'!$C$7:$C$66,$E6002,'Vols additionnels'!$D$7:$D$66,$F6002,'Vols additionnels'!$B$7:$B$66,$D6002)</f>
        <v>0</v>
      </c>
      <c r="H6002" s="135" t="n">
        <f aca="false">$G6002*'Analyse capacite'!$F$7</f>
        <v>0</v>
      </c>
      <c r="I6002" s="135" t="n">
        <f aca="false">$G6002*'Analyse capacite'!$C$7</f>
        <v>0</v>
      </c>
      <c r="J6002" s="135" t="n">
        <f aca="false">$G6002*'Analyse capacite'!$D$7</f>
        <v>0</v>
      </c>
      <c r="K6002" s="135" t="n">
        <f aca="false">$G6002*'Analyse capacite'!$E$7</f>
        <v>0</v>
      </c>
    </row>
    <row r="6003" customFormat="false" ht="15" hidden="false" customHeight="false" outlineLevel="0" collapsed="false">
      <c r="B6003" s="130" t="n">
        <v>2027</v>
      </c>
      <c r="C6003" s="131" t="s">
        <v>251</v>
      </c>
      <c r="D6003" s="132" t="n">
        <v>46644</v>
      </c>
      <c r="E6003" s="131" t="s">
        <v>49</v>
      </c>
      <c r="F6003" s="133" t="s">
        <v>19</v>
      </c>
      <c r="G6003" s="134" t="n">
        <f aca="false">LEN('Saisie programme'!$E$230)+SUMIFS('Vols additionnels'!$E$7:$E$66,'Vols additionnels'!$C$7:$C$66,$E6003,'Vols additionnels'!$D$7:$D$66,$F6003,'Vols additionnels'!$B$7:$B$66,$D6003)</f>
        <v>0</v>
      </c>
      <c r="H6003" s="135" t="n">
        <f aca="false">$G6003*'Analyse capacite'!$F$8</f>
        <v>0</v>
      </c>
      <c r="I6003" s="135" t="n">
        <f aca="false">$G6003*'Analyse capacite'!$C$8</f>
        <v>0</v>
      </c>
      <c r="J6003" s="135" t="n">
        <f aca="false">$G6003*'Analyse capacite'!$D$8</f>
        <v>0</v>
      </c>
      <c r="K6003" s="135" t="n">
        <f aca="false">$G6003*'Analyse capacite'!$E$8</f>
        <v>0</v>
      </c>
    </row>
    <row r="6004" customFormat="false" ht="15" hidden="false" customHeight="false" outlineLevel="0" collapsed="false">
      <c r="B6004" s="130" t="n">
        <v>2027</v>
      </c>
      <c r="C6004" s="131" t="s">
        <v>251</v>
      </c>
      <c r="D6004" s="132" t="n">
        <v>46644</v>
      </c>
      <c r="E6004" s="131" t="s">
        <v>49</v>
      </c>
      <c r="F6004" s="133" t="s">
        <v>24</v>
      </c>
      <c r="G6004" s="134" t="n">
        <f aca="false">LEN('Saisie programme'!$E$231)+SUMIFS('Vols additionnels'!$E$7:$E$66,'Vols additionnels'!$C$7:$C$66,$E6004,'Vols additionnels'!$D$7:$D$66,$F6004,'Vols additionnels'!$B$7:$B$66,$D6004)</f>
        <v>0</v>
      </c>
      <c r="H6004" s="135" t="n">
        <f aca="false">$G6004*'Analyse capacite'!$F$9</f>
        <v>0</v>
      </c>
      <c r="I6004" s="135" t="n">
        <f aca="false">$G6004*'Analyse capacite'!$C$9</f>
        <v>0</v>
      </c>
      <c r="J6004" s="135" t="n">
        <f aca="false">$G6004*'Analyse capacite'!$D$9</f>
        <v>0</v>
      </c>
      <c r="K6004" s="135" t="n">
        <f aca="false">$G6004*'Analyse capacite'!$E$9</f>
        <v>0</v>
      </c>
    </row>
    <row r="6005" customFormat="false" ht="15" hidden="false" customHeight="false" outlineLevel="0" collapsed="false">
      <c r="B6005" s="130" t="n">
        <v>2027</v>
      </c>
      <c r="C6005" s="131" t="s">
        <v>251</v>
      </c>
      <c r="D6005" s="132" t="n">
        <v>46644</v>
      </c>
      <c r="E6005" s="131" t="s">
        <v>53</v>
      </c>
      <c r="F6005" s="133" t="s">
        <v>11</v>
      </c>
      <c r="G6005" s="134" t="n">
        <f aca="false">LEN('Saisie programme'!$E$232)+SUMIFS('Vols additionnels'!$E$7:$E$66,'Vols additionnels'!$C$7:$C$66,$E6005,'Vols additionnels'!$D$7:$D$66,$F6005,'Vols additionnels'!$B$7:$B$66,$D6005)</f>
        <v>0</v>
      </c>
      <c r="H6005" s="135" t="n">
        <f aca="false">$G6005*'Analyse capacite'!$F$7</f>
        <v>0</v>
      </c>
      <c r="I6005" s="135" t="n">
        <f aca="false">$G6005*'Analyse capacite'!$C$7</f>
        <v>0</v>
      </c>
      <c r="J6005" s="135" t="n">
        <f aca="false">$G6005*'Analyse capacite'!$D$7</f>
        <v>0</v>
      </c>
      <c r="K6005" s="135" t="n">
        <f aca="false">$G6005*'Analyse capacite'!$E$7</f>
        <v>0</v>
      </c>
    </row>
    <row r="6006" customFormat="false" ht="15" hidden="false" customHeight="false" outlineLevel="0" collapsed="false">
      <c r="B6006" s="130" t="n">
        <v>2027</v>
      </c>
      <c r="C6006" s="131" t="s">
        <v>251</v>
      </c>
      <c r="D6006" s="132" t="n">
        <v>46644</v>
      </c>
      <c r="E6006" s="131" t="s">
        <v>53</v>
      </c>
      <c r="F6006" s="133" t="s">
        <v>19</v>
      </c>
      <c r="G6006" s="134" t="n">
        <f aca="false">LEN('Saisie programme'!$E$233)+SUMIFS('Vols additionnels'!$E$7:$E$66,'Vols additionnels'!$C$7:$C$66,$E6006,'Vols additionnels'!$D$7:$D$66,$F6006,'Vols additionnels'!$B$7:$B$66,$D6006)</f>
        <v>0</v>
      </c>
      <c r="H6006" s="135" t="n">
        <f aca="false">$G6006*'Analyse capacite'!$F$8</f>
        <v>0</v>
      </c>
      <c r="I6006" s="135" t="n">
        <f aca="false">$G6006*'Analyse capacite'!$C$8</f>
        <v>0</v>
      </c>
      <c r="J6006" s="135" t="n">
        <f aca="false">$G6006*'Analyse capacite'!$D$8</f>
        <v>0</v>
      </c>
      <c r="K6006" s="135" t="n">
        <f aca="false">$G6006*'Analyse capacite'!$E$8</f>
        <v>0</v>
      </c>
    </row>
    <row r="6007" customFormat="false" ht="15" hidden="false" customHeight="false" outlineLevel="0" collapsed="false">
      <c r="B6007" s="130" t="n">
        <v>2027</v>
      </c>
      <c r="C6007" s="131" t="s">
        <v>251</v>
      </c>
      <c r="D6007" s="132" t="n">
        <v>46644</v>
      </c>
      <c r="E6007" s="131" t="s">
        <v>53</v>
      </c>
      <c r="F6007" s="133" t="s">
        <v>24</v>
      </c>
      <c r="G6007" s="134" t="n">
        <f aca="false">LEN('Saisie programme'!$E$234)+SUMIFS('Vols additionnels'!$E$7:$E$66,'Vols additionnels'!$C$7:$C$66,$E6007,'Vols additionnels'!$D$7:$D$66,$F6007,'Vols additionnels'!$B$7:$B$66,$D6007)</f>
        <v>0</v>
      </c>
      <c r="H6007" s="135" t="n">
        <f aca="false">$G6007*'Analyse capacite'!$F$9</f>
        <v>0</v>
      </c>
      <c r="I6007" s="135" t="n">
        <f aca="false">$G6007*'Analyse capacite'!$C$9</f>
        <v>0</v>
      </c>
      <c r="J6007" s="135" t="n">
        <f aca="false">$G6007*'Analyse capacite'!$D$9</f>
        <v>0</v>
      </c>
      <c r="K6007" s="135" t="n">
        <f aca="false">$G6007*'Analyse capacite'!$E$9</f>
        <v>0</v>
      </c>
    </row>
    <row r="6008" customFormat="false" ht="15" hidden="false" customHeight="false" outlineLevel="0" collapsed="false">
      <c r="B6008" s="130" t="n">
        <v>2027</v>
      </c>
      <c r="C6008" s="131" t="s">
        <v>251</v>
      </c>
      <c r="D6008" s="132" t="n">
        <v>46644</v>
      </c>
      <c r="E6008" s="131" t="s">
        <v>56</v>
      </c>
      <c r="F6008" s="133" t="s">
        <v>11</v>
      </c>
      <c r="G6008" s="134" t="n">
        <f aca="false">LEN('Saisie programme'!$E$235)+SUMIFS('Vols additionnels'!$E$7:$E$66,'Vols additionnels'!$C$7:$C$66,$E6008,'Vols additionnels'!$D$7:$D$66,$F6008,'Vols additionnels'!$B$7:$B$66,$D6008)</f>
        <v>0</v>
      </c>
      <c r="H6008" s="135" t="n">
        <f aca="false">$G6008*'Analyse capacite'!$F$7</f>
        <v>0</v>
      </c>
      <c r="I6008" s="135" t="n">
        <f aca="false">$G6008*'Analyse capacite'!$C$7</f>
        <v>0</v>
      </c>
      <c r="J6008" s="135" t="n">
        <f aca="false">$G6008*'Analyse capacite'!$D$7</f>
        <v>0</v>
      </c>
      <c r="K6008" s="135" t="n">
        <f aca="false">$G6008*'Analyse capacite'!$E$7</f>
        <v>0</v>
      </c>
    </row>
    <row r="6009" customFormat="false" ht="15" hidden="false" customHeight="false" outlineLevel="0" collapsed="false">
      <c r="B6009" s="130" t="n">
        <v>2027</v>
      </c>
      <c r="C6009" s="131" t="s">
        <v>251</v>
      </c>
      <c r="D6009" s="132" t="n">
        <v>46644</v>
      </c>
      <c r="E6009" s="131" t="s">
        <v>56</v>
      </c>
      <c r="F6009" s="133" t="s">
        <v>19</v>
      </c>
      <c r="G6009" s="134" t="n">
        <f aca="false">LEN('Saisie programme'!$E$236)+SUMIFS('Vols additionnels'!$E$7:$E$66,'Vols additionnels'!$C$7:$C$66,$E6009,'Vols additionnels'!$D$7:$D$66,$F6009,'Vols additionnels'!$B$7:$B$66,$D6009)</f>
        <v>0</v>
      </c>
      <c r="H6009" s="135" t="n">
        <f aca="false">$G6009*'Analyse capacite'!$F$8</f>
        <v>0</v>
      </c>
      <c r="I6009" s="135" t="n">
        <f aca="false">$G6009*'Analyse capacite'!$C$8</f>
        <v>0</v>
      </c>
      <c r="J6009" s="135" t="n">
        <f aca="false">$G6009*'Analyse capacite'!$D$8</f>
        <v>0</v>
      </c>
      <c r="K6009" s="135" t="n">
        <f aca="false">$G6009*'Analyse capacite'!$E$8</f>
        <v>0</v>
      </c>
    </row>
    <row r="6010" customFormat="false" ht="15" hidden="false" customHeight="false" outlineLevel="0" collapsed="false">
      <c r="B6010" s="130" t="n">
        <v>2027</v>
      </c>
      <c r="C6010" s="131" t="s">
        <v>251</v>
      </c>
      <c r="D6010" s="132" t="n">
        <v>46644</v>
      </c>
      <c r="E6010" s="131" t="s">
        <v>56</v>
      </c>
      <c r="F6010" s="133" t="s">
        <v>24</v>
      </c>
      <c r="G6010" s="134" t="n">
        <f aca="false">LEN('Saisie programme'!$E$237)+SUMIFS('Vols additionnels'!$E$7:$E$66,'Vols additionnels'!$C$7:$C$66,$E6010,'Vols additionnels'!$D$7:$D$66,$F6010,'Vols additionnels'!$B$7:$B$66,$D6010)</f>
        <v>1</v>
      </c>
      <c r="H6010" s="135" t="n">
        <f aca="false">$G6010*'Analyse capacite'!$F$9</f>
        <v>174</v>
      </c>
      <c r="I6010" s="135" t="n">
        <f aca="false">$G6010*'Analyse capacite'!$C$9</f>
        <v>0</v>
      </c>
      <c r="J6010" s="135" t="n">
        <f aca="false">$G6010*'Analyse capacite'!$D$9</f>
        <v>12</v>
      </c>
      <c r="K6010" s="135" t="n">
        <f aca="false">$G6010*'Analyse capacite'!$E$9</f>
        <v>162</v>
      </c>
    </row>
    <row r="6011" customFormat="false" ht="15" hidden="false" customHeight="false" outlineLevel="0" collapsed="false">
      <c r="B6011" s="130" t="n">
        <v>2027</v>
      </c>
      <c r="C6011" s="131" t="s">
        <v>251</v>
      </c>
      <c r="D6011" s="132" t="n">
        <v>46644</v>
      </c>
      <c r="E6011" s="131" t="s">
        <v>59</v>
      </c>
      <c r="F6011" s="133" t="s">
        <v>11</v>
      </c>
      <c r="G6011" s="134" t="n">
        <f aca="false">LEN('Saisie programme'!$E$238)+SUMIFS('Vols additionnels'!$E$7:$E$66,'Vols additionnels'!$C$7:$C$66,$E6011,'Vols additionnels'!$D$7:$D$66,$F6011,'Vols additionnels'!$B$7:$B$66,$D6011)</f>
        <v>0</v>
      </c>
      <c r="H6011" s="135" t="n">
        <f aca="false">$G6011*'Analyse capacite'!$F$7</f>
        <v>0</v>
      </c>
      <c r="I6011" s="135" t="n">
        <f aca="false">$G6011*'Analyse capacite'!$C$7</f>
        <v>0</v>
      </c>
      <c r="J6011" s="135" t="n">
        <f aca="false">$G6011*'Analyse capacite'!$D$7</f>
        <v>0</v>
      </c>
      <c r="K6011" s="135" t="n">
        <f aca="false">$G6011*'Analyse capacite'!$E$7</f>
        <v>0</v>
      </c>
    </row>
    <row r="6012" customFormat="false" ht="15" hidden="false" customHeight="false" outlineLevel="0" collapsed="false">
      <c r="B6012" s="130" t="n">
        <v>2027</v>
      </c>
      <c r="C6012" s="131" t="s">
        <v>251</v>
      </c>
      <c r="D6012" s="132" t="n">
        <v>46644</v>
      </c>
      <c r="E6012" s="131" t="s">
        <v>59</v>
      </c>
      <c r="F6012" s="133" t="s">
        <v>19</v>
      </c>
      <c r="G6012" s="134" t="n">
        <f aca="false">LEN('Saisie programme'!$E$239)+SUMIFS('Vols additionnels'!$E$7:$E$66,'Vols additionnels'!$C$7:$C$66,$E6012,'Vols additionnels'!$D$7:$D$66,$F6012,'Vols additionnels'!$B$7:$B$66,$D6012)</f>
        <v>0</v>
      </c>
      <c r="H6012" s="135" t="n">
        <f aca="false">$G6012*'Analyse capacite'!$F$8</f>
        <v>0</v>
      </c>
      <c r="I6012" s="135" t="n">
        <f aca="false">$G6012*'Analyse capacite'!$C$8</f>
        <v>0</v>
      </c>
      <c r="J6012" s="135" t="n">
        <f aca="false">$G6012*'Analyse capacite'!$D$8</f>
        <v>0</v>
      </c>
      <c r="K6012" s="135" t="n">
        <f aca="false">$G6012*'Analyse capacite'!$E$8</f>
        <v>0</v>
      </c>
    </row>
    <row r="6013" customFormat="false" ht="15" hidden="false" customHeight="false" outlineLevel="0" collapsed="false">
      <c r="B6013" s="130" t="n">
        <v>2027</v>
      </c>
      <c r="C6013" s="131" t="s">
        <v>251</v>
      </c>
      <c r="D6013" s="132" t="n">
        <v>46644</v>
      </c>
      <c r="E6013" s="131" t="s">
        <v>59</v>
      </c>
      <c r="F6013" s="133" t="s">
        <v>24</v>
      </c>
      <c r="G6013" s="134" t="n">
        <f aca="false">LEN('Saisie programme'!$E$240)+SUMIFS('Vols additionnels'!$E$7:$E$66,'Vols additionnels'!$C$7:$C$66,$E6013,'Vols additionnels'!$D$7:$D$66,$F6013,'Vols additionnels'!$B$7:$B$66,$D6013)</f>
        <v>1</v>
      </c>
      <c r="H6013" s="135" t="n">
        <f aca="false">$G6013*'Analyse capacite'!$F$9</f>
        <v>174</v>
      </c>
      <c r="I6013" s="135" t="n">
        <f aca="false">$G6013*'Analyse capacite'!$C$9</f>
        <v>0</v>
      </c>
      <c r="J6013" s="135" t="n">
        <f aca="false">$G6013*'Analyse capacite'!$D$9</f>
        <v>12</v>
      </c>
      <c r="K6013" s="135" t="n">
        <f aca="false">$G6013*'Analyse capacite'!$E$9</f>
        <v>162</v>
      </c>
    </row>
    <row r="6014" customFormat="false" ht="15" hidden="false" customHeight="false" outlineLevel="0" collapsed="false">
      <c r="B6014" s="130" t="n">
        <v>2027</v>
      </c>
      <c r="C6014" s="131" t="s">
        <v>251</v>
      </c>
      <c r="D6014" s="132" t="n">
        <v>46644</v>
      </c>
      <c r="E6014" s="131" t="s">
        <v>62</v>
      </c>
      <c r="F6014" s="133" t="s">
        <v>11</v>
      </c>
      <c r="G6014" s="134" t="n">
        <f aca="false">LEN('Saisie programme'!$E$241)+SUMIFS('Vols additionnels'!$E$7:$E$66,'Vols additionnels'!$C$7:$C$66,$E6014,'Vols additionnels'!$D$7:$D$66,$F6014,'Vols additionnels'!$B$7:$B$66,$D6014)</f>
        <v>0</v>
      </c>
      <c r="H6014" s="135" t="n">
        <f aca="false">$G6014*'Analyse capacite'!$F$7</f>
        <v>0</v>
      </c>
      <c r="I6014" s="135" t="n">
        <f aca="false">$G6014*'Analyse capacite'!$C$7</f>
        <v>0</v>
      </c>
      <c r="J6014" s="135" t="n">
        <f aca="false">$G6014*'Analyse capacite'!$D$7</f>
        <v>0</v>
      </c>
      <c r="K6014" s="135" t="n">
        <f aca="false">$G6014*'Analyse capacite'!$E$7</f>
        <v>0</v>
      </c>
    </row>
    <row r="6015" customFormat="false" ht="15" hidden="false" customHeight="false" outlineLevel="0" collapsed="false">
      <c r="B6015" s="130" t="n">
        <v>2027</v>
      </c>
      <c r="C6015" s="131" t="s">
        <v>251</v>
      </c>
      <c r="D6015" s="132" t="n">
        <v>46644</v>
      </c>
      <c r="E6015" s="131" t="s">
        <v>62</v>
      </c>
      <c r="F6015" s="133" t="s">
        <v>19</v>
      </c>
      <c r="G6015" s="134" t="n">
        <f aca="false">LEN('Saisie programme'!$E$242)+SUMIFS('Vols additionnels'!$E$7:$E$66,'Vols additionnels'!$C$7:$C$66,$E6015,'Vols additionnels'!$D$7:$D$66,$F6015,'Vols additionnels'!$B$7:$B$66,$D6015)</f>
        <v>0</v>
      </c>
      <c r="H6015" s="135" t="n">
        <f aca="false">$G6015*'Analyse capacite'!$F$8</f>
        <v>0</v>
      </c>
      <c r="I6015" s="135" t="n">
        <f aca="false">$G6015*'Analyse capacite'!$C$8</f>
        <v>0</v>
      </c>
      <c r="J6015" s="135" t="n">
        <f aca="false">$G6015*'Analyse capacite'!$D$8</f>
        <v>0</v>
      </c>
      <c r="K6015" s="135" t="n">
        <f aca="false">$G6015*'Analyse capacite'!$E$8</f>
        <v>0</v>
      </c>
    </row>
    <row r="6016" customFormat="false" ht="15" hidden="false" customHeight="false" outlineLevel="0" collapsed="false">
      <c r="B6016" s="130" t="n">
        <v>2027</v>
      </c>
      <c r="C6016" s="131" t="s">
        <v>251</v>
      </c>
      <c r="D6016" s="132" t="n">
        <v>46644</v>
      </c>
      <c r="E6016" s="131" t="s">
        <v>62</v>
      </c>
      <c r="F6016" s="133" t="s">
        <v>24</v>
      </c>
      <c r="G6016" s="134" t="n">
        <f aca="false">LEN('Saisie programme'!$E$243)+SUMIFS('Vols additionnels'!$E$7:$E$66,'Vols additionnels'!$C$7:$C$66,$E6016,'Vols additionnels'!$D$7:$D$66,$F6016,'Vols additionnels'!$B$7:$B$66,$D6016)</f>
        <v>0</v>
      </c>
      <c r="H6016" s="135" t="n">
        <f aca="false">$G6016*'Analyse capacite'!$F$9</f>
        <v>0</v>
      </c>
      <c r="I6016" s="135" t="n">
        <f aca="false">$G6016*'Analyse capacite'!$C$9</f>
        <v>0</v>
      </c>
      <c r="J6016" s="135" t="n">
        <f aca="false">$G6016*'Analyse capacite'!$D$9</f>
        <v>0</v>
      </c>
      <c r="K6016" s="135" t="n">
        <f aca="false">$G6016*'Analyse capacite'!$E$9</f>
        <v>0</v>
      </c>
    </row>
    <row r="6017" customFormat="false" ht="15" hidden="false" customHeight="false" outlineLevel="0" collapsed="false">
      <c r="B6017" s="130" t="n">
        <v>2027</v>
      </c>
      <c r="C6017" s="131" t="s">
        <v>251</v>
      </c>
      <c r="D6017" s="132" t="n">
        <v>46645</v>
      </c>
      <c r="E6017" s="131" t="s">
        <v>12</v>
      </c>
      <c r="F6017" s="133" t="s">
        <v>11</v>
      </c>
      <c r="G6017" s="134" t="n">
        <f aca="false">LEN('Saisie programme'!$F$208)+SUMIFS('Vols additionnels'!$E$7:$E$66,'Vols additionnels'!$C$7:$C$66,$E6017,'Vols additionnels'!$D$7:$D$66,$F6017,'Vols additionnels'!$B$7:$B$66,$D6017)</f>
        <v>1</v>
      </c>
      <c r="H6017" s="135" t="n">
        <f aca="false">$G6017*'Analyse capacite'!$F$7</f>
        <v>438</v>
      </c>
      <c r="I6017" s="135" t="n">
        <f aca="false">$G6017*'Analyse capacite'!$C$7</f>
        <v>14</v>
      </c>
      <c r="J6017" s="135" t="n">
        <f aca="false">$G6017*'Analyse capacite'!$D$7</f>
        <v>40</v>
      </c>
      <c r="K6017" s="135" t="n">
        <f aca="false">$G6017*'Analyse capacite'!$E$7</f>
        <v>384</v>
      </c>
    </row>
    <row r="6018" customFormat="false" ht="15" hidden="false" customHeight="false" outlineLevel="0" collapsed="false">
      <c r="B6018" s="130" t="n">
        <v>2027</v>
      </c>
      <c r="C6018" s="131" t="s">
        <v>251</v>
      </c>
      <c r="D6018" s="132" t="n">
        <v>46645</v>
      </c>
      <c r="E6018" s="131" t="s">
        <v>12</v>
      </c>
      <c r="F6018" s="133" t="s">
        <v>19</v>
      </c>
      <c r="G6018" s="134" t="n">
        <f aca="false">LEN('Saisie programme'!$F$209)+SUMIFS('Vols additionnels'!$E$7:$E$66,'Vols additionnels'!$C$7:$C$66,$E6018,'Vols additionnels'!$D$7:$D$66,$F6018,'Vols additionnels'!$B$7:$B$66,$D6018)</f>
        <v>0</v>
      </c>
      <c r="H6018" s="135" t="n">
        <f aca="false">$G6018*'Analyse capacite'!$F$8</f>
        <v>0</v>
      </c>
      <c r="I6018" s="135" t="n">
        <f aca="false">$G6018*'Analyse capacite'!$C$8</f>
        <v>0</v>
      </c>
      <c r="J6018" s="135" t="n">
        <f aca="false">$G6018*'Analyse capacite'!$D$8</f>
        <v>0</v>
      </c>
      <c r="K6018" s="135" t="n">
        <f aca="false">$G6018*'Analyse capacite'!$E$8</f>
        <v>0</v>
      </c>
    </row>
    <row r="6019" customFormat="false" ht="15" hidden="false" customHeight="false" outlineLevel="0" collapsed="false">
      <c r="B6019" s="130" t="n">
        <v>2027</v>
      </c>
      <c r="C6019" s="131" t="s">
        <v>251</v>
      </c>
      <c r="D6019" s="132" t="n">
        <v>46645</v>
      </c>
      <c r="E6019" s="131" t="s">
        <v>12</v>
      </c>
      <c r="F6019" s="133" t="s">
        <v>24</v>
      </c>
      <c r="G6019" s="134" t="n">
        <f aca="false">LEN('Saisie programme'!$F$210)+SUMIFS('Vols additionnels'!$E$7:$E$66,'Vols additionnels'!$C$7:$C$66,$E6019,'Vols additionnels'!$D$7:$D$66,$F6019,'Vols additionnels'!$B$7:$B$66,$D6019)</f>
        <v>0</v>
      </c>
      <c r="H6019" s="135" t="n">
        <f aca="false">$G6019*'Analyse capacite'!$F$9</f>
        <v>0</v>
      </c>
      <c r="I6019" s="135" t="n">
        <f aca="false">$G6019*'Analyse capacite'!$C$9</f>
        <v>0</v>
      </c>
      <c r="J6019" s="135" t="n">
        <f aca="false">$G6019*'Analyse capacite'!$D$9</f>
        <v>0</v>
      </c>
      <c r="K6019" s="135" t="n">
        <f aca="false">$G6019*'Analyse capacite'!$E$9</f>
        <v>0</v>
      </c>
    </row>
    <row r="6020" customFormat="false" ht="15" hidden="false" customHeight="false" outlineLevel="0" collapsed="false">
      <c r="B6020" s="130" t="n">
        <v>2027</v>
      </c>
      <c r="C6020" s="131" t="s">
        <v>251</v>
      </c>
      <c r="D6020" s="132" t="n">
        <v>46645</v>
      </c>
      <c r="E6020" s="131" t="s">
        <v>20</v>
      </c>
      <c r="F6020" s="133" t="s">
        <v>11</v>
      </c>
      <c r="G6020" s="134" t="n">
        <f aca="false">LEN('Saisie programme'!$F$211)+SUMIFS('Vols additionnels'!$E$7:$E$66,'Vols additionnels'!$C$7:$C$66,$E6020,'Vols additionnels'!$D$7:$D$66,$F6020,'Vols additionnels'!$B$7:$B$66,$D6020)</f>
        <v>0</v>
      </c>
      <c r="H6020" s="135" t="n">
        <f aca="false">$G6020*'Analyse capacite'!$F$7</f>
        <v>0</v>
      </c>
      <c r="I6020" s="135" t="n">
        <f aca="false">$G6020*'Analyse capacite'!$C$7</f>
        <v>0</v>
      </c>
      <c r="J6020" s="135" t="n">
        <f aca="false">$G6020*'Analyse capacite'!$D$7</f>
        <v>0</v>
      </c>
      <c r="K6020" s="135" t="n">
        <f aca="false">$G6020*'Analyse capacite'!$E$7</f>
        <v>0</v>
      </c>
    </row>
    <row r="6021" customFormat="false" ht="15" hidden="false" customHeight="false" outlineLevel="0" collapsed="false">
      <c r="B6021" s="130" t="n">
        <v>2027</v>
      </c>
      <c r="C6021" s="131" t="s">
        <v>251</v>
      </c>
      <c r="D6021" s="132" t="n">
        <v>46645</v>
      </c>
      <c r="E6021" s="131" t="s">
        <v>20</v>
      </c>
      <c r="F6021" s="133" t="s">
        <v>19</v>
      </c>
      <c r="G6021" s="134" t="n">
        <f aca="false">LEN('Saisie programme'!$F$212)+SUMIFS('Vols additionnels'!$E$7:$E$66,'Vols additionnels'!$C$7:$C$66,$E6021,'Vols additionnels'!$D$7:$D$66,$F6021,'Vols additionnels'!$B$7:$B$66,$D6021)</f>
        <v>0</v>
      </c>
      <c r="H6021" s="135" t="n">
        <f aca="false">$G6021*'Analyse capacite'!$F$8</f>
        <v>0</v>
      </c>
      <c r="I6021" s="135" t="n">
        <f aca="false">$G6021*'Analyse capacite'!$C$8</f>
        <v>0</v>
      </c>
      <c r="J6021" s="135" t="n">
        <f aca="false">$G6021*'Analyse capacite'!$D$8</f>
        <v>0</v>
      </c>
      <c r="K6021" s="135" t="n">
        <f aca="false">$G6021*'Analyse capacite'!$E$8</f>
        <v>0</v>
      </c>
    </row>
    <row r="6022" customFormat="false" ht="15" hidden="false" customHeight="false" outlineLevel="0" collapsed="false">
      <c r="B6022" s="130" t="n">
        <v>2027</v>
      </c>
      <c r="C6022" s="131" t="s">
        <v>251</v>
      </c>
      <c r="D6022" s="132" t="n">
        <v>46645</v>
      </c>
      <c r="E6022" s="131" t="s">
        <v>20</v>
      </c>
      <c r="F6022" s="133" t="s">
        <v>24</v>
      </c>
      <c r="G6022" s="134" t="n">
        <f aca="false">LEN('Saisie programme'!$F$213)+SUMIFS('Vols additionnels'!$E$7:$E$66,'Vols additionnels'!$C$7:$C$66,$E6022,'Vols additionnels'!$D$7:$D$66,$F6022,'Vols additionnels'!$B$7:$B$66,$D6022)</f>
        <v>0</v>
      </c>
      <c r="H6022" s="135" t="n">
        <f aca="false">$G6022*'Analyse capacite'!$F$9</f>
        <v>0</v>
      </c>
      <c r="I6022" s="135" t="n">
        <f aca="false">$G6022*'Analyse capacite'!$C$9</f>
        <v>0</v>
      </c>
      <c r="J6022" s="135" t="n">
        <f aca="false">$G6022*'Analyse capacite'!$D$9</f>
        <v>0</v>
      </c>
      <c r="K6022" s="135" t="n">
        <f aca="false">$G6022*'Analyse capacite'!$E$9</f>
        <v>0</v>
      </c>
    </row>
    <row r="6023" customFormat="false" ht="15" hidden="false" customHeight="false" outlineLevel="0" collapsed="false">
      <c r="B6023" s="130" t="n">
        <v>2027</v>
      </c>
      <c r="C6023" s="131" t="s">
        <v>251</v>
      </c>
      <c r="D6023" s="132" t="n">
        <v>46645</v>
      </c>
      <c r="E6023" s="131" t="s">
        <v>25</v>
      </c>
      <c r="F6023" s="133" t="s">
        <v>11</v>
      </c>
      <c r="G6023" s="134" t="n">
        <f aca="false">LEN('Saisie programme'!$F$214)+SUMIFS('Vols additionnels'!$E$7:$E$66,'Vols additionnels'!$C$7:$C$66,$E6023,'Vols additionnels'!$D$7:$D$66,$F6023,'Vols additionnels'!$B$7:$B$66,$D6023)</f>
        <v>0</v>
      </c>
      <c r="H6023" s="135" t="n">
        <f aca="false">$G6023*'Analyse capacite'!$F$7</f>
        <v>0</v>
      </c>
      <c r="I6023" s="135" t="n">
        <f aca="false">$G6023*'Analyse capacite'!$C$7</f>
        <v>0</v>
      </c>
      <c r="J6023" s="135" t="n">
        <f aca="false">$G6023*'Analyse capacite'!$D$7</f>
        <v>0</v>
      </c>
      <c r="K6023" s="135" t="n">
        <f aca="false">$G6023*'Analyse capacite'!$E$7</f>
        <v>0</v>
      </c>
    </row>
    <row r="6024" customFormat="false" ht="15" hidden="false" customHeight="false" outlineLevel="0" collapsed="false">
      <c r="B6024" s="130" t="n">
        <v>2027</v>
      </c>
      <c r="C6024" s="131" t="s">
        <v>251</v>
      </c>
      <c r="D6024" s="132" t="n">
        <v>46645</v>
      </c>
      <c r="E6024" s="131" t="s">
        <v>25</v>
      </c>
      <c r="F6024" s="133" t="s">
        <v>19</v>
      </c>
      <c r="G6024" s="134" t="n">
        <f aca="false">LEN('Saisie programme'!$F$215)+SUMIFS('Vols additionnels'!$E$7:$E$66,'Vols additionnels'!$C$7:$C$66,$E6024,'Vols additionnels'!$D$7:$D$66,$F6024,'Vols additionnels'!$B$7:$B$66,$D6024)</f>
        <v>1</v>
      </c>
      <c r="H6024" s="135" t="n">
        <f aca="false">$G6024*'Analyse capacite'!$F$8</f>
        <v>262</v>
      </c>
      <c r="I6024" s="135" t="n">
        <f aca="false">$G6024*'Analyse capacite'!$C$8</f>
        <v>18</v>
      </c>
      <c r="J6024" s="135" t="n">
        <f aca="false">$G6024*'Analyse capacite'!$D$8</f>
        <v>0</v>
      </c>
      <c r="K6024" s="135" t="n">
        <f aca="false">$G6024*'Analyse capacite'!$E$8</f>
        <v>244</v>
      </c>
    </row>
    <row r="6025" customFormat="false" ht="15" hidden="false" customHeight="false" outlineLevel="0" collapsed="false">
      <c r="B6025" s="130" t="n">
        <v>2027</v>
      </c>
      <c r="C6025" s="131" t="s">
        <v>251</v>
      </c>
      <c r="D6025" s="132" t="n">
        <v>46645</v>
      </c>
      <c r="E6025" s="131" t="s">
        <v>25</v>
      </c>
      <c r="F6025" s="133" t="s">
        <v>24</v>
      </c>
      <c r="G6025" s="134" t="n">
        <f aca="false">LEN('Saisie programme'!$F$216)+SUMIFS('Vols additionnels'!$E$7:$E$66,'Vols additionnels'!$C$7:$C$66,$E6025,'Vols additionnels'!$D$7:$D$66,$F6025,'Vols additionnels'!$B$7:$B$66,$D6025)</f>
        <v>0</v>
      </c>
      <c r="H6025" s="135" t="n">
        <f aca="false">$G6025*'Analyse capacite'!$F$9</f>
        <v>0</v>
      </c>
      <c r="I6025" s="135" t="n">
        <f aca="false">$G6025*'Analyse capacite'!$C$9</f>
        <v>0</v>
      </c>
      <c r="J6025" s="135" t="n">
        <f aca="false">$G6025*'Analyse capacite'!$D$9</f>
        <v>0</v>
      </c>
      <c r="K6025" s="135" t="n">
        <f aca="false">$G6025*'Analyse capacite'!$E$9</f>
        <v>0</v>
      </c>
    </row>
    <row r="6026" customFormat="false" ht="15" hidden="false" customHeight="false" outlineLevel="0" collapsed="false">
      <c r="B6026" s="130" t="n">
        <v>2027</v>
      </c>
      <c r="C6026" s="131" t="s">
        <v>251</v>
      </c>
      <c r="D6026" s="132" t="n">
        <v>46645</v>
      </c>
      <c r="E6026" s="131" t="s">
        <v>36</v>
      </c>
      <c r="F6026" s="133" t="s">
        <v>11</v>
      </c>
      <c r="G6026" s="134" t="n">
        <f aca="false">LEN('Saisie programme'!$F$217)+SUMIFS('Vols additionnels'!$E$7:$E$66,'Vols additionnels'!$C$7:$C$66,$E6026,'Vols additionnels'!$D$7:$D$66,$F6026,'Vols additionnels'!$B$7:$B$66,$D6026)</f>
        <v>0</v>
      </c>
      <c r="H6026" s="135" t="n">
        <f aca="false">$G6026*'Analyse capacite'!$F$7</f>
        <v>0</v>
      </c>
      <c r="I6026" s="135" t="n">
        <f aca="false">$G6026*'Analyse capacite'!$C$7</f>
        <v>0</v>
      </c>
      <c r="J6026" s="135" t="n">
        <f aca="false">$G6026*'Analyse capacite'!$D$7</f>
        <v>0</v>
      </c>
      <c r="K6026" s="135" t="n">
        <f aca="false">$G6026*'Analyse capacite'!$E$7</f>
        <v>0</v>
      </c>
    </row>
    <row r="6027" customFormat="false" ht="15" hidden="false" customHeight="false" outlineLevel="0" collapsed="false">
      <c r="B6027" s="130" t="n">
        <v>2027</v>
      </c>
      <c r="C6027" s="131" t="s">
        <v>251</v>
      </c>
      <c r="D6027" s="132" t="n">
        <v>46645</v>
      </c>
      <c r="E6027" s="131" t="s">
        <v>36</v>
      </c>
      <c r="F6027" s="133" t="s">
        <v>19</v>
      </c>
      <c r="G6027" s="134" t="n">
        <f aca="false">LEN('Saisie programme'!$F$218)+SUMIFS('Vols additionnels'!$E$7:$E$66,'Vols additionnels'!$C$7:$C$66,$E6027,'Vols additionnels'!$D$7:$D$66,$F6027,'Vols additionnels'!$B$7:$B$66,$D6027)</f>
        <v>1</v>
      </c>
      <c r="H6027" s="135" t="n">
        <f aca="false">$G6027*'Analyse capacite'!$F$8</f>
        <v>262</v>
      </c>
      <c r="I6027" s="135" t="n">
        <f aca="false">$G6027*'Analyse capacite'!$C$8</f>
        <v>18</v>
      </c>
      <c r="J6027" s="135" t="n">
        <f aca="false">$G6027*'Analyse capacite'!$D$8</f>
        <v>0</v>
      </c>
      <c r="K6027" s="135" t="n">
        <f aca="false">$G6027*'Analyse capacite'!$E$8</f>
        <v>244</v>
      </c>
    </row>
    <row r="6028" customFormat="false" ht="15" hidden="false" customHeight="false" outlineLevel="0" collapsed="false">
      <c r="B6028" s="130" t="n">
        <v>2027</v>
      </c>
      <c r="C6028" s="131" t="s">
        <v>251</v>
      </c>
      <c r="D6028" s="132" t="n">
        <v>46645</v>
      </c>
      <c r="E6028" s="131" t="s">
        <v>36</v>
      </c>
      <c r="F6028" s="133" t="s">
        <v>24</v>
      </c>
      <c r="G6028" s="134" t="n">
        <f aca="false">LEN('Saisie programme'!$F$219)+SUMIFS('Vols additionnels'!$E$7:$E$66,'Vols additionnels'!$C$7:$C$66,$E6028,'Vols additionnels'!$D$7:$D$66,$F6028,'Vols additionnels'!$B$7:$B$66,$D6028)</f>
        <v>1</v>
      </c>
      <c r="H6028" s="135" t="n">
        <f aca="false">$G6028*'Analyse capacite'!$F$9</f>
        <v>174</v>
      </c>
      <c r="I6028" s="135" t="n">
        <f aca="false">$G6028*'Analyse capacite'!$C$9</f>
        <v>0</v>
      </c>
      <c r="J6028" s="135" t="n">
        <f aca="false">$G6028*'Analyse capacite'!$D$9</f>
        <v>12</v>
      </c>
      <c r="K6028" s="135" t="n">
        <f aca="false">$G6028*'Analyse capacite'!$E$9</f>
        <v>162</v>
      </c>
    </row>
    <row r="6029" customFormat="false" ht="15" hidden="false" customHeight="false" outlineLevel="0" collapsed="false">
      <c r="B6029" s="130" t="n">
        <v>2027</v>
      </c>
      <c r="C6029" s="131" t="s">
        <v>251</v>
      </c>
      <c r="D6029" s="132" t="n">
        <v>46645</v>
      </c>
      <c r="E6029" s="131" t="s">
        <v>40</v>
      </c>
      <c r="F6029" s="133" t="s">
        <v>11</v>
      </c>
      <c r="G6029" s="134" t="n">
        <f aca="false">LEN('Saisie programme'!$F$220)+SUMIFS('Vols additionnels'!$E$7:$E$66,'Vols additionnels'!$C$7:$C$66,$E6029,'Vols additionnels'!$D$7:$D$66,$F6029,'Vols additionnels'!$B$7:$B$66,$D6029)</f>
        <v>0</v>
      </c>
      <c r="H6029" s="135" t="n">
        <f aca="false">$G6029*'Analyse capacite'!$F$7</f>
        <v>0</v>
      </c>
      <c r="I6029" s="135" t="n">
        <f aca="false">$G6029*'Analyse capacite'!$C$7</f>
        <v>0</v>
      </c>
      <c r="J6029" s="135" t="n">
        <f aca="false">$G6029*'Analyse capacite'!$D$7</f>
        <v>0</v>
      </c>
      <c r="K6029" s="135" t="n">
        <f aca="false">$G6029*'Analyse capacite'!$E$7</f>
        <v>0</v>
      </c>
    </row>
    <row r="6030" customFormat="false" ht="15" hidden="false" customHeight="false" outlineLevel="0" collapsed="false">
      <c r="B6030" s="130" t="n">
        <v>2027</v>
      </c>
      <c r="C6030" s="131" t="s">
        <v>251</v>
      </c>
      <c r="D6030" s="132" t="n">
        <v>46645</v>
      </c>
      <c r="E6030" s="131" t="s">
        <v>40</v>
      </c>
      <c r="F6030" s="133" t="s">
        <v>19</v>
      </c>
      <c r="G6030" s="134" t="n">
        <f aca="false">LEN('Saisie programme'!$F$221)+SUMIFS('Vols additionnels'!$E$7:$E$66,'Vols additionnels'!$C$7:$C$66,$E6030,'Vols additionnels'!$D$7:$D$66,$F6030,'Vols additionnels'!$B$7:$B$66,$D6030)</f>
        <v>0</v>
      </c>
      <c r="H6030" s="135" t="n">
        <f aca="false">$G6030*'Analyse capacite'!$F$8</f>
        <v>0</v>
      </c>
      <c r="I6030" s="135" t="n">
        <f aca="false">$G6030*'Analyse capacite'!$C$8</f>
        <v>0</v>
      </c>
      <c r="J6030" s="135" t="n">
        <f aca="false">$G6030*'Analyse capacite'!$D$8</f>
        <v>0</v>
      </c>
      <c r="K6030" s="135" t="n">
        <f aca="false">$G6030*'Analyse capacite'!$E$8</f>
        <v>0</v>
      </c>
    </row>
    <row r="6031" customFormat="false" ht="15" hidden="false" customHeight="false" outlineLevel="0" collapsed="false">
      <c r="B6031" s="130" t="n">
        <v>2027</v>
      </c>
      <c r="C6031" s="131" t="s">
        <v>251</v>
      </c>
      <c r="D6031" s="132" t="n">
        <v>46645</v>
      </c>
      <c r="E6031" s="131" t="s">
        <v>40</v>
      </c>
      <c r="F6031" s="133" t="s">
        <v>24</v>
      </c>
      <c r="G6031" s="134" t="n">
        <f aca="false">LEN('Saisie programme'!$F$222)+SUMIFS('Vols additionnels'!$E$7:$E$66,'Vols additionnels'!$C$7:$C$66,$E6031,'Vols additionnels'!$D$7:$D$66,$F6031,'Vols additionnels'!$B$7:$B$66,$D6031)</f>
        <v>1</v>
      </c>
      <c r="H6031" s="135" t="n">
        <f aca="false">$G6031*'Analyse capacite'!$F$9</f>
        <v>174</v>
      </c>
      <c r="I6031" s="135" t="n">
        <f aca="false">$G6031*'Analyse capacite'!$C$9</f>
        <v>0</v>
      </c>
      <c r="J6031" s="135" t="n">
        <f aca="false">$G6031*'Analyse capacite'!$D$9</f>
        <v>12</v>
      </c>
      <c r="K6031" s="135" t="n">
        <f aca="false">$G6031*'Analyse capacite'!$E$9</f>
        <v>162</v>
      </c>
    </row>
    <row r="6032" customFormat="false" ht="15" hidden="false" customHeight="false" outlineLevel="0" collapsed="false">
      <c r="B6032" s="130" t="n">
        <v>2027</v>
      </c>
      <c r="C6032" s="131" t="s">
        <v>251</v>
      </c>
      <c r="D6032" s="132" t="n">
        <v>46645</v>
      </c>
      <c r="E6032" s="131" t="s">
        <v>14</v>
      </c>
      <c r="F6032" s="133" t="s">
        <v>11</v>
      </c>
      <c r="G6032" s="134" t="n">
        <f aca="false">LEN('Saisie programme'!$F$223)+SUMIFS('Vols additionnels'!$E$7:$E$66,'Vols additionnels'!$C$7:$C$66,$E6032,'Vols additionnels'!$D$7:$D$66,$F6032,'Vols additionnels'!$B$7:$B$66,$D6032)</f>
        <v>0</v>
      </c>
      <c r="H6032" s="135" t="n">
        <f aca="false">$G6032*'Analyse capacite'!$F$7</f>
        <v>0</v>
      </c>
      <c r="I6032" s="135" t="n">
        <f aca="false">$G6032*'Analyse capacite'!$C$7</f>
        <v>0</v>
      </c>
      <c r="J6032" s="135" t="n">
        <f aca="false">$G6032*'Analyse capacite'!$D$7</f>
        <v>0</v>
      </c>
      <c r="K6032" s="135" t="n">
        <f aca="false">$G6032*'Analyse capacite'!$E$7</f>
        <v>0</v>
      </c>
    </row>
    <row r="6033" customFormat="false" ht="15" hidden="false" customHeight="false" outlineLevel="0" collapsed="false">
      <c r="B6033" s="130" t="n">
        <v>2027</v>
      </c>
      <c r="C6033" s="131" t="s">
        <v>251</v>
      </c>
      <c r="D6033" s="132" t="n">
        <v>46645</v>
      </c>
      <c r="E6033" s="131" t="s">
        <v>14</v>
      </c>
      <c r="F6033" s="133" t="s">
        <v>19</v>
      </c>
      <c r="G6033" s="134" t="n">
        <f aca="false">LEN('Saisie programme'!$F$224)+SUMIFS('Vols additionnels'!$E$7:$E$66,'Vols additionnels'!$C$7:$C$66,$E6033,'Vols additionnels'!$D$7:$D$66,$F6033,'Vols additionnels'!$B$7:$B$66,$D6033)</f>
        <v>0</v>
      </c>
      <c r="H6033" s="135" t="n">
        <f aca="false">$G6033*'Analyse capacite'!$F$8</f>
        <v>0</v>
      </c>
      <c r="I6033" s="135" t="n">
        <f aca="false">$G6033*'Analyse capacite'!$C$8</f>
        <v>0</v>
      </c>
      <c r="J6033" s="135" t="n">
        <f aca="false">$G6033*'Analyse capacite'!$D$8</f>
        <v>0</v>
      </c>
      <c r="K6033" s="135" t="n">
        <f aca="false">$G6033*'Analyse capacite'!$E$8</f>
        <v>0</v>
      </c>
    </row>
    <row r="6034" customFormat="false" ht="15" hidden="false" customHeight="false" outlineLevel="0" collapsed="false">
      <c r="B6034" s="130" t="n">
        <v>2027</v>
      </c>
      <c r="C6034" s="131" t="s">
        <v>251</v>
      </c>
      <c r="D6034" s="132" t="n">
        <v>46645</v>
      </c>
      <c r="E6034" s="131" t="s">
        <v>14</v>
      </c>
      <c r="F6034" s="133" t="s">
        <v>24</v>
      </c>
      <c r="G6034" s="134" t="n">
        <f aca="false">LEN('Saisie programme'!$F$225)+SUMIFS('Vols additionnels'!$E$7:$E$66,'Vols additionnels'!$C$7:$C$66,$E6034,'Vols additionnels'!$D$7:$D$66,$F6034,'Vols additionnels'!$B$7:$B$66,$D6034)</f>
        <v>0</v>
      </c>
      <c r="H6034" s="135" t="n">
        <f aca="false">$G6034*'Analyse capacite'!$F$9</f>
        <v>0</v>
      </c>
      <c r="I6034" s="135" t="n">
        <f aca="false">$G6034*'Analyse capacite'!$C$9</f>
        <v>0</v>
      </c>
      <c r="J6034" s="135" t="n">
        <f aca="false">$G6034*'Analyse capacite'!$D$9</f>
        <v>0</v>
      </c>
      <c r="K6034" s="135" t="n">
        <f aca="false">$G6034*'Analyse capacite'!$E$9</f>
        <v>0</v>
      </c>
    </row>
    <row r="6035" customFormat="false" ht="15" hidden="false" customHeight="false" outlineLevel="0" collapsed="false">
      <c r="B6035" s="130" t="n">
        <v>2027</v>
      </c>
      <c r="C6035" s="131" t="s">
        <v>251</v>
      </c>
      <c r="D6035" s="132" t="n">
        <v>46645</v>
      </c>
      <c r="E6035" s="131" t="s">
        <v>46</v>
      </c>
      <c r="F6035" s="133" t="s">
        <v>11</v>
      </c>
      <c r="G6035" s="134" t="n">
        <f aca="false">LEN('Saisie programme'!$F$226)+SUMIFS('Vols additionnels'!$E$7:$E$66,'Vols additionnels'!$C$7:$C$66,$E6035,'Vols additionnels'!$D$7:$D$66,$F6035,'Vols additionnels'!$B$7:$B$66,$D6035)</f>
        <v>0</v>
      </c>
      <c r="H6035" s="135" t="n">
        <f aca="false">$G6035*'Analyse capacite'!$F$7</f>
        <v>0</v>
      </c>
      <c r="I6035" s="135" t="n">
        <f aca="false">$G6035*'Analyse capacite'!$C$7</f>
        <v>0</v>
      </c>
      <c r="J6035" s="135" t="n">
        <f aca="false">$G6035*'Analyse capacite'!$D$7</f>
        <v>0</v>
      </c>
      <c r="K6035" s="135" t="n">
        <f aca="false">$G6035*'Analyse capacite'!$E$7</f>
        <v>0</v>
      </c>
    </row>
    <row r="6036" customFormat="false" ht="15" hidden="false" customHeight="false" outlineLevel="0" collapsed="false">
      <c r="B6036" s="130" t="n">
        <v>2027</v>
      </c>
      <c r="C6036" s="131" t="s">
        <v>251</v>
      </c>
      <c r="D6036" s="132" t="n">
        <v>46645</v>
      </c>
      <c r="E6036" s="131" t="s">
        <v>46</v>
      </c>
      <c r="F6036" s="133" t="s">
        <v>19</v>
      </c>
      <c r="G6036" s="134" t="n">
        <f aca="false">LEN('Saisie programme'!$F$227)+SUMIFS('Vols additionnels'!$E$7:$E$66,'Vols additionnels'!$C$7:$C$66,$E6036,'Vols additionnels'!$D$7:$D$66,$F6036,'Vols additionnels'!$B$7:$B$66,$D6036)</f>
        <v>0</v>
      </c>
      <c r="H6036" s="135" t="n">
        <f aca="false">$G6036*'Analyse capacite'!$F$8</f>
        <v>0</v>
      </c>
      <c r="I6036" s="135" t="n">
        <f aca="false">$G6036*'Analyse capacite'!$C$8</f>
        <v>0</v>
      </c>
      <c r="J6036" s="135" t="n">
        <f aca="false">$G6036*'Analyse capacite'!$D$8</f>
        <v>0</v>
      </c>
      <c r="K6036" s="135" t="n">
        <f aca="false">$G6036*'Analyse capacite'!$E$8</f>
        <v>0</v>
      </c>
    </row>
    <row r="6037" customFormat="false" ht="15" hidden="false" customHeight="false" outlineLevel="0" collapsed="false">
      <c r="B6037" s="130" t="n">
        <v>2027</v>
      </c>
      <c r="C6037" s="131" t="s">
        <v>251</v>
      </c>
      <c r="D6037" s="132" t="n">
        <v>46645</v>
      </c>
      <c r="E6037" s="131" t="s">
        <v>46</v>
      </c>
      <c r="F6037" s="133" t="s">
        <v>24</v>
      </c>
      <c r="G6037" s="134" t="n">
        <f aca="false">LEN('Saisie programme'!$F$228)+SUMIFS('Vols additionnels'!$E$7:$E$66,'Vols additionnels'!$C$7:$C$66,$E6037,'Vols additionnels'!$D$7:$D$66,$F6037,'Vols additionnels'!$B$7:$B$66,$D6037)</f>
        <v>0</v>
      </c>
      <c r="H6037" s="135" t="n">
        <f aca="false">$G6037*'Analyse capacite'!$F$9</f>
        <v>0</v>
      </c>
      <c r="I6037" s="135" t="n">
        <f aca="false">$G6037*'Analyse capacite'!$C$9</f>
        <v>0</v>
      </c>
      <c r="J6037" s="135" t="n">
        <f aca="false">$G6037*'Analyse capacite'!$D$9</f>
        <v>0</v>
      </c>
      <c r="K6037" s="135" t="n">
        <f aca="false">$G6037*'Analyse capacite'!$E$9</f>
        <v>0</v>
      </c>
    </row>
    <row r="6038" customFormat="false" ht="15" hidden="false" customHeight="false" outlineLevel="0" collapsed="false">
      <c r="B6038" s="130" t="n">
        <v>2027</v>
      </c>
      <c r="C6038" s="131" t="s">
        <v>251</v>
      </c>
      <c r="D6038" s="132" t="n">
        <v>46645</v>
      </c>
      <c r="E6038" s="131" t="s">
        <v>49</v>
      </c>
      <c r="F6038" s="133" t="s">
        <v>11</v>
      </c>
      <c r="G6038" s="134" t="n">
        <f aca="false">LEN('Saisie programme'!$F$229)+SUMIFS('Vols additionnels'!$E$7:$E$66,'Vols additionnels'!$C$7:$C$66,$E6038,'Vols additionnels'!$D$7:$D$66,$F6038,'Vols additionnels'!$B$7:$B$66,$D6038)</f>
        <v>0</v>
      </c>
      <c r="H6038" s="135" t="n">
        <f aca="false">$G6038*'Analyse capacite'!$F$7</f>
        <v>0</v>
      </c>
      <c r="I6038" s="135" t="n">
        <f aca="false">$G6038*'Analyse capacite'!$C$7</f>
        <v>0</v>
      </c>
      <c r="J6038" s="135" t="n">
        <f aca="false">$G6038*'Analyse capacite'!$D$7</f>
        <v>0</v>
      </c>
      <c r="K6038" s="135" t="n">
        <f aca="false">$G6038*'Analyse capacite'!$E$7</f>
        <v>0</v>
      </c>
    </row>
    <row r="6039" customFormat="false" ht="15" hidden="false" customHeight="false" outlineLevel="0" collapsed="false">
      <c r="B6039" s="130" t="n">
        <v>2027</v>
      </c>
      <c r="C6039" s="131" t="s">
        <v>251</v>
      </c>
      <c r="D6039" s="132" t="n">
        <v>46645</v>
      </c>
      <c r="E6039" s="131" t="s">
        <v>49</v>
      </c>
      <c r="F6039" s="133" t="s">
        <v>19</v>
      </c>
      <c r="G6039" s="134" t="n">
        <f aca="false">LEN('Saisie programme'!$F$230)+SUMIFS('Vols additionnels'!$E$7:$E$66,'Vols additionnels'!$C$7:$C$66,$E6039,'Vols additionnels'!$D$7:$D$66,$F6039,'Vols additionnels'!$B$7:$B$66,$D6039)</f>
        <v>0</v>
      </c>
      <c r="H6039" s="135" t="n">
        <f aca="false">$G6039*'Analyse capacite'!$F$8</f>
        <v>0</v>
      </c>
      <c r="I6039" s="135" t="n">
        <f aca="false">$G6039*'Analyse capacite'!$C$8</f>
        <v>0</v>
      </c>
      <c r="J6039" s="135" t="n">
        <f aca="false">$G6039*'Analyse capacite'!$D$8</f>
        <v>0</v>
      </c>
      <c r="K6039" s="135" t="n">
        <f aca="false">$G6039*'Analyse capacite'!$E$8</f>
        <v>0</v>
      </c>
    </row>
    <row r="6040" customFormat="false" ht="15" hidden="false" customHeight="false" outlineLevel="0" collapsed="false">
      <c r="B6040" s="130" t="n">
        <v>2027</v>
      </c>
      <c r="C6040" s="131" t="s">
        <v>251</v>
      </c>
      <c r="D6040" s="132" t="n">
        <v>46645</v>
      </c>
      <c r="E6040" s="131" t="s">
        <v>49</v>
      </c>
      <c r="F6040" s="133" t="s">
        <v>24</v>
      </c>
      <c r="G6040" s="134" t="n">
        <f aca="false">LEN('Saisie programme'!$F$231)+SUMIFS('Vols additionnels'!$E$7:$E$66,'Vols additionnels'!$C$7:$C$66,$E6040,'Vols additionnels'!$D$7:$D$66,$F6040,'Vols additionnels'!$B$7:$B$66,$D6040)</f>
        <v>0</v>
      </c>
      <c r="H6040" s="135" t="n">
        <f aca="false">$G6040*'Analyse capacite'!$F$9</f>
        <v>0</v>
      </c>
      <c r="I6040" s="135" t="n">
        <f aca="false">$G6040*'Analyse capacite'!$C$9</f>
        <v>0</v>
      </c>
      <c r="J6040" s="135" t="n">
        <f aca="false">$G6040*'Analyse capacite'!$D$9</f>
        <v>0</v>
      </c>
      <c r="K6040" s="135" t="n">
        <f aca="false">$G6040*'Analyse capacite'!$E$9</f>
        <v>0</v>
      </c>
    </row>
    <row r="6041" customFormat="false" ht="15" hidden="false" customHeight="false" outlineLevel="0" collapsed="false">
      <c r="B6041" s="130" t="n">
        <v>2027</v>
      </c>
      <c r="C6041" s="131" t="s">
        <v>251</v>
      </c>
      <c r="D6041" s="132" t="n">
        <v>46645</v>
      </c>
      <c r="E6041" s="131" t="s">
        <v>53</v>
      </c>
      <c r="F6041" s="133" t="s">
        <v>11</v>
      </c>
      <c r="G6041" s="134" t="n">
        <f aca="false">LEN('Saisie programme'!$F$232)+SUMIFS('Vols additionnels'!$E$7:$E$66,'Vols additionnels'!$C$7:$C$66,$E6041,'Vols additionnels'!$D$7:$D$66,$F6041,'Vols additionnels'!$B$7:$B$66,$D6041)</f>
        <v>0</v>
      </c>
      <c r="H6041" s="135" t="n">
        <f aca="false">$G6041*'Analyse capacite'!$F$7</f>
        <v>0</v>
      </c>
      <c r="I6041" s="135" t="n">
        <f aca="false">$G6041*'Analyse capacite'!$C$7</f>
        <v>0</v>
      </c>
      <c r="J6041" s="135" t="n">
        <f aca="false">$G6041*'Analyse capacite'!$D$7</f>
        <v>0</v>
      </c>
      <c r="K6041" s="135" t="n">
        <f aca="false">$G6041*'Analyse capacite'!$E$7</f>
        <v>0</v>
      </c>
    </row>
    <row r="6042" customFormat="false" ht="15" hidden="false" customHeight="false" outlineLevel="0" collapsed="false">
      <c r="B6042" s="130" t="n">
        <v>2027</v>
      </c>
      <c r="C6042" s="131" t="s">
        <v>251</v>
      </c>
      <c r="D6042" s="132" t="n">
        <v>46645</v>
      </c>
      <c r="E6042" s="131" t="s">
        <v>53</v>
      </c>
      <c r="F6042" s="133" t="s">
        <v>19</v>
      </c>
      <c r="G6042" s="134" t="n">
        <f aca="false">LEN('Saisie programme'!$F$233)+SUMIFS('Vols additionnels'!$E$7:$E$66,'Vols additionnels'!$C$7:$C$66,$E6042,'Vols additionnels'!$D$7:$D$66,$F6042,'Vols additionnels'!$B$7:$B$66,$D6042)</f>
        <v>0</v>
      </c>
      <c r="H6042" s="135" t="n">
        <f aca="false">$G6042*'Analyse capacite'!$F$8</f>
        <v>0</v>
      </c>
      <c r="I6042" s="135" t="n">
        <f aca="false">$G6042*'Analyse capacite'!$C$8</f>
        <v>0</v>
      </c>
      <c r="J6042" s="135" t="n">
        <f aca="false">$G6042*'Analyse capacite'!$D$8</f>
        <v>0</v>
      </c>
      <c r="K6042" s="135" t="n">
        <f aca="false">$G6042*'Analyse capacite'!$E$8</f>
        <v>0</v>
      </c>
    </row>
    <row r="6043" customFormat="false" ht="15" hidden="false" customHeight="false" outlineLevel="0" collapsed="false">
      <c r="B6043" s="130" t="n">
        <v>2027</v>
      </c>
      <c r="C6043" s="131" t="s">
        <v>251</v>
      </c>
      <c r="D6043" s="132" t="n">
        <v>46645</v>
      </c>
      <c r="E6043" s="131" t="s">
        <v>53</v>
      </c>
      <c r="F6043" s="133" t="s">
        <v>24</v>
      </c>
      <c r="G6043" s="134" t="n">
        <f aca="false">LEN('Saisie programme'!$F$234)+SUMIFS('Vols additionnels'!$E$7:$E$66,'Vols additionnels'!$C$7:$C$66,$E6043,'Vols additionnels'!$D$7:$D$66,$F6043,'Vols additionnels'!$B$7:$B$66,$D6043)</f>
        <v>0</v>
      </c>
      <c r="H6043" s="135" t="n">
        <f aca="false">$G6043*'Analyse capacite'!$F$9</f>
        <v>0</v>
      </c>
      <c r="I6043" s="135" t="n">
        <f aca="false">$G6043*'Analyse capacite'!$C$9</f>
        <v>0</v>
      </c>
      <c r="J6043" s="135" t="n">
        <f aca="false">$G6043*'Analyse capacite'!$D$9</f>
        <v>0</v>
      </c>
      <c r="K6043" s="135" t="n">
        <f aca="false">$G6043*'Analyse capacite'!$E$9</f>
        <v>0</v>
      </c>
    </row>
    <row r="6044" customFormat="false" ht="15" hidden="false" customHeight="false" outlineLevel="0" collapsed="false">
      <c r="B6044" s="130" t="n">
        <v>2027</v>
      </c>
      <c r="C6044" s="131" t="s">
        <v>251</v>
      </c>
      <c r="D6044" s="132" t="n">
        <v>46645</v>
      </c>
      <c r="E6044" s="131" t="s">
        <v>56</v>
      </c>
      <c r="F6044" s="133" t="s">
        <v>11</v>
      </c>
      <c r="G6044" s="134" t="n">
        <f aca="false">LEN('Saisie programme'!$F$235)+SUMIFS('Vols additionnels'!$E$7:$E$66,'Vols additionnels'!$C$7:$C$66,$E6044,'Vols additionnels'!$D$7:$D$66,$F6044,'Vols additionnels'!$B$7:$B$66,$D6044)</f>
        <v>0</v>
      </c>
      <c r="H6044" s="135" t="n">
        <f aca="false">$G6044*'Analyse capacite'!$F$7</f>
        <v>0</v>
      </c>
      <c r="I6044" s="135" t="n">
        <f aca="false">$G6044*'Analyse capacite'!$C$7</f>
        <v>0</v>
      </c>
      <c r="J6044" s="135" t="n">
        <f aca="false">$G6044*'Analyse capacite'!$D$7</f>
        <v>0</v>
      </c>
      <c r="K6044" s="135" t="n">
        <f aca="false">$G6044*'Analyse capacite'!$E$7</f>
        <v>0</v>
      </c>
    </row>
    <row r="6045" customFormat="false" ht="15" hidden="false" customHeight="false" outlineLevel="0" collapsed="false">
      <c r="B6045" s="130" t="n">
        <v>2027</v>
      </c>
      <c r="C6045" s="131" t="s">
        <v>251</v>
      </c>
      <c r="D6045" s="132" t="n">
        <v>46645</v>
      </c>
      <c r="E6045" s="131" t="s">
        <v>56</v>
      </c>
      <c r="F6045" s="133" t="s">
        <v>19</v>
      </c>
      <c r="G6045" s="134" t="n">
        <f aca="false">LEN('Saisie programme'!$F$236)+SUMIFS('Vols additionnels'!$E$7:$E$66,'Vols additionnels'!$C$7:$C$66,$E6045,'Vols additionnels'!$D$7:$D$66,$F6045,'Vols additionnels'!$B$7:$B$66,$D6045)</f>
        <v>0</v>
      </c>
      <c r="H6045" s="135" t="n">
        <f aca="false">$G6045*'Analyse capacite'!$F$8</f>
        <v>0</v>
      </c>
      <c r="I6045" s="135" t="n">
        <f aca="false">$G6045*'Analyse capacite'!$C$8</f>
        <v>0</v>
      </c>
      <c r="J6045" s="135" t="n">
        <f aca="false">$G6045*'Analyse capacite'!$D$8</f>
        <v>0</v>
      </c>
      <c r="K6045" s="135" t="n">
        <f aca="false">$G6045*'Analyse capacite'!$E$8</f>
        <v>0</v>
      </c>
    </row>
    <row r="6046" customFormat="false" ht="15" hidden="false" customHeight="false" outlineLevel="0" collapsed="false">
      <c r="B6046" s="130" t="n">
        <v>2027</v>
      </c>
      <c r="C6046" s="131" t="s">
        <v>251</v>
      </c>
      <c r="D6046" s="132" t="n">
        <v>46645</v>
      </c>
      <c r="E6046" s="131" t="s">
        <v>56</v>
      </c>
      <c r="F6046" s="133" t="s">
        <v>24</v>
      </c>
      <c r="G6046" s="134" t="n">
        <f aca="false">LEN('Saisie programme'!$F$237)+SUMIFS('Vols additionnels'!$E$7:$E$66,'Vols additionnels'!$C$7:$C$66,$E6046,'Vols additionnels'!$D$7:$D$66,$F6046,'Vols additionnels'!$B$7:$B$66,$D6046)</f>
        <v>0</v>
      </c>
      <c r="H6046" s="135" t="n">
        <f aca="false">$G6046*'Analyse capacite'!$F$9</f>
        <v>0</v>
      </c>
      <c r="I6046" s="135" t="n">
        <f aca="false">$G6046*'Analyse capacite'!$C$9</f>
        <v>0</v>
      </c>
      <c r="J6046" s="135" t="n">
        <f aca="false">$G6046*'Analyse capacite'!$D$9</f>
        <v>0</v>
      </c>
      <c r="K6046" s="135" t="n">
        <f aca="false">$G6046*'Analyse capacite'!$E$9</f>
        <v>0</v>
      </c>
    </row>
    <row r="6047" customFormat="false" ht="15" hidden="false" customHeight="false" outlineLevel="0" collapsed="false">
      <c r="B6047" s="130" t="n">
        <v>2027</v>
      </c>
      <c r="C6047" s="131" t="s">
        <v>251</v>
      </c>
      <c r="D6047" s="132" t="n">
        <v>46645</v>
      </c>
      <c r="E6047" s="131" t="s">
        <v>59</v>
      </c>
      <c r="F6047" s="133" t="s">
        <v>11</v>
      </c>
      <c r="G6047" s="134" t="n">
        <f aca="false">LEN('Saisie programme'!$F$238)+SUMIFS('Vols additionnels'!$E$7:$E$66,'Vols additionnels'!$C$7:$C$66,$E6047,'Vols additionnels'!$D$7:$D$66,$F6047,'Vols additionnels'!$B$7:$B$66,$D6047)</f>
        <v>0</v>
      </c>
      <c r="H6047" s="135" t="n">
        <f aca="false">$G6047*'Analyse capacite'!$F$7</f>
        <v>0</v>
      </c>
      <c r="I6047" s="135" t="n">
        <f aca="false">$G6047*'Analyse capacite'!$C$7</f>
        <v>0</v>
      </c>
      <c r="J6047" s="135" t="n">
        <f aca="false">$G6047*'Analyse capacite'!$D$7</f>
        <v>0</v>
      </c>
      <c r="K6047" s="135" t="n">
        <f aca="false">$G6047*'Analyse capacite'!$E$7</f>
        <v>0</v>
      </c>
    </row>
    <row r="6048" customFormat="false" ht="15" hidden="false" customHeight="false" outlineLevel="0" collapsed="false">
      <c r="B6048" s="130" t="n">
        <v>2027</v>
      </c>
      <c r="C6048" s="131" t="s">
        <v>251</v>
      </c>
      <c r="D6048" s="132" t="n">
        <v>46645</v>
      </c>
      <c r="E6048" s="131" t="s">
        <v>59</v>
      </c>
      <c r="F6048" s="133" t="s">
        <v>19</v>
      </c>
      <c r="G6048" s="134" t="n">
        <f aca="false">LEN('Saisie programme'!$F$239)+SUMIFS('Vols additionnels'!$E$7:$E$66,'Vols additionnels'!$C$7:$C$66,$E6048,'Vols additionnels'!$D$7:$D$66,$F6048,'Vols additionnels'!$B$7:$B$66,$D6048)</f>
        <v>0</v>
      </c>
      <c r="H6048" s="135" t="n">
        <f aca="false">$G6048*'Analyse capacite'!$F$8</f>
        <v>0</v>
      </c>
      <c r="I6048" s="135" t="n">
        <f aca="false">$G6048*'Analyse capacite'!$C$8</f>
        <v>0</v>
      </c>
      <c r="J6048" s="135" t="n">
        <f aca="false">$G6048*'Analyse capacite'!$D$8</f>
        <v>0</v>
      </c>
      <c r="K6048" s="135" t="n">
        <f aca="false">$G6048*'Analyse capacite'!$E$8</f>
        <v>0</v>
      </c>
    </row>
    <row r="6049" customFormat="false" ht="15" hidden="false" customHeight="false" outlineLevel="0" collapsed="false">
      <c r="B6049" s="130" t="n">
        <v>2027</v>
      </c>
      <c r="C6049" s="131" t="s">
        <v>251</v>
      </c>
      <c r="D6049" s="132" t="n">
        <v>46645</v>
      </c>
      <c r="E6049" s="131" t="s">
        <v>59</v>
      </c>
      <c r="F6049" s="133" t="s">
        <v>24</v>
      </c>
      <c r="G6049" s="134" t="n">
        <f aca="false">LEN('Saisie programme'!$F$240)+SUMIFS('Vols additionnels'!$E$7:$E$66,'Vols additionnels'!$C$7:$C$66,$E6049,'Vols additionnels'!$D$7:$D$66,$F6049,'Vols additionnels'!$B$7:$B$66,$D6049)</f>
        <v>1</v>
      </c>
      <c r="H6049" s="135" t="n">
        <f aca="false">$G6049*'Analyse capacite'!$F$9</f>
        <v>174</v>
      </c>
      <c r="I6049" s="135" t="n">
        <f aca="false">$G6049*'Analyse capacite'!$C$9</f>
        <v>0</v>
      </c>
      <c r="J6049" s="135" t="n">
        <f aca="false">$G6049*'Analyse capacite'!$D$9</f>
        <v>12</v>
      </c>
      <c r="K6049" s="135" t="n">
        <f aca="false">$G6049*'Analyse capacite'!$E$9</f>
        <v>162</v>
      </c>
    </row>
    <row r="6050" customFormat="false" ht="15" hidden="false" customHeight="false" outlineLevel="0" collapsed="false">
      <c r="B6050" s="130" t="n">
        <v>2027</v>
      </c>
      <c r="C6050" s="131" t="s">
        <v>251</v>
      </c>
      <c r="D6050" s="132" t="n">
        <v>46645</v>
      </c>
      <c r="E6050" s="131" t="s">
        <v>62</v>
      </c>
      <c r="F6050" s="133" t="s">
        <v>11</v>
      </c>
      <c r="G6050" s="134" t="n">
        <f aca="false">LEN('Saisie programme'!$F$241)+SUMIFS('Vols additionnels'!$E$7:$E$66,'Vols additionnels'!$C$7:$C$66,$E6050,'Vols additionnels'!$D$7:$D$66,$F6050,'Vols additionnels'!$B$7:$B$66,$D6050)</f>
        <v>0</v>
      </c>
      <c r="H6050" s="135" t="n">
        <f aca="false">$G6050*'Analyse capacite'!$F$7</f>
        <v>0</v>
      </c>
      <c r="I6050" s="135" t="n">
        <f aca="false">$G6050*'Analyse capacite'!$C$7</f>
        <v>0</v>
      </c>
      <c r="J6050" s="135" t="n">
        <f aca="false">$G6050*'Analyse capacite'!$D$7</f>
        <v>0</v>
      </c>
      <c r="K6050" s="135" t="n">
        <f aca="false">$G6050*'Analyse capacite'!$E$7</f>
        <v>0</v>
      </c>
    </row>
    <row r="6051" customFormat="false" ht="15" hidden="false" customHeight="false" outlineLevel="0" collapsed="false">
      <c r="B6051" s="130" t="n">
        <v>2027</v>
      </c>
      <c r="C6051" s="131" t="s">
        <v>251</v>
      </c>
      <c r="D6051" s="132" t="n">
        <v>46645</v>
      </c>
      <c r="E6051" s="131" t="s">
        <v>62</v>
      </c>
      <c r="F6051" s="133" t="s">
        <v>19</v>
      </c>
      <c r="G6051" s="134" t="n">
        <f aca="false">LEN('Saisie programme'!$F$242)+SUMIFS('Vols additionnels'!$E$7:$E$66,'Vols additionnels'!$C$7:$C$66,$E6051,'Vols additionnels'!$D$7:$D$66,$F6051,'Vols additionnels'!$B$7:$B$66,$D6051)</f>
        <v>0</v>
      </c>
      <c r="H6051" s="135" t="n">
        <f aca="false">$G6051*'Analyse capacite'!$F$8</f>
        <v>0</v>
      </c>
      <c r="I6051" s="135" t="n">
        <f aca="false">$G6051*'Analyse capacite'!$C$8</f>
        <v>0</v>
      </c>
      <c r="J6051" s="135" t="n">
        <f aca="false">$G6051*'Analyse capacite'!$D$8</f>
        <v>0</v>
      </c>
      <c r="K6051" s="135" t="n">
        <f aca="false">$G6051*'Analyse capacite'!$E$8</f>
        <v>0</v>
      </c>
    </row>
    <row r="6052" customFormat="false" ht="15" hidden="false" customHeight="false" outlineLevel="0" collapsed="false">
      <c r="B6052" s="130" t="n">
        <v>2027</v>
      </c>
      <c r="C6052" s="131" t="s">
        <v>251</v>
      </c>
      <c r="D6052" s="132" t="n">
        <v>46645</v>
      </c>
      <c r="E6052" s="131" t="s">
        <v>62</v>
      </c>
      <c r="F6052" s="133" t="s">
        <v>24</v>
      </c>
      <c r="G6052" s="134" t="n">
        <f aca="false">LEN('Saisie programme'!$F$243)+SUMIFS('Vols additionnels'!$E$7:$E$66,'Vols additionnels'!$C$7:$C$66,$E6052,'Vols additionnels'!$D$7:$D$66,$F6052,'Vols additionnels'!$B$7:$B$66,$D6052)</f>
        <v>1</v>
      </c>
      <c r="H6052" s="135" t="n">
        <f aca="false">$G6052*'Analyse capacite'!$F$9</f>
        <v>174</v>
      </c>
      <c r="I6052" s="135" t="n">
        <f aca="false">$G6052*'Analyse capacite'!$C$9</f>
        <v>0</v>
      </c>
      <c r="J6052" s="135" t="n">
        <f aca="false">$G6052*'Analyse capacite'!$D$9</f>
        <v>12</v>
      </c>
      <c r="K6052" s="135" t="n">
        <f aca="false">$G6052*'Analyse capacite'!$E$9</f>
        <v>162</v>
      </c>
    </row>
    <row r="6053" customFormat="false" ht="15" hidden="false" customHeight="false" outlineLevel="0" collapsed="false">
      <c r="B6053" s="130" t="n">
        <v>2027</v>
      </c>
      <c r="C6053" s="131" t="s">
        <v>251</v>
      </c>
      <c r="D6053" s="132" t="n">
        <v>46646</v>
      </c>
      <c r="E6053" s="131" t="s">
        <v>12</v>
      </c>
      <c r="F6053" s="133" t="s">
        <v>11</v>
      </c>
      <c r="G6053" s="134" t="n">
        <f aca="false">LEN('Saisie programme'!$G$208)+SUMIFS('Vols additionnels'!$E$7:$E$66,'Vols additionnels'!$C$7:$C$66,$E6053,'Vols additionnels'!$D$7:$D$66,$F6053,'Vols additionnels'!$B$7:$B$66,$D6053)</f>
        <v>1</v>
      </c>
      <c r="H6053" s="135" t="n">
        <f aca="false">$G6053*'Analyse capacite'!$F$7</f>
        <v>438</v>
      </c>
      <c r="I6053" s="135" t="n">
        <f aca="false">$G6053*'Analyse capacite'!$C$7</f>
        <v>14</v>
      </c>
      <c r="J6053" s="135" t="n">
        <f aca="false">$G6053*'Analyse capacite'!$D$7</f>
        <v>40</v>
      </c>
      <c r="K6053" s="135" t="n">
        <f aca="false">$G6053*'Analyse capacite'!$E$7</f>
        <v>384</v>
      </c>
    </row>
    <row r="6054" customFormat="false" ht="15" hidden="false" customHeight="false" outlineLevel="0" collapsed="false">
      <c r="B6054" s="130" t="n">
        <v>2027</v>
      </c>
      <c r="C6054" s="131" t="s">
        <v>251</v>
      </c>
      <c r="D6054" s="132" t="n">
        <v>46646</v>
      </c>
      <c r="E6054" s="131" t="s">
        <v>12</v>
      </c>
      <c r="F6054" s="133" t="s">
        <v>19</v>
      </c>
      <c r="G6054" s="134" t="n">
        <f aca="false">LEN('Saisie programme'!$G$209)+SUMIFS('Vols additionnels'!$E$7:$E$66,'Vols additionnels'!$C$7:$C$66,$E6054,'Vols additionnels'!$D$7:$D$66,$F6054,'Vols additionnels'!$B$7:$B$66,$D6054)</f>
        <v>0</v>
      </c>
      <c r="H6054" s="135" t="n">
        <f aca="false">$G6054*'Analyse capacite'!$F$8</f>
        <v>0</v>
      </c>
      <c r="I6054" s="135" t="n">
        <f aca="false">$G6054*'Analyse capacite'!$C$8</f>
        <v>0</v>
      </c>
      <c r="J6054" s="135" t="n">
        <f aca="false">$G6054*'Analyse capacite'!$D$8</f>
        <v>0</v>
      </c>
      <c r="K6054" s="135" t="n">
        <f aca="false">$G6054*'Analyse capacite'!$E$8</f>
        <v>0</v>
      </c>
    </row>
    <row r="6055" customFormat="false" ht="15" hidden="false" customHeight="false" outlineLevel="0" collapsed="false">
      <c r="B6055" s="130" t="n">
        <v>2027</v>
      </c>
      <c r="C6055" s="131" t="s">
        <v>251</v>
      </c>
      <c r="D6055" s="132" t="n">
        <v>46646</v>
      </c>
      <c r="E6055" s="131" t="s">
        <v>12</v>
      </c>
      <c r="F6055" s="133" t="s">
        <v>24</v>
      </c>
      <c r="G6055" s="134" t="n">
        <f aca="false">LEN('Saisie programme'!$G$210)+SUMIFS('Vols additionnels'!$E$7:$E$66,'Vols additionnels'!$C$7:$C$66,$E6055,'Vols additionnels'!$D$7:$D$66,$F6055,'Vols additionnels'!$B$7:$B$66,$D6055)</f>
        <v>0</v>
      </c>
      <c r="H6055" s="135" t="n">
        <f aca="false">$G6055*'Analyse capacite'!$F$9</f>
        <v>0</v>
      </c>
      <c r="I6055" s="135" t="n">
        <f aca="false">$G6055*'Analyse capacite'!$C$9</f>
        <v>0</v>
      </c>
      <c r="J6055" s="135" t="n">
        <f aca="false">$G6055*'Analyse capacite'!$D$9</f>
        <v>0</v>
      </c>
      <c r="K6055" s="135" t="n">
        <f aca="false">$G6055*'Analyse capacite'!$E$9</f>
        <v>0</v>
      </c>
    </row>
    <row r="6056" customFormat="false" ht="15" hidden="false" customHeight="false" outlineLevel="0" collapsed="false">
      <c r="B6056" s="130" t="n">
        <v>2027</v>
      </c>
      <c r="C6056" s="131" t="s">
        <v>251</v>
      </c>
      <c r="D6056" s="132" t="n">
        <v>46646</v>
      </c>
      <c r="E6056" s="131" t="s">
        <v>20</v>
      </c>
      <c r="F6056" s="133" t="s">
        <v>11</v>
      </c>
      <c r="G6056" s="134" t="n">
        <f aca="false">LEN('Saisie programme'!$G$211)+SUMIFS('Vols additionnels'!$E$7:$E$66,'Vols additionnels'!$C$7:$C$66,$E6056,'Vols additionnels'!$D$7:$D$66,$F6056,'Vols additionnels'!$B$7:$B$66,$D6056)</f>
        <v>0</v>
      </c>
      <c r="H6056" s="135" t="n">
        <f aca="false">$G6056*'Analyse capacite'!$F$7</f>
        <v>0</v>
      </c>
      <c r="I6056" s="135" t="n">
        <f aca="false">$G6056*'Analyse capacite'!$C$7</f>
        <v>0</v>
      </c>
      <c r="J6056" s="135" t="n">
        <f aca="false">$G6056*'Analyse capacite'!$D$7</f>
        <v>0</v>
      </c>
      <c r="K6056" s="135" t="n">
        <f aca="false">$G6056*'Analyse capacite'!$E$7</f>
        <v>0</v>
      </c>
    </row>
    <row r="6057" customFormat="false" ht="15" hidden="false" customHeight="false" outlineLevel="0" collapsed="false">
      <c r="B6057" s="130" t="n">
        <v>2027</v>
      </c>
      <c r="C6057" s="131" t="s">
        <v>251</v>
      </c>
      <c r="D6057" s="132" t="n">
        <v>46646</v>
      </c>
      <c r="E6057" s="131" t="s">
        <v>20</v>
      </c>
      <c r="F6057" s="133" t="s">
        <v>19</v>
      </c>
      <c r="G6057" s="134" t="n">
        <f aca="false">LEN('Saisie programme'!$G$212)+SUMIFS('Vols additionnels'!$E$7:$E$66,'Vols additionnels'!$C$7:$C$66,$E6057,'Vols additionnels'!$D$7:$D$66,$F6057,'Vols additionnels'!$B$7:$B$66,$D6057)</f>
        <v>0</v>
      </c>
      <c r="H6057" s="135" t="n">
        <f aca="false">$G6057*'Analyse capacite'!$F$8</f>
        <v>0</v>
      </c>
      <c r="I6057" s="135" t="n">
        <f aca="false">$G6057*'Analyse capacite'!$C$8</f>
        <v>0</v>
      </c>
      <c r="J6057" s="135" t="n">
        <f aca="false">$G6057*'Analyse capacite'!$D$8</f>
        <v>0</v>
      </c>
      <c r="K6057" s="135" t="n">
        <f aca="false">$G6057*'Analyse capacite'!$E$8</f>
        <v>0</v>
      </c>
    </row>
    <row r="6058" customFormat="false" ht="15" hidden="false" customHeight="false" outlineLevel="0" collapsed="false">
      <c r="B6058" s="130" t="n">
        <v>2027</v>
      </c>
      <c r="C6058" s="131" t="s">
        <v>251</v>
      </c>
      <c r="D6058" s="132" t="n">
        <v>46646</v>
      </c>
      <c r="E6058" s="131" t="s">
        <v>20</v>
      </c>
      <c r="F6058" s="133" t="s">
        <v>24</v>
      </c>
      <c r="G6058" s="134" t="n">
        <f aca="false">LEN('Saisie programme'!$G$213)+SUMIFS('Vols additionnels'!$E$7:$E$66,'Vols additionnels'!$C$7:$C$66,$E6058,'Vols additionnels'!$D$7:$D$66,$F6058,'Vols additionnels'!$B$7:$B$66,$D6058)</f>
        <v>0</v>
      </c>
      <c r="H6058" s="135" t="n">
        <f aca="false">$G6058*'Analyse capacite'!$F$9</f>
        <v>0</v>
      </c>
      <c r="I6058" s="135" t="n">
        <f aca="false">$G6058*'Analyse capacite'!$C$9</f>
        <v>0</v>
      </c>
      <c r="J6058" s="135" t="n">
        <f aca="false">$G6058*'Analyse capacite'!$D$9</f>
        <v>0</v>
      </c>
      <c r="K6058" s="135" t="n">
        <f aca="false">$G6058*'Analyse capacite'!$E$9</f>
        <v>0</v>
      </c>
    </row>
    <row r="6059" customFormat="false" ht="15" hidden="false" customHeight="false" outlineLevel="0" collapsed="false">
      <c r="B6059" s="130" t="n">
        <v>2027</v>
      </c>
      <c r="C6059" s="131" t="s">
        <v>251</v>
      </c>
      <c r="D6059" s="132" t="n">
        <v>46646</v>
      </c>
      <c r="E6059" s="131" t="s">
        <v>25</v>
      </c>
      <c r="F6059" s="133" t="s">
        <v>11</v>
      </c>
      <c r="G6059" s="134" t="n">
        <f aca="false">LEN('Saisie programme'!$G$214)+SUMIFS('Vols additionnels'!$E$7:$E$66,'Vols additionnels'!$C$7:$C$66,$E6059,'Vols additionnels'!$D$7:$D$66,$F6059,'Vols additionnels'!$B$7:$B$66,$D6059)</f>
        <v>0</v>
      </c>
      <c r="H6059" s="135" t="n">
        <f aca="false">$G6059*'Analyse capacite'!$F$7</f>
        <v>0</v>
      </c>
      <c r="I6059" s="135" t="n">
        <f aca="false">$G6059*'Analyse capacite'!$C$7</f>
        <v>0</v>
      </c>
      <c r="J6059" s="135" t="n">
        <f aca="false">$G6059*'Analyse capacite'!$D$7</f>
        <v>0</v>
      </c>
      <c r="K6059" s="135" t="n">
        <f aca="false">$G6059*'Analyse capacite'!$E$7</f>
        <v>0</v>
      </c>
    </row>
    <row r="6060" customFormat="false" ht="15" hidden="false" customHeight="false" outlineLevel="0" collapsed="false">
      <c r="B6060" s="130" t="n">
        <v>2027</v>
      </c>
      <c r="C6060" s="131" t="s">
        <v>251</v>
      </c>
      <c r="D6060" s="132" t="n">
        <v>46646</v>
      </c>
      <c r="E6060" s="131" t="s">
        <v>25</v>
      </c>
      <c r="F6060" s="133" t="s">
        <v>19</v>
      </c>
      <c r="G6060" s="134" t="n">
        <f aca="false">LEN('Saisie programme'!$G$215)+SUMIFS('Vols additionnels'!$E$7:$E$66,'Vols additionnels'!$C$7:$C$66,$E6060,'Vols additionnels'!$D$7:$D$66,$F6060,'Vols additionnels'!$B$7:$B$66,$D6060)</f>
        <v>0</v>
      </c>
      <c r="H6060" s="135" t="n">
        <f aca="false">$G6060*'Analyse capacite'!$F$8</f>
        <v>0</v>
      </c>
      <c r="I6060" s="135" t="n">
        <f aca="false">$G6060*'Analyse capacite'!$C$8</f>
        <v>0</v>
      </c>
      <c r="J6060" s="135" t="n">
        <f aca="false">$G6060*'Analyse capacite'!$D$8</f>
        <v>0</v>
      </c>
      <c r="K6060" s="135" t="n">
        <f aca="false">$G6060*'Analyse capacite'!$E$8</f>
        <v>0</v>
      </c>
    </row>
    <row r="6061" customFormat="false" ht="15" hidden="false" customHeight="false" outlineLevel="0" collapsed="false">
      <c r="B6061" s="130" t="n">
        <v>2027</v>
      </c>
      <c r="C6061" s="131" t="s">
        <v>251</v>
      </c>
      <c r="D6061" s="132" t="n">
        <v>46646</v>
      </c>
      <c r="E6061" s="131" t="s">
        <v>25</v>
      </c>
      <c r="F6061" s="133" t="s">
        <v>24</v>
      </c>
      <c r="G6061" s="134" t="n">
        <f aca="false">LEN('Saisie programme'!$G$216)+SUMIFS('Vols additionnels'!$E$7:$E$66,'Vols additionnels'!$C$7:$C$66,$E6061,'Vols additionnels'!$D$7:$D$66,$F6061,'Vols additionnels'!$B$7:$B$66,$D6061)</f>
        <v>0</v>
      </c>
      <c r="H6061" s="135" t="n">
        <f aca="false">$G6061*'Analyse capacite'!$F$9</f>
        <v>0</v>
      </c>
      <c r="I6061" s="135" t="n">
        <f aca="false">$G6061*'Analyse capacite'!$C$9</f>
        <v>0</v>
      </c>
      <c r="J6061" s="135" t="n">
        <f aca="false">$G6061*'Analyse capacite'!$D$9</f>
        <v>0</v>
      </c>
      <c r="K6061" s="135" t="n">
        <f aca="false">$G6061*'Analyse capacite'!$E$9</f>
        <v>0</v>
      </c>
    </row>
    <row r="6062" customFormat="false" ht="15" hidden="false" customHeight="false" outlineLevel="0" collapsed="false">
      <c r="B6062" s="130" t="n">
        <v>2027</v>
      </c>
      <c r="C6062" s="131" t="s">
        <v>251</v>
      </c>
      <c r="D6062" s="132" t="n">
        <v>46646</v>
      </c>
      <c r="E6062" s="131" t="s">
        <v>36</v>
      </c>
      <c r="F6062" s="133" t="s">
        <v>11</v>
      </c>
      <c r="G6062" s="134" t="n">
        <f aca="false">LEN('Saisie programme'!$G$217)+SUMIFS('Vols additionnels'!$E$7:$E$66,'Vols additionnels'!$C$7:$C$66,$E6062,'Vols additionnels'!$D$7:$D$66,$F6062,'Vols additionnels'!$B$7:$B$66,$D6062)</f>
        <v>0</v>
      </c>
      <c r="H6062" s="135" t="n">
        <f aca="false">$G6062*'Analyse capacite'!$F$7</f>
        <v>0</v>
      </c>
      <c r="I6062" s="135" t="n">
        <f aca="false">$G6062*'Analyse capacite'!$C$7</f>
        <v>0</v>
      </c>
      <c r="J6062" s="135" t="n">
        <f aca="false">$G6062*'Analyse capacite'!$D$7</f>
        <v>0</v>
      </c>
      <c r="K6062" s="135" t="n">
        <f aca="false">$G6062*'Analyse capacite'!$E$7</f>
        <v>0</v>
      </c>
    </row>
    <row r="6063" customFormat="false" ht="15" hidden="false" customHeight="false" outlineLevel="0" collapsed="false">
      <c r="B6063" s="130" t="n">
        <v>2027</v>
      </c>
      <c r="C6063" s="131" t="s">
        <v>251</v>
      </c>
      <c r="D6063" s="132" t="n">
        <v>46646</v>
      </c>
      <c r="E6063" s="131" t="s">
        <v>36</v>
      </c>
      <c r="F6063" s="133" t="s">
        <v>19</v>
      </c>
      <c r="G6063" s="134" t="n">
        <f aca="false">LEN('Saisie programme'!$G$218)+SUMIFS('Vols additionnels'!$E$7:$E$66,'Vols additionnels'!$C$7:$C$66,$E6063,'Vols additionnels'!$D$7:$D$66,$F6063,'Vols additionnels'!$B$7:$B$66,$D6063)</f>
        <v>0</v>
      </c>
      <c r="H6063" s="135" t="n">
        <f aca="false">$G6063*'Analyse capacite'!$F$8</f>
        <v>0</v>
      </c>
      <c r="I6063" s="135" t="n">
        <f aca="false">$G6063*'Analyse capacite'!$C$8</f>
        <v>0</v>
      </c>
      <c r="J6063" s="135" t="n">
        <f aca="false">$G6063*'Analyse capacite'!$D$8</f>
        <v>0</v>
      </c>
      <c r="K6063" s="135" t="n">
        <f aca="false">$G6063*'Analyse capacite'!$E$8</f>
        <v>0</v>
      </c>
    </row>
    <row r="6064" customFormat="false" ht="15" hidden="false" customHeight="false" outlineLevel="0" collapsed="false">
      <c r="B6064" s="130" t="n">
        <v>2027</v>
      </c>
      <c r="C6064" s="131" t="s">
        <v>251</v>
      </c>
      <c r="D6064" s="132" t="n">
        <v>46646</v>
      </c>
      <c r="E6064" s="131" t="s">
        <v>36</v>
      </c>
      <c r="F6064" s="133" t="s">
        <v>24</v>
      </c>
      <c r="G6064" s="134" t="n">
        <f aca="false">LEN('Saisie programme'!$G$219)+SUMIFS('Vols additionnels'!$E$7:$E$66,'Vols additionnels'!$C$7:$C$66,$E6064,'Vols additionnels'!$D$7:$D$66,$F6064,'Vols additionnels'!$B$7:$B$66,$D6064)</f>
        <v>1</v>
      </c>
      <c r="H6064" s="135" t="n">
        <f aca="false">$G6064*'Analyse capacite'!$F$9</f>
        <v>174</v>
      </c>
      <c r="I6064" s="135" t="n">
        <f aca="false">$G6064*'Analyse capacite'!$C$9</f>
        <v>0</v>
      </c>
      <c r="J6064" s="135" t="n">
        <f aca="false">$G6064*'Analyse capacite'!$D$9</f>
        <v>12</v>
      </c>
      <c r="K6064" s="135" t="n">
        <f aca="false">$G6064*'Analyse capacite'!$E$9</f>
        <v>162</v>
      </c>
    </row>
    <row r="6065" customFormat="false" ht="15" hidden="false" customHeight="false" outlineLevel="0" collapsed="false">
      <c r="B6065" s="130" t="n">
        <v>2027</v>
      </c>
      <c r="C6065" s="131" t="s">
        <v>251</v>
      </c>
      <c r="D6065" s="132" t="n">
        <v>46646</v>
      </c>
      <c r="E6065" s="131" t="s">
        <v>40</v>
      </c>
      <c r="F6065" s="133" t="s">
        <v>11</v>
      </c>
      <c r="G6065" s="134" t="n">
        <f aca="false">LEN('Saisie programme'!$G$220)+SUMIFS('Vols additionnels'!$E$7:$E$66,'Vols additionnels'!$C$7:$C$66,$E6065,'Vols additionnels'!$D$7:$D$66,$F6065,'Vols additionnels'!$B$7:$B$66,$D6065)</f>
        <v>0</v>
      </c>
      <c r="H6065" s="135" t="n">
        <f aca="false">$G6065*'Analyse capacite'!$F$7</f>
        <v>0</v>
      </c>
      <c r="I6065" s="135" t="n">
        <f aca="false">$G6065*'Analyse capacite'!$C$7</f>
        <v>0</v>
      </c>
      <c r="J6065" s="135" t="n">
        <f aca="false">$G6065*'Analyse capacite'!$D$7</f>
        <v>0</v>
      </c>
      <c r="K6065" s="135" t="n">
        <f aca="false">$G6065*'Analyse capacite'!$E$7</f>
        <v>0</v>
      </c>
    </row>
    <row r="6066" customFormat="false" ht="15" hidden="false" customHeight="false" outlineLevel="0" collapsed="false">
      <c r="B6066" s="130" t="n">
        <v>2027</v>
      </c>
      <c r="C6066" s="131" t="s">
        <v>251</v>
      </c>
      <c r="D6066" s="132" t="n">
        <v>46646</v>
      </c>
      <c r="E6066" s="131" t="s">
        <v>40</v>
      </c>
      <c r="F6066" s="133" t="s">
        <v>19</v>
      </c>
      <c r="G6066" s="134" t="n">
        <f aca="false">LEN('Saisie programme'!$G$221)+SUMIFS('Vols additionnels'!$E$7:$E$66,'Vols additionnels'!$C$7:$C$66,$E6066,'Vols additionnels'!$D$7:$D$66,$F6066,'Vols additionnels'!$B$7:$B$66,$D6066)</f>
        <v>0</v>
      </c>
      <c r="H6066" s="135" t="n">
        <f aca="false">$G6066*'Analyse capacite'!$F$8</f>
        <v>0</v>
      </c>
      <c r="I6066" s="135" t="n">
        <f aca="false">$G6066*'Analyse capacite'!$C$8</f>
        <v>0</v>
      </c>
      <c r="J6066" s="135" t="n">
        <f aca="false">$G6066*'Analyse capacite'!$D$8</f>
        <v>0</v>
      </c>
      <c r="K6066" s="135" t="n">
        <f aca="false">$G6066*'Analyse capacite'!$E$8</f>
        <v>0</v>
      </c>
    </row>
    <row r="6067" customFormat="false" ht="15" hidden="false" customHeight="false" outlineLevel="0" collapsed="false">
      <c r="B6067" s="130" t="n">
        <v>2027</v>
      </c>
      <c r="C6067" s="131" t="s">
        <v>251</v>
      </c>
      <c r="D6067" s="132" t="n">
        <v>46646</v>
      </c>
      <c r="E6067" s="131" t="s">
        <v>40</v>
      </c>
      <c r="F6067" s="133" t="s">
        <v>24</v>
      </c>
      <c r="G6067" s="134" t="n">
        <f aca="false">LEN('Saisie programme'!$G$222)+SUMIFS('Vols additionnels'!$E$7:$E$66,'Vols additionnels'!$C$7:$C$66,$E6067,'Vols additionnels'!$D$7:$D$66,$F6067,'Vols additionnels'!$B$7:$B$66,$D6067)</f>
        <v>0</v>
      </c>
      <c r="H6067" s="135" t="n">
        <f aca="false">$G6067*'Analyse capacite'!$F$9</f>
        <v>0</v>
      </c>
      <c r="I6067" s="135" t="n">
        <f aca="false">$G6067*'Analyse capacite'!$C$9</f>
        <v>0</v>
      </c>
      <c r="J6067" s="135" t="n">
        <f aca="false">$G6067*'Analyse capacite'!$D$9</f>
        <v>0</v>
      </c>
      <c r="K6067" s="135" t="n">
        <f aca="false">$G6067*'Analyse capacite'!$E$9</f>
        <v>0</v>
      </c>
    </row>
    <row r="6068" customFormat="false" ht="15" hidden="false" customHeight="false" outlineLevel="0" collapsed="false">
      <c r="B6068" s="130" t="n">
        <v>2027</v>
      </c>
      <c r="C6068" s="131" t="s">
        <v>251</v>
      </c>
      <c r="D6068" s="132" t="n">
        <v>46646</v>
      </c>
      <c r="E6068" s="131" t="s">
        <v>14</v>
      </c>
      <c r="F6068" s="133" t="s">
        <v>11</v>
      </c>
      <c r="G6068" s="134" t="n">
        <f aca="false">LEN('Saisie programme'!$G$223)+SUMIFS('Vols additionnels'!$E$7:$E$66,'Vols additionnels'!$C$7:$C$66,$E6068,'Vols additionnels'!$D$7:$D$66,$F6068,'Vols additionnels'!$B$7:$B$66,$D6068)</f>
        <v>0</v>
      </c>
      <c r="H6068" s="135" t="n">
        <f aca="false">$G6068*'Analyse capacite'!$F$7</f>
        <v>0</v>
      </c>
      <c r="I6068" s="135" t="n">
        <f aca="false">$G6068*'Analyse capacite'!$C$7</f>
        <v>0</v>
      </c>
      <c r="J6068" s="135" t="n">
        <f aca="false">$G6068*'Analyse capacite'!$D$7</f>
        <v>0</v>
      </c>
      <c r="K6068" s="135" t="n">
        <f aca="false">$G6068*'Analyse capacite'!$E$7</f>
        <v>0</v>
      </c>
    </row>
    <row r="6069" customFormat="false" ht="15" hidden="false" customHeight="false" outlineLevel="0" collapsed="false">
      <c r="B6069" s="130" t="n">
        <v>2027</v>
      </c>
      <c r="C6069" s="131" t="s">
        <v>251</v>
      </c>
      <c r="D6069" s="132" t="n">
        <v>46646</v>
      </c>
      <c r="E6069" s="131" t="s">
        <v>14</v>
      </c>
      <c r="F6069" s="133" t="s">
        <v>19</v>
      </c>
      <c r="G6069" s="134" t="n">
        <f aca="false">LEN('Saisie programme'!$G$224)+SUMIFS('Vols additionnels'!$E$7:$E$66,'Vols additionnels'!$C$7:$C$66,$E6069,'Vols additionnels'!$D$7:$D$66,$F6069,'Vols additionnels'!$B$7:$B$66,$D6069)</f>
        <v>0</v>
      </c>
      <c r="H6069" s="135" t="n">
        <f aca="false">$G6069*'Analyse capacite'!$F$8</f>
        <v>0</v>
      </c>
      <c r="I6069" s="135" t="n">
        <f aca="false">$G6069*'Analyse capacite'!$C$8</f>
        <v>0</v>
      </c>
      <c r="J6069" s="135" t="n">
        <f aca="false">$G6069*'Analyse capacite'!$D$8</f>
        <v>0</v>
      </c>
      <c r="K6069" s="135" t="n">
        <f aca="false">$G6069*'Analyse capacite'!$E$8</f>
        <v>0</v>
      </c>
    </row>
    <row r="6070" customFormat="false" ht="15" hidden="false" customHeight="false" outlineLevel="0" collapsed="false">
      <c r="B6070" s="130" t="n">
        <v>2027</v>
      </c>
      <c r="C6070" s="131" t="s">
        <v>251</v>
      </c>
      <c r="D6070" s="132" t="n">
        <v>46646</v>
      </c>
      <c r="E6070" s="131" t="s">
        <v>14</v>
      </c>
      <c r="F6070" s="133" t="s">
        <v>24</v>
      </c>
      <c r="G6070" s="134" t="n">
        <f aca="false">LEN('Saisie programme'!$G$225)+SUMIFS('Vols additionnels'!$E$7:$E$66,'Vols additionnels'!$C$7:$C$66,$E6070,'Vols additionnels'!$D$7:$D$66,$F6070,'Vols additionnels'!$B$7:$B$66,$D6070)</f>
        <v>1</v>
      </c>
      <c r="H6070" s="135" t="n">
        <f aca="false">$G6070*'Analyse capacite'!$F$9</f>
        <v>174</v>
      </c>
      <c r="I6070" s="135" t="n">
        <f aca="false">$G6070*'Analyse capacite'!$C$9</f>
        <v>0</v>
      </c>
      <c r="J6070" s="135" t="n">
        <f aca="false">$G6070*'Analyse capacite'!$D$9</f>
        <v>12</v>
      </c>
      <c r="K6070" s="135" t="n">
        <f aca="false">$G6070*'Analyse capacite'!$E$9</f>
        <v>162</v>
      </c>
    </row>
    <row r="6071" customFormat="false" ht="15" hidden="false" customHeight="false" outlineLevel="0" collapsed="false">
      <c r="B6071" s="130" t="n">
        <v>2027</v>
      </c>
      <c r="C6071" s="131" t="s">
        <v>251</v>
      </c>
      <c r="D6071" s="132" t="n">
        <v>46646</v>
      </c>
      <c r="E6071" s="131" t="s">
        <v>46</v>
      </c>
      <c r="F6071" s="133" t="s">
        <v>11</v>
      </c>
      <c r="G6071" s="134" t="n">
        <f aca="false">LEN('Saisie programme'!$G$226)+SUMIFS('Vols additionnels'!$E$7:$E$66,'Vols additionnels'!$C$7:$C$66,$E6071,'Vols additionnels'!$D$7:$D$66,$F6071,'Vols additionnels'!$B$7:$B$66,$D6071)</f>
        <v>0</v>
      </c>
      <c r="H6071" s="135" t="n">
        <f aca="false">$G6071*'Analyse capacite'!$F$7</f>
        <v>0</v>
      </c>
      <c r="I6071" s="135" t="n">
        <f aca="false">$G6071*'Analyse capacite'!$C$7</f>
        <v>0</v>
      </c>
      <c r="J6071" s="135" t="n">
        <f aca="false">$G6071*'Analyse capacite'!$D$7</f>
        <v>0</v>
      </c>
      <c r="K6071" s="135" t="n">
        <f aca="false">$G6071*'Analyse capacite'!$E$7</f>
        <v>0</v>
      </c>
    </row>
    <row r="6072" customFormat="false" ht="15" hidden="false" customHeight="false" outlineLevel="0" collapsed="false">
      <c r="B6072" s="130" t="n">
        <v>2027</v>
      </c>
      <c r="C6072" s="131" t="s">
        <v>251</v>
      </c>
      <c r="D6072" s="132" t="n">
        <v>46646</v>
      </c>
      <c r="E6072" s="131" t="s">
        <v>46</v>
      </c>
      <c r="F6072" s="133" t="s">
        <v>19</v>
      </c>
      <c r="G6072" s="134" t="n">
        <f aca="false">LEN('Saisie programme'!$G$227)+SUMIFS('Vols additionnels'!$E$7:$E$66,'Vols additionnels'!$C$7:$C$66,$E6072,'Vols additionnels'!$D$7:$D$66,$F6072,'Vols additionnels'!$B$7:$B$66,$D6072)</f>
        <v>0</v>
      </c>
      <c r="H6072" s="135" t="n">
        <f aca="false">$G6072*'Analyse capacite'!$F$8</f>
        <v>0</v>
      </c>
      <c r="I6072" s="135" t="n">
        <f aca="false">$G6072*'Analyse capacite'!$C$8</f>
        <v>0</v>
      </c>
      <c r="J6072" s="135" t="n">
        <f aca="false">$G6072*'Analyse capacite'!$D$8</f>
        <v>0</v>
      </c>
      <c r="K6072" s="135" t="n">
        <f aca="false">$G6072*'Analyse capacite'!$E$8</f>
        <v>0</v>
      </c>
    </row>
    <row r="6073" customFormat="false" ht="15" hidden="false" customHeight="false" outlineLevel="0" collapsed="false">
      <c r="B6073" s="130" t="n">
        <v>2027</v>
      </c>
      <c r="C6073" s="131" t="s">
        <v>251</v>
      </c>
      <c r="D6073" s="132" t="n">
        <v>46646</v>
      </c>
      <c r="E6073" s="131" t="s">
        <v>46</v>
      </c>
      <c r="F6073" s="133" t="s">
        <v>24</v>
      </c>
      <c r="G6073" s="134" t="n">
        <f aca="false">LEN('Saisie programme'!$G$228)+SUMIFS('Vols additionnels'!$E$7:$E$66,'Vols additionnels'!$C$7:$C$66,$E6073,'Vols additionnels'!$D$7:$D$66,$F6073,'Vols additionnels'!$B$7:$B$66,$D6073)</f>
        <v>1</v>
      </c>
      <c r="H6073" s="135" t="n">
        <f aca="false">$G6073*'Analyse capacite'!$F$9</f>
        <v>174</v>
      </c>
      <c r="I6073" s="135" t="n">
        <f aca="false">$G6073*'Analyse capacite'!$C$9</f>
        <v>0</v>
      </c>
      <c r="J6073" s="135" t="n">
        <f aca="false">$G6073*'Analyse capacite'!$D$9</f>
        <v>12</v>
      </c>
      <c r="K6073" s="135" t="n">
        <f aca="false">$G6073*'Analyse capacite'!$E$9</f>
        <v>162</v>
      </c>
    </row>
    <row r="6074" customFormat="false" ht="15" hidden="false" customHeight="false" outlineLevel="0" collapsed="false">
      <c r="B6074" s="130" t="n">
        <v>2027</v>
      </c>
      <c r="C6074" s="131" t="s">
        <v>251</v>
      </c>
      <c r="D6074" s="132" t="n">
        <v>46646</v>
      </c>
      <c r="E6074" s="131" t="s">
        <v>49</v>
      </c>
      <c r="F6074" s="133" t="s">
        <v>11</v>
      </c>
      <c r="G6074" s="134" t="n">
        <f aca="false">LEN('Saisie programme'!$G$229)+SUMIFS('Vols additionnels'!$E$7:$E$66,'Vols additionnels'!$C$7:$C$66,$E6074,'Vols additionnels'!$D$7:$D$66,$F6074,'Vols additionnels'!$B$7:$B$66,$D6074)</f>
        <v>0</v>
      </c>
      <c r="H6074" s="135" t="n">
        <f aca="false">$G6074*'Analyse capacite'!$F$7</f>
        <v>0</v>
      </c>
      <c r="I6074" s="135" t="n">
        <f aca="false">$G6074*'Analyse capacite'!$C$7</f>
        <v>0</v>
      </c>
      <c r="J6074" s="135" t="n">
        <f aca="false">$G6074*'Analyse capacite'!$D$7</f>
        <v>0</v>
      </c>
      <c r="K6074" s="135" t="n">
        <f aca="false">$G6074*'Analyse capacite'!$E$7</f>
        <v>0</v>
      </c>
    </row>
    <row r="6075" customFormat="false" ht="15" hidden="false" customHeight="false" outlineLevel="0" collapsed="false">
      <c r="B6075" s="130" t="n">
        <v>2027</v>
      </c>
      <c r="C6075" s="131" t="s">
        <v>251</v>
      </c>
      <c r="D6075" s="132" t="n">
        <v>46646</v>
      </c>
      <c r="E6075" s="131" t="s">
        <v>49</v>
      </c>
      <c r="F6075" s="133" t="s">
        <v>19</v>
      </c>
      <c r="G6075" s="134" t="n">
        <f aca="false">LEN('Saisie programme'!$G$230)+SUMIFS('Vols additionnels'!$E$7:$E$66,'Vols additionnels'!$C$7:$C$66,$E6075,'Vols additionnels'!$D$7:$D$66,$F6075,'Vols additionnels'!$B$7:$B$66,$D6075)</f>
        <v>0</v>
      </c>
      <c r="H6075" s="135" t="n">
        <f aca="false">$G6075*'Analyse capacite'!$F$8</f>
        <v>0</v>
      </c>
      <c r="I6075" s="135" t="n">
        <f aca="false">$G6075*'Analyse capacite'!$C$8</f>
        <v>0</v>
      </c>
      <c r="J6075" s="135" t="n">
        <f aca="false">$G6075*'Analyse capacite'!$D$8</f>
        <v>0</v>
      </c>
      <c r="K6075" s="135" t="n">
        <f aca="false">$G6075*'Analyse capacite'!$E$8</f>
        <v>0</v>
      </c>
    </row>
    <row r="6076" customFormat="false" ht="15" hidden="false" customHeight="false" outlineLevel="0" collapsed="false">
      <c r="B6076" s="130" t="n">
        <v>2027</v>
      </c>
      <c r="C6076" s="131" t="s">
        <v>251</v>
      </c>
      <c r="D6076" s="132" t="n">
        <v>46646</v>
      </c>
      <c r="E6076" s="131" t="s">
        <v>49</v>
      </c>
      <c r="F6076" s="133" t="s">
        <v>24</v>
      </c>
      <c r="G6076" s="134" t="n">
        <f aca="false">LEN('Saisie programme'!$G$231)+SUMIFS('Vols additionnels'!$E$7:$E$66,'Vols additionnels'!$C$7:$C$66,$E6076,'Vols additionnels'!$D$7:$D$66,$F6076,'Vols additionnels'!$B$7:$B$66,$D6076)</f>
        <v>0</v>
      </c>
      <c r="H6076" s="135" t="n">
        <f aca="false">$G6076*'Analyse capacite'!$F$9</f>
        <v>0</v>
      </c>
      <c r="I6076" s="135" t="n">
        <f aca="false">$G6076*'Analyse capacite'!$C$9</f>
        <v>0</v>
      </c>
      <c r="J6076" s="135" t="n">
        <f aca="false">$G6076*'Analyse capacite'!$D$9</f>
        <v>0</v>
      </c>
      <c r="K6076" s="135" t="n">
        <f aca="false">$G6076*'Analyse capacite'!$E$9</f>
        <v>0</v>
      </c>
    </row>
    <row r="6077" customFormat="false" ht="15" hidden="false" customHeight="false" outlineLevel="0" collapsed="false">
      <c r="B6077" s="130" t="n">
        <v>2027</v>
      </c>
      <c r="C6077" s="131" t="s">
        <v>251</v>
      </c>
      <c r="D6077" s="132" t="n">
        <v>46646</v>
      </c>
      <c r="E6077" s="131" t="s">
        <v>53</v>
      </c>
      <c r="F6077" s="133" t="s">
        <v>11</v>
      </c>
      <c r="G6077" s="134" t="n">
        <f aca="false">LEN('Saisie programme'!$G$232)+SUMIFS('Vols additionnels'!$E$7:$E$66,'Vols additionnels'!$C$7:$C$66,$E6077,'Vols additionnels'!$D$7:$D$66,$F6077,'Vols additionnels'!$B$7:$B$66,$D6077)</f>
        <v>0</v>
      </c>
      <c r="H6077" s="135" t="n">
        <f aca="false">$G6077*'Analyse capacite'!$F$7</f>
        <v>0</v>
      </c>
      <c r="I6077" s="135" t="n">
        <f aca="false">$G6077*'Analyse capacite'!$C$7</f>
        <v>0</v>
      </c>
      <c r="J6077" s="135" t="n">
        <f aca="false">$G6077*'Analyse capacite'!$D$7</f>
        <v>0</v>
      </c>
      <c r="K6077" s="135" t="n">
        <f aca="false">$G6077*'Analyse capacite'!$E$7</f>
        <v>0</v>
      </c>
    </row>
    <row r="6078" customFormat="false" ht="15" hidden="false" customHeight="false" outlineLevel="0" collapsed="false">
      <c r="B6078" s="130" t="n">
        <v>2027</v>
      </c>
      <c r="C6078" s="131" t="s">
        <v>251</v>
      </c>
      <c r="D6078" s="132" t="n">
        <v>46646</v>
      </c>
      <c r="E6078" s="131" t="s">
        <v>53</v>
      </c>
      <c r="F6078" s="133" t="s">
        <v>19</v>
      </c>
      <c r="G6078" s="134" t="n">
        <f aca="false">LEN('Saisie programme'!$G$233)+SUMIFS('Vols additionnels'!$E$7:$E$66,'Vols additionnels'!$C$7:$C$66,$E6078,'Vols additionnels'!$D$7:$D$66,$F6078,'Vols additionnels'!$B$7:$B$66,$D6078)</f>
        <v>1</v>
      </c>
      <c r="H6078" s="135" t="n">
        <f aca="false">$G6078*'Analyse capacite'!$F$8</f>
        <v>262</v>
      </c>
      <c r="I6078" s="135" t="n">
        <f aca="false">$G6078*'Analyse capacite'!$C$8</f>
        <v>18</v>
      </c>
      <c r="J6078" s="135" t="n">
        <f aca="false">$G6078*'Analyse capacite'!$D$8</f>
        <v>0</v>
      </c>
      <c r="K6078" s="135" t="n">
        <f aca="false">$G6078*'Analyse capacite'!$E$8</f>
        <v>244</v>
      </c>
    </row>
    <row r="6079" customFormat="false" ht="15" hidden="false" customHeight="false" outlineLevel="0" collapsed="false">
      <c r="B6079" s="130" t="n">
        <v>2027</v>
      </c>
      <c r="C6079" s="131" t="s">
        <v>251</v>
      </c>
      <c r="D6079" s="132" t="n">
        <v>46646</v>
      </c>
      <c r="E6079" s="131" t="s">
        <v>53</v>
      </c>
      <c r="F6079" s="133" t="s">
        <v>24</v>
      </c>
      <c r="G6079" s="134" t="n">
        <f aca="false">LEN('Saisie programme'!$G$234)+SUMIFS('Vols additionnels'!$E$7:$E$66,'Vols additionnels'!$C$7:$C$66,$E6079,'Vols additionnels'!$D$7:$D$66,$F6079,'Vols additionnels'!$B$7:$B$66,$D6079)</f>
        <v>0</v>
      </c>
      <c r="H6079" s="135" t="n">
        <f aca="false">$G6079*'Analyse capacite'!$F$9</f>
        <v>0</v>
      </c>
      <c r="I6079" s="135" t="n">
        <f aca="false">$G6079*'Analyse capacite'!$C$9</f>
        <v>0</v>
      </c>
      <c r="J6079" s="135" t="n">
        <f aca="false">$G6079*'Analyse capacite'!$D$9</f>
        <v>0</v>
      </c>
      <c r="K6079" s="135" t="n">
        <f aca="false">$G6079*'Analyse capacite'!$E$9</f>
        <v>0</v>
      </c>
    </row>
    <row r="6080" customFormat="false" ht="15" hidden="false" customHeight="false" outlineLevel="0" collapsed="false">
      <c r="B6080" s="130" t="n">
        <v>2027</v>
      </c>
      <c r="C6080" s="131" t="s">
        <v>251</v>
      </c>
      <c r="D6080" s="132" t="n">
        <v>46646</v>
      </c>
      <c r="E6080" s="131" t="s">
        <v>56</v>
      </c>
      <c r="F6080" s="133" t="s">
        <v>11</v>
      </c>
      <c r="G6080" s="134" t="n">
        <f aca="false">LEN('Saisie programme'!$G$235)+SUMIFS('Vols additionnels'!$E$7:$E$66,'Vols additionnels'!$C$7:$C$66,$E6080,'Vols additionnels'!$D$7:$D$66,$F6080,'Vols additionnels'!$B$7:$B$66,$D6080)</f>
        <v>0</v>
      </c>
      <c r="H6080" s="135" t="n">
        <f aca="false">$G6080*'Analyse capacite'!$F$7</f>
        <v>0</v>
      </c>
      <c r="I6080" s="135" t="n">
        <f aca="false">$G6080*'Analyse capacite'!$C$7</f>
        <v>0</v>
      </c>
      <c r="J6080" s="135" t="n">
        <f aca="false">$G6080*'Analyse capacite'!$D$7</f>
        <v>0</v>
      </c>
      <c r="K6080" s="135" t="n">
        <f aca="false">$G6080*'Analyse capacite'!$E$7</f>
        <v>0</v>
      </c>
    </row>
    <row r="6081" customFormat="false" ht="15" hidden="false" customHeight="false" outlineLevel="0" collapsed="false">
      <c r="B6081" s="130" t="n">
        <v>2027</v>
      </c>
      <c r="C6081" s="131" t="s">
        <v>251</v>
      </c>
      <c r="D6081" s="132" t="n">
        <v>46646</v>
      </c>
      <c r="E6081" s="131" t="s">
        <v>56</v>
      </c>
      <c r="F6081" s="133" t="s">
        <v>19</v>
      </c>
      <c r="G6081" s="134" t="n">
        <f aca="false">LEN('Saisie programme'!$G$236)+SUMIFS('Vols additionnels'!$E$7:$E$66,'Vols additionnels'!$C$7:$C$66,$E6081,'Vols additionnels'!$D$7:$D$66,$F6081,'Vols additionnels'!$B$7:$B$66,$D6081)</f>
        <v>0</v>
      </c>
      <c r="H6081" s="135" t="n">
        <f aca="false">$G6081*'Analyse capacite'!$F$8</f>
        <v>0</v>
      </c>
      <c r="I6081" s="135" t="n">
        <f aca="false">$G6081*'Analyse capacite'!$C$8</f>
        <v>0</v>
      </c>
      <c r="J6081" s="135" t="n">
        <f aca="false">$G6081*'Analyse capacite'!$D$8</f>
        <v>0</v>
      </c>
      <c r="K6081" s="135" t="n">
        <f aca="false">$G6081*'Analyse capacite'!$E$8</f>
        <v>0</v>
      </c>
    </row>
    <row r="6082" customFormat="false" ht="15" hidden="false" customHeight="false" outlineLevel="0" collapsed="false">
      <c r="B6082" s="130" t="n">
        <v>2027</v>
      </c>
      <c r="C6082" s="131" t="s">
        <v>251</v>
      </c>
      <c r="D6082" s="132" t="n">
        <v>46646</v>
      </c>
      <c r="E6082" s="131" t="s">
        <v>56</v>
      </c>
      <c r="F6082" s="133" t="s">
        <v>24</v>
      </c>
      <c r="G6082" s="134" t="n">
        <f aca="false">LEN('Saisie programme'!$G$237)+SUMIFS('Vols additionnels'!$E$7:$E$66,'Vols additionnels'!$C$7:$C$66,$E6082,'Vols additionnels'!$D$7:$D$66,$F6082,'Vols additionnels'!$B$7:$B$66,$D6082)</f>
        <v>0</v>
      </c>
      <c r="H6082" s="135" t="n">
        <f aca="false">$G6082*'Analyse capacite'!$F$9</f>
        <v>0</v>
      </c>
      <c r="I6082" s="135" t="n">
        <f aca="false">$G6082*'Analyse capacite'!$C$9</f>
        <v>0</v>
      </c>
      <c r="J6082" s="135" t="n">
        <f aca="false">$G6082*'Analyse capacite'!$D$9</f>
        <v>0</v>
      </c>
      <c r="K6082" s="135" t="n">
        <f aca="false">$G6082*'Analyse capacite'!$E$9</f>
        <v>0</v>
      </c>
    </row>
    <row r="6083" customFormat="false" ht="15" hidden="false" customHeight="false" outlineLevel="0" collapsed="false">
      <c r="B6083" s="130" t="n">
        <v>2027</v>
      </c>
      <c r="C6083" s="131" t="s">
        <v>251</v>
      </c>
      <c r="D6083" s="132" t="n">
        <v>46646</v>
      </c>
      <c r="E6083" s="131" t="s">
        <v>59</v>
      </c>
      <c r="F6083" s="133" t="s">
        <v>11</v>
      </c>
      <c r="G6083" s="134" t="n">
        <f aca="false">LEN('Saisie programme'!$G$238)+SUMIFS('Vols additionnels'!$E$7:$E$66,'Vols additionnels'!$C$7:$C$66,$E6083,'Vols additionnels'!$D$7:$D$66,$F6083,'Vols additionnels'!$B$7:$B$66,$D6083)</f>
        <v>0</v>
      </c>
      <c r="H6083" s="135" t="n">
        <f aca="false">$G6083*'Analyse capacite'!$F$7</f>
        <v>0</v>
      </c>
      <c r="I6083" s="135" t="n">
        <f aca="false">$G6083*'Analyse capacite'!$C$7</f>
        <v>0</v>
      </c>
      <c r="J6083" s="135" t="n">
        <f aca="false">$G6083*'Analyse capacite'!$D$7</f>
        <v>0</v>
      </c>
      <c r="K6083" s="135" t="n">
        <f aca="false">$G6083*'Analyse capacite'!$E$7</f>
        <v>0</v>
      </c>
    </row>
    <row r="6084" customFormat="false" ht="15" hidden="false" customHeight="false" outlineLevel="0" collapsed="false">
      <c r="B6084" s="130" t="n">
        <v>2027</v>
      </c>
      <c r="C6084" s="131" t="s">
        <v>251</v>
      </c>
      <c r="D6084" s="132" t="n">
        <v>46646</v>
      </c>
      <c r="E6084" s="131" t="s">
        <v>59</v>
      </c>
      <c r="F6084" s="133" t="s">
        <v>19</v>
      </c>
      <c r="G6084" s="134" t="n">
        <f aca="false">LEN('Saisie programme'!$G$239)+SUMIFS('Vols additionnels'!$E$7:$E$66,'Vols additionnels'!$C$7:$C$66,$E6084,'Vols additionnels'!$D$7:$D$66,$F6084,'Vols additionnels'!$B$7:$B$66,$D6084)</f>
        <v>0</v>
      </c>
      <c r="H6084" s="135" t="n">
        <f aca="false">$G6084*'Analyse capacite'!$F$8</f>
        <v>0</v>
      </c>
      <c r="I6084" s="135" t="n">
        <f aca="false">$G6084*'Analyse capacite'!$C$8</f>
        <v>0</v>
      </c>
      <c r="J6084" s="135" t="n">
        <f aca="false">$G6084*'Analyse capacite'!$D$8</f>
        <v>0</v>
      </c>
      <c r="K6084" s="135" t="n">
        <f aca="false">$G6084*'Analyse capacite'!$E$8</f>
        <v>0</v>
      </c>
    </row>
    <row r="6085" customFormat="false" ht="15" hidden="false" customHeight="false" outlineLevel="0" collapsed="false">
      <c r="B6085" s="130" t="n">
        <v>2027</v>
      </c>
      <c r="C6085" s="131" t="s">
        <v>251</v>
      </c>
      <c r="D6085" s="132" t="n">
        <v>46646</v>
      </c>
      <c r="E6085" s="131" t="s">
        <v>59</v>
      </c>
      <c r="F6085" s="133" t="s">
        <v>24</v>
      </c>
      <c r="G6085" s="134" t="n">
        <f aca="false">LEN('Saisie programme'!$G$240)+SUMIFS('Vols additionnels'!$E$7:$E$66,'Vols additionnels'!$C$7:$C$66,$E6085,'Vols additionnels'!$D$7:$D$66,$F6085,'Vols additionnels'!$B$7:$B$66,$D6085)</f>
        <v>2</v>
      </c>
      <c r="H6085" s="135" t="n">
        <f aca="false">$G6085*'Analyse capacite'!$F$9</f>
        <v>348</v>
      </c>
      <c r="I6085" s="135" t="n">
        <f aca="false">$G6085*'Analyse capacite'!$C$9</f>
        <v>0</v>
      </c>
      <c r="J6085" s="135" t="n">
        <f aca="false">$G6085*'Analyse capacite'!$D$9</f>
        <v>24</v>
      </c>
      <c r="K6085" s="135" t="n">
        <f aca="false">$G6085*'Analyse capacite'!$E$9</f>
        <v>324</v>
      </c>
    </row>
    <row r="6086" customFormat="false" ht="15" hidden="false" customHeight="false" outlineLevel="0" collapsed="false">
      <c r="B6086" s="130" t="n">
        <v>2027</v>
      </c>
      <c r="C6086" s="131" t="s">
        <v>251</v>
      </c>
      <c r="D6086" s="132" t="n">
        <v>46646</v>
      </c>
      <c r="E6086" s="131" t="s">
        <v>62</v>
      </c>
      <c r="F6086" s="133" t="s">
        <v>11</v>
      </c>
      <c r="G6086" s="134" t="n">
        <f aca="false">LEN('Saisie programme'!$G$241)+SUMIFS('Vols additionnels'!$E$7:$E$66,'Vols additionnels'!$C$7:$C$66,$E6086,'Vols additionnels'!$D$7:$D$66,$F6086,'Vols additionnels'!$B$7:$B$66,$D6086)</f>
        <v>0</v>
      </c>
      <c r="H6086" s="135" t="n">
        <f aca="false">$G6086*'Analyse capacite'!$F$7</f>
        <v>0</v>
      </c>
      <c r="I6086" s="135" t="n">
        <f aca="false">$G6086*'Analyse capacite'!$C$7</f>
        <v>0</v>
      </c>
      <c r="J6086" s="135" t="n">
        <f aca="false">$G6086*'Analyse capacite'!$D$7</f>
        <v>0</v>
      </c>
      <c r="K6086" s="135" t="n">
        <f aca="false">$G6086*'Analyse capacite'!$E$7</f>
        <v>0</v>
      </c>
    </row>
    <row r="6087" customFormat="false" ht="15" hidden="false" customHeight="false" outlineLevel="0" collapsed="false">
      <c r="B6087" s="130" t="n">
        <v>2027</v>
      </c>
      <c r="C6087" s="131" t="s">
        <v>251</v>
      </c>
      <c r="D6087" s="132" t="n">
        <v>46646</v>
      </c>
      <c r="E6087" s="131" t="s">
        <v>62</v>
      </c>
      <c r="F6087" s="133" t="s">
        <v>19</v>
      </c>
      <c r="G6087" s="134" t="n">
        <f aca="false">LEN('Saisie programme'!$G$242)+SUMIFS('Vols additionnels'!$E$7:$E$66,'Vols additionnels'!$C$7:$C$66,$E6087,'Vols additionnels'!$D$7:$D$66,$F6087,'Vols additionnels'!$B$7:$B$66,$D6087)</f>
        <v>0</v>
      </c>
      <c r="H6087" s="135" t="n">
        <f aca="false">$G6087*'Analyse capacite'!$F$8</f>
        <v>0</v>
      </c>
      <c r="I6087" s="135" t="n">
        <f aca="false">$G6087*'Analyse capacite'!$C$8</f>
        <v>0</v>
      </c>
      <c r="J6087" s="135" t="n">
        <f aca="false">$G6087*'Analyse capacite'!$D$8</f>
        <v>0</v>
      </c>
      <c r="K6087" s="135" t="n">
        <f aca="false">$G6087*'Analyse capacite'!$E$8</f>
        <v>0</v>
      </c>
    </row>
    <row r="6088" customFormat="false" ht="15" hidden="false" customHeight="false" outlineLevel="0" collapsed="false">
      <c r="B6088" s="130" t="n">
        <v>2027</v>
      </c>
      <c r="C6088" s="131" t="s">
        <v>251</v>
      </c>
      <c r="D6088" s="132" t="n">
        <v>46646</v>
      </c>
      <c r="E6088" s="131" t="s">
        <v>62</v>
      </c>
      <c r="F6088" s="133" t="s">
        <v>24</v>
      </c>
      <c r="G6088" s="134" t="n">
        <f aca="false">LEN('Saisie programme'!$G$243)+SUMIFS('Vols additionnels'!$E$7:$E$66,'Vols additionnels'!$C$7:$C$66,$E6088,'Vols additionnels'!$D$7:$D$66,$F6088,'Vols additionnels'!$B$7:$B$66,$D6088)</f>
        <v>0</v>
      </c>
      <c r="H6088" s="135" t="n">
        <f aca="false">$G6088*'Analyse capacite'!$F$9</f>
        <v>0</v>
      </c>
      <c r="I6088" s="135" t="n">
        <f aca="false">$G6088*'Analyse capacite'!$C$9</f>
        <v>0</v>
      </c>
      <c r="J6088" s="135" t="n">
        <f aca="false">$G6088*'Analyse capacite'!$D$9</f>
        <v>0</v>
      </c>
      <c r="K6088" s="135" t="n">
        <f aca="false">$G6088*'Analyse capacite'!$E$9</f>
        <v>0</v>
      </c>
    </row>
    <row r="6089" customFormat="false" ht="15" hidden="false" customHeight="false" outlineLevel="0" collapsed="false">
      <c r="B6089" s="130" t="n">
        <v>2027</v>
      </c>
      <c r="C6089" s="131" t="s">
        <v>251</v>
      </c>
      <c r="D6089" s="132" t="n">
        <v>46647</v>
      </c>
      <c r="E6089" s="131" t="s">
        <v>12</v>
      </c>
      <c r="F6089" s="133" t="s">
        <v>11</v>
      </c>
      <c r="G6089" s="134" t="n">
        <f aca="false">LEN('Saisie programme'!$H$208)+SUMIFS('Vols additionnels'!$E$7:$E$66,'Vols additionnels'!$C$7:$C$66,$E6089,'Vols additionnels'!$D$7:$D$66,$F6089,'Vols additionnels'!$B$7:$B$66,$D6089)</f>
        <v>1</v>
      </c>
      <c r="H6089" s="135" t="n">
        <f aca="false">$G6089*'Analyse capacite'!$F$7</f>
        <v>438</v>
      </c>
      <c r="I6089" s="135" t="n">
        <f aca="false">$G6089*'Analyse capacite'!$C$7</f>
        <v>14</v>
      </c>
      <c r="J6089" s="135" t="n">
        <f aca="false">$G6089*'Analyse capacite'!$D$7</f>
        <v>40</v>
      </c>
      <c r="K6089" s="135" t="n">
        <f aca="false">$G6089*'Analyse capacite'!$E$7</f>
        <v>384</v>
      </c>
    </row>
    <row r="6090" customFormat="false" ht="15" hidden="false" customHeight="false" outlineLevel="0" collapsed="false">
      <c r="B6090" s="130" t="n">
        <v>2027</v>
      </c>
      <c r="C6090" s="131" t="s">
        <v>251</v>
      </c>
      <c r="D6090" s="132" t="n">
        <v>46647</v>
      </c>
      <c r="E6090" s="131" t="s">
        <v>12</v>
      </c>
      <c r="F6090" s="133" t="s">
        <v>19</v>
      </c>
      <c r="G6090" s="134" t="n">
        <f aca="false">LEN('Saisie programme'!$H$209)+SUMIFS('Vols additionnels'!$E$7:$E$66,'Vols additionnels'!$C$7:$C$66,$E6090,'Vols additionnels'!$D$7:$D$66,$F6090,'Vols additionnels'!$B$7:$B$66,$D6090)</f>
        <v>1</v>
      </c>
      <c r="H6090" s="135" t="n">
        <f aca="false">$G6090*'Analyse capacite'!$F$8</f>
        <v>262</v>
      </c>
      <c r="I6090" s="135" t="n">
        <f aca="false">$G6090*'Analyse capacite'!$C$8</f>
        <v>18</v>
      </c>
      <c r="J6090" s="135" t="n">
        <f aca="false">$G6090*'Analyse capacite'!$D$8</f>
        <v>0</v>
      </c>
      <c r="K6090" s="135" t="n">
        <f aca="false">$G6090*'Analyse capacite'!$E$8</f>
        <v>244</v>
      </c>
    </row>
    <row r="6091" customFormat="false" ht="15" hidden="false" customHeight="false" outlineLevel="0" collapsed="false">
      <c r="B6091" s="130" t="n">
        <v>2027</v>
      </c>
      <c r="C6091" s="131" t="s">
        <v>251</v>
      </c>
      <c r="D6091" s="132" t="n">
        <v>46647</v>
      </c>
      <c r="E6091" s="131" t="s">
        <v>12</v>
      </c>
      <c r="F6091" s="133" t="s">
        <v>24</v>
      </c>
      <c r="G6091" s="134" t="n">
        <f aca="false">LEN('Saisie programme'!$H$210)+SUMIFS('Vols additionnels'!$E$7:$E$66,'Vols additionnels'!$C$7:$C$66,$E6091,'Vols additionnels'!$D$7:$D$66,$F6091,'Vols additionnels'!$B$7:$B$66,$D6091)</f>
        <v>0</v>
      </c>
      <c r="H6091" s="135" t="n">
        <f aca="false">$G6091*'Analyse capacite'!$F$9</f>
        <v>0</v>
      </c>
      <c r="I6091" s="135" t="n">
        <f aca="false">$G6091*'Analyse capacite'!$C$9</f>
        <v>0</v>
      </c>
      <c r="J6091" s="135" t="n">
        <f aca="false">$G6091*'Analyse capacite'!$D$9</f>
        <v>0</v>
      </c>
      <c r="K6091" s="135" t="n">
        <f aca="false">$G6091*'Analyse capacite'!$E$9</f>
        <v>0</v>
      </c>
    </row>
    <row r="6092" customFormat="false" ht="15" hidden="false" customHeight="false" outlineLevel="0" collapsed="false">
      <c r="B6092" s="130" t="n">
        <v>2027</v>
      </c>
      <c r="C6092" s="131" t="s">
        <v>251</v>
      </c>
      <c r="D6092" s="132" t="n">
        <v>46647</v>
      </c>
      <c r="E6092" s="131" t="s">
        <v>20</v>
      </c>
      <c r="F6092" s="133" t="s">
        <v>11</v>
      </c>
      <c r="G6092" s="134" t="n">
        <f aca="false">LEN('Saisie programme'!$H$211)+SUMIFS('Vols additionnels'!$E$7:$E$66,'Vols additionnels'!$C$7:$C$66,$E6092,'Vols additionnels'!$D$7:$D$66,$F6092,'Vols additionnels'!$B$7:$B$66,$D6092)</f>
        <v>0</v>
      </c>
      <c r="H6092" s="135" t="n">
        <f aca="false">$G6092*'Analyse capacite'!$F$7</f>
        <v>0</v>
      </c>
      <c r="I6092" s="135" t="n">
        <f aca="false">$G6092*'Analyse capacite'!$C$7</f>
        <v>0</v>
      </c>
      <c r="J6092" s="135" t="n">
        <f aca="false">$G6092*'Analyse capacite'!$D$7</f>
        <v>0</v>
      </c>
      <c r="K6092" s="135" t="n">
        <f aca="false">$G6092*'Analyse capacite'!$E$7</f>
        <v>0</v>
      </c>
    </row>
    <row r="6093" customFormat="false" ht="15" hidden="false" customHeight="false" outlineLevel="0" collapsed="false">
      <c r="B6093" s="130" t="n">
        <v>2027</v>
      </c>
      <c r="C6093" s="131" t="s">
        <v>251</v>
      </c>
      <c r="D6093" s="132" t="n">
        <v>46647</v>
      </c>
      <c r="E6093" s="131" t="s">
        <v>20</v>
      </c>
      <c r="F6093" s="133" t="s">
        <v>19</v>
      </c>
      <c r="G6093" s="134" t="n">
        <f aca="false">LEN('Saisie programme'!$H$212)+SUMIFS('Vols additionnels'!$E$7:$E$66,'Vols additionnels'!$C$7:$C$66,$E6093,'Vols additionnels'!$D$7:$D$66,$F6093,'Vols additionnels'!$B$7:$B$66,$D6093)</f>
        <v>1</v>
      </c>
      <c r="H6093" s="135" t="n">
        <f aca="false">$G6093*'Analyse capacite'!$F$8</f>
        <v>262</v>
      </c>
      <c r="I6093" s="135" t="n">
        <f aca="false">$G6093*'Analyse capacite'!$C$8</f>
        <v>18</v>
      </c>
      <c r="J6093" s="135" t="n">
        <f aca="false">$G6093*'Analyse capacite'!$D$8</f>
        <v>0</v>
      </c>
      <c r="K6093" s="135" t="n">
        <f aca="false">$G6093*'Analyse capacite'!$E$8</f>
        <v>244</v>
      </c>
    </row>
    <row r="6094" customFormat="false" ht="15" hidden="false" customHeight="false" outlineLevel="0" collapsed="false">
      <c r="B6094" s="130" t="n">
        <v>2027</v>
      </c>
      <c r="C6094" s="131" t="s">
        <v>251</v>
      </c>
      <c r="D6094" s="132" t="n">
        <v>46647</v>
      </c>
      <c r="E6094" s="131" t="s">
        <v>20</v>
      </c>
      <c r="F6094" s="133" t="s">
        <v>24</v>
      </c>
      <c r="G6094" s="134" t="n">
        <f aca="false">LEN('Saisie programme'!$H$213)+SUMIFS('Vols additionnels'!$E$7:$E$66,'Vols additionnels'!$C$7:$C$66,$E6094,'Vols additionnels'!$D$7:$D$66,$F6094,'Vols additionnels'!$B$7:$B$66,$D6094)</f>
        <v>0</v>
      </c>
      <c r="H6094" s="135" t="n">
        <f aca="false">$G6094*'Analyse capacite'!$F$9</f>
        <v>0</v>
      </c>
      <c r="I6094" s="135" t="n">
        <f aca="false">$G6094*'Analyse capacite'!$C$9</f>
        <v>0</v>
      </c>
      <c r="J6094" s="135" t="n">
        <f aca="false">$G6094*'Analyse capacite'!$D$9</f>
        <v>0</v>
      </c>
      <c r="K6094" s="135" t="n">
        <f aca="false">$G6094*'Analyse capacite'!$E$9</f>
        <v>0</v>
      </c>
    </row>
    <row r="6095" customFormat="false" ht="15" hidden="false" customHeight="false" outlineLevel="0" collapsed="false">
      <c r="B6095" s="130" t="n">
        <v>2027</v>
      </c>
      <c r="C6095" s="131" t="s">
        <v>251</v>
      </c>
      <c r="D6095" s="132" t="n">
        <v>46647</v>
      </c>
      <c r="E6095" s="131" t="s">
        <v>25</v>
      </c>
      <c r="F6095" s="133" t="s">
        <v>11</v>
      </c>
      <c r="G6095" s="134" t="n">
        <f aca="false">LEN('Saisie programme'!$H$214)+SUMIFS('Vols additionnels'!$E$7:$E$66,'Vols additionnels'!$C$7:$C$66,$E6095,'Vols additionnels'!$D$7:$D$66,$F6095,'Vols additionnels'!$B$7:$B$66,$D6095)</f>
        <v>0</v>
      </c>
      <c r="H6095" s="135" t="n">
        <f aca="false">$G6095*'Analyse capacite'!$F$7</f>
        <v>0</v>
      </c>
      <c r="I6095" s="135" t="n">
        <f aca="false">$G6095*'Analyse capacite'!$C$7</f>
        <v>0</v>
      </c>
      <c r="J6095" s="135" t="n">
        <f aca="false">$G6095*'Analyse capacite'!$D$7</f>
        <v>0</v>
      </c>
      <c r="K6095" s="135" t="n">
        <f aca="false">$G6095*'Analyse capacite'!$E$7</f>
        <v>0</v>
      </c>
    </row>
    <row r="6096" customFormat="false" ht="15" hidden="false" customHeight="false" outlineLevel="0" collapsed="false">
      <c r="B6096" s="130" t="n">
        <v>2027</v>
      </c>
      <c r="C6096" s="131" t="s">
        <v>251</v>
      </c>
      <c r="D6096" s="132" t="n">
        <v>46647</v>
      </c>
      <c r="E6096" s="131" t="s">
        <v>25</v>
      </c>
      <c r="F6096" s="133" t="s">
        <v>19</v>
      </c>
      <c r="G6096" s="134" t="n">
        <f aca="false">LEN('Saisie programme'!$H$215)+SUMIFS('Vols additionnels'!$E$7:$E$66,'Vols additionnels'!$C$7:$C$66,$E6096,'Vols additionnels'!$D$7:$D$66,$F6096,'Vols additionnels'!$B$7:$B$66,$D6096)</f>
        <v>0</v>
      </c>
      <c r="H6096" s="135" t="n">
        <f aca="false">$G6096*'Analyse capacite'!$F$8</f>
        <v>0</v>
      </c>
      <c r="I6096" s="135" t="n">
        <f aca="false">$G6096*'Analyse capacite'!$C$8</f>
        <v>0</v>
      </c>
      <c r="J6096" s="135" t="n">
        <f aca="false">$G6096*'Analyse capacite'!$D$8</f>
        <v>0</v>
      </c>
      <c r="K6096" s="135" t="n">
        <f aca="false">$G6096*'Analyse capacite'!$E$8</f>
        <v>0</v>
      </c>
    </row>
    <row r="6097" customFormat="false" ht="15" hidden="false" customHeight="false" outlineLevel="0" collapsed="false">
      <c r="B6097" s="130" t="n">
        <v>2027</v>
      </c>
      <c r="C6097" s="131" t="s">
        <v>251</v>
      </c>
      <c r="D6097" s="132" t="n">
        <v>46647</v>
      </c>
      <c r="E6097" s="131" t="s">
        <v>25</v>
      </c>
      <c r="F6097" s="133" t="s">
        <v>24</v>
      </c>
      <c r="G6097" s="134" t="n">
        <f aca="false">LEN('Saisie programme'!$H$216)+SUMIFS('Vols additionnels'!$E$7:$E$66,'Vols additionnels'!$C$7:$C$66,$E6097,'Vols additionnels'!$D$7:$D$66,$F6097,'Vols additionnels'!$B$7:$B$66,$D6097)</f>
        <v>0</v>
      </c>
      <c r="H6097" s="135" t="n">
        <f aca="false">$G6097*'Analyse capacite'!$F$9</f>
        <v>0</v>
      </c>
      <c r="I6097" s="135" t="n">
        <f aca="false">$G6097*'Analyse capacite'!$C$9</f>
        <v>0</v>
      </c>
      <c r="J6097" s="135" t="n">
        <f aca="false">$G6097*'Analyse capacite'!$D$9</f>
        <v>0</v>
      </c>
      <c r="K6097" s="135" t="n">
        <f aca="false">$G6097*'Analyse capacite'!$E$9</f>
        <v>0</v>
      </c>
    </row>
    <row r="6098" customFormat="false" ht="15" hidden="false" customHeight="false" outlineLevel="0" collapsed="false">
      <c r="B6098" s="130" t="n">
        <v>2027</v>
      </c>
      <c r="C6098" s="131" t="s">
        <v>251</v>
      </c>
      <c r="D6098" s="132" t="n">
        <v>46647</v>
      </c>
      <c r="E6098" s="131" t="s">
        <v>36</v>
      </c>
      <c r="F6098" s="133" t="s">
        <v>11</v>
      </c>
      <c r="G6098" s="134" t="n">
        <f aca="false">LEN('Saisie programme'!$H$217)+SUMIFS('Vols additionnels'!$E$7:$E$66,'Vols additionnels'!$C$7:$C$66,$E6098,'Vols additionnels'!$D$7:$D$66,$F6098,'Vols additionnels'!$B$7:$B$66,$D6098)</f>
        <v>0</v>
      </c>
      <c r="H6098" s="135" t="n">
        <f aca="false">$G6098*'Analyse capacite'!$F$7</f>
        <v>0</v>
      </c>
      <c r="I6098" s="135" t="n">
        <f aca="false">$G6098*'Analyse capacite'!$C$7</f>
        <v>0</v>
      </c>
      <c r="J6098" s="135" t="n">
        <f aca="false">$G6098*'Analyse capacite'!$D$7</f>
        <v>0</v>
      </c>
      <c r="K6098" s="135" t="n">
        <f aca="false">$G6098*'Analyse capacite'!$E$7</f>
        <v>0</v>
      </c>
    </row>
    <row r="6099" customFormat="false" ht="15" hidden="false" customHeight="false" outlineLevel="0" collapsed="false">
      <c r="B6099" s="130" t="n">
        <v>2027</v>
      </c>
      <c r="C6099" s="131" t="s">
        <v>251</v>
      </c>
      <c r="D6099" s="132" t="n">
        <v>46647</v>
      </c>
      <c r="E6099" s="131" t="s">
        <v>36</v>
      </c>
      <c r="F6099" s="133" t="s">
        <v>19</v>
      </c>
      <c r="G6099" s="134" t="n">
        <f aca="false">LEN('Saisie programme'!$H$218)+SUMIFS('Vols additionnels'!$E$7:$E$66,'Vols additionnels'!$C$7:$C$66,$E6099,'Vols additionnels'!$D$7:$D$66,$F6099,'Vols additionnels'!$B$7:$B$66,$D6099)</f>
        <v>0</v>
      </c>
      <c r="H6099" s="135" t="n">
        <f aca="false">$G6099*'Analyse capacite'!$F$8</f>
        <v>0</v>
      </c>
      <c r="I6099" s="135" t="n">
        <f aca="false">$G6099*'Analyse capacite'!$C$8</f>
        <v>0</v>
      </c>
      <c r="J6099" s="135" t="n">
        <f aca="false">$G6099*'Analyse capacite'!$D$8</f>
        <v>0</v>
      </c>
      <c r="K6099" s="135" t="n">
        <f aca="false">$G6099*'Analyse capacite'!$E$8</f>
        <v>0</v>
      </c>
    </row>
    <row r="6100" customFormat="false" ht="15" hidden="false" customHeight="false" outlineLevel="0" collapsed="false">
      <c r="B6100" s="130" t="n">
        <v>2027</v>
      </c>
      <c r="C6100" s="131" t="s">
        <v>251</v>
      </c>
      <c r="D6100" s="132" t="n">
        <v>46647</v>
      </c>
      <c r="E6100" s="131" t="s">
        <v>36</v>
      </c>
      <c r="F6100" s="133" t="s">
        <v>24</v>
      </c>
      <c r="G6100" s="134" t="n">
        <f aca="false">LEN('Saisie programme'!$H$219)+SUMIFS('Vols additionnels'!$E$7:$E$66,'Vols additionnels'!$C$7:$C$66,$E6100,'Vols additionnels'!$D$7:$D$66,$F6100,'Vols additionnels'!$B$7:$B$66,$D6100)</f>
        <v>1</v>
      </c>
      <c r="H6100" s="135" t="n">
        <f aca="false">$G6100*'Analyse capacite'!$F$9</f>
        <v>174</v>
      </c>
      <c r="I6100" s="135" t="n">
        <f aca="false">$G6100*'Analyse capacite'!$C$9</f>
        <v>0</v>
      </c>
      <c r="J6100" s="135" t="n">
        <f aca="false">$G6100*'Analyse capacite'!$D$9</f>
        <v>12</v>
      </c>
      <c r="K6100" s="135" t="n">
        <f aca="false">$G6100*'Analyse capacite'!$E$9</f>
        <v>162</v>
      </c>
    </row>
    <row r="6101" customFormat="false" ht="15" hidden="false" customHeight="false" outlineLevel="0" collapsed="false">
      <c r="B6101" s="130" t="n">
        <v>2027</v>
      </c>
      <c r="C6101" s="131" t="s">
        <v>251</v>
      </c>
      <c r="D6101" s="132" t="n">
        <v>46647</v>
      </c>
      <c r="E6101" s="131" t="s">
        <v>40</v>
      </c>
      <c r="F6101" s="133" t="s">
        <v>11</v>
      </c>
      <c r="G6101" s="134" t="n">
        <f aca="false">LEN('Saisie programme'!$H$220)+SUMIFS('Vols additionnels'!$E$7:$E$66,'Vols additionnels'!$C$7:$C$66,$E6101,'Vols additionnels'!$D$7:$D$66,$F6101,'Vols additionnels'!$B$7:$B$66,$D6101)</f>
        <v>0</v>
      </c>
      <c r="H6101" s="135" t="n">
        <f aca="false">$G6101*'Analyse capacite'!$F$7</f>
        <v>0</v>
      </c>
      <c r="I6101" s="135" t="n">
        <f aca="false">$G6101*'Analyse capacite'!$C$7</f>
        <v>0</v>
      </c>
      <c r="J6101" s="135" t="n">
        <f aca="false">$G6101*'Analyse capacite'!$D$7</f>
        <v>0</v>
      </c>
      <c r="K6101" s="135" t="n">
        <f aca="false">$G6101*'Analyse capacite'!$E$7</f>
        <v>0</v>
      </c>
    </row>
    <row r="6102" customFormat="false" ht="15" hidden="false" customHeight="false" outlineLevel="0" collapsed="false">
      <c r="B6102" s="130" t="n">
        <v>2027</v>
      </c>
      <c r="C6102" s="131" t="s">
        <v>251</v>
      </c>
      <c r="D6102" s="132" t="n">
        <v>46647</v>
      </c>
      <c r="E6102" s="131" t="s">
        <v>40</v>
      </c>
      <c r="F6102" s="133" t="s">
        <v>19</v>
      </c>
      <c r="G6102" s="134" t="n">
        <f aca="false">LEN('Saisie programme'!$H$221)+SUMIFS('Vols additionnels'!$E$7:$E$66,'Vols additionnels'!$C$7:$C$66,$E6102,'Vols additionnels'!$D$7:$D$66,$F6102,'Vols additionnels'!$B$7:$B$66,$D6102)</f>
        <v>0</v>
      </c>
      <c r="H6102" s="135" t="n">
        <f aca="false">$G6102*'Analyse capacite'!$F$8</f>
        <v>0</v>
      </c>
      <c r="I6102" s="135" t="n">
        <f aca="false">$G6102*'Analyse capacite'!$C$8</f>
        <v>0</v>
      </c>
      <c r="J6102" s="135" t="n">
        <f aca="false">$G6102*'Analyse capacite'!$D$8</f>
        <v>0</v>
      </c>
      <c r="K6102" s="135" t="n">
        <f aca="false">$G6102*'Analyse capacite'!$E$8</f>
        <v>0</v>
      </c>
    </row>
    <row r="6103" customFormat="false" ht="15" hidden="false" customHeight="false" outlineLevel="0" collapsed="false">
      <c r="B6103" s="130" t="n">
        <v>2027</v>
      </c>
      <c r="C6103" s="131" t="s">
        <v>251</v>
      </c>
      <c r="D6103" s="132" t="n">
        <v>46647</v>
      </c>
      <c r="E6103" s="131" t="s">
        <v>40</v>
      </c>
      <c r="F6103" s="133" t="s">
        <v>24</v>
      </c>
      <c r="G6103" s="134" t="n">
        <f aca="false">LEN('Saisie programme'!$H$222)+SUMIFS('Vols additionnels'!$E$7:$E$66,'Vols additionnels'!$C$7:$C$66,$E6103,'Vols additionnels'!$D$7:$D$66,$F6103,'Vols additionnels'!$B$7:$B$66,$D6103)</f>
        <v>1</v>
      </c>
      <c r="H6103" s="135" t="n">
        <f aca="false">$G6103*'Analyse capacite'!$F$9</f>
        <v>174</v>
      </c>
      <c r="I6103" s="135" t="n">
        <f aca="false">$G6103*'Analyse capacite'!$C$9</f>
        <v>0</v>
      </c>
      <c r="J6103" s="135" t="n">
        <f aca="false">$G6103*'Analyse capacite'!$D$9</f>
        <v>12</v>
      </c>
      <c r="K6103" s="135" t="n">
        <f aca="false">$G6103*'Analyse capacite'!$E$9</f>
        <v>162</v>
      </c>
    </row>
    <row r="6104" customFormat="false" ht="15" hidden="false" customHeight="false" outlineLevel="0" collapsed="false">
      <c r="B6104" s="130" t="n">
        <v>2027</v>
      </c>
      <c r="C6104" s="131" t="s">
        <v>251</v>
      </c>
      <c r="D6104" s="132" t="n">
        <v>46647</v>
      </c>
      <c r="E6104" s="131" t="s">
        <v>14</v>
      </c>
      <c r="F6104" s="133" t="s">
        <v>11</v>
      </c>
      <c r="G6104" s="134" t="n">
        <f aca="false">LEN('Saisie programme'!$H$223)+SUMIFS('Vols additionnels'!$E$7:$E$66,'Vols additionnels'!$C$7:$C$66,$E6104,'Vols additionnels'!$D$7:$D$66,$F6104,'Vols additionnels'!$B$7:$B$66,$D6104)</f>
        <v>0</v>
      </c>
      <c r="H6104" s="135" t="n">
        <f aca="false">$G6104*'Analyse capacite'!$F$7</f>
        <v>0</v>
      </c>
      <c r="I6104" s="135" t="n">
        <f aca="false">$G6104*'Analyse capacite'!$C$7</f>
        <v>0</v>
      </c>
      <c r="J6104" s="135" t="n">
        <f aca="false">$G6104*'Analyse capacite'!$D$7</f>
        <v>0</v>
      </c>
      <c r="K6104" s="135" t="n">
        <f aca="false">$G6104*'Analyse capacite'!$E$7</f>
        <v>0</v>
      </c>
    </row>
    <row r="6105" customFormat="false" ht="15" hidden="false" customHeight="false" outlineLevel="0" collapsed="false">
      <c r="B6105" s="130" t="n">
        <v>2027</v>
      </c>
      <c r="C6105" s="131" t="s">
        <v>251</v>
      </c>
      <c r="D6105" s="132" t="n">
        <v>46647</v>
      </c>
      <c r="E6105" s="131" t="s">
        <v>14</v>
      </c>
      <c r="F6105" s="133" t="s">
        <v>19</v>
      </c>
      <c r="G6105" s="134" t="n">
        <f aca="false">LEN('Saisie programme'!$H$224)+SUMIFS('Vols additionnels'!$E$7:$E$66,'Vols additionnels'!$C$7:$C$66,$E6105,'Vols additionnels'!$D$7:$D$66,$F6105,'Vols additionnels'!$B$7:$B$66,$D6105)</f>
        <v>0</v>
      </c>
      <c r="H6105" s="135" t="n">
        <f aca="false">$G6105*'Analyse capacite'!$F$8</f>
        <v>0</v>
      </c>
      <c r="I6105" s="135" t="n">
        <f aca="false">$G6105*'Analyse capacite'!$C$8</f>
        <v>0</v>
      </c>
      <c r="J6105" s="135" t="n">
        <f aca="false">$G6105*'Analyse capacite'!$D$8</f>
        <v>0</v>
      </c>
      <c r="K6105" s="135" t="n">
        <f aca="false">$G6105*'Analyse capacite'!$E$8</f>
        <v>0</v>
      </c>
    </row>
    <row r="6106" customFormat="false" ht="15" hidden="false" customHeight="false" outlineLevel="0" collapsed="false">
      <c r="B6106" s="130" t="n">
        <v>2027</v>
      </c>
      <c r="C6106" s="131" t="s">
        <v>251</v>
      </c>
      <c r="D6106" s="132" t="n">
        <v>46647</v>
      </c>
      <c r="E6106" s="131" t="s">
        <v>14</v>
      </c>
      <c r="F6106" s="133" t="s">
        <v>24</v>
      </c>
      <c r="G6106" s="134" t="n">
        <f aca="false">LEN('Saisie programme'!$H$225)+SUMIFS('Vols additionnels'!$E$7:$E$66,'Vols additionnels'!$C$7:$C$66,$E6106,'Vols additionnels'!$D$7:$D$66,$F6106,'Vols additionnels'!$B$7:$B$66,$D6106)</f>
        <v>0</v>
      </c>
      <c r="H6106" s="135" t="n">
        <f aca="false">$G6106*'Analyse capacite'!$F$9</f>
        <v>0</v>
      </c>
      <c r="I6106" s="135" t="n">
        <f aca="false">$G6106*'Analyse capacite'!$C$9</f>
        <v>0</v>
      </c>
      <c r="J6106" s="135" t="n">
        <f aca="false">$G6106*'Analyse capacite'!$D$9</f>
        <v>0</v>
      </c>
      <c r="K6106" s="135" t="n">
        <f aca="false">$G6106*'Analyse capacite'!$E$9</f>
        <v>0</v>
      </c>
    </row>
    <row r="6107" customFormat="false" ht="15" hidden="false" customHeight="false" outlineLevel="0" collapsed="false">
      <c r="B6107" s="130" t="n">
        <v>2027</v>
      </c>
      <c r="C6107" s="131" t="s">
        <v>251</v>
      </c>
      <c r="D6107" s="132" t="n">
        <v>46647</v>
      </c>
      <c r="E6107" s="131" t="s">
        <v>46</v>
      </c>
      <c r="F6107" s="133" t="s">
        <v>11</v>
      </c>
      <c r="G6107" s="134" t="n">
        <f aca="false">LEN('Saisie programme'!$H$226)+SUMIFS('Vols additionnels'!$E$7:$E$66,'Vols additionnels'!$C$7:$C$66,$E6107,'Vols additionnels'!$D$7:$D$66,$F6107,'Vols additionnels'!$B$7:$B$66,$D6107)</f>
        <v>0</v>
      </c>
      <c r="H6107" s="135" t="n">
        <f aca="false">$G6107*'Analyse capacite'!$F$7</f>
        <v>0</v>
      </c>
      <c r="I6107" s="135" t="n">
        <f aca="false">$G6107*'Analyse capacite'!$C$7</f>
        <v>0</v>
      </c>
      <c r="J6107" s="135" t="n">
        <f aca="false">$G6107*'Analyse capacite'!$D$7</f>
        <v>0</v>
      </c>
      <c r="K6107" s="135" t="n">
        <f aca="false">$G6107*'Analyse capacite'!$E$7</f>
        <v>0</v>
      </c>
    </row>
    <row r="6108" customFormat="false" ht="15" hidden="false" customHeight="false" outlineLevel="0" collapsed="false">
      <c r="B6108" s="130" t="n">
        <v>2027</v>
      </c>
      <c r="C6108" s="131" t="s">
        <v>251</v>
      </c>
      <c r="D6108" s="132" t="n">
        <v>46647</v>
      </c>
      <c r="E6108" s="131" t="s">
        <v>46</v>
      </c>
      <c r="F6108" s="133" t="s">
        <v>19</v>
      </c>
      <c r="G6108" s="134" t="n">
        <f aca="false">LEN('Saisie programme'!$H$227)+SUMIFS('Vols additionnels'!$E$7:$E$66,'Vols additionnels'!$C$7:$C$66,$E6108,'Vols additionnels'!$D$7:$D$66,$F6108,'Vols additionnels'!$B$7:$B$66,$D6108)</f>
        <v>0</v>
      </c>
      <c r="H6108" s="135" t="n">
        <f aca="false">$G6108*'Analyse capacite'!$F$8</f>
        <v>0</v>
      </c>
      <c r="I6108" s="135" t="n">
        <f aca="false">$G6108*'Analyse capacite'!$C$8</f>
        <v>0</v>
      </c>
      <c r="J6108" s="135" t="n">
        <f aca="false">$G6108*'Analyse capacite'!$D$8</f>
        <v>0</v>
      </c>
      <c r="K6108" s="135" t="n">
        <f aca="false">$G6108*'Analyse capacite'!$E$8</f>
        <v>0</v>
      </c>
    </row>
    <row r="6109" customFormat="false" ht="15" hidden="false" customHeight="false" outlineLevel="0" collapsed="false">
      <c r="B6109" s="130" t="n">
        <v>2027</v>
      </c>
      <c r="C6109" s="131" t="s">
        <v>251</v>
      </c>
      <c r="D6109" s="132" t="n">
        <v>46647</v>
      </c>
      <c r="E6109" s="131" t="s">
        <v>46</v>
      </c>
      <c r="F6109" s="133" t="s">
        <v>24</v>
      </c>
      <c r="G6109" s="134" t="n">
        <f aca="false">LEN('Saisie programme'!$H$228)+SUMIFS('Vols additionnels'!$E$7:$E$66,'Vols additionnels'!$C$7:$C$66,$E6109,'Vols additionnels'!$D$7:$D$66,$F6109,'Vols additionnels'!$B$7:$B$66,$D6109)</f>
        <v>0</v>
      </c>
      <c r="H6109" s="135" t="n">
        <f aca="false">$G6109*'Analyse capacite'!$F$9</f>
        <v>0</v>
      </c>
      <c r="I6109" s="135" t="n">
        <f aca="false">$G6109*'Analyse capacite'!$C$9</f>
        <v>0</v>
      </c>
      <c r="J6109" s="135" t="n">
        <f aca="false">$G6109*'Analyse capacite'!$D$9</f>
        <v>0</v>
      </c>
      <c r="K6109" s="135" t="n">
        <f aca="false">$G6109*'Analyse capacite'!$E$9</f>
        <v>0</v>
      </c>
    </row>
    <row r="6110" customFormat="false" ht="15" hidden="false" customHeight="false" outlineLevel="0" collapsed="false">
      <c r="B6110" s="130" t="n">
        <v>2027</v>
      </c>
      <c r="C6110" s="131" t="s">
        <v>251</v>
      </c>
      <c r="D6110" s="132" t="n">
        <v>46647</v>
      </c>
      <c r="E6110" s="131" t="s">
        <v>49</v>
      </c>
      <c r="F6110" s="133" t="s">
        <v>11</v>
      </c>
      <c r="G6110" s="134" t="n">
        <f aca="false">LEN('Saisie programme'!$H$229)+SUMIFS('Vols additionnels'!$E$7:$E$66,'Vols additionnels'!$C$7:$C$66,$E6110,'Vols additionnels'!$D$7:$D$66,$F6110,'Vols additionnels'!$B$7:$B$66,$D6110)</f>
        <v>0</v>
      </c>
      <c r="H6110" s="135" t="n">
        <f aca="false">$G6110*'Analyse capacite'!$F$7</f>
        <v>0</v>
      </c>
      <c r="I6110" s="135" t="n">
        <f aca="false">$G6110*'Analyse capacite'!$C$7</f>
        <v>0</v>
      </c>
      <c r="J6110" s="135" t="n">
        <f aca="false">$G6110*'Analyse capacite'!$D$7</f>
        <v>0</v>
      </c>
      <c r="K6110" s="135" t="n">
        <f aca="false">$G6110*'Analyse capacite'!$E$7</f>
        <v>0</v>
      </c>
    </row>
    <row r="6111" customFormat="false" ht="15" hidden="false" customHeight="false" outlineLevel="0" collapsed="false">
      <c r="B6111" s="130" t="n">
        <v>2027</v>
      </c>
      <c r="C6111" s="131" t="s">
        <v>251</v>
      </c>
      <c r="D6111" s="132" t="n">
        <v>46647</v>
      </c>
      <c r="E6111" s="131" t="s">
        <v>49</v>
      </c>
      <c r="F6111" s="133" t="s">
        <v>19</v>
      </c>
      <c r="G6111" s="134" t="n">
        <f aca="false">LEN('Saisie programme'!$H$230)+SUMIFS('Vols additionnels'!$E$7:$E$66,'Vols additionnels'!$C$7:$C$66,$E6111,'Vols additionnels'!$D$7:$D$66,$F6111,'Vols additionnels'!$B$7:$B$66,$D6111)</f>
        <v>1</v>
      </c>
      <c r="H6111" s="135" t="n">
        <f aca="false">$G6111*'Analyse capacite'!$F$8</f>
        <v>262</v>
      </c>
      <c r="I6111" s="135" t="n">
        <f aca="false">$G6111*'Analyse capacite'!$C$8</f>
        <v>18</v>
      </c>
      <c r="J6111" s="135" t="n">
        <f aca="false">$G6111*'Analyse capacite'!$D$8</f>
        <v>0</v>
      </c>
      <c r="K6111" s="135" t="n">
        <f aca="false">$G6111*'Analyse capacite'!$E$8</f>
        <v>244</v>
      </c>
    </row>
    <row r="6112" customFormat="false" ht="15" hidden="false" customHeight="false" outlineLevel="0" collapsed="false">
      <c r="B6112" s="130" t="n">
        <v>2027</v>
      </c>
      <c r="C6112" s="131" t="s">
        <v>251</v>
      </c>
      <c r="D6112" s="132" t="n">
        <v>46647</v>
      </c>
      <c r="E6112" s="131" t="s">
        <v>49</v>
      </c>
      <c r="F6112" s="133" t="s">
        <v>24</v>
      </c>
      <c r="G6112" s="134" t="n">
        <f aca="false">LEN('Saisie programme'!$H$231)+SUMIFS('Vols additionnels'!$E$7:$E$66,'Vols additionnels'!$C$7:$C$66,$E6112,'Vols additionnels'!$D$7:$D$66,$F6112,'Vols additionnels'!$B$7:$B$66,$D6112)</f>
        <v>0</v>
      </c>
      <c r="H6112" s="135" t="n">
        <f aca="false">$G6112*'Analyse capacite'!$F$9</f>
        <v>0</v>
      </c>
      <c r="I6112" s="135" t="n">
        <f aca="false">$G6112*'Analyse capacite'!$C$9</f>
        <v>0</v>
      </c>
      <c r="J6112" s="135" t="n">
        <f aca="false">$G6112*'Analyse capacite'!$D$9</f>
        <v>0</v>
      </c>
      <c r="K6112" s="135" t="n">
        <f aca="false">$G6112*'Analyse capacite'!$E$9</f>
        <v>0</v>
      </c>
    </row>
    <row r="6113" customFormat="false" ht="15" hidden="false" customHeight="false" outlineLevel="0" collapsed="false">
      <c r="B6113" s="130" t="n">
        <v>2027</v>
      </c>
      <c r="C6113" s="131" t="s">
        <v>251</v>
      </c>
      <c r="D6113" s="132" t="n">
        <v>46647</v>
      </c>
      <c r="E6113" s="131" t="s">
        <v>53</v>
      </c>
      <c r="F6113" s="133" t="s">
        <v>11</v>
      </c>
      <c r="G6113" s="134" t="n">
        <f aca="false">LEN('Saisie programme'!$H$232)+SUMIFS('Vols additionnels'!$E$7:$E$66,'Vols additionnels'!$C$7:$C$66,$E6113,'Vols additionnels'!$D$7:$D$66,$F6113,'Vols additionnels'!$B$7:$B$66,$D6113)</f>
        <v>0</v>
      </c>
      <c r="H6113" s="135" t="n">
        <f aca="false">$G6113*'Analyse capacite'!$F$7</f>
        <v>0</v>
      </c>
      <c r="I6113" s="135" t="n">
        <f aca="false">$G6113*'Analyse capacite'!$C$7</f>
        <v>0</v>
      </c>
      <c r="J6113" s="135" t="n">
        <f aca="false">$G6113*'Analyse capacite'!$D$7</f>
        <v>0</v>
      </c>
      <c r="K6113" s="135" t="n">
        <f aca="false">$G6113*'Analyse capacite'!$E$7</f>
        <v>0</v>
      </c>
    </row>
    <row r="6114" customFormat="false" ht="15" hidden="false" customHeight="false" outlineLevel="0" collapsed="false">
      <c r="B6114" s="130" t="n">
        <v>2027</v>
      </c>
      <c r="C6114" s="131" t="s">
        <v>251</v>
      </c>
      <c r="D6114" s="132" t="n">
        <v>46647</v>
      </c>
      <c r="E6114" s="131" t="s">
        <v>53</v>
      </c>
      <c r="F6114" s="133" t="s">
        <v>19</v>
      </c>
      <c r="G6114" s="134" t="n">
        <f aca="false">LEN('Saisie programme'!$H$233)+SUMIFS('Vols additionnels'!$E$7:$E$66,'Vols additionnels'!$C$7:$C$66,$E6114,'Vols additionnels'!$D$7:$D$66,$F6114,'Vols additionnels'!$B$7:$B$66,$D6114)</f>
        <v>0</v>
      </c>
      <c r="H6114" s="135" t="n">
        <f aca="false">$G6114*'Analyse capacite'!$F$8</f>
        <v>0</v>
      </c>
      <c r="I6114" s="135" t="n">
        <f aca="false">$G6114*'Analyse capacite'!$C$8</f>
        <v>0</v>
      </c>
      <c r="J6114" s="135" t="n">
        <f aca="false">$G6114*'Analyse capacite'!$D$8</f>
        <v>0</v>
      </c>
      <c r="K6114" s="135" t="n">
        <f aca="false">$G6114*'Analyse capacite'!$E$8</f>
        <v>0</v>
      </c>
    </row>
    <row r="6115" customFormat="false" ht="15" hidden="false" customHeight="false" outlineLevel="0" collapsed="false">
      <c r="B6115" s="130" t="n">
        <v>2027</v>
      </c>
      <c r="C6115" s="131" t="s">
        <v>251</v>
      </c>
      <c r="D6115" s="132" t="n">
        <v>46647</v>
      </c>
      <c r="E6115" s="131" t="s">
        <v>53</v>
      </c>
      <c r="F6115" s="133" t="s">
        <v>24</v>
      </c>
      <c r="G6115" s="134" t="n">
        <f aca="false">LEN('Saisie programme'!$H$234)+SUMIFS('Vols additionnels'!$E$7:$E$66,'Vols additionnels'!$C$7:$C$66,$E6115,'Vols additionnels'!$D$7:$D$66,$F6115,'Vols additionnels'!$B$7:$B$66,$D6115)</f>
        <v>0</v>
      </c>
      <c r="H6115" s="135" t="n">
        <f aca="false">$G6115*'Analyse capacite'!$F$9</f>
        <v>0</v>
      </c>
      <c r="I6115" s="135" t="n">
        <f aca="false">$G6115*'Analyse capacite'!$C$9</f>
        <v>0</v>
      </c>
      <c r="J6115" s="135" t="n">
        <f aca="false">$G6115*'Analyse capacite'!$D$9</f>
        <v>0</v>
      </c>
      <c r="K6115" s="135" t="n">
        <f aca="false">$G6115*'Analyse capacite'!$E$9</f>
        <v>0</v>
      </c>
    </row>
    <row r="6116" customFormat="false" ht="15" hidden="false" customHeight="false" outlineLevel="0" collapsed="false">
      <c r="B6116" s="130" t="n">
        <v>2027</v>
      </c>
      <c r="C6116" s="131" t="s">
        <v>251</v>
      </c>
      <c r="D6116" s="132" t="n">
        <v>46647</v>
      </c>
      <c r="E6116" s="131" t="s">
        <v>56</v>
      </c>
      <c r="F6116" s="133" t="s">
        <v>11</v>
      </c>
      <c r="G6116" s="134" t="n">
        <f aca="false">LEN('Saisie programme'!$H$235)+SUMIFS('Vols additionnels'!$E$7:$E$66,'Vols additionnels'!$C$7:$C$66,$E6116,'Vols additionnels'!$D$7:$D$66,$F6116,'Vols additionnels'!$B$7:$B$66,$D6116)</f>
        <v>0</v>
      </c>
      <c r="H6116" s="135" t="n">
        <f aca="false">$G6116*'Analyse capacite'!$F$7</f>
        <v>0</v>
      </c>
      <c r="I6116" s="135" t="n">
        <f aca="false">$G6116*'Analyse capacite'!$C$7</f>
        <v>0</v>
      </c>
      <c r="J6116" s="135" t="n">
        <f aca="false">$G6116*'Analyse capacite'!$D$7</f>
        <v>0</v>
      </c>
      <c r="K6116" s="135" t="n">
        <f aca="false">$G6116*'Analyse capacite'!$E$7</f>
        <v>0</v>
      </c>
    </row>
    <row r="6117" customFormat="false" ht="15" hidden="false" customHeight="false" outlineLevel="0" collapsed="false">
      <c r="B6117" s="130" t="n">
        <v>2027</v>
      </c>
      <c r="C6117" s="131" t="s">
        <v>251</v>
      </c>
      <c r="D6117" s="132" t="n">
        <v>46647</v>
      </c>
      <c r="E6117" s="131" t="s">
        <v>56</v>
      </c>
      <c r="F6117" s="133" t="s">
        <v>19</v>
      </c>
      <c r="G6117" s="134" t="n">
        <f aca="false">LEN('Saisie programme'!$H$236)+SUMIFS('Vols additionnels'!$E$7:$E$66,'Vols additionnels'!$C$7:$C$66,$E6117,'Vols additionnels'!$D$7:$D$66,$F6117,'Vols additionnels'!$B$7:$B$66,$D6117)</f>
        <v>0</v>
      </c>
      <c r="H6117" s="135" t="n">
        <f aca="false">$G6117*'Analyse capacite'!$F$8</f>
        <v>0</v>
      </c>
      <c r="I6117" s="135" t="n">
        <f aca="false">$G6117*'Analyse capacite'!$C$8</f>
        <v>0</v>
      </c>
      <c r="J6117" s="135" t="n">
        <f aca="false">$G6117*'Analyse capacite'!$D$8</f>
        <v>0</v>
      </c>
      <c r="K6117" s="135" t="n">
        <f aca="false">$G6117*'Analyse capacite'!$E$8</f>
        <v>0</v>
      </c>
    </row>
    <row r="6118" customFormat="false" ht="15" hidden="false" customHeight="false" outlineLevel="0" collapsed="false">
      <c r="B6118" s="130" t="n">
        <v>2027</v>
      </c>
      <c r="C6118" s="131" t="s">
        <v>251</v>
      </c>
      <c r="D6118" s="132" t="n">
        <v>46647</v>
      </c>
      <c r="E6118" s="131" t="s">
        <v>56</v>
      </c>
      <c r="F6118" s="133" t="s">
        <v>24</v>
      </c>
      <c r="G6118" s="134" t="n">
        <f aca="false">LEN('Saisie programme'!$H$237)+SUMIFS('Vols additionnels'!$E$7:$E$66,'Vols additionnels'!$C$7:$C$66,$E6118,'Vols additionnels'!$D$7:$D$66,$F6118,'Vols additionnels'!$B$7:$B$66,$D6118)</f>
        <v>0</v>
      </c>
      <c r="H6118" s="135" t="n">
        <f aca="false">$G6118*'Analyse capacite'!$F$9</f>
        <v>0</v>
      </c>
      <c r="I6118" s="135" t="n">
        <f aca="false">$G6118*'Analyse capacite'!$C$9</f>
        <v>0</v>
      </c>
      <c r="J6118" s="135" t="n">
        <f aca="false">$G6118*'Analyse capacite'!$D$9</f>
        <v>0</v>
      </c>
      <c r="K6118" s="135" t="n">
        <f aca="false">$G6118*'Analyse capacite'!$E$9</f>
        <v>0</v>
      </c>
    </row>
    <row r="6119" customFormat="false" ht="15" hidden="false" customHeight="false" outlineLevel="0" collapsed="false">
      <c r="B6119" s="130" t="n">
        <v>2027</v>
      </c>
      <c r="C6119" s="131" t="s">
        <v>251</v>
      </c>
      <c r="D6119" s="132" t="n">
        <v>46647</v>
      </c>
      <c r="E6119" s="131" t="s">
        <v>59</v>
      </c>
      <c r="F6119" s="133" t="s">
        <v>11</v>
      </c>
      <c r="G6119" s="134" t="n">
        <f aca="false">LEN('Saisie programme'!$H$238)+SUMIFS('Vols additionnels'!$E$7:$E$66,'Vols additionnels'!$C$7:$C$66,$E6119,'Vols additionnels'!$D$7:$D$66,$F6119,'Vols additionnels'!$B$7:$B$66,$D6119)</f>
        <v>0</v>
      </c>
      <c r="H6119" s="135" t="n">
        <f aca="false">$G6119*'Analyse capacite'!$F$7</f>
        <v>0</v>
      </c>
      <c r="I6119" s="135" t="n">
        <f aca="false">$G6119*'Analyse capacite'!$C$7</f>
        <v>0</v>
      </c>
      <c r="J6119" s="135" t="n">
        <f aca="false">$G6119*'Analyse capacite'!$D$7</f>
        <v>0</v>
      </c>
      <c r="K6119" s="135" t="n">
        <f aca="false">$G6119*'Analyse capacite'!$E$7</f>
        <v>0</v>
      </c>
    </row>
    <row r="6120" customFormat="false" ht="15" hidden="false" customHeight="false" outlineLevel="0" collapsed="false">
      <c r="B6120" s="130" t="n">
        <v>2027</v>
      </c>
      <c r="C6120" s="131" t="s">
        <v>251</v>
      </c>
      <c r="D6120" s="132" t="n">
        <v>46647</v>
      </c>
      <c r="E6120" s="131" t="s">
        <v>59</v>
      </c>
      <c r="F6120" s="133" t="s">
        <v>19</v>
      </c>
      <c r="G6120" s="134" t="n">
        <f aca="false">LEN('Saisie programme'!$H$239)+SUMIFS('Vols additionnels'!$E$7:$E$66,'Vols additionnels'!$C$7:$C$66,$E6120,'Vols additionnels'!$D$7:$D$66,$F6120,'Vols additionnels'!$B$7:$B$66,$D6120)</f>
        <v>0</v>
      </c>
      <c r="H6120" s="135" t="n">
        <f aca="false">$G6120*'Analyse capacite'!$F$8</f>
        <v>0</v>
      </c>
      <c r="I6120" s="135" t="n">
        <f aca="false">$G6120*'Analyse capacite'!$C$8</f>
        <v>0</v>
      </c>
      <c r="J6120" s="135" t="n">
        <f aca="false">$G6120*'Analyse capacite'!$D$8</f>
        <v>0</v>
      </c>
      <c r="K6120" s="135" t="n">
        <f aca="false">$G6120*'Analyse capacite'!$E$8</f>
        <v>0</v>
      </c>
    </row>
    <row r="6121" customFormat="false" ht="15" hidden="false" customHeight="false" outlineLevel="0" collapsed="false">
      <c r="B6121" s="130" t="n">
        <v>2027</v>
      </c>
      <c r="C6121" s="131" t="s">
        <v>251</v>
      </c>
      <c r="D6121" s="132" t="n">
        <v>46647</v>
      </c>
      <c r="E6121" s="131" t="s">
        <v>59</v>
      </c>
      <c r="F6121" s="133" t="s">
        <v>24</v>
      </c>
      <c r="G6121" s="134" t="n">
        <f aca="false">LEN('Saisie programme'!$H$240)+SUMIFS('Vols additionnels'!$E$7:$E$66,'Vols additionnels'!$C$7:$C$66,$E6121,'Vols additionnels'!$D$7:$D$66,$F6121,'Vols additionnels'!$B$7:$B$66,$D6121)</f>
        <v>1</v>
      </c>
      <c r="H6121" s="135" t="n">
        <f aca="false">$G6121*'Analyse capacite'!$F$9</f>
        <v>174</v>
      </c>
      <c r="I6121" s="135" t="n">
        <f aca="false">$G6121*'Analyse capacite'!$C$9</f>
        <v>0</v>
      </c>
      <c r="J6121" s="135" t="n">
        <f aca="false">$G6121*'Analyse capacite'!$D$9</f>
        <v>12</v>
      </c>
      <c r="K6121" s="135" t="n">
        <f aca="false">$G6121*'Analyse capacite'!$E$9</f>
        <v>162</v>
      </c>
    </row>
    <row r="6122" customFormat="false" ht="15" hidden="false" customHeight="false" outlineLevel="0" collapsed="false">
      <c r="B6122" s="130" t="n">
        <v>2027</v>
      </c>
      <c r="C6122" s="131" t="s">
        <v>251</v>
      </c>
      <c r="D6122" s="132" t="n">
        <v>46647</v>
      </c>
      <c r="E6122" s="131" t="s">
        <v>62</v>
      </c>
      <c r="F6122" s="133" t="s">
        <v>11</v>
      </c>
      <c r="G6122" s="134" t="n">
        <f aca="false">LEN('Saisie programme'!$H$241)+SUMIFS('Vols additionnels'!$E$7:$E$66,'Vols additionnels'!$C$7:$C$66,$E6122,'Vols additionnels'!$D$7:$D$66,$F6122,'Vols additionnels'!$B$7:$B$66,$D6122)</f>
        <v>0</v>
      </c>
      <c r="H6122" s="135" t="n">
        <f aca="false">$G6122*'Analyse capacite'!$F$7</f>
        <v>0</v>
      </c>
      <c r="I6122" s="135" t="n">
        <f aca="false">$G6122*'Analyse capacite'!$C$7</f>
        <v>0</v>
      </c>
      <c r="J6122" s="135" t="n">
        <f aca="false">$G6122*'Analyse capacite'!$D$7</f>
        <v>0</v>
      </c>
      <c r="K6122" s="135" t="n">
        <f aca="false">$G6122*'Analyse capacite'!$E$7</f>
        <v>0</v>
      </c>
    </row>
    <row r="6123" customFormat="false" ht="15" hidden="false" customHeight="false" outlineLevel="0" collapsed="false">
      <c r="B6123" s="130" t="n">
        <v>2027</v>
      </c>
      <c r="C6123" s="131" t="s">
        <v>251</v>
      </c>
      <c r="D6123" s="132" t="n">
        <v>46647</v>
      </c>
      <c r="E6123" s="131" t="s">
        <v>62</v>
      </c>
      <c r="F6123" s="133" t="s">
        <v>19</v>
      </c>
      <c r="G6123" s="134" t="n">
        <f aca="false">LEN('Saisie programme'!$H$242)+SUMIFS('Vols additionnels'!$E$7:$E$66,'Vols additionnels'!$C$7:$C$66,$E6123,'Vols additionnels'!$D$7:$D$66,$F6123,'Vols additionnels'!$B$7:$B$66,$D6123)</f>
        <v>0</v>
      </c>
      <c r="H6123" s="135" t="n">
        <f aca="false">$G6123*'Analyse capacite'!$F$8</f>
        <v>0</v>
      </c>
      <c r="I6123" s="135" t="n">
        <f aca="false">$G6123*'Analyse capacite'!$C$8</f>
        <v>0</v>
      </c>
      <c r="J6123" s="135" t="n">
        <f aca="false">$G6123*'Analyse capacite'!$D$8</f>
        <v>0</v>
      </c>
      <c r="K6123" s="135" t="n">
        <f aca="false">$G6123*'Analyse capacite'!$E$8</f>
        <v>0</v>
      </c>
    </row>
    <row r="6124" customFormat="false" ht="15" hidden="false" customHeight="false" outlineLevel="0" collapsed="false">
      <c r="B6124" s="130" t="n">
        <v>2027</v>
      </c>
      <c r="C6124" s="131" t="s">
        <v>251</v>
      </c>
      <c r="D6124" s="132" t="n">
        <v>46647</v>
      </c>
      <c r="E6124" s="131" t="s">
        <v>62</v>
      </c>
      <c r="F6124" s="133" t="s">
        <v>24</v>
      </c>
      <c r="G6124" s="134" t="n">
        <f aca="false">LEN('Saisie programme'!$H$243)+SUMIFS('Vols additionnels'!$E$7:$E$66,'Vols additionnels'!$C$7:$C$66,$E6124,'Vols additionnels'!$D$7:$D$66,$F6124,'Vols additionnels'!$B$7:$B$66,$D6124)</f>
        <v>0</v>
      </c>
      <c r="H6124" s="135" t="n">
        <f aca="false">$G6124*'Analyse capacite'!$F$9</f>
        <v>0</v>
      </c>
      <c r="I6124" s="135" t="n">
        <f aca="false">$G6124*'Analyse capacite'!$C$9</f>
        <v>0</v>
      </c>
      <c r="J6124" s="135" t="n">
        <f aca="false">$G6124*'Analyse capacite'!$D$9</f>
        <v>0</v>
      </c>
      <c r="K6124" s="135" t="n">
        <f aca="false">$G6124*'Analyse capacite'!$E$9</f>
        <v>0</v>
      </c>
    </row>
    <row r="6125" customFormat="false" ht="15" hidden="false" customHeight="false" outlineLevel="0" collapsed="false">
      <c r="B6125" s="130" t="n">
        <v>2027</v>
      </c>
      <c r="C6125" s="131" t="s">
        <v>251</v>
      </c>
      <c r="D6125" s="132" t="n">
        <v>46648</v>
      </c>
      <c r="E6125" s="131" t="s">
        <v>12</v>
      </c>
      <c r="F6125" s="133" t="s">
        <v>11</v>
      </c>
      <c r="G6125" s="134" t="n">
        <f aca="false">LEN('Saisie programme'!$I$208)+SUMIFS('Vols additionnels'!$E$7:$E$66,'Vols additionnels'!$C$7:$C$66,$E6125,'Vols additionnels'!$D$7:$D$66,$F6125,'Vols additionnels'!$B$7:$B$66,$D6125)</f>
        <v>1</v>
      </c>
      <c r="H6125" s="135" t="n">
        <f aca="false">$G6125*'Analyse capacite'!$F$7</f>
        <v>438</v>
      </c>
      <c r="I6125" s="135" t="n">
        <f aca="false">$G6125*'Analyse capacite'!$C$7</f>
        <v>14</v>
      </c>
      <c r="J6125" s="135" t="n">
        <f aca="false">$G6125*'Analyse capacite'!$D$7</f>
        <v>40</v>
      </c>
      <c r="K6125" s="135" t="n">
        <f aca="false">$G6125*'Analyse capacite'!$E$7</f>
        <v>384</v>
      </c>
    </row>
    <row r="6126" customFormat="false" ht="15" hidden="false" customHeight="false" outlineLevel="0" collapsed="false">
      <c r="B6126" s="130" t="n">
        <v>2027</v>
      </c>
      <c r="C6126" s="131" t="s">
        <v>251</v>
      </c>
      <c r="D6126" s="132" t="n">
        <v>46648</v>
      </c>
      <c r="E6126" s="131" t="s">
        <v>12</v>
      </c>
      <c r="F6126" s="133" t="s">
        <v>19</v>
      </c>
      <c r="G6126" s="134" t="n">
        <f aca="false">LEN('Saisie programme'!$I$209)+SUMIFS('Vols additionnels'!$E$7:$E$66,'Vols additionnels'!$C$7:$C$66,$E6126,'Vols additionnels'!$D$7:$D$66,$F6126,'Vols additionnels'!$B$7:$B$66,$D6126)</f>
        <v>0</v>
      </c>
      <c r="H6126" s="135" t="n">
        <f aca="false">$G6126*'Analyse capacite'!$F$8</f>
        <v>0</v>
      </c>
      <c r="I6126" s="135" t="n">
        <f aca="false">$G6126*'Analyse capacite'!$C$8</f>
        <v>0</v>
      </c>
      <c r="J6126" s="135" t="n">
        <f aca="false">$G6126*'Analyse capacite'!$D$8</f>
        <v>0</v>
      </c>
      <c r="K6126" s="135" t="n">
        <f aca="false">$G6126*'Analyse capacite'!$E$8</f>
        <v>0</v>
      </c>
    </row>
    <row r="6127" customFormat="false" ht="15" hidden="false" customHeight="false" outlineLevel="0" collapsed="false">
      <c r="B6127" s="130" t="n">
        <v>2027</v>
      </c>
      <c r="C6127" s="131" t="s">
        <v>251</v>
      </c>
      <c r="D6127" s="132" t="n">
        <v>46648</v>
      </c>
      <c r="E6127" s="131" t="s">
        <v>12</v>
      </c>
      <c r="F6127" s="133" t="s">
        <v>24</v>
      </c>
      <c r="G6127" s="134" t="n">
        <f aca="false">LEN('Saisie programme'!$I$210)+SUMIFS('Vols additionnels'!$E$7:$E$66,'Vols additionnels'!$C$7:$C$66,$E6127,'Vols additionnels'!$D$7:$D$66,$F6127,'Vols additionnels'!$B$7:$B$66,$D6127)</f>
        <v>0</v>
      </c>
      <c r="H6127" s="135" t="n">
        <f aca="false">$G6127*'Analyse capacite'!$F$9</f>
        <v>0</v>
      </c>
      <c r="I6127" s="135" t="n">
        <f aca="false">$G6127*'Analyse capacite'!$C$9</f>
        <v>0</v>
      </c>
      <c r="J6127" s="135" t="n">
        <f aca="false">$G6127*'Analyse capacite'!$D$9</f>
        <v>0</v>
      </c>
      <c r="K6127" s="135" t="n">
        <f aca="false">$G6127*'Analyse capacite'!$E$9</f>
        <v>0</v>
      </c>
    </row>
    <row r="6128" customFormat="false" ht="15" hidden="false" customHeight="false" outlineLevel="0" collapsed="false">
      <c r="B6128" s="130" t="n">
        <v>2027</v>
      </c>
      <c r="C6128" s="131" t="s">
        <v>251</v>
      </c>
      <c r="D6128" s="132" t="n">
        <v>46648</v>
      </c>
      <c r="E6128" s="131" t="s">
        <v>20</v>
      </c>
      <c r="F6128" s="133" t="s">
        <v>11</v>
      </c>
      <c r="G6128" s="134" t="n">
        <f aca="false">LEN('Saisie programme'!$I$211)+SUMIFS('Vols additionnels'!$E$7:$E$66,'Vols additionnels'!$C$7:$C$66,$E6128,'Vols additionnels'!$D$7:$D$66,$F6128,'Vols additionnels'!$B$7:$B$66,$D6128)</f>
        <v>0</v>
      </c>
      <c r="H6128" s="135" t="n">
        <f aca="false">$G6128*'Analyse capacite'!$F$7</f>
        <v>0</v>
      </c>
      <c r="I6128" s="135" t="n">
        <f aca="false">$G6128*'Analyse capacite'!$C$7</f>
        <v>0</v>
      </c>
      <c r="J6128" s="135" t="n">
        <f aca="false">$G6128*'Analyse capacite'!$D$7</f>
        <v>0</v>
      </c>
      <c r="K6128" s="135" t="n">
        <f aca="false">$G6128*'Analyse capacite'!$E$7</f>
        <v>0</v>
      </c>
    </row>
    <row r="6129" customFormat="false" ht="15" hidden="false" customHeight="false" outlineLevel="0" collapsed="false">
      <c r="B6129" s="130" t="n">
        <v>2027</v>
      </c>
      <c r="C6129" s="131" t="s">
        <v>251</v>
      </c>
      <c r="D6129" s="132" t="n">
        <v>46648</v>
      </c>
      <c r="E6129" s="131" t="s">
        <v>20</v>
      </c>
      <c r="F6129" s="133" t="s">
        <v>19</v>
      </c>
      <c r="G6129" s="134" t="n">
        <f aca="false">LEN('Saisie programme'!$I$212)+SUMIFS('Vols additionnels'!$E$7:$E$66,'Vols additionnels'!$C$7:$C$66,$E6129,'Vols additionnels'!$D$7:$D$66,$F6129,'Vols additionnels'!$B$7:$B$66,$D6129)</f>
        <v>0</v>
      </c>
      <c r="H6129" s="135" t="n">
        <f aca="false">$G6129*'Analyse capacite'!$F$8</f>
        <v>0</v>
      </c>
      <c r="I6129" s="135" t="n">
        <f aca="false">$G6129*'Analyse capacite'!$C$8</f>
        <v>0</v>
      </c>
      <c r="J6129" s="135" t="n">
        <f aca="false">$G6129*'Analyse capacite'!$D$8</f>
        <v>0</v>
      </c>
      <c r="K6129" s="135" t="n">
        <f aca="false">$G6129*'Analyse capacite'!$E$8</f>
        <v>0</v>
      </c>
    </row>
    <row r="6130" customFormat="false" ht="15" hidden="false" customHeight="false" outlineLevel="0" collapsed="false">
      <c r="B6130" s="130" t="n">
        <v>2027</v>
      </c>
      <c r="C6130" s="131" t="s">
        <v>251</v>
      </c>
      <c r="D6130" s="132" t="n">
        <v>46648</v>
      </c>
      <c r="E6130" s="131" t="s">
        <v>20</v>
      </c>
      <c r="F6130" s="133" t="s">
        <v>24</v>
      </c>
      <c r="G6130" s="134" t="n">
        <f aca="false">LEN('Saisie programme'!$I$213)+SUMIFS('Vols additionnels'!$E$7:$E$66,'Vols additionnels'!$C$7:$C$66,$E6130,'Vols additionnels'!$D$7:$D$66,$F6130,'Vols additionnels'!$B$7:$B$66,$D6130)</f>
        <v>0</v>
      </c>
      <c r="H6130" s="135" t="n">
        <f aca="false">$G6130*'Analyse capacite'!$F$9</f>
        <v>0</v>
      </c>
      <c r="I6130" s="135" t="n">
        <f aca="false">$G6130*'Analyse capacite'!$C$9</f>
        <v>0</v>
      </c>
      <c r="J6130" s="135" t="n">
        <f aca="false">$G6130*'Analyse capacite'!$D$9</f>
        <v>0</v>
      </c>
      <c r="K6130" s="135" t="n">
        <f aca="false">$G6130*'Analyse capacite'!$E$9</f>
        <v>0</v>
      </c>
    </row>
    <row r="6131" customFormat="false" ht="15" hidden="false" customHeight="false" outlineLevel="0" collapsed="false">
      <c r="B6131" s="130" t="n">
        <v>2027</v>
      </c>
      <c r="C6131" s="131" t="s">
        <v>251</v>
      </c>
      <c r="D6131" s="132" t="n">
        <v>46648</v>
      </c>
      <c r="E6131" s="131" t="s">
        <v>25</v>
      </c>
      <c r="F6131" s="133" t="s">
        <v>11</v>
      </c>
      <c r="G6131" s="134" t="n">
        <f aca="false">LEN('Saisie programme'!$I$214)+SUMIFS('Vols additionnels'!$E$7:$E$66,'Vols additionnels'!$C$7:$C$66,$E6131,'Vols additionnels'!$D$7:$D$66,$F6131,'Vols additionnels'!$B$7:$B$66,$D6131)</f>
        <v>0</v>
      </c>
      <c r="H6131" s="135" t="n">
        <f aca="false">$G6131*'Analyse capacite'!$F$7</f>
        <v>0</v>
      </c>
      <c r="I6131" s="135" t="n">
        <f aca="false">$G6131*'Analyse capacite'!$C$7</f>
        <v>0</v>
      </c>
      <c r="J6131" s="135" t="n">
        <f aca="false">$G6131*'Analyse capacite'!$D$7</f>
        <v>0</v>
      </c>
      <c r="K6131" s="135" t="n">
        <f aca="false">$G6131*'Analyse capacite'!$E$7</f>
        <v>0</v>
      </c>
    </row>
    <row r="6132" customFormat="false" ht="15" hidden="false" customHeight="false" outlineLevel="0" collapsed="false">
      <c r="B6132" s="130" t="n">
        <v>2027</v>
      </c>
      <c r="C6132" s="131" t="s">
        <v>251</v>
      </c>
      <c r="D6132" s="132" t="n">
        <v>46648</v>
      </c>
      <c r="E6132" s="131" t="s">
        <v>25</v>
      </c>
      <c r="F6132" s="133" t="s">
        <v>19</v>
      </c>
      <c r="G6132" s="134" t="n">
        <f aca="false">LEN('Saisie programme'!$I$215)+SUMIFS('Vols additionnels'!$E$7:$E$66,'Vols additionnels'!$C$7:$C$66,$E6132,'Vols additionnels'!$D$7:$D$66,$F6132,'Vols additionnels'!$B$7:$B$66,$D6132)</f>
        <v>1</v>
      </c>
      <c r="H6132" s="135" t="n">
        <f aca="false">$G6132*'Analyse capacite'!$F$8</f>
        <v>262</v>
      </c>
      <c r="I6132" s="135" t="n">
        <f aca="false">$G6132*'Analyse capacite'!$C$8</f>
        <v>18</v>
      </c>
      <c r="J6132" s="135" t="n">
        <f aca="false">$G6132*'Analyse capacite'!$D$8</f>
        <v>0</v>
      </c>
      <c r="K6132" s="135" t="n">
        <f aca="false">$G6132*'Analyse capacite'!$E$8</f>
        <v>244</v>
      </c>
    </row>
    <row r="6133" customFormat="false" ht="15" hidden="false" customHeight="false" outlineLevel="0" collapsed="false">
      <c r="B6133" s="130" t="n">
        <v>2027</v>
      </c>
      <c r="C6133" s="131" t="s">
        <v>251</v>
      </c>
      <c r="D6133" s="132" t="n">
        <v>46648</v>
      </c>
      <c r="E6133" s="131" t="s">
        <v>25</v>
      </c>
      <c r="F6133" s="133" t="s">
        <v>24</v>
      </c>
      <c r="G6133" s="134" t="n">
        <f aca="false">LEN('Saisie programme'!$I$216)+SUMIFS('Vols additionnels'!$E$7:$E$66,'Vols additionnels'!$C$7:$C$66,$E6133,'Vols additionnels'!$D$7:$D$66,$F6133,'Vols additionnels'!$B$7:$B$66,$D6133)</f>
        <v>0</v>
      </c>
      <c r="H6133" s="135" t="n">
        <f aca="false">$G6133*'Analyse capacite'!$F$9</f>
        <v>0</v>
      </c>
      <c r="I6133" s="135" t="n">
        <f aca="false">$G6133*'Analyse capacite'!$C$9</f>
        <v>0</v>
      </c>
      <c r="J6133" s="135" t="n">
        <f aca="false">$G6133*'Analyse capacite'!$D$9</f>
        <v>0</v>
      </c>
      <c r="K6133" s="135" t="n">
        <f aca="false">$G6133*'Analyse capacite'!$E$9</f>
        <v>0</v>
      </c>
    </row>
    <row r="6134" customFormat="false" ht="15" hidden="false" customHeight="false" outlineLevel="0" collapsed="false">
      <c r="B6134" s="130" t="n">
        <v>2027</v>
      </c>
      <c r="C6134" s="131" t="s">
        <v>251</v>
      </c>
      <c r="D6134" s="132" t="n">
        <v>46648</v>
      </c>
      <c r="E6134" s="131" t="s">
        <v>36</v>
      </c>
      <c r="F6134" s="133" t="s">
        <v>11</v>
      </c>
      <c r="G6134" s="134" t="n">
        <f aca="false">LEN('Saisie programme'!$I$217)+SUMIFS('Vols additionnels'!$E$7:$E$66,'Vols additionnels'!$C$7:$C$66,$E6134,'Vols additionnels'!$D$7:$D$66,$F6134,'Vols additionnels'!$B$7:$B$66,$D6134)</f>
        <v>0</v>
      </c>
      <c r="H6134" s="135" t="n">
        <f aca="false">$G6134*'Analyse capacite'!$F$7</f>
        <v>0</v>
      </c>
      <c r="I6134" s="135" t="n">
        <f aca="false">$G6134*'Analyse capacite'!$C$7</f>
        <v>0</v>
      </c>
      <c r="J6134" s="135" t="n">
        <f aca="false">$G6134*'Analyse capacite'!$D$7</f>
        <v>0</v>
      </c>
      <c r="K6134" s="135" t="n">
        <f aca="false">$G6134*'Analyse capacite'!$E$7</f>
        <v>0</v>
      </c>
    </row>
    <row r="6135" customFormat="false" ht="15" hidden="false" customHeight="false" outlineLevel="0" collapsed="false">
      <c r="B6135" s="130" t="n">
        <v>2027</v>
      </c>
      <c r="C6135" s="131" t="s">
        <v>251</v>
      </c>
      <c r="D6135" s="132" t="n">
        <v>46648</v>
      </c>
      <c r="E6135" s="131" t="s">
        <v>36</v>
      </c>
      <c r="F6135" s="133" t="s">
        <v>19</v>
      </c>
      <c r="G6135" s="134" t="n">
        <f aca="false">LEN('Saisie programme'!$I$218)+SUMIFS('Vols additionnels'!$E$7:$E$66,'Vols additionnels'!$C$7:$C$66,$E6135,'Vols additionnels'!$D$7:$D$66,$F6135,'Vols additionnels'!$B$7:$B$66,$D6135)</f>
        <v>0</v>
      </c>
      <c r="H6135" s="135" t="n">
        <f aca="false">$G6135*'Analyse capacite'!$F$8</f>
        <v>0</v>
      </c>
      <c r="I6135" s="135" t="n">
        <f aca="false">$G6135*'Analyse capacite'!$C$8</f>
        <v>0</v>
      </c>
      <c r="J6135" s="135" t="n">
        <f aca="false">$G6135*'Analyse capacite'!$D$8</f>
        <v>0</v>
      </c>
      <c r="K6135" s="135" t="n">
        <f aca="false">$G6135*'Analyse capacite'!$E$8</f>
        <v>0</v>
      </c>
    </row>
    <row r="6136" customFormat="false" ht="15" hidden="false" customHeight="false" outlineLevel="0" collapsed="false">
      <c r="B6136" s="130" t="n">
        <v>2027</v>
      </c>
      <c r="C6136" s="131" t="s">
        <v>251</v>
      </c>
      <c r="D6136" s="132" t="n">
        <v>46648</v>
      </c>
      <c r="E6136" s="131" t="s">
        <v>36</v>
      </c>
      <c r="F6136" s="133" t="s">
        <v>24</v>
      </c>
      <c r="G6136" s="134" t="n">
        <f aca="false">LEN('Saisie programme'!$I$219)+SUMIFS('Vols additionnels'!$E$7:$E$66,'Vols additionnels'!$C$7:$C$66,$E6136,'Vols additionnels'!$D$7:$D$66,$F6136,'Vols additionnels'!$B$7:$B$66,$D6136)</f>
        <v>0</v>
      </c>
      <c r="H6136" s="135" t="n">
        <f aca="false">$G6136*'Analyse capacite'!$F$9</f>
        <v>0</v>
      </c>
      <c r="I6136" s="135" t="n">
        <f aca="false">$G6136*'Analyse capacite'!$C$9</f>
        <v>0</v>
      </c>
      <c r="J6136" s="135" t="n">
        <f aca="false">$G6136*'Analyse capacite'!$D$9</f>
        <v>0</v>
      </c>
      <c r="K6136" s="135" t="n">
        <f aca="false">$G6136*'Analyse capacite'!$E$9</f>
        <v>0</v>
      </c>
    </row>
    <row r="6137" customFormat="false" ht="15" hidden="false" customHeight="false" outlineLevel="0" collapsed="false">
      <c r="B6137" s="130" t="n">
        <v>2027</v>
      </c>
      <c r="C6137" s="131" t="s">
        <v>251</v>
      </c>
      <c r="D6137" s="132" t="n">
        <v>46648</v>
      </c>
      <c r="E6137" s="131" t="s">
        <v>40</v>
      </c>
      <c r="F6137" s="133" t="s">
        <v>11</v>
      </c>
      <c r="G6137" s="134" t="n">
        <f aca="false">LEN('Saisie programme'!$I$220)+SUMIFS('Vols additionnels'!$E$7:$E$66,'Vols additionnels'!$C$7:$C$66,$E6137,'Vols additionnels'!$D$7:$D$66,$F6137,'Vols additionnels'!$B$7:$B$66,$D6137)</f>
        <v>0</v>
      </c>
      <c r="H6137" s="135" t="n">
        <f aca="false">$G6137*'Analyse capacite'!$F$7</f>
        <v>0</v>
      </c>
      <c r="I6137" s="135" t="n">
        <f aca="false">$G6137*'Analyse capacite'!$C$7</f>
        <v>0</v>
      </c>
      <c r="J6137" s="135" t="n">
        <f aca="false">$G6137*'Analyse capacite'!$D$7</f>
        <v>0</v>
      </c>
      <c r="K6137" s="135" t="n">
        <f aca="false">$G6137*'Analyse capacite'!$E$7</f>
        <v>0</v>
      </c>
    </row>
    <row r="6138" customFormat="false" ht="15" hidden="false" customHeight="false" outlineLevel="0" collapsed="false">
      <c r="B6138" s="130" t="n">
        <v>2027</v>
      </c>
      <c r="C6138" s="131" t="s">
        <v>251</v>
      </c>
      <c r="D6138" s="132" t="n">
        <v>46648</v>
      </c>
      <c r="E6138" s="131" t="s">
        <v>40</v>
      </c>
      <c r="F6138" s="133" t="s">
        <v>19</v>
      </c>
      <c r="G6138" s="134" t="n">
        <f aca="false">LEN('Saisie programme'!$I$221)+SUMIFS('Vols additionnels'!$E$7:$E$66,'Vols additionnels'!$C$7:$C$66,$E6138,'Vols additionnels'!$D$7:$D$66,$F6138,'Vols additionnels'!$B$7:$B$66,$D6138)</f>
        <v>0</v>
      </c>
      <c r="H6138" s="135" t="n">
        <f aca="false">$G6138*'Analyse capacite'!$F$8</f>
        <v>0</v>
      </c>
      <c r="I6138" s="135" t="n">
        <f aca="false">$G6138*'Analyse capacite'!$C$8</f>
        <v>0</v>
      </c>
      <c r="J6138" s="135" t="n">
        <f aca="false">$G6138*'Analyse capacite'!$D$8</f>
        <v>0</v>
      </c>
      <c r="K6138" s="135" t="n">
        <f aca="false">$G6138*'Analyse capacite'!$E$8</f>
        <v>0</v>
      </c>
    </row>
    <row r="6139" customFormat="false" ht="15" hidden="false" customHeight="false" outlineLevel="0" collapsed="false">
      <c r="B6139" s="130" t="n">
        <v>2027</v>
      </c>
      <c r="C6139" s="131" t="s">
        <v>251</v>
      </c>
      <c r="D6139" s="132" t="n">
        <v>46648</v>
      </c>
      <c r="E6139" s="131" t="s">
        <v>40</v>
      </c>
      <c r="F6139" s="133" t="s">
        <v>24</v>
      </c>
      <c r="G6139" s="134" t="n">
        <f aca="false">LEN('Saisie programme'!$I$222)+SUMIFS('Vols additionnels'!$E$7:$E$66,'Vols additionnels'!$C$7:$C$66,$E6139,'Vols additionnels'!$D$7:$D$66,$F6139,'Vols additionnels'!$B$7:$B$66,$D6139)</f>
        <v>0</v>
      </c>
      <c r="H6139" s="135" t="n">
        <f aca="false">$G6139*'Analyse capacite'!$F$9</f>
        <v>0</v>
      </c>
      <c r="I6139" s="135" t="n">
        <f aca="false">$G6139*'Analyse capacite'!$C$9</f>
        <v>0</v>
      </c>
      <c r="J6139" s="135" t="n">
        <f aca="false">$G6139*'Analyse capacite'!$D$9</f>
        <v>0</v>
      </c>
      <c r="K6139" s="135" t="n">
        <f aca="false">$G6139*'Analyse capacite'!$E$9</f>
        <v>0</v>
      </c>
    </row>
    <row r="6140" customFormat="false" ht="15" hidden="false" customHeight="false" outlineLevel="0" collapsed="false">
      <c r="B6140" s="130" t="n">
        <v>2027</v>
      </c>
      <c r="C6140" s="131" t="s">
        <v>251</v>
      </c>
      <c r="D6140" s="132" t="n">
        <v>46648</v>
      </c>
      <c r="E6140" s="131" t="s">
        <v>14</v>
      </c>
      <c r="F6140" s="133" t="s">
        <v>11</v>
      </c>
      <c r="G6140" s="134" t="n">
        <f aca="false">LEN('Saisie programme'!$I$223)+SUMIFS('Vols additionnels'!$E$7:$E$66,'Vols additionnels'!$C$7:$C$66,$E6140,'Vols additionnels'!$D$7:$D$66,$F6140,'Vols additionnels'!$B$7:$B$66,$D6140)</f>
        <v>0</v>
      </c>
      <c r="H6140" s="135" t="n">
        <f aca="false">$G6140*'Analyse capacite'!$F$7</f>
        <v>0</v>
      </c>
      <c r="I6140" s="135" t="n">
        <f aca="false">$G6140*'Analyse capacite'!$C$7</f>
        <v>0</v>
      </c>
      <c r="J6140" s="135" t="n">
        <f aca="false">$G6140*'Analyse capacite'!$D$7</f>
        <v>0</v>
      </c>
      <c r="K6140" s="135" t="n">
        <f aca="false">$G6140*'Analyse capacite'!$E$7</f>
        <v>0</v>
      </c>
    </row>
    <row r="6141" customFormat="false" ht="15" hidden="false" customHeight="false" outlineLevel="0" collapsed="false">
      <c r="B6141" s="130" t="n">
        <v>2027</v>
      </c>
      <c r="C6141" s="131" t="s">
        <v>251</v>
      </c>
      <c r="D6141" s="132" t="n">
        <v>46648</v>
      </c>
      <c r="E6141" s="131" t="s">
        <v>14</v>
      </c>
      <c r="F6141" s="133" t="s">
        <v>19</v>
      </c>
      <c r="G6141" s="134" t="n">
        <f aca="false">LEN('Saisie programme'!$I$224)+SUMIFS('Vols additionnels'!$E$7:$E$66,'Vols additionnels'!$C$7:$C$66,$E6141,'Vols additionnels'!$D$7:$D$66,$F6141,'Vols additionnels'!$B$7:$B$66,$D6141)</f>
        <v>0</v>
      </c>
      <c r="H6141" s="135" t="n">
        <f aca="false">$G6141*'Analyse capacite'!$F$8</f>
        <v>0</v>
      </c>
      <c r="I6141" s="135" t="n">
        <f aca="false">$G6141*'Analyse capacite'!$C$8</f>
        <v>0</v>
      </c>
      <c r="J6141" s="135" t="n">
        <f aca="false">$G6141*'Analyse capacite'!$D$8</f>
        <v>0</v>
      </c>
      <c r="K6141" s="135" t="n">
        <f aca="false">$G6141*'Analyse capacite'!$E$8</f>
        <v>0</v>
      </c>
    </row>
    <row r="6142" customFormat="false" ht="15" hidden="false" customHeight="false" outlineLevel="0" collapsed="false">
      <c r="B6142" s="130" t="n">
        <v>2027</v>
      </c>
      <c r="C6142" s="131" t="s">
        <v>251</v>
      </c>
      <c r="D6142" s="132" t="n">
        <v>46648</v>
      </c>
      <c r="E6142" s="131" t="s">
        <v>14</v>
      </c>
      <c r="F6142" s="133" t="s">
        <v>24</v>
      </c>
      <c r="G6142" s="134" t="n">
        <f aca="false">LEN('Saisie programme'!$I$225)+SUMIFS('Vols additionnels'!$E$7:$E$66,'Vols additionnels'!$C$7:$C$66,$E6142,'Vols additionnels'!$D$7:$D$66,$F6142,'Vols additionnels'!$B$7:$B$66,$D6142)</f>
        <v>1</v>
      </c>
      <c r="H6142" s="135" t="n">
        <f aca="false">$G6142*'Analyse capacite'!$F$9</f>
        <v>174</v>
      </c>
      <c r="I6142" s="135" t="n">
        <f aca="false">$G6142*'Analyse capacite'!$C$9</f>
        <v>0</v>
      </c>
      <c r="J6142" s="135" t="n">
        <f aca="false">$G6142*'Analyse capacite'!$D$9</f>
        <v>12</v>
      </c>
      <c r="K6142" s="135" t="n">
        <f aca="false">$G6142*'Analyse capacite'!$E$9</f>
        <v>162</v>
      </c>
    </row>
    <row r="6143" customFormat="false" ht="15" hidden="false" customHeight="false" outlineLevel="0" collapsed="false">
      <c r="B6143" s="130" t="n">
        <v>2027</v>
      </c>
      <c r="C6143" s="131" t="s">
        <v>251</v>
      </c>
      <c r="D6143" s="132" t="n">
        <v>46648</v>
      </c>
      <c r="E6143" s="131" t="s">
        <v>46</v>
      </c>
      <c r="F6143" s="133" t="s">
        <v>11</v>
      </c>
      <c r="G6143" s="134" t="n">
        <f aca="false">LEN('Saisie programme'!$I$226)+SUMIFS('Vols additionnels'!$E$7:$E$66,'Vols additionnels'!$C$7:$C$66,$E6143,'Vols additionnels'!$D$7:$D$66,$F6143,'Vols additionnels'!$B$7:$B$66,$D6143)</f>
        <v>0</v>
      </c>
      <c r="H6143" s="135" t="n">
        <f aca="false">$G6143*'Analyse capacite'!$F$7</f>
        <v>0</v>
      </c>
      <c r="I6143" s="135" t="n">
        <f aca="false">$G6143*'Analyse capacite'!$C$7</f>
        <v>0</v>
      </c>
      <c r="J6143" s="135" t="n">
        <f aca="false">$G6143*'Analyse capacite'!$D$7</f>
        <v>0</v>
      </c>
      <c r="K6143" s="135" t="n">
        <f aca="false">$G6143*'Analyse capacite'!$E$7</f>
        <v>0</v>
      </c>
    </row>
    <row r="6144" customFormat="false" ht="15" hidden="false" customHeight="false" outlineLevel="0" collapsed="false">
      <c r="B6144" s="130" t="n">
        <v>2027</v>
      </c>
      <c r="C6144" s="131" t="s">
        <v>251</v>
      </c>
      <c r="D6144" s="132" t="n">
        <v>46648</v>
      </c>
      <c r="E6144" s="131" t="s">
        <v>46</v>
      </c>
      <c r="F6144" s="133" t="s">
        <v>19</v>
      </c>
      <c r="G6144" s="134" t="n">
        <f aca="false">LEN('Saisie programme'!$I$227)+SUMIFS('Vols additionnels'!$E$7:$E$66,'Vols additionnels'!$C$7:$C$66,$E6144,'Vols additionnels'!$D$7:$D$66,$F6144,'Vols additionnels'!$B$7:$B$66,$D6144)</f>
        <v>0</v>
      </c>
      <c r="H6144" s="135" t="n">
        <f aca="false">$G6144*'Analyse capacite'!$F$8</f>
        <v>0</v>
      </c>
      <c r="I6144" s="135" t="n">
        <f aca="false">$G6144*'Analyse capacite'!$C$8</f>
        <v>0</v>
      </c>
      <c r="J6144" s="135" t="n">
        <f aca="false">$G6144*'Analyse capacite'!$D$8</f>
        <v>0</v>
      </c>
      <c r="K6144" s="135" t="n">
        <f aca="false">$G6144*'Analyse capacite'!$E$8</f>
        <v>0</v>
      </c>
    </row>
    <row r="6145" customFormat="false" ht="15" hidden="false" customHeight="false" outlineLevel="0" collapsed="false">
      <c r="B6145" s="130" t="n">
        <v>2027</v>
      </c>
      <c r="C6145" s="131" t="s">
        <v>251</v>
      </c>
      <c r="D6145" s="132" t="n">
        <v>46648</v>
      </c>
      <c r="E6145" s="131" t="s">
        <v>46</v>
      </c>
      <c r="F6145" s="133" t="s">
        <v>24</v>
      </c>
      <c r="G6145" s="134" t="n">
        <f aca="false">LEN('Saisie programme'!$I$228)+SUMIFS('Vols additionnels'!$E$7:$E$66,'Vols additionnels'!$C$7:$C$66,$E6145,'Vols additionnels'!$D$7:$D$66,$F6145,'Vols additionnels'!$B$7:$B$66,$D6145)</f>
        <v>1</v>
      </c>
      <c r="H6145" s="135" t="n">
        <f aca="false">$G6145*'Analyse capacite'!$F$9</f>
        <v>174</v>
      </c>
      <c r="I6145" s="135" t="n">
        <f aca="false">$G6145*'Analyse capacite'!$C$9</f>
        <v>0</v>
      </c>
      <c r="J6145" s="135" t="n">
        <f aca="false">$G6145*'Analyse capacite'!$D$9</f>
        <v>12</v>
      </c>
      <c r="K6145" s="135" t="n">
        <f aca="false">$G6145*'Analyse capacite'!$E$9</f>
        <v>162</v>
      </c>
    </row>
    <row r="6146" customFormat="false" ht="15" hidden="false" customHeight="false" outlineLevel="0" collapsed="false">
      <c r="B6146" s="130" t="n">
        <v>2027</v>
      </c>
      <c r="C6146" s="131" t="s">
        <v>251</v>
      </c>
      <c r="D6146" s="132" t="n">
        <v>46648</v>
      </c>
      <c r="E6146" s="131" t="s">
        <v>49</v>
      </c>
      <c r="F6146" s="133" t="s">
        <v>11</v>
      </c>
      <c r="G6146" s="134" t="n">
        <f aca="false">LEN('Saisie programme'!$I$229)+SUMIFS('Vols additionnels'!$E$7:$E$66,'Vols additionnels'!$C$7:$C$66,$E6146,'Vols additionnels'!$D$7:$D$66,$F6146,'Vols additionnels'!$B$7:$B$66,$D6146)</f>
        <v>0</v>
      </c>
      <c r="H6146" s="135" t="n">
        <f aca="false">$G6146*'Analyse capacite'!$F$7</f>
        <v>0</v>
      </c>
      <c r="I6146" s="135" t="n">
        <f aca="false">$G6146*'Analyse capacite'!$C$7</f>
        <v>0</v>
      </c>
      <c r="J6146" s="135" t="n">
        <f aca="false">$G6146*'Analyse capacite'!$D$7</f>
        <v>0</v>
      </c>
      <c r="K6146" s="135" t="n">
        <f aca="false">$G6146*'Analyse capacite'!$E$7</f>
        <v>0</v>
      </c>
    </row>
    <row r="6147" customFormat="false" ht="15" hidden="false" customHeight="false" outlineLevel="0" collapsed="false">
      <c r="B6147" s="130" t="n">
        <v>2027</v>
      </c>
      <c r="C6147" s="131" t="s">
        <v>251</v>
      </c>
      <c r="D6147" s="132" t="n">
        <v>46648</v>
      </c>
      <c r="E6147" s="131" t="s">
        <v>49</v>
      </c>
      <c r="F6147" s="133" t="s">
        <v>19</v>
      </c>
      <c r="G6147" s="134" t="n">
        <f aca="false">LEN('Saisie programme'!$I$230)+SUMIFS('Vols additionnels'!$E$7:$E$66,'Vols additionnels'!$C$7:$C$66,$E6147,'Vols additionnels'!$D$7:$D$66,$F6147,'Vols additionnels'!$B$7:$B$66,$D6147)</f>
        <v>0</v>
      </c>
      <c r="H6147" s="135" t="n">
        <f aca="false">$G6147*'Analyse capacite'!$F$8</f>
        <v>0</v>
      </c>
      <c r="I6147" s="135" t="n">
        <f aca="false">$G6147*'Analyse capacite'!$C$8</f>
        <v>0</v>
      </c>
      <c r="J6147" s="135" t="n">
        <f aca="false">$G6147*'Analyse capacite'!$D$8</f>
        <v>0</v>
      </c>
      <c r="K6147" s="135" t="n">
        <f aca="false">$G6147*'Analyse capacite'!$E$8</f>
        <v>0</v>
      </c>
    </row>
    <row r="6148" customFormat="false" ht="15" hidden="false" customHeight="false" outlineLevel="0" collapsed="false">
      <c r="B6148" s="130" t="n">
        <v>2027</v>
      </c>
      <c r="C6148" s="131" t="s">
        <v>251</v>
      </c>
      <c r="D6148" s="132" t="n">
        <v>46648</v>
      </c>
      <c r="E6148" s="131" t="s">
        <v>49</v>
      </c>
      <c r="F6148" s="133" t="s">
        <v>24</v>
      </c>
      <c r="G6148" s="134" t="n">
        <f aca="false">LEN('Saisie programme'!$I$231)+SUMIFS('Vols additionnels'!$E$7:$E$66,'Vols additionnels'!$C$7:$C$66,$E6148,'Vols additionnels'!$D$7:$D$66,$F6148,'Vols additionnels'!$B$7:$B$66,$D6148)</f>
        <v>0</v>
      </c>
      <c r="H6148" s="135" t="n">
        <f aca="false">$G6148*'Analyse capacite'!$F$9</f>
        <v>0</v>
      </c>
      <c r="I6148" s="135" t="n">
        <f aca="false">$G6148*'Analyse capacite'!$C$9</f>
        <v>0</v>
      </c>
      <c r="J6148" s="135" t="n">
        <f aca="false">$G6148*'Analyse capacite'!$D$9</f>
        <v>0</v>
      </c>
      <c r="K6148" s="135" t="n">
        <f aca="false">$G6148*'Analyse capacite'!$E$9</f>
        <v>0</v>
      </c>
    </row>
    <row r="6149" customFormat="false" ht="15" hidden="false" customHeight="false" outlineLevel="0" collapsed="false">
      <c r="B6149" s="130" t="n">
        <v>2027</v>
      </c>
      <c r="C6149" s="131" t="s">
        <v>251</v>
      </c>
      <c r="D6149" s="132" t="n">
        <v>46648</v>
      </c>
      <c r="E6149" s="131" t="s">
        <v>53</v>
      </c>
      <c r="F6149" s="133" t="s">
        <v>11</v>
      </c>
      <c r="G6149" s="134" t="n">
        <f aca="false">LEN('Saisie programme'!$I$232)+SUMIFS('Vols additionnels'!$E$7:$E$66,'Vols additionnels'!$C$7:$C$66,$E6149,'Vols additionnels'!$D$7:$D$66,$F6149,'Vols additionnels'!$B$7:$B$66,$D6149)</f>
        <v>0</v>
      </c>
      <c r="H6149" s="135" t="n">
        <f aca="false">$G6149*'Analyse capacite'!$F$7</f>
        <v>0</v>
      </c>
      <c r="I6149" s="135" t="n">
        <f aca="false">$G6149*'Analyse capacite'!$C$7</f>
        <v>0</v>
      </c>
      <c r="J6149" s="135" t="n">
        <f aca="false">$G6149*'Analyse capacite'!$D$7</f>
        <v>0</v>
      </c>
      <c r="K6149" s="135" t="n">
        <f aca="false">$G6149*'Analyse capacite'!$E$7</f>
        <v>0</v>
      </c>
    </row>
    <row r="6150" customFormat="false" ht="15" hidden="false" customHeight="false" outlineLevel="0" collapsed="false">
      <c r="B6150" s="130" t="n">
        <v>2027</v>
      </c>
      <c r="C6150" s="131" t="s">
        <v>251</v>
      </c>
      <c r="D6150" s="132" t="n">
        <v>46648</v>
      </c>
      <c r="E6150" s="131" t="s">
        <v>53</v>
      </c>
      <c r="F6150" s="133" t="s">
        <v>19</v>
      </c>
      <c r="G6150" s="134" t="n">
        <f aca="false">LEN('Saisie programme'!$I$233)+SUMIFS('Vols additionnels'!$E$7:$E$66,'Vols additionnels'!$C$7:$C$66,$E6150,'Vols additionnels'!$D$7:$D$66,$F6150,'Vols additionnels'!$B$7:$B$66,$D6150)</f>
        <v>0</v>
      </c>
      <c r="H6150" s="135" t="n">
        <f aca="false">$G6150*'Analyse capacite'!$F$8</f>
        <v>0</v>
      </c>
      <c r="I6150" s="135" t="n">
        <f aca="false">$G6150*'Analyse capacite'!$C$8</f>
        <v>0</v>
      </c>
      <c r="J6150" s="135" t="n">
        <f aca="false">$G6150*'Analyse capacite'!$D$8</f>
        <v>0</v>
      </c>
      <c r="K6150" s="135" t="n">
        <f aca="false">$G6150*'Analyse capacite'!$E$8</f>
        <v>0</v>
      </c>
    </row>
    <row r="6151" customFormat="false" ht="15" hidden="false" customHeight="false" outlineLevel="0" collapsed="false">
      <c r="B6151" s="130" t="n">
        <v>2027</v>
      </c>
      <c r="C6151" s="131" t="s">
        <v>251</v>
      </c>
      <c r="D6151" s="132" t="n">
        <v>46648</v>
      </c>
      <c r="E6151" s="131" t="s">
        <v>53</v>
      </c>
      <c r="F6151" s="133" t="s">
        <v>24</v>
      </c>
      <c r="G6151" s="134" t="n">
        <f aca="false">LEN('Saisie programme'!$I$234)+SUMIFS('Vols additionnels'!$E$7:$E$66,'Vols additionnels'!$C$7:$C$66,$E6151,'Vols additionnels'!$D$7:$D$66,$F6151,'Vols additionnels'!$B$7:$B$66,$D6151)</f>
        <v>0</v>
      </c>
      <c r="H6151" s="135" t="n">
        <f aca="false">$G6151*'Analyse capacite'!$F$9</f>
        <v>0</v>
      </c>
      <c r="I6151" s="135" t="n">
        <f aca="false">$G6151*'Analyse capacite'!$C$9</f>
        <v>0</v>
      </c>
      <c r="J6151" s="135" t="n">
        <f aca="false">$G6151*'Analyse capacite'!$D$9</f>
        <v>0</v>
      </c>
      <c r="K6151" s="135" t="n">
        <f aca="false">$G6151*'Analyse capacite'!$E$9</f>
        <v>0</v>
      </c>
    </row>
    <row r="6152" customFormat="false" ht="15" hidden="false" customHeight="false" outlineLevel="0" collapsed="false">
      <c r="B6152" s="130" t="n">
        <v>2027</v>
      </c>
      <c r="C6152" s="131" t="s">
        <v>251</v>
      </c>
      <c r="D6152" s="132" t="n">
        <v>46648</v>
      </c>
      <c r="E6152" s="131" t="s">
        <v>56</v>
      </c>
      <c r="F6152" s="133" t="s">
        <v>11</v>
      </c>
      <c r="G6152" s="134" t="n">
        <f aca="false">LEN('Saisie programme'!$I$235)+SUMIFS('Vols additionnels'!$E$7:$E$66,'Vols additionnels'!$C$7:$C$66,$E6152,'Vols additionnels'!$D$7:$D$66,$F6152,'Vols additionnels'!$B$7:$B$66,$D6152)</f>
        <v>0</v>
      </c>
      <c r="H6152" s="135" t="n">
        <f aca="false">$G6152*'Analyse capacite'!$F$7</f>
        <v>0</v>
      </c>
      <c r="I6152" s="135" t="n">
        <f aca="false">$G6152*'Analyse capacite'!$C$7</f>
        <v>0</v>
      </c>
      <c r="J6152" s="135" t="n">
        <f aca="false">$G6152*'Analyse capacite'!$D$7</f>
        <v>0</v>
      </c>
      <c r="K6152" s="135" t="n">
        <f aca="false">$G6152*'Analyse capacite'!$E$7</f>
        <v>0</v>
      </c>
    </row>
    <row r="6153" customFormat="false" ht="15" hidden="false" customHeight="false" outlineLevel="0" collapsed="false">
      <c r="B6153" s="130" t="n">
        <v>2027</v>
      </c>
      <c r="C6153" s="131" t="s">
        <v>251</v>
      </c>
      <c r="D6153" s="132" t="n">
        <v>46648</v>
      </c>
      <c r="E6153" s="131" t="s">
        <v>56</v>
      </c>
      <c r="F6153" s="133" t="s">
        <v>19</v>
      </c>
      <c r="G6153" s="134" t="n">
        <f aca="false">LEN('Saisie programme'!$I$236)+SUMIFS('Vols additionnels'!$E$7:$E$66,'Vols additionnels'!$C$7:$C$66,$E6153,'Vols additionnels'!$D$7:$D$66,$F6153,'Vols additionnels'!$B$7:$B$66,$D6153)</f>
        <v>0</v>
      </c>
      <c r="H6153" s="135" t="n">
        <f aca="false">$G6153*'Analyse capacite'!$F$8</f>
        <v>0</v>
      </c>
      <c r="I6153" s="135" t="n">
        <f aca="false">$G6153*'Analyse capacite'!$C$8</f>
        <v>0</v>
      </c>
      <c r="J6153" s="135" t="n">
        <f aca="false">$G6153*'Analyse capacite'!$D$8</f>
        <v>0</v>
      </c>
      <c r="K6153" s="135" t="n">
        <f aca="false">$G6153*'Analyse capacite'!$E$8</f>
        <v>0</v>
      </c>
    </row>
    <row r="6154" customFormat="false" ht="15" hidden="false" customHeight="false" outlineLevel="0" collapsed="false">
      <c r="B6154" s="130" t="n">
        <v>2027</v>
      </c>
      <c r="C6154" s="131" t="s">
        <v>251</v>
      </c>
      <c r="D6154" s="132" t="n">
        <v>46648</v>
      </c>
      <c r="E6154" s="131" t="s">
        <v>56</v>
      </c>
      <c r="F6154" s="133" t="s">
        <v>24</v>
      </c>
      <c r="G6154" s="134" t="n">
        <f aca="false">LEN('Saisie programme'!$I$237)+SUMIFS('Vols additionnels'!$E$7:$E$66,'Vols additionnels'!$C$7:$C$66,$E6154,'Vols additionnels'!$D$7:$D$66,$F6154,'Vols additionnels'!$B$7:$B$66,$D6154)</f>
        <v>1</v>
      </c>
      <c r="H6154" s="135" t="n">
        <f aca="false">$G6154*'Analyse capacite'!$F$9</f>
        <v>174</v>
      </c>
      <c r="I6154" s="135" t="n">
        <f aca="false">$G6154*'Analyse capacite'!$C$9</f>
        <v>0</v>
      </c>
      <c r="J6154" s="135" t="n">
        <f aca="false">$G6154*'Analyse capacite'!$D$9</f>
        <v>12</v>
      </c>
      <c r="K6154" s="135" t="n">
        <f aca="false">$G6154*'Analyse capacite'!$E$9</f>
        <v>162</v>
      </c>
    </row>
    <row r="6155" customFormat="false" ht="15" hidden="false" customHeight="false" outlineLevel="0" collapsed="false">
      <c r="B6155" s="130" t="n">
        <v>2027</v>
      </c>
      <c r="C6155" s="131" t="s">
        <v>251</v>
      </c>
      <c r="D6155" s="132" t="n">
        <v>46648</v>
      </c>
      <c r="E6155" s="131" t="s">
        <v>59</v>
      </c>
      <c r="F6155" s="133" t="s">
        <v>11</v>
      </c>
      <c r="G6155" s="134" t="n">
        <f aca="false">LEN('Saisie programme'!$I$238)+SUMIFS('Vols additionnels'!$E$7:$E$66,'Vols additionnels'!$C$7:$C$66,$E6155,'Vols additionnels'!$D$7:$D$66,$F6155,'Vols additionnels'!$B$7:$B$66,$D6155)</f>
        <v>0</v>
      </c>
      <c r="H6155" s="135" t="n">
        <f aca="false">$G6155*'Analyse capacite'!$F$7</f>
        <v>0</v>
      </c>
      <c r="I6155" s="135" t="n">
        <f aca="false">$G6155*'Analyse capacite'!$C$7</f>
        <v>0</v>
      </c>
      <c r="J6155" s="135" t="n">
        <f aca="false">$G6155*'Analyse capacite'!$D$7</f>
        <v>0</v>
      </c>
      <c r="K6155" s="135" t="n">
        <f aca="false">$G6155*'Analyse capacite'!$E$7</f>
        <v>0</v>
      </c>
    </row>
    <row r="6156" customFormat="false" ht="15" hidden="false" customHeight="false" outlineLevel="0" collapsed="false">
      <c r="B6156" s="130" t="n">
        <v>2027</v>
      </c>
      <c r="C6156" s="131" t="s">
        <v>251</v>
      </c>
      <c r="D6156" s="132" t="n">
        <v>46648</v>
      </c>
      <c r="E6156" s="131" t="s">
        <v>59</v>
      </c>
      <c r="F6156" s="133" t="s">
        <v>19</v>
      </c>
      <c r="G6156" s="134" t="n">
        <f aca="false">LEN('Saisie programme'!$I$239)+SUMIFS('Vols additionnels'!$E$7:$E$66,'Vols additionnels'!$C$7:$C$66,$E6156,'Vols additionnels'!$D$7:$D$66,$F6156,'Vols additionnels'!$B$7:$B$66,$D6156)</f>
        <v>0</v>
      </c>
      <c r="H6156" s="135" t="n">
        <f aca="false">$G6156*'Analyse capacite'!$F$8</f>
        <v>0</v>
      </c>
      <c r="I6156" s="135" t="n">
        <f aca="false">$G6156*'Analyse capacite'!$C$8</f>
        <v>0</v>
      </c>
      <c r="J6156" s="135" t="n">
        <f aca="false">$G6156*'Analyse capacite'!$D$8</f>
        <v>0</v>
      </c>
      <c r="K6156" s="135" t="n">
        <f aca="false">$G6156*'Analyse capacite'!$E$8</f>
        <v>0</v>
      </c>
    </row>
    <row r="6157" customFormat="false" ht="15" hidden="false" customHeight="false" outlineLevel="0" collapsed="false">
      <c r="B6157" s="130" t="n">
        <v>2027</v>
      </c>
      <c r="C6157" s="131" t="s">
        <v>251</v>
      </c>
      <c r="D6157" s="132" t="n">
        <v>46648</v>
      </c>
      <c r="E6157" s="131" t="s">
        <v>59</v>
      </c>
      <c r="F6157" s="133" t="s">
        <v>24</v>
      </c>
      <c r="G6157" s="134" t="n">
        <f aca="false">LEN('Saisie programme'!$I$240)+SUMIFS('Vols additionnels'!$E$7:$E$66,'Vols additionnels'!$C$7:$C$66,$E6157,'Vols additionnels'!$D$7:$D$66,$F6157,'Vols additionnels'!$B$7:$B$66,$D6157)</f>
        <v>1</v>
      </c>
      <c r="H6157" s="135" t="n">
        <f aca="false">$G6157*'Analyse capacite'!$F$9</f>
        <v>174</v>
      </c>
      <c r="I6157" s="135" t="n">
        <f aca="false">$G6157*'Analyse capacite'!$C$9</f>
        <v>0</v>
      </c>
      <c r="J6157" s="135" t="n">
        <f aca="false">$G6157*'Analyse capacite'!$D$9</f>
        <v>12</v>
      </c>
      <c r="K6157" s="135" t="n">
        <f aca="false">$G6157*'Analyse capacite'!$E$9</f>
        <v>162</v>
      </c>
    </row>
    <row r="6158" customFormat="false" ht="15" hidden="false" customHeight="false" outlineLevel="0" collapsed="false">
      <c r="B6158" s="130" t="n">
        <v>2027</v>
      </c>
      <c r="C6158" s="131" t="s">
        <v>251</v>
      </c>
      <c r="D6158" s="132" t="n">
        <v>46648</v>
      </c>
      <c r="E6158" s="131" t="s">
        <v>62</v>
      </c>
      <c r="F6158" s="133" t="s">
        <v>11</v>
      </c>
      <c r="G6158" s="134" t="n">
        <f aca="false">LEN('Saisie programme'!$I$241)+SUMIFS('Vols additionnels'!$E$7:$E$66,'Vols additionnels'!$C$7:$C$66,$E6158,'Vols additionnels'!$D$7:$D$66,$F6158,'Vols additionnels'!$B$7:$B$66,$D6158)</f>
        <v>0</v>
      </c>
      <c r="H6158" s="135" t="n">
        <f aca="false">$G6158*'Analyse capacite'!$F$7</f>
        <v>0</v>
      </c>
      <c r="I6158" s="135" t="n">
        <f aca="false">$G6158*'Analyse capacite'!$C$7</f>
        <v>0</v>
      </c>
      <c r="J6158" s="135" t="n">
        <f aca="false">$G6158*'Analyse capacite'!$D$7</f>
        <v>0</v>
      </c>
      <c r="K6158" s="135" t="n">
        <f aca="false">$G6158*'Analyse capacite'!$E$7</f>
        <v>0</v>
      </c>
    </row>
    <row r="6159" customFormat="false" ht="15" hidden="false" customHeight="false" outlineLevel="0" collapsed="false">
      <c r="B6159" s="130" t="n">
        <v>2027</v>
      </c>
      <c r="C6159" s="131" t="s">
        <v>251</v>
      </c>
      <c r="D6159" s="132" t="n">
        <v>46648</v>
      </c>
      <c r="E6159" s="131" t="s">
        <v>62</v>
      </c>
      <c r="F6159" s="133" t="s">
        <v>19</v>
      </c>
      <c r="G6159" s="134" t="n">
        <f aca="false">LEN('Saisie programme'!$I$242)+SUMIFS('Vols additionnels'!$E$7:$E$66,'Vols additionnels'!$C$7:$C$66,$E6159,'Vols additionnels'!$D$7:$D$66,$F6159,'Vols additionnels'!$B$7:$B$66,$D6159)</f>
        <v>0</v>
      </c>
      <c r="H6159" s="135" t="n">
        <f aca="false">$G6159*'Analyse capacite'!$F$8</f>
        <v>0</v>
      </c>
      <c r="I6159" s="135" t="n">
        <f aca="false">$G6159*'Analyse capacite'!$C$8</f>
        <v>0</v>
      </c>
      <c r="J6159" s="135" t="n">
        <f aca="false">$G6159*'Analyse capacite'!$D$8</f>
        <v>0</v>
      </c>
      <c r="K6159" s="135" t="n">
        <f aca="false">$G6159*'Analyse capacite'!$E$8</f>
        <v>0</v>
      </c>
    </row>
    <row r="6160" customFormat="false" ht="15" hidden="false" customHeight="false" outlineLevel="0" collapsed="false">
      <c r="B6160" s="130" t="n">
        <v>2027</v>
      </c>
      <c r="C6160" s="131" t="s">
        <v>251</v>
      </c>
      <c r="D6160" s="132" t="n">
        <v>46648</v>
      </c>
      <c r="E6160" s="131" t="s">
        <v>62</v>
      </c>
      <c r="F6160" s="133" t="s">
        <v>24</v>
      </c>
      <c r="G6160" s="134" t="n">
        <f aca="false">LEN('Saisie programme'!$I$243)+SUMIFS('Vols additionnels'!$E$7:$E$66,'Vols additionnels'!$C$7:$C$66,$E6160,'Vols additionnels'!$D$7:$D$66,$F6160,'Vols additionnels'!$B$7:$B$66,$D6160)</f>
        <v>0</v>
      </c>
      <c r="H6160" s="135" t="n">
        <f aca="false">$G6160*'Analyse capacite'!$F$9</f>
        <v>0</v>
      </c>
      <c r="I6160" s="135" t="n">
        <f aca="false">$G6160*'Analyse capacite'!$C$9</f>
        <v>0</v>
      </c>
      <c r="J6160" s="135" t="n">
        <f aca="false">$G6160*'Analyse capacite'!$D$9</f>
        <v>0</v>
      </c>
      <c r="K6160" s="135" t="n">
        <f aca="false">$G6160*'Analyse capacite'!$E$9</f>
        <v>0</v>
      </c>
    </row>
    <row r="6161" customFormat="false" ht="15" hidden="false" customHeight="false" outlineLevel="0" collapsed="false">
      <c r="B6161" s="130" t="n">
        <v>2027</v>
      </c>
      <c r="C6161" s="131" t="s">
        <v>251</v>
      </c>
      <c r="D6161" s="132" t="n">
        <v>46649</v>
      </c>
      <c r="E6161" s="131" t="s">
        <v>12</v>
      </c>
      <c r="F6161" s="133" t="s">
        <v>11</v>
      </c>
      <c r="G6161" s="134" t="n">
        <f aca="false">LEN('Saisie programme'!$J$208)+SUMIFS('Vols additionnels'!$E$7:$E$66,'Vols additionnels'!$C$7:$C$66,$E6161,'Vols additionnels'!$D$7:$D$66,$F6161,'Vols additionnels'!$B$7:$B$66,$D6161)</f>
        <v>1</v>
      </c>
      <c r="H6161" s="135" t="n">
        <f aca="false">$G6161*'Analyse capacite'!$F$7</f>
        <v>438</v>
      </c>
      <c r="I6161" s="135" t="n">
        <f aca="false">$G6161*'Analyse capacite'!$C$7</f>
        <v>14</v>
      </c>
      <c r="J6161" s="135" t="n">
        <f aca="false">$G6161*'Analyse capacite'!$D$7</f>
        <v>40</v>
      </c>
      <c r="K6161" s="135" t="n">
        <f aca="false">$G6161*'Analyse capacite'!$E$7</f>
        <v>384</v>
      </c>
    </row>
    <row r="6162" customFormat="false" ht="15" hidden="false" customHeight="false" outlineLevel="0" collapsed="false">
      <c r="B6162" s="130" t="n">
        <v>2027</v>
      </c>
      <c r="C6162" s="131" t="s">
        <v>251</v>
      </c>
      <c r="D6162" s="132" t="n">
        <v>46649</v>
      </c>
      <c r="E6162" s="131" t="s">
        <v>12</v>
      </c>
      <c r="F6162" s="133" t="s">
        <v>19</v>
      </c>
      <c r="G6162" s="134" t="n">
        <f aca="false">LEN('Saisie programme'!$J$209)+SUMIFS('Vols additionnels'!$E$7:$E$66,'Vols additionnels'!$C$7:$C$66,$E6162,'Vols additionnels'!$D$7:$D$66,$F6162,'Vols additionnels'!$B$7:$B$66,$D6162)</f>
        <v>0</v>
      </c>
      <c r="H6162" s="135" t="n">
        <f aca="false">$G6162*'Analyse capacite'!$F$8</f>
        <v>0</v>
      </c>
      <c r="I6162" s="135" t="n">
        <f aca="false">$G6162*'Analyse capacite'!$C$8</f>
        <v>0</v>
      </c>
      <c r="J6162" s="135" t="n">
        <f aca="false">$G6162*'Analyse capacite'!$D$8</f>
        <v>0</v>
      </c>
      <c r="K6162" s="135" t="n">
        <f aca="false">$G6162*'Analyse capacite'!$E$8</f>
        <v>0</v>
      </c>
    </row>
    <row r="6163" customFormat="false" ht="15" hidden="false" customHeight="false" outlineLevel="0" collapsed="false">
      <c r="B6163" s="130" t="n">
        <v>2027</v>
      </c>
      <c r="C6163" s="131" t="s">
        <v>251</v>
      </c>
      <c r="D6163" s="132" t="n">
        <v>46649</v>
      </c>
      <c r="E6163" s="131" t="s">
        <v>12</v>
      </c>
      <c r="F6163" s="133" t="s">
        <v>24</v>
      </c>
      <c r="G6163" s="134" t="n">
        <f aca="false">LEN('Saisie programme'!$J$210)+SUMIFS('Vols additionnels'!$E$7:$E$66,'Vols additionnels'!$C$7:$C$66,$E6163,'Vols additionnels'!$D$7:$D$66,$F6163,'Vols additionnels'!$B$7:$B$66,$D6163)</f>
        <v>0</v>
      </c>
      <c r="H6163" s="135" t="n">
        <f aca="false">$G6163*'Analyse capacite'!$F$9</f>
        <v>0</v>
      </c>
      <c r="I6163" s="135" t="n">
        <f aca="false">$G6163*'Analyse capacite'!$C$9</f>
        <v>0</v>
      </c>
      <c r="J6163" s="135" t="n">
        <f aca="false">$G6163*'Analyse capacite'!$D$9</f>
        <v>0</v>
      </c>
      <c r="K6163" s="135" t="n">
        <f aca="false">$G6163*'Analyse capacite'!$E$9</f>
        <v>0</v>
      </c>
    </row>
    <row r="6164" customFormat="false" ht="15" hidden="false" customHeight="false" outlineLevel="0" collapsed="false">
      <c r="B6164" s="130" t="n">
        <v>2027</v>
      </c>
      <c r="C6164" s="131" t="s">
        <v>251</v>
      </c>
      <c r="D6164" s="132" t="n">
        <v>46649</v>
      </c>
      <c r="E6164" s="131" t="s">
        <v>20</v>
      </c>
      <c r="F6164" s="133" t="s">
        <v>11</v>
      </c>
      <c r="G6164" s="134" t="n">
        <f aca="false">LEN('Saisie programme'!$J$211)+SUMIFS('Vols additionnels'!$E$7:$E$66,'Vols additionnels'!$C$7:$C$66,$E6164,'Vols additionnels'!$D$7:$D$66,$F6164,'Vols additionnels'!$B$7:$B$66,$D6164)</f>
        <v>1</v>
      </c>
      <c r="H6164" s="135" t="n">
        <f aca="false">$G6164*'Analyse capacite'!$F$7</f>
        <v>438</v>
      </c>
      <c r="I6164" s="135" t="n">
        <f aca="false">$G6164*'Analyse capacite'!$C$7</f>
        <v>14</v>
      </c>
      <c r="J6164" s="135" t="n">
        <f aca="false">$G6164*'Analyse capacite'!$D$7</f>
        <v>40</v>
      </c>
      <c r="K6164" s="135" t="n">
        <f aca="false">$G6164*'Analyse capacite'!$E$7</f>
        <v>384</v>
      </c>
    </row>
    <row r="6165" customFormat="false" ht="15" hidden="false" customHeight="false" outlineLevel="0" collapsed="false">
      <c r="B6165" s="130" t="n">
        <v>2027</v>
      </c>
      <c r="C6165" s="131" t="s">
        <v>251</v>
      </c>
      <c r="D6165" s="132" t="n">
        <v>46649</v>
      </c>
      <c r="E6165" s="131" t="s">
        <v>20</v>
      </c>
      <c r="F6165" s="133" t="s">
        <v>19</v>
      </c>
      <c r="G6165" s="134" t="n">
        <f aca="false">LEN('Saisie programme'!$J$212)+SUMIFS('Vols additionnels'!$E$7:$E$66,'Vols additionnels'!$C$7:$C$66,$E6165,'Vols additionnels'!$D$7:$D$66,$F6165,'Vols additionnels'!$B$7:$B$66,$D6165)</f>
        <v>0</v>
      </c>
      <c r="H6165" s="135" t="n">
        <f aca="false">$G6165*'Analyse capacite'!$F$8</f>
        <v>0</v>
      </c>
      <c r="I6165" s="135" t="n">
        <f aca="false">$G6165*'Analyse capacite'!$C$8</f>
        <v>0</v>
      </c>
      <c r="J6165" s="135" t="n">
        <f aca="false">$G6165*'Analyse capacite'!$D$8</f>
        <v>0</v>
      </c>
      <c r="K6165" s="135" t="n">
        <f aca="false">$G6165*'Analyse capacite'!$E$8</f>
        <v>0</v>
      </c>
    </row>
    <row r="6166" customFormat="false" ht="15" hidden="false" customHeight="false" outlineLevel="0" collapsed="false">
      <c r="B6166" s="130" t="n">
        <v>2027</v>
      </c>
      <c r="C6166" s="131" t="s">
        <v>251</v>
      </c>
      <c r="D6166" s="132" t="n">
        <v>46649</v>
      </c>
      <c r="E6166" s="131" t="s">
        <v>20</v>
      </c>
      <c r="F6166" s="133" t="s">
        <v>24</v>
      </c>
      <c r="G6166" s="134" t="n">
        <f aca="false">LEN('Saisie programme'!$J$213)+SUMIFS('Vols additionnels'!$E$7:$E$66,'Vols additionnels'!$C$7:$C$66,$E6166,'Vols additionnels'!$D$7:$D$66,$F6166,'Vols additionnels'!$B$7:$B$66,$D6166)</f>
        <v>0</v>
      </c>
      <c r="H6166" s="135" t="n">
        <f aca="false">$G6166*'Analyse capacite'!$F$9</f>
        <v>0</v>
      </c>
      <c r="I6166" s="135" t="n">
        <f aca="false">$G6166*'Analyse capacite'!$C$9</f>
        <v>0</v>
      </c>
      <c r="J6166" s="135" t="n">
        <f aca="false">$G6166*'Analyse capacite'!$D$9</f>
        <v>0</v>
      </c>
      <c r="K6166" s="135" t="n">
        <f aca="false">$G6166*'Analyse capacite'!$E$9</f>
        <v>0</v>
      </c>
    </row>
    <row r="6167" customFormat="false" ht="15" hidden="false" customHeight="false" outlineLevel="0" collapsed="false">
      <c r="B6167" s="130" t="n">
        <v>2027</v>
      </c>
      <c r="C6167" s="131" t="s">
        <v>251</v>
      </c>
      <c r="D6167" s="132" t="n">
        <v>46649</v>
      </c>
      <c r="E6167" s="131" t="s">
        <v>25</v>
      </c>
      <c r="F6167" s="133" t="s">
        <v>11</v>
      </c>
      <c r="G6167" s="134" t="n">
        <f aca="false">LEN('Saisie programme'!$J$214)+SUMIFS('Vols additionnels'!$E$7:$E$66,'Vols additionnels'!$C$7:$C$66,$E6167,'Vols additionnels'!$D$7:$D$66,$F6167,'Vols additionnels'!$B$7:$B$66,$D6167)</f>
        <v>0</v>
      </c>
      <c r="H6167" s="135" t="n">
        <f aca="false">$G6167*'Analyse capacite'!$F$7</f>
        <v>0</v>
      </c>
      <c r="I6167" s="135" t="n">
        <f aca="false">$G6167*'Analyse capacite'!$C$7</f>
        <v>0</v>
      </c>
      <c r="J6167" s="135" t="n">
        <f aca="false">$G6167*'Analyse capacite'!$D$7</f>
        <v>0</v>
      </c>
      <c r="K6167" s="135" t="n">
        <f aca="false">$G6167*'Analyse capacite'!$E$7</f>
        <v>0</v>
      </c>
    </row>
    <row r="6168" customFormat="false" ht="15" hidden="false" customHeight="false" outlineLevel="0" collapsed="false">
      <c r="B6168" s="130" t="n">
        <v>2027</v>
      </c>
      <c r="C6168" s="131" t="s">
        <v>251</v>
      </c>
      <c r="D6168" s="132" t="n">
        <v>46649</v>
      </c>
      <c r="E6168" s="131" t="s">
        <v>25</v>
      </c>
      <c r="F6168" s="133" t="s">
        <v>19</v>
      </c>
      <c r="G6168" s="134" t="n">
        <f aca="false">LEN('Saisie programme'!$J$215)+SUMIFS('Vols additionnels'!$E$7:$E$66,'Vols additionnels'!$C$7:$C$66,$E6168,'Vols additionnels'!$D$7:$D$66,$F6168,'Vols additionnels'!$B$7:$B$66,$D6168)</f>
        <v>0</v>
      </c>
      <c r="H6168" s="135" t="n">
        <f aca="false">$G6168*'Analyse capacite'!$F$8</f>
        <v>0</v>
      </c>
      <c r="I6168" s="135" t="n">
        <f aca="false">$G6168*'Analyse capacite'!$C$8</f>
        <v>0</v>
      </c>
      <c r="J6168" s="135" t="n">
        <f aca="false">$G6168*'Analyse capacite'!$D$8</f>
        <v>0</v>
      </c>
      <c r="K6168" s="135" t="n">
        <f aca="false">$G6168*'Analyse capacite'!$E$8</f>
        <v>0</v>
      </c>
    </row>
    <row r="6169" customFormat="false" ht="15" hidden="false" customHeight="false" outlineLevel="0" collapsed="false">
      <c r="B6169" s="130" t="n">
        <v>2027</v>
      </c>
      <c r="C6169" s="131" t="s">
        <v>251</v>
      </c>
      <c r="D6169" s="132" t="n">
        <v>46649</v>
      </c>
      <c r="E6169" s="131" t="s">
        <v>25</v>
      </c>
      <c r="F6169" s="133" t="s">
        <v>24</v>
      </c>
      <c r="G6169" s="134" t="n">
        <f aca="false">LEN('Saisie programme'!$J$216)+SUMIFS('Vols additionnels'!$E$7:$E$66,'Vols additionnels'!$C$7:$C$66,$E6169,'Vols additionnels'!$D$7:$D$66,$F6169,'Vols additionnels'!$B$7:$B$66,$D6169)</f>
        <v>0</v>
      </c>
      <c r="H6169" s="135" t="n">
        <f aca="false">$G6169*'Analyse capacite'!$F$9</f>
        <v>0</v>
      </c>
      <c r="I6169" s="135" t="n">
        <f aca="false">$G6169*'Analyse capacite'!$C$9</f>
        <v>0</v>
      </c>
      <c r="J6169" s="135" t="n">
        <f aca="false">$G6169*'Analyse capacite'!$D$9</f>
        <v>0</v>
      </c>
      <c r="K6169" s="135" t="n">
        <f aca="false">$G6169*'Analyse capacite'!$E$9</f>
        <v>0</v>
      </c>
    </row>
    <row r="6170" customFormat="false" ht="15" hidden="false" customHeight="false" outlineLevel="0" collapsed="false">
      <c r="B6170" s="130" t="n">
        <v>2027</v>
      </c>
      <c r="C6170" s="131" t="s">
        <v>251</v>
      </c>
      <c r="D6170" s="132" t="n">
        <v>46649</v>
      </c>
      <c r="E6170" s="131" t="s">
        <v>36</v>
      </c>
      <c r="F6170" s="133" t="s">
        <v>11</v>
      </c>
      <c r="G6170" s="134" t="n">
        <f aca="false">LEN('Saisie programme'!$J$217)+SUMIFS('Vols additionnels'!$E$7:$E$66,'Vols additionnels'!$C$7:$C$66,$E6170,'Vols additionnels'!$D$7:$D$66,$F6170,'Vols additionnels'!$B$7:$B$66,$D6170)</f>
        <v>0</v>
      </c>
      <c r="H6170" s="135" t="n">
        <f aca="false">$G6170*'Analyse capacite'!$F$7</f>
        <v>0</v>
      </c>
      <c r="I6170" s="135" t="n">
        <f aca="false">$G6170*'Analyse capacite'!$C$7</f>
        <v>0</v>
      </c>
      <c r="J6170" s="135" t="n">
        <f aca="false">$G6170*'Analyse capacite'!$D$7</f>
        <v>0</v>
      </c>
      <c r="K6170" s="135" t="n">
        <f aca="false">$G6170*'Analyse capacite'!$E$7</f>
        <v>0</v>
      </c>
    </row>
    <row r="6171" customFormat="false" ht="15" hidden="false" customHeight="false" outlineLevel="0" collapsed="false">
      <c r="B6171" s="130" t="n">
        <v>2027</v>
      </c>
      <c r="C6171" s="131" t="s">
        <v>251</v>
      </c>
      <c r="D6171" s="132" t="n">
        <v>46649</v>
      </c>
      <c r="E6171" s="131" t="s">
        <v>36</v>
      </c>
      <c r="F6171" s="133" t="s">
        <v>19</v>
      </c>
      <c r="G6171" s="134" t="n">
        <f aca="false">LEN('Saisie programme'!$J$218)+SUMIFS('Vols additionnels'!$E$7:$E$66,'Vols additionnels'!$C$7:$C$66,$E6171,'Vols additionnels'!$D$7:$D$66,$F6171,'Vols additionnels'!$B$7:$B$66,$D6171)</f>
        <v>0</v>
      </c>
      <c r="H6171" s="135" t="n">
        <f aca="false">$G6171*'Analyse capacite'!$F$8</f>
        <v>0</v>
      </c>
      <c r="I6171" s="135" t="n">
        <f aca="false">$G6171*'Analyse capacite'!$C$8</f>
        <v>0</v>
      </c>
      <c r="J6171" s="135" t="n">
        <f aca="false">$G6171*'Analyse capacite'!$D$8</f>
        <v>0</v>
      </c>
      <c r="K6171" s="135" t="n">
        <f aca="false">$G6171*'Analyse capacite'!$E$8</f>
        <v>0</v>
      </c>
    </row>
    <row r="6172" customFormat="false" ht="15" hidden="false" customHeight="false" outlineLevel="0" collapsed="false">
      <c r="B6172" s="130" t="n">
        <v>2027</v>
      </c>
      <c r="C6172" s="131" t="s">
        <v>251</v>
      </c>
      <c r="D6172" s="132" t="n">
        <v>46649</v>
      </c>
      <c r="E6172" s="131" t="s">
        <v>36</v>
      </c>
      <c r="F6172" s="133" t="s">
        <v>24</v>
      </c>
      <c r="G6172" s="134" t="n">
        <f aca="false">LEN('Saisie programme'!$J$219)+SUMIFS('Vols additionnels'!$E$7:$E$66,'Vols additionnels'!$C$7:$C$66,$E6172,'Vols additionnels'!$D$7:$D$66,$F6172,'Vols additionnels'!$B$7:$B$66,$D6172)</f>
        <v>0</v>
      </c>
      <c r="H6172" s="135" t="n">
        <f aca="false">$G6172*'Analyse capacite'!$F$9</f>
        <v>0</v>
      </c>
      <c r="I6172" s="135" t="n">
        <f aca="false">$G6172*'Analyse capacite'!$C$9</f>
        <v>0</v>
      </c>
      <c r="J6172" s="135" t="n">
        <f aca="false">$G6172*'Analyse capacite'!$D$9</f>
        <v>0</v>
      </c>
      <c r="K6172" s="135" t="n">
        <f aca="false">$G6172*'Analyse capacite'!$E$9</f>
        <v>0</v>
      </c>
    </row>
    <row r="6173" customFormat="false" ht="15" hidden="false" customHeight="false" outlineLevel="0" collapsed="false">
      <c r="B6173" s="130" t="n">
        <v>2027</v>
      </c>
      <c r="C6173" s="131" t="s">
        <v>251</v>
      </c>
      <c r="D6173" s="132" t="n">
        <v>46649</v>
      </c>
      <c r="E6173" s="131" t="s">
        <v>40</v>
      </c>
      <c r="F6173" s="133" t="s">
        <v>11</v>
      </c>
      <c r="G6173" s="134" t="n">
        <f aca="false">LEN('Saisie programme'!$J$220)+SUMIFS('Vols additionnels'!$E$7:$E$66,'Vols additionnels'!$C$7:$C$66,$E6173,'Vols additionnels'!$D$7:$D$66,$F6173,'Vols additionnels'!$B$7:$B$66,$D6173)</f>
        <v>0</v>
      </c>
      <c r="H6173" s="135" t="n">
        <f aca="false">$G6173*'Analyse capacite'!$F$7</f>
        <v>0</v>
      </c>
      <c r="I6173" s="135" t="n">
        <f aca="false">$G6173*'Analyse capacite'!$C$7</f>
        <v>0</v>
      </c>
      <c r="J6173" s="135" t="n">
        <f aca="false">$G6173*'Analyse capacite'!$D$7</f>
        <v>0</v>
      </c>
      <c r="K6173" s="135" t="n">
        <f aca="false">$G6173*'Analyse capacite'!$E$7</f>
        <v>0</v>
      </c>
    </row>
    <row r="6174" customFormat="false" ht="15" hidden="false" customHeight="false" outlineLevel="0" collapsed="false">
      <c r="B6174" s="130" t="n">
        <v>2027</v>
      </c>
      <c r="C6174" s="131" t="s">
        <v>251</v>
      </c>
      <c r="D6174" s="132" t="n">
        <v>46649</v>
      </c>
      <c r="E6174" s="131" t="s">
        <v>40</v>
      </c>
      <c r="F6174" s="133" t="s">
        <v>19</v>
      </c>
      <c r="G6174" s="134" t="n">
        <f aca="false">LEN('Saisie programme'!$J$221)+SUMIFS('Vols additionnels'!$E$7:$E$66,'Vols additionnels'!$C$7:$C$66,$E6174,'Vols additionnels'!$D$7:$D$66,$F6174,'Vols additionnels'!$B$7:$B$66,$D6174)</f>
        <v>0</v>
      </c>
      <c r="H6174" s="135" t="n">
        <f aca="false">$G6174*'Analyse capacite'!$F$8</f>
        <v>0</v>
      </c>
      <c r="I6174" s="135" t="n">
        <f aca="false">$G6174*'Analyse capacite'!$C$8</f>
        <v>0</v>
      </c>
      <c r="J6174" s="135" t="n">
        <f aca="false">$G6174*'Analyse capacite'!$D$8</f>
        <v>0</v>
      </c>
      <c r="K6174" s="135" t="n">
        <f aca="false">$G6174*'Analyse capacite'!$E$8</f>
        <v>0</v>
      </c>
    </row>
    <row r="6175" customFormat="false" ht="15" hidden="false" customHeight="false" outlineLevel="0" collapsed="false">
      <c r="B6175" s="130" t="n">
        <v>2027</v>
      </c>
      <c r="C6175" s="131" t="s">
        <v>251</v>
      </c>
      <c r="D6175" s="132" t="n">
        <v>46649</v>
      </c>
      <c r="E6175" s="131" t="s">
        <v>40</v>
      </c>
      <c r="F6175" s="133" t="s">
        <v>24</v>
      </c>
      <c r="G6175" s="134" t="n">
        <f aca="false">LEN('Saisie programme'!$J$222)+SUMIFS('Vols additionnels'!$E$7:$E$66,'Vols additionnels'!$C$7:$C$66,$E6175,'Vols additionnels'!$D$7:$D$66,$F6175,'Vols additionnels'!$B$7:$B$66,$D6175)</f>
        <v>1</v>
      </c>
      <c r="H6175" s="135" t="n">
        <f aca="false">$G6175*'Analyse capacite'!$F$9</f>
        <v>174</v>
      </c>
      <c r="I6175" s="135" t="n">
        <f aca="false">$G6175*'Analyse capacite'!$C$9</f>
        <v>0</v>
      </c>
      <c r="J6175" s="135" t="n">
        <f aca="false">$G6175*'Analyse capacite'!$D$9</f>
        <v>12</v>
      </c>
      <c r="K6175" s="135" t="n">
        <f aca="false">$G6175*'Analyse capacite'!$E$9</f>
        <v>162</v>
      </c>
    </row>
    <row r="6176" customFormat="false" ht="15" hidden="false" customHeight="false" outlineLevel="0" collapsed="false">
      <c r="B6176" s="130" t="n">
        <v>2027</v>
      </c>
      <c r="C6176" s="131" t="s">
        <v>251</v>
      </c>
      <c r="D6176" s="132" t="n">
        <v>46649</v>
      </c>
      <c r="E6176" s="131" t="s">
        <v>14</v>
      </c>
      <c r="F6176" s="133" t="s">
        <v>11</v>
      </c>
      <c r="G6176" s="134" t="n">
        <f aca="false">LEN('Saisie programme'!$J$223)+SUMIFS('Vols additionnels'!$E$7:$E$66,'Vols additionnels'!$C$7:$C$66,$E6176,'Vols additionnels'!$D$7:$D$66,$F6176,'Vols additionnels'!$B$7:$B$66,$D6176)</f>
        <v>0</v>
      </c>
      <c r="H6176" s="135" t="n">
        <f aca="false">$G6176*'Analyse capacite'!$F$7</f>
        <v>0</v>
      </c>
      <c r="I6176" s="135" t="n">
        <f aca="false">$G6176*'Analyse capacite'!$C$7</f>
        <v>0</v>
      </c>
      <c r="J6176" s="135" t="n">
        <f aca="false">$G6176*'Analyse capacite'!$D$7</f>
        <v>0</v>
      </c>
      <c r="K6176" s="135" t="n">
        <f aca="false">$G6176*'Analyse capacite'!$E$7</f>
        <v>0</v>
      </c>
    </row>
    <row r="6177" customFormat="false" ht="15" hidden="false" customHeight="false" outlineLevel="0" collapsed="false">
      <c r="B6177" s="130" t="n">
        <v>2027</v>
      </c>
      <c r="C6177" s="131" t="s">
        <v>251</v>
      </c>
      <c r="D6177" s="132" t="n">
        <v>46649</v>
      </c>
      <c r="E6177" s="131" t="s">
        <v>14</v>
      </c>
      <c r="F6177" s="133" t="s">
        <v>19</v>
      </c>
      <c r="G6177" s="134" t="n">
        <f aca="false">LEN('Saisie programme'!$J$224)+SUMIFS('Vols additionnels'!$E$7:$E$66,'Vols additionnels'!$C$7:$C$66,$E6177,'Vols additionnels'!$D$7:$D$66,$F6177,'Vols additionnels'!$B$7:$B$66,$D6177)</f>
        <v>0</v>
      </c>
      <c r="H6177" s="135" t="n">
        <f aca="false">$G6177*'Analyse capacite'!$F$8</f>
        <v>0</v>
      </c>
      <c r="I6177" s="135" t="n">
        <f aca="false">$G6177*'Analyse capacite'!$C$8</f>
        <v>0</v>
      </c>
      <c r="J6177" s="135" t="n">
        <f aca="false">$G6177*'Analyse capacite'!$D$8</f>
        <v>0</v>
      </c>
      <c r="K6177" s="135" t="n">
        <f aca="false">$G6177*'Analyse capacite'!$E$8</f>
        <v>0</v>
      </c>
    </row>
    <row r="6178" customFormat="false" ht="15" hidden="false" customHeight="false" outlineLevel="0" collapsed="false">
      <c r="B6178" s="130" t="n">
        <v>2027</v>
      </c>
      <c r="C6178" s="131" t="s">
        <v>251</v>
      </c>
      <c r="D6178" s="132" t="n">
        <v>46649</v>
      </c>
      <c r="E6178" s="131" t="s">
        <v>14</v>
      </c>
      <c r="F6178" s="133" t="s">
        <v>24</v>
      </c>
      <c r="G6178" s="134" t="n">
        <f aca="false">LEN('Saisie programme'!$J$225)+SUMIFS('Vols additionnels'!$E$7:$E$66,'Vols additionnels'!$C$7:$C$66,$E6178,'Vols additionnels'!$D$7:$D$66,$F6178,'Vols additionnels'!$B$7:$B$66,$D6178)</f>
        <v>0</v>
      </c>
      <c r="H6178" s="135" t="n">
        <f aca="false">$G6178*'Analyse capacite'!$F$9</f>
        <v>0</v>
      </c>
      <c r="I6178" s="135" t="n">
        <f aca="false">$G6178*'Analyse capacite'!$C$9</f>
        <v>0</v>
      </c>
      <c r="J6178" s="135" t="n">
        <f aca="false">$G6178*'Analyse capacite'!$D$9</f>
        <v>0</v>
      </c>
      <c r="K6178" s="135" t="n">
        <f aca="false">$G6178*'Analyse capacite'!$E$9</f>
        <v>0</v>
      </c>
    </row>
    <row r="6179" customFormat="false" ht="15" hidden="false" customHeight="false" outlineLevel="0" collapsed="false">
      <c r="B6179" s="130" t="n">
        <v>2027</v>
      </c>
      <c r="C6179" s="131" t="s">
        <v>251</v>
      </c>
      <c r="D6179" s="132" t="n">
        <v>46649</v>
      </c>
      <c r="E6179" s="131" t="s">
        <v>46</v>
      </c>
      <c r="F6179" s="133" t="s">
        <v>11</v>
      </c>
      <c r="G6179" s="134" t="n">
        <f aca="false">LEN('Saisie programme'!$J$226)+SUMIFS('Vols additionnels'!$E$7:$E$66,'Vols additionnels'!$C$7:$C$66,$E6179,'Vols additionnels'!$D$7:$D$66,$F6179,'Vols additionnels'!$B$7:$B$66,$D6179)</f>
        <v>0</v>
      </c>
      <c r="H6179" s="135" t="n">
        <f aca="false">$G6179*'Analyse capacite'!$F$7</f>
        <v>0</v>
      </c>
      <c r="I6179" s="135" t="n">
        <f aca="false">$G6179*'Analyse capacite'!$C$7</f>
        <v>0</v>
      </c>
      <c r="J6179" s="135" t="n">
        <f aca="false">$G6179*'Analyse capacite'!$D$7</f>
        <v>0</v>
      </c>
      <c r="K6179" s="135" t="n">
        <f aca="false">$G6179*'Analyse capacite'!$E$7</f>
        <v>0</v>
      </c>
    </row>
    <row r="6180" customFormat="false" ht="15" hidden="false" customHeight="false" outlineLevel="0" collapsed="false">
      <c r="B6180" s="130" t="n">
        <v>2027</v>
      </c>
      <c r="C6180" s="131" t="s">
        <v>251</v>
      </c>
      <c r="D6180" s="132" t="n">
        <v>46649</v>
      </c>
      <c r="E6180" s="131" t="s">
        <v>46</v>
      </c>
      <c r="F6180" s="133" t="s">
        <v>19</v>
      </c>
      <c r="G6180" s="134" t="n">
        <f aca="false">LEN('Saisie programme'!$J$227)+SUMIFS('Vols additionnels'!$E$7:$E$66,'Vols additionnels'!$C$7:$C$66,$E6180,'Vols additionnels'!$D$7:$D$66,$F6180,'Vols additionnels'!$B$7:$B$66,$D6180)</f>
        <v>0</v>
      </c>
      <c r="H6180" s="135" t="n">
        <f aca="false">$G6180*'Analyse capacite'!$F$8</f>
        <v>0</v>
      </c>
      <c r="I6180" s="135" t="n">
        <f aca="false">$G6180*'Analyse capacite'!$C$8</f>
        <v>0</v>
      </c>
      <c r="J6180" s="135" t="n">
        <f aca="false">$G6180*'Analyse capacite'!$D$8</f>
        <v>0</v>
      </c>
      <c r="K6180" s="135" t="n">
        <f aca="false">$G6180*'Analyse capacite'!$E$8</f>
        <v>0</v>
      </c>
    </row>
    <row r="6181" customFormat="false" ht="15" hidden="false" customHeight="false" outlineLevel="0" collapsed="false">
      <c r="B6181" s="130" t="n">
        <v>2027</v>
      </c>
      <c r="C6181" s="131" t="s">
        <v>251</v>
      </c>
      <c r="D6181" s="132" t="n">
        <v>46649</v>
      </c>
      <c r="E6181" s="131" t="s">
        <v>46</v>
      </c>
      <c r="F6181" s="133" t="s">
        <v>24</v>
      </c>
      <c r="G6181" s="134" t="n">
        <f aca="false">LEN('Saisie programme'!$J$228)+SUMIFS('Vols additionnels'!$E$7:$E$66,'Vols additionnels'!$C$7:$C$66,$E6181,'Vols additionnels'!$D$7:$D$66,$F6181,'Vols additionnels'!$B$7:$B$66,$D6181)</f>
        <v>0</v>
      </c>
      <c r="H6181" s="135" t="n">
        <f aca="false">$G6181*'Analyse capacite'!$F$9</f>
        <v>0</v>
      </c>
      <c r="I6181" s="135" t="n">
        <f aca="false">$G6181*'Analyse capacite'!$C$9</f>
        <v>0</v>
      </c>
      <c r="J6181" s="135" t="n">
        <f aca="false">$G6181*'Analyse capacite'!$D$9</f>
        <v>0</v>
      </c>
      <c r="K6181" s="135" t="n">
        <f aca="false">$G6181*'Analyse capacite'!$E$9</f>
        <v>0</v>
      </c>
    </row>
    <row r="6182" customFormat="false" ht="15" hidden="false" customHeight="false" outlineLevel="0" collapsed="false">
      <c r="B6182" s="130" t="n">
        <v>2027</v>
      </c>
      <c r="C6182" s="131" t="s">
        <v>251</v>
      </c>
      <c r="D6182" s="132" t="n">
        <v>46649</v>
      </c>
      <c r="E6182" s="131" t="s">
        <v>49</v>
      </c>
      <c r="F6182" s="133" t="s">
        <v>11</v>
      </c>
      <c r="G6182" s="134" t="n">
        <f aca="false">LEN('Saisie programme'!$J$229)+SUMIFS('Vols additionnels'!$E$7:$E$66,'Vols additionnels'!$C$7:$C$66,$E6182,'Vols additionnels'!$D$7:$D$66,$F6182,'Vols additionnels'!$B$7:$B$66,$D6182)</f>
        <v>0</v>
      </c>
      <c r="H6182" s="135" t="n">
        <f aca="false">$G6182*'Analyse capacite'!$F$7</f>
        <v>0</v>
      </c>
      <c r="I6182" s="135" t="n">
        <f aca="false">$G6182*'Analyse capacite'!$C$7</f>
        <v>0</v>
      </c>
      <c r="J6182" s="135" t="n">
        <f aca="false">$G6182*'Analyse capacite'!$D$7</f>
        <v>0</v>
      </c>
      <c r="K6182" s="135" t="n">
        <f aca="false">$G6182*'Analyse capacite'!$E$7</f>
        <v>0</v>
      </c>
    </row>
    <row r="6183" customFormat="false" ht="15" hidden="false" customHeight="false" outlineLevel="0" collapsed="false">
      <c r="B6183" s="130" t="n">
        <v>2027</v>
      </c>
      <c r="C6183" s="131" t="s">
        <v>251</v>
      </c>
      <c r="D6183" s="132" t="n">
        <v>46649</v>
      </c>
      <c r="E6183" s="131" t="s">
        <v>49</v>
      </c>
      <c r="F6183" s="133" t="s">
        <v>19</v>
      </c>
      <c r="G6183" s="134" t="n">
        <f aca="false">LEN('Saisie programme'!$J$230)+SUMIFS('Vols additionnels'!$E$7:$E$66,'Vols additionnels'!$C$7:$C$66,$E6183,'Vols additionnels'!$D$7:$D$66,$F6183,'Vols additionnels'!$B$7:$B$66,$D6183)</f>
        <v>0</v>
      </c>
      <c r="H6183" s="135" t="n">
        <f aca="false">$G6183*'Analyse capacite'!$F$8</f>
        <v>0</v>
      </c>
      <c r="I6183" s="135" t="n">
        <f aca="false">$G6183*'Analyse capacite'!$C$8</f>
        <v>0</v>
      </c>
      <c r="J6183" s="135" t="n">
        <f aca="false">$G6183*'Analyse capacite'!$D$8</f>
        <v>0</v>
      </c>
      <c r="K6183" s="135" t="n">
        <f aca="false">$G6183*'Analyse capacite'!$E$8</f>
        <v>0</v>
      </c>
    </row>
    <row r="6184" customFormat="false" ht="15" hidden="false" customHeight="false" outlineLevel="0" collapsed="false">
      <c r="B6184" s="130" t="n">
        <v>2027</v>
      </c>
      <c r="C6184" s="131" t="s">
        <v>251</v>
      </c>
      <c r="D6184" s="132" t="n">
        <v>46649</v>
      </c>
      <c r="E6184" s="131" t="s">
        <v>49</v>
      </c>
      <c r="F6184" s="133" t="s">
        <v>24</v>
      </c>
      <c r="G6184" s="134" t="n">
        <f aca="false">LEN('Saisie programme'!$J$231)+SUMIFS('Vols additionnels'!$E$7:$E$66,'Vols additionnels'!$C$7:$C$66,$E6184,'Vols additionnels'!$D$7:$D$66,$F6184,'Vols additionnels'!$B$7:$B$66,$D6184)</f>
        <v>0</v>
      </c>
      <c r="H6184" s="135" t="n">
        <f aca="false">$G6184*'Analyse capacite'!$F$9</f>
        <v>0</v>
      </c>
      <c r="I6184" s="135" t="n">
        <f aca="false">$G6184*'Analyse capacite'!$C$9</f>
        <v>0</v>
      </c>
      <c r="J6184" s="135" t="n">
        <f aca="false">$G6184*'Analyse capacite'!$D$9</f>
        <v>0</v>
      </c>
      <c r="K6184" s="135" t="n">
        <f aca="false">$G6184*'Analyse capacite'!$E$9</f>
        <v>0</v>
      </c>
    </row>
    <row r="6185" customFormat="false" ht="15" hidden="false" customHeight="false" outlineLevel="0" collapsed="false">
      <c r="B6185" s="130" t="n">
        <v>2027</v>
      </c>
      <c r="C6185" s="131" t="s">
        <v>251</v>
      </c>
      <c r="D6185" s="132" t="n">
        <v>46649</v>
      </c>
      <c r="E6185" s="131" t="s">
        <v>53</v>
      </c>
      <c r="F6185" s="133" t="s">
        <v>11</v>
      </c>
      <c r="G6185" s="134" t="n">
        <f aca="false">LEN('Saisie programme'!$J$232)+SUMIFS('Vols additionnels'!$E$7:$E$66,'Vols additionnels'!$C$7:$C$66,$E6185,'Vols additionnels'!$D$7:$D$66,$F6185,'Vols additionnels'!$B$7:$B$66,$D6185)</f>
        <v>0</v>
      </c>
      <c r="H6185" s="135" t="n">
        <f aca="false">$G6185*'Analyse capacite'!$F$7</f>
        <v>0</v>
      </c>
      <c r="I6185" s="135" t="n">
        <f aca="false">$G6185*'Analyse capacite'!$C$7</f>
        <v>0</v>
      </c>
      <c r="J6185" s="135" t="n">
        <f aca="false">$G6185*'Analyse capacite'!$D$7</f>
        <v>0</v>
      </c>
      <c r="K6185" s="135" t="n">
        <f aca="false">$G6185*'Analyse capacite'!$E$7</f>
        <v>0</v>
      </c>
    </row>
    <row r="6186" customFormat="false" ht="15" hidden="false" customHeight="false" outlineLevel="0" collapsed="false">
      <c r="B6186" s="130" t="n">
        <v>2027</v>
      </c>
      <c r="C6186" s="131" t="s">
        <v>251</v>
      </c>
      <c r="D6186" s="132" t="n">
        <v>46649</v>
      </c>
      <c r="E6186" s="131" t="s">
        <v>53</v>
      </c>
      <c r="F6186" s="133" t="s">
        <v>19</v>
      </c>
      <c r="G6186" s="134" t="n">
        <f aca="false">LEN('Saisie programme'!$J$233)+SUMIFS('Vols additionnels'!$E$7:$E$66,'Vols additionnels'!$C$7:$C$66,$E6186,'Vols additionnels'!$D$7:$D$66,$F6186,'Vols additionnels'!$B$7:$B$66,$D6186)</f>
        <v>0</v>
      </c>
      <c r="H6186" s="135" t="n">
        <f aca="false">$G6186*'Analyse capacite'!$F$8</f>
        <v>0</v>
      </c>
      <c r="I6186" s="135" t="n">
        <f aca="false">$G6186*'Analyse capacite'!$C$8</f>
        <v>0</v>
      </c>
      <c r="J6186" s="135" t="n">
        <f aca="false">$G6186*'Analyse capacite'!$D$8</f>
        <v>0</v>
      </c>
      <c r="K6186" s="135" t="n">
        <f aca="false">$G6186*'Analyse capacite'!$E$8</f>
        <v>0</v>
      </c>
    </row>
    <row r="6187" customFormat="false" ht="15" hidden="false" customHeight="false" outlineLevel="0" collapsed="false">
      <c r="B6187" s="130" t="n">
        <v>2027</v>
      </c>
      <c r="C6187" s="131" t="s">
        <v>251</v>
      </c>
      <c r="D6187" s="132" t="n">
        <v>46649</v>
      </c>
      <c r="E6187" s="131" t="s">
        <v>53</v>
      </c>
      <c r="F6187" s="133" t="s">
        <v>24</v>
      </c>
      <c r="G6187" s="134" t="n">
        <f aca="false">LEN('Saisie programme'!$J$234)+SUMIFS('Vols additionnels'!$E$7:$E$66,'Vols additionnels'!$C$7:$C$66,$E6187,'Vols additionnels'!$D$7:$D$66,$F6187,'Vols additionnels'!$B$7:$B$66,$D6187)</f>
        <v>0</v>
      </c>
      <c r="H6187" s="135" t="n">
        <f aca="false">$G6187*'Analyse capacite'!$F$9</f>
        <v>0</v>
      </c>
      <c r="I6187" s="135" t="n">
        <f aca="false">$G6187*'Analyse capacite'!$C$9</f>
        <v>0</v>
      </c>
      <c r="J6187" s="135" t="n">
        <f aca="false">$G6187*'Analyse capacite'!$D$9</f>
        <v>0</v>
      </c>
      <c r="K6187" s="135" t="n">
        <f aca="false">$G6187*'Analyse capacite'!$E$9</f>
        <v>0</v>
      </c>
    </row>
    <row r="6188" customFormat="false" ht="15" hidden="false" customHeight="false" outlineLevel="0" collapsed="false">
      <c r="B6188" s="130" t="n">
        <v>2027</v>
      </c>
      <c r="C6188" s="131" t="s">
        <v>251</v>
      </c>
      <c r="D6188" s="132" t="n">
        <v>46649</v>
      </c>
      <c r="E6188" s="131" t="s">
        <v>56</v>
      </c>
      <c r="F6188" s="133" t="s">
        <v>11</v>
      </c>
      <c r="G6188" s="134" t="n">
        <f aca="false">LEN('Saisie programme'!$J$235)+SUMIFS('Vols additionnels'!$E$7:$E$66,'Vols additionnels'!$C$7:$C$66,$E6188,'Vols additionnels'!$D$7:$D$66,$F6188,'Vols additionnels'!$B$7:$B$66,$D6188)</f>
        <v>0</v>
      </c>
      <c r="H6188" s="135" t="n">
        <f aca="false">$G6188*'Analyse capacite'!$F$7</f>
        <v>0</v>
      </c>
      <c r="I6188" s="135" t="n">
        <f aca="false">$G6188*'Analyse capacite'!$C$7</f>
        <v>0</v>
      </c>
      <c r="J6188" s="135" t="n">
        <f aca="false">$G6188*'Analyse capacite'!$D$7</f>
        <v>0</v>
      </c>
      <c r="K6188" s="135" t="n">
        <f aca="false">$G6188*'Analyse capacite'!$E$7</f>
        <v>0</v>
      </c>
    </row>
    <row r="6189" customFormat="false" ht="15" hidden="false" customHeight="false" outlineLevel="0" collapsed="false">
      <c r="B6189" s="130" t="n">
        <v>2027</v>
      </c>
      <c r="C6189" s="131" t="s">
        <v>251</v>
      </c>
      <c r="D6189" s="132" t="n">
        <v>46649</v>
      </c>
      <c r="E6189" s="131" t="s">
        <v>56</v>
      </c>
      <c r="F6189" s="133" t="s">
        <v>19</v>
      </c>
      <c r="G6189" s="134" t="n">
        <f aca="false">LEN('Saisie programme'!$J$236)+SUMIFS('Vols additionnels'!$E$7:$E$66,'Vols additionnels'!$C$7:$C$66,$E6189,'Vols additionnels'!$D$7:$D$66,$F6189,'Vols additionnels'!$B$7:$B$66,$D6189)</f>
        <v>0</v>
      </c>
      <c r="H6189" s="135" t="n">
        <f aca="false">$G6189*'Analyse capacite'!$F$8</f>
        <v>0</v>
      </c>
      <c r="I6189" s="135" t="n">
        <f aca="false">$G6189*'Analyse capacite'!$C$8</f>
        <v>0</v>
      </c>
      <c r="J6189" s="135" t="n">
        <f aca="false">$G6189*'Analyse capacite'!$D$8</f>
        <v>0</v>
      </c>
      <c r="K6189" s="135" t="n">
        <f aca="false">$G6189*'Analyse capacite'!$E$8</f>
        <v>0</v>
      </c>
    </row>
    <row r="6190" customFormat="false" ht="15" hidden="false" customHeight="false" outlineLevel="0" collapsed="false">
      <c r="B6190" s="130" t="n">
        <v>2027</v>
      </c>
      <c r="C6190" s="131" t="s">
        <v>251</v>
      </c>
      <c r="D6190" s="132" t="n">
        <v>46649</v>
      </c>
      <c r="E6190" s="131" t="s">
        <v>56</v>
      </c>
      <c r="F6190" s="133" t="s">
        <v>24</v>
      </c>
      <c r="G6190" s="134" t="n">
        <f aca="false">LEN('Saisie programme'!$J$237)+SUMIFS('Vols additionnels'!$E$7:$E$66,'Vols additionnels'!$C$7:$C$66,$E6190,'Vols additionnels'!$D$7:$D$66,$F6190,'Vols additionnels'!$B$7:$B$66,$D6190)</f>
        <v>0</v>
      </c>
      <c r="H6190" s="135" t="n">
        <f aca="false">$G6190*'Analyse capacite'!$F$9</f>
        <v>0</v>
      </c>
      <c r="I6190" s="135" t="n">
        <f aca="false">$G6190*'Analyse capacite'!$C$9</f>
        <v>0</v>
      </c>
      <c r="J6190" s="135" t="n">
        <f aca="false">$G6190*'Analyse capacite'!$D$9</f>
        <v>0</v>
      </c>
      <c r="K6190" s="135" t="n">
        <f aca="false">$G6190*'Analyse capacite'!$E$9</f>
        <v>0</v>
      </c>
    </row>
    <row r="6191" customFormat="false" ht="15" hidden="false" customHeight="false" outlineLevel="0" collapsed="false">
      <c r="B6191" s="130" t="n">
        <v>2027</v>
      </c>
      <c r="C6191" s="131" t="s">
        <v>251</v>
      </c>
      <c r="D6191" s="132" t="n">
        <v>46649</v>
      </c>
      <c r="E6191" s="131" t="s">
        <v>59</v>
      </c>
      <c r="F6191" s="133" t="s">
        <v>11</v>
      </c>
      <c r="G6191" s="134" t="n">
        <f aca="false">LEN('Saisie programme'!$J$238)+SUMIFS('Vols additionnels'!$E$7:$E$66,'Vols additionnels'!$C$7:$C$66,$E6191,'Vols additionnels'!$D$7:$D$66,$F6191,'Vols additionnels'!$B$7:$B$66,$D6191)</f>
        <v>0</v>
      </c>
      <c r="H6191" s="135" t="n">
        <f aca="false">$G6191*'Analyse capacite'!$F$7</f>
        <v>0</v>
      </c>
      <c r="I6191" s="135" t="n">
        <f aca="false">$G6191*'Analyse capacite'!$C$7</f>
        <v>0</v>
      </c>
      <c r="J6191" s="135" t="n">
        <f aca="false">$G6191*'Analyse capacite'!$D$7</f>
        <v>0</v>
      </c>
      <c r="K6191" s="135" t="n">
        <f aca="false">$G6191*'Analyse capacite'!$E$7</f>
        <v>0</v>
      </c>
    </row>
    <row r="6192" customFormat="false" ht="15" hidden="false" customHeight="false" outlineLevel="0" collapsed="false">
      <c r="B6192" s="130" t="n">
        <v>2027</v>
      </c>
      <c r="C6192" s="131" t="s">
        <v>251</v>
      </c>
      <c r="D6192" s="132" t="n">
        <v>46649</v>
      </c>
      <c r="E6192" s="131" t="s">
        <v>59</v>
      </c>
      <c r="F6192" s="133" t="s">
        <v>19</v>
      </c>
      <c r="G6192" s="134" t="n">
        <f aca="false">LEN('Saisie programme'!$J$239)+SUMIFS('Vols additionnels'!$E$7:$E$66,'Vols additionnels'!$C$7:$C$66,$E6192,'Vols additionnels'!$D$7:$D$66,$F6192,'Vols additionnels'!$B$7:$B$66,$D6192)</f>
        <v>0</v>
      </c>
      <c r="H6192" s="135" t="n">
        <f aca="false">$G6192*'Analyse capacite'!$F$8</f>
        <v>0</v>
      </c>
      <c r="I6192" s="135" t="n">
        <f aca="false">$G6192*'Analyse capacite'!$C$8</f>
        <v>0</v>
      </c>
      <c r="J6192" s="135" t="n">
        <f aca="false">$G6192*'Analyse capacite'!$D$8</f>
        <v>0</v>
      </c>
      <c r="K6192" s="135" t="n">
        <f aca="false">$G6192*'Analyse capacite'!$E$8</f>
        <v>0</v>
      </c>
    </row>
    <row r="6193" customFormat="false" ht="15" hidden="false" customHeight="false" outlineLevel="0" collapsed="false">
      <c r="B6193" s="130" t="n">
        <v>2027</v>
      </c>
      <c r="C6193" s="131" t="s">
        <v>251</v>
      </c>
      <c r="D6193" s="132" t="n">
        <v>46649</v>
      </c>
      <c r="E6193" s="131" t="s">
        <v>59</v>
      </c>
      <c r="F6193" s="133" t="s">
        <v>24</v>
      </c>
      <c r="G6193" s="134" t="n">
        <f aca="false">LEN('Saisie programme'!$J$240)+SUMIFS('Vols additionnels'!$E$7:$E$66,'Vols additionnels'!$C$7:$C$66,$E6193,'Vols additionnels'!$D$7:$D$66,$F6193,'Vols additionnels'!$B$7:$B$66,$D6193)</f>
        <v>0</v>
      </c>
      <c r="H6193" s="135" t="n">
        <f aca="false">$G6193*'Analyse capacite'!$F$9</f>
        <v>0</v>
      </c>
      <c r="I6193" s="135" t="n">
        <f aca="false">$G6193*'Analyse capacite'!$C$9</f>
        <v>0</v>
      </c>
      <c r="J6193" s="135" t="n">
        <f aca="false">$G6193*'Analyse capacite'!$D$9</f>
        <v>0</v>
      </c>
      <c r="K6193" s="135" t="n">
        <f aca="false">$G6193*'Analyse capacite'!$E$9</f>
        <v>0</v>
      </c>
    </row>
    <row r="6194" customFormat="false" ht="15" hidden="false" customHeight="false" outlineLevel="0" collapsed="false">
      <c r="B6194" s="130" t="n">
        <v>2027</v>
      </c>
      <c r="C6194" s="131" t="s">
        <v>251</v>
      </c>
      <c r="D6194" s="132" t="n">
        <v>46649</v>
      </c>
      <c r="E6194" s="131" t="s">
        <v>62</v>
      </c>
      <c r="F6194" s="133" t="s">
        <v>11</v>
      </c>
      <c r="G6194" s="134" t="n">
        <f aca="false">LEN('Saisie programme'!$J$241)+SUMIFS('Vols additionnels'!$E$7:$E$66,'Vols additionnels'!$C$7:$C$66,$E6194,'Vols additionnels'!$D$7:$D$66,$F6194,'Vols additionnels'!$B$7:$B$66,$D6194)</f>
        <v>0</v>
      </c>
      <c r="H6194" s="135" t="n">
        <f aca="false">$G6194*'Analyse capacite'!$F$7</f>
        <v>0</v>
      </c>
      <c r="I6194" s="135" t="n">
        <f aca="false">$G6194*'Analyse capacite'!$C$7</f>
        <v>0</v>
      </c>
      <c r="J6194" s="135" t="n">
        <f aca="false">$G6194*'Analyse capacite'!$D$7</f>
        <v>0</v>
      </c>
      <c r="K6194" s="135" t="n">
        <f aca="false">$G6194*'Analyse capacite'!$E$7</f>
        <v>0</v>
      </c>
    </row>
    <row r="6195" customFormat="false" ht="15" hidden="false" customHeight="false" outlineLevel="0" collapsed="false">
      <c r="B6195" s="130" t="n">
        <v>2027</v>
      </c>
      <c r="C6195" s="131" t="s">
        <v>251</v>
      </c>
      <c r="D6195" s="132" t="n">
        <v>46649</v>
      </c>
      <c r="E6195" s="131" t="s">
        <v>62</v>
      </c>
      <c r="F6195" s="133" t="s">
        <v>19</v>
      </c>
      <c r="G6195" s="134" t="n">
        <f aca="false">LEN('Saisie programme'!$J$242)+SUMIFS('Vols additionnels'!$E$7:$E$66,'Vols additionnels'!$C$7:$C$66,$E6195,'Vols additionnels'!$D$7:$D$66,$F6195,'Vols additionnels'!$B$7:$B$66,$D6195)</f>
        <v>0</v>
      </c>
      <c r="H6195" s="135" t="n">
        <f aca="false">$G6195*'Analyse capacite'!$F$8</f>
        <v>0</v>
      </c>
      <c r="I6195" s="135" t="n">
        <f aca="false">$G6195*'Analyse capacite'!$C$8</f>
        <v>0</v>
      </c>
      <c r="J6195" s="135" t="n">
        <f aca="false">$G6195*'Analyse capacite'!$D$8</f>
        <v>0</v>
      </c>
      <c r="K6195" s="135" t="n">
        <f aca="false">$G6195*'Analyse capacite'!$E$8</f>
        <v>0</v>
      </c>
    </row>
    <row r="6196" customFormat="false" ht="15" hidden="false" customHeight="false" outlineLevel="0" collapsed="false">
      <c r="B6196" s="130" t="n">
        <v>2027</v>
      </c>
      <c r="C6196" s="131" t="s">
        <v>251</v>
      </c>
      <c r="D6196" s="132" t="n">
        <v>46649</v>
      </c>
      <c r="E6196" s="131" t="s">
        <v>62</v>
      </c>
      <c r="F6196" s="133" t="s">
        <v>24</v>
      </c>
      <c r="G6196" s="134" t="n">
        <f aca="false">LEN('Saisie programme'!$J$243)+SUMIFS('Vols additionnels'!$E$7:$E$66,'Vols additionnels'!$C$7:$C$66,$E6196,'Vols additionnels'!$D$7:$D$66,$F6196,'Vols additionnels'!$B$7:$B$66,$D6196)</f>
        <v>1</v>
      </c>
      <c r="H6196" s="135" t="n">
        <f aca="false">$G6196*'Analyse capacite'!$F$9</f>
        <v>174</v>
      </c>
      <c r="I6196" s="135" t="n">
        <f aca="false">$G6196*'Analyse capacite'!$C$9</f>
        <v>0</v>
      </c>
      <c r="J6196" s="135" t="n">
        <f aca="false">$G6196*'Analyse capacite'!$D$9</f>
        <v>12</v>
      </c>
      <c r="K6196" s="135" t="n">
        <f aca="false">$G6196*'Analyse capacite'!$E$9</f>
        <v>162</v>
      </c>
    </row>
    <row r="6197" customFormat="false" ht="15" hidden="false" customHeight="false" outlineLevel="0" collapsed="false">
      <c r="B6197" s="130" t="n">
        <v>2027</v>
      </c>
      <c r="C6197" s="131" t="s">
        <v>251</v>
      </c>
      <c r="D6197" s="132" t="n">
        <v>46650</v>
      </c>
      <c r="E6197" s="131" t="s">
        <v>12</v>
      </c>
      <c r="F6197" s="133" t="s">
        <v>11</v>
      </c>
      <c r="G6197" s="134" t="n">
        <f aca="false">LEN('Saisie programme'!$D$208)+SUMIFS('Vols additionnels'!$E$7:$E$66,'Vols additionnels'!$C$7:$C$66,$E6197,'Vols additionnels'!$D$7:$D$66,$F6197,'Vols additionnels'!$B$7:$B$66,$D6197)</f>
        <v>1</v>
      </c>
      <c r="H6197" s="135" t="n">
        <f aca="false">$G6197*'Analyse capacite'!$F$7</f>
        <v>438</v>
      </c>
      <c r="I6197" s="135" t="n">
        <f aca="false">$G6197*'Analyse capacite'!$C$7</f>
        <v>14</v>
      </c>
      <c r="J6197" s="135" t="n">
        <f aca="false">$G6197*'Analyse capacite'!$D$7</f>
        <v>40</v>
      </c>
      <c r="K6197" s="135" t="n">
        <f aca="false">$G6197*'Analyse capacite'!$E$7</f>
        <v>384</v>
      </c>
    </row>
    <row r="6198" customFormat="false" ht="15" hidden="false" customHeight="false" outlineLevel="0" collapsed="false">
      <c r="B6198" s="130" t="n">
        <v>2027</v>
      </c>
      <c r="C6198" s="131" t="s">
        <v>251</v>
      </c>
      <c r="D6198" s="132" t="n">
        <v>46650</v>
      </c>
      <c r="E6198" s="131" t="s">
        <v>12</v>
      </c>
      <c r="F6198" s="133" t="s">
        <v>19</v>
      </c>
      <c r="G6198" s="134" t="n">
        <f aca="false">LEN('Saisie programme'!$D$209)+SUMIFS('Vols additionnels'!$E$7:$E$66,'Vols additionnels'!$C$7:$C$66,$E6198,'Vols additionnels'!$D$7:$D$66,$F6198,'Vols additionnels'!$B$7:$B$66,$D6198)</f>
        <v>1</v>
      </c>
      <c r="H6198" s="135" t="n">
        <f aca="false">$G6198*'Analyse capacite'!$F$8</f>
        <v>262</v>
      </c>
      <c r="I6198" s="135" t="n">
        <f aca="false">$G6198*'Analyse capacite'!$C$8</f>
        <v>18</v>
      </c>
      <c r="J6198" s="135" t="n">
        <f aca="false">$G6198*'Analyse capacite'!$D$8</f>
        <v>0</v>
      </c>
      <c r="K6198" s="135" t="n">
        <f aca="false">$G6198*'Analyse capacite'!$E$8</f>
        <v>244</v>
      </c>
    </row>
    <row r="6199" customFormat="false" ht="15" hidden="false" customHeight="false" outlineLevel="0" collapsed="false">
      <c r="B6199" s="130" t="n">
        <v>2027</v>
      </c>
      <c r="C6199" s="131" t="s">
        <v>251</v>
      </c>
      <c r="D6199" s="132" t="n">
        <v>46650</v>
      </c>
      <c r="E6199" s="131" t="s">
        <v>12</v>
      </c>
      <c r="F6199" s="133" t="s">
        <v>24</v>
      </c>
      <c r="G6199" s="134" t="n">
        <f aca="false">LEN('Saisie programme'!$D$210)+SUMIFS('Vols additionnels'!$E$7:$E$66,'Vols additionnels'!$C$7:$C$66,$E6199,'Vols additionnels'!$D$7:$D$66,$F6199,'Vols additionnels'!$B$7:$B$66,$D6199)</f>
        <v>2</v>
      </c>
      <c r="H6199" s="135" t="n">
        <f aca="false">$G6199*'Analyse capacite'!$F$9</f>
        <v>348</v>
      </c>
      <c r="I6199" s="135" t="n">
        <f aca="false">$G6199*'Analyse capacite'!$C$9</f>
        <v>0</v>
      </c>
      <c r="J6199" s="135" t="n">
        <f aca="false">$G6199*'Analyse capacite'!$D$9</f>
        <v>24</v>
      </c>
      <c r="K6199" s="135" t="n">
        <f aca="false">$G6199*'Analyse capacite'!$E$9</f>
        <v>324</v>
      </c>
    </row>
    <row r="6200" customFormat="false" ht="15" hidden="false" customHeight="false" outlineLevel="0" collapsed="false">
      <c r="B6200" s="130" t="n">
        <v>2027</v>
      </c>
      <c r="C6200" s="131" t="s">
        <v>251</v>
      </c>
      <c r="D6200" s="132" t="n">
        <v>46650</v>
      </c>
      <c r="E6200" s="131" t="s">
        <v>20</v>
      </c>
      <c r="F6200" s="133" t="s">
        <v>11</v>
      </c>
      <c r="G6200" s="134" t="n">
        <f aca="false">LEN('Saisie programme'!$D$211)+SUMIFS('Vols additionnels'!$E$7:$E$66,'Vols additionnels'!$C$7:$C$66,$E6200,'Vols additionnels'!$D$7:$D$66,$F6200,'Vols additionnels'!$B$7:$B$66,$D6200)</f>
        <v>0</v>
      </c>
      <c r="H6200" s="135" t="n">
        <f aca="false">$G6200*'Analyse capacite'!$F$7</f>
        <v>0</v>
      </c>
      <c r="I6200" s="135" t="n">
        <f aca="false">$G6200*'Analyse capacite'!$C$7</f>
        <v>0</v>
      </c>
      <c r="J6200" s="135" t="n">
        <f aca="false">$G6200*'Analyse capacite'!$D$7</f>
        <v>0</v>
      </c>
      <c r="K6200" s="135" t="n">
        <f aca="false">$G6200*'Analyse capacite'!$E$7</f>
        <v>0</v>
      </c>
    </row>
    <row r="6201" customFormat="false" ht="15" hidden="false" customHeight="false" outlineLevel="0" collapsed="false">
      <c r="B6201" s="130" t="n">
        <v>2027</v>
      </c>
      <c r="C6201" s="131" t="s">
        <v>251</v>
      </c>
      <c r="D6201" s="132" t="n">
        <v>46650</v>
      </c>
      <c r="E6201" s="131" t="s">
        <v>20</v>
      </c>
      <c r="F6201" s="133" t="s">
        <v>19</v>
      </c>
      <c r="G6201" s="134" t="n">
        <f aca="false">LEN('Saisie programme'!$D$212)+SUMIFS('Vols additionnels'!$E$7:$E$66,'Vols additionnels'!$C$7:$C$66,$E6201,'Vols additionnels'!$D$7:$D$66,$F6201,'Vols additionnels'!$B$7:$B$66,$D6201)</f>
        <v>0</v>
      </c>
      <c r="H6201" s="135" t="n">
        <f aca="false">$G6201*'Analyse capacite'!$F$8</f>
        <v>0</v>
      </c>
      <c r="I6201" s="135" t="n">
        <f aca="false">$G6201*'Analyse capacite'!$C$8</f>
        <v>0</v>
      </c>
      <c r="J6201" s="135" t="n">
        <f aca="false">$G6201*'Analyse capacite'!$D$8</f>
        <v>0</v>
      </c>
      <c r="K6201" s="135" t="n">
        <f aca="false">$G6201*'Analyse capacite'!$E$8</f>
        <v>0</v>
      </c>
    </row>
    <row r="6202" customFormat="false" ht="15" hidden="false" customHeight="false" outlineLevel="0" collapsed="false">
      <c r="B6202" s="130" t="n">
        <v>2027</v>
      </c>
      <c r="C6202" s="131" t="s">
        <v>251</v>
      </c>
      <c r="D6202" s="132" t="n">
        <v>46650</v>
      </c>
      <c r="E6202" s="131" t="s">
        <v>20</v>
      </c>
      <c r="F6202" s="133" t="s">
        <v>24</v>
      </c>
      <c r="G6202" s="134" t="n">
        <f aca="false">LEN('Saisie programme'!$D$213)+SUMIFS('Vols additionnels'!$E$7:$E$66,'Vols additionnels'!$C$7:$C$66,$E6202,'Vols additionnels'!$D$7:$D$66,$F6202,'Vols additionnels'!$B$7:$B$66,$D6202)</f>
        <v>0</v>
      </c>
      <c r="H6202" s="135" t="n">
        <f aca="false">$G6202*'Analyse capacite'!$F$9</f>
        <v>0</v>
      </c>
      <c r="I6202" s="135" t="n">
        <f aca="false">$G6202*'Analyse capacite'!$C$9</f>
        <v>0</v>
      </c>
      <c r="J6202" s="135" t="n">
        <f aca="false">$G6202*'Analyse capacite'!$D$9</f>
        <v>0</v>
      </c>
      <c r="K6202" s="135" t="n">
        <f aca="false">$G6202*'Analyse capacite'!$E$9</f>
        <v>0</v>
      </c>
    </row>
    <row r="6203" customFormat="false" ht="15" hidden="false" customHeight="false" outlineLevel="0" collapsed="false">
      <c r="B6203" s="130" t="n">
        <v>2027</v>
      </c>
      <c r="C6203" s="131" t="s">
        <v>251</v>
      </c>
      <c r="D6203" s="132" t="n">
        <v>46650</v>
      </c>
      <c r="E6203" s="131" t="s">
        <v>25</v>
      </c>
      <c r="F6203" s="133" t="s">
        <v>11</v>
      </c>
      <c r="G6203" s="134" t="n">
        <f aca="false">LEN('Saisie programme'!$D$214)+SUMIFS('Vols additionnels'!$E$7:$E$66,'Vols additionnels'!$C$7:$C$66,$E6203,'Vols additionnels'!$D$7:$D$66,$F6203,'Vols additionnels'!$B$7:$B$66,$D6203)</f>
        <v>0</v>
      </c>
      <c r="H6203" s="135" t="n">
        <f aca="false">$G6203*'Analyse capacite'!$F$7</f>
        <v>0</v>
      </c>
      <c r="I6203" s="135" t="n">
        <f aca="false">$G6203*'Analyse capacite'!$C$7</f>
        <v>0</v>
      </c>
      <c r="J6203" s="135" t="n">
        <f aca="false">$G6203*'Analyse capacite'!$D$7</f>
        <v>0</v>
      </c>
      <c r="K6203" s="135" t="n">
        <f aca="false">$G6203*'Analyse capacite'!$E$7</f>
        <v>0</v>
      </c>
    </row>
    <row r="6204" customFormat="false" ht="15" hidden="false" customHeight="false" outlineLevel="0" collapsed="false">
      <c r="B6204" s="130" t="n">
        <v>2027</v>
      </c>
      <c r="C6204" s="131" t="s">
        <v>251</v>
      </c>
      <c r="D6204" s="132" t="n">
        <v>46650</v>
      </c>
      <c r="E6204" s="131" t="s">
        <v>25</v>
      </c>
      <c r="F6204" s="133" t="s">
        <v>19</v>
      </c>
      <c r="G6204" s="134" t="n">
        <f aca="false">LEN('Saisie programme'!$D$215)+SUMIFS('Vols additionnels'!$E$7:$E$66,'Vols additionnels'!$C$7:$C$66,$E6204,'Vols additionnels'!$D$7:$D$66,$F6204,'Vols additionnels'!$B$7:$B$66,$D6204)</f>
        <v>0</v>
      </c>
      <c r="H6204" s="135" t="n">
        <f aca="false">$G6204*'Analyse capacite'!$F$8</f>
        <v>0</v>
      </c>
      <c r="I6204" s="135" t="n">
        <f aca="false">$G6204*'Analyse capacite'!$C$8</f>
        <v>0</v>
      </c>
      <c r="J6204" s="135" t="n">
        <f aca="false">$G6204*'Analyse capacite'!$D$8</f>
        <v>0</v>
      </c>
      <c r="K6204" s="135" t="n">
        <f aca="false">$G6204*'Analyse capacite'!$E$8</f>
        <v>0</v>
      </c>
    </row>
    <row r="6205" customFormat="false" ht="15" hidden="false" customHeight="false" outlineLevel="0" collapsed="false">
      <c r="B6205" s="130" t="n">
        <v>2027</v>
      </c>
      <c r="C6205" s="131" t="s">
        <v>251</v>
      </c>
      <c r="D6205" s="132" t="n">
        <v>46650</v>
      </c>
      <c r="E6205" s="131" t="s">
        <v>25</v>
      </c>
      <c r="F6205" s="133" t="s">
        <v>24</v>
      </c>
      <c r="G6205" s="134" t="n">
        <f aca="false">LEN('Saisie programme'!$D$216)+SUMIFS('Vols additionnels'!$E$7:$E$66,'Vols additionnels'!$C$7:$C$66,$E6205,'Vols additionnels'!$D$7:$D$66,$F6205,'Vols additionnels'!$B$7:$B$66,$D6205)</f>
        <v>0</v>
      </c>
      <c r="H6205" s="135" t="n">
        <f aca="false">$G6205*'Analyse capacite'!$F$9</f>
        <v>0</v>
      </c>
      <c r="I6205" s="135" t="n">
        <f aca="false">$G6205*'Analyse capacite'!$C$9</f>
        <v>0</v>
      </c>
      <c r="J6205" s="135" t="n">
        <f aca="false">$G6205*'Analyse capacite'!$D$9</f>
        <v>0</v>
      </c>
      <c r="K6205" s="135" t="n">
        <f aca="false">$G6205*'Analyse capacite'!$E$9</f>
        <v>0</v>
      </c>
    </row>
    <row r="6206" customFormat="false" ht="15" hidden="false" customHeight="false" outlineLevel="0" collapsed="false">
      <c r="B6206" s="130" t="n">
        <v>2027</v>
      </c>
      <c r="C6206" s="131" t="s">
        <v>251</v>
      </c>
      <c r="D6206" s="132" t="n">
        <v>46650</v>
      </c>
      <c r="E6206" s="131" t="s">
        <v>36</v>
      </c>
      <c r="F6206" s="133" t="s">
        <v>11</v>
      </c>
      <c r="G6206" s="134" t="n">
        <f aca="false">LEN('Saisie programme'!$D$217)+SUMIFS('Vols additionnels'!$E$7:$E$66,'Vols additionnels'!$C$7:$C$66,$E6206,'Vols additionnels'!$D$7:$D$66,$F6206,'Vols additionnels'!$B$7:$B$66,$D6206)</f>
        <v>0</v>
      </c>
      <c r="H6206" s="135" t="n">
        <f aca="false">$G6206*'Analyse capacite'!$F$7</f>
        <v>0</v>
      </c>
      <c r="I6206" s="135" t="n">
        <f aca="false">$G6206*'Analyse capacite'!$C$7</f>
        <v>0</v>
      </c>
      <c r="J6206" s="135" t="n">
        <f aca="false">$G6206*'Analyse capacite'!$D$7</f>
        <v>0</v>
      </c>
      <c r="K6206" s="135" t="n">
        <f aca="false">$G6206*'Analyse capacite'!$E$7</f>
        <v>0</v>
      </c>
    </row>
    <row r="6207" customFormat="false" ht="15" hidden="false" customHeight="false" outlineLevel="0" collapsed="false">
      <c r="B6207" s="130" t="n">
        <v>2027</v>
      </c>
      <c r="C6207" s="131" t="s">
        <v>251</v>
      </c>
      <c r="D6207" s="132" t="n">
        <v>46650</v>
      </c>
      <c r="E6207" s="131" t="s">
        <v>36</v>
      </c>
      <c r="F6207" s="133" t="s">
        <v>19</v>
      </c>
      <c r="G6207" s="134" t="n">
        <f aca="false">LEN('Saisie programme'!$D$218)+SUMIFS('Vols additionnels'!$E$7:$E$66,'Vols additionnels'!$C$7:$C$66,$E6207,'Vols additionnels'!$D$7:$D$66,$F6207,'Vols additionnels'!$B$7:$B$66,$D6207)</f>
        <v>0</v>
      </c>
      <c r="H6207" s="135" t="n">
        <f aca="false">$G6207*'Analyse capacite'!$F$8</f>
        <v>0</v>
      </c>
      <c r="I6207" s="135" t="n">
        <f aca="false">$G6207*'Analyse capacite'!$C$8</f>
        <v>0</v>
      </c>
      <c r="J6207" s="135" t="n">
        <f aca="false">$G6207*'Analyse capacite'!$D$8</f>
        <v>0</v>
      </c>
      <c r="K6207" s="135" t="n">
        <f aca="false">$G6207*'Analyse capacite'!$E$8</f>
        <v>0</v>
      </c>
    </row>
    <row r="6208" customFormat="false" ht="15" hidden="false" customHeight="false" outlineLevel="0" collapsed="false">
      <c r="B6208" s="130" t="n">
        <v>2027</v>
      </c>
      <c r="C6208" s="131" t="s">
        <v>251</v>
      </c>
      <c r="D6208" s="132" t="n">
        <v>46650</v>
      </c>
      <c r="E6208" s="131" t="s">
        <v>36</v>
      </c>
      <c r="F6208" s="133" t="s">
        <v>24</v>
      </c>
      <c r="G6208" s="134" t="n">
        <f aca="false">LEN('Saisie programme'!$D$219)+SUMIFS('Vols additionnels'!$E$7:$E$66,'Vols additionnels'!$C$7:$C$66,$E6208,'Vols additionnels'!$D$7:$D$66,$F6208,'Vols additionnels'!$B$7:$B$66,$D6208)</f>
        <v>1</v>
      </c>
      <c r="H6208" s="135" t="n">
        <f aca="false">$G6208*'Analyse capacite'!$F$9</f>
        <v>174</v>
      </c>
      <c r="I6208" s="135" t="n">
        <f aca="false">$G6208*'Analyse capacite'!$C$9</f>
        <v>0</v>
      </c>
      <c r="J6208" s="135" t="n">
        <f aca="false">$G6208*'Analyse capacite'!$D$9</f>
        <v>12</v>
      </c>
      <c r="K6208" s="135" t="n">
        <f aca="false">$G6208*'Analyse capacite'!$E$9</f>
        <v>162</v>
      </c>
    </row>
    <row r="6209" customFormat="false" ht="15" hidden="false" customHeight="false" outlineLevel="0" collapsed="false">
      <c r="B6209" s="130" t="n">
        <v>2027</v>
      </c>
      <c r="C6209" s="131" t="s">
        <v>251</v>
      </c>
      <c r="D6209" s="132" t="n">
        <v>46650</v>
      </c>
      <c r="E6209" s="131" t="s">
        <v>40</v>
      </c>
      <c r="F6209" s="133" t="s">
        <v>11</v>
      </c>
      <c r="G6209" s="134" t="n">
        <f aca="false">LEN('Saisie programme'!$D$220)+SUMIFS('Vols additionnels'!$E$7:$E$66,'Vols additionnels'!$C$7:$C$66,$E6209,'Vols additionnels'!$D$7:$D$66,$F6209,'Vols additionnels'!$B$7:$B$66,$D6209)</f>
        <v>0</v>
      </c>
      <c r="H6209" s="135" t="n">
        <f aca="false">$G6209*'Analyse capacite'!$F$7</f>
        <v>0</v>
      </c>
      <c r="I6209" s="135" t="n">
        <f aca="false">$G6209*'Analyse capacite'!$C$7</f>
        <v>0</v>
      </c>
      <c r="J6209" s="135" t="n">
        <f aca="false">$G6209*'Analyse capacite'!$D$7</f>
        <v>0</v>
      </c>
      <c r="K6209" s="135" t="n">
        <f aca="false">$G6209*'Analyse capacite'!$E$7</f>
        <v>0</v>
      </c>
    </row>
    <row r="6210" customFormat="false" ht="15" hidden="false" customHeight="false" outlineLevel="0" collapsed="false">
      <c r="B6210" s="130" t="n">
        <v>2027</v>
      </c>
      <c r="C6210" s="131" t="s">
        <v>251</v>
      </c>
      <c r="D6210" s="132" t="n">
        <v>46650</v>
      </c>
      <c r="E6210" s="131" t="s">
        <v>40</v>
      </c>
      <c r="F6210" s="133" t="s">
        <v>19</v>
      </c>
      <c r="G6210" s="134" t="n">
        <f aca="false">LEN('Saisie programme'!$D$221)+SUMIFS('Vols additionnels'!$E$7:$E$66,'Vols additionnels'!$C$7:$C$66,$E6210,'Vols additionnels'!$D$7:$D$66,$F6210,'Vols additionnels'!$B$7:$B$66,$D6210)</f>
        <v>0</v>
      </c>
      <c r="H6210" s="135" t="n">
        <f aca="false">$G6210*'Analyse capacite'!$F$8</f>
        <v>0</v>
      </c>
      <c r="I6210" s="135" t="n">
        <f aca="false">$G6210*'Analyse capacite'!$C$8</f>
        <v>0</v>
      </c>
      <c r="J6210" s="135" t="n">
        <f aca="false">$G6210*'Analyse capacite'!$D$8</f>
        <v>0</v>
      </c>
      <c r="K6210" s="135" t="n">
        <f aca="false">$G6210*'Analyse capacite'!$E$8</f>
        <v>0</v>
      </c>
    </row>
    <row r="6211" customFormat="false" ht="15" hidden="false" customHeight="false" outlineLevel="0" collapsed="false">
      <c r="B6211" s="130" t="n">
        <v>2027</v>
      </c>
      <c r="C6211" s="131" t="s">
        <v>251</v>
      </c>
      <c r="D6211" s="132" t="n">
        <v>46650</v>
      </c>
      <c r="E6211" s="131" t="s">
        <v>40</v>
      </c>
      <c r="F6211" s="133" t="s">
        <v>24</v>
      </c>
      <c r="G6211" s="134" t="n">
        <f aca="false">LEN('Saisie programme'!$D$222)+SUMIFS('Vols additionnels'!$E$7:$E$66,'Vols additionnels'!$C$7:$C$66,$E6211,'Vols additionnels'!$D$7:$D$66,$F6211,'Vols additionnels'!$B$7:$B$66,$D6211)</f>
        <v>1</v>
      </c>
      <c r="H6211" s="135" t="n">
        <f aca="false">$G6211*'Analyse capacite'!$F$9</f>
        <v>174</v>
      </c>
      <c r="I6211" s="135" t="n">
        <f aca="false">$G6211*'Analyse capacite'!$C$9</f>
        <v>0</v>
      </c>
      <c r="J6211" s="135" t="n">
        <f aca="false">$G6211*'Analyse capacite'!$D$9</f>
        <v>12</v>
      </c>
      <c r="K6211" s="135" t="n">
        <f aca="false">$G6211*'Analyse capacite'!$E$9</f>
        <v>162</v>
      </c>
    </row>
    <row r="6212" customFormat="false" ht="15" hidden="false" customHeight="false" outlineLevel="0" collapsed="false">
      <c r="B6212" s="130" t="n">
        <v>2027</v>
      </c>
      <c r="C6212" s="131" t="s">
        <v>251</v>
      </c>
      <c r="D6212" s="132" t="n">
        <v>46650</v>
      </c>
      <c r="E6212" s="131" t="s">
        <v>14</v>
      </c>
      <c r="F6212" s="133" t="s">
        <v>11</v>
      </c>
      <c r="G6212" s="134" t="n">
        <f aca="false">LEN('Saisie programme'!$D$223)+SUMIFS('Vols additionnels'!$E$7:$E$66,'Vols additionnels'!$C$7:$C$66,$E6212,'Vols additionnels'!$D$7:$D$66,$F6212,'Vols additionnels'!$B$7:$B$66,$D6212)</f>
        <v>0</v>
      </c>
      <c r="H6212" s="135" t="n">
        <f aca="false">$G6212*'Analyse capacite'!$F$7</f>
        <v>0</v>
      </c>
      <c r="I6212" s="135" t="n">
        <f aca="false">$G6212*'Analyse capacite'!$C$7</f>
        <v>0</v>
      </c>
      <c r="J6212" s="135" t="n">
        <f aca="false">$G6212*'Analyse capacite'!$D$7</f>
        <v>0</v>
      </c>
      <c r="K6212" s="135" t="n">
        <f aca="false">$G6212*'Analyse capacite'!$E$7</f>
        <v>0</v>
      </c>
    </row>
    <row r="6213" customFormat="false" ht="15" hidden="false" customHeight="false" outlineLevel="0" collapsed="false">
      <c r="B6213" s="130" t="n">
        <v>2027</v>
      </c>
      <c r="C6213" s="131" t="s">
        <v>251</v>
      </c>
      <c r="D6213" s="132" t="n">
        <v>46650</v>
      </c>
      <c r="E6213" s="131" t="s">
        <v>14</v>
      </c>
      <c r="F6213" s="133" t="s">
        <v>19</v>
      </c>
      <c r="G6213" s="134" t="n">
        <f aca="false">LEN('Saisie programme'!$D$224)+SUMIFS('Vols additionnels'!$E$7:$E$66,'Vols additionnels'!$C$7:$C$66,$E6213,'Vols additionnels'!$D$7:$D$66,$F6213,'Vols additionnels'!$B$7:$B$66,$D6213)</f>
        <v>0</v>
      </c>
      <c r="H6213" s="135" t="n">
        <f aca="false">$G6213*'Analyse capacite'!$F$8</f>
        <v>0</v>
      </c>
      <c r="I6213" s="135" t="n">
        <f aca="false">$G6213*'Analyse capacite'!$C$8</f>
        <v>0</v>
      </c>
      <c r="J6213" s="135" t="n">
        <f aca="false">$G6213*'Analyse capacite'!$D$8</f>
        <v>0</v>
      </c>
      <c r="K6213" s="135" t="n">
        <f aca="false">$G6213*'Analyse capacite'!$E$8</f>
        <v>0</v>
      </c>
    </row>
    <row r="6214" customFormat="false" ht="15" hidden="false" customHeight="false" outlineLevel="0" collapsed="false">
      <c r="B6214" s="130" t="n">
        <v>2027</v>
      </c>
      <c r="C6214" s="131" t="s">
        <v>251</v>
      </c>
      <c r="D6214" s="132" t="n">
        <v>46650</v>
      </c>
      <c r="E6214" s="131" t="s">
        <v>14</v>
      </c>
      <c r="F6214" s="133" t="s">
        <v>24</v>
      </c>
      <c r="G6214" s="134" t="n">
        <f aca="false">LEN('Saisie programme'!$D$225)+SUMIFS('Vols additionnels'!$E$7:$E$66,'Vols additionnels'!$C$7:$C$66,$E6214,'Vols additionnels'!$D$7:$D$66,$F6214,'Vols additionnels'!$B$7:$B$66,$D6214)</f>
        <v>1</v>
      </c>
      <c r="H6214" s="135" t="n">
        <f aca="false">$G6214*'Analyse capacite'!$F$9</f>
        <v>174</v>
      </c>
      <c r="I6214" s="135" t="n">
        <f aca="false">$G6214*'Analyse capacite'!$C$9</f>
        <v>0</v>
      </c>
      <c r="J6214" s="135" t="n">
        <f aca="false">$G6214*'Analyse capacite'!$D$9</f>
        <v>12</v>
      </c>
      <c r="K6214" s="135" t="n">
        <f aca="false">$G6214*'Analyse capacite'!$E$9</f>
        <v>162</v>
      </c>
    </row>
    <row r="6215" customFormat="false" ht="15" hidden="false" customHeight="false" outlineLevel="0" collapsed="false">
      <c r="B6215" s="130" t="n">
        <v>2027</v>
      </c>
      <c r="C6215" s="131" t="s">
        <v>251</v>
      </c>
      <c r="D6215" s="132" t="n">
        <v>46650</v>
      </c>
      <c r="E6215" s="131" t="s">
        <v>46</v>
      </c>
      <c r="F6215" s="133" t="s">
        <v>11</v>
      </c>
      <c r="G6215" s="134" t="n">
        <f aca="false">LEN('Saisie programme'!$D$226)+SUMIFS('Vols additionnels'!$E$7:$E$66,'Vols additionnels'!$C$7:$C$66,$E6215,'Vols additionnels'!$D$7:$D$66,$F6215,'Vols additionnels'!$B$7:$B$66,$D6215)</f>
        <v>0</v>
      </c>
      <c r="H6215" s="135" t="n">
        <f aca="false">$G6215*'Analyse capacite'!$F$7</f>
        <v>0</v>
      </c>
      <c r="I6215" s="135" t="n">
        <f aca="false">$G6215*'Analyse capacite'!$C$7</f>
        <v>0</v>
      </c>
      <c r="J6215" s="135" t="n">
        <f aca="false">$G6215*'Analyse capacite'!$D$7</f>
        <v>0</v>
      </c>
      <c r="K6215" s="135" t="n">
        <f aca="false">$G6215*'Analyse capacite'!$E$7</f>
        <v>0</v>
      </c>
    </row>
    <row r="6216" customFormat="false" ht="15" hidden="false" customHeight="false" outlineLevel="0" collapsed="false">
      <c r="B6216" s="130" t="n">
        <v>2027</v>
      </c>
      <c r="C6216" s="131" t="s">
        <v>251</v>
      </c>
      <c r="D6216" s="132" t="n">
        <v>46650</v>
      </c>
      <c r="E6216" s="131" t="s">
        <v>46</v>
      </c>
      <c r="F6216" s="133" t="s">
        <v>19</v>
      </c>
      <c r="G6216" s="134" t="n">
        <f aca="false">LEN('Saisie programme'!$D$227)+SUMIFS('Vols additionnels'!$E$7:$E$66,'Vols additionnels'!$C$7:$C$66,$E6216,'Vols additionnels'!$D$7:$D$66,$F6216,'Vols additionnels'!$B$7:$B$66,$D6216)</f>
        <v>0</v>
      </c>
      <c r="H6216" s="135" t="n">
        <f aca="false">$G6216*'Analyse capacite'!$F$8</f>
        <v>0</v>
      </c>
      <c r="I6216" s="135" t="n">
        <f aca="false">$G6216*'Analyse capacite'!$C$8</f>
        <v>0</v>
      </c>
      <c r="J6216" s="135" t="n">
        <f aca="false">$G6216*'Analyse capacite'!$D$8</f>
        <v>0</v>
      </c>
      <c r="K6216" s="135" t="n">
        <f aca="false">$G6216*'Analyse capacite'!$E$8</f>
        <v>0</v>
      </c>
    </row>
    <row r="6217" customFormat="false" ht="15" hidden="false" customHeight="false" outlineLevel="0" collapsed="false">
      <c r="B6217" s="130" t="n">
        <v>2027</v>
      </c>
      <c r="C6217" s="131" t="s">
        <v>251</v>
      </c>
      <c r="D6217" s="132" t="n">
        <v>46650</v>
      </c>
      <c r="E6217" s="131" t="s">
        <v>46</v>
      </c>
      <c r="F6217" s="133" t="s">
        <v>24</v>
      </c>
      <c r="G6217" s="134" t="n">
        <f aca="false">LEN('Saisie programme'!$D$228)+SUMIFS('Vols additionnels'!$E$7:$E$66,'Vols additionnels'!$C$7:$C$66,$E6217,'Vols additionnels'!$D$7:$D$66,$F6217,'Vols additionnels'!$B$7:$B$66,$D6217)</f>
        <v>0</v>
      </c>
      <c r="H6217" s="135" t="n">
        <f aca="false">$G6217*'Analyse capacite'!$F$9</f>
        <v>0</v>
      </c>
      <c r="I6217" s="135" t="n">
        <f aca="false">$G6217*'Analyse capacite'!$C$9</f>
        <v>0</v>
      </c>
      <c r="J6217" s="135" t="n">
        <f aca="false">$G6217*'Analyse capacite'!$D$9</f>
        <v>0</v>
      </c>
      <c r="K6217" s="135" t="n">
        <f aca="false">$G6217*'Analyse capacite'!$E$9</f>
        <v>0</v>
      </c>
    </row>
    <row r="6218" customFormat="false" ht="15" hidden="false" customHeight="false" outlineLevel="0" collapsed="false">
      <c r="B6218" s="130" t="n">
        <v>2027</v>
      </c>
      <c r="C6218" s="131" t="s">
        <v>251</v>
      </c>
      <c r="D6218" s="132" t="n">
        <v>46650</v>
      </c>
      <c r="E6218" s="131" t="s">
        <v>49</v>
      </c>
      <c r="F6218" s="133" t="s">
        <v>11</v>
      </c>
      <c r="G6218" s="134" t="n">
        <f aca="false">LEN('Saisie programme'!$D$229)+SUMIFS('Vols additionnels'!$E$7:$E$66,'Vols additionnels'!$C$7:$C$66,$E6218,'Vols additionnels'!$D$7:$D$66,$F6218,'Vols additionnels'!$B$7:$B$66,$D6218)</f>
        <v>0</v>
      </c>
      <c r="H6218" s="135" t="n">
        <f aca="false">$G6218*'Analyse capacite'!$F$7</f>
        <v>0</v>
      </c>
      <c r="I6218" s="135" t="n">
        <f aca="false">$G6218*'Analyse capacite'!$C$7</f>
        <v>0</v>
      </c>
      <c r="J6218" s="135" t="n">
        <f aca="false">$G6218*'Analyse capacite'!$D$7</f>
        <v>0</v>
      </c>
      <c r="K6218" s="135" t="n">
        <f aca="false">$G6218*'Analyse capacite'!$E$7</f>
        <v>0</v>
      </c>
    </row>
    <row r="6219" customFormat="false" ht="15" hidden="false" customHeight="false" outlineLevel="0" collapsed="false">
      <c r="B6219" s="130" t="n">
        <v>2027</v>
      </c>
      <c r="C6219" s="131" t="s">
        <v>251</v>
      </c>
      <c r="D6219" s="132" t="n">
        <v>46650</v>
      </c>
      <c r="E6219" s="131" t="s">
        <v>49</v>
      </c>
      <c r="F6219" s="133" t="s">
        <v>19</v>
      </c>
      <c r="G6219" s="134" t="n">
        <f aca="false">LEN('Saisie programme'!$D$230)+SUMIFS('Vols additionnels'!$E$7:$E$66,'Vols additionnels'!$C$7:$C$66,$E6219,'Vols additionnels'!$D$7:$D$66,$F6219,'Vols additionnels'!$B$7:$B$66,$D6219)</f>
        <v>1</v>
      </c>
      <c r="H6219" s="135" t="n">
        <f aca="false">$G6219*'Analyse capacite'!$F$8</f>
        <v>262</v>
      </c>
      <c r="I6219" s="135" t="n">
        <f aca="false">$G6219*'Analyse capacite'!$C$8</f>
        <v>18</v>
      </c>
      <c r="J6219" s="135" t="n">
        <f aca="false">$G6219*'Analyse capacite'!$D$8</f>
        <v>0</v>
      </c>
      <c r="K6219" s="135" t="n">
        <f aca="false">$G6219*'Analyse capacite'!$E$8</f>
        <v>244</v>
      </c>
    </row>
    <row r="6220" customFormat="false" ht="15" hidden="false" customHeight="false" outlineLevel="0" collapsed="false">
      <c r="B6220" s="130" t="n">
        <v>2027</v>
      </c>
      <c r="C6220" s="131" t="s">
        <v>251</v>
      </c>
      <c r="D6220" s="132" t="n">
        <v>46650</v>
      </c>
      <c r="E6220" s="131" t="s">
        <v>49</v>
      </c>
      <c r="F6220" s="133" t="s">
        <v>24</v>
      </c>
      <c r="G6220" s="134" t="n">
        <f aca="false">LEN('Saisie programme'!$D$231)+SUMIFS('Vols additionnels'!$E$7:$E$66,'Vols additionnels'!$C$7:$C$66,$E6220,'Vols additionnels'!$D$7:$D$66,$F6220,'Vols additionnels'!$B$7:$B$66,$D6220)</f>
        <v>0</v>
      </c>
      <c r="H6220" s="135" t="n">
        <f aca="false">$G6220*'Analyse capacite'!$F$9</f>
        <v>0</v>
      </c>
      <c r="I6220" s="135" t="n">
        <f aca="false">$G6220*'Analyse capacite'!$C$9</f>
        <v>0</v>
      </c>
      <c r="J6220" s="135" t="n">
        <f aca="false">$G6220*'Analyse capacite'!$D$9</f>
        <v>0</v>
      </c>
      <c r="K6220" s="135" t="n">
        <f aca="false">$G6220*'Analyse capacite'!$E$9</f>
        <v>0</v>
      </c>
    </row>
    <row r="6221" customFormat="false" ht="15" hidden="false" customHeight="false" outlineLevel="0" collapsed="false">
      <c r="B6221" s="130" t="n">
        <v>2027</v>
      </c>
      <c r="C6221" s="131" t="s">
        <v>251</v>
      </c>
      <c r="D6221" s="132" t="n">
        <v>46650</v>
      </c>
      <c r="E6221" s="131" t="s">
        <v>53</v>
      </c>
      <c r="F6221" s="133" t="s">
        <v>11</v>
      </c>
      <c r="G6221" s="134" t="n">
        <f aca="false">LEN('Saisie programme'!$D$232)+SUMIFS('Vols additionnels'!$E$7:$E$66,'Vols additionnels'!$C$7:$C$66,$E6221,'Vols additionnels'!$D$7:$D$66,$F6221,'Vols additionnels'!$B$7:$B$66,$D6221)</f>
        <v>0</v>
      </c>
      <c r="H6221" s="135" t="n">
        <f aca="false">$G6221*'Analyse capacite'!$F$7</f>
        <v>0</v>
      </c>
      <c r="I6221" s="135" t="n">
        <f aca="false">$G6221*'Analyse capacite'!$C$7</f>
        <v>0</v>
      </c>
      <c r="J6221" s="135" t="n">
        <f aca="false">$G6221*'Analyse capacite'!$D$7</f>
        <v>0</v>
      </c>
      <c r="K6221" s="135" t="n">
        <f aca="false">$G6221*'Analyse capacite'!$E$7</f>
        <v>0</v>
      </c>
    </row>
    <row r="6222" customFormat="false" ht="15" hidden="false" customHeight="false" outlineLevel="0" collapsed="false">
      <c r="B6222" s="130" t="n">
        <v>2027</v>
      </c>
      <c r="C6222" s="131" t="s">
        <v>251</v>
      </c>
      <c r="D6222" s="132" t="n">
        <v>46650</v>
      </c>
      <c r="E6222" s="131" t="s">
        <v>53</v>
      </c>
      <c r="F6222" s="133" t="s">
        <v>19</v>
      </c>
      <c r="G6222" s="134" t="n">
        <f aca="false">LEN('Saisie programme'!$D$233)+SUMIFS('Vols additionnels'!$E$7:$E$66,'Vols additionnels'!$C$7:$C$66,$E6222,'Vols additionnels'!$D$7:$D$66,$F6222,'Vols additionnels'!$B$7:$B$66,$D6222)</f>
        <v>0</v>
      </c>
      <c r="H6222" s="135" t="n">
        <f aca="false">$G6222*'Analyse capacite'!$F$8</f>
        <v>0</v>
      </c>
      <c r="I6222" s="135" t="n">
        <f aca="false">$G6222*'Analyse capacite'!$C$8</f>
        <v>0</v>
      </c>
      <c r="J6222" s="135" t="n">
        <f aca="false">$G6222*'Analyse capacite'!$D$8</f>
        <v>0</v>
      </c>
      <c r="K6222" s="135" t="n">
        <f aca="false">$G6222*'Analyse capacite'!$E$8</f>
        <v>0</v>
      </c>
    </row>
    <row r="6223" customFormat="false" ht="15" hidden="false" customHeight="false" outlineLevel="0" collapsed="false">
      <c r="B6223" s="130" t="n">
        <v>2027</v>
      </c>
      <c r="C6223" s="131" t="s">
        <v>251</v>
      </c>
      <c r="D6223" s="132" t="n">
        <v>46650</v>
      </c>
      <c r="E6223" s="131" t="s">
        <v>53</v>
      </c>
      <c r="F6223" s="133" t="s">
        <v>24</v>
      </c>
      <c r="G6223" s="134" t="n">
        <f aca="false">LEN('Saisie programme'!$D$234)+SUMIFS('Vols additionnels'!$E$7:$E$66,'Vols additionnels'!$C$7:$C$66,$E6223,'Vols additionnels'!$D$7:$D$66,$F6223,'Vols additionnels'!$B$7:$B$66,$D6223)</f>
        <v>0</v>
      </c>
      <c r="H6223" s="135" t="n">
        <f aca="false">$G6223*'Analyse capacite'!$F$9</f>
        <v>0</v>
      </c>
      <c r="I6223" s="135" t="n">
        <f aca="false">$G6223*'Analyse capacite'!$C$9</f>
        <v>0</v>
      </c>
      <c r="J6223" s="135" t="n">
        <f aca="false">$G6223*'Analyse capacite'!$D$9</f>
        <v>0</v>
      </c>
      <c r="K6223" s="135" t="n">
        <f aca="false">$G6223*'Analyse capacite'!$E$9</f>
        <v>0</v>
      </c>
    </row>
    <row r="6224" customFormat="false" ht="15" hidden="false" customHeight="false" outlineLevel="0" collapsed="false">
      <c r="B6224" s="130" t="n">
        <v>2027</v>
      </c>
      <c r="C6224" s="131" t="s">
        <v>251</v>
      </c>
      <c r="D6224" s="132" t="n">
        <v>46650</v>
      </c>
      <c r="E6224" s="131" t="s">
        <v>56</v>
      </c>
      <c r="F6224" s="133" t="s">
        <v>11</v>
      </c>
      <c r="G6224" s="134" t="n">
        <f aca="false">LEN('Saisie programme'!$D$235)+SUMIFS('Vols additionnels'!$E$7:$E$66,'Vols additionnels'!$C$7:$C$66,$E6224,'Vols additionnels'!$D$7:$D$66,$F6224,'Vols additionnels'!$B$7:$B$66,$D6224)</f>
        <v>0</v>
      </c>
      <c r="H6224" s="135" t="n">
        <f aca="false">$G6224*'Analyse capacite'!$F$7</f>
        <v>0</v>
      </c>
      <c r="I6224" s="135" t="n">
        <f aca="false">$G6224*'Analyse capacite'!$C$7</f>
        <v>0</v>
      </c>
      <c r="J6224" s="135" t="n">
        <f aca="false">$G6224*'Analyse capacite'!$D$7</f>
        <v>0</v>
      </c>
      <c r="K6224" s="135" t="n">
        <f aca="false">$G6224*'Analyse capacite'!$E$7</f>
        <v>0</v>
      </c>
    </row>
    <row r="6225" customFormat="false" ht="15" hidden="false" customHeight="false" outlineLevel="0" collapsed="false">
      <c r="B6225" s="130" t="n">
        <v>2027</v>
      </c>
      <c r="C6225" s="131" t="s">
        <v>251</v>
      </c>
      <c r="D6225" s="132" t="n">
        <v>46650</v>
      </c>
      <c r="E6225" s="131" t="s">
        <v>56</v>
      </c>
      <c r="F6225" s="133" t="s">
        <v>19</v>
      </c>
      <c r="G6225" s="134" t="n">
        <f aca="false">LEN('Saisie programme'!$D$236)+SUMIFS('Vols additionnels'!$E$7:$E$66,'Vols additionnels'!$C$7:$C$66,$E6225,'Vols additionnels'!$D$7:$D$66,$F6225,'Vols additionnels'!$B$7:$B$66,$D6225)</f>
        <v>0</v>
      </c>
      <c r="H6225" s="135" t="n">
        <f aca="false">$G6225*'Analyse capacite'!$F$8</f>
        <v>0</v>
      </c>
      <c r="I6225" s="135" t="n">
        <f aca="false">$G6225*'Analyse capacite'!$C$8</f>
        <v>0</v>
      </c>
      <c r="J6225" s="135" t="n">
        <f aca="false">$G6225*'Analyse capacite'!$D$8</f>
        <v>0</v>
      </c>
      <c r="K6225" s="135" t="n">
        <f aca="false">$G6225*'Analyse capacite'!$E$8</f>
        <v>0</v>
      </c>
    </row>
    <row r="6226" customFormat="false" ht="15" hidden="false" customHeight="false" outlineLevel="0" collapsed="false">
      <c r="B6226" s="130" t="n">
        <v>2027</v>
      </c>
      <c r="C6226" s="131" t="s">
        <v>251</v>
      </c>
      <c r="D6226" s="132" t="n">
        <v>46650</v>
      </c>
      <c r="E6226" s="131" t="s">
        <v>56</v>
      </c>
      <c r="F6226" s="133" t="s">
        <v>24</v>
      </c>
      <c r="G6226" s="134" t="n">
        <f aca="false">LEN('Saisie programme'!$D$237)+SUMIFS('Vols additionnels'!$E$7:$E$66,'Vols additionnels'!$C$7:$C$66,$E6226,'Vols additionnels'!$D$7:$D$66,$F6226,'Vols additionnels'!$B$7:$B$66,$D6226)</f>
        <v>0</v>
      </c>
      <c r="H6226" s="135" t="n">
        <f aca="false">$G6226*'Analyse capacite'!$F$9</f>
        <v>0</v>
      </c>
      <c r="I6226" s="135" t="n">
        <f aca="false">$G6226*'Analyse capacite'!$C$9</f>
        <v>0</v>
      </c>
      <c r="J6226" s="135" t="n">
        <f aca="false">$G6226*'Analyse capacite'!$D$9</f>
        <v>0</v>
      </c>
      <c r="K6226" s="135" t="n">
        <f aca="false">$G6226*'Analyse capacite'!$E$9</f>
        <v>0</v>
      </c>
    </row>
    <row r="6227" customFormat="false" ht="15" hidden="false" customHeight="false" outlineLevel="0" collapsed="false">
      <c r="B6227" s="130" t="n">
        <v>2027</v>
      </c>
      <c r="C6227" s="131" t="s">
        <v>251</v>
      </c>
      <c r="D6227" s="132" t="n">
        <v>46650</v>
      </c>
      <c r="E6227" s="131" t="s">
        <v>59</v>
      </c>
      <c r="F6227" s="133" t="s">
        <v>11</v>
      </c>
      <c r="G6227" s="134" t="n">
        <f aca="false">LEN('Saisie programme'!$D$238)+SUMIFS('Vols additionnels'!$E$7:$E$66,'Vols additionnels'!$C$7:$C$66,$E6227,'Vols additionnels'!$D$7:$D$66,$F6227,'Vols additionnels'!$B$7:$B$66,$D6227)</f>
        <v>0</v>
      </c>
      <c r="H6227" s="135" t="n">
        <f aca="false">$G6227*'Analyse capacite'!$F$7</f>
        <v>0</v>
      </c>
      <c r="I6227" s="135" t="n">
        <f aca="false">$G6227*'Analyse capacite'!$C$7</f>
        <v>0</v>
      </c>
      <c r="J6227" s="135" t="n">
        <f aca="false">$G6227*'Analyse capacite'!$D$7</f>
        <v>0</v>
      </c>
      <c r="K6227" s="135" t="n">
        <f aca="false">$G6227*'Analyse capacite'!$E$7</f>
        <v>0</v>
      </c>
    </row>
    <row r="6228" customFormat="false" ht="15" hidden="false" customHeight="false" outlineLevel="0" collapsed="false">
      <c r="B6228" s="130" t="n">
        <v>2027</v>
      </c>
      <c r="C6228" s="131" t="s">
        <v>251</v>
      </c>
      <c r="D6228" s="132" t="n">
        <v>46650</v>
      </c>
      <c r="E6228" s="131" t="s">
        <v>59</v>
      </c>
      <c r="F6228" s="133" t="s">
        <v>19</v>
      </c>
      <c r="G6228" s="134" t="n">
        <f aca="false">LEN('Saisie programme'!$D$239)+SUMIFS('Vols additionnels'!$E$7:$E$66,'Vols additionnels'!$C$7:$C$66,$E6228,'Vols additionnels'!$D$7:$D$66,$F6228,'Vols additionnels'!$B$7:$B$66,$D6228)</f>
        <v>0</v>
      </c>
      <c r="H6228" s="135" t="n">
        <f aca="false">$G6228*'Analyse capacite'!$F$8</f>
        <v>0</v>
      </c>
      <c r="I6228" s="135" t="n">
        <f aca="false">$G6228*'Analyse capacite'!$C$8</f>
        <v>0</v>
      </c>
      <c r="J6228" s="135" t="n">
        <f aca="false">$G6228*'Analyse capacite'!$D$8</f>
        <v>0</v>
      </c>
      <c r="K6228" s="135" t="n">
        <f aca="false">$G6228*'Analyse capacite'!$E$8</f>
        <v>0</v>
      </c>
    </row>
    <row r="6229" customFormat="false" ht="15" hidden="false" customHeight="false" outlineLevel="0" collapsed="false">
      <c r="B6229" s="130" t="n">
        <v>2027</v>
      </c>
      <c r="C6229" s="131" t="s">
        <v>251</v>
      </c>
      <c r="D6229" s="132" t="n">
        <v>46650</v>
      </c>
      <c r="E6229" s="131" t="s">
        <v>59</v>
      </c>
      <c r="F6229" s="133" t="s">
        <v>24</v>
      </c>
      <c r="G6229" s="134" t="n">
        <f aca="false">LEN('Saisie programme'!$D$240)+SUMIFS('Vols additionnels'!$E$7:$E$66,'Vols additionnels'!$C$7:$C$66,$E6229,'Vols additionnels'!$D$7:$D$66,$F6229,'Vols additionnels'!$B$7:$B$66,$D6229)</f>
        <v>1</v>
      </c>
      <c r="H6229" s="135" t="n">
        <f aca="false">$G6229*'Analyse capacite'!$F$9</f>
        <v>174</v>
      </c>
      <c r="I6229" s="135" t="n">
        <f aca="false">$G6229*'Analyse capacite'!$C$9</f>
        <v>0</v>
      </c>
      <c r="J6229" s="135" t="n">
        <f aca="false">$G6229*'Analyse capacite'!$D$9</f>
        <v>12</v>
      </c>
      <c r="K6229" s="135" t="n">
        <f aca="false">$G6229*'Analyse capacite'!$E$9</f>
        <v>162</v>
      </c>
    </row>
    <row r="6230" customFormat="false" ht="15" hidden="false" customHeight="false" outlineLevel="0" collapsed="false">
      <c r="B6230" s="130" t="n">
        <v>2027</v>
      </c>
      <c r="C6230" s="131" t="s">
        <v>251</v>
      </c>
      <c r="D6230" s="132" t="n">
        <v>46650</v>
      </c>
      <c r="E6230" s="131" t="s">
        <v>62</v>
      </c>
      <c r="F6230" s="133" t="s">
        <v>11</v>
      </c>
      <c r="G6230" s="134" t="n">
        <f aca="false">LEN('Saisie programme'!$D$241)+SUMIFS('Vols additionnels'!$E$7:$E$66,'Vols additionnels'!$C$7:$C$66,$E6230,'Vols additionnels'!$D$7:$D$66,$F6230,'Vols additionnels'!$B$7:$B$66,$D6230)</f>
        <v>0</v>
      </c>
      <c r="H6230" s="135" t="n">
        <f aca="false">$G6230*'Analyse capacite'!$F$7</f>
        <v>0</v>
      </c>
      <c r="I6230" s="135" t="n">
        <f aca="false">$G6230*'Analyse capacite'!$C$7</f>
        <v>0</v>
      </c>
      <c r="J6230" s="135" t="n">
        <f aca="false">$G6230*'Analyse capacite'!$D$7</f>
        <v>0</v>
      </c>
      <c r="K6230" s="135" t="n">
        <f aca="false">$G6230*'Analyse capacite'!$E$7</f>
        <v>0</v>
      </c>
    </row>
    <row r="6231" customFormat="false" ht="15" hidden="false" customHeight="false" outlineLevel="0" collapsed="false">
      <c r="B6231" s="130" t="n">
        <v>2027</v>
      </c>
      <c r="C6231" s="131" t="s">
        <v>251</v>
      </c>
      <c r="D6231" s="132" t="n">
        <v>46650</v>
      </c>
      <c r="E6231" s="131" t="s">
        <v>62</v>
      </c>
      <c r="F6231" s="133" t="s">
        <v>19</v>
      </c>
      <c r="G6231" s="134" t="n">
        <f aca="false">LEN('Saisie programme'!$D$242)+SUMIFS('Vols additionnels'!$E$7:$E$66,'Vols additionnels'!$C$7:$C$66,$E6231,'Vols additionnels'!$D$7:$D$66,$F6231,'Vols additionnels'!$B$7:$B$66,$D6231)</f>
        <v>0</v>
      </c>
      <c r="H6231" s="135" t="n">
        <f aca="false">$G6231*'Analyse capacite'!$F$8</f>
        <v>0</v>
      </c>
      <c r="I6231" s="135" t="n">
        <f aca="false">$G6231*'Analyse capacite'!$C$8</f>
        <v>0</v>
      </c>
      <c r="J6231" s="135" t="n">
        <f aca="false">$G6231*'Analyse capacite'!$D$8</f>
        <v>0</v>
      </c>
      <c r="K6231" s="135" t="n">
        <f aca="false">$G6231*'Analyse capacite'!$E$8</f>
        <v>0</v>
      </c>
    </row>
    <row r="6232" customFormat="false" ht="15" hidden="false" customHeight="false" outlineLevel="0" collapsed="false">
      <c r="B6232" s="130" t="n">
        <v>2027</v>
      </c>
      <c r="C6232" s="131" t="s">
        <v>251</v>
      </c>
      <c r="D6232" s="132" t="n">
        <v>46650</v>
      </c>
      <c r="E6232" s="131" t="s">
        <v>62</v>
      </c>
      <c r="F6232" s="133" t="s">
        <v>24</v>
      </c>
      <c r="G6232" s="134" t="n">
        <f aca="false">LEN('Saisie programme'!$D$243)+SUMIFS('Vols additionnels'!$E$7:$E$66,'Vols additionnels'!$C$7:$C$66,$E6232,'Vols additionnels'!$D$7:$D$66,$F6232,'Vols additionnels'!$B$7:$B$66,$D6232)</f>
        <v>0</v>
      </c>
      <c r="H6232" s="135" t="n">
        <f aca="false">$G6232*'Analyse capacite'!$F$9</f>
        <v>0</v>
      </c>
      <c r="I6232" s="135" t="n">
        <f aca="false">$G6232*'Analyse capacite'!$C$9</f>
        <v>0</v>
      </c>
      <c r="J6232" s="135" t="n">
        <f aca="false">$G6232*'Analyse capacite'!$D$9</f>
        <v>0</v>
      </c>
      <c r="K6232" s="135" t="n">
        <f aca="false">$G6232*'Analyse capacite'!$E$9</f>
        <v>0</v>
      </c>
    </row>
    <row r="6233" customFormat="false" ht="15" hidden="false" customHeight="false" outlineLevel="0" collapsed="false">
      <c r="B6233" s="130" t="n">
        <v>2027</v>
      </c>
      <c r="C6233" s="131" t="s">
        <v>251</v>
      </c>
      <c r="D6233" s="132" t="n">
        <v>46651</v>
      </c>
      <c r="E6233" s="131" t="s">
        <v>12</v>
      </c>
      <c r="F6233" s="133" t="s">
        <v>11</v>
      </c>
      <c r="G6233" s="134" t="n">
        <f aca="false">LEN('Saisie programme'!$E$208)+SUMIFS('Vols additionnels'!$E$7:$E$66,'Vols additionnels'!$C$7:$C$66,$E6233,'Vols additionnels'!$D$7:$D$66,$F6233,'Vols additionnels'!$B$7:$B$66,$D6233)</f>
        <v>1</v>
      </c>
      <c r="H6233" s="135" t="n">
        <f aca="false">$G6233*'Analyse capacite'!$F$7</f>
        <v>438</v>
      </c>
      <c r="I6233" s="135" t="n">
        <f aca="false">$G6233*'Analyse capacite'!$C$7</f>
        <v>14</v>
      </c>
      <c r="J6233" s="135" t="n">
        <f aca="false">$G6233*'Analyse capacite'!$D$7</f>
        <v>40</v>
      </c>
      <c r="K6233" s="135" t="n">
        <f aca="false">$G6233*'Analyse capacite'!$E$7</f>
        <v>384</v>
      </c>
    </row>
    <row r="6234" customFormat="false" ht="15" hidden="false" customHeight="false" outlineLevel="0" collapsed="false">
      <c r="B6234" s="130" t="n">
        <v>2027</v>
      </c>
      <c r="C6234" s="131" t="s">
        <v>251</v>
      </c>
      <c r="D6234" s="132" t="n">
        <v>46651</v>
      </c>
      <c r="E6234" s="131" t="s">
        <v>12</v>
      </c>
      <c r="F6234" s="133" t="s">
        <v>19</v>
      </c>
      <c r="G6234" s="134" t="n">
        <f aca="false">LEN('Saisie programme'!$E$209)+SUMIFS('Vols additionnels'!$E$7:$E$66,'Vols additionnels'!$C$7:$C$66,$E6234,'Vols additionnels'!$D$7:$D$66,$F6234,'Vols additionnels'!$B$7:$B$66,$D6234)</f>
        <v>0</v>
      </c>
      <c r="H6234" s="135" t="n">
        <f aca="false">$G6234*'Analyse capacite'!$F$8</f>
        <v>0</v>
      </c>
      <c r="I6234" s="135" t="n">
        <f aca="false">$G6234*'Analyse capacite'!$C$8</f>
        <v>0</v>
      </c>
      <c r="J6234" s="135" t="n">
        <f aca="false">$G6234*'Analyse capacite'!$D$8</f>
        <v>0</v>
      </c>
      <c r="K6234" s="135" t="n">
        <f aca="false">$G6234*'Analyse capacite'!$E$8</f>
        <v>0</v>
      </c>
    </row>
    <row r="6235" customFormat="false" ht="15" hidden="false" customHeight="false" outlineLevel="0" collapsed="false">
      <c r="B6235" s="130" t="n">
        <v>2027</v>
      </c>
      <c r="C6235" s="131" t="s">
        <v>251</v>
      </c>
      <c r="D6235" s="132" t="n">
        <v>46651</v>
      </c>
      <c r="E6235" s="131" t="s">
        <v>12</v>
      </c>
      <c r="F6235" s="133" t="s">
        <v>24</v>
      </c>
      <c r="G6235" s="134" t="n">
        <f aca="false">LEN('Saisie programme'!$E$210)+SUMIFS('Vols additionnels'!$E$7:$E$66,'Vols additionnels'!$C$7:$C$66,$E6235,'Vols additionnels'!$D$7:$D$66,$F6235,'Vols additionnels'!$B$7:$B$66,$D6235)</f>
        <v>0</v>
      </c>
      <c r="H6235" s="135" t="n">
        <f aca="false">$G6235*'Analyse capacite'!$F$9</f>
        <v>0</v>
      </c>
      <c r="I6235" s="135" t="n">
        <f aca="false">$G6235*'Analyse capacite'!$C$9</f>
        <v>0</v>
      </c>
      <c r="J6235" s="135" t="n">
        <f aca="false">$G6235*'Analyse capacite'!$D$9</f>
        <v>0</v>
      </c>
      <c r="K6235" s="135" t="n">
        <f aca="false">$G6235*'Analyse capacite'!$E$9</f>
        <v>0</v>
      </c>
    </row>
    <row r="6236" customFormat="false" ht="15" hidden="false" customHeight="false" outlineLevel="0" collapsed="false">
      <c r="B6236" s="130" t="n">
        <v>2027</v>
      </c>
      <c r="C6236" s="131" t="s">
        <v>251</v>
      </c>
      <c r="D6236" s="132" t="n">
        <v>46651</v>
      </c>
      <c r="E6236" s="131" t="s">
        <v>20</v>
      </c>
      <c r="F6236" s="133" t="s">
        <v>11</v>
      </c>
      <c r="G6236" s="134" t="n">
        <f aca="false">LEN('Saisie programme'!$E$211)+SUMIFS('Vols additionnels'!$E$7:$E$66,'Vols additionnels'!$C$7:$C$66,$E6236,'Vols additionnels'!$D$7:$D$66,$F6236,'Vols additionnels'!$B$7:$B$66,$D6236)</f>
        <v>0</v>
      </c>
      <c r="H6236" s="135" t="n">
        <f aca="false">$G6236*'Analyse capacite'!$F$7</f>
        <v>0</v>
      </c>
      <c r="I6236" s="135" t="n">
        <f aca="false">$G6236*'Analyse capacite'!$C$7</f>
        <v>0</v>
      </c>
      <c r="J6236" s="135" t="n">
        <f aca="false">$G6236*'Analyse capacite'!$D$7</f>
        <v>0</v>
      </c>
      <c r="K6236" s="135" t="n">
        <f aca="false">$G6236*'Analyse capacite'!$E$7</f>
        <v>0</v>
      </c>
    </row>
    <row r="6237" customFormat="false" ht="15" hidden="false" customHeight="false" outlineLevel="0" collapsed="false">
      <c r="B6237" s="130" t="n">
        <v>2027</v>
      </c>
      <c r="C6237" s="131" t="s">
        <v>251</v>
      </c>
      <c r="D6237" s="132" t="n">
        <v>46651</v>
      </c>
      <c r="E6237" s="131" t="s">
        <v>20</v>
      </c>
      <c r="F6237" s="133" t="s">
        <v>19</v>
      </c>
      <c r="G6237" s="134" t="n">
        <f aca="false">LEN('Saisie programme'!$E$212)+SUMIFS('Vols additionnels'!$E$7:$E$66,'Vols additionnels'!$C$7:$C$66,$E6237,'Vols additionnels'!$D$7:$D$66,$F6237,'Vols additionnels'!$B$7:$B$66,$D6237)</f>
        <v>1</v>
      </c>
      <c r="H6237" s="135" t="n">
        <f aca="false">$G6237*'Analyse capacite'!$F$8</f>
        <v>262</v>
      </c>
      <c r="I6237" s="135" t="n">
        <f aca="false">$G6237*'Analyse capacite'!$C$8</f>
        <v>18</v>
      </c>
      <c r="J6237" s="135" t="n">
        <f aca="false">$G6237*'Analyse capacite'!$D$8</f>
        <v>0</v>
      </c>
      <c r="K6237" s="135" t="n">
        <f aca="false">$G6237*'Analyse capacite'!$E$8</f>
        <v>244</v>
      </c>
    </row>
    <row r="6238" customFormat="false" ht="15" hidden="false" customHeight="false" outlineLevel="0" collapsed="false">
      <c r="B6238" s="130" t="n">
        <v>2027</v>
      </c>
      <c r="C6238" s="131" t="s">
        <v>251</v>
      </c>
      <c r="D6238" s="132" t="n">
        <v>46651</v>
      </c>
      <c r="E6238" s="131" t="s">
        <v>20</v>
      </c>
      <c r="F6238" s="133" t="s">
        <v>24</v>
      </c>
      <c r="G6238" s="134" t="n">
        <f aca="false">LEN('Saisie programme'!$E$213)+SUMIFS('Vols additionnels'!$E$7:$E$66,'Vols additionnels'!$C$7:$C$66,$E6238,'Vols additionnels'!$D$7:$D$66,$F6238,'Vols additionnels'!$B$7:$B$66,$D6238)</f>
        <v>0</v>
      </c>
      <c r="H6238" s="135" t="n">
        <f aca="false">$G6238*'Analyse capacite'!$F$9</f>
        <v>0</v>
      </c>
      <c r="I6238" s="135" t="n">
        <f aca="false">$G6238*'Analyse capacite'!$C$9</f>
        <v>0</v>
      </c>
      <c r="J6238" s="135" t="n">
        <f aca="false">$G6238*'Analyse capacite'!$D$9</f>
        <v>0</v>
      </c>
      <c r="K6238" s="135" t="n">
        <f aca="false">$G6238*'Analyse capacite'!$E$9</f>
        <v>0</v>
      </c>
    </row>
    <row r="6239" customFormat="false" ht="15" hidden="false" customHeight="false" outlineLevel="0" collapsed="false">
      <c r="B6239" s="130" t="n">
        <v>2027</v>
      </c>
      <c r="C6239" s="131" t="s">
        <v>251</v>
      </c>
      <c r="D6239" s="132" t="n">
        <v>46651</v>
      </c>
      <c r="E6239" s="131" t="s">
        <v>25</v>
      </c>
      <c r="F6239" s="133" t="s">
        <v>11</v>
      </c>
      <c r="G6239" s="134" t="n">
        <f aca="false">LEN('Saisie programme'!$E$214)+SUMIFS('Vols additionnels'!$E$7:$E$66,'Vols additionnels'!$C$7:$C$66,$E6239,'Vols additionnels'!$D$7:$D$66,$F6239,'Vols additionnels'!$B$7:$B$66,$D6239)</f>
        <v>0</v>
      </c>
      <c r="H6239" s="135" t="n">
        <f aca="false">$G6239*'Analyse capacite'!$F$7</f>
        <v>0</v>
      </c>
      <c r="I6239" s="135" t="n">
        <f aca="false">$G6239*'Analyse capacite'!$C$7</f>
        <v>0</v>
      </c>
      <c r="J6239" s="135" t="n">
        <f aca="false">$G6239*'Analyse capacite'!$D$7</f>
        <v>0</v>
      </c>
      <c r="K6239" s="135" t="n">
        <f aca="false">$G6239*'Analyse capacite'!$E$7</f>
        <v>0</v>
      </c>
    </row>
    <row r="6240" customFormat="false" ht="15" hidden="false" customHeight="false" outlineLevel="0" collapsed="false">
      <c r="B6240" s="130" t="n">
        <v>2027</v>
      </c>
      <c r="C6240" s="131" t="s">
        <v>251</v>
      </c>
      <c r="D6240" s="132" t="n">
        <v>46651</v>
      </c>
      <c r="E6240" s="131" t="s">
        <v>25</v>
      </c>
      <c r="F6240" s="133" t="s">
        <v>19</v>
      </c>
      <c r="G6240" s="134" t="n">
        <f aca="false">LEN('Saisie programme'!$E$215)+SUMIFS('Vols additionnels'!$E$7:$E$66,'Vols additionnels'!$C$7:$C$66,$E6240,'Vols additionnels'!$D$7:$D$66,$F6240,'Vols additionnels'!$B$7:$B$66,$D6240)</f>
        <v>0</v>
      </c>
      <c r="H6240" s="135" t="n">
        <f aca="false">$G6240*'Analyse capacite'!$F$8</f>
        <v>0</v>
      </c>
      <c r="I6240" s="135" t="n">
        <f aca="false">$G6240*'Analyse capacite'!$C$8</f>
        <v>0</v>
      </c>
      <c r="J6240" s="135" t="n">
        <f aca="false">$G6240*'Analyse capacite'!$D$8</f>
        <v>0</v>
      </c>
      <c r="K6240" s="135" t="n">
        <f aca="false">$G6240*'Analyse capacite'!$E$8</f>
        <v>0</v>
      </c>
    </row>
    <row r="6241" customFormat="false" ht="15" hidden="false" customHeight="false" outlineLevel="0" collapsed="false">
      <c r="B6241" s="130" t="n">
        <v>2027</v>
      </c>
      <c r="C6241" s="131" t="s">
        <v>251</v>
      </c>
      <c r="D6241" s="132" t="n">
        <v>46651</v>
      </c>
      <c r="E6241" s="131" t="s">
        <v>25</v>
      </c>
      <c r="F6241" s="133" t="s">
        <v>24</v>
      </c>
      <c r="G6241" s="134" t="n">
        <f aca="false">LEN('Saisie programme'!$E$216)+SUMIFS('Vols additionnels'!$E$7:$E$66,'Vols additionnels'!$C$7:$C$66,$E6241,'Vols additionnels'!$D$7:$D$66,$F6241,'Vols additionnels'!$B$7:$B$66,$D6241)</f>
        <v>0</v>
      </c>
      <c r="H6241" s="135" t="n">
        <f aca="false">$G6241*'Analyse capacite'!$F$9</f>
        <v>0</v>
      </c>
      <c r="I6241" s="135" t="n">
        <f aca="false">$G6241*'Analyse capacite'!$C$9</f>
        <v>0</v>
      </c>
      <c r="J6241" s="135" t="n">
        <f aca="false">$G6241*'Analyse capacite'!$D$9</f>
        <v>0</v>
      </c>
      <c r="K6241" s="135" t="n">
        <f aca="false">$G6241*'Analyse capacite'!$E$9</f>
        <v>0</v>
      </c>
    </row>
    <row r="6242" customFormat="false" ht="15" hidden="false" customHeight="false" outlineLevel="0" collapsed="false">
      <c r="B6242" s="130" t="n">
        <v>2027</v>
      </c>
      <c r="C6242" s="131" t="s">
        <v>251</v>
      </c>
      <c r="D6242" s="132" t="n">
        <v>46651</v>
      </c>
      <c r="E6242" s="131" t="s">
        <v>36</v>
      </c>
      <c r="F6242" s="133" t="s">
        <v>11</v>
      </c>
      <c r="G6242" s="134" t="n">
        <f aca="false">LEN('Saisie programme'!$E$217)+SUMIFS('Vols additionnels'!$E$7:$E$66,'Vols additionnels'!$C$7:$C$66,$E6242,'Vols additionnels'!$D$7:$D$66,$F6242,'Vols additionnels'!$B$7:$B$66,$D6242)</f>
        <v>0</v>
      </c>
      <c r="H6242" s="135" t="n">
        <f aca="false">$G6242*'Analyse capacite'!$F$7</f>
        <v>0</v>
      </c>
      <c r="I6242" s="135" t="n">
        <f aca="false">$G6242*'Analyse capacite'!$C$7</f>
        <v>0</v>
      </c>
      <c r="J6242" s="135" t="n">
        <f aca="false">$G6242*'Analyse capacite'!$D$7</f>
        <v>0</v>
      </c>
      <c r="K6242" s="135" t="n">
        <f aca="false">$G6242*'Analyse capacite'!$E$7</f>
        <v>0</v>
      </c>
    </row>
    <row r="6243" customFormat="false" ht="15" hidden="false" customHeight="false" outlineLevel="0" collapsed="false">
      <c r="B6243" s="130" t="n">
        <v>2027</v>
      </c>
      <c r="C6243" s="131" t="s">
        <v>251</v>
      </c>
      <c r="D6243" s="132" t="n">
        <v>46651</v>
      </c>
      <c r="E6243" s="131" t="s">
        <v>36</v>
      </c>
      <c r="F6243" s="133" t="s">
        <v>19</v>
      </c>
      <c r="G6243" s="134" t="n">
        <f aca="false">LEN('Saisie programme'!$E$218)+SUMIFS('Vols additionnels'!$E$7:$E$66,'Vols additionnels'!$C$7:$C$66,$E6243,'Vols additionnels'!$D$7:$D$66,$F6243,'Vols additionnels'!$B$7:$B$66,$D6243)</f>
        <v>0</v>
      </c>
      <c r="H6243" s="135" t="n">
        <f aca="false">$G6243*'Analyse capacite'!$F$8</f>
        <v>0</v>
      </c>
      <c r="I6243" s="135" t="n">
        <f aca="false">$G6243*'Analyse capacite'!$C$8</f>
        <v>0</v>
      </c>
      <c r="J6243" s="135" t="n">
        <f aca="false">$G6243*'Analyse capacite'!$D$8</f>
        <v>0</v>
      </c>
      <c r="K6243" s="135" t="n">
        <f aca="false">$G6243*'Analyse capacite'!$E$8</f>
        <v>0</v>
      </c>
    </row>
    <row r="6244" customFormat="false" ht="15" hidden="false" customHeight="false" outlineLevel="0" collapsed="false">
      <c r="B6244" s="130" t="n">
        <v>2027</v>
      </c>
      <c r="C6244" s="131" t="s">
        <v>251</v>
      </c>
      <c r="D6244" s="132" t="n">
        <v>46651</v>
      </c>
      <c r="E6244" s="131" t="s">
        <v>36</v>
      </c>
      <c r="F6244" s="133" t="s">
        <v>24</v>
      </c>
      <c r="G6244" s="134" t="n">
        <f aca="false">LEN('Saisie programme'!$E$219)+SUMIFS('Vols additionnels'!$E$7:$E$66,'Vols additionnels'!$C$7:$C$66,$E6244,'Vols additionnels'!$D$7:$D$66,$F6244,'Vols additionnels'!$B$7:$B$66,$D6244)</f>
        <v>1</v>
      </c>
      <c r="H6244" s="135" t="n">
        <f aca="false">$G6244*'Analyse capacite'!$F$9</f>
        <v>174</v>
      </c>
      <c r="I6244" s="135" t="n">
        <f aca="false">$G6244*'Analyse capacite'!$C$9</f>
        <v>0</v>
      </c>
      <c r="J6244" s="135" t="n">
        <f aca="false">$G6244*'Analyse capacite'!$D$9</f>
        <v>12</v>
      </c>
      <c r="K6244" s="135" t="n">
        <f aca="false">$G6244*'Analyse capacite'!$E$9</f>
        <v>162</v>
      </c>
    </row>
    <row r="6245" customFormat="false" ht="15" hidden="false" customHeight="false" outlineLevel="0" collapsed="false">
      <c r="B6245" s="130" t="n">
        <v>2027</v>
      </c>
      <c r="C6245" s="131" t="s">
        <v>251</v>
      </c>
      <c r="D6245" s="132" t="n">
        <v>46651</v>
      </c>
      <c r="E6245" s="131" t="s">
        <v>40</v>
      </c>
      <c r="F6245" s="133" t="s">
        <v>11</v>
      </c>
      <c r="G6245" s="134" t="n">
        <f aca="false">LEN('Saisie programme'!$E$220)+SUMIFS('Vols additionnels'!$E$7:$E$66,'Vols additionnels'!$C$7:$C$66,$E6245,'Vols additionnels'!$D$7:$D$66,$F6245,'Vols additionnels'!$B$7:$B$66,$D6245)</f>
        <v>0</v>
      </c>
      <c r="H6245" s="135" t="n">
        <f aca="false">$G6245*'Analyse capacite'!$F$7</f>
        <v>0</v>
      </c>
      <c r="I6245" s="135" t="n">
        <f aca="false">$G6245*'Analyse capacite'!$C$7</f>
        <v>0</v>
      </c>
      <c r="J6245" s="135" t="n">
        <f aca="false">$G6245*'Analyse capacite'!$D$7</f>
        <v>0</v>
      </c>
      <c r="K6245" s="135" t="n">
        <f aca="false">$G6245*'Analyse capacite'!$E$7</f>
        <v>0</v>
      </c>
    </row>
    <row r="6246" customFormat="false" ht="15" hidden="false" customHeight="false" outlineLevel="0" collapsed="false">
      <c r="B6246" s="130" t="n">
        <v>2027</v>
      </c>
      <c r="C6246" s="131" t="s">
        <v>251</v>
      </c>
      <c r="D6246" s="132" t="n">
        <v>46651</v>
      </c>
      <c r="E6246" s="131" t="s">
        <v>40</v>
      </c>
      <c r="F6246" s="133" t="s">
        <v>19</v>
      </c>
      <c r="G6246" s="134" t="n">
        <f aca="false">LEN('Saisie programme'!$E$221)+SUMIFS('Vols additionnels'!$E$7:$E$66,'Vols additionnels'!$C$7:$C$66,$E6246,'Vols additionnels'!$D$7:$D$66,$F6246,'Vols additionnels'!$B$7:$B$66,$D6246)</f>
        <v>0</v>
      </c>
      <c r="H6246" s="135" t="n">
        <f aca="false">$G6246*'Analyse capacite'!$F$8</f>
        <v>0</v>
      </c>
      <c r="I6246" s="135" t="n">
        <f aca="false">$G6246*'Analyse capacite'!$C$8</f>
        <v>0</v>
      </c>
      <c r="J6246" s="135" t="n">
        <f aca="false">$G6246*'Analyse capacite'!$D$8</f>
        <v>0</v>
      </c>
      <c r="K6246" s="135" t="n">
        <f aca="false">$G6246*'Analyse capacite'!$E$8</f>
        <v>0</v>
      </c>
    </row>
    <row r="6247" customFormat="false" ht="15" hidden="false" customHeight="false" outlineLevel="0" collapsed="false">
      <c r="B6247" s="130" t="n">
        <v>2027</v>
      </c>
      <c r="C6247" s="131" t="s">
        <v>251</v>
      </c>
      <c r="D6247" s="132" t="n">
        <v>46651</v>
      </c>
      <c r="E6247" s="131" t="s">
        <v>40</v>
      </c>
      <c r="F6247" s="133" t="s">
        <v>24</v>
      </c>
      <c r="G6247" s="134" t="n">
        <f aca="false">LEN('Saisie programme'!$E$222)+SUMIFS('Vols additionnels'!$E$7:$E$66,'Vols additionnels'!$C$7:$C$66,$E6247,'Vols additionnels'!$D$7:$D$66,$F6247,'Vols additionnels'!$B$7:$B$66,$D6247)</f>
        <v>0</v>
      </c>
      <c r="H6247" s="135" t="n">
        <f aca="false">$G6247*'Analyse capacite'!$F$9</f>
        <v>0</v>
      </c>
      <c r="I6247" s="135" t="n">
        <f aca="false">$G6247*'Analyse capacite'!$C$9</f>
        <v>0</v>
      </c>
      <c r="J6247" s="135" t="n">
        <f aca="false">$G6247*'Analyse capacite'!$D$9</f>
        <v>0</v>
      </c>
      <c r="K6247" s="135" t="n">
        <f aca="false">$G6247*'Analyse capacite'!$E$9</f>
        <v>0</v>
      </c>
    </row>
    <row r="6248" customFormat="false" ht="15" hidden="false" customHeight="false" outlineLevel="0" collapsed="false">
      <c r="B6248" s="130" t="n">
        <v>2027</v>
      </c>
      <c r="C6248" s="131" t="s">
        <v>251</v>
      </c>
      <c r="D6248" s="132" t="n">
        <v>46651</v>
      </c>
      <c r="E6248" s="131" t="s">
        <v>14</v>
      </c>
      <c r="F6248" s="133" t="s">
        <v>11</v>
      </c>
      <c r="G6248" s="134" t="n">
        <f aca="false">LEN('Saisie programme'!$E$223)+SUMIFS('Vols additionnels'!$E$7:$E$66,'Vols additionnels'!$C$7:$C$66,$E6248,'Vols additionnels'!$D$7:$D$66,$F6248,'Vols additionnels'!$B$7:$B$66,$D6248)</f>
        <v>0</v>
      </c>
      <c r="H6248" s="135" t="n">
        <f aca="false">$G6248*'Analyse capacite'!$F$7</f>
        <v>0</v>
      </c>
      <c r="I6248" s="135" t="n">
        <f aca="false">$G6248*'Analyse capacite'!$C$7</f>
        <v>0</v>
      </c>
      <c r="J6248" s="135" t="n">
        <f aca="false">$G6248*'Analyse capacite'!$D$7</f>
        <v>0</v>
      </c>
      <c r="K6248" s="135" t="n">
        <f aca="false">$G6248*'Analyse capacite'!$E$7</f>
        <v>0</v>
      </c>
    </row>
    <row r="6249" customFormat="false" ht="15" hidden="false" customHeight="false" outlineLevel="0" collapsed="false">
      <c r="B6249" s="130" t="n">
        <v>2027</v>
      </c>
      <c r="C6249" s="131" t="s">
        <v>251</v>
      </c>
      <c r="D6249" s="132" t="n">
        <v>46651</v>
      </c>
      <c r="E6249" s="131" t="s">
        <v>14</v>
      </c>
      <c r="F6249" s="133" t="s">
        <v>19</v>
      </c>
      <c r="G6249" s="134" t="n">
        <f aca="false">LEN('Saisie programme'!$E$224)+SUMIFS('Vols additionnels'!$E$7:$E$66,'Vols additionnels'!$C$7:$C$66,$E6249,'Vols additionnels'!$D$7:$D$66,$F6249,'Vols additionnels'!$B$7:$B$66,$D6249)</f>
        <v>0</v>
      </c>
      <c r="H6249" s="135" t="n">
        <f aca="false">$G6249*'Analyse capacite'!$F$8</f>
        <v>0</v>
      </c>
      <c r="I6249" s="135" t="n">
        <f aca="false">$G6249*'Analyse capacite'!$C$8</f>
        <v>0</v>
      </c>
      <c r="J6249" s="135" t="n">
        <f aca="false">$G6249*'Analyse capacite'!$D$8</f>
        <v>0</v>
      </c>
      <c r="K6249" s="135" t="n">
        <f aca="false">$G6249*'Analyse capacite'!$E$8</f>
        <v>0</v>
      </c>
    </row>
    <row r="6250" customFormat="false" ht="15" hidden="false" customHeight="false" outlineLevel="0" collapsed="false">
      <c r="B6250" s="130" t="n">
        <v>2027</v>
      </c>
      <c r="C6250" s="131" t="s">
        <v>251</v>
      </c>
      <c r="D6250" s="132" t="n">
        <v>46651</v>
      </c>
      <c r="E6250" s="131" t="s">
        <v>14</v>
      </c>
      <c r="F6250" s="133" t="s">
        <v>24</v>
      </c>
      <c r="G6250" s="134" t="n">
        <f aca="false">LEN('Saisie programme'!$E$225)+SUMIFS('Vols additionnels'!$E$7:$E$66,'Vols additionnels'!$C$7:$C$66,$E6250,'Vols additionnels'!$D$7:$D$66,$F6250,'Vols additionnels'!$B$7:$B$66,$D6250)</f>
        <v>0</v>
      </c>
      <c r="H6250" s="135" t="n">
        <f aca="false">$G6250*'Analyse capacite'!$F$9</f>
        <v>0</v>
      </c>
      <c r="I6250" s="135" t="n">
        <f aca="false">$G6250*'Analyse capacite'!$C$9</f>
        <v>0</v>
      </c>
      <c r="J6250" s="135" t="n">
        <f aca="false">$G6250*'Analyse capacite'!$D$9</f>
        <v>0</v>
      </c>
      <c r="K6250" s="135" t="n">
        <f aca="false">$G6250*'Analyse capacite'!$E$9</f>
        <v>0</v>
      </c>
    </row>
    <row r="6251" customFormat="false" ht="15" hidden="false" customHeight="false" outlineLevel="0" collapsed="false">
      <c r="B6251" s="130" t="n">
        <v>2027</v>
      </c>
      <c r="C6251" s="131" t="s">
        <v>251</v>
      </c>
      <c r="D6251" s="132" t="n">
        <v>46651</v>
      </c>
      <c r="E6251" s="131" t="s">
        <v>46</v>
      </c>
      <c r="F6251" s="133" t="s">
        <v>11</v>
      </c>
      <c r="G6251" s="134" t="n">
        <f aca="false">LEN('Saisie programme'!$E$226)+SUMIFS('Vols additionnels'!$E$7:$E$66,'Vols additionnels'!$C$7:$C$66,$E6251,'Vols additionnels'!$D$7:$D$66,$F6251,'Vols additionnels'!$B$7:$B$66,$D6251)</f>
        <v>0</v>
      </c>
      <c r="H6251" s="135" t="n">
        <f aca="false">$G6251*'Analyse capacite'!$F$7</f>
        <v>0</v>
      </c>
      <c r="I6251" s="135" t="n">
        <f aca="false">$G6251*'Analyse capacite'!$C$7</f>
        <v>0</v>
      </c>
      <c r="J6251" s="135" t="n">
        <f aca="false">$G6251*'Analyse capacite'!$D$7</f>
        <v>0</v>
      </c>
      <c r="K6251" s="135" t="n">
        <f aca="false">$G6251*'Analyse capacite'!$E$7</f>
        <v>0</v>
      </c>
    </row>
    <row r="6252" customFormat="false" ht="15" hidden="false" customHeight="false" outlineLevel="0" collapsed="false">
      <c r="B6252" s="130" t="n">
        <v>2027</v>
      </c>
      <c r="C6252" s="131" t="s">
        <v>251</v>
      </c>
      <c r="D6252" s="132" t="n">
        <v>46651</v>
      </c>
      <c r="E6252" s="131" t="s">
        <v>46</v>
      </c>
      <c r="F6252" s="133" t="s">
        <v>19</v>
      </c>
      <c r="G6252" s="134" t="n">
        <f aca="false">LEN('Saisie programme'!$E$227)+SUMIFS('Vols additionnels'!$E$7:$E$66,'Vols additionnels'!$C$7:$C$66,$E6252,'Vols additionnels'!$D$7:$D$66,$F6252,'Vols additionnels'!$B$7:$B$66,$D6252)</f>
        <v>0</v>
      </c>
      <c r="H6252" s="135" t="n">
        <f aca="false">$G6252*'Analyse capacite'!$F$8</f>
        <v>0</v>
      </c>
      <c r="I6252" s="135" t="n">
        <f aca="false">$G6252*'Analyse capacite'!$C$8</f>
        <v>0</v>
      </c>
      <c r="J6252" s="135" t="n">
        <f aca="false">$G6252*'Analyse capacite'!$D$8</f>
        <v>0</v>
      </c>
      <c r="K6252" s="135" t="n">
        <f aca="false">$G6252*'Analyse capacite'!$E$8</f>
        <v>0</v>
      </c>
    </row>
    <row r="6253" customFormat="false" ht="15" hidden="false" customHeight="false" outlineLevel="0" collapsed="false">
      <c r="B6253" s="130" t="n">
        <v>2027</v>
      </c>
      <c r="C6253" s="131" t="s">
        <v>251</v>
      </c>
      <c r="D6253" s="132" t="n">
        <v>46651</v>
      </c>
      <c r="E6253" s="131" t="s">
        <v>46</v>
      </c>
      <c r="F6253" s="133" t="s">
        <v>24</v>
      </c>
      <c r="G6253" s="134" t="n">
        <f aca="false">LEN('Saisie programme'!$E$228)+SUMIFS('Vols additionnels'!$E$7:$E$66,'Vols additionnels'!$C$7:$C$66,$E6253,'Vols additionnels'!$D$7:$D$66,$F6253,'Vols additionnels'!$B$7:$B$66,$D6253)</f>
        <v>1</v>
      </c>
      <c r="H6253" s="135" t="n">
        <f aca="false">$G6253*'Analyse capacite'!$F$9</f>
        <v>174</v>
      </c>
      <c r="I6253" s="135" t="n">
        <f aca="false">$G6253*'Analyse capacite'!$C$9</f>
        <v>0</v>
      </c>
      <c r="J6253" s="135" t="n">
        <f aca="false">$G6253*'Analyse capacite'!$D$9</f>
        <v>12</v>
      </c>
      <c r="K6253" s="135" t="n">
        <f aca="false">$G6253*'Analyse capacite'!$E$9</f>
        <v>162</v>
      </c>
    </row>
    <row r="6254" customFormat="false" ht="15" hidden="false" customHeight="false" outlineLevel="0" collapsed="false">
      <c r="B6254" s="130" t="n">
        <v>2027</v>
      </c>
      <c r="C6254" s="131" t="s">
        <v>251</v>
      </c>
      <c r="D6254" s="132" t="n">
        <v>46651</v>
      </c>
      <c r="E6254" s="131" t="s">
        <v>49</v>
      </c>
      <c r="F6254" s="133" t="s">
        <v>11</v>
      </c>
      <c r="G6254" s="134" t="n">
        <f aca="false">LEN('Saisie programme'!$E$229)+SUMIFS('Vols additionnels'!$E$7:$E$66,'Vols additionnels'!$C$7:$C$66,$E6254,'Vols additionnels'!$D$7:$D$66,$F6254,'Vols additionnels'!$B$7:$B$66,$D6254)</f>
        <v>0</v>
      </c>
      <c r="H6254" s="135" t="n">
        <f aca="false">$G6254*'Analyse capacite'!$F$7</f>
        <v>0</v>
      </c>
      <c r="I6254" s="135" t="n">
        <f aca="false">$G6254*'Analyse capacite'!$C$7</f>
        <v>0</v>
      </c>
      <c r="J6254" s="135" t="n">
        <f aca="false">$G6254*'Analyse capacite'!$D$7</f>
        <v>0</v>
      </c>
      <c r="K6254" s="135" t="n">
        <f aca="false">$G6254*'Analyse capacite'!$E$7</f>
        <v>0</v>
      </c>
    </row>
    <row r="6255" customFormat="false" ht="15" hidden="false" customHeight="false" outlineLevel="0" collapsed="false">
      <c r="B6255" s="130" t="n">
        <v>2027</v>
      </c>
      <c r="C6255" s="131" t="s">
        <v>251</v>
      </c>
      <c r="D6255" s="132" t="n">
        <v>46651</v>
      </c>
      <c r="E6255" s="131" t="s">
        <v>49</v>
      </c>
      <c r="F6255" s="133" t="s">
        <v>19</v>
      </c>
      <c r="G6255" s="134" t="n">
        <f aca="false">LEN('Saisie programme'!$E$230)+SUMIFS('Vols additionnels'!$E$7:$E$66,'Vols additionnels'!$C$7:$C$66,$E6255,'Vols additionnels'!$D$7:$D$66,$F6255,'Vols additionnels'!$B$7:$B$66,$D6255)</f>
        <v>0</v>
      </c>
      <c r="H6255" s="135" t="n">
        <f aca="false">$G6255*'Analyse capacite'!$F$8</f>
        <v>0</v>
      </c>
      <c r="I6255" s="135" t="n">
        <f aca="false">$G6255*'Analyse capacite'!$C$8</f>
        <v>0</v>
      </c>
      <c r="J6255" s="135" t="n">
        <f aca="false">$G6255*'Analyse capacite'!$D$8</f>
        <v>0</v>
      </c>
      <c r="K6255" s="135" t="n">
        <f aca="false">$G6255*'Analyse capacite'!$E$8</f>
        <v>0</v>
      </c>
    </row>
    <row r="6256" customFormat="false" ht="15" hidden="false" customHeight="false" outlineLevel="0" collapsed="false">
      <c r="B6256" s="130" t="n">
        <v>2027</v>
      </c>
      <c r="C6256" s="131" t="s">
        <v>251</v>
      </c>
      <c r="D6256" s="132" t="n">
        <v>46651</v>
      </c>
      <c r="E6256" s="131" t="s">
        <v>49</v>
      </c>
      <c r="F6256" s="133" t="s">
        <v>24</v>
      </c>
      <c r="G6256" s="134" t="n">
        <f aca="false">LEN('Saisie programme'!$E$231)+SUMIFS('Vols additionnels'!$E$7:$E$66,'Vols additionnels'!$C$7:$C$66,$E6256,'Vols additionnels'!$D$7:$D$66,$F6256,'Vols additionnels'!$B$7:$B$66,$D6256)</f>
        <v>0</v>
      </c>
      <c r="H6256" s="135" t="n">
        <f aca="false">$G6256*'Analyse capacite'!$F$9</f>
        <v>0</v>
      </c>
      <c r="I6256" s="135" t="n">
        <f aca="false">$G6256*'Analyse capacite'!$C$9</f>
        <v>0</v>
      </c>
      <c r="J6256" s="135" t="n">
        <f aca="false">$G6256*'Analyse capacite'!$D$9</f>
        <v>0</v>
      </c>
      <c r="K6256" s="135" t="n">
        <f aca="false">$G6256*'Analyse capacite'!$E$9</f>
        <v>0</v>
      </c>
    </row>
    <row r="6257" customFormat="false" ht="15" hidden="false" customHeight="false" outlineLevel="0" collapsed="false">
      <c r="B6257" s="130" t="n">
        <v>2027</v>
      </c>
      <c r="C6257" s="131" t="s">
        <v>251</v>
      </c>
      <c r="D6257" s="132" t="n">
        <v>46651</v>
      </c>
      <c r="E6257" s="131" t="s">
        <v>53</v>
      </c>
      <c r="F6257" s="133" t="s">
        <v>11</v>
      </c>
      <c r="G6257" s="134" t="n">
        <f aca="false">LEN('Saisie programme'!$E$232)+SUMIFS('Vols additionnels'!$E$7:$E$66,'Vols additionnels'!$C$7:$C$66,$E6257,'Vols additionnels'!$D$7:$D$66,$F6257,'Vols additionnels'!$B$7:$B$66,$D6257)</f>
        <v>0</v>
      </c>
      <c r="H6257" s="135" t="n">
        <f aca="false">$G6257*'Analyse capacite'!$F$7</f>
        <v>0</v>
      </c>
      <c r="I6257" s="135" t="n">
        <f aca="false">$G6257*'Analyse capacite'!$C$7</f>
        <v>0</v>
      </c>
      <c r="J6257" s="135" t="n">
        <f aca="false">$G6257*'Analyse capacite'!$D$7</f>
        <v>0</v>
      </c>
      <c r="K6257" s="135" t="n">
        <f aca="false">$G6257*'Analyse capacite'!$E$7</f>
        <v>0</v>
      </c>
    </row>
    <row r="6258" customFormat="false" ht="15" hidden="false" customHeight="false" outlineLevel="0" collapsed="false">
      <c r="B6258" s="130" t="n">
        <v>2027</v>
      </c>
      <c r="C6258" s="131" t="s">
        <v>251</v>
      </c>
      <c r="D6258" s="132" t="n">
        <v>46651</v>
      </c>
      <c r="E6258" s="131" t="s">
        <v>53</v>
      </c>
      <c r="F6258" s="133" t="s">
        <v>19</v>
      </c>
      <c r="G6258" s="134" t="n">
        <f aca="false">LEN('Saisie programme'!$E$233)+SUMIFS('Vols additionnels'!$E$7:$E$66,'Vols additionnels'!$C$7:$C$66,$E6258,'Vols additionnels'!$D$7:$D$66,$F6258,'Vols additionnels'!$B$7:$B$66,$D6258)</f>
        <v>0</v>
      </c>
      <c r="H6258" s="135" t="n">
        <f aca="false">$G6258*'Analyse capacite'!$F$8</f>
        <v>0</v>
      </c>
      <c r="I6258" s="135" t="n">
        <f aca="false">$G6258*'Analyse capacite'!$C$8</f>
        <v>0</v>
      </c>
      <c r="J6258" s="135" t="n">
        <f aca="false">$G6258*'Analyse capacite'!$D$8</f>
        <v>0</v>
      </c>
      <c r="K6258" s="135" t="n">
        <f aca="false">$G6258*'Analyse capacite'!$E$8</f>
        <v>0</v>
      </c>
    </row>
    <row r="6259" customFormat="false" ht="15" hidden="false" customHeight="false" outlineLevel="0" collapsed="false">
      <c r="B6259" s="130" t="n">
        <v>2027</v>
      </c>
      <c r="C6259" s="131" t="s">
        <v>251</v>
      </c>
      <c r="D6259" s="132" t="n">
        <v>46651</v>
      </c>
      <c r="E6259" s="131" t="s">
        <v>53</v>
      </c>
      <c r="F6259" s="133" t="s">
        <v>24</v>
      </c>
      <c r="G6259" s="134" t="n">
        <f aca="false">LEN('Saisie programme'!$E$234)+SUMIFS('Vols additionnels'!$E$7:$E$66,'Vols additionnels'!$C$7:$C$66,$E6259,'Vols additionnels'!$D$7:$D$66,$F6259,'Vols additionnels'!$B$7:$B$66,$D6259)</f>
        <v>0</v>
      </c>
      <c r="H6259" s="135" t="n">
        <f aca="false">$G6259*'Analyse capacite'!$F$9</f>
        <v>0</v>
      </c>
      <c r="I6259" s="135" t="n">
        <f aca="false">$G6259*'Analyse capacite'!$C$9</f>
        <v>0</v>
      </c>
      <c r="J6259" s="135" t="n">
        <f aca="false">$G6259*'Analyse capacite'!$D$9</f>
        <v>0</v>
      </c>
      <c r="K6259" s="135" t="n">
        <f aca="false">$G6259*'Analyse capacite'!$E$9</f>
        <v>0</v>
      </c>
    </row>
    <row r="6260" customFormat="false" ht="15" hidden="false" customHeight="false" outlineLevel="0" collapsed="false">
      <c r="B6260" s="130" t="n">
        <v>2027</v>
      </c>
      <c r="C6260" s="131" t="s">
        <v>251</v>
      </c>
      <c r="D6260" s="132" t="n">
        <v>46651</v>
      </c>
      <c r="E6260" s="131" t="s">
        <v>56</v>
      </c>
      <c r="F6260" s="133" t="s">
        <v>11</v>
      </c>
      <c r="G6260" s="134" t="n">
        <f aca="false">LEN('Saisie programme'!$E$235)+SUMIFS('Vols additionnels'!$E$7:$E$66,'Vols additionnels'!$C$7:$C$66,$E6260,'Vols additionnels'!$D$7:$D$66,$F6260,'Vols additionnels'!$B$7:$B$66,$D6260)</f>
        <v>0</v>
      </c>
      <c r="H6260" s="135" t="n">
        <f aca="false">$G6260*'Analyse capacite'!$F$7</f>
        <v>0</v>
      </c>
      <c r="I6260" s="135" t="n">
        <f aca="false">$G6260*'Analyse capacite'!$C$7</f>
        <v>0</v>
      </c>
      <c r="J6260" s="135" t="n">
        <f aca="false">$G6260*'Analyse capacite'!$D$7</f>
        <v>0</v>
      </c>
      <c r="K6260" s="135" t="n">
        <f aca="false">$G6260*'Analyse capacite'!$E$7</f>
        <v>0</v>
      </c>
    </row>
    <row r="6261" customFormat="false" ht="15" hidden="false" customHeight="false" outlineLevel="0" collapsed="false">
      <c r="B6261" s="130" t="n">
        <v>2027</v>
      </c>
      <c r="C6261" s="131" t="s">
        <v>251</v>
      </c>
      <c r="D6261" s="132" t="n">
        <v>46651</v>
      </c>
      <c r="E6261" s="131" t="s">
        <v>56</v>
      </c>
      <c r="F6261" s="133" t="s">
        <v>19</v>
      </c>
      <c r="G6261" s="134" t="n">
        <f aca="false">LEN('Saisie programme'!$E$236)+SUMIFS('Vols additionnels'!$E$7:$E$66,'Vols additionnels'!$C$7:$C$66,$E6261,'Vols additionnels'!$D$7:$D$66,$F6261,'Vols additionnels'!$B$7:$B$66,$D6261)</f>
        <v>0</v>
      </c>
      <c r="H6261" s="135" t="n">
        <f aca="false">$G6261*'Analyse capacite'!$F$8</f>
        <v>0</v>
      </c>
      <c r="I6261" s="135" t="n">
        <f aca="false">$G6261*'Analyse capacite'!$C$8</f>
        <v>0</v>
      </c>
      <c r="J6261" s="135" t="n">
        <f aca="false">$G6261*'Analyse capacite'!$D$8</f>
        <v>0</v>
      </c>
      <c r="K6261" s="135" t="n">
        <f aca="false">$G6261*'Analyse capacite'!$E$8</f>
        <v>0</v>
      </c>
    </row>
    <row r="6262" customFormat="false" ht="15" hidden="false" customHeight="false" outlineLevel="0" collapsed="false">
      <c r="B6262" s="130" t="n">
        <v>2027</v>
      </c>
      <c r="C6262" s="131" t="s">
        <v>251</v>
      </c>
      <c r="D6262" s="132" t="n">
        <v>46651</v>
      </c>
      <c r="E6262" s="131" t="s">
        <v>56</v>
      </c>
      <c r="F6262" s="133" t="s">
        <v>24</v>
      </c>
      <c r="G6262" s="134" t="n">
        <f aca="false">LEN('Saisie programme'!$E$237)+SUMIFS('Vols additionnels'!$E$7:$E$66,'Vols additionnels'!$C$7:$C$66,$E6262,'Vols additionnels'!$D$7:$D$66,$F6262,'Vols additionnels'!$B$7:$B$66,$D6262)</f>
        <v>1</v>
      </c>
      <c r="H6262" s="135" t="n">
        <f aca="false">$G6262*'Analyse capacite'!$F$9</f>
        <v>174</v>
      </c>
      <c r="I6262" s="135" t="n">
        <f aca="false">$G6262*'Analyse capacite'!$C$9</f>
        <v>0</v>
      </c>
      <c r="J6262" s="135" t="n">
        <f aca="false">$G6262*'Analyse capacite'!$D$9</f>
        <v>12</v>
      </c>
      <c r="K6262" s="135" t="n">
        <f aca="false">$G6262*'Analyse capacite'!$E$9</f>
        <v>162</v>
      </c>
    </row>
    <row r="6263" customFormat="false" ht="15" hidden="false" customHeight="false" outlineLevel="0" collapsed="false">
      <c r="B6263" s="130" t="n">
        <v>2027</v>
      </c>
      <c r="C6263" s="131" t="s">
        <v>251</v>
      </c>
      <c r="D6263" s="132" t="n">
        <v>46651</v>
      </c>
      <c r="E6263" s="131" t="s">
        <v>59</v>
      </c>
      <c r="F6263" s="133" t="s">
        <v>11</v>
      </c>
      <c r="G6263" s="134" t="n">
        <f aca="false">LEN('Saisie programme'!$E$238)+SUMIFS('Vols additionnels'!$E$7:$E$66,'Vols additionnels'!$C$7:$C$66,$E6263,'Vols additionnels'!$D$7:$D$66,$F6263,'Vols additionnels'!$B$7:$B$66,$D6263)</f>
        <v>0</v>
      </c>
      <c r="H6263" s="135" t="n">
        <f aca="false">$G6263*'Analyse capacite'!$F$7</f>
        <v>0</v>
      </c>
      <c r="I6263" s="135" t="n">
        <f aca="false">$G6263*'Analyse capacite'!$C$7</f>
        <v>0</v>
      </c>
      <c r="J6263" s="135" t="n">
        <f aca="false">$G6263*'Analyse capacite'!$D$7</f>
        <v>0</v>
      </c>
      <c r="K6263" s="135" t="n">
        <f aca="false">$G6263*'Analyse capacite'!$E$7</f>
        <v>0</v>
      </c>
    </row>
    <row r="6264" customFormat="false" ht="15" hidden="false" customHeight="false" outlineLevel="0" collapsed="false">
      <c r="B6264" s="130" t="n">
        <v>2027</v>
      </c>
      <c r="C6264" s="131" t="s">
        <v>251</v>
      </c>
      <c r="D6264" s="132" t="n">
        <v>46651</v>
      </c>
      <c r="E6264" s="131" t="s">
        <v>59</v>
      </c>
      <c r="F6264" s="133" t="s">
        <v>19</v>
      </c>
      <c r="G6264" s="134" t="n">
        <f aca="false">LEN('Saisie programme'!$E$239)+SUMIFS('Vols additionnels'!$E$7:$E$66,'Vols additionnels'!$C$7:$C$66,$E6264,'Vols additionnels'!$D$7:$D$66,$F6264,'Vols additionnels'!$B$7:$B$66,$D6264)</f>
        <v>0</v>
      </c>
      <c r="H6264" s="135" t="n">
        <f aca="false">$G6264*'Analyse capacite'!$F$8</f>
        <v>0</v>
      </c>
      <c r="I6264" s="135" t="n">
        <f aca="false">$G6264*'Analyse capacite'!$C$8</f>
        <v>0</v>
      </c>
      <c r="J6264" s="135" t="n">
        <f aca="false">$G6264*'Analyse capacite'!$D$8</f>
        <v>0</v>
      </c>
      <c r="K6264" s="135" t="n">
        <f aca="false">$G6264*'Analyse capacite'!$E$8</f>
        <v>0</v>
      </c>
    </row>
    <row r="6265" customFormat="false" ht="15" hidden="false" customHeight="false" outlineLevel="0" collapsed="false">
      <c r="B6265" s="130" t="n">
        <v>2027</v>
      </c>
      <c r="C6265" s="131" t="s">
        <v>251</v>
      </c>
      <c r="D6265" s="132" t="n">
        <v>46651</v>
      </c>
      <c r="E6265" s="131" t="s">
        <v>59</v>
      </c>
      <c r="F6265" s="133" t="s">
        <v>24</v>
      </c>
      <c r="G6265" s="134" t="n">
        <f aca="false">LEN('Saisie programme'!$E$240)+SUMIFS('Vols additionnels'!$E$7:$E$66,'Vols additionnels'!$C$7:$C$66,$E6265,'Vols additionnels'!$D$7:$D$66,$F6265,'Vols additionnels'!$B$7:$B$66,$D6265)</f>
        <v>1</v>
      </c>
      <c r="H6265" s="135" t="n">
        <f aca="false">$G6265*'Analyse capacite'!$F$9</f>
        <v>174</v>
      </c>
      <c r="I6265" s="135" t="n">
        <f aca="false">$G6265*'Analyse capacite'!$C$9</f>
        <v>0</v>
      </c>
      <c r="J6265" s="135" t="n">
        <f aca="false">$G6265*'Analyse capacite'!$D$9</f>
        <v>12</v>
      </c>
      <c r="K6265" s="135" t="n">
        <f aca="false">$G6265*'Analyse capacite'!$E$9</f>
        <v>162</v>
      </c>
    </row>
    <row r="6266" customFormat="false" ht="15" hidden="false" customHeight="false" outlineLevel="0" collapsed="false">
      <c r="B6266" s="130" t="n">
        <v>2027</v>
      </c>
      <c r="C6266" s="131" t="s">
        <v>251</v>
      </c>
      <c r="D6266" s="132" t="n">
        <v>46651</v>
      </c>
      <c r="E6266" s="131" t="s">
        <v>62</v>
      </c>
      <c r="F6266" s="133" t="s">
        <v>11</v>
      </c>
      <c r="G6266" s="134" t="n">
        <f aca="false">LEN('Saisie programme'!$E$241)+SUMIFS('Vols additionnels'!$E$7:$E$66,'Vols additionnels'!$C$7:$C$66,$E6266,'Vols additionnels'!$D$7:$D$66,$F6266,'Vols additionnels'!$B$7:$B$66,$D6266)</f>
        <v>0</v>
      </c>
      <c r="H6266" s="135" t="n">
        <f aca="false">$G6266*'Analyse capacite'!$F$7</f>
        <v>0</v>
      </c>
      <c r="I6266" s="135" t="n">
        <f aca="false">$G6266*'Analyse capacite'!$C$7</f>
        <v>0</v>
      </c>
      <c r="J6266" s="135" t="n">
        <f aca="false">$G6266*'Analyse capacite'!$D$7</f>
        <v>0</v>
      </c>
      <c r="K6266" s="135" t="n">
        <f aca="false">$G6266*'Analyse capacite'!$E$7</f>
        <v>0</v>
      </c>
    </row>
    <row r="6267" customFormat="false" ht="15" hidden="false" customHeight="false" outlineLevel="0" collapsed="false">
      <c r="B6267" s="130" t="n">
        <v>2027</v>
      </c>
      <c r="C6267" s="131" t="s">
        <v>251</v>
      </c>
      <c r="D6267" s="132" t="n">
        <v>46651</v>
      </c>
      <c r="E6267" s="131" t="s">
        <v>62</v>
      </c>
      <c r="F6267" s="133" t="s">
        <v>19</v>
      </c>
      <c r="G6267" s="134" t="n">
        <f aca="false">LEN('Saisie programme'!$E$242)+SUMIFS('Vols additionnels'!$E$7:$E$66,'Vols additionnels'!$C$7:$C$66,$E6267,'Vols additionnels'!$D$7:$D$66,$F6267,'Vols additionnels'!$B$7:$B$66,$D6267)</f>
        <v>0</v>
      </c>
      <c r="H6267" s="135" t="n">
        <f aca="false">$G6267*'Analyse capacite'!$F$8</f>
        <v>0</v>
      </c>
      <c r="I6267" s="135" t="n">
        <f aca="false">$G6267*'Analyse capacite'!$C$8</f>
        <v>0</v>
      </c>
      <c r="J6267" s="135" t="n">
        <f aca="false">$G6267*'Analyse capacite'!$D$8</f>
        <v>0</v>
      </c>
      <c r="K6267" s="135" t="n">
        <f aca="false">$G6267*'Analyse capacite'!$E$8</f>
        <v>0</v>
      </c>
    </row>
    <row r="6268" customFormat="false" ht="15" hidden="false" customHeight="false" outlineLevel="0" collapsed="false">
      <c r="B6268" s="130" t="n">
        <v>2027</v>
      </c>
      <c r="C6268" s="131" t="s">
        <v>251</v>
      </c>
      <c r="D6268" s="132" t="n">
        <v>46651</v>
      </c>
      <c r="E6268" s="131" t="s">
        <v>62</v>
      </c>
      <c r="F6268" s="133" t="s">
        <v>24</v>
      </c>
      <c r="G6268" s="134" t="n">
        <f aca="false">LEN('Saisie programme'!$E$243)+SUMIFS('Vols additionnels'!$E$7:$E$66,'Vols additionnels'!$C$7:$C$66,$E6268,'Vols additionnels'!$D$7:$D$66,$F6268,'Vols additionnels'!$B$7:$B$66,$D6268)</f>
        <v>0</v>
      </c>
      <c r="H6268" s="135" t="n">
        <f aca="false">$G6268*'Analyse capacite'!$F$9</f>
        <v>0</v>
      </c>
      <c r="I6268" s="135" t="n">
        <f aca="false">$G6268*'Analyse capacite'!$C$9</f>
        <v>0</v>
      </c>
      <c r="J6268" s="135" t="n">
        <f aca="false">$G6268*'Analyse capacite'!$D$9</f>
        <v>0</v>
      </c>
      <c r="K6268" s="135" t="n">
        <f aca="false">$G6268*'Analyse capacite'!$E$9</f>
        <v>0</v>
      </c>
    </row>
    <row r="6269" customFormat="false" ht="15" hidden="false" customHeight="false" outlineLevel="0" collapsed="false">
      <c r="B6269" s="130" t="n">
        <v>2027</v>
      </c>
      <c r="C6269" s="131" t="s">
        <v>251</v>
      </c>
      <c r="D6269" s="132" t="n">
        <v>46652</v>
      </c>
      <c r="E6269" s="131" t="s">
        <v>12</v>
      </c>
      <c r="F6269" s="133" t="s">
        <v>11</v>
      </c>
      <c r="G6269" s="134" t="n">
        <f aca="false">LEN('Saisie programme'!$F$208)+SUMIFS('Vols additionnels'!$E$7:$E$66,'Vols additionnels'!$C$7:$C$66,$E6269,'Vols additionnels'!$D$7:$D$66,$F6269,'Vols additionnels'!$B$7:$B$66,$D6269)</f>
        <v>1</v>
      </c>
      <c r="H6269" s="135" t="n">
        <f aca="false">$G6269*'Analyse capacite'!$F$7</f>
        <v>438</v>
      </c>
      <c r="I6269" s="135" t="n">
        <f aca="false">$G6269*'Analyse capacite'!$C$7</f>
        <v>14</v>
      </c>
      <c r="J6269" s="135" t="n">
        <f aca="false">$G6269*'Analyse capacite'!$D$7</f>
        <v>40</v>
      </c>
      <c r="K6269" s="135" t="n">
        <f aca="false">$G6269*'Analyse capacite'!$E$7</f>
        <v>384</v>
      </c>
    </row>
    <row r="6270" customFormat="false" ht="15" hidden="false" customHeight="false" outlineLevel="0" collapsed="false">
      <c r="B6270" s="130" t="n">
        <v>2027</v>
      </c>
      <c r="C6270" s="131" t="s">
        <v>251</v>
      </c>
      <c r="D6270" s="132" t="n">
        <v>46652</v>
      </c>
      <c r="E6270" s="131" t="s">
        <v>12</v>
      </c>
      <c r="F6270" s="133" t="s">
        <v>19</v>
      </c>
      <c r="G6270" s="134" t="n">
        <f aca="false">LEN('Saisie programme'!$F$209)+SUMIFS('Vols additionnels'!$E$7:$E$66,'Vols additionnels'!$C$7:$C$66,$E6270,'Vols additionnels'!$D$7:$D$66,$F6270,'Vols additionnels'!$B$7:$B$66,$D6270)</f>
        <v>0</v>
      </c>
      <c r="H6270" s="135" t="n">
        <f aca="false">$G6270*'Analyse capacite'!$F$8</f>
        <v>0</v>
      </c>
      <c r="I6270" s="135" t="n">
        <f aca="false">$G6270*'Analyse capacite'!$C$8</f>
        <v>0</v>
      </c>
      <c r="J6270" s="135" t="n">
        <f aca="false">$G6270*'Analyse capacite'!$D$8</f>
        <v>0</v>
      </c>
      <c r="K6270" s="135" t="n">
        <f aca="false">$G6270*'Analyse capacite'!$E$8</f>
        <v>0</v>
      </c>
    </row>
    <row r="6271" customFormat="false" ht="15" hidden="false" customHeight="false" outlineLevel="0" collapsed="false">
      <c r="B6271" s="130" t="n">
        <v>2027</v>
      </c>
      <c r="C6271" s="131" t="s">
        <v>251</v>
      </c>
      <c r="D6271" s="132" t="n">
        <v>46652</v>
      </c>
      <c r="E6271" s="131" t="s">
        <v>12</v>
      </c>
      <c r="F6271" s="133" t="s">
        <v>24</v>
      </c>
      <c r="G6271" s="134" t="n">
        <f aca="false">LEN('Saisie programme'!$F$210)+SUMIFS('Vols additionnels'!$E$7:$E$66,'Vols additionnels'!$C$7:$C$66,$E6271,'Vols additionnels'!$D$7:$D$66,$F6271,'Vols additionnels'!$B$7:$B$66,$D6271)</f>
        <v>0</v>
      </c>
      <c r="H6271" s="135" t="n">
        <f aca="false">$G6271*'Analyse capacite'!$F$9</f>
        <v>0</v>
      </c>
      <c r="I6271" s="135" t="n">
        <f aca="false">$G6271*'Analyse capacite'!$C$9</f>
        <v>0</v>
      </c>
      <c r="J6271" s="135" t="n">
        <f aca="false">$G6271*'Analyse capacite'!$D$9</f>
        <v>0</v>
      </c>
      <c r="K6271" s="135" t="n">
        <f aca="false">$G6271*'Analyse capacite'!$E$9</f>
        <v>0</v>
      </c>
    </row>
    <row r="6272" customFormat="false" ht="15" hidden="false" customHeight="false" outlineLevel="0" collapsed="false">
      <c r="B6272" s="130" t="n">
        <v>2027</v>
      </c>
      <c r="C6272" s="131" t="s">
        <v>251</v>
      </c>
      <c r="D6272" s="132" t="n">
        <v>46652</v>
      </c>
      <c r="E6272" s="131" t="s">
        <v>20</v>
      </c>
      <c r="F6272" s="133" t="s">
        <v>11</v>
      </c>
      <c r="G6272" s="134" t="n">
        <f aca="false">LEN('Saisie programme'!$F$211)+SUMIFS('Vols additionnels'!$E$7:$E$66,'Vols additionnels'!$C$7:$C$66,$E6272,'Vols additionnels'!$D$7:$D$66,$F6272,'Vols additionnels'!$B$7:$B$66,$D6272)</f>
        <v>0</v>
      </c>
      <c r="H6272" s="135" t="n">
        <f aca="false">$G6272*'Analyse capacite'!$F$7</f>
        <v>0</v>
      </c>
      <c r="I6272" s="135" t="n">
        <f aca="false">$G6272*'Analyse capacite'!$C$7</f>
        <v>0</v>
      </c>
      <c r="J6272" s="135" t="n">
        <f aca="false">$G6272*'Analyse capacite'!$D$7</f>
        <v>0</v>
      </c>
      <c r="K6272" s="135" t="n">
        <f aca="false">$G6272*'Analyse capacite'!$E$7</f>
        <v>0</v>
      </c>
    </row>
    <row r="6273" customFormat="false" ht="15" hidden="false" customHeight="false" outlineLevel="0" collapsed="false">
      <c r="B6273" s="130" t="n">
        <v>2027</v>
      </c>
      <c r="C6273" s="131" t="s">
        <v>251</v>
      </c>
      <c r="D6273" s="132" t="n">
        <v>46652</v>
      </c>
      <c r="E6273" s="131" t="s">
        <v>20</v>
      </c>
      <c r="F6273" s="133" t="s">
        <v>19</v>
      </c>
      <c r="G6273" s="134" t="n">
        <f aca="false">LEN('Saisie programme'!$F$212)+SUMIFS('Vols additionnels'!$E$7:$E$66,'Vols additionnels'!$C$7:$C$66,$E6273,'Vols additionnels'!$D$7:$D$66,$F6273,'Vols additionnels'!$B$7:$B$66,$D6273)</f>
        <v>0</v>
      </c>
      <c r="H6273" s="135" t="n">
        <f aca="false">$G6273*'Analyse capacite'!$F$8</f>
        <v>0</v>
      </c>
      <c r="I6273" s="135" t="n">
        <f aca="false">$G6273*'Analyse capacite'!$C$8</f>
        <v>0</v>
      </c>
      <c r="J6273" s="135" t="n">
        <f aca="false">$G6273*'Analyse capacite'!$D$8</f>
        <v>0</v>
      </c>
      <c r="K6273" s="135" t="n">
        <f aca="false">$G6273*'Analyse capacite'!$E$8</f>
        <v>0</v>
      </c>
    </row>
    <row r="6274" customFormat="false" ht="15" hidden="false" customHeight="false" outlineLevel="0" collapsed="false">
      <c r="B6274" s="130" t="n">
        <v>2027</v>
      </c>
      <c r="C6274" s="131" t="s">
        <v>251</v>
      </c>
      <c r="D6274" s="132" t="n">
        <v>46652</v>
      </c>
      <c r="E6274" s="131" t="s">
        <v>20</v>
      </c>
      <c r="F6274" s="133" t="s">
        <v>24</v>
      </c>
      <c r="G6274" s="134" t="n">
        <f aca="false">LEN('Saisie programme'!$F$213)+SUMIFS('Vols additionnels'!$E$7:$E$66,'Vols additionnels'!$C$7:$C$66,$E6274,'Vols additionnels'!$D$7:$D$66,$F6274,'Vols additionnels'!$B$7:$B$66,$D6274)</f>
        <v>0</v>
      </c>
      <c r="H6274" s="135" t="n">
        <f aca="false">$G6274*'Analyse capacite'!$F$9</f>
        <v>0</v>
      </c>
      <c r="I6274" s="135" t="n">
        <f aca="false">$G6274*'Analyse capacite'!$C$9</f>
        <v>0</v>
      </c>
      <c r="J6274" s="135" t="n">
        <f aca="false">$G6274*'Analyse capacite'!$D$9</f>
        <v>0</v>
      </c>
      <c r="K6274" s="135" t="n">
        <f aca="false">$G6274*'Analyse capacite'!$E$9</f>
        <v>0</v>
      </c>
    </row>
    <row r="6275" customFormat="false" ht="15" hidden="false" customHeight="false" outlineLevel="0" collapsed="false">
      <c r="B6275" s="130" t="n">
        <v>2027</v>
      </c>
      <c r="C6275" s="131" t="s">
        <v>251</v>
      </c>
      <c r="D6275" s="132" t="n">
        <v>46652</v>
      </c>
      <c r="E6275" s="131" t="s">
        <v>25</v>
      </c>
      <c r="F6275" s="133" t="s">
        <v>11</v>
      </c>
      <c r="G6275" s="134" t="n">
        <f aca="false">LEN('Saisie programme'!$F$214)+SUMIFS('Vols additionnels'!$E$7:$E$66,'Vols additionnels'!$C$7:$C$66,$E6275,'Vols additionnels'!$D$7:$D$66,$F6275,'Vols additionnels'!$B$7:$B$66,$D6275)</f>
        <v>0</v>
      </c>
      <c r="H6275" s="135" t="n">
        <f aca="false">$G6275*'Analyse capacite'!$F$7</f>
        <v>0</v>
      </c>
      <c r="I6275" s="135" t="n">
        <f aca="false">$G6275*'Analyse capacite'!$C$7</f>
        <v>0</v>
      </c>
      <c r="J6275" s="135" t="n">
        <f aca="false">$G6275*'Analyse capacite'!$D$7</f>
        <v>0</v>
      </c>
      <c r="K6275" s="135" t="n">
        <f aca="false">$G6275*'Analyse capacite'!$E$7</f>
        <v>0</v>
      </c>
    </row>
    <row r="6276" customFormat="false" ht="15" hidden="false" customHeight="false" outlineLevel="0" collapsed="false">
      <c r="B6276" s="130" t="n">
        <v>2027</v>
      </c>
      <c r="C6276" s="131" t="s">
        <v>251</v>
      </c>
      <c r="D6276" s="132" t="n">
        <v>46652</v>
      </c>
      <c r="E6276" s="131" t="s">
        <v>25</v>
      </c>
      <c r="F6276" s="133" t="s">
        <v>19</v>
      </c>
      <c r="G6276" s="134" t="n">
        <f aca="false">LEN('Saisie programme'!$F$215)+SUMIFS('Vols additionnels'!$E$7:$E$66,'Vols additionnels'!$C$7:$C$66,$E6276,'Vols additionnels'!$D$7:$D$66,$F6276,'Vols additionnels'!$B$7:$B$66,$D6276)</f>
        <v>1</v>
      </c>
      <c r="H6276" s="135" t="n">
        <f aca="false">$G6276*'Analyse capacite'!$F$8</f>
        <v>262</v>
      </c>
      <c r="I6276" s="135" t="n">
        <f aca="false">$G6276*'Analyse capacite'!$C$8</f>
        <v>18</v>
      </c>
      <c r="J6276" s="135" t="n">
        <f aca="false">$G6276*'Analyse capacite'!$D$8</f>
        <v>0</v>
      </c>
      <c r="K6276" s="135" t="n">
        <f aca="false">$G6276*'Analyse capacite'!$E$8</f>
        <v>244</v>
      </c>
    </row>
    <row r="6277" customFormat="false" ht="15" hidden="false" customHeight="false" outlineLevel="0" collapsed="false">
      <c r="B6277" s="130" t="n">
        <v>2027</v>
      </c>
      <c r="C6277" s="131" t="s">
        <v>251</v>
      </c>
      <c r="D6277" s="132" t="n">
        <v>46652</v>
      </c>
      <c r="E6277" s="131" t="s">
        <v>25</v>
      </c>
      <c r="F6277" s="133" t="s">
        <v>24</v>
      </c>
      <c r="G6277" s="134" t="n">
        <f aca="false">LEN('Saisie programme'!$F$216)+SUMIFS('Vols additionnels'!$E$7:$E$66,'Vols additionnels'!$C$7:$C$66,$E6277,'Vols additionnels'!$D$7:$D$66,$F6277,'Vols additionnels'!$B$7:$B$66,$D6277)</f>
        <v>0</v>
      </c>
      <c r="H6277" s="135" t="n">
        <f aca="false">$G6277*'Analyse capacite'!$F$9</f>
        <v>0</v>
      </c>
      <c r="I6277" s="135" t="n">
        <f aca="false">$G6277*'Analyse capacite'!$C$9</f>
        <v>0</v>
      </c>
      <c r="J6277" s="135" t="n">
        <f aca="false">$G6277*'Analyse capacite'!$D$9</f>
        <v>0</v>
      </c>
      <c r="K6277" s="135" t="n">
        <f aca="false">$G6277*'Analyse capacite'!$E$9</f>
        <v>0</v>
      </c>
    </row>
    <row r="6278" customFormat="false" ht="15" hidden="false" customHeight="false" outlineLevel="0" collapsed="false">
      <c r="B6278" s="130" t="n">
        <v>2027</v>
      </c>
      <c r="C6278" s="131" t="s">
        <v>251</v>
      </c>
      <c r="D6278" s="132" t="n">
        <v>46652</v>
      </c>
      <c r="E6278" s="131" t="s">
        <v>36</v>
      </c>
      <c r="F6278" s="133" t="s">
        <v>11</v>
      </c>
      <c r="G6278" s="134" t="n">
        <f aca="false">LEN('Saisie programme'!$F$217)+SUMIFS('Vols additionnels'!$E$7:$E$66,'Vols additionnels'!$C$7:$C$66,$E6278,'Vols additionnels'!$D$7:$D$66,$F6278,'Vols additionnels'!$B$7:$B$66,$D6278)</f>
        <v>0</v>
      </c>
      <c r="H6278" s="135" t="n">
        <f aca="false">$G6278*'Analyse capacite'!$F$7</f>
        <v>0</v>
      </c>
      <c r="I6278" s="135" t="n">
        <f aca="false">$G6278*'Analyse capacite'!$C$7</f>
        <v>0</v>
      </c>
      <c r="J6278" s="135" t="n">
        <f aca="false">$G6278*'Analyse capacite'!$D$7</f>
        <v>0</v>
      </c>
      <c r="K6278" s="135" t="n">
        <f aca="false">$G6278*'Analyse capacite'!$E$7</f>
        <v>0</v>
      </c>
    </row>
    <row r="6279" customFormat="false" ht="15" hidden="false" customHeight="false" outlineLevel="0" collapsed="false">
      <c r="B6279" s="130" t="n">
        <v>2027</v>
      </c>
      <c r="C6279" s="131" t="s">
        <v>251</v>
      </c>
      <c r="D6279" s="132" t="n">
        <v>46652</v>
      </c>
      <c r="E6279" s="131" t="s">
        <v>36</v>
      </c>
      <c r="F6279" s="133" t="s">
        <v>19</v>
      </c>
      <c r="G6279" s="134" t="n">
        <f aca="false">LEN('Saisie programme'!$F$218)+SUMIFS('Vols additionnels'!$E$7:$E$66,'Vols additionnels'!$C$7:$C$66,$E6279,'Vols additionnels'!$D$7:$D$66,$F6279,'Vols additionnels'!$B$7:$B$66,$D6279)</f>
        <v>1</v>
      </c>
      <c r="H6279" s="135" t="n">
        <f aca="false">$G6279*'Analyse capacite'!$F$8</f>
        <v>262</v>
      </c>
      <c r="I6279" s="135" t="n">
        <f aca="false">$G6279*'Analyse capacite'!$C$8</f>
        <v>18</v>
      </c>
      <c r="J6279" s="135" t="n">
        <f aca="false">$G6279*'Analyse capacite'!$D$8</f>
        <v>0</v>
      </c>
      <c r="K6279" s="135" t="n">
        <f aca="false">$G6279*'Analyse capacite'!$E$8</f>
        <v>244</v>
      </c>
    </row>
    <row r="6280" customFormat="false" ht="15" hidden="false" customHeight="false" outlineLevel="0" collapsed="false">
      <c r="B6280" s="130" t="n">
        <v>2027</v>
      </c>
      <c r="C6280" s="131" t="s">
        <v>251</v>
      </c>
      <c r="D6280" s="132" t="n">
        <v>46652</v>
      </c>
      <c r="E6280" s="131" t="s">
        <v>36</v>
      </c>
      <c r="F6280" s="133" t="s">
        <v>24</v>
      </c>
      <c r="G6280" s="134" t="n">
        <f aca="false">LEN('Saisie programme'!$F$219)+SUMIFS('Vols additionnels'!$E$7:$E$66,'Vols additionnels'!$C$7:$C$66,$E6280,'Vols additionnels'!$D$7:$D$66,$F6280,'Vols additionnels'!$B$7:$B$66,$D6280)</f>
        <v>1</v>
      </c>
      <c r="H6280" s="135" t="n">
        <f aca="false">$G6280*'Analyse capacite'!$F$9</f>
        <v>174</v>
      </c>
      <c r="I6280" s="135" t="n">
        <f aca="false">$G6280*'Analyse capacite'!$C$9</f>
        <v>0</v>
      </c>
      <c r="J6280" s="135" t="n">
        <f aca="false">$G6280*'Analyse capacite'!$D$9</f>
        <v>12</v>
      </c>
      <c r="K6280" s="135" t="n">
        <f aca="false">$G6280*'Analyse capacite'!$E$9</f>
        <v>162</v>
      </c>
    </row>
    <row r="6281" customFormat="false" ht="15" hidden="false" customHeight="false" outlineLevel="0" collapsed="false">
      <c r="B6281" s="130" t="n">
        <v>2027</v>
      </c>
      <c r="C6281" s="131" t="s">
        <v>251</v>
      </c>
      <c r="D6281" s="132" t="n">
        <v>46652</v>
      </c>
      <c r="E6281" s="131" t="s">
        <v>40</v>
      </c>
      <c r="F6281" s="133" t="s">
        <v>11</v>
      </c>
      <c r="G6281" s="134" t="n">
        <f aca="false">LEN('Saisie programme'!$F$220)+SUMIFS('Vols additionnels'!$E$7:$E$66,'Vols additionnels'!$C$7:$C$66,$E6281,'Vols additionnels'!$D$7:$D$66,$F6281,'Vols additionnels'!$B$7:$B$66,$D6281)</f>
        <v>0</v>
      </c>
      <c r="H6281" s="135" t="n">
        <f aca="false">$G6281*'Analyse capacite'!$F$7</f>
        <v>0</v>
      </c>
      <c r="I6281" s="135" t="n">
        <f aca="false">$G6281*'Analyse capacite'!$C$7</f>
        <v>0</v>
      </c>
      <c r="J6281" s="135" t="n">
        <f aca="false">$G6281*'Analyse capacite'!$D$7</f>
        <v>0</v>
      </c>
      <c r="K6281" s="135" t="n">
        <f aca="false">$G6281*'Analyse capacite'!$E$7</f>
        <v>0</v>
      </c>
    </row>
    <row r="6282" customFormat="false" ht="15" hidden="false" customHeight="false" outlineLevel="0" collapsed="false">
      <c r="B6282" s="130" t="n">
        <v>2027</v>
      </c>
      <c r="C6282" s="131" t="s">
        <v>251</v>
      </c>
      <c r="D6282" s="132" t="n">
        <v>46652</v>
      </c>
      <c r="E6282" s="131" t="s">
        <v>40</v>
      </c>
      <c r="F6282" s="133" t="s">
        <v>19</v>
      </c>
      <c r="G6282" s="134" t="n">
        <f aca="false">LEN('Saisie programme'!$F$221)+SUMIFS('Vols additionnels'!$E$7:$E$66,'Vols additionnels'!$C$7:$C$66,$E6282,'Vols additionnels'!$D$7:$D$66,$F6282,'Vols additionnels'!$B$7:$B$66,$D6282)</f>
        <v>0</v>
      </c>
      <c r="H6282" s="135" t="n">
        <f aca="false">$G6282*'Analyse capacite'!$F$8</f>
        <v>0</v>
      </c>
      <c r="I6282" s="135" t="n">
        <f aca="false">$G6282*'Analyse capacite'!$C$8</f>
        <v>0</v>
      </c>
      <c r="J6282" s="135" t="n">
        <f aca="false">$G6282*'Analyse capacite'!$D$8</f>
        <v>0</v>
      </c>
      <c r="K6282" s="135" t="n">
        <f aca="false">$G6282*'Analyse capacite'!$E$8</f>
        <v>0</v>
      </c>
    </row>
    <row r="6283" customFormat="false" ht="15" hidden="false" customHeight="false" outlineLevel="0" collapsed="false">
      <c r="B6283" s="130" t="n">
        <v>2027</v>
      </c>
      <c r="C6283" s="131" t="s">
        <v>251</v>
      </c>
      <c r="D6283" s="132" t="n">
        <v>46652</v>
      </c>
      <c r="E6283" s="131" t="s">
        <v>40</v>
      </c>
      <c r="F6283" s="133" t="s">
        <v>24</v>
      </c>
      <c r="G6283" s="134" t="n">
        <f aca="false">LEN('Saisie programme'!$F$222)+SUMIFS('Vols additionnels'!$E$7:$E$66,'Vols additionnels'!$C$7:$C$66,$E6283,'Vols additionnels'!$D$7:$D$66,$F6283,'Vols additionnels'!$B$7:$B$66,$D6283)</f>
        <v>1</v>
      </c>
      <c r="H6283" s="135" t="n">
        <f aca="false">$G6283*'Analyse capacite'!$F$9</f>
        <v>174</v>
      </c>
      <c r="I6283" s="135" t="n">
        <f aca="false">$G6283*'Analyse capacite'!$C$9</f>
        <v>0</v>
      </c>
      <c r="J6283" s="135" t="n">
        <f aca="false">$G6283*'Analyse capacite'!$D$9</f>
        <v>12</v>
      </c>
      <c r="K6283" s="135" t="n">
        <f aca="false">$G6283*'Analyse capacite'!$E$9</f>
        <v>162</v>
      </c>
    </row>
    <row r="6284" customFormat="false" ht="15" hidden="false" customHeight="false" outlineLevel="0" collapsed="false">
      <c r="B6284" s="130" t="n">
        <v>2027</v>
      </c>
      <c r="C6284" s="131" t="s">
        <v>251</v>
      </c>
      <c r="D6284" s="132" t="n">
        <v>46652</v>
      </c>
      <c r="E6284" s="131" t="s">
        <v>14</v>
      </c>
      <c r="F6284" s="133" t="s">
        <v>11</v>
      </c>
      <c r="G6284" s="134" t="n">
        <f aca="false">LEN('Saisie programme'!$F$223)+SUMIFS('Vols additionnels'!$E$7:$E$66,'Vols additionnels'!$C$7:$C$66,$E6284,'Vols additionnels'!$D$7:$D$66,$F6284,'Vols additionnels'!$B$7:$B$66,$D6284)</f>
        <v>0</v>
      </c>
      <c r="H6284" s="135" t="n">
        <f aca="false">$G6284*'Analyse capacite'!$F$7</f>
        <v>0</v>
      </c>
      <c r="I6284" s="135" t="n">
        <f aca="false">$G6284*'Analyse capacite'!$C$7</f>
        <v>0</v>
      </c>
      <c r="J6284" s="135" t="n">
        <f aca="false">$G6284*'Analyse capacite'!$D$7</f>
        <v>0</v>
      </c>
      <c r="K6284" s="135" t="n">
        <f aca="false">$G6284*'Analyse capacite'!$E$7</f>
        <v>0</v>
      </c>
    </row>
    <row r="6285" customFormat="false" ht="15" hidden="false" customHeight="false" outlineLevel="0" collapsed="false">
      <c r="B6285" s="130" t="n">
        <v>2027</v>
      </c>
      <c r="C6285" s="131" t="s">
        <v>251</v>
      </c>
      <c r="D6285" s="132" t="n">
        <v>46652</v>
      </c>
      <c r="E6285" s="131" t="s">
        <v>14</v>
      </c>
      <c r="F6285" s="133" t="s">
        <v>19</v>
      </c>
      <c r="G6285" s="134" t="n">
        <f aca="false">LEN('Saisie programme'!$F$224)+SUMIFS('Vols additionnels'!$E$7:$E$66,'Vols additionnels'!$C$7:$C$66,$E6285,'Vols additionnels'!$D$7:$D$66,$F6285,'Vols additionnels'!$B$7:$B$66,$D6285)</f>
        <v>0</v>
      </c>
      <c r="H6285" s="135" t="n">
        <f aca="false">$G6285*'Analyse capacite'!$F$8</f>
        <v>0</v>
      </c>
      <c r="I6285" s="135" t="n">
        <f aca="false">$G6285*'Analyse capacite'!$C$8</f>
        <v>0</v>
      </c>
      <c r="J6285" s="135" t="n">
        <f aca="false">$G6285*'Analyse capacite'!$D$8</f>
        <v>0</v>
      </c>
      <c r="K6285" s="135" t="n">
        <f aca="false">$G6285*'Analyse capacite'!$E$8</f>
        <v>0</v>
      </c>
    </row>
    <row r="6286" customFormat="false" ht="15" hidden="false" customHeight="false" outlineLevel="0" collapsed="false">
      <c r="B6286" s="130" t="n">
        <v>2027</v>
      </c>
      <c r="C6286" s="131" t="s">
        <v>251</v>
      </c>
      <c r="D6286" s="132" t="n">
        <v>46652</v>
      </c>
      <c r="E6286" s="131" t="s">
        <v>14</v>
      </c>
      <c r="F6286" s="133" t="s">
        <v>24</v>
      </c>
      <c r="G6286" s="134" t="n">
        <f aca="false">LEN('Saisie programme'!$F$225)+SUMIFS('Vols additionnels'!$E$7:$E$66,'Vols additionnels'!$C$7:$C$66,$E6286,'Vols additionnels'!$D$7:$D$66,$F6286,'Vols additionnels'!$B$7:$B$66,$D6286)</f>
        <v>0</v>
      </c>
      <c r="H6286" s="135" t="n">
        <f aca="false">$G6286*'Analyse capacite'!$F$9</f>
        <v>0</v>
      </c>
      <c r="I6286" s="135" t="n">
        <f aca="false">$G6286*'Analyse capacite'!$C$9</f>
        <v>0</v>
      </c>
      <c r="J6286" s="135" t="n">
        <f aca="false">$G6286*'Analyse capacite'!$D$9</f>
        <v>0</v>
      </c>
      <c r="K6286" s="135" t="n">
        <f aca="false">$G6286*'Analyse capacite'!$E$9</f>
        <v>0</v>
      </c>
    </row>
    <row r="6287" customFormat="false" ht="15" hidden="false" customHeight="false" outlineLevel="0" collapsed="false">
      <c r="B6287" s="130" t="n">
        <v>2027</v>
      </c>
      <c r="C6287" s="131" t="s">
        <v>251</v>
      </c>
      <c r="D6287" s="132" t="n">
        <v>46652</v>
      </c>
      <c r="E6287" s="131" t="s">
        <v>46</v>
      </c>
      <c r="F6287" s="133" t="s">
        <v>11</v>
      </c>
      <c r="G6287" s="134" t="n">
        <f aca="false">LEN('Saisie programme'!$F$226)+SUMIFS('Vols additionnels'!$E$7:$E$66,'Vols additionnels'!$C$7:$C$66,$E6287,'Vols additionnels'!$D$7:$D$66,$F6287,'Vols additionnels'!$B$7:$B$66,$D6287)</f>
        <v>0</v>
      </c>
      <c r="H6287" s="135" t="n">
        <f aca="false">$G6287*'Analyse capacite'!$F$7</f>
        <v>0</v>
      </c>
      <c r="I6287" s="135" t="n">
        <f aca="false">$G6287*'Analyse capacite'!$C$7</f>
        <v>0</v>
      </c>
      <c r="J6287" s="135" t="n">
        <f aca="false">$G6287*'Analyse capacite'!$D$7</f>
        <v>0</v>
      </c>
      <c r="K6287" s="135" t="n">
        <f aca="false">$G6287*'Analyse capacite'!$E$7</f>
        <v>0</v>
      </c>
    </row>
    <row r="6288" customFormat="false" ht="15" hidden="false" customHeight="false" outlineLevel="0" collapsed="false">
      <c r="B6288" s="130" t="n">
        <v>2027</v>
      </c>
      <c r="C6288" s="131" t="s">
        <v>251</v>
      </c>
      <c r="D6288" s="132" t="n">
        <v>46652</v>
      </c>
      <c r="E6288" s="131" t="s">
        <v>46</v>
      </c>
      <c r="F6288" s="133" t="s">
        <v>19</v>
      </c>
      <c r="G6288" s="134" t="n">
        <f aca="false">LEN('Saisie programme'!$F$227)+SUMIFS('Vols additionnels'!$E$7:$E$66,'Vols additionnels'!$C$7:$C$66,$E6288,'Vols additionnels'!$D$7:$D$66,$F6288,'Vols additionnels'!$B$7:$B$66,$D6288)</f>
        <v>0</v>
      </c>
      <c r="H6288" s="135" t="n">
        <f aca="false">$G6288*'Analyse capacite'!$F$8</f>
        <v>0</v>
      </c>
      <c r="I6288" s="135" t="n">
        <f aca="false">$G6288*'Analyse capacite'!$C$8</f>
        <v>0</v>
      </c>
      <c r="J6288" s="135" t="n">
        <f aca="false">$G6288*'Analyse capacite'!$D$8</f>
        <v>0</v>
      </c>
      <c r="K6288" s="135" t="n">
        <f aca="false">$G6288*'Analyse capacite'!$E$8</f>
        <v>0</v>
      </c>
    </row>
    <row r="6289" customFormat="false" ht="15" hidden="false" customHeight="false" outlineLevel="0" collapsed="false">
      <c r="B6289" s="130" t="n">
        <v>2027</v>
      </c>
      <c r="C6289" s="131" t="s">
        <v>251</v>
      </c>
      <c r="D6289" s="132" t="n">
        <v>46652</v>
      </c>
      <c r="E6289" s="131" t="s">
        <v>46</v>
      </c>
      <c r="F6289" s="133" t="s">
        <v>24</v>
      </c>
      <c r="G6289" s="134" t="n">
        <f aca="false">LEN('Saisie programme'!$F$228)+SUMIFS('Vols additionnels'!$E$7:$E$66,'Vols additionnels'!$C$7:$C$66,$E6289,'Vols additionnels'!$D$7:$D$66,$F6289,'Vols additionnels'!$B$7:$B$66,$D6289)</f>
        <v>0</v>
      </c>
      <c r="H6289" s="135" t="n">
        <f aca="false">$G6289*'Analyse capacite'!$F$9</f>
        <v>0</v>
      </c>
      <c r="I6289" s="135" t="n">
        <f aca="false">$G6289*'Analyse capacite'!$C$9</f>
        <v>0</v>
      </c>
      <c r="J6289" s="135" t="n">
        <f aca="false">$G6289*'Analyse capacite'!$D$9</f>
        <v>0</v>
      </c>
      <c r="K6289" s="135" t="n">
        <f aca="false">$G6289*'Analyse capacite'!$E$9</f>
        <v>0</v>
      </c>
    </row>
    <row r="6290" customFormat="false" ht="15" hidden="false" customHeight="false" outlineLevel="0" collapsed="false">
      <c r="B6290" s="130" t="n">
        <v>2027</v>
      </c>
      <c r="C6290" s="131" t="s">
        <v>251</v>
      </c>
      <c r="D6290" s="132" t="n">
        <v>46652</v>
      </c>
      <c r="E6290" s="131" t="s">
        <v>49</v>
      </c>
      <c r="F6290" s="133" t="s">
        <v>11</v>
      </c>
      <c r="G6290" s="134" t="n">
        <f aca="false">LEN('Saisie programme'!$F$229)+SUMIFS('Vols additionnels'!$E$7:$E$66,'Vols additionnels'!$C$7:$C$66,$E6290,'Vols additionnels'!$D$7:$D$66,$F6290,'Vols additionnels'!$B$7:$B$66,$D6290)</f>
        <v>0</v>
      </c>
      <c r="H6290" s="135" t="n">
        <f aca="false">$G6290*'Analyse capacite'!$F$7</f>
        <v>0</v>
      </c>
      <c r="I6290" s="135" t="n">
        <f aca="false">$G6290*'Analyse capacite'!$C$7</f>
        <v>0</v>
      </c>
      <c r="J6290" s="135" t="n">
        <f aca="false">$G6290*'Analyse capacite'!$D$7</f>
        <v>0</v>
      </c>
      <c r="K6290" s="135" t="n">
        <f aca="false">$G6290*'Analyse capacite'!$E$7</f>
        <v>0</v>
      </c>
    </row>
    <row r="6291" customFormat="false" ht="15" hidden="false" customHeight="false" outlineLevel="0" collapsed="false">
      <c r="B6291" s="130" t="n">
        <v>2027</v>
      </c>
      <c r="C6291" s="131" t="s">
        <v>251</v>
      </c>
      <c r="D6291" s="132" t="n">
        <v>46652</v>
      </c>
      <c r="E6291" s="131" t="s">
        <v>49</v>
      </c>
      <c r="F6291" s="133" t="s">
        <v>19</v>
      </c>
      <c r="G6291" s="134" t="n">
        <f aca="false">LEN('Saisie programme'!$F$230)+SUMIFS('Vols additionnels'!$E$7:$E$66,'Vols additionnels'!$C$7:$C$66,$E6291,'Vols additionnels'!$D$7:$D$66,$F6291,'Vols additionnels'!$B$7:$B$66,$D6291)</f>
        <v>0</v>
      </c>
      <c r="H6291" s="135" t="n">
        <f aca="false">$G6291*'Analyse capacite'!$F$8</f>
        <v>0</v>
      </c>
      <c r="I6291" s="135" t="n">
        <f aca="false">$G6291*'Analyse capacite'!$C$8</f>
        <v>0</v>
      </c>
      <c r="J6291" s="135" t="n">
        <f aca="false">$G6291*'Analyse capacite'!$D$8</f>
        <v>0</v>
      </c>
      <c r="K6291" s="135" t="n">
        <f aca="false">$G6291*'Analyse capacite'!$E$8</f>
        <v>0</v>
      </c>
    </row>
    <row r="6292" customFormat="false" ht="15" hidden="false" customHeight="false" outlineLevel="0" collapsed="false">
      <c r="B6292" s="130" t="n">
        <v>2027</v>
      </c>
      <c r="C6292" s="131" t="s">
        <v>251</v>
      </c>
      <c r="D6292" s="132" t="n">
        <v>46652</v>
      </c>
      <c r="E6292" s="131" t="s">
        <v>49</v>
      </c>
      <c r="F6292" s="133" t="s">
        <v>24</v>
      </c>
      <c r="G6292" s="134" t="n">
        <f aca="false">LEN('Saisie programme'!$F$231)+SUMIFS('Vols additionnels'!$E$7:$E$66,'Vols additionnels'!$C$7:$C$66,$E6292,'Vols additionnels'!$D$7:$D$66,$F6292,'Vols additionnels'!$B$7:$B$66,$D6292)</f>
        <v>0</v>
      </c>
      <c r="H6292" s="135" t="n">
        <f aca="false">$G6292*'Analyse capacite'!$F$9</f>
        <v>0</v>
      </c>
      <c r="I6292" s="135" t="n">
        <f aca="false">$G6292*'Analyse capacite'!$C$9</f>
        <v>0</v>
      </c>
      <c r="J6292" s="135" t="n">
        <f aca="false">$G6292*'Analyse capacite'!$D$9</f>
        <v>0</v>
      </c>
      <c r="K6292" s="135" t="n">
        <f aca="false">$G6292*'Analyse capacite'!$E$9</f>
        <v>0</v>
      </c>
    </row>
    <row r="6293" customFormat="false" ht="15" hidden="false" customHeight="false" outlineLevel="0" collapsed="false">
      <c r="B6293" s="130" t="n">
        <v>2027</v>
      </c>
      <c r="C6293" s="131" t="s">
        <v>251</v>
      </c>
      <c r="D6293" s="132" t="n">
        <v>46652</v>
      </c>
      <c r="E6293" s="131" t="s">
        <v>53</v>
      </c>
      <c r="F6293" s="133" t="s">
        <v>11</v>
      </c>
      <c r="G6293" s="134" t="n">
        <f aca="false">LEN('Saisie programme'!$F$232)+SUMIFS('Vols additionnels'!$E$7:$E$66,'Vols additionnels'!$C$7:$C$66,$E6293,'Vols additionnels'!$D$7:$D$66,$F6293,'Vols additionnels'!$B$7:$B$66,$D6293)</f>
        <v>0</v>
      </c>
      <c r="H6293" s="135" t="n">
        <f aca="false">$G6293*'Analyse capacite'!$F$7</f>
        <v>0</v>
      </c>
      <c r="I6293" s="135" t="n">
        <f aca="false">$G6293*'Analyse capacite'!$C$7</f>
        <v>0</v>
      </c>
      <c r="J6293" s="135" t="n">
        <f aca="false">$G6293*'Analyse capacite'!$D$7</f>
        <v>0</v>
      </c>
      <c r="K6293" s="135" t="n">
        <f aca="false">$G6293*'Analyse capacite'!$E$7</f>
        <v>0</v>
      </c>
    </row>
    <row r="6294" customFormat="false" ht="15" hidden="false" customHeight="false" outlineLevel="0" collapsed="false">
      <c r="B6294" s="130" t="n">
        <v>2027</v>
      </c>
      <c r="C6294" s="131" t="s">
        <v>251</v>
      </c>
      <c r="D6294" s="132" t="n">
        <v>46652</v>
      </c>
      <c r="E6294" s="131" t="s">
        <v>53</v>
      </c>
      <c r="F6294" s="133" t="s">
        <v>19</v>
      </c>
      <c r="G6294" s="134" t="n">
        <f aca="false">LEN('Saisie programme'!$F$233)+SUMIFS('Vols additionnels'!$E$7:$E$66,'Vols additionnels'!$C$7:$C$66,$E6294,'Vols additionnels'!$D$7:$D$66,$F6294,'Vols additionnels'!$B$7:$B$66,$D6294)</f>
        <v>0</v>
      </c>
      <c r="H6294" s="135" t="n">
        <f aca="false">$G6294*'Analyse capacite'!$F$8</f>
        <v>0</v>
      </c>
      <c r="I6294" s="135" t="n">
        <f aca="false">$G6294*'Analyse capacite'!$C$8</f>
        <v>0</v>
      </c>
      <c r="J6294" s="135" t="n">
        <f aca="false">$G6294*'Analyse capacite'!$D$8</f>
        <v>0</v>
      </c>
      <c r="K6294" s="135" t="n">
        <f aca="false">$G6294*'Analyse capacite'!$E$8</f>
        <v>0</v>
      </c>
    </row>
    <row r="6295" customFormat="false" ht="15" hidden="false" customHeight="false" outlineLevel="0" collapsed="false">
      <c r="B6295" s="130" t="n">
        <v>2027</v>
      </c>
      <c r="C6295" s="131" t="s">
        <v>251</v>
      </c>
      <c r="D6295" s="132" t="n">
        <v>46652</v>
      </c>
      <c r="E6295" s="131" t="s">
        <v>53</v>
      </c>
      <c r="F6295" s="133" t="s">
        <v>24</v>
      </c>
      <c r="G6295" s="134" t="n">
        <f aca="false">LEN('Saisie programme'!$F$234)+SUMIFS('Vols additionnels'!$E$7:$E$66,'Vols additionnels'!$C$7:$C$66,$E6295,'Vols additionnels'!$D$7:$D$66,$F6295,'Vols additionnels'!$B$7:$B$66,$D6295)</f>
        <v>0</v>
      </c>
      <c r="H6295" s="135" t="n">
        <f aca="false">$G6295*'Analyse capacite'!$F$9</f>
        <v>0</v>
      </c>
      <c r="I6295" s="135" t="n">
        <f aca="false">$G6295*'Analyse capacite'!$C$9</f>
        <v>0</v>
      </c>
      <c r="J6295" s="135" t="n">
        <f aca="false">$G6295*'Analyse capacite'!$D$9</f>
        <v>0</v>
      </c>
      <c r="K6295" s="135" t="n">
        <f aca="false">$G6295*'Analyse capacite'!$E$9</f>
        <v>0</v>
      </c>
    </row>
    <row r="6296" customFormat="false" ht="15" hidden="false" customHeight="false" outlineLevel="0" collapsed="false">
      <c r="B6296" s="130" t="n">
        <v>2027</v>
      </c>
      <c r="C6296" s="131" t="s">
        <v>251</v>
      </c>
      <c r="D6296" s="132" t="n">
        <v>46652</v>
      </c>
      <c r="E6296" s="131" t="s">
        <v>56</v>
      </c>
      <c r="F6296" s="133" t="s">
        <v>11</v>
      </c>
      <c r="G6296" s="134" t="n">
        <f aca="false">LEN('Saisie programme'!$F$235)+SUMIFS('Vols additionnels'!$E$7:$E$66,'Vols additionnels'!$C$7:$C$66,$E6296,'Vols additionnels'!$D$7:$D$66,$F6296,'Vols additionnels'!$B$7:$B$66,$D6296)</f>
        <v>0</v>
      </c>
      <c r="H6296" s="135" t="n">
        <f aca="false">$G6296*'Analyse capacite'!$F$7</f>
        <v>0</v>
      </c>
      <c r="I6296" s="135" t="n">
        <f aca="false">$G6296*'Analyse capacite'!$C$7</f>
        <v>0</v>
      </c>
      <c r="J6296" s="135" t="n">
        <f aca="false">$G6296*'Analyse capacite'!$D$7</f>
        <v>0</v>
      </c>
      <c r="K6296" s="135" t="n">
        <f aca="false">$G6296*'Analyse capacite'!$E$7</f>
        <v>0</v>
      </c>
    </row>
    <row r="6297" customFormat="false" ht="15" hidden="false" customHeight="false" outlineLevel="0" collapsed="false">
      <c r="B6297" s="130" t="n">
        <v>2027</v>
      </c>
      <c r="C6297" s="131" t="s">
        <v>251</v>
      </c>
      <c r="D6297" s="132" t="n">
        <v>46652</v>
      </c>
      <c r="E6297" s="131" t="s">
        <v>56</v>
      </c>
      <c r="F6297" s="133" t="s">
        <v>19</v>
      </c>
      <c r="G6297" s="134" t="n">
        <f aca="false">LEN('Saisie programme'!$F$236)+SUMIFS('Vols additionnels'!$E$7:$E$66,'Vols additionnels'!$C$7:$C$66,$E6297,'Vols additionnels'!$D$7:$D$66,$F6297,'Vols additionnels'!$B$7:$B$66,$D6297)</f>
        <v>0</v>
      </c>
      <c r="H6297" s="135" t="n">
        <f aca="false">$G6297*'Analyse capacite'!$F$8</f>
        <v>0</v>
      </c>
      <c r="I6297" s="135" t="n">
        <f aca="false">$G6297*'Analyse capacite'!$C$8</f>
        <v>0</v>
      </c>
      <c r="J6297" s="135" t="n">
        <f aca="false">$G6297*'Analyse capacite'!$D$8</f>
        <v>0</v>
      </c>
      <c r="K6297" s="135" t="n">
        <f aca="false">$G6297*'Analyse capacite'!$E$8</f>
        <v>0</v>
      </c>
    </row>
    <row r="6298" customFormat="false" ht="15" hidden="false" customHeight="false" outlineLevel="0" collapsed="false">
      <c r="B6298" s="130" t="n">
        <v>2027</v>
      </c>
      <c r="C6298" s="131" t="s">
        <v>251</v>
      </c>
      <c r="D6298" s="132" t="n">
        <v>46652</v>
      </c>
      <c r="E6298" s="131" t="s">
        <v>56</v>
      </c>
      <c r="F6298" s="133" t="s">
        <v>24</v>
      </c>
      <c r="G6298" s="134" t="n">
        <f aca="false">LEN('Saisie programme'!$F$237)+SUMIFS('Vols additionnels'!$E$7:$E$66,'Vols additionnels'!$C$7:$C$66,$E6298,'Vols additionnels'!$D$7:$D$66,$F6298,'Vols additionnels'!$B$7:$B$66,$D6298)</f>
        <v>0</v>
      </c>
      <c r="H6298" s="135" t="n">
        <f aca="false">$G6298*'Analyse capacite'!$F$9</f>
        <v>0</v>
      </c>
      <c r="I6298" s="135" t="n">
        <f aca="false">$G6298*'Analyse capacite'!$C$9</f>
        <v>0</v>
      </c>
      <c r="J6298" s="135" t="n">
        <f aca="false">$G6298*'Analyse capacite'!$D$9</f>
        <v>0</v>
      </c>
      <c r="K6298" s="135" t="n">
        <f aca="false">$G6298*'Analyse capacite'!$E$9</f>
        <v>0</v>
      </c>
    </row>
    <row r="6299" customFormat="false" ht="15" hidden="false" customHeight="false" outlineLevel="0" collapsed="false">
      <c r="B6299" s="130" t="n">
        <v>2027</v>
      </c>
      <c r="C6299" s="131" t="s">
        <v>251</v>
      </c>
      <c r="D6299" s="132" t="n">
        <v>46652</v>
      </c>
      <c r="E6299" s="131" t="s">
        <v>59</v>
      </c>
      <c r="F6299" s="133" t="s">
        <v>11</v>
      </c>
      <c r="G6299" s="134" t="n">
        <f aca="false">LEN('Saisie programme'!$F$238)+SUMIFS('Vols additionnels'!$E$7:$E$66,'Vols additionnels'!$C$7:$C$66,$E6299,'Vols additionnels'!$D$7:$D$66,$F6299,'Vols additionnels'!$B$7:$B$66,$D6299)</f>
        <v>0</v>
      </c>
      <c r="H6299" s="135" t="n">
        <f aca="false">$G6299*'Analyse capacite'!$F$7</f>
        <v>0</v>
      </c>
      <c r="I6299" s="135" t="n">
        <f aca="false">$G6299*'Analyse capacite'!$C$7</f>
        <v>0</v>
      </c>
      <c r="J6299" s="135" t="n">
        <f aca="false">$G6299*'Analyse capacite'!$D$7</f>
        <v>0</v>
      </c>
      <c r="K6299" s="135" t="n">
        <f aca="false">$G6299*'Analyse capacite'!$E$7</f>
        <v>0</v>
      </c>
    </row>
    <row r="6300" customFormat="false" ht="15" hidden="false" customHeight="false" outlineLevel="0" collapsed="false">
      <c r="B6300" s="130" t="n">
        <v>2027</v>
      </c>
      <c r="C6300" s="131" t="s">
        <v>251</v>
      </c>
      <c r="D6300" s="132" t="n">
        <v>46652</v>
      </c>
      <c r="E6300" s="131" t="s">
        <v>59</v>
      </c>
      <c r="F6300" s="133" t="s">
        <v>19</v>
      </c>
      <c r="G6300" s="134" t="n">
        <f aca="false">LEN('Saisie programme'!$F$239)+SUMIFS('Vols additionnels'!$E$7:$E$66,'Vols additionnels'!$C$7:$C$66,$E6300,'Vols additionnels'!$D$7:$D$66,$F6300,'Vols additionnels'!$B$7:$B$66,$D6300)</f>
        <v>0</v>
      </c>
      <c r="H6300" s="135" t="n">
        <f aca="false">$G6300*'Analyse capacite'!$F$8</f>
        <v>0</v>
      </c>
      <c r="I6300" s="135" t="n">
        <f aca="false">$G6300*'Analyse capacite'!$C$8</f>
        <v>0</v>
      </c>
      <c r="J6300" s="135" t="n">
        <f aca="false">$G6300*'Analyse capacite'!$D$8</f>
        <v>0</v>
      </c>
      <c r="K6300" s="135" t="n">
        <f aca="false">$G6300*'Analyse capacite'!$E$8</f>
        <v>0</v>
      </c>
    </row>
    <row r="6301" customFormat="false" ht="15" hidden="false" customHeight="false" outlineLevel="0" collapsed="false">
      <c r="B6301" s="130" t="n">
        <v>2027</v>
      </c>
      <c r="C6301" s="131" t="s">
        <v>251</v>
      </c>
      <c r="D6301" s="132" t="n">
        <v>46652</v>
      </c>
      <c r="E6301" s="131" t="s">
        <v>59</v>
      </c>
      <c r="F6301" s="133" t="s">
        <v>24</v>
      </c>
      <c r="G6301" s="134" t="n">
        <f aca="false">LEN('Saisie programme'!$F$240)+SUMIFS('Vols additionnels'!$E$7:$E$66,'Vols additionnels'!$C$7:$C$66,$E6301,'Vols additionnels'!$D$7:$D$66,$F6301,'Vols additionnels'!$B$7:$B$66,$D6301)</f>
        <v>1</v>
      </c>
      <c r="H6301" s="135" t="n">
        <f aca="false">$G6301*'Analyse capacite'!$F$9</f>
        <v>174</v>
      </c>
      <c r="I6301" s="135" t="n">
        <f aca="false">$G6301*'Analyse capacite'!$C$9</f>
        <v>0</v>
      </c>
      <c r="J6301" s="135" t="n">
        <f aca="false">$G6301*'Analyse capacite'!$D$9</f>
        <v>12</v>
      </c>
      <c r="K6301" s="135" t="n">
        <f aca="false">$G6301*'Analyse capacite'!$E$9</f>
        <v>162</v>
      </c>
    </row>
    <row r="6302" customFormat="false" ht="15" hidden="false" customHeight="false" outlineLevel="0" collapsed="false">
      <c r="B6302" s="130" t="n">
        <v>2027</v>
      </c>
      <c r="C6302" s="131" t="s">
        <v>251</v>
      </c>
      <c r="D6302" s="132" t="n">
        <v>46652</v>
      </c>
      <c r="E6302" s="131" t="s">
        <v>62</v>
      </c>
      <c r="F6302" s="133" t="s">
        <v>11</v>
      </c>
      <c r="G6302" s="134" t="n">
        <f aca="false">LEN('Saisie programme'!$F$241)+SUMIFS('Vols additionnels'!$E$7:$E$66,'Vols additionnels'!$C$7:$C$66,$E6302,'Vols additionnels'!$D$7:$D$66,$F6302,'Vols additionnels'!$B$7:$B$66,$D6302)</f>
        <v>0</v>
      </c>
      <c r="H6302" s="135" t="n">
        <f aca="false">$G6302*'Analyse capacite'!$F$7</f>
        <v>0</v>
      </c>
      <c r="I6302" s="135" t="n">
        <f aca="false">$G6302*'Analyse capacite'!$C$7</f>
        <v>0</v>
      </c>
      <c r="J6302" s="135" t="n">
        <f aca="false">$G6302*'Analyse capacite'!$D$7</f>
        <v>0</v>
      </c>
      <c r="K6302" s="135" t="n">
        <f aca="false">$G6302*'Analyse capacite'!$E$7</f>
        <v>0</v>
      </c>
    </row>
    <row r="6303" customFormat="false" ht="15" hidden="false" customHeight="false" outlineLevel="0" collapsed="false">
      <c r="B6303" s="130" t="n">
        <v>2027</v>
      </c>
      <c r="C6303" s="131" t="s">
        <v>251</v>
      </c>
      <c r="D6303" s="132" t="n">
        <v>46652</v>
      </c>
      <c r="E6303" s="131" t="s">
        <v>62</v>
      </c>
      <c r="F6303" s="133" t="s">
        <v>19</v>
      </c>
      <c r="G6303" s="134" t="n">
        <f aca="false">LEN('Saisie programme'!$F$242)+SUMIFS('Vols additionnels'!$E$7:$E$66,'Vols additionnels'!$C$7:$C$66,$E6303,'Vols additionnels'!$D$7:$D$66,$F6303,'Vols additionnels'!$B$7:$B$66,$D6303)</f>
        <v>0</v>
      </c>
      <c r="H6303" s="135" t="n">
        <f aca="false">$G6303*'Analyse capacite'!$F$8</f>
        <v>0</v>
      </c>
      <c r="I6303" s="135" t="n">
        <f aca="false">$G6303*'Analyse capacite'!$C$8</f>
        <v>0</v>
      </c>
      <c r="J6303" s="135" t="n">
        <f aca="false">$G6303*'Analyse capacite'!$D$8</f>
        <v>0</v>
      </c>
      <c r="K6303" s="135" t="n">
        <f aca="false">$G6303*'Analyse capacite'!$E$8</f>
        <v>0</v>
      </c>
    </row>
    <row r="6304" customFormat="false" ht="15" hidden="false" customHeight="false" outlineLevel="0" collapsed="false">
      <c r="B6304" s="130" t="n">
        <v>2027</v>
      </c>
      <c r="C6304" s="131" t="s">
        <v>251</v>
      </c>
      <c r="D6304" s="132" t="n">
        <v>46652</v>
      </c>
      <c r="E6304" s="131" t="s">
        <v>62</v>
      </c>
      <c r="F6304" s="133" t="s">
        <v>24</v>
      </c>
      <c r="G6304" s="134" t="n">
        <f aca="false">LEN('Saisie programme'!$F$243)+SUMIFS('Vols additionnels'!$E$7:$E$66,'Vols additionnels'!$C$7:$C$66,$E6304,'Vols additionnels'!$D$7:$D$66,$F6304,'Vols additionnels'!$B$7:$B$66,$D6304)</f>
        <v>1</v>
      </c>
      <c r="H6304" s="135" t="n">
        <f aca="false">$G6304*'Analyse capacite'!$F$9</f>
        <v>174</v>
      </c>
      <c r="I6304" s="135" t="n">
        <f aca="false">$G6304*'Analyse capacite'!$C$9</f>
        <v>0</v>
      </c>
      <c r="J6304" s="135" t="n">
        <f aca="false">$G6304*'Analyse capacite'!$D$9</f>
        <v>12</v>
      </c>
      <c r="K6304" s="135" t="n">
        <f aca="false">$G6304*'Analyse capacite'!$E$9</f>
        <v>162</v>
      </c>
    </row>
    <row r="6305" customFormat="false" ht="15" hidden="false" customHeight="false" outlineLevel="0" collapsed="false">
      <c r="B6305" s="130" t="n">
        <v>2027</v>
      </c>
      <c r="C6305" s="131" t="s">
        <v>251</v>
      </c>
      <c r="D6305" s="132" t="n">
        <v>46653</v>
      </c>
      <c r="E6305" s="131" t="s">
        <v>12</v>
      </c>
      <c r="F6305" s="133" t="s">
        <v>11</v>
      </c>
      <c r="G6305" s="134" t="n">
        <f aca="false">LEN('Saisie programme'!$G$208)+SUMIFS('Vols additionnels'!$E$7:$E$66,'Vols additionnels'!$C$7:$C$66,$E6305,'Vols additionnels'!$D$7:$D$66,$F6305,'Vols additionnels'!$B$7:$B$66,$D6305)</f>
        <v>1</v>
      </c>
      <c r="H6305" s="135" t="n">
        <f aca="false">$G6305*'Analyse capacite'!$F$7</f>
        <v>438</v>
      </c>
      <c r="I6305" s="135" t="n">
        <f aca="false">$G6305*'Analyse capacite'!$C$7</f>
        <v>14</v>
      </c>
      <c r="J6305" s="135" t="n">
        <f aca="false">$G6305*'Analyse capacite'!$D$7</f>
        <v>40</v>
      </c>
      <c r="K6305" s="135" t="n">
        <f aca="false">$G6305*'Analyse capacite'!$E$7</f>
        <v>384</v>
      </c>
    </row>
    <row r="6306" customFormat="false" ht="15" hidden="false" customHeight="false" outlineLevel="0" collapsed="false">
      <c r="B6306" s="130" t="n">
        <v>2027</v>
      </c>
      <c r="C6306" s="131" t="s">
        <v>251</v>
      </c>
      <c r="D6306" s="132" t="n">
        <v>46653</v>
      </c>
      <c r="E6306" s="131" t="s">
        <v>12</v>
      </c>
      <c r="F6306" s="133" t="s">
        <v>19</v>
      </c>
      <c r="G6306" s="134" t="n">
        <f aca="false">LEN('Saisie programme'!$G$209)+SUMIFS('Vols additionnels'!$E$7:$E$66,'Vols additionnels'!$C$7:$C$66,$E6306,'Vols additionnels'!$D$7:$D$66,$F6306,'Vols additionnels'!$B$7:$B$66,$D6306)</f>
        <v>0</v>
      </c>
      <c r="H6306" s="135" t="n">
        <f aca="false">$G6306*'Analyse capacite'!$F$8</f>
        <v>0</v>
      </c>
      <c r="I6306" s="135" t="n">
        <f aca="false">$G6306*'Analyse capacite'!$C$8</f>
        <v>0</v>
      </c>
      <c r="J6306" s="135" t="n">
        <f aca="false">$G6306*'Analyse capacite'!$D$8</f>
        <v>0</v>
      </c>
      <c r="K6306" s="135" t="n">
        <f aca="false">$G6306*'Analyse capacite'!$E$8</f>
        <v>0</v>
      </c>
    </row>
    <row r="6307" customFormat="false" ht="15" hidden="false" customHeight="false" outlineLevel="0" collapsed="false">
      <c r="B6307" s="130" t="n">
        <v>2027</v>
      </c>
      <c r="C6307" s="131" t="s">
        <v>251</v>
      </c>
      <c r="D6307" s="132" t="n">
        <v>46653</v>
      </c>
      <c r="E6307" s="131" t="s">
        <v>12</v>
      </c>
      <c r="F6307" s="133" t="s">
        <v>24</v>
      </c>
      <c r="G6307" s="134" t="n">
        <f aca="false">LEN('Saisie programme'!$G$210)+SUMIFS('Vols additionnels'!$E$7:$E$66,'Vols additionnels'!$C$7:$C$66,$E6307,'Vols additionnels'!$D$7:$D$66,$F6307,'Vols additionnels'!$B$7:$B$66,$D6307)</f>
        <v>0</v>
      </c>
      <c r="H6307" s="135" t="n">
        <f aca="false">$G6307*'Analyse capacite'!$F$9</f>
        <v>0</v>
      </c>
      <c r="I6307" s="135" t="n">
        <f aca="false">$G6307*'Analyse capacite'!$C$9</f>
        <v>0</v>
      </c>
      <c r="J6307" s="135" t="n">
        <f aca="false">$G6307*'Analyse capacite'!$D$9</f>
        <v>0</v>
      </c>
      <c r="K6307" s="135" t="n">
        <f aca="false">$G6307*'Analyse capacite'!$E$9</f>
        <v>0</v>
      </c>
    </row>
    <row r="6308" customFormat="false" ht="15" hidden="false" customHeight="false" outlineLevel="0" collapsed="false">
      <c r="B6308" s="130" t="n">
        <v>2027</v>
      </c>
      <c r="C6308" s="131" t="s">
        <v>251</v>
      </c>
      <c r="D6308" s="132" t="n">
        <v>46653</v>
      </c>
      <c r="E6308" s="131" t="s">
        <v>20</v>
      </c>
      <c r="F6308" s="133" t="s">
        <v>11</v>
      </c>
      <c r="G6308" s="134" t="n">
        <f aca="false">LEN('Saisie programme'!$G$211)+SUMIFS('Vols additionnels'!$E$7:$E$66,'Vols additionnels'!$C$7:$C$66,$E6308,'Vols additionnels'!$D$7:$D$66,$F6308,'Vols additionnels'!$B$7:$B$66,$D6308)</f>
        <v>0</v>
      </c>
      <c r="H6308" s="135" t="n">
        <f aca="false">$G6308*'Analyse capacite'!$F$7</f>
        <v>0</v>
      </c>
      <c r="I6308" s="135" t="n">
        <f aca="false">$G6308*'Analyse capacite'!$C$7</f>
        <v>0</v>
      </c>
      <c r="J6308" s="135" t="n">
        <f aca="false">$G6308*'Analyse capacite'!$D$7</f>
        <v>0</v>
      </c>
      <c r="K6308" s="135" t="n">
        <f aca="false">$G6308*'Analyse capacite'!$E$7</f>
        <v>0</v>
      </c>
    </row>
    <row r="6309" customFormat="false" ht="15" hidden="false" customHeight="false" outlineLevel="0" collapsed="false">
      <c r="B6309" s="130" t="n">
        <v>2027</v>
      </c>
      <c r="C6309" s="131" t="s">
        <v>251</v>
      </c>
      <c r="D6309" s="132" t="n">
        <v>46653</v>
      </c>
      <c r="E6309" s="131" t="s">
        <v>20</v>
      </c>
      <c r="F6309" s="133" t="s">
        <v>19</v>
      </c>
      <c r="G6309" s="134" t="n">
        <f aca="false">LEN('Saisie programme'!$G$212)+SUMIFS('Vols additionnels'!$E$7:$E$66,'Vols additionnels'!$C$7:$C$66,$E6309,'Vols additionnels'!$D$7:$D$66,$F6309,'Vols additionnels'!$B$7:$B$66,$D6309)</f>
        <v>0</v>
      </c>
      <c r="H6309" s="135" t="n">
        <f aca="false">$G6309*'Analyse capacite'!$F$8</f>
        <v>0</v>
      </c>
      <c r="I6309" s="135" t="n">
        <f aca="false">$G6309*'Analyse capacite'!$C$8</f>
        <v>0</v>
      </c>
      <c r="J6309" s="135" t="n">
        <f aca="false">$G6309*'Analyse capacite'!$D$8</f>
        <v>0</v>
      </c>
      <c r="K6309" s="135" t="n">
        <f aca="false">$G6309*'Analyse capacite'!$E$8</f>
        <v>0</v>
      </c>
    </row>
    <row r="6310" customFormat="false" ht="15" hidden="false" customHeight="false" outlineLevel="0" collapsed="false">
      <c r="B6310" s="130" t="n">
        <v>2027</v>
      </c>
      <c r="C6310" s="131" t="s">
        <v>251</v>
      </c>
      <c r="D6310" s="132" t="n">
        <v>46653</v>
      </c>
      <c r="E6310" s="131" t="s">
        <v>20</v>
      </c>
      <c r="F6310" s="133" t="s">
        <v>24</v>
      </c>
      <c r="G6310" s="134" t="n">
        <f aca="false">LEN('Saisie programme'!$G$213)+SUMIFS('Vols additionnels'!$E$7:$E$66,'Vols additionnels'!$C$7:$C$66,$E6310,'Vols additionnels'!$D$7:$D$66,$F6310,'Vols additionnels'!$B$7:$B$66,$D6310)</f>
        <v>0</v>
      </c>
      <c r="H6310" s="135" t="n">
        <f aca="false">$G6310*'Analyse capacite'!$F$9</f>
        <v>0</v>
      </c>
      <c r="I6310" s="135" t="n">
        <f aca="false">$G6310*'Analyse capacite'!$C$9</f>
        <v>0</v>
      </c>
      <c r="J6310" s="135" t="n">
        <f aca="false">$G6310*'Analyse capacite'!$D$9</f>
        <v>0</v>
      </c>
      <c r="K6310" s="135" t="n">
        <f aca="false">$G6310*'Analyse capacite'!$E$9</f>
        <v>0</v>
      </c>
    </row>
    <row r="6311" customFormat="false" ht="15" hidden="false" customHeight="false" outlineLevel="0" collapsed="false">
      <c r="B6311" s="130" t="n">
        <v>2027</v>
      </c>
      <c r="C6311" s="131" t="s">
        <v>251</v>
      </c>
      <c r="D6311" s="132" t="n">
        <v>46653</v>
      </c>
      <c r="E6311" s="131" t="s">
        <v>25</v>
      </c>
      <c r="F6311" s="133" t="s">
        <v>11</v>
      </c>
      <c r="G6311" s="134" t="n">
        <f aca="false">LEN('Saisie programme'!$G$214)+SUMIFS('Vols additionnels'!$E$7:$E$66,'Vols additionnels'!$C$7:$C$66,$E6311,'Vols additionnels'!$D$7:$D$66,$F6311,'Vols additionnels'!$B$7:$B$66,$D6311)</f>
        <v>0</v>
      </c>
      <c r="H6311" s="135" t="n">
        <f aca="false">$G6311*'Analyse capacite'!$F$7</f>
        <v>0</v>
      </c>
      <c r="I6311" s="135" t="n">
        <f aca="false">$G6311*'Analyse capacite'!$C$7</f>
        <v>0</v>
      </c>
      <c r="J6311" s="135" t="n">
        <f aca="false">$G6311*'Analyse capacite'!$D$7</f>
        <v>0</v>
      </c>
      <c r="K6311" s="135" t="n">
        <f aca="false">$G6311*'Analyse capacite'!$E$7</f>
        <v>0</v>
      </c>
    </row>
    <row r="6312" customFormat="false" ht="15" hidden="false" customHeight="false" outlineLevel="0" collapsed="false">
      <c r="B6312" s="130" t="n">
        <v>2027</v>
      </c>
      <c r="C6312" s="131" t="s">
        <v>251</v>
      </c>
      <c r="D6312" s="132" t="n">
        <v>46653</v>
      </c>
      <c r="E6312" s="131" t="s">
        <v>25</v>
      </c>
      <c r="F6312" s="133" t="s">
        <v>19</v>
      </c>
      <c r="G6312" s="134" t="n">
        <f aca="false">LEN('Saisie programme'!$G$215)+SUMIFS('Vols additionnels'!$E$7:$E$66,'Vols additionnels'!$C$7:$C$66,$E6312,'Vols additionnels'!$D$7:$D$66,$F6312,'Vols additionnels'!$B$7:$B$66,$D6312)</f>
        <v>0</v>
      </c>
      <c r="H6312" s="135" t="n">
        <f aca="false">$G6312*'Analyse capacite'!$F$8</f>
        <v>0</v>
      </c>
      <c r="I6312" s="135" t="n">
        <f aca="false">$G6312*'Analyse capacite'!$C$8</f>
        <v>0</v>
      </c>
      <c r="J6312" s="135" t="n">
        <f aca="false">$G6312*'Analyse capacite'!$D$8</f>
        <v>0</v>
      </c>
      <c r="K6312" s="135" t="n">
        <f aca="false">$G6312*'Analyse capacite'!$E$8</f>
        <v>0</v>
      </c>
    </row>
    <row r="6313" customFormat="false" ht="15" hidden="false" customHeight="false" outlineLevel="0" collapsed="false">
      <c r="B6313" s="130" t="n">
        <v>2027</v>
      </c>
      <c r="C6313" s="131" t="s">
        <v>251</v>
      </c>
      <c r="D6313" s="132" t="n">
        <v>46653</v>
      </c>
      <c r="E6313" s="131" t="s">
        <v>25</v>
      </c>
      <c r="F6313" s="133" t="s">
        <v>24</v>
      </c>
      <c r="G6313" s="134" t="n">
        <f aca="false">LEN('Saisie programme'!$G$216)+SUMIFS('Vols additionnels'!$E$7:$E$66,'Vols additionnels'!$C$7:$C$66,$E6313,'Vols additionnels'!$D$7:$D$66,$F6313,'Vols additionnels'!$B$7:$B$66,$D6313)</f>
        <v>0</v>
      </c>
      <c r="H6313" s="135" t="n">
        <f aca="false">$G6313*'Analyse capacite'!$F$9</f>
        <v>0</v>
      </c>
      <c r="I6313" s="135" t="n">
        <f aca="false">$G6313*'Analyse capacite'!$C$9</f>
        <v>0</v>
      </c>
      <c r="J6313" s="135" t="n">
        <f aca="false">$G6313*'Analyse capacite'!$D$9</f>
        <v>0</v>
      </c>
      <c r="K6313" s="135" t="n">
        <f aca="false">$G6313*'Analyse capacite'!$E$9</f>
        <v>0</v>
      </c>
    </row>
    <row r="6314" customFormat="false" ht="15" hidden="false" customHeight="false" outlineLevel="0" collapsed="false">
      <c r="B6314" s="130" t="n">
        <v>2027</v>
      </c>
      <c r="C6314" s="131" t="s">
        <v>251</v>
      </c>
      <c r="D6314" s="132" t="n">
        <v>46653</v>
      </c>
      <c r="E6314" s="131" t="s">
        <v>36</v>
      </c>
      <c r="F6314" s="133" t="s">
        <v>11</v>
      </c>
      <c r="G6314" s="134" t="n">
        <f aca="false">LEN('Saisie programme'!$G$217)+SUMIFS('Vols additionnels'!$E$7:$E$66,'Vols additionnels'!$C$7:$C$66,$E6314,'Vols additionnels'!$D$7:$D$66,$F6314,'Vols additionnels'!$B$7:$B$66,$D6314)</f>
        <v>0</v>
      </c>
      <c r="H6314" s="135" t="n">
        <f aca="false">$G6314*'Analyse capacite'!$F$7</f>
        <v>0</v>
      </c>
      <c r="I6314" s="135" t="n">
        <f aca="false">$G6314*'Analyse capacite'!$C$7</f>
        <v>0</v>
      </c>
      <c r="J6314" s="135" t="n">
        <f aca="false">$G6314*'Analyse capacite'!$D$7</f>
        <v>0</v>
      </c>
      <c r="K6314" s="135" t="n">
        <f aca="false">$G6314*'Analyse capacite'!$E$7</f>
        <v>0</v>
      </c>
    </row>
    <row r="6315" customFormat="false" ht="15" hidden="false" customHeight="false" outlineLevel="0" collapsed="false">
      <c r="B6315" s="130" t="n">
        <v>2027</v>
      </c>
      <c r="C6315" s="131" t="s">
        <v>251</v>
      </c>
      <c r="D6315" s="132" t="n">
        <v>46653</v>
      </c>
      <c r="E6315" s="131" t="s">
        <v>36</v>
      </c>
      <c r="F6315" s="133" t="s">
        <v>19</v>
      </c>
      <c r="G6315" s="134" t="n">
        <f aca="false">LEN('Saisie programme'!$G$218)+SUMIFS('Vols additionnels'!$E$7:$E$66,'Vols additionnels'!$C$7:$C$66,$E6315,'Vols additionnels'!$D$7:$D$66,$F6315,'Vols additionnels'!$B$7:$B$66,$D6315)</f>
        <v>0</v>
      </c>
      <c r="H6315" s="135" t="n">
        <f aca="false">$G6315*'Analyse capacite'!$F$8</f>
        <v>0</v>
      </c>
      <c r="I6315" s="135" t="n">
        <f aca="false">$G6315*'Analyse capacite'!$C$8</f>
        <v>0</v>
      </c>
      <c r="J6315" s="135" t="n">
        <f aca="false">$G6315*'Analyse capacite'!$D$8</f>
        <v>0</v>
      </c>
      <c r="K6315" s="135" t="n">
        <f aca="false">$G6315*'Analyse capacite'!$E$8</f>
        <v>0</v>
      </c>
    </row>
    <row r="6316" customFormat="false" ht="15" hidden="false" customHeight="false" outlineLevel="0" collapsed="false">
      <c r="B6316" s="130" t="n">
        <v>2027</v>
      </c>
      <c r="C6316" s="131" t="s">
        <v>251</v>
      </c>
      <c r="D6316" s="132" t="n">
        <v>46653</v>
      </c>
      <c r="E6316" s="131" t="s">
        <v>36</v>
      </c>
      <c r="F6316" s="133" t="s">
        <v>24</v>
      </c>
      <c r="G6316" s="134" t="n">
        <f aca="false">LEN('Saisie programme'!$G$219)+SUMIFS('Vols additionnels'!$E$7:$E$66,'Vols additionnels'!$C$7:$C$66,$E6316,'Vols additionnels'!$D$7:$D$66,$F6316,'Vols additionnels'!$B$7:$B$66,$D6316)</f>
        <v>1</v>
      </c>
      <c r="H6316" s="135" t="n">
        <f aca="false">$G6316*'Analyse capacite'!$F$9</f>
        <v>174</v>
      </c>
      <c r="I6316" s="135" t="n">
        <f aca="false">$G6316*'Analyse capacite'!$C$9</f>
        <v>0</v>
      </c>
      <c r="J6316" s="135" t="n">
        <f aca="false">$G6316*'Analyse capacite'!$D$9</f>
        <v>12</v>
      </c>
      <c r="K6316" s="135" t="n">
        <f aca="false">$G6316*'Analyse capacite'!$E$9</f>
        <v>162</v>
      </c>
    </row>
    <row r="6317" customFormat="false" ht="15" hidden="false" customHeight="false" outlineLevel="0" collapsed="false">
      <c r="B6317" s="130" t="n">
        <v>2027</v>
      </c>
      <c r="C6317" s="131" t="s">
        <v>251</v>
      </c>
      <c r="D6317" s="132" t="n">
        <v>46653</v>
      </c>
      <c r="E6317" s="131" t="s">
        <v>40</v>
      </c>
      <c r="F6317" s="133" t="s">
        <v>11</v>
      </c>
      <c r="G6317" s="134" t="n">
        <f aca="false">LEN('Saisie programme'!$G$220)+SUMIFS('Vols additionnels'!$E$7:$E$66,'Vols additionnels'!$C$7:$C$66,$E6317,'Vols additionnels'!$D$7:$D$66,$F6317,'Vols additionnels'!$B$7:$B$66,$D6317)</f>
        <v>0</v>
      </c>
      <c r="H6317" s="135" t="n">
        <f aca="false">$G6317*'Analyse capacite'!$F$7</f>
        <v>0</v>
      </c>
      <c r="I6317" s="135" t="n">
        <f aca="false">$G6317*'Analyse capacite'!$C$7</f>
        <v>0</v>
      </c>
      <c r="J6317" s="135" t="n">
        <f aca="false">$G6317*'Analyse capacite'!$D$7</f>
        <v>0</v>
      </c>
      <c r="K6317" s="135" t="n">
        <f aca="false">$G6317*'Analyse capacite'!$E$7</f>
        <v>0</v>
      </c>
    </row>
    <row r="6318" customFormat="false" ht="15" hidden="false" customHeight="false" outlineLevel="0" collapsed="false">
      <c r="B6318" s="130" t="n">
        <v>2027</v>
      </c>
      <c r="C6318" s="131" t="s">
        <v>251</v>
      </c>
      <c r="D6318" s="132" t="n">
        <v>46653</v>
      </c>
      <c r="E6318" s="131" t="s">
        <v>40</v>
      </c>
      <c r="F6318" s="133" t="s">
        <v>19</v>
      </c>
      <c r="G6318" s="134" t="n">
        <f aca="false">LEN('Saisie programme'!$G$221)+SUMIFS('Vols additionnels'!$E$7:$E$66,'Vols additionnels'!$C$7:$C$66,$E6318,'Vols additionnels'!$D$7:$D$66,$F6318,'Vols additionnels'!$B$7:$B$66,$D6318)</f>
        <v>0</v>
      </c>
      <c r="H6318" s="135" t="n">
        <f aca="false">$G6318*'Analyse capacite'!$F$8</f>
        <v>0</v>
      </c>
      <c r="I6318" s="135" t="n">
        <f aca="false">$G6318*'Analyse capacite'!$C$8</f>
        <v>0</v>
      </c>
      <c r="J6318" s="135" t="n">
        <f aca="false">$G6318*'Analyse capacite'!$D$8</f>
        <v>0</v>
      </c>
      <c r="K6318" s="135" t="n">
        <f aca="false">$G6318*'Analyse capacite'!$E$8</f>
        <v>0</v>
      </c>
    </row>
    <row r="6319" customFormat="false" ht="15" hidden="false" customHeight="false" outlineLevel="0" collapsed="false">
      <c r="B6319" s="130" t="n">
        <v>2027</v>
      </c>
      <c r="C6319" s="131" t="s">
        <v>251</v>
      </c>
      <c r="D6319" s="132" t="n">
        <v>46653</v>
      </c>
      <c r="E6319" s="131" t="s">
        <v>40</v>
      </c>
      <c r="F6319" s="133" t="s">
        <v>24</v>
      </c>
      <c r="G6319" s="134" t="n">
        <f aca="false">LEN('Saisie programme'!$G$222)+SUMIFS('Vols additionnels'!$E$7:$E$66,'Vols additionnels'!$C$7:$C$66,$E6319,'Vols additionnels'!$D$7:$D$66,$F6319,'Vols additionnels'!$B$7:$B$66,$D6319)</f>
        <v>0</v>
      </c>
      <c r="H6319" s="135" t="n">
        <f aca="false">$G6319*'Analyse capacite'!$F$9</f>
        <v>0</v>
      </c>
      <c r="I6319" s="135" t="n">
        <f aca="false">$G6319*'Analyse capacite'!$C$9</f>
        <v>0</v>
      </c>
      <c r="J6319" s="135" t="n">
        <f aca="false">$G6319*'Analyse capacite'!$D$9</f>
        <v>0</v>
      </c>
      <c r="K6319" s="135" t="n">
        <f aca="false">$G6319*'Analyse capacite'!$E$9</f>
        <v>0</v>
      </c>
    </row>
    <row r="6320" customFormat="false" ht="15" hidden="false" customHeight="false" outlineLevel="0" collapsed="false">
      <c r="B6320" s="130" t="n">
        <v>2027</v>
      </c>
      <c r="C6320" s="131" t="s">
        <v>251</v>
      </c>
      <c r="D6320" s="132" t="n">
        <v>46653</v>
      </c>
      <c r="E6320" s="131" t="s">
        <v>14</v>
      </c>
      <c r="F6320" s="133" t="s">
        <v>11</v>
      </c>
      <c r="G6320" s="134" t="n">
        <f aca="false">LEN('Saisie programme'!$G$223)+SUMIFS('Vols additionnels'!$E$7:$E$66,'Vols additionnels'!$C$7:$C$66,$E6320,'Vols additionnels'!$D$7:$D$66,$F6320,'Vols additionnels'!$B$7:$B$66,$D6320)</f>
        <v>0</v>
      </c>
      <c r="H6320" s="135" t="n">
        <f aca="false">$G6320*'Analyse capacite'!$F$7</f>
        <v>0</v>
      </c>
      <c r="I6320" s="135" t="n">
        <f aca="false">$G6320*'Analyse capacite'!$C$7</f>
        <v>0</v>
      </c>
      <c r="J6320" s="135" t="n">
        <f aca="false">$G6320*'Analyse capacite'!$D$7</f>
        <v>0</v>
      </c>
      <c r="K6320" s="135" t="n">
        <f aca="false">$G6320*'Analyse capacite'!$E$7</f>
        <v>0</v>
      </c>
    </row>
    <row r="6321" customFormat="false" ht="15" hidden="false" customHeight="false" outlineLevel="0" collapsed="false">
      <c r="B6321" s="130" t="n">
        <v>2027</v>
      </c>
      <c r="C6321" s="131" t="s">
        <v>251</v>
      </c>
      <c r="D6321" s="132" t="n">
        <v>46653</v>
      </c>
      <c r="E6321" s="131" t="s">
        <v>14</v>
      </c>
      <c r="F6321" s="133" t="s">
        <v>19</v>
      </c>
      <c r="G6321" s="134" t="n">
        <f aca="false">LEN('Saisie programme'!$G$224)+SUMIFS('Vols additionnels'!$E$7:$E$66,'Vols additionnels'!$C$7:$C$66,$E6321,'Vols additionnels'!$D$7:$D$66,$F6321,'Vols additionnels'!$B$7:$B$66,$D6321)</f>
        <v>0</v>
      </c>
      <c r="H6321" s="135" t="n">
        <f aca="false">$G6321*'Analyse capacite'!$F$8</f>
        <v>0</v>
      </c>
      <c r="I6321" s="135" t="n">
        <f aca="false">$G6321*'Analyse capacite'!$C$8</f>
        <v>0</v>
      </c>
      <c r="J6321" s="135" t="n">
        <f aca="false">$G6321*'Analyse capacite'!$D$8</f>
        <v>0</v>
      </c>
      <c r="K6321" s="135" t="n">
        <f aca="false">$G6321*'Analyse capacite'!$E$8</f>
        <v>0</v>
      </c>
    </row>
    <row r="6322" customFormat="false" ht="15" hidden="false" customHeight="false" outlineLevel="0" collapsed="false">
      <c r="B6322" s="130" t="n">
        <v>2027</v>
      </c>
      <c r="C6322" s="131" t="s">
        <v>251</v>
      </c>
      <c r="D6322" s="132" t="n">
        <v>46653</v>
      </c>
      <c r="E6322" s="131" t="s">
        <v>14</v>
      </c>
      <c r="F6322" s="133" t="s">
        <v>24</v>
      </c>
      <c r="G6322" s="134" t="n">
        <f aca="false">LEN('Saisie programme'!$G$225)+SUMIFS('Vols additionnels'!$E$7:$E$66,'Vols additionnels'!$C$7:$C$66,$E6322,'Vols additionnels'!$D$7:$D$66,$F6322,'Vols additionnels'!$B$7:$B$66,$D6322)</f>
        <v>1</v>
      </c>
      <c r="H6322" s="135" t="n">
        <f aca="false">$G6322*'Analyse capacite'!$F$9</f>
        <v>174</v>
      </c>
      <c r="I6322" s="135" t="n">
        <f aca="false">$G6322*'Analyse capacite'!$C$9</f>
        <v>0</v>
      </c>
      <c r="J6322" s="135" t="n">
        <f aca="false">$G6322*'Analyse capacite'!$D$9</f>
        <v>12</v>
      </c>
      <c r="K6322" s="135" t="n">
        <f aca="false">$G6322*'Analyse capacite'!$E$9</f>
        <v>162</v>
      </c>
    </row>
    <row r="6323" customFormat="false" ht="15" hidden="false" customHeight="false" outlineLevel="0" collapsed="false">
      <c r="B6323" s="130" t="n">
        <v>2027</v>
      </c>
      <c r="C6323" s="131" t="s">
        <v>251</v>
      </c>
      <c r="D6323" s="132" t="n">
        <v>46653</v>
      </c>
      <c r="E6323" s="131" t="s">
        <v>46</v>
      </c>
      <c r="F6323" s="133" t="s">
        <v>11</v>
      </c>
      <c r="G6323" s="134" t="n">
        <f aca="false">LEN('Saisie programme'!$G$226)+SUMIFS('Vols additionnels'!$E$7:$E$66,'Vols additionnels'!$C$7:$C$66,$E6323,'Vols additionnels'!$D$7:$D$66,$F6323,'Vols additionnels'!$B$7:$B$66,$D6323)</f>
        <v>0</v>
      </c>
      <c r="H6323" s="135" t="n">
        <f aca="false">$G6323*'Analyse capacite'!$F$7</f>
        <v>0</v>
      </c>
      <c r="I6323" s="135" t="n">
        <f aca="false">$G6323*'Analyse capacite'!$C$7</f>
        <v>0</v>
      </c>
      <c r="J6323" s="135" t="n">
        <f aca="false">$G6323*'Analyse capacite'!$D$7</f>
        <v>0</v>
      </c>
      <c r="K6323" s="135" t="n">
        <f aca="false">$G6323*'Analyse capacite'!$E$7</f>
        <v>0</v>
      </c>
    </row>
    <row r="6324" customFormat="false" ht="15" hidden="false" customHeight="false" outlineLevel="0" collapsed="false">
      <c r="B6324" s="130" t="n">
        <v>2027</v>
      </c>
      <c r="C6324" s="131" t="s">
        <v>251</v>
      </c>
      <c r="D6324" s="132" t="n">
        <v>46653</v>
      </c>
      <c r="E6324" s="131" t="s">
        <v>46</v>
      </c>
      <c r="F6324" s="133" t="s">
        <v>19</v>
      </c>
      <c r="G6324" s="134" t="n">
        <f aca="false">LEN('Saisie programme'!$G$227)+SUMIFS('Vols additionnels'!$E$7:$E$66,'Vols additionnels'!$C$7:$C$66,$E6324,'Vols additionnels'!$D$7:$D$66,$F6324,'Vols additionnels'!$B$7:$B$66,$D6324)</f>
        <v>0</v>
      </c>
      <c r="H6324" s="135" t="n">
        <f aca="false">$G6324*'Analyse capacite'!$F$8</f>
        <v>0</v>
      </c>
      <c r="I6324" s="135" t="n">
        <f aca="false">$G6324*'Analyse capacite'!$C$8</f>
        <v>0</v>
      </c>
      <c r="J6324" s="135" t="n">
        <f aca="false">$G6324*'Analyse capacite'!$D$8</f>
        <v>0</v>
      </c>
      <c r="K6324" s="135" t="n">
        <f aca="false">$G6324*'Analyse capacite'!$E$8</f>
        <v>0</v>
      </c>
    </row>
    <row r="6325" customFormat="false" ht="15" hidden="false" customHeight="false" outlineLevel="0" collapsed="false">
      <c r="B6325" s="130" t="n">
        <v>2027</v>
      </c>
      <c r="C6325" s="131" t="s">
        <v>251</v>
      </c>
      <c r="D6325" s="132" t="n">
        <v>46653</v>
      </c>
      <c r="E6325" s="131" t="s">
        <v>46</v>
      </c>
      <c r="F6325" s="133" t="s">
        <v>24</v>
      </c>
      <c r="G6325" s="134" t="n">
        <f aca="false">LEN('Saisie programme'!$G$228)+SUMIFS('Vols additionnels'!$E$7:$E$66,'Vols additionnels'!$C$7:$C$66,$E6325,'Vols additionnels'!$D$7:$D$66,$F6325,'Vols additionnels'!$B$7:$B$66,$D6325)</f>
        <v>1</v>
      </c>
      <c r="H6325" s="135" t="n">
        <f aca="false">$G6325*'Analyse capacite'!$F$9</f>
        <v>174</v>
      </c>
      <c r="I6325" s="135" t="n">
        <f aca="false">$G6325*'Analyse capacite'!$C$9</f>
        <v>0</v>
      </c>
      <c r="J6325" s="135" t="n">
        <f aca="false">$G6325*'Analyse capacite'!$D$9</f>
        <v>12</v>
      </c>
      <c r="K6325" s="135" t="n">
        <f aca="false">$G6325*'Analyse capacite'!$E$9</f>
        <v>162</v>
      </c>
    </row>
    <row r="6326" customFormat="false" ht="15" hidden="false" customHeight="false" outlineLevel="0" collapsed="false">
      <c r="B6326" s="130" t="n">
        <v>2027</v>
      </c>
      <c r="C6326" s="131" t="s">
        <v>251</v>
      </c>
      <c r="D6326" s="132" t="n">
        <v>46653</v>
      </c>
      <c r="E6326" s="131" t="s">
        <v>49</v>
      </c>
      <c r="F6326" s="133" t="s">
        <v>11</v>
      </c>
      <c r="G6326" s="134" t="n">
        <f aca="false">LEN('Saisie programme'!$G$229)+SUMIFS('Vols additionnels'!$E$7:$E$66,'Vols additionnels'!$C$7:$C$66,$E6326,'Vols additionnels'!$D$7:$D$66,$F6326,'Vols additionnels'!$B$7:$B$66,$D6326)</f>
        <v>0</v>
      </c>
      <c r="H6326" s="135" t="n">
        <f aca="false">$G6326*'Analyse capacite'!$F$7</f>
        <v>0</v>
      </c>
      <c r="I6326" s="135" t="n">
        <f aca="false">$G6326*'Analyse capacite'!$C$7</f>
        <v>0</v>
      </c>
      <c r="J6326" s="135" t="n">
        <f aca="false">$G6326*'Analyse capacite'!$D$7</f>
        <v>0</v>
      </c>
      <c r="K6326" s="135" t="n">
        <f aca="false">$G6326*'Analyse capacite'!$E$7</f>
        <v>0</v>
      </c>
    </row>
    <row r="6327" customFormat="false" ht="15" hidden="false" customHeight="false" outlineLevel="0" collapsed="false">
      <c r="B6327" s="130" t="n">
        <v>2027</v>
      </c>
      <c r="C6327" s="131" t="s">
        <v>251</v>
      </c>
      <c r="D6327" s="132" t="n">
        <v>46653</v>
      </c>
      <c r="E6327" s="131" t="s">
        <v>49</v>
      </c>
      <c r="F6327" s="133" t="s">
        <v>19</v>
      </c>
      <c r="G6327" s="134" t="n">
        <f aca="false">LEN('Saisie programme'!$G$230)+SUMIFS('Vols additionnels'!$E$7:$E$66,'Vols additionnels'!$C$7:$C$66,$E6327,'Vols additionnels'!$D$7:$D$66,$F6327,'Vols additionnels'!$B$7:$B$66,$D6327)</f>
        <v>0</v>
      </c>
      <c r="H6327" s="135" t="n">
        <f aca="false">$G6327*'Analyse capacite'!$F$8</f>
        <v>0</v>
      </c>
      <c r="I6327" s="135" t="n">
        <f aca="false">$G6327*'Analyse capacite'!$C$8</f>
        <v>0</v>
      </c>
      <c r="J6327" s="135" t="n">
        <f aca="false">$G6327*'Analyse capacite'!$D$8</f>
        <v>0</v>
      </c>
      <c r="K6327" s="135" t="n">
        <f aca="false">$G6327*'Analyse capacite'!$E$8</f>
        <v>0</v>
      </c>
    </row>
    <row r="6328" customFormat="false" ht="15" hidden="false" customHeight="false" outlineLevel="0" collapsed="false">
      <c r="B6328" s="130" t="n">
        <v>2027</v>
      </c>
      <c r="C6328" s="131" t="s">
        <v>251</v>
      </c>
      <c r="D6328" s="132" t="n">
        <v>46653</v>
      </c>
      <c r="E6328" s="131" t="s">
        <v>49</v>
      </c>
      <c r="F6328" s="133" t="s">
        <v>24</v>
      </c>
      <c r="G6328" s="134" t="n">
        <f aca="false">LEN('Saisie programme'!$G$231)+SUMIFS('Vols additionnels'!$E$7:$E$66,'Vols additionnels'!$C$7:$C$66,$E6328,'Vols additionnels'!$D$7:$D$66,$F6328,'Vols additionnels'!$B$7:$B$66,$D6328)</f>
        <v>0</v>
      </c>
      <c r="H6328" s="135" t="n">
        <f aca="false">$G6328*'Analyse capacite'!$F$9</f>
        <v>0</v>
      </c>
      <c r="I6328" s="135" t="n">
        <f aca="false">$G6328*'Analyse capacite'!$C$9</f>
        <v>0</v>
      </c>
      <c r="J6328" s="135" t="n">
        <f aca="false">$G6328*'Analyse capacite'!$D$9</f>
        <v>0</v>
      </c>
      <c r="K6328" s="135" t="n">
        <f aca="false">$G6328*'Analyse capacite'!$E$9</f>
        <v>0</v>
      </c>
    </row>
    <row r="6329" customFormat="false" ht="15" hidden="false" customHeight="false" outlineLevel="0" collapsed="false">
      <c r="B6329" s="130" t="n">
        <v>2027</v>
      </c>
      <c r="C6329" s="131" t="s">
        <v>251</v>
      </c>
      <c r="D6329" s="132" t="n">
        <v>46653</v>
      </c>
      <c r="E6329" s="131" t="s">
        <v>53</v>
      </c>
      <c r="F6329" s="133" t="s">
        <v>11</v>
      </c>
      <c r="G6329" s="134" t="n">
        <f aca="false">LEN('Saisie programme'!$G$232)+SUMIFS('Vols additionnels'!$E$7:$E$66,'Vols additionnels'!$C$7:$C$66,$E6329,'Vols additionnels'!$D$7:$D$66,$F6329,'Vols additionnels'!$B$7:$B$66,$D6329)</f>
        <v>0</v>
      </c>
      <c r="H6329" s="135" t="n">
        <f aca="false">$G6329*'Analyse capacite'!$F$7</f>
        <v>0</v>
      </c>
      <c r="I6329" s="135" t="n">
        <f aca="false">$G6329*'Analyse capacite'!$C$7</f>
        <v>0</v>
      </c>
      <c r="J6329" s="135" t="n">
        <f aca="false">$G6329*'Analyse capacite'!$D$7</f>
        <v>0</v>
      </c>
      <c r="K6329" s="135" t="n">
        <f aca="false">$G6329*'Analyse capacite'!$E$7</f>
        <v>0</v>
      </c>
    </row>
    <row r="6330" customFormat="false" ht="15" hidden="false" customHeight="false" outlineLevel="0" collapsed="false">
      <c r="B6330" s="130" t="n">
        <v>2027</v>
      </c>
      <c r="C6330" s="131" t="s">
        <v>251</v>
      </c>
      <c r="D6330" s="132" t="n">
        <v>46653</v>
      </c>
      <c r="E6330" s="131" t="s">
        <v>53</v>
      </c>
      <c r="F6330" s="133" t="s">
        <v>19</v>
      </c>
      <c r="G6330" s="134" t="n">
        <f aca="false">LEN('Saisie programme'!$G$233)+SUMIFS('Vols additionnels'!$E$7:$E$66,'Vols additionnels'!$C$7:$C$66,$E6330,'Vols additionnels'!$D$7:$D$66,$F6330,'Vols additionnels'!$B$7:$B$66,$D6330)</f>
        <v>1</v>
      </c>
      <c r="H6330" s="135" t="n">
        <f aca="false">$G6330*'Analyse capacite'!$F$8</f>
        <v>262</v>
      </c>
      <c r="I6330" s="135" t="n">
        <f aca="false">$G6330*'Analyse capacite'!$C$8</f>
        <v>18</v>
      </c>
      <c r="J6330" s="135" t="n">
        <f aca="false">$G6330*'Analyse capacite'!$D$8</f>
        <v>0</v>
      </c>
      <c r="K6330" s="135" t="n">
        <f aca="false">$G6330*'Analyse capacite'!$E$8</f>
        <v>244</v>
      </c>
    </row>
    <row r="6331" customFormat="false" ht="15" hidden="false" customHeight="false" outlineLevel="0" collapsed="false">
      <c r="B6331" s="130" t="n">
        <v>2027</v>
      </c>
      <c r="C6331" s="131" t="s">
        <v>251</v>
      </c>
      <c r="D6331" s="132" t="n">
        <v>46653</v>
      </c>
      <c r="E6331" s="131" t="s">
        <v>53</v>
      </c>
      <c r="F6331" s="133" t="s">
        <v>24</v>
      </c>
      <c r="G6331" s="134" t="n">
        <f aca="false">LEN('Saisie programme'!$G$234)+SUMIFS('Vols additionnels'!$E$7:$E$66,'Vols additionnels'!$C$7:$C$66,$E6331,'Vols additionnels'!$D$7:$D$66,$F6331,'Vols additionnels'!$B$7:$B$66,$D6331)</f>
        <v>0</v>
      </c>
      <c r="H6331" s="135" t="n">
        <f aca="false">$G6331*'Analyse capacite'!$F$9</f>
        <v>0</v>
      </c>
      <c r="I6331" s="135" t="n">
        <f aca="false">$G6331*'Analyse capacite'!$C$9</f>
        <v>0</v>
      </c>
      <c r="J6331" s="135" t="n">
        <f aca="false">$G6331*'Analyse capacite'!$D$9</f>
        <v>0</v>
      </c>
      <c r="K6331" s="135" t="n">
        <f aca="false">$G6331*'Analyse capacite'!$E$9</f>
        <v>0</v>
      </c>
    </row>
    <row r="6332" customFormat="false" ht="15" hidden="false" customHeight="false" outlineLevel="0" collapsed="false">
      <c r="B6332" s="130" t="n">
        <v>2027</v>
      </c>
      <c r="C6332" s="131" t="s">
        <v>251</v>
      </c>
      <c r="D6332" s="132" t="n">
        <v>46653</v>
      </c>
      <c r="E6332" s="131" t="s">
        <v>56</v>
      </c>
      <c r="F6332" s="133" t="s">
        <v>11</v>
      </c>
      <c r="G6332" s="134" t="n">
        <f aca="false">LEN('Saisie programme'!$G$235)+SUMIFS('Vols additionnels'!$E$7:$E$66,'Vols additionnels'!$C$7:$C$66,$E6332,'Vols additionnels'!$D$7:$D$66,$F6332,'Vols additionnels'!$B$7:$B$66,$D6332)</f>
        <v>0</v>
      </c>
      <c r="H6332" s="135" t="n">
        <f aca="false">$G6332*'Analyse capacite'!$F$7</f>
        <v>0</v>
      </c>
      <c r="I6332" s="135" t="n">
        <f aca="false">$G6332*'Analyse capacite'!$C$7</f>
        <v>0</v>
      </c>
      <c r="J6332" s="135" t="n">
        <f aca="false">$G6332*'Analyse capacite'!$D$7</f>
        <v>0</v>
      </c>
      <c r="K6332" s="135" t="n">
        <f aca="false">$G6332*'Analyse capacite'!$E$7</f>
        <v>0</v>
      </c>
    </row>
    <row r="6333" customFormat="false" ht="15" hidden="false" customHeight="false" outlineLevel="0" collapsed="false">
      <c r="B6333" s="130" t="n">
        <v>2027</v>
      </c>
      <c r="C6333" s="131" t="s">
        <v>251</v>
      </c>
      <c r="D6333" s="132" t="n">
        <v>46653</v>
      </c>
      <c r="E6333" s="131" t="s">
        <v>56</v>
      </c>
      <c r="F6333" s="133" t="s">
        <v>19</v>
      </c>
      <c r="G6333" s="134" t="n">
        <f aca="false">LEN('Saisie programme'!$G$236)+SUMIFS('Vols additionnels'!$E$7:$E$66,'Vols additionnels'!$C$7:$C$66,$E6333,'Vols additionnels'!$D$7:$D$66,$F6333,'Vols additionnels'!$B$7:$B$66,$D6333)</f>
        <v>0</v>
      </c>
      <c r="H6333" s="135" t="n">
        <f aca="false">$G6333*'Analyse capacite'!$F$8</f>
        <v>0</v>
      </c>
      <c r="I6333" s="135" t="n">
        <f aca="false">$G6333*'Analyse capacite'!$C$8</f>
        <v>0</v>
      </c>
      <c r="J6333" s="135" t="n">
        <f aca="false">$G6333*'Analyse capacite'!$D$8</f>
        <v>0</v>
      </c>
      <c r="K6333" s="135" t="n">
        <f aca="false">$G6333*'Analyse capacite'!$E$8</f>
        <v>0</v>
      </c>
    </row>
    <row r="6334" customFormat="false" ht="15" hidden="false" customHeight="false" outlineLevel="0" collapsed="false">
      <c r="B6334" s="130" t="n">
        <v>2027</v>
      </c>
      <c r="C6334" s="131" t="s">
        <v>251</v>
      </c>
      <c r="D6334" s="132" t="n">
        <v>46653</v>
      </c>
      <c r="E6334" s="131" t="s">
        <v>56</v>
      </c>
      <c r="F6334" s="133" t="s">
        <v>24</v>
      </c>
      <c r="G6334" s="134" t="n">
        <f aca="false">LEN('Saisie programme'!$G$237)+SUMIFS('Vols additionnels'!$E$7:$E$66,'Vols additionnels'!$C$7:$C$66,$E6334,'Vols additionnels'!$D$7:$D$66,$F6334,'Vols additionnels'!$B$7:$B$66,$D6334)</f>
        <v>0</v>
      </c>
      <c r="H6334" s="135" t="n">
        <f aca="false">$G6334*'Analyse capacite'!$F$9</f>
        <v>0</v>
      </c>
      <c r="I6334" s="135" t="n">
        <f aca="false">$G6334*'Analyse capacite'!$C$9</f>
        <v>0</v>
      </c>
      <c r="J6334" s="135" t="n">
        <f aca="false">$G6334*'Analyse capacite'!$D$9</f>
        <v>0</v>
      </c>
      <c r="K6334" s="135" t="n">
        <f aca="false">$G6334*'Analyse capacite'!$E$9</f>
        <v>0</v>
      </c>
    </row>
    <row r="6335" customFormat="false" ht="15" hidden="false" customHeight="false" outlineLevel="0" collapsed="false">
      <c r="B6335" s="130" t="n">
        <v>2027</v>
      </c>
      <c r="C6335" s="131" t="s">
        <v>251</v>
      </c>
      <c r="D6335" s="132" t="n">
        <v>46653</v>
      </c>
      <c r="E6335" s="131" t="s">
        <v>59</v>
      </c>
      <c r="F6335" s="133" t="s">
        <v>11</v>
      </c>
      <c r="G6335" s="134" t="n">
        <f aca="false">LEN('Saisie programme'!$G$238)+SUMIFS('Vols additionnels'!$E$7:$E$66,'Vols additionnels'!$C$7:$C$66,$E6335,'Vols additionnels'!$D$7:$D$66,$F6335,'Vols additionnels'!$B$7:$B$66,$D6335)</f>
        <v>0</v>
      </c>
      <c r="H6335" s="135" t="n">
        <f aca="false">$G6335*'Analyse capacite'!$F$7</f>
        <v>0</v>
      </c>
      <c r="I6335" s="135" t="n">
        <f aca="false">$G6335*'Analyse capacite'!$C$7</f>
        <v>0</v>
      </c>
      <c r="J6335" s="135" t="n">
        <f aca="false">$G6335*'Analyse capacite'!$D$7</f>
        <v>0</v>
      </c>
      <c r="K6335" s="135" t="n">
        <f aca="false">$G6335*'Analyse capacite'!$E$7</f>
        <v>0</v>
      </c>
    </row>
    <row r="6336" customFormat="false" ht="15" hidden="false" customHeight="false" outlineLevel="0" collapsed="false">
      <c r="B6336" s="130" t="n">
        <v>2027</v>
      </c>
      <c r="C6336" s="131" t="s">
        <v>251</v>
      </c>
      <c r="D6336" s="132" t="n">
        <v>46653</v>
      </c>
      <c r="E6336" s="131" t="s">
        <v>59</v>
      </c>
      <c r="F6336" s="133" t="s">
        <v>19</v>
      </c>
      <c r="G6336" s="134" t="n">
        <f aca="false">LEN('Saisie programme'!$G$239)+SUMIFS('Vols additionnels'!$E$7:$E$66,'Vols additionnels'!$C$7:$C$66,$E6336,'Vols additionnels'!$D$7:$D$66,$F6336,'Vols additionnels'!$B$7:$B$66,$D6336)</f>
        <v>0</v>
      </c>
      <c r="H6336" s="135" t="n">
        <f aca="false">$G6336*'Analyse capacite'!$F$8</f>
        <v>0</v>
      </c>
      <c r="I6336" s="135" t="n">
        <f aca="false">$G6336*'Analyse capacite'!$C$8</f>
        <v>0</v>
      </c>
      <c r="J6336" s="135" t="n">
        <f aca="false">$G6336*'Analyse capacite'!$D$8</f>
        <v>0</v>
      </c>
      <c r="K6336" s="135" t="n">
        <f aca="false">$G6336*'Analyse capacite'!$E$8</f>
        <v>0</v>
      </c>
    </row>
    <row r="6337" customFormat="false" ht="15" hidden="false" customHeight="false" outlineLevel="0" collapsed="false">
      <c r="B6337" s="130" t="n">
        <v>2027</v>
      </c>
      <c r="C6337" s="131" t="s">
        <v>251</v>
      </c>
      <c r="D6337" s="132" t="n">
        <v>46653</v>
      </c>
      <c r="E6337" s="131" t="s">
        <v>59</v>
      </c>
      <c r="F6337" s="133" t="s">
        <v>24</v>
      </c>
      <c r="G6337" s="134" t="n">
        <f aca="false">LEN('Saisie programme'!$G$240)+SUMIFS('Vols additionnels'!$E$7:$E$66,'Vols additionnels'!$C$7:$C$66,$E6337,'Vols additionnels'!$D$7:$D$66,$F6337,'Vols additionnels'!$B$7:$B$66,$D6337)</f>
        <v>2</v>
      </c>
      <c r="H6337" s="135" t="n">
        <f aca="false">$G6337*'Analyse capacite'!$F$9</f>
        <v>348</v>
      </c>
      <c r="I6337" s="135" t="n">
        <f aca="false">$G6337*'Analyse capacite'!$C$9</f>
        <v>0</v>
      </c>
      <c r="J6337" s="135" t="n">
        <f aca="false">$G6337*'Analyse capacite'!$D$9</f>
        <v>24</v>
      </c>
      <c r="K6337" s="135" t="n">
        <f aca="false">$G6337*'Analyse capacite'!$E$9</f>
        <v>324</v>
      </c>
    </row>
    <row r="6338" customFormat="false" ht="15" hidden="false" customHeight="false" outlineLevel="0" collapsed="false">
      <c r="B6338" s="130" t="n">
        <v>2027</v>
      </c>
      <c r="C6338" s="131" t="s">
        <v>251</v>
      </c>
      <c r="D6338" s="132" t="n">
        <v>46653</v>
      </c>
      <c r="E6338" s="131" t="s">
        <v>62</v>
      </c>
      <c r="F6338" s="133" t="s">
        <v>11</v>
      </c>
      <c r="G6338" s="134" t="n">
        <f aca="false">LEN('Saisie programme'!$G$241)+SUMIFS('Vols additionnels'!$E$7:$E$66,'Vols additionnels'!$C$7:$C$66,$E6338,'Vols additionnels'!$D$7:$D$66,$F6338,'Vols additionnels'!$B$7:$B$66,$D6338)</f>
        <v>0</v>
      </c>
      <c r="H6338" s="135" t="n">
        <f aca="false">$G6338*'Analyse capacite'!$F$7</f>
        <v>0</v>
      </c>
      <c r="I6338" s="135" t="n">
        <f aca="false">$G6338*'Analyse capacite'!$C$7</f>
        <v>0</v>
      </c>
      <c r="J6338" s="135" t="n">
        <f aca="false">$G6338*'Analyse capacite'!$D$7</f>
        <v>0</v>
      </c>
      <c r="K6338" s="135" t="n">
        <f aca="false">$G6338*'Analyse capacite'!$E$7</f>
        <v>0</v>
      </c>
    </row>
    <row r="6339" customFormat="false" ht="15" hidden="false" customHeight="false" outlineLevel="0" collapsed="false">
      <c r="B6339" s="130" t="n">
        <v>2027</v>
      </c>
      <c r="C6339" s="131" t="s">
        <v>251</v>
      </c>
      <c r="D6339" s="132" t="n">
        <v>46653</v>
      </c>
      <c r="E6339" s="131" t="s">
        <v>62</v>
      </c>
      <c r="F6339" s="133" t="s">
        <v>19</v>
      </c>
      <c r="G6339" s="134" t="n">
        <f aca="false">LEN('Saisie programme'!$G$242)+SUMIFS('Vols additionnels'!$E$7:$E$66,'Vols additionnels'!$C$7:$C$66,$E6339,'Vols additionnels'!$D$7:$D$66,$F6339,'Vols additionnels'!$B$7:$B$66,$D6339)</f>
        <v>0</v>
      </c>
      <c r="H6339" s="135" t="n">
        <f aca="false">$G6339*'Analyse capacite'!$F$8</f>
        <v>0</v>
      </c>
      <c r="I6339" s="135" t="n">
        <f aca="false">$G6339*'Analyse capacite'!$C$8</f>
        <v>0</v>
      </c>
      <c r="J6339" s="135" t="n">
        <f aca="false">$G6339*'Analyse capacite'!$D$8</f>
        <v>0</v>
      </c>
      <c r="K6339" s="135" t="n">
        <f aca="false">$G6339*'Analyse capacite'!$E$8</f>
        <v>0</v>
      </c>
    </row>
    <row r="6340" customFormat="false" ht="15" hidden="false" customHeight="false" outlineLevel="0" collapsed="false">
      <c r="B6340" s="130" t="n">
        <v>2027</v>
      </c>
      <c r="C6340" s="131" t="s">
        <v>251</v>
      </c>
      <c r="D6340" s="132" t="n">
        <v>46653</v>
      </c>
      <c r="E6340" s="131" t="s">
        <v>62</v>
      </c>
      <c r="F6340" s="133" t="s">
        <v>24</v>
      </c>
      <c r="G6340" s="134" t="n">
        <f aca="false">LEN('Saisie programme'!$G$243)+SUMIFS('Vols additionnels'!$E$7:$E$66,'Vols additionnels'!$C$7:$C$66,$E6340,'Vols additionnels'!$D$7:$D$66,$F6340,'Vols additionnels'!$B$7:$B$66,$D6340)</f>
        <v>0</v>
      </c>
      <c r="H6340" s="135" t="n">
        <f aca="false">$G6340*'Analyse capacite'!$F$9</f>
        <v>0</v>
      </c>
      <c r="I6340" s="135" t="n">
        <f aca="false">$G6340*'Analyse capacite'!$C$9</f>
        <v>0</v>
      </c>
      <c r="J6340" s="135" t="n">
        <f aca="false">$G6340*'Analyse capacite'!$D$9</f>
        <v>0</v>
      </c>
      <c r="K6340" s="135" t="n">
        <f aca="false">$G6340*'Analyse capacite'!$E$9</f>
        <v>0</v>
      </c>
    </row>
    <row r="6341" customFormat="false" ht="15" hidden="false" customHeight="false" outlineLevel="0" collapsed="false">
      <c r="B6341" s="130" t="n">
        <v>2027</v>
      </c>
      <c r="C6341" s="131" t="s">
        <v>251</v>
      </c>
      <c r="D6341" s="132" t="n">
        <v>46654</v>
      </c>
      <c r="E6341" s="131" t="s">
        <v>12</v>
      </c>
      <c r="F6341" s="133" t="s">
        <v>11</v>
      </c>
      <c r="G6341" s="134" t="n">
        <f aca="false">LEN('Saisie programme'!$H$208)+SUMIFS('Vols additionnels'!$E$7:$E$66,'Vols additionnels'!$C$7:$C$66,$E6341,'Vols additionnels'!$D$7:$D$66,$F6341,'Vols additionnels'!$B$7:$B$66,$D6341)</f>
        <v>1</v>
      </c>
      <c r="H6341" s="135" t="n">
        <f aca="false">$G6341*'Analyse capacite'!$F$7</f>
        <v>438</v>
      </c>
      <c r="I6341" s="135" t="n">
        <f aca="false">$G6341*'Analyse capacite'!$C$7</f>
        <v>14</v>
      </c>
      <c r="J6341" s="135" t="n">
        <f aca="false">$G6341*'Analyse capacite'!$D$7</f>
        <v>40</v>
      </c>
      <c r="K6341" s="135" t="n">
        <f aca="false">$G6341*'Analyse capacite'!$E$7</f>
        <v>384</v>
      </c>
    </row>
    <row r="6342" customFormat="false" ht="15" hidden="false" customHeight="false" outlineLevel="0" collapsed="false">
      <c r="B6342" s="130" t="n">
        <v>2027</v>
      </c>
      <c r="C6342" s="131" t="s">
        <v>251</v>
      </c>
      <c r="D6342" s="132" t="n">
        <v>46654</v>
      </c>
      <c r="E6342" s="131" t="s">
        <v>12</v>
      </c>
      <c r="F6342" s="133" t="s">
        <v>19</v>
      </c>
      <c r="G6342" s="134" t="n">
        <f aca="false">LEN('Saisie programme'!$H$209)+SUMIFS('Vols additionnels'!$E$7:$E$66,'Vols additionnels'!$C$7:$C$66,$E6342,'Vols additionnels'!$D$7:$D$66,$F6342,'Vols additionnels'!$B$7:$B$66,$D6342)</f>
        <v>1</v>
      </c>
      <c r="H6342" s="135" t="n">
        <f aca="false">$G6342*'Analyse capacite'!$F$8</f>
        <v>262</v>
      </c>
      <c r="I6342" s="135" t="n">
        <f aca="false">$G6342*'Analyse capacite'!$C$8</f>
        <v>18</v>
      </c>
      <c r="J6342" s="135" t="n">
        <f aca="false">$G6342*'Analyse capacite'!$D$8</f>
        <v>0</v>
      </c>
      <c r="K6342" s="135" t="n">
        <f aca="false">$G6342*'Analyse capacite'!$E$8</f>
        <v>244</v>
      </c>
    </row>
    <row r="6343" customFormat="false" ht="15" hidden="false" customHeight="false" outlineLevel="0" collapsed="false">
      <c r="B6343" s="130" t="n">
        <v>2027</v>
      </c>
      <c r="C6343" s="131" t="s">
        <v>251</v>
      </c>
      <c r="D6343" s="132" t="n">
        <v>46654</v>
      </c>
      <c r="E6343" s="131" t="s">
        <v>12</v>
      </c>
      <c r="F6343" s="133" t="s">
        <v>24</v>
      </c>
      <c r="G6343" s="134" t="n">
        <f aca="false">LEN('Saisie programme'!$H$210)+SUMIFS('Vols additionnels'!$E$7:$E$66,'Vols additionnels'!$C$7:$C$66,$E6343,'Vols additionnels'!$D$7:$D$66,$F6343,'Vols additionnels'!$B$7:$B$66,$D6343)</f>
        <v>0</v>
      </c>
      <c r="H6343" s="135" t="n">
        <f aca="false">$G6343*'Analyse capacite'!$F$9</f>
        <v>0</v>
      </c>
      <c r="I6343" s="135" t="n">
        <f aca="false">$G6343*'Analyse capacite'!$C$9</f>
        <v>0</v>
      </c>
      <c r="J6343" s="135" t="n">
        <f aca="false">$G6343*'Analyse capacite'!$D$9</f>
        <v>0</v>
      </c>
      <c r="K6343" s="135" t="n">
        <f aca="false">$G6343*'Analyse capacite'!$E$9</f>
        <v>0</v>
      </c>
    </row>
    <row r="6344" customFormat="false" ht="15" hidden="false" customHeight="false" outlineLevel="0" collapsed="false">
      <c r="B6344" s="130" t="n">
        <v>2027</v>
      </c>
      <c r="C6344" s="131" t="s">
        <v>251</v>
      </c>
      <c r="D6344" s="132" t="n">
        <v>46654</v>
      </c>
      <c r="E6344" s="131" t="s">
        <v>20</v>
      </c>
      <c r="F6344" s="133" t="s">
        <v>11</v>
      </c>
      <c r="G6344" s="134" t="n">
        <f aca="false">LEN('Saisie programme'!$H$211)+SUMIFS('Vols additionnels'!$E$7:$E$66,'Vols additionnels'!$C$7:$C$66,$E6344,'Vols additionnels'!$D$7:$D$66,$F6344,'Vols additionnels'!$B$7:$B$66,$D6344)</f>
        <v>0</v>
      </c>
      <c r="H6344" s="135" t="n">
        <f aca="false">$G6344*'Analyse capacite'!$F$7</f>
        <v>0</v>
      </c>
      <c r="I6344" s="135" t="n">
        <f aca="false">$G6344*'Analyse capacite'!$C$7</f>
        <v>0</v>
      </c>
      <c r="J6344" s="135" t="n">
        <f aca="false">$G6344*'Analyse capacite'!$D$7</f>
        <v>0</v>
      </c>
      <c r="K6344" s="135" t="n">
        <f aca="false">$G6344*'Analyse capacite'!$E$7</f>
        <v>0</v>
      </c>
    </row>
    <row r="6345" customFormat="false" ht="15" hidden="false" customHeight="false" outlineLevel="0" collapsed="false">
      <c r="B6345" s="130" t="n">
        <v>2027</v>
      </c>
      <c r="C6345" s="131" t="s">
        <v>251</v>
      </c>
      <c r="D6345" s="132" t="n">
        <v>46654</v>
      </c>
      <c r="E6345" s="131" t="s">
        <v>20</v>
      </c>
      <c r="F6345" s="133" t="s">
        <v>19</v>
      </c>
      <c r="G6345" s="134" t="n">
        <f aca="false">LEN('Saisie programme'!$H$212)+SUMIFS('Vols additionnels'!$E$7:$E$66,'Vols additionnels'!$C$7:$C$66,$E6345,'Vols additionnels'!$D$7:$D$66,$F6345,'Vols additionnels'!$B$7:$B$66,$D6345)</f>
        <v>1</v>
      </c>
      <c r="H6345" s="135" t="n">
        <f aca="false">$G6345*'Analyse capacite'!$F$8</f>
        <v>262</v>
      </c>
      <c r="I6345" s="135" t="n">
        <f aca="false">$G6345*'Analyse capacite'!$C$8</f>
        <v>18</v>
      </c>
      <c r="J6345" s="135" t="n">
        <f aca="false">$G6345*'Analyse capacite'!$D$8</f>
        <v>0</v>
      </c>
      <c r="K6345" s="135" t="n">
        <f aca="false">$G6345*'Analyse capacite'!$E$8</f>
        <v>244</v>
      </c>
    </row>
    <row r="6346" customFormat="false" ht="15" hidden="false" customHeight="false" outlineLevel="0" collapsed="false">
      <c r="B6346" s="130" t="n">
        <v>2027</v>
      </c>
      <c r="C6346" s="131" t="s">
        <v>251</v>
      </c>
      <c r="D6346" s="132" t="n">
        <v>46654</v>
      </c>
      <c r="E6346" s="131" t="s">
        <v>20</v>
      </c>
      <c r="F6346" s="133" t="s">
        <v>24</v>
      </c>
      <c r="G6346" s="134" t="n">
        <f aca="false">LEN('Saisie programme'!$H$213)+SUMIFS('Vols additionnels'!$E$7:$E$66,'Vols additionnels'!$C$7:$C$66,$E6346,'Vols additionnels'!$D$7:$D$66,$F6346,'Vols additionnels'!$B$7:$B$66,$D6346)</f>
        <v>0</v>
      </c>
      <c r="H6346" s="135" t="n">
        <f aca="false">$G6346*'Analyse capacite'!$F$9</f>
        <v>0</v>
      </c>
      <c r="I6346" s="135" t="n">
        <f aca="false">$G6346*'Analyse capacite'!$C$9</f>
        <v>0</v>
      </c>
      <c r="J6346" s="135" t="n">
        <f aca="false">$G6346*'Analyse capacite'!$D$9</f>
        <v>0</v>
      </c>
      <c r="K6346" s="135" t="n">
        <f aca="false">$G6346*'Analyse capacite'!$E$9</f>
        <v>0</v>
      </c>
    </row>
    <row r="6347" customFormat="false" ht="15" hidden="false" customHeight="false" outlineLevel="0" collapsed="false">
      <c r="B6347" s="130" t="n">
        <v>2027</v>
      </c>
      <c r="C6347" s="131" t="s">
        <v>251</v>
      </c>
      <c r="D6347" s="132" t="n">
        <v>46654</v>
      </c>
      <c r="E6347" s="131" t="s">
        <v>25</v>
      </c>
      <c r="F6347" s="133" t="s">
        <v>11</v>
      </c>
      <c r="G6347" s="134" t="n">
        <f aca="false">LEN('Saisie programme'!$H$214)+SUMIFS('Vols additionnels'!$E$7:$E$66,'Vols additionnels'!$C$7:$C$66,$E6347,'Vols additionnels'!$D$7:$D$66,$F6347,'Vols additionnels'!$B$7:$B$66,$D6347)</f>
        <v>0</v>
      </c>
      <c r="H6347" s="135" t="n">
        <f aca="false">$G6347*'Analyse capacite'!$F$7</f>
        <v>0</v>
      </c>
      <c r="I6347" s="135" t="n">
        <f aca="false">$G6347*'Analyse capacite'!$C$7</f>
        <v>0</v>
      </c>
      <c r="J6347" s="135" t="n">
        <f aca="false">$G6347*'Analyse capacite'!$D$7</f>
        <v>0</v>
      </c>
      <c r="K6347" s="135" t="n">
        <f aca="false">$G6347*'Analyse capacite'!$E$7</f>
        <v>0</v>
      </c>
    </row>
    <row r="6348" customFormat="false" ht="15" hidden="false" customHeight="false" outlineLevel="0" collapsed="false">
      <c r="B6348" s="130" t="n">
        <v>2027</v>
      </c>
      <c r="C6348" s="131" t="s">
        <v>251</v>
      </c>
      <c r="D6348" s="132" t="n">
        <v>46654</v>
      </c>
      <c r="E6348" s="131" t="s">
        <v>25</v>
      </c>
      <c r="F6348" s="133" t="s">
        <v>19</v>
      </c>
      <c r="G6348" s="134" t="n">
        <f aca="false">LEN('Saisie programme'!$H$215)+SUMIFS('Vols additionnels'!$E$7:$E$66,'Vols additionnels'!$C$7:$C$66,$E6348,'Vols additionnels'!$D$7:$D$66,$F6348,'Vols additionnels'!$B$7:$B$66,$D6348)</f>
        <v>0</v>
      </c>
      <c r="H6348" s="135" t="n">
        <f aca="false">$G6348*'Analyse capacite'!$F$8</f>
        <v>0</v>
      </c>
      <c r="I6348" s="135" t="n">
        <f aca="false">$G6348*'Analyse capacite'!$C$8</f>
        <v>0</v>
      </c>
      <c r="J6348" s="135" t="n">
        <f aca="false">$G6348*'Analyse capacite'!$D$8</f>
        <v>0</v>
      </c>
      <c r="K6348" s="135" t="n">
        <f aca="false">$G6348*'Analyse capacite'!$E$8</f>
        <v>0</v>
      </c>
    </row>
    <row r="6349" customFormat="false" ht="15" hidden="false" customHeight="false" outlineLevel="0" collapsed="false">
      <c r="B6349" s="130" t="n">
        <v>2027</v>
      </c>
      <c r="C6349" s="131" t="s">
        <v>251</v>
      </c>
      <c r="D6349" s="132" t="n">
        <v>46654</v>
      </c>
      <c r="E6349" s="131" t="s">
        <v>25</v>
      </c>
      <c r="F6349" s="133" t="s">
        <v>24</v>
      </c>
      <c r="G6349" s="134" t="n">
        <f aca="false">LEN('Saisie programme'!$H$216)+SUMIFS('Vols additionnels'!$E$7:$E$66,'Vols additionnels'!$C$7:$C$66,$E6349,'Vols additionnels'!$D$7:$D$66,$F6349,'Vols additionnels'!$B$7:$B$66,$D6349)</f>
        <v>0</v>
      </c>
      <c r="H6349" s="135" t="n">
        <f aca="false">$G6349*'Analyse capacite'!$F$9</f>
        <v>0</v>
      </c>
      <c r="I6349" s="135" t="n">
        <f aca="false">$G6349*'Analyse capacite'!$C$9</f>
        <v>0</v>
      </c>
      <c r="J6349" s="135" t="n">
        <f aca="false">$G6349*'Analyse capacite'!$D$9</f>
        <v>0</v>
      </c>
      <c r="K6349" s="135" t="n">
        <f aca="false">$G6349*'Analyse capacite'!$E$9</f>
        <v>0</v>
      </c>
    </row>
    <row r="6350" customFormat="false" ht="15" hidden="false" customHeight="false" outlineLevel="0" collapsed="false">
      <c r="B6350" s="130" t="n">
        <v>2027</v>
      </c>
      <c r="C6350" s="131" t="s">
        <v>251</v>
      </c>
      <c r="D6350" s="132" t="n">
        <v>46654</v>
      </c>
      <c r="E6350" s="131" t="s">
        <v>36</v>
      </c>
      <c r="F6350" s="133" t="s">
        <v>11</v>
      </c>
      <c r="G6350" s="134" t="n">
        <f aca="false">LEN('Saisie programme'!$H$217)+SUMIFS('Vols additionnels'!$E$7:$E$66,'Vols additionnels'!$C$7:$C$66,$E6350,'Vols additionnels'!$D$7:$D$66,$F6350,'Vols additionnels'!$B$7:$B$66,$D6350)</f>
        <v>0</v>
      </c>
      <c r="H6350" s="135" t="n">
        <f aca="false">$G6350*'Analyse capacite'!$F$7</f>
        <v>0</v>
      </c>
      <c r="I6350" s="135" t="n">
        <f aca="false">$G6350*'Analyse capacite'!$C$7</f>
        <v>0</v>
      </c>
      <c r="J6350" s="135" t="n">
        <f aca="false">$G6350*'Analyse capacite'!$D$7</f>
        <v>0</v>
      </c>
      <c r="K6350" s="135" t="n">
        <f aca="false">$G6350*'Analyse capacite'!$E$7</f>
        <v>0</v>
      </c>
    </row>
    <row r="6351" customFormat="false" ht="15" hidden="false" customHeight="false" outlineLevel="0" collapsed="false">
      <c r="B6351" s="130" t="n">
        <v>2027</v>
      </c>
      <c r="C6351" s="131" t="s">
        <v>251</v>
      </c>
      <c r="D6351" s="132" t="n">
        <v>46654</v>
      </c>
      <c r="E6351" s="131" t="s">
        <v>36</v>
      </c>
      <c r="F6351" s="133" t="s">
        <v>19</v>
      </c>
      <c r="G6351" s="134" t="n">
        <f aca="false">LEN('Saisie programme'!$H$218)+SUMIFS('Vols additionnels'!$E$7:$E$66,'Vols additionnels'!$C$7:$C$66,$E6351,'Vols additionnels'!$D$7:$D$66,$F6351,'Vols additionnels'!$B$7:$B$66,$D6351)</f>
        <v>0</v>
      </c>
      <c r="H6351" s="135" t="n">
        <f aca="false">$G6351*'Analyse capacite'!$F$8</f>
        <v>0</v>
      </c>
      <c r="I6351" s="135" t="n">
        <f aca="false">$G6351*'Analyse capacite'!$C$8</f>
        <v>0</v>
      </c>
      <c r="J6351" s="135" t="n">
        <f aca="false">$G6351*'Analyse capacite'!$D$8</f>
        <v>0</v>
      </c>
      <c r="K6351" s="135" t="n">
        <f aca="false">$G6351*'Analyse capacite'!$E$8</f>
        <v>0</v>
      </c>
    </row>
    <row r="6352" customFormat="false" ht="15" hidden="false" customHeight="false" outlineLevel="0" collapsed="false">
      <c r="B6352" s="130" t="n">
        <v>2027</v>
      </c>
      <c r="C6352" s="131" t="s">
        <v>251</v>
      </c>
      <c r="D6352" s="132" t="n">
        <v>46654</v>
      </c>
      <c r="E6352" s="131" t="s">
        <v>36</v>
      </c>
      <c r="F6352" s="133" t="s">
        <v>24</v>
      </c>
      <c r="G6352" s="134" t="n">
        <f aca="false">LEN('Saisie programme'!$H$219)+SUMIFS('Vols additionnels'!$E$7:$E$66,'Vols additionnels'!$C$7:$C$66,$E6352,'Vols additionnels'!$D$7:$D$66,$F6352,'Vols additionnels'!$B$7:$B$66,$D6352)</f>
        <v>1</v>
      </c>
      <c r="H6352" s="135" t="n">
        <f aca="false">$G6352*'Analyse capacite'!$F$9</f>
        <v>174</v>
      </c>
      <c r="I6352" s="135" t="n">
        <f aca="false">$G6352*'Analyse capacite'!$C$9</f>
        <v>0</v>
      </c>
      <c r="J6352" s="135" t="n">
        <f aca="false">$G6352*'Analyse capacite'!$D$9</f>
        <v>12</v>
      </c>
      <c r="K6352" s="135" t="n">
        <f aca="false">$G6352*'Analyse capacite'!$E$9</f>
        <v>162</v>
      </c>
    </row>
    <row r="6353" customFormat="false" ht="15" hidden="false" customHeight="false" outlineLevel="0" collapsed="false">
      <c r="B6353" s="130" t="n">
        <v>2027</v>
      </c>
      <c r="C6353" s="131" t="s">
        <v>251</v>
      </c>
      <c r="D6353" s="132" t="n">
        <v>46654</v>
      </c>
      <c r="E6353" s="131" t="s">
        <v>40</v>
      </c>
      <c r="F6353" s="133" t="s">
        <v>11</v>
      </c>
      <c r="G6353" s="134" t="n">
        <f aca="false">LEN('Saisie programme'!$H$220)+SUMIFS('Vols additionnels'!$E$7:$E$66,'Vols additionnels'!$C$7:$C$66,$E6353,'Vols additionnels'!$D$7:$D$66,$F6353,'Vols additionnels'!$B$7:$B$66,$D6353)</f>
        <v>0</v>
      </c>
      <c r="H6353" s="135" t="n">
        <f aca="false">$G6353*'Analyse capacite'!$F$7</f>
        <v>0</v>
      </c>
      <c r="I6353" s="135" t="n">
        <f aca="false">$G6353*'Analyse capacite'!$C$7</f>
        <v>0</v>
      </c>
      <c r="J6353" s="135" t="n">
        <f aca="false">$G6353*'Analyse capacite'!$D$7</f>
        <v>0</v>
      </c>
      <c r="K6353" s="135" t="n">
        <f aca="false">$G6353*'Analyse capacite'!$E$7</f>
        <v>0</v>
      </c>
    </row>
    <row r="6354" customFormat="false" ht="15" hidden="false" customHeight="false" outlineLevel="0" collapsed="false">
      <c r="B6354" s="130" t="n">
        <v>2027</v>
      </c>
      <c r="C6354" s="131" t="s">
        <v>251</v>
      </c>
      <c r="D6354" s="132" t="n">
        <v>46654</v>
      </c>
      <c r="E6354" s="131" t="s">
        <v>40</v>
      </c>
      <c r="F6354" s="133" t="s">
        <v>19</v>
      </c>
      <c r="G6354" s="134" t="n">
        <f aca="false">LEN('Saisie programme'!$H$221)+SUMIFS('Vols additionnels'!$E$7:$E$66,'Vols additionnels'!$C$7:$C$66,$E6354,'Vols additionnels'!$D$7:$D$66,$F6354,'Vols additionnels'!$B$7:$B$66,$D6354)</f>
        <v>0</v>
      </c>
      <c r="H6354" s="135" t="n">
        <f aca="false">$G6354*'Analyse capacite'!$F$8</f>
        <v>0</v>
      </c>
      <c r="I6354" s="135" t="n">
        <f aca="false">$G6354*'Analyse capacite'!$C$8</f>
        <v>0</v>
      </c>
      <c r="J6354" s="135" t="n">
        <f aca="false">$G6354*'Analyse capacite'!$D$8</f>
        <v>0</v>
      </c>
      <c r="K6354" s="135" t="n">
        <f aca="false">$G6354*'Analyse capacite'!$E$8</f>
        <v>0</v>
      </c>
    </row>
    <row r="6355" customFormat="false" ht="15" hidden="false" customHeight="false" outlineLevel="0" collapsed="false">
      <c r="B6355" s="130" t="n">
        <v>2027</v>
      </c>
      <c r="C6355" s="131" t="s">
        <v>251</v>
      </c>
      <c r="D6355" s="132" t="n">
        <v>46654</v>
      </c>
      <c r="E6355" s="131" t="s">
        <v>40</v>
      </c>
      <c r="F6355" s="133" t="s">
        <v>24</v>
      </c>
      <c r="G6355" s="134" t="n">
        <f aca="false">LEN('Saisie programme'!$H$222)+SUMIFS('Vols additionnels'!$E$7:$E$66,'Vols additionnels'!$C$7:$C$66,$E6355,'Vols additionnels'!$D$7:$D$66,$F6355,'Vols additionnels'!$B$7:$B$66,$D6355)</f>
        <v>1</v>
      </c>
      <c r="H6355" s="135" t="n">
        <f aca="false">$G6355*'Analyse capacite'!$F$9</f>
        <v>174</v>
      </c>
      <c r="I6355" s="135" t="n">
        <f aca="false">$G6355*'Analyse capacite'!$C$9</f>
        <v>0</v>
      </c>
      <c r="J6355" s="135" t="n">
        <f aca="false">$G6355*'Analyse capacite'!$D$9</f>
        <v>12</v>
      </c>
      <c r="K6355" s="135" t="n">
        <f aca="false">$G6355*'Analyse capacite'!$E$9</f>
        <v>162</v>
      </c>
    </row>
    <row r="6356" customFormat="false" ht="15" hidden="false" customHeight="false" outlineLevel="0" collapsed="false">
      <c r="B6356" s="130" t="n">
        <v>2027</v>
      </c>
      <c r="C6356" s="131" t="s">
        <v>251</v>
      </c>
      <c r="D6356" s="132" t="n">
        <v>46654</v>
      </c>
      <c r="E6356" s="131" t="s">
        <v>14</v>
      </c>
      <c r="F6356" s="133" t="s">
        <v>11</v>
      </c>
      <c r="G6356" s="134" t="n">
        <f aca="false">LEN('Saisie programme'!$H$223)+SUMIFS('Vols additionnels'!$E$7:$E$66,'Vols additionnels'!$C$7:$C$66,$E6356,'Vols additionnels'!$D$7:$D$66,$F6356,'Vols additionnels'!$B$7:$B$66,$D6356)</f>
        <v>0</v>
      </c>
      <c r="H6356" s="135" t="n">
        <f aca="false">$G6356*'Analyse capacite'!$F$7</f>
        <v>0</v>
      </c>
      <c r="I6356" s="135" t="n">
        <f aca="false">$G6356*'Analyse capacite'!$C$7</f>
        <v>0</v>
      </c>
      <c r="J6356" s="135" t="n">
        <f aca="false">$G6356*'Analyse capacite'!$D$7</f>
        <v>0</v>
      </c>
      <c r="K6356" s="135" t="n">
        <f aca="false">$G6356*'Analyse capacite'!$E$7</f>
        <v>0</v>
      </c>
    </row>
    <row r="6357" customFormat="false" ht="15" hidden="false" customHeight="false" outlineLevel="0" collapsed="false">
      <c r="B6357" s="130" t="n">
        <v>2027</v>
      </c>
      <c r="C6357" s="131" t="s">
        <v>251</v>
      </c>
      <c r="D6357" s="132" t="n">
        <v>46654</v>
      </c>
      <c r="E6357" s="131" t="s">
        <v>14</v>
      </c>
      <c r="F6357" s="133" t="s">
        <v>19</v>
      </c>
      <c r="G6357" s="134" t="n">
        <f aca="false">LEN('Saisie programme'!$H$224)+SUMIFS('Vols additionnels'!$E$7:$E$66,'Vols additionnels'!$C$7:$C$66,$E6357,'Vols additionnels'!$D$7:$D$66,$F6357,'Vols additionnels'!$B$7:$B$66,$D6357)</f>
        <v>0</v>
      </c>
      <c r="H6357" s="135" t="n">
        <f aca="false">$G6357*'Analyse capacite'!$F$8</f>
        <v>0</v>
      </c>
      <c r="I6357" s="135" t="n">
        <f aca="false">$G6357*'Analyse capacite'!$C$8</f>
        <v>0</v>
      </c>
      <c r="J6357" s="135" t="n">
        <f aca="false">$G6357*'Analyse capacite'!$D$8</f>
        <v>0</v>
      </c>
      <c r="K6357" s="135" t="n">
        <f aca="false">$G6357*'Analyse capacite'!$E$8</f>
        <v>0</v>
      </c>
    </row>
    <row r="6358" customFormat="false" ht="15" hidden="false" customHeight="false" outlineLevel="0" collapsed="false">
      <c r="B6358" s="130" t="n">
        <v>2027</v>
      </c>
      <c r="C6358" s="131" t="s">
        <v>251</v>
      </c>
      <c r="D6358" s="132" t="n">
        <v>46654</v>
      </c>
      <c r="E6358" s="131" t="s">
        <v>14</v>
      </c>
      <c r="F6358" s="133" t="s">
        <v>24</v>
      </c>
      <c r="G6358" s="134" t="n">
        <f aca="false">LEN('Saisie programme'!$H$225)+SUMIFS('Vols additionnels'!$E$7:$E$66,'Vols additionnels'!$C$7:$C$66,$E6358,'Vols additionnels'!$D$7:$D$66,$F6358,'Vols additionnels'!$B$7:$B$66,$D6358)</f>
        <v>0</v>
      </c>
      <c r="H6358" s="135" t="n">
        <f aca="false">$G6358*'Analyse capacite'!$F$9</f>
        <v>0</v>
      </c>
      <c r="I6358" s="135" t="n">
        <f aca="false">$G6358*'Analyse capacite'!$C$9</f>
        <v>0</v>
      </c>
      <c r="J6358" s="135" t="n">
        <f aca="false">$G6358*'Analyse capacite'!$D$9</f>
        <v>0</v>
      </c>
      <c r="K6358" s="135" t="n">
        <f aca="false">$G6358*'Analyse capacite'!$E$9</f>
        <v>0</v>
      </c>
    </row>
    <row r="6359" customFormat="false" ht="15" hidden="false" customHeight="false" outlineLevel="0" collapsed="false">
      <c r="B6359" s="130" t="n">
        <v>2027</v>
      </c>
      <c r="C6359" s="131" t="s">
        <v>251</v>
      </c>
      <c r="D6359" s="132" t="n">
        <v>46654</v>
      </c>
      <c r="E6359" s="131" t="s">
        <v>46</v>
      </c>
      <c r="F6359" s="133" t="s">
        <v>11</v>
      </c>
      <c r="G6359" s="134" t="n">
        <f aca="false">LEN('Saisie programme'!$H$226)+SUMIFS('Vols additionnels'!$E$7:$E$66,'Vols additionnels'!$C$7:$C$66,$E6359,'Vols additionnels'!$D$7:$D$66,$F6359,'Vols additionnels'!$B$7:$B$66,$D6359)</f>
        <v>0</v>
      </c>
      <c r="H6359" s="135" t="n">
        <f aca="false">$G6359*'Analyse capacite'!$F$7</f>
        <v>0</v>
      </c>
      <c r="I6359" s="135" t="n">
        <f aca="false">$G6359*'Analyse capacite'!$C$7</f>
        <v>0</v>
      </c>
      <c r="J6359" s="135" t="n">
        <f aca="false">$G6359*'Analyse capacite'!$D$7</f>
        <v>0</v>
      </c>
      <c r="K6359" s="135" t="n">
        <f aca="false">$G6359*'Analyse capacite'!$E$7</f>
        <v>0</v>
      </c>
    </row>
    <row r="6360" customFormat="false" ht="15" hidden="false" customHeight="false" outlineLevel="0" collapsed="false">
      <c r="B6360" s="130" t="n">
        <v>2027</v>
      </c>
      <c r="C6360" s="131" t="s">
        <v>251</v>
      </c>
      <c r="D6360" s="132" t="n">
        <v>46654</v>
      </c>
      <c r="E6360" s="131" t="s">
        <v>46</v>
      </c>
      <c r="F6360" s="133" t="s">
        <v>19</v>
      </c>
      <c r="G6360" s="134" t="n">
        <f aca="false">LEN('Saisie programme'!$H$227)+SUMIFS('Vols additionnels'!$E$7:$E$66,'Vols additionnels'!$C$7:$C$66,$E6360,'Vols additionnels'!$D$7:$D$66,$F6360,'Vols additionnels'!$B$7:$B$66,$D6360)</f>
        <v>0</v>
      </c>
      <c r="H6360" s="135" t="n">
        <f aca="false">$G6360*'Analyse capacite'!$F$8</f>
        <v>0</v>
      </c>
      <c r="I6360" s="135" t="n">
        <f aca="false">$G6360*'Analyse capacite'!$C$8</f>
        <v>0</v>
      </c>
      <c r="J6360" s="135" t="n">
        <f aca="false">$G6360*'Analyse capacite'!$D$8</f>
        <v>0</v>
      </c>
      <c r="K6360" s="135" t="n">
        <f aca="false">$G6360*'Analyse capacite'!$E$8</f>
        <v>0</v>
      </c>
    </row>
    <row r="6361" customFormat="false" ht="15" hidden="false" customHeight="false" outlineLevel="0" collapsed="false">
      <c r="B6361" s="130" t="n">
        <v>2027</v>
      </c>
      <c r="C6361" s="131" t="s">
        <v>251</v>
      </c>
      <c r="D6361" s="132" t="n">
        <v>46654</v>
      </c>
      <c r="E6361" s="131" t="s">
        <v>46</v>
      </c>
      <c r="F6361" s="133" t="s">
        <v>24</v>
      </c>
      <c r="G6361" s="134" t="n">
        <f aca="false">LEN('Saisie programme'!$H$228)+SUMIFS('Vols additionnels'!$E$7:$E$66,'Vols additionnels'!$C$7:$C$66,$E6361,'Vols additionnels'!$D$7:$D$66,$F6361,'Vols additionnels'!$B$7:$B$66,$D6361)</f>
        <v>0</v>
      </c>
      <c r="H6361" s="135" t="n">
        <f aca="false">$G6361*'Analyse capacite'!$F$9</f>
        <v>0</v>
      </c>
      <c r="I6361" s="135" t="n">
        <f aca="false">$G6361*'Analyse capacite'!$C$9</f>
        <v>0</v>
      </c>
      <c r="J6361" s="135" t="n">
        <f aca="false">$G6361*'Analyse capacite'!$D$9</f>
        <v>0</v>
      </c>
      <c r="K6361" s="135" t="n">
        <f aca="false">$G6361*'Analyse capacite'!$E$9</f>
        <v>0</v>
      </c>
    </row>
    <row r="6362" customFormat="false" ht="15" hidden="false" customHeight="false" outlineLevel="0" collapsed="false">
      <c r="B6362" s="130" t="n">
        <v>2027</v>
      </c>
      <c r="C6362" s="131" t="s">
        <v>251</v>
      </c>
      <c r="D6362" s="132" t="n">
        <v>46654</v>
      </c>
      <c r="E6362" s="131" t="s">
        <v>49</v>
      </c>
      <c r="F6362" s="133" t="s">
        <v>11</v>
      </c>
      <c r="G6362" s="134" t="n">
        <f aca="false">LEN('Saisie programme'!$H$229)+SUMIFS('Vols additionnels'!$E$7:$E$66,'Vols additionnels'!$C$7:$C$66,$E6362,'Vols additionnels'!$D$7:$D$66,$F6362,'Vols additionnels'!$B$7:$B$66,$D6362)</f>
        <v>0</v>
      </c>
      <c r="H6362" s="135" t="n">
        <f aca="false">$G6362*'Analyse capacite'!$F$7</f>
        <v>0</v>
      </c>
      <c r="I6362" s="135" t="n">
        <f aca="false">$G6362*'Analyse capacite'!$C$7</f>
        <v>0</v>
      </c>
      <c r="J6362" s="135" t="n">
        <f aca="false">$G6362*'Analyse capacite'!$D$7</f>
        <v>0</v>
      </c>
      <c r="K6362" s="135" t="n">
        <f aca="false">$G6362*'Analyse capacite'!$E$7</f>
        <v>0</v>
      </c>
    </row>
    <row r="6363" customFormat="false" ht="15" hidden="false" customHeight="false" outlineLevel="0" collapsed="false">
      <c r="B6363" s="130" t="n">
        <v>2027</v>
      </c>
      <c r="C6363" s="131" t="s">
        <v>251</v>
      </c>
      <c r="D6363" s="132" t="n">
        <v>46654</v>
      </c>
      <c r="E6363" s="131" t="s">
        <v>49</v>
      </c>
      <c r="F6363" s="133" t="s">
        <v>19</v>
      </c>
      <c r="G6363" s="134" t="n">
        <f aca="false">LEN('Saisie programme'!$H$230)+SUMIFS('Vols additionnels'!$E$7:$E$66,'Vols additionnels'!$C$7:$C$66,$E6363,'Vols additionnels'!$D$7:$D$66,$F6363,'Vols additionnels'!$B$7:$B$66,$D6363)</f>
        <v>1</v>
      </c>
      <c r="H6363" s="135" t="n">
        <f aca="false">$G6363*'Analyse capacite'!$F$8</f>
        <v>262</v>
      </c>
      <c r="I6363" s="135" t="n">
        <f aca="false">$G6363*'Analyse capacite'!$C$8</f>
        <v>18</v>
      </c>
      <c r="J6363" s="135" t="n">
        <f aca="false">$G6363*'Analyse capacite'!$D$8</f>
        <v>0</v>
      </c>
      <c r="K6363" s="135" t="n">
        <f aca="false">$G6363*'Analyse capacite'!$E$8</f>
        <v>244</v>
      </c>
    </row>
    <row r="6364" customFormat="false" ht="15" hidden="false" customHeight="false" outlineLevel="0" collapsed="false">
      <c r="B6364" s="130" t="n">
        <v>2027</v>
      </c>
      <c r="C6364" s="131" t="s">
        <v>251</v>
      </c>
      <c r="D6364" s="132" t="n">
        <v>46654</v>
      </c>
      <c r="E6364" s="131" t="s">
        <v>49</v>
      </c>
      <c r="F6364" s="133" t="s">
        <v>24</v>
      </c>
      <c r="G6364" s="134" t="n">
        <f aca="false">LEN('Saisie programme'!$H$231)+SUMIFS('Vols additionnels'!$E$7:$E$66,'Vols additionnels'!$C$7:$C$66,$E6364,'Vols additionnels'!$D$7:$D$66,$F6364,'Vols additionnels'!$B$7:$B$66,$D6364)</f>
        <v>0</v>
      </c>
      <c r="H6364" s="135" t="n">
        <f aca="false">$G6364*'Analyse capacite'!$F$9</f>
        <v>0</v>
      </c>
      <c r="I6364" s="135" t="n">
        <f aca="false">$G6364*'Analyse capacite'!$C$9</f>
        <v>0</v>
      </c>
      <c r="J6364" s="135" t="n">
        <f aca="false">$G6364*'Analyse capacite'!$D$9</f>
        <v>0</v>
      </c>
      <c r="K6364" s="135" t="n">
        <f aca="false">$G6364*'Analyse capacite'!$E$9</f>
        <v>0</v>
      </c>
    </row>
    <row r="6365" customFormat="false" ht="15" hidden="false" customHeight="false" outlineLevel="0" collapsed="false">
      <c r="B6365" s="130" t="n">
        <v>2027</v>
      </c>
      <c r="C6365" s="131" t="s">
        <v>251</v>
      </c>
      <c r="D6365" s="132" t="n">
        <v>46654</v>
      </c>
      <c r="E6365" s="131" t="s">
        <v>53</v>
      </c>
      <c r="F6365" s="133" t="s">
        <v>11</v>
      </c>
      <c r="G6365" s="134" t="n">
        <f aca="false">LEN('Saisie programme'!$H$232)+SUMIFS('Vols additionnels'!$E$7:$E$66,'Vols additionnels'!$C$7:$C$66,$E6365,'Vols additionnels'!$D$7:$D$66,$F6365,'Vols additionnels'!$B$7:$B$66,$D6365)</f>
        <v>0</v>
      </c>
      <c r="H6365" s="135" t="n">
        <f aca="false">$G6365*'Analyse capacite'!$F$7</f>
        <v>0</v>
      </c>
      <c r="I6365" s="135" t="n">
        <f aca="false">$G6365*'Analyse capacite'!$C$7</f>
        <v>0</v>
      </c>
      <c r="J6365" s="135" t="n">
        <f aca="false">$G6365*'Analyse capacite'!$D$7</f>
        <v>0</v>
      </c>
      <c r="K6365" s="135" t="n">
        <f aca="false">$G6365*'Analyse capacite'!$E$7</f>
        <v>0</v>
      </c>
    </row>
    <row r="6366" customFormat="false" ht="15" hidden="false" customHeight="false" outlineLevel="0" collapsed="false">
      <c r="B6366" s="130" t="n">
        <v>2027</v>
      </c>
      <c r="C6366" s="131" t="s">
        <v>251</v>
      </c>
      <c r="D6366" s="132" t="n">
        <v>46654</v>
      </c>
      <c r="E6366" s="131" t="s">
        <v>53</v>
      </c>
      <c r="F6366" s="133" t="s">
        <v>19</v>
      </c>
      <c r="G6366" s="134" t="n">
        <f aca="false">LEN('Saisie programme'!$H$233)+SUMIFS('Vols additionnels'!$E$7:$E$66,'Vols additionnels'!$C$7:$C$66,$E6366,'Vols additionnels'!$D$7:$D$66,$F6366,'Vols additionnels'!$B$7:$B$66,$D6366)</f>
        <v>0</v>
      </c>
      <c r="H6366" s="135" t="n">
        <f aca="false">$G6366*'Analyse capacite'!$F$8</f>
        <v>0</v>
      </c>
      <c r="I6366" s="135" t="n">
        <f aca="false">$G6366*'Analyse capacite'!$C$8</f>
        <v>0</v>
      </c>
      <c r="J6366" s="135" t="n">
        <f aca="false">$G6366*'Analyse capacite'!$D$8</f>
        <v>0</v>
      </c>
      <c r="K6366" s="135" t="n">
        <f aca="false">$G6366*'Analyse capacite'!$E$8</f>
        <v>0</v>
      </c>
    </row>
    <row r="6367" customFormat="false" ht="15" hidden="false" customHeight="false" outlineLevel="0" collapsed="false">
      <c r="B6367" s="130" t="n">
        <v>2027</v>
      </c>
      <c r="C6367" s="131" t="s">
        <v>251</v>
      </c>
      <c r="D6367" s="132" t="n">
        <v>46654</v>
      </c>
      <c r="E6367" s="131" t="s">
        <v>53</v>
      </c>
      <c r="F6367" s="133" t="s">
        <v>24</v>
      </c>
      <c r="G6367" s="134" t="n">
        <f aca="false">LEN('Saisie programme'!$H$234)+SUMIFS('Vols additionnels'!$E$7:$E$66,'Vols additionnels'!$C$7:$C$66,$E6367,'Vols additionnels'!$D$7:$D$66,$F6367,'Vols additionnels'!$B$7:$B$66,$D6367)</f>
        <v>0</v>
      </c>
      <c r="H6367" s="135" t="n">
        <f aca="false">$G6367*'Analyse capacite'!$F$9</f>
        <v>0</v>
      </c>
      <c r="I6367" s="135" t="n">
        <f aca="false">$G6367*'Analyse capacite'!$C$9</f>
        <v>0</v>
      </c>
      <c r="J6367" s="135" t="n">
        <f aca="false">$G6367*'Analyse capacite'!$D$9</f>
        <v>0</v>
      </c>
      <c r="K6367" s="135" t="n">
        <f aca="false">$G6367*'Analyse capacite'!$E$9</f>
        <v>0</v>
      </c>
    </row>
    <row r="6368" customFormat="false" ht="15" hidden="false" customHeight="false" outlineLevel="0" collapsed="false">
      <c r="B6368" s="130" t="n">
        <v>2027</v>
      </c>
      <c r="C6368" s="131" t="s">
        <v>251</v>
      </c>
      <c r="D6368" s="132" t="n">
        <v>46654</v>
      </c>
      <c r="E6368" s="131" t="s">
        <v>56</v>
      </c>
      <c r="F6368" s="133" t="s">
        <v>11</v>
      </c>
      <c r="G6368" s="134" t="n">
        <f aca="false">LEN('Saisie programme'!$H$235)+SUMIFS('Vols additionnels'!$E$7:$E$66,'Vols additionnels'!$C$7:$C$66,$E6368,'Vols additionnels'!$D$7:$D$66,$F6368,'Vols additionnels'!$B$7:$B$66,$D6368)</f>
        <v>0</v>
      </c>
      <c r="H6368" s="135" t="n">
        <f aca="false">$G6368*'Analyse capacite'!$F$7</f>
        <v>0</v>
      </c>
      <c r="I6368" s="135" t="n">
        <f aca="false">$G6368*'Analyse capacite'!$C$7</f>
        <v>0</v>
      </c>
      <c r="J6368" s="135" t="n">
        <f aca="false">$G6368*'Analyse capacite'!$D$7</f>
        <v>0</v>
      </c>
      <c r="K6368" s="135" t="n">
        <f aca="false">$G6368*'Analyse capacite'!$E$7</f>
        <v>0</v>
      </c>
    </row>
    <row r="6369" customFormat="false" ht="15" hidden="false" customHeight="false" outlineLevel="0" collapsed="false">
      <c r="B6369" s="130" t="n">
        <v>2027</v>
      </c>
      <c r="C6369" s="131" t="s">
        <v>251</v>
      </c>
      <c r="D6369" s="132" t="n">
        <v>46654</v>
      </c>
      <c r="E6369" s="131" t="s">
        <v>56</v>
      </c>
      <c r="F6369" s="133" t="s">
        <v>19</v>
      </c>
      <c r="G6369" s="134" t="n">
        <f aca="false">LEN('Saisie programme'!$H$236)+SUMIFS('Vols additionnels'!$E$7:$E$66,'Vols additionnels'!$C$7:$C$66,$E6369,'Vols additionnels'!$D$7:$D$66,$F6369,'Vols additionnels'!$B$7:$B$66,$D6369)</f>
        <v>0</v>
      </c>
      <c r="H6369" s="135" t="n">
        <f aca="false">$G6369*'Analyse capacite'!$F$8</f>
        <v>0</v>
      </c>
      <c r="I6369" s="135" t="n">
        <f aca="false">$G6369*'Analyse capacite'!$C$8</f>
        <v>0</v>
      </c>
      <c r="J6369" s="135" t="n">
        <f aca="false">$G6369*'Analyse capacite'!$D$8</f>
        <v>0</v>
      </c>
      <c r="K6369" s="135" t="n">
        <f aca="false">$G6369*'Analyse capacite'!$E$8</f>
        <v>0</v>
      </c>
    </row>
    <row r="6370" customFormat="false" ht="15" hidden="false" customHeight="false" outlineLevel="0" collapsed="false">
      <c r="B6370" s="130" t="n">
        <v>2027</v>
      </c>
      <c r="C6370" s="131" t="s">
        <v>251</v>
      </c>
      <c r="D6370" s="132" t="n">
        <v>46654</v>
      </c>
      <c r="E6370" s="131" t="s">
        <v>56</v>
      </c>
      <c r="F6370" s="133" t="s">
        <v>24</v>
      </c>
      <c r="G6370" s="134" t="n">
        <f aca="false">LEN('Saisie programme'!$H$237)+SUMIFS('Vols additionnels'!$E$7:$E$66,'Vols additionnels'!$C$7:$C$66,$E6370,'Vols additionnels'!$D$7:$D$66,$F6370,'Vols additionnels'!$B$7:$B$66,$D6370)</f>
        <v>0</v>
      </c>
      <c r="H6370" s="135" t="n">
        <f aca="false">$G6370*'Analyse capacite'!$F$9</f>
        <v>0</v>
      </c>
      <c r="I6370" s="135" t="n">
        <f aca="false">$G6370*'Analyse capacite'!$C$9</f>
        <v>0</v>
      </c>
      <c r="J6370" s="135" t="n">
        <f aca="false">$G6370*'Analyse capacite'!$D$9</f>
        <v>0</v>
      </c>
      <c r="K6370" s="135" t="n">
        <f aca="false">$G6370*'Analyse capacite'!$E$9</f>
        <v>0</v>
      </c>
    </row>
    <row r="6371" customFormat="false" ht="15" hidden="false" customHeight="false" outlineLevel="0" collapsed="false">
      <c r="B6371" s="130" t="n">
        <v>2027</v>
      </c>
      <c r="C6371" s="131" t="s">
        <v>251</v>
      </c>
      <c r="D6371" s="132" t="n">
        <v>46654</v>
      </c>
      <c r="E6371" s="131" t="s">
        <v>59</v>
      </c>
      <c r="F6371" s="133" t="s">
        <v>11</v>
      </c>
      <c r="G6371" s="134" t="n">
        <f aca="false">LEN('Saisie programme'!$H$238)+SUMIFS('Vols additionnels'!$E$7:$E$66,'Vols additionnels'!$C$7:$C$66,$E6371,'Vols additionnels'!$D$7:$D$66,$F6371,'Vols additionnels'!$B$7:$B$66,$D6371)</f>
        <v>0</v>
      </c>
      <c r="H6371" s="135" t="n">
        <f aca="false">$G6371*'Analyse capacite'!$F$7</f>
        <v>0</v>
      </c>
      <c r="I6371" s="135" t="n">
        <f aca="false">$G6371*'Analyse capacite'!$C$7</f>
        <v>0</v>
      </c>
      <c r="J6371" s="135" t="n">
        <f aca="false">$G6371*'Analyse capacite'!$D$7</f>
        <v>0</v>
      </c>
      <c r="K6371" s="135" t="n">
        <f aca="false">$G6371*'Analyse capacite'!$E$7</f>
        <v>0</v>
      </c>
    </row>
    <row r="6372" customFormat="false" ht="15" hidden="false" customHeight="false" outlineLevel="0" collapsed="false">
      <c r="B6372" s="130" t="n">
        <v>2027</v>
      </c>
      <c r="C6372" s="131" t="s">
        <v>251</v>
      </c>
      <c r="D6372" s="132" t="n">
        <v>46654</v>
      </c>
      <c r="E6372" s="131" t="s">
        <v>59</v>
      </c>
      <c r="F6372" s="133" t="s">
        <v>19</v>
      </c>
      <c r="G6372" s="134" t="n">
        <f aca="false">LEN('Saisie programme'!$H$239)+SUMIFS('Vols additionnels'!$E$7:$E$66,'Vols additionnels'!$C$7:$C$66,$E6372,'Vols additionnels'!$D$7:$D$66,$F6372,'Vols additionnels'!$B$7:$B$66,$D6372)</f>
        <v>0</v>
      </c>
      <c r="H6372" s="135" t="n">
        <f aca="false">$G6372*'Analyse capacite'!$F$8</f>
        <v>0</v>
      </c>
      <c r="I6372" s="135" t="n">
        <f aca="false">$G6372*'Analyse capacite'!$C$8</f>
        <v>0</v>
      </c>
      <c r="J6372" s="135" t="n">
        <f aca="false">$G6372*'Analyse capacite'!$D$8</f>
        <v>0</v>
      </c>
      <c r="K6372" s="135" t="n">
        <f aca="false">$G6372*'Analyse capacite'!$E$8</f>
        <v>0</v>
      </c>
    </row>
    <row r="6373" customFormat="false" ht="15" hidden="false" customHeight="false" outlineLevel="0" collapsed="false">
      <c r="B6373" s="130" t="n">
        <v>2027</v>
      </c>
      <c r="C6373" s="131" t="s">
        <v>251</v>
      </c>
      <c r="D6373" s="132" t="n">
        <v>46654</v>
      </c>
      <c r="E6373" s="131" t="s">
        <v>59</v>
      </c>
      <c r="F6373" s="133" t="s">
        <v>24</v>
      </c>
      <c r="G6373" s="134" t="n">
        <f aca="false">LEN('Saisie programme'!$H$240)+SUMIFS('Vols additionnels'!$E$7:$E$66,'Vols additionnels'!$C$7:$C$66,$E6373,'Vols additionnels'!$D$7:$D$66,$F6373,'Vols additionnels'!$B$7:$B$66,$D6373)</f>
        <v>1</v>
      </c>
      <c r="H6373" s="135" t="n">
        <f aca="false">$G6373*'Analyse capacite'!$F$9</f>
        <v>174</v>
      </c>
      <c r="I6373" s="135" t="n">
        <f aca="false">$G6373*'Analyse capacite'!$C$9</f>
        <v>0</v>
      </c>
      <c r="J6373" s="135" t="n">
        <f aca="false">$G6373*'Analyse capacite'!$D$9</f>
        <v>12</v>
      </c>
      <c r="K6373" s="135" t="n">
        <f aca="false">$G6373*'Analyse capacite'!$E$9</f>
        <v>162</v>
      </c>
    </row>
    <row r="6374" customFormat="false" ht="15" hidden="false" customHeight="false" outlineLevel="0" collapsed="false">
      <c r="B6374" s="130" t="n">
        <v>2027</v>
      </c>
      <c r="C6374" s="131" t="s">
        <v>251</v>
      </c>
      <c r="D6374" s="132" t="n">
        <v>46654</v>
      </c>
      <c r="E6374" s="131" t="s">
        <v>62</v>
      </c>
      <c r="F6374" s="133" t="s">
        <v>11</v>
      </c>
      <c r="G6374" s="134" t="n">
        <f aca="false">LEN('Saisie programme'!$H$241)+SUMIFS('Vols additionnels'!$E$7:$E$66,'Vols additionnels'!$C$7:$C$66,$E6374,'Vols additionnels'!$D$7:$D$66,$F6374,'Vols additionnels'!$B$7:$B$66,$D6374)</f>
        <v>0</v>
      </c>
      <c r="H6374" s="135" t="n">
        <f aca="false">$G6374*'Analyse capacite'!$F$7</f>
        <v>0</v>
      </c>
      <c r="I6374" s="135" t="n">
        <f aca="false">$G6374*'Analyse capacite'!$C$7</f>
        <v>0</v>
      </c>
      <c r="J6374" s="135" t="n">
        <f aca="false">$G6374*'Analyse capacite'!$D$7</f>
        <v>0</v>
      </c>
      <c r="K6374" s="135" t="n">
        <f aca="false">$G6374*'Analyse capacite'!$E$7</f>
        <v>0</v>
      </c>
    </row>
    <row r="6375" customFormat="false" ht="15" hidden="false" customHeight="false" outlineLevel="0" collapsed="false">
      <c r="B6375" s="130" t="n">
        <v>2027</v>
      </c>
      <c r="C6375" s="131" t="s">
        <v>251</v>
      </c>
      <c r="D6375" s="132" t="n">
        <v>46654</v>
      </c>
      <c r="E6375" s="131" t="s">
        <v>62</v>
      </c>
      <c r="F6375" s="133" t="s">
        <v>19</v>
      </c>
      <c r="G6375" s="134" t="n">
        <f aca="false">LEN('Saisie programme'!$H$242)+SUMIFS('Vols additionnels'!$E$7:$E$66,'Vols additionnels'!$C$7:$C$66,$E6375,'Vols additionnels'!$D$7:$D$66,$F6375,'Vols additionnels'!$B$7:$B$66,$D6375)</f>
        <v>0</v>
      </c>
      <c r="H6375" s="135" t="n">
        <f aca="false">$G6375*'Analyse capacite'!$F$8</f>
        <v>0</v>
      </c>
      <c r="I6375" s="135" t="n">
        <f aca="false">$G6375*'Analyse capacite'!$C$8</f>
        <v>0</v>
      </c>
      <c r="J6375" s="135" t="n">
        <f aca="false">$G6375*'Analyse capacite'!$D$8</f>
        <v>0</v>
      </c>
      <c r="K6375" s="135" t="n">
        <f aca="false">$G6375*'Analyse capacite'!$E$8</f>
        <v>0</v>
      </c>
    </row>
    <row r="6376" customFormat="false" ht="15" hidden="false" customHeight="false" outlineLevel="0" collapsed="false">
      <c r="B6376" s="130" t="n">
        <v>2027</v>
      </c>
      <c r="C6376" s="131" t="s">
        <v>251</v>
      </c>
      <c r="D6376" s="132" t="n">
        <v>46654</v>
      </c>
      <c r="E6376" s="131" t="s">
        <v>62</v>
      </c>
      <c r="F6376" s="133" t="s">
        <v>24</v>
      </c>
      <c r="G6376" s="134" t="n">
        <f aca="false">LEN('Saisie programme'!$H$243)+SUMIFS('Vols additionnels'!$E$7:$E$66,'Vols additionnels'!$C$7:$C$66,$E6376,'Vols additionnels'!$D$7:$D$66,$F6376,'Vols additionnels'!$B$7:$B$66,$D6376)</f>
        <v>0</v>
      </c>
      <c r="H6376" s="135" t="n">
        <f aca="false">$G6376*'Analyse capacite'!$F$9</f>
        <v>0</v>
      </c>
      <c r="I6376" s="135" t="n">
        <f aca="false">$G6376*'Analyse capacite'!$C$9</f>
        <v>0</v>
      </c>
      <c r="J6376" s="135" t="n">
        <f aca="false">$G6376*'Analyse capacite'!$D$9</f>
        <v>0</v>
      </c>
      <c r="K6376" s="135" t="n">
        <f aca="false">$G6376*'Analyse capacite'!$E$9</f>
        <v>0</v>
      </c>
    </row>
    <row r="6377" customFormat="false" ht="15" hidden="false" customHeight="false" outlineLevel="0" collapsed="false">
      <c r="B6377" s="130" t="n">
        <v>2027</v>
      </c>
      <c r="C6377" s="131" t="s">
        <v>251</v>
      </c>
      <c r="D6377" s="132" t="n">
        <v>46655</v>
      </c>
      <c r="E6377" s="131" t="s">
        <v>12</v>
      </c>
      <c r="F6377" s="133" t="s">
        <v>11</v>
      </c>
      <c r="G6377" s="134" t="n">
        <f aca="false">LEN('Saisie programme'!$I$208)+SUMIFS('Vols additionnels'!$E$7:$E$66,'Vols additionnels'!$C$7:$C$66,$E6377,'Vols additionnels'!$D$7:$D$66,$F6377,'Vols additionnels'!$B$7:$B$66,$D6377)</f>
        <v>1</v>
      </c>
      <c r="H6377" s="135" t="n">
        <f aca="false">$G6377*'Analyse capacite'!$F$7</f>
        <v>438</v>
      </c>
      <c r="I6377" s="135" t="n">
        <f aca="false">$G6377*'Analyse capacite'!$C$7</f>
        <v>14</v>
      </c>
      <c r="J6377" s="135" t="n">
        <f aca="false">$G6377*'Analyse capacite'!$D$7</f>
        <v>40</v>
      </c>
      <c r="K6377" s="135" t="n">
        <f aca="false">$G6377*'Analyse capacite'!$E$7</f>
        <v>384</v>
      </c>
    </row>
    <row r="6378" customFormat="false" ht="15" hidden="false" customHeight="false" outlineLevel="0" collapsed="false">
      <c r="B6378" s="130" t="n">
        <v>2027</v>
      </c>
      <c r="C6378" s="131" t="s">
        <v>251</v>
      </c>
      <c r="D6378" s="132" t="n">
        <v>46655</v>
      </c>
      <c r="E6378" s="131" t="s">
        <v>12</v>
      </c>
      <c r="F6378" s="133" t="s">
        <v>19</v>
      </c>
      <c r="G6378" s="134" t="n">
        <f aca="false">LEN('Saisie programme'!$I$209)+SUMIFS('Vols additionnels'!$E$7:$E$66,'Vols additionnels'!$C$7:$C$66,$E6378,'Vols additionnels'!$D$7:$D$66,$F6378,'Vols additionnels'!$B$7:$B$66,$D6378)</f>
        <v>0</v>
      </c>
      <c r="H6378" s="135" t="n">
        <f aca="false">$G6378*'Analyse capacite'!$F$8</f>
        <v>0</v>
      </c>
      <c r="I6378" s="135" t="n">
        <f aca="false">$G6378*'Analyse capacite'!$C$8</f>
        <v>0</v>
      </c>
      <c r="J6378" s="135" t="n">
        <f aca="false">$G6378*'Analyse capacite'!$D$8</f>
        <v>0</v>
      </c>
      <c r="K6378" s="135" t="n">
        <f aca="false">$G6378*'Analyse capacite'!$E$8</f>
        <v>0</v>
      </c>
    </row>
    <row r="6379" customFormat="false" ht="15" hidden="false" customHeight="false" outlineLevel="0" collapsed="false">
      <c r="B6379" s="130" t="n">
        <v>2027</v>
      </c>
      <c r="C6379" s="131" t="s">
        <v>251</v>
      </c>
      <c r="D6379" s="132" t="n">
        <v>46655</v>
      </c>
      <c r="E6379" s="131" t="s">
        <v>12</v>
      </c>
      <c r="F6379" s="133" t="s">
        <v>24</v>
      </c>
      <c r="G6379" s="134" t="n">
        <f aca="false">LEN('Saisie programme'!$I$210)+SUMIFS('Vols additionnels'!$E$7:$E$66,'Vols additionnels'!$C$7:$C$66,$E6379,'Vols additionnels'!$D$7:$D$66,$F6379,'Vols additionnels'!$B$7:$B$66,$D6379)</f>
        <v>0</v>
      </c>
      <c r="H6379" s="135" t="n">
        <f aca="false">$G6379*'Analyse capacite'!$F$9</f>
        <v>0</v>
      </c>
      <c r="I6379" s="135" t="n">
        <f aca="false">$G6379*'Analyse capacite'!$C$9</f>
        <v>0</v>
      </c>
      <c r="J6379" s="135" t="n">
        <f aca="false">$G6379*'Analyse capacite'!$D$9</f>
        <v>0</v>
      </c>
      <c r="K6379" s="135" t="n">
        <f aca="false">$G6379*'Analyse capacite'!$E$9</f>
        <v>0</v>
      </c>
    </row>
    <row r="6380" customFormat="false" ht="15" hidden="false" customHeight="false" outlineLevel="0" collapsed="false">
      <c r="B6380" s="130" t="n">
        <v>2027</v>
      </c>
      <c r="C6380" s="131" t="s">
        <v>251</v>
      </c>
      <c r="D6380" s="132" t="n">
        <v>46655</v>
      </c>
      <c r="E6380" s="131" t="s">
        <v>20</v>
      </c>
      <c r="F6380" s="133" t="s">
        <v>11</v>
      </c>
      <c r="G6380" s="134" t="n">
        <f aca="false">LEN('Saisie programme'!$I$211)+SUMIFS('Vols additionnels'!$E$7:$E$66,'Vols additionnels'!$C$7:$C$66,$E6380,'Vols additionnels'!$D$7:$D$66,$F6380,'Vols additionnels'!$B$7:$B$66,$D6380)</f>
        <v>0</v>
      </c>
      <c r="H6380" s="135" t="n">
        <f aca="false">$G6380*'Analyse capacite'!$F$7</f>
        <v>0</v>
      </c>
      <c r="I6380" s="135" t="n">
        <f aca="false">$G6380*'Analyse capacite'!$C$7</f>
        <v>0</v>
      </c>
      <c r="J6380" s="135" t="n">
        <f aca="false">$G6380*'Analyse capacite'!$D$7</f>
        <v>0</v>
      </c>
      <c r="K6380" s="135" t="n">
        <f aca="false">$G6380*'Analyse capacite'!$E$7</f>
        <v>0</v>
      </c>
    </row>
    <row r="6381" customFormat="false" ht="15" hidden="false" customHeight="false" outlineLevel="0" collapsed="false">
      <c r="B6381" s="130" t="n">
        <v>2027</v>
      </c>
      <c r="C6381" s="131" t="s">
        <v>251</v>
      </c>
      <c r="D6381" s="132" t="n">
        <v>46655</v>
      </c>
      <c r="E6381" s="131" t="s">
        <v>20</v>
      </c>
      <c r="F6381" s="133" t="s">
        <v>19</v>
      </c>
      <c r="G6381" s="134" t="n">
        <f aca="false">LEN('Saisie programme'!$I$212)+SUMIFS('Vols additionnels'!$E$7:$E$66,'Vols additionnels'!$C$7:$C$66,$E6381,'Vols additionnels'!$D$7:$D$66,$F6381,'Vols additionnels'!$B$7:$B$66,$D6381)</f>
        <v>0</v>
      </c>
      <c r="H6381" s="135" t="n">
        <f aca="false">$G6381*'Analyse capacite'!$F$8</f>
        <v>0</v>
      </c>
      <c r="I6381" s="135" t="n">
        <f aca="false">$G6381*'Analyse capacite'!$C$8</f>
        <v>0</v>
      </c>
      <c r="J6381" s="135" t="n">
        <f aca="false">$G6381*'Analyse capacite'!$D$8</f>
        <v>0</v>
      </c>
      <c r="K6381" s="135" t="n">
        <f aca="false">$G6381*'Analyse capacite'!$E$8</f>
        <v>0</v>
      </c>
    </row>
    <row r="6382" customFormat="false" ht="15" hidden="false" customHeight="false" outlineLevel="0" collapsed="false">
      <c r="B6382" s="130" t="n">
        <v>2027</v>
      </c>
      <c r="C6382" s="131" t="s">
        <v>251</v>
      </c>
      <c r="D6382" s="132" t="n">
        <v>46655</v>
      </c>
      <c r="E6382" s="131" t="s">
        <v>20</v>
      </c>
      <c r="F6382" s="133" t="s">
        <v>24</v>
      </c>
      <c r="G6382" s="134" t="n">
        <f aca="false">LEN('Saisie programme'!$I$213)+SUMIFS('Vols additionnels'!$E$7:$E$66,'Vols additionnels'!$C$7:$C$66,$E6382,'Vols additionnels'!$D$7:$D$66,$F6382,'Vols additionnels'!$B$7:$B$66,$D6382)</f>
        <v>0</v>
      </c>
      <c r="H6382" s="135" t="n">
        <f aca="false">$G6382*'Analyse capacite'!$F$9</f>
        <v>0</v>
      </c>
      <c r="I6382" s="135" t="n">
        <f aca="false">$G6382*'Analyse capacite'!$C$9</f>
        <v>0</v>
      </c>
      <c r="J6382" s="135" t="n">
        <f aca="false">$G6382*'Analyse capacite'!$D$9</f>
        <v>0</v>
      </c>
      <c r="K6382" s="135" t="n">
        <f aca="false">$G6382*'Analyse capacite'!$E$9</f>
        <v>0</v>
      </c>
    </row>
    <row r="6383" customFormat="false" ht="15" hidden="false" customHeight="false" outlineLevel="0" collapsed="false">
      <c r="B6383" s="130" t="n">
        <v>2027</v>
      </c>
      <c r="C6383" s="131" t="s">
        <v>251</v>
      </c>
      <c r="D6383" s="132" t="n">
        <v>46655</v>
      </c>
      <c r="E6383" s="131" t="s">
        <v>25</v>
      </c>
      <c r="F6383" s="133" t="s">
        <v>11</v>
      </c>
      <c r="G6383" s="134" t="n">
        <f aca="false">LEN('Saisie programme'!$I$214)+SUMIFS('Vols additionnels'!$E$7:$E$66,'Vols additionnels'!$C$7:$C$66,$E6383,'Vols additionnels'!$D$7:$D$66,$F6383,'Vols additionnels'!$B$7:$B$66,$D6383)</f>
        <v>0</v>
      </c>
      <c r="H6383" s="135" t="n">
        <f aca="false">$G6383*'Analyse capacite'!$F$7</f>
        <v>0</v>
      </c>
      <c r="I6383" s="135" t="n">
        <f aca="false">$G6383*'Analyse capacite'!$C$7</f>
        <v>0</v>
      </c>
      <c r="J6383" s="135" t="n">
        <f aca="false">$G6383*'Analyse capacite'!$D$7</f>
        <v>0</v>
      </c>
      <c r="K6383" s="135" t="n">
        <f aca="false">$G6383*'Analyse capacite'!$E$7</f>
        <v>0</v>
      </c>
    </row>
    <row r="6384" customFormat="false" ht="15" hidden="false" customHeight="false" outlineLevel="0" collapsed="false">
      <c r="B6384" s="130" t="n">
        <v>2027</v>
      </c>
      <c r="C6384" s="131" t="s">
        <v>251</v>
      </c>
      <c r="D6384" s="132" t="n">
        <v>46655</v>
      </c>
      <c r="E6384" s="131" t="s">
        <v>25</v>
      </c>
      <c r="F6384" s="133" t="s">
        <v>19</v>
      </c>
      <c r="G6384" s="134" t="n">
        <f aca="false">LEN('Saisie programme'!$I$215)+SUMIFS('Vols additionnels'!$E$7:$E$66,'Vols additionnels'!$C$7:$C$66,$E6384,'Vols additionnels'!$D$7:$D$66,$F6384,'Vols additionnels'!$B$7:$B$66,$D6384)</f>
        <v>1</v>
      </c>
      <c r="H6384" s="135" t="n">
        <f aca="false">$G6384*'Analyse capacite'!$F$8</f>
        <v>262</v>
      </c>
      <c r="I6384" s="135" t="n">
        <f aca="false">$G6384*'Analyse capacite'!$C$8</f>
        <v>18</v>
      </c>
      <c r="J6384" s="135" t="n">
        <f aca="false">$G6384*'Analyse capacite'!$D$8</f>
        <v>0</v>
      </c>
      <c r="K6384" s="135" t="n">
        <f aca="false">$G6384*'Analyse capacite'!$E$8</f>
        <v>244</v>
      </c>
    </row>
    <row r="6385" customFormat="false" ht="15" hidden="false" customHeight="false" outlineLevel="0" collapsed="false">
      <c r="B6385" s="130" t="n">
        <v>2027</v>
      </c>
      <c r="C6385" s="131" t="s">
        <v>251</v>
      </c>
      <c r="D6385" s="132" t="n">
        <v>46655</v>
      </c>
      <c r="E6385" s="131" t="s">
        <v>25</v>
      </c>
      <c r="F6385" s="133" t="s">
        <v>24</v>
      </c>
      <c r="G6385" s="134" t="n">
        <f aca="false">LEN('Saisie programme'!$I$216)+SUMIFS('Vols additionnels'!$E$7:$E$66,'Vols additionnels'!$C$7:$C$66,$E6385,'Vols additionnels'!$D$7:$D$66,$F6385,'Vols additionnels'!$B$7:$B$66,$D6385)</f>
        <v>0</v>
      </c>
      <c r="H6385" s="135" t="n">
        <f aca="false">$G6385*'Analyse capacite'!$F$9</f>
        <v>0</v>
      </c>
      <c r="I6385" s="135" t="n">
        <f aca="false">$G6385*'Analyse capacite'!$C$9</f>
        <v>0</v>
      </c>
      <c r="J6385" s="135" t="n">
        <f aca="false">$G6385*'Analyse capacite'!$D$9</f>
        <v>0</v>
      </c>
      <c r="K6385" s="135" t="n">
        <f aca="false">$G6385*'Analyse capacite'!$E$9</f>
        <v>0</v>
      </c>
    </row>
    <row r="6386" customFormat="false" ht="15" hidden="false" customHeight="false" outlineLevel="0" collapsed="false">
      <c r="B6386" s="130" t="n">
        <v>2027</v>
      </c>
      <c r="C6386" s="131" t="s">
        <v>251</v>
      </c>
      <c r="D6386" s="132" t="n">
        <v>46655</v>
      </c>
      <c r="E6386" s="131" t="s">
        <v>36</v>
      </c>
      <c r="F6386" s="133" t="s">
        <v>11</v>
      </c>
      <c r="G6386" s="134" t="n">
        <f aca="false">LEN('Saisie programme'!$I$217)+SUMIFS('Vols additionnels'!$E$7:$E$66,'Vols additionnels'!$C$7:$C$66,$E6386,'Vols additionnels'!$D$7:$D$66,$F6386,'Vols additionnels'!$B$7:$B$66,$D6386)</f>
        <v>0</v>
      </c>
      <c r="H6386" s="135" t="n">
        <f aca="false">$G6386*'Analyse capacite'!$F$7</f>
        <v>0</v>
      </c>
      <c r="I6386" s="135" t="n">
        <f aca="false">$G6386*'Analyse capacite'!$C$7</f>
        <v>0</v>
      </c>
      <c r="J6386" s="135" t="n">
        <f aca="false">$G6386*'Analyse capacite'!$D$7</f>
        <v>0</v>
      </c>
      <c r="K6386" s="135" t="n">
        <f aca="false">$G6386*'Analyse capacite'!$E$7</f>
        <v>0</v>
      </c>
    </row>
    <row r="6387" customFormat="false" ht="15" hidden="false" customHeight="false" outlineLevel="0" collapsed="false">
      <c r="B6387" s="130" t="n">
        <v>2027</v>
      </c>
      <c r="C6387" s="131" t="s">
        <v>251</v>
      </c>
      <c r="D6387" s="132" t="n">
        <v>46655</v>
      </c>
      <c r="E6387" s="131" t="s">
        <v>36</v>
      </c>
      <c r="F6387" s="133" t="s">
        <v>19</v>
      </c>
      <c r="G6387" s="134" t="n">
        <f aca="false">LEN('Saisie programme'!$I$218)+SUMIFS('Vols additionnels'!$E$7:$E$66,'Vols additionnels'!$C$7:$C$66,$E6387,'Vols additionnels'!$D$7:$D$66,$F6387,'Vols additionnels'!$B$7:$B$66,$D6387)</f>
        <v>0</v>
      </c>
      <c r="H6387" s="135" t="n">
        <f aca="false">$G6387*'Analyse capacite'!$F$8</f>
        <v>0</v>
      </c>
      <c r="I6387" s="135" t="n">
        <f aca="false">$G6387*'Analyse capacite'!$C$8</f>
        <v>0</v>
      </c>
      <c r="J6387" s="135" t="n">
        <f aca="false">$G6387*'Analyse capacite'!$D$8</f>
        <v>0</v>
      </c>
      <c r="K6387" s="135" t="n">
        <f aca="false">$G6387*'Analyse capacite'!$E$8</f>
        <v>0</v>
      </c>
    </row>
    <row r="6388" customFormat="false" ht="15" hidden="false" customHeight="false" outlineLevel="0" collapsed="false">
      <c r="B6388" s="130" t="n">
        <v>2027</v>
      </c>
      <c r="C6388" s="131" t="s">
        <v>251</v>
      </c>
      <c r="D6388" s="132" t="n">
        <v>46655</v>
      </c>
      <c r="E6388" s="131" t="s">
        <v>36</v>
      </c>
      <c r="F6388" s="133" t="s">
        <v>24</v>
      </c>
      <c r="G6388" s="134" t="n">
        <f aca="false">LEN('Saisie programme'!$I$219)+SUMIFS('Vols additionnels'!$E$7:$E$66,'Vols additionnels'!$C$7:$C$66,$E6388,'Vols additionnels'!$D$7:$D$66,$F6388,'Vols additionnels'!$B$7:$B$66,$D6388)</f>
        <v>0</v>
      </c>
      <c r="H6388" s="135" t="n">
        <f aca="false">$G6388*'Analyse capacite'!$F$9</f>
        <v>0</v>
      </c>
      <c r="I6388" s="135" t="n">
        <f aca="false">$G6388*'Analyse capacite'!$C$9</f>
        <v>0</v>
      </c>
      <c r="J6388" s="135" t="n">
        <f aca="false">$G6388*'Analyse capacite'!$D$9</f>
        <v>0</v>
      </c>
      <c r="K6388" s="135" t="n">
        <f aca="false">$G6388*'Analyse capacite'!$E$9</f>
        <v>0</v>
      </c>
    </row>
    <row r="6389" customFormat="false" ht="15" hidden="false" customHeight="false" outlineLevel="0" collapsed="false">
      <c r="B6389" s="130" t="n">
        <v>2027</v>
      </c>
      <c r="C6389" s="131" t="s">
        <v>251</v>
      </c>
      <c r="D6389" s="132" t="n">
        <v>46655</v>
      </c>
      <c r="E6389" s="131" t="s">
        <v>40</v>
      </c>
      <c r="F6389" s="133" t="s">
        <v>11</v>
      </c>
      <c r="G6389" s="134" t="n">
        <f aca="false">LEN('Saisie programme'!$I$220)+SUMIFS('Vols additionnels'!$E$7:$E$66,'Vols additionnels'!$C$7:$C$66,$E6389,'Vols additionnels'!$D$7:$D$66,$F6389,'Vols additionnels'!$B$7:$B$66,$D6389)</f>
        <v>0</v>
      </c>
      <c r="H6389" s="135" t="n">
        <f aca="false">$G6389*'Analyse capacite'!$F$7</f>
        <v>0</v>
      </c>
      <c r="I6389" s="135" t="n">
        <f aca="false">$G6389*'Analyse capacite'!$C$7</f>
        <v>0</v>
      </c>
      <c r="J6389" s="135" t="n">
        <f aca="false">$G6389*'Analyse capacite'!$D$7</f>
        <v>0</v>
      </c>
      <c r="K6389" s="135" t="n">
        <f aca="false">$G6389*'Analyse capacite'!$E$7</f>
        <v>0</v>
      </c>
    </row>
    <row r="6390" customFormat="false" ht="15" hidden="false" customHeight="false" outlineLevel="0" collapsed="false">
      <c r="B6390" s="130" t="n">
        <v>2027</v>
      </c>
      <c r="C6390" s="131" t="s">
        <v>251</v>
      </c>
      <c r="D6390" s="132" t="n">
        <v>46655</v>
      </c>
      <c r="E6390" s="131" t="s">
        <v>40</v>
      </c>
      <c r="F6390" s="133" t="s">
        <v>19</v>
      </c>
      <c r="G6390" s="134" t="n">
        <f aca="false">LEN('Saisie programme'!$I$221)+SUMIFS('Vols additionnels'!$E$7:$E$66,'Vols additionnels'!$C$7:$C$66,$E6390,'Vols additionnels'!$D$7:$D$66,$F6390,'Vols additionnels'!$B$7:$B$66,$D6390)</f>
        <v>0</v>
      </c>
      <c r="H6390" s="135" t="n">
        <f aca="false">$G6390*'Analyse capacite'!$F$8</f>
        <v>0</v>
      </c>
      <c r="I6390" s="135" t="n">
        <f aca="false">$G6390*'Analyse capacite'!$C$8</f>
        <v>0</v>
      </c>
      <c r="J6390" s="135" t="n">
        <f aca="false">$G6390*'Analyse capacite'!$D$8</f>
        <v>0</v>
      </c>
      <c r="K6390" s="135" t="n">
        <f aca="false">$G6390*'Analyse capacite'!$E$8</f>
        <v>0</v>
      </c>
    </row>
    <row r="6391" customFormat="false" ht="15" hidden="false" customHeight="false" outlineLevel="0" collapsed="false">
      <c r="B6391" s="130" t="n">
        <v>2027</v>
      </c>
      <c r="C6391" s="131" t="s">
        <v>251</v>
      </c>
      <c r="D6391" s="132" t="n">
        <v>46655</v>
      </c>
      <c r="E6391" s="131" t="s">
        <v>40</v>
      </c>
      <c r="F6391" s="133" t="s">
        <v>24</v>
      </c>
      <c r="G6391" s="134" t="n">
        <f aca="false">LEN('Saisie programme'!$I$222)+SUMIFS('Vols additionnels'!$E$7:$E$66,'Vols additionnels'!$C$7:$C$66,$E6391,'Vols additionnels'!$D$7:$D$66,$F6391,'Vols additionnels'!$B$7:$B$66,$D6391)</f>
        <v>0</v>
      </c>
      <c r="H6391" s="135" t="n">
        <f aca="false">$G6391*'Analyse capacite'!$F$9</f>
        <v>0</v>
      </c>
      <c r="I6391" s="135" t="n">
        <f aca="false">$G6391*'Analyse capacite'!$C$9</f>
        <v>0</v>
      </c>
      <c r="J6391" s="135" t="n">
        <f aca="false">$G6391*'Analyse capacite'!$D$9</f>
        <v>0</v>
      </c>
      <c r="K6391" s="135" t="n">
        <f aca="false">$G6391*'Analyse capacite'!$E$9</f>
        <v>0</v>
      </c>
    </row>
    <row r="6392" customFormat="false" ht="15" hidden="false" customHeight="false" outlineLevel="0" collapsed="false">
      <c r="B6392" s="130" t="n">
        <v>2027</v>
      </c>
      <c r="C6392" s="131" t="s">
        <v>251</v>
      </c>
      <c r="D6392" s="132" t="n">
        <v>46655</v>
      </c>
      <c r="E6392" s="131" t="s">
        <v>14</v>
      </c>
      <c r="F6392" s="133" t="s">
        <v>11</v>
      </c>
      <c r="G6392" s="134" t="n">
        <f aca="false">LEN('Saisie programme'!$I$223)+SUMIFS('Vols additionnels'!$E$7:$E$66,'Vols additionnels'!$C$7:$C$66,$E6392,'Vols additionnels'!$D$7:$D$66,$F6392,'Vols additionnels'!$B$7:$B$66,$D6392)</f>
        <v>0</v>
      </c>
      <c r="H6392" s="135" t="n">
        <f aca="false">$G6392*'Analyse capacite'!$F$7</f>
        <v>0</v>
      </c>
      <c r="I6392" s="135" t="n">
        <f aca="false">$G6392*'Analyse capacite'!$C$7</f>
        <v>0</v>
      </c>
      <c r="J6392" s="135" t="n">
        <f aca="false">$G6392*'Analyse capacite'!$D$7</f>
        <v>0</v>
      </c>
      <c r="K6392" s="135" t="n">
        <f aca="false">$G6392*'Analyse capacite'!$E$7</f>
        <v>0</v>
      </c>
    </row>
    <row r="6393" customFormat="false" ht="15" hidden="false" customHeight="false" outlineLevel="0" collapsed="false">
      <c r="B6393" s="130" t="n">
        <v>2027</v>
      </c>
      <c r="C6393" s="131" t="s">
        <v>251</v>
      </c>
      <c r="D6393" s="132" t="n">
        <v>46655</v>
      </c>
      <c r="E6393" s="131" t="s">
        <v>14</v>
      </c>
      <c r="F6393" s="133" t="s">
        <v>19</v>
      </c>
      <c r="G6393" s="134" t="n">
        <f aca="false">LEN('Saisie programme'!$I$224)+SUMIFS('Vols additionnels'!$E$7:$E$66,'Vols additionnels'!$C$7:$C$66,$E6393,'Vols additionnels'!$D$7:$D$66,$F6393,'Vols additionnels'!$B$7:$B$66,$D6393)</f>
        <v>0</v>
      </c>
      <c r="H6393" s="135" t="n">
        <f aca="false">$G6393*'Analyse capacite'!$F$8</f>
        <v>0</v>
      </c>
      <c r="I6393" s="135" t="n">
        <f aca="false">$G6393*'Analyse capacite'!$C$8</f>
        <v>0</v>
      </c>
      <c r="J6393" s="135" t="n">
        <f aca="false">$G6393*'Analyse capacite'!$D$8</f>
        <v>0</v>
      </c>
      <c r="K6393" s="135" t="n">
        <f aca="false">$G6393*'Analyse capacite'!$E$8</f>
        <v>0</v>
      </c>
    </row>
    <row r="6394" customFormat="false" ht="15" hidden="false" customHeight="false" outlineLevel="0" collapsed="false">
      <c r="B6394" s="130" t="n">
        <v>2027</v>
      </c>
      <c r="C6394" s="131" t="s">
        <v>251</v>
      </c>
      <c r="D6394" s="132" t="n">
        <v>46655</v>
      </c>
      <c r="E6394" s="131" t="s">
        <v>14</v>
      </c>
      <c r="F6394" s="133" t="s">
        <v>24</v>
      </c>
      <c r="G6394" s="134" t="n">
        <f aca="false">LEN('Saisie programme'!$I$225)+SUMIFS('Vols additionnels'!$E$7:$E$66,'Vols additionnels'!$C$7:$C$66,$E6394,'Vols additionnels'!$D$7:$D$66,$F6394,'Vols additionnels'!$B$7:$B$66,$D6394)</f>
        <v>1</v>
      </c>
      <c r="H6394" s="135" t="n">
        <f aca="false">$G6394*'Analyse capacite'!$F$9</f>
        <v>174</v>
      </c>
      <c r="I6394" s="135" t="n">
        <f aca="false">$G6394*'Analyse capacite'!$C$9</f>
        <v>0</v>
      </c>
      <c r="J6394" s="135" t="n">
        <f aca="false">$G6394*'Analyse capacite'!$D$9</f>
        <v>12</v>
      </c>
      <c r="K6394" s="135" t="n">
        <f aca="false">$G6394*'Analyse capacite'!$E$9</f>
        <v>162</v>
      </c>
    </row>
    <row r="6395" customFormat="false" ht="15" hidden="false" customHeight="false" outlineLevel="0" collapsed="false">
      <c r="B6395" s="130" t="n">
        <v>2027</v>
      </c>
      <c r="C6395" s="131" t="s">
        <v>251</v>
      </c>
      <c r="D6395" s="132" t="n">
        <v>46655</v>
      </c>
      <c r="E6395" s="131" t="s">
        <v>46</v>
      </c>
      <c r="F6395" s="133" t="s">
        <v>11</v>
      </c>
      <c r="G6395" s="134" t="n">
        <f aca="false">LEN('Saisie programme'!$I$226)+SUMIFS('Vols additionnels'!$E$7:$E$66,'Vols additionnels'!$C$7:$C$66,$E6395,'Vols additionnels'!$D$7:$D$66,$F6395,'Vols additionnels'!$B$7:$B$66,$D6395)</f>
        <v>0</v>
      </c>
      <c r="H6395" s="135" t="n">
        <f aca="false">$G6395*'Analyse capacite'!$F$7</f>
        <v>0</v>
      </c>
      <c r="I6395" s="135" t="n">
        <f aca="false">$G6395*'Analyse capacite'!$C$7</f>
        <v>0</v>
      </c>
      <c r="J6395" s="135" t="n">
        <f aca="false">$G6395*'Analyse capacite'!$D$7</f>
        <v>0</v>
      </c>
      <c r="K6395" s="135" t="n">
        <f aca="false">$G6395*'Analyse capacite'!$E$7</f>
        <v>0</v>
      </c>
    </row>
    <row r="6396" customFormat="false" ht="15" hidden="false" customHeight="false" outlineLevel="0" collapsed="false">
      <c r="B6396" s="130" t="n">
        <v>2027</v>
      </c>
      <c r="C6396" s="131" t="s">
        <v>251</v>
      </c>
      <c r="D6396" s="132" t="n">
        <v>46655</v>
      </c>
      <c r="E6396" s="131" t="s">
        <v>46</v>
      </c>
      <c r="F6396" s="133" t="s">
        <v>19</v>
      </c>
      <c r="G6396" s="134" t="n">
        <f aca="false">LEN('Saisie programme'!$I$227)+SUMIFS('Vols additionnels'!$E$7:$E$66,'Vols additionnels'!$C$7:$C$66,$E6396,'Vols additionnels'!$D$7:$D$66,$F6396,'Vols additionnels'!$B$7:$B$66,$D6396)</f>
        <v>0</v>
      </c>
      <c r="H6396" s="135" t="n">
        <f aca="false">$G6396*'Analyse capacite'!$F$8</f>
        <v>0</v>
      </c>
      <c r="I6396" s="135" t="n">
        <f aca="false">$G6396*'Analyse capacite'!$C$8</f>
        <v>0</v>
      </c>
      <c r="J6396" s="135" t="n">
        <f aca="false">$G6396*'Analyse capacite'!$D$8</f>
        <v>0</v>
      </c>
      <c r="K6396" s="135" t="n">
        <f aca="false">$G6396*'Analyse capacite'!$E$8</f>
        <v>0</v>
      </c>
    </row>
    <row r="6397" customFormat="false" ht="15" hidden="false" customHeight="false" outlineLevel="0" collapsed="false">
      <c r="B6397" s="130" t="n">
        <v>2027</v>
      </c>
      <c r="C6397" s="131" t="s">
        <v>251</v>
      </c>
      <c r="D6397" s="132" t="n">
        <v>46655</v>
      </c>
      <c r="E6397" s="131" t="s">
        <v>46</v>
      </c>
      <c r="F6397" s="133" t="s">
        <v>24</v>
      </c>
      <c r="G6397" s="134" t="n">
        <f aca="false">LEN('Saisie programme'!$I$228)+SUMIFS('Vols additionnels'!$E$7:$E$66,'Vols additionnels'!$C$7:$C$66,$E6397,'Vols additionnels'!$D$7:$D$66,$F6397,'Vols additionnels'!$B$7:$B$66,$D6397)</f>
        <v>1</v>
      </c>
      <c r="H6397" s="135" t="n">
        <f aca="false">$G6397*'Analyse capacite'!$F$9</f>
        <v>174</v>
      </c>
      <c r="I6397" s="135" t="n">
        <f aca="false">$G6397*'Analyse capacite'!$C$9</f>
        <v>0</v>
      </c>
      <c r="J6397" s="135" t="n">
        <f aca="false">$G6397*'Analyse capacite'!$D$9</f>
        <v>12</v>
      </c>
      <c r="K6397" s="135" t="n">
        <f aca="false">$G6397*'Analyse capacite'!$E$9</f>
        <v>162</v>
      </c>
    </row>
    <row r="6398" customFormat="false" ht="15" hidden="false" customHeight="false" outlineLevel="0" collapsed="false">
      <c r="B6398" s="130" t="n">
        <v>2027</v>
      </c>
      <c r="C6398" s="131" t="s">
        <v>251</v>
      </c>
      <c r="D6398" s="132" t="n">
        <v>46655</v>
      </c>
      <c r="E6398" s="131" t="s">
        <v>49</v>
      </c>
      <c r="F6398" s="133" t="s">
        <v>11</v>
      </c>
      <c r="G6398" s="134" t="n">
        <f aca="false">LEN('Saisie programme'!$I$229)+SUMIFS('Vols additionnels'!$E$7:$E$66,'Vols additionnels'!$C$7:$C$66,$E6398,'Vols additionnels'!$D$7:$D$66,$F6398,'Vols additionnels'!$B$7:$B$66,$D6398)</f>
        <v>0</v>
      </c>
      <c r="H6398" s="135" t="n">
        <f aca="false">$G6398*'Analyse capacite'!$F$7</f>
        <v>0</v>
      </c>
      <c r="I6398" s="135" t="n">
        <f aca="false">$G6398*'Analyse capacite'!$C$7</f>
        <v>0</v>
      </c>
      <c r="J6398" s="135" t="n">
        <f aca="false">$G6398*'Analyse capacite'!$D$7</f>
        <v>0</v>
      </c>
      <c r="K6398" s="135" t="n">
        <f aca="false">$G6398*'Analyse capacite'!$E$7</f>
        <v>0</v>
      </c>
    </row>
    <row r="6399" customFormat="false" ht="15" hidden="false" customHeight="false" outlineLevel="0" collapsed="false">
      <c r="B6399" s="130" t="n">
        <v>2027</v>
      </c>
      <c r="C6399" s="131" t="s">
        <v>251</v>
      </c>
      <c r="D6399" s="132" t="n">
        <v>46655</v>
      </c>
      <c r="E6399" s="131" t="s">
        <v>49</v>
      </c>
      <c r="F6399" s="133" t="s">
        <v>19</v>
      </c>
      <c r="G6399" s="134" t="n">
        <f aca="false">LEN('Saisie programme'!$I$230)+SUMIFS('Vols additionnels'!$E$7:$E$66,'Vols additionnels'!$C$7:$C$66,$E6399,'Vols additionnels'!$D$7:$D$66,$F6399,'Vols additionnels'!$B$7:$B$66,$D6399)</f>
        <v>0</v>
      </c>
      <c r="H6399" s="135" t="n">
        <f aca="false">$G6399*'Analyse capacite'!$F$8</f>
        <v>0</v>
      </c>
      <c r="I6399" s="135" t="n">
        <f aca="false">$G6399*'Analyse capacite'!$C$8</f>
        <v>0</v>
      </c>
      <c r="J6399" s="135" t="n">
        <f aca="false">$G6399*'Analyse capacite'!$D$8</f>
        <v>0</v>
      </c>
      <c r="K6399" s="135" t="n">
        <f aca="false">$G6399*'Analyse capacite'!$E$8</f>
        <v>0</v>
      </c>
    </row>
    <row r="6400" customFormat="false" ht="15" hidden="false" customHeight="false" outlineLevel="0" collapsed="false">
      <c r="B6400" s="130" t="n">
        <v>2027</v>
      </c>
      <c r="C6400" s="131" t="s">
        <v>251</v>
      </c>
      <c r="D6400" s="132" t="n">
        <v>46655</v>
      </c>
      <c r="E6400" s="131" t="s">
        <v>49</v>
      </c>
      <c r="F6400" s="133" t="s">
        <v>24</v>
      </c>
      <c r="G6400" s="134" t="n">
        <f aca="false">LEN('Saisie programme'!$I$231)+SUMIFS('Vols additionnels'!$E$7:$E$66,'Vols additionnels'!$C$7:$C$66,$E6400,'Vols additionnels'!$D$7:$D$66,$F6400,'Vols additionnels'!$B$7:$B$66,$D6400)</f>
        <v>0</v>
      </c>
      <c r="H6400" s="135" t="n">
        <f aca="false">$G6400*'Analyse capacite'!$F$9</f>
        <v>0</v>
      </c>
      <c r="I6400" s="135" t="n">
        <f aca="false">$G6400*'Analyse capacite'!$C$9</f>
        <v>0</v>
      </c>
      <c r="J6400" s="135" t="n">
        <f aca="false">$G6400*'Analyse capacite'!$D$9</f>
        <v>0</v>
      </c>
      <c r="K6400" s="135" t="n">
        <f aca="false">$G6400*'Analyse capacite'!$E$9</f>
        <v>0</v>
      </c>
    </row>
    <row r="6401" customFormat="false" ht="15" hidden="false" customHeight="false" outlineLevel="0" collapsed="false">
      <c r="B6401" s="130" t="n">
        <v>2027</v>
      </c>
      <c r="C6401" s="131" t="s">
        <v>251</v>
      </c>
      <c r="D6401" s="132" t="n">
        <v>46655</v>
      </c>
      <c r="E6401" s="131" t="s">
        <v>53</v>
      </c>
      <c r="F6401" s="133" t="s">
        <v>11</v>
      </c>
      <c r="G6401" s="134" t="n">
        <f aca="false">LEN('Saisie programme'!$I$232)+SUMIFS('Vols additionnels'!$E$7:$E$66,'Vols additionnels'!$C$7:$C$66,$E6401,'Vols additionnels'!$D$7:$D$66,$F6401,'Vols additionnels'!$B$7:$B$66,$D6401)</f>
        <v>0</v>
      </c>
      <c r="H6401" s="135" t="n">
        <f aca="false">$G6401*'Analyse capacite'!$F$7</f>
        <v>0</v>
      </c>
      <c r="I6401" s="135" t="n">
        <f aca="false">$G6401*'Analyse capacite'!$C$7</f>
        <v>0</v>
      </c>
      <c r="J6401" s="135" t="n">
        <f aca="false">$G6401*'Analyse capacite'!$D$7</f>
        <v>0</v>
      </c>
      <c r="K6401" s="135" t="n">
        <f aca="false">$G6401*'Analyse capacite'!$E$7</f>
        <v>0</v>
      </c>
    </row>
    <row r="6402" customFormat="false" ht="15" hidden="false" customHeight="false" outlineLevel="0" collapsed="false">
      <c r="B6402" s="130" t="n">
        <v>2027</v>
      </c>
      <c r="C6402" s="131" t="s">
        <v>251</v>
      </c>
      <c r="D6402" s="132" t="n">
        <v>46655</v>
      </c>
      <c r="E6402" s="131" t="s">
        <v>53</v>
      </c>
      <c r="F6402" s="133" t="s">
        <v>19</v>
      </c>
      <c r="G6402" s="134" t="n">
        <f aca="false">LEN('Saisie programme'!$I$233)+SUMIFS('Vols additionnels'!$E$7:$E$66,'Vols additionnels'!$C$7:$C$66,$E6402,'Vols additionnels'!$D$7:$D$66,$F6402,'Vols additionnels'!$B$7:$B$66,$D6402)</f>
        <v>0</v>
      </c>
      <c r="H6402" s="135" t="n">
        <f aca="false">$G6402*'Analyse capacite'!$F$8</f>
        <v>0</v>
      </c>
      <c r="I6402" s="135" t="n">
        <f aca="false">$G6402*'Analyse capacite'!$C$8</f>
        <v>0</v>
      </c>
      <c r="J6402" s="135" t="n">
        <f aca="false">$G6402*'Analyse capacite'!$D$8</f>
        <v>0</v>
      </c>
      <c r="K6402" s="135" t="n">
        <f aca="false">$G6402*'Analyse capacite'!$E$8</f>
        <v>0</v>
      </c>
    </row>
    <row r="6403" customFormat="false" ht="15" hidden="false" customHeight="false" outlineLevel="0" collapsed="false">
      <c r="B6403" s="130" t="n">
        <v>2027</v>
      </c>
      <c r="C6403" s="131" t="s">
        <v>251</v>
      </c>
      <c r="D6403" s="132" t="n">
        <v>46655</v>
      </c>
      <c r="E6403" s="131" t="s">
        <v>53</v>
      </c>
      <c r="F6403" s="133" t="s">
        <v>24</v>
      </c>
      <c r="G6403" s="134" t="n">
        <f aca="false">LEN('Saisie programme'!$I$234)+SUMIFS('Vols additionnels'!$E$7:$E$66,'Vols additionnels'!$C$7:$C$66,$E6403,'Vols additionnels'!$D$7:$D$66,$F6403,'Vols additionnels'!$B$7:$B$66,$D6403)</f>
        <v>0</v>
      </c>
      <c r="H6403" s="135" t="n">
        <f aca="false">$G6403*'Analyse capacite'!$F$9</f>
        <v>0</v>
      </c>
      <c r="I6403" s="135" t="n">
        <f aca="false">$G6403*'Analyse capacite'!$C$9</f>
        <v>0</v>
      </c>
      <c r="J6403" s="135" t="n">
        <f aca="false">$G6403*'Analyse capacite'!$D$9</f>
        <v>0</v>
      </c>
      <c r="K6403" s="135" t="n">
        <f aca="false">$G6403*'Analyse capacite'!$E$9</f>
        <v>0</v>
      </c>
    </row>
    <row r="6404" customFormat="false" ht="15" hidden="false" customHeight="false" outlineLevel="0" collapsed="false">
      <c r="B6404" s="130" t="n">
        <v>2027</v>
      </c>
      <c r="C6404" s="131" t="s">
        <v>251</v>
      </c>
      <c r="D6404" s="132" t="n">
        <v>46655</v>
      </c>
      <c r="E6404" s="131" t="s">
        <v>56</v>
      </c>
      <c r="F6404" s="133" t="s">
        <v>11</v>
      </c>
      <c r="G6404" s="134" t="n">
        <f aca="false">LEN('Saisie programme'!$I$235)+SUMIFS('Vols additionnels'!$E$7:$E$66,'Vols additionnels'!$C$7:$C$66,$E6404,'Vols additionnels'!$D$7:$D$66,$F6404,'Vols additionnels'!$B$7:$B$66,$D6404)</f>
        <v>0</v>
      </c>
      <c r="H6404" s="135" t="n">
        <f aca="false">$G6404*'Analyse capacite'!$F$7</f>
        <v>0</v>
      </c>
      <c r="I6404" s="135" t="n">
        <f aca="false">$G6404*'Analyse capacite'!$C$7</f>
        <v>0</v>
      </c>
      <c r="J6404" s="135" t="n">
        <f aca="false">$G6404*'Analyse capacite'!$D$7</f>
        <v>0</v>
      </c>
      <c r="K6404" s="135" t="n">
        <f aca="false">$G6404*'Analyse capacite'!$E$7</f>
        <v>0</v>
      </c>
    </row>
    <row r="6405" customFormat="false" ht="15" hidden="false" customHeight="false" outlineLevel="0" collapsed="false">
      <c r="B6405" s="130" t="n">
        <v>2027</v>
      </c>
      <c r="C6405" s="131" t="s">
        <v>251</v>
      </c>
      <c r="D6405" s="132" t="n">
        <v>46655</v>
      </c>
      <c r="E6405" s="131" t="s">
        <v>56</v>
      </c>
      <c r="F6405" s="133" t="s">
        <v>19</v>
      </c>
      <c r="G6405" s="134" t="n">
        <f aca="false">LEN('Saisie programme'!$I$236)+SUMIFS('Vols additionnels'!$E$7:$E$66,'Vols additionnels'!$C$7:$C$66,$E6405,'Vols additionnels'!$D$7:$D$66,$F6405,'Vols additionnels'!$B$7:$B$66,$D6405)</f>
        <v>0</v>
      </c>
      <c r="H6405" s="135" t="n">
        <f aca="false">$G6405*'Analyse capacite'!$F$8</f>
        <v>0</v>
      </c>
      <c r="I6405" s="135" t="n">
        <f aca="false">$G6405*'Analyse capacite'!$C$8</f>
        <v>0</v>
      </c>
      <c r="J6405" s="135" t="n">
        <f aca="false">$G6405*'Analyse capacite'!$D$8</f>
        <v>0</v>
      </c>
      <c r="K6405" s="135" t="n">
        <f aca="false">$G6405*'Analyse capacite'!$E$8</f>
        <v>0</v>
      </c>
    </row>
    <row r="6406" customFormat="false" ht="15" hidden="false" customHeight="false" outlineLevel="0" collapsed="false">
      <c r="B6406" s="130" t="n">
        <v>2027</v>
      </c>
      <c r="C6406" s="131" t="s">
        <v>251</v>
      </c>
      <c r="D6406" s="132" t="n">
        <v>46655</v>
      </c>
      <c r="E6406" s="131" t="s">
        <v>56</v>
      </c>
      <c r="F6406" s="133" t="s">
        <v>24</v>
      </c>
      <c r="G6406" s="134" t="n">
        <f aca="false">LEN('Saisie programme'!$I$237)+SUMIFS('Vols additionnels'!$E$7:$E$66,'Vols additionnels'!$C$7:$C$66,$E6406,'Vols additionnels'!$D$7:$D$66,$F6406,'Vols additionnels'!$B$7:$B$66,$D6406)</f>
        <v>1</v>
      </c>
      <c r="H6406" s="135" t="n">
        <f aca="false">$G6406*'Analyse capacite'!$F$9</f>
        <v>174</v>
      </c>
      <c r="I6406" s="135" t="n">
        <f aca="false">$G6406*'Analyse capacite'!$C$9</f>
        <v>0</v>
      </c>
      <c r="J6406" s="135" t="n">
        <f aca="false">$G6406*'Analyse capacite'!$D$9</f>
        <v>12</v>
      </c>
      <c r="K6406" s="135" t="n">
        <f aca="false">$G6406*'Analyse capacite'!$E$9</f>
        <v>162</v>
      </c>
    </row>
    <row r="6407" customFormat="false" ht="15" hidden="false" customHeight="false" outlineLevel="0" collapsed="false">
      <c r="B6407" s="130" t="n">
        <v>2027</v>
      </c>
      <c r="C6407" s="131" t="s">
        <v>251</v>
      </c>
      <c r="D6407" s="132" t="n">
        <v>46655</v>
      </c>
      <c r="E6407" s="131" t="s">
        <v>59</v>
      </c>
      <c r="F6407" s="133" t="s">
        <v>11</v>
      </c>
      <c r="G6407" s="134" t="n">
        <f aca="false">LEN('Saisie programme'!$I$238)+SUMIFS('Vols additionnels'!$E$7:$E$66,'Vols additionnels'!$C$7:$C$66,$E6407,'Vols additionnels'!$D$7:$D$66,$F6407,'Vols additionnels'!$B$7:$B$66,$D6407)</f>
        <v>0</v>
      </c>
      <c r="H6407" s="135" t="n">
        <f aca="false">$G6407*'Analyse capacite'!$F$7</f>
        <v>0</v>
      </c>
      <c r="I6407" s="135" t="n">
        <f aca="false">$G6407*'Analyse capacite'!$C$7</f>
        <v>0</v>
      </c>
      <c r="J6407" s="135" t="n">
        <f aca="false">$G6407*'Analyse capacite'!$D$7</f>
        <v>0</v>
      </c>
      <c r="K6407" s="135" t="n">
        <f aca="false">$G6407*'Analyse capacite'!$E$7</f>
        <v>0</v>
      </c>
    </row>
    <row r="6408" customFormat="false" ht="15" hidden="false" customHeight="false" outlineLevel="0" collapsed="false">
      <c r="B6408" s="130" t="n">
        <v>2027</v>
      </c>
      <c r="C6408" s="131" t="s">
        <v>251</v>
      </c>
      <c r="D6408" s="132" t="n">
        <v>46655</v>
      </c>
      <c r="E6408" s="131" t="s">
        <v>59</v>
      </c>
      <c r="F6408" s="133" t="s">
        <v>19</v>
      </c>
      <c r="G6408" s="134" t="n">
        <f aca="false">LEN('Saisie programme'!$I$239)+SUMIFS('Vols additionnels'!$E$7:$E$66,'Vols additionnels'!$C$7:$C$66,$E6408,'Vols additionnels'!$D$7:$D$66,$F6408,'Vols additionnels'!$B$7:$B$66,$D6408)</f>
        <v>0</v>
      </c>
      <c r="H6408" s="135" t="n">
        <f aca="false">$G6408*'Analyse capacite'!$F$8</f>
        <v>0</v>
      </c>
      <c r="I6408" s="135" t="n">
        <f aca="false">$G6408*'Analyse capacite'!$C$8</f>
        <v>0</v>
      </c>
      <c r="J6408" s="135" t="n">
        <f aca="false">$G6408*'Analyse capacite'!$D$8</f>
        <v>0</v>
      </c>
      <c r="K6408" s="135" t="n">
        <f aca="false">$G6408*'Analyse capacite'!$E$8</f>
        <v>0</v>
      </c>
    </row>
    <row r="6409" customFormat="false" ht="15" hidden="false" customHeight="false" outlineLevel="0" collapsed="false">
      <c r="B6409" s="130" t="n">
        <v>2027</v>
      </c>
      <c r="C6409" s="131" t="s">
        <v>251</v>
      </c>
      <c r="D6409" s="132" t="n">
        <v>46655</v>
      </c>
      <c r="E6409" s="131" t="s">
        <v>59</v>
      </c>
      <c r="F6409" s="133" t="s">
        <v>24</v>
      </c>
      <c r="G6409" s="134" t="n">
        <f aca="false">LEN('Saisie programme'!$I$240)+SUMIFS('Vols additionnels'!$E$7:$E$66,'Vols additionnels'!$C$7:$C$66,$E6409,'Vols additionnels'!$D$7:$D$66,$F6409,'Vols additionnels'!$B$7:$B$66,$D6409)</f>
        <v>1</v>
      </c>
      <c r="H6409" s="135" t="n">
        <f aca="false">$G6409*'Analyse capacite'!$F$9</f>
        <v>174</v>
      </c>
      <c r="I6409" s="135" t="n">
        <f aca="false">$G6409*'Analyse capacite'!$C$9</f>
        <v>0</v>
      </c>
      <c r="J6409" s="135" t="n">
        <f aca="false">$G6409*'Analyse capacite'!$D$9</f>
        <v>12</v>
      </c>
      <c r="K6409" s="135" t="n">
        <f aca="false">$G6409*'Analyse capacite'!$E$9</f>
        <v>162</v>
      </c>
    </row>
    <row r="6410" customFormat="false" ht="15" hidden="false" customHeight="false" outlineLevel="0" collapsed="false">
      <c r="B6410" s="130" t="n">
        <v>2027</v>
      </c>
      <c r="C6410" s="131" t="s">
        <v>251</v>
      </c>
      <c r="D6410" s="132" t="n">
        <v>46655</v>
      </c>
      <c r="E6410" s="131" t="s">
        <v>62</v>
      </c>
      <c r="F6410" s="133" t="s">
        <v>11</v>
      </c>
      <c r="G6410" s="134" t="n">
        <f aca="false">LEN('Saisie programme'!$I$241)+SUMIFS('Vols additionnels'!$E$7:$E$66,'Vols additionnels'!$C$7:$C$66,$E6410,'Vols additionnels'!$D$7:$D$66,$F6410,'Vols additionnels'!$B$7:$B$66,$D6410)</f>
        <v>0</v>
      </c>
      <c r="H6410" s="135" t="n">
        <f aca="false">$G6410*'Analyse capacite'!$F$7</f>
        <v>0</v>
      </c>
      <c r="I6410" s="135" t="n">
        <f aca="false">$G6410*'Analyse capacite'!$C$7</f>
        <v>0</v>
      </c>
      <c r="J6410" s="135" t="n">
        <f aca="false">$G6410*'Analyse capacite'!$D$7</f>
        <v>0</v>
      </c>
      <c r="K6410" s="135" t="n">
        <f aca="false">$G6410*'Analyse capacite'!$E$7</f>
        <v>0</v>
      </c>
    </row>
    <row r="6411" customFormat="false" ht="15" hidden="false" customHeight="false" outlineLevel="0" collapsed="false">
      <c r="B6411" s="130" t="n">
        <v>2027</v>
      </c>
      <c r="C6411" s="131" t="s">
        <v>251</v>
      </c>
      <c r="D6411" s="132" t="n">
        <v>46655</v>
      </c>
      <c r="E6411" s="131" t="s">
        <v>62</v>
      </c>
      <c r="F6411" s="133" t="s">
        <v>19</v>
      </c>
      <c r="G6411" s="134" t="n">
        <f aca="false">LEN('Saisie programme'!$I$242)+SUMIFS('Vols additionnels'!$E$7:$E$66,'Vols additionnels'!$C$7:$C$66,$E6411,'Vols additionnels'!$D$7:$D$66,$F6411,'Vols additionnels'!$B$7:$B$66,$D6411)</f>
        <v>0</v>
      </c>
      <c r="H6411" s="135" t="n">
        <f aca="false">$G6411*'Analyse capacite'!$F$8</f>
        <v>0</v>
      </c>
      <c r="I6411" s="135" t="n">
        <f aca="false">$G6411*'Analyse capacite'!$C$8</f>
        <v>0</v>
      </c>
      <c r="J6411" s="135" t="n">
        <f aca="false">$G6411*'Analyse capacite'!$D$8</f>
        <v>0</v>
      </c>
      <c r="K6411" s="135" t="n">
        <f aca="false">$G6411*'Analyse capacite'!$E$8</f>
        <v>0</v>
      </c>
    </row>
    <row r="6412" customFormat="false" ht="15" hidden="false" customHeight="false" outlineLevel="0" collapsed="false">
      <c r="B6412" s="130" t="n">
        <v>2027</v>
      </c>
      <c r="C6412" s="131" t="s">
        <v>251</v>
      </c>
      <c r="D6412" s="132" t="n">
        <v>46655</v>
      </c>
      <c r="E6412" s="131" t="s">
        <v>62</v>
      </c>
      <c r="F6412" s="133" t="s">
        <v>24</v>
      </c>
      <c r="G6412" s="134" t="n">
        <f aca="false">LEN('Saisie programme'!$I$243)+SUMIFS('Vols additionnels'!$E$7:$E$66,'Vols additionnels'!$C$7:$C$66,$E6412,'Vols additionnels'!$D$7:$D$66,$F6412,'Vols additionnels'!$B$7:$B$66,$D6412)</f>
        <v>0</v>
      </c>
      <c r="H6412" s="135" t="n">
        <f aca="false">$G6412*'Analyse capacite'!$F$9</f>
        <v>0</v>
      </c>
      <c r="I6412" s="135" t="n">
        <f aca="false">$G6412*'Analyse capacite'!$C$9</f>
        <v>0</v>
      </c>
      <c r="J6412" s="135" t="n">
        <f aca="false">$G6412*'Analyse capacite'!$D$9</f>
        <v>0</v>
      </c>
      <c r="K6412" s="135" t="n">
        <f aca="false">$G6412*'Analyse capacite'!$E$9</f>
        <v>0</v>
      </c>
    </row>
    <row r="6413" customFormat="false" ht="15" hidden="false" customHeight="false" outlineLevel="0" collapsed="false">
      <c r="B6413" s="130" t="n">
        <v>2027</v>
      </c>
      <c r="C6413" s="131" t="s">
        <v>251</v>
      </c>
      <c r="D6413" s="132" t="n">
        <v>46656</v>
      </c>
      <c r="E6413" s="131" t="s">
        <v>12</v>
      </c>
      <c r="F6413" s="133" t="s">
        <v>11</v>
      </c>
      <c r="G6413" s="134" t="n">
        <f aca="false">LEN('Saisie programme'!$J$208)+SUMIFS('Vols additionnels'!$E$7:$E$66,'Vols additionnels'!$C$7:$C$66,$E6413,'Vols additionnels'!$D$7:$D$66,$F6413,'Vols additionnels'!$B$7:$B$66,$D6413)</f>
        <v>1</v>
      </c>
      <c r="H6413" s="135" t="n">
        <f aca="false">$G6413*'Analyse capacite'!$F$7</f>
        <v>438</v>
      </c>
      <c r="I6413" s="135" t="n">
        <f aca="false">$G6413*'Analyse capacite'!$C$7</f>
        <v>14</v>
      </c>
      <c r="J6413" s="135" t="n">
        <f aca="false">$G6413*'Analyse capacite'!$D$7</f>
        <v>40</v>
      </c>
      <c r="K6413" s="135" t="n">
        <f aca="false">$G6413*'Analyse capacite'!$E$7</f>
        <v>384</v>
      </c>
    </row>
    <row r="6414" customFormat="false" ht="15" hidden="false" customHeight="false" outlineLevel="0" collapsed="false">
      <c r="B6414" s="130" t="n">
        <v>2027</v>
      </c>
      <c r="C6414" s="131" t="s">
        <v>251</v>
      </c>
      <c r="D6414" s="132" t="n">
        <v>46656</v>
      </c>
      <c r="E6414" s="131" t="s">
        <v>12</v>
      </c>
      <c r="F6414" s="133" t="s">
        <v>19</v>
      </c>
      <c r="G6414" s="134" t="n">
        <f aca="false">LEN('Saisie programme'!$J$209)+SUMIFS('Vols additionnels'!$E$7:$E$66,'Vols additionnels'!$C$7:$C$66,$E6414,'Vols additionnels'!$D$7:$D$66,$F6414,'Vols additionnels'!$B$7:$B$66,$D6414)</f>
        <v>0</v>
      </c>
      <c r="H6414" s="135" t="n">
        <f aca="false">$G6414*'Analyse capacite'!$F$8</f>
        <v>0</v>
      </c>
      <c r="I6414" s="135" t="n">
        <f aca="false">$G6414*'Analyse capacite'!$C$8</f>
        <v>0</v>
      </c>
      <c r="J6414" s="135" t="n">
        <f aca="false">$G6414*'Analyse capacite'!$D$8</f>
        <v>0</v>
      </c>
      <c r="K6414" s="135" t="n">
        <f aca="false">$G6414*'Analyse capacite'!$E$8</f>
        <v>0</v>
      </c>
    </row>
    <row r="6415" customFormat="false" ht="15" hidden="false" customHeight="false" outlineLevel="0" collapsed="false">
      <c r="B6415" s="130" t="n">
        <v>2027</v>
      </c>
      <c r="C6415" s="131" t="s">
        <v>251</v>
      </c>
      <c r="D6415" s="132" t="n">
        <v>46656</v>
      </c>
      <c r="E6415" s="131" t="s">
        <v>12</v>
      </c>
      <c r="F6415" s="133" t="s">
        <v>24</v>
      </c>
      <c r="G6415" s="134" t="n">
        <f aca="false">LEN('Saisie programme'!$J$210)+SUMIFS('Vols additionnels'!$E$7:$E$66,'Vols additionnels'!$C$7:$C$66,$E6415,'Vols additionnels'!$D$7:$D$66,$F6415,'Vols additionnels'!$B$7:$B$66,$D6415)</f>
        <v>0</v>
      </c>
      <c r="H6415" s="135" t="n">
        <f aca="false">$G6415*'Analyse capacite'!$F$9</f>
        <v>0</v>
      </c>
      <c r="I6415" s="135" t="n">
        <f aca="false">$G6415*'Analyse capacite'!$C$9</f>
        <v>0</v>
      </c>
      <c r="J6415" s="135" t="n">
        <f aca="false">$G6415*'Analyse capacite'!$D$9</f>
        <v>0</v>
      </c>
      <c r="K6415" s="135" t="n">
        <f aca="false">$G6415*'Analyse capacite'!$E$9</f>
        <v>0</v>
      </c>
    </row>
    <row r="6416" customFormat="false" ht="15" hidden="false" customHeight="false" outlineLevel="0" collapsed="false">
      <c r="B6416" s="130" t="n">
        <v>2027</v>
      </c>
      <c r="C6416" s="131" t="s">
        <v>251</v>
      </c>
      <c r="D6416" s="132" t="n">
        <v>46656</v>
      </c>
      <c r="E6416" s="131" t="s">
        <v>20</v>
      </c>
      <c r="F6416" s="133" t="s">
        <v>11</v>
      </c>
      <c r="G6416" s="134" t="n">
        <f aca="false">LEN('Saisie programme'!$J$211)+SUMIFS('Vols additionnels'!$E$7:$E$66,'Vols additionnels'!$C$7:$C$66,$E6416,'Vols additionnels'!$D$7:$D$66,$F6416,'Vols additionnels'!$B$7:$B$66,$D6416)</f>
        <v>1</v>
      </c>
      <c r="H6416" s="135" t="n">
        <f aca="false">$G6416*'Analyse capacite'!$F$7</f>
        <v>438</v>
      </c>
      <c r="I6416" s="135" t="n">
        <f aca="false">$G6416*'Analyse capacite'!$C$7</f>
        <v>14</v>
      </c>
      <c r="J6416" s="135" t="n">
        <f aca="false">$G6416*'Analyse capacite'!$D$7</f>
        <v>40</v>
      </c>
      <c r="K6416" s="135" t="n">
        <f aca="false">$G6416*'Analyse capacite'!$E$7</f>
        <v>384</v>
      </c>
    </row>
    <row r="6417" customFormat="false" ht="15" hidden="false" customHeight="false" outlineLevel="0" collapsed="false">
      <c r="B6417" s="130" t="n">
        <v>2027</v>
      </c>
      <c r="C6417" s="131" t="s">
        <v>251</v>
      </c>
      <c r="D6417" s="132" t="n">
        <v>46656</v>
      </c>
      <c r="E6417" s="131" t="s">
        <v>20</v>
      </c>
      <c r="F6417" s="133" t="s">
        <v>19</v>
      </c>
      <c r="G6417" s="134" t="n">
        <f aca="false">LEN('Saisie programme'!$J$212)+SUMIFS('Vols additionnels'!$E$7:$E$66,'Vols additionnels'!$C$7:$C$66,$E6417,'Vols additionnels'!$D$7:$D$66,$F6417,'Vols additionnels'!$B$7:$B$66,$D6417)</f>
        <v>0</v>
      </c>
      <c r="H6417" s="135" t="n">
        <f aca="false">$G6417*'Analyse capacite'!$F$8</f>
        <v>0</v>
      </c>
      <c r="I6417" s="135" t="n">
        <f aca="false">$G6417*'Analyse capacite'!$C$8</f>
        <v>0</v>
      </c>
      <c r="J6417" s="135" t="n">
        <f aca="false">$G6417*'Analyse capacite'!$D$8</f>
        <v>0</v>
      </c>
      <c r="K6417" s="135" t="n">
        <f aca="false">$G6417*'Analyse capacite'!$E$8</f>
        <v>0</v>
      </c>
    </row>
    <row r="6418" customFormat="false" ht="15" hidden="false" customHeight="false" outlineLevel="0" collapsed="false">
      <c r="B6418" s="130" t="n">
        <v>2027</v>
      </c>
      <c r="C6418" s="131" t="s">
        <v>251</v>
      </c>
      <c r="D6418" s="132" t="n">
        <v>46656</v>
      </c>
      <c r="E6418" s="131" t="s">
        <v>20</v>
      </c>
      <c r="F6418" s="133" t="s">
        <v>24</v>
      </c>
      <c r="G6418" s="134" t="n">
        <f aca="false">LEN('Saisie programme'!$J$213)+SUMIFS('Vols additionnels'!$E$7:$E$66,'Vols additionnels'!$C$7:$C$66,$E6418,'Vols additionnels'!$D$7:$D$66,$F6418,'Vols additionnels'!$B$7:$B$66,$D6418)</f>
        <v>0</v>
      </c>
      <c r="H6418" s="135" t="n">
        <f aca="false">$G6418*'Analyse capacite'!$F$9</f>
        <v>0</v>
      </c>
      <c r="I6418" s="135" t="n">
        <f aca="false">$G6418*'Analyse capacite'!$C$9</f>
        <v>0</v>
      </c>
      <c r="J6418" s="135" t="n">
        <f aca="false">$G6418*'Analyse capacite'!$D$9</f>
        <v>0</v>
      </c>
      <c r="K6418" s="135" t="n">
        <f aca="false">$G6418*'Analyse capacite'!$E$9</f>
        <v>0</v>
      </c>
    </row>
    <row r="6419" customFormat="false" ht="15" hidden="false" customHeight="false" outlineLevel="0" collapsed="false">
      <c r="B6419" s="130" t="n">
        <v>2027</v>
      </c>
      <c r="C6419" s="131" t="s">
        <v>251</v>
      </c>
      <c r="D6419" s="132" t="n">
        <v>46656</v>
      </c>
      <c r="E6419" s="131" t="s">
        <v>25</v>
      </c>
      <c r="F6419" s="133" t="s">
        <v>11</v>
      </c>
      <c r="G6419" s="134" t="n">
        <f aca="false">LEN('Saisie programme'!$J$214)+SUMIFS('Vols additionnels'!$E$7:$E$66,'Vols additionnels'!$C$7:$C$66,$E6419,'Vols additionnels'!$D$7:$D$66,$F6419,'Vols additionnels'!$B$7:$B$66,$D6419)</f>
        <v>0</v>
      </c>
      <c r="H6419" s="135" t="n">
        <f aca="false">$G6419*'Analyse capacite'!$F$7</f>
        <v>0</v>
      </c>
      <c r="I6419" s="135" t="n">
        <f aca="false">$G6419*'Analyse capacite'!$C$7</f>
        <v>0</v>
      </c>
      <c r="J6419" s="135" t="n">
        <f aca="false">$G6419*'Analyse capacite'!$D$7</f>
        <v>0</v>
      </c>
      <c r="K6419" s="135" t="n">
        <f aca="false">$G6419*'Analyse capacite'!$E$7</f>
        <v>0</v>
      </c>
    </row>
    <row r="6420" customFormat="false" ht="15" hidden="false" customHeight="false" outlineLevel="0" collapsed="false">
      <c r="B6420" s="130" t="n">
        <v>2027</v>
      </c>
      <c r="C6420" s="131" t="s">
        <v>251</v>
      </c>
      <c r="D6420" s="132" t="n">
        <v>46656</v>
      </c>
      <c r="E6420" s="131" t="s">
        <v>25</v>
      </c>
      <c r="F6420" s="133" t="s">
        <v>19</v>
      </c>
      <c r="G6420" s="134" t="n">
        <f aca="false">LEN('Saisie programme'!$J$215)+SUMIFS('Vols additionnels'!$E$7:$E$66,'Vols additionnels'!$C$7:$C$66,$E6420,'Vols additionnels'!$D$7:$D$66,$F6420,'Vols additionnels'!$B$7:$B$66,$D6420)</f>
        <v>0</v>
      </c>
      <c r="H6420" s="135" t="n">
        <f aca="false">$G6420*'Analyse capacite'!$F$8</f>
        <v>0</v>
      </c>
      <c r="I6420" s="135" t="n">
        <f aca="false">$G6420*'Analyse capacite'!$C$8</f>
        <v>0</v>
      </c>
      <c r="J6420" s="135" t="n">
        <f aca="false">$G6420*'Analyse capacite'!$D$8</f>
        <v>0</v>
      </c>
      <c r="K6420" s="135" t="n">
        <f aca="false">$G6420*'Analyse capacite'!$E$8</f>
        <v>0</v>
      </c>
    </row>
    <row r="6421" customFormat="false" ht="15" hidden="false" customHeight="false" outlineLevel="0" collapsed="false">
      <c r="B6421" s="130" t="n">
        <v>2027</v>
      </c>
      <c r="C6421" s="131" t="s">
        <v>251</v>
      </c>
      <c r="D6421" s="132" t="n">
        <v>46656</v>
      </c>
      <c r="E6421" s="131" t="s">
        <v>25</v>
      </c>
      <c r="F6421" s="133" t="s">
        <v>24</v>
      </c>
      <c r="G6421" s="134" t="n">
        <f aca="false">LEN('Saisie programme'!$J$216)+SUMIFS('Vols additionnels'!$E$7:$E$66,'Vols additionnels'!$C$7:$C$66,$E6421,'Vols additionnels'!$D$7:$D$66,$F6421,'Vols additionnels'!$B$7:$B$66,$D6421)</f>
        <v>0</v>
      </c>
      <c r="H6421" s="135" t="n">
        <f aca="false">$G6421*'Analyse capacite'!$F$9</f>
        <v>0</v>
      </c>
      <c r="I6421" s="135" t="n">
        <f aca="false">$G6421*'Analyse capacite'!$C$9</f>
        <v>0</v>
      </c>
      <c r="J6421" s="135" t="n">
        <f aca="false">$G6421*'Analyse capacite'!$D$9</f>
        <v>0</v>
      </c>
      <c r="K6421" s="135" t="n">
        <f aca="false">$G6421*'Analyse capacite'!$E$9</f>
        <v>0</v>
      </c>
    </row>
    <row r="6422" customFormat="false" ht="15" hidden="false" customHeight="false" outlineLevel="0" collapsed="false">
      <c r="B6422" s="130" t="n">
        <v>2027</v>
      </c>
      <c r="C6422" s="131" t="s">
        <v>251</v>
      </c>
      <c r="D6422" s="132" t="n">
        <v>46656</v>
      </c>
      <c r="E6422" s="131" t="s">
        <v>36</v>
      </c>
      <c r="F6422" s="133" t="s">
        <v>11</v>
      </c>
      <c r="G6422" s="134" t="n">
        <f aca="false">LEN('Saisie programme'!$J$217)+SUMIFS('Vols additionnels'!$E$7:$E$66,'Vols additionnels'!$C$7:$C$66,$E6422,'Vols additionnels'!$D$7:$D$66,$F6422,'Vols additionnels'!$B$7:$B$66,$D6422)</f>
        <v>0</v>
      </c>
      <c r="H6422" s="135" t="n">
        <f aca="false">$G6422*'Analyse capacite'!$F$7</f>
        <v>0</v>
      </c>
      <c r="I6422" s="135" t="n">
        <f aca="false">$G6422*'Analyse capacite'!$C$7</f>
        <v>0</v>
      </c>
      <c r="J6422" s="135" t="n">
        <f aca="false">$G6422*'Analyse capacite'!$D$7</f>
        <v>0</v>
      </c>
      <c r="K6422" s="135" t="n">
        <f aca="false">$G6422*'Analyse capacite'!$E$7</f>
        <v>0</v>
      </c>
    </row>
    <row r="6423" customFormat="false" ht="15" hidden="false" customHeight="false" outlineLevel="0" collapsed="false">
      <c r="B6423" s="130" t="n">
        <v>2027</v>
      </c>
      <c r="C6423" s="131" t="s">
        <v>251</v>
      </c>
      <c r="D6423" s="132" t="n">
        <v>46656</v>
      </c>
      <c r="E6423" s="131" t="s">
        <v>36</v>
      </c>
      <c r="F6423" s="133" t="s">
        <v>19</v>
      </c>
      <c r="G6423" s="134" t="n">
        <f aca="false">LEN('Saisie programme'!$J$218)+SUMIFS('Vols additionnels'!$E$7:$E$66,'Vols additionnels'!$C$7:$C$66,$E6423,'Vols additionnels'!$D$7:$D$66,$F6423,'Vols additionnels'!$B$7:$B$66,$D6423)</f>
        <v>0</v>
      </c>
      <c r="H6423" s="135" t="n">
        <f aca="false">$G6423*'Analyse capacite'!$F$8</f>
        <v>0</v>
      </c>
      <c r="I6423" s="135" t="n">
        <f aca="false">$G6423*'Analyse capacite'!$C$8</f>
        <v>0</v>
      </c>
      <c r="J6423" s="135" t="n">
        <f aca="false">$G6423*'Analyse capacite'!$D$8</f>
        <v>0</v>
      </c>
      <c r="K6423" s="135" t="n">
        <f aca="false">$G6423*'Analyse capacite'!$E$8</f>
        <v>0</v>
      </c>
    </row>
    <row r="6424" customFormat="false" ht="15" hidden="false" customHeight="false" outlineLevel="0" collapsed="false">
      <c r="B6424" s="130" t="n">
        <v>2027</v>
      </c>
      <c r="C6424" s="131" t="s">
        <v>251</v>
      </c>
      <c r="D6424" s="132" t="n">
        <v>46656</v>
      </c>
      <c r="E6424" s="131" t="s">
        <v>36</v>
      </c>
      <c r="F6424" s="133" t="s">
        <v>24</v>
      </c>
      <c r="G6424" s="134" t="n">
        <f aca="false">LEN('Saisie programme'!$J$219)+SUMIFS('Vols additionnels'!$E$7:$E$66,'Vols additionnels'!$C$7:$C$66,$E6424,'Vols additionnels'!$D$7:$D$66,$F6424,'Vols additionnels'!$B$7:$B$66,$D6424)</f>
        <v>0</v>
      </c>
      <c r="H6424" s="135" t="n">
        <f aca="false">$G6424*'Analyse capacite'!$F$9</f>
        <v>0</v>
      </c>
      <c r="I6424" s="135" t="n">
        <f aca="false">$G6424*'Analyse capacite'!$C$9</f>
        <v>0</v>
      </c>
      <c r="J6424" s="135" t="n">
        <f aca="false">$G6424*'Analyse capacite'!$D$9</f>
        <v>0</v>
      </c>
      <c r="K6424" s="135" t="n">
        <f aca="false">$G6424*'Analyse capacite'!$E$9</f>
        <v>0</v>
      </c>
    </row>
    <row r="6425" customFormat="false" ht="15" hidden="false" customHeight="false" outlineLevel="0" collapsed="false">
      <c r="B6425" s="130" t="n">
        <v>2027</v>
      </c>
      <c r="C6425" s="131" t="s">
        <v>251</v>
      </c>
      <c r="D6425" s="132" t="n">
        <v>46656</v>
      </c>
      <c r="E6425" s="131" t="s">
        <v>40</v>
      </c>
      <c r="F6425" s="133" t="s">
        <v>11</v>
      </c>
      <c r="G6425" s="134" t="n">
        <f aca="false">LEN('Saisie programme'!$J$220)+SUMIFS('Vols additionnels'!$E$7:$E$66,'Vols additionnels'!$C$7:$C$66,$E6425,'Vols additionnels'!$D$7:$D$66,$F6425,'Vols additionnels'!$B$7:$B$66,$D6425)</f>
        <v>0</v>
      </c>
      <c r="H6425" s="135" t="n">
        <f aca="false">$G6425*'Analyse capacite'!$F$7</f>
        <v>0</v>
      </c>
      <c r="I6425" s="135" t="n">
        <f aca="false">$G6425*'Analyse capacite'!$C$7</f>
        <v>0</v>
      </c>
      <c r="J6425" s="135" t="n">
        <f aca="false">$G6425*'Analyse capacite'!$D$7</f>
        <v>0</v>
      </c>
      <c r="K6425" s="135" t="n">
        <f aca="false">$G6425*'Analyse capacite'!$E$7</f>
        <v>0</v>
      </c>
    </row>
    <row r="6426" customFormat="false" ht="15" hidden="false" customHeight="false" outlineLevel="0" collapsed="false">
      <c r="B6426" s="130" t="n">
        <v>2027</v>
      </c>
      <c r="C6426" s="131" t="s">
        <v>251</v>
      </c>
      <c r="D6426" s="132" t="n">
        <v>46656</v>
      </c>
      <c r="E6426" s="131" t="s">
        <v>40</v>
      </c>
      <c r="F6426" s="133" t="s">
        <v>19</v>
      </c>
      <c r="G6426" s="134" t="n">
        <f aca="false">LEN('Saisie programme'!$J$221)+SUMIFS('Vols additionnels'!$E$7:$E$66,'Vols additionnels'!$C$7:$C$66,$E6426,'Vols additionnels'!$D$7:$D$66,$F6426,'Vols additionnels'!$B$7:$B$66,$D6426)</f>
        <v>0</v>
      </c>
      <c r="H6426" s="135" t="n">
        <f aca="false">$G6426*'Analyse capacite'!$F$8</f>
        <v>0</v>
      </c>
      <c r="I6426" s="135" t="n">
        <f aca="false">$G6426*'Analyse capacite'!$C$8</f>
        <v>0</v>
      </c>
      <c r="J6426" s="135" t="n">
        <f aca="false">$G6426*'Analyse capacite'!$D$8</f>
        <v>0</v>
      </c>
      <c r="K6426" s="135" t="n">
        <f aca="false">$G6426*'Analyse capacite'!$E$8</f>
        <v>0</v>
      </c>
    </row>
    <row r="6427" customFormat="false" ht="15" hidden="false" customHeight="false" outlineLevel="0" collapsed="false">
      <c r="B6427" s="130" t="n">
        <v>2027</v>
      </c>
      <c r="C6427" s="131" t="s">
        <v>251</v>
      </c>
      <c r="D6427" s="132" t="n">
        <v>46656</v>
      </c>
      <c r="E6427" s="131" t="s">
        <v>40</v>
      </c>
      <c r="F6427" s="133" t="s">
        <v>24</v>
      </c>
      <c r="G6427" s="134" t="n">
        <f aca="false">LEN('Saisie programme'!$J$222)+SUMIFS('Vols additionnels'!$E$7:$E$66,'Vols additionnels'!$C$7:$C$66,$E6427,'Vols additionnels'!$D$7:$D$66,$F6427,'Vols additionnels'!$B$7:$B$66,$D6427)</f>
        <v>1</v>
      </c>
      <c r="H6427" s="135" t="n">
        <f aca="false">$G6427*'Analyse capacite'!$F$9</f>
        <v>174</v>
      </c>
      <c r="I6427" s="135" t="n">
        <f aca="false">$G6427*'Analyse capacite'!$C$9</f>
        <v>0</v>
      </c>
      <c r="J6427" s="135" t="n">
        <f aca="false">$G6427*'Analyse capacite'!$D$9</f>
        <v>12</v>
      </c>
      <c r="K6427" s="135" t="n">
        <f aca="false">$G6427*'Analyse capacite'!$E$9</f>
        <v>162</v>
      </c>
    </row>
    <row r="6428" customFormat="false" ht="15" hidden="false" customHeight="false" outlineLevel="0" collapsed="false">
      <c r="B6428" s="130" t="n">
        <v>2027</v>
      </c>
      <c r="C6428" s="131" t="s">
        <v>251</v>
      </c>
      <c r="D6428" s="132" t="n">
        <v>46656</v>
      </c>
      <c r="E6428" s="131" t="s">
        <v>14</v>
      </c>
      <c r="F6428" s="133" t="s">
        <v>11</v>
      </c>
      <c r="G6428" s="134" t="n">
        <f aca="false">LEN('Saisie programme'!$J$223)+SUMIFS('Vols additionnels'!$E$7:$E$66,'Vols additionnels'!$C$7:$C$66,$E6428,'Vols additionnels'!$D$7:$D$66,$F6428,'Vols additionnels'!$B$7:$B$66,$D6428)</f>
        <v>0</v>
      </c>
      <c r="H6428" s="135" t="n">
        <f aca="false">$G6428*'Analyse capacite'!$F$7</f>
        <v>0</v>
      </c>
      <c r="I6428" s="135" t="n">
        <f aca="false">$G6428*'Analyse capacite'!$C$7</f>
        <v>0</v>
      </c>
      <c r="J6428" s="135" t="n">
        <f aca="false">$G6428*'Analyse capacite'!$D$7</f>
        <v>0</v>
      </c>
      <c r="K6428" s="135" t="n">
        <f aca="false">$G6428*'Analyse capacite'!$E$7</f>
        <v>0</v>
      </c>
    </row>
    <row r="6429" customFormat="false" ht="15" hidden="false" customHeight="false" outlineLevel="0" collapsed="false">
      <c r="B6429" s="130" t="n">
        <v>2027</v>
      </c>
      <c r="C6429" s="131" t="s">
        <v>251</v>
      </c>
      <c r="D6429" s="132" t="n">
        <v>46656</v>
      </c>
      <c r="E6429" s="131" t="s">
        <v>14</v>
      </c>
      <c r="F6429" s="133" t="s">
        <v>19</v>
      </c>
      <c r="G6429" s="134" t="n">
        <f aca="false">LEN('Saisie programme'!$J$224)+SUMIFS('Vols additionnels'!$E$7:$E$66,'Vols additionnels'!$C$7:$C$66,$E6429,'Vols additionnels'!$D$7:$D$66,$F6429,'Vols additionnels'!$B$7:$B$66,$D6429)</f>
        <v>0</v>
      </c>
      <c r="H6429" s="135" t="n">
        <f aca="false">$G6429*'Analyse capacite'!$F$8</f>
        <v>0</v>
      </c>
      <c r="I6429" s="135" t="n">
        <f aca="false">$G6429*'Analyse capacite'!$C$8</f>
        <v>0</v>
      </c>
      <c r="J6429" s="135" t="n">
        <f aca="false">$G6429*'Analyse capacite'!$D$8</f>
        <v>0</v>
      </c>
      <c r="K6429" s="135" t="n">
        <f aca="false">$G6429*'Analyse capacite'!$E$8</f>
        <v>0</v>
      </c>
    </row>
    <row r="6430" customFormat="false" ht="15" hidden="false" customHeight="false" outlineLevel="0" collapsed="false">
      <c r="B6430" s="130" t="n">
        <v>2027</v>
      </c>
      <c r="C6430" s="131" t="s">
        <v>251</v>
      </c>
      <c r="D6430" s="132" t="n">
        <v>46656</v>
      </c>
      <c r="E6430" s="131" t="s">
        <v>14</v>
      </c>
      <c r="F6430" s="133" t="s">
        <v>24</v>
      </c>
      <c r="G6430" s="134" t="n">
        <f aca="false">LEN('Saisie programme'!$J$225)+SUMIFS('Vols additionnels'!$E$7:$E$66,'Vols additionnels'!$C$7:$C$66,$E6430,'Vols additionnels'!$D$7:$D$66,$F6430,'Vols additionnels'!$B$7:$B$66,$D6430)</f>
        <v>0</v>
      </c>
      <c r="H6430" s="135" t="n">
        <f aca="false">$G6430*'Analyse capacite'!$F$9</f>
        <v>0</v>
      </c>
      <c r="I6430" s="135" t="n">
        <f aca="false">$G6430*'Analyse capacite'!$C$9</f>
        <v>0</v>
      </c>
      <c r="J6430" s="135" t="n">
        <f aca="false">$G6430*'Analyse capacite'!$D$9</f>
        <v>0</v>
      </c>
      <c r="K6430" s="135" t="n">
        <f aca="false">$G6430*'Analyse capacite'!$E$9</f>
        <v>0</v>
      </c>
    </row>
    <row r="6431" customFormat="false" ht="15" hidden="false" customHeight="false" outlineLevel="0" collapsed="false">
      <c r="B6431" s="130" t="n">
        <v>2027</v>
      </c>
      <c r="C6431" s="131" t="s">
        <v>251</v>
      </c>
      <c r="D6431" s="132" t="n">
        <v>46656</v>
      </c>
      <c r="E6431" s="131" t="s">
        <v>46</v>
      </c>
      <c r="F6431" s="133" t="s">
        <v>11</v>
      </c>
      <c r="G6431" s="134" t="n">
        <f aca="false">LEN('Saisie programme'!$J$226)+SUMIFS('Vols additionnels'!$E$7:$E$66,'Vols additionnels'!$C$7:$C$66,$E6431,'Vols additionnels'!$D$7:$D$66,$F6431,'Vols additionnels'!$B$7:$B$66,$D6431)</f>
        <v>0</v>
      </c>
      <c r="H6431" s="135" t="n">
        <f aca="false">$G6431*'Analyse capacite'!$F$7</f>
        <v>0</v>
      </c>
      <c r="I6431" s="135" t="n">
        <f aca="false">$G6431*'Analyse capacite'!$C$7</f>
        <v>0</v>
      </c>
      <c r="J6431" s="135" t="n">
        <f aca="false">$G6431*'Analyse capacite'!$D$7</f>
        <v>0</v>
      </c>
      <c r="K6431" s="135" t="n">
        <f aca="false">$G6431*'Analyse capacite'!$E$7</f>
        <v>0</v>
      </c>
    </row>
    <row r="6432" customFormat="false" ht="15" hidden="false" customHeight="false" outlineLevel="0" collapsed="false">
      <c r="B6432" s="130" t="n">
        <v>2027</v>
      </c>
      <c r="C6432" s="131" t="s">
        <v>251</v>
      </c>
      <c r="D6432" s="132" t="n">
        <v>46656</v>
      </c>
      <c r="E6432" s="131" t="s">
        <v>46</v>
      </c>
      <c r="F6432" s="133" t="s">
        <v>19</v>
      </c>
      <c r="G6432" s="134" t="n">
        <f aca="false">LEN('Saisie programme'!$J$227)+SUMIFS('Vols additionnels'!$E$7:$E$66,'Vols additionnels'!$C$7:$C$66,$E6432,'Vols additionnels'!$D$7:$D$66,$F6432,'Vols additionnels'!$B$7:$B$66,$D6432)</f>
        <v>0</v>
      </c>
      <c r="H6432" s="135" t="n">
        <f aca="false">$G6432*'Analyse capacite'!$F$8</f>
        <v>0</v>
      </c>
      <c r="I6432" s="135" t="n">
        <f aca="false">$G6432*'Analyse capacite'!$C$8</f>
        <v>0</v>
      </c>
      <c r="J6432" s="135" t="n">
        <f aca="false">$G6432*'Analyse capacite'!$D$8</f>
        <v>0</v>
      </c>
      <c r="K6432" s="135" t="n">
        <f aca="false">$G6432*'Analyse capacite'!$E$8</f>
        <v>0</v>
      </c>
    </row>
    <row r="6433" customFormat="false" ht="15" hidden="false" customHeight="false" outlineLevel="0" collapsed="false">
      <c r="B6433" s="130" t="n">
        <v>2027</v>
      </c>
      <c r="C6433" s="131" t="s">
        <v>251</v>
      </c>
      <c r="D6433" s="132" t="n">
        <v>46656</v>
      </c>
      <c r="E6433" s="131" t="s">
        <v>46</v>
      </c>
      <c r="F6433" s="133" t="s">
        <v>24</v>
      </c>
      <c r="G6433" s="134" t="n">
        <f aca="false">LEN('Saisie programme'!$J$228)+SUMIFS('Vols additionnels'!$E$7:$E$66,'Vols additionnels'!$C$7:$C$66,$E6433,'Vols additionnels'!$D$7:$D$66,$F6433,'Vols additionnels'!$B$7:$B$66,$D6433)</f>
        <v>0</v>
      </c>
      <c r="H6433" s="135" t="n">
        <f aca="false">$G6433*'Analyse capacite'!$F$9</f>
        <v>0</v>
      </c>
      <c r="I6433" s="135" t="n">
        <f aca="false">$G6433*'Analyse capacite'!$C$9</f>
        <v>0</v>
      </c>
      <c r="J6433" s="135" t="n">
        <f aca="false">$G6433*'Analyse capacite'!$D$9</f>
        <v>0</v>
      </c>
      <c r="K6433" s="135" t="n">
        <f aca="false">$G6433*'Analyse capacite'!$E$9</f>
        <v>0</v>
      </c>
    </row>
    <row r="6434" customFormat="false" ht="15" hidden="false" customHeight="false" outlineLevel="0" collapsed="false">
      <c r="B6434" s="130" t="n">
        <v>2027</v>
      </c>
      <c r="C6434" s="131" t="s">
        <v>251</v>
      </c>
      <c r="D6434" s="132" t="n">
        <v>46656</v>
      </c>
      <c r="E6434" s="131" t="s">
        <v>49</v>
      </c>
      <c r="F6434" s="133" t="s">
        <v>11</v>
      </c>
      <c r="G6434" s="134" t="n">
        <f aca="false">LEN('Saisie programme'!$J$229)+SUMIFS('Vols additionnels'!$E$7:$E$66,'Vols additionnels'!$C$7:$C$66,$E6434,'Vols additionnels'!$D$7:$D$66,$F6434,'Vols additionnels'!$B$7:$B$66,$D6434)</f>
        <v>0</v>
      </c>
      <c r="H6434" s="135" t="n">
        <f aca="false">$G6434*'Analyse capacite'!$F$7</f>
        <v>0</v>
      </c>
      <c r="I6434" s="135" t="n">
        <f aca="false">$G6434*'Analyse capacite'!$C$7</f>
        <v>0</v>
      </c>
      <c r="J6434" s="135" t="n">
        <f aca="false">$G6434*'Analyse capacite'!$D$7</f>
        <v>0</v>
      </c>
      <c r="K6434" s="135" t="n">
        <f aca="false">$G6434*'Analyse capacite'!$E$7</f>
        <v>0</v>
      </c>
    </row>
    <row r="6435" customFormat="false" ht="15" hidden="false" customHeight="false" outlineLevel="0" collapsed="false">
      <c r="B6435" s="130" t="n">
        <v>2027</v>
      </c>
      <c r="C6435" s="131" t="s">
        <v>251</v>
      </c>
      <c r="D6435" s="132" t="n">
        <v>46656</v>
      </c>
      <c r="E6435" s="131" t="s">
        <v>49</v>
      </c>
      <c r="F6435" s="133" t="s">
        <v>19</v>
      </c>
      <c r="G6435" s="134" t="n">
        <f aca="false">LEN('Saisie programme'!$J$230)+SUMIFS('Vols additionnels'!$E$7:$E$66,'Vols additionnels'!$C$7:$C$66,$E6435,'Vols additionnels'!$D$7:$D$66,$F6435,'Vols additionnels'!$B$7:$B$66,$D6435)</f>
        <v>0</v>
      </c>
      <c r="H6435" s="135" t="n">
        <f aca="false">$G6435*'Analyse capacite'!$F$8</f>
        <v>0</v>
      </c>
      <c r="I6435" s="135" t="n">
        <f aca="false">$G6435*'Analyse capacite'!$C$8</f>
        <v>0</v>
      </c>
      <c r="J6435" s="135" t="n">
        <f aca="false">$G6435*'Analyse capacite'!$D$8</f>
        <v>0</v>
      </c>
      <c r="K6435" s="135" t="n">
        <f aca="false">$G6435*'Analyse capacite'!$E$8</f>
        <v>0</v>
      </c>
    </row>
    <row r="6436" customFormat="false" ht="15" hidden="false" customHeight="false" outlineLevel="0" collapsed="false">
      <c r="B6436" s="130" t="n">
        <v>2027</v>
      </c>
      <c r="C6436" s="131" t="s">
        <v>251</v>
      </c>
      <c r="D6436" s="132" t="n">
        <v>46656</v>
      </c>
      <c r="E6436" s="131" t="s">
        <v>49</v>
      </c>
      <c r="F6436" s="133" t="s">
        <v>24</v>
      </c>
      <c r="G6436" s="134" t="n">
        <f aca="false">LEN('Saisie programme'!$J$231)+SUMIFS('Vols additionnels'!$E$7:$E$66,'Vols additionnels'!$C$7:$C$66,$E6436,'Vols additionnels'!$D$7:$D$66,$F6436,'Vols additionnels'!$B$7:$B$66,$D6436)</f>
        <v>0</v>
      </c>
      <c r="H6436" s="135" t="n">
        <f aca="false">$G6436*'Analyse capacite'!$F$9</f>
        <v>0</v>
      </c>
      <c r="I6436" s="135" t="n">
        <f aca="false">$G6436*'Analyse capacite'!$C$9</f>
        <v>0</v>
      </c>
      <c r="J6436" s="135" t="n">
        <f aca="false">$G6436*'Analyse capacite'!$D$9</f>
        <v>0</v>
      </c>
      <c r="K6436" s="135" t="n">
        <f aca="false">$G6436*'Analyse capacite'!$E$9</f>
        <v>0</v>
      </c>
    </row>
    <row r="6437" customFormat="false" ht="15" hidden="false" customHeight="false" outlineLevel="0" collapsed="false">
      <c r="B6437" s="130" t="n">
        <v>2027</v>
      </c>
      <c r="C6437" s="131" t="s">
        <v>251</v>
      </c>
      <c r="D6437" s="132" t="n">
        <v>46656</v>
      </c>
      <c r="E6437" s="131" t="s">
        <v>53</v>
      </c>
      <c r="F6437" s="133" t="s">
        <v>11</v>
      </c>
      <c r="G6437" s="134" t="n">
        <f aca="false">LEN('Saisie programme'!$J$232)+SUMIFS('Vols additionnels'!$E$7:$E$66,'Vols additionnels'!$C$7:$C$66,$E6437,'Vols additionnels'!$D$7:$D$66,$F6437,'Vols additionnels'!$B$7:$B$66,$D6437)</f>
        <v>0</v>
      </c>
      <c r="H6437" s="135" t="n">
        <f aca="false">$G6437*'Analyse capacite'!$F$7</f>
        <v>0</v>
      </c>
      <c r="I6437" s="135" t="n">
        <f aca="false">$G6437*'Analyse capacite'!$C$7</f>
        <v>0</v>
      </c>
      <c r="J6437" s="135" t="n">
        <f aca="false">$G6437*'Analyse capacite'!$D$7</f>
        <v>0</v>
      </c>
      <c r="K6437" s="135" t="n">
        <f aca="false">$G6437*'Analyse capacite'!$E$7</f>
        <v>0</v>
      </c>
    </row>
    <row r="6438" customFormat="false" ht="15" hidden="false" customHeight="false" outlineLevel="0" collapsed="false">
      <c r="B6438" s="130" t="n">
        <v>2027</v>
      </c>
      <c r="C6438" s="131" t="s">
        <v>251</v>
      </c>
      <c r="D6438" s="132" t="n">
        <v>46656</v>
      </c>
      <c r="E6438" s="131" t="s">
        <v>53</v>
      </c>
      <c r="F6438" s="133" t="s">
        <v>19</v>
      </c>
      <c r="G6438" s="134" t="n">
        <f aca="false">LEN('Saisie programme'!$J$233)+SUMIFS('Vols additionnels'!$E$7:$E$66,'Vols additionnels'!$C$7:$C$66,$E6438,'Vols additionnels'!$D$7:$D$66,$F6438,'Vols additionnels'!$B$7:$B$66,$D6438)</f>
        <v>0</v>
      </c>
      <c r="H6438" s="135" t="n">
        <f aca="false">$G6438*'Analyse capacite'!$F$8</f>
        <v>0</v>
      </c>
      <c r="I6438" s="135" t="n">
        <f aca="false">$G6438*'Analyse capacite'!$C$8</f>
        <v>0</v>
      </c>
      <c r="J6438" s="135" t="n">
        <f aca="false">$G6438*'Analyse capacite'!$D$8</f>
        <v>0</v>
      </c>
      <c r="K6438" s="135" t="n">
        <f aca="false">$G6438*'Analyse capacite'!$E$8</f>
        <v>0</v>
      </c>
    </row>
    <row r="6439" customFormat="false" ht="15" hidden="false" customHeight="false" outlineLevel="0" collapsed="false">
      <c r="B6439" s="130" t="n">
        <v>2027</v>
      </c>
      <c r="C6439" s="131" t="s">
        <v>251</v>
      </c>
      <c r="D6439" s="132" t="n">
        <v>46656</v>
      </c>
      <c r="E6439" s="131" t="s">
        <v>53</v>
      </c>
      <c r="F6439" s="133" t="s">
        <v>24</v>
      </c>
      <c r="G6439" s="134" t="n">
        <f aca="false">LEN('Saisie programme'!$J$234)+SUMIFS('Vols additionnels'!$E$7:$E$66,'Vols additionnels'!$C$7:$C$66,$E6439,'Vols additionnels'!$D$7:$D$66,$F6439,'Vols additionnels'!$B$7:$B$66,$D6439)</f>
        <v>0</v>
      </c>
      <c r="H6439" s="135" t="n">
        <f aca="false">$G6439*'Analyse capacite'!$F$9</f>
        <v>0</v>
      </c>
      <c r="I6439" s="135" t="n">
        <f aca="false">$G6439*'Analyse capacite'!$C$9</f>
        <v>0</v>
      </c>
      <c r="J6439" s="135" t="n">
        <f aca="false">$G6439*'Analyse capacite'!$D$9</f>
        <v>0</v>
      </c>
      <c r="K6439" s="135" t="n">
        <f aca="false">$G6439*'Analyse capacite'!$E$9</f>
        <v>0</v>
      </c>
    </row>
    <row r="6440" customFormat="false" ht="15" hidden="false" customHeight="false" outlineLevel="0" collapsed="false">
      <c r="B6440" s="130" t="n">
        <v>2027</v>
      </c>
      <c r="C6440" s="131" t="s">
        <v>251</v>
      </c>
      <c r="D6440" s="132" t="n">
        <v>46656</v>
      </c>
      <c r="E6440" s="131" t="s">
        <v>56</v>
      </c>
      <c r="F6440" s="133" t="s">
        <v>11</v>
      </c>
      <c r="G6440" s="134" t="n">
        <f aca="false">LEN('Saisie programme'!$J$235)+SUMIFS('Vols additionnels'!$E$7:$E$66,'Vols additionnels'!$C$7:$C$66,$E6440,'Vols additionnels'!$D$7:$D$66,$F6440,'Vols additionnels'!$B$7:$B$66,$D6440)</f>
        <v>0</v>
      </c>
      <c r="H6440" s="135" t="n">
        <f aca="false">$G6440*'Analyse capacite'!$F$7</f>
        <v>0</v>
      </c>
      <c r="I6440" s="135" t="n">
        <f aca="false">$G6440*'Analyse capacite'!$C$7</f>
        <v>0</v>
      </c>
      <c r="J6440" s="135" t="n">
        <f aca="false">$G6440*'Analyse capacite'!$D$7</f>
        <v>0</v>
      </c>
      <c r="K6440" s="135" t="n">
        <f aca="false">$G6440*'Analyse capacite'!$E$7</f>
        <v>0</v>
      </c>
    </row>
    <row r="6441" customFormat="false" ht="15" hidden="false" customHeight="false" outlineLevel="0" collapsed="false">
      <c r="B6441" s="130" t="n">
        <v>2027</v>
      </c>
      <c r="C6441" s="131" t="s">
        <v>251</v>
      </c>
      <c r="D6441" s="132" t="n">
        <v>46656</v>
      </c>
      <c r="E6441" s="131" t="s">
        <v>56</v>
      </c>
      <c r="F6441" s="133" t="s">
        <v>19</v>
      </c>
      <c r="G6441" s="134" t="n">
        <f aca="false">LEN('Saisie programme'!$J$236)+SUMIFS('Vols additionnels'!$E$7:$E$66,'Vols additionnels'!$C$7:$C$66,$E6441,'Vols additionnels'!$D$7:$D$66,$F6441,'Vols additionnels'!$B$7:$B$66,$D6441)</f>
        <v>0</v>
      </c>
      <c r="H6441" s="135" t="n">
        <f aca="false">$G6441*'Analyse capacite'!$F$8</f>
        <v>0</v>
      </c>
      <c r="I6441" s="135" t="n">
        <f aca="false">$G6441*'Analyse capacite'!$C$8</f>
        <v>0</v>
      </c>
      <c r="J6441" s="135" t="n">
        <f aca="false">$G6441*'Analyse capacite'!$D$8</f>
        <v>0</v>
      </c>
      <c r="K6441" s="135" t="n">
        <f aca="false">$G6441*'Analyse capacite'!$E$8</f>
        <v>0</v>
      </c>
    </row>
    <row r="6442" customFormat="false" ht="15" hidden="false" customHeight="false" outlineLevel="0" collapsed="false">
      <c r="B6442" s="130" t="n">
        <v>2027</v>
      </c>
      <c r="C6442" s="131" t="s">
        <v>251</v>
      </c>
      <c r="D6442" s="132" t="n">
        <v>46656</v>
      </c>
      <c r="E6442" s="131" t="s">
        <v>56</v>
      </c>
      <c r="F6442" s="133" t="s">
        <v>24</v>
      </c>
      <c r="G6442" s="134" t="n">
        <f aca="false">LEN('Saisie programme'!$J$237)+SUMIFS('Vols additionnels'!$E$7:$E$66,'Vols additionnels'!$C$7:$C$66,$E6442,'Vols additionnels'!$D$7:$D$66,$F6442,'Vols additionnels'!$B$7:$B$66,$D6442)</f>
        <v>0</v>
      </c>
      <c r="H6442" s="135" t="n">
        <f aca="false">$G6442*'Analyse capacite'!$F$9</f>
        <v>0</v>
      </c>
      <c r="I6442" s="135" t="n">
        <f aca="false">$G6442*'Analyse capacite'!$C$9</f>
        <v>0</v>
      </c>
      <c r="J6442" s="135" t="n">
        <f aca="false">$G6442*'Analyse capacite'!$D$9</f>
        <v>0</v>
      </c>
      <c r="K6442" s="135" t="n">
        <f aca="false">$G6442*'Analyse capacite'!$E$9</f>
        <v>0</v>
      </c>
    </row>
    <row r="6443" customFormat="false" ht="15" hidden="false" customHeight="false" outlineLevel="0" collapsed="false">
      <c r="B6443" s="130" t="n">
        <v>2027</v>
      </c>
      <c r="C6443" s="131" t="s">
        <v>251</v>
      </c>
      <c r="D6443" s="132" t="n">
        <v>46656</v>
      </c>
      <c r="E6443" s="131" t="s">
        <v>59</v>
      </c>
      <c r="F6443" s="133" t="s">
        <v>11</v>
      </c>
      <c r="G6443" s="134" t="n">
        <f aca="false">LEN('Saisie programme'!$J$238)+SUMIFS('Vols additionnels'!$E$7:$E$66,'Vols additionnels'!$C$7:$C$66,$E6443,'Vols additionnels'!$D$7:$D$66,$F6443,'Vols additionnels'!$B$7:$B$66,$D6443)</f>
        <v>0</v>
      </c>
      <c r="H6443" s="135" t="n">
        <f aca="false">$G6443*'Analyse capacite'!$F$7</f>
        <v>0</v>
      </c>
      <c r="I6443" s="135" t="n">
        <f aca="false">$G6443*'Analyse capacite'!$C$7</f>
        <v>0</v>
      </c>
      <c r="J6443" s="135" t="n">
        <f aca="false">$G6443*'Analyse capacite'!$D$7</f>
        <v>0</v>
      </c>
      <c r="K6443" s="135" t="n">
        <f aca="false">$G6443*'Analyse capacite'!$E$7</f>
        <v>0</v>
      </c>
    </row>
    <row r="6444" customFormat="false" ht="15" hidden="false" customHeight="false" outlineLevel="0" collapsed="false">
      <c r="B6444" s="130" t="n">
        <v>2027</v>
      </c>
      <c r="C6444" s="131" t="s">
        <v>251</v>
      </c>
      <c r="D6444" s="132" t="n">
        <v>46656</v>
      </c>
      <c r="E6444" s="131" t="s">
        <v>59</v>
      </c>
      <c r="F6444" s="133" t="s">
        <v>19</v>
      </c>
      <c r="G6444" s="134" t="n">
        <f aca="false">LEN('Saisie programme'!$J$239)+SUMIFS('Vols additionnels'!$E$7:$E$66,'Vols additionnels'!$C$7:$C$66,$E6444,'Vols additionnels'!$D$7:$D$66,$F6444,'Vols additionnels'!$B$7:$B$66,$D6444)</f>
        <v>0</v>
      </c>
      <c r="H6444" s="135" t="n">
        <f aca="false">$G6444*'Analyse capacite'!$F$8</f>
        <v>0</v>
      </c>
      <c r="I6444" s="135" t="n">
        <f aca="false">$G6444*'Analyse capacite'!$C$8</f>
        <v>0</v>
      </c>
      <c r="J6444" s="135" t="n">
        <f aca="false">$G6444*'Analyse capacite'!$D$8</f>
        <v>0</v>
      </c>
      <c r="K6444" s="135" t="n">
        <f aca="false">$G6444*'Analyse capacite'!$E$8</f>
        <v>0</v>
      </c>
    </row>
    <row r="6445" customFormat="false" ht="15" hidden="false" customHeight="false" outlineLevel="0" collapsed="false">
      <c r="B6445" s="130" t="n">
        <v>2027</v>
      </c>
      <c r="C6445" s="131" t="s">
        <v>251</v>
      </c>
      <c r="D6445" s="132" t="n">
        <v>46656</v>
      </c>
      <c r="E6445" s="131" t="s">
        <v>59</v>
      </c>
      <c r="F6445" s="133" t="s">
        <v>24</v>
      </c>
      <c r="G6445" s="134" t="n">
        <f aca="false">LEN('Saisie programme'!$J$240)+SUMIFS('Vols additionnels'!$E$7:$E$66,'Vols additionnels'!$C$7:$C$66,$E6445,'Vols additionnels'!$D$7:$D$66,$F6445,'Vols additionnels'!$B$7:$B$66,$D6445)</f>
        <v>0</v>
      </c>
      <c r="H6445" s="135" t="n">
        <f aca="false">$G6445*'Analyse capacite'!$F$9</f>
        <v>0</v>
      </c>
      <c r="I6445" s="135" t="n">
        <f aca="false">$G6445*'Analyse capacite'!$C$9</f>
        <v>0</v>
      </c>
      <c r="J6445" s="135" t="n">
        <f aca="false">$G6445*'Analyse capacite'!$D$9</f>
        <v>0</v>
      </c>
      <c r="K6445" s="135" t="n">
        <f aca="false">$G6445*'Analyse capacite'!$E$9</f>
        <v>0</v>
      </c>
    </row>
    <row r="6446" customFormat="false" ht="15" hidden="false" customHeight="false" outlineLevel="0" collapsed="false">
      <c r="B6446" s="130" t="n">
        <v>2027</v>
      </c>
      <c r="C6446" s="131" t="s">
        <v>251</v>
      </c>
      <c r="D6446" s="132" t="n">
        <v>46656</v>
      </c>
      <c r="E6446" s="131" t="s">
        <v>62</v>
      </c>
      <c r="F6446" s="133" t="s">
        <v>11</v>
      </c>
      <c r="G6446" s="134" t="n">
        <f aca="false">LEN('Saisie programme'!$J$241)+SUMIFS('Vols additionnels'!$E$7:$E$66,'Vols additionnels'!$C$7:$C$66,$E6446,'Vols additionnels'!$D$7:$D$66,$F6446,'Vols additionnels'!$B$7:$B$66,$D6446)</f>
        <v>0</v>
      </c>
      <c r="H6446" s="135" t="n">
        <f aca="false">$G6446*'Analyse capacite'!$F$7</f>
        <v>0</v>
      </c>
      <c r="I6446" s="135" t="n">
        <f aca="false">$G6446*'Analyse capacite'!$C$7</f>
        <v>0</v>
      </c>
      <c r="J6446" s="135" t="n">
        <f aca="false">$G6446*'Analyse capacite'!$D$7</f>
        <v>0</v>
      </c>
      <c r="K6446" s="135" t="n">
        <f aca="false">$G6446*'Analyse capacite'!$E$7</f>
        <v>0</v>
      </c>
    </row>
    <row r="6447" customFormat="false" ht="15" hidden="false" customHeight="false" outlineLevel="0" collapsed="false">
      <c r="B6447" s="130" t="n">
        <v>2027</v>
      </c>
      <c r="C6447" s="131" t="s">
        <v>251</v>
      </c>
      <c r="D6447" s="132" t="n">
        <v>46656</v>
      </c>
      <c r="E6447" s="131" t="s">
        <v>62</v>
      </c>
      <c r="F6447" s="133" t="s">
        <v>19</v>
      </c>
      <c r="G6447" s="134" t="n">
        <f aca="false">LEN('Saisie programme'!$J$242)+SUMIFS('Vols additionnels'!$E$7:$E$66,'Vols additionnels'!$C$7:$C$66,$E6447,'Vols additionnels'!$D$7:$D$66,$F6447,'Vols additionnels'!$B$7:$B$66,$D6447)</f>
        <v>0</v>
      </c>
      <c r="H6447" s="135" t="n">
        <f aca="false">$G6447*'Analyse capacite'!$F$8</f>
        <v>0</v>
      </c>
      <c r="I6447" s="135" t="n">
        <f aca="false">$G6447*'Analyse capacite'!$C$8</f>
        <v>0</v>
      </c>
      <c r="J6447" s="135" t="n">
        <f aca="false">$G6447*'Analyse capacite'!$D$8</f>
        <v>0</v>
      </c>
      <c r="K6447" s="135" t="n">
        <f aca="false">$G6447*'Analyse capacite'!$E$8</f>
        <v>0</v>
      </c>
    </row>
    <row r="6448" customFormat="false" ht="15" hidden="false" customHeight="false" outlineLevel="0" collapsed="false">
      <c r="B6448" s="130" t="n">
        <v>2027</v>
      </c>
      <c r="C6448" s="131" t="s">
        <v>251</v>
      </c>
      <c r="D6448" s="132" t="n">
        <v>46656</v>
      </c>
      <c r="E6448" s="131" t="s">
        <v>62</v>
      </c>
      <c r="F6448" s="133" t="s">
        <v>24</v>
      </c>
      <c r="G6448" s="134" t="n">
        <f aca="false">LEN('Saisie programme'!$J$243)+SUMIFS('Vols additionnels'!$E$7:$E$66,'Vols additionnels'!$C$7:$C$66,$E6448,'Vols additionnels'!$D$7:$D$66,$F6448,'Vols additionnels'!$B$7:$B$66,$D6448)</f>
        <v>1</v>
      </c>
      <c r="H6448" s="135" t="n">
        <f aca="false">$G6448*'Analyse capacite'!$F$9</f>
        <v>174</v>
      </c>
      <c r="I6448" s="135" t="n">
        <f aca="false">$G6448*'Analyse capacite'!$C$9</f>
        <v>0</v>
      </c>
      <c r="J6448" s="135" t="n">
        <f aca="false">$G6448*'Analyse capacite'!$D$9</f>
        <v>12</v>
      </c>
      <c r="K6448" s="135" t="n">
        <f aca="false">$G6448*'Analyse capacite'!$E$9</f>
        <v>162</v>
      </c>
    </row>
    <row r="6449" customFormat="false" ht="15" hidden="false" customHeight="false" outlineLevel="0" collapsed="false">
      <c r="B6449" s="130" t="n">
        <v>2027</v>
      </c>
      <c r="C6449" s="131" t="s">
        <v>251</v>
      </c>
      <c r="D6449" s="132" t="n">
        <v>46657</v>
      </c>
      <c r="E6449" s="131" t="s">
        <v>12</v>
      </c>
      <c r="F6449" s="133" t="s">
        <v>11</v>
      </c>
      <c r="G6449" s="134" t="n">
        <f aca="false">LEN('Saisie programme'!$D$208)+SUMIFS('Vols additionnels'!$E$7:$E$66,'Vols additionnels'!$C$7:$C$66,$E6449,'Vols additionnels'!$D$7:$D$66,$F6449,'Vols additionnels'!$B$7:$B$66,$D6449)</f>
        <v>1</v>
      </c>
      <c r="H6449" s="135" t="n">
        <f aca="false">$G6449*'Analyse capacite'!$F$7</f>
        <v>438</v>
      </c>
      <c r="I6449" s="135" t="n">
        <f aca="false">$G6449*'Analyse capacite'!$C$7</f>
        <v>14</v>
      </c>
      <c r="J6449" s="135" t="n">
        <f aca="false">$G6449*'Analyse capacite'!$D$7</f>
        <v>40</v>
      </c>
      <c r="K6449" s="135" t="n">
        <f aca="false">$G6449*'Analyse capacite'!$E$7</f>
        <v>384</v>
      </c>
    </row>
    <row r="6450" customFormat="false" ht="15" hidden="false" customHeight="false" outlineLevel="0" collapsed="false">
      <c r="B6450" s="130" t="n">
        <v>2027</v>
      </c>
      <c r="C6450" s="131" t="s">
        <v>251</v>
      </c>
      <c r="D6450" s="132" t="n">
        <v>46657</v>
      </c>
      <c r="E6450" s="131" t="s">
        <v>12</v>
      </c>
      <c r="F6450" s="133" t="s">
        <v>19</v>
      </c>
      <c r="G6450" s="134" t="n">
        <f aca="false">LEN('Saisie programme'!$D$209)+SUMIFS('Vols additionnels'!$E$7:$E$66,'Vols additionnels'!$C$7:$C$66,$E6450,'Vols additionnels'!$D$7:$D$66,$F6450,'Vols additionnels'!$B$7:$B$66,$D6450)</f>
        <v>1</v>
      </c>
      <c r="H6450" s="135" t="n">
        <f aca="false">$G6450*'Analyse capacite'!$F$8</f>
        <v>262</v>
      </c>
      <c r="I6450" s="135" t="n">
        <f aca="false">$G6450*'Analyse capacite'!$C$8</f>
        <v>18</v>
      </c>
      <c r="J6450" s="135" t="n">
        <f aca="false">$G6450*'Analyse capacite'!$D$8</f>
        <v>0</v>
      </c>
      <c r="K6450" s="135" t="n">
        <f aca="false">$G6450*'Analyse capacite'!$E$8</f>
        <v>244</v>
      </c>
    </row>
    <row r="6451" customFormat="false" ht="15" hidden="false" customHeight="false" outlineLevel="0" collapsed="false">
      <c r="B6451" s="130" t="n">
        <v>2027</v>
      </c>
      <c r="C6451" s="131" t="s">
        <v>251</v>
      </c>
      <c r="D6451" s="132" t="n">
        <v>46657</v>
      </c>
      <c r="E6451" s="131" t="s">
        <v>12</v>
      </c>
      <c r="F6451" s="133" t="s">
        <v>24</v>
      </c>
      <c r="G6451" s="134" t="n">
        <f aca="false">LEN('Saisie programme'!$D$210)+SUMIFS('Vols additionnels'!$E$7:$E$66,'Vols additionnels'!$C$7:$C$66,$E6451,'Vols additionnels'!$D$7:$D$66,$F6451,'Vols additionnels'!$B$7:$B$66,$D6451)</f>
        <v>2</v>
      </c>
      <c r="H6451" s="135" t="n">
        <f aca="false">$G6451*'Analyse capacite'!$F$9</f>
        <v>348</v>
      </c>
      <c r="I6451" s="135" t="n">
        <f aca="false">$G6451*'Analyse capacite'!$C$9</f>
        <v>0</v>
      </c>
      <c r="J6451" s="135" t="n">
        <f aca="false">$G6451*'Analyse capacite'!$D$9</f>
        <v>24</v>
      </c>
      <c r="K6451" s="135" t="n">
        <f aca="false">$G6451*'Analyse capacite'!$E$9</f>
        <v>324</v>
      </c>
    </row>
    <row r="6452" customFormat="false" ht="15" hidden="false" customHeight="false" outlineLevel="0" collapsed="false">
      <c r="B6452" s="130" t="n">
        <v>2027</v>
      </c>
      <c r="C6452" s="131" t="s">
        <v>251</v>
      </c>
      <c r="D6452" s="132" t="n">
        <v>46657</v>
      </c>
      <c r="E6452" s="131" t="s">
        <v>20</v>
      </c>
      <c r="F6452" s="133" t="s">
        <v>11</v>
      </c>
      <c r="G6452" s="134" t="n">
        <f aca="false">LEN('Saisie programme'!$D$211)+SUMIFS('Vols additionnels'!$E$7:$E$66,'Vols additionnels'!$C$7:$C$66,$E6452,'Vols additionnels'!$D$7:$D$66,$F6452,'Vols additionnels'!$B$7:$B$66,$D6452)</f>
        <v>0</v>
      </c>
      <c r="H6452" s="135" t="n">
        <f aca="false">$G6452*'Analyse capacite'!$F$7</f>
        <v>0</v>
      </c>
      <c r="I6452" s="135" t="n">
        <f aca="false">$G6452*'Analyse capacite'!$C$7</f>
        <v>0</v>
      </c>
      <c r="J6452" s="135" t="n">
        <f aca="false">$G6452*'Analyse capacite'!$D$7</f>
        <v>0</v>
      </c>
      <c r="K6452" s="135" t="n">
        <f aca="false">$G6452*'Analyse capacite'!$E$7</f>
        <v>0</v>
      </c>
    </row>
    <row r="6453" customFormat="false" ht="15" hidden="false" customHeight="false" outlineLevel="0" collapsed="false">
      <c r="B6453" s="130" t="n">
        <v>2027</v>
      </c>
      <c r="C6453" s="131" t="s">
        <v>251</v>
      </c>
      <c r="D6453" s="132" t="n">
        <v>46657</v>
      </c>
      <c r="E6453" s="131" t="s">
        <v>20</v>
      </c>
      <c r="F6453" s="133" t="s">
        <v>19</v>
      </c>
      <c r="G6453" s="134" t="n">
        <f aca="false">LEN('Saisie programme'!$D$212)+SUMIFS('Vols additionnels'!$E$7:$E$66,'Vols additionnels'!$C$7:$C$66,$E6453,'Vols additionnels'!$D$7:$D$66,$F6453,'Vols additionnels'!$B$7:$B$66,$D6453)</f>
        <v>0</v>
      </c>
      <c r="H6453" s="135" t="n">
        <f aca="false">$G6453*'Analyse capacite'!$F$8</f>
        <v>0</v>
      </c>
      <c r="I6453" s="135" t="n">
        <f aca="false">$G6453*'Analyse capacite'!$C$8</f>
        <v>0</v>
      </c>
      <c r="J6453" s="135" t="n">
        <f aca="false">$G6453*'Analyse capacite'!$D$8</f>
        <v>0</v>
      </c>
      <c r="K6453" s="135" t="n">
        <f aca="false">$G6453*'Analyse capacite'!$E$8</f>
        <v>0</v>
      </c>
    </row>
    <row r="6454" customFormat="false" ht="15" hidden="false" customHeight="false" outlineLevel="0" collapsed="false">
      <c r="B6454" s="130" t="n">
        <v>2027</v>
      </c>
      <c r="C6454" s="131" t="s">
        <v>251</v>
      </c>
      <c r="D6454" s="132" t="n">
        <v>46657</v>
      </c>
      <c r="E6454" s="131" t="s">
        <v>20</v>
      </c>
      <c r="F6454" s="133" t="s">
        <v>24</v>
      </c>
      <c r="G6454" s="134" t="n">
        <f aca="false">LEN('Saisie programme'!$D$213)+SUMIFS('Vols additionnels'!$E$7:$E$66,'Vols additionnels'!$C$7:$C$66,$E6454,'Vols additionnels'!$D$7:$D$66,$F6454,'Vols additionnels'!$B$7:$B$66,$D6454)</f>
        <v>0</v>
      </c>
      <c r="H6454" s="135" t="n">
        <f aca="false">$G6454*'Analyse capacite'!$F$9</f>
        <v>0</v>
      </c>
      <c r="I6454" s="135" t="n">
        <f aca="false">$G6454*'Analyse capacite'!$C$9</f>
        <v>0</v>
      </c>
      <c r="J6454" s="135" t="n">
        <f aca="false">$G6454*'Analyse capacite'!$D$9</f>
        <v>0</v>
      </c>
      <c r="K6454" s="135" t="n">
        <f aca="false">$G6454*'Analyse capacite'!$E$9</f>
        <v>0</v>
      </c>
    </row>
    <row r="6455" customFormat="false" ht="15" hidden="false" customHeight="false" outlineLevel="0" collapsed="false">
      <c r="B6455" s="130" t="n">
        <v>2027</v>
      </c>
      <c r="C6455" s="131" t="s">
        <v>251</v>
      </c>
      <c r="D6455" s="132" t="n">
        <v>46657</v>
      </c>
      <c r="E6455" s="131" t="s">
        <v>25</v>
      </c>
      <c r="F6455" s="133" t="s">
        <v>11</v>
      </c>
      <c r="G6455" s="134" t="n">
        <f aca="false">LEN('Saisie programme'!$D$214)+SUMIFS('Vols additionnels'!$E$7:$E$66,'Vols additionnels'!$C$7:$C$66,$E6455,'Vols additionnels'!$D$7:$D$66,$F6455,'Vols additionnels'!$B$7:$B$66,$D6455)</f>
        <v>0</v>
      </c>
      <c r="H6455" s="135" t="n">
        <f aca="false">$G6455*'Analyse capacite'!$F$7</f>
        <v>0</v>
      </c>
      <c r="I6455" s="135" t="n">
        <f aca="false">$G6455*'Analyse capacite'!$C$7</f>
        <v>0</v>
      </c>
      <c r="J6455" s="135" t="n">
        <f aca="false">$G6455*'Analyse capacite'!$D$7</f>
        <v>0</v>
      </c>
      <c r="K6455" s="135" t="n">
        <f aca="false">$G6455*'Analyse capacite'!$E$7</f>
        <v>0</v>
      </c>
    </row>
    <row r="6456" customFormat="false" ht="15" hidden="false" customHeight="false" outlineLevel="0" collapsed="false">
      <c r="B6456" s="130" t="n">
        <v>2027</v>
      </c>
      <c r="C6456" s="131" t="s">
        <v>251</v>
      </c>
      <c r="D6456" s="132" t="n">
        <v>46657</v>
      </c>
      <c r="E6456" s="131" t="s">
        <v>25</v>
      </c>
      <c r="F6456" s="133" t="s">
        <v>19</v>
      </c>
      <c r="G6456" s="134" t="n">
        <f aca="false">LEN('Saisie programme'!$D$215)+SUMIFS('Vols additionnels'!$E$7:$E$66,'Vols additionnels'!$C$7:$C$66,$E6456,'Vols additionnels'!$D$7:$D$66,$F6456,'Vols additionnels'!$B$7:$B$66,$D6456)</f>
        <v>0</v>
      </c>
      <c r="H6456" s="135" t="n">
        <f aca="false">$G6456*'Analyse capacite'!$F$8</f>
        <v>0</v>
      </c>
      <c r="I6456" s="135" t="n">
        <f aca="false">$G6456*'Analyse capacite'!$C$8</f>
        <v>0</v>
      </c>
      <c r="J6456" s="135" t="n">
        <f aca="false">$G6456*'Analyse capacite'!$D$8</f>
        <v>0</v>
      </c>
      <c r="K6456" s="135" t="n">
        <f aca="false">$G6456*'Analyse capacite'!$E$8</f>
        <v>0</v>
      </c>
    </row>
    <row r="6457" customFormat="false" ht="15" hidden="false" customHeight="false" outlineLevel="0" collapsed="false">
      <c r="B6457" s="130" t="n">
        <v>2027</v>
      </c>
      <c r="C6457" s="131" t="s">
        <v>251</v>
      </c>
      <c r="D6457" s="132" t="n">
        <v>46657</v>
      </c>
      <c r="E6457" s="131" t="s">
        <v>25</v>
      </c>
      <c r="F6457" s="133" t="s">
        <v>24</v>
      </c>
      <c r="G6457" s="134" t="n">
        <f aca="false">LEN('Saisie programme'!$D$216)+SUMIFS('Vols additionnels'!$E$7:$E$66,'Vols additionnels'!$C$7:$C$66,$E6457,'Vols additionnels'!$D$7:$D$66,$F6457,'Vols additionnels'!$B$7:$B$66,$D6457)</f>
        <v>0</v>
      </c>
      <c r="H6457" s="135" t="n">
        <f aca="false">$G6457*'Analyse capacite'!$F$9</f>
        <v>0</v>
      </c>
      <c r="I6457" s="135" t="n">
        <f aca="false">$G6457*'Analyse capacite'!$C$9</f>
        <v>0</v>
      </c>
      <c r="J6457" s="135" t="n">
        <f aca="false">$G6457*'Analyse capacite'!$D$9</f>
        <v>0</v>
      </c>
      <c r="K6457" s="135" t="n">
        <f aca="false">$G6457*'Analyse capacite'!$E$9</f>
        <v>0</v>
      </c>
    </row>
    <row r="6458" customFormat="false" ht="15" hidden="false" customHeight="false" outlineLevel="0" collapsed="false">
      <c r="B6458" s="130" t="n">
        <v>2027</v>
      </c>
      <c r="C6458" s="131" t="s">
        <v>251</v>
      </c>
      <c r="D6458" s="132" t="n">
        <v>46657</v>
      </c>
      <c r="E6458" s="131" t="s">
        <v>36</v>
      </c>
      <c r="F6458" s="133" t="s">
        <v>11</v>
      </c>
      <c r="G6458" s="134" t="n">
        <f aca="false">LEN('Saisie programme'!$D$217)+SUMIFS('Vols additionnels'!$E$7:$E$66,'Vols additionnels'!$C$7:$C$66,$E6458,'Vols additionnels'!$D$7:$D$66,$F6458,'Vols additionnels'!$B$7:$B$66,$D6458)</f>
        <v>0</v>
      </c>
      <c r="H6458" s="135" t="n">
        <f aca="false">$G6458*'Analyse capacite'!$F$7</f>
        <v>0</v>
      </c>
      <c r="I6458" s="135" t="n">
        <f aca="false">$G6458*'Analyse capacite'!$C$7</f>
        <v>0</v>
      </c>
      <c r="J6458" s="135" t="n">
        <f aca="false">$G6458*'Analyse capacite'!$D$7</f>
        <v>0</v>
      </c>
      <c r="K6458" s="135" t="n">
        <f aca="false">$G6458*'Analyse capacite'!$E$7</f>
        <v>0</v>
      </c>
    </row>
    <row r="6459" customFormat="false" ht="15" hidden="false" customHeight="false" outlineLevel="0" collapsed="false">
      <c r="B6459" s="130" t="n">
        <v>2027</v>
      </c>
      <c r="C6459" s="131" t="s">
        <v>251</v>
      </c>
      <c r="D6459" s="132" t="n">
        <v>46657</v>
      </c>
      <c r="E6459" s="131" t="s">
        <v>36</v>
      </c>
      <c r="F6459" s="133" t="s">
        <v>19</v>
      </c>
      <c r="G6459" s="134" t="n">
        <f aca="false">LEN('Saisie programme'!$D$218)+SUMIFS('Vols additionnels'!$E$7:$E$66,'Vols additionnels'!$C$7:$C$66,$E6459,'Vols additionnels'!$D$7:$D$66,$F6459,'Vols additionnels'!$B$7:$B$66,$D6459)</f>
        <v>0</v>
      </c>
      <c r="H6459" s="135" t="n">
        <f aca="false">$G6459*'Analyse capacite'!$F$8</f>
        <v>0</v>
      </c>
      <c r="I6459" s="135" t="n">
        <f aca="false">$G6459*'Analyse capacite'!$C$8</f>
        <v>0</v>
      </c>
      <c r="J6459" s="135" t="n">
        <f aca="false">$G6459*'Analyse capacite'!$D$8</f>
        <v>0</v>
      </c>
      <c r="K6459" s="135" t="n">
        <f aca="false">$G6459*'Analyse capacite'!$E$8</f>
        <v>0</v>
      </c>
    </row>
    <row r="6460" customFormat="false" ht="15" hidden="false" customHeight="false" outlineLevel="0" collapsed="false">
      <c r="B6460" s="130" t="n">
        <v>2027</v>
      </c>
      <c r="C6460" s="131" t="s">
        <v>251</v>
      </c>
      <c r="D6460" s="132" t="n">
        <v>46657</v>
      </c>
      <c r="E6460" s="131" t="s">
        <v>36</v>
      </c>
      <c r="F6460" s="133" t="s">
        <v>24</v>
      </c>
      <c r="G6460" s="134" t="n">
        <f aca="false">LEN('Saisie programme'!$D$219)+SUMIFS('Vols additionnels'!$E$7:$E$66,'Vols additionnels'!$C$7:$C$66,$E6460,'Vols additionnels'!$D$7:$D$66,$F6460,'Vols additionnels'!$B$7:$B$66,$D6460)</f>
        <v>1</v>
      </c>
      <c r="H6460" s="135" t="n">
        <f aca="false">$G6460*'Analyse capacite'!$F$9</f>
        <v>174</v>
      </c>
      <c r="I6460" s="135" t="n">
        <f aca="false">$G6460*'Analyse capacite'!$C$9</f>
        <v>0</v>
      </c>
      <c r="J6460" s="135" t="n">
        <f aca="false">$G6460*'Analyse capacite'!$D$9</f>
        <v>12</v>
      </c>
      <c r="K6460" s="135" t="n">
        <f aca="false">$G6460*'Analyse capacite'!$E$9</f>
        <v>162</v>
      </c>
    </row>
    <row r="6461" customFormat="false" ht="15" hidden="false" customHeight="false" outlineLevel="0" collapsed="false">
      <c r="B6461" s="130" t="n">
        <v>2027</v>
      </c>
      <c r="C6461" s="131" t="s">
        <v>251</v>
      </c>
      <c r="D6461" s="132" t="n">
        <v>46657</v>
      </c>
      <c r="E6461" s="131" t="s">
        <v>40</v>
      </c>
      <c r="F6461" s="133" t="s">
        <v>11</v>
      </c>
      <c r="G6461" s="134" t="n">
        <f aca="false">LEN('Saisie programme'!$D$220)+SUMIFS('Vols additionnels'!$E$7:$E$66,'Vols additionnels'!$C$7:$C$66,$E6461,'Vols additionnels'!$D$7:$D$66,$F6461,'Vols additionnels'!$B$7:$B$66,$D6461)</f>
        <v>0</v>
      </c>
      <c r="H6461" s="135" t="n">
        <f aca="false">$G6461*'Analyse capacite'!$F$7</f>
        <v>0</v>
      </c>
      <c r="I6461" s="135" t="n">
        <f aca="false">$G6461*'Analyse capacite'!$C$7</f>
        <v>0</v>
      </c>
      <c r="J6461" s="135" t="n">
        <f aca="false">$G6461*'Analyse capacite'!$D$7</f>
        <v>0</v>
      </c>
      <c r="K6461" s="135" t="n">
        <f aca="false">$G6461*'Analyse capacite'!$E$7</f>
        <v>0</v>
      </c>
    </row>
    <row r="6462" customFormat="false" ht="15" hidden="false" customHeight="false" outlineLevel="0" collapsed="false">
      <c r="B6462" s="130" t="n">
        <v>2027</v>
      </c>
      <c r="C6462" s="131" t="s">
        <v>251</v>
      </c>
      <c r="D6462" s="132" t="n">
        <v>46657</v>
      </c>
      <c r="E6462" s="131" t="s">
        <v>40</v>
      </c>
      <c r="F6462" s="133" t="s">
        <v>19</v>
      </c>
      <c r="G6462" s="134" t="n">
        <f aca="false">LEN('Saisie programme'!$D$221)+SUMIFS('Vols additionnels'!$E$7:$E$66,'Vols additionnels'!$C$7:$C$66,$E6462,'Vols additionnels'!$D$7:$D$66,$F6462,'Vols additionnels'!$B$7:$B$66,$D6462)</f>
        <v>0</v>
      </c>
      <c r="H6462" s="135" t="n">
        <f aca="false">$G6462*'Analyse capacite'!$F$8</f>
        <v>0</v>
      </c>
      <c r="I6462" s="135" t="n">
        <f aca="false">$G6462*'Analyse capacite'!$C$8</f>
        <v>0</v>
      </c>
      <c r="J6462" s="135" t="n">
        <f aca="false">$G6462*'Analyse capacite'!$D$8</f>
        <v>0</v>
      </c>
      <c r="K6462" s="135" t="n">
        <f aca="false">$G6462*'Analyse capacite'!$E$8</f>
        <v>0</v>
      </c>
    </row>
    <row r="6463" customFormat="false" ht="15" hidden="false" customHeight="false" outlineLevel="0" collapsed="false">
      <c r="B6463" s="130" t="n">
        <v>2027</v>
      </c>
      <c r="C6463" s="131" t="s">
        <v>251</v>
      </c>
      <c r="D6463" s="132" t="n">
        <v>46657</v>
      </c>
      <c r="E6463" s="131" t="s">
        <v>40</v>
      </c>
      <c r="F6463" s="133" t="s">
        <v>24</v>
      </c>
      <c r="G6463" s="134" t="n">
        <f aca="false">LEN('Saisie programme'!$D$222)+SUMIFS('Vols additionnels'!$E$7:$E$66,'Vols additionnels'!$C$7:$C$66,$E6463,'Vols additionnels'!$D$7:$D$66,$F6463,'Vols additionnels'!$B$7:$B$66,$D6463)</f>
        <v>1</v>
      </c>
      <c r="H6463" s="135" t="n">
        <f aca="false">$G6463*'Analyse capacite'!$F$9</f>
        <v>174</v>
      </c>
      <c r="I6463" s="135" t="n">
        <f aca="false">$G6463*'Analyse capacite'!$C$9</f>
        <v>0</v>
      </c>
      <c r="J6463" s="135" t="n">
        <f aca="false">$G6463*'Analyse capacite'!$D$9</f>
        <v>12</v>
      </c>
      <c r="K6463" s="135" t="n">
        <f aca="false">$G6463*'Analyse capacite'!$E$9</f>
        <v>162</v>
      </c>
    </row>
    <row r="6464" customFormat="false" ht="15" hidden="false" customHeight="false" outlineLevel="0" collapsed="false">
      <c r="B6464" s="130" t="n">
        <v>2027</v>
      </c>
      <c r="C6464" s="131" t="s">
        <v>251</v>
      </c>
      <c r="D6464" s="132" t="n">
        <v>46657</v>
      </c>
      <c r="E6464" s="131" t="s">
        <v>14</v>
      </c>
      <c r="F6464" s="133" t="s">
        <v>11</v>
      </c>
      <c r="G6464" s="134" t="n">
        <f aca="false">LEN('Saisie programme'!$D$223)+SUMIFS('Vols additionnels'!$E$7:$E$66,'Vols additionnels'!$C$7:$C$66,$E6464,'Vols additionnels'!$D$7:$D$66,$F6464,'Vols additionnels'!$B$7:$B$66,$D6464)</f>
        <v>0</v>
      </c>
      <c r="H6464" s="135" t="n">
        <f aca="false">$G6464*'Analyse capacite'!$F$7</f>
        <v>0</v>
      </c>
      <c r="I6464" s="135" t="n">
        <f aca="false">$G6464*'Analyse capacite'!$C$7</f>
        <v>0</v>
      </c>
      <c r="J6464" s="135" t="n">
        <f aca="false">$G6464*'Analyse capacite'!$D$7</f>
        <v>0</v>
      </c>
      <c r="K6464" s="135" t="n">
        <f aca="false">$G6464*'Analyse capacite'!$E$7</f>
        <v>0</v>
      </c>
    </row>
    <row r="6465" customFormat="false" ht="15" hidden="false" customHeight="false" outlineLevel="0" collapsed="false">
      <c r="B6465" s="130" t="n">
        <v>2027</v>
      </c>
      <c r="C6465" s="131" t="s">
        <v>251</v>
      </c>
      <c r="D6465" s="132" t="n">
        <v>46657</v>
      </c>
      <c r="E6465" s="131" t="s">
        <v>14</v>
      </c>
      <c r="F6465" s="133" t="s">
        <v>19</v>
      </c>
      <c r="G6465" s="134" t="n">
        <f aca="false">LEN('Saisie programme'!$D$224)+SUMIFS('Vols additionnels'!$E$7:$E$66,'Vols additionnels'!$C$7:$C$66,$E6465,'Vols additionnels'!$D$7:$D$66,$F6465,'Vols additionnels'!$B$7:$B$66,$D6465)</f>
        <v>0</v>
      </c>
      <c r="H6465" s="135" t="n">
        <f aca="false">$G6465*'Analyse capacite'!$F$8</f>
        <v>0</v>
      </c>
      <c r="I6465" s="135" t="n">
        <f aca="false">$G6465*'Analyse capacite'!$C$8</f>
        <v>0</v>
      </c>
      <c r="J6465" s="135" t="n">
        <f aca="false">$G6465*'Analyse capacite'!$D$8</f>
        <v>0</v>
      </c>
      <c r="K6465" s="135" t="n">
        <f aca="false">$G6465*'Analyse capacite'!$E$8</f>
        <v>0</v>
      </c>
    </row>
    <row r="6466" customFormat="false" ht="15" hidden="false" customHeight="false" outlineLevel="0" collapsed="false">
      <c r="B6466" s="130" t="n">
        <v>2027</v>
      </c>
      <c r="C6466" s="131" t="s">
        <v>251</v>
      </c>
      <c r="D6466" s="132" t="n">
        <v>46657</v>
      </c>
      <c r="E6466" s="131" t="s">
        <v>14</v>
      </c>
      <c r="F6466" s="133" t="s">
        <v>24</v>
      </c>
      <c r="G6466" s="134" t="n">
        <f aca="false">LEN('Saisie programme'!$D$225)+SUMIFS('Vols additionnels'!$E$7:$E$66,'Vols additionnels'!$C$7:$C$66,$E6466,'Vols additionnels'!$D$7:$D$66,$F6466,'Vols additionnels'!$B$7:$B$66,$D6466)</f>
        <v>1</v>
      </c>
      <c r="H6466" s="135" t="n">
        <f aca="false">$G6466*'Analyse capacite'!$F$9</f>
        <v>174</v>
      </c>
      <c r="I6466" s="135" t="n">
        <f aca="false">$G6466*'Analyse capacite'!$C$9</f>
        <v>0</v>
      </c>
      <c r="J6466" s="135" t="n">
        <f aca="false">$G6466*'Analyse capacite'!$D$9</f>
        <v>12</v>
      </c>
      <c r="K6466" s="135" t="n">
        <f aca="false">$G6466*'Analyse capacite'!$E$9</f>
        <v>162</v>
      </c>
    </row>
    <row r="6467" customFormat="false" ht="15" hidden="false" customHeight="false" outlineLevel="0" collapsed="false">
      <c r="B6467" s="130" t="n">
        <v>2027</v>
      </c>
      <c r="C6467" s="131" t="s">
        <v>251</v>
      </c>
      <c r="D6467" s="132" t="n">
        <v>46657</v>
      </c>
      <c r="E6467" s="131" t="s">
        <v>46</v>
      </c>
      <c r="F6467" s="133" t="s">
        <v>11</v>
      </c>
      <c r="G6467" s="134" t="n">
        <f aca="false">LEN('Saisie programme'!$D$226)+SUMIFS('Vols additionnels'!$E$7:$E$66,'Vols additionnels'!$C$7:$C$66,$E6467,'Vols additionnels'!$D$7:$D$66,$F6467,'Vols additionnels'!$B$7:$B$66,$D6467)</f>
        <v>0</v>
      </c>
      <c r="H6467" s="135" t="n">
        <f aca="false">$G6467*'Analyse capacite'!$F$7</f>
        <v>0</v>
      </c>
      <c r="I6467" s="135" t="n">
        <f aca="false">$G6467*'Analyse capacite'!$C$7</f>
        <v>0</v>
      </c>
      <c r="J6467" s="135" t="n">
        <f aca="false">$G6467*'Analyse capacite'!$D$7</f>
        <v>0</v>
      </c>
      <c r="K6467" s="135" t="n">
        <f aca="false">$G6467*'Analyse capacite'!$E$7</f>
        <v>0</v>
      </c>
    </row>
    <row r="6468" customFormat="false" ht="15" hidden="false" customHeight="false" outlineLevel="0" collapsed="false">
      <c r="B6468" s="130" t="n">
        <v>2027</v>
      </c>
      <c r="C6468" s="131" t="s">
        <v>251</v>
      </c>
      <c r="D6468" s="132" t="n">
        <v>46657</v>
      </c>
      <c r="E6468" s="131" t="s">
        <v>46</v>
      </c>
      <c r="F6468" s="133" t="s">
        <v>19</v>
      </c>
      <c r="G6468" s="134" t="n">
        <f aca="false">LEN('Saisie programme'!$D$227)+SUMIFS('Vols additionnels'!$E$7:$E$66,'Vols additionnels'!$C$7:$C$66,$E6468,'Vols additionnels'!$D$7:$D$66,$F6468,'Vols additionnels'!$B$7:$B$66,$D6468)</f>
        <v>0</v>
      </c>
      <c r="H6468" s="135" t="n">
        <f aca="false">$G6468*'Analyse capacite'!$F$8</f>
        <v>0</v>
      </c>
      <c r="I6468" s="135" t="n">
        <f aca="false">$G6468*'Analyse capacite'!$C$8</f>
        <v>0</v>
      </c>
      <c r="J6468" s="135" t="n">
        <f aca="false">$G6468*'Analyse capacite'!$D$8</f>
        <v>0</v>
      </c>
      <c r="K6468" s="135" t="n">
        <f aca="false">$G6468*'Analyse capacite'!$E$8</f>
        <v>0</v>
      </c>
    </row>
    <row r="6469" customFormat="false" ht="15" hidden="false" customHeight="false" outlineLevel="0" collapsed="false">
      <c r="B6469" s="130" t="n">
        <v>2027</v>
      </c>
      <c r="C6469" s="131" t="s">
        <v>251</v>
      </c>
      <c r="D6469" s="132" t="n">
        <v>46657</v>
      </c>
      <c r="E6469" s="131" t="s">
        <v>46</v>
      </c>
      <c r="F6469" s="133" t="s">
        <v>24</v>
      </c>
      <c r="G6469" s="134" t="n">
        <f aca="false">LEN('Saisie programme'!$D$228)+SUMIFS('Vols additionnels'!$E$7:$E$66,'Vols additionnels'!$C$7:$C$66,$E6469,'Vols additionnels'!$D$7:$D$66,$F6469,'Vols additionnels'!$B$7:$B$66,$D6469)</f>
        <v>0</v>
      </c>
      <c r="H6469" s="135" t="n">
        <f aca="false">$G6469*'Analyse capacite'!$F$9</f>
        <v>0</v>
      </c>
      <c r="I6469" s="135" t="n">
        <f aca="false">$G6469*'Analyse capacite'!$C$9</f>
        <v>0</v>
      </c>
      <c r="J6469" s="135" t="n">
        <f aca="false">$G6469*'Analyse capacite'!$D$9</f>
        <v>0</v>
      </c>
      <c r="K6469" s="135" t="n">
        <f aca="false">$G6469*'Analyse capacite'!$E$9</f>
        <v>0</v>
      </c>
    </row>
    <row r="6470" customFormat="false" ht="15" hidden="false" customHeight="false" outlineLevel="0" collapsed="false">
      <c r="B6470" s="130" t="n">
        <v>2027</v>
      </c>
      <c r="C6470" s="131" t="s">
        <v>251</v>
      </c>
      <c r="D6470" s="132" t="n">
        <v>46657</v>
      </c>
      <c r="E6470" s="131" t="s">
        <v>49</v>
      </c>
      <c r="F6470" s="133" t="s">
        <v>11</v>
      </c>
      <c r="G6470" s="134" t="n">
        <f aca="false">LEN('Saisie programme'!$D$229)+SUMIFS('Vols additionnels'!$E$7:$E$66,'Vols additionnels'!$C$7:$C$66,$E6470,'Vols additionnels'!$D$7:$D$66,$F6470,'Vols additionnels'!$B$7:$B$66,$D6470)</f>
        <v>0</v>
      </c>
      <c r="H6470" s="135" t="n">
        <f aca="false">$G6470*'Analyse capacite'!$F$7</f>
        <v>0</v>
      </c>
      <c r="I6470" s="135" t="n">
        <f aca="false">$G6470*'Analyse capacite'!$C$7</f>
        <v>0</v>
      </c>
      <c r="J6470" s="135" t="n">
        <f aca="false">$G6470*'Analyse capacite'!$D$7</f>
        <v>0</v>
      </c>
      <c r="K6470" s="135" t="n">
        <f aca="false">$G6470*'Analyse capacite'!$E$7</f>
        <v>0</v>
      </c>
    </row>
    <row r="6471" customFormat="false" ht="15" hidden="false" customHeight="false" outlineLevel="0" collapsed="false">
      <c r="B6471" s="130" t="n">
        <v>2027</v>
      </c>
      <c r="C6471" s="131" t="s">
        <v>251</v>
      </c>
      <c r="D6471" s="132" t="n">
        <v>46657</v>
      </c>
      <c r="E6471" s="131" t="s">
        <v>49</v>
      </c>
      <c r="F6471" s="133" t="s">
        <v>19</v>
      </c>
      <c r="G6471" s="134" t="n">
        <f aca="false">LEN('Saisie programme'!$D$230)+SUMIFS('Vols additionnels'!$E$7:$E$66,'Vols additionnels'!$C$7:$C$66,$E6471,'Vols additionnels'!$D$7:$D$66,$F6471,'Vols additionnels'!$B$7:$B$66,$D6471)</f>
        <v>1</v>
      </c>
      <c r="H6471" s="135" t="n">
        <f aca="false">$G6471*'Analyse capacite'!$F$8</f>
        <v>262</v>
      </c>
      <c r="I6471" s="135" t="n">
        <f aca="false">$G6471*'Analyse capacite'!$C$8</f>
        <v>18</v>
      </c>
      <c r="J6471" s="135" t="n">
        <f aca="false">$G6471*'Analyse capacite'!$D$8</f>
        <v>0</v>
      </c>
      <c r="K6471" s="135" t="n">
        <f aca="false">$G6471*'Analyse capacite'!$E$8</f>
        <v>244</v>
      </c>
    </row>
    <row r="6472" customFormat="false" ht="15" hidden="false" customHeight="false" outlineLevel="0" collapsed="false">
      <c r="B6472" s="130" t="n">
        <v>2027</v>
      </c>
      <c r="C6472" s="131" t="s">
        <v>251</v>
      </c>
      <c r="D6472" s="132" t="n">
        <v>46657</v>
      </c>
      <c r="E6472" s="131" t="s">
        <v>49</v>
      </c>
      <c r="F6472" s="133" t="s">
        <v>24</v>
      </c>
      <c r="G6472" s="134" t="n">
        <f aca="false">LEN('Saisie programme'!$D$231)+SUMIFS('Vols additionnels'!$E$7:$E$66,'Vols additionnels'!$C$7:$C$66,$E6472,'Vols additionnels'!$D$7:$D$66,$F6472,'Vols additionnels'!$B$7:$B$66,$D6472)</f>
        <v>0</v>
      </c>
      <c r="H6472" s="135" t="n">
        <f aca="false">$G6472*'Analyse capacite'!$F$9</f>
        <v>0</v>
      </c>
      <c r="I6472" s="135" t="n">
        <f aca="false">$G6472*'Analyse capacite'!$C$9</f>
        <v>0</v>
      </c>
      <c r="J6472" s="135" t="n">
        <f aca="false">$G6472*'Analyse capacite'!$D$9</f>
        <v>0</v>
      </c>
      <c r="K6472" s="135" t="n">
        <f aca="false">$G6472*'Analyse capacite'!$E$9</f>
        <v>0</v>
      </c>
    </row>
    <row r="6473" customFormat="false" ht="15" hidden="false" customHeight="false" outlineLevel="0" collapsed="false">
      <c r="B6473" s="130" t="n">
        <v>2027</v>
      </c>
      <c r="C6473" s="131" t="s">
        <v>251</v>
      </c>
      <c r="D6473" s="132" t="n">
        <v>46657</v>
      </c>
      <c r="E6473" s="131" t="s">
        <v>53</v>
      </c>
      <c r="F6473" s="133" t="s">
        <v>11</v>
      </c>
      <c r="G6473" s="134" t="n">
        <f aca="false">LEN('Saisie programme'!$D$232)+SUMIFS('Vols additionnels'!$E$7:$E$66,'Vols additionnels'!$C$7:$C$66,$E6473,'Vols additionnels'!$D$7:$D$66,$F6473,'Vols additionnels'!$B$7:$B$66,$D6473)</f>
        <v>0</v>
      </c>
      <c r="H6473" s="135" t="n">
        <f aca="false">$G6473*'Analyse capacite'!$F$7</f>
        <v>0</v>
      </c>
      <c r="I6473" s="135" t="n">
        <f aca="false">$G6473*'Analyse capacite'!$C$7</f>
        <v>0</v>
      </c>
      <c r="J6473" s="135" t="n">
        <f aca="false">$G6473*'Analyse capacite'!$D$7</f>
        <v>0</v>
      </c>
      <c r="K6473" s="135" t="n">
        <f aca="false">$G6473*'Analyse capacite'!$E$7</f>
        <v>0</v>
      </c>
    </row>
    <row r="6474" customFormat="false" ht="15" hidden="false" customHeight="false" outlineLevel="0" collapsed="false">
      <c r="B6474" s="130" t="n">
        <v>2027</v>
      </c>
      <c r="C6474" s="131" t="s">
        <v>251</v>
      </c>
      <c r="D6474" s="132" t="n">
        <v>46657</v>
      </c>
      <c r="E6474" s="131" t="s">
        <v>53</v>
      </c>
      <c r="F6474" s="133" t="s">
        <v>19</v>
      </c>
      <c r="G6474" s="134" t="n">
        <f aca="false">LEN('Saisie programme'!$D$233)+SUMIFS('Vols additionnels'!$E$7:$E$66,'Vols additionnels'!$C$7:$C$66,$E6474,'Vols additionnels'!$D$7:$D$66,$F6474,'Vols additionnels'!$B$7:$B$66,$D6474)</f>
        <v>0</v>
      </c>
      <c r="H6474" s="135" t="n">
        <f aca="false">$G6474*'Analyse capacite'!$F$8</f>
        <v>0</v>
      </c>
      <c r="I6474" s="135" t="n">
        <f aca="false">$G6474*'Analyse capacite'!$C$8</f>
        <v>0</v>
      </c>
      <c r="J6474" s="135" t="n">
        <f aca="false">$G6474*'Analyse capacite'!$D$8</f>
        <v>0</v>
      </c>
      <c r="K6474" s="135" t="n">
        <f aca="false">$G6474*'Analyse capacite'!$E$8</f>
        <v>0</v>
      </c>
    </row>
    <row r="6475" customFormat="false" ht="15" hidden="false" customHeight="false" outlineLevel="0" collapsed="false">
      <c r="B6475" s="130" t="n">
        <v>2027</v>
      </c>
      <c r="C6475" s="131" t="s">
        <v>251</v>
      </c>
      <c r="D6475" s="132" t="n">
        <v>46657</v>
      </c>
      <c r="E6475" s="131" t="s">
        <v>53</v>
      </c>
      <c r="F6475" s="133" t="s">
        <v>24</v>
      </c>
      <c r="G6475" s="134" t="n">
        <f aca="false">LEN('Saisie programme'!$D$234)+SUMIFS('Vols additionnels'!$E$7:$E$66,'Vols additionnels'!$C$7:$C$66,$E6475,'Vols additionnels'!$D$7:$D$66,$F6475,'Vols additionnels'!$B$7:$B$66,$D6475)</f>
        <v>0</v>
      </c>
      <c r="H6475" s="135" t="n">
        <f aca="false">$G6475*'Analyse capacite'!$F$9</f>
        <v>0</v>
      </c>
      <c r="I6475" s="135" t="n">
        <f aca="false">$G6475*'Analyse capacite'!$C$9</f>
        <v>0</v>
      </c>
      <c r="J6475" s="135" t="n">
        <f aca="false">$G6475*'Analyse capacite'!$D$9</f>
        <v>0</v>
      </c>
      <c r="K6475" s="135" t="n">
        <f aca="false">$G6475*'Analyse capacite'!$E$9</f>
        <v>0</v>
      </c>
    </row>
    <row r="6476" customFormat="false" ht="15" hidden="false" customHeight="false" outlineLevel="0" collapsed="false">
      <c r="B6476" s="130" t="n">
        <v>2027</v>
      </c>
      <c r="C6476" s="131" t="s">
        <v>251</v>
      </c>
      <c r="D6476" s="132" t="n">
        <v>46657</v>
      </c>
      <c r="E6476" s="131" t="s">
        <v>56</v>
      </c>
      <c r="F6476" s="133" t="s">
        <v>11</v>
      </c>
      <c r="G6476" s="134" t="n">
        <f aca="false">LEN('Saisie programme'!$D$235)+SUMIFS('Vols additionnels'!$E$7:$E$66,'Vols additionnels'!$C$7:$C$66,$E6476,'Vols additionnels'!$D$7:$D$66,$F6476,'Vols additionnels'!$B$7:$B$66,$D6476)</f>
        <v>0</v>
      </c>
      <c r="H6476" s="135" t="n">
        <f aca="false">$G6476*'Analyse capacite'!$F$7</f>
        <v>0</v>
      </c>
      <c r="I6476" s="135" t="n">
        <f aca="false">$G6476*'Analyse capacite'!$C$7</f>
        <v>0</v>
      </c>
      <c r="J6476" s="135" t="n">
        <f aca="false">$G6476*'Analyse capacite'!$D$7</f>
        <v>0</v>
      </c>
      <c r="K6476" s="135" t="n">
        <f aca="false">$G6476*'Analyse capacite'!$E$7</f>
        <v>0</v>
      </c>
    </row>
    <row r="6477" customFormat="false" ht="15" hidden="false" customHeight="false" outlineLevel="0" collapsed="false">
      <c r="B6477" s="130" t="n">
        <v>2027</v>
      </c>
      <c r="C6477" s="131" t="s">
        <v>251</v>
      </c>
      <c r="D6477" s="132" t="n">
        <v>46657</v>
      </c>
      <c r="E6477" s="131" t="s">
        <v>56</v>
      </c>
      <c r="F6477" s="133" t="s">
        <v>19</v>
      </c>
      <c r="G6477" s="134" t="n">
        <f aca="false">LEN('Saisie programme'!$D$236)+SUMIFS('Vols additionnels'!$E$7:$E$66,'Vols additionnels'!$C$7:$C$66,$E6477,'Vols additionnels'!$D$7:$D$66,$F6477,'Vols additionnels'!$B$7:$B$66,$D6477)</f>
        <v>0</v>
      </c>
      <c r="H6477" s="135" t="n">
        <f aca="false">$G6477*'Analyse capacite'!$F$8</f>
        <v>0</v>
      </c>
      <c r="I6477" s="135" t="n">
        <f aca="false">$G6477*'Analyse capacite'!$C$8</f>
        <v>0</v>
      </c>
      <c r="J6477" s="135" t="n">
        <f aca="false">$G6477*'Analyse capacite'!$D$8</f>
        <v>0</v>
      </c>
      <c r="K6477" s="135" t="n">
        <f aca="false">$G6477*'Analyse capacite'!$E$8</f>
        <v>0</v>
      </c>
    </row>
    <row r="6478" customFormat="false" ht="15" hidden="false" customHeight="false" outlineLevel="0" collapsed="false">
      <c r="B6478" s="130" t="n">
        <v>2027</v>
      </c>
      <c r="C6478" s="131" t="s">
        <v>251</v>
      </c>
      <c r="D6478" s="132" t="n">
        <v>46657</v>
      </c>
      <c r="E6478" s="131" t="s">
        <v>56</v>
      </c>
      <c r="F6478" s="133" t="s">
        <v>24</v>
      </c>
      <c r="G6478" s="134" t="n">
        <f aca="false">LEN('Saisie programme'!$D$237)+SUMIFS('Vols additionnels'!$E$7:$E$66,'Vols additionnels'!$C$7:$C$66,$E6478,'Vols additionnels'!$D$7:$D$66,$F6478,'Vols additionnels'!$B$7:$B$66,$D6478)</f>
        <v>0</v>
      </c>
      <c r="H6478" s="135" t="n">
        <f aca="false">$G6478*'Analyse capacite'!$F$9</f>
        <v>0</v>
      </c>
      <c r="I6478" s="135" t="n">
        <f aca="false">$G6478*'Analyse capacite'!$C$9</f>
        <v>0</v>
      </c>
      <c r="J6478" s="135" t="n">
        <f aca="false">$G6478*'Analyse capacite'!$D$9</f>
        <v>0</v>
      </c>
      <c r="K6478" s="135" t="n">
        <f aca="false">$G6478*'Analyse capacite'!$E$9</f>
        <v>0</v>
      </c>
    </row>
    <row r="6479" customFormat="false" ht="15" hidden="false" customHeight="false" outlineLevel="0" collapsed="false">
      <c r="B6479" s="130" t="n">
        <v>2027</v>
      </c>
      <c r="C6479" s="131" t="s">
        <v>251</v>
      </c>
      <c r="D6479" s="132" t="n">
        <v>46657</v>
      </c>
      <c r="E6479" s="131" t="s">
        <v>59</v>
      </c>
      <c r="F6479" s="133" t="s">
        <v>11</v>
      </c>
      <c r="G6479" s="134" t="n">
        <f aca="false">LEN('Saisie programme'!$D$238)+SUMIFS('Vols additionnels'!$E$7:$E$66,'Vols additionnels'!$C$7:$C$66,$E6479,'Vols additionnels'!$D$7:$D$66,$F6479,'Vols additionnels'!$B$7:$B$66,$D6479)</f>
        <v>0</v>
      </c>
      <c r="H6479" s="135" t="n">
        <f aca="false">$G6479*'Analyse capacite'!$F$7</f>
        <v>0</v>
      </c>
      <c r="I6479" s="135" t="n">
        <f aca="false">$G6479*'Analyse capacite'!$C$7</f>
        <v>0</v>
      </c>
      <c r="J6479" s="135" t="n">
        <f aca="false">$G6479*'Analyse capacite'!$D$7</f>
        <v>0</v>
      </c>
      <c r="K6479" s="135" t="n">
        <f aca="false">$G6479*'Analyse capacite'!$E$7</f>
        <v>0</v>
      </c>
    </row>
    <row r="6480" customFormat="false" ht="15" hidden="false" customHeight="false" outlineLevel="0" collapsed="false">
      <c r="B6480" s="130" t="n">
        <v>2027</v>
      </c>
      <c r="C6480" s="131" t="s">
        <v>251</v>
      </c>
      <c r="D6480" s="132" t="n">
        <v>46657</v>
      </c>
      <c r="E6480" s="131" t="s">
        <v>59</v>
      </c>
      <c r="F6480" s="133" t="s">
        <v>19</v>
      </c>
      <c r="G6480" s="134" t="n">
        <f aca="false">LEN('Saisie programme'!$D$239)+SUMIFS('Vols additionnels'!$E$7:$E$66,'Vols additionnels'!$C$7:$C$66,$E6480,'Vols additionnels'!$D$7:$D$66,$F6480,'Vols additionnels'!$B$7:$B$66,$D6480)</f>
        <v>0</v>
      </c>
      <c r="H6480" s="135" t="n">
        <f aca="false">$G6480*'Analyse capacite'!$F$8</f>
        <v>0</v>
      </c>
      <c r="I6480" s="135" t="n">
        <f aca="false">$G6480*'Analyse capacite'!$C$8</f>
        <v>0</v>
      </c>
      <c r="J6480" s="135" t="n">
        <f aca="false">$G6480*'Analyse capacite'!$D$8</f>
        <v>0</v>
      </c>
      <c r="K6480" s="135" t="n">
        <f aca="false">$G6480*'Analyse capacite'!$E$8</f>
        <v>0</v>
      </c>
    </row>
    <row r="6481" customFormat="false" ht="15" hidden="false" customHeight="false" outlineLevel="0" collapsed="false">
      <c r="B6481" s="130" t="n">
        <v>2027</v>
      </c>
      <c r="C6481" s="131" t="s">
        <v>251</v>
      </c>
      <c r="D6481" s="132" t="n">
        <v>46657</v>
      </c>
      <c r="E6481" s="131" t="s">
        <v>59</v>
      </c>
      <c r="F6481" s="133" t="s">
        <v>24</v>
      </c>
      <c r="G6481" s="134" t="n">
        <f aca="false">LEN('Saisie programme'!$D$240)+SUMIFS('Vols additionnels'!$E$7:$E$66,'Vols additionnels'!$C$7:$C$66,$E6481,'Vols additionnels'!$D$7:$D$66,$F6481,'Vols additionnels'!$B$7:$B$66,$D6481)</f>
        <v>1</v>
      </c>
      <c r="H6481" s="135" t="n">
        <f aca="false">$G6481*'Analyse capacite'!$F$9</f>
        <v>174</v>
      </c>
      <c r="I6481" s="135" t="n">
        <f aca="false">$G6481*'Analyse capacite'!$C$9</f>
        <v>0</v>
      </c>
      <c r="J6481" s="135" t="n">
        <f aca="false">$G6481*'Analyse capacite'!$D$9</f>
        <v>12</v>
      </c>
      <c r="K6481" s="135" t="n">
        <f aca="false">$G6481*'Analyse capacite'!$E$9</f>
        <v>162</v>
      </c>
    </row>
    <row r="6482" customFormat="false" ht="15" hidden="false" customHeight="false" outlineLevel="0" collapsed="false">
      <c r="B6482" s="130" t="n">
        <v>2027</v>
      </c>
      <c r="C6482" s="131" t="s">
        <v>251</v>
      </c>
      <c r="D6482" s="132" t="n">
        <v>46657</v>
      </c>
      <c r="E6482" s="131" t="s">
        <v>62</v>
      </c>
      <c r="F6482" s="133" t="s">
        <v>11</v>
      </c>
      <c r="G6482" s="134" t="n">
        <f aca="false">LEN('Saisie programme'!$D$241)+SUMIFS('Vols additionnels'!$E$7:$E$66,'Vols additionnels'!$C$7:$C$66,$E6482,'Vols additionnels'!$D$7:$D$66,$F6482,'Vols additionnels'!$B$7:$B$66,$D6482)</f>
        <v>0</v>
      </c>
      <c r="H6482" s="135" t="n">
        <f aca="false">$G6482*'Analyse capacite'!$F$7</f>
        <v>0</v>
      </c>
      <c r="I6482" s="135" t="n">
        <f aca="false">$G6482*'Analyse capacite'!$C$7</f>
        <v>0</v>
      </c>
      <c r="J6482" s="135" t="n">
        <f aca="false">$G6482*'Analyse capacite'!$D$7</f>
        <v>0</v>
      </c>
      <c r="K6482" s="135" t="n">
        <f aca="false">$G6482*'Analyse capacite'!$E$7</f>
        <v>0</v>
      </c>
    </row>
    <row r="6483" customFormat="false" ht="15" hidden="false" customHeight="false" outlineLevel="0" collapsed="false">
      <c r="B6483" s="130" t="n">
        <v>2027</v>
      </c>
      <c r="C6483" s="131" t="s">
        <v>251</v>
      </c>
      <c r="D6483" s="132" t="n">
        <v>46657</v>
      </c>
      <c r="E6483" s="131" t="s">
        <v>62</v>
      </c>
      <c r="F6483" s="133" t="s">
        <v>19</v>
      </c>
      <c r="G6483" s="134" t="n">
        <f aca="false">LEN('Saisie programme'!$D$242)+SUMIFS('Vols additionnels'!$E$7:$E$66,'Vols additionnels'!$C$7:$C$66,$E6483,'Vols additionnels'!$D$7:$D$66,$F6483,'Vols additionnels'!$B$7:$B$66,$D6483)</f>
        <v>0</v>
      </c>
      <c r="H6483" s="135" t="n">
        <f aca="false">$G6483*'Analyse capacite'!$F$8</f>
        <v>0</v>
      </c>
      <c r="I6483" s="135" t="n">
        <f aca="false">$G6483*'Analyse capacite'!$C$8</f>
        <v>0</v>
      </c>
      <c r="J6483" s="135" t="n">
        <f aca="false">$G6483*'Analyse capacite'!$D$8</f>
        <v>0</v>
      </c>
      <c r="K6483" s="135" t="n">
        <f aca="false">$G6483*'Analyse capacite'!$E$8</f>
        <v>0</v>
      </c>
    </row>
    <row r="6484" customFormat="false" ht="15" hidden="false" customHeight="false" outlineLevel="0" collapsed="false">
      <c r="B6484" s="130" t="n">
        <v>2027</v>
      </c>
      <c r="C6484" s="131" t="s">
        <v>251</v>
      </c>
      <c r="D6484" s="132" t="n">
        <v>46657</v>
      </c>
      <c r="E6484" s="131" t="s">
        <v>62</v>
      </c>
      <c r="F6484" s="133" t="s">
        <v>24</v>
      </c>
      <c r="G6484" s="134" t="n">
        <f aca="false">LEN('Saisie programme'!$D$243)+SUMIFS('Vols additionnels'!$E$7:$E$66,'Vols additionnels'!$C$7:$C$66,$E6484,'Vols additionnels'!$D$7:$D$66,$F6484,'Vols additionnels'!$B$7:$B$66,$D6484)</f>
        <v>0</v>
      </c>
      <c r="H6484" s="135" t="n">
        <f aca="false">$G6484*'Analyse capacite'!$F$9</f>
        <v>0</v>
      </c>
      <c r="I6484" s="135" t="n">
        <f aca="false">$G6484*'Analyse capacite'!$C$9</f>
        <v>0</v>
      </c>
      <c r="J6484" s="135" t="n">
        <f aca="false">$G6484*'Analyse capacite'!$D$9</f>
        <v>0</v>
      </c>
      <c r="K6484" s="135" t="n">
        <f aca="false">$G6484*'Analyse capacite'!$E$9</f>
        <v>0</v>
      </c>
    </row>
    <row r="6485" customFormat="false" ht="15" hidden="false" customHeight="false" outlineLevel="0" collapsed="false">
      <c r="B6485" s="130" t="n">
        <v>2027</v>
      </c>
      <c r="C6485" s="131" t="s">
        <v>251</v>
      </c>
      <c r="D6485" s="132" t="n">
        <v>46658</v>
      </c>
      <c r="E6485" s="131" t="s">
        <v>12</v>
      </c>
      <c r="F6485" s="133" t="s">
        <v>11</v>
      </c>
      <c r="G6485" s="134" t="n">
        <f aca="false">LEN('Saisie programme'!$E$208)+SUMIFS('Vols additionnels'!$E$7:$E$66,'Vols additionnels'!$C$7:$C$66,$E6485,'Vols additionnels'!$D$7:$D$66,$F6485,'Vols additionnels'!$B$7:$B$66,$D6485)</f>
        <v>1</v>
      </c>
      <c r="H6485" s="135" t="n">
        <f aca="false">$G6485*'Analyse capacite'!$F$7</f>
        <v>438</v>
      </c>
      <c r="I6485" s="135" t="n">
        <f aca="false">$G6485*'Analyse capacite'!$C$7</f>
        <v>14</v>
      </c>
      <c r="J6485" s="135" t="n">
        <f aca="false">$G6485*'Analyse capacite'!$D$7</f>
        <v>40</v>
      </c>
      <c r="K6485" s="135" t="n">
        <f aca="false">$G6485*'Analyse capacite'!$E$7</f>
        <v>384</v>
      </c>
    </row>
    <row r="6486" customFormat="false" ht="15" hidden="false" customHeight="false" outlineLevel="0" collapsed="false">
      <c r="B6486" s="130" t="n">
        <v>2027</v>
      </c>
      <c r="C6486" s="131" t="s">
        <v>251</v>
      </c>
      <c r="D6486" s="132" t="n">
        <v>46658</v>
      </c>
      <c r="E6486" s="131" t="s">
        <v>12</v>
      </c>
      <c r="F6486" s="133" t="s">
        <v>19</v>
      </c>
      <c r="G6486" s="134" t="n">
        <f aca="false">LEN('Saisie programme'!$E$209)+SUMIFS('Vols additionnels'!$E$7:$E$66,'Vols additionnels'!$C$7:$C$66,$E6486,'Vols additionnels'!$D$7:$D$66,$F6486,'Vols additionnels'!$B$7:$B$66,$D6486)</f>
        <v>0</v>
      </c>
      <c r="H6486" s="135" t="n">
        <f aca="false">$G6486*'Analyse capacite'!$F$8</f>
        <v>0</v>
      </c>
      <c r="I6486" s="135" t="n">
        <f aca="false">$G6486*'Analyse capacite'!$C$8</f>
        <v>0</v>
      </c>
      <c r="J6486" s="135" t="n">
        <f aca="false">$G6486*'Analyse capacite'!$D$8</f>
        <v>0</v>
      </c>
      <c r="K6486" s="135" t="n">
        <f aca="false">$G6486*'Analyse capacite'!$E$8</f>
        <v>0</v>
      </c>
    </row>
    <row r="6487" customFormat="false" ht="15" hidden="false" customHeight="false" outlineLevel="0" collapsed="false">
      <c r="B6487" s="130" t="n">
        <v>2027</v>
      </c>
      <c r="C6487" s="131" t="s">
        <v>251</v>
      </c>
      <c r="D6487" s="132" t="n">
        <v>46658</v>
      </c>
      <c r="E6487" s="131" t="s">
        <v>12</v>
      </c>
      <c r="F6487" s="133" t="s">
        <v>24</v>
      </c>
      <c r="G6487" s="134" t="n">
        <f aca="false">LEN('Saisie programme'!$E$210)+SUMIFS('Vols additionnels'!$E$7:$E$66,'Vols additionnels'!$C$7:$C$66,$E6487,'Vols additionnels'!$D$7:$D$66,$F6487,'Vols additionnels'!$B$7:$B$66,$D6487)</f>
        <v>0</v>
      </c>
      <c r="H6487" s="135" t="n">
        <f aca="false">$G6487*'Analyse capacite'!$F$9</f>
        <v>0</v>
      </c>
      <c r="I6487" s="135" t="n">
        <f aca="false">$G6487*'Analyse capacite'!$C$9</f>
        <v>0</v>
      </c>
      <c r="J6487" s="135" t="n">
        <f aca="false">$G6487*'Analyse capacite'!$D$9</f>
        <v>0</v>
      </c>
      <c r="K6487" s="135" t="n">
        <f aca="false">$G6487*'Analyse capacite'!$E$9</f>
        <v>0</v>
      </c>
    </row>
    <row r="6488" customFormat="false" ht="15" hidden="false" customHeight="false" outlineLevel="0" collapsed="false">
      <c r="B6488" s="130" t="n">
        <v>2027</v>
      </c>
      <c r="C6488" s="131" t="s">
        <v>251</v>
      </c>
      <c r="D6488" s="132" t="n">
        <v>46658</v>
      </c>
      <c r="E6488" s="131" t="s">
        <v>20</v>
      </c>
      <c r="F6488" s="133" t="s">
        <v>11</v>
      </c>
      <c r="G6488" s="134" t="n">
        <f aca="false">LEN('Saisie programme'!$E$211)+SUMIFS('Vols additionnels'!$E$7:$E$66,'Vols additionnels'!$C$7:$C$66,$E6488,'Vols additionnels'!$D$7:$D$66,$F6488,'Vols additionnels'!$B$7:$B$66,$D6488)</f>
        <v>0</v>
      </c>
      <c r="H6488" s="135" t="n">
        <f aca="false">$G6488*'Analyse capacite'!$F$7</f>
        <v>0</v>
      </c>
      <c r="I6488" s="135" t="n">
        <f aca="false">$G6488*'Analyse capacite'!$C$7</f>
        <v>0</v>
      </c>
      <c r="J6488" s="135" t="n">
        <f aca="false">$G6488*'Analyse capacite'!$D$7</f>
        <v>0</v>
      </c>
      <c r="K6488" s="135" t="n">
        <f aca="false">$G6488*'Analyse capacite'!$E$7</f>
        <v>0</v>
      </c>
    </row>
    <row r="6489" customFormat="false" ht="15" hidden="false" customHeight="false" outlineLevel="0" collapsed="false">
      <c r="B6489" s="130" t="n">
        <v>2027</v>
      </c>
      <c r="C6489" s="131" t="s">
        <v>251</v>
      </c>
      <c r="D6489" s="132" t="n">
        <v>46658</v>
      </c>
      <c r="E6489" s="131" t="s">
        <v>20</v>
      </c>
      <c r="F6489" s="133" t="s">
        <v>19</v>
      </c>
      <c r="G6489" s="134" t="n">
        <f aca="false">LEN('Saisie programme'!$E$212)+SUMIFS('Vols additionnels'!$E$7:$E$66,'Vols additionnels'!$C$7:$C$66,$E6489,'Vols additionnels'!$D$7:$D$66,$F6489,'Vols additionnels'!$B$7:$B$66,$D6489)</f>
        <v>1</v>
      </c>
      <c r="H6489" s="135" t="n">
        <f aca="false">$G6489*'Analyse capacite'!$F$8</f>
        <v>262</v>
      </c>
      <c r="I6489" s="135" t="n">
        <f aca="false">$G6489*'Analyse capacite'!$C$8</f>
        <v>18</v>
      </c>
      <c r="J6489" s="135" t="n">
        <f aca="false">$G6489*'Analyse capacite'!$D$8</f>
        <v>0</v>
      </c>
      <c r="K6489" s="135" t="n">
        <f aca="false">$G6489*'Analyse capacite'!$E$8</f>
        <v>244</v>
      </c>
    </row>
    <row r="6490" customFormat="false" ht="15" hidden="false" customHeight="false" outlineLevel="0" collapsed="false">
      <c r="B6490" s="130" t="n">
        <v>2027</v>
      </c>
      <c r="C6490" s="131" t="s">
        <v>251</v>
      </c>
      <c r="D6490" s="132" t="n">
        <v>46658</v>
      </c>
      <c r="E6490" s="131" t="s">
        <v>20</v>
      </c>
      <c r="F6490" s="133" t="s">
        <v>24</v>
      </c>
      <c r="G6490" s="134" t="n">
        <f aca="false">LEN('Saisie programme'!$E$213)+SUMIFS('Vols additionnels'!$E$7:$E$66,'Vols additionnels'!$C$7:$C$66,$E6490,'Vols additionnels'!$D$7:$D$66,$F6490,'Vols additionnels'!$B$7:$B$66,$D6490)</f>
        <v>0</v>
      </c>
      <c r="H6490" s="135" t="n">
        <f aca="false">$G6490*'Analyse capacite'!$F$9</f>
        <v>0</v>
      </c>
      <c r="I6490" s="135" t="n">
        <f aca="false">$G6490*'Analyse capacite'!$C$9</f>
        <v>0</v>
      </c>
      <c r="J6490" s="135" t="n">
        <f aca="false">$G6490*'Analyse capacite'!$D$9</f>
        <v>0</v>
      </c>
      <c r="K6490" s="135" t="n">
        <f aca="false">$G6490*'Analyse capacite'!$E$9</f>
        <v>0</v>
      </c>
    </row>
    <row r="6491" customFormat="false" ht="15" hidden="false" customHeight="false" outlineLevel="0" collapsed="false">
      <c r="B6491" s="130" t="n">
        <v>2027</v>
      </c>
      <c r="C6491" s="131" t="s">
        <v>251</v>
      </c>
      <c r="D6491" s="132" t="n">
        <v>46658</v>
      </c>
      <c r="E6491" s="131" t="s">
        <v>25</v>
      </c>
      <c r="F6491" s="133" t="s">
        <v>11</v>
      </c>
      <c r="G6491" s="134" t="n">
        <f aca="false">LEN('Saisie programme'!$E$214)+SUMIFS('Vols additionnels'!$E$7:$E$66,'Vols additionnels'!$C$7:$C$66,$E6491,'Vols additionnels'!$D$7:$D$66,$F6491,'Vols additionnels'!$B$7:$B$66,$D6491)</f>
        <v>0</v>
      </c>
      <c r="H6491" s="135" t="n">
        <f aca="false">$G6491*'Analyse capacite'!$F$7</f>
        <v>0</v>
      </c>
      <c r="I6491" s="135" t="n">
        <f aca="false">$G6491*'Analyse capacite'!$C$7</f>
        <v>0</v>
      </c>
      <c r="J6491" s="135" t="n">
        <f aca="false">$G6491*'Analyse capacite'!$D$7</f>
        <v>0</v>
      </c>
      <c r="K6491" s="135" t="n">
        <f aca="false">$G6491*'Analyse capacite'!$E$7</f>
        <v>0</v>
      </c>
    </row>
    <row r="6492" customFormat="false" ht="15" hidden="false" customHeight="false" outlineLevel="0" collapsed="false">
      <c r="B6492" s="130" t="n">
        <v>2027</v>
      </c>
      <c r="C6492" s="131" t="s">
        <v>251</v>
      </c>
      <c r="D6492" s="132" t="n">
        <v>46658</v>
      </c>
      <c r="E6492" s="131" t="s">
        <v>25</v>
      </c>
      <c r="F6492" s="133" t="s">
        <v>19</v>
      </c>
      <c r="G6492" s="134" t="n">
        <f aca="false">LEN('Saisie programme'!$E$215)+SUMIFS('Vols additionnels'!$E$7:$E$66,'Vols additionnels'!$C$7:$C$66,$E6492,'Vols additionnels'!$D$7:$D$66,$F6492,'Vols additionnels'!$B$7:$B$66,$D6492)</f>
        <v>0</v>
      </c>
      <c r="H6492" s="135" t="n">
        <f aca="false">$G6492*'Analyse capacite'!$F$8</f>
        <v>0</v>
      </c>
      <c r="I6492" s="135" t="n">
        <f aca="false">$G6492*'Analyse capacite'!$C$8</f>
        <v>0</v>
      </c>
      <c r="J6492" s="135" t="n">
        <f aca="false">$G6492*'Analyse capacite'!$D$8</f>
        <v>0</v>
      </c>
      <c r="K6492" s="135" t="n">
        <f aca="false">$G6492*'Analyse capacite'!$E$8</f>
        <v>0</v>
      </c>
    </row>
    <row r="6493" customFormat="false" ht="15" hidden="false" customHeight="false" outlineLevel="0" collapsed="false">
      <c r="B6493" s="130" t="n">
        <v>2027</v>
      </c>
      <c r="C6493" s="131" t="s">
        <v>251</v>
      </c>
      <c r="D6493" s="132" t="n">
        <v>46658</v>
      </c>
      <c r="E6493" s="131" t="s">
        <v>25</v>
      </c>
      <c r="F6493" s="133" t="s">
        <v>24</v>
      </c>
      <c r="G6493" s="134" t="n">
        <f aca="false">LEN('Saisie programme'!$E$216)+SUMIFS('Vols additionnels'!$E$7:$E$66,'Vols additionnels'!$C$7:$C$66,$E6493,'Vols additionnels'!$D$7:$D$66,$F6493,'Vols additionnels'!$B$7:$B$66,$D6493)</f>
        <v>0</v>
      </c>
      <c r="H6493" s="135" t="n">
        <f aca="false">$G6493*'Analyse capacite'!$F$9</f>
        <v>0</v>
      </c>
      <c r="I6493" s="135" t="n">
        <f aca="false">$G6493*'Analyse capacite'!$C$9</f>
        <v>0</v>
      </c>
      <c r="J6493" s="135" t="n">
        <f aca="false">$G6493*'Analyse capacite'!$D$9</f>
        <v>0</v>
      </c>
      <c r="K6493" s="135" t="n">
        <f aca="false">$G6493*'Analyse capacite'!$E$9</f>
        <v>0</v>
      </c>
    </row>
    <row r="6494" customFormat="false" ht="15" hidden="false" customHeight="false" outlineLevel="0" collapsed="false">
      <c r="B6494" s="130" t="n">
        <v>2027</v>
      </c>
      <c r="C6494" s="131" t="s">
        <v>251</v>
      </c>
      <c r="D6494" s="132" t="n">
        <v>46658</v>
      </c>
      <c r="E6494" s="131" t="s">
        <v>36</v>
      </c>
      <c r="F6494" s="133" t="s">
        <v>11</v>
      </c>
      <c r="G6494" s="134" t="n">
        <f aca="false">LEN('Saisie programme'!$E$217)+SUMIFS('Vols additionnels'!$E$7:$E$66,'Vols additionnels'!$C$7:$C$66,$E6494,'Vols additionnels'!$D$7:$D$66,$F6494,'Vols additionnels'!$B$7:$B$66,$D6494)</f>
        <v>0</v>
      </c>
      <c r="H6494" s="135" t="n">
        <f aca="false">$G6494*'Analyse capacite'!$F$7</f>
        <v>0</v>
      </c>
      <c r="I6494" s="135" t="n">
        <f aca="false">$G6494*'Analyse capacite'!$C$7</f>
        <v>0</v>
      </c>
      <c r="J6494" s="135" t="n">
        <f aca="false">$G6494*'Analyse capacite'!$D$7</f>
        <v>0</v>
      </c>
      <c r="K6494" s="135" t="n">
        <f aca="false">$G6494*'Analyse capacite'!$E$7</f>
        <v>0</v>
      </c>
    </row>
    <row r="6495" customFormat="false" ht="15" hidden="false" customHeight="false" outlineLevel="0" collapsed="false">
      <c r="B6495" s="130" t="n">
        <v>2027</v>
      </c>
      <c r="C6495" s="131" t="s">
        <v>251</v>
      </c>
      <c r="D6495" s="132" t="n">
        <v>46658</v>
      </c>
      <c r="E6495" s="131" t="s">
        <v>36</v>
      </c>
      <c r="F6495" s="133" t="s">
        <v>19</v>
      </c>
      <c r="G6495" s="134" t="n">
        <f aca="false">LEN('Saisie programme'!$E$218)+SUMIFS('Vols additionnels'!$E$7:$E$66,'Vols additionnels'!$C$7:$C$66,$E6495,'Vols additionnels'!$D$7:$D$66,$F6495,'Vols additionnels'!$B$7:$B$66,$D6495)</f>
        <v>0</v>
      </c>
      <c r="H6495" s="135" t="n">
        <f aca="false">$G6495*'Analyse capacite'!$F$8</f>
        <v>0</v>
      </c>
      <c r="I6495" s="135" t="n">
        <f aca="false">$G6495*'Analyse capacite'!$C$8</f>
        <v>0</v>
      </c>
      <c r="J6495" s="135" t="n">
        <f aca="false">$G6495*'Analyse capacite'!$D$8</f>
        <v>0</v>
      </c>
      <c r="K6495" s="135" t="n">
        <f aca="false">$G6495*'Analyse capacite'!$E$8</f>
        <v>0</v>
      </c>
    </row>
    <row r="6496" customFormat="false" ht="15" hidden="false" customHeight="false" outlineLevel="0" collapsed="false">
      <c r="B6496" s="130" t="n">
        <v>2027</v>
      </c>
      <c r="C6496" s="131" t="s">
        <v>251</v>
      </c>
      <c r="D6496" s="132" t="n">
        <v>46658</v>
      </c>
      <c r="E6496" s="131" t="s">
        <v>36</v>
      </c>
      <c r="F6496" s="133" t="s">
        <v>24</v>
      </c>
      <c r="G6496" s="134" t="n">
        <f aca="false">LEN('Saisie programme'!$E$219)+SUMIFS('Vols additionnels'!$E$7:$E$66,'Vols additionnels'!$C$7:$C$66,$E6496,'Vols additionnels'!$D$7:$D$66,$F6496,'Vols additionnels'!$B$7:$B$66,$D6496)</f>
        <v>1</v>
      </c>
      <c r="H6496" s="135" t="n">
        <f aca="false">$G6496*'Analyse capacite'!$F$9</f>
        <v>174</v>
      </c>
      <c r="I6496" s="135" t="n">
        <f aca="false">$G6496*'Analyse capacite'!$C$9</f>
        <v>0</v>
      </c>
      <c r="J6496" s="135" t="n">
        <f aca="false">$G6496*'Analyse capacite'!$D$9</f>
        <v>12</v>
      </c>
      <c r="K6496" s="135" t="n">
        <f aca="false">$G6496*'Analyse capacite'!$E$9</f>
        <v>162</v>
      </c>
    </row>
    <row r="6497" customFormat="false" ht="15" hidden="false" customHeight="false" outlineLevel="0" collapsed="false">
      <c r="B6497" s="130" t="n">
        <v>2027</v>
      </c>
      <c r="C6497" s="131" t="s">
        <v>251</v>
      </c>
      <c r="D6497" s="132" t="n">
        <v>46658</v>
      </c>
      <c r="E6497" s="131" t="s">
        <v>40</v>
      </c>
      <c r="F6497" s="133" t="s">
        <v>11</v>
      </c>
      <c r="G6497" s="134" t="n">
        <f aca="false">LEN('Saisie programme'!$E$220)+SUMIFS('Vols additionnels'!$E$7:$E$66,'Vols additionnels'!$C$7:$C$66,$E6497,'Vols additionnels'!$D$7:$D$66,$F6497,'Vols additionnels'!$B$7:$B$66,$D6497)</f>
        <v>0</v>
      </c>
      <c r="H6497" s="135" t="n">
        <f aca="false">$G6497*'Analyse capacite'!$F$7</f>
        <v>0</v>
      </c>
      <c r="I6497" s="135" t="n">
        <f aca="false">$G6497*'Analyse capacite'!$C$7</f>
        <v>0</v>
      </c>
      <c r="J6497" s="135" t="n">
        <f aca="false">$G6497*'Analyse capacite'!$D$7</f>
        <v>0</v>
      </c>
      <c r="K6497" s="135" t="n">
        <f aca="false">$G6497*'Analyse capacite'!$E$7</f>
        <v>0</v>
      </c>
    </row>
    <row r="6498" customFormat="false" ht="15" hidden="false" customHeight="false" outlineLevel="0" collapsed="false">
      <c r="B6498" s="130" t="n">
        <v>2027</v>
      </c>
      <c r="C6498" s="131" t="s">
        <v>251</v>
      </c>
      <c r="D6498" s="132" t="n">
        <v>46658</v>
      </c>
      <c r="E6498" s="131" t="s">
        <v>40</v>
      </c>
      <c r="F6498" s="133" t="s">
        <v>19</v>
      </c>
      <c r="G6498" s="134" t="n">
        <f aca="false">LEN('Saisie programme'!$E$221)+SUMIFS('Vols additionnels'!$E$7:$E$66,'Vols additionnels'!$C$7:$C$66,$E6498,'Vols additionnels'!$D$7:$D$66,$F6498,'Vols additionnels'!$B$7:$B$66,$D6498)</f>
        <v>0</v>
      </c>
      <c r="H6498" s="135" t="n">
        <f aca="false">$G6498*'Analyse capacite'!$F$8</f>
        <v>0</v>
      </c>
      <c r="I6498" s="135" t="n">
        <f aca="false">$G6498*'Analyse capacite'!$C$8</f>
        <v>0</v>
      </c>
      <c r="J6498" s="135" t="n">
        <f aca="false">$G6498*'Analyse capacite'!$D$8</f>
        <v>0</v>
      </c>
      <c r="K6498" s="135" t="n">
        <f aca="false">$G6498*'Analyse capacite'!$E$8</f>
        <v>0</v>
      </c>
    </row>
    <row r="6499" customFormat="false" ht="15" hidden="false" customHeight="false" outlineLevel="0" collapsed="false">
      <c r="B6499" s="130" t="n">
        <v>2027</v>
      </c>
      <c r="C6499" s="131" t="s">
        <v>251</v>
      </c>
      <c r="D6499" s="132" t="n">
        <v>46658</v>
      </c>
      <c r="E6499" s="131" t="s">
        <v>40</v>
      </c>
      <c r="F6499" s="133" t="s">
        <v>24</v>
      </c>
      <c r="G6499" s="134" t="n">
        <f aca="false">LEN('Saisie programme'!$E$222)+SUMIFS('Vols additionnels'!$E$7:$E$66,'Vols additionnels'!$C$7:$C$66,$E6499,'Vols additionnels'!$D$7:$D$66,$F6499,'Vols additionnels'!$B$7:$B$66,$D6499)</f>
        <v>0</v>
      </c>
      <c r="H6499" s="135" t="n">
        <f aca="false">$G6499*'Analyse capacite'!$F$9</f>
        <v>0</v>
      </c>
      <c r="I6499" s="135" t="n">
        <f aca="false">$G6499*'Analyse capacite'!$C$9</f>
        <v>0</v>
      </c>
      <c r="J6499" s="135" t="n">
        <f aca="false">$G6499*'Analyse capacite'!$D$9</f>
        <v>0</v>
      </c>
      <c r="K6499" s="135" t="n">
        <f aca="false">$G6499*'Analyse capacite'!$E$9</f>
        <v>0</v>
      </c>
    </row>
    <row r="6500" customFormat="false" ht="15" hidden="false" customHeight="false" outlineLevel="0" collapsed="false">
      <c r="B6500" s="130" t="n">
        <v>2027</v>
      </c>
      <c r="C6500" s="131" t="s">
        <v>251</v>
      </c>
      <c r="D6500" s="132" t="n">
        <v>46658</v>
      </c>
      <c r="E6500" s="131" t="s">
        <v>14</v>
      </c>
      <c r="F6500" s="133" t="s">
        <v>11</v>
      </c>
      <c r="G6500" s="134" t="n">
        <f aca="false">LEN('Saisie programme'!$E$223)+SUMIFS('Vols additionnels'!$E$7:$E$66,'Vols additionnels'!$C$7:$C$66,$E6500,'Vols additionnels'!$D$7:$D$66,$F6500,'Vols additionnels'!$B$7:$B$66,$D6500)</f>
        <v>0</v>
      </c>
      <c r="H6500" s="135" t="n">
        <f aca="false">$G6500*'Analyse capacite'!$F$7</f>
        <v>0</v>
      </c>
      <c r="I6500" s="135" t="n">
        <f aca="false">$G6500*'Analyse capacite'!$C$7</f>
        <v>0</v>
      </c>
      <c r="J6500" s="135" t="n">
        <f aca="false">$G6500*'Analyse capacite'!$D$7</f>
        <v>0</v>
      </c>
      <c r="K6500" s="135" t="n">
        <f aca="false">$G6500*'Analyse capacite'!$E$7</f>
        <v>0</v>
      </c>
    </row>
    <row r="6501" customFormat="false" ht="15" hidden="false" customHeight="false" outlineLevel="0" collapsed="false">
      <c r="B6501" s="130" t="n">
        <v>2027</v>
      </c>
      <c r="C6501" s="131" t="s">
        <v>251</v>
      </c>
      <c r="D6501" s="132" t="n">
        <v>46658</v>
      </c>
      <c r="E6501" s="131" t="s">
        <v>14</v>
      </c>
      <c r="F6501" s="133" t="s">
        <v>19</v>
      </c>
      <c r="G6501" s="134" t="n">
        <f aca="false">LEN('Saisie programme'!$E$224)+SUMIFS('Vols additionnels'!$E$7:$E$66,'Vols additionnels'!$C$7:$C$66,$E6501,'Vols additionnels'!$D$7:$D$66,$F6501,'Vols additionnels'!$B$7:$B$66,$D6501)</f>
        <v>0</v>
      </c>
      <c r="H6501" s="135" t="n">
        <f aca="false">$G6501*'Analyse capacite'!$F$8</f>
        <v>0</v>
      </c>
      <c r="I6501" s="135" t="n">
        <f aca="false">$G6501*'Analyse capacite'!$C$8</f>
        <v>0</v>
      </c>
      <c r="J6501" s="135" t="n">
        <f aca="false">$G6501*'Analyse capacite'!$D$8</f>
        <v>0</v>
      </c>
      <c r="K6501" s="135" t="n">
        <f aca="false">$G6501*'Analyse capacite'!$E$8</f>
        <v>0</v>
      </c>
    </row>
    <row r="6502" customFormat="false" ht="15" hidden="false" customHeight="false" outlineLevel="0" collapsed="false">
      <c r="B6502" s="130" t="n">
        <v>2027</v>
      </c>
      <c r="C6502" s="131" t="s">
        <v>251</v>
      </c>
      <c r="D6502" s="132" t="n">
        <v>46658</v>
      </c>
      <c r="E6502" s="131" t="s">
        <v>14</v>
      </c>
      <c r="F6502" s="133" t="s">
        <v>24</v>
      </c>
      <c r="G6502" s="134" t="n">
        <f aca="false">LEN('Saisie programme'!$E$225)+SUMIFS('Vols additionnels'!$E$7:$E$66,'Vols additionnels'!$C$7:$C$66,$E6502,'Vols additionnels'!$D$7:$D$66,$F6502,'Vols additionnels'!$B$7:$B$66,$D6502)</f>
        <v>0</v>
      </c>
      <c r="H6502" s="135" t="n">
        <f aca="false">$G6502*'Analyse capacite'!$F$9</f>
        <v>0</v>
      </c>
      <c r="I6502" s="135" t="n">
        <f aca="false">$G6502*'Analyse capacite'!$C$9</f>
        <v>0</v>
      </c>
      <c r="J6502" s="135" t="n">
        <f aca="false">$G6502*'Analyse capacite'!$D$9</f>
        <v>0</v>
      </c>
      <c r="K6502" s="135" t="n">
        <f aca="false">$G6502*'Analyse capacite'!$E$9</f>
        <v>0</v>
      </c>
    </row>
    <row r="6503" customFormat="false" ht="15" hidden="false" customHeight="false" outlineLevel="0" collapsed="false">
      <c r="B6503" s="130" t="n">
        <v>2027</v>
      </c>
      <c r="C6503" s="131" t="s">
        <v>251</v>
      </c>
      <c r="D6503" s="132" t="n">
        <v>46658</v>
      </c>
      <c r="E6503" s="131" t="s">
        <v>46</v>
      </c>
      <c r="F6503" s="133" t="s">
        <v>11</v>
      </c>
      <c r="G6503" s="134" t="n">
        <f aca="false">LEN('Saisie programme'!$E$226)+SUMIFS('Vols additionnels'!$E$7:$E$66,'Vols additionnels'!$C$7:$C$66,$E6503,'Vols additionnels'!$D$7:$D$66,$F6503,'Vols additionnels'!$B$7:$B$66,$D6503)</f>
        <v>0</v>
      </c>
      <c r="H6503" s="135" t="n">
        <f aca="false">$G6503*'Analyse capacite'!$F$7</f>
        <v>0</v>
      </c>
      <c r="I6503" s="135" t="n">
        <f aca="false">$G6503*'Analyse capacite'!$C$7</f>
        <v>0</v>
      </c>
      <c r="J6503" s="135" t="n">
        <f aca="false">$G6503*'Analyse capacite'!$D$7</f>
        <v>0</v>
      </c>
      <c r="K6503" s="135" t="n">
        <f aca="false">$G6503*'Analyse capacite'!$E$7</f>
        <v>0</v>
      </c>
    </row>
    <row r="6504" customFormat="false" ht="15" hidden="false" customHeight="false" outlineLevel="0" collapsed="false">
      <c r="B6504" s="130" t="n">
        <v>2027</v>
      </c>
      <c r="C6504" s="131" t="s">
        <v>251</v>
      </c>
      <c r="D6504" s="132" t="n">
        <v>46658</v>
      </c>
      <c r="E6504" s="131" t="s">
        <v>46</v>
      </c>
      <c r="F6504" s="133" t="s">
        <v>19</v>
      </c>
      <c r="G6504" s="134" t="n">
        <f aca="false">LEN('Saisie programme'!$E$227)+SUMIFS('Vols additionnels'!$E$7:$E$66,'Vols additionnels'!$C$7:$C$66,$E6504,'Vols additionnels'!$D$7:$D$66,$F6504,'Vols additionnels'!$B$7:$B$66,$D6504)</f>
        <v>0</v>
      </c>
      <c r="H6504" s="135" t="n">
        <f aca="false">$G6504*'Analyse capacite'!$F$8</f>
        <v>0</v>
      </c>
      <c r="I6504" s="135" t="n">
        <f aca="false">$G6504*'Analyse capacite'!$C$8</f>
        <v>0</v>
      </c>
      <c r="J6504" s="135" t="n">
        <f aca="false">$G6504*'Analyse capacite'!$D$8</f>
        <v>0</v>
      </c>
      <c r="K6504" s="135" t="n">
        <f aca="false">$G6504*'Analyse capacite'!$E$8</f>
        <v>0</v>
      </c>
    </row>
    <row r="6505" customFormat="false" ht="15" hidden="false" customHeight="false" outlineLevel="0" collapsed="false">
      <c r="B6505" s="130" t="n">
        <v>2027</v>
      </c>
      <c r="C6505" s="131" t="s">
        <v>251</v>
      </c>
      <c r="D6505" s="132" t="n">
        <v>46658</v>
      </c>
      <c r="E6505" s="131" t="s">
        <v>46</v>
      </c>
      <c r="F6505" s="133" t="s">
        <v>24</v>
      </c>
      <c r="G6505" s="134" t="n">
        <f aca="false">LEN('Saisie programme'!$E$228)+SUMIFS('Vols additionnels'!$E$7:$E$66,'Vols additionnels'!$C$7:$C$66,$E6505,'Vols additionnels'!$D$7:$D$66,$F6505,'Vols additionnels'!$B$7:$B$66,$D6505)</f>
        <v>1</v>
      </c>
      <c r="H6505" s="135" t="n">
        <f aca="false">$G6505*'Analyse capacite'!$F$9</f>
        <v>174</v>
      </c>
      <c r="I6505" s="135" t="n">
        <f aca="false">$G6505*'Analyse capacite'!$C$9</f>
        <v>0</v>
      </c>
      <c r="J6505" s="135" t="n">
        <f aca="false">$G6505*'Analyse capacite'!$D$9</f>
        <v>12</v>
      </c>
      <c r="K6505" s="135" t="n">
        <f aca="false">$G6505*'Analyse capacite'!$E$9</f>
        <v>162</v>
      </c>
    </row>
    <row r="6506" customFormat="false" ht="15" hidden="false" customHeight="false" outlineLevel="0" collapsed="false">
      <c r="B6506" s="130" t="n">
        <v>2027</v>
      </c>
      <c r="C6506" s="131" t="s">
        <v>251</v>
      </c>
      <c r="D6506" s="132" t="n">
        <v>46658</v>
      </c>
      <c r="E6506" s="131" t="s">
        <v>49</v>
      </c>
      <c r="F6506" s="133" t="s">
        <v>11</v>
      </c>
      <c r="G6506" s="134" t="n">
        <f aca="false">LEN('Saisie programme'!$E$229)+SUMIFS('Vols additionnels'!$E$7:$E$66,'Vols additionnels'!$C$7:$C$66,$E6506,'Vols additionnels'!$D$7:$D$66,$F6506,'Vols additionnels'!$B$7:$B$66,$D6506)</f>
        <v>0</v>
      </c>
      <c r="H6506" s="135" t="n">
        <f aca="false">$G6506*'Analyse capacite'!$F$7</f>
        <v>0</v>
      </c>
      <c r="I6506" s="135" t="n">
        <f aca="false">$G6506*'Analyse capacite'!$C$7</f>
        <v>0</v>
      </c>
      <c r="J6506" s="135" t="n">
        <f aca="false">$G6506*'Analyse capacite'!$D$7</f>
        <v>0</v>
      </c>
      <c r="K6506" s="135" t="n">
        <f aca="false">$G6506*'Analyse capacite'!$E$7</f>
        <v>0</v>
      </c>
    </row>
    <row r="6507" customFormat="false" ht="15" hidden="false" customHeight="false" outlineLevel="0" collapsed="false">
      <c r="B6507" s="130" t="n">
        <v>2027</v>
      </c>
      <c r="C6507" s="131" t="s">
        <v>251</v>
      </c>
      <c r="D6507" s="132" t="n">
        <v>46658</v>
      </c>
      <c r="E6507" s="131" t="s">
        <v>49</v>
      </c>
      <c r="F6507" s="133" t="s">
        <v>19</v>
      </c>
      <c r="G6507" s="134" t="n">
        <f aca="false">LEN('Saisie programme'!$E$230)+SUMIFS('Vols additionnels'!$E$7:$E$66,'Vols additionnels'!$C$7:$C$66,$E6507,'Vols additionnels'!$D$7:$D$66,$F6507,'Vols additionnels'!$B$7:$B$66,$D6507)</f>
        <v>0</v>
      </c>
      <c r="H6507" s="135" t="n">
        <f aca="false">$G6507*'Analyse capacite'!$F$8</f>
        <v>0</v>
      </c>
      <c r="I6507" s="135" t="n">
        <f aca="false">$G6507*'Analyse capacite'!$C$8</f>
        <v>0</v>
      </c>
      <c r="J6507" s="135" t="n">
        <f aca="false">$G6507*'Analyse capacite'!$D$8</f>
        <v>0</v>
      </c>
      <c r="K6507" s="135" t="n">
        <f aca="false">$G6507*'Analyse capacite'!$E$8</f>
        <v>0</v>
      </c>
    </row>
    <row r="6508" customFormat="false" ht="15" hidden="false" customHeight="false" outlineLevel="0" collapsed="false">
      <c r="B6508" s="130" t="n">
        <v>2027</v>
      </c>
      <c r="C6508" s="131" t="s">
        <v>251</v>
      </c>
      <c r="D6508" s="132" t="n">
        <v>46658</v>
      </c>
      <c r="E6508" s="131" t="s">
        <v>49</v>
      </c>
      <c r="F6508" s="133" t="s">
        <v>24</v>
      </c>
      <c r="G6508" s="134" t="n">
        <f aca="false">LEN('Saisie programme'!$E$231)+SUMIFS('Vols additionnels'!$E$7:$E$66,'Vols additionnels'!$C$7:$C$66,$E6508,'Vols additionnels'!$D$7:$D$66,$F6508,'Vols additionnels'!$B$7:$B$66,$D6508)</f>
        <v>0</v>
      </c>
      <c r="H6508" s="135" t="n">
        <f aca="false">$G6508*'Analyse capacite'!$F$9</f>
        <v>0</v>
      </c>
      <c r="I6508" s="135" t="n">
        <f aca="false">$G6508*'Analyse capacite'!$C$9</f>
        <v>0</v>
      </c>
      <c r="J6508" s="135" t="n">
        <f aca="false">$G6508*'Analyse capacite'!$D$9</f>
        <v>0</v>
      </c>
      <c r="K6508" s="135" t="n">
        <f aca="false">$G6508*'Analyse capacite'!$E$9</f>
        <v>0</v>
      </c>
    </row>
    <row r="6509" customFormat="false" ht="15" hidden="false" customHeight="false" outlineLevel="0" collapsed="false">
      <c r="B6509" s="130" t="n">
        <v>2027</v>
      </c>
      <c r="C6509" s="131" t="s">
        <v>251</v>
      </c>
      <c r="D6509" s="132" t="n">
        <v>46658</v>
      </c>
      <c r="E6509" s="131" t="s">
        <v>53</v>
      </c>
      <c r="F6509" s="133" t="s">
        <v>11</v>
      </c>
      <c r="G6509" s="134" t="n">
        <f aca="false">LEN('Saisie programme'!$E$232)+SUMIFS('Vols additionnels'!$E$7:$E$66,'Vols additionnels'!$C$7:$C$66,$E6509,'Vols additionnels'!$D$7:$D$66,$F6509,'Vols additionnels'!$B$7:$B$66,$D6509)</f>
        <v>0</v>
      </c>
      <c r="H6509" s="135" t="n">
        <f aca="false">$G6509*'Analyse capacite'!$F$7</f>
        <v>0</v>
      </c>
      <c r="I6509" s="135" t="n">
        <f aca="false">$G6509*'Analyse capacite'!$C$7</f>
        <v>0</v>
      </c>
      <c r="J6509" s="135" t="n">
        <f aca="false">$G6509*'Analyse capacite'!$D$7</f>
        <v>0</v>
      </c>
      <c r="K6509" s="135" t="n">
        <f aca="false">$G6509*'Analyse capacite'!$E$7</f>
        <v>0</v>
      </c>
    </row>
    <row r="6510" customFormat="false" ht="15" hidden="false" customHeight="false" outlineLevel="0" collapsed="false">
      <c r="B6510" s="130" t="n">
        <v>2027</v>
      </c>
      <c r="C6510" s="131" t="s">
        <v>251</v>
      </c>
      <c r="D6510" s="132" t="n">
        <v>46658</v>
      </c>
      <c r="E6510" s="131" t="s">
        <v>53</v>
      </c>
      <c r="F6510" s="133" t="s">
        <v>19</v>
      </c>
      <c r="G6510" s="134" t="n">
        <f aca="false">LEN('Saisie programme'!$E$233)+SUMIFS('Vols additionnels'!$E$7:$E$66,'Vols additionnels'!$C$7:$C$66,$E6510,'Vols additionnels'!$D$7:$D$66,$F6510,'Vols additionnels'!$B$7:$B$66,$D6510)</f>
        <v>0</v>
      </c>
      <c r="H6510" s="135" t="n">
        <f aca="false">$G6510*'Analyse capacite'!$F$8</f>
        <v>0</v>
      </c>
      <c r="I6510" s="135" t="n">
        <f aca="false">$G6510*'Analyse capacite'!$C$8</f>
        <v>0</v>
      </c>
      <c r="J6510" s="135" t="n">
        <f aca="false">$G6510*'Analyse capacite'!$D$8</f>
        <v>0</v>
      </c>
      <c r="K6510" s="135" t="n">
        <f aca="false">$G6510*'Analyse capacite'!$E$8</f>
        <v>0</v>
      </c>
    </row>
    <row r="6511" customFormat="false" ht="15" hidden="false" customHeight="false" outlineLevel="0" collapsed="false">
      <c r="B6511" s="130" t="n">
        <v>2027</v>
      </c>
      <c r="C6511" s="131" t="s">
        <v>251</v>
      </c>
      <c r="D6511" s="132" t="n">
        <v>46658</v>
      </c>
      <c r="E6511" s="131" t="s">
        <v>53</v>
      </c>
      <c r="F6511" s="133" t="s">
        <v>24</v>
      </c>
      <c r="G6511" s="134" t="n">
        <f aca="false">LEN('Saisie programme'!$E$234)+SUMIFS('Vols additionnels'!$E$7:$E$66,'Vols additionnels'!$C$7:$C$66,$E6511,'Vols additionnels'!$D$7:$D$66,$F6511,'Vols additionnels'!$B$7:$B$66,$D6511)</f>
        <v>0</v>
      </c>
      <c r="H6511" s="135" t="n">
        <f aca="false">$G6511*'Analyse capacite'!$F$9</f>
        <v>0</v>
      </c>
      <c r="I6511" s="135" t="n">
        <f aca="false">$G6511*'Analyse capacite'!$C$9</f>
        <v>0</v>
      </c>
      <c r="J6511" s="135" t="n">
        <f aca="false">$G6511*'Analyse capacite'!$D$9</f>
        <v>0</v>
      </c>
      <c r="K6511" s="135" t="n">
        <f aca="false">$G6511*'Analyse capacite'!$E$9</f>
        <v>0</v>
      </c>
    </row>
    <row r="6512" customFormat="false" ht="15" hidden="false" customHeight="false" outlineLevel="0" collapsed="false">
      <c r="B6512" s="130" t="n">
        <v>2027</v>
      </c>
      <c r="C6512" s="131" t="s">
        <v>251</v>
      </c>
      <c r="D6512" s="132" t="n">
        <v>46658</v>
      </c>
      <c r="E6512" s="131" t="s">
        <v>56</v>
      </c>
      <c r="F6512" s="133" t="s">
        <v>11</v>
      </c>
      <c r="G6512" s="134" t="n">
        <f aca="false">LEN('Saisie programme'!$E$235)+SUMIFS('Vols additionnels'!$E$7:$E$66,'Vols additionnels'!$C$7:$C$66,$E6512,'Vols additionnels'!$D$7:$D$66,$F6512,'Vols additionnels'!$B$7:$B$66,$D6512)</f>
        <v>0</v>
      </c>
      <c r="H6512" s="135" t="n">
        <f aca="false">$G6512*'Analyse capacite'!$F$7</f>
        <v>0</v>
      </c>
      <c r="I6512" s="135" t="n">
        <f aca="false">$G6512*'Analyse capacite'!$C$7</f>
        <v>0</v>
      </c>
      <c r="J6512" s="135" t="n">
        <f aca="false">$G6512*'Analyse capacite'!$D$7</f>
        <v>0</v>
      </c>
      <c r="K6512" s="135" t="n">
        <f aca="false">$G6512*'Analyse capacite'!$E$7</f>
        <v>0</v>
      </c>
    </row>
    <row r="6513" customFormat="false" ht="15" hidden="false" customHeight="false" outlineLevel="0" collapsed="false">
      <c r="B6513" s="130" t="n">
        <v>2027</v>
      </c>
      <c r="C6513" s="131" t="s">
        <v>251</v>
      </c>
      <c r="D6513" s="132" t="n">
        <v>46658</v>
      </c>
      <c r="E6513" s="131" t="s">
        <v>56</v>
      </c>
      <c r="F6513" s="133" t="s">
        <v>19</v>
      </c>
      <c r="G6513" s="134" t="n">
        <f aca="false">LEN('Saisie programme'!$E$236)+SUMIFS('Vols additionnels'!$E$7:$E$66,'Vols additionnels'!$C$7:$C$66,$E6513,'Vols additionnels'!$D$7:$D$66,$F6513,'Vols additionnels'!$B$7:$B$66,$D6513)</f>
        <v>0</v>
      </c>
      <c r="H6513" s="135" t="n">
        <f aca="false">$G6513*'Analyse capacite'!$F$8</f>
        <v>0</v>
      </c>
      <c r="I6513" s="135" t="n">
        <f aca="false">$G6513*'Analyse capacite'!$C$8</f>
        <v>0</v>
      </c>
      <c r="J6513" s="135" t="n">
        <f aca="false">$G6513*'Analyse capacite'!$D$8</f>
        <v>0</v>
      </c>
      <c r="K6513" s="135" t="n">
        <f aca="false">$G6513*'Analyse capacite'!$E$8</f>
        <v>0</v>
      </c>
    </row>
    <row r="6514" customFormat="false" ht="15" hidden="false" customHeight="false" outlineLevel="0" collapsed="false">
      <c r="B6514" s="130" t="n">
        <v>2027</v>
      </c>
      <c r="C6514" s="131" t="s">
        <v>251</v>
      </c>
      <c r="D6514" s="132" t="n">
        <v>46658</v>
      </c>
      <c r="E6514" s="131" t="s">
        <v>56</v>
      </c>
      <c r="F6514" s="133" t="s">
        <v>24</v>
      </c>
      <c r="G6514" s="134" t="n">
        <f aca="false">LEN('Saisie programme'!$E$237)+SUMIFS('Vols additionnels'!$E$7:$E$66,'Vols additionnels'!$C$7:$C$66,$E6514,'Vols additionnels'!$D$7:$D$66,$F6514,'Vols additionnels'!$B$7:$B$66,$D6514)</f>
        <v>1</v>
      </c>
      <c r="H6514" s="135" t="n">
        <f aca="false">$G6514*'Analyse capacite'!$F$9</f>
        <v>174</v>
      </c>
      <c r="I6514" s="135" t="n">
        <f aca="false">$G6514*'Analyse capacite'!$C$9</f>
        <v>0</v>
      </c>
      <c r="J6514" s="135" t="n">
        <f aca="false">$G6514*'Analyse capacite'!$D$9</f>
        <v>12</v>
      </c>
      <c r="K6514" s="135" t="n">
        <f aca="false">$G6514*'Analyse capacite'!$E$9</f>
        <v>162</v>
      </c>
    </row>
    <row r="6515" customFormat="false" ht="15" hidden="false" customHeight="false" outlineLevel="0" collapsed="false">
      <c r="B6515" s="130" t="n">
        <v>2027</v>
      </c>
      <c r="C6515" s="131" t="s">
        <v>251</v>
      </c>
      <c r="D6515" s="132" t="n">
        <v>46658</v>
      </c>
      <c r="E6515" s="131" t="s">
        <v>59</v>
      </c>
      <c r="F6515" s="133" t="s">
        <v>11</v>
      </c>
      <c r="G6515" s="134" t="n">
        <f aca="false">LEN('Saisie programme'!$E$238)+SUMIFS('Vols additionnels'!$E$7:$E$66,'Vols additionnels'!$C$7:$C$66,$E6515,'Vols additionnels'!$D$7:$D$66,$F6515,'Vols additionnels'!$B$7:$B$66,$D6515)</f>
        <v>0</v>
      </c>
      <c r="H6515" s="135" t="n">
        <f aca="false">$G6515*'Analyse capacite'!$F$7</f>
        <v>0</v>
      </c>
      <c r="I6515" s="135" t="n">
        <f aca="false">$G6515*'Analyse capacite'!$C$7</f>
        <v>0</v>
      </c>
      <c r="J6515" s="135" t="n">
        <f aca="false">$G6515*'Analyse capacite'!$D$7</f>
        <v>0</v>
      </c>
      <c r="K6515" s="135" t="n">
        <f aca="false">$G6515*'Analyse capacite'!$E$7</f>
        <v>0</v>
      </c>
    </row>
    <row r="6516" customFormat="false" ht="15" hidden="false" customHeight="false" outlineLevel="0" collapsed="false">
      <c r="B6516" s="130" t="n">
        <v>2027</v>
      </c>
      <c r="C6516" s="131" t="s">
        <v>251</v>
      </c>
      <c r="D6516" s="132" t="n">
        <v>46658</v>
      </c>
      <c r="E6516" s="131" t="s">
        <v>59</v>
      </c>
      <c r="F6516" s="133" t="s">
        <v>19</v>
      </c>
      <c r="G6516" s="134" t="n">
        <f aca="false">LEN('Saisie programme'!$E$239)+SUMIFS('Vols additionnels'!$E$7:$E$66,'Vols additionnels'!$C$7:$C$66,$E6516,'Vols additionnels'!$D$7:$D$66,$F6516,'Vols additionnels'!$B$7:$B$66,$D6516)</f>
        <v>0</v>
      </c>
      <c r="H6516" s="135" t="n">
        <f aca="false">$G6516*'Analyse capacite'!$F$8</f>
        <v>0</v>
      </c>
      <c r="I6516" s="135" t="n">
        <f aca="false">$G6516*'Analyse capacite'!$C$8</f>
        <v>0</v>
      </c>
      <c r="J6516" s="135" t="n">
        <f aca="false">$G6516*'Analyse capacite'!$D$8</f>
        <v>0</v>
      </c>
      <c r="K6516" s="135" t="n">
        <f aca="false">$G6516*'Analyse capacite'!$E$8</f>
        <v>0</v>
      </c>
    </row>
    <row r="6517" customFormat="false" ht="15" hidden="false" customHeight="false" outlineLevel="0" collapsed="false">
      <c r="B6517" s="130" t="n">
        <v>2027</v>
      </c>
      <c r="C6517" s="131" t="s">
        <v>251</v>
      </c>
      <c r="D6517" s="132" t="n">
        <v>46658</v>
      </c>
      <c r="E6517" s="131" t="s">
        <v>59</v>
      </c>
      <c r="F6517" s="133" t="s">
        <v>24</v>
      </c>
      <c r="G6517" s="134" t="n">
        <f aca="false">LEN('Saisie programme'!$E$240)+SUMIFS('Vols additionnels'!$E$7:$E$66,'Vols additionnels'!$C$7:$C$66,$E6517,'Vols additionnels'!$D$7:$D$66,$F6517,'Vols additionnels'!$B$7:$B$66,$D6517)</f>
        <v>1</v>
      </c>
      <c r="H6517" s="135" t="n">
        <f aca="false">$G6517*'Analyse capacite'!$F$9</f>
        <v>174</v>
      </c>
      <c r="I6517" s="135" t="n">
        <f aca="false">$G6517*'Analyse capacite'!$C$9</f>
        <v>0</v>
      </c>
      <c r="J6517" s="135" t="n">
        <f aca="false">$G6517*'Analyse capacite'!$D$9</f>
        <v>12</v>
      </c>
      <c r="K6517" s="135" t="n">
        <f aca="false">$G6517*'Analyse capacite'!$E$9</f>
        <v>162</v>
      </c>
    </row>
    <row r="6518" customFormat="false" ht="15" hidden="false" customHeight="false" outlineLevel="0" collapsed="false">
      <c r="B6518" s="130" t="n">
        <v>2027</v>
      </c>
      <c r="C6518" s="131" t="s">
        <v>251</v>
      </c>
      <c r="D6518" s="132" t="n">
        <v>46658</v>
      </c>
      <c r="E6518" s="131" t="s">
        <v>62</v>
      </c>
      <c r="F6518" s="133" t="s">
        <v>11</v>
      </c>
      <c r="G6518" s="134" t="n">
        <f aca="false">LEN('Saisie programme'!$E$241)+SUMIFS('Vols additionnels'!$E$7:$E$66,'Vols additionnels'!$C$7:$C$66,$E6518,'Vols additionnels'!$D$7:$D$66,$F6518,'Vols additionnels'!$B$7:$B$66,$D6518)</f>
        <v>0</v>
      </c>
      <c r="H6518" s="135" t="n">
        <f aca="false">$G6518*'Analyse capacite'!$F$7</f>
        <v>0</v>
      </c>
      <c r="I6518" s="135" t="n">
        <f aca="false">$G6518*'Analyse capacite'!$C$7</f>
        <v>0</v>
      </c>
      <c r="J6518" s="135" t="n">
        <f aca="false">$G6518*'Analyse capacite'!$D$7</f>
        <v>0</v>
      </c>
      <c r="K6518" s="135" t="n">
        <f aca="false">$G6518*'Analyse capacite'!$E$7</f>
        <v>0</v>
      </c>
    </row>
    <row r="6519" customFormat="false" ht="15" hidden="false" customHeight="false" outlineLevel="0" collapsed="false">
      <c r="B6519" s="130" t="n">
        <v>2027</v>
      </c>
      <c r="C6519" s="131" t="s">
        <v>251</v>
      </c>
      <c r="D6519" s="132" t="n">
        <v>46658</v>
      </c>
      <c r="E6519" s="131" t="s">
        <v>62</v>
      </c>
      <c r="F6519" s="133" t="s">
        <v>19</v>
      </c>
      <c r="G6519" s="134" t="n">
        <f aca="false">LEN('Saisie programme'!$E$242)+SUMIFS('Vols additionnels'!$E$7:$E$66,'Vols additionnels'!$C$7:$C$66,$E6519,'Vols additionnels'!$D$7:$D$66,$F6519,'Vols additionnels'!$B$7:$B$66,$D6519)</f>
        <v>0</v>
      </c>
      <c r="H6519" s="135" t="n">
        <f aca="false">$G6519*'Analyse capacite'!$F$8</f>
        <v>0</v>
      </c>
      <c r="I6519" s="135" t="n">
        <f aca="false">$G6519*'Analyse capacite'!$C$8</f>
        <v>0</v>
      </c>
      <c r="J6519" s="135" t="n">
        <f aca="false">$G6519*'Analyse capacite'!$D$8</f>
        <v>0</v>
      </c>
      <c r="K6519" s="135" t="n">
        <f aca="false">$G6519*'Analyse capacite'!$E$8</f>
        <v>0</v>
      </c>
    </row>
    <row r="6520" customFormat="false" ht="15" hidden="false" customHeight="false" outlineLevel="0" collapsed="false">
      <c r="B6520" s="130" t="n">
        <v>2027</v>
      </c>
      <c r="C6520" s="131" t="s">
        <v>251</v>
      </c>
      <c r="D6520" s="132" t="n">
        <v>46658</v>
      </c>
      <c r="E6520" s="131" t="s">
        <v>62</v>
      </c>
      <c r="F6520" s="133" t="s">
        <v>24</v>
      </c>
      <c r="G6520" s="134" t="n">
        <f aca="false">LEN('Saisie programme'!$E$243)+SUMIFS('Vols additionnels'!$E$7:$E$66,'Vols additionnels'!$C$7:$C$66,$E6520,'Vols additionnels'!$D$7:$D$66,$F6520,'Vols additionnels'!$B$7:$B$66,$D6520)</f>
        <v>0</v>
      </c>
      <c r="H6520" s="135" t="n">
        <f aca="false">$G6520*'Analyse capacite'!$F$9</f>
        <v>0</v>
      </c>
      <c r="I6520" s="135" t="n">
        <f aca="false">$G6520*'Analyse capacite'!$C$9</f>
        <v>0</v>
      </c>
      <c r="J6520" s="135" t="n">
        <f aca="false">$G6520*'Analyse capacite'!$D$9</f>
        <v>0</v>
      </c>
      <c r="K6520" s="135" t="n">
        <f aca="false">$G6520*'Analyse capacite'!$E$9</f>
        <v>0</v>
      </c>
    </row>
    <row r="6521" customFormat="false" ht="15" hidden="false" customHeight="false" outlineLevel="0" collapsed="false">
      <c r="B6521" s="130" t="n">
        <v>2027</v>
      </c>
      <c r="C6521" s="131" t="s">
        <v>251</v>
      </c>
      <c r="D6521" s="132" t="n">
        <v>46659</v>
      </c>
      <c r="E6521" s="131" t="s">
        <v>12</v>
      </c>
      <c r="F6521" s="133" t="s">
        <v>11</v>
      </c>
      <c r="G6521" s="134" t="n">
        <f aca="false">LEN('Saisie programme'!$F$208)+SUMIFS('Vols additionnels'!$E$7:$E$66,'Vols additionnels'!$C$7:$C$66,$E6521,'Vols additionnels'!$D$7:$D$66,$F6521,'Vols additionnels'!$B$7:$B$66,$D6521)</f>
        <v>1</v>
      </c>
      <c r="H6521" s="135" t="n">
        <f aca="false">$G6521*'Analyse capacite'!$F$7</f>
        <v>438</v>
      </c>
      <c r="I6521" s="135" t="n">
        <f aca="false">$G6521*'Analyse capacite'!$C$7</f>
        <v>14</v>
      </c>
      <c r="J6521" s="135" t="n">
        <f aca="false">$G6521*'Analyse capacite'!$D$7</f>
        <v>40</v>
      </c>
      <c r="K6521" s="135" t="n">
        <f aca="false">$G6521*'Analyse capacite'!$E$7</f>
        <v>384</v>
      </c>
    </row>
    <row r="6522" customFormat="false" ht="15" hidden="false" customHeight="false" outlineLevel="0" collapsed="false">
      <c r="B6522" s="130" t="n">
        <v>2027</v>
      </c>
      <c r="C6522" s="131" t="s">
        <v>251</v>
      </c>
      <c r="D6522" s="132" t="n">
        <v>46659</v>
      </c>
      <c r="E6522" s="131" t="s">
        <v>12</v>
      </c>
      <c r="F6522" s="133" t="s">
        <v>19</v>
      </c>
      <c r="G6522" s="134" t="n">
        <f aca="false">LEN('Saisie programme'!$F$209)+SUMIFS('Vols additionnels'!$E$7:$E$66,'Vols additionnels'!$C$7:$C$66,$E6522,'Vols additionnels'!$D$7:$D$66,$F6522,'Vols additionnels'!$B$7:$B$66,$D6522)</f>
        <v>0</v>
      </c>
      <c r="H6522" s="135" t="n">
        <f aca="false">$G6522*'Analyse capacite'!$F$8</f>
        <v>0</v>
      </c>
      <c r="I6522" s="135" t="n">
        <f aca="false">$G6522*'Analyse capacite'!$C$8</f>
        <v>0</v>
      </c>
      <c r="J6522" s="135" t="n">
        <f aca="false">$G6522*'Analyse capacite'!$D$8</f>
        <v>0</v>
      </c>
      <c r="K6522" s="135" t="n">
        <f aca="false">$G6522*'Analyse capacite'!$E$8</f>
        <v>0</v>
      </c>
    </row>
    <row r="6523" customFormat="false" ht="15" hidden="false" customHeight="false" outlineLevel="0" collapsed="false">
      <c r="B6523" s="130" t="n">
        <v>2027</v>
      </c>
      <c r="C6523" s="131" t="s">
        <v>251</v>
      </c>
      <c r="D6523" s="132" t="n">
        <v>46659</v>
      </c>
      <c r="E6523" s="131" t="s">
        <v>12</v>
      </c>
      <c r="F6523" s="133" t="s">
        <v>24</v>
      </c>
      <c r="G6523" s="134" t="n">
        <f aca="false">LEN('Saisie programme'!$F$210)+SUMIFS('Vols additionnels'!$E$7:$E$66,'Vols additionnels'!$C$7:$C$66,$E6523,'Vols additionnels'!$D$7:$D$66,$F6523,'Vols additionnels'!$B$7:$B$66,$D6523)</f>
        <v>0</v>
      </c>
      <c r="H6523" s="135" t="n">
        <f aca="false">$G6523*'Analyse capacite'!$F$9</f>
        <v>0</v>
      </c>
      <c r="I6523" s="135" t="n">
        <f aca="false">$G6523*'Analyse capacite'!$C$9</f>
        <v>0</v>
      </c>
      <c r="J6523" s="135" t="n">
        <f aca="false">$G6523*'Analyse capacite'!$D$9</f>
        <v>0</v>
      </c>
      <c r="K6523" s="135" t="n">
        <f aca="false">$G6523*'Analyse capacite'!$E$9</f>
        <v>0</v>
      </c>
    </row>
    <row r="6524" customFormat="false" ht="15" hidden="false" customHeight="false" outlineLevel="0" collapsed="false">
      <c r="B6524" s="130" t="n">
        <v>2027</v>
      </c>
      <c r="C6524" s="131" t="s">
        <v>251</v>
      </c>
      <c r="D6524" s="132" t="n">
        <v>46659</v>
      </c>
      <c r="E6524" s="131" t="s">
        <v>20</v>
      </c>
      <c r="F6524" s="133" t="s">
        <v>11</v>
      </c>
      <c r="G6524" s="134" t="n">
        <f aca="false">LEN('Saisie programme'!$F$211)+SUMIFS('Vols additionnels'!$E$7:$E$66,'Vols additionnels'!$C$7:$C$66,$E6524,'Vols additionnels'!$D$7:$D$66,$F6524,'Vols additionnels'!$B$7:$B$66,$D6524)</f>
        <v>0</v>
      </c>
      <c r="H6524" s="135" t="n">
        <f aca="false">$G6524*'Analyse capacite'!$F$7</f>
        <v>0</v>
      </c>
      <c r="I6524" s="135" t="n">
        <f aca="false">$G6524*'Analyse capacite'!$C$7</f>
        <v>0</v>
      </c>
      <c r="J6524" s="135" t="n">
        <f aca="false">$G6524*'Analyse capacite'!$D$7</f>
        <v>0</v>
      </c>
      <c r="K6524" s="135" t="n">
        <f aca="false">$G6524*'Analyse capacite'!$E$7</f>
        <v>0</v>
      </c>
    </row>
    <row r="6525" customFormat="false" ht="15" hidden="false" customHeight="false" outlineLevel="0" collapsed="false">
      <c r="B6525" s="130" t="n">
        <v>2027</v>
      </c>
      <c r="C6525" s="131" t="s">
        <v>251</v>
      </c>
      <c r="D6525" s="132" t="n">
        <v>46659</v>
      </c>
      <c r="E6525" s="131" t="s">
        <v>20</v>
      </c>
      <c r="F6525" s="133" t="s">
        <v>19</v>
      </c>
      <c r="G6525" s="134" t="n">
        <f aca="false">LEN('Saisie programme'!$F$212)+SUMIFS('Vols additionnels'!$E$7:$E$66,'Vols additionnels'!$C$7:$C$66,$E6525,'Vols additionnels'!$D$7:$D$66,$F6525,'Vols additionnels'!$B$7:$B$66,$D6525)</f>
        <v>0</v>
      </c>
      <c r="H6525" s="135" t="n">
        <f aca="false">$G6525*'Analyse capacite'!$F$8</f>
        <v>0</v>
      </c>
      <c r="I6525" s="135" t="n">
        <f aca="false">$G6525*'Analyse capacite'!$C$8</f>
        <v>0</v>
      </c>
      <c r="J6525" s="135" t="n">
        <f aca="false">$G6525*'Analyse capacite'!$D$8</f>
        <v>0</v>
      </c>
      <c r="K6525" s="135" t="n">
        <f aca="false">$G6525*'Analyse capacite'!$E$8</f>
        <v>0</v>
      </c>
    </row>
    <row r="6526" customFormat="false" ht="15" hidden="false" customHeight="false" outlineLevel="0" collapsed="false">
      <c r="B6526" s="130" t="n">
        <v>2027</v>
      </c>
      <c r="C6526" s="131" t="s">
        <v>251</v>
      </c>
      <c r="D6526" s="132" t="n">
        <v>46659</v>
      </c>
      <c r="E6526" s="131" t="s">
        <v>20</v>
      </c>
      <c r="F6526" s="133" t="s">
        <v>24</v>
      </c>
      <c r="G6526" s="134" t="n">
        <f aca="false">LEN('Saisie programme'!$F$213)+SUMIFS('Vols additionnels'!$E$7:$E$66,'Vols additionnels'!$C$7:$C$66,$E6526,'Vols additionnels'!$D$7:$D$66,$F6526,'Vols additionnels'!$B$7:$B$66,$D6526)</f>
        <v>0</v>
      </c>
      <c r="H6526" s="135" t="n">
        <f aca="false">$G6526*'Analyse capacite'!$F$9</f>
        <v>0</v>
      </c>
      <c r="I6526" s="135" t="n">
        <f aca="false">$G6526*'Analyse capacite'!$C$9</f>
        <v>0</v>
      </c>
      <c r="J6526" s="135" t="n">
        <f aca="false">$G6526*'Analyse capacite'!$D$9</f>
        <v>0</v>
      </c>
      <c r="K6526" s="135" t="n">
        <f aca="false">$G6526*'Analyse capacite'!$E$9</f>
        <v>0</v>
      </c>
    </row>
    <row r="6527" customFormat="false" ht="15" hidden="false" customHeight="false" outlineLevel="0" collapsed="false">
      <c r="B6527" s="130" t="n">
        <v>2027</v>
      </c>
      <c r="C6527" s="131" t="s">
        <v>251</v>
      </c>
      <c r="D6527" s="132" t="n">
        <v>46659</v>
      </c>
      <c r="E6527" s="131" t="s">
        <v>25</v>
      </c>
      <c r="F6527" s="133" t="s">
        <v>11</v>
      </c>
      <c r="G6527" s="134" t="n">
        <f aca="false">LEN('Saisie programme'!$F$214)+SUMIFS('Vols additionnels'!$E$7:$E$66,'Vols additionnels'!$C$7:$C$66,$E6527,'Vols additionnels'!$D$7:$D$66,$F6527,'Vols additionnels'!$B$7:$B$66,$D6527)</f>
        <v>0</v>
      </c>
      <c r="H6527" s="135" t="n">
        <f aca="false">$G6527*'Analyse capacite'!$F$7</f>
        <v>0</v>
      </c>
      <c r="I6527" s="135" t="n">
        <f aca="false">$G6527*'Analyse capacite'!$C$7</f>
        <v>0</v>
      </c>
      <c r="J6527" s="135" t="n">
        <f aca="false">$G6527*'Analyse capacite'!$D$7</f>
        <v>0</v>
      </c>
      <c r="K6527" s="135" t="n">
        <f aca="false">$G6527*'Analyse capacite'!$E$7</f>
        <v>0</v>
      </c>
    </row>
    <row r="6528" customFormat="false" ht="15" hidden="false" customHeight="false" outlineLevel="0" collapsed="false">
      <c r="B6528" s="130" t="n">
        <v>2027</v>
      </c>
      <c r="C6528" s="131" t="s">
        <v>251</v>
      </c>
      <c r="D6528" s="132" t="n">
        <v>46659</v>
      </c>
      <c r="E6528" s="131" t="s">
        <v>25</v>
      </c>
      <c r="F6528" s="133" t="s">
        <v>19</v>
      </c>
      <c r="G6528" s="134" t="n">
        <f aca="false">LEN('Saisie programme'!$F$215)+SUMIFS('Vols additionnels'!$E$7:$E$66,'Vols additionnels'!$C$7:$C$66,$E6528,'Vols additionnels'!$D$7:$D$66,$F6528,'Vols additionnels'!$B$7:$B$66,$D6528)</f>
        <v>1</v>
      </c>
      <c r="H6528" s="135" t="n">
        <f aca="false">$G6528*'Analyse capacite'!$F$8</f>
        <v>262</v>
      </c>
      <c r="I6528" s="135" t="n">
        <f aca="false">$G6528*'Analyse capacite'!$C$8</f>
        <v>18</v>
      </c>
      <c r="J6528" s="135" t="n">
        <f aca="false">$G6528*'Analyse capacite'!$D$8</f>
        <v>0</v>
      </c>
      <c r="K6528" s="135" t="n">
        <f aca="false">$G6528*'Analyse capacite'!$E$8</f>
        <v>244</v>
      </c>
    </row>
    <row r="6529" customFormat="false" ht="15" hidden="false" customHeight="false" outlineLevel="0" collapsed="false">
      <c r="B6529" s="130" t="n">
        <v>2027</v>
      </c>
      <c r="C6529" s="131" t="s">
        <v>251</v>
      </c>
      <c r="D6529" s="132" t="n">
        <v>46659</v>
      </c>
      <c r="E6529" s="131" t="s">
        <v>25</v>
      </c>
      <c r="F6529" s="133" t="s">
        <v>24</v>
      </c>
      <c r="G6529" s="134" t="n">
        <f aca="false">LEN('Saisie programme'!$F$216)+SUMIFS('Vols additionnels'!$E$7:$E$66,'Vols additionnels'!$C$7:$C$66,$E6529,'Vols additionnels'!$D$7:$D$66,$F6529,'Vols additionnels'!$B$7:$B$66,$D6529)</f>
        <v>0</v>
      </c>
      <c r="H6529" s="135" t="n">
        <f aca="false">$G6529*'Analyse capacite'!$F$9</f>
        <v>0</v>
      </c>
      <c r="I6529" s="135" t="n">
        <f aca="false">$G6529*'Analyse capacite'!$C$9</f>
        <v>0</v>
      </c>
      <c r="J6529" s="135" t="n">
        <f aca="false">$G6529*'Analyse capacite'!$D$9</f>
        <v>0</v>
      </c>
      <c r="K6529" s="135" t="n">
        <f aca="false">$G6529*'Analyse capacite'!$E$9</f>
        <v>0</v>
      </c>
    </row>
    <row r="6530" customFormat="false" ht="15" hidden="false" customHeight="false" outlineLevel="0" collapsed="false">
      <c r="B6530" s="130" t="n">
        <v>2027</v>
      </c>
      <c r="C6530" s="131" t="s">
        <v>251</v>
      </c>
      <c r="D6530" s="132" t="n">
        <v>46659</v>
      </c>
      <c r="E6530" s="131" t="s">
        <v>36</v>
      </c>
      <c r="F6530" s="133" t="s">
        <v>11</v>
      </c>
      <c r="G6530" s="134" t="n">
        <f aca="false">LEN('Saisie programme'!$F$217)+SUMIFS('Vols additionnels'!$E$7:$E$66,'Vols additionnels'!$C$7:$C$66,$E6530,'Vols additionnels'!$D$7:$D$66,$F6530,'Vols additionnels'!$B$7:$B$66,$D6530)</f>
        <v>0</v>
      </c>
      <c r="H6530" s="135" t="n">
        <f aca="false">$G6530*'Analyse capacite'!$F$7</f>
        <v>0</v>
      </c>
      <c r="I6530" s="135" t="n">
        <f aca="false">$G6530*'Analyse capacite'!$C$7</f>
        <v>0</v>
      </c>
      <c r="J6530" s="135" t="n">
        <f aca="false">$G6530*'Analyse capacite'!$D$7</f>
        <v>0</v>
      </c>
      <c r="K6530" s="135" t="n">
        <f aca="false">$G6530*'Analyse capacite'!$E$7</f>
        <v>0</v>
      </c>
    </row>
    <row r="6531" customFormat="false" ht="15" hidden="false" customHeight="false" outlineLevel="0" collapsed="false">
      <c r="B6531" s="130" t="n">
        <v>2027</v>
      </c>
      <c r="C6531" s="131" t="s">
        <v>251</v>
      </c>
      <c r="D6531" s="132" t="n">
        <v>46659</v>
      </c>
      <c r="E6531" s="131" t="s">
        <v>36</v>
      </c>
      <c r="F6531" s="133" t="s">
        <v>19</v>
      </c>
      <c r="G6531" s="134" t="n">
        <f aca="false">LEN('Saisie programme'!$F$218)+SUMIFS('Vols additionnels'!$E$7:$E$66,'Vols additionnels'!$C$7:$C$66,$E6531,'Vols additionnels'!$D$7:$D$66,$F6531,'Vols additionnels'!$B$7:$B$66,$D6531)</f>
        <v>1</v>
      </c>
      <c r="H6531" s="135" t="n">
        <f aca="false">$G6531*'Analyse capacite'!$F$8</f>
        <v>262</v>
      </c>
      <c r="I6531" s="135" t="n">
        <f aca="false">$G6531*'Analyse capacite'!$C$8</f>
        <v>18</v>
      </c>
      <c r="J6531" s="135" t="n">
        <f aca="false">$G6531*'Analyse capacite'!$D$8</f>
        <v>0</v>
      </c>
      <c r="K6531" s="135" t="n">
        <f aca="false">$G6531*'Analyse capacite'!$E$8</f>
        <v>244</v>
      </c>
    </row>
    <row r="6532" customFormat="false" ht="15" hidden="false" customHeight="false" outlineLevel="0" collapsed="false">
      <c r="B6532" s="130" t="n">
        <v>2027</v>
      </c>
      <c r="C6532" s="131" t="s">
        <v>251</v>
      </c>
      <c r="D6532" s="132" t="n">
        <v>46659</v>
      </c>
      <c r="E6532" s="131" t="s">
        <v>36</v>
      </c>
      <c r="F6532" s="133" t="s">
        <v>24</v>
      </c>
      <c r="G6532" s="134" t="n">
        <f aca="false">LEN('Saisie programme'!$F$219)+SUMIFS('Vols additionnels'!$E$7:$E$66,'Vols additionnels'!$C$7:$C$66,$E6532,'Vols additionnels'!$D$7:$D$66,$F6532,'Vols additionnels'!$B$7:$B$66,$D6532)</f>
        <v>1</v>
      </c>
      <c r="H6532" s="135" t="n">
        <f aca="false">$G6532*'Analyse capacite'!$F$9</f>
        <v>174</v>
      </c>
      <c r="I6532" s="135" t="n">
        <f aca="false">$G6532*'Analyse capacite'!$C$9</f>
        <v>0</v>
      </c>
      <c r="J6532" s="135" t="n">
        <f aca="false">$G6532*'Analyse capacite'!$D$9</f>
        <v>12</v>
      </c>
      <c r="K6532" s="135" t="n">
        <f aca="false">$G6532*'Analyse capacite'!$E$9</f>
        <v>162</v>
      </c>
    </row>
    <row r="6533" customFormat="false" ht="15" hidden="false" customHeight="false" outlineLevel="0" collapsed="false">
      <c r="B6533" s="130" t="n">
        <v>2027</v>
      </c>
      <c r="C6533" s="131" t="s">
        <v>251</v>
      </c>
      <c r="D6533" s="132" t="n">
        <v>46659</v>
      </c>
      <c r="E6533" s="131" t="s">
        <v>40</v>
      </c>
      <c r="F6533" s="133" t="s">
        <v>11</v>
      </c>
      <c r="G6533" s="134" t="n">
        <f aca="false">LEN('Saisie programme'!$F$220)+SUMIFS('Vols additionnels'!$E$7:$E$66,'Vols additionnels'!$C$7:$C$66,$E6533,'Vols additionnels'!$D$7:$D$66,$F6533,'Vols additionnels'!$B$7:$B$66,$D6533)</f>
        <v>0</v>
      </c>
      <c r="H6533" s="135" t="n">
        <f aca="false">$G6533*'Analyse capacite'!$F$7</f>
        <v>0</v>
      </c>
      <c r="I6533" s="135" t="n">
        <f aca="false">$G6533*'Analyse capacite'!$C$7</f>
        <v>0</v>
      </c>
      <c r="J6533" s="135" t="n">
        <f aca="false">$G6533*'Analyse capacite'!$D$7</f>
        <v>0</v>
      </c>
      <c r="K6533" s="135" t="n">
        <f aca="false">$G6533*'Analyse capacite'!$E$7</f>
        <v>0</v>
      </c>
    </row>
    <row r="6534" customFormat="false" ht="15" hidden="false" customHeight="false" outlineLevel="0" collapsed="false">
      <c r="B6534" s="130" t="n">
        <v>2027</v>
      </c>
      <c r="C6534" s="131" t="s">
        <v>251</v>
      </c>
      <c r="D6534" s="132" t="n">
        <v>46659</v>
      </c>
      <c r="E6534" s="131" t="s">
        <v>40</v>
      </c>
      <c r="F6534" s="133" t="s">
        <v>19</v>
      </c>
      <c r="G6534" s="134" t="n">
        <f aca="false">LEN('Saisie programme'!$F$221)+SUMIFS('Vols additionnels'!$E$7:$E$66,'Vols additionnels'!$C$7:$C$66,$E6534,'Vols additionnels'!$D$7:$D$66,$F6534,'Vols additionnels'!$B$7:$B$66,$D6534)</f>
        <v>0</v>
      </c>
      <c r="H6534" s="135" t="n">
        <f aca="false">$G6534*'Analyse capacite'!$F$8</f>
        <v>0</v>
      </c>
      <c r="I6534" s="135" t="n">
        <f aca="false">$G6534*'Analyse capacite'!$C$8</f>
        <v>0</v>
      </c>
      <c r="J6534" s="135" t="n">
        <f aca="false">$G6534*'Analyse capacite'!$D$8</f>
        <v>0</v>
      </c>
      <c r="K6534" s="135" t="n">
        <f aca="false">$G6534*'Analyse capacite'!$E$8</f>
        <v>0</v>
      </c>
    </row>
    <row r="6535" customFormat="false" ht="15" hidden="false" customHeight="false" outlineLevel="0" collapsed="false">
      <c r="B6535" s="130" t="n">
        <v>2027</v>
      </c>
      <c r="C6535" s="131" t="s">
        <v>251</v>
      </c>
      <c r="D6535" s="132" t="n">
        <v>46659</v>
      </c>
      <c r="E6535" s="131" t="s">
        <v>40</v>
      </c>
      <c r="F6535" s="133" t="s">
        <v>24</v>
      </c>
      <c r="G6535" s="134" t="n">
        <f aca="false">LEN('Saisie programme'!$F$222)+SUMIFS('Vols additionnels'!$E$7:$E$66,'Vols additionnels'!$C$7:$C$66,$E6535,'Vols additionnels'!$D$7:$D$66,$F6535,'Vols additionnels'!$B$7:$B$66,$D6535)</f>
        <v>1</v>
      </c>
      <c r="H6535" s="135" t="n">
        <f aca="false">$G6535*'Analyse capacite'!$F$9</f>
        <v>174</v>
      </c>
      <c r="I6535" s="135" t="n">
        <f aca="false">$G6535*'Analyse capacite'!$C$9</f>
        <v>0</v>
      </c>
      <c r="J6535" s="135" t="n">
        <f aca="false">$G6535*'Analyse capacite'!$D$9</f>
        <v>12</v>
      </c>
      <c r="K6535" s="135" t="n">
        <f aca="false">$G6535*'Analyse capacite'!$E$9</f>
        <v>162</v>
      </c>
    </row>
    <row r="6536" customFormat="false" ht="15" hidden="false" customHeight="false" outlineLevel="0" collapsed="false">
      <c r="B6536" s="130" t="n">
        <v>2027</v>
      </c>
      <c r="C6536" s="131" t="s">
        <v>251</v>
      </c>
      <c r="D6536" s="132" t="n">
        <v>46659</v>
      </c>
      <c r="E6536" s="131" t="s">
        <v>14</v>
      </c>
      <c r="F6536" s="133" t="s">
        <v>11</v>
      </c>
      <c r="G6536" s="134" t="n">
        <f aca="false">LEN('Saisie programme'!$F$223)+SUMIFS('Vols additionnels'!$E$7:$E$66,'Vols additionnels'!$C$7:$C$66,$E6536,'Vols additionnels'!$D$7:$D$66,$F6536,'Vols additionnels'!$B$7:$B$66,$D6536)</f>
        <v>0</v>
      </c>
      <c r="H6536" s="135" t="n">
        <f aca="false">$G6536*'Analyse capacite'!$F$7</f>
        <v>0</v>
      </c>
      <c r="I6536" s="135" t="n">
        <f aca="false">$G6536*'Analyse capacite'!$C$7</f>
        <v>0</v>
      </c>
      <c r="J6536" s="135" t="n">
        <f aca="false">$G6536*'Analyse capacite'!$D$7</f>
        <v>0</v>
      </c>
      <c r="K6536" s="135" t="n">
        <f aca="false">$G6536*'Analyse capacite'!$E$7</f>
        <v>0</v>
      </c>
    </row>
    <row r="6537" customFormat="false" ht="15" hidden="false" customHeight="false" outlineLevel="0" collapsed="false">
      <c r="B6537" s="130" t="n">
        <v>2027</v>
      </c>
      <c r="C6537" s="131" t="s">
        <v>251</v>
      </c>
      <c r="D6537" s="132" t="n">
        <v>46659</v>
      </c>
      <c r="E6537" s="131" t="s">
        <v>14</v>
      </c>
      <c r="F6537" s="133" t="s">
        <v>19</v>
      </c>
      <c r="G6537" s="134" t="n">
        <f aca="false">LEN('Saisie programme'!$F$224)+SUMIFS('Vols additionnels'!$E$7:$E$66,'Vols additionnels'!$C$7:$C$66,$E6537,'Vols additionnels'!$D$7:$D$66,$F6537,'Vols additionnels'!$B$7:$B$66,$D6537)</f>
        <v>0</v>
      </c>
      <c r="H6537" s="135" t="n">
        <f aca="false">$G6537*'Analyse capacite'!$F$8</f>
        <v>0</v>
      </c>
      <c r="I6537" s="135" t="n">
        <f aca="false">$G6537*'Analyse capacite'!$C$8</f>
        <v>0</v>
      </c>
      <c r="J6537" s="135" t="n">
        <f aca="false">$G6537*'Analyse capacite'!$D$8</f>
        <v>0</v>
      </c>
      <c r="K6537" s="135" t="n">
        <f aca="false">$G6537*'Analyse capacite'!$E$8</f>
        <v>0</v>
      </c>
    </row>
    <row r="6538" customFormat="false" ht="15" hidden="false" customHeight="false" outlineLevel="0" collapsed="false">
      <c r="B6538" s="130" t="n">
        <v>2027</v>
      </c>
      <c r="C6538" s="131" t="s">
        <v>251</v>
      </c>
      <c r="D6538" s="132" t="n">
        <v>46659</v>
      </c>
      <c r="E6538" s="131" t="s">
        <v>14</v>
      </c>
      <c r="F6538" s="133" t="s">
        <v>24</v>
      </c>
      <c r="G6538" s="134" t="n">
        <f aca="false">LEN('Saisie programme'!$F$225)+SUMIFS('Vols additionnels'!$E$7:$E$66,'Vols additionnels'!$C$7:$C$66,$E6538,'Vols additionnels'!$D$7:$D$66,$F6538,'Vols additionnels'!$B$7:$B$66,$D6538)</f>
        <v>0</v>
      </c>
      <c r="H6538" s="135" t="n">
        <f aca="false">$G6538*'Analyse capacite'!$F$9</f>
        <v>0</v>
      </c>
      <c r="I6538" s="135" t="n">
        <f aca="false">$G6538*'Analyse capacite'!$C$9</f>
        <v>0</v>
      </c>
      <c r="J6538" s="135" t="n">
        <f aca="false">$G6538*'Analyse capacite'!$D$9</f>
        <v>0</v>
      </c>
      <c r="K6538" s="135" t="n">
        <f aca="false">$G6538*'Analyse capacite'!$E$9</f>
        <v>0</v>
      </c>
    </row>
    <row r="6539" customFormat="false" ht="15" hidden="false" customHeight="false" outlineLevel="0" collapsed="false">
      <c r="B6539" s="130" t="n">
        <v>2027</v>
      </c>
      <c r="C6539" s="131" t="s">
        <v>251</v>
      </c>
      <c r="D6539" s="132" t="n">
        <v>46659</v>
      </c>
      <c r="E6539" s="131" t="s">
        <v>46</v>
      </c>
      <c r="F6539" s="133" t="s">
        <v>11</v>
      </c>
      <c r="G6539" s="134" t="n">
        <f aca="false">LEN('Saisie programme'!$F$226)+SUMIFS('Vols additionnels'!$E$7:$E$66,'Vols additionnels'!$C$7:$C$66,$E6539,'Vols additionnels'!$D$7:$D$66,$F6539,'Vols additionnels'!$B$7:$B$66,$D6539)</f>
        <v>0</v>
      </c>
      <c r="H6539" s="135" t="n">
        <f aca="false">$G6539*'Analyse capacite'!$F$7</f>
        <v>0</v>
      </c>
      <c r="I6539" s="135" t="n">
        <f aca="false">$G6539*'Analyse capacite'!$C$7</f>
        <v>0</v>
      </c>
      <c r="J6539" s="135" t="n">
        <f aca="false">$G6539*'Analyse capacite'!$D$7</f>
        <v>0</v>
      </c>
      <c r="K6539" s="135" t="n">
        <f aca="false">$G6539*'Analyse capacite'!$E$7</f>
        <v>0</v>
      </c>
    </row>
    <row r="6540" customFormat="false" ht="15" hidden="false" customHeight="false" outlineLevel="0" collapsed="false">
      <c r="B6540" s="130" t="n">
        <v>2027</v>
      </c>
      <c r="C6540" s="131" t="s">
        <v>251</v>
      </c>
      <c r="D6540" s="132" t="n">
        <v>46659</v>
      </c>
      <c r="E6540" s="131" t="s">
        <v>46</v>
      </c>
      <c r="F6540" s="133" t="s">
        <v>19</v>
      </c>
      <c r="G6540" s="134" t="n">
        <f aca="false">LEN('Saisie programme'!$F$227)+SUMIFS('Vols additionnels'!$E$7:$E$66,'Vols additionnels'!$C$7:$C$66,$E6540,'Vols additionnels'!$D$7:$D$66,$F6540,'Vols additionnels'!$B$7:$B$66,$D6540)</f>
        <v>0</v>
      </c>
      <c r="H6540" s="135" t="n">
        <f aca="false">$G6540*'Analyse capacite'!$F$8</f>
        <v>0</v>
      </c>
      <c r="I6540" s="135" t="n">
        <f aca="false">$G6540*'Analyse capacite'!$C$8</f>
        <v>0</v>
      </c>
      <c r="J6540" s="135" t="n">
        <f aca="false">$G6540*'Analyse capacite'!$D$8</f>
        <v>0</v>
      </c>
      <c r="K6540" s="135" t="n">
        <f aca="false">$G6540*'Analyse capacite'!$E$8</f>
        <v>0</v>
      </c>
    </row>
    <row r="6541" customFormat="false" ht="15" hidden="false" customHeight="false" outlineLevel="0" collapsed="false">
      <c r="B6541" s="130" t="n">
        <v>2027</v>
      </c>
      <c r="C6541" s="131" t="s">
        <v>251</v>
      </c>
      <c r="D6541" s="132" t="n">
        <v>46659</v>
      </c>
      <c r="E6541" s="131" t="s">
        <v>46</v>
      </c>
      <c r="F6541" s="133" t="s">
        <v>24</v>
      </c>
      <c r="G6541" s="134" t="n">
        <f aca="false">LEN('Saisie programme'!$F$228)+SUMIFS('Vols additionnels'!$E$7:$E$66,'Vols additionnels'!$C$7:$C$66,$E6541,'Vols additionnels'!$D$7:$D$66,$F6541,'Vols additionnels'!$B$7:$B$66,$D6541)</f>
        <v>0</v>
      </c>
      <c r="H6541" s="135" t="n">
        <f aca="false">$G6541*'Analyse capacite'!$F$9</f>
        <v>0</v>
      </c>
      <c r="I6541" s="135" t="n">
        <f aca="false">$G6541*'Analyse capacite'!$C$9</f>
        <v>0</v>
      </c>
      <c r="J6541" s="135" t="n">
        <f aca="false">$G6541*'Analyse capacite'!$D$9</f>
        <v>0</v>
      </c>
      <c r="K6541" s="135" t="n">
        <f aca="false">$G6541*'Analyse capacite'!$E$9</f>
        <v>0</v>
      </c>
    </row>
    <row r="6542" customFormat="false" ht="15" hidden="false" customHeight="false" outlineLevel="0" collapsed="false">
      <c r="B6542" s="130" t="n">
        <v>2027</v>
      </c>
      <c r="C6542" s="131" t="s">
        <v>251</v>
      </c>
      <c r="D6542" s="132" t="n">
        <v>46659</v>
      </c>
      <c r="E6542" s="131" t="s">
        <v>49</v>
      </c>
      <c r="F6542" s="133" t="s">
        <v>11</v>
      </c>
      <c r="G6542" s="134" t="n">
        <f aca="false">LEN('Saisie programme'!$F$229)+SUMIFS('Vols additionnels'!$E$7:$E$66,'Vols additionnels'!$C$7:$C$66,$E6542,'Vols additionnels'!$D$7:$D$66,$F6542,'Vols additionnels'!$B$7:$B$66,$D6542)</f>
        <v>0</v>
      </c>
      <c r="H6542" s="135" t="n">
        <f aca="false">$G6542*'Analyse capacite'!$F$7</f>
        <v>0</v>
      </c>
      <c r="I6542" s="135" t="n">
        <f aca="false">$G6542*'Analyse capacite'!$C$7</f>
        <v>0</v>
      </c>
      <c r="J6542" s="135" t="n">
        <f aca="false">$G6542*'Analyse capacite'!$D$7</f>
        <v>0</v>
      </c>
      <c r="K6542" s="135" t="n">
        <f aca="false">$G6542*'Analyse capacite'!$E$7</f>
        <v>0</v>
      </c>
    </row>
    <row r="6543" customFormat="false" ht="15" hidden="false" customHeight="false" outlineLevel="0" collapsed="false">
      <c r="B6543" s="130" t="n">
        <v>2027</v>
      </c>
      <c r="C6543" s="131" t="s">
        <v>251</v>
      </c>
      <c r="D6543" s="132" t="n">
        <v>46659</v>
      </c>
      <c r="E6543" s="131" t="s">
        <v>49</v>
      </c>
      <c r="F6543" s="133" t="s">
        <v>19</v>
      </c>
      <c r="G6543" s="134" t="n">
        <f aca="false">LEN('Saisie programme'!$F$230)+SUMIFS('Vols additionnels'!$E$7:$E$66,'Vols additionnels'!$C$7:$C$66,$E6543,'Vols additionnels'!$D$7:$D$66,$F6543,'Vols additionnels'!$B$7:$B$66,$D6543)</f>
        <v>0</v>
      </c>
      <c r="H6543" s="135" t="n">
        <f aca="false">$G6543*'Analyse capacite'!$F$8</f>
        <v>0</v>
      </c>
      <c r="I6543" s="135" t="n">
        <f aca="false">$G6543*'Analyse capacite'!$C$8</f>
        <v>0</v>
      </c>
      <c r="J6543" s="135" t="n">
        <f aca="false">$G6543*'Analyse capacite'!$D$8</f>
        <v>0</v>
      </c>
      <c r="K6543" s="135" t="n">
        <f aca="false">$G6543*'Analyse capacite'!$E$8</f>
        <v>0</v>
      </c>
    </row>
    <row r="6544" customFormat="false" ht="15" hidden="false" customHeight="false" outlineLevel="0" collapsed="false">
      <c r="B6544" s="130" t="n">
        <v>2027</v>
      </c>
      <c r="C6544" s="131" t="s">
        <v>251</v>
      </c>
      <c r="D6544" s="132" t="n">
        <v>46659</v>
      </c>
      <c r="E6544" s="131" t="s">
        <v>49</v>
      </c>
      <c r="F6544" s="133" t="s">
        <v>24</v>
      </c>
      <c r="G6544" s="134" t="n">
        <f aca="false">LEN('Saisie programme'!$F$231)+SUMIFS('Vols additionnels'!$E$7:$E$66,'Vols additionnels'!$C$7:$C$66,$E6544,'Vols additionnels'!$D$7:$D$66,$F6544,'Vols additionnels'!$B$7:$B$66,$D6544)</f>
        <v>0</v>
      </c>
      <c r="H6544" s="135" t="n">
        <f aca="false">$G6544*'Analyse capacite'!$F$9</f>
        <v>0</v>
      </c>
      <c r="I6544" s="135" t="n">
        <f aca="false">$G6544*'Analyse capacite'!$C$9</f>
        <v>0</v>
      </c>
      <c r="J6544" s="135" t="n">
        <f aca="false">$G6544*'Analyse capacite'!$D$9</f>
        <v>0</v>
      </c>
      <c r="K6544" s="135" t="n">
        <f aca="false">$G6544*'Analyse capacite'!$E$9</f>
        <v>0</v>
      </c>
    </row>
    <row r="6545" customFormat="false" ht="15" hidden="false" customHeight="false" outlineLevel="0" collapsed="false">
      <c r="B6545" s="130" t="n">
        <v>2027</v>
      </c>
      <c r="C6545" s="131" t="s">
        <v>251</v>
      </c>
      <c r="D6545" s="132" t="n">
        <v>46659</v>
      </c>
      <c r="E6545" s="131" t="s">
        <v>53</v>
      </c>
      <c r="F6545" s="133" t="s">
        <v>11</v>
      </c>
      <c r="G6545" s="134" t="n">
        <f aca="false">LEN('Saisie programme'!$F$232)+SUMIFS('Vols additionnels'!$E$7:$E$66,'Vols additionnels'!$C$7:$C$66,$E6545,'Vols additionnels'!$D$7:$D$66,$F6545,'Vols additionnels'!$B$7:$B$66,$D6545)</f>
        <v>0</v>
      </c>
      <c r="H6545" s="135" t="n">
        <f aca="false">$G6545*'Analyse capacite'!$F$7</f>
        <v>0</v>
      </c>
      <c r="I6545" s="135" t="n">
        <f aca="false">$G6545*'Analyse capacite'!$C$7</f>
        <v>0</v>
      </c>
      <c r="J6545" s="135" t="n">
        <f aca="false">$G6545*'Analyse capacite'!$D$7</f>
        <v>0</v>
      </c>
      <c r="K6545" s="135" t="n">
        <f aca="false">$G6545*'Analyse capacite'!$E$7</f>
        <v>0</v>
      </c>
    </row>
    <row r="6546" customFormat="false" ht="15" hidden="false" customHeight="false" outlineLevel="0" collapsed="false">
      <c r="B6546" s="130" t="n">
        <v>2027</v>
      </c>
      <c r="C6546" s="131" t="s">
        <v>251</v>
      </c>
      <c r="D6546" s="132" t="n">
        <v>46659</v>
      </c>
      <c r="E6546" s="131" t="s">
        <v>53</v>
      </c>
      <c r="F6546" s="133" t="s">
        <v>19</v>
      </c>
      <c r="G6546" s="134" t="n">
        <f aca="false">LEN('Saisie programme'!$F$233)+SUMIFS('Vols additionnels'!$E$7:$E$66,'Vols additionnels'!$C$7:$C$66,$E6546,'Vols additionnels'!$D$7:$D$66,$F6546,'Vols additionnels'!$B$7:$B$66,$D6546)</f>
        <v>0</v>
      </c>
      <c r="H6546" s="135" t="n">
        <f aca="false">$G6546*'Analyse capacite'!$F$8</f>
        <v>0</v>
      </c>
      <c r="I6546" s="135" t="n">
        <f aca="false">$G6546*'Analyse capacite'!$C$8</f>
        <v>0</v>
      </c>
      <c r="J6546" s="135" t="n">
        <f aca="false">$G6546*'Analyse capacite'!$D$8</f>
        <v>0</v>
      </c>
      <c r="K6546" s="135" t="n">
        <f aca="false">$G6546*'Analyse capacite'!$E$8</f>
        <v>0</v>
      </c>
    </row>
    <row r="6547" customFormat="false" ht="15" hidden="false" customHeight="false" outlineLevel="0" collapsed="false">
      <c r="B6547" s="130" t="n">
        <v>2027</v>
      </c>
      <c r="C6547" s="131" t="s">
        <v>251</v>
      </c>
      <c r="D6547" s="132" t="n">
        <v>46659</v>
      </c>
      <c r="E6547" s="131" t="s">
        <v>53</v>
      </c>
      <c r="F6547" s="133" t="s">
        <v>24</v>
      </c>
      <c r="G6547" s="134" t="n">
        <f aca="false">LEN('Saisie programme'!$F$234)+SUMIFS('Vols additionnels'!$E$7:$E$66,'Vols additionnels'!$C$7:$C$66,$E6547,'Vols additionnels'!$D$7:$D$66,$F6547,'Vols additionnels'!$B$7:$B$66,$D6547)</f>
        <v>0</v>
      </c>
      <c r="H6547" s="135" t="n">
        <f aca="false">$G6547*'Analyse capacite'!$F$9</f>
        <v>0</v>
      </c>
      <c r="I6547" s="135" t="n">
        <f aca="false">$G6547*'Analyse capacite'!$C$9</f>
        <v>0</v>
      </c>
      <c r="J6547" s="135" t="n">
        <f aca="false">$G6547*'Analyse capacite'!$D$9</f>
        <v>0</v>
      </c>
      <c r="K6547" s="135" t="n">
        <f aca="false">$G6547*'Analyse capacite'!$E$9</f>
        <v>0</v>
      </c>
    </row>
    <row r="6548" customFormat="false" ht="15" hidden="false" customHeight="false" outlineLevel="0" collapsed="false">
      <c r="B6548" s="130" t="n">
        <v>2027</v>
      </c>
      <c r="C6548" s="131" t="s">
        <v>251</v>
      </c>
      <c r="D6548" s="132" t="n">
        <v>46659</v>
      </c>
      <c r="E6548" s="131" t="s">
        <v>56</v>
      </c>
      <c r="F6548" s="133" t="s">
        <v>11</v>
      </c>
      <c r="G6548" s="134" t="n">
        <f aca="false">LEN('Saisie programme'!$F$235)+SUMIFS('Vols additionnels'!$E$7:$E$66,'Vols additionnels'!$C$7:$C$66,$E6548,'Vols additionnels'!$D$7:$D$66,$F6548,'Vols additionnels'!$B$7:$B$66,$D6548)</f>
        <v>0</v>
      </c>
      <c r="H6548" s="135" t="n">
        <f aca="false">$G6548*'Analyse capacite'!$F$7</f>
        <v>0</v>
      </c>
      <c r="I6548" s="135" t="n">
        <f aca="false">$G6548*'Analyse capacite'!$C$7</f>
        <v>0</v>
      </c>
      <c r="J6548" s="135" t="n">
        <f aca="false">$G6548*'Analyse capacite'!$D$7</f>
        <v>0</v>
      </c>
      <c r="K6548" s="135" t="n">
        <f aca="false">$G6548*'Analyse capacite'!$E$7</f>
        <v>0</v>
      </c>
    </row>
    <row r="6549" customFormat="false" ht="15" hidden="false" customHeight="false" outlineLevel="0" collapsed="false">
      <c r="B6549" s="130" t="n">
        <v>2027</v>
      </c>
      <c r="C6549" s="131" t="s">
        <v>251</v>
      </c>
      <c r="D6549" s="132" t="n">
        <v>46659</v>
      </c>
      <c r="E6549" s="131" t="s">
        <v>56</v>
      </c>
      <c r="F6549" s="133" t="s">
        <v>19</v>
      </c>
      <c r="G6549" s="134" t="n">
        <f aca="false">LEN('Saisie programme'!$F$236)+SUMIFS('Vols additionnels'!$E$7:$E$66,'Vols additionnels'!$C$7:$C$66,$E6549,'Vols additionnels'!$D$7:$D$66,$F6549,'Vols additionnels'!$B$7:$B$66,$D6549)</f>
        <v>0</v>
      </c>
      <c r="H6549" s="135" t="n">
        <f aca="false">$G6549*'Analyse capacite'!$F$8</f>
        <v>0</v>
      </c>
      <c r="I6549" s="135" t="n">
        <f aca="false">$G6549*'Analyse capacite'!$C$8</f>
        <v>0</v>
      </c>
      <c r="J6549" s="135" t="n">
        <f aca="false">$G6549*'Analyse capacite'!$D$8</f>
        <v>0</v>
      </c>
      <c r="K6549" s="135" t="n">
        <f aca="false">$G6549*'Analyse capacite'!$E$8</f>
        <v>0</v>
      </c>
    </row>
    <row r="6550" customFormat="false" ht="15" hidden="false" customHeight="false" outlineLevel="0" collapsed="false">
      <c r="B6550" s="130" t="n">
        <v>2027</v>
      </c>
      <c r="C6550" s="131" t="s">
        <v>251</v>
      </c>
      <c r="D6550" s="132" t="n">
        <v>46659</v>
      </c>
      <c r="E6550" s="131" t="s">
        <v>56</v>
      </c>
      <c r="F6550" s="133" t="s">
        <v>24</v>
      </c>
      <c r="G6550" s="134" t="n">
        <f aca="false">LEN('Saisie programme'!$F$237)+SUMIFS('Vols additionnels'!$E$7:$E$66,'Vols additionnels'!$C$7:$C$66,$E6550,'Vols additionnels'!$D$7:$D$66,$F6550,'Vols additionnels'!$B$7:$B$66,$D6550)</f>
        <v>0</v>
      </c>
      <c r="H6550" s="135" t="n">
        <f aca="false">$G6550*'Analyse capacite'!$F$9</f>
        <v>0</v>
      </c>
      <c r="I6550" s="135" t="n">
        <f aca="false">$G6550*'Analyse capacite'!$C$9</f>
        <v>0</v>
      </c>
      <c r="J6550" s="135" t="n">
        <f aca="false">$G6550*'Analyse capacite'!$D$9</f>
        <v>0</v>
      </c>
      <c r="K6550" s="135" t="n">
        <f aca="false">$G6550*'Analyse capacite'!$E$9</f>
        <v>0</v>
      </c>
    </row>
    <row r="6551" customFormat="false" ht="15" hidden="false" customHeight="false" outlineLevel="0" collapsed="false">
      <c r="B6551" s="130" t="n">
        <v>2027</v>
      </c>
      <c r="C6551" s="131" t="s">
        <v>251</v>
      </c>
      <c r="D6551" s="132" t="n">
        <v>46659</v>
      </c>
      <c r="E6551" s="131" t="s">
        <v>59</v>
      </c>
      <c r="F6551" s="133" t="s">
        <v>11</v>
      </c>
      <c r="G6551" s="134" t="n">
        <f aca="false">LEN('Saisie programme'!$F$238)+SUMIFS('Vols additionnels'!$E$7:$E$66,'Vols additionnels'!$C$7:$C$66,$E6551,'Vols additionnels'!$D$7:$D$66,$F6551,'Vols additionnels'!$B$7:$B$66,$D6551)</f>
        <v>0</v>
      </c>
      <c r="H6551" s="135" t="n">
        <f aca="false">$G6551*'Analyse capacite'!$F$7</f>
        <v>0</v>
      </c>
      <c r="I6551" s="135" t="n">
        <f aca="false">$G6551*'Analyse capacite'!$C$7</f>
        <v>0</v>
      </c>
      <c r="J6551" s="135" t="n">
        <f aca="false">$G6551*'Analyse capacite'!$D$7</f>
        <v>0</v>
      </c>
      <c r="K6551" s="135" t="n">
        <f aca="false">$G6551*'Analyse capacite'!$E$7</f>
        <v>0</v>
      </c>
    </row>
    <row r="6552" customFormat="false" ht="15" hidden="false" customHeight="false" outlineLevel="0" collapsed="false">
      <c r="B6552" s="130" t="n">
        <v>2027</v>
      </c>
      <c r="C6552" s="131" t="s">
        <v>251</v>
      </c>
      <c r="D6552" s="132" t="n">
        <v>46659</v>
      </c>
      <c r="E6552" s="131" t="s">
        <v>59</v>
      </c>
      <c r="F6552" s="133" t="s">
        <v>19</v>
      </c>
      <c r="G6552" s="134" t="n">
        <f aca="false">LEN('Saisie programme'!$F$239)+SUMIFS('Vols additionnels'!$E$7:$E$66,'Vols additionnels'!$C$7:$C$66,$E6552,'Vols additionnels'!$D$7:$D$66,$F6552,'Vols additionnels'!$B$7:$B$66,$D6552)</f>
        <v>0</v>
      </c>
      <c r="H6552" s="135" t="n">
        <f aca="false">$G6552*'Analyse capacite'!$F$8</f>
        <v>0</v>
      </c>
      <c r="I6552" s="135" t="n">
        <f aca="false">$G6552*'Analyse capacite'!$C$8</f>
        <v>0</v>
      </c>
      <c r="J6552" s="135" t="n">
        <f aca="false">$G6552*'Analyse capacite'!$D$8</f>
        <v>0</v>
      </c>
      <c r="K6552" s="135" t="n">
        <f aca="false">$G6552*'Analyse capacite'!$E$8</f>
        <v>0</v>
      </c>
    </row>
    <row r="6553" customFormat="false" ht="15" hidden="false" customHeight="false" outlineLevel="0" collapsed="false">
      <c r="B6553" s="130" t="n">
        <v>2027</v>
      </c>
      <c r="C6553" s="131" t="s">
        <v>251</v>
      </c>
      <c r="D6553" s="132" t="n">
        <v>46659</v>
      </c>
      <c r="E6553" s="131" t="s">
        <v>59</v>
      </c>
      <c r="F6553" s="133" t="s">
        <v>24</v>
      </c>
      <c r="G6553" s="134" t="n">
        <f aca="false">LEN('Saisie programme'!$F$240)+SUMIFS('Vols additionnels'!$E$7:$E$66,'Vols additionnels'!$C$7:$C$66,$E6553,'Vols additionnels'!$D$7:$D$66,$F6553,'Vols additionnels'!$B$7:$B$66,$D6553)</f>
        <v>1</v>
      </c>
      <c r="H6553" s="135" t="n">
        <f aca="false">$G6553*'Analyse capacite'!$F$9</f>
        <v>174</v>
      </c>
      <c r="I6553" s="135" t="n">
        <f aca="false">$G6553*'Analyse capacite'!$C$9</f>
        <v>0</v>
      </c>
      <c r="J6553" s="135" t="n">
        <f aca="false">$G6553*'Analyse capacite'!$D$9</f>
        <v>12</v>
      </c>
      <c r="K6553" s="135" t="n">
        <f aca="false">$G6553*'Analyse capacite'!$E$9</f>
        <v>162</v>
      </c>
    </row>
    <row r="6554" customFormat="false" ht="15" hidden="false" customHeight="false" outlineLevel="0" collapsed="false">
      <c r="B6554" s="130" t="n">
        <v>2027</v>
      </c>
      <c r="C6554" s="131" t="s">
        <v>251</v>
      </c>
      <c r="D6554" s="132" t="n">
        <v>46659</v>
      </c>
      <c r="E6554" s="131" t="s">
        <v>62</v>
      </c>
      <c r="F6554" s="133" t="s">
        <v>11</v>
      </c>
      <c r="G6554" s="134" t="n">
        <f aca="false">LEN('Saisie programme'!$F$241)+SUMIFS('Vols additionnels'!$E$7:$E$66,'Vols additionnels'!$C$7:$C$66,$E6554,'Vols additionnels'!$D$7:$D$66,$F6554,'Vols additionnels'!$B$7:$B$66,$D6554)</f>
        <v>0</v>
      </c>
      <c r="H6554" s="135" t="n">
        <f aca="false">$G6554*'Analyse capacite'!$F$7</f>
        <v>0</v>
      </c>
      <c r="I6554" s="135" t="n">
        <f aca="false">$G6554*'Analyse capacite'!$C$7</f>
        <v>0</v>
      </c>
      <c r="J6554" s="135" t="n">
        <f aca="false">$G6554*'Analyse capacite'!$D$7</f>
        <v>0</v>
      </c>
      <c r="K6554" s="135" t="n">
        <f aca="false">$G6554*'Analyse capacite'!$E$7</f>
        <v>0</v>
      </c>
    </row>
    <row r="6555" customFormat="false" ht="15" hidden="false" customHeight="false" outlineLevel="0" collapsed="false">
      <c r="B6555" s="130" t="n">
        <v>2027</v>
      </c>
      <c r="C6555" s="131" t="s">
        <v>251</v>
      </c>
      <c r="D6555" s="132" t="n">
        <v>46659</v>
      </c>
      <c r="E6555" s="131" t="s">
        <v>62</v>
      </c>
      <c r="F6555" s="133" t="s">
        <v>19</v>
      </c>
      <c r="G6555" s="134" t="n">
        <f aca="false">LEN('Saisie programme'!$F$242)+SUMIFS('Vols additionnels'!$E$7:$E$66,'Vols additionnels'!$C$7:$C$66,$E6555,'Vols additionnels'!$D$7:$D$66,$F6555,'Vols additionnels'!$B$7:$B$66,$D6555)</f>
        <v>0</v>
      </c>
      <c r="H6555" s="135" t="n">
        <f aca="false">$G6555*'Analyse capacite'!$F$8</f>
        <v>0</v>
      </c>
      <c r="I6555" s="135" t="n">
        <f aca="false">$G6555*'Analyse capacite'!$C$8</f>
        <v>0</v>
      </c>
      <c r="J6555" s="135" t="n">
        <f aca="false">$G6555*'Analyse capacite'!$D$8</f>
        <v>0</v>
      </c>
      <c r="K6555" s="135" t="n">
        <f aca="false">$G6555*'Analyse capacite'!$E$8</f>
        <v>0</v>
      </c>
    </row>
    <row r="6556" customFormat="false" ht="15" hidden="false" customHeight="false" outlineLevel="0" collapsed="false">
      <c r="B6556" s="130" t="n">
        <v>2027</v>
      </c>
      <c r="C6556" s="131" t="s">
        <v>251</v>
      </c>
      <c r="D6556" s="132" t="n">
        <v>46659</v>
      </c>
      <c r="E6556" s="131" t="s">
        <v>62</v>
      </c>
      <c r="F6556" s="133" t="s">
        <v>24</v>
      </c>
      <c r="G6556" s="134" t="n">
        <f aca="false">LEN('Saisie programme'!$F$243)+SUMIFS('Vols additionnels'!$E$7:$E$66,'Vols additionnels'!$C$7:$C$66,$E6556,'Vols additionnels'!$D$7:$D$66,$F6556,'Vols additionnels'!$B$7:$B$66,$D6556)</f>
        <v>1</v>
      </c>
      <c r="H6556" s="135" t="n">
        <f aca="false">$G6556*'Analyse capacite'!$F$9</f>
        <v>174</v>
      </c>
      <c r="I6556" s="135" t="n">
        <f aca="false">$G6556*'Analyse capacite'!$C$9</f>
        <v>0</v>
      </c>
      <c r="J6556" s="135" t="n">
        <f aca="false">$G6556*'Analyse capacite'!$D$9</f>
        <v>12</v>
      </c>
      <c r="K6556" s="135" t="n">
        <f aca="false">$G6556*'Analyse capacite'!$E$9</f>
        <v>162</v>
      </c>
    </row>
    <row r="6557" customFormat="false" ht="15" hidden="false" customHeight="false" outlineLevel="0" collapsed="false">
      <c r="B6557" s="130" t="n">
        <v>2027</v>
      </c>
      <c r="C6557" s="131" t="s">
        <v>251</v>
      </c>
      <c r="D6557" s="132" t="n">
        <v>46660</v>
      </c>
      <c r="E6557" s="131" t="s">
        <v>12</v>
      </c>
      <c r="F6557" s="133" t="s">
        <v>11</v>
      </c>
      <c r="G6557" s="134" t="n">
        <f aca="false">LEN('Saisie programme'!$G$208)+SUMIFS('Vols additionnels'!$E$7:$E$66,'Vols additionnels'!$C$7:$C$66,$E6557,'Vols additionnels'!$D$7:$D$66,$F6557,'Vols additionnels'!$B$7:$B$66,$D6557)</f>
        <v>1</v>
      </c>
      <c r="H6557" s="135" t="n">
        <f aca="false">$G6557*'Analyse capacite'!$F$7</f>
        <v>438</v>
      </c>
      <c r="I6557" s="135" t="n">
        <f aca="false">$G6557*'Analyse capacite'!$C$7</f>
        <v>14</v>
      </c>
      <c r="J6557" s="135" t="n">
        <f aca="false">$G6557*'Analyse capacite'!$D$7</f>
        <v>40</v>
      </c>
      <c r="K6557" s="135" t="n">
        <f aca="false">$G6557*'Analyse capacite'!$E$7</f>
        <v>384</v>
      </c>
    </row>
    <row r="6558" customFormat="false" ht="15" hidden="false" customHeight="false" outlineLevel="0" collapsed="false">
      <c r="B6558" s="130" t="n">
        <v>2027</v>
      </c>
      <c r="C6558" s="131" t="s">
        <v>251</v>
      </c>
      <c r="D6558" s="132" t="n">
        <v>46660</v>
      </c>
      <c r="E6558" s="131" t="s">
        <v>12</v>
      </c>
      <c r="F6558" s="133" t="s">
        <v>19</v>
      </c>
      <c r="G6558" s="134" t="n">
        <f aca="false">LEN('Saisie programme'!$G$209)+SUMIFS('Vols additionnels'!$E$7:$E$66,'Vols additionnels'!$C$7:$C$66,$E6558,'Vols additionnels'!$D$7:$D$66,$F6558,'Vols additionnels'!$B$7:$B$66,$D6558)</f>
        <v>0</v>
      </c>
      <c r="H6558" s="135" t="n">
        <f aca="false">$G6558*'Analyse capacite'!$F$8</f>
        <v>0</v>
      </c>
      <c r="I6558" s="135" t="n">
        <f aca="false">$G6558*'Analyse capacite'!$C$8</f>
        <v>0</v>
      </c>
      <c r="J6558" s="135" t="n">
        <f aca="false">$G6558*'Analyse capacite'!$D$8</f>
        <v>0</v>
      </c>
      <c r="K6558" s="135" t="n">
        <f aca="false">$G6558*'Analyse capacite'!$E$8</f>
        <v>0</v>
      </c>
    </row>
    <row r="6559" customFormat="false" ht="15" hidden="false" customHeight="false" outlineLevel="0" collapsed="false">
      <c r="B6559" s="130" t="n">
        <v>2027</v>
      </c>
      <c r="C6559" s="131" t="s">
        <v>251</v>
      </c>
      <c r="D6559" s="132" t="n">
        <v>46660</v>
      </c>
      <c r="E6559" s="131" t="s">
        <v>12</v>
      </c>
      <c r="F6559" s="133" t="s">
        <v>24</v>
      </c>
      <c r="G6559" s="134" t="n">
        <f aca="false">LEN('Saisie programme'!$G$210)+SUMIFS('Vols additionnels'!$E$7:$E$66,'Vols additionnels'!$C$7:$C$66,$E6559,'Vols additionnels'!$D$7:$D$66,$F6559,'Vols additionnels'!$B$7:$B$66,$D6559)</f>
        <v>0</v>
      </c>
      <c r="H6559" s="135" t="n">
        <f aca="false">$G6559*'Analyse capacite'!$F$9</f>
        <v>0</v>
      </c>
      <c r="I6559" s="135" t="n">
        <f aca="false">$G6559*'Analyse capacite'!$C$9</f>
        <v>0</v>
      </c>
      <c r="J6559" s="135" t="n">
        <f aca="false">$G6559*'Analyse capacite'!$D$9</f>
        <v>0</v>
      </c>
      <c r="K6559" s="135" t="n">
        <f aca="false">$G6559*'Analyse capacite'!$E$9</f>
        <v>0</v>
      </c>
    </row>
    <row r="6560" customFormat="false" ht="15" hidden="false" customHeight="false" outlineLevel="0" collapsed="false">
      <c r="B6560" s="130" t="n">
        <v>2027</v>
      </c>
      <c r="C6560" s="131" t="s">
        <v>251</v>
      </c>
      <c r="D6560" s="132" t="n">
        <v>46660</v>
      </c>
      <c r="E6560" s="131" t="s">
        <v>20</v>
      </c>
      <c r="F6560" s="133" t="s">
        <v>11</v>
      </c>
      <c r="G6560" s="134" t="n">
        <f aca="false">LEN('Saisie programme'!$G$211)+SUMIFS('Vols additionnels'!$E$7:$E$66,'Vols additionnels'!$C$7:$C$66,$E6560,'Vols additionnels'!$D$7:$D$66,$F6560,'Vols additionnels'!$B$7:$B$66,$D6560)</f>
        <v>0</v>
      </c>
      <c r="H6560" s="135" t="n">
        <f aca="false">$G6560*'Analyse capacite'!$F$7</f>
        <v>0</v>
      </c>
      <c r="I6560" s="135" t="n">
        <f aca="false">$G6560*'Analyse capacite'!$C$7</f>
        <v>0</v>
      </c>
      <c r="J6560" s="135" t="n">
        <f aca="false">$G6560*'Analyse capacite'!$D$7</f>
        <v>0</v>
      </c>
      <c r="K6560" s="135" t="n">
        <f aca="false">$G6560*'Analyse capacite'!$E$7</f>
        <v>0</v>
      </c>
    </row>
    <row r="6561" customFormat="false" ht="15" hidden="false" customHeight="false" outlineLevel="0" collapsed="false">
      <c r="B6561" s="130" t="n">
        <v>2027</v>
      </c>
      <c r="C6561" s="131" t="s">
        <v>251</v>
      </c>
      <c r="D6561" s="132" t="n">
        <v>46660</v>
      </c>
      <c r="E6561" s="131" t="s">
        <v>20</v>
      </c>
      <c r="F6561" s="133" t="s">
        <v>19</v>
      </c>
      <c r="G6561" s="134" t="n">
        <f aca="false">LEN('Saisie programme'!$G$212)+SUMIFS('Vols additionnels'!$E$7:$E$66,'Vols additionnels'!$C$7:$C$66,$E6561,'Vols additionnels'!$D$7:$D$66,$F6561,'Vols additionnels'!$B$7:$B$66,$D6561)</f>
        <v>0</v>
      </c>
      <c r="H6561" s="135" t="n">
        <f aca="false">$G6561*'Analyse capacite'!$F$8</f>
        <v>0</v>
      </c>
      <c r="I6561" s="135" t="n">
        <f aca="false">$G6561*'Analyse capacite'!$C$8</f>
        <v>0</v>
      </c>
      <c r="J6561" s="135" t="n">
        <f aca="false">$G6561*'Analyse capacite'!$D$8</f>
        <v>0</v>
      </c>
      <c r="K6561" s="135" t="n">
        <f aca="false">$G6561*'Analyse capacite'!$E$8</f>
        <v>0</v>
      </c>
    </row>
    <row r="6562" customFormat="false" ht="15" hidden="false" customHeight="false" outlineLevel="0" collapsed="false">
      <c r="B6562" s="130" t="n">
        <v>2027</v>
      </c>
      <c r="C6562" s="131" t="s">
        <v>251</v>
      </c>
      <c r="D6562" s="132" t="n">
        <v>46660</v>
      </c>
      <c r="E6562" s="131" t="s">
        <v>20</v>
      </c>
      <c r="F6562" s="133" t="s">
        <v>24</v>
      </c>
      <c r="G6562" s="134" t="n">
        <f aca="false">LEN('Saisie programme'!$G$213)+SUMIFS('Vols additionnels'!$E$7:$E$66,'Vols additionnels'!$C$7:$C$66,$E6562,'Vols additionnels'!$D$7:$D$66,$F6562,'Vols additionnels'!$B$7:$B$66,$D6562)</f>
        <v>0</v>
      </c>
      <c r="H6562" s="135" t="n">
        <f aca="false">$G6562*'Analyse capacite'!$F$9</f>
        <v>0</v>
      </c>
      <c r="I6562" s="135" t="n">
        <f aca="false">$G6562*'Analyse capacite'!$C$9</f>
        <v>0</v>
      </c>
      <c r="J6562" s="135" t="n">
        <f aca="false">$G6562*'Analyse capacite'!$D$9</f>
        <v>0</v>
      </c>
      <c r="K6562" s="135" t="n">
        <f aca="false">$G6562*'Analyse capacite'!$E$9</f>
        <v>0</v>
      </c>
    </row>
    <row r="6563" customFormat="false" ht="15" hidden="false" customHeight="false" outlineLevel="0" collapsed="false">
      <c r="B6563" s="130" t="n">
        <v>2027</v>
      </c>
      <c r="C6563" s="131" t="s">
        <v>251</v>
      </c>
      <c r="D6563" s="132" t="n">
        <v>46660</v>
      </c>
      <c r="E6563" s="131" t="s">
        <v>25</v>
      </c>
      <c r="F6563" s="133" t="s">
        <v>11</v>
      </c>
      <c r="G6563" s="134" t="n">
        <f aca="false">LEN('Saisie programme'!$G$214)+SUMIFS('Vols additionnels'!$E$7:$E$66,'Vols additionnels'!$C$7:$C$66,$E6563,'Vols additionnels'!$D$7:$D$66,$F6563,'Vols additionnels'!$B$7:$B$66,$D6563)</f>
        <v>0</v>
      </c>
      <c r="H6563" s="135" t="n">
        <f aca="false">$G6563*'Analyse capacite'!$F$7</f>
        <v>0</v>
      </c>
      <c r="I6563" s="135" t="n">
        <f aca="false">$G6563*'Analyse capacite'!$C$7</f>
        <v>0</v>
      </c>
      <c r="J6563" s="135" t="n">
        <f aca="false">$G6563*'Analyse capacite'!$D$7</f>
        <v>0</v>
      </c>
      <c r="K6563" s="135" t="n">
        <f aca="false">$G6563*'Analyse capacite'!$E$7</f>
        <v>0</v>
      </c>
    </row>
    <row r="6564" customFormat="false" ht="15" hidden="false" customHeight="false" outlineLevel="0" collapsed="false">
      <c r="B6564" s="130" t="n">
        <v>2027</v>
      </c>
      <c r="C6564" s="131" t="s">
        <v>251</v>
      </c>
      <c r="D6564" s="132" t="n">
        <v>46660</v>
      </c>
      <c r="E6564" s="131" t="s">
        <v>25</v>
      </c>
      <c r="F6564" s="133" t="s">
        <v>19</v>
      </c>
      <c r="G6564" s="134" t="n">
        <f aca="false">LEN('Saisie programme'!$G$215)+SUMIFS('Vols additionnels'!$E$7:$E$66,'Vols additionnels'!$C$7:$C$66,$E6564,'Vols additionnels'!$D$7:$D$66,$F6564,'Vols additionnels'!$B$7:$B$66,$D6564)</f>
        <v>0</v>
      </c>
      <c r="H6564" s="135" t="n">
        <f aca="false">$G6564*'Analyse capacite'!$F$8</f>
        <v>0</v>
      </c>
      <c r="I6564" s="135" t="n">
        <f aca="false">$G6564*'Analyse capacite'!$C$8</f>
        <v>0</v>
      </c>
      <c r="J6564" s="135" t="n">
        <f aca="false">$G6564*'Analyse capacite'!$D$8</f>
        <v>0</v>
      </c>
      <c r="K6564" s="135" t="n">
        <f aca="false">$G6564*'Analyse capacite'!$E$8</f>
        <v>0</v>
      </c>
    </row>
    <row r="6565" customFormat="false" ht="15" hidden="false" customHeight="false" outlineLevel="0" collapsed="false">
      <c r="B6565" s="130" t="n">
        <v>2027</v>
      </c>
      <c r="C6565" s="131" t="s">
        <v>251</v>
      </c>
      <c r="D6565" s="132" t="n">
        <v>46660</v>
      </c>
      <c r="E6565" s="131" t="s">
        <v>25</v>
      </c>
      <c r="F6565" s="133" t="s">
        <v>24</v>
      </c>
      <c r="G6565" s="134" t="n">
        <f aca="false">LEN('Saisie programme'!$G$216)+SUMIFS('Vols additionnels'!$E$7:$E$66,'Vols additionnels'!$C$7:$C$66,$E6565,'Vols additionnels'!$D$7:$D$66,$F6565,'Vols additionnels'!$B$7:$B$66,$D6565)</f>
        <v>0</v>
      </c>
      <c r="H6565" s="135" t="n">
        <f aca="false">$G6565*'Analyse capacite'!$F$9</f>
        <v>0</v>
      </c>
      <c r="I6565" s="135" t="n">
        <f aca="false">$G6565*'Analyse capacite'!$C$9</f>
        <v>0</v>
      </c>
      <c r="J6565" s="135" t="n">
        <f aca="false">$G6565*'Analyse capacite'!$D$9</f>
        <v>0</v>
      </c>
      <c r="K6565" s="135" t="n">
        <f aca="false">$G6565*'Analyse capacite'!$E$9</f>
        <v>0</v>
      </c>
    </row>
    <row r="6566" customFormat="false" ht="15" hidden="false" customHeight="false" outlineLevel="0" collapsed="false">
      <c r="B6566" s="130" t="n">
        <v>2027</v>
      </c>
      <c r="C6566" s="131" t="s">
        <v>251</v>
      </c>
      <c r="D6566" s="132" t="n">
        <v>46660</v>
      </c>
      <c r="E6566" s="131" t="s">
        <v>36</v>
      </c>
      <c r="F6566" s="133" t="s">
        <v>11</v>
      </c>
      <c r="G6566" s="134" t="n">
        <f aca="false">LEN('Saisie programme'!$G$217)+SUMIFS('Vols additionnels'!$E$7:$E$66,'Vols additionnels'!$C$7:$C$66,$E6566,'Vols additionnels'!$D$7:$D$66,$F6566,'Vols additionnels'!$B$7:$B$66,$D6566)</f>
        <v>0</v>
      </c>
      <c r="H6566" s="135" t="n">
        <f aca="false">$G6566*'Analyse capacite'!$F$7</f>
        <v>0</v>
      </c>
      <c r="I6566" s="135" t="n">
        <f aca="false">$G6566*'Analyse capacite'!$C$7</f>
        <v>0</v>
      </c>
      <c r="J6566" s="135" t="n">
        <f aca="false">$G6566*'Analyse capacite'!$D$7</f>
        <v>0</v>
      </c>
      <c r="K6566" s="135" t="n">
        <f aca="false">$G6566*'Analyse capacite'!$E$7</f>
        <v>0</v>
      </c>
    </row>
    <row r="6567" customFormat="false" ht="15" hidden="false" customHeight="false" outlineLevel="0" collapsed="false">
      <c r="B6567" s="130" t="n">
        <v>2027</v>
      </c>
      <c r="C6567" s="131" t="s">
        <v>251</v>
      </c>
      <c r="D6567" s="132" t="n">
        <v>46660</v>
      </c>
      <c r="E6567" s="131" t="s">
        <v>36</v>
      </c>
      <c r="F6567" s="133" t="s">
        <v>19</v>
      </c>
      <c r="G6567" s="134" t="n">
        <f aca="false">LEN('Saisie programme'!$G$218)+SUMIFS('Vols additionnels'!$E$7:$E$66,'Vols additionnels'!$C$7:$C$66,$E6567,'Vols additionnels'!$D$7:$D$66,$F6567,'Vols additionnels'!$B$7:$B$66,$D6567)</f>
        <v>0</v>
      </c>
      <c r="H6567" s="135" t="n">
        <f aca="false">$G6567*'Analyse capacite'!$F$8</f>
        <v>0</v>
      </c>
      <c r="I6567" s="135" t="n">
        <f aca="false">$G6567*'Analyse capacite'!$C$8</f>
        <v>0</v>
      </c>
      <c r="J6567" s="135" t="n">
        <f aca="false">$G6567*'Analyse capacite'!$D$8</f>
        <v>0</v>
      </c>
      <c r="K6567" s="135" t="n">
        <f aca="false">$G6567*'Analyse capacite'!$E$8</f>
        <v>0</v>
      </c>
    </row>
    <row r="6568" customFormat="false" ht="15" hidden="false" customHeight="false" outlineLevel="0" collapsed="false">
      <c r="B6568" s="130" t="n">
        <v>2027</v>
      </c>
      <c r="C6568" s="131" t="s">
        <v>251</v>
      </c>
      <c r="D6568" s="132" t="n">
        <v>46660</v>
      </c>
      <c r="E6568" s="131" t="s">
        <v>36</v>
      </c>
      <c r="F6568" s="133" t="s">
        <v>24</v>
      </c>
      <c r="G6568" s="134" t="n">
        <f aca="false">LEN('Saisie programme'!$G$219)+SUMIFS('Vols additionnels'!$E$7:$E$66,'Vols additionnels'!$C$7:$C$66,$E6568,'Vols additionnels'!$D$7:$D$66,$F6568,'Vols additionnels'!$B$7:$B$66,$D6568)</f>
        <v>1</v>
      </c>
      <c r="H6568" s="135" t="n">
        <f aca="false">$G6568*'Analyse capacite'!$F$9</f>
        <v>174</v>
      </c>
      <c r="I6568" s="135" t="n">
        <f aca="false">$G6568*'Analyse capacite'!$C$9</f>
        <v>0</v>
      </c>
      <c r="J6568" s="135" t="n">
        <f aca="false">$G6568*'Analyse capacite'!$D$9</f>
        <v>12</v>
      </c>
      <c r="K6568" s="135" t="n">
        <f aca="false">$G6568*'Analyse capacite'!$E$9</f>
        <v>162</v>
      </c>
    </row>
    <row r="6569" customFormat="false" ht="15" hidden="false" customHeight="false" outlineLevel="0" collapsed="false">
      <c r="B6569" s="130" t="n">
        <v>2027</v>
      </c>
      <c r="C6569" s="131" t="s">
        <v>251</v>
      </c>
      <c r="D6569" s="132" t="n">
        <v>46660</v>
      </c>
      <c r="E6569" s="131" t="s">
        <v>40</v>
      </c>
      <c r="F6569" s="133" t="s">
        <v>11</v>
      </c>
      <c r="G6569" s="134" t="n">
        <f aca="false">LEN('Saisie programme'!$G$220)+SUMIFS('Vols additionnels'!$E$7:$E$66,'Vols additionnels'!$C$7:$C$66,$E6569,'Vols additionnels'!$D$7:$D$66,$F6569,'Vols additionnels'!$B$7:$B$66,$D6569)</f>
        <v>0</v>
      </c>
      <c r="H6569" s="135" t="n">
        <f aca="false">$G6569*'Analyse capacite'!$F$7</f>
        <v>0</v>
      </c>
      <c r="I6569" s="135" t="n">
        <f aca="false">$G6569*'Analyse capacite'!$C$7</f>
        <v>0</v>
      </c>
      <c r="J6569" s="135" t="n">
        <f aca="false">$G6569*'Analyse capacite'!$D$7</f>
        <v>0</v>
      </c>
      <c r="K6569" s="135" t="n">
        <f aca="false">$G6569*'Analyse capacite'!$E$7</f>
        <v>0</v>
      </c>
    </row>
    <row r="6570" customFormat="false" ht="15" hidden="false" customHeight="false" outlineLevel="0" collapsed="false">
      <c r="B6570" s="130" t="n">
        <v>2027</v>
      </c>
      <c r="C6570" s="131" t="s">
        <v>251</v>
      </c>
      <c r="D6570" s="132" t="n">
        <v>46660</v>
      </c>
      <c r="E6570" s="131" t="s">
        <v>40</v>
      </c>
      <c r="F6570" s="133" t="s">
        <v>19</v>
      </c>
      <c r="G6570" s="134" t="n">
        <f aca="false">LEN('Saisie programme'!$G$221)+SUMIFS('Vols additionnels'!$E$7:$E$66,'Vols additionnels'!$C$7:$C$66,$E6570,'Vols additionnels'!$D$7:$D$66,$F6570,'Vols additionnels'!$B$7:$B$66,$D6570)</f>
        <v>0</v>
      </c>
      <c r="H6570" s="135" t="n">
        <f aca="false">$G6570*'Analyse capacite'!$F$8</f>
        <v>0</v>
      </c>
      <c r="I6570" s="135" t="n">
        <f aca="false">$G6570*'Analyse capacite'!$C$8</f>
        <v>0</v>
      </c>
      <c r="J6570" s="135" t="n">
        <f aca="false">$G6570*'Analyse capacite'!$D$8</f>
        <v>0</v>
      </c>
      <c r="K6570" s="135" t="n">
        <f aca="false">$G6570*'Analyse capacite'!$E$8</f>
        <v>0</v>
      </c>
    </row>
    <row r="6571" customFormat="false" ht="15" hidden="false" customHeight="false" outlineLevel="0" collapsed="false">
      <c r="B6571" s="130" t="n">
        <v>2027</v>
      </c>
      <c r="C6571" s="131" t="s">
        <v>251</v>
      </c>
      <c r="D6571" s="132" t="n">
        <v>46660</v>
      </c>
      <c r="E6571" s="131" t="s">
        <v>40</v>
      </c>
      <c r="F6571" s="133" t="s">
        <v>24</v>
      </c>
      <c r="G6571" s="134" t="n">
        <f aca="false">LEN('Saisie programme'!$G$222)+SUMIFS('Vols additionnels'!$E$7:$E$66,'Vols additionnels'!$C$7:$C$66,$E6571,'Vols additionnels'!$D$7:$D$66,$F6571,'Vols additionnels'!$B$7:$B$66,$D6571)</f>
        <v>0</v>
      </c>
      <c r="H6571" s="135" t="n">
        <f aca="false">$G6571*'Analyse capacite'!$F$9</f>
        <v>0</v>
      </c>
      <c r="I6571" s="135" t="n">
        <f aca="false">$G6571*'Analyse capacite'!$C$9</f>
        <v>0</v>
      </c>
      <c r="J6571" s="135" t="n">
        <f aca="false">$G6571*'Analyse capacite'!$D$9</f>
        <v>0</v>
      </c>
      <c r="K6571" s="135" t="n">
        <f aca="false">$G6571*'Analyse capacite'!$E$9</f>
        <v>0</v>
      </c>
    </row>
    <row r="6572" customFormat="false" ht="15" hidden="false" customHeight="false" outlineLevel="0" collapsed="false">
      <c r="B6572" s="130" t="n">
        <v>2027</v>
      </c>
      <c r="C6572" s="131" t="s">
        <v>251</v>
      </c>
      <c r="D6572" s="132" t="n">
        <v>46660</v>
      </c>
      <c r="E6572" s="131" t="s">
        <v>14</v>
      </c>
      <c r="F6572" s="133" t="s">
        <v>11</v>
      </c>
      <c r="G6572" s="134" t="n">
        <f aca="false">LEN('Saisie programme'!$G$223)+SUMIFS('Vols additionnels'!$E$7:$E$66,'Vols additionnels'!$C$7:$C$66,$E6572,'Vols additionnels'!$D$7:$D$66,$F6572,'Vols additionnels'!$B$7:$B$66,$D6572)</f>
        <v>0</v>
      </c>
      <c r="H6572" s="135" t="n">
        <f aca="false">$G6572*'Analyse capacite'!$F$7</f>
        <v>0</v>
      </c>
      <c r="I6572" s="135" t="n">
        <f aca="false">$G6572*'Analyse capacite'!$C$7</f>
        <v>0</v>
      </c>
      <c r="J6572" s="135" t="n">
        <f aca="false">$G6572*'Analyse capacite'!$D$7</f>
        <v>0</v>
      </c>
      <c r="K6572" s="135" t="n">
        <f aca="false">$G6572*'Analyse capacite'!$E$7</f>
        <v>0</v>
      </c>
    </row>
    <row r="6573" customFormat="false" ht="15" hidden="false" customHeight="false" outlineLevel="0" collapsed="false">
      <c r="B6573" s="130" t="n">
        <v>2027</v>
      </c>
      <c r="C6573" s="131" t="s">
        <v>251</v>
      </c>
      <c r="D6573" s="132" t="n">
        <v>46660</v>
      </c>
      <c r="E6573" s="131" t="s">
        <v>14</v>
      </c>
      <c r="F6573" s="133" t="s">
        <v>19</v>
      </c>
      <c r="G6573" s="134" t="n">
        <f aca="false">LEN('Saisie programme'!$G$224)+SUMIFS('Vols additionnels'!$E$7:$E$66,'Vols additionnels'!$C$7:$C$66,$E6573,'Vols additionnels'!$D$7:$D$66,$F6573,'Vols additionnels'!$B$7:$B$66,$D6573)</f>
        <v>0</v>
      </c>
      <c r="H6573" s="135" t="n">
        <f aca="false">$G6573*'Analyse capacite'!$F$8</f>
        <v>0</v>
      </c>
      <c r="I6573" s="135" t="n">
        <f aca="false">$G6573*'Analyse capacite'!$C$8</f>
        <v>0</v>
      </c>
      <c r="J6573" s="135" t="n">
        <f aca="false">$G6573*'Analyse capacite'!$D$8</f>
        <v>0</v>
      </c>
      <c r="K6573" s="135" t="n">
        <f aca="false">$G6573*'Analyse capacite'!$E$8</f>
        <v>0</v>
      </c>
    </row>
    <row r="6574" customFormat="false" ht="15" hidden="false" customHeight="false" outlineLevel="0" collapsed="false">
      <c r="B6574" s="130" t="n">
        <v>2027</v>
      </c>
      <c r="C6574" s="131" t="s">
        <v>251</v>
      </c>
      <c r="D6574" s="132" t="n">
        <v>46660</v>
      </c>
      <c r="E6574" s="131" t="s">
        <v>14</v>
      </c>
      <c r="F6574" s="133" t="s">
        <v>24</v>
      </c>
      <c r="G6574" s="134" t="n">
        <f aca="false">LEN('Saisie programme'!$G$225)+SUMIFS('Vols additionnels'!$E$7:$E$66,'Vols additionnels'!$C$7:$C$66,$E6574,'Vols additionnels'!$D$7:$D$66,$F6574,'Vols additionnels'!$B$7:$B$66,$D6574)</f>
        <v>1</v>
      </c>
      <c r="H6574" s="135" t="n">
        <f aca="false">$G6574*'Analyse capacite'!$F$9</f>
        <v>174</v>
      </c>
      <c r="I6574" s="135" t="n">
        <f aca="false">$G6574*'Analyse capacite'!$C$9</f>
        <v>0</v>
      </c>
      <c r="J6574" s="135" t="n">
        <f aca="false">$G6574*'Analyse capacite'!$D$9</f>
        <v>12</v>
      </c>
      <c r="K6574" s="135" t="n">
        <f aca="false">$G6574*'Analyse capacite'!$E$9</f>
        <v>162</v>
      </c>
    </row>
    <row r="6575" customFormat="false" ht="15" hidden="false" customHeight="false" outlineLevel="0" collapsed="false">
      <c r="B6575" s="130" t="n">
        <v>2027</v>
      </c>
      <c r="C6575" s="131" t="s">
        <v>251</v>
      </c>
      <c r="D6575" s="132" t="n">
        <v>46660</v>
      </c>
      <c r="E6575" s="131" t="s">
        <v>46</v>
      </c>
      <c r="F6575" s="133" t="s">
        <v>11</v>
      </c>
      <c r="G6575" s="134" t="n">
        <f aca="false">LEN('Saisie programme'!$G$226)+SUMIFS('Vols additionnels'!$E$7:$E$66,'Vols additionnels'!$C$7:$C$66,$E6575,'Vols additionnels'!$D$7:$D$66,$F6575,'Vols additionnels'!$B$7:$B$66,$D6575)</f>
        <v>0</v>
      </c>
      <c r="H6575" s="135" t="n">
        <f aca="false">$G6575*'Analyse capacite'!$F$7</f>
        <v>0</v>
      </c>
      <c r="I6575" s="135" t="n">
        <f aca="false">$G6575*'Analyse capacite'!$C$7</f>
        <v>0</v>
      </c>
      <c r="J6575" s="135" t="n">
        <f aca="false">$G6575*'Analyse capacite'!$D$7</f>
        <v>0</v>
      </c>
      <c r="K6575" s="135" t="n">
        <f aca="false">$G6575*'Analyse capacite'!$E$7</f>
        <v>0</v>
      </c>
    </row>
    <row r="6576" customFormat="false" ht="15" hidden="false" customHeight="false" outlineLevel="0" collapsed="false">
      <c r="B6576" s="130" t="n">
        <v>2027</v>
      </c>
      <c r="C6576" s="131" t="s">
        <v>251</v>
      </c>
      <c r="D6576" s="132" t="n">
        <v>46660</v>
      </c>
      <c r="E6576" s="131" t="s">
        <v>46</v>
      </c>
      <c r="F6576" s="133" t="s">
        <v>19</v>
      </c>
      <c r="G6576" s="134" t="n">
        <f aca="false">LEN('Saisie programme'!$G$227)+SUMIFS('Vols additionnels'!$E$7:$E$66,'Vols additionnels'!$C$7:$C$66,$E6576,'Vols additionnels'!$D$7:$D$66,$F6576,'Vols additionnels'!$B$7:$B$66,$D6576)</f>
        <v>0</v>
      </c>
      <c r="H6576" s="135" t="n">
        <f aca="false">$G6576*'Analyse capacite'!$F$8</f>
        <v>0</v>
      </c>
      <c r="I6576" s="135" t="n">
        <f aca="false">$G6576*'Analyse capacite'!$C$8</f>
        <v>0</v>
      </c>
      <c r="J6576" s="135" t="n">
        <f aca="false">$G6576*'Analyse capacite'!$D$8</f>
        <v>0</v>
      </c>
      <c r="K6576" s="135" t="n">
        <f aca="false">$G6576*'Analyse capacite'!$E$8</f>
        <v>0</v>
      </c>
    </row>
    <row r="6577" customFormat="false" ht="15" hidden="false" customHeight="false" outlineLevel="0" collapsed="false">
      <c r="B6577" s="130" t="n">
        <v>2027</v>
      </c>
      <c r="C6577" s="131" t="s">
        <v>251</v>
      </c>
      <c r="D6577" s="132" t="n">
        <v>46660</v>
      </c>
      <c r="E6577" s="131" t="s">
        <v>46</v>
      </c>
      <c r="F6577" s="133" t="s">
        <v>24</v>
      </c>
      <c r="G6577" s="134" t="n">
        <f aca="false">LEN('Saisie programme'!$G$228)+SUMIFS('Vols additionnels'!$E$7:$E$66,'Vols additionnels'!$C$7:$C$66,$E6577,'Vols additionnels'!$D$7:$D$66,$F6577,'Vols additionnels'!$B$7:$B$66,$D6577)</f>
        <v>1</v>
      </c>
      <c r="H6577" s="135" t="n">
        <f aca="false">$G6577*'Analyse capacite'!$F$9</f>
        <v>174</v>
      </c>
      <c r="I6577" s="135" t="n">
        <f aca="false">$G6577*'Analyse capacite'!$C$9</f>
        <v>0</v>
      </c>
      <c r="J6577" s="135" t="n">
        <f aca="false">$G6577*'Analyse capacite'!$D$9</f>
        <v>12</v>
      </c>
      <c r="K6577" s="135" t="n">
        <f aca="false">$G6577*'Analyse capacite'!$E$9</f>
        <v>162</v>
      </c>
    </row>
    <row r="6578" customFormat="false" ht="15" hidden="false" customHeight="false" outlineLevel="0" collapsed="false">
      <c r="B6578" s="130" t="n">
        <v>2027</v>
      </c>
      <c r="C6578" s="131" t="s">
        <v>251</v>
      </c>
      <c r="D6578" s="132" t="n">
        <v>46660</v>
      </c>
      <c r="E6578" s="131" t="s">
        <v>49</v>
      </c>
      <c r="F6578" s="133" t="s">
        <v>11</v>
      </c>
      <c r="G6578" s="134" t="n">
        <f aca="false">LEN('Saisie programme'!$G$229)+SUMIFS('Vols additionnels'!$E$7:$E$66,'Vols additionnels'!$C$7:$C$66,$E6578,'Vols additionnels'!$D$7:$D$66,$F6578,'Vols additionnels'!$B$7:$B$66,$D6578)</f>
        <v>0</v>
      </c>
      <c r="H6578" s="135" t="n">
        <f aca="false">$G6578*'Analyse capacite'!$F$7</f>
        <v>0</v>
      </c>
      <c r="I6578" s="135" t="n">
        <f aca="false">$G6578*'Analyse capacite'!$C$7</f>
        <v>0</v>
      </c>
      <c r="J6578" s="135" t="n">
        <f aca="false">$G6578*'Analyse capacite'!$D$7</f>
        <v>0</v>
      </c>
      <c r="K6578" s="135" t="n">
        <f aca="false">$G6578*'Analyse capacite'!$E$7</f>
        <v>0</v>
      </c>
    </row>
    <row r="6579" customFormat="false" ht="15" hidden="false" customHeight="false" outlineLevel="0" collapsed="false">
      <c r="B6579" s="130" t="n">
        <v>2027</v>
      </c>
      <c r="C6579" s="131" t="s">
        <v>251</v>
      </c>
      <c r="D6579" s="132" t="n">
        <v>46660</v>
      </c>
      <c r="E6579" s="131" t="s">
        <v>49</v>
      </c>
      <c r="F6579" s="133" t="s">
        <v>19</v>
      </c>
      <c r="G6579" s="134" t="n">
        <f aca="false">LEN('Saisie programme'!$G$230)+SUMIFS('Vols additionnels'!$E$7:$E$66,'Vols additionnels'!$C$7:$C$66,$E6579,'Vols additionnels'!$D$7:$D$66,$F6579,'Vols additionnels'!$B$7:$B$66,$D6579)</f>
        <v>0</v>
      </c>
      <c r="H6579" s="135" t="n">
        <f aca="false">$G6579*'Analyse capacite'!$F$8</f>
        <v>0</v>
      </c>
      <c r="I6579" s="135" t="n">
        <f aca="false">$G6579*'Analyse capacite'!$C$8</f>
        <v>0</v>
      </c>
      <c r="J6579" s="135" t="n">
        <f aca="false">$G6579*'Analyse capacite'!$D$8</f>
        <v>0</v>
      </c>
      <c r="K6579" s="135" t="n">
        <f aca="false">$G6579*'Analyse capacite'!$E$8</f>
        <v>0</v>
      </c>
    </row>
    <row r="6580" customFormat="false" ht="15" hidden="false" customHeight="false" outlineLevel="0" collapsed="false">
      <c r="B6580" s="130" t="n">
        <v>2027</v>
      </c>
      <c r="C6580" s="131" t="s">
        <v>251</v>
      </c>
      <c r="D6580" s="132" t="n">
        <v>46660</v>
      </c>
      <c r="E6580" s="131" t="s">
        <v>49</v>
      </c>
      <c r="F6580" s="133" t="s">
        <v>24</v>
      </c>
      <c r="G6580" s="134" t="n">
        <f aca="false">LEN('Saisie programme'!$G$231)+SUMIFS('Vols additionnels'!$E$7:$E$66,'Vols additionnels'!$C$7:$C$66,$E6580,'Vols additionnels'!$D$7:$D$66,$F6580,'Vols additionnels'!$B$7:$B$66,$D6580)</f>
        <v>0</v>
      </c>
      <c r="H6580" s="135" t="n">
        <f aca="false">$G6580*'Analyse capacite'!$F$9</f>
        <v>0</v>
      </c>
      <c r="I6580" s="135" t="n">
        <f aca="false">$G6580*'Analyse capacite'!$C$9</f>
        <v>0</v>
      </c>
      <c r="J6580" s="135" t="n">
        <f aca="false">$G6580*'Analyse capacite'!$D$9</f>
        <v>0</v>
      </c>
      <c r="K6580" s="135" t="n">
        <f aca="false">$G6580*'Analyse capacite'!$E$9</f>
        <v>0</v>
      </c>
    </row>
    <row r="6581" customFormat="false" ht="15" hidden="false" customHeight="false" outlineLevel="0" collapsed="false">
      <c r="B6581" s="130" t="n">
        <v>2027</v>
      </c>
      <c r="C6581" s="131" t="s">
        <v>251</v>
      </c>
      <c r="D6581" s="132" t="n">
        <v>46660</v>
      </c>
      <c r="E6581" s="131" t="s">
        <v>53</v>
      </c>
      <c r="F6581" s="133" t="s">
        <v>11</v>
      </c>
      <c r="G6581" s="134" t="n">
        <f aca="false">LEN('Saisie programme'!$G$232)+SUMIFS('Vols additionnels'!$E$7:$E$66,'Vols additionnels'!$C$7:$C$66,$E6581,'Vols additionnels'!$D$7:$D$66,$F6581,'Vols additionnels'!$B$7:$B$66,$D6581)</f>
        <v>0</v>
      </c>
      <c r="H6581" s="135" t="n">
        <f aca="false">$G6581*'Analyse capacite'!$F$7</f>
        <v>0</v>
      </c>
      <c r="I6581" s="135" t="n">
        <f aca="false">$G6581*'Analyse capacite'!$C$7</f>
        <v>0</v>
      </c>
      <c r="J6581" s="135" t="n">
        <f aca="false">$G6581*'Analyse capacite'!$D$7</f>
        <v>0</v>
      </c>
      <c r="K6581" s="135" t="n">
        <f aca="false">$G6581*'Analyse capacite'!$E$7</f>
        <v>0</v>
      </c>
    </row>
    <row r="6582" customFormat="false" ht="15" hidden="false" customHeight="false" outlineLevel="0" collapsed="false">
      <c r="B6582" s="130" t="n">
        <v>2027</v>
      </c>
      <c r="C6582" s="131" t="s">
        <v>251</v>
      </c>
      <c r="D6582" s="132" t="n">
        <v>46660</v>
      </c>
      <c r="E6582" s="131" t="s">
        <v>53</v>
      </c>
      <c r="F6582" s="133" t="s">
        <v>19</v>
      </c>
      <c r="G6582" s="134" t="n">
        <f aca="false">LEN('Saisie programme'!$G$233)+SUMIFS('Vols additionnels'!$E$7:$E$66,'Vols additionnels'!$C$7:$C$66,$E6582,'Vols additionnels'!$D$7:$D$66,$F6582,'Vols additionnels'!$B$7:$B$66,$D6582)</f>
        <v>1</v>
      </c>
      <c r="H6582" s="135" t="n">
        <f aca="false">$G6582*'Analyse capacite'!$F$8</f>
        <v>262</v>
      </c>
      <c r="I6582" s="135" t="n">
        <f aca="false">$G6582*'Analyse capacite'!$C$8</f>
        <v>18</v>
      </c>
      <c r="J6582" s="135" t="n">
        <f aca="false">$G6582*'Analyse capacite'!$D$8</f>
        <v>0</v>
      </c>
      <c r="K6582" s="135" t="n">
        <f aca="false">$G6582*'Analyse capacite'!$E$8</f>
        <v>244</v>
      </c>
    </row>
    <row r="6583" customFormat="false" ht="15" hidden="false" customHeight="false" outlineLevel="0" collapsed="false">
      <c r="B6583" s="130" t="n">
        <v>2027</v>
      </c>
      <c r="C6583" s="131" t="s">
        <v>251</v>
      </c>
      <c r="D6583" s="132" t="n">
        <v>46660</v>
      </c>
      <c r="E6583" s="131" t="s">
        <v>53</v>
      </c>
      <c r="F6583" s="133" t="s">
        <v>24</v>
      </c>
      <c r="G6583" s="134" t="n">
        <f aca="false">LEN('Saisie programme'!$G$234)+SUMIFS('Vols additionnels'!$E$7:$E$66,'Vols additionnels'!$C$7:$C$66,$E6583,'Vols additionnels'!$D$7:$D$66,$F6583,'Vols additionnels'!$B$7:$B$66,$D6583)</f>
        <v>0</v>
      </c>
      <c r="H6583" s="135" t="n">
        <f aca="false">$G6583*'Analyse capacite'!$F$9</f>
        <v>0</v>
      </c>
      <c r="I6583" s="135" t="n">
        <f aca="false">$G6583*'Analyse capacite'!$C$9</f>
        <v>0</v>
      </c>
      <c r="J6583" s="135" t="n">
        <f aca="false">$G6583*'Analyse capacite'!$D$9</f>
        <v>0</v>
      </c>
      <c r="K6583" s="135" t="n">
        <f aca="false">$G6583*'Analyse capacite'!$E$9</f>
        <v>0</v>
      </c>
    </row>
    <row r="6584" customFormat="false" ht="15" hidden="false" customHeight="false" outlineLevel="0" collapsed="false">
      <c r="B6584" s="130" t="n">
        <v>2027</v>
      </c>
      <c r="C6584" s="131" t="s">
        <v>251</v>
      </c>
      <c r="D6584" s="132" t="n">
        <v>46660</v>
      </c>
      <c r="E6584" s="131" t="s">
        <v>56</v>
      </c>
      <c r="F6584" s="133" t="s">
        <v>11</v>
      </c>
      <c r="G6584" s="134" t="n">
        <f aca="false">LEN('Saisie programme'!$G$235)+SUMIFS('Vols additionnels'!$E$7:$E$66,'Vols additionnels'!$C$7:$C$66,$E6584,'Vols additionnels'!$D$7:$D$66,$F6584,'Vols additionnels'!$B$7:$B$66,$D6584)</f>
        <v>0</v>
      </c>
      <c r="H6584" s="135" t="n">
        <f aca="false">$G6584*'Analyse capacite'!$F$7</f>
        <v>0</v>
      </c>
      <c r="I6584" s="135" t="n">
        <f aca="false">$G6584*'Analyse capacite'!$C$7</f>
        <v>0</v>
      </c>
      <c r="J6584" s="135" t="n">
        <f aca="false">$G6584*'Analyse capacite'!$D$7</f>
        <v>0</v>
      </c>
      <c r="K6584" s="135" t="n">
        <f aca="false">$G6584*'Analyse capacite'!$E$7</f>
        <v>0</v>
      </c>
    </row>
    <row r="6585" customFormat="false" ht="15" hidden="false" customHeight="false" outlineLevel="0" collapsed="false">
      <c r="B6585" s="130" t="n">
        <v>2027</v>
      </c>
      <c r="C6585" s="131" t="s">
        <v>251</v>
      </c>
      <c r="D6585" s="132" t="n">
        <v>46660</v>
      </c>
      <c r="E6585" s="131" t="s">
        <v>56</v>
      </c>
      <c r="F6585" s="133" t="s">
        <v>19</v>
      </c>
      <c r="G6585" s="134" t="n">
        <f aca="false">LEN('Saisie programme'!$G$236)+SUMIFS('Vols additionnels'!$E$7:$E$66,'Vols additionnels'!$C$7:$C$66,$E6585,'Vols additionnels'!$D$7:$D$66,$F6585,'Vols additionnels'!$B$7:$B$66,$D6585)</f>
        <v>0</v>
      </c>
      <c r="H6585" s="135" t="n">
        <f aca="false">$G6585*'Analyse capacite'!$F$8</f>
        <v>0</v>
      </c>
      <c r="I6585" s="135" t="n">
        <f aca="false">$G6585*'Analyse capacite'!$C$8</f>
        <v>0</v>
      </c>
      <c r="J6585" s="135" t="n">
        <f aca="false">$G6585*'Analyse capacite'!$D$8</f>
        <v>0</v>
      </c>
      <c r="K6585" s="135" t="n">
        <f aca="false">$G6585*'Analyse capacite'!$E$8</f>
        <v>0</v>
      </c>
    </row>
    <row r="6586" customFormat="false" ht="15" hidden="false" customHeight="false" outlineLevel="0" collapsed="false">
      <c r="B6586" s="130" t="n">
        <v>2027</v>
      </c>
      <c r="C6586" s="131" t="s">
        <v>251</v>
      </c>
      <c r="D6586" s="132" t="n">
        <v>46660</v>
      </c>
      <c r="E6586" s="131" t="s">
        <v>56</v>
      </c>
      <c r="F6586" s="133" t="s">
        <v>24</v>
      </c>
      <c r="G6586" s="134" t="n">
        <f aca="false">LEN('Saisie programme'!$G$237)+SUMIFS('Vols additionnels'!$E$7:$E$66,'Vols additionnels'!$C$7:$C$66,$E6586,'Vols additionnels'!$D$7:$D$66,$F6586,'Vols additionnels'!$B$7:$B$66,$D6586)</f>
        <v>0</v>
      </c>
      <c r="H6586" s="135" t="n">
        <f aca="false">$G6586*'Analyse capacite'!$F$9</f>
        <v>0</v>
      </c>
      <c r="I6586" s="135" t="n">
        <f aca="false">$G6586*'Analyse capacite'!$C$9</f>
        <v>0</v>
      </c>
      <c r="J6586" s="135" t="n">
        <f aca="false">$G6586*'Analyse capacite'!$D$9</f>
        <v>0</v>
      </c>
      <c r="K6586" s="135" t="n">
        <f aca="false">$G6586*'Analyse capacite'!$E$9</f>
        <v>0</v>
      </c>
    </row>
    <row r="6587" customFormat="false" ht="15" hidden="false" customHeight="false" outlineLevel="0" collapsed="false">
      <c r="B6587" s="130" t="n">
        <v>2027</v>
      </c>
      <c r="C6587" s="131" t="s">
        <v>251</v>
      </c>
      <c r="D6587" s="132" t="n">
        <v>46660</v>
      </c>
      <c r="E6587" s="131" t="s">
        <v>59</v>
      </c>
      <c r="F6587" s="133" t="s">
        <v>11</v>
      </c>
      <c r="G6587" s="134" t="n">
        <f aca="false">LEN('Saisie programme'!$G$238)+SUMIFS('Vols additionnels'!$E$7:$E$66,'Vols additionnels'!$C$7:$C$66,$E6587,'Vols additionnels'!$D$7:$D$66,$F6587,'Vols additionnels'!$B$7:$B$66,$D6587)</f>
        <v>0</v>
      </c>
      <c r="H6587" s="135" t="n">
        <f aca="false">$G6587*'Analyse capacite'!$F$7</f>
        <v>0</v>
      </c>
      <c r="I6587" s="135" t="n">
        <f aca="false">$G6587*'Analyse capacite'!$C$7</f>
        <v>0</v>
      </c>
      <c r="J6587" s="135" t="n">
        <f aca="false">$G6587*'Analyse capacite'!$D$7</f>
        <v>0</v>
      </c>
      <c r="K6587" s="135" t="n">
        <f aca="false">$G6587*'Analyse capacite'!$E$7</f>
        <v>0</v>
      </c>
    </row>
    <row r="6588" customFormat="false" ht="15" hidden="false" customHeight="false" outlineLevel="0" collapsed="false">
      <c r="B6588" s="130" t="n">
        <v>2027</v>
      </c>
      <c r="C6588" s="131" t="s">
        <v>251</v>
      </c>
      <c r="D6588" s="132" t="n">
        <v>46660</v>
      </c>
      <c r="E6588" s="131" t="s">
        <v>59</v>
      </c>
      <c r="F6588" s="133" t="s">
        <v>19</v>
      </c>
      <c r="G6588" s="134" t="n">
        <f aca="false">LEN('Saisie programme'!$G$239)+SUMIFS('Vols additionnels'!$E$7:$E$66,'Vols additionnels'!$C$7:$C$66,$E6588,'Vols additionnels'!$D$7:$D$66,$F6588,'Vols additionnels'!$B$7:$B$66,$D6588)</f>
        <v>0</v>
      </c>
      <c r="H6588" s="135" t="n">
        <f aca="false">$G6588*'Analyse capacite'!$F$8</f>
        <v>0</v>
      </c>
      <c r="I6588" s="135" t="n">
        <f aca="false">$G6588*'Analyse capacite'!$C$8</f>
        <v>0</v>
      </c>
      <c r="J6588" s="135" t="n">
        <f aca="false">$G6588*'Analyse capacite'!$D$8</f>
        <v>0</v>
      </c>
      <c r="K6588" s="135" t="n">
        <f aca="false">$G6588*'Analyse capacite'!$E$8</f>
        <v>0</v>
      </c>
    </row>
    <row r="6589" customFormat="false" ht="15" hidden="false" customHeight="false" outlineLevel="0" collapsed="false">
      <c r="B6589" s="130" t="n">
        <v>2027</v>
      </c>
      <c r="C6589" s="131" t="s">
        <v>251</v>
      </c>
      <c r="D6589" s="132" t="n">
        <v>46660</v>
      </c>
      <c r="E6589" s="131" t="s">
        <v>59</v>
      </c>
      <c r="F6589" s="133" t="s">
        <v>24</v>
      </c>
      <c r="G6589" s="134" t="n">
        <f aca="false">LEN('Saisie programme'!$G$240)+SUMIFS('Vols additionnels'!$E$7:$E$66,'Vols additionnels'!$C$7:$C$66,$E6589,'Vols additionnels'!$D$7:$D$66,$F6589,'Vols additionnels'!$B$7:$B$66,$D6589)</f>
        <v>2</v>
      </c>
      <c r="H6589" s="135" t="n">
        <f aca="false">$G6589*'Analyse capacite'!$F$9</f>
        <v>348</v>
      </c>
      <c r="I6589" s="135" t="n">
        <f aca="false">$G6589*'Analyse capacite'!$C$9</f>
        <v>0</v>
      </c>
      <c r="J6589" s="135" t="n">
        <f aca="false">$G6589*'Analyse capacite'!$D$9</f>
        <v>24</v>
      </c>
      <c r="K6589" s="135" t="n">
        <f aca="false">$G6589*'Analyse capacite'!$E$9</f>
        <v>324</v>
      </c>
    </row>
    <row r="6590" customFormat="false" ht="15" hidden="false" customHeight="false" outlineLevel="0" collapsed="false">
      <c r="B6590" s="130" t="n">
        <v>2027</v>
      </c>
      <c r="C6590" s="131" t="s">
        <v>251</v>
      </c>
      <c r="D6590" s="132" t="n">
        <v>46660</v>
      </c>
      <c r="E6590" s="131" t="s">
        <v>62</v>
      </c>
      <c r="F6590" s="133" t="s">
        <v>11</v>
      </c>
      <c r="G6590" s="134" t="n">
        <f aca="false">LEN('Saisie programme'!$G$241)+SUMIFS('Vols additionnels'!$E$7:$E$66,'Vols additionnels'!$C$7:$C$66,$E6590,'Vols additionnels'!$D$7:$D$66,$F6590,'Vols additionnels'!$B$7:$B$66,$D6590)</f>
        <v>0</v>
      </c>
      <c r="H6590" s="135" t="n">
        <f aca="false">$G6590*'Analyse capacite'!$F$7</f>
        <v>0</v>
      </c>
      <c r="I6590" s="135" t="n">
        <f aca="false">$G6590*'Analyse capacite'!$C$7</f>
        <v>0</v>
      </c>
      <c r="J6590" s="135" t="n">
        <f aca="false">$G6590*'Analyse capacite'!$D$7</f>
        <v>0</v>
      </c>
      <c r="K6590" s="135" t="n">
        <f aca="false">$G6590*'Analyse capacite'!$E$7</f>
        <v>0</v>
      </c>
    </row>
    <row r="6591" customFormat="false" ht="15" hidden="false" customHeight="false" outlineLevel="0" collapsed="false">
      <c r="B6591" s="130" t="n">
        <v>2027</v>
      </c>
      <c r="C6591" s="131" t="s">
        <v>251</v>
      </c>
      <c r="D6591" s="132" t="n">
        <v>46660</v>
      </c>
      <c r="E6591" s="131" t="s">
        <v>62</v>
      </c>
      <c r="F6591" s="133" t="s">
        <v>19</v>
      </c>
      <c r="G6591" s="134" t="n">
        <f aca="false">LEN('Saisie programme'!$G$242)+SUMIFS('Vols additionnels'!$E$7:$E$66,'Vols additionnels'!$C$7:$C$66,$E6591,'Vols additionnels'!$D$7:$D$66,$F6591,'Vols additionnels'!$B$7:$B$66,$D6591)</f>
        <v>0</v>
      </c>
      <c r="H6591" s="135" t="n">
        <f aca="false">$G6591*'Analyse capacite'!$F$8</f>
        <v>0</v>
      </c>
      <c r="I6591" s="135" t="n">
        <f aca="false">$G6591*'Analyse capacite'!$C$8</f>
        <v>0</v>
      </c>
      <c r="J6591" s="135" t="n">
        <f aca="false">$G6591*'Analyse capacite'!$D$8</f>
        <v>0</v>
      </c>
      <c r="K6591" s="135" t="n">
        <f aca="false">$G6591*'Analyse capacite'!$E$8</f>
        <v>0</v>
      </c>
    </row>
    <row r="6592" customFormat="false" ht="15" hidden="false" customHeight="false" outlineLevel="0" collapsed="false">
      <c r="B6592" s="130" t="n">
        <v>2027</v>
      </c>
      <c r="C6592" s="131" t="s">
        <v>251</v>
      </c>
      <c r="D6592" s="132" t="n">
        <v>46660</v>
      </c>
      <c r="E6592" s="131" t="s">
        <v>62</v>
      </c>
      <c r="F6592" s="133" t="s">
        <v>24</v>
      </c>
      <c r="G6592" s="134" t="n">
        <f aca="false">LEN('Saisie programme'!$G$243)+SUMIFS('Vols additionnels'!$E$7:$E$66,'Vols additionnels'!$C$7:$C$66,$E6592,'Vols additionnels'!$D$7:$D$66,$F6592,'Vols additionnels'!$B$7:$B$66,$D6592)</f>
        <v>0</v>
      </c>
      <c r="H6592" s="135" t="n">
        <f aca="false">$G6592*'Analyse capacite'!$F$9</f>
        <v>0</v>
      </c>
      <c r="I6592" s="135" t="n">
        <f aca="false">$G6592*'Analyse capacite'!$C$9</f>
        <v>0</v>
      </c>
      <c r="J6592" s="135" t="n">
        <f aca="false">$G6592*'Analyse capacite'!$D$9</f>
        <v>0</v>
      </c>
      <c r="K6592" s="135" t="n">
        <f aca="false">$G6592*'Analyse capacite'!$E$9</f>
        <v>0</v>
      </c>
    </row>
    <row r="6593" customFormat="false" ht="15" hidden="false" customHeight="false" outlineLevel="0" collapsed="false">
      <c r="B6593" s="130" t="n">
        <v>2027</v>
      </c>
      <c r="C6593" s="131" t="s">
        <v>252</v>
      </c>
      <c r="D6593" s="132" t="n">
        <v>46661</v>
      </c>
      <c r="E6593" s="131" t="s">
        <v>12</v>
      </c>
      <c r="F6593" s="133" t="s">
        <v>11</v>
      </c>
      <c r="G6593" s="134" t="n">
        <f aca="false">LEN('Saisie programme'!$H$247)+SUMIFS('Vols additionnels'!$E$7:$E$66,'Vols additionnels'!$C$7:$C$66,$E6593,'Vols additionnels'!$D$7:$D$66,$F6593,'Vols additionnels'!$B$7:$B$66,$D6593)</f>
        <v>1</v>
      </c>
      <c r="H6593" s="135" t="n">
        <f aca="false">$G6593*'Analyse capacite'!$F$7</f>
        <v>438</v>
      </c>
      <c r="I6593" s="135" t="n">
        <f aca="false">$G6593*'Analyse capacite'!$C$7</f>
        <v>14</v>
      </c>
      <c r="J6593" s="135" t="n">
        <f aca="false">$G6593*'Analyse capacite'!$D$7</f>
        <v>40</v>
      </c>
      <c r="K6593" s="135" t="n">
        <f aca="false">$G6593*'Analyse capacite'!$E$7</f>
        <v>384</v>
      </c>
    </row>
    <row r="6594" customFormat="false" ht="15" hidden="false" customHeight="false" outlineLevel="0" collapsed="false">
      <c r="B6594" s="130" t="n">
        <v>2027</v>
      </c>
      <c r="C6594" s="131" t="s">
        <v>252</v>
      </c>
      <c r="D6594" s="132" t="n">
        <v>46661</v>
      </c>
      <c r="E6594" s="131" t="s">
        <v>12</v>
      </c>
      <c r="F6594" s="133" t="s">
        <v>19</v>
      </c>
      <c r="G6594" s="134" t="n">
        <f aca="false">LEN('Saisie programme'!$H$248)+SUMIFS('Vols additionnels'!$E$7:$E$66,'Vols additionnels'!$C$7:$C$66,$E6594,'Vols additionnels'!$D$7:$D$66,$F6594,'Vols additionnels'!$B$7:$B$66,$D6594)</f>
        <v>1</v>
      </c>
      <c r="H6594" s="135" t="n">
        <f aca="false">$G6594*'Analyse capacite'!$F$8</f>
        <v>262</v>
      </c>
      <c r="I6594" s="135" t="n">
        <f aca="false">$G6594*'Analyse capacite'!$C$8</f>
        <v>18</v>
      </c>
      <c r="J6594" s="135" t="n">
        <f aca="false">$G6594*'Analyse capacite'!$D$8</f>
        <v>0</v>
      </c>
      <c r="K6594" s="135" t="n">
        <f aca="false">$G6594*'Analyse capacite'!$E$8</f>
        <v>244</v>
      </c>
    </row>
    <row r="6595" customFormat="false" ht="15" hidden="false" customHeight="false" outlineLevel="0" collapsed="false">
      <c r="B6595" s="130" t="n">
        <v>2027</v>
      </c>
      <c r="C6595" s="131" t="s">
        <v>252</v>
      </c>
      <c r="D6595" s="132" t="n">
        <v>46661</v>
      </c>
      <c r="E6595" s="131" t="s">
        <v>12</v>
      </c>
      <c r="F6595" s="133" t="s">
        <v>24</v>
      </c>
      <c r="G6595" s="134" t="n">
        <f aca="false">LEN('Saisie programme'!$H$249)+SUMIFS('Vols additionnels'!$E$7:$E$66,'Vols additionnels'!$C$7:$C$66,$E6595,'Vols additionnels'!$D$7:$D$66,$F6595,'Vols additionnels'!$B$7:$B$66,$D6595)</f>
        <v>0</v>
      </c>
      <c r="H6595" s="135" t="n">
        <f aca="false">$G6595*'Analyse capacite'!$F$9</f>
        <v>0</v>
      </c>
      <c r="I6595" s="135" t="n">
        <f aca="false">$G6595*'Analyse capacite'!$C$9</f>
        <v>0</v>
      </c>
      <c r="J6595" s="135" t="n">
        <f aca="false">$G6595*'Analyse capacite'!$D$9</f>
        <v>0</v>
      </c>
      <c r="K6595" s="135" t="n">
        <f aca="false">$G6595*'Analyse capacite'!$E$9</f>
        <v>0</v>
      </c>
    </row>
    <row r="6596" customFormat="false" ht="15" hidden="false" customHeight="false" outlineLevel="0" collapsed="false">
      <c r="B6596" s="130" t="n">
        <v>2027</v>
      </c>
      <c r="C6596" s="131" t="s">
        <v>252</v>
      </c>
      <c r="D6596" s="132" t="n">
        <v>46661</v>
      </c>
      <c r="E6596" s="131" t="s">
        <v>20</v>
      </c>
      <c r="F6596" s="133" t="s">
        <v>11</v>
      </c>
      <c r="G6596" s="134" t="n">
        <f aca="false">LEN('Saisie programme'!$H$250)+SUMIFS('Vols additionnels'!$E$7:$E$66,'Vols additionnels'!$C$7:$C$66,$E6596,'Vols additionnels'!$D$7:$D$66,$F6596,'Vols additionnels'!$B$7:$B$66,$D6596)</f>
        <v>0</v>
      </c>
      <c r="H6596" s="135" t="n">
        <f aca="false">$G6596*'Analyse capacite'!$F$7</f>
        <v>0</v>
      </c>
      <c r="I6596" s="135" t="n">
        <f aca="false">$G6596*'Analyse capacite'!$C$7</f>
        <v>0</v>
      </c>
      <c r="J6596" s="135" t="n">
        <f aca="false">$G6596*'Analyse capacite'!$D$7</f>
        <v>0</v>
      </c>
      <c r="K6596" s="135" t="n">
        <f aca="false">$G6596*'Analyse capacite'!$E$7</f>
        <v>0</v>
      </c>
    </row>
    <row r="6597" customFormat="false" ht="15" hidden="false" customHeight="false" outlineLevel="0" collapsed="false">
      <c r="B6597" s="130" t="n">
        <v>2027</v>
      </c>
      <c r="C6597" s="131" t="s">
        <v>252</v>
      </c>
      <c r="D6597" s="132" t="n">
        <v>46661</v>
      </c>
      <c r="E6597" s="131" t="s">
        <v>20</v>
      </c>
      <c r="F6597" s="133" t="s">
        <v>19</v>
      </c>
      <c r="G6597" s="134" t="n">
        <f aca="false">LEN('Saisie programme'!$H$251)+SUMIFS('Vols additionnels'!$E$7:$E$66,'Vols additionnels'!$C$7:$C$66,$E6597,'Vols additionnels'!$D$7:$D$66,$F6597,'Vols additionnels'!$B$7:$B$66,$D6597)</f>
        <v>1</v>
      </c>
      <c r="H6597" s="135" t="n">
        <f aca="false">$G6597*'Analyse capacite'!$F$8</f>
        <v>262</v>
      </c>
      <c r="I6597" s="135" t="n">
        <f aca="false">$G6597*'Analyse capacite'!$C$8</f>
        <v>18</v>
      </c>
      <c r="J6597" s="135" t="n">
        <f aca="false">$G6597*'Analyse capacite'!$D$8</f>
        <v>0</v>
      </c>
      <c r="K6597" s="135" t="n">
        <f aca="false">$G6597*'Analyse capacite'!$E$8</f>
        <v>244</v>
      </c>
    </row>
    <row r="6598" customFormat="false" ht="15" hidden="false" customHeight="false" outlineLevel="0" collapsed="false">
      <c r="B6598" s="130" t="n">
        <v>2027</v>
      </c>
      <c r="C6598" s="131" t="s">
        <v>252</v>
      </c>
      <c r="D6598" s="132" t="n">
        <v>46661</v>
      </c>
      <c r="E6598" s="131" t="s">
        <v>20</v>
      </c>
      <c r="F6598" s="133" t="s">
        <v>24</v>
      </c>
      <c r="G6598" s="134" t="n">
        <f aca="false">LEN('Saisie programme'!$H$252)+SUMIFS('Vols additionnels'!$E$7:$E$66,'Vols additionnels'!$C$7:$C$66,$E6598,'Vols additionnels'!$D$7:$D$66,$F6598,'Vols additionnels'!$B$7:$B$66,$D6598)</f>
        <v>0</v>
      </c>
      <c r="H6598" s="135" t="n">
        <f aca="false">$G6598*'Analyse capacite'!$F$9</f>
        <v>0</v>
      </c>
      <c r="I6598" s="135" t="n">
        <f aca="false">$G6598*'Analyse capacite'!$C$9</f>
        <v>0</v>
      </c>
      <c r="J6598" s="135" t="n">
        <f aca="false">$G6598*'Analyse capacite'!$D$9</f>
        <v>0</v>
      </c>
      <c r="K6598" s="135" t="n">
        <f aca="false">$G6598*'Analyse capacite'!$E$9</f>
        <v>0</v>
      </c>
    </row>
    <row r="6599" customFormat="false" ht="15" hidden="false" customHeight="false" outlineLevel="0" collapsed="false">
      <c r="B6599" s="130" t="n">
        <v>2027</v>
      </c>
      <c r="C6599" s="131" t="s">
        <v>252</v>
      </c>
      <c r="D6599" s="132" t="n">
        <v>46661</v>
      </c>
      <c r="E6599" s="131" t="s">
        <v>25</v>
      </c>
      <c r="F6599" s="133" t="s">
        <v>11</v>
      </c>
      <c r="G6599" s="134" t="n">
        <f aca="false">LEN('Saisie programme'!$H$253)+SUMIFS('Vols additionnels'!$E$7:$E$66,'Vols additionnels'!$C$7:$C$66,$E6599,'Vols additionnels'!$D$7:$D$66,$F6599,'Vols additionnels'!$B$7:$B$66,$D6599)</f>
        <v>0</v>
      </c>
      <c r="H6599" s="135" t="n">
        <f aca="false">$G6599*'Analyse capacite'!$F$7</f>
        <v>0</v>
      </c>
      <c r="I6599" s="135" t="n">
        <f aca="false">$G6599*'Analyse capacite'!$C$7</f>
        <v>0</v>
      </c>
      <c r="J6599" s="135" t="n">
        <f aca="false">$G6599*'Analyse capacite'!$D$7</f>
        <v>0</v>
      </c>
      <c r="K6599" s="135" t="n">
        <f aca="false">$G6599*'Analyse capacite'!$E$7</f>
        <v>0</v>
      </c>
    </row>
    <row r="6600" customFormat="false" ht="15" hidden="false" customHeight="false" outlineLevel="0" collapsed="false">
      <c r="B6600" s="130" t="n">
        <v>2027</v>
      </c>
      <c r="C6600" s="131" t="s">
        <v>252</v>
      </c>
      <c r="D6600" s="132" t="n">
        <v>46661</v>
      </c>
      <c r="E6600" s="131" t="s">
        <v>25</v>
      </c>
      <c r="F6600" s="133" t="s">
        <v>19</v>
      </c>
      <c r="G6600" s="134" t="n">
        <f aca="false">LEN('Saisie programme'!$H$254)+SUMIFS('Vols additionnels'!$E$7:$E$66,'Vols additionnels'!$C$7:$C$66,$E6600,'Vols additionnels'!$D$7:$D$66,$F6600,'Vols additionnels'!$B$7:$B$66,$D6600)</f>
        <v>0</v>
      </c>
      <c r="H6600" s="135" t="n">
        <f aca="false">$G6600*'Analyse capacite'!$F$8</f>
        <v>0</v>
      </c>
      <c r="I6600" s="135" t="n">
        <f aca="false">$G6600*'Analyse capacite'!$C$8</f>
        <v>0</v>
      </c>
      <c r="J6600" s="135" t="n">
        <f aca="false">$G6600*'Analyse capacite'!$D$8</f>
        <v>0</v>
      </c>
      <c r="K6600" s="135" t="n">
        <f aca="false">$G6600*'Analyse capacite'!$E$8</f>
        <v>0</v>
      </c>
    </row>
    <row r="6601" customFormat="false" ht="15" hidden="false" customHeight="false" outlineLevel="0" collapsed="false">
      <c r="B6601" s="130" t="n">
        <v>2027</v>
      </c>
      <c r="C6601" s="131" t="s">
        <v>252</v>
      </c>
      <c r="D6601" s="132" t="n">
        <v>46661</v>
      </c>
      <c r="E6601" s="131" t="s">
        <v>25</v>
      </c>
      <c r="F6601" s="133" t="s">
        <v>24</v>
      </c>
      <c r="G6601" s="134" t="n">
        <f aca="false">LEN('Saisie programme'!$H$255)+SUMIFS('Vols additionnels'!$E$7:$E$66,'Vols additionnels'!$C$7:$C$66,$E6601,'Vols additionnels'!$D$7:$D$66,$F6601,'Vols additionnels'!$B$7:$B$66,$D6601)</f>
        <v>0</v>
      </c>
      <c r="H6601" s="135" t="n">
        <f aca="false">$G6601*'Analyse capacite'!$F$9</f>
        <v>0</v>
      </c>
      <c r="I6601" s="135" t="n">
        <f aca="false">$G6601*'Analyse capacite'!$C$9</f>
        <v>0</v>
      </c>
      <c r="J6601" s="135" t="n">
        <f aca="false">$G6601*'Analyse capacite'!$D$9</f>
        <v>0</v>
      </c>
      <c r="K6601" s="135" t="n">
        <f aca="false">$G6601*'Analyse capacite'!$E$9</f>
        <v>0</v>
      </c>
    </row>
    <row r="6602" customFormat="false" ht="15" hidden="false" customHeight="false" outlineLevel="0" collapsed="false">
      <c r="B6602" s="130" t="n">
        <v>2027</v>
      </c>
      <c r="C6602" s="131" t="s">
        <v>252</v>
      </c>
      <c r="D6602" s="132" t="n">
        <v>46661</v>
      </c>
      <c r="E6602" s="131" t="s">
        <v>36</v>
      </c>
      <c r="F6602" s="133" t="s">
        <v>11</v>
      </c>
      <c r="G6602" s="134" t="n">
        <f aca="false">LEN('Saisie programme'!$H$256)+SUMIFS('Vols additionnels'!$E$7:$E$66,'Vols additionnels'!$C$7:$C$66,$E6602,'Vols additionnels'!$D$7:$D$66,$F6602,'Vols additionnels'!$B$7:$B$66,$D6602)</f>
        <v>0</v>
      </c>
      <c r="H6602" s="135" t="n">
        <f aca="false">$G6602*'Analyse capacite'!$F$7</f>
        <v>0</v>
      </c>
      <c r="I6602" s="135" t="n">
        <f aca="false">$G6602*'Analyse capacite'!$C$7</f>
        <v>0</v>
      </c>
      <c r="J6602" s="135" t="n">
        <f aca="false">$G6602*'Analyse capacite'!$D$7</f>
        <v>0</v>
      </c>
      <c r="K6602" s="135" t="n">
        <f aca="false">$G6602*'Analyse capacite'!$E$7</f>
        <v>0</v>
      </c>
    </row>
    <row r="6603" customFormat="false" ht="15" hidden="false" customHeight="false" outlineLevel="0" collapsed="false">
      <c r="B6603" s="130" t="n">
        <v>2027</v>
      </c>
      <c r="C6603" s="131" t="s">
        <v>252</v>
      </c>
      <c r="D6603" s="132" t="n">
        <v>46661</v>
      </c>
      <c r="E6603" s="131" t="s">
        <v>36</v>
      </c>
      <c r="F6603" s="133" t="s">
        <v>19</v>
      </c>
      <c r="G6603" s="134" t="n">
        <f aca="false">LEN('Saisie programme'!$H$257)+SUMIFS('Vols additionnels'!$E$7:$E$66,'Vols additionnels'!$C$7:$C$66,$E6603,'Vols additionnels'!$D$7:$D$66,$F6603,'Vols additionnels'!$B$7:$B$66,$D6603)</f>
        <v>0</v>
      </c>
      <c r="H6603" s="135" t="n">
        <f aca="false">$G6603*'Analyse capacite'!$F$8</f>
        <v>0</v>
      </c>
      <c r="I6603" s="135" t="n">
        <f aca="false">$G6603*'Analyse capacite'!$C$8</f>
        <v>0</v>
      </c>
      <c r="J6603" s="135" t="n">
        <f aca="false">$G6603*'Analyse capacite'!$D$8</f>
        <v>0</v>
      </c>
      <c r="K6603" s="135" t="n">
        <f aca="false">$G6603*'Analyse capacite'!$E$8</f>
        <v>0</v>
      </c>
    </row>
    <row r="6604" customFormat="false" ht="15" hidden="false" customHeight="false" outlineLevel="0" collapsed="false">
      <c r="B6604" s="130" t="n">
        <v>2027</v>
      </c>
      <c r="C6604" s="131" t="s">
        <v>252</v>
      </c>
      <c r="D6604" s="132" t="n">
        <v>46661</v>
      </c>
      <c r="E6604" s="131" t="s">
        <v>36</v>
      </c>
      <c r="F6604" s="133" t="s">
        <v>24</v>
      </c>
      <c r="G6604" s="134" t="n">
        <f aca="false">LEN('Saisie programme'!$H$258)+SUMIFS('Vols additionnels'!$E$7:$E$66,'Vols additionnels'!$C$7:$C$66,$E6604,'Vols additionnels'!$D$7:$D$66,$F6604,'Vols additionnels'!$B$7:$B$66,$D6604)</f>
        <v>1</v>
      </c>
      <c r="H6604" s="135" t="n">
        <f aca="false">$G6604*'Analyse capacite'!$F$9</f>
        <v>174</v>
      </c>
      <c r="I6604" s="135" t="n">
        <f aca="false">$G6604*'Analyse capacite'!$C$9</f>
        <v>0</v>
      </c>
      <c r="J6604" s="135" t="n">
        <f aca="false">$G6604*'Analyse capacite'!$D$9</f>
        <v>12</v>
      </c>
      <c r="K6604" s="135" t="n">
        <f aca="false">$G6604*'Analyse capacite'!$E$9</f>
        <v>162</v>
      </c>
    </row>
    <row r="6605" customFormat="false" ht="15" hidden="false" customHeight="false" outlineLevel="0" collapsed="false">
      <c r="B6605" s="130" t="n">
        <v>2027</v>
      </c>
      <c r="C6605" s="131" t="s">
        <v>252</v>
      </c>
      <c r="D6605" s="132" t="n">
        <v>46661</v>
      </c>
      <c r="E6605" s="131" t="s">
        <v>40</v>
      </c>
      <c r="F6605" s="133" t="s">
        <v>11</v>
      </c>
      <c r="G6605" s="134" t="n">
        <f aca="false">LEN('Saisie programme'!$H$259)+SUMIFS('Vols additionnels'!$E$7:$E$66,'Vols additionnels'!$C$7:$C$66,$E6605,'Vols additionnels'!$D$7:$D$66,$F6605,'Vols additionnels'!$B$7:$B$66,$D6605)</f>
        <v>0</v>
      </c>
      <c r="H6605" s="135" t="n">
        <f aca="false">$G6605*'Analyse capacite'!$F$7</f>
        <v>0</v>
      </c>
      <c r="I6605" s="135" t="n">
        <f aca="false">$G6605*'Analyse capacite'!$C$7</f>
        <v>0</v>
      </c>
      <c r="J6605" s="135" t="n">
        <f aca="false">$G6605*'Analyse capacite'!$D$7</f>
        <v>0</v>
      </c>
      <c r="K6605" s="135" t="n">
        <f aca="false">$G6605*'Analyse capacite'!$E$7</f>
        <v>0</v>
      </c>
    </row>
    <row r="6606" customFormat="false" ht="15" hidden="false" customHeight="false" outlineLevel="0" collapsed="false">
      <c r="B6606" s="130" t="n">
        <v>2027</v>
      </c>
      <c r="C6606" s="131" t="s">
        <v>252</v>
      </c>
      <c r="D6606" s="132" t="n">
        <v>46661</v>
      </c>
      <c r="E6606" s="131" t="s">
        <v>40</v>
      </c>
      <c r="F6606" s="133" t="s">
        <v>19</v>
      </c>
      <c r="G6606" s="134" t="n">
        <f aca="false">LEN('Saisie programme'!$H$260)+SUMIFS('Vols additionnels'!$E$7:$E$66,'Vols additionnels'!$C$7:$C$66,$E6606,'Vols additionnels'!$D$7:$D$66,$F6606,'Vols additionnels'!$B$7:$B$66,$D6606)</f>
        <v>0</v>
      </c>
      <c r="H6606" s="135" t="n">
        <f aca="false">$G6606*'Analyse capacite'!$F$8</f>
        <v>0</v>
      </c>
      <c r="I6606" s="135" t="n">
        <f aca="false">$G6606*'Analyse capacite'!$C$8</f>
        <v>0</v>
      </c>
      <c r="J6606" s="135" t="n">
        <f aca="false">$G6606*'Analyse capacite'!$D$8</f>
        <v>0</v>
      </c>
      <c r="K6606" s="135" t="n">
        <f aca="false">$G6606*'Analyse capacite'!$E$8</f>
        <v>0</v>
      </c>
    </row>
    <row r="6607" customFormat="false" ht="15" hidden="false" customHeight="false" outlineLevel="0" collapsed="false">
      <c r="B6607" s="130" t="n">
        <v>2027</v>
      </c>
      <c r="C6607" s="131" t="s">
        <v>252</v>
      </c>
      <c r="D6607" s="132" t="n">
        <v>46661</v>
      </c>
      <c r="E6607" s="131" t="s">
        <v>40</v>
      </c>
      <c r="F6607" s="133" t="s">
        <v>24</v>
      </c>
      <c r="G6607" s="134" t="n">
        <f aca="false">LEN('Saisie programme'!$H$261)+SUMIFS('Vols additionnels'!$E$7:$E$66,'Vols additionnels'!$C$7:$C$66,$E6607,'Vols additionnels'!$D$7:$D$66,$F6607,'Vols additionnels'!$B$7:$B$66,$D6607)</f>
        <v>1</v>
      </c>
      <c r="H6607" s="135" t="n">
        <f aca="false">$G6607*'Analyse capacite'!$F$9</f>
        <v>174</v>
      </c>
      <c r="I6607" s="135" t="n">
        <f aca="false">$G6607*'Analyse capacite'!$C$9</f>
        <v>0</v>
      </c>
      <c r="J6607" s="135" t="n">
        <f aca="false">$G6607*'Analyse capacite'!$D$9</f>
        <v>12</v>
      </c>
      <c r="K6607" s="135" t="n">
        <f aca="false">$G6607*'Analyse capacite'!$E$9</f>
        <v>162</v>
      </c>
    </row>
    <row r="6608" customFormat="false" ht="15" hidden="false" customHeight="false" outlineLevel="0" collapsed="false">
      <c r="B6608" s="130" t="n">
        <v>2027</v>
      </c>
      <c r="C6608" s="131" t="s">
        <v>252</v>
      </c>
      <c r="D6608" s="132" t="n">
        <v>46661</v>
      </c>
      <c r="E6608" s="131" t="s">
        <v>14</v>
      </c>
      <c r="F6608" s="133" t="s">
        <v>11</v>
      </c>
      <c r="G6608" s="134" t="n">
        <f aca="false">LEN('Saisie programme'!$H$262)+SUMIFS('Vols additionnels'!$E$7:$E$66,'Vols additionnels'!$C$7:$C$66,$E6608,'Vols additionnels'!$D$7:$D$66,$F6608,'Vols additionnels'!$B$7:$B$66,$D6608)</f>
        <v>0</v>
      </c>
      <c r="H6608" s="135" t="n">
        <f aca="false">$G6608*'Analyse capacite'!$F$7</f>
        <v>0</v>
      </c>
      <c r="I6608" s="135" t="n">
        <f aca="false">$G6608*'Analyse capacite'!$C$7</f>
        <v>0</v>
      </c>
      <c r="J6608" s="135" t="n">
        <f aca="false">$G6608*'Analyse capacite'!$D$7</f>
        <v>0</v>
      </c>
      <c r="K6608" s="135" t="n">
        <f aca="false">$G6608*'Analyse capacite'!$E$7</f>
        <v>0</v>
      </c>
    </row>
    <row r="6609" customFormat="false" ht="15" hidden="false" customHeight="false" outlineLevel="0" collapsed="false">
      <c r="B6609" s="130" t="n">
        <v>2027</v>
      </c>
      <c r="C6609" s="131" t="s">
        <v>252</v>
      </c>
      <c r="D6609" s="132" t="n">
        <v>46661</v>
      </c>
      <c r="E6609" s="131" t="s">
        <v>14</v>
      </c>
      <c r="F6609" s="133" t="s">
        <v>19</v>
      </c>
      <c r="G6609" s="134" t="n">
        <f aca="false">LEN('Saisie programme'!$H$263)+SUMIFS('Vols additionnels'!$E$7:$E$66,'Vols additionnels'!$C$7:$C$66,$E6609,'Vols additionnels'!$D$7:$D$66,$F6609,'Vols additionnels'!$B$7:$B$66,$D6609)</f>
        <v>0</v>
      </c>
      <c r="H6609" s="135" t="n">
        <f aca="false">$G6609*'Analyse capacite'!$F$8</f>
        <v>0</v>
      </c>
      <c r="I6609" s="135" t="n">
        <f aca="false">$G6609*'Analyse capacite'!$C$8</f>
        <v>0</v>
      </c>
      <c r="J6609" s="135" t="n">
        <f aca="false">$G6609*'Analyse capacite'!$D$8</f>
        <v>0</v>
      </c>
      <c r="K6609" s="135" t="n">
        <f aca="false">$G6609*'Analyse capacite'!$E$8</f>
        <v>0</v>
      </c>
    </row>
    <row r="6610" customFormat="false" ht="15" hidden="false" customHeight="false" outlineLevel="0" collapsed="false">
      <c r="B6610" s="130" t="n">
        <v>2027</v>
      </c>
      <c r="C6610" s="131" t="s">
        <v>252</v>
      </c>
      <c r="D6610" s="132" t="n">
        <v>46661</v>
      </c>
      <c r="E6610" s="131" t="s">
        <v>14</v>
      </c>
      <c r="F6610" s="133" t="s">
        <v>24</v>
      </c>
      <c r="G6610" s="134" t="n">
        <f aca="false">LEN('Saisie programme'!$H$264)+SUMIFS('Vols additionnels'!$E$7:$E$66,'Vols additionnels'!$C$7:$C$66,$E6610,'Vols additionnels'!$D$7:$D$66,$F6610,'Vols additionnels'!$B$7:$B$66,$D6610)</f>
        <v>0</v>
      </c>
      <c r="H6610" s="135" t="n">
        <f aca="false">$G6610*'Analyse capacite'!$F$9</f>
        <v>0</v>
      </c>
      <c r="I6610" s="135" t="n">
        <f aca="false">$G6610*'Analyse capacite'!$C$9</f>
        <v>0</v>
      </c>
      <c r="J6610" s="135" t="n">
        <f aca="false">$G6610*'Analyse capacite'!$D$9</f>
        <v>0</v>
      </c>
      <c r="K6610" s="135" t="n">
        <f aca="false">$G6610*'Analyse capacite'!$E$9</f>
        <v>0</v>
      </c>
    </row>
    <row r="6611" customFormat="false" ht="15" hidden="false" customHeight="false" outlineLevel="0" collapsed="false">
      <c r="B6611" s="130" t="n">
        <v>2027</v>
      </c>
      <c r="C6611" s="131" t="s">
        <v>252</v>
      </c>
      <c r="D6611" s="132" t="n">
        <v>46661</v>
      </c>
      <c r="E6611" s="131" t="s">
        <v>46</v>
      </c>
      <c r="F6611" s="133" t="s">
        <v>11</v>
      </c>
      <c r="G6611" s="134" t="n">
        <f aca="false">LEN('Saisie programme'!$H$265)+SUMIFS('Vols additionnels'!$E$7:$E$66,'Vols additionnels'!$C$7:$C$66,$E6611,'Vols additionnels'!$D$7:$D$66,$F6611,'Vols additionnels'!$B$7:$B$66,$D6611)</f>
        <v>0</v>
      </c>
      <c r="H6611" s="135" t="n">
        <f aca="false">$G6611*'Analyse capacite'!$F$7</f>
        <v>0</v>
      </c>
      <c r="I6611" s="135" t="n">
        <f aca="false">$G6611*'Analyse capacite'!$C$7</f>
        <v>0</v>
      </c>
      <c r="J6611" s="135" t="n">
        <f aca="false">$G6611*'Analyse capacite'!$D$7</f>
        <v>0</v>
      </c>
      <c r="K6611" s="135" t="n">
        <f aca="false">$G6611*'Analyse capacite'!$E$7</f>
        <v>0</v>
      </c>
    </row>
    <row r="6612" customFormat="false" ht="15" hidden="false" customHeight="false" outlineLevel="0" collapsed="false">
      <c r="B6612" s="130" t="n">
        <v>2027</v>
      </c>
      <c r="C6612" s="131" t="s">
        <v>252</v>
      </c>
      <c r="D6612" s="132" t="n">
        <v>46661</v>
      </c>
      <c r="E6612" s="131" t="s">
        <v>46</v>
      </c>
      <c r="F6612" s="133" t="s">
        <v>19</v>
      </c>
      <c r="G6612" s="134" t="n">
        <f aca="false">LEN('Saisie programme'!$H$266)+SUMIFS('Vols additionnels'!$E$7:$E$66,'Vols additionnels'!$C$7:$C$66,$E6612,'Vols additionnels'!$D$7:$D$66,$F6612,'Vols additionnels'!$B$7:$B$66,$D6612)</f>
        <v>0</v>
      </c>
      <c r="H6612" s="135" t="n">
        <f aca="false">$G6612*'Analyse capacite'!$F$8</f>
        <v>0</v>
      </c>
      <c r="I6612" s="135" t="n">
        <f aca="false">$G6612*'Analyse capacite'!$C$8</f>
        <v>0</v>
      </c>
      <c r="J6612" s="135" t="n">
        <f aca="false">$G6612*'Analyse capacite'!$D$8</f>
        <v>0</v>
      </c>
      <c r="K6612" s="135" t="n">
        <f aca="false">$G6612*'Analyse capacite'!$E$8</f>
        <v>0</v>
      </c>
    </row>
    <row r="6613" customFormat="false" ht="15" hidden="false" customHeight="false" outlineLevel="0" collapsed="false">
      <c r="B6613" s="130" t="n">
        <v>2027</v>
      </c>
      <c r="C6613" s="131" t="s">
        <v>252</v>
      </c>
      <c r="D6613" s="132" t="n">
        <v>46661</v>
      </c>
      <c r="E6613" s="131" t="s">
        <v>46</v>
      </c>
      <c r="F6613" s="133" t="s">
        <v>24</v>
      </c>
      <c r="G6613" s="134" t="n">
        <f aca="false">LEN('Saisie programme'!$H$267)+SUMIFS('Vols additionnels'!$E$7:$E$66,'Vols additionnels'!$C$7:$C$66,$E6613,'Vols additionnels'!$D$7:$D$66,$F6613,'Vols additionnels'!$B$7:$B$66,$D6613)</f>
        <v>0</v>
      </c>
      <c r="H6613" s="135" t="n">
        <f aca="false">$G6613*'Analyse capacite'!$F$9</f>
        <v>0</v>
      </c>
      <c r="I6613" s="135" t="n">
        <f aca="false">$G6613*'Analyse capacite'!$C$9</f>
        <v>0</v>
      </c>
      <c r="J6613" s="135" t="n">
        <f aca="false">$G6613*'Analyse capacite'!$D$9</f>
        <v>0</v>
      </c>
      <c r="K6613" s="135" t="n">
        <f aca="false">$G6613*'Analyse capacite'!$E$9</f>
        <v>0</v>
      </c>
    </row>
    <row r="6614" customFormat="false" ht="15" hidden="false" customHeight="false" outlineLevel="0" collapsed="false">
      <c r="B6614" s="130" t="n">
        <v>2027</v>
      </c>
      <c r="C6614" s="131" t="s">
        <v>252</v>
      </c>
      <c r="D6614" s="132" t="n">
        <v>46661</v>
      </c>
      <c r="E6614" s="131" t="s">
        <v>49</v>
      </c>
      <c r="F6614" s="133" t="s">
        <v>11</v>
      </c>
      <c r="G6614" s="134" t="n">
        <f aca="false">LEN('Saisie programme'!$H$268)+SUMIFS('Vols additionnels'!$E$7:$E$66,'Vols additionnels'!$C$7:$C$66,$E6614,'Vols additionnels'!$D$7:$D$66,$F6614,'Vols additionnels'!$B$7:$B$66,$D6614)</f>
        <v>0</v>
      </c>
      <c r="H6614" s="135" t="n">
        <f aca="false">$G6614*'Analyse capacite'!$F$7</f>
        <v>0</v>
      </c>
      <c r="I6614" s="135" t="n">
        <f aca="false">$G6614*'Analyse capacite'!$C$7</f>
        <v>0</v>
      </c>
      <c r="J6614" s="135" t="n">
        <f aca="false">$G6614*'Analyse capacite'!$D$7</f>
        <v>0</v>
      </c>
      <c r="K6614" s="135" t="n">
        <f aca="false">$G6614*'Analyse capacite'!$E$7</f>
        <v>0</v>
      </c>
    </row>
    <row r="6615" customFormat="false" ht="15" hidden="false" customHeight="false" outlineLevel="0" collapsed="false">
      <c r="B6615" s="130" t="n">
        <v>2027</v>
      </c>
      <c r="C6615" s="131" t="s">
        <v>252</v>
      </c>
      <c r="D6615" s="132" t="n">
        <v>46661</v>
      </c>
      <c r="E6615" s="131" t="s">
        <v>49</v>
      </c>
      <c r="F6615" s="133" t="s">
        <v>19</v>
      </c>
      <c r="G6615" s="134" t="n">
        <f aca="false">LEN('Saisie programme'!$H$269)+SUMIFS('Vols additionnels'!$E$7:$E$66,'Vols additionnels'!$C$7:$C$66,$E6615,'Vols additionnels'!$D$7:$D$66,$F6615,'Vols additionnels'!$B$7:$B$66,$D6615)</f>
        <v>1</v>
      </c>
      <c r="H6615" s="135" t="n">
        <f aca="false">$G6615*'Analyse capacite'!$F$8</f>
        <v>262</v>
      </c>
      <c r="I6615" s="135" t="n">
        <f aca="false">$G6615*'Analyse capacite'!$C$8</f>
        <v>18</v>
      </c>
      <c r="J6615" s="135" t="n">
        <f aca="false">$G6615*'Analyse capacite'!$D$8</f>
        <v>0</v>
      </c>
      <c r="K6615" s="135" t="n">
        <f aca="false">$G6615*'Analyse capacite'!$E$8</f>
        <v>244</v>
      </c>
    </row>
    <row r="6616" customFormat="false" ht="15" hidden="false" customHeight="false" outlineLevel="0" collapsed="false">
      <c r="B6616" s="130" t="n">
        <v>2027</v>
      </c>
      <c r="C6616" s="131" t="s">
        <v>252</v>
      </c>
      <c r="D6616" s="132" t="n">
        <v>46661</v>
      </c>
      <c r="E6616" s="131" t="s">
        <v>49</v>
      </c>
      <c r="F6616" s="133" t="s">
        <v>24</v>
      </c>
      <c r="G6616" s="134" t="n">
        <f aca="false">LEN('Saisie programme'!$H$270)+SUMIFS('Vols additionnels'!$E$7:$E$66,'Vols additionnels'!$C$7:$C$66,$E6616,'Vols additionnels'!$D$7:$D$66,$F6616,'Vols additionnels'!$B$7:$B$66,$D6616)</f>
        <v>0</v>
      </c>
      <c r="H6616" s="135" t="n">
        <f aca="false">$G6616*'Analyse capacite'!$F$9</f>
        <v>0</v>
      </c>
      <c r="I6616" s="135" t="n">
        <f aca="false">$G6616*'Analyse capacite'!$C$9</f>
        <v>0</v>
      </c>
      <c r="J6616" s="135" t="n">
        <f aca="false">$G6616*'Analyse capacite'!$D$9</f>
        <v>0</v>
      </c>
      <c r="K6616" s="135" t="n">
        <f aca="false">$G6616*'Analyse capacite'!$E$9</f>
        <v>0</v>
      </c>
    </row>
    <row r="6617" customFormat="false" ht="15" hidden="false" customHeight="false" outlineLevel="0" collapsed="false">
      <c r="B6617" s="130" t="n">
        <v>2027</v>
      </c>
      <c r="C6617" s="131" t="s">
        <v>252</v>
      </c>
      <c r="D6617" s="132" t="n">
        <v>46661</v>
      </c>
      <c r="E6617" s="131" t="s">
        <v>53</v>
      </c>
      <c r="F6617" s="133" t="s">
        <v>11</v>
      </c>
      <c r="G6617" s="134" t="n">
        <f aca="false">LEN('Saisie programme'!$H$271)+SUMIFS('Vols additionnels'!$E$7:$E$66,'Vols additionnels'!$C$7:$C$66,$E6617,'Vols additionnels'!$D$7:$D$66,$F6617,'Vols additionnels'!$B$7:$B$66,$D6617)</f>
        <v>0</v>
      </c>
      <c r="H6617" s="135" t="n">
        <f aca="false">$G6617*'Analyse capacite'!$F$7</f>
        <v>0</v>
      </c>
      <c r="I6617" s="135" t="n">
        <f aca="false">$G6617*'Analyse capacite'!$C$7</f>
        <v>0</v>
      </c>
      <c r="J6617" s="135" t="n">
        <f aca="false">$G6617*'Analyse capacite'!$D$7</f>
        <v>0</v>
      </c>
      <c r="K6617" s="135" t="n">
        <f aca="false">$G6617*'Analyse capacite'!$E$7</f>
        <v>0</v>
      </c>
    </row>
    <row r="6618" customFormat="false" ht="15" hidden="false" customHeight="false" outlineLevel="0" collapsed="false">
      <c r="B6618" s="130" t="n">
        <v>2027</v>
      </c>
      <c r="C6618" s="131" t="s">
        <v>252</v>
      </c>
      <c r="D6618" s="132" t="n">
        <v>46661</v>
      </c>
      <c r="E6618" s="131" t="s">
        <v>53</v>
      </c>
      <c r="F6618" s="133" t="s">
        <v>19</v>
      </c>
      <c r="G6618" s="134" t="n">
        <f aca="false">LEN('Saisie programme'!$H$272)+SUMIFS('Vols additionnels'!$E$7:$E$66,'Vols additionnels'!$C$7:$C$66,$E6618,'Vols additionnels'!$D$7:$D$66,$F6618,'Vols additionnels'!$B$7:$B$66,$D6618)</f>
        <v>0</v>
      </c>
      <c r="H6618" s="135" t="n">
        <f aca="false">$G6618*'Analyse capacite'!$F$8</f>
        <v>0</v>
      </c>
      <c r="I6618" s="135" t="n">
        <f aca="false">$G6618*'Analyse capacite'!$C$8</f>
        <v>0</v>
      </c>
      <c r="J6618" s="135" t="n">
        <f aca="false">$G6618*'Analyse capacite'!$D$8</f>
        <v>0</v>
      </c>
      <c r="K6618" s="135" t="n">
        <f aca="false">$G6618*'Analyse capacite'!$E$8</f>
        <v>0</v>
      </c>
    </row>
    <row r="6619" customFormat="false" ht="15" hidden="false" customHeight="false" outlineLevel="0" collapsed="false">
      <c r="B6619" s="130" t="n">
        <v>2027</v>
      </c>
      <c r="C6619" s="131" t="s">
        <v>252</v>
      </c>
      <c r="D6619" s="132" t="n">
        <v>46661</v>
      </c>
      <c r="E6619" s="131" t="s">
        <v>53</v>
      </c>
      <c r="F6619" s="133" t="s">
        <v>24</v>
      </c>
      <c r="G6619" s="134" t="n">
        <f aca="false">LEN('Saisie programme'!$H$273)+SUMIFS('Vols additionnels'!$E$7:$E$66,'Vols additionnels'!$C$7:$C$66,$E6619,'Vols additionnels'!$D$7:$D$66,$F6619,'Vols additionnels'!$B$7:$B$66,$D6619)</f>
        <v>0</v>
      </c>
      <c r="H6619" s="135" t="n">
        <f aca="false">$G6619*'Analyse capacite'!$F$9</f>
        <v>0</v>
      </c>
      <c r="I6619" s="135" t="n">
        <f aca="false">$G6619*'Analyse capacite'!$C$9</f>
        <v>0</v>
      </c>
      <c r="J6619" s="135" t="n">
        <f aca="false">$G6619*'Analyse capacite'!$D$9</f>
        <v>0</v>
      </c>
      <c r="K6619" s="135" t="n">
        <f aca="false">$G6619*'Analyse capacite'!$E$9</f>
        <v>0</v>
      </c>
    </row>
    <row r="6620" customFormat="false" ht="15" hidden="false" customHeight="false" outlineLevel="0" collapsed="false">
      <c r="B6620" s="130" t="n">
        <v>2027</v>
      </c>
      <c r="C6620" s="131" t="s">
        <v>252</v>
      </c>
      <c r="D6620" s="132" t="n">
        <v>46661</v>
      </c>
      <c r="E6620" s="131" t="s">
        <v>56</v>
      </c>
      <c r="F6620" s="133" t="s">
        <v>11</v>
      </c>
      <c r="G6620" s="134" t="n">
        <f aca="false">LEN('Saisie programme'!$H$274)+SUMIFS('Vols additionnels'!$E$7:$E$66,'Vols additionnels'!$C$7:$C$66,$E6620,'Vols additionnels'!$D$7:$D$66,$F6620,'Vols additionnels'!$B$7:$B$66,$D6620)</f>
        <v>0</v>
      </c>
      <c r="H6620" s="135" t="n">
        <f aca="false">$G6620*'Analyse capacite'!$F$7</f>
        <v>0</v>
      </c>
      <c r="I6620" s="135" t="n">
        <f aca="false">$G6620*'Analyse capacite'!$C$7</f>
        <v>0</v>
      </c>
      <c r="J6620" s="135" t="n">
        <f aca="false">$G6620*'Analyse capacite'!$D$7</f>
        <v>0</v>
      </c>
      <c r="K6620" s="135" t="n">
        <f aca="false">$G6620*'Analyse capacite'!$E$7</f>
        <v>0</v>
      </c>
    </row>
    <row r="6621" customFormat="false" ht="15" hidden="false" customHeight="false" outlineLevel="0" collapsed="false">
      <c r="B6621" s="130" t="n">
        <v>2027</v>
      </c>
      <c r="C6621" s="131" t="s">
        <v>252</v>
      </c>
      <c r="D6621" s="132" t="n">
        <v>46661</v>
      </c>
      <c r="E6621" s="131" t="s">
        <v>56</v>
      </c>
      <c r="F6621" s="133" t="s">
        <v>19</v>
      </c>
      <c r="G6621" s="134" t="n">
        <f aca="false">LEN('Saisie programme'!$H$275)+SUMIFS('Vols additionnels'!$E$7:$E$66,'Vols additionnels'!$C$7:$C$66,$E6621,'Vols additionnels'!$D$7:$D$66,$F6621,'Vols additionnels'!$B$7:$B$66,$D6621)</f>
        <v>0</v>
      </c>
      <c r="H6621" s="135" t="n">
        <f aca="false">$G6621*'Analyse capacite'!$F$8</f>
        <v>0</v>
      </c>
      <c r="I6621" s="135" t="n">
        <f aca="false">$G6621*'Analyse capacite'!$C$8</f>
        <v>0</v>
      </c>
      <c r="J6621" s="135" t="n">
        <f aca="false">$G6621*'Analyse capacite'!$D$8</f>
        <v>0</v>
      </c>
      <c r="K6621" s="135" t="n">
        <f aca="false">$G6621*'Analyse capacite'!$E$8</f>
        <v>0</v>
      </c>
    </row>
    <row r="6622" customFormat="false" ht="15" hidden="false" customHeight="false" outlineLevel="0" collapsed="false">
      <c r="B6622" s="130" t="n">
        <v>2027</v>
      </c>
      <c r="C6622" s="131" t="s">
        <v>252</v>
      </c>
      <c r="D6622" s="132" t="n">
        <v>46661</v>
      </c>
      <c r="E6622" s="131" t="s">
        <v>56</v>
      </c>
      <c r="F6622" s="133" t="s">
        <v>24</v>
      </c>
      <c r="G6622" s="134" t="n">
        <f aca="false">LEN('Saisie programme'!$H$276)+SUMIFS('Vols additionnels'!$E$7:$E$66,'Vols additionnels'!$C$7:$C$66,$E6622,'Vols additionnels'!$D$7:$D$66,$F6622,'Vols additionnels'!$B$7:$B$66,$D6622)</f>
        <v>0</v>
      </c>
      <c r="H6622" s="135" t="n">
        <f aca="false">$G6622*'Analyse capacite'!$F$9</f>
        <v>0</v>
      </c>
      <c r="I6622" s="135" t="n">
        <f aca="false">$G6622*'Analyse capacite'!$C$9</f>
        <v>0</v>
      </c>
      <c r="J6622" s="135" t="n">
        <f aca="false">$G6622*'Analyse capacite'!$D$9</f>
        <v>0</v>
      </c>
      <c r="K6622" s="135" t="n">
        <f aca="false">$G6622*'Analyse capacite'!$E$9</f>
        <v>0</v>
      </c>
    </row>
    <row r="6623" customFormat="false" ht="15" hidden="false" customHeight="false" outlineLevel="0" collapsed="false">
      <c r="B6623" s="130" t="n">
        <v>2027</v>
      </c>
      <c r="C6623" s="131" t="s">
        <v>252</v>
      </c>
      <c r="D6623" s="132" t="n">
        <v>46661</v>
      </c>
      <c r="E6623" s="131" t="s">
        <v>59</v>
      </c>
      <c r="F6623" s="133" t="s">
        <v>11</v>
      </c>
      <c r="G6623" s="134" t="n">
        <f aca="false">LEN('Saisie programme'!$H$277)+SUMIFS('Vols additionnels'!$E$7:$E$66,'Vols additionnels'!$C$7:$C$66,$E6623,'Vols additionnels'!$D$7:$D$66,$F6623,'Vols additionnels'!$B$7:$B$66,$D6623)</f>
        <v>0</v>
      </c>
      <c r="H6623" s="135" t="n">
        <f aca="false">$G6623*'Analyse capacite'!$F$7</f>
        <v>0</v>
      </c>
      <c r="I6623" s="135" t="n">
        <f aca="false">$G6623*'Analyse capacite'!$C$7</f>
        <v>0</v>
      </c>
      <c r="J6623" s="135" t="n">
        <f aca="false">$G6623*'Analyse capacite'!$D$7</f>
        <v>0</v>
      </c>
      <c r="K6623" s="135" t="n">
        <f aca="false">$G6623*'Analyse capacite'!$E$7</f>
        <v>0</v>
      </c>
    </row>
    <row r="6624" customFormat="false" ht="15" hidden="false" customHeight="false" outlineLevel="0" collapsed="false">
      <c r="B6624" s="130" t="n">
        <v>2027</v>
      </c>
      <c r="C6624" s="131" t="s">
        <v>252</v>
      </c>
      <c r="D6624" s="132" t="n">
        <v>46661</v>
      </c>
      <c r="E6624" s="131" t="s">
        <v>59</v>
      </c>
      <c r="F6624" s="133" t="s">
        <v>19</v>
      </c>
      <c r="G6624" s="134" t="n">
        <f aca="false">LEN('Saisie programme'!$H$278)+SUMIFS('Vols additionnels'!$E$7:$E$66,'Vols additionnels'!$C$7:$C$66,$E6624,'Vols additionnels'!$D$7:$D$66,$F6624,'Vols additionnels'!$B$7:$B$66,$D6624)</f>
        <v>0</v>
      </c>
      <c r="H6624" s="135" t="n">
        <f aca="false">$G6624*'Analyse capacite'!$F$8</f>
        <v>0</v>
      </c>
      <c r="I6624" s="135" t="n">
        <f aca="false">$G6624*'Analyse capacite'!$C$8</f>
        <v>0</v>
      </c>
      <c r="J6624" s="135" t="n">
        <f aca="false">$G6624*'Analyse capacite'!$D$8</f>
        <v>0</v>
      </c>
      <c r="K6624" s="135" t="n">
        <f aca="false">$G6624*'Analyse capacite'!$E$8</f>
        <v>0</v>
      </c>
    </row>
    <row r="6625" customFormat="false" ht="15" hidden="false" customHeight="false" outlineLevel="0" collapsed="false">
      <c r="B6625" s="130" t="n">
        <v>2027</v>
      </c>
      <c r="C6625" s="131" t="s">
        <v>252</v>
      </c>
      <c r="D6625" s="132" t="n">
        <v>46661</v>
      </c>
      <c r="E6625" s="131" t="s">
        <v>59</v>
      </c>
      <c r="F6625" s="133" t="s">
        <v>24</v>
      </c>
      <c r="G6625" s="134" t="n">
        <f aca="false">LEN('Saisie programme'!$H$279)+SUMIFS('Vols additionnels'!$E$7:$E$66,'Vols additionnels'!$C$7:$C$66,$E6625,'Vols additionnels'!$D$7:$D$66,$F6625,'Vols additionnels'!$B$7:$B$66,$D6625)</f>
        <v>1</v>
      </c>
      <c r="H6625" s="135" t="n">
        <f aca="false">$G6625*'Analyse capacite'!$F$9</f>
        <v>174</v>
      </c>
      <c r="I6625" s="135" t="n">
        <f aca="false">$G6625*'Analyse capacite'!$C$9</f>
        <v>0</v>
      </c>
      <c r="J6625" s="135" t="n">
        <f aca="false">$G6625*'Analyse capacite'!$D$9</f>
        <v>12</v>
      </c>
      <c r="K6625" s="135" t="n">
        <f aca="false">$G6625*'Analyse capacite'!$E$9</f>
        <v>162</v>
      </c>
    </row>
    <row r="6626" customFormat="false" ht="15" hidden="false" customHeight="false" outlineLevel="0" collapsed="false">
      <c r="B6626" s="130" t="n">
        <v>2027</v>
      </c>
      <c r="C6626" s="131" t="s">
        <v>252</v>
      </c>
      <c r="D6626" s="132" t="n">
        <v>46661</v>
      </c>
      <c r="E6626" s="131" t="s">
        <v>62</v>
      </c>
      <c r="F6626" s="133" t="s">
        <v>11</v>
      </c>
      <c r="G6626" s="134" t="n">
        <f aca="false">LEN('Saisie programme'!$H$280)+SUMIFS('Vols additionnels'!$E$7:$E$66,'Vols additionnels'!$C$7:$C$66,$E6626,'Vols additionnels'!$D$7:$D$66,$F6626,'Vols additionnels'!$B$7:$B$66,$D6626)</f>
        <v>0</v>
      </c>
      <c r="H6626" s="135" t="n">
        <f aca="false">$G6626*'Analyse capacite'!$F$7</f>
        <v>0</v>
      </c>
      <c r="I6626" s="135" t="n">
        <f aca="false">$G6626*'Analyse capacite'!$C$7</f>
        <v>0</v>
      </c>
      <c r="J6626" s="135" t="n">
        <f aca="false">$G6626*'Analyse capacite'!$D$7</f>
        <v>0</v>
      </c>
      <c r="K6626" s="135" t="n">
        <f aca="false">$G6626*'Analyse capacite'!$E$7</f>
        <v>0</v>
      </c>
    </row>
    <row r="6627" customFormat="false" ht="15" hidden="false" customHeight="false" outlineLevel="0" collapsed="false">
      <c r="B6627" s="130" t="n">
        <v>2027</v>
      </c>
      <c r="C6627" s="131" t="s">
        <v>252</v>
      </c>
      <c r="D6627" s="132" t="n">
        <v>46661</v>
      </c>
      <c r="E6627" s="131" t="s">
        <v>62</v>
      </c>
      <c r="F6627" s="133" t="s">
        <v>19</v>
      </c>
      <c r="G6627" s="134" t="n">
        <f aca="false">LEN('Saisie programme'!$H$281)+SUMIFS('Vols additionnels'!$E$7:$E$66,'Vols additionnels'!$C$7:$C$66,$E6627,'Vols additionnels'!$D$7:$D$66,$F6627,'Vols additionnels'!$B$7:$B$66,$D6627)</f>
        <v>0</v>
      </c>
      <c r="H6627" s="135" t="n">
        <f aca="false">$G6627*'Analyse capacite'!$F$8</f>
        <v>0</v>
      </c>
      <c r="I6627" s="135" t="n">
        <f aca="false">$G6627*'Analyse capacite'!$C$8</f>
        <v>0</v>
      </c>
      <c r="J6627" s="135" t="n">
        <f aca="false">$G6627*'Analyse capacite'!$D$8</f>
        <v>0</v>
      </c>
      <c r="K6627" s="135" t="n">
        <f aca="false">$G6627*'Analyse capacite'!$E$8</f>
        <v>0</v>
      </c>
    </row>
    <row r="6628" customFormat="false" ht="15" hidden="false" customHeight="false" outlineLevel="0" collapsed="false">
      <c r="B6628" s="130" t="n">
        <v>2027</v>
      </c>
      <c r="C6628" s="131" t="s">
        <v>252</v>
      </c>
      <c r="D6628" s="132" t="n">
        <v>46661</v>
      </c>
      <c r="E6628" s="131" t="s">
        <v>62</v>
      </c>
      <c r="F6628" s="133" t="s">
        <v>24</v>
      </c>
      <c r="G6628" s="134" t="n">
        <f aca="false">LEN('Saisie programme'!$H$282)+SUMIFS('Vols additionnels'!$E$7:$E$66,'Vols additionnels'!$C$7:$C$66,$E6628,'Vols additionnels'!$D$7:$D$66,$F6628,'Vols additionnels'!$B$7:$B$66,$D6628)</f>
        <v>0</v>
      </c>
      <c r="H6628" s="135" t="n">
        <f aca="false">$G6628*'Analyse capacite'!$F$9</f>
        <v>0</v>
      </c>
      <c r="I6628" s="135" t="n">
        <f aca="false">$G6628*'Analyse capacite'!$C$9</f>
        <v>0</v>
      </c>
      <c r="J6628" s="135" t="n">
        <f aca="false">$G6628*'Analyse capacite'!$D$9</f>
        <v>0</v>
      </c>
      <c r="K6628" s="135" t="n">
        <f aca="false">$G6628*'Analyse capacite'!$E$9</f>
        <v>0</v>
      </c>
    </row>
    <row r="6629" customFormat="false" ht="15" hidden="false" customHeight="false" outlineLevel="0" collapsed="false">
      <c r="B6629" s="130" t="n">
        <v>2027</v>
      </c>
      <c r="C6629" s="131" t="s">
        <v>252</v>
      </c>
      <c r="D6629" s="132" t="n">
        <v>46662</v>
      </c>
      <c r="E6629" s="131" t="s">
        <v>12</v>
      </c>
      <c r="F6629" s="133" t="s">
        <v>11</v>
      </c>
      <c r="G6629" s="134" t="n">
        <f aca="false">LEN('Saisie programme'!$I$247)+SUMIFS('Vols additionnels'!$E$7:$E$66,'Vols additionnels'!$C$7:$C$66,$E6629,'Vols additionnels'!$D$7:$D$66,$F6629,'Vols additionnels'!$B$7:$B$66,$D6629)</f>
        <v>1</v>
      </c>
      <c r="H6629" s="135" t="n">
        <f aca="false">$G6629*'Analyse capacite'!$F$7</f>
        <v>438</v>
      </c>
      <c r="I6629" s="135" t="n">
        <f aca="false">$G6629*'Analyse capacite'!$C$7</f>
        <v>14</v>
      </c>
      <c r="J6629" s="135" t="n">
        <f aca="false">$G6629*'Analyse capacite'!$D$7</f>
        <v>40</v>
      </c>
      <c r="K6629" s="135" t="n">
        <f aca="false">$G6629*'Analyse capacite'!$E$7</f>
        <v>384</v>
      </c>
    </row>
    <row r="6630" customFormat="false" ht="15" hidden="false" customHeight="false" outlineLevel="0" collapsed="false">
      <c r="B6630" s="130" t="n">
        <v>2027</v>
      </c>
      <c r="C6630" s="131" t="s">
        <v>252</v>
      </c>
      <c r="D6630" s="132" t="n">
        <v>46662</v>
      </c>
      <c r="E6630" s="131" t="s">
        <v>12</v>
      </c>
      <c r="F6630" s="133" t="s">
        <v>19</v>
      </c>
      <c r="G6630" s="134" t="n">
        <f aca="false">LEN('Saisie programme'!$I$248)+SUMIFS('Vols additionnels'!$E$7:$E$66,'Vols additionnels'!$C$7:$C$66,$E6630,'Vols additionnels'!$D$7:$D$66,$F6630,'Vols additionnels'!$B$7:$B$66,$D6630)</f>
        <v>0</v>
      </c>
      <c r="H6630" s="135" t="n">
        <f aca="false">$G6630*'Analyse capacite'!$F$8</f>
        <v>0</v>
      </c>
      <c r="I6630" s="135" t="n">
        <f aca="false">$G6630*'Analyse capacite'!$C$8</f>
        <v>0</v>
      </c>
      <c r="J6630" s="135" t="n">
        <f aca="false">$G6630*'Analyse capacite'!$D$8</f>
        <v>0</v>
      </c>
      <c r="K6630" s="135" t="n">
        <f aca="false">$G6630*'Analyse capacite'!$E$8</f>
        <v>0</v>
      </c>
    </row>
    <row r="6631" customFormat="false" ht="15" hidden="false" customHeight="false" outlineLevel="0" collapsed="false">
      <c r="B6631" s="130" t="n">
        <v>2027</v>
      </c>
      <c r="C6631" s="131" t="s">
        <v>252</v>
      </c>
      <c r="D6631" s="132" t="n">
        <v>46662</v>
      </c>
      <c r="E6631" s="131" t="s">
        <v>12</v>
      </c>
      <c r="F6631" s="133" t="s">
        <v>24</v>
      </c>
      <c r="G6631" s="134" t="n">
        <f aca="false">LEN('Saisie programme'!$I$249)+SUMIFS('Vols additionnels'!$E$7:$E$66,'Vols additionnels'!$C$7:$C$66,$E6631,'Vols additionnels'!$D$7:$D$66,$F6631,'Vols additionnels'!$B$7:$B$66,$D6631)</f>
        <v>0</v>
      </c>
      <c r="H6631" s="135" t="n">
        <f aca="false">$G6631*'Analyse capacite'!$F$9</f>
        <v>0</v>
      </c>
      <c r="I6631" s="135" t="n">
        <f aca="false">$G6631*'Analyse capacite'!$C$9</f>
        <v>0</v>
      </c>
      <c r="J6631" s="135" t="n">
        <f aca="false">$G6631*'Analyse capacite'!$D$9</f>
        <v>0</v>
      </c>
      <c r="K6631" s="135" t="n">
        <f aca="false">$G6631*'Analyse capacite'!$E$9</f>
        <v>0</v>
      </c>
    </row>
    <row r="6632" customFormat="false" ht="15" hidden="false" customHeight="false" outlineLevel="0" collapsed="false">
      <c r="B6632" s="130" t="n">
        <v>2027</v>
      </c>
      <c r="C6632" s="131" t="s">
        <v>252</v>
      </c>
      <c r="D6632" s="132" t="n">
        <v>46662</v>
      </c>
      <c r="E6632" s="131" t="s">
        <v>20</v>
      </c>
      <c r="F6632" s="133" t="s">
        <v>11</v>
      </c>
      <c r="G6632" s="134" t="n">
        <f aca="false">LEN('Saisie programme'!$I$250)+SUMIFS('Vols additionnels'!$E$7:$E$66,'Vols additionnels'!$C$7:$C$66,$E6632,'Vols additionnels'!$D$7:$D$66,$F6632,'Vols additionnels'!$B$7:$B$66,$D6632)</f>
        <v>0</v>
      </c>
      <c r="H6632" s="135" t="n">
        <f aca="false">$G6632*'Analyse capacite'!$F$7</f>
        <v>0</v>
      </c>
      <c r="I6632" s="135" t="n">
        <f aca="false">$G6632*'Analyse capacite'!$C$7</f>
        <v>0</v>
      </c>
      <c r="J6632" s="135" t="n">
        <f aca="false">$G6632*'Analyse capacite'!$D$7</f>
        <v>0</v>
      </c>
      <c r="K6632" s="135" t="n">
        <f aca="false">$G6632*'Analyse capacite'!$E$7</f>
        <v>0</v>
      </c>
    </row>
    <row r="6633" customFormat="false" ht="15" hidden="false" customHeight="false" outlineLevel="0" collapsed="false">
      <c r="B6633" s="130" t="n">
        <v>2027</v>
      </c>
      <c r="C6633" s="131" t="s">
        <v>252</v>
      </c>
      <c r="D6633" s="132" t="n">
        <v>46662</v>
      </c>
      <c r="E6633" s="131" t="s">
        <v>20</v>
      </c>
      <c r="F6633" s="133" t="s">
        <v>19</v>
      </c>
      <c r="G6633" s="134" t="n">
        <f aca="false">LEN('Saisie programme'!$I$251)+SUMIFS('Vols additionnels'!$E$7:$E$66,'Vols additionnels'!$C$7:$C$66,$E6633,'Vols additionnels'!$D$7:$D$66,$F6633,'Vols additionnels'!$B$7:$B$66,$D6633)</f>
        <v>0</v>
      </c>
      <c r="H6633" s="135" t="n">
        <f aca="false">$G6633*'Analyse capacite'!$F$8</f>
        <v>0</v>
      </c>
      <c r="I6633" s="135" t="n">
        <f aca="false">$G6633*'Analyse capacite'!$C$8</f>
        <v>0</v>
      </c>
      <c r="J6633" s="135" t="n">
        <f aca="false">$G6633*'Analyse capacite'!$D$8</f>
        <v>0</v>
      </c>
      <c r="K6633" s="135" t="n">
        <f aca="false">$G6633*'Analyse capacite'!$E$8</f>
        <v>0</v>
      </c>
    </row>
    <row r="6634" customFormat="false" ht="15" hidden="false" customHeight="false" outlineLevel="0" collapsed="false">
      <c r="B6634" s="130" t="n">
        <v>2027</v>
      </c>
      <c r="C6634" s="131" t="s">
        <v>252</v>
      </c>
      <c r="D6634" s="132" t="n">
        <v>46662</v>
      </c>
      <c r="E6634" s="131" t="s">
        <v>20</v>
      </c>
      <c r="F6634" s="133" t="s">
        <v>24</v>
      </c>
      <c r="G6634" s="134" t="n">
        <f aca="false">LEN('Saisie programme'!$I$252)+SUMIFS('Vols additionnels'!$E$7:$E$66,'Vols additionnels'!$C$7:$C$66,$E6634,'Vols additionnels'!$D$7:$D$66,$F6634,'Vols additionnels'!$B$7:$B$66,$D6634)</f>
        <v>0</v>
      </c>
      <c r="H6634" s="135" t="n">
        <f aca="false">$G6634*'Analyse capacite'!$F$9</f>
        <v>0</v>
      </c>
      <c r="I6634" s="135" t="n">
        <f aca="false">$G6634*'Analyse capacite'!$C$9</f>
        <v>0</v>
      </c>
      <c r="J6634" s="135" t="n">
        <f aca="false">$G6634*'Analyse capacite'!$D$9</f>
        <v>0</v>
      </c>
      <c r="K6634" s="135" t="n">
        <f aca="false">$G6634*'Analyse capacite'!$E$9</f>
        <v>0</v>
      </c>
    </row>
    <row r="6635" customFormat="false" ht="15" hidden="false" customHeight="false" outlineLevel="0" collapsed="false">
      <c r="B6635" s="130" t="n">
        <v>2027</v>
      </c>
      <c r="C6635" s="131" t="s">
        <v>252</v>
      </c>
      <c r="D6635" s="132" t="n">
        <v>46662</v>
      </c>
      <c r="E6635" s="131" t="s">
        <v>25</v>
      </c>
      <c r="F6635" s="133" t="s">
        <v>11</v>
      </c>
      <c r="G6635" s="134" t="n">
        <f aca="false">LEN('Saisie programme'!$I$253)+SUMIFS('Vols additionnels'!$E$7:$E$66,'Vols additionnels'!$C$7:$C$66,$E6635,'Vols additionnels'!$D$7:$D$66,$F6635,'Vols additionnels'!$B$7:$B$66,$D6635)</f>
        <v>0</v>
      </c>
      <c r="H6635" s="135" t="n">
        <f aca="false">$G6635*'Analyse capacite'!$F$7</f>
        <v>0</v>
      </c>
      <c r="I6635" s="135" t="n">
        <f aca="false">$G6635*'Analyse capacite'!$C$7</f>
        <v>0</v>
      </c>
      <c r="J6635" s="135" t="n">
        <f aca="false">$G6635*'Analyse capacite'!$D$7</f>
        <v>0</v>
      </c>
      <c r="K6635" s="135" t="n">
        <f aca="false">$G6635*'Analyse capacite'!$E$7</f>
        <v>0</v>
      </c>
    </row>
    <row r="6636" customFormat="false" ht="15" hidden="false" customHeight="false" outlineLevel="0" collapsed="false">
      <c r="B6636" s="130" t="n">
        <v>2027</v>
      </c>
      <c r="C6636" s="131" t="s">
        <v>252</v>
      </c>
      <c r="D6636" s="132" t="n">
        <v>46662</v>
      </c>
      <c r="E6636" s="131" t="s">
        <v>25</v>
      </c>
      <c r="F6636" s="133" t="s">
        <v>19</v>
      </c>
      <c r="G6636" s="134" t="n">
        <f aca="false">LEN('Saisie programme'!$I$254)+SUMIFS('Vols additionnels'!$E$7:$E$66,'Vols additionnels'!$C$7:$C$66,$E6636,'Vols additionnels'!$D$7:$D$66,$F6636,'Vols additionnels'!$B$7:$B$66,$D6636)</f>
        <v>1</v>
      </c>
      <c r="H6636" s="135" t="n">
        <f aca="false">$G6636*'Analyse capacite'!$F$8</f>
        <v>262</v>
      </c>
      <c r="I6636" s="135" t="n">
        <f aca="false">$G6636*'Analyse capacite'!$C$8</f>
        <v>18</v>
      </c>
      <c r="J6636" s="135" t="n">
        <f aca="false">$G6636*'Analyse capacite'!$D$8</f>
        <v>0</v>
      </c>
      <c r="K6636" s="135" t="n">
        <f aca="false">$G6636*'Analyse capacite'!$E$8</f>
        <v>244</v>
      </c>
    </row>
    <row r="6637" customFormat="false" ht="15" hidden="false" customHeight="false" outlineLevel="0" collapsed="false">
      <c r="B6637" s="130" t="n">
        <v>2027</v>
      </c>
      <c r="C6637" s="131" t="s">
        <v>252</v>
      </c>
      <c r="D6637" s="132" t="n">
        <v>46662</v>
      </c>
      <c r="E6637" s="131" t="s">
        <v>25</v>
      </c>
      <c r="F6637" s="133" t="s">
        <v>24</v>
      </c>
      <c r="G6637" s="134" t="n">
        <f aca="false">LEN('Saisie programme'!$I$255)+SUMIFS('Vols additionnels'!$E$7:$E$66,'Vols additionnels'!$C$7:$C$66,$E6637,'Vols additionnels'!$D$7:$D$66,$F6637,'Vols additionnels'!$B$7:$B$66,$D6637)</f>
        <v>0</v>
      </c>
      <c r="H6637" s="135" t="n">
        <f aca="false">$G6637*'Analyse capacite'!$F$9</f>
        <v>0</v>
      </c>
      <c r="I6637" s="135" t="n">
        <f aca="false">$G6637*'Analyse capacite'!$C$9</f>
        <v>0</v>
      </c>
      <c r="J6637" s="135" t="n">
        <f aca="false">$G6637*'Analyse capacite'!$D$9</f>
        <v>0</v>
      </c>
      <c r="K6637" s="135" t="n">
        <f aca="false">$G6637*'Analyse capacite'!$E$9</f>
        <v>0</v>
      </c>
    </row>
    <row r="6638" customFormat="false" ht="15" hidden="false" customHeight="false" outlineLevel="0" collapsed="false">
      <c r="B6638" s="130" t="n">
        <v>2027</v>
      </c>
      <c r="C6638" s="131" t="s">
        <v>252</v>
      </c>
      <c r="D6638" s="132" t="n">
        <v>46662</v>
      </c>
      <c r="E6638" s="131" t="s">
        <v>36</v>
      </c>
      <c r="F6638" s="133" t="s">
        <v>11</v>
      </c>
      <c r="G6638" s="134" t="n">
        <f aca="false">LEN('Saisie programme'!$I$256)+SUMIFS('Vols additionnels'!$E$7:$E$66,'Vols additionnels'!$C$7:$C$66,$E6638,'Vols additionnels'!$D$7:$D$66,$F6638,'Vols additionnels'!$B$7:$B$66,$D6638)</f>
        <v>0</v>
      </c>
      <c r="H6638" s="135" t="n">
        <f aca="false">$G6638*'Analyse capacite'!$F$7</f>
        <v>0</v>
      </c>
      <c r="I6638" s="135" t="n">
        <f aca="false">$G6638*'Analyse capacite'!$C$7</f>
        <v>0</v>
      </c>
      <c r="J6638" s="135" t="n">
        <f aca="false">$G6638*'Analyse capacite'!$D$7</f>
        <v>0</v>
      </c>
      <c r="K6638" s="135" t="n">
        <f aca="false">$G6638*'Analyse capacite'!$E$7</f>
        <v>0</v>
      </c>
    </row>
    <row r="6639" customFormat="false" ht="15" hidden="false" customHeight="false" outlineLevel="0" collapsed="false">
      <c r="B6639" s="130" t="n">
        <v>2027</v>
      </c>
      <c r="C6639" s="131" t="s">
        <v>252</v>
      </c>
      <c r="D6639" s="132" t="n">
        <v>46662</v>
      </c>
      <c r="E6639" s="131" t="s">
        <v>36</v>
      </c>
      <c r="F6639" s="133" t="s">
        <v>19</v>
      </c>
      <c r="G6639" s="134" t="n">
        <f aca="false">LEN('Saisie programme'!$I$257)+SUMIFS('Vols additionnels'!$E$7:$E$66,'Vols additionnels'!$C$7:$C$66,$E6639,'Vols additionnels'!$D$7:$D$66,$F6639,'Vols additionnels'!$B$7:$B$66,$D6639)</f>
        <v>0</v>
      </c>
      <c r="H6639" s="135" t="n">
        <f aca="false">$G6639*'Analyse capacite'!$F$8</f>
        <v>0</v>
      </c>
      <c r="I6639" s="135" t="n">
        <f aca="false">$G6639*'Analyse capacite'!$C$8</f>
        <v>0</v>
      </c>
      <c r="J6639" s="135" t="n">
        <f aca="false">$G6639*'Analyse capacite'!$D$8</f>
        <v>0</v>
      </c>
      <c r="K6639" s="135" t="n">
        <f aca="false">$G6639*'Analyse capacite'!$E$8</f>
        <v>0</v>
      </c>
    </row>
    <row r="6640" customFormat="false" ht="15" hidden="false" customHeight="false" outlineLevel="0" collapsed="false">
      <c r="B6640" s="130" t="n">
        <v>2027</v>
      </c>
      <c r="C6640" s="131" t="s">
        <v>252</v>
      </c>
      <c r="D6640" s="132" t="n">
        <v>46662</v>
      </c>
      <c r="E6640" s="131" t="s">
        <v>36</v>
      </c>
      <c r="F6640" s="133" t="s">
        <v>24</v>
      </c>
      <c r="G6640" s="134" t="n">
        <f aca="false">LEN('Saisie programme'!$I$258)+SUMIFS('Vols additionnels'!$E$7:$E$66,'Vols additionnels'!$C$7:$C$66,$E6640,'Vols additionnels'!$D$7:$D$66,$F6640,'Vols additionnels'!$B$7:$B$66,$D6640)</f>
        <v>0</v>
      </c>
      <c r="H6640" s="135" t="n">
        <f aca="false">$G6640*'Analyse capacite'!$F$9</f>
        <v>0</v>
      </c>
      <c r="I6640" s="135" t="n">
        <f aca="false">$G6640*'Analyse capacite'!$C$9</f>
        <v>0</v>
      </c>
      <c r="J6640" s="135" t="n">
        <f aca="false">$G6640*'Analyse capacite'!$D$9</f>
        <v>0</v>
      </c>
      <c r="K6640" s="135" t="n">
        <f aca="false">$G6640*'Analyse capacite'!$E$9</f>
        <v>0</v>
      </c>
    </row>
    <row r="6641" customFormat="false" ht="15" hidden="false" customHeight="false" outlineLevel="0" collapsed="false">
      <c r="B6641" s="130" t="n">
        <v>2027</v>
      </c>
      <c r="C6641" s="131" t="s">
        <v>252</v>
      </c>
      <c r="D6641" s="132" t="n">
        <v>46662</v>
      </c>
      <c r="E6641" s="131" t="s">
        <v>40</v>
      </c>
      <c r="F6641" s="133" t="s">
        <v>11</v>
      </c>
      <c r="G6641" s="134" t="n">
        <f aca="false">LEN('Saisie programme'!$I$259)+SUMIFS('Vols additionnels'!$E$7:$E$66,'Vols additionnels'!$C$7:$C$66,$E6641,'Vols additionnels'!$D$7:$D$66,$F6641,'Vols additionnels'!$B$7:$B$66,$D6641)</f>
        <v>0</v>
      </c>
      <c r="H6641" s="135" t="n">
        <f aca="false">$G6641*'Analyse capacite'!$F$7</f>
        <v>0</v>
      </c>
      <c r="I6641" s="135" t="n">
        <f aca="false">$G6641*'Analyse capacite'!$C$7</f>
        <v>0</v>
      </c>
      <c r="J6641" s="135" t="n">
        <f aca="false">$G6641*'Analyse capacite'!$D$7</f>
        <v>0</v>
      </c>
      <c r="K6641" s="135" t="n">
        <f aca="false">$G6641*'Analyse capacite'!$E$7</f>
        <v>0</v>
      </c>
    </row>
    <row r="6642" customFormat="false" ht="15" hidden="false" customHeight="false" outlineLevel="0" collapsed="false">
      <c r="B6642" s="130" t="n">
        <v>2027</v>
      </c>
      <c r="C6642" s="131" t="s">
        <v>252</v>
      </c>
      <c r="D6642" s="132" t="n">
        <v>46662</v>
      </c>
      <c r="E6642" s="131" t="s">
        <v>40</v>
      </c>
      <c r="F6642" s="133" t="s">
        <v>19</v>
      </c>
      <c r="G6642" s="134" t="n">
        <f aca="false">LEN('Saisie programme'!$I$260)+SUMIFS('Vols additionnels'!$E$7:$E$66,'Vols additionnels'!$C$7:$C$66,$E6642,'Vols additionnels'!$D$7:$D$66,$F6642,'Vols additionnels'!$B$7:$B$66,$D6642)</f>
        <v>0</v>
      </c>
      <c r="H6642" s="135" t="n">
        <f aca="false">$G6642*'Analyse capacite'!$F$8</f>
        <v>0</v>
      </c>
      <c r="I6642" s="135" t="n">
        <f aca="false">$G6642*'Analyse capacite'!$C$8</f>
        <v>0</v>
      </c>
      <c r="J6642" s="135" t="n">
        <f aca="false">$G6642*'Analyse capacite'!$D$8</f>
        <v>0</v>
      </c>
      <c r="K6642" s="135" t="n">
        <f aca="false">$G6642*'Analyse capacite'!$E$8</f>
        <v>0</v>
      </c>
    </row>
    <row r="6643" customFormat="false" ht="15" hidden="false" customHeight="false" outlineLevel="0" collapsed="false">
      <c r="B6643" s="130" t="n">
        <v>2027</v>
      </c>
      <c r="C6643" s="131" t="s">
        <v>252</v>
      </c>
      <c r="D6643" s="132" t="n">
        <v>46662</v>
      </c>
      <c r="E6643" s="131" t="s">
        <v>40</v>
      </c>
      <c r="F6643" s="133" t="s">
        <v>24</v>
      </c>
      <c r="G6643" s="134" t="n">
        <f aca="false">LEN('Saisie programme'!$I$261)+SUMIFS('Vols additionnels'!$E$7:$E$66,'Vols additionnels'!$C$7:$C$66,$E6643,'Vols additionnels'!$D$7:$D$66,$F6643,'Vols additionnels'!$B$7:$B$66,$D6643)</f>
        <v>0</v>
      </c>
      <c r="H6643" s="135" t="n">
        <f aca="false">$G6643*'Analyse capacite'!$F$9</f>
        <v>0</v>
      </c>
      <c r="I6643" s="135" t="n">
        <f aca="false">$G6643*'Analyse capacite'!$C$9</f>
        <v>0</v>
      </c>
      <c r="J6643" s="135" t="n">
        <f aca="false">$G6643*'Analyse capacite'!$D$9</f>
        <v>0</v>
      </c>
      <c r="K6643" s="135" t="n">
        <f aca="false">$G6643*'Analyse capacite'!$E$9</f>
        <v>0</v>
      </c>
    </row>
    <row r="6644" customFormat="false" ht="15" hidden="false" customHeight="false" outlineLevel="0" collapsed="false">
      <c r="B6644" s="130" t="n">
        <v>2027</v>
      </c>
      <c r="C6644" s="131" t="s">
        <v>252</v>
      </c>
      <c r="D6644" s="132" t="n">
        <v>46662</v>
      </c>
      <c r="E6644" s="131" t="s">
        <v>14</v>
      </c>
      <c r="F6644" s="133" t="s">
        <v>11</v>
      </c>
      <c r="G6644" s="134" t="n">
        <f aca="false">LEN('Saisie programme'!$I$262)+SUMIFS('Vols additionnels'!$E$7:$E$66,'Vols additionnels'!$C$7:$C$66,$E6644,'Vols additionnels'!$D$7:$D$66,$F6644,'Vols additionnels'!$B$7:$B$66,$D6644)</f>
        <v>0</v>
      </c>
      <c r="H6644" s="135" t="n">
        <f aca="false">$G6644*'Analyse capacite'!$F$7</f>
        <v>0</v>
      </c>
      <c r="I6644" s="135" t="n">
        <f aca="false">$G6644*'Analyse capacite'!$C$7</f>
        <v>0</v>
      </c>
      <c r="J6644" s="135" t="n">
        <f aca="false">$G6644*'Analyse capacite'!$D$7</f>
        <v>0</v>
      </c>
      <c r="K6644" s="135" t="n">
        <f aca="false">$G6644*'Analyse capacite'!$E$7</f>
        <v>0</v>
      </c>
    </row>
    <row r="6645" customFormat="false" ht="15" hidden="false" customHeight="false" outlineLevel="0" collapsed="false">
      <c r="B6645" s="130" t="n">
        <v>2027</v>
      </c>
      <c r="C6645" s="131" t="s">
        <v>252</v>
      </c>
      <c r="D6645" s="132" t="n">
        <v>46662</v>
      </c>
      <c r="E6645" s="131" t="s">
        <v>14</v>
      </c>
      <c r="F6645" s="133" t="s">
        <v>19</v>
      </c>
      <c r="G6645" s="134" t="n">
        <f aca="false">LEN('Saisie programme'!$I$263)+SUMIFS('Vols additionnels'!$E$7:$E$66,'Vols additionnels'!$C$7:$C$66,$E6645,'Vols additionnels'!$D$7:$D$66,$F6645,'Vols additionnels'!$B$7:$B$66,$D6645)</f>
        <v>0</v>
      </c>
      <c r="H6645" s="135" t="n">
        <f aca="false">$G6645*'Analyse capacite'!$F$8</f>
        <v>0</v>
      </c>
      <c r="I6645" s="135" t="n">
        <f aca="false">$G6645*'Analyse capacite'!$C$8</f>
        <v>0</v>
      </c>
      <c r="J6645" s="135" t="n">
        <f aca="false">$G6645*'Analyse capacite'!$D$8</f>
        <v>0</v>
      </c>
      <c r="K6645" s="135" t="n">
        <f aca="false">$G6645*'Analyse capacite'!$E$8</f>
        <v>0</v>
      </c>
    </row>
    <row r="6646" customFormat="false" ht="15" hidden="false" customHeight="false" outlineLevel="0" collapsed="false">
      <c r="B6646" s="130" t="n">
        <v>2027</v>
      </c>
      <c r="C6646" s="131" t="s">
        <v>252</v>
      </c>
      <c r="D6646" s="132" t="n">
        <v>46662</v>
      </c>
      <c r="E6646" s="131" t="s">
        <v>14</v>
      </c>
      <c r="F6646" s="133" t="s">
        <v>24</v>
      </c>
      <c r="G6646" s="134" t="n">
        <f aca="false">LEN('Saisie programme'!$I$264)+SUMIFS('Vols additionnels'!$E$7:$E$66,'Vols additionnels'!$C$7:$C$66,$E6646,'Vols additionnels'!$D$7:$D$66,$F6646,'Vols additionnels'!$B$7:$B$66,$D6646)</f>
        <v>1</v>
      </c>
      <c r="H6646" s="135" t="n">
        <f aca="false">$G6646*'Analyse capacite'!$F$9</f>
        <v>174</v>
      </c>
      <c r="I6646" s="135" t="n">
        <f aca="false">$G6646*'Analyse capacite'!$C$9</f>
        <v>0</v>
      </c>
      <c r="J6646" s="135" t="n">
        <f aca="false">$G6646*'Analyse capacite'!$D$9</f>
        <v>12</v>
      </c>
      <c r="K6646" s="135" t="n">
        <f aca="false">$G6646*'Analyse capacite'!$E$9</f>
        <v>162</v>
      </c>
    </row>
    <row r="6647" customFormat="false" ht="15" hidden="false" customHeight="false" outlineLevel="0" collapsed="false">
      <c r="B6647" s="130" t="n">
        <v>2027</v>
      </c>
      <c r="C6647" s="131" t="s">
        <v>252</v>
      </c>
      <c r="D6647" s="132" t="n">
        <v>46662</v>
      </c>
      <c r="E6647" s="131" t="s">
        <v>46</v>
      </c>
      <c r="F6647" s="133" t="s">
        <v>11</v>
      </c>
      <c r="G6647" s="134" t="n">
        <f aca="false">LEN('Saisie programme'!$I$265)+SUMIFS('Vols additionnels'!$E$7:$E$66,'Vols additionnels'!$C$7:$C$66,$E6647,'Vols additionnels'!$D$7:$D$66,$F6647,'Vols additionnels'!$B$7:$B$66,$D6647)</f>
        <v>0</v>
      </c>
      <c r="H6647" s="135" t="n">
        <f aca="false">$G6647*'Analyse capacite'!$F$7</f>
        <v>0</v>
      </c>
      <c r="I6647" s="135" t="n">
        <f aca="false">$G6647*'Analyse capacite'!$C$7</f>
        <v>0</v>
      </c>
      <c r="J6647" s="135" t="n">
        <f aca="false">$G6647*'Analyse capacite'!$D$7</f>
        <v>0</v>
      </c>
      <c r="K6647" s="135" t="n">
        <f aca="false">$G6647*'Analyse capacite'!$E$7</f>
        <v>0</v>
      </c>
    </row>
    <row r="6648" customFormat="false" ht="15" hidden="false" customHeight="false" outlineLevel="0" collapsed="false">
      <c r="B6648" s="130" t="n">
        <v>2027</v>
      </c>
      <c r="C6648" s="131" t="s">
        <v>252</v>
      </c>
      <c r="D6648" s="132" t="n">
        <v>46662</v>
      </c>
      <c r="E6648" s="131" t="s">
        <v>46</v>
      </c>
      <c r="F6648" s="133" t="s">
        <v>19</v>
      </c>
      <c r="G6648" s="134" t="n">
        <f aca="false">LEN('Saisie programme'!$I$266)+SUMIFS('Vols additionnels'!$E$7:$E$66,'Vols additionnels'!$C$7:$C$66,$E6648,'Vols additionnels'!$D$7:$D$66,$F6648,'Vols additionnels'!$B$7:$B$66,$D6648)</f>
        <v>0</v>
      </c>
      <c r="H6648" s="135" t="n">
        <f aca="false">$G6648*'Analyse capacite'!$F$8</f>
        <v>0</v>
      </c>
      <c r="I6648" s="135" t="n">
        <f aca="false">$G6648*'Analyse capacite'!$C$8</f>
        <v>0</v>
      </c>
      <c r="J6648" s="135" t="n">
        <f aca="false">$G6648*'Analyse capacite'!$D$8</f>
        <v>0</v>
      </c>
      <c r="K6648" s="135" t="n">
        <f aca="false">$G6648*'Analyse capacite'!$E$8</f>
        <v>0</v>
      </c>
    </row>
    <row r="6649" customFormat="false" ht="15" hidden="false" customHeight="false" outlineLevel="0" collapsed="false">
      <c r="B6649" s="130" t="n">
        <v>2027</v>
      </c>
      <c r="C6649" s="131" t="s">
        <v>252</v>
      </c>
      <c r="D6649" s="132" t="n">
        <v>46662</v>
      </c>
      <c r="E6649" s="131" t="s">
        <v>46</v>
      </c>
      <c r="F6649" s="133" t="s">
        <v>24</v>
      </c>
      <c r="G6649" s="134" t="n">
        <f aca="false">LEN('Saisie programme'!$I$267)+SUMIFS('Vols additionnels'!$E$7:$E$66,'Vols additionnels'!$C$7:$C$66,$E6649,'Vols additionnels'!$D$7:$D$66,$F6649,'Vols additionnels'!$B$7:$B$66,$D6649)</f>
        <v>1</v>
      </c>
      <c r="H6649" s="135" t="n">
        <f aca="false">$G6649*'Analyse capacite'!$F$9</f>
        <v>174</v>
      </c>
      <c r="I6649" s="135" t="n">
        <f aca="false">$G6649*'Analyse capacite'!$C$9</f>
        <v>0</v>
      </c>
      <c r="J6649" s="135" t="n">
        <f aca="false">$G6649*'Analyse capacite'!$D$9</f>
        <v>12</v>
      </c>
      <c r="K6649" s="135" t="n">
        <f aca="false">$G6649*'Analyse capacite'!$E$9</f>
        <v>162</v>
      </c>
    </row>
    <row r="6650" customFormat="false" ht="15" hidden="false" customHeight="false" outlineLevel="0" collapsed="false">
      <c r="B6650" s="130" t="n">
        <v>2027</v>
      </c>
      <c r="C6650" s="131" t="s">
        <v>252</v>
      </c>
      <c r="D6650" s="132" t="n">
        <v>46662</v>
      </c>
      <c r="E6650" s="131" t="s">
        <v>49</v>
      </c>
      <c r="F6650" s="133" t="s">
        <v>11</v>
      </c>
      <c r="G6650" s="134" t="n">
        <f aca="false">LEN('Saisie programme'!$I$268)+SUMIFS('Vols additionnels'!$E$7:$E$66,'Vols additionnels'!$C$7:$C$66,$E6650,'Vols additionnels'!$D$7:$D$66,$F6650,'Vols additionnels'!$B$7:$B$66,$D6650)</f>
        <v>0</v>
      </c>
      <c r="H6650" s="135" t="n">
        <f aca="false">$G6650*'Analyse capacite'!$F$7</f>
        <v>0</v>
      </c>
      <c r="I6650" s="135" t="n">
        <f aca="false">$G6650*'Analyse capacite'!$C$7</f>
        <v>0</v>
      </c>
      <c r="J6650" s="135" t="n">
        <f aca="false">$G6650*'Analyse capacite'!$D$7</f>
        <v>0</v>
      </c>
      <c r="K6650" s="135" t="n">
        <f aca="false">$G6650*'Analyse capacite'!$E$7</f>
        <v>0</v>
      </c>
    </row>
    <row r="6651" customFormat="false" ht="15" hidden="false" customHeight="false" outlineLevel="0" collapsed="false">
      <c r="B6651" s="130" t="n">
        <v>2027</v>
      </c>
      <c r="C6651" s="131" t="s">
        <v>252</v>
      </c>
      <c r="D6651" s="132" t="n">
        <v>46662</v>
      </c>
      <c r="E6651" s="131" t="s">
        <v>49</v>
      </c>
      <c r="F6651" s="133" t="s">
        <v>19</v>
      </c>
      <c r="G6651" s="134" t="n">
        <f aca="false">LEN('Saisie programme'!$I$269)+SUMIFS('Vols additionnels'!$E$7:$E$66,'Vols additionnels'!$C$7:$C$66,$E6651,'Vols additionnels'!$D$7:$D$66,$F6651,'Vols additionnels'!$B$7:$B$66,$D6651)</f>
        <v>0</v>
      </c>
      <c r="H6651" s="135" t="n">
        <f aca="false">$G6651*'Analyse capacite'!$F$8</f>
        <v>0</v>
      </c>
      <c r="I6651" s="135" t="n">
        <f aca="false">$G6651*'Analyse capacite'!$C$8</f>
        <v>0</v>
      </c>
      <c r="J6651" s="135" t="n">
        <f aca="false">$G6651*'Analyse capacite'!$D$8</f>
        <v>0</v>
      </c>
      <c r="K6651" s="135" t="n">
        <f aca="false">$G6651*'Analyse capacite'!$E$8</f>
        <v>0</v>
      </c>
    </row>
    <row r="6652" customFormat="false" ht="15" hidden="false" customHeight="false" outlineLevel="0" collapsed="false">
      <c r="B6652" s="130" t="n">
        <v>2027</v>
      </c>
      <c r="C6652" s="131" t="s">
        <v>252</v>
      </c>
      <c r="D6652" s="132" t="n">
        <v>46662</v>
      </c>
      <c r="E6652" s="131" t="s">
        <v>49</v>
      </c>
      <c r="F6652" s="133" t="s">
        <v>24</v>
      </c>
      <c r="G6652" s="134" t="n">
        <f aca="false">LEN('Saisie programme'!$I$270)+SUMIFS('Vols additionnels'!$E$7:$E$66,'Vols additionnels'!$C$7:$C$66,$E6652,'Vols additionnels'!$D$7:$D$66,$F6652,'Vols additionnels'!$B$7:$B$66,$D6652)</f>
        <v>0</v>
      </c>
      <c r="H6652" s="135" t="n">
        <f aca="false">$G6652*'Analyse capacite'!$F$9</f>
        <v>0</v>
      </c>
      <c r="I6652" s="135" t="n">
        <f aca="false">$G6652*'Analyse capacite'!$C$9</f>
        <v>0</v>
      </c>
      <c r="J6652" s="135" t="n">
        <f aca="false">$G6652*'Analyse capacite'!$D$9</f>
        <v>0</v>
      </c>
      <c r="K6652" s="135" t="n">
        <f aca="false">$G6652*'Analyse capacite'!$E$9</f>
        <v>0</v>
      </c>
    </row>
    <row r="6653" customFormat="false" ht="15" hidden="false" customHeight="false" outlineLevel="0" collapsed="false">
      <c r="B6653" s="130" t="n">
        <v>2027</v>
      </c>
      <c r="C6653" s="131" t="s">
        <v>252</v>
      </c>
      <c r="D6653" s="132" t="n">
        <v>46662</v>
      </c>
      <c r="E6653" s="131" t="s">
        <v>53</v>
      </c>
      <c r="F6653" s="133" t="s">
        <v>11</v>
      </c>
      <c r="G6653" s="134" t="n">
        <f aca="false">LEN('Saisie programme'!$I$271)+SUMIFS('Vols additionnels'!$E$7:$E$66,'Vols additionnels'!$C$7:$C$66,$E6653,'Vols additionnels'!$D$7:$D$66,$F6653,'Vols additionnels'!$B$7:$B$66,$D6653)</f>
        <v>0</v>
      </c>
      <c r="H6653" s="135" t="n">
        <f aca="false">$G6653*'Analyse capacite'!$F$7</f>
        <v>0</v>
      </c>
      <c r="I6653" s="135" t="n">
        <f aca="false">$G6653*'Analyse capacite'!$C$7</f>
        <v>0</v>
      </c>
      <c r="J6653" s="135" t="n">
        <f aca="false">$G6653*'Analyse capacite'!$D$7</f>
        <v>0</v>
      </c>
      <c r="K6653" s="135" t="n">
        <f aca="false">$G6653*'Analyse capacite'!$E$7</f>
        <v>0</v>
      </c>
    </row>
    <row r="6654" customFormat="false" ht="15" hidden="false" customHeight="false" outlineLevel="0" collapsed="false">
      <c r="B6654" s="130" t="n">
        <v>2027</v>
      </c>
      <c r="C6654" s="131" t="s">
        <v>252</v>
      </c>
      <c r="D6654" s="132" t="n">
        <v>46662</v>
      </c>
      <c r="E6654" s="131" t="s">
        <v>53</v>
      </c>
      <c r="F6654" s="133" t="s">
        <v>19</v>
      </c>
      <c r="G6654" s="134" t="n">
        <f aca="false">LEN('Saisie programme'!$I$272)+SUMIFS('Vols additionnels'!$E$7:$E$66,'Vols additionnels'!$C$7:$C$66,$E6654,'Vols additionnels'!$D$7:$D$66,$F6654,'Vols additionnels'!$B$7:$B$66,$D6654)</f>
        <v>0</v>
      </c>
      <c r="H6654" s="135" t="n">
        <f aca="false">$G6654*'Analyse capacite'!$F$8</f>
        <v>0</v>
      </c>
      <c r="I6654" s="135" t="n">
        <f aca="false">$G6654*'Analyse capacite'!$C$8</f>
        <v>0</v>
      </c>
      <c r="J6654" s="135" t="n">
        <f aca="false">$G6654*'Analyse capacite'!$D$8</f>
        <v>0</v>
      </c>
      <c r="K6654" s="135" t="n">
        <f aca="false">$G6654*'Analyse capacite'!$E$8</f>
        <v>0</v>
      </c>
    </row>
    <row r="6655" customFormat="false" ht="15" hidden="false" customHeight="false" outlineLevel="0" collapsed="false">
      <c r="B6655" s="130" t="n">
        <v>2027</v>
      </c>
      <c r="C6655" s="131" t="s">
        <v>252</v>
      </c>
      <c r="D6655" s="132" t="n">
        <v>46662</v>
      </c>
      <c r="E6655" s="131" t="s">
        <v>53</v>
      </c>
      <c r="F6655" s="133" t="s">
        <v>24</v>
      </c>
      <c r="G6655" s="134" t="n">
        <f aca="false">LEN('Saisie programme'!$I$273)+SUMIFS('Vols additionnels'!$E$7:$E$66,'Vols additionnels'!$C$7:$C$66,$E6655,'Vols additionnels'!$D$7:$D$66,$F6655,'Vols additionnels'!$B$7:$B$66,$D6655)</f>
        <v>0</v>
      </c>
      <c r="H6655" s="135" t="n">
        <f aca="false">$G6655*'Analyse capacite'!$F$9</f>
        <v>0</v>
      </c>
      <c r="I6655" s="135" t="n">
        <f aca="false">$G6655*'Analyse capacite'!$C$9</f>
        <v>0</v>
      </c>
      <c r="J6655" s="135" t="n">
        <f aca="false">$G6655*'Analyse capacite'!$D$9</f>
        <v>0</v>
      </c>
      <c r="K6655" s="135" t="n">
        <f aca="false">$G6655*'Analyse capacite'!$E$9</f>
        <v>0</v>
      </c>
    </row>
    <row r="6656" customFormat="false" ht="15" hidden="false" customHeight="false" outlineLevel="0" collapsed="false">
      <c r="B6656" s="130" t="n">
        <v>2027</v>
      </c>
      <c r="C6656" s="131" t="s">
        <v>252</v>
      </c>
      <c r="D6656" s="132" t="n">
        <v>46662</v>
      </c>
      <c r="E6656" s="131" t="s">
        <v>56</v>
      </c>
      <c r="F6656" s="133" t="s">
        <v>11</v>
      </c>
      <c r="G6656" s="134" t="n">
        <f aca="false">LEN('Saisie programme'!$I$274)+SUMIFS('Vols additionnels'!$E$7:$E$66,'Vols additionnels'!$C$7:$C$66,$E6656,'Vols additionnels'!$D$7:$D$66,$F6656,'Vols additionnels'!$B$7:$B$66,$D6656)</f>
        <v>0</v>
      </c>
      <c r="H6656" s="135" t="n">
        <f aca="false">$G6656*'Analyse capacite'!$F$7</f>
        <v>0</v>
      </c>
      <c r="I6656" s="135" t="n">
        <f aca="false">$G6656*'Analyse capacite'!$C$7</f>
        <v>0</v>
      </c>
      <c r="J6656" s="135" t="n">
        <f aca="false">$G6656*'Analyse capacite'!$D$7</f>
        <v>0</v>
      </c>
      <c r="K6656" s="135" t="n">
        <f aca="false">$G6656*'Analyse capacite'!$E$7</f>
        <v>0</v>
      </c>
    </row>
    <row r="6657" customFormat="false" ht="15" hidden="false" customHeight="false" outlineLevel="0" collapsed="false">
      <c r="B6657" s="130" t="n">
        <v>2027</v>
      </c>
      <c r="C6657" s="131" t="s">
        <v>252</v>
      </c>
      <c r="D6657" s="132" t="n">
        <v>46662</v>
      </c>
      <c r="E6657" s="131" t="s">
        <v>56</v>
      </c>
      <c r="F6657" s="133" t="s">
        <v>19</v>
      </c>
      <c r="G6657" s="134" t="n">
        <f aca="false">LEN('Saisie programme'!$I$275)+SUMIFS('Vols additionnels'!$E$7:$E$66,'Vols additionnels'!$C$7:$C$66,$E6657,'Vols additionnels'!$D$7:$D$66,$F6657,'Vols additionnels'!$B$7:$B$66,$D6657)</f>
        <v>0</v>
      </c>
      <c r="H6657" s="135" t="n">
        <f aca="false">$G6657*'Analyse capacite'!$F$8</f>
        <v>0</v>
      </c>
      <c r="I6657" s="135" t="n">
        <f aca="false">$G6657*'Analyse capacite'!$C$8</f>
        <v>0</v>
      </c>
      <c r="J6657" s="135" t="n">
        <f aca="false">$G6657*'Analyse capacite'!$D$8</f>
        <v>0</v>
      </c>
      <c r="K6657" s="135" t="n">
        <f aca="false">$G6657*'Analyse capacite'!$E$8</f>
        <v>0</v>
      </c>
    </row>
    <row r="6658" customFormat="false" ht="15" hidden="false" customHeight="false" outlineLevel="0" collapsed="false">
      <c r="B6658" s="130" t="n">
        <v>2027</v>
      </c>
      <c r="C6658" s="131" t="s">
        <v>252</v>
      </c>
      <c r="D6658" s="132" t="n">
        <v>46662</v>
      </c>
      <c r="E6658" s="131" t="s">
        <v>56</v>
      </c>
      <c r="F6658" s="133" t="s">
        <v>24</v>
      </c>
      <c r="G6658" s="134" t="n">
        <f aca="false">LEN('Saisie programme'!$I$276)+SUMIFS('Vols additionnels'!$E$7:$E$66,'Vols additionnels'!$C$7:$C$66,$E6658,'Vols additionnels'!$D$7:$D$66,$F6658,'Vols additionnels'!$B$7:$B$66,$D6658)</f>
        <v>1</v>
      </c>
      <c r="H6658" s="135" t="n">
        <f aca="false">$G6658*'Analyse capacite'!$F$9</f>
        <v>174</v>
      </c>
      <c r="I6658" s="135" t="n">
        <f aca="false">$G6658*'Analyse capacite'!$C$9</f>
        <v>0</v>
      </c>
      <c r="J6658" s="135" t="n">
        <f aca="false">$G6658*'Analyse capacite'!$D$9</f>
        <v>12</v>
      </c>
      <c r="K6658" s="135" t="n">
        <f aca="false">$G6658*'Analyse capacite'!$E$9</f>
        <v>162</v>
      </c>
    </row>
    <row r="6659" customFormat="false" ht="15" hidden="false" customHeight="false" outlineLevel="0" collapsed="false">
      <c r="B6659" s="130" t="n">
        <v>2027</v>
      </c>
      <c r="C6659" s="131" t="s">
        <v>252</v>
      </c>
      <c r="D6659" s="132" t="n">
        <v>46662</v>
      </c>
      <c r="E6659" s="131" t="s">
        <v>59</v>
      </c>
      <c r="F6659" s="133" t="s">
        <v>11</v>
      </c>
      <c r="G6659" s="134" t="n">
        <f aca="false">LEN('Saisie programme'!$I$277)+SUMIFS('Vols additionnels'!$E$7:$E$66,'Vols additionnels'!$C$7:$C$66,$E6659,'Vols additionnels'!$D$7:$D$66,$F6659,'Vols additionnels'!$B$7:$B$66,$D6659)</f>
        <v>0</v>
      </c>
      <c r="H6659" s="135" t="n">
        <f aca="false">$G6659*'Analyse capacite'!$F$7</f>
        <v>0</v>
      </c>
      <c r="I6659" s="135" t="n">
        <f aca="false">$G6659*'Analyse capacite'!$C$7</f>
        <v>0</v>
      </c>
      <c r="J6659" s="135" t="n">
        <f aca="false">$G6659*'Analyse capacite'!$D$7</f>
        <v>0</v>
      </c>
      <c r="K6659" s="135" t="n">
        <f aca="false">$G6659*'Analyse capacite'!$E$7</f>
        <v>0</v>
      </c>
    </row>
    <row r="6660" customFormat="false" ht="15" hidden="false" customHeight="false" outlineLevel="0" collapsed="false">
      <c r="B6660" s="130" t="n">
        <v>2027</v>
      </c>
      <c r="C6660" s="131" t="s">
        <v>252</v>
      </c>
      <c r="D6660" s="132" t="n">
        <v>46662</v>
      </c>
      <c r="E6660" s="131" t="s">
        <v>59</v>
      </c>
      <c r="F6660" s="133" t="s">
        <v>19</v>
      </c>
      <c r="G6660" s="134" t="n">
        <f aca="false">LEN('Saisie programme'!$I$278)+SUMIFS('Vols additionnels'!$E$7:$E$66,'Vols additionnels'!$C$7:$C$66,$E6660,'Vols additionnels'!$D$7:$D$66,$F6660,'Vols additionnels'!$B$7:$B$66,$D6660)</f>
        <v>0</v>
      </c>
      <c r="H6660" s="135" t="n">
        <f aca="false">$G6660*'Analyse capacite'!$F$8</f>
        <v>0</v>
      </c>
      <c r="I6660" s="135" t="n">
        <f aca="false">$G6660*'Analyse capacite'!$C$8</f>
        <v>0</v>
      </c>
      <c r="J6660" s="135" t="n">
        <f aca="false">$G6660*'Analyse capacite'!$D$8</f>
        <v>0</v>
      </c>
      <c r="K6660" s="135" t="n">
        <f aca="false">$G6660*'Analyse capacite'!$E$8</f>
        <v>0</v>
      </c>
    </row>
    <row r="6661" customFormat="false" ht="15" hidden="false" customHeight="false" outlineLevel="0" collapsed="false">
      <c r="B6661" s="130" t="n">
        <v>2027</v>
      </c>
      <c r="C6661" s="131" t="s">
        <v>252</v>
      </c>
      <c r="D6661" s="132" t="n">
        <v>46662</v>
      </c>
      <c r="E6661" s="131" t="s">
        <v>59</v>
      </c>
      <c r="F6661" s="133" t="s">
        <v>24</v>
      </c>
      <c r="G6661" s="134" t="n">
        <f aca="false">LEN('Saisie programme'!$I$279)+SUMIFS('Vols additionnels'!$E$7:$E$66,'Vols additionnels'!$C$7:$C$66,$E6661,'Vols additionnels'!$D$7:$D$66,$F6661,'Vols additionnels'!$B$7:$B$66,$D6661)</f>
        <v>1</v>
      </c>
      <c r="H6661" s="135" t="n">
        <f aca="false">$G6661*'Analyse capacite'!$F$9</f>
        <v>174</v>
      </c>
      <c r="I6661" s="135" t="n">
        <f aca="false">$G6661*'Analyse capacite'!$C$9</f>
        <v>0</v>
      </c>
      <c r="J6661" s="135" t="n">
        <f aca="false">$G6661*'Analyse capacite'!$D$9</f>
        <v>12</v>
      </c>
      <c r="K6661" s="135" t="n">
        <f aca="false">$G6661*'Analyse capacite'!$E$9</f>
        <v>162</v>
      </c>
    </row>
    <row r="6662" customFormat="false" ht="15" hidden="false" customHeight="false" outlineLevel="0" collapsed="false">
      <c r="B6662" s="130" t="n">
        <v>2027</v>
      </c>
      <c r="C6662" s="131" t="s">
        <v>252</v>
      </c>
      <c r="D6662" s="132" t="n">
        <v>46662</v>
      </c>
      <c r="E6662" s="131" t="s">
        <v>62</v>
      </c>
      <c r="F6662" s="133" t="s">
        <v>11</v>
      </c>
      <c r="G6662" s="134" t="n">
        <f aca="false">LEN('Saisie programme'!$I$280)+SUMIFS('Vols additionnels'!$E$7:$E$66,'Vols additionnels'!$C$7:$C$66,$E6662,'Vols additionnels'!$D$7:$D$66,$F6662,'Vols additionnels'!$B$7:$B$66,$D6662)</f>
        <v>0</v>
      </c>
      <c r="H6662" s="135" t="n">
        <f aca="false">$G6662*'Analyse capacite'!$F$7</f>
        <v>0</v>
      </c>
      <c r="I6662" s="135" t="n">
        <f aca="false">$G6662*'Analyse capacite'!$C$7</f>
        <v>0</v>
      </c>
      <c r="J6662" s="135" t="n">
        <f aca="false">$G6662*'Analyse capacite'!$D$7</f>
        <v>0</v>
      </c>
      <c r="K6662" s="135" t="n">
        <f aca="false">$G6662*'Analyse capacite'!$E$7</f>
        <v>0</v>
      </c>
    </row>
    <row r="6663" customFormat="false" ht="15" hidden="false" customHeight="false" outlineLevel="0" collapsed="false">
      <c r="B6663" s="130" t="n">
        <v>2027</v>
      </c>
      <c r="C6663" s="131" t="s">
        <v>252</v>
      </c>
      <c r="D6663" s="132" t="n">
        <v>46662</v>
      </c>
      <c r="E6663" s="131" t="s">
        <v>62</v>
      </c>
      <c r="F6663" s="133" t="s">
        <v>19</v>
      </c>
      <c r="G6663" s="134" t="n">
        <f aca="false">LEN('Saisie programme'!$I$281)+SUMIFS('Vols additionnels'!$E$7:$E$66,'Vols additionnels'!$C$7:$C$66,$E6663,'Vols additionnels'!$D$7:$D$66,$F6663,'Vols additionnels'!$B$7:$B$66,$D6663)</f>
        <v>0</v>
      </c>
      <c r="H6663" s="135" t="n">
        <f aca="false">$G6663*'Analyse capacite'!$F$8</f>
        <v>0</v>
      </c>
      <c r="I6663" s="135" t="n">
        <f aca="false">$G6663*'Analyse capacite'!$C$8</f>
        <v>0</v>
      </c>
      <c r="J6663" s="135" t="n">
        <f aca="false">$G6663*'Analyse capacite'!$D$8</f>
        <v>0</v>
      </c>
      <c r="K6663" s="135" t="n">
        <f aca="false">$G6663*'Analyse capacite'!$E$8</f>
        <v>0</v>
      </c>
    </row>
    <row r="6664" customFormat="false" ht="15" hidden="false" customHeight="false" outlineLevel="0" collapsed="false">
      <c r="B6664" s="130" t="n">
        <v>2027</v>
      </c>
      <c r="C6664" s="131" t="s">
        <v>252</v>
      </c>
      <c r="D6664" s="132" t="n">
        <v>46662</v>
      </c>
      <c r="E6664" s="131" t="s">
        <v>62</v>
      </c>
      <c r="F6664" s="133" t="s">
        <v>24</v>
      </c>
      <c r="G6664" s="134" t="n">
        <f aca="false">LEN('Saisie programme'!$I$282)+SUMIFS('Vols additionnels'!$E$7:$E$66,'Vols additionnels'!$C$7:$C$66,$E6664,'Vols additionnels'!$D$7:$D$66,$F6664,'Vols additionnels'!$B$7:$B$66,$D6664)</f>
        <v>0</v>
      </c>
      <c r="H6664" s="135" t="n">
        <f aca="false">$G6664*'Analyse capacite'!$F$9</f>
        <v>0</v>
      </c>
      <c r="I6664" s="135" t="n">
        <f aca="false">$G6664*'Analyse capacite'!$C$9</f>
        <v>0</v>
      </c>
      <c r="J6664" s="135" t="n">
        <f aca="false">$G6664*'Analyse capacite'!$D$9</f>
        <v>0</v>
      </c>
      <c r="K6664" s="135" t="n">
        <f aca="false">$G6664*'Analyse capacite'!$E$9</f>
        <v>0</v>
      </c>
    </row>
    <row r="6665" customFormat="false" ht="15" hidden="false" customHeight="false" outlineLevel="0" collapsed="false">
      <c r="B6665" s="130" t="n">
        <v>2027</v>
      </c>
      <c r="C6665" s="131" t="s">
        <v>252</v>
      </c>
      <c r="D6665" s="132" t="n">
        <v>46663</v>
      </c>
      <c r="E6665" s="131" t="s">
        <v>12</v>
      </c>
      <c r="F6665" s="133" t="s">
        <v>11</v>
      </c>
      <c r="G6665" s="134" t="n">
        <f aca="false">LEN('Saisie programme'!$J$247)+SUMIFS('Vols additionnels'!$E$7:$E$66,'Vols additionnels'!$C$7:$C$66,$E6665,'Vols additionnels'!$D$7:$D$66,$F6665,'Vols additionnels'!$B$7:$B$66,$D6665)</f>
        <v>1</v>
      </c>
      <c r="H6665" s="135" t="n">
        <f aca="false">$G6665*'Analyse capacite'!$F$7</f>
        <v>438</v>
      </c>
      <c r="I6665" s="135" t="n">
        <f aca="false">$G6665*'Analyse capacite'!$C$7</f>
        <v>14</v>
      </c>
      <c r="J6665" s="135" t="n">
        <f aca="false">$G6665*'Analyse capacite'!$D$7</f>
        <v>40</v>
      </c>
      <c r="K6665" s="135" t="n">
        <f aca="false">$G6665*'Analyse capacite'!$E$7</f>
        <v>384</v>
      </c>
    </row>
    <row r="6666" customFormat="false" ht="15" hidden="false" customHeight="false" outlineLevel="0" collapsed="false">
      <c r="B6666" s="130" t="n">
        <v>2027</v>
      </c>
      <c r="C6666" s="131" t="s">
        <v>252</v>
      </c>
      <c r="D6666" s="132" t="n">
        <v>46663</v>
      </c>
      <c r="E6666" s="131" t="s">
        <v>12</v>
      </c>
      <c r="F6666" s="133" t="s">
        <v>19</v>
      </c>
      <c r="G6666" s="134" t="n">
        <f aca="false">LEN('Saisie programme'!$J$248)+SUMIFS('Vols additionnels'!$E$7:$E$66,'Vols additionnels'!$C$7:$C$66,$E6666,'Vols additionnels'!$D$7:$D$66,$F6666,'Vols additionnels'!$B$7:$B$66,$D6666)</f>
        <v>0</v>
      </c>
      <c r="H6666" s="135" t="n">
        <f aca="false">$G6666*'Analyse capacite'!$F$8</f>
        <v>0</v>
      </c>
      <c r="I6666" s="135" t="n">
        <f aca="false">$G6666*'Analyse capacite'!$C$8</f>
        <v>0</v>
      </c>
      <c r="J6666" s="135" t="n">
        <f aca="false">$G6666*'Analyse capacite'!$D$8</f>
        <v>0</v>
      </c>
      <c r="K6666" s="135" t="n">
        <f aca="false">$G6666*'Analyse capacite'!$E$8</f>
        <v>0</v>
      </c>
    </row>
    <row r="6667" customFormat="false" ht="15" hidden="false" customHeight="false" outlineLevel="0" collapsed="false">
      <c r="B6667" s="130" t="n">
        <v>2027</v>
      </c>
      <c r="C6667" s="131" t="s">
        <v>252</v>
      </c>
      <c r="D6667" s="132" t="n">
        <v>46663</v>
      </c>
      <c r="E6667" s="131" t="s">
        <v>12</v>
      </c>
      <c r="F6667" s="133" t="s">
        <v>24</v>
      </c>
      <c r="G6667" s="134" t="n">
        <f aca="false">LEN('Saisie programme'!$J$249)+SUMIFS('Vols additionnels'!$E$7:$E$66,'Vols additionnels'!$C$7:$C$66,$E6667,'Vols additionnels'!$D$7:$D$66,$F6667,'Vols additionnels'!$B$7:$B$66,$D6667)</f>
        <v>0</v>
      </c>
      <c r="H6667" s="135" t="n">
        <f aca="false">$G6667*'Analyse capacite'!$F$9</f>
        <v>0</v>
      </c>
      <c r="I6667" s="135" t="n">
        <f aca="false">$G6667*'Analyse capacite'!$C$9</f>
        <v>0</v>
      </c>
      <c r="J6667" s="135" t="n">
        <f aca="false">$G6667*'Analyse capacite'!$D$9</f>
        <v>0</v>
      </c>
      <c r="K6667" s="135" t="n">
        <f aca="false">$G6667*'Analyse capacite'!$E$9</f>
        <v>0</v>
      </c>
    </row>
    <row r="6668" customFormat="false" ht="15" hidden="false" customHeight="false" outlineLevel="0" collapsed="false">
      <c r="B6668" s="130" t="n">
        <v>2027</v>
      </c>
      <c r="C6668" s="131" t="s">
        <v>252</v>
      </c>
      <c r="D6668" s="132" t="n">
        <v>46663</v>
      </c>
      <c r="E6668" s="131" t="s">
        <v>20</v>
      </c>
      <c r="F6668" s="133" t="s">
        <v>11</v>
      </c>
      <c r="G6668" s="134" t="n">
        <f aca="false">LEN('Saisie programme'!$J$250)+SUMIFS('Vols additionnels'!$E$7:$E$66,'Vols additionnels'!$C$7:$C$66,$E6668,'Vols additionnels'!$D$7:$D$66,$F6668,'Vols additionnels'!$B$7:$B$66,$D6668)</f>
        <v>1</v>
      </c>
      <c r="H6668" s="135" t="n">
        <f aca="false">$G6668*'Analyse capacite'!$F$7</f>
        <v>438</v>
      </c>
      <c r="I6668" s="135" t="n">
        <f aca="false">$G6668*'Analyse capacite'!$C$7</f>
        <v>14</v>
      </c>
      <c r="J6668" s="135" t="n">
        <f aca="false">$G6668*'Analyse capacite'!$D$7</f>
        <v>40</v>
      </c>
      <c r="K6668" s="135" t="n">
        <f aca="false">$G6668*'Analyse capacite'!$E$7</f>
        <v>384</v>
      </c>
    </row>
    <row r="6669" customFormat="false" ht="15" hidden="false" customHeight="false" outlineLevel="0" collapsed="false">
      <c r="B6669" s="130" t="n">
        <v>2027</v>
      </c>
      <c r="C6669" s="131" t="s">
        <v>252</v>
      </c>
      <c r="D6669" s="132" t="n">
        <v>46663</v>
      </c>
      <c r="E6669" s="131" t="s">
        <v>20</v>
      </c>
      <c r="F6669" s="133" t="s">
        <v>19</v>
      </c>
      <c r="G6669" s="134" t="n">
        <f aca="false">LEN('Saisie programme'!$J$251)+SUMIFS('Vols additionnels'!$E$7:$E$66,'Vols additionnels'!$C$7:$C$66,$E6669,'Vols additionnels'!$D$7:$D$66,$F6669,'Vols additionnels'!$B$7:$B$66,$D6669)</f>
        <v>0</v>
      </c>
      <c r="H6669" s="135" t="n">
        <f aca="false">$G6669*'Analyse capacite'!$F$8</f>
        <v>0</v>
      </c>
      <c r="I6669" s="135" t="n">
        <f aca="false">$G6669*'Analyse capacite'!$C$8</f>
        <v>0</v>
      </c>
      <c r="J6669" s="135" t="n">
        <f aca="false">$G6669*'Analyse capacite'!$D$8</f>
        <v>0</v>
      </c>
      <c r="K6669" s="135" t="n">
        <f aca="false">$G6669*'Analyse capacite'!$E$8</f>
        <v>0</v>
      </c>
    </row>
    <row r="6670" customFormat="false" ht="15" hidden="false" customHeight="false" outlineLevel="0" collapsed="false">
      <c r="B6670" s="130" t="n">
        <v>2027</v>
      </c>
      <c r="C6670" s="131" t="s">
        <v>252</v>
      </c>
      <c r="D6670" s="132" t="n">
        <v>46663</v>
      </c>
      <c r="E6670" s="131" t="s">
        <v>20</v>
      </c>
      <c r="F6670" s="133" t="s">
        <v>24</v>
      </c>
      <c r="G6670" s="134" t="n">
        <f aca="false">LEN('Saisie programme'!$J$252)+SUMIFS('Vols additionnels'!$E$7:$E$66,'Vols additionnels'!$C$7:$C$66,$E6670,'Vols additionnels'!$D$7:$D$66,$F6670,'Vols additionnels'!$B$7:$B$66,$D6670)</f>
        <v>0</v>
      </c>
      <c r="H6670" s="135" t="n">
        <f aca="false">$G6670*'Analyse capacite'!$F$9</f>
        <v>0</v>
      </c>
      <c r="I6670" s="135" t="n">
        <f aca="false">$G6670*'Analyse capacite'!$C$9</f>
        <v>0</v>
      </c>
      <c r="J6670" s="135" t="n">
        <f aca="false">$G6670*'Analyse capacite'!$D$9</f>
        <v>0</v>
      </c>
      <c r="K6670" s="135" t="n">
        <f aca="false">$G6670*'Analyse capacite'!$E$9</f>
        <v>0</v>
      </c>
    </row>
    <row r="6671" customFormat="false" ht="15" hidden="false" customHeight="false" outlineLevel="0" collapsed="false">
      <c r="B6671" s="130" t="n">
        <v>2027</v>
      </c>
      <c r="C6671" s="131" t="s">
        <v>252</v>
      </c>
      <c r="D6671" s="132" t="n">
        <v>46663</v>
      </c>
      <c r="E6671" s="131" t="s">
        <v>25</v>
      </c>
      <c r="F6671" s="133" t="s">
        <v>11</v>
      </c>
      <c r="G6671" s="134" t="n">
        <f aca="false">LEN('Saisie programme'!$J$253)+SUMIFS('Vols additionnels'!$E$7:$E$66,'Vols additionnels'!$C$7:$C$66,$E6671,'Vols additionnels'!$D$7:$D$66,$F6671,'Vols additionnels'!$B$7:$B$66,$D6671)</f>
        <v>0</v>
      </c>
      <c r="H6671" s="135" t="n">
        <f aca="false">$G6671*'Analyse capacite'!$F$7</f>
        <v>0</v>
      </c>
      <c r="I6671" s="135" t="n">
        <f aca="false">$G6671*'Analyse capacite'!$C$7</f>
        <v>0</v>
      </c>
      <c r="J6671" s="135" t="n">
        <f aca="false">$G6671*'Analyse capacite'!$D$7</f>
        <v>0</v>
      </c>
      <c r="K6671" s="135" t="n">
        <f aca="false">$G6671*'Analyse capacite'!$E$7</f>
        <v>0</v>
      </c>
    </row>
    <row r="6672" customFormat="false" ht="15" hidden="false" customHeight="false" outlineLevel="0" collapsed="false">
      <c r="B6672" s="130" t="n">
        <v>2027</v>
      </c>
      <c r="C6672" s="131" t="s">
        <v>252</v>
      </c>
      <c r="D6672" s="132" t="n">
        <v>46663</v>
      </c>
      <c r="E6672" s="131" t="s">
        <v>25</v>
      </c>
      <c r="F6672" s="133" t="s">
        <v>19</v>
      </c>
      <c r="G6672" s="134" t="n">
        <f aca="false">LEN('Saisie programme'!$J$254)+SUMIFS('Vols additionnels'!$E$7:$E$66,'Vols additionnels'!$C$7:$C$66,$E6672,'Vols additionnels'!$D$7:$D$66,$F6672,'Vols additionnels'!$B$7:$B$66,$D6672)</f>
        <v>0</v>
      </c>
      <c r="H6672" s="135" t="n">
        <f aca="false">$G6672*'Analyse capacite'!$F$8</f>
        <v>0</v>
      </c>
      <c r="I6672" s="135" t="n">
        <f aca="false">$G6672*'Analyse capacite'!$C$8</f>
        <v>0</v>
      </c>
      <c r="J6672" s="135" t="n">
        <f aca="false">$G6672*'Analyse capacite'!$D$8</f>
        <v>0</v>
      </c>
      <c r="K6672" s="135" t="n">
        <f aca="false">$G6672*'Analyse capacite'!$E$8</f>
        <v>0</v>
      </c>
    </row>
    <row r="6673" customFormat="false" ht="15" hidden="false" customHeight="false" outlineLevel="0" collapsed="false">
      <c r="B6673" s="130" t="n">
        <v>2027</v>
      </c>
      <c r="C6673" s="131" t="s">
        <v>252</v>
      </c>
      <c r="D6673" s="132" t="n">
        <v>46663</v>
      </c>
      <c r="E6673" s="131" t="s">
        <v>25</v>
      </c>
      <c r="F6673" s="133" t="s">
        <v>24</v>
      </c>
      <c r="G6673" s="134" t="n">
        <f aca="false">LEN('Saisie programme'!$J$255)+SUMIFS('Vols additionnels'!$E$7:$E$66,'Vols additionnels'!$C$7:$C$66,$E6673,'Vols additionnels'!$D$7:$D$66,$F6673,'Vols additionnels'!$B$7:$B$66,$D6673)</f>
        <v>0</v>
      </c>
      <c r="H6673" s="135" t="n">
        <f aca="false">$G6673*'Analyse capacite'!$F$9</f>
        <v>0</v>
      </c>
      <c r="I6673" s="135" t="n">
        <f aca="false">$G6673*'Analyse capacite'!$C$9</f>
        <v>0</v>
      </c>
      <c r="J6673" s="135" t="n">
        <f aca="false">$G6673*'Analyse capacite'!$D$9</f>
        <v>0</v>
      </c>
      <c r="K6673" s="135" t="n">
        <f aca="false">$G6673*'Analyse capacite'!$E$9</f>
        <v>0</v>
      </c>
    </row>
    <row r="6674" customFormat="false" ht="15" hidden="false" customHeight="false" outlineLevel="0" collapsed="false">
      <c r="B6674" s="130" t="n">
        <v>2027</v>
      </c>
      <c r="C6674" s="131" t="s">
        <v>252</v>
      </c>
      <c r="D6674" s="132" t="n">
        <v>46663</v>
      </c>
      <c r="E6674" s="131" t="s">
        <v>36</v>
      </c>
      <c r="F6674" s="133" t="s">
        <v>11</v>
      </c>
      <c r="G6674" s="134" t="n">
        <f aca="false">LEN('Saisie programme'!$J$256)+SUMIFS('Vols additionnels'!$E$7:$E$66,'Vols additionnels'!$C$7:$C$66,$E6674,'Vols additionnels'!$D$7:$D$66,$F6674,'Vols additionnels'!$B$7:$B$66,$D6674)</f>
        <v>0</v>
      </c>
      <c r="H6674" s="135" t="n">
        <f aca="false">$G6674*'Analyse capacite'!$F$7</f>
        <v>0</v>
      </c>
      <c r="I6674" s="135" t="n">
        <f aca="false">$G6674*'Analyse capacite'!$C$7</f>
        <v>0</v>
      </c>
      <c r="J6674" s="135" t="n">
        <f aca="false">$G6674*'Analyse capacite'!$D$7</f>
        <v>0</v>
      </c>
      <c r="K6674" s="135" t="n">
        <f aca="false">$G6674*'Analyse capacite'!$E$7</f>
        <v>0</v>
      </c>
    </row>
    <row r="6675" customFormat="false" ht="15" hidden="false" customHeight="false" outlineLevel="0" collapsed="false">
      <c r="B6675" s="130" t="n">
        <v>2027</v>
      </c>
      <c r="C6675" s="131" t="s">
        <v>252</v>
      </c>
      <c r="D6675" s="132" t="n">
        <v>46663</v>
      </c>
      <c r="E6675" s="131" t="s">
        <v>36</v>
      </c>
      <c r="F6675" s="133" t="s">
        <v>19</v>
      </c>
      <c r="G6675" s="134" t="n">
        <f aca="false">LEN('Saisie programme'!$J$257)+SUMIFS('Vols additionnels'!$E$7:$E$66,'Vols additionnels'!$C$7:$C$66,$E6675,'Vols additionnels'!$D$7:$D$66,$F6675,'Vols additionnels'!$B$7:$B$66,$D6675)</f>
        <v>0</v>
      </c>
      <c r="H6675" s="135" t="n">
        <f aca="false">$G6675*'Analyse capacite'!$F$8</f>
        <v>0</v>
      </c>
      <c r="I6675" s="135" t="n">
        <f aca="false">$G6675*'Analyse capacite'!$C$8</f>
        <v>0</v>
      </c>
      <c r="J6675" s="135" t="n">
        <f aca="false">$G6675*'Analyse capacite'!$D$8</f>
        <v>0</v>
      </c>
      <c r="K6675" s="135" t="n">
        <f aca="false">$G6675*'Analyse capacite'!$E$8</f>
        <v>0</v>
      </c>
    </row>
    <row r="6676" customFormat="false" ht="15" hidden="false" customHeight="false" outlineLevel="0" collapsed="false">
      <c r="B6676" s="130" t="n">
        <v>2027</v>
      </c>
      <c r="C6676" s="131" t="s">
        <v>252</v>
      </c>
      <c r="D6676" s="132" t="n">
        <v>46663</v>
      </c>
      <c r="E6676" s="131" t="s">
        <v>36</v>
      </c>
      <c r="F6676" s="133" t="s">
        <v>24</v>
      </c>
      <c r="G6676" s="134" t="n">
        <f aca="false">LEN('Saisie programme'!$J$258)+SUMIFS('Vols additionnels'!$E$7:$E$66,'Vols additionnels'!$C$7:$C$66,$E6676,'Vols additionnels'!$D$7:$D$66,$F6676,'Vols additionnels'!$B$7:$B$66,$D6676)</f>
        <v>0</v>
      </c>
      <c r="H6676" s="135" t="n">
        <f aca="false">$G6676*'Analyse capacite'!$F$9</f>
        <v>0</v>
      </c>
      <c r="I6676" s="135" t="n">
        <f aca="false">$G6676*'Analyse capacite'!$C$9</f>
        <v>0</v>
      </c>
      <c r="J6676" s="135" t="n">
        <f aca="false">$G6676*'Analyse capacite'!$D$9</f>
        <v>0</v>
      </c>
      <c r="K6676" s="135" t="n">
        <f aca="false">$G6676*'Analyse capacite'!$E$9</f>
        <v>0</v>
      </c>
    </row>
    <row r="6677" customFormat="false" ht="15" hidden="false" customHeight="false" outlineLevel="0" collapsed="false">
      <c r="B6677" s="130" t="n">
        <v>2027</v>
      </c>
      <c r="C6677" s="131" t="s">
        <v>252</v>
      </c>
      <c r="D6677" s="132" t="n">
        <v>46663</v>
      </c>
      <c r="E6677" s="131" t="s">
        <v>40</v>
      </c>
      <c r="F6677" s="133" t="s">
        <v>11</v>
      </c>
      <c r="G6677" s="134" t="n">
        <f aca="false">LEN('Saisie programme'!$J$259)+SUMIFS('Vols additionnels'!$E$7:$E$66,'Vols additionnels'!$C$7:$C$66,$E6677,'Vols additionnels'!$D$7:$D$66,$F6677,'Vols additionnels'!$B$7:$B$66,$D6677)</f>
        <v>0</v>
      </c>
      <c r="H6677" s="135" t="n">
        <f aca="false">$G6677*'Analyse capacite'!$F$7</f>
        <v>0</v>
      </c>
      <c r="I6677" s="135" t="n">
        <f aca="false">$G6677*'Analyse capacite'!$C$7</f>
        <v>0</v>
      </c>
      <c r="J6677" s="135" t="n">
        <f aca="false">$G6677*'Analyse capacite'!$D$7</f>
        <v>0</v>
      </c>
      <c r="K6677" s="135" t="n">
        <f aca="false">$G6677*'Analyse capacite'!$E$7</f>
        <v>0</v>
      </c>
    </row>
    <row r="6678" customFormat="false" ht="15" hidden="false" customHeight="false" outlineLevel="0" collapsed="false">
      <c r="B6678" s="130" t="n">
        <v>2027</v>
      </c>
      <c r="C6678" s="131" t="s">
        <v>252</v>
      </c>
      <c r="D6678" s="132" t="n">
        <v>46663</v>
      </c>
      <c r="E6678" s="131" t="s">
        <v>40</v>
      </c>
      <c r="F6678" s="133" t="s">
        <v>19</v>
      </c>
      <c r="G6678" s="134" t="n">
        <f aca="false">LEN('Saisie programme'!$J$260)+SUMIFS('Vols additionnels'!$E$7:$E$66,'Vols additionnels'!$C$7:$C$66,$E6678,'Vols additionnels'!$D$7:$D$66,$F6678,'Vols additionnels'!$B$7:$B$66,$D6678)</f>
        <v>0</v>
      </c>
      <c r="H6678" s="135" t="n">
        <f aca="false">$G6678*'Analyse capacite'!$F$8</f>
        <v>0</v>
      </c>
      <c r="I6678" s="135" t="n">
        <f aca="false">$G6678*'Analyse capacite'!$C$8</f>
        <v>0</v>
      </c>
      <c r="J6678" s="135" t="n">
        <f aca="false">$G6678*'Analyse capacite'!$D$8</f>
        <v>0</v>
      </c>
      <c r="K6678" s="135" t="n">
        <f aca="false">$G6678*'Analyse capacite'!$E$8</f>
        <v>0</v>
      </c>
    </row>
    <row r="6679" customFormat="false" ht="15" hidden="false" customHeight="false" outlineLevel="0" collapsed="false">
      <c r="B6679" s="130" t="n">
        <v>2027</v>
      </c>
      <c r="C6679" s="131" t="s">
        <v>252</v>
      </c>
      <c r="D6679" s="132" t="n">
        <v>46663</v>
      </c>
      <c r="E6679" s="131" t="s">
        <v>40</v>
      </c>
      <c r="F6679" s="133" t="s">
        <v>24</v>
      </c>
      <c r="G6679" s="134" t="n">
        <f aca="false">LEN('Saisie programme'!$J$261)+SUMIFS('Vols additionnels'!$E$7:$E$66,'Vols additionnels'!$C$7:$C$66,$E6679,'Vols additionnels'!$D$7:$D$66,$F6679,'Vols additionnels'!$B$7:$B$66,$D6679)</f>
        <v>1</v>
      </c>
      <c r="H6679" s="135" t="n">
        <f aca="false">$G6679*'Analyse capacite'!$F$9</f>
        <v>174</v>
      </c>
      <c r="I6679" s="135" t="n">
        <f aca="false">$G6679*'Analyse capacite'!$C$9</f>
        <v>0</v>
      </c>
      <c r="J6679" s="135" t="n">
        <f aca="false">$G6679*'Analyse capacite'!$D$9</f>
        <v>12</v>
      </c>
      <c r="K6679" s="135" t="n">
        <f aca="false">$G6679*'Analyse capacite'!$E$9</f>
        <v>162</v>
      </c>
    </row>
    <row r="6680" customFormat="false" ht="15" hidden="false" customHeight="false" outlineLevel="0" collapsed="false">
      <c r="B6680" s="130" t="n">
        <v>2027</v>
      </c>
      <c r="C6680" s="131" t="s">
        <v>252</v>
      </c>
      <c r="D6680" s="132" t="n">
        <v>46663</v>
      </c>
      <c r="E6680" s="131" t="s">
        <v>14</v>
      </c>
      <c r="F6680" s="133" t="s">
        <v>11</v>
      </c>
      <c r="G6680" s="134" t="n">
        <f aca="false">LEN('Saisie programme'!$J$262)+SUMIFS('Vols additionnels'!$E$7:$E$66,'Vols additionnels'!$C$7:$C$66,$E6680,'Vols additionnels'!$D$7:$D$66,$F6680,'Vols additionnels'!$B$7:$B$66,$D6680)</f>
        <v>0</v>
      </c>
      <c r="H6680" s="135" t="n">
        <f aca="false">$G6680*'Analyse capacite'!$F$7</f>
        <v>0</v>
      </c>
      <c r="I6680" s="135" t="n">
        <f aca="false">$G6680*'Analyse capacite'!$C$7</f>
        <v>0</v>
      </c>
      <c r="J6680" s="135" t="n">
        <f aca="false">$G6680*'Analyse capacite'!$D$7</f>
        <v>0</v>
      </c>
      <c r="K6680" s="135" t="n">
        <f aca="false">$G6680*'Analyse capacite'!$E$7</f>
        <v>0</v>
      </c>
    </row>
    <row r="6681" customFormat="false" ht="15" hidden="false" customHeight="false" outlineLevel="0" collapsed="false">
      <c r="B6681" s="130" t="n">
        <v>2027</v>
      </c>
      <c r="C6681" s="131" t="s">
        <v>252</v>
      </c>
      <c r="D6681" s="132" t="n">
        <v>46663</v>
      </c>
      <c r="E6681" s="131" t="s">
        <v>14</v>
      </c>
      <c r="F6681" s="133" t="s">
        <v>19</v>
      </c>
      <c r="G6681" s="134" t="n">
        <f aca="false">LEN('Saisie programme'!$J$263)+SUMIFS('Vols additionnels'!$E$7:$E$66,'Vols additionnels'!$C$7:$C$66,$E6681,'Vols additionnels'!$D$7:$D$66,$F6681,'Vols additionnels'!$B$7:$B$66,$D6681)</f>
        <v>0</v>
      </c>
      <c r="H6681" s="135" t="n">
        <f aca="false">$G6681*'Analyse capacite'!$F$8</f>
        <v>0</v>
      </c>
      <c r="I6681" s="135" t="n">
        <f aca="false">$G6681*'Analyse capacite'!$C$8</f>
        <v>0</v>
      </c>
      <c r="J6681" s="135" t="n">
        <f aca="false">$G6681*'Analyse capacite'!$D$8</f>
        <v>0</v>
      </c>
      <c r="K6681" s="135" t="n">
        <f aca="false">$G6681*'Analyse capacite'!$E$8</f>
        <v>0</v>
      </c>
    </row>
    <row r="6682" customFormat="false" ht="15" hidden="false" customHeight="false" outlineLevel="0" collapsed="false">
      <c r="B6682" s="130" t="n">
        <v>2027</v>
      </c>
      <c r="C6682" s="131" t="s">
        <v>252</v>
      </c>
      <c r="D6682" s="132" t="n">
        <v>46663</v>
      </c>
      <c r="E6682" s="131" t="s">
        <v>14</v>
      </c>
      <c r="F6682" s="133" t="s">
        <v>24</v>
      </c>
      <c r="G6682" s="134" t="n">
        <f aca="false">LEN('Saisie programme'!$J$264)+SUMIFS('Vols additionnels'!$E$7:$E$66,'Vols additionnels'!$C$7:$C$66,$E6682,'Vols additionnels'!$D$7:$D$66,$F6682,'Vols additionnels'!$B$7:$B$66,$D6682)</f>
        <v>0</v>
      </c>
      <c r="H6682" s="135" t="n">
        <f aca="false">$G6682*'Analyse capacite'!$F$9</f>
        <v>0</v>
      </c>
      <c r="I6682" s="135" t="n">
        <f aca="false">$G6682*'Analyse capacite'!$C$9</f>
        <v>0</v>
      </c>
      <c r="J6682" s="135" t="n">
        <f aca="false">$G6682*'Analyse capacite'!$D$9</f>
        <v>0</v>
      </c>
      <c r="K6682" s="135" t="n">
        <f aca="false">$G6682*'Analyse capacite'!$E$9</f>
        <v>0</v>
      </c>
    </row>
    <row r="6683" customFormat="false" ht="15" hidden="false" customHeight="false" outlineLevel="0" collapsed="false">
      <c r="B6683" s="130" t="n">
        <v>2027</v>
      </c>
      <c r="C6683" s="131" t="s">
        <v>252</v>
      </c>
      <c r="D6683" s="132" t="n">
        <v>46663</v>
      </c>
      <c r="E6683" s="131" t="s">
        <v>46</v>
      </c>
      <c r="F6683" s="133" t="s">
        <v>11</v>
      </c>
      <c r="G6683" s="134" t="n">
        <f aca="false">LEN('Saisie programme'!$J$265)+SUMIFS('Vols additionnels'!$E$7:$E$66,'Vols additionnels'!$C$7:$C$66,$E6683,'Vols additionnels'!$D$7:$D$66,$F6683,'Vols additionnels'!$B$7:$B$66,$D6683)</f>
        <v>0</v>
      </c>
      <c r="H6683" s="135" t="n">
        <f aca="false">$G6683*'Analyse capacite'!$F$7</f>
        <v>0</v>
      </c>
      <c r="I6683" s="135" t="n">
        <f aca="false">$G6683*'Analyse capacite'!$C$7</f>
        <v>0</v>
      </c>
      <c r="J6683" s="135" t="n">
        <f aca="false">$G6683*'Analyse capacite'!$D$7</f>
        <v>0</v>
      </c>
      <c r="K6683" s="135" t="n">
        <f aca="false">$G6683*'Analyse capacite'!$E$7</f>
        <v>0</v>
      </c>
    </row>
    <row r="6684" customFormat="false" ht="15" hidden="false" customHeight="false" outlineLevel="0" collapsed="false">
      <c r="B6684" s="130" t="n">
        <v>2027</v>
      </c>
      <c r="C6684" s="131" t="s">
        <v>252</v>
      </c>
      <c r="D6684" s="132" t="n">
        <v>46663</v>
      </c>
      <c r="E6684" s="131" t="s">
        <v>46</v>
      </c>
      <c r="F6684" s="133" t="s">
        <v>19</v>
      </c>
      <c r="G6684" s="134" t="n">
        <f aca="false">LEN('Saisie programme'!$J$266)+SUMIFS('Vols additionnels'!$E$7:$E$66,'Vols additionnels'!$C$7:$C$66,$E6684,'Vols additionnels'!$D$7:$D$66,$F6684,'Vols additionnels'!$B$7:$B$66,$D6684)</f>
        <v>0</v>
      </c>
      <c r="H6684" s="135" t="n">
        <f aca="false">$G6684*'Analyse capacite'!$F$8</f>
        <v>0</v>
      </c>
      <c r="I6684" s="135" t="n">
        <f aca="false">$G6684*'Analyse capacite'!$C$8</f>
        <v>0</v>
      </c>
      <c r="J6684" s="135" t="n">
        <f aca="false">$G6684*'Analyse capacite'!$D$8</f>
        <v>0</v>
      </c>
      <c r="K6684" s="135" t="n">
        <f aca="false">$G6684*'Analyse capacite'!$E$8</f>
        <v>0</v>
      </c>
    </row>
    <row r="6685" customFormat="false" ht="15" hidden="false" customHeight="false" outlineLevel="0" collapsed="false">
      <c r="B6685" s="130" t="n">
        <v>2027</v>
      </c>
      <c r="C6685" s="131" t="s">
        <v>252</v>
      </c>
      <c r="D6685" s="132" t="n">
        <v>46663</v>
      </c>
      <c r="E6685" s="131" t="s">
        <v>46</v>
      </c>
      <c r="F6685" s="133" t="s">
        <v>24</v>
      </c>
      <c r="G6685" s="134" t="n">
        <f aca="false">LEN('Saisie programme'!$J$267)+SUMIFS('Vols additionnels'!$E$7:$E$66,'Vols additionnels'!$C$7:$C$66,$E6685,'Vols additionnels'!$D$7:$D$66,$F6685,'Vols additionnels'!$B$7:$B$66,$D6685)</f>
        <v>0</v>
      </c>
      <c r="H6685" s="135" t="n">
        <f aca="false">$G6685*'Analyse capacite'!$F$9</f>
        <v>0</v>
      </c>
      <c r="I6685" s="135" t="n">
        <f aca="false">$G6685*'Analyse capacite'!$C$9</f>
        <v>0</v>
      </c>
      <c r="J6685" s="135" t="n">
        <f aca="false">$G6685*'Analyse capacite'!$D$9</f>
        <v>0</v>
      </c>
      <c r="K6685" s="135" t="n">
        <f aca="false">$G6685*'Analyse capacite'!$E$9</f>
        <v>0</v>
      </c>
    </row>
    <row r="6686" customFormat="false" ht="15" hidden="false" customHeight="false" outlineLevel="0" collapsed="false">
      <c r="B6686" s="130" t="n">
        <v>2027</v>
      </c>
      <c r="C6686" s="131" t="s">
        <v>252</v>
      </c>
      <c r="D6686" s="132" t="n">
        <v>46663</v>
      </c>
      <c r="E6686" s="131" t="s">
        <v>49</v>
      </c>
      <c r="F6686" s="133" t="s">
        <v>11</v>
      </c>
      <c r="G6686" s="134" t="n">
        <f aca="false">LEN('Saisie programme'!$J$268)+SUMIFS('Vols additionnels'!$E$7:$E$66,'Vols additionnels'!$C$7:$C$66,$E6686,'Vols additionnels'!$D$7:$D$66,$F6686,'Vols additionnels'!$B$7:$B$66,$D6686)</f>
        <v>0</v>
      </c>
      <c r="H6686" s="135" t="n">
        <f aca="false">$G6686*'Analyse capacite'!$F$7</f>
        <v>0</v>
      </c>
      <c r="I6686" s="135" t="n">
        <f aca="false">$G6686*'Analyse capacite'!$C$7</f>
        <v>0</v>
      </c>
      <c r="J6686" s="135" t="n">
        <f aca="false">$G6686*'Analyse capacite'!$D$7</f>
        <v>0</v>
      </c>
      <c r="K6686" s="135" t="n">
        <f aca="false">$G6686*'Analyse capacite'!$E$7</f>
        <v>0</v>
      </c>
    </row>
    <row r="6687" customFormat="false" ht="15" hidden="false" customHeight="false" outlineLevel="0" collapsed="false">
      <c r="B6687" s="130" t="n">
        <v>2027</v>
      </c>
      <c r="C6687" s="131" t="s">
        <v>252</v>
      </c>
      <c r="D6687" s="132" t="n">
        <v>46663</v>
      </c>
      <c r="E6687" s="131" t="s">
        <v>49</v>
      </c>
      <c r="F6687" s="133" t="s">
        <v>19</v>
      </c>
      <c r="G6687" s="134" t="n">
        <f aca="false">LEN('Saisie programme'!$J$269)+SUMIFS('Vols additionnels'!$E$7:$E$66,'Vols additionnels'!$C$7:$C$66,$E6687,'Vols additionnels'!$D$7:$D$66,$F6687,'Vols additionnels'!$B$7:$B$66,$D6687)</f>
        <v>0</v>
      </c>
      <c r="H6687" s="135" t="n">
        <f aca="false">$G6687*'Analyse capacite'!$F$8</f>
        <v>0</v>
      </c>
      <c r="I6687" s="135" t="n">
        <f aca="false">$G6687*'Analyse capacite'!$C$8</f>
        <v>0</v>
      </c>
      <c r="J6687" s="135" t="n">
        <f aca="false">$G6687*'Analyse capacite'!$D$8</f>
        <v>0</v>
      </c>
      <c r="K6687" s="135" t="n">
        <f aca="false">$G6687*'Analyse capacite'!$E$8</f>
        <v>0</v>
      </c>
    </row>
    <row r="6688" customFormat="false" ht="15" hidden="false" customHeight="false" outlineLevel="0" collapsed="false">
      <c r="B6688" s="130" t="n">
        <v>2027</v>
      </c>
      <c r="C6688" s="131" t="s">
        <v>252</v>
      </c>
      <c r="D6688" s="132" t="n">
        <v>46663</v>
      </c>
      <c r="E6688" s="131" t="s">
        <v>49</v>
      </c>
      <c r="F6688" s="133" t="s">
        <v>24</v>
      </c>
      <c r="G6688" s="134" t="n">
        <f aca="false">LEN('Saisie programme'!$J$270)+SUMIFS('Vols additionnels'!$E$7:$E$66,'Vols additionnels'!$C$7:$C$66,$E6688,'Vols additionnels'!$D$7:$D$66,$F6688,'Vols additionnels'!$B$7:$B$66,$D6688)</f>
        <v>0</v>
      </c>
      <c r="H6688" s="135" t="n">
        <f aca="false">$G6688*'Analyse capacite'!$F$9</f>
        <v>0</v>
      </c>
      <c r="I6688" s="135" t="n">
        <f aca="false">$G6688*'Analyse capacite'!$C$9</f>
        <v>0</v>
      </c>
      <c r="J6688" s="135" t="n">
        <f aca="false">$G6688*'Analyse capacite'!$D$9</f>
        <v>0</v>
      </c>
      <c r="K6688" s="135" t="n">
        <f aca="false">$G6688*'Analyse capacite'!$E$9</f>
        <v>0</v>
      </c>
    </row>
    <row r="6689" customFormat="false" ht="15" hidden="false" customHeight="false" outlineLevel="0" collapsed="false">
      <c r="B6689" s="130" t="n">
        <v>2027</v>
      </c>
      <c r="C6689" s="131" t="s">
        <v>252</v>
      </c>
      <c r="D6689" s="132" t="n">
        <v>46663</v>
      </c>
      <c r="E6689" s="131" t="s">
        <v>53</v>
      </c>
      <c r="F6689" s="133" t="s">
        <v>11</v>
      </c>
      <c r="G6689" s="134" t="n">
        <f aca="false">LEN('Saisie programme'!$J$271)+SUMIFS('Vols additionnels'!$E$7:$E$66,'Vols additionnels'!$C$7:$C$66,$E6689,'Vols additionnels'!$D$7:$D$66,$F6689,'Vols additionnels'!$B$7:$B$66,$D6689)</f>
        <v>0</v>
      </c>
      <c r="H6689" s="135" t="n">
        <f aca="false">$G6689*'Analyse capacite'!$F$7</f>
        <v>0</v>
      </c>
      <c r="I6689" s="135" t="n">
        <f aca="false">$G6689*'Analyse capacite'!$C$7</f>
        <v>0</v>
      </c>
      <c r="J6689" s="135" t="n">
        <f aca="false">$G6689*'Analyse capacite'!$D$7</f>
        <v>0</v>
      </c>
      <c r="K6689" s="135" t="n">
        <f aca="false">$G6689*'Analyse capacite'!$E$7</f>
        <v>0</v>
      </c>
    </row>
    <row r="6690" customFormat="false" ht="15" hidden="false" customHeight="false" outlineLevel="0" collapsed="false">
      <c r="B6690" s="130" t="n">
        <v>2027</v>
      </c>
      <c r="C6690" s="131" t="s">
        <v>252</v>
      </c>
      <c r="D6690" s="132" t="n">
        <v>46663</v>
      </c>
      <c r="E6690" s="131" t="s">
        <v>53</v>
      </c>
      <c r="F6690" s="133" t="s">
        <v>19</v>
      </c>
      <c r="G6690" s="134" t="n">
        <f aca="false">LEN('Saisie programme'!$J$272)+SUMIFS('Vols additionnels'!$E$7:$E$66,'Vols additionnels'!$C$7:$C$66,$E6690,'Vols additionnels'!$D$7:$D$66,$F6690,'Vols additionnels'!$B$7:$B$66,$D6690)</f>
        <v>0</v>
      </c>
      <c r="H6690" s="135" t="n">
        <f aca="false">$G6690*'Analyse capacite'!$F$8</f>
        <v>0</v>
      </c>
      <c r="I6690" s="135" t="n">
        <f aca="false">$G6690*'Analyse capacite'!$C$8</f>
        <v>0</v>
      </c>
      <c r="J6690" s="135" t="n">
        <f aca="false">$G6690*'Analyse capacite'!$D$8</f>
        <v>0</v>
      </c>
      <c r="K6690" s="135" t="n">
        <f aca="false">$G6690*'Analyse capacite'!$E$8</f>
        <v>0</v>
      </c>
    </row>
    <row r="6691" customFormat="false" ht="15" hidden="false" customHeight="false" outlineLevel="0" collapsed="false">
      <c r="B6691" s="130" t="n">
        <v>2027</v>
      </c>
      <c r="C6691" s="131" t="s">
        <v>252</v>
      </c>
      <c r="D6691" s="132" t="n">
        <v>46663</v>
      </c>
      <c r="E6691" s="131" t="s">
        <v>53</v>
      </c>
      <c r="F6691" s="133" t="s">
        <v>24</v>
      </c>
      <c r="G6691" s="134" t="n">
        <f aca="false">LEN('Saisie programme'!$J$273)+SUMIFS('Vols additionnels'!$E$7:$E$66,'Vols additionnels'!$C$7:$C$66,$E6691,'Vols additionnels'!$D$7:$D$66,$F6691,'Vols additionnels'!$B$7:$B$66,$D6691)</f>
        <v>0</v>
      </c>
      <c r="H6691" s="135" t="n">
        <f aca="false">$G6691*'Analyse capacite'!$F$9</f>
        <v>0</v>
      </c>
      <c r="I6691" s="135" t="n">
        <f aca="false">$G6691*'Analyse capacite'!$C$9</f>
        <v>0</v>
      </c>
      <c r="J6691" s="135" t="n">
        <f aca="false">$G6691*'Analyse capacite'!$D$9</f>
        <v>0</v>
      </c>
      <c r="K6691" s="135" t="n">
        <f aca="false">$G6691*'Analyse capacite'!$E$9</f>
        <v>0</v>
      </c>
    </row>
    <row r="6692" customFormat="false" ht="15" hidden="false" customHeight="false" outlineLevel="0" collapsed="false">
      <c r="B6692" s="130" t="n">
        <v>2027</v>
      </c>
      <c r="C6692" s="131" t="s">
        <v>252</v>
      </c>
      <c r="D6692" s="132" t="n">
        <v>46663</v>
      </c>
      <c r="E6692" s="131" t="s">
        <v>56</v>
      </c>
      <c r="F6692" s="133" t="s">
        <v>11</v>
      </c>
      <c r="G6692" s="134" t="n">
        <f aca="false">LEN('Saisie programme'!$J$274)+SUMIFS('Vols additionnels'!$E$7:$E$66,'Vols additionnels'!$C$7:$C$66,$E6692,'Vols additionnels'!$D$7:$D$66,$F6692,'Vols additionnels'!$B$7:$B$66,$D6692)</f>
        <v>0</v>
      </c>
      <c r="H6692" s="135" t="n">
        <f aca="false">$G6692*'Analyse capacite'!$F$7</f>
        <v>0</v>
      </c>
      <c r="I6692" s="135" t="n">
        <f aca="false">$G6692*'Analyse capacite'!$C$7</f>
        <v>0</v>
      </c>
      <c r="J6692" s="135" t="n">
        <f aca="false">$G6692*'Analyse capacite'!$D$7</f>
        <v>0</v>
      </c>
      <c r="K6692" s="135" t="n">
        <f aca="false">$G6692*'Analyse capacite'!$E$7</f>
        <v>0</v>
      </c>
    </row>
    <row r="6693" customFormat="false" ht="15" hidden="false" customHeight="false" outlineLevel="0" collapsed="false">
      <c r="B6693" s="130" t="n">
        <v>2027</v>
      </c>
      <c r="C6693" s="131" t="s">
        <v>252</v>
      </c>
      <c r="D6693" s="132" t="n">
        <v>46663</v>
      </c>
      <c r="E6693" s="131" t="s">
        <v>56</v>
      </c>
      <c r="F6693" s="133" t="s">
        <v>19</v>
      </c>
      <c r="G6693" s="134" t="n">
        <f aca="false">LEN('Saisie programme'!$J$275)+SUMIFS('Vols additionnels'!$E$7:$E$66,'Vols additionnels'!$C$7:$C$66,$E6693,'Vols additionnels'!$D$7:$D$66,$F6693,'Vols additionnels'!$B$7:$B$66,$D6693)</f>
        <v>0</v>
      </c>
      <c r="H6693" s="135" t="n">
        <f aca="false">$G6693*'Analyse capacite'!$F$8</f>
        <v>0</v>
      </c>
      <c r="I6693" s="135" t="n">
        <f aca="false">$G6693*'Analyse capacite'!$C$8</f>
        <v>0</v>
      </c>
      <c r="J6693" s="135" t="n">
        <f aca="false">$G6693*'Analyse capacite'!$D$8</f>
        <v>0</v>
      </c>
      <c r="K6693" s="135" t="n">
        <f aca="false">$G6693*'Analyse capacite'!$E$8</f>
        <v>0</v>
      </c>
    </row>
    <row r="6694" customFormat="false" ht="15" hidden="false" customHeight="false" outlineLevel="0" collapsed="false">
      <c r="B6694" s="130" t="n">
        <v>2027</v>
      </c>
      <c r="C6694" s="131" t="s">
        <v>252</v>
      </c>
      <c r="D6694" s="132" t="n">
        <v>46663</v>
      </c>
      <c r="E6694" s="131" t="s">
        <v>56</v>
      </c>
      <c r="F6694" s="133" t="s">
        <v>24</v>
      </c>
      <c r="G6694" s="134" t="n">
        <f aca="false">LEN('Saisie programme'!$J$276)+SUMIFS('Vols additionnels'!$E$7:$E$66,'Vols additionnels'!$C$7:$C$66,$E6694,'Vols additionnels'!$D$7:$D$66,$F6694,'Vols additionnels'!$B$7:$B$66,$D6694)</f>
        <v>0</v>
      </c>
      <c r="H6694" s="135" t="n">
        <f aca="false">$G6694*'Analyse capacite'!$F$9</f>
        <v>0</v>
      </c>
      <c r="I6694" s="135" t="n">
        <f aca="false">$G6694*'Analyse capacite'!$C$9</f>
        <v>0</v>
      </c>
      <c r="J6694" s="135" t="n">
        <f aca="false">$G6694*'Analyse capacite'!$D$9</f>
        <v>0</v>
      </c>
      <c r="K6694" s="135" t="n">
        <f aca="false">$G6694*'Analyse capacite'!$E$9</f>
        <v>0</v>
      </c>
    </row>
    <row r="6695" customFormat="false" ht="15" hidden="false" customHeight="false" outlineLevel="0" collapsed="false">
      <c r="B6695" s="130" t="n">
        <v>2027</v>
      </c>
      <c r="C6695" s="131" t="s">
        <v>252</v>
      </c>
      <c r="D6695" s="132" t="n">
        <v>46663</v>
      </c>
      <c r="E6695" s="131" t="s">
        <v>59</v>
      </c>
      <c r="F6695" s="133" t="s">
        <v>11</v>
      </c>
      <c r="G6695" s="134" t="n">
        <f aca="false">LEN('Saisie programme'!$J$277)+SUMIFS('Vols additionnels'!$E$7:$E$66,'Vols additionnels'!$C$7:$C$66,$E6695,'Vols additionnels'!$D$7:$D$66,$F6695,'Vols additionnels'!$B$7:$B$66,$D6695)</f>
        <v>0</v>
      </c>
      <c r="H6695" s="135" t="n">
        <f aca="false">$G6695*'Analyse capacite'!$F$7</f>
        <v>0</v>
      </c>
      <c r="I6695" s="135" t="n">
        <f aca="false">$G6695*'Analyse capacite'!$C$7</f>
        <v>0</v>
      </c>
      <c r="J6695" s="135" t="n">
        <f aca="false">$G6695*'Analyse capacite'!$D$7</f>
        <v>0</v>
      </c>
      <c r="K6695" s="135" t="n">
        <f aca="false">$G6695*'Analyse capacite'!$E$7</f>
        <v>0</v>
      </c>
    </row>
    <row r="6696" customFormat="false" ht="15" hidden="false" customHeight="false" outlineLevel="0" collapsed="false">
      <c r="B6696" s="130" t="n">
        <v>2027</v>
      </c>
      <c r="C6696" s="131" t="s">
        <v>252</v>
      </c>
      <c r="D6696" s="132" t="n">
        <v>46663</v>
      </c>
      <c r="E6696" s="131" t="s">
        <v>59</v>
      </c>
      <c r="F6696" s="133" t="s">
        <v>19</v>
      </c>
      <c r="G6696" s="134" t="n">
        <f aca="false">LEN('Saisie programme'!$J$278)+SUMIFS('Vols additionnels'!$E$7:$E$66,'Vols additionnels'!$C$7:$C$66,$E6696,'Vols additionnels'!$D$7:$D$66,$F6696,'Vols additionnels'!$B$7:$B$66,$D6696)</f>
        <v>0</v>
      </c>
      <c r="H6696" s="135" t="n">
        <f aca="false">$G6696*'Analyse capacite'!$F$8</f>
        <v>0</v>
      </c>
      <c r="I6696" s="135" t="n">
        <f aca="false">$G6696*'Analyse capacite'!$C$8</f>
        <v>0</v>
      </c>
      <c r="J6696" s="135" t="n">
        <f aca="false">$G6696*'Analyse capacite'!$D$8</f>
        <v>0</v>
      </c>
      <c r="K6696" s="135" t="n">
        <f aca="false">$G6696*'Analyse capacite'!$E$8</f>
        <v>0</v>
      </c>
    </row>
    <row r="6697" customFormat="false" ht="15" hidden="false" customHeight="false" outlineLevel="0" collapsed="false">
      <c r="B6697" s="130" t="n">
        <v>2027</v>
      </c>
      <c r="C6697" s="131" t="s">
        <v>252</v>
      </c>
      <c r="D6697" s="132" t="n">
        <v>46663</v>
      </c>
      <c r="E6697" s="131" t="s">
        <v>59</v>
      </c>
      <c r="F6697" s="133" t="s">
        <v>24</v>
      </c>
      <c r="G6697" s="134" t="n">
        <f aca="false">LEN('Saisie programme'!$J$279)+SUMIFS('Vols additionnels'!$E$7:$E$66,'Vols additionnels'!$C$7:$C$66,$E6697,'Vols additionnels'!$D$7:$D$66,$F6697,'Vols additionnels'!$B$7:$B$66,$D6697)</f>
        <v>0</v>
      </c>
      <c r="H6697" s="135" t="n">
        <f aca="false">$G6697*'Analyse capacite'!$F$9</f>
        <v>0</v>
      </c>
      <c r="I6697" s="135" t="n">
        <f aca="false">$G6697*'Analyse capacite'!$C$9</f>
        <v>0</v>
      </c>
      <c r="J6697" s="135" t="n">
        <f aca="false">$G6697*'Analyse capacite'!$D$9</f>
        <v>0</v>
      </c>
      <c r="K6697" s="135" t="n">
        <f aca="false">$G6697*'Analyse capacite'!$E$9</f>
        <v>0</v>
      </c>
    </row>
    <row r="6698" customFormat="false" ht="15" hidden="false" customHeight="false" outlineLevel="0" collapsed="false">
      <c r="B6698" s="130" t="n">
        <v>2027</v>
      </c>
      <c r="C6698" s="131" t="s">
        <v>252</v>
      </c>
      <c r="D6698" s="132" t="n">
        <v>46663</v>
      </c>
      <c r="E6698" s="131" t="s">
        <v>62</v>
      </c>
      <c r="F6698" s="133" t="s">
        <v>11</v>
      </c>
      <c r="G6698" s="134" t="n">
        <f aca="false">LEN('Saisie programme'!$J$280)+SUMIFS('Vols additionnels'!$E$7:$E$66,'Vols additionnels'!$C$7:$C$66,$E6698,'Vols additionnels'!$D$7:$D$66,$F6698,'Vols additionnels'!$B$7:$B$66,$D6698)</f>
        <v>0</v>
      </c>
      <c r="H6698" s="135" t="n">
        <f aca="false">$G6698*'Analyse capacite'!$F$7</f>
        <v>0</v>
      </c>
      <c r="I6698" s="135" t="n">
        <f aca="false">$G6698*'Analyse capacite'!$C$7</f>
        <v>0</v>
      </c>
      <c r="J6698" s="135" t="n">
        <f aca="false">$G6698*'Analyse capacite'!$D$7</f>
        <v>0</v>
      </c>
      <c r="K6698" s="135" t="n">
        <f aca="false">$G6698*'Analyse capacite'!$E$7</f>
        <v>0</v>
      </c>
    </row>
    <row r="6699" customFormat="false" ht="15" hidden="false" customHeight="false" outlineLevel="0" collapsed="false">
      <c r="B6699" s="130" t="n">
        <v>2027</v>
      </c>
      <c r="C6699" s="131" t="s">
        <v>252</v>
      </c>
      <c r="D6699" s="132" t="n">
        <v>46663</v>
      </c>
      <c r="E6699" s="131" t="s">
        <v>62</v>
      </c>
      <c r="F6699" s="133" t="s">
        <v>19</v>
      </c>
      <c r="G6699" s="134" t="n">
        <f aca="false">LEN('Saisie programme'!$J$281)+SUMIFS('Vols additionnels'!$E$7:$E$66,'Vols additionnels'!$C$7:$C$66,$E6699,'Vols additionnels'!$D$7:$D$66,$F6699,'Vols additionnels'!$B$7:$B$66,$D6699)</f>
        <v>0</v>
      </c>
      <c r="H6699" s="135" t="n">
        <f aca="false">$G6699*'Analyse capacite'!$F$8</f>
        <v>0</v>
      </c>
      <c r="I6699" s="135" t="n">
        <f aca="false">$G6699*'Analyse capacite'!$C$8</f>
        <v>0</v>
      </c>
      <c r="J6699" s="135" t="n">
        <f aca="false">$G6699*'Analyse capacite'!$D$8</f>
        <v>0</v>
      </c>
      <c r="K6699" s="135" t="n">
        <f aca="false">$G6699*'Analyse capacite'!$E$8</f>
        <v>0</v>
      </c>
    </row>
    <row r="6700" customFormat="false" ht="15" hidden="false" customHeight="false" outlineLevel="0" collapsed="false">
      <c r="B6700" s="130" t="n">
        <v>2027</v>
      </c>
      <c r="C6700" s="131" t="s">
        <v>252</v>
      </c>
      <c r="D6700" s="132" t="n">
        <v>46663</v>
      </c>
      <c r="E6700" s="131" t="s">
        <v>62</v>
      </c>
      <c r="F6700" s="133" t="s">
        <v>24</v>
      </c>
      <c r="G6700" s="134" t="n">
        <f aca="false">LEN('Saisie programme'!$J$282)+SUMIFS('Vols additionnels'!$E$7:$E$66,'Vols additionnels'!$C$7:$C$66,$E6700,'Vols additionnels'!$D$7:$D$66,$F6700,'Vols additionnels'!$B$7:$B$66,$D6700)</f>
        <v>1</v>
      </c>
      <c r="H6700" s="135" t="n">
        <f aca="false">$G6700*'Analyse capacite'!$F$9</f>
        <v>174</v>
      </c>
      <c r="I6700" s="135" t="n">
        <f aca="false">$G6700*'Analyse capacite'!$C$9</f>
        <v>0</v>
      </c>
      <c r="J6700" s="135" t="n">
        <f aca="false">$G6700*'Analyse capacite'!$D$9</f>
        <v>12</v>
      </c>
      <c r="K6700" s="135" t="n">
        <f aca="false">$G6700*'Analyse capacite'!$E$9</f>
        <v>162</v>
      </c>
    </row>
    <row r="6701" customFormat="false" ht="15" hidden="false" customHeight="false" outlineLevel="0" collapsed="false">
      <c r="B6701" s="130" t="n">
        <v>2027</v>
      </c>
      <c r="C6701" s="131" t="s">
        <v>252</v>
      </c>
      <c r="D6701" s="132" t="n">
        <v>46664</v>
      </c>
      <c r="E6701" s="131" t="s">
        <v>12</v>
      </c>
      <c r="F6701" s="133" t="s">
        <v>11</v>
      </c>
      <c r="G6701" s="134" t="n">
        <f aca="false">LEN('Saisie programme'!$D$247)+SUMIFS('Vols additionnels'!$E$7:$E$66,'Vols additionnels'!$C$7:$C$66,$E6701,'Vols additionnels'!$D$7:$D$66,$F6701,'Vols additionnels'!$B$7:$B$66,$D6701)</f>
        <v>1</v>
      </c>
      <c r="H6701" s="135" t="n">
        <f aca="false">$G6701*'Analyse capacite'!$F$7</f>
        <v>438</v>
      </c>
      <c r="I6701" s="135" t="n">
        <f aca="false">$G6701*'Analyse capacite'!$C$7</f>
        <v>14</v>
      </c>
      <c r="J6701" s="135" t="n">
        <f aca="false">$G6701*'Analyse capacite'!$D$7</f>
        <v>40</v>
      </c>
      <c r="K6701" s="135" t="n">
        <f aca="false">$G6701*'Analyse capacite'!$E$7</f>
        <v>384</v>
      </c>
    </row>
    <row r="6702" customFormat="false" ht="15" hidden="false" customHeight="false" outlineLevel="0" collapsed="false">
      <c r="B6702" s="130" t="n">
        <v>2027</v>
      </c>
      <c r="C6702" s="131" t="s">
        <v>252</v>
      </c>
      <c r="D6702" s="132" t="n">
        <v>46664</v>
      </c>
      <c r="E6702" s="131" t="s">
        <v>12</v>
      </c>
      <c r="F6702" s="133" t="s">
        <v>19</v>
      </c>
      <c r="G6702" s="134" t="n">
        <f aca="false">LEN('Saisie programme'!$D$248)+SUMIFS('Vols additionnels'!$E$7:$E$66,'Vols additionnels'!$C$7:$C$66,$E6702,'Vols additionnels'!$D$7:$D$66,$F6702,'Vols additionnels'!$B$7:$B$66,$D6702)</f>
        <v>1</v>
      </c>
      <c r="H6702" s="135" t="n">
        <f aca="false">$G6702*'Analyse capacite'!$F$8</f>
        <v>262</v>
      </c>
      <c r="I6702" s="135" t="n">
        <f aca="false">$G6702*'Analyse capacite'!$C$8</f>
        <v>18</v>
      </c>
      <c r="J6702" s="135" t="n">
        <f aca="false">$G6702*'Analyse capacite'!$D$8</f>
        <v>0</v>
      </c>
      <c r="K6702" s="135" t="n">
        <f aca="false">$G6702*'Analyse capacite'!$E$8</f>
        <v>244</v>
      </c>
    </row>
    <row r="6703" customFormat="false" ht="15" hidden="false" customHeight="false" outlineLevel="0" collapsed="false">
      <c r="B6703" s="130" t="n">
        <v>2027</v>
      </c>
      <c r="C6703" s="131" t="s">
        <v>252</v>
      </c>
      <c r="D6703" s="132" t="n">
        <v>46664</v>
      </c>
      <c r="E6703" s="131" t="s">
        <v>12</v>
      </c>
      <c r="F6703" s="133" t="s">
        <v>24</v>
      </c>
      <c r="G6703" s="134" t="n">
        <f aca="false">LEN('Saisie programme'!$D$249)+SUMIFS('Vols additionnels'!$E$7:$E$66,'Vols additionnels'!$C$7:$C$66,$E6703,'Vols additionnels'!$D$7:$D$66,$F6703,'Vols additionnels'!$B$7:$B$66,$D6703)</f>
        <v>2</v>
      </c>
      <c r="H6703" s="135" t="n">
        <f aca="false">$G6703*'Analyse capacite'!$F$9</f>
        <v>348</v>
      </c>
      <c r="I6703" s="135" t="n">
        <f aca="false">$G6703*'Analyse capacite'!$C$9</f>
        <v>0</v>
      </c>
      <c r="J6703" s="135" t="n">
        <f aca="false">$G6703*'Analyse capacite'!$D$9</f>
        <v>24</v>
      </c>
      <c r="K6703" s="135" t="n">
        <f aca="false">$G6703*'Analyse capacite'!$E$9</f>
        <v>324</v>
      </c>
    </row>
    <row r="6704" customFormat="false" ht="15" hidden="false" customHeight="false" outlineLevel="0" collapsed="false">
      <c r="B6704" s="130" t="n">
        <v>2027</v>
      </c>
      <c r="C6704" s="131" t="s">
        <v>252</v>
      </c>
      <c r="D6704" s="132" t="n">
        <v>46664</v>
      </c>
      <c r="E6704" s="131" t="s">
        <v>20</v>
      </c>
      <c r="F6704" s="133" t="s">
        <v>11</v>
      </c>
      <c r="G6704" s="134" t="n">
        <f aca="false">LEN('Saisie programme'!$D$250)+SUMIFS('Vols additionnels'!$E$7:$E$66,'Vols additionnels'!$C$7:$C$66,$E6704,'Vols additionnels'!$D$7:$D$66,$F6704,'Vols additionnels'!$B$7:$B$66,$D6704)</f>
        <v>0</v>
      </c>
      <c r="H6704" s="135" t="n">
        <f aca="false">$G6704*'Analyse capacite'!$F$7</f>
        <v>0</v>
      </c>
      <c r="I6704" s="135" t="n">
        <f aca="false">$G6704*'Analyse capacite'!$C$7</f>
        <v>0</v>
      </c>
      <c r="J6704" s="135" t="n">
        <f aca="false">$G6704*'Analyse capacite'!$D$7</f>
        <v>0</v>
      </c>
      <c r="K6704" s="135" t="n">
        <f aca="false">$G6704*'Analyse capacite'!$E$7</f>
        <v>0</v>
      </c>
    </row>
    <row r="6705" customFormat="false" ht="15" hidden="false" customHeight="false" outlineLevel="0" collapsed="false">
      <c r="B6705" s="130" t="n">
        <v>2027</v>
      </c>
      <c r="C6705" s="131" t="s">
        <v>252</v>
      </c>
      <c r="D6705" s="132" t="n">
        <v>46664</v>
      </c>
      <c r="E6705" s="131" t="s">
        <v>20</v>
      </c>
      <c r="F6705" s="133" t="s">
        <v>19</v>
      </c>
      <c r="G6705" s="134" t="n">
        <f aca="false">LEN('Saisie programme'!$D$251)+SUMIFS('Vols additionnels'!$E$7:$E$66,'Vols additionnels'!$C$7:$C$66,$E6705,'Vols additionnels'!$D$7:$D$66,$F6705,'Vols additionnels'!$B$7:$B$66,$D6705)</f>
        <v>0</v>
      </c>
      <c r="H6705" s="135" t="n">
        <f aca="false">$G6705*'Analyse capacite'!$F$8</f>
        <v>0</v>
      </c>
      <c r="I6705" s="135" t="n">
        <f aca="false">$G6705*'Analyse capacite'!$C$8</f>
        <v>0</v>
      </c>
      <c r="J6705" s="135" t="n">
        <f aca="false">$G6705*'Analyse capacite'!$D$8</f>
        <v>0</v>
      </c>
      <c r="K6705" s="135" t="n">
        <f aca="false">$G6705*'Analyse capacite'!$E$8</f>
        <v>0</v>
      </c>
    </row>
    <row r="6706" customFormat="false" ht="15" hidden="false" customHeight="false" outlineLevel="0" collapsed="false">
      <c r="B6706" s="130" t="n">
        <v>2027</v>
      </c>
      <c r="C6706" s="131" t="s">
        <v>252</v>
      </c>
      <c r="D6706" s="132" t="n">
        <v>46664</v>
      </c>
      <c r="E6706" s="131" t="s">
        <v>20</v>
      </c>
      <c r="F6706" s="133" t="s">
        <v>24</v>
      </c>
      <c r="G6706" s="134" t="n">
        <f aca="false">LEN('Saisie programme'!$D$252)+SUMIFS('Vols additionnels'!$E$7:$E$66,'Vols additionnels'!$C$7:$C$66,$E6706,'Vols additionnels'!$D$7:$D$66,$F6706,'Vols additionnels'!$B$7:$B$66,$D6706)</f>
        <v>0</v>
      </c>
      <c r="H6706" s="135" t="n">
        <f aca="false">$G6706*'Analyse capacite'!$F$9</f>
        <v>0</v>
      </c>
      <c r="I6706" s="135" t="n">
        <f aca="false">$G6706*'Analyse capacite'!$C$9</f>
        <v>0</v>
      </c>
      <c r="J6706" s="135" t="n">
        <f aca="false">$G6706*'Analyse capacite'!$D$9</f>
        <v>0</v>
      </c>
      <c r="K6706" s="135" t="n">
        <f aca="false">$G6706*'Analyse capacite'!$E$9</f>
        <v>0</v>
      </c>
    </row>
    <row r="6707" customFormat="false" ht="15" hidden="false" customHeight="false" outlineLevel="0" collapsed="false">
      <c r="B6707" s="130" t="n">
        <v>2027</v>
      </c>
      <c r="C6707" s="131" t="s">
        <v>252</v>
      </c>
      <c r="D6707" s="132" t="n">
        <v>46664</v>
      </c>
      <c r="E6707" s="131" t="s">
        <v>25</v>
      </c>
      <c r="F6707" s="133" t="s">
        <v>11</v>
      </c>
      <c r="G6707" s="134" t="n">
        <f aca="false">LEN('Saisie programme'!$D$253)+SUMIFS('Vols additionnels'!$E$7:$E$66,'Vols additionnels'!$C$7:$C$66,$E6707,'Vols additionnels'!$D$7:$D$66,$F6707,'Vols additionnels'!$B$7:$B$66,$D6707)</f>
        <v>0</v>
      </c>
      <c r="H6707" s="135" t="n">
        <f aca="false">$G6707*'Analyse capacite'!$F$7</f>
        <v>0</v>
      </c>
      <c r="I6707" s="135" t="n">
        <f aca="false">$G6707*'Analyse capacite'!$C$7</f>
        <v>0</v>
      </c>
      <c r="J6707" s="135" t="n">
        <f aca="false">$G6707*'Analyse capacite'!$D$7</f>
        <v>0</v>
      </c>
      <c r="K6707" s="135" t="n">
        <f aca="false">$G6707*'Analyse capacite'!$E$7</f>
        <v>0</v>
      </c>
    </row>
    <row r="6708" customFormat="false" ht="15" hidden="false" customHeight="false" outlineLevel="0" collapsed="false">
      <c r="B6708" s="130" t="n">
        <v>2027</v>
      </c>
      <c r="C6708" s="131" t="s">
        <v>252</v>
      </c>
      <c r="D6708" s="132" t="n">
        <v>46664</v>
      </c>
      <c r="E6708" s="131" t="s">
        <v>25</v>
      </c>
      <c r="F6708" s="133" t="s">
        <v>19</v>
      </c>
      <c r="G6708" s="134" t="n">
        <f aca="false">LEN('Saisie programme'!$D$254)+SUMIFS('Vols additionnels'!$E$7:$E$66,'Vols additionnels'!$C$7:$C$66,$E6708,'Vols additionnels'!$D$7:$D$66,$F6708,'Vols additionnels'!$B$7:$B$66,$D6708)</f>
        <v>0</v>
      </c>
      <c r="H6708" s="135" t="n">
        <f aca="false">$G6708*'Analyse capacite'!$F$8</f>
        <v>0</v>
      </c>
      <c r="I6708" s="135" t="n">
        <f aca="false">$G6708*'Analyse capacite'!$C$8</f>
        <v>0</v>
      </c>
      <c r="J6708" s="135" t="n">
        <f aca="false">$G6708*'Analyse capacite'!$D$8</f>
        <v>0</v>
      </c>
      <c r="K6708" s="135" t="n">
        <f aca="false">$G6708*'Analyse capacite'!$E$8</f>
        <v>0</v>
      </c>
    </row>
    <row r="6709" customFormat="false" ht="15" hidden="false" customHeight="false" outlineLevel="0" collapsed="false">
      <c r="B6709" s="130" t="n">
        <v>2027</v>
      </c>
      <c r="C6709" s="131" t="s">
        <v>252</v>
      </c>
      <c r="D6709" s="132" t="n">
        <v>46664</v>
      </c>
      <c r="E6709" s="131" t="s">
        <v>25</v>
      </c>
      <c r="F6709" s="133" t="s">
        <v>24</v>
      </c>
      <c r="G6709" s="134" t="n">
        <f aca="false">LEN('Saisie programme'!$D$255)+SUMIFS('Vols additionnels'!$E$7:$E$66,'Vols additionnels'!$C$7:$C$66,$E6709,'Vols additionnels'!$D$7:$D$66,$F6709,'Vols additionnels'!$B$7:$B$66,$D6709)</f>
        <v>0</v>
      </c>
      <c r="H6709" s="135" t="n">
        <f aca="false">$G6709*'Analyse capacite'!$F$9</f>
        <v>0</v>
      </c>
      <c r="I6709" s="135" t="n">
        <f aca="false">$G6709*'Analyse capacite'!$C$9</f>
        <v>0</v>
      </c>
      <c r="J6709" s="135" t="n">
        <f aca="false">$G6709*'Analyse capacite'!$D$9</f>
        <v>0</v>
      </c>
      <c r="K6709" s="135" t="n">
        <f aca="false">$G6709*'Analyse capacite'!$E$9</f>
        <v>0</v>
      </c>
    </row>
    <row r="6710" customFormat="false" ht="15" hidden="false" customHeight="false" outlineLevel="0" collapsed="false">
      <c r="B6710" s="130" t="n">
        <v>2027</v>
      </c>
      <c r="C6710" s="131" t="s">
        <v>252</v>
      </c>
      <c r="D6710" s="132" t="n">
        <v>46664</v>
      </c>
      <c r="E6710" s="131" t="s">
        <v>36</v>
      </c>
      <c r="F6710" s="133" t="s">
        <v>11</v>
      </c>
      <c r="G6710" s="134" t="n">
        <f aca="false">LEN('Saisie programme'!$D$256)+SUMIFS('Vols additionnels'!$E$7:$E$66,'Vols additionnels'!$C$7:$C$66,$E6710,'Vols additionnels'!$D$7:$D$66,$F6710,'Vols additionnels'!$B$7:$B$66,$D6710)</f>
        <v>0</v>
      </c>
      <c r="H6710" s="135" t="n">
        <f aca="false">$G6710*'Analyse capacite'!$F$7</f>
        <v>0</v>
      </c>
      <c r="I6710" s="135" t="n">
        <f aca="false">$G6710*'Analyse capacite'!$C$7</f>
        <v>0</v>
      </c>
      <c r="J6710" s="135" t="n">
        <f aca="false">$G6710*'Analyse capacite'!$D$7</f>
        <v>0</v>
      </c>
      <c r="K6710" s="135" t="n">
        <f aca="false">$G6710*'Analyse capacite'!$E$7</f>
        <v>0</v>
      </c>
    </row>
    <row r="6711" customFormat="false" ht="15" hidden="false" customHeight="false" outlineLevel="0" collapsed="false">
      <c r="B6711" s="130" t="n">
        <v>2027</v>
      </c>
      <c r="C6711" s="131" t="s">
        <v>252</v>
      </c>
      <c r="D6711" s="132" t="n">
        <v>46664</v>
      </c>
      <c r="E6711" s="131" t="s">
        <v>36</v>
      </c>
      <c r="F6711" s="133" t="s">
        <v>19</v>
      </c>
      <c r="G6711" s="134" t="n">
        <f aca="false">LEN('Saisie programme'!$D$257)+SUMIFS('Vols additionnels'!$E$7:$E$66,'Vols additionnels'!$C$7:$C$66,$E6711,'Vols additionnels'!$D$7:$D$66,$F6711,'Vols additionnels'!$B$7:$B$66,$D6711)</f>
        <v>0</v>
      </c>
      <c r="H6711" s="135" t="n">
        <f aca="false">$G6711*'Analyse capacite'!$F$8</f>
        <v>0</v>
      </c>
      <c r="I6711" s="135" t="n">
        <f aca="false">$G6711*'Analyse capacite'!$C$8</f>
        <v>0</v>
      </c>
      <c r="J6711" s="135" t="n">
        <f aca="false">$G6711*'Analyse capacite'!$D$8</f>
        <v>0</v>
      </c>
      <c r="K6711" s="135" t="n">
        <f aca="false">$G6711*'Analyse capacite'!$E$8</f>
        <v>0</v>
      </c>
    </row>
    <row r="6712" customFormat="false" ht="15" hidden="false" customHeight="false" outlineLevel="0" collapsed="false">
      <c r="B6712" s="130" t="n">
        <v>2027</v>
      </c>
      <c r="C6712" s="131" t="s">
        <v>252</v>
      </c>
      <c r="D6712" s="132" t="n">
        <v>46664</v>
      </c>
      <c r="E6712" s="131" t="s">
        <v>36</v>
      </c>
      <c r="F6712" s="133" t="s">
        <v>24</v>
      </c>
      <c r="G6712" s="134" t="n">
        <f aca="false">LEN('Saisie programme'!$D$258)+SUMIFS('Vols additionnels'!$E$7:$E$66,'Vols additionnels'!$C$7:$C$66,$E6712,'Vols additionnels'!$D$7:$D$66,$F6712,'Vols additionnels'!$B$7:$B$66,$D6712)</f>
        <v>1</v>
      </c>
      <c r="H6712" s="135" t="n">
        <f aca="false">$G6712*'Analyse capacite'!$F$9</f>
        <v>174</v>
      </c>
      <c r="I6712" s="135" t="n">
        <f aca="false">$G6712*'Analyse capacite'!$C$9</f>
        <v>0</v>
      </c>
      <c r="J6712" s="135" t="n">
        <f aca="false">$G6712*'Analyse capacite'!$D$9</f>
        <v>12</v>
      </c>
      <c r="K6712" s="135" t="n">
        <f aca="false">$G6712*'Analyse capacite'!$E$9</f>
        <v>162</v>
      </c>
    </row>
    <row r="6713" customFormat="false" ht="15" hidden="false" customHeight="false" outlineLevel="0" collapsed="false">
      <c r="B6713" s="130" t="n">
        <v>2027</v>
      </c>
      <c r="C6713" s="131" t="s">
        <v>252</v>
      </c>
      <c r="D6713" s="132" t="n">
        <v>46664</v>
      </c>
      <c r="E6713" s="131" t="s">
        <v>40</v>
      </c>
      <c r="F6713" s="133" t="s">
        <v>11</v>
      </c>
      <c r="G6713" s="134" t="n">
        <f aca="false">LEN('Saisie programme'!$D$259)+SUMIFS('Vols additionnels'!$E$7:$E$66,'Vols additionnels'!$C$7:$C$66,$E6713,'Vols additionnels'!$D$7:$D$66,$F6713,'Vols additionnels'!$B$7:$B$66,$D6713)</f>
        <v>0</v>
      </c>
      <c r="H6713" s="135" t="n">
        <f aca="false">$G6713*'Analyse capacite'!$F$7</f>
        <v>0</v>
      </c>
      <c r="I6713" s="135" t="n">
        <f aca="false">$G6713*'Analyse capacite'!$C$7</f>
        <v>0</v>
      </c>
      <c r="J6713" s="135" t="n">
        <f aca="false">$G6713*'Analyse capacite'!$D$7</f>
        <v>0</v>
      </c>
      <c r="K6713" s="135" t="n">
        <f aca="false">$G6713*'Analyse capacite'!$E$7</f>
        <v>0</v>
      </c>
    </row>
    <row r="6714" customFormat="false" ht="15" hidden="false" customHeight="false" outlineLevel="0" collapsed="false">
      <c r="B6714" s="130" t="n">
        <v>2027</v>
      </c>
      <c r="C6714" s="131" t="s">
        <v>252</v>
      </c>
      <c r="D6714" s="132" t="n">
        <v>46664</v>
      </c>
      <c r="E6714" s="131" t="s">
        <v>40</v>
      </c>
      <c r="F6714" s="133" t="s">
        <v>19</v>
      </c>
      <c r="G6714" s="134" t="n">
        <f aca="false">LEN('Saisie programme'!$D$260)+SUMIFS('Vols additionnels'!$E$7:$E$66,'Vols additionnels'!$C$7:$C$66,$E6714,'Vols additionnels'!$D$7:$D$66,$F6714,'Vols additionnels'!$B$7:$B$66,$D6714)</f>
        <v>0</v>
      </c>
      <c r="H6714" s="135" t="n">
        <f aca="false">$G6714*'Analyse capacite'!$F$8</f>
        <v>0</v>
      </c>
      <c r="I6714" s="135" t="n">
        <f aca="false">$G6714*'Analyse capacite'!$C$8</f>
        <v>0</v>
      </c>
      <c r="J6714" s="135" t="n">
        <f aca="false">$G6714*'Analyse capacite'!$D$8</f>
        <v>0</v>
      </c>
      <c r="K6714" s="135" t="n">
        <f aca="false">$G6714*'Analyse capacite'!$E$8</f>
        <v>0</v>
      </c>
    </row>
    <row r="6715" customFormat="false" ht="15" hidden="false" customHeight="false" outlineLevel="0" collapsed="false">
      <c r="B6715" s="130" t="n">
        <v>2027</v>
      </c>
      <c r="C6715" s="131" t="s">
        <v>252</v>
      </c>
      <c r="D6715" s="132" t="n">
        <v>46664</v>
      </c>
      <c r="E6715" s="131" t="s">
        <v>40</v>
      </c>
      <c r="F6715" s="133" t="s">
        <v>24</v>
      </c>
      <c r="G6715" s="134" t="n">
        <f aca="false">LEN('Saisie programme'!$D$261)+SUMIFS('Vols additionnels'!$E$7:$E$66,'Vols additionnels'!$C$7:$C$66,$E6715,'Vols additionnels'!$D$7:$D$66,$F6715,'Vols additionnels'!$B$7:$B$66,$D6715)</f>
        <v>1</v>
      </c>
      <c r="H6715" s="135" t="n">
        <f aca="false">$G6715*'Analyse capacite'!$F$9</f>
        <v>174</v>
      </c>
      <c r="I6715" s="135" t="n">
        <f aca="false">$G6715*'Analyse capacite'!$C$9</f>
        <v>0</v>
      </c>
      <c r="J6715" s="135" t="n">
        <f aca="false">$G6715*'Analyse capacite'!$D$9</f>
        <v>12</v>
      </c>
      <c r="K6715" s="135" t="n">
        <f aca="false">$G6715*'Analyse capacite'!$E$9</f>
        <v>162</v>
      </c>
    </row>
    <row r="6716" customFormat="false" ht="15" hidden="false" customHeight="false" outlineLevel="0" collapsed="false">
      <c r="B6716" s="130" t="n">
        <v>2027</v>
      </c>
      <c r="C6716" s="131" t="s">
        <v>252</v>
      </c>
      <c r="D6716" s="132" t="n">
        <v>46664</v>
      </c>
      <c r="E6716" s="131" t="s">
        <v>14</v>
      </c>
      <c r="F6716" s="133" t="s">
        <v>11</v>
      </c>
      <c r="G6716" s="134" t="n">
        <f aca="false">LEN('Saisie programme'!$D$262)+SUMIFS('Vols additionnels'!$E$7:$E$66,'Vols additionnels'!$C$7:$C$66,$E6716,'Vols additionnels'!$D$7:$D$66,$F6716,'Vols additionnels'!$B$7:$B$66,$D6716)</f>
        <v>0</v>
      </c>
      <c r="H6716" s="135" t="n">
        <f aca="false">$G6716*'Analyse capacite'!$F$7</f>
        <v>0</v>
      </c>
      <c r="I6716" s="135" t="n">
        <f aca="false">$G6716*'Analyse capacite'!$C$7</f>
        <v>0</v>
      </c>
      <c r="J6716" s="135" t="n">
        <f aca="false">$G6716*'Analyse capacite'!$D$7</f>
        <v>0</v>
      </c>
      <c r="K6716" s="135" t="n">
        <f aca="false">$G6716*'Analyse capacite'!$E$7</f>
        <v>0</v>
      </c>
    </row>
    <row r="6717" customFormat="false" ht="15" hidden="false" customHeight="false" outlineLevel="0" collapsed="false">
      <c r="B6717" s="130" t="n">
        <v>2027</v>
      </c>
      <c r="C6717" s="131" t="s">
        <v>252</v>
      </c>
      <c r="D6717" s="132" t="n">
        <v>46664</v>
      </c>
      <c r="E6717" s="131" t="s">
        <v>14</v>
      </c>
      <c r="F6717" s="133" t="s">
        <v>19</v>
      </c>
      <c r="G6717" s="134" t="n">
        <f aca="false">LEN('Saisie programme'!$D$263)+SUMIFS('Vols additionnels'!$E$7:$E$66,'Vols additionnels'!$C$7:$C$66,$E6717,'Vols additionnels'!$D$7:$D$66,$F6717,'Vols additionnels'!$B$7:$B$66,$D6717)</f>
        <v>0</v>
      </c>
      <c r="H6717" s="135" t="n">
        <f aca="false">$G6717*'Analyse capacite'!$F$8</f>
        <v>0</v>
      </c>
      <c r="I6717" s="135" t="n">
        <f aca="false">$G6717*'Analyse capacite'!$C$8</f>
        <v>0</v>
      </c>
      <c r="J6717" s="135" t="n">
        <f aca="false">$G6717*'Analyse capacite'!$D$8</f>
        <v>0</v>
      </c>
      <c r="K6717" s="135" t="n">
        <f aca="false">$G6717*'Analyse capacite'!$E$8</f>
        <v>0</v>
      </c>
    </row>
    <row r="6718" customFormat="false" ht="15" hidden="false" customHeight="false" outlineLevel="0" collapsed="false">
      <c r="B6718" s="130" t="n">
        <v>2027</v>
      </c>
      <c r="C6718" s="131" t="s">
        <v>252</v>
      </c>
      <c r="D6718" s="132" t="n">
        <v>46664</v>
      </c>
      <c r="E6718" s="131" t="s">
        <v>14</v>
      </c>
      <c r="F6718" s="133" t="s">
        <v>24</v>
      </c>
      <c r="G6718" s="134" t="n">
        <f aca="false">LEN('Saisie programme'!$D$264)+SUMIFS('Vols additionnels'!$E$7:$E$66,'Vols additionnels'!$C$7:$C$66,$E6718,'Vols additionnels'!$D$7:$D$66,$F6718,'Vols additionnels'!$B$7:$B$66,$D6718)</f>
        <v>1</v>
      </c>
      <c r="H6718" s="135" t="n">
        <f aca="false">$G6718*'Analyse capacite'!$F$9</f>
        <v>174</v>
      </c>
      <c r="I6718" s="135" t="n">
        <f aca="false">$G6718*'Analyse capacite'!$C$9</f>
        <v>0</v>
      </c>
      <c r="J6718" s="135" t="n">
        <f aca="false">$G6718*'Analyse capacite'!$D$9</f>
        <v>12</v>
      </c>
      <c r="K6718" s="135" t="n">
        <f aca="false">$G6718*'Analyse capacite'!$E$9</f>
        <v>162</v>
      </c>
    </row>
    <row r="6719" customFormat="false" ht="15" hidden="false" customHeight="false" outlineLevel="0" collapsed="false">
      <c r="B6719" s="130" t="n">
        <v>2027</v>
      </c>
      <c r="C6719" s="131" t="s">
        <v>252</v>
      </c>
      <c r="D6719" s="132" t="n">
        <v>46664</v>
      </c>
      <c r="E6719" s="131" t="s">
        <v>46</v>
      </c>
      <c r="F6719" s="133" t="s">
        <v>11</v>
      </c>
      <c r="G6719" s="134" t="n">
        <f aca="false">LEN('Saisie programme'!$D$265)+SUMIFS('Vols additionnels'!$E$7:$E$66,'Vols additionnels'!$C$7:$C$66,$E6719,'Vols additionnels'!$D$7:$D$66,$F6719,'Vols additionnels'!$B$7:$B$66,$D6719)</f>
        <v>0</v>
      </c>
      <c r="H6719" s="135" t="n">
        <f aca="false">$G6719*'Analyse capacite'!$F$7</f>
        <v>0</v>
      </c>
      <c r="I6719" s="135" t="n">
        <f aca="false">$G6719*'Analyse capacite'!$C$7</f>
        <v>0</v>
      </c>
      <c r="J6719" s="135" t="n">
        <f aca="false">$G6719*'Analyse capacite'!$D$7</f>
        <v>0</v>
      </c>
      <c r="K6719" s="135" t="n">
        <f aca="false">$G6719*'Analyse capacite'!$E$7</f>
        <v>0</v>
      </c>
    </row>
    <row r="6720" customFormat="false" ht="15" hidden="false" customHeight="false" outlineLevel="0" collapsed="false">
      <c r="B6720" s="130" t="n">
        <v>2027</v>
      </c>
      <c r="C6720" s="131" t="s">
        <v>252</v>
      </c>
      <c r="D6720" s="132" t="n">
        <v>46664</v>
      </c>
      <c r="E6720" s="131" t="s">
        <v>46</v>
      </c>
      <c r="F6720" s="133" t="s">
        <v>19</v>
      </c>
      <c r="G6720" s="134" t="n">
        <f aca="false">LEN('Saisie programme'!$D$266)+SUMIFS('Vols additionnels'!$E$7:$E$66,'Vols additionnels'!$C$7:$C$66,$E6720,'Vols additionnels'!$D$7:$D$66,$F6720,'Vols additionnels'!$B$7:$B$66,$D6720)</f>
        <v>0</v>
      </c>
      <c r="H6720" s="135" t="n">
        <f aca="false">$G6720*'Analyse capacite'!$F$8</f>
        <v>0</v>
      </c>
      <c r="I6720" s="135" t="n">
        <f aca="false">$G6720*'Analyse capacite'!$C$8</f>
        <v>0</v>
      </c>
      <c r="J6720" s="135" t="n">
        <f aca="false">$G6720*'Analyse capacite'!$D$8</f>
        <v>0</v>
      </c>
      <c r="K6720" s="135" t="n">
        <f aca="false">$G6720*'Analyse capacite'!$E$8</f>
        <v>0</v>
      </c>
    </row>
    <row r="6721" customFormat="false" ht="15" hidden="false" customHeight="false" outlineLevel="0" collapsed="false">
      <c r="B6721" s="130" t="n">
        <v>2027</v>
      </c>
      <c r="C6721" s="131" t="s">
        <v>252</v>
      </c>
      <c r="D6721" s="132" t="n">
        <v>46664</v>
      </c>
      <c r="E6721" s="131" t="s">
        <v>46</v>
      </c>
      <c r="F6721" s="133" t="s">
        <v>24</v>
      </c>
      <c r="G6721" s="134" t="n">
        <f aca="false">LEN('Saisie programme'!$D$267)+SUMIFS('Vols additionnels'!$E$7:$E$66,'Vols additionnels'!$C$7:$C$66,$E6721,'Vols additionnels'!$D$7:$D$66,$F6721,'Vols additionnels'!$B$7:$B$66,$D6721)</f>
        <v>0</v>
      </c>
      <c r="H6721" s="135" t="n">
        <f aca="false">$G6721*'Analyse capacite'!$F$9</f>
        <v>0</v>
      </c>
      <c r="I6721" s="135" t="n">
        <f aca="false">$G6721*'Analyse capacite'!$C$9</f>
        <v>0</v>
      </c>
      <c r="J6721" s="135" t="n">
        <f aca="false">$G6721*'Analyse capacite'!$D$9</f>
        <v>0</v>
      </c>
      <c r="K6721" s="135" t="n">
        <f aca="false">$G6721*'Analyse capacite'!$E$9</f>
        <v>0</v>
      </c>
    </row>
    <row r="6722" customFormat="false" ht="15" hidden="false" customHeight="false" outlineLevel="0" collapsed="false">
      <c r="B6722" s="130" t="n">
        <v>2027</v>
      </c>
      <c r="C6722" s="131" t="s">
        <v>252</v>
      </c>
      <c r="D6722" s="132" t="n">
        <v>46664</v>
      </c>
      <c r="E6722" s="131" t="s">
        <v>49</v>
      </c>
      <c r="F6722" s="133" t="s">
        <v>11</v>
      </c>
      <c r="G6722" s="134" t="n">
        <f aca="false">LEN('Saisie programme'!$D$268)+SUMIFS('Vols additionnels'!$E$7:$E$66,'Vols additionnels'!$C$7:$C$66,$E6722,'Vols additionnels'!$D$7:$D$66,$F6722,'Vols additionnels'!$B$7:$B$66,$D6722)</f>
        <v>0</v>
      </c>
      <c r="H6722" s="135" t="n">
        <f aca="false">$G6722*'Analyse capacite'!$F$7</f>
        <v>0</v>
      </c>
      <c r="I6722" s="135" t="n">
        <f aca="false">$G6722*'Analyse capacite'!$C$7</f>
        <v>0</v>
      </c>
      <c r="J6722" s="135" t="n">
        <f aca="false">$G6722*'Analyse capacite'!$D$7</f>
        <v>0</v>
      </c>
      <c r="K6722" s="135" t="n">
        <f aca="false">$G6722*'Analyse capacite'!$E$7</f>
        <v>0</v>
      </c>
    </row>
    <row r="6723" customFormat="false" ht="15" hidden="false" customHeight="false" outlineLevel="0" collapsed="false">
      <c r="B6723" s="130" t="n">
        <v>2027</v>
      </c>
      <c r="C6723" s="131" t="s">
        <v>252</v>
      </c>
      <c r="D6723" s="132" t="n">
        <v>46664</v>
      </c>
      <c r="E6723" s="131" t="s">
        <v>49</v>
      </c>
      <c r="F6723" s="133" t="s">
        <v>19</v>
      </c>
      <c r="G6723" s="134" t="n">
        <f aca="false">LEN('Saisie programme'!$D$269)+SUMIFS('Vols additionnels'!$E$7:$E$66,'Vols additionnels'!$C$7:$C$66,$E6723,'Vols additionnels'!$D$7:$D$66,$F6723,'Vols additionnels'!$B$7:$B$66,$D6723)</f>
        <v>1</v>
      </c>
      <c r="H6723" s="135" t="n">
        <f aca="false">$G6723*'Analyse capacite'!$F$8</f>
        <v>262</v>
      </c>
      <c r="I6723" s="135" t="n">
        <f aca="false">$G6723*'Analyse capacite'!$C$8</f>
        <v>18</v>
      </c>
      <c r="J6723" s="135" t="n">
        <f aca="false">$G6723*'Analyse capacite'!$D$8</f>
        <v>0</v>
      </c>
      <c r="K6723" s="135" t="n">
        <f aca="false">$G6723*'Analyse capacite'!$E$8</f>
        <v>244</v>
      </c>
    </row>
    <row r="6724" customFormat="false" ht="15" hidden="false" customHeight="false" outlineLevel="0" collapsed="false">
      <c r="B6724" s="130" t="n">
        <v>2027</v>
      </c>
      <c r="C6724" s="131" t="s">
        <v>252</v>
      </c>
      <c r="D6724" s="132" t="n">
        <v>46664</v>
      </c>
      <c r="E6724" s="131" t="s">
        <v>49</v>
      </c>
      <c r="F6724" s="133" t="s">
        <v>24</v>
      </c>
      <c r="G6724" s="134" t="n">
        <f aca="false">LEN('Saisie programme'!$D$270)+SUMIFS('Vols additionnels'!$E$7:$E$66,'Vols additionnels'!$C$7:$C$66,$E6724,'Vols additionnels'!$D$7:$D$66,$F6724,'Vols additionnels'!$B$7:$B$66,$D6724)</f>
        <v>0</v>
      </c>
      <c r="H6724" s="135" t="n">
        <f aca="false">$G6724*'Analyse capacite'!$F$9</f>
        <v>0</v>
      </c>
      <c r="I6724" s="135" t="n">
        <f aca="false">$G6724*'Analyse capacite'!$C$9</f>
        <v>0</v>
      </c>
      <c r="J6724" s="135" t="n">
        <f aca="false">$G6724*'Analyse capacite'!$D$9</f>
        <v>0</v>
      </c>
      <c r="K6724" s="135" t="n">
        <f aca="false">$G6724*'Analyse capacite'!$E$9</f>
        <v>0</v>
      </c>
    </row>
    <row r="6725" customFormat="false" ht="15" hidden="false" customHeight="false" outlineLevel="0" collapsed="false">
      <c r="B6725" s="130" t="n">
        <v>2027</v>
      </c>
      <c r="C6725" s="131" t="s">
        <v>252</v>
      </c>
      <c r="D6725" s="132" t="n">
        <v>46664</v>
      </c>
      <c r="E6725" s="131" t="s">
        <v>53</v>
      </c>
      <c r="F6725" s="133" t="s">
        <v>11</v>
      </c>
      <c r="G6725" s="134" t="n">
        <f aca="false">LEN('Saisie programme'!$D$271)+SUMIFS('Vols additionnels'!$E$7:$E$66,'Vols additionnels'!$C$7:$C$66,$E6725,'Vols additionnels'!$D$7:$D$66,$F6725,'Vols additionnels'!$B$7:$B$66,$D6725)</f>
        <v>0</v>
      </c>
      <c r="H6725" s="135" t="n">
        <f aca="false">$G6725*'Analyse capacite'!$F$7</f>
        <v>0</v>
      </c>
      <c r="I6725" s="135" t="n">
        <f aca="false">$G6725*'Analyse capacite'!$C$7</f>
        <v>0</v>
      </c>
      <c r="J6725" s="135" t="n">
        <f aca="false">$G6725*'Analyse capacite'!$D$7</f>
        <v>0</v>
      </c>
      <c r="K6725" s="135" t="n">
        <f aca="false">$G6725*'Analyse capacite'!$E$7</f>
        <v>0</v>
      </c>
    </row>
    <row r="6726" customFormat="false" ht="15" hidden="false" customHeight="false" outlineLevel="0" collapsed="false">
      <c r="B6726" s="130" t="n">
        <v>2027</v>
      </c>
      <c r="C6726" s="131" t="s">
        <v>252</v>
      </c>
      <c r="D6726" s="132" t="n">
        <v>46664</v>
      </c>
      <c r="E6726" s="131" t="s">
        <v>53</v>
      </c>
      <c r="F6726" s="133" t="s">
        <v>19</v>
      </c>
      <c r="G6726" s="134" t="n">
        <f aca="false">LEN('Saisie programme'!$D$272)+SUMIFS('Vols additionnels'!$E$7:$E$66,'Vols additionnels'!$C$7:$C$66,$E6726,'Vols additionnels'!$D$7:$D$66,$F6726,'Vols additionnels'!$B$7:$B$66,$D6726)</f>
        <v>0</v>
      </c>
      <c r="H6726" s="135" t="n">
        <f aca="false">$G6726*'Analyse capacite'!$F$8</f>
        <v>0</v>
      </c>
      <c r="I6726" s="135" t="n">
        <f aca="false">$G6726*'Analyse capacite'!$C$8</f>
        <v>0</v>
      </c>
      <c r="J6726" s="135" t="n">
        <f aca="false">$G6726*'Analyse capacite'!$D$8</f>
        <v>0</v>
      </c>
      <c r="K6726" s="135" t="n">
        <f aca="false">$G6726*'Analyse capacite'!$E$8</f>
        <v>0</v>
      </c>
    </row>
    <row r="6727" customFormat="false" ht="15" hidden="false" customHeight="false" outlineLevel="0" collapsed="false">
      <c r="B6727" s="130" t="n">
        <v>2027</v>
      </c>
      <c r="C6727" s="131" t="s">
        <v>252</v>
      </c>
      <c r="D6727" s="132" t="n">
        <v>46664</v>
      </c>
      <c r="E6727" s="131" t="s">
        <v>53</v>
      </c>
      <c r="F6727" s="133" t="s">
        <v>24</v>
      </c>
      <c r="G6727" s="134" t="n">
        <f aca="false">LEN('Saisie programme'!$D$273)+SUMIFS('Vols additionnels'!$E$7:$E$66,'Vols additionnels'!$C$7:$C$66,$E6727,'Vols additionnels'!$D$7:$D$66,$F6727,'Vols additionnels'!$B$7:$B$66,$D6727)</f>
        <v>0</v>
      </c>
      <c r="H6727" s="135" t="n">
        <f aca="false">$G6727*'Analyse capacite'!$F$9</f>
        <v>0</v>
      </c>
      <c r="I6727" s="135" t="n">
        <f aca="false">$G6727*'Analyse capacite'!$C$9</f>
        <v>0</v>
      </c>
      <c r="J6727" s="135" t="n">
        <f aca="false">$G6727*'Analyse capacite'!$D$9</f>
        <v>0</v>
      </c>
      <c r="K6727" s="135" t="n">
        <f aca="false">$G6727*'Analyse capacite'!$E$9</f>
        <v>0</v>
      </c>
    </row>
    <row r="6728" customFormat="false" ht="15" hidden="false" customHeight="false" outlineLevel="0" collapsed="false">
      <c r="B6728" s="130" t="n">
        <v>2027</v>
      </c>
      <c r="C6728" s="131" t="s">
        <v>252</v>
      </c>
      <c r="D6728" s="132" t="n">
        <v>46664</v>
      </c>
      <c r="E6728" s="131" t="s">
        <v>56</v>
      </c>
      <c r="F6728" s="133" t="s">
        <v>11</v>
      </c>
      <c r="G6728" s="134" t="n">
        <f aca="false">LEN('Saisie programme'!$D$274)+SUMIFS('Vols additionnels'!$E$7:$E$66,'Vols additionnels'!$C$7:$C$66,$E6728,'Vols additionnels'!$D$7:$D$66,$F6728,'Vols additionnels'!$B$7:$B$66,$D6728)</f>
        <v>0</v>
      </c>
      <c r="H6728" s="135" t="n">
        <f aca="false">$G6728*'Analyse capacite'!$F$7</f>
        <v>0</v>
      </c>
      <c r="I6728" s="135" t="n">
        <f aca="false">$G6728*'Analyse capacite'!$C$7</f>
        <v>0</v>
      </c>
      <c r="J6728" s="135" t="n">
        <f aca="false">$G6728*'Analyse capacite'!$D$7</f>
        <v>0</v>
      </c>
      <c r="K6728" s="135" t="n">
        <f aca="false">$G6728*'Analyse capacite'!$E$7</f>
        <v>0</v>
      </c>
    </row>
    <row r="6729" customFormat="false" ht="15" hidden="false" customHeight="false" outlineLevel="0" collapsed="false">
      <c r="B6729" s="130" t="n">
        <v>2027</v>
      </c>
      <c r="C6729" s="131" t="s">
        <v>252</v>
      </c>
      <c r="D6729" s="132" t="n">
        <v>46664</v>
      </c>
      <c r="E6729" s="131" t="s">
        <v>56</v>
      </c>
      <c r="F6729" s="133" t="s">
        <v>19</v>
      </c>
      <c r="G6729" s="134" t="n">
        <f aca="false">LEN('Saisie programme'!$D$275)+SUMIFS('Vols additionnels'!$E$7:$E$66,'Vols additionnels'!$C$7:$C$66,$E6729,'Vols additionnels'!$D$7:$D$66,$F6729,'Vols additionnels'!$B$7:$B$66,$D6729)</f>
        <v>0</v>
      </c>
      <c r="H6729" s="135" t="n">
        <f aca="false">$G6729*'Analyse capacite'!$F$8</f>
        <v>0</v>
      </c>
      <c r="I6729" s="135" t="n">
        <f aca="false">$G6729*'Analyse capacite'!$C$8</f>
        <v>0</v>
      </c>
      <c r="J6729" s="135" t="n">
        <f aca="false">$G6729*'Analyse capacite'!$D$8</f>
        <v>0</v>
      </c>
      <c r="K6729" s="135" t="n">
        <f aca="false">$G6729*'Analyse capacite'!$E$8</f>
        <v>0</v>
      </c>
    </row>
    <row r="6730" customFormat="false" ht="15" hidden="false" customHeight="false" outlineLevel="0" collapsed="false">
      <c r="B6730" s="130" t="n">
        <v>2027</v>
      </c>
      <c r="C6730" s="131" t="s">
        <v>252</v>
      </c>
      <c r="D6730" s="132" t="n">
        <v>46664</v>
      </c>
      <c r="E6730" s="131" t="s">
        <v>56</v>
      </c>
      <c r="F6730" s="133" t="s">
        <v>24</v>
      </c>
      <c r="G6730" s="134" t="n">
        <f aca="false">LEN('Saisie programme'!$D$276)+SUMIFS('Vols additionnels'!$E$7:$E$66,'Vols additionnels'!$C$7:$C$66,$E6730,'Vols additionnels'!$D$7:$D$66,$F6730,'Vols additionnels'!$B$7:$B$66,$D6730)</f>
        <v>0</v>
      </c>
      <c r="H6730" s="135" t="n">
        <f aca="false">$G6730*'Analyse capacite'!$F$9</f>
        <v>0</v>
      </c>
      <c r="I6730" s="135" t="n">
        <f aca="false">$G6730*'Analyse capacite'!$C$9</f>
        <v>0</v>
      </c>
      <c r="J6730" s="135" t="n">
        <f aca="false">$G6730*'Analyse capacite'!$D$9</f>
        <v>0</v>
      </c>
      <c r="K6730" s="135" t="n">
        <f aca="false">$G6730*'Analyse capacite'!$E$9</f>
        <v>0</v>
      </c>
    </row>
    <row r="6731" customFormat="false" ht="15" hidden="false" customHeight="false" outlineLevel="0" collapsed="false">
      <c r="B6731" s="130" t="n">
        <v>2027</v>
      </c>
      <c r="C6731" s="131" t="s">
        <v>252</v>
      </c>
      <c r="D6731" s="132" t="n">
        <v>46664</v>
      </c>
      <c r="E6731" s="131" t="s">
        <v>59</v>
      </c>
      <c r="F6731" s="133" t="s">
        <v>11</v>
      </c>
      <c r="G6731" s="134" t="n">
        <f aca="false">LEN('Saisie programme'!$D$277)+SUMIFS('Vols additionnels'!$E$7:$E$66,'Vols additionnels'!$C$7:$C$66,$E6731,'Vols additionnels'!$D$7:$D$66,$F6731,'Vols additionnels'!$B$7:$B$66,$D6731)</f>
        <v>0</v>
      </c>
      <c r="H6731" s="135" t="n">
        <f aca="false">$G6731*'Analyse capacite'!$F$7</f>
        <v>0</v>
      </c>
      <c r="I6731" s="135" t="n">
        <f aca="false">$G6731*'Analyse capacite'!$C$7</f>
        <v>0</v>
      </c>
      <c r="J6731" s="135" t="n">
        <f aca="false">$G6731*'Analyse capacite'!$D$7</f>
        <v>0</v>
      </c>
      <c r="K6731" s="135" t="n">
        <f aca="false">$G6731*'Analyse capacite'!$E$7</f>
        <v>0</v>
      </c>
    </row>
    <row r="6732" customFormat="false" ht="15" hidden="false" customHeight="false" outlineLevel="0" collapsed="false">
      <c r="B6732" s="130" t="n">
        <v>2027</v>
      </c>
      <c r="C6732" s="131" t="s">
        <v>252</v>
      </c>
      <c r="D6732" s="132" t="n">
        <v>46664</v>
      </c>
      <c r="E6732" s="131" t="s">
        <v>59</v>
      </c>
      <c r="F6732" s="133" t="s">
        <v>19</v>
      </c>
      <c r="G6732" s="134" t="n">
        <f aca="false">LEN('Saisie programme'!$D$278)+SUMIFS('Vols additionnels'!$E$7:$E$66,'Vols additionnels'!$C$7:$C$66,$E6732,'Vols additionnels'!$D$7:$D$66,$F6732,'Vols additionnels'!$B$7:$B$66,$D6732)</f>
        <v>0</v>
      </c>
      <c r="H6732" s="135" t="n">
        <f aca="false">$G6732*'Analyse capacite'!$F$8</f>
        <v>0</v>
      </c>
      <c r="I6732" s="135" t="n">
        <f aca="false">$G6732*'Analyse capacite'!$C$8</f>
        <v>0</v>
      </c>
      <c r="J6732" s="135" t="n">
        <f aca="false">$G6732*'Analyse capacite'!$D$8</f>
        <v>0</v>
      </c>
      <c r="K6732" s="135" t="n">
        <f aca="false">$G6732*'Analyse capacite'!$E$8</f>
        <v>0</v>
      </c>
    </row>
    <row r="6733" customFormat="false" ht="15" hidden="false" customHeight="false" outlineLevel="0" collapsed="false">
      <c r="B6733" s="130" t="n">
        <v>2027</v>
      </c>
      <c r="C6733" s="131" t="s">
        <v>252</v>
      </c>
      <c r="D6733" s="132" t="n">
        <v>46664</v>
      </c>
      <c r="E6733" s="131" t="s">
        <v>59</v>
      </c>
      <c r="F6733" s="133" t="s">
        <v>24</v>
      </c>
      <c r="G6733" s="134" t="n">
        <f aca="false">LEN('Saisie programme'!$D$279)+SUMIFS('Vols additionnels'!$E$7:$E$66,'Vols additionnels'!$C$7:$C$66,$E6733,'Vols additionnels'!$D$7:$D$66,$F6733,'Vols additionnels'!$B$7:$B$66,$D6733)</f>
        <v>1</v>
      </c>
      <c r="H6733" s="135" t="n">
        <f aca="false">$G6733*'Analyse capacite'!$F$9</f>
        <v>174</v>
      </c>
      <c r="I6733" s="135" t="n">
        <f aca="false">$G6733*'Analyse capacite'!$C$9</f>
        <v>0</v>
      </c>
      <c r="J6733" s="135" t="n">
        <f aca="false">$G6733*'Analyse capacite'!$D$9</f>
        <v>12</v>
      </c>
      <c r="K6733" s="135" t="n">
        <f aca="false">$G6733*'Analyse capacite'!$E$9</f>
        <v>162</v>
      </c>
    </row>
    <row r="6734" customFormat="false" ht="15" hidden="false" customHeight="false" outlineLevel="0" collapsed="false">
      <c r="B6734" s="130" t="n">
        <v>2027</v>
      </c>
      <c r="C6734" s="131" t="s">
        <v>252</v>
      </c>
      <c r="D6734" s="132" t="n">
        <v>46664</v>
      </c>
      <c r="E6734" s="131" t="s">
        <v>62</v>
      </c>
      <c r="F6734" s="133" t="s">
        <v>11</v>
      </c>
      <c r="G6734" s="134" t="n">
        <f aca="false">LEN('Saisie programme'!$D$280)+SUMIFS('Vols additionnels'!$E$7:$E$66,'Vols additionnels'!$C$7:$C$66,$E6734,'Vols additionnels'!$D$7:$D$66,$F6734,'Vols additionnels'!$B$7:$B$66,$D6734)</f>
        <v>0</v>
      </c>
      <c r="H6734" s="135" t="n">
        <f aca="false">$G6734*'Analyse capacite'!$F$7</f>
        <v>0</v>
      </c>
      <c r="I6734" s="135" t="n">
        <f aca="false">$G6734*'Analyse capacite'!$C$7</f>
        <v>0</v>
      </c>
      <c r="J6734" s="135" t="n">
        <f aca="false">$G6734*'Analyse capacite'!$D$7</f>
        <v>0</v>
      </c>
      <c r="K6734" s="135" t="n">
        <f aca="false">$G6734*'Analyse capacite'!$E$7</f>
        <v>0</v>
      </c>
    </row>
    <row r="6735" customFormat="false" ht="15" hidden="false" customHeight="false" outlineLevel="0" collapsed="false">
      <c r="B6735" s="130" t="n">
        <v>2027</v>
      </c>
      <c r="C6735" s="131" t="s">
        <v>252</v>
      </c>
      <c r="D6735" s="132" t="n">
        <v>46664</v>
      </c>
      <c r="E6735" s="131" t="s">
        <v>62</v>
      </c>
      <c r="F6735" s="133" t="s">
        <v>19</v>
      </c>
      <c r="G6735" s="134" t="n">
        <f aca="false">LEN('Saisie programme'!$D$281)+SUMIFS('Vols additionnels'!$E$7:$E$66,'Vols additionnels'!$C$7:$C$66,$E6735,'Vols additionnels'!$D$7:$D$66,$F6735,'Vols additionnels'!$B$7:$B$66,$D6735)</f>
        <v>0</v>
      </c>
      <c r="H6735" s="135" t="n">
        <f aca="false">$G6735*'Analyse capacite'!$F$8</f>
        <v>0</v>
      </c>
      <c r="I6735" s="135" t="n">
        <f aca="false">$G6735*'Analyse capacite'!$C$8</f>
        <v>0</v>
      </c>
      <c r="J6735" s="135" t="n">
        <f aca="false">$G6735*'Analyse capacite'!$D$8</f>
        <v>0</v>
      </c>
      <c r="K6735" s="135" t="n">
        <f aca="false">$G6735*'Analyse capacite'!$E$8</f>
        <v>0</v>
      </c>
    </row>
    <row r="6736" customFormat="false" ht="15" hidden="false" customHeight="false" outlineLevel="0" collapsed="false">
      <c r="B6736" s="130" t="n">
        <v>2027</v>
      </c>
      <c r="C6736" s="131" t="s">
        <v>252</v>
      </c>
      <c r="D6736" s="132" t="n">
        <v>46664</v>
      </c>
      <c r="E6736" s="131" t="s">
        <v>62</v>
      </c>
      <c r="F6736" s="133" t="s">
        <v>24</v>
      </c>
      <c r="G6736" s="134" t="n">
        <f aca="false">LEN('Saisie programme'!$D$282)+SUMIFS('Vols additionnels'!$E$7:$E$66,'Vols additionnels'!$C$7:$C$66,$E6736,'Vols additionnels'!$D$7:$D$66,$F6736,'Vols additionnels'!$B$7:$B$66,$D6736)</f>
        <v>0</v>
      </c>
      <c r="H6736" s="135" t="n">
        <f aca="false">$G6736*'Analyse capacite'!$F$9</f>
        <v>0</v>
      </c>
      <c r="I6736" s="135" t="n">
        <f aca="false">$G6736*'Analyse capacite'!$C$9</f>
        <v>0</v>
      </c>
      <c r="J6736" s="135" t="n">
        <f aca="false">$G6736*'Analyse capacite'!$D$9</f>
        <v>0</v>
      </c>
      <c r="K6736" s="135" t="n">
        <f aca="false">$G6736*'Analyse capacite'!$E$9</f>
        <v>0</v>
      </c>
    </row>
    <row r="6737" customFormat="false" ht="15" hidden="false" customHeight="false" outlineLevel="0" collapsed="false">
      <c r="B6737" s="130" t="n">
        <v>2027</v>
      </c>
      <c r="C6737" s="131" t="s">
        <v>252</v>
      </c>
      <c r="D6737" s="132" t="n">
        <v>46665</v>
      </c>
      <c r="E6737" s="131" t="s">
        <v>12</v>
      </c>
      <c r="F6737" s="133" t="s">
        <v>11</v>
      </c>
      <c r="G6737" s="134" t="n">
        <f aca="false">LEN('Saisie programme'!$E$247)+SUMIFS('Vols additionnels'!$E$7:$E$66,'Vols additionnels'!$C$7:$C$66,$E6737,'Vols additionnels'!$D$7:$D$66,$F6737,'Vols additionnels'!$B$7:$B$66,$D6737)</f>
        <v>1</v>
      </c>
      <c r="H6737" s="135" t="n">
        <f aca="false">$G6737*'Analyse capacite'!$F$7</f>
        <v>438</v>
      </c>
      <c r="I6737" s="135" t="n">
        <f aca="false">$G6737*'Analyse capacite'!$C$7</f>
        <v>14</v>
      </c>
      <c r="J6737" s="135" t="n">
        <f aca="false">$G6737*'Analyse capacite'!$D$7</f>
        <v>40</v>
      </c>
      <c r="K6737" s="135" t="n">
        <f aca="false">$G6737*'Analyse capacite'!$E$7</f>
        <v>384</v>
      </c>
    </row>
    <row r="6738" customFormat="false" ht="15" hidden="false" customHeight="false" outlineLevel="0" collapsed="false">
      <c r="B6738" s="130" t="n">
        <v>2027</v>
      </c>
      <c r="C6738" s="131" t="s">
        <v>252</v>
      </c>
      <c r="D6738" s="132" t="n">
        <v>46665</v>
      </c>
      <c r="E6738" s="131" t="s">
        <v>12</v>
      </c>
      <c r="F6738" s="133" t="s">
        <v>19</v>
      </c>
      <c r="G6738" s="134" t="n">
        <f aca="false">LEN('Saisie programme'!$E$248)+SUMIFS('Vols additionnels'!$E$7:$E$66,'Vols additionnels'!$C$7:$C$66,$E6738,'Vols additionnels'!$D$7:$D$66,$F6738,'Vols additionnels'!$B$7:$B$66,$D6738)</f>
        <v>0</v>
      </c>
      <c r="H6738" s="135" t="n">
        <f aca="false">$G6738*'Analyse capacite'!$F$8</f>
        <v>0</v>
      </c>
      <c r="I6738" s="135" t="n">
        <f aca="false">$G6738*'Analyse capacite'!$C$8</f>
        <v>0</v>
      </c>
      <c r="J6738" s="135" t="n">
        <f aca="false">$G6738*'Analyse capacite'!$D$8</f>
        <v>0</v>
      </c>
      <c r="K6738" s="135" t="n">
        <f aca="false">$G6738*'Analyse capacite'!$E$8</f>
        <v>0</v>
      </c>
    </row>
    <row r="6739" customFormat="false" ht="15" hidden="false" customHeight="false" outlineLevel="0" collapsed="false">
      <c r="B6739" s="130" t="n">
        <v>2027</v>
      </c>
      <c r="C6739" s="131" t="s">
        <v>252</v>
      </c>
      <c r="D6739" s="132" t="n">
        <v>46665</v>
      </c>
      <c r="E6739" s="131" t="s">
        <v>12</v>
      </c>
      <c r="F6739" s="133" t="s">
        <v>24</v>
      </c>
      <c r="G6739" s="134" t="n">
        <f aca="false">LEN('Saisie programme'!$E$249)+SUMIFS('Vols additionnels'!$E$7:$E$66,'Vols additionnels'!$C$7:$C$66,$E6739,'Vols additionnels'!$D$7:$D$66,$F6739,'Vols additionnels'!$B$7:$B$66,$D6739)</f>
        <v>0</v>
      </c>
      <c r="H6739" s="135" t="n">
        <f aca="false">$G6739*'Analyse capacite'!$F$9</f>
        <v>0</v>
      </c>
      <c r="I6739" s="135" t="n">
        <f aca="false">$G6739*'Analyse capacite'!$C$9</f>
        <v>0</v>
      </c>
      <c r="J6739" s="135" t="n">
        <f aca="false">$G6739*'Analyse capacite'!$D$9</f>
        <v>0</v>
      </c>
      <c r="K6739" s="135" t="n">
        <f aca="false">$G6739*'Analyse capacite'!$E$9</f>
        <v>0</v>
      </c>
    </row>
    <row r="6740" customFormat="false" ht="15" hidden="false" customHeight="false" outlineLevel="0" collapsed="false">
      <c r="B6740" s="130" t="n">
        <v>2027</v>
      </c>
      <c r="C6740" s="131" t="s">
        <v>252</v>
      </c>
      <c r="D6740" s="132" t="n">
        <v>46665</v>
      </c>
      <c r="E6740" s="131" t="s">
        <v>20</v>
      </c>
      <c r="F6740" s="133" t="s">
        <v>11</v>
      </c>
      <c r="G6740" s="134" t="n">
        <f aca="false">LEN('Saisie programme'!$E$250)+SUMIFS('Vols additionnels'!$E$7:$E$66,'Vols additionnels'!$C$7:$C$66,$E6740,'Vols additionnels'!$D$7:$D$66,$F6740,'Vols additionnels'!$B$7:$B$66,$D6740)</f>
        <v>0</v>
      </c>
      <c r="H6740" s="135" t="n">
        <f aca="false">$G6740*'Analyse capacite'!$F$7</f>
        <v>0</v>
      </c>
      <c r="I6740" s="135" t="n">
        <f aca="false">$G6740*'Analyse capacite'!$C$7</f>
        <v>0</v>
      </c>
      <c r="J6740" s="135" t="n">
        <f aca="false">$G6740*'Analyse capacite'!$D$7</f>
        <v>0</v>
      </c>
      <c r="K6740" s="135" t="n">
        <f aca="false">$G6740*'Analyse capacite'!$E$7</f>
        <v>0</v>
      </c>
    </row>
    <row r="6741" customFormat="false" ht="15" hidden="false" customHeight="false" outlineLevel="0" collapsed="false">
      <c r="B6741" s="130" t="n">
        <v>2027</v>
      </c>
      <c r="C6741" s="131" t="s">
        <v>252</v>
      </c>
      <c r="D6741" s="132" t="n">
        <v>46665</v>
      </c>
      <c r="E6741" s="131" t="s">
        <v>20</v>
      </c>
      <c r="F6741" s="133" t="s">
        <v>19</v>
      </c>
      <c r="G6741" s="134" t="n">
        <f aca="false">LEN('Saisie programme'!$E$251)+SUMIFS('Vols additionnels'!$E$7:$E$66,'Vols additionnels'!$C$7:$C$66,$E6741,'Vols additionnels'!$D$7:$D$66,$F6741,'Vols additionnels'!$B$7:$B$66,$D6741)</f>
        <v>1</v>
      </c>
      <c r="H6741" s="135" t="n">
        <f aca="false">$G6741*'Analyse capacite'!$F$8</f>
        <v>262</v>
      </c>
      <c r="I6741" s="135" t="n">
        <f aca="false">$G6741*'Analyse capacite'!$C$8</f>
        <v>18</v>
      </c>
      <c r="J6741" s="135" t="n">
        <f aca="false">$G6741*'Analyse capacite'!$D$8</f>
        <v>0</v>
      </c>
      <c r="K6741" s="135" t="n">
        <f aca="false">$G6741*'Analyse capacite'!$E$8</f>
        <v>244</v>
      </c>
    </row>
    <row r="6742" customFormat="false" ht="15" hidden="false" customHeight="false" outlineLevel="0" collapsed="false">
      <c r="B6742" s="130" t="n">
        <v>2027</v>
      </c>
      <c r="C6742" s="131" t="s">
        <v>252</v>
      </c>
      <c r="D6742" s="132" t="n">
        <v>46665</v>
      </c>
      <c r="E6742" s="131" t="s">
        <v>20</v>
      </c>
      <c r="F6742" s="133" t="s">
        <v>24</v>
      </c>
      <c r="G6742" s="134" t="n">
        <f aca="false">LEN('Saisie programme'!$E$252)+SUMIFS('Vols additionnels'!$E$7:$E$66,'Vols additionnels'!$C$7:$C$66,$E6742,'Vols additionnels'!$D$7:$D$66,$F6742,'Vols additionnels'!$B$7:$B$66,$D6742)</f>
        <v>0</v>
      </c>
      <c r="H6742" s="135" t="n">
        <f aca="false">$G6742*'Analyse capacite'!$F$9</f>
        <v>0</v>
      </c>
      <c r="I6742" s="135" t="n">
        <f aca="false">$G6742*'Analyse capacite'!$C$9</f>
        <v>0</v>
      </c>
      <c r="J6742" s="135" t="n">
        <f aca="false">$G6742*'Analyse capacite'!$D$9</f>
        <v>0</v>
      </c>
      <c r="K6742" s="135" t="n">
        <f aca="false">$G6742*'Analyse capacite'!$E$9</f>
        <v>0</v>
      </c>
    </row>
    <row r="6743" customFormat="false" ht="15" hidden="false" customHeight="false" outlineLevel="0" collapsed="false">
      <c r="B6743" s="130" t="n">
        <v>2027</v>
      </c>
      <c r="C6743" s="131" t="s">
        <v>252</v>
      </c>
      <c r="D6743" s="132" t="n">
        <v>46665</v>
      </c>
      <c r="E6743" s="131" t="s">
        <v>25</v>
      </c>
      <c r="F6743" s="133" t="s">
        <v>11</v>
      </c>
      <c r="G6743" s="134" t="n">
        <f aca="false">LEN('Saisie programme'!$E$253)+SUMIFS('Vols additionnels'!$E$7:$E$66,'Vols additionnels'!$C$7:$C$66,$E6743,'Vols additionnels'!$D$7:$D$66,$F6743,'Vols additionnels'!$B$7:$B$66,$D6743)</f>
        <v>0</v>
      </c>
      <c r="H6743" s="135" t="n">
        <f aca="false">$G6743*'Analyse capacite'!$F$7</f>
        <v>0</v>
      </c>
      <c r="I6743" s="135" t="n">
        <f aca="false">$G6743*'Analyse capacite'!$C$7</f>
        <v>0</v>
      </c>
      <c r="J6743" s="135" t="n">
        <f aca="false">$G6743*'Analyse capacite'!$D$7</f>
        <v>0</v>
      </c>
      <c r="K6743" s="135" t="n">
        <f aca="false">$G6743*'Analyse capacite'!$E$7</f>
        <v>0</v>
      </c>
    </row>
    <row r="6744" customFormat="false" ht="15" hidden="false" customHeight="false" outlineLevel="0" collapsed="false">
      <c r="B6744" s="130" t="n">
        <v>2027</v>
      </c>
      <c r="C6744" s="131" t="s">
        <v>252</v>
      </c>
      <c r="D6744" s="132" t="n">
        <v>46665</v>
      </c>
      <c r="E6744" s="131" t="s">
        <v>25</v>
      </c>
      <c r="F6744" s="133" t="s">
        <v>19</v>
      </c>
      <c r="G6744" s="134" t="n">
        <f aca="false">LEN('Saisie programme'!$E$254)+SUMIFS('Vols additionnels'!$E$7:$E$66,'Vols additionnels'!$C$7:$C$66,$E6744,'Vols additionnels'!$D$7:$D$66,$F6744,'Vols additionnels'!$B$7:$B$66,$D6744)</f>
        <v>0</v>
      </c>
      <c r="H6744" s="135" t="n">
        <f aca="false">$G6744*'Analyse capacite'!$F$8</f>
        <v>0</v>
      </c>
      <c r="I6744" s="135" t="n">
        <f aca="false">$G6744*'Analyse capacite'!$C$8</f>
        <v>0</v>
      </c>
      <c r="J6744" s="135" t="n">
        <f aca="false">$G6744*'Analyse capacite'!$D$8</f>
        <v>0</v>
      </c>
      <c r="K6744" s="135" t="n">
        <f aca="false">$G6744*'Analyse capacite'!$E$8</f>
        <v>0</v>
      </c>
    </row>
    <row r="6745" customFormat="false" ht="15" hidden="false" customHeight="false" outlineLevel="0" collapsed="false">
      <c r="B6745" s="130" t="n">
        <v>2027</v>
      </c>
      <c r="C6745" s="131" t="s">
        <v>252</v>
      </c>
      <c r="D6745" s="132" t="n">
        <v>46665</v>
      </c>
      <c r="E6745" s="131" t="s">
        <v>25</v>
      </c>
      <c r="F6745" s="133" t="s">
        <v>24</v>
      </c>
      <c r="G6745" s="134" t="n">
        <f aca="false">LEN('Saisie programme'!$E$255)+SUMIFS('Vols additionnels'!$E$7:$E$66,'Vols additionnels'!$C$7:$C$66,$E6745,'Vols additionnels'!$D$7:$D$66,$F6745,'Vols additionnels'!$B$7:$B$66,$D6745)</f>
        <v>0</v>
      </c>
      <c r="H6745" s="135" t="n">
        <f aca="false">$G6745*'Analyse capacite'!$F$9</f>
        <v>0</v>
      </c>
      <c r="I6745" s="135" t="n">
        <f aca="false">$G6745*'Analyse capacite'!$C$9</f>
        <v>0</v>
      </c>
      <c r="J6745" s="135" t="n">
        <f aca="false">$G6745*'Analyse capacite'!$D$9</f>
        <v>0</v>
      </c>
      <c r="K6745" s="135" t="n">
        <f aca="false">$G6745*'Analyse capacite'!$E$9</f>
        <v>0</v>
      </c>
    </row>
    <row r="6746" customFormat="false" ht="15" hidden="false" customHeight="false" outlineLevel="0" collapsed="false">
      <c r="B6746" s="130" t="n">
        <v>2027</v>
      </c>
      <c r="C6746" s="131" t="s">
        <v>252</v>
      </c>
      <c r="D6746" s="132" t="n">
        <v>46665</v>
      </c>
      <c r="E6746" s="131" t="s">
        <v>36</v>
      </c>
      <c r="F6746" s="133" t="s">
        <v>11</v>
      </c>
      <c r="G6746" s="134" t="n">
        <f aca="false">LEN('Saisie programme'!$E$256)+SUMIFS('Vols additionnels'!$E$7:$E$66,'Vols additionnels'!$C$7:$C$66,$E6746,'Vols additionnels'!$D$7:$D$66,$F6746,'Vols additionnels'!$B$7:$B$66,$D6746)</f>
        <v>0</v>
      </c>
      <c r="H6746" s="135" t="n">
        <f aca="false">$G6746*'Analyse capacite'!$F$7</f>
        <v>0</v>
      </c>
      <c r="I6746" s="135" t="n">
        <f aca="false">$G6746*'Analyse capacite'!$C$7</f>
        <v>0</v>
      </c>
      <c r="J6746" s="135" t="n">
        <f aca="false">$G6746*'Analyse capacite'!$D$7</f>
        <v>0</v>
      </c>
      <c r="K6746" s="135" t="n">
        <f aca="false">$G6746*'Analyse capacite'!$E$7</f>
        <v>0</v>
      </c>
    </row>
    <row r="6747" customFormat="false" ht="15" hidden="false" customHeight="false" outlineLevel="0" collapsed="false">
      <c r="B6747" s="130" t="n">
        <v>2027</v>
      </c>
      <c r="C6747" s="131" t="s">
        <v>252</v>
      </c>
      <c r="D6747" s="132" t="n">
        <v>46665</v>
      </c>
      <c r="E6747" s="131" t="s">
        <v>36</v>
      </c>
      <c r="F6747" s="133" t="s">
        <v>19</v>
      </c>
      <c r="G6747" s="134" t="n">
        <f aca="false">LEN('Saisie programme'!$E$257)+SUMIFS('Vols additionnels'!$E$7:$E$66,'Vols additionnels'!$C$7:$C$66,$E6747,'Vols additionnels'!$D$7:$D$66,$F6747,'Vols additionnels'!$B$7:$B$66,$D6747)</f>
        <v>0</v>
      </c>
      <c r="H6747" s="135" t="n">
        <f aca="false">$G6747*'Analyse capacite'!$F$8</f>
        <v>0</v>
      </c>
      <c r="I6747" s="135" t="n">
        <f aca="false">$G6747*'Analyse capacite'!$C$8</f>
        <v>0</v>
      </c>
      <c r="J6747" s="135" t="n">
        <f aca="false">$G6747*'Analyse capacite'!$D$8</f>
        <v>0</v>
      </c>
      <c r="K6747" s="135" t="n">
        <f aca="false">$G6747*'Analyse capacite'!$E$8</f>
        <v>0</v>
      </c>
    </row>
    <row r="6748" customFormat="false" ht="15" hidden="false" customHeight="false" outlineLevel="0" collapsed="false">
      <c r="B6748" s="130" t="n">
        <v>2027</v>
      </c>
      <c r="C6748" s="131" t="s">
        <v>252</v>
      </c>
      <c r="D6748" s="132" t="n">
        <v>46665</v>
      </c>
      <c r="E6748" s="131" t="s">
        <v>36</v>
      </c>
      <c r="F6748" s="133" t="s">
        <v>24</v>
      </c>
      <c r="G6748" s="134" t="n">
        <f aca="false">LEN('Saisie programme'!$E$258)+SUMIFS('Vols additionnels'!$E$7:$E$66,'Vols additionnels'!$C$7:$C$66,$E6748,'Vols additionnels'!$D$7:$D$66,$F6748,'Vols additionnels'!$B$7:$B$66,$D6748)</f>
        <v>1</v>
      </c>
      <c r="H6748" s="135" t="n">
        <f aca="false">$G6748*'Analyse capacite'!$F$9</f>
        <v>174</v>
      </c>
      <c r="I6748" s="135" t="n">
        <f aca="false">$G6748*'Analyse capacite'!$C$9</f>
        <v>0</v>
      </c>
      <c r="J6748" s="135" t="n">
        <f aca="false">$G6748*'Analyse capacite'!$D$9</f>
        <v>12</v>
      </c>
      <c r="K6748" s="135" t="n">
        <f aca="false">$G6748*'Analyse capacite'!$E$9</f>
        <v>162</v>
      </c>
    </row>
    <row r="6749" customFormat="false" ht="15" hidden="false" customHeight="false" outlineLevel="0" collapsed="false">
      <c r="B6749" s="130" t="n">
        <v>2027</v>
      </c>
      <c r="C6749" s="131" t="s">
        <v>252</v>
      </c>
      <c r="D6749" s="132" t="n">
        <v>46665</v>
      </c>
      <c r="E6749" s="131" t="s">
        <v>40</v>
      </c>
      <c r="F6749" s="133" t="s">
        <v>11</v>
      </c>
      <c r="G6749" s="134" t="n">
        <f aca="false">LEN('Saisie programme'!$E$259)+SUMIFS('Vols additionnels'!$E$7:$E$66,'Vols additionnels'!$C$7:$C$66,$E6749,'Vols additionnels'!$D$7:$D$66,$F6749,'Vols additionnels'!$B$7:$B$66,$D6749)</f>
        <v>0</v>
      </c>
      <c r="H6749" s="135" t="n">
        <f aca="false">$G6749*'Analyse capacite'!$F$7</f>
        <v>0</v>
      </c>
      <c r="I6749" s="135" t="n">
        <f aca="false">$G6749*'Analyse capacite'!$C$7</f>
        <v>0</v>
      </c>
      <c r="J6749" s="135" t="n">
        <f aca="false">$G6749*'Analyse capacite'!$D$7</f>
        <v>0</v>
      </c>
      <c r="K6749" s="135" t="n">
        <f aca="false">$G6749*'Analyse capacite'!$E$7</f>
        <v>0</v>
      </c>
    </row>
    <row r="6750" customFormat="false" ht="15" hidden="false" customHeight="false" outlineLevel="0" collapsed="false">
      <c r="B6750" s="130" t="n">
        <v>2027</v>
      </c>
      <c r="C6750" s="131" t="s">
        <v>252</v>
      </c>
      <c r="D6750" s="132" t="n">
        <v>46665</v>
      </c>
      <c r="E6750" s="131" t="s">
        <v>40</v>
      </c>
      <c r="F6750" s="133" t="s">
        <v>19</v>
      </c>
      <c r="G6750" s="134" t="n">
        <f aca="false">LEN('Saisie programme'!$E$260)+SUMIFS('Vols additionnels'!$E$7:$E$66,'Vols additionnels'!$C$7:$C$66,$E6750,'Vols additionnels'!$D$7:$D$66,$F6750,'Vols additionnels'!$B$7:$B$66,$D6750)</f>
        <v>0</v>
      </c>
      <c r="H6750" s="135" t="n">
        <f aca="false">$G6750*'Analyse capacite'!$F$8</f>
        <v>0</v>
      </c>
      <c r="I6750" s="135" t="n">
        <f aca="false">$G6750*'Analyse capacite'!$C$8</f>
        <v>0</v>
      </c>
      <c r="J6750" s="135" t="n">
        <f aca="false">$G6750*'Analyse capacite'!$D$8</f>
        <v>0</v>
      </c>
      <c r="K6750" s="135" t="n">
        <f aca="false">$G6750*'Analyse capacite'!$E$8</f>
        <v>0</v>
      </c>
    </row>
    <row r="6751" customFormat="false" ht="15" hidden="false" customHeight="false" outlineLevel="0" collapsed="false">
      <c r="B6751" s="130" t="n">
        <v>2027</v>
      </c>
      <c r="C6751" s="131" t="s">
        <v>252</v>
      </c>
      <c r="D6751" s="132" t="n">
        <v>46665</v>
      </c>
      <c r="E6751" s="131" t="s">
        <v>40</v>
      </c>
      <c r="F6751" s="133" t="s">
        <v>24</v>
      </c>
      <c r="G6751" s="134" t="n">
        <f aca="false">LEN('Saisie programme'!$E$261)+SUMIFS('Vols additionnels'!$E$7:$E$66,'Vols additionnels'!$C$7:$C$66,$E6751,'Vols additionnels'!$D$7:$D$66,$F6751,'Vols additionnels'!$B$7:$B$66,$D6751)</f>
        <v>0</v>
      </c>
      <c r="H6751" s="135" t="n">
        <f aca="false">$G6751*'Analyse capacite'!$F$9</f>
        <v>0</v>
      </c>
      <c r="I6751" s="135" t="n">
        <f aca="false">$G6751*'Analyse capacite'!$C$9</f>
        <v>0</v>
      </c>
      <c r="J6751" s="135" t="n">
        <f aca="false">$G6751*'Analyse capacite'!$D$9</f>
        <v>0</v>
      </c>
      <c r="K6751" s="135" t="n">
        <f aca="false">$G6751*'Analyse capacite'!$E$9</f>
        <v>0</v>
      </c>
    </row>
    <row r="6752" customFormat="false" ht="15" hidden="false" customHeight="false" outlineLevel="0" collapsed="false">
      <c r="B6752" s="130" t="n">
        <v>2027</v>
      </c>
      <c r="C6752" s="131" t="s">
        <v>252</v>
      </c>
      <c r="D6752" s="132" t="n">
        <v>46665</v>
      </c>
      <c r="E6752" s="131" t="s">
        <v>14</v>
      </c>
      <c r="F6752" s="133" t="s">
        <v>11</v>
      </c>
      <c r="G6752" s="134" t="n">
        <f aca="false">LEN('Saisie programme'!$E$262)+SUMIFS('Vols additionnels'!$E$7:$E$66,'Vols additionnels'!$C$7:$C$66,$E6752,'Vols additionnels'!$D$7:$D$66,$F6752,'Vols additionnels'!$B$7:$B$66,$D6752)</f>
        <v>0</v>
      </c>
      <c r="H6752" s="135" t="n">
        <f aca="false">$G6752*'Analyse capacite'!$F$7</f>
        <v>0</v>
      </c>
      <c r="I6752" s="135" t="n">
        <f aca="false">$G6752*'Analyse capacite'!$C$7</f>
        <v>0</v>
      </c>
      <c r="J6752" s="135" t="n">
        <f aca="false">$G6752*'Analyse capacite'!$D$7</f>
        <v>0</v>
      </c>
      <c r="K6752" s="135" t="n">
        <f aca="false">$G6752*'Analyse capacite'!$E$7</f>
        <v>0</v>
      </c>
    </row>
    <row r="6753" customFormat="false" ht="15" hidden="false" customHeight="false" outlineLevel="0" collapsed="false">
      <c r="B6753" s="130" t="n">
        <v>2027</v>
      </c>
      <c r="C6753" s="131" t="s">
        <v>252</v>
      </c>
      <c r="D6753" s="132" t="n">
        <v>46665</v>
      </c>
      <c r="E6753" s="131" t="s">
        <v>14</v>
      </c>
      <c r="F6753" s="133" t="s">
        <v>19</v>
      </c>
      <c r="G6753" s="134" t="n">
        <f aca="false">LEN('Saisie programme'!$E$263)+SUMIFS('Vols additionnels'!$E$7:$E$66,'Vols additionnels'!$C$7:$C$66,$E6753,'Vols additionnels'!$D$7:$D$66,$F6753,'Vols additionnels'!$B$7:$B$66,$D6753)</f>
        <v>0</v>
      </c>
      <c r="H6753" s="135" t="n">
        <f aca="false">$G6753*'Analyse capacite'!$F$8</f>
        <v>0</v>
      </c>
      <c r="I6753" s="135" t="n">
        <f aca="false">$G6753*'Analyse capacite'!$C$8</f>
        <v>0</v>
      </c>
      <c r="J6753" s="135" t="n">
        <f aca="false">$G6753*'Analyse capacite'!$D$8</f>
        <v>0</v>
      </c>
      <c r="K6753" s="135" t="n">
        <f aca="false">$G6753*'Analyse capacite'!$E$8</f>
        <v>0</v>
      </c>
    </row>
    <row r="6754" customFormat="false" ht="15" hidden="false" customHeight="false" outlineLevel="0" collapsed="false">
      <c r="B6754" s="130" t="n">
        <v>2027</v>
      </c>
      <c r="C6754" s="131" t="s">
        <v>252</v>
      </c>
      <c r="D6754" s="132" t="n">
        <v>46665</v>
      </c>
      <c r="E6754" s="131" t="s">
        <v>14</v>
      </c>
      <c r="F6754" s="133" t="s">
        <v>24</v>
      </c>
      <c r="G6754" s="134" t="n">
        <f aca="false">LEN('Saisie programme'!$E$264)+SUMIFS('Vols additionnels'!$E$7:$E$66,'Vols additionnels'!$C$7:$C$66,$E6754,'Vols additionnels'!$D$7:$D$66,$F6754,'Vols additionnels'!$B$7:$B$66,$D6754)</f>
        <v>0</v>
      </c>
      <c r="H6754" s="135" t="n">
        <f aca="false">$G6754*'Analyse capacite'!$F$9</f>
        <v>0</v>
      </c>
      <c r="I6754" s="135" t="n">
        <f aca="false">$G6754*'Analyse capacite'!$C$9</f>
        <v>0</v>
      </c>
      <c r="J6754" s="135" t="n">
        <f aca="false">$G6754*'Analyse capacite'!$D$9</f>
        <v>0</v>
      </c>
      <c r="K6754" s="135" t="n">
        <f aca="false">$G6754*'Analyse capacite'!$E$9</f>
        <v>0</v>
      </c>
    </row>
    <row r="6755" customFormat="false" ht="15" hidden="false" customHeight="false" outlineLevel="0" collapsed="false">
      <c r="B6755" s="130" t="n">
        <v>2027</v>
      </c>
      <c r="C6755" s="131" t="s">
        <v>252</v>
      </c>
      <c r="D6755" s="132" t="n">
        <v>46665</v>
      </c>
      <c r="E6755" s="131" t="s">
        <v>46</v>
      </c>
      <c r="F6755" s="133" t="s">
        <v>11</v>
      </c>
      <c r="G6755" s="134" t="n">
        <f aca="false">LEN('Saisie programme'!$E$265)+SUMIFS('Vols additionnels'!$E$7:$E$66,'Vols additionnels'!$C$7:$C$66,$E6755,'Vols additionnels'!$D$7:$D$66,$F6755,'Vols additionnels'!$B$7:$B$66,$D6755)</f>
        <v>0</v>
      </c>
      <c r="H6755" s="135" t="n">
        <f aca="false">$G6755*'Analyse capacite'!$F$7</f>
        <v>0</v>
      </c>
      <c r="I6755" s="135" t="n">
        <f aca="false">$G6755*'Analyse capacite'!$C$7</f>
        <v>0</v>
      </c>
      <c r="J6755" s="135" t="n">
        <f aca="false">$G6755*'Analyse capacite'!$D$7</f>
        <v>0</v>
      </c>
      <c r="K6755" s="135" t="n">
        <f aca="false">$G6755*'Analyse capacite'!$E$7</f>
        <v>0</v>
      </c>
    </row>
    <row r="6756" customFormat="false" ht="15" hidden="false" customHeight="false" outlineLevel="0" collapsed="false">
      <c r="B6756" s="130" t="n">
        <v>2027</v>
      </c>
      <c r="C6756" s="131" t="s">
        <v>252</v>
      </c>
      <c r="D6756" s="132" t="n">
        <v>46665</v>
      </c>
      <c r="E6756" s="131" t="s">
        <v>46</v>
      </c>
      <c r="F6756" s="133" t="s">
        <v>19</v>
      </c>
      <c r="G6756" s="134" t="n">
        <f aca="false">LEN('Saisie programme'!$E$266)+SUMIFS('Vols additionnels'!$E$7:$E$66,'Vols additionnels'!$C$7:$C$66,$E6756,'Vols additionnels'!$D$7:$D$66,$F6756,'Vols additionnels'!$B$7:$B$66,$D6756)</f>
        <v>0</v>
      </c>
      <c r="H6756" s="135" t="n">
        <f aca="false">$G6756*'Analyse capacite'!$F$8</f>
        <v>0</v>
      </c>
      <c r="I6756" s="135" t="n">
        <f aca="false">$G6756*'Analyse capacite'!$C$8</f>
        <v>0</v>
      </c>
      <c r="J6756" s="135" t="n">
        <f aca="false">$G6756*'Analyse capacite'!$D$8</f>
        <v>0</v>
      </c>
      <c r="K6756" s="135" t="n">
        <f aca="false">$G6756*'Analyse capacite'!$E$8</f>
        <v>0</v>
      </c>
    </row>
    <row r="6757" customFormat="false" ht="15" hidden="false" customHeight="false" outlineLevel="0" collapsed="false">
      <c r="B6757" s="130" t="n">
        <v>2027</v>
      </c>
      <c r="C6757" s="131" t="s">
        <v>252</v>
      </c>
      <c r="D6757" s="132" t="n">
        <v>46665</v>
      </c>
      <c r="E6757" s="131" t="s">
        <v>46</v>
      </c>
      <c r="F6757" s="133" t="s">
        <v>24</v>
      </c>
      <c r="G6757" s="134" t="n">
        <f aca="false">LEN('Saisie programme'!$E$267)+SUMIFS('Vols additionnels'!$E$7:$E$66,'Vols additionnels'!$C$7:$C$66,$E6757,'Vols additionnels'!$D$7:$D$66,$F6757,'Vols additionnels'!$B$7:$B$66,$D6757)</f>
        <v>1</v>
      </c>
      <c r="H6757" s="135" t="n">
        <f aca="false">$G6757*'Analyse capacite'!$F$9</f>
        <v>174</v>
      </c>
      <c r="I6757" s="135" t="n">
        <f aca="false">$G6757*'Analyse capacite'!$C$9</f>
        <v>0</v>
      </c>
      <c r="J6757" s="135" t="n">
        <f aca="false">$G6757*'Analyse capacite'!$D$9</f>
        <v>12</v>
      </c>
      <c r="K6757" s="135" t="n">
        <f aca="false">$G6757*'Analyse capacite'!$E$9</f>
        <v>162</v>
      </c>
    </row>
    <row r="6758" customFormat="false" ht="15" hidden="false" customHeight="false" outlineLevel="0" collapsed="false">
      <c r="B6758" s="130" t="n">
        <v>2027</v>
      </c>
      <c r="C6758" s="131" t="s">
        <v>252</v>
      </c>
      <c r="D6758" s="132" t="n">
        <v>46665</v>
      </c>
      <c r="E6758" s="131" t="s">
        <v>49</v>
      </c>
      <c r="F6758" s="133" t="s">
        <v>11</v>
      </c>
      <c r="G6758" s="134" t="n">
        <f aca="false">LEN('Saisie programme'!$E$268)+SUMIFS('Vols additionnels'!$E$7:$E$66,'Vols additionnels'!$C$7:$C$66,$E6758,'Vols additionnels'!$D$7:$D$66,$F6758,'Vols additionnels'!$B$7:$B$66,$D6758)</f>
        <v>0</v>
      </c>
      <c r="H6758" s="135" t="n">
        <f aca="false">$G6758*'Analyse capacite'!$F$7</f>
        <v>0</v>
      </c>
      <c r="I6758" s="135" t="n">
        <f aca="false">$G6758*'Analyse capacite'!$C$7</f>
        <v>0</v>
      </c>
      <c r="J6758" s="135" t="n">
        <f aca="false">$G6758*'Analyse capacite'!$D$7</f>
        <v>0</v>
      </c>
      <c r="K6758" s="135" t="n">
        <f aca="false">$G6758*'Analyse capacite'!$E$7</f>
        <v>0</v>
      </c>
    </row>
    <row r="6759" customFormat="false" ht="15" hidden="false" customHeight="false" outlineLevel="0" collapsed="false">
      <c r="B6759" s="130" t="n">
        <v>2027</v>
      </c>
      <c r="C6759" s="131" t="s">
        <v>252</v>
      </c>
      <c r="D6759" s="132" t="n">
        <v>46665</v>
      </c>
      <c r="E6759" s="131" t="s">
        <v>49</v>
      </c>
      <c r="F6759" s="133" t="s">
        <v>19</v>
      </c>
      <c r="G6759" s="134" t="n">
        <f aca="false">LEN('Saisie programme'!$E$269)+SUMIFS('Vols additionnels'!$E$7:$E$66,'Vols additionnels'!$C$7:$C$66,$E6759,'Vols additionnels'!$D$7:$D$66,$F6759,'Vols additionnels'!$B$7:$B$66,$D6759)</f>
        <v>0</v>
      </c>
      <c r="H6759" s="135" t="n">
        <f aca="false">$G6759*'Analyse capacite'!$F$8</f>
        <v>0</v>
      </c>
      <c r="I6759" s="135" t="n">
        <f aca="false">$G6759*'Analyse capacite'!$C$8</f>
        <v>0</v>
      </c>
      <c r="J6759" s="135" t="n">
        <f aca="false">$G6759*'Analyse capacite'!$D$8</f>
        <v>0</v>
      </c>
      <c r="K6759" s="135" t="n">
        <f aca="false">$G6759*'Analyse capacite'!$E$8</f>
        <v>0</v>
      </c>
    </row>
    <row r="6760" customFormat="false" ht="15" hidden="false" customHeight="false" outlineLevel="0" collapsed="false">
      <c r="B6760" s="130" t="n">
        <v>2027</v>
      </c>
      <c r="C6760" s="131" t="s">
        <v>252</v>
      </c>
      <c r="D6760" s="132" t="n">
        <v>46665</v>
      </c>
      <c r="E6760" s="131" t="s">
        <v>49</v>
      </c>
      <c r="F6760" s="133" t="s">
        <v>24</v>
      </c>
      <c r="G6760" s="134" t="n">
        <f aca="false">LEN('Saisie programme'!$E$270)+SUMIFS('Vols additionnels'!$E$7:$E$66,'Vols additionnels'!$C$7:$C$66,$E6760,'Vols additionnels'!$D$7:$D$66,$F6760,'Vols additionnels'!$B$7:$B$66,$D6760)</f>
        <v>0</v>
      </c>
      <c r="H6760" s="135" t="n">
        <f aca="false">$G6760*'Analyse capacite'!$F$9</f>
        <v>0</v>
      </c>
      <c r="I6760" s="135" t="n">
        <f aca="false">$G6760*'Analyse capacite'!$C$9</f>
        <v>0</v>
      </c>
      <c r="J6760" s="135" t="n">
        <f aca="false">$G6760*'Analyse capacite'!$D$9</f>
        <v>0</v>
      </c>
      <c r="K6760" s="135" t="n">
        <f aca="false">$G6760*'Analyse capacite'!$E$9</f>
        <v>0</v>
      </c>
    </row>
    <row r="6761" customFormat="false" ht="15" hidden="false" customHeight="false" outlineLevel="0" collapsed="false">
      <c r="B6761" s="130" t="n">
        <v>2027</v>
      </c>
      <c r="C6761" s="131" t="s">
        <v>252</v>
      </c>
      <c r="D6761" s="132" t="n">
        <v>46665</v>
      </c>
      <c r="E6761" s="131" t="s">
        <v>53</v>
      </c>
      <c r="F6761" s="133" t="s">
        <v>11</v>
      </c>
      <c r="G6761" s="134" t="n">
        <f aca="false">LEN('Saisie programme'!$E$271)+SUMIFS('Vols additionnels'!$E$7:$E$66,'Vols additionnels'!$C$7:$C$66,$E6761,'Vols additionnels'!$D$7:$D$66,$F6761,'Vols additionnels'!$B$7:$B$66,$D6761)</f>
        <v>0</v>
      </c>
      <c r="H6761" s="135" t="n">
        <f aca="false">$G6761*'Analyse capacite'!$F$7</f>
        <v>0</v>
      </c>
      <c r="I6761" s="135" t="n">
        <f aca="false">$G6761*'Analyse capacite'!$C$7</f>
        <v>0</v>
      </c>
      <c r="J6761" s="135" t="n">
        <f aca="false">$G6761*'Analyse capacite'!$D$7</f>
        <v>0</v>
      </c>
      <c r="K6761" s="135" t="n">
        <f aca="false">$G6761*'Analyse capacite'!$E$7</f>
        <v>0</v>
      </c>
    </row>
    <row r="6762" customFormat="false" ht="15" hidden="false" customHeight="false" outlineLevel="0" collapsed="false">
      <c r="B6762" s="130" t="n">
        <v>2027</v>
      </c>
      <c r="C6762" s="131" t="s">
        <v>252</v>
      </c>
      <c r="D6762" s="132" t="n">
        <v>46665</v>
      </c>
      <c r="E6762" s="131" t="s">
        <v>53</v>
      </c>
      <c r="F6762" s="133" t="s">
        <v>19</v>
      </c>
      <c r="G6762" s="134" t="n">
        <f aca="false">LEN('Saisie programme'!$E$272)+SUMIFS('Vols additionnels'!$E$7:$E$66,'Vols additionnels'!$C$7:$C$66,$E6762,'Vols additionnels'!$D$7:$D$66,$F6762,'Vols additionnels'!$B$7:$B$66,$D6762)</f>
        <v>0</v>
      </c>
      <c r="H6762" s="135" t="n">
        <f aca="false">$G6762*'Analyse capacite'!$F$8</f>
        <v>0</v>
      </c>
      <c r="I6762" s="135" t="n">
        <f aca="false">$G6762*'Analyse capacite'!$C$8</f>
        <v>0</v>
      </c>
      <c r="J6762" s="135" t="n">
        <f aca="false">$G6762*'Analyse capacite'!$D$8</f>
        <v>0</v>
      </c>
      <c r="K6762" s="135" t="n">
        <f aca="false">$G6762*'Analyse capacite'!$E$8</f>
        <v>0</v>
      </c>
    </row>
    <row r="6763" customFormat="false" ht="15" hidden="false" customHeight="false" outlineLevel="0" collapsed="false">
      <c r="B6763" s="130" t="n">
        <v>2027</v>
      </c>
      <c r="C6763" s="131" t="s">
        <v>252</v>
      </c>
      <c r="D6763" s="132" t="n">
        <v>46665</v>
      </c>
      <c r="E6763" s="131" t="s">
        <v>53</v>
      </c>
      <c r="F6763" s="133" t="s">
        <v>24</v>
      </c>
      <c r="G6763" s="134" t="n">
        <f aca="false">LEN('Saisie programme'!$E$273)+SUMIFS('Vols additionnels'!$E$7:$E$66,'Vols additionnels'!$C$7:$C$66,$E6763,'Vols additionnels'!$D$7:$D$66,$F6763,'Vols additionnels'!$B$7:$B$66,$D6763)</f>
        <v>0</v>
      </c>
      <c r="H6763" s="135" t="n">
        <f aca="false">$G6763*'Analyse capacite'!$F$9</f>
        <v>0</v>
      </c>
      <c r="I6763" s="135" t="n">
        <f aca="false">$G6763*'Analyse capacite'!$C$9</f>
        <v>0</v>
      </c>
      <c r="J6763" s="135" t="n">
        <f aca="false">$G6763*'Analyse capacite'!$D$9</f>
        <v>0</v>
      </c>
      <c r="K6763" s="135" t="n">
        <f aca="false">$G6763*'Analyse capacite'!$E$9</f>
        <v>0</v>
      </c>
    </row>
    <row r="6764" customFormat="false" ht="15" hidden="false" customHeight="false" outlineLevel="0" collapsed="false">
      <c r="B6764" s="130" t="n">
        <v>2027</v>
      </c>
      <c r="C6764" s="131" t="s">
        <v>252</v>
      </c>
      <c r="D6764" s="132" t="n">
        <v>46665</v>
      </c>
      <c r="E6764" s="131" t="s">
        <v>56</v>
      </c>
      <c r="F6764" s="133" t="s">
        <v>11</v>
      </c>
      <c r="G6764" s="134" t="n">
        <f aca="false">LEN('Saisie programme'!$E$274)+SUMIFS('Vols additionnels'!$E$7:$E$66,'Vols additionnels'!$C$7:$C$66,$E6764,'Vols additionnels'!$D$7:$D$66,$F6764,'Vols additionnels'!$B$7:$B$66,$D6764)</f>
        <v>0</v>
      </c>
      <c r="H6764" s="135" t="n">
        <f aca="false">$G6764*'Analyse capacite'!$F$7</f>
        <v>0</v>
      </c>
      <c r="I6764" s="135" t="n">
        <f aca="false">$G6764*'Analyse capacite'!$C$7</f>
        <v>0</v>
      </c>
      <c r="J6764" s="135" t="n">
        <f aca="false">$G6764*'Analyse capacite'!$D$7</f>
        <v>0</v>
      </c>
      <c r="K6764" s="135" t="n">
        <f aca="false">$G6764*'Analyse capacite'!$E$7</f>
        <v>0</v>
      </c>
    </row>
    <row r="6765" customFormat="false" ht="15" hidden="false" customHeight="false" outlineLevel="0" collapsed="false">
      <c r="B6765" s="130" t="n">
        <v>2027</v>
      </c>
      <c r="C6765" s="131" t="s">
        <v>252</v>
      </c>
      <c r="D6765" s="132" t="n">
        <v>46665</v>
      </c>
      <c r="E6765" s="131" t="s">
        <v>56</v>
      </c>
      <c r="F6765" s="133" t="s">
        <v>19</v>
      </c>
      <c r="G6765" s="134" t="n">
        <f aca="false">LEN('Saisie programme'!$E$275)+SUMIFS('Vols additionnels'!$E$7:$E$66,'Vols additionnels'!$C$7:$C$66,$E6765,'Vols additionnels'!$D$7:$D$66,$F6765,'Vols additionnels'!$B$7:$B$66,$D6765)</f>
        <v>0</v>
      </c>
      <c r="H6765" s="135" t="n">
        <f aca="false">$G6765*'Analyse capacite'!$F$8</f>
        <v>0</v>
      </c>
      <c r="I6765" s="135" t="n">
        <f aca="false">$G6765*'Analyse capacite'!$C$8</f>
        <v>0</v>
      </c>
      <c r="J6765" s="135" t="n">
        <f aca="false">$G6765*'Analyse capacite'!$D$8</f>
        <v>0</v>
      </c>
      <c r="K6765" s="135" t="n">
        <f aca="false">$G6765*'Analyse capacite'!$E$8</f>
        <v>0</v>
      </c>
    </row>
    <row r="6766" customFormat="false" ht="15" hidden="false" customHeight="false" outlineLevel="0" collapsed="false">
      <c r="B6766" s="130" t="n">
        <v>2027</v>
      </c>
      <c r="C6766" s="131" t="s">
        <v>252</v>
      </c>
      <c r="D6766" s="132" t="n">
        <v>46665</v>
      </c>
      <c r="E6766" s="131" t="s">
        <v>56</v>
      </c>
      <c r="F6766" s="133" t="s">
        <v>24</v>
      </c>
      <c r="G6766" s="134" t="n">
        <f aca="false">LEN('Saisie programme'!$E$276)+SUMIFS('Vols additionnels'!$E$7:$E$66,'Vols additionnels'!$C$7:$C$66,$E6766,'Vols additionnels'!$D$7:$D$66,$F6766,'Vols additionnels'!$B$7:$B$66,$D6766)</f>
        <v>1</v>
      </c>
      <c r="H6766" s="135" t="n">
        <f aca="false">$G6766*'Analyse capacite'!$F$9</f>
        <v>174</v>
      </c>
      <c r="I6766" s="135" t="n">
        <f aca="false">$G6766*'Analyse capacite'!$C$9</f>
        <v>0</v>
      </c>
      <c r="J6766" s="135" t="n">
        <f aca="false">$G6766*'Analyse capacite'!$D$9</f>
        <v>12</v>
      </c>
      <c r="K6766" s="135" t="n">
        <f aca="false">$G6766*'Analyse capacite'!$E$9</f>
        <v>162</v>
      </c>
    </row>
    <row r="6767" customFormat="false" ht="15" hidden="false" customHeight="false" outlineLevel="0" collapsed="false">
      <c r="B6767" s="130" t="n">
        <v>2027</v>
      </c>
      <c r="C6767" s="131" t="s">
        <v>252</v>
      </c>
      <c r="D6767" s="132" t="n">
        <v>46665</v>
      </c>
      <c r="E6767" s="131" t="s">
        <v>59</v>
      </c>
      <c r="F6767" s="133" t="s">
        <v>11</v>
      </c>
      <c r="G6767" s="134" t="n">
        <f aca="false">LEN('Saisie programme'!$E$277)+SUMIFS('Vols additionnels'!$E$7:$E$66,'Vols additionnels'!$C$7:$C$66,$E6767,'Vols additionnels'!$D$7:$D$66,$F6767,'Vols additionnels'!$B$7:$B$66,$D6767)</f>
        <v>0</v>
      </c>
      <c r="H6767" s="135" t="n">
        <f aca="false">$G6767*'Analyse capacite'!$F$7</f>
        <v>0</v>
      </c>
      <c r="I6767" s="135" t="n">
        <f aca="false">$G6767*'Analyse capacite'!$C$7</f>
        <v>0</v>
      </c>
      <c r="J6767" s="135" t="n">
        <f aca="false">$G6767*'Analyse capacite'!$D$7</f>
        <v>0</v>
      </c>
      <c r="K6767" s="135" t="n">
        <f aca="false">$G6767*'Analyse capacite'!$E$7</f>
        <v>0</v>
      </c>
    </row>
    <row r="6768" customFormat="false" ht="15" hidden="false" customHeight="false" outlineLevel="0" collapsed="false">
      <c r="B6768" s="130" t="n">
        <v>2027</v>
      </c>
      <c r="C6768" s="131" t="s">
        <v>252</v>
      </c>
      <c r="D6768" s="132" t="n">
        <v>46665</v>
      </c>
      <c r="E6768" s="131" t="s">
        <v>59</v>
      </c>
      <c r="F6768" s="133" t="s">
        <v>19</v>
      </c>
      <c r="G6768" s="134" t="n">
        <f aca="false">LEN('Saisie programme'!$E$278)+SUMIFS('Vols additionnels'!$E$7:$E$66,'Vols additionnels'!$C$7:$C$66,$E6768,'Vols additionnels'!$D$7:$D$66,$F6768,'Vols additionnels'!$B$7:$B$66,$D6768)</f>
        <v>0</v>
      </c>
      <c r="H6768" s="135" t="n">
        <f aca="false">$G6768*'Analyse capacite'!$F$8</f>
        <v>0</v>
      </c>
      <c r="I6768" s="135" t="n">
        <f aca="false">$G6768*'Analyse capacite'!$C$8</f>
        <v>0</v>
      </c>
      <c r="J6768" s="135" t="n">
        <f aca="false">$G6768*'Analyse capacite'!$D$8</f>
        <v>0</v>
      </c>
      <c r="K6768" s="135" t="n">
        <f aca="false">$G6768*'Analyse capacite'!$E$8</f>
        <v>0</v>
      </c>
    </row>
    <row r="6769" customFormat="false" ht="15" hidden="false" customHeight="false" outlineLevel="0" collapsed="false">
      <c r="B6769" s="130" t="n">
        <v>2027</v>
      </c>
      <c r="C6769" s="131" t="s">
        <v>252</v>
      </c>
      <c r="D6769" s="132" t="n">
        <v>46665</v>
      </c>
      <c r="E6769" s="131" t="s">
        <v>59</v>
      </c>
      <c r="F6769" s="133" t="s">
        <v>24</v>
      </c>
      <c r="G6769" s="134" t="n">
        <f aca="false">LEN('Saisie programme'!$E$279)+SUMIFS('Vols additionnels'!$E$7:$E$66,'Vols additionnels'!$C$7:$C$66,$E6769,'Vols additionnels'!$D$7:$D$66,$F6769,'Vols additionnels'!$B$7:$B$66,$D6769)</f>
        <v>1</v>
      </c>
      <c r="H6769" s="135" t="n">
        <f aca="false">$G6769*'Analyse capacite'!$F$9</f>
        <v>174</v>
      </c>
      <c r="I6769" s="135" t="n">
        <f aca="false">$G6769*'Analyse capacite'!$C$9</f>
        <v>0</v>
      </c>
      <c r="J6769" s="135" t="n">
        <f aca="false">$G6769*'Analyse capacite'!$D$9</f>
        <v>12</v>
      </c>
      <c r="K6769" s="135" t="n">
        <f aca="false">$G6769*'Analyse capacite'!$E$9</f>
        <v>162</v>
      </c>
    </row>
    <row r="6770" customFormat="false" ht="15" hidden="false" customHeight="false" outlineLevel="0" collapsed="false">
      <c r="B6770" s="130" t="n">
        <v>2027</v>
      </c>
      <c r="C6770" s="131" t="s">
        <v>252</v>
      </c>
      <c r="D6770" s="132" t="n">
        <v>46665</v>
      </c>
      <c r="E6770" s="131" t="s">
        <v>62</v>
      </c>
      <c r="F6770" s="133" t="s">
        <v>11</v>
      </c>
      <c r="G6770" s="134" t="n">
        <f aca="false">LEN('Saisie programme'!$E$280)+SUMIFS('Vols additionnels'!$E$7:$E$66,'Vols additionnels'!$C$7:$C$66,$E6770,'Vols additionnels'!$D$7:$D$66,$F6770,'Vols additionnels'!$B$7:$B$66,$D6770)</f>
        <v>0</v>
      </c>
      <c r="H6770" s="135" t="n">
        <f aca="false">$G6770*'Analyse capacite'!$F$7</f>
        <v>0</v>
      </c>
      <c r="I6770" s="135" t="n">
        <f aca="false">$G6770*'Analyse capacite'!$C$7</f>
        <v>0</v>
      </c>
      <c r="J6770" s="135" t="n">
        <f aca="false">$G6770*'Analyse capacite'!$D$7</f>
        <v>0</v>
      </c>
      <c r="K6770" s="135" t="n">
        <f aca="false">$G6770*'Analyse capacite'!$E$7</f>
        <v>0</v>
      </c>
    </row>
    <row r="6771" customFormat="false" ht="15" hidden="false" customHeight="false" outlineLevel="0" collapsed="false">
      <c r="B6771" s="130" t="n">
        <v>2027</v>
      </c>
      <c r="C6771" s="131" t="s">
        <v>252</v>
      </c>
      <c r="D6771" s="132" t="n">
        <v>46665</v>
      </c>
      <c r="E6771" s="131" t="s">
        <v>62</v>
      </c>
      <c r="F6771" s="133" t="s">
        <v>19</v>
      </c>
      <c r="G6771" s="134" t="n">
        <f aca="false">LEN('Saisie programme'!$E$281)+SUMIFS('Vols additionnels'!$E$7:$E$66,'Vols additionnels'!$C$7:$C$66,$E6771,'Vols additionnels'!$D$7:$D$66,$F6771,'Vols additionnels'!$B$7:$B$66,$D6771)</f>
        <v>0</v>
      </c>
      <c r="H6771" s="135" t="n">
        <f aca="false">$G6771*'Analyse capacite'!$F$8</f>
        <v>0</v>
      </c>
      <c r="I6771" s="135" t="n">
        <f aca="false">$G6771*'Analyse capacite'!$C$8</f>
        <v>0</v>
      </c>
      <c r="J6771" s="135" t="n">
        <f aca="false">$G6771*'Analyse capacite'!$D$8</f>
        <v>0</v>
      </c>
      <c r="K6771" s="135" t="n">
        <f aca="false">$G6771*'Analyse capacite'!$E$8</f>
        <v>0</v>
      </c>
    </row>
    <row r="6772" customFormat="false" ht="15" hidden="false" customHeight="false" outlineLevel="0" collapsed="false">
      <c r="B6772" s="130" t="n">
        <v>2027</v>
      </c>
      <c r="C6772" s="131" t="s">
        <v>252</v>
      </c>
      <c r="D6772" s="132" t="n">
        <v>46665</v>
      </c>
      <c r="E6772" s="131" t="s">
        <v>62</v>
      </c>
      <c r="F6772" s="133" t="s">
        <v>24</v>
      </c>
      <c r="G6772" s="134" t="n">
        <f aca="false">LEN('Saisie programme'!$E$282)+SUMIFS('Vols additionnels'!$E$7:$E$66,'Vols additionnels'!$C$7:$C$66,$E6772,'Vols additionnels'!$D$7:$D$66,$F6772,'Vols additionnels'!$B$7:$B$66,$D6772)</f>
        <v>0</v>
      </c>
      <c r="H6772" s="135" t="n">
        <f aca="false">$G6772*'Analyse capacite'!$F$9</f>
        <v>0</v>
      </c>
      <c r="I6772" s="135" t="n">
        <f aca="false">$G6772*'Analyse capacite'!$C$9</f>
        <v>0</v>
      </c>
      <c r="J6772" s="135" t="n">
        <f aca="false">$G6772*'Analyse capacite'!$D$9</f>
        <v>0</v>
      </c>
      <c r="K6772" s="135" t="n">
        <f aca="false">$G6772*'Analyse capacite'!$E$9</f>
        <v>0</v>
      </c>
    </row>
    <row r="6773" customFormat="false" ht="15" hidden="false" customHeight="false" outlineLevel="0" collapsed="false">
      <c r="B6773" s="130" t="n">
        <v>2027</v>
      </c>
      <c r="C6773" s="131" t="s">
        <v>252</v>
      </c>
      <c r="D6773" s="132" t="n">
        <v>46666</v>
      </c>
      <c r="E6773" s="131" t="s">
        <v>12</v>
      </c>
      <c r="F6773" s="133" t="s">
        <v>11</v>
      </c>
      <c r="G6773" s="134" t="n">
        <f aca="false">LEN('Saisie programme'!$F$247)+SUMIFS('Vols additionnels'!$E$7:$E$66,'Vols additionnels'!$C$7:$C$66,$E6773,'Vols additionnels'!$D$7:$D$66,$F6773,'Vols additionnels'!$B$7:$B$66,$D6773)</f>
        <v>1</v>
      </c>
      <c r="H6773" s="135" t="n">
        <f aca="false">$G6773*'Analyse capacite'!$F$7</f>
        <v>438</v>
      </c>
      <c r="I6773" s="135" t="n">
        <f aca="false">$G6773*'Analyse capacite'!$C$7</f>
        <v>14</v>
      </c>
      <c r="J6773" s="135" t="n">
        <f aca="false">$G6773*'Analyse capacite'!$D$7</f>
        <v>40</v>
      </c>
      <c r="K6773" s="135" t="n">
        <f aca="false">$G6773*'Analyse capacite'!$E$7</f>
        <v>384</v>
      </c>
    </row>
    <row r="6774" customFormat="false" ht="15" hidden="false" customHeight="false" outlineLevel="0" collapsed="false">
      <c r="B6774" s="130" t="n">
        <v>2027</v>
      </c>
      <c r="C6774" s="131" t="s">
        <v>252</v>
      </c>
      <c r="D6774" s="132" t="n">
        <v>46666</v>
      </c>
      <c r="E6774" s="131" t="s">
        <v>12</v>
      </c>
      <c r="F6774" s="133" t="s">
        <v>19</v>
      </c>
      <c r="G6774" s="134" t="n">
        <f aca="false">LEN('Saisie programme'!$F$248)+SUMIFS('Vols additionnels'!$E$7:$E$66,'Vols additionnels'!$C$7:$C$66,$E6774,'Vols additionnels'!$D$7:$D$66,$F6774,'Vols additionnels'!$B$7:$B$66,$D6774)</f>
        <v>0</v>
      </c>
      <c r="H6774" s="135" t="n">
        <f aca="false">$G6774*'Analyse capacite'!$F$8</f>
        <v>0</v>
      </c>
      <c r="I6774" s="135" t="n">
        <f aca="false">$G6774*'Analyse capacite'!$C$8</f>
        <v>0</v>
      </c>
      <c r="J6774" s="135" t="n">
        <f aca="false">$G6774*'Analyse capacite'!$D$8</f>
        <v>0</v>
      </c>
      <c r="K6774" s="135" t="n">
        <f aca="false">$G6774*'Analyse capacite'!$E$8</f>
        <v>0</v>
      </c>
    </row>
    <row r="6775" customFormat="false" ht="15" hidden="false" customHeight="false" outlineLevel="0" collapsed="false">
      <c r="B6775" s="130" t="n">
        <v>2027</v>
      </c>
      <c r="C6775" s="131" t="s">
        <v>252</v>
      </c>
      <c r="D6775" s="132" t="n">
        <v>46666</v>
      </c>
      <c r="E6775" s="131" t="s">
        <v>12</v>
      </c>
      <c r="F6775" s="133" t="s">
        <v>24</v>
      </c>
      <c r="G6775" s="134" t="n">
        <f aca="false">LEN('Saisie programme'!$F$249)+SUMIFS('Vols additionnels'!$E$7:$E$66,'Vols additionnels'!$C$7:$C$66,$E6775,'Vols additionnels'!$D$7:$D$66,$F6775,'Vols additionnels'!$B$7:$B$66,$D6775)</f>
        <v>0</v>
      </c>
      <c r="H6775" s="135" t="n">
        <f aca="false">$G6775*'Analyse capacite'!$F$9</f>
        <v>0</v>
      </c>
      <c r="I6775" s="135" t="n">
        <f aca="false">$G6775*'Analyse capacite'!$C$9</f>
        <v>0</v>
      </c>
      <c r="J6775" s="135" t="n">
        <f aca="false">$G6775*'Analyse capacite'!$D$9</f>
        <v>0</v>
      </c>
      <c r="K6775" s="135" t="n">
        <f aca="false">$G6775*'Analyse capacite'!$E$9</f>
        <v>0</v>
      </c>
    </row>
    <row r="6776" customFormat="false" ht="15" hidden="false" customHeight="false" outlineLevel="0" collapsed="false">
      <c r="B6776" s="130" t="n">
        <v>2027</v>
      </c>
      <c r="C6776" s="131" t="s">
        <v>252</v>
      </c>
      <c r="D6776" s="132" t="n">
        <v>46666</v>
      </c>
      <c r="E6776" s="131" t="s">
        <v>20</v>
      </c>
      <c r="F6776" s="133" t="s">
        <v>11</v>
      </c>
      <c r="G6776" s="134" t="n">
        <f aca="false">LEN('Saisie programme'!$F$250)+SUMIFS('Vols additionnels'!$E$7:$E$66,'Vols additionnels'!$C$7:$C$66,$E6776,'Vols additionnels'!$D$7:$D$66,$F6776,'Vols additionnels'!$B$7:$B$66,$D6776)</f>
        <v>0</v>
      </c>
      <c r="H6776" s="135" t="n">
        <f aca="false">$G6776*'Analyse capacite'!$F$7</f>
        <v>0</v>
      </c>
      <c r="I6776" s="135" t="n">
        <f aca="false">$G6776*'Analyse capacite'!$C$7</f>
        <v>0</v>
      </c>
      <c r="J6776" s="135" t="n">
        <f aca="false">$G6776*'Analyse capacite'!$D$7</f>
        <v>0</v>
      </c>
      <c r="K6776" s="135" t="n">
        <f aca="false">$G6776*'Analyse capacite'!$E$7</f>
        <v>0</v>
      </c>
    </row>
    <row r="6777" customFormat="false" ht="15" hidden="false" customHeight="false" outlineLevel="0" collapsed="false">
      <c r="B6777" s="130" t="n">
        <v>2027</v>
      </c>
      <c r="C6777" s="131" t="s">
        <v>252</v>
      </c>
      <c r="D6777" s="132" t="n">
        <v>46666</v>
      </c>
      <c r="E6777" s="131" t="s">
        <v>20</v>
      </c>
      <c r="F6777" s="133" t="s">
        <v>19</v>
      </c>
      <c r="G6777" s="134" t="n">
        <f aca="false">LEN('Saisie programme'!$F$251)+SUMIFS('Vols additionnels'!$E$7:$E$66,'Vols additionnels'!$C$7:$C$66,$E6777,'Vols additionnels'!$D$7:$D$66,$F6777,'Vols additionnels'!$B$7:$B$66,$D6777)</f>
        <v>0</v>
      </c>
      <c r="H6777" s="135" t="n">
        <f aca="false">$G6777*'Analyse capacite'!$F$8</f>
        <v>0</v>
      </c>
      <c r="I6777" s="135" t="n">
        <f aca="false">$G6777*'Analyse capacite'!$C$8</f>
        <v>0</v>
      </c>
      <c r="J6777" s="135" t="n">
        <f aca="false">$G6777*'Analyse capacite'!$D$8</f>
        <v>0</v>
      </c>
      <c r="K6777" s="135" t="n">
        <f aca="false">$G6777*'Analyse capacite'!$E$8</f>
        <v>0</v>
      </c>
    </row>
    <row r="6778" customFormat="false" ht="15" hidden="false" customHeight="false" outlineLevel="0" collapsed="false">
      <c r="B6778" s="130" t="n">
        <v>2027</v>
      </c>
      <c r="C6778" s="131" t="s">
        <v>252</v>
      </c>
      <c r="D6778" s="132" t="n">
        <v>46666</v>
      </c>
      <c r="E6778" s="131" t="s">
        <v>20</v>
      </c>
      <c r="F6778" s="133" t="s">
        <v>24</v>
      </c>
      <c r="G6778" s="134" t="n">
        <f aca="false">LEN('Saisie programme'!$F$252)+SUMIFS('Vols additionnels'!$E$7:$E$66,'Vols additionnels'!$C$7:$C$66,$E6778,'Vols additionnels'!$D$7:$D$66,$F6778,'Vols additionnels'!$B$7:$B$66,$D6778)</f>
        <v>0</v>
      </c>
      <c r="H6778" s="135" t="n">
        <f aca="false">$G6778*'Analyse capacite'!$F$9</f>
        <v>0</v>
      </c>
      <c r="I6778" s="135" t="n">
        <f aca="false">$G6778*'Analyse capacite'!$C$9</f>
        <v>0</v>
      </c>
      <c r="J6778" s="135" t="n">
        <f aca="false">$G6778*'Analyse capacite'!$D$9</f>
        <v>0</v>
      </c>
      <c r="K6778" s="135" t="n">
        <f aca="false">$G6778*'Analyse capacite'!$E$9</f>
        <v>0</v>
      </c>
    </row>
    <row r="6779" customFormat="false" ht="15" hidden="false" customHeight="false" outlineLevel="0" collapsed="false">
      <c r="B6779" s="130" t="n">
        <v>2027</v>
      </c>
      <c r="C6779" s="131" t="s">
        <v>252</v>
      </c>
      <c r="D6779" s="132" t="n">
        <v>46666</v>
      </c>
      <c r="E6779" s="131" t="s">
        <v>25</v>
      </c>
      <c r="F6779" s="133" t="s">
        <v>11</v>
      </c>
      <c r="G6779" s="134" t="n">
        <f aca="false">LEN('Saisie programme'!$F$253)+SUMIFS('Vols additionnels'!$E$7:$E$66,'Vols additionnels'!$C$7:$C$66,$E6779,'Vols additionnels'!$D$7:$D$66,$F6779,'Vols additionnels'!$B$7:$B$66,$D6779)</f>
        <v>0</v>
      </c>
      <c r="H6779" s="135" t="n">
        <f aca="false">$G6779*'Analyse capacite'!$F$7</f>
        <v>0</v>
      </c>
      <c r="I6779" s="135" t="n">
        <f aca="false">$G6779*'Analyse capacite'!$C$7</f>
        <v>0</v>
      </c>
      <c r="J6779" s="135" t="n">
        <f aca="false">$G6779*'Analyse capacite'!$D$7</f>
        <v>0</v>
      </c>
      <c r="K6779" s="135" t="n">
        <f aca="false">$G6779*'Analyse capacite'!$E$7</f>
        <v>0</v>
      </c>
    </row>
    <row r="6780" customFormat="false" ht="15" hidden="false" customHeight="false" outlineLevel="0" collapsed="false">
      <c r="B6780" s="130" t="n">
        <v>2027</v>
      </c>
      <c r="C6780" s="131" t="s">
        <v>252</v>
      </c>
      <c r="D6780" s="132" t="n">
        <v>46666</v>
      </c>
      <c r="E6780" s="131" t="s">
        <v>25</v>
      </c>
      <c r="F6780" s="133" t="s">
        <v>19</v>
      </c>
      <c r="G6780" s="134" t="n">
        <f aca="false">LEN('Saisie programme'!$F$254)+SUMIFS('Vols additionnels'!$E$7:$E$66,'Vols additionnels'!$C$7:$C$66,$E6780,'Vols additionnels'!$D$7:$D$66,$F6780,'Vols additionnels'!$B$7:$B$66,$D6780)</f>
        <v>1</v>
      </c>
      <c r="H6780" s="135" t="n">
        <f aca="false">$G6780*'Analyse capacite'!$F$8</f>
        <v>262</v>
      </c>
      <c r="I6780" s="135" t="n">
        <f aca="false">$G6780*'Analyse capacite'!$C$8</f>
        <v>18</v>
      </c>
      <c r="J6780" s="135" t="n">
        <f aca="false">$G6780*'Analyse capacite'!$D$8</f>
        <v>0</v>
      </c>
      <c r="K6780" s="135" t="n">
        <f aca="false">$G6780*'Analyse capacite'!$E$8</f>
        <v>244</v>
      </c>
    </row>
    <row r="6781" customFormat="false" ht="15" hidden="false" customHeight="false" outlineLevel="0" collapsed="false">
      <c r="B6781" s="130" t="n">
        <v>2027</v>
      </c>
      <c r="C6781" s="131" t="s">
        <v>252</v>
      </c>
      <c r="D6781" s="132" t="n">
        <v>46666</v>
      </c>
      <c r="E6781" s="131" t="s">
        <v>25</v>
      </c>
      <c r="F6781" s="133" t="s">
        <v>24</v>
      </c>
      <c r="G6781" s="134" t="n">
        <f aca="false">LEN('Saisie programme'!$F$255)+SUMIFS('Vols additionnels'!$E$7:$E$66,'Vols additionnels'!$C$7:$C$66,$E6781,'Vols additionnels'!$D$7:$D$66,$F6781,'Vols additionnels'!$B$7:$B$66,$D6781)</f>
        <v>0</v>
      </c>
      <c r="H6781" s="135" t="n">
        <f aca="false">$G6781*'Analyse capacite'!$F$9</f>
        <v>0</v>
      </c>
      <c r="I6781" s="135" t="n">
        <f aca="false">$G6781*'Analyse capacite'!$C$9</f>
        <v>0</v>
      </c>
      <c r="J6781" s="135" t="n">
        <f aca="false">$G6781*'Analyse capacite'!$D$9</f>
        <v>0</v>
      </c>
      <c r="K6781" s="135" t="n">
        <f aca="false">$G6781*'Analyse capacite'!$E$9</f>
        <v>0</v>
      </c>
    </row>
    <row r="6782" customFormat="false" ht="15" hidden="false" customHeight="false" outlineLevel="0" collapsed="false">
      <c r="B6782" s="130" t="n">
        <v>2027</v>
      </c>
      <c r="C6782" s="131" t="s">
        <v>252</v>
      </c>
      <c r="D6782" s="132" t="n">
        <v>46666</v>
      </c>
      <c r="E6782" s="131" t="s">
        <v>36</v>
      </c>
      <c r="F6782" s="133" t="s">
        <v>11</v>
      </c>
      <c r="G6782" s="134" t="n">
        <f aca="false">LEN('Saisie programme'!$F$256)+SUMIFS('Vols additionnels'!$E$7:$E$66,'Vols additionnels'!$C$7:$C$66,$E6782,'Vols additionnels'!$D$7:$D$66,$F6782,'Vols additionnels'!$B$7:$B$66,$D6782)</f>
        <v>0</v>
      </c>
      <c r="H6782" s="135" t="n">
        <f aca="false">$G6782*'Analyse capacite'!$F$7</f>
        <v>0</v>
      </c>
      <c r="I6782" s="135" t="n">
        <f aca="false">$G6782*'Analyse capacite'!$C$7</f>
        <v>0</v>
      </c>
      <c r="J6782" s="135" t="n">
        <f aca="false">$G6782*'Analyse capacite'!$D$7</f>
        <v>0</v>
      </c>
      <c r="K6782" s="135" t="n">
        <f aca="false">$G6782*'Analyse capacite'!$E$7</f>
        <v>0</v>
      </c>
    </row>
    <row r="6783" customFormat="false" ht="15" hidden="false" customHeight="false" outlineLevel="0" collapsed="false">
      <c r="B6783" s="130" t="n">
        <v>2027</v>
      </c>
      <c r="C6783" s="131" t="s">
        <v>252</v>
      </c>
      <c r="D6783" s="132" t="n">
        <v>46666</v>
      </c>
      <c r="E6783" s="131" t="s">
        <v>36</v>
      </c>
      <c r="F6783" s="133" t="s">
        <v>19</v>
      </c>
      <c r="G6783" s="134" t="n">
        <f aca="false">LEN('Saisie programme'!$F$257)+SUMIFS('Vols additionnels'!$E$7:$E$66,'Vols additionnels'!$C$7:$C$66,$E6783,'Vols additionnels'!$D$7:$D$66,$F6783,'Vols additionnels'!$B$7:$B$66,$D6783)</f>
        <v>1</v>
      </c>
      <c r="H6783" s="135" t="n">
        <f aca="false">$G6783*'Analyse capacite'!$F$8</f>
        <v>262</v>
      </c>
      <c r="I6783" s="135" t="n">
        <f aca="false">$G6783*'Analyse capacite'!$C$8</f>
        <v>18</v>
      </c>
      <c r="J6783" s="135" t="n">
        <f aca="false">$G6783*'Analyse capacite'!$D$8</f>
        <v>0</v>
      </c>
      <c r="K6783" s="135" t="n">
        <f aca="false">$G6783*'Analyse capacite'!$E$8</f>
        <v>244</v>
      </c>
    </row>
    <row r="6784" customFormat="false" ht="15" hidden="false" customHeight="false" outlineLevel="0" collapsed="false">
      <c r="B6784" s="130" t="n">
        <v>2027</v>
      </c>
      <c r="C6784" s="131" t="s">
        <v>252</v>
      </c>
      <c r="D6784" s="132" t="n">
        <v>46666</v>
      </c>
      <c r="E6784" s="131" t="s">
        <v>36</v>
      </c>
      <c r="F6784" s="133" t="s">
        <v>24</v>
      </c>
      <c r="G6784" s="134" t="n">
        <f aca="false">LEN('Saisie programme'!$F$258)+SUMIFS('Vols additionnels'!$E$7:$E$66,'Vols additionnels'!$C$7:$C$66,$E6784,'Vols additionnels'!$D$7:$D$66,$F6784,'Vols additionnels'!$B$7:$B$66,$D6784)</f>
        <v>1</v>
      </c>
      <c r="H6784" s="135" t="n">
        <f aca="false">$G6784*'Analyse capacite'!$F$9</f>
        <v>174</v>
      </c>
      <c r="I6784" s="135" t="n">
        <f aca="false">$G6784*'Analyse capacite'!$C$9</f>
        <v>0</v>
      </c>
      <c r="J6784" s="135" t="n">
        <f aca="false">$G6784*'Analyse capacite'!$D$9</f>
        <v>12</v>
      </c>
      <c r="K6784" s="135" t="n">
        <f aca="false">$G6784*'Analyse capacite'!$E$9</f>
        <v>162</v>
      </c>
    </row>
    <row r="6785" customFormat="false" ht="15" hidden="false" customHeight="false" outlineLevel="0" collapsed="false">
      <c r="B6785" s="130" t="n">
        <v>2027</v>
      </c>
      <c r="C6785" s="131" t="s">
        <v>252</v>
      </c>
      <c r="D6785" s="132" t="n">
        <v>46666</v>
      </c>
      <c r="E6785" s="131" t="s">
        <v>40</v>
      </c>
      <c r="F6785" s="133" t="s">
        <v>11</v>
      </c>
      <c r="G6785" s="134" t="n">
        <f aca="false">LEN('Saisie programme'!$F$259)+SUMIFS('Vols additionnels'!$E$7:$E$66,'Vols additionnels'!$C$7:$C$66,$E6785,'Vols additionnels'!$D$7:$D$66,$F6785,'Vols additionnels'!$B$7:$B$66,$D6785)</f>
        <v>0</v>
      </c>
      <c r="H6785" s="135" t="n">
        <f aca="false">$G6785*'Analyse capacite'!$F$7</f>
        <v>0</v>
      </c>
      <c r="I6785" s="135" t="n">
        <f aca="false">$G6785*'Analyse capacite'!$C$7</f>
        <v>0</v>
      </c>
      <c r="J6785" s="135" t="n">
        <f aca="false">$G6785*'Analyse capacite'!$D$7</f>
        <v>0</v>
      </c>
      <c r="K6785" s="135" t="n">
        <f aca="false">$G6785*'Analyse capacite'!$E$7</f>
        <v>0</v>
      </c>
    </row>
    <row r="6786" customFormat="false" ht="15" hidden="false" customHeight="false" outlineLevel="0" collapsed="false">
      <c r="B6786" s="130" t="n">
        <v>2027</v>
      </c>
      <c r="C6786" s="131" t="s">
        <v>252</v>
      </c>
      <c r="D6786" s="132" t="n">
        <v>46666</v>
      </c>
      <c r="E6786" s="131" t="s">
        <v>40</v>
      </c>
      <c r="F6786" s="133" t="s">
        <v>19</v>
      </c>
      <c r="G6786" s="134" t="n">
        <f aca="false">LEN('Saisie programme'!$F$260)+SUMIFS('Vols additionnels'!$E$7:$E$66,'Vols additionnels'!$C$7:$C$66,$E6786,'Vols additionnels'!$D$7:$D$66,$F6786,'Vols additionnels'!$B$7:$B$66,$D6786)</f>
        <v>0</v>
      </c>
      <c r="H6786" s="135" t="n">
        <f aca="false">$G6786*'Analyse capacite'!$F$8</f>
        <v>0</v>
      </c>
      <c r="I6786" s="135" t="n">
        <f aca="false">$G6786*'Analyse capacite'!$C$8</f>
        <v>0</v>
      </c>
      <c r="J6786" s="135" t="n">
        <f aca="false">$G6786*'Analyse capacite'!$D$8</f>
        <v>0</v>
      </c>
      <c r="K6786" s="135" t="n">
        <f aca="false">$G6786*'Analyse capacite'!$E$8</f>
        <v>0</v>
      </c>
    </row>
    <row r="6787" customFormat="false" ht="15" hidden="false" customHeight="false" outlineLevel="0" collapsed="false">
      <c r="B6787" s="130" t="n">
        <v>2027</v>
      </c>
      <c r="C6787" s="131" t="s">
        <v>252</v>
      </c>
      <c r="D6787" s="132" t="n">
        <v>46666</v>
      </c>
      <c r="E6787" s="131" t="s">
        <v>40</v>
      </c>
      <c r="F6787" s="133" t="s">
        <v>24</v>
      </c>
      <c r="G6787" s="134" t="n">
        <f aca="false">LEN('Saisie programme'!$F$261)+SUMIFS('Vols additionnels'!$E$7:$E$66,'Vols additionnels'!$C$7:$C$66,$E6787,'Vols additionnels'!$D$7:$D$66,$F6787,'Vols additionnels'!$B$7:$B$66,$D6787)</f>
        <v>1</v>
      </c>
      <c r="H6787" s="135" t="n">
        <f aca="false">$G6787*'Analyse capacite'!$F$9</f>
        <v>174</v>
      </c>
      <c r="I6787" s="135" t="n">
        <f aca="false">$G6787*'Analyse capacite'!$C$9</f>
        <v>0</v>
      </c>
      <c r="J6787" s="135" t="n">
        <f aca="false">$G6787*'Analyse capacite'!$D$9</f>
        <v>12</v>
      </c>
      <c r="K6787" s="135" t="n">
        <f aca="false">$G6787*'Analyse capacite'!$E$9</f>
        <v>162</v>
      </c>
    </row>
    <row r="6788" customFormat="false" ht="15" hidden="false" customHeight="false" outlineLevel="0" collapsed="false">
      <c r="B6788" s="130" t="n">
        <v>2027</v>
      </c>
      <c r="C6788" s="131" t="s">
        <v>252</v>
      </c>
      <c r="D6788" s="132" t="n">
        <v>46666</v>
      </c>
      <c r="E6788" s="131" t="s">
        <v>14</v>
      </c>
      <c r="F6788" s="133" t="s">
        <v>11</v>
      </c>
      <c r="G6788" s="134" t="n">
        <f aca="false">LEN('Saisie programme'!$F$262)+SUMIFS('Vols additionnels'!$E$7:$E$66,'Vols additionnels'!$C$7:$C$66,$E6788,'Vols additionnels'!$D$7:$D$66,$F6788,'Vols additionnels'!$B$7:$B$66,$D6788)</f>
        <v>0</v>
      </c>
      <c r="H6788" s="135" t="n">
        <f aca="false">$G6788*'Analyse capacite'!$F$7</f>
        <v>0</v>
      </c>
      <c r="I6788" s="135" t="n">
        <f aca="false">$G6788*'Analyse capacite'!$C$7</f>
        <v>0</v>
      </c>
      <c r="J6788" s="135" t="n">
        <f aca="false">$G6788*'Analyse capacite'!$D$7</f>
        <v>0</v>
      </c>
      <c r="K6788" s="135" t="n">
        <f aca="false">$G6788*'Analyse capacite'!$E$7</f>
        <v>0</v>
      </c>
    </row>
    <row r="6789" customFormat="false" ht="15" hidden="false" customHeight="false" outlineLevel="0" collapsed="false">
      <c r="B6789" s="130" t="n">
        <v>2027</v>
      </c>
      <c r="C6789" s="131" t="s">
        <v>252</v>
      </c>
      <c r="D6789" s="132" t="n">
        <v>46666</v>
      </c>
      <c r="E6789" s="131" t="s">
        <v>14</v>
      </c>
      <c r="F6789" s="133" t="s">
        <v>19</v>
      </c>
      <c r="G6789" s="134" t="n">
        <f aca="false">LEN('Saisie programme'!$F$263)+SUMIFS('Vols additionnels'!$E$7:$E$66,'Vols additionnels'!$C$7:$C$66,$E6789,'Vols additionnels'!$D$7:$D$66,$F6789,'Vols additionnels'!$B$7:$B$66,$D6789)</f>
        <v>0</v>
      </c>
      <c r="H6789" s="135" t="n">
        <f aca="false">$G6789*'Analyse capacite'!$F$8</f>
        <v>0</v>
      </c>
      <c r="I6789" s="135" t="n">
        <f aca="false">$G6789*'Analyse capacite'!$C$8</f>
        <v>0</v>
      </c>
      <c r="J6789" s="135" t="n">
        <f aca="false">$G6789*'Analyse capacite'!$D$8</f>
        <v>0</v>
      </c>
      <c r="K6789" s="135" t="n">
        <f aca="false">$G6789*'Analyse capacite'!$E$8</f>
        <v>0</v>
      </c>
    </row>
    <row r="6790" customFormat="false" ht="15" hidden="false" customHeight="false" outlineLevel="0" collapsed="false">
      <c r="B6790" s="130" t="n">
        <v>2027</v>
      </c>
      <c r="C6790" s="131" t="s">
        <v>252</v>
      </c>
      <c r="D6790" s="132" t="n">
        <v>46666</v>
      </c>
      <c r="E6790" s="131" t="s">
        <v>14</v>
      </c>
      <c r="F6790" s="133" t="s">
        <v>24</v>
      </c>
      <c r="G6790" s="134" t="n">
        <f aca="false">LEN('Saisie programme'!$F$264)+SUMIFS('Vols additionnels'!$E$7:$E$66,'Vols additionnels'!$C$7:$C$66,$E6790,'Vols additionnels'!$D$7:$D$66,$F6790,'Vols additionnels'!$B$7:$B$66,$D6790)</f>
        <v>0</v>
      </c>
      <c r="H6790" s="135" t="n">
        <f aca="false">$G6790*'Analyse capacite'!$F$9</f>
        <v>0</v>
      </c>
      <c r="I6790" s="135" t="n">
        <f aca="false">$G6790*'Analyse capacite'!$C$9</f>
        <v>0</v>
      </c>
      <c r="J6790" s="135" t="n">
        <f aca="false">$G6790*'Analyse capacite'!$D$9</f>
        <v>0</v>
      </c>
      <c r="K6790" s="135" t="n">
        <f aca="false">$G6790*'Analyse capacite'!$E$9</f>
        <v>0</v>
      </c>
    </row>
    <row r="6791" customFormat="false" ht="15" hidden="false" customHeight="false" outlineLevel="0" collapsed="false">
      <c r="B6791" s="130" t="n">
        <v>2027</v>
      </c>
      <c r="C6791" s="131" t="s">
        <v>252</v>
      </c>
      <c r="D6791" s="132" t="n">
        <v>46666</v>
      </c>
      <c r="E6791" s="131" t="s">
        <v>46</v>
      </c>
      <c r="F6791" s="133" t="s">
        <v>11</v>
      </c>
      <c r="G6791" s="134" t="n">
        <f aca="false">LEN('Saisie programme'!$F$265)+SUMIFS('Vols additionnels'!$E$7:$E$66,'Vols additionnels'!$C$7:$C$66,$E6791,'Vols additionnels'!$D$7:$D$66,$F6791,'Vols additionnels'!$B$7:$B$66,$D6791)</f>
        <v>0</v>
      </c>
      <c r="H6791" s="135" t="n">
        <f aca="false">$G6791*'Analyse capacite'!$F$7</f>
        <v>0</v>
      </c>
      <c r="I6791" s="135" t="n">
        <f aca="false">$G6791*'Analyse capacite'!$C$7</f>
        <v>0</v>
      </c>
      <c r="J6791" s="135" t="n">
        <f aca="false">$G6791*'Analyse capacite'!$D$7</f>
        <v>0</v>
      </c>
      <c r="K6791" s="135" t="n">
        <f aca="false">$G6791*'Analyse capacite'!$E$7</f>
        <v>0</v>
      </c>
    </row>
    <row r="6792" customFormat="false" ht="15" hidden="false" customHeight="false" outlineLevel="0" collapsed="false">
      <c r="B6792" s="130" t="n">
        <v>2027</v>
      </c>
      <c r="C6792" s="131" t="s">
        <v>252</v>
      </c>
      <c r="D6792" s="132" t="n">
        <v>46666</v>
      </c>
      <c r="E6792" s="131" t="s">
        <v>46</v>
      </c>
      <c r="F6792" s="133" t="s">
        <v>19</v>
      </c>
      <c r="G6792" s="134" t="n">
        <f aca="false">LEN('Saisie programme'!$F$266)+SUMIFS('Vols additionnels'!$E$7:$E$66,'Vols additionnels'!$C$7:$C$66,$E6792,'Vols additionnels'!$D$7:$D$66,$F6792,'Vols additionnels'!$B$7:$B$66,$D6792)</f>
        <v>0</v>
      </c>
      <c r="H6792" s="135" t="n">
        <f aca="false">$G6792*'Analyse capacite'!$F$8</f>
        <v>0</v>
      </c>
      <c r="I6792" s="135" t="n">
        <f aca="false">$G6792*'Analyse capacite'!$C$8</f>
        <v>0</v>
      </c>
      <c r="J6792" s="135" t="n">
        <f aca="false">$G6792*'Analyse capacite'!$D$8</f>
        <v>0</v>
      </c>
      <c r="K6792" s="135" t="n">
        <f aca="false">$G6792*'Analyse capacite'!$E$8</f>
        <v>0</v>
      </c>
    </row>
    <row r="6793" customFormat="false" ht="15" hidden="false" customHeight="false" outlineLevel="0" collapsed="false">
      <c r="B6793" s="130" t="n">
        <v>2027</v>
      </c>
      <c r="C6793" s="131" t="s">
        <v>252</v>
      </c>
      <c r="D6793" s="132" t="n">
        <v>46666</v>
      </c>
      <c r="E6793" s="131" t="s">
        <v>46</v>
      </c>
      <c r="F6793" s="133" t="s">
        <v>24</v>
      </c>
      <c r="G6793" s="134" t="n">
        <f aca="false">LEN('Saisie programme'!$F$267)+SUMIFS('Vols additionnels'!$E$7:$E$66,'Vols additionnels'!$C$7:$C$66,$E6793,'Vols additionnels'!$D$7:$D$66,$F6793,'Vols additionnels'!$B$7:$B$66,$D6793)</f>
        <v>0</v>
      </c>
      <c r="H6793" s="135" t="n">
        <f aca="false">$G6793*'Analyse capacite'!$F$9</f>
        <v>0</v>
      </c>
      <c r="I6793" s="135" t="n">
        <f aca="false">$G6793*'Analyse capacite'!$C$9</f>
        <v>0</v>
      </c>
      <c r="J6793" s="135" t="n">
        <f aca="false">$G6793*'Analyse capacite'!$D$9</f>
        <v>0</v>
      </c>
      <c r="K6793" s="135" t="n">
        <f aca="false">$G6793*'Analyse capacite'!$E$9</f>
        <v>0</v>
      </c>
    </row>
    <row r="6794" customFormat="false" ht="15" hidden="false" customHeight="false" outlineLevel="0" collapsed="false">
      <c r="B6794" s="130" t="n">
        <v>2027</v>
      </c>
      <c r="C6794" s="131" t="s">
        <v>252</v>
      </c>
      <c r="D6794" s="132" t="n">
        <v>46666</v>
      </c>
      <c r="E6794" s="131" t="s">
        <v>49</v>
      </c>
      <c r="F6794" s="133" t="s">
        <v>11</v>
      </c>
      <c r="G6794" s="134" t="n">
        <f aca="false">LEN('Saisie programme'!$F$268)+SUMIFS('Vols additionnels'!$E$7:$E$66,'Vols additionnels'!$C$7:$C$66,$E6794,'Vols additionnels'!$D$7:$D$66,$F6794,'Vols additionnels'!$B$7:$B$66,$D6794)</f>
        <v>0</v>
      </c>
      <c r="H6794" s="135" t="n">
        <f aca="false">$G6794*'Analyse capacite'!$F$7</f>
        <v>0</v>
      </c>
      <c r="I6794" s="135" t="n">
        <f aca="false">$G6794*'Analyse capacite'!$C$7</f>
        <v>0</v>
      </c>
      <c r="J6794" s="135" t="n">
        <f aca="false">$G6794*'Analyse capacite'!$D$7</f>
        <v>0</v>
      </c>
      <c r="K6794" s="135" t="n">
        <f aca="false">$G6794*'Analyse capacite'!$E$7</f>
        <v>0</v>
      </c>
    </row>
    <row r="6795" customFormat="false" ht="15" hidden="false" customHeight="false" outlineLevel="0" collapsed="false">
      <c r="B6795" s="130" t="n">
        <v>2027</v>
      </c>
      <c r="C6795" s="131" t="s">
        <v>252</v>
      </c>
      <c r="D6795" s="132" t="n">
        <v>46666</v>
      </c>
      <c r="E6795" s="131" t="s">
        <v>49</v>
      </c>
      <c r="F6795" s="133" t="s">
        <v>19</v>
      </c>
      <c r="G6795" s="134" t="n">
        <f aca="false">LEN('Saisie programme'!$F$269)+SUMIFS('Vols additionnels'!$E$7:$E$66,'Vols additionnels'!$C$7:$C$66,$E6795,'Vols additionnels'!$D$7:$D$66,$F6795,'Vols additionnels'!$B$7:$B$66,$D6795)</f>
        <v>0</v>
      </c>
      <c r="H6795" s="135" t="n">
        <f aca="false">$G6795*'Analyse capacite'!$F$8</f>
        <v>0</v>
      </c>
      <c r="I6795" s="135" t="n">
        <f aca="false">$G6795*'Analyse capacite'!$C$8</f>
        <v>0</v>
      </c>
      <c r="J6795" s="135" t="n">
        <f aca="false">$G6795*'Analyse capacite'!$D$8</f>
        <v>0</v>
      </c>
      <c r="K6795" s="135" t="n">
        <f aca="false">$G6795*'Analyse capacite'!$E$8</f>
        <v>0</v>
      </c>
    </row>
    <row r="6796" customFormat="false" ht="15" hidden="false" customHeight="false" outlineLevel="0" collapsed="false">
      <c r="B6796" s="130" t="n">
        <v>2027</v>
      </c>
      <c r="C6796" s="131" t="s">
        <v>252</v>
      </c>
      <c r="D6796" s="132" t="n">
        <v>46666</v>
      </c>
      <c r="E6796" s="131" t="s">
        <v>49</v>
      </c>
      <c r="F6796" s="133" t="s">
        <v>24</v>
      </c>
      <c r="G6796" s="134" t="n">
        <f aca="false">LEN('Saisie programme'!$F$270)+SUMIFS('Vols additionnels'!$E$7:$E$66,'Vols additionnels'!$C$7:$C$66,$E6796,'Vols additionnels'!$D$7:$D$66,$F6796,'Vols additionnels'!$B$7:$B$66,$D6796)</f>
        <v>0</v>
      </c>
      <c r="H6796" s="135" t="n">
        <f aca="false">$G6796*'Analyse capacite'!$F$9</f>
        <v>0</v>
      </c>
      <c r="I6796" s="135" t="n">
        <f aca="false">$G6796*'Analyse capacite'!$C$9</f>
        <v>0</v>
      </c>
      <c r="J6796" s="135" t="n">
        <f aca="false">$G6796*'Analyse capacite'!$D$9</f>
        <v>0</v>
      </c>
      <c r="K6796" s="135" t="n">
        <f aca="false">$G6796*'Analyse capacite'!$E$9</f>
        <v>0</v>
      </c>
    </row>
    <row r="6797" customFormat="false" ht="15" hidden="false" customHeight="false" outlineLevel="0" collapsed="false">
      <c r="B6797" s="130" t="n">
        <v>2027</v>
      </c>
      <c r="C6797" s="131" t="s">
        <v>252</v>
      </c>
      <c r="D6797" s="132" t="n">
        <v>46666</v>
      </c>
      <c r="E6797" s="131" t="s">
        <v>53</v>
      </c>
      <c r="F6797" s="133" t="s">
        <v>11</v>
      </c>
      <c r="G6797" s="134" t="n">
        <f aca="false">LEN('Saisie programme'!$F$271)+SUMIFS('Vols additionnels'!$E$7:$E$66,'Vols additionnels'!$C$7:$C$66,$E6797,'Vols additionnels'!$D$7:$D$66,$F6797,'Vols additionnels'!$B$7:$B$66,$D6797)</f>
        <v>0</v>
      </c>
      <c r="H6797" s="135" t="n">
        <f aca="false">$G6797*'Analyse capacite'!$F$7</f>
        <v>0</v>
      </c>
      <c r="I6797" s="135" t="n">
        <f aca="false">$G6797*'Analyse capacite'!$C$7</f>
        <v>0</v>
      </c>
      <c r="J6797" s="135" t="n">
        <f aca="false">$G6797*'Analyse capacite'!$D$7</f>
        <v>0</v>
      </c>
      <c r="K6797" s="135" t="n">
        <f aca="false">$G6797*'Analyse capacite'!$E$7</f>
        <v>0</v>
      </c>
    </row>
    <row r="6798" customFormat="false" ht="15" hidden="false" customHeight="false" outlineLevel="0" collapsed="false">
      <c r="B6798" s="130" t="n">
        <v>2027</v>
      </c>
      <c r="C6798" s="131" t="s">
        <v>252</v>
      </c>
      <c r="D6798" s="132" t="n">
        <v>46666</v>
      </c>
      <c r="E6798" s="131" t="s">
        <v>53</v>
      </c>
      <c r="F6798" s="133" t="s">
        <v>19</v>
      </c>
      <c r="G6798" s="134" t="n">
        <f aca="false">LEN('Saisie programme'!$F$272)+SUMIFS('Vols additionnels'!$E$7:$E$66,'Vols additionnels'!$C$7:$C$66,$E6798,'Vols additionnels'!$D$7:$D$66,$F6798,'Vols additionnels'!$B$7:$B$66,$D6798)</f>
        <v>0</v>
      </c>
      <c r="H6798" s="135" t="n">
        <f aca="false">$G6798*'Analyse capacite'!$F$8</f>
        <v>0</v>
      </c>
      <c r="I6798" s="135" t="n">
        <f aca="false">$G6798*'Analyse capacite'!$C$8</f>
        <v>0</v>
      </c>
      <c r="J6798" s="135" t="n">
        <f aca="false">$G6798*'Analyse capacite'!$D$8</f>
        <v>0</v>
      </c>
      <c r="K6798" s="135" t="n">
        <f aca="false">$G6798*'Analyse capacite'!$E$8</f>
        <v>0</v>
      </c>
    </row>
    <row r="6799" customFormat="false" ht="15" hidden="false" customHeight="false" outlineLevel="0" collapsed="false">
      <c r="B6799" s="130" t="n">
        <v>2027</v>
      </c>
      <c r="C6799" s="131" t="s">
        <v>252</v>
      </c>
      <c r="D6799" s="132" t="n">
        <v>46666</v>
      </c>
      <c r="E6799" s="131" t="s">
        <v>53</v>
      </c>
      <c r="F6799" s="133" t="s">
        <v>24</v>
      </c>
      <c r="G6799" s="134" t="n">
        <f aca="false">LEN('Saisie programme'!$F$273)+SUMIFS('Vols additionnels'!$E$7:$E$66,'Vols additionnels'!$C$7:$C$66,$E6799,'Vols additionnels'!$D$7:$D$66,$F6799,'Vols additionnels'!$B$7:$B$66,$D6799)</f>
        <v>0</v>
      </c>
      <c r="H6799" s="135" t="n">
        <f aca="false">$G6799*'Analyse capacite'!$F$9</f>
        <v>0</v>
      </c>
      <c r="I6799" s="135" t="n">
        <f aca="false">$G6799*'Analyse capacite'!$C$9</f>
        <v>0</v>
      </c>
      <c r="J6799" s="135" t="n">
        <f aca="false">$G6799*'Analyse capacite'!$D$9</f>
        <v>0</v>
      </c>
      <c r="K6799" s="135" t="n">
        <f aca="false">$G6799*'Analyse capacite'!$E$9</f>
        <v>0</v>
      </c>
    </row>
    <row r="6800" customFormat="false" ht="15" hidden="false" customHeight="false" outlineLevel="0" collapsed="false">
      <c r="B6800" s="130" t="n">
        <v>2027</v>
      </c>
      <c r="C6800" s="131" t="s">
        <v>252</v>
      </c>
      <c r="D6800" s="132" t="n">
        <v>46666</v>
      </c>
      <c r="E6800" s="131" t="s">
        <v>56</v>
      </c>
      <c r="F6800" s="133" t="s">
        <v>11</v>
      </c>
      <c r="G6800" s="134" t="n">
        <f aca="false">LEN('Saisie programme'!$F$274)+SUMIFS('Vols additionnels'!$E$7:$E$66,'Vols additionnels'!$C$7:$C$66,$E6800,'Vols additionnels'!$D$7:$D$66,$F6800,'Vols additionnels'!$B$7:$B$66,$D6800)</f>
        <v>0</v>
      </c>
      <c r="H6800" s="135" t="n">
        <f aca="false">$G6800*'Analyse capacite'!$F$7</f>
        <v>0</v>
      </c>
      <c r="I6800" s="135" t="n">
        <f aca="false">$G6800*'Analyse capacite'!$C$7</f>
        <v>0</v>
      </c>
      <c r="J6800" s="135" t="n">
        <f aca="false">$G6800*'Analyse capacite'!$D$7</f>
        <v>0</v>
      </c>
      <c r="K6800" s="135" t="n">
        <f aca="false">$G6800*'Analyse capacite'!$E$7</f>
        <v>0</v>
      </c>
    </row>
    <row r="6801" customFormat="false" ht="15" hidden="false" customHeight="false" outlineLevel="0" collapsed="false">
      <c r="B6801" s="130" t="n">
        <v>2027</v>
      </c>
      <c r="C6801" s="131" t="s">
        <v>252</v>
      </c>
      <c r="D6801" s="132" t="n">
        <v>46666</v>
      </c>
      <c r="E6801" s="131" t="s">
        <v>56</v>
      </c>
      <c r="F6801" s="133" t="s">
        <v>19</v>
      </c>
      <c r="G6801" s="134" t="n">
        <f aca="false">LEN('Saisie programme'!$F$275)+SUMIFS('Vols additionnels'!$E$7:$E$66,'Vols additionnels'!$C$7:$C$66,$E6801,'Vols additionnels'!$D$7:$D$66,$F6801,'Vols additionnels'!$B$7:$B$66,$D6801)</f>
        <v>0</v>
      </c>
      <c r="H6801" s="135" t="n">
        <f aca="false">$G6801*'Analyse capacite'!$F$8</f>
        <v>0</v>
      </c>
      <c r="I6801" s="135" t="n">
        <f aca="false">$G6801*'Analyse capacite'!$C$8</f>
        <v>0</v>
      </c>
      <c r="J6801" s="135" t="n">
        <f aca="false">$G6801*'Analyse capacite'!$D$8</f>
        <v>0</v>
      </c>
      <c r="K6801" s="135" t="n">
        <f aca="false">$G6801*'Analyse capacite'!$E$8</f>
        <v>0</v>
      </c>
    </row>
    <row r="6802" customFormat="false" ht="15" hidden="false" customHeight="false" outlineLevel="0" collapsed="false">
      <c r="B6802" s="130" t="n">
        <v>2027</v>
      </c>
      <c r="C6802" s="131" t="s">
        <v>252</v>
      </c>
      <c r="D6802" s="132" t="n">
        <v>46666</v>
      </c>
      <c r="E6802" s="131" t="s">
        <v>56</v>
      </c>
      <c r="F6802" s="133" t="s">
        <v>24</v>
      </c>
      <c r="G6802" s="134" t="n">
        <f aca="false">LEN('Saisie programme'!$F$276)+SUMIFS('Vols additionnels'!$E$7:$E$66,'Vols additionnels'!$C$7:$C$66,$E6802,'Vols additionnels'!$D$7:$D$66,$F6802,'Vols additionnels'!$B$7:$B$66,$D6802)</f>
        <v>0</v>
      </c>
      <c r="H6802" s="135" t="n">
        <f aca="false">$G6802*'Analyse capacite'!$F$9</f>
        <v>0</v>
      </c>
      <c r="I6802" s="135" t="n">
        <f aca="false">$G6802*'Analyse capacite'!$C$9</f>
        <v>0</v>
      </c>
      <c r="J6802" s="135" t="n">
        <f aca="false">$G6802*'Analyse capacite'!$D$9</f>
        <v>0</v>
      </c>
      <c r="K6802" s="135" t="n">
        <f aca="false">$G6802*'Analyse capacite'!$E$9</f>
        <v>0</v>
      </c>
    </row>
    <row r="6803" customFormat="false" ht="15" hidden="false" customHeight="false" outlineLevel="0" collapsed="false">
      <c r="B6803" s="130" t="n">
        <v>2027</v>
      </c>
      <c r="C6803" s="131" t="s">
        <v>252</v>
      </c>
      <c r="D6803" s="132" t="n">
        <v>46666</v>
      </c>
      <c r="E6803" s="131" t="s">
        <v>59</v>
      </c>
      <c r="F6803" s="133" t="s">
        <v>11</v>
      </c>
      <c r="G6803" s="134" t="n">
        <f aca="false">LEN('Saisie programme'!$F$277)+SUMIFS('Vols additionnels'!$E$7:$E$66,'Vols additionnels'!$C$7:$C$66,$E6803,'Vols additionnels'!$D$7:$D$66,$F6803,'Vols additionnels'!$B$7:$B$66,$D6803)</f>
        <v>0</v>
      </c>
      <c r="H6803" s="135" t="n">
        <f aca="false">$G6803*'Analyse capacite'!$F$7</f>
        <v>0</v>
      </c>
      <c r="I6803" s="135" t="n">
        <f aca="false">$G6803*'Analyse capacite'!$C$7</f>
        <v>0</v>
      </c>
      <c r="J6803" s="135" t="n">
        <f aca="false">$G6803*'Analyse capacite'!$D$7</f>
        <v>0</v>
      </c>
      <c r="K6803" s="135" t="n">
        <f aca="false">$G6803*'Analyse capacite'!$E$7</f>
        <v>0</v>
      </c>
    </row>
    <row r="6804" customFormat="false" ht="15" hidden="false" customHeight="false" outlineLevel="0" collapsed="false">
      <c r="B6804" s="130" t="n">
        <v>2027</v>
      </c>
      <c r="C6804" s="131" t="s">
        <v>252</v>
      </c>
      <c r="D6804" s="132" t="n">
        <v>46666</v>
      </c>
      <c r="E6804" s="131" t="s">
        <v>59</v>
      </c>
      <c r="F6804" s="133" t="s">
        <v>19</v>
      </c>
      <c r="G6804" s="134" t="n">
        <f aca="false">LEN('Saisie programme'!$F$278)+SUMIFS('Vols additionnels'!$E$7:$E$66,'Vols additionnels'!$C$7:$C$66,$E6804,'Vols additionnels'!$D$7:$D$66,$F6804,'Vols additionnels'!$B$7:$B$66,$D6804)</f>
        <v>0</v>
      </c>
      <c r="H6804" s="135" t="n">
        <f aca="false">$G6804*'Analyse capacite'!$F$8</f>
        <v>0</v>
      </c>
      <c r="I6804" s="135" t="n">
        <f aca="false">$G6804*'Analyse capacite'!$C$8</f>
        <v>0</v>
      </c>
      <c r="J6804" s="135" t="n">
        <f aca="false">$G6804*'Analyse capacite'!$D$8</f>
        <v>0</v>
      </c>
      <c r="K6804" s="135" t="n">
        <f aca="false">$G6804*'Analyse capacite'!$E$8</f>
        <v>0</v>
      </c>
    </row>
    <row r="6805" customFormat="false" ht="15" hidden="false" customHeight="false" outlineLevel="0" collapsed="false">
      <c r="B6805" s="130" t="n">
        <v>2027</v>
      </c>
      <c r="C6805" s="131" t="s">
        <v>252</v>
      </c>
      <c r="D6805" s="132" t="n">
        <v>46666</v>
      </c>
      <c r="E6805" s="131" t="s">
        <v>59</v>
      </c>
      <c r="F6805" s="133" t="s">
        <v>24</v>
      </c>
      <c r="G6805" s="134" t="n">
        <f aca="false">LEN('Saisie programme'!$F$279)+SUMIFS('Vols additionnels'!$E$7:$E$66,'Vols additionnels'!$C$7:$C$66,$E6805,'Vols additionnels'!$D$7:$D$66,$F6805,'Vols additionnels'!$B$7:$B$66,$D6805)</f>
        <v>1</v>
      </c>
      <c r="H6805" s="135" t="n">
        <f aca="false">$G6805*'Analyse capacite'!$F$9</f>
        <v>174</v>
      </c>
      <c r="I6805" s="135" t="n">
        <f aca="false">$G6805*'Analyse capacite'!$C$9</f>
        <v>0</v>
      </c>
      <c r="J6805" s="135" t="n">
        <f aca="false">$G6805*'Analyse capacite'!$D$9</f>
        <v>12</v>
      </c>
      <c r="K6805" s="135" t="n">
        <f aca="false">$G6805*'Analyse capacite'!$E$9</f>
        <v>162</v>
      </c>
    </row>
    <row r="6806" customFormat="false" ht="15" hidden="false" customHeight="false" outlineLevel="0" collapsed="false">
      <c r="B6806" s="130" t="n">
        <v>2027</v>
      </c>
      <c r="C6806" s="131" t="s">
        <v>252</v>
      </c>
      <c r="D6806" s="132" t="n">
        <v>46666</v>
      </c>
      <c r="E6806" s="131" t="s">
        <v>62</v>
      </c>
      <c r="F6806" s="133" t="s">
        <v>11</v>
      </c>
      <c r="G6806" s="134" t="n">
        <f aca="false">LEN('Saisie programme'!$F$280)+SUMIFS('Vols additionnels'!$E$7:$E$66,'Vols additionnels'!$C$7:$C$66,$E6806,'Vols additionnels'!$D$7:$D$66,$F6806,'Vols additionnels'!$B$7:$B$66,$D6806)</f>
        <v>0</v>
      </c>
      <c r="H6806" s="135" t="n">
        <f aca="false">$G6806*'Analyse capacite'!$F$7</f>
        <v>0</v>
      </c>
      <c r="I6806" s="135" t="n">
        <f aca="false">$G6806*'Analyse capacite'!$C$7</f>
        <v>0</v>
      </c>
      <c r="J6806" s="135" t="n">
        <f aca="false">$G6806*'Analyse capacite'!$D$7</f>
        <v>0</v>
      </c>
      <c r="K6806" s="135" t="n">
        <f aca="false">$G6806*'Analyse capacite'!$E$7</f>
        <v>0</v>
      </c>
    </row>
    <row r="6807" customFormat="false" ht="15" hidden="false" customHeight="false" outlineLevel="0" collapsed="false">
      <c r="B6807" s="130" t="n">
        <v>2027</v>
      </c>
      <c r="C6807" s="131" t="s">
        <v>252</v>
      </c>
      <c r="D6807" s="132" t="n">
        <v>46666</v>
      </c>
      <c r="E6807" s="131" t="s">
        <v>62</v>
      </c>
      <c r="F6807" s="133" t="s">
        <v>19</v>
      </c>
      <c r="G6807" s="134" t="n">
        <f aca="false">LEN('Saisie programme'!$F$281)+SUMIFS('Vols additionnels'!$E$7:$E$66,'Vols additionnels'!$C$7:$C$66,$E6807,'Vols additionnels'!$D$7:$D$66,$F6807,'Vols additionnels'!$B$7:$B$66,$D6807)</f>
        <v>0</v>
      </c>
      <c r="H6807" s="135" t="n">
        <f aca="false">$G6807*'Analyse capacite'!$F$8</f>
        <v>0</v>
      </c>
      <c r="I6807" s="135" t="n">
        <f aca="false">$G6807*'Analyse capacite'!$C$8</f>
        <v>0</v>
      </c>
      <c r="J6807" s="135" t="n">
        <f aca="false">$G6807*'Analyse capacite'!$D$8</f>
        <v>0</v>
      </c>
      <c r="K6807" s="135" t="n">
        <f aca="false">$G6807*'Analyse capacite'!$E$8</f>
        <v>0</v>
      </c>
    </row>
    <row r="6808" customFormat="false" ht="15" hidden="false" customHeight="false" outlineLevel="0" collapsed="false">
      <c r="B6808" s="130" t="n">
        <v>2027</v>
      </c>
      <c r="C6808" s="131" t="s">
        <v>252</v>
      </c>
      <c r="D6808" s="132" t="n">
        <v>46666</v>
      </c>
      <c r="E6808" s="131" t="s">
        <v>62</v>
      </c>
      <c r="F6808" s="133" t="s">
        <v>24</v>
      </c>
      <c r="G6808" s="134" t="n">
        <f aca="false">LEN('Saisie programme'!$F$282)+SUMIFS('Vols additionnels'!$E$7:$E$66,'Vols additionnels'!$C$7:$C$66,$E6808,'Vols additionnels'!$D$7:$D$66,$F6808,'Vols additionnels'!$B$7:$B$66,$D6808)</f>
        <v>1</v>
      </c>
      <c r="H6808" s="135" t="n">
        <f aca="false">$G6808*'Analyse capacite'!$F$9</f>
        <v>174</v>
      </c>
      <c r="I6808" s="135" t="n">
        <f aca="false">$G6808*'Analyse capacite'!$C$9</f>
        <v>0</v>
      </c>
      <c r="J6808" s="135" t="n">
        <f aca="false">$G6808*'Analyse capacite'!$D$9</f>
        <v>12</v>
      </c>
      <c r="K6808" s="135" t="n">
        <f aca="false">$G6808*'Analyse capacite'!$E$9</f>
        <v>162</v>
      </c>
    </row>
    <row r="6809" customFormat="false" ht="15" hidden="false" customHeight="false" outlineLevel="0" collapsed="false">
      <c r="B6809" s="130" t="n">
        <v>2027</v>
      </c>
      <c r="C6809" s="131" t="s">
        <v>252</v>
      </c>
      <c r="D6809" s="132" t="n">
        <v>46667</v>
      </c>
      <c r="E6809" s="131" t="s">
        <v>12</v>
      </c>
      <c r="F6809" s="133" t="s">
        <v>11</v>
      </c>
      <c r="G6809" s="134" t="n">
        <f aca="false">LEN('Saisie programme'!$G$247)+SUMIFS('Vols additionnels'!$E$7:$E$66,'Vols additionnels'!$C$7:$C$66,$E6809,'Vols additionnels'!$D$7:$D$66,$F6809,'Vols additionnels'!$B$7:$B$66,$D6809)</f>
        <v>1</v>
      </c>
      <c r="H6809" s="135" t="n">
        <f aca="false">$G6809*'Analyse capacite'!$F$7</f>
        <v>438</v>
      </c>
      <c r="I6809" s="135" t="n">
        <f aca="false">$G6809*'Analyse capacite'!$C$7</f>
        <v>14</v>
      </c>
      <c r="J6809" s="135" t="n">
        <f aca="false">$G6809*'Analyse capacite'!$D$7</f>
        <v>40</v>
      </c>
      <c r="K6809" s="135" t="n">
        <f aca="false">$G6809*'Analyse capacite'!$E$7</f>
        <v>384</v>
      </c>
    </row>
    <row r="6810" customFormat="false" ht="15" hidden="false" customHeight="false" outlineLevel="0" collapsed="false">
      <c r="B6810" s="130" t="n">
        <v>2027</v>
      </c>
      <c r="C6810" s="131" t="s">
        <v>252</v>
      </c>
      <c r="D6810" s="132" t="n">
        <v>46667</v>
      </c>
      <c r="E6810" s="131" t="s">
        <v>12</v>
      </c>
      <c r="F6810" s="133" t="s">
        <v>19</v>
      </c>
      <c r="G6810" s="134" t="n">
        <f aca="false">LEN('Saisie programme'!$G$248)+SUMIFS('Vols additionnels'!$E$7:$E$66,'Vols additionnels'!$C$7:$C$66,$E6810,'Vols additionnels'!$D$7:$D$66,$F6810,'Vols additionnels'!$B$7:$B$66,$D6810)</f>
        <v>0</v>
      </c>
      <c r="H6810" s="135" t="n">
        <f aca="false">$G6810*'Analyse capacite'!$F$8</f>
        <v>0</v>
      </c>
      <c r="I6810" s="135" t="n">
        <f aca="false">$G6810*'Analyse capacite'!$C$8</f>
        <v>0</v>
      </c>
      <c r="J6810" s="135" t="n">
        <f aca="false">$G6810*'Analyse capacite'!$D$8</f>
        <v>0</v>
      </c>
      <c r="K6810" s="135" t="n">
        <f aca="false">$G6810*'Analyse capacite'!$E$8</f>
        <v>0</v>
      </c>
    </row>
    <row r="6811" customFormat="false" ht="15" hidden="false" customHeight="false" outlineLevel="0" collapsed="false">
      <c r="B6811" s="130" t="n">
        <v>2027</v>
      </c>
      <c r="C6811" s="131" t="s">
        <v>252</v>
      </c>
      <c r="D6811" s="132" t="n">
        <v>46667</v>
      </c>
      <c r="E6811" s="131" t="s">
        <v>12</v>
      </c>
      <c r="F6811" s="133" t="s">
        <v>24</v>
      </c>
      <c r="G6811" s="134" t="n">
        <f aca="false">LEN('Saisie programme'!$G$249)+SUMIFS('Vols additionnels'!$E$7:$E$66,'Vols additionnels'!$C$7:$C$66,$E6811,'Vols additionnels'!$D$7:$D$66,$F6811,'Vols additionnels'!$B$7:$B$66,$D6811)</f>
        <v>0</v>
      </c>
      <c r="H6811" s="135" t="n">
        <f aca="false">$G6811*'Analyse capacite'!$F$9</f>
        <v>0</v>
      </c>
      <c r="I6811" s="135" t="n">
        <f aca="false">$G6811*'Analyse capacite'!$C$9</f>
        <v>0</v>
      </c>
      <c r="J6811" s="135" t="n">
        <f aca="false">$G6811*'Analyse capacite'!$D$9</f>
        <v>0</v>
      </c>
      <c r="K6811" s="135" t="n">
        <f aca="false">$G6811*'Analyse capacite'!$E$9</f>
        <v>0</v>
      </c>
    </row>
    <row r="6812" customFormat="false" ht="15" hidden="false" customHeight="false" outlineLevel="0" collapsed="false">
      <c r="B6812" s="130" t="n">
        <v>2027</v>
      </c>
      <c r="C6812" s="131" t="s">
        <v>252</v>
      </c>
      <c r="D6812" s="132" t="n">
        <v>46667</v>
      </c>
      <c r="E6812" s="131" t="s">
        <v>20</v>
      </c>
      <c r="F6812" s="133" t="s">
        <v>11</v>
      </c>
      <c r="G6812" s="134" t="n">
        <f aca="false">LEN('Saisie programme'!$G$250)+SUMIFS('Vols additionnels'!$E$7:$E$66,'Vols additionnels'!$C$7:$C$66,$E6812,'Vols additionnels'!$D$7:$D$66,$F6812,'Vols additionnels'!$B$7:$B$66,$D6812)</f>
        <v>0</v>
      </c>
      <c r="H6812" s="135" t="n">
        <f aca="false">$G6812*'Analyse capacite'!$F$7</f>
        <v>0</v>
      </c>
      <c r="I6812" s="135" t="n">
        <f aca="false">$G6812*'Analyse capacite'!$C$7</f>
        <v>0</v>
      </c>
      <c r="J6812" s="135" t="n">
        <f aca="false">$G6812*'Analyse capacite'!$D$7</f>
        <v>0</v>
      </c>
      <c r="K6812" s="135" t="n">
        <f aca="false">$G6812*'Analyse capacite'!$E$7</f>
        <v>0</v>
      </c>
    </row>
    <row r="6813" customFormat="false" ht="15" hidden="false" customHeight="false" outlineLevel="0" collapsed="false">
      <c r="B6813" s="130" t="n">
        <v>2027</v>
      </c>
      <c r="C6813" s="131" t="s">
        <v>252</v>
      </c>
      <c r="D6813" s="132" t="n">
        <v>46667</v>
      </c>
      <c r="E6813" s="131" t="s">
        <v>20</v>
      </c>
      <c r="F6813" s="133" t="s">
        <v>19</v>
      </c>
      <c r="G6813" s="134" t="n">
        <f aca="false">LEN('Saisie programme'!$G$251)+SUMIFS('Vols additionnels'!$E$7:$E$66,'Vols additionnels'!$C$7:$C$66,$E6813,'Vols additionnels'!$D$7:$D$66,$F6813,'Vols additionnels'!$B$7:$B$66,$D6813)</f>
        <v>0</v>
      </c>
      <c r="H6813" s="135" t="n">
        <f aca="false">$G6813*'Analyse capacite'!$F$8</f>
        <v>0</v>
      </c>
      <c r="I6813" s="135" t="n">
        <f aca="false">$G6813*'Analyse capacite'!$C$8</f>
        <v>0</v>
      </c>
      <c r="J6813" s="135" t="n">
        <f aca="false">$G6813*'Analyse capacite'!$D$8</f>
        <v>0</v>
      </c>
      <c r="K6813" s="135" t="n">
        <f aca="false">$G6813*'Analyse capacite'!$E$8</f>
        <v>0</v>
      </c>
    </row>
    <row r="6814" customFormat="false" ht="15" hidden="false" customHeight="false" outlineLevel="0" collapsed="false">
      <c r="B6814" s="130" t="n">
        <v>2027</v>
      </c>
      <c r="C6814" s="131" t="s">
        <v>252</v>
      </c>
      <c r="D6814" s="132" t="n">
        <v>46667</v>
      </c>
      <c r="E6814" s="131" t="s">
        <v>20</v>
      </c>
      <c r="F6814" s="133" t="s">
        <v>24</v>
      </c>
      <c r="G6814" s="134" t="n">
        <f aca="false">LEN('Saisie programme'!$G$252)+SUMIFS('Vols additionnels'!$E$7:$E$66,'Vols additionnels'!$C$7:$C$66,$E6814,'Vols additionnels'!$D$7:$D$66,$F6814,'Vols additionnels'!$B$7:$B$66,$D6814)</f>
        <v>0</v>
      </c>
      <c r="H6814" s="135" t="n">
        <f aca="false">$G6814*'Analyse capacite'!$F$9</f>
        <v>0</v>
      </c>
      <c r="I6814" s="135" t="n">
        <f aca="false">$G6814*'Analyse capacite'!$C$9</f>
        <v>0</v>
      </c>
      <c r="J6814" s="135" t="n">
        <f aca="false">$G6814*'Analyse capacite'!$D$9</f>
        <v>0</v>
      </c>
      <c r="K6814" s="135" t="n">
        <f aca="false">$G6814*'Analyse capacite'!$E$9</f>
        <v>0</v>
      </c>
    </row>
    <row r="6815" customFormat="false" ht="15" hidden="false" customHeight="false" outlineLevel="0" collapsed="false">
      <c r="B6815" s="130" t="n">
        <v>2027</v>
      </c>
      <c r="C6815" s="131" t="s">
        <v>252</v>
      </c>
      <c r="D6815" s="132" t="n">
        <v>46667</v>
      </c>
      <c r="E6815" s="131" t="s">
        <v>25</v>
      </c>
      <c r="F6815" s="133" t="s">
        <v>11</v>
      </c>
      <c r="G6815" s="134" t="n">
        <f aca="false">LEN('Saisie programme'!$G$253)+SUMIFS('Vols additionnels'!$E$7:$E$66,'Vols additionnels'!$C$7:$C$66,$E6815,'Vols additionnels'!$D$7:$D$66,$F6815,'Vols additionnels'!$B$7:$B$66,$D6815)</f>
        <v>0</v>
      </c>
      <c r="H6815" s="135" t="n">
        <f aca="false">$G6815*'Analyse capacite'!$F$7</f>
        <v>0</v>
      </c>
      <c r="I6815" s="135" t="n">
        <f aca="false">$G6815*'Analyse capacite'!$C$7</f>
        <v>0</v>
      </c>
      <c r="J6815" s="135" t="n">
        <f aca="false">$G6815*'Analyse capacite'!$D$7</f>
        <v>0</v>
      </c>
      <c r="K6815" s="135" t="n">
        <f aca="false">$G6815*'Analyse capacite'!$E$7</f>
        <v>0</v>
      </c>
    </row>
    <row r="6816" customFormat="false" ht="15" hidden="false" customHeight="false" outlineLevel="0" collapsed="false">
      <c r="B6816" s="130" t="n">
        <v>2027</v>
      </c>
      <c r="C6816" s="131" t="s">
        <v>252</v>
      </c>
      <c r="D6816" s="132" t="n">
        <v>46667</v>
      </c>
      <c r="E6816" s="131" t="s">
        <v>25</v>
      </c>
      <c r="F6816" s="133" t="s">
        <v>19</v>
      </c>
      <c r="G6816" s="134" t="n">
        <f aca="false">LEN('Saisie programme'!$G$254)+SUMIFS('Vols additionnels'!$E$7:$E$66,'Vols additionnels'!$C$7:$C$66,$E6816,'Vols additionnels'!$D$7:$D$66,$F6816,'Vols additionnels'!$B$7:$B$66,$D6816)</f>
        <v>0</v>
      </c>
      <c r="H6816" s="135" t="n">
        <f aca="false">$G6816*'Analyse capacite'!$F$8</f>
        <v>0</v>
      </c>
      <c r="I6816" s="135" t="n">
        <f aca="false">$G6816*'Analyse capacite'!$C$8</f>
        <v>0</v>
      </c>
      <c r="J6816" s="135" t="n">
        <f aca="false">$G6816*'Analyse capacite'!$D$8</f>
        <v>0</v>
      </c>
      <c r="K6816" s="135" t="n">
        <f aca="false">$G6816*'Analyse capacite'!$E$8</f>
        <v>0</v>
      </c>
    </row>
    <row r="6817" customFormat="false" ht="15" hidden="false" customHeight="false" outlineLevel="0" collapsed="false">
      <c r="B6817" s="130" t="n">
        <v>2027</v>
      </c>
      <c r="C6817" s="131" t="s">
        <v>252</v>
      </c>
      <c r="D6817" s="132" t="n">
        <v>46667</v>
      </c>
      <c r="E6817" s="131" t="s">
        <v>25</v>
      </c>
      <c r="F6817" s="133" t="s">
        <v>24</v>
      </c>
      <c r="G6817" s="134" t="n">
        <f aca="false">LEN('Saisie programme'!$G$255)+SUMIFS('Vols additionnels'!$E$7:$E$66,'Vols additionnels'!$C$7:$C$66,$E6817,'Vols additionnels'!$D$7:$D$66,$F6817,'Vols additionnels'!$B$7:$B$66,$D6817)</f>
        <v>0</v>
      </c>
      <c r="H6817" s="135" t="n">
        <f aca="false">$G6817*'Analyse capacite'!$F$9</f>
        <v>0</v>
      </c>
      <c r="I6817" s="135" t="n">
        <f aca="false">$G6817*'Analyse capacite'!$C$9</f>
        <v>0</v>
      </c>
      <c r="J6817" s="135" t="n">
        <f aca="false">$G6817*'Analyse capacite'!$D$9</f>
        <v>0</v>
      </c>
      <c r="K6817" s="135" t="n">
        <f aca="false">$G6817*'Analyse capacite'!$E$9</f>
        <v>0</v>
      </c>
    </row>
    <row r="6818" customFormat="false" ht="15" hidden="false" customHeight="false" outlineLevel="0" collapsed="false">
      <c r="B6818" s="130" t="n">
        <v>2027</v>
      </c>
      <c r="C6818" s="131" t="s">
        <v>252</v>
      </c>
      <c r="D6818" s="132" t="n">
        <v>46667</v>
      </c>
      <c r="E6818" s="131" t="s">
        <v>36</v>
      </c>
      <c r="F6818" s="133" t="s">
        <v>11</v>
      </c>
      <c r="G6818" s="134" t="n">
        <f aca="false">LEN('Saisie programme'!$G$256)+SUMIFS('Vols additionnels'!$E$7:$E$66,'Vols additionnels'!$C$7:$C$66,$E6818,'Vols additionnels'!$D$7:$D$66,$F6818,'Vols additionnels'!$B$7:$B$66,$D6818)</f>
        <v>0</v>
      </c>
      <c r="H6818" s="135" t="n">
        <f aca="false">$G6818*'Analyse capacite'!$F$7</f>
        <v>0</v>
      </c>
      <c r="I6818" s="135" t="n">
        <f aca="false">$G6818*'Analyse capacite'!$C$7</f>
        <v>0</v>
      </c>
      <c r="J6818" s="135" t="n">
        <f aca="false">$G6818*'Analyse capacite'!$D$7</f>
        <v>0</v>
      </c>
      <c r="K6818" s="135" t="n">
        <f aca="false">$G6818*'Analyse capacite'!$E$7</f>
        <v>0</v>
      </c>
    </row>
    <row r="6819" customFormat="false" ht="15" hidden="false" customHeight="false" outlineLevel="0" collapsed="false">
      <c r="B6819" s="130" t="n">
        <v>2027</v>
      </c>
      <c r="C6819" s="131" t="s">
        <v>252</v>
      </c>
      <c r="D6819" s="132" t="n">
        <v>46667</v>
      </c>
      <c r="E6819" s="131" t="s">
        <v>36</v>
      </c>
      <c r="F6819" s="133" t="s">
        <v>19</v>
      </c>
      <c r="G6819" s="134" t="n">
        <f aca="false">LEN('Saisie programme'!$G$257)+SUMIFS('Vols additionnels'!$E$7:$E$66,'Vols additionnels'!$C$7:$C$66,$E6819,'Vols additionnels'!$D$7:$D$66,$F6819,'Vols additionnels'!$B$7:$B$66,$D6819)</f>
        <v>0</v>
      </c>
      <c r="H6819" s="135" t="n">
        <f aca="false">$G6819*'Analyse capacite'!$F$8</f>
        <v>0</v>
      </c>
      <c r="I6819" s="135" t="n">
        <f aca="false">$G6819*'Analyse capacite'!$C$8</f>
        <v>0</v>
      </c>
      <c r="J6819" s="135" t="n">
        <f aca="false">$G6819*'Analyse capacite'!$D$8</f>
        <v>0</v>
      </c>
      <c r="K6819" s="135" t="n">
        <f aca="false">$G6819*'Analyse capacite'!$E$8</f>
        <v>0</v>
      </c>
    </row>
    <row r="6820" customFormat="false" ht="15" hidden="false" customHeight="false" outlineLevel="0" collapsed="false">
      <c r="B6820" s="130" t="n">
        <v>2027</v>
      </c>
      <c r="C6820" s="131" t="s">
        <v>252</v>
      </c>
      <c r="D6820" s="132" t="n">
        <v>46667</v>
      </c>
      <c r="E6820" s="131" t="s">
        <v>36</v>
      </c>
      <c r="F6820" s="133" t="s">
        <v>24</v>
      </c>
      <c r="G6820" s="134" t="n">
        <f aca="false">LEN('Saisie programme'!$G$258)+SUMIFS('Vols additionnels'!$E$7:$E$66,'Vols additionnels'!$C$7:$C$66,$E6820,'Vols additionnels'!$D$7:$D$66,$F6820,'Vols additionnels'!$B$7:$B$66,$D6820)</f>
        <v>1</v>
      </c>
      <c r="H6820" s="135" t="n">
        <f aca="false">$G6820*'Analyse capacite'!$F$9</f>
        <v>174</v>
      </c>
      <c r="I6820" s="135" t="n">
        <f aca="false">$G6820*'Analyse capacite'!$C$9</f>
        <v>0</v>
      </c>
      <c r="J6820" s="135" t="n">
        <f aca="false">$G6820*'Analyse capacite'!$D$9</f>
        <v>12</v>
      </c>
      <c r="K6820" s="135" t="n">
        <f aca="false">$G6820*'Analyse capacite'!$E$9</f>
        <v>162</v>
      </c>
    </row>
    <row r="6821" customFormat="false" ht="15" hidden="false" customHeight="false" outlineLevel="0" collapsed="false">
      <c r="B6821" s="130" t="n">
        <v>2027</v>
      </c>
      <c r="C6821" s="131" t="s">
        <v>252</v>
      </c>
      <c r="D6821" s="132" t="n">
        <v>46667</v>
      </c>
      <c r="E6821" s="131" t="s">
        <v>40</v>
      </c>
      <c r="F6821" s="133" t="s">
        <v>11</v>
      </c>
      <c r="G6821" s="134" t="n">
        <f aca="false">LEN('Saisie programme'!$G$259)+SUMIFS('Vols additionnels'!$E$7:$E$66,'Vols additionnels'!$C$7:$C$66,$E6821,'Vols additionnels'!$D$7:$D$66,$F6821,'Vols additionnels'!$B$7:$B$66,$D6821)</f>
        <v>0</v>
      </c>
      <c r="H6821" s="135" t="n">
        <f aca="false">$G6821*'Analyse capacite'!$F$7</f>
        <v>0</v>
      </c>
      <c r="I6821" s="135" t="n">
        <f aca="false">$G6821*'Analyse capacite'!$C$7</f>
        <v>0</v>
      </c>
      <c r="J6821" s="135" t="n">
        <f aca="false">$G6821*'Analyse capacite'!$D$7</f>
        <v>0</v>
      </c>
      <c r="K6821" s="135" t="n">
        <f aca="false">$G6821*'Analyse capacite'!$E$7</f>
        <v>0</v>
      </c>
    </row>
    <row r="6822" customFormat="false" ht="15" hidden="false" customHeight="false" outlineLevel="0" collapsed="false">
      <c r="B6822" s="130" t="n">
        <v>2027</v>
      </c>
      <c r="C6822" s="131" t="s">
        <v>252</v>
      </c>
      <c r="D6822" s="132" t="n">
        <v>46667</v>
      </c>
      <c r="E6822" s="131" t="s">
        <v>40</v>
      </c>
      <c r="F6822" s="133" t="s">
        <v>19</v>
      </c>
      <c r="G6822" s="134" t="n">
        <f aca="false">LEN('Saisie programme'!$G$260)+SUMIFS('Vols additionnels'!$E$7:$E$66,'Vols additionnels'!$C$7:$C$66,$E6822,'Vols additionnels'!$D$7:$D$66,$F6822,'Vols additionnels'!$B$7:$B$66,$D6822)</f>
        <v>0</v>
      </c>
      <c r="H6822" s="135" t="n">
        <f aca="false">$G6822*'Analyse capacite'!$F$8</f>
        <v>0</v>
      </c>
      <c r="I6822" s="135" t="n">
        <f aca="false">$G6822*'Analyse capacite'!$C$8</f>
        <v>0</v>
      </c>
      <c r="J6822" s="135" t="n">
        <f aca="false">$G6822*'Analyse capacite'!$D$8</f>
        <v>0</v>
      </c>
      <c r="K6822" s="135" t="n">
        <f aca="false">$G6822*'Analyse capacite'!$E$8</f>
        <v>0</v>
      </c>
    </row>
    <row r="6823" customFormat="false" ht="15" hidden="false" customHeight="false" outlineLevel="0" collapsed="false">
      <c r="B6823" s="130" t="n">
        <v>2027</v>
      </c>
      <c r="C6823" s="131" t="s">
        <v>252</v>
      </c>
      <c r="D6823" s="132" t="n">
        <v>46667</v>
      </c>
      <c r="E6823" s="131" t="s">
        <v>40</v>
      </c>
      <c r="F6823" s="133" t="s">
        <v>24</v>
      </c>
      <c r="G6823" s="134" t="n">
        <f aca="false">LEN('Saisie programme'!$G$261)+SUMIFS('Vols additionnels'!$E$7:$E$66,'Vols additionnels'!$C$7:$C$66,$E6823,'Vols additionnels'!$D$7:$D$66,$F6823,'Vols additionnels'!$B$7:$B$66,$D6823)</f>
        <v>0</v>
      </c>
      <c r="H6823" s="135" t="n">
        <f aca="false">$G6823*'Analyse capacite'!$F$9</f>
        <v>0</v>
      </c>
      <c r="I6823" s="135" t="n">
        <f aca="false">$G6823*'Analyse capacite'!$C$9</f>
        <v>0</v>
      </c>
      <c r="J6823" s="135" t="n">
        <f aca="false">$G6823*'Analyse capacite'!$D$9</f>
        <v>0</v>
      </c>
      <c r="K6823" s="135" t="n">
        <f aca="false">$G6823*'Analyse capacite'!$E$9</f>
        <v>0</v>
      </c>
    </row>
    <row r="6824" customFormat="false" ht="15" hidden="false" customHeight="false" outlineLevel="0" collapsed="false">
      <c r="B6824" s="130" t="n">
        <v>2027</v>
      </c>
      <c r="C6824" s="131" t="s">
        <v>252</v>
      </c>
      <c r="D6824" s="132" t="n">
        <v>46667</v>
      </c>
      <c r="E6824" s="131" t="s">
        <v>14</v>
      </c>
      <c r="F6824" s="133" t="s">
        <v>11</v>
      </c>
      <c r="G6824" s="134" t="n">
        <f aca="false">LEN('Saisie programme'!$G$262)+SUMIFS('Vols additionnels'!$E$7:$E$66,'Vols additionnels'!$C$7:$C$66,$E6824,'Vols additionnels'!$D$7:$D$66,$F6824,'Vols additionnels'!$B$7:$B$66,$D6824)</f>
        <v>0</v>
      </c>
      <c r="H6824" s="135" t="n">
        <f aca="false">$G6824*'Analyse capacite'!$F$7</f>
        <v>0</v>
      </c>
      <c r="I6824" s="135" t="n">
        <f aca="false">$G6824*'Analyse capacite'!$C$7</f>
        <v>0</v>
      </c>
      <c r="J6824" s="135" t="n">
        <f aca="false">$G6824*'Analyse capacite'!$D$7</f>
        <v>0</v>
      </c>
      <c r="K6824" s="135" t="n">
        <f aca="false">$G6824*'Analyse capacite'!$E$7</f>
        <v>0</v>
      </c>
    </row>
    <row r="6825" customFormat="false" ht="15" hidden="false" customHeight="false" outlineLevel="0" collapsed="false">
      <c r="B6825" s="130" t="n">
        <v>2027</v>
      </c>
      <c r="C6825" s="131" t="s">
        <v>252</v>
      </c>
      <c r="D6825" s="132" t="n">
        <v>46667</v>
      </c>
      <c r="E6825" s="131" t="s">
        <v>14</v>
      </c>
      <c r="F6825" s="133" t="s">
        <v>19</v>
      </c>
      <c r="G6825" s="134" t="n">
        <f aca="false">LEN('Saisie programme'!$G$263)+SUMIFS('Vols additionnels'!$E$7:$E$66,'Vols additionnels'!$C$7:$C$66,$E6825,'Vols additionnels'!$D$7:$D$66,$F6825,'Vols additionnels'!$B$7:$B$66,$D6825)</f>
        <v>0</v>
      </c>
      <c r="H6825" s="135" t="n">
        <f aca="false">$G6825*'Analyse capacite'!$F$8</f>
        <v>0</v>
      </c>
      <c r="I6825" s="135" t="n">
        <f aca="false">$G6825*'Analyse capacite'!$C$8</f>
        <v>0</v>
      </c>
      <c r="J6825" s="135" t="n">
        <f aca="false">$G6825*'Analyse capacite'!$D$8</f>
        <v>0</v>
      </c>
      <c r="K6825" s="135" t="n">
        <f aca="false">$G6825*'Analyse capacite'!$E$8</f>
        <v>0</v>
      </c>
    </row>
    <row r="6826" customFormat="false" ht="15" hidden="false" customHeight="false" outlineLevel="0" collapsed="false">
      <c r="B6826" s="130" t="n">
        <v>2027</v>
      </c>
      <c r="C6826" s="131" t="s">
        <v>252</v>
      </c>
      <c r="D6826" s="132" t="n">
        <v>46667</v>
      </c>
      <c r="E6826" s="131" t="s">
        <v>14</v>
      </c>
      <c r="F6826" s="133" t="s">
        <v>24</v>
      </c>
      <c r="G6826" s="134" t="n">
        <f aca="false">LEN('Saisie programme'!$G$264)+SUMIFS('Vols additionnels'!$E$7:$E$66,'Vols additionnels'!$C$7:$C$66,$E6826,'Vols additionnels'!$D$7:$D$66,$F6826,'Vols additionnels'!$B$7:$B$66,$D6826)</f>
        <v>1</v>
      </c>
      <c r="H6826" s="135" t="n">
        <f aca="false">$G6826*'Analyse capacite'!$F$9</f>
        <v>174</v>
      </c>
      <c r="I6826" s="135" t="n">
        <f aca="false">$G6826*'Analyse capacite'!$C$9</f>
        <v>0</v>
      </c>
      <c r="J6826" s="135" t="n">
        <f aca="false">$G6826*'Analyse capacite'!$D$9</f>
        <v>12</v>
      </c>
      <c r="K6826" s="135" t="n">
        <f aca="false">$G6826*'Analyse capacite'!$E$9</f>
        <v>162</v>
      </c>
    </row>
    <row r="6827" customFormat="false" ht="15" hidden="false" customHeight="false" outlineLevel="0" collapsed="false">
      <c r="B6827" s="130" t="n">
        <v>2027</v>
      </c>
      <c r="C6827" s="131" t="s">
        <v>252</v>
      </c>
      <c r="D6827" s="132" t="n">
        <v>46667</v>
      </c>
      <c r="E6827" s="131" t="s">
        <v>46</v>
      </c>
      <c r="F6827" s="133" t="s">
        <v>11</v>
      </c>
      <c r="G6827" s="134" t="n">
        <f aca="false">LEN('Saisie programme'!$G$265)+SUMIFS('Vols additionnels'!$E$7:$E$66,'Vols additionnels'!$C$7:$C$66,$E6827,'Vols additionnels'!$D$7:$D$66,$F6827,'Vols additionnels'!$B$7:$B$66,$D6827)</f>
        <v>0</v>
      </c>
      <c r="H6827" s="135" t="n">
        <f aca="false">$G6827*'Analyse capacite'!$F$7</f>
        <v>0</v>
      </c>
      <c r="I6827" s="135" t="n">
        <f aca="false">$G6827*'Analyse capacite'!$C$7</f>
        <v>0</v>
      </c>
      <c r="J6827" s="135" t="n">
        <f aca="false">$G6827*'Analyse capacite'!$D$7</f>
        <v>0</v>
      </c>
      <c r="K6827" s="135" t="n">
        <f aca="false">$G6827*'Analyse capacite'!$E$7</f>
        <v>0</v>
      </c>
    </row>
    <row r="6828" customFormat="false" ht="15" hidden="false" customHeight="false" outlineLevel="0" collapsed="false">
      <c r="B6828" s="130" t="n">
        <v>2027</v>
      </c>
      <c r="C6828" s="131" t="s">
        <v>252</v>
      </c>
      <c r="D6828" s="132" t="n">
        <v>46667</v>
      </c>
      <c r="E6828" s="131" t="s">
        <v>46</v>
      </c>
      <c r="F6828" s="133" t="s">
        <v>19</v>
      </c>
      <c r="G6828" s="134" t="n">
        <f aca="false">LEN('Saisie programme'!$G$266)+SUMIFS('Vols additionnels'!$E$7:$E$66,'Vols additionnels'!$C$7:$C$66,$E6828,'Vols additionnels'!$D$7:$D$66,$F6828,'Vols additionnels'!$B$7:$B$66,$D6828)</f>
        <v>0</v>
      </c>
      <c r="H6828" s="135" t="n">
        <f aca="false">$G6828*'Analyse capacite'!$F$8</f>
        <v>0</v>
      </c>
      <c r="I6828" s="135" t="n">
        <f aca="false">$G6828*'Analyse capacite'!$C$8</f>
        <v>0</v>
      </c>
      <c r="J6828" s="135" t="n">
        <f aca="false">$G6828*'Analyse capacite'!$D$8</f>
        <v>0</v>
      </c>
      <c r="K6828" s="135" t="n">
        <f aca="false">$G6828*'Analyse capacite'!$E$8</f>
        <v>0</v>
      </c>
    </row>
    <row r="6829" customFormat="false" ht="15" hidden="false" customHeight="false" outlineLevel="0" collapsed="false">
      <c r="B6829" s="130" t="n">
        <v>2027</v>
      </c>
      <c r="C6829" s="131" t="s">
        <v>252</v>
      </c>
      <c r="D6829" s="132" t="n">
        <v>46667</v>
      </c>
      <c r="E6829" s="131" t="s">
        <v>46</v>
      </c>
      <c r="F6829" s="133" t="s">
        <v>24</v>
      </c>
      <c r="G6829" s="134" t="n">
        <f aca="false">LEN('Saisie programme'!$G$267)+SUMIFS('Vols additionnels'!$E$7:$E$66,'Vols additionnels'!$C$7:$C$66,$E6829,'Vols additionnels'!$D$7:$D$66,$F6829,'Vols additionnels'!$B$7:$B$66,$D6829)</f>
        <v>1</v>
      </c>
      <c r="H6829" s="135" t="n">
        <f aca="false">$G6829*'Analyse capacite'!$F$9</f>
        <v>174</v>
      </c>
      <c r="I6829" s="135" t="n">
        <f aca="false">$G6829*'Analyse capacite'!$C$9</f>
        <v>0</v>
      </c>
      <c r="J6829" s="135" t="n">
        <f aca="false">$G6829*'Analyse capacite'!$D$9</f>
        <v>12</v>
      </c>
      <c r="K6829" s="135" t="n">
        <f aca="false">$G6829*'Analyse capacite'!$E$9</f>
        <v>162</v>
      </c>
    </row>
    <row r="6830" customFormat="false" ht="15" hidden="false" customHeight="false" outlineLevel="0" collapsed="false">
      <c r="B6830" s="130" t="n">
        <v>2027</v>
      </c>
      <c r="C6830" s="131" t="s">
        <v>252</v>
      </c>
      <c r="D6830" s="132" t="n">
        <v>46667</v>
      </c>
      <c r="E6830" s="131" t="s">
        <v>49</v>
      </c>
      <c r="F6830" s="133" t="s">
        <v>11</v>
      </c>
      <c r="G6830" s="134" t="n">
        <f aca="false">LEN('Saisie programme'!$G$268)+SUMIFS('Vols additionnels'!$E$7:$E$66,'Vols additionnels'!$C$7:$C$66,$E6830,'Vols additionnels'!$D$7:$D$66,$F6830,'Vols additionnels'!$B$7:$B$66,$D6830)</f>
        <v>0</v>
      </c>
      <c r="H6830" s="135" t="n">
        <f aca="false">$G6830*'Analyse capacite'!$F$7</f>
        <v>0</v>
      </c>
      <c r="I6830" s="135" t="n">
        <f aca="false">$G6830*'Analyse capacite'!$C$7</f>
        <v>0</v>
      </c>
      <c r="J6830" s="135" t="n">
        <f aca="false">$G6830*'Analyse capacite'!$D$7</f>
        <v>0</v>
      </c>
      <c r="K6830" s="135" t="n">
        <f aca="false">$G6830*'Analyse capacite'!$E$7</f>
        <v>0</v>
      </c>
    </row>
    <row r="6831" customFormat="false" ht="15" hidden="false" customHeight="false" outlineLevel="0" collapsed="false">
      <c r="B6831" s="130" t="n">
        <v>2027</v>
      </c>
      <c r="C6831" s="131" t="s">
        <v>252</v>
      </c>
      <c r="D6831" s="132" t="n">
        <v>46667</v>
      </c>
      <c r="E6831" s="131" t="s">
        <v>49</v>
      </c>
      <c r="F6831" s="133" t="s">
        <v>19</v>
      </c>
      <c r="G6831" s="134" t="n">
        <f aca="false">LEN('Saisie programme'!$G$269)+SUMIFS('Vols additionnels'!$E$7:$E$66,'Vols additionnels'!$C$7:$C$66,$E6831,'Vols additionnels'!$D$7:$D$66,$F6831,'Vols additionnels'!$B$7:$B$66,$D6831)</f>
        <v>0</v>
      </c>
      <c r="H6831" s="135" t="n">
        <f aca="false">$G6831*'Analyse capacite'!$F$8</f>
        <v>0</v>
      </c>
      <c r="I6831" s="135" t="n">
        <f aca="false">$G6831*'Analyse capacite'!$C$8</f>
        <v>0</v>
      </c>
      <c r="J6831" s="135" t="n">
        <f aca="false">$G6831*'Analyse capacite'!$D$8</f>
        <v>0</v>
      </c>
      <c r="K6831" s="135" t="n">
        <f aca="false">$G6831*'Analyse capacite'!$E$8</f>
        <v>0</v>
      </c>
    </row>
    <row r="6832" customFormat="false" ht="15" hidden="false" customHeight="false" outlineLevel="0" collapsed="false">
      <c r="B6832" s="130" t="n">
        <v>2027</v>
      </c>
      <c r="C6832" s="131" t="s">
        <v>252</v>
      </c>
      <c r="D6832" s="132" t="n">
        <v>46667</v>
      </c>
      <c r="E6832" s="131" t="s">
        <v>49</v>
      </c>
      <c r="F6832" s="133" t="s">
        <v>24</v>
      </c>
      <c r="G6832" s="134" t="n">
        <f aca="false">LEN('Saisie programme'!$G$270)+SUMIFS('Vols additionnels'!$E$7:$E$66,'Vols additionnels'!$C$7:$C$66,$E6832,'Vols additionnels'!$D$7:$D$66,$F6832,'Vols additionnels'!$B$7:$B$66,$D6832)</f>
        <v>0</v>
      </c>
      <c r="H6832" s="135" t="n">
        <f aca="false">$G6832*'Analyse capacite'!$F$9</f>
        <v>0</v>
      </c>
      <c r="I6832" s="135" t="n">
        <f aca="false">$G6832*'Analyse capacite'!$C$9</f>
        <v>0</v>
      </c>
      <c r="J6832" s="135" t="n">
        <f aca="false">$G6832*'Analyse capacite'!$D$9</f>
        <v>0</v>
      </c>
      <c r="K6832" s="135" t="n">
        <f aca="false">$G6832*'Analyse capacite'!$E$9</f>
        <v>0</v>
      </c>
    </row>
    <row r="6833" customFormat="false" ht="15" hidden="false" customHeight="false" outlineLevel="0" collapsed="false">
      <c r="B6833" s="130" t="n">
        <v>2027</v>
      </c>
      <c r="C6833" s="131" t="s">
        <v>252</v>
      </c>
      <c r="D6833" s="132" t="n">
        <v>46667</v>
      </c>
      <c r="E6833" s="131" t="s">
        <v>53</v>
      </c>
      <c r="F6833" s="133" t="s">
        <v>11</v>
      </c>
      <c r="G6833" s="134" t="n">
        <f aca="false">LEN('Saisie programme'!$G$271)+SUMIFS('Vols additionnels'!$E$7:$E$66,'Vols additionnels'!$C$7:$C$66,$E6833,'Vols additionnels'!$D$7:$D$66,$F6833,'Vols additionnels'!$B$7:$B$66,$D6833)</f>
        <v>0</v>
      </c>
      <c r="H6833" s="135" t="n">
        <f aca="false">$G6833*'Analyse capacite'!$F$7</f>
        <v>0</v>
      </c>
      <c r="I6833" s="135" t="n">
        <f aca="false">$G6833*'Analyse capacite'!$C$7</f>
        <v>0</v>
      </c>
      <c r="J6833" s="135" t="n">
        <f aca="false">$G6833*'Analyse capacite'!$D$7</f>
        <v>0</v>
      </c>
      <c r="K6833" s="135" t="n">
        <f aca="false">$G6833*'Analyse capacite'!$E$7</f>
        <v>0</v>
      </c>
    </row>
    <row r="6834" customFormat="false" ht="15" hidden="false" customHeight="false" outlineLevel="0" collapsed="false">
      <c r="B6834" s="130" t="n">
        <v>2027</v>
      </c>
      <c r="C6834" s="131" t="s">
        <v>252</v>
      </c>
      <c r="D6834" s="132" t="n">
        <v>46667</v>
      </c>
      <c r="E6834" s="131" t="s">
        <v>53</v>
      </c>
      <c r="F6834" s="133" t="s">
        <v>19</v>
      </c>
      <c r="G6834" s="134" t="n">
        <f aca="false">LEN('Saisie programme'!$G$272)+SUMIFS('Vols additionnels'!$E$7:$E$66,'Vols additionnels'!$C$7:$C$66,$E6834,'Vols additionnels'!$D$7:$D$66,$F6834,'Vols additionnels'!$B$7:$B$66,$D6834)</f>
        <v>1</v>
      </c>
      <c r="H6834" s="135" t="n">
        <f aca="false">$G6834*'Analyse capacite'!$F$8</f>
        <v>262</v>
      </c>
      <c r="I6834" s="135" t="n">
        <f aca="false">$G6834*'Analyse capacite'!$C$8</f>
        <v>18</v>
      </c>
      <c r="J6834" s="135" t="n">
        <f aca="false">$G6834*'Analyse capacite'!$D$8</f>
        <v>0</v>
      </c>
      <c r="K6834" s="135" t="n">
        <f aca="false">$G6834*'Analyse capacite'!$E$8</f>
        <v>244</v>
      </c>
    </row>
    <row r="6835" customFormat="false" ht="15" hidden="false" customHeight="false" outlineLevel="0" collapsed="false">
      <c r="B6835" s="130" t="n">
        <v>2027</v>
      </c>
      <c r="C6835" s="131" t="s">
        <v>252</v>
      </c>
      <c r="D6835" s="132" t="n">
        <v>46667</v>
      </c>
      <c r="E6835" s="131" t="s">
        <v>53</v>
      </c>
      <c r="F6835" s="133" t="s">
        <v>24</v>
      </c>
      <c r="G6835" s="134" t="n">
        <f aca="false">LEN('Saisie programme'!$G$273)+SUMIFS('Vols additionnels'!$E$7:$E$66,'Vols additionnels'!$C$7:$C$66,$E6835,'Vols additionnels'!$D$7:$D$66,$F6835,'Vols additionnels'!$B$7:$B$66,$D6835)</f>
        <v>0</v>
      </c>
      <c r="H6835" s="135" t="n">
        <f aca="false">$G6835*'Analyse capacite'!$F$9</f>
        <v>0</v>
      </c>
      <c r="I6835" s="135" t="n">
        <f aca="false">$G6835*'Analyse capacite'!$C$9</f>
        <v>0</v>
      </c>
      <c r="J6835" s="135" t="n">
        <f aca="false">$G6835*'Analyse capacite'!$D$9</f>
        <v>0</v>
      </c>
      <c r="K6835" s="135" t="n">
        <f aca="false">$G6835*'Analyse capacite'!$E$9</f>
        <v>0</v>
      </c>
    </row>
    <row r="6836" customFormat="false" ht="15" hidden="false" customHeight="false" outlineLevel="0" collapsed="false">
      <c r="B6836" s="130" t="n">
        <v>2027</v>
      </c>
      <c r="C6836" s="131" t="s">
        <v>252</v>
      </c>
      <c r="D6836" s="132" t="n">
        <v>46667</v>
      </c>
      <c r="E6836" s="131" t="s">
        <v>56</v>
      </c>
      <c r="F6836" s="133" t="s">
        <v>11</v>
      </c>
      <c r="G6836" s="134" t="n">
        <f aca="false">LEN('Saisie programme'!$G$274)+SUMIFS('Vols additionnels'!$E$7:$E$66,'Vols additionnels'!$C$7:$C$66,$E6836,'Vols additionnels'!$D$7:$D$66,$F6836,'Vols additionnels'!$B$7:$B$66,$D6836)</f>
        <v>0</v>
      </c>
      <c r="H6836" s="135" t="n">
        <f aca="false">$G6836*'Analyse capacite'!$F$7</f>
        <v>0</v>
      </c>
      <c r="I6836" s="135" t="n">
        <f aca="false">$G6836*'Analyse capacite'!$C$7</f>
        <v>0</v>
      </c>
      <c r="J6836" s="135" t="n">
        <f aca="false">$G6836*'Analyse capacite'!$D$7</f>
        <v>0</v>
      </c>
      <c r="K6836" s="135" t="n">
        <f aca="false">$G6836*'Analyse capacite'!$E$7</f>
        <v>0</v>
      </c>
    </row>
    <row r="6837" customFormat="false" ht="15" hidden="false" customHeight="false" outlineLevel="0" collapsed="false">
      <c r="B6837" s="130" t="n">
        <v>2027</v>
      </c>
      <c r="C6837" s="131" t="s">
        <v>252</v>
      </c>
      <c r="D6837" s="132" t="n">
        <v>46667</v>
      </c>
      <c r="E6837" s="131" t="s">
        <v>56</v>
      </c>
      <c r="F6837" s="133" t="s">
        <v>19</v>
      </c>
      <c r="G6837" s="134" t="n">
        <f aca="false">LEN('Saisie programme'!$G$275)+SUMIFS('Vols additionnels'!$E$7:$E$66,'Vols additionnels'!$C$7:$C$66,$E6837,'Vols additionnels'!$D$7:$D$66,$F6837,'Vols additionnels'!$B$7:$B$66,$D6837)</f>
        <v>0</v>
      </c>
      <c r="H6837" s="135" t="n">
        <f aca="false">$G6837*'Analyse capacite'!$F$8</f>
        <v>0</v>
      </c>
      <c r="I6837" s="135" t="n">
        <f aca="false">$G6837*'Analyse capacite'!$C$8</f>
        <v>0</v>
      </c>
      <c r="J6837" s="135" t="n">
        <f aca="false">$G6837*'Analyse capacite'!$D$8</f>
        <v>0</v>
      </c>
      <c r="K6837" s="135" t="n">
        <f aca="false">$G6837*'Analyse capacite'!$E$8</f>
        <v>0</v>
      </c>
    </row>
    <row r="6838" customFormat="false" ht="15" hidden="false" customHeight="false" outlineLevel="0" collapsed="false">
      <c r="B6838" s="130" t="n">
        <v>2027</v>
      </c>
      <c r="C6838" s="131" t="s">
        <v>252</v>
      </c>
      <c r="D6838" s="132" t="n">
        <v>46667</v>
      </c>
      <c r="E6838" s="131" t="s">
        <v>56</v>
      </c>
      <c r="F6838" s="133" t="s">
        <v>24</v>
      </c>
      <c r="G6838" s="134" t="n">
        <f aca="false">LEN('Saisie programme'!$G$276)+SUMIFS('Vols additionnels'!$E$7:$E$66,'Vols additionnels'!$C$7:$C$66,$E6838,'Vols additionnels'!$D$7:$D$66,$F6838,'Vols additionnels'!$B$7:$B$66,$D6838)</f>
        <v>0</v>
      </c>
      <c r="H6838" s="135" t="n">
        <f aca="false">$G6838*'Analyse capacite'!$F$9</f>
        <v>0</v>
      </c>
      <c r="I6838" s="135" t="n">
        <f aca="false">$G6838*'Analyse capacite'!$C$9</f>
        <v>0</v>
      </c>
      <c r="J6838" s="135" t="n">
        <f aca="false">$G6838*'Analyse capacite'!$D$9</f>
        <v>0</v>
      </c>
      <c r="K6838" s="135" t="n">
        <f aca="false">$G6838*'Analyse capacite'!$E$9</f>
        <v>0</v>
      </c>
    </row>
    <row r="6839" customFormat="false" ht="15" hidden="false" customHeight="false" outlineLevel="0" collapsed="false">
      <c r="B6839" s="130" t="n">
        <v>2027</v>
      </c>
      <c r="C6839" s="131" t="s">
        <v>252</v>
      </c>
      <c r="D6839" s="132" t="n">
        <v>46667</v>
      </c>
      <c r="E6839" s="131" t="s">
        <v>59</v>
      </c>
      <c r="F6839" s="133" t="s">
        <v>11</v>
      </c>
      <c r="G6839" s="134" t="n">
        <f aca="false">LEN('Saisie programme'!$G$277)+SUMIFS('Vols additionnels'!$E$7:$E$66,'Vols additionnels'!$C$7:$C$66,$E6839,'Vols additionnels'!$D$7:$D$66,$F6839,'Vols additionnels'!$B$7:$B$66,$D6839)</f>
        <v>0</v>
      </c>
      <c r="H6839" s="135" t="n">
        <f aca="false">$G6839*'Analyse capacite'!$F$7</f>
        <v>0</v>
      </c>
      <c r="I6839" s="135" t="n">
        <f aca="false">$G6839*'Analyse capacite'!$C$7</f>
        <v>0</v>
      </c>
      <c r="J6839" s="135" t="n">
        <f aca="false">$G6839*'Analyse capacite'!$D$7</f>
        <v>0</v>
      </c>
      <c r="K6839" s="135" t="n">
        <f aca="false">$G6839*'Analyse capacite'!$E$7</f>
        <v>0</v>
      </c>
    </row>
    <row r="6840" customFormat="false" ht="15" hidden="false" customHeight="false" outlineLevel="0" collapsed="false">
      <c r="B6840" s="130" t="n">
        <v>2027</v>
      </c>
      <c r="C6840" s="131" t="s">
        <v>252</v>
      </c>
      <c r="D6840" s="132" t="n">
        <v>46667</v>
      </c>
      <c r="E6840" s="131" t="s">
        <v>59</v>
      </c>
      <c r="F6840" s="133" t="s">
        <v>19</v>
      </c>
      <c r="G6840" s="134" t="n">
        <f aca="false">LEN('Saisie programme'!$G$278)+SUMIFS('Vols additionnels'!$E$7:$E$66,'Vols additionnels'!$C$7:$C$66,$E6840,'Vols additionnels'!$D$7:$D$66,$F6840,'Vols additionnels'!$B$7:$B$66,$D6840)</f>
        <v>0</v>
      </c>
      <c r="H6840" s="135" t="n">
        <f aca="false">$G6840*'Analyse capacite'!$F$8</f>
        <v>0</v>
      </c>
      <c r="I6840" s="135" t="n">
        <f aca="false">$G6840*'Analyse capacite'!$C$8</f>
        <v>0</v>
      </c>
      <c r="J6840" s="135" t="n">
        <f aca="false">$G6840*'Analyse capacite'!$D$8</f>
        <v>0</v>
      </c>
      <c r="K6840" s="135" t="n">
        <f aca="false">$G6840*'Analyse capacite'!$E$8</f>
        <v>0</v>
      </c>
    </row>
    <row r="6841" customFormat="false" ht="15" hidden="false" customHeight="false" outlineLevel="0" collapsed="false">
      <c r="B6841" s="130" t="n">
        <v>2027</v>
      </c>
      <c r="C6841" s="131" t="s">
        <v>252</v>
      </c>
      <c r="D6841" s="132" t="n">
        <v>46667</v>
      </c>
      <c r="E6841" s="131" t="s">
        <v>59</v>
      </c>
      <c r="F6841" s="133" t="s">
        <v>24</v>
      </c>
      <c r="G6841" s="134" t="n">
        <f aca="false">LEN('Saisie programme'!$G$279)+SUMIFS('Vols additionnels'!$E$7:$E$66,'Vols additionnels'!$C$7:$C$66,$E6841,'Vols additionnels'!$D$7:$D$66,$F6841,'Vols additionnels'!$B$7:$B$66,$D6841)</f>
        <v>2</v>
      </c>
      <c r="H6841" s="135" t="n">
        <f aca="false">$G6841*'Analyse capacite'!$F$9</f>
        <v>348</v>
      </c>
      <c r="I6841" s="135" t="n">
        <f aca="false">$G6841*'Analyse capacite'!$C$9</f>
        <v>0</v>
      </c>
      <c r="J6841" s="135" t="n">
        <f aca="false">$G6841*'Analyse capacite'!$D$9</f>
        <v>24</v>
      </c>
      <c r="K6841" s="135" t="n">
        <f aca="false">$G6841*'Analyse capacite'!$E$9</f>
        <v>324</v>
      </c>
    </row>
    <row r="6842" customFormat="false" ht="15" hidden="false" customHeight="false" outlineLevel="0" collapsed="false">
      <c r="B6842" s="130" t="n">
        <v>2027</v>
      </c>
      <c r="C6842" s="131" t="s">
        <v>252</v>
      </c>
      <c r="D6842" s="132" t="n">
        <v>46667</v>
      </c>
      <c r="E6842" s="131" t="s">
        <v>62</v>
      </c>
      <c r="F6842" s="133" t="s">
        <v>11</v>
      </c>
      <c r="G6842" s="134" t="n">
        <f aca="false">LEN('Saisie programme'!$G$280)+SUMIFS('Vols additionnels'!$E$7:$E$66,'Vols additionnels'!$C$7:$C$66,$E6842,'Vols additionnels'!$D$7:$D$66,$F6842,'Vols additionnels'!$B$7:$B$66,$D6842)</f>
        <v>0</v>
      </c>
      <c r="H6842" s="135" t="n">
        <f aca="false">$G6842*'Analyse capacite'!$F$7</f>
        <v>0</v>
      </c>
      <c r="I6842" s="135" t="n">
        <f aca="false">$G6842*'Analyse capacite'!$C$7</f>
        <v>0</v>
      </c>
      <c r="J6842" s="135" t="n">
        <f aca="false">$G6842*'Analyse capacite'!$D$7</f>
        <v>0</v>
      </c>
      <c r="K6842" s="135" t="n">
        <f aca="false">$G6842*'Analyse capacite'!$E$7</f>
        <v>0</v>
      </c>
    </row>
    <row r="6843" customFormat="false" ht="15" hidden="false" customHeight="false" outlineLevel="0" collapsed="false">
      <c r="B6843" s="130" t="n">
        <v>2027</v>
      </c>
      <c r="C6843" s="131" t="s">
        <v>252</v>
      </c>
      <c r="D6843" s="132" t="n">
        <v>46667</v>
      </c>
      <c r="E6843" s="131" t="s">
        <v>62</v>
      </c>
      <c r="F6843" s="133" t="s">
        <v>19</v>
      </c>
      <c r="G6843" s="134" t="n">
        <f aca="false">LEN('Saisie programme'!$G$281)+SUMIFS('Vols additionnels'!$E$7:$E$66,'Vols additionnels'!$C$7:$C$66,$E6843,'Vols additionnels'!$D$7:$D$66,$F6843,'Vols additionnels'!$B$7:$B$66,$D6843)</f>
        <v>0</v>
      </c>
      <c r="H6843" s="135" t="n">
        <f aca="false">$G6843*'Analyse capacite'!$F$8</f>
        <v>0</v>
      </c>
      <c r="I6843" s="135" t="n">
        <f aca="false">$G6843*'Analyse capacite'!$C$8</f>
        <v>0</v>
      </c>
      <c r="J6843" s="135" t="n">
        <f aca="false">$G6843*'Analyse capacite'!$D$8</f>
        <v>0</v>
      </c>
      <c r="K6843" s="135" t="n">
        <f aca="false">$G6843*'Analyse capacite'!$E$8</f>
        <v>0</v>
      </c>
    </row>
    <row r="6844" customFormat="false" ht="15" hidden="false" customHeight="false" outlineLevel="0" collapsed="false">
      <c r="B6844" s="130" t="n">
        <v>2027</v>
      </c>
      <c r="C6844" s="131" t="s">
        <v>252</v>
      </c>
      <c r="D6844" s="132" t="n">
        <v>46667</v>
      </c>
      <c r="E6844" s="131" t="s">
        <v>62</v>
      </c>
      <c r="F6844" s="133" t="s">
        <v>24</v>
      </c>
      <c r="G6844" s="134" t="n">
        <f aca="false">LEN('Saisie programme'!$G$282)+SUMIFS('Vols additionnels'!$E$7:$E$66,'Vols additionnels'!$C$7:$C$66,$E6844,'Vols additionnels'!$D$7:$D$66,$F6844,'Vols additionnels'!$B$7:$B$66,$D6844)</f>
        <v>0</v>
      </c>
      <c r="H6844" s="135" t="n">
        <f aca="false">$G6844*'Analyse capacite'!$F$9</f>
        <v>0</v>
      </c>
      <c r="I6844" s="135" t="n">
        <f aca="false">$G6844*'Analyse capacite'!$C$9</f>
        <v>0</v>
      </c>
      <c r="J6844" s="135" t="n">
        <f aca="false">$G6844*'Analyse capacite'!$D$9</f>
        <v>0</v>
      </c>
      <c r="K6844" s="135" t="n">
        <f aca="false">$G6844*'Analyse capacite'!$E$9</f>
        <v>0</v>
      </c>
    </row>
    <row r="6845" customFormat="false" ht="15" hidden="false" customHeight="false" outlineLevel="0" collapsed="false">
      <c r="B6845" s="130" t="n">
        <v>2027</v>
      </c>
      <c r="C6845" s="131" t="s">
        <v>252</v>
      </c>
      <c r="D6845" s="132" t="n">
        <v>46668</v>
      </c>
      <c r="E6845" s="131" t="s">
        <v>12</v>
      </c>
      <c r="F6845" s="133" t="s">
        <v>11</v>
      </c>
      <c r="G6845" s="134" t="n">
        <f aca="false">LEN('Saisie programme'!$H$247)+SUMIFS('Vols additionnels'!$E$7:$E$66,'Vols additionnels'!$C$7:$C$66,$E6845,'Vols additionnels'!$D$7:$D$66,$F6845,'Vols additionnels'!$B$7:$B$66,$D6845)</f>
        <v>1</v>
      </c>
      <c r="H6845" s="135" t="n">
        <f aca="false">$G6845*'Analyse capacite'!$F$7</f>
        <v>438</v>
      </c>
      <c r="I6845" s="135" t="n">
        <f aca="false">$G6845*'Analyse capacite'!$C$7</f>
        <v>14</v>
      </c>
      <c r="J6845" s="135" t="n">
        <f aca="false">$G6845*'Analyse capacite'!$D$7</f>
        <v>40</v>
      </c>
      <c r="K6845" s="135" t="n">
        <f aca="false">$G6845*'Analyse capacite'!$E$7</f>
        <v>384</v>
      </c>
    </row>
    <row r="6846" customFormat="false" ht="15" hidden="false" customHeight="false" outlineLevel="0" collapsed="false">
      <c r="B6846" s="130" t="n">
        <v>2027</v>
      </c>
      <c r="C6846" s="131" t="s">
        <v>252</v>
      </c>
      <c r="D6846" s="132" t="n">
        <v>46668</v>
      </c>
      <c r="E6846" s="131" t="s">
        <v>12</v>
      </c>
      <c r="F6846" s="133" t="s">
        <v>19</v>
      </c>
      <c r="G6846" s="134" t="n">
        <f aca="false">LEN('Saisie programme'!$H$248)+SUMIFS('Vols additionnels'!$E$7:$E$66,'Vols additionnels'!$C$7:$C$66,$E6846,'Vols additionnels'!$D$7:$D$66,$F6846,'Vols additionnels'!$B$7:$B$66,$D6846)</f>
        <v>1</v>
      </c>
      <c r="H6846" s="135" t="n">
        <f aca="false">$G6846*'Analyse capacite'!$F$8</f>
        <v>262</v>
      </c>
      <c r="I6846" s="135" t="n">
        <f aca="false">$G6846*'Analyse capacite'!$C$8</f>
        <v>18</v>
      </c>
      <c r="J6846" s="135" t="n">
        <f aca="false">$G6846*'Analyse capacite'!$D$8</f>
        <v>0</v>
      </c>
      <c r="K6846" s="135" t="n">
        <f aca="false">$G6846*'Analyse capacite'!$E$8</f>
        <v>244</v>
      </c>
    </row>
    <row r="6847" customFormat="false" ht="15" hidden="false" customHeight="false" outlineLevel="0" collapsed="false">
      <c r="B6847" s="130" t="n">
        <v>2027</v>
      </c>
      <c r="C6847" s="131" t="s">
        <v>252</v>
      </c>
      <c r="D6847" s="132" t="n">
        <v>46668</v>
      </c>
      <c r="E6847" s="131" t="s">
        <v>12</v>
      </c>
      <c r="F6847" s="133" t="s">
        <v>24</v>
      </c>
      <c r="G6847" s="134" t="n">
        <f aca="false">LEN('Saisie programme'!$H$249)+SUMIFS('Vols additionnels'!$E$7:$E$66,'Vols additionnels'!$C$7:$C$66,$E6847,'Vols additionnels'!$D$7:$D$66,$F6847,'Vols additionnels'!$B$7:$B$66,$D6847)</f>
        <v>0</v>
      </c>
      <c r="H6847" s="135" t="n">
        <f aca="false">$G6847*'Analyse capacite'!$F$9</f>
        <v>0</v>
      </c>
      <c r="I6847" s="135" t="n">
        <f aca="false">$G6847*'Analyse capacite'!$C$9</f>
        <v>0</v>
      </c>
      <c r="J6847" s="135" t="n">
        <f aca="false">$G6847*'Analyse capacite'!$D$9</f>
        <v>0</v>
      </c>
      <c r="K6847" s="135" t="n">
        <f aca="false">$G6847*'Analyse capacite'!$E$9</f>
        <v>0</v>
      </c>
    </row>
    <row r="6848" customFormat="false" ht="15" hidden="false" customHeight="false" outlineLevel="0" collapsed="false">
      <c r="B6848" s="130" t="n">
        <v>2027</v>
      </c>
      <c r="C6848" s="131" t="s">
        <v>252</v>
      </c>
      <c r="D6848" s="132" t="n">
        <v>46668</v>
      </c>
      <c r="E6848" s="131" t="s">
        <v>20</v>
      </c>
      <c r="F6848" s="133" t="s">
        <v>11</v>
      </c>
      <c r="G6848" s="134" t="n">
        <f aca="false">LEN('Saisie programme'!$H$250)+SUMIFS('Vols additionnels'!$E$7:$E$66,'Vols additionnels'!$C$7:$C$66,$E6848,'Vols additionnels'!$D$7:$D$66,$F6848,'Vols additionnels'!$B$7:$B$66,$D6848)</f>
        <v>0</v>
      </c>
      <c r="H6848" s="135" t="n">
        <f aca="false">$G6848*'Analyse capacite'!$F$7</f>
        <v>0</v>
      </c>
      <c r="I6848" s="135" t="n">
        <f aca="false">$G6848*'Analyse capacite'!$C$7</f>
        <v>0</v>
      </c>
      <c r="J6848" s="135" t="n">
        <f aca="false">$G6848*'Analyse capacite'!$D$7</f>
        <v>0</v>
      </c>
      <c r="K6848" s="135" t="n">
        <f aca="false">$G6848*'Analyse capacite'!$E$7</f>
        <v>0</v>
      </c>
    </row>
    <row r="6849" customFormat="false" ht="15" hidden="false" customHeight="false" outlineLevel="0" collapsed="false">
      <c r="B6849" s="130" t="n">
        <v>2027</v>
      </c>
      <c r="C6849" s="131" t="s">
        <v>252</v>
      </c>
      <c r="D6849" s="132" t="n">
        <v>46668</v>
      </c>
      <c r="E6849" s="131" t="s">
        <v>20</v>
      </c>
      <c r="F6849" s="133" t="s">
        <v>19</v>
      </c>
      <c r="G6849" s="134" t="n">
        <f aca="false">LEN('Saisie programme'!$H$251)+SUMIFS('Vols additionnels'!$E$7:$E$66,'Vols additionnels'!$C$7:$C$66,$E6849,'Vols additionnels'!$D$7:$D$66,$F6849,'Vols additionnels'!$B$7:$B$66,$D6849)</f>
        <v>1</v>
      </c>
      <c r="H6849" s="135" t="n">
        <f aca="false">$G6849*'Analyse capacite'!$F$8</f>
        <v>262</v>
      </c>
      <c r="I6849" s="135" t="n">
        <f aca="false">$G6849*'Analyse capacite'!$C$8</f>
        <v>18</v>
      </c>
      <c r="J6849" s="135" t="n">
        <f aca="false">$G6849*'Analyse capacite'!$D$8</f>
        <v>0</v>
      </c>
      <c r="K6849" s="135" t="n">
        <f aca="false">$G6849*'Analyse capacite'!$E$8</f>
        <v>244</v>
      </c>
    </row>
    <row r="6850" customFormat="false" ht="15" hidden="false" customHeight="false" outlineLevel="0" collapsed="false">
      <c r="B6850" s="130" t="n">
        <v>2027</v>
      </c>
      <c r="C6850" s="131" t="s">
        <v>252</v>
      </c>
      <c r="D6850" s="132" t="n">
        <v>46668</v>
      </c>
      <c r="E6850" s="131" t="s">
        <v>20</v>
      </c>
      <c r="F6850" s="133" t="s">
        <v>24</v>
      </c>
      <c r="G6850" s="134" t="n">
        <f aca="false">LEN('Saisie programme'!$H$252)+SUMIFS('Vols additionnels'!$E$7:$E$66,'Vols additionnels'!$C$7:$C$66,$E6850,'Vols additionnels'!$D$7:$D$66,$F6850,'Vols additionnels'!$B$7:$B$66,$D6850)</f>
        <v>0</v>
      </c>
      <c r="H6850" s="135" t="n">
        <f aca="false">$G6850*'Analyse capacite'!$F$9</f>
        <v>0</v>
      </c>
      <c r="I6850" s="135" t="n">
        <f aca="false">$G6850*'Analyse capacite'!$C$9</f>
        <v>0</v>
      </c>
      <c r="J6850" s="135" t="n">
        <f aca="false">$G6850*'Analyse capacite'!$D$9</f>
        <v>0</v>
      </c>
      <c r="K6850" s="135" t="n">
        <f aca="false">$G6850*'Analyse capacite'!$E$9</f>
        <v>0</v>
      </c>
    </row>
    <row r="6851" customFormat="false" ht="15" hidden="false" customHeight="false" outlineLevel="0" collapsed="false">
      <c r="B6851" s="130" t="n">
        <v>2027</v>
      </c>
      <c r="C6851" s="131" t="s">
        <v>252</v>
      </c>
      <c r="D6851" s="132" t="n">
        <v>46668</v>
      </c>
      <c r="E6851" s="131" t="s">
        <v>25</v>
      </c>
      <c r="F6851" s="133" t="s">
        <v>11</v>
      </c>
      <c r="G6851" s="134" t="n">
        <f aca="false">LEN('Saisie programme'!$H$253)+SUMIFS('Vols additionnels'!$E$7:$E$66,'Vols additionnels'!$C$7:$C$66,$E6851,'Vols additionnels'!$D$7:$D$66,$F6851,'Vols additionnels'!$B$7:$B$66,$D6851)</f>
        <v>0</v>
      </c>
      <c r="H6851" s="135" t="n">
        <f aca="false">$G6851*'Analyse capacite'!$F$7</f>
        <v>0</v>
      </c>
      <c r="I6851" s="135" t="n">
        <f aca="false">$G6851*'Analyse capacite'!$C$7</f>
        <v>0</v>
      </c>
      <c r="J6851" s="135" t="n">
        <f aca="false">$G6851*'Analyse capacite'!$D$7</f>
        <v>0</v>
      </c>
      <c r="K6851" s="135" t="n">
        <f aca="false">$G6851*'Analyse capacite'!$E$7</f>
        <v>0</v>
      </c>
    </row>
    <row r="6852" customFormat="false" ht="15" hidden="false" customHeight="false" outlineLevel="0" collapsed="false">
      <c r="B6852" s="130" t="n">
        <v>2027</v>
      </c>
      <c r="C6852" s="131" t="s">
        <v>252</v>
      </c>
      <c r="D6852" s="132" t="n">
        <v>46668</v>
      </c>
      <c r="E6852" s="131" t="s">
        <v>25</v>
      </c>
      <c r="F6852" s="133" t="s">
        <v>19</v>
      </c>
      <c r="G6852" s="134" t="n">
        <f aca="false">LEN('Saisie programme'!$H$254)+SUMIFS('Vols additionnels'!$E$7:$E$66,'Vols additionnels'!$C$7:$C$66,$E6852,'Vols additionnels'!$D$7:$D$66,$F6852,'Vols additionnels'!$B$7:$B$66,$D6852)</f>
        <v>0</v>
      </c>
      <c r="H6852" s="135" t="n">
        <f aca="false">$G6852*'Analyse capacite'!$F$8</f>
        <v>0</v>
      </c>
      <c r="I6852" s="135" t="n">
        <f aca="false">$G6852*'Analyse capacite'!$C$8</f>
        <v>0</v>
      </c>
      <c r="J6852" s="135" t="n">
        <f aca="false">$G6852*'Analyse capacite'!$D$8</f>
        <v>0</v>
      </c>
      <c r="K6852" s="135" t="n">
        <f aca="false">$G6852*'Analyse capacite'!$E$8</f>
        <v>0</v>
      </c>
    </row>
    <row r="6853" customFormat="false" ht="15" hidden="false" customHeight="false" outlineLevel="0" collapsed="false">
      <c r="B6853" s="130" t="n">
        <v>2027</v>
      </c>
      <c r="C6853" s="131" t="s">
        <v>252</v>
      </c>
      <c r="D6853" s="132" t="n">
        <v>46668</v>
      </c>
      <c r="E6853" s="131" t="s">
        <v>25</v>
      </c>
      <c r="F6853" s="133" t="s">
        <v>24</v>
      </c>
      <c r="G6853" s="134" t="n">
        <f aca="false">LEN('Saisie programme'!$H$255)+SUMIFS('Vols additionnels'!$E$7:$E$66,'Vols additionnels'!$C$7:$C$66,$E6853,'Vols additionnels'!$D$7:$D$66,$F6853,'Vols additionnels'!$B$7:$B$66,$D6853)</f>
        <v>0</v>
      </c>
      <c r="H6853" s="135" t="n">
        <f aca="false">$G6853*'Analyse capacite'!$F$9</f>
        <v>0</v>
      </c>
      <c r="I6853" s="135" t="n">
        <f aca="false">$G6853*'Analyse capacite'!$C$9</f>
        <v>0</v>
      </c>
      <c r="J6853" s="135" t="n">
        <f aca="false">$G6853*'Analyse capacite'!$D$9</f>
        <v>0</v>
      </c>
      <c r="K6853" s="135" t="n">
        <f aca="false">$G6853*'Analyse capacite'!$E$9</f>
        <v>0</v>
      </c>
    </row>
    <row r="6854" customFormat="false" ht="15" hidden="false" customHeight="false" outlineLevel="0" collapsed="false">
      <c r="B6854" s="130" t="n">
        <v>2027</v>
      </c>
      <c r="C6854" s="131" t="s">
        <v>252</v>
      </c>
      <c r="D6854" s="132" t="n">
        <v>46668</v>
      </c>
      <c r="E6854" s="131" t="s">
        <v>36</v>
      </c>
      <c r="F6854" s="133" t="s">
        <v>11</v>
      </c>
      <c r="G6854" s="134" t="n">
        <f aca="false">LEN('Saisie programme'!$H$256)+SUMIFS('Vols additionnels'!$E$7:$E$66,'Vols additionnels'!$C$7:$C$66,$E6854,'Vols additionnels'!$D$7:$D$66,$F6854,'Vols additionnels'!$B$7:$B$66,$D6854)</f>
        <v>0</v>
      </c>
      <c r="H6854" s="135" t="n">
        <f aca="false">$G6854*'Analyse capacite'!$F$7</f>
        <v>0</v>
      </c>
      <c r="I6854" s="135" t="n">
        <f aca="false">$G6854*'Analyse capacite'!$C$7</f>
        <v>0</v>
      </c>
      <c r="J6854" s="135" t="n">
        <f aca="false">$G6854*'Analyse capacite'!$D$7</f>
        <v>0</v>
      </c>
      <c r="K6854" s="135" t="n">
        <f aca="false">$G6854*'Analyse capacite'!$E$7</f>
        <v>0</v>
      </c>
    </row>
    <row r="6855" customFormat="false" ht="15" hidden="false" customHeight="false" outlineLevel="0" collapsed="false">
      <c r="B6855" s="130" t="n">
        <v>2027</v>
      </c>
      <c r="C6855" s="131" t="s">
        <v>252</v>
      </c>
      <c r="D6855" s="132" t="n">
        <v>46668</v>
      </c>
      <c r="E6855" s="131" t="s">
        <v>36</v>
      </c>
      <c r="F6855" s="133" t="s">
        <v>19</v>
      </c>
      <c r="G6855" s="134" t="n">
        <f aca="false">LEN('Saisie programme'!$H$257)+SUMIFS('Vols additionnels'!$E$7:$E$66,'Vols additionnels'!$C$7:$C$66,$E6855,'Vols additionnels'!$D$7:$D$66,$F6855,'Vols additionnels'!$B$7:$B$66,$D6855)</f>
        <v>0</v>
      </c>
      <c r="H6855" s="135" t="n">
        <f aca="false">$G6855*'Analyse capacite'!$F$8</f>
        <v>0</v>
      </c>
      <c r="I6855" s="135" t="n">
        <f aca="false">$G6855*'Analyse capacite'!$C$8</f>
        <v>0</v>
      </c>
      <c r="J6855" s="135" t="n">
        <f aca="false">$G6855*'Analyse capacite'!$D$8</f>
        <v>0</v>
      </c>
      <c r="K6855" s="135" t="n">
        <f aca="false">$G6855*'Analyse capacite'!$E$8</f>
        <v>0</v>
      </c>
    </row>
    <row r="6856" customFormat="false" ht="15" hidden="false" customHeight="false" outlineLevel="0" collapsed="false">
      <c r="B6856" s="130" t="n">
        <v>2027</v>
      </c>
      <c r="C6856" s="131" t="s">
        <v>252</v>
      </c>
      <c r="D6856" s="132" t="n">
        <v>46668</v>
      </c>
      <c r="E6856" s="131" t="s">
        <v>36</v>
      </c>
      <c r="F6856" s="133" t="s">
        <v>24</v>
      </c>
      <c r="G6856" s="134" t="n">
        <f aca="false">LEN('Saisie programme'!$H$258)+SUMIFS('Vols additionnels'!$E$7:$E$66,'Vols additionnels'!$C$7:$C$66,$E6856,'Vols additionnels'!$D$7:$D$66,$F6856,'Vols additionnels'!$B$7:$B$66,$D6856)</f>
        <v>1</v>
      </c>
      <c r="H6856" s="135" t="n">
        <f aca="false">$G6856*'Analyse capacite'!$F$9</f>
        <v>174</v>
      </c>
      <c r="I6856" s="135" t="n">
        <f aca="false">$G6856*'Analyse capacite'!$C$9</f>
        <v>0</v>
      </c>
      <c r="J6856" s="135" t="n">
        <f aca="false">$G6856*'Analyse capacite'!$D$9</f>
        <v>12</v>
      </c>
      <c r="K6856" s="135" t="n">
        <f aca="false">$G6856*'Analyse capacite'!$E$9</f>
        <v>162</v>
      </c>
    </row>
    <row r="6857" customFormat="false" ht="15" hidden="false" customHeight="false" outlineLevel="0" collapsed="false">
      <c r="B6857" s="130" t="n">
        <v>2027</v>
      </c>
      <c r="C6857" s="131" t="s">
        <v>252</v>
      </c>
      <c r="D6857" s="132" t="n">
        <v>46668</v>
      </c>
      <c r="E6857" s="131" t="s">
        <v>40</v>
      </c>
      <c r="F6857" s="133" t="s">
        <v>11</v>
      </c>
      <c r="G6857" s="134" t="n">
        <f aca="false">LEN('Saisie programme'!$H$259)+SUMIFS('Vols additionnels'!$E$7:$E$66,'Vols additionnels'!$C$7:$C$66,$E6857,'Vols additionnels'!$D$7:$D$66,$F6857,'Vols additionnels'!$B$7:$B$66,$D6857)</f>
        <v>0</v>
      </c>
      <c r="H6857" s="135" t="n">
        <f aca="false">$G6857*'Analyse capacite'!$F$7</f>
        <v>0</v>
      </c>
      <c r="I6857" s="135" t="n">
        <f aca="false">$G6857*'Analyse capacite'!$C$7</f>
        <v>0</v>
      </c>
      <c r="J6857" s="135" t="n">
        <f aca="false">$G6857*'Analyse capacite'!$D$7</f>
        <v>0</v>
      </c>
      <c r="K6857" s="135" t="n">
        <f aca="false">$G6857*'Analyse capacite'!$E$7</f>
        <v>0</v>
      </c>
    </row>
    <row r="6858" customFormat="false" ht="15" hidden="false" customHeight="false" outlineLevel="0" collapsed="false">
      <c r="B6858" s="130" t="n">
        <v>2027</v>
      </c>
      <c r="C6858" s="131" t="s">
        <v>252</v>
      </c>
      <c r="D6858" s="132" t="n">
        <v>46668</v>
      </c>
      <c r="E6858" s="131" t="s">
        <v>40</v>
      </c>
      <c r="F6858" s="133" t="s">
        <v>19</v>
      </c>
      <c r="G6858" s="134" t="n">
        <f aca="false">LEN('Saisie programme'!$H$260)+SUMIFS('Vols additionnels'!$E$7:$E$66,'Vols additionnels'!$C$7:$C$66,$E6858,'Vols additionnels'!$D$7:$D$66,$F6858,'Vols additionnels'!$B$7:$B$66,$D6858)</f>
        <v>0</v>
      </c>
      <c r="H6858" s="135" t="n">
        <f aca="false">$G6858*'Analyse capacite'!$F$8</f>
        <v>0</v>
      </c>
      <c r="I6858" s="135" t="n">
        <f aca="false">$G6858*'Analyse capacite'!$C$8</f>
        <v>0</v>
      </c>
      <c r="J6858" s="135" t="n">
        <f aca="false">$G6858*'Analyse capacite'!$D$8</f>
        <v>0</v>
      </c>
      <c r="K6858" s="135" t="n">
        <f aca="false">$G6858*'Analyse capacite'!$E$8</f>
        <v>0</v>
      </c>
    </row>
    <row r="6859" customFormat="false" ht="15" hidden="false" customHeight="false" outlineLevel="0" collapsed="false">
      <c r="B6859" s="130" t="n">
        <v>2027</v>
      </c>
      <c r="C6859" s="131" t="s">
        <v>252</v>
      </c>
      <c r="D6859" s="132" t="n">
        <v>46668</v>
      </c>
      <c r="E6859" s="131" t="s">
        <v>40</v>
      </c>
      <c r="F6859" s="133" t="s">
        <v>24</v>
      </c>
      <c r="G6859" s="134" t="n">
        <f aca="false">LEN('Saisie programme'!$H$261)+SUMIFS('Vols additionnels'!$E$7:$E$66,'Vols additionnels'!$C$7:$C$66,$E6859,'Vols additionnels'!$D$7:$D$66,$F6859,'Vols additionnels'!$B$7:$B$66,$D6859)</f>
        <v>1</v>
      </c>
      <c r="H6859" s="135" t="n">
        <f aca="false">$G6859*'Analyse capacite'!$F$9</f>
        <v>174</v>
      </c>
      <c r="I6859" s="135" t="n">
        <f aca="false">$G6859*'Analyse capacite'!$C$9</f>
        <v>0</v>
      </c>
      <c r="J6859" s="135" t="n">
        <f aca="false">$G6859*'Analyse capacite'!$D$9</f>
        <v>12</v>
      </c>
      <c r="K6859" s="135" t="n">
        <f aca="false">$G6859*'Analyse capacite'!$E$9</f>
        <v>162</v>
      </c>
    </row>
    <row r="6860" customFormat="false" ht="15" hidden="false" customHeight="false" outlineLevel="0" collapsed="false">
      <c r="B6860" s="130" t="n">
        <v>2027</v>
      </c>
      <c r="C6860" s="131" t="s">
        <v>252</v>
      </c>
      <c r="D6860" s="132" t="n">
        <v>46668</v>
      </c>
      <c r="E6860" s="131" t="s">
        <v>14</v>
      </c>
      <c r="F6860" s="133" t="s">
        <v>11</v>
      </c>
      <c r="G6860" s="134" t="n">
        <f aca="false">LEN('Saisie programme'!$H$262)+SUMIFS('Vols additionnels'!$E$7:$E$66,'Vols additionnels'!$C$7:$C$66,$E6860,'Vols additionnels'!$D$7:$D$66,$F6860,'Vols additionnels'!$B$7:$B$66,$D6860)</f>
        <v>0</v>
      </c>
      <c r="H6860" s="135" t="n">
        <f aca="false">$G6860*'Analyse capacite'!$F$7</f>
        <v>0</v>
      </c>
      <c r="I6860" s="135" t="n">
        <f aca="false">$G6860*'Analyse capacite'!$C$7</f>
        <v>0</v>
      </c>
      <c r="J6860" s="135" t="n">
        <f aca="false">$G6860*'Analyse capacite'!$D$7</f>
        <v>0</v>
      </c>
      <c r="K6860" s="135" t="n">
        <f aca="false">$G6860*'Analyse capacite'!$E$7</f>
        <v>0</v>
      </c>
    </row>
    <row r="6861" customFormat="false" ht="15" hidden="false" customHeight="false" outlineLevel="0" collapsed="false">
      <c r="B6861" s="130" t="n">
        <v>2027</v>
      </c>
      <c r="C6861" s="131" t="s">
        <v>252</v>
      </c>
      <c r="D6861" s="132" t="n">
        <v>46668</v>
      </c>
      <c r="E6861" s="131" t="s">
        <v>14</v>
      </c>
      <c r="F6861" s="133" t="s">
        <v>19</v>
      </c>
      <c r="G6861" s="134" t="n">
        <f aca="false">LEN('Saisie programme'!$H$263)+SUMIFS('Vols additionnels'!$E$7:$E$66,'Vols additionnels'!$C$7:$C$66,$E6861,'Vols additionnels'!$D$7:$D$66,$F6861,'Vols additionnels'!$B$7:$B$66,$D6861)</f>
        <v>0</v>
      </c>
      <c r="H6861" s="135" t="n">
        <f aca="false">$G6861*'Analyse capacite'!$F$8</f>
        <v>0</v>
      </c>
      <c r="I6861" s="135" t="n">
        <f aca="false">$G6861*'Analyse capacite'!$C$8</f>
        <v>0</v>
      </c>
      <c r="J6861" s="135" t="n">
        <f aca="false">$G6861*'Analyse capacite'!$D$8</f>
        <v>0</v>
      </c>
      <c r="K6861" s="135" t="n">
        <f aca="false">$G6861*'Analyse capacite'!$E$8</f>
        <v>0</v>
      </c>
    </row>
    <row r="6862" customFormat="false" ht="15" hidden="false" customHeight="false" outlineLevel="0" collapsed="false">
      <c r="B6862" s="130" t="n">
        <v>2027</v>
      </c>
      <c r="C6862" s="131" t="s">
        <v>252</v>
      </c>
      <c r="D6862" s="132" t="n">
        <v>46668</v>
      </c>
      <c r="E6862" s="131" t="s">
        <v>14</v>
      </c>
      <c r="F6862" s="133" t="s">
        <v>24</v>
      </c>
      <c r="G6862" s="134" t="n">
        <f aca="false">LEN('Saisie programme'!$H$264)+SUMIFS('Vols additionnels'!$E$7:$E$66,'Vols additionnels'!$C$7:$C$66,$E6862,'Vols additionnels'!$D$7:$D$66,$F6862,'Vols additionnels'!$B$7:$B$66,$D6862)</f>
        <v>0</v>
      </c>
      <c r="H6862" s="135" t="n">
        <f aca="false">$G6862*'Analyse capacite'!$F$9</f>
        <v>0</v>
      </c>
      <c r="I6862" s="135" t="n">
        <f aca="false">$G6862*'Analyse capacite'!$C$9</f>
        <v>0</v>
      </c>
      <c r="J6862" s="135" t="n">
        <f aca="false">$G6862*'Analyse capacite'!$D$9</f>
        <v>0</v>
      </c>
      <c r="K6862" s="135" t="n">
        <f aca="false">$G6862*'Analyse capacite'!$E$9</f>
        <v>0</v>
      </c>
    </row>
    <row r="6863" customFormat="false" ht="15" hidden="false" customHeight="false" outlineLevel="0" collapsed="false">
      <c r="B6863" s="130" t="n">
        <v>2027</v>
      </c>
      <c r="C6863" s="131" t="s">
        <v>252</v>
      </c>
      <c r="D6863" s="132" t="n">
        <v>46668</v>
      </c>
      <c r="E6863" s="131" t="s">
        <v>46</v>
      </c>
      <c r="F6863" s="133" t="s">
        <v>11</v>
      </c>
      <c r="G6863" s="134" t="n">
        <f aca="false">LEN('Saisie programme'!$H$265)+SUMIFS('Vols additionnels'!$E$7:$E$66,'Vols additionnels'!$C$7:$C$66,$E6863,'Vols additionnels'!$D$7:$D$66,$F6863,'Vols additionnels'!$B$7:$B$66,$D6863)</f>
        <v>0</v>
      </c>
      <c r="H6863" s="135" t="n">
        <f aca="false">$G6863*'Analyse capacite'!$F$7</f>
        <v>0</v>
      </c>
      <c r="I6863" s="135" t="n">
        <f aca="false">$G6863*'Analyse capacite'!$C$7</f>
        <v>0</v>
      </c>
      <c r="J6863" s="135" t="n">
        <f aca="false">$G6863*'Analyse capacite'!$D$7</f>
        <v>0</v>
      </c>
      <c r="K6863" s="135" t="n">
        <f aca="false">$G6863*'Analyse capacite'!$E$7</f>
        <v>0</v>
      </c>
    </row>
    <row r="6864" customFormat="false" ht="15" hidden="false" customHeight="false" outlineLevel="0" collapsed="false">
      <c r="B6864" s="130" t="n">
        <v>2027</v>
      </c>
      <c r="C6864" s="131" t="s">
        <v>252</v>
      </c>
      <c r="D6864" s="132" t="n">
        <v>46668</v>
      </c>
      <c r="E6864" s="131" t="s">
        <v>46</v>
      </c>
      <c r="F6864" s="133" t="s">
        <v>19</v>
      </c>
      <c r="G6864" s="134" t="n">
        <f aca="false">LEN('Saisie programme'!$H$266)+SUMIFS('Vols additionnels'!$E$7:$E$66,'Vols additionnels'!$C$7:$C$66,$E6864,'Vols additionnels'!$D$7:$D$66,$F6864,'Vols additionnels'!$B$7:$B$66,$D6864)</f>
        <v>0</v>
      </c>
      <c r="H6864" s="135" t="n">
        <f aca="false">$G6864*'Analyse capacite'!$F$8</f>
        <v>0</v>
      </c>
      <c r="I6864" s="135" t="n">
        <f aca="false">$G6864*'Analyse capacite'!$C$8</f>
        <v>0</v>
      </c>
      <c r="J6864" s="135" t="n">
        <f aca="false">$G6864*'Analyse capacite'!$D$8</f>
        <v>0</v>
      </c>
      <c r="K6864" s="135" t="n">
        <f aca="false">$G6864*'Analyse capacite'!$E$8</f>
        <v>0</v>
      </c>
    </row>
    <row r="6865" customFormat="false" ht="15" hidden="false" customHeight="false" outlineLevel="0" collapsed="false">
      <c r="B6865" s="130" t="n">
        <v>2027</v>
      </c>
      <c r="C6865" s="131" t="s">
        <v>252</v>
      </c>
      <c r="D6865" s="132" t="n">
        <v>46668</v>
      </c>
      <c r="E6865" s="131" t="s">
        <v>46</v>
      </c>
      <c r="F6865" s="133" t="s">
        <v>24</v>
      </c>
      <c r="G6865" s="134" t="n">
        <f aca="false">LEN('Saisie programme'!$H$267)+SUMIFS('Vols additionnels'!$E$7:$E$66,'Vols additionnels'!$C$7:$C$66,$E6865,'Vols additionnels'!$D$7:$D$66,$F6865,'Vols additionnels'!$B$7:$B$66,$D6865)</f>
        <v>0</v>
      </c>
      <c r="H6865" s="135" t="n">
        <f aca="false">$G6865*'Analyse capacite'!$F$9</f>
        <v>0</v>
      </c>
      <c r="I6865" s="135" t="n">
        <f aca="false">$G6865*'Analyse capacite'!$C$9</f>
        <v>0</v>
      </c>
      <c r="J6865" s="135" t="n">
        <f aca="false">$G6865*'Analyse capacite'!$D$9</f>
        <v>0</v>
      </c>
      <c r="K6865" s="135" t="n">
        <f aca="false">$G6865*'Analyse capacite'!$E$9</f>
        <v>0</v>
      </c>
    </row>
    <row r="6866" customFormat="false" ht="15" hidden="false" customHeight="false" outlineLevel="0" collapsed="false">
      <c r="B6866" s="130" t="n">
        <v>2027</v>
      </c>
      <c r="C6866" s="131" t="s">
        <v>252</v>
      </c>
      <c r="D6866" s="132" t="n">
        <v>46668</v>
      </c>
      <c r="E6866" s="131" t="s">
        <v>49</v>
      </c>
      <c r="F6866" s="133" t="s">
        <v>11</v>
      </c>
      <c r="G6866" s="134" t="n">
        <f aca="false">LEN('Saisie programme'!$H$268)+SUMIFS('Vols additionnels'!$E$7:$E$66,'Vols additionnels'!$C$7:$C$66,$E6866,'Vols additionnels'!$D$7:$D$66,$F6866,'Vols additionnels'!$B$7:$B$66,$D6866)</f>
        <v>0</v>
      </c>
      <c r="H6866" s="135" t="n">
        <f aca="false">$G6866*'Analyse capacite'!$F$7</f>
        <v>0</v>
      </c>
      <c r="I6866" s="135" t="n">
        <f aca="false">$G6866*'Analyse capacite'!$C$7</f>
        <v>0</v>
      </c>
      <c r="J6866" s="135" t="n">
        <f aca="false">$G6866*'Analyse capacite'!$D$7</f>
        <v>0</v>
      </c>
      <c r="K6866" s="135" t="n">
        <f aca="false">$G6866*'Analyse capacite'!$E$7</f>
        <v>0</v>
      </c>
    </row>
    <row r="6867" customFormat="false" ht="15" hidden="false" customHeight="false" outlineLevel="0" collapsed="false">
      <c r="B6867" s="130" t="n">
        <v>2027</v>
      </c>
      <c r="C6867" s="131" t="s">
        <v>252</v>
      </c>
      <c r="D6867" s="132" t="n">
        <v>46668</v>
      </c>
      <c r="E6867" s="131" t="s">
        <v>49</v>
      </c>
      <c r="F6867" s="133" t="s">
        <v>19</v>
      </c>
      <c r="G6867" s="134" t="n">
        <f aca="false">LEN('Saisie programme'!$H$269)+SUMIFS('Vols additionnels'!$E$7:$E$66,'Vols additionnels'!$C$7:$C$66,$E6867,'Vols additionnels'!$D$7:$D$66,$F6867,'Vols additionnels'!$B$7:$B$66,$D6867)</f>
        <v>1</v>
      </c>
      <c r="H6867" s="135" t="n">
        <f aca="false">$G6867*'Analyse capacite'!$F$8</f>
        <v>262</v>
      </c>
      <c r="I6867" s="135" t="n">
        <f aca="false">$G6867*'Analyse capacite'!$C$8</f>
        <v>18</v>
      </c>
      <c r="J6867" s="135" t="n">
        <f aca="false">$G6867*'Analyse capacite'!$D$8</f>
        <v>0</v>
      </c>
      <c r="K6867" s="135" t="n">
        <f aca="false">$G6867*'Analyse capacite'!$E$8</f>
        <v>244</v>
      </c>
    </row>
    <row r="6868" customFormat="false" ht="15" hidden="false" customHeight="false" outlineLevel="0" collapsed="false">
      <c r="B6868" s="130" t="n">
        <v>2027</v>
      </c>
      <c r="C6868" s="131" t="s">
        <v>252</v>
      </c>
      <c r="D6868" s="132" t="n">
        <v>46668</v>
      </c>
      <c r="E6868" s="131" t="s">
        <v>49</v>
      </c>
      <c r="F6868" s="133" t="s">
        <v>24</v>
      </c>
      <c r="G6868" s="134" t="n">
        <f aca="false">LEN('Saisie programme'!$H$270)+SUMIFS('Vols additionnels'!$E$7:$E$66,'Vols additionnels'!$C$7:$C$66,$E6868,'Vols additionnels'!$D$7:$D$66,$F6868,'Vols additionnels'!$B$7:$B$66,$D6868)</f>
        <v>0</v>
      </c>
      <c r="H6868" s="135" t="n">
        <f aca="false">$G6868*'Analyse capacite'!$F$9</f>
        <v>0</v>
      </c>
      <c r="I6868" s="135" t="n">
        <f aca="false">$G6868*'Analyse capacite'!$C$9</f>
        <v>0</v>
      </c>
      <c r="J6868" s="135" t="n">
        <f aca="false">$G6868*'Analyse capacite'!$D$9</f>
        <v>0</v>
      </c>
      <c r="K6868" s="135" t="n">
        <f aca="false">$G6868*'Analyse capacite'!$E$9</f>
        <v>0</v>
      </c>
    </row>
    <row r="6869" customFormat="false" ht="15" hidden="false" customHeight="false" outlineLevel="0" collapsed="false">
      <c r="B6869" s="130" t="n">
        <v>2027</v>
      </c>
      <c r="C6869" s="131" t="s">
        <v>252</v>
      </c>
      <c r="D6869" s="132" t="n">
        <v>46668</v>
      </c>
      <c r="E6869" s="131" t="s">
        <v>53</v>
      </c>
      <c r="F6869" s="133" t="s">
        <v>11</v>
      </c>
      <c r="G6869" s="134" t="n">
        <f aca="false">LEN('Saisie programme'!$H$271)+SUMIFS('Vols additionnels'!$E$7:$E$66,'Vols additionnels'!$C$7:$C$66,$E6869,'Vols additionnels'!$D$7:$D$66,$F6869,'Vols additionnels'!$B$7:$B$66,$D6869)</f>
        <v>0</v>
      </c>
      <c r="H6869" s="135" t="n">
        <f aca="false">$G6869*'Analyse capacite'!$F$7</f>
        <v>0</v>
      </c>
      <c r="I6869" s="135" t="n">
        <f aca="false">$G6869*'Analyse capacite'!$C$7</f>
        <v>0</v>
      </c>
      <c r="J6869" s="135" t="n">
        <f aca="false">$G6869*'Analyse capacite'!$D$7</f>
        <v>0</v>
      </c>
      <c r="K6869" s="135" t="n">
        <f aca="false">$G6869*'Analyse capacite'!$E$7</f>
        <v>0</v>
      </c>
    </row>
    <row r="6870" customFormat="false" ht="15" hidden="false" customHeight="false" outlineLevel="0" collapsed="false">
      <c r="B6870" s="130" t="n">
        <v>2027</v>
      </c>
      <c r="C6870" s="131" t="s">
        <v>252</v>
      </c>
      <c r="D6870" s="132" t="n">
        <v>46668</v>
      </c>
      <c r="E6870" s="131" t="s">
        <v>53</v>
      </c>
      <c r="F6870" s="133" t="s">
        <v>19</v>
      </c>
      <c r="G6870" s="134" t="n">
        <f aca="false">LEN('Saisie programme'!$H$272)+SUMIFS('Vols additionnels'!$E$7:$E$66,'Vols additionnels'!$C$7:$C$66,$E6870,'Vols additionnels'!$D$7:$D$66,$F6870,'Vols additionnels'!$B$7:$B$66,$D6870)</f>
        <v>0</v>
      </c>
      <c r="H6870" s="135" t="n">
        <f aca="false">$G6870*'Analyse capacite'!$F$8</f>
        <v>0</v>
      </c>
      <c r="I6870" s="135" t="n">
        <f aca="false">$G6870*'Analyse capacite'!$C$8</f>
        <v>0</v>
      </c>
      <c r="J6870" s="135" t="n">
        <f aca="false">$G6870*'Analyse capacite'!$D$8</f>
        <v>0</v>
      </c>
      <c r="K6870" s="135" t="n">
        <f aca="false">$G6870*'Analyse capacite'!$E$8</f>
        <v>0</v>
      </c>
    </row>
    <row r="6871" customFormat="false" ht="15" hidden="false" customHeight="false" outlineLevel="0" collapsed="false">
      <c r="B6871" s="130" t="n">
        <v>2027</v>
      </c>
      <c r="C6871" s="131" t="s">
        <v>252</v>
      </c>
      <c r="D6871" s="132" t="n">
        <v>46668</v>
      </c>
      <c r="E6871" s="131" t="s">
        <v>53</v>
      </c>
      <c r="F6871" s="133" t="s">
        <v>24</v>
      </c>
      <c r="G6871" s="134" t="n">
        <f aca="false">LEN('Saisie programme'!$H$273)+SUMIFS('Vols additionnels'!$E$7:$E$66,'Vols additionnels'!$C$7:$C$66,$E6871,'Vols additionnels'!$D$7:$D$66,$F6871,'Vols additionnels'!$B$7:$B$66,$D6871)</f>
        <v>0</v>
      </c>
      <c r="H6871" s="135" t="n">
        <f aca="false">$G6871*'Analyse capacite'!$F$9</f>
        <v>0</v>
      </c>
      <c r="I6871" s="135" t="n">
        <f aca="false">$G6871*'Analyse capacite'!$C$9</f>
        <v>0</v>
      </c>
      <c r="J6871" s="135" t="n">
        <f aca="false">$G6871*'Analyse capacite'!$D$9</f>
        <v>0</v>
      </c>
      <c r="K6871" s="135" t="n">
        <f aca="false">$G6871*'Analyse capacite'!$E$9</f>
        <v>0</v>
      </c>
    </row>
    <row r="6872" customFormat="false" ht="15" hidden="false" customHeight="false" outlineLevel="0" collapsed="false">
      <c r="B6872" s="130" t="n">
        <v>2027</v>
      </c>
      <c r="C6872" s="131" t="s">
        <v>252</v>
      </c>
      <c r="D6872" s="132" t="n">
        <v>46668</v>
      </c>
      <c r="E6872" s="131" t="s">
        <v>56</v>
      </c>
      <c r="F6872" s="133" t="s">
        <v>11</v>
      </c>
      <c r="G6872" s="134" t="n">
        <f aca="false">LEN('Saisie programme'!$H$274)+SUMIFS('Vols additionnels'!$E$7:$E$66,'Vols additionnels'!$C$7:$C$66,$E6872,'Vols additionnels'!$D$7:$D$66,$F6872,'Vols additionnels'!$B$7:$B$66,$D6872)</f>
        <v>0</v>
      </c>
      <c r="H6872" s="135" t="n">
        <f aca="false">$G6872*'Analyse capacite'!$F$7</f>
        <v>0</v>
      </c>
      <c r="I6872" s="135" t="n">
        <f aca="false">$G6872*'Analyse capacite'!$C$7</f>
        <v>0</v>
      </c>
      <c r="J6872" s="135" t="n">
        <f aca="false">$G6872*'Analyse capacite'!$D$7</f>
        <v>0</v>
      </c>
      <c r="K6872" s="135" t="n">
        <f aca="false">$G6872*'Analyse capacite'!$E$7</f>
        <v>0</v>
      </c>
    </row>
    <row r="6873" customFormat="false" ht="15" hidden="false" customHeight="false" outlineLevel="0" collapsed="false">
      <c r="B6873" s="130" t="n">
        <v>2027</v>
      </c>
      <c r="C6873" s="131" t="s">
        <v>252</v>
      </c>
      <c r="D6873" s="132" t="n">
        <v>46668</v>
      </c>
      <c r="E6873" s="131" t="s">
        <v>56</v>
      </c>
      <c r="F6873" s="133" t="s">
        <v>19</v>
      </c>
      <c r="G6873" s="134" t="n">
        <f aca="false">LEN('Saisie programme'!$H$275)+SUMIFS('Vols additionnels'!$E$7:$E$66,'Vols additionnels'!$C$7:$C$66,$E6873,'Vols additionnels'!$D$7:$D$66,$F6873,'Vols additionnels'!$B$7:$B$66,$D6873)</f>
        <v>0</v>
      </c>
      <c r="H6873" s="135" t="n">
        <f aca="false">$G6873*'Analyse capacite'!$F$8</f>
        <v>0</v>
      </c>
      <c r="I6873" s="135" t="n">
        <f aca="false">$G6873*'Analyse capacite'!$C$8</f>
        <v>0</v>
      </c>
      <c r="J6873" s="135" t="n">
        <f aca="false">$G6873*'Analyse capacite'!$D$8</f>
        <v>0</v>
      </c>
      <c r="K6873" s="135" t="n">
        <f aca="false">$G6873*'Analyse capacite'!$E$8</f>
        <v>0</v>
      </c>
    </row>
    <row r="6874" customFormat="false" ht="15" hidden="false" customHeight="false" outlineLevel="0" collapsed="false">
      <c r="B6874" s="130" t="n">
        <v>2027</v>
      </c>
      <c r="C6874" s="131" t="s">
        <v>252</v>
      </c>
      <c r="D6874" s="132" t="n">
        <v>46668</v>
      </c>
      <c r="E6874" s="131" t="s">
        <v>56</v>
      </c>
      <c r="F6874" s="133" t="s">
        <v>24</v>
      </c>
      <c r="G6874" s="134" t="n">
        <f aca="false">LEN('Saisie programme'!$H$276)+SUMIFS('Vols additionnels'!$E$7:$E$66,'Vols additionnels'!$C$7:$C$66,$E6874,'Vols additionnels'!$D$7:$D$66,$F6874,'Vols additionnels'!$B$7:$B$66,$D6874)</f>
        <v>0</v>
      </c>
      <c r="H6874" s="135" t="n">
        <f aca="false">$G6874*'Analyse capacite'!$F$9</f>
        <v>0</v>
      </c>
      <c r="I6874" s="135" t="n">
        <f aca="false">$G6874*'Analyse capacite'!$C$9</f>
        <v>0</v>
      </c>
      <c r="J6874" s="135" t="n">
        <f aca="false">$G6874*'Analyse capacite'!$D$9</f>
        <v>0</v>
      </c>
      <c r="K6874" s="135" t="n">
        <f aca="false">$G6874*'Analyse capacite'!$E$9</f>
        <v>0</v>
      </c>
    </row>
    <row r="6875" customFormat="false" ht="15" hidden="false" customHeight="false" outlineLevel="0" collapsed="false">
      <c r="B6875" s="130" t="n">
        <v>2027</v>
      </c>
      <c r="C6875" s="131" t="s">
        <v>252</v>
      </c>
      <c r="D6875" s="132" t="n">
        <v>46668</v>
      </c>
      <c r="E6875" s="131" t="s">
        <v>59</v>
      </c>
      <c r="F6875" s="133" t="s">
        <v>11</v>
      </c>
      <c r="G6875" s="134" t="n">
        <f aca="false">LEN('Saisie programme'!$H$277)+SUMIFS('Vols additionnels'!$E$7:$E$66,'Vols additionnels'!$C$7:$C$66,$E6875,'Vols additionnels'!$D$7:$D$66,$F6875,'Vols additionnels'!$B$7:$B$66,$D6875)</f>
        <v>0</v>
      </c>
      <c r="H6875" s="135" t="n">
        <f aca="false">$G6875*'Analyse capacite'!$F$7</f>
        <v>0</v>
      </c>
      <c r="I6875" s="135" t="n">
        <f aca="false">$G6875*'Analyse capacite'!$C$7</f>
        <v>0</v>
      </c>
      <c r="J6875" s="135" t="n">
        <f aca="false">$G6875*'Analyse capacite'!$D$7</f>
        <v>0</v>
      </c>
      <c r="K6875" s="135" t="n">
        <f aca="false">$G6875*'Analyse capacite'!$E$7</f>
        <v>0</v>
      </c>
    </row>
    <row r="6876" customFormat="false" ht="15" hidden="false" customHeight="false" outlineLevel="0" collapsed="false">
      <c r="B6876" s="130" t="n">
        <v>2027</v>
      </c>
      <c r="C6876" s="131" t="s">
        <v>252</v>
      </c>
      <c r="D6876" s="132" t="n">
        <v>46668</v>
      </c>
      <c r="E6876" s="131" t="s">
        <v>59</v>
      </c>
      <c r="F6876" s="133" t="s">
        <v>19</v>
      </c>
      <c r="G6876" s="134" t="n">
        <f aca="false">LEN('Saisie programme'!$H$278)+SUMIFS('Vols additionnels'!$E$7:$E$66,'Vols additionnels'!$C$7:$C$66,$E6876,'Vols additionnels'!$D$7:$D$66,$F6876,'Vols additionnels'!$B$7:$B$66,$D6876)</f>
        <v>0</v>
      </c>
      <c r="H6876" s="135" t="n">
        <f aca="false">$G6876*'Analyse capacite'!$F$8</f>
        <v>0</v>
      </c>
      <c r="I6876" s="135" t="n">
        <f aca="false">$G6876*'Analyse capacite'!$C$8</f>
        <v>0</v>
      </c>
      <c r="J6876" s="135" t="n">
        <f aca="false">$G6876*'Analyse capacite'!$D$8</f>
        <v>0</v>
      </c>
      <c r="K6876" s="135" t="n">
        <f aca="false">$G6876*'Analyse capacite'!$E$8</f>
        <v>0</v>
      </c>
    </row>
    <row r="6877" customFormat="false" ht="15" hidden="false" customHeight="false" outlineLevel="0" collapsed="false">
      <c r="B6877" s="130" t="n">
        <v>2027</v>
      </c>
      <c r="C6877" s="131" t="s">
        <v>252</v>
      </c>
      <c r="D6877" s="132" t="n">
        <v>46668</v>
      </c>
      <c r="E6877" s="131" t="s">
        <v>59</v>
      </c>
      <c r="F6877" s="133" t="s">
        <v>24</v>
      </c>
      <c r="G6877" s="134" t="n">
        <f aca="false">LEN('Saisie programme'!$H$279)+SUMIFS('Vols additionnels'!$E$7:$E$66,'Vols additionnels'!$C$7:$C$66,$E6877,'Vols additionnels'!$D$7:$D$66,$F6877,'Vols additionnels'!$B$7:$B$66,$D6877)</f>
        <v>1</v>
      </c>
      <c r="H6877" s="135" t="n">
        <f aca="false">$G6877*'Analyse capacite'!$F$9</f>
        <v>174</v>
      </c>
      <c r="I6877" s="135" t="n">
        <f aca="false">$G6877*'Analyse capacite'!$C$9</f>
        <v>0</v>
      </c>
      <c r="J6877" s="135" t="n">
        <f aca="false">$G6877*'Analyse capacite'!$D$9</f>
        <v>12</v>
      </c>
      <c r="K6877" s="135" t="n">
        <f aca="false">$G6877*'Analyse capacite'!$E$9</f>
        <v>162</v>
      </c>
    </row>
    <row r="6878" customFormat="false" ht="15" hidden="false" customHeight="false" outlineLevel="0" collapsed="false">
      <c r="B6878" s="130" t="n">
        <v>2027</v>
      </c>
      <c r="C6878" s="131" t="s">
        <v>252</v>
      </c>
      <c r="D6878" s="132" t="n">
        <v>46668</v>
      </c>
      <c r="E6878" s="131" t="s">
        <v>62</v>
      </c>
      <c r="F6878" s="133" t="s">
        <v>11</v>
      </c>
      <c r="G6878" s="134" t="n">
        <f aca="false">LEN('Saisie programme'!$H$280)+SUMIFS('Vols additionnels'!$E$7:$E$66,'Vols additionnels'!$C$7:$C$66,$E6878,'Vols additionnels'!$D$7:$D$66,$F6878,'Vols additionnels'!$B$7:$B$66,$D6878)</f>
        <v>0</v>
      </c>
      <c r="H6878" s="135" t="n">
        <f aca="false">$G6878*'Analyse capacite'!$F$7</f>
        <v>0</v>
      </c>
      <c r="I6878" s="135" t="n">
        <f aca="false">$G6878*'Analyse capacite'!$C$7</f>
        <v>0</v>
      </c>
      <c r="J6878" s="135" t="n">
        <f aca="false">$G6878*'Analyse capacite'!$D$7</f>
        <v>0</v>
      </c>
      <c r="K6878" s="135" t="n">
        <f aca="false">$G6878*'Analyse capacite'!$E$7</f>
        <v>0</v>
      </c>
    </row>
    <row r="6879" customFormat="false" ht="15" hidden="false" customHeight="false" outlineLevel="0" collapsed="false">
      <c r="B6879" s="130" t="n">
        <v>2027</v>
      </c>
      <c r="C6879" s="131" t="s">
        <v>252</v>
      </c>
      <c r="D6879" s="132" t="n">
        <v>46668</v>
      </c>
      <c r="E6879" s="131" t="s">
        <v>62</v>
      </c>
      <c r="F6879" s="133" t="s">
        <v>19</v>
      </c>
      <c r="G6879" s="134" t="n">
        <f aca="false">LEN('Saisie programme'!$H$281)+SUMIFS('Vols additionnels'!$E$7:$E$66,'Vols additionnels'!$C$7:$C$66,$E6879,'Vols additionnels'!$D$7:$D$66,$F6879,'Vols additionnels'!$B$7:$B$66,$D6879)</f>
        <v>0</v>
      </c>
      <c r="H6879" s="135" t="n">
        <f aca="false">$G6879*'Analyse capacite'!$F$8</f>
        <v>0</v>
      </c>
      <c r="I6879" s="135" t="n">
        <f aca="false">$G6879*'Analyse capacite'!$C$8</f>
        <v>0</v>
      </c>
      <c r="J6879" s="135" t="n">
        <f aca="false">$G6879*'Analyse capacite'!$D$8</f>
        <v>0</v>
      </c>
      <c r="K6879" s="135" t="n">
        <f aca="false">$G6879*'Analyse capacite'!$E$8</f>
        <v>0</v>
      </c>
    </row>
    <row r="6880" customFormat="false" ht="15" hidden="false" customHeight="false" outlineLevel="0" collapsed="false">
      <c r="B6880" s="130" t="n">
        <v>2027</v>
      </c>
      <c r="C6880" s="131" t="s">
        <v>252</v>
      </c>
      <c r="D6880" s="132" t="n">
        <v>46668</v>
      </c>
      <c r="E6880" s="131" t="s">
        <v>62</v>
      </c>
      <c r="F6880" s="133" t="s">
        <v>24</v>
      </c>
      <c r="G6880" s="134" t="n">
        <f aca="false">LEN('Saisie programme'!$H$282)+SUMIFS('Vols additionnels'!$E$7:$E$66,'Vols additionnels'!$C$7:$C$66,$E6880,'Vols additionnels'!$D$7:$D$66,$F6880,'Vols additionnels'!$B$7:$B$66,$D6880)</f>
        <v>0</v>
      </c>
      <c r="H6880" s="135" t="n">
        <f aca="false">$G6880*'Analyse capacite'!$F$9</f>
        <v>0</v>
      </c>
      <c r="I6880" s="135" t="n">
        <f aca="false">$G6880*'Analyse capacite'!$C$9</f>
        <v>0</v>
      </c>
      <c r="J6880" s="135" t="n">
        <f aca="false">$G6880*'Analyse capacite'!$D$9</f>
        <v>0</v>
      </c>
      <c r="K6880" s="135" t="n">
        <f aca="false">$G6880*'Analyse capacite'!$E$9</f>
        <v>0</v>
      </c>
    </row>
    <row r="6881" customFormat="false" ht="15" hidden="false" customHeight="false" outlineLevel="0" collapsed="false">
      <c r="B6881" s="130" t="n">
        <v>2027</v>
      </c>
      <c r="C6881" s="131" t="s">
        <v>252</v>
      </c>
      <c r="D6881" s="132" t="n">
        <v>46669</v>
      </c>
      <c r="E6881" s="131" t="s">
        <v>12</v>
      </c>
      <c r="F6881" s="133" t="s">
        <v>11</v>
      </c>
      <c r="G6881" s="134" t="n">
        <f aca="false">LEN('Saisie programme'!$I$247)+SUMIFS('Vols additionnels'!$E$7:$E$66,'Vols additionnels'!$C$7:$C$66,$E6881,'Vols additionnels'!$D$7:$D$66,$F6881,'Vols additionnels'!$B$7:$B$66,$D6881)</f>
        <v>1</v>
      </c>
      <c r="H6881" s="135" t="n">
        <f aca="false">$G6881*'Analyse capacite'!$F$7</f>
        <v>438</v>
      </c>
      <c r="I6881" s="135" t="n">
        <f aca="false">$G6881*'Analyse capacite'!$C$7</f>
        <v>14</v>
      </c>
      <c r="J6881" s="135" t="n">
        <f aca="false">$G6881*'Analyse capacite'!$D$7</f>
        <v>40</v>
      </c>
      <c r="K6881" s="135" t="n">
        <f aca="false">$G6881*'Analyse capacite'!$E$7</f>
        <v>384</v>
      </c>
    </row>
    <row r="6882" customFormat="false" ht="15" hidden="false" customHeight="false" outlineLevel="0" collapsed="false">
      <c r="B6882" s="130" t="n">
        <v>2027</v>
      </c>
      <c r="C6882" s="131" t="s">
        <v>252</v>
      </c>
      <c r="D6882" s="132" t="n">
        <v>46669</v>
      </c>
      <c r="E6882" s="131" t="s">
        <v>12</v>
      </c>
      <c r="F6882" s="133" t="s">
        <v>19</v>
      </c>
      <c r="G6882" s="134" t="n">
        <f aca="false">LEN('Saisie programme'!$I$248)+SUMIFS('Vols additionnels'!$E$7:$E$66,'Vols additionnels'!$C$7:$C$66,$E6882,'Vols additionnels'!$D$7:$D$66,$F6882,'Vols additionnels'!$B$7:$B$66,$D6882)</f>
        <v>0</v>
      </c>
      <c r="H6882" s="135" t="n">
        <f aca="false">$G6882*'Analyse capacite'!$F$8</f>
        <v>0</v>
      </c>
      <c r="I6882" s="135" t="n">
        <f aca="false">$G6882*'Analyse capacite'!$C$8</f>
        <v>0</v>
      </c>
      <c r="J6882" s="135" t="n">
        <f aca="false">$G6882*'Analyse capacite'!$D$8</f>
        <v>0</v>
      </c>
      <c r="K6882" s="135" t="n">
        <f aca="false">$G6882*'Analyse capacite'!$E$8</f>
        <v>0</v>
      </c>
    </row>
    <row r="6883" customFormat="false" ht="15" hidden="false" customHeight="false" outlineLevel="0" collapsed="false">
      <c r="B6883" s="130" t="n">
        <v>2027</v>
      </c>
      <c r="C6883" s="131" t="s">
        <v>252</v>
      </c>
      <c r="D6883" s="132" t="n">
        <v>46669</v>
      </c>
      <c r="E6883" s="131" t="s">
        <v>12</v>
      </c>
      <c r="F6883" s="133" t="s">
        <v>24</v>
      </c>
      <c r="G6883" s="134" t="n">
        <f aca="false">LEN('Saisie programme'!$I$249)+SUMIFS('Vols additionnels'!$E$7:$E$66,'Vols additionnels'!$C$7:$C$66,$E6883,'Vols additionnels'!$D$7:$D$66,$F6883,'Vols additionnels'!$B$7:$B$66,$D6883)</f>
        <v>0</v>
      </c>
      <c r="H6883" s="135" t="n">
        <f aca="false">$G6883*'Analyse capacite'!$F$9</f>
        <v>0</v>
      </c>
      <c r="I6883" s="135" t="n">
        <f aca="false">$G6883*'Analyse capacite'!$C$9</f>
        <v>0</v>
      </c>
      <c r="J6883" s="135" t="n">
        <f aca="false">$G6883*'Analyse capacite'!$D$9</f>
        <v>0</v>
      </c>
      <c r="K6883" s="135" t="n">
        <f aca="false">$G6883*'Analyse capacite'!$E$9</f>
        <v>0</v>
      </c>
    </row>
    <row r="6884" customFormat="false" ht="15" hidden="false" customHeight="false" outlineLevel="0" collapsed="false">
      <c r="B6884" s="130" t="n">
        <v>2027</v>
      </c>
      <c r="C6884" s="131" t="s">
        <v>252</v>
      </c>
      <c r="D6884" s="132" t="n">
        <v>46669</v>
      </c>
      <c r="E6884" s="131" t="s">
        <v>20</v>
      </c>
      <c r="F6884" s="133" t="s">
        <v>11</v>
      </c>
      <c r="G6884" s="134" t="n">
        <f aca="false">LEN('Saisie programme'!$I$250)+SUMIFS('Vols additionnels'!$E$7:$E$66,'Vols additionnels'!$C$7:$C$66,$E6884,'Vols additionnels'!$D$7:$D$66,$F6884,'Vols additionnels'!$B$7:$B$66,$D6884)</f>
        <v>0</v>
      </c>
      <c r="H6884" s="135" t="n">
        <f aca="false">$G6884*'Analyse capacite'!$F$7</f>
        <v>0</v>
      </c>
      <c r="I6884" s="135" t="n">
        <f aca="false">$G6884*'Analyse capacite'!$C$7</f>
        <v>0</v>
      </c>
      <c r="J6884" s="135" t="n">
        <f aca="false">$G6884*'Analyse capacite'!$D$7</f>
        <v>0</v>
      </c>
      <c r="K6884" s="135" t="n">
        <f aca="false">$G6884*'Analyse capacite'!$E$7</f>
        <v>0</v>
      </c>
    </row>
    <row r="6885" customFormat="false" ht="15" hidden="false" customHeight="false" outlineLevel="0" collapsed="false">
      <c r="B6885" s="130" t="n">
        <v>2027</v>
      </c>
      <c r="C6885" s="131" t="s">
        <v>252</v>
      </c>
      <c r="D6885" s="132" t="n">
        <v>46669</v>
      </c>
      <c r="E6885" s="131" t="s">
        <v>20</v>
      </c>
      <c r="F6885" s="133" t="s">
        <v>19</v>
      </c>
      <c r="G6885" s="134" t="n">
        <f aca="false">LEN('Saisie programme'!$I$251)+SUMIFS('Vols additionnels'!$E$7:$E$66,'Vols additionnels'!$C$7:$C$66,$E6885,'Vols additionnels'!$D$7:$D$66,$F6885,'Vols additionnels'!$B$7:$B$66,$D6885)</f>
        <v>0</v>
      </c>
      <c r="H6885" s="135" t="n">
        <f aca="false">$G6885*'Analyse capacite'!$F$8</f>
        <v>0</v>
      </c>
      <c r="I6885" s="135" t="n">
        <f aca="false">$G6885*'Analyse capacite'!$C$8</f>
        <v>0</v>
      </c>
      <c r="J6885" s="135" t="n">
        <f aca="false">$G6885*'Analyse capacite'!$D$8</f>
        <v>0</v>
      </c>
      <c r="K6885" s="135" t="n">
        <f aca="false">$G6885*'Analyse capacite'!$E$8</f>
        <v>0</v>
      </c>
    </row>
    <row r="6886" customFormat="false" ht="15" hidden="false" customHeight="false" outlineLevel="0" collapsed="false">
      <c r="B6886" s="130" t="n">
        <v>2027</v>
      </c>
      <c r="C6886" s="131" t="s">
        <v>252</v>
      </c>
      <c r="D6886" s="132" t="n">
        <v>46669</v>
      </c>
      <c r="E6886" s="131" t="s">
        <v>20</v>
      </c>
      <c r="F6886" s="133" t="s">
        <v>24</v>
      </c>
      <c r="G6886" s="134" t="n">
        <f aca="false">LEN('Saisie programme'!$I$252)+SUMIFS('Vols additionnels'!$E$7:$E$66,'Vols additionnels'!$C$7:$C$66,$E6886,'Vols additionnels'!$D$7:$D$66,$F6886,'Vols additionnels'!$B$7:$B$66,$D6886)</f>
        <v>0</v>
      </c>
      <c r="H6886" s="135" t="n">
        <f aca="false">$G6886*'Analyse capacite'!$F$9</f>
        <v>0</v>
      </c>
      <c r="I6886" s="135" t="n">
        <f aca="false">$G6886*'Analyse capacite'!$C$9</f>
        <v>0</v>
      </c>
      <c r="J6886" s="135" t="n">
        <f aca="false">$G6886*'Analyse capacite'!$D$9</f>
        <v>0</v>
      </c>
      <c r="K6886" s="135" t="n">
        <f aca="false">$G6886*'Analyse capacite'!$E$9</f>
        <v>0</v>
      </c>
    </row>
    <row r="6887" customFormat="false" ht="15" hidden="false" customHeight="false" outlineLevel="0" collapsed="false">
      <c r="B6887" s="130" t="n">
        <v>2027</v>
      </c>
      <c r="C6887" s="131" t="s">
        <v>252</v>
      </c>
      <c r="D6887" s="132" t="n">
        <v>46669</v>
      </c>
      <c r="E6887" s="131" t="s">
        <v>25</v>
      </c>
      <c r="F6887" s="133" t="s">
        <v>11</v>
      </c>
      <c r="G6887" s="134" t="n">
        <f aca="false">LEN('Saisie programme'!$I$253)+SUMIFS('Vols additionnels'!$E$7:$E$66,'Vols additionnels'!$C$7:$C$66,$E6887,'Vols additionnels'!$D$7:$D$66,$F6887,'Vols additionnels'!$B$7:$B$66,$D6887)</f>
        <v>0</v>
      </c>
      <c r="H6887" s="135" t="n">
        <f aca="false">$G6887*'Analyse capacite'!$F$7</f>
        <v>0</v>
      </c>
      <c r="I6887" s="135" t="n">
        <f aca="false">$G6887*'Analyse capacite'!$C$7</f>
        <v>0</v>
      </c>
      <c r="J6887" s="135" t="n">
        <f aca="false">$G6887*'Analyse capacite'!$D$7</f>
        <v>0</v>
      </c>
      <c r="K6887" s="135" t="n">
        <f aca="false">$G6887*'Analyse capacite'!$E$7</f>
        <v>0</v>
      </c>
    </row>
    <row r="6888" customFormat="false" ht="15" hidden="false" customHeight="false" outlineLevel="0" collapsed="false">
      <c r="B6888" s="130" t="n">
        <v>2027</v>
      </c>
      <c r="C6888" s="131" t="s">
        <v>252</v>
      </c>
      <c r="D6888" s="132" t="n">
        <v>46669</v>
      </c>
      <c r="E6888" s="131" t="s">
        <v>25</v>
      </c>
      <c r="F6888" s="133" t="s">
        <v>19</v>
      </c>
      <c r="G6888" s="134" t="n">
        <f aca="false">LEN('Saisie programme'!$I$254)+SUMIFS('Vols additionnels'!$E$7:$E$66,'Vols additionnels'!$C$7:$C$66,$E6888,'Vols additionnels'!$D$7:$D$66,$F6888,'Vols additionnels'!$B$7:$B$66,$D6888)</f>
        <v>1</v>
      </c>
      <c r="H6888" s="135" t="n">
        <f aca="false">$G6888*'Analyse capacite'!$F$8</f>
        <v>262</v>
      </c>
      <c r="I6888" s="135" t="n">
        <f aca="false">$G6888*'Analyse capacite'!$C$8</f>
        <v>18</v>
      </c>
      <c r="J6888" s="135" t="n">
        <f aca="false">$G6888*'Analyse capacite'!$D$8</f>
        <v>0</v>
      </c>
      <c r="K6888" s="135" t="n">
        <f aca="false">$G6888*'Analyse capacite'!$E$8</f>
        <v>244</v>
      </c>
    </row>
    <row r="6889" customFormat="false" ht="15" hidden="false" customHeight="false" outlineLevel="0" collapsed="false">
      <c r="B6889" s="130" t="n">
        <v>2027</v>
      </c>
      <c r="C6889" s="131" t="s">
        <v>252</v>
      </c>
      <c r="D6889" s="132" t="n">
        <v>46669</v>
      </c>
      <c r="E6889" s="131" t="s">
        <v>25</v>
      </c>
      <c r="F6889" s="133" t="s">
        <v>24</v>
      </c>
      <c r="G6889" s="134" t="n">
        <f aca="false">LEN('Saisie programme'!$I$255)+SUMIFS('Vols additionnels'!$E$7:$E$66,'Vols additionnels'!$C$7:$C$66,$E6889,'Vols additionnels'!$D$7:$D$66,$F6889,'Vols additionnels'!$B$7:$B$66,$D6889)</f>
        <v>0</v>
      </c>
      <c r="H6889" s="135" t="n">
        <f aca="false">$G6889*'Analyse capacite'!$F$9</f>
        <v>0</v>
      </c>
      <c r="I6889" s="135" t="n">
        <f aca="false">$G6889*'Analyse capacite'!$C$9</f>
        <v>0</v>
      </c>
      <c r="J6889" s="135" t="n">
        <f aca="false">$G6889*'Analyse capacite'!$D$9</f>
        <v>0</v>
      </c>
      <c r="K6889" s="135" t="n">
        <f aca="false">$G6889*'Analyse capacite'!$E$9</f>
        <v>0</v>
      </c>
    </row>
    <row r="6890" customFormat="false" ht="15" hidden="false" customHeight="false" outlineLevel="0" collapsed="false">
      <c r="B6890" s="130" t="n">
        <v>2027</v>
      </c>
      <c r="C6890" s="131" t="s">
        <v>252</v>
      </c>
      <c r="D6890" s="132" t="n">
        <v>46669</v>
      </c>
      <c r="E6890" s="131" t="s">
        <v>36</v>
      </c>
      <c r="F6890" s="133" t="s">
        <v>11</v>
      </c>
      <c r="G6890" s="134" t="n">
        <f aca="false">LEN('Saisie programme'!$I$256)+SUMIFS('Vols additionnels'!$E$7:$E$66,'Vols additionnels'!$C$7:$C$66,$E6890,'Vols additionnels'!$D$7:$D$66,$F6890,'Vols additionnels'!$B$7:$B$66,$D6890)</f>
        <v>0</v>
      </c>
      <c r="H6890" s="135" t="n">
        <f aca="false">$G6890*'Analyse capacite'!$F$7</f>
        <v>0</v>
      </c>
      <c r="I6890" s="135" t="n">
        <f aca="false">$G6890*'Analyse capacite'!$C$7</f>
        <v>0</v>
      </c>
      <c r="J6890" s="135" t="n">
        <f aca="false">$G6890*'Analyse capacite'!$D$7</f>
        <v>0</v>
      </c>
      <c r="K6890" s="135" t="n">
        <f aca="false">$G6890*'Analyse capacite'!$E$7</f>
        <v>0</v>
      </c>
    </row>
    <row r="6891" customFormat="false" ht="15" hidden="false" customHeight="false" outlineLevel="0" collapsed="false">
      <c r="B6891" s="130" t="n">
        <v>2027</v>
      </c>
      <c r="C6891" s="131" t="s">
        <v>252</v>
      </c>
      <c r="D6891" s="132" t="n">
        <v>46669</v>
      </c>
      <c r="E6891" s="131" t="s">
        <v>36</v>
      </c>
      <c r="F6891" s="133" t="s">
        <v>19</v>
      </c>
      <c r="G6891" s="134" t="n">
        <f aca="false">LEN('Saisie programme'!$I$257)+SUMIFS('Vols additionnels'!$E$7:$E$66,'Vols additionnels'!$C$7:$C$66,$E6891,'Vols additionnels'!$D$7:$D$66,$F6891,'Vols additionnels'!$B$7:$B$66,$D6891)</f>
        <v>0</v>
      </c>
      <c r="H6891" s="135" t="n">
        <f aca="false">$G6891*'Analyse capacite'!$F$8</f>
        <v>0</v>
      </c>
      <c r="I6891" s="135" t="n">
        <f aca="false">$G6891*'Analyse capacite'!$C$8</f>
        <v>0</v>
      </c>
      <c r="J6891" s="135" t="n">
        <f aca="false">$G6891*'Analyse capacite'!$D$8</f>
        <v>0</v>
      </c>
      <c r="K6891" s="135" t="n">
        <f aca="false">$G6891*'Analyse capacite'!$E$8</f>
        <v>0</v>
      </c>
    </row>
    <row r="6892" customFormat="false" ht="15" hidden="false" customHeight="false" outlineLevel="0" collapsed="false">
      <c r="B6892" s="130" t="n">
        <v>2027</v>
      </c>
      <c r="C6892" s="131" t="s">
        <v>252</v>
      </c>
      <c r="D6892" s="132" t="n">
        <v>46669</v>
      </c>
      <c r="E6892" s="131" t="s">
        <v>36</v>
      </c>
      <c r="F6892" s="133" t="s">
        <v>24</v>
      </c>
      <c r="G6892" s="134" t="n">
        <f aca="false">LEN('Saisie programme'!$I$258)+SUMIFS('Vols additionnels'!$E$7:$E$66,'Vols additionnels'!$C$7:$C$66,$E6892,'Vols additionnels'!$D$7:$D$66,$F6892,'Vols additionnels'!$B$7:$B$66,$D6892)</f>
        <v>0</v>
      </c>
      <c r="H6892" s="135" t="n">
        <f aca="false">$G6892*'Analyse capacite'!$F$9</f>
        <v>0</v>
      </c>
      <c r="I6892" s="135" t="n">
        <f aca="false">$G6892*'Analyse capacite'!$C$9</f>
        <v>0</v>
      </c>
      <c r="J6892" s="135" t="n">
        <f aca="false">$G6892*'Analyse capacite'!$D$9</f>
        <v>0</v>
      </c>
      <c r="K6892" s="135" t="n">
        <f aca="false">$G6892*'Analyse capacite'!$E$9</f>
        <v>0</v>
      </c>
    </row>
    <row r="6893" customFormat="false" ht="15" hidden="false" customHeight="false" outlineLevel="0" collapsed="false">
      <c r="B6893" s="130" t="n">
        <v>2027</v>
      </c>
      <c r="C6893" s="131" t="s">
        <v>252</v>
      </c>
      <c r="D6893" s="132" t="n">
        <v>46669</v>
      </c>
      <c r="E6893" s="131" t="s">
        <v>40</v>
      </c>
      <c r="F6893" s="133" t="s">
        <v>11</v>
      </c>
      <c r="G6893" s="134" t="n">
        <f aca="false">LEN('Saisie programme'!$I$259)+SUMIFS('Vols additionnels'!$E$7:$E$66,'Vols additionnels'!$C$7:$C$66,$E6893,'Vols additionnels'!$D$7:$D$66,$F6893,'Vols additionnels'!$B$7:$B$66,$D6893)</f>
        <v>0</v>
      </c>
      <c r="H6893" s="135" t="n">
        <f aca="false">$G6893*'Analyse capacite'!$F$7</f>
        <v>0</v>
      </c>
      <c r="I6893" s="135" t="n">
        <f aca="false">$G6893*'Analyse capacite'!$C$7</f>
        <v>0</v>
      </c>
      <c r="J6893" s="135" t="n">
        <f aca="false">$G6893*'Analyse capacite'!$D$7</f>
        <v>0</v>
      </c>
      <c r="K6893" s="135" t="n">
        <f aca="false">$G6893*'Analyse capacite'!$E$7</f>
        <v>0</v>
      </c>
    </row>
    <row r="6894" customFormat="false" ht="15" hidden="false" customHeight="false" outlineLevel="0" collapsed="false">
      <c r="B6894" s="130" t="n">
        <v>2027</v>
      </c>
      <c r="C6894" s="131" t="s">
        <v>252</v>
      </c>
      <c r="D6894" s="132" t="n">
        <v>46669</v>
      </c>
      <c r="E6894" s="131" t="s">
        <v>40</v>
      </c>
      <c r="F6894" s="133" t="s">
        <v>19</v>
      </c>
      <c r="G6894" s="134" t="n">
        <f aca="false">LEN('Saisie programme'!$I$260)+SUMIFS('Vols additionnels'!$E$7:$E$66,'Vols additionnels'!$C$7:$C$66,$E6894,'Vols additionnels'!$D$7:$D$66,$F6894,'Vols additionnels'!$B$7:$B$66,$D6894)</f>
        <v>0</v>
      </c>
      <c r="H6894" s="135" t="n">
        <f aca="false">$G6894*'Analyse capacite'!$F$8</f>
        <v>0</v>
      </c>
      <c r="I6894" s="135" t="n">
        <f aca="false">$G6894*'Analyse capacite'!$C$8</f>
        <v>0</v>
      </c>
      <c r="J6894" s="135" t="n">
        <f aca="false">$G6894*'Analyse capacite'!$D$8</f>
        <v>0</v>
      </c>
      <c r="K6894" s="135" t="n">
        <f aca="false">$G6894*'Analyse capacite'!$E$8</f>
        <v>0</v>
      </c>
    </row>
    <row r="6895" customFormat="false" ht="15" hidden="false" customHeight="false" outlineLevel="0" collapsed="false">
      <c r="B6895" s="130" t="n">
        <v>2027</v>
      </c>
      <c r="C6895" s="131" t="s">
        <v>252</v>
      </c>
      <c r="D6895" s="132" t="n">
        <v>46669</v>
      </c>
      <c r="E6895" s="131" t="s">
        <v>40</v>
      </c>
      <c r="F6895" s="133" t="s">
        <v>24</v>
      </c>
      <c r="G6895" s="134" t="n">
        <f aca="false">LEN('Saisie programme'!$I$261)+SUMIFS('Vols additionnels'!$E$7:$E$66,'Vols additionnels'!$C$7:$C$66,$E6895,'Vols additionnels'!$D$7:$D$66,$F6895,'Vols additionnels'!$B$7:$B$66,$D6895)</f>
        <v>0</v>
      </c>
      <c r="H6895" s="135" t="n">
        <f aca="false">$G6895*'Analyse capacite'!$F$9</f>
        <v>0</v>
      </c>
      <c r="I6895" s="135" t="n">
        <f aca="false">$G6895*'Analyse capacite'!$C$9</f>
        <v>0</v>
      </c>
      <c r="J6895" s="135" t="n">
        <f aca="false">$G6895*'Analyse capacite'!$D$9</f>
        <v>0</v>
      </c>
      <c r="K6895" s="135" t="n">
        <f aca="false">$G6895*'Analyse capacite'!$E$9</f>
        <v>0</v>
      </c>
    </row>
    <row r="6896" customFormat="false" ht="15" hidden="false" customHeight="false" outlineLevel="0" collapsed="false">
      <c r="B6896" s="130" t="n">
        <v>2027</v>
      </c>
      <c r="C6896" s="131" t="s">
        <v>252</v>
      </c>
      <c r="D6896" s="132" t="n">
        <v>46669</v>
      </c>
      <c r="E6896" s="131" t="s">
        <v>14</v>
      </c>
      <c r="F6896" s="133" t="s">
        <v>11</v>
      </c>
      <c r="G6896" s="134" t="n">
        <f aca="false">LEN('Saisie programme'!$I$262)+SUMIFS('Vols additionnels'!$E$7:$E$66,'Vols additionnels'!$C$7:$C$66,$E6896,'Vols additionnels'!$D$7:$D$66,$F6896,'Vols additionnels'!$B$7:$B$66,$D6896)</f>
        <v>0</v>
      </c>
      <c r="H6896" s="135" t="n">
        <f aca="false">$G6896*'Analyse capacite'!$F$7</f>
        <v>0</v>
      </c>
      <c r="I6896" s="135" t="n">
        <f aca="false">$G6896*'Analyse capacite'!$C$7</f>
        <v>0</v>
      </c>
      <c r="J6896" s="135" t="n">
        <f aca="false">$G6896*'Analyse capacite'!$D$7</f>
        <v>0</v>
      </c>
      <c r="K6896" s="135" t="n">
        <f aca="false">$G6896*'Analyse capacite'!$E$7</f>
        <v>0</v>
      </c>
    </row>
    <row r="6897" customFormat="false" ht="15" hidden="false" customHeight="false" outlineLevel="0" collapsed="false">
      <c r="B6897" s="130" t="n">
        <v>2027</v>
      </c>
      <c r="C6897" s="131" t="s">
        <v>252</v>
      </c>
      <c r="D6897" s="132" t="n">
        <v>46669</v>
      </c>
      <c r="E6897" s="131" t="s">
        <v>14</v>
      </c>
      <c r="F6897" s="133" t="s">
        <v>19</v>
      </c>
      <c r="G6897" s="134" t="n">
        <f aca="false">LEN('Saisie programme'!$I$263)+SUMIFS('Vols additionnels'!$E$7:$E$66,'Vols additionnels'!$C$7:$C$66,$E6897,'Vols additionnels'!$D$7:$D$66,$F6897,'Vols additionnels'!$B$7:$B$66,$D6897)</f>
        <v>0</v>
      </c>
      <c r="H6897" s="135" t="n">
        <f aca="false">$G6897*'Analyse capacite'!$F$8</f>
        <v>0</v>
      </c>
      <c r="I6897" s="135" t="n">
        <f aca="false">$G6897*'Analyse capacite'!$C$8</f>
        <v>0</v>
      </c>
      <c r="J6897" s="135" t="n">
        <f aca="false">$G6897*'Analyse capacite'!$D$8</f>
        <v>0</v>
      </c>
      <c r="K6897" s="135" t="n">
        <f aca="false">$G6897*'Analyse capacite'!$E$8</f>
        <v>0</v>
      </c>
    </row>
    <row r="6898" customFormat="false" ht="15" hidden="false" customHeight="false" outlineLevel="0" collapsed="false">
      <c r="B6898" s="130" t="n">
        <v>2027</v>
      </c>
      <c r="C6898" s="131" t="s">
        <v>252</v>
      </c>
      <c r="D6898" s="132" t="n">
        <v>46669</v>
      </c>
      <c r="E6898" s="131" t="s">
        <v>14</v>
      </c>
      <c r="F6898" s="133" t="s">
        <v>24</v>
      </c>
      <c r="G6898" s="134" t="n">
        <f aca="false">LEN('Saisie programme'!$I$264)+SUMIFS('Vols additionnels'!$E$7:$E$66,'Vols additionnels'!$C$7:$C$66,$E6898,'Vols additionnels'!$D$7:$D$66,$F6898,'Vols additionnels'!$B$7:$B$66,$D6898)</f>
        <v>1</v>
      </c>
      <c r="H6898" s="135" t="n">
        <f aca="false">$G6898*'Analyse capacite'!$F$9</f>
        <v>174</v>
      </c>
      <c r="I6898" s="135" t="n">
        <f aca="false">$G6898*'Analyse capacite'!$C$9</f>
        <v>0</v>
      </c>
      <c r="J6898" s="135" t="n">
        <f aca="false">$G6898*'Analyse capacite'!$D$9</f>
        <v>12</v>
      </c>
      <c r="K6898" s="135" t="n">
        <f aca="false">$G6898*'Analyse capacite'!$E$9</f>
        <v>162</v>
      </c>
    </row>
    <row r="6899" customFormat="false" ht="15" hidden="false" customHeight="false" outlineLevel="0" collapsed="false">
      <c r="B6899" s="130" t="n">
        <v>2027</v>
      </c>
      <c r="C6899" s="131" t="s">
        <v>252</v>
      </c>
      <c r="D6899" s="132" t="n">
        <v>46669</v>
      </c>
      <c r="E6899" s="131" t="s">
        <v>46</v>
      </c>
      <c r="F6899" s="133" t="s">
        <v>11</v>
      </c>
      <c r="G6899" s="134" t="n">
        <f aca="false">LEN('Saisie programme'!$I$265)+SUMIFS('Vols additionnels'!$E$7:$E$66,'Vols additionnels'!$C$7:$C$66,$E6899,'Vols additionnels'!$D$7:$D$66,$F6899,'Vols additionnels'!$B$7:$B$66,$D6899)</f>
        <v>0</v>
      </c>
      <c r="H6899" s="135" t="n">
        <f aca="false">$G6899*'Analyse capacite'!$F$7</f>
        <v>0</v>
      </c>
      <c r="I6899" s="135" t="n">
        <f aca="false">$G6899*'Analyse capacite'!$C$7</f>
        <v>0</v>
      </c>
      <c r="J6899" s="135" t="n">
        <f aca="false">$G6899*'Analyse capacite'!$D$7</f>
        <v>0</v>
      </c>
      <c r="K6899" s="135" t="n">
        <f aca="false">$G6899*'Analyse capacite'!$E$7</f>
        <v>0</v>
      </c>
    </row>
    <row r="6900" customFormat="false" ht="15" hidden="false" customHeight="false" outlineLevel="0" collapsed="false">
      <c r="B6900" s="130" t="n">
        <v>2027</v>
      </c>
      <c r="C6900" s="131" t="s">
        <v>252</v>
      </c>
      <c r="D6900" s="132" t="n">
        <v>46669</v>
      </c>
      <c r="E6900" s="131" t="s">
        <v>46</v>
      </c>
      <c r="F6900" s="133" t="s">
        <v>19</v>
      </c>
      <c r="G6900" s="134" t="n">
        <f aca="false">LEN('Saisie programme'!$I$266)+SUMIFS('Vols additionnels'!$E$7:$E$66,'Vols additionnels'!$C$7:$C$66,$E6900,'Vols additionnels'!$D$7:$D$66,$F6900,'Vols additionnels'!$B$7:$B$66,$D6900)</f>
        <v>0</v>
      </c>
      <c r="H6900" s="135" t="n">
        <f aca="false">$G6900*'Analyse capacite'!$F$8</f>
        <v>0</v>
      </c>
      <c r="I6900" s="135" t="n">
        <f aca="false">$G6900*'Analyse capacite'!$C$8</f>
        <v>0</v>
      </c>
      <c r="J6900" s="135" t="n">
        <f aca="false">$G6900*'Analyse capacite'!$D$8</f>
        <v>0</v>
      </c>
      <c r="K6900" s="135" t="n">
        <f aca="false">$G6900*'Analyse capacite'!$E$8</f>
        <v>0</v>
      </c>
    </row>
    <row r="6901" customFormat="false" ht="15" hidden="false" customHeight="false" outlineLevel="0" collapsed="false">
      <c r="B6901" s="130" t="n">
        <v>2027</v>
      </c>
      <c r="C6901" s="131" t="s">
        <v>252</v>
      </c>
      <c r="D6901" s="132" t="n">
        <v>46669</v>
      </c>
      <c r="E6901" s="131" t="s">
        <v>46</v>
      </c>
      <c r="F6901" s="133" t="s">
        <v>24</v>
      </c>
      <c r="G6901" s="134" t="n">
        <f aca="false">LEN('Saisie programme'!$I$267)+SUMIFS('Vols additionnels'!$E$7:$E$66,'Vols additionnels'!$C$7:$C$66,$E6901,'Vols additionnels'!$D$7:$D$66,$F6901,'Vols additionnels'!$B$7:$B$66,$D6901)</f>
        <v>1</v>
      </c>
      <c r="H6901" s="135" t="n">
        <f aca="false">$G6901*'Analyse capacite'!$F$9</f>
        <v>174</v>
      </c>
      <c r="I6901" s="135" t="n">
        <f aca="false">$G6901*'Analyse capacite'!$C$9</f>
        <v>0</v>
      </c>
      <c r="J6901" s="135" t="n">
        <f aca="false">$G6901*'Analyse capacite'!$D$9</f>
        <v>12</v>
      </c>
      <c r="K6901" s="135" t="n">
        <f aca="false">$G6901*'Analyse capacite'!$E$9</f>
        <v>162</v>
      </c>
    </row>
    <row r="6902" customFormat="false" ht="15" hidden="false" customHeight="false" outlineLevel="0" collapsed="false">
      <c r="B6902" s="130" t="n">
        <v>2027</v>
      </c>
      <c r="C6902" s="131" t="s">
        <v>252</v>
      </c>
      <c r="D6902" s="132" t="n">
        <v>46669</v>
      </c>
      <c r="E6902" s="131" t="s">
        <v>49</v>
      </c>
      <c r="F6902" s="133" t="s">
        <v>11</v>
      </c>
      <c r="G6902" s="134" t="n">
        <f aca="false">LEN('Saisie programme'!$I$268)+SUMIFS('Vols additionnels'!$E$7:$E$66,'Vols additionnels'!$C$7:$C$66,$E6902,'Vols additionnels'!$D$7:$D$66,$F6902,'Vols additionnels'!$B$7:$B$66,$D6902)</f>
        <v>0</v>
      </c>
      <c r="H6902" s="135" t="n">
        <f aca="false">$G6902*'Analyse capacite'!$F$7</f>
        <v>0</v>
      </c>
      <c r="I6902" s="135" t="n">
        <f aca="false">$G6902*'Analyse capacite'!$C$7</f>
        <v>0</v>
      </c>
      <c r="J6902" s="135" t="n">
        <f aca="false">$G6902*'Analyse capacite'!$D$7</f>
        <v>0</v>
      </c>
      <c r="K6902" s="135" t="n">
        <f aca="false">$G6902*'Analyse capacite'!$E$7</f>
        <v>0</v>
      </c>
    </row>
    <row r="6903" customFormat="false" ht="15" hidden="false" customHeight="false" outlineLevel="0" collapsed="false">
      <c r="B6903" s="130" t="n">
        <v>2027</v>
      </c>
      <c r="C6903" s="131" t="s">
        <v>252</v>
      </c>
      <c r="D6903" s="132" t="n">
        <v>46669</v>
      </c>
      <c r="E6903" s="131" t="s">
        <v>49</v>
      </c>
      <c r="F6903" s="133" t="s">
        <v>19</v>
      </c>
      <c r="G6903" s="134" t="n">
        <f aca="false">LEN('Saisie programme'!$I$269)+SUMIFS('Vols additionnels'!$E$7:$E$66,'Vols additionnels'!$C$7:$C$66,$E6903,'Vols additionnels'!$D$7:$D$66,$F6903,'Vols additionnels'!$B$7:$B$66,$D6903)</f>
        <v>0</v>
      </c>
      <c r="H6903" s="135" t="n">
        <f aca="false">$G6903*'Analyse capacite'!$F$8</f>
        <v>0</v>
      </c>
      <c r="I6903" s="135" t="n">
        <f aca="false">$G6903*'Analyse capacite'!$C$8</f>
        <v>0</v>
      </c>
      <c r="J6903" s="135" t="n">
        <f aca="false">$G6903*'Analyse capacite'!$D$8</f>
        <v>0</v>
      </c>
      <c r="K6903" s="135" t="n">
        <f aca="false">$G6903*'Analyse capacite'!$E$8</f>
        <v>0</v>
      </c>
    </row>
    <row r="6904" customFormat="false" ht="15" hidden="false" customHeight="false" outlineLevel="0" collapsed="false">
      <c r="B6904" s="130" t="n">
        <v>2027</v>
      </c>
      <c r="C6904" s="131" t="s">
        <v>252</v>
      </c>
      <c r="D6904" s="132" t="n">
        <v>46669</v>
      </c>
      <c r="E6904" s="131" t="s">
        <v>49</v>
      </c>
      <c r="F6904" s="133" t="s">
        <v>24</v>
      </c>
      <c r="G6904" s="134" t="n">
        <f aca="false">LEN('Saisie programme'!$I$270)+SUMIFS('Vols additionnels'!$E$7:$E$66,'Vols additionnels'!$C$7:$C$66,$E6904,'Vols additionnels'!$D$7:$D$66,$F6904,'Vols additionnels'!$B$7:$B$66,$D6904)</f>
        <v>0</v>
      </c>
      <c r="H6904" s="135" t="n">
        <f aca="false">$G6904*'Analyse capacite'!$F$9</f>
        <v>0</v>
      </c>
      <c r="I6904" s="135" t="n">
        <f aca="false">$G6904*'Analyse capacite'!$C$9</f>
        <v>0</v>
      </c>
      <c r="J6904" s="135" t="n">
        <f aca="false">$G6904*'Analyse capacite'!$D$9</f>
        <v>0</v>
      </c>
      <c r="K6904" s="135" t="n">
        <f aca="false">$G6904*'Analyse capacite'!$E$9</f>
        <v>0</v>
      </c>
    </row>
    <row r="6905" customFormat="false" ht="15" hidden="false" customHeight="false" outlineLevel="0" collapsed="false">
      <c r="B6905" s="130" t="n">
        <v>2027</v>
      </c>
      <c r="C6905" s="131" t="s">
        <v>252</v>
      </c>
      <c r="D6905" s="132" t="n">
        <v>46669</v>
      </c>
      <c r="E6905" s="131" t="s">
        <v>53</v>
      </c>
      <c r="F6905" s="133" t="s">
        <v>11</v>
      </c>
      <c r="G6905" s="134" t="n">
        <f aca="false">LEN('Saisie programme'!$I$271)+SUMIFS('Vols additionnels'!$E$7:$E$66,'Vols additionnels'!$C$7:$C$66,$E6905,'Vols additionnels'!$D$7:$D$66,$F6905,'Vols additionnels'!$B$7:$B$66,$D6905)</f>
        <v>0</v>
      </c>
      <c r="H6905" s="135" t="n">
        <f aca="false">$G6905*'Analyse capacite'!$F$7</f>
        <v>0</v>
      </c>
      <c r="I6905" s="135" t="n">
        <f aca="false">$G6905*'Analyse capacite'!$C$7</f>
        <v>0</v>
      </c>
      <c r="J6905" s="135" t="n">
        <f aca="false">$G6905*'Analyse capacite'!$D$7</f>
        <v>0</v>
      </c>
      <c r="K6905" s="135" t="n">
        <f aca="false">$G6905*'Analyse capacite'!$E$7</f>
        <v>0</v>
      </c>
    </row>
    <row r="6906" customFormat="false" ht="15" hidden="false" customHeight="false" outlineLevel="0" collapsed="false">
      <c r="B6906" s="130" t="n">
        <v>2027</v>
      </c>
      <c r="C6906" s="131" t="s">
        <v>252</v>
      </c>
      <c r="D6906" s="132" t="n">
        <v>46669</v>
      </c>
      <c r="E6906" s="131" t="s">
        <v>53</v>
      </c>
      <c r="F6906" s="133" t="s">
        <v>19</v>
      </c>
      <c r="G6906" s="134" t="n">
        <f aca="false">LEN('Saisie programme'!$I$272)+SUMIFS('Vols additionnels'!$E$7:$E$66,'Vols additionnels'!$C$7:$C$66,$E6906,'Vols additionnels'!$D$7:$D$66,$F6906,'Vols additionnels'!$B$7:$B$66,$D6906)</f>
        <v>0</v>
      </c>
      <c r="H6906" s="135" t="n">
        <f aca="false">$G6906*'Analyse capacite'!$F$8</f>
        <v>0</v>
      </c>
      <c r="I6906" s="135" t="n">
        <f aca="false">$G6906*'Analyse capacite'!$C$8</f>
        <v>0</v>
      </c>
      <c r="J6906" s="135" t="n">
        <f aca="false">$G6906*'Analyse capacite'!$D$8</f>
        <v>0</v>
      </c>
      <c r="K6906" s="135" t="n">
        <f aca="false">$G6906*'Analyse capacite'!$E$8</f>
        <v>0</v>
      </c>
    </row>
    <row r="6907" customFormat="false" ht="15" hidden="false" customHeight="false" outlineLevel="0" collapsed="false">
      <c r="B6907" s="130" t="n">
        <v>2027</v>
      </c>
      <c r="C6907" s="131" t="s">
        <v>252</v>
      </c>
      <c r="D6907" s="132" t="n">
        <v>46669</v>
      </c>
      <c r="E6907" s="131" t="s">
        <v>53</v>
      </c>
      <c r="F6907" s="133" t="s">
        <v>24</v>
      </c>
      <c r="G6907" s="134" t="n">
        <f aca="false">LEN('Saisie programme'!$I$273)+SUMIFS('Vols additionnels'!$E$7:$E$66,'Vols additionnels'!$C$7:$C$66,$E6907,'Vols additionnels'!$D$7:$D$66,$F6907,'Vols additionnels'!$B$7:$B$66,$D6907)</f>
        <v>0</v>
      </c>
      <c r="H6907" s="135" t="n">
        <f aca="false">$G6907*'Analyse capacite'!$F$9</f>
        <v>0</v>
      </c>
      <c r="I6907" s="135" t="n">
        <f aca="false">$G6907*'Analyse capacite'!$C$9</f>
        <v>0</v>
      </c>
      <c r="J6907" s="135" t="n">
        <f aca="false">$G6907*'Analyse capacite'!$D$9</f>
        <v>0</v>
      </c>
      <c r="K6907" s="135" t="n">
        <f aca="false">$G6907*'Analyse capacite'!$E$9</f>
        <v>0</v>
      </c>
    </row>
    <row r="6908" customFormat="false" ht="15" hidden="false" customHeight="false" outlineLevel="0" collapsed="false">
      <c r="B6908" s="130" t="n">
        <v>2027</v>
      </c>
      <c r="C6908" s="131" t="s">
        <v>252</v>
      </c>
      <c r="D6908" s="132" t="n">
        <v>46669</v>
      </c>
      <c r="E6908" s="131" t="s">
        <v>56</v>
      </c>
      <c r="F6908" s="133" t="s">
        <v>11</v>
      </c>
      <c r="G6908" s="134" t="n">
        <f aca="false">LEN('Saisie programme'!$I$274)+SUMIFS('Vols additionnels'!$E$7:$E$66,'Vols additionnels'!$C$7:$C$66,$E6908,'Vols additionnels'!$D$7:$D$66,$F6908,'Vols additionnels'!$B$7:$B$66,$D6908)</f>
        <v>0</v>
      </c>
      <c r="H6908" s="135" t="n">
        <f aca="false">$G6908*'Analyse capacite'!$F$7</f>
        <v>0</v>
      </c>
      <c r="I6908" s="135" t="n">
        <f aca="false">$G6908*'Analyse capacite'!$C$7</f>
        <v>0</v>
      </c>
      <c r="J6908" s="135" t="n">
        <f aca="false">$G6908*'Analyse capacite'!$D$7</f>
        <v>0</v>
      </c>
      <c r="K6908" s="135" t="n">
        <f aca="false">$G6908*'Analyse capacite'!$E$7</f>
        <v>0</v>
      </c>
    </row>
    <row r="6909" customFormat="false" ht="15" hidden="false" customHeight="false" outlineLevel="0" collapsed="false">
      <c r="B6909" s="130" t="n">
        <v>2027</v>
      </c>
      <c r="C6909" s="131" t="s">
        <v>252</v>
      </c>
      <c r="D6909" s="132" t="n">
        <v>46669</v>
      </c>
      <c r="E6909" s="131" t="s">
        <v>56</v>
      </c>
      <c r="F6909" s="133" t="s">
        <v>19</v>
      </c>
      <c r="G6909" s="134" t="n">
        <f aca="false">LEN('Saisie programme'!$I$275)+SUMIFS('Vols additionnels'!$E$7:$E$66,'Vols additionnels'!$C$7:$C$66,$E6909,'Vols additionnels'!$D$7:$D$66,$F6909,'Vols additionnels'!$B$7:$B$66,$D6909)</f>
        <v>0</v>
      </c>
      <c r="H6909" s="135" t="n">
        <f aca="false">$G6909*'Analyse capacite'!$F$8</f>
        <v>0</v>
      </c>
      <c r="I6909" s="135" t="n">
        <f aca="false">$G6909*'Analyse capacite'!$C$8</f>
        <v>0</v>
      </c>
      <c r="J6909" s="135" t="n">
        <f aca="false">$G6909*'Analyse capacite'!$D$8</f>
        <v>0</v>
      </c>
      <c r="K6909" s="135" t="n">
        <f aca="false">$G6909*'Analyse capacite'!$E$8</f>
        <v>0</v>
      </c>
    </row>
    <row r="6910" customFormat="false" ht="15" hidden="false" customHeight="false" outlineLevel="0" collapsed="false">
      <c r="B6910" s="130" t="n">
        <v>2027</v>
      </c>
      <c r="C6910" s="131" t="s">
        <v>252</v>
      </c>
      <c r="D6910" s="132" t="n">
        <v>46669</v>
      </c>
      <c r="E6910" s="131" t="s">
        <v>56</v>
      </c>
      <c r="F6910" s="133" t="s">
        <v>24</v>
      </c>
      <c r="G6910" s="134" t="n">
        <f aca="false">LEN('Saisie programme'!$I$276)+SUMIFS('Vols additionnels'!$E$7:$E$66,'Vols additionnels'!$C$7:$C$66,$E6910,'Vols additionnels'!$D$7:$D$66,$F6910,'Vols additionnels'!$B$7:$B$66,$D6910)</f>
        <v>1</v>
      </c>
      <c r="H6910" s="135" t="n">
        <f aca="false">$G6910*'Analyse capacite'!$F$9</f>
        <v>174</v>
      </c>
      <c r="I6910" s="135" t="n">
        <f aca="false">$G6910*'Analyse capacite'!$C$9</f>
        <v>0</v>
      </c>
      <c r="J6910" s="135" t="n">
        <f aca="false">$G6910*'Analyse capacite'!$D$9</f>
        <v>12</v>
      </c>
      <c r="K6910" s="135" t="n">
        <f aca="false">$G6910*'Analyse capacite'!$E$9</f>
        <v>162</v>
      </c>
    </row>
    <row r="6911" customFormat="false" ht="15" hidden="false" customHeight="false" outlineLevel="0" collapsed="false">
      <c r="B6911" s="130" t="n">
        <v>2027</v>
      </c>
      <c r="C6911" s="131" t="s">
        <v>252</v>
      </c>
      <c r="D6911" s="132" t="n">
        <v>46669</v>
      </c>
      <c r="E6911" s="131" t="s">
        <v>59</v>
      </c>
      <c r="F6911" s="133" t="s">
        <v>11</v>
      </c>
      <c r="G6911" s="134" t="n">
        <f aca="false">LEN('Saisie programme'!$I$277)+SUMIFS('Vols additionnels'!$E$7:$E$66,'Vols additionnels'!$C$7:$C$66,$E6911,'Vols additionnels'!$D$7:$D$66,$F6911,'Vols additionnels'!$B$7:$B$66,$D6911)</f>
        <v>0</v>
      </c>
      <c r="H6911" s="135" t="n">
        <f aca="false">$G6911*'Analyse capacite'!$F$7</f>
        <v>0</v>
      </c>
      <c r="I6911" s="135" t="n">
        <f aca="false">$G6911*'Analyse capacite'!$C$7</f>
        <v>0</v>
      </c>
      <c r="J6911" s="135" t="n">
        <f aca="false">$G6911*'Analyse capacite'!$D$7</f>
        <v>0</v>
      </c>
      <c r="K6911" s="135" t="n">
        <f aca="false">$G6911*'Analyse capacite'!$E$7</f>
        <v>0</v>
      </c>
    </row>
    <row r="6912" customFormat="false" ht="15" hidden="false" customHeight="false" outlineLevel="0" collapsed="false">
      <c r="B6912" s="130" t="n">
        <v>2027</v>
      </c>
      <c r="C6912" s="131" t="s">
        <v>252</v>
      </c>
      <c r="D6912" s="132" t="n">
        <v>46669</v>
      </c>
      <c r="E6912" s="131" t="s">
        <v>59</v>
      </c>
      <c r="F6912" s="133" t="s">
        <v>19</v>
      </c>
      <c r="G6912" s="134" t="n">
        <f aca="false">LEN('Saisie programme'!$I$278)+SUMIFS('Vols additionnels'!$E$7:$E$66,'Vols additionnels'!$C$7:$C$66,$E6912,'Vols additionnels'!$D$7:$D$66,$F6912,'Vols additionnels'!$B$7:$B$66,$D6912)</f>
        <v>0</v>
      </c>
      <c r="H6912" s="135" t="n">
        <f aca="false">$G6912*'Analyse capacite'!$F$8</f>
        <v>0</v>
      </c>
      <c r="I6912" s="135" t="n">
        <f aca="false">$G6912*'Analyse capacite'!$C$8</f>
        <v>0</v>
      </c>
      <c r="J6912" s="135" t="n">
        <f aca="false">$G6912*'Analyse capacite'!$D$8</f>
        <v>0</v>
      </c>
      <c r="K6912" s="135" t="n">
        <f aca="false">$G6912*'Analyse capacite'!$E$8</f>
        <v>0</v>
      </c>
    </row>
    <row r="6913" customFormat="false" ht="15" hidden="false" customHeight="false" outlineLevel="0" collapsed="false">
      <c r="B6913" s="130" t="n">
        <v>2027</v>
      </c>
      <c r="C6913" s="131" t="s">
        <v>252</v>
      </c>
      <c r="D6913" s="132" t="n">
        <v>46669</v>
      </c>
      <c r="E6913" s="131" t="s">
        <v>59</v>
      </c>
      <c r="F6913" s="133" t="s">
        <v>24</v>
      </c>
      <c r="G6913" s="134" t="n">
        <f aca="false">LEN('Saisie programme'!$I$279)+SUMIFS('Vols additionnels'!$E$7:$E$66,'Vols additionnels'!$C$7:$C$66,$E6913,'Vols additionnels'!$D$7:$D$66,$F6913,'Vols additionnels'!$B$7:$B$66,$D6913)</f>
        <v>1</v>
      </c>
      <c r="H6913" s="135" t="n">
        <f aca="false">$G6913*'Analyse capacite'!$F$9</f>
        <v>174</v>
      </c>
      <c r="I6913" s="135" t="n">
        <f aca="false">$G6913*'Analyse capacite'!$C$9</f>
        <v>0</v>
      </c>
      <c r="J6913" s="135" t="n">
        <f aca="false">$G6913*'Analyse capacite'!$D$9</f>
        <v>12</v>
      </c>
      <c r="K6913" s="135" t="n">
        <f aca="false">$G6913*'Analyse capacite'!$E$9</f>
        <v>162</v>
      </c>
    </row>
    <row r="6914" customFormat="false" ht="15" hidden="false" customHeight="false" outlineLevel="0" collapsed="false">
      <c r="B6914" s="130" t="n">
        <v>2027</v>
      </c>
      <c r="C6914" s="131" t="s">
        <v>252</v>
      </c>
      <c r="D6914" s="132" t="n">
        <v>46669</v>
      </c>
      <c r="E6914" s="131" t="s">
        <v>62</v>
      </c>
      <c r="F6914" s="133" t="s">
        <v>11</v>
      </c>
      <c r="G6914" s="134" t="n">
        <f aca="false">LEN('Saisie programme'!$I$280)+SUMIFS('Vols additionnels'!$E$7:$E$66,'Vols additionnels'!$C$7:$C$66,$E6914,'Vols additionnels'!$D$7:$D$66,$F6914,'Vols additionnels'!$B$7:$B$66,$D6914)</f>
        <v>0</v>
      </c>
      <c r="H6914" s="135" t="n">
        <f aca="false">$G6914*'Analyse capacite'!$F$7</f>
        <v>0</v>
      </c>
      <c r="I6914" s="135" t="n">
        <f aca="false">$G6914*'Analyse capacite'!$C$7</f>
        <v>0</v>
      </c>
      <c r="J6914" s="135" t="n">
        <f aca="false">$G6914*'Analyse capacite'!$D$7</f>
        <v>0</v>
      </c>
      <c r="K6914" s="135" t="n">
        <f aca="false">$G6914*'Analyse capacite'!$E$7</f>
        <v>0</v>
      </c>
    </row>
    <row r="6915" customFormat="false" ht="15" hidden="false" customHeight="false" outlineLevel="0" collapsed="false">
      <c r="B6915" s="130" t="n">
        <v>2027</v>
      </c>
      <c r="C6915" s="131" t="s">
        <v>252</v>
      </c>
      <c r="D6915" s="132" t="n">
        <v>46669</v>
      </c>
      <c r="E6915" s="131" t="s">
        <v>62</v>
      </c>
      <c r="F6915" s="133" t="s">
        <v>19</v>
      </c>
      <c r="G6915" s="134" t="n">
        <f aca="false">LEN('Saisie programme'!$I$281)+SUMIFS('Vols additionnels'!$E$7:$E$66,'Vols additionnels'!$C$7:$C$66,$E6915,'Vols additionnels'!$D$7:$D$66,$F6915,'Vols additionnels'!$B$7:$B$66,$D6915)</f>
        <v>0</v>
      </c>
      <c r="H6915" s="135" t="n">
        <f aca="false">$G6915*'Analyse capacite'!$F$8</f>
        <v>0</v>
      </c>
      <c r="I6915" s="135" t="n">
        <f aca="false">$G6915*'Analyse capacite'!$C$8</f>
        <v>0</v>
      </c>
      <c r="J6915" s="135" t="n">
        <f aca="false">$G6915*'Analyse capacite'!$D$8</f>
        <v>0</v>
      </c>
      <c r="K6915" s="135" t="n">
        <f aca="false">$G6915*'Analyse capacite'!$E$8</f>
        <v>0</v>
      </c>
    </row>
    <row r="6916" customFormat="false" ht="15" hidden="false" customHeight="false" outlineLevel="0" collapsed="false">
      <c r="B6916" s="130" t="n">
        <v>2027</v>
      </c>
      <c r="C6916" s="131" t="s">
        <v>252</v>
      </c>
      <c r="D6916" s="132" t="n">
        <v>46669</v>
      </c>
      <c r="E6916" s="131" t="s">
        <v>62</v>
      </c>
      <c r="F6916" s="133" t="s">
        <v>24</v>
      </c>
      <c r="G6916" s="134" t="n">
        <f aca="false">LEN('Saisie programme'!$I$282)+SUMIFS('Vols additionnels'!$E$7:$E$66,'Vols additionnels'!$C$7:$C$66,$E6916,'Vols additionnels'!$D$7:$D$66,$F6916,'Vols additionnels'!$B$7:$B$66,$D6916)</f>
        <v>0</v>
      </c>
      <c r="H6916" s="135" t="n">
        <f aca="false">$G6916*'Analyse capacite'!$F$9</f>
        <v>0</v>
      </c>
      <c r="I6916" s="135" t="n">
        <f aca="false">$G6916*'Analyse capacite'!$C$9</f>
        <v>0</v>
      </c>
      <c r="J6916" s="135" t="n">
        <f aca="false">$G6916*'Analyse capacite'!$D$9</f>
        <v>0</v>
      </c>
      <c r="K6916" s="135" t="n">
        <f aca="false">$G6916*'Analyse capacite'!$E$9</f>
        <v>0</v>
      </c>
    </row>
    <row r="6917" customFormat="false" ht="15" hidden="false" customHeight="false" outlineLevel="0" collapsed="false">
      <c r="B6917" s="130" t="n">
        <v>2027</v>
      </c>
      <c r="C6917" s="131" t="s">
        <v>252</v>
      </c>
      <c r="D6917" s="132" t="n">
        <v>46670</v>
      </c>
      <c r="E6917" s="131" t="s">
        <v>12</v>
      </c>
      <c r="F6917" s="133" t="s">
        <v>11</v>
      </c>
      <c r="G6917" s="134" t="n">
        <f aca="false">LEN('Saisie programme'!$J$247)+SUMIFS('Vols additionnels'!$E$7:$E$66,'Vols additionnels'!$C$7:$C$66,$E6917,'Vols additionnels'!$D$7:$D$66,$F6917,'Vols additionnels'!$B$7:$B$66,$D6917)</f>
        <v>1</v>
      </c>
      <c r="H6917" s="135" t="n">
        <f aca="false">$G6917*'Analyse capacite'!$F$7</f>
        <v>438</v>
      </c>
      <c r="I6917" s="135" t="n">
        <f aca="false">$G6917*'Analyse capacite'!$C$7</f>
        <v>14</v>
      </c>
      <c r="J6917" s="135" t="n">
        <f aca="false">$G6917*'Analyse capacite'!$D$7</f>
        <v>40</v>
      </c>
      <c r="K6917" s="135" t="n">
        <f aca="false">$G6917*'Analyse capacite'!$E$7</f>
        <v>384</v>
      </c>
    </row>
    <row r="6918" customFormat="false" ht="15" hidden="false" customHeight="false" outlineLevel="0" collapsed="false">
      <c r="B6918" s="130" t="n">
        <v>2027</v>
      </c>
      <c r="C6918" s="131" t="s">
        <v>252</v>
      </c>
      <c r="D6918" s="132" t="n">
        <v>46670</v>
      </c>
      <c r="E6918" s="131" t="s">
        <v>12</v>
      </c>
      <c r="F6918" s="133" t="s">
        <v>19</v>
      </c>
      <c r="G6918" s="134" t="n">
        <f aca="false">LEN('Saisie programme'!$J$248)+SUMIFS('Vols additionnels'!$E$7:$E$66,'Vols additionnels'!$C$7:$C$66,$E6918,'Vols additionnels'!$D$7:$D$66,$F6918,'Vols additionnels'!$B$7:$B$66,$D6918)</f>
        <v>0</v>
      </c>
      <c r="H6918" s="135" t="n">
        <f aca="false">$G6918*'Analyse capacite'!$F$8</f>
        <v>0</v>
      </c>
      <c r="I6918" s="135" t="n">
        <f aca="false">$G6918*'Analyse capacite'!$C$8</f>
        <v>0</v>
      </c>
      <c r="J6918" s="135" t="n">
        <f aca="false">$G6918*'Analyse capacite'!$D$8</f>
        <v>0</v>
      </c>
      <c r="K6918" s="135" t="n">
        <f aca="false">$G6918*'Analyse capacite'!$E$8</f>
        <v>0</v>
      </c>
    </row>
    <row r="6919" customFormat="false" ht="15" hidden="false" customHeight="false" outlineLevel="0" collapsed="false">
      <c r="B6919" s="130" t="n">
        <v>2027</v>
      </c>
      <c r="C6919" s="131" t="s">
        <v>252</v>
      </c>
      <c r="D6919" s="132" t="n">
        <v>46670</v>
      </c>
      <c r="E6919" s="131" t="s">
        <v>12</v>
      </c>
      <c r="F6919" s="133" t="s">
        <v>24</v>
      </c>
      <c r="G6919" s="134" t="n">
        <f aca="false">LEN('Saisie programme'!$J$249)+SUMIFS('Vols additionnels'!$E$7:$E$66,'Vols additionnels'!$C$7:$C$66,$E6919,'Vols additionnels'!$D$7:$D$66,$F6919,'Vols additionnels'!$B$7:$B$66,$D6919)</f>
        <v>0</v>
      </c>
      <c r="H6919" s="135" t="n">
        <f aca="false">$G6919*'Analyse capacite'!$F$9</f>
        <v>0</v>
      </c>
      <c r="I6919" s="135" t="n">
        <f aca="false">$G6919*'Analyse capacite'!$C$9</f>
        <v>0</v>
      </c>
      <c r="J6919" s="135" t="n">
        <f aca="false">$G6919*'Analyse capacite'!$D$9</f>
        <v>0</v>
      </c>
      <c r="K6919" s="135" t="n">
        <f aca="false">$G6919*'Analyse capacite'!$E$9</f>
        <v>0</v>
      </c>
    </row>
    <row r="6920" customFormat="false" ht="15" hidden="false" customHeight="false" outlineLevel="0" collapsed="false">
      <c r="B6920" s="130" t="n">
        <v>2027</v>
      </c>
      <c r="C6920" s="131" t="s">
        <v>252</v>
      </c>
      <c r="D6920" s="132" t="n">
        <v>46670</v>
      </c>
      <c r="E6920" s="131" t="s">
        <v>20</v>
      </c>
      <c r="F6920" s="133" t="s">
        <v>11</v>
      </c>
      <c r="G6920" s="134" t="n">
        <f aca="false">LEN('Saisie programme'!$J$250)+SUMIFS('Vols additionnels'!$E$7:$E$66,'Vols additionnels'!$C$7:$C$66,$E6920,'Vols additionnels'!$D$7:$D$66,$F6920,'Vols additionnels'!$B$7:$B$66,$D6920)</f>
        <v>1</v>
      </c>
      <c r="H6920" s="135" t="n">
        <f aca="false">$G6920*'Analyse capacite'!$F$7</f>
        <v>438</v>
      </c>
      <c r="I6920" s="135" t="n">
        <f aca="false">$G6920*'Analyse capacite'!$C$7</f>
        <v>14</v>
      </c>
      <c r="J6920" s="135" t="n">
        <f aca="false">$G6920*'Analyse capacite'!$D$7</f>
        <v>40</v>
      </c>
      <c r="K6920" s="135" t="n">
        <f aca="false">$G6920*'Analyse capacite'!$E$7</f>
        <v>384</v>
      </c>
    </row>
    <row r="6921" customFormat="false" ht="15" hidden="false" customHeight="false" outlineLevel="0" collapsed="false">
      <c r="B6921" s="130" t="n">
        <v>2027</v>
      </c>
      <c r="C6921" s="131" t="s">
        <v>252</v>
      </c>
      <c r="D6921" s="132" t="n">
        <v>46670</v>
      </c>
      <c r="E6921" s="131" t="s">
        <v>20</v>
      </c>
      <c r="F6921" s="133" t="s">
        <v>19</v>
      </c>
      <c r="G6921" s="134" t="n">
        <f aca="false">LEN('Saisie programme'!$J$251)+SUMIFS('Vols additionnels'!$E$7:$E$66,'Vols additionnels'!$C$7:$C$66,$E6921,'Vols additionnels'!$D$7:$D$66,$F6921,'Vols additionnels'!$B$7:$B$66,$D6921)</f>
        <v>0</v>
      </c>
      <c r="H6921" s="135" t="n">
        <f aca="false">$G6921*'Analyse capacite'!$F$8</f>
        <v>0</v>
      </c>
      <c r="I6921" s="135" t="n">
        <f aca="false">$G6921*'Analyse capacite'!$C$8</f>
        <v>0</v>
      </c>
      <c r="J6921" s="135" t="n">
        <f aca="false">$G6921*'Analyse capacite'!$D$8</f>
        <v>0</v>
      </c>
      <c r="K6921" s="135" t="n">
        <f aca="false">$G6921*'Analyse capacite'!$E$8</f>
        <v>0</v>
      </c>
    </row>
    <row r="6922" customFormat="false" ht="15" hidden="false" customHeight="false" outlineLevel="0" collapsed="false">
      <c r="B6922" s="130" t="n">
        <v>2027</v>
      </c>
      <c r="C6922" s="131" t="s">
        <v>252</v>
      </c>
      <c r="D6922" s="132" t="n">
        <v>46670</v>
      </c>
      <c r="E6922" s="131" t="s">
        <v>20</v>
      </c>
      <c r="F6922" s="133" t="s">
        <v>24</v>
      </c>
      <c r="G6922" s="134" t="n">
        <f aca="false">LEN('Saisie programme'!$J$252)+SUMIFS('Vols additionnels'!$E$7:$E$66,'Vols additionnels'!$C$7:$C$66,$E6922,'Vols additionnels'!$D$7:$D$66,$F6922,'Vols additionnels'!$B$7:$B$66,$D6922)</f>
        <v>0</v>
      </c>
      <c r="H6922" s="135" t="n">
        <f aca="false">$G6922*'Analyse capacite'!$F$9</f>
        <v>0</v>
      </c>
      <c r="I6922" s="135" t="n">
        <f aca="false">$G6922*'Analyse capacite'!$C$9</f>
        <v>0</v>
      </c>
      <c r="J6922" s="135" t="n">
        <f aca="false">$G6922*'Analyse capacite'!$D$9</f>
        <v>0</v>
      </c>
      <c r="K6922" s="135" t="n">
        <f aca="false">$G6922*'Analyse capacite'!$E$9</f>
        <v>0</v>
      </c>
    </row>
    <row r="6923" customFormat="false" ht="15" hidden="false" customHeight="false" outlineLevel="0" collapsed="false">
      <c r="B6923" s="130" t="n">
        <v>2027</v>
      </c>
      <c r="C6923" s="131" t="s">
        <v>252</v>
      </c>
      <c r="D6923" s="132" t="n">
        <v>46670</v>
      </c>
      <c r="E6923" s="131" t="s">
        <v>25</v>
      </c>
      <c r="F6923" s="133" t="s">
        <v>11</v>
      </c>
      <c r="G6923" s="134" t="n">
        <f aca="false">LEN('Saisie programme'!$J$253)+SUMIFS('Vols additionnels'!$E$7:$E$66,'Vols additionnels'!$C$7:$C$66,$E6923,'Vols additionnels'!$D$7:$D$66,$F6923,'Vols additionnels'!$B$7:$B$66,$D6923)</f>
        <v>0</v>
      </c>
      <c r="H6923" s="135" t="n">
        <f aca="false">$G6923*'Analyse capacite'!$F$7</f>
        <v>0</v>
      </c>
      <c r="I6923" s="135" t="n">
        <f aca="false">$G6923*'Analyse capacite'!$C$7</f>
        <v>0</v>
      </c>
      <c r="J6923" s="135" t="n">
        <f aca="false">$G6923*'Analyse capacite'!$D$7</f>
        <v>0</v>
      </c>
      <c r="K6923" s="135" t="n">
        <f aca="false">$G6923*'Analyse capacite'!$E$7</f>
        <v>0</v>
      </c>
    </row>
    <row r="6924" customFormat="false" ht="15" hidden="false" customHeight="false" outlineLevel="0" collapsed="false">
      <c r="B6924" s="130" t="n">
        <v>2027</v>
      </c>
      <c r="C6924" s="131" t="s">
        <v>252</v>
      </c>
      <c r="D6924" s="132" t="n">
        <v>46670</v>
      </c>
      <c r="E6924" s="131" t="s">
        <v>25</v>
      </c>
      <c r="F6924" s="133" t="s">
        <v>19</v>
      </c>
      <c r="G6924" s="134" t="n">
        <f aca="false">LEN('Saisie programme'!$J$254)+SUMIFS('Vols additionnels'!$E$7:$E$66,'Vols additionnels'!$C$7:$C$66,$E6924,'Vols additionnels'!$D$7:$D$66,$F6924,'Vols additionnels'!$B$7:$B$66,$D6924)</f>
        <v>0</v>
      </c>
      <c r="H6924" s="135" t="n">
        <f aca="false">$G6924*'Analyse capacite'!$F$8</f>
        <v>0</v>
      </c>
      <c r="I6924" s="135" t="n">
        <f aca="false">$G6924*'Analyse capacite'!$C$8</f>
        <v>0</v>
      </c>
      <c r="J6924" s="135" t="n">
        <f aca="false">$G6924*'Analyse capacite'!$D$8</f>
        <v>0</v>
      </c>
      <c r="K6924" s="135" t="n">
        <f aca="false">$G6924*'Analyse capacite'!$E$8</f>
        <v>0</v>
      </c>
    </row>
    <row r="6925" customFormat="false" ht="15" hidden="false" customHeight="false" outlineLevel="0" collapsed="false">
      <c r="B6925" s="130" t="n">
        <v>2027</v>
      </c>
      <c r="C6925" s="131" t="s">
        <v>252</v>
      </c>
      <c r="D6925" s="132" t="n">
        <v>46670</v>
      </c>
      <c r="E6925" s="131" t="s">
        <v>25</v>
      </c>
      <c r="F6925" s="133" t="s">
        <v>24</v>
      </c>
      <c r="G6925" s="134" t="n">
        <f aca="false">LEN('Saisie programme'!$J$255)+SUMIFS('Vols additionnels'!$E$7:$E$66,'Vols additionnels'!$C$7:$C$66,$E6925,'Vols additionnels'!$D$7:$D$66,$F6925,'Vols additionnels'!$B$7:$B$66,$D6925)</f>
        <v>0</v>
      </c>
      <c r="H6925" s="135" t="n">
        <f aca="false">$G6925*'Analyse capacite'!$F$9</f>
        <v>0</v>
      </c>
      <c r="I6925" s="135" t="n">
        <f aca="false">$G6925*'Analyse capacite'!$C$9</f>
        <v>0</v>
      </c>
      <c r="J6925" s="135" t="n">
        <f aca="false">$G6925*'Analyse capacite'!$D$9</f>
        <v>0</v>
      </c>
      <c r="K6925" s="135" t="n">
        <f aca="false">$G6925*'Analyse capacite'!$E$9</f>
        <v>0</v>
      </c>
    </row>
    <row r="6926" customFormat="false" ht="15" hidden="false" customHeight="false" outlineLevel="0" collapsed="false">
      <c r="B6926" s="130" t="n">
        <v>2027</v>
      </c>
      <c r="C6926" s="131" t="s">
        <v>252</v>
      </c>
      <c r="D6926" s="132" t="n">
        <v>46670</v>
      </c>
      <c r="E6926" s="131" t="s">
        <v>36</v>
      </c>
      <c r="F6926" s="133" t="s">
        <v>11</v>
      </c>
      <c r="G6926" s="134" t="n">
        <f aca="false">LEN('Saisie programme'!$J$256)+SUMIFS('Vols additionnels'!$E$7:$E$66,'Vols additionnels'!$C$7:$C$66,$E6926,'Vols additionnels'!$D$7:$D$66,$F6926,'Vols additionnels'!$B$7:$B$66,$D6926)</f>
        <v>0</v>
      </c>
      <c r="H6926" s="135" t="n">
        <f aca="false">$G6926*'Analyse capacite'!$F$7</f>
        <v>0</v>
      </c>
      <c r="I6926" s="135" t="n">
        <f aca="false">$G6926*'Analyse capacite'!$C$7</f>
        <v>0</v>
      </c>
      <c r="J6926" s="135" t="n">
        <f aca="false">$G6926*'Analyse capacite'!$D$7</f>
        <v>0</v>
      </c>
      <c r="K6926" s="135" t="n">
        <f aca="false">$G6926*'Analyse capacite'!$E$7</f>
        <v>0</v>
      </c>
    </row>
    <row r="6927" customFormat="false" ht="15" hidden="false" customHeight="false" outlineLevel="0" collapsed="false">
      <c r="B6927" s="130" t="n">
        <v>2027</v>
      </c>
      <c r="C6927" s="131" t="s">
        <v>252</v>
      </c>
      <c r="D6927" s="132" t="n">
        <v>46670</v>
      </c>
      <c r="E6927" s="131" t="s">
        <v>36</v>
      </c>
      <c r="F6927" s="133" t="s">
        <v>19</v>
      </c>
      <c r="G6927" s="134" t="n">
        <f aca="false">LEN('Saisie programme'!$J$257)+SUMIFS('Vols additionnels'!$E$7:$E$66,'Vols additionnels'!$C$7:$C$66,$E6927,'Vols additionnels'!$D$7:$D$66,$F6927,'Vols additionnels'!$B$7:$B$66,$D6927)</f>
        <v>0</v>
      </c>
      <c r="H6927" s="135" t="n">
        <f aca="false">$G6927*'Analyse capacite'!$F$8</f>
        <v>0</v>
      </c>
      <c r="I6927" s="135" t="n">
        <f aca="false">$G6927*'Analyse capacite'!$C$8</f>
        <v>0</v>
      </c>
      <c r="J6927" s="135" t="n">
        <f aca="false">$G6927*'Analyse capacite'!$D$8</f>
        <v>0</v>
      </c>
      <c r="K6927" s="135" t="n">
        <f aca="false">$G6927*'Analyse capacite'!$E$8</f>
        <v>0</v>
      </c>
    </row>
    <row r="6928" customFormat="false" ht="15" hidden="false" customHeight="false" outlineLevel="0" collapsed="false">
      <c r="B6928" s="130" t="n">
        <v>2027</v>
      </c>
      <c r="C6928" s="131" t="s">
        <v>252</v>
      </c>
      <c r="D6928" s="132" t="n">
        <v>46670</v>
      </c>
      <c r="E6928" s="131" t="s">
        <v>36</v>
      </c>
      <c r="F6928" s="133" t="s">
        <v>24</v>
      </c>
      <c r="G6928" s="134" t="n">
        <f aca="false">LEN('Saisie programme'!$J$258)+SUMIFS('Vols additionnels'!$E$7:$E$66,'Vols additionnels'!$C$7:$C$66,$E6928,'Vols additionnels'!$D$7:$D$66,$F6928,'Vols additionnels'!$B$7:$B$66,$D6928)</f>
        <v>0</v>
      </c>
      <c r="H6928" s="135" t="n">
        <f aca="false">$G6928*'Analyse capacite'!$F$9</f>
        <v>0</v>
      </c>
      <c r="I6928" s="135" t="n">
        <f aca="false">$G6928*'Analyse capacite'!$C$9</f>
        <v>0</v>
      </c>
      <c r="J6928" s="135" t="n">
        <f aca="false">$G6928*'Analyse capacite'!$D$9</f>
        <v>0</v>
      </c>
      <c r="K6928" s="135" t="n">
        <f aca="false">$G6928*'Analyse capacite'!$E$9</f>
        <v>0</v>
      </c>
    </row>
    <row r="6929" customFormat="false" ht="15" hidden="false" customHeight="false" outlineLevel="0" collapsed="false">
      <c r="B6929" s="130" t="n">
        <v>2027</v>
      </c>
      <c r="C6929" s="131" t="s">
        <v>252</v>
      </c>
      <c r="D6929" s="132" t="n">
        <v>46670</v>
      </c>
      <c r="E6929" s="131" t="s">
        <v>40</v>
      </c>
      <c r="F6929" s="133" t="s">
        <v>11</v>
      </c>
      <c r="G6929" s="134" t="n">
        <f aca="false">LEN('Saisie programme'!$J$259)+SUMIFS('Vols additionnels'!$E$7:$E$66,'Vols additionnels'!$C$7:$C$66,$E6929,'Vols additionnels'!$D$7:$D$66,$F6929,'Vols additionnels'!$B$7:$B$66,$D6929)</f>
        <v>0</v>
      </c>
      <c r="H6929" s="135" t="n">
        <f aca="false">$G6929*'Analyse capacite'!$F$7</f>
        <v>0</v>
      </c>
      <c r="I6929" s="135" t="n">
        <f aca="false">$G6929*'Analyse capacite'!$C$7</f>
        <v>0</v>
      </c>
      <c r="J6929" s="135" t="n">
        <f aca="false">$G6929*'Analyse capacite'!$D$7</f>
        <v>0</v>
      </c>
      <c r="K6929" s="135" t="n">
        <f aca="false">$G6929*'Analyse capacite'!$E$7</f>
        <v>0</v>
      </c>
    </row>
    <row r="6930" customFormat="false" ht="15" hidden="false" customHeight="false" outlineLevel="0" collapsed="false">
      <c r="B6930" s="130" t="n">
        <v>2027</v>
      </c>
      <c r="C6930" s="131" t="s">
        <v>252</v>
      </c>
      <c r="D6930" s="132" t="n">
        <v>46670</v>
      </c>
      <c r="E6930" s="131" t="s">
        <v>40</v>
      </c>
      <c r="F6930" s="133" t="s">
        <v>19</v>
      </c>
      <c r="G6930" s="134" t="n">
        <f aca="false">LEN('Saisie programme'!$J$260)+SUMIFS('Vols additionnels'!$E$7:$E$66,'Vols additionnels'!$C$7:$C$66,$E6930,'Vols additionnels'!$D$7:$D$66,$F6930,'Vols additionnels'!$B$7:$B$66,$D6930)</f>
        <v>0</v>
      </c>
      <c r="H6930" s="135" t="n">
        <f aca="false">$G6930*'Analyse capacite'!$F$8</f>
        <v>0</v>
      </c>
      <c r="I6930" s="135" t="n">
        <f aca="false">$G6930*'Analyse capacite'!$C$8</f>
        <v>0</v>
      </c>
      <c r="J6930" s="135" t="n">
        <f aca="false">$G6930*'Analyse capacite'!$D$8</f>
        <v>0</v>
      </c>
      <c r="K6930" s="135" t="n">
        <f aca="false">$G6930*'Analyse capacite'!$E$8</f>
        <v>0</v>
      </c>
    </row>
    <row r="6931" customFormat="false" ht="15" hidden="false" customHeight="false" outlineLevel="0" collapsed="false">
      <c r="B6931" s="130" t="n">
        <v>2027</v>
      </c>
      <c r="C6931" s="131" t="s">
        <v>252</v>
      </c>
      <c r="D6931" s="132" t="n">
        <v>46670</v>
      </c>
      <c r="E6931" s="131" t="s">
        <v>40</v>
      </c>
      <c r="F6931" s="133" t="s">
        <v>24</v>
      </c>
      <c r="G6931" s="134" t="n">
        <f aca="false">LEN('Saisie programme'!$J$261)+SUMIFS('Vols additionnels'!$E$7:$E$66,'Vols additionnels'!$C$7:$C$66,$E6931,'Vols additionnels'!$D$7:$D$66,$F6931,'Vols additionnels'!$B$7:$B$66,$D6931)</f>
        <v>1</v>
      </c>
      <c r="H6931" s="135" t="n">
        <f aca="false">$G6931*'Analyse capacite'!$F$9</f>
        <v>174</v>
      </c>
      <c r="I6931" s="135" t="n">
        <f aca="false">$G6931*'Analyse capacite'!$C$9</f>
        <v>0</v>
      </c>
      <c r="J6931" s="135" t="n">
        <f aca="false">$G6931*'Analyse capacite'!$D$9</f>
        <v>12</v>
      </c>
      <c r="K6931" s="135" t="n">
        <f aca="false">$G6931*'Analyse capacite'!$E$9</f>
        <v>162</v>
      </c>
    </row>
    <row r="6932" customFormat="false" ht="15" hidden="false" customHeight="false" outlineLevel="0" collapsed="false">
      <c r="B6932" s="130" t="n">
        <v>2027</v>
      </c>
      <c r="C6932" s="131" t="s">
        <v>252</v>
      </c>
      <c r="D6932" s="132" t="n">
        <v>46670</v>
      </c>
      <c r="E6932" s="131" t="s">
        <v>14</v>
      </c>
      <c r="F6932" s="133" t="s">
        <v>11</v>
      </c>
      <c r="G6932" s="134" t="n">
        <f aca="false">LEN('Saisie programme'!$J$262)+SUMIFS('Vols additionnels'!$E$7:$E$66,'Vols additionnels'!$C$7:$C$66,$E6932,'Vols additionnels'!$D$7:$D$66,$F6932,'Vols additionnels'!$B$7:$B$66,$D6932)</f>
        <v>0</v>
      </c>
      <c r="H6932" s="135" t="n">
        <f aca="false">$G6932*'Analyse capacite'!$F$7</f>
        <v>0</v>
      </c>
      <c r="I6932" s="135" t="n">
        <f aca="false">$G6932*'Analyse capacite'!$C$7</f>
        <v>0</v>
      </c>
      <c r="J6932" s="135" t="n">
        <f aca="false">$G6932*'Analyse capacite'!$D$7</f>
        <v>0</v>
      </c>
      <c r="K6932" s="135" t="n">
        <f aca="false">$G6932*'Analyse capacite'!$E$7</f>
        <v>0</v>
      </c>
    </row>
    <row r="6933" customFormat="false" ht="15" hidden="false" customHeight="false" outlineLevel="0" collapsed="false">
      <c r="B6933" s="130" t="n">
        <v>2027</v>
      </c>
      <c r="C6933" s="131" t="s">
        <v>252</v>
      </c>
      <c r="D6933" s="132" t="n">
        <v>46670</v>
      </c>
      <c r="E6933" s="131" t="s">
        <v>14</v>
      </c>
      <c r="F6933" s="133" t="s">
        <v>19</v>
      </c>
      <c r="G6933" s="134" t="n">
        <f aca="false">LEN('Saisie programme'!$J$263)+SUMIFS('Vols additionnels'!$E$7:$E$66,'Vols additionnels'!$C$7:$C$66,$E6933,'Vols additionnels'!$D$7:$D$66,$F6933,'Vols additionnels'!$B$7:$B$66,$D6933)</f>
        <v>0</v>
      </c>
      <c r="H6933" s="135" t="n">
        <f aca="false">$G6933*'Analyse capacite'!$F$8</f>
        <v>0</v>
      </c>
      <c r="I6933" s="135" t="n">
        <f aca="false">$G6933*'Analyse capacite'!$C$8</f>
        <v>0</v>
      </c>
      <c r="J6933" s="135" t="n">
        <f aca="false">$G6933*'Analyse capacite'!$D$8</f>
        <v>0</v>
      </c>
      <c r="K6933" s="135" t="n">
        <f aca="false">$G6933*'Analyse capacite'!$E$8</f>
        <v>0</v>
      </c>
    </row>
    <row r="6934" customFormat="false" ht="15" hidden="false" customHeight="false" outlineLevel="0" collapsed="false">
      <c r="B6934" s="130" t="n">
        <v>2027</v>
      </c>
      <c r="C6934" s="131" t="s">
        <v>252</v>
      </c>
      <c r="D6934" s="132" t="n">
        <v>46670</v>
      </c>
      <c r="E6934" s="131" t="s">
        <v>14</v>
      </c>
      <c r="F6934" s="133" t="s">
        <v>24</v>
      </c>
      <c r="G6934" s="134" t="n">
        <f aca="false">LEN('Saisie programme'!$J$264)+SUMIFS('Vols additionnels'!$E$7:$E$66,'Vols additionnels'!$C$7:$C$66,$E6934,'Vols additionnels'!$D$7:$D$66,$F6934,'Vols additionnels'!$B$7:$B$66,$D6934)</f>
        <v>0</v>
      </c>
      <c r="H6934" s="135" t="n">
        <f aca="false">$G6934*'Analyse capacite'!$F$9</f>
        <v>0</v>
      </c>
      <c r="I6934" s="135" t="n">
        <f aca="false">$G6934*'Analyse capacite'!$C$9</f>
        <v>0</v>
      </c>
      <c r="J6934" s="135" t="n">
        <f aca="false">$G6934*'Analyse capacite'!$D$9</f>
        <v>0</v>
      </c>
      <c r="K6934" s="135" t="n">
        <f aca="false">$G6934*'Analyse capacite'!$E$9</f>
        <v>0</v>
      </c>
    </row>
    <row r="6935" customFormat="false" ht="15" hidden="false" customHeight="false" outlineLevel="0" collapsed="false">
      <c r="B6935" s="130" t="n">
        <v>2027</v>
      </c>
      <c r="C6935" s="131" t="s">
        <v>252</v>
      </c>
      <c r="D6935" s="132" t="n">
        <v>46670</v>
      </c>
      <c r="E6935" s="131" t="s">
        <v>46</v>
      </c>
      <c r="F6935" s="133" t="s">
        <v>11</v>
      </c>
      <c r="G6935" s="134" t="n">
        <f aca="false">LEN('Saisie programme'!$J$265)+SUMIFS('Vols additionnels'!$E$7:$E$66,'Vols additionnels'!$C$7:$C$66,$E6935,'Vols additionnels'!$D$7:$D$66,$F6935,'Vols additionnels'!$B$7:$B$66,$D6935)</f>
        <v>0</v>
      </c>
      <c r="H6935" s="135" t="n">
        <f aca="false">$G6935*'Analyse capacite'!$F$7</f>
        <v>0</v>
      </c>
      <c r="I6935" s="135" t="n">
        <f aca="false">$G6935*'Analyse capacite'!$C$7</f>
        <v>0</v>
      </c>
      <c r="J6935" s="135" t="n">
        <f aca="false">$G6935*'Analyse capacite'!$D$7</f>
        <v>0</v>
      </c>
      <c r="K6935" s="135" t="n">
        <f aca="false">$G6935*'Analyse capacite'!$E$7</f>
        <v>0</v>
      </c>
    </row>
    <row r="6936" customFormat="false" ht="15" hidden="false" customHeight="false" outlineLevel="0" collapsed="false">
      <c r="B6936" s="130" t="n">
        <v>2027</v>
      </c>
      <c r="C6936" s="131" t="s">
        <v>252</v>
      </c>
      <c r="D6936" s="132" t="n">
        <v>46670</v>
      </c>
      <c r="E6936" s="131" t="s">
        <v>46</v>
      </c>
      <c r="F6936" s="133" t="s">
        <v>19</v>
      </c>
      <c r="G6936" s="134" t="n">
        <f aca="false">LEN('Saisie programme'!$J$266)+SUMIFS('Vols additionnels'!$E$7:$E$66,'Vols additionnels'!$C$7:$C$66,$E6936,'Vols additionnels'!$D$7:$D$66,$F6936,'Vols additionnels'!$B$7:$B$66,$D6936)</f>
        <v>0</v>
      </c>
      <c r="H6936" s="135" t="n">
        <f aca="false">$G6936*'Analyse capacite'!$F$8</f>
        <v>0</v>
      </c>
      <c r="I6936" s="135" t="n">
        <f aca="false">$G6936*'Analyse capacite'!$C$8</f>
        <v>0</v>
      </c>
      <c r="J6936" s="135" t="n">
        <f aca="false">$G6936*'Analyse capacite'!$D$8</f>
        <v>0</v>
      </c>
      <c r="K6936" s="135" t="n">
        <f aca="false">$G6936*'Analyse capacite'!$E$8</f>
        <v>0</v>
      </c>
    </row>
    <row r="6937" customFormat="false" ht="15" hidden="false" customHeight="false" outlineLevel="0" collapsed="false">
      <c r="B6937" s="130" t="n">
        <v>2027</v>
      </c>
      <c r="C6937" s="131" t="s">
        <v>252</v>
      </c>
      <c r="D6937" s="132" t="n">
        <v>46670</v>
      </c>
      <c r="E6937" s="131" t="s">
        <v>46</v>
      </c>
      <c r="F6937" s="133" t="s">
        <v>24</v>
      </c>
      <c r="G6937" s="134" t="n">
        <f aca="false">LEN('Saisie programme'!$J$267)+SUMIFS('Vols additionnels'!$E$7:$E$66,'Vols additionnels'!$C$7:$C$66,$E6937,'Vols additionnels'!$D$7:$D$66,$F6937,'Vols additionnels'!$B$7:$B$66,$D6937)</f>
        <v>0</v>
      </c>
      <c r="H6937" s="135" t="n">
        <f aca="false">$G6937*'Analyse capacite'!$F$9</f>
        <v>0</v>
      </c>
      <c r="I6937" s="135" t="n">
        <f aca="false">$G6937*'Analyse capacite'!$C$9</f>
        <v>0</v>
      </c>
      <c r="J6937" s="135" t="n">
        <f aca="false">$G6937*'Analyse capacite'!$D$9</f>
        <v>0</v>
      </c>
      <c r="K6937" s="135" t="n">
        <f aca="false">$G6937*'Analyse capacite'!$E$9</f>
        <v>0</v>
      </c>
    </row>
    <row r="6938" customFormat="false" ht="15" hidden="false" customHeight="false" outlineLevel="0" collapsed="false">
      <c r="B6938" s="130" t="n">
        <v>2027</v>
      </c>
      <c r="C6938" s="131" t="s">
        <v>252</v>
      </c>
      <c r="D6938" s="132" t="n">
        <v>46670</v>
      </c>
      <c r="E6938" s="131" t="s">
        <v>49</v>
      </c>
      <c r="F6938" s="133" t="s">
        <v>11</v>
      </c>
      <c r="G6938" s="134" t="n">
        <f aca="false">LEN('Saisie programme'!$J$268)+SUMIFS('Vols additionnels'!$E$7:$E$66,'Vols additionnels'!$C$7:$C$66,$E6938,'Vols additionnels'!$D$7:$D$66,$F6938,'Vols additionnels'!$B$7:$B$66,$D6938)</f>
        <v>0</v>
      </c>
      <c r="H6938" s="135" t="n">
        <f aca="false">$G6938*'Analyse capacite'!$F$7</f>
        <v>0</v>
      </c>
      <c r="I6938" s="135" t="n">
        <f aca="false">$G6938*'Analyse capacite'!$C$7</f>
        <v>0</v>
      </c>
      <c r="J6938" s="135" t="n">
        <f aca="false">$G6938*'Analyse capacite'!$D$7</f>
        <v>0</v>
      </c>
      <c r="K6938" s="135" t="n">
        <f aca="false">$G6938*'Analyse capacite'!$E$7</f>
        <v>0</v>
      </c>
    </row>
    <row r="6939" customFormat="false" ht="15" hidden="false" customHeight="false" outlineLevel="0" collapsed="false">
      <c r="B6939" s="130" t="n">
        <v>2027</v>
      </c>
      <c r="C6939" s="131" t="s">
        <v>252</v>
      </c>
      <c r="D6939" s="132" t="n">
        <v>46670</v>
      </c>
      <c r="E6939" s="131" t="s">
        <v>49</v>
      </c>
      <c r="F6939" s="133" t="s">
        <v>19</v>
      </c>
      <c r="G6939" s="134" t="n">
        <f aca="false">LEN('Saisie programme'!$J$269)+SUMIFS('Vols additionnels'!$E$7:$E$66,'Vols additionnels'!$C$7:$C$66,$E6939,'Vols additionnels'!$D$7:$D$66,$F6939,'Vols additionnels'!$B$7:$B$66,$D6939)</f>
        <v>0</v>
      </c>
      <c r="H6939" s="135" t="n">
        <f aca="false">$G6939*'Analyse capacite'!$F$8</f>
        <v>0</v>
      </c>
      <c r="I6939" s="135" t="n">
        <f aca="false">$G6939*'Analyse capacite'!$C$8</f>
        <v>0</v>
      </c>
      <c r="J6939" s="135" t="n">
        <f aca="false">$G6939*'Analyse capacite'!$D$8</f>
        <v>0</v>
      </c>
      <c r="K6939" s="135" t="n">
        <f aca="false">$G6939*'Analyse capacite'!$E$8</f>
        <v>0</v>
      </c>
    </row>
    <row r="6940" customFormat="false" ht="15" hidden="false" customHeight="false" outlineLevel="0" collapsed="false">
      <c r="B6940" s="130" t="n">
        <v>2027</v>
      </c>
      <c r="C6940" s="131" t="s">
        <v>252</v>
      </c>
      <c r="D6940" s="132" t="n">
        <v>46670</v>
      </c>
      <c r="E6940" s="131" t="s">
        <v>49</v>
      </c>
      <c r="F6940" s="133" t="s">
        <v>24</v>
      </c>
      <c r="G6940" s="134" t="n">
        <f aca="false">LEN('Saisie programme'!$J$270)+SUMIFS('Vols additionnels'!$E$7:$E$66,'Vols additionnels'!$C$7:$C$66,$E6940,'Vols additionnels'!$D$7:$D$66,$F6940,'Vols additionnels'!$B$7:$B$66,$D6940)</f>
        <v>0</v>
      </c>
      <c r="H6940" s="135" t="n">
        <f aca="false">$G6940*'Analyse capacite'!$F$9</f>
        <v>0</v>
      </c>
      <c r="I6940" s="135" t="n">
        <f aca="false">$G6940*'Analyse capacite'!$C$9</f>
        <v>0</v>
      </c>
      <c r="J6940" s="135" t="n">
        <f aca="false">$G6940*'Analyse capacite'!$D$9</f>
        <v>0</v>
      </c>
      <c r="K6940" s="135" t="n">
        <f aca="false">$G6940*'Analyse capacite'!$E$9</f>
        <v>0</v>
      </c>
    </row>
    <row r="6941" customFormat="false" ht="15" hidden="false" customHeight="false" outlineLevel="0" collapsed="false">
      <c r="B6941" s="130" t="n">
        <v>2027</v>
      </c>
      <c r="C6941" s="131" t="s">
        <v>252</v>
      </c>
      <c r="D6941" s="132" t="n">
        <v>46670</v>
      </c>
      <c r="E6941" s="131" t="s">
        <v>53</v>
      </c>
      <c r="F6941" s="133" t="s">
        <v>11</v>
      </c>
      <c r="G6941" s="134" t="n">
        <f aca="false">LEN('Saisie programme'!$J$271)+SUMIFS('Vols additionnels'!$E$7:$E$66,'Vols additionnels'!$C$7:$C$66,$E6941,'Vols additionnels'!$D$7:$D$66,$F6941,'Vols additionnels'!$B$7:$B$66,$D6941)</f>
        <v>0</v>
      </c>
      <c r="H6941" s="135" t="n">
        <f aca="false">$G6941*'Analyse capacite'!$F$7</f>
        <v>0</v>
      </c>
      <c r="I6941" s="135" t="n">
        <f aca="false">$G6941*'Analyse capacite'!$C$7</f>
        <v>0</v>
      </c>
      <c r="J6941" s="135" t="n">
        <f aca="false">$G6941*'Analyse capacite'!$D$7</f>
        <v>0</v>
      </c>
      <c r="K6941" s="135" t="n">
        <f aca="false">$G6941*'Analyse capacite'!$E$7</f>
        <v>0</v>
      </c>
    </row>
    <row r="6942" customFormat="false" ht="15" hidden="false" customHeight="false" outlineLevel="0" collapsed="false">
      <c r="B6942" s="130" t="n">
        <v>2027</v>
      </c>
      <c r="C6942" s="131" t="s">
        <v>252</v>
      </c>
      <c r="D6942" s="132" t="n">
        <v>46670</v>
      </c>
      <c r="E6942" s="131" t="s">
        <v>53</v>
      </c>
      <c r="F6942" s="133" t="s">
        <v>19</v>
      </c>
      <c r="G6942" s="134" t="n">
        <f aca="false">LEN('Saisie programme'!$J$272)+SUMIFS('Vols additionnels'!$E$7:$E$66,'Vols additionnels'!$C$7:$C$66,$E6942,'Vols additionnels'!$D$7:$D$66,$F6942,'Vols additionnels'!$B$7:$B$66,$D6942)</f>
        <v>0</v>
      </c>
      <c r="H6942" s="135" t="n">
        <f aca="false">$G6942*'Analyse capacite'!$F$8</f>
        <v>0</v>
      </c>
      <c r="I6942" s="135" t="n">
        <f aca="false">$G6942*'Analyse capacite'!$C$8</f>
        <v>0</v>
      </c>
      <c r="J6942" s="135" t="n">
        <f aca="false">$G6942*'Analyse capacite'!$D$8</f>
        <v>0</v>
      </c>
      <c r="K6942" s="135" t="n">
        <f aca="false">$G6942*'Analyse capacite'!$E$8</f>
        <v>0</v>
      </c>
    </row>
    <row r="6943" customFormat="false" ht="15" hidden="false" customHeight="false" outlineLevel="0" collapsed="false">
      <c r="B6943" s="130" t="n">
        <v>2027</v>
      </c>
      <c r="C6943" s="131" t="s">
        <v>252</v>
      </c>
      <c r="D6943" s="132" t="n">
        <v>46670</v>
      </c>
      <c r="E6943" s="131" t="s">
        <v>53</v>
      </c>
      <c r="F6943" s="133" t="s">
        <v>24</v>
      </c>
      <c r="G6943" s="134" t="n">
        <f aca="false">LEN('Saisie programme'!$J$273)+SUMIFS('Vols additionnels'!$E$7:$E$66,'Vols additionnels'!$C$7:$C$66,$E6943,'Vols additionnels'!$D$7:$D$66,$F6943,'Vols additionnels'!$B$7:$B$66,$D6943)</f>
        <v>0</v>
      </c>
      <c r="H6943" s="135" t="n">
        <f aca="false">$G6943*'Analyse capacite'!$F$9</f>
        <v>0</v>
      </c>
      <c r="I6943" s="135" t="n">
        <f aca="false">$G6943*'Analyse capacite'!$C$9</f>
        <v>0</v>
      </c>
      <c r="J6943" s="135" t="n">
        <f aca="false">$G6943*'Analyse capacite'!$D$9</f>
        <v>0</v>
      </c>
      <c r="K6943" s="135" t="n">
        <f aca="false">$G6943*'Analyse capacite'!$E$9</f>
        <v>0</v>
      </c>
    </row>
    <row r="6944" customFormat="false" ht="15" hidden="false" customHeight="false" outlineLevel="0" collapsed="false">
      <c r="B6944" s="130" t="n">
        <v>2027</v>
      </c>
      <c r="C6944" s="131" t="s">
        <v>252</v>
      </c>
      <c r="D6944" s="132" t="n">
        <v>46670</v>
      </c>
      <c r="E6944" s="131" t="s">
        <v>56</v>
      </c>
      <c r="F6944" s="133" t="s">
        <v>11</v>
      </c>
      <c r="G6944" s="134" t="n">
        <f aca="false">LEN('Saisie programme'!$J$274)+SUMIFS('Vols additionnels'!$E$7:$E$66,'Vols additionnels'!$C$7:$C$66,$E6944,'Vols additionnels'!$D$7:$D$66,$F6944,'Vols additionnels'!$B$7:$B$66,$D6944)</f>
        <v>0</v>
      </c>
      <c r="H6944" s="135" t="n">
        <f aca="false">$G6944*'Analyse capacite'!$F$7</f>
        <v>0</v>
      </c>
      <c r="I6944" s="135" t="n">
        <f aca="false">$G6944*'Analyse capacite'!$C$7</f>
        <v>0</v>
      </c>
      <c r="J6944" s="135" t="n">
        <f aca="false">$G6944*'Analyse capacite'!$D$7</f>
        <v>0</v>
      </c>
      <c r="K6944" s="135" t="n">
        <f aca="false">$G6944*'Analyse capacite'!$E$7</f>
        <v>0</v>
      </c>
    </row>
    <row r="6945" customFormat="false" ht="15" hidden="false" customHeight="false" outlineLevel="0" collapsed="false">
      <c r="B6945" s="130" t="n">
        <v>2027</v>
      </c>
      <c r="C6945" s="131" t="s">
        <v>252</v>
      </c>
      <c r="D6945" s="132" t="n">
        <v>46670</v>
      </c>
      <c r="E6945" s="131" t="s">
        <v>56</v>
      </c>
      <c r="F6945" s="133" t="s">
        <v>19</v>
      </c>
      <c r="G6945" s="134" t="n">
        <f aca="false">LEN('Saisie programme'!$J$275)+SUMIFS('Vols additionnels'!$E$7:$E$66,'Vols additionnels'!$C$7:$C$66,$E6945,'Vols additionnels'!$D$7:$D$66,$F6945,'Vols additionnels'!$B$7:$B$66,$D6945)</f>
        <v>0</v>
      </c>
      <c r="H6945" s="135" t="n">
        <f aca="false">$G6945*'Analyse capacite'!$F$8</f>
        <v>0</v>
      </c>
      <c r="I6945" s="135" t="n">
        <f aca="false">$G6945*'Analyse capacite'!$C$8</f>
        <v>0</v>
      </c>
      <c r="J6945" s="135" t="n">
        <f aca="false">$G6945*'Analyse capacite'!$D$8</f>
        <v>0</v>
      </c>
      <c r="K6945" s="135" t="n">
        <f aca="false">$G6945*'Analyse capacite'!$E$8</f>
        <v>0</v>
      </c>
    </row>
    <row r="6946" customFormat="false" ht="15" hidden="false" customHeight="false" outlineLevel="0" collapsed="false">
      <c r="B6946" s="130" t="n">
        <v>2027</v>
      </c>
      <c r="C6946" s="131" t="s">
        <v>252</v>
      </c>
      <c r="D6946" s="132" t="n">
        <v>46670</v>
      </c>
      <c r="E6946" s="131" t="s">
        <v>56</v>
      </c>
      <c r="F6946" s="133" t="s">
        <v>24</v>
      </c>
      <c r="G6946" s="134" t="n">
        <f aca="false">LEN('Saisie programme'!$J$276)+SUMIFS('Vols additionnels'!$E$7:$E$66,'Vols additionnels'!$C$7:$C$66,$E6946,'Vols additionnels'!$D$7:$D$66,$F6946,'Vols additionnels'!$B$7:$B$66,$D6946)</f>
        <v>0</v>
      </c>
      <c r="H6946" s="135" t="n">
        <f aca="false">$G6946*'Analyse capacite'!$F$9</f>
        <v>0</v>
      </c>
      <c r="I6946" s="135" t="n">
        <f aca="false">$G6946*'Analyse capacite'!$C$9</f>
        <v>0</v>
      </c>
      <c r="J6946" s="135" t="n">
        <f aca="false">$G6946*'Analyse capacite'!$D$9</f>
        <v>0</v>
      </c>
      <c r="K6946" s="135" t="n">
        <f aca="false">$G6946*'Analyse capacite'!$E$9</f>
        <v>0</v>
      </c>
    </row>
    <row r="6947" customFormat="false" ht="15" hidden="false" customHeight="false" outlineLevel="0" collapsed="false">
      <c r="B6947" s="130" t="n">
        <v>2027</v>
      </c>
      <c r="C6947" s="131" t="s">
        <v>252</v>
      </c>
      <c r="D6947" s="132" t="n">
        <v>46670</v>
      </c>
      <c r="E6947" s="131" t="s">
        <v>59</v>
      </c>
      <c r="F6947" s="133" t="s">
        <v>11</v>
      </c>
      <c r="G6947" s="134" t="n">
        <f aca="false">LEN('Saisie programme'!$J$277)+SUMIFS('Vols additionnels'!$E$7:$E$66,'Vols additionnels'!$C$7:$C$66,$E6947,'Vols additionnels'!$D$7:$D$66,$F6947,'Vols additionnels'!$B$7:$B$66,$D6947)</f>
        <v>0</v>
      </c>
      <c r="H6947" s="135" t="n">
        <f aca="false">$G6947*'Analyse capacite'!$F$7</f>
        <v>0</v>
      </c>
      <c r="I6947" s="135" t="n">
        <f aca="false">$G6947*'Analyse capacite'!$C$7</f>
        <v>0</v>
      </c>
      <c r="J6947" s="135" t="n">
        <f aca="false">$G6947*'Analyse capacite'!$D$7</f>
        <v>0</v>
      </c>
      <c r="K6947" s="135" t="n">
        <f aca="false">$G6947*'Analyse capacite'!$E$7</f>
        <v>0</v>
      </c>
    </row>
    <row r="6948" customFormat="false" ht="15" hidden="false" customHeight="false" outlineLevel="0" collapsed="false">
      <c r="B6948" s="130" t="n">
        <v>2027</v>
      </c>
      <c r="C6948" s="131" t="s">
        <v>252</v>
      </c>
      <c r="D6948" s="132" t="n">
        <v>46670</v>
      </c>
      <c r="E6948" s="131" t="s">
        <v>59</v>
      </c>
      <c r="F6948" s="133" t="s">
        <v>19</v>
      </c>
      <c r="G6948" s="134" t="n">
        <f aca="false">LEN('Saisie programme'!$J$278)+SUMIFS('Vols additionnels'!$E$7:$E$66,'Vols additionnels'!$C$7:$C$66,$E6948,'Vols additionnels'!$D$7:$D$66,$F6948,'Vols additionnels'!$B$7:$B$66,$D6948)</f>
        <v>0</v>
      </c>
      <c r="H6948" s="135" t="n">
        <f aca="false">$G6948*'Analyse capacite'!$F$8</f>
        <v>0</v>
      </c>
      <c r="I6948" s="135" t="n">
        <f aca="false">$G6948*'Analyse capacite'!$C$8</f>
        <v>0</v>
      </c>
      <c r="J6948" s="135" t="n">
        <f aca="false">$G6948*'Analyse capacite'!$D$8</f>
        <v>0</v>
      </c>
      <c r="K6948" s="135" t="n">
        <f aca="false">$G6948*'Analyse capacite'!$E$8</f>
        <v>0</v>
      </c>
    </row>
    <row r="6949" customFormat="false" ht="15" hidden="false" customHeight="false" outlineLevel="0" collapsed="false">
      <c r="B6949" s="130" t="n">
        <v>2027</v>
      </c>
      <c r="C6949" s="131" t="s">
        <v>252</v>
      </c>
      <c r="D6949" s="132" t="n">
        <v>46670</v>
      </c>
      <c r="E6949" s="131" t="s">
        <v>59</v>
      </c>
      <c r="F6949" s="133" t="s">
        <v>24</v>
      </c>
      <c r="G6949" s="134" t="n">
        <f aca="false">LEN('Saisie programme'!$J$279)+SUMIFS('Vols additionnels'!$E$7:$E$66,'Vols additionnels'!$C$7:$C$66,$E6949,'Vols additionnels'!$D$7:$D$66,$F6949,'Vols additionnels'!$B$7:$B$66,$D6949)</f>
        <v>0</v>
      </c>
      <c r="H6949" s="135" t="n">
        <f aca="false">$G6949*'Analyse capacite'!$F$9</f>
        <v>0</v>
      </c>
      <c r="I6949" s="135" t="n">
        <f aca="false">$G6949*'Analyse capacite'!$C$9</f>
        <v>0</v>
      </c>
      <c r="J6949" s="135" t="n">
        <f aca="false">$G6949*'Analyse capacite'!$D$9</f>
        <v>0</v>
      </c>
      <c r="K6949" s="135" t="n">
        <f aca="false">$G6949*'Analyse capacite'!$E$9</f>
        <v>0</v>
      </c>
    </row>
    <row r="6950" customFormat="false" ht="15" hidden="false" customHeight="false" outlineLevel="0" collapsed="false">
      <c r="B6950" s="130" t="n">
        <v>2027</v>
      </c>
      <c r="C6950" s="131" t="s">
        <v>252</v>
      </c>
      <c r="D6950" s="132" t="n">
        <v>46670</v>
      </c>
      <c r="E6950" s="131" t="s">
        <v>62</v>
      </c>
      <c r="F6950" s="133" t="s">
        <v>11</v>
      </c>
      <c r="G6950" s="134" t="n">
        <f aca="false">LEN('Saisie programme'!$J$280)+SUMIFS('Vols additionnels'!$E$7:$E$66,'Vols additionnels'!$C$7:$C$66,$E6950,'Vols additionnels'!$D$7:$D$66,$F6950,'Vols additionnels'!$B$7:$B$66,$D6950)</f>
        <v>0</v>
      </c>
      <c r="H6950" s="135" t="n">
        <f aca="false">$G6950*'Analyse capacite'!$F$7</f>
        <v>0</v>
      </c>
      <c r="I6950" s="135" t="n">
        <f aca="false">$G6950*'Analyse capacite'!$C$7</f>
        <v>0</v>
      </c>
      <c r="J6950" s="135" t="n">
        <f aca="false">$G6950*'Analyse capacite'!$D$7</f>
        <v>0</v>
      </c>
      <c r="K6950" s="135" t="n">
        <f aca="false">$G6950*'Analyse capacite'!$E$7</f>
        <v>0</v>
      </c>
    </row>
    <row r="6951" customFormat="false" ht="15" hidden="false" customHeight="false" outlineLevel="0" collapsed="false">
      <c r="B6951" s="130" t="n">
        <v>2027</v>
      </c>
      <c r="C6951" s="131" t="s">
        <v>252</v>
      </c>
      <c r="D6951" s="132" t="n">
        <v>46670</v>
      </c>
      <c r="E6951" s="131" t="s">
        <v>62</v>
      </c>
      <c r="F6951" s="133" t="s">
        <v>19</v>
      </c>
      <c r="G6951" s="134" t="n">
        <f aca="false">LEN('Saisie programme'!$J$281)+SUMIFS('Vols additionnels'!$E$7:$E$66,'Vols additionnels'!$C$7:$C$66,$E6951,'Vols additionnels'!$D$7:$D$66,$F6951,'Vols additionnels'!$B$7:$B$66,$D6951)</f>
        <v>0</v>
      </c>
      <c r="H6951" s="135" t="n">
        <f aca="false">$G6951*'Analyse capacite'!$F$8</f>
        <v>0</v>
      </c>
      <c r="I6951" s="135" t="n">
        <f aca="false">$G6951*'Analyse capacite'!$C$8</f>
        <v>0</v>
      </c>
      <c r="J6951" s="135" t="n">
        <f aca="false">$G6951*'Analyse capacite'!$D$8</f>
        <v>0</v>
      </c>
      <c r="K6951" s="135" t="n">
        <f aca="false">$G6951*'Analyse capacite'!$E$8</f>
        <v>0</v>
      </c>
    </row>
    <row r="6952" customFormat="false" ht="15" hidden="false" customHeight="false" outlineLevel="0" collapsed="false">
      <c r="B6952" s="130" t="n">
        <v>2027</v>
      </c>
      <c r="C6952" s="131" t="s">
        <v>252</v>
      </c>
      <c r="D6952" s="132" t="n">
        <v>46670</v>
      </c>
      <c r="E6952" s="131" t="s">
        <v>62</v>
      </c>
      <c r="F6952" s="133" t="s">
        <v>24</v>
      </c>
      <c r="G6952" s="134" t="n">
        <f aca="false">LEN('Saisie programme'!$J$282)+SUMIFS('Vols additionnels'!$E$7:$E$66,'Vols additionnels'!$C$7:$C$66,$E6952,'Vols additionnels'!$D$7:$D$66,$F6952,'Vols additionnels'!$B$7:$B$66,$D6952)</f>
        <v>1</v>
      </c>
      <c r="H6952" s="135" t="n">
        <f aca="false">$G6952*'Analyse capacite'!$F$9</f>
        <v>174</v>
      </c>
      <c r="I6952" s="135" t="n">
        <f aca="false">$G6952*'Analyse capacite'!$C$9</f>
        <v>0</v>
      </c>
      <c r="J6952" s="135" t="n">
        <f aca="false">$G6952*'Analyse capacite'!$D$9</f>
        <v>12</v>
      </c>
      <c r="K6952" s="135" t="n">
        <f aca="false">$G6952*'Analyse capacite'!$E$9</f>
        <v>162</v>
      </c>
    </row>
    <row r="6953" customFormat="false" ht="15" hidden="false" customHeight="false" outlineLevel="0" collapsed="false">
      <c r="B6953" s="130" t="n">
        <v>2027</v>
      </c>
      <c r="C6953" s="131" t="s">
        <v>252</v>
      </c>
      <c r="D6953" s="132" t="n">
        <v>46671</v>
      </c>
      <c r="E6953" s="131" t="s">
        <v>12</v>
      </c>
      <c r="F6953" s="133" t="s">
        <v>11</v>
      </c>
      <c r="G6953" s="134" t="n">
        <f aca="false">LEN('Saisie programme'!$D$247)+SUMIFS('Vols additionnels'!$E$7:$E$66,'Vols additionnels'!$C$7:$C$66,$E6953,'Vols additionnels'!$D$7:$D$66,$F6953,'Vols additionnels'!$B$7:$B$66,$D6953)</f>
        <v>1</v>
      </c>
      <c r="H6953" s="135" t="n">
        <f aca="false">$G6953*'Analyse capacite'!$F$7</f>
        <v>438</v>
      </c>
      <c r="I6953" s="135" t="n">
        <f aca="false">$G6953*'Analyse capacite'!$C$7</f>
        <v>14</v>
      </c>
      <c r="J6953" s="135" t="n">
        <f aca="false">$G6953*'Analyse capacite'!$D$7</f>
        <v>40</v>
      </c>
      <c r="K6953" s="135" t="n">
        <f aca="false">$G6953*'Analyse capacite'!$E$7</f>
        <v>384</v>
      </c>
    </row>
    <row r="6954" customFormat="false" ht="15" hidden="false" customHeight="false" outlineLevel="0" collapsed="false">
      <c r="B6954" s="130" t="n">
        <v>2027</v>
      </c>
      <c r="C6954" s="131" t="s">
        <v>252</v>
      </c>
      <c r="D6954" s="132" t="n">
        <v>46671</v>
      </c>
      <c r="E6954" s="131" t="s">
        <v>12</v>
      </c>
      <c r="F6954" s="133" t="s">
        <v>19</v>
      </c>
      <c r="G6954" s="134" t="n">
        <f aca="false">LEN('Saisie programme'!$D$248)+SUMIFS('Vols additionnels'!$E$7:$E$66,'Vols additionnels'!$C$7:$C$66,$E6954,'Vols additionnels'!$D$7:$D$66,$F6954,'Vols additionnels'!$B$7:$B$66,$D6954)</f>
        <v>1</v>
      </c>
      <c r="H6954" s="135" t="n">
        <f aca="false">$G6954*'Analyse capacite'!$F$8</f>
        <v>262</v>
      </c>
      <c r="I6954" s="135" t="n">
        <f aca="false">$G6954*'Analyse capacite'!$C$8</f>
        <v>18</v>
      </c>
      <c r="J6954" s="135" t="n">
        <f aca="false">$G6954*'Analyse capacite'!$D$8</f>
        <v>0</v>
      </c>
      <c r="K6954" s="135" t="n">
        <f aca="false">$G6954*'Analyse capacite'!$E$8</f>
        <v>244</v>
      </c>
    </row>
    <row r="6955" customFormat="false" ht="15" hidden="false" customHeight="false" outlineLevel="0" collapsed="false">
      <c r="B6955" s="130" t="n">
        <v>2027</v>
      </c>
      <c r="C6955" s="131" t="s">
        <v>252</v>
      </c>
      <c r="D6955" s="132" t="n">
        <v>46671</v>
      </c>
      <c r="E6955" s="131" t="s">
        <v>12</v>
      </c>
      <c r="F6955" s="133" t="s">
        <v>24</v>
      </c>
      <c r="G6955" s="134" t="n">
        <f aca="false">LEN('Saisie programme'!$D$249)+SUMIFS('Vols additionnels'!$E$7:$E$66,'Vols additionnels'!$C$7:$C$66,$E6955,'Vols additionnels'!$D$7:$D$66,$F6955,'Vols additionnels'!$B$7:$B$66,$D6955)</f>
        <v>2</v>
      </c>
      <c r="H6955" s="135" t="n">
        <f aca="false">$G6955*'Analyse capacite'!$F$9</f>
        <v>348</v>
      </c>
      <c r="I6955" s="135" t="n">
        <f aca="false">$G6955*'Analyse capacite'!$C$9</f>
        <v>0</v>
      </c>
      <c r="J6955" s="135" t="n">
        <f aca="false">$G6955*'Analyse capacite'!$D$9</f>
        <v>24</v>
      </c>
      <c r="K6955" s="135" t="n">
        <f aca="false">$G6955*'Analyse capacite'!$E$9</f>
        <v>324</v>
      </c>
    </row>
    <row r="6956" customFormat="false" ht="15" hidden="false" customHeight="false" outlineLevel="0" collapsed="false">
      <c r="B6956" s="130" t="n">
        <v>2027</v>
      </c>
      <c r="C6956" s="131" t="s">
        <v>252</v>
      </c>
      <c r="D6956" s="132" t="n">
        <v>46671</v>
      </c>
      <c r="E6956" s="131" t="s">
        <v>20</v>
      </c>
      <c r="F6956" s="133" t="s">
        <v>11</v>
      </c>
      <c r="G6956" s="134" t="n">
        <f aca="false">LEN('Saisie programme'!$D$250)+SUMIFS('Vols additionnels'!$E$7:$E$66,'Vols additionnels'!$C$7:$C$66,$E6956,'Vols additionnels'!$D$7:$D$66,$F6956,'Vols additionnels'!$B$7:$B$66,$D6956)</f>
        <v>0</v>
      </c>
      <c r="H6956" s="135" t="n">
        <f aca="false">$G6956*'Analyse capacite'!$F$7</f>
        <v>0</v>
      </c>
      <c r="I6956" s="135" t="n">
        <f aca="false">$G6956*'Analyse capacite'!$C$7</f>
        <v>0</v>
      </c>
      <c r="J6956" s="135" t="n">
        <f aca="false">$G6956*'Analyse capacite'!$D$7</f>
        <v>0</v>
      </c>
      <c r="K6956" s="135" t="n">
        <f aca="false">$G6956*'Analyse capacite'!$E$7</f>
        <v>0</v>
      </c>
    </row>
    <row r="6957" customFormat="false" ht="15" hidden="false" customHeight="false" outlineLevel="0" collapsed="false">
      <c r="B6957" s="130" t="n">
        <v>2027</v>
      </c>
      <c r="C6957" s="131" t="s">
        <v>252</v>
      </c>
      <c r="D6957" s="132" t="n">
        <v>46671</v>
      </c>
      <c r="E6957" s="131" t="s">
        <v>20</v>
      </c>
      <c r="F6957" s="133" t="s">
        <v>19</v>
      </c>
      <c r="G6957" s="134" t="n">
        <f aca="false">LEN('Saisie programme'!$D$251)+SUMIFS('Vols additionnels'!$E$7:$E$66,'Vols additionnels'!$C$7:$C$66,$E6957,'Vols additionnels'!$D$7:$D$66,$F6957,'Vols additionnels'!$B$7:$B$66,$D6957)</f>
        <v>0</v>
      </c>
      <c r="H6957" s="135" t="n">
        <f aca="false">$G6957*'Analyse capacite'!$F$8</f>
        <v>0</v>
      </c>
      <c r="I6957" s="135" t="n">
        <f aca="false">$G6957*'Analyse capacite'!$C$8</f>
        <v>0</v>
      </c>
      <c r="J6957" s="135" t="n">
        <f aca="false">$G6957*'Analyse capacite'!$D$8</f>
        <v>0</v>
      </c>
      <c r="K6957" s="135" t="n">
        <f aca="false">$G6957*'Analyse capacite'!$E$8</f>
        <v>0</v>
      </c>
    </row>
    <row r="6958" customFormat="false" ht="15" hidden="false" customHeight="false" outlineLevel="0" collapsed="false">
      <c r="B6958" s="130" t="n">
        <v>2027</v>
      </c>
      <c r="C6958" s="131" t="s">
        <v>252</v>
      </c>
      <c r="D6958" s="132" t="n">
        <v>46671</v>
      </c>
      <c r="E6958" s="131" t="s">
        <v>20</v>
      </c>
      <c r="F6958" s="133" t="s">
        <v>24</v>
      </c>
      <c r="G6958" s="134" t="n">
        <f aca="false">LEN('Saisie programme'!$D$252)+SUMIFS('Vols additionnels'!$E$7:$E$66,'Vols additionnels'!$C$7:$C$66,$E6958,'Vols additionnels'!$D$7:$D$66,$F6958,'Vols additionnels'!$B$7:$B$66,$D6958)</f>
        <v>0</v>
      </c>
      <c r="H6958" s="135" t="n">
        <f aca="false">$G6958*'Analyse capacite'!$F$9</f>
        <v>0</v>
      </c>
      <c r="I6958" s="135" t="n">
        <f aca="false">$G6958*'Analyse capacite'!$C$9</f>
        <v>0</v>
      </c>
      <c r="J6958" s="135" t="n">
        <f aca="false">$G6958*'Analyse capacite'!$D$9</f>
        <v>0</v>
      </c>
      <c r="K6958" s="135" t="n">
        <f aca="false">$G6958*'Analyse capacite'!$E$9</f>
        <v>0</v>
      </c>
    </row>
    <row r="6959" customFormat="false" ht="15" hidden="false" customHeight="false" outlineLevel="0" collapsed="false">
      <c r="B6959" s="130" t="n">
        <v>2027</v>
      </c>
      <c r="C6959" s="131" t="s">
        <v>252</v>
      </c>
      <c r="D6959" s="132" t="n">
        <v>46671</v>
      </c>
      <c r="E6959" s="131" t="s">
        <v>25</v>
      </c>
      <c r="F6959" s="133" t="s">
        <v>11</v>
      </c>
      <c r="G6959" s="134" t="n">
        <f aca="false">LEN('Saisie programme'!$D$253)+SUMIFS('Vols additionnels'!$E$7:$E$66,'Vols additionnels'!$C$7:$C$66,$E6959,'Vols additionnels'!$D$7:$D$66,$F6959,'Vols additionnels'!$B$7:$B$66,$D6959)</f>
        <v>0</v>
      </c>
      <c r="H6959" s="135" t="n">
        <f aca="false">$G6959*'Analyse capacite'!$F$7</f>
        <v>0</v>
      </c>
      <c r="I6959" s="135" t="n">
        <f aca="false">$G6959*'Analyse capacite'!$C$7</f>
        <v>0</v>
      </c>
      <c r="J6959" s="135" t="n">
        <f aca="false">$G6959*'Analyse capacite'!$D$7</f>
        <v>0</v>
      </c>
      <c r="K6959" s="135" t="n">
        <f aca="false">$G6959*'Analyse capacite'!$E$7</f>
        <v>0</v>
      </c>
    </row>
    <row r="6960" customFormat="false" ht="15" hidden="false" customHeight="false" outlineLevel="0" collapsed="false">
      <c r="B6960" s="130" t="n">
        <v>2027</v>
      </c>
      <c r="C6960" s="131" t="s">
        <v>252</v>
      </c>
      <c r="D6960" s="132" t="n">
        <v>46671</v>
      </c>
      <c r="E6960" s="131" t="s">
        <v>25</v>
      </c>
      <c r="F6960" s="133" t="s">
        <v>19</v>
      </c>
      <c r="G6960" s="134" t="n">
        <f aca="false">LEN('Saisie programme'!$D$254)+SUMIFS('Vols additionnels'!$E$7:$E$66,'Vols additionnels'!$C$7:$C$66,$E6960,'Vols additionnels'!$D$7:$D$66,$F6960,'Vols additionnels'!$B$7:$B$66,$D6960)</f>
        <v>0</v>
      </c>
      <c r="H6960" s="135" t="n">
        <f aca="false">$G6960*'Analyse capacite'!$F$8</f>
        <v>0</v>
      </c>
      <c r="I6960" s="135" t="n">
        <f aca="false">$G6960*'Analyse capacite'!$C$8</f>
        <v>0</v>
      </c>
      <c r="J6960" s="135" t="n">
        <f aca="false">$G6960*'Analyse capacite'!$D$8</f>
        <v>0</v>
      </c>
      <c r="K6960" s="135" t="n">
        <f aca="false">$G6960*'Analyse capacite'!$E$8</f>
        <v>0</v>
      </c>
    </row>
    <row r="6961" customFormat="false" ht="15" hidden="false" customHeight="false" outlineLevel="0" collapsed="false">
      <c r="B6961" s="130" t="n">
        <v>2027</v>
      </c>
      <c r="C6961" s="131" t="s">
        <v>252</v>
      </c>
      <c r="D6961" s="132" t="n">
        <v>46671</v>
      </c>
      <c r="E6961" s="131" t="s">
        <v>25</v>
      </c>
      <c r="F6961" s="133" t="s">
        <v>24</v>
      </c>
      <c r="G6961" s="134" t="n">
        <f aca="false">LEN('Saisie programme'!$D$255)+SUMIFS('Vols additionnels'!$E$7:$E$66,'Vols additionnels'!$C$7:$C$66,$E6961,'Vols additionnels'!$D$7:$D$66,$F6961,'Vols additionnels'!$B$7:$B$66,$D6961)</f>
        <v>0</v>
      </c>
      <c r="H6961" s="135" t="n">
        <f aca="false">$G6961*'Analyse capacite'!$F$9</f>
        <v>0</v>
      </c>
      <c r="I6961" s="135" t="n">
        <f aca="false">$G6961*'Analyse capacite'!$C$9</f>
        <v>0</v>
      </c>
      <c r="J6961" s="135" t="n">
        <f aca="false">$G6961*'Analyse capacite'!$D$9</f>
        <v>0</v>
      </c>
      <c r="K6961" s="135" t="n">
        <f aca="false">$G6961*'Analyse capacite'!$E$9</f>
        <v>0</v>
      </c>
    </row>
    <row r="6962" customFormat="false" ht="15" hidden="false" customHeight="false" outlineLevel="0" collapsed="false">
      <c r="B6962" s="130" t="n">
        <v>2027</v>
      </c>
      <c r="C6962" s="131" t="s">
        <v>252</v>
      </c>
      <c r="D6962" s="132" t="n">
        <v>46671</v>
      </c>
      <c r="E6962" s="131" t="s">
        <v>36</v>
      </c>
      <c r="F6962" s="133" t="s">
        <v>11</v>
      </c>
      <c r="G6962" s="134" t="n">
        <f aca="false">LEN('Saisie programme'!$D$256)+SUMIFS('Vols additionnels'!$E$7:$E$66,'Vols additionnels'!$C$7:$C$66,$E6962,'Vols additionnels'!$D$7:$D$66,$F6962,'Vols additionnels'!$B$7:$B$66,$D6962)</f>
        <v>0</v>
      </c>
      <c r="H6962" s="135" t="n">
        <f aca="false">$G6962*'Analyse capacite'!$F$7</f>
        <v>0</v>
      </c>
      <c r="I6962" s="135" t="n">
        <f aca="false">$G6962*'Analyse capacite'!$C$7</f>
        <v>0</v>
      </c>
      <c r="J6962" s="135" t="n">
        <f aca="false">$G6962*'Analyse capacite'!$D$7</f>
        <v>0</v>
      </c>
      <c r="K6962" s="135" t="n">
        <f aca="false">$G6962*'Analyse capacite'!$E$7</f>
        <v>0</v>
      </c>
    </row>
    <row r="6963" customFormat="false" ht="15" hidden="false" customHeight="false" outlineLevel="0" collapsed="false">
      <c r="B6963" s="130" t="n">
        <v>2027</v>
      </c>
      <c r="C6963" s="131" t="s">
        <v>252</v>
      </c>
      <c r="D6963" s="132" t="n">
        <v>46671</v>
      </c>
      <c r="E6963" s="131" t="s">
        <v>36</v>
      </c>
      <c r="F6963" s="133" t="s">
        <v>19</v>
      </c>
      <c r="G6963" s="134" t="n">
        <f aca="false">LEN('Saisie programme'!$D$257)+SUMIFS('Vols additionnels'!$E$7:$E$66,'Vols additionnels'!$C$7:$C$66,$E6963,'Vols additionnels'!$D$7:$D$66,$F6963,'Vols additionnels'!$B$7:$B$66,$D6963)</f>
        <v>0</v>
      </c>
      <c r="H6963" s="135" t="n">
        <f aca="false">$G6963*'Analyse capacite'!$F$8</f>
        <v>0</v>
      </c>
      <c r="I6963" s="135" t="n">
        <f aca="false">$G6963*'Analyse capacite'!$C$8</f>
        <v>0</v>
      </c>
      <c r="J6963" s="135" t="n">
        <f aca="false">$G6963*'Analyse capacite'!$D$8</f>
        <v>0</v>
      </c>
      <c r="K6963" s="135" t="n">
        <f aca="false">$G6963*'Analyse capacite'!$E$8</f>
        <v>0</v>
      </c>
    </row>
    <row r="6964" customFormat="false" ht="15" hidden="false" customHeight="false" outlineLevel="0" collapsed="false">
      <c r="B6964" s="130" t="n">
        <v>2027</v>
      </c>
      <c r="C6964" s="131" t="s">
        <v>252</v>
      </c>
      <c r="D6964" s="132" t="n">
        <v>46671</v>
      </c>
      <c r="E6964" s="131" t="s">
        <v>36</v>
      </c>
      <c r="F6964" s="133" t="s">
        <v>24</v>
      </c>
      <c r="G6964" s="134" t="n">
        <f aca="false">LEN('Saisie programme'!$D$258)+SUMIFS('Vols additionnels'!$E$7:$E$66,'Vols additionnels'!$C$7:$C$66,$E6964,'Vols additionnels'!$D$7:$D$66,$F6964,'Vols additionnels'!$B$7:$B$66,$D6964)</f>
        <v>1</v>
      </c>
      <c r="H6964" s="135" t="n">
        <f aca="false">$G6964*'Analyse capacite'!$F$9</f>
        <v>174</v>
      </c>
      <c r="I6964" s="135" t="n">
        <f aca="false">$G6964*'Analyse capacite'!$C$9</f>
        <v>0</v>
      </c>
      <c r="J6964" s="135" t="n">
        <f aca="false">$G6964*'Analyse capacite'!$D$9</f>
        <v>12</v>
      </c>
      <c r="K6964" s="135" t="n">
        <f aca="false">$G6964*'Analyse capacite'!$E$9</f>
        <v>162</v>
      </c>
    </row>
    <row r="6965" customFormat="false" ht="15" hidden="false" customHeight="false" outlineLevel="0" collapsed="false">
      <c r="B6965" s="130" t="n">
        <v>2027</v>
      </c>
      <c r="C6965" s="131" t="s">
        <v>252</v>
      </c>
      <c r="D6965" s="132" t="n">
        <v>46671</v>
      </c>
      <c r="E6965" s="131" t="s">
        <v>40</v>
      </c>
      <c r="F6965" s="133" t="s">
        <v>11</v>
      </c>
      <c r="G6965" s="134" t="n">
        <f aca="false">LEN('Saisie programme'!$D$259)+SUMIFS('Vols additionnels'!$E$7:$E$66,'Vols additionnels'!$C$7:$C$66,$E6965,'Vols additionnels'!$D$7:$D$66,$F6965,'Vols additionnels'!$B$7:$B$66,$D6965)</f>
        <v>0</v>
      </c>
      <c r="H6965" s="135" t="n">
        <f aca="false">$G6965*'Analyse capacite'!$F$7</f>
        <v>0</v>
      </c>
      <c r="I6965" s="135" t="n">
        <f aca="false">$G6965*'Analyse capacite'!$C$7</f>
        <v>0</v>
      </c>
      <c r="J6965" s="135" t="n">
        <f aca="false">$G6965*'Analyse capacite'!$D$7</f>
        <v>0</v>
      </c>
      <c r="K6965" s="135" t="n">
        <f aca="false">$G6965*'Analyse capacite'!$E$7</f>
        <v>0</v>
      </c>
    </row>
    <row r="6966" customFormat="false" ht="15" hidden="false" customHeight="false" outlineLevel="0" collapsed="false">
      <c r="B6966" s="130" t="n">
        <v>2027</v>
      </c>
      <c r="C6966" s="131" t="s">
        <v>252</v>
      </c>
      <c r="D6966" s="132" t="n">
        <v>46671</v>
      </c>
      <c r="E6966" s="131" t="s">
        <v>40</v>
      </c>
      <c r="F6966" s="133" t="s">
        <v>19</v>
      </c>
      <c r="G6966" s="134" t="n">
        <f aca="false">LEN('Saisie programme'!$D$260)+SUMIFS('Vols additionnels'!$E$7:$E$66,'Vols additionnels'!$C$7:$C$66,$E6966,'Vols additionnels'!$D$7:$D$66,$F6966,'Vols additionnels'!$B$7:$B$66,$D6966)</f>
        <v>0</v>
      </c>
      <c r="H6966" s="135" t="n">
        <f aca="false">$G6966*'Analyse capacite'!$F$8</f>
        <v>0</v>
      </c>
      <c r="I6966" s="135" t="n">
        <f aca="false">$G6966*'Analyse capacite'!$C$8</f>
        <v>0</v>
      </c>
      <c r="J6966" s="135" t="n">
        <f aca="false">$G6966*'Analyse capacite'!$D$8</f>
        <v>0</v>
      </c>
      <c r="K6966" s="135" t="n">
        <f aca="false">$G6966*'Analyse capacite'!$E$8</f>
        <v>0</v>
      </c>
    </row>
    <row r="6967" customFormat="false" ht="15" hidden="false" customHeight="false" outlineLevel="0" collapsed="false">
      <c r="B6967" s="130" t="n">
        <v>2027</v>
      </c>
      <c r="C6967" s="131" t="s">
        <v>252</v>
      </c>
      <c r="D6967" s="132" t="n">
        <v>46671</v>
      </c>
      <c r="E6967" s="131" t="s">
        <v>40</v>
      </c>
      <c r="F6967" s="133" t="s">
        <v>24</v>
      </c>
      <c r="G6967" s="134" t="n">
        <f aca="false">LEN('Saisie programme'!$D$261)+SUMIFS('Vols additionnels'!$E$7:$E$66,'Vols additionnels'!$C$7:$C$66,$E6967,'Vols additionnels'!$D$7:$D$66,$F6967,'Vols additionnels'!$B$7:$B$66,$D6967)</f>
        <v>1</v>
      </c>
      <c r="H6967" s="135" t="n">
        <f aca="false">$G6967*'Analyse capacite'!$F$9</f>
        <v>174</v>
      </c>
      <c r="I6967" s="135" t="n">
        <f aca="false">$G6967*'Analyse capacite'!$C$9</f>
        <v>0</v>
      </c>
      <c r="J6967" s="135" t="n">
        <f aca="false">$G6967*'Analyse capacite'!$D$9</f>
        <v>12</v>
      </c>
      <c r="K6967" s="135" t="n">
        <f aca="false">$G6967*'Analyse capacite'!$E$9</f>
        <v>162</v>
      </c>
    </row>
    <row r="6968" customFormat="false" ht="15" hidden="false" customHeight="false" outlineLevel="0" collapsed="false">
      <c r="B6968" s="130" t="n">
        <v>2027</v>
      </c>
      <c r="C6968" s="131" t="s">
        <v>252</v>
      </c>
      <c r="D6968" s="132" t="n">
        <v>46671</v>
      </c>
      <c r="E6968" s="131" t="s">
        <v>14</v>
      </c>
      <c r="F6968" s="133" t="s">
        <v>11</v>
      </c>
      <c r="G6968" s="134" t="n">
        <f aca="false">LEN('Saisie programme'!$D$262)+SUMIFS('Vols additionnels'!$E$7:$E$66,'Vols additionnels'!$C$7:$C$66,$E6968,'Vols additionnels'!$D$7:$D$66,$F6968,'Vols additionnels'!$B$7:$B$66,$D6968)</f>
        <v>0</v>
      </c>
      <c r="H6968" s="135" t="n">
        <f aca="false">$G6968*'Analyse capacite'!$F$7</f>
        <v>0</v>
      </c>
      <c r="I6968" s="135" t="n">
        <f aca="false">$G6968*'Analyse capacite'!$C$7</f>
        <v>0</v>
      </c>
      <c r="J6968" s="135" t="n">
        <f aca="false">$G6968*'Analyse capacite'!$D$7</f>
        <v>0</v>
      </c>
      <c r="K6968" s="135" t="n">
        <f aca="false">$G6968*'Analyse capacite'!$E$7</f>
        <v>0</v>
      </c>
    </row>
    <row r="6969" customFormat="false" ht="15" hidden="false" customHeight="false" outlineLevel="0" collapsed="false">
      <c r="B6969" s="130" t="n">
        <v>2027</v>
      </c>
      <c r="C6969" s="131" t="s">
        <v>252</v>
      </c>
      <c r="D6969" s="132" t="n">
        <v>46671</v>
      </c>
      <c r="E6969" s="131" t="s">
        <v>14</v>
      </c>
      <c r="F6969" s="133" t="s">
        <v>19</v>
      </c>
      <c r="G6969" s="134" t="n">
        <f aca="false">LEN('Saisie programme'!$D$263)+SUMIFS('Vols additionnels'!$E$7:$E$66,'Vols additionnels'!$C$7:$C$66,$E6969,'Vols additionnels'!$D$7:$D$66,$F6969,'Vols additionnels'!$B$7:$B$66,$D6969)</f>
        <v>0</v>
      </c>
      <c r="H6969" s="135" t="n">
        <f aca="false">$G6969*'Analyse capacite'!$F$8</f>
        <v>0</v>
      </c>
      <c r="I6969" s="135" t="n">
        <f aca="false">$G6969*'Analyse capacite'!$C$8</f>
        <v>0</v>
      </c>
      <c r="J6969" s="135" t="n">
        <f aca="false">$G6969*'Analyse capacite'!$D$8</f>
        <v>0</v>
      </c>
      <c r="K6969" s="135" t="n">
        <f aca="false">$G6969*'Analyse capacite'!$E$8</f>
        <v>0</v>
      </c>
    </row>
    <row r="6970" customFormat="false" ht="15" hidden="false" customHeight="false" outlineLevel="0" collapsed="false">
      <c r="B6970" s="130" t="n">
        <v>2027</v>
      </c>
      <c r="C6970" s="131" t="s">
        <v>252</v>
      </c>
      <c r="D6970" s="132" t="n">
        <v>46671</v>
      </c>
      <c r="E6970" s="131" t="s">
        <v>14</v>
      </c>
      <c r="F6970" s="133" t="s">
        <v>24</v>
      </c>
      <c r="G6970" s="134" t="n">
        <f aca="false">LEN('Saisie programme'!$D$264)+SUMIFS('Vols additionnels'!$E$7:$E$66,'Vols additionnels'!$C$7:$C$66,$E6970,'Vols additionnels'!$D$7:$D$66,$F6970,'Vols additionnels'!$B$7:$B$66,$D6970)</f>
        <v>1</v>
      </c>
      <c r="H6970" s="135" t="n">
        <f aca="false">$G6970*'Analyse capacite'!$F$9</f>
        <v>174</v>
      </c>
      <c r="I6970" s="135" t="n">
        <f aca="false">$G6970*'Analyse capacite'!$C$9</f>
        <v>0</v>
      </c>
      <c r="J6970" s="135" t="n">
        <f aca="false">$G6970*'Analyse capacite'!$D$9</f>
        <v>12</v>
      </c>
      <c r="K6970" s="135" t="n">
        <f aca="false">$G6970*'Analyse capacite'!$E$9</f>
        <v>162</v>
      </c>
    </row>
    <row r="6971" customFormat="false" ht="15" hidden="false" customHeight="false" outlineLevel="0" collapsed="false">
      <c r="B6971" s="130" t="n">
        <v>2027</v>
      </c>
      <c r="C6971" s="131" t="s">
        <v>252</v>
      </c>
      <c r="D6971" s="132" t="n">
        <v>46671</v>
      </c>
      <c r="E6971" s="131" t="s">
        <v>46</v>
      </c>
      <c r="F6971" s="133" t="s">
        <v>11</v>
      </c>
      <c r="G6971" s="134" t="n">
        <f aca="false">LEN('Saisie programme'!$D$265)+SUMIFS('Vols additionnels'!$E$7:$E$66,'Vols additionnels'!$C$7:$C$66,$E6971,'Vols additionnels'!$D$7:$D$66,$F6971,'Vols additionnels'!$B$7:$B$66,$D6971)</f>
        <v>0</v>
      </c>
      <c r="H6971" s="135" t="n">
        <f aca="false">$G6971*'Analyse capacite'!$F$7</f>
        <v>0</v>
      </c>
      <c r="I6971" s="135" t="n">
        <f aca="false">$G6971*'Analyse capacite'!$C$7</f>
        <v>0</v>
      </c>
      <c r="J6971" s="135" t="n">
        <f aca="false">$G6971*'Analyse capacite'!$D$7</f>
        <v>0</v>
      </c>
      <c r="K6971" s="135" t="n">
        <f aca="false">$G6971*'Analyse capacite'!$E$7</f>
        <v>0</v>
      </c>
    </row>
    <row r="6972" customFormat="false" ht="15" hidden="false" customHeight="false" outlineLevel="0" collapsed="false">
      <c r="B6972" s="130" t="n">
        <v>2027</v>
      </c>
      <c r="C6972" s="131" t="s">
        <v>252</v>
      </c>
      <c r="D6972" s="132" t="n">
        <v>46671</v>
      </c>
      <c r="E6972" s="131" t="s">
        <v>46</v>
      </c>
      <c r="F6972" s="133" t="s">
        <v>19</v>
      </c>
      <c r="G6972" s="134" t="n">
        <f aca="false">LEN('Saisie programme'!$D$266)+SUMIFS('Vols additionnels'!$E$7:$E$66,'Vols additionnels'!$C$7:$C$66,$E6972,'Vols additionnels'!$D$7:$D$66,$F6972,'Vols additionnels'!$B$7:$B$66,$D6972)</f>
        <v>0</v>
      </c>
      <c r="H6972" s="135" t="n">
        <f aca="false">$G6972*'Analyse capacite'!$F$8</f>
        <v>0</v>
      </c>
      <c r="I6972" s="135" t="n">
        <f aca="false">$G6972*'Analyse capacite'!$C$8</f>
        <v>0</v>
      </c>
      <c r="J6972" s="135" t="n">
        <f aca="false">$G6972*'Analyse capacite'!$D$8</f>
        <v>0</v>
      </c>
      <c r="K6972" s="135" t="n">
        <f aca="false">$G6972*'Analyse capacite'!$E$8</f>
        <v>0</v>
      </c>
    </row>
    <row r="6973" customFormat="false" ht="15" hidden="false" customHeight="false" outlineLevel="0" collapsed="false">
      <c r="B6973" s="130" t="n">
        <v>2027</v>
      </c>
      <c r="C6973" s="131" t="s">
        <v>252</v>
      </c>
      <c r="D6973" s="132" t="n">
        <v>46671</v>
      </c>
      <c r="E6973" s="131" t="s">
        <v>46</v>
      </c>
      <c r="F6973" s="133" t="s">
        <v>24</v>
      </c>
      <c r="G6973" s="134" t="n">
        <f aca="false">LEN('Saisie programme'!$D$267)+SUMIFS('Vols additionnels'!$E$7:$E$66,'Vols additionnels'!$C$7:$C$66,$E6973,'Vols additionnels'!$D$7:$D$66,$F6973,'Vols additionnels'!$B$7:$B$66,$D6973)</f>
        <v>0</v>
      </c>
      <c r="H6973" s="135" t="n">
        <f aca="false">$G6973*'Analyse capacite'!$F$9</f>
        <v>0</v>
      </c>
      <c r="I6973" s="135" t="n">
        <f aca="false">$G6973*'Analyse capacite'!$C$9</f>
        <v>0</v>
      </c>
      <c r="J6973" s="135" t="n">
        <f aca="false">$G6973*'Analyse capacite'!$D$9</f>
        <v>0</v>
      </c>
      <c r="K6973" s="135" t="n">
        <f aca="false">$G6973*'Analyse capacite'!$E$9</f>
        <v>0</v>
      </c>
    </row>
    <row r="6974" customFormat="false" ht="15" hidden="false" customHeight="false" outlineLevel="0" collapsed="false">
      <c r="B6974" s="130" t="n">
        <v>2027</v>
      </c>
      <c r="C6974" s="131" t="s">
        <v>252</v>
      </c>
      <c r="D6974" s="132" t="n">
        <v>46671</v>
      </c>
      <c r="E6974" s="131" t="s">
        <v>49</v>
      </c>
      <c r="F6974" s="133" t="s">
        <v>11</v>
      </c>
      <c r="G6974" s="134" t="n">
        <f aca="false">LEN('Saisie programme'!$D$268)+SUMIFS('Vols additionnels'!$E$7:$E$66,'Vols additionnels'!$C$7:$C$66,$E6974,'Vols additionnels'!$D$7:$D$66,$F6974,'Vols additionnels'!$B$7:$B$66,$D6974)</f>
        <v>0</v>
      </c>
      <c r="H6974" s="135" t="n">
        <f aca="false">$G6974*'Analyse capacite'!$F$7</f>
        <v>0</v>
      </c>
      <c r="I6974" s="135" t="n">
        <f aca="false">$G6974*'Analyse capacite'!$C$7</f>
        <v>0</v>
      </c>
      <c r="J6974" s="135" t="n">
        <f aca="false">$G6974*'Analyse capacite'!$D$7</f>
        <v>0</v>
      </c>
      <c r="K6974" s="135" t="n">
        <f aca="false">$G6974*'Analyse capacite'!$E$7</f>
        <v>0</v>
      </c>
    </row>
    <row r="6975" customFormat="false" ht="15" hidden="false" customHeight="false" outlineLevel="0" collapsed="false">
      <c r="B6975" s="130" t="n">
        <v>2027</v>
      </c>
      <c r="C6975" s="131" t="s">
        <v>252</v>
      </c>
      <c r="D6975" s="132" t="n">
        <v>46671</v>
      </c>
      <c r="E6975" s="131" t="s">
        <v>49</v>
      </c>
      <c r="F6975" s="133" t="s">
        <v>19</v>
      </c>
      <c r="G6975" s="134" t="n">
        <f aca="false">LEN('Saisie programme'!$D$269)+SUMIFS('Vols additionnels'!$E$7:$E$66,'Vols additionnels'!$C$7:$C$66,$E6975,'Vols additionnels'!$D$7:$D$66,$F6975,'Vols additionnels'!$B$7:$B$66,$D6975)</f>
        <v>1</v>
      </c>
      <c r="H6975" s="135" t="n">
        <f aca="false">$G6975*'Analyse capacite'!$F$8</f>
        <v>262</v>
      </c>
      <c r="I6975" s="135" t="n">
        <f aca="false">$G6975*'Analyse capacite'!$C$8</f>
        <v>18</v>
      </c>
      <c r="J6975" s="135" t="n">
        <f aca="false">$G6975*'Analyse capacite'!$D$8</f>
        <v>0</v>
      </c>
      <c r="K6975" s="135" t="n">
        <f aca="false">$G6975*'Analyse capacite'!$E$8</f>
        <v>244</v>
      </c>
    </row>
    <row r="6976" customFormat="false" ht="15" hidden="false" customHeight="false" outlineLevel="0" collapsed="false">
      <c r="B6976" s="130" t="n">
        <v>2027</v>
      </c>
      <c r="C6976" s="131" t="s">
        <v>252</v>
      </c>
      <c r="D6976" s="132" t="n">
        <v>46671</v>
      </c>
      <c r="E6976" s="131" t="s">
        <v>49</v>
      </c>
      <c r="F6976" s="133" t="s">
        <v>24</v>
      </c>
      <c r="G6976" s="134" t="n">
        <f aca="false">LEN('Saisie programme'!$D$270)+SUMIFS('Vols additionnels'!$E$7:$E$66,'Vols additionnels'!$C$7:$C$66,$E6976,'Vols additionnels'!$D$7:$D$66,$F6976,'Vols additionnels'!$B$7:$B$66,$D6976)</f>
        <v>0</v>
      </c>
      <c r="H6976" s="135" t="n">
        <f aca="false">$G6976*'Analyse capacite'!$F$9</f>
        <v>0</v>
      </c>
      <c r="I6976" s="135" t="n">
        <f aca="false">$G6976*'Analyse capacite'!$C$9</f>
        <v>0</v>
      </c>
      <c r="J6976" s="135" t="n">
        <f aca="false">$G6976*'Analyse capacite'!$D$9</f>
        <v>0</v>
      </c>
      <c r="K6976" s="135" t="n">
        <f aca="false">$G6976*'Analyse capacite'!$E$9</f>
        <v>0</v>
      </c>
    </row>
    <row r="6977" customFormat="false" ht="15" hidden="false" customHeight="false" outlineLevel="0" collapsed="false">
      <c r="B6977" s="130" t="n">
        <v>2027</v>
      </c>
      <c r="C6977" s="131" t="s">
        <v>252</v>
      </c>
      <c r="D6977" s="132" t="n">
        <v>46671</v>
      </c>
      <c r="E6977" s="131" t="s">
        <v>53</v>
      </c>
      <c r="F6977" s="133" t="s">
        <v>11</v>
      </c>
      <c r="G6977" s="134" t="n">
        <f aca="false">LEN('Saisie programme'!$D$271)+SUMIFS('Vols additionnels'!$E$7:$E$66,'Vols additionnels'!$C$7:$C$66,$E6977,'Vols additionnels'!$D$7:$D$66,$F6977,'Vols additionnels'!$B$7:$B$66,$D6977)</f>
        <v>0</v>
      </c>
      <c r="H6977" s="135" t="n">
        <f aca="false">$G6977*'Analyse capacite'!$F$7</f>
        <v>0</v>
      </c>
      <c r="I6977" s="135" t="n">
        <f aca="false">$G6977*'Analyse capacite'!$C$7</f>
        <v>0</v>
      </c>
      <c r="J6977" s="135" t="n">
        <f aca="false">$G6977*'Analyse capacite'!$D$7</f>
        <v>0</v>
      </c>
      <c r="K6977" s="135" t="n">
        <f aca="false">$G6977*'Analyse capacite'!$E$7</f>
        <v>0</v>
      </c>
    </row>
    <row r="6978" customFormat="false" ht="15" hidden="false" customHeight="false" outlineLevel="0" collapsed="false">
      <c r="B6978" s="130" t="n">
        <v>2027</v>
      </c>
      <c r="C6978" s="131" t="s">
        <v>252</v>
      </c>
      <c r="D6978" s="132" t="n">
        <v>46671</v>
      </c>
      <c r="E6978" s="131" t="s">
        <v>53</v>
      </c>
      <c r="F6978" s="133" t="s">
        <v>19</v>
      </c>
      <c r="G6978" s="134" t="n">
        <f aca="false">LEN('Saisie programme'!$D$272)+SUMIFS('Vols additionnels'!$E$7:$E$66,'Vols additionnels'!$C$7:$C$66,$E6978,'Vols additionnels'!$D$7:$D$66,$F6978,'Vols additionnels'!$B$7:$B$66,$D6978)</f>
        <v>0</v>
      </c>
      <c r="H6978" s="135" t="n">
        <f aca="false">$G6978*'Analyse capacite'!$F$8</f>
        <v>0</v>
      </c>
      <c r="I6978" s="135" t="n">
        <f aca="false">$G6978*'Analyse capacite'!$C$8</f>
        <v>0</v>
      </c>
      <c r="J6978" s="135" t="n">
        <f aca="false">$G6978*'Analyse capacite'!$D$8</f>
        <v>0</v>
      </c>
      <c r="K6978" s="135" t="n">
        <f aca="false">$G6978*'Analyse capacite'!$E$8</f>
        <v>0</v>
      </c>
    </row>
    <row r="6979" customFormat="false" ht="15" hidden="false" customHeight="false" outlineLevel="0" collapsed="false">
      <c r="B6979" s="130" t="n">
        <v>2027</v>
      </c>
      <c r="C6979" s="131" t="s">
        <v>252</v>
      </c>
      <c r="D6979" s="132" t="n">
        <v>46671</v>
      </c>
      <c r="E6979" s="131" t="s">
        <v>53</v>
      </c>
      <c r="F6979" s="133" t="s">
        <v>24</v>
      </c>
      <c r="G6979" s="134" t="n">
        <f aca="false">LEN('Saisie programme'!$D$273)+SUMIFS('Vols additionnels'!$E$7:$E$66,'Vols additionnels'!$C$7:$C$66,$E6979,'Vols additionnels'!$D$7:$D$66,$F6979,'Vols additionnels'!$B$7:$B$66,$D6979)</f>
        <v>0</v>
      </c>
      <c r="H6979" s="135" t="n">
        <f aca="false">$G6979*'Analyse capacite'!$F$9</f>
        <v>0</v>
      </c>
      <c r="I6979" s="135" t="n">
        <f aca="false">$G6979*'Analyse capacite'!$C$9</f>
        <v>0</v>
      </c>
      <c r="J6979" s="135" t="n">
        <f aca="false">$G6979*'Analyse capacite'!$D$9</f>
        <v>0</v>
      </c>
      <c r="K6979" s="135" t="n">
        <f aca="false">$G6979*'Analyse capacite'!$E$9</f>
        <v>0</v>
      </c>
    </row>
    <row r="6980" customFormat="false" ht="15" hidden="false" customHeight="false" outlineLevel="0" collapsed="false">
      <c r="B6980" s="130" t="n">
        <v>2027</v>
      </c>
      <c r="C6980" s="131" t="s">
        <v>252</v>
      </c>
      <c r="D6980" s="132" t="n">
        <v>46671</v>
      </c>
      <c r="E6980" s="131" t="s">
        <v>56</v>
      </c>
      <c r="F6980" s="133" t="s">
        <v>11</v>
      </c>
      <c r="G6980" s="134" t="n">
        <f aca="false">LEN('Saisie programme'!$D$274)+SUMIFS('Vols additionnels'!$E$7:$E$66,'Vols additionnels'!$C$7:$C$66,$E6980,'Vols additionnels'!$D$7:$D$66,$F6980,'Vols additionnels'!$B$7:$B$66,$D6980)</f>
        <v>0</v>
      </c>
      <c r="H6980" s="135" t="n">
        <f aca="false">$G6980*'Analyse capacite'!$F$7</f>
        <v>0</v>
      </c>
      <c r="I6980" s="135" t="n">
        <f aca="false">$G6980*'Analyse capacite'!$C$7</f>
        <v>0</v>
      </c>
      <c r="J6980" s="135" t="n">
        <f aca="false">$G6980*'Analyse capacite'!$D$7</f>
        <v>0</v>
      </c>
      <c r="K6980" s="135" t="n">
        <f aca="false">$G6980*'Analyse capacite'!$E$7</f>
        <v>0</v>
      </c>
    </row>
    <row r="6981" customFormat="false" ht="15" hidden="false" customHeight="false" outlineLevel="0" collapsed="false">
      <c r="B6981" s="130" t="n">
        <v>2027</v>
      </c>
      <c r="C6981" s="131" t="s">
        <v>252</v>
      </c>
      <c r="D6981" s="132" t="n">
        <v>46671</v>
      </c>
      <c r="E6981" s="131" t="s">
        <v>56</v>
      </c>
      <c r="F6981" s="133" t="s">
        <v>19</v>
      </c>
      <c r="G6981" s="134" t="n">
        <f aca="false">LEN('Saisie programme'!$D$275)+SUMIFS('Vols additionnels'!$E$7:$E$66,'Vols additionnels'!$C$7:$C$66,$E6981,'Vols additionnels'!$D$7:$D$66,$F6981,'Vols additionnels'!$B$7:$B$66,$D6981)</f>
        <v>0</v>
      </c>
      <c r="H6981" s="135" t="n">
        <f aca="false">$G6981*'Analyse capacite'!$F$8</f>
        <v>0</v>
      </c>
      <c r="I6981" s="135" t="n">
        <f aca="false">$G6981*'Analyse capacite'!$C$8</f>
        <v>0</v>
      </c>
      <c r="J6981" s="135" t="n">
        <f aca="false">$G6981*'Analyse capacite'!$D$8</f>
        <v>0</v>
      </c>
      <c r="K6981" s="135" t="n">
        <f aca="false">$G6981*'Analyse capacite'!$E$8</f>
        <v>0</v>
      </c>
    </row>
    <row r="6982" customFormat="false" ht="15" hidden="false" customHeight="false" outlineLevel="0" collapsed="false">
      <c r="B6982" s="130" t="n">
        <v>2027</v>
      </c>
      <c r="C6982" s="131" t="s">
        <v>252</v>
      </c>
      <c r="D6982" s="132" t="n">
        <v>46671</v>
      </c>
      <c r="E6982" s="131" t="s">
        <v>56</v>
      </c>
      <c r="F6982" s="133" t="s">
        <v>24</v>
      </c>
      <c r="G6982" s="134" t="n">
        <f aca="false">LEN('Saisie programme'!$D$276)+SUMIFS('Vols additionnels'!$E$7:$E$66,'Vols additionnels'!$C$7:$C$66,$E6982,'Vols additionnels'!$D$7:$D$66,$F6982,'Vols additionnels'!$B$7:$B$66,$D6982)</f>
        <v>0</v>
      </c>
      <c r="H6982" s="135" t="n">
        <f aca="false">$G6982*'Analyse capacite'!$F$9</f>
        <v>0</v>
      </c>
      <c r="I6982" s="135" t="n">
        <f aca="false">$G6982*'Analyse capacite'!$C$9</f>
        <v>0</v>
      </c>
      <c r="J6982" s="135" t="n">
        <f aca="false">$G6982*'Analyse capacite'!$D$9</f>
        <v>0</v>
      </c>
      <c r="K6982" s="135" t="n">
        <f aca="false">$G6982*'Analyse capacite'!$E$9</f>
        <v>0</v>
      </c>
    </row>
    <row r="6983" customFormat="false" ht="15" hidden="false" customHeight="false" outlineLevel="0" collapsed="false">
      <c r="B6983" s="130" t="n">
        <v>2027</v>
      </c>
      <c r="C6983" s="131" t="s">
        <v>252</v>
      </c>
      <c r="D6983" s="132" t="n">
        <v>46671</v>
      </c>
      <c r="E6983" s="131" t="s">
        <v>59</v>
      </c>
      <c r="F6983" s="133" t="s">
        <v>11</v>
      </c>
      <c r="G6983" s="134" t="n">
        <f aca="false">LEN('Saisie programme'!$D$277)+SUMIFS('Vols additionnels'!$E$7:$E$66,'Vols additionnels'!$C$7:$C$66,$E6983,'Vols additionnels'!$D$7:$D$66,$F6983,'Vols additionnels'!$B$7:$B$66,$D6983)</f>
        <v>0</v>
      </c>
      <c r="H6983" s="135" t="n">
        <f aca="false">$G6983*'Analyse capacite'!$F$7</f>
        <v>0</v>
      </c>
      <c r="I6983" s="135" t="n">
        <f aca="false">$G6983*'Analyse capacite'!$C$7</f>
        <v>0</v>
      </c>
      <c r="J6983" s="135" t="n">
        <f aca="false">$G6983*'Analyse capacite'!$D$7</f>
        <v>0</v>
      </c>
      <c r="K6983" s="135" t="n">
        <f aca="false">$G6983*'Analyse capacite'!$E$7</f>
        <v>0</v>
      </c>
    </row>
    <row r="6984" customFormat="false" ht="15" hidden="false" customHeight="false" outlineLevel="0" collapsed="false">
      <c r="B6984" s="130" t="n">
        <v>2027</v>
      </c>
      <c r="C6984" s="131" t="s">
        <v>252</v>
      </c>
      <c r="D6984" s="132" t="n">
        <v>46671</v>
      </c>
      <c r="E6984" s="131" t="s">
        <v>59</v>
      </c>
      <c r="F6984" s="133" t="s">
        <v>19</v>
      </c>
      <c r="G6984" s="134" t="n">
        <f aca="false">LEN('Saisie programme'!$D$278)+SUMIFS('Vols additionnels'!$E$7:$E$66,'Vols additionnels'!$C$7:$C$66,$E6984,'Vols additionnels'!$D$7:$D$66,$F6984,'Vols additionnels'!$B$7:$B$66,$D6984)</f>
        <v>0</v>
      </c>
      <c r="H6984" s="135" t="n">
        <f aca="false">$G6984*'Analyse capacite'!$F$8</f>
        <v>0</v>
      </c>
      <c r="I6984" s="135" t="n">
        <f aca="false">$G6984*'Analyse capacite'!$C$8</f>
        <v>0</v>
      </c>
      <c r="J6984" s="135" t="n">
        <f aca="false">$G6984*'Analyse capacite'!$D$8</f>
        <v>0</v>
      </c>
      <c r="K6984" s="135" t="n">
        <f aca="false">$G6984*'Analyse capacite'!$E$8</f>
        <v>0</v>
      </c>
    </row>
    <row r="6985" customFormat="false" ht="15" hidden="false" customHeight="false" outlineLevel="0" collapsed="false">
      <c r="B6985" s="130" t="n">
        <v>2027</v>
      </c>
      <c r="C6985" s="131" t="s">
        <v>252</v>
      </c>
      <c r="D6985" s="132" t="n">
        <v>46671</v>
      </c>
      <c r="E6985" s="131" t="s">
        <v>59</v>
      </c>
      <c r="F6985" s="133" t="s">
        <v>24</v>
      </c>
      <c r="G6985" s="134" t="n">
        <f aca="false">LEN('Saisie programme'!$D$279)+SUMIFS('Vols additionnels'!$E$7:$E$66,'Vols additionnels'!$C$7:$C$66,$E6985,'Vols additionnels'!$D$7:$D$66,$F6985,'Vols additionnels'!$B$7:$B$66,$D6985)</f>
        <v>1</v>
      </c>
      <c r="H6985" s="135" t="n">
        <f aca="false">$G6985*'Analyse capacite'!$F$9</f>
        <v>174</v>
      </c>
      <c r="I6985" s="135" t="n">
        <f aca="false">$G6985*'Analyse capacite'!$C$9</f>
        <v>0</v>
      </c>
      <c r="J6985" s="135" t="n">
        <f aca="false">$G6985*'Analyse capacite'!$D$9</f>
        <v>12</v>
      </c>
      <c r="K6985" s="135" t="n">
        <f aca="false">$G6985*'Analyse capacite'!$E$9</f>
        <v>162</v>
      </c>
    </row>
    <row r="6986" customFormat="false" ht="15" hidden="false" customHeight="false" outlineLevel="0" collapsed="false">
      <c r="B6986" s="130" t="n">
        <v>2027</v>
      </c>
      <c r="C6986" s="131" t="s">
        <v>252</v>
      </c>
      <c r="D6986" s="132" t="n">
        <v>46671</v>
      </c>
      <c r="E6986" s="131" t="s">
        <v>62</v>
      </c>
      <c r="F6986" s="133" t="s">
        <v>11</v>
      </c>
      <c r="G6986" s="134" t="n">
        <f aca="false">LEN('Saisie programme'!$D$280)+SUMIFS('Vols additionnels'!$E$7:$E$66,'Vols additionnels'!$C$7:$C$66,$E6986,'Vols additionnels'!$D$7:$D$66,$F6986,'Vols additionnels'!$B$7:$B$66,$D6986)</f>
        <v>0</v>
      </c>
      <c r="H6986" s="135" t="n">
        <f aca="false">$G6986*'Analyse capacite'!$F$7</f>
        <v>0</v>
      </c>
      <c r="I6986" s="135" t="n">
        <f aca="false">$G6986*'Analyse capacite'!$C$7</f>
        <v>0</v>
      </c>
      <c r="J6986" s="135" t="n">
        <f aca="false">$G6986*'Analyse capacite'!$D$7</f>
        <v>0</v>
      </c>
      <c r="K6986" s="135" t="n">
        <f aca="false">$G6986*'Analyse capacite'!$E$7</f>
        <v>0</v>
      </c>
    </row>
    <row r="6987" customFormat="false" ht="15" hidden="false" customHeight="false" outlineLevel="0" collapsed="false">
      <c r="B6987" s="130" t="n">
        <v>2027</v>
      </c>
      <c r="C6987" s="131" t="s">
        <v>252</v>
      </c>
      <c r="D6987" s="132" t="n">
        <v>46671</v>
      </c>
      <c r="E6987" s="131" t="s">
        <v>62</v>
      </c>
      <c r="F6987" s="133" t="s">
        <v>19</v>
      </c>
      <c r="G6987" s="134" t="n">
        <f aca="false">LEN('Saisie programme'!$D$281)+SUMIFS('Vols additionnels'!$E$7:$E$66,'Vols additionnels'!$C$7:$C$66,$E6987,'Vols additionnels'!$D$7:$D$66,$F6987,'Vols additionnels'!$B$7:$B$66,$D6987)</f>
        <v>0</v>
      </c>
      <c r="H6987" s="135" t="n">
        <f aca="false">$G6987*'Analyse capacite'!$F$8</f>
        <v>0</v>
      </c>
      <c r="I6987" s="135" t="n">
        <f aca="false">$G6987*'Analyse capacite'!$C$8</f>
        <v>0</v>
      </c>
      <c r="J6987" s="135" t="n">
        <f aca="false">$G6987*'Analyse capacite'!$D$8</f>
        <v>0</v>
      </c>
      <c r="K6987" s="135" t="n">
        <f aca="false">$G6987*'Analyse capacite'!$E$8</f>
        <v>0</v>
      </c>
    </row>
    <row r="6988" customFormat="false" ht="15" hidden="false" customHeight="false" outlineLevel="0" collapsed="false">
      <c r="B6988" s="130" t="n">
        <v>2027</v>
      </c>
      <c r="C6988" s="131" t="s">
        <v>252</v>
      </c>
      <c r="D6988" s="132" t="n">
        <v>46671</v>
      </c>
      <c r="E6988" s="131" t="s">
        <v>62</v>
      </c>
      <c r="F6988" s="133" t="s">
        <v>24</v>
      </c>
      <c r="G6988" s="134" t="n">
        <f aca="false">LEN('Saisie programme'!$D$282)+SUMIFS('Vols additionnels'!$E$7:$E$66,'Vols additionnels'!$C$7:$C$66,$E6988,'Vols additionnels'!$D$7:$D$66,$F6988,'Vols additionnels'!$B$7:$B$66,$D6988)</f>
        <v>0</v>
      </c>
      <c r="H6988" s="135" t="n">
        <f aca="false">$G6988*'Analyse capacite'!$F$9</f>
        <v>0</v>
      </c>
      <c r="I6988" s="135" t="n">
        <f aca="false">$G6988*'Analyse capacite'!$C$9</f>
        <v>0</v>
      </c>
      <c r="J6988" s="135" t="n">
        <f aca="false">$G6988*'Analyse capacite'!$D$9</f>
        <v>0</v>
      </c>
      <c r="K6988" s="135" t="n">
        <f aca="false">$G6988*'Analyse capacite'!$E$9</f>
        <v>0</v>
      </c>
    </row>
    <row r="6989" customFormat="false" ht="15" hidden="false" customHeight="false" outlineLevel="0" collapsed="false">
      <c r="B6989" s="130" t="n">
        <v>2027</v>
      </c>
      <c r="C6989" s="131" t="s">
        <v>252</v>
      </c>
      <c r="D6989" s="132" t="n">
        <v>46672</v>
      </c>
      <c r="E6989" s="131" t="s">
        <v>12</v>
      </c>
      <c r="F6989" s="133" t="s">
        <v>11</v>
      </c>
      <c r="G6989" s="134" t="n">
        <f aca="false">LEN('Saisie programme'!$E$247)+SUMIFS('Vols additionnels'!$E$7:$E$66,'Vols additionnels'!$C$7:$C$66,$E6989,'Vols additionnels'!$D$7:$D$66,$F6989,'Vols additionnels'!$B$7:$B$66,$D6989)</f>
        <v>1</v>
      </c>
      <c r="H6989" s="135" t="n">
        <f aca="false">$G6989*'Analyse capacite'!$F$7</f>
        <v>438</v>
      </c>
      <c r="I6989" s="135" t="n">
        <f aca="false">$G6989*'Analyse capacite'!$C$7</f>
        <v>14</v>
      </c>
      <c r="J6989" s="135" t="n">
        <f aca="false">$G6989*'Analyse capacite'!$D$7</f>
        <v>40</v>
      </c>
      <c r="K6989" s="135" t="n">
        <f aca="false">$G6989*'Analyse capacite'!$E$7</f>
        <v>384</v>
      </c>
    </row>
    <row r="6990" customFormat="false" ht="15" hidden="false" customHeight="false" outlineLevel="0" collapsed="false">
      <c r="B6990" s="130" t="n">
        <v>2027</v>
      </c>
      <c r="C6990" s="131" t="s">
        <v>252</v>
      </c>
      <c r="D6990" s="132" t="n">
        <v>46672</v>
      </c>
      <c r="E6990" s="131" t="s">
        <v>12</v>
      </c>
      <c r="F6990" s="133" t="s">
        <v>19</v>
      </c>
      <c r="G6990" s="134" t="n">
        <f aca="false">LEN('Saisie programme'!$E$248)+SUMIFS('Vols additionnels'!$E$7:$E$66,'Vols additionnels'!$C$7:$C$66,$E6990,'Vols additionnels'!$D$7:$D$66,$F6990,'Vols additionnels'!$B$7:$B$66,$D6990)</f>
        <v>0</v>
      </c>
      <c r="H6990" s="135" t="n">
        <f aca="false">$G6990*'Analyse capacite'!$F$8</f>
        <v>0</v>
      </c>
      <c r="I6990" s="135" t="n">
        <f aca="false">$G6990*'Analyse capacite'!$C$8</f>
        <v>0</v>
      </c>
      <c r="J6990" s="135" t="n">
        <f aca="false">$G6990*'Analyse capacite'!$D$8</f>
        <v>0</v>
      </c>
      <c r="K6990" s="135" t="n">
        <f aca="false">$G6990*'Analyse capacite'!$E$8</f>
        <v>0</v>
      </c>
    </row>
    <row r="6991" customFormat="false" ht="15" hidden="false" customHeight="false" outlineLevel="0" collapsed="false">
      <c r="B6991" s="130" t="n">
        <v>2027</v>
      </c>
      <c r="C6991" s="131" t="s">
        <v>252</v>
      </c>
      <c r="D6991" s="132" t="n">
        <v>46672</v>
      </c>
      <c r="E6991" s="131" t="s">
        <v>12</v>
      </c>
      <c r="F6991" s="133" t="s">
        <v>24</v>
      </c>
      <c r="G6991" s="134" t="n">
        <f aca="false">LEN('Saisie programme'!$E$249)+SUMIFS('Vols additionnels'!$E$7:$E$66,'Vols additionnels'!$C$7:$C$66,$E6991,'Vols additionnels'!$D$7:$D$66,$F6991,'Vols additionnels'!$B$7:$B$66,$D6991)</f>
        <v>0</v>
      </c>
      <c r="H6991" s="135" t="n">
        <f aca="false">$G6991*'Analyse capacite'!$F$9</f>
        <v>0</v>
      </c>
      <c r="I6991" s="135" t="n">
        <f aca="false">$G6991*'Analyse capacite'!$C$9</f>
        <v>0</v>
      </c>
      <c r="J6991" s="135" t="n">
        <f aca="false">$G6991*'Analyse capacite'!$D$9</f>
        <v>0</v>
      </c>
      <c r="K6991" s="135" t="n">
        <f aca="false">$G6991*'Analyse capacite'!$E$9</f>
        <v>0</v>
      </c>
    </row>
    <row r="6992" customFormat="false" ht="15" hidden="false" customHeight="false" outlineLevel="0" collapsed="false">
      <c r="B6992" s="130" t="n">
        <v>2027</v>
      </c>
      <c r="C6992" s="131" t="s">
        <v>252</v>
      </c>
      <c r="D6992" s="132" t="n">
        <v>46672</v>
      </c>
      <c r="E6992" s="131" t="s">
        <v>20</v>
      </c>
      <c r="F6992" s="133" t="s">
        <v>11</v>
      </c>
      <c r="G6992" s="134" t="n">
        <f aca="false">LEN('Saisie programme'!$E$250)+SUMIFS('Vols additionnels'!$E$7:$E$66,'Vols additionnels'!$C$7:$C$66,$E6992,'Vols additionnels'!$D$7:$D$66,$F6992,'Vols additionnels'!$B$7:$B$66,$D6992)</f>
        <v>0</v>
      </c>
      <c r="H6992" s="135" t="n">
        <f aca="false">$G6992*'Analyse capacite'!$F$7</f>
        <v>0</v>
      </c>
      <c r="I6992" s="135" t="n">
        <f aca="false">$G6992*'Analyse capacite'!$C$7</f>
        <v>0</v>
      </c>
      <c r="J6992" s="135" t="n">
        <f aca="false">$G6992*'Analyse capacite'!$D$7</f>
        <v>0</v>
      </c>
      <c r="K6992" s="135" t="n">
        <f aca="false">$G6992*'Analyse capacite'!$E$7</f>
        <v>0</v>
      </c>
    </row>
    <row r="6993" customFormat="false" ht="15" hidden="false" customHeight="false" outlineLevel="0" collapsed="false">
      <c r="B6993" s="130" t="n">
        <v>2027</v>
      </c>
      <c r="C6993" s="131" t="s">
        <v>252</v>
      </c>
      <c r="D6993" s="132" t="n">
        <v>46672</v>
      </c>
      <c r="E6993" s="131" t="s">
        <v>20</v>
      </c>
      <c r="F6993" s="133" t="s">
        <v>19</v>
      </c>
      <c r="G6993" s="134" t="n">
        <f aca="false">LEN('Saisie programme'!$E$251)+SUMIFS('Vols additionnels'!$E$7:$E$66,'Vols additionnels'!$C$7:$C$66,$E6993,'Vols additionnels'!$D$7:$D$66,$F6993,'Vols additionnels'!$B$7:$B$66,$D6993)</f>
        <v>1</v>
      </c>
      <c r="H6993" s="135" t="n">
        <f aca="false">$G6993*'Analyse capacite'!$F$8</f>
        <v>262</v>
      </c>
      <c r="I6993" s="135" t="n">
        <f aca="false">$G6993*'Analyse capacite'!$C$8</f>
        <v>18</v>
      </c>
      <c r="J6993" s="135" t="n">
        <f aca="false">$G6993*'Analyse capacite'!$D$8</f>
        <v>0</v>
      </c>
      <c r="K6993" s="135" t="n">
        <f aca="false">$G6993*'Analyse capacite'!$E$8</f>
        <v>244</v>
      </c>
    </row>
    <row r="6994" customFormat="false" ht="15" hidden="false" customHeight="false" outlineLevel="0" collapsed="false">
      <c r="B6994" s="130" t="n">
        <v>2027</v>
      </c>
      <c r="C6994" s="131" t="s">
        <v>252</v>
      </c>
      <c r="D6994" s="132" t="n">
        <v>46672</v>
      </c>
      <c r="E6994" s="131" t="s">
        <v>20</v>
      </c>
      <c r="F6994" s="133" t="s">
        <v>24</v>
      </c>
      <c r="G6994" s="134" t="n">
        <f aca="false">LEN('Saisie programme'!$E$252)+SUMIFS('Vols additionnels'!$E$7:$E$66,'Vols additionnels'!$C$7:$C$66,$E6994,'Vols additionnels'!$D$7:$D$66,$F6994,'Vols additionnels'!$B$7:$B$66,$D6994)</f>
        <v>0</v>
      </c>
      <c r="H6994" s="135" t="n">
        <f aca="false">$G6994*'Analyse capacite'!$F$9</f>
        <v>0</v>
      </c>
      <c r="I6994" s="135" t="n">
        <f aca="false">$G6994*'Analyse capacite'!$C$9</f>
        <v>0</v>
      </c>
      <c r="J6994" s="135" t="n">
        <f aca="false">$G6994*'Analyse capacite'!$D$9</f>
        <v>0</v>
      </c>
      <c r="K6994" s="135" t="n">
        <f aca="false">$G6994*'Analyse capacite'!$E$9</f>
        <v>0</v>
      </c>
    </row>
    <row r="6995" customFormat="false" ht="15" hidden="false" customHeight="false" outlineLevel="0" collapsed="false">
      <c r="B6995" s="130" t="n">
        <v>2027</v>
      </c>
      <c r="C6995" s="131" t="s">
        <v>252</v>
      </c>
      <c r="D6995" s="132" t="n">
        <v>46672</v>
      </c>
      <c r="E6995" s="131" t="s">
        <v>25</v>
      </c>
      <c r="F6995" s="133" t="s">
        <v>11</v>
      </c>
      <c r="G6995" s="134" t="n">
        <f aca="false">LEN('Saisie programme'!$E$253)+SUMIFS('Vols additionnels'!$E$7:$E$66,'Vols additionnels'!$C$7:$C$66,$E6995,'Vols additionnels'!$D$7:$D$66,$F6995,'Vols additionnels'!$B$7:$B$66,$D6995)</f>
        <v>0</v>
      </c>
      <c r="H6995" s="135" t="n">
        <f aca="false">$G6995*'Analyse capacite'!$F$7</f>
        <v>0</v>
      </c>
      <c r="I6995" s="135" t="n">
        <f aca="false">$G6995*'Analyse capacite'!$C$7</f>
        <v>0</v>
      </c>
      <c r="J6995" s="135" t="n">
        <f aca="false">$G6995*'Analyse capacite'!$D$7</f>
        <v>0</v>
      </c>
      <c r="K6995" s="135" t="n">
        <f aca="false">$G6995*'Analyse capacite'!$E$7</f>
        <v>0</v>
      </c>
    </row>
    <row r="6996" customFormat="false" ht="15" hidden="false" customHeight="false" outlineLevel="0" collapsed="false">
      <c r="B6996" s="130" t="n">
        <v>2027</v>
      </c>
      <c r="C6996" s="131" t="s">
        <v>252</v>
      </c>
      <c r="D6996" s="132" t="n">
        <v>46672</v>
      </c>
      <c r="E6996" s="131" t="s">
        <v>25</v>
      </c>
      <c r="F6996" s="133" t="s">
        <v>19</v>
      </c>
      <c r="G6996" s="134" t="n">
        <f aca="false">LEN('Saisie programme'!$E$254)+SUMIFS('Vols additionnels'!$E$7:$E$66,'Vols additionnels'!$C$7:$C$66,$E6996,'Vols additionnels'!$D$7:$D$66,$F6996,'Vols additionnels'!$B$7:$B$66,$D6996)</f>
        <v>0</v>
      </c>
      <c r="H6996" s="135" t="n">
        <f aca="false">$G6996*'Analyse capacite'!$F$8</f>
        <v>0</v>
      </c>
      <c r="I6996" s="135" t="n">
        <f aca="false">$G6996*'Analyse capacite'!$C$8</f>
        <v>0</v>
      </c>
      <c r="J6996" s="135" t="n">
        <f aca="false">$G6996*'Analyse capacite'!$D$8</f>
        <v>0</v>
      </c>
      <c r="K6996" s="135" t="n">
        <f aca="false">$G6996*'Analyse capacite'!$E$8</f>
        <v>0</v>
      </c>
    </row>
    <row r="6997" customFormat="false" ht="15" hidden="false" customHeight="false" outlineLevel="0" collapsed="false">
      <c r="B6997" s="130" t="n">
        <v>2027</v>
      </c>
      <c r="C6997" s="131" t="s">
        <v>252</v>
      </c>
      <c r="D6997" s="132" t="n">
        <v>46672</v>
      </c>
      <c r="E6997" s="131" t="s">
        <v>25</v>
      </c>
      <c r="F6997" s="133" t="s">
        <v>24</v>
      </c>
      <c r="G6997" s="134" t="n">
        <f aca="false">LEN('Saisie programme'!$E$255)+SUMIFS('Vols additionnels'!$E$7:$E$66,'Vols additionnels'!$C$7:$C$66,$E6997,'Vols additionnels'!$D$7:$D$66,$F6997,'Vols additionnels'!$B$7:$B$66,$D6997)</f>
        <v>0</v>
      </c>
      <c r="H6997" s="135" t="n">
        <f aca="false">$G6997*'Analyse capacite'!$F$9</f>
        <v>0</v>
      </c>
      <c r="I6997" s="135" t="n">
        <f aca="false">$G6997*'Analyse capacite'!$C$9</f>
        <v>0</v>
      </c>
      <c r="J6997" s="135" t="n">
        <f aca="false">$G6997*'Analyse capacite'!$D$9</f>
        <v>0</v>
      </c>
      <c r="K6997" s="135" t="n">
        <f aca="false">$G6997*'Analyse capacite'!$E$9</f>
        <v>0</v>
      </c>
    </row>
    <row r="6998" customFormat="false" ht="15" hidden="false" customHeight="false" outlineLevel="0" collapsed="false">
      <c r="B6998" s="130" t="n">
        <v>2027</v>
      </c>
      <c r="C6998" s="131" t="s">
        <v>252</v>
      </c>
      <c r="D6998" s="132" t="n">
        <v>46672</v>
      </c>
      <c r="E6998" s="131" t="s">
        <v>36</v>
      </c>
      <c r="F6998" s="133" t="s">
        <v>11</v>
      </c>
      <c r="G6998" s="134" t="n">
        <f aca="false">LEN('Saisie programme'!$E$256)+SUMIFS('Vols additionnels'!$E$7:$E$66,'Vols additionnels'!$C$7:$C$66,$E6998,'Vols additionnels'!$D$7:$D$66,$F6998,'Vols additionnels'!$B$7:$B$66,$D6998)</f>
        <v>0</v>
      </c>
      <c r="H6998" s="135" t="n">
        <f aca="false">$G6998*'Analyse capacite'!$F$7</f>
        <v>0</v>
      </c>
      <c r="I6998" s="135" t="n">
        <f aca="false">$G6998*'Analyse capacite'!$C$7</f>
        <v>0</v>
      </c>
      <c r="J6998" s="135" t="n">
        <f aca="false">$G6998*'Analyse capacite'!$D$7</f>
        <v>0</v>
      </c>
      <c r="K6998" s="135" t="n">
        <f aca="false">$G6998*'Analyse capacite'!$E$7</f>
        <v>0</v>
      </c>
    </row>
    <row r="6999" customFormat="false" ht="15" hidden="false" customHeight="false" outlineLevel="0" collapsed="false">
      <c r="B6999" s="130" t="n">
        <v>2027</v>
      </c>
      <c r="C6999" s="131" t="s">
        <v>252</v>
      </c>
      <c r="D6999" s="132" t="n">
        <v>46672</v>
      </c>
      <c r="E6999" s="131" t="s">
        <v>36</v>
      </c>
      <c r="F6999" s="133" t="s">
        <v>19</v>
      </c>
      <c r="G6999" s="134" t="n">
        <f aca="false">LEN('Saisie programme'!$E$257)+SUMIFS('Vols additionnels'!$E$7:$E$66,'Vols additionnels'!$C$7:$C$66,$E6999,'Vols additionnels'!$D$7:$D$66,$F6999,'Vols additionnels'!$B$7:$B$66,$D6999)</f>
        <v>0</v>
      </c>
      <c r="H6999" s="135" t="n">
        <f aca="false">$G6999*'Analyse capacite'!$F$8</f>
        <v>0</v>
      </c>
      <c r="I6999" s="135" t="n">
        <f aca="false">$G6999*'Analyse capacite'!$C$8</f>
        <v>0</v>
      </c>
      <c r="J6999" s="135" t="n">
        <f aca="false">$G6999*'Analyse capacite'!$D$8</f>
        <v>0</v>
      </c>
      <c r="K6999" s="135" t="n">
        <f aca="false">$G6999*'Analyse capacite'!$E$8</f>
        <v>0</v>
      </c>
    </row>
    <row r="7000" customFormat="false" ht="15" hidden="false" customHeight="false" outlineLevel="0" collapsed="false">
      <c r="B7000" s="130" t="n">
        <v>2027</v>
      </c>
      <c r="C7000" s="131" t="s">
        <v>252</v>
      </c>
      <c r="D7000" s="132" t="n">
        <v>46672</v>
      </c>
      <c r="E7000" s="131" t="s">
        <v>36</v>
      </c>
      <c r="F7000" s="133" t="s">
        <v>24</v>
      </c>
      <c r="G7000" s="134" t="n">
        <f aca="false">LEN('Saisie programme'!$E$258)+SUMIFS('Vols additionnels'!$E$7:$E$66,'Vols additionnels'!$C$7:$C$66,$E7000,'Vols additionnels'!$D$7:$D$66,$F7000,'Vols additionnels'!$B$7:$B$66,$D7000)</f>
        <v>1</v>
      </c>
      <c r="H7000" s="135" t="n">
        <f aca="false">$G7000*'Analyse capacite'!$F$9</f>
        <v>174</v>
      </c>
      <c r="I7000" s="135" t="n">
        <f aca="false">$G7000*'Analyse capacite'!$C$9</f>
        <v>0</v>
      </c>
      <c r="J7000" s="135" t="n">
        <f aca="false">$G7000*'Analyse capacite'!$D$9</f>
        <v>12</v>
      </c>
      <c r="K7000" s="135" t="n">
        <f aca="false">$G7000*'Analyse capacite'!$E$9</f>
        <v>162</v>
      </c>
    </row>
    <row r="7001" customFormat="false" ht="15" hidden="false" customHeight="false" outlineLevel="0" collapsed="false">
      <c r="B7001" s="130" t="n">
        <v>2027</v>
      </c>
      <c r="C7001" s="131" t="s">
        <v>252</v>
      </c>
      <c r="D7001" s="132" t="n">
        <v>46672</v>
      </c>
      <c r="E7001" s="131" t="s">
        <v>40</v>
      </c>
      <c r="F7001" s="133" t="s">
        <v>11</v>
      </c>
      <c r="G7001" s="134" t="n">
        <f aca="false">LEN('Saisie programme'!$E$259)+SUMIFS('Vols additionnels'!$E$7:$E$66,'Vols additionnels'!$C$7:$C$66,$E7001,'Vols additionnels'!$D$7:$D$66,$F7001,'Vols additionnels'!$B$7:$B$66,$D7001)</f>
        <v>0</v>
      </c>
      <c r="H7001" s="135" t="n">
        <f aca="false">$G7001*'Analyse capacite'!$F$7</f>
        <v>0</v>
      </c>
      <c r="I7001" s="135" t="n">
        <f aca="false">$G7001*'Analyse capacite'!$C$7</f>
        <v>0</v>
      </c>
      <c r="J7001" s="135" t="n">
        <f aca="false">$G7001*'Analyse capacite'!$D$7</f>
        <v>0</v>
      </c>
      <c r="K7001" s="135" t="n">
        <f aca="false">$G7001*'Analyse capacite'!$E$7</f>
        <v>0</v>
      </c>
    </row>
    <row r="7002" customFormat="false" ht="15" hidden="false" customHeight="false" outlineLevel="0" collapsed="false">
      <c r="B7002" s="130" t="n">
        <v>2027</v>
      </c>
      <c r="C7002" s="131" t="s">
        <v>252</v>
      </c>
      <c r="D7002" s="132" t="n">
        <v>46672</v>
      </c>
      <c r="E7002" s="131" t="s">
        <v>40</v>
      </c>
      <c r="F7002" s="133" t="s">
        <v>19</v>
      </c>
      <c r="G7002" s="134" t="n">
        <f aca="false">LEN('Saisie programme'!$E$260)+SUMIFS('Vols additionnels'!$E$7:$E$66,'Vols additionnels'!$C$7:$C$66,$E7002,'Vols additionnels'!$D$7:$D$66,$F7002,'Vols additionnels'!$B$7:$B$66,$D7002)</f>
        <v>0</v>
      </c>
      <c r="H7002" s="135" t="n">
        <f aca="false">$G7002*'Analyse capacite'!$F$8</f>
        <v>0</v>
      </c>
      <c r="I7002" s="135" t="n">
        <f aca="false">$G7002*'Analyse capacite'!$C$8</f>
        <v>0</v>
      </c>
      <c r="J7002" s="135" t="n">
        <f aca="false">$G7002*'Analyse capacite'!$D$8</f>
        <v>0</v>
      </c>
      <c r="K7002" s="135" t="n">
        <f aca="false">$G7002*'Analyse capacite'!$E$8</f>
        <v>0</v>
      </c>
    </row>
    <row r="7003" customFormat="false" ht="15" hidden="false" customHeight="false" outlineLevel="0" collapsed="false">
      <c r="B7003" s="130" t="n">
        <v>2027</v>
      </c>
      <c r="C7003" s="131" t="s">
        <v>252</v>
      </c>
      <c r="D7003" s="132" t="n">
        <v>46672</v>
      </c>
      <c r="E7003" s="131" t="s">
        <v>40</v>
      </c>
      <c r="F7003" s="133" t="s">
        <v>24</v>
      </c>
      <c r="G7003" s="134" t="n">
        <f aca="false">LEN('Saisie programme'!$E$261)+SUMIFS('Vols additionnels'!$E$7:$E$66,'Vols additionnels'!$C$7:$C$66,$E7003,'Vols additionnels'!$D$7:$D$66,$F7003,'Vols additionnels'!$B$7:$B$66,$D7003)</f>
        <v>0</v>
      </c>
      <c r="H7003" s="135" t="n">
        <f aca="false">$G7003*'Analyse capacite'!$F$9</f>
        <v>0</v>
      </c>
      <c r="I7003" s="135" t="n">
        <f aca="false">$G7003*'Analyse capacite'!$C$9</f>
        <v>0</v>
      </c>
      <c r="J7003" s="135" t="n">
        <f aca="false">$G7003*'Analyse capacite'!$D$9</f>
        <v>0</v>
      </c>
      <c r="K7003" s="135" t="n">
        <f aca="false">$G7003*'Analyse capacite'!$E$9</f>
        <v>0</v>
      </c>
    </row>
    <row r="7004" customFormat="false" ht="15" hidden="false" customHeight="false" outlineLevel="0" collapsed="false">
      <c r="B7004" s="130" t="n">
        <v>2027</v>
      </c>
      <c r="C7004" s="131" t="s">
        <v>252</v>
      </c>
      <c r="D7004" s="132" t="n">
        <v>46672</v>
      </c>
      <c r="E7004" s="131" t="s">
        <v>14</v>
      </c>
      <c r="F7004" s="133" t="s">
        <v>11</v>
      </c>
      <c r="G7004" s="134" t="n">
        <f aca="false">LEN('Saisie programme'!$E$262)+SUMIFS('Vols additionnels'!$E$7:$E$66,'Vols additionnels'!$C$7:$C$66,$E7004,'Vols additionnels'!$D$7:$D$66,$F7004,'Vols additionnels'!$B$7:$B$66,$D7004)</f>
        <v>0</v>
      </c>
      <c r="H7004" s="135" t="n">
        <f aca="false">$G7004*'Analyse capacite'!$F$7</f>
        <v>0</v>
      </c>
      <c r="I7004" s="135" t="n">
        <f aca="false">$G7004*'Analyse capacite'!$C$7</f>
        <v>0</v>
      </c>
      <c r="J7004" s="135" t="n">
        <f aca="false">$G7004*'Analyse capacite'!$D$7</f>
        <v>0</v>
      </c>
      <c r="K7004" s="135" t="n">
        <f aca="false">$G7004*'Analyse capacite'!$E$7</f>
        <v>0</v>
      </c>
    </row>
    <row r="7005" customFormat="false" ht="15" hidden="false" customHeight="false" outlineLevel="0" collapsed="false">
      <c r="B7005" s="130" t="n">
        <v>2027</v>
      </c>
      <c r="C7005" s="131" t="s">
        <v>252</v>
      </c>
      <c r="D7005" s="132" t="n">
        <v>46672</v>
      </c>
      <c r="E7005" s="131" t="s">
        <v>14</v>
      </c>
      <c r="F7005" s="133" t="s">
        <v>19</v>
      </c>
      <c r="G7005" s="134" t="n">
        <f aca="false">LEN('Saisie programme'!$E$263)+SUMIFS('Vols additionnels'!$E$7:$E$66,'Vols additionnels'!$C$7:$C$66,$E7005,'Vols additionnels'!$D$7:$D$66,$F7005,'Vols additionnels'!$B$7:$B$66,$D7005)</f>
        <v>0</v>
      </c>
      <c r="H7005" s="135" t="n">
        <f aca="false">$G7005*'Analyse capacite'!$F$8</f>
        <v>0</v>
      </c>
      <c r="I7005" s="135" t="n">
        <f aca="false">$G7005*'Analyse capacite'!$C$8</f>
        <v>0</v>
      </c>
      <c r="J7005" s="135" t="n">
        <f aca="false">$G7005*'Analyse capacite'!$D$8</f>
        <v>0</v>
      </c>
      <c r="K7005" s="135" t="n">
        <f aca="false">$G7005*'Analyse capacite'!$E$8</f>
        <v>0</v>
      </c>
    </row>
    <row r="7006" customFormat="false" ht="15" hidden="false" customHeight="false" outlineLevel="0" collapsed="false">
      <c r="B7006" s="130" t="n">
        <v>2027</v>
      </c>
      <c r="C7006" s="131" t="s">
        <v>252</v>
      </c>
      <c r="D7006" s="132" t="n">
        <v>46672</v>
      </c>
      <c r="E7006" s="131" t="s">
        <v>14</v>
      </c>
      <c r="F7006" s="133" t="s">
        <v>24</v>
      </c>
      <c r="G7006" s="134" t="n">
        <f aca="false">LEN('Saisie programme'!$E$264)+SUMIFS('Vols additionnels'!$E$7:$E$66,'Vols additionnels'!$C$7:$C$66,$E7006,'Vols additionnels'!$D$7:$D$66,$F7006,'Vols additionnels'!$B$7:$B$66,$D7006)</f>
        <v>0</v>
      </c>
      <c r="H7006" s="135" t="n">
        <f aca="false">$G7006*'Analyse capacite'!$F$9</f>
        <v>0</v>
      </c>
      <c r="I7006" s="135" t="n">
        <f aca="false">$G7006*'Analyse capacite'!$C$9</f>
        <v>0</v>
      </c>
      <c r="J7006" s="135" t="n">
        <f aca="false">$G7006*'Analyse capacite'!$D$9</f>
        <v>0</v>
      </c>
      <c r="K7006" s="135" t="n">
        <f aca="false">$G7006*'Analyse capacite'!$E$9</f>
        <v>0</v>
      </c>
    </row>
    <row r="7007" customFormat="false" ht="15" hidden="false" customHeight="false" outlineLevel="0" collapsed="false">
      <c r="B7007" s="130" t="n">
        <v>2027</v>
      </c>
      <c r="C7007" s="131" t="s">
        <v>252</v>
      </c>
      <c r="D7007" s="132" t="n">
        <v>46672</v>
      </c>
      <c r="E7007" s="131" t="s">
        <v>46</v>
      </c>
      <c r="F7007" s="133" t="s">
        <v>11</v>
      </c>
      <c r="G7007" s="134" t="n">
        <f aca="false">LEN('Saisie programme'!$E$265)+SUMIFS('Vols additionnels'!$E$7:$E$66,'Vols additionnels'!$C$7:$C$66,$E7007,'Vols additionnels'!$D$7:$D$66,$F7007,'Vols additionnels'!$B$7:$B$66,$D7007)</f>
        <v>0</v>
      </c>
      <c r="H7007" s="135" t="n">
        <f aca="false">$G7007*'Analyse capacite'!$F$7</f>
        <v>0</v>
      </c>
      <c r="I7007" s="135" t="n">
        <f aca="false">$G7007*'Analyse capacite'!$C$7</f>
        <v>0</v>
      </c>
      <c r="J7007" s="135" t="n">
        <f aca="false">$G7007*'Analyse capacite'!$D$7</f>
        <v>0</v>
      </c>
      <c r="K7007" s="135" t="n">
        <f aca="false">$G7007*'Analyse capacite'!$E$7</f>
        <v>0</v>
      </c>
    </row>
    <row r="7008" customFormat="false" ht="15" hidden="false" customHeight="false" outlineLevel="0" collapsed="false">
      <c r="B7008" s="130" t="n">
        <v>2027</v>
      </c>
      <c r="C7008" s="131" t="s">
        <v>252</v>
      </c>
      <c r="D7008" s="132" t="n">
        <v>46672</v>
      </c>
      <c r="E7008" s="131" t="s">
        <v>46</v>
      </c>
      <c r="F7008" s="133" t="s">
        <v>19</v>
      </c>
      <c r="G7008" s="134" t="n">
        <f aca="false">LEN('Saisie programme'!$E$266)+SUMIFS('Vols additionnels'!$E$7:$E$66,'Vols additionnels'!$C$7:$C$66,$E7008,'Vols additionnels'!$D$7:$D$66,$F7008,'Vols additionnels'!$B$7:$B$66,$D7008)</f>
        <v>0</v>
      </c>
      <c r="H7008" s="135" t="n">
        <f aca="false">$G7008*'Analyse capacite'!$F$8</f>
        <v>0</v>
      </c>
      <c r="I7008" s="135" t="n">
        <f aca="false">$G7008*'Analyse capacite'!$C$8</f>
        <v>0</v>
      </c>
      <c r="J7008" s="135" t="n">
        <f aca="false">$G7008*'Analyse capacite'!$D$8</f>
        <v>0</v>
      </c>
      <c r="K7008" s="135" t="n">
        <f aca="false">$G7008*'Analyse capacite'!$E$8</f>
        <v>0</v>
      </c>
    </row>
    <row r="7009" customFormat="false" ht="15" hidden="false" customHeight="false" outlineLevel="0" collapsed="false">
      <c r="B7009" s="130" t="n">
        <v>2027</v>
      </c>
      <c r="C7009" s="131" t="s">
        <v>252</v>
      </c>
      <c r="D7009" s="132" t="n">
        <v>46672</v>
      </c>
      <c r="E7009" s="131" t="s">
        <v>46</v>
      </c>
      <c r="F7009" s="133" t="s">
        <v>24</v>
      </c>
      <c r="G7009" s="134" t="n">
        <f aca="false">LEN('Saisie programme'!$E$267)+SUMIFS('Vols additionnels'!$E$7:$E$66,'Vols additionnels'!$C$7:$C$66,$E7009,'Vols additionnels'!$D$7:$D$66,$F7009,'Vols additionnels'!$B$7:$B$66,$D7009)</f>
        <v>1</v>
      </c>
      <c r="H7009" s="135" t="n">
        <f aca="false">$G7009*'Analyse capacite'!$F$9</f>
        <v>174</v>
      </c>
      <c r="I7009" s="135" t="n">
        <f aca="false">$G7009*'Analyse capacite'!$C$9</f>
        <v>0</v>
      </c>
      <c r="J7009" s="135" t="n">
        <f aca="false">$G7009*'Analyse capacite'!$D$9</f>
        <v>12</v>
      </c>
      <c r="K7009" s="135" t="n">
        <f aca="false">$G7009*'Analyse capacite'!$E$9</f>
        <v>162</v>
      </c>
    </row>
    <row r="7010" customFormat="false" ht="15" hidden="false" customHeight="false" outlineLevel="0" collapsed="false">
      <c r="B7010" s="130" t="n">
        <v>2027</v>
      </c>
      <c r="C7010" s="131" t="s">
        <v>252</v>
      </c>
      <c r="D7010" s="132" t="n">
        <v>46672</v>
      </c>
      <c r="E7010" s="131" t="s">
        <v>49</v>
      </c>
      <c r="F7010" s="133" t="s">
        <v>11</v>
      </c>
      <c r="G7010" s="134" t="n">
        <f aca="false">LEN('Saisie programme'!$E$268)+SUMIFS('Vols additionnels'!$E$7:$E$66,'Vols additionnels'!$C$7:$C$66,$E7010,'Vols additionnels'!$D$7:$D$66,$F7010,'Vols additionnels'!$B$7:$B$66,$D7010)</f>
        <v>0</v>
      </c>
      <c r="H7010" s="135" t="n">
        <f aca="false">$G7010*'Analyse capacite'!$F$7</f>
        <v>0</v>
      </c>
      <c r="I7010" s="135" t="n">
        <f aca="false">$G7010*'Analyse capacite'!$C$7</f>
        <v>0</v>
      </c>
      <c r="J7010" s="135" t="n">
        <f aca="false">$G7010*'Analyse capacite'!$D$7</f>
        <v>0</v>
      </c>
      <c r="K7010" s="135" t="n">
        <f aca="false">$G7010*'Analyse capacite'!$E$7</f>
        <v>0</v>
      </c>
    </row>
    <row r="7011" customFormat="false" ht="15" hidden="false" customHeight="false" outlineLevel="0" collapsed="false">
      <c r="B7011" s="130" t="n">
        <v>2027</v>
      </c>
      <c r="C7011" s="131" t="s">
        <v>252</v>
      </c>
      <c r="D7011" s="132" t="n">
        <v>46672</v>
      </c>
      <c r="E7011" s="131" t="s">
        <v>49</v>
      </c>
      <c r="F7011" s="133" t="s">
        <v>19</v>
      </c>
      <c r="G7011" s="134" t="n">
        <f aca="false">LEN('Saisie programme'!$E$269)+SUMIFS('Vols additionnels'!$E$7:$E$66,'Vols additionnels'!$C$7:$C$66,$E7011,'Vols additionnels'!$D$7:$D$66,$F7011,'Vols additionnels'!$B$7:$B$66,$D7011)</f>
        <v>0</v>
      </c>
      <c r="H7011" s="135" t="n">
        <f aca="false">$G7011*'Analyse capacite'!$F$8</f>
        <v>0</v>
      </c>
      <c r="I7011" s="135" t="n">
        <f aca="false">$G7011*'Analyse capacite'!$C$8</f>
        <v>0</v>
      </c>
      <c r="J7011" s="135" t="n">
        <f aca="false">$G7011*'Analyse capacite'!$D$8</f>
        <v>0</v>
      </c>
      <c r="K7011" s="135" t="n">
        <f aca="false">$G7011*'Analyse capacite'!$E$8</f>
        <v>0</v>
      </c>
    </row>
    <row r="7012" customFormat="false" ht="15" hidden="false" customHeight="false" outlineLevel="0" collapsed="false">
      <c r="B7012" s="130" t="n">
        <v>2027</v>
      </c>
      <c r="C7012" s="131" t="s">
        <v>252</v>
      </c>
      <c r="D7012" s="132" t="n">
        <v>46672</v>
      </c>
      <c r="E7012" s="131" t="s">
        <v>49</v>
      </c>
      <c r="F7012" s="133" t="s">
        <v>24</v>
      </c>
      <c r="G7012" s="134" t="n">
        <f aca="false">LEN('Saisie programme'!$E$270)+SUMIFS('Vols additionnels'!$E$7:$E$66,'Vols additionnels'!$C$7:$C$66,$E7012,'Vols additionnels'!$D$7:$D$66,$F7012,'Vols additionnels'!$B$7:$B$66,$D7012)</f>
        <v>0</v>
      </c>
      <c r="H7012" s="135" t="n">
        <f aca="false">$G7012*'Analyse capacite'!$F$9</f>
        <v>0</v>
      </c>
      <c r="I7012" s="135" t="n">
        <f aca="false">$G7012*'Analyse capacite'!$C$9</f>
        <v>0</v>
      </c>
      <c r="J7012" s="135" t="n">
        <f aca="false">$G7012*'Analyse capacite'!$D$9</f>
        <v>0</v>
      </c>
      <c r="K7012" s="135" t="n">
        <f aca="false">$G7012*'Analyse capacite'!$E$9</f>
        <v>0</v>
      </c>
    </row>
    <row r="7013" customFormat="false" ht="15" hidden="false" customHeight="false" outlineLevel="0" collapsed="false">
      <c r="B7013" s="130" t="n">
        <v>2027</v>
      </c>
      <c r="C7013" s="131" t="s">
        <v>252</v>
      </c>
      <c r="D7013" s="132" t="n">
        <v>46672</v>
      </c>
      <c r="E7013" s="131" t="s">
        <v>53</v>
      </c>
      <c r="F7013" s="133" t="s">
        <v>11</v>
      </c>
      <c r="G7013" s="134" t="n">
        <f aca="false">LEN('Saisie programme'!$E$271)+SUMIFS('Vols additionnels'!$E$7:$E$66,'Vols additionnels'!$C$7:$C$66,$E7013,'Vols additionnels'!$D$7:$D$66,$F7013,'Vols additionnels'!$B$7:$B$66,$D7013)</f>
        <v>0</v>
      </c>
      <c r="H7013" s="135" t="n">
        <f aca="false">$G7013*'Analyse capacite'!$F$7</f>
        <v>0</v>
      </c>
      <c r="I7013" s="135" t="n">
        <f aca="false">$G7013*'Analyse capacite'!$C$7</f>
        <v>0</v>
      </c>
      <c r="J7013" s="135" t="n">
        <f aca="false">$G7013*'Analyse capacite'!$D$7</f>
        <v>0</v>
      </c>
      <c r="K7013" s="135" t="n">
        <f aca="false">$G7013*'Analyse capacite'!$E$7</f>
        <v>0</v>
      </c>
    </row>
    <row r="7014" customFormat="false" ht="15" hidden="false" customHeight="false" outlineLevel="0" collapsed="false">
      <c r="B7014" s="130" t="n">
        <v>2027</v>
      </c>
      <c r="C7014" s="131" t="s">
        <v>252</v>
      </c>
      <c r="D7014" s="132" t="n">
        <v>46672</v>
      </c>
      <c r="E7014" s="131" t="s">
        <v>53</v>
      </c>
      <c r="F7014" s="133" t="s">
        <v>19</v>
      </c>
      <c r="G7014" s="134" t="n">
        <f aca="false">LEN('Saisie programme'!$E$272)+SUMIFS('Vols additionnels'!$E$7:$E$66,'Vols additionnels'!$C$7:$C$66,$E7014,'Vols additionnels'!$D$7:$D$66,$F7014,'Vols additionnels'!$B$7:$B$66,$D7014)</f>
        <v>0</v>
      </c>
      <c r="H7014" s="135" t="n">
        <f aca="false">$G7014*'Analyse capacite'!$F$8</f>
        <v>0</v>
      </c>
      <c r="I7014" s="135" t="n">
        <f aca="false">$G7014*'Analyse capacite'!$C$8</f>
        <v>0</v>
      </c>
      <c r="J7014" s="135" t="n">
        <f aca="false">$G7014*'Analyse capacite'!$D$8</f>
        <v>0</v>
      </c>
      <c r="K7014" s="135" t="n">
        <f aca="false">$G7014*'Analyse capacite'!$E$8</f>
        <v>0</v>
      </c>
    </row>
    <row r="7015" customFormat="false" ht="15" hidden="false" customHeight="false" outlineLevel="0" collapsed="false">
      <c r="B7015" s="130" t="n">
        <v>2027</v>
      </c>
      <c r="C7015" s="131" t="s">
        <v>252</v>
      </c>
      <c r="D7015" s="132" t="n">
        <v>46672</v>
      </c>
      <c r="E7015" s="131" t="s">
        <v>53</v>
      </c>
      <c r="F7015" s="133" t="s">
        <v>24</v>
      </c>
      <c r="G7015" s="134" t="n">
        <f aca="false">LEN('Saisie programme'!$E$273)+SUMIFS('Vols additionnels'!$E$7:$E$66,'Vols additionnels'!$C$7:$C$66,$E7015,'Vols additionnels'!$D$7:$D$66,$F7015,'Vols additionnels'!$B$7:$B$66,$D7015)</f>
        <v>0</v>
      </c>
      <c r="H7015" s="135" t="n">
        <f aca="false">$G7015*'Analyse capacite'!$F$9</f>
        <v>0</v>
      </c>
      <c r="I7015" s="135" t="n">
        <f aca="false">$G7015*'Analyse capacite'!$C$9</f>
        <v>0</v>
      </c>
      <c r="J7015" s="135" t="n">
        <f aca="false">$G7015*'Analyse capacite'!$D$9</f>
        <v>0</v>
      </c>
      <c r="K7015" s="135" t="n">
        <f aca="false">$G7015*'Analyse capacite'!$E$9</f>
        <v>0</v>
      </c>
    </row>
    <row r="7016" customFormat="false" ht="15" hidden="false" customHeight="false" outlineLevel="0" collapsed="false">
      <c r="B7016" s="130" t="n">
        <v>2027</v>
      </c>
      <c r="C7016" s="131" t="s">
        <v>252</v>
      </c>
      <c r="D7016" s="132" t="n">
        <v>46672</v>
      </c>
      <c r="E7016" s="131" t="s">
        <v>56</v>
      </c>
      <c r="F7016" s="133" t="s">
        <v>11</v>
      </c>
      <c r="G7016" s="134" t="n">
        <f aca="false">LEN('Saisie programme'!$E$274)+SUMIFS('Vols additionnels'!$E$7:$E$66,'Vols additionnels'!$C$7:$C$66,$E7016,'Vols additionnels'!$D$7:$D$66,$F7016,'Vols additionnels'!$B$7:$B$66,$D7016)</f>
        <v>0</v>
      </c>
      <c r="H7016" s="135" t="n">
        <f aca="false">$G7016*'Analyse capacite'!$F$7</f>
        <v>0</v>
      </c>
      <c r="I7016" s="135" t="n">
        <f aca="false">$G7016*'Analyse capacite'!$C$7</f>
        <v>0</v>
      </c>
      <c r="J7016" s="135" t="n">
        <f aca="false">$G7016*'Analyse capacite'!$D$7</f>
        <v>0</v>
      </c>
      <c r="K7016" s="135" t="n">
        <f aca="false">$G7016*'Analyse capacite'!$E$7</f>
        <v>0</v>
      </c>
    </row>
    <row r="7017" customFormat="false" ht="15" hidden="false" customHeight="false" outlineLevel="0" collapsed="false">
      <c r="B7017" s="130" t="n">
        <v>2027</v>
      </c>
      <c r="C7017" s="131" t="s">
        <v>252</v>
      </c>
      <c r="D7017" s="132" t="n">
        <v>46672</v>
      </c>
      <c r="E7017" s="131" t="s">
        <v>56</v>
      </c>
      <c r="F7017" s="133" t="s">
        <v>19</v>
      </c>
      <c r="G7017" s="134" t="n">
        <f aca="false">LEN('Saisie programme'!$E$275)+SUMIFS('Vols additionnels'!$E$7:$E$66,'Vols additionnels'!$C$7:$C$66,$E7017,'Vols additionnels'!$D$7:$D$66,$F7017,'Vols additionnels'!$B$7:$B$66,$D7017)</f>
        <v>0</v>
      </c>
      <c r="H7017" s="135" t="n">
        <f aca="false">$G7017*'Analyse capacite'!$F$8</f>
        <v>0</v>
      </c>
      <c r="I7017" s="135" t="n">
        <f aca="false">$G7017*'Analyse capacite'!$C$8</f>
        <v>0</v>
      </c>
      <c r="J7017" s="135" t="n">
        <f aca="false">$G7017*'Analyse capacite'!$D$8</f>
        <v>0</v>
      </c>
      <c r="K7017" s="135" t="n">
        <f aca="false">$G7017*'Analyse capacite'!$E$8</f>
        <v>0</v>
      </c>
    </row>
    <row r="7018" customFormat="false" ht="15" hidden="false" customHeight="false" outlineLevel="0" collapsed="false">
      <c r="B7018" s="130" t="n">
        <v>2027</v>
      </c>
      <c r="C7018" s="131" t="s">
        <v>252</v>
      </c>
      <c r="D7018" s="132" t="n">
        <v>46672</v>
      </c>
      <c r="E7018" s="131" t="s">
        <v>56</v>
      </c>
      <c r="F7018" s="133" t="s">
        <v>24</v>
      </c>
      <c r="G7018" s="134" t="n">
        <f aca="false">LEN('Saisie programme'!$E$276)+SUMIFS('Vols additionnels'!$E$7:$E$66,'Vols additionnels'!$C$7:$C$66,$E7018,'Vols additionnels'!$D$7:$D$66,$F7018,'Vols additionnels'!$B$7:$B$66,$D7018)</f>
        <v>1</v>
      </c>
      <c r="H7018" s="135" t="n">
        <f aca="false">$G7018*'Analyse capacite'!$F$9</f>
        <v>174</v>
      </c>
      <c r="I7018" s="135" t="n">
        <f aca="false">$G7018*'Analyse capacite'!$C$9</f>
        <v>0</v>
      </c>
      <c r="J7018" s="135" t="n">
        <f aca="false">$G7018*'Analyse capacite'!$D$9</f>
        <v>12</v>
      </c>
      <c r="K7018" s="135" t="n">
        <f aca="false">$G7018*'Analyse capacite'!$E$9</f>
        <v>162</v>
      </c>
    </row>
    <row r="7019" customFormat="false" ht="15" hidden="false" customHeight="false" outlineLevel="0" collapsed="false">
      <c r="B7019" s="130" t="n">
        <v>2027</v>
      </c>
      <c r="C7019" s="131" t="s">
        <v>252</v>
      </c>
      <c r="D7019" s="132" t="n">
        <v>46672</v>
      </c>
      <c r="E7019" s="131" t="s">
        <v>59</v>
      </c>
      <c r="F7019" s="133" t="s">
        <v>11</v>
      </c>
      <c r="G7019" s="134" t="n">
        <f aca="false">LEN('Saisie programme'!$E$277)+SUMIFS('Vols additionnels'!$E$7:$E$66,'Vols additionnels'!$C$7:$C$66,$E7019,'Vols additionnels'!$D$7:$D$66,$F7019,'Vols additionnels'!$B$7:$B$66,$D7019)</f>
        <v>0</v>
      </c>
      <c r="H7019" s="135" t="n">
        <f aca="false">$G7019*'Analyse capacite'!$F$7</f>
        <v>0</v>
      </c>
      <c r="I7019" s="135" t="n">
        <f aca="false">$G7019*'Analyse capacite'!$C$7</f>
        <v>0</v>
      </c>
      <c r="J7019" s="135" t="n">
        <f aca="false">$G7019*'Analyse capacite'!$D$7</f>
        <v>0</v>
      </c>
      <c r="K7019" s="135" t="n">
        <f aca="false">$G7019*'Analyse capacite'!$E$7</f>
        <v>0</v>
      </c>
    </row>
    <row r="7020" customFormat="false" ht="15" hidden="false" customHeight="false" outlineLevel="0" collapsed="false">
      <c r="B7020" s="130" t="n">
        <v>2027</v>
      </c>
      <c r="C7020" s="131" t="s">
        <v>252</v>
      </c>
      <c r="D7020" s="132" t="n">
        <v>46672</v>
      </c>
      <c r="E7020" s="131" t="s">
        <v>59</v>
      </c>
      <c r="F7020" s="133" t="s">
        <v>19</v>
      </c>
      <c r="G7020" s="134" t="n">
        <f aca="false">LEN('Saisie programme'!$E$278)+SUMIFS('Vols additionnels'!$E$7:$E$66,'Vols additionnels'!$C$7:$C$66,$E7020,'Vols additionnels'!$D$7:$D$66,$F7020,'Vols additionnels'!$B$7:$B$66,$D7020)</f>
        <v>0</v>
      </c>
      <c r="H7020" s="135" t="n">
        <f aca="false">$G7020*'Analyse capacite'!$F$8</f>
        <v>0</v>
      </c>
      <c r="I7020" s="135" t="n">
        <f aca="false">$G7020*'Analyse capacite'!$C$8</f>
        <v>0</v>
      </c>
      <c r="J7020" s="135" t="n">
        <f aca="false">$G7020*'Analyse capacite'!$D$8</f>
        <v>0</v>
      </c>
      <c r="K7020" s="135" t="n">
        <f aca="false">$G7020*'Analyse capacite'!$E$8</f>
        <v>0</v>
      </c>
    </row>
    <row r="7021" customFormat="false" ht="15" hidden="false" customHeight="false" outlineLevel="0" collapsed="false">
      <c r="B7021" s="130" t="n">
        <v>2027</v>
      </c>
      <c r="C7021" s="131" t="s">
        <v>252</v>
      </c>
      <c r="D7021" s="132" t="n">
        <v>46672</v>
      </c>
      <c r="E7021" s="131" t="s">
        <v>59</v>
      </c>
      <c r="F7021" s="133" t="s">
        <v>24</v>
      </c>
      <c r="G7021" s="134" t="n">
        <f aca="false">LEN('Saisie programme'!$E$279)+SUMIFS('Vols additionnels'!$E$7:$E$66,'Vols additionnels'!$C$7:$C$66,$E7021,'Vols additionnels'!$D$7:$D$66,$F7021,'Vols additionnels'!$B$7:$B$66,$D7021)</f>
        <v>1</v>
      </c>
      <c r="H7021" s="135" t="n">
        <f aca="false">$G7021*'Analyse capacite'!$F$9</f>
        <v>174</v>
      </c>
      <c r="I7021" s="135" t="n">
        <f aca="false">$G7021*'Analyse capacite'!$C$9</f>
        <v>0</v>
      </c>
      <c r="J7021" s="135" t="n">
        <f aca="false">$G7021*'Analyse capacite'!$D$9</f>
        <v>12</v>
      </c>
      <c r="K7021" s="135" t="n">
        <f aca="false">$G7021*'Analyse capacite'!$E$9</f>
        <v>162</v>
      </c>
    </row>
    <row r="7022" customFormat="false" ht="15" hidden="false" customHeight="false" outlineLevel="0" collapsed="false">
      <c r="B7022" s="130" t="n">
        <v>2027</v>
      </c>
      <c r="C7022" s="131" t="s">
        <v>252</v>
      </c>
      <c r="D7022" s="132" t="n">
        <v>46672</v>
      </c>
      <c r="E7022" s="131" t="s">
        <v>62</v>
      </c>
      <c r="F7022" s="133" t="s">
        <v>11</v>
      </c>
      <c r="G7022" s="134" t="n">
        <f aca="false">LEN('Saisie programme'!$E$280)+SUMIFS('Vols additionnels'!$E$7:$E$66,'Vols additionnels'!$C$7:$C$66,$E7022,'Vols additionnels'!$D$7:$D$66,$F7022,'Vols additionnels'!$B$7:$B$66,$D7022)</f>
        <v>0</v>
      </c>
      <c r="H7022" s="135" t="n">
        <f aca="false">$G7022*'Analyse capacite'!$F$7</f>
        <v>0</v>
      </c>
      <c r="I7022" s="135" t="n">
        <f aca="false">$G7022*'Analyse capacite'!$C$7</f>
        <v>0</v>
      </c>
      <c r="J7022" s="135" t="n">
        <f aca="false">$G7022*'Analyse capacite'!$D$7</f>
        <v>0</v>
      </c>
      <c r="K7022" s="135" t="n">
        <f aca="false">$G7022*'Analyse capacite'!$E$7</f>
        <v>0</v>
      </c>
    </row>
    <row r="7023" customFormat="false" ht="15" hidden="false" customHeight="false" outlineLevel="0" collapsed="false">
      <c r="B7023" s="130" t="n">
        <v>2027</v>
      </c>
      <c r="C7023" s="131" t="s">
        <v>252</v>
      </c>
      <c r="D7023" s="132" t="n">
        <v>46672</v>
      </c>
      <c r="E7023" s="131" t="s">
        <v>62</v>
      </c>
      <c r="F7023" s="133" t="s">
        <v>19</v>
      </c>
      <c r="G7023" s="134" t="n">
        <f aca="false">LEN('Saisie programme'!$E$281)+SUMIFS('Vols additionnels'!$E$7:$E$66,'Vols additionnels'!$C$7:$C$66,$E7023,'Vols additionnels'!$D$7:$D$66,$F7023,'Vols additionnels'!$B$7:$B$66,$D7023)</f>
        <v>0</v>
      </c>
      <c r="H7023" s="135" t="n">
        <f aca="false">$G7023*'Analyse capacite'!$F$8</f>
        <v>0</v>
      </c>
      <c r="I7023" s="135" t="n">
        <f aca="false">$G7023*'Analyse capacite'!$C$8</f>
        <v>0</v>
      </c>
      <c r="J7023" s="135" t="n">
        <f aca="false">$G7023*'Analyse capacite'!$D$8</f>
        <v>0</v>
      </c>
      <c r="K7023" s="135" t="n">
        <f aca="false">$G7023*'Analyse capacite'!$E$8</f>
        <v>0</v>
      </c>
    </row>
    <row r="7024" customFormat="false" ht="15" hidden="false" customHeight="false" outlineLevel="0" collapsed="false">
      <c r="B7024" s="130" t="n">
        <v>2027</v>
      </c>
      <c r="C7024" s="131" t="s">
        <v>252</v>
      </c>
      <c r="D7024" s="132" t="n">
        <v>46672</v>
      </c>
      <c r="E7024" s="131" t="s">
        <v>62</v>
      </c>
      <c r="F7024" s="133" t="s">
        <v>24</v>
      </c>
      <c r="G7024" s="134" t="n">
        <f aca="false">LEN('Saisie programme'!$E$282)+SUMIFS('Vols additionnels'!$E$7:$E$66,'Vols additionnels'!$C$7:$C$66,$E7024,'Vols additionnels'!$D$7:$D$66,$F7024,'Vols additionnels'!$B$7:$B$66,$D7024)</f>
        <v>0</v>
      </c>
      <c r="H7024" s="135" t="n">
        <f aca="false">$G7024*'Analyse capacite'!$F$9</f>
        <v>0</v>
      </c>
      <c r="I7024" s="135" t="n">
        <f aca="false">$G7024*'Analyse capacite'!$C$9</f>
        <v>0</v>
      </c>
      <c r="J7024" s="135" t="n">
        <f aca="false">$G7024*'Analyse capacite'!$D$9</f>
        <v>0</v>
      </c>
      <c r="K7024" s="135" t="n">
        <f aca="false">$G7024*'Analyse capacite'!$E$9</f>
        <v>0</v>
      </c>
    </row>
    <row r="7025" customFormat="false" ht="15" hidden="false" customHeight="false" outlineLevel="0" collapsed="false">
      <c r="B7025" s="130" t="n">
        <v>2027</v>
      </c>
      <c r="C7025" s="131" t="s">
        <v>252</v>
      </c>
      <c r="D7025" s="132" t="n">
        <v>46673</v>
      </c>
      <c r="E7025" s="131" t="s">
        <v>12</v>
      </c>
      <c r="F7025" s="133" t="s">
        <v>11</v>
      </c>
      <c r="G7025" s="134" t="n">
        <f aca="false">LEN('Saisie programme'!$F$247)+SUMIFS('Vols additionnels'!$E$7:$E$66,'Vols additionnels'!$C$7:$C$66,$E7025,'Vols additionnels'!$D$7:$D$66,$F7025,'Vols additionnels'!$B$7:$B$66,$D7025)</f>
        <v>1</v>
      </c>
      <c r="H7025" s="135" t="n">
        <f aca="false">$G7025*'Analyse capacite'!$F$7</f>
        <v>438</v>
      </c>
      <c r="I7025" s="135" t="n">
        <f aca="false">$G7025*'Analyse capacite'!$C$7</f>
        <v>14</v>
      </c>
      <c r="J7025" s="135" t="n">
        <f aca="false">$G7025*'Analyse capacite'!$D$7</f>
        <v>40</v>
      </c>
      <c r="K7025" s="135" t="n">
        <f aca="false">$G7025*'Analyse capacite'!$E$7</f>
        <v>384</v>
      </c>
    </row>
    <row r="7026" customFormat="false" ht="15" hidden="false" customHeight="false" outlineLevel="0" collapsed="false">
      <c r="B7026" s="130" t="n">
        <v>2027</v>
      </c>
      <c r="C7026" s="131" t="s">
        <v>252</v>
      </c>
      <c r="D7026" s="132" t="n">
        <v>46673</v>
      </c>
      <c r="E7026" s="131" t="s">
        <v>12</v>
      </c>
      <c r="F7026" s="133" t="s">
        <v>19</v>
      </c>
      <c r="G7026" s="134" t="n">
        <f aca="false">LEN('Saisie programme'!$F$248)+SUMIFS('Vols additionnels'!$E$7:$E$66,'Vols additionnels'!$C$7:$C$66,$E7026,'Vols additionnels'!$D$7:$D$66,$F7026,'Vols additionnels'!$B$7:$B$66,$D7026)</f>
        <v>0</v>
      </c>
      <c r="H7026" s="135" t="n">
        <f aca="false">$G7026*'Analyse capacite'!$F$8</f>
        <v>0</v>
      </c>
      <c r="I7026" s="135" t="n">
        <f aca="false">$G7026*'Analyse capacite'!$C$8</f>
        <v>0</v>
      </c>
      <c r="J7026" s="135" t="n">
        <f aca="false">$G7026*'Analyse capacite'!$D$8</f>
        <v>0</v>
      </c>
      <c r="K7026" s="135" t="n">
        <f aca="false">$G7026*'Analyse capacite'!$E$8</f>
        <v>0</v>
      </c>
    </row>
    <row r="7027" customFormat="false" ht="15" hidden="false" customHeight="false" outlineLevel="0" collapsed="false">
      <c r="B7027" s="130" t="n">
        <v>2027</v>
      </c>
      <c r="C7027" s="131" t="s">
        <v>252</v>
      </c>
      <c r="D7027" s="132" t="n">
        <v>46673</v>
      </c>
      <c r="E7027" s="131" t="s">
        <v>12</v>
      </c>
      <c r="F7027" s="133" t="s">
        <v>24</v>
      </c>
      <c r="G7027" s="134" t="n">
        <f aca="false">LEN('Saisie programme'!$F$249)+SUMIFS('Vols additionnels'!$E$7:$E$66,'Vols additionnels'!$C$7:$C$66,$E7027,'Vols additionnels'!$D$7:$D$66,$F7027,'Vols additionnels'!$B$7:$B$66,$D7027)</f>
        <v>0</v>
      </c>
      <c r="H7027" s="135" t="n">
        <f aca="false">$G7027*'Analyse capacite'!$F$9</f>
        <v>0</v>
      </c>
      <c r="I7027" s="135" t="n">
        <f aca="false">$G7027*'Analyse capacite'!$C$9</f>
        <v>0</v>
      </c>
      <c r="J7027" s="135" t="n">
        <f aca="false">$G7027*'Analyse capacite'!$D$9</f>
        <v>0</v>
      </c>
      <c r="K7027" s="135" t="n">
        <f aca="false">$G7027*'Analyse capacite'!$E$9</f>
        <v>0</v>
      </c>
    </row>
    <row r="7028" customFormat="false" ht="15" hidden="false" customHeight="false" outlineLevel="0" collapsed="false">
      <c r="B7028" s="130" t="n">
        <v>2027</v>
      </c>
      <c r="C7028" s="131" t="s">
        <v>252</v>
      </c>
      <c r="D7028" s="132" t="n">
        <v>46673</v>
      </c>
      <c r="E7028" s="131" t="s">
        <v>20</v>
      </c>
      <c r="F7028" s="133" t="s">
        <v>11</v>
      </c>
      <c r="G7028" s="134" t="n">
        <f aca="false">LEN('Saisie programme'!$F$250)+SUMIFS('Vols additionnels'!$E$7:$E$66,'Vols additionnels'!$C$7:$C$66,$E7028,'Vols additionnels'!$D$7:$D$66,$F7028,'Vols additionnels'!$B$7:$B$66,$D7028)</f>
        <v>0</v>
      </c>
      <c r="H7028" s="135" t="n">
        <f aca="false">$G7028*'Analyse capacite'!$F$7</f>
        <v>0</v>
      </c>
      <c r="I7028" s="135" t="n">
        <f aca="false">$G7028*'Analyse capacite'!$C$7</f>
        <v>0</v>
      </c>
      <c r="J7028" s="135" t="n">
        <f aca="false">$G7028*'Analyse capacite'!$D$7</f>
        <v>0</v>
      </c>
      <c r="K7028" s="135" t="n">
        <f aca="false">$G7028*'Analyse capacite'!$E$7</f>
        <v>0</v>
      </c>
    </row>
    <row r="7029" customFormat="false" ht="15" hidden="false" customHeight="false" outlineLevel="0" collapsed="false">
      <c r="B7029" s="130" t="n">
        <v>2027</v>
      </c>
      <c r="C7029" s="131" t="s">
        <v>252</v>
      </c>
      <c r="D7029" s="132" t="n">
        <v>46673</v>
      </c>
      <c r="E7029" s="131" t="s">
        <v>20</v>
      </c>
      <c r="F7029" s="133" t="s">
        <v>19</v>
      </c>
      <c r="G7029" s="134" t="n">
        <f aca="false">LEN('Saisie programme'!$F$251)+SUMIFS('Vols additionnels'!$E$7:$E$66,'Vols additionnels'!$C$7:$C$66,$E7029,'Vols additionnels'!$D$7:$D$66,$F7029,'Vols additionnels'!$B$7:$B$66,$D7029)</f>
        <v>0</v>
      </c>
      <c r="H7029" s="135" t="n">
        <f aca="false">$G7029*'Analyse capacite'!$F$8</f>
        <v>0</v>
      </c>
      <c r="I7029" s="135" t="n">
        <f aca="false">$G7029*'Analyse capacite'!$C$8</f>
        <v>0</v>
      </c>
      <c r="J7029" s="135" t="n">
        <f aca="false">$G7029*'Analyse capacite'!$D$8</f>
        <v>0</v>
      </c>
      <c r="K7029" s="135" t="n">
        <f aca="false">$G7029*'Analyse capacite'!$E$8</f>
        <v>0</v>
      </c>
    </row>
    <row r="7030" customFormat="false" ht="15" hidden="false" customHeight="false" outlineLevel="0" collapsed="false">
      <c r="B7030" s="130" t="n">
        <v>2027</v>
      </c>
      <c r="C7030" s="131" t="s">
        <v>252</v>
      </c>
      <c r="D7030" s="132" t="n">
        <v>46673</v>
      </c>
      <c r="E7030" s="131" t="s">
        <v>20</v>
      </c>
      <c r="F7030" s="133" t="s">
        <v>24</v>
      </c>
      <c r="G7030" s="134" t="n">
        <f aca="false">LEN('Saisie programme'!$F$252)+SUMIFS('Vols additionnels'!$E$7:$E$66,'Vols additionnels'!$C$7:$C$66,$E7030,'Vols additionnels'!$D$7:$D$66,$F7030,'Vols additionnels'!$B$7:$B$66,$D7030)</f>
        <v>0</v>
      </c>
      <c r="H7030" s="135" t="n">
        <f aca="false">$G7030*'Analyse capacite'!$F$9</f>
        <v>0</v>
      </c>
      <c r="I7030" s="135" t="n">
        <f aca="false">$G7030*'Analyse capacite'!$C$9</f>
        <v>0</v>
      </c>
      <c r="J7030" s="135" t="n">
        <f aca="false">$G7030*'Analyse capacite'!$D$9</f>
        <v>0</v>
      </c>
      <c r="K7030" s="135" t="n">
        <f aca="false">$G7030*'Analyse capacite'!$E$9</f>
        <v>0</v>
      </c>
    </row>
    <row r="7031" customFormat="false" ht="15" hidden="false" customHeight="false" outlineLevel="0" collapsed="false">
      <c r="B7031" s="130" t="n">
        <v>2027</v>
      </c>
      <c r="C7031" s="131" t="s">
        <v>252</v>
      </c>
      <c r="D7031" s="132" t="n">
        <v>46673</v>
      </c>
      <c r="E7031" s="131" t="s">
        <v>25</v>
      </c>
      <c r="F7031" s="133" t="s">
        <v>11</v>
      </c>
      <c r="G7031" s="134" t="n">
        <f aca="false">LEN('Saisie programme'!$F$253)+SUMIFS('Vols additionnels'!$E$7:$E$66,'Vols additionnels'!$C$7:$C$66,$E7031,'Vols additionnels'!$D$7:$D$66,$F7031,'Vols additionnels'!$B$7:$B$66,$D7031)</f>
        <v>0</v>
      </c>
      <c r="H7031" s="135" t="n">
        <f aca="false">$G7031*'Analyse capacite'!$F$7</f>
        <v>0</v>
      </c>
      <c r="I7031" s="135" t="n">
        <f aca="false">$G7031*'Analyse capacite'!$C$7</f>
        <v>0</v>
      </c>
      <c r="J7031" s="135" t="n">
        <f aca="false">$G7031*'Analyse capacite'!$D$7</f>
        <v>0</v>
      </c>
      <c r="K7031" s="135" t="n">
        <f aca="false">$G7031*'Analyse capacite'!$E$7</f>
        <v>0</v>
      </c>
    </row>
    <row r="7032" customFormat="false" ht="15" hidden="false" customHeight="false" outlineLevel="0" collapsed="false">
      <c r="B7032" s="130" t="n">
        <v>2027</v>
      </c>
      <c r="C7032" s="131" t="s">
        <v>252</v>
      </c>
      <c r="D7032" s="132" t="n">
        <v>46673</v>
      </c>
      <c r="E7032" s="131" t="s">
        <v>25</v>
      </c>
      <c r="F7032" s="133" t="s">
        <v>19</v>
      </c>
      <c r="G7032" s="134" t="n">
        <f aca="false">LEN('Saisie programme'!$F$254)+SUMIFS('Vols additionnels'!$E$7:$E$66,'Vols additionnels'!$C$7:$C$66,$E7032,'Vols additionnels'!$D$7:$D$66,$F7032,'Vols additionnels'!$B$7:$B$66,$D7032)</f>
        <v>1</v>
      </c>
      <c r="H7032" s="135" t="n">
        <f aca="false">$G7032*'Analyse capacite'!$F$8</f>
        <v>262</v>
      </c>
      <c r="I7032" s="135" t="n">
        <f aca="false">$G7032*'Analyse capacite'!$C$8</f>
        <v>18</v>
      </c>
      <c r="J7032" s="135" t="n">
        <f aca="false">$G7032*'Analyse capacite'!$D$8</f>
        <v>0</v>
      </c>
      <c r="K7032" s="135" t="n">
        <f aca="false">$G7032*'Analyse capacite'!$E$8</f>
        <v>244</v>
      </c>
    </row>
    <row r="7033" customFormat="false" ht="15" hidden="false" customHeight="false" outlineLevel="0" collapsed="false">
      <c r="B7033" s="130" t="n">
        <v>2027</v>
      </c>
      <c r="C7033" s="131" t="s">
        <v>252</v>
      </c>
      <c r="D7033" s="132" t="n">
        <v>46673</v>
      </c>
      <c r="E7033" s="131" t="s">
        <v>25</v>
      </c>
      <c r="F7033" s="133" t="s">
        <v>24</v>
      </c>
      <c r="G7033" s="134" t="n">
        <f aca="false">LEN('Saisie programme'!$F$255)+SUMIFS('Vols additionnels'!$E$7:$E$66,'Vols additionnels'!$C$7:$C$66,$E7033,'Vols additionnels'!$D$7:$D$66,$F7033,'Vols additionnels'!$B$7:$B$66,$D7033)</f>
        <v>0</v>
      </c>
      <c r="H7033" s="135" t="n">
        <f aca="false">$G7033*'Analyse capacite'!$F$9</f>
        <v>0</v>
      </c>
      <c r="I7033" s="135" t="n">
        <f aca="false">$G7033*'Analyse capacite'!$C$9</f>
        <v>0</v>
      </c>
      <c r="J7033" s="135" t="n">
        <f aca="false">$G7033*'Analyse capacite'!$D$9</f>
        <v>0</v>
      </c>
      <c r="K7033" s="135" t="n">
        <f aca="false">$G7033*'Analyse capacite'!$E$9</f>
        <v>0</v>
      </c>
    </row>
    <row r="7034" customFormat="false" ht="15" hidden="false" customHeight="false" outlineLevel="0" collapsed="false">
      <c r="B7034" s="130" t="n">
        <v>2027</v>
      </c>
      <c r="C7034" s="131" t="s">
        <v>252</v>
      </c>
      <c r="D7034" s="132" t="n">
        <v>46673</v>
      </c>
      <c r="E7034" s="131" t="s">
        <v>36</v>
      </c>
      <c r="F7034" s="133" t="s">
        <v>11</v>
      </c>
      <c r="G7034" s="134" t="n">
        <f aca="false">LEN('Saisie programme'!$F$256)+SUMIFS('Vols additionnels'!$E$7:$E$66,'Vols additionnels'!$C$7:$C$66,$E7034,'Vols additionnels'!$D$7:$D$66,$F7034,'Vols additionnels'!$B$7:$B$66,$D7034)</f>
        <v>0</v>
      </c>
      <c r="H7034" s="135" t="n">
        <f aca="false">$G7034*'Analyse capacite'!$F$7</f>
        <v>0</v>
      </c>
      <c r="I7034" s="135" t="n">
        <f aca="false">$G7034*'Analyse capacite'!$C$7</f>
        <v>0</v>
      </c>
      <c r="J7034" s="135" t="n">
        <f aca="false">$G7034*'Analyse capacite'!$D$7</f>
        <v>0</v>
      </c>
      <c r="K7034" s="135" t="n">
        <f aca="false">$G7034*'Analyse capacite'!$E$7</f>
        <v>0</v>
      </c>
    </row>
    <row r="7035" customFormat="false" ht="15" hidden="false" customHeight="false" outlineLevel="0" collapsed="false">
      <c r="B7035" s="130" t="n">
        <v>2027</v>
      </c>
      <c r="C7035" s="131" t="s">
        <v>252</v>
      </c>
      <c r="D7035" s="132" t="n">
        <v>46673</v>
      </c>
      <c r="E7035" s="131" t="s">
        <v>36</v>
      </c>
      <c r="F7035" s="133" t="s">
        <v>19</v>
      </c>
      <c r="G7035" s="134" t="n">
        <f aca="false">LEN('Saisie programme'!$F$257)+SUMIFS('Vols additionnels'!$E$7:$E$66,'Vols additionnels'!$C$7:$C$66,$E7035,'Vols additionnels'!$D$7:$D$66,$F7035,'Vols additionnels'!$B$7:$B$66,$D7035)</f>
        <v>1</v>
      </c>
      <c r="H7035" s="135" t="n">
        <f aca="false">$G7035*'Analyse capacite'!$F$8</f>
        <v>262</v>
      </c>
      <c r="I7035" s="135" t="n">
        <f aca="false">$G7035*'Analyse capacite'!$C$8</f>
        <v>18</v>
      </c>
      <c r="J7035" s="135" t="n">
        <f aca="false">$G7035*'Analyse capacite'!$D$8</f>
        <v>0</v>
      </c>
      <c r="K7035" s="135" t="n">
        <f aca="false">$G7035*'Analyse capacite'!$E$8</f>
        <v>244</v>
      </c>
    </row>
    <row r="7036" customFormat="false" ht="15" hidden="false" customHeight="false" outlineLevel="0" collapsed="false">
      <c r="B7036" s="130" t="n">
        <v>2027</v>
      </c>
      <c r="C7036" s="131" t="s">
        <v>252</v>
      </c>
      <c r="D7036" s="132" t="n">
        <v>46673</v>
      </c>
      <c r="E7036" s="131" t="s">
        <v>36</v>
      </c>
      <c r="F7036" s="133" t="s">
        <v>24</v>
      </c>
      <c r="G7036" s="134" t="n">
        <f aca="false">LEN('Saisie programme'!$F$258)+SUMIFS('Vols additionnels'!$E$7:$E$66,'Vols additionnels'!$C$7:$C$66,$E7036,'Vols additionnels'!$D$7:$D$66,$F7036,'Vols additionnels'!$B$7:$B$66,$D7036)</f>
        <v>1</v>
      </c>
      <c r="H7036" s="135" t="n">
        <f aca="false">$G7036*'Analyse capacite'!$F$9</f>
        <v>174</v>
      </c>
      <c r="I7036" s="135" t="n">
        <f aca="false">$G7036*'Analyse capacite'!$C$9</f>
        <v>0</v>
      </c>
      <c r="J7036" s="135" t="n">
        <f aca="false">$G7036*'Analyse capacite'!$D$9</f>
        <v>12</v>
      </c>
      <c r="K7036" s="135" t="n">
        <f aca="false">$G7036*'Analyse capacite'!$E$9</f>
        <v>162</v>
      </c>
    </row>
    <row r="7037" customFormat="false" ht="15" hidden="false" customHeight="false" outlineLevel="0" collapsed="false">
      <c r="B7037" s="130" t="n">
        <v>2027</v>
      </c>
      <c r="C7037" s="131" t="s">
        <v>252</v>
      </c>
      <c r="D7037" s="132" t="n">
        <v>46673</v>
      </c>
      <c r="E7037" s="131" t="s">
        <v>40</v>
      </c>
      <c r="F7037" s="133" t="s">
        <v>11</v>
      </c>
      <c r="G7037" s="134" t="n">
        <f aca="false">LEN('Saisie programme'!$F$259)+SUMIFS('Vols additionnels'!$E$7:$E$66,'Vols additionnels'!$C$7:$C$66,$E7037,'Vols additionnels'!$D$7:$D$66,$F7037,'Vols additionnels'!$B$7:$B$66,$D7037)</f>
        <v>0</v>
      </c>
      <c r="H7037" s="135" t="n">
        <f aca="false">$G7037*'Analyse capacite'!$F$7</f>
        <v>0</v>
      </c>
      <c r="I7037" s="135" t="n">
        <f aca="false">$G7037*'Analyse capacite'!$C$7</f>
        <v>0</v>
      </c>
      <c r="J7037" s="135" t="n">
        <f aca="false">$G7037*'Analyse capacite'!$D$7</f>
        <v>0</v>
      </c>
      <c r="K7037" s="135" t="n">
        <f aca="false">$G7037*'Analyse capacite'!$E$7</f>
        <v>0</v>
      </c>
    </row>
    <row r="7038" customFormat="false" ht="15" hidden="false" customHeight="false" outlineLevel="0" collapsed="false">
      <c r="B7038" s="130" t="n">
        <v>2027</v>
      </c>
      <c r="C7038" s="131" t="s">
        <v>252</v>
      </c>
      <c r="D7038" s="132" t="n">
        <v>46673</v>
      </c>
      <c r="E7038" s="131" t="s">
        <v>40</v>
      </c>
      <c r="F7038" s="133" t="s">
        <v>19</v>
      </c>
      <c r="G7038" s="134" t="n">
        <f aca="false">LEN('Saisie programme'!$F$260)+SUMIFS('Vols additionnels'!$E$7:$E$66,'Vols additionnels'!$C$7:$C$66,$E7038,'Vols additionnels'!$D$7:$D$66,$F7038,'Vols additionnels'!$B$7:$B$66,$D7038)</f>
        <v>0</v>
      </c>
      <c r="H7038" s="135" t="n">
        <f aca="false">$G7038*'Analyse capacite'!$F$8</f>
        <v>0</v>
      </c>
      <c r="I7038" s="135" t="n">
        <f aca="false">$G7038*'Analyse capacite'!$C$8</f>
        <v>0</v>
      </c>
      <c r="J7038" s="135" t="n">
        <f aca="false">$G7038*'Analyse capacite'!$D$8</f>
        <v>0</v>
      </c>
      <c r="K7038" s="135" t="n">
        <f aca="false">$G7038*'Analyse capacite'!$E$8</f>
        <v>0</v>
      </c>
    </row>
    <row r="7039" customFormat="false" ht="15" hidden="false" customHeight="false" outlineLevel="0" collapsed="false">
      <c r="B7039" s="130" t="n">
        <v>2027</v>
      </c>
      <c r="C7039" s="131" t="s">
        <v>252</v>
      </c>
      <c r="D7039" s="132" t="n">
        <v>46673</v>
      </c>
      <c r="E7039" s="131" t="s">
        <v>40</v>
      </c>
      <c r="F7039" s="133" t="s">
        <v>24</v>
      </c>
      <c r="G7039" s="134" t="n">
        <f aca="false">LEN('Saisie programme'!$F$261)+SUMIFS('Vols additionnels'!$E$7:$E$66,'Vols additionnels'!$C$7:$C$66,$E7039,'Vols additionnels'!$D$7:$D$66,$F7039,'Vols additionnels'!$B$7:$B$66,$D7039)</f>
        <v>1</v>
      </c>
      <c r="H7039" s="135" t="n">
        <f aca="false">$G7039*'Analyse capacite'!$F$9</f>
        <v>174</v>
      </c>
      <c r="I7039" s="135" t="n">
        <f aca="false">$G7039*'Analyse capacite'!$C$9</f>
        <v>0</v>
      </c>
      <c r="J7039" s="135" t="n">
        <f aca="false">$G7039*'Analyse capacite'!$D$9</f>
        <v>12</v>
      </c>
      <c r="K7039" s="135" t="n">
        <f aca="false">$G7039*'Analyse capacite'!$E$9</f>
        <v>162</v>
      </c>
    </row>
    <row r="7040" customFormat="false" ht="15" hidden="false" customHeight="false" outlineLevel="0" collapsed="false">
      <c r="B7040" s="130" t="n">
        <v>2027</v>
      </c>
      <c r="C7040" s="131" t="s">
        <v>252</v>
      </c>
      <c r="D7040" s="132" t="n">
        <v>46673</v>
      </c>
      <c r="E7040" s="131" t="s">
        <v>14</v>
      </c>
      <c r="F7040" s="133" t="s">
        <v>11</v>
      </c>
      <c r="G7040" s="134" t="n">
        <f aca="false">LEN('Saisie programme'!$F$262)+SUMIFS('Vols additionnels'!$E$7:$E$66,'Vols additionnels'!$C$7:$C$66,$E7040,'Vols additionnels'!$D$7:$D$66,$F7040,'Vols additionnels'!$B$7:$B$66,$D7040)</f>
        <v>0</v>
      </c>
      <c r="H7040" s="135" t="n">
        <f aca="false">$G7040*'Analyse capacite'!$F$7</f>
        <v>0</v>
      </c>
      <c r="I7040" s="135" t="n">
        <f aca="false">$G7040*'Analyse capacite'!$C$7</f>
        <v>0</v>
      </c>
      <c r="J7040" s="135" t="n">
        <f aca="false">$G7040*'Analyse capacite'!$D$7</f>
        <v>0</v>
      </c>
      <c r="K7040" s="135" t="n">
        <f aca="false">$G7040*'Analyse capacite'!$E$7</f>
        <v>0</v>
      </c>
    </row>
    <row r="7041" customFormat="false" ht="15" hidden="false" customHeight="false" outlineLevel="0" collapsed="false">
      <c r="B7041" s="130" t="n">
        <v>2027</v>
      </c>
      <c r="C7041" s="131" t="s">
        <v>252</v>
      </c>
      <c r="D7041" s="132" t="n">
        <v>46673</v>
      </c>
      <c r="E7041" s="131" t="s">
        <v>14</v>
      </c>
      <c r="F7041" s="133" t="s">
        <v>19</v>
      </c>
      <c r="G7041" s="134" t="n">
        <f aca="false">LEN('Saisie programme'!$F$263)+SUMIFS('Vols additionnels'!$E$7:$E$66,'Vols additionnels'!$C$7:$C$66,$E7041,'Vols additionnels'!$D$7:$D$66,$F7041,'Vols additionnels'!$B$7:$B$66,$D7041)</f>
        <v>0</v>
      </c>
      <c r="H7041" s="135" t="n">
        <f aca="false">$G7041*'Analyse capacite'!$F$8</f>
        <v>0</v>
      </c>
      <c r="I7041" s="135" t="n">
        <f aca="false">$G7041*'Analyse capacite'!$C$8</f>
        <v>0</v>
      </c>
      <c r="J7041" s="135" t="n">
        <f aca="false">$G7041*'Analyse capacite'!$D$8</f>
        <v>0</v>
      </c>
      <c r="K7041" s="135" t="n">
        <f aca="false">$G7041*'Analyse capacite'!$E$8</f>
        <v>0</v>
      </c>
    </row>
    <row r="7042" customFormat="false" ht="15" hidden="false" customHeight="false" outlineLevel="0" collapsed="false">
      <c r="B7042" s="130" t="n">
        <v>2027</v>
      </c>
      <c r="C7042" s="131" t="s">
        <v>252</v>
      </c>
      <c r="D7042" s="132" t="n">
        <v>46673</v>
      </c>
      <c r="E7042" s="131" t="s">
        <v>14</v>
      </c>
      <c r="F7042" s="133" t="s">
        <v>24</v>
      </c>
      <c r="G7042" s="134" t="n">
        <f aca="false">LEN('Saisie programme'!$F$264)+SUMIFS('Vols additionnels'!$E$7:$E$66,'Vols additionnels'!$C$7:$C$66,$E7042,'Vols additionnels'!$D$7:$D$66,$F7042,'Vols additionnels'!$B$7:$B$66,$D7042)</f>
        <v>0</v>
      </c>
      <c r="H7042" s="135" t="n">
        <f aca="false">$G7042*'Analyse capacite'!$F$9</f>
        <v>0</v>
      </c>
      <c r="I7042" s="135" t="n">
        <f aca="false">$G7042*'Analyse capacite'!$C$9</f>
        <v>0</v>
      </c>
      <c r="J7042" s="135" t="n">
        <f aca="false">$G7042*'Analyse capacite'!$D$9</f>
        <v>0</v>
      </c>
      <c r="K7042" s="135" t="n">
        <f aca="false">$G7042*'Analyse capacite'!$E$9</f>
        <v>0</v>
      </c>
    </row>
    <row r="7043" customFormat="false" ht="15" hidden="false" customHeight="false" outlineLevel="0" collapsed="false">
      <c r="B7043" s="130" t="n">
        <v>2027</v>
      </c>
      <c r="C7043" s="131" t="s">
        <v>252</v>
      </c>
      <c r="D7043" s="132" t="n">
        <v>46673</v>
      </c>
      <c r="E7043" s="131" t="s">
        <v>46</v>
      </c>
      <c r="F7043" s="133" t="s">
        <v>11</v>
      </c>
      <c r="G7043" s="134" t="n">
        <f aca="false">LEN('Saisie programme'!$F$265)+SUMIFS('Vols additionnels'!$E$7:$E$66,'Vols additionnels'!$C$7:$C$66,$E7043,'Vols additionnels'!$D$7:$D$66,$F7043,'Vols additionnels'!$B$7:$B$66,$D7043)</f>
        <v>0</v>
      </c>
      <c r="H7043" s="135" t="n">
        <f aca="false">$G7043*'Analyse capacite'!$F$7</f>
        <v>0</v>
      </c>
      <c r="I7043" s="135" t="n">
        <f aca="false">$G7043*'Analyse capacite'!$C$7</f>
        <v>0</v>
      </c>
      <c r="J7043" s="135" t="n">
        <f aca="false">$G7043*'Analyse capacite'!$D$7</f>
        <v>0</v>
      </c>
      <c r="K7043" s="135" t="n">
        <f aca="false">$G7043*'Analyse capacite'!$E$7</f>
        <v>0</v>
      </c>
    </row>
    <row r="7044" customFormat="false" ht="15" hidden="false" customHeight="false" outlineLevel="0" collapsed="false">
      <c r="B7044" s="130" t="n">
        <v>2027</v>
      </c>
      <c r="C7044" s="131" t="s">
        <v>252</v>
      </c>
      <c r="D7044" s="132" t="n">
        <v>46673</v>
      </c>
      <c r="E7044" s="131" t="s">
        <v>46</v>
      </c>
      <c r="F7044" s="133" t="s">
        <v>19</v>
      </c>
      <c r="G7044" s="134" t="n">
        <f aca="false">LEN('Saisie programme'!$F$266)+SUMIFS('Vols additionnels'!$E$7:$E$66,'Vols additionnels'!$C$7:$C$66,$E7044,'Vols additionnels'!$D$7:$D$66,$F7044,'Vols additionnels'!$B$7:$B$66,$D7044)</f>
        <v>0</v>
      </c>
      <c r="H7044" s="135" t="n">
        <f aca="false">$G7044*'Analyse capacite'!$F$8</f>
        <v>0</v>
      </c>
      <c r="I7044" s="135" t="n">
        <f aca="false">$G7044*'Analyse capacite'!$C$8</f>
        <v>0</v>
      </c>
      <c r="J7044" s="135" t="n">
        <f aca="false">$G7044*'Analyse capacite'!$D$8</f>
        <v>0</v>
      </c>
      <c r="K7044" s="135" t="n">
        <f aca="false">$G7044*'Analyse capacite'!$E$8</f>
        <v>0</v>
      </c>
    </row>
    <row r="7045" customFormat="false" ht="15" hidden="false" customHeight="false" outlineLevel="0" collapsed="false">
      <c r="B7045" s="130" t="n">
        <v>2027</v>
      </c>
      <c r="C7045" s="131" t="s">
        <v>252</v>
      </c>
      <c r="D7045" s="132" t="n">
        <v>46673</v>
      </c>
      <c r="E7045" s="131" t="s">
        <v>46</v>
      </c>
      <c r="F7045" s="133" t="s">
        <v>24</v>
      </c>
      <c r="G7045" s="134" t="n">
        <f aca="false">LEN('Saisie programme'!$F$267)+SUMIFS('Vols additionnels'!$E$7:$E$66,'Vols additionnels'!$C$7:$C$66,$E7045,'Vols additionnels'!$D$7:$D$66,$F7045,'Vols additionnels'!$B$7:$B$66,$D7045)</f>
        <v>0</v>
      </c>
      <c r="H7045" s="135" t="n">
        <f aca="false">$G7045*'Analyse capacite'!$F$9</f>
        <v>0</v>
      </c>
      <c r="I7045" s="135" t="n">
        <f aca="false">$G7045*'Analyse capacite'!$C$9</f>
        <v>0</v>
      </c>
      <c r="J7045" s="135" t="n">
        <f aca="false">$G7045*'Analyse capacite'!$D$9</f>
        <v>0</v>
      </c>
      <c r="K7045" s="135" t="n">
        <f aca="false">$G7045*'Analyse capacite'!$E$9</f>
        <v>0</v>
      </c>
    </row>
    <row r="7046" customFormat="false" ht="15" hidden="false" customHeight="false" outlineLevel="0" collapsed="false">
      <c r="B7046" s="130" t="n">
        <v>2027</v>
      </c>
      <c r="C7046" s="131" t="s">
        <v>252</v>
      </c>
      <c r="D7046" s="132" t="n">
        <v>46673</v>
      </c>
      <c r="E7046" s="131" t="s">
        <v>49</v>
      </c>
      <c r="F7046" s="133" t="s">
        <v>11</v>
      </c>
      <c r="G7046" s="134" t="n">
        <f aca="false">LEN('Saisie programme'!$F$268)+SUMIFS('Vols additionnels'!$E$7:$E$66,'Vols additionnels'!$C$7:$C$66,$E7046,'Vols additionnels'!$D$7:$D$66,$F7046,'Vols additionnels'!$B$7:$B$66,$D7046)</f>
        <v>0</v>
      </c>
      <c r="H7046" s="135" t="n">
        <f aca="false">$G7046*'Analyse capacite'!$F$7</f>
        <v>0</v>
      </c>
      <c r="I7046" s="135" t="n">
        <f aca="false">$G7046*'Analyse capacite'!$C$7</f>
        <v>0</v>
      </c>
      <c r="J7046" s="135" t="n">
        <f aca="false">$G7046*'Analyse capacite'!$D$7</f>
        <v>0</v>
      </c>
      <c r="K7046" s="135" t="n">
        <f aca="false">$G7046*'Analyse capacite'!$E$7</f>
        <v>0</v>
      </c>
    </row>
    <row r="7047" customFormat="false" ht="15" hidden="false" customHeight="false" outlineLevel="0" collapsed="false">
      <c r="B7047" s="130" t="n">
        <v>2027</v>
      </c>
      <c r="C7047" s="131" t="s">
        <v>252</v>
      </c>
      <c r="D7047" s="132" t="n">
        <v>46673</v>
      </c>
      <c r="E7047" s="131" t="s">
        <v>49</v>
      </c>
      <c r="F7047" s="133" t="s">
        <v>19</v>
      </c>
      <c r="G7047" s="134" t="n">
        <f aca="false">LEN('Saisie programme'!$F$269)+SUMIFS('Vols additionnels'!$E$7:$E$66,'Vols additionnels'!$C$7:$C$66,$E7047,'Vols additionnels'!$D$7:$D$66,$F7047,'Vols additionnels'!$B$7:$B$66,$D7047)</f>
        <v>0</v>
      </c>
      <c r="H7047" s="135" t="n">
        <f aca="false">$G7047*'Analyse capacite'!$F$8</f>
        <v>0</v>
      </c>
      <c r="I7047" s="135" t="n">
        <f aca="false">$G7047*'Analyse capacite'!$C$8</f>
        <v>0</v>
      </c>
      <c r="J7047" s="135" t="n">
        <f aca="false">$G7047*'Analyse capacite'!$D$8</f>
        <v>0</v>
      </c>
      <c r="K7047" s="135" t="n">
        <f aca="false">$G7047*'Analyse capacite'!$E$8</f>
        <v>0</v>
      </c>
    </row>
    <row r="7048" customFormat="false" ht="15" hidden="false" customHeight="false" outlineLevel="0" collapsed="false">
      <c r="B7048" s="130" t="n">
        <v>2027</v>
      </c>
      <c r="C7048" s="131" t="s">
        <v>252</v>
      </c>
      <c r="D7048" s="132" t="n">
        <v>46673</v>
      </c>
      <c r="E7048" s="131" t="s">
        <v>49</v>
      </c>
      <c r="F7048" s="133" t="s">
        <v>24</v>
      </c>
      <c r="G7048" s="134" t="n">
        <f aca="false">LEN('Saisie programme'!$F$270)+SUMIFS('Vols additionnels'!$E$7:$E$66,'Vols additionnels'!$C$7:$C$66,$E7048,'Vols additionnels'!$D$7:$D$66,$F7048,'Vols additionnels'!$B$7:$B$66,$D7048)</f>
        <v>0</v>
      </c>
      <c r="H7048" s="135" t="n">
        <f aca="false">$G7048*'Analyse capacite'!$F$9</f>
        <v>0</v>
      </c>
      <c r="I7048" s="135" t="n">
        <f aca="false">$G7048*'Analyse capacite'!$C$9</f>
        <v>0</v>
      </c>
      <c r="J7048" s="135" t="n">
        <f aca="false">$G7048*'Analyse capacite'!$D$9</f>
        <v>0</v>
      </c>
      <c r="K7048" s="135" t="n">
        <f aca="false">$G7048*'Analyse capacite'!$E$9</f>
        <v>0</v>
      </c>
    </row>
    <row r="7049" customFormat="false" ht="15" hidden="false" customHeight="false" outlineLevel="0" collapsed="false">
      <c r="B7049" s="130" t="n">
        <v>2027</v>
      </c>
      <c r="C7049" s="131" t="s">
        <v>252</v>
      </c>
      <c r="D7049" s="132" t="n">
        <v>46673</v>
      </c>
      <c r="E7049" s="131" t="s">
        <v>53</v>
      </c>
      <c r="F7049" s="133" t="s">
        <v>11</v>
      </c>
      <c r="G7049" s="134" t="n">
        <f aca="false">LEN('Saisie programme'!$F$271)+SUMIFS('Vols additionnels'!$E$7:$E$66,'Vols additionnels'!$C$7:$C$66,$E7049,'Vols additionnels'!$D$7:$D$66,$F7049,'Vols additionnels'!$B$7:$B$66,$D7049)</f>
        <v>0</v>
      </c>
      <c r="H7049" s="135" t="n">
        <f aca="false">$G7049*'Analyse capacite'!$F$7</f>
        <v>0</v>
      </c>
      <c r="I7049" s="135" t="n">
        <f aca="false">$G7049*'Analyse capacite'!$C$7</f>
        <v>0</v>
      </c>
      <c r="J7049" s="135" t="n">
        <f aca="false">$G7049*'Analyse capacite'!$D$7</f>
        <v>0</v>
      </c>
      <c r="K7049" s="135" t="n">
        <f aca="false">$G7049*'Analyse capacite'!$E$7</f>
        <v>0</v>
      </c>
    </row>
    <row r="7050" customFormat="false" ht="15" hidden="false" customHeight="false" outlineLevel="0" collapsed="false">
      <c r="B7050" s="130" t="n">
        <v>2027</v>
      </c>
      <c r="C7050" s="131" t="s">
        <v>252</v>
      </c>
      <c r="D7050" s="132" t="n">
        <v>46673</v>
      </c>
      <c r="E7050" s="131" t="s">
        <v>53</v>
      </c>
      <c r="F7050" s="133" t="s">
        <v>19</v>
      </c>
      <c r="G7050" s="134" t="n">
        <f aca="false">LEN('Saisie programme'!$F$272)+SUMIFS('Vols additionnels'!$E$7:$E$66,'Vols additionnels'!$C$7:$C$66,$E7050,'Vols additionnels'!$D$7:$D$66,$F7050,'Vols additionnels'!$B$7:$B$66,$D7050)</f>
        <v>0</v>
      </c>
      <c r="H7050" s="135" t="n">
        <f aca="false">$G7050*'Analyse capacite'!$F$8</f>
        <v>0</v>
      </c>
      <c r="I7050" s="135" t="n">
        <f aca="false">$G7050*'Analyse capacite'!$C$8</f>
        <v>0</v>
      </c>
      <c r="J7050" s="135" t="n">
        <f aca="false">$G7050*'Analyse capacite'!$D$8</f>
        <v>0</v>
      </c>
      <c r="K7050" s="135" t="n">
        <f aca="false">$G7050*'Analyse capacite'!$E$8</f>
        <v>0</v>
      </c>
    </row>
    <row r="7051" customFormat="false" ht="15" hidden="false" customHeight="false" outlineLevel="0" collapsed="false">
      <c r="B7051" s="130" t="n">
        <v>2027</v>
      </c>
      <c r="C7051" s="131" t="s">
        <v>252</v>
      </c>
      <c r="D7051" s="132" t="n">
        <v>46673</v>
      </c>
      <c r="E7051" s="131" t="s">
        <v>53</v>
      </c>
      <c r="F7051" s="133" t="s">
        <v>24</v>
      </c>
      <c r="G7051" s="134" t="n">
        <f aca="false">LEN('Saisie programme'!$F$273)+SUMIFS('Vols additionnels'!$E$7:$E$66,'Vols additionnels'!$C$7:$C$66,$E7051,'Vols additionnels'!$D$7:$D$66,$F7051,'Vols additionnels'!$B$7:$B$66,$D7051)</f>
        <v>0</v>
      </c>
      <c r="H7051" s="135" t="n">
        <f aca="false">$G7051*'Analyse capacite'!$F$9</f>
        <v>0</v>
      </c>
      <c r="I7051" s="135" t="n">
        <f aca="false">$G7051*'Analyse capacite'!$C$9</f>
        <v>0</v>
      </c>
      <c r="J7051" s="135" t="n">
        <f aca="false">$G7051*'Analyse capacite'!$D$9</f>
        <v>0</v>
      </c>
      <c r="K7051" s="135" t="n">
        <f aca="false">$G7051*'Analyse capacite'!$E$9</f>
        <v>0</v>
      </c>
    </row>
    <row r="7052" customFormat="false" ht="15" hidden="false" customHeight="false" outlineLevel="0" collapsed="false">
      <c r="B7052" s="130" t="n">
        <v>2027</v>
      </c>
      <c r="C7052" s="131" t="s">
        <v>252</v>
      </c>
      <c r="D7052" s="132" t="n">
        <v>46673</v>
      </c>
      <c r="E7052" s="131" t="s">
        <v>56</v>
      </c>
      <c r="F7052" s="133" t="s">
        <v>11</v>
      </c>
      <c r="G7052" s="134" t="n">
        <f aca="false">LEN('Saisie programme'!$F$274)+SUMIFS('Vols additionnels'!$E$7:$E$66,'Vols additionnels'!$C$7:$C$66,$E7052,'Vols additionnels'!$D$7:$D$66,$F7052,'Vols additionnels'!$B$7:$B$66,$D7052)</f>
        <v>0</v>
      </c>
      <c r="H7052" s="135" t="n">
        <f aca="false">$G7052*'Analyse capacite'!$F$7</f>
        <v>0</v>
      </c>
      <c r="I7052" s="135" t="n">
        <f aca="false">$G7052*'Analyse capacite'!$C$7</f>
        <v>0</v>
      </c>
      <c r="J7052" s="135" t="n">
        <f aca="false">$G7052*'Analyse capacite'!$D$7</f>
        <v>0</v>
      </c>
      <c r="K7052" s="135" t="n">
        <f aca="false">$G7052*'Analyse capacite'!$E$7</f>
        <v>0</v>
      </c>
    </row>
    <row r="7053" customFormat="false" ht="15" hidden="false" customHeight="false" outlineLevel="0" collapsed="false">
      <c r="B7053" s="130" t="n">
        <v>2027</v>
      </c>
      <c r="C7053" s="131" t="s">
        <v>252</v>
      </c>
      <c r="D7053" s="132" t="n">
        <v>46673</v>
      </c>
      <c r="E7053" s="131" t="s">
        <v>56</v>
      </c>
      <c r="F7053" s="133" t="s">
        <v>19</v>
      </c>
      <c r="G7053" s="134" t="n">
        <f aca="false">LEN('Saisie programme'!$F$275)+SUMIFS('Vols additionnels'!$E$7:$E$66,'Vols additionnels'!$C$7:$C$66,$E7053,'Vols additionnels'!$D$7:$D$66,$F7053,'Vols additionnels'!$B$7:$B$66,$D7053)</f>
        <v>0</v>
      </c>
      <c r="H7053" s="135" t="n">
        <f aca="false">$G7053*'Analyse capacite'!$F$8</f>
        <v>0</v>
      </c>
      <c r="I7053" s="135" t="n">
        <f aca="false">$G7053*'Analyse capacite'!$C$8</f>
        <v>0</v>
      </c>
      <c r="J7053" s="135" t="n">
        <f aca="false">$G7053*'Analyse capacite'!$D$8</f>
        <v>0</v>
      </c>
      <c r="K7053" s="135" t="n">
        <f aca="false">$G7053*'Analyse capacite'!$E$8</f>
        <v>0</v>
      </c>
    </row>
    <row r="7054" customFormat="false" ht="15" hidden="false" customHeight="false" outlineLevel="0" collapsed="false">
      <c r="B7054" s="130" t="n">
        <v>2027</v>
      </c>
      <c r="C7054" s="131" t="s">
        <v>252</v>
      </c>
      <c r="D7054" s="132" t="n">
        <v>46673</v>
      </c>
      <c r="E7054" s="131" t="s">
        <v>56</v>
      </c>
      <c r="F7054" s="133" t="s">
        <v>24</v>
      </c>
      <c r="G7054" s="134" t="n">
        <f aca="false">LEN('Saisie programme'!$F$276)+SUMIFS('Vols additionnels'!$E$7:$E$66,'Vols additionnels'!$C$7:$C$66,$E7054,'Vols additionnels'!$D$7:$D$66,$F7054,'Vols additionnels'!$B$7:$B$66,$D7054)</f>
        <v>0</v>
      </c>
      <c r="H7054" s="135" t="n">
        <f aca="false">$G7054*'Analyse capacite'!$F$9</f>
        <v>0</v>
      </c>
      <c r="I7054" s="135" t="n">
        <f aca="false">$G7054*'Analyse capacite'!$C$9</f>
        <v>0</v>
      </c>
      <c r="J7054" s="135" t="n">
        <f aca="false">$G7054*'Analyse capacite'!$D$9</f>
        <v>0</v>
      </c>
      <c r="K7054" s="135" t="n">
        <f aca="false">$G7054*'Analyse capacite'!$E$9</f>
        <v>0</v>
      </c>
    </row>
    <row r="7055" customFormat="false" ht="15" hidden="false" customHeight="false" outlineLevel="0" collapsed="false">
      <c r="B7055" s="130" t="n">
        <v>2027</v>
      </c>
      <c r="C7055" s="131" t="s">
        <v>252</v>
      </c>
      <c r="D7055" s="132" t="n">
        <v>46673</v>
      </c>
      <c r="E7055" s="131" t="s">
        <v>59</v>
      </c>
      <c r="F7055" s="133" t="s">
        <v>11</v>
      </c>
      <c r="G7055" s="134" t="n">
        <f aca="false">LEN('Saisie programme'!$F$277)+SUMIFS('Vols additionnels'!$E$7:$E$66,'Vols additionnels'!$C$7:$C$66,$E7055,'Vols additionnels'!$D$7:$D$66,$F7055,'Vols additionnels'!$B$7:$B$66,$D7055)</f>
        <v>0</v>
      </c>
      <c r="H7055" s="135" t="n">
        <f aca="false">$G7055*'Analyse capacite'!$F$7</f>
        <v>0</v>
      </c>
      <c r="I7055" s="135" t="n">
        <f aca="false">$G7055*'Analyse capacite'!$C$7</f>
        <v>0</v>
      </c>
      <c r="J7055" s="135" t="n">
        <f aca="false">$G7055*'Analyse capacite'!$D$7</f>
        <v>0</v>
      </c>
      <c r="K7055" s="135" t="n">
        <f aca="false">$G7055*'Analyse capacite'!$E$7</f>
        <v>0</v>
      </c>
    </row>
    <row r="7056" customFormat="false" ht="15" hidden="false" customHeight="false" outlineLevel="0" collapsed="false">
      <c r="B7056" s="130" t="n">
        <v>2027</v>
      </c>
      <c r="C7056" s="131" t="s">
        <v>252</v>
      </c>
      <c r="D7056" s="132" t="n">
        <v>46673</v>
      </c>
      <c r="E7056" s="131" t="s">
        <v>59</v>
      </c>
      <c r="F7056" s="133" t="s">
        <v>19</v>
      </c>
      <c r="G7056" s="134" t="n">
        <f aca="false">LEN('Saisie programme'!$F$278)+SUMIFS('Vols additionnels'!$E$7:$E$66,'Vols additionnels'!$C$7:$C$66,$E7056,'Vols additionnels'!$D$7:$D$66,$F7056,'Vols additionnels'!$B$7:$B$66,$D7056)</f>
        <v>0</v>
      </c>
      <c r="H7056" s="135" t="n">
        <f aca="false">$G7056*'Analyse capacite'!$F$8</f>
        <v>0</v>
      </c>
      <c r="I7056" s="135" t="n">
        <f aca="false">$G7056*'Analyse capacite'!$C$8</f>
        <v>0</v>
      </c>
      <c r="J7056" s="135" t="n">
        <f aca="false">$G7056*'Analyse capacite'!$D$8</f>
        <v>0</v>
      </c>
      <c r="K7056" s="135" t="n">
        <f aca="false">$G7056*'Analyse capacite'!$E$8</f>
        <v>0</v>
      </c>
    </row>
    <row r="7057" customFormat="false" ht="15" hidden="false" customHeight="false" outlineLevel="0" collapsed="false">
      <c r="B7057" s="130" t="n">
        <v>2027</v>
      </c>
      <c r="C7057" s="131" t="s">
        <v>252</v>
      </c>
      <c r="D7057" s="132" t="n">
        <v>46673</v>
      </c>
      <c r="E7057" s="131" t="s">
        <v>59</v>
      </c>
      <c r="F7057" s="133" t="s">
        <v>24</v>
      </c>
      <c r="G7057" s="134" t="n">
        <f aca="false">LEN('Saisie programme'!$F$279)+SUMIFS('Vols additionnels'!$E$7:$E$66,'Vols additionnels'!$C$7:$C$66,$E7057,'Vols additionnels'!$D$7:$D$66,$F7057,'Vols additionnels'!$B$7:$B$66,$D7057)</f>
        <v>1</v>
      </c>
      <c r="H7057" s="135" t="n">
        <f aca="false">$G7057*'Analyse capacite'!$F$9</f>
        <v>174</v>
      </c>
      <c r="I7057" s="135" t="n">
        <f aca="false">$G7057*'Analyse capacite'!$C$9</f>
        <v>0</v>
      </c>
      <c r="J7057" s="135" t="n">
        <f aca="false">$G7057*'Analyse capacite'!$D$9</f>
        <v>12</v>
      </c>
      <c r="K7057" s="135" t="n">
        <f aca="false">$G7057*'Analyse capacite'!$E$9</f>
        <v>162</v>
      </c>
    </row>
    <row r="7058" customFormat="false" ht="15" hidden="false" customHeight="false" outlineLevel="0" collapsed="false">
      <c r="B7058" s="130" t="n">
        <v>2027</v>
      </c>
      <c r="C7058" s="131" t="s">
        <v>252</v>
      </c>
      <c r="D7058" s="132" t="n">
        <v>46673</v>
      </c>
      <c r="E7058" s="131" t="s">
        <v>62</v>
      </c>
      <c r="F7058" s="133" t="s">
        <v>11</v>
      </c>
      <c r="G7058" s="134" t="n">
        <f aca="false">LEN('Saisie programme'!$F$280)+SUMIFS('Vols additionnels'!$E$7:$E$66,'Vols additionnels'!$C$7:$C$66,$E7058,'Vols additionnels'!$D$7:$D$66,$F7058,'Vols additionnels'!$B$7:$B$66,$D7058)</f>
        <v>0</v>
      </c>
      <c r="H7058" s="135" t="n">
        <f aca="false">$G7058*'Analyse capacite'!$F$7</f>
        <v>0</v>
      </c>
      <c r="I7058" s="135" t="n">
        <f aca="false">$G7058*'Analyse capacite'!$C$7</f>
        <v>0</v>
      </c>
      <c r="J7058" s="135" t="n">
        <f aca="false">$G7058*'Analyse capacite'!$D$7</f>
        <v>0</v>
      </c>
      <c r="K7058" s="135" t="n">
        <f aca="false">$G7058*'Analyse capacite'!$E$7</f>
        <v>0</v>
      </c>
    </row>
    <row r="7059" customFormat="false" ht="15" hidden="false" customHeight="false" outlineLevel="0" collapsed="false">
      <c r="B7059" s="130" t="n">
        <v>2027</v>
      </c>
      <c r="C7059" s="131" t="s">
        <v>252</v>
      </c>
      <c r="D7059" s="132" t="n">
        <v>46673</v>
      </c>
      <c r="E7059" s="131" t="s">
        <v>62</v>
      </c>
      <c r="F7059" s="133" t="s">
        <v>19</v>
      </c>
      <c r="G7059" s="134" t="n">
        <f aca="false">LEN('Saisie programme'!$F$281)+SUMIFS('Vols additionnels'!$E$7:$E$66,'Vols additionnels'!$C$7:$C$66,$E7059,'Vols additionnels'!$D$7:$D$66,$F7059,'Vols additionnels'!$B$7:$B$66,$D7059)</f>
        <v>0</v>
      </c>
      <c r="H7059" s="135" t="n">
        <f aca="false">$G7059*'Analyse capacite'!$F$8</f>
        <v>0</v>
      </c>
      <c r="I7059" s="135" t="n">
        <f aca="false">$G7059*'Analyse capacite'!$C$8</f>
        <v>0</v>
      </c>
      <c r="J7059" s="135" t="n">
        <f aca="false">$G7059*'Analyse capacite'!$D$8</f>
        <v>0</v>
      </c>
      <c r="K7059" s="135" t="n">
        <f aca="false">$G7059*'Analyse capacite'!$E$8</f>
        <v>0</v>
      </c>
    </row>
    <row r="7060" customFormat="false" ht="15" hidden="false" customHeight="false" outlineLevel="0" collapsed="false">
      <c r="B7060" s="130" t="n">
        <v>2027</v>
      </c>
      <c r="C7060" s="131" t="s">
        <v>252</v>
      </c>
      <c r="D7060" s="132" t="n">
        <v>46673</v>
      </c>
      <c r="E7060" s="131" t="s">
        <v>62</v>
      </c>
      <c r="F7060" s="133" t="s">
        <v>24</v>
      </c>
      <c r="G7060" s="134" t="n">
        <f aca="false">LEN('Saisie programme'!$F$282)+SUMIFS('Vols additionnels'!$E$7:$E$66,'Vols additionnels'!$C$7:$C$66,$E7060,'Vols additionnels'!$D$7:$D$66,$F7060,'Vols additionnels'!$B$7:$B$66,$D7060)</f>
        <v>1</v>
      </c>
      <c r="H7060" s="135" t="n">
        <f aca="false">$G7060*'Analyse capacite'!$F$9</f>
        <v>174</v>
      </c>
      <c r="I7060" s="135" t="n">
        <f aca="false">$G7060*'Analyse capacite'!$C$9</f>
        <v>0</v>
      </c>
      <c r="J7060" s="135" t="n">
        <f aca="false">$G7060*'Analyse capacite'!$D$9</f>
        <v>12</v>
      </c>
      <c r="K7060" s="135" t="n">
        <f aca="false">$G7060*'Analyse capacite'!$E$9</f>
        <v>162</v>
      </c>
    </row>
    <row r="7061" customFormat="false" ht="15" hidden="false" customHeight="false" outlineLevel="0" collapsed="false">
      <c r="B7061" s="130" t="n">
        <v>2027</v>
      </c>
      <c r="C7061" s="131" t="s">
        <v>252</v>
      </c>
      <c r="D7061" s="132" t="n">
        <v>46674</v>
      </c>
      <c r="E7061" s="131" t="s">
        <v>12</v>
      </c>
      <c r="F7061" s="133" t="s">
        <v>11</v>
      </c>
      <c r="G7061" s="134" t="n">
        <f aca="false">LEN('Saisie programme'!$G$247)+SUMIFS('Vols additionnels'!$E$7:$E$66,'Vols additionnels'!$C$7:$C$66,$E7061,'Vols additionnels'!$D$7:$D$66,$F7061,'Vols additionnels'!$B$7:$B$66,$D7061)</f>
        <v>1</v>
      </c>
      <c r="H7061" s="135" t="n">
        <f aca="false">$G7061*'Analyse capacite'!$F$7</f>
        <v>438</v>
      </c>
      <c r="I7061" s="135" t="n">
        <f aca="false">$G7061*'Analyse capacite'!$C$7</f>
        <v>14</v>
      </c>
      <c r="J7061" s="135" t="n">
        <f aca="false">$G7061*'Analyse capacite'!$D$7</f>
        <v>40</v>
      </c>
      <c r="K7061" s="135" t="n">
        <f aca="false">$G7061*'Analyse capacite'!$E$7</f>
        <v>384</v>
      </c>
    </row>
    <row r="7062" customFormat="false" ht="15" hidden="false" customHeight="false" outlineLevel="0" collapsed="false">
      <c r="B7062" s="130" t="n">
        <v>2027</v>
      </c>
      <c r="C7062" s="131" t="s">
        <v>252</v>
      </c>
      <c r="D7062" s="132" t="n">
        <v>46674</v>
      </c>
      <c r="E7062" s="131" t="s">
        <v>12</v>
      </c>
      <c r="F7062" s="133" t="s">
        <v>19</v>
      </c>
      <c r="G7062" s="134" t="n">
        <f aca="false">LEN('Saisie programme'!$G$248)+SUMIFS('Vols additionnels'!$E$7:$E$66,'Vols additionnels'!$C$7:$C$66,$E7062,'Vols additionnels'!$D$7:$D$66,$F7062,'Vols additionnels'!$B$7:$B$66,$D7062)</f>
        <v>0</v>
      </c>
      <c r="H7062" s="135" t="n">
        <f aca="false">$G7062*'Analyse capacite'!$F$8</f>
        <v>0</v>
      </c>
      <c r="I7062" s="135" t="n">
        <f aca="false">$G7062*'Analyse capacite'!$C$8</f>
        <v>0</v>
      </c>
      <c r="J7062" s="135" t="n">
        <f aca="false">$G7062*'Analyse capacite'!$D$8</f>
        <v>0</v>
      </c>
      <c r="K7062" s="135" t="n">
        <f aca="false">$G7062*'Analyse capacite'!$E$8</f>
        <v>0</v>
      </c>
    </row>
    <row r="7063" customFormat="false" ht="15" hidden="false" customHeight="false" outlineLevel="0" collapsed="false">
      <c r="B7063" s="130" t="n">
        <v>2027</v>
      </c>
      <c r="C7063" s="131" t="s">
        <v>252</v>
      </c>
      <c r="D7063" s="132" t="n">
        <v>46674</v>
      </c>
      <c r="E7063" s="131" t="s">
        <v>12</v>
      </c>
      <c r="F7063" s="133" t="s">
        <v>24</v>
      </c>
      <c r="G7063" s="134" t="n">
        <f aca="false">LEN('Saisie programme'!$G$249)+SUMIFS('Vols additionnels'!$E$7:$E$66,'Vols additionnels'!$C$7:$C$66,$E7063,'Vols additionnels'!$D$7:$D$66,$F7063,'Vols additionnels'!$B$7:$B$66,$D7063)</f>
        <v>0</v>
      </c>
      <c r="H7063" s="135" t="n">
        <f aca="false">$G7063*'Analyse capacite'!$F$9</f>
        <v>0</v>
      </c>
      <c r="I7063" s="135" t="n">
        <f aca="false">$G7063*'Analyse capacite'!$C$9</f>
        <v>0</v>
      </c>
      <c r="J7063" s="135" t="n">
        <f aca="false">$G7063*'Analyse capacite'!$D$9</f>
        <v>0</v>
      </c>
      <c r="K7063" s="135" t="n">
        <f aca="false">$G7063*'Analyse capacite'!$E$9</f>
        <v>0</v>
      </c>
    </row>
    <row r="7064" customFormat="false" ht="15" hidden="false" customHeight="false" outlineLevel="0" collapsed="false">
      <c r="B7064" s="130" t="n">
        <v>2027</v>
      </c>
      <c r="C7064" s="131" t="s">
        <v>252</v>
      </c>
      <c r="D7064" s="132" t="n">
        <v>46674</v>
      </c>
      <c r="E7064" s="131" t="s">
        <v>20</v>
      </c>
      <c r="F7064" s="133" t="s">
        <v>11</v>
      </c>
      <c r="G7064" s="134" t="n">
        <f aca="false">LEN('Saisie programme'!$G$250)+SUMIFS('Vols additionnels'!$E$7:$E$66,'Vols additionnels'!$C$7:$C$66,$E7064,'Vols additionnels'!$D$7:$D$66,$F7064,'Vols additionnels'!$B$7:$B$66,$D7064)</f>
        <v>0</v>
      </c>
      <c r="H7064" s="135" t="n">
        <f aca="false">$G7064*'Analyse capacite'!$F$7</f>
        <v>0</v>
      </c>
      <c r="I7064" s="135" t="n">
        <f aca="false">$G7064*'Analyse capacite'!$C$7</f>
        <v>0</v>
      </c>
      <c r="J7064" s="135" t="n">
        <f aca="false">$G7064*'Analyse capacite'!$D$7</f>
        <v>0</v>
      </c>
      <c r="K7064" s="135" t="n">
        <f aca="false">$G7064*'Analyse capacite'!$E$7</f>
        <v>0</v>
      </c>
    </row>
    <row r="7065" customFormat="false" ht="15" hidden="false" customHeight="false" outlineLevel="0" collapsed="false">
      <c r="B7065" s="130" t="n">
        <v>2027</v>
      </c>
      <c r="C7065" s="131" t="s">
        <v>252</v>
      </c>
      <c r="D7065" s="132" t="n">
        <v>46674</v>
      </c>
      <c r="E7065" s="131" t="s">
        <v>20</v>
      </c>
      <c r="F7065" s="133" t="s">
        <v>19</v>
      </c>
      <c r="G7065" s="134" t="n">
        <f aca="false">LEN('Saisie programme'!$G$251)+SUMIFS('Vols additionnels'!$E$7:$E$66,'Vols additionnels'!$C$7:$C$66,$E7065,'Vols additionnels'!$D$7:$D$66,$F7065,'Vols additionnels'!$B$7:$B$66,$D7065)</f>
        <v>0</v>
      </c>
      <c r="H7065" s="135" t="n">
        <f aca="false">$G7065*'Analyse capacite'!$F$8</f>
        <v>0</v>
      </c>
      <c r="I7065" s="135" t="n">
        <f aca="false">$G7065*'Analyse capacite'!$C$8</f>
        <v>0</v>
      </c>
      <c r="J7065" s="135" t="n">
        <f aca="false">$G7065*'Analyse capacite'!$D$8</f>
        <v>0</v>
      </c>
      <c r="K7065" s="135" t="n">
        <f aca="false">$G7065*'Analyse capacite'!$E$8</f>
        <v>0</v>
      </c>
    </row>
    <row r="7066" customFormat="false" ht="15" hidden="false" customHeight="false" outlineLevel="0" collapsed="false">
      <c r="B7066" s="130" t="n">
        <v>2027</v>
      </c>
      <c r="C7066" s="131" t="s">
        <v>252</v>
      </c>
      <c r="D7066" s="132" t="n">
        <v>46674</v>
      </c>
      <c r="E7066" s="131" t="s">
        <v>20</v>
      </c>
      <c r="F7066" s="133" t="s">
        <v>24</v>
      </c>
      <c r="G7066" s="134" t="n">
        <f aca="false">LEN('Saisie programme'!$G$252)+SUMIFS('Vols additionnels'!$E$7:$E$66,'Vols additionnels'!$C$7:$C$66,$E7066,'Vols additionnels'!$D$7:$D$66,$F7066,'Vols additionnels'!$B$7:$B$66,$D7066)</f>
        <v>0</v>
      </c>
      <c r="H7066" s="135" t="n">
        <f aca="false">$G7066*'Analyse capacite'!$F$9</f>
        <v>0</v>
      </c>
      <c r="I7066" s="135" t="n">
        <f aca="false">$G7066*'Analyse capacite'!$C$9</f>
        <v>0</v>
      </c>
      <c r="J7066" s="135" t="n">
        <f aca="false">$G7066*'Analyse capacite'!$D$9</f>
        <v>0</v>
      </c>
      <c r="K7066" s="135" t="n">
        <f aca="false">$G7066*'Analyse capacite'!$E$9</f>
        <v>0</v>
      </c>
    </row>
    <row r="7067" customFormat="false" ht="15" hidden="false" customHeight="false" outlineLevel="0" collapsed="false">
      <c r="B7067" s="130" t="n">
        <v>2027</v>
      </c>
      <c r="C7067" s="131" t="s">
        <v>252</v>
      </c>
      <c r="D7067" s="132" t="n">
        <v>46674</v>
      </c>
      <c r="E7067" s="131" t="s">
        <v>25</v>
      </c>
      <c r="F7067" s="133" t="s">
        <v>11</v>
      </c>
      <c r="G7067" s="134" t="n">
        <f aca="false">LEN('Saisie programme'!$G$253)+SUMIFS('Vols additionnels'!$E$7:$E$66,'Vols additionnels'!$C$7:$C$66,$E7067,'Vols additionnels'!$D$7:$D$66,$F7067,'Vols additionnels'!$B$7:$B$66,$D7067)</f>
        <v>0</v>
      </c>
      <c r="H7067" s="135" t="n">
        <f aca="false">$G7067*'Analyse capacite'!$F$7</f>
        <v>0</v>
      </c>
      <c r="I7067" s="135" t="n">
        <f aca="false">$G7067*'Analyse capacite'!$C$7</f>
        <v>0</v>
      </c>
      <c r="J7067" s="135" t="n">
        <f aca="false">$G7067*'Analyse capacite'!$D$7</f>
        <v>0</v>
      </c>
      <c r="K7067" s="135" t="n">
        <f aca="false">$G7067*'Analyse capacite'!$E$7</f>
        <v>0</v>
      </c>
    </row>
    <row r="7068" customFormat="false" ht="15" hidden="false" customHeight="false" outlineLevel="0" collapsed="false">
      <c r="B7068" s="130" t="n">
        <v>2027</v>
      </c>
      <c r="C7068" s="131" t="s">
        <v>252</v>
      </c>
      <c r="D7068" s="132" t="n">
        <v>46674</v>
      </c>
      <c r="E7068" s="131" t="s">
        <v>25</v>
      </c>
      <c r="F7068" s="133" t="s">
        <v>19</v>
      </c>
      <c r="G7068" s="134" t="n">
        <f aca="false">LEN('Saisie programme'!$G$254)+SUMIFS('Vols additionnels'!$E$7:$E$66,'Vols additionnels'!$C$7:$C$66,$E7068,'Vols additionnels'!$D$7:$D$66,$F7068,'Vols additionnels'!$B$7:$B$66,$D7068)</f>
        <v>0</v>
      </c>
      <c r="H7068" s="135" t="n">
        <f aca="false">$G7068*'Analyse capacite'!$F$8</f>
        <v>0</v>
      </c>
      <c r="I7068" s="135" t="n">
        <f aca="false">$G7068*'Analyse capacite'!$C$8</f>
        <v>0</v>
      </c>
      <c r="J7068" s="135" t="n">
        <f aca="false">$G7068*'Analyse capacite'!$D$8</f>
        <v>0</v>
      </c>
      <c r="K7068" s="135" t="n">
        <f aca="false">$G7068*'Analyse capacite'!$E$8</f>
        <v>0</v>
      </c>
    </row>
    <row r="7069" customFormat="false" ht="15" hidden="false" customHeight="false" outlineLevel="0" collapsed="false">
      <c r="B7069" s="130" t="n">
        <v>2027</v>
      </c>
      <c r="C7069" s="131" t="s">
        <v>252</v>
      </c>
      <c r="D7069" s="132" t="n">
        <v>46674</v>
      </c>
      <c r="E7069" s="131" t="s">
        <v>25</v>
      </c>
      <c r="F7069" s="133" t="s">
        <v>24</v>
      </c>
      <c r="G7069" s="134" t="n">
        <f aca="false">LEN('Saisie programme'!$G$255)+SUMIFS('Vols additionnels'!$E$7:$E$66,'Vols additionnels'!$C$7:$C$66,$E7069,'Vols additionnels'!$D$7:$D$66,$F7069,'Vols additionnels'!$B$7:$B$66,$D7069)</f>
        <v>0</v>
      </c>
      <c r="H7069" s="135" t="n">
        <f aca="false">$G7069*'Analyse capacite'!$F$9</f>
        <v>0</v>
      </c>
      <c r="I7069" s="135" t="n">
        <f aca="false">$G7069*'Analyse capacite'!$C$9</f>
        <v>0</v>
      </c>
      <c r="J7069" s="135" t="n">
        <f aca="false">$G7069*'Analyse capacite'!$D$9</f>
        <v>0</v>
      </c>
      <c r="K7069" s="135" t="n">
        <f aca="false">$G7069*'Analyse capacite'!$E$9</f>
        <v>0</v>
      </c>
    </row>
    <row r="7070" customFormat="false" ht="15" hidden="false" customHeight="false" outlineLevel="0" collapsed="false">
      <c r="B7070" s="130" t="n">
        <v>2027</v>
      </c>
      <c r="C7070" s="131" t="s">
        <v>252</v>
      </c>
      <c r="D7070" s="132" t="n">
        <v>46674</v>
      </c>
      <c r="E7070" s="131" t="s">
        <v>36</v>
      </c>
      <c r="F7070" s="133" t="s">
        <v>11</v>
      </c>
      <c r="G7070" s="134" t="n">
        <f aca="false">LEN('Saisie programme'!$G$256)+SUMIFS('Vols additionnels'!$E$7:$E$66,'Vols additionnels'!$C$7:$C$66,$E7070,'Vols additionnels'!$D$7:$D$66,$F7070,'Vols additionnels'!$B$7:$B$66,$D7070)</f>
        <v>0</v>
      </c>
      <c r="H7070" s="135" t="n">
        <f aca="false">$G7070*'Analyse capacite'!$F$7</f>
        <v>0</v>
      </c>
      <c r="I7070" s="135" t="n">
        <f aca="false">$G7070*'Analyse capacite'!$C$7</f>
        <v>0</v>
      </c>
      <c r="J7070" s="135" t="n">
        <f aca="false">$G7070*'Analyse capacite'!$D$7</f>
        <v>0</v>
      </c>
      <c r="K7070" s="135" t="n">
        <f aca="false">$G7070*'Analyse capacite'!$E$7</f>
        <v>0</v>
      </c>
    </row>
    <row r="7071" customFormat="false" ht="15" hidden="false" customHeight="false" outlineLevel="0" collapsed="false">
      <c r="B7071" s="130" t="n">
        <v>2027</v>
      </c>
      <c r="C7071" s="131" t="s">
        <v>252</v>
      </c>
      <c r="D7071" s="132" t="n">
        <v>46674</v>
      </c>
      <c r="E7071" s="131" t="s">
        <v>36</v>
      </c>
      <c r="F7071" s="133" t="s">
        <v>19</v>
      </c>
      <c r="G7071" s="134" t="n">
        <f aca="false">LEN('Saisie programme'!$G$257)+SUMIFS('Vols additionnels'!$E$7:$E$66,'Vols additionnels'!$C$7:$C$66,$E7071,'Vols additionnels'!$D$7:$D$66,$F7071,'Vols additionnels'!$B$7:$B$66,$D7071)</f>
        <v>0</v>
      </c>
      <c r="H7071" s="135" t="n">
        <f aca="false">$G7071*'Analyse capacite'!$F$8</f>
        <v>0</v>
      </c>
      <c r="I7071" s="135" t="n">
        <f aca="false">$G7071*'Analyse capacite'!$C$8</f>
        <v>0</v>
      </c>
      <c r="J7071" s="135" t="n">
        <f aca="false">$G7071*'Analyse capacite'!$D$8</f>
        <v>0</v>
      </c>
      <c r="K7071" s="135" t="n">
        <f aca="false">$G7071*'Analyse capacite'!$E$8</f>
        <v>0</v>
      </c>
    </row>
    <row r="7072" customFormat="false" ht="15" hidden="false" customHeight="false" outlineLevel="0" collapsed="false">
      <c r="B7072" s="130" t="n">
        <v>2027</v>
      </c>
      <c r="C7072" s="131" t="s">
        <v>252</v>
      </c>
      <c r="D7072" s="132" t="n">
        <v>46674</v>
      </c>
      <c r="E7072" s="131" t="s">
        <v>36</v>
      </c>
      <c r="F7072" s="133" t="s">
        <v>24</v>
      </c>
      <c r="G7072" s="134" t="n">
        <f aca="false">LEN('Saisie programme'!$G$258)+SUMIFS('Vols additionnels'!$E$7:$E$66,'Vols additionnels'!$C$7:$C$66,$E7072,'Vols additionnels'!$D$7:$D$66,$F7072,'Vols additionnels'!$B$7:$B$66,$D7072)</f>
        <v>1</v>
      </c>
      <c r="H7072" s="135" t="n">
        <f aca="false">$G7072*'Analyse capacite'!$F$9</f>
        <v>174</v>
      </c>
      <c r="I7072" s="135" t="n">
        <f aca="false">$G7072*'Analyse capacite'!$C$9</f>
        <v>0</v>
      </c>
      <c r="J7072" s="135" t="n">
        <f aca="false">$G7072*'Analyse capacite'!$D$9</f>
        <v>12</v>
      </c>
      <c r="K7072" s="135" t="n">
        <f aca="false">$G7072*'Analyse capacite'!$E$9</f>
        <v>162</v>
      </c>
    </row>
    <row r="7073" customFormat="false" ht="15" hidden="false" customHeight="false" outlineLevel="0" collapsed="false">
      <c r="B7073" s="130" t="n">
        <v>2027</v>
      </c>
      <c r="C7073" s="131" t="s">
        <v>252</v>
      </c>
      <c r="D7073" s="132" t="n">
        <v>46674</v>
      </c>
      <c r="E7073" s="131" t="s">
        <v>40</v>
      </c>
      <c r="F7073" s="133" t="s">
        <v>11</v>
      </c>
      <c r="G7073" s="134" t="n">
        <f aca="false">LEN('Saisie programme'!$G$259)+SUMIFS('Vols additionnels'!$E$7:$E$66,'Vols additionnels'!$C$7:$C$66,$E7073,'Vols additionnels'!$D$7:$D$66,$F7073,'Vols additionnels'!$B$7:$B$66,$D7073)</f>
        <v>0</v>
      </c>
      <c r="H7073" s="135" t="n">
        <f aca="false">$G7073*'Analyse capacite'!$F$7</f>
        <v>0</v>
      </c>
      <c r="I7073" s="135" t="n">
        <f aca="false">$G7073*'Analyse capacite'!$C$7</f>
        <v>0</v>
      </c>
      <c r="J7073" s="135" t="n">
        <f aca="false">$G7073*'Analyse capacite'!$D$7</f>
        <v>0</v>
      </c>
      <c r="K7073" s="135" t="n">
        <f aca="false">$G7073*'Analyse capacite'!$E$7</f>
        <v>0</v>
      </c>
    </row>
    <row r="7074" customFormat="false" ht="15" hidden="false" customHeight="false" outlineLevel="0" collapsed="false">
      <c r="B7074" s="130" t="n">
        <v>2027</v>
      </c>
      <c r="C7074" s="131" t="s">
        <v>252</v>
      </c>
      <c r="D7074" s="132" t="n">
        <v>46674</v>
      </c>
      <c r="E7074" s="131" t="s">
        <v>40</v>
      </c>
      <c r="F7074" s="133" t="s">
        <v>19</v>
      </c>
      <c r="G7074" s="134" t="n">
        <f aca="false">LEN('Saisie programme'!$G$260)+SUMIFS('Vols additionnels'!$E$7:$E$66,'Vols additionnels'!$C$7:$C$66,$E7074,'Vols additionnels'!$D$7:$D$66,$F7074,'Vols additionnels'!$B$7:$B$66,$D7074)</f>
        <v>0</v>
      </c>
      <c r="H7074" s="135" t="n">
        <f aca="false">$G7074*'Analyse capacite'!$F$8</f>
        <v>0</v>
      </c>
      <c r="I7074" s="135" t="n">
        <f aca="false">$G7074*'Analyse capacite'!$C$8</f>
        <v>0</v>
      </c>
      <c r="J7074" s="135" t="n">
        <f aca="false">$G7074*'Analyse capacite'!$D$8</f>
        <v>0</v>
      </c>
      <c r="K7074" s="135" t="n">
        <f aca="false">$G7074*'Analyse capacite'!$E$8</f>
        <v>0</v>
      </c>
    </row>
    <row r="7075" customFormat="false" ht="15" hidden="false" customHeight="false" outlineLevel="0" collapsed="false">
      <c r="B7075" s="130" t="n">
        <v>2027</v>
      </c>
      <c r="C7075" s="131" t="s">
        <v>252</v>
      </c>
      <c r="D7075" s="132" t="n">
        <v>46674</v>
      </c>
      <c r="E7075" s="131" t="s">
        <v>40</v>
      </c>
      <c r="F7075" s="133" t="s">
        <v>24</v>
      </c>
      <c r="G7075" s="134" t="n">
        <f aca="false">LEN('Saisie programme'!$G$261)+SUMIFS('Vols additionnels'!$E$7:$E$66,'Vols additionnels'!$C$7:$C$66,$E7075,'Vols additionnels'!$D$7:$D$66,$F7075,'Vols additionnels'!$B$7:$B$66,$D7075)</f>
        <v>0</v>
      </c>
      <c r="H7075" s="135" t="n">
        <f aca="false">$G7075*'Analyse capacite'!$F$9</f>
        <v>0</v>
      </c>
      <c r="I7075" s="135" t="n">
        <f aca="false">$G7075*'Analyse capacite'!$C$9</f>
        <v>0</v>
      </c>
      <c r="J7075" s="135" t="n">
        <f aca="false">$G7075*'Analyse capacite'!$D$9</f>
        <v>0</v>
      </c>
      <c r="K7075" s="135" t="n">
        <f aca="false">$G7075*'Analyse capacite'!$E$9</f>
        <v>0</v>
      </c>
    </row>
    <row r="7076" customFormat="false" ht="15" hidden="false" customHeight="false" outlineLevel="0" collapsed="false">
      <c r="B7076" s="130" t="n">
        <v>2027</v>
      </c>
      <c r="C7076" s="131" t="s">
        <v>252</v>
      </c>
      <c r="D7076" s="132" t="n">
        <v>46674</v>
      </c>
      <c r="E7076" s="131" t="s">
        <v>14</v>
      </c>
      <c r="F7076" s="133" t="s">
        <v>11</v>
      </c>
      <c r="G7076" s="134" t="n">
        <f aca="false">LEN('Saisie programme'!$G$262)+SUMIFS('Vols additionnels'!$E$7:$E$66,'Vols additionnels'!$C$7:$C$66,$E7076,'Vols additionnels'!$D$7:$D$66,$F7076,'Vols additionnels'!$B$7:$B$66,$D7076)</f>
        <v>0</v>
      </c>
      <c r="H7076" s="135" t="n">
        <f aca="false">$G7076*'Analyse capacite'!$F$7</f>
        <v>0</v>
      </c>
      <c r="I7076" s="135" t="n">
        <f aca="false">$G7076*'Analyse capacite'!$C$7</f>
        <v>0</v>
      </c>
      <c r="J7076" s="135" t="n">
        <f aca="false">$G7076*'Analyse capacite'!$D$7</f>
        <v>0</v>
      </c>
      <c r="K7076" s="135" t="n">
        <f aca="false">$G7076*'Analyse capacite'!$E$7</f>
        <v>0</v>
      </c>
    </row>
    <row r="7077" customFormat="false" ht="15" hidden="false" customHeight="false" outlineLevel="0" collapsed="false">
      <c r="B7077" s="130" t="n">
        <v>2027</v>
      </c>
      <c r="C7077" s="131" t="s">
        <v>252</v>
      </c>
      <c r="D7077" s="132" t="n">
        <v>46674</v>
      </c>
      <c r="E7077" s="131" t="s">
        <v>14</v>
      </c>
      <c r="F7077" s="133" t="s">
        <v>19</v>
      </c>
      <c r="G7077" s="134" t="n">
        <f aca="false">LEN('Saisie programme'!$G$263)+SUMIFS('Vols additionnels'!$E$7:$E$66,'Vols additionnels'!$C$7:$C$66,$E7077,'Vols additionnels'!$D$7:$D$66,$F7077,'Vols additionnels'!$B$7:$B$66,$D7077)</f>
        <v>0</v>
      </c>
      <c r="H7077" s="135" t="n">
        <f aca="false">$G7077*'Analyse capacite'!$F$8</f>
        <v>0</v>
      </c>
      <c r="I7077" s="135" t="n">
        <f aca="false">$G7077*'Analyse capacite'!$C$8</f>
        <v>0</v>
      </c>
      <c r="J7077" s="135" t="n">
        <f aca="false">$G7077*'Analyse capacite'!$D$8</f>
        <v>0</v>
      </c>
      <c r="K7077" s="135" t="n">
        <f aca="false">$G7077*'Analyse capacite'!$E$8</f>
        <v>0</v>
      </c>
    </row>
    <row r="7078" customFormat="false" ht="15" hidden="false" customHeight="false" outlineLevel="0" collapsed="false">
      <c r="B7078" s="130" t="n">
        <v>2027</v>
      </c>
      <c r="C7078" s="131" t="s">
        <v>252</v>
      </c>
      <c r="D7078" s="132" t="n">
        <v>46674</v>
      </c>
      <c r="E7078" s="131" t="s">
        <v>14</v>
      </c>
      <c r="F7078" s="133" t="s">
        <v>24</v>
      </c>
      <c r="G7078" s="134" t="n">
        <f aca="false">LEN('Saisie programme'!$G$264)+SUMIFS('Vols additionnels'!$E$7:$E$66,'Vols additionnels'!$C$7:$C$66,$E7078,'Vols additionnels'!$D$7:$D$66,$F7078,'Vols additionnels'!$B$7:$B$66,$D7078)</f>
        <v>1</v>
      </c>
      <c r="H7078" s="135" t="n">
        <f aca="false">$G7078*'Analyse capacite'!$F$9</f>
        <v>174</v>
      </c>
      <c r="I7078" s="135" t="n">
        <f aca="false">$G7078*'Analyse capacite'!$C$9</f>
        <v>0</v>
      </c>
      <c r="J7078" s="135" t="n">
        <f aca="false">$G7078*'Analyse capacite'!$D$9</f>
        <v>12</v>
      </c>
      <c r="K7078" s="135" t="n">
        <f aca="false">$G7078*'Analyse capacite'!$E$9</f>
        <v>162</v>
      </c>
    </row>
    <row r="7079" customFormat="false" ht="15" hidden="false" customHeight="false" outlineLevel="0" collapsed="false">
      <c r="B7079" s="130" t="n">
        <v>2027</v>
      </c>
      <c r="C7079" s="131" t="s">
        <v>252</v>
      </c>
      <c r="D7079" s="132" t="n">
        <v>46674</v>
      </c>
      <c r="E7079" s="131" t="s">
        <v>46</v>
      </c>
      <c r="F7079" s="133" t="s">
        <v>11</v>
      </c>
      <c r="G7079" s="134" t="n">
        <f aca="false">LEN('Saisie programme'!$G$265)+SUMIFS('Vols additionnels'!$E$7:$E$66,'Vols additionnels'!$C$7:$C$66,$E7079,'Vols additionnels'!$D$7:$D$66,$F7079,'Vols additionnels'!$B$7:$B$66,$D7079)</f>
        <v>0</v>
      </c>
      <c r="H7079" s="135" t="n">
        <f aca="false">$G7079*'Analyse capacite'!$F$7</f>
        <v>0</v>
      </c>
      <c r="I7079" s="135" t="n">
        <f aca="false">$G7079*'Analyse capacite'!$C$7</f>
        <v>0</v>
      </c>
      <c r="J7079" s="135" t="n">
        <f aca="false">$G7079*'Analyse capacite'!$D$7</f>
        <v>0</v>
      </c>
      <c r="K7079" s="135" t="n">
        <f aca="false">$G7079*'Analyse capacite'!$E$7</f>
        <v>0</v>
      </c>
    </row>
    <row r="7080" customFormat="false" ht="15" hidden="false" customHeight="false" outlineLevel="0" collapsed="false">
      <c r="B7080" s="130" t="n">
        <v>2027</v>
      </c>
      <c r="C7080" s="131" t="s">
        <v>252</v>
      </c>
      <c r="D7080" s="132" t="n">
        <v>46674</v>
      </c>
      <c r="E7080" s="131" t="s">
        <v>46</v>
      </c>
      <c r="F7080" s="133" t="s">
        <v>19</v>
      </c>
      <c r="G7080" s="134" t="n">
        <f aca="false">LEN('Saisie programme'!$G$266)+SUMIFS('Vols additionnels'!$E$7:$E$66,'Vols additionnels'!$C$7:$C$66,$E7080,'Vols additionnels'!$D$7:$D$66,$F7080,'Vols additionnels'!$B$7:$B$66,$D7080)</f>
        <v>0</v>
      </c>
      <c r="H7080" s="135" t="n">
        <f aca="false">$G7080*'Analyse capacite'!$F$8</f>
        <v>0</v>
      </c>
      <c r="I7080" s="135" t="n">
        <f aca="false">$G7080*'Analyse capacite'!$C$8</f>
        <v>0</v>
      </c>
      <c r="J7080" s="135" t="n">
        <f aca="false">$G7080*'Analyse capacite'!$D$8</f>
        <v>0</v>
      </c>
      <c r="K7080" s="135" t="n">
        <f aca="false">$G7080*'Analyse capacite'!$E$8</f>
        <v>0</v>
      </c>
    </row>
    <row r="7081" customFormat="false" ht="15" hidden="false" customHeight="false" outlineLevel="0" collapsed="false">
      <c r="B7081" s="130" t="n">
        <v>2027</v>
      </c>
      <c r="C7081" s="131" t="s">
        <v>252</v>
      </c>
      <c r="D7081" s="132" t="n">
        <v>46674</v>
      </c>
      <c r="E7081" s="131" t="s">
        <v>46</v>
      </c>
      <c r="F7081" s="133" t="s">
        <v>24</v>
      </c>
      <c r="G7081" s="134" t="n">
        <f aca="false">LEN('Saisie programme'!$G$267)+SUMIFS('Vols additionnels'!$E$7:$E$66,'Vols additionnels'!$C$7:$C$66,$E7081,'Vols additionnels'!$D$7:$D$66,$F7081,'Vols additionnels'!$B$7:$B$66,$D7081)</f>
        <v>1</v>
      </c>
      <c r="H7081" s="135" t="n">
        <f aca="false">$G7081*'Analyse capacite'!$F$9</f>
        <v>174</v>
      </c>
      <c r="I7081" s="135" t="n">
        <f aca="false">$G7081*'Analyse capacite'!$C$9</f>
        <v>0</v>
      </c>
      <c r="J7081" s="135" t="n">
        <f aca="false">$G7081*'Analyse capacite'!$D$9</f>
        <v>12</v>
      </c>
      <c r="K7081" s="135" t="n">
        <f aca="false">$G7081*'Analyse capacite'!$E$9</f>
        <v>162</v>
      </c>
    </row>
    <row r="7082" customFormat="false" ht="15" hidden="false" customHeight="false" outlineLevel="0" collapsed="false">
      <c r="B7082" s="130" t="n">
        <v>2027</v>
      </c>
      <c r="C7082" s="131" t="s">
        <v>252</v>
      </c>
      <c r="D7082" s="132" t="n">
        <v>46674</v>
      </c>
      <c r="E7082" s="131" t="s">
        <v>49</v>
      </c>
      <c r="F7082" s="133" t="s">
        <v>11</v>
      </c>
      <c r="G7082" s="134" t="n">
        <f aca="false">LEN('Saisie programme'!$G$268)+SUMIFS('Vols additionnels'!$E$7:$E$66,'Vols additionnels'!$C$7:$C$66,$E7082,'Vols additionnels'!$D$7:$D$66,$F7082,'Vols additionnels'!$B$7:$B$66,$D7082)</f>
        <v>0</v>
      </c>
      <c r="H7082" s="135" t="n">
        <f aca="false">$G7082*'Analyse capacite'!$F$7</f>
        <v>0</v>
      </c>
      <c r="I7082" s="135" t="n">
        <f aca="false">$G7082*'Analyse capacite'!$C$7</f>
        <v>0</v>
      </c>
      <c r="J7082" s="135" t="n">
        <f aca="false">$G7082*'Analyse capacite'!$D$7</f>
        <v>0</v>
      </c>
      <c r="K7082" s="135" t="n">
        <f aca="false">$G7082*'Analyse capacite'!$E$7</f>
        <v>0</v>
      </c>
    </row>
    <row r="7083" customFormat="false" ht="15" hidden="false" customHeight="false" outlineLevel="0" collapsed="false">
      <c r="B7083" s="130" t="n">
        <v>2027</v>
      </c>
      <c r="C7083" s="131" t="s">
        <v>252</v>
      </c>
      <c r="D7083" s="132" t="n">
        <v>46674</v>
      </c>
      <c r="E7083" s="131" t="s">
        <v>49</v>
      </c>
      <c r="F7083" s="133" t="s">
        <v>19</v>
      </c>
      <c r="G7083" s="134" t="n">
        <f aca="false">LEN('Saisie programme'!$G$269)+SUMIFS('Vols additionnels'!$E$7:$E$66,'Vols additionnels'!$C$7:$C$66,$E7083,'Vols additionnels'!$D$7:$D$66,$F7083,'Vols additionnels'!$B$7:$B$66,$D7083)</f>
        <v>0</v>
      </c>
      <c r="H7083" s="135" t="n">
        <f aca="false">$G7083*'Analyse capacite'!$F$8</f>
        <v>0</v>
      </c>
      <c r="I7083" s="135" t="n">
        <f aca="false">$G7083*'Analyse capacite'!$C$8</f>
        <v>0</v>
      </c>
      <c r="J7083" s="135" t="n">
        <f aca="false">$G7083*'Analyse capacite'!$D$8</f>
        <v>0</v>
      </c>
      <c r="K7083" s="135" t="n">
        <f aca="false">$G7083*'Analyse capacite'!$E$8</f>
        <v>0</v>
      </c>
    </row>
    <row r="7084" customFormat="false" ht="15" hidden="false" customHeight="false" outlineLevel="0" collapsed="false">
      <c r="B7084" s="130" t="n">
        <v>2027</v>
      </c>
      <c r="C7084" s="131" t="s">
        <v>252</v>
      </c>
      <c r="D7084" s="132" t="n">
        <v>46674</v>
      </c>
      <c r="E7084" s="131" t="s">
        <v>49</v>
      </c>
      <c r="F7084" s="133" t="s">
        <v>24</v>
      </c>
      <c r="G7084" s="134" t="n">
        <f aca="false">LEN('Saisie programme'!$G$270)+SUMIFS('Vols additionnels'!$E$7:$E$66,'Vols additionnels'!$C$7:$C$66,$E7084,'Vols additionnels'!$D$7:$D$66,$F7084,'Vols additionnels'!$B$7:$B$66,$D7084)</f>
        <v>0</v>
      </c>
      <c r="H7084" s="135" t="n">
        <f aca="false">$G7084*'Analyse capacite'!$F$9</f>
        <v>0</v>
      </c>
      <c r="I7084" s="135" t="n">
        <f aca="false">$G7084*'Analyse capacite'!$C$9</f>
        <v>0</v>
      </c>
      <c r="J7084" s="135" t="n">
        <f aca="false">$G7084*'Analyse capacite'!$D$9</f>
        <v>0</v>
      </c>
      <c r="K7084" s="135" t="n">
        <f aca="false">$G7084*'Analyse capacite'!$E$9</f>
        <v>0</v>
      </c>
    </row>
    <row r="7085" customFormat="false" ht="15" hidden="false" customHeight="false" outlineLevel="0" collapsed="false">
      <c r="B7085" s="130" t="n">
        <v>2027</v>
      </c>
      <c r="C7085" s="131" t="s">
        <v>252</v>
      </c>
      <c r="D7085" s="132" t="n">
        <v>46674</v>
      </c>
      <c r="E7085" s="131" t="s">
        <v>53</v>
      </c>
      <c r="F7085" s="133" t="s">
        <v>11</v>
      </c>
      <c r="G7085" s="134" t="n">
        <f aca="false">LEN('Saisie programme'!$G$271)+SUMIFS('Vols additionnels'!$E$7:$E$66,'Vols additionnels'!$C$7:$C$66,$E7085,'Vols additionnels'!$D$7:$D$66,$F7085,'Vols additionnels'!$B$7:$B$66,$D7085)</f>
        <v>0</v>
      </c>
      <c r="H7085" s="135" t="n">
        <f aca="false">$G7085*'Analyse capacite'!$F$7</f>
        <v>0</v>
      </c>
      <c r="I7085" s="135" t="n">
        <f aca="false">$G7085*'Analyse capacite'!$C$7</f>
        <v>0</v>
      </c>
      <c r="J7085" s="135" t="n">
        <f aca="false">$G7085*'Analyse capacite'!$D$7</f>
        <v>0</v>
      </c>
      <c r="K7085" s="135" t="n">
        <f aca="false">$G7085*'Analyse capacite'!$E$7</f>
        <v>0</v>
      </c>
    </row>
    <row r="7086" customFormat="false" ht="15" hidden="false" customHeight="false" outlineLevel="0" collapsed="false">
      <c r="B7086" s="130" t="n">
        <v>2027</v>
      </c>
      <c r="C7086" s="131" t="s">
        <v>252</v>
      </c>
      <c r="D7086" s="132" t="n">
        <v>46674</v>
      </c>
      <c r="E7086" s="131" t="s">
        <v>53</v>
      </c>
      <c r="F7086" s="133" t="s">
        <v>19</v>
      </c>
      <c r="G7086" s="134" t="n">
        <f aca="false">LEN('Saisie programme'!$G$272)+SUMIFS('Vols additionnels'!$E$7:$E$66,'Vols additionnels'!$C$7:$C$66,$E7086,'Vols additionnels'!$D$7:$D$66,$F7086,'Vols additionnels'!$B$7:$B$66,$D7086)</f>
        <v>1</v>
      </c>
      <c r="H7086" s="135" t="n">
        <f aca="false">$G7086*'Analyse capacite'!$F$8</f>
        <v>262</v>
      </c>
      <c r="I7086" s="135" t="n">
        <f aca="false">$G7086*'Analyse capacite'!$C$8</f>
        <v>18</v>
      </c>
      <c r="J7086" s="135" t="n">
        <f aca="false">$G7086*'Analyse capacite'!$D$8</f>
        <v>0</v>
      </c>
      <c r="K7086" s="135" t="n">
        <f aca="false">$G7086*'Analyse capacite'!$E$8</f>
        <v>244</v>
      </c>
    </row>
    <row r="7087" customFormat="false" ht="15" hidden="false" customHeight="false" outlineLevel="0" collapsed="false">
      <c r="B7087" s="130" t="n">
        <v>2027</v>
      </c>
      <c r="C7087" s="131" t="s">
        <v>252</v>
      </c>
      <c r="D7087" s="132" t="n">
        <v>46674</v>
      </c>
      <c r="E7087" s="131" t="s">
        <v>53</v>
      </c>
      <c r="F7087" s="133" t="s">
        <v>24</v>
      </c>
      <c r="G7087" s="134" t="n">
        <f aca="false">LEN('Saisie programme'!$G$273)+SUMIFS('Vols additionnels'!$E$7:$E$66,'Vols additionnels'!$C$7:$C$66,$E7087,'Vols additionnels'!$D$7:$D$66,$F7087,'Vols additionnels'!$B$7:$B$66,$D7087)</f>
        <v>0</v>
      </c>
      <c r="H7087" s="135" t="n">
        <f aca="false">$G7087*'Analyse capacite'!$F$9</f>
        <v>0</v>
      </c>
      <c r="I7087" s="135" t="n">
        <f aca="false">$G7087*'Analyse capacite'!$C$9</f>
        <v>0</v>
      </c>
      <c r="J7087" s="135" t="n">
        <f aca="false">$G7087*'Analyse capacite'!$D$9</f>
        <v>0</v>
      </c>
      <c r="K7087" s="135" t="n">
        <f aca="false">$G7087*'Analyse capacite'!$E$9</f>
        <v>0</v>
      </c>
    </row>
    <row r="7088" customFormat="false" ht="15" hidden="false" customHeight="false" outlineLevel="0" collapsed="false">
      <c r="B7088" s="130" t="n">
        <v>2027</v>
      </c>
      <c r="C7088" s="131" t="s">
        <v>252</v>
      </c>
      <c r="D7088" s="132" t="n">
        <v>46674</v>
      </c>
      <c r="E7088" s="131" t="s">
        <v>56</v>
      </c>
      <c r="F7088" s="133" t="s">
        <v>11</v>
      </c>
      <c r="G7088" s="134" t="n">
        <f aca="false">LEN('Saisie programme'!$G$274)+SUMIFS('Vols additionnels'!$E$7:$E$66,'Vols additionnels'!$C$7:$C$66,$E7088,'Vols additionnels'!$D$7:$D$66,$F7088,'Vols additionnels'!$B$7:$B$66,$D7088)</f>
        <v>0</v>
      </c>
      <c r="H7088" s="135" t="n">
        <f aca="false">$G7088*'Analyse capacite'!$F$7</f>
        <v>0</v>
      </c>
      <c r="I7088" s="135" t="n">
        <f aca="false">$G7088*'Analyse capacite'!$C$7</f>
        <v>0</v>
      </c>
      <c r="J7088" s="135" t="n">
        <f aca="false">$G7088*'Analyse capacite'!$D$7</f>
        <v>0</v>
      </c>
      <c r="K7088" s="135" t="n">
        <f aca="false">$G7088*'Analyse capacite'!$E$7</f>
        <v>0</v>
      </c>
    </row>
    <row r="7089" customFormat="false" ht="15" hidden="false" customHeight="false" outlineLevel="0" collapsed="false">
      <c r="B7089" s="130" t="n">
        <v>2027</v>
      </c>
      <c r="C7089" s="131" t="s">
        <v>252</v>
      </c>
      <c r="D7089" s="132" t="n">
        <v>46674</v>
      </c>
      <c r="E7089" s="131" t="s">
        <v>56</v>
      </c>
      <c r="F7089" s="133" t="s">
        <v>19</v>
      </c>
      <c r="G7089" s="134" t="n">
        <f aca="false">LEN('Saisie programme'!$G$275)+SUMIFS('Vols additionnels'!$E$7:$E$66,'Vols additionnels'!$C$7:$C$66,$E7089,'Vols additionnels'!$D$7:$D$66,$F7089,'Vols additionnels'!$B$7:$B$66,$D7089)</f>
        <v>0</v>
      </c>
      <c r="H7089" s="135" t="n">
        <f aca="false">$G7089*'Analyse capacite'!$F$8</f>
        <v>0</v>
      </c>
      <c r="I7089" s="135" t="n">
        <f aca="false">$G7089*'Analyse capacite'!$C$8</f>
        <v>0</v>
      </c>
      <c r="J7089" s="135" t="n">
        <f aca="false">$G7089*'Analyse capacite'!$D$8</f>
        <v>0</v>
      </c>
      <c r="K7089" s="135" t="n">
        <f aca="false">$G7089*'Analyse capacite'!$E$8</f>
        <v>0</v>
      </c>
    </row>
    <row r="7090" customFormat="false" ht="15" hidden="false" customHeight="false" outlineLevel="0" collapsed="false">
      <c r="B7090" s="130" t="n">
        <v>2027</v>
      </c>
      <c r="C7090" s="131" t="s">
        <v>252</v>
      </c>
      <c r="D7090" s="132" t="n">
        <v>46674</v>
      </c>
      <c r="E7090" s="131" t="s">
        <v>56</v>
      </c>
      <c r="F7090" s="133" t="s">
        <v>24</v>
      </c>
      <c r="G7090" s="134" t="n">
        <f aca="false">LEN('Saisie programme'!$G$276)+SUMIFS('Vols additionnels'!$E$7:$E$66,'Vols additionnels'!$C$7:$C$66,$E7090,'Vols additionnels'!$D$7:$D$66,$F7090,'Vols additionnels'!$B$7:$B$66,$D7090)</f>
        <v>0</v>
      </c>
      <c r="H7090" s="135" t="n">
        <f aca="false">$G7090*'Analyse capacite'!$F$9</f>
        <v>0</v>
      </c>
      <c r="I7090" s="135" t="n">
        <f aca="false">$G7090*'Analyse capacite'!$C$9</f>
        <v>0</v>
      </c>
      <c r="J7090" s="135" t="n">
        <f aca="false">$G7090*'Analyse capacite'!$D$9</f>
        <v>0</v>
      </c>
      <c r="K7090" s="135" t="n">
        <f aca="false">$G7090*'Analyse capacite'!$E$9</f>
        <v>0</v>
      </c>
    </row>
    <row r="7091" customFormat="false" ht="15" hidden="false" customHeight="false" outlineLevel="0" collapsed="false">
      <c r="B7091" s="130" t="n">
        <v>2027</v>
      </c>
      <c r="C7091" s="131" t="s">
        <v>252</v>
      </c>
      <c r="D7091" s="132" t="n">
        <v>46674</v>
      </c>
      <c r="E7091" s="131" t="s">
        <v>59</v>
      </c>
      <c r="F7091" s="133" t="s">
        <v>11</v>
      </c>
      <c r="G7091" s="134" t="n">
        <f aca="false">LEN('Saisie programme'!$G$277)+SUMIFS('Vols additionnels'!$E$7:$E$66,'Vols additionnels'!$C$7:$C$66,$E7091,'Vols additionnels'!$D$7:$D$66,$F7091,'Vols additionnels'!$B$7:$B$66,$D7091)</f>
        <v>0</v>
      </c>
      <c r="H7091" s="135" t="n">
        <f aca="false">$G7091*'Analyse capacite'!$F$7</f>
        <v>0</v>
      </c>
      <c r="I7091" s="135" t="n">
        <f aca="false">$G7091*'Analyse capacite'!$C$7</f>
        <v>0</v>
      </c>
      <c r="J7091" s="135" t="n">
        <f aca="false">$G7091*'Analyse capacite'!$D$7</f>
        <v>0</v>
      </c>
      <c r="K7091" s="135" t="n">
        <f aca="false">$G7091*'Analyse capacite'!$E$7</f>
        <v>0</v>
      </c>
    </row>
    <row r="7092" customFormat="false" ht="15" hidden="false" customHeight="false" outlineLevel="0" collapsed="false">
      <c r="B7092" s="130" t="n">
        <v>2027</v>
      </c>
      <c r="C7092" s="131" t="s">
        <v>252</v>
      </c>
      <c r="D7092" s="132" t="n">
        <v>46674</v>
      </c>
      <c r="E7092" s="131" t="s">
        <v>59</v>
      </c>
      <c r="F7092" s="133" t="s">
        <v>19</v>
      </c>
      <c r="G7092" s="134" t="n">
        <f aca="false">LEN('Saisie programme'!$G$278)+SUMIFS('Vols additionnels'!$E$7:$E$66,'Vols additionnels'!$C$7:$C$66,$E7092,'Vols additionnels'!$D$7:$D$66,$F7092,'Vols additionnels'!$B$7:$B$66,$D7092)</f>
        <v>0</v>
      </c>
      <c r="H7092" s="135" t="n">
        <f aca="false">$G7092*'Analyse capacite'!$F$8</f>
        <v>0</v>
      </c>
      <c r="I7092" s="135" t="n">
        <f aca="false">$G7092*'Analyse capacite'!$C$8</f>
        <v>0</v>
      </c>
      <c r="J7092" s="135" t="n">
        <f aca="false">$G7092*'Analyse capacite'!$D$8</f>
        <v>0</v>
      </c>
      <c r="K7092" s="135" t="n">
        <f aca="false">$G7092*'Analyse capacite'!$E$8</f>
        <v>0</v>
      </c>
    </row>
    <row r="7093" customFormat="false" ht="15" hidden="false" customHeight="false" outlineLevel="0" collapsed="false">
      <c r="B7093" s="130" t="n">
        <v>2027</v>
      </c>
      <c r="C7093" s="131" t="s">
        <v>252</v>
      </c>
      <c r="D7093" s="132" t="n">
        <v>46674</v>
      </c>
      <c r="E7093" s="131" t="s">
        <v>59</v>
      </c>
      <c r="F7093" s="133" t="s">
        <v>24</v>
      </c>
      <c r="G7093" s="134" t="n">
        <f aca="false">LEN('Saisie programme'!$G$279)+SUMIFS('Vols additionnels'!$E$7:$E$66,'Vols additionnels'!$C$7:$C$66,$E7093,'Vols additionnels'!$D$7:$D$66,$F7093,'Vols additionnels'!$B$7:$B$66,$D7093)</f>
        <v>2</v>
      </c>
      <c r="H7093" s="135" t="n">
        <f aca="false">$G7093*'Analyse capacite'!$F$9</f>
        <v>348</v>
      </c>
      <c r="I7093" s="135" t="n">
        <f aca="false">$G7093*'Analyse capacite'!$C$9</f>
        <v>0</v>
      </c>
      <c r="J7093" s="135" t="n">
        <f aca="false">$G7093*'Analyse capacite'!$D$9</f>
        <v>24</v>
      </c>
      <c r="K7093" s="135" t="n">
        <f aca="false">$G7093*'Analyse capacite'!$E$9</f>
        <v>324</v>
      </c>
    </row>
    <row r="7094" customFormat="false" ht="15" hidden="false" customHeight="false" outlineLevel="0" collapsed="false">
      <c r="B7094" s="130" t="n">
        <v>2027</v>
      </c>
      <c r="C7094" s="131" t="s">
        <v>252</v>
      </c>
      <c r="D7094" s="132" t="n">
        <v>46674</v>
      </c>
      <c r="E7094" s="131" t="s">
        <v>62</v>
      </c>
      <c r="F7094" s="133" t="s">
        <v>11</v>
      </c>
      <c r="G7094" s="134" t="n">
        <f aca="false">LEN('Saisie programme'!$G$280)+SUMIFS('Vols additionnels'!$E$7:$E$66,'Vols additionnels'!$C$7:$C$66,$E7094,'Vols additionnels'!$D$7:$D$66,$F7094,'Vols additionnels'!$B$7:$B$66,$D7094)</f>
        <v>0</v>
      </c>
      <c r="H7094" s="135" t="n">
        <f aca="false">$G7094*'Analyse capacite'!$F$7</f>
        <v>0</v>
      </c>
      <c r="I7094" s="135" t="n">
        <f aca="false">$G7094*'Analyse capacite'!$C$7</f>
        <v>0</v>
      </c>
      <c r="J7094" s="135" t="n">
        <f aca="false">$G7094*'Analyse capacite'!$D$7</f>
        <v>0</v>
      </c>
      <c r="K7094" s="135" t="n">
        <f aca="false">$G7094*'Analyse capacite'!$E$7</f>
        <v>0</v>
      </c>
    </row>
    <row r="7095" customFormat="false" ht="15" hidden="false" customHeight="false" outlineLevel="0" collapsed="false">
      <c r="B7095" s="130" t="n">
        <v>2027</v>
      </c>
      <c r="C7095" s="131" t="s">
        <v>252</v>
      </c>
      <c r="D7095" s="132" t="n">
        <v>46674</v>
      </c>
      <c r="E7095" s="131" t="s">
        <v>62</v>
      </c>
      <c r="F7095" s="133" t="s">
        <v>19</v>
      </c>
      <c r="G7095" s="134" t="n">
        <f aca="false">LEN('Saisie programme'!$G$281)+SUMIFS('Vols additionnels'!$E$7:$E$66,'Vols additionnels'!$C$7:$C$66,$E7095,'Vols additionnels'!$D$7:$D$66,$F7095,'Vols additionnels'!$B$7:$B$66,$D7095)</f>
        <v>0</v>
      </c>
      <c r="H7095" s="135" t="n">
        <f aca="false">$G7095*'Analyse capacite'!$F$8</f>
        <v>0</v>
      </c>
      <c r="I7095" s="135" t="n">
        <f aca="false">$G7095*'Analyse capacite'!$C$8</f>
        <v>0</v>
      </c>
      <c r="J7095" s="135" t="n">
        <f aca="false">$G7095*'Analyse capacite'!$D$8</f>
        <v>0</v>
      </c>
      <c r="K7095" s="135" t="n">
        <f aca="false">$G7095*'Analyse capacite'!$E$8</f>
        <v>0</v>
      </c>
    </row>
    <row r="7096" customFormat="false" ht="15" hidden="false" customHeight="false" outlineLevel="0" collapsed="false">
      <c r="B7096" s="130" t="n">
        <v>2027</v>
      </c>
      <c r="C7096" s="131" t="s">
        <v>252</v>
      </c>
      <c r="D7096" s="132" t="n">
        <v>46674</v>
      </c>
      <c r="E7096" s="131" t="s">
        <v>62</v>
      </c>
      <c r="F7096" s="133" t="s">
        <v>24</v>
      </c>
      <c r="G7096" s="134" t="n">
        <f aca="false">LEN('Saisie programme'!$G$282)+SUMIFS('Vols additionnels'!$E$7:$E$66,'Vols additionnels'!$C$7:$C$66,$E7096,'Vols additionnels'!$D$7:$D$66,$F7096,'Vols additionnels'!$B$7:$B$66,$D7096)</f>
        <v>0</v>
      </c>
      <c r="H7096" s="135" t="n">
        <f aca="false">$G7096*'Analyse capacite'!$F$9</f>
        <v>0</v>
      </c>
      <c r="I7096" s="135" t="n">
        <f aca="false">$G7096*'Analyse capacite'!$C$9</f>
        <v>0</v>
      </c>
      <c r="J7096" s="135" t="n">
        <f aca="false">$G7096*'Analyse capacite'!$D$9</f>
        <v>0</v>
      </c>
      <c r="K7096" s="135" t="n">
        <f aca="false">$G7096*'Analyse capacite'!$E$9</f>
        <v>0</v>
      </c>
    </row>
    <row r="7097" customFormat="false" ht="15" hidden="false" customHeight="false" outlineLevel="0" collapsed="false">
      <c r="B7097" s="130" t="n">
        <v>2027</v>
      </c>
      <c r="C7097" s="131" t="s">
        <v>252</v>
      </c>
      <c r="D7097" s="132" t="n">
        <v>46675</v>
      </c>
      <c r="E7097" s="131" t="s">
        <v>12</v>
      </c>
      <c r="F7097" s="133" t="s">
        <v>11</v>
      </c>
      <c r="G7097" s="134" t="n">
        <f aca="false">LEN('Saisie programme'!$H$247)+SUMIFS('Vols additionnels'!$E$7:$E$66,'Vols additionnels'!$C$7:$C$66,$E7097,'Vols additionnels'!$D$7:$D$66,$F7097,'Vols additionnels'!$B$7:$B$66,$D7097)</f>
        <v>1</v>
      </c>
      <c r="H7097" s="135" t="n">
        <f aca="false">$G7097*'Analyse capacite'!$F$7</f>
        <v>438</v>
      </c>
      <c r="I7097" s="135" t="n">
        <f aca="false">$G7097*'Analyse capacite'!$C$7</f>
        <v>14</v>
      </c>
      <c r="J7097" s="135" t="n">
        <f aca="false">$G7097*'Analyse capacite'!$D$7</f>
        <v>40</v>
      </c>
      <c r="K7097" s="135" t="n">
        <f aca="false">$G7097*'Analyse capacite'!$E$7</f>
        <v>384</v>
      </c>
    </row>
    <row r="7098" customFormat="false" ht="15" hidden="false" customHeight="false" outlineLevel="0" collapsed="false">
      <c r="B7098" s="130" t="n">
        <v>2027</v>
      </c>
      <c r="C7098" s="131" t="s">
        <v>252</v>
      </c>
      <c r="D7098" s="132" t="n">
        <v>46675</v>
      </c>
      <c r="E7098" s="131" t="s">
        <v>12</v>
      </c>
      <c r="F7098" s="133" t="s">
        <v>19</v>
      </c>
      <c r="G7098" s="134" t="n">
        <f aca="false">LEN('Saisie programme'!$H$248)+SUMIFS('Vols additionnels'!$E$7:$E$66,'Vols additionnels'!$C$7:$C$66,$E7098,'Vols additionnels'!$D$7:$D$66,$F7098,'Vols additionnels'!$B$7:$B$66,$D7098)</f>
        <v>1</v>
      </c>
      <c r="H7098" s="135" t="n">
        <f aca="false">$G7098*'Analyse capacite'!$F$8</f>
        <v>262</v>
      </c>
      <c r="I7098" s="135" t="n">
        <f aca="false">$G7098*'Analyse capacite'!$C$8</f>
        <v>18</v>
      </c>
      <c r="J7098" s="135" t="n">
        <f aca="false">$G7098*'Analyse capacite'!$D$8</f>
        <v>0</v>
      </c>
      <c r="K7098" s="135" t="n">
        <f aca="false">$G7098*'Analyse capacite'!$E$8</f>
        <v>244</v>
      </c>
    </row>
    <row r="7099" customFormat="false" ht="15" hidden="false" customHeight="false" outlineLevel="0" collapsed="false">
      <c r="B7099" s="130" t="n">
        <v>2027</v>
      </c>
      <c r="C7099" s="131" t="s">
        <v>252</v>
      </c>
      <c r="D7099" s="132" t="n">
        <v>46675</v>
      </c>
      <c r="E7099" s="131" t="s">
        <v>12</v>
      </c>
      <c r="F7099" s="133" t="s">
        <v>24</v>
      </c>
      <c r="G7099" s="134" t="n">
        <f aca="false">LEN('Saisie programme'!$H$249)+SUMIFS('Vols additionnels'!$E$7:$E$66,'Vols additionnels'!$C$7:$C$66,$E7099,'Vols additionnels'!$D$7:$D$66,$F7099,'Vols additionnels'!$B$7:$B$66,$D7099)</f>
        <v>0</v>
      </c>
      <c r="H7099" s="135" t="n">
        <f aca="false">$G7099*'Analyse capacite'!$F$9</f>
        <v>0</v>
      </c>
      <c r="I7099" s="135" t="n">
        <f aca="false">$G7099*'Analyse capacite'!$C$9</f>
        <v>0</v>
      </c>
      <c r="J7099" s="135" t="n">
        <f aca="false">$G7099*'Analyse capacite'!$D$9</f>
        <v>0</v>
      </c>
      <c r="K7099" s="135" t="n">
        <f aca="false">$G7099*'Analyse capacite'!$E$9</f>
        <v>0</v>
      </c>
    </row>
    <row r="7100" customFormat="false" ht="15" hidden="false" customHeight="false" outlineLevel="0" collapsed="false">
      <c r="B7100" s="130" t="n">
        <v>2027</v>
      </c>
      <c r="C7100" s="131" t="s">
        <v>252</v>
      </c>
      <c r="D7100" s="132" t="n">
        <v>46675</v>
      </c>
      <c r="E7100" s="131" t="s">
        <v>20</v>
      </c>
      <c r="F7100" s="133" t="s">
        <v>11</v>
      </c>
      <c r="G7100" s="134" t="n">
        <f aca="false">LEN('Saisie programme'!$H$250)+SUMIFS('Vols additionnels'!$E$7:$E$66,'Vols additionnels'!$C$7:$C$66,$E7100,'Vols additionnels'!$D$7:$D$66,$F7100,'Vols additionnels'!$B$7:$B$66,$D7100)</f>
        <v>0</v>
      </c>
      <c r="H7100" s="135" t="n">
        <f aca="false">$G7100*'Analyse capacite'!$F$7</f>
        <v>0</v>
      </c>
      <c r="I7100" s="135" t="n">
        <f aca="false">$G7100*'Analyse capacite'!$C$7</f>
        <v>0</v>
      </c>
      <c r="J7100" s="135" t="n">
        <f aca="false">$G7100*'Analyse capacite'!$D$7</f>
        <v>0</v>
      </c>
      <c r="K7100" s="135" t="n">
        <f aca="false">$G7100*'Analyse capacite'!$E$7</f>
        <v>0</v>
      </c>
    </row>
    <row r="7101" customFormat="false" ht="15" hidden="false" customHeight="false" outlineLevel="0" collapsed="false">
      <c r="B7101" s="130" t="n">
        <v>2027</v>
      </c>
      <c r="C7101" s="131" t="s">
        <v>252</v>
      </c>
      <c r="D7101" s="132" t="n">
        <v>46675</v>
      </c>
      <c r="E7101" s="131" t="s">
        <v>20</v>
      </c>
      <c r="F7101" s="133" t="s">
        <v>19</v>
      </c>
      <c r="G7101" s="134" t="n">
        <f aca="false">LEN('Saisie programme'!$H$251)+SUMIFS('Vols additionnels'!$E$7:$E$66,'Vols additionnels'!$C$7:$C$66,$E7101,'Vols additionnels'!$D$7:$D$66,$F7101,'Vols additionnels'!$B$7:$B$66,$D7101)</f>
        <v>1</v>
      </c>
      <c r="H7101" s="135" t="n">
        <f aca="false">$G7101*'Analyse capacite'!$F$8</f>
        <v>262</v>
      </c>
      <c r="I7101" s="135" t="n">
        <f aca="false">$G7101*'Analyse capacite'!$C$8</f>
        <v>18</v>
      </c>
      <c r="J7101" s="135" t="n">
        <f aca="false">$G7101*'Analyse capacite'!$D$8</f>
        <v>0</v>
      </c>
      <c r="K7101" s="135" t="n">
        <f aca="false">$G7101*'Analyse capacite'!$E$8</f>
        <v>244</v>
      </c>
    </row>
    <row r="7102" customFormat="false" ht="15" hidden="false" customHeight="false" outlineLevel="0" collapsed="false">
      <c r="B7102" s="130" t="n">
        <v>2027</v>
      </c>
      <c r="C7102" s="131" t="s">
        <v>252</v>
      </c>
      <c r="D7102" s="132" t="n">
        <v>46675</v>
      </c>
      <c r="E7102" s="131" t="s">
        <v>20</v>
      </c>
      <c r="F7102" s="133" t="s">
        <v>24</v>
      </c>
      <c r="G7102" s="134" t="n">
        <f aca="false">LEN('Saisie programme'!$H$252)+SUMIFS('Vols additionnels'!$E$7:$E$66,'Vols additionnels'!$C$7:$C$66,$E7102,'Vols additionnels'!$D$7:$D$66,$F7102,'Vols additionnels'!$B$7:$B$66,$D7102)</f>
        <v>0</v>
      </c>
      <c r="H7102" s="135" t="n">
        <f aca="false">$G7102*'Analyse capacite'!$F$9</f>
        <v>0</v>
      </c>
      <c r="I7102" s="135" t="n">
        <f aca="false">$G7102*'Analyse capacite'!$C$9</f>
        <v>0</v>
      </c>
      <c r="J7102" s="135" t="n">
        <f aca="false">$G7102*'Analyse capacite'!$D$9</f>
        <v>0</v>
      </c>
      <c r="K7102" s="135" t="n">
        <f aca="false">$G7102*'Analyse capacite'!$E$9</f>
        <v>0</v>
      </c>
    </row>
    <row r="7103" customFormat="false" ht="15" hidden="false" customHeight="false" outlineLevel="0" collapsed="false">
      <c r="B7103" s="130" t="n">
        <v>2027</v>
      </c>
      <c r="C7103" s="131" t="s">
        <v>252</v>
      </c>
      <c r="D7103" s="132" t="n">
        <v>46675</v>
      </c>
      <c r="E7103" s="131" t="s">
        <v>25</v>
      </c>
      <c r="F7103" s="133" t="s">
        <v>11</v>
      </c>
      <c r="G7103" s="134" t="n">
        <f aca="false">LEN('Saisie programme'!$H$253)+SUMIFS('Vols additionnels'!$E$7:$E$66,'Vols additionnels'!$C$7:$C$66,$E7103,'Vols additionnels'!$D$7:$D$66,$F7103,'Vols additionnels'!$B$7:$B$66,$D7103)</f>
        <v>0</v>
      </c>
      <c r="H7103" s="135" t="n">
        <f aca="false">$G7103*'Analyse capacite'!$F$7</f>
        <v>0</v>
      </c>
      <c r="I7103" s="135" t="n">
        <f aca="false">$G7103*'Analyse capacite'!$C$7</f>
        <v>0</v>
      </c>
      <c r="J7103" s="135" t="n">
        <f aca="false">$G7103*'Analyse capacite'!$D$7</f>
        <v>0</v>
      </c>
      <c r="K7103" s="135" t="n">
        <f aca="false">$G7103*'Analyse capacite'!$E$7</f>
        <v>0</v>
      </c>
    </row>
    <row r="7104" customFormat="false" ht="15" hidden="false" customHeight="false" outlineLevel="0" collapsed="false">
      <c r="B7104" s="130" t="n">
        <v>2027</v>
      </c>
      <c r="C7104" s="131" t="s">
        <v>252</v>
      </c>
      <c r="D7104" s="132" t="n">
        <v>46675</v>
      </c>
      <c r="E7104" s="131" t="s">
        <v>25</v>
      </c>
      <c r="F7104" s="133" t="s">
        <v>19</v>
      </c>
      <c r="G7104" s="134" t="n">
        <f aca="false">LEN('Saisie programme'!$H$254)+SUMIFS('Vols additionnels'!$E$7:$E$66,'Vols additionnels'!$C$7:$C$66,$E7104,'Vols additionnels'!$D$7:$D$66,$F7104,'Vols additionnels'!$B$7:$B$66,$D7104)</f>
        <v>0</v>
      </c>
      <c r="H7104" s="135" t="n">
        <f aca="false">$G7104*'Analyse capacite'!$F$8</f>
        <v>0</v>
      </c>
      <c r="I7104" s="135" t="n">
        <f aca="false">$G7104*'Analyse capacite'!$C$8</f>
        <v>0</v>
      </c>
      <c r="J7104" s="135" t="n">
        <f aca="false">$G7104*'Analyse capacite'!$D$8</f>
        <v>0</v>
      </c>
      <c r="K7104" s="135" t="n">
        <f aca="false">$G7104*'Analyse capacite'!$E$8</f>
        <v>0</v>
      </c>
    </row>
    <row r="7105" customFormat="false" ht="15" hidden="false" customHeight="false" outlineLevel="0" collapsed="false">
      <c r="B7105" s="130" t="n">
        <v>2027</v>
      </c>
      <c r="C7105" s="131" t="s">
        <v>252</v>
      </c>
      <c r="D7105" s="132" t="n">
        <v>46675</v>
      </c>
      <c r="E7105" s="131" t="s">
        <v>25</v>
      </c>
      <c r="F7105" s="133" t="s">
        <v>24</v>
      </c>
      <c r="G7105" s="134" t="n">
        <f aca="false">LEN('Saisie programme'!$H$255)+SUMIFS('Vols additionnels'!$E$7:$E$66,'Vols additionnels'!$C$7:$C$66,$E7105,'Vols additionnels'!$D$7:$D$66,$F7105,'Vols additionnels'!$B$7:$B$66,$D7105)</f>
        <v>0</v>
      </c>
      <c r="H7105" s="135" t="n">
        <f aca="false">$G7105*'Analyse capacite'!$F$9</f>
        <v>0</v>
      </c>
      <c r="I7105" s="135" t="n">
        <f aca="false">$G7105*'Analyse capacite'!$C$9</f>
        <v>0</v>
      </c>
      <c r="J7105" s="135" t="n">
        <f aca="false">$G7105*'Analyse capacite'!$D$9</f>
        <v>0</v>
      </c>
      <c r="K7105" s="135" t="n">
        <f aca="false">$G7105*'Analyse capacite'!$E$9</f>
        <v>0</v>
      </c>
    </row>
    <row r="7106" customFormat="false" ht="15" hidden="false" customHeight="false" outlineLevel="0" collapsed="false">
      <c r="B7106" s="130" t="n">
        <v>2027</v>
      </c>
      <c r="C7106" s="131" t="s">
        <v>252</v>
      </c>
      <c r="D7106" s="132" t="n">
        <v>46675</v>
      </c>
      <c r="E7106" s="131" t="s">
        <v>36</v>
      </c>
      <c r="F7106" s="133" t="s">
        <v>11</v>
      </c>
      <c r="G7106" s="134" t="n">
        <f aca="false">LEN('Saisie programme'!$H$256)+SUMIFS('Vols additionnels'!$E$7:$E$66,'Vols additionnels'!$C$7:$C$66,$E7106,'Vols additionnels'!$D$7:$D$66,$F7106,'Vols additionnels'!$B$7:$B$66,$D7106)</f>
        <v>0</v>
      </c>
      <c r="H7106" s="135" t="n">
        <f aca="false">$G7106*'Analyse capacite'!$F$7</f>
        <v>0</v>
      </c>
      <c r="I7106" s="135" t="n">
        <f aca="false">$G7106*'Analyse capacite'!$C$7</f>
        <v>0</v>
      </c>
      <c r="J7106" s="135" t="n">
        <f aca="false">$G7106*'Analyse capacite'!$D$7</f>
        <v>0</v>
      </c>
      <c r="K7106" s="135" t="n">
        <f aca="false">$G7106*'Analyse capacite'!$E$7</f>
        <v>0</v>
      </c>
    </row>
    <row r="7107" customFormat="false" ht="15" hidden="false" customHeight="false" outlineLevel="0" collapsed="false">
      <c r="B7107" s="130" t="n">
        <v>2027</v>
      </c>
      <c r="C7107" s="131" t="s">
        <v>252</v>
      </c>
      <c r="D7107" s="132" t="n">
        <v>46675</v>
      </c>
      <c r="E7107" s="131" t="s">
        <v>36</v>
      </c>
      <c r="F7107" s="133" t="s">
        <v>19</v>
      </c>
      <c r="G7107" s="134" t="n">
        <f aca="false">LEN('Saisie programme'!$H$257)+SUMIFS('Vols additionnels'!$E$7:$E$66,'Vols additionnels'!$C$7:$C$66,$E7107,'Vols additionnels'!$D$7:$D$66,$F7107,'Vols additionnels'!$B$7:$B$66,$D7107)</f>
        <v>0</v>
      </c>
      <c r="H7107" s="135" t="n">
        <f aca="false">$G7107*'Analyse capacite'!$F$8</f>
        <v>0</v>
      </c>
      <c r="I7107" s="135" t="n">
        <f aca="false">$G7107*'Analyse capacite'!$C$8</f>
        <v>0</v>
      </c>
      <c r="J7107" s="135" t="n">
        <f aca="false">$G7107*'Analyse capacite'!$D$8</f>
        <v>0</v>
      </c>
      <c r="K7107" s="135" t="n">
        <f aca="false">$G7107*'Analyse capacite'!$E$8</f>
        <v>0</v>
      </c>
    </row>
    <row r="7108" customFormat="false" ht="15" hidden="false" customHeight="false" outlineLevel="0" collapsed="false">
      <c r="B7108" s="130" t="n">
        <v>2027</v>
      </c>
      <c r="C7108" s="131" t="s">
        <v>252</v>
      </c>
      <c r="D7108" s="132" t="n">
        <v>46675</v>
      </c>
      <c r="E7108" s="131" t="s">
        <v>36</v>
      </c>
      <c r="F7108" s="133" t="s">
        <v>24</v>
      </c>
      <c r="G7108" s="134" t="n">
        <f aca="false">LEN('Saisie programme'!$H$258)+SUMIFS('Vols additionnels'!$E$7:$E$66,'Vols additionnels'!$C$7:$C$66,$E7108,'Vols additionnels'!$D$7:$D$66,$F7108,'Vols additionnels'!$B$7:$B$66,$D7108)</f>
        <v>1</v>
      </c>
      <c r="H7108" s="135" t="n">
        <f aca="false">$G7108*'Analyse capacite'!$F$9</f>
        <v>174</v>
      </c>
      <c r="I7108" s="135" t="n">
        <f aca="false">$G7108*'Analyse capacite'!$C$9</f>
        <v>0</v>
      </c>
      <c r="J7108" s="135" t="n">
        <f aca="false">$G7108*'Analyse capacite'!$D$9</f>
        <v>12</v>
      </c>
      <c r="K7108" s="135" t="n">
        <f aca="false">$G7108*'Analyse capacite'!$E$9</f>
        <v>162</v>
      </c>
    </row>
    <row r="7109" customFormat="false" ht="15" hidden="false" customHeight="false" outlineLevel="0" collapsed="false">
      <c r="B7109" s="130" t="n">
        <v>2027</v>
      </c>
      <c r="C7109" s="131" t="s">
        <v>252</v>
      </c>
      <c r="D7109" s="132" t="n">
        <v>46675</v>
      </c>
      <c r="E7109" s="131" t="s">
        <v>40</v>
      </c>
      <c r="F7109" s="133" t="s">
        <v>11</v>
      </c>
      <c r="G7109" s="134" t="n">
        <f aca="false">LEN('Saisie programme'!$H$259)+SUMIFS('Vols additionnels'!$E$7:$E$66,'Vols additionnels'!$C$7:$C$66,$E7109,'Vols additionnels'!$D$7:$D$66,$F7109,'Vols additionnels'!$B$7:$B$66,$D7109)</f>
        <v>0</v>
      </c>
      <c r="H7109" s="135" t="n">
        <f aca="false">$G7109*'Analyse capacite'!$F$7</f>
        <v>0</v>
      </c>
      <c r="I7109" s="135" t="n">
        <f aca="false">$G7109*'Analyse capacite'!$C$7</f>
        <v>0</v>
      </c>
      <c r="J7109" s="135" t="n">
        <f aca="false">$G7109*'Analyse capacite'!$D$7</f>
        <v>0</v>
      </c>
      <c r="K7109" s="135" t="n">
        <f aca="false">$G7109*'Analyse capacite'!$E$7</f>
        <v>0</v>
      </c>
    </row>
    <row r="7110" customFormat="false" ht="15" hidden="false" customHeight="false" outlineLevel="0" collapsed="false">
      <c r="B7110" s="130" t="n">
        <v>2027</v>
      </c>
      <c r="C7110" s="131" t="s">
        <v>252</v>
      </c>
      <c r="D7110" s="132" t="n">
        <v>46675</v>
      </c>
      <c r="E7110" s="131" t="s">
        <v>40</v>
      </c>
      <c r="F7110" s="133" t="s">
        <v>19</v>
      </c>
      <c r="G7110" s="134" t="n">
        <f aca="false">LEN('Saisie programme'!$H$260)+SUMIFS('Vols additionnels'!$E$7:$E$66,'Vols additionnels'!$C$7:$C$66,$E7110,'Vols additionnels'!$D$7:$D$66,$F7110,'Vols additionnels'!$B$7:$B$66,$D7110)</f>
        <v>0</v>
      </c>
      <c r="H7110" s="135" t="n">
        <f aca="false">$G7110*'Analyse capacite'!$F$8</f>
        <v>0</v>
      </c>
      <c r="I7110" s="135" t="n">
        <f aca="false">$G7110*'Analyse capacite'!$C$8</f>
        <v>0</v>
      </c>
      <c r="J7110" s="135" t="n">
        <f aca="false">$G7110*'Analyse capacite'!$D$8</f>
        <v>0</v>
      </c>
      <c r="K7110" s="135" t="n">
        <f aca="false">$G7110*'Analyse capacite'!$E$8</f>
        <v>0</v>
      </c>
    </row>
    <row r="7111" customFormat="false" ht="15" hidden="false" customHeight="false" outlineLevel="0" collapsed="false">
      <c r="B7111" s="130" t="n">
        <v>2027</v>
      </c>
      <c r="C7111" s="131" t="s">
        <v>252</v>
      </c>
      <c r="D7111" s="132" t="n">
        <v>46675</v>
      </c>
      <c r="E7111" s="131" t="s">
        <v>40</v>
      </c>
      <c r="F7111" s="133" t="s">
        <v>24</v>
      </c>
      <c r="G7111" s="134" t="n">
        <f aca="false">LEN('Saisie programme'!$H$261)+SUMIFS('Vols additionnels'!$E$7:$E$66,'Vols additionnels'!$C$7:$C$66,$E7111,'Vols additionnels'!$D$7:$D$66,$F7111,'Vols additionnels'!$B$7:$B$66,$D7111)</f>
        <v>1</v>
      </c>
      <c r="H7111" s="135" t="n">
        <f aca="false">$G7111*'Analyse capacite'!$F$9</f>
        <v>174</v>
      </c>
      <c r="I7111" s="135" t="n">
        <f aca="false">$G7111*'Analyse capacite'!$C$9</f>
        <v>0</v>
      </c>
      <c r="J7111" s="135" t="n">
        <f aca="false">$G7111*'Analyse capacite'!$D$9</f>
        <v>12</v>
      </c>
      <c r="K7111" s="135" t="n">
        <f aca="false">$G7111*'Analyse capacite'!$E$9</f>
        <v>162</v>
      </c>
    </row>
    <row r="7112" customFormat="false" ht="15" hidden="false" customHeight="false" outlineLevel="0" collapsed="false">
      <c r="B7112" s="130" t="n">
        <v>2027</v>
      </c>
      <c r="C7112" s="131" t="s">
        <v>252</v>
      </c>
      <c r="D7112" s="132" t="n">
        <v>46675</v>
      </c>
      <c r="E7112" s="131" t="s">
        <v>14</v>
      </c>
      <c r="F7112" s="133" t="s">
        <v>11</v>
      </c>
      <c r="G7112" s="134" t="n">
        <f aca="false">LEN('Saisie programme'!$H$262)+SUMIFS('Vols additionnels'!$E$7:$E$66,'Vols additionnels'!$C$7:$C$66,$E7112,'Vols additionnels'!$D$7:$D$66,$F7112,'Vols additionnels'!$B$7:$B$66,$D7112)</f>
        <v>0</v>
      </c>
      <c r="H7112" s="135" t="n">
        <f aca="false">$G7112*'Analyse capacite'!$F$7</f>
        <v>0</v>
      </c>
      <c r="I7112" s="135" t="n">
        <f aca="false">$G7112*'Analyse capacite'!$C$7</f>
        <v>0</v>
      </c>
      <c r="J7112" s="135" t="n">
        <f aca="false">$G7112*'Analyse capacite'!$D$7</f>
        <v>0</v>
      </c>
      <c r="K7112" s="135" t="n">
        <f aca="false">$G7112*'Analyse capacite'!$E$7</f>
        <v>0</v>
      </c>
    </row>
    <row r="7113" customFormat="false" ht="15" hidden="false" customHeight="false" outlineLevel="0" collapsed="false">
      <c r="B7113" s="130" t="n">
        <v>2027</v>
      </c>
      <c r="C7113" s="131" t="s">
        <v>252</v>
      </c>
      <c r="D7113" s="132" t="n">
        <v>46675</v>
      </c>
      <c r="E7113" s="131" t="s">
        <v>14</v>
      </c>
      <c r="F7113" s="133" t="s">
        <v>19</v>
      </c>
      <c r="G7113" s="134" t="n">
        <f aca="false">LEN('Saisie programme'!$H$263)+SUMIFS('Vols additionnels'!$E$7:$E$66,'Vols additionnels'!$C$7:$C$66,$E7113,'Vols additionnels'!$D$7:$D$66,$F7113,'Vols additionnels'!$B$7:$B$66,$D7113)</f>
        <v>0</v>
      </c>
      <c r="H7113" s="135" t="n">
        <f aca="false">$G7113*'Analyse capacite'!$F$8</f>
        <v>0</v>
      </c>
      <c r="I7113" s="135" t="n">
        <f aca="false">$G7113*'Analyse capacite'!$C$8</f>
        <v>0</v>
      </c>
      <c r="J7113" s="135" t="n">
        <f aca="false">$G7113*'Analyse capacite'!$D$8</f>
        <v>0</v>
      </c>
      <c r="K7113" s="135" t="n">
        <f aca="false">$G7113*'Analyse capacite'!$E$8</f>
        <v>0</v>
      </c>
    </row>
    <row r="7114" customFormat="false" ht="15" hidden="false" customHeight="false" outlineLevel="0" collapsed="false">
      <c r="B7114" s="130" t="n">
        <v>2027</v>
      </c>
      <c r="C7114" s="131" t="s">
        <v>252</v>
      </c>
      <c r="D7114" s="132" t="n">
        <v>46675</v>
      </c>
      <c r="E7114" s="131" t="s">
        <v>14</v>
      </c>
      <c r="F7114" s="133" t="s">
        <v>24</v>
      </c>
      <c r="G7114" s="134" t="n">
        <f aca="false">LEN('Saisie programme'!$H$264)+SUMIFS('Vols additionnels'!$E$7:$E$66,'Vols additionnels'!$C$7:$C$66,$E7114,'Vols additionnels'!$D$7:$D$66,$F7114,'Vols additionnels'!$B$7:$B$66,$D7114)</f>
        <v>0</v>
      </c>
      <c r="H7114" s="135" t="n">
        <f aca="false">$G7114*'Analyse capacite'!$F$9</f>
        <v>0</v>
      </c>
      <c r="I7114" s="135" t="n">
        <f aca="false">$G7114*'Analyse capacite'!$C$9</f>
        <v>0</v>
      </c>
      <c r="J7114" s="135" t="n">
        <f aca="false">$G7114*'Analyse capacite'!$D$9</f>
        <v>0</v>
      </c>
      <c r="K7114" s="135" t="n">
        <f aca="false">$G7114*'Analyse capacite'!$E$9</f>
        <v>0</v>
      </c>
    </row>
    <row r="7115" customFormat="false" ht="15" hidden="false" customHeight="false" outlineLevel="0" collapsed="false">
      <c r="B7115" s="130" t="n">
        <v>2027</v>
      </c>
      <c r="C7115" s="131" t="s">
        <v>252</v>
      </c>
      <c r="D7115" s="132" t="n">
        <v>46675</v>
      </c>
      <c r="E7115" s="131" t="s">
        <v>46</v>
      </c>
      <c r="F7115" s="133" t="s">
        <v>11</v>
      </c>
      <c r="G7115" s="134" t="n">
        <f aca="false">LEN('Saisie programme'!$H$265)+SUMIFS('Vols additionnels'!$E$7:$E$66,'Vols additionnels'!$C$7:$C$66,$E7115,'Vols additionnels'!$D$7:$D$66,$F7115,'Vols additionnels'!$B$7:$B$66,$D7115)</f>
        <v>0</v>
      </c>
      <c r="H7115" s="135" t="n">
        <f aca="false">$G7115*'Analyse capacite'!$F$7</f>
        <v>0</v>
      </c>
      <c r="I7115" s="135" t="n">
        <f aca="false">$G7115*'Analyse capacite'!$C$7</f>
        <v>0</v>
      </c>
      <c r="J7115" s="135" t="n">
        <f aca="false">$G7115*'Analyse capacite'!$D$7</f>
        <v>0</v>
      </c>
      <c r="K7115" s="135" t="n">
        <f aca="false">$G7115*'Analyse capacite'!$E$7</f>
        <v>0</v>
      </c>
    </row>
    <row r="7116" customFormat="false" ht="15" hidden="false" customHeight="false" outlineLevel="0" collapsed="false">
      <c r="B7116" s="130" t="n">
        <v>2027</v>
      </c>
      <c r="C7116" s="131" t="s">
        <v>252</v>
      </c>
      <c r="D7116" s="132" t="n">
        <v>46675</v>
      </c>
      <c r="E7116" s="131" t="s">
        <v>46</v>
      </c>
      <c r="F7116" s="133" t="s">
        <v>19</v>
      </c>
      <c r="G7116" s="134" t="n">
        <f aca="false">LEN('Saisie programme'!$H$266)+SUMIFS('Vols additionnels'!$E$7:$E$66,'Vols additionnels'!$C$7:$C$66,$E7116,'Vols additionnels'!$D$7:$D$66,$F7116,'Vols additionnels'!$B$7:$B$66,$D7116)</f>
        <v>0</v>
      </c>
      <c r="H7116" s="135" t="n">
        <f aca="false">$G7116*'Analyse capacite'!$F$8</f>
        <v>0</v>
      </c>
      <c r="I7116" s="135" t="n">
        <f aca="false">$G7116*'Analyse capacite'!$C$8</f>
        <v>0</v>
      </c>
      <c r="J7116" s="135" t="n">
        <f aca="false">$G7116*'Analyse capacite'!$D$8</f>
        <v>0</v>
      </c>
      <c r="K7116" s="135" t="n">
        <f aca="false">$G7116*'Analyse capacite'!$E$8</f>
        <v>0</v>
      </c>
    </row>
    <row r="7117" customFormat="false" ht="15" hidden="false" customHeight="false" outlineLevel="0" collapsed="false">
      <c r="B7117" s="130" t="n">
        <v>2027</v>
      </c>
      <c r="C7117" s="131" t="s">
        <v>252</v>
      </c>
      <c r="D7117" s="132" t="n">
        <v>46675</v>
      </c>
      <c r="E7117" s="131" t="s">
        <v>46</v>
      </c>
      <c r="F7117" s="133" t="s">
        <v>24</v>
      </c>
      <c r="G7117" s="134" t="n">
        <f aca="false">LEN('Saisie programme'!$H$267)+SUMIFS('Vols additionnels'!$E$7:$E$66,'Vols additionnels'!$C$7:$C$66,$E7117,'Vols additionnels'!$D$7:$D$66,$F7117,'Vols additionnels'!$B$7:$B$66,$D7117)</f>
        <v>0</v>
      </c>
      <c r="H7117" s="135" t="n">
        <f aca="false">$G7117*'Analyse capacite'!$F$9</f>
        <v>0</v>
      </c>
      <c r="I7117" s="135" t="n">
        <f aca="false">$G7117*'Analyse capacite'!$C$9</f>
        <v>0</v>
      </c>
      <c r="J7117" s="135" t="n">
        <f aca="false">$G7117*'Analyse capacite'!$D$9</f>
        <v>0</v>
      </c>
      <c r="K7117" s="135" t="n">
        <f aca="false">$G7117*'Analyse capacite'!$E$9</f>
        <v>0</v>
      </c>
    </row>
    <row r="7118" customFormat="false" ht="15" hidden="false" customHeight="false" outlineLevel="0" collapsed="false">
      <c r="B7118" s="130" t="n">
        <v>2027</v>
      </c>
      <c r="C7118" s="131" t="s">
        <v>252</v>
      </c>
      <c r="D7118" s="132" t="n">
        <v>46675</v>
      </c>
      <c r="E7118" s="131" t="s">
        <v>49</v>
      </c>
      <c r="F7118" s="133" t="s">
        <v>11</v>
      </c>
      <c r="G7118" s="134" t="n">
        <f aca="false">LEN('Saisie programme'!$H$268)+SUMIFS('Vols additionnels'!$E$7:$E$66,'Vols additionnels'!$C$7:$C$66,$E7118,'Vols additionnels'!$D$7:$D$66,$F7118,'Vols additionnels'!$B$7:$B$66,$D7118)</f>
        <v>0</v>
      </c>
      <c r="H7118" s="135" t="n">
        <f aca="false">$G7118*'Analyse capacite'!$F$7</f>
        <v>0</v>
      </c>
      <c r="I7118" s="135" t="n">
        <f aca="false">$G7118*'Analyse capacite'!$C$7</f>
        <v>0</v>
      </c>
      <c r="J7118" s="135" t="n">
        <f aca="false">$G7118*'Analyse capacite'!$D$7</f>
        <v>0</v>
      </c>
      <c r="K7118" s="135" t="n">
        <f aca="false">$G7118*'Analyse capacite'!$E$7</f>
        <v>0</v>
      </c>
    </row>
    <row r="7119" customFormat="false" ht="15" hidden="false" customHeight="false" outlineLevel="0" collapsed="false">
      <c r="B7119" s="130" t="n">
        <v>2027</v>
      </c>
      <c r="C7119" s="131" t="s">
        <v>252</v>
      </c>
      <c r="D7119" s="132" t="n">
        <v>46675</v>
      </c>
      <c r="E7119" s="131" t="s">
        <v>49</v>
      </c>
      <c r="F7119" s="133" t="s">
        <v>19</v>
      </c>
      <c r="G7119" s="134" t="n">
        <f aca="false">LEN('Saisie programme'!$H$269)+SUMIFS('Vols additionnels'!$E$7:$E$66,'Vols additionnels'!$C$7:$C$66,$E7119,'Vols additionnels'!$D$7:$D$66,$F7119,'Vols additionnels'!$B$7:$B$66,$D7119)</f>
        <v>1</v>
      </c>
      <c r="H7119" s="135" t="n">
        <f aca="false">$G7119*'Analyse capacite'!$F$8</f>
        <v>262</v>
      </c>
      <c r="I7119" s="135" t="n">
        <f aca="false">$G7119*'Analyse capacite'!$C$8</f>
        <v>18</v>
      </c>
      <c r="J7119" s="135" t="n">
        <f aca="false">$G7119*'Analyse capacite'!$D$8</f>
        <v>0</v>
      </c>
      <c r="K7119" s="135" t="n">
        <f aca="false">$G7119*'Analyse capacite'!$E$8</f>
        <v>244</v>
      </c>
    </row>
    <row r="7120" customFormat="false" ht="15" hidden="false" customHeight="false" outlineLevel="0" collapsed="false">
      <c r="B7120" s="130" t="n">
        <v>2027</v>
      </c>
      <c r="C7120" s="131" t="s">
        <v>252</v>
      </c>
      <c r="D7120" s="132" t="n">
        <v>46675</v>
      </c>
      <c r="E7120" s="131" t="s">
        <v>49</v>
      </c>
      <c r="F7120" s="133" t="s">
        <v>24</v>
      </c>
      <c r="G7120" s="134" t="n">
        <f aca="false">LEN('Saisie programme'!$H$270)+SUMIFS('Vols additionnels'!$E$7:$E$66,'Vols additionnels'!$C$7:$C$66,$E7120,'Vols additionnels'!$D$7:$D$66,$F7120,'Vols additionnels'!$B$7:$B$66,$D7120)</f>
        <v>0</v>
      </c>
      <c r="H7120" s="135" t="n">
        <f aca="false">$G7120*'Analyse capacite'!$F$9</f>
        <v>0</v>
      </c>
      <c r="I7120" s="135" t="n">
        <f aca="false">$G7120*'Analyse capacite'!$C$9</f>
        <v>0</v>
      </c>
      <c r="J7120" s="135" t="n">
        <f aca="false">$G7120*'Analyse capacite'!$D$9</f>
        <v>0</v>
      </c>
      <c r="K7120" s="135" t="n">
        <f aca="false">$G7120*'Analyse capacite'!$E$9</f>
        <v>0</v>
      </c>
    </row>
    <row r="7121" customFormat="false" ht="15" hidden="false" customHeight="false" outlineLevel="0" collapsed="false">
      <c r="B7121" s="130" t="n">
        <v>2027</v>
      </c>
      <c r="C7121" s="131" t="s">
        <v>252</v>
      </c>
      <c r="D7121" s="132" t="n">
        <v>46675</v>
      </c>
      <c r="E7121" s="131" t="s">
        <v>53</v>
      </c>
      <c r="F7121" s="133" t="s">
        <v>11</v>
      </c>
      <c r="G7121" s="134" t="n">
        <f aca="false">LEN('Saisie programme'!$H$271)+SUMIFS('Vols additionnels'!$E$7:$E$66,'Vols additionnels'!$C$7:$C$66,$E7121,'Vols additionnels'!$D$7:$D$66,$F7121,'Vols additionnels'!$B$7:$B$66,$D7121)</f>
        <v>0</v>
      </c>
      <c r="H7121" s="135" t="n">
        <f aca="false">$G7121*'Analyse capacite'!$F$7</f>
        <v>0</v>
      </c>
      <c r="I7121" s="135" t="n">
        <f aca="false">$G7121*'Analyse capacite'!$C$7</f>
        <v>0</v>
      </c>
      <c r="J7121" s="135" t="n">
        <f aca="false">$G7121*'Analyse capacite'!$D$7</f>
        <v>0</v>
      </c>
      <c r="K7121" s="135" t="n">
        <f aca="false">$G7121*'Analyse capacite'!$E$7</f>
        <v>0</v>
      </c>
    </row>
    <row r="7122" customFormat="false" ht="15" hidden="false" customHeight="false" outlineLevel="0" collapsed="false">
      <c r="B7122" s="130" t="n">
        <v>2027</v>
      </c>
      <c r="C7122" s="131" t="s">
        <v>252</v>
      </c>
      <c r="D7122" s="132" t="n">
        <v>46675</v>
      </c>
      <c r="E7122" s="131" t="s">
        <v>53</v>
      </c>
      <c r="F7122" s="133" t="s">
        <v>19</v>
      </c>
      <c r="G7122" s="134" t="n">
        <f aca="false">LEN('Saisie programme'!$H$272)+SUMIFS('Vols additionnels'!$E$7:$E$66,'Vols additionnels'!$C$7:$C$66,$E7122,'Vols additionnels'!$D$7:$D$66,$F7122,'Vols additionnels'!$B$7:$B$66,$D7122)</f>
        <v>0</v>
      </c>
      <c r="H7122" s="135" t="n">
        <f aca="false">$G7122*'Analyse capacite'!$F$8</f>
        <v>0</v>
      </c>
      <c r="I7122" s="135" t="n">
        <f aca="false">$G7122*'Analyse capacite'!$C$8</f>
        <v>0</v>
      </c>
      <c r="J7122" s="135" t="n">
        <f aca="false">$G7122*'Analyse capacite'!$D$8</f>
        <v>0</v>
      </c>
      <c r="K7122" s="135" t="n">
        <f aca="false">$G7122*'Analyse capacite'!$E$8</f>
        <v>0</v>
      </c>
    </row>
    <row r="7123" customFormat="false" ht="15" hidden="false" customHeight="false" outlineLevel="0" collapsed="false">
      <c r="B7123" s="130" t="n">
        <v>2027</v>
      </c>
      <c r="C7123" s="131" t="s">
        <v>252</v>
      </c>
      <c r="D7123" s="132" t="n">
        <v>46675</v>
      </c>
      <c r="E7123" s="131" t="s">
        <v>53</v>
      </c>
      <c r="F7123" s="133" t="s">
        <v>24</v>
      </c>
      <c r="G7123" s="134" t="n">
        <f aca="false">LEN('Saisie programme'!$H$273)+SUMIFS('Vols additionnels'!$E$7:$E$66,'Vols additionnels'!$C$7:$C$66,$E7123,'Vols additionnels'!$D$7:$D$66,$F7123,'Vols additionnels'!$B$7:$B$66,$D7123)</f>
        <v>0</v>
      </c>
      <c r="H7123" s="135" t="n">
        <f aca="false">$G7123*'Analyse capacite'!$F$9</f>
        <v>0</v>
      </c>
      <c r="I7123" s="135" t="n">
        <f aca="false">$G7123*'Analyse capacite'!$C$9</f>
        <v>0</v>
      </c>
      <c r="J7123" s="135" t="n">
        <f aca="false">$G7123*'Analyse capacite'!$D$9</f>
        <v>0</v>
      </c>
      <c r="K7123" s="135" t="n">
        <f aca="false">$G7123*'Analyse capacite'!$E$9</f>
        <v>0</v>
      </c>
    </row>
    <row r="7124" customFormat="false" ht="15" hidden="false" customHeight="false" outlineLevel="0" collapsed="false">
      <c r="B7124" s="130" t="n">
        <v>2027</v>
      </c>
      <c r="C7124" s="131" t="s">
        <v>252</v>
      </c>
      <c r="D7124" s="132" t="n">
        <v>46675</v>
      </c>
      <c r="E7124" s="131" t="s">
        <v>56</v>
      </c>
      <c r="F7124" s="133" t="s">
        <v>11</v>
      </c>
      <c r="G7124" s="134" t="n">
        <f aca="false">LEN('Saisie programme'!$H$274)+SUMIFS('Vols additionnels'!$E$7:$E$66,'Vols additionnels'!$C$7:$C$66,$E7124,'Vols additionnels'!$D$7:$D$66,$F7124,'Vols additionnels'!$B$7:$B$66,$D7124)</f>
        <v>0</v>
      </c>
      <c r="H7124" s="135" t="n">
        <f aca="false">$G7124*'Analyse capacite'!$F$7</f>
        <v>0</v>
      </c>
      <c r="I7124" s="135" t="n">
        <f aca="false">$G7124*'Analyse capacite'!$C$7</f>
        <v>0</v>
      </c>
      <c r="J7124" s="135" t="n">
        <f aca="false">$G7124*'Analyse capacite'!$D$7</f>
        <v>0</v>
      </c>
      <c r="K7124" s="135" t="n">
        <f aca="false">$G7124*'Analyse capacite'!$E$7</f>
        <v>0</v>
      </c>
    </row>
    <row r="7125" customFormat="false" ht="15" hidden="false" customHeight="false" outlineLevel="0" collapsed="false">
      <c r="B7125" s="130" t="n">
        <v>2027</v>
      </c>
      <c r="C7125" s="131" t="s">
        <v>252</v>
      </c>
      <c r="D7125" s="132" t="n">
        <v>46675</v>
      </c>
      <c r="E7125" s="131" t="s">
        <v>56</v>
      </c>
      <c r="F7125" s="133" t="s">
        <v>19</v>
      </c>
      <c r="G7125" s="134" t="n">
        <f aca="false">LEN('Saisie programme'!$H$275)+SUMIFS('Vols additionnels'!$E$7:$E$66,'Vols additionnels'!$C$7:$C$66,$E7125,'Vols additionnels'!$D$7:$D$66,$F7125,'Vols additionnels'!$B$7:$B$66,$D7125)</f>
        <v>0</v>
      </c>
      <c r="H7125" s="135" t="n">
        <f aca="false">$G7125*'Analyse capacite'!$F$8</f>
        <v>0</v>
      </c>
      <c r="I7125" s="135" t="n">
        <f aca="false">$G7125*'Analyse capacite'!$C$8</f>
        <v>0</v>
      </c>
      <c r="J7125" s="135" t="n">
        <f aca="false">$G7125*'Analyse capacite'!$D$8</f>
        <v>0</v>
      </c>
      <c r="K7125" s="135" t="n">
        <f aca="false">$G7125*'Analyse capacite'!$E$8</f>
        <v>0</v>
      </c>
    </row>
    <row r="7126" customFormat="false" ht="15" hidden="false" customHeight="false" outlineLevel="0" collapsed="false">
      <c r="B7126" s="130" t="n">
        <v>2027</v>
      </c>
      <c r="C7126" s="131" t="s">
        <v>252</v>
      </c>
      <c r="D7126" s="132" t="n">
        <v>46675</v>
      </c>
      <c r="E7126" s="131" t="s">
        <v>56</v>
      </c>
      <c r="F7126" s="133" t="s">
        <v>24</v>
      </c>
      <c r="G7126" s="134" t="n">
        <f aca="false">LEN('Saisie programme'!$H$276)+SUMIFS('Vols additionnels'!$E$7:$E$66,'Vols additionnels'!$C$7:$C$66,$E7126,'Vols additionnels'!$D$7:$D$66,$F7126,'Vols additionnels'!$B$7:$B$66,$D7126)</f>
        <v>0</v>
      </c>
      <c r="H7126" s="135" t="n">
        <f aca="false">$G7126*'Analyse capacite'!$F$9</f>
        <v>0</v>
      </c>
      <c r="I7126" s="135" t="n">
        <f aca="false">$G7126*'Analyse capacite'!$C$9</f>
        <v>0</v>
      </c>
      <c r="J7126" s="135" t="n">
        <f aca="false">$G7126*'Analyse capacite'!$D$9</f>
        <v>0</v>
      </c>
      <c r="K7126" s="135" t="n">
        <f aca="false">$G7126*'Analyse capacite'!$E$9</f>
        <v>0</v>
      </c>
    </row>
    <row r="7127" customFormat="false" ht="15" hidden="false" customHeight="false" outlineLevel="0" collapsed="false">
      <c r="B7127" s="130" t="n">
        <v>2027</v>
      </c>
      <c r="C7127" s="131" t="s">
        <v>252</v>
      </c>
      <c r="D7127" s="132" t="n">
        <v>46675</v>
      </c>
      <c r="E7127" s="131" t="s">
        <v>59</v>
      </c>
      <c r="F7127" s="133" t="s">
        <v>11</v>
      </c>
      <c r="G7127" s="134" t="n">
        <f aca="false">LEN('Saisie programme'!$H$277)+SUMIFS('Vols additionnels'!$E$7:$E$66,'Vols additionnels'!$C$7:$C$66,$E7127,'Vols additionnels'!$D$7:$D$66,$F7127,'Vols additionnels'!$B$7:$B$66,$D7127)</f>
        <v>0</v>
      </c>
      <c r="H7127" s="135" t="n">
        <f aca="false">$G7127*'Analyse capacite'!$F$7</f>
        <v>0</v>
      </c>
      <c r="I7127" s="135" t="n">
        <f aca="false">$G7127*'Analyse capacite'!$C$7</f>
        <v>0</v>
      </c>
      <c r="J7127" s="135" t="n">
        <f aca="false">$G7127*'Analyse capacite'!$D$7</f>
        <v>0</v>
      </c>
      <c r="K7127" s="135" t="n">
        <f aca="false">$G7127*'Analyse capacite'!$E$7</f>
        <v>0</v>
      </c>
    </row>
    <row r="7128" customFormat="false" ht="15" hidden="false" customHeight="false" outlineLevel="0" collapsed="false">
      <c r="B7128" s="130" t="n">
        <v>2027</v>
      </c>
      <c r="C7128" s="131" t="s">
        <v>252</v>
      </c>
      <c r="D7128" s="132" t="n">
        <v>46675</v>
      </c>
      <c r="E7128" s="131" t="s">
        <v>59</v>
      </c>
      <c r="F7128" s="133" t="s">
        <v>19</v>
      </c>
      <c r="G7128" s="134" t="n">
        <f aca="false">LEN('Saisie programme'!$H$278)+SUMIFS('Vols additionnels'!$E$7:$E$66,'Vols additionnels'!$C$7:$C$66,$E7128,'Vols additionnels'!$D$7:$D$66,$F7128,'Vols additionnels'!$B$7:$B$66,$D7128)</f>
        <v>0</v>
      </c>
      <c r="H7128" s="135" t="n">
        <f aca="false">$G7128*'Analyse capacite'!$F$8</f>
        <v>0</v>
      </c>
      <c r="I7128" s="135" t="n">
        <f aca="false">$G7128*'Analyse capacite'!$C$8</f>
        <v>0</v>
      </c>
      <c r="J7128" s="135" t="n">
        <f aca="false">$G7128*'Analyse capacite'!$D$8</f>
        <v>0</v>
      </c>
      <c r="K7128" s="135" t="n">
        <f aca="false">$G7128*'Analyse capacite'!$E$8</f>
        <v>0</v>
      </c>
    </row>
    <row r="7129" customFormat="false" ht="15" hidden="false" customHeight="false" outlineLevel="0" collapsed="false">
      <c r="B7129" s="130" t="n">
        <v>2027</v>
      </c>
      <c r="C7129" s="131" t="s">
        <v>252</v>
      </c>
      <c r="D7129" s="132" t="n">
        <v>46675</v>
      </c>
      <c r="E7129" s="131" t="s">
        <v>59</v>
      </c>
      <c r="F7129" s="133" t="s">
        <v>24</v>
      </c>
      <c r="G7129" s="134" t="n">
        <f aca="false">LEN('Saisie programme'!$H$279)+SUMIFS('Vols additionnels'!$E$7:$E$66,'Vols additionnels'!$C$7:$C$66,$E7129,'Vols additionnels'!$D$7:$D$66,$F7129,'Vols additionnels'!$B$7:$B$66,$D7129)</f>
        <v>1</v>
      </c>
      <c r="H7129" s="135" t="n">
        <f aca="false">$G7129*'Analyse capacite'!$F$9</f>
        <v>174</v>
      </c>
      <c r="I7129" s="135" t="n">
        <f aca="false">$G7129*'Analyse capacite'!$C$9</f>
        <v>0</v>
      </c>
      <c r="J7129" s="135" t="n">
        <f aca="false">$G7129*'Analyse capacite'!$D$9</f>
        <v>12</v>
      </c>
      <c r="K7129" s="135" t="n">
        <f aca="false">$G7129*'Analyse capacite'!$E$9</f>
        <v>162</v>
      </c>
    </row>
    <row r="7130" customFormat="false" ht="15" hidden="false" customHeight="false" outlineLevel="0" collapsed="false">
      <c r="B7130" s="130" t="n">
        <v>2027</v>
      </c>
      <c r="C7130" s="131" t="s">
        <v>252</v>
      </c>
      <c r="D7130" s="132" t="n">
        <v>46675</v>
      </c>
      <c r="E7130" s="131" t="s">
        <v>62</v>
      </c>
      <c r="F7130" s="133" t="s">
        <v>11</v>
      </c>
      <c r="G7130" s="134" t="n">
        <f aca="false">LEN('Saisie programme'!$H$280)+SUMIFS('Vols additionnels'!$E$7:$E$66,'Vols additionnels'!$C$7:$C$66,$E7130,'Vols additionnels'!$D$7:$D$66,$F7130,'Vols additionnels'!$B$7:$B$66,$D7130)</f>
        <v>0</v>
      </c>
      <c r="H7130" s="135" t="n">
        <f aca="false">$G7130*'Analyse capacite'!$F$7</f>
        <v>0</v>
      </c>
      <c r="I7130" s="135" t="n">
        <f aca="false">$G7130*'Analyse capacite'!$C$7</f>
        <v>0</v>
      </c>
      <c r="J7130" s="135" t="n">
        <f aca="false">$G7130*'Analyse capacite'!$D$7</f>
        <v>0</v>
      </c>
      <c r="K7130" s="135" t="n">
        <f aca="false">$G7130*'Analyse capacite'!$E$7</f>
        <v>0</v>
      </c>
    </row>
    <row r="7131" customFormat="false" ht="15" hidden="false" customHeight="false" outlineLevel="0" collapsed="false">
      <c r="B7131" s="130" t="n">
        <v>2027</v>
      </c>
      <c r="C7131" s="131" t="s">
        <v>252</v>
      </c>
      <c r="D7131" s="132" t="n">
        <v>46675</v>
      </c>
      <c r="E7131" s="131" t="s">
        <v>62</v>
      </c>
      <c r="F7131" s="133" t="s">
        <v>19</v>
      </c>
      <c r="G7131" s="134" t="n">
        <f aca="false">LEN('Saisie programme'!$H$281)+SUMIFS('Vols additionnels'!$E$7:$E$66,'Vols additionnels'!$C$7:$C$66,$E7131,'Vols additionnels'!$D$7:$D$66,$F7131,'Vols additionnels'!$B$7:$B$66,$D7131)</f>
        <v>0</v>
      </c>
      <c r="H7131" s="135" t="n">
        <f aca="false">$G7131*'Analyse capacite'!$F$8</f>
        <v>0</v>
      </c>
      <c r="I7131" s="135" t="n">
        <f aca="false">$G7131*'Analyse capacite'!$C$8</f>
        <v>0</v>
      </c>
      <c r="J7131" s="135" t="n">
        <f aca="false">$G7131*'Analyse capacite'!$D$8</f>
        <v>0</v>
      </c>
      <c r="K7131" s="135" t="n">
        <f aca="false">$G7131*'Analyse capacite'!$E$8</f>
        <v>0</v>
      </c>
    </row>
    <row r="7132" customFormat="false" ht="15" hidden="false" customHeight="false" outlineLevel="0" collapsed="false">
      <c r="B7132" s="130" t="n">
        <v>2027</v>
      </c>
      <c r="C7132" s="131" t="s">
        <v>252</v>
      </c>
      <c r="D7132" s="132" t="n">
        <v>46675</v>
      </c>
      <c r="E7132" s="131" t="s">
        <v>62</v>
      </c>
      <c r="F7132" s="133" t="s">
        <v>24</v>
      </c>
      <c r="G7132" s="134" t="n">
        <f aca="false">LEN('Saisie programme'!$H$282)+SUMIFS('Vols additionnels'!$E$7:$E$66,'Vols additionnels'!$C$7:$C$66,$E7132,'Vols additionnels'!$D$7:$D$66,$F7132,'Vols additionnels'!$B$7:$B$66,$D7132)</f>
        <v>0</v>
      </c>
      <c r="H7132" s="135" t="n">
        <f aca="false">$G7132*'Analyse capacite'!$F$9</f>
        <v>0</v>
      </c>
      <c r="I7132" s="135" t="n">
        <f aca="false">$G7132*'Analyse capacite'!$C$9</f>
        <v>0</v>
      </c>
      <c r="J7132" s="135" t="n">
        <f aca="false">$G7132*'Analyse capacite'!$D$9</f>
        <v>0</v>
      </c>
      <c r="K7132" s="135" t="n">
        <f aca="false">$G7132*'Analyse capacite'!$E$9</f>
        <v>0</v>
      </c>
    </row>
    <row r="7133" customFormat="false" ht="15" hidden="false" customHeight="false" outlineLevel="0" collapsed="false">
      <c r="B7133" s="130" t="n">
        <v>2027</v>
      </c>
      <c r="C7133" s="131" t="s">
        <v>252</v>
      </c>
      <c r="D7133" s="132" t="n">
        <v>46676</v>
      </c>
      <c r="E7133" s="131" t="s">
        <v>12</v>
      </c>
      <c r="F7133" s="133" t="s">
        <v>11</v>
      </c>
      <c r="G7133" s="134" t="n">
        <f aca="false">LEN('Saisie programme'!$I$247)+SUMIFS('Vols additionnels'!$E$7:$E$66,'Vols additionnels'!$C$7:$C$66,$E7133,'Vols additionnels'!$D$7:$D$66,$F7133,'Vols additionnels'!$B$7:$B$66,$D7133)</f>
        <v>1</v>
      </c>
      <c r="H7133" s="135" t="n">
        <f aca="false">$G7133*'Analyse capacite'!$F$7</f>
        <v>438</v>
      </c>
      <c r="I7133" s="135" t="n">
        <f aca="false">$G7133*'Analyse capacite'!$C$7</f>
        <v>14</v>
      </c>
      <c r="J7133" s="135" t="n">
        <f aca="false">$G7133*'Analyse capacite'!$D$7</f>
        <v>40</v>
      </c>
      <c r="K7133" s="135" t="n">
        <f aca="false">$G7133*'Analyse capacite'!$E$7</f>
        <v>384</v>
      </c>
    </row>
    <row r="7134" customFormat="false" ht="15" hidden="false" customHeight="false" outlineLevel="0" collapsed="false">
      <c r="B7134" s="130" t="n">
        <v>2027</v>
      </c>
      <c r="C7134" s="131" t="s">
        <v>252</v>
      </c>
      <c r="D7134" s="132" t="n">
        <v>46676</v>
      </c>
      <c r="E7134" s="131" t="s">
        <v>12</v>
      </c>
      <c r="F7134" s="133" t="s">
        <v>19</v>
      </c>
      <c r="G7134" s="134" t="n">
        <f aca="false">LEN('Saisie programme'!$I$248)+SUMIFS('Vols additionnels'!$E$7:$E$66,'Vols additionnels'!$C$7:$C$66,$E7134,'Vols additionnels'!$D$7:$D$66,$F7134,'Vols additionnels'!$B$7:$B$66,$D7134)</f>
        <v>0</v>
      </c>
      <c r="H7134" s="135" t="n">
        <f aca="false">$G7134*'Analyse capacite'!$F$8</f>
        <v>0</v>
      </c>
      <c r="I7134" s="135" t="n">
        <f aca="false">$G7134*'Analyse capacite'!$C$8</f>
        <v>0</v>
      </c>
      <c r="J7134" s="135" t="n">
        <f aca="false">$G7134*'Analyse capacite'!$D$8</f>
        <v>0</v>
      </c>
      <c r="K7134" s="135" t="n">
        <f aca="false">$G7134*'Analyse capacite'!$E$8</f>
        <v>0</v>
      </c>
    </row>
    <row r="7135" customFormat="false" ht="15" hidden="false" customHeight="false" outlineLevel="0" collapsed="false">
      <c r="B7135" s="130" t="n">
        <v>2027</v>
      </c>
      <c r="C7135" s="131" t="s">
        <v>252</v>
      </c>
      <c r="D7135" s="132" t="n">
        <v>46676</v>
      </c>
      <c r="E7135" s="131" t="s">
        <v>12</v>
      </c>
      <c r="F7135" s="133" t="s">
        <v>24</v>
      </c>
      <c r="G7135" s="134" t="n">
        <f aca="false">LEN('Saisie programme'!$I$249)+SUMIFS('Vols additionnels'!$E$7:$E$66,'Vols additionnels'!$C$7:$C$66,$E7135,'Vols additionnels'!$D$7:$D$66,$F7135,'Vols additionnels'!$B$7:$B$66,$D7135)</f>
        <v>0</v>
      </c>
      <c r="H7135" s="135" t="n">
        <f aca="false">$G7135*'Analyse capacite'!$F$9</f>
        <v>0</v>
      </c>
      <c r="I7135" s="135" t="n">
        <f aca="false">$G7135*'Analyse capacite'!$C$9</f>
        <v>0</v>
      </c>
      <c r="J7135" s="135" t="n">
        <f aca="false">$G7135*'Analyse capacite'!$D$9</f>
        <v>0</v>
      </c>
      <c r="K7135" s="135" t="n">
        <f aca="false">$G7135*'Analyse capacite'!$E$9</f>
        <v>0</v>
      </c>
    </row>
    <row r="7136" customFormat="false" ht="15" hidden="false" customHeight="false" outlineLevel="0" collapsed="false">
      <c r="B7136" s="130" t="n">
        <v>2027</v>
      </c>
      <c r="C7136" s="131" t="s">
        <v>252</v>
      </c>
      <c r="D7136" s="132" t="n">
        <v>46676</v>
      </c>
      <c r="E7136" s="131" t="s">
        <v>20</v>
      </c>
      <c r="F7136" s="133" t="s">
        <v>11</v>
      </c>
      <c r="G7136" s="134" t="n">
        <f aca="false">LEN('Saisie programme'!$I$250)+SUMIFS('Vols additionnels'!$E$7:$E$66,'Vols additionnels'!$C$7:$C$66,$E7136,'Vols additionnels'!$D$7:$D$66,$F7136,'Vols additionnels'!$B$7:$B$66,$D7136)</f>
        <v>0</v>
      </c>
      <c r="H7136" s="135" t="n">
        <f aca="false">$G7136*'Analyse capacite'!$F$7</f>
        <v>0</v>
      </c>
      <c r="I7136" s="135" t="n">
        <f aca="false">$G7136*'Analyse capacite'!$C$7</f>
        <v>0</v>
      </c>
      <c r="J7136" s="135" t="n">
        <f aca="false">$G7136*'Analyse capacite'!$D$7</f>
        <v>0</v>
      </c>
      <c r="K7136" s="135" t="n">
        <f aca="false">$G7136*'Analyse capacite'!$E$7</f>
        <v>0</v>
      </c>
    </row>
    <row r="7137" customFormat="false" ht="15" hidden="false" customHeight="false" outlineLevel="0" collapsed="false">
      <c r="B7137" s="130" t="n">
        <v>2027</v>
      </c>
      <c r="C7137" s="131" t="s">
        <v>252</v>
      </c>
      <c r="D7137" s="132" t="n">
        <v>46676</v>
      </c>
      <c r="E7137" s="131" t="s">
        <v>20</v>
      </c>
      <c r="F7137" s="133" t="s">
        <v>19</v>
      </c>
      <c r="G7137" s="134" t="n">
        <f aca="false">LEN('Saisie programme'!$I$251)+SUMIFS('Vols additionnels'!$E$7:$E$66,'Vols additionnels'!$C$7:$C$66,$E7137,'Vols additionnels'!$D$7:$D$66,$F7137,'Vols additionnels'!$B$7:$B$66,$D7137)</f>
        <v>0</v>
      </c>
      <c r="H7137" s="135" t="n">
        <f aca="false">$G7137*'Analyse capacite'!$F$8</f>
        <v>0</v>
      </c>
      <c r="I7137" s="135" t="n">
        <f aca="false">$G7137*'Analyse capacite'!$C$8</f>
        <v>0</v>
      </c>
      <c r="J7137" s="135" t="n">
        <f aca="false">$G7137*'Analyse capacite'!$D$8</f>
        <v>0</v>
      </c>
      <c r="K7137" s="135" t="n">
        <f aca="false">$G7137*'Analyse capacite'!$E$8</f>
        <v>0</v>
      </c>
    </row>
    <row r="7138" customFormat="false" ht="15" hidden="false" customHeight="false" outlineLevel="0" collapsed="false">
      <c r="B7138" s="130" t="n">
        <v>2027</v>
      </c>
      <c r="C7138" s="131" t="s">
        <v>252</v>
      </c>
      <c r="D7138" s="132" t="n">
        <v>46676</v>
      </c>
      <c r="E7138" s="131" t="s">
        <v>20</v>
      </c>
      <c r="F7138" s="133" t="s">
        <v>24</v>
      </c>
      <c r="G7138" s="134" t="n">
        <f aca="false">LEN('Saisie programme'!$I$252)+SUMIFS('Vols additionnels'!$E$7:$E$66,'Vols additionnels'!$C$7:$C$66,$E7138,'Vols additionnels'!$D$7:$D$66,$F7138,'Vols additionnels'!$B$7:$B$66,$D7138)</f>
        <v>0</v>
      </c>
      <c r="H7138" s="135" t="n">
        <f aca="false">$G7138*'Analyse capacite'!$F$9</f>
        <v>0</v>
      </c>
      <c r="I7138" s="135" t="n">
        <f aca="false">$G7138*'Analyse capacite'!$C$9</f>
        <v>0</v>
      </c>
      <c r="J7138" s="135" t="n">
        <f aca="false">$G7138*'Analyse capacite'!$D$9</f>
        <v>0</v>
      </c>
      <c r="K7138" s="135" t="n">
        <f aca="false">$G7138*'Analyse capacite'!$E$9</f>
        <v>0</v>
      </c>
    </row>
    <row r="7139" customFormat="false" ht="15" hidden="false" customHeight="false" outlineLevel="0" collapsed="false">
      <c r="B7139" s="130" t="n">
        <v>2027</v>
      </c>
      <c r="C7139" s="131" t="s">
        <v>252</v>
      </c>
      <c r="D7139" s="132" t="n">
        <v>46676</v>
      </c>
      <c r="E7139" s="131" t="s">
        <v>25</v>
      </c>
      <c r="F7139" s="133" t="s">
        <v>11</v>
      </c>
      <c r="G7139" s="134" t="n">
        <f aca="false">LEN('Saisie programme'!$I$253)+SUMIFS('Vols additionnels'!$E$7:$E$66,'Vols additionnels'!$C$7:$C$66,$E7139,'Vols additionnels'!$D$7:$D$66,$F7139,'Vols additionnels'!$B$7:$B$66,$D7139)</f>
        <v>0</v>
      </c>
      <c r="H7139" s="135" t="n">
        <f aca="false">$G7139*'Analyse capacite'!$F$7</f>
        <v>0</v>
      </c>
      <c r="I7139" s="135" t="n">
        <f aca="false">$G7139*'Analyse capacite'!$C$7</f>
        <v>0</v>
      </c>
      <c r="J7139" s="135" t="n">
        <f aca="false">$G7139*'Analyse capacite'!$D$7</f>
        <v>0</v>
      </c>
      <c r="K7139" s="135" t="n">
        <f aca="false">$G7139*'Analyse capacite'!$E$7</f>
        <v>0</v>
      </c>
    </row>
    <row r="7140" customFormat="false" ht="15" hidden="false" customHeight="false" outlineLevel="0" collapsed="false">
      <c r="B7140" s="130" t="n">
        <v>2027</v>
      </c>
      <c r="C7140" s="131" t="s">
        <v>252</v>
      </c>
      <c r="D7140" s="132" t="n">
        <v>46676</v>
      </c>
      <c r="E7140" s="131" t="s">
        <v>25</v>
      </c>
      <c r="F7140" s="133" t="s">
        <v>19</v>
      </c>
      <c r="G7140" s="134" t="n">
        <f aca="false">LEN('Saisie programme'!$I$254)+SUMIFS('Vols additionnels'!$E$7:$E$66,'Vols additionnels'!$C$7:$C$66,$E7140,'Vols additionnels'!$D$7:$D$66,$F7140,'Vols additionnels'!$B$7:$B$66,$D7140)</f>
        <v>1</v>
      </c>
      <c r="H7140" s="135" t="n">
        <f aca="false">$G7140*'Analyse capacite'!$F$8</f>
        <v>262</v>
      </c>
      <c r="I7140" s="135" t="n">
        <f aca="false">$G7140*'Analyse capacite'!$C$8</f>
        <v>18</v>
      </c>
      <c r="J7140" s="135" t="n">
        <f aca="false">$G7140*'Analyse capacite'!$D$8</f>
        <v>0</v>
      </c>
      <c r="K7140" s="135" t="n">
        <f aca="false">$G7140*'Analyse capacite'!$E$8</f>
        <v>244</v>
      </c>
    </row>
    <row r="7141" customFormat="false" ht="15" hidden="false" customHeight="false" outlineLevel="0" collapsed="false">
      <c r="B7141" s="130" t="n">
        <v>2027</v>
      </c>
      <c r="C7141" s="131" t="s">
        <v>252</v>
      </c>
      <c r="D7141" s="132" t="n">
        <v>46676</v>
      </c>
      <c r="E7141" s="131" t="s">
        <v>25</v>
      </c>
      <c r="F7141" s="133" t="s">
        <v>24</v>
      </c>
      <c r="G7141" s="134" t="n">
        <f aca="false">LEN('Saisie programme'!$I$255)+SUMIFS('Vols additionnels'!$E$7:$E$66,'Vols additionnels'!$C$7:$C$66,$E7141,'Vols additionnels'!$D$7:$D$66,$F7141,'Vols additionnels'!$B$7:$B$66,$D7141)</f>
        <v>0</v>
      </c>
      <c r="H7141" s="135" t="n">
        <f aca="false">$G7141*'Analyse capacite'!$F$9</f>
        <v>0</v>
      </c>
      <c r="I7141" s="135" t="n">
        <f aca="false">$G7141*'Analyse capacite'!$C$9</f>
        <v>0</v>
      </c>
      <c r="J7141" s="135" t="n">
        <f aca="false">$G7141*'Analyse capacite'!$D$9</f>
        <v>0</v>
      </c>
      <c r="K7141" s="135" t="n">
        <f aca="false">$G7141*'Analyse capacite'!$E$9</f>
        <v>0</v>
      </c>
    </row>
    <row r="7142" customFormat="false" ht="15" hidden="false" customHeight="false" outlineLevel="0" collapsed="false">
      <c r="B7142" s="130" t="n">
        <v>2027</v>
      </c>
      <c r="C7142" s="131" t="s">
        <v>252</v>
      </c>
      <c r="D7142" s="132" t="n">
        <v>46676</v>
      </c>
      <c r="E7142" s="131" t="s">
        <v>36</v>
      </c>
      <c r="F7142" s="133" t="s">
        <v>11</v>
      </c>
      <c r="G7142" s="134" t="n">
        <f aca="false">LEN('Saisie programme'!$I$256)+SUMIFS('Vols additionnels'!$E$7:$E$66,'Vols additionnels'!$C$7:$C$66,$E7142,'Vols additionnels'!$D$7:$D$66,$F7142,'Vols additionnels'!$B$7:$B$66,$D7142)</f>
        <v>0</v>
      </c>
      <c r="H7142" s="135" t="n">
        <f aca="false">$G7142*'Analyse capacite'!$F$7</f>
        <v>0</v>
      </c>
      <c r="I7142" s="135" t="n">
        <f aca="false">$G7142*'Analyse capacite'!$C$7</f>
        <v>0</v>
      </c>
      <c r="J7142" s="135" t="n">
        <f aca="false">$G7142*'Analyse capacite'!$D$7</f>
        <v>0</v>
      </c>
      <c r="K7142" s="135" t="n">
        <f aca="false">$G7142*'Analyse capacite'!$E$7</f>
        <v>0</v>
      </c>
    </row>
    <row r="7143" customFormat="false" ht="15" hidden="false" customHeight="false" outlineLevel="0" collapsed="false">
      <c r="B7143" s="130" t="n">
        <v>2027</v>
      </c>
      <c r="C7143" s="131" t="s">
        <v>252</v>
      </c>
      <c r="D7143" s="132" t="n">
        <v>46676</v>
      </c>
      <c r="E7143" s="131" t="s">
        <v>36</v>
      </c>
      <c r="F7143" s="133" t="s">
        <v>19</v>
      </c>
      <c r="G7143" s="134" t="n">
        <f aca="false">LEN('Saisie programme'!$I$257)+SUMIFS('Vols additionnels'!$E$7:$E$66,'Vols additionnels'!$C$7:$C$66,$E7143,'Vols additionnels'!$D$7:$D$66,$F7143,'Vols additionnels'!$B$7:$B$66,$D7143)</f>
        <v>0</v>
      </c>
      <c r="H7143" s="135" t="n">
        <f aca="false">$G7143*'Analyse capacite'!$F$8</f>
        <v>0</v>
      </c>
      <c r="I7143" s="135" t="n">
        <f aca="false">$G7143*'Analyse capacite'!$C$8</f>
        <v>0</v>
      </c>
      <c r="J7143" s="135" t="n">
        <f aca="false">$G7143*'Analyse capacite'!$D$8</f>
        <v>0</v>
      </c>
      <c r="K7143" s="135" t="n">
        <f aca="false">$G7143*'Analyse capacite'!$E$8</f>
        <v>0</v>
      </c>
    </row>
    <row r="7144" customFormat="false" ht="15" hidden="false" customHeight="false" outlineLevel="0" collapsed="false">
      <c r="B7144" s="130" t="n">
        <v>2027</v>
      </c>
      <c r="C7144" s="131" t="s">
        <v>252</v>
      </c>
      <c r="D7144" s="132" t="n">
        <v>46676</v>
      </c>
      <c r="E7144" s="131" t="s">
        <v>36</v>
      </c>
      <c r="F7144" s="133" t="s">
        <v>24</v>
      </c>
      <c r="G7144" s="134" t="n">
        <f aca="false">LEN('Saisie programme'!$I$258)+SUMIFS('Vols additionnels'!$E$7:$E$66,'Vols additionnels'!$C$7:$C$66,$E7144,'Vols additionnels'!$D$7:$D$66,$F7144,'Vols additionnels'!$B$7:$B$66,$D7144)</f>
        <v>0</v>
      </c>
      <c r="H7144" s="135" t="n">
        <f aca="false">$G7144*'Analyse capacite'!$F$9</f>
        <v>0</v>
      </c>
      <c r="I7144" s="135" t="n">
        <f aca="false">$G7144*'Analyse capacite'!$C$9</f>
        <v>0</v>
      </c>
      <c r="J7144" s="135" t="n">
        <f aca="false">$G7144*'Analyse capacite'!$D$9</f>
        <v>0</v>
      </c>
      <c r="K7144" s="135" t="n">
        <f aca="false">$G7144*'Analyse capacite'!$E$9</f>
        <v>0</v>
      </c>
    </row>
    <row r="7145" customFormat="false" ht="15" hidden="false" customHeight="false" outlineLevel="0" collapsed="false">
      <c r="B7145" s="130" t="n">
        <v>2027</v>
      </c>
      <c r="C7145" s="131" t="s">
        <v>252</v>
      </c>
      <c r="D7145" s="132" t="n">
        <v>46676</v>
      </c>
      <c r="E7145" s="131" t="s">
        <v>40</v>
      </c>
      <c r="F7145" s="133" t="s">
        <v>11</v>
      </c>
      <c r="G7145" s="134" t="n">
        <f aca="false">LEN('Saisie programme'!$I$259)+SUMIFS('Vols additionnels'!$E$7:$E$66,'Vols additionnels'!$C$7:$C$66,$E7145,'Vols additionnels'!$D$7:$D$66,$F7145,'Vols additionnels'!$B$7:$B$66,$D7145)</f>
        <v>0</v>
      </c>
      <c r="H7145" s="135" t="n">
        <f aca="false">$G7145*'Analyse capacite'!$F$7</f>
        <v>0</v>
      </c>
      <c r="I7145" s="135" t="n">
        <f aca="false">$G7145*'Analyse capacite'!$C$7</f>
        <v>0</v>
      </c>
      <c r="J7145" s="135" t="n">
        <f aca="false">$G7145*'Analyse capacite'!$D$7</f>
        <v>0</v>
      </c>
      <c r="K7145" s="135" t="n">
        <f aca="false">$G7145*'Analyse capacite'!$E$7</f>
        <v>0</v>
      </c>
    </row>
    <row r="7146" customFormat="false" ht="15" hidden="false" customHeight="false" outlineLevel="0" collapsed="false">
      <c r="B7146" s="130" t="n">
        <v>2027</v>
      </c>
      <c r="C7146" s="131" t="s">
        <v>252</v>
      </c>
      <c r="D7146" s="132" t="n">
        <v>46676</v>
      </c>
      <c r="E7146" s="131" t="s">
        <v>40</v>
      </c>
      <c r="F7146" s="133" t="s">
        <v>19</v>
      </c>
      <c r="G7146" s="134" t="n">
        <f aca="false">LEN('Saisie programme'!$I$260)+SUMIFS('Vols additionnels'!$E$7:$E$66,'Vols additionnels'!$C$7:$C$66,$E7146,'Vols additionnels'!$D$7:$D$66,$F7146,'Vols additionnels'!$B$7:$B$66,$D7146)</f>
        <v>0</v>
      </c>
      <c r="H7146" s="135" t="n">
        <f aca="false">$G7146*'Analyse capacite'!$F$8</f>
        <v>0</v>
      </c>
      <c r="I7146" s="135" t="n">
        <f aca="false">$G7146*'Analyse capacite'!$C$8</f>
        <v>0</v>
      </c>
      <c r="J7146" s="135" t="n">
        <f aca="false">$G7146*'Analyse capacite'!$D$8</f>
        <v>0</v>
      </c>
      <c r="K7146" s="135" t="n">
        <f aca="false">$G7146*'Analyse capacite'!$E$8</f>
        <v>0</v>
      </c>
    </row>
    <row r="7147" customFormat="false" ht="15" hidden="false" customHeight="false" outlineLevel="0" collapsed="false">
      <c r="B7147" s="130" t="n">
        <v>2027</v>
      </c>
      <c r="C7147" s="131" t="s">
        <v>252</v>
      </c>
      <c r="D7147" s="132" t="n">
        <v>46676</v>
      </c>
      <c r="E7147" s="131" t="s">
        <v>40</v>
      </c>
      <c r="F7147" s="133" t="s">
        <v>24</v>
      </c>
      <c r="G7147" s="134" t="n">
        <f aca="false">LEN('Saisie programme'!$I$261)+SUMIFS('Vols additionnels'!$E$7:$E$66,'Vols additionnels'!$C$7:$C$66,$E7147,'Vols additionnels'!$D$7:$D$66,$F7147,'Vols additionnels'!$B$7:$B$66,$D7147)</f>
        <v>0</v>
      </c>
      <c r="H7147" s="135" t="n">
        <f aca="false">$G7147*'Analyse capacite'!$F$9</f>
        <v>0</v>
      </c>
      <c r="I7147" s="135" t="n">
        <f aca="false">$G7147*'Analyse capacite'!$C$9</f>
        <v>0</v>
      </c>
      <c r="J7147" s="135" t="n">
        <f aca="false">$G7147*'Analyse capacite'!$D$9</f>
        <v>0</v>
      </c>
      <c r="K7147" s="135" t="n">
        <f aca="false">$G7147*'Analyse capacite'!$E$9</f>
        <v>0</v>
      </c>
    </row>
    <row r="7148" customFormat="false" ht="15" hidden="false" customHeight="false" outlineLevel="0" collapsed="false">
      <c r="B7148" s="130" t="n">
        <v>2027</v>
      </c>
      <c r="C7148" s="131" t="s">
        <v>252</v>
      </c>
      <c r="D7148" s="132" t="n">
        <v>46676</v>
      </c>
      <c r="E7148" s="131" t="s">
        <v>14</v>
      </c>
      <c r="F7148" s="133" t="s">
        <v>11</v>
      </c>
      <c r="G7148" s="134" t="n">
        <f aca="false">LEN('Saisie programme'!$I$262)+SUMIFS('Vols additionnels'!$E$7:$E$66,'Vols additionnels'!$C$7:$C$66,$E7148,'Vols additionnels'!$D$7:$D$66,$F7148,'Vols additionnels'!$B$7:$B$66,$D7148)</f>
        <v>0</v>
      </c>
      <c r="H7148" s="135" t="n">
        <f aca="false">$G7148*'Analyse capacite'!$F$7</f>
        <v>0</v>
      </c>
      <c r="I7148" s="135" t="n">
        <f aca="false">$G7148*'Analyse capacite'!$C$7</f>
        <v>0</v>
      </c>
      <c r="J7148" s="135" t="n">
        <f aca="false">$G7148*'Analyse capacite'!$D$7</f>
        <v>0</v>
      </c>
      <c r="K7148" s="135" t="n">
        <f aca="false">$G7148*'Analyse capacite'!$E$7</f>
        <v>0</v>
      </c>
    </row>
    <row r="7149" customFormat="false" ht="15" hidden="false" customHeight="false" outlineLevel="0" collapsed="false">
      <c r="B7149" s="130" t="n">
        <v>2027</v>
      </c>
      <c r="C7149" s="131" t="s">
        <v>252</v>
      </c>
      <c r="D7149" s="132" t="n">
        <v>46676</v>
      </c>
      <c r="E7149" s="131" t="s">
        <v>14</v>
      </c>
      <c r="F7149" s="133" t="s">
        <v>19</v>
      </c>
      <c r="G7149" s="134" t="n">
        <f aca="false">LEN('Saisie programme'!$I$263)+SUMIFS('Vols additionnels'!$E$7:$E$66,'Vols additionnels'!$C$7:$C$66,$E7149,'Vols additionnels'!$D$7:$D$66,$F7149,'Vols additionnels'!$B$7:$B$66,$D7149)</f>
        <v>0</v>
      </c>
      <c r="H7149" s="135" t="n">
        <f aca="false">$G7149*'Analyse capacite'!$F$8</f>
        <v>0</v>
      </c>
      <c r="I7149" s="135" t="n">
        <f aca="false">$G7149*'Analyse capacite'!$C$8</f>
        <v>0</v>
      </c>
      <c r="J7149" s="135" t="n">
        <f aca="false">$G7149*'Analyse capacite'!$D$8</f>
        <v>0</v>
      </c>
      <c r="K7149" s="135" t="n">
        <f aca="false">$G7149*'Analyse capacite'!$E$8</f>
        <v>0</v>
      </c>
    </row>
    <row r="7150" customFormat="false" ht="15" hidden="false" customHeight="false" outlineLevel="0" collapsed="false">
      <c r="B7150" s="130" t="n">
        <v>2027</v>
      </c>
      <c r="C7150" s="131" t="s">
        <v>252</v>
      </c>
      <c r="D7150" s="132" t="n">
        <v>46676</v>
      </c>
      <c r="E7150" s="131" t="s">
        <v>14</v>
      </c>
      <c r="F7150" s="133" t="s">
        <v>24</v>
      </c>
      <c r="G7150" s="134" t="n">
        <f aca="false">LEN('Saisie programme'!$I$264)+SUMIFS('Vols additionnels'!$E$7:$E$66,'Vols additionnels'!$C$7:$C$66,$E7150,'Vols additionnels'!$D$7:$D$66,$F7150,'Vols additionnels'!$B$7:$B$66,$D7150)</f>
        <v>1</v>
      </c>
      <c r="H7150" s="135" t="n">
        <f aca="false">$G7150*'Analyse capacite'!$F$9</f>
        <v>174</v>
      </c>
      <c r="I7150" s="135" t="n">
        <f aca="false">$G7150*'Analyse capacite'!$C$9</f>
        <v>0</v>
      </c>
      <c r="J7150" s="135" t="n">
        <f aca="false">$G7150*'Analyse capacite'!$D$9</f>
        <v>12</v>
      </c>
      <c r="K7150" s="135" t="n">
        <f aca="false">$G7150*'Analyse capacite'!$E$9</f>
        <v>162</v>
      </c>
    </row>
    <row r="7151" customFormat="false" ht="15" hidden="false" customHeight="false" outlineLevel="0" collapsed="false">
      <c r="B7151" s="130" t="n">
        <v>2027</v>
      </c>
      <c r="C7151" s="131" t="s">
        <v>252</v>
      </c>
      <c r="D7151" s="132" t="n">
        <v>46676</v>
      </c>
      <c r="E7151" s="131" t="s">
        <v>46</v>
      </c>
      <c r="F7151" s="133" t="s">
        <v>11</v>
      </c>
      <c r="G7151" s="134" t="n">
        <f aca="false">LEN('Saisie programme'!$I$265)+SUMIFS('Vols additionnels'!$E$7:$E$66,'Vols additionnels'!$C$7:$C$66,$E7151,'Vols additionnels'!$D$7:$D$66,$F7151,'Vols additionnels'!$B$7:$B$66,$D7151)</f>
        <v>0</v>
      </c>
      <c r="H7151" s="135" t="n">
        <f aca="false">$G7151*'Analyse capacite'!$F$7</f>
        <v>0</v>
      </c>
      <c r="I7151" s="135" t="n">
        <f aca="false">$G7151*'Analyse capacite'!$C$7</f>
        <v>0</v>
      </c>
      <c r="J7151" s="135" t="n">
        <f aca="false">$G7151*'Analyse capacite'!$D$7</f>
        <v>0</v>
      </c>
      <c r="K7151" s="135" t="n">
        <f aca="false">$G7151*'Analyse capacite'!$E$7</f>
        <v>0</v>
      </c>
    </row>
    <row r="7152" customFormat="false" ht="15" hidden="false" customHeight="false" outlineLevel="0" collapsed="false">
      <c r="B7152" s="130" t="n">
        <v>2027</v>
      </c>
      <c r="C7152" s="131" t="s">
        <v>252</v>
      </c>
      <c r="D7152" s="132" t="n">
        <v>46676</v>
      </c>
      <c r="E7152" s="131" t="s">
        <v>46</v>
      </c>
      <c r="F7152" s="133" t="s">
        <v>19</v>
      </c>
      <c r="G7152" s="134" t="n">
        <f aca="false">LEN('Saisie programme'!$I$266)+SUMIFS('Vols additionnels'!$E$7:$E$66,'Vols additionnels'!$C$7:$C$66,$E7152,'Vols additionnels'!$D$7:$D$66,$F7152,'Vols additionnels'!$B$7:$B$66,$D7152)</f>
        <v>0</v>
      </c>
      <c r="H7152" s="135" t="n">
        <f aca="false">$G7152*'Analyse capacite'!$F$8</f>
        <v>0</v>
      </c>
      <c r="I7152" s="135" t="n">
        <f aca="false">$G7152*'Analyse capacite'!$C$8</f>
        <v>0</v>
      </c>
      <c r="J7152" s="135" t="n">
        <f aca="false">$G7152*'Analyse capacite'!$D$8</f>
        <v>0</v>
      </c>
      <c r="K7152" s="135" t="n">
        <f aca="false">$G7152*'Analyse capacite'!$E$8</f>
        <v>0</v>
      </c>
    </row>
    <row r="7153" customFormat="false" ht="15" hidden="false" customHeight="false" outlineLevel="0" collapsed="false">
      <c r="B7153" s="130" t="n">
        <v>2027</v>
      </c>
      <c r="C7153" s="131" t="s">
        <v>252</v>
      </c>
      <c r="D7153" s="132" t="n">
        <v>46676</v>
      </c>
      <c r="E7153" s="131" t="s">
        <v>46</v>
      </c>
      <c r="F7153" s="133" t="s">
        <v>24</v>
      </c>
      <c r="G7153" s="134" t="n">
        <f aca="false">LEN('Saisie programme'!$I$267)+SUMIFS('Vols additionnels'!$E$7:$E$66,'Vols additionnels'!$C$7:$C$66,$E7153,'Vols additionnels'!$D$7:$D$66,$F7153,'Vols additionnels'!$B$7:$B$66,$D7153)</f>
        <v>1</v>
      </c>
      <c r="H7153" s="135" t="n">
        <f aca="false">$G7153*'Analyse capacite'!$F$9</f>
        <v>174</v>
      </c>
      <c r="I7153" s="135" t="n">
        <f aca="false">$G7153*'Analyse capacite'!$C$9</f>
        <v>0</v>
      </c>
      <c r="J7153" s="135" t="n">
        <f aca="false">$G7153*'Analyse capacite'!$D$9</f>
        <v>12</v>
      </c>
      <c r="K7153" s="135" t="n">
        <f aca="false">$G7153*'Analyse capacite'!$E$9</f>
        <v>162</v>
      </c>
    </row>
    <row r="7154" customFormat="false" ht="15" hidden="false" customHeight="false" outlineLevel="0" collapsed="false">
      <c r="B7154" s="130" t="n">
        <v>2027</v>
      </c>
      <c r="C7154" s="131" t="s">
        <v>252</v>
      </c>
      <c r="D7154" s="132" t="n">
        <v>46676</v>
      </c>
      <c r="E7154" s="131" t="s">
        <v>49</v>
      </c>
      <c r="F7154" s="133" t="s">
        <v>11</v>
      </c>
      <c r="G7154" s="134" t="n">
        <f aca="false">LEN('Saisie programme'!$I$268)+SUMIFS('Vols additionnels'!$E$7:$E$66,'Vols additionnels'!$C$7:$C$66,$E7154,'Vols additionnels'!$D$7:$D$66,$F7154,'Vols additionnels'!$B$7:$B$66,$D7154)</f>
        <v>0</v>
      </c>
      <c r="H7154" s="135" t="n">
        <f aca="false">$G7154*'Analyse capacite'!$F$7</f>
        <v>0</v>
      </c>
      <c r="I7154" s="135" t="n">
        <f aca="false">$G7154*'Analyse capacite'!$C$7</f>
        <v>0</v>
      </c>
      <c r="J7154" s="135" t="n">
        <f aca="false">$G7154*'Analyse capacite'!$D$7</f>
        <v>0</v>
      </c>
      <c r="K7154" s="135" t="n">
        <f aca="false">$G7154*'Analyse capacite'!$E$7</f>
        <v>0</v>
      </c>
    </row>
    <row r="7155" customFormat="false" ht="15" hidden="false" customHeight="false" outlineLevel="0" collapsed="false">
      <c r="B7155" s="130" t="n">
        <v>2027</v>
      </c>
      <c r="C7155" s="131" t="s">
        <v>252</v>
      </c>
      <c r="D7155" s="132" t="n">
        <v>46676</v>
      </c>
      <c r="E7155" s="131" t="s">
        <v>49</v>
      </c>
      <c r="F7155" s="133" t="s">
        <v>19</v>
      </c>
      <c r="G7155" s="134" t="n">
        <f aca="false">LEN('Saisie programme'!$I$269)+SUMIFS('Vols additionnels'!$E$7:$E$66,'Vols additionnels'!$C$7:$C$66,$E7155,'Vols additionnels'!$D$7:$D$66,$F7155,'Vols additionnels'!$B$7:$B$66,$D7155)</f>
        <v>0</v>
      </c>
      <c r="H7155" s="135" t="n">
        <f aca="false">$G7155*'Analyse capacite'!$F$8</f>
        <v>0</v>
      </c>
      <c r="I7155" s="135" t="n">
        <f aca="false">$G7155*'Analyse capacite'!$C$8</f>
        <v>0</v>
      </c>
      <c r="J7155" s="135" t="n">
        <f aca="false">$G7155*'Analyse capacite'!$D$8</f>
        <v>0</v>
      </c>
      <c r="K7155" s="135" t="n">
        <f aca="false">$G7155*'Analyse capacite'!$E$8</f>
        <v>0</v>
      </c>
    </row>
    <row r="7156" customFormat="false" ht="15" hidden="false" customHeight="false" outlineLevel="0" collapsed="false">
      <c r="B7156" s="130" t="n">
        <v>2027</v>
      </c>
      <c r="C7156" s="131" t="s">
        <v>252</v>
      </c>
      <c r="D7156" s="132" t="n">
        <v>46676</v>
      </c>
      <c r="E7156" s="131" t="s">
        <v>49</v>
      </c>
      <c r="F7156" s="133" t="s">
        <v>24</v>
      </c>
      <c r="G7156" s="134" t="n">
        <f aca="false">LEN('Saisie programme'!$I$270)+SUMIFS('Vols additionnels'!$E$7:$E$66,'Vols additionnels'!$C$7:$C$66,$E7156,'Vols additionnels'!$D$7:$D$66,$F7156,'Vols additionnels'!$B$7:$B$66,$D7156)</f>
        <v>0</v>
      </c>
      <c r="H7156" s="135" t="n">
        <f aca="false">$G7156*'Analyse capacite'!$F$9</f>
        <v>0</v>
      </c>
      <c r="I7156" s="135" t="n">
        <f aca="false">$G7156*'Analyse capacite'!$C$9</f>
        <v>0</v>
      </c>
      <c r="J7156" s="135" t="n">
        <f aca="false">$G7156*'Analyse capacite'!$D$9</f>
        <v>0</v>
      </c>
      <c r="K7156" s="135" t="n">
        <f aca="false">$G7156*'Analyse capacite'!$E$9</f>
        <v>0</v>
      </c>
    </row>
    <row r="7157" customFormat="false" ht="15" hidden="false" customHeight="false" outlineLevel="0" collapsed="false">
      <c r="B7157" s="130" t="n">
        <v>2027</v>
      </c>
      <c r="C7157" s="131" t="s">
        <v>252</v>
      </c>
      <c r="D7157" s="132" t="n">
        <v>46676</v>
      </c>
      <c r="E7157" s="131" t="s">
        <v>53</v>
      </c>
      <c r="F7157" s="133" t="s">
        <v>11</v>
      </c>
      <c r="G7157" s="134" t="n">
        <f aca="false">LEN('Saisie programme'!$I$271)+SUMIFS('Vols additionnels'!$E$7:$E$66,'Vols additionnels'!$C$7:$C$66,$E7157,'Vols additionnels'!$D$7:$D$66,$F7157,'Vols additionnels'!$B$7:$B$66,$D7157)</f>
        <v>0</v>
      </c>
      <c r="H7157" s="135" t="n">
        <f aca="false">$G7157*'Analyse capacite'!$F$7</f>
        <v>0</v>
      </c>
      <c r="I7157" s="135" t="n">
        <f aca="false">$G7157*'Analyse capacite'!$C$7</f>
        <v>0</v>
      </c>
      <c r="J7157" s="135" t="n">
        <f aca="false">$G7157*'Analyse capacite'!$D$7</f>
        <v>0</v>
      </c>
      <c r="K7157" s="135" t="n">
        <f aca="false">$G7157*'Analyse capacite'!$E$7</f>
        <v>0</v>
      </c>
    </row>
    <row r="7158" customFormat="false" ht="15" hidden="false" customHeight="false" outlineLevel="0" collapsed="false">
      <c r="B7158" s="130" t="n">
        <v>2027</v>
      </c>
      <c r="C7158" s="131" t="s">
        <v>252</v>
      </c>
      <c r="D7158" s="132" t="n">
        <v>46676</v>
      </c>
      <c r="E7158" s="131" t="s">
        <v>53</v>
      </c>
      <c r="F7158" s="133" t="s">
        <v>19</v>
      </c>
      <c r="G7158" s="134" t="n">
        <f aca="false">LEN('Saisie programme'!$I$272)+SUMIFS('Vols additionnels'!$E$7:$E$66,'Vols additionnels'!$C$7:$C$66,$E7158,'Vols additionnels'!$D$7:$D$66,$F7158,'Vols additionnels'!$B$7:$B$66,$D7158)</f>
        <v>0</v>
      </c>
      <c r="H7158" s="135" t="n">
        <f aca="false">$G7158*'Analyse capacite'!$F$8</f>
        <v>0</v>
      </c>
      <c r="I7158" s="135" t="n">
        <f aca="false">$G7158*'Analyse capacite'!$C$8</f>
        <v>0</v>
      </c>
      <c r="J7158" s="135" t="n">
        <f aca="false">$G7158*'Analyse capacite'!$D$8</f>
        <v>0</v>
      </c>
      <c r="K7158" s="135" t="n">
        <f aca="false">$G7158*'Analyse capacite'!$E$8</f>
        <v>0</v>
      </c>
    </row>
    <row r="7159" customFormat="false" ht="15" hidden="false" customHeight="false" outlineLevel="0" collapsed="false">
      <c r="B7159" s="130" t="n">
        <v>2027</v>
      </c>
      <c r="C7159" s="131" t="s">
        <v>252</v>
      </c>
      <c r="D7159" s="132" t="n">
        <v>46676</v>
      </c>
      <c r="E7159" s="131" t="s">
        <v>53</v>
      </c>
      <c r="F7159" s="133" t="s">
        <v>24</v>
      </c>
      <c r="G7159" s="134" t="n">
        <f aca="false">LEN('Saisie programme'!$I$273)+SUMIFS('Vols additionnels'!$E$7:$E$66,'Vols additionnels'!$C$7:$C$66,$E7159,'Vols additionnels'!$D$7:$D$66,$F7159,'Vols additionnels'!$B$7:$B$66,$D7159)</f>
        <v>0</v>
      </c>
      <c r="H7159" s="135" t="n">
        <f aca="false">$G7159*'Analyse capacite'!$F$9</f>
        <v>0</v>
      </c>
      <c r="I7159" s="135" t="n">
        <f aca="false">$G7159*'Analyse capacite'!$C$9</f>
        <v>0</v>
      </c>
      <c r="J7159" s="135" t="n">
        <f aca="false">$G7159*'Analyse capacite'!$D$9</f>
        <v>0</v>
      </c>
      <c r="K7159" s="135" t="n">
        <f aca="false">$G7159*'Analyse capacite'!$E$9</f>
        <v>0</v>
      </c>
    </row>
    <row r="7160" customFormat="false" ht="15" hidden="false" customHeight="false" outlineLevel="0" collapsed="false">
      <c r="B7160" s="130" t="n">
        <v>2027</v>
      </c>
      <c r="C7160" s="131" t="s">
        <v>252</v>
      </c>
      <c r="D7160" s="132" t="n">
        <v>46676</v>
      </c>
      <c r="E7160" s="131" t="s">
        <v>56</v>
      </c>
      <c r="F7160" s="133" t="s">
        <v>11</v>
      </c>
      <c r="G7160" s="134" t="n">
        <f aca="false">LEN('Saisie programme'!$I$274)+SUMIFS('Vols additionnels'!$E$7:$E$66,'Vols additionnels'!$C$7:$C$66,$E7160,'Vols additionnels'!$D$7:$D$66,$F7160,'Vols additionnels'!$B$7:$B$66,$D7160)</f>
        <v>0</v>
      </c>
      <c r="H7160" s="135" t="n">
        <f aca="false">$G7160*'Analyse capacite'!$F$7</f>
        <v>0</v>
      </c>
      <c r="I7160" s="135" t="n">
        <f aca="false">$G7160*'Analyse capacite'!$C$7</f>
        <v>0</v>
      </c>
      <c r="J7160" s="135" t="n">
        <f aca="false">$G7160*'Analyse capacite'!$D$7</f>
        <v>0</v>
      </c>
      <c r="K7160" s="135" t="n">
        <f aca="false">$G7160*'Analyse capacite'!$E$7</f>
        <v>0</v>
      </c>
    </row>
    <row r="7161" customFormat="false" ht="15" hidden="false" customHeight="false" outlineLevel="0" collapsed="false">
      <c r="B7161" s="130" t="n">
        <v>2027</v>
      </c>
      <c r="C7161" s="131" t="s">
        <v>252</v>
      </c>
      <c r="D7161" s="132" t="n">
        <v>46676</v>
      </c>
      <c r="E7161" s="131" t="s">
        <v>56</v>
      </c>
      <c r="F7161" s="133" t="s">
        <v>19</v>
      </c>
      <c r="G7161" s="134" t="n">
        <f aca="false">LEN('Saisie programme'!$I$275)+SUMIFS('Vols additionnels'!$E$7:$E$66,'Vols additionnels'!$C$7:$C$66,$E7161,'Vols additionnels'!$D$7:$D$66,$F7161,'Vols additionnels'!$B$7:$B$66,$D7161)</f>
        <v>0</v>
      </c>
      <c r="H7161" s="135" t="n">
        <f aca="false">$G7161*'Analyse capacite'!$F$8</f>
        <v>0</v>
      </c>
      <c r="I7161" s="135" t="n">
        <f aca="false">$G7161*'Analyse capacite'!$C$8</f>
        <v>0</v>
      </c>
      <c r="J7161" s="135" t="n">
        <f aca="false">$G7161*'Analyse capacite'!$D$8</f>
        <v>0</v>
      </c>
      <c r="K7161" s="135" t="n">
        <f aca="false">$G7161*'Analyse capacite'!$E$8</f>
        <v>0</v>
      </c>
    </row>
    <row r="7162" customFormat="false" ht="15" hidden="false" customHeight="false" outlineLevel="0" collapsed="false">
      <c r="B7162" s="130" t="n">
        <v>2027</v>
      </c>
      <c r="C7162" s="131" t="s">
        <v>252</v>
      </c>
      <c r="D7162" s="132" t="n">
        <v>46676</v>
      </c>
      <c r="E7162" s="131" t="s">
        <v>56</v>
      </c>
      <c r="F7162" s="133" t="s">
        <v>24</v>
      </c>
      <c r="G7162" s="134" t="n">
        <f aca="false">LEN('Saisie programme'!$I$276)+SUMIFS('Vols additionnels'!$E$7:$E$66,'Vols additionnels'!$C$7:$C$66,$E7162,'Vols additionnels'!$D$7:$D$66,$F7162,'Vols additionnels'!$B$7:$B$66,$D7162)</f>
        <v>1</v>
      </c>
      <c r="H7162" s="135" t="n">
        <f aca="false">$G7162*'Analyse capacite'!$F$9</f>
        <v>174</v>
      </c>
      <c r="I7162" s="135" t="n">
        <f aca="false">$G7162*'Analyse capacite'!$C$9</f>
        <v>0</v>
      </c>
      <c r="J7162" s="135" t="n">
        <f aca="false">$G7162*'Analyse capacite'!$D$9</f>
        <v>12</v>
      </c>
      <c r="K7162" s="135" t="n">
        <f aca="false">$G7162*'Analyse capacite'!$E$9</f>
        <v>162</v>
      </c>
    </row>
    <row r="7163" customFormat="false" ht="15" hidden="false" customHeight="false" outlineLevel="0" collapsed="false">
      <c r="B7163" s="130" t="n">
        <v>2027</v>
      </c>
      <c r="C7163" s="131" t="s">
        <v>252</v>
      </c>
      <c r="D7163" s="132" t="n">
        <v>46676</v>
      </c>
      <c r="E7163" s="131" t="s">
        <v>59</v>
      </c>
      <c r="F7163" s="133" t="s">
        <v>11</v>
      </c>
      <c r="G7163" s="134" t="n">
        <f aca="false">LEN('Saisie programme'!$I$277)+SUMIFS('Vols additionnels'!$E$7:$E$66,'Vols additionnels'!$C$7:$C$66,$E7163,'Vols additionnels'!$D$7:$D$66,$F7163,'Vols additionnels'!$B$7:$B$66,$D7163)</f>
        <v>0</v>
      </c>
      <c r="H7163" s="135" t="n">
        <f aca="false">$G7163*'Analyse capacite'!$F$7</f>
        <v>0</v>
      </c>
      <c r="I7163" s="135" t="n">
        <f aca="false">$G7163*'Analyse capacite'!$C$7</f>
        <v>0</v>
      </c>
      <c r="J7163" s="135" t="n">
        <f aca="false">$G7163*'Analyse capacite'!$D$7</f>
        <v>0</v>
      </c>
      <c r="K7163" s="135" t="n">
        <f aca="false">$G7163*'Analyse capacite'!$E$7</f>
        <v>0</v>
      </c>
    </row>
    <row r="7164" customFormat="false" ht="15" hidden="false" customHeight="false" outlineLevel="0" collapsed="false">
      <c r="B7164" s="130" t="n">
        <v>2027</v>
      </c>
      <c r="C7164" s="131" t="s">
        <v>252</v>
      </c>
      <c r="D7164" s="132" t="n">
        <v>46676</v>
      </c>
      <c r="E7164" s="131" t="s">
        <v>59</v>
      </c>
      <c r="F7164" s="133" t="s">
        <v>19</v>
      </c>
      <c r="G7164" s="134" t="n">
        <f aca="false">LEN('Saisie programme'!$I$278)+SUMIFS('Vols additionnels'!$E$7:$E$66,'Vols additionnels'!$C$7:$C$66,$E7164,'Vols additionnels'!$D$7:$D$66,$F7164,'Vols additionnels'!$B$7:$B$66,$D7164)</f>
        <v>0</v>
      </c>
      <c r="H7164" s="135" t="n">
        <f aca="false">$G7164*'Analyse capacite'!$F$8</f>
        <v>0</v>
      </c>
      <c r="I7164" s="135" t="n">
        <f aca="false">$G7164*'Analyse capacite'!$C$8</f>
        <v>0</v>
      </c>
      <c r="J7164" s="135" t="n">
        <f aca="false">$G7164*'Analyse capacite'!$D$8</f>
        <v>0</v>
      </c>
      <c r="K7164" s="135" t="n">
        <f aca="false">$G7164*'Analyse capacite'!$E$8</f>
        <v>0</v>
      </c>
    </row>
    <row r="7165" customFormat="false" ht="15" hidden="false" customHeight="false" outlineLevel="0" collapsed="false">
      <c r="B7165" s="130" t="n">
        <v>2027</v>
      </c>
      <c r="C7165" s="131" t="s">
        <v>252</v>
      </c>
      <c r="D7165" s="132" t="n">
        <v>46676</v>
      </c>
      <c r="E7165" s="131" t="s">
        <v>59</v>
      </c>
      <c r="F7165" s="133" t="s">
        <v>24</v>
      </c>
      <c r="G7165" s="134" t="n">
        <f aca="false">LEN('Saisie programme'!$I$279)+SUMIFS('Vols additionnels'!$E$7:$E$66,'Vols additionnels'!$C$7:$C$66,$E7165,'Vols additionnels'!$D$7:$D$66,$F7165,'Vols additionnels'!$B$7:$B$66,$D7165)</f>
        <v>1</v>
      </c>
      <c r="H7165" s="135" t="n">
        <f aca="false">$G7165*'Analyse capacite'!$F$9</f>
        <v>174</v>
      </c>
      <c r="I7165" s="135" t="n">
        <f aca="false">$G7165*'Analyse capacite'!$C$9</f>
        <v>0</v>
      </c>
      <c r="J7165" s="135" t="n">
        <f aca="false">$G7165*'Analyse capacite'!$D$9</f>
        <v>12</v>
      </c>
      <c r="K7165" s="135" t="n">
        <f aca="false">$G7165*'Analyse capacite'!$E$9</f>
        <v>162</v>
      </c>
    </row>
    <row r="7166" customFormat="false" ht="15" hidden="false" customHeight="false" outlineLevel="0" collapsed="false">
      <c r="B7166" s="130" t="n">
        <v>2027</v>
      </c>
      <c r="C7166" s="131" t="s">
        <v>252</v>
      </c>
      <c r="D7166" s="132" t="n">
        <v>46676</v>
      </c>
      <c r="E7166" s="131" t="s">
        <v>62</v>
      </c>
      <c r="F7166" s="133" t="s">
        <v>11</v>
      </c>
      <c r="G7166" s="134" t="n">
        <f aca="false">LEN('Saisie programme'!$I$280)+SUMIFS('Vols additionnels'!$E$7:$E$66,'Vols additionnels'!$C$7:$C$66,$E7166,'Vols additionnels'!$D$7:$D$66,$F7166,'Vols additionnels'!$B$7:$B$66,$D7166)</f>
        <v>0</v>
      </c>
      <c r="H7166" s="135" t="n">
        <f aca="false">$G7166*'Analyse capacite'!$F$7</f>
        <v>0</v>
      </c>
      <c r="I7166" s="135" t="n">
        <f aca="false">$G7166*'Analyse capacite'!$C$7</f>
        <v>0</v>
      </c>
      <c r="J7166" s="135" t="n">
        <f aca="false">$G7166*'Analyse capacite'!$D$7</f>
        <v>0</v>
      </c>
      <c r="K7166" s="135" t="n">
        <f aca="false">$G7166*'Analyse capacite'!$E$7</f>
        <v>0</v>
      </c>
    </row>
    <row r="7167" customFormat="false" ht="15" hidden="false" customHeight="false" outlineLevel="0" collapsed="false">
      <c r="B7167" s="130" t="n">
        <v>2027</v>
      </c>
      <c r="C7167" s="131" t="s">
        <v>252</v>
      </c>
      <c r="D7167" s="132" t="n">
        <v>46676</v>
      </c>
      <c r="E7167" s="131" t="s">
        <v>62</v>
      </c>
      <c r="F7167" s="133" t="s">
        <v>19</v>
      </c>
      <c r="G7167" s="134" t="n">
        <f aca="false">LEN('Saisie programme'!$I$281)+SUMIFS('Vols additionnels'!$E$7:$E$66,'Vols additionnels'!$C$7:$C$66,$E7167,'Vols additionnels'!$D$7:$D$66,$F7167,'Vols additionnels'!$B$7:$B$66,$D7167)</f>
        <v>0</v>
      </c>
      <c r="H7167" s="135" t="n">
        <f aca="false">$G7167*'Analyse capacite'!$F$8</f>
        <v>0</v>
      </c>
      <c r="I7167" s="135" t="n">
        <f aca="false">$G7167*'Analyse capacite'!$C$8</f>
        <v>0</v>
      </c>
      <c r="J7167" s="135" t="n">
        <f aca="false">$G7167*'Analyse capacite'!$D$8</f>
        <v>0</v>
      </c>
      <c r="K7167" s="135" t="n">
        <f aca="false">$G7167*'Analyse capacite'!$E$8</f>
        <v>0</v>
      </c>
    </row>
    <row r="7168" customFormat="false" ht="15" hidden="false" customHeight="false" outlineLevel="0" collapsed="false">
      <c r="B7168" s="130" t="n">
        <v>2027</v>
      </c>
      <c r="C7168" s="131" t="s">
        <v>252</v>
      </c>
      <c r="D7168" s="132" t="n">
        <v>46676</v>
      </c>
      <c r="E7168" s="131" t="s">
        <v>62</v>
      </c>
      <c r="F7168" s="133" t="s">
        <v>24</v>
      </c>
      <c r="G7168" s="134" t="n">
        <f aca="false">LEN('Saisie programme'!$I$282)+SUMIFS('Vols additionnels'!$E$7:$E$66,'Vols additionnels'!$C$7:$C$66,$E7168,'Vols additionnels'!$D$7:$D$66,$F7168,'Vols additionnels'!$B$7:$B$66,$D7168)</f>
        <v>0</v>
      </c>
      <c r="H7168" s="135" t="n">
        <f aca="false">$G7168*'Analyse capacite'!$F$9</f>
        <v>0</v>
      </c>
      <c r="I7168" s="135" t="n">
        <f aca="false">$G7168*'Analyse capacite'!$C$9</f>
        <v>0</v>
      </c>
      <c r="J7168" s="135" t="n">
        <f aca="false">$G7168*'Analyse capacite'!$D$9</f>
        <v>0</v>
      </c>
      <c r="K7168" s="135" t="n">
        <f aca="false">$G7168*'Analyse capacite'!$E$9</f>
        <v>0</v>
      </c>
    </row>
    <row r="7169" customFormat="false" ht="15" hidden="false" customHeight="false" outlineLevel="0" collapsed="false">
      <c r="B7169" s="130" t="n">
        <v>2027</v>
      </c>
      <c r="C7169" s="131" t="s">
        <v>252</v>
      </c>
      <c r="D7169" s="132" t="n">
        <v>46677</v>
      </c>
      <c r="E7169" s="131" t="s">
        <v>12</v>
      </c>
      <c r="F7169" s="133" t="s">
        <v>11</v>
      </c>
      <c r="G7169" s="134" t="n">
        <f aca="false">LEN('Saisie programme'!$J$247)+SUMIFS('Vols additionnels'!$E$7:$E$66,'Vols additionnels'!$C$7:$C$66,$E7169,'Vols additionnels'!$D$7:$D$66,$F7169,'Vols additionnels'!$B$7:$B$66,$D7169)</f>
        <v>1</v>
      </c>
      <c r="H7169" s="135" t="n">
        <f aca="false">$G7169*'Analyse capacite'!$F$7</f>
        <v>438</v>
      </c>
      <c r="I7169" s="135" t="n">
        <f aca="false">$G7169*'Analyse capacite'!$C$7</f>
        <v>14</v>
      </c>
      <c r="J7169" s="135" t="n">
        <f aca="false">$G7169*'Analyse capacite'!$D$7</f>
        <v>40</v>
      </c>
      <c r="K7169" s="135" t="n">
        <f aca="false">$G7169*'Analyse capacite'!$E$7</f>
        <v>384</v>
      </c>
    </row>
    <row r="7170" customFormat="false" ht="15" hidden="false" customHeight="false" outlineLevel="0" collapsed="false">
      <c r="B7170" s="130" t="n">
        <v>2027</v>
      </c>
      <c r="C7170" s="131" t="s">
        <v>252</v>
      </c>
      <c r="D7170" s="132" t="n">
        <v>46677</v>
      </c>
      <c r="E7170" s="131" t="s">
        <v>12</v>
      </c>
      <c r="F7170" s="133" t="s">
        <v>19</v>
      </c>
      <c r="G7170" s="134" t="n">
        <f aca="false">LEN('Saisie programme'!$J$248)+SUMIFS('Vols additionnels'!$E$7:$E$66,'Vols additionnels'!$C$7:$C$66,$E7170,'Vols additionnels'!$D$7:$D$66,$F7170,'Vols additionnels'!$B$7:$B$66,$D7170)</f>
        <v>0</v>
      </c>
      <c r="H7170" s="135" t="n">
        <f aca="false">$G7170*'Analyse capacite'!$F$8</f>
        <v>0</v>
      </c>
      <c r="I7170" s="135" t="n">
        <f aca="false">$G7170*'Analyse capacite'!$C$8</f>
        <v>0</v>
      </c>
      <c r="J7170" s="135" t="n">
        <f aca="false">$G7170*'Analyse capacite'!$D$8</f>
        <v>0</v>
      </c>
      <c r="K7170" s="135" t="n">
        <f aca="false">$G7170*'Analyse capacite'!$E$8</f>
        <v>0</v>
      </c>
    </row>
    <row r="7171" customFormat="false" ht="15" hidden="false" customHeight="false" outlineLevel="0" collapsed="false">
      <c r="B7171" s="130" t="n">
        <v>2027</v>
      </c>
      <c r="C7171" s="131" t="s">
        <v>252</v>
      </c>
      <c r="D7171" s="132" t="n">
        <v>46677</v>
      </c>
      <c r="E7171" s="131" t="s">
        <v>12</v>
      </c>
      <c r="F7171" s="133" t="s">
        <v>24</v>
      </c>
      <c r="G7171" s="134" t="n">
        <f aca="false">LEN('Saisie programme'!$J$249)+SUMIFS('Vols additionnels'!$E$7:$E$66,'Vols additionnels'!$C$7:$C$66,$E7171,'Vols additionnels'!$D$7:$D$66,$F7171,'Vols additionnels'!$B$7:$B$66,$D7171)</f>
        <v>0</v>
      </c>
      <c r="H7171" s="135" t="n">
        <f aca="false">$G7171*'Analyse capacite'!$F$9</f>
        <v>0</v>
      </c>
      <c r="I7171" s="135" t="n">
        <f aca="false">$G7171*'Analyse capacite'!$C$9</f>
        <v>0</v>
      </c>
      <c r="J7171" s="135" t="n">
        <f aca="false">$G7171*'Analyse capacite'!$D$9</f>
        <v>0</v>
      </c>
      <c r="K7171" s="135" t="n">
        <f aca="false">$G7171*'Analyse capacite'!$E$9</f>
        <v>0</v>
      </c>
    </row>
    <row r="7172" customFormat="false" ht="15" hidden="false" customHeight="false" outlineLevel="0" collapsed="false">
      <c r="B7172" s="130" t="n">
        <v>2027</v>
      </c>
      <c r="C7172" s="131" t="s">
        <v>252</v>
      </c>
      <c r="D7172" s="132" t="n">
        <v>46677</v>
      </c>
      <c r="E7172" s="131" t="s">
        <v>20</v>
      </c>
      <c r="F7172" s="133" t="s">
        <v>11</v>
      </c>
      <c r="G7172" s="134" t="n">
        <f aca="false">LEN('Saisie programme'!$J$250)+SUMIFS('Vols additionnels'!$E$7:$E$66,'Vols additionnels'!$C$7:$C$66,$E7172,'Vols additionnels'!$D$7:$D$66,$F7172,'Vols additionnels'!$B$7:$B$66,$D7172)</f>
        <v>1</v>
      </c>
      <c r="H7172" s="135" t="n">
        <f aca="false">$G7172*'Analyse capacite'!$F$7</f>
        <v>438</v>
      </c>
      <c r="I7172" s="135" t="n">
        <f aca="false">$G7172*'Analyse capacite'!$C$7</f>
        <v>14</v>
      </c>
      <c r="J7172" s="135" t="n">
        <f aca="false">$G7172*'Analyse capacite'!$D$7</f>
        <v>40</v>
      </c>
      <c r="K7172" s="135" t="n">
        <f aca="false">$G7172*'Analyse capacite'!$E$7</f>
        <v>384</v>
      </c>
    </row>
    <row r="7173" customFormat="false" ht="15" hidden="false" customHeight="false" outlineLevel="0" collapsed="false">
      <c r="B7173" s="130" t="n">
        <v>2027</v>
      </c>
      <c r="C7173" s="131" t="s">
        <v>252</v>
      </c>
      <c r="D7173" s="132" t="n">
        <v>46677</v>
      </c>
      <c r="E7173" s="131" t="s">
        <v>20</v>
      </c>
      <c r="F7173" s="133" t="s">
        <v>19</v>
      </c>
      <c r="G7173" s="134" t="n">
        <f aca="false">LEN('Saisie programme'!$J$251)+SUMIFS('Vols additionnels'!$E$7:$E$66,'Vols additionnels'!$C$7:$C$66,$E7173,'Vols additionnels'!$D$7:$D$66,$F7173,'Vols additionnels'!$B$7:$B$66,$D7173)</f>
        <v>0</v>
      </c>
      <c r="H7173" s="135" t="n">
        <f aca="false">$G7173*'Analyse capacite'!$F$8</f>
        <v>0</v>
      </c>
      <c r="I7173" s="135" t="n">
        <f aca="false">$G7173*'Analyse capacite'!$C$8</f>
        <v>0</v>
      </c>
      <c r="J7173" s="135" t="n">
        <f aca="false">$G7173*'Analyse capacite'!$D$8</f>
        <v>0</v>
      </c>
      <c r="K7173" s="135" t="n">
        <f aca="false">$G7173*'Analyse capacite'!$E$8</f>
        <v>0</v>
      </c>
    </row>
    <row r="7174" customFormat="false" ht="15" hidden="false" customHeight="false" outlineLevel="0" collapsed="false">
      <c r="B7174" s="130" t="n">
        <v>2027</v>
      </c>
      <c r="C7174" s="131" t="s">
        <v>252</v>
      </c>
      <c r="D7174" s="132" t="n">
        <v>46677</v>
      </c>
      <c r="E7174" s="131" t="s">
        <v>20</v>
      </c>
      <c r="F7174" s="133" t="s">
        <v>24</v>
      </c>
      <c r="G7174" s="134" t="n">
        <f aca="false">LEN('Saisie programme'!$J$252)+SUMIFS('Vols additionnels'!$E$7:$E$66,'Vols additionnels'!$C$7:$C$66,$E7174,'Vols additionnels'!$D$7:$D$66,$F7174,'Vols additionnels'!$B$7:$B$66,$D7174)</f>
        <v>0</v>
      </c>
      <c r="H7174" s="135" t="n">
        <f aca="false">$G7174*'Analyse capacite'!$F$9</f>
        <v>0</v>
      </c>
      <c r="I7174" s="135" t="n">
        <f aca="false">$G7174*'Analyse capacite'!$C$9</f>
        <v>0</v>
      </c>
      <c r="J7174" s="135" t="n">
        <f aca="false">$G7174*'Analyse capacite'!$D$9</f>
        <v>0</v>
      </c>
      <c r="K7174" s="135" t="n">
        <f aca="false">$G7174*'Analyse capacite'!$E$9</f>
        <v>0</v>
      </c>
    </row>
    <row r="7175" customFormat="false" ht="15" hidden="false" customHeight="false" outlineLevel="0" collapsed="false">
      <c r="B7175" s="130" t="n">
        <v>2027</v>
      </c>
      <c r="C7175" s="131" t="s">
        <v>252</v>
      </c>
      <c r="D7175" s="132" t="n">
        <v>46677</v>
      </c>
      <c r="E7175" s="131" t="s">
        <v>25</v>
      </c>
      <c r="F7175" s="133" t="s">
        <v>11</v>
      </c>
      <c r="G7175" s="134" t="n">
        <f aca="false">LEN('Saisie programme'!$J$253)+SUMIFS('Vols additionnels'!$E$7:$E$66,'Vols additionnels'!$C$7:$C$66,$E7175,'Vols additionnels'!$D$7:$D$66,$F7175,'Vols additionnels'!$B$7:$B$66,$D7175)</f>
        <v>0</v>
      </c>
      <c r="H7175" s="135" t="n">
        <f aca="false">$G7175*'Analyse capacite'!$F$7</f>
        <v>0</v>
      </c>
      <c r="I7175" s="135" t="n">
        <f aca="false">$G7175*'Analyse capacite'!$C$7</f>
        <v>0</v>
      </c>
      <c r="J7175" s="135" t="n">
        <f aca="false">$G7175*'Analyse capacite'!$D$7</f>
        <v>0</v>
      </c>
      <c r="K7175" s="135" t="n">
        <f aca="false">$G7175*'Analyse capacite'!$E$7</f>
        <v>0</v>
      </c>
    </row>
    <row r="7176" customFormat="false" ht="15" hidden="false" customHeight="false" outlineLevel="0" collapsed="false">
      <c r="B7176" s="130" t="n">
        <v>2027</v>
      </c>
      <c r="C7176" s="131" t="s">
        <v>252</v>
      </c>
      <c r="D7176" s="132" t="n">
        <v>46677</v>
      </c>
      <c r="E7176" s="131" t="s">
        <v>25</v>
      </c>
      <c r="F7176" s="133" t="s">
        <v>19</v>
      </c>
      <c r="G7176" s="134" t="n">
        <f aca="false">LEN('Saisie programme'!$J$254)+SUMIFS('Vols additionnels'!$E$7:$E$66,'Vols additionnels'!$C$7:$C$66,$E7176,'Vols additionnels'!$D$7:$D$66,$F7176,'Vols additionnels'!$B$7:$B$66,$D7176)</f>
        <v>0</v>
      </c>
      <c r="H7176" s="135" t="n">
        <f aca="false">$G7176*'Analyse capacite'!$F$8</f>
        <v>0</v>
      </c>
      <c r="I7176" s="135" t="n">
        <f aca="false">$G7176*'Analyse capacite'!$C$8</f>
        <v>0</v>
      </c>
      <c r="J7176" s="135" t="n">
        <f aca="false">$G7176*'Analyse capacite'!$D$8</f>
        <v>0</v>
      </c>
      <c r="K7176" s="135" t="n">
        <f aca="false">$G7176*'Analyse capacite'!$E$8</f>
        <v>0</v>
      </c>
    </row>
    <row r="7177" customFormat="false" ht="15" hidden="false" customHeight="false" outlineLevel="0" collapsed="false">
      <c r="B7177" s="130" t="n">
        <v>2027</v>
      </c>
      <c r="C7177" s="131" t="s">
        <v>252</v>
      </c>
      <c r="D7177" s="132" t="n">
        <v>46677</v>
      </c>
      <c r="E7177" s="131" t="s">
        <v>25</v>
      </c>
      <c r="F7177" s="133" t="s">
        <v>24</v>
      </c>
      <c r="G7177" s="134" t="n">
        <f aca="false">LEN('Saisie programme'!$J$255)+SUMIFS('Vols additionnels'!$E$7:$E$66,'Vols additionnels'!$C$7:$C$66,$E7177,'Vols additionnels'!$D$7:$D$66,$F7177,'Vols additionnels'!$B$7:$B$66,$D7177)</f>
        <v>0</v>
      </c>
      <c r="H7177" s="135" t="n">
        <f aca="false">$G7177*'Analyse capacite'!$F$9</f>
        <v>0</v>
      </c>
      <c r="I7177" s="135" t="n">
        <f aca="false">$G7177*'Analyse capacite'!$C$9</f>
        <v>0</v>
      </c>
      <c r="J7177" s="135" t="n">
        <f aca="false">$G7177*'Analyse capacite'!$D$9</f>
        <v>0</v>
      </c>
      <c r="K7177" s="135" t="n">
        <f aca="false">$G7177*'Analyse capacite'!$E$9</f>
        <v>0</v>
      </c>
    </row>
    <row r="7178" customFormat="false" ht="15" hidden="false" customHeight="false" outlineLevel="0" collapsed="false">
      <c r="B7178" s="130" t="n">
        <v>2027</v>
      </c>
      <c r="C7178" s="131" t="s">
        <v>252</v>
      </c>
      <c r="D7178" s="132" t="n">
        <v>46677</v>
      </c>
      <c r="E7178" s="131" t="s">
        <v>36</v>
      </c>
      <c r="F7178" s="133" t="s">
        <v>11</v>
      </c>
      <c r="G7178" s="134" t="n">
        <f aca="false">LEN('Saisie programme'!$J$256)+SUMIFS('Vols additionnels'!$E$7:$E$66,'Vols additionnels'!$C$7:$C$66,$E7178,'Vols additionnels'!$D$7:$D$66,$F7178,'Vols additionnels'!$B$7:$B$66,$D7178)</f>
        <v>0</v>
      </c>
      <c r="H7178" s="135" t="n">
        <f aca="false">$G7178*'Analyse capacite'!$F$7</f>
        <v>0</v>
      </c>
      <c r="I7178" s="135" t="n">
        <f aca="false">$G7178*'Analyse capacite'!$C$7</f>
        <v>0</v>
      </c>
      <c r="J7178" s="135" t="n">
        <f aca="false">$G7178*'Analyse capacite'!$D$7</f>
        <v>0</v>
      </c>
      <c r="K7178" s="135" t="n">
        <f aca="false">$G7178*'Analyse capacite'!$E$7</f>
        <v>0</v>
      </c>
    </row>
    <row r="7179" customFormat="false" ht="15" hidden="false" customHeight="false" outlineLevel="0" collapsed="false">
      <c r="B7179" s="130" t="n">
        <v>2027</v>
      </c>
      <c r="C7179" s="131" t="s">
        <v>252</v>
      </c>
      <c r="D7179" s="132" t="n">
        <v>46677</v>
      </c>
      <c r="E7179" s="131" t="s">
        <v>36</v>
      </c>
      <c r="F7179" s="133" t="s">
        <v>19</v>
      </c>
      <c r="G7179" s="134" t="n">
        <f aca="false">LEN('Saisie programme'!$J$257)+SUMIFS('Vols additionnels'!$E$7:$E$66,'Vols additionnels'!$C$7:$C$66,$E7179,'Vols additionnels'!$D$7:$D$66,$F7179,'Vols additionnels'!$B$7:$B$66,$D7179)</f>
        <v>0</v>
      </c>
      <c r="H7179" s="135" t="n">
        <f aca="false">$G7179*'Analyse capacite'!$F$8</f>
        <v>0</v>
      </c>
      <c r="I7179" s="135" t="n">
        <f aca="false">$G7179*'Analyse capacite'!$C$8</f>
        <v>0</v>
      </c>
      <c r="J7179" s="135" t="n">
        <f aca="false">$G7179*'Analyse capacite'!$D$8</f>
        <v>0</v>
      </c>
      <c r="K7179" s="135" t="n">
        <f aca="false">$G7179*'Analyse capacite'!$E$8</f>
        <v>0</v>
      </c>
    </row>
    <row r="7180" customFormat="false" ht="15" hidden="false" customHeight="false" outlineLevel="0" collapsed="false">
      <c r="B7180" s="130" t="n">
        <v>2027</v>
      </c>
      <c r="C7180" s="131" t="s">
        <v>252</v>
      </c>
      <c r="D7180" s="132" t="n">
        <v>46677</v>
      </c>
      <c r="E7180" s="131" t="s">
        <v>36</v>
      </c>
      <c r="F7180" s="133" t="s">
        <v>24</v>
      </c>
      <c r="G7180" s="134" t="n">
        <f aca="false">LEN('Saisie programme'!$J$258)+SUMIFS('Vols additionnels'!$E$7:$E$66,'Vols additionnels'!$C$7:$C$66,$E7180,'Vols additionnels'!$D$7:$D$66,$F7180,'Vols additionnels'!$B$7:$B$66,$D7180)</f>
        <v>0</v>
      </c>
      <c r="H7180" s="135" t="n">
        <f aca="false">$G7180*'Analyse capacite'!$F$9</f>
        <v>0</v>
      </c>
      <c r="I7180" s="135" t="n">
        <f aca="false">$G7180*'Analyse capacite'!$C$9</f>
        <v>0</v>
      </c>
      <c r="J7180" s="135" t="n">
        <f aca="false">$G7180*'Analyse capacite'!$D$9</f>
        <v>0</v>
      </c>
      <c r="K7180" s="135" t="n">
        <f aca="false">$G7180*'Analyse capacite'!$E$9</f>
        <v>0</v>
      </c>
    </row>
    <row r="7181" customFormat="false" ht="15" hidden="false" customHeight="false" outlineLevel="0" collapsed="false">
      <c r="B7181" s="130" t="n">
        <v>2027</v>
      </c>
      <c r="C7181" s="131" t="s">
        <v>252</v>
      </c>
      <c r="D7181" s="132" t="n">
        <v>46677</v>
      </c>
      <c r="E7181" s="131" t="s">
        <v>40</v>
      </c>
      <c r="F7181" s="133" t="s">
        <v>11</v>
      </c>
      <c r="G7181" s="134" t="n">
        <f aca="false">LEN('Saisie programme'!$J$259)+SUMIFS('Vols additionnels'!$E$7:$E$66,'Vols additionnels'!$C$7:$C$66,$E7181,'Vols additionnels'!$D$7:$D$66,$F7181,'Vols additionnels'!$B$7:$B$66,$D7181)</f>
        <v>0</v>
      </c>
      <c r="H7181" s="135" t="n">
        <f aca="false">$G7181*'Analyse capacite'!$F$7</f>
        <v>0</v>
      </c>
      <c r="I7181" s="135" t="n">
        <f aca="false">$G7181*'Analyse capacite'!$C$7</f>
        <v>0</v>
      </c>
      <c r="J7181" s="135" t="n">
        <f aca="false">$G7181*'Analyse capacite'!$D$7</f>
        <v>0</v>
      </c>
      <c r="K7181" s="135" t="n">
        <f aca="false">$G7181*'Analyse capacite'!$E$7</f>
        <v>0</v>
      </c>
    </row>
    <row r="7182" customFormat="false" ht="15" hidden="false" customHeight="false" outlineLevel="0" collapsed="false">
      <c r="B7182" s="130" t="n">
        <v>2027</v>
      </c>
      <c r="C7182" s="131" t="s">
        <v>252</v>
      </c>
      <c r="D7182" s="132" t="n">
        <v>46677</v>
      </c>
      <c r="E7182" s="131" t="s">
        <v>40</v>
      </c>
      <c r="F7182" s="133" t="s">
        <v>19</v>
      </c>
      <c r="G7182" s="134" t="n">
        <f aca="false">LEN('Saisie programme'!$J$260)+SUMIFS('Vols additionnels'!$E$7:$E$66,'Vols additionnels'!$C$7:$C$66,$E7182,'Vols additionnels'!$D$7:$D$66,$F7182,'Vols additionnels'!$B$7:$B$66,$D7182)</f>
        <v>0</v>
      </c>
      <c r="H7182" s="135" t="n">
        <f aca="false">$G7182*'Analyse capacite'!$F$8</f>
        <v>0</v>
      </c>
      <c r="I7182" s="135" t="n">
        <f aca="false">$G7182*'Analyse capacite'!$C$8</f>
        <v>0</v>
      </c>
      <c r="J7182" s="135" t="n">
        <f aca="false">$G7182*'Analyse capacite'!$D$8</f>
        <v>0</v>
      </c>
      <c r="K7182" s="135" t="n">
        <f aca="false">$G7182*'Analyse capacite'!$E$8</f>
        <v>0</v>
      </c>
    </row>
    <row r="7183" customFormat="false" ht="15" hidden="false" customHeight="false" outlineLevel="0" collapsed="false">
      <c r="B7183" s="130" t="n">
        <v>2027</v>
      </c>
      <c r="C7183" s="131" t="s">
        <v>252</v>
      </c>
      <c r="D7183" s="132" t="n">
        <v>46677</v>
      </c>
      <c r="E7183" s="131" t="s">
        <v>40</v>
      </c>
      <c r="F7183" s="133" t="s">
        <v>24</v>
      </c>
      <c r="G7183" s="134" t="n">
        <f aca="false">LEN('Saisie programme'!$J$261)+SUMIFS('Vols additionnels'!$E$7:$E$66,'Vols additionnels'!$C$7:$C$66,$E7183,'Vols additionnels'!$D$7:$D$66,$F7183,'Vols additionnels'!$B$7:$B$66,$D7183)</f>
        <v>1</v>
      </c>
      <c r="H7183" s="135" t="n">
        <f aca="false">$G7183*'Analyse capacite'!$F$9</f>
        <v>174</v>
      </c>
      <c r="I7183" s="135" t="n">
        <f aca="false">$G7183*'Analyse capacite'!$C$9</f>
        <v>0</v>
      </c>
      <c r="J7183" s="135" t="n">
        <f aca="false">$G7183*'Analyse capacite'!$D$9</f>
        <v>12</v>
      </c>
      <c r="K7183" s="135" t="n">
        <f aca="false">$G7183*'Analyse capacite'!$E$9</f>
        <v>162</v>
      </c>
    </row>
    <row r="7184" customFormat="false" ht="15" hidden="false" customHeight="false" outlineLevel="0" collapsed="false">
      <c r="B7184" s="130" t="n">
        <v>2027</v>
      </c>
      <c r="C7184" s="131" t="s">
        <v>252</v>
      </c>
      <c r="D7184" s="132" t="n">
        <v>46677</v>
      </c>
      <c r="E7184" s="131" t="s">
        <v>14</v>
      </c>
      <c r="F7184" s="133" t="s">
        <v>11</v>
      </c>
      <c r="G7184" s="134" t="n">
        <f aca="false">LEN('Saisie programme'!$J$262)+SUMIFS('Vols additionnels'!$E$7:$E$66,'Vols additionnels'!$C$7:$C$66,$E7184,'Vols additionnels'!$D$7:$D$66,$F7184,'Vols additionnels'!$B$7:$B$66,$D7184)</f>
        <v>0</v>
      </c>
      <c r="H7184" s="135" t="n">
        <f aca="false">$G7184*'Analyse capacite'!$F$7</f>
        <v>0</v>
      </c>
      <c r="I7184" s="135" t="n">
        <f aca="false">$G7184*'Analyse capacite'!$C$7</f>
        <v>0</v>
      </c>
      <c r="J7184" s="135" t="n">
        <f aca="false">$G7184*'Analyse capacite'!$D$7</f>
        <v>0</v>
      </c>
      <c r="K7184" s="135" t="n">
        <f aca="false">$G7184*'Analyse capacite'!$E$7</f>
        <v>0</v>
      </c>
    </row>
    <row r="7185" customFormat="false" ht="15" hidden="false" customHeight="false" outlineLevel="0" collapsed="false">
      <c r="B7185" s="130" t="n">
        <v>2027</v>
      </c>
      <c r="C7185" s="131" t="s">
        <v>252</v>
      </c>
      <c r="D7185" s="132" t="n">
        <v>46677</v>
      </c>
      <c r="E7185" s="131" t="s">
        <v>14</v>
      </c>
      <c r="F7185" s="133" t="s">
        <v>19</v>
      </c>
      <c r="G7185" s="134" t="n">
        <f aca="false">LEN('Saisie programme'!$J$263)+SUMIFS('Vols additionnels'!$E$7:$E$66,'Vols additionnels'!$C$7:$C$66,$E7185,'Vols additionnels'!$D$7:$D$66,$F7185,'Vols additionnels'!$B$7:$B$66,$D7185)</f>
        <v>0</v>
      </c>
      <c r="H7185" s="135" t="n">
        <f aca="false">$G7185*'Analyse capacite'!$F$8</f>
        <v>0</v>
      </c>
      <c r="I7185" s="135" t="n">
        <f aca="false">$G7185*'Analyse capacite'!$C$8</f>
        <v>0</v>
      </c>
      <c r="J7185" s="135" t="n">
        <f aca="false">$G7185*'Analyse capacite'!$D$8</f>
        <v>0</v>
      </c>
      <c r="K7185" s="135" t="n">
        <f aca="false">$G7185*'Analyse capacite'!$E$8</f>
        <v>0</v>
      </c>
    </row>
    <row r="7186" customFormat="false" ht="15" hidden="false" customHeight="false" outlineLevel="0" collapsed="false">
      <c r="B7186" s="130" t="n">
        <v>2027</v>
      </c>
      <c r="C7186" s="131" t="s">
        <v>252</v>
      </c>
      <c r="D7186" s="132" t="n">
        <v>46677</v>
      </c>
      <c r="E7186" s="131" t="s">
        <v>14</v>
      </c>
      <c r="F7186" s="133" t="s">
        <v>24</v>
      </c>
      <c r="G7186" s="134" t="n">
        <f aca="false">LEN('Saisie programme'!$J$264)+SUMIFS('Vols additionnels'!$E$7:$E$66,'Vols additionnels'!$C$7:$C$66,$E7186,'Vols additionnels'!$D$7:$D$66,$F7186,'Vols additionnels'!$B$7:$B$66,$D7186)</f>
        <v>0</v>
      </c>
      <c r="H7186" s="135" t="n">
        <f aca="false">$G7186*'Analyse capacite'!$F$9</f>
        <v>0</v>
      </c>
      <c r="I7186" s="135" t="n">
        <f aca="false">$G7186*'Analyse capacite'!$C$9</f>
        <v>0</v>
      </c>
      <c r="J7186" s="135" t="n">
        <f aca="false">$G7186*'Analyse capacite'!$D$9</f>
        <v>0</v>
      </c>
      <c r="K7186" s="135" t="n">
        <f aca="false">$G7186*'Analyse capacite'!$E$9</f>
        <v>0</v>
      </c>
    </row>
    <row r="7187" customFormat="false" ht="15" hidden="false" customHeight="false" outlineLevel="0" collapsed="false">
      <c r="B7187" s="130" t="n">
        <v>2027</v>
      </c>
      <c r="C7187" s="131" t="s">
        <v>252</v>
      </c>
      <c r="D7187" s="132" t="n">
        <v>46677</v>
      </c>
      <c r="E7187" s="131" t="s">
        <v>46</v>
      </c>
      <c r="F7187" s="133" t="s">
        <v>11</v>
      </c>
      <c r="G7187" s="134" t="n">
        <f aca="false">LEN('Saisie programme'!$J$265)+SUMIFS('Vols additionnels'!$E$7:$E$66,'Vols additionnels'!$C$7:$C$66,$E7187,'Vols additionnels'!$D$7:$D$66,$F7187,'Vols additionnels'!$B$7:$B$66,$D7187)</f>
        <v>0</v>
      </c>
      <c r="H7187" s="135" t="n">
        <f aca="false">$G7187*'Analyse capacite'!$F$7</f>
        <v>0</v>
      </c>
      <c r="I7187" s="135" t="n">
        <f aca="false">$G7187*'Analyse capacite'!$C$7</f>
        <v>0</v>
      </c>
      <c r="J7187" s="135" t="n">
        <f aca="false">$G7187*'Analyse capacite'!$D$7</f>
        <v>0</v>
      </c>
      <c r="K7187" s="135" t="n">
        <f aca="false">$G7187*'Analyse capacite'!$E$7</f>
        <v>0</v>
      </c>
    </row>
    <row r="7188" customFormat="false" ht="15" hidden="false" customHeight="false" outlineLevel="0" collapsed="false">
      <c r="B7188" s="130" t="n">
        <v>2027</v>
      </c>
      <c r="C7188" s="131" t="s">
        <v>252</v>
      </c>
      <c r="D7188" s="132" t="n">
        <v>46677</v>
      </c>
      <c r="E7188" s="131" t="s">
        <v>46</v>
      </c>
      <c r="F7188" s="133" t="s">
        <v>19</v>
      </c>
      <c r="G7188" s="134" t="n">
        <f aca="false">LEN('Saisie programme'!$J$266)+SUMIFS('Vols additionnels'!$E$7:$E$66,'Vols additionnels'!$C$7:$C$66,$E7188,'Vols additionnels'!$D$7:$D$66,$F7188,'Vols additionnels'!$B$7:$B$66,$D7188)</f>
        <v>0</v>
      </c>
      <c r="H7188" s="135" t="n">
        <f aca="false">$G7188*'Analyse capacite'!$F$8</f>
        <v>0</v>
      </c>
      <c r="I7188" s="135" t="n">
        <f aca="false">$G7188*'Analyse capacite'!$C$8</f>
        <v>0</v>
      </c>
      <c r="J7188" s="135" t="n">
        <f aca="false">$G7188*'Analyse capacite'!$D$8</f>
        <v>0</v>
      </c>
      <c r="K7188" s="135" t="n">
        <f aca="false">$G7188*'Analyse capacite'!$E$8</f>
        <v>0</v>
      </c>
    </row>
    <row r="7189" customFormat="false" ht="15" hidden="false" customHeight="false" outlineLevel="0" collapsed="false">
      <c r="B7189" s="130" t="n">
        <v>2027</v>
      </c>
      <c r="C7189" s="131" t="s">
        <v>252</v>
      </c>
      <c r="D7189" s="132" t="n">
        <v>46677</v>
      </c>
      <c r="E7189" s="131" t="s">
        <v>46</v>
      </c>
      <c r="F7189" s="133" t="s">
        <v>24</v>
      </c>
      <c r="G7189" s="134" t="n">
        <f aca="false">LEN('Saisie programme'!$J$267)+SUMIFS('Vols additionnels'!$E$7:$E$66,'Vols additionnels'!$C$7:$C$66,$E7189,'Vols additionnels'!$D$7:$D$66,$F7189,'Vols additionnels'!$B$7:$B$66,$D7189)</f>
        <v>0</v>
      </c>
      <c r="H7189" s="135" t="n">
        <f aca="false">$G7189*'Analyse capacite'!$F$9</f>
        <v>0</v>
      </c>
      <c r="I7189" s="135" t="n">
        <f aca="false">$G7189*'Analyse capacite'!$C$9</f>
        <v>0</v>
      </c>
      <c r="J7189" s="135" t="n">
        <f aca="false">$G7189*'Analyse capacite'!$D$9</f>
        <v>0</v>
      </c>
      <c r="K7189" s="135" t="n">
        <f aca="false">$G7189*'Analyse capacite'!$E$9</f>
        <v>0</v>
      </c>
    </row>
    <row r="7190" customFormat="false" ht="15" hidden="false" customHeight="false" outlineLevel="0" collapsed="false">
      <c r="B7190" s="130" t="n">
        <v>2027</v>
      </c>
      <c r="C7190" s="131" t="s">
        <v>252</v>
      </c>
      <c r="D7190" s="132" t="n">
        <v>46677</v>
      </c>
      <c r="E7190" s="131" t="s">
        <v>49</v>
      </c>
      <c r="F7190" s="133" t="s">
        <v>11</v>
      </c>
      <c r="G7190" s="134" t="n">
        <f aca="false">LEN('Saisie programme'!$J$268)+SUMIFS('Vols additionnels'!$E$7:$E$66,'Vols additionnels'!$C$7:$C$66,$E7190,'Vols additionnels'!$D$7:$D$66,$F7190,'Vols additionnels'!$B$7:$B$66,$D7190)</f>
        <v>0</v>
      </c>
      <c r="H7190" s="135" t="n">
        <f aca="false">$G7190*'Analyse capacite'!$F$7</f>
        <v>0</v>
      </c>
      <c r="I7190" s="135" t="n">
        <f aca="false">$G7190*'Analyse capacite'!$C$7</f>
        <v>0</v>
      </c>
      <c r="J7190" s="135" t="n">
        <f aca="false">$G7190*'Analyse capacite'!$D$7</f>
        <v>0</v>
      </c>
      <c r="K7190" s="135" t="n">
        <f aca="false">$G7190*'Analyse capacite'!$E$7</f>
        <v>0</v>
      </c>
    </row>
    <row r="7191" customFormat="false" ht="15" hidden="false" customHeight="false" outlineLevel="0" collapsed="false">
      <c r="B7191" s="130" t="n">
        <v>2027</v>
      </c>
      <c r="C7191" s="131" t="s">
        <v>252</v>
      </c>
      <c r="D7191" s="132" t="n">
        <v>46677</v>
      </c>
      <c r="E7191" s="131" t="s">
        <v>49</v>
      </c>
      <c r="F7191" s="133" t="s">
        <v>19</v>
      </c>
      <c r="G7191" s="134" t="n">
        <f aca="false">LEN('Saisie programme'!$J$269)+SUMIFS('Vols additionnels'!$E$7:$E$66,'Vols additionnels'!$C$7:$C$66,$E7191,'Vols additionnels'!$D$7:$D$66,$F7191,'Vols additionnels'!$B$7:$B$66,$D7191)</f>
        <v>0</v>
      </c>
      <c r="H7191" s="135" t="n">
        <f aca="false">$G7191*'Analyse capacite'!$F$8</f>
        <v>0</v>
      </c>
      <c r="I7191" s="135" t="n">
        <f aca="false">$G7191*'Analyse capacite'!$C$8</f>
        <v>0</v>
      </c>
      <c r="J7191" s="135" t="n">
        <f aca="false">$G7191*'Analyse capacite'!$D$8</f>
        <v>0</v>
      </c>
      <c r="K7191" s="135" t="n">
        <f aca="false">$G7191*'Analyse capacite'!$E$8</f>
        <v>0</v>
      </c>
    </row>
    <row r="7192" customFormat="false" ht="15" hidden="false" customHeight="false" outlineLevel="0" collapsed="false">
      <c r="B7192" s="130" t="n">
        <v>2027</v>
      </c>
      <c r="C7192" s="131" t="s">
        <v>252</v>
      </c>
      <c r="D7192" s="132" t="n">
        <v>46677</v>
      </c>
      <c r="E7192" s="131" t="s">
        <v>49</v>
      </c>
      <c r="F7192" s="133" t="s">
        <v>24</v>
      </c>
      <c r="G7192" s="134" t="n">
        <f aca="false">LEN('Saisie programme'!$J$270)+SUMIFS('Vols additionnels'!$E$7:$E$66,'Vols additionnels'!$C$7:$C$66,$E7192,'Vols additionnels'!$D$7:$D$66,$F7192,'Vols additionnels'!$B$7:$B$66,$D7192)</f>
        <v>0</v>
      </c>
      <c r="H7192" s="135" t="n">
        <f aca="false">$G7192*'Analyse capacite'!$F$9</f>
        <v>0</v>
      </c>
      <c r="I7192" s="135" t="n">
        <f aca="false">$G7192*'Analyse capacite'!$C$9</f>
        <v>0</v>
      </c>
      <c r="J7192" s="135" t="n">
        <f aca="false">$G7192*'Analyse capacite'!$D$9</f>
        <v>0</v>
      </c>
      <c r="K7192" s="135" t="n">
        <f aca="false">$G7192*'Analyse capacite'!$E$9</f>
        <v>0</v>
      </c>
    </row>
    <row r="7193" customFormat="false" ht="15" hidden="false" customHeight="false" outlineLevel="0" collapsed="false">
      <c r="B7193" s="130" t="n">
        <v>2027</v>
      </c>
      <c r="C7193" s="131" t="s">
        <v>252</v>
      </c>
      <c r="D7193" s="132" t="n">
        <v>46677</v>
      </c>
      <c r="E7193" s="131" t="s">
        <v>53</v>
      </c>
      <c r="F7193" s="133" t="s">
        <v>11</v>
      </c>
      <c r="G7193" s="134" t="n">
        <f aca="false">LEN('Saisie programme'!$J$271)+SUMIFS('Vols additionnels'!$E$7:$E$66,'Vols additionnels'!$C$7:$C$66,$E7193,'Vols additionnels'!$D$7:$D$66,$F7193,'Vols additionnels'!$B$7:$B$66,$D7193)</f>
        <v>0</v>
      </c>
      <c r="H7193" s="135" t="n">
        <f aca="false">$G7193*'Analyse capacite'!$F$7</f>
        <v>0</v>
      </c>
      <c r="I7193" s="135" t="n">
        <f aca="false">$G7193*'Analyse capacite'!$C$7</f>
        <v>0</v>
      </c>
      <c r="J7193" s="135" t="n">
        <f aca="false">$G7193*'Analyse capacite'!$D$7</f>
        <v>0</v>
      </c>
      <c r="K7193" s="135" t="n">
        <f aca="false">$G7193*'Analyse capacite'!$E$7</f>
        <v>0</v>
      </c>
    </row>
    <row r="7194" customFormat="false" ht="15" hidden="false" customHeight="false" outlineLevel="0" collapsed="false">
      <c r="B7194" s="130" t="n">
        <v>2027</v>
      </c>
      <c r="C7194" s="131" t="s">
        <v>252</v>
      </c>
      <c r="D7194" s="132" t="n">
        <v>46677</v>
      </c>
      <c r="E7194" s="131" t="s">
        <v>53</v>
      </c>
      <c r="F7194" s="133" t="s">
        <v>19</v>
      </c>
      <c r="G7194" s="134" t="n">
        <f aca="false">LEN('Saisie programme'!$J$272)+SUMIFS('Vols additionnels'!$E$7:$E$66,'Vols additionnels'!$C$7:$C$66,$E7194,'Vols additionnels'!$D$7:$D$66,$F7194,'Vols additionnels'!$B$7:$B$66,$D7194)</f>
        <v>0</v>
      </c>
      <c r="H7194" s="135" t="n">
        <f aca="false">$G7194*'Analyse capacite'!$F$8</f>
        <v>0</v>
      </c>
      <c r="I7194" s="135" t="n">
        <f aca="false">$G7194*'Analyse capacite'!$C$8</f>
        <v>0</v>
      </c>
      <c r="J7194" s="135" t="n">
        <f aca="false">$G7194*'Analyse capacite'!$D$8</f>
        <v>0</v>
      </c>
      <c r="K7194" s="135" t="n">
        <f aca="false">$G7194*'Analyse capacite'!$E$8</f>
        <v>0</v>
      </c>
    </row>
    <row r="7195" customFormat="false" ht="15" hidden="false" customHeight="false" outlineLevel="0" collapsed="false">
      <c r="B7195" s="130" t="n">
        <v>2027</v>
      </c>
      <c r="C7195" s="131" t="s">
        <v>252</v>
      </c>
      <c r="D7195" s="132" t="n">
        <v>46677</v>
      </c>
      <c r="E7195" s="131" t="s">
        <v>53</v>
      </c>
      <c r="F7195" s="133" t="s">
        <v>24</v>
      </c>
      <c r="G7195" s="134" t="n">
        <f aca="false">LEN('Saisie programme'!$J$273)+SUMIFS('Vols additionnels'!$E$7:$E$66,'Vols additionnels'!$C$7:$C$66,$E7195,'Vols additionnels'!$D$7:$D$66,$F7195,'Vols additionnels'!$B$7:$B$66,$D7195)</f>
        <v>0</v>
      </c>
      <c r="H7195" s="135" t="n">
        <f aca="false">$G7195*'Analyse capacite'!$F$9</f>
        <v>0</v>
      </c>
      <c r="I7195" s="135" t="n">
        <f aca="false">$G7195*'Analyse capacite'!$C$9</f>
        <v>0</v>
      </c>
      <c r="J7195" s="135" t="n">
        <f aca="false">$G7195*'Analyse capacite'!$D$9</f>
        <v>0</v>
      </c>
      <c r="K7195" s="135" t="n">
        <f aca="false">$G7195*'Analyse capacite'!$E$9</f>
        <v>0</v>
      </c>
    </row>
    <row r="7196" customFormat="false" ht="15" hidden="false" customHeight="false" outlineLevel="0" collapsed="false">
      <c r="B7196" s="130" t="n">
        <v>2027</v>
      </c>
      <c r="C7196" s="131" t="s">
        <v>252</v>
      </c>
      <c r="D7196" s="132" t="n">
        <v>46677</v>
      </c>
      <c r="E7196" s="131" t="s">
        <v>56</v>
      </c>
      <c r="F7196" s="133" t="s">
        <v>11</v>
      </c>
      <c r="G7196" s="134" t="n">
        <f aca="false">LEN('Saisie programme'!$J$274)+SUMIFS('Vols additionnels'!$E$7:$E$66,'Vols additionnels'!$C$7:$C$66,$E7196,'Vols additionnels'!$D$7:$D$66,$F7196,'Vols additionnels'!$B$7:$B$66,$D7196)</f>
        <v>0</v>
      </c>
      <c r="H7196" s="135" t="n">
        <f aca="false">$G7196*'Analyse capacite'!$F$7</f>
        <v>0</v>
      </c>
      <c r="I7196" s="135" t="n">
        <f aca="false">$G7196*'Analyse capacite'!$C$7</f>
        <v>0</v>
      </c>
      <c r="J7196" s="135" t="n">
        <f aca="false">$G7196*'Analyse capacite'!$D$7</f>
        <v>0</v>
      </c>
      <c r="K7196" s="135" t="n">
        <f aca="false">$G7196*'Analyse capacite'!$E$7</f>
        <v>0</v>
      </c>
    </row>
    <row r="7197" customFormat="false" ht="15" hidden="false" customHeight="false" outlineLevel="0" collapsed="false">
      <c r="B7197" s="130" t="n">
        <v>2027</v>
      </c>
      <c r="C7197" s="131" t="s">
        <v>252</v>
      </c>
      <c r="D7197" s="132" t="n">
        <v>46677</v>
      </c>
      <c r="E7197" s="131" t="s">
        <v>56</v>
      </c>
      <c r="F7197" s="133" t="s">
        <v>19</v>
      </c>
      <c r="G7197" s="134" t="n">
        <f aca="false">LEN('Saisie programme'!$J$275)+SUMIFS('Vols additionnels'!$E$7:$E$66,'Vols additionnels'!$C$7:$C$66,$E7197,'Vols additionnels'!$D$7:$D$66,$F7197,'Vols additionnels'!$B$7:$B$66,$D7197)</f>
        <v>0</v>
      </c>
      <c r="H7197" s="135" t="n">
        <f aca="false">$G7197*'Analyse capacite'!$F$8</f>
        <v>0</v>
      </c>
      <c r="I7197" s="135" t="n">
        <f aca="false">$G7197*'Analyse capacite'!$C$8</f>
        <v>0</v>
      </c>
      <c r="J7197" s="135" t="n">
        <f aca="false">$G7197*'Analyse capacite'!$D$8</f>
        <v>0</v>
      </c>
      <c r="K7197" s="135" t="n">
        <f aca="false">$G7197*'Analyse capacite'!$E$8</f>
        <v>0</v>
      </c>
    </row>
    <row r="7198" customFormat="false" ht="15" hidden="false" customHeight="false" outlineLevel="0" collapsed="false">
      <c r="B7198" s="130" t="n">
        <v>2027</v>
      </c>
      <c r="C7198" s="131" t="s">
        <v>252</v>
      </c>
      <c r="D7198" s="132" t="n">
        <v>46677</v>
      </c>
      <c r="E7198" s="131" t="s">
        <v>56</v>
      </c>
      <c r="F7198" s="133" t="s">
        <v>24</v>
      </c>
      <c r="G7198" s="134" t="n">
        <f aca="false">LEN('Saisie programme'!$J$276)+SUMIFS('Vols additionnels'!$E$7:$E$66,'Vols additionnels'!$C$7:$C$66,$E7198,'Vols additionnels'!$D$7:$D$66,$F7198,'Vols additionnels'!$B$7:$B$66,$D7198)</f>
        <v>0</v>
      </c>
      <c r="H7198" s="135" t="n">
        <f aca="false">$G7198*'Analyse capacite'!$F$9</f>
        <v>0</v>
      </c>
      <c r="I7198" s="135" t="n">
        <f aca="false">$G7198*'Analyse capacite'!$C$9</f>
        <v>0</v>
      </c>
      <c r="J7198" s="135" t="n">
        <f aca="false">$G7198*'Analyse capacite'!$D$9</f>
        <v>0</v>
      </c>
      <c r="K7198" s="135" t="n">
        <f aca="false">$G7198*'Analyse capacite'!$E$9</f>
        <v>0</v>
      </c>
    </row>
    <row r="7199" customFormat="false" ht="15" hidden="false" customHeight="false" outlineLevel="0" collapsed="false">
      <c r="B7199" s="130" t="n">
        <v>2027</v>
      </c>
      <c r="C7199" s="131" t="s">
        <v>252</v>
      </c>
      <c r="D7199" s="132" t="n">
        <v>46677</v>
      </c>
      <c r="E7199" s="131" t="s">
        <v>59</v>
      </c>
      <c r="F7199" s="133" t="s">
        <v>11</v>
      </c>
      <c r="G7199" s="134" t="n">
        <f aca="false">LEN('Saisie programme'!$J$277)+SUMIFS('Vols additionnels'!$E$7:$E$66,'Vols additionnels'!$C$7:$C$66,$E7199,'Vols additionnels'!$D$7:$D$66,$F7199,'Vols additionnels'!$B$7:$B$66,$D7199)</f>
        <v>0</v>
      </c>
      <c r="H7199" s="135" t="n">
        <f aca="false">$G7199*'Analyse capacite'!$F$7</f>
        <v>0</v>
      </c>
      <c r="I7199" s="135" t="n">
        <f aca="false">$G7199*'Analyse capacite'!$C$7</f>
        <v>0</v>
      </c>
      <c r="J7199" s="135" t="n">
        <f aca="false">$G7199*'Analyse capacite'!$D$7</f>
        <v>0</v>
      </c>
      <c r="K7199" s="135" t="n">
        <f aca="false">$G7199*'Analyse capacite'!$E$7</f>
        <v>0</v>
      </c>
    </row>
    <row r="7200" customFormat="false" ht="15" hidden="false" customHeight="false" outlineLevel="0" collapsed="false">
      <c r="B7200" s="130" t="n">
        <v>2027</v>
      </c>
      <c r="C7200" s="131" t="s">
        <v>252</v>
      </c>
      <c r="D7200" s="132" t="n">
        <v>46677</v>
      </c>
      <c r="E7200" s="131" t="s">
        <v>59</v>
      </c>
      <c r="F7200" s="133" t="s">
        <v>19</v>
      </c>
      <c r="G7200" s="134" t="n">
        <f aca="false">LEN('Saisie programme'!$J$278)+SUMIFS('Vols additionnels'!$E$7:$E$66,'Vols additionnels'!$C$7:$C$66,$E7200,'Vols additionnels'!$D$7:$D$66,$F7200,'Vols additionnels'!$B$7:$B$66,$D7200)</f>
        <v>0</v>
      </c>
      <c r="H7200" s="135" t="n">
        <f aca="false">$G7200*'Analyse capacite'!$F$8</f>
        <v>0</v>
      </c>
      <c r="I7200" s="135" t="n">
        <f aca="false">$G7200*'Analyse capacite'!$C$8</f>
        <v>0</v>
      </c>
      <c r="J7200" s="135" t="n">
        <f aca="false">$G7200*'Analyse capacite'!$D$8</f>
        <v>0</v>
      </c>
      <c r="K7200" s="135" t="n">
        <f aca="false">$G7200*'Analyse capacite'!$E$8</f>
        <v>0</v>
      </c>
    </row>
    <row r="7201" customFormat="false" ht="15" hidden="false" customHeight="false" outlineLevel="0" collapsed="false">
      <c r="B7201" s="130" t="n">
        <v>2027</v>
      </c>
      <c r="C7201" s="131" t="s">
        <v>252</v>
      </c>
      <c r="D7201" s="132" t="n">
        <v>46677</v>
      </c>
      <c r="E7201" s="131" t="s">
        <v>59</v>
      </c>
      <c r="F7201" s="133" t="s">
        <v>24</v>
      </c>
      <c r="G7201" s="134" t="n">
        <f aca="false">LEN('Saisie programme'!$J$279)+SUMIFS('Vols additionnels'!$E$7:$E$66,'Vols additionnels'!$C$7:$C$66,$E7201,'Vols additionnels'!$D$7:$D$66,$F7201,'Vols additionnels'!$B$7:$B$66,$D7201)</f>
        <v>0</v>
      </c>
      <c r="H7201" s="135" t="n">
        <f aca="false">$G7201*'Analyse capacite'!$F$9</f>
        <v>0</v>
      </c>
      <c r="I7201" s="135" t="n">
        <f aca="false">$G7201*'Analyse capacite'!$C$9</f>
        <v>0</v>
      </c>
      <c r="J7201" s="135" t="n">
        <f aca="false">$G7201*'Analyse capacite'!$D$9</f>
        <v>0</v>
      </c>
      <c r="K7201" s="135" t="n">
        <f aca="false">$G7201*'Analyse capacite'!$E$9</f>
        <v>0</v>
      </c>
    </row>
    <row r="7202" customFormat="false" ht="15" hidden="false" customHeight="false" outlineLevel="0" collapsed="false">
      <c r="B7202" s="130" t="n">
        <v>2027</v>
      </c>
      <c r="C7202" s="131" t="s">
        <v>252</v>
      </c>
      <c r="D7202" s="132" t="n">
        <v>46677</v>
      </c>
      <c r="E7202" s="131" t="s">
        <v>62</v>
      </c>
      <c r="F7202" s="133" t="s">
        <v>11</v>
      </c>
      <c r="G7202" s="134" t="n">
        <f aca="false">LEN('Saisie programme'!$J$280)+SUMIFS('Vols additionnels'!$E$7:$E$66,'Vols additionnels'!$C$7:$C$66,$E7202,'Vols additionnels'!$D$7:$D$66,$F7202,'Vols additionnels'!$B$7:$B$66,$D7202)</f>
        <v>0</v>
      </c>
      <c r="H7202" s="135" t="n">
        <f aca="false">$G7202*'Analyse capacite'!$F$7</f>
        <v>0</v>
      </c>
      <c r="I7202" s="135" t="n">
        <f aca="false">$G7202*'Analyse capacite'!$C$7</f>
        <v>0</v>
      </c>
      <c r="J7202" s="135" t="n">
        <f aca="false">$G7202*'Analyse capacite'!$D$7</f>
        <v>0</v>
      </c>
      <c r="K7202" s="135" t="n">
        <f aca="false">$G7202*'Analyse capacite'!$E$7</f>
        <v>0</v>
      </c>
    </row>
    <row r="7203" customFormat="false" ht="15" hidden="false" customHeight="false" outlineLevel="0" collapsed="false">
      <c r="B7203" s="130" t="n">
        <v>2027</v>
      </c>
      <c r="C7203" s="131" t="s">
        <v>252</v>
      </c>
      <c r="D7203" s="132" t="n">
        <v>46677</v>
      </c>
      <c r="E7203" s="131" t="s">
        <v>62</v>
      </c>
      <c r="F7203" s="133" t="s">
        <v>19</v>
      </c>
      <c r="G7203" s="134" t="n">
        <f aca="false">LEN('Saisie programme'!$J$281)+SUMIFS('Vols additionnels'!$E$7:$E$66,'Vols additionnels'!$C$7:$C$66,$E7203,'Vols additionnels'!$D$7:$D$66,$F7203,'Vols additionnels'!$B$7:$B$66,$D7203)</f>
        <v>0</v>
      </c>
      <c r="H7203" s="135" t="n">
        <f aca="false">$G7203*'Analyse capacite'!$F$8</f>
        <v>0</v>
      </c>
      <c r="I7203" s="135" t="n">
        <f aca="false">$G7203*'Analyse capacite'!$C$8</f>
        <v>0</v>
      </c>
      <c r="J7203" s="135" t="n">
        <f aca="false">$G7203*'Analyse capacite'!$D$8</f>
        <v>0</v>
      </c>
      <c r="K7203" s="135" t="n">
        <f aca="false">$G7203*'Analyse capacite'!$E$8</f>
        <v>0</v>
      </c>
    </row>
    <row r="7204" customFormat="false" ht="15" hidden="false" customHeight="false" outlineLevel="0" collapsed="false">
      <c r="B7204" s="130" t="n">
        <v>2027</v>
      </c>
      <c r="C7204" s="131" t="s">
        <v>252</v>
      </c>
      <c r="D7204" s="132" t="n">
        <v>46677</v>
      </c>
      <c r="E7204" s="131" t="s">
        <v>62</v>
      </c>
      <c r="F7204" s="133" t="s">
        <v>24</v>
      </c>
      <c r="G7204" s="134" t="n">
        <f aca="false">LEN('Saisie programme'!$J$282)+SUMIFS('Vols additionnels'!$E$7:$E$66,'Vols additionnels'!$C$7:$C$66,$E7204,'Vols additionnels'!$D$7:$D$66,$F7204,'Vols additionnels'!$B$7:$B$66,$D7204)</f>
        <v>1</v>
      </c>
      <c r="H7204" s="135" t="n">
        <f aca="false">$G7204*'Analyse capacite'!$F$9</f>
        <v>174</v>
      </c>
      <c r="I7204" s="135" t="n">
        <f aca="false">$G7204*'Analyse capacite'!$C$9</f>
        <v>0</v>
      </c>
      <c r="J7204" s="135" t="n">
        <f aca="false">$G7204*'Analyse capacite'!$D$9</f>
        <v>12</v>
      </c>
      <c r="K7204" s="135" t="n">
        <f aca="false">$G7204*'Analyse capacite'!$E$9</f>
        <v>162</v>
      </c>
    </row>
    <row r="7205" customFormat="false" ht="15" hidden="false" customHeight="false" outlineLevel="0" collapsed="false">
      <c r="B7205" s="130" t="n">
        <v>2027</v>
      </c>
      <c r="C7205" s="131" t="s">
        <v>252</v>
      </c>
      <c r="D7205" s="132" t="n">
        <v>46678</v>
      </c>
      <c r="E7205" s="131" t="s">
        <v>12</v>
      </c>
      <c r="F7205" s="133" t="s">
        <v>11</v>
      </c>
      <c r="G7205" s="134" t="n">
        <f aca="false">LEN('Saisie programme'!$D$247)+SUMIFS('Vols additionnels'!$E$7:$E$66,'Vols additionnels'!$C$7:$C$66,$E7205,'Vols additionnels'!$D$7:$D$66,$F7205,'Vols additionnels'!$B$7:$B$66,$D7205)</f>
        <v>1</v>
      </c>
      <c r="H7205" s="135" t="n">
        <f aca="false">$G7205*'Analyse capacite'!$F$7</f>
        <v>438</v>
      </c>
      <c r="I7205" s="135" t="n">
        <f aca="false">$G7205*'Analyse capacite'!$C$7</f>
        <v>14</v>
      </c>
      <c r="J7205" s="135" t="n">
        <f aca="false">$G7205*'Analyse capacite'!$D$7</f>
        <v>40</v>
      </c>
      <c r="K7205" s="135" t="n">
        <f aca="false">$G7205*'Analyse capacite'!$E$7</f>
        <v>384</v>
      </c>
    </row>
    <row r="7206" customFormat="false" ht="15" hidden="false" customHeight="false" outlineLevel="0" collapsed="false">
      <c r="B7206" s="130" t="n">
        <v>2027</v>
      </c>
      <c r="C7206" s="131" t="s">
        <v>252</v>
      </c>
      <c r="D7206" s="132" t="n">
        <v>46678</v>
      </c>
      <c r="E7206" s="131" t="s">
        <v>12</v>
      </c>
      <c r="F7206" s="133" t="s">
        <v>19</v>
      </c>
      <c r="G7206" s="134" t="n">
        <f aca="false">LEN('Saisie programme'!$D$248)+SUMIFS('Vols additionnels'!$E$7:$E$66,'Vols additionnels'!$C$7:$C$66,$E7206,'Vols additionnels'!$D$7:$D$66,$F7206,'Vols additionnels'!$B$7:$B$66,$D7206)</f>
        <v>1</v>
      </c>
      <c r="H7206" s="135" t="n">
        <f aca="false">$G7206*'Analyse capacite'!$F$8</f>
        <v>262</v>
      </c>
      <c r="I7206" s="135" t="n">
        <f aca="false">$G7206*'Analyse capacite'!$C$8</f>
        <v>18</v>
      </c>
      <c r="J7206" s="135" t="n">
        <f aca="false">$G7206*'Analyse capacite'!$D$8</f>
        <v>0</v>
      </c>
      <c r="K7206" s="135" t="n">
        <f aca="false">$G7206*'Analyse capacite'!$E$8</f>
        <v>244</v>
      </c>
    </row>
    <row r="7207" customFormat="false" ht="15" hidden="false" customHeight="false" outlineLevel="0" collapsed="false">
      <c r="B7207" s="130" t="n">
        <v>2027</v>
      </c>
      <c r="C7207" s="131" t="s">
        <v>252</v>
      </c>
      <c r="D7207" s="132" t="n">
        <v>46678</v>
      </c>
      <c r="E7207" s="131" t="s">
        <v>12</v>
      </c>
      <c r="F7207" s="133" t="s">
        <v>24</v>
      </c>
      <c r="G7207" s="134" t="n">
        <f aca="false">LEN('Saisie programme'!$D$249)+SUMIFS('Vols additionnels'!$E$7:$E$66,'Vols additionnels'!$C$7:$C$66,$E7207,'Vols additionnels'!$D$7:$D$66,$F7207,'Vols additionnels'!$B$7:$B$66,$D7207)</f>
        <v>2</v>
      </c>
      <c r="H7207" s="135" t="n">
        <f aca="false">$G7207*'Analyse capacite'!$F$9</f>
        <v>348</v>
      </c>
      <c r="I7207" s="135" t="n">
        <f aca="false">$G7207*'Analyse capacite'!$C$9</f>
        <v>0</v>
      </c>
      <c r="J7207" s="135" t="n">
        <f aca="false">$G7207*'Analyse capacite'!$D$9</f>
        <v>24</v>
      </c>
      <c r="K7207" s="135" t="n">
        <f aca="false">$G7207*'Analyse capacite'!$E$9</f>
        <v>324</v>
      </c>
    </row>
    <row r="7208" customFormat="false" ht="15" hidden="false" customHeight="false" outlineLevel="0" collapsed="false">
      <c r="B7208" s="130" t="n">
        <v>2027</v>
      </c>
      <c r="C7208" s="131" t="s">
        <v>252</v>
      </c>
      <c r="D7208" s="132" t="n">
        <v>46678</v>
      </c>
      <c r="E7208" s="131" t="s">
        <v>20</v>
      </c>
      <c r="F7208" s="133" t="s">
        <v>11</v>
      </c>
      <c r="G7208" s="134" t="n">
        <f aca="false">LEN('Saisie programme'!$D$250)+SUMIFS('Vols additionnels'!$E$7:$E$66,'Vols additionnels'!$C$7:$C$66,$E7208,'Vols additionnels'!$D$7:$D$66,$F7208,'Vols additionnels'!$B$7:$B$66,$D7208)</f>
        <v>0</v>
      </c>
      <c r="H7208" s="135" t="n">
        <f aca="false">$G7208*'Analyse capacite'!$F$7</f>
        <v>0</v>
      </c>
      <c r="I7208" s="135" t="n">
        <f aca="false">$G7208*'Analyse capacite'!$C$7</f>
        <v>0</v>
      </c>
      <c r="J7208" s="135" t="n">
        <f aca="false">$G7208*'Analyse capacite'!$D$7</f>
        <v>0</v>
      </c>
      <c r="K7208" s="135" t="n">
        <f aca="false">$G7208*'Analyse capacite'!$E$7</f>
        <v>0</v>
      </c>
    </row>
    <row r="7209" customFormat="false" ht="15" hidden="false" customHeight="false" outlineLevel="0" collapsed="false">
      <c r="B7209" s="130" t="n">
        <v>2027</v>
      </c>
      <c r="C7209" s="131" t="s">
        <v>252</v>
      </c>
      <c r="D7209" s="132" t="n">
        <v>46678</v>
      </c>
      <c r="E7209" s="131" t="s">
        <v>20</v>
      </c>
      <c r="F7209" s="133" t="s">
        <v>19</v>
      </c>
      <c r="G7209" s="134" t="n">
        <f aca="false">LEN('Saisie programme'!$D$251)+SUMIFS('Vols additionnels'!$E$7:$E$66,'Vols additionnels'!$C$7:$C$66,$E7209,'Vols additionnels'!$D$7:$D$66,$F7209,'Vols additionnels'!$B$7:$B$66,$D7209)</f>
        <v>0</v>
      </c>
      <c r="H7209" s="135" t="n">
        <f aca="false">$G7209*'Analyse capacite'!$F$8</f>
        <v>0</v>
      </c>
      <c r="I7209" s="135" t="n">
        <f aca="false">$G7209*'Analyse capacite'!$C$8</f>
        <v>0</v>
      </c>
      <c r="J7209" s="135" t="n">
        <f aca="false">$G7209*'Analyse capacite'!$D$8</f>
        <v>0</v>
      </c>
      <c r="K7209" s="135" t="n">
        <f aca="false">$G7209*'Analyse capacite'!$E$8</f>
        <v>0</v>
      </c>
    </row>
    <row r="7210" customFormat="false" ht="15" hidden="false" customHeight="false" outlineLevel="0" collapsed="false">
      <c r="B7210" s="130" t="n">
        <v>2027</v>
      </c>
      <c r="C7210" s="131" t="s">
        <v>252</v>
      </c>
      <c r="D7210" s="132" t="n">
        <v>46678</v>
      </c>
      <c r="E7210" s="131" t="s">
        <v>20</v>
      </c>
      <c r="F7210" s="133" t="s">
        <v>24</v>
      </c>
      <c r="G7210" s="134" t="n">
        <f aca="false">LEN('Saisie programme'!$D$252)+SUMIFS('Vols additionnels'!$E$7:$E$66,'Vols additionnels'!$C$7:$C$66,$E7210,'Vols additionnels'!$D$7:$D$66,$F7210,'Vols additionnels'!$B$7:$B$66,$D7210)</f>
        <v>0</v>
      </c>
      <c r="H7210" s="135" t="n">
        <f aca="false">$G7210*'Analyse capacite'!$F$9</f>
        <v>0</v>
      </c>
      <c r="I7210" s="135" t="n">
        <f aca="false">$G7210*'Analyse capacite'!$C$9</f>
        <v>0</v>
      </c>
      <c r="J7210" s="135" t="n">
        <f aca="false">$G7210*'Analyse capacite'!$D$9</f>
        <v>0</v>
      </c>
      <c r="K7210" s="135" t="n">
        <f aca="false">$G7210*'Analyse capacite'!$E$9</f>
        <v>0</v>
      </c>
    </row>
    <row r="7211" customFormat="false" ht="15" hidden="false" customHeight="false" outlineLevel="0" collapsed="false">
      <c r="B7211" s="130" t="n">
        <v>2027</v>
      </c>
      <c r="C7211" s="131" t="s">
        <v>252</v>
      </c>
      <c r="D7211" s="132" t="n">
        <v>46678</v>
      </c>
      <c r="E7211" s="131" t="s">
        <v>25</v>
      </c>
      <c r="F7211" s="133" t="s">
        <v>11</v>
      </c>
      <c r="G7211" s="134" t="n">
        <f aca="false">LEN('Saisie programme'!$D$253)+SUMIFS('Vols additionnels'!$E$7:$E$66,'Vols additionnels'!$C$7:$C$66,$E7211,'Vols additionnels'!$D$7:$D$66,$F7211,'Vols additionnels'!$B$7:$B$66,$D7211)</f>
        <v>0</v>
      </c>
      <c r="H7211" s="135" t="n">
        <f aca="false">$G7211*'Analyse capacite'!$F$7</f>
        <v>0</v>
      </c>
      <c r="I7211" s="135" t="n">
        <f aca="false">$G7211*'Analyse capacite'!$C$7</f>
        <v>0</v>
      </c>
      <c r="J7211" s="135" t="n">
        <f aca="false">$G7211*'Analyse capacite'!$D$7</f>
        <v>0</v>
      </c>
      <c r="K7211" s="135" t="n">
        <f aca="false">$G7211*'Analyse capacite'!$E$7</f>
        <v>0</v>
      </c>
    </row>
    <row r="7212" customFormat="false" ht="15" hidden="false" customHeight="false" outlineLevel="0" collapsed="false">
      <c r="B7212" s="130" t="n">
        <v>2027</v>
      </c>
      <c r="C7212" s="131" t="s">
        <v>252</v>
      </c>
      <c r="D7212" s="132" t="n">
        <v>46678</v>
      </c>
      <c r="E7212" s="131" t="s">
        <v>25</v>
      </c>
      <c r="F7212" s="133" t="s">
        <v>19</v>
      </c>
      <c r="G7212" s="134" t="n">
        <f aca="false">LEN('Saisie programme'!$D$254)+SUMIFS('Vols additionnels'!$E$7:$E$66,'Vols additionnels'!$C$7:$C$66,$E7212,'Vols additionnels'!$D$7:$D$66,$F7212,'Vols additionnels'!$B$7:$B$66,$D7212)</f>
        <v>0</v>
      </c>
      <c r="H7212" s="135" t="n">
        <f aca="false">$G7212*'Analyse capacite'!$F$8</f>
        <v>0</v>
      </c>
      <c r="I7212" s="135" t="n">
        <f aca="false">$G7212*'Analyse capacite'!$C$8</f>
        <v>0</v>
      </c>
      <c r="J7212" s="135" t="n">
        <f aca="false">$G7212*'Analyse capacite'!$D$8</f>
        <v>0</v>
      </c>
      <c r="K7212" s="135" t="n">
        <f aca="false">$G7212*'Analyse capacite'!$E$8</f>
        <v>0</v>
      </c>
    </row>
    <row r="7213" customFormat="false" ht="15" hidden="false" customHeight="false" outlineLevel="0" collapsed="false">
      <c r="B7213" s="130" t="n">
        <v>2027</v>
      </c>
      <c r="C7213" s="131" t="s">
        <v>252</v>
      </c>
      <c r="D7213" s="132" t="n">
        <v>46678</v>
      </c>
      <c r="E7213" s="131" t="s">
        <v>25</v>
      </c>
      <c r="F7213" s="133" t="s">
        <v>24</v>
      </c>
      <c r="G7213" s="134" t="n">
        <f aca="false">LEN('Saisie programme'!$D$255)+SUMIFS('Vols additionnels'!$E$7:$E$66,'Vols additionnels'!$C$7:$C$66,$E7213,'Vols additionnels'!$D$7:$D$66,$F7213,'Vols additionnels'!$B$7:$B$66,$D7213)</f>
        <v>0</v>
      </c>
      <c r="H7213" s="135" t="n">
        <f aca="false">$G7213*'Analyse capacite'!$F$9</f>
        <v>0</v>
      </c>
      <c r="I7213" s="135" t="n">
        <f aca="false">$G7213*'Analyse capacite'!$C$9</f>
        <v>0</v>
      </c>
      <c r="J7213" s="135" t="n">
        <f aca="false">$G7213*'Analyse capacite'!$D$9</f>
        <v>0</v>
      </c>
      <c r="K7213" s="135" t="n">
        <f aca="false">$G7213*'Analyse capacite'!$E$9</f>
        <v>0</v>
      </c>
    </row>
    <row r="7214" customFormat="false" ht="15" hidden="false" customHeight="false" outlineLevel="0" collapsed="false">
      <c r="B7214" s="130" t="n">
        <v>2027</v>
      </c>
      <c r="C7214" s="131" t="s">
        <v>252</v>
      </c>
      <c r="D7214" s="132" t="n">
        <v>46678</v>
      </c>
      <c r="E7214" s="131" t="s">
        <v>36</v>
      </c>
      <c r="F7214" s="133" t="s">
        <v>11</v>
      </c>
      <c r="G7214" s="134" t="n">
        <f aca="false">LEN('Saisie programme'!$D$256)+SUMIFS('Vols additionnels'!$E$7:$E$66,'Vols additionnels'!$C$7:$C$66,$E7214,'Vols additionnels'!$D$7:$D$66,$F7214,'Vols additionnels'!$B$7:$B$66,$D7214)</f>
        <v>0</v>
      </c>
      <c r="H7214" s="135" t="n">
        <f aca="false">$G7214*'Analyse capacite'!$F$7</f>
        <v>0</v>
      </c>
      <c r="I7214" s="135" t="n">
        <f aca="false">$G7214*'Analyse capacite'!$C$7</f>
        <v>0</v>
      </c>
      <c r="J7214" s="135" t="n">
        <f aca="false">$G7214*'Analyse capacite'!$D$7</f>
        <v>0</v>
      </c>
      <c r="K7214" s="135" t="n">
        <f aca="false">$G7214*'Analyse capacite'!$E$7</f>
        <v>0</v>
      </c>
    </row>
    <row r="7215" customFormat="false" ht="15" hidden="false" customHeight="false" outlineLevel="0" collapsed="false">
      <c r="B7215" s="130" t="n">
        <v>2027</v>
      </c>
      <c r="C7215" s="131" t="s">
        <v>252</v>
      </c>
      <c r="D7215" s="132" t="n">
        <v>46678</v>
      </c>
      <c r="E7215" s="131" t="s">
        <v>36</v>
      </c>
      <c r="F7215" s="133" t="s">
        <v>19</v>
      </c>
      <c r="G7215" s="134" t="n">
        <f aca="false">LEN('Saisie programme'!$D$257)+SUMIFS('Vols additionnels'!$E$7:$E$66,'Vols additionnels'!$C$7:$C$66,$E7215,'Vols additionnels'!$D$7:$D$66,$F7215,'Vols additionnels'!$B$7:$B$66,$D7215)</f>
        <v>0</v>
      </c>
      <c r="H7215" s="135" t="n">
        <f aca="false">$G7215*'Analyse capacite'!$F$8</f>
        <v>0</v>
      </c>
      <c r="I7215" s="135" t="n">
        <f aca="false">$G7215*'Analyse capacite'!$C$8</f>
        <v>0</v>
      </c>
      <c r="J7215" s="135" t="n">
        <f aca="false">$G7215*'Analyse capacite'!$D$8</f>
        <v>0</v>
      </c>
      <c r="K7215" s="135" t="n">
        <f aca="false">$G7215*'Analyse capacite'!$E$8</f>
        <v>0</v>
      </c>
    </row>
    <row r="7216" customFormat="false" ht="15" hidden="false" customHeight="false" outlineLevel="0" collapsed="false">
      <c r="B7216" s="130" t="n">
        <v>2027</v>
      </c>
      <c r="C7216" s="131" t="s">
        <v>252</v>
      </c>
      <c r="D7216" s="132" t="n">
        <v>46678</v>
      </c>
      <c r="E7216" s="131" t="s">
        <v>36</v>
      </c>
      <c r="F7216" s="133" t="s">
        <v>24</v>
      </c>
      <c r="G7216" s="134" t="n">
        <f aca="false">LEN('Saisie programme'!$D$258)+SUMIFS('Vols additionnels'!$E$7:$E$66,'Vols additionnels'!$C$7:$C$66,$E7216,'Vols additionnels'!$D$7:$D$66,$F7216,'Vols additionnels'!$B$7:$B$66,$D7216)</f>
        <v>1</v>
      </c>
      <c r="H7216" s="135" t="n">
        <f aca="false">$G7216*'Analyse capacite'!$F$9</f>
        <v>174</v>
      </c>
      <c r="I7216" s="135" t="n">
        <f aca="false">$G7216*'Analyse capacite'!$C$9</f>
        <v>0</v>
      </c>
      <c r="J7216" s="135" t="n">
        <f aca="false">$G7216*'Analyse capacite'!$D$9</f>
        <v>12</v>
      </c>
      <c r="K7216" s="135" t="n">
        <f aca="false">$G7216*'Analyse capacite'!$E$9</f>
        <v>162</v>
      </c>
    </row>
    <row r="7217" customFormat="false" ht="15" hidden="false" customHeight="false" outlineLevel="0" collapsed="false">
      <c r="B7217" s="130" t="n">
        <v>2027</v>
      </c>
      <c r="C7217" s="131" t="s">
        <v>252</v>
      </c>
      <c r="D7217" s="132" t="n">
        <v>46678</v>
      </c>
      <c r="E7217" s="131" t="s">
        <v>40</v>
      </c>
      <c r="F7217" s="133" t="s">
        <v>11</v>
      </c>
      <c r="G7217" s="134" t="n">
        <f aca="false">LEN('Saisie programme'!$D$259)+SUMIFS('Vols additionnels'!$E$7:$E$66,'Vols additionnels'!$C$7:$C$66,$E7217,'Vols additionnels'!$D$7:$D$66,$F7217,'Vols additionnels'!$B$7:$B$66,$D7217)</f>
        <v>0</v>
      </c>
      <c r="H7217" s="135" t="n">
        <f aca="false">$G7217*'Analyse capacite'!$F$7</f>
        <v>0</v>
      </c>
      <c r="I7217" s="135" t="n">
        <f aca="false">$G7217*'Analyse capacite'!$C$7</f>
        <v>0</v>
      </c>
      <c r="J7217" s="135" t="n">
        <f aca="false">$G7217*'Analyse capacite'!$D$7</f>
        <v>0</v>
      </c>
      <c r="K7217" s="135" t="n">
        <f aca="false">$G7217*'Analyse capacite'!$E$7</f>
        <v>0</v>
      </c>
    </row>
    <row r="7218" customFormat="false" ht="15" hidden="false" customHeight="false" outlineLevel="0" collapsed="false">
      <c r="B7218" s="130" t="n">
        <v>2027</v>
      </c>
      <c r="C7218" s="131" t="s">
        <v>252</v>
      </c>
      <c r="D7218" s="132" t="n">
        <v>46678</v>
      </c>
      <c r="E7218" s="131" t="s">
        <v>40</v>
      </c>
      <c r="F7218" s="133" t="s">
        <v>19</v>
      </c>
      <c r="G7218" s="134" t="n">
        <f aca="false">LEN('Saisie programme'!$D$260)+SUMIFS('Vols additionnels'!$E$7:$E$66,'Vols additionnels'!$C$7:$C$66,$E7218,'Vols additionnels'!$D$7:$D$66,$F7218,'Vols additionnels'!$B$7:$B$66,$D7218)</f>
        <v>0</v>
      </c>
      <c r="H7218" s="135" t="n">
        <f aca="false">$G7218*'Analyse capacite'!$F$8</f>
        <v>0</v>
      </c>
      <c r="I7218" s="135" t="n">
        <f aca="false">$G7218*'Analyse capacite'!$C$8</f>
        <v>0</v>
      </c>
      <c r="J7218" s="135" t="n">
        <f aca="false">$G7218*'Analyse capacite'!$D$8</f>
        <v>0</v>
      </c>
      <c r="K7218" s="135" t="n">
        <f aca="false">$G7218*'Analyse capacite'!$E$8</f>
        <v>0</v>
      </c>
    </row>
    <row r="7219" customFormat="false" ht="15" hidden="false" customHeight="false" outlineLevel="0" collapsed="false">
      <c r="B7219" s="130" t="n">
        <v>2027</v>
      </c>
      <c r="C7219" s="131" t="s">
        <v>252</v>
      </c>
      <c r="D7219" s="132" t="n">
        <v>46678</v>
      </c>
      <c r="E7219" s="131" t="s">
        <v>40</v>
      </c>
      <c r="F7219" s="133" t="s">
        <v>24</v>
      </c>
      <c r="G7219" s="134" t="n">
        <f aca="false">LEN('Saisie programme'!$D$261)+SUMIFS('Vols additionnels'!$E$7:$E$66,'Vols additionnels'!$C$7:$C$66,$E7219,'Vols additionnels'!$D$7:$D$66,$F7219,'Vols additionnels'!$B$7:$B$66,$D7219)</f>
        <v>1</v>
      </c>
      <c r="H7219" s="135" t="n">
        <f aca="false">$G7219*'Analyse capacite'!$F$9</f>
        <v>174</v>
      </c>
      <c r="I7219" s="135" t="n">
        <f aca="false">$G7219*'Analyse capacite'!$C$9</f>
        <v>0</v>
      </c>
      <c r="J7219" s="135" t="n">
        <f aca="false">$G7219*'Analyse capacite'!$D$9</f>
        <v>12</v>
      </c>
      <c r="K7219" s="135" t="n">
        <f aca="false">$G7219*'Analyse capacite'!$E$9</f>
        <v>162</v>
      </c>
    </row>
    <row r="7220" customFormat="false" ht="15" hidden="false" customHeight="false" outlineLevel="0" collapsed="false">
      <c r="B7220" s="130" t="n">
        <v>2027</v>
      </c>
      <c r="C7220" s="131" t="s">
        <v>252</v>
      </c>
      <c r="D7220" s="132" t="n">
        <v>46678</v>
      </c>
      <c r="E7220" s="131" t="s">
        <v>14</v>
      </c>
      <c r="F7220" s="133" t="s">
        <v>11</v>
      </c>
      <c r="G7220" s="134" t="n">
        <f aca="false">LEN('Saisie programme'!$D$262)+SUMIFS('Vols additionnels'!$E$7:$E$66,'Vols additionnels'!$C$7:$C$66,$E7220,'Vols additionnels'!$D$7:$D$66,$F7220,'Vols additionnels'!$B$7:$B$66,$D7220)</f>
        <v>0</v>
      </c>
      <c r="H7220" s="135" t="n">
        <f aca="false">$G7220*'Analyse capacite'!$F$7</f>
        <v>0</v>
      </c>
      <c r="I7220" s="135" t="n">
        <f aca="false">$G7220*'Analyse capacite'!$C$7</f>
        <v>0</v>
      </c>
      <c r="J7220" s="135" t="n">
        <f aca="false">$G7220*'Analyse capacite'!$D$7</f>
        <v>0</v>
      </c>
      <c r="K7220" s="135" t="n">
        <f aca="false">$G7220*'Analyse capacite'!$E$7</f>
        <v>0</v>
      </c>
    </row>
    <row r="7221" customFormat="false" ht="15" hidden="false" customHeight="false" outlineLevel="0" collapsed="false">
      <c r="B7221" s="130" t="n">
        <v>2027</v>
      </c>
      <c r="C7221" s="131" t="s">
        <v>252</v>
      </c>
      <c r="D7221" s="132" t="n">
        <v>46678</v>
      </c>
      <c r="E7221" s="131" t="s">
        <v>14</v>
      </c>
      <c r="F7221" s="133" t="s">
        <v>19</v>
      </c>
      <c r="G7221" s="134" t="n">
        <f aca="false">LEN('Saisie programme'!$D$263)+SUMIFS('Vols additionnels'!$E$7:$E$66,'Vols additionnels'!$C$7:$C$66,$E7221,'Vols additionnels'!$D$7:$D$66,$F7221,'Vols additionnels'!$B$7:$B$66,$D7221)</f>
        <v>0</v>
      </c>
      <c r="H7221" s="135" t="n">
        <f aca="false">$G7221*'Analyse capacite'!$F$8</f>
        <v>0</v>
      </c>
      <c r="I7221" s="135" t="n">
        <f aca="false">$G7221*'Analyse capacite'!$C$8</f>
        <v>0</v>
      </c>
      <c r="J7221" s="135" t="n">
        <f aca="false">$G7221*'Analyse capacite'!$D$8</f>
        <v>0</v>
      </c>
      <c r="K7221" s="135" t="n">
        <f aca="false">$G7221*'Analyse capacite'!$E$8</f>
        <v>0</v>
      </c>
    </row>
    <row r="7222" customFormat="false" ht="15" hidden="false" customHeight="false" outlineLevel="0" collapsed="false">
      <c r="B7222" s="130" t="n">
        <v>2027</v>
      </c>
      <c r="C7222" s="131" t="s">
        <v>252</v>
      </c>
      <c r="D7222" s="132" t="n">
        <v>46678</v>
      </c>
      <c r="E7222" s="131" t="s">
        <v>14</v>
      </c>
      <c r="F7222" s="133" t="s">
        <v>24</v>
      </c>
      <c r="G7222" s="134" t="n">
        <f aca="false">LEN('Saisie programme'!$D$264)+SUMIFS('Vols additionnels'!$E$7:$E$66,'Vols additionnels'!$C$7:$C$66,$E7222,'Vols additionnels'!$D$7:$D$66,$F7222,'Vols additionnels'!$B$7:$B$66,$D7222)</f>
        <v>1</v>
      </c>
      <c r="H7222" s="135" t="n">
        <f aca="false">$G7222*'Analyse capacite'!$F$9</f>
        <v>174</v>
      </c>
      <c r="I7222" s="135" t="n">
        <f aca="false">$G7222*'Analyse capacite'!$C$9</f>
        <v>0</v>
      </c>
      <c r="J7222" s="135" t="n">
        <f aca="false">$G7222*'Analyse capacite'!$D$9</f>
        <v>12</v>
      </c>
      <c r="K7222" s="135" t="n">
        <f aca="false">$G7222*'Analyse capacite'!$E$9</f>
        <v>162</v>
      </c>
    </row>
    <row r="7223" customFormat="false" ht="15" hidden="false" customHeight="false" outlineLevel="0" collapsed="false">
      <c r="B7223" s="130" t="n">
        <v>2027</v>
      </c>
      <c r="C7223" s="131" t="s">
        <v>252</v>
      </c>
      <c r="D7223" s="132" t="n">
        <v>46678</v>
      </c>
      <c r="E7223" s="131" t="s">
        <v>46</v>
      </c>
      <c r="F7223" s="133" t="s">
        <v>11</v>
      </c>
      <c r="G7223" s="134" t="n">
        <f aca="false">LEN('Saisie programme'!$D$265)+SUMIFS('Vols additionnels'!$E$7:$E$66,'Vols additionnels'!$C$7:$C$66,$E7223,'Vols additionnels'!$D$7:$D$66,$F7223,'Vols additionnels'!$B$7:$B$66,$D7223)</f>
        <v>0</v>
      </c>
      <c r="H7223" s="135" t="n">
        <f aca="false">$G7223*'Analyse capacite'!$F$7</f>
        <v>0</v>
      </c>
      <c r="I7223" s="135" t="n">
        <f aca="false">$G7223*'Analyse capacite'!$C$7</f>
        <v>0</v>
      </c>
      <c r="J7223" s="135" t="n">
        <f aca="false">$G7223*'Analyse capacite'!$D$7</f>
        <v>0</v>
      </c>
      <c r="K7223" s="135" t="n">
        <f aca="false">$G7223*'Analyse capacite'!$E$7</f>
        <v>0</v>
      </c>
    </row>
    <row r="7224" customFormat="false" ht="15" hidden="false" customHeight="false" outlineLevel="0" collapsed="false">
      <c r="B7224" s="130" t="n">
        <v>2027</v>
      </c>
      <c r="C7224" s="131" t="s">
        <v>252</v>
      </c>
      <c r="D7224" s="132" t="n">
        <v>46678</v>
      </c>
      <c r="E7224" s="131" t="s">
        <v>46</v>
      </c>
      <c r="F7224" s="133" t="s">
        <v>19</v>
      </c>
      <c r="G7224" s="134" t="n">
        <f aca="false">LEN('Saisie programme'!$D$266)+SUMIFS('Vols additionnels'!$E$7:$E$66,'Vols additionnels'!$C$7:$C$66,$E7224,'Vols additionnels'!$D$7:$D$66,$F7224,'Vols additionnels'!$B$7:$B$66,$D7224)</f>
        <v>0</v>
      </c>
      <c r="H7224" s="135" t="n">
        <f aca="false">$G7224*'Analyse capacite'!$F$8</f>
        <v>0</v>
      </c>
      <c r="I7224" s="135" t="n">
        <f aca="false">$G7224*'Analyse capacite'!$C$8</f>
        <v>0</v>
      </c>
      <c r="J7224" s="135" t="n">
        <f aca="false">$G7224*'Analyse capacite'!$D$8</f>
        <v>0</v>
      </c>
      <c r="K7224" s="135" t="n">
        <f aca="false">$G7224*'Analyse capacite'!$E$8</f>
        <v>0</v>
      </c>
    </row>
    <row r="7225" customFormat="false" ht="15" hidden="false" customHeight="false" outlineLevel="0" collapsed="false">
      <c r="B7225" s="130" t="n">
        <v>2027</v>
      </c>
      <c r="C7225" s="131" t="s">
        <v>252</v>
      </c>
      <c r="D7225" s="132" t="n">
        <v>46678</v>
      </c>
      <c r="E7225" s="131" t="s">
        <v>46</v>
      </c>
      <c r="F7225" s="133" t="s">
        <v>24</v>
      </c>
      <c r="G7225" s="134" t="n">
        <f aca="false">LEN('Saisie programme'!$D$267)+SUMIFS('Vols additionnels'!$E$7:$E$66,'Vols additionnels'!$C$7:$C$66,$E7225,'Vols additionnels'!$D$7:$D$66,$F7225,'Vols additionnels'!$B$7:$B$66,$D7225)</f>
        <v>0</v>
      </c>
      <c r="H7225" s="135" t="n">
        <f aca="false">$G7225*'Analyse capacite'!$F$9</f>
        <v>0</v>
      </c>
      <c r="I7225" s="135" t="n">
        <f aca="false">$G7225*'Analyse capacite'!$C$9</f>
        <v>0</v>
      </c>
      <c r="J7225" s="135" t="n">
        <f aca="false">$G7225*'Analyse capacite'!$D$9</f>
        <v>0</v>
      </c>
      <c r="K7225" s="135" t="n">
        <f aca="false">$G7225*'Analyse capacite'!$E$9</f>
        <v>0</v>
      </c>
    </row>
    <row r="7226" customFormat="false" ht="15" hidden="false" customHeight="false" outlineLevel="0" collapsed="false">
      <c r="B7226" s="130" t="n">
        <v>2027</v>
      </c>
      <c r="C7226" s="131" t="s">
        <v>252</v>
      </c>
      <c r="D7226" s="132" t="n">
        <v>46678</v>
      </c>
      <c r="E7226" s="131" t="s">
        <v>49</v>
      </c>
      <c r="F7226" s="133" t="s">
        <v>11</v>
      </c>
      <c r="G7226" s="134" t="n">
        <f aca="false">LEN('Saisie programme'!$D$268)+SUMIFS('Vols additionnels'!$E$7:$E$66,'Vols additionnels'!$C$7:$C$66,$E7226,'Vols additionnels'!$D$7:$D$66,$F7226,'Vols additionnels'!$B$7:$B$66,$D7226)</f>
        <v>0</v>
      </c>
      <c r="H7226" s="135" t="n">
        <f aca="false">$G7226*'Analyse capacite'!$F$7</f>
        <v>0</v>
      </c>
      <c r="I7226" s="135" t="n">
        <f aca="false">$G7226*'Analyse capacite'!$C$7</f>
        <v>0</v>
      </c>
      <c r="J7226" s="135" t="n">
        <f aca="false">$G7226*'Analyse capacite'!$D$7</f>
        <v>0</v>
      </c>
      <c r="K7226" s="135" t="n">
        <f aca="false">$G7226*'Analyse capacite'!$E$7</f>
        <v>0</v>
      </c>
    </row>
    <row r="7227" customFormat="false" ht="15" hidden="false" customHeight="false" outlineLevel="0" collapsed="false">
      <c r="B7227" s="130" t="n">
        <v>2027</v>
      </c>
      <c r="C7227" s="131" t="s">
        <v>252</v>
      </c>
      <c r="D7227" s="132" t="n">
        <v>46678</v>
      </c>
      <c r="E7227" s="131" t="s">
        <v>49</v>
      </c>
      <c r="F7227" s="133" t="s">
        <v>19</v>
      </c>
      <c r="G7227" s="134" t="n">
        <f aca="false">LEN('Saisie programme'!$D$269)+SUMIFS('Vols additionnels'!$E$7:$E$66,'Vols additionnels'!$C$7:$C$66,$E7227,'Vols additionnels'!$D$7:$D$66,$F7227,'Vols additionnels'!$B$7:$B$66,$D7227)</f>
        <v>1</v>
      </c>
      <c r="H7227" s="135" t="n">
        <f aca="false">$G7227*'Analyse capacite'!$F$8</f>
        <v>262</v>
      </c>
      <c r="I7227" s="135" t="n">
        <f aca="false">$G7227*'Analyse capacite'!$C$8</f>
        <v>18</v>
      </c>
      <c r="J7227" s="135" t="n">
        <f aca="false">$G7227*'Analyse capacite'!$D$8</f>
        <v>0</v>
      </c>
      <c r="K7227" s="135" t="n">
        <f aca="false">$G7227*'Analyse capacite'!$E$8</f>
        <v>244</v>
      </c>
    </row>
    <row r="7228" customFormat="false" ht="15" hidden="false" customHeight="false" outlineLevel="0" collapsed="false">
      <c r="B7228" s="130" t="n">
        <v>2027</v>
      </c>
      <c r="C7228" s="131" t="s">
        <v>252</v>
      </c>
      <c r="D7228" s="132" t="n">
        <v>46678</v>
      </c>
      <c r="E7228" s="131" t="s">
        <v>49</v>
      </c>
      <c r="F7228" s="133" t="s">
        <v>24</v>
      </c>
      <c r="G7228" s="134" t="n">
        <f aca="false">LEN('Saisie programme'!$D$270)+SUMIFS('Vols additionnels'!$E$7:$E$66,'Vols additionnels'!$C$7:$C$66,$E7228,'Vols additionnels'!$D$7:$D$66,$F7228,'Vols additionnels'!$B$7:$B$66,$D7228)</f>
        <v>0</v>
      </c>
      <c r="H7228" s="135" t="n">
        <f aca="false">$G7228*'Analyse capacite'!$F$9</f>
        <v>0</v>
      </c>
      <c r="I7228" s="135" t="n">
        <f aca="false">$G7228*'Analyse capacite'!$C$9</f>
        <v>0</v>
      </c>
      <c r="J7228" s="135" t="n">
        <f aca="false">$G7228*'Analyse capacite'!$D$9</f>
        <v>0</v>
      </c>
      <c r="K7228" s="135" t="n">
        <f aca="false">$G7228*'Analyse capacite'!$E$9</f>
        <v>0</v>
      </c>
    </row>
    <row r="7229" customFormat="false" ht="15" hidden="false" customHeight="false" outlineLevel="0" collapsed="false">
      <c r="B7229" s="130" t="n">
        <v>2027</v>
      </c>
      <c r="C7229" s="131" t="s">
        <v>252</v>
      </c>
      <c r="D7229" s="132" t="n">
        <v>46678</v>
      </c>
      <c r="E7229" s="131" t="s">
        <v>53</v>
      </c>
      <c r="F7229" s="133" t="s">
        <v>11</v>
      </c>
      <c r="G7229" s="134" t="n">
        <f aca="false">LEN('Saisie programme'!$D$271)+SUMIFS('Vols additionnels'!$E$7:$E$66,'Vols additionnels'!$C$7:$C$66,$E7229,'Vols additionnels'!$D$7:$D$66,$F7229,'Vols additionnels'!$B$7:$B$66,$D7229)</f>
        <v>0</v>
      </c>
      <c r="H7229" s="135" t="n">
        <f aca="false">$G7229*'Analyse capacite'!$F$7</f>
        <v>0</v>
      </c>
      <c r="I7229" s="135" t="n">
        <f aca="false">$G7229*'Analyse capacite'!$C$7</f>
        <v>0</v>
      </c>
      <c r="J7229" s="135" t="n">
        <f aca="false">$G7229*'Analyse capacite'!$D$7</f>
        <v>0</v>
      </c>
      <c r="K7229" s="135" t="n">
        <f aca="false">$G7229*'Analyse capacite'!$E$7</f>
        <v>0</v>
      </c>
    </row>
    <row r="7230" customFormat="false" ht="15" hidden="false" customHeight="false" outlineLevel="0" collapsed="false">
      <c r="B7230" s="130" t="n">
        <v>2027</v>
      </c>
      <c r="C7230" s="131" t="s">
        <v>252</v>
      </c>
      <c r="D7230" s="132" t="n">
        <v>46678</v>
      </c>
      <c r="E7230" s="131" t="s">
        <v>53</v>
      </c>
      <c r="F7230" s="133" t="s">
        <v>19</v>
      </c>
      <c r="G7230" s="134" t="n">
        <f aca="false">LEN('Saisie programme'!$D$272)+SUMIFS('Vols additionnels'!$E$7:$E$66,'Vols additionnels'!$C$7:$C$66,$E7230,'Vols additionnels'!$D$7:$D$66,$F7230,'Vols additionnels'!$B$7:$B$66,$D7230)</f>
        <v>0</v>
      </c>
      <c r="H7230" s="135" t="n">
        <f aca="false">$G7230*'Analyse capacite'!$F$8</f>
        <v>0</v>
      </c>
      <c r="I7230" s="135" t="n">
        <f aca="false">$G7230*'Analyse capacite'!$C$8</f>
        <v>0</v>
      </c>
      <c r="J7230" s="135" t="n">
        <f aca="false">$G7230*'Analyse capacite'!$D$8</f>
        <v>0</v>
      </c>
      <c r="K7230" s="135" t="n">
        <f aca="false">$G7230*'Analyse capacite'!$E$8</f>
        <v>0</v>
      </c>
    </row>
    <row r="7231" customFormat="false" ht="15" hidden="false" customHeight="false" outlineLevel="0" collapsed="false">
      <c r="B7231" s="130" t="n">
        <v>2027</v>
      </c>
      <c r="C7231" s="131" t="s">
        <v>252</v>
      </c>
      <c r="D7231" s="132" t="n">
        <v>46678</v>
      </c>
      <c r="E7231" s="131" t="s">
        <v>53</v>
      </c>
      <c r="F7231" s="133" t="s">
        <v>24</v>
      </c>
      <c r="G7231" s="134" t="n">
        <f aca="false">LEN('Saisie programme'!$D$273)+SUMIFS('Vols additionnels'!$E$7:$E$66,'Vols additionnels'!$C$7:$C$66,$E7231,'Vols additionnels'!$D$7:$D$66,$F7231,'Vols additionnels'!$B$7:$B$66,$D7231)</f>
        <v>0</v>
      </c>
      <c r="H7231" s="135" t="n">
        <f aca="false">$G7231*'Analyse capacite'!$F$9</f>
        <v>0</v>
      </c>
      <c r="I7231" s="135" t="n">
        <f aca="false">$G7231*'Analyse capacite'!$C$9</f>
        <v>0</v>
      </c>
      <c r="J7231" s="135" t="n">
        <f aca="false">$G7231*'Analyse capacite'!$D$9</f>
        <v>0</v>
      </c>
      <c r="K7231" s="135" t="n">
        <f aca="false">$G7231*'Analyse capacite'!$E$9</f>
        <v>0</v>
      </c>
    </row>
    <row r="7232" customFormat="false" ht="15" hidden="false" customHeight="false" outlineLevel="0" collapsed="false">
      <c r="B7232" s="130" t="n">
        <v>2027</v>
      </c>
      <c r="C7232" s="131" t="s">
        <v>252</v>
      </c>
      <c r="D7232" s="132" t="n">
        <v>46678</v>
      </c>
      <c r="E7232" s="131" t="s">
        <v>56</v>
      </c>
      <c r="F7232" s="133" t="s">
        <v>11</v>
      </c>
      <c r="G7232" s="134" t="n">
        <f aca="false">LEN('Saisie programme'!$D$274)+SUMIFS('Vols additionnels'!$E$7:$E$66,'Vols additionnels'!$C$7:$C$66,$E7232,'Vols additionnels'!$D$7:$D$66,$F7232,'Vols additionnels'!$B$7:$B$66,$D7232)</f>
        <v>0</v>
      </c>
      <c r="H7232" s="135" t="n">
        <f aca="false">$G7232*'Analyse capacite'!$F$7</f>
        <v>0</v>
      </c>
      <c r="I7232" s="135" t="n">
        <f aca="false">$G7232*'Analyse capacite'!$C$7</f>
        <v>0</v>
      </c>
      <c r="J7232" s="135" t="n">
        <f aca="false">$G7232*'Analyse capacite'!$D$7</f>
        <v>0</v>
      </c>
      <c r="K7232" s="135" t="n">
        <f aca="false">$G7232*'Analyse capacite'!$E$7</f>
        <v>0</v>
      </c>
    </row>
    <row r="7233" customFormat="false" ht="15" hidden="false" customHeight="false" outlineLevel="0" collapsed="false">
      <c r="B7233" s="130" t="n">
        <v>2027</v>
      </c>
      <c r="C7233" s="131" t="s">
        <v>252</v>
      </c>
      <c r="D7233" s="132" t="n">
        <v>46678</v>
      </c>
      <c r="E7233" s="131" t="s">
        <v>56</v>
      </c>
      <c r="F7233" s="133" t="s">
        <v>19</v>
      </c>
      <c r="G7233" s="134" t="n">
        <f aca="false">LEN('Saisie programme'!$D$275)+SUMIFS('Vols additionnels'!$E$7:$E$66,'Vols additionnels'!$C$7:$C$66,$E7233,'Vols additionnels'!$D$7:$D$66,$F7233,'Vols additionnels'!$B$7:$B$66,$D7233)</f>
        <v>0</v>
      </c>
      <c r="H7233" s="135" t="n">
        <f aca="false">$G7233*'Analyse capacite'!$F$8</f>
        <v>0</v>
      </c>
      <c r="I7233" s="135" t="n">
        <f aca="false">$G7233*'Analyse capacite'!$C$8</f>
        <v>0</v>
      </c>
      <c r="J7233" s="135" t="n">
        <f aca="false">$G7233*'Analyse capacite'!$D$8</f>
        <v>0</v>
      </c>
      <c r="K7233" s="135" t="n">
        <f aca="false">$G7233*'Analyse capacite'!$E$8</f>
        <v>0</v>
      </c>
    </row>
    <row r="7234" customFormat="false" ht="15" hidden="false" customHeight="false" outlineLevel="0" collapsed="false">
      <c r="B7234" s="130" t="n">
        <v>2027</v>
      </c>
      <c r="C7234" s="131" t="s">
        <v>252</v>
      </c>
      <c r="D7234" s="132" t="n">
        <v>46678</v>
      </c>
      <c r="E7234" s="131" t="s">
        <v>56</v>
      </c>
      <c r="F7234" s="133" t="s">
        <v>24</v>
      </c>
      <c r="G7234" s="134" t="n">
        <f aca="false">LEN('Saisie programme'!$D$276)+SUMIFS('Vols additionnels'!$E$7:$E$66,'Vols additionnels'!$C$7:$C$66,$E7234,'Vols additionnels'!$D$7:$D$66,$F7234,'Vols additionnels'!$B$7:$B$66,$D7234)</f>
        <v>0</v>
      </c>
      <c r="H7234" s="135" t="n">
        <f aca="false">$G7234*'Analyse capacite'!$F$9</f>
        <v>0</v>
      </c>
      <c r="I7234" s="135" t="n">
        <f aca="false">$G7234*'Analyse capacite'!$C$9</f>
        <v>0</v>
      </c>
      <c r="J7234" s="135" t="n">
        <f aca="false">$G7234*'Analyse capacite'!$D$9</f>
        <v>0</v>
      </c>
      <c r="K7234" s="135" t="n">
        <f aca="false">$G7234*'Analyse capacite'!$E$9</f>
        <v>0</v>
      </c>
    </row>
    <row r="7235" customFormat="false" ht="15" hidden="false" customHeight="false" outlineLevel="0" collapsed="false">
      <c r="B7235" s="130" t="n">
        <v>2027</v>
      </c>
      <c r="C7235" s="131" t="s">
        <v>252</v>
      </c>
      <c r="D7235" s="132" t="n">
        <v>46678</v>
      </c>
      <c r="E7235" s="131" t="s">
        <v>59</v>
      </c>
      <c r="F7235" s="133" t="s">
        <v>11</v>
      </c>
      <c r="G7235" s="134" t="n">
        <f aca="false">LEN('Saisie programme'!$D$277)+SUMIFS('Vols additionnels'!$E$7:$E$66,'Vols additionnels'!$C$7:$C$66,$E7235,'Vols additionnels'!$D$7:$D$66,$F7235,'Vols additionnels'!$B$7:$B$66,$D7235)</f>
        <v>0</v>
      </c>
      <c r="H7235" s="135" t="n">
        <f aca="false">$G7235*'Analyse capacite'!$F$7</f>
        <v>0</v>
      </c>
      <c r="I7235" s="135" t="n">
        <f aca="false">$G7235*'Analyse capacite'!$C$7</f>
        <v>0</v>
      </c>
      <c r="J7235" s="135" t="n">
        <f aca="false">$G7235*'Analyse capacite'!$D$7</f>
        <v>0</v>
      </c>
      <c r="K7235" s="135" t="n">
        <f aca="false">$G7235*'Analyse capacite'!$E$7</f>
        <v>0</v>
      </c>
    </row>
    <row r="7236" customFormat="false" ht="15" hidden="false" customHeight="false" outlineLevel="0" collapsed="false">
      <c r="B7236" s="130" t="n">
        <v>2027</v>
      </c>
      <c r="C7236" s="131" t="s">
        <v>252</v>
      </c>
      <c r="D7236" s="132" t="n">
        <v>46678</v>
      </c>
      <c r="E7236" s="131" t="s">
        <v>59</v>
      </c>
      <c r="F7236" s="133" t="s">
        <v>19</v>
      </c>
      <c r="G7236" s="134" t="n">
        <f aca="false">LEN('Saisie programme'!$D$278)+SUMIFS('Vols additionnels'!$E$7:$E$66,'Vols additionnels'!$C$7:$C$66,$E7236,'Vols additionnels'!$D$7:$D$66,$F7236,'Vols additionnels'!$B$7:$B$66,$D7236)</f>
        <v>0</v>
      </c>
      <c r="H7236" s="135" t="n">
        <f aca="false">$G7236*'Analyse capacite'!$F$8</f>
        <v>0</v>
      </c>
      <c r="I7236" s="135" t="n">
        <f aca="false">$G7236*'Analyse capacite'!$C$8</f>
        <v>0</v>
      </c>
      <c r="J7236" s="135" t="n">
        <f aca="false">$G7236*'Analyse capacite'!$D$8</f>
        <v>0</v>
      </c>
      <c r="K7236" s="135" t="n">
        <f aca="false">$G7236*'Analyse capacite'!$E$8</f>
        <v>0</v>
      </c>
    </row>
    <row r="7237" customFormat="false" ht="15" hidden="false" customHeight="false" outlineLevel="0" collapsed="false">
      <c r="B7237" s="130" t="n">
        <v>2027</v>
      </c>
      <c r="C7237" s="131" t="s">
        <v>252</v>
      </c>
      <c r="D7237" s="132" t="n">
        <v>46678</v>
      </c>
      <c r="E7237" s="131" t="s">
        <v>59</v>
      </c>
      <c r="F7237" s="133" t="s">
        <v>24</v>
      </c>
      <c r="G7237" s="134" t="n">
        <f aca="false">LEN('Saisie programme'!$D$279)+SUMIFS('Vols additionnels'!$E$7:$E$66,'Vols additionnels'!$C$7:$C$66,$E7237,'Vols additionnels'!$D$7:$D$66,$F7237,'Vols additionnels'!$B$7:$B$66,$D7237)</f>
        <v>1</v>
      </c>
      <c r="H7237" s="135" t="n">
        <f aca="false">$G7237*'Analyse capacite'!$F$9</f>
        <v>174</v>
      </c>
      <c r="I7237" s="135" t="n">
        <f aca="false">$G7237*'Analyse capacite'!$C$9</f>
        <v>0</v>
      </c>
      <c r="J7237" s="135" t="n">
        <f aca="false">$G7237*'Analyse capacite'!$D$9</f>
        <v>12</v>
      </c>
      <c r="K7237" s="135" t="n">
        <f aca="false">$G7237*'Analyse capacite'!$E$9</f>
        <v>162</v>
      </c>
    </row>
    <row r="7238" customFormat="false" ht="15" hidden="false" customHeight="false" outlineLevel="0" collapsed="false">
      <c r="B7238" s="130" t="n">
        <v>2027</v>
      </c>
      <c r="C7238" s="131" t="s">
        <v>252</v>
      </c>
      <c r="D7238" s="132" t="n">
        <v>46678</v>
      </c>
      <c r="E7238" s="131" t="s">
        <v>62</v>
      </c>
      <c r="F7238" s="133" t="s">
        <v>11</v>
      </c>
      <c r="G7238" s="134" t="n">
        <f aca="false">LEN('Saisie programme'!$D$280)+SUMIFS('Vols additionnels'!$E$7:$E$66,'Vols additionnels'!$C$7:$C$66,$E7238,'Vols additionnels'!$D$7:$D$66,$F7238,'Vols additionnels'!$B$7:$B$66,$D7238)</f>
        <v>0</v>
      </c>
      <c r="H7238" s="135" t="n">
        <f aca="false">$G7238*'Analyse capacite'!$F$7</f>
        <v>0</v>
      </c>
      <c r="I7238" s="135" t="n">
        <f aca="false">$G7238*'Analyse capacite'!$C$7</f>
        <v>0</v>
      </c>
      <c r="J7238" s="135" t="n">
        <f aca="false">$G7238*'Analyse capacite'!$D$7</f>
        <v>0</v>
      </c>
      <c r="K7238" s="135" t="n">
        <f aca="false">$G7238*'Analyse capacite'!$E$7</f>
        <v>0</v>
      </c>
    </row>
    <row r="7239" customFormat="false" ht="15" hidden="false" customHeight="false" outlineLevel="0" collapsed="false">
      <c r="B7239" s="130" t="n">
        <v>2027</v>
      </c>
      <c r="C7239" s="131" t="s">
        <v>252</v>
      </c>
      <c r="D7239" s="132" t="n">
        <v>46678</v>
      </c>
      <c r="E7239" s="131" t="s">
        <v>62</v>
      </c>
      <c r="F7239" s="133" t="s">
        <v>19</v>
      </c>
      <c r="G7239" s="134" t="n">
        <f aca="false">LEN('Saisie programme'!$D$281)+SUMIFS('Vols additionnels'!$E$7:$E$66,'Vols additionnels'!$C$7:$C$66,$E7239,'Vols additionnels'!$D$7:$D$66,$F7239,'Vols additionnels'!$B$7:$B$66,$D7239)</f>
        <v>0</v>
      </c>
      <c r="H7239" s="135" t="n">
        <f aca="false">$G7239*'Analyse capacite'!$F$8</f>
        <v>0</v>
      </c>
      <c r="I7239" s="135" t="n">
        <f aca="false">$G7239*'Analyse capacite'!$C$8</f>
        <v>0</v>
      </c>
      <c r="J7239" s="135" t="n">
        <f aca="false">$G7239*'Analyse capacite'!$D$8</f>
        <v>0</v>
      </c>
      <c r="K7239" s="135" t="n">
        <f aca="false">$G7239*'Analyse capacite'!$E$8</f>
        <v>0</v>
      </c>
    </row>
    <row r="7240" customFormat="false" ht="15" hidden="false" customHeight="false" outlineLevel="0" collapsed="false">
      <c r="B7240" s="130" t="n">
        <v>2027</v>
      </c>
      <c r="C7240" s="131" t="s">
        <v>252</v>
      </c>
      <c r="D7240" s="132" t="n">
        <v>46678</v>
      </c>
      <c r="E7240" s="131" t="s">
        <v>62</v>
      </c>
      <c r="F7240" s="133" t="s">
        <v>24</v>
      </c>
      <c r="G7240" s="134" t="n">
        <f aca="false">LEN('Saisie programme'!$D$282)+SUMIFS('Vols additionnels'!$E$7:$E$66,'Vols additionnels'!$C$7:$C$66,$E7240,'Vols additionnels'!$D$7:$D$66,$F7240,'Vols additionnels'!$B$7:$B$66,$D7240)</f>
        <v>0</v>
      </c>
      <c r="H7240" s="135" t="n">
        <f aca="false">$G7240*'Analyse capacite'!$F$9</f>
        <v>0</v>
      </c>
      <c r="I7240" s="135" t="n">
        <f aca="false">$G7240*'Analyse capacite'!$C$9</f>
        <v>0</v>
      </c>
      <c r="J7240" s="135" t="n">
        <f aca="false">$G7240*'Analyse capacite'!$D$9</f>
        <v>0</v>
      </c>
      <c r="K7240" s="135" t="n">
        <f aca="false">$G7240*'Analyse capacite'!$E$9</f>
        <v>0</v>
      </c>
    </row>
    <row r="7241" customFormat="false" ht="15" hidden="false" customHeight="false" outlineLevel="0" collapsed="false">
      <c r="B7241" s="130" t="n">
        <v>2027</v>
      </c>
      <c r="C7241" s="131" t="s">
        <v>252</v>
      </c>
      <c r="D7241" s="132" t="n">
        <v>46679</v>
      </c>
      <c r="E7241" s="131" t="s">
        <v>12</v>
      </c>
      <c r="F7241" s="133" t="s">
        <v>11</v>
      </c>
      <c r="G7241" s="134" t="n">
        <f aca="false">LEN('Saisie programme'!$E$247)+SUMIFS('Vols additionnels'!$E$7:$E$66,'Vols additionnels'!$C$7:$C$66,$E7241,'Vols additionnels'!$D$7:$D$66,$F7241,'Vols additionnels'!$B$7:$B$66,$D7241)</f>
        <v>1</v>
      </c>
      <c r="H7241" s="135" t="n">
        <f aca="false">$G7241*'Analyse capacite'!$F$7</f>
        <v>438</v>
      </c>
      <c r="I7241" s="135" t="n">
        <f aca="false">$G7241*'Analyse capacite'!$C$7</f>
        <v>14</v>
      </c>
      <c r="J7241" s="135" t="n">
        <f aca="false">$G7241*'Analyse capacite'!$D$7</f>
        <v>40</v>
      </c>
      <c r="K7241" s="135" t="n">
        <f aca="false">$G7241*'Analyse capacite'!$E$7</f>
        <v>384</v>
      </c>
    </row>
    <row r="7242" customFormat="false" ht="15" hidden="false" customHeight="false" outlineLevel="0" collapsed="false">
      <c r="B7242" s="130" t="n">
        <v>2027</v>
      </c>
      <c r="C7242" s="131" t="s">
        <v>252</v>
      </c>
      <c r="D7242" s="132" t="n">
        <v>46679</v>
      </c>
      <c r="E7242" s="131" t="s">
        <v>12</v>
      </c>
      <c r="F7242" s="133" t="s">
        <v>19</v>
      </c>
      <c r="G7242" s="134" t="n">
        <f aca="false">LEN('Saisie programme'!$E$248)+SUMIFS('Vols additionnels'!$E$7:$E$66,'Vols additionnels'!$C$7:$C$66,$E7242,'Vols additionnels'!$D$7:$D$66,$F7242,'Vols additionnels'!$B$7:$B$66,$D7242)</f>
        <v>0</v>
      </c>
      <c r="H7242" s="135" t="n">
        <f aca="false">$G7242*'Analyse capacite'!$F$8</f>
        <v>0</v>
      </c>
      <c r="I7242" s="135" t="n">
        <f aca="false">$G7242*'Analyse capacite'!$C$8</f>
        <v>0</v>
      </c>
      <c r="J7242" s="135" t="n">
        <f aca="false">$G7242*'Analyse capacite'!$D$8</f>
        <v>0</v>
      </c>
      <c r="K7242" s="135" t="n">
        <f aca="false">$G7242*'Analyse capacite'!$E$8</f>
        <v>0</v>
      </c>
    </row>
    <row r="7243" customFormat="false" ht="15" hidden="false" customHeight="false" outlineLevel="0" collapsed="false">
      <c r="B7243" s="130" t="n">
        <v>2027</v>
      </c>
      <c r="C7243" s="131" t="s">
        <v>252</v>
      </c>
      <c r="D7243" s="132" t="n">
        <v>46679</v>
      </c>
      <c r="E7243" s="131" t="s">
        <v>12</v>
      </c>
      <c r="F7243" s="133" t="s">
        <v>24</v>
      </c>
      <c r="G7243" s="134" t="n">
        <f aca="false">LEN('Saisie programme'!$E$249)+SUMIFS('Vols additionnels'!$E$7:$E$66,'Vols additionnels'!$C$7:$C$66,$E7243,'Vols additionnels'!$D$7:$D$66,$F7243,'Vols additionnels'!$B$7:$B$66,$D7243)</f>
        <v>0</v>
      </c>
      <c r="H7243" s="135" t="n">
        <f aca="false">$G7243*'Analyse capacite'!$F$9</f>
        <v>0</v>
      </c>
      <c r="I7243" s="135" t="n">
        <f aca="false">$G7243*'Analyse capacite'!$C$9</f>
        <v>0</v>
      </c>
      <c r="J7243" s="135" t="n">
        <f aca="false">$G7243*'Analyse capacite'!$D$9</f>
        <v>0</v>
      </c>
      <c r="K7243" s="135" t="n">
        <f aca="false">$G7243*'Analyse capacite'!$E$9</f>
        <v>0</v>
      </c>
    </row>
    <row r="7244" customFormat="false" ht="15" hidden="false" customHeight="false" outlineLevel="0" collapsed="false">
      <c r="B7244" s="130" t="n">
        <v>2027</v>
      </c>
      <c r="C7244" s="131" t="s">
        <v>252</v>
      </c>
      <c r="D7244" s="132" t="n">
        <v>46679</v>
      </c>
      <c r="E7244" s="131" t="s">
        <v>20</v>
      </c>
      <c r="F7244" s="133" t="s">
        <v>11</v>
      </c>
      <c r="G7244" s="134" t="n">
        <f aca="false">LEN('Saisie programme'!$E$250)+SUMIFS('Vols additionnels'!$E$7:$E$66,'Vols additionnels'!$C$7:$C$66,$E7244,'Vols additionnels'!$D$7:$D$66,$F7244,'Vols additionnels'!$B$7:$B$66,$D7244)</f>
        <v>0</v>
      </c>
      <c r="H7244" s="135" t="n">
        <f aca="false">$G7244*'Analyse capacite'!$F$7</f>
        <v>0</v>
      </c>
      <c r="I7244" s="135" t="n">
        <f aca="false">$G7244*'Analyse capacite'!$C$7</f>
        <v>0</v>
      </c>
      <c r="J7244" s="135" t="n">
        <f aca="false">$G7244*'Analyse capacite'!$D$7</f>
        <v>0</v>
      </c>
      <c r="K7244" s="135" t="n">
        <f aca="false">$G7244*'Analyse capacite'!$E$7</f>
        <v>0</v>
      </c>
    </row>
    <row r="7245" customFormat="false" ht="15" hidden="false" customHeight="false" outlineLevel="0" collapsed="false">
      <c r="B7245" s="130" t="n">
        <v>2027</v>
      </c>
      <c r="C7245" s="131" t="s">
        <v>252</v>
      </c>
      <c r="D7245" s="132" t="n">
        <v>46679</v>
      </c>
      <c r="E7245" s="131" t="s">
        <v>20</v>
      </c>
      <c r="F7245" s="133" t="s">
        <v>19</v>
      </c>
      <c r="G7245" s="134" t="n">
        <f aca="false">LEN('Saisie programme'!$E$251)+SUMIFS('Vols additionnels'!$E$7:$E$66,'Vols additionnels'!$C$7:$C$66,$E7245,'Vols additionnels'!$D$7:$D$66,$F7245,'Vols additionnels'!$B$7:$B$66,$D7245)</f>
        <v>1</v>
      </c>
      <c r="H7245" s="135" t="n">
        <f aca="false">$G7245*'Analyse capacite'!$F$8</f>
        <v>262</v>
      </c>
      <c r="I7245" s="135" t="n">
        <f aca="false">$G7245*'Analyse capacite'!$C$8</f>
        <v>18</v>
      </c>
      <c r="J7245" s="135" t="n">
        <f aca="false">$G7245*'Analyse capacite'!$D$8</f>
        <v>0</v>
      </c>
      <c r="K7245" s="135" t="n">
        <f aca="false">$G7245*'Analyse capacite'!$E$8</f>
        <v>244</v>
      </c>
    </row>
    <row r="7246" customFormat="false" ht="15" hidden="false" customHeight="false" outlineLevel="0" collapsed="false">
      <c r="B7246" s="130" t="n">
        <v>2027</v>
      </c>
      <c r="C7246" s="131" t="s">
        <v>252</v>
      </c>
      <c r="D7246" s="132" t="n">
        <v>46679</v>
      </c>
      <c r="E7246" s="131" t="s">
        <v>20</v>
      </c>
      <c r="F7246" s="133" t="s">
        <v>24</v>
      </c>
      <c r="G7246" s="134" t="n">
        <f aca="false">LEN('Saisie programme'!$E$252)+SUMIFS('Vols additionnels'!$E$7:$E$66,'Vols additionnels'!$C$7:$C$66,$E7246,'Vols additionnels'!$D$7:$D$66,$F7246,'Vols additionnels'!$B$7:$B$66,$D7246)</f>
        <v>0</v>
      </c>
      <c r="H7246" s="135" t="n">
        <f aca="false">$G7246*'Analyse capacite'!$F$9</f>
        <v>0</v>
      </c>
      <c r="I7246" s="135" t="n">
        <f aca="false">$G7246*'Analyse capacite'!$C$9</f>
        <v>0</v>
      </c>
      <c r="J7246" s="135" t="n">
        <f aca="false">$G7246*'Analyse capacite'!$D$9</f>
        <v>0</v>
      </c>
      <c r="K7246" s="135" t="n">
        <f aca="false">$G7246*'Analyse capacite'!$E$9</f>
        <v>0</v>
      </c>
    </row>
    <row r="7247" customFormat="false" ht="15" hidden="false" customHeight="false" outlineLevel="0" collapsed="false">
      <c r="B7247" s="130" t="n">
        <v>2027</v>
      </c>
      <c r="C7247" s="131" t="s">
        <v>252</v>
      </c>
      <c r="D7247" s="132" t="n">
        <v>46679</v>
      </c>
      <c r="E7247" s="131" t="s">
        <v>25</v>
      </c>
      <c r="F7247" s="133" t="s">
        <v>11</v>
      </c>
      <c r="G7247" s="134" t="n">
        <f aca="false">LEN('Saisie programme'!$E$253)+SUMIFS('Vols additionnels'!$E$7:$E$66,'Vols additionnels'!$C$7:$C$66,$E7247,'Vols additionnels'!$D$7:$D$66,$F7247,'Vols additionnels'!$B$7:$B$66,$D7247)</f>
        <v>0</v>
      </c>
      <c r="H7247" s="135" t="n">
        <f aca="false">$G7247*'Analyse capacite'!$F$7</f>
        <v>0</v>
      </c>
      <c r="I7247" s="135" t="n">
        <f aca="false">$G7247*'Analyse capacite'!$C$7</f>
        <v>0</v>
      </c>
      <c r="J7247" s="135" t="n">
        <f aca="false">$G7247*'Analyse capacite'!$D$7</f>
        <v>0</v>
      </c>
      <c r="K7247" s="135" t="n">
        <f aca="false">$G7247*'Analyse capacite'!$E$7</f>
        <v>0</v>
      </c>
    </row>
    <row r="7248" customFormat="false" ht="15" hidden="false" customHeight="false" outlineLevel="0" collapsed="false">
      <c r="B7248" s="130" t="n">
        <v>2027</v>
      </c>
      <c r="C7248" s="131" t="s">
        <v>252</v>
      </c>
      <c r="D7248" s="132" t="n">
        <v>46679</v>
      </c>
      <c r="E7248" s="131" t="s">
        <v>25</v>
      </c>
      <c r="F7248" s="133" t="s">
        <v>19</v>
      </c>
      <c r="G7248" s="134" t="n">
        <f aca="false">LEN('Saisie programme'!$E$254)+SUMIFS('Vols additionnels'!$E$7:$E$66,'Vols additionnels'!$C$7:$C$66,$E7248,'Vols additionnels'!$D$7:$D$66,$F7248,'Vols additionnels'!$B$7:$B$66,$D7248)</f>
        <v>0</v>
      </c>
      <c r="H7248" s="135" t="n">
        <f aca="false">$G7248*'Analyse capacite'!$F$8</f>
        <v>0</v>
      </c>
      <c r="I7248" s="135" t="n">
        <f aca="false">$G7248*'Analyse capacite'!$C$8</f>
        <v>0</v>
      </c>
      <c r="J7248" s="135" t="n">
        <f aca="false">$G7248*'Analyse capacite'!$D$8</f>
        <v>0</v>
      </c>
      <c r="K7248" s="135" t="n">
        <f aca="false">$G7248*'Analyse capacite'!$E$8</f>
        <v>0</v>
      </c>
    </row>
    <row r="7249" customFormat="false" ht="15" hidden="false" customHeight="false" outlineLevel="0" collapsed="false">
      <c r="B7249" s="130" t="n">
        <v>2027</v>
      </c>
      <c r="C7249" s="131" t="s">
        <v>252</v>
      </c>
      <c r="D7249" s="132" t="n">
        <v>46679</v>
      </c>
      <c r="E7249" s="131" t="s">
        <v>25</v>
      </c>
      <c r="F7249" s="133" t="s">
        <v>24</v>
      </c>
      <c r="G7249" s="134" t="n">
        <f aca="false">LEN('Saisie programme'!$E$255)+SUMIFS('Vols additionnels'!$E$7:$E$66,'Vols additionnels'!$C$7:$C$66,$E7249,'Vols additionnels'!$D$7:$D$66,$F7249,'Vols additionnels'!$B$7:$B$66,$D7249)</f>
        <v>0</v>
      </c>
      <c r="H7249" s="135" t="n">
        <f aca="false">$G7249*'Analyse capacite'!$F$9</f>
        <v>0</v>
      </c>
      <c r="I7249" s="135" t="n">
        <f aca="false">$G7249*'Analyse capacite'!$C$9</f>
        <v>0</v>
      </c>
      <c r="J7249" s="135" t="n">
        <f aca="false">$G7249*'Analyse capacite'!$D$9</f>
        <v>0</v>
      </c>
      <c r="K7249" s="135" t="n">
        <f aca="false">$G7249*'Analyse capacite'!$E$9</f>
        <v>0</v>
      </c>
    </row>
    <row r="7250" customFormat="false" ht="15" hidden="false" customHeight="false" outlineLevel="0" collapsed="false">
      <c r="B7250" s="130" t="n">
        <v>2027</v>
      </c>
      <c r="C7250" s="131" t="s">
        <v>252</v>
      </c>
      <c r="D7250" s="132" t="n">
        <v>46679</v>
      </c>
      <c r="E7250" s="131" t="s">
        <v>36</v>
      </c>
      <c r="F7250" s="133" t="s">
        <v>11</v>
      </c>
      <c r="G7250" s="134" t="n">
        <f aca="false">LEN('Saisie programme'!$E$256)+SUMIFS('Vols additionnels'!$E$7:$E$66,'Vols additionnels'!$C$7:$C$66,$E7250,'Vols additionnels'!$D$7:$D$66,$F7250,'Vols additionnels'!$B$7:$B$66,$D7250)</f>
        <v>0</v>
      </c>
      <c r="H7250" s="135" t="n">
        <f aca="false">$G7250*'Analyse capacite'!$F$7</f>
        <v>0</v>
      </c>
      <c r="I7250" s="135" t="n">
        <f aca="false">$G7250*'Analyse capacite'!$C$7</f>
        <v>0</v>
      </c>
      <c r="J7250" s="135" t="n">
        <f aca="false">$G7250*'Analyse capacite'!$D$7</f>
        <v>0</v>
      </c>
      <c r="K7250" s="135" t="n">
        <f aca="false">$G7250*'Analyse capacite'!$E$7</f>
        <v>0</v>
      </c>
    </row>
    <row r="7251" customFormat="false" ht="15" hidden="false" customHeight="false" outlineLevel="0" collapsed="false">
      <c r="B7251" s="130" t="n">
        <v>2027</v>
      </c>
      <c r="C7251" s="131" t="s">
        <v>252</v>
      </c>
      <c r="D7251" s="132" t="n">
        <v>46679</v>
      </c>
      <c r="E7251" s="131" t="s">
        <v>36</v>
      </c>
      <c r="F7251" s="133" t="s">
        <v>19</v>
      </c>
      <c r="G7251" s="134" t="n">
        <f aca="false">LEN('Saisie programme'!$E$257)+SUMIFS('Vols additionnels'!$E$7:$E$66,'Vols additionnels'!$C$7:$C$66,$E7251,'Vols additionnels'!$D$7:$D$66,$F7251,'Vols additionnels'!$B$7:$B$66,$D7251)</f>
        <v>0</v>
      </c>
      <c r="H7251" s="135" t="n">
        <f aca="false">$G7251*'Analyse capacite'!$F$8</f>
        <v>0</v>
      </c>
      <c r="I7251" s="135" t="n">
        <f aca="false">$G7251*'Analyse capacite'!$C$8</f>
        <v>0</v>
      </c>
      <c r="J7251" s="135" t="n">
        <f aca="false">$G7251*'Analyse capacite'!$D$8</f>
        <v>0</v>
      </c>
      <c r="K7251" s="135" t="n">
        <f aca="false">$G7251*'Analyse capacite'!$E$8</f>
        <v>0</v>
      </c>
    </row>
    <row r="7252" customFormat="false" ht="15" hidden="false" customHeight="false" outlineLevel="0" collapsed="false">
      <c r="B7252" s="130" t="n">
        <v>2027</v>
      </c>
      <c r="C7252" s="131" t="s">
        <v>252</v>
      </c>
      <c r="D7252" s="132" t="n">
        <v>46679</v>
      </c>
      <c r="E7252" s="131" t="s">
        <v>36</v>
      </c>
      <c r="F7252" s="133" t="s">
        <v>24</v>
      </c>
      <c r="G7252" s="134" t="n">
        <f aca="false">LEN('Saisie programme'!$E$258)+SUMIFS('Vols additionnels'!$E$7:$E$66,'Vols additionnels'!$C$7:$C$66,$E7252,'Vols additionnels'!$D$7:$D$66,$F7252,'Vols additionnels'!$B$7:$B$66,$D7252)</f>
        <v>1</v>
      </c>
      <c r="H7252" s="135" t="n">
        <f aca="false">$G7252*'Analyse capacite'!$F$9</f>
        <v>174</v>
      </c>
      <c r="I7252" s="135" t="n">
        <f aca="false">$G7252*'Analyse capacite'!$C$9</f>
        <v>0</v>
      </c>
      <c r="J7252" s="135" t="n">
        <f aca="false">$G7252*'Analyse capacite'!$D$9</f>
        <v>12</v>
      </c>
      <c r="K7252" s="135" t="n">
        <f aca="false">$G7252*'Analyse capacite'!$E$9</f>
        <v>162</v>
      </c>
    </row>
    <row r="7253" customFormat="false" ht="15" hidden="false" customHeight="false" outlineLevel="0" collapsed="false">
      <c r="B7253" s="130" t="n">
        <v>2027</v>
      </c>
      <c r="C7253" s="131" t="s">
        <v>252</v>
      </c>
      <c r="D7253" s="132" t="n">
        <v>46679</v>
      </c>
      <c r="E7253" s="131" t="s">
        <v>40</v>
      </c>
      <c r="F7253" s="133" t="s">
        <v>11</v>
      </c>
      <c r="G7253" s="134" t="n">
        <f aca="false">LEN('Saisie programme'!$E$259)+SUMIFS('Vols additionnels'!$E$7:$E$66,'Vols additionnels'!$C$7:$C$66,$E7253,'Vols additionnels'!$D$7:$D$66,$F7253,'Vols additionnels'!$B$7:$B$66,$D7253)</f>
        <v>0</v>
      </c>
      <c r="H7253" s="135" t="n">
        <f aca="false">$G7253*'Analyse capacite'!$F$7</f>
        <v>0</v>
      </c>
      <c r="I7253" s="135" t="n">
        <f aca="false">$G7253*'Analyse capacite'!$C$7</f>
        <v>0</v>
      </c>
      <c r="J7253" s="135" t="n">
        <f aca="false">$G7253*'Analyse capacite'!$D$7</f>
        <v>0</v>
      </c>
      <c r="K7253" s="135" t="n">
        <f aca="false">$G7253*'Analyse capacite'!$E$7</f>
        <v>0</v>
      </c>
    </row>
    <row r="7254" customFormat="false" ht="15" hidden="false" customHeight="false" outlineLevel="0" collapsed="false">
      <c r="B7254" s="130" t="n">
        <v>2027</v>
      </c>
      <c r="C7254" s="131" t="s">
        <v>252</v>
      </c>
      <c r="D7254" s="132" t="n">
        <v>46679</v>
      </c>
      <c r="E7254" s="131" t="s">
        <v>40</v>
      </c>
      <c r="F7254" s="133" t="s">
        <v>19</v>
      </c>
      <c r="G7254" s="134" t="n">
        <f aca="false">LEN('Saisie programme'!$E$260)+SUMIFS('Vols additionnels'!$E$7:$E$66,'Vols additionnels'!$C$7:$C$66,$E7254,'Vols additionnels'!$D$7:$D$66,$F7254,'Vols additionnels'!$B$7:$B$66,$D7254)</f>
        <v>0</v>
      </c>
      <c r="H7254" s="135" t="n">
        <f aca="false">$G7254*'Analyse capacite'!$F$8</f>
        <v>0</v>
      </c>
      <c r="I7254" s="135" t="n">
        <f aca="false">$G7254*'Analyse capacite'!$C$8</f>
        <v>0</v>
      </c>
      <c r="J7254" s="135" t="n">
        <f aca="false">$G7254*'Analyse capacite'!$D$8</f>
        <v>0</v>
      </c>
      <c r="K7254" s="135" t="n">
        <f aca="false">$G7254*'Analyse capacite'!$E$8</f>
        <v>0</v>
      </c>
    </row>
    <row r="7255" customFormat="false" ht="15" hidden="false" customHeight="false" outlineLevel="0" collapsed="false">
      <c r="B7255" s="130" t="n">
        <v>2027</v>
      </c>
      <c r="C7255" s="131" t="s">
        <v>252</v>
      </c>
      <c r="D7255" s="132" t="n">
        <v>46679</v>
      </c>
      <c r="E7255" s="131" t="s">
        <v>40</v>
      </c>
      <c r="F7255" s="133" t="s">
        <v>24</v>
      </c>
      <c r="G7255" s="134" t="n">
        <f aca="false">LEN('Saisie programme'!$E$261)+SUMIFS('Vols additionnels'!$E$7:$E$66,'Vols additionnels'!$C$7:$C$66,$E7255,'Vols additionnels'!$D$7:$D$66,$F7255,'Vols additionnels'!$B$7:$B$66,$D7255)</f>
        <v>0</v>
      </c>
      <c r="H7255" s="135" t="n">
        <f aca="false">$G7255*'Analyse capacite'!$F$9</f>
        <v>0</v>
      </c>
      <c r="I7255" s="135" t="n">
        <f aca="false">$G7255*'Analyse capacite'!$C$9</f>
        <v>0</v>
      </c>
      <c r="J7255" s="135" t="n">
        <f aca="false">$G7255*'Analyse capacite'!$D$9</f>
        <v>0</v>
      </c>
      <c r="K7255" s="135" t="n">
        <f aca="false">$G7255*'Analyse capacite'!$E$9</f>
        <v>0</v>
      </c>
    </row>
    <row r="7256" customFormat="false" ht="15" hidden="false" customHeight="false" outlineLevel="0" collapsed="false">
      <c r="B7256" s="130" t="n">
        <v>2027</v>
      </c>
      <c r="C7256" s="131" t="s">
        <v>252</v>
      </c>
      <c r="D7256" s="132" t="n">
        <v>46679</v>
      </c>
      <c r="E7256" s="131" t="s">
        <v>14</v>
      </c>
      <c r="F7256" s="133" t="s">
        <v>11</v>
      </c>
      <c r="G7256" s="134" t="n">
        <f aca="false">LEN('Saisie programme'!$E$262)+SUMIFS('Vols additionnels'!$E$7:$E$66,'Vols additionnels'!$C$7:$C$66,$E7256,'Vols additionnels'!$D$7:$D$66,$F7256,'Vols additionnels'!$B$7:$B$66,$D7256)</f>
        <v>0</v>
      </c>
      <c r="H7256" s="135" t="n">
        <f aca="false">$G7256*'Analyse capacite'!$F$7</f>
        <v>0</v>
      </c>
      <c r="I7256" s="135" t="n">
        <f aca="false">$G7256*'Analyse capacite'!$C$7</f>
        <v>0</v>
      </c>
      <c r="J7256" s="135" t="n">
        <f aca="false">$G7256*'Analyse capacite'!$D$7</f>
        <v>0</v>
      </c>
      <c r="K7256" s="135" t="n">
        <f aca="false">$G7256*'Analyse capacite'!$E$7</f>
        <v>0</v>
      </c>
    </row>
    <row r="7257" customFormat="false" ht="15" hidden="false" customHeight="false" outlineLevel="0" collapsed="false">
      <c r="B7257" s="130" t="n">
        <v>2027</v>
      </c>
      <c r="C7257" s="131" t="s">
        <v>252</v>
      </c>
      <c r="D7257" s="132" t="n">
        <v>46679</v>
      </c>
      <c r="E7257" s="131" t="s">
        <v>14</v>
      </c>
      <c r="F7257" s="133" t="s">
        <v>19</v>
      </c>
      <c r="G7257" s="134" t="n">
        <f aca="false">LEN('Saisie programme'!$E$263)+SUMIFS('Vols additionnels'!$E$7:$E$66,'Vols additionnels'!$C$7:$C$66,$E7257,'Vols additionnels'!$D$7:$D$66,$F7257,'Vols additionnels'!$B$7:$B$66,$D7257)</f>
        <v>0</v>
      </c>
      <c r="H7257" s="135" t="n">
        <f aca="false">$G7257*'Analyse capacite'!$F$8</f>
        <v>0</v>
      </c>
      <c r="I7257" s="135" t="n">
        <f aca="false">$G7257*'Analyse capacite'!$C$8</f>
        <v>0</v>
      </c>
      <c r="J7257" s="135" t="n">
        <f aca="false">$G7257*'Analyse capacite'!$D$8</f>
        <v>0</v>
      </c>
      <c r="K7257" s="135" t="n">
        <f aca="false">$G7257*'Analyse capacite'!$E$8</f>
        <v>0</v>
      </c>
    </row>
    <row r="7258" customFormat="false" ht="15" hidden="false" customHeight="false" outlineLevel="0" collapsed="false">
      <c r="B7258" s="130" t="n">
        <v>2027</v>
      </c>
      <c r="C7258" s="131" t="s">
        <v>252</v>
      </c>
      <c r="D7258" s="132" t="n">
        <v>46679</v>
      </c>
      <c r="E7258" s="131" t="s">
        <v>14</v>
      </c>
      <c r="F7258" s="133" t="s">
        <v>24</v>
      </c>
      <c r="G7258" s="134" t="n">
        <f aca="false">LEN('Saisie programme'!$E$264)+SUMIFS('Vols additionnels'!$E$7:$E$66,'Vols additionnels'!$C$7:$C$66,$E7258,'Vols additionnels'!$D$7:$D$66,$F7258,'Vols additionnels'!$B$7:$B$66,$D7258)</f>
        <v>0</v>
      </c>
      <c r="H7258" s="135" t="n">
        <f aca="false">$G7258*'Analyse capacite'!$F$9</f>
        <v>0</v>
      </c>
      <c r="I7258" s="135" t="n">
        <f aca="false">$G7258*'Analyse capacite'!$C$9</f>
        <v>0</v>
      </c>
      <c r="J7258" s="135" t="n">
        <f aca="false">$G7258*'Analyse capacite'!$D$9</f>
        <v>0</v>
      </c>
      <c r="K7258" s="135" t="n">
        <f aca="false">$G7258*'Analyse capacite'!$E$9</f>
        <v>0</v>
      </c>
    </row>
    <row r="7259" customFormat="false" ht="15" hidden="false" customHeight="false" outlineLevel="0" collapsed="false">
      <c r="B7259" s="130" t="n">
        <v>2027</v>
      </c>
      <c r="C7259" s="131" t="s">
        <v>252</v>
      </c>
      <c r="D7259" s="132" t="n">
        <v>46679</v>
      </c>
      <c r="E7259" s="131" t="s">
        <v>46</v>
      </c>
      <c r="F7259" s="133" t="s">
        <v>11</v>
      </c>
      <c r="G7259" s="134" t="n">
        <f aca="false">LEN('Saisie programme'!$E$265)+SUMIFS('Vols additionnels'!$E$7:$E$66,'Vols additionnels'!$C$7:$C$66,$E7259,'Vols additionnels'!$D$7:$D$66,$F7259,'Vols additionnels'!$B$7:$B$66,$D7259)</f>
        <v>0</v>
      </c>
      <c r="H7259" s="135" t="n">
        <f aca="false">$G7259*'Analyse capacite'!$F$7</f>
        <v>0</v>
      </c>
      <c r="I7259" s="135" t="n">
        <f aca="false">$G7259*'Analyse capacite'!$C$7</f>
        <v>0</v>
      </c>
      <c r="J7259" s="135" t="n">
        <f aca="false">$G7259*'Analyse capacite'!$D$7</f>
        <v>0</v>
      </c>
      <c r="K7259" s="135" t="n">
        <f aca="false">$G7259*'Analyse capacite'!$E$7</f>
        <v>0</v>
      </c>
    </row>
    <row r="7260" customFormat="false" ht="15" hidden="false" customHeight="false" outlineLevel="0" collapsed="false">
      <c r="B7260" s="130" t="n">
        <v>2027</v>
      </c>
      <c r="C7260" s="131" t="s">
        <v>252</v>
      </c>
      <c r="D7260" s="132" t="n">
        <v>46679</v>
      </c>
      <c r="E7260" s="131" t="s">
        <v>46</v>
      </c>
      <c r="F7260" s="133" t="s">
        <v>19</v>
      </c>
      <c r="G7260" s="134" t="n">
        <f aca="false">LEN('Saisie programme'!$E$266)+SUMIFS('Vols additionnels'!$E$7:$E$66,'Vols additionnels'!$C$7:$C$66,$E7260,'Vols additionnels'!$D$7:$D$66,$F7260,'Vols additionnels'!$B$7:$B$66,$D7260)</f>
        <v>0</v>
      </c>
      <c r="H7260" s="135" t="n">
        <f aca="false">$G7260*'Analyse capacite'!$F$8</f>
        <v>0</v>
      </c>
      <c r="I7260" s="135" t="n">
        <f aca="false">$G7260*'Analyse capacite'!$C$8</f>
        <v>0</v>
      </c>
      <c r="J7260" s="135" t="n">
        <f aca="false">$G7260*'Analyse capacite'!$D$8</f>
        <v>0</v>
      </c>
      <c r="K7260" s="135" t="n">
        <f aca="false">$G7260*'Analyse capacite'!$E$8</f>
        <v>0</v>
      </c>
    </row>
    <row r="7261" customFormat="false" ht="15" hidden="false" customHeight="false" outlineLevel="0" collapsed="false">
      <c r="B7261" s="130" t="n">
        <v>2027</v>
      </c>
      <c r="C7261" s="131" t="s">
        <v>252</v>
      </c>
      <c r="D7261" s="132" t="n">
        <v>46679</v>
      </c>
      <c r="E7261" s="131" t="s">
        <v>46</v>
      </c>
      <c r="F7261" s="133" t="s">
        <v>24</v>
      </c>
      <c r="G7261" s="134" t="n">
        <f aca="false">LEN('Saisie programme'!$E$267)+SUMIFS('Vols additionnels'!$E$7:$E$66,'Vols additionnels'!$C$7:$C$66,$E7261,'Vols additionnels'!$D$7:$D$66,$F7261,'Vols additionnels'!$B$7:$B$66,$D7261)</f>
        <v>1</v>
      </c>
      <c r="H7261" s="135" t="n">
        <f aca="false">$G7261*'Analyse capacite'!$F$9</f>
        <v>174</v>
      </c>
      <c r="I7261" s="135" t="n">
        <f aca="false">$G7261*'Analyse capacite'!$C$9</f>
        <v>0</v>
      </c>
      <c r="J7261" s="135" t="n">
        <f aca="false">$G7261*'Analyse capacite'!$D$9</f>
        <v>12</v>
      </c>
      <c r="K7261" s="135" t="n">
        <f aca="false">$G7261*'Analyse capacite'!$E$9</f>
        <v>162</v>
      </c>
    </row>
    <row r="7262" customFormat="false" ht="15" hidden="false" customHeight="false" outlineLevel="0" collapsed="false">
      <c r="B7262" s="130" t="n">
        <v>2027</v>
      </c>
      <c r="C7262" s="131" t="s">
        <v>252</v>
      </c>
      <c r="D7262" s="132" t="n">
        <v>46679</v>
      </c>
      <c r="E7262" s="131" t="s">
        <v>49</v>
      </c>
      <c r="F7262" s="133" t="s">
        <v>11</v>
      </c>
      <c r="G7262" s="134" t="n">
        <f aca="false">LEN('Saisie programme'!$E$268)+SUMIFS('Vols additionnels'!$E$7:$E$66,'Vols additionnels'!$C$7:$C$66,$E7262,'Vols additionnels'!$D$7:$D$66,$F7262,'Vols additionnels'!$B$7:$B$66,$D7262)</f>
        <v>0</v>
      </c>
      <c r="H7262" s="135" t="n">
        <f aca="false">$G7262*'Analyse capacite'!$F$7</f>
        <v>0</v>
      </c>
      <c r="I7262" s="135" t="n">
        <f aca="false">$G7262*'Analyse capacite'!$C$7</f>
        <v>0</v>
      </c>
      <c r="J7262" s="135" t="n">
        <f aca="false">$G7262*'Analyse capacite'!$D$7</f>
        <v>0</v>
      </c>
      <c r="K7262" s="135" t="n">
        <f aca="false">$G7262*'Analyse capacite'!$E$7</f>
        <v>0</v>
      </c>
    </row>
    <row r="7263" customFormat="false" ht="15" hidden="false" customHeight="false" outlineLevel="0" collapsed="false">
      <c r="B7263" s="130" t="n">
        <v>2027</v>
      </c>
      <c r="C7263" s="131" t="s">
        <v>252</v>
      </c>
      <c r="D7263" s="132" t="n">
        <v>46679</v>
      </c>
      <c r="E7263" s="131" t="s">
        <v>49</v>
      </c>
      <c r="F7263" s="133" t="s">
        <v>19</v>
      </c>
      <c r="G7263" s="134" t="n">
        <f aca="false">LEN('Saisie programme'!$E$269)+SUMIFS('Vols additionnels'!$E$7:$E$66,'Vols additionnels'!$C$7:$C$66,$E7263,'Vols additionnels'!$D$7:$D$66,$F7263,'Vols additionnels'!$B$7:$B$66,$D7263)</f>
        <v>0</v>
      </c>
      <c r="H7263" s="135" t="n">
        <f aca="false">$G7263*'Analyse capacite'!$F$8</f>
        <v>0</v>
      </c>
      <c r="I7263" s="135" t="n">
        <f aca="false">$G7263*'Analyse capacite'!$C$8</f>
        <v>0</v>
      </c>
      <c r="J7263" s="135" t="n">
        <f aca="false">$G7263*'Analyse capacite'!$D$8</f>
        <v>0</v>
      </c>
      <c r="K7263" s="135" t="n">
        <f aca="false">$G7263*'Analyse capacite'!$E$8</f>
        <v>0</v>
      </c>
    </row>
    <row r="7264" customFormat="false" ht="15" hidden="false" customHeight="false" outlineLevel="0" collapsed="false">
      <c r="B7264" s="130" t="n">
        <v>2027</v>
      </c>
      <c r="C7264" s="131" t="s">
        <v>252</v>
      </c>
      <c r="D7264" s="132" t="n">
        <v>46679</v>
      </c>
      <c r="E7264" s="131" t="s">
        <v>49</v>
      </c>
      <c r="F7264" s="133" t="s">
        <v>24</v>
      </c>
      <c r="G7264" s="134" t="n">
        <f aca="false">LEN('Saisie programme'!$E$270)+SUMIFS('Vols additionnels'!$E$7:$E$66,'Vols additionnels'!$C$7:$C$66,$E7264,'Vols additionnels'!$D$7:$D$66,$F7264,'Vols additionnels'!$B$7:$B$66,$D7264)</f>
        <v>0</v>
      </c>
      <c r="H7264" s="135" t="n">
        <f aca="false">$G7264*'Analyse capacite'!$F$9</f>
        <v>0</v>
      </c>
      <c r="I7264" s="135" t="n">
        <f aca="false">$G7264*'Analyse capacite'!$C$9</f>
        <v>0</v>
      </c>
      <c r="J7264" s="135" t="n">
        <f aca="false">$G7264*'Analyse capacite'!$D$9</f>
        <v>0</v>
      </c>
      <c r="K7264" s="135" t="n">
        <f aca="false">$G7264*'Analyse capacite'!$E$9</f>
        <v>0</v>
      </c>
    </row>
    <row r="7265" customFormat="false" ht="15" hidden="false" customHeight="false" outlineLevel="0" collapsed="false">
      <c r="B7265" s="130" t="n">
        <v>2027</v>
      </c>
      <c r="C7265" s="131" t="s">
        <v>252</v>
      </c>
      <c r="D7265" s="132" t="n">
        <v>46679</v>
      </c>
      <c r="E7265" s="131" t="s">
        <v>53</v>
      </c>
      <c r="F7265" s="133" t="s">
        <v>11</v>
      </c>
      <c r="G7265" s="134" t="n">
        <f aca="false">LEN('Saisie programme'!$E$271)+SUMIFS('Vols additionnels'!$E$7:$E$66,'Vols additionnels'!$C$7:$C$66,$E7265,'Vols additionnels'!$D$7:$D$66,$F7265,'Vols additionnels'!$B$7:$B$66,$D7265)</f>
        <v>0</v>
      </c>
      <c r="H7265" s="135" t="n">
        <f aca="false">$G7265*'Analyse capacite'!$F$7</f>
        <v>0</v>
      </c>
      <c r="I7265" s="135" t="n">
        <f aca="false">$G7265*'Analyse capacite'!$C$7</f>
        <v>0</v>
      </c>
      <c r="J7265" s="135" t="n">
        <f aca="false">$G7265*'Analyse capacite'!$D$7</f>
        <v>0</v>
      </c>
      <c r="K7265" s="135" t="n">
        <f aca="false">$G7265*'Analyse capacite'!$E$7</f>
        <v>0</v>
      </c>
    </row>
    <row r="7266" customFormat="false" ht="15" hidden="false" customHeight="false" outlineLevel="0" collapsed="false">
      <c r="B7266" s="130" t="n">
        <v>2027</v>
      </c>
      <c r="C7266" s="131" t="s">
        <v>252</v>
      </c>
      <c r="D7266" s="132" t="n">
        <v>46679</v>
      </c>
      <c r="E7266" s="131" t="s">
        <v>53</v>
      </c>
      <c r="F7266" s="133" t="s">
        <v>19</v>
      </c>
      <c r="G7266" s="134" t="n">
        <f aca="false">LEN('Saisie programme'!$E$272)+SUMIFS('Vols additionnels'!$E$7:$E$66,'Vols additionnels'!$C$7:$C$66,$E7266,'Vols additionnels'!$D$7:$D$66,$F7266,'Vols additionnels'!$B$7:$B$66,$D7266)</f>
        <v>0</v>
      </c>
      <c r="H7266" s="135" t="n">
        <f aca="false">$G7266*'Analyse capacite'!$F$8</f>
        <v>0</v>
      </c>
      <c r="I7266" s="135" t="n">
        <f aca="false">$G7266*'Analyse capacite'!$C$8</f>
        <v>0</v>
      </c>
      <c r="J7266" s="135" t="n">
        <f aca="false">$G7266*'Analyse capacite'!$D$8</f>
        <v>0</v>
      </c>
      <c r="K7266" s="135" t="n">
        <f aca="false">$G7266*'Analyse capacite'!$E$8</f>
        <v>0</v>
      </c>
    </row>
    <row r="7267" customFormat="false" ht="15" hidden="false" customHeight="false" outlineLevel="0" collapsed="false">
      <c r="B7267" s="130" t="n">
        <v>2027</v>
      </c>
      <c r="C7267" s="131" t="s">
        <v>252</v>
      </c>
      <c r="D7267" s="132" t="n">
        <v>46679</v>
      </c>
      <c r="E7267" s="131" t="s">
        <v>53</v>
      </c>
      <c r="F7267" s="133" t="s">
        <v>24</v>
      </c>
      <c r="G7267" s="134" t="n">
        <f aca="false">LEN('Saisie programme'!$E$273)+SUMIFS('Vols additionnels'!$E$7:$E$66,'Vols additionnels'!$C$7:$C$66,$E7267,'Vols additionnels'!$D$7:$D$66,$F7267,'Vols additionnels'!$B$7:$B$66,$D7267)</f>
        <v>0</v>
      </c>
      <c r="H7267" s="135" t="n">
        <f aca="false">$G7267*'Analyse capacite'!$F$9</f>
        <v>0</v>
      </c>
      <c r="I7267" s="135" t="n">
        <f aca="false">$G7267*'Analyse capacite'!$C$9</f>
        <v>0</v>
      </c>
      <c r="J7267" s="135" t="n">
        <f aca="false">$G7267*'Analyse capacite'!$D$9</f>
        <v>0</v>
      </c>
      <c r="K7267" s="135" t="n">
        <f aca="false">$G7267*'Analyse capacite'!$E$9</f>
        <v>0</v>
      </c>
    </row>
    <row r="7268" customFormat="false" ht="15" hidden="false" customHeight="false" outlineLevel="0" collapsed="false">
      <c r="B7268" s="130" t="n">
        <v>2027</v>
      </c>
      <c r="C7268" s="131" t="s">
        <v>252</v>
      </c>
      <c r="D7268" s="132" t="n">
        <v>46679</v>
      </c>
      <c r="E7268" s="131" t="s">
        <v>56</v>
      </c>
      <c r="F7268" s="133" t="s">
        <v>11</v>
      </c>
      <c r="G7268" s="134" t="n">
        <f aca="false">LEN('Saisie programme'!$E$274)+SUMIFS('Vols additionnels'!$E$7:$E$66,'Vols additionnels'!$C$7:$C$66,$E7268,'Vols additionnels'!$D$7:$D$66,$F7268,'Vols additionnels'!$B$7:$B$66,$D7268)</f>
        <v>0</v>
      </c>
      <c r="H7268" s="135" t="n">
        <f aca="false">$G7268*'Analyse capacite'!$F$7</f>
        <v>0</v>
      </c>
      <c r="I7268" s="135" t="n">
        <f aca="false">$G7268*'Analyse capacite'!$C$7</f>
        <v>0</v>
      </c>
      <c r="J7268" s="135" t="n">
        <f aca="false">$G7268*'Analyse capacite'!$D$7</f>
        <v>0</v>
      </c>
      <c r="K7268" s="135" t="n">
        <f aca="false">$G7268*'Analyse capacite'!$E$7</f>
        <v>0</v>
      </c>
    </row>
    <row r="7269" customFormat="false" ht="15" hidden="false" customHeight="false" outlineLevel="0" collapsed="false">
      <c r="B7269" s="130" t="n">
        <v>2027</v>
      </c>
      <c r="C7269" s="131" t="s">
        <v>252</v>
      </c>
      <c r="D7269" s="132" t="n">
        <v>46679</v>
      </c>
      <c r="E7269" s="131" t="s">
        <v>56</v>
      </c>
      <c r="F7269" s="133" t="s">
        <v>19</v>
      </c>
      <c r="G7269" s="134" t="n">
        <f aca="false">LEN('Saisie programme'!$E$275)+SUMIFS('Vols additionnels'!$E$7:$E$66,'Vols additionnels'!$C$7:$C$66,$E7269,'Vols additionnels'!$D$7:$D$66,$F7269,'Vols additionnels'!$B$7:$B$66,$D7269)</f>
        <v>0</v>
      </c>
      <c r="H7269" s="135" t="n">
        <f aca="false">$G7269*'Analyse capacite'!$F$8</f>
        <v>0</v>
      </c>
      <c r="I7269" s="135" t="n">
        <f aca="false">$G7269*'Analyse capacite'!$C$8</f>
        <v>0</v>
      </c>
      <c r="J7269" s="135" t="n">
        <f aca="false">$G7269*'Analyse capacite'!$D$8</f>
        <v>0</v>
      </c>
      <c r="K7269" s="135" t="n">
        <f aca="false">$G7269*'Analyse capacite'!$E$8</f>
        <v>0</v>
      </c>
    </row>
    <row r="7270" customFormat="false" ht="15" hidden="false" customHeight="false" outlineLevel="0" collapsed="false">
      <c r="B7270" s="130" t="n">
        <v>2027</v>
      </c>
      <c r="C7270" s="131" t="s">
        <v>252</v>
      </c>
      <c r="D7270" s="132" t="n">
        <v>46679</v>
      </c>
      <c r="E7270" s="131" t="s">
        <v>56</v>
      </c>
      <c r="F7270" s="133" t="s">
        <v>24</v>
      </c>
      <c r="G7270" s="134" t="n">
        <f aca="false">LEN('Saisie programme'!$E$276)+SUMIFS('Vols additionnels'!$E$7:$E$66,'Vols additionnels'!$C$7:$C$66,$E7270,'Vols additionnels'!$D$7:$D$66,$F7270,'Vols additionnels'!$B$7:$B$66,$D7270)</f>
        <v>1</v>
      </c>
      <c r="H7270" s="135" t="n">
        <f aca="false">$G7270*'Analyse capacite'!$F$9</f>
        <v>174</v>
      </c>
      <c r="I7270" s="135" t="n">
        <f aca="false">$G7270*'Analyse capacite'!$C$9</f>
        <v>0</v>
      </c>
      <c r="J7270" s="135" t="n">
        <f aca="false">$G7270*'Analyse capacite'!$D$9</f>
        <v>12</v>
      </c>
      <c r="K7270" s="135" t="n">
        <f aca="false">$G7270*'Analyse capacite'!$E$9</f>
        <v>162</v>
      </c>
    </row>
    <row r="7271" customFormat="false" ht="15" hidden="false" customHeight="false" outlineLevel="0" collapsed="false">
      <c r="B7271" s="130" t="n">
        <v>2027</v>
      </c>
      <c r="C7271" s="131" t="s">
        <v>252</v>
      </c>
      <c r="D7271" s="132" t="n">
        <v>46679</v>
      </c>
      <c r="E7271" s="131" t="s">
        <v>59</v>
      </c>
      <c r="F7271" s="133" t="s">
        <v>11</v>
      </c>
      <c r="G7271" s="134" t="n">
        <f aca="false">LEN('Saisie programme'!$E$277)+SUMIFS('Vols additionnels'!$E$7:$E$66,'Vols additionnels'!$C$7:$C$66,$E7271,'Vols additionnels'!$D$7:$D$66,$F7271,'Vols additionnels'!$B$7:$B$66,$D7271)</f>
        <v>0</v>
      </c>
      <c r="H7271" s="135" t="n">
        <f aca="false">$G7271*'Analyse capacite'!$F$7</f>
        <v>0</v>
      </c>
      <c r="I7271" s="135" t="n">
        <f aca="false">$G7271*'Analyse capacite'!$C$7</f>
        <v>0</v>
      </c>
      <c r="J7271" s="135" t="n">
        <f aca="false">$G7271*'Analyse capacite'!$D$7</f>
        <v>0</v>
      </c>
      <c r="K7271" s="135" t="n">
        <f aca="false">$G7271*'Analyse capacite'!$E$7</f>
        <v>0</v>
      </c>
    </row>
    <row r="7272" customFormat="false" ht="15" hidden="false" customHeight="false" outlineLevel="0" collapsed="false">
      <c r="B7272" s="130" t="n">
        <v>2027</v>
      </c>
      <c r="C7272" s="131" t="s">
        <v>252</v>
      </c>
      <c r="D7272" s="132" t="n">
        <v>46679</v>
      </c>
      <c r="E7272" s="131" t="s">
        <v>59</v>
      </c>
      <c r="F7272" s="133" t="s">
        <v>19</v>
      </c>
      <c r="G7272" s="134" t="n">
        <f aca="false">LEN('Saisie programme'!$E$278)+SUMIFS('Vols additionnels'!$E$7:$E$66,'Vols additionnels'!$C$7:$C$66,$E7272,'Vols additionnels'!$D$7:$D$66,$F7272,'Vols additionnels'!$B$7:$B$66,$D7272)</f>
        <v>0</v>
      </c>
      <c r="H7272" s="135" t="n">
        <f aca="false">$G7272*'Analyse capacite'!$F$8</f>
        <v>0</v>
      </c>
      <c r="I7272" s="135" t="n">
        <f aca="false">$G7272*'Analyse capacite'!$C$8</f>
        <v>0</v>
      </c>
      <c r="J7272" s="135" t="n">
        <f aca="false">$G7272*'Analyse capacite'!$D$8</f>
        <v>0</v>
      </c>
      <c r="K7272" s="135" t="n">
        <f aca="false">$G7272*'Analyse capacite'!$E$8</f>
        <v>0</v>
      </c>
    </row>
    <row r="7273" customFormat="false" ht="15" hidden="false" customHeight="false" outlineLevel="0" collapsed="false">
      <c r="B7273" s="130" t="n">
        <v>2027</v>
      </c>
      <c r="C7273" s="131" t="s">
        <v>252</v>
      </c>
      <c r="D7273" s="132" t="n">
        <v>46679</v>
      </c>
      <c r="E7273" s="131" t="s">
        <v>59</v>
      </c>
      <c r="F7273" s="133" t="s">
        <v>24</v>
      </c>
      <c r="G7273" s="134" t="n">
        <f aca="false">LEN('Saisie programme'!$E$279)+SUMIFS('Vols additionnels'!$E$7:$E$66,'Vols additionnels'!$C$7:$C$66,$E7273,'Vols additionnels'!$D$7:$D$66,$F7273,'Vols additionnels'!$B$7:$B$66,$D7273)</f>
        <v>1</v>
      </c>
      <c r="H7273" s="135" t="n">
        <f aca="false">$G7273*'Analyse capacite'!$F$9</f>
        <v>174</v>
      </c>
      <c r="I7273" s="135" t="n">
        <f aca="false">$G7273*'Analyse capacite'!$C$9</f>
        <v>0</v>
      </c>
      <c r="J7273" s="135" t="n">
        <f aca="false">$G7273*'Analyse capacite'!$D$9</f>
        <v>12</v>
      </c>
      <c r="K7273" s="135" t="n">
        <f aca="false">$G7273*'Analyse capacite'!$E$9</f>
        <v>162</v>
      </c>
    </row>
    <row r="7274" customFormat="false" ht="15" hidden="false" customHeight="false" outlineLevel="0" collapsed="false">
      <c r="B7274" s="130" t="n">
        <v>2027</v>
      </c>
      <c r="C7274" s="131" t="s">
        <v>252</v>
      </c>
      <c r="D7274" s="132" t="n">
        <v>46679</v>
      </c>
      <c r="E7274" s="131" t="s">
        <v>62</v>
      </c>
      <c r="F7274" s="133" t="s">
        <v>11</v>
      </c>
      <c r="G7274" s="134" t="n">
        <f aca="false">LEN('Saisie programme'!$E$280)+SUMIFS('Vols additionnels'!$E$7:$E$66,'Vols additionnels'!$C$7:$C$66,$E7274,'Vols additionnels'!$D$7:$D$66,$F7274,'Vols additionnels'!$B$7:$B$66,$D7274)</f>
        <v>0</v>
      </c>
      <c r="H7274" s="135" t="n">
        <f aca="false">$G7274*'Analyse capacite'!$F$7</f>
        <v>0</v>
      </c>
      <c r="I7274" s="135" t="n">
        <f aca="false">$G7274*'Analyse capacite'!$C$7</f>
        <v>0</v>
      </c>
      <c r="J7274" s="135" t="n">
        <f aca="false">$G7274*'Analyse capacite'!$D$7</f>
        <v>0</v>
      </c>
      <c r="K7274" s="135" t="n">
        <f aca="false">$G7274*'Analyse capacite'!$E$7</f>
        <v>0</v>
      </c>
    </row>
    <row r="7275" customFormat="false" ht="15" hidden="false" customHeight="false" outlineLevel="0" collapsed="false">
      <c r="B7275" s="130" t="n">
        <v>2027</v>
      </c>
      <c r="C7275" s="131" t="s">
        <v>252</v>
      </c>
      <c r="D7275" s="132" t="n">
        <v>46679</v>
      </c>
      <c r="E7275" s="131" t="s">
        <v>62</v>
      </c>
      <c r="F7275" s="133" t="s">
        <v>19</v>
      </c>
      <c r="G7275" s="134" t="n">
        <f aca="false">LEN('Saisie programme'!$E$281)+SUMIFS('Vols additionnels'!$E$7:$E$66,'Vols additionnels'!$C$7:$C$66,$E7275,'Vols additionnels'!$D$7:$D$66,$F7275,'Vols additionnels'!$B$7:$B$66,$D7275)</f>
        <v>0</v>
      </c>
      <c r="H7275" s="135" t="n">
        <f aca="false">$G7275*'Analyse capacite'!$F$8</f>
        <v>0</v>
      </c>
      <c r="I7275" s="135" t="n">
        <f aca="false">$G7275*'Analyse capacite'!$C$8</f>
        <v>0</v>
      </c>
      <c r="J7275" s="135" t="n">
        <f aca="false">$G7275*'Analyse capacite'!$D$8</f>
        <v>0</v>
      </c>
      <c r="K7275" s="135" t="n">
        <f aca="false">$G7275*'Analyse capacite'!$E$8</f>
        <v>0</v>
      </c>
    </row>
    <row r="7276" customFormat="false" ht="15" hidden="false" customHeight="false" outlineLevel="0" collapsed="false">
      <c r="B7276" s="130" t="n">
        <v>2027</v>
      </c>
      <c r="C7276" s="131" t="s">
        <v>252</v>
      </c>
      <c r="D7276" s="132" t="n">
        <v>46679</v>
      </c>
      <c r="E7276" s="131" t="s">
        <v>62</v>
      </c>
      <c r="F7276" s="133" t="s">
        <v>24</v>
      </c>
      <c r="G7276" s="134" t="n">
        <f aca="false">LEN('Saisie programme'!$E$282)+SUMIFS('Vols additionnels'!$E$7:$E$66,'Vols additionnels'!$C$7:$C$66,$E7276,'Vols additionnels'!$D$7:$D$66,$F7276,'Vols additionnels'!$B$7:$B$66,$D7276)</f>
        <v>0</v>
      </c>
      <c r="H7276" s="135" t="n">
        <f aca="false">$G7276*'Analyse capacite'!$F$9</f>
        <v>0</v>
      </c>
      <c r="I7276" s="135" t="n">
        <f aca="false">$G7276*'Analyse capacite'!$C$9</f>
        <v>0</v>
      </c>
      <c r="J7276" s="135" t="n">
        <f aca="false">$G7276*'Analyse capacite'!$D$9</f>
        <v>0</v>
      </c>
      <c r="K7276" s="135" t="n">
        <f aca="false">$G7276*'Analyse capacite'!$E$9</f>
        <v>0</v>
      </c>
    </row>
    <row r="7277" customFormat="false" ht="15" hidden="false" customHeight="false" outlineLevel="0" collapsed="false">
      <c r="B7277" s="130" t="n">
        <v>2027</v>
      </c>
      <c r="C7277" s="131" t="s">
        <v>252</v>
      </c>
      <c r="D7277" s="132" t="n">
        <v>46680</v>
      </c>
      <c r="E7277" s="131" t="s">
        <v>12</v>
      </c>
      <c r="F7277" s="133" t="s">
        <v>11</v>
      </c>
      <c r="G7277" s="134" t="n">
        <f aca="false">LEN('Saisie programme'!$F$247)+SUMIFS('Vols additionnels'!$E$7:$E$66,'Vols additionnels'!$C$7:$C$66,$E7277,'Vols additionnels'!$D$7:$D$66,$F7277,'Vols additionnels'!$B$7:$B$66,$D7277)</f>
        <v>1</v>
      </c>
      <c r="H7277" s="135" t="n">
        <f aca="false">$G7277*'Analyse capacite'!$F$7</f>
        <v>438</v>
      </c>
      <c r="I7277" s="135" t="n">
        <f aca="false">$G7277*'Analyse capacite'!$C$7</f>
        <v>14</v>
      </c>
      <c r="J7277" s="135" t="n">
        <f aca="false">$G7277*'Analyse capacite'!$D$7</f>
        <v>40</v>
      </c>
      <c r="K7277" s="135" t="n">
        <f aca="false">$G7277*'Analyse capacite'!$E$7</f>
        <v>384</v>
      </c>
    </row>
    <row r="7278" customFormat="false" ht="15" hidden="false" customHeight="false" outlineLevel="0" collapsed="false">
      <c r="B7278" s="130" t="n">
        <v>2027</v>
      </c>
      <c r="C7278" s="131" t="s">
        <v>252</v>
      </c>
      <c r="D7278" s="132" t="n">
        <v>46680</v>
      </c>
      <c r="E7278" s="131" t="s">
        <v>12</v>
      </c>
      <c r="F7278" s="133" t="s">
        <v>19</v>
      </c>
      <c r="G7278" s="134" t="n">
        <f aca="false">LEN('Saisie programme'!$F$248)+SUMIFS('Vols additionnels'!$E$7:$E$66,'Vols additionnels'!$C$7:$C$66,$E7278,'Vols additionnels'!$D$7:$D$66,$F7278,'Vols additionnels'!$B$7:$B$66,$D7278)</f>
        <v>0</v>
      </c>
      <c r="H7278" s="135" t="n">
        <f aca="false">$G7278*'Analyse capacite'!$F$8</f>
        <v>0</v>
      </c>
      <c r="I7278" s="135" t="n">
        <f aca="false">$G7278*'Analyse capacite'!$C$8</f>
        <v>0</v>
      </c>
      <c r="J7278" s="135" t="n">
        <f aca="false">$G7278*'Analyse capacite'!$D$8</f>
        <v>0</v>
      </c>
      <c r="K7278" s="135" t="n">
        <f aca="false">$G7278*'Analyse capacite'!$E$8</f>
        <v>0</v>
      </c>
    </row>
    <row r="7279" customFormat="false" ht="15" hidden="false" customHeight="false" outlineLevel="0" collapsed="false">
      <c r="B7279" s="130" t="n">
        <v>2027</v>
      </c>
      <c r="C7279" s="131" t="s">
        <v>252</v>
      </c>
      <c r="D7279" s="132" t="n">
        <v>46680</v>
      </c>
      <c r="E7279" s="131" t="s">
        <v>12</v>
      </c>
      <c r="F7279" s="133" t="s">
        <v>24</v>
      </c>
      <c r="G7279" s="134" t="n">
        <f aca="false">LEN('Saisie programme'!$F$249)+SUMIFS('Vols additionnels'!$E$7:$E$66,'Vols additionnels'!$C$7:$C$66,$E7279,'Vols additionnels'!$D$7:$D$66,$F7279,'Vols additionnels'!$B$7:$B$66,$D7279)</f>
        <v>0</v>
      </c>
      <c r="H7279" s="135" t="n">
        <f aca="false">$G7279*'Analyse capacite'!$F$9</f>
        <v>0</v>
      </c>
      <c r="I7279" s="135" t="n">
        <f aca="false">$G7279*'Analyse capacite'!$C$9</f>
        <v>0</v>
      </c>
      <c r="J7279" s="135" t="n">
        <f aca="false">$G7279*'Analyse capacite'!$D$9</f>
        <v>0</v>
      </c>
      <c r="K7279" s="135" t="n">
        <f aca="false">$G7279*'Analyse capacite'!$E$9</f>
        <v>0</v>
      </c>
    </row>
    <row r="7280" customFormat="false" ht="15" hidden="false" customHeight="false" outlineLevel="0" collapsed="false">
      <c r="B7280" s="130" t="n">
        <v>2027</v>
      </c>
      <c r="C7280" s="131" t="s">
        <v>252</v>
      </c>
      <c r="D7280" s="132" t="n">
        <v>46680</v>
      </c>
      <c r="E7280" s="131" t="s">
        <v>20</v>
      </c>
      <c r="F7280" s="133" t="s">
        <v>11</v>
      </c>
      <c r="G7280" s="134" t="n">
        <f aca="false">LEN('Saisie programme'!$F$250)+SUMIFS('Vols additionnels'!$E$7:$E$66,'Vols additionnels'!$C$7:$C$66,$E7280,'Vols additionnels'!$D$7:$D$66,$F7280,'Vols additionnels'!$B$7:$B$66,$D7280)</f>
        <v>0</v>
      </c>
      <c r="H7280" s="135" t="n">
        <f aca="false">$G7280*'Analyse capacite'!$F$7</f>
        <v>0</v>
      </c>
      <c r="I7280" s="135" t="n">
        <f aca="false">$G7280*'Analyse capacite'!$C$7</f>
        <v>0</v>
      </c>
      <c r="J7280" s="135" t="n">
        <f aca="false">$G7280*'Analyse capacite'!$D$7</f>
        <v>0</v>
      </c>
      <c r="K7280" s="135" t="n">
        <f aca="false">$G7280*'Analyse capacite'!$E$7</f>
        <v>0</v>
      </c>
    </row>
    <row r="7281" customFormat="false" ht="15" hidden="false" customHeight="false" outlineLevel="0" collapsed="false">
      <c r="B7281" s="130" t="n">
        <v>2027</v>
      </c>
      <c r="C7281" s="131" t="s">
        <v>252</v>
      </c>
      <c r="D7281" s="132" t="n">
        <v>46680</v>
      </c>
      <c r="E7281" s="131" t="s">
        <v>20</v>
      </c>
      <c r="F7281" s="133" t="s">
        <v>19</v>
      </c>
      <c r="G7281" s="134" t="n">
        <f aca="false">LEN('Saisie programme'!$F$251)+SUMIFS('Vols additionnels'!$E$7:$E$66,'Vols additionnels'!$C$7:$C$66,$E7281,'Vols additionnels'!$D$7:$D$66,$F7281,'Vols additionnels'!$B$7:$B$66,$D7281)</f>
        <v>0</v>
      </c>
      <c r="H7281" s="135" t="n">
        <f aca="false">$G7281*'Analyse capacite'!$F$8</f>
        <v>0</v>
      </c>
      <c r="I7281" s="135" t="n">
        <f aca="false">$G7281*'Analyse capacite'!$C$8</f>
        <v>0</v>
      </c>
      <c r="J7281" s="135" t="n">
        <f aca="false">$G7281*'Analyse capacite'!$D$8</f>
        <v>0</v>
      </c>
      <c r="K7281" s="135" t="n">
        <f aca="false">$G7281*'Analyse capacite'!$E$8</f>
        <v>0</v>
      </c>
    </row>
    <row r="7282" customFormat="false" ht="15" hidden="false" customHeight="false" outlineLevel="0" collapsed="false">
      <c r="B7282" s="130" t="n">
        <v>2027</v>
      </c>
      <c r="C7282" s="131" t="s">
        <v>252</v>
      </c>
      <c r="D7282" s="132" t="n">
        <v>46680</v>
      </c>
      <c r="E7282" s="131" t="s">
        <v>20</v>
      </c>
      <c r="F7282" s="133" t="s">
        <v>24</v>
      </c>
      <c r="G7282" s="134" t="n">
        <f aca="false">LEN('Saisie programme'!$F$252)+SUMIFS('Vols additionnels'!$E$7:$E$66,'Vols additionnels'!$C$7:$C$66,$E7282,'Vols additionnels'!$D$7:$D$66,$F7282,'Vols additionnels'!$B$7:$B$66,$D7282)</f>
        <v>0</v>
      </c>
      <c r="H7282" s="135" t="n">
        <f aca="false">$G7282*'Analyse capacite'!$F$9</f>
        <v>0</v>
      </c>
      <c r="I7282" s="135" t="n">
        <f aca="false">$G7282*'Analyse capacite'!$C$9</f>
        <v>0</v>
      </c>
      <c r="J7282" s="135" t="n">
        <f aca="false">$G7282*'Analyse capacite'!$D$9</f>
        <v>0</v>
      </c>
      <c r="K7282" s="135" t="n">
        <f aca="false">$G7282*'Analyse capacite'!$E$9</f>
        <v>0</v>
      </c>
    </row>
    <row r="7283" customFormat="false" ht="15" hidden="false" customHeight="false" outlineLevel="0" collapsed="false">
      <c r="B7283" s="130" t="n">
        <v>2027</v>
      </c>
      <c r="C7283" s="131" t="s">
        <v>252</v>
      </c>
      <c r="D7283" s="132" t="n">
        <v>46680</v>
      </c>
      <c r="E7283" s="131" t="s">
        <v>25</v>
      </c>
      <c r="F7283" s="133" t="s">
        <v>11</v>
      </c>
      <c r="G7283" s="134" t="n">
        <f aca="false">LEN('Saisie programme'!$F$253)+SUMIFS('Vols additionnels'!$E$7:$E$66,'Vols additionnels'!$C$7:$C$66,$E7283,'Vols additionnels'!$D$7:$D$66,$F7283,'Vols additionnels'!$B$7:$B$66,$D7283)</f>
        <v>0</v>
      </c>
      <c r="H7283" s="135" t="n">
        <f aca="false">$G7283*'Analyse capacite'!$F$7</f>
        <v>0</v>
      </c>
      <c r="I7283" s="135" t="n">
        <f aca="false">$G7283*'Analyse capacite'!$C$7</f>
        <v>0</v>
      </c>
      <c r="J7283" s="135" t="n">
        <f aca="false">$G7283*'Analyse capacite'!$D$7</f>
        <v>0</v>
      </c>
      <c r="K7283" s="135" t="n">
        <f aca="false">$G7283*'Analyse capacite'!$E$7</f>
        <v>0</v>
      </c>
    </row>
    <row r="7284" customFormat="false" ht="15" hidden="false" customHeight="false" outlineLevel="0" collapsed="false">
      <c r="B7284" s="130" t="n">
        <v>2027</v>
      </c>
      <c r="C7284" s="131" t="s">
        <v>252</v>
      </c>
      <c r="D7284" s="132" t="n">
        <v>46680</v>
      </c>
      <c r="E7284" s="131" t="s">
        <v>25</v>
      </c>
      <c r="F7284" s="133" t="s">
        <v>19</v>
      </c>
      <c r="G7284" s="134" t="n">
        <f aca="false">LEN('Saisie programme'!$F$254)+SUMIFS('Vols additionnels'!$E$7:$E$66,'Vols additionnels'!$C$7:$C$66,$E7284,'Vols additionnels'!$D$7:$D$66,$F7284,'Vols additionnels'!$B$7:$B$66,$D7284)</f>
        <v>1</v>
      </c>
      <c r="H7284" s="135" t="n">
        <f aca="false">$G7284*'Analyse capacite'!$F$8</f>
        <v>262</v>
      </c>
      <c r="I7284" s="135" t="n">
        <f aca="false">$G7284*'Analyse capacite'!$C$8</f>
        <v>18</v>
      </c>
      <c r="J7284" s="135" t="n">
        <f aca="false">$G7284*'Analyse capacite'!$D$8</f>
        <v>0</v>
      </c>
      <c r="K7284" s="135" t="n">
        <f aca="false">$G7284*'Analyse capacite'!$E$8</f>
        <v>244</v>
      </c>
    </row>
    <row r="7285" customFormat="false" ht="15" hidden="false" customHeight="false" outlineLevel="0" collapsed="false">
      <c r="B7285" s="130" t="n">
        <v>2027</v>
      </c>
      <c r="C7285" s="131" t="s">
        <v>252</v>
      </c>
      <c r="D7285" s="132" t="n">
        <v>46680</v>
      </c>
      <c r="E7285" s="131" t="s">
        <v>25</v>
      </c>
      <c r="F7285" s="133" t="s">
        <v>24</v>
      </c>
      <c r="G7285" s="134" t="n">
        <f aca="false">LEN('Saisie programme'!$F$255)+SUMIFS('Vols additionnels'!$E$7:$E$66,'Vols additionnels'!$C$7:$C$66,$E7285,'Vols additionnels'!$D$7:$D$66,$F7285,'Vols additionnels'!$B$7:$B$66,$D7285)</f>
        <v>0</v>
      </c>
      <c r="H7285" s="135" t="n">
        <f aca="false">$G7285*'Analyse capacite'!$F$9</f>
        <v>0</v>
      </c>
      <c r="I7285" s="135" t="n">
        <f aca="false">$G7285*'Analyse capacite'!$C$9</f>
        <v>0</v>
      </c>
      <c r="J7285" s="135" t="n">
        <f aca="false">$G7285*'Analyse capacite'!$D$9</f>
        <v>0</v>
      </c>
      <c r="K7285" s="135" t="n">
        <f aca="false">$G7285*'Analyse capacite'!$E$9</f>
        <v>0</v>
      </c>
    </row>
    <row r="7286" customFormat="false" ht="15" hidden="false" customHeight="false" outlineLevel="0" collapsed="false">
      <c r="B7286" s="130" t="n">
        <v>2027</v>
      </c>
      <c r="C7286" s="131" t="s">
        <v>252</v>
      </c>
      <c r="D7286" s="132" t="n">
        <v>46680</v>
      </c>
      <c r="E7286" s="131" t="s">
        <v>36</v>
      </c>
      <c r="F7286" s="133" t="s">
        <v>11</v>
      </c>
      <c r="G7286" s="134" t="n">
        <f aca="false">LEN('Saisie programme'!$F$256)+SUMIFS('Vols additionnels'!$E$7:$E$66,'Vols additionnels'!$C$7:$C$66,$E7286,'Vols additionnels'!$D$7:$D$66,$F7286,'Vols additionnels'!$B$7:$B$66,$D7286)</f>
        <v>0</v>
      </c>
      <c r="H7286" s="135" t="n">
        <f aca="false">$G7286*'Analyse capacite'!$F$7</f>
        <v>0</v>
      </c>
      <c r="I7286" s="135" t="n">
        <f aca="false">$G7286*'Analyse capacite'!$C$7</f>
        <v>0</v>
      </c>
      <c r="J7286" s="135" t="n">
        <f aca="false">$G7286*'Analyse capacite'!$D$7</f>
        <v>0</v>
      </c>
      <c r="K7286" s="135" t="n">
        <f aca="false">$G7286*'Analyse capacite'!$E$7</f>
        <v>0</v>
      </c>
    </row>
    <row r="7287" customFormat="false" ht="15" hidden="false" customHeight="false" outlineLevel="0" collapsed="false">
      <c r="B7287" s="130" t="n">
        <v>2027</v>
      </c>
      <c r="C7287" s="131" t="s">
        <v>252</v>
      </c>
      <c r="D7287" s="132" t="n">
        <v>46680</v>
      </c>
      <c r="E7287" s="131" t="s">
        <v>36</v>
      </c>
      <c r="F7287" s="133" t="s">
        <v>19</v>
      </c>
      <c r="G7287" s="134" t="n">
        <f aca="false">LEN('Saisie programme'!$F$257)+SUMIFS('Vols additionnels'!$E$7:$E$66,'Vols additionnels'!$C$7:$C$66,$E7287,'Vols additionnels'!$D$7:$D$66,$F7287,'Vols additionnels'!$B$7:$B$66,$D7287)</f>
        <v>1</v>
      </c>
      <c r="H7287" s="135" t="n">
        <f aca="false">$G7287*'Analyse capacite'!$F$8</f>
        <v>262</v>
      </c>
      <c r="I7287" s="135" t="n">
        <f aca="false">$G7287*'Analyse capacite'!$C$8</f>
        <v>18</v>
      </c>
      <c r="J7287" s="135" t="n">
        <f aca="false">$G7287*'Analyse capacite'!$D$8</f>
        <v>0</v>
      </c>
      <c r="K7287" s="135" t="n">
        <f aca="false">$G7287*'Analyse capacite'!$E$8</f>
        <v>244</v>
      </c>
    </row>
    <row r="7288" customFormat="false" ht="15" hidden="false" customHeight="false" outlineLevel="0" collapsed="false">
      <c r="B7288" s="130" t="n">
        <v>2027</v>
      </c>
      <c r="C7288" s="131" t="s">
        <v>252</v>
      </c>
      <c r="D7288" s="132" t="n">
        <v>46680</v>
      </c>
      <c r="E7288" s="131" t="s">
        <v>36</v>
      </c>
      <c r="F7288" s="133" t="s">
        <v>24</v>
      </c>
      <c r="G7288" s="134" t="n">
        <f aca="false">LEN('Saisie programme'!$F$258)+SUMIFS('Vols additionnels'!$E$7:$E$66,'Vols additionnels'!$C$7:$C$66,$E7288,'Vols additionnels'!$D$7:$D$66,$F7288,'Vols additionnels'!$B$7:$B$66,$D7288)</f>
        <v>1</v>
      </c>
      <c r="H7288" s="135" t="n">
        <f aca="false">$G7288*'Analyse capacite'!$F$9</f>
        <v>174</v>
      </c>
      <c r="I7288" s="135" t="n">
        <f aca="false">$G7288*'Analyse capacite'!$C$9</f>
        <v>0</v>
      </c>
      <c r="J7288" s="135" t="n">
        <f aca="false">$G7288*'Analyse capacite'!$D$9</f>
        <v>12</v>
      </c>
      <c r="K7288" s="135" t="n">
        <f aca="false">$G7288*'Analyse capacite'!$E$9</f>
        <v>162</v>
      </c>
    </row>
    <row r="7289" customFormat="false" ht="15" hidden="false" customHeight="false" outlineLevel="0" collapsed="false">
      <c r="B7289" s="130" t="n">
        <v>2027</v>
      </c>
      <c r="C7289" s="131" t="s">
        <v>252</v>
      </c>
      <c r="D7289" s="132" t="n">
        <v>46680</v>
      </c>
      <c r="E7289" s="131" t="s">
        <v>40</v>
      </c>
      <c r="F7289" s="133" t="s">
        <v>11</v>
      </c>
      <c r="G7289" s="134" t="n">
        <f aca="false">LEN('Saisie programme'!$F$259)+SUMIFS('Vols additionnels'!$E$7:$E$66,'Vols additionnels'!$C$7:$C$66,$E7289,'Vols additionnels'!$D$7:$D$66,$F7289,'Vols additionnels'!$B$7:$B$66,$D7289)</f>
        <v>0</v>
      </c>
      <c r="H7289" s="135" t="n">
        <f aca="false">$G7289*'Analyse capacite'!$F$7</f>
        <v>0</v>
      </c>
      <c r="I7289" s="135" t="n">
        <f aca="false">$G7289*'Analyse capacite'!$C$7</f>
        <v>0</v>
      </c>
      <c r="J7289" s="135" t="n">
        <f aca="false">$G7289*'Analyse capacite'!$D$7</f>
        <v>0</v>
      </c>
      <c r="K7289" s="135" t="n">
        <f aca="false">$G7289*'Analyse capacite'!$E$7</f>
        <v>0</v>
      </c>
    </row>
    <row r="7290" customFormat="false" ht="15" hidden="false" customHeight="false" outlineLevel="0" collapsed="false">
      <c r="B7290" s="130" t="n">
        <v>2027</v>
      </c>
      <c r="C7290" s="131" t="s">
        <v>252</v>
      </c>
      <c r="D7290" s="132" t="n">
        <v>46680</v>
      </c>
      <c r="E7290" s="131" t="s">
        <v>40</v>
      </c>
      <c r="F7290" s="133" t="s">
        <v>19</v>
      </c>
      <c r="G7290" s="134" t="n">
        <f aca="false">LEN('Saisie programme'!$F$260)+SUMIFS('Vols additionnels'!$E$7:$E$66,'Vols additionnels'!$C$7:$C$66,$E7290,'Vols additionnels'!$D$7:$D$66,$F7290,'Vols additionnels'!$B$7:$B$66,$D7290)</f>
        <v>0</v>
      </c>
      <c r="H7290" s="135" t="n">
        <f aca="false">$G7290*'Analyse capacite'!$F$8</f>
        <v>0</v>
      </c>
      <c r="I7290" s="135" t="n">
        <f aca="false">$G7290*'Analyse capacite'!$C$8</f>
        <v>0</v>
      </c>
      <c r="J7290" s="135" t="n">
        <f aca="false">$G7290*'Analyse capacite'!$D$8</f>
        <v>0</v>
      </c>
      <c r="K7290" s="135" t="n">
        <f aca="false">$G7290*'Analyse capacite'!$E$8</f>
        <v>0</v>
      </c>
    </row>
    <row r="7291" customFormat="false" ht="15" hidden="false" customHeight="false" outlineLevel="0" collapsed="false">
      <c r="B7291" s="130" t="n">
        <v>2027</v>
      </c>
      <c r="C7291" s="131" t="s">
        <v>252</v>
      </c>
      <c r="D7291" s="132" t="n">
        <v>46680</v>
      </c>
      <c r="E7291" s="131" t="s">
        <v>40</v>
      </c>
      <c r="F7291" s="133" t="s">
        <v>24</v>
      </c>
      <c r="G7291" s="134" t="n">
        <f aca="false">LEN('Saisie programme'!$F$261)+SUMIFS('Vols additionnels'!$E$7:$E$66,'Vols additionnels'!$C$7:$C$66,$E7291,'Vols additionnels'!$D$7:$D$66,$F7291,'Vols additionnels'!$B$7:$B$66,$D7291)</f>
        <v>1</v>
      </c>
      <c r="H7291" s="135" t="n">
        <f aca="false">$G7291*'Analyse capacite'!$F$9</f>
        <v>174</v>
      </c>
      <c r="I7291" s="135" t="n">
        <f aca="false">$G7291*'Analyse capacite'!$C$9</f>
        <v>0</v>
      </c>
      <c r="J7291" s="135" t="n">
        <f aca="false">$G7291*'Analyse capacite'!$D$9</f>
        <v>12</v>
      </c>
      <c r="K7291" s="135" t="n">
        <f aca="false">$G7291*'Analyse capacite'!$E$9</f>
        <v>162</v>
      </c>
    </row>
    <row r="7292" customFormat="false" ht="15" hidden="false" customHeight="false" outlineLevel="0" collapsed="false">
      <c r="B7292" s="130" t="n">
        <v>2027</v>
      </c>
      <c r="C7292" s="131" t="s">
        <v>252</v>
      </c>
      <c r="D7292" s="132" t="n">
        <v>46680</v>
      </c>
      <c r="E7292" s="131" t="s">
        <v>14</v>
      </c>
      <c r="F7292" s="133" t="s">
        <v>11</v>
      </c>
      <c r="G7292" s="134" t="n">
        <f aca="false">LEN('Saisie programme'!$F$262)+SUMIFS('Vols additionnels'!$E$7:$E$66,'Vols additionnels'!$C$7:$C$66,$E7292,'Vols additionnels'!$D$7:$D$66,$F7292,'Vols additionnels'!$B$7:$B$66,$D7292)</f>
        <v>0</v>
      </c>
      <c r="H7292" s="135" t="n">
        <f aca="false">$G7292*'Analyse capacite'!$F$7</f>
        <v>0</v>
      </c>
      <c r="I7292" s="135" t="n">
        <f aca="false">$G7292*'Analyse capacite'!$C$7</f>
        <v>0</v>
      </c>
      <c r="J7292" s="135" t="n">
        <f aca="false">$G7292*'Analyse capacite'!$D$7</f>
        <v>0</v>
      </c>
      <c r="K7292" s="135" t="n">
        <f aca="false">$G7292*'Analyse capacite'!$E$7</f>
        <v>0</v>
      </c>
    </row>
    <row r="7293" customFormat="false" ht="15" hidden="false" customHeight="false" outlineLevel="0" collapsed="false">
      <c r="B7293" s="130" t="n">
        <v>2027</v>
      </c>
      <c r="C7293" s="131" t="s">
        <v>252</v>
      </c>
      <c r="D7293" s="132" t="n">
        <v>46680</v>
      </c>
      <c r="E7293" s="131" t="s">
        <v>14</v>
      </c>
      <c r="F7293" s="133" t="s">
        <v>19</v>
      </c>
      <c r="G7293" s="134" t="n">
        <f aca="false">LEN('Saisie programme'!$F$263)+SUMIFS('Vols additionnels'!$E$7:$E$66,'Vols additionnels'!$C$7:$C$66,$E7293,'Vols additionnels'!$D$7:$D$66,$F7293,'Vols additionnels'!$B$7:$B$66,$D7293)</f>
        <v>0</v>
      </c>
      <c r="H7293" s="135" t="n">
        <f aca="false">$G7293*'Analyse capacite'!$F$8</f>
        <v>0</v>
      </c>
      <c r="I7293" s="135" t="n">
        <f aca="false">$G7293*'Analyse capacite'!$C$8</f>
        <v>0</v>
      </c>
      <c r="J7293" s="135" t="n">
        <f aca="false">$G7293*'Analyse capacite'!$D$8</f>
        <v>0</v>
      </c>
      <c r="K7293" s="135" t="n">
        <f aca="false">$G7293*'Analyse capacite'!$E$8</f>
        <v>0</v>
      </c>
    </row>
    <row r="7294" customFormat="false" ht="15" hidden="false" customHeight="false" outlineLevel="0" collapsed="false">
      <c r="B7294" s="130" t="n">
        <v>2027</v>
      </c>
      <c r="C7294" s="131" t="s">
        <v>252</v>
      </c>
      <c r="D7294" s="132" t="n">
        <v>46680</v>
      </c>
      <c r="E7294" s="131" t="s">
        <v>14</v>
      </c>
      <c r="F7294" s="133" t="s">
        <v>24</v>
      </c>
      <c r="G7294" s="134" t="n">
        <f aca="false">LEN('Saisie programme'!$F$264)+SUMIFS('Vols additionnels'!$E$7:$E$66,'Vols additionnels'!$C$7:$C$66,$E7294,'Vols additionnels'!$D$7:$D$66,$F7294,'Vols additionnels'!$B$7:$B$66,$D7294)</f>
        <v>0</v>
      </c>
      <c r="H7294" s="135" t="n">
        <f aca="false">$G7294*'Analyse capacite'!$F$9</f>
        <v>0</v>
      </c>
      <c r="I7294" s="135" t="n">
        <f aca="false">$G7294*'Analyse capacite'!$C$9</f>
        <v>0</v>
      </c>
      <c r="J7294" s="135" t="n">
        <f aca="false">$G7294*'Analyse capacite'!$D$9</f>
        <v>0</v>
      </c>
      <c r="K7294" s="135" t="n">
        <f aca="false">$G7294*'Analyse capacite'!$E$9</f>
        <v>0</v>
      </c>
    </row>
    <row r="7295" customFormat="false" ht="15" hidden="false" customHeight="false" outlineLevel="0" collapsed="false">
      <c r="B7295" s="130" t="n">
        <v>2027</v>
      </c>
      <c r="C7295" s="131" t="s">
        <v>252</v>
      </c>
      <c r="D7295" s="132" t="n">
        <v>46680</v>
      </c>
      <c r="E7295" s="131" t="s">
        <v>46</v>
      </c>
      <c r="F7295" s="133" t="s">
        <v>11</v>
      </c>
      <c r="G7295" s="134" t="n">
        <f aca="false">LEN('Saisie programme'!$F$265)+SUMIFS('Vols additionnels'!$E$7:$E$66,'Vols additionnels'!$C$7:$C$66,$E7295,'Vols additionnels'!$D$7:$D$66,$F7295,'Vols additionnels'!$B$7:$B$66,$D7295)</f>
        <v>0</v>
      </c>
      <c r="H7295" s="135" t="n">
        <f aca="false">$G7295*'Analyse capacite'!$F$7</f>
        <v>0</v>
      </c>
      <c r="I7295" s="135" t="n">
        <f aca="false">$G7295*'Analyse capacite'!$C$7</f>
        <v>0</v>
      </c>
      <c r="J7295" s="135" t="n">
        <f aca="false">$G7295*'Analyse capacite'!$D$7</f>
        <v>0</v>
      </c>
      <c r="K7295" s="135" t="n">
        <f aca="false">$G7295*'Analyse capacite'!$E$7</f>
        <v>0</v>
      </c>
    </row>
    <row r="7296" customFormat="false" ht="15" hidden="false" customHeight="false" outlineLevel="0" collapsed="false">
      <c r="B7296" s="130" t="n">
        <v>2027</v>
      </c>
      <c r="C7296" s="131" t="s">
        <v>252</v>
      </c>
      <c r="D7296" s="132" t="n">
        <v>46680</v>
      </c>
      <c r="E7296" s="131" t="s">
        <v>46</v>
      </c>
      <c r="F7296" s="133" t="s">
        <v>19</v>
      </c>
      <c r="G7296" s="134" t="n">
        <f aca="false">LEN('Saisie programme'!$F$266)+SUMIFS('Vols additionnels'!$E$7:$E$66,'Vols additionnels'!$C$7:$C$66,$E7296,'Vols additionnels'!$D$7:$D$66,$F7296,'Vols additionnels'!$B$7:$B$66,$D7296)</f>
        <v>0</v>
      </c>
      <c r="H7296" s="135" t="n">
        <f aca="false">$G7296*'Analyse capacite'!$F$8</f>
        <v>0</v>
      </c>
      <c r="I7296" s="135" t="n">
        <f aca="false">$G7296*'Analyse capacite'!$C$8</f>
        <v>0</v>
      </c>
      <c r="J7296" s="135" t="n">
        <f aca="false">$G7296*'Analyse capacite'!$D$8</f>
        <v>0</v>
      </c>
      <c r="K7296" s="135" t="n">
        <f aca="false">$G7296*'Analyse capacite'!$E$8</f>
        <v>0</v>
      </c>
    </row>
    <row r="7297" customFormat="false" ht="15" hidden="false" customHeight="false" outlineLevel="0" collapsed="false">
      <c r="B7297" s="130" t="n">
        <v>2027</v>
      </c>
      <c r="C7297" s="131" t="s">
        <v>252</v>
      </c>
      <c r="D7297" s="132" t="n">
        <v>46680</v>
      </c>
      <c r="E7297" s="131" t="s">
        <v>46</v>
      </c>
      <c r="F7297" s="133" t="s">
        <v>24</v>
      </c>
      <c r="G7297" s="134" t="n">
        <f aca="false">LEN('Saisie programme'!$F$267)+SUMIFS('Vols additionnels'!$E$7:$E$66,'Vols additionnels'!$C$7:$C$66,$E7297,'Vols additionnels'!$D$7:$D$66,$F7297,'Vols additionnels'!$B$7:$B$66,$D7297)</f>
        <v>0</v>
      </c>
      <c r="H7297" s="135" t="n">
        <f aca="false">$G7297*'Analyse capacite'!$F$9</f>
        <v>0</v>
      </c>
      <c r="I7297" s="135" t="n">
        <f aca="false">$G7297*'Analyse capacite'!$C$9</f>
        <v>0</v>
      </c>
      <c r="J7297" s="135" t="n">
        <f aca="false">$G7297*'Analyse capacite'!$D$9</f>
        <v>0</v>
      </c>
      <c r="K7297" s="135" t="n">
        <f aca="false">$G7297*'Analyse capacite'!$E$9</f>
        <v>0</v>
      </c>
    </row>
    <row r="7298" customFormat="false" ht="15" hidden="false" customHeight="false" outlineLevel="0" collapsed="false">
      <c r="B7298" s="130" t="n">
        <v>2027</v>
      </c>
      <c r="C7298" s="131" t="s">
        <v>252</v>
      </c>
      <c r="D7298" s="132" t="n">
        <v>46680</v>
      </c>
      <c r="E7298" s="131" t="s">
        <v>49</v>
      </c>
      <c r="F7298" s="133" t="s">
        <v>11</v>
      </c>
      <c r="G7298" s="134" t="n">
        <f aca="false">LEN('Saisie programme'!$F$268)+SUMIFS('Vols additionnels'!$E$7:$E$66,'Vols additionnels'!$C$7:$C$66,$E7298,'Vols additionnels'!$D$7:$D$66,$F7298,'Vols additionnels'!$B$7:$B$66,$D7298)</f>
        <v>0</v>
      </c>
      <c r="H7298" s="135" t="n">
        <f aca="false">$G7298*'Analyse capacite'!$F$7</f>
        <v>0</v>
      </c>
      <c r="I7298" s="135" t="n">
        <f aca="false">$G7298*'Analyse capacite'!$C$7</f>
        <v>0</v>
      </c>
      <c r="J7298" s="135" t="n">
        <f aca="false">$G7298*'Analyse capacite'!$D$7</f>
        <v>0</v>
      </c>
      <c r="K7298" s="135" t="n">
        <f aca="false">$G7298*'Analyse capacite'!$E$7</f>
        <v>0</v>
      </c>
    </row>
    <row r="7299" customFormat="false" ht="15" hidden="false" customHeight="false" outlineLevel="0" collapsed="false">
      <c r="B7299" s="130" t="n">
        <v>2027</v>
      </c>
      <c r="C7299" s="131" t="s">
        <v>252</v>
      </c>
      <c r="D7299" s="132" t="n">
        <v>46680</v>
      </c>
      <c r="E7299" s="131" t="s">
        <v>49</v>
      </c>
      <c r="F7299" s="133" t="s">
        <v>19</v>
      </c>
      <c r="G7299" s="134" t="n">
        <f aca="false">LEN('Saisie programme'!$F$269)+SUMIFS('Vols additionnels'!$E$7:$E$66,'Vols additionnels'!$C$7:$C$66,$E7299,'Vols additionnels'!$D$7:$D$66,$F7299,'Vols additionnels'!$B$7:$B$66,$D7299)</f>
        <v>0</v>
      </c>
      <c r="H7299" s="135" t="n">
        <f aca="false">$G7299*'Analyse capacite'!$F$8</f>
        <v>0</v>
      </c>
      <c r="I7299" s="135" t="n">
        <f aca="false">$G7299*'Analyse capacite'!$C$8</f>
        <v>0</v>
      </c>
      <c r="J7299" s="135" t="n">
        <f aca="false">$G7299*'Analyse capacite'!$D$8</f>
        <v>0</v>
      </c>
      <c r="K7299" s="135" t="n">
        <f aca="false">$G7299*'Analyse capacite'!$E$8</f>
        <v>0</v>
      </c>
    </row>
    <row r="7300" customFormat="false" ht="15" hidden="false" customHeight="false" outlineLevel="0" collapsed="false">
      <c r="B7300" s="130" t="n">
        <v>2027</v>
      </c>
      <c r="C7300" s="131" t="s">
        <v>252</v>
      </c>
      <c r="D7300" s="132" t="n">
        <v>46680</v>
      </c>
      <c r="E7300" s="131" t="s">
        <v>49</v>
      </c>
      <c r="F7300" s="133" t="s">
        <v>24</v>
      </c>
      <c r="G7300" s="134" t="n">
        <f aca="false">LEN('Saisie programme'!$F$270)+SUMIFS('Vols additionnels'!$E$7:$E$66,'Vols additionnels'!$C$7:$C$66,$E7300,'Vols additionnels'!$D$7:$D$66,$F7300,'Vols additionnels'!$B$7:$B$66,$D7300)</f>
        <v>0</v>
      </c>
      <c r="H7300" s="135" t="n">
        <f aca="false">$G7300*'Analyse capacite'!$F$9</f>
        <v>0</v>
      </c>
      <c r="I7300" s="135" t="n">
        <f aca="false">$G7300*'Analyse capacite'!$C$9</f>
        <v>0</v>
      </c>
      <c r="J7300" s="135" t="n">
        <f aca="false">$G7300*'Analyse capacite'!$D$9</f>
        <v>0</v>
      </c>
      <c r="K7300" s="135" t="n">
        <f aca="false">$G7300*'Analyse capacite'!$E$9</f>
        <v>0</v>
      </c>
    </row>
    <row r="7301" customFormat="false" ht="15" hidden="false" customHeight="false" outlineLevel="0" collapsed="false">
      <c r="B7301" s="130" t="n">
        <v>2027</v>
      </c>
      <c r="C7301" s="131" t="s">
        <v>252</v>
      </c>
      <c r="D7301" s="132" t="n">
        <v>46680</v>
      </c>
      <c r="E7301" s="131" t="s">
        <v>53</v>
      </c>
      <c r="F7301" s="133" t="s">
        <v>11</v>
      </c>
      <c r="G7301" s="134" t="n">
        <f aca="false">LEN('Saisie programme'!$F$271)+SUMIFS('Vols additionnels'!$E$7:$E$66,'Vols additionnels'!$C$7:$C$66,$E7301,'Vols additionnels'!$D$7:$D$66,$F7301,'Vols additionnels'!$B$7:$B$66,$D7301)</f>
        <v>0</v>
      </c>
      <c r="H7301" s="135" t="n">
        <f aca="false">$G7301*'Analyse capacite'!$F$7</f>
        <v>0</v>
      </c>
      <c r="I7301" s="135" t="n">
        <f aca="false">$G7301*'Analyse capacite'!$C$7</f>
        <v>0</v>
      </c>
      <c r="J7301" s="135" t="n">
        <f aca="false">$G7301*'Analyse capacite'!$D$7</f>
        <v>0</v>
      </c>
      <c r="K7301" s="135" t="n">
        <f aca="false">$G7301*'Analyse capacite'!$E$7</f>
        <v>0</v>
      </c>
    </row>
    <row r="7302" customFormat="false" ht="15" hidden="false" customHeight="false" outlineLevel="0" collapsed="false">
      <c r="B7302" s="130" t="n">
        <v>2027</v>
      </c>
      <c r="C7302" s="131" t="s">
        <v>252</v>
      </c>
      <c r="D7302" s="132" t="n">
        <v>46680</v>
      </c>
      <c r="E7302" s="131" t="s">
        <v>53</v>
      </c>
      <c r="F7302" s="133" t="s">
        <v>19</v>
      </c>
      <c r="G7302" s="134" t="n">
        <f aca="false">LEN('Saisie programme'!$F$272)+SUMIFS('Vols additionnels'!$E$7:$E$66,'Vols additionnels'!$C$7:$C$66,$E7302,'Vols additionnels'!$D$7:$D$66,$F7302,'Vols additionnels'!$B$7:$B$66,$D7302)</f>
        <v>0</v>
      </c>
      <c r="H7302" s="135" t="n">
        <f aca="false">$G7302*'Analyse capacite'!$F$8</f>
        <v>0</v>
      </c>
      <c r="I7302" s="135" t="n">
        <f aca="false">$G7302*'Analyse capacite'!$C$8</f>
        <v>0</v>
      </c>
      <c r="J7302" s="135" t="n">
        <f aca="false">$G7302*'Analyse capacite'!$D$8</f>
        <v>0</v>
      </c>
      <c r="K7302" s="135" t="n">
        <f aca="false">$G7302*'Analyse capacite'!$E$8</f>
        <v>0</v>
      </c>
    </row>
    <row r="7303" customFormat="false" ht="15" hidden="false" customHeight="false" outlineLevel="0" collapsed="false">
      <c r="B7303" s="130" t="n">
        <v>2027</v>
      </c>
      <c r="C7303" s="131" t="s">
        <v>252</v>
      </c>
      <c r="D7303" s="132" t="n">
        <v>46680</v>
      </c>
      <c r="E7303" s="131" t="s">
        <v>53</v>
      </c>
      <c r="F7303" s="133" t="s">
        <v>24</v>
      </c>
      <c r="G7303" s="134" t="n">
        <f aca="false">LEN('Saisie programme'!$F$273)+SUMIFS('Vols additionnels'!$E$7:$E$66,'Vols additionnels'!$C$7:$C$66,$E7303,'Vols additionnels'!$D$7:$D$66,$F7303,'Vols additionnels'!$B$7:$B$66,$D7303)</f>
        <v>0</v>
      </c>
      <c r="H7303" s="135" t="n">
        <f aca="false">$G7303*'Analyse capacite'!$F$9</f>
        <v>0</v>
      </c>
      <c r="I7303" s="135" t="n">
        <f aca="false">$G7303*'Analyse capacite'!$C$9</f>
        <v>0</v>
      </c>
      <c r="J7303" s="135" t="n">
        <f aca="false">$G7303*'Analyse capacite'!$D$9</f>
        <v>0</v>
      </c>
      <c r="K7303" s="135" t="n">
        <f aca="false">$G7303*'Analyse capacite'!$E$9</f>
        <v>0</v>
      </c>
    </row>
    <row r="7304" customFormat="false" ht="15" hidden="false" customHeight="false" outlineLevel="0" collapsed="false">
      <c r="B7304" s="130" t="n">
        <v>2027</v>
      </c>
      <c r="C7304" s="131" t="s">
        <v>252</v>
      </c>
      <c r="D7304" s="132" t="n">
        <v>46680</v>
      </c>
      <c r="E7304" s="131" t="s">
        <v>56</v>
      </c>
      <c r="F7304" s="133" t="s">
        <v>11</v>
      </c>
      <c r="G7304" s="134" t="n">
        <f aca="false">LEN('Saisie programme'!$F$274)+SUMIFS('Vols additionnels'!$E$7:$E$66,'Vols additionnels'!$C$7:$C$66,$E7304,'Vols additionnels'!$D$7:$D$66,$F7304,'Vols additionnels'!$B$7:$B$66,$D7304)</f>
        <v>0</v>
      </c>
      <c r="H7304" s="135" t="n">
        <f aca="false">$G7304*'Analyse capacite'!$F$7</f>
        <v>0</v>
      </c>
      <c r="I7304" s="135" t="n">
        <f aca="false">$G7304*'Analyse capacite'!$C$7</f>
        <v>0</v>
      </c>
      <c r="J7304" s="135" t="n">
        <f aca="false">$G7304*'Analyse capacite'!$D$7</f>
        <v>0</v>
      </c>
      <c r="K7304" s="135" t="n">
        <f aca="false">$G7304*'Analyse capacite'!$E$7</f>
        <v>0</v>
      </c>
    </row>
    <row r="7305" customFormat="false" ht="15" hidden="false" customHeight="false" outlineLevel="0" collapsed="false">
      <c r="B7305" s="130" t="n">
        <v>2027</v>
      </c>
      <c r="C7305" s="131" t="s">
        <v>252</v>
      </c>
      <c r="D7305" s="132" t="n">
        <v>46680</v>
      </c>
      <c r="E7305" s="131" t="s">
        <v>56</v>
      </c>
      <c r="F7305" s="133" t="s">
        <v>19</v>
      </c>
      <c r="G7305" s="134" t="n">
        <f aca="false">LEN('Saisie programme'!$F$275)+SUMIFS('Vols additionnels'!$E$7:$E$66,'Vols additionnels'!$C$7:$C$66,$E7305,'Vols additionnels'!$D$7:$D$66,$F7305,'Vols additionnels'!$B$7:$B$66,$D7305)</f>
        <v>0</v>
      </c>
      <c r="H7305" s="135" t="n">
        <f aca="false">$G7305*'Analyse capacite'!$F$8</f>
        <v>0</v>
      </c>
      <c r="I7305" s="135" t="n">
        <f aca="false">$G7305*'Analyse capacite'!$C$8</f>
        <v>0</v>
      </c>
      <c r="J7305" s="135" t="n">
        <f aca="false">$G7305*'Analyse capacite'!$D$8</f>
        <v>0</v>
      </c>
      <c r="K7305" s="135" t="n">
        <f aca="false">$G7305*'Analyse capacite'!$E$8</f>
        <v>0</v>
      </c>
    </row>
    <row r="7306" customFormat="false" ht="15" hidden="false" customHeight="false" outlineLevel="0" collapsed="false">
      <c r="B7306" s="130" t="n">
        <v>2027</v>
      </c>
      <c r="C7306" s="131" t="s">
        <v>252</v>
      </c>
      <c r="D7306" s="132" t="n">
        <v>46680</v>
      </c>
      <c r="E7306" s="131" t="s">
        <v>56</v>
      </c>
      <c r="F7306" s="133" t="s">
        <v>24</v>
      </c>
      <c r="G7306" s="134" t="n">
        <f aca="false">LEN('Saisie programme'!$F$276)+SUMIFS('Vols additionnels'!$E$7:$E$66,'Vols additionnels'!$C$7:$C$66,$E7306,'Vols additionnels'!$D$7:$D$66,$F7306,'Vols additionnels'!$B$7:$B$66,$D7306)</f>
        <v>0</v>
      </c>
      <c r="H7306" s="135" t="n">
        <f aca="false">$G7306*'Analyse capacite'!$F$9</f>
        <v>0</v>
      </c>
      <c r="I7306" s="135" t="n">
        <f aca="false">$G7306*'Analyse capacite'!$C$9</f>
        <v>0</v>
      </c>
      <c r="J7306" s="135" t="n">
        <f aca="false">$G7306*'Analyse capacite'!$D$9</f>
        <v>0</v>
      </c>
      <c r="K7306" s="135" t="n">
        <f aca="false">$G7306*'Analyse capacite'!$E$9</f>
        <v>0</v>
      </c>
    </row>
    <row r="7307" customFormat="false" ht="15" hidden="false" customHeight="false" outlineLevel="0" collapsed="false">
      <c r="B7307" s="130" t="n">
        <v>2027</v>
      </c>
      <c r="C7307" s="131" t="s">
        <v>252</v>
      </c>
      <c r="D7307" s="132" t="n">
        <v>46680</v>
      </c>
      <c r="E7307" s="131" t="s">
        <v>59</v>
      </c>
      <c r="F7307" s="133" t="s">
        <v>11</v>
      </c>
      <c r="G7307" s="134" t="n">
        <f aca="false">LEN('Saisie programme'!$F$277)+SUMIFS('Vols additionnels'!$E$7:$E$66,'Vols additionnels'!$C$7:$C$66,$E7307,'Vols additionnels'!$D$7:$D$66,$F7307,'Vols additionnels'!$B$7:$B$66,$D7307)</f>
        <v>0</v>
      </c>
      <c r="H7307" s="135" t="n">
        <f aca="false">$G7307*'Analyse capacite'!$F$7</f>
        <v>0</v>
      </c>
      <c r="I7307" s="135" t="n">
        <f aca="false">$G7307*'Analyse capacite'!$C$7</f>
        <v>0</v>
      </c>
      <c r="J7307" s="135" t="n">
        <f aca="false">$G7307*'Analyse capacite'!$D$7</f>
        <v>0</v>
      </c>
      <c r="K7307" s="135" t="n">
        <f aca="false">$G7307*'Analyse capacite'!$E$7</f>
        <v>0</v>
      </c>
    </row>
    <row r="7308" customFormat="false" ht="15" hidden="false" customHeight="false" outlineLevel="0" collapsed="false">
      <c r="B7308" s="130" t="n">
        <v>2027</v>
      </c>
      <c r="C7308" s="131" t="s">
        <v>252</v>
      </c>
      <c r="D7308" s="132" t="n">
        <v>46680</v>
      </c>
      <c r="E7308" s="131" t="s">
        <v>59</v>
      </c>
      <c r="F7308" s="133" t="s">
        <v>19</v>
      </c>
      <c r="G7308" s="134" t="n">
        <f aca="false">LEN('Saisie programme'!$F$278)+SUMIFS('Vols additionnels'!$E$7:$E$66,'Vols additionnels'!$C$7:$C$66,$E7308,'Vols additionnels'!$D$7:$D$66,$F7308,'Vols additionnels'!$B$7:$B$66,$D7308)</f>
        <v>0</v>
      </c>
      <c r="H7308" s="135" t="n">
        <f aca="false">$G7308*'Analyse capacite'!$F$8</f>
        <v>0</v>
      </c>
      <c r="I7308" s="135" t="n">
        <f aca="false">$G7308*'Analyse capacite'!$C$8</f>
        <v>0</v>
      </c>
      <c r="J7308" s="135" t="n">
        <f aca="false">$G7308*'Analyse capacite'!$D$8</f>
        <v>0</v>
      </c>
      <c r="K7308" s="135" t="n">
        <f aca="false">$G7308*'Analyse capacite'!$E$8</f>
        <v>0</v>
      </c>
    </row>
    <row r="7309" customFormat="false" ht="15" hidden="false" customHeight="false" outlineLevel="0" collapsed="false">
      <c r="B7309" s="130" t="n">
        <v>2027</v>
      </c>
      <c r="C7309" s="131" t="s">
        <v>252</v>
      </c>
      <c r="D7309" s="132" t="n">
        <v>46680</v>
      </c>
      <c r="E7309" s="131" t="s">
        <v>59</v>
      </c>
      <c r="F7309" s="133" t="s">
        <v>24</v>
      </c>
      <c r="G7309" s="134" t="n">
        <f aca="false">LEN('Saisie programme'!$F$279)+SUMIFS('Vols additionnels'!$E$7:$E$66,'Vols additionnels'!$C$7:$C$66,$E7309,'Vols additionnels'!$D$7:$D$66,$F7309,'Vols additionnels'!$B$7:$B$66,$D7309)</f>
        <v>1</v>
      </c>
      <c r="H7309" s="135" t="n">
        <f aca="false">$G7309*'Analyse capacite'!$F$9</f>
        <v>174</v>
      </c>
      <c r="I7309" s="135" t="n">
        <f aca="false">$G7309*'Analyse capacite'!$C$9</f>
        <v>0</v>
      </c>
      <c r="J7309" s="135" t="n">
        <f aca="false">$G7309*'Analyse capacite'!$D$9</f>
        <v>12</v>
      </c>
      <c r="K7309" s="135" t="n">
        <f aca="false">$G7309*'Analyse capacite'!$E$9</f>
        <v>162</v>
      </c>
    </row>
    <row r="7310" customFormat="false" ht="15" hidden="false" customHeight="false" outlineLevel="0" collapsed="false">
      <c r="B7310" s="130" t="n">
        <v>2027</v>
      </c>
      <c r="C7310" s="131" t="s">
        <v>252</v>
      </c>
      <c r="D7310" s="132" t="n">
        <v>46680</v>
      </c>
      <c r="E7310" s="131" t="s">
        <v>62</v>
      </c>
      <c r="F7310" s="133" t="s">
        <v>11</v>
      </c>
      <c r="G7310" s="134" t="n">
        <f aca="false">LEN('Saisie programme'!$F$280)+SUMIFS('Vols additionnels'!$E$7:$E$66,'Vols additionnels'!$C$7:$C$66,$E7310,'Vols additionnels'!$D$7:$D$66,$F7310,'Vols additionnels'!$B$7:$B$66,$D7310)</f>
        <v>0</v>
      </c>
      <c r="H7310" s="135" t="n">
        <f aca="false">$G7310*'Analyse capacite'!$F$7</f>
        <v>0</v>
      </c>
      <c r="I7310" s="135" t="n">
        <f aca="false">$G7310*'Analyse capacite'!$C$7</f>
        <v>0</v>
      </c>
      <c r="J7310" s="135" t="n">
        <f aca="false">$G7310*'Analyse capacite'!$D$7</f>
        <v>0</v>
      </c>
      <c r="K7310" s="135" t="n">
        <f aca="false">$G7310*'Analyse capacite'!$E$7</f>
        <v>0</v>
      </c>
    </row>
    <row r="7311" customFormat="false" ht="15" hidden="false" customHeight="false" outlineLevel="0" collapsed="false">
      <c r="B7311" s="130" t="n">
        <v>2027</v>
      </c>
      <c r="C7311" s="131" t="s">
        <v>252</v>
      </c>
      <c r="D7311" s="132" t="n">
        <v>46680</v>
      </c>
      <c r="E7311" s="131" t="s">
        <v>62</v>
      </c>
      <c r="F7311" s="133" t="s">
        <v>19</v>
      </c>
      <c r="G7311" s="134" t="n">
        <f aca="false">LEN('Saisie programme'!$F$281)+SUMIFS('Vols additionnels'!$E$7:$E$66,'Vols additionnels'!$C$7:$C$66,$E7311,'Vols additionnels'!$D$7:$D$66,$F7311,'Vols additionnels'!$B$7:$B$66,$D7311)</f>
        <v>0</v>
      </c>
      <c r="H7311" s="135" t="n">
        <f aca="false">$G7311*'Analyse capacite'!$F$8</f>
        <v>0</v>
      </c>
      <c r="I7311" s="135" t="n">
        <f aca="false">$G7311*'Analyse capacite'!$C$8</f>
        <v>0</v>
      </c>
      <c r="J7311" s="135" t="n">
        <f aca="false">$G7311*'Analyse capacite'!$D$8</f>
        <v>0</v>
      </c>
      <c r="K7311" s="135" t="n">
        <f aca="false">$G7311*'Analyse capacite'!$E$8</f>
        <v>0</v>
      </c>
    </row>
    <row r="7312" customFormat="false" ht="15" hidden="false" customHeight="false" outlineLevel="0" collapsed="false">
      <c r="B7312" s="130" t="n">
        <v>2027</v>
      </c>
      <c r="C7312" s="131" t="s">
        <v>252</v>
      </c>
      <c r="D7312" s="132" t="n">
        <v>46680</v>
      </c>
      <c r="E7312" s="131" t="s">
        <v>62</v>
      </c>
      <c r="F7312" s="133" t="s">
        <v>24</v>
      </c>
      <c r="G7312" s="134" t="n">
        <f aca="false">LEN('Saisie programme'!$F$282)+SUMIFS('Vols additionnels'!$E$7:$E$66,'Vols additionnels'!$C$7:$C$66,$E7312,'Vols additionnels'!$D$7:$D$66,$F7312,'Vols additionnels'!$B$7:$B$66,$D7312)</f>
        <v>1</v>
      </c>
      <c r="H7312" s="135" t="n">
        <f aca="false">$G7312*'Analyse capacite'!$F$9</f>
        <v>174</v>
      </c>
      <c r="I7312" s="135" t="n">
        <f aca="false">$G7312*'Analyse capacite'!$C$9</f>
        <v>0</v>
      </c>
      <c r="J7312" s="135" t="n">
        <f aca="false">$G7312*'Analyse capacite'!$D$9</f>
        <v>12</v>
      </c>
      <c r="K7312" s="135" t="n">
        <f aca="false">$G7312*'Analyse capacite'!$E$9</f>
        <v>162</v>
      </c>
    </row>
    <row r="7313" customFormat="false" ht="15" hidden="false" customHeight="false" outlineLevel="0" collapsed="false">
      <c r="B7313" s="130" t="n">
        <v>2027</v>
      </c>
      <c r="C7313" s="131" t="s">
        <v>252</v>
      </c>
      <c r="D7313" s="132" t="n">
        <v>46681</v>
      </c>
      <c r="E7313" s="131" t="s">
        <v>12</v>
      </c>
      <c r="F7313" s="133" t="s">
        <v>11</v>
      </c>
      <c r="G7313" s="134" t="n">
        <f aca="false">LEN('Saisie programme'!$G$247)+SUMIFS('Vols additionnels'!$E$7:$E$66,'Vols additionnels'!$C$7:$C$66,$E7313,'Vols additionnels'!$D$7:$D$66,$F7313,'Vols additionnels'!$B$7:$B$66,$D7313)</f>
        <v>1</v>
      </c>
      <c r="H7313" s="135" t="n">
        <f aca="false">$G7313*'Analyse capacite'!$F$7</f>
        <v>438</v>
      </c>
      <c r="I7313" s="135" t="n">
        <f aca="false">$G7313*'Analyse capacite'!$C$7</f>
        <v>14</v>
      </c>
      <c r="J7313" s="135" t="n">
        <f aca="false">$G7313*'Analyse capacite'!$D$7</f>
        <v>40</v>
      </c>
      <c r="K7313" s="135" t="n">
        <f aca="false">$G7313*'Analyse capacite'!$E$7</f>
        <v>384</v>
      </c>
    </row>
    <row r="7314" customFormat="false" ht="15" hidden="false" customHeight="false" outlineLevel="0" collapsed="false">
      <c r="B7314" s="130" t="n">
        <v>2027</v>
      </c>
      <c r="C7314" s="131" t="s">
        <v>252</v>
      </c>
      <c r="D7314" s="132" t="n">
        <v>46681</v>
      </c>
      <c r="E7314" s="131" t="s">
        <v>12</v>
      </c>
      <c r="F7314" s="133" t="s">
        <v>19</v>
      </c>
      <c r="G7314" s="134" t="n">
        <f aca="false">LEN('Saisie programme'!$G$248)+SUMIFS('Vols additionnels'!$E$7:$E$66,'Vols additionnels'!$C$7:$C$66,$E7314,'Vols additionnels'!$D$7:$D$66,$F7314,'Vols additionnels'!$B$7:$B$66,$D7314)</f>
        <v>0</v>
      </c>
      <c r="H7314" s="135" t="n">
        <f aca="false">$G7314*'Analyse capacite'!$F$8</f>
        <v>0</v>
      </c>
      <c r="I7314" s="135" t="n">
        <f aca="false">$G7314*'Analyse capacite'!$C$8</f>
        <v>0</v>
      </c>
      <c r="J7314" s="135" t="n">
        <f aca="false">$G7314*'Analyse capacite'!$D$8</f>
        <v>0</v>
      </c>
      <c r="K7314" s="135" t="n">
        <f aca="false">$G7314*'Analyse capacite'!$E$8</f>
        <v>0</v>
      </c>
    </row>
    <row r="7315" customFormat="false" ht="15" hidden="false" customHeight="false" outlineLevel="0" collapsed="false">
      <c r="B7315" s="130" t="n">
        <v>2027</v>
      </c>
      <c r="C7315" s="131" t="s">
        <v>252</v>
      </c>
      <c r="D7315" s="132" t="n">
        <v>46681</v>
      </c>
      <c r="E7315" s="131" t="s">
        <v>12</v>
      </c>
      <c r="F7315" s="133" t="s">
        <v>24</v>
      </c>
      <c r="G7315" s="134" t="n">
        <f aca="false">LEN('Saisie programme'!$G$249)+SUMIFS('Vols additionnels'!$E$7:$E$66,'Vols additionnels'!$C$7:$C$66,$E7315,'Vols additionnels'!$D$7:$D$66,$F7315,'Vols additionnels'!$B$7:$B$66,$D7315)</f>
        <v>0</v>
      </c>
      <c r="H7315" s="135" t="n">
        <f aca="false">$G7315*'Analyse capacite'!$F$9</f>
        <v>0</v>
      </c>
      <c r="I7315" s="135" t="n">
        <f aca="false">$G7315*'Analyse capacite'!$C$9</f>
        <v>0</v>
      </c>
      <c r="J7315" s="135" t="n">
        <f aca="false">$G7315*'Analyse capacite'!$D$9</f>
        <v>0</v>
      </c>
      <c r="K7315" s="135" t="n">
        <f aca="false">$G7315*'Analyse capacite'!$E$9</f>
        <v>0</v>
      </c>
    </row>
    <row r="7316" customFormat="false" ht="15" hidden="false" customHeight="false" outlineLevel="0" collapsed="false">
      <c r="B7316" s="130" t="n">
        <v>2027</v>
      </c>
      <c r="C7316" s="131" t="s">
        <v>252</v>
      </c>
      <c r="D7316" s="132" t="n">
        <v>46681</v>
      </c>
      <c r="E7316" s="131" t="s">
        <v>20</v>
      </c>
      <c r="F7316" s="133" t="s">
        <v>11</v>
      </c>
      <c r="G7316" s="134" t="n">
        <f aca="false">LEN('Saisie programme'!$G$250)+SUMIFS('Vols additionnels'!$E$7:$E$66,'Vols additionnels'!$C$7:$C$66,$E7316,'Vols additionnels'!$D$7:$D$66,$F7316,'Vols additionnels'!$B$7:$B$66,$D7316)</f>
        <v>0</v>
      </c>
      <c r="H7316" s="135" t="n">
        <f aca="false">$G7316*'Analyse capacite'!$F$7</f>
        <v>0</v>
      </c>
      <c r="I7316" s="135" t="n">
        <f aca="false">$G7316*'Analyse capacite'!$C$7</f>
        <v>0</v>
      </c>
      <c r="J7316" s="135" t="n">
        <f aca="false">$G7316*'Analyse capacite'!$D$7</f>
        <v>0</v>
      </c>
      <c r="K7316" s="135" t="n">
        <f aca="false">$G7316*'Analyse capacite'!$E$7</f>
        <v>0</v>
      </c>
    </row>
    <row r="7317" customFormat="false" ht="15" hidden="false" customHeight="false" outlineLevel="0" collapsed="false">
      <c r="B7317" s="130" t="n">
        <v>2027</v>
      </c>
      <c r="C7317" s="131" t="s">
        <v>252</v>
      </c>
      <c r="D7317" s="132" t="n">
        <v>46681</v>
      </c>
      <c r="E7317" s="131" t="s">
        <v>20</v>
      </c>
      <c r="F7317" s="133" t="s">
        <v>19</v>
      </c>
      <c r="G7317" s="134" t="n">
        <f aca="false">LEN('Saisie programme'!$G$251)+SUMIFS('Vols additionnels'!$E$7:$E$66,'Vols additionnels'!$C$7:$C$66,$E7317,'Vols additionnels'!$D$7:$D$66,$F7317,'Vols additionnels'!$B$7:$B$66,$D7317)</f>
        <v>0</v>
      </c>
      <c r="H7317" s="135" t="n">
        <f aca="false">$G7317*'Analyse capacite'!$F$8</f>
        <v>0</v>
      </c>
      <c r="I7317" s="135" t="n">
        <f aca="false">$G7317*'Analyse capacite'!$C$8</f>
        <v>0</v>
      </c>
      <c r="J7317" s="135" t="n">
        <f aca="false">$G7317*'Analyse capacite'!$D$8</f>
        <v>0</v>
      </c>
      <c r="K7317" s="135" t="n">
        <f aca="false">$G7317*'Analyse capacite'!$E$8</f>
        <v>0</v>
      </c>
    </row>
    <row r="7318" customFormat="false" ht="15" hidden="false" customHeight="false" outlineLevel="0" collapsed="false">
      <c r="B7318" s="130" t="n">
        <v>2027</v>
      </c>
      <c r="C7318" s="131" t="s">
        <v>252</v>
      </c>
      <c r="D7318" s="132" t="n">
        <v>46681</v>
      </c>
      <c r="E7318" s="131" t="s">
        <v>20</v>
      </c>
      <c r="F7318" s="133" t="s">
        <v>24</v>
      </c>
      <c r="G7318" s="134" t="n">
        <f aca="false">LEN('Saisie programme'!$G$252)+SUMIFS('Vols additionnels'!$E$7:$E$66,'Vols additionnels'!$C$7:$C$66,$E7318,'Vols additionnels'!$D$7:$D$66,$F7318,'Vols additionnels'!$B$7:$B$66,$D7318)</f>
        <v>0</v>
      </c>
      <c r="H7318" s="135" t="n">
        <f aca="false">$G7318*'Analyse capacite'!$F$9</f>
        <v>0</v>
      </c>
      <c r="I7318" s="135" t="n">
        <f aca="false">$G7318*'Analyse capacite'!$C$9</f>
        <v>0</v>
      </c>
      <c r="J7318" s="135" t="n">
        <f aca="false">$G7318*'Analyse capacite'!$D$9</f>
        <v>0</v>
      </c>
      <c r="K7318" s="135" t="n">
        <f aca="false">$G7318*'Analyse capacite'!$E$9</f>
        <v>0</v>
      </c>
    </row>
    <row r="7319" customFormat="false" ht="15" hidden="false" customHeight="false" outlineLevel="0" collapsed="false">
      <c r="B7319" s="130" t="n">
        <v>2027</v>
      </c>
      <c r="C7319" s="131" t="s">
        <v>252</v>
      </c>
      <c r="D7319" s="132" t="n">
        <v>46681</v>
      </c>
      <c r="E7319" s="131" t="s">
        <v>25</v>
      </c>
      <c r="F7319" s="133" t="s">
        <v>11</v>
      </c>
      <c r="G7319" s="134" t="n">
        <f aca="false">LEN('Saisie programme'!$G$253)+SUMIFS('Vols additionnels'!$E$7:$E$66,'Vols additionnels'!$C$7:$C$66,$E7319,'Vols additionnels'!$D$7:$D$66,$F7319,'Vols additionnels'!$B$7:$B$66,$D7319)</f>
        <v>0</v>
      </c>
      <c r="H7319" s="135" t="n">
        <f aca="false">$G7319*'Analyse capacite'!$F$7</f>
        <v>0</v>
      </c>
      <c r="I7319" s="135" t="n">
        <f aca="false">$G7319*'Analyse capacite'!$C$7</f>
        <v>0</v>
      </c>
      <c r="J7319" s="135" t="n">
        <f aca="false">$G7319*'Analyse capacite'!$D$7</f>
        <v>0</v>
      </c>
      <c r="K7319" s="135" t="n">
        <f aca="false">$G7319*'Analyse capacite'!$E$7</f>
        <v>0</v>
      </c>
    </row>
    <row r="7320" customFormat="false" ht="15" hidden="false" customHeight="false" outlineLevel="0" collapsed="false">
      <c r="B7320" s="130" t="n">
        <v>2027</v>
      </c>
      <c r="C7320" s="131" t="s">
        <v>252</v>
      </c>
      <c r="D7320" s="132" t="n">
        <v>46681</v>
      </c>
      <c r="E7320" s="131" t="s">
        <v>25</v>
      </c>
      <c r="F7320" s="133" t="s">
        <v>19</v>
      </c>
      <c r="G7320" s="134" t="n">
        <f aca="false">LEN('Saisie programme'!$G$254)+SUMIFS('Vols additionnels'!$E$7:$E$66,'Vols additionnels'!$C$7:$C$66,$E7320,'Vols additionnels'!$D$7:$D$66,$F7320,'Vols additionnels'!$B$7:$B$66,$D7320)</f>
        <v>0</v>
      </c>
      <c r="H7320" s="135" t="n">
        <f aca="false">$G7320*'Analyse capacite'!$F$8</f>
        <v>0</v>
      </c>
      <c r="I7320" s="135" t="n">
        <f aca="false">$G7320*'Analyse capacite'!$C$8</f>
        <v>0</v>
      </c>
      <c r="J7320" s="135" t="n">
        <f aca="false">$G7320*'Analyse capacite'!$D$8</f>
        <v>0</v>
      </c>
      <c r="K7320" s="135" t="n">
        <f aca="false">$G7320*'Analyse capacite'!$E$8</f>
        <v>0</v>
      </c>
    </row>
    <row r="7321" customFormat="false" ht="15" hidden="false" customHeight="false" outlineLevel="0" collapsed="false">
      <c r="B7321" s="130" t="n">
        <v>2027</v>
      </c>
      <c r="C7321" s="131" t="s">
        <v>252</v>
      </c>
      <c r="D7321" s="132" t="n">
        <v>46681</v>
      </c>
      <c r="E7321" s="131" t="s">
        <v>25</v>
      </c>
      <c r="F7321" s="133" t="s">
        <v>24</v>
      </c>
      <c r="G7321" s="134" t="n">
        <f aca="false">LEN('Saisie programme'!$G$255)+SUMIFS('Vols additionnels'!$E$7:$E$66,'Vols additionnels'!$C$7:$C$66,$E7321,'Vols additionnels'!$D$7:$D$66,$F7321,'Vols additionnels'!$B$7:$B$66,$D7321)</f>
        <v>0</v>
      </c>
      <c r="H7321" s="135" t="n">
        <f aca="false">$G7321*'Analyse capacite'!$F$9</f>
        <v>0</v>
      </c>
      <c r="I7321" s="135" t="n">
        <f aca="false">$G7321*'Analyse capacite'!$C$9</f>
        <v>0</v>
      </c>
      <c r="J7321" s="135" t="n">
        <f aca="false">$G7321*'Analyse capacite'!$D$9</f>
        <v>0</v>
      </c>
      <c r="K7321" s="135" t="n">
        <f aca="false">$G7321*'Analyse capacite'!$E$9</f>
        <v>0</v>
      </c>
    </row>
    <row r="7322" customFormat="false" ht="15" hidden="false" customHeight="false" outlineLevel="0" collapsed="false">
      <c r="B7322" s="130" t="n">
        <v>2027</v>
      </c>
      <c r="C7322" s="131" t="s">
        <v>252</v>
      </c>
      <c r="D7322" s="132" t="n">
        <v>46681</v>
      </c>
      <c r="E7322" s="131" t="s">
        <v>36</v>
      </c>
      <c r="F7322" s="133" t="s">
        <v>11</v>
      </c>
      <c r="G7322" s="134" t="n">
        <f aca="false">LEN('Saisie programme'!$G$256)+SUMIFS('Vols additionnels'!$E$7:$E$66,'Vols additionnels'!$C$7:$C$66,$E7322,'Vols additionnels'!$D$7:$D$66,$F7322,'Vols additionnels'!$B$7:$B$66,$D7322)</f>
        <v>0</v>
      </c>
      <c r="H7322" s="135" t="n">
        <f aca="false">$G7322*'Analyse capacite'!$F$7</f>
        <v>0</v>
      </c>
      <c r="I7322" s="135" t="n">
        <f aca="false">$G7322*'Analyse capacite'!$C$7</f>
        <v>0</v>
      </c>
      <c r="J7322" s="135" t="n">
        <f aca="false">$G7322*'Analyse capacite'!$D$7</f>
        <v>0</v>
      </c>
      <c r="K7322" s="135" t="n">
        <f aca="false">$G7322*'Analyse capacite'!$E$7</f>
        <v>0</v>
      </c>
    </row>
    <row r="7323" customFormat="false" ht="15" hidden="false" customHeight="false" outlineLevel="0" collapsed="false">
      <c r="B7323" s="130" t="n">
        <v>2027</v>
      </c>
      <c r="C7323" s="131" t="s">
        <v>252</v>
      </c>
      <c r="D7323" s="132" t="n">
        <v>46681</v>
      </c>
      <c r="E7323" s="131" t="s">
        <v>36</v>
      </c>
      <c r="F7323" s="133" t="s">
        <v>19</v>
      </c>
      <c r="G7323" s="134" t="n">
        <f aca="false">LEN('Saisie programme'!$G$257)+SUMIFS('Vols additionnels'!$E$7:$E$66,'Vols additionnels'!$C$7:$C$66,$E7323,'Vols additionnels'!$D$7:$D$66,$F7323,'Vols additionnels'!$B$7:$B$66,$D7323)</f>
        <v>0</v>
      </c>
      <c r="H7323" s="135" t="n">
        <f aca="false">$G7323*'Analyse capacite'!$F$8</f>
        <v>0</v>
      </c>
      <c r="I7323" s="135" t="n">
        <f aca="false">$G7323*'Analyse capacite'!$C$8</f>
        <v>0</v>
      </c>
      <c r="J7323" s="135" t="n">
        <f aca="false">$G7323*'Analyse capacite'!$D$8</f>
        <v>0</v>
      </c>
      <c r="K7323" s="135" t="n">
        <f aca="false">$G7323*'Analyse capacite'!$E$8</f>
        <v>0</v>
      </c>
    </row>
    <row r="7324" customFormat="false" ht="15" hidden="false" customHeight="false" outlineLevel="0" collapsed="false">
      <c r="B7324" s="130" t="n">
        <v>2027</v>
      </c>
      <c r="C7324" s="131" t="s">
        <v>252</v>
      </c>
      <c r="D7324" s="132" t="n">
        <v>46681</v>
      </c>
      <c r="E7324" s="131" t="s">
        <v>36</v>
      </c>
      <c r="F7324" s="133" t="s">
        <v>24</v>
      </c>
      <c r="G7324" s="134" t="n">
        <f aca="false">LEN('Saisie programme'!$G$258)+SUMIFS('Vols additionnels'!$E$7:$E$66,'Vols additionnels'!$C$7:$C$66,$E7324,'Vols additionnels'!$D$7:$D$66,$F7324,'Vols additionnels'!$B$7:$B$66,$D7324)</f>
        <v>1</v>
      </c>
      <c r="H7324" s="135" t="n">
        <f aca="false">$G7324*'Analyse capacite'!$F$9</f>
        <v>174</v>
      </c>
      <c r="I7324" s="135" t="n">
        <f aca="false">$G7324*'Analyse capacite'!$C$9</f>
        <v>0</v>
      </c>
      <c r="J7324" s="135" t="n">
        <f aca="false">$G7324*'Analyse capacite'!$D$9</f>
        <v>12</v>
      </c>
      <c r="K7324" s="135" t="n">
        <f aca="false">$G7324*'Analyse capacite'!$E$9</f>
        <v>162</v>
      </c>
    </row>
    <row r="7325" customFormat="false" ht="15" hidden="false" customHeight="false" outlineLevel="0" collapsed="false">
      <c r="B7325" s="130" t="n">
        <v>2027</v>
      </c>
      <c r="C7325" s="131" t="s">
        <v>252</v>
      </c>
      <c r="D7325" s="132" t="n">
        <v>46681</v>
      </c>
      <c r="E7325" s="131" t="s">
        <v>40</v>
      </c>
      <c r="F7325" s="133" t="s">
        <v>11</v>
      </c>
      <c r="G7325" s="134" t="n">
        <f aca="false">LEN('Saisie programme'!$G$259)+SUMIFS('Vols additionnels'!$E$7:$E$66,'Vols additionnels'!$C$7:$C$66,$E7325,'Vols additionnels'!$D$7:$D$66,$F7325,'Vols additionnels'!$B$7:$B$66,$D7325)</f>
        <v>0</v>
      </c>
      <c r="H7325" s="135" t="n">
        <f aca="false">$G7325*'Analyse capacite'!$F$7</f>
        <v>0</v>
      </c>
      <c r="I7325" s="135" t="n">
        <f aca="false">$G7325*'Analyse capacite'!$C$7</f>
        <v>0</v>
      </c>
      <c r="J7325" s="135" t="n">
        <f aca="false">$G7325*'Analyse capacite'!$D$7</f>
        <v>0</v>
      </c>
      <c r="K7325" s="135" t="n">
        <f aca="false">$G7325*'Analyse capacite'!$E$7</f>
        <v>0</v>
      </c>
    </row>
    <row r="7326" customFormat="false" ht="15" hidden="false" customHeight="false" outlineLevel="0" collapsed="false">
      <c r="B7326" s="130" t="n">
        <v>2027</v>
      </c>
      <c r="C7326" s="131" t="s">
        <v>252</v>
      </c>
      <c r="D7326" s="132" t="n">
        <v>46681</v>
      </c>
      <c r="E7326" s="131" t="s">
        <v>40</v>
      </c>
      <c r="F7326" s="133" t="s">
        <v>19</v>
      </c>
      <c r="G7326" s="134" t="n">
        <f aca="false">LEN('Saisie programme'!$G$260)+SUMIFS('Vols additionnels'!$E$7:$E$66,'Vols additionnels'!$C$7:$C$66,$E7326,'Vols additionnels'!$D$7:$D$66,$F7326,'Vols additionnels'!$B$7:$B$66,$D7326)</f>
        <v>0</v>
      </c>
      <c r="H7326" s="135" t="n">
        <f aca="false">$G7326*'Analyse capacite'!$F$8</f>
        <v>0</v>
      </c>
      <c r="I7326" s="135" t="n">
        <f aca="false">$G7326*'Analyse capacite'!$C$8</f>
        <v>0</v>
      </c>
      <c r="J7326" s="135" t="n">
        <f aca="false">$G7326*'Analyse capacite'!$D$8</f>
        <v>0</v>
      </c>
      <c r="K7326" s="135" t="n">
        <f aca="false">$G7326*'Analyse capacite'!$E$8</f>
        <v>0</v>
      </c>
    </row>
    <row r="7327" customFormat="false" ht="15" hidden="false" customHeight="false" outlineLevel="0" collapsed="false">
      <c r="B7327" s="130" t="n">
        <v>2027</v>
      </c>
      <c r="C7327" s="131" t="s">
        <v>252</v>
      </c>
      <c r="D7327" s="132" t="n">
        <v>46681</v>
      </c>
      <c r="E7327" s="131" t="s">
        <v>40</v>
      </c>
      <c r="F7327" s="133" t="s">
        <v>24</v>
      </c>
      <c r="G7327" s="134" t="n">
        <f aca="false">LEN('Saisie programme'!$G$261)+SUMIFS('Vols additionnels'!$E$7:$E$66,'Vols additionnels'!$C$7:$C$66,$E7327,'Vols additionnels'!$D$7:$D$66,$F7327,'Vols additionnels'!$B$7:$B$66,$D7327)</f>
        <v>0</v>
      </c>
      <c r="H7327" s="135" t="n">
        <f aca="false">$G7327*'Analyse capacite'!$F$9</f>
        <v>0</v>
      </c>
      <c r="I7327" s="135" t="n">
        <f aca="false">$G7327*'Analyse capacite'!$C$9</f>
        <v>0</v>
      </c>
      <c r="J7327" s="135" t="n">
        <f aca="false">$G7327*'Analyse capacite'!$D$9</f>
        <v>0</v>
      </c>
      <c r="K7327" s="135" t="n">
        <f aca="false">$G7327*'Analyse capacite'!$E$9</f>
        <v>0</v>
      </c>
    </row>
    <row r="7328" customFormat="false" ht="15" hidden="false" customHeight="false" outlineLevel="0" collapsed="false">
      <c r="B7328" s="130" t="n">
        <v>2027</v>
      </c>
      <c r="C7328" s="131" t="s">
        <v>252</v>
      </c>
      <c r="D7328" s="132" t="n">
        <v>46681</v>
      </c>
      <c r="E7328" s="131" t="s">
        <v>14</v>
      </c>
      <c r="F7328" s="133" t="s">
        <v>11</v>
      </c>
      <c r="G7328" s="134" t="n">
        <f aca="false">LEN('Saisie programme'!$G$262)+SUMIFS('Vols additionnels'!$E$7:$E$66,'Vols additionnels'!$C$7:$C$66,$E7328,'Vols additionnels'!$D$7:$D$66,$F7328,'Vols additionnels'!$B$7:$B$66,$D7328)</f>
        <v>0</v>
      </c>
      <c r="H7328" s="135" t="n">
        <f aca="false">$G7328*'Analyse capacite'!$F$7</f>
        <v>0</v>
      </c>
      <c r="I7328" s="135" t="n">
        <f aca="false">$G7328*'Analyse capacite'!$C$7</f>
        <v>0</v>
      </c>
      <c r="J7328" s="135" t="n">
        <f aca="false">$G7328*'Analyse capacite'!$D$7</f>
        <v>0</v>
      </c>
      <c r="K7328" s="135" t="n">
        <f aca="false">$G7328*'Analyse capacite'!$E$7</f>
        <v>0</v>
      </c>
    </row>
    <row r="7329" customFormat="false" ht="15" hidden="false" customHeight="false" outlineLevel="0" collapsed="false">
      <c r="B7329" s="130" t="n">
        <v>2027</v>
      </c>
      <c r="C7329" s="131" t="s">
        <v>252</v>
      </c>
      <c r="D7329" s="132" t="n">
        <v>46681</v>
      </c>
      <c r="E7329" s="131" t="s">
        <v>14</v>
      </c>
      <c r="F7329" s="133" t="s">
        <v>19</v>
      </c>
      <c r="G7329" s="134" t="n">
        <f aca="false">LEN('Saisie programme'!$G$263)+SUMIFS('Vols additionnels'!$E$7:$E$66,'Vols additionnels'!$C$7:$C$66,$E7329,'Vols additionnels'!$D$7:$D$66,$F7329,'Vols additionnels'!$B$7:$B$66,$D7329)</f>
        <v>0</v>
      </c>
      <c r="H7329" s="135" t="n">
        <f aca="false">$G7329*'Analyse capacite'!$F$8</f>
        <v>0</v>
      </c>
      <c r="I7329" s="135" t="n">
        <f aca="false">$G7329*'Analyse capacite'!$C$8</f>
        <v>0</v>
      </c>
      <c r="J7329" s="135" t="n">
        <f aca="false">$G7329*'Analyse capacite'!$D$8</f>
        <v>0</v>
      </c>
      <c r="K7329" s="135" t="n">
        <f aca="false">$G7329*'Analyse capacite'!$E$8</f>
        <v>0</v>
      </c>
    </row>
    <row r="7330" customFormat="false" ht="15" hidden="false" customHeight="false" outlineLevel="0" collapsed="false">
      <c r="B7330" s="130" t="n">
        <v>2027</v>
      </c>
      <c r="C7330" s="131" t="s">
        <v>252</v>
      </c>
      <c r="D7330" s="132" t="n">
        <v>46681</v>
      </c>
      <c r="E7330" s="131" t="s">
        <v>14</v>
      </c>
      <c r="F7330" s="133" t="s">
        <v>24</v>
      </c>
      <c r="G7330" s="134" t="n">
        <f aca="false">LEN('Saisie programme'!$G$264)+SUMIFS('Vols additionnels'!$E$7:$E$66,'Vols additionnels'!$C$7:$C$66,$E7330,'Vols additionnels'!$D$7:$D$66,$F7330,'Vols additionnels'!$B$7:$B$66,$D7330)</f>
        <v>1</v>
      </c>
      <c r="H7330" s="135" t="n">
        <f aca="false">$G7330*'Analyse capacite'!$F$9</f>
        <v>174</v>
      </c>
      <c r="I7330" s="135" t="n">
        <f aca="false">$G7330*'Analyse capacite'!$C$9</f>
        <v>0</v>
      </c>
      <c r="J7330" s="135" t="n">
        <f aca="false">$G7330*'Analyse capacite'!$D$9</f>
        <v>12</v>
      </c>
      <c r="K7330" s="135" t="n">
        <f aca="false">$G7330*'Analyse capacite'!$E$9</f>
        <v>162</v>
      </c>
    </row>
    <row r="7331" customFormat="false" ht="15" hidden="false" customHeight="false" outlineLevel="0" collapsed="false">
      <c r="B7331" s="130" t="n">
        <v>2027</v>
      </c>
      <c r="C7331" s="131" t="s">
        <v>252</v>
      </c>
      <c r="D7331" s="132" t="n">
        <v>46681</v>
      </c>
      <c r="E7331" s="131" t="s">
        <v>46</v>
      </c>
      <c r="F7331" s="133" t="s">
        <v>11</v>
      </c>
      <c r="G7331" s="134" t="n">
        <f aca="false">LEN('Saisie programme'!$G$265)+SUMIFS('Vols additionnels'!$E$7:$E$66,'Vols additionnels'!$C$7:$C$66,$E7331,'Vols additionnels'!$D$7:$D$66,$F7331,'Vols additionnels'!$B$7:$B$66,$D7331)</f>
        <v>0</v>
      </c>
      <c r="H7331" s="135" t="n">
        <f aca="false">$G7331*'Analyse capacite'!$F$7</f>
        <v>0</v>
      </c>
      <c r="I7331" s="135" t="n">
        <f aca="false">$G7331*'Analyse capacite'!$C$7</f>
        <v>0</v>
      </c>
      <c r="J7331" s="135" t="n">
        <f aca="false">$G7331*'Analyse capacite'!$D$7</f>
        <v>0</v>
      </c>
      <c r="K7331" s="135" t="n">
        <f aca="false">$G7331*'Analyse capacite'!$E$7</f>
        <v>0</v>
      </c>
    </row>
    <row r="7332" customFormat="false" ht="15" hidden="false" customHeight="false" outlineLevel="0" collapsed="false">
      <c r="B7332" s="130" t="n">
        <v>2027</v>
      </c>
      <c r="C7332" s="131" t="s">
        <v>252</v>
      </c>
      <c r="D7332" s="132" t="n">
        <v>46681</v>
      </c>
      <c r="E7332" s="131" t="s">
        <v>46</v>
      </c>
      <c r="F7332" s="133" t="s">
        <v>19</v>
      </c>
      <c r="G7332" s="134" t="n">
        <f aca="false">LEN('Saisie programme'!$G$266)+SUMIFS('Vols additionnels'!$E$7:$E$66,'Vols additionnels'!$C$7:$C$66,$E7332,'Vols additionnels'!$D$7:$D$66,$F7332,'Vols additionnels'!$B$7:$B$66,$D7332)</f>
        <v>0</v>
      </c>
      <c r="H7332" s="135" t="n">
        <f aca="false">$G7332*'Analyse capacite'!$F$8</f>
        <v>0</v>
      </c>
      <c r="I7332" s="135" t="n">
        <f aca="false">$G7332*'Analyse capacite'!$C$8</f>
        <v>0</v>
      </c>
      <c r="J7332" s="135" t="n">
        <f aca="false">$G7332*'Analyse capacite'!$D$8</f>
        <v>0</v>
      </c>
      <c r="K7332" s="135" t="n">
        <f aca="false">$G7332*'Analyse capacite'!$E$8</f>
        <v>0</v>
      </c>
    </row>
    <row r="7333" customFormat="false" ht="15" hidden="false" customHeight="false" outlineLevel="0" collapsed="false">
      <c r="B7333" s="130" t="n">
        <v>2027</v>
      </c>
      <c r="C7333" s="131" t="s">
        <v>252</v>
      </c>
      <c r="D7333" s="132" t="n">
        <v>46681</v>
      </c>
      <c r="E7333" s="131" t="s">
        <v>46</v>
      </c>
      <c r="F7333" s="133" t="s">
        <v>24</v>
      </c>
      <c r="G7333" s="134" t="n">
        <f aca="false">LEN('Saisie programme'!$G$267)+SUMIFS('Vols additionnels'!$E$7:$E$66,'Vols additionnels'!$C$7:$C$66,$E7333,'Vols additionnels'!$D$7:$D$66,$F7333,'Vols additionnels'!$B$7:$B$66,$D7333)</f>
        <v>1</v>
      </c>
      <c r="H7333" s="135" t="n">
        <f aca="false">$G7333*'Analyse capacite'!$F$9</f>
        <v>174</v>
      </c>
      <c r="I7333" s="135" t="n">
        <f aca="false">$G7333*'Analyse capacite'!$C$9</f>
        <v>0</v>
      </c>
      <c r="J7333" s="135" t="n">
        <f aca="false">$G7333*'Analyse capacite'!$D$9</f>
        <v>12</v>
      </c>
      <c r="K7333" s="135" t="n">
        <f aca="false">$G7333*'Analyse capacite'!$E$9</f>
        <v>162</v>
      </c>
    </row>
    <row r="7334" customFormat="false" ht="15" hidden="false" customHeight="false" outlineLevel="0" collapsed="false">
      <c r="B7334" s="130" t="n">
        <v>2027</v>
      </c>
      <c r="C7334" s="131" t="s">
        <v>252</v>
      </c>
      <c r="D7334" s="132" t="n">
        <v>46681</v>
      </c>
      <c r="E7334" s="131" t="s">
        <v>49</v>
      </c>
      <c r="F7334" s="133" t="s">
        <v>11</v>
      </c>
      <c r="G7334" s="134" t="n">
        <f aca="false">LEN('Saisie programme'!$G$268)+SUMIFS('Vols additionnels'!$E$7:$E$66,'Vols additionnels'!$C$7:$C$66,$E7334,'Vols additionnels'!$D$7:$D$66,$F7334,'Vols additionnels'!$B$7:$B$66,$D7334)</f>
        <v>0</v>
      </c>
      <c r="H7334" s="135" t="n">
        <f aca="false">$G7334*'Analyse capacite'!$F$7</f>
        <v>0</v>
      </c>
      <c r="I7334" s="135" t="n">
        <f aca="false">$G7334*'Analyse capacite'!$C$7</f>
        <v>0</v>
      </c>
      <c r="J7334" s="135" t="n">
        <f aca="false">$G7334*'Analyse capacite'!$D$7</f>
        <v>0</v>
      </c>
      <c r="K7334" s="135" t="n">
        <f aca="false">$G7334*'Analyse capacite'!$E$7</f>
        <v>0</v>
      </c>
    </row>
    <row r="7335" customFormat="false" ht="15" hidden="false" customHeight="false" outlineLevel="0" collapsed="false">
      <c r="B7335" s="130" t="n">
        <v>2027</v>
      </c>
      <c r="C7335" s="131" t="s">
        <v>252</v>
      </c>
      <c r="D7335" s="132" t="n">
        <v>46681</v>
      </c>
      <c r="E7335" s="131" t="s">
        <v>49</v>
      </c>
      <c r="F7335" s="133" t="s">
        <v>19</v>
      </c>
      <c r="G7335" s="134" t="n">
        <f aca="false">LEN('Saisie programme'!$G$269)+SUMIFS('Vols additionnels'!$E$7:$E$66,'Vols additionnels'!$C$7:$C$66,$E7335,'Vols additionnels'!$D$7:$D$66,$F7335,'Vols additionnels'!$B$7:$B$66,$D7335)</f>
        <v>0</v>
      </c>
      <c r="H7335" s="135" t="n">
        <f aca="false">$G7335*'Analyse capacite'!$F$8</f>
        <v>0</v>
      </c>
      <c r="I7335" s="135" t="n">
        <f aca="false">$G7335*'Analyse capacite'!$C$8</f>
        <v>0</v>
      </c>
      <c r="J7335" s="135" t="n">
        <f aca="false">$G7335*'Analyse capacite'!$D$8</f>
        <v>0</v>
      </c>
      <c r="K7335" s="135" t="n">
        <f aca="false">$G7335*'Analyse capacite'!$E$8</f>
        <v>0</v>
      </c>
    </row>
    <row r="7336" customFormat="false" ht="15" hidden="false" customHeight="false" outlineLevel="0" collapsed="false">
      <c r="B7336" s="130" t="n">
        <v>2027</v>
      </c>
      <c r="C7336" s="131" t="s">
        <v>252</v>
      </c>
      <c r="D7336" s="132" t="n">
        <v>46681</v>
      </c>
      <c r="E7336" s="131" t="s">
        <v>49</v>
      </c>
      <c r="F7336" s="133" t="s">
        <v>24</v>
      </c>
      <c r="G7336" s="134" t="n">
        <f aca="false">LEN('Saisie programme'!$G$270)+SUMIFS('Vols additionnels'!$E$7:$E$66,'Vols additionnels'!$C$7:$C$66,$E7336,'Vols additionnels'!$D$7:$D$66,$F7336,'Vols additionnels'!$B$7:$B$66,$D7336)</f>
        <v>0</v>
      </c>
      <c r="H7336" s="135" t="n">
        <f aca="false">$G7336*'Analyse capacite'!$F$9</f>
        <v>0</v>
      </c>
      <c r="I7336" s="135" t="n">
        <f aca="false">$G7336*'Analyse capacite'!$C$9</f>
        <v>0</v>
      </c>
      <c r="J7336" s="135" t="n">
        <f aca="false">$G7336*'Analyse capacite'!$D$9</f>
        <v>0</v>
      </c>
      <c r="K7336" s="135" t="n">
        <f aca="false">$G7336*'Analyse capacite'!$E$9</f>
        <v>0</v>
      </c>
    </row>
    <row r="7337" customFormat="false" ht="15" hidden="false" customHeight="false" outlineLevel="0" collapsed="false">
      <c r="B7337" s="130" t="n">
        <v>2027</v>
      </c>
      <c r="C7337" s="131" t="s">
        <v>252</v>
      </c>
      <c r="D7337" s="132" t="n">
        <v>46681</v>
      </c>
      <c r="E7337" s="131" t="s">
        <v>53</v>
      </c>
      <c r="F7337" s="133" t="s">
        <v>11</v>
      </c>
      <c r="G7337" s="134" t="n">
        <f aca="false">LEN('Saisie programme'!$G$271)+SUMIFS('Vols additionnels'!$E$7:$E$66,'Vols additionnels'!$C$7:$C$66,$E7337,'Vols additionnels'!$D$7:$D$66,$F7337,'Vols additionnels'!$B$7:$B$66,$D7337)</f>
        <v>0</v>
      </c>
      <c r="H7337" s="135" t="n">
        <f aca="false">$G7337*'Analyse capacite'!$F$7</f>
        <v>0</v>
      </c>
      <c r="I7337" s="135" t="n">
        <f aca="false">$G7337*'Analyse capacite'!$C$7</f>
        <v>0</v>
      </c>
      <c r="J7337" s="135" t="n">
        <f aca="false">$G7337*'Analyse capacite'!$D$7</f>
        <v>0</v>
      </c>
      <c r="K7337" s="135" t="n">
        <f aca="false">$G7337*'Analyse capacite'!$E$7</f>
        <v>0</v>
      </c>
    </row>
    <row r="7338" customFormat="false" ht="15" hidden="false" customHeight="false" outlineLevel="0" collapsed="false">
      <c r="B7338" s="130" t="n">
        <v>2027</v>
      </c>
      <c r="C7338" s="131" t="s">
        <v>252</v>
      </c>
      <c r="D7338" s="132" t="n">
        <v>46681</v>
      </c>
      <c r="E7338" s="131" t="s">
        <v>53</v>
      </c>
      <c r="F7338" s="133" t="s">
        <v>19</v>
      </c>
      <c r="G7338" s="134" t="n">
        <f aca="false">LEN('Saisie programme'!$G$272)+SUMIFS('Vols additionnels'!$E$7:$E$66,'Vols additionnels'!$C$7:$C$66,$E7338,'Vols additionnels'!$D$7:$D$66,$F7338,'Vols additionnels'!$B$7:$B$66,$D7338)</f>
        <v>1</v>
      </c>
      <c r="H7338" s="135" t="n">
        <f aca="false">$G7338*'Analyse capacite'!$F$8</f>
        <v>262</v>
      </c>
      <c r="I7338" s="135" t="n">
        <f aca="false">$G7338*'Analyse capacite'!$C$8</f>
        <v>18</v>
      </c>
      <c r="J7338" s="135" t="n">
        <f aca="false">$G7338*'Analyse capacite'!$D$8</f>
        <v>0</v>
      </c>
      <c r="K7338" s="135" t="n">
        <f aca="false">$G7338*'Analyse capacite'!$E$8</f>
        <v>244</v>
      </c>
    </row>
    <row r="7339" customFormat="false" ht="15" hidden="false" customHeight="false" outlineLevel="0" collapsed="false">
      <c r="B7339" s="130" t="n">
        <v>2027</v>
      </c>
      <c r="C7339" s="131" t="s">
        <v>252</v>
      </c>
      <c r="D7339" s="132" t="n">
        <v>46681</v>
      </c>
      <c r="E7339" s="131" t="s">
        <v>53</v>
      </c>
      <c r="F7339" s="133" t="s">
        <v>24</v>
      </c>
      <c r="G7339" s="134" t="n">
        <f aca="false">LEN('Saisie programme'!$G$273)+SUMIFS('Vols additionnels'!$E$7:$E$66,'Vols additionnels'!$C$7:$C$66,$E7339,'Vols additionnels'!$D$7:$D$66,$F7339,'Vols additionnels'!$B$7:$B$66,$D7339)</f>
        <v>0</v>
      </c>
      <c r="H7339" s="135" t="n">
        <f aca="false">$G7339*'Analyse capacite'!$F$9</f>
        <v>0</v>
      </c>
      <c r="I7339" s="135" t="n">
        <f aca="false">$G7339*'Analyse capacite'!$C$9</f>
        <v>0</v>
      </c>
      <c r="J7339" s="135" t="n">
        <f aca="false">$G7339*'Analyse capacite'!$D$9</f>
        <v>0</v>
      </c>
      <c r="K7339" s="135" t="n">
        <f aca="false">$G7339*'Analyse capacite'!$E$9</f>
        <v>0</v>
      </c>
    </row>
    <row r="7340" customFormat="false" ht="15" hidden="false" customHeight="false" outlineLevel="0" collapsed="false">
      <c r="B7340" s="130" t="n">
        <v>2027</v>
      </c>
      <c r="C7340" s="131" t="s">
        <v>252</v>
      </c>
      <c r="D7340" s="132" t="n">
        <v>46681</v>
      </c>
      <c r="E7340" s="131" t="s">
        <v>56</v>
      </c>
      <c r="F7340" s="133" t="s">
        <v>11</v>
      </c>
      <c r="G7340" s="134" t="n">
        <f aca="false">LEN('Saisie programme'!$G$274)+SUMIFS('Vols additionnels'!$E$7:$E$66,'Vols additionnels'!$C$7:$C$66,$E7340,'Vols additionnels'!$D$7:$D$66,$F7340,'Vols additionnels'!$B$7:$B$66,$D7340)</f>
        <v>0</v>
      </c>
      <c r="H7340" s="135" t="n">
        <f aca="false">$G7340*'Analyse capacite'!$F$7</f>
        <v>0</v>
      </c>
      <c r="I7340" s="135" t="n">
        <f aca="false">$G7340*'Analyse capacite'!$C$7</f>
        <v>0</v>
      </c>
      <c r="J7340" s="135" t="n">
        <f aca="false">$G7340*'Analyse capacite'!$D$7</f>
        <v>0</v>
      </c>
      <c r="K7340" s="135" t="n">
        <f aca="false">$G7340*'Analyse capacite'!$E$7</f>
        <v>0</v>
      </c>
    </row>
    <row r="7341" customFormat="false" ht="15" hidden="false" customHeight="false" outlineLevel="0" collapsed="false">
      <c r="B7341" s="130" t="n">
        <v>2027</v>
      </c>
      <c r="C7341" s="131" t="s">
        <v>252</v>
      </c>
      <c r="D7341" s="132" t="n">
        <v>46681</v>
      </c>
      <c r="E7341" s="131" t="s">
        <v>56</v>
      </c>
      <c r="F7341" s="133" t="s">
        <v>19</v>
      </c>
      <c r="G7341" s="134" t="n">
        <f aca="false">LEN('Saisie programme'!$G$275)+SUMIFS('Vols additionnels'!$E$7:$E$66,'Vols additionnels'!$C$7:$C$66,$E7341,'Vols additionnels'!$D$7:$D$66,$F7341,'Vols additionnels'!$B$7:$B$66,$D7341)</f>
        <v>0</v>
      </c>
      <c r="H7341" s="135" t="n">
        <f aca="false">$G7341*'Analyse capacite'!$F$8</f>
        <v>0</v>
      </c>
      <c r="I7341" s="135" t="n">
        <f aca="false">$G7341*'Analyse capacite'!$C$8</f>
        <v>0</v>
      </c>
      <c r="J7341" s="135" t="n">
        <f aca="false">$G7341*'Analyse capacite'!$D$8</f>
        <v>0</v>
      </c>
      <c r="K7341" s="135" t="n">
        <f aca="false">$G7341*'Analyse capacite'!$E$8</f>
        <v>0</v>
      </c>
    </row>
    <row r="7342" customFormat="false" ht="15" hidden="false" customHeight="false" outlineLevel="0" collapsed="false">
      <c r="B7342" s="130" t="n">
        <v>2027</v>
      </c>
      <c r="C7342" s="131" t="s">
        <v>252</v>
      </c>
      <c r="D7342" s="132" t="n">
        <v>46681</v>
      </c>
      <c r="E7342" s="131" t="s">
        <v>56</v>
      </c>
      <c r="F7342" s="133" t="s">
        <v>24</v>
      </c>
      <c r="G7342" s="134" t="n">
        <f aca="false">LEN('Saisie programme'!$G$276)+SUMIFS('Vols additionnels'!$E$7:$E$66,'Vols additionnels'!$C$7:$C$66,$E7342,'Vols additionnels'!$D$7:$D$66,$F7342,'Vols additionnels'!$B$7:$B$66,$D7342)</f>
        <v>0</v>
      </c>
      <c r="H7342" s="135" t="n">
        <f aca="false">$G7342*'Analyse capacite'!$F$9</f>
        <v>0</v>
      </c>
      <c r="I7342" s="135" t="n">
        <f aca="false">$G7342*'Analyse capacite'!$C$9</f>
        <v>0</v>
      </c>
      <c r="J7342" s="135" t="n">
        <f aca="false">$G7342*'Analyse capacite'!$D$9</f>
        <v>0</v>
      </c>
      <c r="K7342" s="135" t="n">
        <f aca="false">$G7342*'Analyse capacite'!$E$9</f>
        <v>0</v>
      </c>
    </row>
    <row r="7343" customFormat="false" ht="15" hidden="false" customHeight="false" outlineLevel="0" collapsed="false">
      <c r="B7343" s="130" t="n">
        <v>2027</v>
      </c>
      <c r="C7343" s="131" t="s">
        <v>252</v>
      </c>
      <c r="D7343" s="132" t="n">
        <v>46681</v>
      </c>
      <c r="E7343" s="131" t="s">
        <v>59</v>
      </c>
      <c r="F7343" s="133" t="s">
        <v>11</v>
      </c>
      <c r="G7343" s="134" t="n">
        <f aca="false">LEN('Saisie programme'!$G$277)+SUMIFS('Vols additionnels'!$E$7:$E$66,'Vols additionnels'!$C$7:$C$66,$E7343,'Vols additionnels'!$D$7:$D$66,$F7343,'Vols additionnels'!$B$7:$B$66,$D7343)</f>
        <v>0</v>
      </c>
      <c r="H7343" s="135" t="n">
        <f aca="false">$G7343*'Analyse capacite'!$F$7</f>
        <v>0</v>
      </c>
      <c r="I7343" s="135" t="n">
        <f aca="false">$G7343*'Analyse capacite'!$C$7</f>
        <v>0</v>
      </c>
      <c r="J7343" s="135" t="n">
        <f aca="false">$G7343*'Analyse capacite'!$D$7</f>
        <v>0</v>
      </c>
      <c r="K7343" s="135" t="n">
        <f aca="false">$G7343*'Analyse capacite'!$E$7</f>
        <v>0</v>
      </c>
    </row>
    <row r="7344" customFormat="false" ht="15" hidden="false" customHeight="false" outlineLevel="0" collapsed="false">
      <c r="B7344" s="130" t="n">
        <v>2027</v>
      </c>
      <c r="C7344" s="131" t="s">
        <v>252</v>
      </c>
      <c r="D7344" s="132" t="n">
        <v>46681</v>
      </c>
      <c r="E7344" s="131" t="s">
        <v>59</v>
      </c>
      <c r="F7344" s="133" t="s">
        <v>19</v>
      </c>
      <c r="G7344" s="134" t="n">
        <f aca="false">LEN('Saisie programme'!$G$278)+SUMIFS('Vols additionnels'!$E$7:$E$66,'Vols additionnels'!$C$7:$C$66,$E7344,'Vols additionnels'!$D$7:$D$66,$F7344,'Vols additionnels'!$B$7:$B$66,$D7344)</f>
        <v>0</v>
      </c>
      <c r="H7344" s="135" t="n">
        <f aca="false">$G7344*'Analyse capacite'!$F$8</f>
        <v>0</v>
      </c>
      <c r="I7344" s="135" t="n">
        <f aca="false">$G7344*'Analyse capacite'!$C$8</f>
        <v>0</v>
      </c>
      <c r="J7344" s="135" t="n">
        <f aca="false">$G7344*'Analyse capacite'!$D$8</f>
        <v>0</v>
      </c>
      <c r="K7344" s="135" t="n">
        <f aca="false">$G7344*'Analyse capacite'!$E$8</f>
        <v>0</v>
      </c>
    </row>
    <row r="7345" customFormat="false" ht="15" hidden="false" customHeight="false" outlineLevel="0" collapsed="false">
      <c r="B7345" s="130" t="n">
        <v>2027</v>
      </c>
      <c r="C7345" s="131" t="s">
        <v>252</v>
      </c>
      <c r="D7345" s="132" t="n">
        <v>46681</v>
      </c>
      <c r="E7345" s="131" t="s">
        <v>59</v>
      </c>
      <c r="F7345" s="133" t="s">
        <v>24</v>
      </c>
      <c r="G7345" s="134" t="n">
        <f aca="false">LEN('Saisie programme'!$G$279)+SUMIFS('Vols additionnels'!$E$7:$E$66,'Vols additionnels'!$C$7:$C$66,$E7345,'Vols additionnels'!$D$7:$D$66,$F7345,'Vols additionnels'!$B$7:$B$66,$D7345)</f>
        <v>2</v>
      </c>
      <c r="H7345" s="135" t="n">
        <f aca="false">$G7345*'Analyse capacite'!$F$9</f>
        <v>348</v>
      </c>
      <c r="I7345" s="135" t="n">
        <f aca="false">$G7345*'Analyse capacite'!$C$9</f>
        <v>0</v>
      </c>
      <c r="J7345" s="135" t="n">
        <f aca="false">$G7345*'Analyse capacite'!$D$9</f>
        <v>24</v>
      </c>
      <c r="K7345" s="135" t="n">
        <f aca="false">$G7345*'Analyse capacite'!$E$9</f>
        <v>324</v>
      </c>
    </row>
    <row r="7346" customFormat="false" ht="15" hidden="false" customHeight="false" outlineLevel="0" collapsed="false">
      <c r="B7346" s="130" t="n">
        <v>2027</v>
      </c>
      <c r="C7346" s="131" t="s">
        <v>252</v>
      </c>
      <c r="D7346" s="132" t="n">
        <v>46681</v>
      </c>
      <c r="E7346" s="131" t="s">
        <v>62</v>
      </c>
      <c r="F7346" s="133" t="s">
        <v>11</v>
      </c>
      <c r="G7346" s="134" t="n">
        <f aca="false">LEN('Saisie programme'!$G$280)+SUMIFS('Vols additionnels'!$E$7:$E$66,'Vols additionnels'!$C$7:$C$66,$E7346,'Vols additionnels'!$D$7:$D$66,$F7346,'Vols additionnels'!$B$7:$B$66,$D7346)</f>
        <v>0</v>
      </c>
      <c r="H7346" s="135" t="n">
        <f aca="false">$G7346*'Analyse capacite'!$F$7</f>
        <v>0</v>
      </c>
      <c r="I7346" s="135" t="n">
        <f aca="false">$G7346*'Analyse capacite'!$C$7</f>
        <v>0</v>
      </c>
      <c r="J7346" s="135" t="n">
        <f aca="false">$G7346*'Analyse capacite'!$D$7</f>
        <v>0</v>
      </c>
      <c r="K7346" s="135" t="n">
        <f aca="false">$G7346*'Analyse capacite'!$E$7</f>
        <v>0</v>
      </c>
    </row>
    <row r="7347" customFormat="false" ht="15" hidden="false" customHeight="false" outlineLevel="0" collapsed="false">
      <c r="B7347" s="130" t="n">
        <v>2027</v>
      </c>
      <c r="C7347" s="131" t="s">
        <v>252</v>
      </c>
      <c r="D7347" s="132" t="n">
        <v>46681</v>
      </c>
      <c r="E7347" s="131" t="s">
        <v>62</v>
      </c>
      <c r="F7347" s="133" t="s">
        <v>19</v>
      </c>
      <c r="G7347" s="134" t="n">
        <f aca="false">LEN('Saisie programme'!$G$281)+SUMIFS('Vols additionnels'!$E$7:$E$66,'Vols additionnels'!$C$7:$C$66,$E7347,'Vols additionnels'!$D$7:$D$66,$F7347,'Vols additionnels'!$B$7:$B$66,$D7347)</f>
        <v>0</v>
      </c>
      <c r="H7347" s="135" t="n">
        <f aca="false">$G7347*'Analyse capacite'!$F$8</f>
        <v>0</v>
      </c>
      <c r="I7347" s="135" t="n">
        <f aca="false">$G7347*'Analyse capacite'!$C$8</f>
        <v>0</v>
      </c>
      <c r="J7347" s="135" t="n">
        <f aca="false">$G7347*'Analyse capacite'!$D$8</f>
        <v>0</v>
      </c>
      <c r="K7347" s="135" t="n">
        <f aca="false">$G7347*'Analyse capacite'!$E$8</f>
        <v>0</v>
      </c>
    </row>
    <row r="7348" customFormat="false" ht="15" hidden="false" customHeight="false" outlineLevel="0" collapsed="false">
      <c r="B7348" s="130" t="n">
        <v>2027</v>
      </c>
      <c r="C7348" s="131" t="s">
        <v>252</v>
      </c>
      <c r="D7348" s="132" t="n">
        <v>46681</v>
      </c>
      <c r="E7348" s="131" t="s">
        <v>62</v>
      </c>
      <c r="F7348" s="133" t="s">
        <v>24</v>
      </c>
      <c r="G7348" s="134" t="n">
        <f aca="false">LEN('Saisie programme'!$G$282)+SUMIFS('Vols additionnels'!$E$7:$E$66,'Vols additionnels'!$C$7:$C$66,$E7348,'Vols additionnels'!$D$7:$D$66,$F7348,'Vols additionnels'!$B$7:$B$66,$D7348)</f>
        <v>0</v>
      </c>
      <c r="H7348" s="135" t="n">
        <f aca="false">$G7348*'Analyse capacite'!$F$9</f>
        <v>0</v>
      </c>
      <c r="I7348" s="135" t="n">
        <f aca="false">$G7348*'Analyse capacite'!$C$9</f>
        <v>0</v>
      </c>
      <c r="J7348" s="135" t="n">
        <f aca="false">$G7348*'Analyse capacite'!$D$9</f>
        <v>0</v>
      </c>
      <c r="K7348" s="135" t="n">
        <f aca="false">$G7348*'Analyse capacite'!$E$9</f>
        <v>0</v>
      </c>
    </row>
    <row r="7349" customFormat="false" ht="15" hidden="false" customHeight="false" outlineLevel="0" collapsed="false">
      <c r="B7349" s="130" t="n">
        <v>2027</v>
      </c>
      <c r="C7349" s="131" t="s">
        <v>252</v>
      </c>
      <c r="D7349" s="132" t="n">
        <v>46682</v>
      </c>
      <c r="E7349" s="131" t="s">
        <v>12</v>
      </c>
      <c r="F7349" s="133" t="s">
        <v>11</v>
      </c>
      <c r="G7349" s="134" t="n">
        <f aca="false">LEN('Saisie programme'!$H$247)+SUMIFS('Vols additionnels'!$E$7:$E$66,'Vols additionnels'!$C$7:$C$66,$E7349,'Vols additionnels'!$D$7:$D$66,$F7349,'Vols additionnels'!$B$7:$B$66,$D7349)</f>
        <v>1</v>
      </c>
      <c r="H7349" s="135" t="n">
        <f aca="false">$G7349*'Analyse capacite'!$F$7</f>
        <v>438</v>
      </c>
      <c r="I7349" s="135" t="n">
        <f aca="false">$G7349*'Analyse capacite'!$C$7</f>
        <v>14</v>
      </c>
      <c r="J7349" s="135" t="n">
        <f aca="false">$G7349*'Analyse capacite'!$D$7</f>
        <v>40</v>
      </c>
      <c r="K7349" s="135" t="n">
        <f aca="false">$G7349*'Analyse capacite'!$E$7</f>
        <v>384</v>
      </c>
    </row>
    <row r="7350" customFormat="false" ht="15" hidden="false" customHeight="false" outlineLevel="0" collapsed="false">
      <c r="B7350" s="130" t="n">
        <v>2027</v>
      </c>
      <c r="C7350" s="131" t="s">
        <v>252</v>
      </c>
      <c r="D7350" s="132" t="n">
        <v>46682</v>
      </c>
      <c r="E7350" s="131" t="s">
        <v>12</v>
      </c>
      <c r="F7350" s="133" t="s">
        <v>19</v>
      </c>
      <c r="G7350" s="134" t="n">
        <f aca="false">LEN('Saisie programme'!$H$248)+SUMIFS('Vols additionnels'!$E$7:$E$66,'Vols additionnels'!$C$7:$C$66,$E7350,'Vols additionnels'!$D$7:$D$66,$F7350,'Vols additionnels'!$B$7:$B$66,$D7350)</f>
        <v>1</v>
      </c>
      <c r="H7350" s="135" t="n">
        <f aca="false">$G7350*'Analyse capacite'!$F$8</f>
        <v>262</v>
      </c>
      <c r="I7350" s="135" t="n">
        <f aca="false">$G7350*'Analyse capacite'!$C$8</f>
        <v>18</v>
      </c>
      <c r="J7350" s="135" t="n">
        <f aca="false">$G7350*'Analyse capacite'!$D$8</f>
        <v>0</v>
      </c>
      <c r="K7350" s="135" t="n">
        <f aca="false">$G7350*'Analyse capacite'!$E$8</f>
        <v>244</v>
      </c>
    </row>
    <row r="7351" customFormat="false" ht="15" hidden="false" customHeight="false" outlineLevel="0" collapsed="false">
      <c r="B7351" s="130" t="n">
        <v>2027</v>
      </c>
      <c r="C7351" s="131" t="s">
        <v>252</v>
      </c>
      <c r="D7351" s="132" t="n">
        <v>46682</v>
      </c>
      <c r="E7351" s="131" t="s">
        <v>12</v>
      </c>
      <c r="F7351" s="133" t="s">
        <v>24</v>
      </c>
      <c r="G7351" s="134" t="n">
        <f aca="false">LEN('Saisie programme'!$H$249)+SUMIFS('Vols additionnels'!$E$7:$E$66,'Vols additionnels'!$C$7:$C$66,$E7351,'Vols additionnels'!$D$7:$D$66,$F7351,'Vols additionnels'!$B$7:$B$66,$D7351)</f>
        <v>0</v>
      </c>
      <c r="H7351" s="135" t="n">
        <f aca="false">$G7351*'Analyse capacite'!$F$9</f>
        <v>0</v>
      </c>
      <c r="I7351" s="135" t="n">
        <f aca="false">$G7351*'Analyse capacite'!$C$9</f>
        <v>0</v>
      </c>
      <c r="J7351" s="135" t="n">
        <f aca="false">$G7351*'Analyse capacite'!$D$9</f>
        <v>0</v>
      </c>
      <c r="K7351" s="135" t="n">
        <f aca="false">$G7351*'Analyse capacite'!$E$9</f>
        <v>0</v>
      </c>
    </row>
    <row r="7352" customFormat="false" ht="15" hidden="false" customHeight="false" outlineLevel="0" collapsed="false">
      <c r="B7352" s="130" t="n">
        <v>2027</v>
      </c>
      <c r="C7352" s="131" t="s">
        <v>252</v>
      </c>
      <c r="D7352" s="132" t="n">
        <v>46682</v>
      </c>
      <c r="E7352" s="131" t="s">
        <v>20</v>
      </c>
      <c r="F7352" s="133" t="s">
        <v>11</v>
      </c>
      <c r="G7352" s="134" t="n">
        <f aca="false">LEN('Saisie programme'!$H$250)+SUMIFS('Vols additionnels'!$E$7:$E$66,'Vols additionnels'!$C$7:$C$66,$E7352,'Vols additionnels'!$D$7:$D$66,$F7352,'Vols additionnels'!$B$7:$B$66,$D7352)</f>
        <v>0</v>
      </c>
      <c r="H7352" s="135" t="n">
        <f aca="false">$G7352*'Analyse capacite'!$F$7</f>
        <v>0</v>
      </c>
      <c r="I7352" s="135" t="n">
        <f aca="false">$G7352*'Analyse capacite'!$C$7</f>
        <v>0</v>
      </c>
      <c r="J7352" s="135" t="n">
        <f aca="false">$G7352*'Analyse capacite'!$D$7</f>
        <v>0</v>
      </c>
      <c r="K7352" s="135" t="n">
        <f aca="false">$G7352*'Analyse capacite'!$E$7</f>
        <v>0</v>
      </c>
    </row>
    <row r="7353" customFormat="false" ht="15" hidden="false" customHeight="false" outlineLevel="0" collapsed="false">
      <c r="B7353" s="130" t="n">
        <v>2027</v>
      </c>
      <c r="C7353" s="131" t="s">
        <v>252</v>
      </c>
      <c r="D7353" s="132" t="n">
        <v>46682</v>
      </c>
      <c r="E7353" s="131" t="s">
        <v>20</v>
      </c>
      <c r="F7353" s="133" t="s">
        <v>19</v>
      </c>
      <c r="G7353" s="134" t="n">
        <f aca="false">LEN('Saisie programme'!$H$251)+SUMIFS('Vols additionnels'!$E$7:$E$66,'Vols additionnels'!$C$7:$C$66,$E7353,'Vols additionnels'!$D$7:$D$66,$F7353,'Vols additionnels'!$B$7:$B$66,$D7353)</f>
        <v>1</v>
      </c>
      <c r="H7353" s="135" t="n">
        <f aca="false">$G7353*'Analyse capacite'!$F$8</f>
        <v>262</v>
      </c>
      <c r="I7353" s="135" t="n">
        <f aca="false">$G7353*'Analyse capacite'!$C$8</f>
        <v>18</v>
      </c>
      <c r="J7353" s="135" t="n">
        <f aca="false">$G7353*'Analyse capacite'!$D$8</f>
        <v>0</v>
      </c>
      <c r="K7353" s="135" t="n">
        <f aca="false">$G7353*'Analyse capacite'!$E$8</f>
        <v>244</v>
      </c>
    </row>
    <row r="7354" customFormat="false" ht="15" hidden="false" customHeight="false" outlineLevel="0" collapsed="false">
      <c r="B7354" s="130" t="n">
        <v>2027</v>
      </c>
      <c r="C7354" s="131" t="s">
        <v>252</v>
      </c>
      <c r="D7354" s="132" t="n">
        <v>46682</v>
      </c>
      <c r="E7354" s="131" t="s">
        <v>20</v>
      </c>
      <c r="F7354" s="133" t="s">
        <v>24</v>
      </c>
      <c r="G7354" s="134" t="n">
        <f aca="false">LEN('Saisie programme'!$H$252)+SUMIFS('Vols additionnels'!$E$7:$E$66,'Vols additionnels'!$C$7:$C$66,$E7354,'Vols additionnels'!$D$7:$D$66,$F7354,'Vols additionnels'!$B$7:$B$66,$D7354)</f>
        <v>0</v>
      </c>
      <c r="H7354" s="135" t="n">
        <f aca="false">$G7354*'Analyse capacite'!$F$9</f>
        <v>0</v>
      </c>
      <c r="I7354" s="135" t="n">
        <f aca="false">$G7354*'Analyse capacite'!$C$9</f>
        <v>0</v>
      </c>
      <c r="J7354" s="135" t="n">
        <f aca="false">$G7354*'Analyse capacite'!$D$9</f>
        <v>0</v>
      </c>
      <c r="K7354" s="135" t="n">
        <f aca="false">$G7354*'Analyse capacite'!$E$9</f>
        <v>0</v>
      </c>
    </row>
    <row r="7355" customFormat="false" ht="15" hidden="false" customHeight="false" outlineLevel="0" collapsed="false">
      <c r="B7355" s="130" t="n">
        <v>2027</v>
      </c>
      <c r="C7355" s="131" t="s">
        <v>252</v>
      </c>
      <c r="D7355" s="132" t="n">
        <v>46682</v>
      </c>
      <c r="E7355" s="131" t="s">
        <v>25</v>
      </c>
      <c r="F7355" s="133" t="s">
        <v>11</v>
      </c>
      <c r="G7355" s="134" t="n">
        <f aca="false">LEN('Saisie programme'!$H$253)+SUMIFS('Vols additionnels'!$E$7:$E$66,'Vols additionnels'!$C$7:$C$66,$E7355,'Vols additionnels'!$D$7:$D$66,$F7355,'Vols additionnels'!$B$7:$B$66,$D7355)</f>
        <v>0</v>
      </c>
      <c r="H7355" s="135" t="n">
        <f aca="false">$G7355*'Analyse capacite'!$F$7</f>
        <v>0</v>
      </c>
      <c r="I7355" s="135" t="n">
        <f aca="false">$G7355*'Analyse capacite'!$C$7</f>
        <v>0</v>
      </c>
      <c r="J7355" s="135" t="n">
        <f aca="false">$G7355*'Analyse capacite'!$D$7</f>
        <v>0</v>
      </c>
      <c r="K7355" s="135" t="n">
        <f aca="false">$G7355*'Analyse capacite'!$E$7</f>
        <v>0</v>
      </c>
    </row>
    <row r="7356" customFormat="false" ht="15" hidden="false" customHeight="false" outlineLevel="0" collapsed="false">
      <c r="B7356" s="130" t="n">
        <v>2027</v>
      </c>
      <c r="C7356" s="131" t="s">
        <v>252</v>
      </c>
      <c r="D7356" s="132" t="n">
        <v>46682</v>
      </c>
      <c r="E7356" s="131" t="s">
        <v>25</v>
      </c>
      <c r="F7356" s="133" t="s">
        <v>19</v>
      </c>
      <c r="G7356" s="134" t="n">
        <f aca="false">LEN('Saisie programme'!$H$254)+SUMIFS('Vols additionnels'!$E$7:$E$66,'Vols additionnels'!$C$7:$C$66,$E7356,'Vols additionnels'!$D$7:$D$66,$F7356,'Vols additionnels'!$B$7:$B$66,$D7356)</f>
        <v>0</v>
      </c>
      <c r="H7356" s="135" t="n">
        <f aca="false">$G7356*'Analyse capacite'!$F$8</f>
        <v>0</v>
      </c>
      <c r="I7356" s="135" t="n">
        <f aca="false">$G7356*'Analyse capacite'!$C$8</f>
        <v>0</v>
      </c>
      <c r="J7356" s="135" t="n">
        <f aca="false">$G7356*'Analyse capacite'!$D$8</f>
        <v>0</v>
      </c>
      <c r="K7356" s="135" t="n">
        <f aca="false">$G7356*'Analyse capacite'!$E$8</f>
        <v>0</v>
      </c>
    </row>
    <row r="7357" customFormat="false" ht="15" hidden="false" customHeight="false" outlineLevel="0" collapsed="false">
      <c r="B7357" s="130" t="n">
        <v>2027</v>
      </c>
      <c r="C7357" s="131" t="s">
        <v>252</v>
      </c>
      <c r="D7357" s="132" t="n">
        <v>46682</v>
      </c>
      <c r="E7357" s="131" t="s">
        <v>25</v>
      </c>
      <c r="F7357" s="133" t="s">
        <v>24</v>
      </c>
      <c r="G7357" s="134" t="n">
        <f aca="false">LEN('Saisie programme'!$H$255)+SUMIFS('Vols additionnels'!$E$7:$E$66,'Vols additionnels'!$C$7:$C$66,$E7357,'Vols additionnels'!$D$7:$D$66,$F7357,'Vols additionnels'!$B$7:$B$66,$D7357)</f>
        <v>0</v>
      </c>
      <c r="H7357" s="135" t="n">
        <f aca="false">$G7357*'Analyse capacite'!$F$9</f>
        <v>0</v>
      </c>
      <c r="I7357" s="135" t="n">
        <f aca="false">$G7357*'Analyse capacite'!$C$9</f>
        <v>0</v>
      </c>
      <c r="J7357" s="135" t="n">
        <f aca="false">$G7357*'Analyse capacite'!$D$9</f>
        <v>0</v>
      </c>
      <c r="K7357" s="135" t="n">
        <f aca="false">$G7357*'Analyse capacite'!$E$9</f>
        <v>0</v>
      </c>
    </row>
    <row r="7358" customFormat="false" ht="15" hidden="false" customHeight="false" outlineLevel="0" collapsed="false">
      <c r="B7358" s="130" t="n">
        <v>2027</v>
      </c>
      <c r="C7358" s="131" t="s">
        <v>252</v>
      </c>
      <c r="D7358" s="132" t="n">
        <v>46682</v>
      </c>
      <c r="E7358" s="131" t="s">
        <v>36</v>
      </c>
      <c r="F7358" s="133" t="s">
        <v>11</v>
      </c>
      <c r="G7358" s="134" t="n">
        <f aca="false">LEN('Saisie programme'!$H$256)+SUMIFS('Vols additionnels'!$E$7:$E$66,'Vols additionnels'!$C$7:$C$66,$E7358,'Vols additionnels'!$D$7:$D$66,$F7358,'Vols additionnels'!$B$7:$B$66,$D7358)</f>
        <v>0</v>
      </c>
      <c r="H7358" s="135" t="n">
        <f aca="false">$G7358*'Analyse capacite'!$F$7</f>
        <v>0</v>
      </c>
      <c r="I7358" s="135" t="n">
        <f aca="false">$G7358*'Analyse capacite'!$C$7</f>
        <v>0</v>
      </c>
      <c r="J7358" s="135" t="n">
        <f aca="false">$G7358*'Analyse capacite'!$D$7</f>
        <v>0</v>
      </c>
      <c r="K7358" s="135" t="n">
        <f aca="false">$G7358*'Analyse capacite'!$E$7</f>
        <v>0</v>
      </c>
    </row>
    <row r="7359" customFormat="false" ht="15" hidden="false" customHeight="false" outlineLevel="0" collapsed="false">
      <c r="B7359" s="130" t="n">
        <v>2027</v>
      </c>
      <c r="C7359" s="131" t="s">
        <v>252</v>
      </c>
      <c r="D7359" s="132" t="n">
        <v>46682</v>
      </c>
      <c r="E7359" s="131" t="s">
        <v>36</v>
      </c>
      <c r="F7359" s="133" t="s">
        <v>19</v>
      </c>
      <c r="G7359" s="134" t="n">
        <f aca="false">LEN('Saisie programme'!$H$257)+SUMIFS('Vols additionnels'!$E$7:$E$66,'Vols additionnels'!$C$7:$C$66,$E7359,'Vols additionnels'!$D$7:$D$66,$F7359,'Vols additionnels'!$B$7:$B$66,$D7359)</f>
        <v>0</v>
      </c>
      <c r="H7359" s="135" t="n">
        <f aca="false">$G7359*'Analyse capacite'!$F$8</f>
        <v>0</v>
      </c>
      <c r="I7359" s="135" t="n">
        <f aca="false">$G7359*'Analyse capacite'!$C$8</f>
        <v>0</v>
      </c>
      <c r="J7359" s="135" t="n">
        <f aca="false">$G7359*'Analyse capacite'!$D$8</f>
        <v>0</v>
      </c>
      <c r="K7359" s="135" t="n">
        <f aca="false">$G7359*'Analyse capacite'!$E$8</f>
        <v>0</v>
      </c>
    </row>
    <row r="7360" customFormat="false" ht="15" hidden="false" customHeight="false" outlineLevel="0" collapsed="false">
      <c r="B7360" s="130" t="n">
        <v>2027</v>
      </c>
      <c r="C7360" s="131" t="s">
        <v>252</v>
      </c>
      <c r="D7360" s="132" t="n">
        <v>46682</v>
      </c>
      <c r="E7360" s="131" t="s">
        <v>36</v>
      </c>
      <c r="F7360" s="133" t="s">
        <v>24</v>
      </c>
      <c r="G7360" s="134" t="n">
        <f aca="false">LEN('Saisie programme'!$H$258)+SUMIFS('Vols additionnels'!$E$7:$E$66,'Vols additionnels'!$C$7:$C$66,$E7360,'Vols additionnels'!$D$7:$D$66,$F7360,'Vols additionnels'!$B$7:$B$66,$D7360)</f>
        <v>1</v>
      </c>
      <c r="H7360" s="135" t="n">
        <f aca="false">$G7360*'Analyse capacite'!$F$9</f>
        <v>174</v>
      </c>
      <c r="I7360" s="135" t="n">
        <f aca="false">$G7360*'Analyse capacite'!$C$9</f>
        <v>0</v>
      </c>
      <c r="J7360" s="135" t="n">
        <f aca="false">$G7360*'Analyse capacite'!$D$9</f>
        <v>12</v>
      </c>
      <c r="K7360" s="135" t="n">
        <f aca="false">$G7360*'Analyse capacite'!$E$9</f>
        <v>162</v>
      </c>
    </row>
    <row r="7361" customFormat="false" ht="15" hidden="false" customHeight="false" outlineLevel="0" collapsed="false">
      <c r="B7361" s="130" t="n">
        <v>2027</v>
      </c>
      <c r="C7361" s="131" t="s">
        <v>252</v>
      </c>
      <c r="D7361" s="132" t="n">
        <v>46682</v>
      </c>
      <c r="E7361" s="131" t="s">
        <v>40</v>
      </c>
      <c r="F7361" s="133" t="s">
        <v>11</v>
      </c>
      <c r="G7361" s="134" t="n">
        <f aca="false">LEN('Saisie programme'!$H$259)+SUMIFS('Vols additionnels'!$E$7:$E$66,'Vols additionnels'!$C$7:$C$66,$E7361,'Vols additionnels'!$D$7:$D$66,$F7361,'Vols additionnels'!$B$7:$B$66,$D7361)</f>
        <v>0</v>
      </c>
      <c r="H7361" s="135" t="n">
        <f aca="false">$G7361*'Analyse capacite'!$F$7</f>
        <v>0</v>
      </c>
      <c r="I7361" s="135" t="n">
        <f aca="false">$G7361*'Analyse capacite'!$C$7</f>
        <v>0</v>
      </c>
      <c r="J7361" s="135" t="n">
        <f aca="false">$G7361*'Analyse capacite'!$D$7</f>
        <v>0</v>
      </c>
      <c r="K7361" s="135" t="n">
        <f aca="false">$G7361*'Analyse capacite'!$E$7</f>
        <v>0</v>
      </c>
    </row>
    <row r="7362" customFormat="false" ht="15" hidden="false" customHeight="false" outlineLevel="0" collapsed="false">
      <c r="B7362" s="130" t="n">
        <v>2027</v>
      </c>
      <c r="C7362" s="131" t="s">
        <v>252</v>
      </c>
      <c r="D7362" s="132" t="n">
        <v>46682</v>
      </c>
      <c r="E7362" s="131" t="s">
        <v>40</v>
      </c>
      <c r="F7362" s="133" t="s">
        <v>19</v>
      </c>
      <c r="G7362" s="134" t="n">
        <f aca="false">LEN('Saisie programme'!$H$260)+SUMIFS('Vols additionnels'!$E$7:$E$66,'Vols additionnels'!$C$7:$C$66,$E7362,'Vols additionnels'!$D$7:$D$66,$F7362,'Vols additionnels'!$B$7:$B$66,$D7362)</f>
        <v>0</v>
      </c>
      <c r="H7362" s="135" t="n">
        <f aca="false">$G7362*'Analyse capacite'!$F$8</f>
        <v>0</v>
      </c>
      <c r="I7362" s="135" t="n">
        <f aca="false">$G7362*'Analyse capacite'!$C$8</f>
        <v>0</v>
      </c>
      <c r="J7362" s="135" t="n">
        <f aca="false">$G7362*'Analyse capacite'!$D$8</f>
        <v>0</v>
      </c>
      <c r="K7362" s="135" t="n">
        <f aca="false">$G7362*'Analyse capacite'!$E$8</f>
        <v>0</v>
      </c>
    </row>
    <row r="7363" customFormat="false" ht="15" hidden="false" customHeight="false" outlineLevel="0" collapsed="false">
      <c r="B7363" s="130" t="n">
        <v>2027</v>
      </c>
      <c r="C7363" s="131" t="s">
        <v>252</v>
      </c>
      <c r="D7363" s="132" t="n">
        <v>46682</v>
      </c>
      <c r="E7363" s="131" t="s">
        <v>40</v>
      </c>
      <c r="F7363" s="133" t="s">
        <v>24</v>
      </c>
      <c r="G7363" s="134" t="n">
        <f aca="false">LEN('Saisie programme'!$H$261)+SUMIFS('Vols additionnels'!$E$7:$E$66,'Vols additionnels'!$C$7:$C$66,$E7363,'Vols additionnels'!$D$7:$D$66,$F7363,'Vols additionnels'!$B$7:$B$66,$D7363)</f>
        <v>1</v>
      </c>
      <c r="H7363" s="135" t="n">
        <f aca="false">$G7363*'Analyse capacite'!$F$9</f>
        <v>174</v>
      </c>
      <c r="I7363" s="135" t="n">
        <f aca="false">$G7363*'Analyse capacite'!$C$9</f>
        <v>0</v>
      </c>
      <c r="J7363" s="135" t="n">
        <f aca="false">$G7363*'Analyse capacite'!$D$9</f>
        <v>12</v>
      </c>
      <c r="K7363" s="135" t="n">
        <f aca="false">$G7363*'Analyse capacite'!$E$9</f>
        <v>162</v>
      </c>
    </row>
    <row r="7364" customFormat="false" ht="15" hidden="false" customHeight="false" outlineLevel="0" collapsed="false">
      <c r="B7364" s="130" t="n">
        <v>2027</v>
      </c>
      <c r="C7364" s="131" t="s">
        <v>252</v>
      </c>
      <c r="D7364" s="132" t="n">
        <v>46682</v>
      </c>
      <c r="E7364" s="131" t="s">
        <v>14</v>
      </c>
      <c r="F7364" s="133" t="s">
        <v>11</v>
      </c>
      <c r="G7364" s="134" t="n">
        <f aca="false">LEN('Saisie programme'!$H$262)+SUMIFS('Vols additionnels'!$E$7:$E$66,'Vols additionnels'!$C$7:$C$66,$E7364,'Vols additionnels'!$D$7:$D$66,$F7364,'Vols additionnels'!$B$7:$B$66,$D7364)</f>
        <v>0</v>
      </c>
      <c r="H7364" s="135" t="n">
        <f aca="false">$G7364*'Analyse capacite'!$F$7</f>
        <v>0</v>
      </c>
      <c r="I7364" s="135" t="n">
        <f aca="false">$G7364*'Analyse capacite'!$C$7</f>
        <v>0</v>
      </c>
      <c r="J7364" s="135" t="n">
        <f aca="false">$G7364*'Analyse capacite'!$D$7</f>
        <v>0</v>
      </c>
      <c r="K7364" s="135" t="n">
        <f aca="false">$G7364*'Analyse capacite'!$E$7</f>
        <v>0</v>
      </c>
    </row>
    <row r="7365" customFormat="false" ht="15" hidden="false" customHeight="false" outlineLevel="0" collapsed="false">
      <c r="B7365" s="130" t="n">
        <v>2027</v>
      </c>
      <c r="C7365" s="131" t="s">
        <v>252</v>
      </c>
      <c r="D7365" s="132" t="n">
        <v>46682</v>
      </c>
      <c r="E7365" s="131" t="s">
        <v>14</v>
      </c>
      <c r="F7365" s="133" t="s">
        <v>19</v>
      </c>
      <c r="G7365" s="134" t="n">
        <f aca="false">LEN('Saisie programme'!$H$263)+SUMIFS('Vols additionnels'!$E$7:$E$66,'Vols additionnels'!$C$7:$C$66,$E7365,'Vols additionnels'!$D$7:$D$66,$F7365,'Vols additionnels'!$B$7:$B$66,$D7365)</f>
        <v>0</v>
      </c>
      <c r="H7365" s="135" t="n">
        <f aca="false">$G7365*'Analyse capacite'!$F$8</f>
        <v>0</v>
      </c>
      <c r="I7365" s="135" t="n">
        <f aca="false">$G7365*'Analyse capacite'!$C$8</f>
        <v>0</v>
      </c>
      <c r="J7365" s="135" t="n">
        <f aca="false">$G7365*'Analyse capacite'!$D$8</f>
        <v>0</v>
      </c>
      <c r="K7365" s="135" t="n">
        <f aca="false">$G7365*'Analyse capacite'!$E$8</f>
        <v>0</v>
      </c>
    </row>
    <row r="7366" customFormat="false" ht="15" hidden="false" customHeight="false" outlineLevel="0" collapsed="false">
      <c r="B7366" s="130" t="n">
        <v>2027</v>
      </c>
      <c r="C7366" s="131" t="s">
        <v>252</v>
      </c>
      <c r="D7366" s="132" t="n">
        <v>46682</v>
      </c>
      <c r="E7366" s="131" t="s">
        <v>14</v>
      </c>
      <c r="F7366" s="133" t="s">
        <v>24</v>
      </c>
      <c r="G7366" s="134" t="n">
        <f aca="false">LEN('Saisie programme'!$H$264)+SUMIFS('Vols additionnels'!$E$7:$E$66,'Vols additionnels'!$C$7:$C$66,$E7366,'Vols additionnels'!$D$7:$D$66,$F7366,'Vols additionnels'!$B$7:$B$66,$D7366)</f>
        <v>0</v>
      </c>
      <c r="H7366" s="135" t="n">
        <f aca="false">$G7366*'Analyse capacite'!$F$9</f>
        <v>0</v>
      </c>
      <c r="I7366" s="135" t="n">
        <f aca="false">$G7366*'Analyse capacite'!$C$9</f>
        <v>0</v>
      </c>
      <c r="J7366" s="135" t="n">
        <f aca="false">$G7366*'Analyse capacite'!$D$9</f>
        <v>0</v>
      </c>
      <c r="K7366" s="135" t="n">
        <f aca="false">$G7366*'Analyse capacite'!$E$9</f>
        <v>0</v>
      </c>
    </row>
    <row r="7367" customFormat="false" ht="15" hidden="false" customHeight="false" outlineLevel="0" collapsed="false">
      <c r="B7367" s="130" t="n">
        <v>2027</v>
      </c>
      <c r="C7367" s="131" t="s">
        <v>252</v>
      </c>
      <c r="D7367" s="132" t="n">
        <v>46682</v>
      </c>
      <c r="E7367" s="131" t="s">
        <v>46</v>
      </c>
      <c r="F7367" s="133" t="s">
        <v>11</v>
      </c>
      <c r="G7367" s="134" t="n">
        <f aca="false">LEN('Saisie programme'!$H$265)+SUMIFS('Vols additionnels'!$E$7:$E$66,'Vols additionnels'!$C$7:$C$66,$E7367,'Vols additionnels'!$D$7:$D$66,$F7367,'Vols additionnels'!$B$7:$B$66,$D7367)</f>
        <v>0</v>
      </c>
      <c r="H7367" s="135" t="n">
        <f aca="false">$G7367*'Analyse capacite'!$F$7</f>
        <v>0</v>
      </c>
      <c r="I7367" s="135" t="n">
        <f aca="false">$G7367*'Analyse capacite'!$C$7</f>
        <v>0</v>
      </c>
      <c r="J7367" s="135" t="n">
        <f aca="false">$G7367*'Analyse capacite'!$D$7</f>
        <v>0</v>
      </c>
      <c r="K7367" s="135" t="n">
        <f aca="false">$G7367*'Analyse capacite'!$E$7</f>
        <v>0</v>
      </c>
    </row>
    <row r="7368" customFormat="false" ht="15" hidden="false" customHeight="false" outlineLevel="0" collapsed="false">
      <c r="B7368" s="130" t="n">
        <v>2027</v>
      </c>
      <c r="C7368" s="131" t="s">
        <v>252</v>
      </c>
      <c r="D7368" s="132" t="n">
        <v>46682</v>
      </c>
      <c r="E7368" s="131" t="s">
        <v>46</v>
      </c>
      <c r="F7368" s="133" t="s">
        <v>19</v>
      </c>
      <c r="G7368" s="134" t="n">
        <f aca="false">LEN('Saisie programme'!$H$266)+SUMIFS('Vols additionnels'!$E$7:$E$66,'Vols additionnels'!$C$7:$C$66,$E7368,'Vols additionnels'!$D$7:$D$66,$F7368,'Vols additionnels'!$B$7:$B$66,$D7368)</f>
        <v>0</v>
      </c>
      <c r="H7368" s="135" t="n">
        <f aca="false">$G7368*'Analyse capacite'!$F$8</f>
        <v>0</v>
      </c>
      <c r="I7368" s="135" t="n">
        <f aca="false">$G7368*'Analyse capacite'!$C$8</f>
        <v>0</v>
      </c>
      <c r="J7368" s="135" t="n">
        <f aca="false">$G7368*'Analyse capacite'!$D$8</f>
        <v>0</v>
      </c>
      <c r="K7368" s="135" t="n">
        <f aca="false">$G7368*'Analyse capacite'!$E$8</f>
        <v>0</v>
      </c>
    </row>
    <row r="7369" customFormat="false" ht="15" hidden="false" customHeight="false" outlineLevel="0" collapsed="false">
      <c r="B7369" s="130" t="n">
        <v>2027</v>
      </c>
      <c r="C7369" s="131" t="s">
        <v>252</v>
      </c>
      <c r="D7369" s="132" t="n">
        <v>46682</v>
      </c>
      <c r="E7369" s="131" t="s">
        <v>46</v>
      </c>
      <c r="F7369" s="133" t="s">
        <v>24</v>
      </c>
      <c r="G7369" s="134" t="n">
        <f aca="false">LEN('Saisie programme'!$H$267)+SUMIFS('Vols additionnels'!$E$7:$E$66,'Vols additionnels'!$C$7:$C$66,$E7369,'Vols additionnels'!$D$7:$D$66,$F7369,'Vols additionnels'!$B$7:$B$66,$D7369)</f>
        <v>0</v>
      </c>
      <c r="H7369" s="135" t="n">
        <f aca="false">$G7369*'Analyse capacite'!$F$9</f>
        <v>0</v>
      </c>
      <c r="I7369" s="135" t="n">
        <f aca="false">$G7369*'Analyse capacite'!$C$9</f>
        <v>0</v>
      </c>
      <c r="J7369" s="135" t="n">
        <f aca="false">$G7369*'Analyse capacite'!$D$9</f>
        <v>0</v>
      </c>
      <c r="K7369" s="135" t="n">
        <f aca="false">$G7369*'Analyse capacite'!$E$9</f>
        <v>0</v>
      </c>
    </row>
    <row r="7370" customFormat="false" ht="15" hidden="false" customHeight="false" outlineLevel="0" collapsed="false">
      <c r="B7370" s="130" t="n">
        <v>2027</v>
      </c>
      <c r="C7370" s="131" t="s">
        <v>252</v>
      </c>
      <c r="D7370" s="132" t="n">
        <v>46682</v>
      </c>
      <c r="E7370" s="131" t="s">
        <v>49</v>
      </c>
      <c r="F7370" s="133" t="s">
        <v>11</v>
      </c>
      <c r="G7370" s="134" t="n">
        <f aca="false">LEN('Saisie programme'!$H$268)+SUMIFS('Vols additionnels'!$E$7:$E$66,'Vols additionnels'!$C$7:$C$66,$E7370,'Vols additionnels'!$D$7:$D$66,$F7370,'Vols additionnels'!$B$7:$B$66,$D7370)</f>
        <v>0</v>
      </c>
      <c r="H7370" s="135" t="n">
        <f aca="false">$G7370*'Analyse capacite'!$F$7</f>
        <v>0</v>
      </c>
      <c r="I7370" s="135" t="n">
        <f aca="false">$G7370*'Analyse capacite'!$C$7</f>
        <v>0</v>
      </c>
      <c r="J7370" s="135" t="n">
        <f aca="false">$G7370*'Analyse capacite'!$D$7</f>
        <v>0</v>
      </c>
      <c r="K7370" s="135" t="n">
        <f aca="false">$G7370*'Analyse capacite'!$E$7</f>
        <v>0</v>
      </c>
    </row>
    <row r="7371" customFormat="false" ht="15" hidden="false" customHeight="false" outlineLevel="0" collapsed="false">
      <c r="B7371" s="130" t="n">
        <v>2027</v>
      </c>
      <c r="C7371" s="131" t="s">
        <v>252</v>
      </c>
      <c r="D7371" s="132" t="n">
        <v>46682</v>
      </c>
      <c r="E7371" s="131" t="s">
        <v>49</v>
      </c>
      <c r="F7371" s="133" t="s">
        <v>19</v>
      </c>
      <c r="G7371" s="134" t="n">
        <f aca="false">LEN('Saisie programme'!$H$269)+SUMIFS('Vols additionnels'!$E$7:$E$66,'Vols additionnels'!$C$7:$C$66,$E7371,'Vols additionnels'!$D$7:$D$66,$F7371,'Vols additionnels'!$B$7:$B$66,$D7371)</f>
        <v>1</v>
      </c>
      <c r="H7371" s="135" t="n">
        <f aca="false">$G7371*'Analyse capacite'!$F$8</f>
        <v>262</v>
      </c>
      <c r="I7371" s="135" t="n">
        <f aca="false">$G7371*'Analyse capacite'!$C$8</f>
        <v>18</v>
      </c>
      <c r="J7371" s="135" t="n">
        <f aca="false">$G7371*'Analyse capacite'!$D$8</f>
        <v>0</v>
      </c>
      <c r="K7371" s="135" t="n">
        <f aca="false">$G7371*'Analyse capacite'!$E$8</f>
        <v>244</v>
      </c>
    </row>
    <row r="7372" customFormat="false" ht="15" hidden="false" customHeight="false" outlineLevel="0" collapsed="false">
      <c r="B7372" s="130" t="n">
        <v>2027</v>
      </c>
      <c r="C7372" s="131" t="s">
        <v>252</v>
      </c>
      <c r="D7372" s="132" t="n">
        <v>46682</v>
      </c>
      <c r="E7372" s="131" t="s">
        <v>49</v>
      </c>
      <c r="F7372" s="133" t="s">
        <v>24</v>
      </c>
      <c r="G7372" s="134" t="n">
        <f aca="false">LEN('Saisie programme'!$H$270)+SUMIFS('Vols additionnels'!$E$7:$E$66,'Vols additionnels'!$C$7:$C$66,$E7372,'Vols additionnels'!$D$7:$D$66,$F7372,'Vols additionnels'!$B$7:$B$66,$D7372)</f>
        <v>0</v>
      </c>
      <c r="H7372" s="135" t="n">
        <f aca="false">$G7372*'Analyse capacite'!$F$9</f>
        <v>0</v>
      </c>
      <c r="I7372" s="135" t="n">
        <f aca="false">$G7372*'Analyse capacite'!$C$9</f>
        <v>0</v>
      </c>
      <c r="J7372" s="135" t="n">
        <f aca="false">$G7372*'Analyse capacite'!$D$9</f>
        <v>0</v>
      </c>
      <c r="K7372" s="135" t="n">
        <f aca="false">$G7372*'Analyse capacite'!$E$9</f>
        <v>0</v>
      </c>
    </row>
    <row r="7373" customFormat="false" ht="15" hidden="false" customHeight="false" outlineLevel="0" collapsed="false">
      <c r="B7373" s="130" t="n">
        <v>2027</v>
      </c>
      <c r="C7373" s="131" t="s">
        <v>252</v>
      </c>
      <c r="D7373" s="132" t="n">
        <v>46682</v>
      </c>
      <c r="E7373" s="131" t="s">
        <v>53</v>
      </c>
      <c r="F7373" s="133" t="s">
        <v>11</v>
      </c>
      <c r="G7373" s="134" t="n">
        <f aca="false">LEN('Saisie programme'!$H$271)+SUMIFS('Vols additionnels'!$E$7:$E$66,'Vols additionnels'!$C$7:$C$66,$E7373,'Vols additionnels'!$D$7:$D$66,$F7373,'Vols additionnels'!$B$7:$B$66,$D7373)</f>
        <v>0</v>
      </c>
      <c r="H7373" s="135" t="n">
        <f aca="false">$G7373*'Analyse capacite'!$F$7</f>
        <v>0</v>
      </c>
      <c r="I7373" s="135" t="n">
        <f aca="false">$G7373*'Analyse capacite'!$C$7</f>
        <v>0</v>
      </c>
      <c r="J7373" s="135" t="n">
        <f aca="false">$G7373*'Analyse capacite'!$D$7</f>
        <v>0</v>
      </c>
      <c r="K7373" s="135" t="n">
        <f aca="false">$G7373*'Analyse capacite'!$E$7</f>
        <v>0</v>
      </c>
    </row>
    <row r="7374" customFormat="false" ht="15" hidden="false" customHeight="false" outlineLevel="0" collapsed="false">
      <c r="B7374" s="130" t="n">
        <v>2027</v>
      </c>
      <c r="C7374" s="131" t="s">
        <v>252</v>
      </c>
      <c r="D7374" s="132" t="n">
        <v>46682</v>
      </c>
      <c r="E7374" s="131" t="s">
        <v>53</v>
      </c>
      <c r="F7374" s="133" t="s">
        <v>19</v>
      </c>
      <c r="G7374" s="134" t="n">
        <f aca="false">LEN('Saisie programme'!$H$272)+SUMIFS('Vols additionnels'!$E$7:$E$66,'Vols additionnels'!$C$7:$C$66,$E7374,'Vols additionnels'!$D$7:$D$66,$F7374,'Vols additionnels'!$B$7:$B$66,$D7374)</f>
        <v>0</v>
      </c>
      <c r="H7374" s="135" t="n">
        <f aca="false">$G7374*'Analyse capacite'!$F$8</f>
        <v>0</v>
      </c>
      <c r="I7374" s="135" t="n">
        <f aca="false">$G7374*'Analyse capacite'!$C$8</f>
        <v>0</v>
      </c>
      <c r="J7374" s="135" t="n">
        <f aca="false">$G7374*'Analyse capacite'!$D$8</f>
        <v>0</v>
      </c>
      <c r="K7374" s="135" t="n">
        <f aca="false">$G7374*'Analyse capacite'!$E$8</f>
        <v>0</v>
      </c>
    </row>
    <row r="7375" customFormat="false" ht="15" hidden="false" customHeight="false" outlineLevel="0" collapsed="false">
      <c r="B7375" s="130" t="n">
        <v>2027</v>
      </c>
      <c r="C7375" s="131" t="s">
        <v>252</v>
      </c>
      <c r="D7375" s="132" t="n">
        <v>46682</v>
      </c>
      <c r="E7375" s="131" t="s">
        <v>53</v>
      </c>
      <c r="F7375" s="133" t="s">
        <v>24</v>
      </c>
      <c r="G7375" s="134" t="n">
        <f aca="false">LEN('Saisie programme'!$H$273)+SUMIFS('Vols additionnels'!$E$7:$E$66,'Vols additionnels'!$C$7:$C$66,$E7375,'Vols additionnels'!$D$7:$D$66,$F7375,'Vols additionnels'!$B$7:$B$66,$D7375)</f>
        <v>0</v>
      </c>
      <c r="H7375" s="135" t="n">
        <f aca="false">$G7375*'Analyse capacite'!$F$9</f>
        <v>0</v>
      </c>
      <c r="I7375" s="135" t="n">
        <f aca="false">$G7375*'Analyse capacite'!$C$9</f>
        <v>0</v>
      </c>
      <c r="J7375" s="135" t="n">
        <f aca="false">$G7375*'Analyse capacite'!$D$9</f>
        <v>0</v>
      </c>
      <c r="K7375" s="135" t="n">
        <f aca="false">$G7375*'Analyse capacite'!$E$9</f>
        <v>0</v>
      </c>
    </row>
    <row r="7376" customFormat="false" ht="15" hidden="false" customHeight="false" outlineLevel="0" collapsed="false">
      <c r="B7376" s="130" t="n">
        <v>2027</v>
      </c>
      <c r="C7376" s="131" t="s">
        <v>252</v>
      </c>
      <c r="D7376" s="132" t="n">
        <v>46682</v>
      </c>
      <c r="E7376" s="131" t="s">
        <v>56</v>
      </c>
      <c r="F7376" s="133" t="s">
        <v>11</v>
      </c>
      <c r="G7376" s="134" t="n">
        <f aca="false">LEN('Saisie programme'!$H$274)+SUMIFS('Vols additionnels'!$E$7:$E$66,'Vols additionnels'!$C$7:$C$66,$E7376,'Vols additionnels'!$D$7:$D$66,$F7376,'Vols additionnels'!$B$7:$B$66,$D7376)</f>
        <v>0</v>
      </c>
      <c r="H7376" s="135" t="n">
        <f aca="false">$G7376*'Analyse capacite'!$F$7</f>
        <v>0</v>
      </c>
      <c r="I7376" s="135" t="n">
        <f aca="false">$G7376*'Analyse capacite'!$C$7</f>
        <v>0</v>
      </c>
      <c r="J7376" s="135" t="n">
        <f aca="false">$G7376*'Analyse capacite'!$D$7</f>
        <v>0</v>
      </c>
      <c r="K7376" s="135" t="n">
        <f aca="false">$G7376*'Analyse capacite'!$E$7</f>
        <v>0</v>
      </c>
    </row>
    <row r="7377" customFormat="false" ht="15" hidden="false" customHeight="false" outlineLevel="0" collapsed="false">
      <c r="B7377" s="130" t="n">
        <v>2027</v>
      </c>
      <c r="C7377" s="131" t="s">
        <v>252</v>
      </c>
      <c r="D7377" s="132" t="n">
        <v>46682</v>
      </c>
      <c r="E7377" s="131" t="s">
        <v>56</v>
      </c>
      <c r="F7377" s="133" t="s">
        <v>19</v>
      </c>
      <c r="G7377" s="134" t="n">
        <f aca="false">LEN('Saisie programme'!$H$275)+SUMIFS('Vols additionnels'!$E$7:$E$66,'Vols additionnels'!$C$7:$C$66,$E7377,'Vols additionnels'!$D$7:$D$66,$F7377,'Vols additionnels'!$B$7:$B$66,$D7377)</f>
        <v>0</v>
      </c>
      <c r="H7377" s="135" t="n">
        <f aca="false">$G7377*'Analyse capacite'!$F$8</f>
        <v>0</v>
      </c>
      <c r="I7377" s="135" t="n">
        <f aca="false">$G7377*'Analyse capacite'!$C$8</f>
        <v>0</v>
      </c>
      <c r="J7377" s="135" t="n">
        <f aca="false">$G7377*'Analyse capacite'!$D$8</f>
        <v>0</v>
      </c>
      <c r="K7377" s="135" t="n">
        <f aca="false">$G7377*'Analyse capacite'!$E$8</f>
        <v>0</v>
      </c>
    </row>
    <row r="7378" customFormat="false" ht="15" hidden="false" customHeight="false" outlineLevel="0" collapsed="false">
      <c r="B7378" s="130" t="n">
        <v>2027</v>
      </c>
      <c r="C7378" s="131" t="s">
        <v>252</v>
      </c>
      <c r="D7378" s="132" t="n">
        <v>46682</v>
      </c>
      <c r="E7378" s="131" t="s">
        <v>56</v>
      </c>
      <c r="F7378" s="133" t="s">
        <v>24</v>
      </c>
      <c r="G7378" s="134" t="n">
        <f aca="false">LEN('Saisie programme'!$H$276)+SUMIFS('Vols additionnels'!$E$7:$E$66,'Vols additionnels'!$C$7:$C$66,$E7378,'Vols additionnels'!$D$7:$D$66,$F7378,'Vols additionnels'!$B$7:$B$66,$D7378)</f>
        <v>0</v>
      </c>
      <c r="H7378" s="135" t="n">
        <f aca="false">$G7378*'Analyse capacite'!$F$9</f>
        <v>0</v>
      </c>
      <c r="I7378" s="135" t="n">
        <f aca="false">$G7378*'Analyse capacite'!$C$9</f>
        <v>0</v>
      </c>
      <c r="J7378" s="135" t="n">
        <f aca="false">$G7378*'Analyse capacite'!$D$9</f>
        <v>0</v>
      </c>
      <c r="K7378" s="135" t="n">
        <f aca="false">$G7378*'Analyse capacite'!$E$9</f>
        <v>0</v>
      </c>
    </row>
    <row r="7379" customFormat="false" ht="15" hidden="false" customHeight="false" outlineLevel="0" collapsed="false">
      <c r="B7379" s="130" t="n">
        <v>2027</v>
      </c>
      <c r="C7379" s="131" t="s">
        <v>252</v>
      </c>
      <c r="D7379" s="132" t="n">
        <v>46682</v>
      </c>
      <c r="E7379" s="131" t="s">
        <v>59</v>
      </c>
      <c r="F7379" s="133" t="s">
        <v>11</v>
      </c>
      <c r="G7379" s="134" t="n">
        <f aca="false">LEN('Saisie programme'!$H$277)+SUMIFS('Vols additionnels'!$E$7:$E$66,'Vols additionnels'!$C$7:$C$66,$E7379,'Vols additionnels'!$D$7:$D$66,$F7379,'Vols additionnels'!$B$7:$B$66,$D7379)</f>
        <v>0</v>
      </c>
      <c r="H7379" s="135" t="n">
        <f aca="false">$G7379*'Analyse capacite'!$F$7</f>
        <v>0</v>
      </c>
      <c r="I7379" s="135" t="n">
        <f aca="false">$G7379*'Analyse capacite'!$C$7</f>
        <v>0</v>
      </c>
      <c r="J7379" s="135" t="n">
        <f aca="false">$G7379*'Analyse capacite'!$D$7</f>
        <v>0</v>
      </c>
      <c r="K7379" s="135" t="n">
        <f aca="false">$G7379*'Analyse capacite'!$E$7</f>
        <v>0</v>
      </c>
    </row>
    <row r="7380" customFormat="false" ht="15" hidden="false" customHeight="false" outlineLevel="0" collapsed="false">
      <c r="B7380" s="130" t="n">
        <v>2027</v>
      </c>
      <c r="C7380" s="131" t="s">
        <v>252</v>
      </c>
      <c r="D7380" s="132" t="n">
        <v>46682</v>
      </c>
      <c r="E7380" s="131" t="s">
        <v>59</v>
      </c>
      <c r="F7380" s="133" t="s">
        <v>19</v>
      </c>
      <c r="G7380" s="134" t="n">
        <f aca="false">LEN('Saisie programme'!$H$278)+SUMIFS('Vols additionnels'!$E$7:$E$66,'Vols additionnels'!$C$7:$C$66,$E7380,'Vols additionnels'!$D$7:$D$66,$F7380,'Vols additionnels'!$B$7:$B$66,$D7380)</f>
        <v>0</v>
      </c>
      <c r="H7380" s="135" t="n">
        <f aca="false">$G7380*'Analyse capacite'!$F$8</f>
        <v>0</v>
      </c>
      <c r="I7380" s="135" t="n">
        <f aca="false">$G7380*'Analyse capacite'!$C$8</f>
        <v>0</v>
      </c>
      <c r="J7380" s="135" t="n">
        <f aca="false">$G7380*'Analyse capacite'!$D$8</f>
        <v>0</v>
      </c>
      <c r="K7380" s="135" t="n">
        <f aca="false">$G7380*'Analyse capacite'!$E$8</f>
        <v>0</v>
      </c>
    </row>
    <row r="7381" customFormat="false" ht="15" hidden="false" customHeight="false" outlineLevel="0" collapsed="false">
      <c r="B7381" s="130" t="n">
        <v>2027</v>
      </c>
      <c r="C7381" s="131" t="s">
        <v>252</v>
      </c>
      <c r="D7381" s="132" t="n">
        <v>46682</v>
      </c>
      <c r="E7381" s="131" t="s">
        <v>59</v>
      </c>
      <c r="F7381" s="133" t="s">
        <v>24</v>
      </c>
      <c r="G7381" s="134" t="n">
        <f aca="false">LEN('Saisie programme'!$H$279)+SUMIFS('Vols additionnels'!$E$7:$E$66,'Vols additionnels'!$C$7:$C$66,$E7381,'Vols additionnels'!$D$7:$D$66,$F7381,'Vols additionnels'!$B$7:$B$66,$D7381)</f>
        <v>1</v>
      </c>
      <c r="H7381" s="135" t="n">
        <f aca="false">$G7381*'Analyse capacite'!$F$9</f>
        <v>174</v>
      </c>
      <c r="I7381" s="135" t="n">
        <f aca="false">$G7381*'Analyse capacite'!$C$9</f>
        <v>0</v>
      </c>
      <c r="J7381" s="135" t="n">
        <f aca="false">$G7381*'Analyse capacite'!$D$9</f>
        <v>12</v>
      </c>
      <c r="K7381" s="135" t="n">
        <f aca="false">$G7381*'Analyse capacite'!$E$9</f>
        <v>162</v>
      </c>
    </row>
    <row r="7382" customFormat="false" ht="15" hidden="false" customHeight="false" outlineLevel="0" collapsed="false">
      <c r="B7382" s="130" t="n">
        <v>2027</v>
      </c>
      <c r="C7382" s="131" t="s">
        <v>252</v>
      </c>
      <c r="D7382" s="132" t="n">
        <v>46682</v>
      </c>
      <c r="E7382" s="131" t="s">
        <v>62</v>
      </c>
      <c r="F7382" s="133" t="s">
        <v>11</v>
      </c>
      <c r="G7382" s="134" t="n">
        <f aca="false">LEN('Saisie programme'!$H$280)+SUMIFS('Vols additionnels'!$E$7:$E$66,'Vols additionnels'!$C$7:$C$66,$E7382,'Vols additionnels'!$D$7:$D$66,$F7382,'Vols additionnels'!$B$7:$B$66,$D7382)</f>
        <v>0</v>
      </c>
      <c r="H7382" s="135" t="n">
        <f aca="false">$G7382*'Analyse capacite'!$F$7</f>
        <v>0</v>
      </c>
      <c r="I7382" s="135" t="n">
        <f aca="false">$G7382*'Analyse capacite'!$C$7</f>
        <v>0</v>
      </c>
      <c r="J7382" s="135" t="n">
        <f aca="false">$G7382*'Analyse capacite'!$D$7</f>
        <v>0</v>
      </c>
      <c r="K7382" s="135" t="n">
        <f aca="false">$G7382*'Analyse capacite'!$E$7</f>
        <v>0</v>
      </c>
    </row>
    <row r="7383" customFormat="false" ht="15" hidden="false" customHeight="false" outlineLevel="0" collapsed="false">
      <c r="B7383" s="130" t="n">
        <v>2027</v>
      </c>
      <c r="C7383" s="131" t="s">
        <v>252</v>
      </c>
      <c r="D7383" s="132" t="n">
        <v>46682</v>
      </c>
      <c r="E7383" s="131" t="s">
        <v>62</v>
      </c>
      <c r="F7383" s="133" t="s">
        <v>19</v>
      </c>
      <c r="G7383" s="134" t="n">
        <f aca="false">LEN('Saisie programme'!$H$281)+SUMIFS('Vols additionnels'!$E$7:$E$66,'Vols additionnels'!$C$7:$C$66,$E7383,'Vols additionnels'!$D$7:$D$66,$F7383,'Vols additionnels'!$B$7:$B$66,$D7383)</f>
        <v>0</v>
      </c>
      <c r="H7383" s="135" t="n">
        <f aca="false">$G7383*'Analyse capacite'!$F$8</f>
        <v>0</v>
      </c>
      <c r="I7383" s="135" t="n">
        <f aca="false">$G7383*'Analyse capacite'!$C$8</f>
        <v>0</v>
      </c>
      <c r="J7383" s="135" t="n">
        <f aca="false">$G7383*'Analyse capacite'!$D$8</f>
        <v>0</v>
      </c>
      <c r="K7383" s="135" t="n">
        <f aca="false">$G7383*'Analyse capacite'!$E$8</f>
        <v>0</v>
      </c>
    </row>
    <row r="7384" customFormat="false" ht="15" hidden="false" customHeight="false" outlineLevel="0" collapsed="false">
      <c r="B7384" s="130" t="n">
        <v>2027</v>
      </c>
      <c r="C7384" s="131" t="s">
        <v>252</v>
      </c>
      <c r="D7384" s="132" t="n">
        <v>46682</v>
      </c>
      <c r="E7384" s="131" t="s">
        <v>62</v>
      </c>
      <c r="F7384" s="133" t="s">
        <v>24</v>
      </c>
      <c r="G7384" s="134" t="n">
        <f aca="false">LEN('Saisie programme'!$H$282)+SUMIFS('Vols additionnels'!$E$7:$E$66,'Vols additionnels'!$C$7:$C$66,$E7384,'Vols additionnels'!$D$7:$D$66,$F7384,'Vols additionnels'!$B$7:$B$66,$D7384)</f>
        <v>0</v>
      </c>
      <c r="H7384" s="135" t="n">
        <f aca="false">$G7384*'Analyse capacite'!$F$9</f>
        <v>0</v>
      </c>
      <c r="I7384" s="135" t="n">
        <f aca="false">$G7384*'Analyse capacite'!$C$9</f>
        <v>0</v>
      </c>
      <c r="J7384" s="135" t="n">
        <f aca="false">$G7384*'Analyse capacite'!$D$9</f>
        <v>0</v>
      </c>
      <c r="K7384" s="135" t="n">
        <f aca="false">$G7384*'Analyse capacite'!$E$9</f>
        <v>0</v>
      </c>
    </row>
    <row r="7385" customFormat="false" ht="15" hidden="false" customHeight="false" outlineLevel="0" collapsed="false">
      <c r="B7385" s="130" t="n">
        <v>2027</v>
      </c>
      <c r="C7385" s="131" t="s">
        <v>252</v>
      </c>
      <c r="D7385" s="132" t="n">
        <v>46683</v>
      </c>
      <c r="E7385" s="131" t="s">
        <v>12</v>
      </c>
      <c r="F7385" s="133" t="s">
        <v>11</v>
      </c>
      <c r="G7385" s="134" t="n">
        <f aca="false">LEN('Saisie programme'!$I$247)+SUMIFS('Vols additionnels'!$E$7:$E$66,'Vols additionnels'!$C$7:$C$66,$E7385,'Vols additionnels'!$D$7:$D$66,$F7385,'Vols additionnels'!$B$7:$B$66,$D7385)</f>
        <v>1</v>
      </c>
      <c r="H7385" s="135" t="n">
        <f aca="false">$G7385*'Analyse capacite'!$F$7</f>
        <v>438</v>
      </c>
      <c r="I7385" s="135" t="n">
        <f aca="false">$G7385*'Analyse capacite'!$C$7</f>
        <v>14</v>
      </c>
      <c r="J7385" s="135" t="n">
        <f aca="false">$G7385*'Analyse capacite'!$D$7</f>
        <v>40</v>
      </c>
      <c r="K7385" s="135" t="n">
        <f aca="false">$G7385*'Analyse capacite'!$E$7</f>
        <v>384</v>
      </c>
    </row>
    <row r="7386" customFormat="false" ht="15" hidden="false" customHeight="false" outlineLevel="0" collapsed="false">
      <c r="B7386" s="130" t="n">
        <v>2027</v>
      </c>
      <c r="C7386" s="131" t="s">
        <v>252</v>
      </c>
      <c r="D7386" s="132" t="n">
        <v>46683</v>
      </c>
      <c r="E7386" s="131" t="s">
        <v>12</v>
      </c>
      <c r="F7386" s="133" t="s">
        <v>19</v>
      </c>
      <c r="G7386" s="134" t="n">
        <f aca="false">LEN('Saisie programme'!$I$248)+SUMIFS('Vols additionnels'!$E$7:$E$66,'Vols additionnels'!$C$7:$C$66,$E7386,'Vols additionnels'!$D$7:$D$66,$F7386,'Vols additionnels'!$B$7:$B$66,$D7386)</f>
        <v>0</v>
      </c>
      <c r="H7386" s="135" t="n">
        <f aca="false">$G7386*'Analyse capacite'!$F$8</f>
        <v>0</v>
      </c>
      <c r="I7386" s="135" t="n">
        <f aca="false">$G7386*'Analyse capacite'!$C$8</f>
        <v>0</v>
      </c>
      <c r="J7386" s="135" t="n">
        <f aca="false">$G7386*'Analyse capacite'!$D$8</f>
        <v>0</v>
      </c>
      <c r="K7386" s="135" t="n">
        <f aca="false">$G7386*'Analyse capacite'!$E$8</f>
        <v>0</v>
      </c>
    </row>
    <row r="7387" customFormat="false" ht="15" hidden="false" customHeight="false" outlineLevel="0" collapsed="false">
      <c r="B7387" s="130" t="n">
        <v>2027</v>
      </c>
      <c r="C7387" s="131" t="s">
        <v>252</v>
      </c>
      <c r="D7387" s="132" t="n">
        <v>46683</v>
      </c>
      <c r="E7387" s="131" t="s">
        <v>12</v>
      </c>
      <c r="F7387" s="133" t="s">
        <v>24</v>
      </c>
      <c r="G7387" s="134" t="n">
        <f aca="false">LEN('Saisie programme'!$I$249)+SUMIFS('Vols additionnels'!$E$7:$E$66,'Vols additionnels'!$C$7:$C$66,$E7387,'Vols additionnels'!$D$7:$D$66,$F7387,'Vols additionnels'!$B$7:$B$66,$D7387)</f>
        <v>0</v>
      </c>
      <c r="H7387" s="135" t="n">
        <f aca="false">$G7387*'Analyse capacite'!$F$9</f>
        <v>0</v>
      </c>
      <c r="I7387" s="135" t="n">
        <f aca="false">$G7387*'Analyse capacite'!$C$9</f>
        <v>0</v>
      </c>
      <c r="J7387" s="135" t="n">
        <f aca="false">$G7387*'Analyse capacite'!$D$9</f>
        <v>0</v>
      </c>
      <c r="K7387" s="135" t="n">
        <f aca="false">$G7387*'Analyse capacite'!$E$9</f>
        <v>0</v>
      </c>
    </row>
    <row r="7388" customFormat="false" ht="15" hidden="false" customHeight="false" outlineLevel="0" collapsed="false">
      <c r="B7388" s="130" t="n">
        <v>2027</v>
      </c>
      <c r="C7388" s="131" t="s">
        <v>252</v>
      </c>
      <c r="D7388" s="132" t="n">
        <v>46683</v>
      </c>
      <c r="E7388" s="131" t="s">
        <v>20</v>
      </c>
      <c r="F7388" s="133" t="s">
        <v>11</v>
      </c>
      <c r="G7388" s="134" t="n">
        <f aca="false">LEN('Saisie programme'!$I$250)+SUMIFS('Vols additionnels'!$E$7:$E$66,'Vols additionnels'!$C$7:$C$66,$E7388,'Vols additionnels'!$D$7:$D$66,$F7388,'Vols additionnels'!$B$7:$B$66,$D7388)</f>
        <v>0</v>
      </c>
      <c r="H7388" s="135" t="n">
        <f aca="false">$G7388*'Analyse capacite'!$F$7</f>
        <v>0</v>
      </c>
      <c r="I7388" s="135" t="n">
        <f aca="false">$G7388*'Analyse capacite'!$C$7</f>
        <v>0</v>
      </c>
      <c r="J7388" s="135" t="n">
        <f aca="false">$G7388*'Analyse capacite'!$D$7</f>
        <v>0</v>
      </c>
      <c r="K7388" s="135" t="n">
        <f aca="false">$G7388*'Analyse capacite'!$E$7</f>
        <v>0</v>
      </c>
    </row>
    <row r="7389" customFormat="false" ht="15" hidden="false" customHeight="false" outlineLevel="0" collapsed="false">
      <c r="B7389" s="130" t="n">
        <v>2027</v>
      </c>
      <c r="C7389" s="131" t="s">
        <v>252</v>
      </c>
      <c r="D7389" s="132" t="n">
        <v>46683</v>
      </c>
      <c r="E7389" s="131" t="s">
        <v>20</v>
      </c>
      <c r="F7389" s="133" t="s">
        <v>19</v>
      </c>
      <c r="G7389" s="134" t="n">
        <f aca="false">LEN('Saisie programme'!$I$251)+SUMIFS('Vols additionnels'!$E$7:$E$66,'Vols additionnels'!$C$7:$C$66,$E7389,'Vols additionnels'!$D$7:$D$66,$F7389,'Vols additionnels'!$B$7:$B$66,$D7389)</f>
        <v>0</v>
      </c>
      <c r="H7389" s="135" t="n">
        <f aca="false">$G7389*'Analyse capacite'!$F$8</f>
        <v>0</v>
      </c>
      <c r="I7389" s="135" t="n">
        <f aca="false">$G7389*'Analyse capacite'!$C$8</f>
        <v>0</v>
      </c>
      <c r="J7389" s="135" t="n">
        <f aca="false">$G7389*'Analyse capacite'!$D$8</f>
        <v>0</v>
      </c>
      <c r="K7389" s="135" t="n">
        <f aca="false">$G7389*'Analyse capacite'!$E$8</f>
        <v>0</v>
      </c>
    </row>
    <row r="7390" customFormat="false" ht="15" hidden="false" customHeight="false" outlineLevel="0" collapsed="false">
      <c r="B7390" s="130" t="n">
        <v>2027</v>
      </c>
      <c r="C7390" s="131" t="s">
        <v>252</v>
      </c>
      <c r="D7390" s="132" t="n">
        <v>46683</v>
      </c>
      <c r="E7390" s="131" t="s">
        <v>20</v>
      </c>
      <c r="F7390" s="133" t="s">
        <v>24</v>
      </c>
      <c r="G7390" s="134" t="n">
        <f aca="false">LEN('Saisie programme'!$I$252)+SUMIFS('Vols additionnels'!$E$7:$E$66,'Vols additionnels'!$C$7:$C$66,$E7390,'Vols additionnels'!$D$7:$D$66,$F7390,'Vols additionnels'!$B$7:$B$66,$D7390)</f>
        <v>0</v>
      </c>
      <c r="H7390" s="135" t="n">
        <f aca="false">$G7390*'Analyse capacite'!$F$9</f>
        <v>0</v>
      </c>
      <c r="I7390" s="135" t="n">
        <f aca="false">$G7390*'Analyse capacite'!$C$9</f>
        <v>0</v>
      </c>
      <c r="J7390" s="135" t="n">
        <f aca="false">$G7390*'Analyse capacite'!$D$9</f>
        <v>0</v>
      </c>
      <c r="K7390" s="135" t="n">
        <f aca="false">$G7390*'Analyse capacite'!$E$9</f>
        <v>0</v>
      </c>
    </row>
    <row r="7391" customFormat="false" ht="15" hidden="false" customHeight="false" outlineLevel="0" collapsed="false">
      <c r="B7391" s="130" t="n">
        <v>2027</v>
      </c>
      <c r="C7391" s="131" t="s">
        <v>252</v>
      </c>
      <c r="D7391" s="132" t="n">
        <v>46683</v>
      </c>
      <c r="E7391" s="131" t="s">
        <v>25</v>
      </c>
      <c r="F7391" s="133" t="s">
        <v>11</v>
      </c>
      <c r="G7391" s="134" t="n">
        <f aca="false">LEN('Saisie programme'!$I$253)+SUMIFS('Vols additionnels'!$E$7:$E$66,'Vols additionnels'!$C$7:$C$66,$E7391,'Vols additionnels'!$D$7:$D$66,$F7391,'Vols additionnels'!$B$7:$B$66,$D7391)</f>
        <v>0</v>
      </c>
      <c r="H7391" s="135" t="n">
        <f aca="false">$G7391*'Analyse capacite'!$F$7</f>
        <v>0</v>
      </c>
      <c r="I7391" s="135" t="n">
        <f aca="false">$G7391*'Analyse capacite'!$C$7</f>
        <v>0</v>
      </c>
      <c r="J7391" s="135" t="n">
        <f aca="false">$G7391*'Analyse capacite'!$D$7</f>
        <v>0</v>
      </c>
      <c r="K7391" s="135" t="n">
        <f aca="false">$G7391*'Analyse capacite'!$E$7</f>
        <v>0</v>
      </c>
    </row>
    <row r="7392" customFormat="false" ht="15" hidden="false" customHeight="false" outlineLevel="0" collapsed="false">
      <c r="B7392" s="130" t="n">
        <v>2027</v>
      </c>
      <c r="C7392" s="131" t="s">
        <v>252</v>
      </c>
      <c r="D7392" s="132" t="n">
        <v>46683</v>
      </c>
      <c r="E7392" s="131" t="s">
        <v>25</v>
      </c>
      <c r="F7392" s="133" t="s">
        <v>19</v>
      </c>
      <c r="G7392" s="134" t="n">
        <f aca="false">LEN('Saisie programme'!$I$254)+SUMIFS('Vols additionnels'!$E$7:$E$66,'Vols additionnels'!$C$7:$C$66,$E7392,'Vols additionnels'!$D$7:$D$66,$F7392,'Vols additionnels'!$B$7:$B$66,$D7392)</f>
        <v>1</v>
      </c>
      <c r="H7392" s="135" t="n">
        <f aca="false">$G7392*'Analyse capacite'!$F$8</f>
        <v>262</v>
      </c>
      <c r="I7392" s="135" t="n">
        <f aca="false">$G7392*'Analyse capacite'!$C$8</f>
        <v>18</v>
      </c>
      <c r="J7392" s="135" t="n">
        <f aca="false">$G7392*'Analyse capacite'!$D$8</f>
        <v>0</v>
      </c>
      <c r="K7392" s="135" t="n">
        <f aca="false">$G7392*'Analyse capacite'!$E$8</f>
        <v>244</v>
      </c>
    </row>
    <row r="7393" customFormat="false" ht="15" hidden="false" customHeight="false" outlineLevel="0" collapsed="false">
      <c r="B7393" s="130" t="n">
        <v>2027</v>
      </c>
      <c r="C7393" s="131" t="s">
        <v>252</v>
      </c>
      <c r="D7393" s="132" t="n">
        <v>46683</v>
      </c>
      <c r="E7393" s="131" t="s">
        <v>25</v>
      </c>
      <c r="F7393" s="133" t="s">
        <v>24</v>
      </c>
      <c r="G7393" s="134" t="n">
        <f aca="false">LEN('Saisie programme'!$I$255)+SUMIFS('Vols additionnels'!$E$7:$E$66,'Vols additionnels'!$C$7:$C$66,$E7393,'Vols additionnels'!$D$7:$D$66,$F7393,'Vols additionnels'!$B$7:$B$66,$D7393)</f>
        <v>0</v>
      </c>
      <c r="H7393" s="135" t="n">
        <f aca="false">$G7393*'Analyse capacite'!$F$9</f>
        <v>0</v>
      </c>
      <c r="I7393" s="135" t="n">
        <f aca="false">$G7393*'Analyse capacite'!$C$9</f>
        <v>0</v>
      </c>
      <c r="J7393" s="135" t="n">
        <f aca="false">$G7393*'Analyse capacite'!$D$9</f>
        <v>0</v>
      </c>
      <c r="K7393" s="135" t="n">
        <f aca="false">$G7393*'Analyse capacite'!$E$9</f>
        <v>0</v>
      </c>
    </row>
    <row r="7394" customFormat="false" ht="15" hidden="false" customHeight="false" outlineLevel="0" collapsed="false">
      <c r="B7394" s="130" t="n">
        <v>2027</v>
      </c>
      <c r="C7394" s="131" t="s">
        <v>252</v>
      </c>
      <c r="D7394" s="132" t="n">
        <v>46683</v>
      </c>
      <c r="E7394" s="131" t="s">
        <v>36</v>
      </c>
      <c r="F7394" s="133" t="s">
        <v>11</v>
      </c>
      <c r="G7394" s="134" t="n">
        <f aca="false">LEN('Saisie programme'!$I$256)+SUMIFS('Vols additionnels'!$E$7:$E$66,'Vols additionnels'!$C$7:$C$66,$E7394,'Vols additionnels'!$D$7:$D$66,$F7394,'Vols additionnels'!$B$7:$B$66,$D7394)</f>
        <v>0</v>
      </c>
      <c r="H7394" s="135" t="n">
        <f aca="false">$G7394*'Analyse capacite'!$F$7</f>
        <v>0</v>
      </c>
      <c r="I7394" s="135" t="n">
        <f aca="false">$G7394*'Analyse capacite'!$C$7</f>
        <v>0</v>
      </c>
      <c r="J7394" s="135" t="n">
        <f aca="false">$G7394*'Analyse capacite'!$D$7</f>
        <v>0</v>
      </c>
      <c r="K7394" s="135" t="n">
        <f aca="false">$G7394*'Analyse capacite'!$E$7</f>
        <v>0</v>
      </c>
    </row>
    <row r="7395" customFormat="false" ht="15" hidden="false" customHeight="false" outlineLevel="0" collapsed="false">
      <c r="B7395" s="130" t="n">
        <v>2027</v>
      </c>
      <c r="C7395" s="131" t="s">
        <v>252</v>
      </c>
      <c r="D7395" s="132" t="n">
        <v>46683</v>
      </c>
      <c r="E7395" s="131" t="s">
        <v>36</v>
      </c>
      <c r="F7395" s="133" t="s">
        <v>19</v>
      </c>
      <c r="G7395" s="134" t="n">
        <f aca="false">LEN('Saisie programme'!$I$257)+SUMIFS('Vols additionnels'!$E$7:$E$66,'Vols additionnels'!$C$7:$C$66,$E7395,'Vols additionnels'!$D$7:$D$66,$F7395,'Vols additionnels'!$B$7:$B$66,$D7395)</f>
        <v>0</v>
      </c>
      <c r="H7395" s="135" t="n">
        <f aca="false">$G7395*'Analyse capacite'!$F$8</f>
        <v>0</v>
      </c>
      <c r="I7395" s="135" t="n">
        <f aca="false">$G7395*'Analyse capacite'!$C$8</f>
        <v>0</v>
      </c>
      <c r="J7395" s="135" t="n">
        <f aca="false">$G7395*'Analyse capacite'!$D$8</f>
        <v>0</v>
      </c>
      <c r="K7395" s="135" t="n">
        <f aca="false">$G7395*'Analyse capacite'!$E$8</f>
        <v>0</v>
      </c>
    </row>
    <row r="7396" customFormat="false" ht="15" hidden="false" customHeight="false" outlineLevel="0" collapsed="false">
      <c r="B7396" s="130" t="n">
        <v>2027</v>
      </c>
      <c r="C7396" s="131" t="s">
        <v>252</v>
      </c>
      <c r="D7396" s="132" t="n">
        <v>46683</v>
      </c>
      <c r="E7396" s="131" t="s">
        <v>36</v>
      </c>
      <c r="F7396" s="133" t="s">
        <v>24</v>
      </c>
      <c r="G7396" s="134" t="n">
        <f aca="false">LEN('Saisie programme'!$I$258)+SUMIFS('Vols additionnels'!$E$7:$E$66,'Vols additionnels'!$C$7:$C$66,$E7396,'Vols additionnels'!$D$7:$D$66,$F7396,'Vols additionnels'!$B$7:$B$66,$D7396)</f>
        <v>0</v>
      </c>
      <c r="H7396" s="135" t="n">
        <f aca="false">$G7396*'Analyse capacite'!$F$9</f>
        <v>0</v>
      </c>
      <c r="I7396" s="135" t="n">
        <f aca="false">$G7396*'Analyse capacite'!$C$9</f>
        <v>0</v>
      </c>
      <c r="J7396" s="135" t="n">
        <f aca="false">$G7396*'Analyse capacite'!$D$9</f>
        <v>0</v>
      </c>
      <c r="K7396" s="135" t="n">
        <f aca="false">$G7396*'Analyse capacite'!$E$9</f>
        <v>0</v>
      </c>
    </row>
    <row r="7397" customFormat="false" ht="15" hidden="false" customHeight="false" outlineLevel="0" collapsed="false">
      <c r="B7397" s="130" t="n">
        <v>2027</v>
      </c>
      <c r="C7397" s="131" t="s">
        <v>252</v>
      </c>
      <c r="D7397" s="132" t="n">
        <v>46683</v>
      </c>
      <c r="E7397" s="131" t="s">
        <v>40</v>
      </c>
      <c r="F7397" s="133" t="s">
        <v>11</v>
      </c>
      <c r="G7397" s="134" t="n">
        <f aca="false">LEN('Saisie programme'!$I$259)+SUMIFS('Vols additionnels'!$E$7:$E$66,'Vols additionnels'!$C$7:$C$66,$E7397,'Vols additionnels'!$D$7:$D$66,$F7397,'Vols additionnels'!$B$7:$B$66,$D7397)</f>
        <v>0</v>
      </c>
      <c r="H7397" s="135" t="n">
        <f aca="false">$G7397*'Analyse capacite'!$F$7</f>
        <v>0</v>
      </c>
      <c r="I7397" s="135" t="n">
        <f aca="false">$G7397*'Analyse capacite'!$C$7</f>
        <v>0</v>
      </c>
      <c r="J7397" s="135" t="n">
        <f aca="false">$G7397*'Analyse capacite'!$D$7</f>
        <v>0</v>
      </c>
      <c r="K7397" s="135" t="n">
        <f aca="false">$G7397*'Analyse capacite'!$E$7</f>
        <v>0</v>
      </c>
    </row>
    <row r="7398" customFormat="false" ht="15" hidden="false" customHeight="false" outlineLevel="0" collapsed="false">
      <c r="B7398" s="130" t="n">
        <v>2027</v>
      </c>
      <c r="C7398" s="131" t="s">
        <v>252</v>
      </c>
      <c r="D7398" s="132" t="n">
        <v>46683</v>
      </c>
      <c r="E7398" s="131" t="s">
        <v>40</v>
      </c>
      <c r="F7398" s="133" t="s">
        <v>19</v>
      </c>
      <c r="G7398" s="134" t="n">
        <f aca="false">LEN('Saisie programme'!$I$260)+SUMIFS('Vols additionnels'!$E$7:$E$66,'Vols additionnels'!$C$7:$C$66,$E7398,'Vols additionnels'!$D$7:$D$66,$F7398,'Vols additionnels'!$B$7:$B$66,$D7398)</f>
        <v>0</v>
      </c>
      <c r="H7398" s="135" t="n">
        <f aca="false">$G7398*'Analyse capacite'!$F$8</f>
        <v>0</v>
      </c>
      <c r="I7398" s="135" t="n">
        <f aca="false">$G7398*'Analyse capacite'!$C$8</f>
        <v>0</v>
      </c>
      <c r="J7398" s="135" t="n">
        <f aca="false">$G7398*'Analyse capacite'!$D$8</f>
        <v>0</v>
      </c>
      <c r="K7398" s="135" t="n">
        <f aca="false">$G7398*'Analyse capacite'!$E$8</f>
        <v>0</v>
      </c>
    </row>
    <row r="7399" customFormat="false" ht="15" hidden="false" customHeight="false" outlineLevel="0" collapsed="false">
      <c r="B7399" s="130" t="n">
        <v>2027</v>
      </c>
      <c r="C7399" s="131" t="s">
        <v>252</v>
      </c>
      <c r="D7399" s="132" t="n">
        <v>46683</v>
      </c>
      <c r="E7399" s="131" t="s">
        <v>40</v>
      </c>
      <c r="F7399" s="133" t="s">
        <v>24</v>
      </c>
      <c r="G7399" s="134" t="n">
        <f aca="false">LEN('Saisie programme'!$I$261)+SUMIFS('Vols additionnels'!$E$7:$E$66,'Vols additionnels'!$C$7:$C$66,$E7399,'Vols additionnels'!$D$7:$D$66,$F7399,'Vols additionnels'!$B$7:$B$66,$D7399)</f>
        <v>0</v>
      </c>
      <c r="H7399" s="135" t="n">
        <f aca="false">$G7399*'Analyse capacite'!$F$9</f>
        <v>0</v>
      </c>
      <c r="I7399" s="135" t="n">
        <f aca="false">$G7399*'Analyse capacite'!$C$9</f>
        <v>0</v>
      </c>
      <c r="J7399" s="135" t="n">
        <f aca="false">$G7399*'Analyse capacite'!$D$9</f>
        <v>0</v>
      </c>
      <c r="K7399" s="135" t="n">
        <f aca="false">$G7399*'Analyse capacite'!$E$9</f>
        <v>0</v>
      </c>
    </row>
    <row r="7400" customFormat="false" ht="15" hidden="false" customHeight="false" outlineLevel="0" collapsed="false">
      <c r="B7400" s="130" t="n">
        <v>2027</v>
      </c>
      <c r="C7400" s="131" t="s">
        <v>252</v>
      </c>
      <c r="D7400" s="132" t="n">
        <v>46683</v>
      </c>
      <c r="E7400" s="131" t="s">
        <v>14</v>
      </c>
      <c r="F7400" s="133" t="s">
        <v>11</v>
      </c>
      <c r="G7400" s="134" t="n">
        <f aca="false">LEN('Saisie programme'!$I$262)+SUMIFS('Vols additionnels'!$E$7:$E$66,'Vols additionnels'!$C$7:$C$66,$E7400,'Vols additionnels'!$D$7:$D$66,$F7400,'Vols additionnels'!$B$7:$B$66,$D7400)</f>
        <v>0</v>
      </c>
      <c r="H7400" s="135" t="n">
        <f aca="false">$G7400*'Analyse capacite'!$F$7</f>
        <v>0</v>
      </c>
      <c r="I7400" s="135" t="n">
        <f aca="false">$G7400*'Analyse capacite'!$C$7</f>
        <v>0</v>
      </c>
      <c r="J7400" s="135" t="n">
        <f aca="false">$G7400*'Analyse capacite'!$D$7</f>
        <v>0</v>
      </c>
      <c r="K7400" s="135" t="n">
        <f aca="false">$G7400*'Analyse capacite'!$E$7</f>
        <v>0</v>
      </c>
    </row>
    <row r="7401" customFormat="false" ht="15" hidden="false" customHeight="false" outlineLevel="0" collapsed="false">
      <c r="B7401" s="130" t="n">
        <v>2027</v>
      </c>
      <c r="C7401" s="131" t="s">
        <v>252</v>
      </c>
      <c r="D7401" s="132" t="n">
        <v>46683</v>
      </c>
      <c r="E7401" s="131" t="s">
        <v>14</v>
      </c>
      <c r="F7401" s="133" t="s">
        <v>19</v>
      </c>
      <c r="G7401" s="134" t="n">
        <f aca="false">LEN('Saisie programme'!$I$263)+SUMIFS('Vols additionnels'!$E$7:$E$66,'Vols additionnels'!$C$7:$C$66,$E7401,'Vols additionnels'!$D$7:$D$66,$F7401,'Vols additionnels'!$B$7:$B$66,$D7401)</f>
        <v>0</v>
      </c>
      <c r="H7401" s="135" t="n">
        <f aca="false">$G7401*'Analyse capacite'!$F$8</f>
        <v>0</v>
      </c>
      <c r="I7401" s="135" t="n">
        <f aca="false">$G7401*'Analyse capacite'!$C$8</f>
        <v>0</v>
      </c>
      <c r="J7401" s="135" t="n">
        <f aca="false">$G7401*'Analyse capacite'!$D$8</f>
        <v>0</v>
      </c>
      <c r="K7401" s="135" t="n">
        <f aca="false">$G7401*'Analyse capacite'!$E$8</f>
        <v>0</v>
      </c>
    </row>
    <row r="7402" customFormat="false" ht="15" hidden="false" customHeight="false" outlineLevel="0" collapsed="false">
      <c r="B7402" s="130" t="n">
        <v>2027</v>
      </c>
      <c r="C7402" s="131" t="s">
        <v>252</v>
      </c>
      <c r="D7402" s="132" t="n">
        <v>46683</v>
      </c>
      <c r="E7402" s="131" t="s">
        <v>14</v>
      </c>
      <c r="F7402" s="133" t="s">
        <v>24</v>
      </c>
      <c r="G7402" s="134" t="n">
        <f aca="false">LEN('Saisie programme'!$I$264)+SUMIFS('Vols additionnels'!$E$7:$E$66,'Vols additionnels'!$C$7:$C$66,$E7402,'Vols additionnels'!$D$7:$D$66,$F7402,'Vols additionnels'!$B$7:$B$66,$D7402)</f>
        <v>1</v>
      </c>
      <c r="H7402" s="135" t="n">
        <f aca="false">$G7402*'Analyse capacite'!$F$9</f>
        <v>174</v>
      </c>
      <c r="I7402" s="135" t="n">
        <f aca="false">$G7402*'Analyse capacite'!$C$9</f>
        <v>0</v>
      </c>
      <c r="J7402" s="135" t="n">
        <f aca="false">$G7402*'Analyse capacite'!$D$9</f>
        <v>12</v>
      </c>
      <c r="K7402" s="135" t="n">
        <f aca="false">$G7402*'Analyse capacite'!$E$9</f>
        <v>162</v>
      </c>
    </row>
    <row r="7403" customFormat="false" ht="15" hidden="false" customHeight="false" outlineLevel="0" collapsed="false">
      <c r="B7403" s="130" t="n">
        <v>2027</v>
      </c>
      <c r="C7403" s="131" t="s">
        <v>252</v>
      </c>
      <c r="D7403" s="132" t="n">
        <v>46683</v>
      </c>
      <c r="E7403" s="131" t="s">
        <v>46</v>
      </c>
      <c r="F7403" s="133" t="s">
        <v>11</v>
      </c>
      <c r="G7403" s="134" t="n">
        <f aca="false">LEN('Saisie programme'!$I$265)+SUMIFS('Vols additionnels'!$E$7:$E$66,'Vols additionnels'!$C$7:$C$66,$E7403,'Vols additionnels'!$D$7:$D$66,$F7403,'Vols additionnels'!$B$7:$B$66,$D7403)</f>
        <v>0</v>
      </c>
      <c r="H7403" s="135" t="n">
        <f aca="false">$G7403*'Analyse capacite'!$F$7</f>
        <v>0</v>
      </c>
      <c r="I7403" s="135" t="n">
        <f aca="false">$G7403*'Analyse capacite'!$C$7</f>
        <v>0</v>
      </c>
      <c r="J7403" s="135" t="n">
        <f aca="false">$G7403*'Analyse capacite'!$D$7</f>
        <v>0</v>
      </c>
      <c r="K7403" s="135" t="n">
        <f aca="false">$G7403*'Analyse capacite'!$E$7</f>
        <v>0</v>
      </c>
    </row>
    <row r="7404" customFormat="false" ht="15" hidden="false" customHeight="false" outlineLevel="0" collapsed="false">
      <c r="B7404" s="130" t="n">
        <v>2027</v>
      </c>
      <c r="C7404" s="131" t="s">
        <v>252</v>
      </c>
      <c r="D7404" s="132" t="n">
        <v>46683</v>
      </c>
      <c r="E7404" s="131" t="s">
        <v>46</v>
      </c>
      <c r="F7404" s="133" t="s">
        <v>19</v>
      </c>
      <c r="G7404" s="134" t="n">
        <f aca="false">LEN('Saisie programme'!$I$266)+SUMIFS('Vols additionnels'!$E$7:$E$66,'Vols additionnels'!$C$7:$C$66,$E7404,'Vols additionnels'!$D$7:$D$66,$F7404,'Vols additionnels'!$B$7:$B$66,$D7404)</f>
        <v>0</v>
      </c>
      <c r="H7404" s="135" t="n">
        <f aca="false">$G7404*'Analyse capacite'!$F$8</f>
        <v>0</v>
      </c>
      <c r="I7404" s="135" t="n">
        <f aca="false">$G7404*'Analyse capacite'!$C$8</f>
        <v>0</v>
      </c>
      <c r="J7404" s="135" t="n">
        <f aca="false">$G7404*'Analyse capacite'!$D$8</f>
        <v>0</v>
      </c>
      <c r="K7404" s="135" t="n">
        <f aca="false">$G7404*'Analyse capacite'!$E$8</f>
        <v>0</v>
      </c>
    </row>
    <row r="7405" customFormat="false" ht="15" hidden="false" customHeight="false" outlineLevel="0" collapsed="false">
      <c r="B7405" s="130" t="n">
        <v>2027</v>
      </c>
      <c r="C7405" s="131" t="s">
        <v>252</v>
      </c>
      <c r="D7405" s="132" t="n">
        <v>46683</v>
      </c>
      <c r="E7405" s="131" t="s">
        <v>46</v>
      </c>
      <c r="F7405" s="133" t="s">
        <v>24</v>
      </c>
      <c r="G7405" s="134" t="n">
        <f aca="false">LEN('Saisie programme'!$I$267)+SUMIFS('Vols additionnels'!$E$7:$E$66,'Vols additionnels'!$C$7:$C$66,$E7405,'Vols additionnels'!$D$7:$D$66,$F7405,'Vols additionnels'!$B$7:$B$66,$D7405)</f>
        <v>1</v>
      </c>
      <c r="H7405" s="135" t="n">
        <f aca="false">$G7405*'Analyse capacite'!$F$9</f>
        <v>174</v>
      </c>
      <c r="I7405" s="135" t="n">
        <f aca="false">$G7405*'Analyse capacite'!$C$9</f>
        <v>0</v>
      </c>
      <c r="J7405" s="135" t="n">
        <f aca="false">$G7405*'Analyse capacite'!$D$9</f>
        <v>12</v>
      </c>
      <c r="K7405" s="135" t="n">
        <f aca="false">$G7405*'Analyse capacite'!$E$9</f>
        <v>162</v>
      </c>
    </row>
    <row r="7406" customFormat="false" ht="15" hidden="false" customHeight="false" outlineLevel="0" collapsed="false">
      <c r="B7406" s="130" t="n">
        <v>2027</v>
      </c>
      <c r="C7406" s="131" t="s">
        <v>252</v>
      </c>
      <c r="D7406" s="132" t="n">
        <v>46683</v>
      </c>
      <c r="E7406" s="131" t="s">
        <v>49</v>
      </c>
      <c r="F7406" s="133" t="s">
        <v>11</v>
      </c>
      <c r="G7406" s="134" t="n">
        <f aca="false">LEN('Saisie programme'!$I$268)+SUMIFS('Vols additionnels'!$E$7:$E$66,'Vols additionnels'!$C$7:$C$66,$E7406,'Vols additionnels'!$D$7:$D$66,$F7406,'Vols additionnels'!$B$7:$B$66,$D7406)</f>
        <v>0</v>
      </c>
      <c r="H7406" s="135" t="n">
        <f aca="false">$G7406*'Analyse capacite'!$F$7</f>
        <v>0</v>
      </c>
      <c r="I7406" s="135" t="n">
        <f aca="false">$G7406*'Analyse capacite'!$C$7</f>
        <v>0</v>
      </c>
      <c r="J7406" s="135" t="n">
        <f aca="false">$G7406*'Analyse capacite'!$D$7</f>
        <v>0</v>
      </c>
      <c r="K7406" s="135" t="n">
        <f aca="false">$G7406*'Analyse capacite'!$E$7</f>
        <v>0</v>
      </c>
    </row>
    <row r="7407" customFormat="false" ht="15" hidden="false" customHeight="false" outlineLevel="0" collapsed="false">
      <c r="B7407" s="130" t="n">
        <v>2027</v>
      </c>
      <c r="C7407" s="131" t="s">
        <v>252</v>
      </c>
      <c r="D7407" s="132" t="n">
        <v>46683</v>
      </c>
      <c r="E7407" s="131" t="s">
        <v>49</v>
      </c>
      <c r="F7407" s="133" t="s">
        <v>19</v>
      </c>
      <c r="G7407" s="134" t="n">
        <f aca="false">LEN('Saisie programme'!$I$269)+SUMIFS('Vols additionnels'!$E$7:$E$66,'Vols additionnels'!$C$7:$C$66,$E7407,'Vols additionnels'!$D$7:$D$66,$F7407,'Vols additionnels'!$B$7:$B$66,$D7407)</f>
        <v>0</v>
      </c>
      <c r="H7407" s="135" t="n">
        <f aca="false">$G7407*'Analyse capacite'!$F$8</f>
        <v>0</v>
      </c>
      <c r="I7407" s="135" t="n">
        <f aca="false">$G7407*'Analyse capacite'!$C$8</f>
        <v>0</v>
      </c>
      <c r="J7407" s="135" t="n">
        <f aca="false">$G7407*'Analyse capacite'!$D$8</f>
        <v>0</v>
      </c>
      <c r="K7407" s="135" t="n">
        <f aca="false">$G7407*'Analyse capacite'!$E$8</f>
        <v>0</v>
      </c>
    </row>
    <row r="7408" customFormat="false" ht="15" hidden="false" customHeight="false" outlineLevel="0" collapsed="false">
      <c r="B7408" s="130" t="n">
        <v>2027</v>
      </c>
      <c r="C7408" s="131" t="s">
        <v>252</v>
      </c>
      <c r="D7408" s="132" t="n">
        <v>46683</v>
      </c>
      <c r="E7408" s="131" t="s">
        <v>49</v>
      </c>
      <c r="F7408" s="133" t="s">
        <v>24</v>
      </c>
      <c r="G7408" s="134" t="n">
        <f aca="false">LEN('Saisie programme'!$I$270)+SUMIFS('Vols additionnels'!$E$7:$E$66,'Vols additionnels'!$C$7:$C$66,$E7408,'Vols additionnels'!$D$7:$D$66,$F7408,'Vols additionnels'!$B$7:$B$66,$D7408)</f>
        <v>0</v>
      </c>
      <c r="H7408" s="135" t="n">
        <f aca="false">$G7408*'Analyse capacite'!$F$9</f>
        <v>0</v>
      </c>
      <c r="I7408" s="135" t="n">
        <f aca="false">$G7408*'Analyse capacite'!$C$9</f>
        <v>0</v>
      </c>
      <c r="J7408" s="135" t="n">
        <f aca="false">$G7408*'Analyse capacite'!$D$9</f>
        <v>0</v>
      </c>
      <c r="K7408" s="135" t="n">
        <f aca="false">$G7408*'Analyse capacite'!$E$9</f>
        <v>0</v>
      </c>
    </row>
    <row r="7409" customFormat="false" ht="15" hidden="false" customHeight="false" outlineLevel="0" collapsed="false">
      <c r="B7409" s="130" t="n">
        <v>2027</v>
      </c>
      <c r="C7409" s="131" t="s">
        <v>252</v>
      </c>
      <c r="D7409" s="132" t="n">
        <v>46683</v>
      </c>
      <c r="E7409" s="131" t="s">
        <v>53</v>
      </c>
      <c r="F7409" s="133" t="s">
        <v>11</v>
      </c>
      <c r="G7409" s="134" t="n">
        <f aca="false">LEN('Saisie programme'!$I$271)+SUMIFS('Vols additionnels'!$E$7:$E$66,'Vols additionnels'!$C$7:$C$66,$E7409,'Vols additionnels'!$D$7:$D$66,$F7409,'Vols additionnels'!$B$7:$B$66,$D7409)</f>
        <v>0</v>
      </c>
      <c r="H7409" s="135" t="n">
        <f aca="false">$G7409*'Analyse capacite'!$F$7</f>
        <v>0</v>
      </c>
      <c r="I7409" s="135" t="n">
        <f aca="false">$G7409*'Analyse capacite'!$C$7</f>
        <v>0</v>
      </c>
      <c r="J7409" s="135" t="n">
        <f aca="false">$G7409*'Analyse capacite'!$D$7</f>
        <v>0</v>
      </c>
      <c r="K7409" s="135" t="n">
        <f aca="false">$G7409*'Analyse capacite'!$E$7</f>
        <v>0</v>
      </c>
    </row>
    <row r="7410" customFormat="false" ht="15" hidden="false" customHeight="false" outlineLevel="0" collapsed="false">
      <c r="B7410" s="130" t="n">
        <v>2027</v>
      </c>
      <c r="C7410" s="131" t="s">
        <v>252</v>
      </c>
      <c r="D7410" s="132" t="n">
        <v>46683</v>
      </c>
      <c r="E7410" s="131" t="s">
        <v>53</v>
      </c>
      <c r="F7410" s="133" t="s">
        <v>19</v>
      </c>
      <c r="G7410" s="134" t="n">
        <f aca="false">LEN('Saisie programme'!$I$272)+SUMIFS('Vols additionnels'!$E$7:$E$66,'Vols additionnels'!$C$7:$C$66,$E7410,'Vols additionnels'!$D$7:$D$66,$F7410,'Vols additionnels'!$B$7:$B$66,$D7410)</f>
        <v>0</v>
      </c>
      <c r="H7410" s="135" t="n">
        <f aca="false">$G7410*'Analyse capacite'!$F$8</f>
        <v>0</v>
      </c>
      <c r="I7410" s="135" t="n">
        <f aca="false">$G7410*'Analyse capacite'!$C$8</f>
        <v>0</v>
      </c>
      <c r="J7410" s="135" t="n">
        <f aca="false">$G7410*'Analyse capacite'!$D$8</f>
        <v>0</v>
      </c>
      <c r="K7410" s="135" t="n">
        <f aca="false">$G7410*'Analyse capacite'!$E$8</f>
        <v>0</v>
      </c>
    </row>
    <row r="7411" customFormat="false" ht="15" hidden="false" customHeight="false" outlineLevel="0" collapsed="false">
      <c r="B7411" s="130" t="n">
        <v>2027</v>
      </c>
      <c r="C7411" s="131" t="s">
        <v>252</v>
      </c>
      <c r="D7411" s="132" t="n">
        <v>46683</v>
      </c>
      <c r="E7411" s="131" t="s">
        <v>53</v>
      </c>
      <c r="F7411" s="133" t="s">
        <v>24</v>
      </c>
      <c r="G7411" s="134" t="n">
        <f aca="false">LEN('Saisie programme'!$I$273)+SUMIFS('Vols additionnels'!$E$7:$E$66,'Vols additionnels'!$C$7:$C$66,$E7411,'Vols additionnels'!$D$7:$D$66,$F7411,'Vols additionnels'!$B$7:$B$66,$D7411)</f>
        <v>0</v>
      </c>
      <c r="H7411" s="135" t="n">
        <f aca="false">$G7411*'Analyse capacite'!$F$9</f>
        <v>0</v>
      </c>
      <c r="I7411" s="135" t="n">
        <f aca="false">$G7411*'Analyse capacite'!$C$9</f>
        <v>0</v>
      </c>
      <c r="J7411" s="135" t="n">
        <f aca="false">$G7411*'Analyse capacite'!$D$9</f>
        <v>0</v>
      </c>
      <c r="K7411" s="135" t="n">
        <f aca="false">$G7411*'Analyse capacite'!$E$9</f>
        <v>0</v>
      </c>
    </row>
    <row r="7412" customFormat="false" ht="15" hidden="false" customHeight="false" outlineLevel="0" collapsed="false">
      <c r="B7412" s="130" t="n">
        <v>2027</v>
      </c>
      <c r="C7412" s="131" t="s">
        <v>252</v>
      </c>
      <c r="D7412" s="132" t="n">
        <v>46683</v>
      </c>
      <c r="E7412" s="131" t="s">
        <v>56</v>
      </c>
      <c r="F7412" s="133" t="s">
        <v>11</v>
      </c>
      <c r="G7412" s="134" t="n">
        <f aca="false">LEN('Saisie programme'!$I$274)+SUMIFS('Vols additionnels'!$E$7:$E$66,'Vols additionnels'!$C$7:$C$66,$E7412,'Vols additionnels'!$D$7:$D$66,$F7412,'Vols additionnels'!$B$7:$B$66,$D7412)</f>
        <v>0</v>
      </c>
      <c r="H7412" s="135" t="n">
        <f aca="false">$G7412*'Analyse capacite'!$F$7</f>
        <v>0</v>
      </c>
      <c r="I7412" s="135" t="n">
        <f aca="false">$G7412*'Analyse capacite'!$C$7</f>
        <v>0</v>
      </c>
      <c r="J7412" s="135" t="n">
        <f aca="false">$G7412*'Analyse capacite'!$D$7</f>
        <v>0</v>
      </c>
      <c r="K7412" s="135" t="n">
        <f aca="false">$G7412*'Analyse capacite'!$E$7</f>
        <v>0</v>
      </c>
    </row>
    <row r="7413" customFormat="false" ht="15" hidden="false" customHeight="false" outlineLevel="0" collapsed="false">
      <c r="B7413" s="130" t="n">
        <v>2027</v>
      </c>
      <c r="C7413" s="131" t="s">
        <v>252</v>
      </c>
      <c r="D7413" s="132" t="n">
        <v>46683</v>
      </c>
      <c r="E7413" s="131" t="s">
        <v>56</v>
      </c>
      <c r="F7413" s="133" t="s">
        <v>19</v>
      </c>
      <c r="G7413" s="134" t="n">
        <f aca="false">LEN('Saisie programme'!$I$275)+SUMIFS('Vols additionnels'!$E$7:$E$66,'Vols additionnels'!$C$7:$C$66,$E7413,'Vols additionnels'!$D$7:$D$66,$F7413,'Vols additionnels'!$B$7:$B$66,$D7413)</f>
        <v>0</v>
      </c>
      <c r="H7413" s="135" t="n">
        <f aca="false">$G7413*'Analyse capacite'!$F$8</f>
        <v>0</v>
      </c>
      <c r="I7413" s="135" t="n">
        <f aca="false">$G7413*'Analyse capacite'!$C$8</f>
        <v>0</v>
      </c>
      <c r="J7413" s="135" t="n">
        <f aca="false">$G7413*'Analyse capacite'!$D$8</f>
        <v>0</v>
      </c>
      <c r="K7413" s="135" t="n">
        <f aca="false">$G7413*'Analyse capacite'!$E$8</f>
        <v>0</v>
      </c>
    </row>
    <row r="7414" customFormat="false" ht="15" hidden="false" customHeight="false" outlineLevel="0" collapsed="false">
      <c r="B7414" s="130" t="n">
        <v>2027</v>
      </c>
      <c r="C7414" s="131" t="s">
        <v>252</v>
      </c>
      <c r="D7414" s="132" t="n">
        <v>46683</v>
      </c>
      <c r="E7414" s="131" t="s">
        <v>56</v>
      </c>
      <c r="F7414" s="133" t="s">
        <v>24</v>
      </c>
      <c r="G7414" s="134" t="n">
        <f aca="false">LEN('Saisie programme'!$I$276)+SUMIFS('Vols additionnels'!$E$7:$E$66,'Vols additionnels'!$C$7:$C$66,$E7414,'Vols additionnels'!$D$7:$D$66,$F7414,'Vols additionnels'!$B$7:$B$66,$D7414)</f>
        <v>1</v>
      </c>
      <c r="H7414" s="135" t="n">
        <f aca="false">$G7414*'Analyse capacite'!$F$9</f>
        <v>174</v>
      </c>
      <c r="I7414" s="135" t="n">
        <f aca="false">$G7414*'Analyse capacite'!$C$9</f>
        <v>0</v>
      </c>
      <c r="J7414" s="135" t="n">
        <f aca="false">$G7414*'Analyse capacite'!$D$9</f>
        <v>12</v>
      </c>
      <c r="K7414" s="135" t="n">
        <f aca="false">$G7414*'Analyse capacite'!$E$9</f>
        <v>162</v>
      </c>
    </row>
    <row r="7415" customFormat="false" ht="15" hidden="false" customHeight="false" outlineLevel="0" collapsed="false">
      <c r="B7415" s="130" t="n">
        <v>2027</v>
      </c>
      <c r="C7415" s="131" t="s">
        <v>252</v>
      </c>
      <c r="D7415" s="132" t="n">
        <v>46683</v>
      </c>
      <c r="E7415" s="131" t="s">
        <v>59</v>
      </c>
      <c r="F7415" s="133" t="s">
        <v>11</v>
      </c>
      <c r="G7415" s="134" t="n">
        <f aca="false">LEN('Saisie programme'!$I$277)+SUMIFS('Vols additionnels'!$E$7:$E$66,'Vols additionnels'!$C$7:$C$66,$E7415,'Vols additionnels'!$D$7:$D$66,$F7415,'Vols additionnels'!$B$7:$B$66,$D7415)</f>
        <v>0</v>
      </c>
      <c r="H7415" s="135" t="n">
        <f aca="false">$G7415*'Analyse capacite'!$F$7</f>
        <v>0</v>
      </c>
      <c r="I7415" s="135" t="n">
        <f aca="false">$G7415*'Analyse capacite'!$C$7</f>
        <v>0</v>
      </c>
      <c r="J7415" s="135" t="n">
        <f aca="false">$G7415*'Analyse capacite'!$D$7</f>
        <v>0</v>
      </c>
      <c r="K7415" s="135" t="n">
        <f aca="false">$G7415*'Analyse capacite'!$E$7</f>
        <v>0</v>
      </c>
    </row>
    <row r="7416" customFormat="false" ht="15" hidden="false" customHeight="false" outlineLevel="0" collapsed="false">
      <c r="B7416" s="130" t="n">
        <v>2027</v>
      </c>
      <c r="C7416" s="131" t="s">
        <v>252</v>
      </c>
      <c r="D7416" s="132" t="n">
        <v>46683</v>
      </c>
      <c r="E7416" s="131" t="s">
        <v>59</v>
      </c>
      <c r="F7416" s="133" t="s">
        <v>19</v>
      </c>
      <c r="G7416" s="134" t="n">
        <f aca="false">LEN('Saisie programme'!$I$278)+SUMIFS('Vols additionnels'!$E$7:$E$66,'Vols additionnels'!$C$7:$C$66,$E7416,'Vols additionnels'!$D$7:$D$66,$F7416,'Vols additionnels'!$B$7:$B$66,$D7416)</f>
        <v>0</v>
      </c>
      <c r="H7416" s="135" t="n">
        <f aca="false">$G7416*'Analyse capacite'!$F$8</f>
        <v>0</v>
      </c>
      <c r="I7416" s="135" t="n">
        <f aca="false">$G7416*'Analyse capacite'!$C$8</f>
        <v>0</v>
      </c>
      <c r="J7416" s="135" t="n">
        <f aca="false">$G7416*'Analyse capacite'!$D$8</f>
        <v>0</v>
      </c>
      <c r="K7416" s="135" t="n">
        <f aca="false">$G7416*'Analyse capacite'!$E$8</f>
        <v>0</v>
      </c>
    </row>
    <row r="7417" customFormat="false" ht="15" hidden="false" customHeight="false" outlineLevel="0" collapsed="false">
      <c r="B7417" s="130" t="n">
        <v>2027</v>
      </c>
      <c r="C7417" s="131" t="s">
        <v>252</v>
      </c>
      <c r="D7417" s="132" t="n">
        <v>46683</v>
      </c>
      <c r="E7417" s="131" t="s">
        <v>59</v>
      </c>
      <c r="F7417" s="133" t="s">
        <v>24</v>
      </c>
      <c r="G7417" s="134" t="n">
        <f aca="false">LEN('Saisie programme'!$I$279)+SUMIFS('Vols additionnels'!$E$7:$E$66,'Vols additionnels'!$C$7:$C$66,$E7417,'Vols additionnels'!$D$7:$D$66,$F7417,'Vols additionnels'!$B$7:$B$66,$D7417)</f>
        <v>1</v>
      </c>
      <c r="H7417" s="135" t="n">
        <f aca="false">$G7417*'Analyse capacite'!$F$9</f>
        <v>174</v>
      </c>
      <c r="I7417" s="135" t="n">
        <f aca="false">$G7417*'Analyse capacite'!$C$9</f>
        <v>0</v>
      </c>
      <c r="J7417" s="135" t="n">
        <f aca="false">$G7417*'Analyse capacite'!$D$9</f>
        <v>12</v>
      </c>
      <c r="K7417" s="135" t="n">
        <f aca="false">$G7417*'Analyse capacite'!$E$9</f>
        <v>162</v>
      </c>
    </row>
    <row r="7418" customFormat="false" ht="15" hidden="false" customHeight="false" outlineLevel="0" collapsed="false">
      <c r="B7418" s="130" t="n">
        <v>2027</v>
      </c>
      <c r="C7418" s="131" t="s">
        <v>252</v>
      </c>
      <c r="D7418" s="132" t="n">
        <v>46683</v>
      </c>
      <c r="E7418" s="131" t="s">
        <v>62</v>
      </c>
      <c r="F7418" s="133" t="s">
        <v>11</v>
      </c>
      <c r="G7418" s="134" t="n">
        <f aca="false">LEN('Saisie programme'!$I$280)+SUMIFS('Vols additionnels'!$E$7:$E$66,'Vols additionnels'!$C$7:$C$66,$E7418,'Vols additionnels'!$D$7:$D$66,$F7418,'Vols additionnels'!$B$7:$B$66,$D7418)</f>
        <v>0</v>
      </c>
      <c r="H7418" s="135" t="n">
        <f aca="false">$G7418*'Analyse capacite'!$F$7</f>
        <v>0</v>
      </c>
      <c r="I7418" s="135" t="n">
        <f aca="false">$G7418*'Analyse capacite'!$C$7</f>
        <v>0</v>
      </c>
      <c r="J7418" s="135" t="n">
        <f aca="false">$G7418*'Analyse capacite'!$D$7</f>
        <v>0</v>
      </c>
      <c r="K7418" s="135" t="n">
        <f aca="false">$G7418*'Analyse capacite'!$E$7</f>
        <v>0</v>
      </c>
    </row>
    <row r="7419" customFormat="false" ht="15" hidden="false" customHeight="false" outlineLevel="0" collapsed="false">
      <c r="B7419" s="130" t="n">
        <v>2027</v>
      </c>
      <c r="C7419" s="131" t="s">
        <v>252</v>
      </c>
      <c r="D7419" s="132" t="n">
        <v>46683</v>
      </c>
      <c r="E7419" s="131" t="s">
        <v>62</v>
      </c>
      <c r="F7419" s="133" t="s">
        <v>19</v>
      </c>
      <c r="G7419" s="134" t="n">
        <f aca="false">LEN('Saisie programme'!$I$281)+SUMIFS('Vols additionnels'!$E$7:$E$66,'Vols additionnels'!$C$7:$C$66,$E7419,'Vols additionnels'!$D$7:$D$66,$F7419,'Vols additionnels'!$B$7:$B$66,$D7419)</f>
        <v>0</v>
      </c>
      <c r="H7419" s="135" t="n">
        <f aca="false">$G7419*'Analyse capacite'!$F$8</f>
        <v>0</v>
      </c>
      <c r="I7419" s="135" t="n">
        <f aca="false">$G7419*'Analyse capacite'!$C$8</f>
        <v>0</v>
      </c>
      <c r="J7419" s="135" t="n">
        <f aca="false">$G7419*'Analyse capacite'!$D$8</f>
        <v>0</v>
      </c>
      <c r="K7419" s="135" t="n">
        <f aca="false">$G7419*'Analyse capacite'!$E$8</f>
        <v>0</v>
      </c>
    </row>
    <row r="7420" customFormat="false" ht="15" hidden="false" customHeight="false" outlineLevel="0" collapsed="false">
      <c r="B7420" s="130" t="n">
        <v>2027</v>
      </c>
      <c r="C7420" s="131" t="s">
        <v>252</v>
      </c>
      <c r="D7420" s="132" t="n">
        <v>46683</v>
      </c>
      <c r="E7420" s="131" t="s">
        <v>62</v>
      </c>
      <c r="F7420" s="133" t="s">
        <v>24</v>
      </c>
      <c r="G7420" s="134" t="n">
        <f aca="false">LEN('Saisie programme'!$I$282)+SUMIFS('Vols additionnels'!$E$7:$E$66,'Vols additionnels'!$C$7:$C$66,$E7420,'Vols additionnels'!$D$7:$D$66,$F7420,'Vols additionnels'!$B$7:$B$66,$D7420)</f>
        <v>0</v>
      </c>
      <c r="H7420" s="135" t="n">
        <f aca="false">$G7420*'Analyse capacite'!$F$9</f>
        <v>0</v>
      </c>
      <c r="I7420" s="135" t="n">
        <f aca="false">$G7420*'Analyse capacite'!$C$9</f>
        <v>0</v>
      </c>
      <c r="J7420" s="135" t="n">
        <f aca="false">$G7420*'Analyse capacite'!$D$9</f>
        <v>0</v>
      </c>
      <c r="K7420" s="135" t="n">
        <f aca="false">$G7420*'Analyse capacite'!$E$9</f>
        <v>0</v>
      </c>
    </row>
    <row r="7421" customFormat="false" ht="15" hidden="false" customHeight="false" outlineLevel="0" collapsed="false">
      <c r="B7421" s="130" t="n">
        <v>2027</v>
      </c>
      <c r="C7421" s="131" t="s">
        <v>252</v>
      </c>
      <c r="D7421" s="132" t="n">
        <v>46684</v>
      </c>
      <c r="E7421" s="131" t="s">
        <v>12</v>
      </c>
      <c r="F7421" s="133" t="s">
        <v>11</v>
      </c>
      <c r="G7421" s="134" t="n">
        <f aca="false">LEN('Saisie programme'!$J$247)+SUMIFS('Vols additionnels'!$E$7:$E$66,'Vols additionnels'!$C$7:$C$66,$E7421,'Vols additionnels'!$D$7:$D$66,$F7421,'Vols additionnels'!$B$7:$B$66,$D7421)</f>
        <v>1</v>
      </c>
      <c r="H7421" s="135" t="n">
        <f aca="false">$G7421*'Analyse capacite'!$F$7</f>
        <v>438</v>
      </c>
      <c r="I7421" s="135" t="n">
        <f aca="false">$G7421*'Analyse capacite'!$C$7</f>
        <v>14</v>
      </c>
      <c r="J7421" s="135" t="n">
        <f aca="false">$G7421*'Analyse capacite'!$D$7</f>
        <v>40</v>
      </c>
      <c r="K7421" s="135" t="n">
        <f aca="false">$G7421*'Analyse capacite'!$E$7</f>
        <v>384</v>
      </c>
    </row>
    <row r="7422" customFormat="false" ht="15" hidden="false" customHeight="false" outlineLevel="0" collapsed="false">
      <c r="B7422" s="130" t="n">
        <v>2027</v>
      </c>
      <c r="C7422" s="131" t="s">
        <v>252</v>
      </c>
      <c r="D7422" s="132" t="n">
        <v>46684</v>
      </c>
      <c r="E7422" s="131" t="s">
        <v>12</v>
      </c>
      <c r="F7422" s="133" t="s">
        <v>19</v>
      </c>
      <c r="G7422" s="134" t="n">
        <f aca="false">LEN('Saisie programme'!$J$248)+SUMIFS('Vols additionnels'!$E$7:$E$66,'Vols additionnels'!$C$7:$C$66,$E7422,'Vols additionnels'!$D$7:$D$66,$F7422,'Vols additionnels'!$B$7:$B$66,$D7422)</f>
        <v>0</v>
      </c>
      <c r="H7422" s="135" t="n">
        <f aca="false">$G7422*'Analyse capacite'!$F$8</f>
        <v>0</v>
      </c>
      <c r="I7422" s="135" t="n">
        <f aca="false">$G7422*'Analyse capacite'!$C$8</f>
        <v>0</v>
      </c>
      <c r="J7422" s="135" t="n">
        <f aca="false">$G7422*'Analyse capacite'!$D$8</f>
        <v>0</v>
      </c>
      <c r="K7422" s="135" t="n">
        <f aca="false">$G7422*'Analyse capacite'!$E$8</f>
        <v>0</v>
      </c>
    </row>
    <row r="7423" customFormat="false" ht="15" hidden="false" customHeight="false" outlineLevel="0" collapsed="false">
      <c r="B7423" s="130" t="n">
        <v>2027</v>
      </c>
      <c r="C7423" s="131" t="s">
        <v>252</v>
      </c>
      <c r="D7423" s="132" t="n">
        <v>46684</v>
      </c>
      <c r="E7423" s="131" t="s">
        <v>12</v>
      </c>
      <c r="F7423" s="133" t="s">
        <v>24</v>
      </c>
      <c r="G7423" s="134" t="n">
        <f aca="false">LEN('Saisie programme'!$J$249)+SUMIFS('Vols additionnels'!$E$7:$E$66,'Vols additionnels'!$C$7:$C$66,$E7423,'Vols additionnels'!$D$7:$D$66,$F7423,'Vols additionnels'!$B$7:$B$66,$D7423)</f>
        <v>0</v>
      </c>
      <c r="H7423" s="135" t="n">
        <f aca="false">$G7423*'Analyse capacite'!$F$9</f>
        <v>0</v>
      </c>
      <c r="I7423" s="135" t="n">
        <f aca="false">$G7423*'Analyse capacite'!$C$9</f>
        <v>0</v>
      </c>
      <c r="J7423" s="135" t="n">
        <f aca="false">$G7423*'Analyse capacite'!$D$9</f>
        <v>0</v>
      </c>
      <c r="K7423" s="135" t="n">
        <f aca="false">$G7423*'Analyse capacite'!$E$9</f>
        <v>0</v>
      </c>
    </row>
    <row r="7424" customFormat="false" ht="15" hidden="false" customHeight="false" outlineLevel="0" collapsed="false">
      <c r="B7424" s="130" t="n">
        <v>2027</v>
      </c>
      <c r="C7424" s="131" t="s">
        <v>252</v>
      </c>
      <c r="D7424" s="132" t="n">
        <v>46684</v>
      </c>
      <c r="E7424" s="131" t="s">
        <v>20</v>
      </c>
      <c r="F7424" s="133" t="s">
        <v>11</v>
      </c>
      <c r="G7424" s="134" t="n">
        <f aca="false">LEN('Saisie programme'!$J$250)+SUMIFS('Vols additionnels'!$E$7:$E$66,'Vols additionnels'!$C$7:$C$66,$E7424,'Vols additionnels'!$D$7:$D$66,$F7424,'Vols additionnels'!$B$7:$B$66,$D7424)</f>
        <v>1</v>
      </c>
      <c r="H7424" s="135" t="n">
        <f aca="false">$G7424*'Analyse capacite'!$F$7</f>
        <v>438</v>
      </c>
      <c r="I7424" s="135" t="n">
        <f aca="false">$G7424*'Analyse capacite'!$C$7</f>
        <v>14</v>
      </c>
      <c r="J7424" s="135" t="n">
        <f aca="false">$G7424*'Analyse capacite'!$D$7</f>
        <v>40</v>
      </c>
      <c r="K7424" s="135" t="n">
        <f aca="false">$G7424*'Analyse capacite'!$E$7</f>
        <v>384</v>
      </c>
    </row>
    <row r="7425" customFormat="false" ht="15" hidden="false" customHeight="false" outlineLevel="0" collapsed="false">
      <c r="B7425" s="130" t="n">
        <v>2027</v>
      </c>
      <c r="C7425" s="131" t="s">
        <v>252</v>
      </c>
      <c r="D7425" s="132" t="n">
        <v>46684</v>
      </c>
      <c r="E7425" s="131" t="s">
        <v>20</v>
      </c>
      <c r="F7425" s="133" t="s">
        <v>19</v>
      </c>
      <c r="G7425" s="134" t="n">
        <f aca="false">LEN('Saisie programme'!$J$251)+SUMIFS('Vols additionnels'!$E$7:$E$66,'Vols additionnels'!$C$7:$C$66,$E7425,'Vols additionnels'!$D$7:$D$66,$F7425,'Vols additionnels'!$B$7:$B$66,$D7425)</f>
        <v>0</v>
      </c>
      <c r="H7425" s="135" t="n">
        <f aca="false">$G7425*'Analyse capacite'!$F$8</f>
        <v>0</v>
      </c>
      <c r="I7425" s="135" t="n">
        <f aca="false">$G7425*'Analyse capacite'!$C$8</f>
        <v>0</v>
      </c>
      <c r="J7425" s="135" t="n">
        <f aca="false">$G7425*'Analyse capacite'!$D$8</f>
        <v>0</v>
      </c>
      <c r="K7425" s="135" t="n">
        <f aca="false">$G7425*'Analyse capacite'!$E$8</f>
        <v>0</v>
      </c>
    </row>
    <row r="7426" customFormat="false" ht="15" hidden="false" customHeight="false" outlineLevel="0" collapsed="false">
      <c r="B7426" s="130" t="n">
        <v>2027</v>
      </c>
      <c r="C7426" s="131" t="s">
        <v>252</v>
      </c>
      <c r="D7426" s="132" t="n">
        <v>46684</v>
      </c>
      <c r="E7426" s="131" t="s">
        <v>20</v>
      </c>
      <c r="F7426" s="133" t="s">
        <v>24</v>
      </c>
      <c r="G7426" s="134" t="n">
        <f aca="false">LEN('Saisie programme'!$J$252)+SUMIFS('Vols additionnels'!$E$7:$E$66,'Vols additionnels'!$C$7:$C$66,$E7426,'Vols additionnels'!$D$7:$D$66,$F7426,'Vols additionnels'!$B$7:$B$66,$D7426)</f>
        <v>0</v>
      </c>
      <c r="H7426" s="135" t="n">
        <f aca="false">$G7426*'Analyse capacite'!$F$9</f>
        <v>0</v>
      </c>
      <c r="I7426" s="135" t="n">
        <f aca="false">$G7426*'Analyse capacite'!$C$9</f>
        <v>0</v>
      </c>
      <c r="J7426" s="135" t="n">
        <f aca="false">$G7426*'Analyse capacite'!$D$9</f>
        <v>0</v>
      </c>
      <c r="K7426" s="135" t="n">
        <f aca="false">$G7426*'Analyse capacite'!$E$9</f>
        <v>0</v>
      </c>
    </row>
    <row r="7427" customFormat="false" ht="15" hidden="false" customHeight="false" outlineLevel="0" collapsed="false">
      <c r="B7427" s="130" t="n">
        <v>2027</v>
      </c>
      <c r="C7427" s="131" t="s">
        <v>252</v>
      </c>
      <c r="D7427" s="132" t="n">
        <v>46684</v>
      </c>
      <c r="E7427" s="131" t="s">
        <v>25</v>
      </c>
      <c r="F7427" s="133" t="s">
        <v>11</v>
      </c>
      <c r="G7427" s="134" t="n">
        <f aca="false">LEN('Saisie programme'!$J$253)+SUMIFS('Vols additionnels'!$E$7:$E$66,'Vols additionnels'!$C$7:$C$66,$E7427,'Vols additionnels'!$D$7:$D$66,$F7427,'Vols additionnels'!$B$7:$B$66,$D7427)</f>
        <v>0</v>
      </c>
      <c r="H7427" s="135" t="n">
        <f aca="false">$G7427*'Analyse capacite'!$F$7</f>
        <v>0</v>
      </c>
      <c r="I7427" s="135" t="n">
        <f aca="false">$G7427*'Analyse capacite'!$C$7</f>
        <v>0</v>
      </c>
      <c r="J7427" s="135" t="n">
        <f aca="false">$G7427*'Analyse capacite'!$D$7</f>
        <v>0</v>
      </c>
      <c r="K7427" s="135" t="n">
        <f aca="false">$G7427*'Analyse capacite'!$E$7</f>
        <v>0</v>
      </c>
    </row>
    <row r="7428" customFormat="false" ht="15" hidden="false" customHeight="false" outlineLevel="0" collapsed="false">
      <c r="B7428" s="130" t="n">
        <v>2027</v>
      </c>
      <c r="C7428" s="131" t="s">
        <v>252</v>
      </c>
      <c r="D7428" s="132" t="n">
        <v>46684</v>
      </c>
      <c r="E7428" s="131" t="s">
        <v>25</v>
      </c>
      <c r="F7428" s="133" t="s">
        <v>19</v>
      </c>
      <c r="G7428" s="134" t="n">
        <f aca="false">LEN('Saisie programme'!$J$254)+SUMIFS('Vols additionnels'!$E$7:$E$66,'Vols additionnels'!$C$7:$C$66,$E7428,'Vols additionnels'!$D$7:$D$66,$F7428,'Vols additionnels'!$B$7:$B$66,$D7428)</f>
        <v>0</v>
      </c>
      <c r="H7428" s="135" t="n">
        <f aca="false">$G7428*'Analyse capacite'!$F$8</f>
        <v>0</v>
      </c>
      <c r="I7428" s="135" t="n">
        <f aca="false">$G7428*'Analyse capacite'!$C$8</f>
        <v>0</v>
      </c>
      <c r="J7428" s="135" t="n">
        <f aca="false">$G7428*'Analyse capacite'!$D$8</f>
        <v>0</v>
      </c>
      <c r="K7428" s="135" t="n">
        <f aca="false">$G7428*'Analyse capacite'!$E$8</f>
        <v>0</v>
      </c>
    </row>
    <row r="7429" customFormat="false" ht="15" hidden="false" customHeight="false" outlineLevel="0" collapsed="false">
      <c r="B7429" s="130" t="n">
        <v>2027</v>
      </c>
      <c r="C7429" s="131" t="s">
        <v>252</v>
      </c>
      <c r="D7429" s="132" t="n">
        <v>46684</v>
      </c>
      <c r="E7429" s="131" t="s">
        <v>25</v>
      </c>
      <c r="F7429" s="133" t="s">
        <v>24</v>
      </c>
      <c r="G7429" s="134" t="n">
        <f aca="false">LEN('Saisie programme'!$J$255)+SUMIFS('Vols additionnels'!$E$7:$E$66,'Vols additionnels'!$C$7:$C$66,$E7429,'Vols additionnels'!$D$7:$D$66,$F7429,'Vols additionnels'!$B$7:$B$66,$D7429)</f>
        <v>0</v>
      </c>
      <c r="H7429" s="135" t="n">
        <f aca="false">$G7429*'Analyse capacite'!$F$9</f>
        <v>0</v>
      </c>
      <c r="I7429" s="135" t="n">
        <f aca="false">$G7429*'Analyse capacite'!$C$9</f>
        <v>0</v>
      </c>
      <c r="J7429" s="135" t="n">
        <f aca="false">$G7429*'Analyse capacite'!$D$9</f>
        <v>0</v>
      </c>
      <c r="K7429" s="135" t="n">
        <f aca="false">$G7429*'Analyse capacite'!$E$9</f>
        <v>0</v>
      </c>
    </row>
    <row r="7430" customFormat="false" ht="15" hidden="false" customHeight="false" outlineLevel="0" collapsed="false">
      <c r="B7430" s="130" t="n">
        <v>2027</v>
      </c>
      <c r="C7430" s="131" t="s">
        <v>252</v>
      </c>
      <c r="D7430" s="132" t="n">
        <v>46684</v>
      </c>
      <c r="E7430" s="131" t="s">
        <v>36</v>
      </c>
      <c r="F7430" s="133" t="s">
        <v>11</v>
      </c>
      <c r="G7430" s="134" t="n">
        <f aca="false">LEN('Saisie programme'!$J$256)+SUMIFS('Vols additionnels'!$E$7:$E$66,'Vols additionnels'!$C$7:$C$66,$E7430,'Vols additionnels'!$D$7:$D$66,$F7430,'Vols additionnels'!$B$7:$B$66,$D7430)</f>
        <v>0</v>
      </c>
      <c r="H7430" s="135" t="n">
        <f aca="false">$G7430*'Analyse capacite'!$F$7</f>
        <v>0</v>
      </c>
      <c r="I7430" s="135" t="n">
        <f aca="false">$G7430*'Analyse capacite'!$C$7</f>
        <v>0</v>
      </c>
      <c r="J7430" s="135" t="n">
        <f aca="false">$G7430*'Analyse capacite'!$D$7</f>
        <v>0</v>
      </c>
      <c r="K7430" s="135" t="n">
        <f aca="false">$G7430*'Analyse capacite'!$E$7</f>
        <v>0</v>
      </c>
    </row>
    <row r="7431" customFormat="false" ht="15" hidden="false" customHeight="false" outlineLevel="0" collapsed="false">
      <c r="B7431" s="130" t="n">
        <v>2027</v>
      </c>
      <c r="C7431" s="131" t="s">
        <v>252</v>
      </c>
      <c r="D7431" s="132" t="n">
        <v>46684</v>
      </c>
      <c r="E7431" s="131" t="s">
        <v>36</v>
      </c>
      <c r="F7431" s="133" t="s">
        <v>19</v>
      </c>
      <c r="G7431" s="134" t="n">
        <f aca="false">LEN('Saisie programme'!$J$257)+SUMIFS('Vols additionnels'!$E$7:$E$66,'Vols additionnels'!$C$7:$C$66,$E7431,'Vols additionnels'!$D$7:$D$66,$F7431,'Vols additionnels'!$B$7:$B$66,$D7431)</f>
        <v>0</v>
      </c>
      <c r="H7431" s="135" t="n">
        <f aca="false">$G7431*'Analyse capacite'!$F$8</f>
        <v>0</v>
      </c>
      <c r="I7431" s="135" t="n">
        <f aca="false">$G7431*'Analyse capacite'!$C$8</f>
        <v>0</v>
      </c>
      <c r="J7431" s="135" t="n">
        <f aca="false">$G7431*'Analyse capacite'!$D$8</f>
        <v>0</v>
      </c>
      <c r="K7431" s="135" t="n">
        <f aca="false">$G7431*'Analyse capacite'!$E$8</f>
        <v>0</v>
      </c>
    </row>
    <row r="7432" customFormat="false" ht="15" hidden="false" customHeight="false" outlineLevel="0" collapsed="false">
      <c r="B7432" s="130" t="n">
        <v>2027</v>
      </c>
      <c r="C7432" s="131" t="s">
        <v>252</v>
      </c>
      <c r="D7432" s="132" t="n">
        <v>46684</v>
      </c>
      <c r="E7432" s="131" t="s">
        <v>36</v>
      </c>
      <c r="F7432" s="133" t="s">
        <v>24</v>
      </c>
      <c r="G7432" s="134" t="n">
        <f aca="false">LEN('Saisie programme'!$J$258)+SUMIFS('Vols additionnels'!$E$7:$E$66,'Vols additionnels'!$C$7:$C$66,$E7432,'Vols additionnels'!$D$7:$D$66,$F7432,'Vols additionnels'!$B$7:$B$66,$D7432)</f>
        <v>0</v>
      </c>
      <c r="H7432" s="135" t="n">
        <f aca="false">$G7432*'Analyse capacite'!$F$9</f>
        <v>0</v>
      </c>
      <c r="I7432" s="135" t="n">
        <f aca="false">$G7432*'Analyse capacite'!$C$9</f>
        <v>0</v>
      </c>
      <c r="J7432" s="135" t="n">
        <f aca="false">$G7432*'Analyse capacite'!$D$9</f>
        <v>0</v>
      </c>
      <c r="K7432" s="135" t="n">
        <f aca="false">$G7432*'Analyse capacite'!$E$9</f>
        <v>0</v>
      </c>
    </row>
    <row r="7433" customFormat="false" ht="15" hidden="false" customHeight="false" outlineLevel="0" collapsed="false">
      <c r="B7433" s="130" t="n">
        <v>2027</v>
      </c>
      <c r="C7433" s="131" t="s">
        <v>252</v>
      </c>
      <c r="D7433" s="132" t="n">
        <v>46684</v>
      </c>
      <c r="E7433" s="131" t="s">
        <v>40</v>
      </c>
      <c r="F7433" s="133" t="s">
        <v>11</v>
      </c>
      <c r="G7433" s="134" t="n">
        <f aca="false">LEN('Saisie programme'!$J$259)+SUMIFS('Vols additionnels'!$E$7:$E$66,'Vols additionnels'!$C$7:$C$66,$E7433,'Vols additionnels'!$D$7:$D$66,$F7433,'Vols additionnels'!$B$7:$B$66,$D7433)</f>
        <v>0</v>
      </c>
      <c r="H7433" s="135" t="n">
        <f aca="false">$G7433*'Analyse capacite'!$F$7</f>
        <v>0</v>
      </c>
      <c r="I7433" s="135" t="n">
        <f aca="false">$G7433*'Analyse capacite'!$C$7</f>
        <v>0</v>
      </c>
      <c r="J7433" s="135" t="n">
        <f aca="false">$G7433*'Analyse capacite'!$D$7</f>
        <v>0</v>
      </c>
      <c r="K7433" s="135" t="n">
        <f aca="false">$G7433*'Analyse capacite'!$E$7</f>
        <v>0</v>
      </c>
    </row>
    <row r="7434" customFormat="false" ht="15" hidden="false" customHeight="false" outlineLevel="0" collapsed="false">
      <c r="B7434" s="130" t="n">
        <v>2027</v>
      </c>
      <c r="C7434" s="131" t="s">
        <v>252</v>
      </c>
      <c r="D7434" s="132" t="n">
        <v>46684</v>
      </c>
      <c r="E7434" s="131" t="s">
        <v>40</v>
      </c>
      <c r="F7434" s="133" t="s">
        <v>19</v>
      </c>
      <c r="G7434" s="134" t="n">
        <f aca="false">LEN('Saisie programme'!$J$260)+SUMIFS('Vols additionnels'!$E$7:$E$66,'Vols additionnels'!$C$7:$C$66,$E7434,'Vols additionnels'!$D$7:$D$66,$F7434,'Vols additionnels'!$B$7:$B$66,$D7434)</f>
        <v>0</v>
      </c>
      <c r="H7434" s="135" t="n">
        <f aca="false">$G7434*'Analyse capacite'!$F$8</f>
        <v>0</v>
      </c>
      <c r="I7434" s="135" t="n">
        <f aca="false">$G7434*'Analyse capacite'!$C$8</f>
        <v>0</v>
      </c>
      <c r="J7434" s="135" t="n">
        <f aca="false">$G7434*'Analyse capacite'!$D$8</f>
        <v>0</v>
      </c>
      <c r="K7434" s="135" t="n">
        <f aca="false">$G7434*'Analyse capacite'!$E$8</f>
        <v>0</v>
      </c>
    </row>
    <row r="7435" customFormat="false" ht="15" hidden="false" customHeight="false" outlineLevel="0" collapsed="false">
      <c r="B7435" s="130" t="n">
        <v>2027</v>
      </c>
      <c r="C7435" s="131" t="s">
        <v>252</v>
      </c>
      <c r="D7435" s="132" t="n">
        <v>46684</v>
      </c>
      <c r="E7435" s="131" t="s">
        <v>40</v>
      </c>
      <c r="F7435" s="133" t="s">
        <v>24</v>
      </c>
      <c r="G7435" s="134" t="n">
        <f aca="false">LEN('Saisie programme'!$J$261)+SUMIFS('Vols additionnels'!$E$7:$E$66,'Vols additionnels'!$C$7:$C$66,$E7435,'Vols additionnels'!$D$7:$D$66,$F7435,'Vols additionnels'!$B$7:$B$66,$D7435)</f>
        <v>1</v>
      </c>
      <c r="H7435" s="135" t="n">
        <f aca="false">$G7435*'Analyse capacite'!$F$9</f>
        <v>174</v>
      </c>
      <c r="I7435" s="135" t="n">
        <f aca="false">$G7435*'Analyse capacite'!$C$9</f>
        <v>0</v>
      </c>
      <c r="J7435" s="135" t="n">
        <f aca="false">$G7435*'Analyse capacite'!$D$9</f>
        <v>12</v>
      </c>
      <c r="K7435" s="135" t="n">
        <f aca="false">$G7435*'Analyse capacite'!$E$9</f>
        <v>162</v>
      </c>
    </row>
    <row r="7436" customFormat="false" ht="15" hidden="false" customHeight="false" outlineLevel="0" collapsed="false">
      <c r="B7436" s="130" t="n">
        <v>2027</v>
      </c>
      <c r="C7436" s="131" t="s">
        <v>252</v>
      </c>
      <c r="D7436" s="132" t="n">
        <v>46684</v>
      </c>
      <c r="E7436" s="131" t="s">
        <v>14</v>
      </c>
      <c r="F7436" s="133" t="s">
        <v>11</v>
      </c>
      <c r="G7436" s="134" t="n">
        <f aca="false">LEN('Saisie programme'!$J$262)+SUMIFS('Vols additionnels'!$E$7:$E$66,'Vols additionnels'!$C$7:$C$66,$E7436,'Vols additionnels'!$D$7:$D$66,$F7436,'Vols additionnels'!$B$7:$B$66,$D7436)</f>
        <v>0</v>
      </c>
      <c r="H7436" s="135" t="n">
        <f aca="false">$G7436*'Analyse capacite'!$F$7</f>
        <v>0</v>
      </c>
      <c r="I7436" s="135" t="n">
        <f aca="false">$G7436*'Analyse capacite'!$C$7</f>
        <v>0</v>
      </c>
      <c r="J7436" s="135" t="n">
        <f aca="false">$G7436*'Analyse capacite'!$D$7</f>
        <v>0</v>
      </c>
      <c r="K7436" s="135" t="n">
        <f aca="false">$G7436*'Analyse capacite'!$E$7</f>
        <v>0</v>
      </c>
    </row>
    <row r="7437" customFormat="false" ht="15" hidden="false" customHeight="false" outlineLevel="0" collapsed="false">
      <c r="B7437" s="130" t="n">
        <v>2027</v>
      </c>
      <c r="C7437" s="131" t="s">
        <v>252</v>
      </c>
      <c r="D7437" s="132" t="n">
        <v>46684</v>
      </c>
      <c r="E7437" s="131" t="s">
        <v>14</v>
      </c>
      <c r="F7437" s="133" t="s">
        <v>19</v>
      </c>
      <c r="G7437" s="134" t="n">
        <f aca="false">LEN('Saisie programme'!$J$263)+SUMIFS('Vols additionnels'!$E$7:$E$66,'Vols additionnels'!$C$7:$C$66,$E7437,'Vols additionnels'!$D$7:$D$66,$F7437,'Vols additionnels'!$B$7:$B$66,$D7437)</f>
        <v>0</v>
      </c>
      <c r="H7437" s="135" t="n">
        <f aca="false">$G7437*'Analyse capacite'!$F$8</f>
        <v>0</v>
      </c>
      <c r="I7437" s="135" t="n">
        <f aca="false">$G7437*'Analyse capacite'!$C$8</f>
        <v>0</v>
      </c>
      <c r="J7437" s="135" t="n">
        <f aca="false">$G7437*'Analyse capacite'!$D$8</f>
        <v>0</v>
      </c>
      <c r="K7437" s="135" t="n">
        <f aca="false">$G7437*'Analyse capacite'!$E$8</f>
        <v>0</v>
      </c>
    </row>
    <row r="7438" customFormat="false" ht="15" hidden="false" customHeight="false" outlineLevel="0" collapsed="false">
      <c r="B7438" s="130" t="n">
        <v>2027</v>
      </c>
      <c r="C7438" s="131" t="s">
        <v>252</v>
      </c>
      <c r="D7438" s="132" t="n">
        <v>46684</v>
      </c>
      <c r="E7438" s="131" t="s">
        <v>14</v>
      </c>
      <c r="F7438" s="133" t="s">
        <v>24</v>
      </c>
      <c r="G7438" s="134" t="n">
        <f aca="false">LEN('Saisie programme'!$J$264)+SUMIFS('Vols additionnels'!$E$7:$E$66,'Vols additionnels'!$C$7:$C$66,$E7438,'Vols additionnels'!$D$7:$D$66,$F7438,'Vols additionnels'!$B$7:$B$66,$D7438)</f>
        <v>0</v>
      </c>
      <c r="H7438" s="135" t="n">
        <f aca="false">$G7438*'Analyse capacite'!$F$9</f>
        <v>0</v>
      </c>
      <c r="I7438" s="135" t="n">
        <f aca="false">$G7438*'Analyse capacite'!$C$9</f>
        <v>0</v>
      </c>
      <c r="J7438" s="135" t="n">
        <f aca="false">$G7438*'Analyse capacite'!$D$9</f>
        <v>0</v>
      </c>
      <c r="K7438" s="135" t="n">
        <f aca="false">$G7438*'Analyse capacite'!$E$9</f>
        <v>0</v>
      </c>
    </row>
    <row r="7439" customFormat="false" ht="15" hidden="false" customHeight="false" outlineLevel="0" collapsed="false">
      <c r="B7439" s="130" t="n">
        <v>2027</v>
      </c>
      <c r="C7439" s="131" t="s">
        <v>252</v>
      </c>
      <c r="D7439" s="132" t="n">
        <v>46684</v>
      </c>
      <c r="E7439" s="131" t="s">
        <v>46</v>
      </c>
      <c r="F7439" s="133" t="s">
        <v>11</v>
      </c>
      <c r="G7439" s="134" t="n">
        <f aca="false">LEN('Saisie programme'!$J$265)+SUMIFS('Vols additionnels'!$E$7:$E$66,'Vols additionnels'!$C$7:$C$66,$E7439,'Vols additionnels'!$D$7:$D$66,$F7439,'Vols additionnels'!$B$7:$B$66,$D7439)</f>
        <v>0</v>
      </c>
      <c r="H7439" s="135" t="n">
        <f aca="false">$G7439*'Analyse capacite'!$F$7</f>
        <v>0</v>
      </c>
      <c r="I7439" s="135" t="n">
        <f aca="false">$G7439*'Analyse capacite'!$C$7</f>
        <v>0</v>
      </c>
      <c r="J7439" s="135" t="n">
        <f aca="false">$G7439*'Analyse capacite'!$D$7</f>
        <v>0</v>
      </c>
      <c r="K7439" s="135" t="n">
        <f aca="false">$G7439*'Analyse capacite'!$E$7</f>
        <v>0</v>
      </c>
    </row>
    <row r="7440" customFormat="false" ht="15" hidden="false" customHeight="false" outlineLevel="0" collapsed="false">
      <c r="B7440" s="130" t="n">
        <v>2027</v>
      </c>
      <c r="C7440" s="131" t="s">
        <v>252</v>
      </c>
      <c r="D7440" s="132" t="n">
        <v>46684</v>
      </c>
      <c r="E7440" s="131" t="s">
        <v>46</v>
      </c>
      <c r="F7440" s="133" t="s">
        <v>19</v>
      </c>
      <c r="G7440" s="134" t="n">
        <f aca="false">LEN('Saisie programme'!$J$266)+SUMIFS('Vols additionnels'!$E$7:$E$66,'Vols additionnels'!$C$7:$C$66,$E7440,'Vols additionnels'!$D$7:$D$66,$F7440,'Vols additionnels'!$B$7:$B$66,$D7440)</f>
        <v>0</v>
      </c>
      <c r="H7440" s="135" t="n">
        <f aca="false">$G7440*'Analyse capacite'!$F$8</f>
        <v>0</v>
      </c>
      <c r="I7440" s="135" t="n">
        <f aca="false">$G7440*'Analyse capacite'!$C$8</f>
        <v>0</v>
      </c>
      <c r="J7440" s="135" t="n">
        <f aca="false">$G7440*'Analyse capacite'!$D$8</f>
        <v>0</v>
      </c>
      <c r="K7440" s="135" t="n">
        <f aca="false">$G7440*'Analyse capacite'!$E$8</f>
        <v>0</v>
      </c>
    </row>
    <row r="7441" customFormat="false" ht="15" hidden="false" customHeight="false" outlineLevel="0" collapsed="false">
      <c r="B7441" s="130" t="n">
        <v>2027</v>
      </c>
      <c r="C7441" s="131" t="s">
        <v>252</v>
      </c>
      <c r="D7441" s="132" t="n">
        <v>46684</v>
      </c>
      <c r="E7441" s="131" t="s">
        <v>46</v>
      </c>
      <c r="F7441" s="133" t="s">
        <v>24</v>
      </c>
      <c r="G7441" s="134" t="n">
        <f aca="false">LEN('Saisie programme'!$J$267)+SUMIFS('Vols additionnels'!$E$7:$E$66,'Vols additionnels'!$C$7:$C$66,$E7441,'Vols additionnels'!$D$7:$D$66,$F7441,'Vols additionnels'!$B$7:$B$66,$D7441)</f>
        <v>0</v>
      </c>
      <c r="H7441" s="135" t="n">
        <f aca="false">$G7441*'Analyse capacite'!$F$9</f>
        <v>0</v>
      </c>
      <c r="I7441" s="135" t="n">
        <f aca="false">$G7441*'Analyse capacite'!$C$9</f>
        <v>0</v>
      </c>
      <c r="J7441" s="135" t="n">
        <f aca="false">$G7441*'Analyse capacite'!$D$9</f>
        <v>0</v>
      </c>
      <c r="K7441" s="135" t="n">
        <f aca="false">$G7441*'Analyse capacite'!$E$9</f>
        <v>0</v>
      </c>
    </row>
    <row r="7442" customFormat="false" ht="15" hidden="false" customHeight="false" outlineLevel="0" collapsed="false">
      <c r="B7442" s="130" t="n">
        <v>2027</v>
      </c>
      <c r="C7442" s="131" t="s">
        <v>252</v>
      </c>
      <c r="D7442" s="132" t="n">
        <v>46684</v>
      </c>
      <c r="E7442" s="131" t="s">
        <v>49</v>
      </c>
      <c r="F7442" s="133" t="s">
        <v>11</v>
      </c>
      <c r="G7442" s="134" t="n">
        <f aca="false">LEN('Saisie programme'!$J$268)+SUMIFS('Vols additionnels'!$E$7:$E$66,'Vols additionnels'!$C$7:$C$66,$E7442,'Vols additionnels'!$D$7:$D$66,$F7442,'Vols additionnels'!$B$7:$B$66,$D7442)</f>
        <v>0</v>
      </c>
      <c r="H7442" s="135" t="n">
        <f aca="false">$G7442*'Analyse capacite'!$F$7</f>
        <v>0</v>
      </c>
      <c r="I7442" s="135" t="n">
        <f aca="false">$G7442*'Analyse capacite'!$C$7</f>
        <v>0</v>
      </c>
      <c r="J7442" s="135" t="n">
        <f aca="false">$G7442*'Analyse capacite'!$D$7</f>
        <v>0</v>
      </c>
      <c r="K7442" s="135" t="n">
        <f aca="false">$G7442*'Analyse capacite'!$E$7</f>
        <v>0</v>
      </c>
    </row>
    <row r="7443" customFormat="false" ht="15" hidden="false" customHeight="false" outlineLevel="0" collapsed="false">
      <c r="B7443" s="130" t="n">
        <v>2027</v>
      </c>
      <c r="C7443" s="131" t="s">
        <v>252</v>
      </c>
      <c r="D7443" s="132" t="n">
        <v>46684</v>
      </c>
      <c r="E7443" s="131" t="s">
        <v>49</v>
      </c>
      <c r="F7443" s="133" t="s">
        <v>19</v>
      </c>
      <c r="G7443" s="134" t="n">
        <f aca="false">LEN('Saisie programme'!$J$269)+SUMIFS('Vols additionnels'!$E$7:$E$66,'Vols additionnels'!$C$7:$C$66,$E7443,'Vols additionnels'!$D$7:$D$66,$F7443,'Vols additionnels'!$B$7:$B$66,$D7443)</f>
        <v>0</v>
      </c>
      <c r="H7443" s="135" t="n">
        <f aca="false">$G7443*'Analyse capacite'!$F$8</f>
        <v>0</v>
      </c>
      <c r="I7443" s="135" t="n">
        <f aca="false">$G7443*'Analyse capacite'!$C$8</f>
        <v>0</v>
      </c>
      <c r="J7443" s="135" t="n">
        <f aca="false">$G7443*'Analyse capacite'!$D$8</f>
        <v>0</v>
      </c>
      <c r="K7443" s="135" t="n">
        <f aca="false">$G7443*'Analyse capacite'!$E$8</f>
        <v>0</v>
      </c>
    </row>
    <row r="7444" customFormat="false" ht="15" hidden="false" customHeight="false" outlineLevel="0" collapsed="false">
      <c r="B7444" s="130" t="n">
        <v>2027</v>
      </c>
      <c r="C7444" s="131" t="s">
        <v>252</v>
      </c>
      <c r="D7444" s="132" t="n">
        <v>46684</v>
      </c>
      <c r="E7444" s="131" t="s">
        <v>49</v>
      </c>
      <c r="F7444" s="133" t="s">
        <v>24</v>
      </c>
      <c r="G7444" s="134" t="n">
        <f aca="false">LEN('Saisie programme'!$J$270)+SUMIFS('Vols additionnels'!$E$7:$E$66,'Vols additionnels'!$C$7:$C$66,$E7444,'Vols additionnels'!$D$7:$D$66,$F7444,'Vols additionnels'!$B$7:$B$66,$D7444)</f>
        <v>0</v>
      </c>
      <c r="H7444" s="135" t="n">
        <f aca="false">$G7444*'Analyse capacite'!$F$9</f>
        <v>0</v>
      </c>
      <c r="I7444" s="135" t="n">
        <f aca="false">$G7444*'Analyse capacite'!$C$9</f>
        <v>0</v>
      </c>
      <c r="J7444" s="135" t="n">
        <f aca="false">$G7444*'Analyse capacite'!$D$9</f>
        <v>0</v>
      </c>
      <c r="K7444" s="135" t="n">
        <f aca="false">$G7444*'Analyse capacite'!$E$9</f>
        <v>0</v>
      </c>
    </row>
    <row r="7445" customFormat="false" ht="15" hidden="false" customHeight="false" outlineLevel="0" collapsed="false">
      <c r="B7445" s="130" t="n">
        <v>2027</v>
      </c>
      <c r="C7445" s="131" t="s">
        <v>252</v>
      </c>
      <c r="D7445" s="132" t="n">
        <v>46684</v>
      </c>
      <c r="E7445" s="131" t="s">
        <v>53</v>
      </c>
      <c r="F7445" s="133" t="s">
        <v>11</v>
      </c>
      <c r="G7445" s="134" t="n">
        <f aca="false">LEN('Saisie programme'!$J$271)+SUMIFS('Vols additionnels'!$E$7:$E$66,'Vols additionnels'!$C$7:$C$66,$E7445,'Vols additionnels'!$D$7:$D$66,$F7445,'Vols additionnels'!$B$7:$B$66,$D7445)</f>
        <v>0</v>
      </c>
      <c r="H7445" s="135" t="n">
        <f aca="false">$G7445*'Analyse capacite'!$F$7</f>
        <v>0</v>
      </c>
      <c r="I7445" s="135" t="n">
        <f aca="false">$G7445*'Analyse capacite'!$C$7</f>
        <v>0</v>
      </c>
      <c r="J7445" s="135" t="n">
        <f aca="false">$G7445*'Analyse capacite'!$D$7</f>
        <v>0</v>
      </c>
      <c r="K7445" s="135" t="n">
        <f aca="false">$G7445*'Analyse capacite'!$E$7</f>
        <v>0</v>
      </c>
    </row>
    <row r="7446" customFormat="false" ht="15" hidden="false" customHeight="false" outlineLevel="0" collapsed="false">
      <c r="B7446" s="130" t="n">
        <v>2027</v>
      </c>
      <c r="C7446" s="131" t="s">
        <v>252</v>
      </c>
      <c r="D7446" s="132" t="n">
        <v>46684</v>
      </c>
      <c r="E7446" s="131" t="s">
        <v>53</v>
      </c>
      <c r="F7446" s="133" t="s">
        <v>19</v>
      </c>
      <c r="G7446" s="134" t="n">
        <f aca="false">LEN('Saisie programme'!$J$272)+SUMIFS('Vols additionnels'!$E$7:$E$66,'Vols additionnels'!$C$7:$C$66,$E7446,'Vols additionnels'!$D$7:$D$66,$F7446,'Vols additionnels'!$B$7:$B$66,$D7446)</f>
        <v>0</v>
      </c>
      <c r="H7446" s="135" t="n">
        <f aca="false">$G7446*'Analyse capacite'!$F$8</f>
        <v>0</v>
      </c>
      <c r="I7446" s="135" t="n">
        <f aca="false">$G7446*'Analyse capacite'!$C$8</f>
        <v>0</v>
      </c>
      <c r="J7446" s="135" t="n">
        <f aca="false">$G7446*'Analyse capacite'!$D$8</f>
        <v>0</v>
      </c>
      <c r="K7446" s="135" t="n">
        <f aca="false">$G7446*'Analyse capacite'!$E$8</f>
        <v>0</v>
      </c>
    </row>
    <row r="7447" customFormat="false" ht="15" hidden="false" customHeight="false" outlineLevel="0" collapsed="false">
      <c r="B7447" s="130" t="n">
        <v>2027</v>
      </c>
      <c r="C7447" s="131" t="s">
        <v>252</v>
      </c>
      <c r="D7447" s="132" t="n">
        <v>46684</v>
      </c>
      <c r="E7447" s="131" t="s">
        <v>53</v>
      </c>
      <c r="F7447" s="133" t="s">
        <v>24</v>
      </c>
      <c r="G7447" s="134" t="n">
        <f aca="false">LEN('Saisie programme'!$J$273)+SUMIFS('Vols additionnels'!$E$7:$E$66,'Vols additionnels'!$C$7:$C$66,$E7447,'Vols additionnels'!$D$7:$D$66,$F7447,'Vols additionnels'!$B$7:$B$66,$D7447)</f>
        <v>0</v>
      </c>
      <c r="H7447" s="135" t="n">
        <f aca="false">$G7447*'Analyse capacite'!$F$9</f>
        <v>0</v>
      </c>
      <c r="I7447" s="135" t="n">
        <f aca="false">$G7447*'Analyse capacite'!$C$9</f>
        <v>0</v>
      </c>
      <c r="J7447" s="135" t="n">
        <f aca="false">$G7447*'Analyse capacite'!$D$9</f>
        <v>0</v>
      </c>
      <c r="K7447" s="135" t="n">
        <f aca="false">$G7447*'Analyse capacite'!$E$9</f>
        <v>0</v>
      </c>
    </row>
    <row r="7448" customFormat="false" ht="15" hidden="false" customHeight="false" outlineLevel="0" collapsed="false">
      <c r="B7448" s="130" t="n">
        <v>2027</v>
      </c>
      <c r="C7448" s="131" t="s">
        <v>252</v>
      </c>
      <c r="D7448" s="132" t="n">
        <v>46684</v>
      </c>
      <c r="E7448" s="131" t="s">
        <v>56</v>
      </c>
      <c r="F7448" s="133" t="s">
        <v>11</v>
      </c>
      <c r="G7448" s="134" t="n">
        <f aca="false">LEN('Saisie programme'!$J$274)+SUMIFS('Vols additionnels'!$E$7:$E$66,'Vols additionnels'!$C$7:$C$66,$E7448,'Vols additionnels'!$D$7:$D$66,$F7448,'Vols additionnels'!$B$7:$B$66,$D7448)</f>
        <v>0</v>
      </c>
      <c r="H7448" s="135" t="n">
        <f aca="false">$G7448*'Analyse capacite'!$F$7</f>
        <v>0</v>
      </c>
      <c r="I7448" s="135" t="n">
        <f aca="false">$G7448*'Analyse capacite'!$C$7</f>
        <v>0</v>
      </c>
      <c r="J7448" s="135" t="n">
        <f aca="false">$G7448*'Analyse capacite'!$D$7</f>
        <v>0</v>
      </c>
      <c r="K7448" s="135" t="n">
        <f aca="false">$G7448*'Analyse capacite'!$E$7</f>
        <v>0</v>
      </c>
    </row>
    <row r="7449" customFormat="false" ht="15" hidden="false" customHeight="false" outlineLevel="0" collapsed="false">
      <c r="B7449" s="130" t="n">
        <v>2027</v>
      </c>
      <c r="C7449" s="131" t="s">
        <v>252</v>
      </c>
      <c r="D7449" s="132" t="n">
        <v>46684</v>
      </c>
      <c r="E7449" s="131" t="s">
        <v>56</v>
      </c>
      <c r="F7449" s="133" t="s">
        <v>19</v>
      </c>
      <c r="G7449" s="134" t="n">
        <f aca="false">LEN('Saisie programme'!$J$275)+SUMIFS('Vols additionnels'!$E$7:$E$66,'Vols additionnels'!$C$7:$C$66,$E7449,'Vols additionnels'!$D$7:$D$66,$F7449,'Vols additionnels'!$B$7:$B$66,$D7449)</f>
        <v>0</v>
      </c>
      <c r="H7449" s="135" t="n">
        <f aca="false">$G7449*'Analyse capacite'!$F$8</f>
        <v>0</v>
      </c>
      <c r="I7449" s="135" t="n">
        <f aca="false">$G7449*'Analyse capacite'!$C$8</f>
        <v>0</v>
      </c>
      <c r="J7449" s="135" t="n">
        <f aca="false">$G7449*'Analyse capacite'!$D$8</f>
        <v>0</v>
      </c>
      <c r="K7449" s="135" t="n">
        <f aca="false">$G7449*'Analyse capacite'!$E$8</f>
        <v>0</v>
      </c>
    </row>
    <row r="7450" customFormat="false" ht="15" hidden="false" customHeight="false" outlineLevel="0" collapsed="false">
      <c r="B7450" s="130" t="n">
        <v>2027</v>
      </c>
      <c r="C7450" s="131" t="s">
        <v>252</v>
      </c>
      <c r="D7450" s="132" t="n">
        <v>46684</v>
      </c>
      <c r="E7450" s="131" t="s">
        <v>56</v>
      </c>
      <c r="F7450" s="133" t="s">
        <v>24</v>
      </c>
      <c r="G7450" s="134" t="n">
        <f aca="false">LEN('Saisie programme'!$J$276)+SUMIFS('Vols additionnels'!$E$7:$E$66,'Vols additionnels'!$C$7:$C$66,$E7450,'Vols additionnels'!$D$7:$D$66,$F7450,'Vols additionnels'!$B$7:$B$66,$D7450)</f>
        <v>0</v>
      </c>
      <c r="H7450" s="135" t="n">
        <f aca="false">$G7450*'Analyse capacite'!$F$9</f>
        <v>0</v>
      </c>
      <c r="I7450" s="135" t="n">
        <f aca="false">$G7450*'Analyse capacite'!$C$9</f>
        <v>0</v>
      </c>
      <c r="J7450" s="135" t="n">
        <f aca="false">$G7450*'Analyse capacite'!$D$9</f>
        <v>0</v>
      </c>
      <c r="K7450" s="135" t="n">
        <f aca="false">$G7450*'Analyse capacite'!$E$9</f>
        <v>0</v>
      </c>
    </row>
    <row r="7451" customFormat="false" ht="15" hidden="false" customHeight="false" outlineLevel="0" collapsed="false">
      <c r="B7451" s="130" t="n">
        <v>2027</v>
      </c>
      <c r="C7451" s="131" t="s">
        <v>252</v>
      </c>
      <c r="D7451" s="132" t="n">
        <v>46684</v>
      </c>
      <c r="E7451" s="131" t="s">
        <v>59</v>
      </c>
      <c r="F7451" s="133" t="s">
        <v>11</v>
      </c>
      <c r="G7451" s="134" t="n">
        <f aca="false">LEN('Saisie programme'!$J$277)+SUMIFS('Vols additionnels'!$E$7:$E$66,'Vols additionnels'!$C$7:$C$66,$E7451,'Vols additionnels'!$D$7:$D$66,$F7451,'Vols additionnels'!$B$7:$B$66,$D7451)</f>
        <v>0</v>
      </c>
      <c r="H7451" s="135" t="n">
        <f aca="false">$G7451*'Analyse capacite'!$F$7</f>
        <v>0</v>
      </c>
      <c r="I7451" s="135" t="n">
        <f aca="false">$G7451*'Analyse capacite'!$C$7</f>
        <v>0</v>
      </c>
      <c r="J7451" s="135" t="n">
        <f aca="false">$G7451*'Analyse capacite'!$D$7</f>
        <v>0</v>
      </c>
      <c r="K7451" s="135" t="n">
        <f aca="false">$G7451*'Analyse capacite'!$E$7</f>
        <v>0</v>
      </c>
    </row>
    <row r="7452" customFormat="false" ht="15" hidden="false" customHeight="false" outlineLevel="0" collapsed="false">
      <c r="B7452" s="130" t="n">
        <v>2027</v>
      </c>
      <c r="C7452" s="131" t="s">
        <v>252</v>
      </c>
      <c r="D7452" s="132" t="n">
        <v>46684</v>
      </c>
      <c r="E7452" s="131" t="s">
        <v>59</v>
      </c>
      <c r="F7452" s="133" t="s">
        <v>19</v>
      </c>
      <c r="G7452" s="134" t="n">
        <f aca="false">LEN('Saisie programme'!$J$278)+SUMIFS('Vols additionnels'!$E$7:$E$66,'Vols additionnels'!$C$7:$C$66,$E7452,'Vols additionnels'!$D$7:$D$66,$F7452,'Vols additionnels'!$B$7:$B$66,$D7452)</f>
        <v>0</v>
      </c>
      <c r="H7452" s="135" t="n">
        <f aca="false">$G7452*'Analyse capacite'!$F$8</f>
        <v>0</v>
      </c>
      <c r="I7452" s="135" t="n">
        <f aca="false">$G7452*'Analyse capacite'!$C$8</f>
        <v>0</v>
      </c>
      <c r="J7452" s="135" t="n">
        <f aca="false">$G7452*'Analyse capacite'!$D$8</f>
        <v>0</v>
      </c>
      <c r="K7452" s="135" t="n">
        <f aca="false">$G7452*'Analyse capacite'!$E$8</f>
        <v>0</v>
      </c>
    </row>
    <row r="7453" customFormat="false" ht="15" hidden="false" customHeight="false" outlineLevel="0" collapsed="false">
      <c r="B7453" s="130" t="n">
        <v>2027</v>
      </c>
      <c r="C7453" s="131" t="s">
        <v>252</v>
      </c>
      <c r="D7453" s="132" t="n">
        <v>46684</v>
      </c>
      <c r="E7453" s="131" t="s">
        <v>59</v>
      </c>
      <c r="F7453" s="133" t="s">
        <v>24</v>
      </c>
      <c r="G7453" s="134" t="n">
        <f aca="false">LEN('Saisie programme'!$J$279)+SUMIFS('Vols additionnels'!$E$7:$E$66,'Vols additionnels'!$C$7:$C$66,$E7453,'Vols additionnels'!$D$7:$D$66,$F7453,'Vols additionnels'!$B$7:$B$66,$D7453)</f>
        <v>0</v>
      </c>
      <c r="H7453" s="135" t="n">
        <f aca="false">$G7453*'Analyse capacite'!$F$9</f>
        <v>0</v>
      </c>
      <c r="I7453" s="135" t="n">
        <f aca="false">$G7453*'Analyse capacite'!$C$9</f>
        <v>0</v>
      </c>
      <c r="J7453" s="135" t="n">
        <f aca="false">$G7453*'Analyse capacite'!$D$9</f>
        <v>0</v>
      </c>
      <c r="K7453" s="135" t="n">
        <f aca="false">$G7453*'Analyse capacite'!$E$9</f>
        <v>0</v>
      </c>
    </row>
    <row r="7454" customFormat="false" ht="15" hidden="false" customHeight="false" outlineLevel="0" collapsed="false">
      <c r="B7454" s="130" t="n">
        <v>2027</v>
      </c>
      <c r="C7454" s="131" t="s">
        <v>252</v>
      </c>
      <c r="D7454" s="132" t="n">
        <v>46684</v>
      </c>
      <c r="E7454" s="131" t="s">
        <v>62</v>
      </c>
      <c r="F7454" s="133" t="s">
        <v>11</v>
      </c>
      <c r="G7454" s="134" t="n">
        <f aca="false">LEN('Saisie programme'!$J$280)+SUMIFS('Vols additionnels'!$E$7:$E$66,'Vols additionnels'!$C$7:$C$66,$E7454,'Vols additionnels'!$D$7:$D$66,$F7454,'Vols additionnels'!$B$7:$B$66,$D7454)</f>
        <v>0</v>
      </c>
      <c r="H7454" s="135" t="n">
        <f aca="false">$G7454*'Analyse capacite'!$F$7</f>
        <v>0</v>
      </c>
      <c r="I7454" s="135" t="n">
        <f aca="false">$G7454*'Analyse capacite'!$C$7</f>
        <v>0</v>
      </c>
      <c r="J7454" s="135" t="n">
        <f aca="false">$G7454*'Analyse capacite'!$D$7</f>
        <v>0</v>
      </c>
      <c r="K7454" s="135" t="n">
        <f aca="false">$G7454*'Analyse capacite'!$E$7</f>
        <v>0</v>
      </c>
    </row>
    <row r="7455" customFormat="false" ht="15" hidden="false" customHeight="false" outlineLevel="0" collapsed="false">
      <c r="B7455" s="130" t="n">
        <v>2027</v>
      </c>
      <c r="C7455" s="131" t="s">
        <v>252</v>
      </c>
      <c r="D7455" s="132" t="n">
        <v>46684</v>
      </c>
      <c r="E7455" s="131" t="s">
        <v>62</v>
      </c>
      <c r="F7455" s="133" t="s">
        <v>19</v>
      </c>
      <c r="G7455" s="134" t="n">
        <f aca="false">LEN('Saisie programme'!$J$281)+SUMIFS('Vols additionnels'!$E$7:$E$66,'Vols additionnels'!$C$7:$C$66,$E7455,'Vols additionnels'!$D$7:$D$66,$F7455,'Vols additionnels'!$B$7:$B$66,$D7455)</f>
        <v>0</v>
      </c>
      <c r="H7455" s="135" t="n">
        <f aca="false">$G7455*'Analyse capacite'!$F$8</f>
        <v>0</v>
      </c>
      <c r="I7455" s="135" t="n">
        <f aca="false">$G7455*'Analyse capacite'!$C$8</f>
        <v>0</v>
      </c>
      <c r="J7455" s="135" t="n">
        <f aca="false">$G7455*'Analyse capacite'!$D$8</f>
        <v>0</v>
      </c>
      <c r="K7455" s="135" t="n">
        <f aca="false">$G7455*'Analyse capacite'!$E$8</f>
        <v>0</v>
      </c>
    </row>
    <row r="7456" customFormat="false" ht="15" hidden="false" customHeight="false" outlineLevel="0" collapsed="false">
      <c r="B7456" s="130" t="n">
        <v>2027</v>
      </c>
      <c r="C7456" s="131" t="s">
        <v>252</v>
      </c>
      <c r="D7456" s="132" t="n">
        <v>46684</v>
      </c>
      <c r="E7456" s="131" t="s">
        <v>62</v>
      </c>
      <c r="F7456" s="133" t="s">
        <v>24</v>
      </c>
      <c r="G7456" s="134" t="n">
        <f aca="false">LEN('Saisie programme'!$J$282)+SUMIFS('Vols additionnels'!$E$7:$E$66,'Vols additionnels'!$C$7:$C$66,$E7456,'Vols additionnels'!$D$7:$D$66,$F7456,'Vols additionnels'!$B$7:$B$66,$D7456)</f>
        <v>1</v>
      </c>
      <c r="H7456" s="135" t="n">
        <f aca="false">$G7456*'Analyse capacite'!$F$9</f>
        <v>174</v>
      </c>
      <c r="I7456" s="135" t="n">
        <f aca="false">$G7456*'Analyse capacite'!$C$9</f>
        <v>0</v>
      </c>
      <c r="J7456" s="135" t="n">
        <f aca="false">$G7456*'Analyse capacite'!$D$9</f>
        <v>12</v>
      </c>
      <c r="K7456" s="135" t="n">
        <f aca="false">$G7456*'Analyse capacite'!$E$9</f>
        <v>162</v>
      </c>
    </row>
    <row r="7457" customFormat="false" ht="15" hidden="false" customHeight="false" outlineLevel="0" collapsed="false">
      <c r="B7457" s="130" t="n">
        <v>2027</v>
      </c>
      <c r="C7457" s="131" t="s">
        <v>252</v>
      </c>
      <c r="D7457" s="132" t="n">
        <v>46685</v>
      </c>
      <c r="E7457" s="131" t="s">
        <v>12</v>
      </c>
      <c r="F7457" s="133" t="s">
        <v>11</v>
      </c>
      <c r="G7457" s="134" t="n">
        <f aca="false">LEN('Saisie programme'!$D$247)+SUMIFS('Vols additionnels'!$E$7:$E$66,'Vols additionnels'!$C$7:$C$66,$E7457,'Vols additionnels'!$D$7:$D$66,$F7457,'Vols additionnels'!$B$7:$B$66,$D7457)</f>
        <v>1</v>
      </c>
      <c r="H7457" s="135" t="n">
        <f aca="false">$G7457*'Analyse capacite'!$F$7</f>
        <v>438</v>
      </c>
      <c r="I7457" s="135" t="n">
        <f aca="false">$G7457*'Analyse capacite'!$C$7</f>
        <v>14</v>
      </c>
      <c r="J7457" s="135" t="n">
        <f aca="false">$G7457*'Analyse capacite'!$D$7</f>
        <v>40</v>
      </c>
      <c r="K7457" s="135" t="n">
        <f aca="false">$G7457*'Analyse capacite'!$E$7</f>
        <v>384</v>
      </c>
    </row>
    <row r="7458" customFormat="false" ht="15" hidden="false" customHeight="false" outlineLevel="0" collapsed="false">
      <c r="B7458" s="130" t="n">
        <v>2027</v>
      </c>
      <c r="C7458" s="131" t="s">
        <v>252</v>
      </c>
      <c r="D7458" s="132" t="n">
        <v>46685</v>
      </c>
      <c r="E7458" s="131" t="s">
        <v>12</v>
      </c>
      <c r="F7458" s="133" t="s">
        <v>19</v>
      </c>
      <c r="G7458" s="134" t="n">
        <f aca="false">LEN('Saisie programme'!$D$248)+SUMIFS('Vols additionnels'!$E$7:$E$66,'Vols additionnels'!$C$7:$C$66,$E7458,'Vols additionnels'!$D$7:$D$66,$F7458,'Vols additionnels'!$B$7:$B$66,$D7458)</f>
        <v>1</v>
      </c>
      <c r="H7458" s="135" t="n">
        <f aca="false">$G7458*'Analyse capacite'!$F$8</f>
        <v>262</v>
      </c>
      <c r="I7458" s="135" t="n">
        <f aca="false">$G7458*'Analyse capacite'!$C$8</f>
        <v>18</v>
      </c>
      <c r="J7458" s="135" t="n">
        <f aca="false">$G7458*'Analyse capacite'!$D$8</f>
        <v>0</v>
      </c>
      <c r="K7458" s="135" t="n">
        <f aca="false">$G7458*'Analyse capacite'!$E$8</f>
        <v>244</v>
      </c>
    </row>
    <row r="7459" customFormat="false" ht="15" hidden="false" customHeight="false" outlineLevel="0" collapsed="false">
      <c r="B7459" s="130" t="n">
        <v>2027</v>
      </c>
      <c r="C7459" s="131" t="s">
        <v>252</v>
      </c>
      <c r="D7459" s="132" t="n">
        <v>46685</v>
      </c>
      <c r="E7459" s="131" t="s">
        <v>12</v>
      </c>
      <c r="F7459" s="133" t="s">
        <v>24</v>
      </c>
      <c r="G7459" s="134" t="n">
        <f aca="false">LEN('Saisie programme'!$D$249)+SUMIFS('Vols additionnels'!$E$7:$E$66,'Vols additionnels'!$C$7:$C$66,$E7459,'Vols additionnels'!$D$7:$D$66,$F7459,'Vols additionnels'!$B$7:$B$66,$D7459)</f>
        <v>2</v>
      </c>
      <c r="H7459" s="135" t="n">
        <f aca="false">$G7459*'Analyse capacite'!$F$9</f>
        <v>348</v>
      </c>
      <c r="I7459" s="135" t="n">
        <f aca="false">$G7459*'Analyse capacite'!$C$9</f>
        <v>0</v>
      </c>
      <c r="J7459" s="135" t="n">
        <f aca="false">$G7459*'Analyse capacite'!$D$9</f>
        <v>24</v>
      </c>
      <c r="K7459" s="135" t="n">
        <f aca="false">$G7459*'Analyse capacite'!$E$9</f>
        <v>324</v>
      </c>
    </row>
    <row r="7460" customFormat="false" ht="15" hidden="false" customHeight="false" outlineLevel="0" collapsed="false">
      <c r="B7460" s="130" t="n">
        <v>2027</v>
      </c>
      <c r="C7460" s="131" t="s">
        <v>252</v>
      </c>
      <c r="D7460" s="132" t="n">
        <v>46685</v>
      </c>
      <c r="E7460" s="131" t="s">
        <v>20</v>
      </c>
      <c r="F7460" s="133" t="s">
        <v>11</v>
      </c>
      <c r="G7460" s="134" t="n">
        <f aca="false">LEN('Saisie programme'!$D$250)+SUMIFS('Vols additionnels'!$E$7:$E$66,'Vols additionnels'!$C$7:$C$66,$E7460,'Vols additionnels'!$D$7:$D$66,$F7460,'Vols additionnels'!$B$7:$B$66,$D7460)</f>
        <v>0</v>
      </c>
      <c r="H7460" s="135" t="n">
        <f aca="false">$G7460*'Analyse capacite'!$F$7</f>
        <v>0</v>
      </c>
      <c r="I7460" s="135" t="n">
        <f aca="false">$G7460*'Analyse capacite'!$C$7</f>
        <v>0</v>
      </c>
      <c r="J7460" s="135" t="n">
        <f aca="false">$G7460*'Analyse capacite'!$D$7</f>
        <v>0</v>
      </c>
      <c r="K7460" s="135" t="n">
        <f aca="false">$G7460*'Analyse capacite'!$E$7</f>
        <v>0</v>
      </c>
    </row>
    <row r="7461" customFormat="false" ht="15" hidden="false" customHeight="false" outlineLevel="0" collapsed="false">
      <c r="B7461" s="130" t="n">
        <v>2027</v>
      </c>
      <c r="C7461" s="131" t="s">
        <v>252</v>
      </c>
      <c r="D7461" s="132" t="n">
        <v>46685</v>
      </c>
      <c r="E7461" s="131" t="s">
        <v>20</v>
      </c>
      <c r="F7461" s="133" t="s">
        <v>19</v>
      </c>
      <c r="G7461" s="134" t="n">
        <f aca="false">LEN('Saisie programme'!$D$251)+SUMIFS('Vols additionnels'!$E$7:$E$66,'Vols additionnels'!$C$7:$C$66,$E7461,'Vols additionnels'!$D$7:$D$66,$F7461,'Vols additionnels'!$B$7:$B$66,$D7461)</f>
        <v>0</v>
      </c>
      <c r="H7461" s="135" t="n">
        <f aca="false">$G7461*'Analyse capacite'!$F$8</f>
        <v>0</v>
      </c>
      <c r="I7461" s="135" t="n">
        <f aca="false">$G7461*'Analyse capacite'!$C$8</f>
        <v>0</v>
      </c>
      <c r="J7461" s="135" t="n">
        <f aca="false">$G7461*'Analyse capacite'!$D$8</f>
        <v>0</v>
      </c>
      <c r="K7461" s="135" t="n">
        <f aca="false">$G7461*'Analyse capacite'!$E$8</f>
        <v>0</v>
      </c>
    </row>
    <row r="7462" customFormat="false" ht="15" hidden="false" customHeight="false" outlineLevel="0" collapsed="false">
      <c r="B7462" s="130" t="n">
        <v>2027</v>
      </c>
      <c r="C7462" s="131" t="s">
        <v>252</v>
      </c>
      <c r="D7462" s="132" t="n">
        <v>46685</v>
      </c>
      <c r="E7462" s="131" t="s">
        <v>20</v>
      </c>
      <c r="F7462" s="133" t="s">
        <v>24</v>
      </c>
      <c r="G7462" s="134" t="n">
        <f aca="false">LEN('Saisie programme'!$D$252)+SUMIFS('Vols additionnels'!$E$7:$E$66,'Vols additionnels'!$C$7:$C$66,$E7462,'Vols additionnels'!$D$7:$D$66,$F7462,'Vols additionnels'!$B$7:$B$66,$D7462)</f>
        <v>0</v>
      </c>
      <c r="H7462" s="135" t="n">
        <f aca="false">$G7462*'Analyse capacite'!$F$9</f>
        <v>0</v>
      </c>
      <c r="I7462" s="135" t="n">
        <f aca="false">$G7462*'Analyse capacite'!$C$9</f>
        <v>0</v>
      </c>
      <c r="J7462" s="135" t="n">
        <f aca="false">$G7462*'Analyse capacite'!$D$9</f>
        <v>0</v>
      </c>
      <c r="K7462" s="135" t="n">
        <f aca="false">$G7462*'Analyse capacite'!$E$9</f>
        <v>0</v>
      </c>
    </row>
    <row r="7463" customFormat="false" ht="15" hidden="false" customHeight="false" outlineLevel="0" collapsed="false">
      <c r="B7463" s="130" t="n">
        <v>2027</v>
      </c>
      <c r="C7463" s="131" t="s">
        <v>252</v>
      </c>
      <c r="D7463" s="132" t="n">
        <v>46685</v>
      </c>
      <c r="E7463" s="131" t="s">
        <v>25</v>
      </c>
      <c r="F7463" s="133" t="s">
        <v>11</v>
      </c>
      <c r="G7463" s="134" t="n">
        <f aca="false">LEN('Saisie programme'!$D$253)+SUMIFS('Vols additionnels'!$E$7:$E$66,'Vols additionnels'!$C$7:$C$66,$E7463,'Vols additionnels'!$D$7:$D$66,$F7463,'Vols additionnels'!$B$7:$B$66,$D7463)</f>
        <v>0</v>
      </c>
      <c r="H7463" s="135" t="n">
        <f aca="false">$G7463*'Analyse capacite'!$F$7</f>
        <v>0</v>
      </c>
      <c r="I7463" s="135" t="n">
        <f aca="false">$G7463*'Analyse capacite'!$C$7</f>
        <v>0</v>
      </c>
      <c r="J7463" s="135" t="n">
        <f aca="false">$G7463*'Analyse capacite'!$D$7</f>
        <v>0</v>
      </c>
      <c r="K7463" s="135" t="n">
        <f aca="false">$G7463*'Analyse capacite'!$E$7</f>
        <v>0</v>
      </c>
    </row>
    <row r="7464" customFormat="false" ht="15" hidden="false" customHeight="false" outlineLevel="0" collapsed="false">
      <c r="B7464" s="130" t="n">
        <v>2027</v>
      </c>
      <c r="C7464" s="131" t="s">
        <v>252</v>
      </c>
      <c r="D7464" s="132" t="n">
        <v>46685</v>
      </c>
      <c r="E7464" s="131" t="s">
        <v>25</v>
      </c>
      <c r="F7464" s="133" t="s">
        <v>19</v>
      </c>
      <c r="G7464" s="134" t="n">
        <f aca="false">LEN('Saisie programme'!$D$254)+SUMIFS('Vols additionnels'!$E$7:$E$66,'Vols additionnels'!$C$7:$C$66,$E7464,'Vols additionnels'!$D$7:$D$66,$F7464,'Vols additionnels'!$B$7:$B$66,$D7464)</f>
        <v>0</v>
      </c>
      <c r="H7464" s="135" t="n">
        <f aca="false">$G7464*'Analyse capacite'!$F$8</f>
        <v>0</v>
      </c>
      <c r="I7464" s="135" t="n">
        <f aca="false">$G7464*'Analyse capacite'!$C$8</f>
        <v>0</v>
      </c>
      <c r="J7464" s="135" t="n">
        <f aca="false">$G7464*'Analyse capacite'!$D$8</f>
        <v>0</v>
      </c>
      <c r="K7464" s="135" t="n">
        <f aca="false">$G7464*'Analyse capacite'!$E$8</f>
        <v>0</v>
      </c>
    </row>
    <row r="7465" customFormat="false" ht="15" hidden="false" customHeight="false" outlineLevel="0" collapsed="false">
      <c r="B7465" s="130" t="n">
        <v>2027</v>
      </c>
      <c r="C7465" s="131" t="s">
        <v>252</v>
      </c>
      <c r="D7465" s="132" t="n">
        <v>46685</v>
      </c>
      <c r="E7465" s="131" t="s">
        <v>25</v>
      </c>
      <c r="F7465" s="133" t="s">
        <v>24</v>
      </c>
      <c r="G7465" s="134" t="n">
        <f aca="false">LEN('Saisie programme'!$D$255)+SUMIFS('Vols additionnels'!$E$7:$E$66,'Vols additionnels'!$C$7:$C$66,$E7465,'Vols additionnels'!$D$7:$D$66,$F7465,'Vols additionnels'!$B$7:$B$66,$D7465)</f>
        <v>0</v>
      </c>
      <c r="H7465" s="135" t="n">
        <f aca="false">$G7465*'Analyse capacite'!$F$9</f>
        <v>0</v>
      </c>
      <c r="I7465" s="135" t="n">
        <f aca="false">$G7465*'Analyse capacite'!$C$9</f>
        <v>0</v>
      </c>
      <c r="J7465" s="135" t="n">
        <f aca="false">$G7465*'Analyse capacite'!$D$9</f>
        <v>0</v>
      </c>
      <c r="K7465" s="135" t="n">
        <f aca="false">$G7465*'Analyse capacite'!$E$9</f>
        <v>0</v>
      </c>
    </row>
    <row r="7466" customFormat="false" ht="15" hidden="false" customHeight="false" outlineLevel="0" collapsed="false">
      <c r="B7466" s="130" t="n">
        <v>2027</v>
      </c>
      <c r="C7466" s="131" t="s">
        <v>252</v>
      </c>
      <c r="D7466" s="132" t="n">
        <v>46685</v>
      </c>
      <c r="E7466" s="131" t="s">
        <v>36</v>
      </c>
      <c r="F7466" s="133" t="s">
        <v>11</v>
      </c>
      <c r="G7466" s="134" t="n">
        <f aca="false">LEN('Saisie programme'!$D$256)+SUMIFS('Vols additionnels'!$E$7:$E$66,'Vols additionnels'!$C$7:$C$66,$E7466,'Vols additionnels'!$D$7:$D$66,$F7466,'Vols additionnels'!$B$7:$B$66,$D7466)</f>
        <v>0</v>
      </c>
      <c r="H7466" s="135" t="n">
        <f aca="false">$G7466*'Analyse capacite'!$F$7</f>
        <v>0</v>
      </c>
      <c r="I7466" s="135" t="n">
        <f aca="false">$G7466*'Analyse capacite'!$C$7</f>
        <v>0</v>
      </c>
      <c r="J7466" s="135" t="n">
        <f aca="false">$G7466*'Analyse capacite'!$D$7</f>
        <v>0</v>
      </c>
      <c r="K7466" s="135" t="n">
        <f aca="false">$G7466*'Analyse capacite'!$E$7</f>
        <v>0</v>
      </c>
    </row>
    <row r="7467" customFormat="false" ht="15" hidden="false" customHeight="false" outlineLevel="0" collapsed="false">
      <c r="B7467" s="130" t="n">
        <v>2027</v>
      </c>
      <c r="C7467" s="131" t="s">
        <v>252</v>
      </c>
      <c r="D7467" s="132" t="n">
        <v>46685</v>
      </c>
      <c r="E7467" s="131" t="s">
        <v>36</v>
      </c>
      <c r="F7467" s="133" t="s">
        <v>19</v>
      </c>
      <c r="G7467" s="134" t="n">
        <f aca="false">LEN('Saisie programme'!$D$257)+SUMIFS('Vols additionnels'!$E$7:$E$66,'Vols additionnels'!$C$7:$C$66,$E7467,'Vols additionnels'!$D$7:$D$66,$F7467,'Vols additionnels'!$B$7:$B$66,$D7467)</f>
        <v>0</v>
      </c>
      <c r="H7467" s="135" t="n">
        <f aca="false">$G7467*'Analyse capacite'!$F$8</f>
        <v>0</v>
      </c>
      <c r="I7467" s="135" t="n">
        <f aca="false">$G7467*'Analyse capacite'!$C$8</f>
        <v>0</v>
      </c>
      <c r="J7467" s="135" t="n">
        <f aca="false">$G7467*'Analyse capacite'!$D$8</f>
        <v>0</v>
      </c>
      <c r="K7467" s="135" t="n">
        <f aca="false">$G7467*'Analyse capacite'!$E$8</f>
        <v>0</v>
      </c>
    </row>
    <row r="7468" customFormat="false" ht="15" hidden="false" customHeight="false" outlineLevel="0" collapsed="false">
      <c r="B7468" s="130" t="n">
        <v>2027</v>
      </c>
      <c r="C7468" s="131" t="s">
        <v>252</v>
      </c>
      <c r="D7468" s="132" t="n">
        <v>46685</v>
      </c>
      <c r="E7468" s="131" t="s">
        <v>36</v>
      </c>
      <c r="F7468" s="133" t="s">
        <v>24</v>
      </c>
      <c r="G7468" s="134" t="n">
        <f aca="false">LEN('Saisie programme'!$D$258)+SUMIFS('Vols additionnels'!$E$7:$E$66,'Vols additionnels'!$C$7:$C$66,$E7468,'Vols additionnels'!$D$7:$D$66,$F7468,'Vols additionnels'!$B$7:$B$66,$D7468)</f>
        <v>1</v>
      </c>
      <c r="H7468" s="135" t="n">
        <f aca="false">$G7468*'Analyse capacite'!$F$9</f>
        <v>174</v>
      </c>
      <c r="I7468" s="135" t="n">
        <f aca="false">$G7468*'Analyse capacite'!$C$9</f>
        <v>0</v>
      </c>
      <c r="J7468" s="135" t="n">
        <f aca="false">$G7468*'Analyse capacite'!$D$9</f>
        <v>12</v>
      </c>
      <c r="K7468" s="135" t="n">
        <f aca="false">$G7468*'Analyse capacite'!$E$9</f>
        <v>162</v>
      </c>
    </row>
    <row r="7469" customFormat="false" ht="15" hidden="false" customHeight="false" outlineLevel="0" collapsed="false">
      <c r="B7469" s="130" t="n">
        <v>2027</v>
      </c>
      <c r="C7469" s="131" t="s">
        <v>252</v>
      </c>
      <c r="D7469" s="132" t="n">
        <v>46685</v>
      </c>
      <c r="E7469" s="131" t="s">
        <v>40</v>
      </c>
      <c r="F7469" s="133" t="s">
        <v>11</v>
      </c>
      <c r="G7469" s="134" t="n">
        <f aca="false">LEN('Saisie programme'!$D$259)+SUMIFS('Vols additionnels'!$E$7:$E$66,'Vols additionnels'!$C$7:$C$66,$E7469,'Vols additionnels'!$D$7:$D$66,$F7469,'Vols additionnels'!$B$7:$B$66,$D7469)</f>
        <v>0</v>
      </c>
      <c r="H7469" s="135" t="n">
        <f aca="false">$G7469*'Analyse capacite'!$F$7</f>
        <v>0</v>
      </c>
      <c r="I7469" s="135" t="n">
        <f aca="false">$G7469*'Analyse capacite'!$C$7</f>
        <v>0</v>
      </c>
      <c r="J7469" s="135" t="n">
        <f aca="false">$G7469*'Analyse capacite'!$D$7</f>
        <v>0</v>
      </c>
      <c r="K7469" s="135" t="n">
        <f aca="false">$G7469*'Analyse capacite'!$E$7</f>
        <v>0</v>
      </c>
    </row>
    <row r="7470" customFormat="false" ht="15" hidden="false" customHeight="false" outlineLevel="0" collapsed="false">
      <c r="B7470" s="130" t="n">
        <v>2027</v>
      </c>
      <c r="C7470" s="131" t="s">
        <v>252</v>
      </c>
      <c r="D7470" s="132" t="n">
        <v>46685</v>
      </c>
      <c r="E7470" s="131" t="s">
        <v>40</v>
      </c>
      <c r="F7470" s="133" t="s">
        <v>19</v>
      </c>
      <c r="G7470" s="134" t="n">
        <f aca="false">LEN('Saisie programme'!$D$260)+SUMIFS('Vols additionnels'!$E$7:$E$66,'Vols additionnels'!$C$7:$C$66,$E7470,'Vols additionnels'!$D$7:$D$66,$F7470,'Vols additionnels'!$B$7:$B$66,$D7470)</f>
        <v>0</v>
      </c>
      <c r="H7470" s="135" t="n">
        <f aca="false">$G7470*'Analyse capacite'!$F$8</f>
        <v>0</v>
      </c>
      <c r="I7470" s="135" t="n">
        <f aca="false">$G7470*'Analyse capacite'!$C$8</f>
        <v>0</v>
      </c>
      <c r="J7470" s="135" t="n">
        <f aca="false">$G7470*'Analyse capacite'!$D$8</f>
        <v>0</v>
      </c>
      <c r="K7470" s="135" t="n">
        <f aca="false">$G7470*'Analyse capacite'!$E$8</f>
        <v>0</v>
      </c>
    </row>
    <row r="7471" customFormat="false" ht="15" hidden="false" customHeight="false" outlineLevel="0" collapsed="false">
      <c r="B7471" s="130" t="n">
        <v>2027</v>
      </c>
      <c r="C7471" s="131" t="s">
        <v>252</v>
      </c>
      <c r="D7471" s="132" t="n">
        <v>46685</v>
      </c>
      <c r="E7471" s="131" t="s">
        <v>40</v>
      </c>
      <c r="F7471" s="133" t="s">
        <v>24</v>
      </c>
      <c r="G7471" s="134" t="n">
        <f aca="false">LEN('Saisie programme'!$D$261)+SUMIFS('Vols additionnels'!$E$7:$E$66,'Vols additionnels'!$C$7:$C$66,$E7471,'Vols additionnels'!$D$7:$D$66,$F7471,'Vols additionnels'!$B$7:$B$66,$D7471)</f>
        <v>1</v>
      </c>
      <c r="H7471" s="135" t="n">
        <f aca="false">$G7471*'Analyse capacite'!$F$9</f>
        <v>174</v>
      </c>
      <c r="I7471" s="135" t="n">
        <f aca="false">$G7471*'Analyse capacite'!$C$9</f>
        <v>0</v>
      </c>
      <c r="J7471" s="135" t="n">
        <f aca="false">$G7471*'Analyse capacite'!$D$9</f>
        <v>12</v>
      </c>
      <c r="K7471" s="135" t="n">
        <f aca="false">$G7471*'Analyse capacite'!$E$9</f>
        <v>162</v>
      </c>
    </row>
    <row r="7472" customFormat="false" ht="15" hidden="false" customHeight="false" outlineLevel="0" collapsed="false">
      <c r="B7472" s="130" t="n">
        <v>2027</v>
      </c>
      <c r="C7472" s="131" t="s">
        <v>252</v>
      </c>
      <c r="D7472" s="132" t="n">
        <v>46685</v>
      </c>
      <c r="E7472" s="131" t="s">
        <v>14</v>
      </c>
      <c r="F7472" s="133" t="s">
        <v>11</v>
      </c>
      <c r="G7472" s="134" t="n">
        <f aca="false">LEN('Saisie programme'!$D$262)+SUMIFS('Vols additionnels'!$E$7:$E$66,'Vols additionnels'!$C$7:$C$66,$E7472,'Vols additionnels'!$D$7:$D$66,$F7472,'Vols additionnels'!$B$7:$B$66,$D7472)</f>
        <v>0</v>
      </c>
      <c r="H7472" s="135" t="n">
        <f aca="false">$G7472*'Analyse capacite'!$F$7</f>
        <v>0</v>
      </c>
      <c r="I7472" s="135" t="n">
        <f aca="false">$G7472*'Analyse capacite'!$C$7</f>
        <v>0</v>
      </c>
      <c r="J7472" s="135" t="n">
        <f aca="false">$G7472*'Analyse capacite'!$D$7</f>
        <v>0</v>
      </c>
      <c r="K7472" s="135" t="n">
        <f aca="false">$G7472*'Analyse capacite'!$E$7</f>
        <v>0</v>
      </c>
    </row>
    <row r="7473" customFormat="false" ht="15" hidden="false" customHeight="false" outlineLevel="0" collapsed="false">
      <c r="B7473" s="130" t="n">
        <v>2027</v>
      </c>
      <c r="C7473" s="131" t="s">
        <v>252</v>
      </c>
      <c r="D7473" s="132" t="n">
        <v>46685</v>
      </c>
      <c r="E7473" s="131" t="s">
        <v>14</v>
      </c>
      <c r="F7473" s="133" t="s">
        <v>19</v>
      </c>
      <c r="G7473" s="134" t="n">
        <f aca="false">LEN('Saisie programme'!$D$263)+SUMIFS('Vols additionnels'!$E$7:$E$66,'Vols additionnels'!$C$7:$C$66,$E7473,'Vols additionnels'!$D$7:$D$66,$F7473,'Vols additionnels'!$B$7:$B$66,$D7473)</f>
        <v>0</v>
      </c>
      <c r="H7473" s="135" t="n">
        <f aca="false">$G7473*'Analyse capacite'!$F$8</f>
        <v>0</v>
      </c>
      <c r="I7473" s="135" t="n">
        <f aca="false">$G7473*'Analyse capacite'!$C$8</f>
        <v>0</v>
      </c>
      <c r="J7473" s="135" t="n">
        <f aca="false">$G7473*'Analyse capacite'!$D$8</f>
        <v>0</v>
      </c>
      <c r="K7473" s="135" t="n">
        <f aca="false">$G7473*'Analyse capacite'!$E$8</f>
        <v>0</v>
      </c>
    </row>
    <row r="7474" customFormat="false" ht="15" hidden="false" customHeight="false" outlineLevel="0" collapsed="false">
      <c r="B7474" s="130" t="n">
        <v>2027</v>
      </c>
      <c r="C7474" s="131" t="s">
        <v>252</v>
      </c>
      <c r="D7474" s="132" t="n">
        <v>46685</v>
      </c>
      <c r="E7474" s="131" t="s">
        <v>14</v>
      </c>
      <c r="F7474" s="133" t="s">
        <v>24</v>
      </c>
      <c r="G7474" s="134" t="n">
        <f aca="false">LEN('Saisie programme'!$D$264)+SUMIFS('Vols additionnels'!$E$7:$E$66,'Vols additionnels'!$C$7:$C$66,$E7474,'Vols additionnels'!$D$7:$D$66,$F7474,'Vols additionnels'!$B$7:$B$66,$D7474)</f>
        <v>1</v>
      </c>
      <c r="H7474" s="135" t="n">
        <f aca="false">$G7474*'Analyse capacite'!$F$9</f>
        <v>174</v>
      </c>
      <c r="I7474" s="135" t="n">
        <f aca="false">$G7474*'Analyse capacite'!$C$9</f>
        <v>0</v>
      </c>
      <c r="J7474" s="135" t="n">
        <f aca="false">$G7474*'Analyse capacite'!$D$9</f>
        <v>12</v>
      </c>
      <c r="K7474" s="135" t="n">
        <f aca="false">$G7474*'Analyse capacite'!$E$9</f>
        <v>162</v>
      </c>
    </row>
    <row r="7475" customFormat="false" ht="15" hidden="false" customHeight="false" outlineLevel="0" collapsed="false">
      <c r="B7475" s="130" t="n">
        <v>2027</v>
      </c>
      <c r="C7475" s="131" t="s">
        <v>252</v>
      </c>
      <c r="D7475" s="132" t="n">
        <v>46685</v>
      </c>
      <c r="E7475" s="131" t="s">
        <v>46</v>
      </c>
      <c r="F7475" s="133" t="s">
        <v>11</v>
      </c>
      <c r="G7475" s="134" t="n">
        <f aca="false">LEN('Saisie programme'!$D$265)+SUMIFS('Vols additionnels'!$E$7:$E$66,'Vols additionnels'!$C$7:$C$66,$E7475,'Vols additionnels'!$D$7:$D$66,$F7475,'Vols additionnels'!$B$7:$B$66,$D7475)</f>
        <v>0</v>
      </c>
      <c r="H7475" s="135" t="n">
        <f aca="false">$G7475*'Analyse capacite'!$F$7</f>
        <v>0</v>
      </c>
      <c r="I7475" s="135" t="n">
        <f aca="false">$G7475*'Analyse capacite'!$C$7</f>
        <v>0</v>
      </c>
      <c r="J7475" s="135" t="n">
        <f aca="false">$G7475*'Analyse capacite'!$D$7</f>
        <v>0</v>
      </c>
      <c r="K7475" s="135" t="n">
        <f aca="false">$G7475*'Analyse capacite'!$E$7</f>
        <v>0</v>
      </c>
    </row>
    <row r="7476" customFormat="false" ht="15" hidden="false" customHeight="false" outlineLevel="0" collapsed="false">
      <c r="B7476" s="130" t="n">
        <v>2027</v>
      </c>
      <c r="C7476" s="131" t="s">
        <v>252</v>
      </c>
      <c r="D7476" s="132" t="n">
        <v>46685</v>
      </c>
      <c r="E7476" s="131" t="s">
        <v>46</v>
      </c>
      <c r="F7476" s="133" t="s">
        <v>19</v>
      </c>
      <c r="G7476" s="134" t="n">
        <f aca="false">LEN('Saisie programme'!$D$266)+SUMIFS('Vols additionnels'!$E$7:$E$66,'Vols additionnels'!$C$7:$C$66,$E7476,'Vols additionnels'!$D$7:$D$66,$F7476,'Vols additionnels'!$B$7:$B$66,$D7476)</f>
        <v>0</v>
      </c>
      <c r="H7476" s="135" t="n">
        <f aca="false">$G7476*'Analyse capacite'!$F$8</f>
        <v>0</v>
      </c>
      <c r="I7476" s="135" t="n">
        <f aca="false">$G7476*'Analyse capacite'!$C$8</f>
        <v>0</v>
      </c>
      <c r="J7476" s="135" t="n">
        <f aca="false">$G7476*'Analyse capacite'!$D$8</f>
        <v>0</v>
      </c>
      <c r="K7476" s="135" t="n">
        <f aca="false">$G7476*'Analyse capacite'!$E$8</f>
        <v>0</v>
      </c>
    </row>
    <row r="7477" customFormat="false" ht="15" hidden="false" customHeight="false" outlineLevel="0" collapsed="false">
      <c r="B7477" s="130" t="n">
        <v>2027</v>
      </c>
      <c r="C7477" s="131" t="s">
        <v>252</v>
      </c>
      <c r="D7477" s="132" t="n">
        <v>46685</v>
      </c>
      <c r="E7477" s="131" t="s">
        <v>46</v>
      </c>
      <c r="F7477" s="133" t="s">
        <v>24</v>
      </c>
      <c r="G7477" s="134" t="n">
        <f aca="false">LEN('Saisie programme'!$D$267)+SUMIFS('Vols additionnels'!$E$7:$E$66,'Vols additionnels'!$C$7:$C$66,$E7477,'Vols additionnels'!$D$7:$D$66,$F7477,'Vols additionnels'!$B$7:$B$66,$D7477)</f>
        <v>0</v>
      </c>
      <c r="H7477" s="135" t="n">
        <f aca="false">$G7477*'Analyse capacite'!$F$9</f>
        <v>0</v>
      </c>
      <c r="I7477" s="135" t="n">
        <f aca="false">$G7477*'Analyse capacite'!$C$9</f>
        <v>0</v>
      </c>
      <c r="J7477" s="135" t="n">
        <f aca="false">$G7477*'Analyse capacite'!$D$9</f>
        <v>0</v>
      </c>
      <c r="K7477" s="135" t="n">
        <f aca="false">$G7477*'Analyse capacite'!$E$9</f>
        <v>0</v>
      </c>
    </row>
    <row r="7478" customFormat="false" ht="15" hidden="false" customHeight="false" outlineLevel="0" collapsed="false">
      <c r="B7478" s="130" t="n">
        <v>2027</v>
      </c>
      <c r="C7478" s="131" t="s">
        <v>252</v>
      </c>
      <c r="D7478" s="132" t="n">
        <v>46685</v>
      </c>
      <c r="E7478" s="131" t="s">
        <v>49</v>
      </c>
      <c r="F7478" s="133" t="s">
        <v>11</v>
      </c>
      <c r="G7478" s="134" t="n">
        <f aca="false">LEN('Saisie programme'!$D$268)+SUMIFS('Vols additionnels'!$E$7:$E$66,'Vols additionnels'!$C$7:$C$66,$E7478,'Vols additionnels'!$D$7:$D$66,$F7478,'Vols additionnels'!$B$7:$B$66,$D7478)</f>
        <v>0</v>
      </c>
      <c r="H7478" s="135" t="n">
        <f aca="false">$G7478*'Analyse capacite'!$F$7</f>
        <v>0</v>
      </c>
      <c r="I7478" s="135" t="n">
        <f aca="false">$G7478*'Analyse capacite'!$C$7</f>
        <v>0</v>
      </c>
      <c r="J7478" s="135" t="n">
        <f aca="false">$G7478*'Analyse capacite'!$D$7</f>
        <v>0</v>
      </c>
      <c r="K7478" s="135" t="n">
        <f aca="false">$G7478*'Analyse capacite'!$E$7</f>
        <v>0</v>
      </c>
    </row>
    <row r="7479" customFormat="false" ht="15" hidden="false" customHeight="false" outlineLevel="0" collapsed="false">
      <c r="B7479" s="130" t="n">
        <v>2027</v>
      </c>
      <c r="C7479" s="131" t="s">
        <v>252</v>
      </c>
      <c r="D7479" s="132" t="n">
        <v>46685</v>
      </c>
      <c r="E7479" s="131" t="s">
        <v>49</v>
      </c>
      <c r="F7479" s="133" t="s">
        <v>19</v>
      </c>
      <c r="G7479" s="134" t="n">
        <f aca="false">LEN('Saisie programme'!$D$269)+SUMIFS('Vols additionnels'!$E$7:$E$66,'Vols additionnels'!$C$7:$C$66,$E7479,'Vols additionnels'!$D$7:$D$66,$F7479,'Vols additionnels'!$B$7:$B$66,$D7479)</f>
        <v>1</v>
      </c>
      <c r="H7479" s="135" t="n">
        <f aca="false">$G7479*'Analyse capacite'!$F$8</f>
        <v>262</v>
      </c>
      <c r="I7479" s="135" t="n">
        <f aca="false">$G7479*'Analyse capacite'!$C$8</f>
        <v>18</v>
      </c>
      <c r="J7479" s="135" t="n">
        <f aca="false">$G7479*'Analyse capacite'!$D$8</f>
        <v>0</v>
      </c>
      <c r="K7479" s="135" t="n">
        <f aca="false">$G7479*'Analyse capacite'!$E$8</f>
        <v>244</v>
      </c>
    </row>
    <row r="7480" customFormat="false" ht="15" hidden="false" customHeight="false" outlineLevel="0" collapsed="false">
      <c r="B7480" s="130" t="n">
        <v>2027</v>
      </c>
      <c r="C7480" s="131" t="s">
        <v>252</v>
      </c>
      <c r="D7480" s="132" t="n">
        <v>46685</v>
      </c>
      <c r="E7480" s="131" t="s">
        <v>49</v>
      </c>
      <c r="F7480" s="133" t="s">
        <v>24</v>
      </c>
      <c r="G7480" s="134" t="n">
        <f aca="false">LEN('Saisie programme'!$D$270)+SUMIFS('Vols additionnels'!$E$7:$E$66,'Vols additionnels'!$C$7:$C$66,$E7480,'Vols additionnels'!$D$7:$D$66,$F7480,'Vols additionnels'!$B$7:$B$66,$D7480)</f>
        <v>0</v>
      </c>
      <c r="H7480" s="135" t="n">
        <f aca="false">$G7480*'Analyse capacite'!$F$9</f>
        <v>0</v>
      </c>
      <c r="I7480" s="135" t="n">
        <f aca="false">$G7480*'Analyse capacite'!$C$9</f>
        <v>0</v>
      </c>
      <c r="J7480" s="135" t="n">
        <f aca="false">$G7480*'Analyse capacite'!$D$9</f>
        <v>0</v>
      </c>
      <c r="K7480" s="135" t="n">
        <f aca="false">$G7480*'Analyse capacite'!$E$9</f>
        <v>0</v>
      </c>
    </row>
    <row r="7481" customFormat="false" ht="15" hidden="false" customHeight="false" outlineLevel="0" collapsed="false">
      <c r="B7481" s="130" t="n">
        <v>2027</v>
      </c>
      <c r="C7481" s="131" t="s">
        <v>252</v>
      </c>
      <c r="D7481" s="132" t="n">
        <v>46685</v>
      </c>
      <c r="E7481" s="131" t="s">
        <v>53</v>
      </c>
      <c r="F7481" s="133" t="s">
        <v>11</v>
      </c>
      <c r="G7481" s="134" t="n">
        <f aca="false">LEN('Saisie programme'!$D$271)+SUMIFS('Vols additionnels'!$E$7:$E$66,'Vols additionnels'!$C$7:$C$66,$E7481,'Vols additionnels'!$D$7:$D$66,$F7481,'Vols additionnels'!$B$7:$B$66,$D7481)</f>
        <v>0</v>
      </c>
      <c r="H7481" s="135" t="n">
        <f aca="false">$G7481*'Analyse capacite'!$F$7</f>
        <v>0</v>
      </c>
      <c r="I7481" s="135" t="n">
        <f aca="false">$G7481*'Analyse capacite'!$C$7</f>
        <v>0</v>
      </c>
      <c r="J7481" s="135" t="n">
        <f aca="false">$G7481*'Analyse capacite'!$D$7</f>
        <v>0</v>
      </c>
      <c r="K7481" s="135" t="n">
        <f aca="false">$G7481*'Analyse capacite'!$E$7</f>
        <v>0</v>
      </c>
    </row>
    <row r="7482" customFormat="false" ht="15" hidden="false" customHeight="false" outlineLevel="0" collapsed="false">
      <c r="B7482" s="130" t="n">
        <v>2027</v>
      </c>
      <c r="C7482" s="131" t="s">
        <v>252</v>
      </c>
      <c r="D7482" s="132" t="n">
        <v>46685</v>
      </c>
      <c r="E7482" s="131" t="s">
        <v>53</v>
      </c>
      <c r="F7482" s="133" t="s">
        <v>19</v>
      </c>
      <c r="G7482" s="134" t="n">
        <f aca="false">LEN('Saisie programme'!$D$272)+SUMIFS('Vols additionnels'!$E$7:$E$66,'Vols additionnels'!$C$7:$C$66,$E7482,'Vols additionnels'!$D$7:$D$66,$F7482,'Vols additionnels'!$B$7:$B$66,$D7482)</f>
        <v>0</v>
      </c>
      <c r="H7482" s="135" t="n">
        <f aca="false">$G7482*'Analyse capacite'!$F$8</f>
        <v>0</v>
      </c>
      <c r="I7482" s="135" t="n">
        <f aca="false">$G7482*'Analyse capacite'!$C$8</f>
        <v>0</v>
      </c>
      <c r="J7482" s="135" t="n">
        <f aca="false">$G7482*'Analyse capacite'!$D$8</f>
        <v>0</v>
      </c>
      <c r="K7482" s="135" t="n">
        <f aca="false">$G7482*'Analyse capacite'!$E$8</f>
        <v>0</v>
      </c>
    </row>
    <row r="7483" customFormat="false" ht="15" hidden="false" customHeight="false" outlineLevel="0" collapsed="false">
      <c r="B7483" s="130" t="n">
        <v>2027</v>
      </c>
      <c r="C7483" s="131" t="s">
        <v>252</v>
      </c>
      <c r="D7483" s="132" t="n">
        <v>46685</v>
      </c>
      <c r="E7483" s="131" t="s">
        <v>53</v>
      </c>
      <c r="F7483" s="133" t="s">
        <v>24</v>
      </c>
      <c r="G7483" s="134" t="n">
        <f aca="false">LEN('Saisie programme'!$D$273)+SUMIFS('Vols additionnels'!$E$7:$E$66,'Vols additionnels'!$C$7:$C$66,$E7483,'Vols additionnels'!$D$7:$D$66,$F7483,'Vols additionnels'!$B$7:$B$66,$D7483)</f>
        <v>0</v>
      </c>
      <c r="H7483" s="135" t="n">
        <f aca="false">$G7483*'Analyse capacite'!$F$9</f>
        <v>0</v>
      </c>
      <c r="I7483" s="135" t="n">
        <f aca="false">$G7483*'Analyse capacite'!$C$9</f>
        <v>0</v>
      </c>
      <c r="J7483" s="135" t="n">
        <f aca="false">$G7483*'Analyse capacite'!$D$9</f>
        <v>0</v>
      </c>
      <c r="K7483" s="135" t="n">
        <f aca="false">$G7483*'Analyse capacite'!$E$9</f>
        <v>0</v>
      </c>
    </row>
    <row r="7484" customFormat="false" ht="15" hidden="false" customHeight="false" outlineLevel="0" collapsed="false">
      <c r="B7484" s="130" t="n">
        <v>2027</v>
      </c>
      <c r="C7484" s="131" t="s">
        <v>252</v>
      </c>
      <c r="D7484" s="132" t="n">
        <v>46685</v>
      </c>
      <c r="E7484" s="131" t="s">
        <v>56</v>
      </c>
      <c r="F7484" s="133" t="s">
        <v>11</v>
      </c>
      <c r="G7484" s="134" t="n">
        <f aca="false">LEN('Saisie programme'!$D$274)+SUMIFS('Vols additionnels'!$E$7:$E$66,'Vols additionnels'!$C$7:$C$66,$E7484,'Vols additionnels'!$D$7:$D$66,$F7484,'Vols additionnels'!$B$7:$B$66,$D7484)</f>
        <v>0</v>
      </c>
      <c r="H7484" s="135" t="n">
        <f aca="false">$G7484*'Analyse capacite'!$F$7</f>
        <v>0</v>
      </c>
      <c r="I7484" s="135" t="n">
        <f aca="false">$G7484*'Analyse capacite'!$C$7</f>
        <v>0</v>
      </c>
      <c r="J7484" s="135" t="n">
        <f aca="false">$G7484*'Analyse capacite'!$D$7</f>
        <v>0</v>
      </c>
      <c r="K7484" s="135" t="n">
        <f aca="false">$G7484*'Analyse capacite'!$E$7</f>
        <v>0</v>
      </c>
    </row>
    <row r="7485" customFormat="false" ht="15" hidden="false" customHeight="false" outlineLevel="0" collapsed="false">
      <c r="B7485" s="130" t="n">
        <v>2027</v>
      </c>
      <c r="C7485" s="131" t="s">
        <v>252</v>
      </c>
      <c r="D7485" s="132" t="n">
        <v>46685</v>
      </c>
      <c r="E7485" s="131" t="s">
        <v>56</v>
      </c>
      <c r="F7485" s="133" t="s">
        <v>19</v>
      </c>
      <c r="G7485" s="134" t="n">
        <f aca="false">LEN('Saisie programme'!$D$275)+SUMIFS('Vols additionnels'!$E$7:$E$66,'Vols additionnels'!$C$7:$C$66,$E7485,'Vols additionnels'!$D$7:$D$66,$F7485,'Vols additionnels'!$B$7:$B$66,$D7485)</f>
        <v>0</v>
      </c>
      <c r="H7485" s="135" t="n">
        <f aca="false">$G7485*'Analyse capacite'!$F$8</f>
        <v>0</v>
      </c>
      <c r="I7485" s="135" t="n">
        <f aca="false">$G7485*'Analyse capacite'!$C$8</f>
        <v>0</v>
      </c>
      <c r="J7485" s="135" t="n">
        <f aca="false">$G7485*'Analyse capacite'!$D$8</f>
        <v>0</v>
      </c>
      <c r="K7485" s="135" t="n">
        <f aca="false">$G7485*'Analyse capacite'!$E$8</f>
        <v>0</v>
      </c>
    </row>
    <row r="7486" customFormat="false" ht="15" hidden="false" customHeight="false" outlineLevel="0" collapsed="false">
      <c r="B7486" s="130" t="n">
        <v>2027</v>
      </c>
      <c r="C7486" s="131" t="s">
        <v>252</v>
      </c>
      <c r="D7486" s="132" t="n">
        <v>46685</v>
      </c>
      <c r="E7486" s="131" t="s">
        <v>56</v>
      </c>
      <c r="F7486" s="133" t="s">
        <v>24</v>
      </c>
      <c r="G7486" s="134" t="n">
        <f aca="false">LEN('Saisie programme'!$D$276)+SUMIFS('Vols additionnels'!$E$7:$E$66,'Vols additionnels'!$C$7:$C$66,$E7486,'Vols additionnels'!$D$7:$D$66,$F7486,'Vols additionnels'!$B$7:$B$66,$D7486)</f>
        <v>0</v>
      </c>
      <c r="H7486" s="135" t="n">
        <f aca="false">$G7486*'Analyse capacite'!$F$9</f>
        <v>0</v>
      </c>
      <c r="I7486" s="135" t="n">
        <f aca="false">$G7486*'Analyse capacite'!$C$9</f>
        <v>0</v>
      </c>
      <c r="J7486" s="135" t="n">
        <f aca="false">$G7486*'Analyse capacite'!$D$9</f>
        <v>0</v>
      </c>
      <c r="K7486" s="135" t="n">
        <f aca="false">$G7486*'Analyse capacite'!$E$9</f>
        <v>0</v>
      </c>
    </row>
    <row r="7487" customFormat="false" ht="15" hidden="false" customHeight="false" outlineLevel="0" collapsed="false">
      <c r="B7487" s="130" t="n">
        <v>2027</v>
      </c>
      <c r="C7487" s="131" t="s">
        <v>252</v>
      </c>
      <c r="D7487" s="132" t="n">
        <v>46685</v>
      </c>
      <c r="E7487" s="131" t="s">
        <v>59</v>
      </c>
      <c r="F7487" s="133" t="s">
        <v>11</v>
      </c>
      <c r="G7487" s="134" t="n">
        <f aca="false">LEN('Saisie programme'!$D$277)+SUMIFS('Vols additionnels'!$E$7:$E$66,'Vols additionnels'!$C$7:$C$66,$E7487,'Vols additionnels'!$D$7:$D$66,$F7487,'Vols additionnels'!$B$7:$B$66,$D7487)</f>
        <v>0</v>
      </c>
      <c r="H7487" s="135" t="n">
        <f aca="false">$G7487*'Analyse capacite'!$F$7</f>
        <v>0</v>
      </c>
      <c r="I7487" s="135" t="n">
        <f aca="false">$G7487*'Analyse capacite'!$C$7</f>
        <v>0</v>
      </c>
      <c r="J7487" s="135" t="n">
        <f aca="false">$G7487*'Analyse capacite'!$D$7</f>
        <v>0</v>
      </c>
      <c r="K7487" s="135" t="n">
        <f aca="false">$G7487*'Analyse capacite'!$E$7</f>
        <v>0</v>
      </c>
    </row>
    <row r="7488" customFormat="false" ht="15" hidden="false" customHeight="false" outlineLevel="0" collapsed="false">
      <c r="B7488" s="130" t="n">
        <v>2027</v>
      </c>
      <c r="C7488" s="131" t="s">
        <v>252</v>
      </c>
      <c r="D7488" s="132" t="n">
        <v>46685</v>
      </c>
      <c r="E7488" s="131" t="s">
        <v>59</v>
      </c>
      <c r="F7488" s="133" t="s">
        <v>19</v>
      </c>
      <c r="G7488" s="134" t="n">
        <f aca="false">LEN('Saisie programme'!$D$278)+SUMIFS('Vols additionnels'!$E$7:$E$66,'Vols additionnels'!$C$7:$C$66,$E7488,'Vols additionnels'!$D$7:$D$66,$F7488,'Vols additionnels'!$B$7:$B$66,$D7488)</f>
        <v>0</v>
      </c>
      <c r="H7488" s="135" t="n">
        <f aca="false">$G7488*'Analyse capacite'!$F$8</f>
        <v>0</v>
      </c>
      <c r="I7488" s="135" t="n">
        <f aca="false">$G7488*'Analyse capacite'!$C$8</f>
        <v>0</v>
      </c>
      <c r="J7488" s="135" t="n">
        <f aca="false">$G7488*'Analyse capacite'!$D$8</f>
        <v>0</v>
      </c>
      <c r="K7488" s="135" t="n">
        <f aca="false">$G7488*'Analyse capacite'!$E$8</f>
        <v>0</v>
      </c>
    </row>
    <row r="7489" customFormat="false" ht="15" hidden="false" customHeight="false" outlineLevel="0" collapsed="false">
      <c r="B7489" s="130" t="n">
        <v>2027</v>
      </c>
      <c r="C7489" s="131" t="s">
        <v>252</v>
      </c>
      <c r="D7489" s="132" t="n">
        <v>46685</v>
      </c>
      <c r="E7489" s="131" t="s">
        <v>59</v>
      </c>
      <c r="F7489" s="133" t="s">
        <v>24</v>
      </c>
      <c r="G7489" s="134" t="n">
        <f aca="false">LEN('Saisie programme'!$D$279)+SUMIFS('Vols additionnels'!$E$7:$E$66,'Vols additionnels'!$C$7:$C$66,$E7489,'Vols additionnels'!$D$7:$D$66,$F7489,'Vols additionnels'!$B$7:$B$66,$D7489)</f>
        <v>1</v>
      </c>
      <c r="H7489" s="135" t="n">
        <f aca="false">$G7489*'Analyse capacite'!$F$9</f>
        <v>174</v>
      </c>
      <c r="I7489" s="135" t="n">
        <f aca="false">$G7489*'Analyse capacite'!$C$9</f>
        <v>0</v>
      </c>
      <c r="J7489" s="135" t="n">
        <f aca="false">$G7489*'Analyse capacite'!$D$9</f>
        <v>12</v>
      </c>
      <c r="K7489" s="135" t="n">
        <f aca="false">$G7489*'Analyse capacite'!$E$9</f>
        <v>162</v>
      </c>
    </row>
    <row r="7490" customFormat="false" ht="15" hidden="false" customHeight="false" outlineLevel="0" collapsed="false">
      <c r="B7490" s="130" t="n">
        <v>2027</v>
      </c>
      <c r="C7490" s="131" t="s">
        <v>252</v>
      </c>
      <c r="D7490" s="132" t="n">
        <v>46685</v>
      </c>
      <c r="E7490" s="131" t="s">
        <v>62</v>
      </c>
      <c r="F7490" s="133" t="s">
        <v>11</v>
      </c>
      <c r="G7490" s="134" t="n">
        <f aca="false">LEN('Saisie programme'!$D$280)+SUMIFS('Vols additionnels'!$E$7:$E$66,'Vols additionnels'!$C$7:$C$66,$E7490,'Vols additionnels'!$D$7:$D$66,$F7490,'Vols additionnels'!$B$7:$B$66,$D7490)</f>
        <v>0</v>
      </c>
      <c r="H7490" s="135" t="n">
        <f aca="false">$G7490*'Analyse capacite'!$F$7</f>
        <v>0</v>
      </c>
      <c r="I7490" s="135" t="n">
        <f aca="false">$G7490*'Analyse capacite'!$C$7</f>
        <v>0</v>
      </c>
      <c r="J7490" s="135" t="n">
        <f aca="false">$G7490*'Analyse capacite'!$D$7</f>
        <v>0</v>
      </c>
      <c r="K7490" s="135" t="n">
        <f aca="false">$G7490*'Analyse capacite'!$E$7</f>
        <v>0</v>
      </c>
    </row>
    <row r="7491" customFormat="false" ht="15" hidden="false" customHeight="false" outlineLevel="0" collapsed="false">
      <c r="B7491" s="130" t="n">
        <v>2027</v>
      </c>
      <c r="C7491" s="131" t="s">
        <v>252</v>
      </c>
      <c r="D7491" s="132" t="n">
        <v>46685</v>
      </c>
      <c r="E7491" s="131" t="s">
        <v>62</v>
      </c>
      <c r="F7491" s="133" t="s">
        <v>19</v>
      </c>
      <c r="G7491" s="134" t="n">
        <f aca="false">LEN('Saisie programme'!$D$281)+SUMIFS('Vols additionnels'!$E$7:$E$66,'Vols additionnels'!$C$7:$C$66,$E7491,'Vols additionnels'!$D$7:$D$66,$F7491,'Vols additionnels'!$B$7:$B$66,$D7491)</f>
        <v>0</v>
      </c>
      <c r="H7491" s="135" t="n">
        <f aca="false">$G7491*'Analyse capacite'!$F$8</f>
        <v>0</v>
      </c>
      <c r="I7491" s="135" t="n">
        <f aca="false">$G7491*'Analyse capacite'!$C$8</f>
        <v>0</v>
      </c>
      <c r="J7491" s="135" t="n">
        <f aca="false">$G7491*'Analyse capacite'!$D$8</f>
        <v>0</v>
      </c>
      <c r="K7491" s="135" t="n">
        <f aca="false">$G7491*'Analyse capacite'!$E$8</f>
        <v>0</v>
      </c>
    </row>
    <row r="7492" customFormat="false" ht="15" hidden="false" customHeight="false" outlineLevel="0" collapsed="false">
      <c r="B7492" s="130" t="n">
        <v>2027</v>
      </c>
      <c r="C7492" s="131" t="s">
        <v>252</v>
      </c>
      <c r="D7492" s="132" t="n">
        <v>46685</v>
      </c>
      <c r="E7492" s="131" t="s">
        <v>62</v>
      </c>
      <c r="F7492" s="133" t="s">
        <v>24</v>
      </c>
      <c r="G7492" s="134" t="n">
        <f aca="false">LEN('Saisie programme'!$D$282)+SUMIFS('Vols additionnels'!$E$7:$E$66,'Vols additionnels'!$C$7:$C$66,$E7492,'Vols additionnels'!$D$7:$D$66,$F7492,'Vols additionnels'!$B$7:$B$66,$D7492)</f>
        <v>0</v>
      </c>
      <c r="H7492" s="135" t="n">
        <f aca="false">$G7492*'Analyse capacite'!$F$9</f>
        <v>0</v>
      </c>
      <c r="I7492" s="135" t="n">
        <f aca="false">$G7492*'Analyse capacite'!$C$9</f>
        <v>0</v>
      </c>
      <c r="J7492" s="135" t="n">
        <f aca="false">$G7492*'Analyse capacite'!$D$9</f>
        <v>0</v>
      </c>
      <c r="K7492" s="135" t="n">
        <f aca="false">$G7492*'Analyse capacite'!$E$9</f>
        <v>0</v>
      </c>
    </row>
    <row r="7493" customFormat="false" ht="15" hidden="false" customHeight="false" outlineLevel="0" collapsed="false">
      <c r="B7493" s="130" t="n">
        <v>2027</v>
      </c>
      <c r="C7493" s="131" t="s">
        <v>252</v>
      </c>
      <c r="D7493" s="132" t="n">
        <v>46686</v>
      </c>
      <c r="E7493" s="131" t="s">
        <v>12</v>
      </c>
      <c r="F7493" s="133" t="s">
        <v>11</v>
      </c>
      <c r="G7493" s="134" t="n">
        <f aca="false">LEN('Saisie programme'!$E$247)+SUMIFS('Vols additionnels'!$E$7:$E$66,'Vols additionnels'!$C$7:$C$66,$E7493,'Vols additionnels'!$D$7:$D$66,$F7493,'Vols additionnels'!$B$7:$B$66,$D7493)</f>
        <v>1</v>
      </c>
      <c r="H7493" s="135" t="n">
        <f aca="false">$G7493*'Analyse capacite'!$F$7</f>
        <v>438</v>
      </c>
      <c r="I7493" s="135" t="n">
        <f aca="false">$G7493*'Analyse capacite'!$C$7</f>
        <v>14</v>
      </c>
      <c r="J7493" s="135" t="n">
        <f aca="false">$G7493*'Analyse capacite'!$D$7</f>
        <v>40</v>
      </c>
      <c r="K7493" s="135" t="n">
        <f aca="false">$G7493*'Analyse capacite'!$E$7</f>
        <v>384</v>
      </c>
    </row>
    <row r="7494" customFormat="false" ht="15" hidden="false" customHeight="false" outlineLevel="0" collapsed="false">
      <c r="B7494" s="130" t="n">
        <v>2027</v>
      </c>
      <c r="C7494" s="131" t="s">
        <v>252</v>
      </c>
      <c r="D7494" s="132" t="n">
        <v>46686</v>
      </c>
      <c r="E7494" s="131" t="s">
        <v>12</v>
      </c>
      <c r="F7494" s="133" t="s">
        <v>19</v>
      </c>
      <c r="G7494" s="134" t="n">
        <f aca="false">LEN('Saisie programme'!$E$248)+SUMIFS('Vols additionnels'!$E$7:$E$66,'Vols additionnels'!$C$7:$C$66,$E7494,'Vols additionnels'!$D$7:$D$66,$F7494,'Vols additionnels'!$B$7:$B$66,$D7494)</f>
        <v>0</v>
      </c>
      <c r="H7494" s="135" t="n">
        <f aca="false">$G7494*'Analyse capacite'!$F$8</f>
        <v>0</v>
      </c>
      <c r="I7494" s="135" t="n">
        <f aca="false">$G7494*'Analyse capacite'!$C$8</f>
        <v>0</v>
      </c>
      <c r="J7494" s="135" t="n">
        <f aca="false">$G7494*'Analyse capacite'!$D$8</f>
        <v>0</v>
      </c>
      <c r="K7494" s="135" t="n">
        <f aca="false">$G7494*'Analyse capacite'!$E$8</f>
        <v>0</v>
      </c>
    </row>
    <row r="7495" customFormat="false" ht="15" hidden="false" customHeight="false" outlineLevel="0" collapsed="false">
      <c r="B7495" s="130" t="n">
        <v>2027</v>
      </c>
      <c r="C7495" s="131" t="s">
        <v>252</v>
      </c>
      <c r="D7495" s="132" t="n">
        <v>46686</v>
      </c>
      <c r="E7495" s="131" t="s">
        <v>12</v>
      </c>
      <c r="F7495" s="133" t="s">
        <v>24</v>
      </c>
      <c r="G7495" s="134" t="n">
        <f aca="false">LEN('Saisie programme'!$E$249)+SUMIFS('Vols additionnels'!$E$7:$E$66,'Vols additionnels'!$C$7:$C$66,$E7495,'Vols additionnels'!$D$7:$D$66,$F7495,'Vols additionnels'!$B$7:$B$66,$D7495)</f>
        <v>0</v>
      </c>
      <c r="H7495" s="135" t="n">
        <f aca="false">$G7495*'Analyse capacite'!$F$9</f>
        <v>0</v>
      </c>
      <c r="I7495" s="135" t="n">
        <f aca="false">$G7495*'Analyse capacite'!$C$9</f>
        <v>0</v>
      </c>
      <c r="J7495" s="135" t="n">
        <f aca="false">$G7495*'Analyse capacite'!$D$9</f>
        <v>0</v>
      </c>
      <c r="K7495" s="135" t="n">
        <f aca="false">$G7495*'Analyse capacite'!$E$9</f>
        <v>0</v>
      </c>
    </row>
    <row r="7496" customFormat="false" ht="15" hidden="false" customHeight="false" outlineLevel="0" collapsed="false">
      <c r="B7496" s="130" t="n">
        <v>2027</v>
      </c>
      <c r="C7496" s="131" t="s">
        <v>252</v>
      </c>
      <c r="D7496" s="132" t="n">
        <v>46686</v>
      </c>
      <c r="E7496" s="131" t="s">
        <v>20</v>
      </c>
      <c r="F7496" s="133" t="s">
        <v>11</v>
      </c>
      <c r="G7496" s="134" t="n">
        <f aca="false">LEN('Saisie programme'!$E$250)+SUMIFS('Vols additionnels'!$E$7:$E$66,'Vols additionnels'!$C$7:$C$66,$E7496,'Vols additionnels'!$D$7:$D$66,$F7496,'Vols additionnels'!$B$7:$B$66,$D7496)</f>
        <v>0</v>
      </c>
      <c r="H7496" s="135" t="n">
        <f aca="false">$G7496*'Analyse capacite'!$F$7</f>
        <v>0</v>
      </c>
      <c r="I7496" s="135" t="n">
        <f aca="false">$G7496*'Analyse capacite'!$C$7</f>
        <v>0</v>
      </c>
      <c r="J7496" s="135" t="n">
        <f aca="false">$G7496*'Analyse capacite'!$D$7</f>
        <v>0</v>
      </c>
      <c r="K7496" s="135" t="n">
        <f aca="false">$G7496*'Analyse capacite'!$E$7</f>
        <v>0</v>
      </c>
    </row>
    <row r="7497" customFormat="false" ht="15" hidden="false" customHeight="false" outlineLevel="0" collapsed="false">
      <c r="B7497" s="130" t="n">
        <v>2027</v>
      </c>
      <c r="C7497" s="131" t="s">
        <v>252</v>
      </c>
      <c r="D7497" s="132" t="n">
        <v>46686</v>
      </c>
      <c r="E7497" s="131" t="s">
        <v>20</v>
      </c>
      <c r="F7497" s="133" t="s">
        <v>19</v>
      </c>
      <c r="G7497" s="134" t="n">
        <f aca="false">LEN('Saisie programme'!$E$251)+SUMIFS('Vols additionnels'!$E$7:$E$66,'Vols additionnels'!$C$7:$C$66,$E7497,'Vols additionnels'!$D$7:$D$66,$F7497,'Vols additionnels'!$B$7:$B$66,$D7497)</f>
        <v>1</v>
      </c>
      <c r="H7497" s="135" t="n">
        <f aca="false">$G7497*'Analyse capacite'!$F$8</f>
        <v>262</v>
      </c>
      <c r="I7497" s="135" t="n">
        <f aca="false">$G7497*'Analyse capacite'!$C$8</f>
        <v>18</v>
      </c>
      <c r="J7497" s="135" t="n">
        <f aca="false">$G7497*'Analyse capacite'!$D$8</f>
        <v>0</v>
      </c>
      <c r="K7497" s="135" t="n">
        <f aca="false">$G7497*'Analyse capacite'!$E$8</f>
        <v>244</v>
      </c>
    </row>
    <row r="7498" customFormat="false" ht="15" hidden="false" customHeight="false" outlineLevel="0" collapsed="false">
      <c r="B7498" s="130" t="n">
        <v>2027</v>
      </c>
      <c r="C7498" s="131" t="s">
        <v>252</v>
      </c>
      <c r="D7498" s="132" t="n">
        <v>46686</v>
      </c>
      <c r="E7498" s="131" t="s">
        <v>20</v>
      </c>
      <c r="F7498" s="133" t="s">
        <v>24</v>
      </c>
      <c r="G7498" s="134" t="n">
        <f aca="false">LEN('Saisie programme'!$E$252)+SUMIFS('Vols additionnels'!$E$7:$E$66,'Vols additionnels'!$C$7:$C$66,$E7498,'Vols additionnels'!$D$7:$D$66,$F7498,'Vols additionnels'!$B$7:$B$66,$D7498)</f>
        <v>0</v>
      </c>
      <c r="H7498" s="135" t="n">
        <f aca="false">$G7498*'Analyse capacite'!$F$9</f>
        <v>0</v>
      </c>
      <c r="I7498" s="135" t="n">
        <f aca="false">$G7498*'Analyse capacite'!$C$9</f>
        <v>0</v>
      </c>
      <c r="J7498" s="135" t="n">
        <f aca="false">$G7498*'Analyse capacite'!$D$9</f>
        <v>0</v>
      </c>
      <c r="K7498" s="135" t="n">
        <f aca="false">$G7498*'Analyse capacite'!$E$9</f>
        <v>0</v>
      </c>
    </row>
    <row r="7499" customFormat="false" ht="15" hidden="false" customHeight="false" outlineLevel="0" collapsed="false">
      <c r="B7499" s="130" t="n">
        <v>2027</v>
      </c>
      <c r="C7499" s="131" t="s">
        <v>252</v>
      </c>
      <c r="D7499" s="132" t="n">
        <v>46686</v>
      </c>
      <c r="E7499" s="131" t="s">
        <v>25</v>
      </c>
      <c r="F7499" s="133" t="s">
        <v>11</v>
      </c>
      <c r="G7499" s="134" t="n">
        <f aca="false">LEN('Saisie programme'!$E$253)+SUMIFS('Vols additionnels'!$E$7:$E$66,'Vols additionnels'!$C$7:$C$66,$E7499,'Vols additionnels'!$D$7:$D$66,$F7499,'Vols additionnels'!$B$7:$B$66,$D7499)</f>
        <v>0</v>
      </c>
      <c r="H7499" s="135" t="n">
        <f aca="false">$G7499*'Analyse capacite'!$F$7</f>
        <v>0</v>
      </c>
      <c r="I7499" s="135" t="n">
        <f aca="false">$G7499*'Analyse capacite'!$C$7</f>
        <v>0</v>
      </c>
      <c r="J7499" s="135" t="n">
        <f aca="false">$G7499*'Analyse capacite'!$D$7</f>
        <v>0</v>
      </c>
      <c r="K7499" s="135" t="n">
        <f aca="false">$G7499*'Analyse capacite'!$E$7</f>
        <v>0</v>
      </c>
    </row>
    <row r="7500" customFormat="false" ht="15" hidden="false" customHeight="false" outlineLevel="0" collapsed="false">
      <c r="B7500" s="130" t="n">
        <v>2027</v>
      </c>
      <c r="C7500" s="131" t="s">
        <v>252</v>
      </c>
      <c r="D7500" s="132" t="n">
        <v>46686</v>
      </c>
      <c r="E7500" s="131" t="s">
        <v>25</v>
      </c>
      <c r="F7500" s="133" t="s">
        <v>19</v>
      </c>
      <c r="G7500" s="134" t="n">
        <f aca="false">LEN('Saisie programme'!$E$254)+SUMIFS('Vols additionnels'!$E$7:$E$66,'Vols additionnels'!$C$7:$C$66,$E7500,'Vols additionnels'!$D$7:$D$66,$F7500,'Vols additionnels'!$B$7:$B$66,$D7500)</f>
        <v>0</v>
      </c>
      <c r="H7500" s="135" t="n">
        <f aca="false">$G7500*'Analyse capacite'!$F$8</f>
        <v>0</v>
      </c>
      <c r="I7500" s="135" t="n">
        <f aca="false">$G7500*'Analyse capacite'!$C$8</f>
        <v>0</v>
      </c>
      <c r="J7500" s="135" t="n">
        <f aca="false">$G7500*'Analyse capacite'!$D$8</f>
        <v>0</v>
      </c>
      <c r="K7500" s="135" t="n">
        <f aca="false">$G7500*'Analyse capacite'!$E$8</f>
        <v>0</v>
      </c>
    </row>
    <row r="7501" customFormat="false" ht="15" hidden="false" customHeight="false" outlineLevel="0" collapsed="false">
      <c r="B7501" s="130" t="n">
        <v>2027</v>
      </c>
      <c r="C7501" s="131" t="s">
        <v>252</v>
      </c>
      <c r="D7501" s="132" t="n">
        <v>46686</v>
      </c>
      <c r="E7501" s="131" t="s">
        <v>25</v>
      </c>
      <c r="F7501" s="133" t="s">
        <v>24</v>
      </c>
      <c r="G7501" s="134" t="n">
        <f aca="false">LEN('Saisie programme'!$E$255)+SUMIFS('Vols additionnels'!$E$7:$E$66,'Vols additionnels'!$C$7:$C$66,$E7501,'Vols additionnels'!$D$7:$D$66,$F7501,'Vols additionnels'!$B$7:$B$66,$D7501)</f>
        <v>0</v>
      </c>
      <c r="H7501" s="135" t="n">
        <f aca="false">$G7501*'Analyse capacite'!$F$9</f>
        <v>0</v>
      </c>
      <c r="I7501" s="135" t="n">
        <f aca="false">$G7501*'Analyse capacite'!$C$9</f>
        <v>0</v>
      </c>
      <c r="J7501" s="135" t="n">
        <f aca="false">$G7501*'Analyse capacite'!$D$9</f>
        <v>0</v>
      </c>
      <c r="K7501" s="135" t="n">
        <f aca="false">$G7501*'Analyse capacite'!$E$9</f>
        <v>0</v>
      </c>
    </row>
    <row r="7502" customFormat="false" ht="15" hidden="false" customHeight="false" outlineLevel="0" collapsed="false">
      <c r="B7502" s="130" t="n">
        <v>2027</v>
      </c>
      <c r="C7502" s="131" t="s">
        <v>252</v>
      </c>
      <c r="D7502" s="132" t="n">
        <v>46686</v>
      </c>
      <c r="E7502" s="131" t="s">
        <v>36</v>
      </c>
      <c r="F7502" s="133" t="s">
        <v>11</v>
      </c>
      <c r="G7502" s="134" t="n">
        <f aca="false">LEN('Saisie programme'!$E$256)+SUMIFS('Vols additionnels'!$E$7:$E$66,'Vols additionnels'!$C$7:$C$66,$E7502,'Vols additionnels'!$D$7:$D$66,$F7502,'Vols additionnels'!$B$7:$B$66,$D7502)</f>
        <v>0</v>
      </c>
      <c r="H7502" s="135" t="n">
        <f aca="false">$G7502*'Analyse capacite'!$F$7</f>
        <v>0</v>
      </c>
      <c r="I7502" s="135" t="n">
        <f aca="false">$G7502*'Analyse capacite'!$C$7</f>
        <v>0</v>
      </c>
      <c r="J7502" s="135" t="n">
        <f aca="false">$G7502*'Analyse capacite'!$D$7</f>
        <v>0</v>
      </c>
      <c r="K7502" s="135" t="n">
        <f aca="false">$G7502*'Analyse capacite'!$E$7</f>
        <v>0</v>
      </c>
    </row>
    <row r="7503" customFormat="false" ht="15" hidden="false" customHeight="false" outlineLevel="0" collapsed="false">
      <c r="B7503" s="130" t="n">
        <v>2027</v>
      </c>
      <c r="C7503" s="131" t="s">
        <v>252</v>
      </c>
      <c r="D7503" s="132" t="n">
        <v>46686</v>
      </c>
      <c r="E7503" s="131" t="s">
        <v>36</v>
      </c>
      <c r="F7503" s="133" t="s">
        <v>19</v>
      </c>
      <c r="G7503" s="134" t="n">
        <f aca="false">LEN('Saisie programme'!$E$257)+SUMIFS('Vols additionnels'!$E$7:$E$66,'Vols additionnels'!$C$7:$C$66,$E7503,'Vols additionnels'!$D$7:$D$66,$F7503,'Vols additionnels'!$B$7:$B$66,$D7503)</f>
        <v>0</v>
      </c>
      <c r="H7503" s="135" t="n">
        <f aca="false">$G7503*'Analyse capacite'!$F$8</f>
        <v>0</v>
      </c>
      <c r="I7503" s="135" t="n">
        <f aca="false">$G7503*'Analyse capacite'!$C$8</f>
        <v>0</v>
      </c>
      <c r="J7503" s="135" t="n">
        <f aca="false">$G7503*'Analyse capacite'!$D$8</f>
        <v>0</v>
      </c>
      <c r="K7503" s="135" t="n">
        <f aca="false">$G7503*'Analyse capacite'!$E$8</f>
        <v>0</v>
      </c>
    </row>
    <row r="7504" customFormat="false" ht="15" hidden="false" customHeight="false" outlineLevel="0" collapsed="false">
      <c r="B7504" s="130" t="n">
        <v>2027</v>
      </c>
      <c r="C7504" s="131" t="s">
        <v>252</v>
      </c>
      <c r="D7504" s="132" t="n">
        <v>46686</v>
      </c>
      <c r="E7504" s="131" t="s">
        <v>36</v>
      </c>
      <c r="F7504" s="133" t="s">
        <v>24</v>
      </c>
      <c r="G7504" s="134" t="n">
        <f aca="false">LEN('Saisie programme'!$E$258)+SUMIFS('Vols additionnels'!$E$7:$E$66,'Vols additionnels'!$C$7:$C$66,$E7504,'Vols additionnels'!$D$7:$D$66,$F7504,'Vols additionnels'!$B$7:$B$66,$D7504)</f>
        <v>1</v>
      </c>
      <c r="H7504" s="135" t="n">
        <f aca="false">$G7504*'Analyse capacite'!$F$9</f>
        <v>174</v>
      </c>
      <c r="I7504" s="135" t="n">
        <f aca="false">$G7504*'Analyse capacite'!$C$9</f>
        <v>0</v>
      </c>
      <c r="J7504" s="135" t="n">
        <f aca="false">$G7504*'Analyse capacite'!$D$9</f>
        <v>12</v>
      </c>
      <c r="K7504" s="135" t="n">
        <f aca="false">$G7504*'Analyse capacite'!$E$9</f>
        <v>162</v>
      </c>
    </row>
    <row r="7505" customFormat="false" ht="15" hidden="false" customHeight="false" outlineLevel="0" collapsed="false">
      <c r="B7505" s="130" t="n">
        <v>2027</v>
      </c>
      <c r="C7505" s="131" t="s">
        <v>252</v>
      </c>
      <c r="D7505" s="132" t="n">
        <v>46686</v>
      </c>
      <c r="E7505" s="131" t="s">
        <v>40</v>
      </c>
      <c r="F7505" s="133" t="s">
        <v>11</v>
      </c>
      <c r="G7505" s="134" t="n">
        <f aca="false">LEN('Saisie programme'!$E$259)+SUMIFS('Vols additionnels'!$E$7:$E$66,'Vols additionnels'!$C$7:$C$66,$E7505,'Vols additionnels'!$D$7:$D$66,$F7505,'Vols additionnels'!$B$7:$B$66,$D7505)</f>
        <v>0</v>
      </c>
      <c r="H7505" s="135" t="n">
        <f aca="false">$G7505*'Analyse capacite'!$F$7</f>
        <v>0</v>
      </c>
      <c r="I7505" s="135" t="n">
        <f aca="false">$G7505*'Analyse capacite'!$C$7</f>
        <v>0</v>
      </c>
      <c r="J7505" s="135" t="n">
        <f aca="false">$G7505*'Analyse capacite'!$D$7</f>
        <v>0</v>
      </c>
      <c r="K7505" s="135" t="n">
        <f aca="false">$G7505*'Analyse capacite'!$E$7</f>
        <v>0</v>
      </c>
    </row>
    <row r="7506" customFormat="false" ht="15" hidden="false" customHeight="false" outlineLevel="0" collapsed="false">
      <c r="B7506" s="130" t="n">
        <v>2027</v>
      </c>
      <c r="C7506" s="131" t="s">
        <v>252</v>
      </c>
      <c r="D7506" s="132" t="n">
        <v>46686</v>
      </c>
      <c r="E7506" s="131" t="s">
        <v>40</v>
      </c>
      <c r="F7506" s="133" t="s">
        <v>19</v>
      </c>
      <c r="G7506" s="134" t="n">
        <f aca="false">LEN('Saisie programme'!$E$260)+SUMIFS('Vols additionnels'!$E$7:$E$66,'Vols additionnels'!$C$7:$C$66,$E7506,'Vols additionnels'!$D$7:$D$66,$F7506,'Vols additionnels'!$B$7:$B$66,$D7506)</f>
        <v>0</v>
      </c>
      <c r="H7506" s="135" t="n">
        <f aca="false">$G7506*'Analyse capacite'!$F$8</f>
        <v>0</v>
      </c>
      <c r="I7506" s="135" t="n">
        <f aca="false">$G7506*'Analyse capacite'!$C$8</f>
        <v>0</v>
      </c>
      <c r="J7506" s="135" t="n">
        <f aca="false">$G7506*'Analyse capacite'!$D$8</f>
        <v>0</v>
      </c>
      <c r="K7506" s="135" t="n">
        <f aca="false">$G7506*'Analyse capacite'!$E$8</f>
        <v>0</v>
      </c>
    </row>
    <row r="7507" customFormat="false" ht="15" hidden="false" customHeight="false" outlineLevel="0" collapsed="false">
      <c r="B7507" s="130" t="n">
        <v>2027</v>
      </c>
      <c r="C7507" s="131" t="s">
        <v>252</v>
      </c>
      <c r="D7507" s="132" t="n">
        <v>46686</v>
      </c>
      <c r="E7507" s="131" t="s">
        <v>40</v>
      </c>
      <c r="F7507" s="133" t="s">
        <v>24</v>
      </c>
      <c r="G7507" s="134" t="n">
        <f aca="false">LEN('Saisie programme'!$E$261)+SUMIFS('Vols additionnels'!$E$7:$E$66,'Vols additionnels'!$C$7:$C$66,$E7507,'Vols additionnels'!$D$7:$D$66,$F7507,'Vols additionnels'!$B$7:$B$66,$D7507)</f>
        <v>0</v>
      </c>
      <c r="H7507" s="135" t="n">
        <f aca="false">$G7507*'Analyse capacite'!$F$9</f>
        <v>0</v>
      </c>
      <c r="I7507" s="135" t="n">
        <f aca="false">$G7507*'Analyse capacite'!$C$9</f>
        <v>0</v>
      </c>
      <c r="J7507" s="135" t="n">
        <f aca="false">$G7507*'Analyse capacite'!$D$9</f>
        <v>0</v>
      </c>
      <c r="K7507" s="135" t="n">
        <f aca="false">$G7507*'Analyse capacite'!$E$9</f>
        <v>0</v>
      </c>
    </row>
    <row r="7508" customFormat="false" ht="15" hidden="false" customHeight="false" outlineLevel="0" collapsed="false">
      <c r="B7508" s="130" t="n">
        <v>2027</v>
      </c>
      <c r="C7508" s="131" t="s">
        <v>252</v>
      </c>
      <c r="D7508" s="132" t="n">
        <v>46686</v>
      </c>
      <c r="E7508" s="131" t="s">
        <v>14</v>
      </c>
      <c r="F7508" s="133" t="s">
        <v>11</v>
      </c>
      <c r="G7508" s="134" t="n">
        <f aca="false">LEN('Saisie programme'!$E$262)+SUMIFS('Vols additionnels'!$E$7:$E$66,'Vols additionnels'!$C$7:$C$66,$E7508,'Vols additionnels'!$D$7:$D$66,$F7508,'Vols additionnels'!$B$7:$B$66,$D7508)</f>
        <v>0</v>
      </c>
      <c r="H7508" s="135" t="n">
        <f aca="false">$G7508*'Analyse capacite'!$F$7</f>
        <v>0</v>
      </c>
      <c r="I7508" s="135" t="n">
        <f aca="false">$G7508*'Analyse capacite'!$C$7</f>
        <v>0</v>
      </c>
      <c r="J7508" s="135" t="n">
        <f aca="false">$G7508*'Analyse capacite'!$D$7</f>
        <v>0</v>
      </c>
      <c r="K7508" s="135" t="n">
        <f aca="false">$G7508*'Analyse capacite'!$E$7</f>
        <v>0</v>
      </c>
    </row>
    <row r="7509" customFormat="false" ht="15" hidden="false" customHeight="false" outlineLevel="0" collapsed="false">
      <c r="B7509" s="130" t="n">
        <v>2027</v>
      </c>
      <c r="C7509" s="131" t="s">
        <v>252</v>
      </c>
      <c r="D7509" s="132" t="n">
        <v>46686</v>
      </c>
      <c r="E7509" s="131" t="s">
        <v>14</v>
      </c>
      <c r="F7509" s="133" t="s">
        <v>19</v>
      </c>
      <c r="G7509" s="134" t="n">
        <f aca="false">LEN('Saisie programme'!$E$263)+SUMIFS('Vols additionnels'!$E$7:$E$66,'Vols additionnels'!$C$7:$C$66,$E7509,'Vols additionnels'!$D$7:$D$66,$F7509,'Vols additionnels'!$B$7:$B$66,$D7509)</f>
        <v>0</v>
      </c>
      <c r="H7509" s="135" t="n">
        <f aca="false">$G7509*'Analyse capacite'!$F$8</f>
        <v>0</v>
      </c>
      <c r="I7509" s="135" t="n">
        <f aca="false">$G7509*'Analyse capacite'!$C$8</f>
        <v>0</v>
      </c>
      <c r="J7509" s="135" t="n">
        <f aca="false">$G7509*'Analyse capacite'!$D$8</f>
        <v>0</v>
      </c>
      <c r="K7509" s="135" t="n">
        <f aca="false">$G7509*'Analyse capacite'!$E$8</f>
        <v>0</v>
      </c>
    </row>
    <row r="7510" customFormat="false" ht="15" hidden="false" customHeight="false" outlineLevel="0" collapsed="false">
      <c r="B7510" s="130" t="n">
        <v>2027</v>
      </c>
      <c r="C7510" s="131" t="s">
        <v>252</v>
      </c>
      <c r="D7510" s="132" t="n">
        <v>46686</v>
      </c>
      <c r="E7510" s="131" t="s">
        <v>14</v>
      </c>
      <c r="F7510" s="133" t="s">
        <v>24</v>
      </c>
      <c r="G7510" s="134" t="n">
        <f aca="false">LEN('Saisie programme'!$E$264)+SUMIFS('Vols additionnels'!$E$7:$E$66,'Vols additionnels'!$C$7:$C$66,$E7510,'Vols additionnels'!$D$7:$D$66,$F7510,'Vols additionnels'!$B$7:$B$66,$D7510)</f>
        <v>0</v>
      </c>
      <c r="H7510" s="135" t="n">
        <f aca="false">$G7510*'Analyse capacite'!$F$9</f>
        <v>0</v>
      </c>
      <c r="I7510" s="135" t="n">
        <f aca="false">$G7510*'Analyse capacite'!$C$9</f>
        <v>0</v>
      </c>
      <c r="J7510" s="135" t="n">
        <f aca="false">$G7510*'Analyse capacite'!$D$9</f>
        <v>0</v>
      </c>
      <c r="K7510" s="135" t="n">
        <f aca="false">$G7510*'Analyse capacite'!$E$9</f>
        <v>0</v>
      </c>
    </row>
    <row r="7511" customFormat="false" ht="15" hidden="false" customHeight="false" outlineLevel="0" collapsed="false">
      <c r="B7511" s="130" t="n">
        <v>2027</v>
      </c>
      <c r="C7511" s="131" t="s">
        <v>252</v>
      </c>
      <c r="D7511" s="132" t="n">
        <v>46686</v>
      </c>
      <c r="E7511" s="131" t="s">
        <v>46</v>
      </c>
      <c r="F7511" s="133" t="s">
        <v>11</v>
      </c>
      <c r="G7511" s="134" t="n">
        <f aca="false">LEN('Saisie programme'!$E$265)+SUMIFS('Vols additionnels'!$E$7:$E$66,'Vols additionnels'!$C$7:$C$66,$E7511,'Vols additionnels'!$D$7:$D$66,$F7511,'Vols additionnels'!$B$7:$B$66,$D7511)</f>
        <v>0</v>
      </c>
      <c r="H7511" s="135" t="n">
        <f aca="false">$G7511*'Analyse capacite'!$F$7</f>
        <v>0</v>
      </c>
      <c r="I7511" s="135" t="n">
        <f aca="false">$G7511*'Analyse capacite'!$C$7</f>
        <v>0</v>
      </c>
      <c r="J7511" s="135" t="n">
        <f aca="false">$G7511*'Analyse capacite'!$D$7</f>
        <v>0</v>
      </c>
      <c r="K7511" s="135" t="n">
        <f aca="false">$G7511*'Analyse capacite'!$E$7</f>
        <v>0</v>
      </c>
    </row>
    <row r="7512" customFormat="false" ht="15" hidden="false" customHeight="false" outlineLevel="0" collapsed="false">
      <c r="B7512" s="130" t="n">
        <v>2027</v>
      </c>
      <c r="C7512" s="131" t="s">
        <v>252</v>
      </c>
      <c r="D7512" s="132" t="n">
        <v>46686</v>
      </c>
      <c r="E7512" s="131" t="s">
        <v>46</v>
      </c>
      <c r="F7512" s="133" t="s">
        <v>19</v>
      </c>
      <c r="G7512" s="134" t="n">
        <f aca="false">LEN('Saisie programme'!$E$266)+SUMIFS('Vols additionnels'!$E$7:$E$66,'Vols additionnels'!$C$7:$C$66,$E7512,'Vols additionnels'!$D$7:$D$66,$F7512,'Vols additionnels'!$B$7:$B$66,$D7512)</f>
        <v>0</v>
      </c>
      <c r="H7512" s="135" t="n">
        <f aca="false">$G7512*'Analyse capacite'!$F$8</f>
        <v>0</v>
      </c>
      <c r="I7512" s="135" t="n">
        <f aca="false">$G7512*'Analyse capacite'!$C$8</f>
        <v>0</v>
      </c>
      <c r="J7512" s="135" t="n">
        <f aca="false">$G7512*'Analyse capacite'!$D$8</f>
        <v>0</v>
      </c>
      <c r="K7512" s="135" t="n">
        <f aca="false">$G7512*'Analyse capacite'!$E$8</f>
        <v>0</v>
      </c>
    </row>
    <row r="7513" customFormat="false" ht="15" hidden="false" customHeight="false" outlineLevel="0" collapsed="false">
      <c r="B7513" s="130" t="n">
        <v>2027</v>
      </c>
      <c r="C7513" s="131" t="s">
        <v>252</v>
      </c>
      <c r="D7513" s="132" t="n">
        <v>46686</v>
      </c>
      <c r="E7513" s="131" t="s">
        <v>46</v>
      </c>
      <c r="F7513" s="133" t="s">
        <v>24</v>
      </c>
      <c r="G7513" s="134" t="n">
        <f aca="false">LEN('Saisie programme'!$E$267)+SUMIFS('Vols additionnels'!$E$7:$E$66,'Vols additionnels'!$C$7:$C$66,$E7513,'Vols additionnels'!$D$7:$D$66,$F7513,'Vols additionnels'!$B$7:$B$66,$D7513)</f>
        <v>1</v>
      </c>
      <c r="H7513" s="135" t="n">
        <f aca="false">$G7513*'Analyse capacite'!$F$9</f>
        <v>174</v>
      </c>
      <c r="I7513" s="135" t="n">
        <f aca="false">$G7513*'Analyse capacite'!$C$9</f>
        <v>0</v>
      </c>
      <c r="J7513" s="135" t="n">
        <f aca="false">$G7513*'Analyse capacite'!$D$9</f>
        <v>12</v>
      </c>
      <c r="K7513" s="135" t="n">
        <f aca="false">$G7513*'Analyse capacite'!$E$9</f>
        <v>162</v>
      </c>
    </row>
    <row r="7514" customFormat="false" ht="15" hidden="false" customHeight="false" outlineLevel="0" collapsed="false">
      <c r="B7514" s="130" t="n">
        <v>2027</v>
      </c>
      <c r="C7514" s="131" t="s">
        <v>252</v>
      </c>
      <c r="D7514" s="132" t="n">
        <v>46686</v>
      </c>
      <c r="E7514" s="131" t="s">
        <v>49</v>
      </c>
      <c r="F7514" s="133" t="s">
        <v>11</v>
      </c>
      <c r="G7514" s="134" t="n">
        <f aca="false">LEN('Saisie programme'!$E$268)+SUMIFS('Vols additionnels'!$E$7:$E$66,'Vols additionnels'!$C$7:$C$66,$E7514,'Vols additionnels'!$D$7:$D$66,$F7514,'Vols additionnels'!$B$7:$B$66,$D7514)</f>
        <v>0</v>
      </c>
      <c r="H7514" s="135" t="n">
        <f aca="false">$G7514*'Analyse capacite'!$F$7</f>
        <v>0</v>
      </c>
      <c r="I7514" s="135" t="n">
        <f aca="false">$G7514*'Analyse capacite'!$C$7</f>
        <v>0</v>
      </c>
      <c r="J7514" s="135" t="n">
        <f aca="false">$G7514*'Analyse capacite'!$D$7</f>
        <v>0</v>
      </c>
      <c r="K7514" s="135" t="n">
        <f aca="false">$G7514*'Analyse capacite'!$E$7</f>
        <v>0</v>
      </c>
    </row>
    <row r="7515" customFormat="false" ht="15" hidden="false" customHeight="false" outlineLevel="0" collapsed="false">
      <c r="B7515" s="130" t="n">
        <v>2027</v>
      </c>
      <c r="C7515" s="131" t="s">
        <v>252</v>
      </c>
      <c r="D7515" s="132" t="n">
        <v>46686</v>
      </c>
      <c r="E7515" s="131" t="s">
        <v>49</v>
      </c>
      <c r="F7515" s="133" t="s">
        <v>19</v>
      </c>
      <c r="G7515" s="134" t="n">
        <f aca="false">LEN('Saisie programme'!$E$269)+SUMIFS('Vols additionnels'!$E$7:$E$66,'Vols additionnels'!$C$7:$C$66,$E7515,'Vols additionnels'!$D$7:$D$66,$F7515,'Vols additionnels'!$B$7:$B$66,$D7515)</f>
        <v>0</v>
      </c>
      <c r="H7515" s="135" t="n">
        <f aca="false">$G7515*'Analyse capacite'!$F$8</f>
        <v>0</v>
      </c>
      <c r="I7515" s="135" t="n">
        <f aca="false">$G7515*'Analyse capacite'!$C$8</f>
        <v>0</v>
      </c>
      <c r="J7515" s="135" t="n">
        <f aca="false">$G7515*'Analyse capacite'!$D$8</f>
        <v>0</v>
      </c>
      <c r="K7515" s="135" t="n">
        <f aca="false">$G7515*'Analyse capacite'!$E$8</f>
        <v>0</v>
      </c>
    </row>
    <row r="7516" customFormat="false" ht="15" hidden="false" customHeight="false" outlineLevel="0" collapsed="false">
      <c r="B7516" s="130" t="n">
        <v>2027</v>
      </c>
      <c r="C7516" s="131" t="s">
        <v>252</v>
      </c>
      <c r="D7516" s="132" t="n">
        <v>46686</v>
      </c>
      <c r="E7516" s="131" t="s">
        <v>49</v>
      </c>
      <c r="F7516" s="133" t="s">
        <v>24</v>
      </c>
      <c r="G7516" s="134" t="n">
        <f aca="false">LEN('Saisie programme'!$E$270)+SUMIFS('Vols additionnels'!$E$7:$E$66,'Vols additionnels'!$C$7:$C$66,$E7516,'Vols additionnels'!$D$7:$D$66,$F7516,'Vols additionnels'!$B$7:$B$66,$D7516)</f>
        <v>0</v>
      </c>
      <c r="H7516" s="135" t="n">
        <f aca="false">$G7516*'Analyse capacite'!$F$9</f>
        <v>0</v>
      </c>
      <c r="I7516" s="135" t="n">
        <f aca="false">$G7516*'Analyse capacite'!$C$9</f>
        <v>0</v>
      </c>
      <c r="J7516" s="135" t="n">
        <f aca="false">$G7516*'Analyse capacite'!$D$9</f>
        <v>0</v>
      </c>
      <c r="K7516" s="135" t="n">
        <f aca="false">$G7516*'Analyse capacite'!$E$9</f>
        <v>0</v>
      </c>
    </row>
    <row r="7517" customFormat="false" ht="15" hidden="false" customHeight="false" outlineLevel="0" collapsed="false">
      <c r="B7517" s="130" t="n">
        <v>2027</v>
      </c>
      <c r="C7517" s="131" t="s">
        <v>252</v>
      </c>
      <c r="D7517" s="132" t="n">
        <v>46686</v>
      </c>
      <c r="E7517" s="131" t="s">
        <v>53</v>
      </c>
      <c r="F7517" s="133" t="s">
        <v>11</v>
      </c>
      <c r="G7517" s="134" t="n">
        <f aca="false">LEN('Saisie programme'!$E$271)+SUMIFS('Vols additionnels'!$E$7:$E$66,'Vols additionnels'!$C$7:$C$66,$E7517,'Vols additionnels'!$D$7:$D$66,$F7517,'Vols additionnels'!$B$7:$B$66,$D7517)</f>
        <v>0</v>
      </c>
      <c r="H7517" s="135" t="n">
        <f aca="false">$G7517*'Analyse capacite'!$F$7</f>
        <v>0</v>
      </c>
      <c r="I7517" s="135" t="n">
        <f aca="false">$G7517*'Analyse capacite'!$C$7</f>
        <v>0</v>
      </c>
      <c r="J7517" s="135" t="n">
        <f aca="false">$G7517*'Analyse capacite'!$D$7</f>
        <v>0</v>
      </c>
      <c r="K7517" s="135" t="n">
        <f aca="false">$G7517*'Analyse capacite'!$E$7</f>
        <v>0</v>
      </c>
    </row>
    <row r="7518" customFormat="false" ht="15" hidden="false" customHeight="false" outlineLevel="0" collapsed="false">
      <c r="B7518" s="130" t="n">
        <v>2027</v>
      </c>
      <c r="C7518" s="131" t="s">
        <v>252</v>
      </c>
      <c r="D7518" s="132" t="n">
        <v>46686</v>
      </c>
      <c r="E7518" s="131" t="s">
        <v>53</v>
      </c>
      <c r="F7518" s="133" t="s">
        <v>19</v>
      </c>
      <c r="G7518" s="134" t="n">
        <f aca="false">LEN('Saisie programme'!$E$272)+SUMIFS('Vols additionnels'!$E$7:$E$66,'Vols additionnels'!$C$7:$C$66,$E7518,'Vols additionnels'!$D$7:$D$66,$F7518,'Vols additionnels'!$B$7:$B$66,$D7518)</f>
        <v>0</v>
      </c>
      <c r="H7518" s="135" t="n">
        <f aca="false">$G7518*'Analyse capacite'!$F$8</f>
        <v>0</v>
      </c>
      <c r="I7518" s="135" t="n">
        <f aca="false">$G7518*'Analyse capacite'!$C$8</f>
        <v>0</v>
      </c>
      <c r="J7518" s="135" t="n">
        <f aca="false">$G7518*'Analyse capacite'!$D$8</f>
        <v>0</v>
      </c>
      <c r="K7518" s="135" t="n">
        <f aca="false">$G7518*'Analyse capacite'!$E$8</f>
        <v>0</v>
      </c>
    </row>
    <row r="7519" customFormat="false" ht="15" hidden="false" customHeight="false" outlineLevel="0" collapsed="false">
      <c r="B7519" s="130" t="n">
        <v>2027</v>
      </c>
      <c r="C7519" s="131" t="s">
        <v>252</v>
      </c>
      <c r="D7519" s="132" t="n">
        <v>46686</v>
      </c>
      <c r="E7519" s="131" t="s">
        <v>53</v>
      </c>
      <c r="F7519" s="133" t="s">
        <v>24</v>
      </c>
      <c r="G7519" s="134" t="n">
        <f aca="false">LEN('Saisie programme'!$E$273)+SUMIFS('Vols additionnels'!$E$7:$E$66,'Vols additionnels'!$C$7:$C$66,$E7519,'Vols additionnels'!$D$7:$D$66,$F7519,'Vols additionnels'!$B$7:$B$66,$D7519)</f>
        <v>0</v>
      </c>
      <c r="H7519" s="135" t="n">
        <f aca="false">$G7519*'Analyse capacite'!$F$9</f>
        <v>0</v>
      </c>
      <c r="I7519" s="135" t="n">
        <f aca="false">$G7519*'Analyse capacite'!$C$9</f>
        <v>0</v>
      </c>
      <c r="J7519" s="135" t="n">
        <f aca="false">$G7519*'Analyse capacite'!$D$9</f>
        <v>0</v>
      </c>
      <c r="K7519" s="135" t="n">
        <f aca="false">$G7519*'Analyse capacite'!$E$9</f>
        <v>0</v>
      </c>
    </row>
    <row r="7520" customFormat="false" ht="15" hidden="false" customHeight="false" outlineLevel="0" collapsed="false">
      <c r="B7520" s="130" t="n">
        <v>2027</v>
      </c>
      <c r="C7520" s="131" t="s">
        <v>252</v>
      </c>
      <c r="D7520" s="132" t="n">
        <v>46686</v>
      </c>
      <c r="E7520" s="131" t="s">
        <v>56</v>
      </c>
      <c r="F7520" s="133" t="s">
        <v>11</v>
      </c>
      <c r="G7520" s="134" t="n">
        <f aca="false">LEN('Saisie programme'!$E$274)+SUMIFS('Vols additionnels'!$E$7:$E$66,'Vols additionnels'!$C$7:$C$66,$E7520,'Vols additionnels'!$D$7:$D$66,$F7520,'Vols additionnels'!$B$7:$B$66,$D7520)</f>
        <v>0</v>
      </c>
      <c r="H7520" s="135" t="n">
        <f aca="false">$G7520*'Analyse capacite'!$F$7</f>
        <v>0</v>
      </c>
      <c r="I7520" s="135" t="n">
        <f aca="false">$G7520*'Analyse capacite'!$C$7</f>
        <v>0</v>
      </c>
      <c r="J7520" s="135" t="n">
        <f aca="false">$G7520*'Analyse capacite'!$D$7</f>
        <v>0</v>
      </c>
      <c r="K7520" s="135" t="n">
        <f aca="false">$G7520*'Analyse capacite'!$E$7</f>
        <v>0</v>
      </c>
    </row>
    <row r="7521" customFormat="false" ht="15" hidden="false" customHeight="false" outlineLevel="0" collapsed="false">
      <c r="B7521" s="130" t="n">
        <v>2027</v>
      </c>
      <c r="C7521" s="131" t="s">
        <v>252</v>
      </c>
      <c r="D7521" s="132" t="n">
        <v>46686</v>
      </c>
      <c r="E7521" s="131" t="s">
        <v>56</v>
      </c>
      <c r="F7521" s="133" t="s">
        <v>19</v>
      </c>
      <c r="G7521" s="134" t="n">
        <f aca="false">LEN('Saisie programme'!$E$275)+SUMIFS('Vols additionnels'!$E$7:$E$66,'Vols additionnels'!$C$7:$C$66,$E7521,'Vols additionnels'!$D$7:$D$66,$F7521,'Vols additionnels'!$B$7:$B$66,$D7521)</f>
        <v>0</v>
      </c>
      <c r="H7521" s="135" t="n">
        <f aca="false">$G7521*'Analyse capacite'!$F$8</f>
        <v>0</v>
      </c>
      <c r="I7521" s="135" t="n">
        <f aca="false">$G7521*'Analyse capacite'!$C$8</f>
        <v>0</v>
      </c>
      <c r="J7521" s="135" t="n">
        <f aca="false">$G7521*'Analyse capacite'!$D$8</f>
        <v>0</v>
      </c>
      <c r="K7521" s="135" t="n">
        <f aca="false">$G7521*'Analyse capacite'!$E$8</f>
        <v>0</v>
      </c>
    </row>
    <row r="7522" customFormat="false" ht="15" hidden="false" customHeight="false" outlineLevel="0" collapsed="false">
      <c r="B7522" s="130" t="n">
        <v>2027</v>
      </c>
      <c r="C7522" s="131" t="s">
        <v>252</v>
      </c>
      <c r="D7522" s="132" t="n">
        <v>46686</v>
      </c>
      <c r="E7522" s="131" t="s">
        <v>56</v>
      </c>
      <c r="F7522" s="133" t="s">
        <v>24</v>
      </c>
      <c r="G7522" s="134" t="n">
        <f aca="false">LEN('Saisie programme'!$E$276)+SUMIFS('Vols additionnels'!$E$7:$E$66,'Vols additionnels'!$C$7:$C$66,$E7522,'Vols additionnels'!$D$7:$D$66,$F7522,'Vols additionnels'!$B$7:$B$66,$D7522)</f>
        <v>1</v>
      </c>
      <c r="H7522" s="135" t="n">
        <f aca="false">$G7522*'Analyse capacite'!$F$9</f>
        <v>174</v>
      </c>
      <c r="I7522" s="135" t="n">
        <f aca="false">$G7522*'Analyse capacite'!$C$9</f>
        <v>0</v>
      </c>
      <c r="J7522" s="135" t="n">
        <f aca="false">$G7522*'Analyse capacite'!$D$9</f>
        <v>12</v>
      </c>
      <c r="K7522" s="135" t="n">
        <f aca="false">$G7522*'Analyse capacite'!$E$9</f>
        <v>162</v>
      </c>
    </row>
    <row r="7523" customFormat="false" ht="15" hidden="false" customHeight="false" outlineLevel="0" collapsed="false">
      <c r="B7523" s="130" t="n">
        <v>2027</v>
      </c>
      <c r="C7523" s="131" t="s">
        <v>252</v>
      </c>
      <c r="D7523" s="132" t="n">
        <v>46686</v>
      </c>
      <c r="E7523" s="131" t="s">
        <v>59</v>
      </c>
      <c r="F7523" s="133" t="s">
        <v>11</v>
      </c>
      <c r="G7523" s="134" t="n">
        <f aca="false">LEN('Saisie programme'!$E$277)+SUMIFS('Vols additionnels'!$E$7:$E$66,'Vols additionnels'!$C$7:$C$66,$E7523,'Vols additionnels'!$D$7:$D$66,$F7523,'Vols additionnels'!$B$7:$B$66,$D7523)</f>
        <v>0</v>
      </c>
      <c r="H7523" s="135" t="n">
        <f aca="false">$G7523*'Analyse capacite'!$F$7</f>
        <v>0</v>
      </c>
      <c r="I7523" s="135" t="n">
        <f aca="false">$G7523*'Analyse capacite'!$C$7</f>
        <v>0</v>
      </c>
      <c r="J7523" s="135" t="n">
        <f aca="false">$G7523*'Analyse capacite'!$D$7</f>
        <v>0</v>
      </c>
      <c r="K7523" s="135" t="n">
        <f aca="false">$G7523*'Analyse capacite'!$E$7</f>
        <v>0</v>
      </c>
    </row>
    <row r="7524" customFormat="false" ht="15" hidden="false" customHeight="false" outlineLevel="0" collapsed="false">
      <c r="B7524" s="130" t="n">
        <v>2027</v>
      </c>
      <c r="C7524" s="131" t="s">
        <v>252</v>
      </c>
      <c r="D7524" s="132" t="n">
        <v>46686</v>
      </c>
      <c r="E7524" s="131" t="s">
        <v>59</v>
      </c>
      <c r="F7524" s="133" t="s">
        <v>19</v>
      </c>
      <c r="G7524" s="134" t="n">
        <f aca="false">LEN('Saisie programme'!$E$278)+SUMIFS('Vols additionnels'!$E$7:$E$66,'Vols additionnels'!$C$7:$C$66,$E7524,'Vols additionnels'!$D$7:$D$66,$F7524,'Vols additionnels'!$B$7:$B$66,$D7524)</f>
        <v>0</v>
      </c>
      <c r="H7524" s="135" t="n">
        <f aca="false">$G7524*'Analyse capacite'!$F$8</f>
        <v>0</v>
      </c>
      <c r="I7524" s="135" t="n">
        <f aca="false">$G7524*'Analyse capacite'!$C$8</f>
        <v>0</v>
      </c>
      <c r="J7524" s="135" t="n">
        <f aca="false">$G7524*'Analyse capacite'!$D$8</f>
        <v>0</v>
      </c>
      <c r="K7524" s="135" t="n">
        <f aca="false">$G7524*'Analyse capacite'!$E$8</f>
        <v>0</v>
      </c>
    </row>
    <row r="7525" customFormat="false" ht="15" hidden="false" customHeight="false" outlineLevel="0" collapsed="false">
      <c r="B7525" s="130" t="n">
        <v>2027</v>
      </c>
      <c r="C7525" s="131" t="s">
        <v>252</v>
      </c>
      <c r="D7525" s="132" t="n">
        <v>46686</v>
      </c>
      <c r="E7525" s="131" t="s">
        <v>59</v>
      </c>
      <c r="F7525" s="133" t="s">
        <v>24</v>
      </c>
      <c r="G7525" s="134" t="n">
        <f aca="false">LEN('Saisie programme'!$E$279)+SUMIFS('Vols additionnels'!$E$7:$E$66,'Vols additionnels'!$C$7:$C$66,$E7525,'Vols additionnels'!$D$7:$D$66,$F7525,'Vols additionnels'!$B$7:$B$66,$D7525)</f>
        <v>1</v>
      </c>
      <c r="H7525" s="135" t="n">
        <f aca="false">$G7525*'Analyse capacite'!$F$9</f>
        <v>174</v>
      </c>
      <c r="I7525" s="135" t="n">
        <f aca="false">$G7525*'Analyse capacite'!$C$9</f>
        <v>0</v>
      </c>
      <c r="J7525" s="135" t="n">
        <f aca="false">$G7525*'Analyse capacite'!$D$9</f>
        <v>12</v>
      </c>
      <c r="K7525" s="135" t="n">
        <f aca="false">$G7525*'Analyse capacite'!$E$9</f>
        <v>162</v>
      </c>
    </row>
    <row r="7526" customFormat="false" ht="15" hidden="false" customHeight="false" outlineLevel="0" collapsed="false">
      <c r="B7526" s="130" t="n">
        <v>2027</v>
      </c>
      <c r="C7526" s="131" t="s">
        <v>252</v>
      </c>
      <c r="D7526" s="132" t="n">
        <v>46686</v>
      </c>
      <c r="E7526" s="131" t="s">
        <v>62</v>
      </c>
      <c r="F7526" s="133" t="s">
        <v>11</v>
      </c>
      <c r="G7526" s="134" t="n">
        <f aca="false">LEN('Saisie programme'!$E$280)+SUMIFS('Vols additionnels'!$E$7:$E$66,'Vols additionnels'!$C$7:$C$66,$E7526,'Vols additionnels'!$D$7:$D$66,$F7526,'Vols additionnels'!$B$7:$B$66,$D7526)</f>
        <v>0</v>
      </c>
      <c r="H7526" s="135" t="n">
        <f aca="false">$G7526*'Analyse capacite'!$F$7</f>
        <v>0</v>
      </c>
      <c r="I7526" s="135" t="n">
        <f aca="false">$G7526*'Analyse capacite'!$C$7</f>
        <v>0</v>
      </c>
      <c r="J7526" s="135" t="n">
        <f aca="false">$G7526*'Analyse capacite'!$D$7</f>
        <v>0</v>
      </c>
      <c r="K7526" s="135" t="n">
        <f aca="false">$G7526*'Analyse capacite'!$E$7</f>
        <v>0</v>
      </c>
    </row>
    <row r="7527" customFormat="false" ht="15" hidden="false" customHeight="false" outlineLevel="0" collapsed="false">
      <c r="B7527" s="130" t="n">
        <v>2027</v>
      </c>
      <c r="C7527" s="131" t="s">
        <v>252</v>
      </c>
      <c r="D7527" s="132" t="n">
        <v>46686</v>
      </c>
      <c r="E7527" s="131" t="s">
        <v>62</v>
      </c>
      <c r="F7527" s="133" t="s">
        <v>19</v>
      </c>
      <c r="G7527" s="134" t="n">
        <f aca="false">LEN('Saisie programme'!$E$281)+SUMIFS('Vols additionnels'!$E$7:$E$66,'Vols additionnels'!$C$7:$C$66,$E7527,'Vols additionnels'!$D$7:$D$66,$F7527,'Vols additionnels'!$B$7:$B$66,$D7527)</f>
        <v>0</v>
      </c>
      <c r="H7527" s="135" t="n">
        <f aca="false">$G7527*'Analyse capacite'!$F$8</f>
        <v>0</v>
      </c>
      <c r="I7527" s="135" t="n">
        <f aca="false">$G7527*'Analyse capacite'!$C$8</f>
        <v>0</v>
      </c>
      <c r="J7527" s="135" t="n">
        <f aca="false">$G7527*'Analyse capacite'!$D$8</f>
        <v>0</v>
      </c>
      <c r="K7527" s="135" t="n">
        <f aca="false">$G7527*'Analyse capacite'!$E$8</f>
        <v>0</v>
      </c>
    </row>
    <row r="7528" customFormat="false" ht="15" hidden="false" customHeight="false" outlineLevel="0" collapsed="false">
      <c r="B7528" s="130" t="n">
        <v>2027</v>
      </c>
      <c r="C7528" s="131" t="s">
        <v>252</v>
      </c>
      <c r="D7528" s="132" t="n">
        <v>46686</v>
      </c>
      <c r="E7528" s="131" t="s">
        <v>62</v>
      </c>
      <c r="F7528" s="133" t="s">
        <v>24</v>
      </c>
      <c r="G7528" s="134" t="n">
        <f aca="false">LEN('Saisie programme'!$E$282)+SUMIFS('Vols additionnels'!$E$7:$E$66,'Vols additionnels'!$C$7:$C$66,$E7528,'Vols additionnels'!$D$7:$D$66,$F7528,'Vols additionnels'!$B$7:$B$66,$D7528)</f>
        <v>0</v>
      </c>
      <c r="H7528" s="135" t="n">
        <f aca="false">$G7528*'Analyse capacite'!$F$9</f>
        <v>0</v>
      </c>
      <c r="I7528" s="135" t="n">
        <f aca="false">$G7528*'Analyse capacite'!$C$9</f>
        <v>0</v>
      </c>
      <c r="J7528" s="135" t="n">
        <f aca="false">$G7528*'Analyse capacite'!$D$9</f>
        <v>0</v>
      </c>
      <c r="K7528" s="135" t="n">
        <f aca="false">$G7528*'Analyse capacite'!$E$9</f>
        <v>0</v>
      </c>
    </row>
    <row r="7529" customFormat="false" ht="15" hidden="false" customHeight="false" outlineLevel="0" collapsed="false">
      <c r="B7529" s="130" t="n">
        <v>2027</v>
      </c>
      <c r="C7529" s="131" t="s">
        <v>252</v>
      </c>
      <c r="D7529" s="132" t="n">
        <v>46687</v>
      </c>
      <c r="E7529" s="131" t="s">
        <v>12</v>
      </c>
      <c r="F7529" s="133" t="s">
        <v>11</v>
      </c>
      <c r="G7529" s="134" t="n">
        <f aca="false">LEN('Saisie programme'!$F$247)+SUMIFS('Vols additionnels'!$E$7:$E$66,'Vols additionnels'!$C$7:$C$66,$E7529,'Vols additionnels'!$D$7:$D$66,$F7529,'Vols additionnels'!$B$7:$B$66,$D7529)</f>
        <v>1</v>
      </c>
      <c r="H7529" s="135" t="n">
        <f aca="false">$G7529*'Analyse capacite'!$F$7</f>
        <v>438</v>
      </c>
      <c r="I7529" s="135" t="n">
        <f aca="false">$G7529*'Analyse capacite'!$C$7</f>
        <v>14</v>
      </c>
      <c r="J7529" s="135" t="n">
        <f aca="false">$G7529*'Analyse capacite'!$D$7</f>
        <v>40</v>
      </c>
      <c r="K7529" s="135" t="n">
        <f aca="false">$G7529*'Analyse capacite'!$E$7</f>
        <v>384</v>
      </c>
    </row>
    <row r="7530" customFormat="false" ht="15" hidden="false" customHeight="false" outlineLevel="0" collapsed="false">
      <c r="B7530" s="130" t="n">
        <v>2027</v>
      </c>
      <c r="C7530" s="131" t="s">
        <v>252</v>
      </c>
      <c r="D7530" s="132" t="n">
        <v>46687</v>
      </c>
      <c r="E7530" s="131" t="s">
        <v>12</v>
      </c>
      <c r="F7530" s="133" t="s">
        <v>19</v>
      </c>
      <c r="G7530" s="134" t="n">
        <f aca="false">LEN('Saisie programme'!$F$248)+SUMIFS('Vols additionnels'!$E$7:$E$66,'Vols additionnels'!$C$7:$C$66,$E7530,'Vols additionnels'!$D$7:$D$66,$F7530,'Vols additionnels'!$B$7:$B$66,$D7530)</f>
        <v>0</v>
      </c>
      <c r="H7530" s="135" t="n">
        <f aca="false">$G7530*'Analyse capacite'!$F$8</f>
        <v>0</v>
      </c>
      <c r="I7530" s="135" t="n">
        <f aca="false">$G7530*'Analyse capacite'!$C$8</f>
        <v>0</v>
      </c>
      <c r="J7530" s="135" t="n">
        <f aca="false">$G7530*'Analyse capacite'!$D$8</f>
        <v>0</v>
      </c>
      <c r="K7530" s="135" t="n">
        <f aca="false">$G7530*'Analyse capacite'!$E$8</f>
        <v>0</v>
      </c>
    </row>
    <row r="7531" customFormat="false" ht="15" hidden="false" customHeight="false" outlineLevel="0" collapsed="false">
      <c r="B7531" s="130" t="n">
        <v>2027</v>
      </c>
      <c r="C7531" s="131" t="s">
        <v>252</v>
      </c>
      <c r="D7531" s="132" t="n">
        <v>46687</v>
      </c>
      <c r="E7531" s="131" t="s">
        <v>12</v>
      </c>
      <c r="F7531" s="133" t="s">
        <v>24</v>
      </c>
      <c r="G7531" s="134" t="n">
        <f aca="false">LEN('Saisie programme'!$F$249)+SUMIFS('Vols additionnels'!$E$7:$E$66,'Vols additionnels'!$C$7:$C$66,$E7531,'Vols additionnels'!$D$7:$D$66,$F7531,'Vols additionnels'!$B$7:$B$66,$D7531)</f>
        <v>0</v>
      </c>
      <c r="H7531" s="135" t="n">
        <f aca="false">$G7531*'Analyse capacite'!$F$9</f>
        <v>0</v>
      </c>
      <c r="I7531" s="135" t="n">
        <f aca="false">$G7531*'Analyse capacite'!$C$9</f>
        <v>0</v>
      </c>
      <c r="J7531" s="135" t="n">
        <f aca="false">$G7531*'Analyse capacite'!$D$9</f>
        <v>0</v>
      </c>
      <c r="K7531" s="135" t="n">
        <f aca="false">$G7531*'Analyse capacite'!$E$9</f>
        <v>0</v>
      </c>
    </row>
    <row r="7532" customFormat="false" ht="15" hidden="false" customHeight="false" outlineLevel="0" collapsed="false">
      <c r="B7532" s="130" t="n">
        <v>2027</v>
      </c>
      <c r="C7532" s="131" t="s">
        <v>252</v>
      </c>
      <c r="D7532" s="132" t="n">
        <v>46687</v>
      </c>
      <c r="E7532" s="131" t="s">
        <v>20</v>
      </c>
      <c r="F7532" s="133" t="s">
        <v>11</v>
      </c>
      <c r="G7532" s="134" t="n">
        <f aca="false">LEN('Saisie programme'!$F$250)+SUMIFS('Vols additionnels'!$E$7:$E$66,'Vols additionnels'!$C$7:$C$66,$E7532,'Vols additionnels'!$D$7:$D$66,$F7532,'Vols additionnels'!$B$7:$B$66,$D7532)</f>
        <v>0</v>
      </c>
      <c r="H7532" s="135" t="n">
        <f aca="false">$G7532*'Analyse capacite'!$F$7</f>
        <v>0</v>
      </c>
      <c r="I7532" s="135" t="n">
        <f aca="false">$G7532*'Analyse capacite'!$C$7</f>
        <v>0</v>
      </c>
      <c r="J7532" s="135" t="n">
        <f aca="false">$G7532*'Analyse capacite'!$D$7</f>
        <v>0</v>
      </c>
      <c r="K7532" s="135" t="n">
        <f aca="false">$G7532*'Analyse capacite'!$E$7</f>
        <v>0</v>
      </c>
    </row>
    <row r="7533" customFormat="false" ht="15" hidden="false" customHeight="false" outlineLevel="0" collapsed="false">
      <c r="B7533" s="130" t="n">
        <v>2027</v>
      </c>
      <c r="C7533" s="131" t="s">
        <v>252</v>
      </c>
      <c r="D7533" s="132" t="n">
        <v>46687</v>
      </c>
      <c r="E7533" s="131" t="s">
        <v>20</v>
      </c>
      <c r="F7533" s="133" t="s">
        <v>19</v>
      </c>
      <c r="G7533" s="134" t="n">
        <f aca="false">LEN('Saisie programme'!$F$251)+SUMIFS('Vols additionnels'!$E$7:$E$66,'Vols additionnels'!$C$7:$C$66,$E7533,'Vols additionnels'!$D$7:$D$66,$F7533,'Vols additionnels'!$B$7:$B$66,$D7533)</f>
        <v>0</v>
      </c>
      <c r="H7533" s="135" t="n">
        <f aca="false">$G7533*'Analyse capacite'!$F$8</f>
        <v>0</v>
      </c>
      <c r="I7533" s="135" t="n">
        <f aca="false">$G7533*'Analyse capacite'!$C$8</f>
        <v>0</v>
      </c>
      <c r="J7533" s="135" t="n">
        <f aca="false">$G7533*'Analyse capacite'!$D$8</f>
        <v>0</v>
      </c>
      <c r="K7533" s="135" t="n">
        <f aca="false">$G7533*'Analyse capacite'!$E$8</f>
        <v>0</v>
      </c>
    </row>
    <row r="7534" customFormat="false" ht="15" hidden="false" customHeight="false" outlineLevel="0" collapsed="false">
      <c r="B7534" s="130" t="n">
        <v>2027</v>
      </c>
      <c r="C7534" s="131" t="s">
        <v>252</v>
      </c>
      <c r="D7534" s="132" t="n">
        <v>46687</v>
      </c>
      <c r="E7534" s="131" t="s">
        <v>20</v>
      </c>
      <c r="F7534" s="133" t="s">
        <v>24</v>
      </c>
      <c r="G7534" s="134" t="n">
        <f aca="false">LEN('Saisie programme'!$F$252)+SUMIFS('Vols additionnels'!$E$7:$E$66,'Vols additionnels'!$C$7:$C$66,$E7534,'Vols additionnels'!$D$7:$D$66,$F7534,'Vols additionnels'!$B$7:$B$66,$D7534)</f>
        <v>0</v>
      </c>
      <c r="H7534" s="135" t="n">
        <f aca="false">$G7534*'Analyse capacite'!$F$9</f>
        <v>0</v>
      </c>
      <c r="I7534" s="135" t="n">
        <f aca="false">$G7534*'Analyse capacite'!$C$9</f>
        <v>0</v>
      </c>
      <c r="J7534" s="135" t="n">
        <f aca="false">$G7534*'Analyse capacite'!$D$9</f>
        <v>0</v>
      </c>
      <c r="K7534" s="135" t="n">
        <f aca="false">$G7534*'Analyse capacite'!$E$9</f>
        <v>0</v>
      </c>
    </row>
    <row r="7535" customFormat="false" ht="15" hidden="false" customHeight="false" outlineLevel="0" collapsed="false">
      <c r="B7535" s="130" t="n">
        <v>2027</v>
      </c>
      <c r="C7535" s="131" t="s">
        <v>252</v>
      </c>
      <c r="D7535" s="132" t="n">
        <v>46687</v>
      </c>
      <c r="E7535" s="131" t="s">
        <v>25</v>
      </c>
      <c r="F7535" s="133" t="s">
        <v>11</v>
      </c>
      <c r="G7535" s="134" t="n">
        <f aca="false">LEN('Saisie programme'!$F$253)+SUMIFS('Vols additionnels'!$E$7:$E$66,'Vols additionnels'!$C$7:$C$66,$E7535,'Vols additionnels'!$D$7:$D$66,$F7535,'Vols additionnels'!$B$7:$B$66,$D7535)</f>
        <v>0</v>
      </c>
      <c r="H7535" s="135" t="n">
        <f aca="false">$G7535*'Analyse capacite'!$F$7</f>
        <v>0</v>
      </c>
      <c r="I7535" s="135" t="n">
        <f aca="false">$G7535*'Analyse capacite'!$C$7</f>
        <v>0</v>
      </c>
      <c r="J7535" s="135" t="n">
        <f aca="false">$G7535*'Analyse capacite'!$D$7</f>
        <v>0</v>
      </c>
      <c r="K7535" s="135" t="n">
        <f aca="false">$G7535*'Analyse capacite'!$E$7</f>
        <v>0</v>
      </c>
    </row>
    <row r="7536" customFormat="false" ht="15" hidden="false" customHeight="false" outlineLevel="0" collapsed="false">
      <c r="B7536" s="130" t="n">
        <v>2027</v>
      </c>
      <c r="C7536" s="131" t="s">
        <v>252</v>
      </c>
      <c r="D7536" s="132" t="n">
        <v>46687</v>
      </c>
      <c r="E7536" s="131" t="s">
        <v>25</v>
      </c>
      <c r="F7536" s="133" t="s">
        <v>19</v>
      </c>
      <c r="G7536" s="134" t="n">
        <f aca="false">LEN('Saisie programme'!$F$254)+SUMIFS('Vols additionnels'!$E$7:$E$66,'Vols additionnels'!$C$7:$C$66,$E7536,'Vols additionnels'!$D$7:$D$66,$F7536,'Vols additionnels'!$B$7:$B$66,$D7536)</f>
        <v>1</v>
      </c>
      <c r="H7536" s="135" t="n">
        <f aca="false">$G7536*'Analyse capacite'!$F$8</f>
        <v>262</v>
      </c>
      <c r="I7536" s="135" t="n">
        <f aca="false">$G7536*'Analyse capacite'!$C$8</f>
        <v>18</v>
      </c>
      <c r="J7536" s="135" t="n">
        <f aca="false">$G7536*'Analyse capacite'!$D$8</f>
        <v>0</v>
      </c>
      <c r="K7536" s="135" t="n">
        <f aca="false">$G7536*'Analyse capacite'!$E$8</f>
        <v>244</v>
      </c>
    </row>
    <row r="7537" customFormat="false" ht="15" hidden="false" customHeight="false" outlineLevel="0" collapsed="false">
      <c r="B7537" s="130" t="n">
        <v>2027</v>
      </c>
      <c r="C7537" s="131" t="s">
        <v>252</v>
      </c>
      <c r="D7537" s="132" t="n">
        <v>46687</v>
      </c>
      <c r="E7537" s="131" t="s">
        <v>25</v>
      </c>
      <c r="F7537" s="133" t="s">
        <v>24</v>
      </c>
      <c r="G7537" s="134" t="n">
        <f aca="false">LEN('Saisie programme'!$F$255)+SUMIFS('Vols additionnels'!$E$7:$E$66,'Vols additionnels'!$C$7:$C$66,$E7537,'Vols additionnels'!$D$7:$D$66,$F7537,'Vols additionnels'!$B$7:$B$66,$D7537)</f>
        <v>0</v>
      </c>
      <c r="H7537" s="135" t="n">
        <f aca="false">$G7537*'Analyse capacite'!$F$9</f>
        <v>0</v>
      </c>
      <c r="I7537" s="135" t="n">
        <f aca="false">$G7537*'Analyse capacite'!$C$9</f>
        <v>0</v>
      </c>
      <c r="J7537" s="135" t="n">
        <f aca="false">$G7537*'Analyse capacite'!$D$9</f>
        <v>0</v>
      </c>
      <c r="K7537" s="135" t="n">
        <f aca="false">$G7537*'Analyse capacite'!$E$9</f>
        <v>0</v>
      </c>
    </row>
    <row r="7538" customFormat="false" ht="15" hidden="false" customHeight="false" outlineLevel="0" collapsed="false">
      <c r="B7538" s="130" t="n">
        <v>2027</v>
      </c>
      <c r="C7538" s="131" t="s">
        <v>252</v>
      </c>
      <c r="D7538" s="132" t="n">
        <v>46687</v>
      </c>
      <c r="E7538" s="131" t="s">
        <v>36</v>
      </c>
      <c r="F7538" s="133" t="s">
        <v>11</v>
      </c>
      <c r="G7538" s="134" t="n">
        <f aca="false">LEN('Saisie programme'!$F$256)+SUMIFS('Vols additionnels'!$E$7:$E$66,'Vols additionnels'!$C$7:$C$66,$E7538,'Vols additionnels'!$D$7:$D$66,$F7538,'Vols additionnels'!$B$7:$B$66,$D7538)</f>
        <v>0</v>
      </c>
      <c r="H7538" s="135" t="n">
        <f aca="false">$G7538*'Analyse capacite'!$F$7</f>
        <v>0</v>
      </c>
      <c r="I7538" s="135" t="n">
        <f aca="false">$G7538*'Analyse capacite'!$C$7</f>
        <v>0</v>
      </c>
      <c r="J7538" s="135" t="n">
        <f aca="false">$G7538*'Analyse capacite'!$D$7</f>
        <v>0</v>
      </c>
      <c r="K7538" s="135" t="n">
        <f aca="false">$G7538*'Analyse capacite'!$E$7</f>
        <v>0</v>
      </c>
    </row>
    <row r="7539" customFormat="false" ht="15" hidden="false" customHeight="false" outlineLevel="0" collapsed="false">
      <c r="B7539" s="130" t="n">
        <v>2027</v>
      </c>
      <c r="C7539" s="131" t="s">
        <v>252</v>
      </c>
      <c r="D7539" s="132" t="n">
        <v>46687</v>
      </c>
      <c r="E7539" s="131" t="s">
        <v>36</v>
      </c>
      <c r="F7539" s="133" t="s">
        <v>19</v>
      </c>
      <c r="G7539" s="134" t="n">
        <f aca="false">LEN('Saisie programme'!$F$257)+SUMIFS('Vols additionnels'!$E$7:$E$66,'Vols additionnels'!$C$7:$C$66,$E7539,'Vols additionnels'!$D$7:$D$66,$F7539,'Vols additionnels'!$B$7:$B$66,$D7539)</f>
        <v>1</v>
      </c>
      <c r="H7539" s="135" t="n">
        <f aca="false">$G7539*'Analyse capacite'!$F$8</f>
        <v>262</v>
      </c>
      <c r="I7539" s="135" t="n">
        <f aca="false">$G7539*'Analyse capacite'!$C$8</f>
        <v>18</v>
      </c>
      <c r="J7539" s="135" t="n">
        <f aca="false">$G7539*'Analyse capacite'!$D$8</f>
        <v>0</v>
      </c>
      <c r="K7539" s="135" t="n">
        <f aca="false">$G7539*'Analyse capacite'!$E$8</f>
        <v>244</v>
      </c>
    </row>
    <row r="7540" customFormat="false" ht="15" hidden="false" customHeight="false" outlineLevel="0" collapsed="false">
      <c r="B7540" s="130" t="n">
        <v>2027</v>
      </c>
      <c r="C7540" s="131" t="s">
        <v>252</v>
      </c>
      <c r="D7540" s="132" t="n">
        <v>46687</v>
      </c>
      <c r="E7540" s="131" t="s">
        <v>36</v>
      </c>
      <c r="F7540" s="133" t="s">
        <v>24</v>
      </c>
      <c r="G7540" s="134" t="n">
        <f aca="false">LEN('Saisie programme'!$F$258)+SUMIFS('Vols additionnels'!$E$7:$E$66,'Vols additionnels'!$C$7:$C$66,$E7540,'Vols additionnels'!$D$7:$D$66,$F7540,'Vols additionnels'!$B$7:$B$66,$D7540)</f>
        <v>1</v>
      </c>
      <c r="H7540" s="135" t="n">
        <f aca="false">$G7540*'Analyse capacite'!$F$9</f>
        <v>174</v>
      </c>
      <c r="I7540" s="135" t="n">
        <f aca="false">$G7540*'Analyse capacite'!$C$9</f>
        <v>0</v>
      </c>
      <c r="J7540" s="135" t="n">
        <f aca="false">$G7540*'Analyse capacite'!$D$9</f>
        <v>12</v>
      </c>
      <c r="K7540" s="135" t="n">
        <f aca="false">$G7540*'Analyse capacite'!$E$9</f>
        <v>162</v>
      </c>
    </row>
    <row r="7541" customFormat="false" ht="15" hidden="false" customHeight="false" outlineLevel="0" collapsed="false">
      <c r="B7541" s="130" t="n">
        <v>2027</v>
      </c>
      <c r="C7541" s="131" t="s">
        <v>252</v>
      </c>
      <c r="D7541" s="132" t="n">
        <v>46687</v>
      </c>
      <c r="E7541" s="131" t="s">
        <v>40</v>
      </c>
      <c r="F7541" s="133" t="s">
        <v>11</v>
      </c>
      <c r="G7541" s="134" t="n">
        <f aca="false">LEN('Saisie programme'!$F$259)+SUMIFS('Vols additionnels'!$E$7:$E$66,'Vols additionnels'!$C$7:$C$66,$E7541,'Vols additionnels'!$D$7:$D$66,$F7541,'Vols additionnels'!$B$7:$B$66,$D7541)</f>
        <v>0</v>
      </c>
      <c r="H7541" s="135" t="n">
        <f aca="false">$G7541*'Analyse capacite'!$F$7</f>
        <v>0</v>
      </c>
      <c r="I7541" s="135" t="n">
        <f aca="false">$G7541*'Analyse capacite'!$C$7</f>
        <v>0</v>
      </c>
      <c r="J7541" s="135" t="n">
        <f aca="false">$G7541*'Analyse capacite'!$D$7</f>
        <v>0</v>
      </c>
      <c r="K7541" s="135" t="n">
        <f aca="false">$G7541*'Analyse capacite'!$E$7</f>
        <v>0</v>
      </c>
    </row>
    <row r="7542" customFormat="false" ht="15" hidden="false" customHeight="false" outlineLevel="0" collapsed="false">
      <c r="B7542" s="130" t="n">
        <v>2027</v>
      </c>
      <c r="C7542" s="131" t="s">
        <v>252</v>
      </c>
      <c r="D7542" s="132" t="n">
        <v>46687</v>
      </c>
      <c r="E7542" s="131" t="s">
        <v>40</v>
      </c>
      <c r="F7542" s="133" t="s">
        <v>19</v>
      </c>
      <c r="G7542" s="134" t="n">
        <f aca="false">LEN('Saisie programme'!$F$260)+SUMIFS('Vols additionnels'!$E$7:$E$66,'Vols additionnels'!$C$7:$C$66,$E7542,'Vols additionnels'!$D$7:$D$66,$F7542,'Vols additionnels'!$B$7:$B$66,$D7542)</f>
        <v>0</v>
      </c>
      <c r="H7542" s="135" t="n">
        <f aca="false">$G7542*'Analyse capacite'!$F$8</f>
        <v>0</v>
      </c>
      <c r="I7542" s="135" t="n">
        <f aca="false">$G7542*'Analyse capacite'!$C$8</f>
        <v>0</v>
      </c>
      <c r="J7542" s="135" t="n">
        <f aca="false">$G7542*'Analyse capacite'!$D$8</f>
        <v>0</v>
      </c>
      <c r="K7542" s="135" t="n">
        <f aca="false">$G7542*'Analyse capacite'!$E$8</f>
        <v>0</v>
      </c>
    </row>
    <row r="7543" customFormat="false" ht="15" hidden="false" customHeight="false" outlineLevel="0" collapsed="false">
      <c r="B7543" s="130" t="n">
        <v>2027</v>
      </c>
      <c r="C7543" s="131" t="s">
        <v>252</v>
      </c>
      <c r="D7543" s="132" t="n">
        <v>46687</v>
      </c>
      <c r="E7543" s="131" t="s">
        <v>40</v>
      </c>
      <c r="F7543" s="133" t="s">
        <v>24</v>
      </c>
      <c r="G7543" s="134" t="n">
        <f aca="false">LEN('Saisie programme'!$F$261)+SUMIFS('Vols additionnels'!$E$7:$E$66,'Vols additionnels'!$C$7:$C$66,$E7543,'Vols additionnels'!$D$7:$D$66,$F7543,'Vols additionnels'!$B$7:$B$66,$D7543)</f>
        <v>1</v>
      </c>
      <c r="H7543" s="135" t="n">
        <f aca="false">$G7543*'Analyse capacite'!$F$9</f>
        <v>174</v>
      </c>
      <c r="I7543" s="135" t="n">
        <f aca="false">$G7543*'Analyse capacite'!$C$9</f>
        <v>0</v>
      </c>
      <c r="J7543" s="135" t="n">
        <f aca="false">$G7543*'Analyse capacite'!$D$9</f>
        <v>12</v>
      </c>
      <c r="K7543" s="135" t="n">
        <f aca="false">$G7543*'Analyse capacite'!$E$9</f>
        <v>162</v>
      </c>
    </row>
    <row r="7544" customFormat="false" ht="15" hidden="false" customHeight="false" outlineLevel="0" collapsed="false">
      <c r="B7544" s="130" t="n">
        <v>2027</v>
      </c>
      <c r="C7544" s="131" t="s">
        <v>252</v>
      </c>
      <c r="D7544" s="132" t="n">
        <v>46687</v>
      </c>
      <c r="E7544" s="131" t="s">
        <v>14</v>
      </c>
      <c r="F7544" s="133" t="s">
        <v>11</v>
      </c>
      <c r="G7544" s="134" t="n">
        <f aca="false">LEN('Saisie programme'!$F$262)+SUMIFS('Vols additionnels'!$E$7:$E$66,'Vols additionnels'!$C$7:$C$66,$E7544,'Vols additionnels'!$D$7:$D$66,$F7544,'Vols additionnels'!$B$7:$B$66,$D7544)</f>
        <v>0</v>
      </c>
      <c r="H7544" s="135" t="n">
        <f aca="false">$G7544*'Analyse capacite'!$F$7</f>
        <v>0</v>
      </c>
      <c r="I7544" s="135" t="n">
        <f aca="false">$G7544*'Analyse capacite'!$C$7</f>
        <v>0</v>
      </c>
      <c r="J7544" s="135" t="n">
        <f aca="false">$G7544*'Analyse capacite'!$D$7</f>
        <v>0</v>
      </c>
      <c r="K7544" s="135" t="n">
        <f aca="false">$G7544*'Analyse capacite'!$E$7</f>
        <v>0</v>
      </c>
    </row>
    <row r="7545" customFormat="false" ht="15" hidden="false" customHeight="false" outlineLevel="0" collapsed="false">
      <c r="B7545" s="130" t="n">
        <v>2027</v>
      </c>
      <c r="C7545" s="131" t="s">
        <v>252</v>
      </c>
      <c r="D7545" s="132" t="n">
        <v>46687</v>
      </c>
      <c r="E7545" s="131" t="s">
        <v>14</v>
      </c>
      <c r="F7545" s="133" t="s">
        <v>19</v>
      </c>
      <c r="G7545" s="134" t="n">
        <f aca="false">LEN('Saisie programme'!$F$263)+SUMIFS('Vols additionnels'!$E$7:$E$66,'Vols additionnels'!$C$7:$C$66,$E7545,'Vols additionnels'!$D$7:$D$66,$F7545,'Vols additionnels'!$B$7:$B$66,$D7545)</f>
        <v>0</v>
      </c>
      <c r="H7545" s="135" t="n">
        <f aca="false">$G7545*'Analyse capacite'!$F$8</f>
        <v>0</v>
      </c>
      <c r="I7545" s="135" t="n">
        <f aca="false">$G7545*'Analyse capacite'!$C$8</f>
        <v>0</v>
      </c>
      <c r="J7545" s="135" t="n">
        <f aca="false">$G7545*'Analyse capacite'!$D$8</f>
        <v>0</v>
      </c>
      <c r="K7545" s="135" t="n">
        <f aca="false">$G7545*'Analyse capacite'!$E$8</f>
        <v>0</v>
      </c>
    </row>
    <row r="7546" customFormat="false" ht="15" hidden="false" customHeight="false" outlineLevel="0" collapsed="false">
      <c r="B7546" s="130" t="n">
        <v>2027</v>
      </c>
      <c r="C7546" s="131" t="s">
        <v>252</v>
      </c>
      <c r="D7546" s="132" t="n">
        <v>46687</v>
      </c>
      <c r="E7546" s="131" t="s">
        <v>14</v>
      </c>
      <c r="F7546" s="133" t="s">
        <v>24</v>
      </c>
      <c r="G7546" s="134" t="n">
        <f aca="false">LEN('Saisie programme'!$F$264)+SUMIFS('Vols additionnels'!$E$7:$E$66,'Vols additionnels'!$C$7:$C$66,$E7546,'Vols additionnels'!$D$7:$D$66,$F7546,'Vols additionnels'!$B$7:$B$66,$D7546)</f>
        <v>0</v>
      </c>
      <c r="H7546" s="135" t="n">
        <f aca="false">$G7546*'Analyse capacite'!$F$9</f>
        <v>0</v>
      </c>
      <c r="I7546" s="135" t="n">
        <f aca="false">$G7546*'Analyse capacite'!$C$9</f>
        <v>0</v>
      </c>
      <c r="J7546" s="135" t="n">
        <f aca="false">$G7546*'Analyse capacite'!$D$9</f>
        <v>0</v>
      </c>
      <c r="K7546" s="135" t="n">
        <f aca="false">$G7546*'Analyse capacite'!$E$9</f>
        <v>0</v>
      </c>
    </row>
    <row r="7547" customFormat="false" ht="15" hidden="false" customHeight="false" outlineLevel="0" collapsed="false">
      <c r="B7547" s="130" t="n">
        <v>2027</v>
      </c>
      <c r="C7547" s="131" t="s">
        <v>252</v>
      </c>
      <c r="D7547" s="132" t="n">
        <v>46687</v>
      </c>
      <c r="E7547" s="131" t="s">
        <v>46</v>
      </c>
      <c r="F7547" s="133" t="s">
        <v>11</v>
      </c>
      <c r="G7547" s="134" t="n">
        <f aca="false">LEN('Saisie programme'!$F$265)+SUMIFS('Vols additionnels'!$E$7:$E$66,'Vols additionnels'!$C$7:$C$66,$E7547,'Vols additionnels'!$D$7:$D$66,$F7547,'Vols additionnels'!$B$7:$B$66,$D7547)</f>
        <v>0</v>
      </c>
      <c r="H7547" s="135" t="n">
        <f aca="false">$G7547*'Analyse capacite'!$F$7</f>
        <v>0</v>
      </c>
      <c r="I7547" s="135" t="n">
        <f aca="false">$G7547*'Analyse capacite'!$C$7</f>
        <v>0</v>
      </c>
      <c r="J7547" s="135" t="n">
        <f aca="false">$G7547*'Analyse capacite'!$D$7</f>
        <v>0</v>
      </c>
      <c r="K7547" s="135" t="n">
        <f aca="false">$G7547*'Analyse capacite'!$E$7</f>
        <v>0</v>
      </c>
    </row>
    <row r="7548" customFormat="false" ht="15" hidden="false" customHeight="false" outlineLevel="0" collapsed="false">
      <c r="B7548" s="130" t="n">
        <v>2027</v>
      </c>
      <c r="C7548" s="131" t="s">
        <v>252</v>
      </c>
      <c r="D7548" s="132" t="n">
        <v>46687</v>
      </c>
      <c r="E7548" s="131" t="s">
        <v>46</v>
      </c>
      <c r="F7548" s="133" t="s">
        <v>19</v>
      </c>
      <c r="G7548" s="134" t="n">
        <f aca="false">LEN('Saisie programme'!$F$266)+SUMIFS('Vols additionnels'!$E$7:$E$66,'Vols additionnels'!$C$7:$C$66,$E7548,'Vols additionnels'!$D$7:$D$66,$F7548,'Vols additionnels'!$B$7:$B$66,$D7548)</f>
        <v>0</v>
      </c>
      <c r="H7548" s="135" t="n">
        <f aca="false">$G7548*'Analyse capacite'!$F$8</f>
        <v>0</v>
      </c>
      <c r="I7548" s="135" t="n">
        <f aca="false">$G7548*'Analyse capacite'!$C$8</f>
        <v>0</v>
      </c>
      <c r="J7548" s="135" t="n">
        <f aca="false">$G7548*'Analyse capacite'!$D$8</f>
        <v>0</v>
      </c>
      <c r="K7548" s="135" t="n">
        <f aca="false">$G7548*'Analyse capacite'!$E$8</f>
        <v>0</v>
      </c>
    </row>
    <row r="7549" customFormat="false" ht="15" hidden="false" customHeight="false" outlineLevel="0" collapsed="false">
      <c r="B7549" s="130" t="n">
        <v>2027</v>
      </c>
      <c r="C7549" s="131" t="s">
        <v>252</v>
      </c>
      <c r="D7549" s="132" t="n">
        <v>46687</v>
      </c>
      <c r="E7549" s="131" t="s">
        <v>46</v>
      </c>
      <c r="F7549" s="133" t="s">
        <v>24</v>
      </c>
      <c r="G7549" s="134" t="n">
        <f aca="false">LEN('Saisie programme'!$F$267)+SUMIFS('Vols additionnels'!$E$7:$E$66,'Vols additionnels'!$C$7:$C$66,$E7549,'Vols additionnels'!$D$7:$D$66,$F7549,'Vols additionnels'!$B$7:$B$66,$D7549)</f>
        <v>0</v>
      </c>
      <c r="H7549" s="135" t="n">
        <f aca="false">$G7549*'Analyse capacite'!$F$9</f>
        <v>0</v>
      </c>
      <c r="I7549" s="135" t="n">
        <f aca="false">$G7549*'Analyse capacite'!$C$9</f>
        <v>0</v>
      </c>
      <c r="J7549" s="135" t="n">
        <f aca="false">$G7549*'Analyse capacite'!$D$9</f>
        <v>0</v>
      </c>
      <c r="K7549" s="135" t="n">
        <f aca="false">$G7549*'Analyse capacite'!$E$9</f>
        <v>0</v>
      </c>
    </row>
    <row r="7550" customFormat="false" ht="15" hidden="false" customHeight="false" outlineLevel="0" collapsed="false">
      <c r="B7550" s="130" t="n">
        <v>2027</v>
      </c>
      <c r="C7550" s="131" t="s">
        <v>252</v>
      </c>
      <c r="D7550" s="132" t="n">
        <v>46687</v>
      </c>
      <c r="E7550" s="131" t="s">
        <v>49</v>
      </c>
      <c r="F7550" s="133" t="s">
        <v>11</v>
      </c>
      <c r="G7550" s="134" t="n">
        <f aca="false">LEN('Saisie programme'!$F$268)+SUMIFS('Vols additionnels'!$E$7:$E$66,'Vols additionnels'!$C$7:$C$66,$E7550,'Vols additionnels'!$D$7:$D$66,$F7550,'Vols additionnels'!$B$7:$B$66,$D7550)</f>
        <v>0</v>
      </c>
      <c r="H7550" s="135" t="n">
        <f aca="false">$G7550*'Analyse capacite'!$F$7</f>
        <v>0</v>
      </c>
      <c r="I7550" s="135" t="n">
        <f aca="false">$G7550*'Analyse capacite'!$C$7</f>
        <v>0</v>
      </c>
      <c r="J7550" s="135" t="n">
        <f aca="false">$G7550*'Analyse capacite'!$D$7</f>
        <v>0</v>
      </c>
      <c r="K7550" s="135" t="n">
        <f aca="false">$G7550*'Analyse capacite'!$E$7</f>
        <v>0</v>
      </c>
    </row>
    <row r="7551" customFormat="false" ht="15" hidden="false" customHeight="false" outlineLevel="0" collapsed="false">
      <c r="B7551" s="130" t="n">
        <v>2027</v>
      </c>
      <c r="C7551" s="131" t="s">
        <v>252</v>
      </c>
      <c r="D7551" s="132" t="n">
        <v>46687</v>
      </c>
      <c r="E7551" s="131" t="s">
        <v>49</v>
      </c>
      <c r="F7551" s="133" t="s">
        <v>19</v>
      </c>
      <c r="G7551" s="134" t="n">
        <f aca="false">LEN('Saisie programme'!$F$269)+SUMIFS('Vols additionnels'!$E$7:$E$66,'Vols additionnels'!$C$7:$C$66,$E7551,'Vols additionnels'!$D$7:$D$66,$F7551,'Vols additionnels'!$B$7:$B$66,$D7551)</f>
        <v>0</v>
      </c>
      <c r="H7551" s="135" t="n">
        <f aca="false">$G7551*'Analyse capacite'!$F$8</f>
        <v>0</v>
      </c>
      <c r="I7551" s="135" t="n">
        <f aca="false">$G7551*'Analyse capacite'!$C$8</f>
        <v>0</v>
      </c>
      <c r="J7551" s="135" t="n">
        <f aca="false">$G7551*'Analyse capacite'!$D$8</f>
        <v>0</v>
      </c>
      <c r="K7551" s="135" t="n">
        <f aca="false">$G7551*'Analyse capacite'!$E$8</f>
        <v>0</v>
      </c>
    </row>
    <row r="7552" customFormat="false" ht="15" hidden="false" customHeight="false" outlineLevel="0" collapsed="false">
      <c r="B7552" s="130" t="n">
        <v>2027</v>
      </c>
      <c r="C7552" s="131" t="s">
        <v>252</v>
      </c>
      <c r="D7552" s="132" t="n">
        <v>46687</v>
      </c>
      <c r="E7552" s="131" t="s">
        <v>49</v>
      </c>
      <c r="F7552" s="133" t="s">
        <v>24</v>
      </c>
      <c r="G7552" s="134" t="n">
        <f aca="false">LEN('Saisie programme'!$F$270)+SUMIFS('Vols additionnels'!$E$7:$E$66,'Vols additionnels'!$C$7:$C$66,$E7552,'Vols additionnels'!$D$7:$D$66,$F7552,'Vols additionnels'!$B$7:$B$66,$D7552)</f>
        <v>0</v>
      </c>
      <c r="H7552" s="135" t="n">
        <f aca="false">$G7552*'Analyse capacite'!$F$9</f>
        <v>0</v>
      </c>
      <c r="I7552" s="135" t="n">
        <f aca="false">$G7552*'Analyse capacite'!$C$9</f>
        <v>0</v>
      </c>
      <c r="J7552" s="135" t="n">
        <f aca="false">$G7552*'Analyse capacite'!$D$9</f>
        <v>0</v>
      </c>
      <c r="K7552" s="135" t="n">
        <f aca="false">$G7552*'Analyse capacite'!$E$9</f>
        <v>0</v>
      </c>
    </row>
    <row r="7553" customFormat="false" ht="15" hidden="false" customHeight="false" outlineLevel="0" collapsed="false">
      <c r="B7553" s="130" t="n">
        <v>2027</v>
      </c>
      <c r="C7553" s="131" t="s">
        <v>252</v>
      </c>
      <c r="D7553" s="132" t="n">
        <v>46687</v>
      </c>
      <c r="E7553" s="131" t="s">
        <v>53</v>
      </c>
      <c r="F7553" s="133" t="s">
        <v>11</v>
      </c>
      <c r="G7553" s="134" t="n">
        <f aca="false">LEN('Saisie programme'!$F$271)+SUMIFS('Vols additionnels'!$E$7:$E$66,'Vols additionnels'!$C$7:$C$66,$E7553,'Vols additionnels'!$D$7:$D$66,$F7553,'Vols additionnels'!$B$7:$B$66,$D7553)</f>
        <v>0</v>
      </c>
      <c r="H7553" s="135" t="n">
        <f aca="false">$G7553*'Analyse capacite'!$F$7</f>
        <v>0</v>
      </c>
      <c r="I7553" s="135" t="n">
        <f aca="false">$G7553*'Analyse capacite'!$C$7</f>
        <v>0</v>
      </c>
      <c r="J7553" s="135" t="n">
        <f aca="false">$G7553*'Analyse capacite'!$D$7</f>
        <v>0</v>
      </c>
      <c r="K7553" s="135" t="n">
        <f aca="false">$G7553*'Analyse capacite'!$E$7</f>
        <v>0</v>
      </c>
    </row>
    <row r="7554" customFormat="false" ht="15" hidden="false" customHeight="false" outlineLevel="0" collapsed="false">
      <c r="B7554" s="130" t="n">
        <v>2027</v>
      </c>
      <c r="C7554" s="131" t="s">
        <v>252</v>
      </c>
      <c r="D7554" s="132" t="n">
        <v>46687</v>
      </c>
      <c r="E7554" s="131" t="s">
        <v>53</v>
      </c>
      <c r="F7554" s="133" t="s">
        <v>19</v>
      </c>
      <c r="G7554" s="134" t="n">
        <f aca="false">LEN('Saisie programme'!$F$272)+SUMIFS('Vols additionnels'!$E$7:$E$66,'Vols additionnels'!$C$7:$C$66,$E7554,'Vols additionnels'!$D$7:$D$66,$F7554,'Vols additionnels'!$B$7:$B$66,$D7554)</f>
        <v>0</v>
      </c>
      <c r="H7554" s="135" t="n">
        <f aca="false">$G7554*'Analyse capacite'!$F$8</f>
        <v>0</v>
      </c>
      <c r="I7554" s="135" t="n">
        <f aca="false">$G7554*'Analyse capacite'!$C$8</f>
        <v>0</v>
      </c>
      <c r="J7554" s="135" t="n">
        <f aca="false">$G7554*'Analyse capacite'!$D$8</f>
        <v>0</v>
      </c>
      <c r="K7554" s="135" t="n">
        <f aca="false">$G7554*'Analyse capacite'!$E$8</f>
        <v>0</v>
      </c>
    </row>
    <row r="7555" customFormat="false" ht="15" hidden="false" customHeight="false" outlineLevel="0" collapsed="false">
      <c r="B7555" s="130" t="n">
        <v>2027</v>
      </c>
      <c r="C7555" s="131" t="s">
        <v>252</v>
      </c>
      <c r="D7555" s="132" t="n">
        <v>46687</v>
      </c>
      <c r="E7555" s="131" t="s">
        <v>53</v>
      </c>
      <c r="F7555" s="133" t="s">
        <v>24</v>
      </c>
      <c r="G7555" s="134" t="n">
        <f aca="false">LEN('Saisie programme'!$F$273)+SUMIFS('Vols additionnels'!$E$7:$E$66,'Vols additionnels'!$C$7:$C$66,$E7555,'Vols additionnels'!$D$7:$D$66,$F7555,'Vols additionnels'!$B$7:$B$66,$D7555)</f>
        <v>0</v>
      </c>
      <c r="H7555" s="135" t="n">
        <f aca="false">$G7555*'Analyse capacite'!$F$9</f>
        <v>0</v>
      </c>
      <c r="I7555" s="135" t="n">
        <f aca="false">$G7555*'Analyse capacite'!$C$9</f>
        <v>0</v>
      </c>
      <c r="J7555" s="135" t="n">
        <f aca="false">$G7555*'Analyse capacite'!$D$9</f>
        <v>0</v>
      </c>
      <c r="K7555" s="135" t="n">
        <f aca="false">$G7555*'Analyse capacite'!$E$9</f>
        <v>0</v>
      </c>
    </row>
    <row r="7556" customFormat="false" ht="15" hidden="false" customHeight="false" outlineLevel="0" collapsed="false">
      <c r="B7556" s="130" t="n">
        <v>2027</v>
      </c>
      <c r="C7556" s="131" t="s">
        <v>252</v>
      </c>
      <c r="D7556" s="132" t="n">
        <v>46687</v>
      </c>
      <c r="E7556" s="131" t="s">
        <v>56</v>
      </c>
      <c r="F7556" s="133" t="s">
        <v>11</v>
      </c>
      <c r="G7556" s="134" t="n">
        <f aca="false">LEN('Saisie programme'!$F$274)+SUMIFS('Vols additionnels'!$E$7:$E$66,'Vols additionnels'!$C$7:$C$66,$E7556,'Vols additionnels'!$D$7:$D$66,$F7556,'Vols additionnels'!$B$7:$B$66,$D7556)</f>
        <v>0</v>
      </c>
      <c r="H7556" s="135" t="n">
        <f aca="false">$G7556*'Analyse capacite'!$F$7</f>
        <v>0</v>
      </c>
      <c r="I7556" s="135" t="n">
        <f aca="false">$G7556*'Analyse capacite'!$C$7</f>
        <v>0</v>
      </c>
      <c r="J7556" s="135" t="n">
        <f aca="false">$G7556*'Analyse capacite'!$D$7</f>
        <v>0</v>
      </c>
      <c r="K7556" s="135" t="n">
        <f aca="false">$G7556*'Analyse capacite'!$E$7</f>
        <v>0</v>
      </c>
    </row>
    <row r="7557" customFormat="false" ht="15" hidden="false" customHeight="false" outlineLevel="0" collapsed="false">
      <c r="B7557" s="130" t="n">
        <v>2027</v>
      </c>
      <c r="C7557" s="131" t="s">
        <v>252</v>
      </c>
      <c r="D7557" s="132" t="n">
        <v>46687</v>
      </c>
      <c r="E7557" s="131" t="s">
        <v>56</v>
      </c>
      <c r="F7557" s="133" t="s">
        <v>19</v>
      </c>
      <c r="G7557" s="134" t="n">
        <f aca="false">LEN('Saisie programme'!$F$275)+SUMIFS('Vols additionnels'!$E$7:$E$66,'Vols additionnels'!$C$7:$C$66,$E7557,'Vols additionnels'!$D$7:$D$66,$F7557,'Vols additionnels'!$B$7:$B$66,$D7557)</f>
        <v>0</v>
      </c>
      <c r="H7557" s="135" t="n">
        <f aca="false">$G7557*'Analyse capacite'!$F$8</f>
        <v>0</v>
      </c>
      <c r="I7557" s="135" t="n">
        <f aca="false">$G7557*'Analyse capacite'!$C$8</f>
        <v>0</v>
      </c>
      <c r="J7557" s="135" t="n">
        <f aca="false">$G7557*'Analyse capacite'!$D$8</f>
        <v>0</v>
      </c>
      <c r="K7557" s="135" t="n">
        <f aca="false">$G7557*'Analyse capacite'!$E$8</f>
        <v>0</v>
      </c>
    </row>
    <row r="7558" customFormat="false" ht="15" hidden="false" customHeight="false" outlineLevel="0" collapsed="false">
      <c r="B7558" s="130" t="n">
        <v>2027</v>
      </c>
      <c r="C7558" s="131" t="s">
        <v>252</v>
      </c>
      <c r="D7558" s="132" t="n">
        <v>46687</v>
      </c>
      <c r="E7558" s="131" t="s">
        <v>56</v>
      </c>
      <c r="F7558" s="133" t="s">
        <v>24</v>
      </c>
      <c r="G7558" s="134" t="n">
        <f aca="false">LEN('Saisie programme'!$F$276)+SUMIFS('Vols additionnels'!$E$7:$E$66,'Vols additionnels'!$C$7:$C$66,$E7558,'Vols additionnels'!$D$7:$D$66,$F7558,'Vols additionnels'!$B$7:$B$66,$D7558)</f>
        <v>0</v>
      </c>
      <c r="H7558" s="135" t="n">
        <f aca="false">$G7558*'Analyse capacite'!$F$9</f>
        <v>0</v>
      </c>
      <c r="I7558" s="135" t="n">
        <f aca="false">$G7558*'Analyse capacite'!$C$9</f>
        <v>0</v>
      </c>
      <c r="J7558" s="135" t="n">
        <f aca="false">$G7558*'Analyse capacite'!$D$9</f>
        <v>0</v>
      </c>
      <c r="K7558" s="135" t="n">
        <f aca="false">$G7558*'Analyse capacite'!$E$9</f>
        <v>0</v>
      </c>
    </row>
    <row r="7559" customFormat="false" ht="15" hidden="false" customHeight="false" outlineLevel="0" collapsed="false">
      <c r="B7559" s="130" t="n">
        <v>2027</v>
      </c>
      <c r="C7559" s="131" t="s">
        <v>252</v>
      </c>
      <c r="D7559" s="132" t="n">
        <v>46687</v>
      </c>
      <c r="E7559" s="131" t="s">
        <v>59</v>
      </c>
      <c r="F7559" s="133" t="s">
        <v>11</v>
      </c>
      <c r="G7559" s="134" t="n">
        <f aca="false">LEN('Saisie programme'!$F$277)+SUMIFS('Vols additionnels'!$E$7:$E$66,'Vols additionnels'!$C$7:$C$66,$E7559,'Vols additionnels'!$D$7:$D$66,$F7559,'Vols additionnels'!$B$7:$B$66,$D7559)</f>
        <v>0</v>
      </c>
      <c r="H7559" s="135" t="n">
        <f aca="false">$G7559*'Analyse capacite'!$F$7</f>
        <v>0</v>
      </c>
      <c r="I7559" s="135" t="n">
        <f aca="false">$G7559*'Analyse capacite'!$C$7</f>
        <v>0</v>
      </c>
      <c r="J7559" s="135" t="n">
        <f aca="false">$G7559*'Analyse capacite'!$D$7</f>
        <v>0</v>
      </c>
      <c r="K7559" s="135" t="n">
        <f aca="false">$G7559*'Analyse capacite'!$E$7</f>
        <v>0</v>
      </c>
    </row>
    <row r="7560" customFormat="false" ht="15" hidden="false" customHeight="false" outlineLevel="0" collapsed="false">
      <c r="B7560" s="130" t="n">
        <v>2027</v>
      </c>
      <c r="C7560" s="131" t="s">
        <v>252</v>
      </c>
      <c r="D7560" s="132" t="n">
        <v>46687</v>
      </c>
      <c r="E7560" s="131" t="s">
        <v>59</v>
      </c>
      <c r="F7560" s="133" t="s">
        <v>19</v>
      </c>
      <c r="G7560" s="134" t="n">
        <f aca="false">LEN('Saisie programme'!$F$278)+SUMIFS('Vols additionnels'!$E$7:$E$66,'Vols additionnels'!$C$7:$C$66,$E7560,'Vols additionnels'!$D$7:$D$66,$F7560,'Vols additionnels'!$B$7:$B$66,$D7560)</f>
        <v>0</v>
      </c>
      <c r="H7560" s="135" t="n">
        <f aca="false">$G7560*'Analyse capacite'!$F$8</f>
        <v>0</v>
      </c>
      <c r="I7560" s="135" t="n">
        <f aca="false">$G7560*'Analyse capacite'!$C$8</f>
        <v>0</v>
      </c>
      <c r="J7560" s="135" t="n">
        <f aca="false">$G7560*'Analyse capacite'!$D$8</f>
        <v>0</v>
      </c>
      <c r="K7560" s="135" t="n">
        <f aca="false">$G7560*'Analyse capacite'!$E$8</f>
        <v>0</v>
      </c>
    </row>
    <row r="7561" customFormat="false" ht="15" hidden="false" customHeight="false" outlineLevel="0" collapsed="false">
      <c r="B7561" s="130" t="n">
        <v>2027</v>
      </c>
      <c r="C7561" s="131" t="s">
        <v>252</v>
      </c>
      <c r="D7561" s="132" t="n">
        <v>46687</v>
      </c>
      <c r="E7561" s="131" t="s">
        <v>59</v>
      </c>
      <c r="F7561" s="133" t="s">
        <v>24</v>
      </c>
      <c r="G7561" s="134" t="n">
        <f aca="false">LEN('Saisie programme'!$F$279)+SUMIFS('Vols additionnels'!$E$7:$E$66,'Vols additionnels'!$C$7:$C$66,$E7561,'Vols additionnels'!$D$7:$D$66,$F7561,'Vols additionnels'!$B$7:$B$66,$D7561)</f>
        <v>1</v>
      </c>
      <c r="H7561" s="135" t="n">
        <f aca="false">$G7561*'Analyse capacite'!$F$9</f>
        <v>174</v>
      </c>
      <c r="I7561" s="135" t="n">
        <f aca="false">$G7561*'Analyse capacite'!$C$9</f>
        <v>0</v>
      </c>
      <c r="J7561" s="135" t="n">
        <f aca="false">$G7561*'Analyse capacite'!$D$9</f>
        <v>12</v>
      </c>
      <c r="K7561" s="135" t="n">
        <f aca="false">$G7561*'Analyse capacite'!$E$9</f>
        <v>162</v>
      </c>
    </row>
    <row r="7562" customFormat="false" ht="15" hidden="false" customHeight="false" outlineLevel="0" collapsed="false">
      <c r="B7562" s="130" t="n">
        <v>2027</v>
      </c>
      <c r="C7562" s="131" t="s">
        <v>252</v>
      </c>
      <c r="D7562" s="132" t="n">
        <v>46687</v>
      </c>
      <c r="E7562" s="131" t="s">
        <v>62</v>
      </c>
      <c r="F7562" s="133" t="s">
        <v>11</v>
      </c>
      <c r="G7562" s="134" t="n">
        <f aca="false">LEN('Saisie programme'!$F$280)+SUMIFS('Vols additionnels'!$E$7:$E$66,'Vols additionnels'!$C$7:$C$66,$E7562,'Vols additionnels'!$D$7:$D$66,$F7562,'Vols additionnels'!$B$7:$B$66,$D7562)</f>
        <v>0</v>
      </c>
      <c r="H7562" s="135" t="n">
        <f aca="false">$G7562*'Analyse capacite'!$F$7</f>
        <v>0</v>
      </c>
      <c r="I7562" s="135" t="n">
        <f aca="false">$G7562*'Analyse capacite'!$C$7</f>
        <v>0</v>
      </c>
      <c r="J7562" s="135" t="n">
        <f aca="false">$G7562*'Analyse capacite'!$D$7</f>
        <v>0</v>
      </c>
      <c r="K7562" s="135" t="n">
        <f aca="false">$G7562*'Analyse capacite'!$E$7</f>
        <v>0</v>
      </c>
    </row>
    <row r="7563" customFormat="false" ht="15" hidden="false" customHeight="false" outlineLevel="0" collapsed="false">
      <c r="B7563" s="130" t="n">
        <v>2027</v>
      </c>
      <c r="C7563" s="131" t="s">
        <v>252</v>
      </c>
      <c r="D7563" s="132" t="n">
        <v>46687</v>
      </c>
      <c r="E7563" s="131" t="s">
        <v>62</v>
      </c>
      <c r="F7563" s="133" t="s">
        <v>19</v>
      </c>
      <c r="G7563" s="134" t="n">
        <f aca="false">LEN('Saisie programme'!$F$281)+SUMIFS('Vols additionnels'!$E$7:$E$66,'Vols additionnels'!$C$7:$C$66,$E7563,'Vols additionnels'!$D$7:$D$66,$F7563,'Vols additionnels'!$B$7:$B$66,$D7563)</f>
        <v>0</v>
      </c>
      <c r="H7563" s="135" t="n">
        <f aca="false">$G7563*'Analyse capacite'!$F$8</f>
        <v>0</v>
      </c>
      <c r="I7563" s="135" t="n">
        <f aca="false">$G7563*'Analyse capacite'!$C$8</f>
        <v>0</v>
      </c>
      <c r="J7563" s="135" t="n">
        <f aca="false">$G7563*'Analyse capacite'!$D$8</f>
        <v>0</v>
      </c>
      <c r="K7563" s="135" t="n">
        <f aca="false">$G7563*'Analyse capacite'!$E$8</f>
        <v>0</v>
      </c>
    </row>
    <row r="7564" customFormat="false" ht="15" hidden="false" customHeight="false" outlineLevel="0" collapsed="false">
      <c r="B7564" s="130" t="n">
        <v>2027</v>
      </c>
      <c r="C7564" s="131" t="s">
        <v>252</v>
      </c>
      <c r="D7564" s="132" t="n">
        <v>46687</v>
      </c>
      <c r="E7564" s="131" t="s">
        <v>62</v>
      </c>
      <c r="F7564" s="133" t="s">
        <v>24</v>
      </c>
      <c r="G7564" s="134" t="n">
        <f aca="false">LEN('Saisie programme'!$F$282)+SUMIFS('Vols additionnels'!$E$7:$E$66,'Vols additionnels'!$C$7:$C$66,$E7564,'Vols additionnels'!$D$7:$D$66,$F7564,'Vols additionnels'!$B$7:$B$66,$D7564)</f>
        <v>1</v>
      </c>
      <c r="H7564" s="135" t="n">
        <f aca="false">$G7564*'Analyse capacite'!$F$9</f>
        <v>174</v>
      </c>
      <c r="I7564" s="135" t="n">
        <f aca="false">$G7564*'Analyse capacite'!$C$9</f>
        <v>0</v>
      </c>
      <c r="J7564" s="135" t="n">
        <f aca="false">$G7564*'Analyse capacite'!$D$9</f>
        <v>12</v>
      </c>
      <c r="K7564" s="135" t="n">
        <f aca="false">$G7564*'Analyse capacite'!$E$9</f>
        <v>162</v>
      </c>
    </row>
    <row r="7565" customFormat="false" ht="15" hidden="false" customHeight="false" outlineLevel="0" collapsed="false">
      <c r="B7565" s="130" t="n">
        <v>2027</v>
      </c>
      <c r="C7565" s="131" t="s">
        <v>252</v>
      </c>
      <c r="D7565" s="132" t="n">
        <v>46688</v>
      </c>
      <c r="E7565" s="131" t="s">
        <v>12</v>
      </c>
      <c r="F7565" s="133" t="s">
        <v>11</v>
      </c>
      <c r="G7565" s="134" t="n">
        <f aca="false">LEN('Saisie programme'!$G$247)+SUMIFS('Vols additionnels'!$E$7:$E$66,'Vols additionnels'!$C$7:$C$66,$E7565,'Vols additionnels'!$D$7:$D$66,$F7565,'Vols additionnels'!$B$7:$B$66,$D7565)</f>
        <v>1</v>
      </c>
      <c r="H7565" s="135" t="n">
        <f aca="false">$G7565*'Analyse capacite'!$F$7</f>
        <v>438</v>
      </c>
      <c r="I7565" s="135" t="n">
        <f aca="false">$G7565*'Analyse capacite'!$C$7</f>
        <v>14</v>
      </c>
      <c r="J7565" s="135" t="n">
        <f aca="false">$G7565*'Analyse capacite'!$D$7</f>
        <v>40</v>
      </c>
      <c r="K7565" s="135" t="n">
        <f aca="false">$G7565*'Analyse capacite'!$E$7</f>
        <v>384</v>
      </c>
    </row>
    <row r="7566" customFormat="false" ht="15" hidden="false" customHeight="false" outlineLevel="0" collapsed="false">
      <c r="B7566" s="130" t="n">
        <v>2027</v>
      </c>
      <c r="C7566" s="131" t="s">
        <v>252</v>
      </c>
      <c r="D7566" s="132" t="n">
        <v>46688</v>
      </c>
      <c r="E7566" s="131" t="s">
        <v>12</v>
      </c>
      <c r="F7566" s="133" t="s">
        <v>19</v>
      </c>
      <c r="G7566" s="134" t="n">
        <f aca="false">LEN('Saisie programme'!$G$248)+SUMIFS('Vols additionnels'!$E$7:$E$66,'Vols additionnels'!$C$7:$C$66,$E7566,'Vols additionnels'!$D$7:$D$66,$F7566,'Vols additionnels'!$B$7:$B$66,$D7566)</f>
        <v>0</v>
      </c>
      <c r="H7566" s="135" t="n">
        <f aca="false">$G7566*'Analyse capacite'!$F$8</f>
        <v>0</v>
      </c>
      <c r="I7566" s="135" t="n">
        <f aca="false">$G7566*'Analyse capacite'!$C$8</f>
        <v>0</v>
      </c>
      <c r="J7566" s="135" t="n">
        <f aca="false">$G7566*'Analyse capacite'!$D$8</f>
        <v>0</v>
      </c>
      <c r="K7566" s="135" t="n">
        <f aca="false">$G7566*'Analyse capacite'!$E$8</f>
        <v>0</v>
      </c>
    </row>
    <row r="7567" customFormat="false" ht="15" hidden="false" customHeight="false" outlineLevel="0" collapsed="false">
      <c r="B7567" s="130" t="n">
        <v>2027</v>
      </c>
      <c r="C7567" s="131" t="s">
        <v>252</v>
      </c>
      <c r="D7567" s="132" t="n">
        <v>46688</v>
      </c>
      <c r="E7567" s="131" t="s">
        <v>12</v>
      </c>
      <c r="F7567" s="133" t="s">
        <v>24</v>
      </c>
      <c r="G7567" s="134" t="n">
        <f aca="false">LEN('Saisie programme'!$G$249)+SUMIFS('Vols additionnels'!$E$7:$E$66,'Vols additionnels'!$C$7:$C$66,$E7567,'Vols additionnels'!$D$7:$D$66,$F7567,'Vols additionnels'!$B$7:$B$66,$D7567)</f>
        <v>0</v>
      </c>
      <c r="H7567" s="135" t="n">
        <f aca="false">$G7567*'Analyse capacite'!$F$9</f>
        <v>0</v>
      </c>
      <c r="I7567" s="135" t="n">
        <f aca="false">$G7567*'Analyse capacite'!$C$9</f>
        <v>0</v>
      </c>
      <c r="J7567" s="135" t="n">
        <f aca="false">$G7567*'Analyse capacite'!$D$9</f>
        <v>0</v>
      </c>
      <c r="K7567" s="135" t="n">
        <f aca="false">$G7567*'Analyse capacite'!$E$9</f>
        <v>0</v>
      </c>
    </row>
    <row r="7568" customFormat="false" ht="15" hidden="false" customHeight="false" outlineLevel="0" collapsed="false">
      <c r="B7568" s="130" t="n">
        <v>2027</v>
      </c>
      <c r="C7568" s="131" t="s">
        <v>252</v>
      </c>
      <c r="D7568" s="132" t="n">
        <v>46688</v>
      </c>
      <c r="E7568" s="131" t="s">
        <v>20</v>
      </c>
      <c r="F7568" s="133" t="s">
        <v>11</v>
      </c>
      <c r="G7568" s="134" t="n">
        <f aca="false">LEN('Saisie programme'!$G$250)+SUMIFS('Vols additionnels'!$E$7:$E$66,'Vols additionnels'!$C$7:$C$66,$E7568,'Vols additionnels'!$D$7:$D$66,$F7568,'Vols additionnels'!$B$7:$B$66,$D7568)</f>
        <v>0</v>
      </c>
      <c r="H7568" s="135" t="n">
        <f aca="false">$G7568*'Analyse capacite'!$F$7</f>
        <v>0</v>
      </c>
      <c r="I7568" s="135" t="n">
        <f aca="false">$G7568*'Analyse capacite'!$C$7</f>
        <v>0</v>
      </c>
      <c r="J7568" s="135" t="n">
        <f aca="false">$G7568*'Analyse capacite'!$D$7</f>
        <v>0</v>
      </c>
      <c r="K7568" s="135" t="n">
        <f aca="false">$G7568*'Analyse capacite'!$E$7</f>
        <v>0</v>
      </c>
    </row>
    <row r="7569" customFormat="false" ht="15" hidden="false" customHeight="false" outlineLevel="0" collapsed="false">
      <c r="B7569" s="130" t="n">
        <v>2027</v>
      </c>
      <c r="C7569" s="131" t="s">
        <v>252</v>
      </c>
      <c r="D7569" s="132" t="n">
        <v>46688</v>
      </c>
      <c r="E7569" s="131" t="s">
        <v>20</v>
      </c>
      <c r="F7569" s="133" t="s">
        <v>19</v>
      </c>
      <c r="G7569" s="134" t="n">
        <f aca="false">LEN('Saisie programme'!$G$251)+SUMIFS('Vols additionnels'!$E$7:$E$66,'Vols additionnels'!$C$7:$C$66,$E7569,'Vols additionnels'!$D$7:$D$66,$F7569,'Vols additionnels'!$B$7:$B$66,$D7569)</f>
        <v>0</v>
      </c>
      <c r="H7569" s="135" t="n">
        <f aca="false">$G7569*'Analyse capacite'!$F$8</f>
        <v>0</v>
      </c>
      <c r="I7569" s="135" t="n">
        <f aca="false">$G7569*'Analyse capacite'!$C$8</f>
        <v>0</v>
      </c>
      <c r="J7569" s="135" t="n">
        <f aca="false">$G7569*'Analyse capacite'!$D$8</f>
        <v>0</v>
      </c>
      <c r="K7569" s="135" t="n">
        <f aca="false">$G7569*'Analyse capacite'!$E$8</f>
        <v>0</v>
      </c>
    </row>
    <row r="7570" customFormat="false" ht="15" hidden="false" customHeight="false" outlineLevel="0" collapsed="false">
      <c r="B7570" s="130" t="n">
        <v>2027</v>
      </c>
      <c r="C7570" s="131" t="s">
        <v>252</v>
      </c>
      <c r="D7570" s="132" t="n">
        <v>46688</v>
      </c>
      <c r="E7570" s="131" t="s">
        <v>20</v>
      </c>
      <c r="F7570" s="133" t="s">
        <v>24</v>
      </c>
      <c r="G7570" s="134" t="n">
        <f aca="false">LEN('Saisie programme'!$G$252)+SUMIFS('Vols additionnels'!$E$7:$E$66,'Vols additionnels'!$C$7:$C$66,$E7570,'Vols additionnels'!$D$7:$D$66,$F7570,'Vols additionnels'!$B$7:$B$66,$D7570)</f>
        <v>0</v>
      </c>
      <c r="H7570" s="135" t="n">
        <f aca="false">$G7570*'Analyse capacite'!$F$9</f>
        <v>0</v>
      </c>
      <c r="I7570" s="135" t="n">
        <f aca="false">$G7570*'Analyse capacite'!$C$9</f>
        <v>0</v>
      </c>
      <c r="J7570" s="135" t="n">
        <f aca="false">$G7570*'Analyse capacite'!$D$9</f>
        <v>0</v>
      </c>
      <c r="K7570" s="135" t="n">
        <f aca="false">$G7570*'Analyse capacite'!$E$9</f>
        <v>0</v>
      </c>
    </row>
    <row r="7571" customFormat="false" ht="15" hidden="false" customHeight="false" outlineLevel="0" collapsed="false">
      <c r="B7571" s="130" t="n">
        <v>2027</v>
      </c>
      <c r="C7571" s="131" t="s">
        <v>252</v>
      </c>
      <c r="D7571" s="132" t="n">
        <v>46688</v>
      </c>
      <c r="E7571" s="131" t="s">
        <v>25</v>
      </c>
      <c r="F7571" s="133" t="s">
        <v>11</v>
      </c>
      <c r="G7571" s="134" t="n">
        <f aca="false">LEN('Saisie programme'!$G$253)+SUMIFS('Vols additionnels'!$E$7:$E$66,'Vols additionnels'!$C$7:$C$66,$E7571,'Vols additionnels'!$D$7:$D$66,$F7571,'Vols additionnels'!$B$7:$B$66,$D7571)</f>
        <v>0</v>
      </c>
      <c r="H7571" s="135" t="n">
        <f aca="false">$G7571*'Analyse capacite'!$F$7</f>
        <v>0</v>
      </c>
      <c r="I7571" s="135" t="n">
        <f aca="false">$G7571*'Analyse capacite'!$C$7</f>
        <v>0</v>
      </c>
      <c r="J7571" s="135" t="n">
        <f aca="false">$G7571*'Analyse capacite'!$D$7</f>
        <v>0</v>
      </c>
      <c r="K7571" s="135" t="n">
        <f aca="false">$G7571*'Analyse capacite'!$E$7</f>
        <v>0</v>
      </c>
    </row>
    <row r="7572" customFormat="false" ht="15" hidden="false" customHeight="false" outlineLevel="0" collapsed="false">
      <c r="B7572" s="130" t="n">
        <v>2027</v>
      </c>
      <c r="C7572" s="131" t="s">
        <v>252</v>
      </c>
      <c r="D7572" s="132" t="n">
        <v>46688</v>
      </c>
      <c r="E7572" s="131" t="s">
        <v>25</v>
      </c>
      <c r="F7572" s="133" t="s">
        <v>19</v>
      </c>
      <c r="G7572" s="134" t="n">
        <f aca="false">LEN('Saisie programme'!$G$254)+SUMIFS('Vols additionnels'!$E$7:$E$66,'Vols additionnels'!$C$7:$C$66,$E7572,'Vols additionnels'!$D$7:$D$66,$F7572,'Vols additionnels'!$B$7:$B$66,$D7572)</f>
        <v>0</v>
      </c>
      <c r="H7572" s="135" t="n">
        <f aca="false">$G7572*'Analyse capacite'!$F$8</f>
        <v>0</v>
      </c>
      <c r="I7572" s="135" t="n">
        <f aca="false">$G7572*'Analyse capacite'!$C$8</f>
        <v>0</v>
      </c>
      <c r="J7572" s="135" t="n">
        <f aca="false">$G7572*'Analyse capacite'!$D$8</f>
        <v>0</v>
      </c>
      <c r="K7572" s="135" t="n">
        <f aca="false">$G7572*'Analyse capacite'!$E$8</f>
        <v>0</v>
      </c>
    </row>
    <row r="7573" customFormat="false" ht="15" hidden="false" customHeight="false" outlineLevel="0" collapsed="false">
      <c r="B7573" s="130" t="n">
        <v>2027</v>
      </c>
      <c r="C7573" s="131" t="s">
        <v>252</v>
      </c>
      <c r="D7573" s="132" t="n">
        <v>46688</v>
      </c>
      <c r="E7573" s="131" t="s">
        <v>25</v>
      </c>
      <c r="F7573" s="133" t="s">
        <v>24</v>
      </c>
      <c r="G7573" s="134" t="n">
        <f aca="false">LEN('Saisie programme'!$G$255)+SUMIFS('Vols additionnels'!$E$7:$E$66,'Vols additionnels'!$C$7:$C$66,$E7573,'Vols additionnels'!$D$7:$D$66,$F7573,'Vols additionnels'!$B$7:$B$66,$D7573)</f>
        <v>0</v>
      </c>
      <c r="H7573" s="135" t="n">
        <f aca="false">$G7573*'Analyse capacite'!$F$9</f>
        <v>0</v>
      </c>
      <c r="I7573" s="135" t="n">
        <f aca="false">$G7573*'Analyse capacite'!$C$9</f>
        <v>0</v>
      </c>
      <c r="J7573" s="135" t="n">
        <f aca="false">$G7573*'Analyse capacite'!$D$9</f>
        <v>0</v>
      </c>
      <c r="K7573" s="135" t="n">
        <f aca="false">$G7573*'Analyse capacite'!$E$9</f>
        <v>0</v>
      </c>
    </row>
    <row r="7574" customFormat="false" ht="15" hidden="false" customHeight="false" outlineLevel="0" collapsed="false">
      <c r="B7574" s="130" t="n">
        <v>2027</v>
      </c>
      <c r="C7574" s="131" t="s">
        <v>252</v>
      </c>
      <c r="D7574" s="132" t="n">
        <v>46688</v>
      </c>
      <c r="E7574" s="131" t="s">
        <v>36</v>
      </c>
      <c r="F7574" s="133" t="s">
        <v>11</v>
      </c>
      <c r="G7574" s="134" t="n">
        <f aca="false">LEN('Saisie programme'!$G$256)+SUMIFS('Vols additionnels'!$E$7:$E$66,'Vols additionnels'!$C$7:$C$66,$E7574,'Vols additionnels'!$D$7:$D$66,$F7574,'Vols additionnels'!$B$7:$B$66,$D7574)</f>
        <v>0</v>
      </c>
      <c r="H7574" s="135" t="n">
        <f aca="false">$G7574*'Analyse capacite'!$F$7</f>
        <v>0</v>
      </c>
      <c r="I7574" s="135" t="n">
        <f aca="false">$G7574*'Analyse capacite'!$C$7</f>
        <v>0</v>
      </c>
      <c r="J7574" s="135" t="n">
        <f aca="false">$G7574*'Analyse capacite'!$D$7</f>
        <v>0</v>
      </c>
      <c r="K7574" s="135" t="n">
        <f aca="false">$G7574*'Analyse capacite'!$E$7</f>
        <v>0</v>
      </c>
    </row>
    <row r="7575" customFormat="false" ht="15" hidden="false" customHeight="false" outlineLevel="0" collapsed="false">
      <c r="B7575" s="130" t="n">
        <v>2027</v>
      </c>
      <c r="C7575" s="131" t="s">
        <v>252</v>
      </c>
      <c r="D7575" s="132" t="n">
        <v>46688</v>
      </c>
      <c r="E7575" s="131" t="s">
        <v>36</v>
      </c>
      <c r="F7575" s="133" t="s">
        <v>19</v>
      </c>
      <c r="G7575" s="134" t="n">
        <f aca="false">LEN('Saisie programme'!$G$257)+SUMIFS('Vols additionnels'!$E$7:$E$66,'Vols additionnels'!$C$7:$C$66,$E7575,'Vols additionnels'!$D$7:$D$66,$F7575,'Vols additionnels'!$B$7:$B$66,$D7575)</f>
        <v>0</v>
      </c>
      <c r="H7575" s="135" t="n">
        <f aca="false">$G7575*'Analyse capacite'!$F$8</f>
        <v>0</v>
      </c>
      <c r="I7575" s="135" t="n">
        <f aca="false">$G7575*'Analyse capacite'!$C$8</f>
        <v>0</v>
      </c>
      <c r="J7575" s="135" t="n">
        <f aca="false">$G7575*'Analyse capacite'!$D$8</f>
        <v>0</v>
      </c>
      <c r="K7575" s="135" t="n">
        <f aca="false">$G7575*'Analyse capacite'!$E$8</f>
        <v>0</v>
      </c>
    </row>
    <row r="7576" customFormat="false" ht="15" hidden="false" customHeight="false" outlineLevel="0" collapsed="false">
      <c r="B7576" s="130" t="n">
        <v>2027</v>
      </c>
      <c r="C7576" s="131" t="s">
        <v>252</v>
      </c>
      <c r="D7576" s="132" t="n">
        <v>46688</v>
      </c>
      <c r="E7576" s="131" t="s">
        <v>36</v>
      </c>
      <c r="F7576" s="133" t="s">
        <v>24</v>
      </c>
      <c r="G7576" s="134" t="n">
        <f aca="false">LEN('Saisie programme'!$G$258)+SUMIFS('Vols additionnels'!$E$7:$E$66,'Vols additionnels'!$C$7:$C$66,$E7576,'Vols additionnels'!$D$7:$D$66,$F7576,'Vols additionnels'!$B$7:$B$66,$D7576)</f>
        <v>1</v>
      </c>
      <c r="H7576" s="135" t="n">
        <f aca="false">$G7576*'Analyse capacite'!$F$9</f>
        <v>174</v>
      </c>
      <c r="I7576" s="135" t="n">
        <f aca="false">$G7576*'Analyse capacite'!$C$9</f>
        <v>0</v>
      </c>
      <c r="J7576" s="135" t="n">
        <f aca="false">$G7576*'Analyse capacite'!$D$9</f>
        <v>12</v>
      </c>
      <c r="K7576" s="135" t="n">
        <f aca="false">$G7576*'Analyse capacite'!$E$9</f>
        <v>162</v>
      </c>
    </row>
    <row r="7577" customFormat="false" ht="15" hidden="false" customHeight="false" outlineLevel="0" collapsed="false">
      <c r="B7577" s="130" t="n">
        <v>2027</v>
      </c>
      <c r="C7577" s="131" t="s">
        <v>252</v>
      </c>
      <c r="D7577" s="132" t="n">
        <v>46688</v>
      </c>
      <c r="E7577" s="131" t="s">
        <v>40</v>
      </c>
      <c r="F7577" s="133" t="s">
        <v>11</v>
      </c>
      <c r="G7577" s="134" t="n">
        <f aca="false">LEN('Saisie programme'!$G$259)+SUMIFS('Vols additionnels'!$E$7:$E$66,'Vols additionnels'!$C$7:$C$66,$E7577,'Vols additionnels'!$D$7:$D$66,$F7577,'Vols additionnels'!$B$7:$B$66,$D7577)</f>
        <v>0</v>
      </c>
      <c r="H7577" s="135" t="n">
        <f aca="false">$G7577*'Analyse capacite'!$F$7</f>
        <v>0</v>
      </c>
      <c r="I7577" s="135" t="n">
        <f aca="false">$G7577*'Analyse capacite'!$C$7</f>
        <v>0</v>
      </c>
      <c r="J7577" s="135" t="n">
        <f aca="false">$G7577*'Analyse capacite'!$D$7</f>
        <v>0</v>
      </c>
      <c r="K7577" s="135" t="n">
        <f aca="false">$G7577*'Analyse capacite'!$E$7</f>
        <v>0</v>
      </c>
    </row>
    <row r="7578" customFormat="false" ht="15" hidden="false" customHeight="false" outlineLevel="0" collapsed="false">
      <c r="B7578" s="130" t="n">
        <v>2027</v>
      </c>
      <c r="C7578" s="131" t="s">
        <v>252</v>
      </c>
      <c r="D7578" s="132" t="n">
        <v>46688</v>
      </c>
      <c r="E7578" s="131" t="s">
        <v>40</v>
      </c>
      <c r="F7578" s="133" t="s">
        <v>19</v>
      </c>
      <c r="G7578" s="134" t="n">
        <f aca="false">LEN('Saisie programme'!$G$260)+SUMIFS('Vols additionnels'!$E$7:$E$66,'Vols additionnels'!$C$7:$C$66,$E7578,'Vols additionnels'!$D$7:$D$66,$F7578,'Vols additionnels'!$B$7:$B$66,$D7578)</f>
        <v>0</v>
      </c>
      <c r="H7578" s="135" t="n">
        <f aca="false">$G7578*'Analyse capacite'!$F$8</f>
        <v>0</v>
      </c>
      <c r="I7578" s="135" t="n">
        <f aca="false">$G7578*'Analyse capacite'!$C$8</f>
        <v>0</v>
      </c>
      <c r="J7578" s="135" t="n">
        <f aca="false">$G7578*'Analyse capacite'!$D$8</f>
        <v>0</v>
      </c>
      <c r="K7578" s="135" t="n">
        <f aca="false">$G7578*'Analyse capacite'!$E$8</f>
        <v>0</v>
      </c>
    </row>
    <row r="7579" customFormat="false" ht="15" hidden="false" customHeight="false" outlineLevel="0" collapsed="false">
      <c r="B7579" s="130" t="n">
        <v>2027</v>
      </c>
      <c r="C7579" s="131" t="s">
        <v>252</v>
      </c>
      <c r="D7579" s="132" t="n">
        <v>46688</v>
      </c>
      <c r="E7579" s="131" t="s">
        <v>40</v>
      </c>
      <c r="F7579" s="133" t="s">
        <v>24</v>
      </c>
      <c r="G7579" s="134" t="n">
        <f aca="false">LEN('Saisie programme'!$G$261)+SUMIFS('Vols additionnels'!$E$7:$E$66,'Vols additionnels'!$C$7:$C$66,$E7579,'Vols additionnels'!$D$7:$D$66,$F7579,'Vols additionnels'!$B$7:$B$66,$D7579)</f>
        <v>0</v>
      </c>
      <c r="H7579" s="135" t="n">
        <f aca="false">$G7579*'Analyse capacite'!$F$9</f>
        <v>0</v>
      </c>
      <c r="I7579" s="135" t="n">
        <f aca="false">$G7579*'Analyse capacite'!$C$9</f>
        <v>0</v>
      </c>
      <c r="J7579" s="135" t="n">
        <f aca="false">$G7579*'Analyse capacite'!$D$9</f>
        <v>0</v>
      </c>
      <c r="K7579" s="135" t="n">
        <f aca="false">$G7579*'Analyse capacite'!$E$9</f>
        <v>0</v>
      </c>
    </row>
    <row r="7580" customFormat="false" ht="15" hidden="false" customHeight="false" outlineLevel="0" collapsed="false">
      <c r="B7580" s="130" t="n">
        <v>2027</v>
      </c>
      <c r="C7580" s="131" t="s">
        <v>252</v>
      </c>
      <c r="D7580" s="132" t="n">
        <v>46688</v>
      </c>
      <c r="E7580" s="131" t="s">
        <v>14</v>
      </c>
      <c r="F7580" s="133" t="s">
        <v>11</v>
      </c>
      <c r="G7580" s="134" t="n">
        <f aca="false">LEN('Saisie programme'!$G$262)+SUMIFS('Vols additionnels'!$E$7:$E$66,'Vols additionnels'!$C$7:$C$66,$E7580,'Vols additionnels'!$D$7:$D$66,$F7580,'Vols additionnels'!$B$7:$B$66,$D7580)</f>
        <v>0</v>
      </c>
      <c r="H7580" s="135" t="n">
        <f aca="false">$G7580*'Analyse capacite'!$F$7</f>
        <v>0</v>
      </c>
      <c r="I7580" s="135" t="n">
        <f aca="false">$G7580*'Analyse capacite'!$C$7</f>
        <v>0</v>
      </c>
      <c r="J7580" s="135" t="n">
        <f aca="false">$G7580*'Analyse capacite'!$D$7</f>
        <v>0</v>
      </c>
      <c r="K7580" s="135" t="n">
        <f aca="false">$G7580*'Analyse capacite'!$E$7</f>
        <v>0</v>
      </c>
    </row>
    <row r="7581" customFormat="false" ht="15" hidden="false" customHeight="false" outlineLevel="0" collapsed="false">
      <c r="B7581" s="130" t="n">
        <v>2027</v>
      </c>
      <c r="C7581" s="131" t="s">
        <v>252</v>
      </c>
      <c r="D7581" s="132" t="n">
        <v>46688</v>
      </c>
      <c r="E7581" s="131" t="s">
        <v>14</v>
      </c>
      <c r="F7581" s="133" t="s">
        <v>19</v>
      </c>
      <c r="G7581" s="134" t="n">
        <f aca="false">LEN('Saisie programme'!$G$263)+SUMIFS('Vols additionnels'!$E$7:$E$66,'Vols additionnels'!$C$7:$C$66,$E7581,'Vols additionnels'!$D$7:$D$66,$F7581,'Vols additionnels'!$B$7:$B$66,$D7581)</f>
        <v>0</v>
      </c>
      <c r="H7581" s="135" t="n">
        <f aca="false">$G7581*'Analyse capacite'!$F$8</f>
        <v>0</v>
      </c>
      <c r="I7581" s="135" t="n">
        <f aca="false">$G7581*'Analyse capacite'!$C$8</f>
        <v>0</v>
      </c>
      <c r="J7581" s="135" t="n">
        <f aca="false">$G7581*'Analyse capacite'!$D$8</f>
        <v>0</v>
      </c>
      <c r="K7581" s="135" t="n">
        <f aca="false">$G7581*'Analyse capacite'!$E$8</f>
        <v>0</v>
      </c>
    </row>
    <row r="7582" customFormat="false" ht="15" hidden="false" customHeight="false" outlineLevel="0" collapsed="false">
      <c r="B7582" s="130" t="n">
        <v>2027</v>
      </c>
      <c r="C7582" s="131" t="s">
        <v>252</v>
      </c>
      <c r="D7582" s="132" t="n">
        <v>46688</v>
      </c>
      <c r="E7582" s="131" t="s">
        <v>14</v>
      </c>
      <c r="F7582" s="133" t="s">
        <v>24</v>
      </c>
      <c r="G7582" s="134" t="n">
        <f aca="false">LEN('Saisie programme'!$G$264)+SUMIFS('Vols additionnels'!$E$7:$E$66,'Vols additionnels'!$C$7:$C$66,$E7582,'Vols additionnels'!$D$7:$D$66,$F7582,'Vols additionnels'!$B$7:$B$66,$D7582)</f>
        <v>1</v>
      </c>
      <c r="H7582" s="135" t="n">
        <f aca="false">$G7582*'Analyse capacite'!$F$9</f>
        <v>174</v>
      </c>
      <c r="I7582" s="135" t="n">
        <f aca="false">$G7582*'Analyse capacite'!$C$9</f>
        <v>0</v>
      </c>
      <c r="J7582" s="135" t="n">
        <f aca="false">$G7582*'Analyse capacite'!$D$9</f>
        <v>12</v>
      </c>
      <c r="K7582" s="135" t="n">
        <f aca="false">$G7582*'Analyse capacite'!$E$9</f>
        <v>162</v>
      </c>
    </row>
    <row r="7583" customFormat="false" ht="15" hidden="false" customHeight="false" outlineLevel="0" collapsed="false">
      <c r="B7583" s="130" t="n">
        <v>2027</v>
      </c>
      <c r="C7583" s="131" t="s">
        <v>252</v>
      </c>
      <c r="D7583" s="132" t="n">
        <v>46688</v>
      </c>
      <c r="E7583" s="131" t="s">
        <v>46</v>
      </c>
      <c r="F7583" s="133" t="s">
        <v>11</v>
      </c>
      <c r="G7583" s="134" t="n">
        <f aca="false">LEN('Saisie programme'!$G$265)+SUMIFS('Vols additionnels'!$E$7:$E$66,'Vols additionnels'!$C$7:$C$66,$E7583,'Vols additionnels'!$D$7:$D$66,$F7583,'Vols additionnels'!$B$7:$B$66,$D7583)</f>
        <v>0</v>
      </c>
      <c r="H7583" s="135" t="n">
        <f aca="false">$G7583*'Analyse capacite'!$F$7</f>
        <v>0</v>
      </c>
      <c r="I7583" s="135" t="n">
        <f aca="false">$G7583*'Analyse capacite'!$C$7</f>
        <v>0</v>
      </c>
      <c r="J7583" s="135" t="n">
        <f aca="false">$G7583*'Analyse capacite'!$D$7</f>
        <v>0</v>
      </c>
      <c r="K7583" s="135" t="n">
        <f aca="false">$G7583*'Analyse capacite'!$E$7</f>
        <v>0</v>
      </c>
    </row>
    <row r="7584" customFormat="false" ht="15" hidden="false" customHeight="false" outlineLevel="0" collapsed="false">
      <c r="B7584" s="130" t="n">
        <v>2027</v>
      </c>
      <c r="C7584" s="131" t="s">
        <v>252</v>
      </c>
      <c r="D7584" s="132" t="n">
        <v>46688</v>
      </c>
      <c r="E7584" s="131" t="s">
        <v>46</v>
      </c>
      <c r="F7584" s="133" t="s">
        <v>19</v>
      </c>
      <c r="G7584" s="134" t="n">
        <f aca="false">LEN('Saisie programme'!$G$266)+SUMIFS('Vols additionnels'!$E$7:$E$66,'Vols additionnels'!$C$7:$C$66,$E7584,'Vols additionnels'!$D$7:$D$66,$F7584,'Vols additionnels'!$B$7:$B$66,$D7584)</f>
        <v>0</v>
      </c>
      <c r="H7584" s="135" t="n">
        <f aca="false">$G7584*'Analyse capacite'!$F$8</f>
        <v>0</v>
      </c>
      <c r="I7584" s="135" t="n">
        <f aca="false">$G7584*'Analyse capacite'!$C$8</f>
        <v>0</v>
      </c>
      <c r="J7584" s="135" t="n">
        <f aca="false">$G7584*'Analyse capacite'!$D$8</f>
        <v>0</v>
      </c>
      <c r="K7584" s="135" t="n">
        <f aca="false">$G7584*'Analyse capacite'!$E$8</f>
        <v>0</v>
      </c>
    </row>
    <row r="7585" customFormat="false" ht="15" hidden="false" customHeight="false" outlineLevel="0" collapsed="false">
      <c r="B7585" s="130" t="n">
        <v>2027</v>
      </c>
      <c r="C7585" s="131" t="s">
        <v>252</v>
      </c>
      <c r="D7585" s="132" t="n">
        <v>46688</v>
      </c>
      <c r="E7585" s="131" t="s">
        <v>46</v>
      </c>
      <c r="F7585" s="133" t="s">
        <v>24</v>
      </c>
      <c r="G7585" s="134" t="n">
        <f aca="false">LEN('Saisie programme'!$G$267)+SUMIFS('Vols additionnels'!$E$7:$E$66,'Vols additionnels'!$C$7:$C$66,$E7585,'Vols additionnels'!$D$7:$D$66,$F7585,'Vols additionnels'!$B$7:$B$66,$D7585)</f>
        <v>1</v>
      </c>
      <c r="H7585" s="135" t="n">
        <f aca="false">$G7585*'Analyse capacite'!$F$9</f>
        <v>174</v>
      </c>
      <c r="I7585" s="135" t="n">
        <f aca="false">$G7585*'Analyse capacite'!$C$9</f>
        <v>0</v>
      </c>
      <c r="J7585" s="135" t="n">
        <f aca="false">$G7585*'Analyse capacite'!$D$9</f>
        <v>12</v>
      </c>
      <c r="K7585" s="135" t="n">
        <f aca="false">$G7585*'Analyse capacite'!$E$9</f>
        <v>162</v>
      </c>
    </row>
    <row r="7586" customFormat="false" ht="15" hidden="false" customHeight="false" outlineLevel="0" collapsed="false">
      <c r="B7586" s="130" t="n">
        <v>2027</v>
      </c>
      <c r="C7586" s="131" t="s">
        <v>252</v>
      </c>
      <c r="D7586" s="132" t="n">
        <v>46688</v>
      </c>
      <c r="E7586" s="131" t="s">
        <v>49</v>
      </c>
      <c r="F7586" s="133" t="s">
        <v>11</v>
      </c>
      <c r="G7586" s="134" t="n">
        <f aca="false">LEN('Saisie programme'!$G$268)+SUMIFS('Vols additionnels'!$E$7:$E$66,'Vols additionnels'!$C$7:$C$66,$E7586,'Vols additionnels'!$D$7:$D$66,$F7586,'Vols additionnels'!$B$7:$B$66,$D7586)</f>
        <v>0</v>
      </c>
      <c r="H7586" s="135" t="n">
        <f aca="false">$G7586*'Analyse capacite'!$F$7</f>
        <v>0</v>
      </c>
      <c r="I7586" s="135" t="n">
        <f aca="false">$G7586*'Analyse capacite'!$C$7</f>
        <v>0</v>
      </c>
      <c r="J7586" s="135" t="n">
        <f aca="false">$G7586*'Analyse capacite'!$D$7</f>
        <v>0</v>
      </c>
      <c r="K7586" s="135" t="n">
        <f aca="false">$G7586*'Analyse capacite'!$E$7</f>
        <v>0</v>
      </c>
    </row>
    <row r="7587" customFormat="false" ht="15" hidden="false" customHeight="false" outlineLevel="0" collapsed="false">
      <c r="B7587" s="130" t="n">
        <v>2027</v>
      </c>
      <c r="C7587" s="131" t="s">
        <v>252</v>
      </c>
      <c r="D7587" s="132" t="n">
        <v>46688</v>
      </c>
      <c r="E7587" s="131" t="s">
        <v>49</v>
      </c>
      <c r="F7587" s="133" t="s">
        <v>19</v>
      </c>
      <c r="G7587" s="134" t="n">
        <f aca="false">LEN('Saisie programme'!$G$269)+SUMIFS('Vols additionnels'!$E$7:$E$66,'Vols additionnels'!$C$7:$C$66,$E7587,'Vols additionnels'!$D$7:$D$66,$F7587,'Vols additionnels'!$B$7:$B$66,$D7587)</f>
        <v>0</v>
      </c>
      <c r="H7587" s="135" t="n">
        <f aca="false">$G7587*'Analyse capacite'!$F$8</f>
        <v>0</v>
      </c>
      <c r="I7587" s="135" t="n">
        <f aca="false">$G7587*'Analyse capacite'!$C$8</f>
        <v>0</v>
      </c>
      <c r="J7587" s="135" t="n">
        <f aca="false">$G7587*'Analyse capacite'!$D$8</f>
        <v>0</v>
      </c>
      <c r="K7587" s="135" t="n">
        <f aca="false">$G7587*'Analyse capacite'!$E$8</f>
        <v>0</v>
      </c>
    </row>
    <row r="7588" customFormat="false" ht="15" hidden="false" customHeight="false" outlineLevel="0" collapsed="false">
      <c r="B7588" s="130" t="n">
        <v>2027</v>
      </c>
      <c r="C7588" s="131" t="s">
        <v>252</v>
      </c>
      <c r="D7588" s="132" t="n">
        <v>46688</v>
      </c>
      <c r="E7588" s="131" t="s">
        <v>49</v>
      </c>
      <c r="F7588" s="133" t="s">
        <v>24</v>
      </c>
      <c r="G7588" s="134" t="n">
        <f aca="false">LEN('Saisie programme'!$G$270)+SUMIFS('Vols additionnels'!$E$7:$E$66,'Vols additionnels'!$C$7:$C$66,$E7588,'Vols additionnels'!$D$7:$D$66,$F7588,'Vols additionnels'!$B$7:$B$66,$D7588)</f>
        <v>0</v>
      </c>
      <c r="H7588" s="135" t="n">
        <f aca="false">$G7588*'Analyse capacite'!$F$9</f>
        <v>0</v>
      </c>
      <c r="I7588" s="135" t="n">
        <f aca="false">$G7588*'Analyse capacite'!$C$9</f>
        <v>0</v>
      </c>
      <c r="J7588" s="135" t="n">
        <f aca="false">$G7588*'Analyse capacite'!$D$9</f>
        <v>0</v>
      </c>
      <c r="K7588" s="135" t="n">
        <f aca="false">$G7588*'Analyse capacite'!$E$9</f>
        <v>0</v>
      </c>
    </row>
    <row r="7589" customFormat="false" ht="15" hidden="false" customHeight="false" outlineLevel="0" collapsed="false">
      <c r="B7589" s="130" t="n">
        <v>2027</v>
      </c>
      <c r="C7589" s="131" t="s">
        <v>252</v>
      </c>
      <c r="D7589" s="132" t="n">
        <v>46688</v>
      </c>
      <c r="E7589" s="131" t="s">
        <v>53</v>
      </c>
      <c r="F7589" s="133" t="s">
        <v>11</v>
      </c>
      <c r="G7589" s="134" t="n">
        <f aca="false">LEN('Saisie programme'!$G$271)+SUMIFS('Vols additionnels'!$E$7:$E$66,'Vols additionnels'!$C$7:$C$66,$E7589,'Vols additionnels'!$D$7:$D$66,$F7589,'Vols additionnels'!$B$7:$B$66,$D7589)</f>
        <v>0</v>
      </c>
      <c r="H7589" s="135" t="n">
        <f aca="false">$G7589*'Analyse capacite'!$F$7</f>
        <v>0</v>
      </c>
      <c r="I7589" s="135" t="n">
        <f aca="false">$G7589*'Analyse capacite'!$C$7</f>
        <v>0</v>
      </c>
      <c r="J7589" s="135" t="n">
        <f aca="false">$G7589*'Analyse capacite'!$D$7</f>
        <v>0</v>
      </c>
      <c r="K7589" s="135" t="n">
        <f aca="false">$G7589*'Analyse capacite'!$E$7</f>
        <v>0</v>
      </c>
    </row>
    <row r="7590" customFormat="false" ht="15" hidden="false" customHeight="false" outlineLevel="0" collapsed="false">
      <c r="B7590" s="130" t="n">
        <v>2027</v>
      </c>
      <c r="C7590" s="131" t="s">
        <v>252</v>
      </c>
      <c r="D7590" s="132" t="n">
        <v>46688</v>
      </c>
      <c r="E7590" s="131" t="s">
        <v>53</v>
      </c>
      <c r="F7590" s="133" t="s">
        <v>19</v>
      </c>
      <c r="G7590" s="134" t="n">
        <f aca="false">LEN('Saisie programme'!$G$272)+SUMIFS('Vols additionnels'!$E$7:$E$66,'Vols additionnels'!$C$7:$C$66,$E7590,'Vols additionnels'!$D$7:$D$66,$F7590,'Vols additionnels'!$B$7:$B$66,$D7590)</f>
        <v>1</v>
      </c>
      <c r="H7590" s="135" t="n">
        <f aca="false">$G7590*'Analyse capacite'!$F$8</f>
        <v>262</v>
      </c>
      <c r="I7590" s="135" t="n">
        <f aca="false">$G7590*'Analyse capacite'!$C$8</f>
        <v>18</v>
      </c>
      <c r="J7590" s="135" t="n">
        <f aca="false">$G7590*'Analyse capacite'!$D$8</f>
        <v>0</v>
      </c>
      <c r="K7590" s="135" t="n">
        <f aca="false">$G7590*'Analyse capacite'!$E$8</f>
        <v>244</v>
      </c>
    </row>
    <row r="7591" customFormat="false" ht="15" hidden="false" customHeight="false" outlineLevel="0" collapsed="false">
      <c r="B7591" s="130" t="n">
        <v>2027</v>
      </c>
      <c r="C7591" s="131" t="s">
        <v>252</v>
      </c>
      <c r="D7591" s="132" t="n">
        <v>46688</v>
      </c>
      <c r="E7591" s="131" t="s">
        <v>53</v>
      </c>
      <c r="F7591" s="133" t="s">
        <v>24</v>
      </c>
      <c r="G7591" s="134" t="n">
        <f aca="false">LEN('Saisie programme'!$G$273)+SUMIFS('Vols additionnels'!$E$7:$E$66,'Vols additionnels'!$C$7:$C$66,$E7591,'Vols additionnels'!$D$7:$D$66,$F7591,'Vols additionnels'!$B$7:$B$66,$D7591)</f>
        <v>0</v>
      </c>
      <c r="H7591" s="135" t="n">
        <f aca="false">$G7591*'Analyse capacite'!$F$9</f>
        <v>0</v>
      </c>
      <c r="I7591" s="135" t="n">
        <f aca="false">$G7591*'Analyse capacite'!$C$9</f>
        <v>0</v>
      </c>
      <c r="J7591" s="135" t="n">
        <f aca="false">$G7591*'Analyse capacite'!$D$9</f>
        <v>0</v>
      </c>
      <c r="K7591" s="135" t="n">
        <f aca="false">$G7591*'Analyse capacite'!$E$9</f>
        <v>0</v>
      </c>
    </row>
    <row r="7592" customFormat="false" ht="15" hidden="false" customHeight="false" outlineLevel="0" collapsed="false">
      <c r="B7592" s="130" t="n">
        <v>2027</v>
      </c>
      <c r="C7592" s="131" t="s">
        <v>252</v>
      </c>
      <c r="D7592" s="132" t="n">
        <v>46688</v>
      </c>
      <c r="E7592" s="131" t="s">
        <v>56</v>
      </c>
      <c r="F7592" s="133" t="s">
        <v>11</v>
      </c>
      <c r="G7592" s="134" t="n">
        <f aca="false">LEN('Saisie programme'!$G$274)+SUMIFS('Vols additionnels'!$E$7:$E$66,'Vols additionnels'!$C$7:$C$66,$E7592,'Vols additionnels'!$D$7:$D$66,$F7592,'Vols additionnels'!$B$7:$B$66,$D7592)</f>
        <v>0</v>
      </c>
      <c r="H7592" s="135" t="n">
        <f aca="false">$G7592*'Analyse capacite'!$F$7</f>
        <v>0</v>
      </c>
      <c r="I7592" s="135" t="n">
        <f aca="false">$G7592*'Analyse capacite'!$C$7</f>
        <v>0</v>
      </c>
      <c r="J7592" s="135" t="n">
        <f aca="false">$G7592*'Analyse capacite'!$D$7</f>
        <v>0</v>
      </c>
      <c r="K7592" s="135" t="n">
        <f aca="false">$G7592*'Analyse capacite'!$E$7</f>
        <v>0</v>
      </c>
    </row>
    <row r="7593" customFormat="false" ht="15" hidden="false" customHeight="false" outlineLevel="0" collapsed="false">
      <c r="B7593" s="130" t="n">
        <v>2027</v>
      </c>
      <c r="C7593" s="131" t="s">
        <v>252</v>
      </c>
      <c r="D7593" s="132" t="n">
        <v>46688</v>
      </c>
      <c r="E7593" s="131" t="s">
        <v>56</v>
      </c>
      <c r="F7593" s="133" t="s">
        <v>19</v>
      </c>
      <c r="G7593" s="134" t="n">
        <f aca="false">LEN('Saisie programme'!$G$275)+SUMIFS('Vols additionnels'!$E$7:$E$66,'Vols additionnels'!$C$7:$C$66,$E7593,'Vols additionnels'!$D$7:$D$66,$F7593,'Vols additionnels'!$B$7:$B$66,$D7593)</f>
        <v>0</v>
      </c>
      <c r="H7593" s="135" t="n">
        <f aca="false">$G7593*'Analyse capacite'!$F$8</f>
        <v>0</v>
      </c>
      <c r="I7593" s="135" t="n">
        <f aca="false">$G7593*'Analyse capacite'!$C$8</f>
        <v>0</v>
      </c>
      <c r="J7593" s="135" t="n">
        <f aca="false">$G7593*'Analyse capacite'!$D$8</f>
        <v>0</v>
      </c>
      <c r="K7593" s="135" t="n">
        <f aca="false">$G7593*'Analyse capacite'!$E$8</f>
        <v>0</v>
      </c>
    </row>
    <row r="7594" customFormat="false" ht="15" hidden="false" customHeight="false" outlineLevel="0" collapsed="false">
      <c r="B7594" s="130" t="n">
        <v>2027</v>
      </c>
      <c r="C7594" s="131" t="s">
        <v>252</v>
      </c>
      <c r="D7594" s="132" t="n">
        <v>46688</v>
      </c>
      <c r="E7594" s="131" t="s">
        <v>56</v>
      </c>
      <c r="F7594" s="133" t="s">
        <v>24</v>
      </c>
      <c r="G7594" s="134" t="n">
        <f aca="false">LEN('Saisie programme'!$G$276)+SUMIFS('Vols additionnels'!$E$7:$E$66,'Vols additionnels'!$C$7:$C$66,$E7594,'Vols additionnels'!$D$7:$D$66,$F7594,'Vols additionnels'!$B$7:$B$66,$D7594)</f>
        <v>0</v>
      </c>
      <c r="H7594" s="135" t="n">
        <f aca="false">$G7594*'Analyse capacite'!$F$9</f>
        <v>0</v>
      </c>
      <c r="I7594" s="135" t="n">
        <f aca="false">$G7594*'Analyse capacite'!$C$9</f>
        <v>0</v>
      </c>
      <c r="J7594" s="135" t="n">
        <f aca="false">$G7594*'Analyse capacite'!$D$9</f>
        <v>0</v>
      </c>
      <c r="K7594" s="135" t="n">
        <f aca="false">$G7594*'Analyse capacite'!$E$9</f>
        <v>0</v>
      </c>
    </row>
    <row r="7595" customFormat="false" ht="15" hidden="false" customHeight="false" outlineLevel="0" collapsed="false">
      <c r="B7595" s="130" t="n">
        <v>2027</v>
      </c>
      <c r="C7595" s="131" t="s">
        <v>252</v>
      </c>
      <c r="D7595" s="132" t="n">
        <v>46688</v>
      </c>
      <c r="E7595" s="131" t="s">
        <v>59</v>
      </c>
      <c r="F7595" s="133" t="s">
        <v>11</v>
      </c>
      <c r="G7595" s="134" t="n">
        <f aca="false">LEN('Saisie programme'!$G$277)+SUMIFS('Vols additionnels'!$E$7:$E$66,'Vols additionnels'!$C$7:$C$66,$E7595,'Vols additionnels'!$D$7:$D$66,$F7595,'Vols additionnels'!$B$7:$B$66,$D7595)</f>
        <v>0</v>
      </c>
      <c r="H7595" s="135" t="n">
        <f aca="false">$G7595*'Analyse capacite'!$F$7</f>
        <v>0</v>
      </c>
      <c r="I7595" s="135" t="n">
        <f aca="false">$G7595*'Analyse capacite'!$C$7</f>
        <v>0</v>
      </c>
      <c r="J7595" s="135" t="n">
        <f aca="false">$G7595*'Analyse capacite'!$D$7</f>
        <v>0</v>
      </c>
      <c r="K7595" s="135" t="n">
        <f aca="false">$G7595*'Analyse capacite'!$E$7</f>
        <v>0</v>
      </c>
    </row>
    <row r="7596" customFormat="false" ht="15" hidden="false" customHeight="false" outlineLevel="0" collapsed="false">
      <c r="B7596" s="130" t="n">
        <v>2027</v>
      </c>
      <c r="C7596" s="131" t="s">
        <v>252</v>
      </c>
      <c r="D7596" s="132" t="n">
        <v>46688</v>
      </c>
      <c r="E7596" s="131" t="s">
        <v>59</v>
      </c>
      <c r="F7596" s="133" t="s">
        <v>19</v>
      </c>
      <c r="G7596" s="134" t="n">
        <f aca="false">LEN('Saisie programme'!$G$278)+SUMIFS('Vols additionnels'!$E$7:$E$66,'Vols additionnels'!$C$7:$C$66,$E7596,'Vols additionnels'!$D$7:$D$66,$F7596,'Vols additionnels'!$B$7:$B$66,$D7596)</f>
        <v>0</v>
      </c>
      <c r="H7596" s="135" t="n">
        <f aca="false">$G7596*'Analyse capacite'!$F$8</f>
        <v>0</v>
      </c>
      <c r="I7596" s="135" t="n">
        <f aca="false">$G7596*'Analyse capacite'!$C$8</f>
        <v>0</v>
      </c>
      <c r="J7596" s="135" t="n">
        <f aca="false">$G7596*'Analyse capacite'!$D$8</f>
        <v>0</v>
      </c>
      <c r="K7596" s="135" t="n">
        <f aca="false">$G7596*'Analyse capacite'!$E$8</f>
        <v>0</v>
      </c>
    </row>
    <row r="7597" customFormat="false" ht="15" hidden="false" customHeight="false" outlineLevel="0" collapsed="false">
      <c r="B7597" s="130" t="n">
        <v>2027</v>
      </c>
      <c r="C7597" s="131" t="s">
        <v>252</v>
      </c>
      <c r="D7597" s="132" t="n">
        <v>46688</v>
      </c>
      <c r="E7597" s="131" t="s">
        <v>59</v>
      </c>
      <c r="F7597" s="133" t="s">
        <v>24</v>
      </c>
      <c r="G7597" s="134" t="n">
        <f aca="false">LEN('Saisie programme'!$G$279)+SUMIFS('Vols additionnels'!$E$7:$E$66,'Vols additionnels'!$C$7:$C$66,$E7597,'Vols additionnels'!$D$7:$D$66,$F7597,'Vols additionnels'!$B$7:$B$66,$D7597)</f>
        <v>2</v>
      </c>
      <c r="H7597" s="135" t="n">
        <f aca="false">$G7597*'Analyse capacite'!$F$9</f>
        <v>348</v>
      </c>
      <c r="I7597" s="135" t="n">
        <f aca="false">$G7597*'Analyse capacite'!$C$9</f>
        <v>0</v>
      </c>
      <c r="J7597" s="135" t="n">
        <f aca="false">$G7597*'Analyse capacite'!$D$9</f>
        <v>24</v>
      </c>
      <c r="K7597" s="135" t="n">
        <f aca="false">$G7597*'Analyse capacite'!$E$9</f>
        <v>324</v>
      </c>
    </row>
    <row r="7598" customFormat="false" ht="15" hidden="false" customHeight="false" outlineLevel="0" collapsed="false">
      <c r="B7598" s="130" t="n">
        <v>2027</v>
      </c>
      <c r="C7598" s="131" t="s">
        <v>252</v>
      </c>
      <c r="D7598" s="132" t="n">
        <v>46688</v>
      </c>
      <c r="E7598" s="131" t="s">
        <v>62</v>
      </c>
      <c r="F7598" s="133" t="s">
        <v>11</v>
      </c>
      <c r="G7598" s="134" t="n">
        <f aca="false">LEN('Saisie programme'!$G$280)+SUMIFS('Vols additionnels'!$E$7:$E$66,'Vols additionnels'!$C$7:$C$66,$E7598,'Vols additionnels'!$D$7:$D$66,$F7598,'Vols additionnels'!$B$7:$B$66,$D7598)</f>
        <v>0</v>
      </c>
      <c r="H7598" s="135" t="n">
        <f aca="false">$G7598*'Analyse capacite'!$F$7</f>
        <v>0</v>
      </c>
      <c r="I7598" s="135" t="n">
        <f aca="false">$G7598*'Analyse capacite'!$C$7</f>
        <v>0</v>
      </c>
      <c r="J7598" s="135" t="n">
        <f aca="false">$G7598*'Analyse capacite'!$D$7</f>
        <v>0</v>
      </c>
      <c r="K7598" s="135" t="n">
        <f aca="false">$G7598*'Analyse capacite'!$E$7</f>
        <v>0</v>
      </c>
    </row>
    <row r="7599" customFormat="false" ht="15" hidden="false" customHeight="false" outlineLevel="0" collapsed="false">
      <c r="B7599" s="130" t="n">
        <v>2027</v>
      </c>
      <c r="C7599" s="131" t="s">
        <v>252</v>
      </c>
      <c r="D7599" s="132" t="n">
        <v>46688</v>
      </c>
      <c r="E7599" s="131" t="s">
        <v>62</v>
      </c>
      <c r="F7599" s="133" t="s">
        <v>19</v>
      </c>
      <c r="G7599" s="134" t="n">
        <f aca="false">LEN('Saisie programme'!$G$281)+SUMIFS('Vols additionnels'!$E$7:$E$66,'Vols additionnels'!$C$7:$C$66,$E7599,'Vols additionnels'!$D$7:$D$66,$F7599,'Vols additionnels'!$B$7:$B$66,$D7599)</f>
        <v>0</v>
      </c>
      <c r="H7599" s="135" t="n">
        <f aca="false">$G7599*'Analyse capacite'!$F$8</f>
        <v>0</v>
      </c>
      <c r="I7599" s="135" t="n">
        <f aca="false">$G7599*'Analyse capacite'!$C$8</f>
        <v>0</v>
      </c>
      <c r="J7599" s="135" t="n">
        <f aca="false">$G7599*'Analyse capacite'!$D$8</f>
        <v>0</v>
      </c>
      <c r="K7599" s="135" t="n">
        <f aca="false">$G7599*'Analyse capacite'!$E$8</f>
        <v>0</v>
      </c>
    </row>
    <row r="7600" customFormat="false" ht="15" hidden="false" customHeight="false" outlineLevel="0" collapsed="false">
      <c r="B7600" s="130" t="n">
        <v>2027</v>
      </c>
      <c r="C7600" s="131" t="s">
        <v>252</v>
      </c>
      <c r="D7600" s="132" t="n">
        <v>46688</v>
      </c>
      <c r="E7600" s="131" t="s">
        <v>62</v>
      </c>
      <c r="F7600" s="133" t="s">
        <v>24</v>
      </c>
      <c r="G7600" s="134" t="n">
        <f aca="false">LEN('Saisie programme'!$G$282)+SUMIFS('Vols additionnels'!$E$7:$E$66,'Vols additionnels'!$C$7:$C$66,$E7600,'Vols additionnels'!$D$7:$D$66,$F7600,'Vols additionnels'!$B$7:$B$66,$D7600)</f>
        <v>0</v>
      </c>
      <c r="H7600" s="135" t="n">
        <f aca="false">$G7600*'Analyse capacite'!$F$9</f>
        <v>0</v>
      </c>
      <c r="I7600" s="135" t="n">
        <f aca="false">$G7600*'Analyse capacite'!$C$9</f>
        <v>0</v>
      </c>
      <c r="J7600" s="135" t="n">
        <f aca="false">$G7600*'Analyse capacite'!$D$9</f>
        <v>0</v>
      </c>
      <c r="K7600" s="135" t="n">
        <f aca="false">$G7600*'Analyse capacite'!$E$9</f>
        <v>0</v>
      </c>
    </row>
    <row r="7601" customFormat="false" ht="15" hidden="false" customHeight="false" outlineLevel="0" collapsed="false">
      <c r="B7601" s="130" t="n">
        <v>2027</v>
      </c>
      <c r="C7601" s="131" t="s">
        <v>252</v>
      </c>
      <c r="D7601" s="132" t="n">
        <v>46689</v>
      </c>
      <c r="E7601" s="131" t="s">
        <v>12</v>
      </c>
      <c r="F7601" s="133" t="s">
        <v>11</v>
      </c>
      <c r="G7601" s="134" t="n">
        <f aca="false">LEN('Saisie programme'!$H$247)+SUMIFS('Vols additionnels'!$E$7:$E$66,'Vols additionnels'!$C$7:$C$66,$E7601,'Vols additionnels'!$D$7:$D$66,$F7601,'Vols additionnels'!$B$7:$B$66,$D7601)</f>
        <v>1</v>
      </c>
      <c r="H7601" s="135" t="n">
        <f aca="false">$G7601*'Analyse capacite'!$F$7</f>
        <v>438</v>
      </c>
      <c r="I7601" s="135" t="n">
        <f aca="false">$G7601*'Analyse capacite'!$C$7</f>
        <v>14</v>
      </c>
      <c r="J7601" s="135" t="n">
        <f aca="false">$G7601*'Analyse capacite'!$D$7</f>
        <v>40</v>
      </c>
      <c r="K7601" s="135" t="n">
        <f aca="false">$G7601*'Analyse capacite'!$E$7</f>
        <v>384</v>
      </c>
    </row>
    <row r="7602" customFormat="false" ht="15" hidden="false" customHeight="false" outlineLevel="0" collapsed="false">
      <c r="B7602" s="130" t="n">
        <v>2027</v>
      </c>
      <c r="C7602" s="131" t="s">
        <v>252</v>
      </c>
      <c r="D7602" s="132" t="n">
        <v>46689</v>
      </c>
      <c r="E7602" s="131" t="s">
        <v>12</v>
      </c>
      <c r="F7602" s="133" t="s">
        <v>19</v>
      </c>
      <c r="G7602" s="134" t="n">
        <f aca="false">LEN('Saisie programme'!$H$248)+SUMIFS('Vols additionnels'!$E$7:$E$66,'Vols additionnels'!$C$7:$C$66,$E7602,'Vols additionnels'!$D$7:$D$66,$F7602,'Vols additionnels'!$B$7:$B$66,$D7602)</f>
        <v>1</v>
      </c>
      <c r="H7602" s="135" t="n">
        <f aca="false">$G7602*'Analyse capacite'!$F$8</f>
        <v>262</v>
      </c>
      <c r="I7602" s="135" t="n">
        <f aca="false">$G7602*'Analyse capacite'!$C$8</f>
        <v>18</v>
      </c>
      <c r="J7602" s="135" t="n">
        <f aca="false">$G7602*'Analyse capacite'!$D$8</f>
        <v>0</v>
      </c>
      <c r="K7602" s="135" t="n">
        <f aca="false">$G7602*'Analyse capacite'!$E$8</f>
        <v>244</v>
      </c>
    </row>
    <row r="7603" customFormat="false" ht="15" hidden="false" customHeight="false" outlineLevel="0" collapsed="false">
      <c r="B7603" s="130" t="n">
        <v>2027</v>
      </c>
      <c r="C7603" s="131" t="s">
        <v>252</v>
      </c>
      <c r="D7603" s="132" t="n">
        <v>46689</v>
      </c>
      <c r="E7603" s="131" t="s">
        <v>12</v>
      </c>
      <c r="F7603" s="133" t="s">
        <v>24</v>
      </c>
      <c r="G7603" s="134" t="n">
        <f aca="false">LEN('Saisie programme'!$H$249)+SUMIFS('Vols additionnels'!$E$7:$E$66,'Vols additionnels'!$C$7:$C$66,$E7603,'Vols additionnels'!$D$7:$D$66,$F7603,'Vols additionnels'!$B$7:$B$66,$D7603)</f>
        <v>0</v>
      </c>
      <c r="H7603" s="135" t="n">
        <f aca="false">$G7603*'Analyse capacite'!$F$9</f>
        <v>0</v>
      </c>
      <c r="I7603" s="135" t="n">
        <f aca="false">$G7603*'Analyse capacite'!$C$9</f>
        <v>0</v>
      </c>
      <c r="J7603" s="135" t="n">
        <f aca="false">$G7603*'Analyse capacite'!$D$9</f>
        <v>0</v>
      </c>
      <c r="K7603" s="135" t="n">
        <f aca="false">$G7603*'Analyse capacite'!$E$9</f>
        <v>0</v>
      </c>
    </row>
    <row r="7604" customFormat="false" ht="15" hidden="false" customHeight="false" outlineLevel="0" collapsed="false">
      <c r="B7604" s="130" t="n">
        <v>2027</v>
      </c>
      <c r="C7604" s="131" t="s">
        <v>252</v>
      </c>
      <c r="D7604" s="132" t="n">
        <v>46689</v>
      </c>
      <c r="E7604" s="131" t="s">
        <v>20</v>
      </c>
      <c r="F7604" s="133" t="s">
        <v>11</v>
      </c>
      <c r="G7604" s="134" t="n">
        <f aca="false">LEN('Saisie programme'!$H$250)+SUMIFS('Vols additionnels'!$E$7:$E$66,'Vols additionnels'!$C$7:$C$66,$E7604,'Vols additionnels'!$D$7:$D$66,$F7604,'Vols additionnels'!$B$7:$B$66,$D7604)</f>
        <v>0</v>
      </c>
      <c r="H7604" s="135" t="n">
        <f aca="false">$G7604*'Analyse capacite'!$F$7</f>
        <v>0</v>
      </c>
      <c r="I7604" s="135" t="n">
        <f aca="false">$G7604*'Analyse capacite'!$C$7</f>
        <v>0</v>
      </c>
      <c r="J7604" s="135" t="n">
        <f aca="false">$G7604*'Analyse capacite'!$D$7</f>
        <v>0</v>
      </c>
      <c r="K7604" s="135" t="n">
        <f aca="false">$G7604*'Analyse capacite'!$E$7</f>
        <v>0</v>
      </c>
    </row>
    <row r="7605" customFormat="false" ht="15" hidden="false" customHeight="false" outlineLevel="0" collapsed="false">
      <c r="B7605" s="130" t="n">
        <v>2027</v>
      </c>
      <c r="C7605" s="131" t="s">
        <v>252</v>
      </c>
      <c r="D7605" s="132" t="n">
        <v>46689</v>
      </c>
      <c r="E7605" s="131" t="s">
        <v>20</v>
      </c>
      <c r="F7605" s="133" t="s">
        <v>19</v>
      </c>
      <c r="G7605" s="134" t="n">
        <f aca="false">LEN('Saisie programme'!$H$251)+SUMIFS('Vols additionnels'!$E$7:$E$66,'Vols additionnels'!$C$7:$C$66,$E7605,'Vols additionnels'!$D$7:$D$66,$F7605,'Vols additionnels'!$B$7:$B$66,$D7605)</f>
        <v>1</v>
      </c>
      <c r="H7605" s="135" t="n">
        <f aca="false">$G7605*'Analyse capacite'!$F$8</f>
        <v>262</v>
      </c>
      <c r="I7605" s="135" t="n">
        <f aca="false">$G7605*'Analyse capacite'!$C$8</f>
        <v>18</v>
      </c>
      <c r="J7605" s="135" t="n">
        <f aca="false">$G7605*'Analyse capacite'!$D$8</f>
        <v>0</v>
      </c>
      <c r="K7605" s="135" t="n">
        <f aca="false">$G7605*'Analyse capacite'!$E$8</f>
        <v>244</v>
      </c>
    </row>
    <row r="7606" customFormat="false" ht="15" hidden="false" customHeight="false" outlineLevel="0" collapsed="false">
      <c r="B7606" s="130" t="n">
        <v>2027</v>
      </c>
      <c r="C7606" s="131" t="s">
        <v>252</v>
      </c>
      <c r="D7606" s="132" t="n">
        <v>46689</v>
      </c>
      <c r="E7606" s="131" t="s">
        <v>20</v>
      </c>
      <c r="F7606" s="133" t="s">
        <v>24</v>
      </c>
      <c r="G7606" s="134" t="n">
        <f aca="false">LEN('Saisie programme'!$H$252)+SUMIFS('Vols additionnels'!$E$7:$E$66,'Vols additionnels'!$C$7:$C$66,$E7606,'Vols additionnels'!$D$7:$D$66,$F7606,'Vols additionnels'!$B$7:$B$66,$D7606)</f>
        <v>0</v>
      </c>
      <c r="H7606" s="135" t="n">
        <f aca="false">$G7606*'Analyse capacite'!$F$9</f>
        <v>0</v>
      </c>
      <c r="I7606" s="135" t="n">
        <f aca="false">$G7606*'Analyse capacite'!$C$9</f>
        <v>0</v>
      </c>
      <c r="J7606" s="135" t="n">
        <f aca="false">$G7606*'Analyse capacite'!$D$9</f>
        <v>0</v>
      </c>
      <c r="K7606" s="135" t="n">
        <f aca="false">$G7606*'Analyse capacite'!$E$9</f>
        <v>0</v>
      </c>
    </row>
    <row r="7607" customFormat="false" ht="15" hidden="false" customHeight="false" outlineLevel="0" collapsed="false">
      <c r="B7607" s="130" t="n">
        <v>2027</v>
      </c>
      <c r="C7607" s="131" t="s">
        <v>252</v>
      </c>
      <c r="D7607" s="132" t="n">
        <v>46689</v>
      </c>
      <c r="E7607" s="131" t="s">
        <v>25</v>
      </c>
      <c r="F7607" s="133" t="s">
        <v>11</v>
      </c>
      <c r="G7607" s="134" t="n">
        <f aca="false">LEN('Saisie programme'!$H$253)+SUMIFS('Vols additionnels'!$E$7:$E$66,'Vols additionnels'!$C$7:$C$66,$E7607,'Vols additionnels'!$D$7:$D$66,$F7607,'Vols additionnels'!$B$7:$B$66,$D7607)</f>
        <v>0</v>
      </c>
      <c r="H7607" s="135" t="n">
        <f aca="false">$G7607*'Analyse capacite'!$F$7</f>
        <v>0</v>
      </c>
      <c r="I7607" s="135" t="n">
        <f aca="false">$G7607*'Analyse capacite'!$C$7</f>
        <v>0</v>
      </c>
      <c r="J7607" s="135" t="n">
        <f aca="false">$G7607*'Analyse capacite'!$D$7</f>
        <v>0</v>
      </c>
      <c r="K7607" s="135" t="n">
        <f aca="false">$G7607*'Analyse capacite'!$E$7</f>
        <v>0</v>
      </c>
    </row>
    <row r="7608" customFormat="false" ht="15" hidden="false" customHeight="false" outlineLevel="0" collapsed="false">
      <c r="B7608" s="130" t="n">
        <v>2027</v>
      </c>
      <c r="C7608" s="131" t="s">
        <v>252</v>
      </c>
      <c r="D7608" s="132" t="n">
        <v>46689</v>
      </c>
      <c r="E7608" s="131" t="s">
        <v>25</v>
      </c>
      <c r="F7608" s="133" t="s">
        <v>19</v>
      </c>
      <c r="G7608" s="134" t="n">
        <f aca="false">LEN('Saisie programme'!$H$254)+SUMIFS('Vols additionnels'!$E$7:$E$66,'Vols additionnels'!$C$7:$C$66,$E7608,'Vols additionnels'!$D$7:$D$66,$F7608,'Vols additionnels'!$B$7:$B$66,$D7608)</f>
        <v>0</v>
      </c>
      <c r="H7608" s="135" t="n">
        <f aca="false">$G7608*'Analyse capacite'!$F$8</f>
        <v>0</v>
      </c>
      <c r="I7608" s="135" t="n">
        <f aca="false">$G7608*'Analyse capacite'!$C$8</f>
        <v>0</v>
      </c>
      <c r="J7608" s="135" t="n">
        <f aca="false">$G7608*'Analyse capacite'!$D$8</f>
        <v>0</v>
      </c>
      <c r="K7608" s="135" t="n">
        <f aca="false">$G7608*'Analyse capacite'!$E$8</f>
        <v>0</v>
      </c>
    </row>
    <row r="7609" customFormat="false" ht="15" hidden="false" customHeight="false" outlineLevel="0" collapsed="false">
      <c r="B7609" s="130" t="n">
        <v>2027</v>
      </c>
      <c r="C7609" s="131" t="s">
        <v>252</v>
      </c>
      <c r="D7609" s="132" t="n">
        <v>46689</v>
      </c>
      <c r="E7609" s="131" t="s">
        <v>25</v>
      </c>
      <c r="F7609" s="133" t="s">
        <v>24</v>
      </c>
      <c r="G7609" s="134" t="n">
        <f aca="false">LEN('Saisie programme'!$H$255)+SUMIFS('Vols additionnels'!$E$7:$E$66,'Vols additionnels'!$C$7:$C$66,$E7609,'Vols additionnels'!$D$7:$D$66,$F7609,'Vols additionnels'!$B$7:$B$66,$D7609)</f>
        <v>0</v>
      </c>
      <c r="H7609" s="135" t="n">
        <f aca="false">$G7609*'Analyse capacite'!$F$9</f>
        <v>0</v>
      </c>
      <c r="I7609" s="135" t="n">
        <f aca="false">$G7609*'Analyse capacite'!$C$9</f>
        <v>0</v>
      </c>
      <c r="J7609" s="135" t="n">
        <f aca="false">$G7609*'Analyse capacite'!$D$9</f>
        <v>0</v>
      </c>
      <c r="K7609" s="135" t="n">
        <f aca="false">$G7609*'Analyse capacite'!$E$9</f>
        <v>0</v>
      </c>
    </row>
    <row r="7610" customFormat="false" ht="15" hidden="false" customHeight="false" outlineLevel="0" collapsed="false">
      <c r="B7610" s="130" t="n">
        <v>2027</v>
      </c>
      <c r="C7610" s="131" t="s">
        <v>252</v>
      </c>
      <c r="D7610" s="132" t="n">
        <v>46689</v>
      </c>
      <c r="E7610" s="131" t="s">
        <v>36</v>
      </c>
      <c r="F7610" s="133" t="s">
        <v>11</v>
      </c>
      <c r="G7610" s="134" t="n">
        <f aca="false">LEN('Saisie programme'!$H$256)+SUMIFS('Vols additionnels'!$E$7:$E$66,'Vols additionnels'!$C$7:$C$66,$E7610,'Vols additionnels'!$D$7:$D$66,$F7610,'Vols additionnels'!$B$7:$B$66,$D7610)</f>
        <v>0</v>
      </c>
      <c r="H7610" s="135" t="n">
        <f aca="false">$G7610*'Analyse capacite'!$F$7</f>
        <v>0</v>
      </c>
      <c r="I7610" s="135" t="n">
        <f aca="false">$G7610*'Analyse capacite'!$C$7</f>
        <v>0</v>
      </c>
      <c r="J7610" s="135" t="n">
        <f aca="false">$G7610*'Analyse capacite'!$D$7</f>
        <v>0</v>
      </c>
      <c r="K7610" s="135" t="n">
        <f aca="false">$G7610*'Analyse capacite'!$E$7</f>
        <v>0</v>
      </c>
    </row>
    <row r="7611" customFormat="false" ht="15" hidden="false" customHeight="false" outlineLevel="0" collapsed="false">
      <c r="B7611" s="130" t="n">
        <v>2027</v>
      </c>
      <c r="C7611" s="131" t="s">
        <v>252</v>
      </c>
      <c r="D7611" s="132" t="n">
        <v>46689</v>
      </c>
      <c r="E7611" s="131" t="s">
        <v>36</v>
      </c>
      <c r="F7611" s="133" t="s">
        <v>19</v>
      </c>
      <c r="G7611" s="134" t="n">
        <f aca="false">LEN('Saisie programme'!$H$257)+SUMIFS('Vols additionnels'!$E$7:$E$66,'Vols additionnels'!$C$7:$C$66,$E7611,'Vols additionnels'!$D$7:$D$66,$F7611,'Vols additionnels'!$B$7:$B$66,$D7611)</f>
        <v>0</v>
      </c>
      <c r="H7611" s="135" t="n">
        <f aca="false">$G7611*'Analyse capacite'!$F$8</f>
        <v>0</v>
      </c>
      <c r="I7611" s="135" t="n">
        <f aca="false">$G7611*'Analyse capacite'!$C$8</f>
        <v>0</v>
      </c>
      <c r="J7611" s="135" t="n">
        <f aca="false">$G7611*'Analyse capacite'!$D$8</f>
        <v>0</v>
      </c>
      <c r="K7611" s="135" t="n">
        <f aca="false">$G7611*'Analyse capacite'!$E$8</f>
        <v>0</v>
      </c>
    </row>
    <row r="7612" customFormat="false" ht="15" hidden="false" customHeight="false" outlineLevel="0" collapsed="false">
      <c r="B7612" s="130" t="n">
        <v>2027</v>
      </c>
      <c r="C7612" s="131" t="s">
        <v>252</v>
      </c>
      <c r="D7612" s="132" t="n">
        <v>46689</v>
      </c>
      <c r="E7612" s="131" t="s">
        <v>36</v>
      </c>
      <c r="F7612" s="133" t="s">
        <v>24</v>
      </c>
      <c r="G7612" s="134" t="n">
        <f aca="false">LEN('Saisie programme'!$H$258)+SUMIFS('Vols additionnels'!$E$7:$E$66,'Vols additionnels'!$C$7:$C$66,$E7612,'Vols additionnels'!$D$7:$D$66,$F7612,'Vols additionnels'!$B$7:$B$66,$D7612)</f>
        <v>1</v>
      </c>
      <c r="H7612" s="135" t="n">
        <f aca="false">$G7612*'Analyse capacite'!$F$9</f>
        <v>174</v>
      </c>
      <c r="I7612" s="135" t="n">
        <f aca="false">$G7612*'Analyse capacite'!$C$9</f>
        <v>0</v>
      </c>
      <c r="J7612" s="135" t="n">
        <f aca="false">$G7612*'Analyse capacite'!$D$9</f>
        <v>12</v>
      </c>
      <c r="K7612" s="135" t="n">
        <f aca="false">$G7612*'Analyse capacite'!$E$9</f>
        <v>162</v>
      </c>
    </row>
    <row r="7613" customFormat="false" ht="15" hidden="false" customHeight="false" outlineLevel="0" collapsed="false">
      <c r="B7613" s="130" t="n">
        <v>2027</v>
      </c>
      <c r="C7613" s="131" t="s">
        <v>252</v>
      </c>
      <c r="D7613" s="132" t="n">
        <v>46689</v>
      </c>
      <c r="E7613" s="131" t="s">
        <v>40</v>
      </c>
      <c r="F7613" s="133" t="s">
        <v>11</v>
      </c>
      <c r="G7613" s="134" t="n">
        <f aca="false">LEN('Saisie programme'!$H$259)+SUMIFS('Vols additionnels'!$E$7:$E$66,'Vols additionnels'!$C$7:$C$66,$E7613,'Vols additionnels'!$D$7:$D$66,$F7613,'Vols additionnels'!$B$7:$B$66,$D7613)</f>
        <v>0</v>
      </c>
      <c r="H7613" s="135" t="n">
        <f aca="false">$G7613*'Analyse capacite'!$F$7</f>
        <v>0</v>
      </c>
      <c r="I7613" s="135" t="n">
        <f aca="false">$G7613*'Analyse capacite'!$C$7</f>
        <v>0</v>
      </c>
      <c r="J7613" s="135" t="n">
        <f aca="false">$G7613*'Analyse capacite'!$D$7</f>
        <v>0</v>
      </c>
      <c r="K7613" s="135" t="n">
        <f aca="false">$G7613*'Analyse capacite'!$E$7</f>
        <v>0</v>
      </c>
    </row>
    <row r="7614" customFormat="false" ht="15" hidden="false" customHeight="false" outlineLevel="0" collapsed="false">
      <c r="B7614" s="130" t="n">
        <v>2027</v>
      </c>
      <c r="C7614" s="131" t="s">
        <v>252</v>
      </c>
      <c r="D7614" s="132" t="n">
        <v>46689</v>
      </c>
      <c r="E7614" s="131" t="s">
        <v>40</v>
      </c>
      <c r="F7614" s="133" t="s">
        <v>19</v>
      </c>
      <c r="G7614" s="134" t="n">
        <f aca="false">LEN('Saisie programme'!$H$260)+SUMIFS('Vols additionnels'!$E$7:$E$66,'Vols additionnels'!$C$7:$C$66,$E7614,'Vols additionnels'!$D$7:$D$66,$F7614,'Vols additionnels'!$B$7:$B$66,$D7614)</f>
        <v>0</v>
      </c>
      <c r="H7614" s="135" t="n">
        <f aca="false">$G7614*'Analyse capacite'!$F$8</f>
        <v>0</v>
      </c>
      <c r="I7614" s="135" t="n">
        <f aca="false">$G7614*'Analyse capacite'!$C$8</f>
        <v>0</v>
      </c>
      <c r="J7614" s="135" t="n">
        <f aca="false">$G7614*'Analyse capacite'!$D$8</f>
        <v>0</v>
      </c>
      <c r="K7614" s="135" t="n">
        <f aca="false">$G7614*'Analyse capacite'!$E$8</f>
        <v>0</v>
      </c>
    </row>
    <row r="7615" customFormat="false" ht="15" hidden="false" customHeight="false" outlineLevel="0" collapsed="false">
      <c r="B7615" s="130" t="n">
        <v>2027</v>
      </c>
      <c r="C7615" s="131" t="s">
        <v>252</v>
      </c>
      <c r="D7615" s="132" t="n">
        <v>46689</v>
      </c>
      <c r="E7615" s="131" t="s">
        <v>40</v>
      </c>
      <c r="F7615" s="133" t="s">
        <v>24</v>
      </c>
      <c r="G7615" s="134" t="n">
        <f aca="false">LEN('Saisie programme'!$H$261)+SUMIFS('Vols additionnels'!$E$7:$E$66,'Vols additionnels'!$C$7:$C$66,$E7615,'Vols additionnels'!$D$7:$D$66,$F7615,'Vols additionnels'!$B$7:$B$66,$D7615)</f>
        <v>1</v>
      </c>
      <c r="H7615" s="135" t="n">
        <f aca="false">$G7615*'Analyse capacite'!$F$9</f>
        <v>174</v>
      </c>
      <c r="I7615" s="135" t="n">
        <f aca="false">$G7615*'Analyse capacite'!$C$9</f>
        <v>0</v>
      </c>
      <c r="J7615" s="135" t="n">
        <f aca="false">$G7615*'Analyse capacite'!$D$9</f>
        <v>12</v>
      </c>
      <c r="K7615" s="135" t="n">
        <f aca="false">$G7615*'Analyse capacite'!$E$9</f>
        <v>162</v>
      </c>
    </row>
    <row r="7616" customFormat="false" ht="15" hidden="false" customHeight="false" outlineLevel="0" collapsed="false">
      <c r="B7616" s="130" t="n">
        <v>2027</v>
      </c>
      <c r="C7616" s="131" t="s">
        <v>252</v>
      </c>
      <c r="D7616" s="132" t="n">
        <v>46689</v>
      </c>
      <c r="E7616" s="131" t="s">
        <v>14</v>
      </c>
      <c r="F7616" s="133" t="s">
        <v>11</v>
      </c>
      <c r="G7616" s="134" t="n">
        <f aca="false">LEN('Saisie programme'!$H$262)+SUMIFS('Vols additionnels'!$E$7:$E$66,'Vols additionnels'!$C$7:$C$66,$E7616,'Vols additionnels'!$D$7:$D$66,$F7616,'Vols additionnels'!$B$7:$B$66,$D7616)</f>
        <v>0</v>
      </c>
      <c r="H7616" s="135" t="n">
        <f aca="false">$G7616*'Analyse capacite'!$F$7</f>
        <v>0</v>
      </c>
      <c r="I7616" s="135" t="n">
        <f aca="false">$G7616*'Analyse capacite'!$C$7</f>
        <v>0</v>
      </c>
      <c r="J7616" s="135" t="n">
        <f aca="false">$G7616*'Analyse capacite'!$D$7</f>
        <v>0</v>
      </c>
      <c r="K7616" s="135" t="n">
        <f aca="false">$G7616*'Analyse capacite'!$E$7</f>
        <v>0</v>
      </c>
    </row>
    <row r="7617" customFormat="false" ht="15" hidden="false" customHeight="false" outlineLevel="0" collapsed="false">
      <c r="B7617" s="130" t="n">
        <v>2027</v>
      </c>
      <c r="C7617" s="131" t="s">
        <v>252</v>
      </c>
      <c r="D7617" s="132" t="n">
        <v>46689</v>
      </c>
      <c r="E7617" s="131" t="s">
        <v>14</v>
      </c>
      <c r="F7617" s="133" t="s">
        <v>19</v>
      </c>
      <c r="G7617" s="134" t="n">
        <f aca="false">LEN('Saisie programme'!$H$263)+SUMIFS('Vols additionnels'!$E$7:$E$66,'Vols additionnels'!$C$7:$C$66,$E7617,'Vols additionnels'!$D$7:$D$66,$F7617,'Vols additionnels'!$B$7:$B$66,$D7617)</f>
        <v>0</v>
      </c>
      <c r="H7617" s="135" t="n">
        <f aca="false">$G7617*'Analyse capacite'!$F$8</f>
        <v>0</v>
      </c>
      <c r="I7617" s="135" t="n">
        <f aca="false">$G7617*'Analyse capacite'!$C$8</f>
        <v>0</v>
      </c>
      <c r="J7617" s="135" t="n">
        <f aca="false">$G7617*'Analyse capacite'!$D$8</f>
        <v>0</v>
      </c>
      <c r="K7617" s="135" t="n">
        <f aca="false">$G7617*'Analyse capacite'!$E$8</f>
        <v>0</v>
      </c>
    </row>
    <row r="7618" customFormat="false" ht="15" hidden="false" customHeight="false" outlineLevel="0" collapsed="false">
      <c r="B7618" s="130" t="n">
        <v>2027</v>
      </c>
      <c r="C7618" s="131" t="s">
        <v>252</v>
      </c>
      <c r="D7618" s="132" t="n">
        <v>46689</v>
      </c>
      <c r="E7618" s="131" t="s">
        <v>14</v>
      </c>
      <c r="F7618" s="133" t="s">
        <v>24</v>
      </c>
      <c r="G7618" s="134" t="n">
        <f aca="false">LEN('Saisie programme'!$H$264)+SUMIFS('Vols additionnels'!$E$7:$E$66,'Vols additionnels'!$C$7:$C$66,$E7618,'Vols additionnels'!$D$7:$D$66,$F7618,'Vols additionnels'!$B$7:$B$66,$D7618)</f>
        <v>0</v>
      </c>
      <c r="H7618" s="135" t="n">
        <f aca="false">$G7618*'Analyse capacite'!$F$9</f>
        <v>0</v>
      </c>
      <c r="I7618" s="135" t="n">
        <f aca="false">$G7618*'Analyse capacite'!$C$9</f>
        <v>0</v>
      </c>
      <c r="J7618" s="135" t="n">
        <f aca="false">$G7618*'Analyse capacite'!$D$9</f>
        <v>0</v>
      </c>
      <c r="K7618" s="135" t="n">
        <f aca="false">$G7618*'Analyse capacite'!$E$9</f>
        <v>0</v>
      </c>
    </row>
    <row r="7619" customFormat="false" ht="15" hidden="false" customHeight="false" outlineLevel="0" collapsed="false">
      <c r="B7619" s="130" t="n">
        <v>2027</v>
      </c>
      <c r="C7619" s="131" t="s">
        <v>252</v>
      </c>
      <c r="D7619" s="132" t="n">
        <v>46689</v>
      </c>
      <c r="E7619" s="131" t="s">
        <v>46</v>
      </c>
      <c r="F7619" s="133" t="s">
        <v>11</v>
      </c>
      <c r="G7619" s="134" t="n">
        <f aca="false">LEN('Saisie programme'!$H$265)+SUMIFS('Vols additionnels'!$E$7:$E$66,'Vols additionnels'!$C$7:$C$66,$E7619,'Vols additionnels'!$D$7:$D$66,$F7619,'Vols additionnels'!$B$7:$B$66,$D7619)</f>
        <v>0</v>
      </c>
      <c r="H7619" s="135" t="n">
        <f aca="false">$G7619*'Analyse capacite'!$F$7</f>
        <v>0</v>
      </c>
      <c r="I7619" s="135" t="n">
        <f aca="false">$G7619*'Analyse capacite'!$C$7</f>
        <v>0</v>
      </c>
      <c r="J7619" s="135" t="n">
        <f aca="false">$G7619*'Analyse capacite'!$D$7</f>
        <v>0</v>
      </c>
      <c r="K7619" s="135" t="n">
        <f aca="false">$G7619*'Analyse capacite'!$E$7</f>
        <v>0</v>
      </c>
    </row>
    <row r="7620" customFormat="false" ht="15" hidden="false" customHeight="false" outlineLevel="0" collapsed="false">
      <c r="B7620" s="130" t="n">
        <v>2027</v>
      </c>
      <c r="C7620" s="131" t="s">
        <v>252</v>
      </c>
      <c r="D7620" s="132" t="n">
        <v>46689</v>
      </c>
      <c r="E7620" s="131" t="s">
        <v>46</v>
      </c>
      <c r="F7620" s="133" t="s">
        <v>19</v>
      </c>
      <c r="G7620" s="134" t="n">
        <f aca="false">LEN('Saisie programme'!$H$266)+SUMIFS('Vols additionnels'!$E$7:$E$66,'Vols additionnels'!$C$7:$C$66,$E7620,'Vols additionnels'!$D$7:$D$66,$F7620,'Vols additionnels'!$B$7:$B$66,$D7620)</f>
        <v>0</v>
      </c>
      <c r="H7620" s="135" t="n">
        <f aca="false">$G7620*'Analyse capacite'!$F$8</f>
        <v>0</v>
      </c>
      <c r="I7620" s="135" t="n">
        <f aca="false">$G7620*'Analyse capacite'!$C$8</f>
        <v>0</v>
      </c>
      <c r="J7620" s="135" t="n">
        <f aca="false">$G7620*'Analyse capacite'!$D$8</f>
        <v>0</v>
      </c>
      <c r="K7620" s="135" t="n">
        <f aca="false">$G7620*'Analyse capacite'!$E$8</f>
        <v>0</v>
      </c>
    </row>
    <row r="7621" customFormat="false" ht="15" hidden="false" customHeight="false" outlineLevel="0" collapsed="false">
      <c r="B7621" s="130" t="n">
        <v>2027</v>
      </c>
      <c r="C7621" s="131" t="s">
        <v>252</v>
      </c>
      <c r="D7621" s="132" t="n">
        <v>46689</v>
      </c>
      <c r="E7621" s="131" t="s">
        <v>46</v>
      </c>
      <c r="F7621" s="133" t="s">
        <v>24</v>
      </c>
      <c r="G7621" s="134" t="n">
        <f aca="false">LEN('Saisie programme'!$H$267)+SUMIFS('Vols additionnels'!$E$7:$E$66,'Vols additionnels'!$C$7:$C$66,$E7621,'Vols additionnels'!$D$7:$D$66,$F7621,'Vols additionnels'!$B$7:$B$66,$D7621)</f>
        <v>0</v>
      </c>
      <c r="H7621" s="135" t="n">
        <f aca="false">$G7621*'Analyse capacite'!$F$9</f>
        <v>0</v>
      </c>
      <c r="I7621" s="135" t="n">
        <f aca="false">$G7621*'Analyse capacite'!$C$9</f>
        <v>0</v>
      </c>
      <c r="J7621" s="135" t="n">
        <f aca="false">$G7621*'Analyse capacite'!$D$9</f>
        <v>0</v>
      </c>
      <c r="K7621" s="135" t="n">
        <f aca="false">$G7621*'Analyse capacite'!$E$9</f>
        <v>0</v>
      </c>
    </row>
    <row r="7622" customFormat="false" ht="15" hidden="false" customHeight="false" outlineLevel="0" collapsed="false">
      <c r="B7622" s="130" t="n">
        <v>2027</v>
      </c>
      <c r="C7622" s="131" t="s">
        <v>252</v>
      </c>
      <c r="D7622" s="132" t="n">
        <v>46689</v>
      </c>
      <c r="E7622" s="131" t="s">
        <v>49</v>
      </c>
      <c r="F7622" s="133" t="s">
        <v>11</v>
      </c>
      <c r="G7622" s="134" t="n">
        <f aca="false">LEN('Saisie programme'!$H$268)+SUMIFS('Vols additionnels'!$E$7:$E$66,'Vols additionnels'!$C$7:$C$66,$E7622,'Vols additionnels'!$D$7:$D$66,$F7622,'Vols additionnels'!$B$7:$B$66,$D7622)</f>
        <v>0</v>
      </c>
      <c r="H7622" s="135" t="n">
        <f aca="false">$G7622*'Analyse capacite'!$F$7</f>
        <v>0</v>
      </c>
      <c r="I7622" s="135" t="n">
        <f aca="false">$G7622*'Analyse capacite'!$C$7</f>
        <v>0</v>
      </c>
      <c r="J7622" s="135" t="n">
        <f aca="false">$G7622*'Analyse capacite'!$D$7</f>
        <v>0</v>
      </c>
      <c r="K7622" s="135" t="n">
        <f aca="false">$G7622*'Analyse capacite'!$E$7</f>
        <v>0</v>
      </c>
    </row>
    <row r="7623" customFormat="false" ht="15" hidden="false" customHeight="false" outlineLevel="0" collapsed="false">
      <c r="B7623" s="130" t="n">
        <v>2027</v>
      </c>
      <c r="C7623" s="131" t="s">
        <v>252</v>
      </c>
      <c r="D7623" s="132" t="n">
        <v>46689</v>
      </c>
      <c r="E7623" s="131" t="s">
        <v>49</v>
      </c>
      <c r="F7623" s="133" t="s">
        <v>19</v>
      </c>
      <c r="G7623" s="134" t="n">
        <f aca="false">LEN('Saisie programme'!$H$269)+SUMIFS('Vols additionnels'!$E$7:$E$66,'Vols additionnels'!$C$7:$C$66,$E7623,'Vols additionnels'!$D$7:$D$66,$F7623,'Vols additionnels'!$B$7:$B$66,$D7623)</f>
        <v>1</v>
      </c>
      <c r="H7623" s="135" t="n">
        <f aca="false">$G7623*'Analyse capacite'!$F$8</f>
        <v>262</v>
      </c>
      <c r="I7623" s="135" t="n">
        <f aca="false">$G7623*'Analyse capacite'!$C$8</f>
        <v>18</v>
      </c>
      <c r="J7623" s="135" t="n">
        <f aca="false">$G7623*'Analyse capacite'!$D$8</f>
        <v>0</v>
      </c>
      <c r="K7623" s="135" t="n">
        <f aca="false">$G7623*'Analyse capacite'!$E$8</f>
        <v>244</v>
      </c>
    </row>
    <row r="7624" customFormat="false" ht="15" hidden="false" customHeight="false" outlineLevel="0" collapsed="false">
      <c r="B7624" s="130" t="n">
        <v>2027</v>
      </c>
      <c r="C7624" s="131" t="s">
        <v>252</v>
      </c>
      <c r="D7624" s="132" t="n">
        <v>46689</v>
      </c>
      <c r="E7624" s="131" t="s">
        <v>49</v>
      </c>
      <c r="F7624" s="133" t="s">
        <v>24</v>
      </c>
      <c r="G7624" s="134" t="n">
        <f aca="false">LEN('Saisie programme'!$H$270)+SUMIFS('Vols additionnels'!$E$7:$E$66,'Vols additionnels'!$C$7:$C$66,$E7624,'Vols additionnels'!$D$7:$D$66,$F7624,'Vols additionnels'!$B$7:$B$66,$D7624)</f>
        <v>0</v>
      </c>
      <c r="H7624" s="135" t="n">
        <f aca="false">$G7624*'Analyse capacite'!$F$9</f>
        <v>0</v>
      </c>
      <c r="I7624" s="135" t="n">
        <f aca="false">$G7624*'Analyse capacite'!$C$9</f>
        <v>0</v>
      </c>
      <c r="J7624" s="135" t="n">
        <f aca="false">$G7624*'Analyse capacite'!$D$9</f>
        <v>0</v>
      </c>
      <c r="K7624" s="135" t="n">
        <f aca="false">$G7624*'Analyse capacite'!$E$9</f>
        <v>0</v>
      </c>
    </row>
    <row r="7625" customFormat="false" ht="15" hidden="false" customHeight="false" outlineLevel="0" collapsed="false">
      <c r="B7625" s="130" t="n">
        <v>2027</v>
      </c>
      <c r="C7625" s="131" t="s">
        <v>252</v>
      </c>
      <c r="D7625" s="132" t="n">
        <v>46689</v>
      </c>
      <c r="E7625" s="131" t="s">
        <v>53</v>
      </c>
      <c r="F7625" s="133" t="s">
        <v>11</v>
      </c>
      <c r="G7625" s="134" t="n">
        <f aca="false">LEN('Saisie programme'!$H$271)+SUMIFS('Vols additionnels'!$E$7:$E$66,'Vols additionnels'!$C$7:$C$66,$E7625,'Vols additionnels'!$D$7:$D$66,$F7625,'Vols additionnels'!$B$7:$B$66,$D7625)</f>
        <v>0</v>
      </c>
      <c r="H7625" s="135" t="n">
        <f aca="false">$G7625*'Analyse capacite'!$F$7</f>
        <v>0</v>
      </c>
      <c r="I7625" s="135" t="n">
        <f aca="false">$G7625*'Analyse capacite'!$C$7</f>
        <v>0</v>
      </c>
      <c r="J7625" s="135" t="n">
        <f aca="false">$G7625*'Analyse capacite'!$D$7</f>
        <v>0</v>
      </c>
      <c r="K7625" s="135" t="n">
        <f aca="false">$G7625*'Analyse capacite'!$E$7</f>
        <v>0</v>
      </c>
    </row>
    <row r="7626" customFormat="false" ht="15" hidden="false" customHeight="false" outlineLevel="0" collapsed="false">
      <c r="B7626" s="130" t="n">
        <v>2027</v>
      </c>
      <c r="C7626" s="131" t="s">
        <v>252</v>
      </c>
      <c r="D7626" s="132" t="n">
        <v>46689</v>
      </c>
      <c r="E7626" s="131" t="s">
        <v>53</v>
      </c>
      <c r="F7626" s="133" t="s">
        <v>19</v>
      </c>
      <c r="G7626" s="134" t="n">
        <f aca="false">LEN('Saisie programme'!$H$272)+SUMIFS('Vols additionnels'!$E$7:$E$66,'Vols additionnels'!$C$7:$C$66,$E7626,'Vols additionnels'!$D$7:$D$66,$F7626,'Vols additionnels'!$B$7:$B$66,$D7626)</f>
        <v>0</v>
      </c>
      <c r="H7626" s="135" t="n">
        <f aca="false">$G7626*'Analyse capacite'!$F$8</f>
        <v>0</v>
      </c>
      <c r="I7626" s="135" t="n">
        <f aca="false">$G7626*'Analyse capacite'!$C$8</f>
        <v>0</v>
      </c>
      <c r="J7626" s="135" t="n">
        <f aca="false">$G7626*'Analyse capacite'!$D$8</f>
        <v>0</v>
      </c>
      <c r="K7626" s="135" t="n">
        <f aca="false">$G7626*'Analyse capacite'!$E$8</f>
        <v>0</v>
      </c>
    </row>
    <row r="7627" customFormat="false" ht="15" hidden="false" customHeight="false" outlineLevel="0" collapsed="false">
      <c r="B7627" s="130" t="n">
        <v>2027</v>
      </c>
      <c r="C7627" s="131" t="s">
        <v>252</v>
      </c>
      <c r="D7627" s="132" t="n">
        <v>46689</v>
      </c>
      <c r="E7627" s="131" t="s">
        <v>53</v>
      </c>
      <c r="F7627" s="133" t="s">
        <v>24</v>
      </c>
      <c r="G7627" s="134" t="n">
        <f aca="false">LEN('Saisie programme'!$H$273)+SUMIFS('Vols additionnels'!$E$7:$E$66,'Vols additionnels'!$C$7:$C$66,$E7627,'Vols additionnels'!$D$7:$D$66,$F7627,'Vols additionnels'!$B$7:$B$66,$D7627)</f>
        <v>0</v>
      </c>
      <c r="H7627" s="135" t="n">
        <f aca="false">$G7627*'Analyse capacite'!$F$9</f>
        <v>0</v>
      </c>
      <c r="I7627" s="135" t="n">
        <f aca="false">$G7627*'Analyse capacite'!$C$9</f>
        <v>0</v>
      </c>
      <c r="J7627" s="135" t="n">
        <f aca="false">$G7627*'Analyse capacite'!$D$9</f>
        <v>0</v>
      </c>
      <c r="K7627" s="135" t="n">
        <f aca="false">$G7627*'Analyse capacite'!$E$9</f>
        <v>0</v>
      </c>
    </row>
    <row r="7628" customFormat="false" ht="15" hidden="false" customHeight="false" outlineLevel="0" collapsed="false">
      <c r="B7628" s="130" t="n">
        <v>2027</v>
      </c>
      <c r="C7628" s="131" t="s">
        <v>252</v>
      </c>
      <c r="D7628" s="132" t="n">
        <v>46689</v>
      </c>
      <c r="E7628" s="131" t="s">
        <v>56</v>
      </c>
      <c r="F7628" s="133" t="s">
        <v>11</v>
      </c>
      <c r="G7628" s="134" t="n">
        <f aca="false">LEN('Saisie programme'!$H$274)+SUMIFS('Vols additionnels'!$E$7:$E$66,'Vols additionnels'!$C$7:$C$66,$E7628,'Vols additionnels'!$D$7:$D$66,$F7628,'Vols additionnels'!$B$7:$B$66,$D7628)</f>
        <v>0</v>
      </c>
      <c r="H7628" s="135" t="n">
        <f aca="false">$G7628*'Analyse capacite'!$F$7</f>
        <v>0</v>
      </c>
      <c r="I7628" s="135" t="n">
        <f aca="false">$G7628*'Analyse capacite'!$C$7</f>
        <v>0</v>
      </c>
      <c r="J7628" s="135" t="n">
        <f aca="false">$G7628*'Analyse capacite'!$D$7</f>
        <v>0</v>
      </c>
      <c r="K7628" s="135" t="n">
        <f aca="false">$G7628*'Analyse capacite'!$E$7</f>
        <v>0</v>
      </c>
    </row>
    <row r="7629" customFormat="false" ht="15" hidden="false" customHeight="false" outlineLevel="0" collapsed="false">
      <c r="B7629" s="130" t="n">
        <v>2027</v>
      </c>
      <c r="C7629" s="131" t="s">
        <v>252</v>
      </c>
      <c r="D7629" s="132" t="n">
        <v>46689</v>
      </c>
      <c r="E7629" s="131" t="s">
        <v>56</v>
      </c>
      <c r="F7629" s="133" t="s">
        <v>19</v>
      </c>
      <c r="G7629" s="134" t="n">
        <f aca="false">LEN('Saisie programme'!$H$275)+SUMIFS('Vols additionnels'!$E$7:$E$66,'Vols additionnels'!$C$7:$C$66,$E7629,'Vols additionnels'!$D$7:$D$66,$F7629,'Vols additionnels'!$B$7:$B$66,$D7629)</f>
        <v>0</v>
      </c>
      <c r="H7629" s="135" t="n">
        <f aca="false">$G7629*'Analyse capacite'!$F$8</f>
        <v>0</v>
      </c>
      <c r="I7629" s="135" t="n">
        <f aca="false">$G7629*'Analyse capacite'!$C$8</f>
        <v>0</v>
      </c>
      <c r="J7629" s="135" t="n">
        <f aca="false">$G7629*'Analyse capacite'!$D$8</f>
        <v>0</v>
      </c>
      <c r="K7629" s="135" t="n">
        <f aca="false">$G7629*'Analyse capacite'!$E$8</f>
        <v>0</v>
      </c>
    </row>
    <row r="7630" customFormat="false" ht="15" hidden="false" customHeight="false" outlineLevel="0" collapsed="false">
      <c r="B7630" s="130" t="n">
        <v>2027</v>
      </c>
      <c r="C7630" s="131" t="s">
        <v>252</v>
      </c>
      <c r="D7630" s="132" t="n">
        <v>46689</v>
      </c>
      <c r="E7630" s="131" t="s">
        <v>56</v>
      </c>
      <c r="F7630" s="133" t="s">
        <v>24</v>
      </c>
      <c r="G7630" s="134" t="n">
        <f aca="false">LEN('Saisie programme'!$H$276)+SUMIFS('Vols additionnels'!$E$7:$E$66,'Vols additionnels'!$C$7:$C$66,$E7630,'Vols additionnels'!$D$7:$D$66,$F7630,'Vols additionnels'!$B$7:$B$66,$D7630)</f>
        <v>0</v>
      </c>
      <c r="H7630" s="135" t="n">
        <f aca="false">$G7630*'Analyse capacite'!$F$9</f>
        <v>0</v>
      </c>
      <c r="I7630" s="135" t="n">
        <f aca="false">$G7630*'Analyse capacite'!$C$9</f>
        <v>0</v>
      </c>
      <c r="J7630" s="135" t="n">
        <f aca="false">$G7630*'Analyse capacite'!$D$9</f>
        <v>0</v>
      </c>
      <c r="K7630" s="135" t="n">
        <f aca="false">$G7630*'Analyse capacite'!$E$9</f>
        <v>0</v>
      </c>
    </row>
    <row r="7631" customFormat="false" ht="15" hidden="false" customHeight="false" outlineLevel="0" collapsed="false">
      <c r="B7631" s="130" t="n">
        <v>2027</v>
      </c>
      <c r="C7631" s="131" t="s">
        <v>252</v>
      </c>
      <c r="D7631" s="132" t="n">
        <v>46689</v>
      </c>
      <c r="E7631" s="131" t="s">
        <v>59</v>
      </c>
      <c r="F7631" s="133" t="s">
        <v>11</v>
      </c>
      <c r="G7631" s="134" t="n">
        <f aca="false">LEN('Saisie programme'!$H$277)+SUMIFS('Vols additionnels'!$E$7:$E$66,'Vols additionnels'!$C$7:$C$66,$E7631,'Vols additionnels'!$D$7:$D$66,$F7631,'Vols additionnels'!$B$7:$B$66,$D7631)</f>
        <v>0</v>
      </c>
      <c r="H7631" s="135" t="n">
        <f aca="false">$G7631*'Analyse capacite'!$F$7</f>
        <v>0</v>
      </c>
      <c r="I7631" s="135" t="n">
        <f aca="false">$G7631*'Analyse capacite'!$C$7</f>
        <v>0</v>
      </c>
      <c r="J7631" s="135" t="n">
        <f aca="false">$G7631*'Analyse capacite'!$D$7</f>
        <v>0</v>
      </c>
      <c r="K7631" s="135" t="n">
        <f aca="false">$G7631*'Analyse capacite'!$E$7</f>
        <v>0</v>
      </c>
    </row>
    <row r="7632" customFormat="false" ht="15" hidden="false" customHeight="false" outlineLevel="0" collapsed="false">
      <c r="B7632" s="130" t="n">
        <v>2027</v>
      </c>
      <c r="C7632" s="131" t="s">
        <v>252</v>
      </c>
      <c r="D7632" s="132" t="n">
        <v>46689</v>
      </c>
      <c r="E7632" s="131" t="s">
        <v>59</v>
      </c>
      <c r="F7632" s="133" t="s">
        <v>19</v>
      </c>
      <c r="G7632" s="134" t="n">
        <f aca="false">LEN('Saisie programme'!$H$278)+SUMIFS('Vols additionnels'!$E$7:$E$66,'Vols additionnels'!$C$7:$C$66,$E7632,'Vols additionnels'!$D$7:$D$66,$F7632,'Vols additionnels'!$B$7:$B$66,$D7632)</f>
        <v>0</v>
      </c>
      <c r="H7632" s="135" t="n">
        <f aca="false">$G7632*'Analyse capacite'!$F$8</f>
        <v>0</v>
      </c>
      <c r="I7632" s="135" t="n">
        <f aca="false">$G7632*'Analyse capacite'!$C$8</f>
        <v>0</v>
      </c>
      <c r="J7632" s="135" t="n">
        <f aca="false">$G7632*'Analyse capacite'!$D$8</f>
        <v>0</v>
      </c>
      <c r="K7632" s="135" t="n">
        <f aca="false">$G7632*'Analyse capacite'!$E$8</f>
        <v>0</v>
      </c>
    </row>
    <row r="7633" customFormat="false" ht="15" hidden="false" customHeight="false" outlineLevel="0" collapsed="false">
      <c r="B7633" s="130" t="n">
        <v>2027</v>
      </c>
      <c r="C7633" s="131" t="s">
        <v>252</v>
      </c>
      <c r="D7633" s="132" t="n">
        <v>46689</v>
      </c>
      <c r="E7633" s="131" t="s">
        <v>59</v>
      </c>
      <c r="F7633" s="133" t="s">
        <v>24</v>
      </c>
      <c r="G7633" s="134" t="n">
        <f aca="false">LEN('Saisie programme'!$H$279)+SUMIFS('Vols additionnels'!$E$7:$E$66,'Vols additionnels'!$C$7:$C$66,$E7633,'Vols additionnels'!$D$7:$D$66,$F7633,'Vols additionnels'!$B$7:$B$66,$D7633)</f>
        <v>1</v>
      </c>
      <c r="H7633" s="135" t="n">
        <f aca="false">$G7633*'Analyse capacite'!$F$9</f>
        <v>174</v>
      </c>
      <c r="I7633" s="135" t="n">
        <f aca="false">$G7633*'Analyse capacite'!$C$9</f>
        <v>0</v>
      </c>
      <c r="J7633" s="135" t="n">
        <f aca="false">$G7633*'Analyse capacite'!$D$9</f>
        <v>12</v>
      </c>
      <c r="K7633" s="135" t="n">
        <f aca="false">$G7633*'Analyse capacite'!$E$9</f>
        <v>162</v>
      </c>
    </row>
    <row r="7634" customFormat="false" ht="15" hidden="false" customHeight="false" outlineLevel="0" collapsed="false">
      <c r="B7634" s="130" t="n">
        <v>2027</v>
      </c>
      <c r="C7634" s="131" t="s">
        <v>252</v>
      </c>
      <c r="D7634" s="132" t="n">
        <v>46689</v>
      </c>
      <c r="E7634" s="131" t="s">
        <v>62</v>
      </c>
      <c r="F7634" s="133" t="s">
        <v>11</v>
      </c>
      <c r="G7634" s="134" t="n">
        <f aca="false">LEN('Saisie programme'!$H$280)+SUMIFS('Vols additionnels'!$E$7:$E$66,'Vols additionnels'!$C$7:$C$66,$E7634,'Vols additionnels'!$D$7:$D$66,$F7634,'Vols additionnels'!$B$7:$B$66,$D7634)</f>
        <v>0</v>
      </c>
      <c r="H7634" s="135" t="n">
        <f aca="false">$G7634*'Analyse capacite'!$F$7</f>
        <v>0</v>
      </c>
      <c r="I7634" s="135" t="n">
        <f aca="false">$G7634*'Analyse capacite'!$C$7</f>
        <v>0</v>
      </c>
      <c r="J7634" s="135" t="n">
        <f aca="false">$G7634*'Analyse capacite'!$D$7</f>
        <v>0</v>
      </c>
      <c r="K7634" s="135" t="n">
        <f aca="false">$G7634*'Analyse capacite'!$E$7</f>
        <v>0</v>
      </c>
    </row>
    <row r="7635" customFormat="false" ht="15" hidden="false" customHeight="false" outlineLevel="0" collapsed="false">
      <c r="B7635" s="130" t="n">
        <v>2027</v>
      </c>
      <c r="C7635" s="131" t="s">
        <v>252</v>
      </c>
      <c r="D7635" s="132" t="n">
        <v>46689</v>
      </c>
      <c r="E7635" s="131" t="s">
        <v>62</v>
      </c>
      <c r="F7635" s="133" t="s">
        <v>19</v>
      </c>
      <c r="G7635" s="134" t="n">
        <f aca="false">LEN('Saisie programme'!$H$281)+SUMIFS('Vols additionnels'!$E$7:$E$66,'Vols additionnels'!$C$7:$C$66,$E7635,'Vols additionnels'!$D$7:$D$66,$F7635,'Vols additionnels'!$B$7:$B$66,$D7635)</f>
        <v>0</v>
      </c>
      <c r="H7635" s="135" t="n">
        <f aca="false">$G7635*'Analyse capacite'!$F$8</f>
        <v>0</v>
      </c>
      <c r="I7635" s="135" t="n">
        <f aca="false">$G7635*'Analyse capacite'!$C$8</f>
        <v>0</v>
      </c>
      <c r="J7635" s="135" t="n">
        <f aca="false">$G7635*'Analyse capacite'!$D$8</f>
        <v>0</v>
      </c>
      <c r="K7635" s="135" t="n">
        <f aca="false">$G7635*'Analyse capacite'!$E$8</f>
        <v>0</v>
      </c>
    </row>
    <row r="7636" customFormat="false" ht="15" hidden="false" customHeight="false" outlineLevel="0" collapsed="false">
      <c r="B7636" s="130" t="n">
        <v>2027</v>
      </c>
      <c r="C7636" s="131" t="s">
        <v>252</v>
      </c>
      <c r="D7636" s="132" t="n">
        <v>46689</v>
      </c>
      <c r="E7636" s="131" t="s">
        <v>62</v>
      </c>
      <c r="F7636" s="133" t="s">
        <v>24</v>
      </c>
      <c r="G7636" s="134" t="n">
        <f aca="false">LEN('Saisie programme'!$H$282)+SUMIFS('Vols additionnels'!$E$7:$E$66,'Vols additionnels'!$C$7:$C$66,$E7636,'Vols additionnels'!$D$7:$D$66,$F7636,'Vols additionnels'!$B$7:$B$66,$D7636)</f>
        <v>0</v>
      </c>
      <c r="H7636" s="135" t="n">
        <f aca="false">$G7636*'Analyse capacite'!$F$9</f>
        <v>0</v>
      </c>
      <c r="I7636" s="135" t="n">
        <f aca="false">$G7636*'Analyse capacite'!$C$9</f>
        <v>0</v>
      </c>
      <c r="J7636" s="135" t="n">
        <f aca="false">$G7636*'Analyse capacite'!$D$9</f>
        <v>0</v>
      </c>
      <c r="K7636" s="135" t="n">
        <f aca="false">$G7636*'Analyse capacite'!$E$9</f>
        <v>0</v>
      </c>
    </row>
    <row r="7637" customFormat="false" ht="15" hidden="false" customHeight="false" outlineLevel="0" collapsed="false">
      <c r="B7637" s="130" t="n">
        <v>2027</v>
      </c>
      <c r="C7637" s="131" t="s">
        <v>252</v>
      </c>
      <c r="D7637" s="132" t="n">
        <v>46690</v>
      </c>
      <c r="E7637" s="131" t="s">
        <v>12</v>
      </c>
      <c r="F7637" s="133" t="s">
        <v>11</v>
      </c>
      <c r="G7637" s="134" t="n">
        <f aca="false">LEN('Saisie programme'!$I$247)+SUMIFS('Vols additionnels'!$E$7:$E$66,'Vols additionnels'!$C$7:$C$66,$E7637,'Vols additionnels'!$D$7:$D$66,$F7637,'Vols additionnels'!$B$7:$B$66,$D7637)</f>
        <v>1</v>
      </c>
      <c r="H7637" s="135" t="n">
        <f aca="false">$G7637*'Analyse capacite'!$F$7</f>
        <v>438</v>
      </c>
      <c r="I7637" s="135" t="n">
        <f aca="false">$G7637*'Analyse capacite'!$C$7</f>
        <v>14</v>
      </c>
      <c r="J7637" s="135" t="n">
        <f aca="false">$G7637*'Analyse capacite'!$D$7</f>
        <v>40</v>
      </c>
      <c r="K7637" s="135" t="n">
        <f aca="false">$G7637*'Analyse capacite'!$E$7</f>
        <v>384</v>
      </c>
    </row>
    <row r="7638" customFormat="false" ht="15" hidden="false" customHeight="false" outlineLevel="0" collapsed="false">
      <c r="B7638" s="130" t="n">
        <v>2027</v>
      </c>
      <c r="C7638" s="131" t="s">
        <v>252</v>
      </c>
      <c r="D7638" s="132" t="n">
        <v>46690</v>
      </c>
      <c r="E7638" s="131" t="s">
        <v>12</v>
      </c>
      <c r="F7638" s="133" t="s">
        <v>19</v>
      </c>
      <c r="G7638" s="134" t="n">
        <f aca="false">LEN('Saisie programme'!$I$248)+SUMIFS('Vols additionnels'!$E$7:$E$66,'Vols additionnels'!$C$7:$C$66,$E7638,'Vols additionnels'!$D$7:$D$66,$F7638,'Vols additionnels'!$B$7:$B$66,$D7638)</f>
        <v>0</v>
      </c>
      <c r="H7638" s="135" t="n">
        <f aca="false">$G7638*'Analyse capacite'!$F$8</f>
        <v>0</v>
      </c>
      <c r="I7638" s="135" t="n">
        <f aca="false">$G7638*'Analyse capacite'!$C$8</f>
        <v>0</v>
      </c>
      <c r="J7638" s="135" t="n">
        <f aca="false">$G7638*'Analyse capacite'!$D$8</f>
        <v>0</v>
      </c>
      <c r="K7638" s="135" t="n">
        <f aca="false">$G7638*'Analyse capacite'!$E$8</f>
        <v>0</v>
      </c>
    </row>
    <row r="7639" customFormat="false" ht="15" hidden="false" customHeight="false" outlineLevel="0" collapsed="false">
      <c r="B7639" s="130" t="n">
        <v>2027</v>
      </c>
      <c r="C7639" s="131" t="s">
        <v>252</v>
      </c>
      <c r="D7639" s="132" t="n">
        <v>46690</v>
      </c>
      <c r="E7639" s="131" t="s">
        <v>12</v>
      </c>
      <c r="F7639" s="133" t="s">
        <v>24</v>
      </c>
      <c r="G7639" s="134" t="n">
        <f aca="false">LEN('Saisie programme'!$I$249)+SUMIFS('Vols additionnels'!$E$7:$E$66,'Vols additionnels'!$C$7:$C$66,$E7639,'Vols additionnels'!$D$7:$D$66,$F7639,'Vols additionnels'!$B$7:$B$66,$D7639)</f>
        <v>0</v>
      </c>
      <c r="H7639" s="135" t="n">
        <f aca="false">$G7639*'Analyse capacite'!$F$9</f>
        <v>0</v>
      </c>
      <c r="I7639" s="135" t="n">
        <f aca="false">$G7639*'Analyse capacite'!$C$9</f>
        <v>0</v>
      </c>
      <c r="J7639" s="135" t="n">
        <f aca="false">$G7639*'Analyse capacite'!$D$9</f>
        <v>0</v>
      </c>
      <c r="K7639" s="135" t="n">
        <f aca="false">$G7639*'Analyse capacite'!$E$9</f>
        <v>0</v>
      </c>
    </row>
    <row r="7640" customFormat="false" ht="15" hidden="false" customHeight="false" outlineLevel="0" collapsed="false">
      <c r="B7640" s="130" t="n">
        <v>2027</v>
      </c>
      <c r="C7640" s="131" t="s">
        <v>252</v>
      </c>
      <c r="D7640" s="132" t="n">
        <v>46690</v>
      </c>
      <c r="E7640" s="131" t="s">
        <v>20</v>
      </c>
      <c r="F7640" s="133" t="s">
        <v>11</v>
      </c>
      <c r="G7640" s="134" t="n">
        <f aca="false">LEN('Saisie programme'!$I$250)+SUMIFS('Vols additionnels'!$E$7:$E$66,'Vols additionnels'!$C$7:$C$66,$E7640,'Vols additionnels'!$D$7:$D$66,$F7640,'Vols additionnels'!$B$7:$B$66,$D7640)</f>
        <v>0</v>
      </c>
      <c r="H7640" s="135" t="n">
        <f aca="false">$G7640*'Analyse capacite'!$F$7</f>
        <v>0</v>
      </c>
      <c r="I7640" s="135" t="n">
        <f aca="false">$G7640*'Analyse capacite'!$C$7</f>
        <v>0</v>
      </c>
      <c r="J7640" s="135" t="n">
        <f aca="false">$G7640*'Analyse capacite'!$D$7</f>
        <v>0</v>
      </c>
      <c r="K7640" s="135" t="n">
        <f aca="false">$G7640*'Analyse capacite'!$E$7</f>
        <v>0</v>
      </c>
    </row>
    <row r="7641" customFormat="false" ht="15" hidden="false" customHeight="false" outlineLevel="0" collapsed="false">
      <c r="B7641" s="130" t="n">
        <v>2027</v>
      </c>
      <c r="C7641" s="131" t="s">
        <v>252</v>
      </c>
      <c r="D7641" s="132" t="n">
        <v>46690</v>
      </c>
      <c r="E7641" s="131" t="s">
        <v>20</v>
      </c>
      <c r="F7641" s="133" t="s">
        <v>19</v>
      </c>
      <c r="G7641" s="134" t="n">
        <f aca="false">LEN('Saisie programme'!$I$251)+SUMIFS('Vols additionnels'!$E$7:$E$66,'Vols additionnels'!$C$7:$C$66,$E7641,'Vols additionnels'!$D$7:$D$66,$F7641,'Vols additionnels'!$B$7:$B$66,$D7641)</f>
        <v>0</v>
      </c>
      <c r="H7641" s="135" t="n">
        <f aca="false">$G7641*'Analyse capacite'!$F$8</f>
        <v>0</v>
      </c>
      <c r="I7641" s="135" t="n">
        <f aca="false">$G7641*'Analyse capacite'!$C$8</f>
        <v>0</v>
      </c>
      <c r="J7641" s="135" t="n">
        <f aca="false">$G7641*'Analyse capacite'!$D$8</f>
        <v>0</v>
      </c>
      <c r="K7641" s="135" t="n">
        <f aca="false">$G7641*'Analyse capacite'!$E$8</f>
        <v>0</v>
      </c>
    </row>
    <row r="7642" customFormat="false" ht="15" hidden="false" customHeight="false" outlineLevel="0" collapsed="false">
      <c r="B7642" s="130" t="n">
        <v>2027</v>
      </c>
      <c r="C7642" s="131" t="s">
        <v>252</v>
      </c>
      <c r="D7642" s="132" t="n">
        <v>46690</v>
      </c>
      <c r="E7642" s="131" t="s">
        <v>20</v>
      </c>
      <c r="F7642" s="133" t="s">
        <v>24</v>
      </c>
      <c r="G7642" s="134" t="n">
        <f aca="false">LEN('Saisie programme'!$I$252)+SUMIFS('Vols additionnels'!$E$7:$E$66,'Vols additionnels'!$C$7:$C$66,$E7642,'Vols additionnels'!$D$7:$D$66,$F7642,'Vols additionnels'!$B$7:$B$66,$D7642)</f>
        <v>0</v>
      </c>
      <c r="H7642" s="135" t="n">
        <f aca="false">$G7642*'Analyse capacite'!$F$9</f>
        <v>0</v>
      </c>
      <c r="I7642" s="135" t="n">
        <f aca="false">$G7642*'Analyse capacite'!$C$9</f>
        <v>0</v>
      </c>
      <c r="J7642" s="135" t="n">
        <f aca="false">$G7642*'Analyse capacite'!$D$9</f>
        <v>0</v>
      </c>
      <c r="K7642" s="135" t="n">
        <f aca="false">$G7642*'Analyse capacite'!$E$9</f>
        <v>0</v>
      </c>
    </row>
    <row r="7643" customFormat="false" ht="15" hidden="false" customHeight="false" outlineLevel="0" collapsed="false">
      <c r="B7643" s="130" t="n">
        <v>2027</v>
      </c>
      <c r="C7643" s="131" t="s">
        <v>252</v>
      </c>
      <c r="D7643" s="132" t="n">
        <v>46690</v>
      </c>
      <c r="E7643" s="131" t="s">
        <v>25</v>
      </c>
      <c r="F7643" s="133" t="s">
        <v>11</v>
      </c>
      <c r="G7643" s="134" t="n">
        <f aca="false">LEN('Saisie programme'!$I$253)+SUMIFS('Vols additionnels'!$E$7:$E$66,'Vols additionnels'!$C$7:$C$66,$E7643,'Vols additionnels'!$D$7:$D$66,$F7643,'Vols additionnels'!$B$7:$B$66,$D7643)</f>
        <v>0</v>
      </c>
      <c r="H7643" s="135" t="n">
        <f aca="false">$G7643*'Analyse capacite'!$F$7</f>
        <v>0</v>
      </c>
      <c r="I7643" s="135" t="n">
        <f aca="false">$G7643*'Analyse capacite'!$C$7</f>
        <v>0</v>
      </c>
      <c r="J7643" s="135" t="n">
        <f aca="false">$G7643*'Analyse capacite'!$D$7</f>
        <v>0</v>
      </c>
      <c r="K7643" s="135" t="n">
        <f aca="false">$G7643*'Analyse capacite'!$E$7</f>
        <v>0</v>
      </c>
    </row>
    <row r="7644" customFormat="false" ht="15" hidden="false" customHeight="false" outlineLevel="0" collapsed="false">
      <c r="B7644" s="130" t="n">
        <v>2027</v>
      </c>
      <c r="C7644" s="131" t="s">
        <v>252</v>
      </c>
      <c r="D7644" s="132" t="n">
        <v>46690</v>
      </c>
      <c r="E7644" s="131" t="s">
        <v>25</v>
      </c>
      <c r="F7644" s="133" t="s">
        <v>19</v>
      </c>
      <c r="G7644" s="134" t="n">
        <f aca="false">LEN('Saisie programme'!$I$254)+SUMIFS('Vols additionnels'!$E$7:$E$66,'Vols additionnels'!$C$7:$C$66,$E7644,'Vols additionnels'!$D$7:$D$66,$F7644,'Vols additionnels'!$B$7:$B$66,$D7644)</f>
        <v>1</v>
      </c>
      <c r="H7644" s="135" t="n">
        <f aca="false">$G7644*'Analyse capacite'!$F$8</f>
        <v>262</v>
      </c>
      <c r="I7644" s="135" t="n">
        <f aca="false">$G7644*'Analyse capacite'!$C$8</f>
        <v>18</v>
      </c>
      <c r="J7644" s="135" t="n">
        <f aca="false">$G7644*'Analyse capacite'!$D$8</f>
        <v>0</v>
      </c>
      <c r="K7644" s="135" t="n">
        <f aca="false">$G7644*'Analyse capacite'!$E$8</f>
        <v>244</v>
      </c>
    </row>
    <row r="7645" customFormat="false" ht="15" hidden="false" customHeight="false" outlineLevel="0" collapsed="false">
      <c r="B7645" s="130" t="n">
        <v>2027</v>
      </c>
      <c r="C7645" s="131" t="s">
        <v>252</v>
      </c>
      <c r="D7645" s="132" t="n">
        <v>46690</v>
      </c>
      <c r="E7645" s="131" t="s">
        <v>25</v>
      </c>
      <c r="F7645" s="133" t="s">
        <v>24</v>
      </c>
      <c r="G7645" s="134" t="n">
        <f aca="false">LEN('Saisie programme'!$I$255)+SUMIFS('Vols additionnels'!$E$7:$E$66,'Vols additionnels'!$C$7:$C$66,$E7645,'Vols additionnels'!$D$7:$D$66,$F7645,'Vols additionnels'!$B$7:$B$66,$D7645)</f>
        <v>0</v>
      </c>
      <c r="H7645" s="135" t="n">
        <f aca="false">$G7645*'Analyse capacite'!$F$9</f>
        <v>0</v>
      </c>
      <c r="I7645" s="135" t="n">
        <f aca="false">$G7645*'Analyse capacite'!$C$9</f>
        <v>0</v>
      </c>
      <c r="J7645" s="135" t="n">
        <f aca="false">$G7645*'Analyse capacite'!$D$9</f>
        <v>0</v>
      </c>
      <c r="K7645" s="135" t="n">
        <f aca="false">$G7645*'Analyse capacite'!$E$9</f>
        <v>0</v>
      </c>
    </row>
    <row r="7646" customFormat="false" ht="15" hidden="false" customHeight="false" outlineLevel="0" collapsed="false">
      <c r="B7646" s="130" t="n">
        <v>2027</v>
      </c>
      <c r="C7646" s="131" t="s">
        <v>252</v>
      </c>
      <c r="D7646" s="132" t="n">
        <v>46690</v>
      </c>
      <c r="E7646" s="131" t="s">
        <v>36</v>
      </c>
      <c r="F7646" s="133" t="s">
        <v>11</v>
      </c>
      <c r="G7646" s="134" t="n">
        <f aca="false">LEN('Saisie programme'!$I$256)+SUMIFS('Vols additionnels'!$E$7:$E$66,'Vols additionnels'!$C$7:$C$66,$E7646,'Vols additionnels'!$D$7:$D$66,$F7646,'Vols additionnels'!$B$7:$B$66,$D7646)</f>
        <v>0</v>
      </c>
      <c r="H7646" s="135" t="n">
        <f aca="false">$G7646*'Analyse capacite'!$F$7</f>
        <v>0</v>
      </c>
      <c r="I7646" s="135" t="n">
        <f aca="false">$G7646*'Analyse capacite'!$C$7</f>
        <v>0</v>
      </c>
      <c r="J7646" s="135" t="n">
        <f aca="false">$G7646*'Analyse capacite'!$D$7</f>
        <v>0</v>
      </c>
      <c r="K7646" s="135" t="n">
        <f aca="false">$G7646*'Analyse capacite'!$E$7</f>
        <v>0</v>
      </c>
    </row>
    <row r="7647" customFormat="false" ht="15" hidden="false" customHeight="false" outlineLevel="0" collapsed="false">
      <c r="B7647" s="130" t="n">
        <v>2027</v>
      </c>
      <c r="C7647" s="131" t="s">
        <v>252</v>
      </c>
      <c r="D7647" s="132" t="n">
        <v>46690</v>
      </c>
      <c r="E7647" s="131" t="s">
        <v>36</v>
      </c>
      <c r="F7647" s="133" t="s">
        <v>19</v>
      </c>
      <c r="G7647" s="134" t="n">
        <f aca="false">LEN('Saisie programme'!$I$257)+SUMIFS('Vols additionnels'!$E$7:$E$66,'Vols additionnels'!$C$7:$C$66,$E7647,'Vols additionnels'!$D$7:$D$66,$F7647,'Vols additionnels'!$B$7:$B$66,$D7647)</f>
        <v>0</v>
      </c>
      <c r="H7647" s="135" t="n">
        <f aca="false">$G7647*'Analyse capacite'!$F$8</f>
        <v>0</v>
      </c>
      <c r="I7647" s="135" t="n">
        <f aca="false">$G7647*'Analyse capacite'!$C$8</f>
        <v>0</v>
      </c>
      <c r="J7647" s="135" t="n">
        <f aca="false">$G7647*'Analyse capacite'!$D$8</f>
        <v>0</v>
      </c>
      <c r="K7647" s="135" t="n">
        <f aca="false">$G7647*'Analyse capacite'!$E$8</f>
        <v>0</v>
      </c>
    </row>
    <row r="7648" customFormat="false" ht="15" hidden="false" customHeight="false" outlineLevel="0" collapsed="false">
      <c r="B7648" s="130" t="n">
        <v>2027</v>
      </c>
      <c r="C7648" s="131" t="s">
        <v>252</v>
      </c>
      <c r="D7648" s="132" t="n">
        <v>46690</v>
      </c>
      <c r="E7648" s="131" t="s">
        <v>36</v>
      </c>
      <c r="F7648" s="133" t="s">
        <v>24</v>
      </c>
      <c r="G7648" s="134" t="n">
        <f aca="false">LEN('Saisie programme'!$I$258)+SUMIFS('Vols additionnels'!$E$7:$E$66,'Vols additionnels'!$C$7:$C$66,$E7648,'Vols additionnels'!$D$7:$D$66,$F7648,'Vols additionnels'!$B$7:$B$66,$D7648)</f>
        <v>0</v>
      </c>
      <c r="H7648" s="135" t="n">
        <f aca="false">$G7648*'Analyse capacite'!$F$9</f>
        <v>0</v>
      </c>
      <c r="I7648" s="135" t="n">
        <f aca="false">$G7648*'Analyse capacite'!$C$9</f>
        <v>0</v>
      </c>
      <c r="J7648" s="135" t="n">
        <f aca="false">$G7648*'Analyse capacite'!$D$9</f>
        <v>0</v>
      </c>
      <c r="K7648" s="135" t="n">
        <f aca="false">$G7648*'Analyse capacite'!$E$9</f>
        <v>0</v>
      </c>
    </row>
    <row r="7649" customFormat="false" ht="15" hidden="false" customHeight="false" outlineLevel="0" collapsed="false">
      <c r="B7649" s="130" t="n">
        <v>2027</v>
      </c>
      <c r="C7649" s="131" t="s">
        <v>252</v>
      </c>
      <c r="D7649" s="132" t="n">
        <v>46690</v>
      </c>
      <c r="E7649" s="131" t="s">
        <v>40</v>
      </c>
      <c r="F7649" s="133" t="s">
        <v>11</v>
      </c>
      <c r="G7649" s="134" t="n">
        <f aca="false">LEN('Saisie programme'!$I$259)+SUMIFS('Vols additionnels'!$E$7:$E$66,'Vols additionnels'!$C$7:$C$66,$E7649,'Vols additionnels'!$D$7:$D$66,$F7649,'Vols additionnels'!$B$7:$B$66,$D7649)</f>
        <v>0</v>
      </c>
      <c r="H7649" s="135" t="n">
        <f aca="false">$G7649*'Analyse capacite'!$F$7</f>
        <v>0</v>
      </c>
      <c r="I7649" s="135" t="n">
        <f aca="false">$G7649*'Analyse capacite'!$C$7</f>
        <v>0</v>
      </c>
      <c r="J7649" s="135" t="n">
        <f aca="false">$G7649*'Analyse capacite'!$D$7</f>
        <v>0</v>
      </c>
      <c r="K7649" s="135" t="n">
        <f aca="false">$G7649*'Analyse capacite'!$E$7</f>
        <v>0</v>
      </c>
    </row>
    <row r="7650" customFormat="false" ht="15" hidden="false" customHeight="false" outlineLevel="0" collapsed="false">
      <c r="B7650" s="130" t="n">
        <v>2027</v>
      </c>
      <c r="C7650" s="131" t="s">
        <v>252</v>
      </c>
      <c r="D7650" s="132" t="n">
        <v>46690</v>
      </c>
      <c r="E7650" s="131" t="s">
        <v>40</v>
      </c>
      <c r="F7650" s="133" t="s">
        <v>19</v>
      </c>
      <c r="G7650" s="134" t="n">
        <f aca="false">LEN('Saisie programme'!$I$260)+SUMIFS('Vols additionnels'!$E$7:$E$66,'Vols additionnels'!$C$7:$C$66,$E7650,'Vols additionnels'!$D$7:$D$66,$F7650,'Vols additionnels'!$B$7:$B$66,$D7650)</f>
        <v>0</v>
      </c>
      <c r="H7650" s="135" t="n">
        <f aca="false">$G7650*'Analyse capacite'!$F$8</f>
        <v>0</v>
      </c>
      <c r="I7650" s="135" t="n">
        <f aca="false">$G7650*'Analyse capacite'!$C$8</f>
        <v>0</v>
      </c>
      <c r="J7650" s="135" t="n">
        <f aca="false">$G7650*'Analyse capacite'!$D$8</f>
        <v>0</v>
      </c>
      <c r="K7650" s="135" t="n">
        <f aca="false">$G7650*'Analyse capacite'!$E$8</f>
        <v>0</v>
      </c>
    </row>
    <row r="7651" customFormat="false" ht="15" hidden="false" customHeight="false" outlineLevel="0" collapsed="false">
      <c r="B7651" s="130" t="n">
        <v>2027</v>
      </c>
      <c r="C7651" s="131" t="s">
        <v>252</v>
      </c>
      <c r="D7651" s="132" t="n">
        <v>46690</v>
      </c>
      <c r="E7651" s="131" t="s">
        <v>40</v>
      </c>
      <c r="F7651" s="133" t="s">
        <v>24</v>
      </c>
      <c r="G7651" s="134" t="n">
        <f aca="false">LEN('Saisie programme'!$I$261)+SUMIFS('Vols additionnels'!$E$7:$E$66,'Vols additionnels'!$C$7:$C$66,$E7651,'Vols additionnels'!$D$7:$D$66,$F7651,'Vols additionnels'!$B$7:$B$66,$D7651)</f>
        <v>0</v>
      </c>
      <c r="H7651" s="135" t="n">
        <f aca="false">$G7651*'Analyse capacite'!$F$9</f>
        <v>0</v>
      </c>
      <c r="I7651" s="135" t="n">
        <f aca="false">$G7651*'Analyse capacite'!$C$9</f>
        <v>0</v>
      </c>
      <c r="J7651" s="135" t="n">
        <f aca="false">$G7651*'Analyse capacite'!$D$9</f>
        <v>0</v>
      </c>
      <c r="K7651" s="135" t="n">
        <f aca="false">$G7651*'Analyse capacite'!$E$9</f>
        <v>0</v>
      </c>
    </row>
    <row r="7652" customFormat="false" ht="15" hidden="false" customHeight="false" outlineLevel="0" collapsed="false">
      <c r="B7652" s="130" t="n">
        <v>2027</v>
      </c>
      <c r="C7652" s="131" t="s">
        <v>252</v>
      </c>
      <c r="D7652" s="132" t="n">
        <v>46690</v>
      </c>
      <c r="E7652" s="131" t="s">
        <v>14</v>
      </c>
      <c r="F7652" s="133" t="s">
        <v>11</v>
      </c>
      <c r="G7652" s="134" t="n">
        <f aca="false">LEN('Saisie programme'!$I$262)+SUMIFS('Vols additionnels'!$E$7:$E$66,'Vols additionnels'!$C$7:$C$66,$E7652,'Vols additionnels'!$D$7:$D$66,$F7652,'Vols additionnels'!$B$7:$B$66,$D7652)</f>
        <v>0</v>
      </c>
      <c r="H7652" s="135" t="n">
        <f aca="false">$G7652*'Analyse capacite'!$F$7</f>
        <v>0</v>
      </c>
      <c r="I7652" s="135" t="n">
        <f aca="false">$G7652*'Analyse capacite'!$C$7</f>
        <v>0</v>
      </c>
      <c r="J7652" s="135" t="n">
        <f aca="false">$G7652*'Analyse capacite'!$D$7</f>
        <v>0</v>
      </c>
      <c r="K7652" s="135" t="n">
        <f aca="false">$G7652*'Analyse capacite'!$E$7</f>
        <v>0</v>
      </c>
    </row>
    <row r="7653" customFormat="false" ht="15" hidden="false" customHeight="false" outlineLevel="0" collapsed="false">
      <c r="B7653" s="130" t="n">
        <v>2027</v>
      </c>
      <c r="C7653" s="131" t="s">
        <v>252</v>
      </c>
      <c r="D7653" s="132" t="n">
        <v>46690</v>
      </c>
      <c r="E7653" s="131" t="s">
        <v>14</v>
      </c>
      <c r="F7653" s="133" t="s">
        <v>19</v>
      </c>
      <c r="G7653" s="134" t="n">
        <f aca="false">LEN('Saisie programme'!$I$263)+SUMIFS('Vols additionnels'!$E$7:$E$66,'Vols additionnels'!$C$7:$C$66,$E7653,'Vols additionnels'!$D$7:$D$66,$F7653,'Vols additionnels'!$B$7:$B$66,$D7653)</f>
        <v>0</v>
      </c>
      <c r="H7653" s="135" t="n">
        <f aca="false">$G7653*'Analyse capacite'!$F$8</f>
        <v>0</v>
      </c>
      <c r="I7653" s="135" t="n">
        <f aca="false">$G7653*'Analyse capacite'!$C$8</f>
        <v>0</v>
      </c>
      <c r="J7653" s="135" t="n">
        <f aca="false">$G7653*'Analyse capacite'!$D$8</f>
        <v>0</v>
      </c>
      <c r="K7653" s="135" t="n">
        <f aca="false">$G7653*'Analyse capacite'!$E$8</f>
        <v>0</v>
      </c>
    </row>
    <row r="7654" customFormat="false" ht="15" hidden="false" customHeight="false" outlineLevel="0" collapsed="false">
      <c r="B7654" s="130" t="n">
        <v>2027</v>
      </c>
      <c r="C7654" s="131" t="s">
        <v>252</v>
      </c>
      <c r="D7654" s="132" t="n">
        <v>46690</v>
      </c>
      <c r="E7654" s="131" t="s">
        <v>14</v>
      </c>
      <c r="F7654" s="133" t="s">
        <v>24</v>
      </c>
      <c r="G7654" s="134" t="n">
        <f aca="false">LEN('Saisie programme'!$I$264)+SUMIFS('Vols additionnels'!$E$7:$E$66,'Vols additionnels'!$C$7:$C$66,$E7654,'Vols additionnels'!$D$7:$D$66,$F7654,'Vols additionnels'!$B$7:$B$66,$D7654)</f>
        <v>1</v>
      </c>
      <c r="H7654" s="135" t="n">
        <f aca="false">$G7654*'Analyse capacite'!$F$9</f>
        <v>174</v>
      </c>
      <c r="I7654" s="135" t="n">
        <f aca="false">$G7654*'Analyse capacite'!$C$9</f>
        <v>0</v>
      </c>
      <c r="J7654" s="135" t="n">
        <f aca="false">$G7654*'Analyse capacite'!$D$9</f>
        <v>12</v>
      </c>
      <c r="K7654" s="135" t="n">
        <f aca="false">$G7654*'Analyse capacite'!$E$9</f>
        <v>162</v>
      </c>
    </row>
    <row r="7655" customFormat="false" ht="15" hidden="false" customHeight="false" outlineLevel="0" collapsed="false">
      <c r="B7655" s="130" t="n">
        <v>2027</v>
      </c>
      <c r="C7655" s="131" t="s">
        <v>252</v>
      </c>
      <c r="D7655" s="132" t="n">
        <v>46690</v>
      </c>
      <c r="E7655" s="131" t="s">
        <v>46</v>
      </c>
      <c r="F7655" s="133" t="s">
        <v>11</v>
      </c>
      <c r="G7655" s="134" t="n">
        <f aca="false">LEN('Saisie programme'!$I$265)+SUMIFS('Vols additionnels'!$E$7:$E$66,'Vols additionnels'!$C$7:$C$66,$E7655,'Vols additionnels'!$D$7:$D$66,$F7655,'Vols additionnels'!$B$7:$B$66,$D7655)</f>
        <v>0</v>
      </c>
      <c r="H7655" s="135" t="n">
        <f aca="false">$G7655*'Analyse capacite'!$F$7</f>
        <v>0</v>
      </c>
      <c r="I7655" s="135" t="n">
        <f aca="false">$G7655*'Analyse capacite'!$C$7</f>
        <v>0</v>
      </c>
      <c r="J7655" s="135" t="n">
        <f aca="false">$G7655*'Analyse capacite'!$D$7</f>
        <v>0</v>
      </c>
      <c r="K7655" s="135" t="n">
        <f aca="false">$G7655*'Analyse capacite'!$E$7</f>
        <v>0</v>
      </c>
    </row>
    <row r="7656" customFormat="false" ht="15" hidden="false" customHeight="false" outlineLevel="0" collapsed="false">
      <c r="B7656" s="130" t="n">
        <v>2027</v>
      </c>
      <c r="C7656" s="131" t="s">
        <v>252</v>
      </c>
      <c r="D7656" s="132" t="n">
        <v>46690</v>
      </c>
      <c r="E7656" s="131" t="s">
        <v>46</v>
      </c>
      <c r="F7656" s="133" t="s">
        <v>19</v>
      </c>
      <c r="G7656" s="134" t="n">
        <f aca="false">LEN('Saisie programme'!$I$266)+SUMIFS('Vols additionnels'!$E$7:$E$66,'Vols additionnels'!$C$7:$C$66,$E7656,'Vols additionnels'!$D$7:$D$66,$F7656,'Vols additionnels'!$B$7:$B$66,$D7656)</f>
        <v>0</v>
      </c>
      <c r="H7656" s="135" t="n">
        <f aca="false">$G7656*'Analyse capacite'!$F$8</f>
        <v>0</v>
      </c>
      <c r="I7656" s="135" t="n">
        <f aca="false">$G7656*'Analyse capacite'!$C$8</f>
        <v>0</v>
      </c>
      <c r="J7656" s="135" t="n">
        <f aca="false">$G7656*'Analyse capacite'!$D$8</f>
        <v>0</v>
      </c>
      <c r="K7656" s="135" t="n">
        <f aca="false">$G7656*'Analyse capacite'!$E$8</f>
        <v>0</v>
      </c>
    </row>
    <row r="7657" customFormat="false" ht="15" hidden="false" customHeight="false" outlineLevel="0" collapsed="false">
      <c r="B7657" s="130" t="n">
        <v>2027</v>
      </c>
      <c r="C7657" s="131" t="s">
        <v>252</v>
      </c>
      <c r="D7657" s="132" t="n">
        <v>46690</v>
      </c>
      <c r="E7657" s="131" t="s">
        <v>46</v>
      </c>
      <c r="F7657" s="133" t="s">
        <v>24</v>
      </c>
      <c r="G7657" s="134" t="n">
        <f aca="false">LEN('Saisie programme'!$I$267)+SUMIFS('Vols additionnels'!$E$7:$E$66,'Vols additionnels'!$C$7:$C$66,$E7657,'Vols additionnels'!$D$7:$D$66,$F7657,'Vols additionnels'!$B$7:$B$66,$D7657)</f>
        <v>1</v>
      </c>
      <c r="H7657" s="135" t="n">
        <f aca="false">$G7657*'Analyse capacite'!$F$9</f>
        <v>174</v>
      </c>
      <c r="I7657" s="135" t="n">
        <f aca="false">$G7657*'Analyse capacite'!$C$9</f>
        <v>0</v>
      </c>
      <c r="J7657" s="135" t="n">
        <f aca="false">$G7657*'Analyse capacite'!$D$9</f>
        <v>12</v>
      </c>
      <c r="K7657" s="135" t="n">
        <f aca="false">$G7657*'Analyse capacite'!$E$9</f>
        <v>162</v>
      </c>
    </row>
    <row r="7658" customFormat="false" ht="15" hidden="false" customHeight="false" outlineLevel="0" collapsed="false">
      <c r="B7658" s="130" t="n">
        <v>2027</v>
      </c>
      <c r="C7658" s="131" t="s">
        <v>252</v>
      </c>
      <c r="D7658" s="132" t="n">
        <v>46690</v>
      </c>
      <c r="E7658" s="131" t="s">
        <v>49</v>
      </c>
      <c r="F7658" s="133" t="s">
        <v>11</v>
      </c>
      <c r="G7658" s="134" t="n">
        <f aca="false">LEN('Saisie programme'!$I$268)+SUMIFS('Vols additionnels'!$E$7:$E$66,'Vols additionnels'!$C$7:$C$66,$E7658,'Vols additionnels'!$D$7:$D$66,$F7658,'Vols additionnels'!$B$7:$B$66,$D7658)</f>
        <v>0</v>
      </c>
      <c r="H7658" s="135" t="n">
        <f aca="false">$G7658*'Analyse capacite'!$F$7</f>
        <v>0</v>
      </c>
      <c r="I7658" s="135" t="n">
        <f aca="false">$G7658*'Analyse capacite'!$C$7</f>
        <v>0</v>
      </c>
      <c r="J7658" s="135" t="n">
        <f aca="false">$G7658*'Analyse capacite'!$D$7</f>
        <v>0</v>
      </c>
      <c r="K7658" s="135" t="n">
        <f aca="false">$G7658*'Analyse capacite'!$E$7</f>
        <v>0</v>
      </c>
    </row>
    <row r="7659" customFormat="false" ht="15" hidden="false" customHeight="false" outlineLevel="0" collapsed="false">
      <c r="B7659" s="130" t="n">
        <v>2027</v>
      </c>
      <c r="C7659" s="131" t="s">
        <v>252</v>
      </c>
      <c r="D7659" s="132" t="n">
        <v>46690</v>
      </c>
      <c r="E7659" s="131" t="s">
        <v>49</v>
      </c>
      <c r="F7659" s="133" t="s">
        <v>19</v>
      </c>
      <c r="G7659" s="134" t="n">
        <f aca="false">LEN('Saisie programme'!$I$269)+SUMIFS('Vols additionnels'!$E$7:$E$66,'Vols additionnels'!$C$7:$C$66,$E7659,'Vols additionnels'!$D$7:$D$66,$F7659,'Vols additionnels'!$B$7:$B$66,$D7659)</f>
        <v>0</v>
      </c>
      <c r="H7659" s="135" t="n">
        <f aca="false">$G7659*'Analyse capacite'!$F$8</f>
        <v>0</v>
      </c>
      <c r="I7659" s="135" t="n">
        <f aca="false">$G7659*'Analyse capacite'!$C$8</f>
        <v>0</v>
      </c>
      <c r="J7659" s="135" t="n">
        <f aca="false">$G7659*'Analyse capacite'!$D$8</f>
        <v>0</v>
      </c>
      <c r="K7659" s="135" t="n">
        <f aca="false">$G7659*'Analyse capacite'!$E$8</f>
        <v>0</v>
      </c>
    </row>
    <row r="7660" customFormat="false" ht="15" hidden="false" customHeight="false" outlineLevel="0" collapsed="false">
      <c r="B7660" s="130" t="n">
        <v>2027</v>
      </c>
      <c r="C7660" s="131" t="s">
        <v>252</v>
      </c>
      <c r="D7660" s="132" t="n">
        <v>46690</v>
      </c>
      <c r="E7660" s="131" t="s">
        <v>49</v>
      </c>
      <c r="F7660" s="133" t="s">
        <v>24</v>
      </c>
      <c r="G7660" s="134" t="n">
        <f aca="false">LEN('Saisie programme'!$I$270)+SUMIFS('Vols additionnels'!$E$7:$E$66,'Vols additionnels'!$C$7:$C$66,$E7660,'Vols additionnels'!$D$7:$D$66,$F7660,'Vols additionnels'!$B$7:$B$66,$D7660)</f>
        <v>0</v>
      </c>
      <c r="H7660" s="135" t="n">
        <f aca="false">$G7660*'Analyse capacite'!$F$9</f>
        <v>0</v>
      </c>
      <c r="I7660" s="135" t="n">
        <f aca="false">$G7660*'Analyse capacite'!$C$9</f>
        <v>0</v>
      </c>
      <c r="J7660" s="135" t="n">
        <f aca="false">$G7660*'Analyse capacite'!$D$9</f>
        <v>0</v>
      </c>
      <c r="K7660" s="135" t="n">
        <f aca="false">$G7660*'Analyse capacite'!$E$9</f>
        <v>0</v>
      </c>
    </row>
    <row r="7661" customFormat="false" ht="15" hidden="false" customHeight="false" outlineLevel="0" collapsed="false">
      <c r="B7661" s="130" t="n">
        <v>2027</v>
      </c>
      <c r="C7661" s="131" t="s">
        <v>252</v>
      </c>
      <c r="D7661" s="132" t="n">
        <v>46690</v>
      </c>
      <c r="E7661" s="131" t="s">
        <v>53</v>
      </c>
      <c r="F7661" s="133" t="s">
        <v>11</v>
      </c>
      <c r="G7661" s="134" t="n">
        <f aca="false">LEN('Saisie programme'!$I$271)+SUMIFS('Vols additionnels'!$E$7:$E$66,'Vols additionnels'!$C$7:$C$66,$E7661,'Vols additionnels'!$D$7:$D$66,$F7661,'Vols additionnels'!$B$7:$B$66,$D7661)</f>
        <v>0</v>
      </c>
      <c r="H7661" s="135" t="n">
        <f aca="false">$G7661*'Analyse capacite'!$F$7</f>
        <v>0</v>
      </c>
      <c r="I7661" s="135" t="n">
        <f aca="false">$G7661*'Analyse capacite'!$C$7</f>
        <v>0</v>
      </c>
      <c r="J7661" s="135" t="n">
        <f aca="false">$G7661*'Analyse capacite'!$D$7</f>
        <v>0</v>
      </c>
      <c r="K7661" s="135" t="n">
        <f aca="false">$G7661*'Analyse capacite'!$E$7</f>
        <v>0</v>
      </c>
    </row>
    <row r="7662" customFormat="false" ht="15" hidden="false" customHeight="false" outlineLevel="0" collapsed="false">
      <c r="B7662" s="130" t="n">
        <v>2027</v>
      </c>
      <c r="C7662" s="131" t="s">
        <v>252</v>
      </c>
      <c r="D7662" s="132" t="n">
        <v>46690</v>
      </c>
      <c r="E7662" s="131" t="s">
        <v>53</v>
      </c>
      <c r="F7662" s="133" t="s">
        <v>19</v>
      </c>
      <c r="G7662" s="134" t="n">
        <f aca="false">LEN('Saisie programme'!$I$272)+SUMIFS('Vols additionnels'!$E$7:$E$66,'Vols additionnels'!$C$7:$C$66,$E7662,'Vols additionnels'!$D$7:$D$66,$F7662,'Vols additionnels'!$B$7:$B$66,$D7662)</f>
        <v>0</v>
      </c>
      <c r="H7662" s="135" t="n">
        <f aca="false">$G7662*'Analyse capacite'!$F$8</f>
        <v>0</v>
      </c>
      <c r="I7662" s="135" t="n">
        <f aca="false">$G7662*'Analyse capacite'!$C$8</f>
        <v>0</v>
      </c>
      <c r="J7662" s="135" t="n">
        <f aca="false">$G7662*'Analyse capacite'!$D$8</f>
        <v>0</v>
      </c>
      <c r="K7662" s="135" t="n">
        <f aca="false">$G7662*'Analyse capacite'!$E$8</f>
        <v>0</v>
      </c>
    </row>
    <row r="7663" customFormat="false" ht="15" hidden="false" customHeight="false" outlineLevel="0" collapsed="false">
      <c r="B7663" s="130" t="n">
        <v>2027</v>
      </c>
      <c r="C7663" s="131" t="s">
        <v>252</v>
      </c>
      <c r="D7663" s="132" t="n">
        <v>46690</v>
      </c>
      <c r="E7663" s="131" t="s">
        <v>53</v>
      </c>
      <c r="F7663" s="133" t="s">
        <v>24</v>
      </c>
      <c r="G7663" s="134" t="n">
        <f aca="false">LEN('Saisie programme'!$I$273)+SUMIFS('Vols additionnels'!$E$7:$E$66,'Vols additionnels'!$C$7:$C$66,$E7663,'Vols additionnels'!$D$7:$D$66,$F7663,'Vols additionnels'!$B$7:$B$66,$D7663)</f>
        <v>0</v>
      </c>
      <c r="H7663" s="135" t="n">
        <f aca="false">$G7663*'Analyse capacite'!$F$9</f>
        <v>0</v>
      </c>
      <c r="I7663" s="135" t="n">
        <f aca="false">$G7663*'Analyse capacite'!$C$9</f>
        <v>0</v>
      </c>
      <c r="J7663" s="135" t="n">
        <f aca="false">$G7663*'Analyse capacite'!$D$9</f>
        <v>0</v>
      </c>
      <c r="K7663" s="135" t="n">
        <f aca="false">$G7663*'Analyse capacite'!$E$9</f>
        <v>0</v>
      </c>
    </row>
    <row r="7664" customFormat="false" ht="15" hidden="false" customHeight="false" outlineLevel="0" collapsed="false">
      <c r="B7664" s="130" t="n">
        <v>2027</v>
      </c>
      <c r="C7664" s="131" t="s">
        <v>252</v>
      </c>
      <c r="D7664" s="132" t="n">
        <v>46690</v>
      </c>
      <c r="E7664" s="131" t="s">
        <v>56</v>
      </c>
      <c r="F7664" s="133" t="s">
        <v>11</v>
      </c>
      <c r="G7664" s="134" t="n">
        <f aca="false">LEN('Saisie programme'!$I$274)+SUMIFS('Vols additionnels'!$E$7:$E$66,'Vols additionnels'!$C$7:$C$66,$E7664,'Vols additionnels'!$D$7:$D$66,$F7664,'Vols additionnels'!$B$7:$B$66,$D7664)</f>
        <v>0</v>
      </c>
      <c r="H7664" s="135" t="n">
        <f aca="false">$G7664*'Analyse capacite'!$F$7</f>
        <v>0</v>
      </c>
      <c r="I7664" s="135" t="n">
        <f aca="false">$G7664*'Analyse capacite'!$C$7</f>
        <v>0</v>
      </c>
      <c r="J7664" s="135" t="n">
        <f aca="false">$G7664*'Analyse capacite'!$D$7</f>
        <v>0</v>
      </c>
      <c r="K7664" s="135" t="n">
        <f aca="false">$G7664*'Analyse capacite'!$E$7</f>
        <v>0</v>
      </c>
    </row>
    <row r="7665" customFormat="false" ht="15" hidden="false" customHeight="false" outlineLevel="0" collapsed="false">
      <c r="B7665" s="130" t="n">
        <v>2027</v>
      </c>
      <c r="C7665" s="131" t="s">
        <v>252</v>
      </c>
      <c r="D7665" s="132" t="n">
        <v>46690</v>
      </c>
      <c r="E7665" s="131" t="s">
        <v>56</v>
      </c>
      <c r="F7665" s="133" t="s">
        <v>19</v>
      </c>
      <c r="G7665" s="134" t="n">
        <f aca="false">LEN('Saisie programme'!$I$275)+SUMIFS('Vols additionnels'!$E$7:$E$66,'Vols additionnels'!$C$7:$C$66,$E7665,'Vols additionnels'!$D$7:$D$66,$F7665,'Vols additionnels'!$B$7:$B$66,$D7665)</f>
        <v>0</v>
      </c>
      <c r="H7665" s="135" t="n">
        <f aca="false">$G7665*'Analyse capacite'!$F$8</f>
        <v>0</v>
      </c>
      <c r="I7665" s="135" t="n">
        <f aca="false">$G7665*'Analyse capacite'!$C$8</f>
        <v>0</v>
      </c>
      <c r="J7665" s="135" t="n">
        <f aca="false">$G7665*'Analyse capacite'!$D$8</f>
        <v>0</v>
      </c>
      <c r="K7665" s="135" t="n">
        <f aca="false">$G7665*'Analyse capacite'!$E$8</f>
        <v>0</v>
      </c>
    </row>
    <row r="7666" customFormat="false" ht="15" hidden="false" customHeight="false" outlineLevel="0" collapsed="false">
      <c r="B7666" s="130" t="n">
        <v>2027</v>
      </c>
      <c r="C7666" s="131" t="s">
        <v>252</v>
      </c>
      <c r="D7666" s="132" t="n">
        <v>46690</v>
      </c>
      <c r="E7666" s="131" t="s">
        <v>56</v>
      </c>
      <c r="F7666" s="133" t="s">
        <v>24</v>
      </c>
      <c r="G7666" s="134" t="n">
        <f aca="false">LEN('Saisie programme'!$I$276)+SUMIFS('Vols additionnels'!$E$7:$E$66,'Vols additionnels'!$C$7:$C$66,$E7666,'Vols additionnels'!$D$7:$D$66,$F7666,'Vols additionnels'!$B$7:$B$66,$D7666)</f>
        <v>1</v>
      </c>
      <c r="H7666" s="135" t="n">
        <f aca="false">$G7666*'Analyse capacite'!$F$9</f>
        <v>174</v>
      </c>
      <c r="I7666" s="135" t="n">
        <f aca="false">$G7666*'Analyse capacite'!$C$9</f>
        <v>0</v>
      </c>
      <c r="J7666" s="135" t="n">
        <f aca="false">$G7666*'Analyse capacite'!$D$9</f>
        <v>12</v>
      </c>
      <c r="K7666" s="135" t="n">
        <f aca="false">$G7666*'Analyse capacite'!$E$9</f>
        <v>162</v>
      </c>
    </row>
    <row r="7667" customFormat="false" ht="15" hidden="false" customHeight="false" outlineLevel="0" collapsed="false">
      <c r="B7667" s="130" t="n">
        <v>2027</v>
      </c>
      <c r="C7667" s="131" t="s">
        <v>252</v>
      </c>
      <c r="D7667" s="132" t="n">
        <v>46690</v>
      </c>
      <c r="E7667" s="131" t="s">
        <v>59</v>
      </c>
      <c r="F7667" s="133" t="s">
        <v>11</v>
      </c>
      <c r="G7667" s="134" t="n">
        <f aca="false">LEN('Saisie programme'!$I$277)+SUMIFS('Vols additionnels'!$E$7:$E$66,'Vols additionnels'!$C$7:$C$66,$E7667,'Vols additionnels'!$D$7:$D$66,$F7667,'Vols additionnels'!$B$7:$B$66,$D7667)</f>
        <v>0</v>
      </c>
      <c r="H7667" s="135" t="n">
        <f aca="false">$G7667*'Analyse capacite'!$F$7</f>
        <v>0</v>
      </c>
      <c r="I7667" s="135" t="n">
        <f aca="false">$G7667*'Analyse capacite'!$C$7</f>
        <v>0</v>
      </c>
      <c r="J7667" s="135" t="n">
        <f aca="false">$G7667*'Analyse capacite'!$D$7</f>
        <v>0</v>
      </c>
      <c r="K7667" s="135" t="n">
        <f aca="false">$G7667*'Analyse capacite'!$E$7</f>
        <v>0</v>
      </c>
    </row>
    <row r="7668" customFormat="false" ht="15" hidden="false" customHeight="false" outlineLevel="0" collapsed="false">
      <c r="B7668" s="130" t="n">
        <v>2027</v>
      </c>
      <c r="C7668" s="131" t="s">
        <v>252</v>
      </c>
      <c r="D7668" s="132" t="n">
        <v>46690</v>
      </c>
      <c r="E7668" s="131" t="s">
        <v>59</v>
      </c>
      <c r="F7668" s="133" t="s">
        <v>19</v>
      </c>
      <c r="G7668" s="134" t="n">
        <f aca="false">LEN('Saisie programme'!$I$278)+SUMIFS('Vols additionnels'!$E$7:$E$66,'Vols additionnels'!$C$7:$C$66,$E7668,'Vols additionnels'!$D$7:$D$66,$F7668,'Vols additionnels'!$B$7:$B$66,$D7668)</f>
        <v>0</v>
      </c>
      <c r="H7668" s="135" t="n">
        <f aca="false">$G7668*'Analyse capacite'!$F$8</f>
        <v>0</v>
      </c>
      <c r="I7668" s="135" t="n">
        <f aca="false">$G7668*'Analyse capacite'!$C$8</f>
        <v>0</v>
      </c>
      <c r="J7668" s="135" t="n">
        <f aca="false">$G7668*'Analyse capacite'!$D$8</f>
        <v>0</v>
      </c>
      <c r="K7668" s="135" t="n">
        <f aca="false">$G7668*'Analyse capacite'!$E$8</f>
        <v>0</v>
      </c>
    </row>
    <row r="7669" customFormat="false" ht="15" hidden="false" customHeight="false" outlineLevel="0" collapsed="false">
      <c r="B7669" s="130" t="n">
        <v>2027</v>
      </c>
      <c r="C7669" s="131" t="s">
        <v>252</v>
      </c>
      <c r="D7669" s="132" t="n">
        <v>46690</v>
      </c>
      <c r="E7669" s="131" t="s">
        <v>59</v>
      </c>
      <c r="F7669" s="133" t="s">
        <v>24</v>
      </c>
      <c r="G7669" s="134" t="n">
        <f aca="false">LEN('Saisie programme'!$I$279)+SUMIFS('Vols additionnels'!$E$7:$E$66,'Vols additionnels'!$C$7:$C$66,$E7669,'Vols additionnels'!$D$7:$D$66,$F7669,'Vols additionnels'!$B$7:$B$66,$D7669)</f>
        <v>1</v>
      </c>
      <c r="H7669" s="135" t="n">
        <f aca="false">$G7669*'Analyse capacite'!$F$9</f>
        <v>174</v>
      </c>
      <c r="I7669" s="135" t="n">
        <f aca="false">$G7669*'Analyse capacite'!$C$9</f>
        <v>0</v>
      </c>
      <c r="J7669" s="135" t="n">
        <f aca="false">$G7669*'Analyse capacite'!$D$9</f>
        <v>12</v>
      </c>
      <c r="K7669" s="135" t="n">
        <f aca="false">$G7669*'Analyse capacite'!$E$9</f>
        <v>162</v>
      </c>
    </row>
    <row r="7670" customFormat="false" ht="15" hidden="false" customHeight="false" outlineLevel="0" collapsed="false">
      <c r="B7670" s="130" t="n">
        <v>2027</v>
      </c>
      <c r="C7670" s="131" t="s">
        <v>252</v>
      </c>
      <c r="D7670" s="132" t="n">
        <v>46690</v>
      </c>
      <c r="E7670" s="131" t="s">
        <v>62</v>
      </c>
      <c r="F7670" s="133" t="s">
        <v>11</v>
      </c>
      <c r="G7670" s="134" t="n">
        <f aca="false">LEN('Saisie programme'!$I$280)+SUMIFS('Vols additionnels'!$E$7:$E$66,'Vols additionnels'!$C$7:$C$66,$E7670,'Vols additionnels'!$D$7:$D$66,$F7670,'Vols additionnels'!$B$7:$B$66,$D7670)</f>
        <v>0</v>
      </c>
      <c r="H7670" s="135" t="n">
        <f aca="false">$G7670*'Analyse capacite'!$F$7</f>
        <v>0</v>
      </c>
      <c r="I7670" s="135" t="n">
        <f aca="false">$G7670*'Analyse capacite'!$C$7</f>
        <v>0</v>
      </c>
      <c r="J7670" s="135" t="n">
        <f aca="false">$G7670*'Analyse capacite'!$D$7</f>
        <v>0</v>
      </c>
      <c r="K7670" s="135" t="n">
        <f aca="false">$G7670*'Analyse capacite'!$E$7</f>
        <v>0</v>
      </c>
    </row>
    <row r="7671" customFormat="false" ht="15" hidden="false" customHeight="false" outlineLevel="0" collapsed="false">
      <c r="B7671" s="130" t="n">
        <v>2027</v>
      </c>
      <c r="C7671" s="131" t="s">
        <v>252</v>
      </c>
      <c r="D7671" s="132" t="n">
        <v>46690</v>
      </c>
      <c r="E7671" s="131" t="s">
        <v>62</v>
      </c>
      <c r="F7671" s="133" t="s">
        <v>19</v>
      </c>
      <c r="G7671" s="134" t="n">
        <f aca="false">LEN('Saisie programme'!$I$281)+SUMIFS('Vols additionnels'!$E$7:$E$66,'Vols additionnels'!$C$7:$C$66,$E7671,'Vols additionnels'!$D$7:$D$66,$F7671,'Vols additionnels'!$B$7:$B$66,$D7671)</f>
        <v>0</v>
      </c>
      <c r="H7671" s="135" t="n">
        <f aca="false">$G7671*'Analyse capacite'!$F$8</f>
        <v>0</v>
      </c>
      <c r="I7671" s="135" t="n">
        <f aca="false">$G7671*'Analyse capacite'!$C$8</f>
        <v>0</v>
      </c>
      <c r="J7671" s="135" t="n">
        <f aca="false">$G7671*'Analyse capacite'!$D$8</f>
        <v>0</v>
      </c>
      <c r="K7671" s="135" t="n">
        <f aca="false">$G7671*'Analyse capacite'!$E$8</f>
        <v>0</v>
      </c>
    </row>
    <row r="7672" customFormat="false" ht="15" hidden="false" customHeight="false" outlineLevel="0" collapsed="false">
      <c r="B7672" s="130" t="n">
        <v>2027</v>
      </c>
      <c r="C7672" s="131" t="s">
        <v>252</v>
      </c>
      <c r="D7672" s="132" t="n">
        <v>46690</v>
      </c>
      <c r="E7672" s="131" t="s">
        <v>62</v>
      </c>
      <c r="F7672" s="133" t="s">
        <v>24</v>
      </c>
      <c r="G7672" s="134" t="n">
        <f aca="false">LEN('Saisie programme'!$I$282)+SUMIFS('Vols additionnels'!$E$7:$E$66,'Vols additionnels'!$C$7:$C$66,$E7672,'Vols additionnels'!$D$7:$D$66,$F7672,'Vols additionnels'!$B$7:$B$66,$D7672)</f>
        <v>0</v>
      </c>
      <c r="H7672" s="135" t="n">
        <f aca="false">$G7672*'Analyse capacite'!$F$9</f>
        <v>0</v>
      </c>
      <c r="I7672" s="135" t="n">
        <f aca="false">$G7672*'Analyse capacite'!$C$9</f>
        <v>0</v>
      </c>
      <c r="J7672" s="135" t="n">
        <f aca="false">$G7672*'Analyse capacite'!$D$9</f>
        <v>0</v>
      </c>
      <c r="K7672" s="135" t="n">
        <f aca="false">$G7672*'Analyse capacite'!$E$9</f>
        <v>0</v>
      </c>
    </row>
    <row r="7673" customFormat="false" ht="15" hidden="false" customHeight="false" outlineLevel="0" collapsed="false">
      <c r="B7673" s="130" t="n">
        <v>2027</v>
      </c>
      <c r="C7673" s="131" t="s">
        <v>252</v>
      </c>
      <c r="D7673" s="132" t="n">
        <v>46691</v>
      </c>
      <c r="E7673" s="131" t="s">
        <v>12</v>
      </c>
      <c r="F7673" s="133" t="s">
        <v>11</v>
      </c>
      <c r="G7673" s="134" t="n">
        <f aca="false">LEN('Saisie programme'!$J$247)+SUMIFS('Vols additionnels'!$E$7:$E$66,'Vols additionnels'!$C$7:$C$66,$E7673,'Vols additionnels'!$D$7:$D$66,$F7673,'Vols additionnels'!$B$7:$B$66,$D7673)</f>
        <v>1</v>
      </c>
      <c r="H7673" s="135" t="n">
        <f aca="false">$G7673*'Analyse capacite'!$F$7</f>
        <v>438</v>
      </c>
      <c r="I7673" s="135" t="n">
        <f aca="false">$G7673*'Analyse capacite'!$C$7</f>
        <v>14</v>
      </c>
      <c r="J7673" s="135" t="n">
        <f aca="false">$G7673*'Analyse capacite'!$D$7</f>
        <v>40</v>
      </c>
      <c r="K7673" s="135" t="n">
        <f aca="false">$G7673*'Analyse capacite'!$E$7</f>
        <v>384</v>
      </c>
    </row>
    <row r="7674" customFormat="false" ht="15" hidden="false" customHeight="false" outlineLevel="0" collapsed="false">
      <c r="B7674" s="130" t="n">
        <v>2027</v>
      </c>
      <c r="C7674" s="131" t="s">
        <v>252</v>
      </c>
      <c r="D7674" s="132" t="n">
        <v>46691</v>
      </c>
      <c r="E7674" s="131" t="s">
        <v>12</v>
      </c>
      <c r="F7674" s="133" t="s">
        <v>19</v>
      </c>
      <c r="G7674" s="134" t="n">
        <f aca="false">LEN('Saisie programme'!$J$248)+SUMIFS('Vols additionnels'!$E$7:$E$66,'Vols additionnels'!$C$7:$C$66,$E7674,'Vols additionnels'!$D$7:$D$66,$F7674,'Vols additionnels'!$B$7:$B$66,$D7674)</f>
        <v>0</v>
      </c>
      <c r="H7674" s="135" t="n">
        <f aca="false">$G7674*'Analyse capacite'!$F$8</f>
        <v>0</v>
      </c>
      <c r="I7674" s="135" t="n">
        <f aca="false">$G7674*'Analyse capacite'!$C$8</f>
        <v>0</v>
      </c>
      <c r="J7674" s="135" t="n">
        <f aca="false">$G7674*'Analyse capacite'!$D$8</f>
        <v>0</v>
      </c>
      <c r="K7674" s="135" t="n">
        <f aca="false">$G7674*'Analyse capacite'!$E$8</f>
        <v>0</v>
      </c>
    </row>
    <row r="7675" customFormat="false" ht="15" hidden="false" customHeight="false" outlineLevel="0" collapsed="false">
      <c r="B7675" s="130" t="n">
        <v>2027</v>
      </c>
      <c r="C7675" s="131" t="s">
        <v>252</v>
      </c>
      <c r="D7675" s="132" t="n">
        <v>46691</v>
      </c>
      <c r="E7675" s="131" t="s">
        <v>12</v>
      </c>
      <c r="F7675" s="133" t="s">
        <v>24</v>
      </c>
      <c r="G7675" s="134" t="n">
        <f aca="false">LEN('Saisie programme'!$J$249)+SUMIFS('Vols additionnels'!$E$7:$E$66,'Vols additionnels'!$C$7:$C$66,$E7675,'Vols additionnels'!$D$7:$D$66,$F7675,'Vols additionnels'!$B$7:$B$66,$D7675)</f>
        <v>0</v>
      </c>
      <c r="H7675" s="135" t="n">
        <f aca="false">$G7675*'Analyse capacite'!$F$9</f>
        <v>0</v>
      </c>
      <c r="I7675" s="135" t="n">
        <f aca="false">$G7675*'Analyse capacite'!$C$9</f>
        <v>0</v>
      </c>
      <c r="J7675" s="135" t="n">
        <f aca="false">$G7675*'Analyse capacite'!$D$9</f>
        <v>0</v>
      </c>
      <c r="K7675" s="135" t="n">
        <f aca="false">$G7675*'Analyse capacite'!$E$9</f>
        <v>0</v>
      </c>
    </row>
    <row r="7676" customFormat="false" ht="15" hidden="false" customHeight="false" outlineLevel="0" collapsed="false">
      <c r="B7676" s="130" t="n">
        <v>2027</v>
      </c>
      <c r="C7676" s="131" t="s">
        <v>252</v>
      </c>
      <c r="D7676" s="132" t="n">
        <v>46691</v>
      </c>
      <c r="E7676" s="131" t="s">
        <v>20</v>
      </c>
      <c r="F7676" s="133" t="s">
        <v>11</v>
      </c>
      <c r="G7676" s="134" t="n">
        <f aca="false">LEN('Saisie programme'!$J$250)+SUMIFS('Vols additionnels'!$E$7:$E$66,'Vols additionnels'!$C$7:$C$66,$E7676,'Vols additionnels'!$D$7:$D$66,$F7676,'Vols additionnels'!$B$7:$B$66,$D7676)</f>
        <v>1</v>
      </c>
      <c r="H7676" s="135" t="n">
        <f aca="false">$G7676*'Analyse capacite'!$F$7</f>
        <v>438</v>
      </c>
      <c r="I7676" s="135" t="n">
        <f aca="false">$G7676*'Analyse capacite'!$C$7</f>
        <v>14</v>
      </c>
      <c r="J7676" s="135" t="n">
        <f aca="false">$G7676*'Analyse capacite'!$D$7</f>
        <v>40</v>
      </c>
      <c r="K7676" s="135" t="n">
        <f aca="false">$G7676*'Analyse capacite'!$E$7</f>
        <v>384</v>
      </c>
    </row>
    <row r="7677" customFormat="false" ht="15" hidden="false" customHeight="false" outlineLevel="0" collapsed="false">
      <c r="B7677" s="130" t="n">
        <v>2027</v>
      </c>
      <c r="C7677" s="131" t="s">
        <v>252</v>
      </c>
      <c r="D7677" s="132" t="n">
        <v>46691</v>
      </c>
      <c r="E7677" s="131" t="s">
        <v>20</v>
      </c>
      <c r="F7677" s="133" t="s">
        <v>19</v>
      </c>
      <c r="G7677" s="134" t="n">
        <f aca="false">LEN('Saisie programme'!$J$251)+SUMIFS('Vols additionnels'!$E$7:$E$66,'Vols additionnels'!$C$7:$C$66,$E7677,'Vols additionnels'!$D$7:$D$66,$F7677,'Vols additionnels'!$B$7:$B$66,$D7677)</f>
        <v>0</v>
      </c>
      <c r="H7677" s="135" t="n">
        <f aca="false">$G7677*'Analyse capacite'!$F$8</f>
        <v>0</v>
      </c>
      <c r="I7677" s="135" t="n">
        <f aca="false">$G7677*'Analyse capacite'!$C$8</f>
        <v>0</v>
      </c>
      <c r="J7677" s="135" t="n">
        <f aca="false">$G7677*'Analyse capacite'!$D$8</f>
        <v>0</v>
      </c>
      <c r="K7677" s="135" t="n">
        <f aca="false">$G7677*'Analyse capacite'!$E$8</f>
        <v>0</v>
      </c>
    </row>
    <row r="7678" customFormat="false" ht="15" hidden="false" customHeight="false" outlineLevel="0" collapsed="false">
      <c r="B7678" s="130" t="n">
        <v>2027</v>
      </c>
      <c r="C7678" s="131" t="s">
        <v>252</v>
      </c>
      <c r="D7678" s="132" t="n">
        <v>46691</v>
      </c>
      <c r="E7678" s="131" t="s">
        <v>20</v>
      </c>
      <c r="F7678" s="133" t="s">
        <v>24</v>
      </c>
      <c r="G7678" s="134" t="n">
        <f aca="false">LEN('Saisie programme'!$J$252)+SUMIFS('Vols additionnels'!$E$7:$E$66,'Vols additionnels'!$C$7:$C$66,$E7678,'Vols additionnels'!$D$7:$D$66,$F7678,'Vols additionnels'!$B$7:$B$66,$D7678)</f>
        <v>0</v>
      </c>
      <c r="H7678" s="135" t="n">
        <f aca="false">$G7678*'Analyse capacite'!$F$9</f>
        <v>0</v>
      </c>
      <c r="I7678" s="135" t="n">
        <f aca="false">$G7678*'Analyse capacite'!$C$9</f>
        <v>0</v>
      </c>
      <c r="J7678" s="135" t="n">
        <f aca="false">$G7678*'Analyse capacite'!$D$9</f>
        <v>0</v>
      </c>
      <c r="K7678" s="135" t="n">
        <f aca="false">$G7678*'Analyse capacite'!$E$9</f>
        <v>0</v>
      </c>
    </row>
    <row r="7679" customFormat="false" ht="15" hidden="false" customHeight="false" outlineLevel="0" collapsed="false">
      <c r="B7679" s="130" t="n">
        <v>2027</v>
      </c>
      <c r="C7679" s="131" t="s">
        <v>252</v>
      </c>
      <c r="D7679" s="132" t="n">
        <v>46691</v>
      </c>
      <c r="E7679" s="131" t="s">
        <v>25</v>
      </c>
      <c r="F7679" s="133" t="s">
        <v>11</v>
      </c>
      <c r="G7679" s="134" t="n">
        <f aca="false">LEN('Saisie programme'!$J$253)+SUMIFS('Vols additionnels'!$E$7:$E$66,'Vols additionnels'!$C$7:$C$66,$E7679,'Vols additionnels'!$D$7:$D$66,$F7679,'Vols additionnels'!$B$7:$B$66,$D7679)</f>
        <v>0</v>
      </c>
      <c r="H7679" s="135" t="n">
        <f aca="false">$G7679*'Analyse capacite'!$F$7</f>
        <v>0</v>
      </c>
      <c r="I7679" s="135" t="n">
        <f aca="false">$G7679*'Analyse capacite'!$C$7</f>
        <v>0</v>
      </c>
      <c r="J7679" s="135" t="n">
        <f aca="false">$G7679*'Analyse capacite'!$D$7</f>
        <v>0</v>
      </c>
      <c r="K7679" s="135" t="n">
        <f aca="false">$G7679*'Analyse capacite'!$E$7</f>
        <v>0</v>
      </c>
    </row>
    <row r="7680" customFormat="false" ht="15" hidden="false" customHeight="false" outlineLevel="0" collapsed="false">
      <c r="B7680" s="130" t="n">
        <v>2027</v>
      </c>
      <c r="C7680" s="131" t="s">
        <v>252</v>
      </c>
      <c r="D7680" s="132" t="n">
        <v>46691</v>
      </c>
      <c r="E7680" s="131" t="s">
        <v>25</v>
      </c>
      <c r="F7680" s="133" t="s">
        <v>19</v>
      </c>
      <c r="G7680" s="134" t="n">
        <f aca="false">LEN('Saisie programme'!$J$254)+SUMIFS('Vols additionnels'!$E$7:$E$66,'Vols additionnels'!$C$7:$C$66,$E7680,'Vols additionnels'!$D$7:$D$66,$F7680,'Vols additionnels'!$B$7:$B$66,$D7680)</f>
        <v>0</v>
      </c>
      <c r="H7680" s="135" t="n">
        <f aca="false">$G7680*'Analyse capacite'!$F$8</f>
        <v>0</v>
      </c>
      <c r="I7680" s="135" t="n">
        <f aca="false">$G7680*'Analyse capacite'!$C$8</f>
        <v>0</v>
      </c>
      <c r="J7680" s="135" t="n">
        <f aca="false">$G7680*'Analyse capacite'!$D$8</f>
        <v>0</v>
      </c>
      <c r="K7680" s="135" t="n">
        <f aca="false">$G7680*'Analyse capacite'!$E$8</f>
        <v>0</v>
      </c>
    </row>
    <row r="7681" customFormat="false" ht="15" hidden="false" customHeight="false" outlineLevel="0" collapsed="false">
      <c r="B7681" s="130" t="n">
        <v>2027</v>
      </c>
      <c r="C7681" s="131" t="s">
        <v>252</v>
      </c>
      <c r="D7681" s="132" t="n">
        <v>46691</v>
      </c>
      <c r="E7681" s="131" t="s">
        <v>25</v>
      </c>
      <c r="F7681" s="133" t="s">
        <v>24</v>
      </c>
      <c r="G7681" s="134" t="n">
        <f aca="false">LEN('Saisie programme'!$J$255)+SUMIFS('Vols additionnels'!$E$7:$E$66,'Vols additionnels'!$C$7:$C$66,$E7681,'Vols additionnels'!$D$7:$D$66,$F7681,'Vols additionnels'!$B$7:$B$66,$D7681)</f>
        <v>0</v>
      </c>
      <c r="H7681" s="135" t="n">
        <f aca="false">$G7681*'Analyse capacite'!$F$9</f>
        <v>0</v>
      </c>
      <c r="I7681" s="135" t="n">
        <f aca="false">$G7681*'Analyse capacite'!$C$9</f>
        <v>0</v>
      </c>
      <c r="J7681" s="135" t="n">
        <f aca="false">$G7681*'Analyse capacite'!$D$9</f>
        <v>0</v>
      </c>
      <c r="K7681" s="135" t="n">
        <f aca="false">$G7681*'Analyse capacite'!$E$9</f>
        <v>0</v>
      </c>
    </row>
    <row r="7682" customFormat="false" ht="15" hidden="false" customHeight="false" outlineLevel="0" collapsed="false">
      <c r="B7682" s="130" t="n">
        <v>2027</v>
      </c>
      <c r="C7682" s="131" t="s">
        <v>252</v>
      </c>
      <c r="D7682" s="132" t="n">
        <v>46691</v>
      </c>
      <c r="E7682" s="131" t="s">
        <v>36</v>
      </c>
      <c r="F7682" s="133" t="s">
        <v>11</v>
      </c>
      <c r="G7682" s="134" t="n">
        <f aca="false">LEN('Saisie programme'!$J$256)+SUMIFS('Vols additionnels'!$E$7:$E$66,'Vols additionnels'!$C$7:$C$66,$E7682,'Vols additionnels'!$D$7:$D$66,$F7682,'Vols additionnels'!$B$7:$B$66,$D7682)</f>
        <v>0</v>
      </c>
      <c r="H7682" s="135" t="n">
        <f aca="false">$G7682*'Analyse capacite'!$F$7</f>
        <v>0</v>
      </c>
      <c r="I7682" s="135" t="n">
        <f aca="false">$G7682*'Analyse capacite'!$C$7</f>
        <v>0</v>
      </c>
      <c r="J7682" s="135" t="n">
        <f aca="false">$G7682*'Analyse capacite'!$D$7</f>
        <v>0</v>
      </c>
      <c r="K7682" s="135" t="n">
        <f aca="false">$G7682*'Analyse capacite'!$E$7</f>
        <v>0</v>
      </c>
    </row>
    <row r="7683" customFormat="false" ht="15" hidden="false" customHeight="false" outlineLevel="0" collapsed="false">
      <c r="B7683" s="130" t="n">
        <v>2027</v>
      </c>
      <c r="C7683" s="131" t="s">
        <v>252</v>
      </c>
      <c r="D7683" s="132" t="n">
        <v>46691</v>
      </c>
      <c r="E7683" s="131" t="s">
        <v>36</v>
      </c>
      <c r="F7683" s="133" t="s">
        <v>19</v>
      </c>
      <c r="G7683" s="134" t="n">
        <f aca="false">LEN('Saisie programme'!$J$257)+SUMIFS('Vols additionnels'!$E$7:$E$66,'Vols additionnels'!$C$7:$C$66,$E7683,'Vols additionnels'!$D$7:$D$66,$F7683,'Vols additionnels'!$B$7:$B$66,$D7683)</f>
        <v>0</v>
      </c>
      <c r="H7683" s="135" t="n">
        <f aca="false">$G7683*'Analyse capacite'!$F$8</f>
        <v>0</v>
      </c>
      <c r="I7683" s="135" t="n">
        <f aca="false">$G7683*'Analyse capacite'!$C$8</f>
        <v>0</v>
      </c>
      <c r="J7683" s="135" t="n">
        <f aca="false">$G7683*'Analyse capacite'!$D$8</f>
        <v>0</v>
      </c>
      <c r="K7683" s="135" t="n">
        <f aca="false">$G7683*'Analyse capacite'!$E$8</f>
        <v>0</v>
      </c>
    </row>
    <row r="7684" customFormat="false" ht="15" hidden="false" customHeight="false" outlineLevel="0" collapsed="false">
      <c r="B7684" s="130" t="n">
        <v>2027</v>
      </c>
      <c r="C7684" s="131" t="s">
        <v>252</v>
      </c>
      <c r="D7684" s="132" t="n">
        <v>46691</v>
      </c>
      <c r="E7684" s="131" t="s">
        <v>36</v>
      </c>
      <c r="F7684" s="133" t="s">
        <v>24</v>
      </c>
      <c r="G7684" s="134" t="n">
        <f aca="false">LEN('Saisie programme'!$J$258)+SUMIFS('Vols additionnels'!$E$7:$E$66,'Vols additionnels'!$C$7:$C$66,$E7684,'Vols additionnels'!$D$7:$D$66,$F7684,'Vols additionnels'!$B$7:$B$66,$D7684)</f>
        <v>0</v>
      </c>
      <c r="H7684" s="135" t="n">
        <f aca="false">$G7684*'Analyse capacite'!$F$9</f>
        <v>0</v>
      </c>
      <c r="I7684" s="135" t="n">
        <f aca="false">$G7684*'Analyse capacite'!$C$9</f>
        <v>0</v>
      </c>
      <c r="J7684" s="135" t="n">
        <f aca="false">$G7684*'Analyse capacite'!$D$9</f>
        <v>0</v>
      </c>
      <c r="K7684" s="135" t="n">
        <f aca="false">$G7684*'Analyse capacite'!$E$9</f>
        <v>0</v>
      </c>
    </row>
    <row r="7685" customFormat="false" ht="15" hidden="false" customHeight="false" outlineLevel="0" collapsed="false">
      <c r="B7685" s="130" t="n">
        <v>2027</v>
      </c>
      <c r="C7685" s="131" t="s">
        <v>252</v>
      </c>
      <c r="D7685" s="132" t="n">
        <v>46691</v>
      </c>
      <c r="E7685" s="131" t="s">
        <v>40</v>
      </c>
      <c r="F7685" s="133" t="s">
        <v>11</v>
      </c>
      <c r="G7685" s="134" t="n">
        <f aca="false">LEN('Saisie programme'!$J$259)+SUMIFS('Vols additionnels'!$E$7:$E$66,'Vols additionnels'!$C$7:$C$66,$E7685,'Vols additionnels'!$D$7:$D$66,$F7685,'Vols additionnels'!$B$7:$B$66,$D7685)</f>
        <v>0</v>
      </c>
      <c r="H7685" s="135" t="n">
        <f aca="false">$G7685*'Analyse capacite'!$F$7</f>
        <v>0</v>
      </c>
      <c r="I7685" s="135" t="n">
        <f aca="false">$G7685*'Analyse capacite'!$C$7</f>
        <v>0</v>
      </c>
      <c r="J7685" s="135" t="n">
        <f aca="false">$G7685*'Analyse capacite'!$D$7</f>
        <v>0</v>
      </c>
      <c r="K7685" s="135" t="n">
        <f aca="false">$G7685*'Analyse capacite'!$E$7</f>
        <v>0</v>
      </c>
    </row>
    <row r="7686" customFormat="false" ht="15" hidden="false" customHeight="false" outlineLevel="0" collapsed="false">
      <c r="B7686" s="130" t="n">
        <v>2027</v>
      </c>
      <c r="C7686" s="131" t="s">
        <v>252</v>
      </c>
      <c r="D7686" s="132" t="n">
        <v>46691</v>
      </c>
      <c r="E7686" s="131" t="s">
        <v>40</v>
      </c>
      <c r="F7686" s="133" t="s">
        <v>19</v>
      </c>
      <c r="G7686" s="134" t="n">
        <f aca="false">LEN('Saisie programme'!$J$260)+SUMIFS('Vols additionnels'!$E$7:$E$66,'Vols additionnels'!$C$7:$C$66,$E7686,'Vols additionnels'!$D$7:$D$66,$F7686,'Vols additionnels'!$B$7:$B$66,$D7686)</f>
        <v>0</v>
      </c>
      <c r="H7686" s="135" t="n">
        <f aca="false">$G7686*'Analyse capacite'!$F$8</f>
        <v>0</v>
      </c>
      <c r="I7686" s="135" t="n">
        <f aca="false">$G7686*'Analyse capacite'!$C$8</f>
        <v>0</v>
      </c>
      <c r="J7686" s="135" t="n">
        <f aca="false">$G7686*'Analyse capacite'!$D$8</f>
        <v>0</v>
      </c>
      <c r="K7686" s="135" t="n">
        <f aca="false">$G7686*'Analyse capacite'!$E$8</f>
        <v>0</v>
      </c>
    </row>
    <row r="7687" customFormat="false" ht="15" hidden="false" customHeight="false" outlineLevel="0" collapsed="false">
      <c r="B7687" s="130" t="n">
        <v>2027</v>
      </c>
      <c r="C7687" s="131" t="s">
        <v>252</v>
      </c>
      <c r="D7687" s="132" t="n">
        <v>46691</v>
      </c>
      <c r="E7687" s="131" t="s">
        <v>40</v>
      </c>
      <c r="F7687" s="133" t="s">
        <v>24</v>
      </c>
      <c r="G7687" s="134" t="n">
        <f aca="false">LEN('Saisie programme'!$J$261)+SUMIFS('Vols additionnels'!$E$7:$E$66,'Vols additionnels'!$C$7:$C$66,$E7687,'Vols additionnels'!$D$7:$D$66,$F7687,'Vols additionnels'!$B$7:$B$66,$D7687)</f>
        <v>1</v>
      </c>
      <c r="H7687" s="135" t="n">
        <f aca="false">$G7687*'Analyse capacite'!$F$9</f>
        <v>174</v>
      </c>
      <c r="I7687" s="135" t="n">
        <f aca="false">$G7687*'Analyse capacite'!$C$9</f>
        <v>0</v>
      </c>
      <c r="J7687" s="135" t="n">
        <f aca="false">$G7687*'Analyse capacite'!$D$9</f>
        <v>12</v>
      </c>
      <c r="K7687" s="135" t="n">
        <f aca="false">$G7687*'Analyse capacite'!$E$9</f>
        <v>162</v>
      </c>
    </row>
    <row r="7688" customFormat="false" ht="15" hidden="false" customHeight="false" outlineLevel="0" collapsed="false">
      <c r="B7688" s="130" t="n">
        <v>2027</v>
      </c>
      <c r="C7688" s="131" t="s">
        <v>252</v>
      </c>
      <c r="D7688" s="132" t="n">
        <v>46691</v>
      </c>
      <c r="E7688" s="131" t="s">
        <v>14</v>
      </c>
      <c r="F7688" s="133" t="s">
        <v>11</v>
      </c>
      <c r="G7688" s="134" t="n">
        <f aca="false">LEN('Saisie programme'!$J$262)+SUMIFS('Vols additionnels'!$E$7:$E$66,'Vols additionnels'!$C$7:$C$66,$E7688,'Vols additionnels'!$D$7:$D$66,$F7688,'Vols additionnels'!$B$7:$B$66,$D7688)</f>
        <v>0</v>
      </c>
      <c r="H7688" s="135" t="n">
        <f aca="false">$G7688*'Analyse capacite'!$F$7</f>
        <v>0</v>
      </c>
      <c r="I7688" s="135" t="n">
        <f aca="false">$G7688*'Analyse capacite'!$C$7</f>
        <v>0</v>
      </c>
      <c r="J7688" s="135" t="n">
        <f aca="false">$G7688*'Analyse capacite'!$D$7</f>
        <v>0</v>
      </c>
      <c r="K7688" s="135" t="n">
        <f aca="false">$G7688*'Analyse capacite'!$E$7</f>
        <v>0</v>
      </c>
    </row>
    <row r="7689" customFormat="false" ht="15" hidden="false" customHeight="false" outlineLevel="0" collapsed="false">
      <c r="B7689" s="130" t="n">
        <v>2027</v>
      </c>
      <c r="C7689" s="131" t="s">
        <v>252</v>
      </c>
      <c r="D7689" s="132" t="n">
        <v>46691</v>
      </c>
      <c r="E7689" s="131" t="s">
        <v>14</v>
      </c>
      <c r="F7689" s="133" t="s">
        <v>19</v>
      </c>
      <c r="G7689" s="134" t="n">
        <f aca="false">LEN('Saisie programme'!$J$263)+SUMIFS('Vols additionnels'!$E$7:$E$66,'Vols additionnels'!$C$7:$C$66,$E7689,'Vols additionnels'!$D$7:$D$66,$F7689,'Vols additionnels'!$B$7:$B$66,$D7689)</f>
        <v>0</v>
      </c>
      <c r="H7689" s="135" t="n">
        <f aca="false">$G7689*'Analyse capacite'!$F$8</f>
        <v>0</v>
      </c>
      <c r="I7689" s="135" t="n">
        <f aca="false">$G7689*'Analyse capacite'!$C$8</f>
        <v>0</v>
      </c>
      <c r="J7689" s="135" t="n">
        <f aca="false">$G7689*'Analyse capacite'!$D$8</f>
        <v>0</v>
      </c>
      <c r="K7689" s="135" t="n">
        <f aca="false">$G7689*'Analyse capacite'!$E$8</f>
        <v>0</v>
      </c>
    </row>
    <row r="7690" customFormat="false" ht="15" hidden="false" customHeight="false" outlineLevel="0" collapsed="false">
      <c r="B7690" s="130" t="n">
        <v>2027</v>
      </c>
      <c r="C7690" s="131" t="s">
        <v>252</v>
      </c>
      <c r="D7690" s="132" t="n">
        <v>46691</v>
      </c>
      <c r="E7690" s="131" t="s">
        <v>14</v>
      </c>
      <c r="F7690" s="133" t="s">
        <v>24</v>
      </c>
      <c r="G7690" s="134" t="n">
        <f aca="false">LEN('Saisie programme'!$J$264)+SUMIFS('Vols additionnels'!$E$7:$E$66,'Vols additionnels'!$C$7:$C$66,$E7690,'Vols additionnels'!$D$7:$D$66,$F7690,'Vols additionnels'!$B$7:$B$66,$D7690)</f>
        <v>0</v>
      </c>
      <c r="H7690" s="135" t="n">
        <f aca="false">$G7690*'Analyse capacite'!$F$9</f>
        <v>0</v>
      </c>
      <c r="I7690" s="135" t="n">
        <f aca="false">$G7690*'Analyse capacite'!$C$9</f>
        <v>0</v>
      </c>
      <c r="J7690" s="135" t="n">
        <f aca="false">$G7690*'Analyse capacite'!$D$9</f>
        <v>0</v>
      </c>
      <c r="K7690" s="135" t="n">
        <f aca="false">$G7690*'Analyse capacite'!$E$9</f>
        <v>0</v>
      </c>
    </row>
    <row r="7691" customFormat="false" ht="15" hidden="false" customHeight="false" outlineLevel="0" collapsed="false">
      <c r="B7691" s="130" t="n">
        <v>2027</v>
      </c>
      <c r="C7691" s="131" t="s">
        <v>252</v>
      </c>
      <c r="D7691" s="132" t="n">
        <v>46691</v>
      </c>
      <c r="E7691" s="131" t="s">
        <v>46</v>
      </c>
      <c r="F7691" s="133" t="s">
        <v>11</v>
      </c>
      <c r="G7691" s="134" t="n">
        <f aca="false">LEN('Saisie programme'!$J$265)+SUMIFS('Vols additionnels'!$E$7:$E$66,'Vols additionnels'!$C$7:$C$66,$E7691,'Vols additionnels'!$D$7:$D$66,$F7691,'Vols additionnels'!$B$7:$B$66,$D7691)</f>
        <v>0</v>
      </c>
      <c r="H7691" s="135" t="n">
        <f aca="false">$G7691*'Analyse capacite'!$F$7</f>
        <v>0</v>
      </c>
      <c r="I7691" s="135" t="n">
        <f aca="false">$G7691*'Analyse capacite'!$C$7</f>
        <v>0</v>
      </c>
      <c r="J7691" s="135" t="n">
        <f aca="false">$G7691*'Analyse capacite'!$D$7</f>
        <v>0</v>
      </c>
      <c r="K7691" s="135" t="n">
        <f aca="false">$G7691*'Analyse capacite'!$E$7</f>
        <v>0</v>
      </c>
    </row>
    <row r="7692" customFormat="false" ht="15" hidden="false" customHeight="false" outlineLevel="0" collapsed="false">
      <c r="B7692" s="130" t="n">
        <v>2027</v>
      </c>
      <c r="C7692" s="131" t="s">
        <v>252</v>
      </c>
      <c r="D7692" s="132" t="n">
        <v>46691</v>
      </c>
      <c r="E7692" s="131" t="s">
        <v>46</v>
      </c>
      <c r="F7692" s="133" t="s">
        <v>19</v>
      </c>
      <c r="G7692" s="134" t="n">
        <f aca="false">LEN('Saisie programme'!$J$266)+SUMIFS('Vols additionnels'!$E$7:$E$66,'Vols additionnels'!$C$7:$C$66,$E7692,'Vols additionnels'!$D$7:$D$66,$F7692,'Vols additionnels'!$B$7:$B$66,$D7692)</f>
        <v>0</v>
      </c>
      <c r="H7692" s="135" t="n">
        <f aca="false">$G7692*'Analyse capacite'!$F$8</f>
        <v>0</v>
      </c>
      <c r="I7692" s="135" t="n">
        <f aca="false">$G7692*'Analyse capacite'!$C$8</f>
        <v>0</v>
      </c>
      <c r="J7692" s="135" t="n">
        <f aca="false">$G7692*'Analyse capacite'!$D$8</f>
        <v>0</v>
      </c>
      <c r="K7692" s="135" t="n">
        <f aca="false">$G7692*'Analyse capacite'!$E$8</f>
        <v>0</v>
      </c>
    </row>
    <row r="7693" customFormat="false" ht="15" hidden="false" customHeight="false" outlineLevel="0" collapsed="false">
      <c r="B7693" s="130" t="n">
        <v>2027</v>
      </c>
      <c r="C7693" s="131" t="s">
        <v>252</v>
      </c>
      <c r="D7693" s="132" t="n">
        <v>46691</v>
      </c>
      <c r="E7693" s="131" t="s">
        <v>46</v>
      </c>
      <c r="F7693" s="133" t="s">
        <v>24</v>
      </c>
      <c r="G7693" s="134" t="n">
        <f aca="false">LEN('Saisie programme'!$J$267)+SUMIFS('Vols additionnels'!$E$7:$E$66,'Vols additionnels'!$C$7:$C$66,$E7693,'Vols additionnels'!$D$7:$D$66,$F7693,'Vols additionnels'!$B$7:$B$66,$D7693)</f>
        <v>0</v>
      </c>
      <c r="H7693" s="135" t="n">
        <f aca="false">$G7693*'Analyse capacite'!$F$9</f>
        <v>0</v>
      </c>
      <c r="I7693" s="135" t="n">
        <f aca="false">$G7693*'Analyse capacite'!$C$9</f>
        <v>0</v>
      </c>
      <c r="J7693" s="135" t="n">
        <f aca="false">$G7693*'Analyse capacite'!$D$9</f>
        <v>0</v>
      </c>
      <c r="K7693" s="135" t="n">
        <f aca="false">$G7693*'Analyse capacite'!$E$9</f>
        <v>0</v>
      </c>
    </row>
    <row r="7694" customFormat="false" ht="15" hidden="false" customHeight="false" outlineLevel="0" collapsed="false">
      <c r="B7694" s="130" t="n">
        <v>2027</v>
      </c>
      <c r="C7694" s="131" t="s">
        <v>252</v>
      </c>
      <c r="D7694" s="132" t="n">
        <v>46691</v>
      </c>
      <c r="E7694" s="131" t="s">
        <v>49</v>
      </c>
      <c r="F7694" s="133" t="s">
        <v>11</v>
      </c>
      <c r="G7694" s="134" t="n">
        <f aca="false">LEN('Saisie programme'!$J$268)+SUMIFS('Vols additionnels'!$E$7:$E$66,'Vols additionnels'!$C$7:$C$66,$E7694,'Vols additionnels'!$D$7:$D$66,$F7694,'Vols additionnels'!$B$7:$B$66,$D7694)</f>
        <v>0</v>
      </c>
      <c r="H7694" s="135" t="n">
        <f aca="false">$G7694*'Analyse capacite'!$F$7</f>
        <v>0</v>
      </c>
      <c r="I7694" s="135" t="n">
        <f aca="false">$G7694*'Analyse capacite'!$C$7</f>
        <v>0</v>
      </c>
      <c r="J7694" s="135" t="n">
        <f aca="false">$G7694*'Analyse capacite'!$D$7</f>
        <v>0</v>
      </c>
      <c r="K7694" s="135" t="n">
        <f aca="false">$G7694*'Analyse capacite'!$E$7</f>
        <v>0</v>
      </c>
    </row>
    <row r="7695" customFormat="false" ht="15" hidden="false" customHeight="false" outlineLevel="0" collapsed="false">
      <c r="B7695" s="130" t="n">
        <v>2027</v>
      </c>
      <c r="C7695" s="131" t="s">
        <v>252</v>
      </c>
      <c r="D7695" s="132" t="n">
        <v>46691</v>
      </c>
      <c r="E7695" s="131" t="s">
        <v>49</v>
      </c>
      <c r="F7695" s="133" t="s">
        <v>19</v>
      </c>
      <c r="G7695" s="134" t="n">
        <f aca="false">LEN('Saisie programme'!$J$269)+SUMIFS('Vols additionnels'!$E$7:$E$66,'Vols additionnels'!$C$7:$C$66,$E7695,'Vols additionnels'!$D$7:$D$66,$F7695,'Vols additionnels'!$B$7:$B$66,$D7695)</f>
        <v>0</v>
      </c>
      <c r="H7695" s="135" t="n">
        <f aca="false">$G7695*'Analyse capacite'!$F$8</f>
        <v>0</v>
      </c>
      <c r="I7695" s="135" t="n">
        <f aca="false">$G7695*'Analyse capacite'!$C$8</f>
        <v>0</v>
      </c>
      <c r="J7695" s="135" t="n">
        <f aca="false">$G7695*'Analyse capacite'!$D$8</f>
        <v>0</v>
      </c>
      <c r="K7695" s="135" t="n">
        <f aca="false">$G7695*'Analyse capacite'!$E$8</f>
        <v>0</v>
      </c>
    </row>
    <row r="7696" customFormat="false" ht="15" hidden="false" customHeight="false" outlineLevel="0" collapsed="false">
      <c r="B7696" s="130" t="n">
        <v>2027</v>
      </c>
      <c r="C7696" s="131" t="s">
        <v>252</v>
      </c>
      <c r="D7696" s="132" t="n">
        <v>46691</v>
      </c>
      <c r="E7696" s="131" t="s">
        <v>49</v>
      </c>
      <c r="F7696" s="133" t="s">
        <v>24</v>
      </c>
      <c r="G7696" s="134" t="n">
        <f aca="false">LEN('Saisie programme'!$J$270)+SUMIFS('Vols additionnels'!$E$7:$E$66,'Vols additionnels'!$C$7:$C$66,$E7696,'Vols additionnels'!$D$7:$D$66,$F7696,'Vols additionnels'!$B$7:$B$66,$D7696)</f>
        <v>0</v>
      </c>
      <c r="H7696" s="135" t="n">
        <f aca="false">$G7696*'Analyse capacite'!$F$9</f>
        <v>0</v>
      </c>
      <c r="I7696" s="135" t="n">
        <f aca="false">$G7696*'Analyse capacite'!$C$9</f>
        <v>0</v>
      </c>
      <c r="J7696" s="135" t="n">
        <f aca="false">$G7696*'Analyse capacite'!$D$9</f>
        <v>0</v>
      </c>
      <c r="K7696" s="135" t="n">
        <f aca="false">$G7696*'Analyse capacite'!$E$9</f>
        <v>0</v>
      </c>
    </row>
    <row r="7697" customFormat="false" ht="15" hidden="false" customHeight="false" outlineLevel="0" collapsed="false">
      <c r="B7697" s="130" t="n">
        <v>2027</v>
      </c>
      <c r="C7697" s="131" t="s">
        <v>252</v>
      </c>
      <c r="D7697" s="132" t="n">
        <v>46691</v>
      </c>
      <c r="E7697" s="131" t="s">
        <v>53</v>
      </c>
      <c r="F7697" s="133" t="s">
        <v>11</v>
      </c>
      <c r="G7697" s="134" t="n">
        <f aca="false">LEN('Saisie programme'!$J$271)+SUMIFS('Vols additionnels'!$E$7:$E$66,'Vols additionnels'!$C$7:$C$66,$E7697,'Vols additionnels'!$D$7:$D$66,$F7697,'Vols additionnels'!$B$7:$B$66,$D7697)</f>
        <v>0</v>
      </c>
      <c r="H7697" s="135" t="n">
        <f aca="false">$G7697*'Analyse capacite'!$F$7</f>
        <v>0</v>
      </c>
      <c r="I7697" s="135" t="n">
        <f aca="false">$G7697*'Analyse capacite'!$C$7</f>
        <v>0</v>
      </c>
      <c r="J7697" s="135" t="n">
        <f aca="false">$G7697*'Analyse capacite'!$D$7</f>
        <v>0</v>
      </c>
      <c r="K7697" s="135" t="n">
        <f aca="false">$G7697*'Analyse capacite'!$E$7</f>
        <v>0</v>
      </c>
    </row>
    <row r="7698" customFormat="false" ht="15" hidden="false" customHeight="false" outlineLevel="0" collapsed="false">
      <c r="B7698" s="130" t="n">
        <v>2027</v>
      </c>
      <c r="C7698" s="131" t="s">
        <v>252</v>
      </c>
      <c r="D7698" s="132" t="n">
        <v>46691</v>
      </c>
      <c r="E7698" s="131" t="s">
        <v>53</v>
      </c>
      <c r="F7698" s="133" t="s">
        <v>19</v>
      </c>
      <c r="G7698" s="134" t="n">
        <f aca="false">LEN('Saisie programme'!$J$272)+SUMIFS('Vols additionnels'!$E$7:$E$66,'Vols additionnels'!$C$7:$C$66,$E7698,'Vols additionnels'!$D$7:$D$66,$F7698,'Vols additionnels'!$B$7:$B$66,$D7698)</f>
        <v>0</v>
      </c>
      <c r="H7698" s="135" t="n">
        <f aca="false">$G7698*'Analyse capacite'!$F$8</f>
        <v>0</v>
      </c>
      <c r="I7698" s="135" t="n">
        <f aca="false">$G7698*'Analyse capacite'!$C$8</f>
        <v>0</v>
      </c>
      <c r="J7698" s="135" t="n">
        <f aca="false">$G7698*'Analyse capacite'!$D$8</f>
        <v>0</v>
      </c>
      <c r="K7698" s="135" t="n">
        <f aca="false">$G7698*'Analyse capacite'!$E$8</f>
        <v>0</v>
      </c>
    </row>
    <row r="7699" customFormat="false" ht="15" hidden="false" customHeight="false" outlineLevel="0" collapsed="false">
      <c r="B7699" s="130" t="n">
        <v>2027</v>
      </c>
      <c r="C7699" s="131" t="s">
        <v>252</v>
      </c>
      <c r="D7699" s="132" t="n">
        <v>46691</v>
      </c>
      <c r="E7699" s="131" t="s">
        <v>53</v>
      </c>
      <c r="F7699" s="133" t="s">
        <v>24</v>
      </c>
      <c r="G7699" s="134" t="n">
        <f aca="false">LEN('Saisie programme'!$J$273)+SUMIFS('Vols additionnels'!$E$7:$E$66,'Vols additionnels'!$C$7:$C$66,$E7699,'Vols additionnels'!$D$7:$D$66,$F7699,'Vols additionnels'!$B$7:$B$66,$D7699)</f>
        <v>0</v>
      </c>
      <c r="H7699" s="135" t="n">
        <f aca="false">$G7699*'Analyse capacite'!$F$9</f>
        <v>0</v>
      </c>
      <c r="I7699" s="135" t="n">
        <f aca="false">$G7699*'Analyse capacite'!$C$9</f>
        <v>0</v>
      </c>
      <c r="J7699" s="135" t="n">
        <f aca="false">$G7699*'Analyse capacite'!$D$9</f>
        <v>0</v>
      </c>
      <c r="K7699" s="135" t="n">
        <f aca="false">$G7699*'Analyse capacite'!$E$9</f>
        <v>0</v>
      </c>
    </row>
    <row r="7700" customFormat="false" ht="15" hidden="false" customHeight="false" outlineLevel="0" collapsed="false">
      <c r="B7700" s="130" t="n">
        <v>2027</v>
      </c>
      <c r="C7700" s="131" t="s">
        <v>252</v>
      </c>
      <c r="D7700" s="132" t="n">
        <v>46691</v>
      </c>
      <c r="E7700" s="131" t="s">
        <v>56</v>
      </c>
      <c r="F7700" s="133" t="s">
        <v>11</v>
      </c>
      <c r="G7700" s="134" t="n">
        <f aca="false">LEN('Saisie programme'!$J$274)+SUMIFS('Vols additionnels'!$E$7:$E$66,'Vols additionnels'!$C$7:$C$66,$E7700,'Vols additionnels'!$D$7:$D$66,$F7700,'Vols additionnels'!$B$7:$B$66,$D7700)</f>
        <v>0</v>
      </c>
      <c r="H7700" s="135" t="n">
        <f aca="false">$G7700*'Analyse capacite'!$F$7</f>
        <v>0</v>
      </c>
      <c r="I7700" s="135" t="n">
        <f aca="false">$G7700*'Analyse capacite'!$C$7</f>
        <v>0</v>
      </c>
      <c r="J7700" s="135" t="n">
        <f aca="false">$G7700*'Analyse capacite'!$D$7</f>
        <v>0</v>
      </c>
      <c r="K7700" s="135" t="n">
        <f aca="false">$G7700*'Analyse capacite'!$E$7</f>
        <v>0</v>
      </c>
    </row>
    <row r="7701" customFormat="false" ht="15" hidden="false" customHeight="false" outlineLevel="0" collapsed="false">
      <c r="B7701" s="130" t="n">
        <v>2027</v>
      </c>
      <c r="C7701" s="131" t="s">
        <v>252</v>
      </c>
      <c r="D7701" s="132" t="n">
        <v>46691</v>
      </c>
      <c r="E7701" s="131" t="s">
        <v>56</v>
      </c>
      <c r="F7701" s="133" t="s">
        <v>19</v>
      </c>
      <c r="G7701" s="134" t="n">
        <f aca="false">LEN('Saisie programme'!$J$275)+SUMIFS('Vols additionnels'!$E$7:$E$66,'Vols additionnels'!$C$7:$C$66,$E7701,'Vols additionnels'!$D$7:$D$66,$F7701,'Vols additionnels'!$B$7:$B$66,$D7701)</f>
        <v>0</v>
      </c>
      <c r="H7701" s="135" t="n">
        <f aca="false">$G7701*'Analyse capacite'!$F$8</f>
        <v>0</v>
      </c>
      <c r="I7701" s="135" t="n">
        <f aca="false">$G7701*'Analyse capacite'!$C$8</f>
        <v>0</v>
      </c>
      <c r="J7701" s="135" t="n">
        <f aca="false">$G7701*'Analyse capacite'!$D$8</f>
        <v>0</v>
      </c>
      <c r="K7701" s="135" t="n">
        <f aca="false">$G7701*'Analyse capacite'!$E$8</f>
        <v>0</v>
      </c>
    </row>
    <row r="7702" customFormat="false" ht="15" hidden="false" customHeight="false" outlineLevel="0" collapsed="false">
      <c r="B7702" s="130" t="n">
        <v>2027</v>
      </c>
      <c r="C7702" s="131" t="s">
        <v>252</v>
      </c>
      <c r="D7702" s="132" t="n">
        <v>46691</v>
      </c>
      <c r="E7702" s="131" t="s">
        <v>56</v>
      </c>
      <c r="F7702" s="133" t="s">
        <v>24</v>
      </c>
      <c r="G7702" s="134" t="n">
        <f aca="false">LEN('Saisie programme'!$J$276)+SUMIFS('Vols additionnels'!$E$7:$E$66,'Vols additionnels'!$C$7:$C$66,$E7702,'Vols additionnels'!$D$7:$D$66,$F7702,'Vols additionnels'!$B$7:$B$66,$D7702)</f>
        <v>0</v>
      </c>
      <c r="H7702" s="135" t="n">
        <f aca="false">$G7702*'Analyse capacite'!$F$9</f>
        <v>0</v>
      </c>
      <c r="I7702" s="135" t="n">
        <f aca="false">$G7702*'Analyse capacite'!$C$9</f>
        <v>0</v>
      </c>
      <c r="J7702" s="135" t="n">
        <f aca="false">$G7702*'Analyse capacite'!$D$9</f>
        <v>0</v>
      </c>
      <c r="K7702" s="135" t="n">
        <f aca="false">$G7702*'Analyse capacite'!$E$9</f>
        <v>0</v>
      </c>
    </row>
    <row r="7703" customFormat="false" ht="15" hidden="false" customHeight="false" outlineLevel="0" collapsed="false">
      <c r="B7703" s="130" t="n">
        <v>2027</v>
      </c>
      <c r="C7703" s="131" t="s">
        <v>252</v>
      </c>
      <c r="D7703" s="132" t="n">
        <v>46691</v>
      </c>
      <c r="E7703" s="131" t="s">
        <v>59</v>
      </c>
      <c r="F7703" s="133" t="s">
        <v>11</v>
      </c>
      <c r="G7703" s="134" t="n">
        <f aca="false">LEN('Saisie programme'!$J$277)+SUMIFS('Vols additionnels'!$E$7:$E$66,'Vols additionnels'!$C$7:$C$66,$E7703,'Vols additionnels'!$D$7:$D$66,$F7703,'Vols additionnels'!$B$7:$B$66,$D7703)</f>
        <v>0</v>
      </c>
      <c r="H7703" s="135" t="n">
        <f aca="false">$G7703*'Analyse capacite'!$F$7</f>
        <v>0</v>
      </c>
      <c r="I7703" s="135" t="n">
        <f aca="false">$G7703*'Analyse capacite'!$C$7</f>
        <v>0</v>
      </c>
      <c r="J7703" s="135" t="n">
        <f aca="false">$G7703*'Analyse capacite'!$D$7</f>
        <v>0</v>
      </c>
      <c r="K7703" s="135" t="n">
        <f aca="false">$G7703*'Analyse capacite'!$E$7</f>
        <v>0</v>
      </c>
    </row>
    <row r="7704" customFormat="false" ht="15" hidden="false" customHeight="false" outlineLevel="0" collapsed="false">
      <c r="B7704" s="130" t="n">
        <v>2027</v>
      </c>
      <c r="C7704" s="131" t="s">
        <v>252</v>
      </c>
      <c r="D7704" s="132" t="n">
        <v>46691</v>
      </c>
      <c r="E7704" s="131" t="s">
        <v>59</v>
      </c>
      <c r="F7704" s="133" t="s">
        <v>19</v>
      </c>
      <c r="G7704" s="134" t="n">
        <f aca="false">LEN('Saisie programme'!$J$278)+SUMIFS('Vols additionnels'!$E$7:$E$66,'Vols additionnels'!$C$7:$C$66,$E7704,'Vols additionnels'!$D$7:$D$66,$F7704,'Vols additionnels'!$B$7:$B$66,$D7704)</f>
        <v>0</v>
      </c>
      <c r="H7704" s="135" t="n">
        <f aca="false">$G7704*'Analyse capacite'!$F$8</f>
        <v>0</v>
      </c>
      <c r="I7704" s="135" t="n">
        <f aca="false">$G7704*'Analyse capacite'!$C$8</f>
        <v>0</v>
      </c>
      <c r="J7704" s="135" t="n">
        <f aca="false">$G7704*'Analyse capacite'!$D$8</f>
        <v>0</v>
      </c>
      <c r="K7704" s="135" t="n">
        <f aca="false">$G7704*'Analyse capacite'!$E$8</f>
        <v>0</v>
      </c>
    </row>
    <row r="7705" customFormat="false" ht="15" hidden="false" customHeight="false" outlineLevel="0" collapsed="false">
      <c r="B7705" s="130" t="n">
        <v>2027</v>
      </c>
      <c r="C7705" s="131" t="s">
        <v>252</v>
      </c>
      <c r="D7705" s="132" t="n">
        <v>46691</v>
      </c>
      <c r="E7705" s="131" t="s">
        <v>59</v>
      </c>
      <c r="F7705" s="133" t="s">
        <v>24</v>
      </c>
      <c r="G7705" s="134" t="n">
        <f aca="false">LEN('Saisie programme'!$J$279)+SUMIFS('Vols additionnels'!$E$7:$E$66,'Vols additionnels'!$C$7:$C$66,$E7705,'Vols additionnels'!$D$7:$D$66,$F7705,'Vols additionnels'!$B$7:$B$66,$D7705)</f>
        <v>0</v>
      </c>
      <c r="H7705" s="135" t="n">
        <f aca="false">$G7705*'Analyse capacite'!$F$9</f>
        <v>0</v>
      </c>
      <c r="I7705" s="135" t="n">
        <f aca="false">$G7705*'Analyse capacite'!$C$9</f>
        <v>0</v>
      </c>
      <c r="J7705" s="135" t="n">
        <f aca="false">$G7705*'Analyse capacite'!$D$9</f>
        <v>0</v>
      </c>
      <c r="K7705" s="135" t="n">
        <f aca="false">$G7705*'Analyse capacite'!$E$9</f>
        <v>0</v>
      </c>
    </row>
    <row r="7706" customFormat="false" ht="15" hidden="false" customHeight="false" outlineLevel="0" collapsed="false">
      <c r="B7706" s="130" t="n">
        <v>2027</v>
      </c>
      <c r="C7706" s="131" t="s">
        <v>252</v>
      </c>
      <c r="D7706" s="132" t="n">
        <v>46691</v>
      </c>
      <c r="E7706" s="131" t="s">
        <v>62</v>
      </c>
      <c r="F7706" s="133" t="s">
        <v>11</v>
      </c>
      <c r="G7706" s="134" t="n">
        <f aca="false">LEN('Saisie programme'!$J$280)+SUMIFS('Vols additionnels'!$E$7:$E$66,'Vols additionnels'!$C$7:$C$66,$E7706,'Vols additionnels'!$D$7:$D$66,$F7706,'Vols additionnels'!$B$7:$B$66,$D7706)</f>
        <v>0</v>
      </c>
      <c r="H7706" s="135" t="n">
        <f aca="false">$G7706*'Analyse capacite'!$F$7</f>
        <v>0</v>
      </c>
      <c r="I7706" s="135" t="n">
        <f aca="false">$G7706*'Analyse capacite'!$C$7</f>
        <v>0</v>
      </c>
      <c r="J7706" s="135" t="n">
        <f aca="false">$G7706*'Analyse capacite'!$D$7</f>
        <v>0</v>
      </c>
      <c r="K7706" s="135" t="n">
        <f aca="false">$G7706*'Analyse capacite'!$E$7</f>
        <v>0</v>
      </c>
    </row>
    <row r="7707" customFormat="false" ht="15" hidden="false" customHeight="false" outlineLevel="0" collapsed="false">
      <c r="B7707" s="130" t="n">
        <v>2027</v>
      </c>
      <c r="C7707" s="131" t="s">
        <v>252</v>
      </c>
      <c r="D7707" s="132" t="n">
        <v>46691</v>
      </c>
      <c r="E7707" s="131" t="s">
        <v>62</v>
      </c>
      <c r="F7707" s="133" t="s">
        <v>19</v>
      </c>
      <c r="G7707" s="134" t="n">
        <f aca="false">LEN('Saisie programme'!$J$281)+SUMIFS('Vols additionnels'!$E$7:$E$66,'Vols additionnels'!$C$7:$C$66,$E7707,'Vols additionnels'!$D$7:$D$66,$F7707,'Vols additionnels'!$B$7:$B$66,$D7707)</f>
        <v>0</v>
      </c>
      <c r="H7707" s="135" t="n">
        <f aca="false">$G7707*'Analyse capacite'!$F$8</f>
        <v>0</v>
      </c>
      <c r="I7707" s="135" t="n">
        <f aca="false">$G7707*'Analyse capacite'!$C$8</f>
        <v>0</v>
      </c>
      <c r="J7707" s="135" t="n">
        <f aca="false">$G7707*'Analyse capacite'!$D$8</f>
        <v>0</v>
      </c>
      <c r="K7707" s="135" t="n">
        <f aca="false">$G7707*'Analyse capacite'!$E$8</f>
        <v>0</v>
      </c>
    </row>
    <row r="7708" customFormat="false" ht="15" hidden="false" customHeight="false" outlineLevel="0" collapsed="false">
      <c r="B7708" s="130" t="n">
        <v>2027</v>
      </c>
      <c r="C7708" s="131" t="s">
        <v>252</v>
      </c>
      <c r="D7708" s="132" t="n">
        <v>46691</v>
      </c>
      <c r="E7708" s="131" t="s">
        <v>62</v>
      </c>
      <c r="F7708" s="133" t="s">
        <v>24</v>
      </c>
      <c r="G7708" s="134" t="n">
        <f aca="false">LEN('Saisie programme'!$J$282)+SUMIFS('Vols additionnels'!$E$7:$E$66,'Vols additionnels'!$C$7:$C$66,$E7708,'Vols additionnels'!$D$7:$D$66,$F7708,'Vols additionnels'!$B$7:$B$66,$D7708)</f>
        <v>1</v>
      </c>
      <c r="H7708" s="135" t="n">
        <f aca="false">$G7708*'Analyse capacite'!$F$9</f>
        <v>174</v>
      </c>
      <c r="I7708" s="135" t="n">
        <f aca="false">$G7708*'Analyse capacite'!$C$9</f>
        <v>0</v>
      </c>
      <c r="J7708" s="135" t="n">
        <f aca="false">$G7708*'Analyse capacite'!$D$9</f>
        <v>12</v>
      </c>
      <c r="K7708" s="135" t="n">
        <f aca="false">$G7708*'Analyse capacite'!$E$9</f>
        <v>162</v>
      </c>
    </row>
    <row r="7709" customFormat="false" ht="15" hidden="false" customHeight="false" outlineLevel="0" collapsed="false">
      <c r="B7709" s="130" t="n">
        <v>2027</v>
      </c>
      <c r="C7709" s="131" t="s">
        <v>253</v>
      </c>
      <c r="D7709" s="132" t="n">
        <v>46692</v>
      </c>
      <c r="E7709" s="131" t="s">
        <v>12</v>
      </c>
      <c r="F7709" s="133" t="s">
        <v>11</v>
      </c>
      <c r="G7709" s="134" t="n">
        <f aca="false">LEN('Saisie programme'!$D$286)+SUMIFS('Vols additionnels'!$E$7:$E$66,'Vols additionnels'!$C$7:$C$66,$E7709,'Vols additionnels'!$D$7:$D$66,$F7709,'Vols additionnels'!$B$7:$B$66,$D7709)</f>
        <v>1</v>
      </c>
      <c r="H7709" s="135" t="n">
        <f aca="false">$G7709*'Analyse capacite'!$F$7</f>
        <v>438</v>
      </c>
      <c r="I7709" s="135" t="n">
        <f aca="false">$G7709*'Analyse capacite'!$C$7</f>
        <v>14</v>
      </c>
      <c r="J7709" s="135" t="n">
        <f aca="false">$G7709*'Analyse capacite'!$D$7</f>
        <v>40</v>
      </c>
      <c r="K7709" s="135" t="n">
        <f aca="false">$G7709*'Analyse capacite'!$E$7</f>
        <v>384</v>
      </c>
    </row>
    <row r="7710" customFormat="false" ht="15" hidden="false" customHeight="false" outlineLevel="0" collapsed="false">
      <c r="B7710" s="130" t="n">
        <v>2027</v>
      </c>
      <c r="C7710" s="131" t="s">
        <v>253</v>
      </c>
      <c r="D7710" s="132" t="n">
        <v>46692</v>
      </c>
      <c r="E7710" s="131" t="s">
        <v>12</v>
      </c>
      <c r="F7710" s="133" t="s">
        <v>19</v>
      </c>
      <c r="G7710" s="134" t="n">
        <f aca="false">LEN('Saisie programme'!$D$287)+SUMIFS('Vols additionnels'!$E$7:$E$66,'Vols additionnels'!$C$7:$C$66,$E7710,'Vols additionnels'!$D$7:$D$66,$F7710,'Vols additionnels'!$B$7:$B$66,$D7710)</f>
        <v>1</v>
      </c>
      <c r="H7710" s="135" t="n">
        <f aca="false">$G7710*'Analyse capacite'!$F$8</f>
        <v>262</v>
      </c>
      <c r="I7710" s="135" t="n">
        <f aca="false">$G7710*'Analyse capacite'!$C$8</f>
        <v>18</v>
      </c>
      <c r="J7710" s="135" t="n">
        <f aca="false">$G7710*'Analyse capacite'!$D$8</f>
        <v>0</v>
      </c>
      <c r="K7710" s="135" t="n">
        <f aca="false">$G7710*'Analyse capacite'!$E$8</f>
        <v>244</v>
      </c>
    </row>
    <row r="7711" customFormat="false" ht="15" hidden="false" customHeight="false" outlineLevel="0" collapsed="false">
      <c r="B7711" s="130" t="n">
        <v>2027</v>
      </c>
      <c r="C7711" s="131" t="s">
        <v>253</v>
      </c>
      <c r="D7711" s="132" t="n">
        <v>46692</v>
      </c>
      <c r="E7711" s="131" t="s">
        <v>12</v>
      </c>
      <c r="F7711" s="133" t="s">
        <v>24</v>
      </c>
      <c r="G7711" s="134" t="n">
        <f aca="false">LEN('Saisie programme'!$D$288)+SUMIFS('Vols additionnels'!$E$7:$E$66,'Vols additionnels'!$C$7:$C$66,$E7711,'Vols additionnels'!$D$7:$D$66,$F7711,'Vols additionnels'!$B$7:$B$66,$D7711)</f>
        <v>2</v>
      </c>
      <c r="H7711" s="135" t="n">
        <f aca="false">$G7711*'Analyse capacite'!$F$9</f>
        <v>348</v>
      </c>
      <c r="I7711" s="135" t="n">
        <f aca="false">$G7711*'Analyse capacite'!$C$9</f>
        <v>0</v>
      </c>
      <c r="J7711" s="135" t="n">
        <f aca="false">$G7711*'Analyse capacite'!$D$9</f>
        <v>24</v>
      </c>
      <c r="K7711" s="135" t="n">
        <f aca="false">$G7711*'Analyse capacite'!$E$9</f>
        <v>324</v>
      </c>
    </row>
    <row r="7712" customFormat="false" ht="15" hidden="false" customHeight="false" outlineLevel="0" collapsed="false">
      <c r="B7712" s="130" t="n">
        <v>2027</v>
      </c>
      <c r="C7712" s="131" t="s">
        <v>253</v>
      </c>
      <c r="D7712" s="132" t="n">
        <v>46692</v>
      </c>
      <c r="E7712" s="131" t="s">
        <v>20</v>
      </c>
      <c r="F7712" s="133" t="s">
        <v>11</v>
      </c>
      <c r="G7712" s="134" t="n">
        <f aca="false">LEN('Saisie programme'!$D$289)+SUMIFS('Vols additionnels'!$E$7:$E$66,'Vols additionnels'!$C$7:$C$66,$E7712,'Vols additionnels'!$D$7:$D$66,$F7712,'Vols additionnels'!$B$7:$B$66,$D7712)</f>
        <v>0</v>
      </c>
      <c r="H7712" s="135" t="n">
        <f aca="false">$G7712*'Analyse capacite'!$F$7</f>
        <v>0</v>
      </c>
      <c r="I7712" s="135" t="n">
        <f aca="false">$G7712*'Analyse capacite'!$C$7</f>
        <v>0</v>
      </c>
      <c r="J7712" s="135" t="n">
        <f aca="false">$G7712*'Analyse capacite'!$D$7</f>
        <v>0</v>
      </c>
      <c r="K7712" s="135" t="n">
        <f aca="false">$G7712*'Analyse capacite'!$E$7</f>
        <v>0</v>
      </c>
    </row>
    <row r="7713" customFormat="false" ht="15" hidden="false" customHeight="false" outlineLevel="0" collapsed="false">
      <c r="B7713" s="130" t="n">
        <v>2027</v>
      </c>
      <c r="C7713" s="131" t="s">
        <v>253</v>
      </c>
      <c r="D7713" s="132" t="n">
        <v>46692</v>
      </c>
      <c r="E7713" s="131" t="s">
        <v>20</v>
      </c>
      <c r="F7713" s="133" t="s">
        <v>19</v>
      </c>
      <c r="G7713" s="134" t="n">
        <f aca="false">LEN('Saisie programme'!$D$290)+SUMIFS('Vols additionnels'!$E$7:$E$66,'Vols additionnels'!$C$7:$C$66,$E7713,'Vols additionnels'!$D$7:$D$66,$F7713,'Vols additionnels'!$B$7:$B$66,$D7713)</f>
        <v>0</v>
      </c>
      <c r="H7713" s="135" t="n">
        <f aca="false">$G7713*'Analyse capacite'!$F$8</f>
        <v>0</v>
      </c>
      <c r="I7713" s="135" t="n">
        <f aca="false">$G7713*'Analyse capacite'!$C$8</f>
        <v>0</v>
      </c>
      <c r="J7713" s="135" t="n">
        <f aca="false">$G7713*'Analyse capacite'!$D$8</f>
        <v>0</v>
      </c>
      <c r="K7713" s="135" t="n">
        <f aca="false">$G7713*'Analyse capacite'!$E$8</f>
        <v>0</v>
      </c>
    </row>
    <row r="7714" customFormat="false" ht="15" hidden="false" customHeight="false" outlineLevel="0" collapsed="false">
      <c r="B7714" s="130" t="n">
        <v>2027</v>
      </c>
      <c r="C7714" s="131" t="s">
        <v>253</v>
      </c>
      <c r="D7714" s="132" t="n">
        <v>46692</v>
      </c>
      <c r="E7714" s="131" t="s">
        <v>20</v>
      </c>
      <c r="F7714" s="133" t="s">
        <v>24</v>
      </c>
      <c r="G7714" s="134" t="n">
        <f aca="false">LEN('Saisie programme'!$D$291)+SUMIFS('Vols additionnels'!$E$7:$E$66,'Vols additionnels'!$C$7:$C$66,$E7714,'Vols additionnels'!$D$7:$D$66,$F7714,'Vols additionnels'!$B$7:$B$66,$D7714)</f>
        <v>0</v>
      </c>
      <c r="H7714" s="135" t="n">
        <f aca="false">$G7714*'Analyse capacite'!$F$9</f>
        <v>0</v>
      </c>
      <c r="I7714" s="135" t="n">
        <f aca="false">$G7714*'Analyse capacite'!$C$9</f>
        <v>0</v>
      </c>
      <c r="J7714" s="135" t="n">
        <f aca="false">$G7714*'Analyse capacite'!$D$9</f>
        <v>0</v>
      </c>
      <c r="K7714" s="135" t="n">
        <f aca="false">$G7714*'Analyse capacite'!$E$9</f>
        <v>0</v>
      </c>
    </row>
    <row r="7715" customFormat="false" ht="15" hidden="false" customHeight="false" outlineLevel="0" collapsed="false">
      <c r="B7715" s="130" t="n">
        <v>2027</v>
      </c>
      <c r="C7715" s="131" t="s">
        <v>253</v>
      </c>
      <c r="D7715" s="132" t="n">
        <v>46692</v>
      </c>
      <c r="E7715" s="131" t="s">
        <v>25</v>
      </c>
      <c r="F7715" s="133" t="s">
        <v>11</v>
      </c>
      <c r="G7715" s="134" t="n">
        <f aca="false">LEN('Saisie programme'!$D$292)+SUMIFS('Vols additionnels'!$E$7:$E$66,'Vols additionnels'!$C$7:$C$66,$E7715,'Vols additionnels'!$D$7:$D$66,$F7715,'Vols additionnels'!$B$7:$B$66,$D7715)</f>
        <v>0</v>
      </c>
      <c r="H7715" s="135" t="n">
        <f aca="false">$G7715*'Analyse capacite'!$F$7</f>
        <v>0</v>
      </c>
      <c r="I7715" s="135" t="n">
        <f aca="false">$G7715*'Analyse capacite'!$C$7</f>
        <v>0</v>
      </c>
      <c r="J7715" s="135" t="n">
        <f aca="false">$G7715*'Analyse capacite'!$D$7</f>
        <v>0</v>
      </c>
      <c r="K7715" s="135" t="n">
        <f aca="false">$G7715*'Analyse capacite'!$E$7</f>
        <v>0</v>
      </c>
    </row>
    <row r="7716" customFormat="false" ht="15" hidden="false" customHeight="false" outlineLevel="0" collapsed="false">
      <c r="B7716" s="130" t="n">
        <v>2027</v>
      </c>
      <c r="C7716" s="131" t="s">
        <v>253</v>
      </c>
      <c r="D7716" s="132" t="n">
        <v>46692</v>
      </c>
      <c r="E7716" s="131" t="s">
        <v>25</v>
      </c>
      <c r="F7716" s="133" t="s">
        <v>19</v>
      </c>
      <c r="G7716" s="134" t="n">
        <f aca="false">LEN('Saisie programme'!$D$293)+SUMIFS('Vols additionnels'!$E$7:$E$66,'Vols additionnels'!$C$7:$C$66,$E7716,'Vols additionnels'!$D$7:$D$66,$F7716,'Vols additionnels'!$B$7:$B$66,$D7716)</f>
        <v>0</v>
      </c>
      <c r="H7716" s="135" t="n">
        <f aca="false">$G7716*'Analyse capacite'!$F$8</f>
        <v>0</v>
      </c>
      <c r="I7716" s="135" t="n">
        <f aca="false">$G7716*'Analyse capacite'!$C$8</f>
        <v>0</v>
      </c>
      <c r="J7716" s="135" t="n">
        <f aca="false">$G7716*'Analyse capacite'!$D$8</f>
        <v>0</v>
      </c>
      <c r="K7716" s="135" t="n">
        <f aca="false">$G7716*'Analyse capacite'!$E$8</f>
        <v>0</v>
      </c>
    </row>
    <row r="7717" customFormat="false" ht="15" hidden="false" customHeight="false" outlineLevel="0" collapsed="false">
      <c r="B7717" s="130" t="n">
        <v>2027</v>
      </c>
      <c r="C7717" s="131" t="s">
        <v>253</v>
      </c>
      <c r="D7717" s="132" t="n">
        <v>46692</v>
      </c>
      <c r="E7717" s="131" t="s">
        <v>25</v>
      </c>
      <c r="F7717" s="133" t="s">
        <v>24</v>
      </c>
      <c r="G7717" s="134" t="n">
        <f aca="false">LEN('Saisie programme'!$D$294)+SUMIFS('Vols additionnels'!$E$7:$E$66,'Vols additionnels'!$C$7:$C$66,$E7717,'Vols additionnels'!$D$7:$D$66,$F7717,'Vols additionnels'!$B$7:$B$66,$D7717)</f>
        <v>0</v>
      </c>
      <c r="H7717" s="135" t="n">
        <f aca="false">$G7717*'Analyse capacite'!$F$9</f>
        <v>0</v>
      </c>
      <c r="I7717" s="135" t="n">
        <f aca="false">$G7717*'Analyse capacite'!$C$9</f>
        <v>0</v>
      </c>
      <c r="J7717" s="135" t="n">
        <f aca="false">$G7717*'Analyse capacite'!$D$9</f>
        <v>0</v>
      </c>
      <c r="K7717" s="135" t="n">
        <f aca="false">$G7717*'Analyse capacite'!$E$9</f>
        <v>0</v>
      </c>
    </row>
    <row r="7718" customFormat="false" ht="15" hidden="false" customHeight="false" outlineLevel="0" collapsed="false">
      <c r="B7718" s="130" t="n">
        <v>2027</v>
      </c>
      <c r="C7718" s="131" t="s">
        <v>253</v>
      </c>
      <c r="D7718" s="132" t="n">
        <v>46692</v>
      </c>
      <c r="E7718" s="131" t="s">
        <v>36</v>
      </c>
      <c r="F7718" s="133" t="s">
        <v>11</v>
      </c>
      <c r="G7718" s="134" t="n">
        <f aca="false">LEN('Saisie programme'!$D$295)+SUMIFS('Vols additionnels'!$E$7:$E$66,'Vols additionnels'!$C$7:$C$66,$E7718,'Vols additionnels'!$D$7:$D$66,$F7718,'Vols additionnels'!$B$7:$B$66,$D7718)</f>
        <v>0</v>
      </c>
      <c r="H7718" s="135" t="n">
        <f aca="false">$G7718*'Analyse capacite'!$F$7</f>
        <v>0</v>
      </c>
      <c r="I7718" s="135" t="n">
        <f aca="false">$G7718*'Analyse capacite'!$C$7</f>
        <v>0</v>
      </c>
      <c r="J7718" s="135" t="n">
        <f aca="false">$G7718*'Analyse capacite'!$D$7</f>
        <v>0</v>
      </c>
      <c r="K7718" s="135" t="n">
        <f aca="false">$G7718*'Analyse capacite'!$E$7</f>
        <v>0</v>
      </c>
    </row>
    <row r="7719" customFormat="false" ht="15" hidden="false" customHeight="false" outlineLevel="0" collapsed="false">
      <c r="B7719" s="130" t="n">
        <v>2027</v>
      </c>
      <c r="C7719" s="131" t="s">
        <v>253</v>
      </c>
      <c r="D7719" s="132" t="n">
        <v>46692</v>
      </c>
      <c r="E7719" s="131" t="s">
        <v>36</v>
      </c>
      <c r="F7719" s="133" t="s">
        <v>19</v>
      </c>
      <c r="G7719" s="134" t="n">
        <f aca="false">LEN('Saisie programme'!$D$296)+SUMIFS('Vols additionnels'!$E$7:$E$66,'Vols additionnels'!$C$7:$C$66,$E7719,'Vols additionnels'!$D$7:$D$66,$F7719,'Vols additionnels'!$B$7:$B$66,$D7719)</f>
        <v>0</v>
      </c>
      <c r="H7719" s="135" t="n">
        <f aca="false">$G7719*'Analyse capacite'!$F$8</f>
        <v>0</v>
      </c>
      <c r="I7719" s="135" t="n">
        <f aca="false">$G7719*'Analyse capacite'!$C$8</f>
        <v>0</v>
      </c>
      <c r="J7719" s="135" t="n">
        <f aca="false">$G7719*'Analyse capacite'!$D$8</f>
        <v>0</v>
      </c>
      <c r="K7719" s="135" t="n">
        <f aca="false">$G7719*'Analyse capacite'!$E$8</f>
        <v>0</v>
      </c>
    </row>
    <row r="7720" customFormat="false" ht="15" hidden="false" customHeight="false" outlineLevel="0" collapsed="false">
      <c r="B7720" s="130" t="n">
        <v>2027</v>
      </c>
      <c r="C7720" s="131" t="s">
        <v>253</v>
      </c>
      <c r="D7720" s="132" t="n">
        <v>46692</v>
      </c>
      <c r="E7720" s="131" t="s">
        <v>36</v>
      </c>
      <c r="F7720" s="133" t="s">
        <v>24</v>
      </c>
      <c r="G7720" s="134" t="n">
        <f aca="false">LEN('Saisie programme'!$D$297)+SUMIFS('Vols additionnels'!$E$7:$E$66,'Vols additionnels'!$C$7:$C$66,$E7720,'Vols additionnels'!$D$7:$D$66,$F7720,'Vols additionnels'!$B$7:$B$66,$D7720)</f>
        <v>1</v>
      </c>
      <c r="H7720" s="135" t="n">
        <f aca="false">$G7720*'Analyse capacite'!$F$9</f>
        <v>174</v>
      </c>
      <c r="I7720" s="135" t="n">
        <f aca="false">$G7720*'Analyse capacite'!$C$9</f>
        <v>0</v>
      </c>
      <c r="J7720" s="135" t="n">
        <f aca="false">$G7720*'Analyse capacite'!$D$9</f>
        <v>12</v>
      </c>
      <c r="K7720" s="135" t="n">
        <f aca="false">$G7720*'Analyse capacite'!$E$9</f>
        <v>162</v>
      </c>
    </row>
    <row r="7721" customFormat="false" ht="15" hidden="false" customHeight="false" outlineLevel="0" collapsed="false">
      <c r="B7721" s="130" t="n">
        <v>2027</v>
      </c>
      <c r="C7721" s="131" t="s">
        <v>253</v>
      </c>
      <c r="D7721" s="132" t="n">
        <v>46692</v>
      </c>
      <c r="E7721" s="131" t="s">
        <v>40</v>
      </c>
      <c r="F7721" s="133" t="s">
        <v>11</v>
      </c>
      <c r="G7721" s="134" t="n">
        <f aca="false">LEN('Saisie programme'!$D$298)+SUMIFS('Vols additionnels'!$E$7:$E$66,'Vols additionnels'!$C$7:$C$66,$E7721,'Vols additionnels'!$D$7:$D$66,$F7721,'Vols additionnels'!$B$7:$B$66,$D7721)</f>
        <v>0</v>
      </c>
      <c r="H7721" s="135" t="n">
        <f aca="false">$G7721*'Analyse capacite'!$F$7</f>
        <v>0</v>
      </c>
      <c r="I7721" s="135" t="n">
        <f aca="false">$G7721*'Analyse capacite'!$C$7</f>
        <v>0</v>
      </c>
      <c r="J7721" s="135" t="n">
        <f aca="false">$G7721*'Analyse capacite'!$D$7</f>
        <v>0</v>
      </c>
      <c r="K7721" s="135" t="n">
        <f aca="false">$G7721*'Analyse capacite'!$E$7</f>
        <v>0</v>
      </c>
    </row>
    <row r="7722" customFormat="false" ht="15" hidden="false" customHeight="false" outlineLevel="0" collapsed="false">
      <c r="B7722" s="130" t="n">
        <v>2027</v>
      </c>
      <c r="C7722" s="131" t="s">
        <v>253</v>
      </c>
      <c r="D7722" s="132" t="n">
        <v>46692</v>
      </c>
      <c r="E7722" s="131" t="s">
        <v>40</v>
      </c>
      <c r="F7722" s="133" t="s">
        <v>19</v>
      </c>
      <c r="G7722" s="134" t="n">
        <f aca="false">LEN('Saisie programme'!$D$299)+SUMIFS('Vols additionnels'!$E$7:$E$66,'Vols additionnels'!$C$7:$C$66,$E7722,'Vols additionnels'!$D$7:$D$66,$F7722,'Vols additionnels'!$B$7:$B$66,$D7722)</f>
        <v>0</v>
      </c>
      <c r="H7722" s="135" t="n">
        <f aca="false">$G7722*'Analyse capacite'!$F$8</f>
        <v>0</v>
      </c>
      <c r="I7722" s="135" t="n">
        <f aca="false">$G7722*'Analyse capacite'!$C$8</f>
        <v>0</v>
      </c>
      <c r="J7722" s="135" t="n">
        <f aca="false">$G7722*'Analyse capacite'!$D$8</f>
        <v>0</v>
      </c>
      <c r="K7722" s="135" t="n">
        <f aca="false">$G7722*'Analyse capacite'!$E$8</f>
        <v>0</v>
      </c>
    </row>
    <row r="7723" customFormat="false" ht="15" hidden="false" customHeight="false" outlineLevel="0" collapsed="false">
      <c r="B7723" s="130" t="n">
        <v>2027</v>
      </c>
      <c r="C7723" s="131" t="s">
        <v>253</v>
      </c>
      <c r="D7723" s="132" t="n">
        <v>46692</v>
      </c>
      <c r="E7723" s="131" t="s">
        <v>40</v>
      </c>
      <c r="F7723" s="133" t="s">
        <v>24</v>
      </c>
      <c r="G7723" s="134" t="n">
        <f aca="false">LEN('Saisie programme'!$D$300)+SUMIFS('Vols additionnels'!$E$7:$E$66,'Vols additionnels'!$C$7:$C$66,$E7723,'Vols additionnels'!$D$7:$D$66,$F7723,'Vols additionnels'!$B$7:$B$66,$D7723)</f>
        <v>1</v>
      </c>
      <c r="H7723" s="135" t="n">
        <f aca="false">$G7723*'Analyse capacite'!$F$9</f>
        <v>174</v>
      </c>
      <c r="I7723" s="135" t="n">
        <f aca="false">$G7723*'Analyse capacite'!$C$9</f>
        <v>0</v>
      </c>
      <c r="J7723" s="135" t="n">
        <f aca="false">$G7723*'Analyse capacite'!$D$9</f>
        <v>12</v>
      </c>
      <c r="K7723" s="135" t="n">
        <f aca="false">$G7723*'Analyse capacite'!$E$9</f>
        <v>162</v>
      </c>
    </row>
    <row r="7724" customFormat="false" ht="15" hidden="false" customHeight="false" outlineLevel="0" collapsed="false">
      <c r="B7724" s="130" t="n">
        <v>2027</v>
      </c>
      <c r="C7724" s="131" t="s">
        <v>253</v>
      </c>
      <c r="D7724" s="132" t="n">
        <v>46692</v>
      </c>
      <c r="E7724" s="131" t="s">
        <v>14</v>
      </c>
      <c r="F7724" s="133" t="s">
        <v>11</v>
      </c>
      <c r="G7724" s="134" t="n">
        <f aca="false">LEN('Saisie programme'!$D$301)+SUMIFS('Vols additionnels'!$E$7:$E$66,'Vols additionnels'!$C$7:$C$66,$E7724,'Vols additionnels'!$D$7:$D$66,$F7724,'Vols additionnels'!$B$7:$B$66,$D7724)</f>
        <v>0</v>
      </c>
      <c r="H7724" s="135" t="n">
        <f aca="false">$G7724*'Analyse capacite'!$F$7</f>
        <v>0</v>
      </c>
      <c r="I7724" s="135" t="n">
        <f aca="false">$G7724*'Analyse capacite'!$C$7</f>
        <v>0</v>
      </c>
      <c r="J7724" s="135" t="n">
        <f aca="false">$G7724*'Analyse capacite'!$D$7</f>
        <v>0</v>
      </c>
      <c r="K7724" s="135" t="n">
        <f aca="false">$G7724*'Analyse capacite'!$E$7</f>
        <v>0</v>
      </c>
    </row>
    <row r="7725" customFormat="false" ht="15" hidden="false" customHeight="false" outlineLevel="0" collapsed="false">
      <c r="B7725" s="130" t="n">
        <v>2027</v>
      </c>
      <c r="C7725" s="131" t="s">
        <v>253</v>
      </c>
      <c r="D7725" s="132" t="n">
        <v>46692</v>
      </c>
      <c r="E7725" s="131" t="s">
        <v>14</v>
      </c>
      <c r="F7725" s="133" t="s">
        <v>19</v>
      </c>
      <c r="G7725" s="134" t="n">
        <f aca="false">LEN('Saisie programme'!$D$302)+SUMIFS('Vols additionnels'!$E$7:$E$66,'Vols additionnels'!$C$7:$C$66,$E7725,'Vols additionnels'!$D$7:$D$66,$F7725,'Vols additionnels'!$B$7:$B$66,$D7725)</f>
        <v>0</v>
      </c>
      <c r="H7725" s="135" t="n">
        <f aca="false">$G7725*'Analyse capacite'!$F$8</f>
        <v>0</v>
      </c>
      <c r="I7725" s="135" t="n">
        <f aca="false">$G7725*'Analyse capacite'!$C$8</f>
        <v>0</v>
      </c>
      <c r="J7725" s="135" t="n">
        <f aca="false">$G7725*'Analyse capacite'!$D$8</f>
        <v>0</v>
      </c>
      <c r="K7725" s="135" t="n">
        <f aca="false">$G7725*'Analyse capacite'!$E$8</f>
        <v>0</v>
      </c>
    </row>
    <row r="7726" customFormat="false" ht="15" hidden="false" customHeight="false" outlineLevel="0" collapsed="false">
      <c r="B7726" s="130" t="n">
        <v>2027</v>
      </c>
      <c r="C7726" s="131" t="s">
        <v>253</v>
      </c>
      <c r="D7726" s="132" t="n">
        <v>46692</v>
      </c>
      <c r="E7726" s="131" t="s">
        <v>14</v>
      </c>
      <c r="F7726" s="133" t="s">
        <v>24</v>
      </c>
      <c r="G7726" s="134" t="n">
        <f aca="false">LEN('Saisie programme'!$D$303)+SUMIFS('Vols additionnels'!$E$7:$E$66,'Vols additionnels'!$C$7:$C$66,$E7726,'Vols additionnels'!$D$7:$D$66,$F7726,'Vols additionnels'!$B$7:$B$66,$D7726)</f>
        <v>1</v>
      </c>
      <c r="H7726" s="135" t="n">
        <f aca="false">$G7726*'Analyse capacite'!$F$9</f>
        <v>174</v>
      </c>
      <c r="I7726" s="135" t="n">
        <f aca="false">$G7726*'Analyse capacite'!$C$9</f>
        <v>0</v>
      </c>
      <c r="J7726" s="135" t="n">
        <f aca="false">$G7726*'Analyse capacite'!$D$9</f>
        <v>12</v>
      </c>
      <c r="K7726" s="135" t="n">
        <f aca="false">$G7726*'Analyse capacite'!$E$9</f>
        <v>162</v>
      </c>
    </row>
    <row r="7727" customFormat="false" ht="15" hidden="false" customHeight="false" outlineLevel="0" collapsed="false">
      <c r="B7727" s="130" t="n">
        <v>2027</v>
      </c>
      <c r="C7727" s="131" t="s">
        <v>253</v>
      </c>
      <c r="D7727" s="132" t="n">
        <v>46692</v>
      </c>
      <c r="E7727" s="131" t="s">
        <v>46</v>
      </c>
      <c r="F7727" s="133" t="s">
        <v>11</v>
      </c>
      <c r="G7727" s="134" t="n">
        <f aca="false">LEN('Saisie programme'!$D$304)+SUMIFS('Vols additionnels'!$E$7:$E$66,'Vols additionnels'!$C$7:$C$66,$E7727,'Vols additionnels'!$D$7:$D$66,$F7727,'Vols additionnels'!$B$7:$B$66,$D7727)</f>
        <v>0</v>
      </c>
      <c r="H7727" s="135" t="n">
        <f aca="false">$G7727*'Analyse capacite'!$F$7</f>
        <v>0</v>
      </c>
      <c r="I7727" s="135" t="n">
        <f aca="false">$G7727*'Analyse capacite'!$C$7</f>
        <v>0</v>
      </c>
      <c r="J7727" s="135" t="n">
        <f aca="false">$G7727*'Analyse capacite'!$D$7</f>
        <v>0</v>
      </c>
      <c r="K7727" s="135" t="n">
        <f aca="false">$G7727*'Analyse capacite'!$E$7</f>
        <v>0</v>
      </c>
    </row>
    <row r="7728" customFormat="false" ht="15" hidden="false" customHeight="false" outlineLevel="0" collapsed="false">
      <c r="B7728" s="130" t="n">
        <v>2027</v>
      </c>
      <c r="C7728" s="131" t="s">
        <v>253</v>
      </c>
      <c r="D7728" s="132" t="n">
        <v>46692</v>
      </c>
      <c r="E7728" s="131" t="s">
        <v>46</v>
      </c>
      <c r="F7728" s="133" t="s">
        <v>19</v>
      </c>
      <c r="G7728" s="134" t="n">
        <f aca="false">LEN('Saisie programme'!$D$305)+SUMIFS('Vols additionnels'!$E$7:$E$66,'Vols additionnels'!$C$7:$C$66,$E7728,'Vols additionnels'!$D$7:$D$66,$F7728,'Vols additionnels'!$B$7:$B$66,$D7728)</f>
        <v>0</v>
      </c>
      <c r="H7728" s="135" t="n">
        <f aca="false">$G7728*'Analyse capacite'!$F$8</f>
        <v>0</v>
      </c>
      <c r="I7728" s="135" t="n">
        <f aca="false">$G7728*'Analyse capacite'!$C$8</f>
        <v>0</v>
      </c>
      <c r="J7728" s="135" t="n">
        <f aca="false">$G7728*'Analyse capacite'!$D$8</f>
        <v>0</v>
      </c>
      <c r="K7728" s="135" t="n">
        <f aca="false">$G7728*'Analyse capacite'!$E$8</f>
        <v>0</v>
      </c>
    </row>
    <row r="7729" customFormat="false" ht="15" hidden="false" customHeight="false" outlineLevel="0" collapsed="false">
      <c r="B7729" s="130" t="n">
        <v>2027</v>
      </c>
      <c r="C7729" s="131" t="s">
        <v>253</v>
      </c>
      <c r="D7729" s="132" t="n">
        <v>46692</v>
      </c>
      <c r="E7729" s="131" t="s">
        <v>46</v>
      </c>
      <c r="F7729" s="133" t="s">
        <v>24</v>
      </c>
      <c r="G7729" s="134" t="n">
        <f aca="false">LEN('Saisie programme'!$D$306)+SUMIFS('Vols additionnels'!$E$7:$E$66,'Vols additionnels'!$C$7:$C$66,$E7729,'Vols additionnels'!$D$7:$D$66,$F7729,'Vols additionnels'!$B$7:$B$66,$D7729)</f>
        <v>0</v>
      </c>
      <c r="H7729" s="135" t="n">
        <f aca="false">$G7729*'Analyse capacite'!$F$9</f>
        <v>0</v>
      </c>
      <c r="I7729" s="135" t="n">
        <f aca="false">$G7729*'Analyse capacite'!$C$9</f>
        <v>0</v>
      </c>
      <c r="J7729" s="135" t="n">
        <f aca="false">$G7729*'Analyse capacite'!$D$9</f>
        <v>0</v>
      </c>
      <c r="K7729" s="135" t="n">
        <f aca="false">$G7729*'Analyse capacite'!$E$9</f>
        <v>0</v>
      </c>
    </row>
    <row r="7730" customFormat="false" ht="15" hidden="false" customHeight="false" outlineLevel="0" collapsed="false">
      <c r="B7730" s="130" t="n">
        <v>2027</v>
      </c>
      <c r="C7730" s="131" t="s">
        <v>253</v>
      </c>
      <c r="D7730" s="132" t="n">
        <v>46692</v>
      </c>
      <c r="E7730" s="131" t="s">
        <v>49</v>
      </c>
      <c r="F7730" s="133" t="s">
        <v>11</v>
      </c>
      <c r="G7730" s="134" t="n">
        <f aca="false">LEN('Saisie programme'!$D$307)+SUMIFS('Vols additionnels'!$E$7:$E$66,'Vols additionnels'!$C$7:$C$66,$E7730,'Vols additionnels'!$D$7:$D$66,$F7730,'Vols additionnels'!$B$7:$B$66,$D7730)</f>
        <v>0</v>
      </c>
      <c r="H7730" s="135" t="n">
        <f aca="false">$G7730*'Analyse capacite'!$F$7</f>
        <v>0</v>
      </c>
      <c r="I7730" s="135" t="n">
        <f aca="false">$G7730*'Analyse capacite'!$C$7</f>
        <v>0</v>
      </c>
      <c r="J7730" s="135" t="n">
        <f aca="false">$G7730*'Analyse capacite'!$D$7</f>
        <v>0</v>
      </c>
      <c r="K7730" s="135" t="n">
        <f aca="false">$G7730*'Analyse capacite'!$E$7</f>
        <v>0</v>
      </c>
    </row>
    <row r="7731" customFormat="false" ht="15" hidden="false" customHeight="false" outlineLevel="0" collapsed="false">
      <c r="B7731" s="130" t="n">
        <v>2027</v>
      </c>
      <c r="C7731" s="131" t="s">
        <v>253</v>
      </c>
      <c r="D7731" s="132" t="n">
        <v>46692</v>
      </c>
      <c r="E7731" s="131" t="s">
        <v>49</v>
      </c>
      <c r="F7731" s="133" t="s">
        <v>19</v>
      </c>
      <c r="G7731" s="134" t="n">
        <f aca="false">LEN('Saisie programme'!$D$308)+SUMIFS('Vols additionnels'!$E$7:$E$66,'Vols additionnels'!$C$7:$C$66,$E7731,'Vols additionnels'!$D$7:$D$66,$F7731,'Vols additionnels'!$B$7:$B$66,$D7731)</f>
        <v>1</v>
      </c>
      <c r="H7731" s="135" t="n">
        <f aca="false">$G7731*'Analyse capacite'!$F$8</f>
        <v>262</v>
      </c>
      <c r="I7731" s="135" t="n">
        <f aca="false">$G7731*'Analyse capacite'!$C$8</f>
        <v>18</v>
      </c>
      <c r="J7731" s="135" t="n">
        <f aca="false">$G7731*'Analyse capacite'!$D$8</f>
        <v>0</v>
      </c>
      <c r="K7731" s="135" t="n">
        <f aca="false">$G7731*'Analyse capacite'!$E$8</f>
        <v>244</v>
      </c>
    </row>
    <row r="7732" customFormat="false" ht="15" hidden="false" customHeight="false" outlineLevel="0" collapsed="false">
      <c r="B7732" s="130" t="n">
        <v>2027</v>
      </c>
      <c r="C7732" s="131" t="s">
        <v>253</v>
      </c>
      <c r="D7732" s="132" t="n">
        <v>46692</v>
      </c>
      <c r="E7732" s="131" t="s">
        <v>49</v>
      </c>
      <c r="F7732" s="133" t="s">
        <v>24</v>
      </c>
      <c r="G7732" s="134" t="n">
        <f aca="false">LEN('Saisie programme'!$D$309)+SUMIFS('Vols additionnels'!$E$7:$E$66,'Vols additionnels'!$C$7:$C$66,$E7732,'Vols additionnels'!$D$7:$D$66,$F7732,'Vols additionnels'!$B$7:$B$66,$D7732)</f>
        <v>0</v>
      </c>
      <c r="H7732" s="135" t="n">
        <f aca="false">$G7732*'Analyse capacite'!$F$9</f>
        <v>0</v>
      </c>
      <c r="I7732" s="135" t="n">
        <f aca="false">$G7732*'Analyse capacite'!$C$9</f>
        <v>0</v>
      </c>
      <c r="J7732" s="135" t="n">
        <f aca="false">$G7732*'Analyse capacite'!$D$9</f>
        <v>0</v>
      </c>
      <c r="K7732" s="135" t="n">
        <f aca="false">$G7732*'Analyse capacite'!$E$9</f>
        <v>0</v>
      </c>
    </row>
    <row r="7733" customFormat="false" ht="15" hidden="false" customHeight="false" outlineLevel="0" collapsed="false">
      <c r="B7733" s="130" t="n">
        <v>2027</v>
      </c>
      <c r="C7733" s="131" t="s">
        <v>253</v>
      </c>
      <c r="D7733" s="132" t="n">
        <v>46692</v>
      </c>
      <c r="E7733" s="131" t="s">
        <v>53</v>
      </c>
      <c r="F7733" s="133" t="s">
        <v>11</v>
      </c>
      <c r="G7733" s="134" t="n">
        <f aca="false">LEN('Saisie programme'!$D$310)+SUMIFS('Vols additionnels'!$E$7:$E$66,'Vols additionnels'!$C$7:$C$66,$E7733,'Vols additionnels'!$D$7:$D$66,$F7733,'Vols additionnels'!$B$7:$B$66,$D7733)</f>
        <v>0</v>
      </c>
      <c r="H7733" s="135" t="n">
        <f aca="false">$G7733*'Analyse capacite'!$F$7</f>
        <v>0</v>
      </c>
      <c r="I7733" s="135" t="n">
        <f aca="false">$G7733*'Analyse capacite'!$C$7</f>
        <v>0</v>
      </c>
      <c r="J7733" s="135" t="n">
        <f aca="false">$G7733*'Analyse capacite'!$D$7</f>
        <v>0</v>
      </c>
      <c r="K7733" s="135" t="n">
        <f aca="false">$G7733*'Analyse capacite'!$E$7</f>
        <v>0</v>
      </c>
    </row>
    <row r="7734" customFormat="false" ht="15" hidden="false" customHeight="false" outlineLevel="0" collapsed="false">
      <c r="B7734" s="130" t="n">
        <v>2027</v>
      </c>
      <c r="C7734" s="131" t="s">
        <v>253</v>
      </c>
      <c r="D7734" s="132" t="n">
        <v>46692</v>
      </c>
      <c r="E7734" s="131" t="s">
        <v>53</v>
      </c>
      <c r="F7734" s="133" t="s">
        <v>19</v>
      </c>
      <c r="G7734" s="134" t="n">
        <f aca="false">LEN('Saisie programme'!$D$311)+SUMIFS('Vols additionnels'!$E$7:$E$66,'Vols additionnels'!$C$7:$C$66,$E7734,'Vols additionnels'!$D$7:$D$66,$F7734,'Vols additionnels'!$B$7:$B$66,$D7734)</f>
        <v>0</v>
      </c>
      <c r="H7734" s="135" t="n">
        <f aca="false">$G7734*'Analyse capacite'!$F$8</f>
        <v>0</v>
      </c>
      <c r="I7734" s="135" t="n">
        <f aca="false">$G7734*'Analyse capacite'!$C$8</f>
        <v>0</v>
      </c>
      <c r="J7734" s="135" t="n">
        <f aca="false">$G7734*'Analyse capacite'!$D$8</f>
        <v>0</v>
      </c>
      <c r="K7734" s="135" t="n">
        <f aca="false">$G7734*'Analyse capacite'!$E$8</f>
        <v>0</v>
      </c>
    </row>
    <row r="7735" customFormat="false" ht="15" hidden="false" customHeight="false" outlineLevel="0" collapsed="false">
      <c r="B7735" s="130" t="n">
        <v>2027</v>
      </c>
      <c r="C7735" s="131" t="s">
        <v>253</v>
      </c>
      <c r="D7735" s="132" t="n">
        <v>46692</v>
      </c>
      <c r="E7735" s="131" t="s">
        <v>53</v>
      </c>
      <c r="F7735" s="133" t="s">
        <v>24</v>
      </c>
      <c r="G7735" s="134" t="n">
        <f aca="false">LEN('Saisie programme'!$D$312)+SUMIFS('Vols additionnels'!$E$7:$E$66,'Vols additionnels'!$C$7:$C$66,$E7735,'Vols additionnels'!$D$7:$D$66,$F7735,'Vols additionnels'!$B$7:$B$66,$D7735)</f>
        <v>0</v>
      </c>
      <c r="H7735" s="135" t="n">
        <f aca="false">$G7735*'Analyse capacite'!$F$9</f>
        <v>0</v>
      </c>
      <c r="I7735" s="135" t="n">
        <f aca="false">$G7735*'Analyse capacite'!$C$9</f>
        <v>0</v>
      </c>
      <c r="J7735" s="135" t="n">
        <f aca="false">$G7735*'Analyse capacite'!$D$9</f>
        <v>0</v>
      </c>
      <c r="K7735" s="135" t="n">
        <f aca="false">$G7735*'Analyse capacite'!$E$9</f>
        <v>0</v>
      </c>
    </row>
    <row r="7736" customFormat="false" ht="15" hidden="false" customHeight="false" outlineLevel="0" collapsed="false">
      <c r="B7736" s="130" t="n">
        <v>2027</v>
      </c>
      <c r="C7736" s="131" t="s">
        <v>253</v>
      </c>
      <c r="D7736" s="132" t="n">
        <v>46692</v>
      </c>
      <c r="E7736" s="131" t="s">
        <v>56</v>
      </c>
      <c r="F7736" s="133" t="s">
        <v>11</v>
      </c>
      <c r="G7736" s="134" t="n">
        <f aca="false">LEN('Saisie programme'!$D$313)+SUMIFS('Vols additionnels'!$E$7:$E$66,'Vols additionnels'!$C$7:$C$66,$E7736,'Vols additionnels'!$D$7:$D$66,$F7736,'Vols additionnels'!$B$7:$B$66,$D7736)</f>
        <v>0</v>
      </c>
      <c r="H7736" s="135" t="n">
        <f aca="false">$G7736*'Analyse capacite'!$F$7</f>
        <v>0</v>
      </c>
      <c r="I7736" s="135" t="n">
        <f aca="false">$G7736*'Analyse capacite'!$C$7</f>
        <v>0</v>
      </c>
      <c r="J7736" s="135" t="n">
        <f aca="false">$G7736*'Analyse capacite'!$D$7</f>
        <v>0</v>
      </c>
      <c r="K7736" s="135" t="n">
        <f aca="false">$G7736*'Analyse capacite'!$E$7</f>
        <v>0</v>
      </c>
    </row>
    <row r="7737" customFormat="false" ht="15" hidden="false" customHeight="false" outlineLevel="0" collapsed="false">
      <c r="B7737" s="130" t="n">
        <v>2027</v>
      </c>
      <c r="C7737" s="131" t="s">
        <v>253</v>
      </c>
      <c r="D7737" s="132" t="n">
        <v>46692</v>
      </c>
      <c r="E7737" s="131" t="s">
        <v>56</v>
      </c>
      <c r="F7737" s="133" t="s">
        <v>19</v>
      </c>
      <c r="G7737" s="134" t="n">
        <f aca="false">LEN('Saisie programme'!$D$314)+SUMIFS('Vols additionnels'!$E$7:$E$66,'Vols additionnels'!$C$7:$C$66,$E7737,'Vols additionnels'!$D$7:$D$66,$F7737,'Vols additionnels'!$B$7:$B$66,$D7737)</f>
        <v>0</v>
      </c>
      <c r="H7737" s="135" t="n">
        <f aca="false">$G7737*'Analyse capacite'!$F$8</f>
        <v>0</v>
      </c>
      <c r="I7737" s="135" t="n">
        <f aca="false">$G7737*'Analyse capacite'!$C$8</f>
        <v>0</v>
      </c>
      <c r="J7737" s="135" t="n">
        <f aca="false">$G7737*'Analyse capacite'!$D$8</f>
        <v>0</v>
      </c>
      <c r="K7737" s="135" t="n">
        <f aca="false">$G7737*'Analyse capacite'!$E$8</f>
        <v>0</v>
      </c>
    </row>
    <row r="7738" customFormat="false" ht="15" hidden="false" customHeight="false" outlineLevel="0" collapsed="false">
      <c r="B7738" s="130" t="n">
        <v>2027</v>
      </c>
      <c r="C7738" s="131" t="s">
        <v>253</v>
      </c>
      <c r="D7738" s="132" t="n">
        <v>46692</v>
      </c>
      <c r="E7738" s="131" t="s">
        <v>56</v>
      </c>
      <c r="F7738" s="133" t="s">
        <v>24</v>
      </c>
      <c r="G7738" s="134" t="n">
        <f aca="false">LEN('Saisie programme'!$D$315)+SUMIFS('Vols additionnels'!$E$7:$E$66,'Vols additionnels'!$C$7:$C$66,$E7738,'Vols additionnels'!$D$7:$D$66,$F7738,'Vols additionnels'!$B$7:$B$66,$D7738)</f>
        <v>0</v>
      </c>
      <c r="H7738" s="135" t="n">
        <f aca="false">$G7738*'Analyse capacite'!$F$9</f>
        <v>0</v>
      </c>
      <c r="I7738" s="135" t="n">
        <f aca="false">$G7738*'Analyse capacite'!$C$9</f>
        <v>0</v>
      </c>
      <c r="J7738" s="135" t="n">
        <f aca="false">$G7738*'Analyse capacite'!$D$9</f>
        <v>0</v>
      </c>
      <c r="K7738" s="135" t="n">
        <f aca="false">$G7738*'Analyse capacite'!$E$9</f>
        <v>0</v>
      </c>
    </row>
    <row r="7739" customFormat="false" ht="15" hidden="false" customHeight="false" outlineLevel="0" collapsed="false">
      <c r="B7739" s="130" t="n">
        <v>2027</v>
      </c>
      <c r="C7739" s="131" t="s">
        <v>253</v>
      </c>
      <c r="D7739" s="132" t="n">
        <v>46692</v>
      </c>
      <c r="E7739" s="131" t="s">
        <v>59</v>
      </c>
      <c r="F7739" s="133" t="s">
        <v>11</v>
      </c>
      <c r="G7739" s="134" t="n">
        <f aca="false">LEN('Saisie programme'!$D$316)+SUMIFS('Vols additionnels'!$E$7:$E$66,'Vols additionnels'!$C$7:$C$66,$E7739,'Vols additionnels'!$D$7:$D$66,$F7739,'Vols additionnels'!$B$7:$B$66,$D7739)</f>
        <v>0</v>
      </c>
      <c r="H7739" s="135" t="n">
        <f aca="false">$G7739*'Analyse capacite'!$F$7</f>
        <v>0</v>
      </c>
      <c r="I7739" s="135" t="n">
        <f aca="false">$G7739*'Analyse capacite'!$C$7</f>
        <v>0</v>
      </c>
      <c r="J7739" s="135" t="n">
        <f aca="false">$G7739*'Analyse capacite'!$D$7</f>
        <v>0</v>
      </c>
      <c r="K7739" s="135" t="n">
        <f aca="false">$G7739*'Analyse capacite'!$E$7</f>
        <v>0</v>
      </c>
    </row>
    <row r="7740" customFormat="false" ht="15" hidden="false" customHeight="false" outlineLevel="0" collapsed="false">
      <c r="B7740" s="130" t="n">
        <v>2027</v>
      </c>
      <c r="C7740" s="131" t="s">
        <v>253</v>
      </c>
      <c r="D7740" s="132" t="n">
        <v>46692</v>
      </c>
      <c r="E7740" s="131" t="s">
        <v>59</v>
      </c>
      <c r="F7740" s="133" t="s">
        <v>19</v>
      </c>
      <c r="G7740" s="134" t="n">
        <f aca="false">LEN('Saisie programme'!$D$317)+SUMIFS('Vols additionnels'!$E$7:$E$66,'Vols additionnels'!$C$7:$C$66,$E7740,'Vols additionnels'!$D$7:$D$66,$F7740,'Vols additionnels'!$B$7:$B$66,$D7740)</f>
        <v>0</v>
      </c>
      <c r="H7740" s="135" t="n">
        <f aca="false">$G7740*'Analyse capacite'!$F$8</f>
        <v>0</v>
      </c>
      <c r="I7740" s="135" t="n">
        <f aca="false">$G7740*'Analyse capacite'!$C$8</f>
        <v>0</v>
      </c>
      <c r="J7740" s="135" t="n">
        <f aca="false">$G7740*'Analyse capacite'!$D$8</f>
        <v>0</v>
      </c>
      <c r="K7740" s="135" t="n">
        <f aca="false">$G7740*'Analyse capacite'!$E$8</f>
        <v>0</v>
      </c>
    </row>
    <row r="7741" customFormat="false" ht="15" hidden="false" customHeight="false" outlineLevel="0" collapsed="false">
      <c r="B7741" s="130" t="n">
        <v>2027</v>
      </c>
      <c r="C7741" s="131" t="s">
        <v>253</v>
      </c>
      <c r="D7741" s="132" t="n">
        <v>46692</v>
      </c>
      <c r="E7741" s="131" t="s">
        <v>59</v>
      </c>
      <c r="F7741" s="133" t="s">
        <v>24</v>
      </c>
      <c r="G7741" s="134" t="n">
        <f aca="false">LEN('Saisie programme'!$D$318)+SUMIFS('Vols additionnels'!$E$7:$E$66,'Vols additionnels'!$C$7:$C$66,$E7741,'Vols additionnels'!$D$7:$D$66,$F7741,'Vols additionnels'!$B$7:$B$66,$D7741)</f>
        <v>1</v>
      </c>
      <c r="H7741" s="135" t="n">
        <f aca="false">$G7741*'Analyse capacite'!$F$9</f>
        <v>174</v>
      </c>
      <c r="I7741" s="135" t="n">
        <f aca="false">$G7741*'Analyse capacite'!$C$9</f>
        <v>0</v>
      </c>
      <c r="J7741" s="135" t="n">
        <f aca="false">$G7741*'Analyse capacite'!$D$9</f>
        <v>12</v>
      </c>
      <c r="K7741" s="135" t="n">
        <f aca="false">$G7741*'Analyse capacite'!$E$9</f>
        <v>162</v>
      </c>
    </row>
    <row r="7742" customFormat="false" ht="15" hidden="false" customHeight="false" outlineLevel="0" collapsed="false">
      <c r="B7742" s="130" t="n">
        <v>2027</v>
      </c>
      <c r="C7742" s="131" t="s">
        <v>253</v>
      </c>
      <c r="D7742" s="132" t="n">
        <v>46692</v>
      </c>
      <c r="E7742" s="131" t="s">
        <v>62</v>
      </c>
      <c r="F7742" s="133" t="s">
        <v>11</v>
      </c>
      <c r="G7742" s="134" t="n">
        <f aca="false">LEN('Saisie programme'!$D$319)+SUMIFS('Vols additionnels'!$E$7:$E$66,'Vols additionnels'!$C$7:$C$66,$E7742,'Vols additionnels'!$D$7:$D$66,$F7742,'Vols additionnels'!$B$7:$B$66,$D7742)</f>
        <v>0</v>
      </c>
      <c r="H7742" s="135" t="n">
        <f aca="false">$G7742*'Analyse capacite'!$F$7</f>
        <v>0</v>
      </c>
      <c r="I7742" s="135" t="n">
        <f aca="false">$G7742*'Analyse capacite'!$C$7</f>
        <v>0</v>
      </c>
      <c r="J7742" s="135" t="n">
        <f aca="false">$G7742*'Analyse capacite'!$D$7</f>
        <v>0</v>
      </c>
      <c r="K7742" s="135" t="n">
        <f aca="false">$G7742*'Analyse capacite'!$E$7</f>
        <v>0</v>
      </c>
    </row>
    <row r="7743" customFormat="false" ht="15" hidden="false" customHeight="false" outlineLevel="0" collapsed="false">
      <c r="B7743" s="130" t="n">
        <v>2027</v>
      </c>
      <c r="C7743" s="131" t="s">
        <v>253</v>
      </c>
      <c r="D7743" s="132" t="n">
        <v>46692</v>
      </c>
      <c r="E7743" s="131" t="s">
        <v>62</v>
      </c>
      <c r="F7743" s="133" t="s">
        <v>19</v>
      </c>
      <c r="G7743" s="134" t="n">
        <f aca="false">LEN('Saisie programme'!$D$320)+SUMIFS('Vols additionnels'!$E$7:$E$66,'Vols additionnels'!$C$7:$C$66,$E7743,'Vols additionnels'!$D$7:$D$66,$F7743,'Vols additionnels'!$B$7:$B$66,$D7743)</f>
        <v>0</v>
      </c>
      <c r="H7743" s="135" t="n">
        <f aca="false">$G7743*'Analyse capacite'!$F$8</f>
        <v>0</v>
      </c>
      <c r="I7743" s="135" t="n">
        <f aca="false">$G7743*'Analyse capacite'!$C$8</f>
        <v>0</v>
      </c>
      <c r="J7743" s="135" t="n">
        <f aca="false">$G7743*'Analyse capacite'!$D$8</f>
        <v>0</v>
      </c>
      <c r="K7743" s="135" t="n">
        <f aca="false">$G7743*'Analyse capacite'!$E$8</f>
        <v>0</v>
      </c>
    </row>
    <row r="7744" customFormat="false" ht="15" hidden="false" customHeight="false" outlineLevel="0" collapsed="false">
      <c r="B7744" s="130" t="n">
        <v>2027</v>
      </c>
      <c r="C7744" s="131" t="s">
        <v>253</v>
      </c>
      <c r="D7744" s="132" t="n">
        <v>46692</v>
      </c>
      <c r="E7744" s="131" t="s">
        <v>62</v>
      </c>
      <c r="F7744" s="133" t="s">
        <v>24</v>
      </c>
      <c r="G7744" s="134" t="n">
        <f aca="false">LEN('Saisie programme'!$D$321)+SUMIFS('Vols additionnels'!$E$7:$E$66,'Vols additionnels'!$C$7:$C$66,$E7744,'Vols additionnels'!$D$7:$D$66,$F7744,'Vols additionnels'!$B$7:$B$66,$D7744)</f>
        <v>0</v>
      </c>
      <c r="H7744" s="135" t="n">
        <f aca="false">$G7744*'Analyse capacite'!$F$9</f>
        <v>0</v>
      </c>
      <c r="I7744" s="135" t="n">
        <f aca="false">$G7744*'Analyse capacite'!$C$9</f>
        <v>0</v>
      </c>
      <c r="J7744" s="135" t="n">
        <f aca="false">$G7744*'Analyse capacite'!$D$9</f>
        <v>0</v>
      </c>
      <c r="K7744" s="135" t="n">
        <f aca="false">$G7744*'Analyse capacite'!$E$9</f>
        <v>0</v>
      </c>
    </row>
    <row r="7745" customFormat="false" ht="15" hidden="false" customHeight="false" outlineLevel="0" collapsed="false">
      <c r="B7745" s="130" t="n">
        <v>2027</v>
      </c>
      <c r="C7745" s="131" t="s">
        <v>253</v>
      </c>
      <c r="D7745" s="132" t="n">
        <v>46693</v>
      </c>
      <c r="E7745" s="131" t="s">
        <v>12</v>
      </c>
      <c r="F7745" s="133" t="s">
        <v>11</v>
      </c>
      <c r="G7745" s="134" t="n">
        <f aca="false">LEN('Saisie programme'!$E$286)+SUMIFS('Vols additionnels'!$E$7:$E$66,'Vols additionnels'!$C$7:$C$66,$E7745,'Vols additionnels'!$D$7:$D$66,$F7745,'Vols additionnels'!$B$7:$B$66,$D7745)</f>
        <v>1</v>
      </c>
      <c r="H7745" s="135" t="n">
        <f aca="false">$G7745*'Analyse capacite'!$F$7</f>
        <v>438</v>
      </c>
      <c r="I7745" s="135" t="n">
        <f aca="false">$G7745*'Analyse capacite'!$C$7</f>
        <v>14</v>
      </c>
      <c r="J7745" s="135" t="n">
        <f aca="false">$G7745*'Analyse capacite'!$D$7</f>
        <v>40</v>
      </c>
      <c r="K7745" s="135" t="n">
        <f aca="false">$G7745*'Analyse capacite'!$E$7</f>
        <v>384</v>
      </c>
    </row>
    <row r="7746" customFormat="false" ht="15" hidden="false" customHeight="false" outlineLevel="0" collapsed="false">
      <c r="B7746" s="130" t="n">
        <v>2027</v>
      </c>
      <c r="C7746" s="131" t="s">
        <v>253</v>
      </c>
      <c r="D7746" s="132" t="n">
        <v>46693</v>
      </c>
      <c r="E7746" s="131" t="s">
        <v>12</v>
      </c>
      <c r="F7746" s="133" t="s">
        <v>19</v>
      </c>
      <c r="G7746" s="134" t="n">
        <f aca="false">LEN('Saisie programme'!$E$287)+SUMIFS('Vols additionnels'!$E$7:$E$66,'Vols additionnels'!$C$7:$C$66,$E7746,'Vols additionnels'!$D$7:$D$66,$F7746,'Vols additionnels'!$B$7:$B$66,$D7746)</f>
        <v>0</v>
      </c>
      <c r="H7746" s="135" t="n">
        <f aca="false">$G7746*'Analyse capacite'!$F$8</f>
        <v>0</v>
      </c>
      <c r="I7746" s="135" t="n">
        <f aca="false">$G7746*'Analyse capacite'!$C$8</f>
        <v>0</v>
      </c>
      <c r="J7746" s="135" t="n">
        <f aca="false">$G7746*'Analyse capacite'!$D$8</f>
        <v>0</v>
      </c>
      <c r="K7746" s="135" t="n">
        <f aca="false">$G7746*'Analyse capacite'!$E$8</f>
        <v>0</v>
      </c>
    </row>
    <row r="7747" customFormat="false" ht="15" hidden="false" customHeight="false" outlineLevel="0" collapsed="false">
      <c r="B7747" s="130" t="n">
        <v>2027</v>
      </c>
      <c r="C7747" s="131" t="s">
        <v>253</v>
      </c>
      <c r="D7747" s="132" t="n">
        <v>46693</v>
      </c>
      <c r="E7747" s="131" t="s">
        <v>12</v>
      </c>
      <c r="F7747" s="133" t="s">
        <v>24</v>
      </c>
      <c r="G7747" s="134" t="n">
        <f aca="false">LEN('Saisie programme'!$E$288)+SUMIFS('Vols additionnels'!$E$7:$E$66,'Vols additionnels'!$C$7:$C$66,$E7747,'Vols additionnels'!$D$7:$D$66,$F7747,'Vols additionnels'!$B$7:$B$66,$D7747)</f>
        <v>0</v>
      </c>
      <c r="H7747" s="135" t="n">
        <f aca="false">$G7747*'Analyse capacite'!$F$9</f>
        <v>0</v>
      </c>
      <c r="I7747" s="135" t="n">
        <f aca="false">$G7747*'Analyse capacite'!$C$9</f>
        <v>0</v>
      </c>
      <c r="J7747" s="135" t="n">
        <f aca="false">$G7747*'Analyse capacite'!$D$9</f>
        <v>0</v>
      </c>
      <c r="K7747" s="135" t="n">
        <f aca="false">$G7747*'Analyse capacite'!$E$9</f>
        <v>0</v>
      </c>
    </row>
    <row r="7748" customFormat="false" ht="15" hidden="false" customHeight="false" outlineLevel="0" collapsed="false">
      <c r="B7748" s="130" t="n">
        <v>2027</v>
      </c>
      <c r="C7748" s="131" t="s">
        <v>253</v>
      </c>
      <c r="D7748" s="132" t="n">
        <v>46693</v>
      </c>
      <c r="E7748" s="131" t="s">
        <v>20</v>
      </c>
      <c r="F7748" s="133" t="s">
        <v>11</v>
      </c>
      <c r="G7748" s="134" t="n">
        <f aca="false">LEN('Saisie programme'!$E$289)+SUMIFS('Vols additionnels'!$E$7:$E$66,'Vols additionnels'!$C$7:$C$66,$E7748,'Vols additionnels'!$D$7:$D$66,$F7748,'Vols additionnels'!$B$7:$B$66,$D7748)</f>
        <v>0</v>
      </c>
      <c r="H7748" s="135" t="n">
        <f aca="false">$G7748*'Analyse capacite'!$F$7</f>
        <v>0</v>
      </c>
      <c r="I7748" s="135" t="n">
        <f aca="false">$G7748*'Analyse capacite'!$C$7</f>
        <v>0</v>
      </c>
      <c r="J7748" s="135" t="n">
        <f aca="false">$G7748*'Analyse capacite'!$D$7</f>
        <v>0</v>
      </c>
      <c r="K7748" s="135" t="n">
        <f aca="false">$G7748*'Analyse capacite'!$E$7</f>
        <v>0</v>
      </c>
    </row>
    <row r="7749" customFormat="false" ht="15" hidden="false" customHeight="false" outlineLevel="0" collapsed="false">
      <c r="B7749" s="130" t="n">
        <v>2027</v>
      </c>
      <c r="C7749" s="131" t="s">
        <v>253</v>
      </c>
      <c r="D7749" s="132" t="n">
        <v>46693</v>
      </c>
      <c r="E7749" s="131" t="s">
        <v>20</v>
      </c>
      <c r="F7749" s="133" t="s">
        <v>19</v>
      </c>
      <c r="G7749" s="134" t="n">
        <f aca="false">LEN('Saisie programme'!$E$290)+SUMIFS('Vols additionnels'!$E$7:$E$66,'Vols additionnels'!$C$7:$C$66,$E7749,'Vols additionnels'!$D$7:$D$66,$F7749,'Vols additionnels'!$B$7:$B$66,$D7749)</f>
        <v>1</v>
      </c>
      <c r="H7749" s="135" t="n">
        <f aca="false">$G7749*'Analyse capacite'!$F$8</f>
        <v>262</v>
      </c>
      <c r="I7749" s="135" t="n">
        <f aca="false">$G7749*'Analyse capacite'!$C$8</f>
        <v>18</v>
      </c>
      <c r="J7749" s="135" t="n">
        <f aca="false">$G7749*'Analyse capacite'!$D$8</f>
        <v>0</v>
      </c>
      <c r="K7749" s="135" t="n">
        <f aca="false">$G7749*'Analyse capacite'!$E$8</f>
        <v>244</v>
      </c>
    </row>
    <row r="7750" customFormat="false" ht="15" hidden="false" customHeight="false" outlineLevel="0" collapsed="false">
      <c r="B7750" s="130" t="n">
        <v>2027</v>
      </c>
      <c r="C7750" s="131" t="s">
        <v>253</v>
      </c>
      <c r="D7750" s="132" t="n">
        <v>46693</v>
      </c>
      <c r="E7750" s="131" t="s">
        <v>20</v>
      </c>
      <c r="F7750" s="133" t="s">
        <v>24</v>
      </c>
      <c r="G7750" s="134" t="n">
        <f aca="false">LEN('Saisie programme'!$E$291)+SUMIFS('Vols additionnels'!$E$7:$E$66,'Vols additionnels'!$C$7:$C$66,$E7750,'Vols additionnels'!$D$7:$D$66,$F7750,'Vols additionnels'!$B$7:$B$66,$D7750)</f>
        <v>0</v>
      </c>
      <c r="H7750" s="135" t="n">
        <f aca="false">$G7750*'Analyse capacite'!$F$9</f>
        <v>0</v>
      </c>
      <c r="I7750" s="135" t="n">
        <f aca="false">$G7750*'Analyse capacite'!$C$9</f>
        <v>0</v>
      </c>
      <c r="J7750" s="135" t="n">
        <f aca="false">$G7750*'Analyse capacite'!$D$9</f>
        <v>0</v>
      </c>
      <c r="K7750" s="135" t="n">
        <f aca="false">$G7750*'Analyse capacite'!$E$9</f>
        <v>0</v>
      </c>
    </row>
    <row r="7751" customFormat="false" ht="15" hidden="false" customHeight="false" outlineLevel="0" collapsed="false">
      <c r="B7751" s="130" t="n">
        <v>2027</v>
      </c>
      <c r="C7751" s="131" t="s">
        <v>253</v>
      </c>
      <c r="D7751" s="132" t="n">
        <v>46693</v>
      </c>
      <c r="E7751" s="131" t="s">
        <v>25</v>
      </c>
      <c r="F7751" s="133" t="s">
        <v>11</v>
      </c>
      <c r="G7751" s="134" t="n">
        <f aca="false">LEN('Saisie programme'!$E$292)+SUMIFS('Vols additionnels'!$E$7:$E$66,'Vols additionnels'!$C$7:$C$66,$E7751,'Vols additionnels'!$D$7:$D$66,$F7751,'Vols additionnels'!$B$7:$B$66,$D7751)</f>
        <v>0</v>
      </c>
      <c r="H7751" s="135" t="n">
        <f aca="false">$G7751*'Analyse capacite'!$F$7</f>
        <v>0</v>
      </c>
      <c r="I7751" s="135" t="n">
        <f aca="false">$G7751*'Analyse capacite'!$C$7</f>
        <v>0</v>
      </c>
      <c r="J7751" s="135" t="n">
        <f aca="false">$G7751*'Analyse capacite'!$D$7</f>
        <v>0</v>
      </c>
      <c r="K7751" s="135" t="n">
        <f aca="false">$G7751*'Analyse capacite'!$E$7</f>
        <v>0</v>
      </c>
    </row>
    <row r="7752" customFormat="false" ht="15" hidden="false" customHeight="false" outlineLevel="0" collapsed="false">
      <c r="B7752" s="130" t="n">
        <v>2027</v>
      </c>
      <c r="C7752" s="131" t="s">
        <v>253</v>
      </c>
      <c r="D7752" s="132" t="n">
        <v>46693</v>
      </c>
      <c r="E7752" s="131" t="s">
        <v>25</v>
      </c>
      <c r="F7752" s="133" t="s">
        <v>19</v>
      </c>
      <c r="G7752" s="134" t="n">
        <f aca="false">LEN('Saisie programme'!$E$293)+SUMIFS('Vols additionnels'!$E$7:$E$66,'Vols additionnels'!$C$7:$C$66,$E7752,'Vols additionnels'!$D$7:$D$66,$F7752,'Vols additionnels'!$B$7:$B$66,$D7752)</f>
        <v>0</v>
      </c>
      <c r="H7752" s="135" t="n">
        <f aca="false">$G7752*'Analyse capacite'!$F$8</f>
        <v>0</v>
      </c>
      <c r="I7752" s="135" t="n">
        <f aca="false">$G7752*'Analyse capacite'!$C$8</f>
        <v>0</v>
      </c>
      <c r="J7752" s="135" t="n">
        <f aca="false">$G7752*'Analyse capacite'!$D$8</f>
        <v>0</v>
      </c>
      <c r="K7752" s="135" t="n">
        <f aca="false">$G7752*'Analyse capacite'!$E$8</f>
        <v>0</v>
      </c>
    </row>
    <row r="7753" customFormat="false" ht="15" hidden="false" customHeight="false" outlineLevel="0" collapsed="false">
      <c r="B7753" s="130" t="n">
        <v>2027</v>
      </c>
      <c r="C7753" s="131" t="s">
        <v>253</v>
      </c>
      <c r="D7753" s="132" t="n">
        <v>46693</v>
      </c>
      <c r="E7753" s="131" t="s">
        <v>25</v>
      </c>
      <c r="F7753" s="133" t="s">
        <v>24</v>
      </c>
      <c r="G7753" s="134" t="n">
        <f aca="false">LEN('Saisie programme'!$E$294)+SUMIFS('Vols additionnels'!$E$7:$E$66,'Vols additionnels'!$C$7:$C$66,$E7753,'Vols additionnels'!$D$7:$D$66,$F7753,'Vols additionnels'!$B$7:$B$66,$D7753)</f>
        <v>0</v>
      </c>
      <c r="H7753" s="135" t="n">
        <f aca="false">$G7753*'Analyse capacite'!$F$9</f>
        <v>0</v>
      </c>
      <c r="I7753" s="135" t="n">
        <f aca="false">$G7753*'Analyse capacite'!$C$9</f>
        <v>0</v>
      </c>
      <c r="J7753" s="135" t="n">
        <f aca="false">$G7753*'Analyse capacite'!$D$9</f>
        <v>0</v>
      </c>
      <c r="K7753" s="135" t="n">
        <f aca="false">$G7753*'Analyse capacite'!$E$9</f>
        <v>0</v>
      </c>
    </row>
    <row r="7754" customFormat="false" ht="15" hidden="false" customHeight="false" outlineLevel="0" collapsed="false">
      <c r="B7754" s="130" t="n">
        <v>2027</v>
      </c>
      <c r="C7754" s="131" t="s">
        <v>253</v>
      </c>
      <c r="D7754" s="132" t="n">
        <v>46693</v>
      </c>
      <c r="E7754" s="131" t="s">
        <v>36</v>
      </c>
      <c r="F7754" s="133" t="s">
        <v>11</v>
      </c>
      <c r="G7754" s="134" t="n">
        <f aca="false">LEN('Saisie programme'!$E$295)+SUMIFS('Vols additionnels'!$E$7:$E$66,'Vols additionnels'!$C$7:$C$66,$E7754,'Vols additionnels'!$D$7:$D$66,$F7754,'Vols additionnels'!$B$7:$B$66,$D7754)</f>
        <v>0</v>
      </c>
      <c r="H7754" s="135" t="n">
        <f aca="false">$G7754*'Analyse capacite'!$F$7</f>
        <v>0</v>
      </c>
      <c r="I7754" s="135" t="n">
        <f aca="false">$G7754*'Analyse capacite'!$C$7</f>
        <v>0</v>
      </c>
      <c r="J7754" s="135" t="n">
        <f aca="false">$G7754*'Analyse capacite'!$D$7</f>
        <v>0</v>
      </c>
      <c r="K7754" s="135" t="n">
        <f aca="false">$G7754*'Analyse capacite'!$E$7</f>
        <v>0</v>
      </c>
    </row>
    <row r="7755" customFormat="false" ht="15" hidden="false" customHeight="false" outlineLevel="0" collapsed="false">
      <c r="B7755" s="130" t="n">
        <v>2027</v>
      </c>
      <c r="C7755" s="131" t="s">
        <v>253</v>
      </c>
      <c r="D7755" s="132" t="n">
        <v>46693</v>
      </c>
      <c r="E7755" s="131" t="s">
        <v>36</v>
      </c>
      <c r="F7755" s="133" t="s">
        <v>19</v>
      </c>
      <c r="G7755" s="134" t="n">
        <f aca="false">LEN('Saisie programme'!$E$296)+SUMIFS('Vols additionnels'!$E$7:$E$66,'Vols additionnels'!$C$7:$C$66,$E7755,'Vols additionnels'!$D$7:$D$66,$F7755,'Vols additionnels'!$B$7:$B$66,$D7755)</f>
        <v>0</v>
      </c>
      <c r="H7755" s="135" t="n">
        <f aca="false">$G7755*'Analyse capacite'!$F$8</f>
        <v>0</v>
      </c>
      <c r="I7755" s="135" t="n">
        <f aca="false">$G7755*'Analyse capacite'!$C$8</f>
        <v>0</v>
      </c>
      <c r="J7755" s="135" t="n">
        <f aca="false">$G7755*'Analyse capacite'!$D$8</f>
        <v>0</v>
      </c>
      <c r="K7755" s="135" t="n">
        <f aca="false">$G7755*'Analyse capacite'!$E$8</f>
        <v>0</v>
      </c>
    </row>
    <row r="7756" customFormat="false" ht="15" hidden="false" customHeight="false" outlineLevel="0" collapsed="false">
      <c r="B7756" s="130" t="n">
        <v>2027</v>
      </c>
      <c r="C7756" s="131" t="s">
        <v>253</v>
      </c>
      <c r="D7756" s="132" t="n">
        <v>46693</v>
      </c>
      <c r="E7756" s="131" t="s">
        <v>36</v>
      </c>
      <c r="F7756" s="133" t="s">
        <v>24</v>
      </c>
      <c r="G7756" s="134" t="n">
        <f aca="false">LEN('Saisie programme'!$E$297)+SUMIFS('Vols additionnels'!$E$7:$E$66,'Vols additionnels'!$C$7:$C$66,$E7756,'Vols additionnels'!$D$7:$D$66,$F7756,'Vols additionnels'!$B$7:$B$66,$D7756)</f>
        <v>1</v>
      </c>
      <c r="H7756" s="135" t="n">
        <f aca="false">$G7756*'Analyse capacite'!$F$9</f>
        <v>174</v>
      </c>
      <c r="I7756" s="135" t="n">
        <f aca="false">$G7756*'Analyse capacite'!$C$9</f>
        <v>0</v>
      </c>
      <c r="J7756" s="135" t="n">
        <f aca="false">$G7756*'Analyse capacite'!$D$9</f>
        <v>12</v>
      </c>
      <c r="K7756" s="135" t="n">
        <f aca="false">$G7756*'Analyse capacite'!$E$9</f>
        <v>162</v>
      </c>
    </row>
    <row r="7757" customFormat="false" ht="15" hidden="false" customHeight="false" outlineLevel="0" collapsed="false">
      <c r="B7757" s="130" t="n">
        <v>2027</v>
      </c>
      <c r="C7757" s="131" t="s">
        <v>253</v>
      </c>
      <c r="D7757" s="132" t="n">
        <v>46693</v>
      </c>
      <c r="E7757" s="131" t="s">
        <v>40</v>
      </c>
      <c r="F7757" s="133" t="s">
        <v>11</v>
      </c>
      <c r="G7757" s="134" t="n">
        <f aca="false">LEN('Saisie programme'!$E$298)+SUMIFS('Vols additionnels'!$E$7:$E$66,'Vols additionnels'!$C$7:$C$66,$E7757,'Vols additionnels'!$D$7:$D$66,$F7757,'Vols additionnels'!$B$7:$B$66,$D7757)</f>
        <v>0</v>
      </c>
      <c r="H7757" s="135" t="n">
        <f aca="false">$G7757*'Analyse capacite'!$F$7</f>
        <v>0</v>
      </c>
      <c r="I7757" s="135" t="n">
        <f aca="false">$G7757*'Analyse capacite'!$C$7</f>
        <v>0</v>
      </c>
      <c r="J7757" s="135" t="n">
        <f aca="false">$G7757*'Analyse capacite'!$D$7</f>
        <v>0</v>
      </c>
      <c r="K7757" s="135" t="n">
        <f aca="false">$G7757*'Analyse capacite'!$E$7</f>
        <v>0</v>
      </c>
    </row>
    <row r="7758" customFormat="false" ht="15" hidden="false" customHeight="false" outlineLevel="0" collapsed="false">
      <c r="B7758" s="130" t="n">
        <v>2027</v>
      </c>
      <c r="C7758" s="131" t="s">
        <v>253</v>
      </c>
      <c r="D7758" s="132" t="n">
        <v>46693</v>
      </c>
      <c r="E7758" s="131" t="s">
        <v>40</v>
      </c>
      <c r="F7758" s="133" t="s">
        <v>19</v>
      </c>
      <c r="G7758" s="134" t="n">
        <f aca="false">LEN('Saisie programme'!$E$299)+SUMIFS('Vols additionnels'!$E$7:$E$66,'Vols additionnels'!$C$7:$C$66,$E7758,'Vols additionnels'!$D$7:$D$66,$F7758,'Vols additionnels'!$B$7:$B$66,$D7758)</f>
        <v>0</v>
      </c>
      <c r="H7758" s="135" t="n">
        <f aca="false">$G7758*'Analyse capacite'!$F$8</f>
        <v>0</v>
      </c>
      <c r="I7758" s="135" t="n">
        <f aca="false">$G7758*'Analyse capacite'!$C$8</f>
        <v>0</v>
      </c>
      <c r="J7758" s="135" t="n">
        <f aca="false">$G7758*'Analyse capacite'!$D$8</f>
        <v>0</v>
      </c>
      <c r="K7758" s="135" t="n">
        <f aca="false">$G7758*'Analyse capacite'!$E$8</f>
        <v>0</v>
      </c>
    </row>
    <row r="7759" customFormat="false" ht="15" hidden="false" customHeight="false" outlineLevel="0" collapsed="false">
      <c r="B7759" s="130" t="n">
        <v>2027</v>
      </c>
      <c r="C7759" s="131" t="s">
        <v>253</v>
      </c>
      <c r="D7759" s="132" t="n">
        <v>46693</v>
      </c>
      <c r="E7759" s="131" t="s">
        <v>40</v>
      </c>
      <c r="F7759" s="133" t="s">
        <v>24</v>
      </c>
      <c r="G7759" s="134" t="n">
        <f aca="false">LEN('Saisie programme'!$E$300)+SUMIFS('Vols additionnels'!$E$7:$E$66,'Vols additionnels'!$C$7:$C$66,$E7759,'Vols additionnels'!$D$7:$D$66,$F7759,'Vols additionnels'!$B$7:$B$66,$D7759)</f>
        <v>0</v>
      </c>
      <c r="H7759" s="135" t="n">
        <f aca="false">$G7759*'Analyse capacite'!$F$9</f>
        <v>0</v>
      </c>
      <c r="I7759" s="135" t="n">
        <f aca="false">$G7759*'Analyse capacite'!$C$9</f>
        <v>0</v>
      </c>
      <c r="J7759" s="135" t="n">
        <f aca="false">$G7759*'Analyse capacite'!$D$9</f>
        <v>0</v>
      </c>
      <c r="K7759" s="135" t="n">
        <f aca="false">$G7759*'Analyse capacite'!$E$9</f>
        <v>0</v>
      </c>
    </row>
    <row r="7760" customFormat="false" ht="15" hidden="false" customHeight="false" outlineLevel="0" collapsed="false">
      <c r="B7760" s="130" t="n">
        <v>2027</v>
      </c>
      <c r="C7760" s="131" t="s">
        <v>253</v>
      </c>
      <c r="D7760" s="132" t="n">
        <v>46693</v>
      </c>
      <c r="E7760" s="131" t="s">
        <v>14</v>
      </c>
      <c r="F7760" s="133" t="s">
        <v>11</v>
      </c>
      <c r="G7760" s="134" t="n">
        <f aca="false">LEN('Saisie programme'!$E$301)+SUMIFS('Vols additionnels'!$E$7:$E$66,'Vols additionnels'!$C$7:$C$66,$E7760,'Vols additionnels'!$D$7:$D$66,$F7760,'Vols additionnels'!$B$7:$B$66,$D7760)</f>
        <v>0</v>
      </c>
      <c r="H7760" s="135" t="n">
        <f aca="false">$G7760*'Analyse capacite'!$F$7</f>
        <v>0</v>
      </c>
      <c r="I7760" s="135" t="n">
        <f aca="false">$G7760*'Analyse capacite'!$C$7</f>
        <v>0</v>
      </c>
      <c r="J7760" s="135" t="n">
        <f aca="false">$G7760*'Analyse capacite'!$D$7</f>
        <v>0</v>
      </c>
      <c r="K7760" s="135" t="n">
        <f aca="false">$G7760*'Analyse capacite'!$E$7</f>
        <v>0</v>
      </c>
    </row>
    <row r="7761" customFormat="false" ht="15" hidden="false" customHeight="false" outlineLevel="0" collapsed="false">
      <c r="B7761" s="130" t="n">
        <v>2027</v>
      </c>
      <c r="C7761" s="131" t="s">
        <v>253</v>
      </c>
      <c r="D7761" s="132" t="n">
        <v>46693</v>
      </c>
      <c r="E7761" s="131" t="s">
        <v>14</v>
      </c>
      <c r="F7761" s="133" t="s">
        <v>19</v>
      </c>
      <c r="G7761" s="134" t="n">
        <f aca="false">LEN('Saisie programme'!$E$302)+SUMIFS('Vols additionnels'!$E$7:$E$66,'Vols additionnels'!$C$7:$C$66,$E7761,'Vols additionnels'!$D$7:$D$66,$F7761,'Vols additionnels'!$B$7:$B$66,$D7761)</f>
        <v>0</v>
      </c>
      <c r="H7761" s="135" t="n">
        <f aca="false">$G7761*'Analyse capacite'!$F$8</f>
        <v>0</v>
      </c>
      <c r="I7761" s="135" t="n">
        <f aca="false">$G7761*'Analyse capacite'!$C$8</f>
        <v>0</v>
      </c>
      <c r="J7761" s="135" t="n">
        <f aca="false">$G7761*'Analyse capacite'!$D$8</f>
        <v>0</v>
      </c>
      <c r="K7761" s="135" t="n">
        <f aca="false">$G7761*'Analyse capacite'!$E$8</f>
        <v>0</v>
      </c>
    </row>
    <row r="7762" customFormat="false" ht="15" hidden="false" customHeight="false" outlineLevel="0" collapsed="false">
      <c r="B7762" s="130" t="n">
        <v>2027</v>
      </c>
      <c r="C7762" s="131" t="s">
        <v>253</v>
      </c>
      <c r="D7762" s="132" t="n">
        <v>46693</v>
      </c>
      <c r="E7762" s="131" t="s">
        <v>14</v>
      </c>
      <c r="F7762" s="133" t="s">
        <v>24</v>
      </c>
      <c r="G7762" s="134" t="n">
        <f aca="false">LEN('Saisie programme'!$E$303)+SUMIFS('Vols additionnels'!$E$7:$E$66,'Vols additionnels'!$C$7:$C$66,$E7762,'Vols additionnels'!$D$7:$D$66,$F7762,'Vols additionnels'!$B$7:$B$66,$D7762)</f>
        <v>0</v>
      </c>
      <c r="H7762" s="135" t="n">
        <f aca="false">$G7762*'Analyse capacite'!$F$9</f>
        <v>0</v>
      </c>
      <c r="I7762" s="135" t="n">
        <f aca="false">$G7762*'Analyse capacite'!$C$9</f>
        <v>0</v>
      </c>
      <c r="J7762" s="135" t="n">
        <f aca="false">$G7762*'Analyse capacite'!$D$9</f>
        <v>0</v>
      </c>
      <c r="K7762" s="135" t="n">
        <f aca="false">$G7762*'Analyse capacite'!$E$9</f>
        <v>0</v>
      </c>
    </row>
    <row r="7763" customFormat="false" ht="15" hidden="false" customHeight="false" outlineLevel="0" collapsed="false">
      <c r="B7763" s="130" t="n">
        <v>2027</v>
      </c>
      <c r="C7763" s="131" t="s">
        <v>253</v>
      </c>
      <c r="D7763" s="132" t="n">
        <v>46693</v>
      </c>
      <c r="E7763" s="131" t="s">
        <v>46</v>
      </c>
      <c r="F7763" s="133" t="s">
        <v>11</v>
      </c>
      <c r="G7763" s="134" t="n">
        <f aca="false">LEN('Saisie programme'!$E$304)+SUMIFS('Vols additionnels'!$E$7:$E$66,'Vols additionnels'!$C$7:$C$66,$E7763,'Vols additionnels'!$D$7:$D$66,$F7763,'Vols additionnels'!$B$7:$B$66,$D7763)</f>
        <v>0</v>
      </c>
      <c r="H7763" s="135" t="n">
        <f aca="false">$G7763*'Analyse capacite'!$F$7</f>
        <v>0</v>
      </c>
      <c r="I7763" s="135" t="n">
        <f aca="false">$G7763*'Analyse capacite'!$C$7</f>
        <v>0</v>
      </c>
      <c r="J7763" s="135" t="n">
        <f aca="false">$G7763*'Analyse capacite'!$D$7</f>
        <v>0</v>
      </c>
      <c r="K7763" s="135" t="n">
        <f aca="false">$G7763*'Analyse capacite'!$E$7</f>
        <v>0</v>
      </c>
    </row>
    <row r="7764" customFormat="false" ht="15" hidden="false" customHeight="false" outlineLevel="0" collapsed="false">
      <c r="B7764" s="130" t="n">
        <v>2027</v>
      </c>
      <c r="C7764" s="131" t="s">
        <v>253</v>
      </c>
      <c r="D7764" s="132" t="n">
        <v>46693</v>
      </c>
      <c r="E7764" s="131" t="s">
        <v>46</v>
      </c>
      <c r="F7764" s="133" t="s">
        <v>19</v>
      </c>
      <c r="G7764" s="134" t="n">
        <f aca="false">LEN('Saisie programme'!$E$305)+SUMIFS('Vols additionnels'!$E$7:$E$66,'Vols additionnels'!$C$7:$C$66,$E7764,'Vols additionnels'!$D$7:$D$66,$F7764,'Vols additionnels'!$B$7:$B$66,$D7764)</f>
        <v>0</v>
      </c>
      <c r="H7764" s="135" t="n">
        <f aca="false">$G7764*'Analyse capacite'!$F$8</f>
        <v>0</v>
      </c>
      <c r="I7764" s="135" t="n">
        <f aca="false">$G7764*'Analyse capacite'!$C$8</f>
        <v>0</v>
      </c>
      <c r="J7764" s="135" t="n">
        <f aca="false">$G7764*'Analyse capacite'!$D$8</f>
        <v>0</v>
      </c>
      <c r="K7764" s="135" t="n">
        <f aca="false">$G7764*'Analyse capacite'!$E$8</f>
        <v>0</v>
      </c>
    </row>
    <row r="7765" customFormat="false" ht="15" hidden="false" customHeight="false" outlineLevel="0" collapsed="false">
      <c r="B7765" s="130" t="n">
        <v>2027</v>
      </c>
      <c r="C7765" s="131" t="s">
        <v>253</v>
      </c>
      <c r="D7765" s="132" t="n">
        <v>46693</v>
      </c>
      <c r="E7765" s="131" t="s">
        <v>46</v>
      </c>
      <c r="F7765" s="133" t="s">
        <v>24</v>
      </c>
      <c r="G7765" s="134" t="n">
        <f aca="false">LEN('Saisie programme'!$E$306)+SUMIFS('Vols additionnels'!$E$7:$E$66,'Vols additionnels'!$C$7:$C$66,$E7765,'Vols additionnels'!$D$7:$D$66,$F7765,'Vols additionnels'!$B$7:$B$66,$D7765)</f>
        <v>1</v>
      </c>
      <c r="H7765" s="135" t="n">
        <f aca="false">$G7765*'Analyse capacite'!$F$9</f>
        <v>174</v>
      </c>
      <c r="I7765" s="135" t="n">
        <f aca="false">$G7765*'Analyse capacite'!$C$9</f>
        <v>0</v>
      </c>
      <c r="J7765" s="135" t="n">
        <f aca="false">$G7765*'Analyse capacite'!$D$9</f>
        <v>12</v>
      </c>
      <c r="K7765" s="135" t="n">
        <f aca="false">$G7765*'Analyse capacite'!$E$9</f>
        <v>162</v>
      </c>
    </row>
    <row r="7766" customFormat="false" ht="15" hidden="false" customHeight="false" outlineLevel="0" collapsed="false">
      <c r="B7766" s="130" t="n">
        <v>2027</v>
      </c>
      <c r="C7766" s="131" t="s">
        <v>253</v>
      </c>
      <c r="D7766" s="132" t="n">
        <v>46693</v>
      </c>
      <c r="E7766" s="131" t="s">
        <v>49</v>
      </c>
      <c r="F7766" s="133" t="s">
        <v>11</v>
      </c>
      <c r="G7766" s="134" t="n">
        <f aca="false">LEN('Saisie programme'!$E$307)+SUMIFS('Vols additionnels'!$E$7:$E$66,'Vols additionnels'!$C$7:$C$66,$E7766,'Vols additionnels'!$D$7:$D$66,$F7766,'Vols additionnels'!$B$7:$B$66,$D7766)</f>
        <v>0</v>
      </c>
      <c r="H7766" s="135" t="n">
        <f aca="false">$G7766*'Analyse capacite'!$F$7</f>
        <v>0</v>
      </c>
      <c r="I7766" s="135" t="n">
        <f aca="false">$G7766*'Analyse capacite'!$C$7</f>
        <v>0</v>
      </c>
      <c r="J7766" s="135" t="n">
        <f aca="false">$G7766*'Analyse capacite'!$D$7</f>
        <v>0</v>
      </c>
      <c r="K7766" s="135" t="n">
        <f aca="false">$G7766*'Analyse capacite'!$E$7</f>
        <v>0</v>
      </c>
    </row>
    <row r="7767" customFormat="false" ht="15" hidden="false" customHeight="false" outlineLevel="0" collapsed="false">
      <c r="B7767" s="130" t="n">
        <v>2027</v>
      </c>
      <c r="C7767" s="131" t="s">
        <v>253</v>
      </c>
      <c r="D7767" s="132" t="n">
        <v>46693</v>
      </c>
      <c r="E7767" s="131" t="s">
        <v>49</v>
      </c>
      <c r="F7767" s="133" t="s">
        <v>19</v>
      </c>
      <c r="G7767" s="134" t="n">
        <f aca="false">LEN('Saisie programme'!$E$308)+SUMIFS('Vols additionnels'!$E$7:$E$66,'Vols additionnels'!$C$7:$C$66,$E7767,'Vols additionnels'!$D$7:$D$66,$F7767,'Vols additionnels'!$B$7:$B$66,$D7767)</f>
        <v>0</v>
      </c>
      <c r="H7767" s="135" t="n">
        <f aca="false">$G7767*'Analyse capacite'!$F$8</f>
        <v>0</v>
      </c>
      <c r="I7767" s="135" t="n">
        <f aca="false">$G7767*'Analyse capacite'!$C$8</f>
        <v>0</v>
      </c>
      <c r="J7767" s="135" t="n">
        <f aca="false">$G7767*'Analyse capacite'!$D$8</f>
        <v>0</v>
      </c>
      <c r="K7767" s="135" t="n">
        <f aca="false">$G7767*'Analyse capacite'!$E$8</f>
        <v>0</v>
      </c>
    </row>
    <row r="7768" customFormat="false" ht="15" hidden="false" customHeight="false" outlineLevel="0" collapsed="false">
      <c r="B7768" s="130" t="n">
        <v>2027</v>
      </c>
      <c r="C7768" s="131" t="s">
        <v>253</v>
      </c>
      <c r="D7768" s="132" t="n">
        <v>46693</v>
      </c>
      <c r="E7768" s="131" t="s">
        <v>49</v>
      </c>
      <c r="F7768" s="133" t="s">
        <v>24</v>
      </c>
      <c r="G7768" s="134" t="n">
        <f aca="false">LEN('Saisie programme'!$E$309)+SUMIFS('Vols additionnels'!$E$7:$E$66,'Vols additionnels'!$C$7:$C$66,$E7768,'Vols additionnels'!$D$7:$D$66,$F7768,'Vols additionnels'!$B$7:$B$66,$D7768)</f>
        <v>0</v>
      </c>
      <c r="H7768" s="135" t="n">
        <f aca="false">$G7768*'Analyse capacite'!$F$9</f>
        <v>0</v>
      </c>
      <c r="I7768" s="135" t="n">
        <f aca="false">$G7768*'Analyse capacite'!$C$9</f>
        <v>0</v>
      </c>
      <c r="J7768" s="135" t="n">
        <f aca="false">$G7768*'Analyse capacite'!$D$9</f>
        <v>0</v>
      </c>
      <c r="K7768" s="135" t="n">
        <f aca="false">$G7768*'Analyse capacite'!$E$9</f>
        <v>0</v>
      </c>
    </row>
    <row r="7769" customFormat="false" ht="15" hidden="false" customHeight="false" outlineLevel="0" collapsed="false">
      <c r="B7769" s="130" t="n">
        <v>2027</v>
      </c>
      <c r="C7769" s="131" t="s">
        <v>253</v>
      </c>
      <c r="D7769" s="132" t="n">
        <v>46693</v>
      </c>
      <c r="E7769" s="131" t="s">
        <v>53</v>
      </c>
      <c r="F7769" s="133" t="s">
        <v>11</v>
      </c>
      <c r="G7769" s="134" t="n">
        <f aca="false">LEN('Saisie programme'!$E$310)+SUMIFS('Vols additionnels'!$E$7:$E$66,'Vols additionnels'!$C$7:$C$66,$E7769,'Vols additionnels'!$D$7:$D$66,$F7769,'Vols additionnels'!$B$7:$B$66,$D7769)</f>
        <v>0</v>
      </c>
      <c r="H7769" s="135" t="n">
        <f aca="false">$G7769*'Analyse capacite'!$F$7</f>
        <v>0</v>
      </c>
      <c r="I7769" s="135" t="n">
        <f aca="false">$G7769*'Analyse capacite'!$C$7</f>
        <v>0</v>
      </c>
      <c r="J7769" s="135" t="n">
        <f aca="false">$G7769*'Analyse capacite'!$D$7</f>
        <v>0</v>
      </c>
      <c r="K7769" s="135" t="n">
        <f aca="false">$G7769*'Analyse capacite'!$E$7</f>
        <v>0</v>
      </c>
    </row>
    <row r="7770" customFormat="false" ht="15" hidden="false" customHeight="false" outlineLevel="0" collapsed="false">
      <c r="B7770" s="130" t="n">
        <v>2027</v>
      </c>
      <c r="C7770" s="131" t="s">
        <v>253</v>
      </c>
      <c r="D7770" s="132" t="n">
        <v>46693</v>
      </c>
      <c r="E7770" s="131" t="s">
        <v>53</v>
      </c>
      <c r="F7770" s="133" t="s">
        <v>19</v>
      </c>
      <c r="G7770" s="134" t="n">
        <f aca="false">LEN('Saisie programme'!$E$311)+SUMIFS('Vols additionnels'!$E$7:$E$66,'Vols additionnels'!$C$7:$C$66,$E7770,'Vols additionnels'!$D$7:$D$66,$F7770,'Vols additionnels'!$B$7:$B$66,$D7770)</f>
        <v>0</v>
      </c>
      <c r="H7770" s="135" t="n">
        <f aca="false">$G7770*'Analyse capacite'!$F$8</f>
        <v>0</v>
      </c>
      <c r="I7770" s="135" t="n">
        <f aca="false">$G7770*'Analyse capacite'!$C$8</f>
        <v>0</v>
      </c>
      <c r="J7770" s="135" t="n">
        <f aca="false">$G7770*'Analyse capacite'!$D$8</f>
        <v>0</v>
      </c>
      <c r="K7770" s="135" t="n">
        <f aca="false">$G7770*'Analyse capacite'!$E$8</f>
        <v>0</v>
      </c>
    </row>
    <row r="7771" customFormat="false" ht="15" hidden="false" customHeight="false" outlineLevel="0" collapsed="false">
      <c r="B7771" s="130" t="n">
        <v>2027</v>
      </c>
      <c r="C7771" s="131" t="s">
        <v>253</v>
      </c>
      <c r="D7771" s="132" t="n">
        <v>46693</v>
      </c>
      <c r="E7771" s="131" t="s">
        <v>53</v>
      </c>
      <c r="F7771" s="133" t="s">
        <v>24</v>
      </c>
      <c r="G7771" s="134" t="n">
        <f aca="false">LEN('Saisie programme'!$E$312)+SUMIFS('Vols additionnels'!$E$7:$E$66,'Vols additionnels'!$C$7:$C$66,$E7771,'Vols additionnels'!$D$7:$D$66,$F7771,'Vols additionnels'!$B$7:$B$66,$D7771)</f>
        <v>0</v>
      </c>
      <c r="H7771" s="135" t="n">
        <f aca="false">$G7771*'Analyse capacite'!$F$9</f>
        <v>0</v>
      </c>
      <c r="I7771" s="135" t="n">
        <f aca="false">$G7771*'Analyse capacite'!$C$9</f>
        <v>0</v>
      </c>
      <c r="J7771" s="135" t="n">
        <f aca="false">$G7771*'Analyse capacite'!$D$9</f>
        <v>0</v>
      </c>
      <c r="K7771" s="135" t="n">
        <f aca="false">$G7771*'Analyse capacite'!$E$9</f>
        <v>0</v>
      </c>
    </row>
    <row r="7772" customFormat="false" ht="15" hidden="false" customHeight="false" outlineLevel="0" collapsed="false">
      <c r="B7772" s="130" t="n">
        <v>2027</v>
      </c>
      <c r="C7772" s="131" t="s">
        <v>253</v>
      </c>
      <c r="D7772" s="132" t="n">
        <v>46693</v>
      </c>
      <c r="E7772" s="131" t="s">
        <v>56</v>
      </c>
      <c r="F7772" s="133" t="s">
        <v>11</v>
      </c>
      <c r="G7772" s="134" t="n">
        <f aca="false">LEN('Saisie programme'!$E$313)+SUMIFS('Vols additionnels'!$E$7:$E$66,'Vols additionnels'!$C$7:$C$66,$E7772,'Vols additionnels'!$D$7:$D$66,$F7772,'Vols additionnels'!$B$7:$B$66,$D7772)</f>
        <v>0</v>
      </c>
      <c r="H7772" s="135" t="n">
        <f aca="false">$G7772*'Analyse capacite'!$F$7</f>
        <v>0</v>
      </c>
      <c r="I7772" s="135" t="n">
        <f aca="false">$G7772*'Analyse capacite'!$C$7</f>
        <v>0</v>
      </c>
      <c r="J7772" s="135" t="n">
        <f aca="false">$G7772*'Analyse capacite'!$D$7</f>
        <v>0</v>
      </c>
      <c r="K7772" s="135" t="n">
        <f aca="false">$G7772*'Analyse capacite'!$E$7</f>
        <v>0</v>
      </c>
    </row>
    <row r="7773" customFormat="false" ht="15" hidden="false" customHeight="false" outlineLevel="0" collapsed="false">
      <c r="B7773" s="130" t="n">
        <v>2027</v>
      </c>
      <c r="C7773" s="131" t="s">
        <v>253</v>
      </c>
      <c r="D7773" s="132" t="n">
        <v>46693</v>
      </c>
      <c r="E7773" s="131" t="s">
        <v>56</v>
      </c>
      <c r="F7773" s="133" t="s">
        <v>19</v>
      </c>
      <c r="G7773" s="134" t="n">
        <f aca="false">LEN('Saisie programme'!$E$314)+SUMIFS('Vols additionnels'!$E$7:$E$66,'Vols additionnels'!$C$7:$C$66,$E7773,'Vols additionnels'!$D$7:$D$66,$F7773,'Vols additionnels'!$B$7:$B$66,$D7773)</f>
        <v>0</v>
      </c>
      <c r="H7773" s="135" t="n">
        <f aca="false">$G7773*'Analyse capacite'!$F$8</f>
        <v>0</v>
      </c>
      <c r="I7773" s="135" t="n">
        <f aca="false">$G7773*'Analyse capacite'!$C$8</f>
        <v>0</v>
      </c>
      <c r="J7773" s="135" t="n">
        <f aca="false">$G7773*'Analyse capacite'!$D$8</f>
        <v>0</v>
      </c>
      <c r="K7773" s="135" t="n">
        <f aca="false">$G7773*'Analyse capacite'!$E$8</f>
        <v>0</v>
      </c>
    </row>
    <row r="7774" customFormat="false" ht="15" hidden="false" customHeight="false" outlineLevel="0" collapsed="false">
      <c r="B7774" s="130" t="n">
        <v>2027</v>
      </c>
      <c r="C7774" s="131" t="s">
        <v>253</v>
      </c>
      <c r="D7774" s="132" t="n">
        <v>46693</v>
      </c>
      <c r="E7774" s="131" t="s">
        <v>56</v>
      </c>
      <c r="F7774" s="133" t="s">
        <v>24</v>
      </c>
      <c r="G7774" s="134" t="n">
        <f aca="false">LEN('Saisie programme'!$E$315)+SUMIFS('Vols additionnels'!$E$7:$E$66,'Vols additionnels'!$C$7:$C$66,$E7774,'Vols additionnels'!$D$7:$D$66,$F7774,'Vols additionnels'!$B$7:$B$66,$D7774)</f>
        <v>1</v>
      </c>
      <c r="H7774" s="135" t="n">
        <f aca="false">$G7774*'Analyse capacite'!$F$9</f>
        <v>174</v>
      </c>
      <c r="I7774" s="135" t="n">
        <f aca="false">$G7774*'Analyse capacite'!$C$9</f>
        <v>0</v>
      </c>
      <c r="J7774" s="135" t="n">
        <f aca="false">$G7774*'Analyse capacite'!$D$9</f>
        <v>12</v>
      </c>
      <c r="K7774" s="135" t="n">
        <f aca="false">$G7774*'Analyse capacite'!$E$9</f>
        <v>162</v>
      </c>
    </row>
    <row r="7775" customFormat="false" ht="15" hidden="false" customHeight="false" outlineLevel="0" collapsed="false">
      <c r="B7775" s="130" t="n">
        <v>2027</v>
      </c>
      <c r="C7775" s="131" t="s">
        <v>253</v>
      </c>
      <c r="D7775" s="132" t="n">
        <v>46693</v>
      </c>
      <c r="E7775" s="131" t="s">
        <v>59</v>
      </c>
      <c r="F7775" s="133" t="s">
        <v>11</v>
      </c>
      <c r="G7775" s="134" t="n">
        <f aca="false">LEN('Saisie programme'!$E$316)+SUMIFS('Vols additionnels'!$E$7:$E$66,'Vols additionnels'!$C$7:$C$66,$E7775,'Vols additionnels'!$D$7:$D$66,$F7775,'Vols additionnels'!$B$7:$B$66,$D7775)</f>
        <v>0</v>
      </c>
      <c r="H7775" s="135" t="n">
        <f aca="false">$G7775*'Analyse capacite'!$F$7</f>
        <v>0</v>
      </c>
      <c r="I7775" s="135" t="n">
        <f aca="false">$G7775*'Analyse capacite'!$C$7</f>
        <v>0</v>
      </c>
      <c r="J7775" s="135" t="n">
        <f aca="false">$G7775*'Analyse capacite'!$D$7</f>
        <v>0</v>
      </c>
      <c r="K7775" s="135" t="n">
        <f aca="false">$G7775*'Analyse capacite'!$E$7</f>
        <v>0</v>
      </c>
    </row>
    <row r="7776" customFormat="false" ht="15" hidden="false" customHeight="false" outlineLevel="0" collapsed="false">
      <c r="B7776" s="130" t="n">
        <v>2027</v>
      </c>
      <c r="C7776" s="131" t="s">
        <v>253</v>
      </c>
      <c r="D7776" s="132" t="n">
        <v>46693</v>
      </c>
      <c r="E7776" s="131" t="s">
        <v>59</v>
      </c>
      <c r="F7776" s="133" t="s">
        <v>19</v>
      </c>
      <c r="G7776" s="134" t="n">
        <f aca="false">LEN('Saisie programme'!$E$317)+SUMIFS('Vols additionnels'!$E$7:$E$66,'Vols additionnels'!$C$7:$C$66,$E7776,'Vols additionnels'!$D$7:$D$66,$F7776,'Vols additionnels'!$B$7:$B$66,$D7776)</f>
        <v>0</v>
      </c>
      <c r="H7776" s="135" t="n">
        <f aca="false">$G7776*'Analyse capacite'!$F$8</f>
        <v>0</v>
      </c>
      <c r="I7776" s="135" t="n">
        <f aca="false">$G7776*'Analyse capacite'!$C$8</f>
        <v>0</v>
      </c>
      <c r="J7776" s="135" t="n">
        <f aca="false">$G7776*'Analyse capacite'!$D$8</f>
        <v>0</v>
      </c>
      <c r="K7776" s="135" t="n">
        <f aca="false">$G7776*'Analyse capacite'!$E$8</f>
        <v>0</v>
      </c>
    </row>
    <row r="7777" customFormat="false" ht="15" hidden="false" customHeight="false" outlineLevel="0" collapsed="false">
      <c r="B7777" s="130" t="n">
        <v>2027</v>
      </c>
      <c r="C7777" s="131" t="s">
        <v>253</v>
      </c>
      <c r="D7777" s="132" t="n">
        <v>46693</v>
      </c>
      <c r="E7777" s="131" t="s">
        <v>59</v>
      </c>
      <c r="F7777" s="133" t="s">
        <v>24</v>
      </c>
      <c r="G7777" s="134" t="n">
        <f aca="false">LEN('Saisie programme'!$E$318)+SUMIFS('Vols additionnels'!$E$7:$E$66,'Vols additionnels'!$C$7:$C$66,$E7777,'Vols additionnels'!$D$7:$D$66,$F7777,'Vols additionnels'!$B$7:$B$66,$D7777)</f>
        <v>1</v>
      </c>
      <c r="H7777" s="135" t="n">
        <f aca="false">$G7777*'Analyse capacite'!$F$9</f>
        <v>174</v>
      </c>
      <c r="I7777" s="135" t="n">
        <f aca="false">$G7777*'Analyse capacite'!$C$9</f>
        <v>0</v>
      </c>
      <c r="J7777" s="135" t="n">
        <f aca="false">$G7777*'Analyse capacite'!$D$9</f>
        <v>12</v>
      </c>
      <c r="K7777" s="135" t="n">
        <f aca="false">$G7777*'Analyse capacite'!$E$9</f>
        <v>162</v>
      </c>
    </row>
    <row r="7778" customFormat="false" ht="15" hidden="false" customHeight="false" outlineLevel="0" collapsed="false">
      <c r="B7778" s="130" t="n">
        <v>2027</v>
      </c>
      <c r="C7778" s="131" t="s">
        <v>253</v>
      </c>
      <c r="D7778" s="132" t="n">
        <v>46693</v>
      </c>
      <c r="E7778" s="131" t="s">
        <v>62</v>
      </c>
      <c r="F7778" s="133" t="s">
        <v>11</v>
      </c>
      <c r="G7778" s="134" t="n">
        <f aca="false">LEN('Saisie programme'!$E$319)+SUMIFS('Vols additionnels'!$E$7:$E$66,'Vols additionnels'!$C$7:$C$66,$E7778,'Vols additionnels'!$D$7:$D$66,$F7778,'Vols additionnels'!$B$7:$B$66,$D7778)</f>
        <v>0</v>
      </c>
      <c r="H7778" s="135" t="n">
        <f aca="false">$G7778*'Analyse capacite'!$F$7</f>
        <v>0</v>
      </c>
      <c r="I7778" s="135" t="n">
        <f aca="false">$G7778*'Analyse capacite'!$C$7</f>
        <v>0</v>
      </c>
      <c r="J7778" s="135" t="n">
        <f aca="false">$G7778*'Analyse capacite'!$D$7</f>
        <v>0</v>
      </c>
      <c r="K7778" s="135" t="n">
        <f aca="false">$G7778*'Analyse capacite'!$E$7</f>
        <v>0</v>
      </c>
    </row>
    <row r="7779" customFormat="false" ht="15" hidden="false" customHeight="false" outlineLevel="0" collapsed="false">
      <c r="B7779" s="130" t="n">
        <v>2027</v>
      </c>
      <c r="C7779" s="131" t="s">
        <v>253</v>
      </c>
      <c r="D7779" s="132" t="n">
        <v>46693</v>
      </c>
      <c r="E7779" s="131" t="s">
        <v>62</v>
      </c>
      <c r="F7779" s="133" t="s">
        <v>19</v>
      </c>
      <c r="G7779" s="134" t="n">
        <f aca="false">LEN('Saisie programme'!$E$320)+SUMIFS('Vols additionnels'!$E$7:$E$66,'Vols additionnels'!$C$7:$C$66,$E7779,'Vols additionnels'!$D$7:$D$66,$F7779,'Vols additionnels'!$B$7:$B$66,$D7779)</f>
        <v>0</v>
      </c>
      <c r="H7779" s="135" t="n">
        <f aca="false">$G7779*'Analyse capacite'!$F$8</f>
        <v>0</v>
      </c>
      <c r="I7779" s="135" t="n">
        <f aca="false">$G7779*'Analyse capacite'!$C$8</f>
        <v>0</v>
      </c>
      <c r="J7779" s="135" t="n">
        <f aca="false">$G7779*'Analyse capacite'!$D$8</f>
        <v>0</v>
      </c>
      <c r="K7779" s="135" t="n">
        <f aca="false">$G7779*'Analyse capacite'!$E$8</f>
        <v>0</v>
      </c>
    </row>
    <row r="7780" customFormat="false" ht="15" hidden="false" customHeight="false" outlineLevel="0" collapsed="false">
      <c r="B7780" s="130" t="n">
        <v>2027</v>
      </c>
      <c r="C7780" s="131" t="s">
        <v>253</v>
      </c>
      <c r="D7780" s="132" t="n">
        <v>46693</v>
      </c>
      <c r="E7780" s="131" t="s">
        <v>62</v>
      </c>
      <c r="F7780" s="133" t="s">
        <v>24</v>
      </c>
      <c r="G7780" s="134" t="n">
        <f aca="false">LEN('Saisie programme'!$E$321)+SUMIFS('Vols additionnels'!$E$7:$E$66,'Vols additionnels'!$C$7:$C$66,$E7780,'Vols additionnels'!$D$7:$D$66,$F7780,'Vols additionnels'!$B$7:$B$66,$D7780)</f>
        <v>0</v>
      </c>
      <c r="H7780" s="135" t="n">
        <f aca="false">$G7780*'Analyse capacite'!$F$9</f>
        <v>0</v>
      </c>
      <c r="I7780" s="135" t="n">
        <f aca="false">$G7780*'Analyse capacite'!$C$9</f>
        <v>0</v>
      </c>
      <c r="J7780" s="135" t="n">
        <f aca="false">$G7780*'Analyse capacite'!$D$9</f>
        <v>0</v>
      </c>
      <c r="K7780" s="135" t="n">
        <f aca="false">$G7780*'Analyse capacite'!$E$9</f>
        <v>0</v>
      </c>
    </row>
    <row r="7781" customFormat="false" ht="15" hidden="false" customHeight="false" outlineLevel="0" collapsed="false">
      <c r="B7781" s="130" t="n">
        <v>2027</v>
      </c>
      <c r="C7781" s="131" t="s">
        <v>253</v>
      </c>
      <c r="D7781" s="132" t="n">
        <v>46694</v>
      </c>
      <c r="E7781" s="131" t="s">
        <v>12</v>
      </c>
      <c r="F7781" s="133" t="s">
        <v>11</v>
      </c>
      <c r="G7781" s="134" t="n">
        <f aca="false">LEN('Saisie programme'!$F$286)+SUMIFS('Vols additionnels'!$E$7:$E$66,'Vols additionnels'!$C$7:$C$66,$E7781,'Vols additionnels'!$D$7:$D$66,$F7781,'Vols additionnels'!$B$7:$B$66,$D7781)</f>
        <v>1</v>
      </c>
      <c r="H7781" s="135" t="n">
        <f aca="false">$G7781*'Analyse capacite'!$F$7</f>
        <v>438</v>
      </c>
      <c r="I7781" s="135" t="n">
        <f aca="false">$G7781*'Analyse capacite'!$C$7</f>
        <v>14</v>
      </c>
      <c r="J7781" s="135" t="n">
        <f aca="false">$G7781*'Analyse capacite'!$D$7</f>
        <v>40</v>
      </c>
      <c r="K7781" s="135" t="n">
        <f aca="false">$G7781*'Analyse capacite'!$E$7</f>
        <v>384</v>
      </c>
    </row>
    <row r="7782" customFormat="false" ht="15" hidden="false" customHeight="false" outlineLevel="0" collapsed="false">
      <c r="B7782" s="130" t="n">
        <v>2027</v>
      </c>
      <c r="C7782" s="131" t="s">
        <v>253</v>
      </c>
      <c r="D7782" s="132" t="n">
        <v>46694</v>
      </c>
      <c r="E7782" s="131" t="s">
        <v>12</v>
      </c>
      <c r="F7782" s="133" t="s">
        <v>19</v>
      </c>
      <c r="G7782" s="134" t="n">
        <f aca="false">LEN('Saisie programme'!$F$287)+SUMIFS('Vols additionnels'!$E$7:$E$66,'Vols additionnels'!$C$7:$C$66,$E7782,'Vols additionnels'!$D$7:$D$66,$F7782,'Vols additionnels'!$B$7:$B$66,$D7782)</f>
        <v>0</v>
      </c>
      <c r="H7782" s="135" t="n">
        <f aca="false">$G7782*'Analyse capacite'!$F$8</f>
        <v>0</v>
      </c>
      <c r="I7782" s="135" t="n">
        <f aca="false">$G7782*'Analyse capacite'!$C$8</f>
        <v>0</v>
      </c>
      <c r="J7782" s="135" t="n">
        <f aca="false">$G7782*'Analyse capacite'!$D$8</f>
        <v>0</v>
      </c>
      <c r="K7782" s="135" t="n">
        <f aca="false">$G7782*'Analyse capacite'!$E$8</f>
        <v>0</v>
      </c>
    </row>
    <row r="7783" customFormat="false" ht="15" hidden="false" customHeight="false" outlineLevel="0" collapsed="false">
      <c r="B7783" s="130" t="n">
        <v>2027</v>
      </c>
      <c r="C7783" s="131" t="s">
        <v>253</v>
      </c>
      <c r="D7783" s="132" t="n">
        <v>46694</v>
      </c>
      <c r="E7783" s="131" t="s">
        <v>12</v>
      </c>
      <c r="F7783" s="133" t="s">
        <v>24</v>
      </c>
      <c r="G7783" s="134" t="n">
        <f aca="false">LEN('Saisie programme'!$F$288)+SUMIFS('Vols additionnels'!$E$7:$E$66,'Vols additionnels'!$C$7:$C$66,$E7783,'Vols additionnels'!$D$7:$D$66,$F7783,'Vols additionnels'!$B$7:$B$66,$D7783)</f>
        <v>0</v>
      </c>
      <c r="H7783" s="135" t="n">
        <f aca="false">$G7783*'Analyse capacite'!$F$9</f>
        <v>0</v>
      </c>
      <c r="I7783" s="135" t="n">
        <f aca="false">$G7783*'Analyse capacite'!$C$9</f>
        <v>0</v>
      </c>
      <c r="J7783" s="135" t="n">
        <f aca="false">$G7783*'Analyse capacite'!$D$9</f>
        <v>0</v>
      </c>
      <c r="K7783" s="135" t="n">
        <f aca="false">$G7783*'Analyse capacite'!$E$9</f>
        <v>0</v>
      </c>
    </row>
    <row r="7784" customFormat="false" ht="15" hidden="false" customHeight="false" outlineLevel="0" collapsed="false">
      <c r="B7784" s="130" t="n">
        <v>2027</v>
      </c>
      <c r="C7784" s="131" t="s">
        <v>253</v>
      </c>
      <c r="D7784" s="132" t="n">
        <v>46694</v>
      </c>
      <c r="E7784" s="131" t="s">
        <v>20</v>
      </c>
      <c r="F7784" s="133" t="s">
        <v>11</v>
      </c>
      <c r="G7784" s="134" t="n">
        <f aca="false">LEN('Saisie programme'!$F$289)+SUMIFS('Vols additionnels'!$E$7:$E$66,'Vols additionnels'!$C$7:$C$66,$E7784,'Vols additionnels'!$D$7:$D$66,$F7784,'Vols additionnels'!$B$7:$B$66,$D7784)</f>
        <v>0</v>
      </c>
      <c r="H7784" s="135" t="n">
        <f aca="false">$G7784*'Analyse capacite'!$F$7</f>
        <v>0</v>
      </c>
      <c r="I7784" s="135" t="n">
        <f aca="false">$G7784*'Analyse capacite'!$C$7</f>
        <v>0</v>
      </c>
      <c r="J7784" s="135" t="n">
        <f aca="false">$G7784*'Analyse capacite'!$D$7</f>
        <v>0</v>
      </c>
      <c r="K7784" s="135" t="n">
        <f aca="false">$G7784*'Analyse capacite'!$E$7</f>
        <v>0</v>
      </c>
    </row>
    <row r="7785" customFormat="false" ht="15" hidden="false" customHeight="false" outlineLevel="0" collapsed="false">
      <c r="B7785" s="130" t="n">
        <v>2027</v>
      </c>
      <c r="C7785" s="131" t="s">
        <v>253</v>
      </c>
      <c r="D7785" s="132" t="n">
        <v>46694</v>
      </c>
      <c r="E7785" s="131" t="s">
        <v>20</v>
      </c>
      <c r="F7785" s="133" t="s">
        <v>19</v>
      </c>
      <c r="G7785" s="134" t="n">
        <f aca="false">LEN('Saisie programme'!$F$290)+SUMIFS('Vols additionnels'!$E$7:$E$66,'Vols additionnels'!$C$7:$C$66,$E7785,'Vols additionnels'!$D$7:$D$66,$F7785,'Vols additionnels'!$B$7:$B$66,$D7785)</f>
        <v>0</v>
      </c>
      <c r="H7785" s="135" t="n">
        <f aca="false">$G7785*'Analyse capacite'!$F$8</f>
        <v>0</v>
      </c>
      <c r="I7785" s="135" t="n">
        <f aca="false">$G7785*'Analyse capacite'!$C$8</f>
        <v>0</v>
      </c>
      <c r="J7785" s="135" t="n">
        <f aca="false">$G7785*'Analyse capacite'!$D$8</f>
        <v>0</v>
      </c>
      <c r="K7785" s="135" t="n">
        <f aca="false">$G7785*'Analyse capacite'!$E$8</f>
        <v>0</v>
      </c>
    </row>
    <row r="7786" customFormat="false" ht="15" hidden="false" customHeight="false" outlineLevel="0" collapsed="false">
      <c r="B7786" s="130" t="n">
        <v>2027</v>
      </c>
      <c r="C7786" s="131" t="s">
        <v>253</v>
      </c>
      <c r="D7786" s="132" t="n">
        <v>46694</v>
      </c>
      <c r="E7786" s="131" t="s">
        <v>20</v>
      </c>
      <c r="F7786" s="133" t="s">
        <v>24</v>
      </c>
      <c r="G7786" s="134" t="n">
        <f aca="false">LEN('Saisie programme'!$F$291)+SUMIFS('Vols additionnels'!$E$7:$E$66,'Vols additionnels'!$C$7:$C$66,$E7786,'Vols additionnels'!$D$7:$D$66,$F7786,'Vols additionnels'!$B$7:$B$66,$D7786)</f>
        <v>0</v>
      </c>
      <c r="H7786" s="135" t="n">
        <f aca="false">$G7786*'Analyse capacite'!$F$9</f>
        <v>0</v>
      </c>
      <c r="I7786" s="135" t="n">
        <f aca="false">$G7786*'Analyse capacite'!$C$9</f>
        <v>0</v>
      </c>
      <c r="J7786" s="135" t="n">
        <f aca="false">$G7786*'Analyse capacite'!$D$9</f>
        <v>0</v>
      </c>
      <c r="K7786" s="135" t="n">
        <f aca="false">$G7786*'Analyse capacite'!$E$9</f>
        <v>0</v>
      </c>
    </row>
    <row r="7787" customFormat="false" ht="15" hidden="false" customHeight="false" outlineLevel="0" collapsed="false">
      <c r="B7787" s="130" t="n">
        <v>2027</v>
      </c>
      <c r="C7787" s="131" t="s">
        <v>253</v>
      </c>
      <c r="D7787" s="132" t="n">
        <v>46694</v>
      </c>
      <c r="E7787" s="131" t="s">
        <v>25</v>
      </c>
      <c r="F7787" s="133" t="s">
        <v>11</v>
      </c>
      <c r="G7787" s="134" t="n">
        <f aca="false">LEN('Saisie programme'!$F$292)+SUMIFS('Vols additionnels'!$E$7:$E$66,'Vols additionnels'!$C$7:$C$66,$E7787,'Vols additionnels'!$D$7:$D$66,$F7787,'Vols additionnels'!$B$7:$B$66,$D7787)</f>
        <v>0</v>
      </c>
      <c r="H7787" s="135" t="n">
        <f aca="false">$G7787*'Analyse capacite'!$F$7</f>
        <v>0</v>
      </c>
      <c r="I7787" s="135" t="n">
        <f aca="false">$G7787*'Analyse capacite'!$C$7</f>
        <v>0</v>
      </c>
      <c r="J7787" s="135" t="n">
        <f aca="false">$G7787*'Analyse capacite'!$D$7</f>
        <v>0</v>
      </c>
      <c r="K7787" s="135" t="n">
        <f aca="false">$G7787*'Analyse capacite'!$E$7</f>
        <v>0</v>
      </c>
    </row>
    <row r="7788" customFormat="false" ht="15" hidden="false" customHeight="false" outlineLevel="0" collapsed="false">
      <c r="B7788" s="130" t="n">
        <v>2027</v>
      </c>
      <c r="C7788" s="131" t="s">
        <v>253</v>
      </c>
      <c r="D7788" s="132" t="n">
        <v>46694</v>
      </c>
      <c r="E7788" s="131" t="s">
        <v>25</v>
      </c>
      <c r="F7788" s="133" t="s">
        <v>19</v>
      </c>
      <c r="G7788" s="134" t="n">
        <f aca="false">LEN('Saisie programme'!$F$293)+SUMIFS('Vols additionnels'!$E$7:$E$66,'Vols additionnels'!$C$7:$C$66,$E7788,'Vols additionnels'!$D$7:$D$66,$F7788,'Vols additionnels'!$B$7:$B$66,$D7788)</f>
        <v>1</v>
      </c>
      <c r="H7788" s="135" t="n">
        <f aca="false">$G7788*'Analyse capacite'!$F$8</f>
        <v>262</v>
      </c>
      <c r="I7788" s="135" t="n">
        <f aca="false">$G7788*'Analyse capacite'!$C$8</f>
        <v>18</v>
      </c>
      <c r="J7788" s="135" t="n">
        <f aca="false">$G7788*'Analyse capacite'!$D$8</f>
        <v>0</v>
      </c>
      <c r="K7788" s="135" t="n">
        <f aca="false">$G7788*'Analyse capacite'!$E$8</f>
        <v>244</v>
      </c>
    </row>
    <row r="7789" customFormat="false" ht="15" hidden="false" customHeight="false" outlineLevel="0" collapsed="false">
      <c r="B7789" s="130" t="n">
        <v>2027</v>
      </c>
      <c r="C7789" s="131" t="s">
        <v>253</v>
      </c>
      <c r="D7789" s="132" t="n">
        <v>46694</v>
      </c>
      <c r="E7789" s="131" t="s">
        <v>25</v>
      </c>
      <c r="F7789" s="133" t="s">
        <v>24</v>
      </c>
      <c r="G7789" s="134" t="n">
        <f aca="false">LEN('Saisie programme'!$F$294)+SUMIFS('Vols additionnels'!$E$7:$E$66,'Vols additionnels'!$C$7:$C$66,$E7789,'Vols additionnels'!$D$7:$D$66,$F7789,'Vols additionnels'!$B$7:$B$66,$D7789)</f>
        <v>0</v>
      </c>
      <c r="H7789" s="135" t="n">
        <f aca="false">$G7789*'Analyse capacite'!$F$9</f>
        <v>0</v>
      </c>
      <c r="I7789" s="135" t="n">
        <f aca="false">$G7789*'Analyse capacite'!$C$9</f>
        <v>0</v>
      </c>
      <c r="J7789" s="135" t="n">
        <f aca="false">$G7789*'Analyse capacite'!$D$9</f>
        <v>0</v>
      </c>
      <c r="K7789" s="135" t="n">
        <f aca="false">$G7789*'Analyse capacite'!$E$9</f>
        <v>0</v>
      </c>
    </row>
    <row r="7790" customFormat="false" ht="15" hidden="false" customHeight="false" outlineLevel="0" collapsed="false">
      <c r="B7790" s="130" t="n">
        <v>2027</v>
      </c>
      <c r="C7790" s="131" t="s">
        <v>253</v>
      </c>
      <c r="D7790" s="132" t="n">
        <v>46694</v>
      </c>
      <c r="E7790" s="131" t="s">
        <v>36</v>
      </c>
      <c r="F7790" s="133" t="s">
        <v>11</v>
      </c>
      <c r="G7790" s="134" t="n">
        <f aca="false">LEN('Saisie programme'!$F$295)+SUMIFS('Vols additionnels'!$E$7:$E$66,'Vols additionnels'!$C$7:$C$66,$E7790,'Vols additionnels'!$D$7:$D$66,$F7790,'Vols additionnels'!$B$7:$B$66,$D7790)</f>
        <v>0</v>
      </c>
      <c r="H7790" s="135" t="n">
        <f aca="false">$G7790*'Analyse capacite'!$F$7</f>
        <v>0</v>
      </c>
      <c r="I7790" s="135" t="n">
        <f aca="false">$G7790*'Analyse capacite'!$C$7</f>
        <v>0</v>
      </c>
      <c r="J7790" s="135" t="n">
        <f aca="false">$G7790*'Analyse capacite'!$D$7</f>
        <v>0</v>
      </c>
      <c r="K7790" s="135" t="n">
        <f aca="false">$G7790*'Analyse capacite'!$E$7</f>
        <v>0</v>
      </c>
    </row>
    <row r="7791" customFormat="false" ht="15" hidden="false" customHeight="false" outlineLevel="0" collapsed="false">
      <c r="B7791" s="130" t="n">
        <v>2027</v>
      </c>
      <c r="C7791" s="131" t="s">
        <v>253</v>
      </c>
      <c r="D7791" s="132" t="n">
        <v>46694</v>
      </c>
      <c r="E7791" s="131" t="s">
        <v>36</v>
      </c>
      <c r="F7791" s="133" t="s">
        <v>19</v>
      </c>
      <c r="G7791" s="134" t="n">
        <f aca="false">LEN('Saisie programme'!$F$296)+SUMIFS('Vols additionnels'!$E$7:$E$66,'Vols additionnels'!$C$7:$C$66,$E7791,'Vols additionnels'!$D$7:$D$66,$F7791,'Vols additionnels'!$B$7:$B$66,$D7791)</f>
        <v>1</v>
      </c>
      <c r="H7791" s="135" t="n">
        <f aca="false">$G7791*'Analyse capacite'!$F$8</f>
        <v>262</v>
      </c>
      <c r="I7791" s="135" t="n">
        <f aca="false">$G7791*'Analyse capacite'!$C$8</f>
        <v>18</v>
      </c>
      <c r="J7791" s="135" t="n">
        <f aca="false">$G7791*'Analyse capacite'!$D$8</f>
        <v>0</v>
      </c>
      <c r="K7791" s="135" t="n">
        <f aca="false">$G7791*'Analyse capacite'!$E$8</f>
        <v>244</v>
      </c>
    </row>
    <row r="7792" customFormat="false" ht="15" hidden="false" customHeight="false" outlineLevel="0" collapsed="false">
      <c r="B7792" s="130" t="n">
        <v>2027</v>
      </c>
      <c r="C7792" s="131" t="s">
        <v>253</v>
      </c>
      <c r="D7792" s="132" t="n">
        <v>46694</v>
      </c>
      <c r="E7792" s="131" t="s">
        <v>36</v>
      </c>
      <c r="F7792" s="133" t="s">
        <v>24</v>
      </c>
      <c r="G7792" s="134" t="n">
        <f aca="false">LEN('Saisie programme'!$F$297)+SUMIFS('Vols additionnels'!$E$7:$E$66,'Vols additionnels'!$C$7:$C$66,$E7792,'Vols additionnels'!$D$7:$D$66,$F7792,'Vols additionnels'!$B$7:$B$66,$D7792)</f>
        <v>1</v>
      </c>
      <c r="H7792" s="135" t="n">
        <f aca="false">$G7792*'Analyse capacite'!$F$9</f>
        <v>174</v>
      </c>
      <c r="I7792" s="135" t="n">
        <f aca="false">$G7792*'Analyse capacite'!$C$9</f>
        <v>0</v>
      </c>
      <c r="J7792" s="135" t="n">
        <f aca="false">$G7792*'Analyse capacite'!$D$9</f>
        <v>12</v>
      </c>
      <c r="K7792" s="135" t="n">
        <f aca="false">$G7792*'Analyse capacite'!$E$9</f>
        <v>162</v>
      </c>
    </row>
    <row r="7793" customFormat="false" ht="15" hidden="false" customHeight="false" outlineLevel="0" collapsed="false">
      <c r="B7793" s="130" t="n">
        <v>2027</v>
      </c>
      <c r="C7793" s="131" t="s">
        <v>253</v>
      </c>
      <c r="D7793" s="132" t="n">
        <v>46694</v>
      </c>
      <c r="E7793" s="131" t="s">
        <v>40</v>
      </c>
      <c r="F7793" s="133" t="s">
        <v>11</v>
      </c>
      <c r="G7793" s="134" t="n">
        <f aca="false">LEN('Saisie programme'!$F$298)+SUMIFS('Vols additionnels'!$E$7:$E$66,'Vols additionnels'!$C$7:$C$66,$E7793,'Vols additionnels'!$D$7:$D$66,$F7793,'Vols additionnels'!$B$7:$B$66,$D7793)</f>
        <v>0</v>
      </c>
      <c r="H7793" s="135" t="n">
        <f aca="false">$G7793*'Analyse capacite'!$F$7</f>
        <v>0</v>
      </c>
      <c r="I7793" s="135" t="n">
        <f aca="false">$G7793*'Analyse capacite'!$C$7</f>
        <v>0</v>
      </c>
      <c r="J7793" s="135" t="n">
        <f aca="false">$G7793*'Analyse capacite'!$D$7</f>
        <v>0</v>
      </c>
      <c r="K7793" s="135" t="n">
        <f aca="false">$G7793*'Analyse capacite'!$E$7</f>
        <v>0</v>
      </c>
    </row>
    <row r="7794" customFormat="false" ht="15" hidden="false" customHeight="false" outlineLevel="0" collapsed="false">
      <c r="B7794" s="130" t="n">
        <v>2027</v>
      </c>
      <c r="C7794" s="131" t="s">
        <v>253</v>
      </c>
      <c r="D7794" s="132" t="n">
        <v>46694</v>
      </c>
      <c r="E7794" s="131" t="s">
        <v>40</v>
      </c>
      <c r="F7794" s="133" t="s">
        <v>19</v>
      </c>
      <c r="G7794" s="134" t="n">
        <f aca="false">LEN('Saisie programme'!$F$299)+SUMIFS('Vols additionnels'!$E$7:$E$66,'Vols additionnels'!$C$7:$C$66,$E7794,'Vols additionnels'!$D$7:$D$66,$F7794,'Vols additionnels'!$B$7:$B$66,$D7794)</f>
        <v>0</v>
      </c>
      <c r="H7794" s="135" t="n">
        <f aca="false">$G7794*'Analyse capacite'!$F$8</f>
        <v>0</v>
      </c>
      <c r="I7794" s="135" t="n">
        <f aca="false">$G7794*'Analyse capacite'!$C$8</f>
        <v>0</v>
      </c>
      <c r="J7794" s="135" t="n">
        <f aca="false">$G7794*'Analyse capacite'!$D$8</f>
        <v>0</v>
      </c>
      <c r="K7794" s="135" t="n">
        <f aca="false">$G7794*'Analyse capacite'!$E$8</f>
        <v>0</v>
      </c>
    </row>
    <row r="7795" customFormat="false" ht="15" hidden="false" customHeight="false" outlineLevel="0" collapsed="false">
      <c r="B7795" s="130" t="n">
        <v>2027</v>
      </c>
      <c r="C7795" s="131" t="s">
        <v>253</v>
      </c>
      <c r="D7795" s="132" t="n">
        <v>46694</v>
      </c>
      <c r="E7795" s="131" t="s">
        <v>40</v>
      </c>
      <c r="F7795" s="133" t="s">
        <v>24</v>
      </c>
      <c r="G7795" s="134" t="n">
        <f aca="false">LEN('Saisie programme'!$F$300)+SUMIFS('Vols additionnels'!$E$7:$E$66,'Vols additionnels'!$C$7:$C$66,$E7795,'Vols additionnels'!$D$7:$D$66,$F7795,'Vols additionnels'!$B$7:$B$66,$D7795)</f>
        <v>1</v>
      </c>
      <c r="H7795" s="135" t="n">
        <f aca="false">$G7795*'Analyse capacite'!$F$9</f>
        <v>174</v>
      </c>
      <c r="I7795" s="135" t="n">
        <f aca="false">$G7795*'Analyse capacite'!$C$9</f>
        <v>0</v>
      </c>
      <c r="J7795" s="135" t="n">
        <f aca="false">$G7795*'Analyse capacite'!$D$9</f>
        <v>12</v>
      </c>
      <c r="K7795" s="135" t="n">
        <f aca="false">$G7795*'Analyse capacite'!$E$9</f>
        <v>162</v>
      </c>
    </row>
    <row r="7796" customFormat="false" ht="15" hidden="false" customHeight="false" outlineLevel="0" collapsed="false">
      <c r="B7796" s="130" t="n">
        <v>2027</v>
      </c>
      <c r="C7796" s="131" t="s">
        <v>253</v>
      </c>
      <c r="D7796" s="132" t="n">
        <v>46694</v>
      </c>
      <c r="E7796" s="131" t="s">
        <v>14</v>
      </c>
      <c r="F7796" s="133" t="s">
        <v>11</v>
      </c>
      <c r="G7796" s="134" t="n">
        <f aca="false">LEN('Saisie programme'!$F$301)+SUMIFS('Vols additionnels'!$E$7:$E$66,'Vols additionnels'!$C$7:$C$66,$E7796,'Vols additionnels'!$D$7:$D$66,$F7796,'Vols additionnels'!$B$7:$B$66,$D7796)</f>
        <v>0</v>
      </c>
      <c r="H7796" s="135" t="n">
        <f aca="false">$G7796*'Analyse capacite'!$F$7</f>
        <v>0</v>
      </c>
      <c r="I7796" s="135" t="n">
        <f aca="false">$G7796*'Analyse capacite'!$C$7</f>
        <v>0</v>
      </c>
      <c r="J7796" s="135" t="n">
        <f aca="false">$G7796*'Analyse capacite'!$D$7</f>
        <v>0</v>
      </c>
      <c r="K7796" s="135" t="n">
        <f aca="false">$G7796*'Analyse capacite'!$E$7</f>
        <v>0</v>
      </c>
    </row>
    <row r="7797" customFormat="false" ht="15" hidden="false" customHeight="false" outlineLevel="0" collapsed="false">
      <c r="B7797" s="130" t="n">
        <v>2027</v>
      </c>
      <c r="C7797" s="131" t="s">
        <v>253</v>
      </c>
      <c r="D7797" s="132" t="n">
        <v>46694</v>
      </c>
      <c r="E7797" s="131" t="s">
        <v>14</v>
      </c>
      <c r="F7797" s="133" t="s">
        <v>19</v>
      </c>
      <c r="G7797" s="134" t="n">
        <f aca="false">LEN('Saisie programme'!$F$302)+SUMIFS('Vols additionnels'!$E$7:$E$66,'Vols additionnels'!$C$7:$C$66,$E7797,'Vols additionnels'!$D$7:$D$66,$F7797,'Vols additionnels'!$B$7:$B$66,$D7797)</f>
        <v>0</v>
      </c>
      <c r="H7797" s="135" t="n">
        <f aca="false">$G7797*'Analyse capacite'!$F$8</f>
        <v>0</v>
      </c>
      <c r="I7797" s="135" t="n">
        <f aca="false">$G7797*'Analyse capacite'!$C$8</f>
        <v>0</v>
      </c>
      <c r="J7797" s="135" t="n">
        <f aca="false">$G7797*'Analyse capacite'!$D$8</f>
        <v>0</v>
      </c>
      <c r="K7797" s="135" t="n">
        <f aca="false">$G7797*'Analyse capacite'!$E$8</f>
        <v>0</v>
      </c>
    </row>
    <row r="7798" customFormat="false" ht="15" hidden="false" customHeight="false" outlineLevel="0" collapsed="false">
      <c r="B7798" s="130" t="n">
        <v>2027</v>
      </c>
      <c r="C7798" s="131" t="s">
        <v>253</v>
      </c>
      <c r="D7798" s="132" t="n">
        <v>46694</v>
      </c>
      <c r="E7798" s="131" t="s">
        <v>14</v>
      </c>
      <c r="F7798" s="133" t="s">
        <v>24</v>
      </c>
      <c r="G7798" s="134" t="n">
        <f aca="false">LEN('Saisie programme'!$F$303)+SUMIFS('Vols additionnels'!$E$7:$E$66,'Vols additionnels'!$C$7:$C$66,$E7798,'Vols additionnels'!$D$7:$D$66,$F7798,'Vols additionnels'!$B$7:$B$66,$D7798)</f>
        <v>0</v>
      </c>
      <c r="H7798" s="135" t="n">
        <f aca="false">$G7798*'Analyse capacite'!$F$9</f>
        <v>0</v>
      </c>
      <c r="I7798" s="135" t="n">
        <f aca="false">$G7798*'Analyse capacite'!$C$9</f>
        <v>0</v>
      </c>
      <c r="J7798" s="135" t="n">
        <f aca="false">$G7798*'Analyse capacite'!$D$9</f>
        <v>0</v>
      </c>
      <c r="K7798" s="135" t="n">
        <f aca="false">$G7798*'Analyse capacite'!$E$9</f>
        <v>0</v>
      </c>
    </row>
    <row r="7799" customFormat="false" ht="15" hidden="false" customHeight="false" outlineLevel="0" collapsed="false">
      <c r="B7799" s="130" t="n">
        <v>2027</v>
      </c>
      <c r="C7799" s="131" t="s">
        <v>253</v>
      </c>
      <c r="D7799" s="132" t="n">
        <v>46694</v>
      </c>
      <c r="E7799" s="131" t="s">
        <v>46</v>
      </c>
      <c r="F7799" s="133" t="s">
        <v>11</v>
      </c>
      <c r="G7799" s="134" t="n">
        <f aca="false">LEN('Saisie programme'!$F$304)+SUMIFS('Vols additionnels'!$E$7:$E$66,'Vols additionnels'!$C$7:$C$66,$E7799,'Vols additionnels'!$D$7:$D$66,$F7799,'Vols additionnels'!$B$7:$B$66,$D7799)</f>
        <v>0</v>
      </c>
      <c r="H7799" s="135" t="n">
        <f aca="false">$G7799*'Analyse capacite'!$F$7</f>
        <v>0</v>
      </c>
      <c r="I7799" s="135" t="n">
        <f aca="false">$G7799*'Analyse capacite'!$C$7</f>
        <v>0</v>
      </c>
      <c r="J7799" s="135" t="n">
        <f aca="false">$G7799*'Analyse capacite'!$D$7</f>
        <v>0</v>
      </c>
      <c r="K7799" s="135" t="n">
        <f aca="false">$G7799*'Analyse capacite'!$E$7</f>
        <v>0</v>
      </c>
    </row>
    <row r="7800" customFormat="false" ht="15" hidden="false" customHeight="false" outlineLevel="0" collapsed="false">
      <c r="B7800" s="130" t="n">
        <v>2027</v>
      </c>
      <c r="C7800" s="131" t="s">
        <v>253</v>
      </c>
      <c r="D7800" s="132" t="n">
        <v>46694</v>
      </c>
      <c r="E7800" s="131" t="s">
        <v>46</v>
      </c>
      <c r="F7800" s="133" t="s">
        <v>19</v>
      </c>
      <c r="G7800" s="134" t="n">
        <f aca="false">LEN('Saisie programme'!$F$305)+SUMIFS('Vols additionnels'!$E$7:$E$66,'Vols additionnels'!$C$7:$C$66,$E7800,'Vols additionnels'!$D$7:$D$66,$F7800,'Vols additionnels'!$B$7:$B$66,$D7800)</f>
        <v>0</v>
      </c>
      <c r="H7800" s="135" t="n">
        <f aca="false">$G7800*'Analyse capacite'!$F$8</f>
        <v>0</v>
      </c>
      <c r="I7800" s="135" t="n">
        <f aca="false">$G7800*'Analyse capacite'!$C$8</f>
        <v>0</v>
      </c>
      <c r="J7800" s="135" t="n">
        <f aca="false">$G7800*'Analyse capacite'!$D$8</f>
        <v>0</v>
      </c>
      <c r="K7800" s="135" t="n">
        <f aca="false">$G7800*'Analyse capacite'!$E$8</f>
        <v>0</v>
      </c>
    </row>
    <row r="7801" customFormat="false" ht="15" hidden="false" customHeight="false" outlineLevel="0" collapsed="false">
      <c r="B7801" s="130" t="n">
        <v>2027</v>
      </c>
      <c r="C7801" s="131" t="s">
        <v>253</v>
      </c>
      <c r="D7801" s="132" t="n">
        <v>46694</v>
      </c>
      <c r="E7801" s="131" t="s">
        <v>46</v>
      </c>
      <c r="F7801" s="133" t="s">
        <v>24</v>
      </c>
      <c r="G7801" s="134" t="n">
        <f aca="false">LEN('Saisie programme'!$F$306)+SUMIFS('Vols additionnels'!$E$7:$E$66,'Vols additionnels'!$C$7:$C$66,$E7801,'Vols additionnels'!$D$7:$D$66,$F7801,'Vols additionnels'!$B$7:$B$66,$D7801)</f>
        <v>0</v>
      </c>
      <c r="H7801" s="135" t="n">
        <f aca="false">$G7801*'Analyse capacite'!$F$9</f>
        <v>0</v>
      </c>
      <c r="I7801" s="135" t="n">
        <f aca="false">$G7801*'Analyse capacite'!$C$9</f>
        <v>0</v>
      </c>
      <c r="J7801" s="135" t="n">
        <f aca="false">$G7801*'Analyse capacite'!$D$9</f>
        <v>0</v>
      </c>
      <c r="K7801" s="135" t="n">
        <f aca="false">$G7801*'Analyse capacite'!$E$9</f>
        <v>0</v>
      </c>
    </row>
    <row r="7802" customFormat="false" ht="15" hidden="false" customHeight="false" outlineLevel="0" collapsed="false">
      <c r="B7802" s="130" t="n">
        <v>2027</v>
      </c>
      <c r="C7802" s="131" t="s">
        <v>253</v>
      </c>
      <c r="D7802" s="132" t="n">
        <v>46694</v>
      </c>
      <c r="E7802" s="131" t="s">
        <v>49</v>
      </c>
      <c r="F7802" s="133" t="s">
        <v>11</v>
      </c>
      <c r="G7802" s="134" t="n">
        <f aca="false">LEN('Saisie programme'!$F$307)+SUMIFS('Vols additionnels'!$E$7:$E$66,'Vols additionnels'!$C$7:$C$66,$E7802,'Vols additionnels'!$D$7:$D$66,$F7802,'Vols additionnels'!$B$7:$B$66,$D7802)</f>
        <v>0</v>
      </c>
      <c r="H7802" s="135" t="n">
        <f aca="false">$G7802*'Analyse capacite'!$F$7</f>
        <v>0</v>
      </c>
      <c r="I7802" s="135" t="n">
        <f aca="false">$G7802*'Analyse capacite'!$C$7</f>
        <v>0</v>
      </c>
      <c r="J7802" s="135" t="n">
        <f aca="false">$G7802*'Analyse capacite'!$D$7</f>
        <v>0</v>
      </c>
      <c r="K7802" s="135" t="n">
        <f aca="false">$G7802*'Analyse capacite'!$E$7</f>
        <v>0</v>
      </c>
    </row>
    <row r="7803" customFormat="false" ht="15" hidden="false" customHeight="false" outlineLevel="0" collapsed="false">
      <c r="B7803" s="130" t="n">
        <v>2027</v>
      </c>
      <c r="C7803" s="131" t="s">
        <v>253</v>
      </c>
      <c r="D7803" s="132" t="n">
        <v>46694</v>
      </c>
      <c r="E7803" s="131" t="s">
        <v>49</v>
      </c>
      <c r="F7803" s="133" t="s">
        <v>19</v>
      </c>
      <c r="G7803" s="134" t="n">
        <f aca="false">LEN('Saisie programme'!$F$308)+SUMIFS('Vols additionnels'!$E$7:$E$66,'Vols additionnels'!$C$7:$C$66,$E7803,'Vols additionnels'!$D$7:$D$66,$F7803,'Vols additionnels'!$B$7:$B$66,$D7803)</f>
        <v>0</v>
      </c>
      <c r="H7803" s="135" t="n">
        <f aca="false">$G7803*'Analyse capacite'!$F$8</f>
        <v>0</v>
      </c>
      <c r="I7803" s="135" t="n">
        <f aca="false">$G7803*'Analyse capacite'!$C$8</f>
        <v>0</v>
      </c>
      <c r="J7803" s="135" t="n">
        <f aca="false">$G7803*'Analyse capacite'!$D$8</f>
        <v>0</v>
      </c>
      <c r="K7803" s="135" t="n">
        <f aca="false">$G7803*'Analyse capacite'!$E$8</f>
        <v>0</v>
      </c>
    </row>
    <row r="7804" customFormat="false" ht="15" hidden="false" customHeight="false" outlineLevel="0" collapsed="false">
      <c r="B7804" s="130" t="n">
        <v>2027</v>
      </c>
      <c r="C7804" s="131" t="s">
        <v>253</v>
      </c>
      <c r="D7804" s="132" t="n">
        <v>46694</v>
      </c>
      <c r="E7804" s="131" t="s">
        <v>49</v>
      </c>
      <c r="F7804" s="133" t="s">
        <v>24</v>
      </c>
      <c r="G7804" s="134" t="n">
        <f aca="false">LEN('Saisie programme'!$F$309)+SUMIFS('Vols additionnels'!$E$7:$E$66,'Vols additionnels'!$C$7:$C$66,$E7804,'Vols additionnels'!$D$7:$D$66,$F7804,'Vols additionnels'!$B$7:$B$66,$D7804)</f>
        <v>0</v>
      </c>
      <c r="H7804" s="135" t="n">
        <f aca="false">$G7804*'Analyse capacite'!$F$9</f>
        <v>0</v>
      </c>
      <c r="I7804" s="135" t="n">
        <f aca="false">$G7804*'Analyse capacite'!$C$9</f>
        <v>0</v>
      </c>
      <c r="J7804" s="135" t="n">
        <f aca="false">$G7804*'Analyse capacite'!$D$9</f>
        <v>0</v>
      </c>
      <c r="K7804" s="135" t="n">
        <f aca="false">$G7804*'Analyse capacite'!$E$9</f>
        <v>0</v>
      </c>
    </row>
    <row r="7805" customFormat="false" ht="15" hidden="false" customHeight="false" outlineLevel="0" collapsed="false">
      <c r="B7805" s="130" t="n">
        <v>2027</v>
      </c>
      <c r="C7805" s="131" t="s">
        <v>253</v>
      </c>
      <c r="D7805" s="132" t="n">
        <v>46694</v>
      </c>
      <c r="E7805" s="131" t="s">
        <v>53</v>
      </c>
      <c r="F7805" s="133" t="s">
        <v>11</v>
      </c>
      <c r="G7805" s="134" t="n">
        <f aca="false">LEN('Saisie programme'!$F$310)+SUMIFS('Vols additionnels'!$E$7:$E$66,'Vols additionnels'!$C$7:$C$66,$E7805,'Vols additionnels'!$D$7:$D$66,$F7805,'Vols additionnels'!$B$7:$B$66,$D7805)</f>
        <v>0</v>
      </c>
      <c r="H7805" s="135" t="n">
        <f aca="false">$G7805*'Analyse capacite'!$F$7</f>
        <v>0</v>
      </c>
      <c r="I7805" s="135" t="n">
        <f aca="false">$G7805*'Analyse capacite'!$C$7</f>
        <v>0</v>
      </c>
      <c r="J7805" s="135" t="n">
        <f aca="false">$G7805*'Analyse capacite'!$D$7</f>
        <v>0</v>
      </c>
      <c r="K7805" s="135" t="n">
        <f aca="false">$G7805*'Analyse capacite'!$E$7</f>
        <v>0</v>
      </c>
    </row>
    <row r="7806" customFormat="false" ht="15" hidden="false" customHeight="false" outlineLevel="0" collapsed="false">
      <c r="B7806" s="130" t="n">
        <v>2027</v>
      </c>
      <c r="C7806" s="131" t="s">
        <v>253</v>
      </c>
      <c r="D7806" s="132" t="n">
        <v>46694</v>
      </c>
      <c r="E7806" s="131" t="s">
        <v>53</v>
      </c>
      <c r="F7806" s="133" t="s">
        <v>19</v>
      </c>
      <c r="G7806" s="134" t="n">
        <f aca="false">LEN('Saisie programme'!$F$311)+SUMIFS('Vols additionnels'!$E$7:$E$66,'Vols additionnels'!$C$7:$C$66,$E7806,'Vols additionnels'!$D$7:$D$66,$F7806,'Vols additionnels'!$B$7:$B$66,$D7806)</f>
        <v>0</v>
      </c>
      <c r="H7806" s="135" t="n">
        <f aca="false">$G7806*'Analyse capacite'!$F$8</f>
        <v>0</v>
      </c>
      <c r="I7806" s="135" t="n">
        <f aca="false">$G7806*'Analyse capacite'!$C$8</f>
        <v>0</v>
      </c>
      <c r="J7806" s="135" t="n">
        <f aca="false">$G7806*'Analyse capacite'!$D$8</f>
        <v>0</v>
      </c>
      <c r="K7806" s="135" t="n">
        <f aca="false">$G7806*'Analyse capacite'!$E$8</f>
        <v>0</v>
      </c>
    </row>
    <row r="7807" customFormat="false" ht="15" hidden="false" customHeight="false" outlineLevel="0" collapsed="false">
      <c r="B7807" s="130" t="n">
        <v>2027</v>
      </c>
      <c r="C7807" s="131" t="s">
        <v>253</v>
      </c>
      <c r="D7807" s="132" t="n">
        <v>46694</v>
      </c>
      <c r="E7807" s="131" t="s">
        <v>53</v>
      </c>
      <c r="F7807" s="133" t="s">
        <v>24</v>
      </c>
      <c r="G7807" s="134" t="n">
        <f aca="false">LEN('Saisie programme'!$F$312)+SUMIFS('Vols additionnels'!$E$7:$E$66,'Vols additionnels'!$C$7:$C$66,$E7807,'Vols additionnels'!$D$7:$D$66,$F7807,'Vols additionnels'!$B$7:$B$66,$D7807)</f>
        <v>0</v>
      </c>
      <c r="H7807" s="135" t="n">
        <f aca="false">$G7807*'Analyse capacite'!$F$9</f>
        <v>0</v>
      </c>
      <c r="I7807" s="135" t="n">
        <f aca="false">$G7807*'Analyse capacite'!$C$9</f>
        <v>0</v>
      </c>
      <c r="J7807" s="135" t="n">
        <f aca="false">$G7807*'Analyse capacite'!$D$9</f>
        <v>0</v>
      </c>
      <c r="K7807" s="135" t="n">
        <f aca="false">$G7807*'Analyse capacite'!$E$9</f>
        <v>0</v>
      </c>
    </row>
    <row r="7808" customFormat="false" ht="15" hidden="false" customHeight="false" outlineLevel="0" collapsed="false">
      <c r="B7808" s="130" t="n">
        <v>2027</v>
      </c>
      <c r="C7808" s="131" t="s">
        <v>253</v>
      </c>
      <c r="D7808" s="132" t="n">
        <v>46694</v>
      </c>
      <c r="E7808" s="131" t="s">
        <v>56</v>
      </c>
      <c r="F7808" s="133" t="s">
        <v>11</v>
      </c>
      <c r="G7808" s="134" t="n">
        <f aca="false">LEN('Saisie programme'!$F$313)+SUMIFS('Vols additionnels'!$E$7:$E$66,'Vols additionnels'!$C$7:$C$66,$E7808,'Vols additionnels'!$D$7:$D$66,$F7808,'Vols additionnels'!$B$7:$B$66,$D7808)</f>
        <v>0</v>
      </c>
      <c r="H7808" s="135" t="n">
        <f aca="false">$G7808*'Analyse capacite'!$F$7</f>
        <v>0</v>
      </c>
      <c r="I7808" s="135" t="n">
        <f aca="false">$G7808*'Analyse capacite'!$C$7</f>
        <v>0</v>
      </c>
      <c r="J7808" s="135" t="n">
        <f aca="false">$G7808*'Analyse capacite'!$D$7</f>
        <v>0</v>
      </c>
      <c r="K7808" s="135" t="n">
        <f aca="false">$G7808*'Analyse capacite'!$E$7</f>
        <v>0</v>
      </c>
    </row>
    <row r="7809" customFormat="false" ht="15" hidden="false" customHeight="false" outlineLevel="0" collapsed="false">
      <c r="B7809" s="130" t="n">
        <v>2027</v>
      </c>
      <c r="C7809" s="131" t="s">
        <v>253</v>
      </c>
      <c r="D7809" s="132" t="n">
        <v>46694</v>
      </c>
      <c r="E7809" s="131" t="s">
        <v>56</v>
      </c>
      <c r="F7809" s="133" t="s">
        <v>19</v>
      </c>
      <c r="G7809" s="134" t="n">
        <f aca="false">LEN('Saisie programme'!$F$314)+SUMIFS('Vols additionnels'!$E$7:$E$66,'Vols additionnels'!$C$7:$C$66,$E7809,'Vols additionnels'!$D$7:$D$66,$F7809,'Vols additionnels'!$B$7:$B$66,$D7809)</f>
        <v>0</v>
      </c>
      <c r="H7809" s="135" t="n">
        <f aca="false">$G7809*'Analyse capacite'!$F$8</f>
        <v>0</v>
      </c>
      <c r="I7809" s="135" t="n">
        <f aca="false">$G7809*'Analyse capacite'!$C$8</f>
        <v>0</v>
      </c>
      <c r="J7809" s="135" t="n">
        <f aca="false">$G7809*'Analyse capacite'!$D$8</f>
        <v>0</v>
      </c>
      <c r="K7809" s="135" t="n">
        <f aca="false">$G7809*'Analyse capacite'!$E$8</f>
        <v>0</v>
      </c>
    </row>
    <row r="7810" customFormat="false" ht="15" hidden="false" customHeight="false" outlineLevel="0" collapsed="false">
      <c r="B7810" s="130" t="n">
        <v>2027</v>
      </c>
      <c r="C7810" s="131" t="s">
        <v>253</v>
      </c>
      <c r="D7810" s="132" t="n">
        <v>46694</v>
      </c>
      <c r="E7810" s="131" t="s">
        <v>56</v>
      </c>
      <c r="F7810" s="133" t="s">
        <v>24</v>
      </c>
      <c r="G7810" s="134" t="n">
        <f aca="false">LEN('Saisie programme'!$F$315)+SUMIFS('Vols additionnels'!$E$7:$E$66,'Vols additionnels'!$C$7:$C$66,$E7810,'Vols additionnels'!$D$7:$D$66,$F7810,'Vols additionnels'!$B$7:$B$66,$D7810)</f>
        <v>0</v>
      </c>
      <c r="H7810" s="135" t="n">
        <f aca="false">$G7810*'Analyse capacite'!$F$9</f>
        <v>0</v>
      </c>
      <c r="I7810" s="135" t="n">
        <f aca="false">$G7810*'Analyse capacite'!$C$9</f>
        <v>0</v>
      </c>
      <c r="J7810" s="135" t="n">
        <f aca="false">$G7810*'Analyse capacite'!$D$9</f>
        <v>0</v>
      </c>
      <c r="K7810" s="135" t="n">
        <f aca="false">$G7810*'Analyse capacite'!$E$9</f>
        <v>0</v>
      </c>
    </row>
    <row r="7811" customFormat="false" ht="15" hidden="false" customHeight="false" outlineLevel="0" collapsed="false">
      <c r="B7811" s="130" t="n">
        <v>2027</v>
      </c>
      <c r="C7811" s="131" t="s">
        <v>253</v>
      </c>
      <c r="D7811" s="132" t="n">
        <v>46694</v>
      </c>
      <c r="E7811" s="131" t="s">
        <v>59</v>
      </c>
      <c r="F7811" s="133" t="s">
        <v>11</v>
      </c>
      <c r="G7811" s="134" t="n">
        <f aca="false">LEN('Saisie programme'!$F$316)+SUMIFS('Vols additionnels'!$E$7:$E$66,'Vols additionnels'!$C$7:$C$66,$E7811,'Vols additionnels'!$D$7:$D$66,$F7811,'Vols additionnels'!$B$7:$B$66,$D7811)</f>
        <v>0</v>
      </c>
      <c r="H7811" s="135" t="n">
        <f aca="false">$G7811*'Analyse capacite'!$F$7</f>
        <v>0</v>
      </c>
      <c r="I7811" s="135" t="n">
        <f aca="false">$G7811*'Analyse capacite'!$C$7</f>
        <v>0</v>
      </c>
      <c r="J7811" s="135" t="n">
        <f aca="false">$G7811*'Analyse capacite'!$D$7</f>
        <v>0</v>
      </c>
      <c r="K7811" s="135" t="n">
        <f aca="false">$G7811*'Analyse capacite'!$E$7</f>
        <v>0</v>
      </c>
    </row>
    <row r="7812" customFormat="false" ht="15" hidden="false" customHeight="false" outlineLevel="0" collapsed="false">
      <c r="B7812" s="130" t="n">
        <v>2027</v>
      </c>
      <c r="C7812" s="131" t="s">
        <v>253</v>
      </c>
      <c r="D7812" s="132" t="n">
        <v>46694</v>
      </c>
      <c r="E7812" s="131" t="s">
        <v>59</v>
      </c>
      <c r="F7812" s="133" t="s">
        <v>19</v>
      </c>
      <c r="G7812" s="134" t="n">
        <f aca="false">LEN('Saisie programme'!$F$317)+SUMIFS('Vols additionnels'!$E$7:$E$66,'Vols additionnels'!$C$7:$C$66,$E7812,'Vols additionnels'!$D$7:$D$66,$F7812,'Vols additionnels'!$B$7:$B$66,$D7812)</f>
        <v>0</v>
      </c>
      <c r="H7812" s="135" t="n">
        <f aca="false">$G7812*'Analyse capacite'!$F$8</f>
        <v>0</v>
      </c>
      <c r="I7812" s="135" t="n">
        <f aca="false">$G7812*'Analyse capacite'!$C$8</f>
        <v>0</v>
      </c>
      <c r="J7812" s="135" t="n">
        <f aca="false">$G7812*'Analyse capacite'!$D$8</f>
        <v>0</v>
      </c>
      <c r="K7812" s="135" t="n">
        <f aca="false">$G7812*'Analyse capacite'!$E$8</f>
        <v>0</v>
      </c>
    </row>
    <row r="7813" customFormat="false" ht="15" hidden="false" customHeight="false" outlineLevel="0" collapsed="false">
      <c r="B7813" s="130" t="n">
        <v>2027</v>
      </c>
      <c r="C7813" s="131" t="s">
        <v>253</v>
      </c>
      <c r="D7813" s="132" t="n">
        <v>46694</v>
      </c>
      <c r="E7813" s="131" t="s">
        <v>59</v>
      </c>
      <c r="F7813" s="133" t="s">
        <v>24</v>
      </c>
      <c r="G7813" s="134" t="n">
        <f aca="false">LEN('Saisie programme'!$F$318)+SUMIFS('Vols additionnels'!$E$7:$E$66,'Vols additionnels'!$C$7:$C$66,$E7813,'Vols additionnels'!$D$7:$D$66,$F7813,'Vols additionnels'!$B$7:$B$66,$D7813)</f>
        <v>1</v>
      </c>
      <c r="H7813" s="135" t="n">
        <f aca="false">$G7813*'Analyse capacite'!$F$9</f>
        <v>174</v>
      </c>
      <c r="I7813" s="135" t="n">
        <f aca="false">$G7813*'Analyse capacite'!$C$9</f>
        <v>0</v>
      </c>
      <c r="J7813" s="135" t="n">
        <f aca="false">$G7813*'Analyse capacite'!$D$9</f>
        <v>12</v>
      </c>
      <c r="K7813" s="135" t="n">
        <f aca="false">$G7813*'Analyse capacite'!$E$9</f>
        <v>162</v>
      </c>
    </row>
    <row r="7814" customFormat="false" ht="15" hidden="false" customHeight="false" outlineLevel="0" collapsed="false">
      <c r="B7814" s="130" t="n">
        <v>2027</v>
      </c>
      <c r="C7814" s="131" t="s">
        <v>253</v>
      </c>
      <c r="D7814" s="132" t="n">
        <v>46694</v>
      </c>
      <c r="E7814" s="131" t="s">
        <v>62</v>
      </c>
      <c r="F7814" s="133" t="s">
        <v>11</v>
      </c>
      <c r="G7814" s="134" t="n">
        <f aca="false">LEN('Saisie programme'!$F$319)+SUMIFS('Vols additionnels'!$E$7:$E$66,'Vols additionnels'!$C$7:$C$66,$E7814,'Vols additionnels'!$D$7:$D$66,$F7814,'Vols additionnels'!$B$7:$B$66,$D7814)</f>
        <v>0</v>
      </c>
      <c r="H7814" s="135" t="n">
        <f aca="false">$G7814*'Analyse capacite'!$F$7</f>
        <v>0</v>
      </c>
      <c r="I7814" s="135" t="n">
        <f aca="false">$G7814*'Analyse capacite'!$C$7</f>
        <v>0</v>
      </c>
      <c r="J7814" s="135" t="n">
        <f aca="false">$G7814*'Analyse capacite'!$D$7</f>
        <v>0</v>
      </c>
      <c r="K7814" s="135" t="n">
        <f aca="false">$G7814*'Analyse capacite'!$E$7</f>
        <v>0</v>
      </c>
    </row>
    <row r="7815" customFormat="false" ht="15" hidden="false" customHeight="false" outlineLevel="0" collapsed="false">
      <c r="B7815" s="130" t="n">
        <v>2027</v>
      </c>
      <c r="C7815" s="131" t="s">
        <v>253</v>
      </c>
      <c r="D7815" s="132" t="n">
        <v>46694</v>
      </c>
      <c r="E7815" s="131" t="s">
        <v>62</v>
      </c>
      <c r="F7815" s="133" t="s">
        <v>19</v>
      </c>
      <c r="G7815" s="134" t="n">
        <f aca="false">LEN('Saisie programme'!$F$320)+SUMIFS('Vols additionnels'!$E$7:$E$66,'Vols additionnels'!$C$7:$C$66,$E7815,'Vols additionnels'!$D$7:$D$66,$F7815,'Vols additionnels'!$B$7:$B$66,$D7815)</f>
        <v>0</v>
      </c>
      <c r="H7815" s="135" t="n">
        <f aca="false">$G7815*'Analyse capacite'!$F$8</f>
        <v>0</v>
      </c>
      <c r="I7815" s="135" t="n">
        <f aca="false">$G7815*'Analyse capacite'!$C$8</f>
        <v>0</v>
      </c>
      <c r="J7815" s="135" t="n">
        <f aca="false">$G7815*'Analyse capacite'!$D$8</f>
        <v>0</v>
      </c>
      <c r="K7815" s="135" t="n">
        <f aca="false">$G7815*'Analyse capacite'!$E$8</f>
        <v>0</v>
      </c>
    </row>
    <row r="7816" customFormat="false" ht="15" hidden="false" customHeight="false" outlineLevel="0" collapsed="false">
      <c r="B7816" s="130" t="n">
        <v>2027</v>
      </c>
      <c r="C7816" s="131" t="s">
        <v>253</v>
      </c>
      <c r="D7816" s="132" t="n">
        <v>46694</v>
      </c>
      <c r="E7816" s="131" t="s">
        <v>62</v>
      </c>
      <c r="F7816" s="133" t="s">
        <v>24</v>
      </c>
      <c r="G7816" s="134" t="n">
        <f aca="false">LEN('Saisie programme'!$F$321)+SUMIFS('Vols additionnels'!$E$7:$E$66,'Vols additionnels'!$C$7:$C$66,$E7816,'Vols additionnels'!$D$7:$D$66,$F7816,'Vols additionnels'!$B$7:$B$66,$D7816)</f>
        <v>1</v>
      </c>
      <c r="H7816" s="135" t="n">
        <f aca="false">$G7816*'Analyse capacite'!$F$9</f>
        <v>174</v>
      </c>
      <c r="I7816" s="135" t="n">
        <f aca="false">$G7816*'Analyse capacite'!$C$9</f>
        <v>0</v>
      </c>
      <c r="J7816" s="135" t="n">
        <f aca="false">$G7816*'Analyse capacite'!$D$9</f>
        <v>12</v>
      </c>
      <c r="K7816" s="135" t="n">
        <f aca="false">$G7816*'Analyse capacite'!$E$9</f>
        <v>162</v>
      </c>
    </row>
    <row r="7817" customFormat="false" ht="15" hidden="false" customHeight="false" outlineLevel="0" collapsed="false">
      <c r="B7817" s="130" t="n">
        <v>2027</v>
      </c>
      <c r="C7817" s="131" t="s">
        <v>253</v>
      </c>
      <c r="D7817" s="132" t="n">
        <v>46695</v>
      </c>
      <c r="E7817" s="131" t="s">
        <v>12</v>
      </c>
      <c r="F7817" s="133" t="s">
        <v>11</v>
      </c>
      <c r="G7817" s="134" t="n">
        <f aca="false">LEN('Saisie programme'!$G$286)+SUMIFS('Vols additionnels'!$E$7:$E$66,'Vols additionnels'!$C$7:$C$66,$E7817,'Vols additionnels'!$D$7:$D$66,$F7817,'Vols additionnels'!$B$7:$B$66,$D7817)</f>
        <v>1</v>
      </c>
      <c r="H7817" s="135" t="n">
        <f aca="false">$G7817*'Analyse capacite'!$F$7</f>
        <v>438</v>
      </c>
      <c r="I7817" s="135" t="n">
        <f aca="false">$G7817*'Analyse capacite'!$C$7</f>
        <v>14</v>
      </c>
      <c r="J7817" s="135" t="n">
        <f aca="false">$G7817*'Analyse capacite'!$D$7</f>
        <v>40</v>
      </c>
      <c r="K7817" s="135" t="n">
        <f aca="false">$G7817*'Analyse capacite'!$E$7</f>
        <v>384</v>
      </c>
    </row>
    <row r="7818" customFormat="false" ht="15" hidden="false" customHeight="false" outlineLevel="0" collapsed="false">
      <c r="B7818" s="130" t="n">
        <v>2027</v>
      </c>
      <c r="C7818" s="131" t="s">
        <v>253</v>
      </c>
      <c r="D7818" s="132" t="n">
        <v>46695</v>
      </c>
      <c r="E7818" s="131" t="s">
        <v>12</v>
      </c>
      <c r="F7818" s="133" t="s">
        <v>19</v>
      </c>
      <c r="G7818" s="134" t="n">
        <f aca="false">LEN('Saisie programme'!$G$287)+SUMIFS('Vols additionnels'!$E$7:$E$66,'Vols additionnels'!$C$7:$C$66,$E7818,'Vols additionnels'!$D$7:$D$66,$F7818,'Vols additionnels'!$B$7:$B$66,$D7818)</f>
        <v>0</v>
      </c>
      <c r="H7818" s="135" t="n">
        <f aca="false">$G7818*'Analyse capacite'!$F$8</f>
        <v>0</v>
      </c>
      <c r="I7818" s="135" t="n">
        <f aca="false">$G7818*'Analyse capacite'!$C$8</f>
        <v>0</v>
      </c>
      <c r="J7818" s="135" t="n">
        <f aca="false">$G7818*'Analyse capacite'!$D$8</f>
        <v>0</v>
      </c>
      <c r="K7818" s="135" t="n">
        <f aca="false">$G7818*'Analyse capacite'!$E$8</f>
        <v>0</v>
      </c>
    </row>
    <row r="7819" customFormat="false" ht="15" hidden="false" customHeight="false" outlineLevel="0" collapsed="false">
      <c r="B7819" s="130" t="n">
        <v>2027</v>
      </c>
      <c r="C7819" s="131" t="s">
        <v>253</v>
      </c>
      <c r="D7819" s="132" t="n">
        <v>46695</v>
      </c>
      <c r="E7819" s="131" t="s">
        <v>12</v>
      </c>
      <c r="F7819" s="133" t="s">
        <v>24</v>
      </c>
      <c r="G7819" s="134" t="n">
        <f aca="false">LEN('Saisie programme'!$G$288)+SUMIFS('Vols additionnels'!$E$7:$E$66,'Vols additionnels'!$C$7:$C$66,$E7819,'Vols additionnels'!$D$7:$D$66,$F7819,'Vols additionnels'!$B$7:$B$66,$D7819)</f>
        <v>0</v>
      </c>
      <c r="H7819" s="135" t="n">
        <f aca="false">$G7819*'Analyse capacite'!$F$9</f>
        <v>0</v>
      </c>
      <c r="I7819" s="135" t="n">
        <f aca="false">$G7819*'Analyse capacite'!$C$9</f>
        <v>0</v>
      </c>
      <c r="J7819" s="135" t="n">
        <f aca="false">$G7819*'Analyse capacite'!$D$9</f>
        <v>0</v>
      </c>
      <c r="K7819" s="135" t="n">
        <f aca="false">$G7819*'Analyse capacite'!$E$9</f>
        <v>0</v>
      </c>
    </row>
    <row r="7820" customFormat="false" ht="15" hidden="false" customHeight="false" outlineLevel="0" collapsed="false">
      <c r="B7820" s="130" t="n">
        <v>2027</v>
      </c>
      <c r="C7820" s="131" t="s">
        <v>253</v>
      </c>
      <c r="D7820" s="132" t="n">
        <v>46695</v>
      </c>
      <c r="E7820" s="131" t="s">
        <v>20</v>
      </c>
      <c r="F7820" s="133" t="s">
        <v>11</v>
      </c>
      <c r="G7820" s="134" t="n">
        <f aca="false">LEN('Saisie programme'!$G$289)+SUMIFS('Vols additionnels'!$E$7:$E$66,'Vols additionnels'!$C$7:$C$66,$E7820,'Vols additionnels'!$D$7:$D$66,$F7820,'Vols additionnels'!$B$7:$B$66,$D7820)</f>
        <v>0</v>
      </c>
      <c r="H7820" s="135" t="n">
        <f aca="false">$G7820*'Analyse capacite'!$F$7</f>
        <v>0</v>
      </c>
      <c r="I7820" s="135" t="n">
        <f aca="false">$G7820*'Analyse capacite'!$C$7</f>
        <v>0</v>
      </c>
      <c r="J7820" s="135" t="n">
        <f aca="false">$G7820*'Analyse capacite'!$D$7</f>
        <v>0</v>
      </c>
      <c r="K7820" s="135" t="n">
        <f aca="false">$G7820*'Analyse capacite'!$E$7</f>
        <v>0</v>
      </c>
    </row>
    <row r="7821" customFormat="false" ht="15" hidden="false" customHeight="false" outlineLevel="0" collapsed="false">
      <c r="B7821" s="130" t="n">
        <v>2027</v>
      </c>
      <c r="C7821" s="131" t="s">
        <v>253</v>
      </c>
      <c r="D7821" s="132" t="n">
        <v>46695</v>
      </c>
      <c r="E7821" s="131" t="s">
        <v>20</v>
      </c>
      <c r="F7821" s="133" t="s">
        <v>19</v>
      </c>
      <c r="G7821" s="134" t="n">
        <f aca="false">LEN('Saisie programme'!$G$290)+SUMIFS('Vols additionnels'!$E$7:$E$66,'Vols additionnels'!$C$7:$C$66,$E7821,'Vols additionnels'!$D$7:$D$66,$F7821,'Vols additionnels'!$B$7:$B$66,$D7821)</f>
        <v>0</v>
      </c>
      <c r="H7821" s="135" t="n">
        <f aca="false">$G7821*'Analyse capacite'!$F$8</f>
        <v>0</v>
      </c>
      <c r="I7821" s="135" t="n">
        <f aca="false">$G7821*'Analyse capacite'!$C$8</f>
        <v>0</v>
      </c>
      <c r="J7821" s="135" t="n">
        <f aca="false">$G7821*'Analyse capacite'!$D$8</f>
        <v>0</v>
      </c>
      <c r="K7821" s="135" t="n">
        <f aca="false">$G7821*'Analyse capacite'!$E$8</f>
        <v>0</v>
      </c>
    </row>
    <row r="7822" customFormat="false" ht="15" hidden="false" customHeight="false" outlineLevel="0" collapsed="false">
      <c r="B7822" s="130" t="n">
        <v>2027</v>
      </c>
      <c r="C7822" s="131" t="s">
        <v>253</v>
      </c>
      <c r="D7822" s="132" t="n">
        <v>46695</v>
      </c>
      <c r="E7822" s="131" t="s">
        <v>20</v>
      </c>
      <c r="F7822" s="133" t="s">
        <v>24</v>
      </c>
      <c r="G7822" s="134" t="n">
        <f aca="false">LEN('Saisie programme'!$G$291)+SUMIFS('Vols additionnels'!$E$7:$E$66,'Vols additionnels'!$C$7:$C$66,$E7822,'Vols additionnels'!$D$7:$D$66,$F7822,'Vols additionnels'!$B$7:$B$66,$D7822)</f>
        <v>0</v>
      </c>
      <c r="H7822" s="135" t="n">
        <f aca="false">$G7822*'Analyse capacite'!$F$9</f>
        <v>0</v>
      </c>
      <c r="I7822" s="135" t="n">
        <f aca="false">$G7822*'Analyse capacite'!$C$9</f>
        <v>0</v>
      </c>
      <c r="J7822" s="135" t="n">
        <f aca="false">$G7822*'Analyse capacite'!$D$9</f>
        <v>0</v>
      </c>
      <c r="K7822" s="135" t="n">
        <f aca="false">$G7822*'Analyse capacite'!$E$9</f>
        <v>0</v>
      </c>
    </row>
    <row r="7823" customFormat="false" ht="15" hidden="false" customHeight="false" outlineLevel="0" collapsed="false">
      <c r="B7823" s="130" t="n">
        <v>2027</v>
      </c>
      <c r="C7823" s="131" t="s">
        <v>253</v>
      </c>
      <c r="D7823" s="132" t="n">
        <v>46695</v>
      </c>
      <c r="E7823" s="131" t="s">
        <v>25</v>
      </c>
      <c r="F7823" s="133" t="s">
        <v>11</v>
      </c>
      <c r="G7823" s="134" t="n">
        <f aca="false">LEN('Saisie programme'!$G$292)+SUMIFS('Vols additionnels'!$E$7:$E$66,'Vols additionnels'!$C$7:$C$66,$E7823,'Vols additionnels'!$D$7:$D$66,$F7823,'Vols additionnels'!$B$7:$B$66,$D7823)</f>
        <v>0</v>
      </c>
      <c r="H7823" s="135" t="n">
        <f aca="false">$G7823*'Analyse capacite'!$F$7</f>
        <v>0</v>
      </c>
      <c r="I7823" s="135" t="n">
        <f aca="false">$G7823*'Analyse capacite'!$C$7</f>
        <v>0</v>
      </c>
      <c r="J7823" s="135" t="n">
        <f aca="false">$G7823*'Analyse capacite'!$D$7</f>
        <v>0</v>
      </c>
      <c r="K7823" s="135" t="n">
        <f aca="false">$G7823*'Analyse capacite'!$E$7</f>
        <v>0</v>
      </c>
    </row>
    <row r="7824" customFormat="false" ht="15" hidden="false" customHeight="false" outlineLevel="0" collapsed="false">
      <c r="B7824" s="130" t="n">
        <v>2027</v>
      </c>
      <c r="C7824" s="131" t="s">
        <v>253</v>
      </c>
      <c r="D7824" s="132" t="n">
        <v>46695</v>
      </c>
      <c r="E7824" s="131" t="s">
        <v>25</v>
      </c>
      <c r="F7824" s="133" t="s">
        <v>19</v>
      </c>
      <c r="G7824" s="134" t="n">
        <f aca="false">LEN('Saisie programme'!$G$293)+SUMIFS('Vols additionnels'!$E$7:$E$66,'Vols additionnels'!$C$7:$C$66,$E7824,'Vols additionnels'!$D$7:$D$66,$F7824,'Vols additionnels'!$B$7:$B$66,$D7824)</f>
        <v>0</v>
      </c>
      <c r="H7824" s="135" t="n">
        <f aca="false">$G7824*'Analyse capacite'!$F$8</f>
        <v>0</v>
      </c>
      <c r="I7824" s="135" t="n">
        <f aca="false">$G7824*'Analyse capacite'!$C$8</f>
        <v>0</v>
      </c>
      <c r="J7824" s="135" t="n">
        <f aca="false">$G7824*'Analyse capacite'!$D$8</f>
        <v>0</v>
      </c>
      <c r="K7824" s="135" t="n">
        <f aca="false">$G7824*'Analyse capacite'!$E$8</f>
        <v>0</v>
      </c>
    </row>
    <row r="7825" customFormat="false" ht="15" hidden="false" customHeight="false" outlineLevel="0" collapsed="false">
      <c r="B7825" s="130" t="n">
        <v>2027</v>
      </c>
      <c r="C7825" s="131" t="s">
        <v>253</v>
      </c>
      <c r="D7825" s="132" t="n">
        <v>46695</v>
      </c>
      <c r="E7825" s="131" t="s">
        <v>25</v>
      </c>
      <c r="F7825" s="133" t="s">
        <v>24</v>
      </c>
      <c r="G7825" s="134" t="n">
        <f aca="false">LEN('Saisie programme'!$G$294)+SUMIFS('Vols additionnels'!$E$7:$E$66,'Vols additionnels'!$C$7:$C$66,$E7825,'Vols additionnels'!$D$7:$D$66,$F7825,'Vols additionnels'!$B$7:$B$66,$D7825)</f>
        <v>0</v>
      </c>
      <c r="H7825" s="135" t="n">
        <f aca="false">$G7825*'Analyse capacite'!$F$9</f>
        <v>0</v>
      </c>
      <c r="I7825" s="135" t="n">
        <f aca="false">$G7825*'Analyse capacite'!$C$9</f>
        <v>0</v>
      </c>
      <c r="J7825" s="135" t="n">
        <f aca="false">$G7825*'Analyse capacite'!$D$9</f>
        <v>0</v>
      </c>
      <c r="K7825" s="135" t="n">
        <f aca="false">$G7825*'Analyse capacite'!$E$9</f>
        <v>0</v>
      </c>
    </row>
    <row r="7826" customFormat="false" ht="15" hidden="false" customHeight="false" outlineLevel="0" collapsed="false">
      <c r="B7826" s="130" t="n">
        <v>2027</v>
      </c>
      <c r="C7826" s="131" t="s">
        <v>253</v>
      </c>
      <c r="D7826" s="132" t="n">
        <v>46695</v>
      </c>
      <c r="E7826" s="131" t="s">
        <v>36</v>
      </c>
      <c r="F7826" s="133" t="s">
        <v>11</v>
      </c>
      <c r="G7826" s="134" t="n">
        <f aca="false">LEN('Saisie programme'!$G$295)+SUMIFS('Vols additionnels'!$E$7:$E$66,'Vols additionnels'!$C$7:$C$66,$E7826,'Vols additionnels'!$D$7:$D$66,$F7826,'Vols additionnels'!$B$7:$B$66,$D7826)</f>
        <v>0</v>
      </c>
      <c r="H7826" s="135" t="n">
        <f aca="false">$G7826*'Analyse capacite'!$F$7</f>
        <v>0</v>
      </c>
      <c r="I7826" s="135" t="n">
        <f aca="false">$G7826*'Analyse capacite'!$C$7</f>
        <v>0</v>
      </c>
      <c r="J7826" s="135" t="n">
        <f aca="false">$G7826*'Analyse capacite'!$D$7</f>
        <v>0</v>
      </c>
      <c r="K7826" s="135" t="n">
        <f aca="false">$G7826*'Analyse capacite'!$E$7</f>
        <v>0</v>
      </c>
    </row>
    <row r="7827" customFormat="false" ht="15" hidden="false" customHeight="false" outlineLevel="0" collapsed="false">
      <c r="B7827" s="130" t="n">
        <v>2027</v>
      </c>
      <c r="C7827" s="131" t="s">
        <v>253</v>
      </c>
      <c r="D7827" s="132" t="n">
        <v>46695</v>
      </c>
      <c r="E7827" s="131" t="s">
        <v>36</v>
      </c>
      <c r="F7827" s="133" t="s">
        <v>19</v>
      </c>
      <c r="G7827" s="134" t="n">
        <f aca="false">LEN('Saisie programme'!$G$296)+SUMIFS('Vols additionnels'!$E$7:$E$66,'Vols additionnels'!$C$7:$C$66,$E7827,'Vols additionnels'!$D$7:$D$66,$F7827,'Vols additionnels'!$B$7:$B$66,$D7827)</f>
        <v>0</v>
      </c>
      <c r="H7827" s="135" t="n">
        <f aca="false">$G7827*'Analyse capacite'!$F$8</f>
        <v>0</v>
      </c>
      <c r="I7827" s="135" t="n">
        <f aca="false">$G7827*'Analyse capacite'!$C$8</f>
        <v>0</v>
      </c>
      <c r="J7827" s="135" t="n">
        <f aca="false">$G7827*'Analyse capacite'!$D$8</f>
        <v>0</v>
      </c>
      <c r="K7827" s="135" t="n">
        <f aca="false">$G7827*'Analyse capacite'!$E$8</f>
        <v>0</v>
      </c>
    </row>
    <row r="7828" customFormat="false" ht="15" hidden="false" customHeight="false" outlineLevel="0" collapsed="false">
      <c r="B7828" s="130" t="n">
        <v>2027</v>
      </c>
      <c r="C7828" s="131" t="s">
        <v>253</v>
      </c>
      <c r="D7828" s="132" t="n">
        <v>46695</v>
      </c>
      <c r="E7828" s="131" t="s">
        <v>36</v>
      </c>
      <c r="F7828" s="133" t="s">
        <v>24</v>
      </c>
      <c r="G7828" s="134" t="n">
        <f aca="false">LEN('Saisie programme'!$G$297)+SUMIFS('Vols additionnels'!$E$7:$E$66,'Vols additionnels'!$C$7:$C$66,$E7828,'Vols additionnels'!$D$7:$D$66,$F7828,'Vols additionnels'!$B$7:$B$66,$D7828)</f>
        <v>1</v>
      </c>
      <c r="H7828" s="135" t="n">
        <f aca="false">$G7828*'Analyse capacite'!$F$9</f>
        <v>174</v>
      </c>
      <c r="I7828" s="135" t="n">
        <f aca="false">$G7828*'Analyse capacite'!$C$9</f>
        <v>0</v>
      </c>
      <c r="J7828" s="135" t="n">
        <f aca="false">$G7828*'Analyse capacite'!$D$9</f>
        <v>12</v>
      </c>
      <c r="K7828" s="135" t="n">
        <f aca="false">$G7828*'Analyse capacite'!$E$9</f>
        <v>162</v>
      </c>
    </row>
    <row r="7829" customFormat="false" ht="15" hidden="false" customHeight="false" outlineLevel="0" collapsed="false">
      <c r="B7829" s="130" t="n">
        <v>2027</v>
      </c>
      <c r="C7829" s="131" t="s">
        <v>253</v>
      </c>
      <c r="D7829" s="132" t="n">
        <v>46695</v>
      </c>
      <c r="E7829" s="131" t="s">
        <v>40</v>
      </c>
      <c r="F7829" s="133" t="s">
        <v>11</v>
      </c>
      <c r="G7829" s="134" t="n">
        <f aca="false">LEN('Saisie programme'!$G$298)+SUMIFS('Vols additionnels'!$E$7:$E$66,'Vols additionnels'!$C$7:$C$66,$E7829,'Vols additionnels'!$D$7:$D$66,$F7829,'Vols additionnels'!$B$7:$B$66,$D7829)</f>
        <v>0</v>
      </c>
      <c r="H7829" s="135" t="n">
        <f aca="false">$G7829*'Analyse capacite'!$F$7</f>
        <v>0</v>
      </c>
      <c r="I7829" s="135" t="n">
        <f aca="false">$G7829*'Analyse capacite'!$C$7</f>
        <v>0</v>
      </c>
      <c r="J7829" s="135" t="n">
        <f aca="false">$G7829*'Analyse capacite'!$D$7</f>
        <v>0</v>
      </c>
      <c r="K7829" s="135" t="n">
        <f aca="false">$G7829*'Analyse capacite'!$E$7</f>
        <v>0</v>
      </c>
    </row>
    <row r="7830" customFormat="false" ht="15" hidden="false" customHeight="false" outlineLevel="0" collapsed="false">
      <c r="B7830" s="130" t="n">
        <v>2027</v>
      </c>
      <c r="C7830" s="131" t="s">
        <v>253</v>
      </c>
      <c r="D7830" s="132" t="n">
        <v>46695</v>
      </c>
      <c r="E7830" s="131" t="s">
        <v>40</v>
      </c>
      <c r="F7830" s="133" t="s">
        <v>19</v>
      </c>
      <c r="G7830" s="134" t="n">
        <f aca="false">LEN('Saisie programme'!$G$299)+SUMIFS('Vols additionnels'!$E$7:$E$66,'Vols additionnels'!$C$7:$C$66,$E7830,'Vols additionnels'!$D$7:$D$66,$F7830,'Vols additionnels'!$B$7:$B$66,$D7830)</f>
        <v>0</v>
      </c>
      <c r="H7830" s="135" t="n">
        <f aca="false">$G7830*'Analyse capacite'!$F$8</f>
        <v>0</v>
      </c>
      <c r="I7830" s="135" t="n">
        <f aca="false">$G7830*'Analyse capacite'!$C$8</f>
        <v>0</v>
      </c>
      <c r="J7830" s="135" t="n">
        <f aca="false">$G7830*'Analyse capacite'!$D$8</f>
        <v>0</v>
      </c>
      <c r="K7830" s="135" t="n">
        <f aca="false">$G7830*'Analyse capacite'!$E$8</f>
        <v>0</v>
      </c>
    </row>
    <row r="7831" customFormat="false" ht="15" hidden="false" customHeight="false" outlineLevel="0" collapsed="false">
      <c r="B7831" s="130" t="n">
        <v>2027</v>
      </c>
      <c r="C7831" s="131" t="s">
        <v>253</v>
      </c>
      <c r="D7831" s="132" t="n">
        <v>46695</v>
      </c>
      <c r="E7831" s="131" t="s">
        <v>40</v>
      </c>
      <c r="F7831" s="133" t="s">
        <v>24</v>
      </c>
      <c r="G7831" s="134" t="n">
        <f aca="false">LEN('Saisie programme'!$G$300)+SUMIFS('Vols additionnels'!$E$7:$E$66,'Vols additionnels'!$C$7:$C$66,$E7831,'Vols additionnels'!$D$7:$D$66,$F7831,'Vols additionnels'!$B$7:$B$66,$D7831)</f>
        <v>0</v>
      </c>
      <c r="H7831" s="135" t="n">
        <f aca="false">$G7831*'Analyse capacite'!$F$9</f>
        <v>0</v>
      </c>
      <c r="I7831" s="135" t="n">
        <f aca="false">$G7831*'Analyse capacite'!$C$9</f>
        <v>0</v>
      </c>
      <c r="J7831" s="135" t="n">
        <f aca="false">$G7831*'Analyse capacite'!$D$9</f>
        <v>0</v>
      </c>
      <c r="K7831" s="135" t="n">
        <f aca="false">$G7831*'Analyse capacite'!$E$9</f>
        <v>0</v>
      </c>
    </row>
    <row r="7832" customFormat="false" ht="15" hidden="false" customHeight="false" outlineLevel="0" collapsed="false">
      <c r="B7832" s="130" t="n">
        <v>2027</v>
      </c>
      <c r="C7832" s="131" t="s">
        <v>253</v>
      </c>
      <c r="D7832" s="132" t="n">
        <v>46695</v>
      </c>
      <c r="E7832" s="131" t="s">
        <v>14</v>
      </c>
      <c r="F7832" s="133" t="s">
        <v>11</v>
      </c>
      <c r="G7832" s="134" t="n">
        <f aca="false">LEN('Saisie programme'!$G$301)+SUMIFS('Vols additionnels'!$E$7:$E$66,'Vols additionnels'!$C$7:$C$66,$E7832,'Vols additionnels'!$D$7:$D$66,$F7832,'Vols additionnels'!$B$7:$B$66,$D7832)</f>
        <v>0</v>
      </c>
      <c r="H7832" s="135" t="n">
        <f aca="false">$G7832*'Analyse capacite'!$F$7</f>
        <v>0</v>
      </c>
      <c r="I7832" s="135" t="n">
        <f aca="false">$G7832*'Analyse capacite'!$C$7</f>
        <v>0</v>
      </c>
      <c r="J7832" s="135" t="n">
        <f aca="false">$G7832*'Analyse capacite'!$D$7</f>
        <v>0</v>
      </c>
      <c r="K7832" s="135" t="n">
        <f aca="false">$G7832*'Analyse capacite'!$E$7</f>
        <v>0</v>
      </c>
    </row>
    <row r="7833" customFormat="false" ht="15" hidden="false" customHeight="false" outlineLevel="0" collapsed="false">
      <c r="B7833" s="130" t="n">
        <v>2027</v>
      </c>
      <c r="C7833" s="131" t="s">
        <v>253</v>
      </c>
      <c r="D7833" s="132" t="n">
        <v>46695</v>
      </c>
      <c r="E7833" s="131" t="s">
        <v>14</v>
      </c>
      <c r="F7833" s="133" t="s">
        <v>19</v>
      </c>
      <c r="G7833" s="134" t="n">
        <f aca="false">LEN('Saisie programme'!$G$302)+SUMIFS('Vols additionnels'!$E$7:$E$66,'Vols additionnels'!$C$7:$C$66,$E7833,'Vols additionnels'!$D$7:$D$66,$F7833,'Vols additionnels'!$B$7:$B$66,$D7833)</f>
        <v>0</v>
      </c>
      <c r="H7833" s="135" t="n">
        <f aca="false">$G7833*'Analyse capacite'!$F$8</f>
        <v>0</v>
      </c>
      <c r="I7833" s="135" t="n">
        <f aca="false">$G7833*'Analyse capacite'!$C$8</f>
        <v>0</v>
      </c>
      <c r="J7833" s="135" t="n">
        <f aca="false">$G7833*'Analyse capacite'!$D$8</f>
        <v>0</v>
      </c>
      <c r="K7833" s="135" t="n">
        <f aca="false">$G7833*'Analyse capacite'!$E$8</f>
        <v>0</v>
      </c>
    </row>
    <row r="7834" customFormat="false" ht="15" hidden="false" customHeight="false" outlineLevel="0" collapsed="false">
      <c r="B7834" s="130" t="n">
        <v>2027</v>
      </c>
      <c r="C7834" s="131" t="s">
        <v>253</v>
      </c>
      <c r="D7834" s="132" t="n">
        <v>46695</v>
      </c>
      <c r="E7834" s="131" t="s">
        <v>14</v>
      </c>
      <c r="F7834" s="133" t="s">
        <v>24</v>
      </c>
      <c r="G7834" s="134" t="n">
        <f aca="false">LEN('Saisie programme'!$G$303)+SUMIFS('Vols additionnels'!$E$7:$E$66,'Vols additionnels'!$C$7:$C$66,$E7834,'Vols additionnels'!$D$7:$D$66,$F7834,'Vols additionnels'!$B$7:$B$66,$D7834)</f>
        <v>1</v>
      </c>
      <c r="H7834" s="135" t="n">
        <f aca="false">$G7834*'Analyse capacite'!$F$9</f>
        <v>174</v>
      </c>
      <c r="I7834" s="135" t="n">
        <f aca="false">$G7834*'Analyse capacite'!$C$9</f>
        <v>0</v>
      </c>
      <c r="J7834" s="135" t="n">
        <f aca="false">$G7834*'Analyse capacite'!$D$9</f>
        <v>12</v>
      </c>
      <c r="K7834" s="135" t="n">
        <f aca="false">$G7834*'Analyse capacite'!$E$9</f>
        <v>162</v>
      </c>
    </row>
    <row r="7835" customFormat="false" ht="15" hidden="false" customHeight="false" outlineLevel="0" collapsed="false">
      <c r="B7835" s="130" t="n">
        <v>2027</v>
      </c>
      <c r="C7835" s="131" t="s">
        <v>253</v>
      </c>
      <c r="D7835" s="132" t="n">
        <v>46695</v>
      </c>
      <c r="E7835" s="131" t="s">
        <v>46</v>
      </c>
      <c r="F7835" s="133" t="s">
        <v>11</v>
      </c>
      <c r="G7835" s="134" t="n">
        <f aca="false">LEN('Saisie programme'!$G$304)+SUMIFS('Vols additionnels'!$E$7:$E$66,'Vols additionnels'!$C$7:$C$66,$E7835,'Vols additionnels'!$D$7:$D$66,$F7835,'Vols additionnels'!$B$7:$B$66,$D7835)</f>
        <v>0</v>
      </c>
      <c r="H7835" s="135" t="n">
        <f aca="false">$G7835*'Analyse capacite'!$F$7</f>
        <v>0</v>
      </c>
      <c r="I7835" s="135" t="n">
        <f aca="false">$G7835*'Analyse capacite'!$C$7</f>
        <v>0</v>
      </c>
      <c r="J7835" s="135" t="n">
        <f aca="false">$G7835*'Analyse capacite'!$D$7</f>
        <v>0</v>
      </c>
      <c r="K7835" s="135" t="n">
        <f aca="false">$G7835*'Analyse capacite'!$E$7</f>
        <v>0</v>
      </c>
    </row>
    <row r="7836" customFormat="false" ht="15" hidden="false" customHeight="false" outlineLevel="0" collapsed="false">
      <c r="B7836" s="130" t="n">
        <v>2027</v>
      </c>
      <c r="C7836" s="131" t="s">
        <v>253</v>
      </c>
      <c r="D7836" s="132" t="n">
        <v>46695</v>
      </c>
      <c r="E7836" s="131" t="s">
        <v>46</v>
      </c>
      <c r="F7836" s="133" t="s">
        <v>19</v>
      </c>
      <c r="G7836" s="134" t="n">
        <f aca="false">LEN('Saisie programme'!$G$305)+SUMIFS('Vols additionnels'!$E$7:$E$66,'Vols additionnels'!$C$7:$C$66,$E7836,'Vols additionnels'!$D$7:$D$66,$F7836,'Vols additionnels'!$B$7:$B$66,$D7836)</f>
        <v>0</v>
      </c>
      <c r="H7836" s="135" t="n">
        <f aca="false">$G7836*'Analyse capacite'!$F$8</f>
        <v>0</v>
      </c>
      <c r="I7836" s="135" t="n">
        <f aca="false">$G7836*'Analyse capacite'!$C$8</f>
        <v>0</v>
      </c>
      <c r="J7836" s="135" t="n">
        <f aca="false">$G7836*'Analyse capacite'!$D$8</f>
        <v>0</v>
      </c>
      <c r="K7836" s="135" t="n">
        <f aca="false">$G7836*'Analyse capacite'!$E$8</f>
        <v>0</v>
      </c>
    </row>
    <row r="7837" customFormat="false" ht="15" hidden="false" customHeight="false" outlineLevel="0" collapsed="false">
      <c r="B7837" s="130" t="n">
        <v>2027</v>
      </c>
      <c r="C7837" s="131" t="s">
        <v>253</v>
      </c>
      <c r="D7837" s="132" t="n">
        <v>46695</v>
      </c>
      <c r="E7837" s="131" t="s">
        <v>46</v>
      </c>
      <c r="F7837" s="133" t="s">
        <v>24</v>
      </c>
      <c r="G7837" s="134" t="n">
        <f aca="false">LEN('Saisie programme'!$G$306)+SUMIFS('Vols additionnels'!$E$7:$E$66,'Vols additionnels'!$C$7:$C$66,$E7837,'Vols additionnels'!$D$7:$D$66,$F7837,'Vols additionnels'!$B$7:$B$66,$D7837)</f>
        <v>1</v>
      </c>
      <c r="H7837" s="135" t="n">
        <f aca="false">$G7837*'Analyse capacite'!$F$9</f>
        <v>174</v>
      </c>
      <c r="I7837" s="135" t="n">
        <f aca="false">$G7837*'Analyse capacite'!$C$9</f>
        <v>0</v>
      </c>
      <c r="J7837" s="135" t="n">
        <f aca="false">$G7837*'Analyse capacite'!$D$9</f>
        <v>12</v>
      </c>
      <c r="K7837" s="135" t="n">
        <f aca="false">$G7837*'Analyse capacite'!$E$9</f>
        <v>162</v>
      </c>
    </row>
    <row r="7838" customFormat="false" ht="15" hidden="false" customHeight="false" outlineLevel="0" collapsed="false">
      <c r="B7838" s="130" t="n">
        <v>2027</v>
      </c>
      <c r="C7838" s="131" t="s">
        <v>253</v>
      </c>
      <c r="D7838" s="132" t="n">
        <v>46695</v>
      </c>
      <c r="E7838" s="131" t="s">
        <v>49</v>
      </c>
      <c r="F7838" s="133" t="s">
        <v>11</v>
      </c>
      <c r="G7838" s="134" t="n">
        <f aca="false">LEN('Saisie programme'!$G$307)+SUMIFS('Vols additionnels'!$E$7:$E$66,'Vols additionnels'!$C$7:$C$66,$E7838,'Vols additionnels'!$D$7:$D$66,$F7838,'Vols additionnels'!$B$7:$B$66,$D7838)</f>
        <v>0</v>
      </c>
      <c r="H7838" s="135" t="n">
        <f aca="false">$G7838*'Analyse capacite'!$F$7</f>
        <v>0</v>
      </c>
      <c r="I7838" s="135" t="n">
        <f aca="false">$G7838*'Analyse capacite'!$C$7</f>
        <v>0</v>
      </c>
      <c r="J7838" s="135" t="n">
        <f aca="false">$G7838*'Analyse capacite'!$D$7</f>
        <v>0</v>
      </c>
      <c r="K7838" s="135" t="n">
        <f aca="false">$G7838*'Analyse capacite'!$E$7</f>
        <v>0</v>
      </c>
    </row>
    <row r="7839" customFormat="false" ht="15" hidden="false" customHeight="false" outlineLevel="0" collapsed="false">
      <c r="B7839" s="130" t="n">
        <v>2027</v>
      </c>
      <c r="C7839" s="131" t="s">
        <v>253</v>
      </c>
      <c r="D7839" s="132" t="n">
        <v>46695</v>
      </c>
      <c r="E7839" s="131" t="s">
        <v>49</v>
      </c>
      <c r="F7839" s="133" t="s">
        <v>19</v>
      </c>
      <c r="G7839" s="134" t="n">
        <f aca="false">LEN('Saisie programme'!$G$308)+SUMIFS('Vols additionnels'!$E$7:$E$66,'Vols additionnels'!$C$7:$C$66,$E7839,'Vols additionnels'!$D$7:$D$66,$F7839,'Vols additionnels'!$B$7:$B$66,$D7839)</f>
        <v>0</v>
      </c>
      <c r="H7839" s="135" t="n">
        <f aca="false">$G7839*'Analyse capacite'!$F$8</f>
        <v>0</v>
      </c>
      <c r="I7839" s="135" t="n">
        <f aca="false">$G7839*'Analyse capacite'!$C$8</f>
        <v>0</v>
      </c>
      <c r="J7839" s="135" t="n">
        <f aca="false">$G7839*'Analyse capacite'!$D$8</f>
        <v>0</v>
      </c>
      <c r="K7839" s="135" t="n">
        <f aca="false">$G7839*'Analyse capacite'!$E$8</f>
        <v>0</v>
      </c>
    </row>
    <row r="7840" customFormat="false" ht="15" hidden="false" customHeight="false" outlineLevel="0" collapsed="false">
      <c r="B7840" s="130" t="n">
        <v>2027</v>
      </c>
      <c r="C7840" s="131" t="s">
        <v>253</v>
      </c>
      <c r="D7840" s="132" t="n">
        <v>46695</v>
      </c>
      <c r="E7840" s="131" t="s">
        <v>49</v>
      </c>
      <c r="F7840" s="133" t="s">
        <v>24</v>
      </c>
      <c r="G7840" s="134" t="n">
        <f aca="false">LEN('Saisie programme'!$G$309)+SUMIFS('Vols additionnels'!$E$7:$E$66,'Vols additionnels'!$C$7:$C$66,$E7840,'Vols additionnels'!$D$7:$D$66,$F7840,'Vols additionnels'!$B$7:$B$66,$D7840)</f>
        <v>0</v>
      </c>
      <c r="H7840" s="135" t="n">
        <f aca="false">$G7840*'Analyse capacite'!$F$9</f>
        <v>0</v>
      </c>
      <c r="I7840" s="135" t="n">
        <f aca="false">$G7840*'Analyse capacite'!$C$9</f>
        <v>0</v>
      </c>
      <c r="J7840" s="135" t="n">
        <f aca="false">$G7840*'Analyse capacite'!$D$9</f>
        <v>0</v>
      </c>
      <c r="K7840" s="135" t="n">
        <f aca="false">$G7840*'Analyse capacite'!$E$9</f>
        <v>0</v>
      </c>
    </row>
    <row r="7841" customFormat="false" ht="15" hidden="false" customHeight="false" outlineLevel="0" collapsed="false">
      <c r="B7841" s="130" t="n">
        <v>2027</v>
      </c>
      <c r="C7841" s="131" t="s">
        <v>253</v>
      </c>
      <c r="D7841" s="132" t="n">
        <v>46695</v>
      </c>
      <c r="E7841" s="131" t="s">
        <v>53</v>
      </c>
      <c r="F7841" s="133" t="s">
        <v>11</v>
      </c>
      <c r="G7841" s="134" t="n">
        <f aca="false">LEN('Saisie programme'!$G$310)+SUMIFS('Vols additionnels'!$E$7:$E$66,'Vols additionnels'!$C$7:$C$66,$E7841,'Vols additionnels'!$D$7:$D$66,$F7841,'Vols additionnels'!$B$7:$B$66,$D7841)</f>
        <v>0</v>
      </c>
      <c r="H7841" s="135" t="n">
        <f aca="false">$G7841*'Analyse capacite'!$F$7</f>
        <v>0</v>
      </c>
      <c r="I7841" s="135" t="n">
        <f aca="false">$G7841*'Analyse capacite'!$C$7</f>
        <v>0</v>
      </c>
      <c r="J7841" s="135" t="n">
        <f aca="false">$G7841*'Analyse capacite'!$D$7</f>
        <v>0</v>
      </c>
      <c r="K7841" s="135" t="n">
        <f aca="false">$G7841*'Analyse capacite'!$E$7</f>
        <v>0</v>
      </c>
    </row>
    <row r="7842" customFormat="false" ht="15" hidden="false" customHeight="false" outlineLevel="0" collapsed="false">
      <c r="B7842" s="130" t="n">
        <v>2027</v>
      </c>
      <c r="C7842" s="131" t="s">
        <v>253</v>
      </c>
      <c r="D7842" s="132" t="n">
        <v>46695</v>
      </c>
      <c r="E7842" s="131" t="s">
        <v>53</v>
      </c>
      <c r="F7842" s="133" t="s">
        <v>19</v>
      </c>
      <c r="G7842" s="134" t="n">
        <f aca="false">LEN('Saisie programme'!$G$311)+SUMIFS('Vols additionnels'!$E$7:$E$66,'Vols additionnels'!$C$7:$C$66,$E7842,'Vols additionnels'!$D$7:$D$66,$F7842,'Vols additionnels'!$B$7:$B$66,$D7842)</f>
        <v>1</v>
      </c>
      <c r="H7842" s="135" t="n">
        <f aca="false">$G7842*'Analyse capacite'!$F$8</f>
        <v>262</v>
      </c>
      <c r="I7842" s="135" t="n">
        <f aca="false">$G7842*'Analyse capacite'!$C$8</f>
        <v>18</v>
      </c>
      <c r="J7842" s="135" t="n">
        <f aca="false">$G7842*'Analyse capacite'!$D$8</f>
        <v>0</v>
      </c>
      <c r="K7842" s="135" t="n">
        <f aca="false">$G7842*'Analyse capacite'!$E$8</f>
        <v>244</v>
      </c>
    </row>
    <row r="7843" customFormat="false" ht="15" hidden="false" customHeight="false" outlineLevel="0" collapsed="false">
      <c r="B7843" s="130" t="n">
        <v>2027</v>
      </c>
      <c r="C7843" s="131" t="s">
        <v>253</v>
      </c>
      <c r="D7843" s="132" t="n">
        <v>46695</v>
      </c>
      <c r="E7843" s="131" t="s">
        <v>53</v>
      </c>
      <c r="F7843" s="133" t="s">
        <v>24</v>
      </c>
      <c r="G7843" s="134" t="n">
        <f aca="false">LEN('Saisie programme'!$G$312)+SUMIFS('Vols additionnels'!$E$7:$E$66,'Vols additionnels'!$C$7:$C$66,$E7843,'Vols additionnels'!$D$7:$D$66,$F7843,'Vols additionnels'!$B$7:$B$66,$D7843)</f>
        <v>0</v>
      </c>
      <c r="H7843" s="135" t="n">
        <f aca="false">$G7843*'Analyse capacite'!$F$9</f>
        <v>0</v>
      </c>
      <c r="I7843" s="135" t="n">
        <f aca="false">$G7843*'Analyse capacite'!$C$9</f>
        <v>0</v>
      </c>
      <c r="J7843" s="135" t="n">
        <f aca="false">$G7843*'Analyse capacite'!$D$9</f>
        <v>0</v>
      </c>
      <c r="K7843" s="135" t="n">
        <f aca="false">$G7843*'Analyse capacite'!$E$9</f>
        <v>0</v>
      </c>
    </row>
    <row r="7844" customFormat="false" ht="15" hidden="false" customHeight="false" outlineLevel="0" collapsed="false">
      <c r="B7844" s="130" t="n">
        <v>2027</v>
      </c>
      <c r="C7844" s="131" t="s">
        <v>253</v>
      </c>
      <c r="D7844" s="132" t="n">
        <v>46695</v>
      </c>
      <c r="E7844" s="131" t="s">
        <v>56</v>
      </c>
      <c r="F7844" s="133" t="s">
        <v>11</v>
      </c>
      <c r="G7844" s="134" t="n">
        <f aca="false">LEN('Saisie programme'!$G$313)+SUMIFS('Vols additionnels'!$E$7:$E$66,'Vols additionnels'!$C$7:$C$66,$E7844,'Vols additionnels'!$D$7:$D$66,$F7844,'Vols additionnels'!$B$7:$B$66,$D7844)</f>
        <v>0</v>
      </c>
      <c r="H7844" s="135" t="n">
        <f aca="false">$G7844*'Analyse capacite'!$F$7</f>
        <v>0</v>
      </c>
      <c r="I7844" s="135" t="n">
        <f aca="false">$G7844*'Analyse capacite'!$C$7</f>
        <v>0</v>
      </c>
      <c r="J7844" s="135" t="n">
        <f aca="false">$G7844*'Analyse capacite'!$D$7</f>
        <v>0</v>
      </c>
      <c r="K7844" s="135" t="n">
        <f aca="false">$G7844*'Analyse capacite'!$E$7</f>
        <v>0</v>
      </c>
    </row>
    <row r="7845" customFormat="false" ht="15" hidden="false" customHeight="false" outlineLevel="0" collapsed="false">
      <c r="B7845" s="130" t="n">
        <v>2027</v>
      </c>
      <c r="C7845" s="131" t="s">
        <v>253</v>
      </c>
      <c r="D7845" s="132" t="n">
        <v>46695</v>
      </c>
      <c r="E7845" s="131" t="s">
        <v>56</v>
      </c>
      <c r="F7845" s="133" t="s">
        <v>19</v>
      </c>
      <c r="G7845" s="134" t="n">
        <f aca="false">LEN('Saisie programme'!$G$314)+SUMIFS('Vols additionnels'!$E$7:$E$66,'Vols additionnels'!$C$7:$C$66,$E7845,'Vols additionnels'!$D$7:$D$66,$F7845,'Vols additionnels'!$B$7:$B$66,$D7845)</f>
        <v>0</v>
      </c>
      <c r="H7845" s="135" t="n">
        <f aca="false">$G7845*'Analyse capacite'!$F$8</f>
        <v>0</v>
      </c>
      <c r="I7845" s="135" t="n">
        <f aca="false">$G7845*'Analyse capacite'!$C$8</f>
        <v>0</v>
      </c>
      <c r="J7845" s="135" t="n">
        <f aca="false">$G7845*'Analyse capacite'!$D$8</f>
        <v>0</v>
      </c>
      <c r="K7845" s="135" t="n">
        <f aca="false">$G7845*'Analyse capacite'!$E$8</f>
        <v>0</v>
      </c>
    </row>
    <row r="7846" customFormat="false" ht="15" hidden="false" customHeight="false" outlineLevel="0" collapsed="false">
      <c r="B7846" s="130" t="n">
        <v>2027</v>
      </c>
      <c r="C7846" s="131" t="s">
        <v>253</v>
      </c>
      <c r="D7846" s="132" t="n">
        <v>46695</v>
      </c>
      <c r="E7846" s="131" t="s">
        <v>56</v>
      </c>
      <c r="F7846" s="133" t="s">
        <v>24</v>
      </c>
      <c r="G7846" s="134" t="n">
        <f aca="false">LEN('Saisie programme'!$G$315)+SUMIFS('Vols additionnels'!$E$7:$E$66,'Vols additionnels'!$C$7:$C$66,$E7846,'Vols additionnels'!$D$7:$D$66,$F7846,'Vols additionnels'!$B$7:$B$66,$D7846)</f>
        <v>0</v>
      </c>
      <c r="H7846" s="135" t="n">
        <f aca="false">$G7846*'Analyse capacite'!$F$9</f>
        <v>0</v>
      </c>
      <c r="I7846" s="135" t="n">
        <f aca="false">$G7846*'Analyse capacite'!$C$9</f>
        <v>0</v>
      </c>
      <c r="J7846" s="135" t="n">
        <f aca="false">$G7846*'Analyse capacite'!$D$9</f>
        <v>0</v>
      </c>
      <c r="K7846" s="135" t="n">
        <f aca="false">$G7846*'Analyse capacite'!$E$9</f>
        <v>0</v>
      </c>
    </row>
    <row r="7847" customFormat="false" ht="15" hidden="false" customHeight="false" outlineLevel="0" collapsed="false">
      <c r="B7847" s="130" t="n">
        <v>2027</v>
      </c>
      <c r="C7847" s="131" t="s">
        <v>253</v>
      </c>
      <c r="D7847" s="132" t="n">
        <v>46695</v>
      </c>
      <c r="E7847" s="131" t="s">
        <v>59</v>
      </c>
      <c r="F7847" s="133" t="s">
        <v>11</v>
      </c>
      <c r="G7847" s="134" t="n">
        <f aca="false">LEN('Saisie programme'!$G$316)+SUMIFS('Vols additionnels'!$E$7:$E$66,'Vols additionnels'!$C$7:$C$66,$E7847,'Vols additionnels'!$D$7:$D$66,$F7847,'Vols additionnels'!$B$7:$B$66,$D7847)</f>
        <v>0</v>
      </c>
      <c r="H7847" s="135" t="n">
        <f aca="false">$G7847*'Analyse capacite'!$F$7</f>
        <v>0</v>
      </c>
      <c r="I7847" s="135" t="n">
        <f aca="false">$G7847*'Analyse capacite'!$C$7</f>
        <v>0</v>
      </c>
      <c r="J7847" s="135" t="n">
        <f aca="false">$G7847*'Analyse capacite'!$D$7</f>
        <v>0</v>
      </c>
      <c r="K7847" s="135" t="n">
        <f aca="false">$G7847*'Analyse capacite'!$E$7</f>
        <v>0</v>
      </c>
    </row>
    <row r="7848" customFormat="false" ht="15" hidden="false" customHeight="false" outlineLevel="0" collapsed="false">
      <c r="B7848" s="130" t="n">
        <v>2027</v>
      </c>
      <c r="C7848" s="131" t="s">
        <v>253</v>
      </c>
      <c r="D7848" s="132" t="n">
        <v>46695</v>
      </c>
      <c r="E7848" s="131" t="s">
        <v>59</v>
      </c>
      <c r="F7848" s="133" t="s">
        <v>19</v>
      </c>
      <c r="G7848" s="134" t="n">
        <f aca="false">LEN('Saisie programme'!$G$317)+SUMIFS('Vols additionnels'!$E$7:$E$66,'Vols additionnels'!$C$7:$C$66,$E7848,'Vols additionnels'!$D$7:$D$66,$F7848,'Vols additionnels'!$B$7:$B$66,$D7848)</f>
        <v>0</v>
      </c>
      <c r="H7848" s="135" t="n">
        <f aca="false">$G7848*'Analyse capacite'!$F$8</f>
        <v>0</v>
      </c>
      <c r="I7848" s="135" t="n">
        <f aca="false">$G7848*'Analyse capacite'!$C$8</f>
        <v>0</v>
      </c>
      <c r="J7848" s="135" t="n">
        <f aca="false">$G7848*'Analyse capacite'!$D$8</f>
        <v>0</v>
      </c>
      <c r="K7848" s="135" t="n">
        <f aca="false">$G7848*'Analyse capacite'!$E$8</f>
        <v>0</v>
      </c>
    </row>
    <row r="7849" customFormat="false" ht="15" hidden="false" customHeight="false" outlineLevel="0" collapsed="false">
      <c r="B7849" s="130" t="n">
        <v>2027</v>
      </c>
      <c r="C7849" s="131" t="s">
        <v>253</v>
      </c>
      <c r="D7849" s="132" t="n">
        <v>46695</v>
      </c>
      <c r="E7849" s="131" t="s">
        <v>59</v>
      </c>
      <c r="F7849" s="133" t="s">
        <v>24</v>
      </c>
      <c r="G7849" s="134" t="n">
        <f aca="false">LEN('Saisie programme'!$G$318)+SUMIFS('Vols additionnels'!$E$7:$E$66,'Vols additionnels'!$C$7:$C$66,$E7849,'Vols additionnels'!$D$7:$D$66,$F7849,'Vols additionnels'!$B$7:$B$66,$D7849)</f>
        <v>2</v>
      </c>
      <c r="H7849" s="135" t="n">
        <f aca="false">$G7849*'Analyse capacite'!$F$9</f>
        <v>348</v>
      </c>
      <c r="I7849" s="135" t="n">
        <f aca="false">$G7849*'Analyse capacite'!$C$9</f>
        <v>0</v>
      </c>
      <c r="J7849" s="135" t="n">
        <f aca="false">$G7849*'Analyse capacite'!$D$9</f>
        <v>24</v>
      </c>
      <c r="K7849" s="135" t="n">
        <f aca="false">$G7849*'Analyse capacite'!$E$9</f>
        <v>324</v>
      </c>
    </row>
    <row r="7850" customFormat="false" ht="15" hidden="false" customHeight="false" outlineLevel="0" collapsed="false">
      <c r="B7850" s="130" t="n">
        <v>2027</v>
      </c>
      <c r="C7850" s="131" t="s">
        <v>253</v>
      </c>
      <c r="D7850" s="132" t="n">
        <v>46695</v>
      </c>
      <c r="E7850" s="131" t="s">
        <v>62</v>
      </c>
      <c r="F7850" s="133" t="s">
        <v>11</v>
      </c>
      <c r="G7850" s="134" t="n">
        <f aca="false">LEN('Saisie programme'!$G$319)+SUMIFS('Vols additionnels'!$E$7:$E$66,'Vols additionnels'!$C$7:$C$66,$E7850,'Vols additionnels'!$D$7:$D$66,$F7850,'Vols additionnels'!$B$7:$B$66,$D7850)</f>
        <v>0</v>
      </c>
      <c r="H7850" s="135" t="n">
        <f aca="false">$G7850*'Analyse capacite'!$F$7</f>
        <v>0</v>
      </c>
      <c r="I7850" s="135" t="n">
        <f aca="false">$G7850*'Analyse capacite'!$C$7</f>
        <v>0</v>
      </c>
      <c r="J7850" s="135" t="n">
        <f aca="false">$G7850*'Analyse capacite'!$D$7</f>
        <v>0</v>
      </c>
      <c r="K7850" s="135" t="n">
        <f aca="false">$G7850*'Analyse capacite'!$E$7</f>
        <v>0</v>
      </c>
    </row>
    <row r="7851" customFormat="false" ht="15" hidden="false" customHeight="false" outlineLevel="0" collapsed="false">
      <c r="B7851" s="130" t="n">
        <v>2027</v>
      </c>
      <c r="C7851" s="131" t="s">
        <v>253</v>
      </c>
      <c r="D7851" s="132" t="n">
        <v>46695</v>
      </c>
      <c r="E7851" s="131" t="s">
        <v>62</v>
      </c>
      <c r="F7851" s="133" t="s">
        <v>19</v>
      </c>
      <c r="G7851" s="134" t="n">
        <f aca="false">LEN('Saisie programme'!$G$320)+SUMIFS('Vols additionnels'!$E$7:$E$66,'Vols additionnels'!$C$7:$C$66,$E7851,'Vols additionnels'!$D$7:$D$66,$F7851,'Vols additionnels'!$B$7:$B$66,$D7851)</f>
        <v>0</v>
      </c>
      <c r="H7851" s="135" t="n">
        <f aca="false">$G7851*'Analyse capacite'!$F$8</f>
        <v>0</v>
      </c>
      <c r="I7851" s="135" t="n">
        <f aca="false">$G7851*'Analyse capacite'!$C$8</f>
        <v>0</v>
      </c>
      <c r="J7851" s="135" t="n">
        <f aca="false">$G7851*'Analyse capacite'!$D$8</f>
        <v>0</v>
      </c>
      <c r="K7851" s="135" t="n">
        <f aca="false">$G7851*'Analyse capacite'!$E$8</f>
        <v>0</v>
      </c>
    </row>
    <row r="7852" customFormat="false" ht="15" hidden="false" customHeight="false" outlineLevel="0" collapsed="false">
      <c r="B7852" s="130" t="n">
        <v>2027</v>
      </c>
      <c r="C7852" s="131" t="s">
        <v>253</v>
      </c>
      <c r="D7852" s="132" t="n">
        <v>46695</v>
      </c>
      <c r="E7852" s="131" t="s">
        <v>62</v>
      </c>
      <c r="F7852" s="133" t="s">
        <v>24</v>
      </c>
      <c r="G7852" s="134" t="n">
        <f aca="false">LEN('Saisie programme'!$G$321)+SUMIFS('Vols additionnels'!$E$7:$E$66,'Vols additionnels'!$C$7:$C$66,$E7852,'Vols additionnels'!$D$7:$D$66,$F7852,'Vols additionnels'!$B$7:$B$66,$D7852)</f>
        <v>0</v>
      </c>
      <c r="H7852" s="135" t="n">
        <f aca="false">$G7852*'Analyse capacite'!$F$9</f>
        <v>0</v>
      </c>
      <c r="I7852" s="135" t="n">
        <f aca="false">$G7852*'Analyse capacite'!$C$9</f>
        <v>0</v>
      </c>
      <c r="J7852" s="135" t="n">
        <f aca="false">$G7852*'Analyse capacite'!$D$9</f>
        <v>0</v>
      </c>
      <c r="K7852" s="135" t="n">
        <f aca="false">$G7852*'Analyse capacite'!$E$9</f>
        <v>0</v>
      </c>
    </row>
    <row r="7853" customFormat="false" ht="15" hidden="false" customHeight="false" outlineLevel="0" collapsed="false">
      <c r="B7853" s="130" t="n">
        <v>2027</v>
      </c>
      <c r="C7853" s="131" t="s">
        <v>253</v>
      </c>
      <c r="D7853" s="132" t="n">
        <v>46696</v>
      </c>
      <c r="E7853" s="131" t="s">
        <v>12</v>
      </c>
      <c r="F7853" s="133" t="s">
        <v>11</v>
      </c>
      <c r="G7853" s="134" t="n">
        <f aca="false">LEN('Saisie programme'!$H$286)+SUMIFS('Vols additionnels'!$E$7:$E$66,'Vols additionnels'!$C$7:$C$66,$E7853,'Vols additionnels'!$D$7:$D$66,$F7853,'Vols additionnels'!$B$7:$B$66,$D7853)</f>
        <v>1</v>
      </c>
      <c r="H7853" s="135" t="n">
        <f aca="false">$G7853*'Analyse capacite'!$F$7</f>
        <v>438</v>
      </c>
      <c r="I7853" s="135" t="n">
        <f aca="false">$G7853*'Analyse capacite'!$C$7</f>
        <v>14</v>
      </c>
      <c r="J7853" s="135" t="n">
        <f aca="false">$G7853*'Analyse capacite'!$D$7</f>
        <v>40</v>
      </c>
      <c r="K7853" s="135" t="n">
        <f aca="false">$G7853*'Analyse capacite'!$E$7</f>
        <v>384</v>
      </c>
    </row>
    <row r="7854" customFormat="false" ht="15" hidden="false" customHeight="false" outlineLevel="0" collapsed="false">
      <c r="B7854" s="130" t="n">
        <v>2027</v>
      </c>
      <c r="C7854" s="131" t="s">
        <v>253</v>
      </c>
      <c r="D7854" s="132" t="n">
        <v>46696</v>
      </c>
      <c r="E7854" s="131" t="s">
        <v>12</v>
      </c>
      <c r="F7854" s="133" t="s">
        <v>19</v>
      </c>
      <c r="G7854" s="134" t="n">
        <f aca="false">LEN('Saisie programme'!$H$287)+SUMIFS('Vols additionnels'!$E$7:$E$66,'Vols additionnels'!$C$7:$C$66,$E7854,'Vols additionnels'!$D$7:$D$66,$F7854,'Vols additionnels'!$B$7:$B$66,$D7854)</f>
        <v>1</v>
      </c>
      <c r="H7854" s="135" t="n">
        <f aca="false">$G7854*'Analyse capacite'!$F$8</f>
        <v>262</v>
      </c>
      <c r="I7854" s="135" t="n">
        <f aca="false">$G7854*'Analyse capacite'!$C$8</f>
        <v>18</v>
      </c>
      <c r="J7854" s="135" t="n">
        <f aca="false">$G7854*'Analyse capacite'!$D$8</f>
        <v>0</v>
      </c>
      <c r="K7854" s="135" t="n">
        <f aca="false">$G7854*'Analyse capacite'!$E$8</f>
        <v>244</v>
      </c>
    </row>
    <row r="7855" customFormat="false" ht="15" hidden="false" customHeight="false" outlineLevel="0" collapsed="false">
      <c r="B7855" s="130" t="n">
        <v>2027</v>
      </c>
      <c r="C7855" s="131" t="s">
        <v>253</v>
      </c>
      <c r="D7855" s="132" t="n">
        <v>46696</v>
      </c>
      <c r="E7855" s="131" t="s">
        <v>12</v>
      </c>
      <c r="F7855" s="133" t="s">
        <v>24</v>
      </c>
      <c r="G7855" s="134" t="n">
        <f aca="false">LEN('Saisie programme'!$H$288)+SUMIFS('Vols additionnels'!$E$7:$E$66,'Vols additionnels'!$C$7:$C$66,$E7855,'Vols additionnels'!$D$7:$D$66,$F7855,'Vols additionnels'!$B$7:$B$66,$D7855)</f>
        <v>0</v>
      </c>
      <c r="H7855" s="135" t="n">
        <f aca="false">$G7855*'Analyse capacite'!$F$9</f>
        <v>0</v>
      </c>
      <c r="I7855" s="135" t="n">
        <f aca="false">$G7855*'Analyse capacite'!$C$9</f>
        <v>0</v>
      </c>
      <c r="J7855" s="135" t="n">
        <f aca="false">$G7855*'Analyse capacite'!$D$9</f>
        <v>0</v>
      </c>
      <c r="K7855" s="135" t="n">
        <f aca="false">$G7855*'Analyse capacite'!$E$9</f>
        <v>0</v>
      </c>
    </row>
    <row r="7856" customFormat="false" ht="15" hidden="false" customHeight="false" outlineLevel="0" collapsed="false">
      <c r="B7856" s="130" t="n">
        <v>2027</v>
      </c>
      <c r="C7856" s="131" t="s">
        <v>253</v>
      </c>
      <c r="D7856" s="132" t="n">
        <v>46696</v>
      </c>
      <c r="E7856" s="131" t="s">
        <v>20</v>
      </c>
      <c r="F7856" s="133" t="s">
        <v>11</v>
      </c>
      <c r="G7856" s="134" t="n">
        <f aca="false">LEN('Saisie programme'!$H$289)+SUMIFS('Vols additionnels'!$E$7:$E$66,'Vols additionnels'!$C$7:$C$66,$E7856,'Vols additionnels'!$D$7:$D$66,$F7856,'Vols additionnels'!$B$7:$B$66,$D7856)</f>
        <v>0</v>
      </c>
      <c r="H7856" s="135" t="n">
        <f aca="false">$G7856*'Analyse capacite'!$F$7</f>
        <v>0</v>
      </c>
      <c r="I7856" s="135" t="n">
        <f aca="false">$G7856*'Analyse capacite'!$C$7</f>
        <v>0</v>
      </c>
      <c r="J7856" s="135" t="n">
        <f aca="false">$G7856*'Analyse capacite'!$D$7</f>
        <v>0</v>
      </c>
      <c r="K7856" s="135" t="n">
        <f aca="false">$G7856*'Analyse capacite'!$E$7</f>
        <v>0</v>
      </c>
    </row>
    <row r="7857" customFormat="false" ht="15" hidden="false" customHeight="false" outlineLevel="0" collapsed="false">
      <c r="B7857" s="130" t="n">
        <v>2027</v>
      </c>
      <c r="C7857" s="131" t="s">
        <v>253</v>
      </c>
      <c r="D7857" s="132" t="n">
        <v>46696</v>
      </c>
      <c r="E7857" s="131" t="s">
        <v>20</v>
      </c>
      <c r="F7857" s="133" t="s">
        <v>19</v>
      </c>
      <c r="G7857" s="134" t="n">
        <f aca="false">LEN('Saisie programme'!$H$290)+SUMIFS('Vols additionnels'!$E$7:$E$66,'Vols additionnels'!$C$7:$C$66,$E7857,'Vols additionnels'!$D$7:$D$66,$F7857,'Vols additionnels'!$B$7:$B$66,$D7857)</f>
        <v>1</v>
      </c>
      <c r="H7857" s="135" t="n">
        <f aca="false">$G7857*'Analyse capacite'!$F$8</f>
        <v>262</v>
      </c>
      <c r="I7857" s="135" t="n">
        <f aca="false">$G7857*'Analyse capacite'!$C$8</f>
        <v>18</v>
      </c>
      <c r="J7857" s="135" t="n">
        <f aca="false">$G7857*'Analyse capacite'!$D$8</f>
        <v>0</v>
      </c>
      <c r="K7857" s="135" t="n">
        <f aca="false">$G7857*'Analyse capacite'!$E$8</f>
        <v>244</v>
      </c>
    </row>
    <row r="7858" customFormat="false" ht="15" hidden="false" customHeight="false" outlineLevel="0" collapsed="false">
      <c r="B7858" s="130" t="n">
        <v>2027</v>
      </c>
      <c r="C7858" s="131" t="s">
        <v>253</v>
      </c>
      <c r="D7858" s="132" t="n">
        <v>46696</v>
      </c>
      <c r="E7858" s="131" t="s">
        <v>20</v>
      </c>
      <c r="F7858" s="133" t="s">
        <v>24</v>
      </c>
      <c r="G7858" s="134" t="n">
        <f aca="false">LEN('Saisie programme'!$H$291)+SUMIFS('Vols additionnels'!$E$7:$E$66,'Vols additionnels'!$C$7:$C$66,$E7858,'Vols additionnels'!$D$7:$D$66,$F7858,'Vols additionnels'!$B$7:$B$66,$D7858)</f>
        <v>0</v>
      </c>
      <c r="H7858" s="135" t="n">
        <f aca="false">$G7858*'Analyse capacite'!$F$9</f>
        <v>0</v>
      </c>
      <c r="I7858" s="135" t="n">
        <f aca="false">$G7858*'Analyse capacite'!$C$9</f>
        <v>0</v>
      </c>
      <c r="J7858" s="135" t="n">
        <f aca="false">$G7858*'Analyse capacite'!$D$9</f>
        <v>0</v>
      </c>
      <c r="K7858" s="135" t="n">
        <f aca="false">$G7858*'Analyse capacite'!$E$9</f>
        <v>0</v>
      </c>
    </row>
    <row r="7859" customFormat="false" ht="15" hidden="false" customHeight="false" outlineLevel="0" collapsed="false">
      <c r="B7859" s="130" t="n">
        <v>2027</v>
      </c>
      <c r="C7859" s="131" t="s">
        <v>253</v>
      </c>
      <c r="D7859" s="132" t="n">
        <v>46696</v>
      </c>
      <c r="E7859" s="131" t="s">
        <v>25</v>
      </c>
      <c r="F7859" s="133" t="s">
        <v>11</v>
      </c>
      <c r="G7859" s="134" t="n">
        <f aca="false">LEN('Saisie programme'!$H$292)+SUMIFS('Vols additionnels'!$E$7:$E$66,'Vols additionnels'!$C$7:$C$66,$E7859,'Vols additionnels'!$D$7:$D$66,$F7859,'Vols additionnels'!$B$7:$B$66,$D7859)</f>
        <v>0</v>
      </c>
      <c r="H7859" s="135" t="n">
        <f aca="false">$G7859*'Analyse capacite'!$F$7</f>
        <v>0</v>
      </c>
      <c r="I7859" s="135" t="n">
        <f aca="false">$G7859*'Analyse capacite'!$C$7</f>
        <v>0</v>
      </c>
      <c r="J7859" s="135" t="n">
        <f aca="false">$G7859*'Analyse capacite'!$D$7</f>
        <v>0</v>
      </c>
      <c r="K7859" s="135" t="n">
        <f aca="false">$G7859*'Analyse capacite'!$E$7</f>
        <v>0</v>
      </c>
    </row>
    <row r="7860" customFormat="false" ht="15" hidden="false" customHeight="false" outlineLevel="0" collapsed="false">
      <c r="B7860" s="130" t="n">
        <v>2027</v>
      </c>
      <c r="C7860" s="131" t="s">
        <v>253</v>
      </c>
      <c r="D7860" s="132" t="n">
        <v>46696</v>
      </c>
      <c r="E7860" s="131" t="s">
        <v>25</v>
      </c>
      <c r="F7860" s="133" t="s">
        <v>19</v>
      </c>
      <c r="G7860" s="134" t="n">
        <f aca="false">LEN('Saisie programme'!$H$293)+SUMIFS('Vols additionnels'!$E$7:$E$66,'Vols additionnels'!$C$7:$C$66,$E7860,'Vols additionnels'!$D$7:$D$66,$F7860,'Vols additionnels'!$B$7:$B$66,$D7860)</f>
        <v>0</v>
      </c>
      <c r="H7860" s="135" t="n">
        <f aca="false">$G7860*'Analyse capacite'!$F$8</f>
        <v>0</v>
      </c>
      <c r="I7860" s="135" t="n">
        <f aca="false">$G7860*'Analyse capacite'!$C$8</f>
        <v>0</v>
      </c>
      <c r="J7860" s="135" t="n">
        <f aca="false">$G7860*'Analyse capacite'!$D$8</f>
        <v>0</v>
      </c>
      <c r="K7860" s="135" t="n">
        <f aca="false">$G7860*'Analyse capacite'!$E$8</f>
        <v>0</v>
      </c>
    </row>
    <row r="7861" customFormat="false" ht="15" hidden="false" customHeight="false" outlineLevel="0" collapsed="false">
      <c r="B7861" s="130" t="n">
        <v>2027</v>
      </c>
      <c r="C7861" s="131" t="s">
        <v>253</v>
      </c>
      <c r="D7861" s="132" t="n">
        <v>46696</v>
      </c>
      <c r="E7861" s="131" t="s">
        <v>25</v>
      </c>
      <c r="F7861" s="133" t="s">
        <v>24</v>
      </c>
      <c r="G7861" s="134" t="n">
        <f aca="false">LEN('Saisie programme'!$H$294)+SUMIFS('Vols additionnels'!$E$7:$E$66,'Vols additionnels'!$C$7:$C$66,$E7861,'Vols additionnels'!$D$7:$D$66,$F7861,'Vols additionnels'!$B$7:$B$66,$D7861)</f>
        <v>0</v>
      </c>
      <c r="H7861" s="135" t="n">
        <f aca="false">$G7861*'Analyse capacite'!$F$9</f>
        <v>0</v>
      </c>
      <c r="I7861" s="135" t="n">
        <f aca="false">$G7861*'Analyse capacite'!$C$9</f>
        <v>0</v>
      </c>
      <c r="J7861" s="135" t="n">
        <f aca="false">$G7861*'Analyse capacite'!$D$9</f>
        <v>0</v>
      </c>
      <c r="K7861" s="135" t="n">
        <f aca="false">$G7861*'Analyse capacite'!$E$9</f>
        <v>0</v>
      </c>
    </row>
    <row r="7862" customFormat="false" ht="15" hidden="false" customHeight="false" outlineLevel="0" collapsed="false">
      <c r="B7862" s="130" t="n">
        <v>2027</v>
      </c>
      <c r="C7862" s="131" t="s">
        <v>253</v>
      </c>
      <c r="D7862" s="132" t="n">
        <v>46696</v>
      </c>
      <c r="E7862" s="131" t="s">
        <v>36</v>
      </c>
      <c r="F7862" s="133" t="s">
        <v>11</v>
      </c>
      <c r="G7862" s="134" t="n">
        <f aca="false">LEN('Saisie programme'!$H$295)+SUMIFS('Vols additionnels'!$E$7:$E$66,'Vols additionnels'!$C$7:$C$66,$E7862,'Vols additionnels'!$D$7:$D$66,$F7862,'Vols additionnels'!$B$7:$B$66,$D7862)</f>
        <v>0</v>
      </c>
      <c r="H7862" s="135" t="n">
        <f aca="false">$G7862*'Analyse capacite'!$F$7</f>
        <v>0</v>
      </c>
      <c r="I7862" s="135" t="n">
        <f aca="false">$G7862*'Analyse capacite'!$C$7</f>
        <v>0</v>
      </c>
      <c r="J7862" s="135" t="n">
        <f aca="false">$G7862*'Analyse capacite'!$D$7</f>
        <v>0</v>
      </c>
      <c r="K7862" s="135" t="n">
        <f aca="false">$G7862*'Analyse capacite'!$E$7</f>
        <v>0</v>
      </c>
    </row>
    <row r="7863" customFormat="false" ht="15" hidden="false" customHeight="false" outlineLevel="0" collapsed="false">
      <c r="B7863" s="130" t="n">
        <v>2027</v>
      </c>
      <c r="C7863" s="131" t="s">
        <v>253</v>
      </c>
      <c r="D7863" s="132" t="n">
        <v>46696</v>
      </c>
      <c r="E7863" s="131" t="s">
        <v>36</v>
      </c>
      <c r="F7863" s="133" t="s">
        <v>19</v>
      </c>
      <c r="G7863" s="134" t="n">
        <f aca="false">LEN('Saisie programme'!$H$296)+SUMIFS('Vols additionnels'!$E$7:$E$66,'Vols additionnels'!$C$7:$C$66,$E7863,'Vols additionnels'!$D$7:$D$66,$F7863,'Vols additionnels'!$B$7:$B$66,$D7863)</f>
        <v>0</v>
      </c>
      <c r="H7863" s="135" t="n">
        <f aca="false">$G7863*'Analyse capacite'!$F$8</f>
        <v>0</v>
      </c>
      <c r="I7863" s="135" t="n">
        <f aca="false">$G7863*'Analyse capacite'!$C$8</f>
        <v>0</v>
      </c>
      <c r="J7863" s="135" t="n">
        <f aca="false">$G7863*'Analyse capacite'!$D$8</f>
        <v>0</v>
      </c>
      <c r="K7863" s="135" t="n">
        <f aca="false">$G7863*'Analyse capacite'!$E$8</f>
        <v>0</v>
      </c>
    </row>
    <row r="7864" customFormat="false" ht="15" hidden="false" customHeight="false" outlineLevel="0" collapsed="false">
      <c r="B7864" s="130" t="n">
        <v>2027</v>
      </c>
      <c r="C7864" s="131" t="s">
        <v>253</v>
      </c>
      <c r="D7864" s="132" t="n">
        <v>46696</v>
      </c>
      <c r="E7864" s="131" t="s">
        <v>36</v>
      </c>
      <c r="F7864" s="133" t="s">
        <v>24</v>
      </c>
      <c r="G7864" s="134" t="n">
        <f aca="false">LEN('Saisie programme'!$H$297)+SUMIFS('Vols additionnels'!$E$7:$E$66,'Vols additionnels'!$C$7:$C$66,$E7864,'Vols additionnels'!$D$7:$D$66,$F7864,'Vols additionnels'!$B$7:$B$66,$D7864)</f>
        <v>1</v>
      </c>
      <c r="H7864" s="135" t="n">
        <f aca="false">$G7864*'Analyse capacite'!$F$9</f>
        <v>174</v>
      </c>
      <c r="I7864" s="135" t="n">
        <f aca="false">$G7864*'Analyse capacite'!$C$9</f>
        <v>0</v>
      </c>
      <c r="J7864" s="135" t="n">
        <f aca="false">$G7864*'Analyse capacite'!$D$9</f>
        <v>12</v>
      </c>
      <c r="K7864" s="135" t="n">
        <f aca="false">$G7864*'Analyse capacite'!$E$9</f>
        <v>162</v>
      </c>
    </row>
    <row r="7865" customFormat="false" ht="15" hidden="false" customHeight="false" outlineLevel="0" collapsed="false">
      <c r="B7865" s="130" t="n">
        <v>2027</v>
      </c>
      <c r="C7865" s="131" t="s">
        <v>253</v>
      </c>
      <c r="D7865" s="132" t="n">
        <v>46696</v>
      </c>
      <c r="E7865" s="131" t="s">
        <v>40</v>
      </c>
      <c r="F7865" s="133" t="s">
        <v>11</v>
      </c>
      <c r="G7865" s="134" t="n">
        <f aca="false">LEN('Saisie programme'!$H$298)+SUMIFS('Vols additionnels'!$E$7:$E$66,'Vols additionnels'!$C$7:$C$66,$E7865,'Vols additionnels'!$D$7:$D$66,$F7865,'Vols additionnels'!$B$7:$B$66,$D7865)</f>
        <v>0</v>
      </c>
      <c r="H7865" s="135" t="n">
        <f aca="false">$G7865*'Analyse capacite'!$F$7</f>
        <v>0</v>
      </c>
      <c r="I7865" s="135" t="n">
        <f aca="false">$G7865*'Analyse capacite'!$C$7</f>
        <v>0</v>
      </c>
      <c r="J7865" s="135" t="n">
        <f aca="false">$G7865*'Analyse capacite'!$D$7</f>
        <v>0</v>
      </c>
      <c r="K7865" s="135" t="n">
        <f aca="false">$G7865*'Analyse capacite'!$E$7</f>
        <v>0</v>
      </c>
    </row>
    <row r="7866" customFormat="false" ht="15" hidden="false" customHeight="false" outlineLevel="0" collapsed="false">
      <c r="B7866" s="130" t="n">
        <v>2027</v>
      </c>
      <c r="C7866" s="131" t="s">
        <v>253</v>
      </c>
      <c r="D7866" s="132" t="n">
        <v>46696</v>
      </c>
      <c r="E7866" s="131" t="s">
        <v>40</v>
      </c>
      <c r="F7866" s="133" t="s">
        <v>19</v>
      </c>
      <c r="G7866" s="134" t="n">
        <f aca="false">LEN('Saisie programme'!$H$299)+SUMIFS('Vols additionnels'!$E$7:$E$66,'Vols additionnels'!$C$7:$C$66,$E7866,'Vols additionnels'!$D$7:$D$66,$F7866,'Vols additionnels'!$B$7:$B$66,$D7866)</f>
        <v>0</v>
      </c>
      <c r="H7866" s="135" t="n">
        <f aca="false">$G7866*'Analyse capacite'!$F$8</f>
        <v>0</v>
      </c>
      <c r="I7866" s="135" t="n">
        <f aca="false">$G7866*'Analyse capacite'!$C$8</f>
        <v>0</v>
      </c>
      <c r="J7866" s="135" t="n">
        <f aca="false">$G7866*'Analyse capacite'!$D$8</f>
        <v>0</v>
      </c>
      <c r="K7866" s="135" t="n">
        <f aca="false">$G7866*'Analyse capacite'!$E$8</f>
        <v>0</v>
      </c>
    </row>
    <row r="7867" customFormat="false" ht="15" hidden="false" customHeight="false" outlineLevel="0" collapsed="false">
      <c r="B7867" s="130" t="n">
        <v>2027</v>
      </c>
      <c r="C7867" s="131" t="s">
        <v>253</v>
      </c>
      <c r="D7867" s="132" t="n">
        <v>46696</v>
      </c>
      <c r="E7867" s="131" t="s">
        <v>40</v>
      </c>
      <c r="F7867" s="133" t="s">
        <v>24</v>
      </c>
      <c r="G7867" s="134" t="n">
        <f aca="false">LEN('Saisie programme'!$H$300)+SUMIFS('Vols additionnels'!$E$7:$E$66,'Vols additionnels'!$C$7:$C$66,$E7867,'Vols additionnels'!$D$7:$D$66,$F7867,'Vols additionnels'!$B$7:$B$66,$D7867)</f>
        <v>1</v>
      </c>
      <c r="H7867" s="135" t="n">
        <f aca="false">$G7867*'Analyse capacite'!$F$9</f>
        <v>174</v>
      </c>
      <c r="I7867" s="135" t="n">
        <f aca="false">$G7867*'Analyse capacite'!$C$9</f>
        <v>0</v>
      </c>
      <c r="J7867" s="135" t="n">
        <f aca="false">$G7867*'Analyse capacite'!$D$9</f>
        <v>12</v>
      </c>
      <c r="K7867" s="135" t="n">
        <f aca="false">$G7867*'Analyse capacite'!$E$9</f>
        <v>162</v>
      </c>
    </row>
    <row r="7868" customFormat="false" ht="15" hidden="false" customHeight="false" outlineLevel="0" collapsed="false">
      <c r="B7868" s="130" t="n">
        <v>2027</v>
      </c>
      <c r="C7868" s="131" t="s">
        <v>253</v>
      </c>
      <c r="D7868" s="132" t="n">
        <v>46696</v>
      </c>
      <c r="E7868" s="131" t="s">
        <v>14</v>
      </c>
      <c r="F7868" s="133" t="s">
        <v>11</v>
      </c>
      <c r="G7868" s="134" t="n">
        <f aca="false">LEN('Saisie programme'!$H$301)+SUMIFS('Vols additionnels'!$E$7:$E$66,'Vols additionnels'!$C$7:$C$66,$E7868,'Vols additionnels'!$D$7:$D$66,$F7868,'Vols additionnels'!$B$7:$B$66,$D7868)</f>
        <v>0</v>
      </c>
      <c r="H7868" s="135" t="n">
        <f aca="false">$G7868*'Analyse capacite'!$F$7</f>
        <v>0</v>
      </c>
      <c r="I7868" s="135" t="n">
        <f aca="false">$G7868*'Analyse capacite'!$C$7</f>
        <v>0</v>
      </c>
      <c r="J7868" s="135" t="n">
        <f aca="false">$G7868*'Analyse capacite'!$D$7</f>
        <v>0</v>
      </c>
      <c r="K7868" s="135" t="n">
        <f aca="false">$G7868*'Analyse capacite'!$E$7</f>
        <v>0</v>
      </c>
    </row>
    <row r="7869" customFormat="false" ht="15" hidden="false" customHeight="false" outlineLevel="0" collapsed="false">
      <c r="B7869" s="130" t="n">
        <v>2027</v>
      </c>
      <c r="C7869" s="131" t="s">
        <v>253</v>
      </c>
      <c r="D7869" s="132" t="n">
        <v>46696</v>
      </c>
      <c r="E7869" s="131" t="s">
        <v>14</v>
      </c>
      <c r="F7869" s="133" t="s">
        <v>19</v>
      </c>
      <c r="G7869" s="134" t="n">
        <f aca="false">LEN('Saisie programme'!$H$302)+SUMIFS('Vols additionnels'!$E$7:$E$66,'Vols additionnels'!$C$7:$C$66,$E7869,'Vols additionnels'!$D$7:$D$66,$F7869,'Vols additionnels'!$B$7:$B$66,$D7869)</f>
        <v>0</v>
      </c>
      <c r="H7869" s="135" t="n">
        <f aca="false">$G7869*'Analyse capacite'!$F$8</f>
        <v>0</v>
      </c>
      <c r="I7869" s="135" t="n">
        <f aca="false">$G7869*'Analyse capacite'!$C$8</f>
        <v>0</v>
      </c>
      <c r="J7869" s="135" t="n">
        <f aca="false">$G7869*'Analyse capacite'!$D$8</f>
        <v>0</v>
      </c>
      <c r="K7869" s="135" t="n">
        <f aca="false">$G7869*'Analyse capacite'!$E$8</f>
        <v>0</v>
      </c>
    </row>
    <row r="7870" customFormat="false" ht="15" hidden="false" customHeight="false" outlineLevel="0" collapsed="false">
      <c r="B7870" s="130" t="n">
        <v>2027</v>
      </c>
      <c r="C7870" s="131" t="s">
        <v>253</v>
      </c>
      <c r="D7870" s="132" t="n">
        <v>46696</v>
      </c>
      <c r="E7870" s="131" t="s">
        <v>14</v>
      </c>
      <c r="F7870" s="133" t="s">
        <v>24</v>
      </c>
      <c r="G7870" s="134" t="n">
        <f aca="false">LEN('Saisie programme'!$H$303)+SUMIFS('Vols additionnels'!$E$7:$E$66,'Vols additionnels'!$C$7:$C$66,$E7870,'Vols additionnels'!$D$7:$D$66,$F7870,'Vols additionnels'!$B$7:$B$66,$D7870)</f>
        <v>0</v>
      </c>
      <c r="H7870" s="135" t="n">
        <f aca="false">$G7870*'Analyse capacite'!$F$9</f>
        <v>0</v>
      </c>
      <c r="I7870" s="135" t="n">
        <f aca="false">$G7870*'Analyse capacite'!$C$9</f>
        <v>0</v>
      </c>
      <c r="J7870" s="135" t="n">
        <f aca="false">$G7870*'Analyse capacite'!$D$9</f>
        <v>0</v>
      </c>
      <c r="K7870" s="135" t="n">
        <f aca="false">$G7870*'Analyse capacite'!$E$9</f>
        <v>0</v>
      </c>
    </row>
    <row r="7871" customFormat="false" ht="15" hidden="false" customHeight="false" outlineLevel="0" collapsed="false">
      <c r="B7871" s="130" t="n">
        <v>2027</v>
      </c>
      <c r="C7871" s="131" t="s">
        <v>253</v>
      </c>
      <c r="D7871" s="132" t="n">
        <v>46696</v>
      </c>
      <c r="E7871" s="131" t="s">
        <v>46</v>
      </c>
      <c r="F7871" s="133" t="s">
        <v>11</v>
      </c>
      <c r="G7871" s="134" t="n">
        <f aca="false">LEN('Saisie programme'!$H$304)+SUMIFS('Vols additionnels'!$E$7:$E$66,'Vols additionnels'!$C$7:$C$66,$E7871,'Vols additionnels'!$D$7:$D$66,$F7871,'Vols additionnels'!$B$7:$B$66,$D7871)</f>
        <v>0</v>
      </c>
      <c r="H7871" s="135" t="n">
        <f aca="false">$G7871*'Analyse capacite'!$F$7</f>
        <v>0</v>
      </c>
      <c r="I7871" s="135" t="n">
        <f aca="false">$G7871*'Analyse capacite'!$C$7</f>
        <v>0</v>
      </c>
      <c r="J7871" s="135" t="n">
        <f aca="false">$G7871*'Analyse capacite'!$D$7</f>
        <v>0</v>
      </c>
      <c r="K7871" s="135" t="n">
        <f aca="false">$G7871*'Analyse capacite'!$E$7</f>
        <v>0</v>
      </c>
    </row>
    <row r="7872" customFormat="false" ht="15" hidden="false" customHeight="false" outlineLevel="0" collapsed="false">
      <c r="B7872" s="130" t="n">
        <v>2027</v>
      </c>
      <c r="C7872" s="131" t="s">
        <v>253</v>
      </c>
      <c r="D7872" s="132" t="n">
        <v>46696</v>
      </c>
      <c r="E7872" s="131" t="s">
        <v>46</v>
      </c>
      <c r="F7872" s="133" t="s">
        <v>19</v>
      </c>
      <c r="G7872" s="134" t="n">
        <f aca="false">LEN('Saisie programme'!$H$305)+SUMIFS('Vols additionnels'!$E$7:$E$66,'Vols additionnels'!$C$7:$C$66,$E7872,'Vols additionnels'!$D$7:$D$66,$F7872,'Vols additionnels'!$B$7:$B$66,$D7872)</f>
        <v>0</v>
      </c>
      <c r="H7872" s="135" t="n">
        <f aca="false">$G7872*'Analyse capacite'!$F$8</f>
        <v>0</v>
      </c>
      <c r="I7872" s="135" t="n">
        <f aca="false">$G7872*'Analyse capacite'!$C$8</f>
        <v>0</v>
      </c>
      <c r="J7872" s="135" t="n">
        <f aca="false">$G7872*'Analyse capacite'!$D$8</f>
        <v>0</v>
      </c>
      <c r="K7872" s="135" t="n">
        <f aca="false">$G7872*'Analyse capacite'!$E$8</f>
        <v>0</v>
      </c>
    </row>
    <row r="7873" customFormat="false" ht="15" hidden="false" customHeight="false" outlineLevel="0" collapsed="false">
      <c r="B7873" s="130" t="n">
        <v>2027</v>
      </c>
      <c r="C7873" s="131" t="s">
        <v>253</v>
      </c>
      <c r="D7873" s="132" t="n">
        <v>46696</v>
      </c>
      <c r="E7873" s="131" t="s">
        <v>46</v>
      </c>
      <c r="F7873" s="133" t="s">
        <v>24</v>
      </c>
      <c r="G7873" s="134" t="n">
        <f aca="false">LEN('Saisie programme'!$H$306)+SUMIFS('Vols additionnels'!$E$7:$E$66,'Vols additionnels'!$C$7:$C$66,$E7873,'Vols additionnels'!$D$7:$D$66,$F7873,'Vols additionnels'!$B$7:$B$66,$D7873)</f>
        <v>0</v>
      </c>
      <c r="H7873" s="135" t="n">
        <f aca="false">$G7873*'Analyse capacite'!$F$9</f>
        <v>0</v>
      </c>
      <c r="I7873" s="135" t="n">
        <f aca="false">$G7873*'Analyse capacite'!$C$9</f>
        <v>0</v>
      </c>
      <c r="J7873" s="135" t="n">
        <f aca="false">$G7873*'Analyse capacite'!$D$9</f>
        <v>0</v>
      </c>
      <c r="K7873" s="135" t="n">
        <f aca="false">$G7873*'Analyse capacite'!$E$9</f>
        <v>0</v>
      </c>
    </row>
    <row r="7874" customFormat="false" ht="15" hidden="false" customHeight="false" outlineLevel="0" collapsed="false">
      <c r="B7874" s="130" t="n">
        <v>2027</v>
      </c>
      <c r="C7874" s="131" t="s">
        <v>253</v>
      </c>
      <c r="D7874" s="132" t="n">
        <v>46696</v>
      </c>
      <c r="E7874" s="131" t="s">
        <v>49</v>
      </c>
      <c r="F7874" s="133" t="s">
        <v>11</v>
      </c>
      <c r="G7874" s="134" t="n">
        <f aca="false">LEN('Saisie programme'!$H$307)+SUMIFS('Vols additionnels'!$E$7:$E$66,'Vols additionnels'!$C$7:$C$66,$E7874,'Vols additionnels'!$D$7:$D$66,$F7874,'Vols additionnels'!$B$7:$B$66,$D7874)</f>
        <v>0</v>
      </c>
      <c r="H7874" s="135" t="n">
        <f aca="false">$G7874*'Analyse capacite'!$F$7</f>
        <v>0</v>
      </c>
      <c r="I7874" s="135" t="n">
        <f aca="false">$G7874*'Analyse capacite'!$C$7</f>
        <v>0</v>
      </c>
      <c r="J7874" s="135" t="n">
        <f aca="false">$G7874*'Analyse capacite'!$D$7</f>
        <v>0</v>
      </c>
      <c r="K7874" s="135" t="n">
        <f aca="false">$G7874*'Analyse capacite'!$E$7</f>
        <v>0</v>
      </c>
    </row>
    <row r="7875" customFormat="false" ht="15" hidden="false" customHeight="false" outlineLevel="0" collapsed="false">
      <c r="B7875" s="130" t="n">
        <v>2027</v>
      </c>
      <c r="C7875" s="131" t="s">
        <v>253</v>
      </c>
      <c r="D7875" s="132" t="n">
        <v>46696</v>
      </c>
      <c r="E7875" s="131" t="s">
        <v>49</v>
      </c>
      <c r="F7875" s="133" t="s">
        <v>19</v>
      </c>
      <c r="G7875" s="134" t="n">
        <f aca="false">LEN('Saisie programme'!$H$308)+SUMIFS('Vols additionnels'!$E$7:$E$66,'Vols additionnels'!$C$7:$C$66,$E7875,'Vols additionnels'!$D$7:$D$66,$F7875,'Vols additionnels'!$B$7:$B$66,$D7875)</f>
        <v>1</v>
      </c>
      <c r="H7875" s="135" t="n">
        <f aca="false">$G7875*'Analyse capacite'!$F$8</f>
        <v>262</v>
      </c>
      <c r="I7875" s="135" t="n">
        <f aca="false">$G7875*'Analyse capacite'!$C$8</f>
        <v>18</v>
      </c>
      <c r="J7875" s="135" t="n">
        <f aca="false">$G7875*'Analyse capacite'!$D$8</f>
        <v>0</v>
      </c>
      <c r="K7875" s="135" t="n">
        <f aca="false">$G7875*'Analyse capacite'!$E$8</f>
        <v>244</v>
      </c>
    </row>
    <row r="7876" customFormat="false" ht="15" hidden="false" customHeight="false" outlineLevel="0" collapsed="false">
      <c r="B7876" s="130" t="n">
        <v>2027</v>
      </c>
      <c r="C7876" s="131" t="s">
        <v>253</v>
      </c>
      <c r="D7876" s="132" t="n">
        <v>46696</v>
      </c>
      <c r="E7876" s="131" t="s">
        <v>49</v>
      </c>
      <c r="F7876" s="133" t="s">
        <v>24</v>
      </c>
      <c r="G7876" s="134" t="n">
        <f aca="false">LEN('Saisie programme'!$H$309)+SUMIFS('Vols additionnels'!$E$7:$E$66,'Vols additionnels'!$C$7:$C$66,$E7876,'Vols additionnels'!$D$7:$D$66,$F7876,'Vols additionnels'!$B$7:$B$66,$D7876)</f>
        <v>0</v>
      </c>
      <c r="H7876" s="135" t="n">
        <f aca="false">$G7876*'Analyse capacite'!$F$9</f>
        <v>0</v>
      </c>
      <c r="I7876" s="135" t="n">
        <f aca="false">$G7876*'Analyse capacite'!$C$9</f>
        <v>0</v>
      </c>
      <c r="J7876" s="135" t="n">
        <f aca="false">$G7876*'Analyse capacite'!$D$9</f>
        <v>0</v>
      </c>
      <c r="K7876" s="135" t="n">
        <f aca="false">$G7876*'Analyse capacite'!$E$9</f>
        <v>0</v>
      </c>
    </row>
    <row r="7877" customFormat="false" ht="15" hidden="false" customHeight="false" outlineLevel="0" collapsed="false">
      <c r="B7877" s="130" t="n">
        <v>2027</v>
      </c>
      <c r="C7877" s="131" t="s">
        <v>253</v>
      </c>
      <c r="D7877" s="132" t="n">
        <v>46696</v>
      </c>
      <c r="E7877" s="131" t="s">
        <v>53</v>
      </c>
      <c r="F7877" s="133" t="s">
        <v>11</v>
      </c>
      <c r="G7877" s="134" t="n">
        <f aca="false">LEN('Saisie programme'!$H$310)+SUMIFS('Vols additionnels'!$E$7:$E$66,'Vols additionnels'!$C$7:$C$66,$E7877,'Vols additionnels'!$D$7:$D$66,$F7877,'Vols additionnels'!$B$7:$B$66,$D7877)</f>
        <v>0</v>
      </c>
      <c r="H7877" s="135" t="n">
        <f aca="false">$G7877*'Analyse capacite'!$F$7</f>
        <v>0</v>
      </c>
      <c r="I7877" s="135" t="n">
        <f aca="false">$G7877*'Analyse capacite'!$C$7</f>
        <v>0</v>
      </c>
      <c r="J7877" s="135" t="n">
        <f aca="false">$G7877*'Analyse capacite'!$D$7</f>
        <v>0</v>
      </c>
      <c r="K7877" s="135" t="n">
        <f aca="false">$G7877*'Analyse capacite'!$E$7</f>
        <v>0</v>
      </c>
    </row>
    <row r="7878" customFormat="false" ht="15" hidden="false" customHeight="false" outlineLevel="0" collapsed="false">
      <c r="B7878" s="130" t="n">
        <v>2027</v>
      </c>
      <c r="C7878" s="131" t="s">
        <v>253</v>
      </c>
      <c r="D7878" s="132" t="n">
        <v>46696</v>
      </c>
      <c r="E7878" s="131" t="s">
        <v>53</v>
      </c>
      <c r="F7878" s="133" t="s">
        <v>19</v>
      </c>
      <c r="G7878" s="134" t="n">
        <f aca="false">LEN('Saisie programme'!$H$311)+SUMIFS('Vols additionnels'!$E$7:$E$66,'Vols additionnels'!$C$7:$C$66,$E7878,'Vols additionnels'!$D$7:$D$66,$F7878,'Vols additionnels'!$B$7:$B$66,$D7878)</f>
        <v>0</v>
      </c>
      <c r="H7878" s="135" t="n">
        <f aca="false">$G7878*'Analyse capacite'!$F$8</f>
        <v>0</v>
      </c>
      <c r="I7878" s="135" t="n">
        <f aca="false">$G7878*'Analyse capacite'!$C$8</f>
        <v>0</v>
      </c>
      <c r="J7878" s="135" t="n">
        <f aca="false">$G7878*'Analyse capacite'!$D$8</f>
        <v>0</v>
      </c>
      <c r="K7878" s="135" t="n">
        <f aca="false">$G7878*'Analyse capacite'!$E$8</f>
        <v>0</v>
      </c>
    </row>
    <row r="7879" customFormat="false" ht="15" hidden="false" customHeight="false" outlineLevel="0" collapsed="false">
      <c r="B7879" s="130" t="n">
        <v>2027</v>
      </c>
      <c r="C7879" s="131" t="s">
        <v>253</v>
      </c>
      <c r="D7879" s="132" t="n">
        <v>46696</v>
      </c>
      <c r="E7879" s="131" t="s">
        <v>53</v>
      </c>
      <c r="F7879" s="133" t="s">
        <v>24</v>
      </c>
      <c r="G7879" s="134" t="n">
        <f aca="false">LEN('Saisie programme'!$H$312)+SUMIFS('Vols additionnels'!$E$7:$E$66,'Vols additionnels'!$C$7:$C$66,$E7879,'Vols additionnels'!$D$7:$D$66,$F7879,'Vols additionnels'!$B$7:$B$66,$D7879)</f>
        <v>0</v>
      </c>
      <c r="H7879" s="135" t="n">
        <f aca="false">$G7879*'Analyse capacite'!$F$9</f>
        <v>0</v>
      </c>
      <c r="I7879" s="135" t="n">
        <f aca="false">$G7879*'Analyse capacite'!$C$9</f>
        <v>0</v>
      </c>
      <c r="J7879" s="135" t="n">
        <f aca="false">$G7879*'Analyse capacite'!$D$9</f>
        <v>0</v>
      </c>
      <c r="K7879" s="135" t="n">
        <f aca="false">$G7879*'Analyse capacite'!$E$9</f>
        <v>0</v>
      </c>
    </row>
    <row r="7880" customFormat="false" ht="15" hidden="false" customHeight="false" outlineLevel="0" collapsed="false">
      <c r="B7880" s="130" t="n">
        <v>2027</v>
      </c>
      <c r="C7880" s="131" t="s">
        <v>253</v>
      </c>
      <c r="D7880" s="132" t="n">
        <v>46696</v>
      </c>
      <c r="E7880" s="131" t="s">
        <v>56</v>
      </c>
      <c r="F7880" s="133" t="s">
        <v>11</v>
      </c>
      <c r="G7880" s="134" t="n">
        <f aca="false">LEN('Saisie programme'!$H$313)+SUMIFS('Vols additionnels'!$E$7:$E$66,'Vols additionnels'!$C$7:$C$66,$E7880,'Vols additionnels'!$D$7:$D$66,$F7880,'Vols additionnels'!$B$7:$B$66,$D7880)</f>
        <v>0</v>
      </c>
      <c r="H7880" s="135" t="n">
        <f aca="false">$G7880*'Analyse capacite'!$F$7</f>
        <v>0</v>
      </c>
      <c r="I7880" s="135" t="n">
        <f aca="false">$G7880*'Analyse capacite'!$C$7</f>
        <v>0</v>
      </c>
      <c r="J7880" s="135" t="n">
        <f aca="false">$G7880*'Analyse capacite'!$D$7</f>
        <v>0</v>
      </c>
      <c r="K7880" s="135" t="n">
        <f aca="false">$G7880*'Analyse capacite'!$E$7</f>
        <v>0</v>
      </c>
    </row>
    <row r="7881" customFormat="false" ht="15" hidden="false" customHeight="false" outlineLevel="0" collapsed="false">
      <c r="B7881" s="130" t="n">
        <v>2027</v>
      </c>
      <c r="C7881" s="131" t="s">
        <v>253</v>
      </c>
      <c r="D7881" s="132" t="n">
        <v>46696</v>
      </c>
      <c r="E7881" s="131" t="s">
        <v>56</v>
      </c>
      <c r="F7881" s="133" t="s">
        <v>19</v>
      </c>
      <c r="G7881" s="134" t="n">
        <f aca="false">LEN('Saisie programme'!$H$314)+SUMIFS('Vols additionnels'!$E$7:$E$66,'Vols additionnels'!$C$7:$C$66,$E7881,'Vols additionnels'!$D$7:$D$66,$F7881,'Vols additionnels'!$B$7:$B$66,$D7881)</f>
        <v>0</v>
      </c>
      <c r="H7881" s="135" t="n">
        <f aca="false">$G7881*'Analyse capacite'!$F$8</f>
        <v>0</v>
      </c>
      <c r="I7881" s="135" t="n">
        <f aca="false">$G7881*'Analyse capacite'!$C$8</f>
        <v>0</v>
      </c>
      <c r="J7881" s="135" t="n">
        <f aca="false">$G7881*'Analyse capacite'!$D$8</f>
        <v>0</v>
      </c>
      <c r="K7881" s="135" t="n">
        <f aca="false">$G7881*'Analyse capacite'!$E$8</f>
        <v>0</v>
      </c>
    </row>
    <row r="7882" customFormat="false" ht="15" hidden="false" customHeight="false" outlineLevel="0" collapsed="false">
      <c r="B7882" s="130" t="n">
        <v>2027</v>
      </c>
      <c r="C7882" s="131" t="s">
        <v>253</v>
      </c>
      <c r="D7882" s="132" t="n">
        <v>46696</v>
      </c>
      <c r="E7882" s="131" t="s">
        <v>56</v>
      </c>
      <c r="F7882" s="133" t="s">
        <v>24</v>
      </c>
      <c r="G7882" s="134" t="n">
        <f aca="false">LEN('Saisie programme'!$H$315)+SUMIFS('Vols additionnels'!$E$7:$E$66,'Vols additionnels'!$C$7:$C$66,$E7882,'Vols additionnels'!$D$7:$D$66,$F7882,'Vols additionnels'!$B$7:$B$66,$D7882)</f>
        <v>0</v>
      </c>
      <c r="H7882" s="135" t="n">
        <f aca="false">$G7882*'Analyse capacite'!$F$9</f>
        <v>0</v>
      </c>
      <c r="I7882" s="135" t="n">
        <f aca="false">$G7882*'Analyse capacite'!$C$9</f>
        <v>0</v>
      </c>
      <c r="J7882" s="135" t="n">
        <f aca="false">$G7882*'Analyse capacite'!$D$9</f>
        <v>0</v>
      </c>
      <c r="K7882" s="135" t="n">
        <f aca="false">$G7882*'Analyse capacite'!$E$9</f>
        <v>0</v>
      </c>
    </row>
    <row r="7883" customFormat="false" ht="15" hidden="false" customHeight="false" outlineLevel="0" collapsed="false">
      <c r="B7883" s="130" t="n">
        <v>2027</v>
      </c>
      <c r="C7883" s="131" t="s">
        <v>253</v>
      </c>
      <c r="D7883" s="132" t="n">
        <v>46696</v>
      </c>
      <c r="E7883" s="131" t="s">
        <v>59</v>
      </c>
      <c r="F7883" s="133" t="s">
        <v>11</v>
      </c>
      <c r="G7883" s="134" t="n">
        <f aca="false">LEN('Saisie programme'!$H$316)+SUMIFS('Vols additionnels'!$E$7:$E$66,'Vols additionnels'!$C$7:$C$66,$E7883,'Vols additionnels'!$D$7:$D$66,$F7883,'Vols additionnels'!$B$7:$B$66,$D7883)</f>
        <v>0</v>
      </c>
      <c r="H7883" s="135" t="n">
        <f aca="false">$G7883*'Analyse capacite'!$F$7</f>
        <v>0</v>
      </c>
      <c r="I7883" s="135" t="n">
        <f aca="false">$G7883*'Analyse capacite'!$C$7</f>
        <v>0</v>
      </c>
      <c r="J7883" s="135" t="n">
        <f aca="false">$G7883*'Analyse capacite'!$D$7</f>
        <v>0</v>
      </c>
      <c r="K7883" s="135" t="n">
        <f aca="false">$G7883*'Analyse capacite'!$E$7</f>
        <v>0</v>
      </c>
    </row>
    <row r="7884" customFormat="false" ht="15" hidden="false" customHeight="false" outlineLevel="0" collapsed="false">
      <c r="B7884" s="130" t="n">
        <v>2027</v>
      </c>
      <c r="C7884" s="131" t="s">
        <v>253</v>
      </c>
      <c r="D7884" s="132" t="n">
        <v>46696</v>
      </c>
      <c r="E7884" s="131" t="s">
        <v>59</v>
      </c>
      <c r="F7884" s="133" t="s">
        <v>19</v>
      </c>
      <c r="G7884" s="134" t="n">
        <f aca="false">LEN('Saisie programme'!$H$317)+SUMIFS('Vols additionnels'!$E$7:$E$66,'Vols additionnels'!$C$7:$C$66,$E7884,'Vols additionnels'!$D$7:$D$66,$F7884,'Vols additionnels'!$B$7:$B$66,$D7884)</f>
        <v>0</v>
      </c>
      <c r="H7884" s="135" t="n">
        <f aca="false">$G7884*'Analyse capacite'!$F$8</f>
        <v>0</v>
      </c>
      <c r="I7884" s="135" t="n">
        <f aca="false">$G7884*'Analyse capacite'!$C$8</f>
        <v>0</v>
      </c>
      <c r="J7884" s="135" t="n">
        <f aca="false">$G7884*'Analyse capacite'!$D$8</f>
        <v>0</v>
      </c>
      <c r="K7884" s="135" t="n">
        <f aca="false">$G7884*'Analyse capacite'!$E$8</f>
        <v>0</v>
      </c>
    </row>
    <row r="7885" customFormat="false" ht="15" hidden="false" customHeight="false" outlineLevel="0" collapsed="false">
      <c r="B7885" s="130" t="n">
        <v>2027</v>
      </c>
      <c r="C7885" s="131" t="s">
        <v>253</v>
      </c>
      <c r="D7885" s="132" t="n">
        <v>46696</v>
      </c>
      <c r="E7885" s="131" t="s">
        <v>59</v>
      </c>
      <c r="F7885" s="133" t="s">
        <v>24</v>
      </c>
      <c r="G7885" s="134" t="n">
        <f aca="false">LEN('Saisie programme'!$H$318)+SUMIFS('Vols additionnels'!$E$7:$E$66,'Vols additionnels'!$C$7:$C$66,$E7885,'Vols additionnels'!$D$7:$D$66,$F7885,'Vols additionnels'!$B$7:$B$66,$D7885)</f>
        <v>1</v>
      </c>
      <c r="H7885" s="135" t="n">
        <f aca="false">$G7885*'Analyse capacite'!$F$9</f>
        <v>174</v>
      </c>
      <c r="I7885" s="135" t="n">
        <f aca="false">$G7885*'Analyse capacite'!$C$9</f>
        <v>0</v>
      </c>
      <c r="J7885" s="135" t="n">
        <f aca="false">$G7885*'Analyse capacite'!$D$9</f>
        <v>12</v>
      </c>
      <c r="K7885" s="135" t="n">
        <f aca="false">$G7885*'Analyse capacite'!$E$9</f>
        <v>162</v>
      </c>
    </row>
    <row r="7886" customFormat="false" ht="15" hidden="false" customHeight="false" outlineLevel="0" collapsed="false">
      <c r="B7886" s="130" t="n">
        <v>2027</v>
      </c>
      <c r="C7886" s="131" t="s">
        <v>253</v>
      </c>
      <c r="D7886" s="132" t="n">
        <v>46696</v>
      </c>
      <c r="E7886" s="131" t="s">
        <v>62</v>
      </c>
      <c r="F7886" s="133" t="s">
        <v>11</v>
      </c>
      <c r="G7886" s="134" t="n">
        <f aca="false">LEN('Saisie programme'!$H$319)+SUMIFS('Vols additionnels'!$E$7:$E$66,'Vols additionnels'!$C$7:$C$66,$E7886,'Vols additionnels'!$D$7:$D$66,$F7886,'Vols additionnels'!$B$7:$B$66,$D7886)</f>
        <v>0</v>
      </c>
      <c r="H7886" s="135" t="n">
        <f aca="false">$G7886*'Analyse capacite'!$F$7</f>
        <v>0</v>
      </c>
      <c r="I7886" s="135" t="n">
        <f aca="false">$G7886*'Analyse capacite'!$C$7</f>
        <v>0</v>
      </c>
      <c r="J7886" s="135" t="n">
        <f aca="false">$G7886*'Analyse capacite'!$D$7</f>
        <v>0</v>
      </c>
      <c r="K7886" s="135" t="n">
        <f aca="false">$G7886*'Analyse capacite'!$E$7</f>
        <v>0</v>
      </c>
    </row>
    <row r="7887" customFormat="false" ht="15" hidden="false" customHeight="false" outlineLevel="0" collapsed="false">
      <c r="B7887" s="130" t="n">
        <v>2027</v>
      </c>
      <c r="C7887" s="131" t="s">
        <v>253</v>
      </c>
      <c r="D7887" s="132" t="n">
        <v>46696</v>
      </c>
      <c r="E7887" s="131" t="s">
        <v>62</v>
      </c>
      <c r="F7887" s="133" t="s">
        <v>19</v>
      </c>
      <c r="G7887" s="134" t="n">
        <f aca="false">LEN('Saisie programme'!$H$320)+SUMIFS('Vols additionnels'!$E$7:$E$66,'Vols additionnels'!$C$7:$C$66,$E7887,'Vols additionnels'!$D$7:$D$66,$F7887,'Vols additionnels'!$B$7:$B$66,$D7887)</f>
        <v>0</v>
      </c>
      <c r="H7887" s="135" t="n">
        <f aca="false">$G7887*'Analyse capacite'!$F$8</f>
        <v>0</v>
      </c>
      <c r="I7887" s="135" t="n">
        <f aca="false">$G7887*'Analyse capacite'!$C$8</f>
        <v>0</v>
      </c>
      <c r="J7887" s="135" t="n">
        <f aca="false">$G7887*'Analyse capacite'!$D$8</f>
        <v>0</v>
      </c>
      <c r="K7887" s="135" t="n">
        <f aca="false">$G7887*'Analyse capacite'!$E$8</f>
        <v>0</v>
      </c>
    </row>
    <row r="7888" customFormat="false" ht="15" hidden="false" customHeight="false" outlineLevel="0" collapsed="false">
      <c r="B7888" s="130" t="n">
        <v>2027</v>
      </c>
      <c r="C7888" s="131" t="s">
        <v>253</v>
      </c>
      <c r="D7888" s="132" t="n">
        <v>46696</v>
      </c>
      <c r="E7888" s="131" t="s">
        <v>62</v>
      </c>
      <c r="F7888" s="133" t="s">
        <v>24</v>
      </c>
      <c r="G7888" s="134" t="n">
        <f aca="false">LEN('Saisie programme'!$H$321)+SUMIFS('Vols additionnels'!$E$7:$E$66,'Vols additionnels'!$C$7:$C$66,$E7888,'Vols additionnels'!$D$7:$D$66,$F7888,'Vols additionnels'!$B$7:$B$66,$D7888)</f>
        <v>0</v>
      </c>
      <c r="H7888" s="135" t="n">
        <f aca="false">$G7888*'Analyse capacite'!$F$9</f>
        <v>0</v>
      </c>
      <c r="I7888" s="135" t="n">
        <f aca="false">$G7888*'Analyse capacite'!$C$9</f>
        <v>0</v>
      </c>
      <c r="J7888" s="135" t="n">
        <f aca="false">$G7888*'Analyse capacite'!$D$9</f>
        <v>0</v>
      </c>
      <c r="K7888" s="135" t="n">
        <f aca="false">$G7888*'Analyse capacite'!$E$9</f>
        <v>0</v>
      </c>
    </row>
    <row r="7889" customFormat="false" ht="15" hidden="false" customHeight="false" outlineLevel="0" collapsed="false">
      <c r="B7889" s="130" t="n">
        <v>2027</v>
      </c>
      <c r="C7889" s="131" t="s">
        <v>253</v>
      </c>
      <c r="D7889" s="132" t="n">
        <v>46697</v>
      </c>
      <c r="E7889" s="131" t="s">
        <v>12</v>
      </c>
      <c r="F7889" s="133" t="s">
        <v>11</v>
      </c>
      <c r="G7889" s="134" t="n">
        <f aca="false">LEN('Saisie programme'!$I$286)+SUMIFS('Vols additionnels'!$E$7:$E$66,'Vols additionnels'!$C$7:$C$66,$E7889,'Vols additionnels'!$D$7:$D$66,$F7889,'Vols additionnels'!$B$7:$B$66,$D7889)</f>
        <v>1</v>
      </c>
      <c r="H7889" s="135" t="n">
        <f aca="false">$G7889*'Analyse capacite'!$F$7</f>
        <v>438</v>
      </c>
      <c r="I7889" s="135" t="n">
        <f aca="false">$G7889*'Analyse capacite'!$C$7</f>
        <v>14</v>
      </c>
      <c r="J7889" s="135" t="n">
        <f aca="false">$G7889*'Analyse capacite'!$D$7</f>
        <v>40</v>
      </c>
      <c r="K7889" s="135" t="n">
        <f aca="false">$G7889*'Analyse capacite'!$E$7</f>
        <v>384</v>
      </c>
    </row>
    <row r="7890" customFormat="false" ht="15" hidden="false" customHeight="false" outlineLevel="0" collapsed="false">
      <c r="B7890" s="130" t="n">
        <v>2027</v>
      </c>
      <c r="C7890" s="131" t="s">
        <v>253</v>
      </c>
      <c r="D7890" s="132" t="n">
        <v>46697</v>
      </c>
      <c r="E7890" s="131" t="s">
        <v>12</v>
      </c>
      <c r="F7890" s="133" t="s">
        <v>19</v>
      </c>
      <c r="G7890" s="134" t="n">
        <f aca="false">LEN('Saisie programme'!$I$287)+SUMIFS('Vols additionnels'!$E$7:$E$66,'Vols additionnels'!$C$7:$C$66,$E7890,'Vols additionnels'!$D$7:$D$66,$F7890,'Vols additionnels'!$B$7:$B$66,$D7890)</f>
        <v>0</v>
      </c>
      <c r="H7890" s="135" t="n">
        <f aca="false">$G7890*'Analyse capacite'!$F$8</f>
        <v>0</v>
      </c>
      <c r="I7890" s="135" t="n">
        <f aca="false">$G7890*'Analyse capacite'!$C$8</f>
        <v>0</v>
      </c>
      <c r="J7890" s="135" t="n">
        <f aca="false">$G7890*'Analyse capacite'!$D$8</f>
        <v>0</v>
      </c>
      <c r="K7890" s="135" t="n">
        <f aca="false">$G7890*'Analyse capacite'!$E$8</f>
        <v>0</v>
      </c>
    </row>
    <row r="7891" customFormat="false" ht="15" hidden="false" customHeight="false" outlineLevel="0" collapsed="false">
      <c r="B7891" s="130" t="n">
        <v>2027</v>
      </c>
      <c r="C7891" s="131" t="s">
        <v>253</v>
      </c>
      <c r="D7891" s="132" t="n">
        <v>46697</v>
      </c>
      <c r="E7891" s="131" t="s">
        <v>12</v>
      </c>
      <c r="F7891" s="133" t="s">
        <v>24</v>
      </c>
      <c r="G7891" s="134" t="n">
        <f aca="false">LEN('Saisie programme'!$I$288)+SUMIFS('Vols additionnels'!$E$7:$E$66,'Vols additionnels'!$C$7:$C$66,$E7891,'Vols additionnels'!$D$7:$D$66,$F7891,'Vols additionnels'!$B$7:$B$66,$D7891)</f>
        <v>0</v>
      </c>
      <c r="H7891" s="135" t="n">
        <f aca="false">$G7891*'Analyse capacite'!$F$9</f>
        <v>0</v>
      </c>
      <c r="I7891" s="135" t="n">
        <f aca="false">$G7891*'Analyse capacite'!$C$9</f>
        <v>0</v>
      </c>
      <c r="J7891" s="135" t="n">
        <f aca="false">$G7891*'Analyse capacite'!$D$9</f>
        <v>0</v>
      </c>
      <c r="K7891" s="135" t="n">
        <f aca="false">$G7891*'Analyse capacite'!$E$9</f>
        <v>0</v>
      </c>
    </row>
    <row r="7892" customFormat="false" ht="15" hidden="false" customHeight="false" outlineLevel="0" collapsed="false">
      <c r="B7892" s="130" t="n">
        <v>2027</v>
      </c>
      <c r="C7892" s="131" t="s">
        <v>253</v>
      </c>
      <c r="D7892" s="132" t="n">
        <v>46697</v>
      </c>
      <c r="E7892" s="131" t="s">
        <v>20</v>
      </c>
      <c r="F7892" s="133" t="s">
        <v>11</v>
      </c>
      <c r="G7892" s="134" t="n">
        <f aca="false">LEN('Saisie programme'!$I$289)+SUMIFS('Vols additionnels'!$E$7:$E$66,'Vols additionnels'!$C$7:$C$66,$E7892,'Vols additionnels'!$D$7:$D$66,$F7892,'Vols additionnels'!$B$7:$B$66,$D7892)</f>
        <v>0</v>
      </c>
      <c r="H7892" s="135" t="n">
        <f aca="false">$G7892*'Analyse capacite'!$F$7</f>
        <v>0</v>
      </c>
      <c r="I7892" s="135" t="n">
        <f aca="false">$G7892*'Analyse capacite'!$C$7</f>
        <v>0</v>
      </c>
      <c r="J7892" s="135" t="n">
        <f aca="false">$G7892*'Analyse capacite'!$D$7</f>
        <v>0</v>
      </c>
      <c r="K7892" s="135" t="n">
        <f aca="false">$G7892*'Analyse capacite'!$E$7</f>
        <v>0</v>
      </c>
    </row>
    <row r="7893" customFormat="false" ht="15" hidden="false" customHeight="false" outlineLevel="0" collapsed="false">
      <c r="B7893" s="130" t="n">
        <v>2027</v>
      </c>
      <c r="C7893" s="131" t="s">
        <v>253</v>
      </c>
      <c r="D7893" s="132" t="n">
        <v>46697</v>
      </c>
      <c r="E7893" s="131" t="s">
        <v>20</v>
      </c>
      <c r="F7893" s="133" t="s">
        <v>19</v>
      </c>
      <c r="G7893" s="134" t="n">
        <f aca="false">LEN('Saisie programme'!$I$290)+SUMIFS('Vols additionnels'!$E$7:$E$66,'Vols additionnels'!$C$7:$C$66,$E7893,'Vols additionnels'!$D$7:$D$66,$F7893,'Vols additionnels'!$B$7:$B$66,$D7893)</f>
        <v>0</v>
      </c>
      <c r="H7893" s="135" t="n">
        <f aca="false">$G7893*'Analyse capacite'!$F$8</f>
        <v>0</v>
      </c>
      <c r="I7893" s="135" t="n">
        <f aca="false">$G7893*'Analyse capacite'!$C$8</f>
        <v>0</v>
      </c>
      <c r="J7893" s="135" t="n">
        <f aca="false">$G7893*'Analyse capacite'!$D$8</f>
        <v>0</v>
      </c>
      <c r="K7893" s="135" t="n">
        <f aca="false">$G7893*'Analyse capacite'!$E$8</f>
        <v>0</v>
      </c>
    </row>
    <row r="7894" customFormat="false" ht="15" hidden="false" customHeight="false" outlineLevel="0" collapsed="false">
      <c r="B7894" s="130" t="n">
        <v>2027</v>
      </c>
      <c r="C7894" s="131" t="s">
        <v>253</v>
      </c>
      <c r="D7894" s="132" t="n">
        <v>46697</v>
      </c>
      <c r="E7894" s="131" t="s">
        <v>20</v>
      </c>
      <c r="F7894" s="133" t="s">
        <v>24</v>
      </c>
      <c r="G7894" s="134" t="n">
        <f aca="false">LEN('Saisie programme'!$I$291)+SUMIFS('Vols additionnels'!$E$7:$E$66,'Vols additionnels'!$C$7:$C$66,$E7894,'Vols additionnels'!$D$7:$D$66,$F7894,'Vols additionnels'!$B$7:$B$66,$D7894)</f>
        <v>0</v>
      </c>
      <c r="H7894" s="135" t="n">
        <f aca="false">$G7894*'Analyse capacite'!$F$9</f>
        <v>0</v>
      </c>
      <c r="I7894" s="135" t="n">
        <f aca="false">$G7894*'Analyse capacite'!$C$9</f>
        <v>0</v>
      </c>
      <c r="J7894" s="135" t="n">
        <f aca="false">$G7894*'Analyse capacite'!$D$9</f>
        <v>0</v>
      </c>
      <c r="K7894" s="135" t="n">
        <f aca="false">$G7894*'Analyse capacite'!$E$9</f>
        <v>0</v>
      </c>
    </row>
    <row r="7895" customFormat="false" ht="15" hidden="false" customHeight="false" outlineLevel="0" collapsed="false">
      <c r="B7895" s="130" t="n">
        <v>2027</v>
      </c>
      <c r="C7895" s="131" t="s">
        <v>253</v>
      </c>
      <c r="D7895" s="132" t="n">
        <v>46697</v>
      </c>
      <c r="E7895" s="131" t="s">
        <v>25</v>
      </c>
      <c r="F7895" s="133" t="s">
        <v>11</v>
      </c>
      <c r="G7895" s="134" t="n">
        <f aca="false">LEN('Saisie programme'!$I$292)+SUMIFS('Vols additionnels'!$E$7:$E$66,'Vols additionnels'!$C$7:$C$66,$E7895,'Vols additionnels'!$D$7:$D$66,$F7895,'Vols additionnels'!$B$7:$B$66,$D7895)</f>
        <v>0</v>
      </c>
      <c r="H7895" s="135" t="n">
        <f aca="false">$G7895*'Analyse capacite'!$F$7</f>
        <v>0</v>
      </c>
      <c r="I7895" s="135" t="n">
        <f aca="false">$G7895*'Analyse capacite'!$C$7</f>
        <v>0</v>
      </c>
      <c r="J7895" s="135" t="n">
        <f aca="false">$G7895*'Analyse capacite'!$D$7</f>
        <v>0</v>
      </c>
      <c r="K7895" s="135" t="n">
        <f aca="false">$G7895*'Analyse capacite'!$E$7</f>
        <v>0</v>
      </c>
    </row>
    <row r="7896" customFormat="false" ht="15" hidden="false" customHeight="false" outlineLevel="0" collapsed="false">
      <c r="B7896" s="130" t="n">
        <v>2027</v>
      </c>
      <c r="C7896" s="131" t="s">
        <v>253</v>
      </c>
      <c r="D7896" s="132" t="n">
        <v>46697</v>
      </c>
      <c r="E7896" s="131" t="s">
        <v>25</v>
      </c>
      <c r="F7896" s="133" t="s">
        <v>19</v>
      </c>
      <c r="G7896" s="134" t="n">
        <f aca="false">LEN('Saisie programme'!$I$293)+SUMIFS('Vols additionnels'!$E$7:$E$66,'Vols additionnels'!$C$7:$C$66,$E7896,'Vols additionnels'!$D$7:$D$66,$F7896,'Vols additionnels'!$B$7:$B$66,$D7896)</f>
        <v>1</v>
      </c>
      <c r="H7896" s="135" t="n">
        <f aca="false">$G7896*'Analyse capacite'!$F$8</f>
        <v>262</v>
      </c>
      <c r="I7896" s="135" t="n">
        <f aca="false">$G7896*'Analyse capacite'!$C$8</f>
        <v>18</v>
      </c>
      <c r="J7896" s="135" t="n">
        <f aca="false">$G7896*'Analyse capacite'!$D$8</f>
        <v>0</v>
      </c>
      <c r="K7896" s="135" t="n">
        <f aca="false">$G7896*'Analyse capacite'!$E$8</f>
        <v>244</v>
      </c>
    </row>
    <row r="7897" customFormat="false" ht="15" hidden="false" customHeight="false" outlineLevel="0" collapsed="false">
      <c r="B7897" s="130" t="n">
        <v>2027</v>
      </c>
      <c r="C7897" s="131" t="s">
        <v>253</v>
      </c>
      <c r="D7897" s="132" t="n">
        <v>46697</v>
      </c>
      <c r="E7897" s="131" t="s">
        <v>25</v>
      </c>
      <c r="F7897" s="133" t="s">
        <v>24</v>
      </c>
      <c r="G7897" s="134" t="n">
        <f aca="false">LEN('Saisie programme'!$I$294)+SUMIFS('Vols additionnels'!$E$7:$E$66,'Vols additionnels'!$C$7:$C$66,$E7897,'Vols additionnels'!$D$7:$D$66,$F7897,'Vols additionnels'!$B$7:$B$66,$D7897)</f>
        <v>0</v>
      </c>
      <c r="H7897" s="135" t="n">
        <f aca="false">$G7897*'Analyse capacite'!$F$9</f>
        <v>0</v>
      </c>
      <c r="I7897" s="135" t="n">
        <f aca="false">$G7897*'Analyse capacite'!$C$9</f>
        <v>0</v>
      </c>
      <c r="J7897" s="135" t="n">
        <f aca="false">$G7897*'Analyse capacite'!$D$9</f>
        <v>0</v>
      </c>
      <c r="K7897" s="135" t="n">
        <f aca="false">$G7897*'Analyse capacite'!$E$9</f>
        <v>0</v>
      </c>
    </row>
    <row r="7898" customFormat="false" ht="15" hidden="false" customHeight="false" outlineLevel="0" collapsed="false">
      <c r="B7898" s="130" t="n">
        <v>2027</v>
      </c>
      <c r="C7898" s="131" t="s">
        <v>253</v>
      </c>
      <c r="D7898" s="132" t="n">
        <v>46697</v>
      </c>
      <c r="E7898" s="131" t="s">
        <v>36</v>
      </c>
      <c r="F7898" s="133" t="s">
        <v>11</v>
      </c>
      <c r="G7898" s="134" t="n">
        <f aca="false">LEN('Saisie programme'!$I$295)+SUMIFS('Vols additionnels'!$E$7:$E$66,'Vols additionnels'!$C$7:$C$66,$E7898,'Vols additionnels'!$D$7:$D$66,$F7898,'Vols additionnels'!$B$7:$B$66,$D7898)</f>
        <v>0</v>
      </c>
      <c r="H7898" s="135" t="n">
        <f aca="false">$G7898*'Analyse capacite'!$F$7</f>
        <v>0</v>
      </c>
      <c r="I7898" s="135" t="n">
        <f aca="false">$G7898*'Analyse capacite'!$C$7</f>
        <v>0</v>
      </c>
      <c r="J7898" s="135" t="n">
        <f aca="false">$G7898*'Analyse capacite'!$D$7</f>
        <v>0</v>
      </c>
      <c r="K7898" s="135" t="n">
        <f aca="false">$G7898*'Analyse capacite'!$E$7</f>
        <v>0</v>
      </c>
    </row>
    <row r="7899" customFormat="false" ht="15" hidden="false" customHeight="false" outlineLevel="0" collapsed="false">
      <c r="B7899" s="130" t="n">
        <v>2027</v>
      </c>
      <c r="C7899" s="131" t="s">
        <v>253</v>
      </c>
      <c r="D7899" s="132" t="n">
        <v>46697</v>
      </c>
      <c r="E7899" s="131" t="s">
        <v>36</v>
      </c>
      <c r="F7899" s="133" t="s">
        <v>19</v>
      </c>
      <c r="G7899" s="134" t="n">
        <f aca="false">LEN('Saisie programme'!$I$296)+SUMIFS('Vols additionnels'!$E$7:$E$66,'Vols additionnels'!$C$7:$C$66,$E7899,'Vols additionnels'!$D$7:$D$66,$F7899,'Vols additionnels'!$B$7:$B$66,$D7899)</f>
        <v>0</v>
      </c>
      <c r="H7899" s="135" t="n">
        <f aca="false">$G7899*'Analyse capacite'!$F$8</f>
        <v>0</v>
      </c>
      <c r="I7899" s="135" t="n">
        <f aca="false">$G7899*'Analyse capacite'!$C$8</f>
        <v>0</v>
      </c>
      <c r="J7899" s="135" t="n">
        <f aca="false">$G7899*'Analyse capacite'!$D$8</f>
        <v>0</v>
      </c>
      <c r="K7899" s="135" t="n">
        <f aca="false">$G7899*'Analyse capacite'!$E$8</f>
        <v>0</v>
      </c>
    </row>
    <row r="7900" customFormat="false" ht="15" hidden="false" customHeight="false" outlineLevel="0" collapsed="false">
      <c r="B7900" s="130" t="n">
        <v>2027</v>
      </c>
      <c r="C7900" s="131" t="s">
        <v>253</v>
      </c>
      <c r="D7900" s="132" t="n">
        <v>46697</v>
      </c>
      <c r="E7900" s="131" t="s">
        <v>36</v>
      </c>
      <c r="F7900" s="133" t="s">
        <v>24</v>
      </c>
      <c r="G7900" s="134" t="n">
        <f aca="false">LEN('Saisie programme'!$I$297)+SUMIFS('Vols additionnels'!$E$7:$E$66,'Vols additionnels'!$C$7:$C$66,$E7900,'Vols additionnels'!$D$7:$D$66,$F7900,'Vols additionnels'!$B$7:$B$66,$D7900)</f>
        <v>0</v>
      </c>
      <c r="H7900" s="135" t="n">
        <f aca="false">$G7900*'Analyse capacite'!$F$9</f>
        <v>0</v>
      </c>
      <c r="I7900" s="135" t="n">
        <f aca="false">$G7900*'Analyse capacite'!$C$9</f>
        <v>0</v>
      </c>
      <c r="J7900" s="135" t="n">
        <f aca="false">$G7900*'Analyse capacite'!$D$9</f>
        <v>0</v>
      </c>
      <c r="K7900" s="135" t="n">
        <f aca="false">$G7900*'Analyse capacite'!$E$9</f>
        <v>0</v>
      </c>
    </row>
    <row r="7901" customFormat="false" ht="15" hidden="false" customHeight="false" outlineLevel="0" collapsed="false">
      <c r="B7901" s="130" t="n">
        <v>2027</v>
      </c>
      <c r="C7901" s="131" t="s">
        <v>253</v>
      </c>
      <c r="D7901" s="132" t="n">
        <v>46697</v>
      </c>
      <c r="E7901" s="131" t="s">
        <v>40</v>
      </c>
      <c r="F7901" s="133" t="s">
        <v>11</v>
      </c>
      <c r="G7901" s="134" t="n">
        <f aca="false">LEN('Saisie programme'!$I$298)+SUMIFS('Vols additionnels'!$E$7:$E$66,'Vols additionnels'!$C$7:$C$66,$E7901,'Vols additionnels'!$D$7:$D$66,$F7901,'Vols additionnels'!$B$7:$B$66,$D7901)</f>
        <v>0</v>
      </c>
      <c r="H7901" s="135" t="n">
        <f aca="false">$G7901*'Analyse capacite'!$F$7</f>
        <v>0</v>
      </c>
      <c r="I7901" s="135" t="n">
        <f aca="false">$G7901*'Analyse capacite'!$C$7</f>
        <v>0</v>
      </c>
      <c r="J7901" s="135" t="n">
        <f aca="false">$G7901*'Analyse capacite'!$D$7</f>
        <v>0</v>
      </c>
      <c r="K7901" s="135" t="n">
        <f aca="false">$G7901*'Analyse capacite'!$E$7</f>
        <v>0</v>
      </c>
    </row>
    <row r="7902" customFormat="false" ht="15" hidden="false" customHeight="false" outlineLevel="0" collapsed="false">
      <c r="B7902" s="130" t="n">
        <v>2027</v>
      </c>
      <c r="C7902" s="131" t="s">
        <v>253</v>
      </c>
      <c r="D7902" s="132" t="n">
        <v>46697</v>
      </c>
      <c r="E7902" s="131" t="s">
        <v>40</v>
      </c>
      <c r="F7902" s="133" t="s">
        <v>19</v>
      </c>
      <c r="G7902" s="134" t="n">
        <f aca="false">LEN('Saisie programme'!$I$299)+SUMIFS('Vols additionnels'!$E$7:$E$66,'Vols additionnels'!$C$7:$C$66,$E7902,'Vols additionnels'!$D$7:$D$66,$F7902,'Vols additionnels'!$B$7:$B$66,$D7902)</f>
        <v>0</v>
      </c>
      <c r="H7902" s="135" t="n">
        <f aca="false">$G7902*'Analyse capacite'!$F$8</f>
        <v>0</v>
      </c>
      <c r="I7902" s="135" t="n">
        <f aca="false">$G7902*'Analyse capacite'!$C$8</f>
        <v>0</v>
      </c>
      <c r="J7902" s="135" t="n">
        <f aca="false">$G7902*'Analyse capacite'!$D$8</f>
        <v>0</v>
      </c>
      <c r="K7902" s="135" t="n">
        <f aca="false">$G7902*'Analyse capacite'!$E$8</f>
        <v>0</v>
      </c>
    </row>
    <row r="7903" customFormat="false" ht="15" hidden="false" customHeight="false" outlineLevel="0" collapsed="false">
      <c r="B7903" s="130" t="n">
        <v>2027</v>
      </c>
      <c r="C7903" s="131" t="s">
        <v>253</v>
      </c>
      <c r="D7903" s="132" t="n">
        <v>46697</v>
      </c>
      <c r="E7903" s="131" t="s">
        <v>40</v>
      </c>
      <c r="F7903" s="133" t="s">
        <v>24</v>
      </c>
      <c r="G7903" s="134" t="n">
        <f aca="false">LEN('Saisie programme'!$I$300)+SUMIFS('Vols additionnels'!$E$7:$E$66,'Vols additionnels'!$C$7:$C$66,$E7903,'Vols additionnels'!$D$7:$D$66,$F7903,'Vols additionnels'!$B$7:$B$66,$D7903)</f>
        <v>0</v>
      </c>
      <c r="H7903" s="135" t="n">
        <f aca="false">$G7903*'Analyse capacite'!$F$9</f>
        <v>0</v>
      </c>
      <c r="I7903" s="135" t="n">
        <f aca="false">$G7903*'Analyse capacite'!$C$9</f>
        <v>0</v>
      </c>
      <c r="J7903" s="135" t="n">
        <f aca="false">$G7903*'Analyse capacite'!$D$9</f>
        <v>0</v>
      </c>
      <c r="K7903" s="135" t="n">
        <f aca="false">$G7903*'Analyse capacite'!$E$9</f>
        <v>0</v>
      </c>
    </row>
    <row r="7904" customFormat="false" ht="15" hidden="false" customHeight="false" outlineLevel="0" collapsed="false">
      <c r="B7904" s="130" t="n">
        <v>2027</v>
      </c>
      <c r="C7904" s="131" t="s">
        <v>253</v>
      </c>
      <c r="D7904" s="132" t="n">
        <v>46697</v>
      </c>
      <c r="E7904" s="131" t="s">
        <v>14</v>
      </c>
      <c r="F7904" s="133" t="s">
        <v>11</v>
      </c>
      <c r="G7904" s="134" t="n">
        <f aca="false">LEN('Saisie programme'!$I$301)+SUMIFS('Vols additionnels'!$E$7:$E$66,'Vols additionnels'!$C$7:$C$66,$E7904,'Vols additionnels'!$D$7:$D$66,$F7904,'Vols additionnels'!$B$7:$B$66,$D7904)</f>
        <v>0</v>
      </c>
      <c r="H7904" s="135" t="n">
        <f aca="false">$G7904*'Analyse capacite'!$F$7</f>
        <v>0</v>
      </c>
      <c r="I7904" s="135" t="n">
        <f aca="false">$G7904*'Analyse capacite'!$C$7</f>
        <v>0</v>
      </c>
      <c r="J7904" s="135" t="n">
        <f aca="false">$G7904*'Analyse capacite'!$D$7</f>
        <v>0</v>
      </c>
      <c r="K7904" s="135" t="n">
        <f aca="false">$G7904*'Analyse capacite'!$E$7</f>
        <v>0</v>
      </c>
    </row>
    <row r="7905" customFormat="false" ht="15" hidden="false" customHeight="false" outlineLevel="0" collapsed="false">
      <c r="B7905" s="130" t="n">
        <v>2027</v>
      </c>
      <c r="C7905" s="131" t="s">
        <v>253</v>
      </c>
      <c r="D7905" s="132" t="n">
        <v>46697</v>
      </c>
      <c r="E7905" s="131" t="s">
        <v>14</v>
      </c>
      <c r="F7905" s="133" t="s">
        <v>19</v>
      </c>
      <c r="G7905" s="134" t="n">
        <f aca="false">LEN('Saisie programme'!$I$302)+SUMIFS('Vols additionnels'!$E$7:$E$66,'Vols additionnels'!$C$7:$C$66,$E7905,'Vols additionnels'!$D$7:$D$66,$F7905,'Vols additionnels'!$B$7:$B$66,$D7905)</f>
        <v>0</v>
      </c>
      <c r="H7905" s="135" t="n">
        <f aca="false">$G7905*'Analyse capacite'!$F$8</f>
        <v>0</v>
      </c>
      <c r="I7905" s="135" t="n">
        <f aca="false">$G7905*'Analyse capacite'!$C$8</f>
        <v>0</v>
      </c>
      <c r="J7905" s="135" t="n">
        <f aca="false">$G7905*'Analyse capacite'!$D$8</f>
        <v>0</v>
      </c>
      <c r="K7905" s="135" t="n">
        <f aca="false">$G7905*'Analyse capacite'!$E$8</f>
        <v>0</v>
      </c>
    </row>
    <row r="7906" customFormat="false" ht="15" hidden="false" customHeight="false" outlineLevel="0" collapsed="false">
      <c r="B7906" s="130" t="n">
        <v>2027</v>
      </c>
      <c r="C7906" s="131" t="s">
        <v>253</v>
      </c>
      <c r="D7906" s="132" t="n">
        <v>46697</v>
      </c>
      <c r="E7906" s="131" t="s">
        <v>14</v>
      </c>
      <c r="F7906" s="133" t="s">
        <v>24</v>
      </c>
      <c r="G7906" s="134" t="n">
        <f aca="false">LEN('Saisie programme'!$I$303)+SUMIFS('Vols additionnels'!$E$7:$E$66,'Vols additionnels'!$C$7:$C$66,$E7906,'Vols additionnels'!$D$7:$D$66,$F7906,'Vols additionnels'!$B$7:$B$66,$D7906)</f>
        <v>1</v>
      </c>
      <c r="H7906" s="135" t="n">
        <f aca="false">$G7906*'Analyse capacite'!$F$9</f>
        <v>174</v>
      </c>
      <c r="I7906" s="135" t="n">
        <f aca="false">$G7906*'Analyse capacite'!$C$9</f>
        <v>0</v>
      </c>
      <c r="J7906" s="135" t="n">
        <f aca="false">$G7906*'Analyse capacite'!$D$9</f>
        <v>12</v>
      </c>
      <c r="K7906" s="135" t="n">
        <f aca="false">$G7906*'Analyse capacite'!$E$9</f>
        <v>162</v>
      </c>
    </row>
    <row r="7907" customFormat="false" ht="15" hidden="false" customHeight="false" outlineLevel="0" collapsed="false">
      <c r="B7907" s="130" t="n">
        <v>2027</v>
      </c>
      <c r="C7907" s="131" t="s">
        <v>253</v>
      </c>
      <c r="D7907" s="132" t="n">
        <v>46697</v>
      </c>
      <c r="E7907" s="131" t="s">
        <v>46</v>
      </c>
      <c r="F7907" s="133" t="s">
        <v>11</v>
      </c>
      <c r="G7907" s="134" t="n">
        <f aca="false">LEN('Saisie programme'!$I$304)+SUMIFS('Vols additionnels'!$E$7:$E$66,'Vols additionnels'!$C$7:$C$66,$E7907,'Vols additionnels'!$D$7:$D$66,$F7907,'Vols additionnels'!$B$7:$B$66,$D7907)</f>
        <v>0</v>
      </c>
      <c r="H7907" s="135" t="n">
        <f aca="false">$G7907*'Analyse capacite'!$F$7</f>
        <v>0</v>
      </c>
      <c r="I7907" s="135" t="n">
        <f aca="false">$G7907*'Analyse capacite'!$C$7</f>
        <v>0</v>
      </c>
      <c r="J7907" s="135" t="n">
        <f aca="false">$G7907*'Analyse capacite'!$D$7</f>
        <v>0</v>
      </c>
      <c r="K7907" s="135" t="n">
        <f aca="false">$G7907*'Analyse capacite'!$E$7</f>
        <v>0</v>
      </c>
    </row>
    <row r="7908" customFormat="false" ht="15" hidden="false" customHeight="false" outlineLevel="0" collapsed="false">
      <c r="B7908" s="130" t="n">
        <v>2027</v>
      </c>
      <c r="C7908" s="131" t="s">
        <v>253</v>
      </c>
      <c r="D7908" s="132" t="n">
        <v>46697</v>
      </c>
      <c r="E7908" s="131" t="s">
        <v>46</v>
      </c>
      <c r="F7908" s="133" t="s">
        <v>19</v>
      </c>
      <c r="G7908" s="134" t="n">
        <f aca="false">LEN('Saisie programme'!$I$305)+SUMIFS('Vols additionnels'!$E$7:$E$66,'Vols additionnels'!$C$7:$C$66,$E7908,'Vols additionnels'!$D$7:$D$66,$F7908,'Vols additionnels'!$B$7:$B$66,$D7908)</f>
        <v>0</v>
      </c>
      <c r="H7908" s="135" t="n">
        <f aca="false">$G7908*'Analyse capacite'!$F$8</f>
        <v>0</v>
      </c>
      <c r="I7908" s="135" t="n">
        <f aca="false">$G7908*'Analyse capacite'!$C$8</f>
        <v>0</v>
      </c>
      <c r="J7908" s="135" t="n">
        <f aca="false">$G7908*'Analyse capacite'!$D$8</f>
        <v>0</v>
      </c>
      <c r="K7908" s="135" t="n">
        <f aca="false">$G7908*'Analyse capacite'!$E$8</f>
        <v>0</v>
      </c>
    </row>
    <row r="7909" customFormat="false" ht="15" hidden="false" customHeight="false" outlineLevel="0" collapsed="false">
      <c r="B7909" s="130" t="n">
        <v>2027</v>
      </c>
      <c r="C7909" s="131" t="s">
        <v>253</v>
      </c>
      <c r="D7909" s="132" t="n">
        <v>46697</v>
      </c>
      <c r="E7909" s="131" t="s">
        <v>46</v>
      </c>
      <c r="F7909" s="133" t="s">
        <v>24</v>
      </c>
      <c r="G7909" s="134" t="n">
        <f aca="false">LEN('Saisie programme'!$I$306)+SUMIFS('Vols additionnels'!$E$7:$E$66,'Vols additionnels'!$C$7:$C$66,$E7909,'Vols additionnels'!$D$7:$D$66,$F7909,'Vols additionnels'!$B$7:$B$66,$D7909)</f>
        <v>1</v>
      </c>
      <c r="H7909" s="135" t="n">
        <f aca="false">$G7909*'Analyse capacite'!$F$9</f>
        <v>174</v>
      </c>
      <c r="I7909" s="135" t="n">
        <f aca="false">$G7909*'Analyse capacite'!$C$9</f>
        <v>0</v>
      </c>
      <c r="J7909" s="135" t="n">
        <f aca="false">$G7909*'Analyse capacite'!$D$9</f>
        <v>12</v>
      </c>
      <c r="K7909" s="135" t="n">
        <f aca="false">$G7909*'Analyse capacite'!$E$9</f>
        <v>162</v>
      </c>
    </row>
    <row r="7910" customFormat="false" ht="15" hidden="false" customHeight="false" outlineLevel="0" collapsed="false">
      <c r="B7910" s="130" t="n">
        <v>2027</v>
      </c>
      <c r="C7910" s="131" t="s">
        <v>253</v>
      </c>
      <c r="D7910" s="132" t="n">
        <v>46697</v>
      </c>
      <c r="E7910" s="131" t="s">
        <v>49</v>
      </c>
      <c r="F7910" s="133" t="s">
        <v>11</v>
      </c>
      <c r="G7910" s="134" t="n">
        <f aca="false">LEN('Saisie programme'!$I$307)+SUMIFS('Vols additionnels'!$E$7:$E$66,'Vols additionnels'!$C$7:$C$66,$E7910,'Vols additionnels'!$D$7:$D$66,$F7910,'Vols additionnels'!$B$7:$B$66,$D7910)</f>
        <v>0</v>
      </c>
      <c r="H7910" s="135" t="n">
        <f aca="false">$G7910*'Analyse capacite'!$F$7</f>
        <v>0</v>
      </c>
      <c r="I7910" s="135" t="n">
        <f aca="false">$G7910*'Analyse capacite'!$C$7</f>
        <v>0</v>
      </c>
      <c r="J7910" s="135" t="n">
        <f aca="false">$G7910*'Analyse capacite'!$D$7</f>
        <v>0</v>
      </c>
      <c r="K7910" s="135" t="n">
        <f aca="false">$G7910*'Analyse capacite'!$E$7</f>
        <v>0</v>
      </c>
    </row>
    <row r="7911" customFormat="false" ht="15" hidden="false" customHeight="false" outlineLevel="0" collapsed="false">
      <c r="B7911" s="130" t="n">
        <v>2027</v>
      </c>
      <c r="C7911" s="131" t="s">
        <v>253</v>
      </c>
      <c r="D7911" s="132" t="n">
        <v>46697</v>
      </c>
      <c r="E7911" s="131" t="s">
        <v>49</v>
      </c>
      <c r="F7911" s="133" t="s">
        <v>19</v>
      </c>
      <c r="G7911" s="134" t="n">
        <f aca="false">LEN('Saisie programme'!$I$308)+SUMIFS('Vols additionnels'!$E$7:$E$66,'Vols additionnels'!$C$7:$C$66,$E7911,'Vols additionnels'!$D$7:$D$66,$F7911,'Vols additionnels'!$B$7:$B$66,$D7911)</f>
        <v>0</v>
      </c>
      <c r="H7911" s="135" t="n">
        <f aca="false">$G7911*'Analyse capacite'!$F$8</f>
        <v>0</v>
      </c>
      <c r="I7911" s="135" t="n">
        <f aca="false">$G7911*'Analyse capacite'!$C$8</f>
        <v>0</v>
      </c>
      <c r="J7911" s="135" t="n">
        <f aca="false">$G7911*'Analyse capacite'!$D$8</f>
        <v>0</v>
      </c>
      <c r="K7911" s="135" t="n">
        <f aca="false">$G7911*'Analyse capacite'!$E$8</f>
        <v>0</v>
      </c>
    </row>
    <row r="7912" customFormat="false" ht="15" hidden="false" customHeight="false" outlineLevel="0" collapsed="false">
      <c r="B7912" s="130" t="n">
        <v>2027</v>
      </c>
      <c r="C7912" s="131" t="s">
        <v>253</v>
      </c>
      <c r="D7912" s="132" t="n">
        <v>46697</v>
      </c>
      <c r="E7912" s="131" t="s">
        <v>49</v>
      </c>
      <c r="F7912" s="133" t="s">
        <v>24</v>
      </c>
      <c r="G7912" s="134" t="n">
        <f aca="false">LEN('Saisie programme'!$I$309)+SUMIFS('Vols additionnels'!$E$7:$E$66,'Vols additionnels'!$C$7:$C$66,$E7912,'Vols additionnels'!$D$7:$D$66,$F7912,'Vols additionnels'!$B$7:$B$66,$D7912)</f>
        <v>0</v>
      </c>
      <c r="H7912" s="135" t="n">
        <f aca="false">$G7912*'Analyse capacite'!$F$9</f>
        <v>0</v>
      </c>
      <c r="I7912" s="135" t="n">
        <f aca="false">$G7912*'Analyse capacite'!$C$9</f>
        <v>0</v>
      </c>
      <c r="J7912" s="135" t="n">
        <f aca="false">$G7912*'Analyse capacite'!$D$9</f>
        <v>0</v>
      </c>
      <c r="K7912" s="135" t="n">
        <f aca="false">$G7912*'Analyse capacite'!$E$9</f>
        <v>0</v>
      </c>
    </row>
    <row r="7913" customFormat="false" ht="15" hidden="false" customHeight="false" outlineLevel="0" collapsed="false">
      <c r="B7913" s="130" t="n">
        <v>2027</v>
      </c>
      <c r="C7913" s="131" t="s">
        <v>253</v>
      </c>
      <c r="D7913" s="132" t="n">
        <v>46697</v>
      </c>
      <c r="E7913" s="131" t="s">
        <v>53</v>
      </c>
      <c r="F7913" s="133" t="s">
        <v>11</v>
      </c>
      <c r="G7913" s="134" t="n">
        <f aca="false">LEN('Saisie programme'!$I$310)+SUMIFS('Vols additionnels'!$E$7:$E$66,'Vols additionnels'!$C$7:$C$66,$E7913,'Vols additionnels'!$D$7:$D$66,$F7913,'Vols additionnels'!$B$7:$B$66,$D7913)</f>
        <v>0</v>
      </c>
      <c r="H7913" s="135" t="n">
        <f aca="false">$G7913*'Analyse capacite'!$F$7</f>
        <v>0</v>
      </c>
      <c r="I7913" s="135" t="n">
        <f aca="false">$G7913*'Analyse capacite'!$C$7</f>
        <v>0</v>
      </c>
      <c r="J7913" s="135" t="n">
        <f aca="false">$G7913*'Analyse capacite'!$D$7</f>
        <v>0</v>
      </c>
      <c r="K7913" s="135" t="n">
        <f aca="false">$G7913*'Analyse capacite'!$E$7</f>
        <v>0</v>
      </c>
    </row>
    <row r="7914" customFormat="false" ht="15" hidden="false" customHeight="false" outlineLevel="0" collapsed="false">
      <c r="B7914" s="130" t="n">
        <v>2027</v>
      </c>
      <c r="C7914" s="131" t="s">
        <v>253</v>
      </c>
      <c r="D7914" s="132" t="n">
        <v>46697</v>
      </c>
      <c r="E7914" s="131" t="s">
        <v>53</v>
      </c>
      <c r="F7914" s="133" t="s">
        <v>19</v>
      </c>
      <c r="G7914" s="134" t="n">
        <f aca="false">LEN('Saisie programme'!$I$311)+SUMIFS('Vols additionnels'!$E$7:$E$66,'Vols additionnels'!$C$7:$C$66,$E7914,'Vols additionnels'!$D$7:$D$66,$F7914,'Vols additionnels'!$B$7:$B$66,$D7914)</f>
        <v>0</v>
      </c>
      <c r="H7914" s="135" t="n">
        <f aca="false">$G7914*'Analyse capacite'!$F$8</f>
        <v>0</v>
      </c>
      <c r="I7914" s="135" t="n">
        <f aca="false">$G7914*'Analyse capacite'!$C$8</f>
        <v>0</v>
      </c>
      <c r="J7914" s="135" t="n">
        <f aca="false">$G7914*'Analyse capacite'!$D$8</f>
        <v>0</v>
      </c>
      <c r="K7914" s="135" t="n">
        <f aca="false">$G7914*'Analyse capacite'!$E$8</f>
        <v>0</v>
      </c>
    </row>
    <row r="7915" customFormat="false" ht="15" hidden="false" customHeight="false" outlineLevel="0" collapsed="false">
      <c r="B7915" s="130" t="n">
        <v>2027</v>
      </c>
      <c r="C7915" s="131" t="s">
        <v>253</v>
      </c>
      <c r="D7915" s="132" t="n">
        <v>46697</v>
      </c>
      <c r="E7915" s="131" t="s">
        <v>53</v>
      </c>
      <c r="F7915" s="133" t="s">
        <v>24</v>
      </c>
      <c r="G7915" s="134" t="n">
        <f aca="false">LEN('Saisie programme'!$I$312)+SUMIFS('Vols additionnels'!$E$7:$E$66,'Vols additionnels'!$C$7:$C$66,$E7915,'Vols additionnels'!$D$7:$D$66,$F7915,'Vols additionnels'!$B$7:$B$66,$D7915)</f>
        <v>0</v>
      </c>
      <c r="H7915" s="135" t="n">
        <f aca="false">$G7915*'Analyse capacite'!$F$9</f>
        <v>0</v>
      </c>
      <c r="I7915" s="135" t="n">
        <f aca="false">$G7915*'Analyse capacite'!$C$9</f>
        <v>0</v>
      </c>
      <c r="J7915" s="135" t="n">
        <f aca="false">$G7915*'Analyse capacite'!$D$9</f>
        <v>0</v>
      </c>
      <c r="K7915" s="135" t="n">
        <f aca="false">$G7915*'Analyse capacite'!$E$9</f>
        <v>0</v>
      </c>
    </row>
    <row r="7916" customFormat="false" ht="15" hidden="false" customHeight="false" outlineLevel="0" collapsed="false">
      <c r="B7916" s="130" t="n">
        <v>2027</v>
      </c>
      <c r="C7916" s="131" t="s">
        <v>253</v>
      </c>
      <c r="D7916" s="132" t="n">
        <v>46697</v>
      </c>
      <c r="E7916" s="131" t="s">
        <v>56</v>
      </c>
      <c r="F7916" s="133" t="s">
        <v>11</v>
      </c>
      <c r="G7916" s="134" t="n">
        <f aca="false">LEN('Saisie programme'!$I$313)+SUMIFS('Vols additionnels'!$E$7:$E$66,'Vols additionnels'!$C$7:$C$66,$E7916,'Vols additionnels'!$D$7:$D$66,$F7916,'Vols additionnels'!$B$7:$B$66,$D7916)</f>
        <v>0</v>
      </c>
      <c r="H7916" s="135" t="n">
        <f aca="false">$G7916*'Analyse capacite'!$F$7</f>
        <v>0</v>
      </c>
      <c r="I7916" s="135" t="n">
        <f aca="false">$G7916*'Analyse capacite'!$C$7</f>
        <v>0</v>
      </c>
      <c r="J7916" s="135" t="n">
        <f aca="false">$G7916*'Analyse capacite'!$D$7</f>
        <v>0</v>
      </c>
      <c r="K7916" s="135" t="n">
        <f aca="false">$G7916*'Analyse capacite'!$E$7</f>
        <v>0</v>
      </c>
    </row>
    <row r="7917" customFormat="false" ht="15" hidden="false" customHeight="false" outlineLevel="0" collapsed="false">
      <c r="B7917" s="130" t="n">
        <v>2027</v>
      </c>
      <c r="C7917" s="131" t="s">
        <v>253</v>
      </c>
      <c r="D7917" s="132" t="n">
        <v>46697</v>
      </c>
      <c r="E7917" s="131" t="s">
        <v>56</v>
      </c>
      <c r="F7917" s="133" t="s">
        <v>19</v>
      </c>
      <c r="G7917" s="134" t="n">
        <f aca="false">LEN('Saisie programme'!$I$314)+SUMIFS('Vols additionnels'!$E$7:$E$66,'Vols additionnels'!$C$7:$C$66,$E7917,'Vols additionnels'!$D$7:$D$66,$F7917,'Vols additionnels'!$B$7:$B$66,$D7917)</f>
        <v>0</v>
      </c>
      <c r="H7917" s="135" t="n">
        <f aca="false">$G7917*'Analyse capacite'!$F$8</f>
        <v>0</v>
      </c>
      <c r="I7917" s="135" t="n">
        <f aca="false">$G7917*'Analyse capacite'!$C$8</f>
        <v>0</v>
      </c>
      <c r="J7917" s="135" t="n">
        <f aca="false">$G7917*'Analyse capacite'!$D$8</f>
        <v>0</v>
      </c>
      <c r="K7917" s="135" t="n">
        <f aca="false">$G7917*'Analyse capacite'!$E$8</f>
        <v>0</v>
      </c>
    </row>
    <row r="7918" customFormat="false" ht="15" hidden="false" customHeight="false" outlineLevel="0" collapsed="false">
      <c r="B7918" s="130" t="n">
        <v>2027</v>
      </c>
      <c r="C7918" s="131" t="s">
        <v>253</v>
      </c>
      <c r="D7918" s="132" t="n">
        <v>46697</v>
      </c>
      <c r="E7918" s="131" t="s">
        <v>56</v>
      </c>
      <c r="F7918" s="133" t="s">
        <v>24</v>
      </c>
      <c r="G7918" s="134" t="n">
        <f aca="false">LEN('Saisie programme'!$I$315)+SUMIFS('Vols additionnels'!$E$7:$E$66,'Vols additionnels'!$C$7:$C$66,$E7918,'Vols additionnels'!$D$7:$D$66,$F7918,'Vols additionnels'!$B$7:$B$66,$D7918)</f>
        <v>1</v>
      </c>
      <c r="H7918" s="135" t="n">
        <f aca="false">$G7918*'Analyse capacite'!$F$9</f>
        <v>174</v>
      </c>
      <c r="I7918" s="135" t="n">
        <f aca="false">$G7918*'Analyse capacite'!$C$9</f>
        <v>0</v>
      </c>
      <c r="J7918" s="135" t="n">
        <f aca="false">$G7918*'Analyse capacite'!$D$9</f>
        <v>12</v>
      </c>
      <c r="K7918" s="135" t="n">
        <f aca="false">$G7918*'Analyse capacite'!$E$9</f>
        <v>162</v>
      </c>
    </row>
    <row r="7919" customFormat="false" ht="15" hidden="false" customHeight="false" outlineLevel="0" collapsed="false">
      <c r="B7919" s="130" t="n">
        <v>2027</v>
      </c>
      <c r="C7919" s="131" t="s">
        <v>253</v>
      </c>
      <c r="D7919" s="132" t="n">
        <v>46697</v>
      </c>
      <c r="E7919" s="131" t="s">
        <v>59</v>
      </c>
      <c r="F7919" s="133" t="s">
        <v>11</v>
      </c>
      <c r="G7919" s="134" t="n">
        <f aca="false">LEN('Saisie programme'!$I$316)+SUMIFS('Vols additionnels'!$E$7:$E$66,'Vols additionnels'!$C$7:$C$66,$E7919,'Vols additionnels'!$D$7:$D$66,$F7919,'Vols additionnels'!$B$7:$B$66,$D7919)</f>
        <v>0</v>
      </c>
      <c r="H7919" s="135" t="n">
        <f aca="false">$G7919*'Analyse capacite'!$F$7</f>
        <v>0</v>
      </c>
      <c r="I7919" s="135" t="n">
        <f aca="false">$G7919*'Analyse capacite'!$C$7</f>
        <v>0</v>
      </c>
      <c r="J7919" s="135" t="n">
        <f aca="false">$G7919*'Analyse capacite'!$D$7</f>
        <v>0</v>
      </c>
      <c r="K7919" s="135" t="n">
        <f aca="false">$G7919*'Analyse capacite'!$E$7</f>
        <v>0</v>
      </c>
    </row>
    <row r="7920" customFormat="false" ht="15" hidden="false" customHeight="false" outlineLevel="0" collapsed="false">
      <c r="B7920" s="130" t="n">
        <v>2027</v>
      </c>
      <c r="C7920" s="131" t="s">
        <v>253</v>
      </c>
      <c r="D7920" s="132" t="n">
        <v>46697</v>
      </c>
      <c r="E7920" s="131" t="s">
        <v>59</v>
      </c>
      <c r="F7920" s="133" t="s">
        <v>19</v>
      </c>
      <c r="G7920" s="134" t="n">
        <f aca="false">LEN('Saisie programme'!$I$317)+SUMIFS('Vols additionnels'!$E$7:$E$66,'Vols additionnels'!$C$7:$C$66,$E7920,'Vols additionnels'!$D$7:$D$66,$F7920,'Vols additionnels'!$B$7:$B$66,$D7920)</f>
        <v>0</v>
      </c>
      <c r="H7920" s="135" t="n">
        <f aca="false">$G7920*'Analyse capacite'!$F$8</f>
        <v>0</v>
      </c>
      <c r="I7920" s="135" t="n">
        <f aca="false">$G7920*'Analyse capacite'!$C$8</f>
        <v>0</v>
      </c>
      <c r="J7920" s="135" t="n">
        <f aca="false">$G7920*'Analyse capacite'!$D$8</f>
        <v>0</v>
      </c>
      <c r="K7920" s="135" t="n">
        <f aca="false">$G7920*'Analyse capacite'!$E$8</f>
        <v>0</v>
      </c>
    </row>
    <row r="7921" customFormat="false" ht="15" hidden="false" customHeight="false" outlineLevel="0" collapsed="false">
      <c r="B7921" s="130" t="n">
        <v>2027</v>
      </c>
      <c r="C7921" s="131" t="s">
        <v>253</v>
      </c>
      <c r="D7921" s="132" t="n">
        <v>46697</v>
      </c>
      <c r="E7921" s="131" t="s">
        <v>59</v>
      </c>
      <c r="F7921" s="133" t="s">
        <v>24</v>
      </c>
      <c r="G7921" s="134" t="n">
        <f aca="false">LEN('Saisie programme'!$I$318)+SUMIFS('Vols additionnels'!$E$7:$E$66,'Vols additionnels'!$C$7:$C$66,$E7921,'Vols additionnels'!$D$7:$D$66,$F7921,'Vols additionnels'!$B$7:$B$66,$D7921)</f>
        <v>1</v>
      </c>
      <c r="H7921" s="135" t="n">
        <f aca="false">$G7921*'Analyse capacite'!$F$9</f>
        <v>174</v>
      </c>
      <c r="I7921" s="135" t="n">
        <f aca="false">$G7921*'Analyse capacite'!$C$9</f>
        <v>0</v>
      </c>
      <c r="J7921" s="135" t="n">
        <f aca="false">$G7921*'Analyse capacite'!$D$9</f>
        <v>12</v>
      </c>
      <c r="K7921" s="135" t="n">
        <f aca="false">$G7921*'Analyse capacite'!$E$9</f>
        <v>162</v>
      </c>
    </row>
    <row r="7922" customFormat="false" ht="15" hidden="false" customHeight="false" outlineLevel="0" collapsed="false">
      <c r="B7922" s="130" t="n">
        <v>2027</v>
      </c>
      <c r="C7922" s="131" t="s">
        <v>253</v>
      </c>
      <c r="D7922" s="132" t="n">
        <v>46697</v>
      </c>
      <c r="E7922" s="131" t="s">
        <v>62</v>
      </c>
      <c r="F7922" s="133" t="s">
        <v>11</v>
      </c>
      <c r="G7922" s="134" t="n">
        <f aca="false">LEN('Saisie programme'!$I$319)+SUMIFS('Vols additionnels'!$E$7:$E$66,'Vols additionnels'!$C$7:$C$66,$E7922,'Vols additionnels'!$D$7:$D$66,$F7922,'Vols additionnels'!$B$7:$B$66,$D7922)</f>
        <v>0</v>
      </c>
      <c r="H7922" s="135" t="n">
        <f aca="false">$G7922*'Analyse capacite'!$F$7</f>
        <v>0</v>
      </c>
      <c r="I7922" s="135" t="n">
        <f aca="false">$G7922*'Analyse capacite'!$C$7</f>
        <v>0</v>
      </c>
      <c r="J7922" s="135" t="n">
        <f aca="false">$G7922*'Analyse capacite'!$D$7</f>
        <v>0</v>
      </c>
      <c r="K7922" s="135" t="n">
        <f aca="false">$G7922*'Analyse capacite'!$E$7</f>
        <v>0</v>
      </c>
    </row>
    <row r="7923" customFormat="false" ht="15" hidden="false" customHeight="false" outlineLevel="0" collapsed="false">
      <c r="B7923" s="130" t="n">
        <v>2027</v>
      </c>
      <c r="C7923" s="131" t="s">
        <v>253</v>
      </c>
      <c r="D7923" s="132" t="n">
        <v>46697</v>
      </c>
      <c r="E7923" s="131" t="s">
        <v>62</v>
      </c>
      <c r="F7923" s="133" t="s">
        <v>19</v>
      </c>
      <c r="G7923" s="134" t="n">
        <f aca="false">LEN('Saisie programme'!$I$320)+SUMIFS('Vols additionnels'!$E$7:$E$66,'Vols additionnels'!$C$7:$C$66,$E7923,'Vols additionnels'!$D$7:$D$66,$F7923,'Vols additionnels'!$B$7:$B$66,$D7923)</f>
        <v>0</v>
      </c>
      <c r="H7923" s="135" t="n">
        <f aca="false">$G7923*'Analyse capacite'!$F$8</f>
        <v>0</v>
      </c>
      <c r="I7923" s="135" t="n">
        <f aca="false">$G7923*'Analyse capacite'!$C$8</f>
        <v>0</v>
      </c>
      <c r="J7923" s="135" t="n">
        <f aca="false">$G7923*'Analyse capacite'!$D$8</f>
        <v>0</v>
      </c>
      <c r="K7923" s="135" t="n">
        <f aca="false">$G7923*'Analyse capacite'!$E$8</f>
        <v>0</v>
      </c>
    </row>
    <row r="7924" customFormat="false" ht="15" hidden="false" customHeight="false" outlineLevel="0" collapsed="false">
      <c r="B7924" s="130" t="n">
        <v>2027</v>
      </c>
      <c r="C7924" s="131" t="s">
        <v>253</v>
      </c>
      <c r="D7924" s="132" t="n">
        <v>46697</v>
      </c>
      <c r="E7924" s="131" t="s">
        <v>62</v>
      </c>
      <c r="F7924" s="133" t="s">
        <v>24</v>
      </c>
      <c r="G7924" s="134" t="n">
        <f aca="false">LEN('Saisie programme'!$I$321)+SUMIFS('Vols additionnels'!$E$7:$E$66,'Vols additionnels'!$C$7:$C$66,$E7924,'Vols additionnels'!$D$7:$D$66,$F7924,'Vols additionnels'!$B$7:$B$66,$D7924)</f>
        <v>0</v>
      </c>
      <c r="H7924" s="135" t="n">
        <f aca="false">$G7924*'Analyse capacite'!$F$9</f>
        <v>0</v>
      </c>
      <c r="I7924" s="135" t="n">
        <f aca="false">$G7924*'Analyse capacite'!$C$9</f>
        <v>0</v>
      </c>
      <c r="J7924" s="135" t="n">
        <f aca="false">$G7924*'Analyse capacite'!$D$9</f>
        <v>0</v>
      </c>
      <c r="K7924" s="135" t="n">
        <f aca="false">$G7924*'Analyse capacite'!$E$9</f>
        <v>0</v>
      </c>
    </row>
    <row r="7925" customFormat="false" ht="15" hidden="false" customHeight="false" outlineLevel="0" collapsed="false">
      <c r="B7925" s="130" t="n">
        <v>2027</v>
      </c>
      <c r="C7925" s="131" t="s">
        <v>253</v>
      </c>
      <c r="D7925" s="132" t="n">
        <v>46698</v>
      </c>
      <c r="E7925" s="131" t="s">
        <v>12</v>
      </c>
      <c r="F7925" s="133" t="s">
        <v>11</v>
      </c>
      <c r="G7925" s="134" t="n">
        <f aca="false">LEN('Saisie programme'!$J$286)+SUMIFS('Vols additionnels'!$E$7:$E$66,'Vols additionnels'!$C$7:$C$66,$E7925,'Vols additionnels'!$D$7:$D$66,$F7925,'Vols additionnels'!$B$7:$B$66,$D7925)</f>
        <v>1</v>
      </c>
      <c r="H7925" s="135" t="n">
        <f aca="false">$G7925*'Analyse capacite'!$F$7</f>
        <v>438</v>
      </c>
      <c r="I7925" s="135" t="n">
        <f aca="false">$G7925*'Analyse capacite'!$C$7</f>
        <v>14</v>
      </c>
      <c r="J7925" s="135" t="n">
        <f aca="false">$G7925*'Analyse capacite'!$D$7</f>
        <v>40</v>
      </c>
      <c r="K7925" s="135" t="n">
        <f aca="false">$G7925*'Analyse capacite'!$E$7</f>
        <v>384</v>
      </c>
    </row>
    <row r="7926" customFormat="false" ht="15" hidden="false" customHeight="false" outlineLevel="0" collapsed="false">
      <c r="B7926" s="130" t="n">
        <v>2027</v>
      </c>
      <c r="C7926" s="131" t="s">
        <v>253</v>
      </c>
      <c r="D7926" s="132" t="n">
        <v>46698</v>
      </c>
      <c r="E7926" s="131" t="s">
        <v>12</v>
      </c>
      <c r="F7926" s="133" t="s">
        <v>19</v>
      </c>
      <c r="G7926" s="134" t="n">
        <f aca="false">LEN('Saisie programme'!$J$287)+SUMIFS('Vols additionnels'!$E$7:$E$66,'Vols additionnels'!$C$7:$C$66,$E7926,'Vols additionnels'!$D$7:$D$66,$F7926,'Vols additionnels'!$B$7:$B$66,$D7926)</f>
        <v>0</v>
      </c>
      <c r="H7926" s="135" t="n">
        <f aca="false">$G7926*'Analyse capacite'!$F$8</f>
        <v>0</v>
      </c>
      <c r="I7926" s="135" t="n">
        <f aca="false">$G7926*'Analyse capacite'!$C$8</f>
        <v>0</v>
      </c>
      <c r="J7926" s="135" t="n">
        <f aca="false">$G7926*'Analyse capacite'!$D$8</f>
        <v>0</v>
      </c>
      <c r="K7926" s="135" t="n">
        <f aca="false">$G7926*'Analyse capacite'!$E$8</f>
        <v>0</v>
      </c>
    </row>
    <row r="7927" customFormat="false" ht="15" hidden="false" customHeight="false" outlineLevel="0" collapsed="false">
      <c r="B7927" s="130" t="n">
        <v>2027</v>
      </c>
      <c r="C7927" s="131" t="s">
        <v>253</v>
      </c>
      <c r="D7927" s="132" t="n">
        <v>46698</v>
      </c>
      <c r="E7927" s="131" t="s">
        <v>12</v>
      </c>
      <c r="F7927" s="133" t="s">
        <v>24</v>
      </c>
      <c r="G7927" s="134" t="n">
        <f aca="false">LEN('Saisie programme'!$J$288)+SUMIFS('Vols additionnels'!$E$7:$E$66,'Vols additionnels'!$C$7:$C$66,$E7927,'Vols additionnels'!$D$7:$D$66,$F7927,'Vols additionnels'!$B$7:$B$66,$D7927)</f>
        <v>0</v>
      </c>
      <c r="H7927" s="135" t="n">
        <f aca="false">$G7927*'Analyse capacite'!$F$9</f>
        <v>0</v>
      </c>
      <c r="I7927" s="135" t="n">
        <f aca="false">$G7927*'Analyse capacite'!$C$9</f>
        <v>0</v>
      </c>
      <c r="J7927" s="135" t="n">
        <f aca="false">$G7927*'Analyse capacite'!$D$9</f>
        <v>0</v>
      </c>
      <c r="K7927" s="135" t="n">
        <f aca="false">$G7927*'Analyse capacite'!$E$9</f>
        <v>0</v>
      </c>
    </row>
    <row r="7928" customFormat="false" ht="15" hidden="false" customHeight="false" outlineLevel="0" collapsed="false">
      <c r="B7928" s="130" t="n">
        <v>2027</v>
      </c>
      <c r="C7928" s="131" t="s">
        <v>253</v>
      </c>
      <c r="D7928" s="132" t="n">
        <v>46698</v>
      </c>
      <c r="E7928" s="131" t="s">
        <v>20</v>
      </c>
      <c r="F7928" s="133" t="s">
        <v>11</v>
      </c>
      <c r="G7928" s="134" t="n">
        <f aca="false">LEN('Saisie programme'!$J$289)+SUMIFS('Vols additionnels'!$E$7:$E$66,'Vols additionnels'!$C$7:$C$66,$E7928,'Vols additionnels'!$D$7:$D$66,$F7928,'Vols additionnels'!$B$7:$B$66,$D7928)</f>
        <v>1</v>
      </c>
      <c r="H7928" s="135" t="n">
        <f aca="false">$G7928*'Analyse capacite'!$F$7</f>
        <v>438</v>
      </c>
      <c r="I7928" s="135" t="n">
        <f aca="false">$G7928*'Analyse capacite'!$C$7</f>
        <v>14</v>
      </c>
      <c r="J7928" s="135" t="n">
        <f aca="false">$G7928*'Analyse capacite'!$D$7</f>
        <v>40</v>
      </c>
      <c r="K7928" s="135" t="n">
        <f aca="false">$G7928*'Analyse capacite'!$E$7</f>
        <v>384</v>
      </c>
    </row>
    <row r="7929" customFormat="false" ht="15" hidden="false" customHeight="false" outlineLevel="0" collapsed="false">
      <c r="B7929" s="130" t="n">
        <v>2027</v>
      </c>
      <c r="C7929" s="131" t="s">
        <v>253</v>
      </c>
      <c r="D7929" s="132" t="n">
        <v>46698</v>
      </c>
      <c r="E7929" s="131" t="s">
        <v>20</v>
      </c>
      <c r="F7929" s="133" t="s">
        <v>19</v>
      </c>
      <c r="G7929" s="134" t="n">
        <f aca="false">LEN('Saisie programme'!$J$290)+SUMIFS('Vols additionnels'!$E$7:$E$66,'Vols additionnels'!$C$7:$C$66,$E7929,'Vols additionnels'!$D$7:$D$66,$F7929,'Vols additionnels'!$B$7:$B$66,$D7929)</f>
        <v>0</v>
      </c>
      <c r="H7929" s="135" t="n">
        <f aca="false">$G7929*'Analyse capacite'!$F$8</f>
        <v>0</v>
      </c>
      <c r="I7929" s="135" t="n">
        <f aca="false">$G7929*'Analyse capacite'!$C$8</f>
        <v>0</v>
      </c>
      <c r="J7929" s="135" t="n">
        <f aca="false">$G7929*'Analyse capacite'!$D$8</f>
        <v>0</v>
      </c>
      <c r="K7929" s="135" t="n">
        <f aca="false">$G7929*'Analyse capacite'!$E$8</f>
        <v>0</v>
      </c>
    </row>
    <row r="7930" customFormat="false" ht="15" hidden="false" customHeight="false" outlineLevel="0" collapsed="false">
      <c r="B7930" s="130" t="n">
        <v>2027</v>
      </c>
      <c r="C7930" s="131" t="s">
        <v>253</v>
      </c>
      <c r="D7930" s="132" t="n">
        <v>46698</v>
      </c>
      <c r="E7930" s="131" t="s">
        <v>20</v>
      </c>
      <c r="F7930" s="133" t="s">
        <v>24</v>
      </c>
      <c r="G7930" s="134" t="n">
        <f aca="false">LEN('Saisie programme'!$J$291)+SUMIFS('Vols additionnels'!$E$7:$E$66,'Vols additionnels'!$C$7:$C$66,$E7930,'Vols additionnels'!$D$7:$D$66,$F7930,'Vols additionnels'!$B$7:$B$66,$D7930)</f>
        <v>0</v>
      </c>
      <c r="H7930" s="135" t="n">
        <f aca="false">$G7930*'Analyse capacite'!$F$9</f>
        <v>0</v>
      </c>
      <c r="I7930" s="135" t="n">
        <f aca="false">$G7930*'Analyse capacite'!$C$9</f>
        <v>0</v>
      </c>
      <c r="J7930" s="135" t="n">
        <f aca="false">$G7930*'Analyse capacite'!$D$9</f>
        <v>0</v>
      </c>
      <c r="K7930" s="135" t="n">
        <f aca="false">$G7930*'Analyse capacite'!$E$9</f>
        <v>0</v>
      </c>
    </row>
    <row r="7931" customFormat="false" ht="15" hidden="false" customHeight="false" outlineLevel="0" collapsed="false">
      <c r="B7931" s="130" t="n">
        <v>2027</v>
      </c>
      <c r="C7931" s="131" t="s">
        <v>253</v>
      </c>
      <c r="D7931" s="132" t="n">
        <v>46698</v>
      </c>
      <c r="E7931" s="131" t="s">
        <v>25</v>
      </c>
      <c r="F7931" s="133" t="s">
        <v>11</v>
      </c>
      <c r="G7931" s="134" t="n">
        <f aca="false">LEN('Saisie programme'!$J$292)+SUMIFS('Vols additionnels'!$E$7:$E$66,'Vols additionnels'!$C$7:$C$66,$E7931,'Vols additionnels'!$D$7:$D$66,$F7931,'Vols additionnels'!$B$7:$B$66,$D7931)</f>
        <v>0</v>
      </c>
      <c r="H7931" s="135" t="n">
        <f aca="false">$G7931*'Analyse capacite'!$F$7</f>
        <v>0</v>
      </c>
      <c r="I7931" s="135" t="n">
        <f aca="false">$G7931*'Analyse capacite'!$C$7</f>
        <v>0</v>
      </c>
      <c r="J7931" s="135" t="n">
        <f aca="false">$G7931*'Analyse capacite'!$D$7</f>
        <v>0</v>
      </c>
      <c r="K7931" s="135" t="n">
        <f aca="false">$G7931*'Analyse capacite'!$E$7</f>
        <v>0</v>
      </c>
    </row>
    <row r="7932" customFormat="false" ht="15" hidden="false" customHeight="false" outlineLevel="0" collapsed="false">
      <c r="B7932" s="130" t="n">
        <v>2027</v>
      </c>
      <c r="C7932" s="131" t="s">
        <v>253</v>
      </c>
      <c r="D7932" s="132" t="n">
        <v>46698</v>
      </c>
      <c r="E7932" s="131" t="s">
        <v>25</v>
      </c>
      <c r="F7932" s="133" t="s">
        <v>19</v>
      </c>
      <c r="G7932" s="134" t="n">
        <f aca="false">LEN('Saisie programme'!$J$293)+SUMIFS('Vols additionnels'!$E$7:$E$66,'Vols additionnels'!$C$7:$C$66,$E7932,'Vols additionnels'!$D$7:$D$66,$F7932,'Vols additionnels'!$B$7:$B$66,$D7932)</f>
        <v>0</v>
      </c>
      <c r="H7932" s="135" t="n">
        <f aca="false">$G7932*'Analyse capacite'!$F$8</f>
        <v>0</v>
      </c>
      <c r="I7932" s="135" t="n">
        <f aca="false">$G7932*'Analyse capacite'!$C$8</f>
        <v>0</v>
      </c>
      <c r="J7932" s="135" t="n">
        <f aca="false">$G7932*'Analyse capacite'!$D$8</f>
        <v>0</v>
      </c>
      <c r="K7932" s="135" t="n">
        <f aca="false">$G7932*'Analyse capacite'!$E$8</f>
        <v>0</v>
      </c>
    </row>
    <row r="7933" customFormat="false" ht="15" hidden="false" customHeight="false" outlineLevel="0" collapsed="false">
      <c r="B7933" s="130" t="n">
        <v>2027</v>
      </c>
      <c r="C7933" s="131" t="s">
        <v>253</v>
      </c>
      <c r="D7933" s="132" t="n">
        <v>46698</v>
      </c>
      <c r="E7933" s="131" t="s">
        <v>25</v>
      </c>
      <c r="F7933" s="133" t="s">
        <v>24</v>
      </c>
      <c r="G7933" s="134" t="n">
        <f aca="false">LEN('Saisie programme'!$J$294)+SUMIFS('Vols additionnels'!$E$7:$E$66,'Vols additionnels'!$C$7:$C$66,$E7933,'Vols additionnels'!$D$7:$D$66,$F7933,'Vols additionnels'!$B$7:$B$66,$D7933)</f>
        <v>0</v>
      </c>
      <c r="H7933" s="135" t="n">
        <f aca="false">$G7933*'Analyse capacite'!$F$9</f>
        <v>0</v>
      </c>
      <c r="I7933" s="135" t="n">
        <f aca="false">$G7933*'Analyse capacite'!$C$9</f>
        <v>0</v>
      </c>
      <c r="J7933" s="135" t="n">
        <f aca="false">$G7933*'Analyse capacite'!$D$9</f>
        <v>0</v>
      </c>
      <c r="K7933" s="135" t="n">
        <f aca="false">$G7933*'Analyse capacite'!$E$9</f>
        <v>0</v>
      </c>
    </row>
    <row r="7934" customFormat="false" ht="15" hidden="false" customHeight="false" outlineLevel="0" collapsed="false">
      <c r="B7934" s="130" t="n">
        <v>2027</v>
      </c>
      <c r="C7934" s="131" t="s">
        <v>253</v>
      </c>
      <c r="D7934" s="132" t="n">
        <v>46698</v>
      </c>
      <c r="E7934" s="131" t="s">
        <v>36</v>
      </c>
      <c r="F7934" s="133" t="s">
        <v>11</v>
      </c>
      <c r="G7934" s="134" t="n">
        <f aca="false">LEN('Saisie programme'!$J$295)+SUMIFS('Vols additionnels'!$E$7:$E$66,'Vols additionnels'!$C$7:$C$66,$E7934,'Vols additionnels'!$D$7:$D$66,$F7934,'Vols additionnels'!$B$7:$B$66,$D7934)</f>
        <v>0</v>
      </c>
      <c r="H7934" s="135" t="n">
        <f aca="false">$G7934*'Analyse capacite'!$F$7</f>
        <v>0</v>
      </c>
      <c r="I7934" s="135" t="n">
        <f aca="false">$G7934*'Analyse capacite'!$C$7</f>
        <v>0</v>
      </c>
      <c r="J7934" s="135" t="n">
        <f aca="false">$G7934*'Analyse capacite'!$D$7</f>
        <v>0</v>
      </c>
      <c r="K7934" s="135" t="n">
        <f aca="false">$G7934*'Analyse capacite'!$E$7</f>
        <v>0</v>
      </c>
    </row>
    <row r="7935" customFormat="false" ht="15" hidden="false" customHeight="false" outlineLevel="0" collapsed="false">
      <c r="B7935" s="130" t="n">
        <v>2027</v>
      </c>
      <c r="C7935" s="131" t="s">
        <v>253</v>
      </c>
      <c r="D7935" s="132" t="n">
        <v>46698</v>
      </c>
      <c r="E7935" s="131" t="s">
        <v>36</v>
      </c>
      <c r="F7935" s="133" t="s">
        <v>19</v>
      </c>
      <c r="G7935" s="134" t="n">
        <f aca="false">LEN('Saisie programme'!$J$296)+SUMIFS('Vols additionnels'!$E$7:$E$66,'Vols additionnels'!$C$7:$C$66,$E7935,'Vols additionnels'!$D$7:$D$66,$F7935,'Vols additionnels'!$B$7:$B$66,$D7935)</f>
        <v>0</v>
      </c>
      <c r="H7935" s="135" t="n">
        <f aca="false">$G7935*'Analyse capacite'!$F$8</f>
        <v>0</v>
      </c>
      <c r="I7935" s="135" t="n">
        <f aca="false">$G7935*'Analyse capacite'!$C$8</f>
        <v>0</v>
      </c>
      <c r="J7935" s="135" t="n">
        <f aca="false">$G7935*'Analyse capacite'!$D$8</f>
        <v>0</v>
      </c>
      <c r="K7935" s="135" t="n">
        <f aca="false">$G7935*'Analyse capacite'!$E$8</f>
        <v>0</v>
      </c>
    </row>
    <row r="7936" customFormat="false" ht="15" hidden="false" customHeight="false" outlineLevel="0" collapsed="false">
      <c r="B7936" s="130" t="n">
        <v>2027</v>
      </c>
      <c r="C7936" s="131" t="s">
        <v>253</v>
      </c>
      <c r="D7936" s="132" t="n">
        <v>46698</v>
      </c>
      <c r="E7936" s="131" t="s">
        <v>36</v>
      </c>
      <c r="F7936" s="133" t="s">
        <v>24</v>
      </c>
      <c r="G7936" s="134" t="n">
        <f aca="false">LEN('Saisie programme'!$J$297)+SUMIFS('Vols additionnels'!$E$7:$E$66,'Vols additionnels'!$C$7:$C$66,$E7936,'Vols additionnels'!$D$7:$D$66,$F7936,'Vols additionnels'!$B$7:$B$66,$D7936)</f>
        <v>0</v>
      </c>
      <c r="H7936" s="135" t="n">
        <f aca="false">$G7936*'Analyse capacite'!$F$9</f>
        <v>0</v>
      </c>
      <c r="I7936" s="135" t="n">
        <f aca="false">$G7936*'Analyse capacite'!$C$9</f>
        <v>0</v>
      </c>
      <c r="J7936" s="135" t="n">
        <f aca="false">$G7936*'Analyse capacite'!$D$9</f>
        <v>0</v>
      </c>
      <c r="K7936" s="135" t="n">
        <f aca="false">$G7936*'Analyse capacite'!$E$9</f>
        <v>0</v>
      </c>
    </row>
    <row r="7937" customFormat="false" ht="15" hidden="false" customHeight="false" outlineLevel="0" collapsed="false">
      <c r="B7937" s="130" t="n">
        <v>2027</v>
      </c>
      <c r="C7937" s="131" t="s">
        <v>253</v>
      </c>
      <c r="D7937" s="132" t="n">
        <v>46698</v>
      </c>
      <c r="E7937" s="131" t="s">
        <v>40</v>
      </c>
      <c r="F7937" s="133" t="s">
        <v>11</v>
      </c>
      <c r="G7937" s="134" t="n">
        <f aca="false">LEN('Saisie programme'!$J$298)+SUMIFS('Vols additionnels'!$E$7:$E$66,'Vols additionnels'!$C$7:$C$66,$E7937,'Vols additionnels'!$D$7:$D$66,$F7937,'Vols additionnels'!$B$7:$B$66,$D7937)</f>
        <v>0</v>
      </c>
      <c r="H7937" s="135" t="n">
        <f aca="false">$G7937*'Analyse capacite'!$F$7</f>
        <v>0</v>
      </c>
      <c r="I7937" s="135" t="n">
        <f aca="false">$G7937*'Analyse capacite'!$C$7</f>
        <v>0</v>
      </c>
      <c r="J7937" s="135" t="n">
        <f aca="false">$G7937*'Analyse capacite'!$D$7</f>
        <v>0</v>
      </c>
      <c r="K7937" s="135" t="n">
        <f aca="false">$G7937*'Analyse capacite'!$E$7</f>
        <v>0</v>
      </c>
    </row>
    <row r="7938" customFormat="false" ht="15" hidden="false" customHeight="false" outlineLevel="0" collapsed="false">
      <c r="B7938" s="130" t="n">
        <v>2027</v>
      </c>
      <c r="C7938" s="131" t="s">
        <v>253</v>
      </c>
      <c r="D7938" s="132" t="n">
        <v>46698</v>
      </c>
      <c r="E7938" s="131" t="s">
        <v>40</v>
      </c>
      <c r="F7938" s="133" t="s">
        <v>19</v>
      </c>
      <c r="G7938" s="134" t="n">
        <f aca="false">LEN('Saisie programme'!$J$299)+SUMIFS('Vols additionnels'!$E$7:$E$66,'Vols additionnels'!$C$7:$C$66,$E7938,'Vols additionnels'!$D$7:$D$66,$F7938,'Vols additionnels'!$B$7:$B$66,$D7938)</f>
        <v>0</v>
      </c>
      <c r="H7938" s="135" t="n">
        <f aca="false">$G7938*'Analyse capacite'!$F$8</f>
        <v>0</v>
      </c>
      <c r="I7938" s="135" t="n">
        <f aca="false">$G7938*'Analyse capacite'!$C$8</f>
        <v>0</v>
      </c>
      <c r="J7938" s="135" t="n">
        <f aca="false">$G7938*'Analyse capacite'!$D$8</f>
        <v>0</v>
      </c>
      <c r="K7938" s="135" t="n">
        <f aca="false">$G7938*'Analyse capacite'!$E$8</f>
        <v>0</v>
      </c>
    </row>
    <row r="7939" customFormat="false" ht="15" hidden="false" customHeight="false" outlineLevel="0" collapsed="false">
      <c r="B7939" s="130" t="n">
        <v>2027</v>
      </c>
      <c r="C7939" s="131" t="s">
        <v>253</v>
      </c>
      <c r="D7939" s="132" t="n">
        <v>46698</v>
      </c>
      <c r="E7939" s="131" t="s">
        <v>40</v>
      </c>
      <c r="F7939" s="133" t="s">
        <v>24</v>
      </c>
      <c r="G7939" s="134" t="n">
        <f aca="false">LEN('Saisie programme'!$J$300)+SUMIFS('Vols additionnels'!$E$7:$E$66,'Vols additionnels'!$C$7:$C$66,$E7939,'Vols additionnels'!$D$7:$D$66,$F7939,'Vols additionnels'!$B$7:$B$66,$D7939)</f>
        <v>1</v>
      </c>
      <c r="H7939" s="135" t="n">
        <f aca="false">$G7939*'Analyse capacite'!$F$9</f>
        <v>174</v>
      </c>
      <c r="I7939" s="135" t="n">
        <f aca="false">$G7939*'Analyse capacite'!$C$9</f>
        <v>0</v>
      </c>
      <c r="J7939" s="135" t="n">
        <f aca="false">$G7939*'Analyse capacite'!$D$9</f>
        <v>12</v>
      </c>
      <c r="K7939" s="135" t="n">
        <f aca="false">$G7939*'Analyse capacite'!$E$9</f>
        <v>162</v>
      </c>
    </row>
    <row r="7940" customFormat="false" ht="15" hidden="false" customHeight="false" outlineLevel="0" collapsed="false">
      <c r="B7940" s="130" t="n">
        <v>2027</v>
      </c>
      <c r="C7940" s="131" t="s">
        <v>253</v>
      </c>
      <c r="D7940" s="132" t="n">
        <v>46698</v>
      </c>
      <c r="E7940" s="131" t="s">
        <v>14</v>
      </c>
      <c r="F7940" s="133" t="s">
        <v>11</v>
      </c>
      <c r="G7940" s="134" t="n">
        <f aca="false">LEN('Saisie programme'!$J$301)+SUMIFS('Vols additionnels'!$E$7:$E$66,'Vols additionnels'!$C$7:$C$66,$E7940,'Vols additionnels'!$D$7:$D$66,$F7940,'Vols additionnels'!$B$7:$B$66,$D7940)</f>
        <v>0</v>
      </c>
      <c r="H7940" s="135" t="n">
        <f aca="false">$G7940*'Analyse capacite'!$F$7</f>
        <v>0</v>
      </c>
      <c r="I7940" s="135" t="n">
        <f aca="false">$G7940*'Analyse capacite'!$C$7</f>
        <v>0</v>
      </c>
      <c r="J7940" s="135" t="n">
        <f aca="false">$G7940*'Analyse capacite'!$D$7</f>
        <v>0</v>
      </c>
      <c r="K7940" s="135" t="n">
        <f aca="false">$G7940*'Analyse capacite'!$E$7</f>
        <v>0</v>
      </c>
    </row>
    <row r="7941" customFormat="false" ht="15" hidden="false" customHeight="false" outlineLevel="0" collapsed="false">
      <c r="B7941" s="130" t="n">
        <v>2027</v>
      </c>
      <c r="C7941" s="131" t="s">
        <v>253</v>
      </c>
      <c r="D7941" s="132" t="n">
        <v>46698</v>
      </c>
      <c r="E7941" s="131" t="s">
        <v>14</v>
      </c>
      <c r="F7941" s="133" t="s">
        <v>19</v>
      </c>
      <c r="G7941" s="134" t="n">
        <f aca="false">LEN('Saisie programme'!$J$302)+SUMIFS('Vols additionnels'!$E$7:$E$66,'Vols additionnels'!$C$7:$C$66,$E7941,'Vols additionnels'!$D$7:$D$66,$F7941,'Vols additionnels'!$B$7:$B$66,$D7941)</f>
        <v>0</v>
      </c>
      <c r="H7941" s="135" t="n">
        <f aca="false">$G7941*'Analyse capacite'!$F$8</f>
        <v>0</v>
      </c>
      <c r="I7941" s="135" t="n">
        <f aca="false">$G7941*'Analyse capacite'!$C$8</f>
        <v>0</v>
      </c>
      <c r="J7941" s="135" t="n">
        <f aca="false">$G7941*'Analyse capacite'!$D$8</f>
        <v>0</v>
      </c>
      <c r="K7941" s="135" t="n">
        <f aca="false">$G7941*'Analyse capacite'!$E$8</f>
        <v>0</v>
      </c>
    </row>
    <row r="7942" customFormat="false" ht="15" hidden="false" customHeight="false" outlineLevel="0" collapsed="false">
      <c r="B7942" s="130" t="n">
        <v>2027</v>
      </c>
      <c r="C7942" s="131" t="s">
        <v>253</v>
      </c>
      <c r="D7942" s="132" t="n">
        <v>46698</v>
      </c>
      <c r="E7942" s="131" t="s">
        <v>14</v>
      </c>
      <c r="F7942" s="133" t="s">
        <v>24</v>
      </c>
      <c r="G7942" s="134" t="n">
        <f aca="false">LEN('Saisie programme'!$J$303)+SUMIFS('Vols additionnels'!$E$7:$E$66,'Vols additionnels'!$C$7:$C$66,$E7942,'Vols additionnels'!$D$7:$D$66,$F7942,'Vols additionnels'!$B$7:$B$66,$D7942)</f>
        <v>0</v>
      </c>
      <c r="H7942" s="135" t="n">
        <f aca="false">$G7942*'Analyse capacite'!$F$9</f>
        <v>0</v>
      </c>
      <c r="I7942" s="135" t="n">
        <f aca="false">$G7942*'Analyse capacite'!$C$9</f>
        <v>0</v>
      </c>
      <c r="J7942" s="135" t="n">
        <f aca="false">$G7942*'Analyse capacite'!$D$9</f>
        <v>0</v>
      </c>
      <c r="K7942" s="135" t="n">
        <f aca="false">$G7942*'Analyse capacite'!$E$9</f>
        <v>0</v>
      </c>
    </row>
    <row r="7943" customFormat="false" ht="15" hidden="false" customHeight="false" outlineLevel="0" collapsed="false">
      <c r="B7943" s="130" t="n">
        <v>2027</v>
      </c>
      <c r="C7943" s="131" t="s">
        <v>253</v>
      </c>
      <c r="D7943" s="132" t="n">
        <v>46698</v>
      </c>
      <c r="E7943" s="131" t="s">
        <v>46</v>
      </c>
      <c r="F7943" s="133" t="s">
        <v>11</v>
      </c>
      <c r="G7943" s="134" t="n">
        <f aca="false">LEN('Saisie programme'!$J$304)+SUMIFS('Vols additionnels'!$E$7:$E$66,'Vols additionnels'!$C$7:$C$66,$E7943,'Vols additionnels'!$D$7:$D$66,$F7943,'Vols additionnels'!$B$7:$B$66,$D7943)</f>
        <v>0</v>
      </c>
      <c r="H7943" s="135" t="n">
        <f aca="false">$G7943*'Analyse capacite'!$F$7</f>
        <v>0</v>
      </c>
      <c r="I7943" s="135" t="n">
        <f aca="false">$G7943*'Analyse capacite'!$C$7</f>
        <v>0</v>
      </c>
      <c r="J7943" s="135" t="n">
        <f aca="false">$G7943*'Analyse capacite'!$D$7</f>
        <v>0</v>
      </c>
      <c r="K7943" s="135" t="n">
        <f aca="false">$G7943*'Analyse capacite'!$E$7</f>
        <v>0</v>
      </c>
    </row>
    <row r="7944" customFormat="false" ht="15" hidden="false" customHeight="false" outlineLevel="0" collapsed="false">
      <c r="B7944" s="130" t="n">
        <v>2027</v>
      </c>
      <c r="C7944" s="131" t="s">
        <v>253</v>
      </c>
      <c r="D7944" s="132" t="n">
        <v>46698</v>
      </c>
      <c r="E7944" s="131" t="s">
        <v>46</v>
      </c>
      <c r="F7944" s="133" t="s">
        <v>19</v>
      </c>
      <c r="G7944" s="134" t="n">
        <f aca="false">LEN('Saisie programme'!$J$305)+SUMIFS('Vols additionnels'!$E$7:$E$66,'Vols additionnels'!$C$7:$C$66,$E7944,'Vols additionnels'!$D$7:$D$66,$F7944,'Vols additionnels'!$B$7:$B$66,$D7944)</f>
        <v>0</v>
      </c>
      <c r="H7944" s="135" t="n">
        <f aca="false">$G7944*'Analyse capacite'!$F$8</f>
        <v>0</v>
      </c>
      <c r="I7944" s="135" t="n">
        <f aca="false">$G7944*'Analyse capacite'!$C$8</f>
        <v>0</v>
      </c>
      <c r="J7944" s="135" t="n">
        <f aca="false">$G7944*'Analyse capacite'!$D$8</f>
        <v>0</v>
      </c>
      <c r="K7944" s="135" t="n">
        <f aca="false">$G7944*'Analyse capacite'!$E$8</f>
        <v>0</v>
      </c>
    </row>
    <row r="7945" customFormat="false" ht="15" hidden="false" customHeight="false" outlineLevel="0" collapsed="false">
      <c r="B7945" s="130" t="n">
        <v>2027</v>
      </c>
      <c r="C7945" s="131" t="s">
        <v>253</v>
      </c>
      <c r="D7945" s="132" t="n">
        <v>46698</v>
      </c>
      <c r="E7945" s="131" t="s">
        <v>46</v>
      </c>
      <c r="F7945" s="133" t="s">
        <v>24</v>
      </c>
      <c r="G7945" s="134" t="n">
        <f aca="false">LEN('Saisie programme'!$J$306)+SUMIFS('Vols additionnels'!$E$7:$E$66,'Vols additionnels'!$C$7:$C$66,$E7945,'Vols additionnels'!$D$7:$D$66,$F7945,'Vols additionnels'!$B$7:$B$66,$D7945)</f>
        <v>0</v>
      </c>
      <c r="H7945" s="135" t="n">
        <f aca="false">$G7945*'Analyse capacite'!$F$9</f>
        <v>0</v>
      </c>
      <c r="I7945" s="135" t="n">
        <f aca="false">$G7945*'Analyse capacite'!$C$9</f>
        <v>0</v>
      </c>
      <c r="J7945" s="135" t="n">
        <f aca="false">$G7945*'Analyse capacite'!$D$9</f>
        <v>0</v>
      </c>
      <c r="K7945" s="135" t="n">
        <f aca="false">$G7945*'Analyse capacite'!$E$9</f>
        <v>0</v>
      </c>
    </row>
    <row r="7946" customFormat="false" ht="15" hidden="false" customHeight="false" outlineLevel="0" collapsed="false">
      <c r="B7946" s="130" t="n">
        <v>2027</v>
      </c>
      <c r="C7946" s="131" t="s">
        <v>253</v>
      </c>
      <c r="D7946" s="132" t="n">
        <v>46698</v>
      </c>
      <c r="E7946" s="131" t="s">
        <v>49</v>
      </c>
      <c r="F7946" s="133" t="s">
        <v>11</v>
      </c>
      <c r="G7946" s="134" t="n">
        <f aca="false">LEN('Saisie programme'!$J$307)+SUMIFS('Vols additionnels'!$E$7:$E$66,'Vols additionnels'!$C$7:$C$66,$E7946,'Vols additionnels'!$D$7:$D$66,$F7946,'Vols additionnels'!$B$7:$B$66,$D7946)</f>
        <v>0</v>
      </c>
      <c r="H7946" s="135" t="n">
        <f aca="false">$G7946*'Analyse capacite'!$F$7</f>
        <v>0</v>
      </c>
      <c r="I7946" s="135" t="n">
        <f aca="false">$G7946*'Analyse capacite'!$C$7</f>
        <v>0</v>
      </c>
      <c r="J7946" s="135" t="n">
        <f aca="false">$G7946*'Analyse capacite'!$D$7</f>
        <v>0</v>
      </c>
      <c r="K7946" s="135" t="n">
        <f aca="false">$G7946*'Analyse capacite'!$E$7</f>
        <v>0</v>
      </c>
    </row>
    <row r="7947" customFormat="false" ht="15" hidden="false" customHeight="false" outlineLevel="0" collapsed="false">
      <c r="B7947" s="130" t="n">
        <v>2027</v>
      </c>
      <c r="C7947" s="131" t="s">
        <v>253</v>
      </c>
      <c r="D7947" s="132" t="n">
        <v>46698</v>
      </c>
      <c r="E7947" s="131" t="s">
        <v>49</v>
      </c>
      <c r="F7947" s="133" t="s">
        <v>19</v>
      </c>
      <c r="G7947" s="134" t="n">
        <f aca="false">LEN('Saisie programme'!$J$308)+SUMIFS('Vols additionnels'!$E$7:$E$66,'Vols additionnels'!$C$7:$C$66,$E7947,'Vols additionnels'!$D$7:$D$66,$F7947,'Vols additionnels'!$B$7:$B$66,$D7947)</f>
        <v>0</v>
      </c>
      <c r="H7947" s="135" t="n">
        <f aca="false">$G7947*'Analyse capacite'!$F$8</f>
        <v>0</v>
      </c>
      <c r="I7947" s="135" t="n">
        <f aca="false">$G7947*'Analyse capacite'!$C$8</f>
        <v>0</v>
      </c>
      <c r="J7947" s="135" t="n">
        <f aca="false">$G7947*'Analyse capacite'!$D$8</f>
        <v>0</v>
      </c>
      <c r="K7947" s="135" t="n">
        <f aca="false">$G7947*'Analyse capacite'!$E$8</f>
        <v>0</v>
      </c>
    </row>
    <row r="7948" customFormat="false" ht="15" hidden="false" customHeight="false" outlineLevel="0" collapsed="false">
      <c r="B7948" s="130" t="n">
        <v>2027</v>
      </c>
      <c r="C7948" s="131" t="s">
        <v>253</v>
      </c>
      <c r="D7948" s="132" t="n">
        <v>46698</v>
      </c>
      <c r="E7948" s="131" t="s">
        <v>49</v>
      </c>
      <c r="F7948" s="133" t="s">
        <v>24</v>
      </c>
      <c r="G7948" s="134" t="n">
        <f aca="false">LEN('Saisie programme'!$J$309)+SUMIFS('Vols additionnels'!$E$7:$E$66,'Vols additionnels'!$C$7:$C$66,$E7948,'Vols additionnels'!$D$7:$D$66,$F7948,'Vols additionnels'!$B$7:$B$66,$D7948)</f>
        <v>0</v>
      </c>
      <c r="H7948" s="135" t="n">
        <f aca="false">$G7948*'Analyse capacite'!$F$9</f>
        <v>0</v>
      </c>
      <c r="I7948" s="135" t="n">
        <f aca="false">$G7948*'Analyse capacite'!$C$9</f>
        <v>0</v>
      </c>
      <c r="J7948" s="135" t="n">
        <f aca="false">$G7948*'Analyse capacite'!$D$9</f>
        <v>0</v>
      </c>
      <c r="K7948" s="135" t="n">
        <f aca="false">$G7948*'Analyse capacite'!$E$9</f>
        <v>0</v>
      </c>
    </row>
    <row r="7949" customFormat="false" ht="15" hidden="false" customHeight="false" outlineLevel="0" collapsed="false">
      <c r="B7949" s="130" t="n">
        <v>2027</v>
      </c>
      <c r="C7949" s="131" t="s">
        <v>253</v>
      </c>
      <c r="D7949" s="132" t="n">
        <v>46698</v>
      </c>
      <c r="E7949" s="131" t="s">
        <v>53</v>
      </c>
      <c r="F7949" s="133" t="s">
        <v>11</v>
      </c>
      <c r="G7949" s="134" t="n">
        <f aca="false">LEN('Saisie programme'!$J$310)+SUMIFS('Vols additionnels'!$E$7:$E$66,'Vols additionnels'!$C$7:$C$66,$E7949,'Vols additionnels'!$D$7:$D$66,$F7949,'Vols additionnels'!$B$7:$B$66,$D7949)</f>
        <v>0</v>
      </c>
      <c r="H7949" s="135" t="n">
        <f aca="false">$G7949*'Analyse capacite'!$F$7</f>
        <v>0</v>
      </c>
      <c r="I7949" s="135" t="n">
        <f aca="false">$G7949*'Analyse capacite'!$C$7</f>
        <v>0</v>
      </c>
      <c r="J7949" s="135" t="n">
        <f aca="false">$G7949*'Analyse capacite'!$D$7</f>
        <v>0</v>
      </c>
      <c r="K7949" s="135" t="n">
        <f aca="false">$G7949*'Analyse capacite'!$E$7</f>
        <v>0</v>
      </c>
    </row>
    <row r="7950" customFormat="false" ht="15" hidden="false" customHeight="false" outlineLevel="0" collapsed="false">
      <c r="B7950" s="130" t="n">
        <v>2027</v>
      </c>
      <c r="C7950" s="131" t="s">
        <v>253</v>
      </c>
      <c r="D7950" s="132" t="n">
        <v>46698</v>
      </c>
      <c r="E7950" s="131" t="s">
        <v>53</v>
      </c>
      <c r="F7950" s="133" t="s">
        <v>19</v>
      </c>
      <c r="G7950" s="134" t="n">
        <f aca="false">LEN('Saisie programme'!$J$311)+SUMIFS('Vols additionnels'!$E$7:$E$66,'Vols additionnels'!$C$7:$C$66,$E7950,'Vols additionnels'!$D$7:$D$66,$F7950,'Vols additionnels'!$B$7:$B$66,$D7950)</f>
        <v>0</v>
      </c>
      <c r="H7950" s="135" t="n">
        <f aca="false">$G7950*'Analyse capacite'!$F$8</f>
        <v>0</v>
      </c>
      <c r="I7950" s="135" t="n">
        <f aca="false">$G7950*'Analyse capacite'!$C$8</f>
        <v>0</v>
      </c>
      <c r="J7950" s="135" t="n">
        <f aca="false">$G7950*'Analyse capacite'!$D$8</f>
        <v>0</v>
      </c>
      <c r="K7950" s="135" t="n">
        <f aca="false">$G7950*'Analyse capacite'!$E$8</f>
        <v>0</v>
      </c>
    </row>
    <row r="7951" customFormat="false" ht="15" hidden="false" customHeight="false" outlineLevel="0" collapsed="false">
      <c r="B7951" s="130" t="n">
        <v>2027</v>
      </c>
      <c r="C7951" s="131" t="s">
        <v>253</v>
      </c>
      <c r="D7951" s="132" t="n">
        <v>46698</v>
      </c>
      <c r="E7951" s="131" t="s">
        <v>53</v>
      </c>
      <c r="F7951" s="133" t="s">
        <v>24</v>
      </c>
      <c r="G7951" s="134" t="n">
        <f aca="false">LEN('Saisie programme'!$J$312)+SUMIFS('Vols additionnels'!$E$7:$E$66,'Vols additionnels'!$C$7:$C$66,$E7951,'Vols additionnels'!$D$7:$D$66,$F7951,'Vols additionnels'!$B$7:$B$66,$D7951)</f>
        <v>0</v>
      </c>
      <c r="H7951" s="135" t="n">
        <f aca="false">$G7951*'Analyse capacite'!$F$9</f>
        <v>0</v>
      </c>
      <c r="I7951" s="135" t="n">
        <f aca="false">$G7951*'Analyse capacite'!$C$9</f>
        <v>0</v>
      </c>
      <c r="J7951" s="135" t="n">
        <f aca="false">$G7951*'Analyse capacite'!$D$9</f>
        <v>0</v>
      </c>
      <c r="K7951" s="135" t="n">
        <f aca="false">$G7951*'Analyse capacite'!$E$9</f>
        <v>0</v>
      </c>
    </row>
    <row r="7952" customFormat="false" ht="15" hidden="false" customHeight="false" outlineLevel="0" collapsed="false">
      <c r="B7952" s="130" t="n">
        <v>2027</v>
      </c>
      <c r="C7952" s="131" t="s">
        <v>253</v>
      </c>
      <c r="D7952" s="132" t="n">
        <v>46698</v>
      </c>
      <c r="E7952" s="131" t="s">
        <v>56</v>
      </c>
      <c r="F7952" s="133" t="s">
        <v>11</v>
      </c>
      <c r="G7952" s="134" t="n">
        <f aca="false">LEN('Saisie programme'!$J$313)+SUMIFS('Vols additionnels'!$E$7:$E$66,'Vols additionnels'!$C$7:$C$66,$E7952,'Vols additionnels'!$D$7:$D$66,$F7952,'Vols additionnels'!$B$7:$B$66,$D7952)</f>
        <v>0</v>
      </c>
      <c r="H7952" s="135" t="n">
        <f aca="false">$G7952*'Analyse capacite'!$F$7</f>
        <v>0</v>
      </c>
      <c r="I7952" s="135" t="n">
        <f aca="false">$G7952*'Analyse capacite'!$C$7</f>
        <v>0</v>
      </c>
      <c r="J7952" s="135" t="n">
        <f aca="false">$G7952*'Analyse capacite'!$D$7</f>
        <v>0</v>
      </c>
      <c r="K7952" s="135" t="n">
        <f aca="false">$G7952*'Analyse capacite'!$E$7</f>
        <v>0</v>
      </c>
    </row>
    <row r="7953" customFormat="false" ht="15" hidden="false" customHeight="false" outlineLevel="0" collapsed="false">
      <c r="B7953" s="130" t="n">
        <v>2027</v>
      </c>
      <c r="C7953" s="131" t="s">
        <v>253</v>
      </c>
      <c r="D7953" s="132" t="n">
        <v>46698</v>
      </c>
      <c r="E7953" s="131" t="s">
        <v>56</v>
      </c>
      <c r="F7953" s="133" t="s">
        <v>19</v>
      </c>
      <c r="G7953" s="134" t="n">
        <f aca="false">LEN('Saisie programme'!$J$314)+SUMIFS('Vols additionnels'!$E$7:$E$66,'Vols additionnels'!$C$7:$C$66,$E7953,'Vols additionnels'!$D$7:$D$66,$F7953,'Vols additionnels'!$B$7:$B$66,$D7953)</f>
        <v>0</v>
      </c>
      <c r="H7953" s="135" t="n">
        <f aca="false">$G7953*'Analyse capacite'!$F$8</f>
        <v>0</v>
      </c>
      <c r="I7953" s="135" t="n">
        <f aca="false">$G7953*'Analyse capacite'!$C$8</f>
        <v>0</v>
      </c>
      <c r="J7953" s="135" t="n">
        <f aca="false">$G7953*'Analyse capacite'!$D$8</f>
        <v>0</v>
      </c>
      <c r="K7953" s="135" t="n">
        <f aca="false">$G7953*'Analyse capacite'!$E$8</f>
        <v>0</v>
      </c>
    </row>
    <row r="7954" customFormat="false" ht="15" hidden="false" customHeight="false" outlineLevel="0" collapsed="false">
      <c r="B7954" s="130" t="n">
        <v>2027</v>
      </c>
      <c r="C7954" s="131" t="s">
        <v>253</v>
      </c>
      <c r="D7954" s="132" t="n">
        <v>46698</v>
      </c>
      <c r="E7954" s="131" t="s">
        <v>56</v>
      </c>
      <c r="F7954" s="133" t="s">
        <v>24</v>
      </c>
      <c r="G7954" s="134" t="n">
        <f aca="false">LEN('Saisie programme'!$J$315)+SUMIFS('Vols additionnels'!$E$7:$E$66,'Vols additionnels'!$C$7:$C$66,$E7954,'Vols additionnels'!$D$7:$D$66,$F7954,'Vols additionnels'!$B$7:$B$66,$D7954)</f>
        <v>0</v>
      </c>
      <c r="H7954" s="135" t="n">
        <f aca="false">$G7954*'Analyse capacite'!$F$9</f>
        <v>0</v>
      </c>
      <c r="I7954" s="135" t="n">
        <f aca="false">$G7954*'Analyse capacite'!$C$9</f>
        <v>0</v>
      </c>
      <c r="J7954" s="135" t="n">
        <f aca="false">$G7954*'Analyse capacite'!$D$9</f>
        <v>0</v>
      </c>
      <c r="K7954" s="135" t="n">
        <f aca="false">$G7954*'Analyse capacite'!$E$9</f>
        <v>0</v>
      </c>
    </row>
    <row r="7955" customFormat="false" ht="15" hidden="false" customHeight="false" outlineLevel="0" collapsed="false">
      <c r="B7955" s="130" t="n">
        <v>2027</v>
      </c>
      <c r="C7955" s="131" t="s">
        <v>253</v>
      </c>
      <c r="D7955" s="132" t="n">
        <v>46698</v>
      </c>
      <c r="E7955" s="131" t="s">
        <v>59</v>
      </c>
      <c r="F7955" s="133" t="s">
        <v>11</v>
      </c>
      <c r="G7955" s="134" t="n">
        <f aca="false">LEN('Saisie programme'!$J$316)+SUMIFS('Vols additionnels'!$E$7:$E$66,'Vols additionnels'!$C$7:$C$66,$E7955,'Vols additionnels'!$D$7:$D$66,$F7955,'Vols additionnels'!$B$7:$B$66,$D7955)</f>
        <v>0</v>
      </c>
      <c r="H7955" s="135" t="n">
        <f aca="false">$G7955*'Analyse capacite'!$F$7</f>
        <v>0</v>
      </c>
      <c r="I7955" s="135" t="n">
        <f aca="false">$G7955*'Analyse capacite'!$C$7</f>
        <v>0</v>
      </c>
      <c r="J7955" s="135" t="n">
        <f aca="false">$G7955*'Analyse capacite'!$D$7</f>
        <v>0</v>
      </c>
      <c r="K7955" s="135" t="n">
        <f aca="false">$G7955*'Analyse capacite'!$E$7</f>
        <v>0</v>
      </c>
    </row>
    <row r="7956" customFormat="false" ht="15" hidden="false" customHeight="false" outlineLevel="0" collapsed="false">
      <c r="B7956" s="130" t="n">
        <v>2027</v>
      </c>
      <c r="C7956" s="131" t="s">
        <v>253</v>
      </c>
      <c r="D7956" s="132" t="n">
        <v>46698</v>
      </c>
      <c r="E7956" s="131" t="s">
        <v>59</v>
      </c>
      <c r="F7956" s="133" t="s">
        <v>19</v>
      </c>
      <c r="G7956" s="134" t="n">
        <f aca="false">LEN('Saisie programme'!$J$317)+SUMIFS('Vols additionnels'!$E$7:$E$66,'Vols additionnels'!$C$7:$C$66,$E7956,'Vols additionnels'!$D$7:$D$66,$F7956,'Vols additionnels'!$B$7:$B$66,$D7956)</f>
        <v>0</v>
      </c>
      <c r="H7956" s="135" t="n">
        <f aca="false">$G7956*'Analyse capacite'!$F$8</f>
        <v>0</v>
      </c>
      <c r="I7956" s="135" t="n">
        <f aca="false">$G7956*'Analyse capacite'!$C$8</f>
        <v>0</v>
      </c>
      <c r="J7956" s="135" t="n">
        <f aca="false">$G7956*'Analyse capacite'!$D$8</f>
        <v>0</v>
      </c>
      <c r="K7956" s="135" t="n">
        <f aca="false">$G7956*'Analyse capacite'!$E$8</f>
        <v>0</v>
      </c>
    </row>
    <row r="7957" customFormat="false" ht="15" hidden="false" customHeight="false" outlineLevel="0" collapsed="false">
      <c r="B7957" s="130" t="n">
        <v>2027</v>
      </c>
      <c r="C7957" s="131" t="s">
        <v>253</v>
      </c>
      <c r="D7957" s="132" t="n">
        <v>46698</v>
      </c>
      <c r="E7957" s="131" t="s">
        <v>59</v>
      </c>
      <c r="F7957" s="133" t="s">
        <v>24</v>
      </c>
      <c r="G7957" s="134" t="n">
        <f aca="false">LEN('Saisie programme'!$J$318)+SUMIFS('Vols additionnels'!$E$7:$E$66,'Vols additionnels'!$C$7:$C$66,$E7957,'Vols additionnels'!$D$7:$D$66,$F7957,'Vols additionnels'!$B$7:$B$66,$D7957)</f>
        <v>0</v>
      </c>
      <c r="H7957" s="135" t="n">
        <f aca="false">$G7957*'Analyse capacite'!$F$9</f>
        <v>0</v>
      </c>
      <c r="I7957" s="135" t="n">
        <f aca="false">$G7957*'Analyse capacite'!$C$9</f>
        <v>0</v>
      </c>
      <c r="J7957" s="135" t="n">
        <f aca="false">$G7957*'Analyse capacite'!$D$9</f>
        <v>0</v>
      </c>
      <c r="K7957" s="135" t="n">
        <f aca="false">$G7957*'Analyse capacite'!$E$9</f>
        <v>0</v>
      </c>
    </row>
    <row r="7958" customFormat="false" ht="15" hidden="false" customHeight="false" outlineLevel="0" collapsed="false">
      <c r="B7958" s="130" t="n">
        <v>2027</v>
      </c>
      <c r="C7958" s="131" t="s">
        <v>253</v>
      </c>
      <c r="D7958" s="132" t="n">
        <v>46698</v>
      </c>
      <c r="E7958" s="131" t="s">
        <v>62</v>
      </c>
      <c r="F7958" s="133" t="s">
        <v>11</v>
      </c>
      <c r="G7958" s="134" t="n">
        <f aca="false">LEN('Saisie programme'!$J$319)+SUMIFS('Vols additionnels'!$E$7:$E$66,'Vols additionnels'!$C$7:$C$66,$E7958,'Vols additionnels'!$D$7:$D$66,$F7958,'Vols additionnels'!$B$7:$B$66,$D7958)</f>
        <v>0</v>
      </c>
      <c r="H7958" s="135" t="n">
        <f aca="false">$G7958*'Analyse capacite'!$F$7</f>
        <v>0</v>
      </c>
      <c r="I7958" s="135" t="n">
        <f aca="false">$G7958*'Analyse capacite'!$C$7</f>
        <v>0</v>
      </c>
      <c r="J7958" s="135" t="n">
        <f aca="false">$G7958*'Analyse capacite'!$D$7</f>
        <v>0</v>
      </c>
      <c r="K7958" s="135" t="n">
        <f aca="false">$G7958*'Analyse capacite'!$E$7</f>
        <v>0</v>
      </c>
    </row>
    <row r="7959" customFormat="false" ht="15" hidden="false" customHeight="false" outlineLevel="0" collapsed="false">
      <c r="B7959" s="130" t="n">
        <v>2027</v>
      </c>
      <c r="C7959" s="131" t="s">
        <v>253</v>
      </c>
      <c r="D7959" s="132" t="n">
        <v>46698</v>
      </c>
      <c r="E7959" s="131" t="s">
        <v>62</v>
      </c>
      <c r="F7959" s="133" t="s">
        <v>19</v>
      </c>
      <c r="G7959" s="134" t="n">
        <f aca="false">LEN('Saisie programme'!$J$320)+SUMIFS('Vols additionnels'!$E$7:$E$66,'Vols additionnels'!$C$7:$C$66,$E7959,'Vols additionnels'!$D$7:$D$66,$F7959,'Vols additionnels'!$B$7:$B$66,$D7959)</f>
        <v>0</v>
      </c>
      <c r="H7959" s="135" t="n">
        <f aca="false">$G7959*'Analyse capacite'!$F$8</f>
        <v>0</v>
      </c>
      <c r="I7959" s="135" t="n">
        <f aca="false">$G7959*'Analyse capacite'!$C$8</f>
        <v>0</v>
      </c>
      <c r="J7959" s="135" t="n">
        <f aca="false">$G7959*'Analyse capacite'!$D$8</f>
        <v>0</v>
      </c>
      <c r="K7959" s="135" t="n">
        <f aca="false">$G7959*'Analyse capacite'!$E$8</f>
        <v>0</v>
      </c>
    </row>
    <row r="7960" customFormat="false" ht="15" hidden="false" customHeight="false" outlineLevel="0" collapsed="false">
      <c r="B7960" s="130" t="n">
        <v>2027</v>
      </c>
      <c r="C7960" s="131" t="s">
        <v>253</v>
      </c>
      <c r="D7960" s="132" t="n">
        <v>46698</v>
      </c>
      <c r="E7960" s="131" t="s">
        <v>62</v>
      </c>
      <c r="F7960" s="133" t="s">
        <v>24</v>
      </c>
      <c r="G7960" s="134" t="n">
        <f aca="false">LEN('Saisie programme'!$J$321)+SUMIFS('Vols additionnels'!$E$7:$E$66,'Vols additionnels'!$C$7:$C$66,$E7960,'Vols additionnels'!$D$7:$D$66,$F7960,'Vols additionnels'!$B$7:$B$66,$D7960)</f>
        <v>1</v>
      </c>
      <c r="H7960" s="135" t="n">
        <f aca="false">$G7960*'Analyse capacite'!$F$9</f>
        <v>174</v>
      </c>
      <c r="I7960" s="135" t="n">
        <f aca="false">$G7960*'Analyse capacite'!$C$9</f>
        <v>0</v>
      </c>
      <c r="J7960" s="135" t="n">
        <f aca="false">$G7960*'Analyse capacite'!$D$9</f>
        <v>12</v>
      </c>
      <c r="K7960" s="135" t="n">
        <f aca="false">$G7960*'Analyse capacite'!$E$9</f>
        <v>162</v>
      </c>
    </row>
    <row r="7961" customFormat="false" ht="15" hidden="false" customHeight="false" outlineLevel="0" collapsed="false">
      <c r="B7961" s="130" t="n">
        <v>2027</v>
      </c>
      <c r="C7961" s="131" t="s">
        <v>253</v>
      </c>
      <c r="D7961" s="132" t="n">
        <v>46699</v>
      </c>
      <c r="E7961" s="131" t="s">
        <v>12</v>
      </c>
      <c r="F7961" s="133" t="s">
        <v>11</v>
      </c>
      <c r="G7961" s="134" t="n">
        <f aca="false">LEN('Saisie programme'!$D$286)+SUMIFS('Vols additionnels'!$E$7:$E$66,'Vols additionnels'!$C$7:$C$66,$E7961,'Vols additionnels'!$D$7:$D$66,$F7961,'Vols additionnels'!$B$7:$B$66,$D7961)</f>
        <v>1</v>
      </c>
      <c r="H7961" s="135" t="n">
        <f aca="false">$G7961*'Analyse capacite'!$F$7</f>
        <v>438</v>
      </c>
      <c r="I7961" s="135" t="n">
        <f aca="false">$G7961*'Analyse capacite'!$C$7</f>
        <v>14</v>
      </c>
      <c r="J7961" s="135" t="n">
        <f aca="false">$G7961*'Analyse capacite'!$D$7</f>
        <v>40</v>
      </c>
      <c r="K7961" s="135" t="n">
        <f aca="false">$G7961*'Analyse capacite'!$E$7</f>
        <v>384</v>
      </c>
    </row>
    <row r="7962" customFormat="false" ht="15" hidden="false" customHeight="false" outlineLevel="0" collapsed="false">
      <c r="B7962" s="130" t="n">
        <v>2027</v>
      </c>
      <c r="C7962" s="131" t="s">
        <v>253</v>
      </c>
      <c r="D7962" s="132" t="n">
        <v>46699</v>
      </c>
      <c r="E7962" s="131" t="s">
        <v>12</v>
      </c>
      <c r="F7962" s="133" t="s">
        <v>19</v>
      </c>
      <c r="G7962" s="134" t="n">
        <f aca="false">LEN('Saisie programme'!$D$287)+SUMIFS('Vols additionnels'!$E$7:$E$66,'Vols additionnels'!$C$7:$C$66,$E7962,'Vols additionnels'!$D$7:$D$66,$F7962,'Vols additionnels'!$B$7:$B$66,$D7962)</f>
        <v>1</v>
      </c>
      <c r="H7962" s="135" t="n">
        <f aca="false">$G7962*'Analyse capacite'!$F$8</f>
        <v>262</v>
      </c>
      <c r="I7962" s="135" t="n">
        <f aca="false">$G7962*'Analyse capacite'!$C$8</f>
        <v>18</v>
      </c>
      <c r="J7962" s="135" t="n">
        <f aca="false">$G7962*'Analyse capacite'!$D$8</f>
        <v>0</v>
      </c>
      <c r="K7962" s="135" t="n">
        <f aca="false">$G7962*'Analyse capacite'!$E$8</f>
        <v>244</v>
      </c>
    </row>
    <row r="7963" customFormat="false" ht="15" hidden="false" customHeight="false" outlineLevel="0" collapsed="false">
      <c r="B7963" s="130" t="n">
        <v>2027</v>
      </c>
      <c r="C7963" s="131" t="s">
        <v>253</v>
      </c>
      <c r="D7963" s="132" t="n">
        <v>46699</v>
      </c>
      <c r="E7963" s="131" t="s">
        <v>12</v>
      </c>
      <c r="F7963" s="133" t="s">
        <v>24</v>
      </c>
      <c r="G7963" s="134" t="n">
        <f aca="false">LEN('Saisie programme'!$D$288)+SUMIFS('Vols additionnels'!$E$7:$E$66,'Vols additionnels'!$C$7:$C$66,$E7963,'Vols additionnels'!$D$7:$D$66,$F7963,'Vols additionnels'!$B$7:$B$66,$D7963)</f>
        <v>2</v>
      </c>
      <c r="H7963" s="135" t="n">
        <f aca="false">$G7963*'Analyse capacite'!$F$9</f>
        <v>348</v>
      </c>
      <c r="I7963" s="135" t="n">
        <f aca="false">$G7963*'Analyse capacite'!$C$9</f>
        <v>0</v>
      </c>
      <c r="J7963" s="135" t="n">
        <f aca="false">$G7963*'Analyse capacite'!$D$9</f>
        <v>24</v>
      </c>
      <c r="K7963" s="135" t="n">
        <f aca="false">$G7963*'Analyse capacite'!$E$9</f>
        <v>324</v>
      </c>
    </row>
    <row r="7964" customFormat="false" ht="15" hidden="false" customHeight="false" outlineLevel="0" collapsed="false">
      <c r="B7964" s="130" t="n">
        <v>2027</v>
      </c>
      <c r="C7964" s="131" t="s">
        <v>253</v>
      </c>
      <c r="D7964" s="132" t="n">
        <v>46699</v>
      </c>
      <c r="E7964" s="131" t="s">
        <v>20</v>
      </c>
      <c r="F7964" s="133" t="s">
        <v>11</v>
      </c>
      <c r="G7964" s="134" t="n">
        <f aca="false">LEN('Saisie programme'!$D$289)+SUMIFS('Vols additionnels'!$E$7:$E$66,'Vols additionnels'!$C$7:$C$66,$E7964,'Vols additionnels'!$D$7:$D$66,$F7964,'Vols additionnels'!$B$7:$B$66,$D7964)</f>
        <v>0</v>
      </c>
      <c r="H7964" s="135" t="n">
        <f aca="false">$G7964*'Analyse capacite'!$F$7</f>
        <v>0</v>
      </c>
      <c r="I7964" s="135" t="n">
        <f aca="false">$G7964*'Analyse capacite'!$C$7</f>
        <v>0</v>
      </c>
      <c r="J7964" s="135" t="n">
        <f aca="false">$G7964*'Analyse capacite'!$D$7</f>
        <v>0</v>
      </c>
      <c r="K7964" s="135" t="n">
        <f aca="false">$G7964*'Analyse capacite'!$E$7</f>
        <v>0</v>
      </c>
    </row>
    <row r="7965" customFormat="false" ht="15" hidden="false" customHeight="false" outlineLevel="0" collapsed="false">
      <c r="B7965" s="130" t="n">
        <v>2027</v>
      </c>
      <c r="C7965" s="131" t="s">
        <v>253</v>
      </c>
      <c r="D7965" s="132" t="n">
        <v>46699</v>
      </c>
      <c r="E7965" s="131" t="s">
        <v>20</v>
      </c>
      <c r="F7965" s="133" t="s">
        <v>19</v>
      </c>
      <c r="G7965" s="134" t="n">
        <f aca="false">LEN('Saisie programme'!$D$290)+SUMIFS('Vols additionnels'!$E$7:$E$66,'Vols additionnels'!$C$7:$C$66,$E7965,'Vols additionnels'!$D$7:$D$66,$F7965,'Vols additionnels'!$B$7:$B$66,$D7965)</f>
        <v>0</v>
      </c>
      <c r="H7965" s="135" t="n">
        <f aca="false">$G7965*'Analyse capacite'!$F$8</f>
        <v>0</v>
      </c>
      <c r="I7965" s="135" t="n">
        <f aca="false">$G7965*'Analyse capacite'!$C$8</f>
        <v>0</v>
      </c>
      <c r="J7965" s="135" t="n">
        <f aca="false">$G7965*'Analyse capacite'!$D$8</f>
        <v>0</v>
      </c>
      <c r="K7965" s="135" t="n">
        <f aca="false">$G7965*'Analyse capacite'!$E$8</f>
        <v>0</v>
      </c>
    </row>
    <row r="7966" customFormat="false" ht="15" hidden="false" customHeight="false" outlineLevel="0" collapsed="false">
      <c r="B7966" s="130" t="n">
        <v>2027</v>
      </c>
      <c r="C7966" s="131" t="s">
        <v>253</v>
      </c>
      <c r="D7966" s="132" t="n">
        <v>46699</v>
      </c>
      <c r="E7966" s="131" t="s">
        <v>20</v>
      </c>
      <c r="F7966" s="133" t="s">
        <v>24</v>
      </c>
      <c r="G7966" s="134" t="n">
        <f aca="false">LEN('Saisie programme'!$D$291)+SUMIFS('Vols additionnels'!$E$7:$E$66,'Vols additionnels'!$C$7:$C$66,$E7966,'Vols additionnels'!$D$7:$D$66,$F7966,'Vols additionnels'!$B$7:$B$66,$D7966)</f>
        <v>0</v>
      </c>
      <c r="H7966" s="135" t="n">
        <f aca="false">$G7966*'Analyse capacite'!$F$9</f>
        <v>0</v>
      </c>
      <c r="I7966" s="135" t="n">
        <f aca="false">$G7966*'Analyse capacite'!$C$9</f>
        <v>0</v>
      </c>
      <c r="J7966" s="135" t="n">
        <f aca="false">$G7966*'Analyse capacite'!$D$9</f>
        <v>0</v>
      </c>
      <c r="K7966" s="135" t="n">
        <f aca="false">$G7966*'Analyse capacite'!$E$9</f>
        <v>0</v>
      </c>
    </row>
    <row r="7967" customFormat="false" ht="15" hidden="false" customHeight="false" outlineLevel="0" collapsed="false">
      <c r="B7967" s="130" t="n">
        <v>2027</v>
      </c>
      <c r="C7967" s="131" t="s">
        <v>253</v>
      </c>
      <c r="D7967" s="132" t="n">
        <v>46699</v>
      </c>
      <c r="E7967" s="131" t="s">
        <v>25</v>
      </c>
      <c r="F7967" s="133" t="s">
        <v>11</v>
      </c>
      <c r="G7967" s="134" t="n">
        <f aca="false">LEN('Saisie programme'!$D$292)+SUMIFS('Vols additionnels'!$E$7:$E$66,'Vols additionnels'!$C$7:$C$66,$E7967,'Vols additionnels'!$D$7:$D$66,$F7967,'Vols additionnels'!$B$7:$B$66,$D7967)</f>
        <v>0</v>
      </c>
      <c r="H7967" s="135" t="n">
        <f aca="false">$G7967*'Analyse capacite'!$F$7</f>
        <v>0</v>
      </c>
      <c r="I7967" s="135" t="n">
        <f aca="false">$G7967*'Analyse capacite'!$C$7</f>
        <v>0</v>
      </c>
      <c r="J7967" s="135" t="n">
        <f aca="false">$G7967*'Analyse capacite'!$D$7</f>
        <v>0</v>
      </c>
      <c r="K7967" s="135" t="n">
        <f aca="false">$G7967*'Analyse capacite'!$E$7</f>
        <v>0</v>
      </c>
    </row>
    <row r="7968" customFormat="false" ht="15" hidden="false" customHeight="false" outlineLevel="0" collapsed="false">
      <c r="B7968" s="130" t="n">
        <v>2027</v>
      </c>
      <c r="C7968" s="131" t="s">
        <v>253</v>
      </c>
      <c r="D7968" s="132" t="n">
        <v>46699</v>
      </c>
      <c r="E7968" s="131" t="s">
        <v>25</v>
      </c>
      <c r="F7968" s="133" t="s">
        <v>19</v>
      </c>
      <c r="G7968" s="134" t="n">
        <f aca="false">LEN('Saisie programme'!$D$293)+SUMIFS('Vols additionnels'!$E$7:$E$66,'Vols additionnels'!$C$7:$C$66,$E7968,'Vols additionnels'!$D$7:$D$66,$F7968,'Vols additionnels'!$B$7:$B$66,$D7968)</f>
        <v>0</v>
      </c>
      <c r="H7968" s="135" t="n">
        <f aca="false">$G7968*'Analyse capacite'!$F$8</f>
        <v>0</v>
      </c>
      <c r="I7968" s="135" t="n">
        <f aca="false">$G7968*'Analyse capacite'!$C$8</f>
        <v>0</v>
      </c>
      <c r="J7968" s="135" t="n">
        <f aca="false">$G7968*'Analyse capacite'!$D$8</f>
        <v>0</v>
      </c>
      <c r="K7968" s="135" t="n">
        <f aca="false">$G7968*'Analyse capacite'!$E$8</f>
        <v>0</v>
      </c>
    </row>
    <row r="7969" customFormat="false" ht="15" hidden="false" customHeight="false" outlineLevel="0" collapsed="false">
      <c r="B7969" s="130" t="n">
        <v>2027</v>
      </c>
      <c r="C7969" s="131" t="s">
        <v>253</v>
      </c>
      <c r="D7969" s="132" t="n">
        <v>46699</v>
      </c>
      <c r="E7969" s="131" t="s">
        <v>25</v>
      </c>
      <c r="F7969" s="133" t="s">
        <v>24</v>
      </c>
      <c r="G7969" s="134" t="n">
        <f aca="false">LEN('Saisie programme'!$D$294)+SUMIFS('Vols additionnels'!$E$7:$E$66,'Vols additionnels'!$C$7:$C$66,$E7969,'Vols additionnels'!$D$7:$D$66,$F7969,'Vols additionnels'!$B$7:$B$66,$D7969)</f>
        <v>0</v>
      </c>
      <c r="H7969" s="135" t="n">
        <f aca="false">$G7969*'Analyse capacite'!$F$9</f>
        <v>0</v>
      </c>
      <c r="I7969" s="135" t="n">
        <f aca="false">$G7969*'Analyse capacite'!$C$9</f>
        <v>0</v>
      </c>
      <c r="J7969" s="135" t="n">
        <f aca="false">$G7969*'Analyse capacite'!$D$9</f>
        <v>0</v>
      </c>
      <c r="K7969" s="135" t="n">
        <f aca="false">$G7969*'Analyse capacite'!$E$9</f>
        <v>0</v>
      </c>
    </row>
    <row r="7970" customFormat="false" ht="15" hidden="false" customHeight="false" outlineLevel="0" collapsed="false">
      <c r="B7970" s="130" t="n">
        <v>2027</v>
      </c>
      <c r="C7970" s="131" t="s">
        <v>253</v>
      </c>
      <c r="D7970" s="132" t="n">
        <v>46699</v>
      </c>
      <c r="E7970" s="131" t="s">
        <v>36</v>
      </c>
      <c r="F7970" s="133" t="s">
        <v>11</v>
      </c>
      <c r="G7970" s="134" t="n">
        <f aca="false">LEN('Saisie programme'!$D$295)+SUMIFS('Vols additionnels'!$E$7:$E$66,'Vols additionnels'!$C$7:$C$66,$E7970,'Vols additionnels'!$D$7:$D$66,$F7970,'Vols additionnels'!$B$7:$B$66,$D7970)</f>
        <v>0</v>
      </c>
      <c r="H7970" s="135" t="n">
        <f aca="false">$G7970*'Analyse capacite'!$F$7</f>
        <v>0</v>
      </c>
      <c r="I7970" s="135" t="n">
        <f aca="false">$G7970*'Analyse capacite'!$C$7</f>
        <v>0</v>
      </c>
      <c r="J7970" s="135" t="n">
        <f aca="false">$G7970*'Analyse capacite'!$D$7</f>
        <v>0</v>
      </c>
      <c r="K7970" s="135" t="n">
        <f aca="false">$G7970*'Analyse capacite'!$E$7</f>
        <v>0</v>
      </c>
    </row>
    <row r="7971" customFormat="false" ht="15" hidden="false" customHeight="false" outlineLevel="0" collapsed="false">
      <c r="B7971" s="130" t="n">
        <v>2027</v>
      </c>
      <c r="C7971" s="131" t="s">
        <v>253</v>
      </c>
      <c r="D7971" s="132" t="n">
        <v>46699</v>
      </c>
      <c r="E7971" s="131" t="s">
        <v>36</v>
      </c>
      <c r="F7971" s="133" t="s">
        <v>19</v>
      </c>
      <c r="G7971" s="134" t="n">
        <f aca="false">LEN('Saisie programme'!$D$296)+SUMIFS('Vols additionnels'!$E$7:$E$66,'Vols additionnels'!$C$7:$C$66,$E7971,'Vols additionnels'!$D$7:$D$66,$F7971,'Vols additionnels'!$B$7:$B$66,$D7971)</f>
        <v>0</v>
      </c>
      <c r="H7971" s="135" t="n">
        <f aca="false">$G7971*'Analyse capacite'!$F$8</f>
        <v>0</v>
      </c>
      <c r="I7971" s="135" t="n">
        <f aca="false">$G7971*'Analyse capacite'!$C$8</f>
        <v>0</v>
      </c>
      <c r="J7971" s="135" t="n">
        <f aca="false">$G7971*'Analyse capacite'!$D$8</f>
        <v>0</v>
      </c>
      <c r="K7971" s="135" t="n">
        <f aca="false">$G7971*'Analyse capacite'!$E$8</f>
        <v>0</v>
      </c>
    </row>
    <row r="7972" customFormat="false" ht="15" hidden="false" customHeight="false" outlineLevel="0" collapsed="false">
      <c r="B7972" s="130" t="n">
        <v>2027</v>
      </c>
      <c r="C7972" s="131" t="s">
        <v>253</v>
      </c>
      <c r="D7972" s="132" t="n">
        <v>46699</v>
      </c>
      <c r="E7972" s="131" t="s">
        <v>36</v>
      </c>
      <c r="F7972" s="133" t="s">
        <v>24</v>
      </c>
      <c r="G7972" s="134" t="n">
        <f aca="false">LEN('Saisie programme'!$D$297)+SUMIFS('Vols additionnels'!$E$7:$E$66,'Vols additionnels'!$C$7:$C$66,$E7972,'Vols additionnels'!$D$7:$D$66,$F7972,'Vols additionnels'!$B$7:$B$66,$D7972)</f>
        <v>1</v>
      </c>
      <c r="H7972" s="135" t="n">
        <f aca="false">$G7972*'Analyse capacite'!$F$9</f>
        <v>174</v>
      </c>
      <c r="I7972" s="135" t="n">
        <f aca="false">$G7972*'Analyse capacite'!$C$9</f>
        <v>0</v>
      </c>
      <c r="J7972" s="135" t="n">
        <f aca="false">$G7972*'Analyse capacite'!$D$9</f>
        <v>12</v>
      </c>
      <c r="K7972" s="135" t="n">
        <f aca="false">$G7972*'Analyse capacite'!$E$9</f>
        <v>162</v>
      </c>
    </row>
    <row r="7973" customFormat="false" ht="15" hidden="false" customHeight="false" outlineLevel="0" collapsed="false">
      <c r="B7973" s="130" t="n">
        <v>2027</v>
      </c>
      <c r="C7973" s="131" t="s">
        <v>253</v>
      </c>
      <c r="D7973" s="132" t="n">
        <v>46699</v>
      </c>
      <c r="E7973" s="131" t="s">
        <v>40</v>
      </c>
      <c r="F7973" s="133" t="s">
        <v>11</v>
      </c>
      <c r="G7973" s="134" t="n">
        <f aca="false">LEN('Saisie programme'!$D$298)+SUMIFS('Vols additionnels'!$E$7:$E$66,'Vols additionnels'!$C$7:$C$66,$E7973,'Vols additionnels'!$D$7:$D$66,$F7973,'Vols additionnels'!$B$7:$B$66,$D7973)</f>
        <v>0</v>
      </c>
      <c r="H7973" s="135" t="n">
        <f aca="false">$G7973*'Analyse capacite'!$F$7</f>
        <v>0</v>
      </c>
      <c r="I7973" s="135" t="n">
        <f aca="false">$G7973*'Analyse capacite'!$C$7</f>
        <v>0</v>
      </c>
      <c r="J7973" s="135" t="n">
        <f aca="false">$G7973*'Analyse capacite'!$D$7</f>
        <v>0</v>
      </c>
      <c r="K7973" s="135" t="n">
        <f aca="false">$G7973*'Analyse capacite'!$E$7</f>
        <v>0</v>
      </c>
    </row>
    <row r="7974" customFormat="false" ht="15" hidden="false" customHeight="false" outlineLevel="0" collapsed="false">
      <c r="B7974" s="130" t="n">
        <v>2027</v>
      </c>
      <c r="C7974" s="131" t="s">
        <v>253</v>
      </c>
      <c r="D7974" s="132" t="n">
        <v>46699</v>
      </c>
      <c r="E7974" s="131" t="s">
        <v>40</v>
      </c>
      <c r="F7974" s="133" t="s">
        <v>19</v>
      </c>
      <c r="G7974" s="134" t="n">
        <f aca="false">LEN('Saisie programme'!$D$299)+SUMIFS('Vols additionnels'!$E$7:$E$66,'Vols additionnels'!$C$7:$C$66,$E7974,'Vols additionnels'!$D$7:$D$66,$F7974,'Vols additionnels'!$B$7:$B$66,$D7974)</f>
        <v>0</v>
      </c>
      <c r="H7974" s="135" t="n">
        <f aca="false">$G7974*'Analyse capacite'!$F$8</f>
        <v>0</v>
      </c>
      <c r="I7974" s="135" t="n">
        <f aca="false">$G7974*'Analyse capacite'!$C$8</f>
        <v>0</v>
      </c>
      <c r="J7974" s="135" t="n">
        <f aca="false">$G7974*'Analyse capacite'!$D$8</f>
        <v>0</v>
      </c>
      <c r="K7974" s="135" t="n">
        <f aca="false">$G7974*'Analyse capacite'!$E$8</f>
        <v>0</v>
      </c>
    </row>
    <row r="7975" customFormat="false" ht="15" hidden="false" customHeight="false" outlineLevel="0" collapsed="false">
      <c r="B7975" s="130" t="n">
        <v>2027</v>
      </c>
      <c r="C7975" s="131" t="s">
        <v>253</v>
      </c>
      <c r="D7975" s="132" t="n">
        <v>46699</v>
      </c>
      <c r="E7975" s="131" t="s">
        <v>40</v>
      </c>
      <c r="F7975" s="133" t="s">
        <v>24</v>
      </c>
      <c r="G7975" s="134" t="n">
        <f aca="false">LEN('Saisie programme'!$D$300)+SUMIFS('Vols additionnels'!$E$7:$E$66,'Vols additionnels'!$C$7:$C$66,$E7975,'Vols additionnels'!$D$7:$D$66,$F7975,'Vols additionnels'!$B$7:$B$66,$D7975)</f>
        <v>1</v>
      </c>
      <c r="H7975" s="135" t="n">
        <f aca="false">$G7975*'Analyse capacite'!$F$9</f>
        <v>174</v>
      </c>
      <c r="I7975" s="135" t="n">
        <f aca="false">$G7975*'Analyse capacite'!$C$9</f>
        <v>0</v>
      </c>
      <c r="J7975" s="135" t="n">
        <f aca="false">$G7975*'Analyse capacite'!$D$9</f>
        <v>12</v>
      </c>
      <c r="K7975" s="135" t="n">
        <f aca="false">$G7975*'Analyse capacite'!$E$9</f>
        <v>162</v>
      </c>
    </row>
    <row r="7976" customFormat="false" ht="15" hidden="false" customHeight="false" outlineLevel="0" collapsed="false">
      <c r="B7976" s="130" t="n">
        <v>2027</v>
      </c>
      <c r="C7976" s="131" t="s">
        <v>253</v>
      </c>
      <c r="D7976" s="132" t="n">
        <v>46699</v>
      </c>
      <c r="E7976" s="131" t="s">
        <v>14</v>
      </c>
      <c r="F7976" s="133" t="s">
        <v>11</v>
      </c>
      <c r="G7976" s="134" t="n">
        <f aca="false">LEN('Saisie programme'!$D$301)+SUMIFS('Vols additionnels'!$E$7:$E$66,'Vols additionnels'!$C$7:$C$66,$E7976,'Vols additionnels'!$D$7:$D$66,$F7976,'Vols additionnels'!$B$7:$B$66,$D7976)</f>
        <v>0</v>
      </c>
      <c r="H7976" s="135" t="n">
        <f aca="false">$G7976*'Analyse capacite'!$F$7</f>
        <v>0</v>
      </c>
      <c r="I7976" s="135" t="n">
        <f aca="false">$G7976*'Analyse capacite'!$C$7</f>
        <v>0</v>
      </c>
      <c r="J7976" s="135" t="n">
        <f aca="false">$G7976*'Analyse capacite'!$D$7</f>
        <v>0</v>
      </c>
      <c r="K7976" s="135" t="n">
        <f aca="false">$G7976*'Analyse capacite'!$E$7</f>
        <v>0</v>
      </c>
    </row>
    <row r="7977" customFormat="false" ht="15" hidden="false" customHeight="false" outlineLevel="0" collapsed="false">
      <c r="B7977" s="130" t="n">
        <v>2027</v>
      </c>
      <c r="C7977" s="131" t="s">
        <v>253</v>
      </c>
      <c r="D7977" s="132" t="n">
        <v>46699</v>
      </c>
      <c r="E7977" s="131" t="s">
        <v>14</v>
      </c>
      <c r="F7977" s="133" t="s">
        <v>19</v>
      </c>
      <c r="G7977" s="134" t="n">
        <f aca="false">LEN('Saisie programme'!$D$302)+SUMIFS('Vols additionnels'!$E$7:$E$66,'Vols additionnels'!$C$7:$C$66,$E7977,'Vols additionnels'!$D$7:$D$66,$F7977,'Vols additionnels'!$B$7:$B$66,$D7977)</f>
        <v>0</v>
      </c>
      <c r="H7977" s="135" t="n">
        <f aca="false">$G7977*'Analyse capacite'!$F$8</f>
        <v>0</v>
      </c>
      <c r="I7977" s="135" t="n">
        <f aca="false">$G7977*'Analyse capacite'!$C$8</f>
        <v>0</v>
      </c>
      <c r="J7977" s="135" t="n">
        <f aca="false">$G7977*'Analyse capacite'!$D$8</f>
        <v>0</v>
      </c>
      <c r="K7977" s="135" t="n">
        <f aca="false">$G7977*'Analyse capacite'!$E$8</f>
        <v>0</v>
      </c>
    </row>
    <row r="7978" customFormat="false" ht="15" hidden="false" customHeight="false" outlineLevel="0" collapsed="false">
      <c r="B7978" s="130" t="n">
        <v>2027</v>
      </c>
      <c r="C7978" s="131" t="s">
        <v>253</v>
      </c>
      <c r="D7978" s="132" t="n">
        <v>46699</v>
      </c>
      <c r="E7978" s="131" t="s">
        <v>14</v>
      </c>
      <c r="F7978" s="133" t="s">
        <v>24</v>
      </c>
      <c r="G7978" s="134" t="n">
        <f aca="false">LEN('Saisie programme'!$D$303)+SUMIFS('Vols additionnels'!$E$7:$E$66,'Vols additionnels'!$C$7:$C$66,$E7978,'Vols additionnels'!$D$7:$D$66,$F7978,'Vols additionnels'!$B$7:$B$66,$D7978)</f>
        <v>1</v>
      </c>
      <c r="H7978" s="135" t="n">
        <f aca="false">$G7978*'Analyse capacite'!$F$9</f>
        <v>174</v>
      </c>
      <c r="I7978" s="135" t="n">
        <f aca="false">$G7978*'Analyse capacite'!$C$9</f>
        <v>0</v>
      </c>
      <c r="J7978" s="135" t="n">
        <f aca="false">$G7978*'Analyse capacite'!$D$9</f>
        <v>12</v>
      </c>
      <c r="K7978" s="135" t="n">
        <f aca="false">$G7978*'Analyse capacite'!$E$9</f>
        <v>162</v>
      </c>
    </row>
    <row r="7979" customFormat="false" ht="15" hidden="false" customHeight="false" outlineLevel="0" collapsed="false">
      <c r="B7979" s="130" t="n">
        <v>2027</v>
      </c>
      <c r="C7979" s="131" t="s">
        <v>253</v>
      </c>
      <c r="D7979" s="132" t="n">
        <v>46699</v>
      </c>
      <c r="E7979" s="131" t="s">
        <v>46</v>
      </c>
      <c r="F7979" s="133" t="s">
        <v>11</v>
      </c>
      <c r="G7979" s="134" t="n">
        <f aca="false">LEN('Saisie programme'!$D$304)+SUMIFS('Vols additionnels'!$E$7:$E$66,'Vols additionnels'!$C$7:$C$66,$E7979,'Vols additionnels'!$D$7:$D$66,$F7979,'Vols additionnels'!$B$7:$B$66,$D7979)</f>
        <v>0</v>
      </c>
      <c r="H7979" s="135" t="n">
        <f aca="false">$G7979*'Analyse capacite'!$F$7</f>
        <v>0</v>
      </c>
      <c r="I7979" s="135" t="n">
        <f aca="false">$G7979*'Analyse capacite'!$C$7</f>
        <v>0</v>
      </c>
      <c r="J7979" s="135" t="n">
        <f aca="false">$G7979*'Analyse capacite'!$D$7</f>
        <v>0</v>
      </c>
      <c r="K7979" s="135" t="n">
        <f aca="false">$G7979*'Analyse capacite'!$E$7</f>
        <v>0</v>
      </c>
    </row>
    <row r="7980" customFormat="false" ht="15" hidden="false" customHeight="false" outlineLevel="0" collapsed="false">
      <c r="B7980" s="130" t="n">
        <v>2027</v>
      </c>
      <c r="C7980" s="131" t="s">
        <v>253</v>
      </c>
      <c r="D7980" s="132" t="n">
        <v>46699</v>
      </c>
      <c r="E7980" s="131" t="s">
        <v>46</v>
      </c>
      <c r="F7980" s="133" t="s">
        <v>19</v>
      </c>
      <c r="G7980" s="134" t="n">
        <f aca="false">LEN('Saisie programme'!$D$305)+SUMIFS('Vols additionnels'!$E$7:$E$66,'Vols additionnels'!$C$7:$C$66,$E7980,'Vols additionnels'!$D$7:$D$66,$F7980,'Vols additionnels'!$B$7:$B$66,$D7980)</f>
        <v>0</v>
      </c>
      <c r="H7980" s="135" t="n">
        <f aca="false">$G7980*'Analyse capacite'!$F$8</f>
        <v>0</v>
      </c>
      <c r="I7980" s="135" t="n">
        <f aca="false">$G7980*'Analyse capacite'!$C$8</f>
        <v>0</v>
      </c>
      <c r="J7980" s="135" t="n">
        <f aca="false">$G7980*'Analyse capacite'!$D$8</f>
        <v>0</v>
      </c>
      <c r="K7980" s="135" t="n">
        <f aca="false">$G7980*'Analyse capacite'!$E$8</f>
        <v>0</v>
      </c>
    </row>
    <row r="7981" customFormat="false" ht="15" hidden="false" customHeight="false" outlineLevel="0" collapsed="false">
      <c r="B7981" s="130" t="n">
        <v>2027</v>
      </c>
      <c r="C7981" s="131" t="s">
        <v>253</v>
      </c>
      <c r="D7981" s="132" t="n">
        <v>46699</v>
      </c>
      <c r="E7981" s="131" t="s">
        <v>46</v>
      </c>
      <c r="F7981" s="133" t="s">
        <v>24</v>
      </c>
      <c r="G7981" s="134" t="n">
        <f aca="false">LEN('Saisie programme'!$D$306)+SUMIFS('Vols additionnels'!$E$7:$E$66,'Vols additionnels'!$C$7:$C$66,$E7981,'Vols additionnels'!$D$7:$D$66,$F7981,'Vols additionnels'!$B$7:$B$66,$D7981)</f>
        <v>0</v>
      </c>
      <c r="H7981" s="135" t="n">
        <f aca="false">$G7981*'Analyse capacite'!$F$9</f>
        <v>0</v>
      </c>
      <c r="I7981" s="135" t="n">
        <f aca="false">$G7981*'Analyse capacite'!$C$9</f>
        <v>0</v>
      </c>
      <c r="J7981" s="135" t="n">
        <f aca="false">$G7981*'Analyse capacite'!$D$9</f>
        <v>0</v>
      </c>
      <c r="K7981" s="135" t="n">
        <f aca="false">$G7981*'Analyse capacite'!$E$9</f>
        <v>0</v>
      </c>
    </row>
    <row r="7982" customFormat="false" ht="15" hidden="false" customHeight="false" outlineLevel="0" collapsed="false">
      <c r="B7982" s="130" t="n">
        <v>2027</v>
      </c>
      <c r="C7982" s="131" t="s">
        <v>253</v>
      </c>
      <c r="D7982" s="132" t="n">
        <v>46699</v>
      </c>
      <c r="E7982" s="131" t="s">
        <v>49</v>
      </c>
      <c r="F7982" s="133" t="s">
        <v>11</v>
      </c>
      <c r="G7982" s="134" t="n">
        <f aca="false">LEN('Saisie programme'!$D$307)+SUMIFS('Vols additionnels'!$E$7:$E$66,'Vols additionnels'!$C$7:$C$66,$E7982,'Vols additionnels'!$D$7:$D$66,$F7982,'Vols additionnels'!$B$7:$B$66,$D7982)</f>
        <v>0</v>
      </c>
      <c r="H7982" s="135" t="n">
        <f aca="false">$G7982*'Analyse capacite'!$F$7</f>
        <v>0</v>
      </c>
      <c r="I7982" s="135" t="n">
        <f aca="false">$G7982*'Analyse capacite'!$C$7</f>
        <v>0</v>
      </c>
      <c r="J7982" s="135" t="n">
        <f aca="false">$G7982*'Analyse capacite'!$D$7</f>
        <v>0</v>
      </c>
      <c r="K7982" s="135" t="n">
        <f aca="false">$G7982*'Analyse capacite'!$E$7</f>
        <v>0</v>
      </c>
    </row>
    <row r="7983" customFormat="false" ht="15" hidden="false" customHeight="false" outlineLevel="0" collapsed="false">
      <c r="B7983" s="130" t="n">
        <v>2027</v>
      </c>
      <c r="C7983" s="131" t="s">
        <v>253</v>
      </c>
      <c r="D7983" s="132" t="n">
        <v>46699</v>
      </c>
      <c r="E7983" s="131" t="s">
        <v>49</v>
      </c>
      <c r="F7983" s="133" t="s">
        <v>19</v>
      </c>
      <c r="G7983" s="134" t="n">
        <f aca="false">LEN('Saisie programme'!$D$308)+SUMIFS('Vols additionnels'!$E$7:$E$66,'Vols additionnels'!$C$7:$C$66,$E7983,'Vols additionnels'!$D$7:$D$66,$F7983,'Vols additionnels'!$B$7:$B$66,$D7983)</f>
        <v>1</v>
      </c>
      <c r="H7983" s="135" t="n">
        <f aca="false">$G7983*'Analyse capacite'!$F$8</f>
        <v>262</v>
      </c>
      <c r="I7983" s="135" t="n">
        <f aca="false">$G7983*'Analyse capacite'!$C$8</f>
        <v>18</v>
      </c>
      <c r="J7983" s="135" t="n">
        <f aca="false">$G7983*'Analyse capacite'!$D$8</f>
        <v>0</v>
      </c>
      <c r="K7983" s="135" t="n">
        <f aca="false">$G7983*'Analyse capacite'!$E$8</f>
        <v>244</v>
      </c>
    </row>
    <row r="7984" customFormat="false" ht="15" hidden="false" customHeight="false" outlineLevel="0" collapsed="false">
      <c r="B7984" s="130" t="n">
        <v>2027</v>
      </c>
      <c r="C7984" s="131" t="s">
        <v>253</v>
      </c>
      <c r="D7984" s="132" t="n">
        <v>46699</v>
      </c>
      <c r="E7984" s="131" t="s">
        <v>49</v>
      </c>
      <c r="F7984" s="133" t="s">
        <v>24</v>
      </c>
      <c r="G7984" s="134" t="n">
        <f aca="false">LEN('Saisie programme'!$D$309)+SUMIFS('Vols additionnels'!$E$7:$E$66,'Vols additionnels'!$C$7:$C$66,$E7984,'Vols additionnels'!$D$7:$D$66,$F7984,'Vols additionnels'!$B$7:$B$66,$D7984)</f>
        <v>0</v>
      </c>
      <c r="H7984" s="135" t="n">
        <f aca="false">$G7984*'Analyse capacite'!$F$9</f>
        <v>0</v>
      </c>
      <c r="I7984" s="135" t="n">
        <f aca="false">$G7984*'Analyse capacite'!$C$9</f>
        <v>0</v>
      </c>
      <c r="J7984" s="135" t="n">
        <f aca="false">$G7984*'Analyse capacite'!$D$9</f>
        <v>0</v>
      </c>
      <c r="K7984" s="135" t="n">
        <f aca="false">$G7984*'Analyse capacite'!$E$9</f>
        <v>0</v>
      </c>
    </row>
    <row r="7985" customFormat="false" ht="15" hidden="false" customHeight="false" outlineLevel="0" collapsed="false">
      <c r="B7985" s="130" t="n">
        <v>2027</v>
      </c>
      <c r="C7985" s="131" t="s">
        <v>253</v>
      </c>
      <c r="D7985" s="132" t="n">
        <v>46699</v>
      </c>
      <c r="E7985" s="131" t="s">
        <v>53</v>
      </c>
      <c r="F7985" s="133" t="s">
        <v>11</v>
      </c>
      <c r="G7985" s="134" t="n">
        <f aca="false">LEN('Saisie programme'!$D$310)+SUMIFS('Vols additionnels'!$E$7:$E$66,'Vols additionnels'!$C$7:$C$66,$E7985,'Vols additionnels'!$D$7:$D$66,$F7985,'Vols additionnels'!$B$7:$B$66,$D7985)</f>
        <v>0</v>
      </c>
      <c r="H7985" s="135" t="n">
        <f aca="false">$G7985*'Analyse capacite'!$F$7</f>
        <v>0</v>
      </c>
      <c r="I7985" s="135" t="n">
        <f aca="false">$G7985*'Analyse capacite'!$C$7</f>
        <v>0</v>
      </c>
      <c r="J7985" s="135" t="n">
        <f aca="false">$G7985*'Analyse capacite'!$D$7</f>
        <v>0</v>
      </c>
      <c r="K7985" s="135" t="n">
        <f aca="false">$G7985*'Analyse capacite'!$E$7</f>
        <v>0</v>
      </c>
    </row>
    <row r="7986" customFormat="false" ht="15" hidden="false" customHeight="false" outlineLevel="0" collapsed="false">
      <c r="B7986" s="130" t="n">
        <v>2027</v>
      </c>
      <c r="C7986" s="131" t="s">
        <v>253</v>
      </c>
      <c r="D7986" s="132" t="n">
        <v>46699</v>
      </c>
      <c r="E7986" s="131" t="s">
        <v>53</v>
      </c>
      <c r="F7986" s="133" t="s">
        <v>19</v>
      </c>
      <c r="G7986" s="134" t="n">
        <f aca="false">LEN('Saisie programme'!$D$311)+SUMIFS('Vols additionnels'!$E$7:$E$66,'Vols additionnels'!$C$7:$C$66,$E7986,'Vols additionnels'!$D$7:$D$66,$F7986,'Vols additionnels'!$B$7:$B$66,$D7986)</f>
        <v>0</v>
      </c>
      <c r="H7986" s="135" t="n">
        <f aca="false">$G7986*'Analyse capacite'!$F$8</f>
        <v>0</v>
      </c>
      <c r="I7986" s="135" t="n">
        <f aca="false">$G7986*'Analyse capacite'!$C$8</f>
        <v>0</v>
      </c>
      <c r="J7986" s="135" t="n">
        <f aca="false">$G7986*'Analyse capacite'!$D$8</f>
        <v>0</v>
      </c>
      <c r="K7986" s="135" t="n">
        <f aca="false">$G7986*'Analyse capacite'!$E$8</f>
        <v>0</v>
      </c>
    </row>
    <row r="7987" customFormat="false" ht="15" hidden="false" customHeight="false" outlineLevel="0" collapsed="false">
      <c r="B7987" s="130" t="n">
        <v>2027</v>
      </c>
      <c r="C7987" s="131" t="s">
        <v>253</v>
      </c>
      <c r="D7987" s="132" t="n">
        <v>46699</v>
      </c>
      <c r="E7987" s="131" t="s">
        <v>53</v>
      </c>
      <c r="F7987" s="133" t="s">
        <v>24</v>
      </c>
      <c r="G7987" s="134" t="n">
        <f aca="false">LEN('Saisie programme'!$D$312)+SUMIFS('Vols additionnels'!$E$7:$E$66,'Vols additionnels'!$C$7:$C$66,$E7987,'Vols additionnels'!$D$7:$D$66,$F7987,'Vols additionnels'!$B$7:$B$66,$D7987)</f>
        <v>0</v>
      </c>
      <c r="H7987" s="135" t="n">
        <f aca="false">$G7987*'Analyse capacite'!$F$9</f>
        <v>0</v>
      </c>
      <c r="I7987" s="135" t="n">
        <f aca="false">$G7987*'Analyse capacite'!$C$9</f>
        <v>0</v>
      </c>
      <c r="J7987" s="135" t="n">
        <f aca="false">$G7987*'Analyse capacite'!$D$9</f>
        <v>0</v>
      </c>
      <c r="K7987" s="135" t="n">
        <f aca="false">$G7987*'Analyse capacite'!$E$9</f>
        <v>0</v>
      </c>
    </row>
    <row r="7988" customFormat="false" ht="15" hidden="false" customHeight="false" outlineLevel="0" collapsed="false">
      <c r="B7988" s="130" t="n">
        <v>2027</v>
      </c>
      <c r="C7988" s="131" t="s">
        <v>253</v>
      </c>
      <c r="D7988" s="132" t="n">
        <v>46699</v>
      </c>
      <c r="E7988" s="131" t="s">
        <v>56</v>
      </c>
      <c r="F7988" s="133" t="s">
        <v>11</v>
      </c>
      <c r="G7988" s="134" t="n">
        <f aca="false">LEN('Saisie programme'!$D$313)+SUMIFS('Vols additionnels'!$E$7:$E$66,'Vols additionnels'!$C$7:$C$66,$E7988,'Vols additionnels'!$D$7:$D$66,$F7988,'Vols additionnels'!$B$7:$B$66,$D7988)</f>
        <v>0</v>
      </c>
      <c r="H7988" s="135" t="n">
        <f aca="false">$G7988*'Analyse capacite'!$F$7</f>
        <v>0</v>
      </c>
      <c r="I7988" s="135" t="n">
        <f aca="false">$G7988*'Analyse capacite'!$C$7</f>
        <v>0</v>
      </c>
      <c r="J7988" s="135" t="n">
        <f aca="false">$G7988*'Analyse capacite'!$D$7</f>
        <v>0</v>
      </c>
      <c r="K7988" s="135" t="n">
        <f aca="false">$G7988*'Analyse capacite'!$E$7</f>
        <v>0</v>
      </c>
    </row>
    <row r="7989" customFormat="false" ht="15" hidden="false" customHeight="false" outlineLevel="0" collapsed="false">
      <c r="B7989" s="130" t="n">
        <v>2027</v>
      </c>
      <c r="C7989" s="131" t="s">
        <v>253</v>
      </c>
      <c r="D7989" s="132" t="n">
        <v>46699</v>
      </c>
      <c r="E7989" s="131" t="s">
        <v>56</v>
      </c>
      <c r="F7989" s="133" t="s">
        <v>19</v>
      </c>
      <c r="G7989" s="134" t="n">
        <f aca="false">LEN('Saisie programme'!$D$314)+SUMIFS('Vols additionnels'!$E$7:$E$66,'Vols additionnels'!$C$7:$C$66,$E7989,'Vols additionnels'!$D$7:$D$66,$F7989,'Vols additionnels'!$B$7:$B$66,$D7989)</f>
        <v>0</v>
      </c>
      <c r="H7989" s="135" t="n">
        <f aca="false">$G7989*'Analyse capacite'!$F$8</f>
        <v>0</v>
      </c>
      <c r="I7989" s="135" t="n">
        <f aca="false">$G7989*'Analyse capacite'!$C$8</f>
        <v>0</v>
      </c>
      <c r="J7989" s="135" t="n">
        <f aca="false">$G7989*'Analyse capacite'!$D$8</f>
        <v>0</v>
      </c>
      <c r="K7989" s="135" t="n">
        <f aca="false">$G7989*'Analyse capacite'!$E$8</f>
        <v>0</v>
      </c>
    </row>
    <row r="7990" customFormat="false" ht="15" hidden="false" customHeight="false" outlineLevel="0" collapsed="false">
      <c r="B7990" s="130" t="n">
        <v>2027</v>
      </c>
      <c r="C7990" s="131" t="s">
        <v>253</v>
      </c>
      <c r="D7990" s="132" t="n">
        <v>46699</v>
      </c>
      <c r="E7990" s="131" t="s">
        <v>56</v>
      </c>
      <c r="F7990" s="133" t="s">
        <v>24</v>
      </c>
      <c r="G7990" s="134" t="n">
        <f aca="false">LEN('Saisie programme'!$D$315)+SUMIFS('Vols additionnels'!$E$7:$E$66,'Vols additionnels'!$C$7:$C$66,$E7990,'Vols additionnels'!$D$7:$D$66,$F7990,'Vols additionnels'!$B$7:$B$66,$D7990)</f>
        <v>0</v>
      </c>
      <c r="H7990" s="135" t="n">
        <f aca="false">$G7990*'Analyse capacite'!$F$9</f>
        <v>0</v>
      </c>
      <c r="I7990" s="135" t="n">
        <f aca="false">$G7990*'Analyse capacite'!$C$9</f>
        <v>0</v>
      </c>
      <c r="J7990" s="135" t="n">
        <f aca="false">$G7990*'Analyse capacite'!$D$9</f>
        <v>0</v>
      </c>
      <c r="K7990" s="135" t="n">
        <f aca="false">$G7990*'Analyse capacite'!$E$9</f>
        <v>0</v>
      </c>
    </row>
    <row r="7991" customFormat="false" ht="15" hidden="false" customHeight="false" outlineLevel="0" collapsed="false">
      <c r="B7991" s="130" t="n">
        <v>2027</v>
      </c>
      <c r="C7991" s="131" t="s">
        <v>253</v>
      </c>
      <c r="D7991" s="132" t="n">
        <v>46699</v>
      </c>
      <c r="E7991" s="131" t="s">
        <v>59</v>
      </c>
      <c r="F7991" s="133" t="s">
        <v>11</v>
      </c>
      <c r="G7991" s="134" t="n">
        <f aca="false">LEN('Saisie programme'!$D$316)+SUMIFS('Vols additionnels'!$E$7:$E$66,'Vols additionnels'!$C$7:$C$66,$E7991,'Vols additionnels'!$D$7:$D$66,$F7991,'Vols additionnels'!$B$7:$B$66,$D7991)</f>
        <v>0</v>
      </c>
      <c r="H7991" s="135" t="n">
        <f aca="false">$G7991*'Analyse capacite'!$F$7</f>
        <v>0</v>
      </c>
      <c r="I7991" s="135" t="n">
        <f aca="false">$G7991*'Analyse capacite'!$C$7</f>
        <v>0</v>
      </c>
      <c r="J7991" s="135" t="n">
        <f aca="false">$G7991*'Analyse capacite'!$D$7</f>
        <v>0</v>
      </c>
      <c r="K7991" s="135" t="n">
        <f aca="false">$G7991*'Analyse capacite'!$E$7</f>
        <v>0</v>
      </c>
    </row>
    <row r="7992" customFormat="false" ht="15" hidden="false" customHeight="false" outlineLevel="0" collapsed="false">
      <c r="B7992" s="130" t="n">
        <v>2027</v>
      </c>
      <c r="C7992" s="131" t="s">
        <v>253</v>
      </c>
      <c r="D7992" s="132" t="n">
        <v>46699</v>
      </c>
      <c r="E7992" s="131" t="s">
        <v>59</v>
      </c>
      <c r="F7992" s="133" t="s">
        <v>19</v>
      </c>
      <c r="G7992" s="134" t="n">
        <f aca="false">LEN('Saisie programme'!$D$317)+SUMIFS('Vols additionnels'!$E$7:$E$66,'Vols additionnels'!$C$7:$C$66,$E7992,'Vols additionnels'!$D$7:$D$66,$F7992,'Vols additionnels'!$B$7:$B$66,$D7992)</f>
        <v>0</v>
      </c>
      <c r="H7992" s="135" t="n">
        <f aca="false">$G7992*'Analyse capacite'!$F$8</f>
        <v>0</v>
      </c>
      <c r="I7992" s="135" t="n">
        <f aca="false">$G7992*'Analyse capacite'!$C$8</f>
        <v>0</v>
      </c>
      <c r="J7992" s="135" t="n">
        <f aca="false">$G7992*'Analyse capacite'!$D$8</f>
        <v>0</v>
      </c>
      <c r="K7992" s="135" t="n">
        <f aca="false">$G7992*'Analyse capacite'!$E$8</f>
        <v>0</v>
      </c>
    </row>
    <row r="7993" customFormat="false" ht="15" hidden="false" customHeight="false" outlineLevel="0" collapsed="false">
      <c r="B7993" s="130" t="n">
        <v>2027</v>
      </c>
      <c r="C7993" s="131" t="s">
        <v>253</v>
      </c>
      <c r="D7993" s="132" t="n">
        <v>46699</v>
      </c>
      <c r="E7993" s="131" t="s">
        <v>59</v>
      </c>
      <c r="F7993" s="133" t="s">
        <v>24</v>
      </c>
      <c r="G7993" s="134" t="n">
        <f aca="false">LEN('Saisie programme'!$D$318)+SUMIFS('Vols additionnels'!$E$7:$E$66,'Vols additionnels'!$C$7:$C$66,$E7993,'Vols additionnels'!$D$7:$D$66,$F7993,'Vols additionnels'!$B$7:$B$66,$D7993)</f>
        <v>1</v>
      </c>
      <c r="H7993" s="135" t="n">
        <f aca="false">$G7993*'Analyse capacite'!$F$9</f>
        <v>174</v>
      </c>
      <c r="I7993" s="135" t="n">
        <f aca="false">$G7993*'Analyse capacite'!$C$9</f>
        <v>0</v>
      </c>
      <c r="J7993" s="135" t="n">
        <f aca="false">$G7993*'Analyse capacite'!$D$9</f>
        <v>12</v>
      </c>
      <c r="K7993" s="135" t="n">
        <f aca="false">$G7993*'Analyse capacite'!$E$9</f>
        <v>162</v>
      </c>
    </row>
    <row r="7994" customFormat="false" ht="15" hidden="false" customHeight="false" outlineLevel="0" collapsed="false">
      <c r="B7994" s="130" t="n">
        <v>2027</v>
      </c>
      <c r="C7994" s="131" t="s">
        <v>253</v>
      </c>
      <c r="D7994" s="132" t="n">
        <v>46699</v>
      </c>
      <c r="E7994" s="131" t="s">
        <v>62</v>
      </c>
      <c r="F7994" s="133" t="s">
        <v>11</v>
      </c>
      <c r="G7994" s="134" t="n">
        <f aca="false">LEN('Saisie programme'!$D$319)+SUMIFS('Vols additionnels'!$E$7:$E$66,'Vols additionnels'!$C$7:$C$66,$E7994,'Vols additionnels'!$D$7:$D$66,$F7994,'Vols additionnels'!$B$7:$B$66,$D7994)</f>
        <v>0</v>
      </c>
      <c r="H7994" s="135" t="n">
        <f aca="false">$G7994*'Analyse capacite'!$F$7</f>
        <v>0</v>
      </c>
      <c r="I7994" s="135" t="n">
        <f aca="false">$G7994*'Analyse capacite'!$C$7</f>
        <v>0</v>
      </c>
      <c r="J7994" s="135" t="n">
        <f aca="false">$G7994*'Analyse capacite'!$D$7</f>
        <v>0</v>
      </c>
      <c r="K7994" s="135" t="n">
        <f aca="false">$G7994*'Analyse capacite'!$E$7</f>
        <v>0</v>
      </c>
    </row>
    <row r="7995" customFormat="false" ht="15" hidden="false" customHeight="false" outlineLevel="0" collapsed="false">
      <c r="B7995" s="130" t="n">
        <v>2027</v>
      </c>
      <c r="C7995" s="131" t="s">
        <v>253</v>
      </c>
      <c r="D7995" s="132" t="n">
        <v>46699</v>
      </c>
      <c r="E7995" s="131" t="s">
        <v>62</v>
      </c>
      <c r="F7995" s="133" t="s">
        <v>19</v>
      </c>
      <c r="G7995" s="134" t="n">
        <f aca="false">LEN('Saisie programme'!$D$320)+SUMIFS('Vols additionnels'!$E$7:$E$66,'Vols additionnels'!$C$7:$C$66,$E7995,'Vols additionnels'!$D$7:$D$66,$F7995,'Vols additionnels'!$B$7:$B$66,$D7995)</f>
        <v>0</v>
      </c>
      <c r="H7995" s="135" t="n">
        <f aca="false">$G7995*'Analyse capacite'!$F$8</f>
        <v>0</v>
      </c>
      <c r="I7995" s="135" t="n">
        <f aca="false">$G7995*'Analyse capacite'!$C$8</f>
        <v>0</v>
      </c>
      <c r="J7995" s="135" t="n">
        <f aca="false">$G7995*'Analyse capacite'!$D$8</f>
        <v>0</v>
      </c>
      <c r="K7995" s="135" t="n">
        <f aca="false">$G7995*'Analyse capacite'!$E$8</f>
        <v>0</v>
      </c>
    </row>
    <row r="7996" customFormat="false" ht="15" hidden="false" customHeight="false" outlineLevel="0" collapsed="false">
      <c r="B7996" s="130" t="n">
        <v>2027</v>
      </c>
      <c r="C7996" s="131" t="s">
        <v>253</v>
      </c>
      <c r="D7996" s="132" t="n">
        <v>46699</v>
      </c>
      <c r="E7996" s="131" t="s">
        <v>62</v>
      </c>
      <c r="F7996" s="133" t="s">
        <v>24</v>
      </c>
      <c r="G7996" s="134" t="n">
        <f aca="false">LEN('Saisie programme'!$D$321)+SUMIFS('Vols additionnels'!$E$7:$E$66,'Vols additionnels'!$C$7:$C$66,$E7996,'Vols additionnels'!$D$7:$D$66,$F7996,'Vols additionnels'!$B$7:$B$66,$D7996)</f>
        <v>0</v>
      </c>
      <c r="H7996" s="135" t="n">
        <f aca="false">$G7996*'Analyse capacite'!$F$9</f>
        <v>0</v>
      </c>
      <c r="I7996" s="135" t="n">
        <f aca="false">$G7996*'Analyse capacite'!$C$9</f>
        <v>0</v>
      </c>
      <c r="J7996" s="135" t="n">
        <f aca="false">$G7996*'Analyse capacite'!$D$9</f>
        <v>0</v>
      </c>
      <c r="K7996" s="135" t="n">
        <f aca="false">$G7996*'Analyse capacite'!$E$9</f>
        <v>0</v>
      </c>
    </row>
    <row r="7997" customFormat="false" ht="15" hidden="false" customHeight="false" outlineLevel="0" collapsed="false">
      <c r="B7997" s="130" t="n">
        <v>2027</v>
      </c>
      <c r="C7997" s="131" t="s">
        <v>253</v>
      </c>
      <c r="D7997" s="132" t="n">
        <v>46700</v>
      </c>
      <c r="E7997" s="131" t="s">
        <v>12</v>
      </c>
      <c r="F7997" s="133" t="s">
        <v>11</v>
      </c>
      <c r="G7997" s="134" t="n">
        <f aca="false">LEN('Saisie programme'!$E$286)+SUMIFS('Vols additionnels'!$E$7:$E$66,'Vols additionnels'!$C$7:$C$66,$E7997,'Vols additionnels'!$D$7:$D$66,$F7997,'Vols additionnels'!$B$7:$B$66,$D7997)</f>
        <v>1</v>
      </c>
      <c r="H7997" s="135" t="n">
        <f aca="false">$G7997*'Analyse capacite'!$F$7</f>
        <v>438</v>
      </c>
      <c r="I7997" s="135" t="n">
        <f aca="false">$G7997*'Analyse capacite'!$C$7</f>
        <v>14</v>
      </c>
      <c r="J7997" s="135" t="n">
        <f aca="false">$G7997*'Analyse capacite'!$D$7</f>
        <v>40</v>
      </c>
      <c r="K7997" s="135" t="n">
        <f aca="false">$G7997*'Analyse capacite'!$E$7</f>
        <v>384</v>
      </c>
    </row>
    <row r="7998" customFormat="false" ht="15" hidden="false" customHeight="false" outlineLevel="0" collapsed="false">
      <c r="B7998" s="130" t="n">
        <v>2027</v>
      </c>
      <c r="C7998" s="131" t="s">
        <v>253</v>
      </c>
      <c r="D7998" s="132" t="n">
        <v>46700</v>
      </c>
      <c r="E7998" s="131" t="s">
        <v>12</v>
      </c>
      <c r="F7998" s="133" t="s">
        <v>19</v>
      </c>
      <c r="G7998" s="134" t="n">
        <f aca="false">LEN('Saisie programme'!$E$287)+SUMIFS('Vols additionnels'!$E$7:$E$66,'Vols additionnels'!$C$7:$C$66,$E7998,'Vols additionnels'!$D$7:$D$66,$F7998,'Vols additionnels'!$B$7:$B$66,$D7998)</f>
        <v>0</v>
      </c>
      <c r="H7998" s="135" t="n">
        <f aca="false">$G7998*'Analyse capacite'!$F$8</f>
        <v>0</v>
      </c>
      <c r="I7998" s="135" t="n">
        <f aca="false">$G7998*'Analyse capacite'!$C$8</f>
        <v>0</v>
      </c>
      <c r="J7998" s="135" t="n">
        <f aca="false">$G7998*'Analyse capacite'!$D$8</f>
        <v>0</v>
      </c>
      <c r="K7998" s="135" t="n">
        <f aca="false">$G7998*'Analyse capacite'!$E$8</f>
        <v>0</v>
      </c>
    </row>
    <row r="7999" customFormat="false" ht="15" hidden="false" customHeight="false" outlineLevel="0" collapsed="false">
      <c r="B7999" s="130" t="n">
        <v>2027</v>
      </c>
      <c r="C7999" s="131" t="s">
        <v>253</v>
      </c>
      <c r="D7999" s="132" t="n">
        <v>46700</v>
      </c>
      <c r="E7999" s="131" t="s">
        <v>12</v>
      </c>
      <c r="F7999" s="133" t="s">
        <v>24</v>
      </c>
      <c r="G7999" s="134" t="n">
        <f aca="false">LEN('Saisie programme'!$E$288)+SUMIFS('Vols additionnels'!$E$7:$E$66,'Vols additionnels'!$C$7:$C$66,$E7999,'Vols additionnels'!$D$7:$D$66,$F7999,'Vols additionnels'!$B$7:$B$66,$D7999)</f>
        <v>0</v>
      </c>
      <c r="H7999" s="135" t="n">
        <f aca="false">$G7999*'Analyse capacite'!$F$9</f>
        <v>0</v>
      </c>
      <c r="I7999" s="135" t="n">
        <f aca="false">$G7999*'Analyse capacite'!$C$9</f>
        <v>0</v>
      </c>
      <c r="J7999" s="135" t="n">
        <f aca="false">$G7999*'Analyse capacite'!$D$9</f>
        <v>0</v>
      </c>
      <c r="K7999" s="135" t="n">
        <f aca="false">$G7999*'Analyse capacite'!$E$9</f>
        <v>0</v>
      </c>
    </row>
    <row r="8000" customFormat="false" ht="15" hidden="false" customHeight="false" outlineLevel="0" collapsed="false">
      <c r="B8000" s="130" t="n">
        <v>2027</v>
      </c>
      <c r="C8000" s="131" t="s">
        <v>253</v>
      </c>
      <c r="D8000" s="132" t="n">
        <v>46700</v>
      </c>
      <c r="E8000" s="131" t="s">
        <v>20</v>
      </c>
      <c r="F8000" s="133" t="s">
        <v>11</v>
      </c>
      <c r="G8000" s="134" t="n">
        <f aca="false">LEN('Saisie programme'!$E$289)+SUMIFS('Vols additionnels'!$E$7:$E$66,'Vols additionnels'!$C$7:$C$66,$E8000,'Vols additionnels'!$D$7:$D$66,$F8000,'Vols additionnels'!$B$7:$B$66,$D8000)</f>
        <v>0</v>
      </c>
      <c r="H8000" s="135" t="n">
        <f aca="false">$G8000*'Analyse capacite'!$F$7</f>
        <v>0</v>
      </c>
      <c r="I8000" s="135" t="n">
        <f aca="false">$G8000*'Analyse capacite'!$C$7</f>
        <v>0</v>
      </c>
      <c r="J8000" s="135" t="n">
        <f aca="false">$G8000*'Analyse capacite'!$D$7</f>
        <v>0</v>
      </c>
      <c r="K8000" s="135" t="n">
        <f aca="false">$G8000*'Analyse capacite'!$E$7</f>
        <v>0</v>
      </c>
    </row>
    <row r="8001" customFormat="false" ht="15" hidden="false" customHeight="false" outlineLevel="0" collapsed="false">
      <c r="B8001" s="130" t="n">
        <v>2027</v>
      </c>
      <c r="C8001" s="131" t="s">
        <v>253</v>
      </c>
      <c r="D8001" s="132" t="n">
        <v>46700</v>
      </c>
      <c r="E8001" s="131" t="s">
        <v>20</v>
      </c>
      <c r="F8001" s="133" t="s">
        <v>19</v>
      </c>
      <c r="G8001" s="134" t="n">
        <f aca="false">LEN('Saisie programme'!$E$290)+SUMIFS('Vols additionnels'!$E$7:$E$66,'Vols additionnels'!$C$7:$C$66,$E8001,'Vols additionnels'!$D$7:$D$66,$F8001,'Vols additionnels'!$B$7:$B$66,$D8001)</f>
        <v>1</v>
      </c>
      <c r="H8001" s="135" t="n">
        <f aca="false">$G8001*'Analyse capacite'!$F$8</f>
        <v>262</v>
      </c>
      <c r="I8001" s="135" t="n">
        <f aca="false">$G8001*'Analyse capacite'!$C$8</f>
        <v>18</v>
      </c>
      <c r="J8001" s="135" t="n">
        <f aca="false">$G8001*'Analyse capacite'!$D$8</f>
        <v>0</v>
      </c>
      <c r="K8001" s="135" t="n">
        <f aca="false">$G8001*'Analyse capacite'!$E$8</f>
        <v>244</v>
      </c>
    </row>
    <row r="8002" customFormat="false" ht="15" hidden="false" customHeight="false" outlineLevel="0" collapsed="false">
      <c r="B8002" s="130" t="n">
        <v>2027</v>
      </c>
      <c r="C8002" s="131" t="s">
        <v>253</v>
      </c>
      <c r="D8002" s="132" t="n">
        <v>46700</v>
      </c>
      <c r="E8002" s="131" t="s">
        <v>20</v>
      </c>
      <c r="F8002" s="133" t="s">
        <v>24</v>
      </c>
      <c r="G8002" s="134" t="n">
        <f aca="false">LEN('Saisie programme'!$E$291)+SUMIFS('Vols additionnels'!$E$7:$E$66,'Vols additionnels'!$C$7:$C$66,$E8002,'Vols additionnels'!$D$7:$D$66,$F8002,'Vols additionnels'!$B$7:$B$66,$D8002)</f>
        <v>0</v>
      </c>
      <c r="H8002" s="135" t="n">
        <f aca="false">$G8002*'Analyse capacite'!$F$9</f>
        <v>0</v>
      </c>
      <c r="I8002" s="135" t="n">
        <f aca="false">$G8002*'Analyse capacite'!$C$9</f>
        <v>0</v>
      </c>
      <c r="J8002" s="135" t="n">
        <f aca="false">$G8002*'Analyse capacite'!$D$9</f>
        <v>0</v>
      </c>
      <c r="K8002" s="135" t="n">
        <f aca="false">$G8002*'Analyse capacite'!$E$9</f>
        <v>0</v>
      </c>
    </row>
    <row r="8003" customFormat="false" ht="15" hidden="false" customHeight="false" outlineLevel="0" collapsed="false">
      <c r="B8003" s="130" t="n">
        <v>2027</v>
      </c>
      <c r="C8003" s="131" t="s">
        <v>253</v>
      </c>
      <c r="D8003" s="132" t="n">
        <v>46700</v>
      </c>
      <c r="E8003" s="131" t="s">
        <v>25</v>
      </c>
      <c r="F8003" s="133" t="s">
        <v>11</v>
      </c>
      <c r="G8003" s="134" t="n">
        <f aca="false">LEN('Saisie programme'!$E$292)+SUMIFS('Vols additionnels'!$E$7:$E$66,'Vols additionnels'!$C$7:$C$66,$E8003,'Vols additionnels'!$D$7:$D$66,$F8003,'Vols additionnels'!$B$7:$B$66,$D8003)</f>
        <v>0</v>
      </c>
      <c r="H8003" s="135" t="n">
        <f aca="false">$G8003*'Analyse capacite'!$F$7</f>
        <v>0</v>
      </c>
      <c r="I8003" s="135" t="n">
        <f aca="false">$G8003*'Analyse capacite'!$C$7</f>
        <v>0</v>
      </c>
      <c r="J8003" s="135" t="n">
        <f aca="false">$G8003*'Analyse capacite'!$D$7</f>
        <v>0</v>
      </c>
      <c r="K8003" s="135" t="n">
        <f aca="false">$G8003*'Analyse capacite'!$E$7</f>
        <v>0</v>
      </c>
    </row>
    <row r="8004" customFormat="false" ht="15" hidden="false" customHeight="false" outlineLevel="0" collapsed="false">
      <c r="B8004" s="130" t="n">
        <v>2027</v>
      </c>
      <c r="C8004" s="131" t="s">
        <v>253</v>
      </c>
      <c r="D8004" s="132" t="n">
        <v>46700</v>
      </c>
      <c r="E8004" s="131" t="s">
        <v>25</v>
      </c>
      <c r="F8004" s="133" t="s">
        <v>19</v>
      </c>
      <c r="G8004" s="134" t="n">
        <f aca="false">LEN('Saisie programme'!$E$293)+SUMIFS('Vols additionnels'!$E$7:$E$66,'Vols additionnels'!$C$7:$C$66,$E8004,'Vols additionnels'!$D$7:$D$66,$F8004,'Vols additionnels'!$B$7:$B$66,$D8004)</f>
        <v>0</v>
      </c>
      <c r="H8004" s="135" t="n">
        <f aca="false">$G8004*'Analyse capacite'!$F$8</f>
        <v>0</v>
      </c>
      <c r="I8004" s="135" t="n">
        <f aca="false">$G8004*'Analyse capacite'!$C$8</f>
        <v>0</v>
      </c>
      <c r="J8004" s="135" t="n">
        <f aca="false">$G8004*'Analyse capacite'!$D$8</f>
        <v>0</v>
      </c>
      <c r="K8004" s="135" t="n">
        <f aca="false">$G8004*'Analyse capacite'!$E$8</f>
        <v>0</v>
      </c>
    </row>
    <row r="8005" customFormat="false" ht="15" hidden="false" customHeight="false" outlineLevel="0" collapsed="false">
      <c r="B8005" s="130" t="n">
        <v>2027</v>
      </c>
      <c r="C8005" s="131" t="s">
        <v>253</v>
      </c>
      <c r="D8005" s="132" t="n">
        <v>46700</v>
      </c>
      <c r="E8005" s="131" t="s">
        <v>25</v>
      </c>
      <c r="F8005" s="133" t="s">
        <v>24</v>
      </c>
      <c r="G8005" s="134" t="n">
        <f aca="false">LEN('Saisie programme'!$E$294)+SUMIFS('Vols additionnels'!$E$7:$E$66,'Vols additionnels'!$C$7:$C$66,$E8005,'Vols additionnels'!$D$7:$D$66,$F8005,'Vols additionnels'!$B$7:$B$66,$D8005)</f>
        <v>0</v>
      </c>
      <c r="H8005" s="135" t="n">
        <f aca="false">$G8005*'Analyse capacite'!$F$9</f>
        <v>0</v>
      </c>
      <c r="I8005" s="135" t="n">
        <f aca="false">$G8005*'Analyse capacite'!$C$9</f>
        <v>0</v>
      </c>
      <c r="J8005" s="135" t="n">
        <f aca="false">$G8005*'Analyse capacite'!$D$9</f>
        <v>0</v>
      </c>
      <c r="K8005" s="135" t="n">
        <f aca="false">$G8005*'Analyse capacite'!$E$9</f>
        <v>0</v>
      </c>
    </row>
    <row r="8006" customFormat="false" ht="15" hidden="false" customHeight="false" outlineLevel="0" collapsed="false">
      <c r="B8006" s="130" t="n">
        <v>2027</v>
      </c>
      <c r="C8006" s="131" t="s">
        <v>253</v>
      </c>
      <c r="D8006" s="132" t="n">
        <v>46700</v>
      </c>
      <c r="E8006" s="131" t="s">
        <v>36</v>
      </c>
      <c r="F8006" s="133" t="s">
        <v>11</v>
      </c>
      <c r="G8006" s="134" t="n">
        <f aca="false">LEN('Saisie programme'!$E$295)+SUMIFS('Vols additionnels'!$E$7:$E$66,'Vols additionnels'!$C$7:$C$66,$E8006,'Vols additionnels'!$D$7:$D$66,$F8006,'Vols additionnels'!$B$7:$B$66,$D8006)</f>
        <v>0</v>
      </c>
      <c r="H8006" s="135" t="n">
        <f aca="false">$G8006*'Analyse capacite'!$F$7</f>
        <v>0</v>
      </c>
      <c r="I8006" s="135" t="n">
        <f aca="false">$G8006*'Analyse capacite'!$C$7</f>
        <v>0</v>
      </c>
      <c r="J8006" s="135" t="n">
        <f aca="false">$G8006*'Analyse capacite'!$D$7</f>
        <v>0</v>
      </c>
      <c r="K8006" s="135" t="n">
        <f aca="false">$G8006*'Analyse capacite'!$E$7</f>
        <v>0</v>
      </c>
    </row>
    <row r="8007" customFormat="false" ht="15" hidden="false" customHeight="false" outlineLevel="0" collapsed="false">
      <c r="B8007" s="130" t="n">
        <v>2027</v>
      </c>
      <c r="C8007" s="131" t="s">
        <v>253</v>
      </c>
      <c r="D8007" s="132" t="n">
        <v>46700</v>
      </c>
      <c r="E8007" s="131" t="s">
        <v>36</v>
      </c>
      <c r="F8007" s="133" t="s">
        <v>19</v>
      </c>
      <c r="G8007" s="134" t="n">
        <f aca="false">LEN('Saisie programme'!$E$296)+SUMIFS('Vols additionnels'!$E$7:$E$66,'Vols additionnels'!$C$7:$C$66,$E8007,'Vols additionnels'!$D$7:$D$66,$F8007,'Vols additionnels'!$B$7:$B$66,$D8007)</f>
        <v>0</v>
      </c>
      <c r="H8007" s="135" t="n">
        <f aca="false">$G8007*'Analyse capacite'!$F$8</f>
        <v>0</v>
      </c>
      <c r="I8007" s="135" t="n">
        <f aca="false">$G8007*'Analyse capacite'!$C$8</f>
        <v>0</v>
      </c>
      <c r="J8007" s="135" t="n">
        <f aca="false">$G8007*'Analyse capacite'!$D$8</f>
        <v>0</v>
      </c>
      <c r="K8007" s="135" t="n">
        <f aca="false">$G8007*'Analyse capacite'!$E$8</f>
        <v>0</v>
      </c>
    </row>
    <row r="8008" customFormat="false" ht="15" hidden="false" customHeight="false" outlineLevel="0" collapsed="false">
      <c r="B8008" s="130" t="n">
        <v>2027</v>
      </c>
      <c r="C8008" s="131" t="s">
        <v>253</v>
      </c>
      <c r="D8008" s="132" t="n">
        <v>46700</v>
      </c>
      <c r="E8008" s="131" t="s">
        <v>36</v>
      </c>
      <c r="F8008" s="133" t="s">
        <v>24</v>
      </c>
      <c r="G8008" s="134" t="n">
        <f aca="false">LEN('Saisie programme'!$E$297)+SUMIFS('Vols additionnels'!$E$7:$E$66,'Vols additionnels'!$C$7:$C$66,$E8008,'Vols additionnels'!$D$7:$D$66,$F8008,'Vols additionnels'!$B$7:$B$66,$D8008)</f>
        <v>1</v>
      </c>
      <c r="H8008" s="135" t="n">
        <f aca="false">$G8008*'Analyse capacite'!$F$9</f>
        <v>174</v>
      </c>
      <c r="I8008" s="135" t="n">
        <f aca="false">$G8008*'Analyse capacite'!$C$9</f>
        <v>0</v>
      </c>
      <c r="J8008" s="135" t="n">
        <f aca="false">$G8008*'Analyse capacite'!$D$9</f>
        <v>12</v>
      </c>
      <c r="K8008" s="135" t="n">
        <f aca="false">$G8008*'Analyse capacite'!$E$9</f>
        <v>162</v>
      </c>
    </row>
    <row r="8009" customFormat="false" ht="15" hidden="false" customHeight="false" outlineLevel="0" collapsed="false">
      <c r="B8009" s="130" t="n">
        <v>2027</v>
      </c>
      <c r="C8009" s="131" t="s">
        <v>253</v>
      </c>
      <c r="D8009" s="132" t="n">
        <v>46700</v>
      </c>
      <c r="E8009" s="131" t="s">
        <v>40</v>
      </c>
      <c r="F8009" s="133" t="s">
        <v>11</v>
      </c>
      <c r="G8009" s="134" t="n">
        <f aca="false">LEN('Saisie programme'!$E$298)+SUMIFS('Vols additionnels'!$E$7:$E$66,'Vols additionnels'!$C$7:$C$66,$E8009,'Vols additionnels'!$D$7:$D$66,$F8009,'Vols additionnels'!$B$7:$B$66,$D8009)</f>
        <v>0</v>
      </c>
      <c r="H8009" s="135" t="n">
        <f aca="false">$G8009*'Analyse capacite'!$F$7</f>
        <v>0</v>
      </c>
      <c r="I8009" s="135" t="n">
        <f aca="false">$G8009*'Analyse capacite'!$C$7</f>
        <v>0</v>
      </c>
      <c r="J8009" s="135" t="n">
        <f aca="false">$G8009*'Analyse capacite'!$D$7</f>
        <v>0</v>
      </c>
      <c r="K8009" s="135" t="n">
        <f aca="false">$G8009*'Analyse capacite'!$E$7</f>
        <v>0</v>
      </c>
    </row>
    <row r="8010" customFormat="false" ht="15" hidden="false" customHeight="false" outlineLevel="0" collapsed="false">
      <c r="B8010" s="130" t="n">
        <v>2027</v>
      </c>
      <c r="C8010" s="131" t="s">
        <v>253</v>
      </c>
      <c r="D8010" s="132" t="n">
        <v>46700</v>
      </c>
      <c r="E8010" s="131" t="s">
        <v>40</v>
      </c>
      <c r="F8010" s="133" t="s">
        <v>19</v>
      </c>
      <c r="G8010" s="134" t="n">
        <f aca="false">LEN('Saisie programme'!$E$299)+SUMIFS('Vols additionnels'!$E$7:$E$66,'Vols additionnels'!$C$7:$C$66,$E8010,'Vols additionnels'!$D$7:$D$66,$F8010,'Vols additionnels'!$B$7:$B$66,$D8010)</f>
        <v>0</v>
      </c>
      <c r="H8010" s="135" t="n">
        <f aca="false">$G8010*'Analyse capacite'!$F$8</f>
        <v>0</v>
      </c>
      <c r="I8010" s="135" t="n">
        <f aca="false">$G8010*'Analyse capacite'!$C$8</f>
        <v>0</v>
      </c>
      <c r="J8010" s="135" t="n">
        <f aca="false">$G8010*'Analyse capacite'!$D$8</f>
        <v>0</v>
      </c>
      <c r="K8010" s="135" t="n">
        <f aca="false">$G8010*'Analyse capacite'!$E$8</f>
        <v>0</v>
      </c>
    </row>
    <row r="8011" customFormat="false" ht="15" hidden="false" customHeight="false" outlineLevel="0" collapsed="false">
      <c r="B8011" s="130" t="n">
        <v>2027</v>
      </c>
      <c r="C8011" s="131" t="s">
        <v>253</v>
      </c>
      <c r="D8011" s="132" t="n">
        <v>46700</v>
      </c>
      <c r="E8011" s="131" t="s">
        <v>40</v>
      </c>
      <c r="F8011" s="133" t="s">
        <v>24</v>
      </c>
      <c r="G8011" s="134" t="n">
        <f aca="false">LEN('Saisie programme'!$E$300)+SUMIFS('Vols additionnels'!$E$7:$E$66,'Vols additionnels'!$C$7:$C$66,$E8011,'Vols additionnels'!$D$7:$D$66,$F8011,'Vols additionnels'!$B$7:$B$66,$D8011)</f>
        <v>0</v>
      </c>
      <c r="H8011" s="135" t="n">
        <f aca="false">$G8011*'Analyse capacite'!$F$9</f>
        <v>0</v>
      </c>
      <c r="I8011" s="135" t="n">
        <f aca="false">$G8011*'Analyse capacite'!$C$9</f>
        <v>0</v>
      </c>
      <c r="J8011" s="135" t="n">
        <f aca="false">$G8011*'Analyse capacite'!$D$9</f>
        <v>0</v>
      </c>
      <c r="K8011" s="135" t="n">
        <f aca="false">$G8011*'Analyse capacite'!$E$9</f>
        <v>0</v>
      </c>
    </row>
    <row r="8012" customFormat="false" ht="15" hidden="false" customHeight="false" outlineLevel="0" collapsed="false">
      <c r="B8012" s="130" t="n">
        <v>2027</v>
      </c>
      <c r="C8012" s="131" t="s">
        <v>253</v>
      </c>
      <c r="D8012" s="132" t="n">
        <v>46700</v>
      </c>
      <c r="E8012" s="131" t="s">
        <v>14</v>
      </c>
      <c r="F8012" s="133" t="s">
        <v>11</v>
      </c>
      <c r="G8012" s="134" t="n">
        <f aca="false">LEN('Saisie programme'!$E$301)+SUMIFS('Vols additionnels'!$E$7:$E$66,'Vols additionnels'!$C$7:$C$66,$E8012,'Vols additionnels'!$D$7:$D$66,$F8012,'Vols additionnels'!$B$7:$B$66,$D8012)</f>
        <v>0</v>
      </c>
      <c r="H8012" s="135" t="n">
        <f aca="false">$G8012*'Analyse capacite'!$F$7</f>
        <v>0</v>
      </c>
      <c r="I8012" s="135" t="n">
        <f aca="false">$G8012*'Analyse capacite'!$C$7</f>
        <v>0</v>
      </c>
      <c r="J8012" s="135" t="n">
        <f aca="false">$G8012*'Analyse capacite'!$D$7</f>
        <v>0</v>
      </c>
      <c r="K8012" s="135" t="n">
        <f aca="false">$G8012*'Analyse capacite'!$E$7</f>
        <v>0</v>
      </c>
    </row>
    <row r="8013" customFormat="false" ht="15" hidden="false" customHeight="false" outlineLevel="0" collapsed="false">
      <c r="B8013" s="130" t="n">
        <v>2027</v>
      </c>
      <c r="C8013" s="131" t="s">
        <v>253</v>
      </c>
      <c r="D8013" s="132" t="n">
        <v>46700</v>
      </c>
      <c r="E8013" s="131" t="s">
        <v>14</v>
      </c>
      <c r="F8013" s="133" t="s">
        <v>19</v>
      </c>
      <c r="G8013" s="134" t="n">
        <f aca="false">LEN('Saisie programme'!$E$302)+SUMIFS('Vols additionnels'!$E$7:$E$66,'Vols additionnels'!$C$7:$C$66,$E8013,'Vols additionnels'!$D$7:$D$66,$F8013,'Vols additionnels'!$B$7:$B$66,$D8013)</f>
        <v>0</v>
      </c>
      <c r="H8013" s="135" t="n">
        <f aca="false">$G8013*'Analyse capacite'!$F$8</f>
        <v>0</v>
      </c>
      <c r="I8013" s="135" t="n">
        <f aca="false">$G8013*'Analyse capacite'!$C$8</f>
        <v>0</v>
      </c>
      <c r="J8013" s="135" t="n">
        <f aca="false">$G8013*'Analyse capacite'!$D$8</f>
        <v>0</v>
      </c>
      <c r="K8013" s="135" t="n">
        <f aca="false">$G8013*'Analyse capacite'!$E$8</f>
        <v>0</v>
      </c>
    </row>
    <row r="8014" customFormat="false" ht="15" hidden="false" customHeight="false" outlineLevel="0" collapsed="false">
      <c r="B8014" s="130" t="n">
        <v>2027</v>
      </c>
      <c r="C8014" s="131" t="s">
        <v>253</v>
      </c>
      <c r="D8014" s="132" t="n">
        <v>46700</v>
      </c>
      <c r="E8014" s="131" t="s">
        <v>14</v>
      </c>
      <c r="F8014" s="133" t="s">
        <v>24</v>
      </c>
      <c r="G8014" s="134" t="n">
        <f aca="false">LEN('Saisie programme'!$E$303)+SUMIFS('Vols additionnels'!$E$7:$E$66,'Vols additionnels'!$C$7:$C$66,$E8014,'Vols additionnels'!$D$7:$D$66,$F8014,'Vols additionnels'!$B$7:$B$66,$D8014)</f>
        <v>0</v>
      </c>
      <c r="H8014" s="135" t="n">
        <f aca="false">$G8014*'Analyse capacite'!$F$9</f>
        <v>0</v>
      </c>
      <c r="I8014" s="135" t="n">
        <f aca="false">$G8014*'Analyse capacite'!$C$9</f>
        <v>0</v>
      </c>
      <c r="J8014" s="135" t="n">
        <f aca="false">$G8014*'Analyse capacite'!$D$9</f>
        <v>0</v>
      </c>
      <c r="K8014" s="135" t="n">
        <f aca="false">$G8014*'Analyse capacite'!$E$9</f>
        <v>0</v>
      </c>
    </row>
    <row r="8015" customFormat="false" ht="15" hidden="false" customHeight="false" outlineLevel="0" collapsed="false">
      <c r="B8015" s="130" t="n">
        <v>2027</v>
      </c>
      <c r="C8015" s="131" t="s">
        <v>253</v>
      </c>
      <c r="D8015" s="132" t="n">
        <v>46700</v>
      </c>
      <c r="E8015" s="131" t="s">
        <v>46</v>
      </c>
      <c r="F8015" s="133" t="s">
        <v>11</v>
      </c>
      <c r="G8015" s="134" t="n">
        <f aca="false">LEN('Saisie programme'!$E$304)+SUMIFS('Vols additionnels'!$E$7:$E$66,'Vols additionnels'!$C$7:$C$66,$E8015,'Vols additionnels'!$D$7:$D$66,$F8015,'Vols additionnels'!$B$7:$B$66,$D8015)</f>
        <v>0</v>
      </c>
      <c r="H8015" s="135" t="n">
        <f aca="false">$G8015*'Analyse capacite'!$F$7</f>
        <v>0</v>
      </c>
      <c r="I8015" s="135" t="n">
        <f aca="false">$G8015*'Analyse capacite'!$C$7</f>
        <v>0</v>
      </c>
      <c r="J8015" s="135" t="n">
        <f aca="false">$G8015*'Analyse capacite'!$D$7</f>
        <v>0</v>
      </c>
      <c r="K8015" s="135" t="n">
        <f aca="false">$G8015*'Analyse capacite'!$E$7</f>
        <v>0</v>
      </c>
    </row>
    <row r="8016" customFormat="false" ht="15" hidden="false" customHeight="false" outlineLevel="0" collapsed="false">
      <c r="B8016" s="130" t="n">
        <v>2027</v>
      </c>
      <c r="C8016" s="131" t="s">
        <v>253</v>
      </c>
      <c r="D8016" s="132" t="n">
        <v>46700</v>
      </c>
      <c r="E8016" s="131" t="s">
        <v>46</v>
      </c>
      <c r="F8016" s="133" t="s">
        <v>19</v>
      </c>
      <c r="G8016" s="134" t="n">
        <f aca="false">LEN('Saisie programme'!$E$305)+SUMIFS('Vols additionnels'!$E$7:$E$66,'Vols additionnels'!$C$7:$C$66,$E8016,'Vols additionnels'!$D$7:$D$66,$F8016,'Vols additionnels'!$B$7:$B$66,$D8016)</f>
        <v>0</v>
      </c>
      <c r="H8016" s="135" t="n">
        <f aca="false">$G8016*'Analyse capacite'!$F$8</f>
        <v>0</v>
      </c>
      <c r="I8016" s="135" t="n">
        <f aca="false">$G8016*'Analyse capacite'!$C$8</f>
        <v>0</v>
      </c>
      <c r="J8016" s="135" t="n">
        <f aca="false">$G8016*'Analyse capacite'!$D$8</f>
        <v>0</v>
      </c>
      <c r="K8016" s="135" t="n">
        <f aca="false">$G8016*'Analyse capacite'!$E$8</f>
        <v>0</v>
      </c>
    </row>
    <row r="8017" customFormat="false" ht="15" hidden="false" customHeight="false" outlineLevel="0" collapsed="false">
      <c r="B8017" s="130" t="n">
        <v>2027</v>
      </c>
      <c r="C8017" s="131" t="s">
        <v>253</v>
      </c>
      <c r="D8017" s="132" t="n">
        <v>46700</v>
      </c>
      <c r="E8017" s="131" t="s">
        <v>46</v>
      </c>
      <c r="F8017" s="133" t="s">
        <v>24</v>
      </c>
      <c r="G8017" s="134" t="n">
        <f aca="false">LEN('Saisie programme'!$E$306)+SUMIFS('Vols additionnels'!$E$7:$E$66,'Vols additionnels'!$C$7:$C$66,$E8017,'Vols additionnels'!$D$7:$D$66,$F8017,'Vols additionnels'!$B$7:$B$66,$D8017)</f>
        <v>1</v>
      </c>
      <c r="H8017" s="135" t="n">
        <f aca="false">$G8017*'Analyse capacite'!$F$9</f>
        <v>174</v>
      </c>
      <c r="I8017" s="135" t="n">
        <f aca="false">$G8017*'Analyse capacite'!$C$9</f>
        <v>0</v>
      </c>
      <c r="J8017" s="135" t="n">
        <f aca="false">$G8017*'Analyse capacite'!$D$9</f>
        <v>12</v>
      </c>
      <c r="K8017" s="135" t="n">
        <f aca="false">$G8017*'Analyse capacite'!$E$9</f>
        <v>162</v>
      </c>
    </row>
    <row r="8018" customFormat="false" ht="15" hidden="false" customHeight="false" outlineLevel="0" collapsed="false">
      <c r="B8018" s="130" t="n">
        <v>2027</v>
      </c>
      <c r="C8018" s="131" t="s">
        <v>253</v>
      </c>
      <c r="D8018" s="132" t="n">
        <v>46700</v>
      </c>
      <c r="E8018" s="131" t="s">
        <v>49</v>
      </c>
      <c r="F8018" s="133" t="s">
        <v>11</v>
      </c>
      <c r="G8018" s="134" t="n">
        <f aca="false">LEN('Saisie programme'!$E$307)+SUMIFS('Vols additionnels'!$E$7:$E$66,'Vols additionnels'!$C$7:$C$66,$E8018,'Vols additionnels'!$D$7:$D$66,$F8018,'Vols additionnels'!$B$7:$B$66,$D8018)</f>
        <v>0</v>
      </c>
      <c r="H8018" s="135" t="n">
        <f aca="false">$G8018*'Analyse capacite'!$F$7</f>
        <v>0</v>
      </c>
      <c r="I8018" s="135" t="n">
        <f aca="false">$G8018*'Analyse capacite'!$C$7</f>
        <v>0</v>
      </c>
      <c r="J8018" s="135" t="n">
        <f aca="false">$G8018*'Analyse capacite'!$D$7</f>
        <v>0</v>
      </c>
      <c r="K8018" s="135" t="n">
        <f aca="false">$G8018*'Analyse capacite'!$E$7</f>
        <v>0</v>
      </c>
    </row>
    <row r="8019" customFormat="false" ht="15" hidden="false" customHeight="false" outlineLevel="0" collapsed="false">
      <c r="B8019" s="130" t="n">
        <v>2027</v>
      </c>
      <c r="C8019" s="131" t="s">
        <v>253</v>
      </c>
      <c r="D8019" s="132" t="n">
        <v>46700</v>
      </c>
      <c r="E8019" s="131" t="s">
        <v>49</v>
      </c>
      <c r="F8019" s="133" t="s">
        <v>19</v>
      </c>
      <c r="G8019" s="134" t="n">
        <f aca="false">LEN('Saisie programme'!$E$308)+SUMIFS('Vols additionnels'!$E$7:$E$66,'Vols additionnels'!$C$7:$C$66,$E8019,'Vols additionnels'!$D$7:$D$66,$F8019,'Vols additionnels'!$B$7:$B$66,$D8019)</f>
        <v>0</v>
      </c>
      <c r="H8019" s="135" t="n">
        <f aca="false">$G8019*'Analyse capacite'!$F$8</f>
        <v>0</v>
      </c>
      <c r="I8019" s="135" t="n">
        <f aca="false">$G8019*'Analyse capacite'!$C$8</f>
        <v>0</v>
      </c>
      <c r="J8019" s="135" t="n">
        <f aca="false">$G8019*'Analyse capacite'!$D$8</f>
        <v>0</v>
      </c>
      <c r="K8019" s="135" t="n">
        <f aca="false">$G8019*'Analyse capacite'!$E$8</f>
        <v>0</v>
      </c>
    </row>
    <row r="8020" customFormat="false" ht="15" hidden="false" customHeight="false" outlineLevel="0" collapsed="false">
      <c r="B8020" s="130" t="n">
        <v>2027</v>
      </c>
      <c r="C8020" s="131" t="s">
        <v>253</v>
      </c>
      <c r="D8020" s="132" t="n">
        <v>46700</v>
      </c>
      <c r="E8020" s="131" t="s">
        <v>49</v>
      </c>
      <c r="F8020" s="133" t="s">
        <v>24</v>
      </c>
      <c r="G8020" s="134" t="n">
        <f aca="false">LEN('Saisie programme'!$E$309)+SUMIFS('Vols additionnels'!$E$7:$E$66,'Vols additionnels'!$C$7:$C$66,$E8020,'Vols additionnels'!$D$7:$D$66,$F8020,'Vols additionnels'!$B$7:$B$66,$D8020)</f>
        <v>0</v>
      </c>
      <c r="H8020" s="135" t="n">
        <f aca="false">$G8020*'Analyse capacite'!$F$9</f>
        <v>0</v>
      </c>
      <c r="I8020" s="135" t="n">
        <f aca="false">$G8020*'Analyse capacite'!$C$9</f>
        <v>0</v>
      </c>
      <c r="J8020" s="135" t="n">
        <f aca="false">$G8020*'Analyse capacite'!$D$9</f>
        <v>0</v>
      </c>
      <c r="K8020" s="135" t="n">
        <f aca="false">$G8020*'Analyse capacite'!$E$9</f>
        <v>0</v>
      </c>
    </row>
    <row r="8021" customFormat="false" ht="15" hidden="false" customHeight="false" outlineLevel="0" collapsed="false">
      <c r="B8021" s="130" t="n">
        <v>2027</v>
      </c>
      <c r="C8021" s="131" t="s">
        <v>253</v>
      </c>
      <c r="D8021" s="132" t="n">
        <v>46700</v>
      </c>
      <c r="E8021" s="131" t="s">
        <v>53</v>
      </c>
      <c r="F8021" s="133" t="s">
        <v>11</v>
      </c>
      <c r="G8021" s="134" t="n">
        <f aca="false">LEN('Saisie programme'!$E$310)+SUMIFS('Vols additionnels'!$E$7:$E$66,'Vols additionnels'!$C$7:$C$66,$E8021,'Vols additionnels'!$D$7:$D$66,$F8021,'Vols additionnels'!$B$7:$B$66,$D8021)</f>
        <v>0</v>
      </c>
      <c r="H8021" s="135" t="n">
        <f aca="false">$G8021*'Analyse capacite'!$F$7</f>
        <v>0</v>
      </c>
      <c r="I8021" s="135" t="n">
        <f aca="false">$G8021*'Analyse capacite'!$C$7</f>
        <v>0</v>
      </c>
      <c r="J8021" s="135" t="n">
        <f aca="false">$G8021*'Analyse capacite'!$D$7</f>
        <v>0</v>
      </c>
      <c r="K8021" s="135" t="n">
        <f aca="false">$G8021*'Analyse capacite'!$E$7</f>
        <v>0</v>
      </c>
    </row>
    <row r="8022" customFormat="false" ht="15" hidden="false" customHeight="false" outlineLevel="0" collapsed="false">
      <c r="B8022" s="130" t="n">
        <v>2027</v>
      </c>
      <c r="C8022" s="131" t="s">
        <v>253</v>
      </c>
      <c r="D8022" s="132" t="n">
        <v>46700</v>
      </c>
      <c r="E8022" s="131" t="s">
        <v>53</v>
      </c>
      <c r="F8022" s="133" t="s">
        <v>19</v>
      </c>
      <c r="G8022" s="134" t="n">
        <f aca="false">LEN('Saisie programme'!$E$311)+SUMIFS('Vols additionnels'!$E$7:$E$66,'Vols additionnels'!$C$7:$C$66,$E8022,'Vols additionnels'!$D$7:$D$66,$F8022,'Vols additionnels'!$B$7:$B$66,$D8022)</f>
        <v>0</v>
      </c>
      <c r="H8022" s="135" t="n">
        <f aca="false">$G8022*'Analyse capacite'!$F$8</f>
        <v>0</v>
      </c>
      <c r="I8022" s="135" t="n">
        <f aca="false">$G8022*'Analyse capacite'!$C$8</f>
        <v>0</v>
      </c>
      <c r="J8022" s="135" t="n">
        <f aca="false">$G8022*'Analyse capacite'!$D$8</f>
        <v>0</v>
      </c>
      <c r="K8022" s="135" t="n">
        <f aca="false">$G8022*'Analyse capacite'!$E$8</f>
        <v>0</v>
      </c>
    </row>
    <row r="8023" customFormat="false" ht="15" hidden="false" customHeight="false" outlineLevel="0" collapsed="false">
      <c r="B8023" s="130" t="n">
        <v>2027</v>
      </c>
      <c r="C8023" s="131" t="s">
        <v>253</v>
      </c>
      <c r="D8023" s="132" t="n">
        <v>46700</v>
      </c>
      <c r="E8023" s="131" t="s">
        <v>53</v>
      </c>
      <c r="F8023" s="133" t="s">
        <v>24</v>
      </c>
      <c r="G8023" s="134" t="n">
        <f aca="false">LEN('Saisie programme'!$E$312)+SUMIFS('Vols additionnels'!$E$7:$E$66,'Vols additionnels'!$C$7:$C$66,$E8023,'Vols additionnels'!$D$7:$D$66,$F8023,'Vols additionnels'!$B$7:$B$66,$D8023)</f>
        <v>0</v>
      </c>
      <c r="H8023" s="135" t="n">
        <f aca="false">$G8023*'Analyse capacite'!$F$9</f>
        <v>0</v>
      </c>
      <c r="I8023" s="135" t="n">
        <f aca="false">$G8023*'Analyse capacite'!$C$9</f>
        <v>0</v>
      </c>
      <c r="J8023" s="135" t="n">
        <f aca="false">$G8023*'Analyse capacite'!$D$9</f>
        <v>0</v>
      </c>
      <c r="K8023" s="135" t="n">
        <f aca="false">$G8023*'Analyse capacite'!$E$9</f>
        <v>0</v>
      </c>
    </row>
    <row r="8024" customFormat="false" ht="15" hidden="false" customHeight="false" outlineLevel="0" collapsed="false">
      <c r="B8024" s="130" t="n">
        <v>2027</v>
      </c>
      <c r="C8024" s="131" t="s">
        <v>253</v>
      </c>
      <c r="D8024" s="132" t="n">
        <v>46700</v>
      </c>
      <c r="E8024" s="131" t="s">
        <v>56</v>
      </c>
      <c r="F8024" s="133" t="s">
        <v>11</v>
      </c>
      <c r="G8024" s="134" t="n">
        <f aca="false">LEN('Saisie programme'!$E$313)+SUMIFS('Vols additionnels'!$E$7:$E$66,'Vols additionnels'!$C$7:$C$66,$E8024,'Vols additionnels'!$D$7:$D$66,$F8024,'Vols additionnels'!$B$7:$B$66,$D8024)</f>
        <v>0</v>
      </c>
      <c r="H8024" s="135" t="n">
        <f aca="false">$G8024*'Analyse capacite'!$F$7</f>
        <v>0</v>
      </c>
      <c r="I8024" s="135" t="n">
        <f aca="false">$G8024*'Analyse capacite'!$C$7</f>
        <v>0</v>
      </c>
      <c r="J8024" s="135" t="n">
        <f aca="false">$G8024*'Analyse capacite'!$D$7</f>
        <v>0</v>
      </c>
      <c r="K8024" s="135" t="n">
        <f aca="false">$G8024*'Analyse capacite'!$E$7</f>
        <v>0</v>
      </c>
    </row>
    <row r="8025" customFormat="false" ht="15" hidden="false" customHeight="false" outlineLevel="0" collapsed="false">
      <c r="B8025" s="130" t="n">
        <v>2027</v>
      </c>
      <c r="C8025" s="131" t="s">
        <v>253</v>
      </c>
      <c r="D8025" s="132" t="n">
        <v>46700</v>
      </c>
      <c r="E8025" s="131" t="s">
        <v>56</v>
      </c>
      <c r="F8025" s="133" t="s">
        <v>19</v>
      </c>
      <c r="G8025" s="134" t="n">
        <f aca="false">LEN('Saisie programme'!$E$314)+SUMIFS('Vols additionnels'!$E$7:$E$66,'Vols additionnels'!$C$7:$C$66,$E8025,'Vols additionnels'!$D$7:$D$66,$F8025,'Vols additionnels'!$B$7:$B$66,$D8025)</f>
        <v>0</v>
      </c>
      <c r="H8025" s="135" t="n">
        <f aca="false">$G8025*'Analyse capacite'!$F$8</f>
        <v>0</v>
      </c>
      <c r="I8025" s="135" t="n">
        <f aca="false">$G8025*'Analyse capacite'!$C$8</f>
        <v>0</v>
      </c>
      <c r="J8025" s="135" t="n">
        <f aca="false">$G8025*'Analyse capacite'!$D$8</f>
        <v>0</v>
      </c>
      <c r="K8025" s="135" t="n">
        <f aca="false">$G8025*'Analyse capacite'!$E$8</f>
        <v>0</v>
      </c>
    </row>
    <row r="8026" customFormat="false" ht="15" hidden="false" customHeight="false" outlineLevel="0" collapsed="false">
      <c r="B8026" s="130" t="n">
        <v>2027</v>
      </c>
      <c r="C8026" s="131" t="s">
        <v>253</v>
      </c>
      <c r="D8026" s="132" t="n">
        <v>46700</v>
      </c>
      <c r="E8026" s="131" t="s">
        <v>56</v>
      </c>
      <c r="F8026" s="133" t="s">
        <v>24</v>
      </c>
      <c r="G8026" s="134" t="n">
        <f aca="false">LEN('Saisie programme'!$E$315)+SUMIFS('Vols additionnels'!$E$7:$E$66,'Vols additionnels'!$C$7:$C$66,$E8026,'Vols additionnels'!$D$7:$D$66,$F8026,'Vols additionnels'!$B$7:$B$66,$D8026)</f>
        <v>1</v>
      </c>
      <c r="H8026" s="135" t="n">
        <f aca="false">$G8026*'Analyse capacite'!$F$9</f>
        <v>174</v>
      </c>
      <c r="I8026" s="135" t="n">
        <f aca="false">$G8026*'Analyse capacite'!$C$9</f>
        <v>0</v>
      </c>
      <c r="J8026" s="135" t="n">
        <f aca="false">$G8026*'Analyse capacite'!$D$9</f>
        <v>12</v>
      </c>
      <c r="K8026" s="135" t="n">
        <f aca="false">$G8026*'Analyse capacite'!$E$9</f>
        <v>162</v>
      </c>
    </row>
    <row r="8027" customFormat="false" ht="15" hidden="false" customHeight="false" outlineLevel="0" collapsed="false">
      <c r="B8027" s="130" t="n">
        <v>2027</v>
      </c>
      <c r="C8027" s="131" t="s">
        <v>253</v>
      </c>
      <c r="D8027" s="132" t="n">
        <v>46700</v>
      </c>
      <c r="E8027" s="131" t="s">
        <v>59</v>
      </c>
      <c r="F8027" s="133" t="s">
        <v>11</v>
      </c>
      <c r="G8027" s="134" t="n">
        <f aca="false">LEN('Saisie programme'!$E$316)+SUMIFS('Vols additionnels'!$E$7:$E$66,'Vols additionnels'!$C$7:$C$66,$E8027,'Vols additionnels'!$D$7:$D$66,$F8027,'Vols additionnels'!$B$7:$B$66,$D8027)</f>
        <v>0</v>
      </c>
      <c r="H8027" s="135" t="n">
        <f aca="false">$G8027*'Analyse capacite'!$F$7</f>
        <v>0</v>
      </c>
      <c r="I8027" s="135" t="n">
        <f aca="false">$G8027*'Analyse capacite'!$C$7</f>
        <v>0</v>
      </c>
      <c r="J8027" s="135" t="n">
        <f aca="false">$G8027*'Analyse capacite'!$D$7</f>
        <v>0</v>
      </c>
      <c r="K8027" s="135" t="n">
        <f aca="false">$G8027*'Analyse capacite'!$E$7</f>
        <v>0</v>
      </c>
    </row>
    <row r="8028" customFormat="false" ht="15" hidden="false" customHeight="false" outlineLevel="0" collapsed="false">
      <c r="B8028" s="130" t="n">
        <v>2027</v>
      </c>
      <c r="C8028" s="131" t="s">
        <v>253</v>
      </c>
      <c r="D8028" s="132" t="n">
        <v>46700</v>
      </c>
      <c r="E8028" s="131" t="s">
        <v>59</v>
      </c>
      <c r="F8028" s="133" t="s">
        <v>19</v>
      </c>
      <c r="G8028" s="134" t="n">
        <f aca="false">LEN('Saisie programme'!$E$317)+SUMIFS('Vols additionnels'!$E$7:$E$66,'Vols additionnels'!$C$7:$C$66,$E8028,'Vols additionnels'!$D$7:$D$66,$F8028,'Vols additionnels'!$B$7:$B$66,$D8028)</f>
        <v>0</v>
      </c>
      <c r="H8028" s="135" t="n">
        <f aca="false">$G8028*'Analyse capacite'!$F$8</f>
        <v>0</v>
      </c>
      <c r="I8028" s="135" t="n">
        <f aca="false">$G8028*'Analyse capacite'!$C$8</f>
        <v>0</v>
      </c>
      <c r="J8028" s="135" t="n">
        <f aca="false">$G8028*'Analyse capacite'!$D$8</f>
        <v>0</v>
      </c>
      <c r="K8028" s="135" t="n">
        <f aca="false">$G8028*'Analyse capacite'!$E$8</f>
        <v>0</v>
      </c>
    </row>
    <row r="8029" customFormat="false" ht="15" hidden="false" customHeight="false" outlineLevel="0" collapsed="false">
      <c r="B8029" s="130" t="n">
        <v>2027</v>
      </c>
      <c r="C8029" s="131" t="s">
        <v>253</v>
      </c>
      <c r="D8029" s="132" t="n">
        <v>46700</v>
      </c>
      <c r="E8029" s="131" t="s">
        <v>59</v>
      </c>
      <c r="F8029" s="133" t="s">
        <v>24</v>
      </c>
      <c r="G8029" s="134" t="n">
        <f aca="false">LEN('Saisie programme'!$E$318)+SUMIFS('Vols additionnels'!$E$7:$E$66,'Vols additionnels'!$C$7:$C$66,$E8029,'Vols additionnels'!$D$7:$D$66,$F8029,'Vols additionnels'!$B$7:$B$66,$D8029)</f>
        <v>1</v>
      </c>
      <c r="H8029" s="135" t="n">
        <f aca="false">$G8029*'Analyse capacite'!$F$9</f>
        <v>174</v>
      </c>
      <c r="I8029" s="135" t="n">
        <f aca="false">$G8029*'Analyse capacite'!$C$9</f>
        <v>0</v>
      </c>
      <c r="J8029" s="135" t="n">
        <f aca="false">$G8029*'Analyse capacite'!$D$9</f>
        <v>12</v>
      </c>
      <c r="K8029" s="135" t="n">
        <f aca="false">$G8029*'Analyse capacite'!$E$9</f>
        <v>162</v>
      </c>
    </row>
    <row r="8030" customFormat="false" ht="15" hidden="false" customHeight="false" outlineLevel="0" collapsed="false">
      <c r="B8030" s="130" t="n">
        <v>2027</v>
      </c>
      <c r="C8030" s="131" t="s">
        <v>253</v>
      </c>
      <c r="D8030" s="132" t="n">
        <v>46700</v>
      </c>
      <c r="E8030" s="131" t="s">
        <v>62</v>
      </c>
      <c r="F8030" s="133" t="s">
        <v>11</v>
      </c>
      <c r="G8030" s="134" t="n">
        <f aca="false">LEN('Saisie programme'!$E$319)+SUMIFS('Vols additionnels'!$E$7:$E$66,'Vols additionnels'!$C$7:$C$66,$E8030,'Vols additionnels'!$D$7:$D$66,$F8030,'Vols additionnels'!$B$7:$B$66,$D8030)</f>
        <v>0</v>
      </c>
      <c r="H8030" s="135" t="n">
        <f aca="false">$G8030*'Analyse capacite'!$F$7</f>
        <v>0</v>
      </c>
      <c r="I8030" s="135" t="n">
        <f aca="false">$G8030*'Analyse capacite'!$C$7</f>
        <v>0</v>
      </c>
      <c r="J8030" s="135" t="n">
        <f aca="false">$G8030*'Analyse capacite'!$D$7</f>
        <v>0</v>
      </c>
      <c r="K8030" s="135" t="n">
        <f aca="false">$G8030*'Analyse capacite'!$E$7</f>
        <v>0</v>
      </c>
    </row>
    <row r="8031" customFormat="false" ht="15" hidden="false" customHeight="false" outlineLevel="0" collapsed="false">
      <c r="B8031" s="130" t="n">
        <v>2027</v>
      </c>
      <c r="C8031" s="131" t="s">
        <v>253</v>
      </c>
      <c r="D8031" s="132" t="n">
        <v>46700</v>
      </c>
      <c r="E8031" s="131" t="s">
        <v>62</v>
      </c>
      <c r="F8031" s="133" t="s">
        <v>19</v>
      </c>
      <c r="G8031" s="134" t="n">
        <f aca="false">LEN('Saisie programme'!$E$320)+SUMIFS('Vols additionnels'!$E$7:$E$66,'Vols additionnels'!$C$7:$C$66,$E8031,'Vols additionnels'!$D$7:$D$66,$F8031,'Vols additionnels'!$B$7:$B$66,$D8031)</f>
        <v>0</v>
      </c>
      <c r="H8031" s="135" t="n">
        <f aca="false">$G8031*'Analyse capacite'!$F$8</f>
        <v>0</v>
      </c>
      <c r="I8031" s="135" t="n">
        <f aca="false">$G8031*'Analyse capacite'!$C$8</f>
        <v>0</v>
      </c>
      <c r="J8031" s="135" t="n">
        <f aca="false">$G8031*'Analyse capacite'!$D$8</f>
        <v>0</v>
      </c>
      <c r="K8031" s="135" t="n">
        <f aca="false">$G8031*'Analyse capacite'!$E$8</f>
        <v>0</v>
      </c>
    </row>
    <row r="8032" customFormat="false" ht="15" hidden="false" customHeight="false" outlineLevel="0" collapsed="false">
      <c r="B8032" s="130" t="n">
        <v>2027</v>
      </c>
      <c r="C8032" s="131" t="s">
        <v>253</v>
      </c>
      <c r="D8032" s="132" t="n">
        <v>46700</v>
      </c>
      <c r="E8032" s="131" t="s">
        <v>62</v>
      </c>
      <c r="F8032" s="133" t="s">
        <v>24</v>
      </c>
      <c r="G8032" s="134" t="n">
        <f aca="false">LEN('Saisie programme'!$E$321)+SUMIFS('Vols additionnels'!$E$7:$E$66,'Vols additionnels'!$C$7:$C$66,$E8032,'Vols additionnels'!$D$7:$D$66,$F8032,'Vols additionnels'!$B$7:$B$66,$D8032)</f>
        <v>0</v>
      </c>
      <c r="H8032" s="135" t="n">
        <f aca="false">$G8032*'Analyse capacite'!$F$9</f>
        <v>0</v>
      </c>
      <c r="I8032" s="135" t="n">
        <f aca="false">$G8032*'Analyse capacite'!$C$9</f>
        <v>0</v>
      </c>
      <c r="J8032" s="135" t="n">
        <f aca="false">$G8032*'Analyse capacite'!$D$9</f>
        <v>0</v>
      </c>
      <c r="K8032" s="135" t="n">
        <f aca="false">$G8032*'Analyse capacite'!$E$9</f>
        <v>0</v>
      </c>
    </row>
    <row r="8033" customFormat="false" ht="15" hidden="false" customHeight="false" outlineLevel="0" collapsed="false">
      <c r="B8033" s="130" t="n">
        <v>2027</v>
      </c>
      <c r="C8033" s="131" t="s">
        <v>253</v>
      </c>
      <c r="D8033" s="132" t="n">
        <v>46701</v>
      </c>
      <c r="E8033" s="131" t="s">
        <v>12</v>
      </c>
      <c r="F8033" s="133" t="s">
        <v>11</v>
      </c>
      <c r="G8033" s="134" t="n">
        <f aca="false">LEN('Saisie programme'!$F$286)+SUMIFS('Vols additionnels'!$E$7:$E$66,'Vols additionnels'!$C$7:$C$66,$E8033,'Vols additionnels'!$D$7:$D$66,$F8033,'Vols additionnels'!$B$7:$B$66,$D8033)</f>
        <v>1</v>
      </c>
      <c r="H8033" s="135" t="n">
        <f aca="false">$G8033*'Analyse capacite'!$F$7</f>
        <v>438</v>
      </c>
      <c r="I8033" s="135" t="n">
        <f aca="false">$G8033*'Analyse capacite'!$C$7</f>
        <v>14</v>
      </c>
      <c r="J8033" s="135" t="n">
        <f aca="false">$G8033*'Analyse capacite'!$D$7</f>
        <v>40</v>
      </c>
      <c r="K8033" s="135" t="n">
        <f aca="false">$G8033*'Analyse capacite'!$E$7</f>
        <v>384</v>
      </c>
    </row>
    <row r="8034" customFormat="false" ht="15" hidden="false" customHeight="false" outlineLevel="0" collapsed="false">
      <c r="B8034" s="130" t="n">
        <v>2027</v>
      </c>
      <c r="C8034" s="131" t="s">
        <v>253</v>
      </c>
      <c r="D8034" s="132" t="n">
        <v>46701</v>
      </c>
      <c r="E8034" s="131" t="s">
        <v>12</v>
      </c>
      <c r="F8034" s="133" t="s">
        <v>19</v>
      </c>
      <c r="G8034" s="134" t="n">
        <f aca="false">LEN('Saisie programme'!$F$287)+SUMIFS('Vols additionnels'!$E$7:$E$66,'Vols additionnels'!$C$7:$C$66,$E8034,'Vols additionnels'!$D$7:$D$66,$F8034,'Vols additionnels'!$B$7:$B$66,$D8034)</f>
        <v>0</v>
      </c>
      <c r="H8034" s="135" t="n">
        <f aca="false">$G8034*'Analyse capacite'!$F$8</f>
        <v>0</v>
      </c>
      <c r="I8034" s="135" t="n">
        <f aca="false">$G8034*'Analyse capacite'!$C$8</f>
        <v>0</v>
      </c>
      <c r="J8034" s="135" t="n">
        <f aca="false">$G8034*'Analyse capacite'!$D$8</f>
        <v>0</v>
      </c>
      <c r="K8034" s="135" t="n">
        <f aca="false">$G8034*'Analyse capacite'!$E$8</f>
        <v>0</v>
      </c>
    </row>
    <row r="8035" customFormat="false" ht="15" hidden="false" customHeight="false" outlineLevel="0" collapsed="false">
      <c r="B8035" s="130" t="n">
        <v>2027</v>
      </c>
      <c r="C8035" s="131" t="s">
        <v>253</v>
      </c>
      <c r="D8035" s="132" t="n">
        <v>46701</v>
      </c>
      <c r="E8035" s="131" t="s">
        <v>12</v>
      </c>
      <c r="F8035" s="133" t="s">
        <v>24</v>
      </c>
      <c r="G8035" s="134" t="n">
        <f aca="false">LEN('Saisie programme'!$F$288)+SUMIFS('Vols additionnels'!$E$7:$E$66,'Vols additionnels'!$C$7:$C$66,$E8035,'Vols additionnels'!$D$7:$D$66,$F8035,'Vols additionnels'!$B$7:$B$66,$D8035)</f>
        <v>0</v>
      </c>
      <c r="H8035" s="135" t="n">
        <f aca="false">$G8035*'Analyse capacite'!$F$9</f>
        <v>0</v>
      </c>
      <c r="I8035" s="135" t="n">
        <f aca="false">$G8035*'Analyse capacite'!$C$9</f>
        <v>0</v>
      </c>
      <c r="J8035" s="135" t="n">
        <f aca="false">$G8035*'Analyse capacite'!$D$9</f>
        <v>0</v>
      </c>
      <c r="K8035" s="135" t="n">
        <f aca="false">$G8035*'Analyse capacite'!$E$9</f>
        <v>0</v>
      </c>
    </row>
    <row r="8036" customFormat="false" ht="15" hidden="false" customHeight="false" outlineLevel="0" collapsed="false">
      <c r="B8036" s="130" t="n">
        <v>2027</v>
      </c>
      <c r="C8036" s="131" t="s">
        <v>253</v>
      </c>
      <c r="D8036" s="132" t="n">
        <v>46701</v>
      </c>
      <c r="E8036" s="131" t="s">
        <v>20</v>
      </c>
      <c r="F8036" s="133" t="s">
        <v>11</v>
      </c>
      <c r="G8036" s="134" t="n">
        <f aca="false">LEN('Saisie programme'!$F$289)+SUMIFS('Vols additionnels'!$E$7:$E$66,'Vols additionnels'!$C$7:$C$66,$E8036,'Vols additionnels'!$D$7:$D$66,$F8036,'Vols additionnels'!$B$7:$B$66,$D8036)</f>
        <v>0</v>
      </c>
      <c r="H8036" s="135" t="n">
        <f aca="false">$G8036*'Analyse capacite'!$F$7</f>
        <v>0</v>
      </c>
      <c r="I8036" s="135" t="n">
        <f aca="false">$G8036*'Analyse capacite'!$C$7</f>
        <v>0</v>
      </c>
      <c r="J8036" s="135" t="n">
        <f aca="false">$G8036*'Analyse capacite'!$D$7</f>
        <v>0</v>
      </c>
      <c r="K8036" s="135" t="n">
        <f aca="false">$G8036*'Analyse capacite'!$E$7</f>
        <v>0</v>
      </c>
    </row>
    <row r="8037" customFormat="false" ht="15" hidden="false" customHeight="false" outlineLevel="0" collapsed="false">
      <c r="B8037" s="130" t="n">
        <v>2027</v>
      </c>
      <c r="C8037" s="131" t="s">
        <v>253</v>
      </c>
      <c r="D8037" s="132" t="n">
        <v>46701</v>
      </c>
      <c r="E8037" s="131" t="s">
        <v>20</v>
      </c>
      <c r="F8037" s="133" t="s">
        <v>19</v>
      </c>
      <c r="G8037" s="134" t="n">
        <f aca="false">LEN('Saisie programme'!$F$290)+SUMIFS('Vols additionnels'!$E$7:$E$66,'Vols additionnels'!$C$7:$C$66,$E8037,'Vols additionnels'!$D$7:$D$66,$F8037,'Vols additionnels'!$B$7:$B$66,$D8037)</f>
        <v>0</v>
      </c>
      <c r="H8037" s="135" t="n">
        <f aca="false">$G8037*'Analyse capacite'!$F$8</f>
        <v>0</v>
      </c>
      <c r="I8037" s="135" t="n">
        <f aca="false">$G8037*'Analyse capacite'!$C$8</f>
        <v>0</v>
      </c>
      <c r="J8037" s="135" t="n">
        <f aca="false">$G8037*'Analyse capacite'!$D$8</f>
        <v>0</v>
      </c>
      <c r="K8037" s="135" t="n">
        <f aca="false">$G8037*'Analyse capacite'!$E$8</f>
        <v>0</v>
      </c>
    </row>
    <row r="8038" customFormat="false" ht="15" hidden="false" customHeight="false" outlineLevel="0" collapsed="false">
      <c r="B8038" s="130" t="n">
        <v>2027</v>
      </c>
      <c r="C8038" s="131" t="s">
        <v>253</v>
      </c>
      <c r="D8038" s="132" t="n">
        <v>46701</v>
      </c>
      <c r="E8038" s="131" t="s">
        <v>20</v>
      </c>
      <c r="F8038" s="133" t="s">
        <v>24</v>
      </c>
      <c r="G8038" s="134" t="n">
        <f aca="false">LEN('Saisie programme'!$F$291)+SUMIFS('Vols additionnels'!$E$7:$E$66,'Vols additionnels'!$C$7:$C$66,$E8038,'Vols additionnels'!$D$7:$D$66,$F8038,'Vols additionnels'!$B$7:$B$66,$D8038)</f>
        <v>0</v>
      </c>
      <c r="H8038" s="135" t="n">
        <f aca="false">$G8038*'Analyse capacite'!$F$9</f>
        <v>0</v>
      </c>
      <c r="I8038" s="135" t="n">
        <f aca="false">$G8038*'Analyse capacite'!$C$9</f>
        <v>0</v>
      </c>
      <c r="J8038" s="135" t="n">
        <f aca="false">$G8038*'Analyse capacite'!$D$9</f>
        <v>0</v>
      </c>
      <c r="K8038" s="135" t="n">
        <f aca="false">$G8038*'Analyse capacite'!$E$9</f>
        <v>0</v>
      </c>
    </row>
    <row r="8039" customFormat="false" ht="15" hidden="false" customHeight="false" outlineLevel="0" collapsed="false">
      <c r="B8039" s="130" t="n">
        <v>2027</v>
      </c>
      <c r="C8039" s="131" t="s">
        <v>253</v>
      </c>
      <c r="D8039" s="132" t="n">
        <v>46701</v>
      </c>
      <c r="E8039" s="131" t="s">
        <v>25</v>
      </c>
      <c r="F8039" s="133" t="s">
        <v>11</v>
      </c>
      <c r="G8039" s="134" t="n">
        <f aca="false">LEN('Saisie programme'!$F$292)+SUMIFS('Vols additionnels'!$E$7:$E$66,'Vols additionnels'!$C$7:$C$66,$E8039,'Vols additionnels'!$D$7:$D$66,$F8039,'Vols additionnels'!$B$7:$B$66,$D8039)</f>
        <v>0</v>
      </c>
      <c r="H8039" s="135" t="n">
        <f aca="false">$G8039*'Analyse capacite'!$F$7</f>
        <v>0</v>
      </c>
      <c r="I8039" s="135" t="n">
        <f aca="false">$G8039*'Analyse capacite'!$C$7</f>
        <v>0</v>
      </c>
      <c r="J8039" s="135" t="n">
        <f aca="false">$G8039*'Analyse capacite'!$D$7</f>
        <v>0</v>
      </c>
      <c r="K8039" s="135" t="n">
        <f aca="false">$G8039*'Analyse capacite'!$E$7</f>
        <v>0</v>
      </c>
    </row>
    <row r="8040" customFormat="false" ht="15" hidden="false" customHeight="false" outlineLevel="0" collapsed="false">
      <c r="B8040" s="130" t="n">
        <v>2027</v>
      </c>
      <c r="C8040" s="131" t="s">
        <v>253</v>
      </c>
      <c r="D8040" s="132" t="n">
        <v>46701</v>
      </c>
      <c r="E8040" s="131" t="s">
        <v>25</v>
      </c>
      <c r="F8040" s="133" t="s">
        <v>19</v>
      </c>
      <c r="G8040" s="134" t="n">
        <f aca="false">LEN('Saisie programme'!$F$293)+SUMIFS('Vols additionnels'!$E$7:$E$66,'Vols additionnels'!$C$7:$C$66,$E8040,'Vols additionnels'!$D$7:$D$66,$F8040,'Vols additionnels'!$B$7:$B$66,$D8040)</f>
        <v>1</v>
      </c>
      <c r="H8040" s="135" t="n">
        <f aca="false">$G8040*'Analyse capacite'!$F$8</f>
        <v>262</v>
      </c>
      <c r="I8040" s="135" t="n">
        <f aca="false">$G8040*'Analyse capacite'!$C$8</f>
        <v>18</v>
      </c>
      <c r="J8040" s="135" t="n">
        <f aca="false">$G8040*'Analyse capacite'!$D$8</f>
        <v>0</v>
      </c>
      <c r="K8040" s="135" t="n">
        <f aca="false">$G8040*'Analyse capacite'!$E$8</f>
        <v>244</v>
      </c>
    </row>
    <row r="8041" customFormat="false" ht="15" hidden="false" customHeight="false" outlineLevel="0" collapsed="false">
      <c r="B8041" s="130" t="n">
        <v>2027</v>
      </c>
      <c r="C8041" s="131" t="s">
        <v>253</v>
      </c>
      <c r="D8041" s="132" t="n">
        <v>46701</v>
      </c>
      <c r="E8041" s="131" t="s">
        <v>25</v>
      </c>
      <c r="F8041" s="133" t="s">
        <v>24</v>
      </c>
      <c r="G8041" s="134" t="n">
        <f aca="false">LEN('Saisie programme'!$F$294)+SUMIFS('Vols additionnels'!$E$7:$E$66,'Vols additionnels'!$C$7:$C$66,$E8041,'Vols additionnels'!$D$7:$D$66,$F8041,'Vols additionnels'!$B$7:$B$66,$D8041)</f>
        <v>0</v>
      </c>
      <c r="H8041" s="135" t="n">
        <f aca="false">$G8041*'Analyse capacite'!$F$9</f>
        <v>0</v>
      </c>
      <c r="I8041" s="135" t="n">
        <f aca="false">$G8041*'Analyse capacite'!$C$9</f>
        <v>0</v>
      </c>
      <c r="J8041" s="135" t="n">
        <f aca="false">$G8041*'Analyse capacite'!$D$9</f>
        <v>0</v>
      </c>
      <c r="K8041" s="135" t="n">
        <f aca="false">$G8041*'Analyse capacite'!$E$9</f>
        <v>0</v>
      </c>
    </row>
    <row r="8042" customFormat="false" ht="15" hidden="false" customHeight="false" outlineLevel="0" collapsed="false">
      <c r="B8042" s="130" t="n">
        <v>2027</v>
      </c>
      <c r="C8042" s="131" t="s">
        <v>253</v>
      </c>
      <c r="D8042" s="132" t="n">
        <v>46701</v>
      </c>
      <c r="E8042" s="131" t="s">
        <v>36</v>
      </c>
      <c r="F8042" s="133" t="s">
        <v>11</v>
      </c>
      <c r="G8042" s="134" t="n">
        <f aca="false">LEN('Saisie programme'!$F$295)+SUMIFS('Vols additionnels'!$E$7:$E$66,'Vols additionnels'!$C$7:$C$66,$E8042,'Vols additionnels'!$D$7:$D$66,$F8042,'Vols additionnels'!$B$7:$B$66,$D8042)</f>
        <v>0</v>
      </c>
      <c r="H8042" s="135" t="n">
        <f aca="false">$G8042*'Analyse capacite'!$F$7</f>
        <v>0</v>
      </c>
      <c r="I8042" s="135" t="n">
        <f aca="false">$G8042*'Analyse capacite'!$C$7</f>
        <v>0</v>
      </c>
      <c r="J8042" s="135" t="n">
        <f aca="false">$G8042*'Analyse capacite'!$D$7</f>
        <v>0</v>
      </c>
      <c r="K8042" s="135" t="n">
        <f aca="false">$G8042*'Analyse capacite'!$E$7</f>
        <v>0</v>
      </c>
    </row>
    <row r="8043" customFormat="false" ht="15" hidden="false" customHeight="false" outlineLevel="0" collapsed="false">
      <c r="B8043" s="130" t="n">
        <v>2027</v>
      </c>
      <c r="C8043" s="131" t="s">
        <v>253</v>
      </c>
      <c r="D8043" s="132" t="n">
        <v>46701</v>
      </c>
      <c r="E8043" s="131" t="s">
        <v>36</v>
      </c>
      <c r="F8043" s="133" t="s">
        <v>19</v>
      </c>
      <c r="G8043" s="134" t="n">
        <f aca="false">LEN('Saisie programme'!$F$296)+SUMIFS('Vols additionnels'!$E$7:$E$66,'Vols additionnels'!$C$7:$C$66,$E8043,'Vols additionnels'!$D$7:$D$66,$F8043,'Vols additionnels'!$B$7:$B$66,$D8043)</f>
        <v>1</v>
      </c>
      <c r="H8043" s="135" t="n">
        <f aca="false">$G8043*'Analyse capacite'!$F$8</f>
        <v>262</v>
      </c>
      <c r="I8043" s="135" t="n">
        <f aca="false">$G8043*'Analyse capacite'!$C$8</f>
        <v>18</v>
      </c>
      <c r="J8043" s="135" t="n">
        <f aca="false">$G8043*'Analyse capacite'!$D$8</f>
        <v>0</v>
      </c>
      <c r="K8043" s="135" t="n">
        <f aca="false">$G8043*'Analyse capacite'!$E$8</f>
        <v>244</v>
      </c>
    </row>
    <row r="8044" customFormat="false" ht="15" hidden="false" customHeight="false" outlineLevel="0" collapsed="false">
      <c r="B8044" s="130" t="n">
        <v>2027</v>
      </c>
      <c r="C8044" s="131" t="s">
        <v>253</v>
      </c>
      <c r="D8044" s="132" t="n">
        <v>46701</v>
      </c>
      <c r="E8044" s="131" t="s">
        <v>36</v>
      </c>
      <c r="F8044" s="133" t="s">
        <v>24</v>
      </c>
      <c r="G8044" s="134" t="n">
        <f aca="false">LEN('Saisie programme'!$F$297)+SUMIFS('Vols additionnels'!$E$7:$E$66,'Vols additionnels'!$C$7:$C$66,$E8044,'Vols additionnels'!$D$7:$D$66,$F8044,'Vols additionnels'!$B$7:$B$66,$D8044)</f>
        <v>1</v>
      </c>
      <c r="H8044" s="135" t="n">
        <f aca="false">$G8044*'Analyse capacite'!$F$9</f>
        <v>174</v>
      </c>
      <c r="I8044" s="135" t="n">
        <f aca="false">$G8044*'Analyse capacite'!$C$9</f>
        <v>0</v>
      </c>
      <c r="J8044" s="135" t="n">
        <f aca="false">$G8044*'Analyse capacite'!$D$9</f>
        <v>12</v>
      </c>
      <c r="K8044" s="135" t="n">
        <f aca="false">$G8044*'Analyse capacite'!$E$9</f>
        <v>162</v>
      </c>
    </row>
    <row r="8045" customFormat="false" ht="15" hidden="false" customHeight="false" outlineLevel="0" collapsed="false">
      <c r="B8045" s="130" t="n">
        <v>2027</v>
      </c>
      <c r="C8045" s="131" t="s">
        <v>253</v>
      </c>
      <c r="D8045" s="132" t="n">
        <v>46701</v>
      </c>
      <c r="E8045" s="131" t="s">
        <v>40</v>
      </c>
      <c r="F8045" s="133" t="s">
        <v>11</v>
      </c>
      <c r="G8045" s="134" t="n">
        <f aca="false">LEN('Saisie programme'!$F$298)+SUMIFS('Vols additionnels'!$E$7:$E$66,'Vols additionnels'!$C$7:$C$66,$E8045,'Vols additionnels'!$D$7:$D$66,$F8045,'Vols additionnels'!$B$7:$B$66,$D8045)</f>
        <v>0</v>
      </c>
      <c r="H8045" s="135" t="n">
        <f aca="false">$G8045*'Analyse capacite'!$F$7</f>
        <v>0</v>
      </c>
      <c r="I8045" s="135" t="n">
        <f aca="false">$G8045*'Analyse capacite'!$C$7</f>
        <v>0</v>
      </c>
      <c r="J8045" s="135" t="n">
        <f aca="false">$G8045*'Analyse capacite'!$D$7</f>
        <v>0</v>
      </c>
      <c r="K8045" s="135" t="n">
        <f aca="false">$G8045*'Analyse capacite'!$E$7</f>
        <v>0</v>
      </c>
    </row>
    <row r="8046" customFormat="false" ht="15" hidden="false" customHeight="false" outlineLevel="0" collapsed="false">
      <c r="B8046" s="130" t="n">
        <v>2027</v>
      </c>
      <c r="C8046" s="131" t="s">
        <v>253</v>
      </c>
      <c r="D8046" s="132" t="n">
        <v>46701</v>
      </c>
      <c r="E8046" s="131" t="s">
        <v>40</v>
      </c>
      <c r="F8046" s="133" t="s">
        <v>19</v>
      </c>
      <c r="G8046" s="134" t="n">
        <f aca="false">LEN('Saisie programme'!$F$299)+SUMIFS('Vols additionnels'!$E$7:$E$66,'Vols additionnels'!$C$7:$C$66,$E8046,'Vols additionnels'!$D$7:$D$66,$F8046,'Vols additionnels'!$B$7:$B$66,$D8046)</f>
        <v>0</v>
      </c>
      <c r="H8046" s="135" t="n">
        <f aca="false">$G8046*'Analyse capacite'!$F$8</f>
        <v>0</v>
      </c>
      <c r="I8046" s="135" t="n">
        <f aca="false">$G8046*'Analyse capacite'!$C$8</f>
        <v>0</v>
      </c>
      <c r="J8046" s="135" t="n">
        <f aca="false">$G8046*'Analyse capacite'!$D$8</f>
        <v>0</v>
      </c>
      <c r="K8046" s="135" t="n">
        <f aca="false">$G8046*'Analyse capacite'!$E$8</f>
        <v>0</v>
      </c>
    </row>
    <row r="8047" customFormat="false" ht="15" hidden="false" customHeight="false" outlineLevel="0" collapsed="false">
      <c r="B8047" s="130" t="n">
        <v>2027</v>
      </c>
      <c r="C8047" s="131" t="s">
        <v>253</v>
      </c>
      <c r="D8047" s="132" t="n">
        <v>46701</v>
      </c>
      <c r="E8047" s="131" t="s">
        <v>40</v>
      </c>
      <c r="F8047" s="133" t="s">
        <v>24</v>
      </c>
      <c r="G8047" s="134" t="n">
        <f aca="false">LEN('Saisie programme'!$F$300)+SUMIFS('Vols additionnels'!$E$7:$E$66,'Vols additionnels'!$C$7:$C$66,$E8047,'Vols additionnels'!$D$7:$D$66,$F8047,'Vols additionnels'!$B$7:$B$66,$D8047)</f>
        <v>1</v>
      </c>
      <c r="H8047" s="135" t="n">
        <f aca="false">$G8047*'Analyse capacite'!$F$9</f>
        <v>174</v>
      </c>
      <c r="I8047" s="135" t="n">
        <f aca="false">$G8047*'Analyse capacite'!$C$9</f>
        <v>0</v>
      </c>
      <c r="J8047" s="135" t="n">
        <f aca="false">$G8047*'Analyse capacite'!$D$9</f>
        <v>12</v>
      </c>
      <c r="K8047" s="135" t="n">
        <f aca="false">$G8047*'Analyse capacite'!$E$9</f>
        <v>162</v>
      </c>
    </row>
    <row r="8048" customFormat="false" ht="15" hidden="false" customHeight="false" outlineLevel="0" collapsed="false">
      <c r="B8048" s="130" t="n">
        <v>2027</v>
      </c>
      <c r="C8048" s="131" t="s">
        <v>253</v>
      </c>
      <c r="D8048" s="132" t="n">
        <v>46701</v>
      </c>
      <c r="E8048" s="131" t="s">
        <v>14</v>
      </c>
      <c r="F8048" s="133" t="s">
        <v>11</v>
      </c>
      <c r="G8048" s="134" t="n">
        <f aca="false">LEN('Saisie programme'!$F$301)+SUMIFS('Vols additionnels'!$E$7:$E$66,'Vols additionnels'!$C$7:$C$66,$E8048,'Vols additionnels'!$D$7:$D$66,$F8048,'Vols additionnels'!$B$7:$B$66,$D8048)</f>
        <v>0</v>
      </c>
      <c r="H8048" s="135" t="n">
        <f aca="false">$G8048*'Analyse capacite'!$F$7</f>
        <v>0</v>
      </c>
      <c r="I8048" s="135" t="n">
        <f aca="false">$G8048*'Analyse capacite'!$C$7</f>
        <v>0</v>
      </c>
      <c r="J8048" s="135" t="n">
        <f aca="false">$G8048*'Analyse capacite'!$D$7</f>
        <v>0</v>
      </c>
      <c r="K8048" s="135" t="n">
        <f aca="false">$G8048*'Analyse capacite'!$E$7</f>
        <v>0</v>
      </c>
    </row>
    <row r="8049" customFormat="false" ht="15" hidden="false" customHeight="false" outlineLevel="0" collapsed="false">
      <c r="B8049" s="130" t="n">
        <v>2027</v>
      </c>
      <c r="C8049" s="131" t="s">
        <v>253</v>
      </c>
      <c r="D8049" s="132" t="n">
        <v>46701</v>
      </c>
      <c r="E8049" s="131" t="s">
        <v>14</v>
      </c>
      <c r="F8049" s="133" t="s">
        <v>19</v>
      </c>
      <c r="G8049" s="134" t="n">
        <f aca="false">LEN('Saisie programme'!$F$302)+SUMIFS('Vols additionnels'!$E$7:$E$66,'Vols additionnels'!$C$7:$C$66,$E8049,'Vols additionnels'!$D$7:$D$66,$F8049,'Vols additionnels'!$B$7:$B$66,$D8049)</f>
        <v>0</v>
      </c>
      <c r="H8049" s="135" t="n">
        <f aca="false">$G8049*'Analyse capacite'!$F$8</f>
        <v>0</v>
      </c>
      <c r="I8049" s="135" t="n">
        <f aca="false">$G8049*'Analyse capacite'!$C$8</f>
        <v>0</v>
      </c>
      <c r="J8049" s="135" t="n">
        <f aca="false">$G8049*'Analyse capacite'!$D$8</f>
        <v>0</v>
      </c>
      <c r="K8049" s="135" t="n">
        <f aca="false">$G8049*'Analyse capacite'!$E$8</f>
        <v>0</v>
      </c>
    </row>
    <row r="8050" customFormat="false" ht="15" hidden="false" customHeight="false" outlineLevel="0" collapsed="false">
      <c r="B8050" s="130" t="n">
        <v>2027</v>
      </c>
      <c r="C8050" s="131" t="s">
        <v>253</v>
      </c>
      <c r="D8050" s="132" t="n">
        <v>46701</v>
      </c>
      <c r="E8050" s="131" t="s">
        <v>14</v>
      </c>
      <c r="F8050" s="133" t="s">
        <v>24</v>
      </c>
      <c r="G8050" s="134" t="n">
        <f aca="false">LEN('Saisie programme'!$F$303)+SUMIFS('Vols additionnels'!$E$7:$E$66,'Vols additionnels'!$C$7:$C$66,$E8050,'Vols additionnels'!$D$7:$D$66,$F8050,'Vols additionnels'!$B$7:$B$66,$D8050)</f>
        <v>0</v>
      </c>
      <c r="H8050" s="135" t="n">
        <f aca="false">$G8050*'Analyse capacite'!$F$9</f>
        <v>0</v>
      </c>
      <c r="I8050" s="135" t="n">
        <f aca="false">$G8050*'Analyse capacite'!$C$9</f>
        <v>0</v>
      </c>
      <c r="J8050" s="135" t="n">
        <f aca="false">$G8050*'Analyse capacite'!$D$9</f>
        <v>0</v>
      </c>
      <c r="K8050" s="135" t="n">
        <f aca="false">$G8050*'Analyse capacite'!$E$9</f>
        <v>0</v>
      </c>
    </row>
    <row r="8051" customFormat="false" ht="15" hidden="false" customHeight="false" outlineLevel="0" collapsed="false">
      <c r="B8051" s="130" t="n">
        <v>2027</v>
      </c>
      <c r="C8051" s="131" t="s">
        <v>253</v>
      </c>
      <c r="D8051" s="132" t="n">
        <v>46701</v>
      </c>
      <c r="E8051" s="131" t="s">
        <v>46</v>
      </c>
      <c r="F8051" s="133" t="s">
        <v>11</v>
      </c>
      <c r="G8051" s="134" t="n">
        <f aca="false">LEN('Saisie programme'!$F$304)+SUMIFS('Vols additionnels'!$E$7:$E$66,'Vols additionnels'!$C$7:$C$66,$E8051,'Vols additionnels'!$D$7:$D$66,$F8051,'Vols additionnels'!$B$7:$B$66,$D8051)</f>
        <v>0</v>
      </c>
      <c r="H8051" s="135" t="n">
        <f aca="false">$G8051*'Analyse capacite'!$F$7</f>
        <v>0</v>
      </c>
      <c r="I8051" s="135" t="n">
        <f aca="false">$G8051*'Analyse capacite'!$C$7</f>
        <v>0</v>
      </c>
      <c r="J8051" s="135" t="n">
        <f aca="false">$G8051*'Analyse capacite'!$D$7</f>
        <v>0</v>
      </c>
      <c r="K8051" s="135" t="n">
        <f aca="false">$G8051*'Analyse capacite'!$E$7</f>
        <v>0</v>
      </c>
    </row>
    <row r="8052" customFormat="false" ht="15" hidden="false" customHeight="false" outlineLevel="0" collapsed="false">
      <c r="B8052" s="130" t="n">
        <v>2027</v>
      </c>
      <c r="C8052" s="131" t="s">
        <v>253</v>
      </c>
      <c r="D8052" s="132" t="n">
        <v>46701</v>
      </c>
      <c r="E8052" s="131" t="s">
        <v>46</v>
      </c>
      <c r="F8052" s="133" t="s">
        <v>19</v>
      </c>
      <c r="G8052" s="134" t="n">
        <f aca="false">LEN('Saisie programme'!$F$305)+SUMIFS('Vols additionnels'!$E$7:$E$66,'Vols additionnels'!$C$7:$C$66,$E8052,'Vols additionnels'!$D$7:$D$66,$F8052,'Vols additionnels'!$B$7:$B$66,$D8052)</f>
        <v>0</v>
      </c>
      <c r="H8052" s="135" t="n">
        <f aca="false">$G8052*'Analyse capacite'!$F$8</f>
        <v>0</v>
      </c>
      <c r="I8052" s="135" t="n">
        <f aca="false">$G8052*'Analyse capacite'!$C$8</f>
        <v>0</v>
      </c>
      <c r="J8052" s="135" t="n">
        <f aca="false">$G8052*'Analyse capacite'!$D$8</f>
        <v>0</v>
      </c>
      <c r="K8052" s="135" t="n">
        <f aca="false">$G8052*'Analyse capacite'!$E$8</f>
        <v>0</v>
      </c>
    </row>
    <row r="8053" customFormat="false" ht="15" hidden="false" customHeight="false" outlineLevel="0" collapsed="false">
      <c r="B8053" s="130" t="n">
        <v>2027</v>
      </c>
      <c r="C8053" s="131" t="s">
        <v>253</v>
      </c>
      <c r="D8053" s="132" t="n">
        <v>46701</v>
      </c>
      <c r="E8053" s="131" t="s">
        <v>46</v>
      </c>
      <c r="F8053" s="133" t="s">
        <v>24</v>
      </c>
      <c r="G8053" s="134" t="n">
        <f aca="false">LEN('Saisie programme'!$F$306)+SUMIFS('Vols additionnels'!$E$7:$E$66,'Vols additionnels'!$C$7:$C$66,$E8053,'Vols additionnels'!$D$7:$D$66,$F8053,'Vols additionnels'!$B$7:$B$66,$D8053)</f>
        <v>0</v>
      </c>
      <c r="H8053" s="135" t="n">
        <f aca="false">$G8053*'Analyse capacite'!$F$9</f>
        <v>0</v>
      </c>
      <c r="I8053" s="135" t="n">
        <f aca="false">$G8053*'Analyse capacite'!$C$9</f>
        <v>0</v>
      </c>
      <c r="J8053" s="135" t="n">
        <f aca="false">$G8053*'Analyse capacite'!$D$9</f>
        <v>0</v>
      </c>
      <c r="K8053" s="135" t="n">
        <f aca="false">$G8053*'Analyse capacite'!$E$9</f>
        <v>0</v>
      </c>
    </row>
    <row r="8054" customFormat="false" ht="15" hidden="false" customHeight="false" outlineLevel="0" collapsed="false">
      <c r="B8054" s="130" t="n">
        <v>2027</v>
      </c>
      <c r="C8054" s="131" t="s">
        <v>253</v>
      </c>
      <c r="D8054" s="132" t="n">
        <v>46701</v>
      </c>
      <c r="E8054" s="131" t="s">
        <v>49</v>
      </c>
      <c r="F8054" s="133" t="s">
        <v>11</v>
      </c>
      <c r="G8054" s="134" t="n">
        <f aca="false">LEN('Saisie programme'!$F$307)+SUMIFS('Vols additionnels'!$E$7:$E$66,'Vols additionnels'!$C$7:$C$66,$E8054,'Vols additionnels'!$D$7:$D$66,$F8054,'Vols additionnels'!$B$7:$B$66,$D8054)</f>
        <v>0</v>
      </c>
      <c r="H8054" s="135" t="n">
        <f aca="false">$G8054*'Analyse capacite'!$F$7</f>
        <v>0</v>
      </c>
      <c r="I8054" s="135" t="n">
        <f aca="false">$G8054*'Analyse capacite'!$C$7</f>
        <v>0</v>
      </c>
      <c r="J8054" s="135" t="n">
        <f aca="false">$G8054*'Analyse capacite'!$D$7</f>
        <v>0</v>
      </c>
      <c r="K8054" s="135" t="n">
        <f aca="false">$G8054*'Analyse capacite'!$E$7</f>
        <v>0</v>
      </c>
    </row>
    <row r="8055" customFormat="false" ht="15" hidden="false" customHeight="false" outlineLevel="0" collapsed="false">
      <c r="B8055" s="130" t="n">
        <v>2027</v>
      </c>
      <c r="C8055" s="131" t="s">
        <v>253</v>
      </c>
      <c r="D8055" s="132" t="n">
        <v>46701</v>
      </c>
      <c r="E8055" s="131" t="s">
        <v>49</v>
      </c>
      <c r="F8055" s="133" t="s">
        <v>19</v>
      </c>
      <c r="G8055" s="134" t="n">
        <f aca="false">LEN('Saisie programme'!$F$308)+SUMIFS('Vols additionnels'!$E$7:$E$66,'Vols additionnels'!$C$7:$C$66,$E8055,'Vols additionnels'!$D$7:$D$66,$F8055,'Vols additionnels'!$B$7:$B$66,$D8055)</f>
        <v>0</v>
      </c>
      <c r="H8055" s="135" t="n">
        <f aca="false">$G8055*'Analyse capacite'!$F$8</f>
        <v>0</v>
      </c>
      <c r="I8055" s="135" t="n">
        <f aca="false">$G8055*'Analyse capacite'!$C$8</f>
        <v>0</v>
      </c>
      <c r="J8055" s="135" t="n">
        <f aca="false">$G8055*'Analyse capacite'!$D$8</f>
        <v>0</v>
      </c>
      <c r="K8055" s="135" t="n">
        <f aca="false">$G8055*'Analyse capacite'!$E$8</f>
        <v>0</v>
      </c>
    </row>
    <row r="8056" customFormat="false" ht="15" hidden="false" customHeight="false" outlineLevel="0" collapsed="false">
      <c r="B8056" s="130" t="n">
        <v>2027</v>
      </c>
      <c r="C8056" s="131" t="s">
        <v>253</v>
      </c>
      <c r="D8056" s="132" t="n">
        <v>46701</v>
      </c>
      <c r="E8056" s="131" t="s">
        <v>49</v>
      </c>
      <c r="F8056" s="133" t="s">
        <v>24</v>
      </c>
      <c r="G8056" s="134" t="n">
        <f aca="false">LEN('Saisie programme'!$F$309)+SUMIFS('Vols additionnels'!$E$7:$E$66,'Vols additionnels'!$C$7:$C$66,$E8056,'Vols additionnels'!$D$7:$D$66,$F8056,'Vols additionnels'!$B$7:$B$66,$D8056)</f>
        <v>0</v>
      </c>
      <c r="H8056" s="135" t="n">
        <f aca="false">$G8056*'Analyse capacite'!$F$9</f>
        <v>0</v>
      </c>
      <c r="I8056" s="135" t="n">
        <f aca="false">$G8056*'Analyse capacite'!$C$9</f>
        <v>0</v>
      </c>
      <c r="J8056" s="135" t="n">
        <f aca="false">$G8056*'Analyse capacite'!$D$9</f>
        <v>0</v>
      </c>
      <c r="K8056" s="135" t="n">
        <f aca="false">$G8056*'Analyse capacite'!$E$9</f>
        <v>0</v>
      </c>
    </row>
    <row r="8057" customFormat="false" ht="15" hidden="false" customHeight="false" outlineLevel="0" collapsed="false">
      <c r="B8057" s="130" t="n">
        <v>2027</v>
      </c>
      <c r="C8057" s="131" t="s">
        <v>253</v>
      </c>
      <c r="D8057" s="132" t="n">
        <v>46701</v>
      </c>
      <c r="E8057" s="131" t="s">
        <v>53</v>
      </c>
      <c r="F8057" s="133" t="s">
        <v>11</v>
      </c>
      <c r="G8057" s="134" t="n">
        <f aca="false">LEN('Saisie programme'!$F$310)+SUMIFS('Vols additionnels'!$E$7:$E$66,'Vols additionnels'!$C$7:$C$66,$E8057,'Vols additionnels'!$D$7:$D$66,$F8057,'Vols additionnels'!$B$7:$B$66,$D8057)</f>
        <v>0</v>
      </c>
      <c r="H8057" s="135" t="n">
        <f aca="false">$G8057*'Analyse capacite'!$F$7</f>
        <v>0</v>
      </c>
      <c r="I8057" s="135" t="n">
        <f aca="false">$G8057*'Analyse capacite'!$C$7</f>
        <v>0</v>
      </c>
      <c r="J8057" s="135" t="n">
        <f aca="false">$G8057*'Analyse capacite'!$D$7</f>
        <v>0</v>
      </c>
      <c r="K8057" s="135" t="n">
        <f aca="false">$G8057*'Analyse capacite'!$E$7</f>
        <v>0</v>
      </c>
    </row>
    <row r="8058" customFormat="false" ht="15" hidden="false" customHeight="false" outlineLevel="0" collapsed="false">
      <c r="B8058" s="130" t="n">
        <v>2027</v>
      </c>
      <c r="C8058" s="131" t="s">
        <v>253</v>
      </c>
      <c r="D8058" s="132" t="n">
        <v>46701</v>
      </c>
      <c r="E8058" s="131" t="s">
        <v>53</v>
      </c>
      <c r="F8058" s="133" t="s">
        <v>19</v>
      </c>
      <c r="G8058" s="134" t="n">
        <f aca="false">LEN('Saisie programme'!$F$311)+SUMIFS('Vols additionnels'!$E$7:$E$66,'Vols additionnels'!$C$7:$C$66,$E8058,'Vols additionnels'!$D$7:$D$66,$F8058,'Vols additionnels'!$B$7:$B$66,$D8058)</f>
        <v>0</v>
      </c>
      <c r="H8058" s="135" t="n">
        <f aca="false">$G8058*'Analyse capacite'!$F$8</f>
        <v>0</v>
      </c>
      <c r="I8058" s="135" t="n">
        <f aca="false">$G8058*'Analyse capacite'!$C$8</f>
        <v>0</v>
      </c>
      <c r="J8058" s="135" t="n">
        <f aca="false">$G8058*'Analyse capacite'!$D$8</f>
        <v>0</v>
      </c>
      <c r="K8058" s="135" t="n">
        <f aca="false">$G8058*'Analyse capacite'!$E$8</f>
        <v>0</v>
      </c>
    </row>
    <row r="8059" customFormat="false" ht="15" hidden="false" customHeight="false" outlineLevel="0" collapsed="false">
      <c r="B8059" s="130" t="n">
        <v>2027</v>
      </c>
      <c r="C8059" s="131" t="s">
        <v>253</v>
      </c>
      <c r="D8059" s="132" t="n">
        <v>46701</v>
      </c>
      <c r="E8059" s="131" t="s">
        <v>53</v>
      </c>
      <c r="F8059" s="133" t="s">
        <v>24</v>
      </c>
      <c r="G8059" s="134" t="n">
        <f aca="false">LEN('Saisie programme'!$F$312)+SUMIFS('Vols additionnels'!$E$7:$E$66,'Vols additionnels'!$C$7:$C$66,$E8059,'Vols additionnels'!$D$7:$D$66,$F8059,'Vols additionnels'!$B$7:$B$66,$D8059)</f>
        <v>0</v>
      </c>
      <c r="H8059" s="135" t="n">
        <f aca="false">$G8059*'Analyse capacite'!$F$9</f>
        <v>0</v>
      </c>
      <c r="I8059" s="135" t="n">
        <f aca="false">$G8059*'Analyse capacite'!$C$9</f>
        <v>0</v>
      </c>
      <c r="J8059" s="135" t="n">
        <f aca="false">$G8059*'Analyse capacite'!$D$9</f>
        <v>0</v>
      </c>
      <c r="K8059" s="135" t="n">
        <f aca="false">$G8059*'Analyse capacite'!$E$9</f>
        <v>0</v>
      </c>
    </row>
    <row r="8060" customFormat="false" ht="15" hidden="false" customHeight="false" outlineLevel="0" collapsed="false">
      <c r="B8060" s="130" t="n">
        <v>2027</v>
      </c>
      <c r="C8060" s="131" t="s">
        <v>253</v>
      </c>
      <c r="D8060" s="132" t="n">
        <v>46701</v>
      </c>
      <c r="E8060" s="131" t="s">
        <v>56</v>
      </c>
      <c r="F8060" s="133" t="s">
        <v>11</v>
      </c>
      <c r="G8060" s="134" t="n">
        <f aca="false">LEN('Saisie programme'!$F$313)+SUMIFS('Vols additionnels'!$E$7:$E$66,'Vols additionnels'!$C$7:$C$66,$E8060,'Vols additionnels'!$D$7:$D$66,$F8060,'Vols additionnels'!$B$7:$B$66,$D8060)</f>
        <v>0</v>
      </c>
      <c r="H8060" s="135" t="n">
        <f aca="false">$G8060*'Analyse capacite'!$F$7</f>
        <v>0</v>
      </c>
      <c r="I8060" s="135" t="n">
        <f aca="false">$G8060*'Analyse capacite'!$C$7</f>
        <v>0</v>
      </c>
      <c r="J8060" s="135" t="n">
        <f aca="false">$G8060*'Analyse capacite'!$D$7</f>
        <v>0</v>
      </c>
      <c r="K8060" s="135" t="n">
        <f aca="false">$G8060*'Analyse capacite'!$E$7</f>
        <v>0</v>
      </c>
    </row>
    <row r="8061" customFormat="false" ht="15" hidden="false" customHeight="false" outlineLevel="0" collapsed="false">
      <c r="B8061" s="130" t="n">
        <v>2027</v>
      </c>
      <c r="C8061" s="131" t="s">
        <v>253</v>
      </c>
      <c r="D8061" s="132" t="n">
        <v>46701</v>
      </c>
      <c r="E8061" s="131" t="s">
        <v>56</v>
      </c>
      <c r="F8061" s="133" t="s">
        <v>19</v>
      </c>
      <c r="G8061" s="134" t="n">
        <f aca="false">LEN('Saisie programme'!$F$314)+SUMIFS('Vols additionnels'!$E$7:$E$66,'Vols additionnels'!$C$7:$C$66,$E8061,'Vols additionnels'!$D$7:$D$66,$F8061,'Vols additionnels'!$B$7:$B$66,$D8061)</f>
        <v>0</v>
      </c>
      <c r="H8061" s="135" t="n">
        <f aca="false">$G8061*'Analyse capacite'!$F$8</f>
        <v>0</v>
      </c>
      <c r="I8061" s="135" t="n">
        <f aca="false">$G8061*'Analyse capacite'!$C$8</f>
        <v>0</v>
      </c>
      <c r="J8061" s="135" t="n">
        <f aca="false">$G8061*'Analyse capacite'!$D$8</f>
        <v>0</v>
      </c>
      <c r="K8061" s="135" t="n">
        <f aca="false">$G8061*'Analyse capacite'!$E$8</f>
        <v>0</v>
      </c>
    </row>
    <row r="8062" customFormat="false" ht="15" hidden="false" customHeight="false" outlineLevel="0" collapsed="false">
      <c r="B8062" s="130" t="n">
        <v>2027</v>
      </c>
      <c r="C8062" s="131" t="s">
        <v>253</v>
      </c>
      <c r="D8062" s="132" t="n">
        <v>46701</v>
      </c>
      <c r="E8062" s="131" t="s">
        <v>56</v>
      </c>
      <c r="F8062" s="133" t="s">
        <v>24</v>
      </c>
      <c r="G8062" s="134" t="n">
        <f aca="false">LEN('Saisie programme'!$F$315)+SUMIFS('Vols additionnels'!$E$7:$E$66,'Vols additionnels'!$C$7:$C$66,$E8062,'Vols additionnels'!$D$7:$D$66,$F8062,'Vols additionnels'!$B$7:$B$66,$D8062)</f>
        <v>0</v>
      </c>
      <c r="H8062" s="135" t="n">
        <f aca="false">$G8062*'Analyse capacite'!$F$9</f>
        <v>0</v>
      </c>
      <c r="I8062" s="135" t="n">
        <f aca="false">$G8062*'Analyse capacite'!$C$9</f>
        <v>0</v>
      </c>
      <c r="J8062" s="135" t="n">
        <f aca="false">$G8062*'Analyse capacite'!$D$9</f>
        <v>0</v>
      </c>
      <c r="K8062" s="135" t="n">
        <f aca="false">$G8062*'Analyse capacite'!$E$9</f>
        <v>0</v>
      </c>
    </row>
    <row r="8063" customFormat="false" ht="15" hidden="false" customHeight="false" outlineLevel="0" collapsed="false">
      <c r="B8063" s="130" t="n">
        <v>2027</v>
      </c>
      <c r="C8063" s="131" t="s">
        <v>253</v>
      </c>
      <c r="D8063" s="132" t="n">
        <v>46701</v>
      </c>
      <c r="E8063" s="131" t="s">
        <v>59</v>
      </c>
      <c r="F8063" s="133" t="s">
        <v>11</v>
      </c>
      <c r="G8063" s="134" t="n">
        <f aca="false">LEN('Saisie programme'!$F$316)+SUMIFS('Vols additionnels'!$E$7:$E$66,'Vols additionnels'!$C$7:$C$66,$E8063,'Vols additionnels'!$D$7:$D$66,$F8063,'Vols additionnels'!$B$7:$B$66,$D8063)</f>
        <v>0</v>
      </c>
      <c r="H8063" s="135" t="n">
        <f aca="false">$G8063*'Analyse capacite'!$F$7</f>
        <v>0</v>
      </c>
      <c r="I8063" s="135" t="n">
        <f aca="false">$G8063*'Analyse capacite'!$C$7</f>
        <v>0</v>
      </c>
      <c r="J8063" s="135" t="n">
        <f aca="false">$G8063*'Analyse capacite'!$D$7</f>
        <v>0</v>
      </c>
      <c r="K8063" s="135" t="n">
        <f aca="false">$G8063*'Analyse capacite'!$E$7</f>
        <v>0</v>
      </c>
    </row>
    <row r="8064" customFormat="false" ht="15" hidden="false" customHeight="false" outlineLevel="0" collapsed="false">
      <c r="B8064" s="130" t="n">
        <v>2027</v>
      </c>
      <c r="C8064" s="131" t="s">
        <v>253</v>
      </c>
      <c r="D8064" s="132" t="n">
        <v>46701</v>
      </c>
      <c r="E8064" s="131" t="s">
        <v>59</v>
      </c>
      <c r="F8064" s="133" t="s">
        <v>19</v>
      </c>
      <c r="G8064" s="134" t="n">
        <f aca="false">LEN('Saisie programme'!$F$317)+SUMIFS('Vols additionnels'!$E$7:$E$66,'Vols additionnels'!$C$7:$C$66,$E8064,'Vols additionnels'!$D$7:$D$66,$F8064,'Vols additionnels'!$B$7:$B$66,$D8064)</f>
        <v>0</v>
      </c>
      <c r="H8064" s="135" t="n">
        <f aca="false">$G8064*'Analyse capacite'!$F$8</f>
        <v>0</v>
      </c>
      <c r="I8064" s="135" t="n">
        <f aca="false">$G8064*'Analyse capacite'!$C$8</f>
        <v>0</v>
      </c>
      <c r="J8064" s="135" t="n">
        <f aca="false">$G8064*'Analyse capacite'!$D$8</f>
        <v>0</v>
      </c>
      <c r="K8064" s="135" t="n">
        <f aca="false">$G8064*'Analyse capacite'!$E$8</f>
        <v>0</v>
      </c>
    </row>
    <row r="8065" customFormat="false" ht="15" hidden="false" customHeight="false" outlineLevel="0" collapsed="false">
      <c r="B8065" s="130" t="n">
        <v>2027</v>
      </c>
      <c r="C8065" s="131" t="s">
        <v>253</v>
      </c>
      <c r="D8065" s="132" t="n">
        <v>46701</v>
      </c>
      <c r="E8065" s="131" t="s">
        <v>59</v>
      </c>
      <c r="F8065" s="133" t="s">
        <v>24</v>
      </c>
      <c r="G8065" s="134" t="n">
        <f aca="false">LEN('Saisie programme'!$F$318)+SUMIFS('Vols additionnels'!$E$7:$E$66,'Vols additionnels'!$C$7:$C$66,$E8065,'Vols additionnels'!$D$7:$D$66,$F8065,'Vols additionnels'!$B$7:$B$66,$D8065)</f>
        <v>1</v>
      </c>
      <c r="H8065" s="135" t="n">
        <f aca="false">$G8065*'Analyse capacite'!$F$9</f>
        <v>174</v>
      </c>
      <c r="I8065" s="135" t="n">
        <f aca="false">$G8065*'Analyse capacite'!$C$9</f>
        <v>0</v>
      </c>
      <c r="J8065" s="135" t="n">
        <f aca="false">$G8065*'Analyse capacite'!$D$9</f>
        <v>12</v>
      </c>
      <c r="K8065" s="135" t="n">
        <f aca="false">$G8065*'Analyse capacite'!$E$9</f>
        <v>162</v>
      </c>
    </row>
    <row r="8066" customFormat="false" ht="15" hidden="false" customHeight="false" outlineLevel="0" collapsed="false">
      <c r="B8066" s="130" t="n">
        <v>2027</v>
      </c>
      <c r="C8066" s="131" t="s">
        <v>253</v>
      </c>
      <c r="D8066" s="132" t="n">
        <v>46701</v>
      </c>
      <c r="E8066" s="131" t="s">
        <v>62</v>
      </c>
      <c r="F8066" s="133" t="s">
        <v>11</v>
      </c>
      <c r="G8066" s="134" t="n">
        <f aca="false">LEN('Saisie programme'!$F$319)+SUMIFS('Vols additionnels'!$E$7:$E$66,'Vols additionnels'!$C$7:$C$66,$E8066,'Vols additionnels'!$D$7:$D$66,$F8066,'Vols additionnels'!$B$7:$B$66,$D8066)</f>
        <v>0</v>
      </c>
      <c r="H8066" s="135" t="n">
        <f aca="false">$G8066*'Analyse capacite'!$F$7</f>
        <v>0</v>
      </c>
      <c r="I8066" s="135" t="n">
        <f aca="false">$G8066*'Analyse capacite'!$C$7</f>
        <v>0</v>
      </c>
      <c r="J8066" s="135" t="n">
        <f aca="false">$G8066*'Analyse capacite'!$D$7</f>
        <v>0</v>
      </c>
      <c r="K8066" s="135" t="n">
        <f aca="false">$G8066*'Analyse capacite'!$E$7</f>
        <v>0</v>
      </c>
    </row>
    <row r="8067" customFormat="false" ht="15" hidden="false" customHeight="false" outlineLevel="0" collapsed="false">
      <c r="B8067" s="130" t="n">
        <v>2027</v>
      </c>
      <c r="C8067" s="131" t="s">
        <v>253</v>
      </c>
      <c r="D8067" s="132" t="n">
        <v>46701</v>
      </c>
      <c r="E8067" s="131" t="s">
        <v>62</v>
      </c>
      <c r="F8067" s="133" t="s">
        <v>19</v>
      </c>
      <c r="G8067" s="134" t="n">
        <f aca="false">LEN('Saisie programme'!$F$320)+SUMIFS('Vols additionnels'!$E$7:$E$66,'Vols additionnels'!$C$7:$C$66,$E8067,'Vols additionnels'!$D$7:$D$66,$F8067,'Vols additionnels'!$B$7:$B$66,$D8067)</f>
        <v>0</v>
      </c>
      <c r="H8067" s="135" t="n">
        <f aca="false">$G8067*'Analyse capacite'!$F$8</f>
        <v>0</v>
      </c>
      <c r="I8067" s="135" t="n">
        <f aca="false">$G8067*'Analyse capacite'!$C$8</f>
        <v>0</v>
      </c>
      <c r="J8067" s="135" t="n">
        <f aca="false">$G8067*'Analyse capacite'!$D$8</f>
        <v>0</v>
      </c>
      <c r="K8067" s="135" t="n">
        <f aca="false">$G8067*'Analyse capacite'!$E$8</f>
        <v>0</v>
      </c>
    </row>
    <row r="8068" customFormat="false" ht="15" hidden="false" customHeight="false" outlineLevel="0" collapsed="false">
      <c r="B8068" s="130" t="n">
        <v>2027</v>
      </c>
      <c r="C8068" s="131" t="s">
        <v>253</v>
      </c>
      <c r="D8068" s="132" t="n">
        <v>46701</v>
      </c>
      <c r="E8068" s="131" t="s">
        <v>62</v>
      </c>
      <c r="F8068" s="133" t="s">
        <v>24</v>
      </c>
      <c r="G8068" s="134" t="n">
        <f aca="false">LEN('Saisie programme'!$F$321)+SUMIFS('Vols additionnels'!$E$7:$E$66,'Vols additionnels'!$C$7:$C$66,$E8068,'Vols additionnels'!$D$7:$D$66,$F8068,'Vols additionnels'!$B$7:$B$66,$D8068)</f>
        <v>1</v>
      </c>
      <c r="H8068" s="135" t="n">
        <f aca="false">$G8068*'Analyse capacite'!$F$9</f>
        <v>174</v>
      </c>
      <c r="I8068" s="135" t="n">
        <f aca="false">$G8068*'Analyse capacite'!$C$9</f>
        <v>0</v>
      </c>
      <c r="J8068" s="135" t="n">
        <f aca="false">$G8068*'Analyse capacite'!$D$9</f>
        <v>12</v>
      </c>
      <c r="K8068" s="135" t="n">
        <f aca="false">$G8068*'Analyse capacite'!$E$9</f>
        <v>162</v>
      </c>
    </row>
    <row r="8069" customFormat="false" ht="15" hidden="false" customHeight="false" outlineLevel="0" collapsed="false">
      <c r="B8069" s="130" t="n">
        <v>2027</v>
      </c>
      <c r="C8069" s="131" t="s">
        <v>253</v>
      </c>
      <c r="D8069" s="132" t="n">
        <v>46702</v>
      </c>
      <c r="E8069" s="131" t="s">
        <v>12</v>
      </c>
      <c r="F8069" s="133" t="s">
        <v>11</v>
      </c>
      <c r="G8069" s="134" t="n">
        <f aca="false">LEN('Saisie programme'!$G$286)+SUMIFS('Vols additionnels'!$E$7:$E$66,'Vols additionnels'!$C$7:$C$66,$E8069,'Vols additionnels'!$D$7:$D$66,$F8069,'Vols additionnels'!$B$7:$B$66,$D8069)</f>
        <v>1</v>
      </c>
      <c r="H8069" s="135" t="n">
        <f aca="false">$G8069*'Analyse capacite'!$F$7</f>
        <v>438</v>
      </c>
      <c r="I8069" s="135" t="n">
        <f aca="false">$G8069*'Analyse capacite'!$C$7</f>
        <v>14</v>
      </c>
      <c r="J8069" s="135" t="n">
        <f aca="false">$G8069*'Analyse capacite'!$D$7</f>
        <v>40</v>
      </c>
      <c r="K8069" s="135" t="n">
        <f aca="false">$G8069*'Analyse capacite'!$E$7</f>
        <v>384</v>
      </c>
    </row>
    <row r="8070" customFormat="false" ht="15" hidden="false" customHeight="false" outlineLevel="0" collapsed="false">
      <c r="B8070" s="130" t="n">
        <v>2027</v>
      </c>
      <c r="C8070" s="131" t="s">
        <v>253</v>
      </c>
      <c r="D8070" s="132" t="n">
        <v>46702</v>
      </c>
      <c r="E8070" s="131" t="s">
        <v>12</v>
      </c>
      <c r="F8070" s="133" t="s">
        <v>19</v>
      </c>
      <c r="G8070" s="134" t="n">
        <f aca="false">LEN('Saisie programme'!$G$287)+SUMIFS('Vols additionnels'!$E$7:$E$66,'Vols additionnels'!$C$7:$C$66,$E8070,'Vols additionnels'!$D$7:$D$66,$F8070,'Vols additionnels'!$B$7:$B$66,$D8070)</f>
        <v>0</v>
      </c>
      <c r="H8070" s="135" t="n">
        <f aca="false">$G8070*'Analyse capacite'!$F$8</f>
        <v>0</v>
      </c>
      <c r="I8070" s="135" t="n">
        <f aca="false">$G8070*'Analyse capacite'!$C$8</f>
        <v>0</v>
      </c>
      <c r="J8070" s="135" t="n">
        <f aca="false">$G8070*'Analyse capacite'!$D$8</f>
        <v>0</v>
      </c>
      <c r="K8070" s="135" t="n">
        <f aca="false">$G8070*'Analyse capacite'!$E$8</f>
        <v>0</v>
      </c>
    </row>
    <row r="8071" customFormat="false" ht="15" hidden="false" customHeight="false" outlineLevel="0" collapsed="false">
      <c r="B8071" s="130" t="n">
        <v>2027</v>
      </c>
      <c r="C8071" s="131" t="s">
        <v>253</v>
      </c>
      <c r="D8071" s="132" t="n">
        <v>46702</v>
      </c>
      <c r="E8071" s="131" t="s">
        <v>12</v>
      </c>
      <c r="F8071" s="133" t="s">
        <v>24</v>
      </c>
      <c r="G8071" s="134" t="n">
        <f aca="false">LEN('Saisie programme'!$G$288)+SUMIFS('Vols additionnels'!$E$7:$E$66,'Vols additionnels'!$C$7:$C$66,$E8071,'Vols additionnels'!$D$7:$D$66,$F8071,'Vols additionnels'!$B$7:$B$66,$D8071)</f>
        <v>0</v>
      </c>
      <c r="H8071" s="135" t="n">
        <f aca="false">$G8071*'Analyse capacite'!$F$9</f>
        <v>0</v>
      </c>
      <c r="I8071" s="135" t="n">
        <f aca="false">$G8071*'Analyse capacite'!$C$9</f>
        <v>0</v>
      </c>
      <c r="J8071" s="135" t="n">
        <f aca="false">$G8071*'Analyse capacite'!$D$9</f>
        <v>0</v>
      </c>
      <c r="K8071" s="135" t="n">
        <f aca="false">$G8071*'Analyse capacite'!$E$9</f>
        <v>0</v>
      </c>
    </row>
    <row r="8072" customFormat="false" ht="15" hidden="false" customHeight="false" outlineLevel="0" collapsed="false">
      <c r="B8072" s="130" t="n">
        <v>2027</v>
      </c>
      <c r="C8072" s="131" t="s">
        <v>253</v>
      </c>
      <c r="D8072" s="132" t="n">
        <v>46702</v>
      </c>
      <c r="E8072" s="131" t="s">
        <v>20</v>
      </c>
      <c r="F8072" s="133" t="s">
        <v>11</v>
      </c>
      <c r="G8072" s="134" t="n">
        <f aca="false">LEN('Saisie programme'!$G$289)+SUMIFS('Vols additionnels'!$E$7:$E$66,'Vols additionnels'!$C$7:$C$66,$E8072,'Vols additionnels'!$D$7:$D$66,$F8072,'Vols additionnels'!$B$7:$B$66,$D8072)</f>
        <v>0</v>
      </c>
      <c r="H8072" s="135" t="n">
        <f aca="false">$G8072*'Analyse capacite'!$F$7</f>
        <v>0</v>
      </c>
      <c r="I8072" s="135" t="n">
        <f aca="false">$G8072*'Analyse capacite'!$C$7</f>
        <v>0</v>
      </c>
      <c r="J8072" s="135" t="n">
        <f aca="false">$G8072*'Analyse capacite'!$D$7</f>
        <v>0</v>
      </c>
      <c r="K8072" s="135" t="n">
        <f aca="false">$G8072*'Analyse capacite'!$E$7</f>
        <v>0</v>
      </c>
    </row>
    <row r="8073" customFormat="false" ht="15" hidden="false" customHeight="false" outlineLevel="0" collapsed="false">
      <c r="B8073" s="130" t="n">
        <v>2027</v>
      </c>
      <c r="C8073" s="131" t="s">
        <v>253</v>
      </c>
      <c r="D8073" s="132" t="n">
        <v>46702</v>
      </c>
      <c r="E8073" s="131" t="s">
        <v>20</v>
      </c>
      <c r="F8073" s="133" t="s">
        <v>19</v>
      </c>
      <c r="G8073" s="134" t="n">
        <f aca="false">LEN('Saisie programme'!$G$290)+SUMIFS('Vols additionnels'!$E$7:$E$66,'Vols additionnels'!$C$7:$C$66,$E8073,'Vols additionnels'!$D$7:$D$66,$F8073,'Vols additionnels'!$B$7:$B$66,$D8073)</f>
        <v>0</v>
      </c>
      <c r="H8073" s="135" t="n">
        <f aca="false">$G8073*'Analyse capacite'!$F$8</f>
        <v>0</v>
      </c>
      <c r="I8073" s="135" t="n">
        <f aca="false">$G8073*'Analyse capacite'!$C$8</f>
        <v>0</v>
      </c>
      <c r="J8073" s="135" t="n">
        <f aca="false">$G8073*'Analyse capacite'!$D$8</f>
        <v>0</v>
      </c>
      <c r="K8073" s="135" t="n">
        <f aca="false">$G8073*'Analyse capacite'!$E$8</f>
        <v>0</v>
      </c>
    </row>
    <row r="8074" customFormat="false" ht="15" hidden="false" customHeight="false" outlineLevel="0" collapsed="false">
      <c r="B8074" s="130" t="n">
        <v>2027</v>
      </c>
      <c r="C8074" s="131" t="s">
        <v>253</v>
      </c>
      <c r="D8074" s="132" t="n">
        <v>46702</v>
      </c>
      <c r="E8074" s="131" t="s">
        <v>20</v>
      </c>
      <c r="F8074" s="133" t="s">
        <v>24</v>
      </c>
      <c r="G8074" s="134" t="n">
        <f aca="false">LEN('Saisie programme'!$G$291)+SUMIFS('Vols additionnels'!$E$7:$E$66,'Vols additionnels'!$C$7:$C$66,$E8074,'Vols additionnels'!$D$7:$D$66,$F8074,'Vols additionnels'!$B$7:$B$66,$D8074)</f>
        <v>0</v>
      </c>
      <c r="H8074" s="135" t="n">
        <f aca="false">$G8074*'Analyse capacite'!$F$9</f>
        <v>0</v>
      </c>
      <c r="I8074" s="135" t="n">
        <f aca="false">$G8074*'Analyse capacite'!$C$9</f>
        <v>0</v>
      </c>
      <c r="J8074" s="135" t="n">
        <f aca="false">$G8074*'Analyse capacite'!$D$9</f>
        <v>0</v>
      </c>
      <c r="K8074" s="135" t="n">
        <f aca="false">$G8074*'Analyse capacite'!$E$9</f>
        <v>0</v>
      </c>
    </row>
    <row r="8075" customFormat="false" ht="15" hidden="false" customHeight="false" outlineLevel="0" collapsed="false">
      <c r="B8075" s="130" t="n">
        <v>2027</v>
      </c>
      <c r="C8075" s="131" t="s">
        <v>253</v>
      </c>
      <c r="D8075" s="132" t="n">
        <v>46702</v>
      </c>
      <c r="E8075" s="131" t="s">
        <v>25</v>
      </c>
      <c r="F8075" s="133" t="s">
        <v>11</v>
      </c>
      <c r="G8075" s="134" t="n">
        <f aca="false">LEN('Saisie programme'!$G$292)+SUMIFS('Vols additionnels'!$E$7:$E$66,'Vols additionnels'!$C$7:$C$66,$E8075,'Vols additionnels'!$D$7:$D$66,$F8075,'Vols additionnels'!$B$7:$B$66,$D8075)</f>
        <v>0</v>
      </c>
      <c r="H8075" s="135" t="n">
        <f aca="false">$G8075*'Analyse capacite'!$F$7</f>
        <v>0</v>
      </c>
      <c r="I8075" s="135" t="n">
        <f aca="false">$G8075*'Analyse capacite'!$C$7</f>
        <v>0</v>
      </c>
      <c r="J8075" s="135" t="n">
        <f aca="false">$G8075*'Analyse capacite'!$D$7</f>
        <v>0</v>
      </c>
      <c r="K8075" s="135" t="n">
        <f aca="false">$G8075*'Analyse capacite'!$E$7</f>
        <v>0</v>
      </c>
    </row>
    <row r="8076" customFormat="false" ht="15" hidden="false" customHeight="false" outlineLevel="0" collapsed="false">
      <c r="B8076" s="130" t="n">
        <v>2027</v>
      </c>
      <c r="C8076" s="131" t="s">
        <v>253</v>
      </c>
      <c r="D8076" s="132" t="n">
        <v>46702</v>
      </c>
      <c r="E8076" s="131" t="s">
        <v>25</v>
      </c>
      <c r="F8076" s="133" t="s">
        <v>19</v>
      </c>
      <c r="G8076" s="134" t="n">
        <f aca="false">LEN('Saisie programme'!$G$293)+SUMIFS('Vols additionnels'!$E$7:$E$66,'Vols additionnels'!$C$7:$C$66,$E8076,'Vols additionnels'!$D$7:$D$66,$F8076,'Vols additionnels'!$B$7:$B$66,$D8076)</f>
        <v>0</v>
      </c>
      <c r="H8076" s="135" t="n">
        <f aca="false">$G8076*'Analyse capacite'!$F$8</f>
        <v>0</v>
      </c>
      <c r="I8076" s="135" t="n">
        <f aca="false">$G8076*'Analyse capacite'!$C$8</f>
        <v>0</v>
      </c>
      <c r="J8076" s="135" t="n">
        <f aca="false">$G8076*'Analyse capacite'!$D$8</f>
        <v>0</v>
      </c>
      <c r="K8076" s="135" t="n">
        <f aca="false">$G8076*'Analyse capacite'!$E$8</f>
        <v>0</v>
      </c>
    </row>
    <row r="8077" customFormat="false" ht="15" hidden="false" customHeight="false" outlineLevel="0" collapsed="false">
      <c r="B8077" s="130" t="n">
        <v>2027</v>
      </c>
      <c r="C8077" s="131" t="s">
        <v>253</v>
      </c>
      <c r="D8077" s="132" t="n">
        <v>46702</v>
      </c>
      <c r="E8077" s="131" t="s">
        <v>25</v>
      </c>
      <c r="F8077" s="133" t="s">
        <v>24</v>
      </c>
      <c r="G8077" s="134" t="n">
        <f aca="false">LEN('Saisie programme'!$G$294)+SUMIFS('Vols additionnels'!$E$7:$E$66,'Vols additionnels'!$C$7:$C$66,$E8077,'Vols additionnels'!$D$7:$D$66,$F8077,'Vols additionnels'!$B$7:$B$66,$D8077)</f>
        <v>0</v>
      </c>
      <c r="H8077" s="135" t="n">
        <f aca="false">$G8077*'Analyse capacite'!$F$9</f>
        <v>0</v>
      </c>
      <c r="I8077" s="135" t="n">
        <f aca="false">$G8077*'Analyse capacite'!$C$9</f>
        <v>0</v>
      </c>
      <c r="J8077" s="135" t="n">
        <f aca="false">$G8077*'Analyse capacite'!$D$9</f>
        <v>0</v>
      </c>
      <c r="K8077" s="135" t="n">
        <f aca="false">$G8077*'Analyse capacite'!$E$9</f>
        <v>0</v>
      </c>
    </row>
    <row r="8078" customFormat="false" ht="15" hidden="false" customHeight="false" outlineLevel="0" collapsed="false">
      <c r="B8078" s="130" t="n">
        <v>2027</v>
      </c>
      <c r="C8078" s="131" t="s">
        <v>253</v>
      </c>
      <c r="D8078" s="132" t="n">
        <v>46702</v>
      </c>
      <c r="E8078" s="131" t="s">
        <v>36</v>
      </c>
      <c r="F8078" s="133" t="s">
        <v>11</v>
      </c>
      <c r="G8078" s="134" t="n">
        <f aca="false">LEN('Saisie programme'!$G$295)+SUMIFS('Vols additionnels'!$E$7:$E$66,'Vols additionnels'!$C$7:$C$66,$E8078,'Vols additionnels'!$D$7:$D$66,$F8078,'Vols additionnels'!$B$7:$B$66,$D8078)</f>
        <v>0</v>
      </c>
      <c r="H8078" s="135" t="n">
        <f aca="false">$G8078*'Analyse capacite'!$F$7</f>
        <v>0</v>
      </c>
      <c r="I8078" s="135" t="n">
        <f aca="false">$G8078*'Analyse capacite'!$C$7</f>
        <v>0</v>
      </c>
      <c r="J8078" s="135" t="n">
        <f aca="false">$G8078*'Analyse capacite'!$D$7</f>
        <v>0</v>
      </c>
      <c r="K8078" s="135" t="n">
        <f aca="false">$G8078*'Analyse capacite'!$E$7</f>
        <v>0</v>
      </c>
    </row>
    <row r="8079" customFormat="false" ht="15" hidden="false" customHeight="false" outlineLevel="0" collapsed="false">
      <c r="B8079" s="130" t="n">
        <v>2027</v>
      </c>
      <c r="C8079" s="131" t="s">
        <v>253</v>
      </c>
      <c r="D8079" s="132" t="n">
        <v>46702</v>
      </c>
      <c r="E8079" s="131" t="s">
        <v>36</v>
      </c>
      <c r="F8079" s="133" t="s">
        <v>19</v>
      </c>
      <c r="G8079" s="134" t="n">
        <f aca="false">LEN('Saisie programme'!$G$296)+SUMIFS('Vols additionnels'!$E$7:$E$66,'Vols additionnels'!$C$7:$C$66,$E8079,'Vols additionnels'!$D$7:$D$66,$F8079,'Vols additionnels'!$B$7:$B$66,$D8079)</f>
        <v>0</v>
      </c>
      <c r="H8079" s="135" t="n">
        <f aca="false">$G8079*'Analyse capacite'!$F$8</f>
        <v>0</v>
      </c>
      <c r="I8079" s="135" t="n">
        <f aca="false">$G8079*'Analyse capacite'!$C$8</f>
        <v>0</v>
      </c>
      <c r="J8079" s="135" t="n">
        <f aca="false">$G8079*'Analyse capacite'!$D$8</f>
        <v>0</v>
      </c>
      <c r="K8079" s="135" t="n">
        <f aca="false">$G8079*'Analyse capacite'!$E$8</f>
        <v>0</v>
      </c>
    </row>
    <row r="8080" customFormat="false" ht="15" hidden="false" customHeight="false" outlineLevel="0" collapsed="false">
      <c r="B8080" s="130" t="n">
        <v>2027</v>
      </c>
      <c r="C8080" s="131" t="s">
        <v>253</v>
      </c>
      <c r="D8080" s="132" t="n">
        <v>46702</v>
      </c>
      <c r="E8080" s="131" t="s">
        <v>36</v>
      </c>
      <c r="F8080" s="133" t="s">
        <v>24</v>
      </c>
      <c r="G8080" s="134" t="n">
        <f aca="false">LEN('Saisie programme'!$G$297)+SUMIFS('Vols additionnels'!$E$7:$E$66,'Vols additionnels'!$C$7:$C$66,$E8080,'Vols additionnels'!$D$7:$D$66,$F8080,'Vols additionnels'!$B$7:$B$66,$D8080)</f>
        <v>1</v>
      </c>
      <c r="H8080" s="135" t="n">
        <f aca="false">$G8080*'Analyse capacite'!$F$9</f>
        <v>174</v>
      </c>
      <c r="I8080" s="135" t="n">
        <f aca="false">$G8080*'Analyse capacite'!$C$9</f>
        <v>0</v>
      </c>
      <c r="J8080" s="135" t="n">
        <f aca="false">$G8080*'Analyse capacite'!$D$9</f>
        <v>12</v>
      </c>
      <c r="K8080" s="135" t="n">
        <f aca="false">$G8080*'Analyse capacite'!$E$9</f>
        <v>162</v>
      </c>
    </row>
    <row r="8081" customFormat="false" ht="15" hidden="false" customHeight="false" outlineLevel="0" collapsed="false">
      <c r="B8081" s="130" t="n">
        <v>2027</v>
      </c>
      <c r="C8081" s="131" t="s">
        <v>253</v>
      </c>
      <c r="D8081" s="132" t="n">
        <v>46702</v>
      </c>
      <c r="E8081" s="131" t="s">
        <v>40</v>
      </c>
      <c r="F8081" s="133" t="s">
        <v>11</v>
      </c>
      <c r="G8081" s="134" t="n">
        <f aca="false">LEN('Saisie programme'!$G$298)+SUMIFS('Vols additionnels'!$E$7:$E$66,'Vols additionnels'!$C$7:$C$66,$E8081,'Vols additionnels'!$D$7:$D$66,$F8081,'Vols additionnels'!$B$7:$B$66,$D8081)</f>
        <v>0</v>
      </c>
      <c r="H8081" s="135" t="n">
        <f aca="false">$G8081*'Analyse capacite'!$F$7</f>
        <v>0</v>
      </c>
      <c r="I8081" s="135" t="n">
        <f aca="false">$G8081*'Analyse capacite'!$C$7</f>
        <v>0</v>
      </c>
      <c r="J8081" s="135" t="n">
        <f aca="false">$G8081*'Analyse capacite'!$D$7</f>
        <v>0</v>
      </c>
      <c r="K8081" s="135" t="n">
        <f aca="false">$G8081*'Analyse capacite'!$E$7</f>
        <v>0</v>
      </c>
    </row>
    <row r="8082" customFormat="false" ht="15" hidden="false" customHeight="false" outlineLevel="0" collapsed="false">
      <c r="B8082" s="130" t="n">
        <v>2027</v>
      </c>
      <c r="C8082" s="131" t="s">
        <v>253</v>
      </c>
      <c r="D8082" s="132" t="n">
        <v>46702</v>
      </c>
      <c r="E8082" s="131" t="s">
        <v>40</v>
      </c>
      <c r="F8082" s="133" t="s">
        <v>19</v>
      </c>
      <c r="G8082" s="134" t="n">
        <f aca="false">LEN('Saisie programme'!$G$299)+SUMIFS('Vols additionnels'!$E$7:$E$66,'Vols additionnels'!$C$7:$C$66,$E8082,'Vols additionnels'!$D$7:$D$66,$F8082,'Vols additionnels'!$B$7:$B$66,$D8082)</f>
        <v>0</v>
      </c>
      <c r="H8082" s="135" t="n">
        <f aca="false">$G8082*'Analyse capacite'!$F$8</f>
        <v>0</v>
      </c>
      <c r="I8082" s="135" t="n">
        <f aca="false">$G8082*'Analyse capacite'!$C$8</f>
        <v>0</v>
      </c>
      <c r="J8082" s="135" t="n">
        <f aca="false">$G8082*'Analyse capacite'!$D$8</f>
        <v>0</v>
      </c>
      <c r="K8082" s="135" t="n">
        <f aca="false">$G8082*'Analyse capacite'!$E$8</f>
        <v>0</v>
      </c>
    </row>
    <row r="8083" customFormat="false" ht="15" hidden="false" customHeight="false" outlineLevel="0" collapsed="false">
      <c r="B8083" s="130" t="n">
        <v>2027</v>
      </c>
      <c r="C8083" s="131" t="s">
        <v>253</v>
      </c>
      <c r="D8083" s="132" t="n">
        <v>46702</v>
      </c>
      <c r="E8083" s="131" t="s">
        <v>40</v>
      </c>
      <c r="F8083" s="133" t="s">
        <v>24</v>
      </c>
      <c r="G8083" s="134" t="n">
        <f aca="false">LEN('Saisie programme'!$G$300)+SUMIFS('Vols additionnels'!$E$7:$E$66,'Vols additionnels'!$C$7:$C$66,$E8083,'Vols additionnels'!$D$7:$D$66,$F8083,'Vols additionnels'!$B$7:$B$66,$D8083)</f>
        <v>0</v>
      </c>
      <c r="H8083" s="135" t="n">
        <f aca="false">$G8083*'Analyse capacite'!$F$9</f>
        <v>0</v>
      </c>
      <c r="I8083" s="135" t="n">
        <f aca="false">$G8083*'Analyse capacite'!$C$9</f>
        <v>0</v>
      </c>
      <c r="J8083" s="135" t="n">
        <f aca="false">$G8083*'Analyse capacite'!$D$9</f>
        <v>0</v>
      </c>
      <c r="K8083" s="135" t="n">
        <f aca="false">$G8083*'Analyse capacite'!$E$9</f>
        <v>0</v>
      </c>
    </row>
    <row r="8084" customFormat="false" ht="15" hidden="false" customHeight="false" outlineLevel="0" collapsed="false">
      <c r="B8084" s="130" t="n">
        <v>2027</v>
      </c>
      <c r="C8084" s="131" t="s">
        <v>253</v>
      </c>
      <c r="D8084" s="132" t="n">
        <v>46702</v>
      </c>
      <c r="E8084" s="131" t="s">
        <v>14</v>
      </c>
      <c r="F8084" s="133" t="s">
        <v>11</v>
      </c>
      <c r="G8084" s="134" t="n">
        <f aca="false">LEN('Saisie programme'!$G$301)+SUMIFS('Vols additionnels'!$E$7:$E$66,'Vols additionnels'!$C$7:$C$66,$E8084,'Vols additionnels'!$D$7:$D$66,$F8084,'Vols additionnels'!$B$7:$B$66,$D8084)</f>
        <v>0</v>
      </c>
      <c r="H8084" s="135" t="n">
        <f aca="false">$G8084*'Analyse capacite'!$F$7</f>
        <v>0</v>
      </c>
      <c r="I8084" s="135" t="n">
        <f aca="false">$G8084*'Analyse capacite'!$C$7</f>
        <v>0</v>
      </c>
      <c r="J8084" s="135" t="n">
        <f aca="false">$G8084*'Analyse capacite'!$D$7</f>
        <v>0</v>
      </c>
      <c r="K8084" s="135" t="n">
        <f aca="false">$G8084*'Analyse capacite'!$E$7</f>
        <v>0</v>
      </c>
    </row>
    <row r="8085" customFormat="false" ht="15" hidden="false" customHeight="false" outlineLevel="0" collapsed="false">
      <c r="B8085" s="130" t="n">
        <v>2027</v>
      </c>
      <c r="C8085" s="131" t="s">
        <v>253</v>
      </c>
      <c r="D8085" s="132" t="n">
        <v>46702</v>
      </c>
      <c r="E8085" s="131" t="s">
        <v>14</v>
      </c>
      <c r="F8085" s="133" t="s">
        <v>19</v>
      </c>
      <c r="G8085" s="134" t="n">
        <f aca="false">LEN('Saisie programme'!$G$302)+SUMIFS('Vols additionnels'!$E$7:$E$66,'Vols additionnels'!$C$7:$C$66,$E8085,'Vols additionnels'!$D$7:$D$66,$F8085,'Vols additionnels'!$B$7:$B$66,$D8085)</f>
        <v>0</v>
      </c>
      <c r="H8085" s="135" t="n">
        <f aca="false">$G8085*'Analyse capacite'!$F$8</f>
        <v>0</v>
      </c>
      <c r="I8085" s="135" t="n">
        <f aca="false">$G8085*'Analyse capacite'!$C$8</f>
        <v>0</v>
      </c>
      <c r="J8085" s="135" t="n">
        <f aca="false">$G8085*'Analyse capacite'!$D$8</f>
        <v>0</v>
      </c>
      <c r="K8085" s="135" t="n">
        <f aca="false">$G8085*'Analyse capacite'!$E$8</f>
        <v>0</v>
      </c>
    </row>
    <row r="8086" customFormat="false" ht="15" hidden="false" customHeight="false" outlineLevel="0" collapsed="false">
      <c r="B8086" s="130" t="n">
        <v>2027</v>
      </c>
      <c r="C8086" s="131" t="s">
        <v>253</v>
      </c>
      <c r="D8086" s="132" t="n">
        <v>46702</v>
      </c>
      <c r="E8086" s="131" t="s">
        <v>14</v>
      </c>
      <c r="F8086" s="133" t="s">
        <v>24</v>
      </c>
      <c r="G8086" s="134" t="n">
        <f aca="false">LEN('Saisie programme'!$G$303)+SUMIFS('Vols additionnels'!$E$7:$E$66,'Vols additionnels'!$C$7:$C$66,$E8086,'Vols additionnels'!$D$7:$D$66,$F8086,'Vols additionnels'!$B$7:$B$66,$D8086)</f>
        <v>1</v>
      </c>
      <c r="H8086" s="135" t="n">
        <f aca="false">$G8086*'Analyse capacite'!$F$9</f>
        <v>174</v>
      </c>
      <c r="I8086" s="135" t="n">
        <f aca="false">$G8086*'Analyse capacite'!$C$9</f>
        <v>0</v>
      </c>
      <c r="J8086" s="135" t="n">
        <f aca="false">$G8086*'Analyse capacite'!$D$9</f>
        <v>12</v>
      </c>
      <c r="K8086" s="135" t="n">
        <f aca="false">$G8086*'Analyse capacite'!$E$9</f>
        <v>162</v>
      </c>
    </row>
    <row r="8087" customFormat="false" ht="15" hidden="false" customHeight="false" outlineLevel="0" collapsed="false">
      <c r="B8087" s="130" t="n">
        <v>2027</v>
      </c>
      <c r="C8087" s="131" t="s">
        <v>253</v>
      </c>
      <c r="D8087" s="132" t="n">
        <v>46702</v>
      </c>
      <c r="E8087" s="131" t="s">
        <v>46</v>
      </c>
      <c r="F8087" s="133" t="s">
        <v>11</v>
      </c>
      <c r="G8087" s="134" t="n">
        <f aca="false">LEN('Saisie programme'!$G$304)+SUMIFS('Vols additionnels'!$E$7:$E$66,'Vols additionnels'!$C$7:$C$66,$E8087,'Vols additionnels'!$D$7:$D$66,$F8087,'Vols additionnels'!$B$7:$B$66,$D8087)</f>
        <v>0</v>
      </c>
      <c r="H8087" s="135" t="n">
        <f aca="false">$G8087*'Analyse capacite'!$F$7</f>
        <v>0</v>
      </c>
      <c r="I8087" s="135" t="n">
        <f aca="false">$G8087*'Analyse capacite'!$C$7</f>
        <v>0</v>
      </c>
      <c r="J8087" s="135" t="n">
        <f aca="false">$G8087*'Analyse capacite'!$D$7</f>
        <v>0</v>
      </c>
      <c r="K8087" s="135" t="n">
        <f aca="false">$G8087*'Analyse capacite'!$E$7</f>
        <v>0</v>
      </c>
    </row>
    <row r="8088" customFormat="false" ht="15" hidden="false" customHeight="false" outlineLevel="0" collapsed="false">
      <c r="B8088" s="130" t="n">
        <v>2027</v>
      </c>
      <c r="C8088" s="131" t="s">
        <v>253</v>
      </c>
      <c r="D8088" s="132" t="n">
        <v>46702</v>
      </c>
      <c r="E8088" s="131" t="s">
        <v>46</v>
      </c>
      <c r="F8088" s="133" t="s">
        <v>19</v>
      </c>
      <c r="G8088" s="134" t="n">
        <f aca="false">LEN('Saisie programme'!$G$305)+SUMIFS('Vols additionnels'!$E$7:$E$66,'Vols additionnels'!$C$7:$C$66,$E8088,'Vols additionnels'!$D$7:$D$66,$F8088,'Vols additionnels'!$B$7:$B$66,$D8088)</f>
        <v>0</v>
      </c>
      <c r="H8088" s="135" t="n">
        <f aca="false">$G8088*'Analyse capacite'!$F$8</f>
        <v>0</v>
      </c>
      <c r="I8088" s="135" t="n">
        <f aca="false">$G8088*'Analyse capacite'!$C$8</f>
        <v>0</v>
      </c>
      <c r="J8088" s="135" t="n">
        <f aca="false">$G8088*'Analyse capacite'!$D$8</f>
        <v>0</v>
      </c>
      <c r="K8088" s="135" t="n">
        <f aca="false">$G8088*'Analyse capacite'!$E$8</f>
        <v>0</v>
      </c>
    </row>
    <row r="8089" customFormat="false" ht="15" hidden="false" customHeight="false" outlineLevel="0" collapsed="false">
      <c r="B8089" s="130" t="n">
        <v>2027</v>
      </c>
      <c r="C8089" s="131" t="s">
        <v>253</v>
      </c>
      <c r="D8089" s="132" t="n">
        <v>46702</v>
      </c>
      <c r="E8089" s="131" t="s">
        <v>46</v>
      </c>
      <c r="F8089" s="133" t="s">
        <v>24</v>
      </c>
      <c r="G8089" s="134" t="n">
        <f aca="false">LEN('Saisie programme'!$G$306)+SUMIFS('Vols additionnels'!$E$7:$E$66,'Vols additionnels'!$C$7:$C$66,$E8089,'Vols additionnels'!$D$7:$D$66,$F8089,'Vols additionnels'!$B$7:$B$66,$D8089)</f>
        <v>1</v>
      </c>
      <c r="H8089" s="135" t="n">
        <f aca="false">$G8089*'Analyse capacite'!$F$9</f>
        <v>174</v>
      </c>
      <c r="I8089" s="135" t="n">
        <f aca="false">$G8089*'Analyse capacite'!$C$9</f>
        <v>0</v>
      </c>
      <c r="J8089" s="135" t="n">
        <f aca="false">$G8089*'Analyse capacite'!$D$9</f>
        <v>12</v>
      </c>
      <c r="K8089" s="135" t="n">
        <f aca="false">$G8089*'Analyse capacite'!$E$9</f>
        <v>162</v>
      </c>
    </row>
    <row r="8090" customFormat="false" ht="15" hidden="false" customHeight="false" outlineLevel="0" collapsed="false">
      <c r="B8090" s="130" t="n">
        <v>2027</v>
      </c>
      <c r="C8090" s="131" t="s">
        <v>253</v>
      </c>
      <c r="D8090" s="132" t="n">
        <v>46702</v>
      </c>
      <c r="E8090" s="131" t="s">
        <v>49</v>
      </c>
      <c r="F8090" s="133" t="s">
        <v>11</v>
      </c>
      <c r="G8090" s="134" t="n">
        <f aca="false">LEN('Saisie programme'!$G$307)+SUMIFS('Vols additionnels'!$E$7:$E$66,'Vols additionnels'!$C$7:$C$66,$E8090,'Vols additionnels'!$D$7:$D$66,$F8090,'Vols additionnels'!$B$7:$B$66,$D8090)</f>
        <v>0</v>
      </c>
      <c r="H8090" s="135" t="n">
        <f aca="false">$G8090*'Analyse capacite'!$F$7</f>
        <v>0</v>
      </c>
      <c r="I8090" s="135" t="n">
        <f aca="false">$G8090*'Analyse capacite'!$C$7</f>
        <v>0</v>
      </c>
      <c r="J8090" s="135" t="n">
        <f aca="false">$G8090*'Analyse capacite'!$D$7</f>
        <v>0</v>
      </c>
      <c r="K8090" s="135" t="n">
        <f aca="false">$G8090*'Analyse capacite'!$E$7</f>
        <v>0</v>
      </c>
    </row>
    <row r="8091" customFormat="false" ht="15" hidden="false" customHeight="false" outlineLevel="0" collapsed="false">
      <c r="B8091" s="130" t="n">
        <v>2027</v>
      </c>
      <c r="C8091" s="131" t="s">
        <v>253</v>
      </c>
      <c r="D8091" s="132" t="n">
        <v>46702</v>
      </c>
      <c r="E8091" s="131" t="s">
        <v>49</v>
      </c>
      <c r="F8091" s="133" t="s">
        <v>19</v>
      </c>
      <c r="G8091" s="134" t="n">
        <f aca="false">LEN('Saisie programme'!$G$308)+SUMIFS('Vols additionnels'!$E$7:$E$66,'Vols additionnels'!$C$7:$C$66,$E8091,'Vols additionnels'!$D$7:$D$66,$F8091,'Vols additionnels'!$B$7:$B$66,$D8091)</f>
        <v>0</v>
      </c>
      <c r="H8091" s="135" t="n">
        <f aca="false">$G8091*'Analyse capacite'!$F$8</f>
        <v>0</v>
      </c>
      <c r="I8091" s="135" t="n">
        <f aca="false">$G8091*'Analyse capacite'!$C$8</f>
        <v>0</v>
      </c>
      <c r="J8091" s="135" t="n">
        <f aca="false">$G8091*'Analyse capacite'!$D$8</f>
        <v>0</v>
      </c>
      <c r="K8091" s="135" t="n">
        <f aca="false">$G8091*'Analyse capacite'!$E$8</f>
        <v>0</v>
      </c>
    </row>
    <row r="8092" customFormat="false" ht="15" hidden="false" customHeight="false" outlineLevel="0" collapsed="false">
      <c r="B8092" s="130" t="n">
        <v>2027</v>
      </c>
      <c r="C8092" s="131" t="s">
        <v>253</v>
      </c>
      <c r="D8092" s="132" t="n">
        <v>46702</v>
      </c>
      <c r="E8092" s="131" t="s">
        <v>49</v>
      </c>
      <c r="F8092" s="133" t="s">
        <v>24</v>
      </c>
      <c r="G8092" s="134" t="n">
        <f aca="false">LEN('Saisie programme'!$G$309)+SUMIFS('Vols additionnels'!$E$7:$E$66,'Vols additionnels'!$C$7:$C$66,$E8092,'Vols additionnels'!$D$7:$D$66,$F8092,'Vols additionnels'!$B$7:$B$66,$D8092)</f>
        <v>0</v>
      </c>
      <c r="H8092" s="135" t="n">
        <f aca="false">$G8092*'Analyse capacite'!$F$9</f>
        <v>0</v>
      </c>
      <c r="I8092" s="135" t="n">
        <f aca="false">$G8092*'Analyse capacite'!$C$9</f>
        <v>0</v>
      </c>
      <c r="J8092" s="135" t="n">
        <f aca="false">$G8092*'Analyse capacite'!$D$9</f>
        <v>0</v>
      </c>
      <c r="K8092" s="135" t="n">
        <f aca="false">$G8092*'Analyse capacite'!$E$9</f>
        <v>0</v>
      </c>
    </row>
    <row r="8093" customFormat="false" ht="15" hidden="false" customHeight="false" outlineLevel="0" collapsed="false">
      <c r="B8093" s="130" t="n">
        <v>2027</v>
      </c>
      <c r="C8093" s="131" t="s">
        <v>253</v>
      </c>
      <c r="D8093" s="132" t="n">
        <v>46702</v>
      </c>
      <c r="E8093" s="131" t="s">
        <v>53</v>
      </c>
      <c r="F8093" s="133" t="s">
        <v>11</v>
      </c>
      <c r="G8093" s="134" t="n">
        <f aca="false">LEN('Saisie programme'!$G$310)+SUMIFS('Vols additionnels'!$E$7:$E$66,'Vols additionnels'!$C$7:$C$66,$E8093,'Vols additionnels'!$D$7:$D$66,$F8093,'Vols additionnels'!$B$7:$B$66,$D8093)</f>
        <v>0</v>
      </c>
      <c r="H8093" s="135" t="n">
        <f aca="false">$G8093*'Analyse capacite'!$F$7</f>
        <v>0</v>
      </c>
      <c r="I8093" s="135" t="n">
        <f aca="false">$G8093*'Analyse capacite'!$C$7</f>
        <v>0</v>
      </c>
      <c r="J8093" s="135" t="n">
        <f aca="false">$G8093*'Analyse capacite'!$D$7</f>
        <v>0</v>
      </c>
      <c r="K8093" s="135" t="n">
        <f aca="false">$G8093*'Analyse capacite'!$E$7</f>
        <v>0</v>
      </c>
    </row>
    <row r="8094" customFormat="false" ht="15" hidden="false" customHeight="false" outlineLevel="0" collapsed="false">
      <c r="B8094" s="130" t="n">
        <v>2027</v>
      </c>
      <c r="C8094" s="131" t="s">
        <v>253</v>
      </c>
      <c r="D8094" s="132" t="n">
        <v>46702</v>
      </c>
      <c r="E8094" s="131" t="s">
        <v>53</v>
      </c>
      <c r="F8094" s="133" t="s">
        <v>19</v>
      </c>
      <c r="G8094" s="134" t="n">
        <f aca="false">LEN('Saisie programme'!$G$311)+SUMIFS('Vols additionnels'!$E$7:$E$66,'Vols additionnels'!$C$7:$C$66,$E8094,'Vols additionnels'!$D$7:$D$66,$F8094,'Vols additionnels'!$B$7:$B$66,$D8094)</f>
        <v>1</v>
      </c>
      <c r="H8094" s="135" t="n">
        <f aca="false">$G8094*'Analyse capacite'!$F$8</f>
        <v>262</v>
      </c>
      <c r="I8094" s="135" t="n">
        <f aca="false">$G8094*'Analyse capacite'!$C$8</f>
        <v>18</v>
      </c>
      <c r="J8094" s="135" t="n">
        <f aca="false">$G8094*'Analyse capacite'!$D$8</f>
        <v>0</v>
      </c>
      <c r="K8094" s="135" t="n">
        <f aca="false">$G8094*'Analyse capacite'!$E$8</f>
        <v>244</v>
      </c>
    </row>
    <row r="8095" customFormat="false" ht="15" hidden="false" customHeight="false" outlineLevel="0" collapsed="false">
      <c r="B8095" s="130" t="n">
        <v>2027</v>
      </c>
      <c r="C8095" s="131" t="s">
        <v>253</v>
      </c>
      <c r="D8095" s="132" t="n">
        <v>46702</v>
      </c>
      <c r="E8095" s="131" t="s">
        <v>53</v>
      </c>
      <c r="F8095" s="133" t="s">
        <v>24</v>
      </c>
      <c r="G8095" s="134" t="n">
        <f aca="false">LEN('Saisie programme'!$G$312)+SUMIFS('Vols additionnels'!$E$7:$E$66,'Vols additionnels'!$C$7:$C$66,$E8095,'Vols additionnels'!$D$7:$D$66,$F8095,'Vols additionnels'!$B$7:$B$66,$D8095)</f>
        <v>0</v>
      </c>
      <c r="H8095" s="135" t="n">
        <f aca="false">$G8095*'Analyse capacite'!$F$9</f>
        <v>0</v>
      </c>
      <c r="I8095" s="135" t="n">
        <f aca="false">$G8095*'Analyse capacite'!$C$9</f>
        <v>0</v>
      </c>
      <c r="J8095" s="135" t="n">
        <f aca="false">$G8095*'Analyse capacite'!$D$9</f>
        <v>0</v>
      </c>
      <c r="K8095" s="135" t="n">
        <f aca="false">$G8095*'Analyse capacite'!$E$9</f>
        <v>0</v>
      </c>
    </row>
    <row r="8096" customFormat="false" ht="15" hidden="false" customHeight="false" outlineLevel="0" collapsed="false">
      <c r="B8096" s="130" t="n">
        <v>2027</v>
      </c>
      <c r="C8096" s="131" t="s">
        <v>253</v>
      </c>
      <c r="D8096" s="132" t="n">
        <v>46702</v>
      </c>
      <c r="E8096" s="131" t="s">
        <v>56</v>
      </c>
      <c r="F8096" s="133" t="s">
        <v>11</v>
      </c>
      <c r="G8096" s="134" t="n">
        <f aca="false">LEN('Saisie programme'!$G$313)+SUMIFS('Vols additionnels'!$E$7:$E$66,'Vols additionnels'!$C$7:$C$66,$E8096,'Vols additionnels'!$D$7:$D$66,$F8096,'Vols additionnels'!$B$7:$B$66,$D8096)</f>
        <v>0</v>
      </c>
      <c r="H8096" s="135" t="n">
        <f aca="false">$G8096*'Analyse capacite'!$F$7</f>
        <v>0</v>
      </c>
      <c r="I8096" s="135" t="n">
        <f aca="false">$G8096*'Analyse capacite'!$C$7</f>
        <v>0</v>
      </c>
      <c r="J8096" s="135" t="n">
        <f aca="false">$G8096*'Analyse capacite'!$D$7</f>
        <v>0</v>
      </c>
      <c r="K8096" s="135" t="n">
        <f aca="false">$G8096*'Analyse capacite'!$E$7</f>
        <v>0</v>
      </c>
    </row>
    <row r="8097" customFormat="false" ht="15" hidden="false" customHeight="false" outlineLevel="0" collapsed="false">
      <c r="B8097" s="130" t="n">
        <v>2027</v>
      </c>
      <c r="C8097" s="131" t="s">
        <v>253</v>
      </c>
      <c r="D8097" s="132" t="n">
        <v>46702</v>
      </c>
      <c r="E8097" s="131" t="s">
        <v>56</v>
      </c>
      <c r="F8097" s="133" t="s">
        <v>19</v>
      </c>
      <c r="G8097" s="134" t="n">
        <f aca="false">LEN('Saisie programme'!$G$314)+SUMIFS('Vols additionnels'!$E$7:$E$66,'Vols additionnels'!$C$7:$C$66,$E8097,'Vols additionnels'!$D$7:$D$66,$F8097,'Vols additionnels'!$B$7:$B$66,$D8097)</f>
        <v>0</v>
      </c>
      <c r="H8097" s="135" t="n">
        <f aca="false">$G8097*'Analyse capacite'!$F$8</f>
        <v>0</v>
      </c>
      <c r="I8097" s="135" t="n">
        <f aca="false">$G8097*'Analyse capacite'!$C$8</f>
        <v>0</v>
      </c>
      <c r="J8097" s="135" t="n">
        <f aca="false">$G8097*'Analyse capacite'!$D$8</f>
        <v>0</v>
      </c>
      <c r="K8097" s="135" t="n">
        <f aca="false">$G8097*'Analyse capacite'!$E$8</f>
        <v>0</v>
      </c>
    </row>
    <row r="8098" customFormat="false" ht="15" hidden="false" customHeight="false" outlineLevel="0" collapsed="false">
      <c r="B8098" s="130" t="n">
        <v>2027</v>
      </c>
      <c r="C8098" s="131" t="s">
        <v>253</v>
      </c>
      <c r="D8098" s="132" t="n">
        <v>46702</v>
      </c>
      <c r="E8098" s="131" t="s">
        <v>56</v>
      </c>
      <c r="F8098" s="133" t="s">
        <v>24</v>
      </c>
      <c r="G8098" s="134" t="n">
        <f aca="false">LEN('Saisie programme'!$G$315)+SUMIFS('Vols additionnels'!$E$7:$E$66,'Vols additionnels'!$C$7:$C$66,$E8098,'Vols additionnels'!$D$7:$D$66,$F8098,'Vols additionnels'!$B$7:$B$66,$D8098)</f>
        <v>0</v>
      </c>
      <c r="H8098" s="135" t="n">
        <f aca="false">$G8098*'Analyse capacite'!$F$9</f>
        <v>0</v>
      </c>
      <c r="I8098" s="135" t="n">
        <f aca="false">$G8098*'Analyse capacite'!$C$9</f>
        <v>0</v>
      </c>
      <c r="J8098" s="135" t="n">
        <f aca="false">$G8098*'Analyse capacite'!$D$9</f>
        <v>0</v>
      </c>
      <c r="K8098" s="135" t="n">
        <f aca="false">$G8098*'Analyse capacite'!$E$9</f>
        <v>0</v>
      </c>
    </row>
    <row r="8099" customFormat="false" ht="15" hidden="false" customHeight="false" outlineLevel="0" collapsed="false">
      <c r="B8099" s="130" t="n">
        <v>2027</v>
      </c>
      <c r="C8099" s="131" t="s">
        <v>253</v>
      </c>
      <c r="D8099" s="132" t="n">
        <v>46702</v>
      </c>
      <c r="E8099" s="131" t="s">
        <v>59</v>
      </c>
      <c r="F8099" s="133" t="s">
        <v>11</v>
      </c>
      <c r="G8099" s="134" t="n">
        <f aca="false">LEN('Saisie programme'!$G$316)+SUMIFS('Vols additionnels'!$E$7:$E$66,'Vols additionnels'!$C$7:$C$66,$E8099,'Vols additionnels'!$D$7:$D$66,$F8099,'Vols additionnels'!$B$7:$B$66,$D8099)</f>
        <v>0</v>
      </c>
      <c r="H8099" s="135" t="n">
        <f aca="false">$G8099*'Analyse capacite'!$F$7</f>
        <v>0</v>
      </c>
      <c r="I8099" s="135" t="n">
        <f aca="false">$G8099*'Analyse capacite'!$C$7</f>
        <v>0</v>
      </c>
      <c r="J8099" s="135" t="n">
        <f aca="false">$G8099*'Analyse capacite'!$D$7</f>
        <v>0</v>
      </c>
      <c r="K8099" s="135" t="n">
        <f aca="false">$G8099*'Analyse capacite'!$E$7</f>
        <v>0</v>
      </c>
    </row>
    <row r="8100" customFormat="false" ht="15" hidden="false" customHeight="false" outlineLevel="0" collapsed="false">
      <c r="B8100" s="130" t="n">
        <v>2027</v>
      </c>
      <c r="C8100" s="131" t="s">
        <v>253</v>
      </c>
      <c r="D8100" s="132" t="n">
        <v>46702</v>
      </c>
      <c r="E8100" s="131" t="s">
        <v>59</v>
      </c>
      <c r="F8100" s="133" t="s">
        <v>19</v>
      </c>
      <c r="G8100" s="134" t="n">
        <f aca="false">LEN('Saisie programme'!$G$317)+SUMIFS('Vols additionnels'!$E$7:$E$66,'Vols additionnels'!$C$7:$C$66,$E8100,'Vols additionnels'!$D$7:$D$66,$F8100,'Vols additionnels'!$B$7:$B$66,$D8100)</f>
        <v>0</v>
      </c>
      <c r="H8100" s="135" t="n">
        <f aca="false">$G8100*'Analyse capacite'!$F$8</f>
        <v>0</v>
      </c>
      <c r="I8100" s="135" t="n">
        <f aca="false">$G8100*'Analyse capacite'!$C$8</f>
        <v>0</v>
      </c>
      <c r="J8100" s="135" t="n">
        <f aca="false">$G8100*'Analyse capacite'!$D$8</f>
        <v>0</v>
      </c>
      <c r="K8100" s="135" t="n">
        <f aca="false">$G8100*'Analyse capacite'!$E$8</f>
        <v>0</v>
      </c>
    </row>
    <row r="8101" customFormat="false" ht="15" hidden="false" customHeight="false" outlineLevel="0" collapsed="false">
      <c r="B8101" s="130" t="n">
        <v>2027</v>
      </c>
      <c r="C8101" s="131" t="s">
        <v>253</v>
      </c>
      <c r="D8101" s="132" t="n">
        <v>46702</v>
      </c>
      <c r="E8101" s="131" t="s">
        <v>59</v>
      </c>
      <c r="F8101" s="133" t="s">
        <v>24</v>
      </c>
      <c r="G8101" s="134" t="n">
        <f aca="false">LEN('Saisie programme'!$G$318)+SUMIFS('Vols additionnels'!$E$7:$E$66,'Vols additionnels'!$C$7:$C$66,$E8101,'Vols additionnels'!$D$7:$D$66,$F8101,'Vols additionnels'!$B$7:$B$66,$D8101)</f>
        <v>2</v>
      </c>
      <c r="H8101" s="135" t="n">
        <f aca="false">$G8101*'Analyse capacite'!$F$9</f>
        <v>348</v>
      </c>
      <c r="I8101" s="135" t="n">
        <f aca="false">$G8101*'Analyse capacite'!$C$9</f>
        <v>0</v>
      </c>
      <c r="J8101" s="135" t="n">
        <f aca="false">$G8101*'Analyse capacite'!$D$9</f>
        <v>24</v>
      </c>
      <c r="K8101" s="135" t="n">
        <f aca="false">$G8101*'Analyse capacite'!$E$9</f>
        <v>324</v>
      </c>
    </row>
    <row r="8102" customFormat="false" ht="15" hidden="false" customHeight="false" outlineLevel="0" collapsed="false">
      <c r="B8102" s="130" t="n">
        <v>2027</v>
      </c>
      <c r="C8102" s="131" t="s">
        <v>253</v>
      </c>
      <c r="D8102" s="132" t="n">
        <v>46702</v>
      </c>
      <c r="E8102" s="131" t="s">
        <v>62</v>
      </c>
      <c r="F8102" s="133" t="s">
        <v>11</v>
      </c>
      <c r="G8102" s="134" t="n">
        <f aca="false">LEN('Saisie programme'!$G$319)+SUMIFS('Vols additionnels'!$E$7:$E$66,'Vols additionnels'!$C$7:$C$66,$E8102,'Vols additionnels'!$D$7:$D$66,$F8102,'Vols additionnels'!$B$7:$B$66,$D8102)</f>
        <v>0</v>
      </c>
      <c r="H8102" s="135" t="n">
        <f aca="false">$G8102*'Analyse capacite'!$F$7</f>
        <v>0</v>
      </c>
      <c r="I8102" s="135" t="n">
        <f aca="false">$G8102*'Analyse capacite'!$C$7</f>
        <v>0</v>
      </c>
      <c r="J8102" s="135" t="n">
        <f aca="false">$G8102*'Analyse capacite'!$D$7</f>
        <v>0</v>
      </c>
      <c r="K8102" s="135" t="n">
        <f aca="false">$G8102*'Analyse capacite'!$E$7</f>
        <v>0</v>
      </c>
    </row>
    <row r="8103" customFormat="false" ht="15" hidden="false" customHeight="false" outlineLevel="0" collapsed="false">
      <c r="B8103" s="130" t="n">
        <v>2027</v>
      </c>
      <c r="C8103" s="131" t="s">
        <v>253</v>
      </c>
      <c r="D8103" s="132" t="n">
        <v>46702</v>
      </c>
      <c r="E8103" s="131" t="s">
        <v>62</v>
      </c>
      <c r="F8103" s="133" t="s">
        <v>19</v>
      </c>
      <c r="G8103" s="134" t="n">
        <f aca="false">LEN('Saisie programme'!$G$320)+SUMIFS('Vols additionnels'!$E$7:$E$66,'Vols additionnels'!$C$7:$C$66,$E8103,'Vols additionnels'!$D$7:$D$66,$F8103,'Vols additionnels'!$B$7:$B$66,$D8103)</f>
        <v>0</v>
      </c>
      <c r="H8103" s="135" t="n">
        <f aca="false">$G8103*'Analyse capacite'!$F$8</f>
        <v>0</v>
      </c>
      <c r="I8103" s="135" t="n">
        <f aca="false">$G8103*'Analyse capacite'!$C$8</f>
        <v>0</v>
      </c>
      <c r="J8103" s="135" t="n">
        <f aca="false">$G8103*'Analyse capacite'!$D$8</f>
        <v>0</v>
      </c>
      <c r="K8103" s="135" t="n">
        <f aca="false">$G8103*'Analyse capacite'!$E$8</f>
        <v>0</v>
      </c>
    </row>
    <row r="8104" customFormat="false" ht="15" hidden="false" customHeight="false" outlineLevel="0" collapsed="false">
      <c r="B8104" s="130" t="n">
        <v>2027</v>
      </c>
      <c r="C8104" s="131" t="s">
        <v>253</v>
      </c>
      <c r="D8104" s="132" t="n">
        <v>46702</v>
      </c>
      <c r="E8104" s="131" t="s">
        <v>62</v>
      </c>
      <c r="F8104" s="133" t="s">
        <v>24</v>
      </c>
      <c r="G8104" s="134" t="n">
        <f aca="false">LEN('Saisie programme'!$G$321)+SUMIFS('Vols additionnels'!$E$7:$E$66,'Vols additionnels'!$C$7:$C$66,$E8104,'Vols additionnels'!$D$7:$D$66,$F8104,'Vols additionnels'!$B$7:$B$66,$D8104)</f>
        <v>0</v>
      </c>
      <c r="H8104" s="135" t="n">
        <f aca="false">$G8104*'Analyse capacite'!$F$9</f>
        <v>0</v>
      </c>
      <c r="I8104" s="135" t="n">
        <f aca="false">$G8104*'Analyse capacite'!$C$9</f>
        <v>0</v>
      </c>
      <c r="J8104" s="135" t="n">
        <f aca="false">$G8104*'Analyse capacite'!$D$9</f>
        <v>0</v>
      </c>
      <c r="K8104" s="135" t="n">
        <f aca="false">$G8104*'Analyse capacite'!$E$9</f>
        <v>0</v>
      </c>
    </row>
    <row r="8105" customFormat="false" ht="15" hidden="false" customHeight="false" outlineLevel="0" collapsed="false">
      <c r="B8105" s="130" t="n">
        <v>2027</v>
      </c>
      <c r="C8105" s="131" t="s">
        <v>253</v>
      </c>
      <c r="D8105" s="132" t="n">
        <v>46703</v>
      </c>
      <c r="E8105" s="131" t="s">
        <v>12</v>
      </c>
      <c r="F8105" s="133" t="s">
        <v>11</v>
      </c>
      <c r="G8105" s="134" t="n">
        <f aca="false">LEN('Saisie programme'!$H$286)+SUMIFS('Vols additionnels'!$E$7:$E$66,'Vols additionnels'!$C$7:$C$66,$E8105,'Vols additionnels'!$D$7:$D$66,$F8105,'Vols additionnels'!$B$7:$B$66,$D8105)</f>
        <v>1</v>
      </c>
      <c r="H8105" s="135" t="n">
        <f aca="false">$G8105*'Analyse capacite'!$F$7</f>
        <v>438</v>
      </c>
      <c r="I8105" s="135" t="n">
        <f aca="false">$G8105*'Analyse capacite'!$C$7</f>
        <v>14</v>
      </c>
      <c r="J8105" s="135" t="n">
        <f aca="false">$G8105*'Analyse capacite'!$D$7</f>
        <v>40</v>
      </c>
      <c r="K8105" s="135" t="n">
        <f aca="false">$G8105*'Analyse capacite'!$E$7</f>
        <v>384</v>
      </c>
    </row>
    <row r="8106" customFormat="false" ht="15" hidden="false" customHeight="false" outlineLevel="0" collapsed="false">
      <c r="B8106" s="130" t="n">
        <v>2027</v>
      </c>
      <c r="C8106" s="131" t="s">
        <v>253</v>
      </c>
      <c r="D8106" s="132" t="n">
        <v>46703</v>
      </c>
      <c r="E8106" s="131" t="s">
        <v>12</v>
      </c>
      <c r="F8106" s="133" t="s">
        <v>19</v>
      </c>
      <c r="G8106" s="134" t="n">
        <f aca="false">LEN('Saisie programme'!$H$287)+SUMIFS('Vols additionnels'!$E$7:$E$66,'Vols additionnels'!$C$7:$C$66,$E8106,'Vols additionnels'!$D$7:$D$66,$F8106,'Vols additionnels'!$B$7:$B$66,$D8106)</f>
        <v>1</v>
      </c>
      <c r="H8106" s="135" t="n">
        <f aca="false">$G8106*'Analyse capacite'!$F$8</f>
        <v>262</v>
      </c>
      <c r="I8106" s="135" t="n">
        <f aca="false">$G8106*'Analyse capacite'!$C$8</f>
        <v>18</v>
      </c>
      <c r="J8106" s="135" t="n">
        <f aca="false">$G8106*'Analyse capacite'!$D$8</f>
        <v>0</v>
      </c>
      <c r="K8106" s="135" t="n">
        <f aca="false">$G8106*'Analyse capacite'!$E$8</f>
        <v>244</v>
      </c>
    </row>
    <row r="8107" customFormat="false" ht="15" hidden="false" customHeight="false" outlineLevel="0" collapsed="false">
      <c r="B8107" s="130" t="n">
        <v>2027</v>
      </c>
      <c r="C8107" s="131" t="s">
        <v>253</v>
      </c>
      <c r="D8107" s="132" t="n">
        <v>46703</v>
      </c>
      <c r="E8107" s="131" t="s">
        <v>12</v>
      </c>
      <c r="F8107" s="133" t="s">
        <v>24</v>
      </c>
      <c r="G8107" s="134" t="n">
        <f aca="false">LEN('Saisie programme'!$H$288)+SUMIFS('Vols additionnels'!$E$7:$E$66,'Vols additionnels'!$C$7:$C$66,$E8107,'Vols additionnels'!$D$7:$D$66,$F8107,'Vols additionnels'!$B$7:$B$66,$D8107)</f>
        <v>0</v>
      </c>
      <c r="H8107" s="135" t="n">
        <f aca="false">$G8107*'Analyse capacite'!$F$9</f>
        <v>0</v>
      </c>
      <c r="I8107" s="135" t="n">
        <f aca="false">$G8107*'Analyse capacite'!$C$9</f>
        <v>0</v>
      </c>
      <c r="J8107" s="135" t="n">
        <f aca="false">$G8107*'Analyse capacite'!$D$9</f>
        <v>0</v>
      </c>
      <c r="K8107" s="135" t="n">
        <f aca="false">$G8107*'Analyse capacite'!$E$9</f>
        <v>0</v>
      </c>
    </row>
    <row r="8108" customFormat="false" ht="15" hidden="false" customHeight="false" outlineLevel="0" collapsed="false">
      <c r="B8108" s="130" t="n">
        <v>2027</v>
      </c>
      <c r="C8108" s="131" t="s">
        <v>253</v>
      </c>
      <c r="D8108" s="132" t="n">
        <v>46703</v>
      </c>
      <c r="E8108" s="131" t="s">
        <v>20</v>
      </c>
      <c r="F8108" s="133" t="s">
        <v>11</v>
      </c>
      <c r="G8108" s="134" t="n">
        <f aca="false">LEN('Saisie programme'!$H$289)+SUMIFS('Vols additionnels'!$E$7:$E$66,'Vols additionnels'!$C$7:$C$66,$E8108,'Vols additionnels'!$D$7:$D$66,$F8108,'Vols additionnels'!$B$7:$B$66,$D8108)</f>
        <v>0</v>
      </c>
      <c r="H8108" s="135" t="n">
        <f aca="false">$G8108*'Analyse capacite'!$F$7</f>
        <v>0</v>
      </c>
      <c r="I8108" s="135" t="n">
        <f aca="false">$G8108*'Analyse capacite'!$C$7</f>
        <v>0</v>
      </c>
      <c r="J8108" s="135" t="n">
        <f aca="false">$G8108*'Analyse capacite'!$D$7</f>
        <v>0</v>
      </c>
      <c r="K8108" s="135" t="n">
        <f aca="false">$G8108*'Analyse capacite'!$E$7</f>
        <v>0</v>
      </c>
    </row>
    <row r="8109" customFormat="false" ht="15" hidden="false" customHeight="false" outlineLevel="0" collapsed="false">
      <c r="B8109" s="130" t="n">
        <v>2027</v>
      </c>
      <c r="C8109" s="131" t="s">
        <v>253</v>
      </c>
      <c r="D8109" s="132" t="n">
        <v>46703</v>
      </c>
      <c r="E8109" s="131" t="s">
        <v>20</v>
      </c>
      <c r="F8109" s="133" t="s">
        <v>19</v>
      </c>
      <c r="G8109" s="134" t="n">
        <f aca="false">LEN('Saisie programme'!$H$290)+SUMIFS('Vols additionnels'!$E$7:$E$66,'Vols additionnels'!$C$7:$C$66,$E8109,'Vols additionnels'!$D$7:$D$66,$F8109,'Vols additionnels'!$B$7:$B$66,$D8109)</f>
        <v>1</v>
      </c>
      <c r="H8109" s="135" t="n">
        <f aca="false">$G8109*'Analyse capacite'!$F$8</f>
        <v>262</v>
      </c>
      <c r="I8109" s="135" t="n">
        <f aca="false">$G8109*'Analyse capacite'!$C$8</f>
        <v>18</v>
      </c>
      <c r="J8109" s="135" t="n">
        <f aca="false">$G8109*'Analyse capacite'!$D$8</f>
        <v>0</v>
      </c>
      <c r="K8109" s="135" t="n">
        <f aca="false">$G8109*'Analyse capacite'!$E$8</f>
        <v>244</v>
      </c>
    </row>
    <row r="8110" customFormat="false" ht="15" hidden="false" customHeight="false" outlineLevel="0" collapsed="false">
      <c r="B8110" s="130" t="n">
        <v>2027</v>
      </c>
      <c r="C8110" s="131" t="s">
        <v>253</v>
      </c>
      <c r="D8110" s="132" t="n">
        <v>46703</v>
      </c>
      <c r="E8110" s="131" t="s">
        <v>20</v>
      </c>
      <c r="F8110" s="133" t="s">
        <v>24</v>
      </c>
      <c r="G8110" s="134" t="n">
        <f aca="false">LEN('Saisie programme'!$H$291)+SUMIFS('Vols additionnels'!$E$7:$E$66,'Vols additionnels'!$C$7:$C$66,$E8110,'Vols additionnels'!$D$7:$D$66,$F8110,'Vols additionnels'!$B$7:$B$66,$D8110)</f>
        <v>0</v>
      </c>
      <c r="H8110" s="135" t="n">
        <f aca="false">$G8110*'Analyse capacite'!$F$9</f>
        <v>0</v>
      </c>
      <c r="I8110" s="135" t="n">
        <f aca="false">$G8110*'Analyse capacite'!$C$9</f>
        <v>0</v>
      </c>
      <c r="J8110" s="135" t="n">
        <f aca="false">$G8110*'Analyse capacite'!$D$9</f>
        <v>0</v>
      </c>
      <c r="K8110" s="135" t="n">
        <f aca="false">$G8110*'Analyse capacite'!$E$9</f>
        <v>0</v>
      </c>
    </row>
    <row r="8111" customFormat="false" ht="15" hidden="false" customHeight="false" outlineLevel="0" collapsed="false">
      <c r="B8111" s="130" t="n">
        <v>2027</v>
      </c>
      <c r="C8111" s="131" t="s">
        <v>253</v>
      </c>
      <c r="D8111" s="132" t="n">
        <v>46703</v>
      </c>
      <c r="E8111" s="131" t="s">
        <v>25</v>
      </c>
      <c r="F8111" s="133" t="s">
        <v>11</v>
      </c>
      <c r="G8111" s="134" t="n">
        <f aca="false">LEN('Saisie programme'!$H$292)+SUMIFS('Vols additionnels'!$E$7:$E$66,'Vols additionnels'!$C$7:$C$66,$E8111,'Vols additionnels'!$D$7:$D$66,$F8111,'Vols additionnels'!$B$7:$B$66,$D8111)</f>
        <v>0</v>
      </c>
      <c r="H8111" s="135" t="n">
        <f aca="false">$G8111*'Analyse capacite'!$F$7</f>
        <v>0</v>
      </c>
      <c r="I8111" s="135" t="n">
        <f aca="false">$G8111*'Analyse capacite'!$C$7</f>
        <v>0</v>
      </c>
      <c r="J8111" s="135" t="n">
        <f aca="false">$G8111*'Analyse capacite'!$D$7</f>
        <v>0</v>
      </c>
      <c r="K8111" s="135" t="n">
        <f aca="false">$G8111*'Analyse capacite'!$E$7</f>
        <v>0</v>
      </c>
    </row>
    <row r="8112" customFormat="false" ht="15" hidden="false" customHeight="false" outlineLevel="0" collapsed="false">
      <c r="B8112" s="130" t="n">
        <v>2027</v>
      </c>
      <c r="C8112" s="131" t="s">
        <v>253</v>
      </c>
      <c r="D8112" s="132" t="n">
        <v>46703</v>
      </c>
      <c r="E8112" s="131" t="s">
        <v>25</v>
      </c>
      <c r="F8112" s="133" t="s">
        <v>19</v>
      </c>
      <c r="G8112" s="134" t="n">
        <f aca="false">LEN('Saisie programme'!$H$293)+SUMIFS('Vols additionnels'!$E$7:$E$66,'Vols additionnels'!$C$7:$C$66,$E8112,'Vols additionnels'!$D$7:$D$66,$F8112,'Vols additionnels'!$B$7:$B$66,$D8112)</f>
        <v>0</v>
      </c>
      <c r="H8112" s="135" t="n">
        <f aca="false">$G8112*'Analyse capacite'!$F$8</f>
        <v>0</v>
      </c>
      <c r="I8112" s="135" t="n">
        <f aca="false">$G8112*'Analyse capacite'!$C$8</f>
        <v>0</v>
      </c>
      <c r="J8112" s="135" t="n">
        <f aca="false">$G8112*'Analyse capacite'!$D$8</f>
        <v>0</v>
      </c>
      <c r="K8112" s="135" t="n">
        <f aca="false">$G8112*'Analyse capacite'!$E$8</f>
        <v>0</v>
      </c>
    </row>
    <row r="8113" customFormat="false" ht="15" hidden="false" customHeight="false" outlineLevel="0" collapsed="false">
      <c r="B8113" s="130" t="n">
        <v>2027</v>
      </c>
      <c r="C8113" s="131" t="s">
        <v>253</v>
      </c>
      <c r="D8113" s="132" t="n">
        <v>46703</v>
      </c>
      <c r="E8113" s="131" t="s">
        <v>25</v>
      </c>
      <c r="F8113" s="133" t="s">
        <v>24</v>
      </c>
      <c r="G8113" s="134" t="n">
        <f aca="false">LEN('Saisie programme'!$H$294)+SUMIFS('Vols additionnels'!$E$7:$E$66,'Vols additionnels'!$C$7:$C$66,$E8113,'Vols additionnels'!$D$7:$D$66,$F8113,'Vols additionnels'!$B$7:$B$66,$D8113)</f>
        <v>0</v>
      </c>
      <c r="H8113" s="135" t="n">
        <f aca="false">$G8113*'Analyse capacite'!$F$9</f>
        <v>0</v>
      </c>
      <c r="I8113" s="135" t="n">
        <f aca="false">$G8113*'Analyse capacite'!$C$9</f>
        <v>0</v>
      </c>
      <c r="J8113" s="135" t="n">
        <f aca="false">$G8113*'Analyse capacite'!$D$9</f>
        <v>0</v>
      </c>
      <c r="K8113" s="135" t="n">
        <f aca="false">$G8113*'Analyse capacite'!$E$9</f>
        <v>0</v>
      </c>
    </row>
    <row r="8114" customFormat="false" ht="15" hidden="false" customHeight="false" outlineLevel="0" collapsed="false">
      <c r="B8114" s="130" t="n">
        <v>2027</v>
      </c>
      <c r="C8114" s="131" t="s">
        <v>253</v>
      </c>
      <c r="D8114" s="132" t="n">
        <v>46703</v>
      </c>
      <c r="E8114" s="131" t="s">
        <v>36</v>
      </c>
      <c r="F8114" s="133" t="s">
        <v>11</v>
      </c>
      <c r="G8114" s="134" t="n">
        <f aca="false">LEN('Saisie programme'!$H$295)+SUMIFS('Vols additionnels'!$E$7:$E$66,'Vols additionnels'!$C$7:$C$66,$E8114,'Vols additionnels'!$D$7:$D$66,$F8114,'Vols additionnels'!$B$7:$B$66,$D8114)</f>
        <v>0</v>
      </c>
      <c r="H8114" s="135" t="n">
        <f aca="false">$G8114*'Analyse capacite'!$F$7</f>
        <v>0</v>
      </c>
      <c r="I8114" s="135" t="n">
        <f aca="false">$G8114*'Analyse capacite'!$C$7</f>
        <v>0</v>
      </c>
      <c r="J8114" s="135" t="n">
        <f aca="false">$G8114*'Analyse capacite'!$D$7</f>
        <v>0</v>
      </c>
      <c r="K8114" s="135" t="n">
        <f aca="false">$G8114*'Analyse capacite'!$E$7</f>
        <v>0</v>
      </c>
    </row>
    <row r="8115" customFormat="false" ht="15" hidden="false" customHeight="false" outlineLevel="0" collapsed="false">
      <c r="B8115" s="130" t="n">
        <v>2027</v>
      </c>
      <c r="C8115" s="131" t="s">
        <v>253</v>
      </c>
      <c r="D8115" s="132" t="n">
        <v>46703</v>
      </c>
      <c r="E8115" s="131" t="s">
        <v>36</v>
      </c>
      <c r="F8115" s="133" t="s">
        <v>19</v>
      </c>
      <c r="G8115" s="134" t="n">
        <f aca="false">LEN('Saisie programme'!$H$296)+SUMIFS('Vols additionnels'!$E$7:$E$66,'Vols additionnels'!$C$7:$C$66,$E8115,'Vols additionnels'!$D$7:$D$66,$F8115,'Vols additionnels'!$B$7:$B$66,$D8115)</f>
        <v>0</v>
      </c>
      <c r="H8115" s="135" t="n">
        <f aca="false">$G8115*'Analyse capacite'!$F$8</f>
        <v>0</v>
      </c>
      <c r="I8115" s="135" t="n">
        <f aca="false">$G8115*'Analyse capacite'!$C$8</f>
        <v>0</v>
      </c>
      <c r="J8115" s="135" t="n">
        <f aca="false">$G8115*'Analyse capacite'!$D$8</f>
        <v>0</v>
      </c>
      <c r="K8115" s="135" t="n">
        <f aca="false">$G8115*'Analyse capacite'!$E$8</f>
        <v>0</v>
      </c>
    </row>
    <row r="8116" customFormat="false" ht="15" hidden="false" customHeight="false" outlineLevel="0" collapsed="false">
      <c r="B8116" s="130" t="n">
        <v>2027</v>
      </c>
      <c r="C8116" s="131" t="s">
        <v>253</v>
      </c>
      <c r="D8116" s="132" t="n">
        <v>46703</v>
      </c>
      <c r="E8116" s="131" t="s">
        <v>36</v>
      </c>
      <c r="F8116" s="133" t="s">
        <v>24</v>
      </c>
      <c r="G8116" s="134" t="n">
        <f aca="false">LEN('Saisie programme'!$H$297)+SUMIFS('Vols additionnels'!$E$7:$E$66,'Vols additionnels'!$C$7:$C$66,$E8116,'Vols additionnels'!$D$7:$D$66,$F8116,'Vols additionnels'!$B$7:$B$66,$D8116)</f>
        <v>1</v>
      </c>
      <c r="H8116" s="135" t="n">
        <f aca="false">$G8116*'Analyse capacite'!$F$9</f>
        <v>174</v>
      </c>
      <c r="I8116" s="135" t="n">
        <f aca="false">$G8116*'Analyse capacite'!$C$9</f>
        <v>0</v>
      </c>
      <c r="J8116" s="135" t="n">
        <f aca="false">$G8116*'Analyse capacite'!$D$9</f>
        <v>12</v>
      </c>
      <c r="K8116" s="135" t="n">
        <f aca="false">$G8116*'Analyse capacite'!$E$9</f>
        <v>162</v>
      </c>
    </row>
    <row r="8117" customFormat="false" ht="15" hidden="false" customHeight="false" outlineLevel="0" collapsed="false">
      <c r="B8117" s="130" t="n">
        <v>2027</v>
      </c>
      <c r="C8117" s="131" t="s">
        <v>253</v>
      </c>
      <c r="D8117" s="132" t="n">
        <v>46703</v>
      </c>
      <c r="E8117" s="131" t="s">
        <v>40</v>
      </c>
      <c r="F8117" s="133" t="s">
        <v>11</v>
      </c>
      <c r="G8117" s="134" t="n">
        <f aca="false">LEN('Saisie programme'!$H$298)+SUMIFS('Vols additionnels'!$E$7:$E$66,'Vols additionnels'!$C$7:$C$66,$E8117,'Vols additionnels'!$D$7:$D$66,$F8117,'Vols additionnels'!$B$7:$B$66,$D8117)</f>
        <v>0</v>
      </c>
      <c r="H8117" s="135" t="n">
        <f aca="false">$G8117*'Analyse capacite'!$F$7</f>
        <v>0</v>
      </c>
      <c r="I8117" s="135" t="n">
        <f aca="false">$G8117*'Analyse capacite'!$C$7</f>
        <v>0</v>
      </c>
      <c r="J8117" s="135" t="n">
        <f aca="false">$G8117*'Analyse capacite'!$D$7</f>
        <v>0</v>
      </c>
      <c r="K8117" s="135" t="n">
        <f aca="false">$G8117*'Analyse capacite'!$E$7</f>
        <v>0</v>
      </c>
    </row>
    <row r="8118" customFormat="false" ht="15" hidden="false" customHeight="false" outlineLevel="0" collapsed="false">
      <c r="B8118" s="130" t="n">
        <v>2027</v>
      </c>
      <c r="C8118" s="131" t="s">
        <v>253</v>
      </c>
      <c r="D8118" s="132" t="n">
        <v>46703</v>
      </c>
      <c r="E8118" s="131" t="s">
        <v>40</v>
      </c>
      <c r="F8118" s="133" t="s">
        <v>19</v>
      </c>
      <c r="G8118" s="134" t="n">
        <f aca="false">LEN('Saisie programme'!$H$299)+SUMIFS('Vols additionnels'!$E$7:$E$66,'Vols additionnels'!$C$7:$C$66,$E8118,'Vols additionnels'!$D$7:$D$66,$F8118,'Vols additionnels'!$B$7:$B$66,$D8118)</f>
        <v>0</v>
      </c>
      <c r="H8118" s="135" t="n">
        <f aca="false">$G8118*'Analyse capacite'!$F$8</f>
        <v>0</v>
      </c>
      <c r="I8118" s="135" t="n">
        <f aca="false">$G8118*'Analyse capacite'!$C$8</f>
        <v>0</v>
      </c>
      <c r="J8118" s="135" t="n">
        <f aca="false">$G8118*'Analyse capacite'!$D$8</f>
        <v>0</v>
      </c>
      <c r="K8118" s="135" t="n">
        <f aca="false">$G8118*'Analyse capacite'!$E$8</f>
        <v>0</v>
      </c>
    </row>
    <row r="8119" customFormat="false" ht="15" hidden="false" customHeight="false" outlineLevel="0" collapsed="false">
      <c r="B8119" s="130" t="n">
        <v>2027</v>
      </c>
      <c r="C8119" s="131" t="s">
        <v>253</v>
      </c>
      <c r="D8119" s="132" t="n">
        <v>46703</v>
      </c>
      <c r="E8119" s="131" t="s">
        <v>40</v>
      </c>
      <c r="F8119" s="133" t="s">
        <v>24</v>
      </c>
      <c r="G8119" s="134" t="n">
        <f aca="false">LEN('Saisie programme'!$H$300)+SUMIFS('Vols additionnels'!$E$7:$E$66,'Vols additionnels'!$C$7:$C$66,$E8119,'Vols additionnels'!$D$7:$D$66,$F8119,'Vols additionnels'!$B$7:$B$66,$D8119)</f>
        <v>1</v>
      </c>
      <c r="H8119" s="135" t="n">
        <f aca="false">$G8119*'Analyse capacite'!$F$9</f>
        <v>174</v>
      </c>
      <c r="I8119" s="135" t="n">
        <f aca="false">$G8119*'Analyse capacite'!$C$9</f>
        <v>0</v>
      </c>
      <c r="J8119" s="135" t="n">
        <f aca="false">$G8119*'Analyse capacite'!$D$9</f>
        <v>12</v>
      </c>
      <c r="K8119" s="135" t="n">
        <f aca="false">$G8119*'Analyse capacite'!$E$9</f>
        <v>162</v>
      </c>
    </row>
    <row r="8120" customFormat="false" ht="15" hidden="false" customHeight="false" outlineLevel="0" collapsed="false">
      <c r="B8120" s="130" t="n">
        <v>2027</v>
      </c>
      <c r="C8120" s="131" t="s">
        <v>253</v>
      </c>
      <c r="D8120" s="132" t="n">
        <v>46703</v>
      </c>
      <c r="E8120" s="131" t="s">
        <v>14</v>
      </c>
      <c r="F8120" s="133" t="s">
        <v>11</v>
      </c>
      <c r="G8120" s="134" t="n">
        <f aca="false">LEN('Saisie programme'!$H$301)+SUMIFS('Vols additionnels'!$E$7:$E$66,'Vols additionnels'!$C$7:$C$66,$E8120,'Vols additionnels'!$D$7:$D$66,$F8120,'Vols additionnels'!$B$7:$B$66,$D8120)</f>
        <v>0</v>
      </c>
      <c r="H8120" s="135" t="n">
        <f aca="false">$G8120*'Analyse capacite'!$F$7</f>
        <v>0</v>
      </c>
      <c r="I8120" s="135" t="n">
        <f aca="false">$G8120*'Analyse capacite'!$C$7</f>
        <v>0</v>
      </c>
      <c r="J8120" s="135" t="n">
        <f aca="false">$G8120*'Analyse capacite'!$D$7</f>
        <v>0</v>
      </c>
      <c r="K8120" s="135" t="n">
        <f aca="false">$G8120*'Analyse capacite'!$E$7</f>
        <v>0</v>
      </c>
    </row>
    <row r="8121" customFormat="false" ht="15" hidden="false" customHeight="false" outlineLevel="0" collapsed="false">
      <c r="B8121" s="130" t="n">
        <v>2027</v>
      </c>
      <c r="C8121" s="131" t="s">
        <v>253</v>
      </c>
      <c r="D8121" s="132" t="n">
        <v>46703</v>
      </c>
      <c r="E8121" s="131" t="s">
        <v>14</v>
      </c>
      <c r="F8121" s="133" t="s">
        <v>19</v>
      </c>
      <c r="G8121" s="134" t="n">
        <f aca="false">LEN('Saisie programme'!$H$302)+SUMIFS('Vols additionnels'!$E$7:$E$66,'Vols additionnels'!$C$7:$C$66,$E8121,'Vols additionnels'!$D$7:$D$66,$F8121,'Vols additionnels'!$B$7:$B$66,$D8121)</f>
        <v>0</v>
      </c>
      <c r="H8121" s="135" t="n">
        <f aca="false">$G8121*'Analyse capacite'!$F$8</f>
        <v>0</v>
      </c>
      <c r="I8121" s="135" t="n">
        <f aca="false">$G8121*'Analyse capacite'!$C$8</f>
        <v>0</v>
      </c>
      <c r="J8121" s="135" t="n">
        <f aca="false">$G8121*'Analyse capacite'!$D$8</f>
        <v>0</v>
      </c>
      <c r="K8121" s="135" t="n">
        <f aca="false">$G8121*'Analyse capacite'!$E$8</f>
        <v>0</v>
      </c>
    </row>
    <row r="8122" customFormat="false" ht="15" hidden="false" customHeight="false" outlineLevel="0" collapsed="false">
      <c r="B8122" s="130" t="n">
        <v>2027</v>
      </c>
      <c r="C8122" s="131" t="s">
        <v>253</v>
      </c>
      <c r="D8122" s="132" t="n">
        <v>46703</v>
      </c>
      <c r="E8122" s="131" t="s">
        <v>14</v>
      </c>
      <c r="F8122" s="133" t="s">
        <v>24</v>
      </c>
      <c r="G8122" s="134" t="n">
        <f aca="false">LEN('Saisie programme'!$H$303)+SUMIFS('Vols additionnels'!$E$7:$E$66,'Vols additionnels'!$C$7:$C$66,$E8122,'Vols additionnels'!$D$7:$D$66,$F8122,'Vols additionnels'!$B$7:$B$66,$D8122)</f>
        <v>0</v>
      </c>
      <c r="H8122" s="135" t="n">
        <f aca="false">$G8122*'Analyse capacite'!$F$9</f>
        <v>0</v>
      </c>
      <c r="I8122" s="135" t="n">
        <f aca="false">$G8122*'Analyse capacite'!$C$9</f>
        <v>0</v>
      </c>
      <c r="J8122" s="135" t="n">
        <f aca="false">$G8122*'Analyse capacite'!$D$9</f>
        <v>0</v>
      </c>
      <c r="K8122" s="135" t="n">
        <f aca="false">$G8122*'Analyse capacite'!$E$9</f>
        <v>0</v>
      </c>
    </row>
    <row r="8123" customFormat="false" ht="15" hidden="false" customHeight="false" outlineLevel="0" collapsed="false">
      <c r="B8123" s="130" t="n">
        <v>2027</v>
      </c>
      <c r="C8123" s="131" t="s">
        <v>253</v>
      </c>
      <c r="D8123" s="132" t="n">
        <v>46703</v>
      </c>
      <c r="E8123" s="131" t="s">
        <v>46</v>
      </c>
      <c r="F8123" s="133" t="s">
        <v>11</v>
      </c>
      <c r="G8123" s="134" t="n">
        <f aca="false">LEN('Saisie programme'!$H$304)+SUMIFS('Vols additionnels'!$E$7:$E$66,'Vols additionnels'!$C$7:$C$66,$E8123,'Vols additionnels'!$D$7:$D$66,$F8123,'Vols additionnels'!$B$7:$B$66,$D8123)</f>
        <v>0</v>
      </c>
      <c r="H8123" s="135" t="n">
        <f aca="false">$G8123*'Analyse capacite'!$F$7</f>
        <v>0</v>
      </c>
      <c r="I8123" s="135" t="n">
        <f aca="false">$G8123*'Analyse capacite'!$C$7</f>
        <v>0</v>
      </c>
      <c r="J8123" s="135" t="n">
        <f aca="false">$G8123*'Analyse capacite'!$D$7</f>
        <v>0</v>
      </c>
      <c r="K8123" s="135" t="n">
        <f aca="false">$G8123*'Analyse capacite'!$E$7</f>
        <v>0</v>
      </c>
    </row>
    <row r="8124" customFormat="false" ht="15" hidden="false" customHeight="false" outlineLevel="0" collapsed="false">
      <c r="B8124" s="130" t="n">
        <v>2027</v>
      </c>
      <c r="C8124" s="131" t="s">
        <v>253</v>
      </c>
      <c r="D8124" s="132" t="n">
        <v>46703</v>
      </c>
      <c r="E8124" s="131" t="s">
        <v>46</v>
      </c>
      <c r="F8124" s="133" t="s">
        <v>19</v>
      </c>
      <c r="G8124" s="134" t="n">
        <f aca="false">LEN('Saisie programme'!$H$305)+SUMIFS('Vols additionnels'!$E$7:$E$66,'Vols additionnels'!$C$7:$C$66,$E8124,'Vols additionnels'!$D$7:$D$66,$F8124,'Vols additionnels'!$B$7:$B$66,$D8124)</f>
        <v>0</v>
      </c>
      <c r="H8124" s="135" t="n">
        <f aca="false">$G8124*'Analyse capacite'!$F$8</f>
        <v>0</v>
      </c>
      <c r="I8124" s="135" t="n">
        <f aca="false">$G8124*'Analyse capacite'!$C$8</f>
        <v>0</v>
      </c>
      <c r="J8124" s="135" t="n">
        <f aca="false">$G8124*'Analyse capacite'!$D$8</f>
        <v>0</v>
      </c>
      <c r="K8124" s="135" t="n">
        <f aca="false">$G8124*'Analyse capacite'!$E$8</f>
        <v>0</v>
      </c>
    </row>
    <row r="8125" customFormat="false" ht="15" hidden="false" customHeight="false" outlineLevel="0" collapsed="false">
      <c r="B8125" s="130" t="n">
        <v>2027</v>
      </c>
      <c r="C8125" s="131" t="s">
        <v>253</v>
      </c>
      <c r="D8125" s="132" t="n">
        <v>46703</v>
      </c>
      <c r="E8125" s="131" t="s">
        <v>46</v>
      </c>
      <c r="F8125" s="133" t="s">
        <v>24</v>
      </c>
      <c r="G8125" s="134" t="n">
        <f aca="false">LEN('Saisie programme'!$H$306)+SUMIFS('Vols additionnels'!$E$7:$E$66,'Vols additionnels'!$C$7:$C$66,$E8125,'Vols additionnels'!$D$7:$D$66,$F8125,'Vols additionnels'!$B$7:$B$66,$D8125)</f>
        <v>0</v>
      </c>
      <c r="H8125" s="135" t="n">
        <f aca="false">$G8125*'Analyse capacite'!$F$9</f>
        <v>0</v>
      </c>
      <c r="I8125" s="135" t="n">
        <f aca="false">$G8125*'Analyse capacite'!$C$9</f>
        <v>0</v>
      </c>
      <c r="J8125" s="135" t="n">
        <f aca="false">$G8125*'Analyse capacite'!$D$9</f>
        <v>0</v>
      </c>
      <c r="K8125" s="135" t="n">
        <f aca="false">$G8125*'Analyse capacite'!$E$9</f>
        <v>0</v>
      </c>
    </row>
    <row r="8126" customFormat="false" ht="15" hidden="false" customHeight="false" outlineLevel="0" collapsed="false">
      <c r="B8126" s="130" t="n">
        <v>2027</v>
      </c>
      <c r="C8126" s="131" t="s">
        <v>253</v>
      </c>
      <c r="D8126" s="132" t="n">
        <v>46703</v>
      </c>
      <c r="E8126" s="131" t="s">
        <v>49</v>
      </c>
      <c r="F8126" s="133" t="s">
        <v>11</v>
      </c>
      <c r="G8126" s="134" t="n">
        <f aca="false">LEN('Saisie programme'!$H$307)+SUMIFS('Vols additionnels'!$E$7:$E$66,'Vols additionnels'!$C$7:$C$66,$E8126,'Vols additionnels'!$D$7:$D$66,$F8126,'Vols additionnels'!$B$7:$B$66,$D8126)</f>
        <v>0</v>
      </c>
      <c r="H8126" s="135" t="n">
        <f aca="false">$G8126*'Analyse capacite'!$F$7</f>
        <v>0</v>
      </c>
      <c r="I8126" s="135" t="n">
        <f aca="false">$G8126*'Analyse capacite'!$C$7</f>
        <v>0</v>
      </c>
      <c r="J8126" s="135" t="n">
        <f aca="false">$G8126*'Analyse capacite'!$D$7</f>
        <v>0</v>
      </c>
      <c r="K8126" s="135" t="n">
        <f aca="false">$G8126*'Analyse capacite'!$E$7</f>
        <v>0</v>
      </c>
    </row>
    <row r="8127" customFormat="false" ht="15" hidden="false" customHeight="false" outlineLevel="0" collapsed="false">
      <c r="B8127" s="130" t="n">
        <v>2027</v>
      </c>
      <c r="C8127" s="131" t="s">
        <v>253</v>
      </c>
      <c r="D8127" s="132" t="n">
        <v>46703</v>
      </c>
      <c r="E8127" s="131" t="s">
        <v>49</v>
      </c>
      <c r="F8127" s="133" t="s">
        <v>19</v>
      </c>
      <c r="G8127" s="134" t="n">
        <f aca="false">LEN('Saisie programme'!$H$308)+SUMIFS('Vols additionnels'!$E$7:$E$66,'Vols additionnels'!$C$7:$C$66,$E8127,'Vols additionnels'!$D$7:$D$66,$F8127,'Vols additionnels'!$B$7:$B$66,$D8127)</f>
        <v>1</v>
      </c>
      <c r="H8127" s="135" t="n">
        <f aca="false">$G8127*'Analyse capacite'!$F$8</f>
        <v>262</v>
      </c>
      <c r="I8127" s="135" t="n">
        <f aca="false">$G8127*'Analyse capacite'!$C$8</f>
        <v>18</v>
      </c>
      <c r="J8127" s="135" t="n">
        <f aca="false">$G8127*'Analyse capacite'!$D$8</f>
        <v>0</v>
      </c>
      <c r="K8127" s="135" t="n">
        <f aca="false">$G8127*'Analyse capacite'!$E$8</f>
        <v>244</v>
      </c>
    </row>
    <row r="8128" customFormat="false" ht="15" hidden="false" customHeight="false" outlineLevel="0" collapsed="false">
      <c r="B8128" s="130" t="n">
        <v>2027</v>
      </c>
      <c r="C8128" s="131" t="s">
        <v>253</v>
      </c>
      <c r="D8128" s="132" t="n">
        <v>46703</v>
      </c>
      <c r="E8128" s="131" t="s">
        <v>49</v>
      </c>
      <c r="F8128" s="133" t="s">
        <v>24</v>
      </c>
      <c r="G8128" s="134" t="n">
        <f aca="false">LEN('Saisie programme'!$H$309)+SUMIFS('Vols additionnels'!$E$7:$E$66,'Vols additionnels'!$C$7:$C$66,$E8128,'Vols additionnels'!$D$7:$D$66,$F8128,'Vols additionnels'!$B$7:$B$66,$D8128)</f>
        <v>0</v>
      </c>
      <c r="H8128" s="135" t="n">
        <f aca="false">$G8128*'Analyse capacite'!$F$9</f>
        <v>0</v>
      </c>
      <c r="I8128" s="135" t="n">
        <f aca="false">$G8128*'Analyse capacite'!$C$9</f>
        <v>0</v>
      </c>
      <c r="J8128" s="135" t="n">
        <f aca="false">$G8128*'Analyse capacite'!$D$9</f>
        <v>0</v>
      </c>
      <c r="K8128" s="135" t="n">
        <f aca="false">$G8128*'Analyse capacite'!$E$9</f>
        <v>0</v>
      </c>
    </row>
    <row r="8129" customFormat="false" ht="15" hidden="false" customHeight="false" outlineLevel="0" collapsed="false">
      <c r="B8129" s="130" t="n">
        <v>2027</v>
      </c>
      <c r="C8129" s="131" t="s">
        <v>253</v>
      </c>
      <c r="D8129" s="132" t="n">
        <v>46703</v>
      </c>
      <c r="E8129" s="131" t="s">
        <v>53</v>
      </c>
      <c r="F8129" s="133" t="s">
        <v>11</v>
      </c>
      <c r="G8129" s="134" t="n">
        <f aca="false">LEN('Saisie programme'!$H$310)+SUMIFS('Vols additionnels'!$E$7:$E$66,'Vols additionnels'!$C$7:$C$66,$E8129,'Vols additionnels'!$D$7:$D$66,$F8129,'Vols additionnels'!$B$7:$B$66,$D8129)</f>
        <v>0</v>
      </c>
      <c r="H8129" s="135" t="n">
        <f aca="false">$G8129*'Analyse capacite'!$F$7</f>
        <v>0</v>
      </c>
      <c r="I8129" s="135" t="n">
        <f aca="false">$G8129*'Analyse capacite'!$C$7</f>
        <v>0</v>
      </c>
      <c r="J8129" s="135" t="n">
        <f aca="false">$G8129*'Analyse capacite'!$D$7</f>
        <v>0</v>
      </c>
      <c r="K8129" s="135" t="n">
        <f aca="false">$G8129*'Analyse capacite'!$E$7</f>
        <v>0</v>
      </c>
    </row>
    <row r="8130" customFormat="false" ht="15" hidden="false" customHeight="false" outlineLevel="0" collapsed="false">
      <c r="B8130" s="130" t="n">
        <v>2027</v>
      </c>
      <c r="C8130" s="131" t="s">
        <v>253</v>
      </c>
      <c r="D8130" s="132" t="n">
        <v>46703</v>
      </c>
      <c r="E8130" s="131" t="s">
        <v>53</v>
      </c>
      <c r="F8130" s="133" t="s">
        <v>19</v>
      </c>
      <c r="G8130" s="134" t="n">
        <f aca="false">LEN('Saisie programme'!$H$311)+SUMIFS('Vols additionnels'!$E$7:$E$66,'Vols additionnels'!$C$7:$C$66,$E8130,'Vols additionnels'!$D$7:$D$66,$F8130,'Vols additionnels'!$B$7:$B$66,$D8130)</f>
        <v>0</v>
      </c>
      <c r="H8130" s="135" t="n">
        <f aca="false">$G8130*'Analyse capacite'!$F$8</f>
        <v>0</v>
      </c>
      <c r="I8130" s="135" t="n">
        <f aca="false">$G8130*'Analyse capacite'!$C$8</f>
        <v>0</v>
      </c>
      <c r="J8130" s="135" t="n">
        <f aca="false">$G8130*'Analyse capacite'!$D$8</f>
        <v>0</v>
      </c>
      <c r="K8130" s="135" t="n">
        <f aca="false">$G8130*'Analyse capacite'!$E$8</f>
        <v>0</v>
      </c>
    </row>
    <row r="8131" customFormat="false" ht="15" hidden="false" customHeight="false" outlineLevel="0" collapsed="false">
      <c r="B8131" s="130" t="n">
        <v>2027</v>
      </c>
      <c r="C8131" s="131" t="s">
        <v>253</v>
      </c>
      <c r="D8131" s="132" t="n">
        <v>46703</v>
      </c>
      <c r="E8131" s="131" t="s">
        <v>53</v>
      </c>
      <c r="F8131" s="133" t="s">
        <v>24</v>
      </c>
      <c r="G8131" s="134" t="n">
        <f aca="false">LEN('Saisie programme'!$H$312)+SUMIFS('Vols additionnels'!$E$7:$E$66,'Vols additionnels'!$C$7:$C$66,$E8131,'Vols additionnels'!$D$7:$D$66,$F8131,'Vols additionnels'!$B$7:$B$66,$D8131)</f>
        <v>0</v>
      </c>
      <c r="H8131" s="135" t="n">
        <f aca="false">$G8131*'Analyse capacite'!$F$9</f>
        <v>0</v>
      </c>
      <c r="I8131" s="135" t="n">
        <f aca="false">$G8131*'Analyse capacite'!$C$9</f>
        <v>0</v>
      </c>
      <c r="J8131" s="135" t="n">
        <f aca="false">$G8131*'Analyse capacite'!$D$9</f>
        <v>0</v>
      </c>
      <c r="K8131" s="135" t="n">
        <f aca="false">$G8131*'Analyse capacite'!$E$9</f>
        <v>0</v>
      </c>
    </row>
    <row r="8132" customFormat="false" ht="15" hidden="false" customHeight="false" outlineLevel="0" collapsed="false">
      <c r="B8132" s="130" t="n">
        <v>2027</v>
      </c>
      <c r="C8132" s="131" t="s">
        <v>253</v>
      </c>
      <c r="D8132" s="132" t="n">
        <v>46703</v>
      </c>
      <c r="E8132" s="131" t="s">
        <v>56</v>
      </c>
      <c r="F8132" s="133" t="s">
        <v>11</v>
      </c>
      <c r="G8132" s="134" t="n">
        <f aca="false">LEN('Saisie programme'!$H$313)+SUMIFS('Vols additionnels'!$E$7:$E$66,'Vols additionnels'!$C$7:$C$66,$E8132,'Vols additionnels'!$D$7:$D$66,$F8132,'Vols additionnels'!$B$7:$B$66,$D8132)</f>
        <v>0</v>
      </c>
      <c r="H8132" s="135" t="n">
        <f aca="false">$G8132*'Analyse capacite'!$F$7</f>
        <v>0</v>
      </c>
      <c r="I8132" s="135" t="n">
        <f aca="false">$G8132*'Analyse capacite'!$C$7</f>
        <v>0</v>
      </c>
      <c r="J8132" s="135" t="n">
        <f aca="false">$G8132*'Analyse capacite'!$D$7</f>
        <v>0</v>
      </c>
      <c r="K8132" s="135" t="n">
        <f aca="false">$G8132*'Analyse capacite'!$E$7</f>
        <v>0</v>
      </c>
    </row>
    <row r="8133" customFormat="false" ht="15" hidden="false" customHeight="false" outlineLevel="0" collapsed="false">
      <c r="B8133" s="130" t="n">
        <v>2027</v>
      </c>
      <c r="C8133" s="131" t="s">
        <v>253</v>
      </c>
      <c r="D8133" s="132" t="n">
        <v>46703</v>
      </c>
      <c r="E8133" s="131" t="s">
        <v>56</v>
      </c>
      <c r="F8133" s="133" t="s">
        <v>19</v>
      </c>
      <c r="G8133" s="134" t="n">
        <f aca="false">LEN('Saisie programme'!$H$314)+SUMIFS('Vols additionnels'!$E$7:$E$66,'Vols additionnels'!$C$7:$C$66,$E8133,'Vols additionnels'!$D$7:$D$66,$F8133,'Vols additionnels'!$B$7:$B$66,$D8133)</f>
        <v>0</v>
      </c>
      <c r="H8133" s="135" t="n">
        <f aca="false">$G8133*'Analyse capacite'!$F$8</f>
        <v>0</v>
      </c>
      <c r="I8133" s="135" t="n">
        <f aca="false">$G8133*'Analyse capacite'!$C$8</f>
        <v>0</v>
      </c>
      <c r="J8133" s="135" t="n">
        <f aca="false">$G8133*'Analyse capacite'!$D$8</f>
        <v>0</v>
      </c>
      <c r="K8133" s="135" t="n">
        <f aca="false">$G8133*'Analyse capacite'!$E$8</f>
        <v>0</v>
      </c>
    </row>
    <row r="8134" customFormat="false" ht="15" hidden="false" customHeight="false" outlineLevel="0" collapsed="false">
      <c r="B8134" s="130" t="n">
        <v>2027</v>
      </c>
      <c r="C8134" s="131" t="s">
        <v>253</v>
      </c>
      <c r="D8134" s="132" t="n">
        <v>46703</v>
      </c>
      <c r="E8134" s="131" t="s">
        <v>56</v>
      </c>
      <c r="F8134" s="133" t="s">
        <v>24</v>
      </c>
      <c r="G8134" s="134" t="n">
        <f aca="false">LEN('Saisie programme'!$H$315)+SUMIFS('Vols additionnels'!$E$7:$E$66,'Vols additionnels'!$C$7:$C$66,$E8134,'Vols additionnels'!$D$7:$D$66,$F8134,'Vols additionnels'!$B$7:$B$66,$D8134)</f>
        <v>0</v>
      </c>
      <c r="H8134" s="135" t="n">
        <f aca="false">$G8134*'Analyse capacite'!$F$9</f>
        <v>0</v>
      </c>
      <c r="I8134" s="135" t="n">
        <f aca="false">$G8134*'Analyse capacite'!$C$9</f>
        <v>0</v>
      </c>
      <c r="J8134" s="135" t="n">
        <f aca="false">$G8134*'Analyse capacite'!$D$9</f>
        <v>0</v>
      </c>
      <c r="K8134" s="135" t="n">
        <f aca="false">$G8134*'Analyse capacite'!$E$9</f>
        <v>0</v>
      </c>
    </row>
    <row r="8135" customFormat="false" ht="15" hidden="false" customHeight="false" outlineLevel="0" collapsed="false">
      <c r="B8135" s="130" t="n">
        <v>2027</v>
      </c>
      <c r="C8135" s="131" t="s">
        <v>253</v>
      </c>
      <c r="D8135" s="132" t="n">
        <v>46703</v>
      </c>
      <c r="E8135" s="131" t="s">
        <v>59</v>
      </c>
      <c r="F8135" s="133" t="s">
        <v>11</v>
      </c>
      <c r="G8135" s="134" t="n">
        <f aca="false">LEN('Saisie programme'!$H$316)+SUMIFS('Vols additionnels'!$E$7:$E$66,'Vols additionnels'!$C$7:$C$66,$E8135,'Vols additionnels'!$D$7:$D$66,$F8135,'Vols additionnels'!$B$7:$B$66,$D8135)</f>
        <v>0</v>
      </c>
      <c r="H8135" s="135" t="n">
        <f aca="false">$G8135*'Analyse capacite'!$F$7</f>
        <v>0</v>
      </c>
      <c r="I8135" s="135" t="n">
        <f aca="false">$G8135*'Analyse capacite'!$C$7</f>
        <v>0</v>
      </c>
      <c r="J8135" s="135" t="n">
        <f aca="false">$G8135*'Analyse capacite'!$D$7</f>
        <v>0</v>
      </c>
      <c r="K8135" s="135" t="n">
        <f aca="false">$G8135*'Analyse capacite'!$E$7</f>
        <v>0</v>
      </c>
    </row>
    <row r="8136" customFormat="false" ht="15" hidden="false" customHeight="false" outlineLevel="0" collapsed="false">
      <c r="B8136" s="130" t="n">
        <v>2027</v>
      </c>
      <c r="C8136" s="131" t="s">
        <v>253</v>
      </c>
      <c r="D8136" s="132" t="n">
        <v>46703</v>
      </c>
      <c r="E8136" s="131" t="s">
        <v>59</v>
      </c>
      <c r="F8136" s="133" t="s">
        <v>19</v>
      </c>
      <c r="G8136" s="134" t="n">
        <f aca="false">LEN('Saisie programme'!$H$317)+SUMIFS('Vols additionnels'!$E$7:$E$66,'Vols additionnels'!$C$7:$C$66,$E8136,'Vols additionnels'!$D$7:$D$66,$F8136,'Vols additionnels'!$B$7:$B$66,$D8136)</f>
        <v>0</v>
      </c>
      <c r="H8136" s="135" t="n">
        <f aca="false">$G8136*'Analyse capacite'!$F$8</f>
        <v>0</v>
      </c>
      <c r="I8136" s="135" t="n">
        <f aca="false">$G8136*'Analyse capacite'!$C$8</f>
        <v>0</v>
      </c>
      <c r="J8136" s="135" t="n">
        <f aca="false">$G8136*'Analyse capacite'!$D$8</f>
        <v>0</v>
      </c>
      <c r="K8136" s="135" t="n">
        <f aca="false">$G8136*'Analyse capacite'!$E$8</f>
        <v>0</v>
      </c>
    </row>
    <row r="8137" customFormat="false" ht="15" hidden="false" customHeight="false" outlineLevel="0" collapsed="false">
      <c r="B8137" s="130" t="n">
        <v>2027</v>
      </c>
      <c r="C8137" s="131" t="s">
        <v>253</v>
      </c>
      <c r="D8137" s="132" t="n">
        <v>46703</v>
      </c>
      <c r="E8137" s="131" t="s">
        <v>59</v>
      </c>
      <c r="F8137" s="133" t="s">
        <v>24</v>
      </c>
      <c r="G8137" s="134" t="n">
        <f aca="false">LEN('Saisie programme'!$H$318)+SUMIFS('Vols additionnels'!$E$7:$E$66,'Vols additionnels'!$C$7:$C$66,$E8137,'Vols additionnels'!$D$7:$D$66,$F8137,'Vols additionnels'!$B$7:$B$66,$D8137)</f>
        <v>1</v>
      </c>
      <c r="H8137" s="135" t="n">
        <f aca="false">$G8137*'Analyse capacite'!$F$9</f>
        <v>174</v>
      </c>
      <c r="I8137" s="135" t="n">
        <f aca="false">$G8137*'Analyse capacite'!$C$9</f>
        <v>0</v>
      </c>
      <c r="J8137" s="135" t="n">
        <f aca="false">$G8137*'Analyse capacite'!$D$9</f>
        <v>12</v>
      </c>
      <c r="K8137" s="135" t="n">
        <f aca="false">$G8137*'Analyse capacite'!$E$9</f>
        <v>162</v>
      </c>
    </row>
    <row r="8138" customFormat="false" ht="15" hidden="false" customHeight="false" outlineLevel="0" collapsed="false">
      <c r="B8138" s="130" t="n">
        <v>2027</v>
      </c>
      <c r="C8138" s="131" t="s">
        <v>253</v>
      </c>
      <c r="D8138" s="132" t="n">
        <v>46703</v>
      </c>
      <c r="E8138" s="131" t="s">
        <v>62</v>
      </c>
      <c r="F8138" s="133" t="s">
        <v>11</v>
      </c>
      <c r="G8138" s="134" t="n">
        <f aca="false">LEN('Saisie programme'!$H$319)+SUMIFS('Vols additionnels'!$E$7:$E$66,'Vols additionnels'!$C$7:$C$66,$E8138,'Vols additionnels'!$D$7:$D$66,$F8138,'Vols additionnels'!$B$7:$B$66,$D8138)</f>
        <v>0</v>
      </c>
      <c r="H8138" s="135" t="n">
        <f aca="false">$G8138*'Analyse capacite'!$F$7</f>
        <v>0</v>
      </c>
      <c r="I8138" s="135" t="n">
        <f aca="false">$G8138*'Analyse capacite'!$C$7</f>
        <v>0</v>
      </c>
      <c r="J8138" s="135" t="n">
        <f aca="false">$G8138*'Analyse capacite'!$D$7</f>
        <v>0</v>
      </c>
      <c r="K8138" s="135" t="n">
        <f aca="false">$G8138*'Analyse capacite'!$E$7</f>
        <v>0</v>
      </c>
    </row>
    <row r="8139" customFormat="false" ht="15" hidden="false" customHeight="false" outlineLevel="0" collapsed="false">
      <c r="B8139" s="130" t="n">
        <v>2027</v>
      </c>
      <c r="C8139" s="131" t="s">
        <v>253</v>
      </c>
      <c r="D8139" s="132" t="n">
        <v>46703</v>
      </c>
      <c r="E8139" s="131" t="s">
        <v>62</v>
      </c>
      <c r="F8139" s="133" t="s">
        <v>19</v>
      </c>
      <c r="G8139" s="134" t="n">
        <f aca="false">LEN('Saisie programme'!$H$320)+SUMIFS('Vols additionnels'!$E$7:$E$66,'Vols additionnels'!$C$7:$C$66,$E8139,'Vols additionnels'!$D$7:$D$66,$F8139,'Vols additionnels'!$B$7:$B$66,$D8139)</f>
        <v>0</v>
      </c>
      <c r="H8139" s="135" t="n">
        <f aca="false">$G8139*'Analyse capacite'!$F$8</f>
        <v>0</v>
      </c>
      <c r="I8139" s="135" t="n">
        <f aca="false">$G8139*'Analyse capacite'!$C$8</f>
        <v>0</v>
      </c>
      <c r="J8139" s="135" t="n">
        <f aca="false">$G8139*'Analyse capacite'!$D$8</f>
        <v>0</v>
      </c>
      <c r="K8139" s="135" t="n">
        <f aca="false">$G8139*'Analyse capacite'!$E$8</f>
        <v>0</v>
      </c>
    </row>
    <row r="8140" customFormat="false" ht="15" hidden="false" customHeight="false" outlineLevel="0" collapsed="false">
      <c r="B8140" s="130" t="n">
        <v>2027</v>
      </c>
      <c r="C8140" s="131" t="s">
        <v>253</v>
      </c>
      <c r="D8140" s="132" t="n">
        <v>46703</v>
      </c>
      <c r="E8140" s="131" t="s">
        <v>62</v>
      </c>
      <c r="F8140" s="133" t="s">
        <v>24</v>
      </c>
      <c r="G8140" s="134" t="n">
        <f aca="false">LEN('Saisie programme'!$H$321)+SUMIFS('Vols additionnels'!$E$7:$E$66,'Vols additionnels'!$C$7:$C$66,$E8140,'Vols additionnels'!$D$7:$D$66,$F8140,'Vols additionnels'!$B$7:$B$66,$D8140)</f>
        <v>0</v>
      </c>
      <c r="H8140" s="135" t="n">
        <f aca="false">$G8140*'Analyse capacite'!$F$9</f>
        <v>0</v>
      </c>
      <c r="I8140" s="135" t="n">
        <f aca="false">$G8140*'Analyse capacite'!$C$9</f>
        <v>0</v>
      </c>
      <c r="J8140" s="135" t="n">
        <f aca="false">$G8140*'Analyse capacite'!$D$9</f>
        <v>0</v>
      </c>
      <c r="K8140" s="135" t="n">
        <f aca="false">$G8140*'Analyse capacite'!$E$9</f>
        <v>0</v>
      </c>
    </row>
    <row r="8141" customFormat="false" ht="15" hidden="false" customHeight="false" outlineLevel="0" collapsed="false">
      <c r="B8141" s="130" t="n">
        <v>2027</v>
      </c>
      <c r="C8141" s="131" t="s">
        <v>253</v>
      </c>
      <c r="D8141" s="132" t="n">
        <v>46704</v>
      </c>
      <c r="E8141" s="131" t="s">
        <v>12</v>
      </c>
      <c r="F8141" s="133" t="s">
        <v>11</v>
      </c>
      <c r="G8141" s="134" t="n">
        <f aca="false">LEN('Saisie programme'!$I$286)+SUMIFS('Vols additionnels'!$E$7:$E$66,'Vols additionnels'!$C$7:$C$66,$E8141,'Vols additionnels'!$D$7:$D$66,$F8141,'Vols additionnels'!$B$7:$B$66,$D8141)</f>
        <v>1</v>
      </c>
      <c r="H8141" s="135" t="n">
        <f aca="false">$G8141*'Analyse capacite'!$F$7</f>
        <v>438</v>
      </c>
      <c r="I8141" s="135" t="n">
        <f aca="false">$G8141*'Analyse capacite'!$C$7</f>
        <v>14</v>
      </c>
      <c r="J8141" s="135" t="n">
        <f aca="false">$G8141*'Analyse capacite'!$D$7</f>
        <v>40</v>
      </c>
      <c r="K8141" s="135" t="n">
        <f aca="false">$G8141*'Analyse capacite'!$E$7</f>
        <v>384</v>
      </c>
    </row>
    <row r="8142" customFormat="false" ht="15" hidden="false" customHeight="false" outlineLevel="0" collapsed="false">
      <c r="B8142" s="130" t="n">
        <v>2027</v>
      </c>
      <c r="C8142" s="131" t="s">
        <v>253</v>
      </c>
      <c r="D8142" s="132" t="n">
        <v>46704</v>
      </c>
      <c r="E8142" s="131" t="s">
        <v>12</v>
      </c>
      <c r="F8142" s="133" t="s">
        <v>19</v>
      </c>
      <c r="G8142" s="134" t="n">
        <f aca="false">LEN('Saisie programme'!$I$287)+SUMIFS('Vols additionnels'!$E$7:$E$66,'Vols additionnels'!$C$7:$C$66,$E8142,'Vols additionnels'!$D$7:$D$66,$F8142,'Vols additionnels'!$B$7:$B$66,$D8142)</f>
        <v>0</v>
      </c>
      <c r="H8142" s="135" t="n">
        <f aca="false">$G8142*'Analyse capacite'!$F$8</f>
        <v>0</v>
      </c>
      <c r="I8142" s="135" t="n">
        <f aca="false">$G8142*'Analyse capacite'!$C$8</f>
        <v>0</v>
      </c>
      <c r="J8142" s="135" t="n">
        <f aca="false">$G8142*'Analyse capacite'!$D$8</f>
        <v>0</v>
      </c>
      <c r="K8142" s="135" t="n">
        <f aca="false">$G8142*'Analyse capacite'!$E$8</f>
        <v>0</v>
      </c>
    </row>
    <row r="8143" customFormat="false" ht="15" hidden="false" customHeight="false" outlineLevel="0" collapsed="false">
      <c r="B8143" s="130" t="n">
        <v>2027</v>
      </c>
      <c r="C8143" s="131" t="s">
        <v>253</v>
      </c>
      <c r="D8143" s="132" t="n">
        <v>46704</v>
      </c>
      <c r="E8143" s="131" t="s">
        <v>12</v>
      </c>
      <c r="F8143" s="133" t="s">
        <v>24</v>
      </c>
      <c r="G8143" s="134" t="n">
        <f aca="false">LEN('Saisie programme'!$I$288)+SUMIFS('Vols additionnels'!$E$7:$E$66,'Vols additionnels'!$C$7:$C$66,$E8143,'Vols additionnels'!$D$7:$D$66,$F8143,'Vols additionnels'!$B$7:$B$66,$D8143)</f>
        <v>0</v>
      </c>
      <c r="H8143" s="135" t="n">
        <f aca="false">$G8143*'Analyse capacite'!$F$9</f>
        <v>0</v>
      </c>
      <c r="I8143" s="135" t="n">
        <f aca="false">$G8143*'Analyse capacite'!$C$9</f>
        <v>0</v>
      </c>
      <c r="J8143" s="135" t="n">
        <f aca="false">$G8143*'Analyse capacite'!$D$9</f>
        <v>0</v>
      </c>
      <c r="K8143" s="135" t="n">
        <f aca="false">$G8143*'Analyse capacite'!$E$9</f>
        <v>0</v>
      </c>
    </row>
    <row r="8144" customFormat="false" ht="15" hidden="false" customHeight="false" outlineLevel="0" collapsed="false">
      <c r="B8144" s="130" t="n">
        <v>2027</v>
      </c>
      <c r="C8144" s="131" t="s">
        <v>253</v>
      </c>
      <c r="D8144" s="132" t="n">
        <v>46704</v>
      </c>
      <c r="E8144" s="131" t="s">
        <v>20</v>
      </c>
      <c r="F8144" s="133" t="s">
        <v>11</v>
      </c>
      <c r="G8144" s="134" t="n">
        <f aca="false">LEN('Saisie programme'!$I$289)+SUMIFS('Vols additionnels'!$E$7:$E$66,'Vols additionnels'!$C$7:$C$66,$E8144,'Vols additionnels'!$D$7:$D$66,$F8144,'Vols additionnels'!$B$7:$B$66,$D8144)</f>
        <v>0</v>
      </c>
      <c r="H8144" s="135" t="n">
        <f aca="false">$G8144*'Analyse capacite'!$F$7</f>
        <v>0</v>
      </c>
      <c r="I8144" s="135" t="n">
        <f aca="false">$G8144*'Analyse capacite'!$C$7</f>
        <v>0</v>
      </c>
      <c r="J8144" s="135" t="n">
        <f aca="false">$G8144*'Analyse capacite'!$D$7</f>
        <v>0</v>
      </c>
      <c r="K8144" s="135" t="n">
        <f aca="false">$G8144*'Analyse capacite'!$E$7</f>
        <v>0</v>
      </c>
    </row>
    <row r="8145" customFormat="false" ht="15" hidden="false" customHeight="false" outlineLevel="0" collapsed="false">
      <c r="B8145" s="130" t="n">
        <v>2027</v>
      </c>
      <c r="C8145" s="131" t="s">
        <v>253</v>
      </c>
      <c r="D8145" s="132" t="n">
        <v>46704</v>
      </c>
      <c r="E8145" s="131" t="s">
        <v>20</v>
      </c>
      <c r="F8145" s="133" t="s">
        <v>19</v>
      </c>
      <c r="G8145" s="134" t="n">
        <f aca="false">LEN('Saisie programme'!$I$290)+SUMIFS('Vols additionnels'!$E$7:$E$66,'Vols additionnels'!$C$7:$C$66,$E8145,'Vols additionnels'!$D$7:$D$66,$F8145,'Vols additionnels'!$B$7:$B$66,$D8145)</f>
        <v>0</v>
      </c>
      <c r="H8145" s="135" t="n">
        <f aca="false">$G8145*'Analyse capacite'!$F$8</f>
        <v>0</v>
      </c>
      <c r="I8145" s="135" t="n">
        <f aca="false">$G8145*'Analyse capacite'!$C$8</f>
        <v>0</v>
      </c>
      <c r="J8145" s="135" t="n">
        <f aca="false">$G8145*'Analyse capacite'!$D$8</f>
        <v>0</v>
      </c>
      <c r="K8145" s="135" t="n">
        <f aca="false">$G8145*'Analyse capacite'!$E$8</f>
        <v>0</v>
      </c>
    </row>
    <row r="8146" customFormat="false" ht="15" hidden="false" customHeight="false" outlineLevel="0" collapsed="false">
      <c r="B8146" s="130" t="n">
        <v>2027</v>
      </c>
      <c r="C8146" s="131" t="s">
        <v>253</v>
      </c>
      <c r="D8146" s="132" t="n">
        <v>46704</v>
      </c>
      <c r="E8146" s="131" t="s">
        <v>20</v>
      </c>
      <c r="F8146" s="133" t="s">
        <v>24</v>
      </c>
      <c r="G8146" s="134" t="n">
        <f aca="false">LEN('Saisie programme'!$I$291)+SUMIFS('Vols additionnels'!$E$7:$E$66,'Vols additionnels'!$C$7:$C$66,$E8146,'Vols additionnels'!$D$7:$D$66,$F8146,'Vols additionnels'!$B$7:$B$66,$D8146)</f>
        <v>0</v>
      </c>
      <c r="H8146" s="135" t="n">
        <f aca="false">$G8146*'Analyse capacite'!$F$9</f>
        <v>0</v>
      </c>
      <c r="I8146" s="135" t="n">
        <f aca="false">$G8146*'Analyse capacite'!$C$9</f>
        <v>0</v>
      </c>
      <c r="J8146" s="135" t="n">
        <f aca="false">$G8146*'Analyse capacite'!$D$9</f>
        <v>0</v>
      </c>
      <c r="K8146" s="135" t="n">
        <f aca="false">$G8146*'Analyse capacite'!$E$9</f>
        <v>0</v>
      </c>
    </row>
    <row r="8147" customFormat="false" ht="15" hidden="false" customHeight="false" outlineLevel="0" collapsed="false">
      <c r="B8147" s="130" t="n">
        <v>2027</v>
      </c>
      <c r="C8147" s="131" t="s">
        <v>253</v>
      </c>
      <c r="D8147" s="132" t="n">
        <v>46704</v>
      </c>
      <c r="E8147" s="131" t="s">
        <v>25</v>
      </c>
      <c r="F8147" s="133" t="s">
        <v>11</v>
      </c>
      <c r="G8147" s="134" t="n">
        <f aca="false">LEN('Saisie programme'!$I$292)+SUMIFS('Vols additionnels'!$E$7:$E$66,'Vols additionnels'!$C$7:$C$66,$E8147,'Vols additionnels'!$D$7:$D$66,$F8147,'Vols additionnels'!$B$7:$B$66,$D8147)</f>
        <v>0</v>
      </c>
      <c r="H8147" s="135" t="n">
        <f aca="false">$G8147*'Analyse capacite'!$F$7</f>
        <v>0</v>
      </c>
      <c r="I8147" s="135" t="n">
        <f aca="false">$G8147*'Analyse capacite'!$C$7</f>
        <v>0</v>
      </c>
      <c r="J8147" s="135" t="n">
        <f aca="false">$G8147*'Analyse capacite'!$D$7</f>
        <v>0</v>
      </c>
      <c r="K8147" s="135" t="n">
        <f aca="false">$G8147*'Analyse capacite'!$E$7</f>
        <v>0</v>
      </c>
    </row>
    <row r="8148" customFormat="false" ht="15" hidden="false" customHeight="false" outlineLevel="0" collapsed="false">
      <c r="B8148" s="130" t="n">
        <v>2027</v>
      </c>
      <c r="C8148" s="131" t="s">
        <v>253</v>
      </c>
      <c r="D8148" s="132" t="n">
        <v>46704</v>
      </c>
      <c r="E8148" s="131" t="s">
        <v>25</v>
      </c>
      <c r="F8148" s="133" t="s">
        <v>19</v>
      </c>
      <c r="G8148" s="134" t="n">
        <f aca="false">LEN('Saisie programme'!$I$293)+SUMIFS('Vols additionnels'!$E$7:$E$66,'Vols additionnels'!$C$7:$C$66,$E8148,'Vols additionnels'!$D$7:$D$66,$F8148,'Vols additionnels'!$B$7:$B$66,$D8148)</f>
        <v>1</v>
      </c>
      <c r="H8148" s="135" t="n">
        <f aca="false">$G8148*'Analyse capacite'!$F$8</f>
        <v>262</v>
      </c>
      <c r="I8148" s="135" t="n">
        <f aca="false">$G8148*'Analyse capacite'!$C$8</f>
        <v>18</v>
      </c>
      <c r="J8148" s="135" t="n">
        <f aca="false">$G8148*'Analyse capacite'!$D$8</f>
        <v>0</v>
      </c>
      <c r="K8148" s="135" t="n">
        <f aca="false">$G8148*'Analyse capacite'!$E$8</f>
        <v>244</v>
      </c>
    </row>
    <row r="8149" customFormat="false" ht="15" hidden="false" customHeight="false" outlineLevel="0" collapsed="false">
      <c r="B8149" s="130" t="n">
        <v>2027</v>
      </c>
      <c r="C8149" s="131" t="s">
        <v>253</v>
      </c>
      <c r="D8149" s="132" t="n">
        <v>46704</v>
      </c>
      <c r="E8149" s="131" t="s">
        <v>25</v>
      </c>
      <c r="F8149" s="133" t="s">
        <v>24</v>
      </c>
      <c r="G8149" s="134" t="n">
        <f aca="false">LEN('Saisie programme'!$I$294)+SUMIFS('Vols additionnels'!$E$7:$E$66,'Vols additionnels'!$C$7:$C$66,$E8149,'Vols additionnels'!$D$7:$D$66,$F8149,'Vols additionnels'!$B$7:$B$66,$D8149)</f>
        <v>0</v>
      </c>
      <c r="H8149" s="135" t="n">
        <f aca="false">$G8149*'Analyse capacite'!$F$9</f>
        <v>0</v>
      </c>
      <c r="I8149" s="135" t="n">
        <f aca="false">$G8149*'Analyse capacite'!$C$9</f>
        <v>0</v>
      </c>
      <c r="J8149" s="135" t="n">
        <f aca="false">$G8149*'Analyse capacite'!$D$9</f>
        <v>0</v>
      </c>
      <c r="K8149" s="135" t="n">
        <f aca="false">$G8149*'Analyse capacite'!$E$9</f>
        <v>0</v>
      </c>
    </row>
    <row r="8150" customFormat="false" ht="15" hidden="false" customHeight="false" outlineLevel="0" collapsed="false">
      <c r="B8150" s="130" t="n">
        <v>2027</v>
      </c>
      <c r="C8150" s="131" t="s">
        <v>253</v>
      </c>
      <c r="D8150" s="132" t="n">
        <v>46704</v>
      </c>
      <c r="E8150" s="131" t="s">
        <v>36</v>
      </c>
      <c r="F8150" s="133" t="s">
        <v>11</v>
      </c>
      <c r="G8150" s="134" t="n">
        <f aca="false">LEN('Saisie programme'!$I$295)+SUMIFS('Vols additionnels'!$E$7:$E$66,'Vols additionnels'!$C$7:$C$66,$E8150,'Vols additionnels'!$D$7:$D$66,$F8150,'Vols additionnels'!$B$7:$B$66,$D8150)</f>
        <v>0</v>
      </c>
      <c r="H8150" s="135" t="n">
        <f aca="false">$G8150*'Analyse capacite'!$F$7</f>
        <v>0</v>
      </c>
      <c r="I8150" s="135" t="n">
        <f aca="false">$G8150*'Analyse capacite'!$C$7</f>
        <v>0</v>
      </c>
      <c r="J8150" s="135" t="n">
        <f aca="false">$G8150*'Analyse capacite'!$D$7</f>
        <v>0</v>
      </c>
      <c r="K8150" s="135" t="n">
        <f aca="false">$G8150*'Analyse capacite'!$E$7</f>
        <v>0</v>
      </c>
    </row>
    <row r="8151" customFormat="false" ht="15" hidden="false" customHeight="false" outlineLevel="0" collapsed="false">
      <c r="B8151" s="130" t="n">
        <v>2027</v>
      </c>
      <c r="C8151" s="131" t="s">
        <v>253</v>
      </c>
      <c r="D8151" s="132" t="n">
        <v>46704</v>
      </c>
      <c r="E8151" s="131" t="s">
        <v>36</v>
      </c>
      <c r="F8151" s="133" t="s">
        <v>19</v>
      </c>
      <c r="G8151" s="134" t="n">
        <f aca="false">LEN('Saisie programme'!$I$296)+SUMIFS('Vols additionnels'!$E$7:$E$66,'Vols additionnels'!$C$7:$C$66,$E8151,'Vols additionnels'!$D$7:$D$66,$F8151,'Vols additionnels'!$B$7:$B$66,$D8151)</f>
        <v>0</v>
      </c>
      <c r="H8151" s="135" t="n">
        <f aca="false">$G8151*'Analyse capacite'!$F$8</f>
        <v>0</v>
      </c>
      <c r="I8151" s="135" t="n">
        <f aca="false">$G8151*'Analyse capacite'!$C$8</f>
        <v>0</v>
      </c>
      <c r="J8151" s="135" t="n">
        <f aca="false">$G8151*'Analyse capacite'!$D$8</f>
        <v>0</v>
      </c>
      <c r="K8151" s="135" t="n">
        <f aca="false">$G8151*'Analyse capacite'!$E$8</f>
        <v>0</v>
      </c>
    </row>
    <row r="8152" customFormat="false" ht="15" hidden="false" customHeight="false" outlineLevel="0" collapsed="false">
      <c r="B8152" s="130" t="n">
        <v>2027</v>
      </c>
      <c r="C8152" s="131" t="s">
        <v>253</v>
      </c>
      <c r="D8152" s="132" t="n">
        <v>46704</v>
      </c>
      <c r="E8152" s="131" t="s">
        <v>36</v>
      </c>
      <c r="F8152" s="133" t="s">
        <v>24</v>
      </c>
      <c r="G8152" s="134" t="n">
        <f aca="false">LEN('Saisie programme'!$I$297)+SUMIFS('Vols additionnels'!$E$7:$E$66,'Vols additionnels'!$C$7:$C$66,$E8152,'Vols additionnels'!$D$7:$D$66,$F8152,'Vols additionnels'!$B$7:$B$66,$D8152)</f>
        <v>0</v>
      </c>
      <c r="H8152" s="135" t="n">
        <f aca="false">$G8152*'Analyse capacite'!$F$9</f>
        <v>0</v>
      </c>
      <c r="I8152" s="135" t="n">
        <f aca="false">$G8152*'Analyse capacite'!$C$9</f>
        <v>0</v>
      </c>
      <c r="J8152" s="135" t="n">
        <f aca="false">$G8152*'Analyse capacite'!$D$9</f>
        <v>0</v>
      </c>
      <c r="K8152" s="135" t="n">
        <f aca="false">$G8152*'Analyse capacite'!$E$9</f>
        <v>0</v>
      </c>
    </row>
    <row r="8153" customFormat="false" ht="15" hidden="false" customHeight="false" outlineLevel="0" collapsed="false">
      <c r="B8153" s="130" t="n">
        <v>2027</v>
      </c>
      <c r="C8153" s="131" t="s">
        <v>253</v>
      </c>
      <c r="D8153" s="132" t="n">
        <v>46704</v>
      </c>
      <c r="E8153" s="131" t="s">
        <v>40</v>
      </c>
      <c r="F8153" s="133" t="s">
        <v>11</v>
      </c>
      <c r="G8153" s="134" t="n">
        <f aca="false">LEN('Saisie programme'!$I$298)+SUMIFS('Vols additionnels'!$E$7:$E$66,'Vols additionnels'!$C$7:$C$66,$E8153,'Vols additionnels'!$D$7:$D$66,$F8153,'Vols additionnels'!$B$7:$B$66,$D8153)</f>
        <v>0</v>
      </c>
      <c r="H8153" s="135" t="n">
        <f aca="false">$G8153*'Analyse capacite'!$F$7</f>
        <v>0</v>
      </c>
      <c r="I8153" s="135" t="n">
        <f aca="false">$G8153*'Analyse capacite'!$C$7</f>
        <v>0</v>
      </c>
      <c r="J8153" s="135" t="n">
        <f aca="false">$G8153*'Analyse capacite'!$D$7</f>
        <v>0</v>
      </c>
      <c r="K8153" s="135" t="n">
        <f aca="false">$G8153*'Analyse capacite'!$E$7</f>
        <v>0</v>
      </c>
    </row>
    <row r="8154" customFormat="false" ht="15" hidden="false" customHeight="false" outlineLevel="0" collapsed="false">
      <c r="B8154" s="130" t="n">
        <v>2027</v>
      </c>
      <c r="C8154" s="131" t="s">
        <v>253</v>
      </c>
      <c r="D8154" s="132" t="n">
        <v>46704</v>
      </c>
      <c r="E8154" s="131" t="s">
        <v>40</v>
      </c>
      <c r="F8154" s="133" t="s">
        <v>19</v>
      </c>
      <c r="G8154" s="134" t="n">
        <f aca="false">LEN('Saisie programme'!$I$299)+SUMIFS('Vols additionnels'!$E$7:$E$66,'Vols additionnels'!$C$7:$C$66,$E8154,'Vols additionnels'!$D$7:$D$66,$F8154,'Vols additionnels'!$B$7:$B$66,$D8154)</f>
        <v>0</v>
      </c>
      <c r="H8154" s="135" t="n">
        <f aca="false">$G8154*'Analyse capacite'!$F$8</f>
        <v>0</v>
      </c>
      <c r="I8154" s="135" t="n">
        <f aca="false">$G8154*'Analyse capacite'!$C$8</f>
        <v>0</v>
      </c>
      <c r="J8154" s="135" t="n">
        <f aca="false">$G8154*'Analyse capacite'!$D$8</f>
        <v>0</v>
      </c>
      <c r="K8154" s="135" t="n">
        <f aca="false">$G8154*'Analyse capacite'!$E$8</f>
        <v>0</v>
      </c>
    </row>
    <row r="8155" customFormat="false" ht="15" hidden="false" customHeight="false" outlineLevel="0" collapsed="false">
      <c r="B8155" s="130" t="n">
        <v>2027</v>
      </c>
      <c r="C8155" s="131" t="s">
        <v>253</v>
      </c>
      <c r="D8155" s="132" t="n">
        <v>46704</v>
      </c>
      <c r="E8155" s="131" t="s">
        <v>40</v>
      </c>
      <c r="F8155" s="133" t="s">
        <v>24</v>
      </c>
      <c r="G8155" s="134" t="n">
        <f aca="false">LEN('Saisie programme'!$I$300)+SUMIFS('Vols additionnels'!$E$7:$E$66,'Vols additionnels'!$C$7:$C$66,$E8155,'Vols additionnels'!$D$7:$D$66,$F8155,'Vols additionnels'!$B$7:$B$66,$D8155)</f>
        <v>0</v>
      </c>
      <c r="H8155" s="135" t="n">
        <f aca="false">$G8155*'Analyse capacite'!$F$9</f>
        <v>0</v>
      </c>
      <c r="I8155" s="135" t="n">
        <f aca="false">$G8155*'Analyse capacite'!$C$9</f>
        <v>0</v>
      </c>
      <c r="J8155" s="135" t="n">
        <f aca="false">$G8155*'Analyse capacite'!$D$9</f>
        <v>0</v>
      </c>
      <c r="K8155" s="135" t="n">
        <f aca="false">$G8155*'Analyse capacite'!$E$9</f>
        <v>0</v>
      </c>
    </row>
    <row r="8156" customFormat="false" ht="15" hidden="false" customHeight="false" outlineLevel="0" collapsed="false">
      <c r="B8156" s="130" t="n">
        <v>2027</v>
      </c>
      <c r="C8156" s="131" t="s">
        <v>253</v>
      </c>
      <c r="D8156" s="132" t="n">
        <v>46704</v>
      </c>
      <c r="E8156" s="131" t="s">
        <v>14</v>
      </c>
      <c r="F8156" s="133" t="s">
        <v>11</v>
      </c>
      <c r="G8156" s="134" t="n">
        <f aca="false">LEN('Saisie programme'!$I$301)+SUMIFS('Vols additionnels'!$E$7:$E$66,'Vols additionnels'!$C$7:$C$66,$E8156,'Vols additionnels'!$D$7:$D$66,$F8156,'Vols additionnels'!$B$7:$B$66,$D8156)</f>
        <v>0</v>
      </c>
      <c r="H8156" s="135" t="n">
        <f aca="false">$G8156*'Analyse capacite'!$F$7</f>
        <v>0</v>
      </c>
      <c r="I8156" s="135" t="n">
        <f aca="false">$G8156*'Analyse capacite'!$C$7</f>
        <v>0</v>
      </c>
      <c r="J8156" s="135" t="n">
        <f aca="false">$G8156*'Analyse capacite'!$D$7</f>
        <v>0</v>
      </c>
      <c r="K8156" s="135" t="n">
        <f aca="false">$G8156*'Analyse capacite'!$E$7</f>
        <v>0</v>
      </c>
    </row>
    <row r="8157" customFormat="false" ht="15" hidden="false" customHeight="false" outlineLevel="0" collapsed="false">
      <c r="B8157" s="130" t="n">
        <v>2027</v>
      </c>
      <c r="C8157" s="131" t="s">
        <v>253</v>
      </c>
      <c r="D8157" s="132" t="n">
        <v>46704</v>
      </c>
      <c r="E8157" s="131" t="s">
        <v>14</v>
      </c>
      <c r="F8157" s="133" t="s">
        <v>19</v>
      </c>
      <c r="G8157" s="134" t="n">
        <f aca="false">LEN('Saisie programme'!$I$302)+SUMIFS('Vols additionnels'!$E$7:$E$66,'Vols additionnels'!$C$7:$C$66,$E8157,'Vols additionnels'!$D$7:$D$66,$F8157,'Vols additionnels'!$B$7:$B$66,$D8157)</f>
        <v>0</v>
      </c>
      <c r="H8157" s="135" t="n">
        <f aca="false">$G8157*'Analyse capacite'!$F$8</f>
        <v>0</v>
      </c>
      <c r="I8157" s="135" t="n">
        <f aca="false">$G8157*'Analyse capacite'!$C$8</f>
        <v>0</v>
      </c>
      <c r="J8157" s="135" t="n">
        <f aca="false">$G8157*'Analyse capacite'!$D$8</f>
        <v>0</v>
      </c>
      <c r="K8157" s="135" t="n">
        <f aca="false">$G8157*'Analyse capacite'!$E$8</f>
        <v>0</v>
      </c>
    </row>
    <row r="8158" customFormat="false" ht="15" hidden="false" customHeight="false" outlineLevel="0" collapsed="false">
      <c r="B8158" s="130" t="n">
        <v>2027</v>
      </c>
      <c r="C8158" s="131" t="s">
        <v>253</v>
      </c>
      <c r="D8158" s="132" t="n">
        <v>46704</v>
      </c>
      <c r="E8158" s="131" t="s">
        <v>14</v>
      </c>
      <c r="F8158" s="133" t="s">
        <v>24</v>
      </c>
      <c r="G8158" s="134" t="n">
        <f aca="false">LEN('Saisie programme'!$I$303)+SUMIFS('Vols additionnels'!$E$7:$E$66,'Vols additionnels'!$C$7:$C$66,$E8158,'Vols additionnels'!$D$7:$D$66,$F8158,'Vols additionnels'!$B$7:$B$66,$D8158)</f>
        <v>1</v>
      </c>
      <c r="H8158" s="135" t="n">
        <f aca="false">$G8158*'Analyse capacite'!$F$9</f>
        <v>174</v>
      </c>
      <c r="I8158" s="135" t="n">
        <f aca="false">$G8158*'Analyse capacite'!$C$9</f>
        <v>0</v>
      </c>
      <c r="J8158" s="135" t="n">
        <f aca="false">$G8158*'Analyse capacite'!$D$9</f>
        <v>12</v>
      </c>
      <c r="K8158" s="135" t="n">
        <f aca="false">$G8158*'Analyse capacite'!$E$9</f>
        <v>162</v>
      </c>
    </row>
    <row r="8159" customFormat="false" ht="15" hidden="false" customHeight="false" outlineLevel="0" collapsed="false">
      <c r="B8159" s="130" t="n">
        <v>2027</v>
      </c>
      <c r="C8159" s="131" t="s">
        <v>253</v>
      </c>
      <c r="D8159" s="132" t="n">
        <v>46704</v>
      </c>
      <c r="E8159" s="131" t="s">
        <v>46</v>
      </c>
      <c r="F8159" s="133" t="s">
        <v>11</v>
      </c>
      <c r="G8159" s="134" t="n">
        <f aca="false">LEN('Saisie programme'!$I$304)+SUMIFS('Vols additionnels'!$E$7:$E$66,'Vols additionnels'!$C$7:$C$66,$E8159,'Vols additionnels'!$D$7:$D$66,$F8159,'Vols additionnels'!$B$7:$B$66,$D8159)</f>
        <v>0</v>
      </c>
      <c r="H8159" s="135" t="n">
        <f aca="false">$G8159*'Analyse capacite'!$F$7</f>
        <v>0</v>
      </c>
      <c r="I8159" s="135" t="n">
        <f aca="false">$G8159*'Analyse capacite'!$C$7</f>
        <v>0</v>
      </c>
      <c r="J8159" s="135" t="n">
        <f aca="false">$G8159*'Analyse capacite'!$D$7</f>
        <v>0</v>
      </c>
      <c r="K8159" s="135" t="n">
        <f aca="false">$G8159*'Analyse capacite'!$E$7</f>
        <v>0</v>
      </c>
    </row>
    <row r="8160" customFormat="false" ht="15" hidden="false" customHeight="false" outlineLevel="0" collapsed="false">
      <c r="B8160" s="130" t="n">
        <v>2027</v>
      </c>
      <c r="C8160" s="131" t="s">
        <v>253</v>
      </c>
      <c r="D8160" s="132" t="n">
        <v>46704</v>
      </c>
      <c r="E8160" s="131" t="s">
        <v>46</v>
      </c>
      <c r="F8160" s="133" t="s">
        <v>19</v>
      </c>
      <c r="G8160" s="134" t="n">
        <f aca="false">LEN('Saisie programme'!$I$305)+SUMIFS('Vols additionnels'!$E$7:$E$66,'Vols additionnels'!$C$7:$C$66,$E8160,'Vols additionnels'!$D$7:$D$66,$F8160,'Vols additionnels'!$B$7:$B$66,$D8160)</f>
        <v>0</v>
      </c>
      <c r="H8160" s="135" t="n">
        <f aca="false">$G8160*'Analyse capacite'!$F$8</f>
        <v>0</v>
      </c>
      <c r="I8160" s="135" t="n">
        <f aca="false">$G8160*'Analyse capacite'!$C$8</f>
        <v>0</v>
      </c>
      <c r="J8160" s="135" t="n">
        <f aca="false">$G8160*'Analyse capacite'!$D$8</f>
        <v>0</v>
      </c>
      <c r="K8160" s="135" t="n">
        <f aca="false">$G8160*'Analyse capacite'!$E$8</f>
        <v>0</v>
      </c>
    </row>
    <row r="8161" customFormat="false" ht="15" hidden="false" customHeight="false" outlineLevel="0" collapsed="false">
      <c r="B8161" s="130" t="n">
        <v>2027</v>
      </c>
      <c r="C8161" s="131" t="s">
        <v>253</v>
      </c>
      <c r="D8161" s="132" t="n">
        <v>46704</v>
      </c>
      <c r="E8161" s="131" t="s">
        <v>46</v>
      </c>
      <c r="F8161" s="133" t="s">
        <v>24</v>
      </c>
      <c r="G8161" s="134" t="n">
        <f aca="false">LEN('Saisie programme'!$I$306)+SUMIFS('Vols additionnels'!$E$7:$E$66,'Vols additionnels'!$C$7:$C$66,$E8161,'Vols additionnels'!$D$7:$D$66,$F8161,'Vols additionnels'!$B$7:$B$66,$D8161)</f>
        <v>1</v>
      </c>
      <c r="H8161" s="135" t="n">
        <f aca="false">$G8161*'Analyse capacite'!$F$9</f>
        <v>174</v>
      </c>
      <c r="I8161" s="135" t="n">
        <f aca="false">$G8161*'Analyse capacite'!$C$9</f>
        <v>0</v>
      </c>
      <c r="J8161" s="135" t="n">
        <f aca="false">$G8161*'Analyse capacite'!$D$9</f>
        <v>12</v>
      </c>
      <c r="K8161" s="135" t="n">
        <f aca="false">$G8161*'Analyse capacite'!$E$9</f>
        <v>162</v>
      </c>
    </row>
    <row r="8162" customFormat="false" ht="15" hidden="false" customHeight="false" outlineLevel="0" collapsed="false">
      <c r="B8162" s="130" t="n">
        <v>2027</v>
      </c>
      <c r="C8162" s="131" t="s">
        <v>253</v>
      </c>
      <c r="D8162" s="132" t="n">
        <v>46704</v>
      </c>
      <c r="E8162" s="131" t="s">
        <v>49</v>
      </c>
      <c r="F8162" s="133" t="s">
        <v>11</v>
      </c>
      <c r="G8162" s="134" t="n">
        <f aca="false">LEN('Saisie programme'!$I$307)+SUMIFS('Vols additionnels'!$E$7:$E$66,'Vols additionnels'!$C$7:$C$66,$E8162,'Vols additionnels'!$D$7:$D$66,$F8162,'Vols additionnels'!$B$7:$B$66,$D8162)</f>
        <v>0</v>
      </c>
      <c r="H8162" s="135" t="n">
        <f aca="false">$G8162*'Analyse capacite'!$F$7</f>
        <v>0</v>
      </c>
      <c r="I8162" s="135" t="n">
        <f aca="false">$G8162*'Analyse capacite'!$C$7</f>
        <v>0</v>
      </c>
      <c r="J8162" s="135" t="n">
        <f aca="false">$G8162*'Analyse capacite'!$D$7</f>
        <v>0</v>
      </c>
      <c r="K8162" s="135" t="n">
        <f aca="false">$G8162*'Analyse capacite'!$E$7</f>
        <v>0</v>
      </c>
    </row>
    <row r="8163" customFormat="false" ht="15" hidden="false" customHeight="false" outlineLevel="0" collapsed="false">
      <c r="B8163" s="130" t="n">
        <v>2027</v>
      </c>
      <c r="C8163" s="131" t="s">
        <v>253</v>
      </c>
      <c r="D8163" s="132" t="n">
        <v>46704</v>
      </c>
      <c r="E8163" s="131" t="s">
        <v>49</v>
      </c>
      <c r="F8163" s="133" t="s">
        <v>19</v>
      </c>
      <c r="G8163" s="134" t="n">
        <f aca="false">LEN('Saisie programme'!$I$308)+SUMIFS('Vols additionnels'!$E$7:$E$66,'Vols additionnels'!$C$7:$C$66,$E8163,'Vols additionnels'!$D$7:$D$66,$F8163,'Vols additionnels'!$B$7:$B$66,$D8163)</f>
        <v>0</v>
      </c>
      <c r="H8163" s="135" t="n">
        <f aca="false">$G8163*'Analyse capacite'!$F$8</f>
        <v>0</v>
      </c>
      <c r="I8163" s="135" t="n">
        <f aca="false">$G8163*'Analyse capacite'!$C$8</f>
        <v>0</v>
      </c>
      <c r="J8163" s="135" t="n">
        <f aca="false">$G8163*'Analyse capacite'!$D$8</f>
        <v>0</v>
      </c>
      <c r="K8163" s="135" t="n">
        <f aca="false">$G8163*'Analyse capacite'!$E$8</f>
        <v>0</v>
      </c>
    </row>
    <row r="8164" customFormat="false" ht="15" hidden="false" customHeight="false" outlineLevel="0" collapsed="false">
      <c r="B8164" s="130" t="n">
        <v>2027</v>
      </c>
      <c r="C8164" s="131" t="s">
        <v>253</v>
      </c>
      <c r="D8164" s="132" t="n">
        <v>46704</v>
      </c>
      <c r="E8164" s="131" t="s">
        <v>49</v>
      </c>
      <c r="F8164" s="133" t="s">
        <v>24</v>
      </c>
      <c r="G8164" s="134" t="n">
        <f aca="false">LEN('Saisie programme'!$I$309)+SUMIFS('Vols additionnels'!$E$7:$E$66,'Vols additionnels'!$C$7:$C$66,$E8164,'Vols additionnels'!$D$7:$D$66,$F8164,'Vols additionnels'!$B$7:$B$66,$D8164)</f>
        <v>0</v>
      </c>
      <c r="H8164" s="135" t="n">
        <f aca="false">$G8164*'Analyse capacite'!$F$9</f>
        <v>0</v>
      </c>
      <c r="I8164" s="135" t="n">
        <f aca="false">$G8164*'Analyse capacite'!$C$9</f>
        <v>0</v>
      </c>
      <c r="J8164" s="135" t="n">
        <f aca="false">$G8164*'Analyse capacite'!$D$9</f>
        <v>0</v>
      </c>
      <c r="K8164" s="135" t="n">
        <f aca="false">$G8164*'Analyse capacite'!$E$9</f>
        <v>0</v>
      </c>
    </row>
    <row r="8165" customFormat="false" ht="15" hidden="false" customHeight="false" outlineLevel="0" collapsed="false">
      <c r="B8165" s="130" t="n">
        <v>2027</v>
      </c>
      <c r="C8165" s="131" t="s">
        <v>253</v>
      </c>
      <c r="D8165" s="132" t="n">
        <v>46704</v>
      </c>
      <c r="E8165" s="131" t="s">
        <v>53</v>
      </c>
      <c r="F8165" s="133" t="s">
        <v>11</v>
      </c>
      <c r="G8165" s="134" t="n">
        <f aca="false">LEN('Saisie programme'!$I$310)+SUMIFS('Vols additionnels'!$E$7:$E$66,'Vols additionnels'!$C$7:$C$66,$E8165,'Vols additionnels'!$D$7:$D$66,$F8165,'Vols additionnels'!$B$7:$B$66,$D8165)</f>
        <v>0</v>
      </c>
      <c r="H8165" s="135" t="n">
        <f aca="false">$G8165*'Analyse capacite'!$F$7</f>
        <v>0</v>
      </c>
      <c r="I8165" s="135" t="n">
        <f aca="false">$G8165*'Analyse capacite'!$C$7</f>
        <v>0</v>
      </c>
      <c r="J8165" s="135" t="n">
        <f aca="false">$G8165*'Analyse capacite'!$D$7</f>
        <v>0</v>
      </c>
      <c r="K8165" s="135" t="n">
        <f aca="false">$G8165*'Analyse capacite'!$E$7</f>
        <v>0</v>
      </c>
    </row>
    <row r="8166" customFormat="false" ht="15" hidden="false" customHeight="false" outlineLevel="0" collapsed="false">
      <c r="B8166" s="130" t="n">
        <v>2027</v>
      </c>
      <c r="C8166" s="131" t="s">
        <v>253</v>
      </c>
      <c r="D8166" s="132" t="n">
        <v>46704</v>
      </c>
      <c r="E8166" s="131" t="s">
        <v>53</v>
      </c>
      <c r="F8166" s="133" t="s">
        <v>19</v>
      </c>
      <c r="G8166" s="134" t="n">
        <f aca="false">LEN('Saisie programme'!$I$311)+SUMIFS('Vols additionnels'!$E$7:$E$66,'Vols additionnels'!$C$7:$C$66,$E8166,'Vols additionnels'!$D$7:$D$66,$F8166,'Vols additionnels'!$B$7:$B$66,$D8166)</f>
        <v>0</v>
      </c>
      <c r="H8166" s="135" t="n">
        <f aca="false">$G8166*'Analyse capacite'!$F$8</f>
        <v>0</v>
      </c>
      <c r="I8166" s="135" t="n">
        <f aca="false">$G8166*'Analyse capacite'!$C$8</f>
        <v>0</v>
      </c>
      <c r="J8166" s="135" t="n">
        <f aca="false">$G8166*'Analyse capacite'!$D$8</f>
        <v>0</v>
      </c>
      <c r="K8166" s="135" t="n">
        <f aca="false">$G8166*'Analyse capacite'!$E$8</f>
        <v>0</v>
      </c>
    </row>
    <row r="8167" customFormat="false" ht="15" hidden="false" customHeight="false" outlineLevel="0" collapsed="false">
      <c r="B8167" s="130" t="n">
        <v>2027</v>
      </c>
      <c r="C8167" s="131" t="s">
        <v>253</v>
      </c>
      <c r="D8167" s="132" t="n">
        <v>46704</v>
      </c>
      <c r="E8167" s="131" t="s">
        <v>53</v>
      </c>
      <c r="F8167" s="133" t="s">
        <v>24</v>
      </c>
      <c r="G8167" s="134" t="n">
        <f aca="false">LEN('Saisie programme'!$I$312)+SUMIFS('Vols additionnels'!$E$7:$E$66,'Vols additionnels'!$C$7:$C$66,$E8167,'Vols additionnels'!$D$7:$D$66,$F8167,'Vols additionnels'!$B$7:$B$66,$D8167)</f>
        <v>0</v>
      </c>
      <c r="H8167" s="135" t="n">
        <f aca="false">$G8167*'Analyse capacite'!$F$9</f>
        <v>0</v>
      </c>
      <c r="I8167" s="135" t="n">
        <f aca="false">$G8167*'Analyse capacite'!$C$9</f>
        <v>0</v>
      </c>
      <c r="J8167" s="135" t="n">
        <f aca="false">$G8167*'Analyse capacite'!$D$9</f>
        <v>0</v>
      </c>
      <c r="K8167" s="135" t="n">
        <f aca="false">$G8167*'Analyse capacite'!$E$9</f>
        <v>0</v>
      </c>
    </row>
    <row r="8168" customFormat="false" ht="15" hidden="false" customHeight="false" outlineLevel="0" collapsed="false">
      <c r="B8168" s="130" t="n">
        <v>2027</v>
      </c>
      <c r="C8168" s="131" t="s">
        <v>253</v>
      </c>
      <c r="D8168" s="132" t="n">
        <v>46704</v>
      </c>
      <c r="E8168" s="131" t="s">
        <v>56</v>
      </c>
      <c r="F8168" s="133" t="s">
        <v>11</v>
      </c>
      <c r="G8168" s="134" t="n">
        <f aca="false">LEN('Saisie programme'!$I$313)+SUMIFS('Vols additionnels'!$E$7:$E$66,'Vols additionnels'!$C$7:$C$66,$E8168,'Vols additionnels'!$D$7:$D$66,$F8168,'Vols additionnels'!$B$7:$B$66,$D8168)</f>
        <v>0</v>
      </c>
      <c r="H8168" s="135" t="n">
        <f aca="false">$G8168*'Analyse capacite'!$F$7</f>
        <v>0</v>
      </c>
      <c r="I8168" s="135" t="n">
        <f aca="false">$G8168*'Analyse capacite'!$C$7</f>
        <v>0</v>
      </c>
      <c r="J8168" s="135" t="n">
        <f aca="false">$G8168*'Analyse capacite'!$D$7</f>
        <v>0</v>
      </c>
      <c r="K8168" s="135" t="n">
        <f aca="false">$G8168*'Analyse capacite'!$E$7</f>
        <v>0</v>
      </c>
    </row>
    <row r="8169" customFormat="false" ht="15" hidden="false" customHeight="false" outlineLevel="0" collapsed="false">
      <c r="B8169" s="130" t="n">
        <v>2027</v>
      </c>
      <c r="C8169" s="131" t="s">
        <v>253</v>
      </c>
      <c r="D8169" s="132" t="n">
        <v>46704</v>
      </c>
      <c r="E8169" s="131" t="s">
        <v>56</v>
      </c>
      <c r="F8169" s="133" t="s">
        <v>19</v>
      </c>
      <c r="G8169" s="134" t="n">
        <f aca="false">LEN('Saisie programme'!$I$314)+SUMIFS('Vols additionnels'!$E$7:$E$66,'Vols additionnels'!$C$7:$C$66,$E8169,'Vols additionnels'!$D$7:$D$66,$F8169,'Vols additionnels'!$B$7:$B$66,$D8169)</f>
        <v>0</v>
      </c>
      <c r="H8169" s="135" t="n">
        <f aca="false">$G8169*'Analyse capacite'!$F$8</f>
        <v>0</v>
      </c>
      <c r="I8169" s="135" t="n">
        <f aca="false">$G8169*'Analyse capacite'!$C$8</f>
        <v>0</v>
      </c>
      <c r="J8169" s="135" t="n">
        <f aca="false">$G8169*'Analyse capacite'!$D$8</f>
        <v>0</v>
      </c>
      <c r="K8169" s="135" t="n">
        <f aca="false">$G8169*'Analyse capacite'!$E$8</f>
        <v>0</v>
      </c>
    </row>
    <row r="8170" customFormat="false" ht="15" hidden="false" customHeight="false" outlineLevel="0" collapsed="false">
      <c r="B8170" s="130" t="n">
        <v>2027</v>
      </c>
      <c r="C8170" s="131" t="s">
        <v>253</v>
      </c>
      <c r="D8170" s="132" t="n">
        <v>46704</v>
      </c>
      <c r="E8170" s="131" t="s">
        <v>56</v>
      </c>
      <c r="F8170" s="133" t="s">
        <v>24</v>
      </c>
      <c r="G8170" s="134" t="n">
        <f aca="false">LEN('Saisie programme'!$I$315)+SUMIFS('Vols additionnels'!$E$7:$E$66,'Vols additionnels'!$C$7:$C$66,$E8170,'Vols additionnels'!$D$7:$D$66,$F8170,'Vols additionnels'!$B$7:$B$66,$D8170)</f>
        <v>1</v>
      </c>
      <c r="H8170" s="135" t="n">
        <f aca="false">$G8170*'Analyse capacite'!$F$9</f>
        <v>174</v>
      </c>
      <c r="I8170" s="135" t="n">
        <f aca="false">$G8170*'Analyse capacite'!$C$9</f>
        <v>0</v>
      </c>
      <c r="J8170" s="135" t="n">
        <f aca="false">$G8170*'Analyse capacite'!$D$9</f>
        <v>12</v>
      </c>
      <c r="K8170" s="135" t="n">
        <f aca="false">$G8170*'Analyse capacite'!$E$9</f>
        <v>162</v>
      </c>
    </row>
    <row r="8171" customFormat="false" ht="15" hidden="false" customHeight="false" outlineLevel="0" collapsed="false">
      <c r="B8171" s="130" t="n">
        <v>2027</v>
      </c>
      <c r="C8171" s="131" t="s">
        <v>253</v>
      </c>
      <c r="D8171" s="132" t="n">
        <v>46704</v>
      </c>
      <c r="E8171" s="131" t="s">
        <v>59</v>
      </c>
      <c r="F8171" s="133" t="s">
        <v>11</v>
      </c>
      <c r="G8171" s="134" t="n">
        <f aca="false">LEN('Saisie programme'!$I$316)+SUMIFS('Vols additionnels'!$E$7:$E$66,'Vols additionnels'!$C$7:$C$66,$E8171,'Vols additionnels'!$D$7:$D$66,$F8171,'Vols additionnels'!$B$7:$B$66,$D8171)</f>
        <v>0</v>
      </c>
      <c r="H8171" s="135" t="n">
        <f aca="false">$G8171*'Analyse capacite'!$F$7</f>
        <v>0</v>
      </c>
      <c r="I8171" s="135" t="n">
        <f aca="false">$G8171*'Analyse capacite'!$C$7</f>
        <v>0</v>
      </c>
      <c r="J8171" s="135" t="n">
        <f aca="false">$G8171*'Analyse capacite'!$D$7</f>
        <v>0</v>
      </c>
      <c r="K8171" s="135" t="n">
        <f aca="false">$G8171*'Analyse capacite'!$E$7</f>
        <v>0</v>
      </c>
    </row>
    <row r="8172" customFormat="false" ht="15" hidden="false" customHeight="false" outlineLevel="0" collapsed="false">
      <c r="B8172" s="130" t="n">
        <v>2027</v>
      </c>
      <c r="C8172" s="131" t="s">
        <v>253</v>
      </c>
      <c r="D8172" s="132" t="n">
        <v>46704</v>
      </c>
      <c r="E8172" s="131" t="s">
        <v>59</v>
      </c>
      <c r="F8172" s="133" t="s">
        <v>19</v>
      </c>
      <c r="G8172" s="134" t="n">
        <f aca="false">LEN('Saisie programme'!$I$317)+SUMIFS('Vols additionnels'!$E$7:$E$66,'Vols additionnels'!$C$7:$C$66,$E8172,'Vols additionnels'!$D$7:$D$66,$F8172,'Vols additionnels'!$B$7:$B$66,$D8172)</f>
        <v>0</v>
      </c>
      <c r="H8172" s="135" t="n">
        <f aca="false">$G8172*'Analyse capacite'!$F$8</f>
        <v>0</v>
      </c>
      <c r="I8172" s="135" t="n">
        <f aca="false">$G8172*'Analyse capacite'!$C$8</f>
        <v>0</v>
      </c>
      <c r="J8172" s="135" t="n">
        <f aca="false">$G8172*'Analyse capacite'!$D$8</f>
        <v>0</v>
      </c>
      <c r="K8172" s="135" t="n">
        <f aca="false">$G8172*'Analyse capacite'!$E$8</f>
        <v>0</v>
      </c>
    </row>
    <row r="8173" customFormat="false" ht="15" hidden="false" customHeight="false" outlineLevel="0" collapsed="false">
      <c r="B8173" s="130" t="n">
        <v>2027</v>
      </c>
      <c r="C8173" s="131" t="s">
        <v>253</v>
      </c>
      <c r="D8173" s="132" t="n">
        <v>46704</v>
      </c>
      <c r="E8173" s="131" t="s">
        <v>59</v>
      </c>
      <c r="F8173" s="133" t="s">
        <v>24</v>
      </c>
      <c r="G8173" s="134" t="n">
        <f aca="false">LEN('Saisie programme'!$I$318)+SUMIFS('Vols additionnels'!$E$7:$E$66,'Vols additionnels'!$C$7:$C$66,$E8173,'Vols additionnels'!$D$7:$D$66,$F8173,'Vols additionnels'!$B$7:$B$66,$D8173)</f>
        <v>1</v>
      </c>
      <c r="H8173" s="135" t="n">
        <f aca="false">$G8173*'Analyse capacite'!$F$9</f>
        <v>174</v>
      </c>
      <c r="I8173" s="135" t="n">
        <f aca="false">$G8173*'Analyse capacite'!$C$9</f>
        <v>0</v>
      </c>
      <c r="J8173" s="135" t="n">
        <f aca="false">$G8173*'Analyse capacite'!$D$9</f>
        <v>12</v>
      </c>
      <c r="K8173" s="135" t="n">
        <f aca="false">$G8173*'Analyse capacite'!$E$9</f>
        <v>162</v>
      </c>
    </row>
    <row r="8174" customFormat="false" ht="15" hidden="false" customHeight="false" outlineLevel="0" collapsed="false">
      <c r="B8174" s="130" t="n">
        <v>2027</v>
      </c>
      <c r="C8174" s="131" t="s">
        <v>253</v>
      </c>
      <c r="D8174" s="132" t="n">
        <v>46704</v>
      </c>
      <c r="E8174" s="131" t="s">
        <v>62</v>
      </c>
      <c r="F8174" s="133" t="s">
        <v>11</v>
      </c>
      <c r="G8174" s="134" t="n">
        <f aca="false">LEN('Saisie programme'!$I$319)+SUMIFS('Vols additionnels'!$E$7:$E$66,'Vols additionnels'!$C$7:$C$66,$E8174,'Vols additionnels'!$D$7:$D$66,$F8174,'Vols additionnels'!$B$7:$B$66,$D8174)</f>
        <v>0</v>
      </c>
      <c r="H8174" s="135" t="n">
        <f aca="false">$G8174*'Analyse capacite'!$F$7</f>
        <v>0</v>
      </c>
      <c r="I8174" s="135" t="n">
        <f aca="false">$G8174*'Analyse capacite'!$C$7</f>
        <v>0</v>
      </c>
      <c r="J8174" s="135" t="n">
        <f aca="false">$G8174*'Analyse capacite'!$D$7</f>
        <v>0</v>
      </c>
      <c r="K8174" s="135" t="n">
        <f aca="false">$G8174*'Analyse capacite'!$E$7</f>
        <v>0</v>
      </c>
    </row>
    <row r="8175" customFormat="false" ht="15" hidden="false" customHeight="false" outlineLevel="0" collapsed="false">
      <c r="B8175" s="130" t="n">
        <v>2027</v>
      </c>
      <c r="C8175" s="131" t="s">
        <v>253</v>
      </c>
      <c r="D8175" s="132" t="n">
        <v>46704</v>
      </c>
      <c r="E8175" s="131" t="s">
        <v>62</v>
      </c>
      <c r="F8175" s="133" t="s">
        <v>19</v>
      </c>
      <c r="G8175" s="134" t="n">
        <f aca="false">LEN('Saisie programme'!$I$320)+SUMIFS('Vols additionnels'!$E$7:$E$66,'Vols additionnels'!$C$7:$C$66,$E8175,'Vols additionnels'!$D$7:$D$66,$F8175,'Vols additionnels'!$B$7:$B$66,$D8175)</f>
        <v>0</v>
      </c>
      <c r="H8175" s="135" t="n">
        <f aca="false">$G8175*'Analyse capacite'!$F$8</f>
        <v>0</v>
      </c>
      <c r="I8175" s="135" t="n">
        <f aca="false">$G8175*'Analyse capacite'!$C$8</f>
        <v>0</v>
      </c>
      <c r="J8175" s="135" t="n">
        <f aca="false">$G8175*'Analyse capacite'!$D$8</f>
        <v>0</v>
      </c>
      <c r="K8175" s="135" t="n">
        <f aca="false">$G8175*'Analyse capacite'!$E$8</f>
        <v>0</v>
      </c>
    </row>
    <row r="8176" customFormat="false" ht="15" hidden="false" customHeight="false" outlineLevel="0" collapsed="false">
      <c r="B8176" s="130" t="n">
        <v>2027</v>
      </c>
      <c r="C8176" s="131" t="s">
        <v>253</v>
      </c>
      <c r="D8176" s="132" t="n">
        <v>46704</v>
      </c>
      <c r="E8176" s="131" t="s">
        <v>62</v>
      </c>
      <c r="F8176" s="133" t="s">
        <v>24</v>
      </c>
      <c r="G8176" s="134" t="n">
        <f aca="false">LEN('Saisie programme'!$I$321)+SUMIFS('Vols additionnels'!$E$7:$E$66,'Vols additionnels'!$C$7:$C$66,$E8176,'Vols additionnels'!$D$7:$D$66,$F8176,'Vols additionnels'!$B$7:$B$66,$D8176)</f>
        <v>0</v>
      </c>
      <c r="H8176" s="135" t="n">
        <f aca="false">$G8176*'Analyse capacite'!$F$9</f>
        <v>0</v>
      </c>
      <c r="I8176" s="135" t="n">
        <f aca="false">$G8176*'Analyse capacite'!$C$9</f>
        <v>0</v>
      </c>
      <c r="J8176" s="135" t="n">
        <f aca="false">$G8176*'Analyse capacite'!$D$9</f>
        <v>0</v>
      </c>
      <c r="K8176" s="135" t="n">
        <f aca="false">$G8176*'Analyse capacite'!$E$9</f>
        <v>0</v>
      </c>
    </row>
    <row r="8177" customFormat="false" ht="15" hidden="false" customHeight="false" outlineLevel="0" collapsed="false">
      <c r="B8177" s="130" t="n">
        <v>2027</v>
      </c>
      <c r="C8177" s="131" t="s">
        <v>253</v>
      </c>
      <c r="D8177" s="132" t="n">
        <v>46705</v>
      </c>
      <c r="E8177" s="131" t="s">
        <v>12</v>
      </c>
      <c r="F8177" s="133" t="s">
        <v>11</v>
      </c>
      <c r="G8177" s="134" t="n">
        <f aca="false">LEN('Saisie programme'!$J$286)+SUMIFS('Vols additionnels'!$E$7:$E$66,'Vols additionnels'!$C$7:$C$66,$E8177,'Vols additionnels'!$D$7:$D$66,$F8177,'Vols additionnels'!$B$7:$B$66,$D8177)</f>
        <v>1</v>
      </c>
      <c r="H8177" s="135" t="n">
        <f aca="false">$G8177*'Analyse capacite'!$F$7</f>
        <v>438</v>
      </c>
      <c r="I8177" s="135" t="n">
        <f aca="false">$G8177*'Analyse capacite'!$C$7</f>
        <v>14</v>
      </c>
      <c r="J8177" s="135" t="n">
        <f aca="false">$G8177*'Analyse capacite'!$D$7</f>
        <v>40</v>
      </c>
      <c r="K8177" s="135" t="n">
        <f aca="false">$G8177*'Analyse capacite'!$E$7</f>
        <v>384</v>
      </c>
    </row>
    <row r="8178" customFormat="false" ht="15" hidden="false" customHeight="false" outlineLevel="0" collapsed="false">
      <c r="B8178" s="130" t="n">
        <v>2027</v>
      </c>
      <c r="C8178" s="131" t="s">
        <v>253</v>
      </c>
      <c r="D8178" s="132" t="n">
        <v>46705</v>
      </c>
      <c r="E8178" s="131" t="s">
        <v>12</v>
      </c>
      <c r="F8178" s="133" t="s">
        <v>19</v>
      </c>
      <c r="G8178" s="134" t="n">
        <f aca="false">LEN('Saisie programme'!$J$287)+SUMIFS('Vols additionnels'!$E$7:$E$66,'Vols additionnels'!$C$7:$C$66,$E8178,'Vols additionnels'!$D$7:$D$66,$F8178,'Vols additionnels'!$B$7:$B$66,$D8178)</f>
        <v>0</v>
      </c>
      <c r="H8178" s="135" t="n">
        <f aca="false">$G8178*'Analyse capacite'!$F$8</f>
        <v>0</v>
      </c>
      <c r="I8178" s="135" t="n">
        <f aca="false">$G8178*'Analyse capacite'!$C$8</f>
        <v>0</v>
      </c>
      <c r="J8178" s="135" t="n">
        <f aca="false">$G8178*'Analyse capacite'!$D$8</f>
        <v>0</v>
      </c>
      <c r="K8178" s="135" t="n">
        <f aca="false">$G8178*'Analyse capacite'!$E$8</f>
        <v>0</v>
      </c>
    </row>
    <row r="8179" customFormat="false" ht="15" hidden="false" customHeight="false" outlineLevel="0" collapsed="false">
      <c r="B8179" s="130" t="n">
        <v>2027</v>
      </c>
      <c r="C8179" s="131" t="s">
        <v>253</v>
      </c>
      <c r="D8179" s="132" t="n">
        <v>46705</v>
      </c>
      <c r="E8179" s="131" t="s">
        <v>12</v>
      </c>
      <c r="F8179" s="133" t="s">
        <v>24</v>
      </c>
      <c r="G8179" s="134" t="n">
        <f aca="false">LEN('Saisie programme'!$J$288)+SUMIFS('Vols additionnels'!$E$7:$E$66,'Vols additionnels'!$C$7:$C$66,$E8179,'Vols additionnels'!$D$7:$D$66,$F8179,'Vols additionnels'!$B$7:$B$66,$D8179)</f>
        <v>0</v>
      </c>
      <c r="H8179" s="135" t="n">
        <f aca="false">$G8179*'Analyse capacite'!$F$9</f>
        <v>0</v>
      </c>
      <c r="I8179" s="135" t="n">
        <f aca="false">$G8179*'Analyse capacite'!$C$9</f>
        <v>0</v>
      </c>
      <c r="J8179" s="135" t="n">
        <f aca="false">$G8179*'Analyse capacite'!$D$9</f>
        <v>0</v>
      </c>
      <c r="K8179" s="135" t="n">
        <f aca="false">$G8179*'Analyse capacite'!$E$9</f>
        <v>0</v>
      </c>
    </row>
    <row r="8180" customFormat="false" ht="15" hidden="false" customHeight="false" outlineLevel="0" collapsed="false">
      <c r="B8180" s="130" t="n">
        <v>2027</v>
      </c>
      <c r="C8180" s="131" t="s">
        <v>253</v>
      </c>
      <c r="D8180" s="132" t="n">
        <v>46705</v>
      </c>
      <c r="E8180" s="131" t="s">
        <v>20</v>
      </c>
      <c r="F8180" s="133" t="s">
        <v>11</v>
      </c>
      <c r="G8180" s="134" t="n">
        <f aca="false">LEN('Saisie programme'!$J$289)+SUMIFS('Vols additionnels'!$E$7:$E$66,'Vols additionnels'!$C$7:$C$66,$E8180,'Vols additionnels'!$D$7:$D$66,$F8180,'Vols additionnels'!$B$7:$B$66,$D8180)</f>
        <v>1</v>
      </c>
      <c r="H8180" s="135" t="n">
        <f aca="false">$G8180*'Analyse capacite'!$F$7</f>
        <v>438</v>
      </c>
      <c r="I8180" s="135" t="n">
        <f aca="false">$G8180*'Analyse capacite'!$C$7</f>
        <v>14</v>
      </c>
      <c r="J8180" s="135" t="n">
        <f aca="false">$G8180*'Analyse capacite'!$D$7</f>
        <v>40</v>
      </c>
      <c r="K8180" s="135" t="n">
        <f aca="false">$G8180*'Analyse capacite'!$E$7</f>
        <v>384</v>
      </c>
    </row>
    <row r="8181" customFormat="false" ht="15" hidden="false" customHeight="false" outlineLevel="0" collapsed="false">
      <c r="B8181" s="130" t="n">
        <v>2027</v>
      </c>
      <c r="C8181" s="131" t="s">
        <v>253</v>
      </c>
      <c r="D8181" s="132" t="n">
        <v>46705</v>
      </c>
      <c r="E8181" s="131" t="s">
        <v>20</v>
      </c>
      <c r="F8181" s="133" t="s">
        <v>19</v>
      </c>
      <c r="G8181" s="134" t="n">
        <f aca="false">LEN('Saisie programme'!$J$290)+SUMIFS('Vols additionnels'!$E$7:$E$66,'Vols additionnels'!$C$7:$C$66,$E8181,'Vols additionnels'!$D$7:$D$66,$F8181,'Vols additionnels'!$B$7:$B$66,$D8181)</f>
        <v>0</v>
      </c>
      <c r="H8181" s="135" t="n">
        <f aca="false">$G8181*'Analyse capacite'!$F$8</f>
        <v>0</v>
      </c>
      <c r="I8181" s="135" t="n">
        <f aca="false">$G8181*'Analyse capacite'!$C$8</f>
        <v>0</v>
      </c>
      <c r="J8181" s="135" t="n">
        <f aca="false">$G8181*'Analyse capacite'!$D$8</f>
        <v>0</v>
      </c>
      <c r="K8181" s="135" t="n">
        <f aca="false">$G8181*'Analyse capacite'!$E$8</f>
        <v>0</v>
      </c>
    </row>
    <row r="8182" customFormat="false" ht="15" hidden="false" customHeight="false" outlineLevel="0" collapsed="false">
      <c r="B8182" s="130" t="n">
        <v>2027</v>
      </c>
      <c r="C8182" s="131" t="s">
        <v>253</v>
      </c>
      <c r="D8182" s="132" t="n">
        <v>46705</v>
      </c>
      <c r="E8182" s="131" t="s">
        <v>20</v>
      </c>
      <c r="F8182" s="133" t="s">
        <v>24</v>
      </c>
      <c r="G8182" s="134" t="n">
        <f aca="false">LEN('Saisie programme'!$J$291)+SUMIFS('Vols additionnels'!$E$7:$E$66,'Vols additionnels'!$C$7:$C$66,$E8182,'Vols additionnels'!$D$7:$D$66,$F8182,'Vols additionnels'!$B$7:$B$66,$D8182)</f>
        <v>0</v>
      </c>
      <c r="H8182" s="135" t="n">
        <f aca="false">$G8182*'Analyse capacite'!$F$9</f>
        <v>0</v>
      </c>
      <c r="I8182" s="135" t="n">
        <f aca="false">$G8182*'Analyse capacite'!$C$9</f>
        <v>0</v>
      </c>
      <c r="J8182" s="135" t="n">
        <f aca="false">$G8182*'Analyse capacite'!$D$9</f>
        <v>0</v>
      </c>
      <c r="K8182" s="135" t="n">
        <f aca="false">$G8182*'Analyse capacite'!$E$9</f>
        <v>0</v>
      </c>
    </row>
    <row r="8183" customFormat="false" ht="15" hidden="false" customHeight="false" outlineLevel="0" collapsed="false">
      <c r="B8183" s="130" t="n">
        <v>2027</v>
      </c>
      <c r="C8183" s="131" t="s">
        <v>253</v>
      </c>
      <c r="D8183" s="132" t="n">
        <v>46705</v>
      </c>
      <c r="E8183" s="131" t="s">
        <v>25</v>
      </c>
      <c r="F8183" s="133" t="s">
        <v>11</v>
      </c>
      <c r="G8183" s="134" t="n">
        <f aca="false">LEN('Saisie programme'!$J$292)+SUMIFS('Vols additionnels'!$E$7:$E$66,'Vols additionnels'!$C$7:$C$66,$E8183,'Vols additionnels'!$D$7:$D$66,$F8183,'Vols additionnels'!$B$7:$B$66,$D8183)</f>
        <v>0</v>
      </c>
      <c r="H8183" s="135" t="n">
        <f aca="false">$G8183*'Analyse capacite'!$F$7</f>
        <v>0</v>
      </c>
      <c r="I8183" s="135" t="n">
        <f aca="false">$G8183*'Analyse capacite'!$C$7</f>
        <v>0</v>
      </c>
      <c r="J8183" s="135" t="n">
        <f aca="false">$G8183*'Analyse capacite'!$D$7</f>
        <v>0</v>
      </c>
      <c r="K8183" s="135" t="n">
        <f aca="false">$G8183*'Analyse capacite'!$E$7</f>
        <v>0</v>
      </c>
    </row>
    <row r="8184" customFormat="false" ht="15" hidden="false" customHeight="false" outlineLevel="0" collapsed="false">
      <c r="B8184" s="130" t="n">
        <v>2027</v>
      </c>
      <c r="C8184" s="131" t="s">
        <v>253</v>
      </c>
      <c r="D8184" s="132" t="n">
        <v>46705</v>
      </c>
      <c r="E8184" s="131" t="s">
        <v>25</v>
      </c>
      <c r="F8184" s="133" t="s">
        <v>19</v>
      </c>
      <c r="G8184" s="134" t="n">
        <f aca="false">LEN('Saisie programme'!$J$293)+SUMIFS('Vols additionnels'!$E$7:$E$66,'Vols additionnels'!$C$7:$C$66,$E8184,'Vols additionnels'!$D$7:$D$66,$F8184,'Vols additionnels'!$B$7:$B$66,$D8184)</f>
        <v>0</v>
      </c>
      <c r="H8184" s="135" t="n">
        <f aca="false">$G8184*'Analyse capacite'!$F$8</f>
        <v>0</v>
      </c>
      <c r="I8184" s="135" t="n">
        <f aca="false">$G8184*'Analyse capacite'!$C$8</f>
        <v>0</v>
      </c>
      <c r="J8184" s="135" t="n">
        <f aca="false">$G8184*'Analyse capacite'!$D$8</f>
        <v>0</v>
      </c>
      <c r="K8184" s="135" t="n">
        <f aca="false">$G8184*'Analyse capacite'!$E$8</f>
        <v>0</v>
      </c>
    </row>
    <row r="8185" customFormat="false" ht="15" hidden="false" customHeight="false" outlineLevel="0" collapsed="false">
      <c r="B8185" s="130" t="n">
        <v>2027</v>
      </c>
      <c r="C8185" s="131" t="s">
        <v>253</v>
      </c>
      <c r="D8185" s="132" t="n">
        <v>46705</v>
      </c>
      <c r="E8185" s="131" t="s">
        <v>25</v>
      </c>
      <c r="F8185" s="133" t="s">
        <v>24</v>
      </c>
      <c r="G8185" s="134" t="n">
        <f aca="false">LEN('Saisie programme'!$J$294)+SUMIFS('Vols additionnels'!$E$7:$E$66,'Vols additionnels'!$C$7:$C$66,$E8185,'Vols additionnels'!$D$7:$D$66,$F8185,'Vols additionnels'!$B$7:$B$66,$D8185)</f>
        <v>0</v>
      </c>
      <c r="H8185" s="135" t="n">
        <f aca="false">$G8185*'Analyse capacite'!$F$9</f>
        <v>0</v>
      </c>
      <c r="I8185" s="135" t="n">
        <f aca="false">$G8185*'Analyse capacite'!$C$9</f>
        <v>0</v>
      </c>
      <c r="J8185" s="135" t="n">
        <f aca="false">$G8185*'Analyse capacite'!$D$9</f>
        <v>0</v>
      </c>
      <c r="K8185" s="135" t="n">
        <f aca="false">$G8185*'Analyse capacite'!$E$9</f>
        <v>0</v>
      </c>
    </row>
    <row r="8186" customFormat="false" ht="15" hidden="false" customHeight="false" outlineLevel="0" collapsed="false">
      <c r="B8186" s="130" t="n">
        <v>2027</v>
      </c>
      <c r="C8186" s="131" t="s">
        <v>253</v>
      </c>
      <c r="D8186" s="132" t="n">
        <v>46705</v>
      </c>
      <c r="E8186" s="131" t="s">
        <v>36</v>
      </c>
      <c r="F8186" s="133" t="s">
        <v>11</v>
      </c>
      <c r="G8186" s="134" t="n">
        <f aca="false">LEN('Saisie programme'!$J$295)+SUMIFS('Vols additionnels'!$E$7:$E$66,'Vols additionnels'!$C$7:$C$66,$E8186,'Vols additionnels'!$D$7:$D$66,$F8186,'Vols additionnels'!$B$7:$B$66,$D8186)</f>
        <v>0</v>
      </c>
      <c r="H8186" s="135" t="n">
        <f aca="false">$G8186*'Analyse capacite'!$F$7</f>
        <v>0</v>
      </c>
      <c r="I8186" s="135" t="n">
        <f aca="false">$G8186*'Analyse capacite'!$C$7</f>
        <v>0</v>
      </c>
      <c r="J8186" s="135" t="n">
        <f aca="false">$G8186*'Analyse capacite'!$D$7</f>
        <v>0</v>
      </c>
      <c r="K8186" s="135" t="n">
        <f aca="false">$G8186*'Analyse capacite'!$E$7</f>
        <v>0</v>
      </c>
    </row>
    <row r="8187" customFormat="false" ht="15" hidden="false" customHeight="false" outlineLevel="0" collapsed="false">
      <c r="B8187" s="130" t="n">
        <v>2027</v>
      </c>
      <c r="C8187" s="131" t="s">
        <v>253</v>
      </c>
      <c r="D8187" s="132" t="n">
        <v>46705</v>
      </c>
      <c r="E8187" s="131" t="s">
        <v>36</v>
      </c>
      <c r="F8187" s="133" t="s">
        <v>19</v>
      </c>
      <c r="G8187" s="134" t="n">
        <f aca="false">LEN('Saisie programme'!$J$296)+SUMIFS('Vols additionnels'!$E$7:$E$66,'Vols additionnels'!$C$7:$C$66,$E8187,'Vols additionnels'!$D$7:$D$66,$F8187,'Vols additionnels'!$B$7:$B$66,$D8187)</f>
        <v>0</v>
      </c>
      <c r="H8187" s="135" t="n">
        <f aca="false">$G8187*'Analyse capacite'!$F$8</f>
        <v>0</v>
      </c>
      <c r="I8187" s="135" t="n">
        <f aca="false">$G8187*'Analyse capacite'!$C$8</f>
        <v>0</v>
      </c>
      <c r="J8187" s="135" t="n">
        <f aca="false">$G8187*'Analyse capacite'!$D$8</f>
        <v>0</v>
      </c>
      <c r="K8187" s="135" t="n">
        <f aca="false">$G8187*'Analyse capacite'!$E$8</f>
        <v>0</v>
      </c>
    </row>
    <row r="8188" customFormat="false" ht="15" hidden="false" customHeight="false" outlineLevel="0" collapsed="false">
      <c r="B8188" s="130" t="n">
        <v>2027</v>
      </c>
      <c r="C8188" s="131" t="s">
        <v>253</v>
      </c>
      <c r="D8188" s="132" t="n">
        <v>46705</v>
      </c>
      <c r="E8188" s="131" t="s">
        <v>36</v>
      </c>
      <c r="F8188" s="133" t="s">
        <v>24</v>
      </c>
      <c r="G8188" s="134" t="n">
        <f aca="false">LEN('Saisie programme'!$J$297)+SUMIFS('Vols additionnels'!$E$7:$E$66,'Vols additionnels'!$C$7:$C$66,$E8188,'Vols additionnels'!$D$7:$D$66,$F8188,'Vols additionnels'!$B$7:$B$66,$D8188)</f>
        <v>0</v>
      </c>
      <c r="H8188" s="135" t="n">
        <f aca="false">$G8188*'Analyse capacite'!$F$9</f>
        <v>0</v>
      </c>
      <c r="I8188" s="135" t="n">
        <f aca="false">$G8188*'Analyse capacite'!$C$9</f>
        <v>0</v>
      </c>
      <c r="J8188" s="135" t="n">
        <f aca="false">$G8188*'Analyse capacite'!$D$9</f>
        <v>0</v>
      </c>
      <c r="K8188" s="135" t="n">
        <f aca="false">$G8188*'Analyse capacite'!$E$9</f>
        <v>0</v>
      </c>
    </row>
    <row r="8189" customFormat="false" ht="15" hidden="false" customHeight="false" outlineLevel="0" collapsed="false">
      <c r="B8189" s="130" t="n">
        <v>2027</v>
      </c>
      <c r="C8189" s="131" t="s">
        <v>253</v>
      </c>
      <c r="D8189" s="132" t="n">
        <v>46705</v>
      </c>
      <c r="E8189" s="131" t="s">
        <v>40</v>
      </c>
      <c r="F8189" s="133" t="s">
        <v>11</v>
      </c>
      <c r="G8189" s="134" t="n">
        <f aca="false">LEN('Saisie programme'!$J$298)+SUMIFS('Vols additionnels'!$E$7:$E$66,'Vols additionnels'!$C$7:$C$66,$E8189,'Vols additionnels'!$D$7:$D$66,$F8189,'Vols additionnels'!$B$7:$B$66,$D8189)</f>
        <v>0</v>
      </c>
      <c r="H8189" s="135" t="n">
        <f aca="false">$G8189*'Analyse capacite'!$F$7</f>
        <v>0</v>
      </c>
      <c r="I8189" s="135" t="n">
        <f aca="false">$G8189*'Analyse capacite'!$C$7</f>
        <v>0</v>
      </c>
      <c r="J8189" s="135" t="n">
        <f aca="false">$G8189*'Analyse capacite'!$D$7</f>
        <v>0</v>
      </c>
      <c r="K8189" s="135" t="n">
        <f aca="false">$G8189*'Analyse capacite'!$E$7</f>
        <v>0</v>
      </c>
    </row>
    <row r="8190" customFormat="false" ht="15" hidden="false" customHeight="false" outlineLevel="0" collapsed="false">
      <c r="B8190" s="130" t="n">
        <v>2027</v>
      </c>
      <c r="C8190" s="131" t="s">
        <v>253</v>
      </c>
      <c r="D8190" s="132" t="n">
        <v>46705</v>
      </c>
      <c r="E8190" s="131" t="s">
        <v>40</v>
      </c>
      <c r="F8190" s="133" t="s">
        <v>19</v>
      </c>
      <c r="G8190" s="134" t="n">
        <f aca="false">LEN('Saisie programme'!$J$299)+SUMIFS('Vols additionnels'!$E$7:$E$66,'Vols additionnels'!$C$7:$C$66,$E8190,'Vols additionnels'!$D$7:$D$66,$F8190,'Vols additionnels'!$B$7:$B$66,$D8190)</f>
        <v>0</v>
      </c>
      <c r="H8190" s="135" t="n">
        <f aca="false">$G8190*'Analyse capacite'!$F$8</f>
        <v>0</v>
      </c>
      <c r="I8190" s="135" t="n">
        <f aca="false">$G8190*'Analyse capacite'!$C$8</f>
        <v>0</v>
      </c>
      <c r="J8190" s="135" t="n">
        <f aca="false">$G8190*'Analyse capacite'!$D$8</f>
        <v>0</v>
      </c>
      <c r="K8190" s="135" t="n">
        <f aca="false">$G8190*'Analyse capacite'!$E$8</f>
        <v>0</v>
      </c>
    </row>
    <row r="8191" customFormat="false" ht="15" hidden="false" customHeight="false" outlineLevel="0" collapsed="false">
      <c r="B8191" s="130" t="n">
        <v>2027</v>
      </c>
      <c r="C8191" s="131" t="s">
        <v>253</v>
      </c>
      <c r="D8191" s="132" t="n">
        <v>46705</v>
      </c>
      <c r="E8191" s="131" t="s">
        <v>40</v>
      </c>
      <c r="F8191" s="133" t="s">
        <v>24</v>
      </c>
      <c r="G8191" s="134" t="n">
        <f aca="false">LEN('Saisie programme'!$J$300)+SUMIFS('Vols additionnels'!$E$7:$E$66,'Vols additionnels'!$C$7:$C$66,$E8191,'Vols additionnels'!$D$7:$D$66,$F8191,'Vols additionnels'!$B$7:$B$66,$D8191)</f>
        <v>1</v>
      </c>
      <c r="H8191" s="135" t="n">
        <f aca="false">$G8191*'Analyse capacite'!$F$9</f>
        <v>174</v>
      </c>
      <c r="I8191" s="135" t="n">
        <f aca="false">$G8191*'Analyse capacite'!$C$9</f>
        <v>0</v>
      </c>
      <c r="J8191" s="135" t="n">
        <f aca="false">$G8191*'Analyse capacite'!$D$9</f>
        <v>12</v>
      </c>
      <c r="K8191" s="135" t="n">
        <f aca="false">$G8191*'Analyse capacite'!$E$9</f>
        <v>162</v>
      </c>
    </row>
    <row r="8192" customFormat="false" ht="15" hidden="false" customHeight="false" outlineLevel="0" collapsed="false">
      <c r="B8192" s="130" t="n">
        <v>2027</v>
      </c>
      <c r="C8192" s="131" t="s">
        <v>253</v>
      </c>
      <c r="D8192" s="132" t="n">
        <v>46705</v>
      </c>
      <c r="E8192" s="131" t="s">
        <v>14</v>
      </c>
      <c r="F8192" s="133" t="s">
        <v>11</v>
      </c>
      <c r="G8192" s="134" t="n">
        <f aca="false">LEN('Saisie programme'!$J$301)+SUMIFS('Vols additionnels'!$E$7:$E$66,'Vols additionnels'!$C$7:$C$66,$E8192,'Vols additionnels'!$D$7:$D$66,$F8192,'Vols additionnels'!$B$7:$B$66,$D8192)</f>
        <v>0</v>
      </c>
      <c r="H8192" s="135" t="n">
        <f aca="false">$G8192*'Analyse capacite'!$F$7</f>
        <v>0</v>
      </c>
      <c r="I8192" s="135" t="n">
        <f aca="false">$G8192*'Analyse capacite'!$C$7</f>
        <v>0</v>
      </c>
      <c r="J8192" s="135" t="n">
        <f aca="false">$G8192*'Analyse capacite'!$D$7</f>
        <v>0</v>
      </c>
      <c r="K8192" s="135" t="n">
        <f aca="false">$G8192*'Analyse capacite'!$E$7</f>
        <v>0</v>
      </c>
    </row>
    <row r="8193" customFormat="false" ht="15" hidden="false" customHeight="false" outlineLevel="0" collapsed="false">
      <c r="B8193" s="130" t="n">
        <v>2027</v>
      </c>
      <c r="C8193" s="131" t="s">
        <v>253</v>
      </c>
      <c r="D8193" s="132" t="n">
        <v>46705</v>
      </c>
      <c r="E8193" s="131" t="s">
        <v>14</v>
      </c>
      <c r="F8193" s="133" t="s">
        <v>19</v>
      </c>
      <c r="G8193" s="134" t="n">
        <f aca="false">LEN('Saisie programme'!$J$302)+SUMIFS('Vols additionnels'!$E$7:$E$66,'Vols additionnels'!$C$7:$C$66,$E8193,'Vols additionnels'!$D$7:$D$66,$F8193,'Vols additionnels'!$B$7:$B$66,$D8193)</f>
        <v>0</v>
      </c>
      <c r="H8193" s="135" t="n">
        <f aca="false">$G8193*'Analyse capacite'!$F$8</f>
        <v>0</v>
      </c>
      <c r="I8193" s="135" t="n">
        <f aca="false">$G8193*'Analyse capacite'!$C$8</f>
        <v>0</v>
      </c>
      <c r="J8193" s="135" t="n">
        <f aca="false">$G8193*'Analyse capacite'!$D$8</f>
        <v>0</v>
      </c>
      <c r="K8193" s="135" t="n">
        <f aca="false">$G8193*'Analyse capacite'!$E$8</f>
        <v>0</v>
      </c>
    </row>
    <row r="8194" customFormat="false" ht="15" hidden="false" customHeight="false" outlineLevel="0" collapsed="false">
      <c r="B8194" s="130" t="n">
        <v>2027</v>
      </c>
      <c r="C8194" s="131" t="s">
        <v>253</v>
      </c>
      <c r="D8194" s="132" t="n">
        <v>46705</v>
      </c>
      <c r="E8194" s="131" t="s">
        <v>14</v>
      </c>
      <c r="F8194" s="133" t="s">
        <v>24</v>
      </c>
      <c r="G8194" s="134" t="n">
        <f aca="false">LEN('Saisie programme'!$J$303)+SUMIFS('Vols additionnels'!$E$7:$E$66,'Vols additionnels'!$C$7:$C$66,$E8194,'Vols additionnels'!$D$7:$D$66,$F8194,'Vols additionnels'!$B$7:$B$66,$D8194)</f>
        <v>0</v>
      </c>
      <c r="H8194" s="135" t="n">
        <f aca="false">$G8194*'Analyse capacite'!$F$9</f>
        <v>0</v>
      </c>
      <c r="I8194" s="135" t="n">
        <f aca="false">$G8194*'Analyse capacite'!$C$9</f>
        <v>0</v>
      </c>
      <c r="J8194" s="135" t="n">
        <f aca="false">$G8194*'Analyse capacite'!$D$9</f>
        <v>0</v>
      </c>
      <c r="K8194" s="135" t="n">
        <f aca="false">$G8194*'Analyse capacite'!$E$9</f>
        <v>0</v>
      </c>
    </row>
    <row r="8195" customFormat="false" ht="15" hidden="false" customHeight="false" outlineLevel="0" collapsed="false">
      <c r="B8195" s="130" t="n">
        <v>2027</v>
      </c>
      <c r="C8195" s="131" t="s">
        <v>253</v>
      </c>
      <c r="D8195" s="132" t="n">
        <v>46705</v>
      </c>
      <c r="E8195" s="131" t="s">
        <v>46</v>
      </c>
      <c r="F8195" s="133" t="s">
        <v>11</v>
      </c>
      <c r="G8195" s="134" t="n">
        <f aca="false">LEN('Saisie programme'!$J$304)+SUMIFS('Vols additionnels'!$E$7:$E$66,'Vols additionnels'!$C$7:$C$66,$E8195,'Vols additionnels'!$D$7:$D$66,$F8195,'Vols additionnels'!$B$7:$B$66,$D8195)</f>
        <v>0</v>
      </c>
      <c r="H8195" s="135" t="n">
        <f aca="false">$G8195*'Analyse capacite'!$F$7</f>
        <v>0</v>
      </c>
      <c r="I8195" s="135" t="n">
        <f aca="false">$G8195*'Analyse capacite'!$C$7</f>
        <v>0</v>
      </c>
      <c r="J8195" s="135" t="n">
        <f aca="false">$G8195*'Analyse capacite'!$D$7</f>
        <v>0</v>
      </c>
      <c r="K8195" s="135" t="n">
        <f aca="false">$G8195*'Analyse capacite'!$E$7</f>
        <v>0</v>
      </c>
    </row>
    <row r="8196" customFormat="false" ht="15" hidden="false" customHeight="false" outlineLevel="0" collapsed="false">
      <c r="B8196" s="130" t="n">
        <v>2027</v>
      </c>
      <c r="C8196" s="131" t="s">
        <v>253</v>
      </c>
      <c r="D8196" s="132" t="n">
        <v>46705</v>
      </c>
      <c r="E8196" s="131" t="s">
        <v>46</v>
      </c>
      <c r="F8196" s="133" t="s">
        <v>19</v>
      </c>
      <c r="G8196" s="134" t="n">
        <f aca="false">LEN('Saisie programme'!$J$305)+SUMIFS('Vols additionnels'!$E$7:$E$66,'Vols additionnels'!$C$7:$C$66,$E8196,'Vols additionnels'!$D$7:$D$66,$F8196,'Vols additionnels'!$B$7:$B$66,$D8196)</f>
        <v>0</v>
      </c>
      <c r="H8196" s="135" t="n">
        <f aca="false">$G8196*'Analyse capacite'!$F$8</f>
        <v>0</v>
      </c>
      <c r="I8196" s="135" t="n">
        <f aca="false">$G8196*'Analyse capacite'!$C$8</f>
        <v>0</v>
      </c>
      <c r="J8196" s="135" t="n">
        <f aca="false">$G8196*'Analyse capacite'!$D$8</f>
        <v>0</v>
      </c>
      <c r="K8196" s="135" t="n">
        <f aca="false">$G8196*'Analyse capacite'!$E$8</f>
        <v>0</v>
      </c>
    </row>
    <row r="8197" customFormat="false" ht="15" hidden="false" customHeight="false" outlineLevel="0" collapsed="false">
      <c r="B8197" s="130" t="n">
        <v>2027</v>
      </c>
      <c r="C8197" s="131" t="s">
        <v>253</v>
      </c>
      <c r="D8197" s="132" t="n">
        <v>46705</v>
      </c>
      <c r="E8197" s="131" t="s">
        <v>46</v>
      </c>
      <c r="F8197" s="133" t="s">
        <v>24</v>
      </c>
      <c r="G8197" s="134" t="n">
        <f aca="false">LEN('Saisie programme'!$J$306)+SUMIFS('Vols additionnels'!$E$7:$E$66,'Vols additionnels'!$C$7:$C$66,$E8197,'Vols additionnels'!$D$7:$D$66,$F8197,'Vols additionnels'!$B$7:$B$66,$D8197)</f>
        <v>0</v>
      </c>
      <c r="H8197" s="135" t="n">
        <f aca="false">$G8197*'Analyse capacite'!$F$9</f>
        <v>0</v>
      </c>
      <c r="I8197" s="135" t="n">
        <f aca="false">$G8197*'Analyse capacite'!$C$9</f>
        <v>0</v>
      </c>
      <c r="J8197" s="135" t="n">
        <f aca="false">$G8197*'Analyse capacite'!$D$9</f>
        <v>0</v>
      </c>
      <c r="K8197" s="135" t="n">
        <f aca="false">$G8197*'Analyse capacite'!$E$9</f>
        <v>0</v>
      </c>
    </row>
    <row r="8198" customFormat="false" ht="15" hidden="false" customHeight="false" outlineLevel="0" collapsed="false">
      <c r="B8198" s="130" t="n">
        <v>2027</v>
      </c>
      <c r="C8198" s="131" t="s">
        <v>253</v>
      </c>
      <c r="D8198" s="132" t="n">
        <v>46705</v>
      </c>
      <c r="E8198" s="131" t="s">
        <v>49</v>
      </c>
      <c r="F8198" s="133" t="s">
        <v>11</v>
      </c>
      <c r="G8198" s="134" t="n">
        <f aca="false">LEN('Saisie programme'!$J$307)+SUMIFS('Vols additionnels'!$E$7:$E$66,'Vols additionnels'!$C$7:$C$66,$E8198,'Vols additionnels'!$D$7:$D$66,$F8198,'Vols additionnels'!$B$7:$B$66,$D8198)</f>
        <v>0</v>
      </c>
      <c r="H8198" s="135" t="n">
        <f aca="false">$G8198*'Analyse capacite'!$F$7</f>
        <v>0</v>
      </c>
      <c r="I8198" s="135" t="n">
        <f aca="false">$G8198*'Analyse capacite'!$C$7</f>
        <v>0</v>
      </c>
      <c r="J8198" s="135" t="n">
        <f aca="false">$G8198*'Analyse capacite'!$D$7</f>
        <v>0</v>
      </c>
      <c r="K8198" s="135" t="n">
        <f aca="false">$G8198*'Analyse capacite'!$E$7</f>
        <v>0</v>
      </c>
    </row>
    <row r="8199" customFormat="false" ht="15" hidden="false" customHeight="false" outlineLevel="0" collapsed="false">
      <c r="B8199" s="130" t="n">
        <v>2027</v>
      </c>
      <c r="C8199" s="131" t="s">
        <v>253</v>
      </c>
      <c r="D8199" s="132" t="n">
        <v>46705</v>
      </c>
      <c r="E8199" s="131" t="s">
        <v>49</v>
      </c>
      <c r="F8199" s="133" t="s">
        <v>19</v>
      </c>
      <c r="G8199" s="134" t="n">
        <f aca="false">LEN('Saisie programme'!$J$308)+SUMIFS('Vols additionnels'!$E$7:$E$66,'Vols additionnels'!$C$7:$C$66,$E8199,'Vols additionnels'!$D$7:$D$66,$F8199,'Vols additionnels'!$B$7:$B$66,$D8199)</f>
        <v>0</v>
      </c>
      <c r="H8199" s="135" t="n">
        <f aca="false">$G8199*'Analyse capacite'!$F$8</f>
        <v>0</v>
      </c>
      <c r="I8199" s="135" t="n">
        <f aca="false">$G8199*'Analyse capacite'!$C$8</f>
        <v>0</v>
      </c>
      <c r="J8199" s="135" t="n">
        <f aca="false">$G8199*'Analyse capacite'!$D$8</f>
        <v>0</v>
      </c>
      <c r="K8199" s="135" t="n">
        <f aca="false">$G8199*'Analyse capacite'!$E$8</f>
        <v>0</v>
      </c>
    </row>
    <row r="8200" customFormat="false" ht="15" hidden="false" customHeight="false" outlineLevel="0" collapsed="false">
      <c r="B8200" s="130" t="n">
        <v>2027</v>
      </c>
      <c r="C8200" s="131" t="s">
        <v>253</v>
      </c>
      <c r="D8200" s="132" t="n">
        <v>46705</v>
      </c>
      <c r="E8200" s="131" t="s">
        <v>49</v>
      </c>
      <c r="F8200" s="133" t="s">
        <v>24</v>
      </c>
      <c r="G8200" s="134" t="n">
        <f aca="false">LEN('Saisie programme'!$J$309)+SUMIFS('Vols additionnels'!$E$7:$E$66,'Vols additionnels'!$C$7:$C$66,$E8200,'Vols additionnels'!$D$7:$D$66,$F8200,'Vols additionnels'!$B$7:$B$66,$D8200)</f>
        <v>0</v>
      </c>
      <c r="H8200" s="135" t="n">
        <f aca="false">$G8200*'Analyse capacite'!$F$9</f>
        <v>0</v>
      </c>
      <c r="I8200" s="135" t="n">
        <f aca="false">$G8200*'Analyse capacite'!$C$9</f>
        <v>0</v>
      </c>
      <c r="J8200" s="135" t="n">
        <f aca="false">$G8200*'Analyse capacite'!$D$9</f>
        <v>0</v>
      </c>
      <c r="K8200" s="135" t="n">
        <f aca="false">$G8200*'Analyse capacite'!$E$9</f>
        <v>0</v>
      </c>
    </row>
    <row r="8201" customFormat="false" ht="15" hidden="false" customHeight="false" outlineLevel="0" collapsed="false">
      <c r="B8201" s="130" t="n">
        <v>2027</v>
      </c>
      <c r="C8201" s="131" t="s">
        <v>253</v>
      </c>
      <c r="D8201" s="132" t="n">
        <v>46705</v>
      </c>
      <c r="E8201" s="131" t="s">
        <v>53</v>
      </c>
      <c r="F8201" s="133" t="s">
        <v>11</v>
      </c>
      <c r="G8201" s="134" t="n">
        <f aca="false">LEN('Saisie programme'!$J$310)+SUMIFS('Vols additionnels'!$E$7:$E$66,'Vols additionnels'!$C$7:$C$66,$E8201,'Vols additionnels'!$D$7:$D$66,$F8201,'Vols additionnels'!$B$7:$B$66,$D8201)</f>
        <v>0</v>
      </c>
      <c r="H8201" s="135" t="n">
        <f aca="false">$G8201*'Analyse capacite'!$F$7</f>
        <v>0</v>
      </c>
      <c r="I8201" s="135" t="n">
        <f aca="false">$G8201*'Analyse capacite'!$C$7</f>
        <v>0</v>
      </c>
      <c r="J8201" s="135" t="n">
        <f aca="false">$G8201*'Analyse capacite'!$D$7</f>
        <v>0</v>
      </c>
      <c r="K8201" s="135" t="n">
        <f aca="false">$G8201*'Analyse capacite'!$E$7</f>
        <v>0</v>
      </c>
    </row>
    <row r="8202" customFormat="false" ht="15" hidden="false" customHeight="false" outlineLevel="0" collapsed="false">
      <c r="B8202" s="130" t="n">
        <v>2027</v>
      </c>
      <c r="C8202" s="131" t="s">
        <v>253</v>
      </c>
      <c r="D8202" s="132" t="n">
        <v>46705</v>
      </c>
      <c r="E8202" s="131" t="s">
        <v>53</v>
      </c>
      <c r="F8202" s="133" t="s">
        <v>19</v>
      </c>
      <c r="G8202" s="134" t="n">
        <f aca="false">LEN('Saisie programme'!$J$311)+SUMIFS('Vols additionnels'!$E$7:$E$66,'Vols additionnels'!$C$7:$C$66,$E8202,'Vols additionnels'!$D$7:$D$66,$F8202,'Vols additionnels'!$B$7:$B$66,$D8202)</f>
        <v>0</v>
      </c>
      <c r="H8202" s="135" t="n">
        <f aca="false">$G8202*'Analyse capacite'!$F$8</f>
        <v>0</v>
      </c>
      <c r="I8202" s="135" t="n">
        <f aca="false">$G8202*'Analyse capacite'!$C$8</f>
        <v>0</v>
      </c>
      <c r="J8202" s="135" t="n">
        <f aca="false">$G8202*'Analyse capacite'!$D$8</f>
        <v>0</v>
      </c>
      <c r="K8202" s="135" t="n">
        <f aca="false">$G8202*'Analyse capacite'!$E$8</f>
        <v>0</v>
      </c>
    </row>
    <row r="8203" customFormat="false" ht="15" hidden="false" customHeight="false" outlineLevel="0" collapsed="false">
      <c r="B8203" s="130" t="n">
        <v>2027</v>
      </c>
      <c r="C8203" s="131" t="s">
        <v>253</v>
      </c>
      <c r="D8203" s="132" t="n">
        <v>46705</v>
      </c>
      <c r="E8203" s="131" t="s">
        <v>53</v>
      </c>
      <c r="F8203" s="133" t="s">
        <v>24</v>
      </c>
      <c r="G8203" s="134" t="n">
        <f aca="false">LEN('Saisie programme'!$J$312)+SUMIFS('Vols additionnels'!$E$7:$E$66,'Vols additionnels'!$C$7:$C$66,$E8203,'Vols additionnels'!$D$7:$D$66,$F8203,'Vols additionnels'!$B$7:$B$66,$D8203)</f>
        <v>0</v>
      </c>
      <c r="H8203" s="135" t="n">
        <f aca="false">$G8203*'Analyse capacite'!$F$9</f>
        <v>0</v>
      </c>
      <c r="I8203" s="135" t="n">
        <f aca="false">$G8203*'Analyse capacite'!$C$9</f>
        <v>0</v>
      </c>
      <c r="J8203" s="135" t="n">
        <f aca="false">$G8203*'Analyse capacite'!$D$9</f>
        <v>0</v>
      </c>
      <c r="K8203" s="135" t="n">
        <f aca="false">$G8203*'Analyse capacite'!$E$9</f>
        <v>0</v>
      </c>
    </row>
    <row r="8204" customFormat="false" ht="15" hidden="false" customHeight="false" outlineLevel="0" collapsed="false">
      <c r="B8204" s="130" t="n">
        <v>2027</v>
      </c>
      <c r="C8204" s="131" t="s">
        <v>253</v>
      </c>
      <c r="D8204" s="132" t="n">
        <v>46705</v>
      </c>
      <c r="E8204" s="131" t="s">
        <v>56</v>
      </c>
      <c r="F8204" s="133" t="s">
        <v>11</v>
      </c>
      <c r="G8204" s="134" t="n">
        <f aca="false">LEN('Saisie programme'!$J$313)+SUMIFS('Vols additionnels'!$E$7:$E$66,'Vols additionnels'!$C$7:$C$66,$E8204,'Vols additionnels'!$D$7:$D$66,$F8204,'Vols additionnels'!$B$7:$B$66,$D8204)</f>
        <v>0</v>
      </c>
      <c r="H8204" s="135" t="n">
        <f aca="false">$G8204*'Analyse capacite'!$F$7</f>
        <v>0</v>
      </c>
      <c r="I8204" s="135" t="n">
        <f aca="false">$G8204*'Analyse capacite'!$C$7</f>
        <v>0</v>
      </c>
      <c r="J8204" s="135" t="n">
        <f aca="false">$G8204*'Analyse capacite'!$D$7</f>
        <v>0</v>
      </c>
      <c r="K8204" s="135" t="n">
        <f aca="false">$G8204*'Analyse capacite'!$E$7</f>
        <v>0</v>
      </c>
    </row>
    <row r="8205" customFormat="false" ht="15" hidden="false" customHeight="false" outlineLevel="0" collapsed="false">
      <c r="B8205" s="130" t="n">
        <v>2027</v>
      </c>
      <c r="C8205" s="131" t="s">
        <v>253</v>
      </c>
      <c r="D8205" s="132" t="n">
        <v>46705</v>
      </c>
      <c r="E8205" s="131" t="s">
        <v>56</v>
      </c>
      <c r="F8205" s="133" t="s">
        <v>19</v>
      </c>
      <c r="G8205" s="134" t="n">
        <f aca="false">LEN('Saisie programme'!$J$314)+SUMIFS('Vols additionnels'!$E$7:$E$66,'Vols additionnels'!$C$7:$C$66,$E8205,'Vols additionnels'!$D$7:$D$66,$F8205,'Vols additionnels'!$B$7:$B$66,$D8205)</f>
        <v>0</v>
      </c>
      <c r="H8205" s="135" t="n">
        <f aca="false">$G8205*'Analyse capacite'!$F$8</f>
        <v>0</v>
      </c>
      <c r="I8205" s="135" t="n">
        <f aca="false">$G8205*'Analyse capacite'!$C$8</f>
        <v>0</v>
      </c>
      <c r="J8205" s="135" t="n">
        <f aca="false">$G8205*'Analyse capacite'!$D$8</f>
        <v>0</v>
      </c>
      <c r="K8205" s="135" t="n">
        <f aca="false">$G8205*'Analyse capacite'!$E$8</f>
        <v>0</v>
      </c>
    </row>
    <row r="8206" customFormat="false" ht="15" hidden="false" customHeight="false" outlineLevel="0" collapsed="false">
      <c r="B8206" s="130" t="n">
        <v>2027</v>
      </c>
      <c r="C8206" s="131" t="s">
        <v>253</v>
      </c>
      <c r="D8206" s="132" t="n">
        <v>46705</v>
      </c>
      <c r="E8206" s="131" t="s">
        <v>56</v>
      </c>
      <c r="F8206" s="133" t="s">
        <v>24</v>
      </c>
      <c r="G8206" s="134" t="n">
        <f aca="false">LEN('Saisie programme'!$J$315)+SUMIFS('Vols additionnels'!$E$7:$E$66,'Vols additionnels'!$C$7:$C$66,$E8206,'Vols additionnels'!$D$7:$D$66,$F8206,'Vols additionnels'!$B$7:$B$66,$D8206)</f>
        <v>0</v>
      </c>
      <c r="H8206" s="135" t="n">
        <f aca="false">$G8206*'Analyse capacite'!$F$9</f>
        <v>0</v>
      </c>
      <c r="I8206" s="135" t="n">
        <f aca="false">$G8206*'Analyse capacite'!$C$9</f>
        <v>0</v>
      </c>
      <c r="J8206" s="135" t="n">
        <f aca="false">$G8206*'Analyse capacite'!$D$9</f>
        <v>0</v>
      </c>
      <c r="K8206" s="135" t="n">
        <f aca="false">$G8206*'Analyse capacite'!$E$9</f>
        <v>0</v>
      </c>
    </row>
    <row r="8207" customFormat="false" ht="15" hidden="false" customHeight="false" outlineLevel="0" collapsed="false">
      <c r="B8207" s="130" t="n">
        <v>2027</v>
      </c>
      <c r="C8207" s="131" t="s">
        <v>253</v>
      </c>
      <c r="D8207" s="132" t="n">
        <v>46705</v>
      </c>
      <c r="E8207" s="131" t="s">
        <v>59</v>
      </c>
      <c r="F8207" s="133" t="s">
        <v>11</v>
      </c>
      <c r="G8207" s="134" t="n">
        <f aca="false">LEN('Saisie programme'!$J$316)+SUMIFS('Vols additionnels'!$E$7:$E$66,'Vols additionnels'!$C$7:$C$66,$E8207,'Vols additionnels'!$D$7:$D$66,$F8207,'Vols additionnels'!$B$7:$B$66,$D8207)</f>
        <v>0</v>
      </c>
      <c r="H8207" s="135" t="n">
        <f aca="false">$G8207*'Analyse capacite'!$F$7</f>
        <v>0</v>
      </c>
      <c r="I8207" s="135" t="n">
        <f aca="false">$G8207*'Analyse capacite'!$C$7</f>
        <v>0</v>
      </c>
      <c r="J8207" s="135" t="n">
        <f aca="false">$G8207*'Analyse capacite'!$D$7</f>
        <v>0</v>
      </c>
      <c r="K8207" s="135" t="n">
        <f aca="false">$G8207*'Analyse capacite'!$E$7</f>
        <v>0</v>
      </c>
    </row>
    <row r="8208" customFormat="false" ht="15" hidden="false" customHeight="false" outlineLevel="0" collapsed="false">
      <c r="B8208" s="130" t="n">
        <v>2027</v>
      </c>
      <c r="C8208" s="131" t="s">
        <v>253</v>
      </c>
      <c r="D8208" s="132" t="n">
        <v>46705</v>
      </c>
      <c r="E8208" s="131" t="s">
        <v>59</v>
      </c>
      <c r="F8208" s="133" t="s">
        <v>19</v>
      </c>
      <c r="G8208" s="134" t="n">
        <f aca="false">LEN('Saisie programme'!$J$317)+SUMIFS('Vols additionnels'!$E$7:$E$66,'Vols additionnels'!$C$7:$C$66,$E8208,'Vols additionnels'!$D$7:$D$66,$F8208,'Vols additionnels'!$B$7:$B$66,$D8208)</f>
        <v>0</v>
      </c>
      <c r="H8208" s="135" t="n">
        <f aca="false">$G8208*'Analyse capacite'!$F$8</f>
        <v>0</v>
      </c>
      <c r="I8208" s="135" t="n">
        <f aca="false">$G8208*'Analyse capacite'!$C$8</f>
        <v>0</v>
      </c>
      <c r="J8208" s="135" t="n">
        <f aca="false">$G8208*'Analyse capacite'!$D$8</f>
        <v>0</v>
      </c>
      <c r="K8208" s="135" t="n">
        <f aca="false">$G8208*'Analyse capacite'!$E$8</f>
        <v>0</v>
      </c>
    </row>
    <row r="8209" customFormat="false" ht="15" hidden="false" customHeight="false" outlineLevel="0" collapsed="false">
      <c r="B8209" s="130" t="n">
        <v>2027</v>
      </c>
      <c r="C8209" s="131" t="s">
        <v>253</v>
      </c>
      <c r="D8209" s="132" t="n">
        <v>46705</v>
      </c>
      <c r="E8209" s="131" t="s">
        <v>59</v>
      </c>
      <c r="F8209" s="133" t="s">
        <v>24</v>
      </c>
      <c r="G8209" s="134" t="n">
        <f aca="false">LEN('Saisie programme'!$J$318)+SUMIFS('Vols additionnels'!$E$7:$E$66,'Vols additionnels'!$C$7:$C$66,$E8209,'Vols additionnels'!$D$7:$D$66,$F8209,'Vols additionnels'!$B$7:$B$66,$D8209)</f>
        <v>0</v>
      </c>
      <c r="H8209" s="135" t="n">
        <f aca="false">$G8209*'Analyse capacite'!$F$9</f>
        <v>0</v>
      </c>
      <c r="I8209" s="135" t="n">
        <f aca="false">$G8209*'Analyse capacite'!$C$9</f>
        <v>0</v>
      </c>
      <c r="J8209" s="135" t="n">
        <f aca="false">$G8209*'Analyse capacite'!$D$9</f>
        <v>0</v>
      </c>
      <c r="K8209" s="135" t="n">
        <f aca="false">$G8209*'Analyse capacite'!$E$9</f>
        <v>0</v>
      </c>
    </row>
    <row r="8210" customFormat="false" ht="15" hidden="false" customHeight="false" outlineLevel="0" collapsed="false">
      <c r="B8210" s="130" t="n">
        <v>2027</v>
      </c>
      <c r="C8210" s="131" t="s">
        <v>253</v>
      </c>
      <c r="D8210" s="132" t="n">
        <v>46705</v>
      </c>
      <c r="E8210" s="131" t="s">
        <v>62</v>
      </c>
      <c r="F8210" s="133" t="s">
        <v>11</v>
      </c>
      <c r="G8210" s="134" t="n">
        <f aca="false">LEN('Saisie programme'!$J$319)+SUMIFS('Vols additionnels'!$E$7:$E$66,'Vols additionnels'!$C$7:$C$66,$E8210,'Vols additionnels'!$D$7:$D$66,$F8210,'Vols additionnels'!$B$7:$B$66,$D8210)</f>
        <v>0</v>
      </c>
      <c r="H8210" s="135" t="n">
        <f aca="false">$G8210*'Analyse capacite'!$F$7</f>
        <v>0</v>
      </c>
      <c r="I8210" s="135" t="n">
        <f aca="false">$G8210*'Analyse capacite'!$C$7</f>
        <v>0</v>
      </c>
      <c r="J8210" s="135" t="n">
        <f aca="false">$G8210*'Analyse capacite'!$D$7</f>
        <v>0</v>
      </c>
      <c r="K8210" s="135" t="n">
        <f aca="false">$G8210*'Analyse capacite'!$E$7</f>
        <v>0</v>
      </c>
    </row>
    <row r="8211" customFormat="false" ht="15" hidden="false" customHeight="false" outlineLevel="0" collapsed="false">
      <c r="B8211" s="130" t="n">
        <v>2027</v>
      </c>
      <c r="C8211" s="131" t="s">
        <v>253</v>
      </c>
      <c r="D8211" s="132" t="n">
        <v>46705</v>
      </c>
      <c r="E8211" s="131" t="s">
        <v>62</v>
      </c>
      <c r="F8211" s="133" t="s">
        <v>19</v>
      </c>
      <c r="G8211" s="134" t="n">
        <f aca="false">LEN('Saisie programme'!$J$320)+SUMIFS('Vols additionnels'!$E$7:$E$66,'Vols additionnels'!$C$7:$C$66,$E8211,'Vols additionnels'!$D$7:$D$66,$F8211,'Vols additionnels'!$B$7:$B$66,$D8211)</f>
        <v>0</v>
      </c>
      <c r="H8211" s="135" t="n">
        <f aca="false">$G8211*'Analyse capacite'!$F$8</f>
        <v>0</v>
      </c>
      <c r="I8211" s="135" t="n">
        <f aca="false">$G8211*'Analyse capacite'!$C$8</f>
        <v>0</v>
      </c>
      <c r="J8211" s="135" t="n">
        <f aca="false">$G8211*'Analyse capacite'!$D$8</f>
        <v>0</v>
      </c>
      <c r="K8211" s="135" t="n">
        <f aca="false">$G8211*'Analyse capacite'!$E$8</f>
        <v>0</v>
      </c>
    </row>
    <row r="8212" customFormat="false" ht="15" hidden="false" customHeight="false" outlineLevel="0" collapsed="false">
      <c r="B8212" s="130" t="n">
        <v>2027</v>
      </c>
      <c r="C8212" s="131" t="s">
        <v>253</v>
      </c>
      <c r="D8212" s="132" t="n">
        <v>46705</v>
      </c>
      <c r="E8212" s="131" t="s">
        <v>62</v>
      </c>
      <c r="F8212" s="133" t="s">
        <v>24</v>
      </c>
      <c r="G8212" s="134" t="n">
        <f aca="false">LEN('Saisie programme'!$J$321)+SUMIFS('Vols additionnels'!$E$7:$E$66,'Vols additionnels'!$C$7:$C$66,$E8212,'Vols additionnels'!$D$7:$D$66,$F8212,'Vols additionnels'!$B$7:$B$66,$D8212)</f>
        <v>1</v>
      </c>
      <c r="H8212" s="135" t="n">
        <f aca="false">$G8212*'Analyse capacite'!$F$9</f>
        <v>174</v>
      </c>
      <c r="I8212" s="135" t="n">
        <f aca="false">$G8212*'Analyse capacite'!$C$9</f>
        <v>0</v>
      </c>
      <c r="J8212" s="135" t="n">
        <f aca="false">$G8212*'Analyse capacite'!$D$9</f>
        <v>12</v>
      </c>
      <c r="K8212" s="135" t="n">
        <f aca="false">$G8212*'Analyse capacite'!$E$9</f>
        <v>162</v>
      </c>
    </row>
    <row r="8213" customFormat="false" ht="15" hidden="false" customHeight="false" outlineLevel="0" collapsed="false">
      <c r="B8213" s="130" t="n">
        <v>2027</v>
      </c>
      <c r="C8213" s="131" t="s">
        <v>253</v>
      </c>
      <c r="D8213" s="132" t="n">
        <v>46706</v>
      </c>
      <c r="E8213" s="131" t="s">
        <v>12</v>
      </c>
      <c r="F8213" s="133" t="s">
        <v>11</v>
      </c>
      <c r="G8213" s="134" t="n">
        <f aca="false">LEN('Saisie programme'!$D$286)+SUMIFS('Vols additionnels'!$E$7:$E$66,'Vols additionnels'!$C$7:$C$66,$E8213,'Vols additionnels'!$D$7:$D$66,$F8213,'Vols additionnels'!$B$7:$B$66,$D8213)</f>
        <v>1</v>
      </c>
      <c r="H8213" s="135" t="n">
        <f aca="false">$G8213*'Analyse capacite'!$F$7</f>
        <v>438</v>
      </c>
      <c r="I8213" s="135" t="n">
        <f aca="false">$G8213*'Analyse capacite'!$C$7</f>
        <v>14</v>
      </c>
      <c r="J8213" s="135" t="n">
        <f aca="false">$G8213*'Analyse capacite'!$D$7</f>
        <v>40</v>
      </c>
      <c r="K8213" s="135" t="n">
        <f aca="false">$G8213*'Analyse capacite'!$E$7</f>
        <v>384</v>
      </c>
    </row>
    <row r="8214" customFormat="false" ht="15" hidden="false" customHeight="false" outlineLevel="0" collapsed="false">
      <c r="B8214" s="130" t="n">
        <v>2027</v>
      </c>
      <c r="C8214" s="131" t="s">
        <v>253</v>
      </c>
      <c r="D8214" s="132" t="n">
        <v>46706</v>
      </c>
      <c r="E8214" s="131" t="s">
        <v>12</v>
      </c>
      <c r="F8214" s="133" t="s">
        <v>19</v>
      </c>
      <c r="G8214" s="134" t="n">
        <f aca="false">LEN('Saisie programme'!$D$287)+SUMIFS('Vols additionnels'!$E$7:$E$66,'Vols additionnels'!$C$7:$C$66,$E8214,'Vols additionnels'!$D$7:$D$66,$F8214,'Vols additionnels'!$B$7:$B$66,$D8214)</f>
        <v>1</v>
      </c>
      <c r="H8214" s="135" t="n">
        <f aca="false">$G8214*'Analyse capacite'!$F$8</f>
        <v>262</v>
      </c>
      <c r="I8214" s="135" t="n">
        <f aca="false">$G8214*'Analyse capacite'!$C$8</f>
        <v>18</v>
      </c>
      <c r="J8214" s="135" t="n">
        <f aca="false">$G8214*'Analyse capacite'!$D$8</f>
        <v>0</v>
      </c>
      <c r="K8214" s="135" t="n">
        <f aca="false">$G8214*'Analyse capacite'!$E$8</f>
        <v>244</v>
      </c>
    </row>
    <row r="8215" customFormat="false" ht="15" hidden="false" customHeight="false" outlineLevel="0" collapsed="false">
      <c r="B8215" s="130" t="n">
        <v>2027</v>
      </c>
      <c r="C8215" s="131" t="s">
        <v>253</v>
      </c>
      <c r="D8215" s="132" t="n">
        <v>46706</v>
      </c>
      <c r="E8215" s="131" t="s">
        <v>12</v>
      </c>
      <c r="F8215" s="133" t="s">
        <v>24</v>
      </c>
      <c r="G8215" s="134" t="n">
        <f aca="false">LEN('Saisie programme'!$D$288)+SUMIFS('Vols additionnels'!$E$7:$E$66,'Vols additionnels'!$C$7:$C$66,$E8215,'Vols additionnels'!$D$7:$D$66,$F8215,'Vols additionnels'!$B$7:$B$66,$D8215)</f>
        <v>2</v>
      </c>
      <c r="H8215" s="135" t="n">
        <f aca="false">$G8215*'Analyse capacite'!$F$9</f>
        <v>348</v>
      </c>
      <c r="I8215" s="135" t="n">
        <f aca="false">$G8215*'Analyse capacite'!$C$9</f>
        <v>0</v>
      </c>
      <c r="J8215" s="135" t="n">
        <f aca="false">$G8215*'Analyse capacite'!$D$9</f>
        <v>24</v>
      </c>
      <c r="K8215" s="135" t="n">
        <f aca="false">$G8215*'Analyse capacite'!$E$9</f>
        <v>324</v>
      </c>
    </row>
    <row r="8216" customFormat="false" ht="15" hidden="false" customHeight="false" outlineLevel="0" collapsed="false">
      <c r="B8216" s="130" t="n">
        <v>2027</v>
      </c>
      <c r="C8216" s="131" t="s">
        <v>253</v>
      </c>
      <c r="D8216" s="132" t="n">
        <v>46706</v>
      </c>
      <c r="E8216" s="131" t="s">
        <v>20</v>
      </c>
      <c r="F8216" s="133" t="s">
        <v>11</v>
      </c>
      <c r="G8216" s="134" t="n">
        <f aca="false">LEN('Saisie programme'!$D$289)+SUMIFS('Vols additionnels'!$E$7:$E$66,'Vols additionnels'!$C$7:$C$66,$E8216,'Vols additionnels'!$D$7:$D$66,$F8216,'Vols additionnels'!$B$7:$B$66,$D8216)</f>
        <v>0</v>
      </c>
      <c r="H8216" s="135" t="n">
        <f aca="false">$G8216*'Analyse capacite'!$F$7</f>
        <v>0</v>
      </c>
      <c r="I8216" s="135" t="n">
        <f aca="false">$G8216*'Analyse capacite'!$C$7</f>
        <v>0</v>
      </c>
      <c r="J8216" s="135" t="n">
        <f aca="false">$G8216*'Analyse capacite'!$D$7</f>
        <v>0</v>
      </c>
      <c r="K8216" s="135" t="n">
        <f aca="false">$G8216*'Analyse capacite'!$E$7</f>
        <v>0</v>
      </c>
    </row>
    <row r="8217" customFormat="false" ht="15" hidden="false" customHeight="false" outlineLevel="0" collapsed="false">
      <c r="B8217" s="130" t="n">
        <v>2027</v>
      </c>
      <c r="C8217" s="131" t="s">
        <v>253</v>
      </c>
      <c r="D8217" s="132" t="n">
        <v>46706</v>
      </c>
      <c r="E8217" s="131" t="s">
        <v>20</v>
      </c>
      <c r="F8217" s="133" t="s">
        <v>19</v>
      </c>
      <c r="G8217" s="134" t="n">
        <f aca="false">LEN('Saisie programme'!$D$290)+SUMIFS('Vols additionnels'!$E$7:$E$66,'Vols additionnels'!$C$7:$C$66,$E8217,'Vols additionnels'!$D$7:$D$66,$F8217,'Vols additionnels'!$B$7:$B$66,$D8217)</f>
        <v>0</v>
      </c>
      <c r="H8217" s="135" t="n">
        <f aca="false">$G8217*'Analyse capacite'!$F$8</f>
        <v>0</v>
      </c>
      <c r="I8217" s="135" t="n">
        <f aca="false">$G8217*'Analyse capacite'!$C$8</f>
        <v>0</v>
      </c>
      <c r="J8217" s="135" t="n">
        <f aca="false">$G8217*'Analyse capacite'!$D$8</f>
        <v>0</v>
      </c>
      <c r="K8217" s="135" t="n">
        <f aca="false">$G8217*'Analyse capacite'!$E$8</f>
        <v>0</v>
      </c>
    </row>
    <row r="8218" customFormat="false" ht="15" hidden="false" customHeight="false" outlineLevel="0" collapsed="false">
      <c r="B8218" s="130" t="n">
        <v>2027</v>
      </c>
      <c r="C8218" s="131" t="s">
        <v>253</v>
      </c>
      <c r="D8218" s="132" t="n">
        <v>46706</v>
      </c>
      <c r="E8218" s="131" t="s">
        <v>20</v>
      </c>
      <c r="F8218" s="133" t="s">
        <v>24</v>
      </c>
      <c r="G8218" s="134" t="n">
        <f aca="false">LEN('Saisie programme'!$D$291)+SUMIFS('Vols additionnels'!$E$7:$E$66,'Vols additionnels'!$C$7:$C$66,$E8218,'Vols additionnels'!$D$7:$D$66,$F8218,'Vols additionnels'!$B$7:$B$66,$D8218)</f>
        <v>0</v>
      </c>
      <c r="H8218" s="135" t="n">
        <f aca="false">$G8218*'Analyse capacite'!$F$9</f>
        <v>0</v>
      </c>
      <c r="I8218" s="135" t="n">
        <f aca="false">$G8218*'Analyse capacite'!$C$9</f>
        <v>0</v>
      </c>
      <c r="J8218" s="135" t="n">
        <f aca="false">$G8218*'Analyse capacite'!$D$9</f>
        <v>0</v>
      </c>
      <c r="K8218" s="135" t="n">
        <f aca="false">$G8218*'Analyse capacite'!$E$9</f>
        <v>0</v>
      </c>
    </row>
    <row r="8219" customFormat="false" ht="15" hidden="false" customHeight="false" outlineLevel="0" collapsed="false">
      <c r="B8219" s="130" t="n">
        <v>2027</v>
      </c>
      <c r="C8219" s="131" t="s">
        <v>253</v>
      </c>
      <c r="D8219" s="132" t="n">
        <v>46706</v>
      </c>
      <c r="E8219" s="131" t="s">
        <v>25</v>
      </c>
      <c r="F8219" s="133" t="s">
        <v>11</v>
      </c>
      <c r="G8219" s="134" t="n">
        <f aca="false">LEN('Saisie programme'!$D$292)+SUMIFS('Vols additionnels'!$E$7:$E$66,'Vols additionnels'!$C$7:$C$66,$E8219,'Vols additionnels'!$D$7:$D$66,$F8219,'Vols additionnels'!$B$7:$B$66,$D8219)</f>
        <v>0</v>
      </c>
      <c r="H8219" s="135" t="n">
        <f aca="false">$G8219*'Analyse capacite'!$F$7</f>
        <v>0</v>
      </c>
      <c r="I8219" s="135" t="n">
        <f aca="false">$G8219*'Analyse capacite'!$C$7</f>
        <v>0</v>
      </c>
      <c r="J8219" s="135" t="n">
        <f aca="false">$G8219*'Analyse capacite'!$D$7</f>
        <v>0</v>
      </c>
      <c r="K8219" s="135" t="n">
        <f aca="false">$G8219*'Analyse capacite'!$E$7</f>
        <v>0</v>
      </c>
    </row>
    <row r="8220" customFormat="false" ht="15" hidden="false" customHeight="false" outlineLevel="0" collapsed="false">
      <c r="B8220" s="130" t="n">
        <v>2027</v>
      </c>
      <c r="C8220" s="131" t="s">
        <v>253</v>
      </c>
      <c r="D8220" s="132" t="n">
        <v>46706</v>
      </c>
      <c r="E8220" s="131" t="s">
        <v>25</v>
      </c>
      <c r="F8220" s="133" t="s">
        <v>19</v>
      </c>
      <c r="G8220" s="134" t="n">
        <f aca="false">LEN('Saisie programme'!$D$293)+SUMIFS('Vols additionnels'!$E$7:$E$66,'Vols additionnels'!$C$7:$C$66,$E8220,'Vols additionnels'!$D$7:$D$66,$F8220,'Vols additionnels'!$B$7:$B$66,$D8220)</f>
        <v>0</v>
      </c>
      <c r="H8220" s="135" t="n">
        <f aca="false">$G8220*'Analyse capacite'!$F$8</f>
        <v>0</v>
      </c>
      <c r="I8220" s="135" t="n">
        <f aca="false">$G8220*'Analyse capacite'!$C$8</f>
        <v>0</v>
      </c>
      <c r="J8220" s="135" t="n">
        <f aca="false">$G8220*'Analyse capacite'!$D$8</f>
        <v>0</v>
      </c>
      <c r="K8220" s="135" t="n">
        <f aca="false">$G8220*'Analyse capacite'!$E$8</f>
        <v>0</v>
      </c>
    </row>
    <row r="8221" customFormat="false" ht="15" hidden="false" customHeight="false" outlineLevel="0" collapsed="false">
      <c r="B8221" s="130" t="n">
        <v>2027</v>
      </c>
      <c r="C8221" s="131" t="s">
        <v>253</v>
      </c>
      <c r="D8221" s="132" t="n">
        <v>46706</v>
      </c>
      <c r="E8221" s="131" t="s">
        <v>25</v>
      </c>
      <c r="F8221" s="133" t="s">
        <v>24</v>
      </c>
      <c r="G8221" s="134" t="n">
        <f aca="false">LEN('Saisie programme'!$D$294)+SUMIFS('Vols additionnels'!$E$7:$E$66,'Vols additionnels'!$C$7:$C$66,$E8221,'Vols additionnels'!$D$7:$D$66,$F8221,'Vols additionnels'!$B$7:$B$66,$D8221)</f>
        <v>0</v>
      </c>
      <c r="H8221" s="135" t="n">
        <f aca="false">$G8221*'Analyse capacite'!$F$9</f>
        <v>0</v>
      </c>
      <c r="I8221" s="135" t="n">
        <f aca="false">$G8221*'Analyse capacite'!$C$9</f>
        <v>0</v>
      </c>
      <c r="J8221" s="135" t="n">
        <f aca="false">$G8221*'Analyse capacite'!$D$9</f>
        <v>0</v>
      </c>
      <c r="K8221" s="135" t="n">
        <f aca="false">$G8221*'Analyse capacite'!$E$9</f>
        <v>0</v>
      </c>
    </row>
    <row r="8222" customFormat="false" ht="15" hidden="false" customHeight="false" outlineLevel="0" collapsed="false">
      <c r="B8222" s="130" t="n">
        <v>2027</v>
      </c>
      <c r="C8222" s="131" t="s">
        <v>253</v>
      </c>
      <c r="D8222" s="132" t="n">
        <v>46706</v>
      </c>
      <c r="E8222" s="131" t="s">
        <v>36</v>
      </c>
      <c r="F8222" s="133" t="s">
        <v>11</v>
      </c>
      <c r="G8222" s="134" t="n">
        <f aca="false">LEN('Saisie programme'!$D$295)+SUMIFS('Vols additionnels'!$E$7:$E$66,'Vols additionnels'!$C$7:$C$66,$E8222,'Vols additionnels'!$D$7:$D$66,$F8222,'Vols additionnels'!$B$7:$B$66,$D8222)</f>
        <v>0</v>
      </c>
      <c r="H8222" s="135" t="n">
        <f aca="false">$G8222*'Analyse capacite'!$F$7</f>
        <v>0</v>
      </c>
      <c r="I8222" s="135" t="n">
        <f aca="false">$G8222*'Analyse capacite'!$C$7</f>
        <v>0</v>
      </c>
      <c r="J8222" s="135" t="n">
        <f aca="false">$G8222*'Analyse capacite'!$D$7</f>
        <v>0</v>
      </c>
      <c r="K8222" s="135" t="n">
        <f aca="false">$G8222*'Analyse capacite'!$E$7</f>
        <v>0</v>
      </c>
    </row>
    <row r="8223" customFormat="false" ht="15" hidden="false" customHeight="false" outlineLevel="0" collapsed="false">
      <c r="B8223" s="130" t="n">
        <v>2027</v>
      </c>
      <c r="C8223" s="131" t="s">
        <v>253</v>
      </c>
      <c r="D8223" s="132" t="n">
        <v>46706</v>
      </c>
      <c r="E8223" s="131" t="s">
        <v>36</v>
      </c>
      <c r="F8223" s="133" t="s">
        <v>19</v>
      </c>
      <c r="G8223" s="134" t="n">
        <f aca="false">LEN('Saisie programme'!$D$296)+SUMIFS('Vols additionnels'!$E$7:$E$66,'Vols additionnels'!$C$7:$C$66,$E8223,'Vols additionnels'!$D$7:$D$66,$F8223,'Vols additionnels'!$B$7:$B$66,$D8223)</f>
        <v>0</v>
      </c>
      <c r="H8223" s="135" t="n">
        <f aca="false">$G8223*'Analyse capacite'!$F$8</f>
        <v>0</v>
      </c>
      <c r="I8223" s="135" t="n">
        <f aca="false">$G8223*'Analyse capacite'!$C$8</f>
        <v>0</v>
      </c>
      <c r="J8223" s="135" t="n">
        <f aca="false">$G8223*'Analyse capacite'!$D$8</f>
        <v>0</v>
      </c>
      <c r="K8223" s="135" t="n">
        <f aca="false">$G8223*'Analyse capacite'!$E$8</f>
        <v>0</v>
      </c>
    </row>
    <row r="8224" customFormat="false" ht="15" hidden="false" customHeight="false" outlineLevel="0" collapsed="false">
      <c r="B8224" s="130" t="n">
        <v>2027</v>
      </c>
      <c r="C8224" s="131" t="s">
        <v>253</v>
      </c>
      <c r="D8224" s="132" t="n">
        <v>46706</v>
      </c>
      <c r="E8224" s="131" t="s">
        <v>36</v>
      </c>
      <c r="F8224" s="133" t="s">
        <v>24</v>
      </c>
      <c r="G8224" s="134" t="n">
        <f aca="false">LEN('Saisie programme'!$D$297)+SUMIFS('Vols additionnels'!$E$7:$E$66,'Vols additionnels'!$C$7:$C$66,$E8224,'Vols additionnels'!$D$7:$D$66,$F8224,'Vols additionnels'!$B$7:$B$66,$D8224)</f>
        <v>1</v>
      </c>
      <c r="H8224" s="135" t="n">
        <f aca="false">$G8224*'Analyse capacite'!$F$9</f>
        <v>174</v>
      </c>
      <c r="I8224" s="135" t="n">
        <f aca="false">$G8224*'Analyse capacite'!$C$9</f>
        <v>0</v>
      </c>
      <c r="J8224" s="135" t="n">
        <f aca="false">$G8224*'Analyse capacite'!$D$9</f>
        <v>12</v>
      </c>
      <c r="K8224" s="135" t="n">
        <f aca="false">$G8224*'Analyse capacite'!$E$9</f>
        <v>162</v>
      </c>
    </row>
    <row r="8225" customFormat="false" ht="15" hidden="false" customHeight="false" outlineLevel="0" collapsed="false">
      <c r="B8225" s="130" t="n">
        <v>2027</v>
      </c>
      <c r="C8225" s="131" t="s">
        <v>253</v>
      </c>
      <c r="D8225" s="132" t="n">
        <v>46706</v>
      </c>
      <c r="E8225" s="131" t="s">
        <v>40</v>
      </c>
      <c r="F8225" s="133" t="s">
        <v>11</v>
      </c>
      <c r="G8225" s="134" t="n">
        <f aca="false">LEN('Saisie programme'!$D$298)+SUMIFS('Vols additionnels'!$E$7:$E$66,'Vols additionnels'!$C$7:$C$66,$E8225,'Vols additionnels'!$D$7:$D$66,$F8225,'Vols additionnels'!$B$7:$B$66,$D8225)</f>
        <v>0</v>
      </c>
      <c r="H8225" s="135" t="n">
        <f aca="false">$G8225*'Analyse capacite'!$F$7</f>
        <v>0</v>
      </c>
      <c r="I8225" s="135" t="n">
        <f aca="false">$G8225*'Analyse capacite'!$C$7</f>
        <v>0</v>
      </c>
      <c r="J8225" s="135" t="n">
        <f aca="false">$G8225*'Analyse capacite'!$D$7</f>
        <v>0</v>
      </c>
      <c r="K8225" s="135" t="n">
        <f aca="false">$G8225*'Analyse capacite'!$E$7</f>
        <v>0</v>
      </c>
    </row>
    <row r="8226" customFormat="false" ht="15" hidden="false" customHeight="false" outlineLevel="0" collapsed="false">
      <c r="B8226" s="130" t="n">
        <v>2027</v>
      </c>
      <c r="C8226" s="131" t="s">
        <v>253</v>
      </c>
      <c r="D8226" s="132" t="n">
        <v>46706</v>
      </c>
      <c r="E8226" s="131" t="s">
        <v>40</v>
      </c>
      <c r="F8226" s="133" t="s">
        <v>19</v>
      </c>
      <c r="G8226" s="134" t="n">
        <f aca="false">LEN('Saisie programme'!$D$299)+SUMIFS('Vols additionnels'!$E$7:$E$66,'Vols additionnels'!$C$7:$C$66,$E8226,'Vols additionnels'!$D$7:$D$66,$F8226,'Vols additionnels'!$B$7:$B$66,$D8226)</f>
        <v>0</v>
      </c>
      <c r="H8226" s="135" t="n">
        <f aca="false">$G8226*'Analyse capacite'!$F$8</f>
        <v>0</v>
      </c>
      <c r="I8226" s="135" t="n">
        <f aca="false">$G8226*'Analyse capacite'!$C$8</f>
        <v>0</v>
      </c>
      <c r="J8226" s="135" t="n">
        <f aca="false">$G8226*'Analyse capacite'!$D$8</f>
        <v>0</v>
      </c>
      <c r="K8226" s="135" t="n">
        <f aca="false">$G8226*'Analyse capacite'!$E$8</f>
        <v>0</v>
      </c>
    </row>
    <row r="8227" customFormat="false" ht="15" hidden="false" customHeight="false" outlineLevel="0" collapsed="false">
      <c r="B8227" s="130" t="n">
        <v>2027</v>
      </c>
      <c r="C8227" s="131" t="s">
        <v>253</v>
      </c>
      <c r="D8227" s="132" t="n">
        <v>46706</v>
      </c>
      <c r="E8227" s="131" t="s">
        <v>40</v>
      </c>
      <c r="F8227" s="133" t="s">
        <v>24</v>
      </c>
      <c r="G8227" s="134" t="n">
        <f aca="false">LEN('Saisie programme'!$D$300)+SUMIFS('Vols additionnels'!$E$7:$E$66,'Vols additionnels'!$C$7:$C$66,$E8227,'Vols additionnels'!$D$7:$D$66,$F8227,'Vols additionnels'!$B$7:$B$66,$D8227)</f>
        <v>1</v>
      </c>
      <c r="H8227" s="135" t="n">
        <f aca="false">$G8227*'Analyse capacite'!$F$9</f>
        <v>174</v>
      </c>
      <c r="I8227" s="135" t="n">
        <f aca="false">$G8227*'Analyse capacite'!$C$9</f>
        <v>0</v>
      </c>
      <c r="J8227" s="135" t="n">
        <f aca="false">$G8227*'Analyse capacite'!$D$9</f>
        <v>12</v>
      </c>
      <c r="K8227" s="135" t="n">
        <f aca="false">$G8227*'Analyse capacite'!$E$9</f>
        <v>162</v>
      </c>
    </row>
    <row r="8228" customFormat="false" ht="15" hidden="false" customHeight="false" outlineLevel="0" collapsed="false">
      <c r="B8228" s="130" t="n">
        <v>2027</v>
      </c>
      <c r="C8228" s="131" t="s">
        <v>253</v>
      </c>
      <c r="D8228" s="132" t="n">
        <v>46706</v>
      </c>
      <c r="E8228" s="131" t="s">
        <v>14</v>
      </c>
      <c r="F8228" s="133" t="s">
        <v>11</v>
      </c>
      <c r="G8228" s="134" t="n">
        <f aca="false">LEN('Saisie programme'!$D$301)+SUMIFS('Vols additionnels'!$E$7:$E$66,'Vols additionnels'!$C$7:$C$66,$E8228,'Vols additionnels'!$D$7:$D$66,$F8228,'Vols additionnels'!$B$7:$B$66,$D8228)</f>
        <v>0</v>
      </c>
      <c r="H8228" s="135" t="n">
        <f aca="false">$G8228*'Analyse capacite'!$F$7</f>
        <v>0</v>
      </c>
      <c r="I8228" s="135" t="n">
        <f aca="false">$G8228*'Analyse capacite'!$C$7</f>
        <v>0</v>
      </c>
      <c r="J8228" s="135" t="n">
        <f aca="false">$G8228*'Analyse capacite'!$D$7</f>
        <v>0</v>
      </c>
      <c r="K8228" s="135" t="n">
        <f aca="false">$G8228*'Analyse capacite'!$E$7</f>
        <v>0</v>
      </c>
    </row>
    <row r="8229" customFormat="false" ht="15" hidden="false" customHeight="false" outlineLevel="0" collapsed="false">
      <c r="B8229" s="130" t="n">
        <v>2027</v>
      </c>
      <c r="C8229" s="131" t="s">
        <v>253</v>
      </c>
      <c r="D8229" s="132" t="n">
        <v>46706</v>
      </c>
      <c r="E8229" s="131" t="s">
        <v>14</v>
      </c>
      <c r="F8229" s="133" t="s">
        <v>19</v>
      </c>
      <c r="G8229" s="134" t="n">
        <f aca="false">LEN('Saisie programme'!$D$302)+SUMIFS('Vols additionnels'!$E$7:$E$66,'Vols additionnels'!$C$7:$C$66,$E8229,'Vols additionnels'!$D$7:$D$66,$F8229,'Vols additionnels'!$B$7:$B$66,$D8229)</f>
        <v>0</v>
      </c>
      <c r="H8229" s="135" t="n">
        <f aca="false">$G8229*'Analyse capacite'!$F$8</f>
        <v>0</v>
      </c>
      <c r="I8229" s="135" t="n">
        <f aca="false">$G8229*'Analyse capacite'!$C$8</f>
        <v>0</v>
      </c>
      <c r="J8229" s="135" t="n">
        <f aca="false">$G8229*'Analyse capacite'!$D$8</f>
        <v>0</v>
      </c>
      <c r="K8229" s="135" t="n">
        <f aca="false">$G8229*'Analyse capacite'!$E$8</f>
        <v>0</v>
      </c>
    </row>
    <row r="8230" customFormat="false" ht="15" hidden="false" customHeight="false" outlineLevel="0" collapsed="false">
      <c r="B8230" s="130" t="n">
        <v>2027</v>
      </c>
      <c r="C8230" s="131" t="s">
        <v>253</v>
      </c>
      <c r="D8230" s="132" t="n">
        <v>46706</v>
      </c>
      <c r="E8230" s="131" t="s">
        <v>14</v>
      </c>
      <c r="F8230" s="133" t="s">
        <v>24</v>
      </c>
      <c r="G8230" s="134" t="n">
        <f aca="false">LEN('Saisie programme'!$D$303)+SUMIFS('Vols additionnels'!$E$7:$E$66,'Vols additionnels'!$C$7:$C$66,$E8230,'Vols additionnels'!$D$7:$D$66,$F8230,'Vols additionnels'!$B$7:$B$66,$D8230)</f>
        <v>1</v>
      </c>
      <c r="H8230" s="135" t="n">
        <f aca="false">$G8230*'Analyse capacite'!$F$9</f>
        <v>174</v>
      </c>
      <c r="I8230" s="135" t="n">
        <f aca="false">$G8230*'Analyse capacite'!$C$9</f>
        <v>0</v>
      </c>
      <c r="J8230" s="135" t="n">
        <f aca="false">$G8230*'Analyse capacite'!$D$9</f>
        <v>12</v>
      </c>
      <c r="K8230" s="135" t="n">
        <f aca="false">$G8230*'Analyse capacite'!$E$9</f>
        <v>162</v>
      </c>
    </row>
    <row r="8231" customFormat="false" ht="15" hidden="false" customHeight="false" outlineLevel="0" collapsed="false">
      <c r="B8231" s="130" t="n">
        <v>2027</v>
      </c>
      <c r="C8231" s="131" t="s">
        <v>253</v>
      </c>
      <c r="D8231" s="132" t="n">
        <v>46706</v>
      </c>
      <c r="E8231" s="131" t="s">
        <v>46</v>
      </c>
      <c r="F8231" s="133" t="s">
        <v>11</v>
      </c>
      <c r="G8231" s="134" t="n">
        <f aca="false">LEN('Saisie programme'!$D$304)+SUMIFS('Vols additionnels'!$E$7:$E$66,'Vols additionnels'!$C$7:$C$66,$E8231,'Vols additionnels'!$D$7:$D$66,$F8231,'Vols additionnels'!$B$7:$B$66,$D8231)</f>
        <v>0</v>
      </c>
      <c r="H8231" s="135" t="n">
        <f aca="false">$G8231*'Analyse capacite'!$F$7</f>
        <v>0</v>
      </c>
      <c r="I8231" s="135" t="n">
        <f aca="false">$G8231*'Analyse capacite'!$C$7</f>
        <v>0</v>
      </c>
      <c r="J8231" s="135" t="n">
        <f aca="false">$G8231*'Analyse capacite'!$D$7</f>
        <v>0</v>
      </c>
      <c r="K8231" s="135" t="n">
        <f aca="false">$G8231*'Analyse capacite'!$E$7</f>
        <v>0</v>
      </c>
    </row>
    <row r="8232" customFormat="false" ht="15" hidden="false" customHeight="false" outlineLevel="0" collapsed="false">
      <c r="B8232" s="130" t="n">
        <v>2027</v>
      </c>
      <c r="C8232" s="131" t="s">
        <v>253</v>
      </c>
      <c r="D8232" s="132" t="n">
        <v>46706</v>
      </c>
      <c r="E8232" s="131" t="s">
        <v>46</v>
      </c>
      <c r="F8232" s="133" t="s">
        <v>19</v>
      </c>
      <c r="G8232" s="134" t="n">
        <f aca="false">LEN('Saisie programme'!$D$305)+SUMIFS('Vols additionnels'!$E$7:$E$66,'Vols additionnels'!$C$7:$C$66,$E8232,'Vols additionnels'!$D$7:$D$66,$F8232,'Vols additionnels'!$B$7:$B$66,$D8232)</f>
        <v>0</v>
      </c>
      <c r="H8232" s="135" t="n">
        <f aca="false">$G8232*'Analyse capacite'!$F$8</f>
        <v>0</v>
      </c>
      <c r="I8232" s="135" t="n">
        <f aca="false">$G8232*'Analyse capacite'!$C$8</f>
        <v>0</v>
      </c>
      <c r="J8232" s="135" t="n">
        <f aca="false">$G8232*'Analyse capacite'!$D$8</f>
        <v>0</v>
      </c>
      <c r="K8232" s="135" t="n">
        <f aca="false">$G8232*'Analyse capacite'!$E$8</f>
        <v>0</v>
      </c>
    </row>
    <row r="8233" customFormat="false" ht="15" hidden="false" customHeight="false" outlineLevel="0" collapsed="false">
      <c r="B8233" s="130" t="n">
        <v>2027</v>
      </c>
      <c r="C8233" s="131" t="s">
        <v>253</v>
      </c>
      <c r="D8233" s="132" t="n">
        <v>46706</v>
      </c>
      <c r="E8233" s="131" t="s">
        <v>46</v>
      </c>
      <c r="F8233" s="133" t="s">
        <v>24</v>
      </c>
      <c r="G8233" s="134" t="n">
        <f aca="false">LEN('Saisie programme'!$D$306)+SUMIFS('Vols additionnels'!$E$7:$E$66,'Vols additionnels'!$C$7:$C$66,$E8233,'Vols additionnels'!$D$7:$D$66,$F8233,'Vols additionnels'!$B$7:$B$66,$D8233)</f>
        <v>0</v>
      </c>
      <c r="H8233" s="135" t="n">
        <f aca="false">$G8233*'Analyse capacite'!$F$9</f>
        <v>0</v>
      </c>
      <c r="I8233" s="135" t="n">
        <f aca="false">$G8233*'Analyse capacite'!$C$9</f>
        <v>0</v>
      </c>
      <c r="J8233" s="135" t="n">
        <f aca="false">$G8233*'Analyse capacite'!$D$9</f>
        <v>0</v>
      </c>
      <c r="K8233" s="135" t="n">
        <f aca="false">$G8233*'Analyse capacite'!$E$9</f>
        <v>0</v>
      </c>
    </row>
    <row r="8234" customFormat="false" ht="15" hidden="false" customHeight="false" outlineLevel="0" collapsed="false">
      <c r="B8234" s="130" t="n">
        <v>2027</v>
      </c>
      <c r="C8234" s="131" t="s">
        <v>253</v>
      </c>
      <c r="D8234" s="132" t="n">
        <v>46706</v>
      </c>
      <c r="E8234" s="131" t="s">
        <v>49</v>
      </c>
      <c r="F8234" s="133" t="s">
        <v>11</v>
      </c>
      <c r="G8234" s="134" t="n">
        <f aca="false">LEN('Saisie programme'!$D$307)+SUMIFS('Vols additionnels'!$E$7:$E$66,'Vols additionnels'!$C$7:$C$66,$E8234,'Vols additionnels'!$D$7:$D$66,$F8234,'Vols additionnels'!$B$7:$B$66,$D8234)</f>
        <v>0</v>
      </c>
      <c r="H8234" s="135" t="n">
        <f aca="false">$G8234*'Analyse capacite'!$F$7</f>
        <v>0</v>
      </c>
      <c r="I8234" s="135" t="n">
        <f aca="false">$G8234*'Analyse capacite'!$C$7</f>
        <v>0</v>
      </c>
      <c r="J8234" s="135" t="n">
        <f aca="false">$G8234*'Analyse capacite'!$D$7</f>
        <v>0</v>
      </c>
      <c r="K8234" s="135" t="n">
        <f aca="false">$G8234*'Analyse capacite'!$E$7</f>
        <v>0</v>
      </c>
    </row>
    <row r="8235" customFormat="false" ht="15" hidden="false" customHeight="false" outlineLevel="0" collapsed="false">
      <c r="B8235" s="130" t="n">
        <v>2027</v>
      </c>
      <c r="C8235" s="131" t="s">
        <v>253</v>
      </c>
      <c r="D8235" s="132" t="n">
        <v>46706</v>
      </c>
      <c r="E8235" s="131" t="s">
        <v>49</v>
      </c>
      <c r="F8235" s="133" t="s">
        <v>19</v>
      </c>
      <c r="G8235" s="134" t="n">
        <f aca="false">LEN('Saisie programme'!$D$308)+SUMIFS('Vols additionnels'!$E$7:$E$66,'Vols additionnels'!$C$7:$C$66,$E8235,'Vols additionnels'!$D$7:$D$66,$F8235,'Vols additionnels'!$B$7:$B$66,$D8235)</f>
        <v>1</v>
      </c>
      <c r="H8235" s="135" t="n">
        <f aca="false">$G8235*'Analyse capacite'!$F$8</f>
        <v>262</v>
      </c>
      <c r="I8235" s="135" t="n">
        <f aca="false">$G8235*'Analyse capacite'!$C$8</f>
        <v>18</v>
      </c>
      <c r="J8235" s="135" t="n">
        <f aca="false">$G8235*'Analyse capacite'!$D$8</f>
        <v>0</v>
      </c>
      <c r="K8235" s="135" t="n">
        <f aca="false">$G8235*'Analyse capacite'!$E$8</f>
        <v>244</v>
      </c>
    </row>
    <row r="8236" customFormat="false" ht="15" hidden="false" customHeight="false" outlineLevel="0" collapsed="false">
      <c r="B8236" s="130" t="n">
        <v>2027</v>
      </c>
      <c r="C8236" s="131" t="s">
        <v>253</v>
      </c>
      <c r="D8236" s="132" t="n">
        <v>46706</v>
      </c>
      <c r="E8236" s="131" t="s">
        <v>49</v>
      </c>
      <c r="F8236" s="133" t="s">
        <v>24</v>
      </c>
      <c r="G8236" s="134" t="n">
        <f aca="false">LEN('Saisie programme'!$D$309)+SUMIFS('Vols additionnels'!$E$7:$E$66,'Vols additionnels'!$C$7:$C$66,$E8236,'Vols additionnels'!$D$7:$D$66,$F8236,'Vols additionnels'!$B$7:$B$66,$D8236)</f>
        <v>0</v>
      </c>
      <c r="H8236" s="135" t="n">
        <f aca="false">$G8236*'Analyse capacite'!$F$9</f>
        <v>0</v>
      </c>
      <c r="I8236" s="135" t="n">
        <f aca="false">$G8236*'Analyse capacite'!$C$9</f>
        <v>0</v>
      </c>
      <c r="J8236" s="135" t="n">
        <f aca="false">$G8236*'Analyse capacite'!$D$9</f>
        <v>0</v>
      </c>
      <c r="K8236" s="135" t="n">
        <f aca="false">$G8236*'Analyse capacite'!$E$9</f>
        <v>0</v>
      </c>
    </row>
    <row r="8237" customFormat="false" ht="15" hidden="false" customHeight="false" outlineLevel="0" collapsed="false">
      <c r="B8237" s="130" t="n">
        <v>2027</v>
      </c>
      <c r="C8237" s="131" t="s">
        <v>253</v>
      </c>
      <c r="D8237" s="132" t="n">
        <v>46706</v>
      </c>
      <c r="E8237" s="131" t="s">
        <v>53</v>
      </c>
      <c r="F8237" s="133" t="s">
        <v>11</v>
      </c>
      <c r="G8237" s="134" t="n">
        <f aca="false">LEN('Saisie programme'!$D$310)+SUMIFS('Vols additionnels'!$E$7:$E$66,'Vols additionnels'!$C$7:$C$66,$E8237,'Vols additionnels'!$D$7:$D$66,$F8237,'Vols additionnels'!$B$7:$B$66,$D8237)</f>
        <v>0</v>
      </c>
      <c r="H8237" s="135" t="n">
        <f aca="false">$G8237*'Analyse capacite'!$F$7</f>
        <v>0</v>
      </c>
      <c r="I8237" s="135" t="n">
        <f aca="false">$G8237*'Analyse capacite'!$C$7</f>
        <v>0</v>
      </c>
      <c r="J8237" s="135" t="n">
        <f aca="false">$G8237*'Analyse capacite'!$D$7</f>
        <v>0</v>
      </c>
      <c r="K8237" s="135" t="n">
        <f aca="false">$G8237*'Analyse capacite'!$E$7</f>
        <v>0</v>
      </c>
    </row>
    <row r="8238" customFormat="false" ht="15" hidden="false" customHeight="false" outlineLevel="0" collapsed="false">
      <c r="B8238" s="130" t="n">
        <v>2027</v>
      </c>
      <c r="C8238" s="131" t="s">
        <v>253</v>
      </c>
      <c r="D8238" s="132" t="n">
        <v>46706</v>
      </c>
      <c r="E8238" s="131" t="s">
        <v>53</v>
      </c>
      <c r="F8238" s="133" t="s">
        <v>19</v>
      </c>
      <c r="G8238" s="134" t="n">
        <f aca="false">LEN('Saisie programme'!$D$311)+SUMIFS('Vols additionnels'!$E$7:$E$66,'Vols additionnels'!$C$7:$C$66,$E8238,'Vols additionnels'!$D$7:$D$66,$F8238,'Vols additionnels'!$B$7:$B$66,$D8238)</f>
        <v>0</v>
      </c>
      <c r="H8238" s="135" t="n">
        <f aca="false">$G8238*'Analyse capacite'!$F$8</f>
        <v>0</v>
      </c>
      <c r="I8238" s="135" t="n">
        <f aca="false">$G8238*'Analyse capacite'!$C$8</f>
        <v>0</v>
      </c>
      <c r="J8238" s="135" t="n">
        <f aca="false">$G8238*'Analyse capacite'!$D$8</f>
        <v>0</v>
      </c>
      <c r="K8238" s="135" t="n">
        <f aca="false">$G8238*'Analyse capacite'!$E$8</f>
        <v>0</v>
      </c>
    </row>
    <row r="8239" customFormat="false" ht="15" hidden="false" customHeight="false" outlineLevel="0" collapsed="false">
      <c r="B8239" s="130" t="n">
        <v>2027</v>
      </c>
      <c r="C8239" s="131" t="s">
        <v>253</v>
      </c>
      <c r="D8239" s="132" t="n">
        <v>46706</v>
      </c>
      <c r="E8239" s="131" t="s">
        <v>53</v>
      </c>
      <c r="F8239" s="133" t="s">
        <v>24</v>
      </c>
      <c r="G8239" s="134" t="n">
        <f aca="false">LEN('Saisie programme'!$D$312)+SUMIFS('Vols additionnels'!$E$7:$E$66,'Vols additionnels'!$C$7:$C$66,$E8239,'Vols additionnels'!$D$7:$D$66,$F8239,'Vols additionnels'!$B$7:$B$66,$D8239)</f>
        <v>0</v>
      </c>
      <c r="H8239" s="135" t="n">
        <f aca="false">$G8239*'Analyse capacite'!$F$9</f>
        <v>0</v>
      </c>
      <c r="I8239" s="135" t="n">
        <f aca="false">$G8239*'Analyse capacite'!$C$9</f>
        <v>0</v>
      </c>
      <c r="J8239" s="135" t="n">
        <f aca="false">$G8239*'Analyse capacite'!$D$9</f>
        <v>0</v>
      </c>
      <c r="K8239" s="135" t="n">
        <f aca="false">$G8239*'Analyse capacite'!$E$9</f>
        <v>0</v>
      </c>
    </row>
    <row r="8240" customFormat="false" ht="15" hidden="false" customHeight="false" outlineLevel="0" collapsed="false">
      <c r="B8240" s="130" t="n">
        <v>2027</v>
      </c>
      <c r="C8240" s="131" t="s">
        <v>253</v>
      </c>
      <c r="D8240" s="132" t="n">
        <v>46706</v>
      </c>
      <c r="E8240" s="131" t="s">
        <v>56</v>
      </c>
      <c r="F8240" s="133" t="s">
        <v>11</v>
      </c>
      <c r="G8240" s="134" t="n">
        <f aca="false">LEN('Saisie programme'!$D$313)+SUMIFS('Vols additionnels'!$E$7:$E$66,'Vols additionnels'!$C$7:$C$66,$E8240,'Vols additionnels'!$D$7:$D$66,$F8240,'Vols additionnels'!$B$7:$B$66,$D8240)</f>
        <v>0</v>
      </c>
      <c r="H8240" s="135" t="n">
        <f aca="false">$G8240*'Analyse capacite'!$F$7</f>
        <v>0</v>
      </c>
      <c r="I8240" s="135" t="n">
        <f aca="false">$G8240*'Analyse capacite'!$C$7</f>
        <v>0</v>
      </c>
      <c r="J8240" s="135" t="n">
        <f aca="false">$G8240*'Analyse capacite'!$D$7</f>
        <v>0</v>
      </c>
      <c r="K8240" s="135" t="n">
        <f aca="false">$G8240*'Analyse capacite'!$E$7</f>
        <v>0</v>
      </c>
    </row>
    <row r="8241" customFormat="false" ht="15" hidden="false" customHeight="false" outlineLevel="0" collapsed="false">
      <c r="B8241" s="130" t="n">
        <v>2027</v>
      </c>
      <c r="C8241" s="131" t="s">
        <v>253</v>
      </c>
      <c r="D8241" s="132" t="n">
        <v>46706</v>
      </c>
      <c r="E8241" s="131" t="s">
        <v>56</v>
      </c>
      <c r="F8241" s="133" t="s">
        <v>19</v>
      </c>
      <c r="G8241" s="134" t="n">
        <f aca="false">LEN('Saisie programme'!$D$314)+SUMIFS('Vols additionnels'!$E$7:$E$66,'Vols additionnels'!$C$7:$C$66,$E8241,'Vols additionnels'!$D$7:$D$66,$F8241,'Vols additionnels'!$B$7:$B$66,$D8241)</f>
        <v>0</v>
      </c>
      <c r="H8241" s="135" t="n">
        <f aca="false">$G8241*'Analyse capacite'!$F$8</f>
        <v>0</v>
      </c>
      <c r="I8241" s="135" t="n">
        <f aca="false">$G8241*'Analyse capacite'!$C$8</f>
        <v>0</v>
      </c>
      <c r="J8241" s="135" t="n">
        <f aca="false">$G8241*'Analyse capacite'!$D$8</f>
        <v>0</v>
      </c>
      <c r="K8241" s="135" t="n">
        <f aca="false">$G8241*'Analyse capacite'!$E$8</f>
        <v>0</v>
      </c>
    </row>
    <row r="8242" customFormat="false" ht="15" hidden="false" customHeight="false" outlineLevel="0" collapsed="false">
      <c r="B8242" s="130" t="n">
        <v>2027</v>
      </c>
      <c r="C8242" s="131" t="s">
        <v>253</v>
      </c>
      <c r="D8242" s="132" t="n">
        <v>46706</v>
      </c>
      <c r="E8242" s="131" t="s">
        <v>56</v>
      </c>
      <c r="F8242" s="133" t="s">
        <v>24</v>
      </c>
      <c r="G8242" s="134" t="n">
        <f aca="false">LEN('Saisie programme'!$D$315)+SUMIFS('Vols additionnels'!$E$7:$E$66,'Vols additionnels'!$C$7:$C$66,$E8242,'Vols additionnels'!$D$7:$D$66,$F8242,'Vols additionnels'!$B$7:$B$66,$D8242)</f>
        <v>0</v>
      </c>
      <c r="H8242" s="135" t="n">
        <f aca="false">$G8242*'Analyse capacite'!$F$9</f>
        <v>0</v>
      </c>
      <c r="I8242" s="135" t="n">
        <f aca="false">$G8242*'Analyse capacite'!$C$9</f>
        <v>0</v>
      </c>
      <c r="J8242" s="135" t="n">
        <f aca="false">$G8242*'Analyse capacite'!$D$9</f>
        <v>0</v>
      </c>
      <c r="K8242" s="135" t="n">
        <f aca="false">$G8242*'Analyse capacite'!$E$9</f>
        <v>0</v>
      </c>
    </row>
    <row r="8243" customFormat="false" ht="15" hidden="false" customHeight="false" outlineLevel="0" collapsed="false">
      <c r="B8243" s="130" t="n">
        <v>2027</v>
      </c>
      <c r="C8243" s="131" t="s">
        <v>253</v>
      </c>
      <c r="D8243" s="132" t="n">
        <v>46706</v>
      </c>
      <c r="E8243" s="131" t="s">
        <v>59</v>
      </c>
      <c r="F8243" s="133" t="s">
        <v>11</v>
      </c>
      <c r="G8243" s="134" t="n">
        <f aca="false">LEN('Saisie programme'!$D$316)+SUMIFS('Vols additionnels'!$E$7:$E$66,'Vols additionnels'!$C$7:$C$66,$E8243,'Vols additionnels'!$D$7:$D$66,$F8243,'Vols additionnels'!$B$7:$B$66,$D8243)</f>
        <v>0</v>
      </c>
      <c r="H8243" s="135" t="n">
        <f aca="false">$G8243*'Analyse capacite'!$F$7</f>
        <v>0</v>
      </c>
      <c r="I8243" s="135" t="n">
        <f aca="false">$G8243*'Analyse capacite'!$C$7</f>
        <v>0</v>
      </c>
      <c r="J8243" s="135" t="n">
        <f aca="false">$G8243*'Analyse capacite'!$D$7</f>
        <v>0</v>
      </c>
      <c r="K8243" s="135" t="n">
        <f aca="false">$G8243*'Analyse capacite'!$E$7</f>
        <v>0</v>
      </c>
    </row>
    <row r="8244" customFormat="false" ht="15" hidden="false" customHeight="false" outlineLevel="0" collapsed="false">
      <c r="B8244" s="130" t="n">
        <v>2027</v>
      </c>
      <c r="C8244" s="131" t="s">
        <v>253</v>
      </c>
      <c r="D8244" s="132" t="n">
        <v>46706</v>
      </c>
      <c r="E8244" s="131" t="s">
        <v>59</v>
      </c>
      <c r="F8244" s="133" t="s">
        <v>19</v>
      </c>
      <c r="G8244" s="134" t="n">
        <f aca="false">LEN('Saisie programme'!$D$317)+SUMIFS('Vols additionnels'!$E$7:$E$66,'Vols additionnels'!$C$7:$C$66,$E8244,'Vols additionnels'!$D$7:$D$66,$F8244,'Vols additionnels'!$B$7:$B$66,$D8244)</f>
        <v>0</v>
      </c>
      <c r="H8244" s="135" t="n">
        <f aca="false">$G8244*'Analyse capacite'!$F$8</f>
        <v>0</v>
      </c>
      <c r="I8244" s="135" t="n">
        <f aca="false">$G8244*'Analyse capacite'!$C$8</f>
        <v>0</v>
      </c>
      <c r="J8244" s="135" t="n">
        <f aca="false">$G8244*'Analyse capacite'!$D$8</f>
        <v>0</v>
      </c>
      <c r="K8244" s="135" t="n">
        <f aca="false">$G8244*'Analyse capacite'!$E$8</f>
        <v>0</v>
      </c>
    </row>
    <row r="8245" customFormat="false" ht="15" hidden="false" customHeight="false" outlineLevel="0" collapsed="false">
      <c r="B8245" s="130" t="n">
        <v>2027</v>
      </c>
      <c r="C8245" s="131" t="s">
        <v>253</v>
      </c>
      <c r="D8245" s="132" t="n">
        <v>46706</v>
      </c>
      <c r="E8245" s="131" t="s">
        <v>59</v>
      </c>
      <c r="F8245" s="133" t="s">
        <v>24</v>
      </c>
      <c r="G8245" s="134" t="n">
        <f aca="false">LEN('Saisie programme'!$D$318)+SUMIFS('Vols additionnels'!$E$7:$E$66,'Vols additionnels'!$C$7:$C$66,$E8245,'Vols additionnels'!$D$7:$D$66,$F8245,'Vols additionnels'!$B$7:$B$66,$D8245)</f>
        <v>1</v>
      </c>
      <c r="H8245" s="135" t="n">
        <f aca="false">$G8245*'Analyse capacite'!$F$9</f>
        <v>174</v>
      </c>
      <c r="I8245" s="135" t="n">
        <f aca="false">$G8245*'Analyse capacite'!$C$9</f>
        <v>0</v>
      </c>
      <c r="J8245" s="135" t="n">
        <f aca="false">$G8245*'Analyse capacite'!$D$9</f>
        <v>12</v>
      </c>
      <c r="K8245" s="135" t="n">
        <f aca="false">$G8245*'Analyse capacite'!$E$9</f>
        <v>162</v>
      </c>
    </row>
    <row r="8246" customFormat="false" ht="15" hidden="false" customHeight="false" outlineLevel="0" collapsed="false">
      <c r="B8246" s="130" t="n">
        <v>2027</v>
      </c>
      <c r="C8246" s="131" t="s">
        <v>253</v>
      </c>
      <c r="D8246" s="132" t="n">
        <v>46706</v>
      </c>
      <c r="E8246" s="131" t="s">
        <v>62</v>
      </c>
      <c r="F8246" s="133" t="s">
        <v>11</v>
      </c>
      <c r="G8246" s="134" t="n">
        <f aca="false">LEN('Saisie programme'!$D$319)+SUMIFS('Vols additionnels'!$E$7:$E$66,'Vols additionnels'!$C$7:$C$66,$E8246,'Vols additionnels'!$D$7:$D$66,$F8246,'Vols additionnels'!$B$7:$B$66,$D8246)</f>
        <v>0</v>
      </c>
      <c r="H8246" s="135" t="n">
        <f aca="false">$G8246*'Analyse capacite'!$F$7</f>
        <v>0</v>
      </c>
      <c r="I8246" s="135" t="n">
        <f aca="false">$G8246*'Analyse capacite'!$C$7</f>
        <v>0</v>
      </c>
      <c r="J8246" s="135" t="n">
        <f aca="false">$G8246*'Analyse capacite'!$D$7</f>
        <v>0</v>
      </c>
      <c r="K8246" s="135" t="n">
        <f aca="false">$G8246*'Analyse capacite'!$E$7</f>
        <v>0</v>
      </c>
    </row>
    <row r="8247" customFormat="false" ht="15" hidden="false" customHeight="false" outlineLevel="0" collapsed="false">
      <c r="B8247" s="130" t="n">
        <v>2027</v>
      </c>
      <c r="C8247" s="131" t="s">
        <v>253</v>
      </c>
      <c r="D8247" s="132" t="n">
        <v>46706</v>
      </c>
      <c r="E8247" s="131" t="s">
        <v>62</v>
      </c>
      <c r="F8247" s="133" t="s">
        <v>19</v>
      </c>
      <c r="G8247" s="134" t="n">
        <f aca="false">LEN('Saisie programme'!$D$320)+SUMIFS('Vols additionnels'!$E$7:$E$66,'Vols additionnels'!$C$7:$C$66,$E8247,'Vols additionnels'!$D$7:$D$66,$F8247,'Vols additionnels'!$B$7:$B$66,$D8247)</f>
        <v>0</v>
      </c>
      <c r="H8247" s="135" t="n">
        <f aca="false">$G8247*'Analyse capacite'!$F$8</f>
        <v>0</v>
      </c>
      <c r="I8247" s="135" t="n">
        <f aca="false">$G8247*'Analyse capacite'!$C$8</f>
        <v>0</v>
      </c>
      <c r="J8247" s="135" t="n">
        <f aca="false">$G8247*'Analyse capacite'!$D$8</f>
        <v>0</v>
      </c>
      <c r="K8247" s="135" t="n">
        <f aca="false">$G8247*'Analyse capacite'!$E$8</f>
        <v>0</v>
      </c>
    </row>
    <row r="8248" customFormat="false" ht="15" hidden="false" customHeight="false" outlineLevel="0" collapsed="false">
      <c r="B8248" s="130" t="n">
        <v>2027</v>
      </c>
      <c r="C8248" s="131" t="s">
        <v>253</v>
      </c>
      <c r="D8248" s="132" t="n">
        <v>46706</v>
      </c>
      <c r="E8248" s="131" t="s">
        <v>62</v>
      </c>
      <c r="F8248" s="133" t="s">
        <v>24</v>
      </c>
      <c r="G8248" s="134" t="n">
        <f aca="false">LEN('Saisie programme'!$D$321)+SUMIFS('Vols additionnels'!$E$7:$E$66,'Vols additionnels'!$C$7:$C$66,$E8248,'Vols additionnels'!$D$7:$D$66,$F8248,'Vols additionnels'!$B$7:$B$66,$D8248)</f>
        <v>0</v>
      </c>
      <c r="H8248" s="135" t="n">
        <f aca="false">$G8248*'Analyse capacite'!$F$9</f>
        <v>0</v>
      </c>
      <c r="I8248" s="135" t="n">
        <f aca="false">$G8248*'Analyse capacite'!$C$9</f>
        <v>0</v>
      </c>
      <c r="J8248" s="135" t="n">
        <f aca="false">$G8248*'Analyse capacite'!$D$9</f>
        <v>0</v>
      </c>
      <c r="K8248" s="135" t="n">
        <f aca="false">$G8248*'Analyse capacite'!$E$9</f>
        <v>0</v>
      </c>
    </row>
    <row r="8249" customFormat="false" ht="15" hidden="false" customHeight="false" outlineLevel="0" collapsed="false">
      <c r="B8249" s="130" t="n">
        <v>2027</v>
      </c>
      <c r="C8249" s="131" t="s">
        <v>253</v>
      </c>
      <c r="D8249" s="132" t="n">
        <v>46707</v>
      </c>
      <c r="E8249" s="131" t="s">
        <v>12</v>
      </c>
      <c r="F8249" s="133" t="s">
        <v>11</v>
      </c>
      <c r="G8249" s="134" t="n">
        <f aca="false">LEN('Saisie programme'!$E$286)+SUMIFS('Vols additionnels'!$E$7:$E$66,'Vols additionnels'!$C$7:$C$66,$E8249,'Vols additionnels'!$D$7:$D$66,$F8249,'Vols additionnels'!$B$7:$B$66,$D8249)</f>
        <v>1</v>
      </c>
      <c r="H8249" s="135" t="n">
        <f aca="false">$G8249*'Analyse capacite'!$F$7</f>
        <v>438</v>
      </c>
      <c r="I8249" s="135" t="n">
        <f aca="false">$G8249*'Analyse capacite'!$C$7</f>
        <v>14</v>
      </c>
      <c r="J8249" s="135" t="n">
        <f aca="false">$G8249*'Analyse capacite'!$D$7</f>
        <v>40</v>
      </c>
      <c r="K8249" s="135" t="n">
        <f aca="false">$G8249*'Analyse capacite'!$E$7</f>
        <v>384</v>
      </c>
    </row>
    <row r="8250" customFormat="false" ht="15" hidden="false" customHeight="false" outlineLevel="0" collapsed="false">
      <c r="B8250" s="130" t="n">
        <v>2027</v>
      </c>
      <c r="C8250" s="131" t="s">
        <v>253</v>
      </c>
      <c r="D8250" s="132" t="n">
        <v>46707</v>
      </c>
      <c r="E8250" s="131" t="s">
        <v>12</v>
      </c>
      <c r="F8250" s="133" t="s">
        <v>19</v>
      </c>
      <c r="G8250" s="134" t="n">
        <f aca="false">LEN('Saisie programme'!$E$287)+SUMIFS('Vols additionnels'!$E$7:$E$66,'Vols additionnels'!$C$7:$C$66,$E8250,'Vols additionnels'!$D$7:$D$66,$F8250,'Vols additionnels'!$B$7:$B$66,$D8250)</f>
        <v>0</v>
      </c>
      <c r="H8250" s="135" t="n">
        <f aca="false">$G8250*'Analyse capacite'!$F$8</f>
        <v>0</v>
      </c>
      <c r="I8250" s="135" t="n">
        <f aca="false">$G8250*'Analyse capacite'!$C$8</f>
        <v>0</v>
      </c>
      <c r="J8250" s="135" t="n">
        <f aca="false">$G8250*'Analyse capacite'!$D$8</f>
        <v>0</v>
      </c>
      <c r="K8250" s="135" t="n">
        <f aca="false">$G8250*'Analyse capacite'!$E$8</f>
        <v>0</v>
      </c>
    </row>
    <row r="8251" customFormat="false" ht="15" hidden="false" customHeight="false" outlineLevel="0" collapsed="false">
      <c r="B8251" s="130" t="n">
        <v>2027</v>
      </c>
      <c r="C8251" s="131" t="s">
        <v>253</v>
      </c>
      <c r="D8251" s="132" t="n">
        <v>46707</v>
      </c>
      <c r="E8251" s="131" t="s">
        <v>12</v>
      </c>
      <c r="F8251" s="133" t="s">
        <v>24</v>
      </c>
      <c r="G8251" s="134" t="n">
        <f aca="false">LEN('Saisie programme'!$E$288)+SUMIFS('Vols additionnels'!$E$7:$E$66,'Vols additionnels'!$C$7:$C$66,$E8251,'Vols additionnels'!$D$7:$D$66,$F8251,'Vols additionnels'!$B$7:$B$66,$D8251)</f>
        <v>0</v>
      </c>
      <c r="H8251" s="135" t="n">
        <f aca="false">$G8251*'Analyse capacite'!$F$9</f>
        <v>0</v>
      </c>
      <c r="I8251" s="135" t="n">
        <f aca="false">$G8251*'Analyse capacite'!$C$9</f>
        <v>0</v>
      </c>
      <c r="J8251" s="135" t="n">
        <f aca="false">$G8251*'Analyse capacite'!$D$9</f>
        <v>0</v>
      </c>
      <c r="K8251" s="135" t="n">
        <f aca="false">$G8251*'Analyse capacite'!$E$9</f>
        <v>0</v>
      </c>
    </row>
    <row r="8252" customFormat="false" ht="15" hidden="false" customHeight="false" outlineLevel="0" collapsed="false">
      <c r="B8252" s="130" t="n">
        <v>2027</v>
      </c>
      <c r="C8252" s="131" t="s">
        <v>253</v>
      </c>
      <c r="D8252" s="132" t="n">
        <v>46707</v>
      </c>
      <c r="E8252" s="131" t="s">
        <v>20</v>
      </c>
      <c r="F8252" s="133" t="s">
        <v>11</v>
      </c>
      <c r="G8252" s="134" t="n">
        <f aca="false">LEN('Saisie programme'!$E$289)+SUMIFS('Vols additionnels'!$E$7:$E$66,'Vols additionnels'!$C$7:$C$66,$E8252,'Vols additionnels'!$D$7:$D$66,$F8252,'Vols additionnels'!$B$7:$B$66,$D8252)</f>
        <v>0</v>
      </c>
      <c r="H8252" s="135" t="n">
        <f aca="false">$G8252*'Analyse capacite'!$F$7</f>
        <v>0</v>
      </c>
      <c r="I8252" s="135" t="n">
        <f aca="false">$G8252*'Analyse capacite'!$C$7</f>
        <v>0</v>
      </c>
      <c r="J8252" s="135" t="n">
        <f aca="false">$G8252*'Analyse capacite'!$D$7</f>
        <v>0</v>
      </c>
      <c r="K8252" s="135" t="n">
        <f aca="false">$G8252*'Analyse capacite'!$E$7</f>
        <v>0</v>
      </c>
    </row>
    <row r="8253" customFormat="false" ht="15" hidden="false" customHeight="false" outlineLevel="0" collapsed="false">
      <c r="B8253" s="130" t="n">
        <v>2027</v>
      </c>
      <c r="C8253" s="131" t="s">
        <v>253</v>
      </c>
      <c r="D8253" s="132" t="n">
        <v>46707</v>
      </c>
      <c r="E8253" s="131" t="s">
        <v>20</v>
      </c>
      <c r="F8253" s="133" t="s">
        <v>19</v>
      </c>
      <c r="G8253" s="134" t="n">
        <f aca="false">LEN('Saisie programme'!$E$290)+SUMIFS('Vols additionnels'!$E$7:$E$66,'Vols additionnels'!$C$7:$C$66,$E8253,'Vols additionnels'!$D$7:$D$66,$F8253,'Vols additionnels'!$B$7:$B$66,$D8253)</f>
        <v>1</v>
      </c>
      <c r="H8253" s="135" t="n">
        <f aca="false">$G8253*'Analyse capacite'!$F$8</f>
        <v>262</v>
      </c>
      <c r="I8253" s="135" t="n">
        <f aca="false">$G8253*'Analyse capacite'!$C$8</f>
        <v>18</v>
      </c>
      <c r="J8253" s="135" t="n">
        <f aca="false">$G8253*'Analyse capacite'!$D$8</f>
        <v>0</v>
      </c>
      <c r="K8253" s="135" t="n">
        <f aca="false">$G8253*'Analyse capacite'!$E$8</f>
        <v>244</v>
      </c>
    </row>
    <row r="8254" customFormat="false" ht="15" hidden="false" customHeight="false" outlineLevel="0" collapsed="false">
      <c r="B8254" s="130" t="n">
        <v>2027</v>
      </c>
      <c r="C8254" s="131" t="s">
        <v>253</v>
      </c>
      <c r="D8254" s="132" t="n">
        <v>46707</v>
      </c>
      <c r="E8254" s="131" t="s">
        <v>20</v>
      </c>
      <c r="F8254" s="133" t="s">
        <v>24</v>
      </c>
      <c r="G8254" s="134" t="n">
        <f aca="false">LEN('Saisie programme'!$E$291)+SUMIFS('Vols additionnels'!$E$7:$E$66,'Vols additionnels'!$C$7:$C$66,$E8254,'Vols additionnels'!$D$7:$D$66,$F8254,'Vols additionnels'!$B$7:$B$66,$D8254)</f>
        <v>0</v>
      </c>
      <c r="H8254" s="135" t="n">
        <f aca="false">$G8254*'Analyse capacite'!$F$9</f>
        <v>0</v>
      </c>
      <c r="I8254" s="135" t="n">
        <f aca="false">$G8254*'Analyse capacite'!$C$9</f>
        <v>0</v>
      </c>
      <c r="J8254" s="135" t="n">
        <f aca="false">$G8254*'Analyse capacite'!$D$9</f>
        <v>0</v>
      </c>
      <c r="K8254" s="135" t="n">
        <f aca="false">$G8254*'Analyse capacite'!$E$9</f>
        <v>0</v>
      </c>
    </row>
    <row r="8255" customFormat="false" ht="15" hidden="false" customHeight="false" outlineLevel="0" collapsed="false">
      <c r="B8255" s="130" t="n">
        <v>2027</v>
      </c>
      <c r="C8255" s="131" t="s">
        <v>253</v>
      </c>
      <c r="D8255" s="132" t="n">
        <v>46707</v>
      </c>
      <c r="E8255" s="131" t="s">
        <v>25</v>
      </c>
      <c r="F8255" s="133" t="s">
        <v>11</v>
      </c>
      <c r="G8255" s="134" t="n">
        <f aca="false">LEN('Saisie programme'!$E$292)+SUMIFS('Vols additionnels'!$E$7:$E$66,'Vols additionnels'!$C$7:$C$66,$E8255,'Vols additionnels'!$D$7:$D$66,$F8255,'Vols additionnels'!$B$7:$B$66,$D8255)</f>
        <v>0</v>
      </c>
      <c r="H8255" s="135" t="n">
        <f aca="false">$G8255*'Analyse capacite'!$F$7</f>
        <v>0</v>
      </c>
      <c r="I8255" s="135" t="n">
        <f aca="false">$G8255*'Analyse capacite'!$C$7</f>
        <v>0</v>
      </c>
      <c r="J8255" s="135" t="n">
        <f aca="false">$G8255*'Analyse capacite'!$D$7</f>
        <v>0</v>
      </c>
      <c r="K8255" s="135" t="n">
        <f aca="false">$G8255*'Analyse capacite'!$E$7</f>
        <v>0</v>
      </c>
    </row>
    <row r="8256" customFormat="false" ht="15" hidden="false" customHeight="false" outlineLevel="0" collapsed="false">
      <c r="B8256" s="130" t="n">
        <v>2027</v>
      </c>
      <c r="C8256" s="131" t="s">
        <v>253</v>
      </c>
      <c r="D8256" s="132" t="n">
        <v>46707</v>
      </c>
      <c r="E8256" s="131" t="s">
        <v>25</v>
      </c>
      <c r="F8256" s="133" t="s">
        <v>19</v>
      </c>
      <c r="G8256" s="134" t="n">
        <f aca="false">LEN('Saisie programme'!$E$293)+SUMIFS('Vols additionnels'!$E$7:$E$66,'Vols additionnels'!$C$7:$C$66,$E8256,'Vols additionnels'!$D$7:$D$66,$F8256,'Vols additionnels'!$B$7:$B$66,$D8256)</f>
        <v>0</v>
      </c>
      <c r="H8256" s="135" t="n">
        <f aca="false">$G8256*'Analyse capacite'!$F$8</f>
        <v>0</v>
      </c>
      <c r="I8256" s="135" t="n">
        <f aca="false">$G8256*'Analyse capacite'!$C$8</f>
        <v>0</v>
      </c>
      <c r="J8256" s="135" t="n">
        <f aca="false">$G8256*'Analyse capacite'!$D$8</f>
        <v>0</v>
      </c>
      <c r="K8256" s="135" t="n">
        <f aca="false">$G8256*'Analyse capacite'!$E$8</f>
        <v>0</v>
      </c>
    </row>
    <row r="8257" customFormat="false" ht="15" hidden="false" customHeight="false" outlineLevel="0" collapsed="false">
      <c r="B8257" s="130" t="n">
        <v>2027</v>
      </c>
      <c r="C8257" s="131" t="s">
        <v>253</v>
      </c>
      <c r="D8257" s="132" t="n">
        <v>46707</v>
      </c>
      <c r="E8257" s="131" t="s">
        <v>25</v>
      </c>
      <c r="F8257" s="133" t="s">
        <v>24</v>
      </c>
      <c r="G8257" s="134" t="n">
        <f aca="false">LEN('Saisie programme'!$E$294)+SUMIFS('Vols additionnels'!$E$7:$E$66,'Vols additionnels'!$C$7:$C$66,$E8257,'Vols additionnels'!$D$7:$D$66,$F8257,'Vols additionnels'!$B$7:$B$66,$D8257)</f>
        <v>0</v>
      </c>
      <c r="H8257" s="135" t="n">
        <f aca="false">$G8257*'Analyse capacite'!$F$9</f>
        <v>0</v>
      </c>
      <c r="I8257" s="135" t="n">
        <f aca="false">$G8257*'Analyse capacite'!$C$9</f>
        <v>0</v>
      </c>
      <c r="J8257" s="135" t="n">
        <f aca="false">$G8257*'Analyse capacite'!$D$9</f>
        <v>0</v>
      </c>
      <c r="K8257" s="135" t="n">
        <f aca="false">$G8257*'Analyse capacite'!$E$9</f>
        <v>0</v>
      </c>
    </row>
    <row r="8258" customFormat="false" ht="15" hidden="false" customHeight="false" outlineLevel="0" collapsed="false">
      <c r="B8258" s="130" t="n">
        <v>2027</v>
      </c>
      <c r="C8258" s="131" t="s">
        <v>253</v>
      </c>
      <c r="D8258" s="132" t="n">
        <v>46707</v>
      </c>
      <c r="E8258" s="131" t="s">
        <v>36</v>
      </c>
      <c r="F8258" s="133" t="s">
        <v>11</v>
      </c>
      <c r="G8258" s="134" t="n">
        <f aca="false">LEN('Saisie programme'!$E$295)+SUMIFS('Vols additionnels'!$E$7:$E$66,'Vols additionnels'!$C$7:$C$66,$E8258,'Vols additionnels'!$D$7:$D$66,$F8258,'Vols additionnels'!$B$7:$B$66,$D8258)</f>
        <v>0</v>
      </c>
      <c r="H8258" s="135" t="n">
        <f aca="false">$G8258*'Analyse capacite'!$F$7</f>
        <v>0</v>
      </c>
      <c r="I8258" s="135" t="n">
        <f aca="false">$G8258*'Analyse capacite'!$C$7</f>
        <v>0</v>
      </c>
      <c r="J8258" s="135" t="n">
        <f aca="false">$G8258*'Analyse capacite'!$D$7</f>
        <v>0</v>
      </c>
      <c r="K8258" s="135" t="n">
        <f aca="false">$G8258*'Analyse capacite'!$E$7</f>
        <v>0</v>
      </c>
    </row>
    <row r="8259" customFormat="false" ht="15" hidden="false" customHeight="false" outlineLevel="0" collapsed="false">
      <c r="B8259" s="130" t="n">
        <v>2027</v>
      </c>
      <c r="C8259" s="131" t="s">
        <v>253</v>
      </c>
      <c r="D8259" s="132" t="n">
        <v>46707</v>
      </c>
      <c r="E8259" s="131" t="s">
        <v>36</v>
      </c>
      <c r="F8259" s="133" t="s">
        <v>19</v>
      </c>
      <c r="G8259" s="134" t="n">
        <f aca="false">LEN('Saisie programme'!$E$296)+SUMIFS('Vols additionnels'!$E$7:$E$66,'Vols additionnels'!$C$7:$C$66,$E8259,'Vols additionnels'!$D$7:$D$66,$F8259,'Vols additionnels'!$B$7:$B$66,$D8259)</f>
        <v>0</v>
      </c>
      <c r="H8259" s="135" t="n">
        <f aca="false">$G8259*'Analyse capacite'!$F$8</f>
        <v>0</v>
      </c>
      <c r="I8259" s="135" t="n">
        <f aca="false">$G8259*'Analyse capacite'!$C$8</f>
        <v>0</v>
      </c>
      <c r="J8259" s="135" t="n">
        <f aca="false">$G8259*'Analyse capacite'!$D$8</f>
        <v>0</v>
      </c>
      <c r="K8259" s="135" t="n">
        <f aca="false">$G8259*'Analyse capacite'!$E$8</f>
        <v>0</v>
      </c>
    </row>
    <row r="8260" customFormat="false" ht="15" hidden="false" customHeight="false" outlineLevel="0" collapsed="false">
      <c r="B8260" s="130" t="n">
        <v>2027</v>
      </c>
      <c r="C8260" s="131" t="s">
        <v>253</v>
      </c>
      <c r="D8260" s="132" t="n">
        <v>46707</v>
      </c>
      <c r="E8260" s="131" t="s">
        <v>36</v>
      </c>
      <c r="F8260" s="133" t="s">
        <v>24</v>
      </c>
      <c r="G8260" s="134" t="n">
        <f aca="false">LEN('Saisie programme'!$E$297)+SUMIFS('Vols additionnels'!$E$7:$E$66,'Vols additionnels'!$C$7:$C$66,$E8260,'Vols additionnels'!$D$7:$D$66,$F8260,'Vols additionnels'!$B$7:$B$66,$D8260)</f>
        <v>1</v>
      </c>
      <c r="H8260" s="135" t="n">
        <f aca="false">$G8260*'Analyse capacite'!$F$9</f>
        <v>174</v>
      </c>
      <c r="I8260" s="135" t="n">
        <f aca="false">$G8260*'Analyse capacite'!$C$9</f>
        <v>0</v>
      </c>
      <c r="J8260" s="135" t="n">
        <f aca="false">$G8260*'Analyse capacite'!$D$9</f>
        <v>12</v>
      </c>
      <c r="K8260" s="135" t="n">
        <f aca="false">$G8260*'Analyse capacite'!$E$9</f>
        <v>162</v>
      </c>
    </row>
    <row r="8261" customFormat="false" ht="15" hidden="false" customHeight="false" outlineLevel="0" collapsed="false">
      <c r="B8261" s="130" t="n">
        <v>2027</v>
      </c>
      <c r="C8261" s="131" t="s">
        <v>253</v>
      </c>
      <c r="D8261" s="132" t="n">
        <v>46707</v>
      </c>
      <c r="E8261" s="131" t="s">
        <v>40</v>
      </c>
      <c r="F8261" s="133" t="s">
        <v>11</v>
      </c>
      <c r="G8261" s="134" t="n">
        <f aca="false">LEN('Saisie programme'!$E$298)+SUMIFS('Vols additionnels'!$E$7:$E$66,'Vols additionnels'!$C$7:$C$66,$E8261,'Vols additionnels'!$D$7:$D$66,$F8261,'Vols additionnels'!$B$7:$B$66,$D8261)</f>
        <v>0</v>
      </c>
      <c r="H8261" s="135" t="n">
        <f aca="false">$G8261*'Analyse capacite'!$F$7</f>
        <v>0</v>
      </c>
      <c r="I8261" s="135" t="n">
        <f aca="false">$G8261*'Analyse capacite'!$C$7</f>
        <v>0</v>
      </c>
      <c r="J8261" s="135" t="n">
        <f aca="false">$G8261*'Analyse capacite'!$D$7</f>
        <v>0</v>
      </c>
      <c r="K8261" s="135" t="n">
        <f aca="false">$G8261*'Analyse capacite'!$E$7</f>
        <v>0</v>
      </c>
    </row>
    <row r="8262" customFormat="false" ht="15" hidden="false" customHeight="false" outlineLevel="0" collapsed="false">
      <c r="B8262" s="130" t="n">
        <v>2027</v>
      </c>
      <c r="C8262" s="131" t="s">
        <v>253</v>
      </c>
      <c r="D8262" s="132" t="n">
        <v>46707</v>
      </c>
      <c r="E8262" s="131" t="s">
        <v>40</v>
      </c>
      <c r="F8262" s="133" t="s">
        <v>19</v>
      </c>
      <c r="G8262" s="134" t="n">
        <f aca="false">LEN('Saisie programme'!$E$299)+SUMIFS('Vols additionnels'!$E$7:$E$66,'Vols additionnels'!$C$7:$C$66,$E8262,'Vols additionnels'!$D$7:$D$66,$F8262,'Vols additionnels'!$B$7:$B$66,$D8262)</f>
        <v>0</v>
      </c>
      <c r="H8262" s="135" t="n">
        <f aca="false">$G8262*'Analyse capacite'!$F$8</f>
        <v>0</v>
      </c>
      <c r="I8262" s="135" t="n">
        <f aca="false">$G8262*'Analyse capacite'!$C$8</f>
        <v>0</v>
      </c>
      <c r="J8262" s="135" t="n">
        <f aca="false">$G8262*'Analyse capacite'!$D$8</f>
        <v>0</v>
      </c>
      <c r="K8262" s="135" t="n">
        <f aca="false">$G8262*'Analyse capacite'!$E$8</f>
        <v>0</v>
      </c>
    </row>
    <row r="8263" customFormat="false" ht="15" hidden="false" customHeight="false" outlineLevel="0" collapsed="false">
      <c r="B8263" s="130" t="n">
        <v>2027</v>
      </c>
      <c r="C8263" s="131" t="s">
        <v>253</v>
      </c>
      <c r="D8263" s="132" t="n">
        <v>46707</v>
      </c>
      <c r="E8263" s="131" t="s">
        <v>40</v>
      </c>
      <c r="F8263" s="133" t="s">
        <v>24</v>
      </c>
      <c r="G8263" s="134" t="n">
        <f aca="false">LEN('Saisie programme'!$E$300)+SUMIFS('Vols additionnels'!$E$7:$E$66,'Vols additionnels'!$C$7:$C$66,$E8263,'Vols additionnels'!$D$7:$D$66,$F8263,'Vols additionnels'!$B$7:$B$66,$D8263)</f>
        <v>0</v>
      </c>
      <c r="H8263" s="135" t="n">
        <f aca="false">$G8263*'Analyse capacite'!$F$9</f>
        <v>0</v>
      </c>
      <c r="I8263" s="135" t="n">
        <f aca="false">$G8263*'Analyse capacite'!$C$9</f>
        <v>0</v>
      </c>
      <c r="J8263" s="135" t="n">
        <f aca="false">$G8263*'Analyse capacite'!$D$9</f>
        <v>0</v>
      </c>
      <c r="K8263" s="135" t="n">
        <f aca="false">$G8263*'Analyse capacite'!$E$9</f>
        <v>0</v>
      </c>
    </row>
    <row r="8264" customFormat="false" ht="15" hidden="false" customHeight="false" outlineLevel="0" collapsed="false">
      <c r="B8264" s="130" t="n">
        <v>2027</v>
      </c>
      <c r="C8264" s="131" t="s">
        <v>253</v>
      </c>
      <c r="D8264" s="132" t="n">
        <v>46707</v>
      </c>
      <c r="E8264" s="131" t="s">
        <v>14</v>
      </c>
      <c r="F8264" s="133" t="s">
        <v>11</v>
      </c>
      <c r="G8264" s="134" t="n">
        <f aca="false">LEN('Saisie programme'!$E$301)+SUMIFS('Vols additionnels'!$E$7:$E$66,'Vols additionnels'!$C$7:$C$66,$E8264,'Vols additionnels'!$D$7:$D$66,$F8264,'Vols additionnels'!$B$7:$B$66,$D8264)</f>
        <v>0</v>
      </c>
      <c r="H8264" s="135" t="n">
        <f aca="false">$G8264*'Analyse capacite'!$F$7</f>
        <v>0</v>
      </c>
      <c r="I8264" s="135" t="n">
        <f aca="false">$G8264*'Analyse capacite'!$C$7</f>
        <v>0</v>
      </c>
      <c r="J8264" s="135" t="n">
        <f aca="false">$G8264*'Analyse capacite'!$D$7</f>
        <v>0</v>
      </c>
      <c r="K8264" s="135" t="n">
        <f aca="false">$G8264*'Analyse capacite'!$E$7</f>
        <v>0</v>
      </c>
    </row>
    <row r="8265" customFormat="false" ht="15" hidden="false" customHeight="false" outlineLevel="0" collapsed="false">
      <c r="B8265" s="130" t="n">
        <v>2027</v>
      </c>
      <c r="C8265" s="131" t="s">
        <v>253</v>
      </c>
      <c r="D8265" s="132" t="n">
        <v>46707</v>
      </c>
      <c r="E8265" s="131" t="s">
        <v>14</v>
      </c>
      <c r="F8265" s="133" t="s">
        <v>19</v>
      </c>
      <c r="G8265" s="134" t="n">
        <f aca="false">LEN('Saisie programme'!$E$302)+SUMIFS('Vols additionnels'!$E$7:$E$66,'Vols additionnels'!$C$7:$C$66,$E8265,'Vols additionnels'!$D$7:$D$66,$F8265,'Vols additionnels'!$B$7:$B$66,$D8265)</f>
        <v>0</v>
      </c>
      <c r="H8265" s="135" t="n">
        <f aca="false">$G8265*'Analyse capacite'!$F$8</f>
        <v>0</v>
      </c>
      <c r="I8265" s="135" t="n">
        <f aca="false">$G8265*'Analyse capacite'!$C$8</f>
        <v>0</v>
      </c>
      <c r="J8265" s="135" t="n">
        <f aca="false">$G8265*'Analyse capacite'!$D$8</f>
        <v>0</v>
      </c>
      <c r="K8265" s="135" t="n">
        <f aca="false">$G8265*'Analyse capacite'!$E$8</f>
        <v>0</v>
      </c>
    </row>
    <row r="8266" customFormat="false" ht="15" hidden="false" customHeight="false" outlineLevel="0" collapsed="false">
      <c r="B8266" s="130" t="n">
        <v>2027</v>
      </c>
      <c r="C8266" s="131" t="s">
        <v>253</v>
      </c>
      <c r="D8266" s="132" t="n">
        <v>46707</v>
      </c>
      <c r="E8266" s="131" t="s">
        <v>14</v>
      </c>
      <c r="F8266" s="133" t="s">
        <v>24</v>
      </c>
      <c r="G8266" s="134" t="n">
        <f aca="false">LEN('Saisie programme'!$E$303)+SUMIFS('Vols additionnels'!$E$7:$E$66,'Vols additionnels'!$C$7:$C$66,$E8266,'Vols additionnels'!$D$7:$D$66,$F8266,'Vols additionnels'!$B$7:$B$66,$D8266)</f>
        <v>0</v>
      </c>
      <c r="H8266" s="135" t="n">
        <f aca="false">$G8266*'Analyse capacite'!$F$9</f>
        <v>0</v>
      </c>
      <c r="I8266" s="135" t="n">
        <f aca="false">$G8266*'Analyse capacite'!$C$9</f>
        <v>0</v>
      </c>
      <c r="J8266" s="135" t="n">
        <f aca="false">$G8266*'Analyse capacite'!$D$9</f>
        <v>0</v>
      </c>
      <c r="K8266" s="135" t="n">
        <f aca="false">$G8266*'Analyse capacite'!$E$9</f>
        <v>0</v>
      </c>
    </row>
    <row r="8267" customFormat="false" ht="15" hidden="false" customHeight="false" outlineLevel="0" collapsed="false">
      <c r="B8267" s="130" t="n">
        <v>2027</v>
      </c>
      <c r="C8267" s="131" t="s">
        <v>253</v>
      </c>
      <c r="D8267" s="132" t="n">
        <v>46707</v>
      </c>
      <c r="E8267" s="131" t="s">
        <v>46</v>
      </c>
      <c r="F8267" s="133" t="s">
        <v>11</v>
      </c>
      <c r="G8267" s="134" t="n">
        <f aca="false">LEN('Saisie programme'!$E$304)+SUMIFS('Vols additionnels'!$E$7:$E$66,'Vols additionnels'!$C$7:$C$66,$E8267,'Vols additionnels'!$D$7:$D$66,$F8267,'Vols additionnels'!$B$7:$B$66,$D8267)</f>
        <v>0</v>
      </c>
      <c r="H8267" s="135" t="n">
        <f aca="false">$G8267*'Analyse capacite'!$F$7</f>
        <v>0</v>
      </c>
      <c r="I8267" s="135" t="n">
        <f aca="false">$G8267*'Analyse capacite'!$C$7</f>
        <v>0</v>
      </c>
      <c r="J8267" s="135" t="n">
        <f aca="false">$G8267*'Analyse capacite'!$D$7</f>
        <v>0</v>
      </c>
      <c r="K8267" s="135" t="n">
        <f aca="false">$G8267*'Analyse capacite'!$E$7</f>
        <v>0</v>
      </c>
    </row>
    <row r="8268" customFormat="false" ht="15" hidden="false" customHeight="false" outlineLevel="0" collapsed="false">
      <c r="B8268" s="130" t="n">
        <v>2027</v>
      </c>
      <c r="C8268" s="131" t="s">
        <v>253</v>
      </c>
      <c r="D8268" s="132" t="n">
        <v>46707</v>
      </c>
      <c r="E8268" s="131" t="s">
        <v>46</v>
      </c>
      <c r="F8268" s="133" t="s">
        <v>19</v>
      </c>
      <c r="G8268" s="134" t="n">
        <f aca="false">LEN('Saisie programme'!$E$305)+SUMIFS('Vols additionnels'!$E$7:$E$66,'Vols additionnels'!$C$7:$C$66,$E8268,'Vols additionnels'!$D$7:$D$66,$F8268,'Vols additionnels'!$B$7:$B$66,$D8268)</f>
        <v>0</v>
      </c>
      <c r="H8268" s="135" t="n">
        <f aca="false">$G8268*'Analyse capacite'!$F$8</f>
        <v>0</v>
      </c>
      <c r="I8268" s="135" t="n">
        <f aca="false">$G8268*'Analyse capacite'!$C$8</f>
        <v>0</v>
      </c>
      <c r="J8268" s="135" t="n">
        <f aca="false">$G8268*'Analyse capacite'!$D$8</f>
        <v>0</v>
      </c>
      <c r="K8268" s="135" t="n">
        <f aca="false">$G8268*'Analyse capacite'!$E$8</f>
        <v>0</v>
      </c>
    </row>
    <row r="8269" customFormat="false" ht="15" hidden="false" customHeight="false" outlineLevel="0" collapsed="false">
      <c r="B8269" s="130" t="n">
        <v>2027</v>
      </c>
      <c r="C8269" s="131" t="s">
        <v>253</v>
      </c>
      <c r="D8269" s="132" t="n">
        <v>46707</v>
      </c>
      <c r="E8269" s="131" t="s">
        <v>46</v>
      </c>
      <c r="F8269" s="133" t="s">
        <v>24</v>
      </c>
      <c r="G8269" s="134" t="n">
        <f aca="false">LEN('Saisie programme'!$E$306)+SUMIFS('Vols additionnels'!$E$7:$E$66,'Vols additionnels'!$C$7:$C$66,$E8269,'Vols additionnels'!$D$7:$D$66,$F8269,'Vols additionnels'!$B$7:$B$66,$D8269)</f>
        <v>1</v>
      </c>
      <c r="H8269" s="135" t="n">
        <f aca="false">$G8269*'Analyse capacite'!$F$9</f>
        <v>174</v>
      </c>
      <c r="I8269" s="135" t="n">
        <f aca="false">$G8269*'Analyse capacite'!$C$9</f>
        <v>0</v>
      </c>
      <c r="J8269" s="135" t="n">
        <f aca="false">$G8269*'Analyse capacite'!$D$9</f>
        <v>12</v>
      </c>
      <c r="K8269" s="135" t="n">
        <f aca="false">$G8269*'Analyse capacite'!$E$9</f>
        <v>162</v>
      </c>
    </row>
    <row r="8270" customFormat="false" ht="15" hidden="false" customHeight="false" outlineLevel="0" collapsed="false">
      <c r="B8270" s="130" t="n">
        <v>2027</v>
      </c>
      <c r="C8270" s="131" t="s">
        <v>253</v>
      </c>
      <c r="D8270" s="132" t="n">
        <v>46707</v>
      </c>
      <c r="E8270" s="131" t="s">
        <v>49</v>
      </c>
      <c r="F8270" s="133" t="s">
        <v>11</v>
      </c>
      <c r="G8270" s="134" t="n">
        <f aca="false">LEN('Saisie programme'!$E$307)+SUMIFS('Vols additionnels'!$E$7:$E$66,'Vols additionnels'!$C$7:$C$66,$E8270,'Vols additionnels'!$D$7:$D$66,$F8270,'Vols additionnels'!$B$7:$B$66,$D8270)</f>
        <v>0</v>
      </c>
      <c r="H8270" s="135" t="n">
        <f aca="false">$G8270*'Analyse capacite'!$F$7</f>
        <v>0</v>
      </c>
      <c r="I8270" s="135" t="n">
        <f aca="false">$G8270*'Analyse capacite'!$C$7</f>
        <v>0</v>
      </c>
      <c r="J8270" s="135" t="n">
        <f aca="false">$G8270*'Analyse capacite'!$D$7</f>
        <v>0</v>
      </c>
      <c r="K8270" s="135" t="n">
        <f aca="false">$G8270*'Analyse capacite'!$E$7</f>
        <v>0</v>
      </c>
    </row>
    <row r="8271" customFormat="false" ht="15" hidden="false" customHeight="false" outlineLevel="0" collapsed="false">
      <c r="B8271" s="130" t="n">
        <v>2027</v>
      </c>
      <c r="C8271" s="131" t="s">
        <v>253</v>
      </c>
      <c r="D8271" s="132" t="n">
        <v>46707</v>
      </c>
      <c r="E8271" s="131" t="s">
        <v>49</v>
      </c>
      <c r="F8271" s="133" t="s">
        <v>19</v>
      </c>
      <c r="G8271" s="134" t="n">
        <f aca="false">LEN('Saisie programme'!$E$308)+SUMIFS('Vols additionnels'!$E$7:$E$66,'Vols additionnels'!$C$7:$C$66,$E8271,'Vols additionnels'!$D$7:$D$66,$F8271,'Vols additionnels'!$B$7:$B$66,$D8271)</f>
        <v>0</v>
      </c>
      <c r="H8271" s="135" t="n">
        <f aca="false">$G8271*'Analyse capacite'!$F$8</f>
        <v>0</v>
      </c>
      <c r="I8271" s="135" t="n">
        <f aca="false">$G8271*'Analyse capacite'!$C$8</f>
        <v>0</v>
      </c>
      <c r="J8271" s="135" t="n">
        <f aca="false">$G8271*'Analyse capacite'!$D$8</f>
        <v>0</v>
      </c>
      <c r="K8271" s="135" t="n">
        <f aca="false">$G8271*'Analyse capacite'!$E$8</f>
        <v>0</v>
      </c>
    </row>
    <row r="8272" customFormat="false" ht="15" hidden="false" customHeight="false" outlineLevel="0" collapsed="false">
      <c r="B8272" s="130" t="n">
        <v>2027</v>
      </c>
      <c r="C8272" s="131" t="s">
        <v>253</v>
      </c>
      <c r="D8272" s="132" t="n">
        <v>46707</v>
      </c>
      <c r="E8272" s="131" t="s">
        <v>49</v>
      </c>
      <c r="F8272" s="133" t="s">
        <v>24</v>
      </c>
      <c r="G8272" s="134" t="n">
        <f aca="false">LEN('Saisie programme'!$E$309)+SUMIFS('Vols additionnels'!$E$7:$E$66,'Vols additionnels'!$C$7:$C$66,$E8272,'Vols additionnels'!$D$7:$D$66,$F8272,'Vols additionnels'!$B$7:$B$66,$D8272)</f>
        <v>0</v>
      </c>
      <c r="H8272" s="135" t="n">
        <f aca="false">$G8272*'Analyse capacite'!$F$9</f>
        <v>0</v>
      </c>
      <c r="I8272" s="135" t="n">
        <f aca="false">$G8272*'Analyse capacite'!$C$9</f>
        <v>0</v>
      </c>
      <c r="J8272" s="135" t="n">
        <f aca="false">$G8272*'Analyse capacite'!$D$9</f>
        <v>0</v>
      </c>
      <c r="K8272" s="135" t="n">
        <f aca="false">$G8272*'Analyse capacite'!$E$9</f>
        <v>0</v>
      </c>
    </row>
    <row r="8273" customFormat="false" ht="15" hidden="false" customHeight="false" outlineLevel="0" collapsed="false">
      <c r="B8273" s="130" t="n">
        <v>2027</v>
      </c>
      <c r="C8273" s="131" t="s">
        <v>253</v>
      </c>
      <c r="D8273" s="132" t="n">
        <v>46707</v>
      </c>
      <c r="E8273" s="131" t="s">
        <v>53</v>
      </c>
      <c r="F8273" s="133" t="s">
        <v>11</v>
      </c>
      <c r="G8273" s="134" t="n">
        <f aca="false">LEN('Saisie programme'!$E$310)+SUMIFS('Vols additionnels'!$E$7:$E$66,'Vols additionnels'!$C$7:$C$66,$E8273,'Vols additionnels'!$D$7:$D$66,$F8273,'Vols additionnels'!$B$7:$B$66,$D8273)</f>
        <v>0</v>
      </c>
      <c r="H8273" s="135" t="n">
        <f aca="false">$G8273*'Analyse capacite'!$F$7</f>
        <v>0</v>
      </c>
      <c r="I8273" s="135" t="n">
        <f aca="false">$G8273*'Analyse capacite'!$C$7</f>
        <v>0</v>
      </c>
      <c r="J8273" s="135" t="n">
        <f aca="false">$G8273*'Analyse capacite'!$D$7</f>
        <v>0</v>
      </c>
      <c r="K8273" s="135" t="n">
        <f aca="false">$G8273*'Analyse capacite'!$E$7</f>
        <v>0</v>
      </c>
    </row>
    <row r="8274" customFormat="false" ht="15" hidden="false" customHeight="false" outlineLevel="0" collapsed="false">
      <c r="B8274" s="130" t="n">
        <v>2027</v>
      </c>
      <c r="C8274" s="131" t="s">
        <v>253</v>
      </c>
      <c r="D8274" s="132" t="n">
        <v>46707</v>
      </c>
      <c r="E8274" s="131" t="s">
        <v>53</v>
      </c>
      <c r="F8274" s="133" t="s">
        <v>19</v>
      </c>
      <c r="G8274" s="134" t="n">
        <f aca="false">LEN('Saisie programme'!$E$311)+SUMIFS('Vols additionnels'!$E$7:$E$66,'Vols additionnels'!$C$7:$C$66,$E8274,'Vols additionnels'!$D$7:$D$66,$F8274,'Vols additionnels'!$B$7:$B$66,$D8274)</f>
        <v>0</v>
      </c>
      <c r="H8274" s="135" t="n">
        <f aca="false">$G8274*'Analyse capacite'!$F$8</f>
        <v>0</v>
      </c>
      <c r="I8274" s="135" t="n">
        <f aca="false">$G8274*'Analyse capacite'!$C$8</f>
        <v>0</v>
      </c>
      <c r="J8274" s="135" t="n">
        <f aca="false">$G8274*'Analyse capacite'!$D$8</f>
        <v>0</v>
      </c>
      <c r="K8274" s="135" t="n">
        <f aca="false">$G8274*'Analyse capacite'!$E$8</f>
        <v>0</v>
      </c>
    </row>
    <row r="8275" customFormat="false" ht="15" hidden="false" customHeight="false" outlineLevel="0" collapsed="false">
      <c r="B8275" s="130" t="n">
        <v>2027</v>
      </c>
      <c r="C8275" s="131" t="s">
        <v>253</v>
      </c>
      <c r="D8275" s="132" t="n">
        <v>46707</v>
      </c>
      <c r="E8275" s="131" t="s">
        <v>53</v>
      </c>
      <c r="F8275" s="133" t="s">
        <v>24</v>
      </c>
      <c r="G8275" s="134" t="n">
        <f aca="false">LEN('Saisie programme'!$E$312)+SUMIFS('Vols additionnels'!$E$7:$E$66,'Vols additionnels'!$C$7:$C$66,$E8275,'Vols additionnels'!$D$7:$D$66,$F8275,'Vols additionnels'!$B$7:$B$66,$D8275)</f>
        <v>0</v>
      </c>
      <c r="H8275" s="135" t="n">
        <f aca="false">$G8275*'Analyse capacite'!$F$9</f>
        <v>0</v>
      </c>
      <c r="I8275" s="135" t="n">
        <f aca="false">$G8275*'Analyse capacite'!$C$9</f>
        <v>0</v>
      </c>
      <c r="J8275" s="135" t="n">
        <f aca="false">$G8275*'Analyse capacite'!$D$9</f>
        <v>0</v>
      </c>
      <c r="K8275" s="135" t="n">
        <f aca="false">$G8275*'Analyse capacite'!$E$9</f>
        <v>0</v>
      </c>
    </row>
    <row r="8276" customFormat="false" ht="15" hidden="false" customHeight="false" outlineLevel="0" collapsed="false">
      <c r="B8276" s="130" t="n">
        <v>2027</v>
      </c>
      <c r="C8276" s="131" t="s">
        <v>253</v>
      </c>
      <c r="D8276" s="132" t="n">
        <v>46707</v>
      </c>
      <c r="E8276" s="131" t="s">
        <v>56</v>
      </c>
      <c r="F8276" s="133" t="s">
        <v>11</v>
      </c>
      <c r="G8276" s="134" t="n">
        <f aca="false">LEN('Saisie programme'!$E$313)+SUMIFS('Vols additionnels'!$E$7:$E$66,'Vols additionnels'!$C$7:$C$66,$E8276,'Vols additionnels'!$D$7:$D$66,$F8276,'Vols additionnels'!$B$7:$B$66,$D8276)</f>
        <v>0</v>
      </c>
      <c r="H8276" s="135" t="n">
        <f aca="false">$G8276*'Analyse capacite'!$F$7</f>
        <v>0</v>
      </c>
      <c r="I8276" s="135" t="n">
        <f aca="false">$G8276*'Analyse capacite'!$C$7</f>
        <v>0</v>
      </c>
      <c r="J8276" s="135" t="n">
        <f aca="false">$G8276*'Analyse capacite'!$D$7</f>
        <v>0</v>
      </c>
      <c r="K8276" s="135" t="n">
        <f aca="false">$G8276*'Analyse capacite'!$E$7</f>
        <v>0</v>
      </c>
    </row>
    <row r="8277" customFormat="false" ht="15" hidden="false" customHeight="false" outlineLevel="0" collapsed="false">
      <c r="B8277" s="130" t="n">
        <v>2027</v>
      </c>
      <c r="C8277" s="131" t="s">
        <v>253</v>
      </c>
      <c r="D8277" s="132" t="n">
        <v>46707</v>
      </c>
      <c r="E8277" s="131" t="s">
        <v>56</v>
      </c>
      <c r="F8277" s="133" t="s">
        <v>19</v>
      </c>
      <c r="G8277" s="134" t="n">
        <f aca="false">LEN('Saisie programme'!$E$314)+SUMIFS('Vols additionnels'!$E$7:$E$66,'Vols additionnels'!$C$7:$C$66,$E8277,'Vols additionnels'!$D$7:$D$66,$F8277,'Vols additionnels'!$B$7:$B$66,$D8277)</f>
        <v>0</v>
      </c>
      <c r="H8277" s="135" t="n">
        <f aca="false">$G8277*'Analyse capacite'!$F$8</f>
        <v>0</v>
      </c>
      <c r="I8277" s="135" t="n">
        <f aca="false">$G8277*'Analyse capacite'!$C$8</f>
        <v>0</v>
      </c>
      <c r="J8277" s="135" t="n">
        <f aca="false">$G8277*'Analyse capacite'!$D$8</f>
        <v>0</v>
      </c>
      <c r="K8277" s="135" t="n">
        <f aca="false">$G8277*'Analyse capacite'!$E$8</f>
        <v>0</v>
      </c>
    </row>
    <row r="8278" customFormat="false" ht="15" hidden="false" customHeight="false" outlineLevel="0" collapsed="false">
      <c r="B8278" s="130" t="n">
        <v>2027</v>
      </c>
      <c r="C8278" s="131" t="s">
        <v>253</v>
      </c>
      <c r="D8278" s="132" t="n">
        <v>46707</v>
      </c>
      <c r="E8278" s="131" t="s">
        <v>56</v>
      </c>
      <c r="F8278" s="133" t="s">
        <v>24</v>
      </c>
      <c r="G8278" s="134" t="n">
        <f aca="false">LEN('Saisie programme'!$E$315)+SUMIFS('Vols additionnels'!$E$7:$E$66,'Vols additionnels'!$C$7:$C$66,$E8278,'Vols additionnels'!$D$7:$D$66,$F8278,'Vols additionnels'!$B$7:$B$66,$D8278)</f>
        <v>1</v>
      </c>
      <c r="H8278" s="135" t="n">
        <f aca="false">$G8278*'Analyse capacite'!$F$9</f>
        <v>174</v>
      </c>
      <c r="I8278" s="135" t="n">
        <f aca="false">$G8278*'Analyse capacite'!$C$9</f>
        <v>0</v>
      </c>
      <c r="J8278" s="135" t="n">
        <f aca="false">$G8278*'Analyse capacite'!$D$9</f>
        <v>12</v>
      </c>
      <c r="K8278" s="135" t="n">
        <f aca="false">$G8278*'Analyse capacite'!$E$9</f>
        <v>162</v>
      </c>
    </row>
    <row r="8279" customFormat="false" ht="15" hidden="false" customHeight="false" outlineLevel="0" collapsed="false">
      <c r="B8279" s="130" t="n">
        <v>2027</v>
      </c>
      <c r="C8279" s="131" t="s">
        <v>253</v>
      </c>
      <c r="D8279" s="132" t="n">
        <v>46707</v>
      </c>
      <c r="E8279" s="131" t="s">
        <v>59</v>
      </c>
      <c r="F8279" s="133" t="s">
        <v>11</v>
      </c>
      <c r="G8279" s="134" t="n">
        <f aca="false">LEN('Saisie programme'!$E$316)+SUMIFS('Vols additionnels'!$E$7:$E$66,'Vols additionnels'!$C$7:$C$66,$E8279,'Vols additionnels'!$D$7:$D$66,$F8279,'Vols additionnels'!$B$7:$B$66,$D8279)</f>
        <v>0</v>
      </c>
      <c r="H8279" s="135" t="n">
        <f aca="false">$G8279*'Analyse capacite'!$F$7</f>
        <v>0</v>
      </c>
      <c r="I8279" s="135" t="n">
        <f aca="false">$G8279*'Analyse capacite'!$C$7</f>
        <v>0</v>
      </c>
      <c r="J8279" s="135" t="n">
        <f aca="false">$G8279*'Analyse capacite'!$D$7</f>
        <v>0</v>
      </c>
      <c r="K8279" s="135" t="n">
        <f aca="false">$G8279*'Analyse capacite'!$E$7</f>
        <v>0</v>
      </c>
    </row>
    <row r="8280" customFormat="false" ht="15" hidden="false" customHeight="false" outlineLevel="0" collapsed="false">
      <c r="B8280" s="130" t="n">
        <v>2027</v>
      </c>
      <c r="C8280" s="131" t="s">
        <v>253</v>
      </c>
      <c r="D8280" s="132" t="n">
        <v>46707</v>
      </c>
      <c r="E8280" s="131" t="s">
        <v>59</v>
      </c>
      <c r="F8280" s="133" t="s">
        <v>19</v>
      </c>
      <c r="G8280" s="134" t="n">
        <f aca="false">LEN('Saisie programme'!$E$317)+SUMIFS('Vols additionnels'!$E$7:$E$66,'Vols additionnels'!$C$7:$C$66,$E8280,'Vols additionnels'!$D$7:$D$66,$F8280,'Vols additionnels'!$B$7:$B$66,$D8280)</f>
        <v>0</v>
      </c>
      <c r="H8280" s="135" t="n">
        <f aca="false">$G8280*'Analyse capacite'!$F$8</f>
        <v>0</v>
      </c>
      <c r="I8280" s="135" t="n">
        <f aca="false">$G8280*'Analyse capacite'!$C$8</f>
        <v>0</v>
      </c>
      <c r="J8280" s="135" t="n">
        <f aca="false">$G8280*'Analyse capacite'!$D$8</f>
        <v>0</v>
      </c>
      <c r="K8280" s="135" t="n">
        <f aca="false">$G8280*'Analyse capacite'!$E$8</f>
        <v>0</v>
      </c>
    </row>
    <row r="8281" customFormat="false" ht="15" hidden="false" customHeight="false" outlineLevel="0" collapsed="false">
      <c r="B8281" s="130" t="n">
        <v>2027</v>
      </c>
      <c r="C8281" s="131" t="s">
        <v>253</v>
      </c>
      <c r="D8281" s="132" t="n">
        <v>46707</v>
      </c>
      <c r="E8281" s="131" t="s">
        <v>59</v>
      </c>
      <c r="F8281" s="133" t="s">
        <v>24</v>
      </c>
      <c r="G8281" s="134" t="n">
        <f aca="false">LEN('Saisie programme'!$E$318)+SUMIFS('Vols additionnels'!$E$7:$E$66,'Vols additionnels'!$C$7:$C$66,$E8281,'Vols additionnels'!$D$7:$D$66,$F8281,'Vols additionnels'!$B$7:$B$66,$D8281)</f>
        <v>1</v>
      </c>
      <c r="H8281" s="135" t="n">
        <f aca="false">$G8281*'Analyse capacite'!$F$9</f>
        <v>174</v>
      </c>
      <c r="I8281" s="135" t="n">
        <f aca="false">$G8281*'Analyse capacite'!$C$9</f>
        <v>0</v>
      </c>
      <c r="J8281" s="135" t="n">
        <f aca="false">$G8281*'Analyse capacite'!$D$9</f>
        <v>12</v>
      </c>
      <c r="K8281" s="135" t="n">
        <f aca="false">$G8281*'Analyse capacite'!$E$9</f>
        <v>162</v>
      </c>
    </row>
    <row r="8282" customFormat="false" ht="15" hidden="false" customHeight="false" outlineLevel="0" collapsed="false">
      <c r="B8282" s="130" t="n">
        <v>2027</v>
      </c>
      <c r="C8282" s="131" t="s">
        <v>253</v>
      </c>
      <c r="D8282" s="132" t="n">
        <v>46707</v>
      </c>
      <c r="E8282" s="131" t="s">
        <v>62</v>
      </c>
      <c r="F8282" s="133" t="s">
        <v>11</v>
      </c>
      <c r="G8282" s="134" t="n">
        <f aca="false">LEN('Saisie programme'!$E$319)+SUMIFS('Vols additionnels'!$E$7:$E$66,'Vols additionnels'!$C$7:$C$66,$E8282,'Vols additionnels'!$D$7:$D$66,$F8282,'Vols additionnels'!$B$7:$B$66,$D8282)</f>
        <v>0</v>
      </c>
      <c r="H8282" s="135" t="n">
        <f aca="false">$G8282*'Analyse capacite'!$F$7</f>
        <v>0</v>
      </c>
      <c r="I8282" s="135" t="n">
        <f aca="false">$G8282*'Analyse capacite'!$C$7</f>
        <v>0</v>
      </c>
      <c r="J8282" s="135" t="n">
        <f aca="false">$G8282*'Analyse capacite'!$D$7</f>
        <v>0</v>
      </c>
      <c r="K8282" s="135" t="n">
        <f aca="false">$G8282*'Analyse capacite'!$E$7</f>
        <v>0</v>
      </c>
    </row>
    <row r="8283" customFormat="false" ht="15" hidden="false" customHeight="false" outlineLevel="0" collapsed="false">
      <c r="B8283" s="130" t="n">
        <v>2027</v>
      </c>
      <c r="C8283" s="131" t="s">
        <v>253</v>
      </c>
      <c r="D8283" s="132" t="n">
        <v>46707</v>
      </c>
      <c r="E8283" s="131" t="s">
        <v>62</v>
      </c>
      <c r="F8283" s="133" t="s">
        <v>19</v>
      </c>
      <c r="G8283" s="134" t="n">
        <f aca="false">LEN('Saisie programme'!$E$320)+SUMIFS('Vols additionnels'!$E$7:$E$66,'Vols additionnels'!$C$7:$C$66,$E8283,'Vols additionnels'!$D$7:$D$66,$F8283,'Vols additionnels'!$B$7:$B$66,$D8283)</f>
        <v>0</v>
      </c>
      <c r="H8283" s="135" t="n">
        <f aca="false">$G8283*'Analyse capacite'!$F$8</f>
        <v>0</v>
      </c>
      <c r="I8283" s="135" t="n">
        <f aca="false">$G8283*'Analyse capacite'!$C$8</f>
        <v>0</v>
      </c>
      <c r="J8283" s="135" t="n">
        <f aca="false">$G8283*'Analyse capacite'!$D$8</f>
        <v>0</v>
      </c>
      <c r="K8283" s="135" t="n">
        <f aca="false">$G8283*'Analyse capacite'!$E$8</f>
        <v>0</v>
      </c>
    </row>
    <row r="8284" customFormat="false" ht="15" hidden="false" customHeight="false" outlineLevel="0" collapsed="false">
      <c r="B8284" s="130" t="n">
        <v>2027</v>
      </c>
      <c r="C8284" s="131" t="s">
        <v>253</v>
      </c>
      <c r="D8284" s="132" t="n">
        <v>46707</v>
      </c>
      <c r="E8284" s="131" t="s">
        <v>62</v>
      </c>
      <c r="F8284" s="133" t="s">
        <v>24</v>
      </c>
      <c r="G8284" s="134" t="n">
        <f aca="false">LEN('Saisie programme'!$E$321)+SUMIFS('Vols additionnels'!$E$7:$E$66,'Vols additionnels'!$C$7:$C$66,$E8284,'Vols additionnels'!$D$7:$D$66,$F8284,'Vols additionnels'!$B$7:$B$66,$D8284)</f>
        <v>0</v>
      </c>
      <c r="H8284" s="135" t="n">
        <f aca="false">$G8284*'Analyse capacite'!$F$9</f>
        <v>0</v>
      </c>
      <c r="I8284" s="135" t="n">
        <f aca="false">$G8284*'Analyse capacite'!$C$9</f>
        <v>0</v>
      </c>
      <c r="J8284" s="135" t="n">
        <f aca="false">$G8284*'Analyse capacite'!$D$9</f>
        <v>0</v>
      </c>
      <c r="K8284" s="135" t="n">
        <f aca="false">$G8284*'Analyse capacite'!$E$9</f>
        <v>0</v>
      </c>
    </row>
    <row r="8285" customFormat="false" ht="15" hidden="false" customHeight="false" outlineLevel="0" collapsed="false">
      <c r="B8285" s="130" t="n">
        <v>2027</v>
      </c>
      <c r="C8285" s="131" t="s">
        <v>253</v>
      </c>
      <c r="D8285" s="132" t="n">
        <v>46708</v>
      </c>
      <c r="E8285" s="131" t="s">
        <v>12</v>
      </c>
      <c r="F8285" s="133" t="s">
        <v>11</v>
      </c>
      <c r="G8285" s="134" t="n">
        <f aca="false">LEN('Saisie programme'!$F$286)+SUMIFS('Vols additionnels'!$E$7:$E$66,'Vols additionnels'!$C$7:$C$66,$E8285,'Vols additionnels'!$D$7:$D$66,$F8285,'Vols additionnels'!$B$7:$B$66,$D8285)</f>
        <v>1</v>
      </c>
      <c r="H8285" s="135" t="n">
        <f aca="false">$G8285*'Analyse capacite'!$F$7</f>
        <v>438</v>
      </c>
      <c r="I8285" s="135" t="n">
        <f aca="false">$G8285*'Analyse capacite'!$C$7</f>
        <v>14</v>
      </c>
      <c r="J8285" s="135" t="n">
        <f aca="false">$G8285*'Analyse capacite'!$D$7</f>
        <v>40</v>
      </c>
      <c r="K8285" s="135" t="n">
        <f aca="false">$G8285*'Analyse capacite'!$E$7</f>
        <v>384</v>
      </c>
    </row>
    <row r="8286" customFormat="false" ht="15" hidden="false" customHeight="false" outlineLevel="0" collapsed="false">
      <c r="B8286" s="130" t="n">
        <v>2027</v>
      </c>
      <c r="C8286" s="131" t="s">
        <v>253</v>
      </c>
      <c r="D8286" s="132" t="n">
        <v>46708</v>
      </c>
      <c r="E8286" s="131" t="s">
        <v>12</v>
      </c>
      <c r="F8286" s="133" t="s">
        <v>19</v>
      </c>
      <c r="G8286" s="134" t="n">
        <f aca="false">LEN('Saisie programme'!$F$287)+SUMIFS('Vols additionnels'!$E$7:$E$66,'Vols additionnels'!$C$7:$C$66,$E8286,'Vols additionnels'!$D$7:$D$66,$F8286,'Vols additionnels'!$B$7:$B$66,$D8286)</f>
        <v>0</v>
      </c>
      <c r="H8286" s="135" t="n">
        <f aca="false">$G8286*'Analyse capacite'!$F$8</f>
        <v>0</v>
      </c>
      <c r="I8286" s="135" t="n">
        <f aca="false">$G8286*'Analyse capacite'!$C$8</f>
        <v>0</v>
      </c>
      <c r="J8286" s="135" t="n">
        <f aca="false">$G8286*'Analyse capacite'!$D$8</f>
        <v>0</v>
      </c>
      <c r="K8286" s="135" t="n">
        <f aca="false">$G8286*'Analyse capacite'!$E$8</f>
        <v>0</v>
      </c>
    </row>
    <row r="8287" customFormat="false" ht="15" hidden="false" customHeight="false" outlineLevel="0" collapsed="false">
      <c r="B8287" s="130" t="n">
        <v>2027</v>
      </c>
      <c r="C8287" s="131" t="s">
        <v>253</v>
      </c>
      <c r="D8287" s="132" t="n">
        <v>46708</v>
      </c>
      <c r="E8287" s="131" t="s">
        <v>12</v>
      </c>
      <c r="F8287" s="133" t="s">
        <v>24</v>
      </c>
      <c r="G8287" s="134" t="n">
        <f aca="false">LEN('Saisie programme'!$F$288)+SUMIFS('Vols additionnels'!$E$7:$E$66,'Vols additionnels'!$C$7:$C$66,$E8287,'Vols additionnels'!$D$7:$D$66,$F8287,'Vols additionnels'!$B$7:$B$66,$D8287)</f>
        <v>0</v>
      </c>
      <c r="H8287" s="135" t="n">
        <f aca="false">$G8287*'Analyse capacite'!$F$9</f>
        <v>0</v>
      </c>
      <c r="I8287" s="135" t="n">
        <f aca="false">$G8287*'Analyse capacite'!$C$9</f>
        <v>0</v>
      </c>
      <c r="J8287" s="135" t="n">
        <f aca="false">$G8287*'Analyse capacite'!$D$9</f>
        <v>0</v>
      </c>
      <c r="K8287" s="135" t="n">
        <f aca="false">$G8287*'Analyse capacite'!$E$9</f>
        <v>0</v>
      </c>
    </row>
    <row r="8288" customFormat="false" ht="15" hidden="false" customHeight="false" outlineLevel="0" collapsed="false">
      <c r="B8288" s="130" t="n">
        <v>2027</v>
      </c>
      <c r="C8288" s="131" t="s">
        <v>253</v>
      </c>
      <c r="D8288" s="132" t="n">
        <v>46708</v>
      </c>
      <c r="E8288" s="131" t="s">
        <v>20</v>
      </c>
      <c r="F8288" s="133" t="s">
        <v>11</v>
      </c>
      <c r="G8288" s="134" t="n">
        <f aca="false">LEN('Saisie programme'!$F$289)+SUMIFS('Vols additionnels'!$E$7:$E$66,'Vols additionnels'!$C$7:$C$66,$E8288,'Vols additionnels'!$D$7:$D$66,$F8288,'Vols additionnels'!$B$7:$B$66,$D8288)</f>
        <v>0</v>
      </c>
      <c r="H8288" s="135" t="n">
        <f aca="false">$G8288*'Analyse capacite'!$F$7</f>
        <v>0</v>
      </c>
      <c r="I8288" s="135" t="n">
        <f aca="false">$G8288*'Analyse capacite'!$C$7</f>
        <v>0</v>
      </c>
      <c r="J8288" s="135" t="n">
        <f aca="false">$G8288*'Analyse capacite'!$D$7</f>
        <v>0</v>
      </c>
      <c r="K8288" s="135" t="n">
        <f aca="false">$G8288*'Analyse capacite'!$E$7</f>
        <v>0</v>
      </c>
    </row>
    <row r="8289" customFormat="false" ht="15" hidden="false" customHeight="false" outlineLevel="0" collapsed="false">
      <c r="B8289" s="130" t="n">
        <v>2027</v>
      </c>
      <c r="C8289" s="131" t="s">
        <v>253</v>
      </c>
      <c r="D8289" s="132" t="n">
        <v>46708</v>
      </c>
      <c r="E8289" s="131" t="s">
        <v>20</v>
      </c>
      <c r="F8289" s="133" t="s">
        <v>19</v>
      </c>
      <c r="G8289" s="134" t="n">
        <f aca="false">LEN('Saisie programme'!$F$290)+SUMIFS('Vols additionnels'!$E$7:$E$66,'Vols additionnels'!$C$7:$C$66,$E8289,'Vols additionnels'!$D$7:$D$66,$F8289,'Vols additionnels'!$B$7:$B$66,$D8289)</f>
        <v>0</v>
      </c>
      <c r="H8289" s="135" t="n">
        <f aca="false">$G8289*'Analyse capacite'!$F$8</f>
        <v>0</v>
      </c>
      <c r="I8289" s="135" t="n">
        <f aca="false">$G8289*'Analyse capacite'!$C$8</f>
        <v>0</v>
      </c>
      <c r="J8289" s="135" t="n">
        <f aca="false">$G8289*'Analyse capacite'!$D$8</f>
        <v>0</v>
      </c>
      <c r="K8289" s="135" t="n">
        <f aca="false">$G8289*'Analyse capacite'!$E$8</f>
        <v>0</v>
      </c>
    </row>
    <row r="8290" customFormat="false" ht="15" hidden="false" customHeight="false" outlineLevel="0" collapsed="false">
      <c r="B8290" s="130" t="n">
        <v>2027</v>
      </c>
      <c r="C8290" s="131" t="s">
        <v>253</v>
      </c>
      <c r="D8290" s="132" t="n">
        <v>46708</v>
      </c>
      <c r="E8290" s="131" t="s">
        <v>20</v>
      </c>
      <c r="F8290" s="133" t="s">
        <v>24</v>
      </c>
      <c r="G8290" s="134" t="n">
        <f aca="false">LEN('Saisie programme'!$F$291)+SUMIFS('Vols additionnels'!$E$7:$E$66,'Vols additionnels'!$C$7:$C$66,$E8290,'Vols additionnels'!$D$7:$D$66,$F8290,'Vols additionnels'!$B$7:$B$66,$D8290)</f>
        <v>0</v>
      </c>
      <c r="H8290" s="135" t="n">
        <f aca="false">$G8290*'Analyse capacite'!$F$9</f>
        <v>0</v>
      </c>
      <c r="I8290" s="135" t="n">
        <f aca="false">$G8290*'Analyse capacite'!$C$9</f>
        <v>0</v>
      </c>
      <c r="J8290" s="135" t="n">
        <f aca="false">$G8290*'Analyse capacite'!$D$9</f>
        <v>0</v>
      </c>
      <c r="K8290" s="135" t="n">
        <f aca="false">$G8290*'Analyse capacite'!$E$9</f>
        <v>0</v>
      </c>
    </row>
    <row r="8291" customFormat="false" ht="15" hidden="false" customHeight="false" outlineLevel="0" collapsed="false">
      <c r="B8291" s="130" t="n">
        <v>2027</v>
      </c>
      <c r="C8291" s="131" t="s">
        <v>253</v>
      </c>
      <c r="D8291" s="132" t="n">
        <v>46708</v>
      </c>
      <c r="E8291" s="131" t="s">
        <v>25</v>
      </c>
      <c r="F8291" s="133" t="s">
        <v>11</v>
      </c>
      <c r="G8291" s="134" t="n">
        <f aca="false">LEN('Saisie programme'!$F$292)+SUMIFS('Vols additionnels'!$E$7:$E$66,'Vols additionnels'!$C$7:$C$66,$E8291,'Vols additionnels'!$D$7:$D$66,$F8291,'Vols additionnels'!$B$7:$B$66,$D8291)</f>
        <v>0</v>
      </c>
      <c r="H8291" s="135" t="n">
        <f aca="false">$G8291*'Analyse capacite'!$F$7</f>
        <v>0</v>
      </c>
      <c r="I8291" s="135" t="n">
        <f aca="false">$G8291*'Analyse capacite'!$C$7</f>
        <v>0</v>
      </c>
      <c r="J8291" s="135" t="n">
        <f aca="false">$G8291*'Analyse capacite'!$D$7</f>
        <v>0</v>
      </c>
      <c r="K8291" s="135" t="n">
        <f aca="false">$G8291*'Analyse capacite'!$E$7</f>
        <v>0</v>
      </c>
    </row>
    <row r="8292" customFormat="false" ht="15" hidden="false" customHeight="false" outlineLevel="0" collapsed="false">
      <c r="B8292" s="130" t="n">
        <v>2027</v>
      </c>
      <c r="C8292" s="131" t="s">
        <v>253</v>
      </c>
      <c r="D8292" s="132" t="n">
        <v>46708</v>
      </c>
      <c r="E8292" s="131" t="s">
        <v>25</v>
      </c>
      <c r="F8292" s="133" t="s">
        <v>19</v>
      </c>
      <c r="G8292" s="134" t="n">
        <f aca="false">LEN('Saisie programme'!$F$293)+SUMIFS('Vols additionnels'!$E$7:$E$66,'Vols additionnels'!$C$7:$C$66,$E8292,'Vols additionnels'!$D$7:$D$66,$F8292,'Vols additionnels'!$B$7:$B$66,$D8292)</f>
        <v>1</v>
      </c>
      <c r="H8292" s="135" t="n">
        <f aca="false">$G8292*'Analyse capacite'!$F$8</f>
        <v>262</v>
      </c>
      <c r="I8292" s="135" t="n">
        <f aca="false">$G8292*'Analyse capacite'!$C$8</f>
        <v>18</v>
      </c>
      <c r="J8292" s="135" t="n">
        <f aca="false">$G8292*'Analyse capacite'!$D$8</f>
        <v>0</v>
      </c>
      <c r="K8292" s="135" t="n">
        <f aca="false">$G8292*'Analyse capacite'!$E$8</f>
        <v>244</v>
      </c>
    </row>
    <row r="8293" customFormat="false" ht="15" hidden="false" customHeight="false" outlineLevel="0" collapsed="false">
      <c r="B8293" s="130" t="n">
        <v>2027</v>
      </c>
      <c r="C8293" s="131" t="s">
        <v>253</v>
      </c>
      <c r="D8293" s="132" t="n">
        <v>46708</v>
      </c>
      <c r="E8293" s="131" t="s">
        <v>25</v>
      </c>
      <c r="F8293" s="133" t="s">
        <v>24</v>
      </c>
      <c r="G8293" s="134" t="n">
        <f aca="false">LEN('Saisie programme'!$F$294)+SUMIFS('Vols additionnels'!$E$7:$E$66,'Vols additionnels'!$C$7:$C$66,$E8293,'Vols additionnels'!$D$7:$D$66,$F8293,'Vols additionnels'!$B$7:$B$66,$D8293)</f>
        <v>0</v>
      </c>
      <c r="H8293" s="135" t="n">
        <f aca="false">$G8293*'Analyse capacite'!$F$9</f>
        <v>0</v>
      </c>
      <c r="I8293" s="135" t="n">
        <f aca="false">$G8293*'Analyse capacite'!$C$9</f>
        <v>0</v>
      </c>
      <c r="J8293" s="135" t="n">
        <f aca="false">$G8293*'Analyse capacite'!$D$9</f>
        <v>0</v>
      </c>
      <c r="K8293" s="135" t="n">
        <f aca="false">$G8293*'Analyse capacite'!$E$9</f>
        <v>0</v>
      </c>
    </row>
    <row r="8294" customFormat="false" ht="15" hidden="false" customHeight="false" outlineLevel="0" collapsed="false">
      <c r="B8294" s="130" t="n">
        <v>2027</v>
      </c>
      <c r="C8294" s="131" t="s">
        <v>253</v>
      </c>
      <c r="D8294" s="132" t="n">
        <v>46708</v>
      </c>
      <c r="E8294" s="131" t="s">
        <v>36</v>
      </c>
      <c r="F8294" s="133" t="s">
        <v>11</v>
      </c>
      <c r="G8294" s="134" t="n">
        <f aca="false">LEN('Saisie programme'!$F$295)+SUMIFS('Vols additionnels'!$E$7:$E$66,'Vols additionnels'!$C$7:$C$66,$E8294,'Vols additionnels'!$D$7:$D$66,$F8294,'Vols additionnels'!$B$7:$B$66,$D8294)</f>
        <v>0</v>
      </c>
      <c r="H8294" s="135" t="n">
        <f aca="false">$G8294*'Analyse capacite'!$F$7</f>
        <v>0</v>
      </c>
      <c r="I8294" s="135" t="n">
        <f aca="false">$G8294*'Analyse capacite'!$C$7</f>
        <v>0</v>
      </c>
      <c r="J8294" s="135" t="n">
        <f aca="false">$G8294*'Analyse capacite'!$D$7</f>
        <v>0</v>
      </c>
      <c r="K8294" s="135" t="n">
        <f aca="false">$G8294*'Analyse capacite'!$E$7</f>
        <v>0</v>
      </c>
    </row>
    <row r="8295" customFormat="false" ht="15" hidden="false" customHeight="false" outlineLevel="0" collapsed="false">
      <c r="B8295" s="130" t="n">
        <v>2027</v>
      </c>
      <c r="C8295" s="131" t="s">
        <v>253</v>
      </c>
      <c r="D8295" s="132" t="n">
        <v>46708</v>
      </c>
      <c r="E8295" s="131" t="s">
        <v>36</v>
      </c>
      <c r="F8295" s="133" t="s">
        <v>19</v>
      </c>
      <c r="G8295" s="134" t="n">
        <f aca="false">LEN('Saisie programme'!$F$296)+SUMIFS('Vols additionnels'!$E$7:$E$66,'Vols additionnels'!$C$7:$C$66,$E8295,'Vols additionnels'!$D$7:$D$66,$F8295,'Vols additionnels'!$B$7:$B$66,$D8295)</f>
        <v>1</v>
      </c>
      <c r="H8295" s="135" t="n">
        <f aca="false">$G8295*'Analyse capacite'!$F$8</f>
        <v>262</v>
      </c>
      <c r="I8295" s="135" t="n">
        <f aca="false">$G8295*'Analyse capacite'!$C$8</f>
        <v>18</v>
      </c>
      <c r="J8295" s="135" t="n">
        <f aca="false">$G8295*'Analyse capacite'!$D$8</f>
        <v>0</v>
      </c>
      <c r="K8295" s="135" t="n">
        <f aca="false">$G8295*'Analyse capacite'!$E$8</f>
        <v>244</v>
      </c>
    </row>
    <row r="8296" customFormat="false" ht="15" hidden="false" customHeight="false" outlineLevel="0" collapsed="false">
      <c r="B8296" s="130" t="n">
        <v>2027</v>
      </c>
      <c r="C8296" s="131" t="s">
        <v>253</v>
      </c>
      <c r="D8296" s="132" t="n">
        <v>46708</v>
      </c>
      <c r="E8296" s="131" t="s">
        <v>36</v>
      </c>
      <c r="F8296" s="133" t="s">
        <v>24</v>
      </c>
      <c r="G8296" s="134" t="n">
        <f aca="false">LEN('Saisie programme'!$F$297)+SUMIFS('Vols additionnels'!$E$7:$E$66,'Vols additionnels'!$C$7:$C$66,$E8296,'Vols additionnels'!$D$7:$D$66,$F8296,'Vols additionnels'!$B$7:$B$66,$D8296)</f>
        <v>1</v>
      </c>
      <c r="H8296" s="135" t="n">
        <f aca="false">$G8296*'Analyse capacite'!$F$9</f>
        <v>174</v>
      </c>
      <c r="I8296" s="135" t="n">
        <f aca="false">$G8296*'Analyse capacite'!$C$9</f>
        <v>0</v>
      </c>
      <c r="J8296" s="135" t="n">
        <f aca="false">$G8296*'Analyse capacite'!$D$9</f>
        <v>12</v>
      </c>
      <c r="K8296" s="135" t="n">
        <f aca="false">$G8296*'Analyse capacite'!$E$9</f>
        <v>162</v>
      </c>
    </row>
    <row r="8297" customFormat="false" ht="15" hidden="false" customHeight="false" outlineLevel="0" collapsed="false">
      <c r="B8297" s="130" t="n">
        <v>2027</v>
      </c>
      <c r="C8297" s="131" t="s">
        <v>253</v>
      </c>
      <c r="D8297" s="132" t="n">
        <v>46708</v>
      </c>
      <c r="E8297" s="131" t="s">
        <v>40</v>
      </c>
      <c r="F8297" s="133" t="s">
        <v>11</v>
      </c>
      <c r="G8297" s="134" t="n">
        <f aca="false">LEN('Saisie programme'!$F$298)+SUMIFS('Vols additionnels'!$E$7:$E$66,'Vols additionnels'!$C$7:$C$66,$E8297,'Vols additionnels'!$D$7:$D$66,$F8297,'Vols additionnels'!$B$7:$B$66,$D8297)</f>
        <v>0</v>
      </c>
      <c r="H8297" s="135" t="n">
        <f aca="false">$G8297*'Analyse capacite'!$F$7</f>
        <v>0</v>
      </c>
      <c r="I8297" s="135" t="n">
        <f aca="false">$G8297*'Analyse capacite'!$C$7</f>
        <v>0</v>
      </c>
      <c r="J8297" s="135" t="n">
        <f aca="false">$G8297*'Analyse capacite'!$D$7</f>
        <v>0</v>
      </c>
      <c r="K8297" s="135" t="n">
        <f aca="false">$G8297*'Analyse capacite'!$E$7</f>
        <v>0</v>
      </c>
    </row>
    <row r="8298" customFormat="false" ht="15" hidden="false" customHeight="false" outlineLevel="0" collapsed="false">
      <c r="B8298" s="130" t="n">
        <v>2027</v>
      </c>
      <c r="C8298" s="131" t="s">
        <v>253</v>
      </c>
      <c r="D8298" s="132" t="n">
        <v>46708</v>
      </c>
      <c r="E8298" s="131" t="s">
        <v>40</v>
      </c>
      <c r="F8298" s="133" t="s">
        <v>19</v>
      </c>
      <c r="G8298" s="134" t="n">
        <f aca="false">LEN('Saisie programme'!$F$299)+SUMIFS('Vols additionnels'!$E$7:$E$66,'Vols additionnels'!$C$7:$C$66,$E8298,'Vols additionnels'!$D$7:$D$66,$F8298,'Vols additionnels'!$B$7:$B$66,$D8298)</f>
        <v>0</v>
      </c>
      <c r="H8298" s="135" t="n">
        <f aca="false">$G8298*'Analyse capacite'!$F$8</f>
        <v>0</v>
      </c>
      <c r="I8298" s="135" t="n">
        <f aca="false">$G8298*'Analyse capacite'!$C$8</f>
        <v>0</v>
      </c>
      <c r="J8298" s="135" t="n">
        <f aca="false">$G8298*'Analyse capacite'!$D$8</f>
        <v>0</v>
      </c>
      <c r="K8298" s="135" t="n">
        <f aca="false">$G8298*'Analyse capacite'!$E$8</f>
        <v>0</v>
      </c>
    </row>
    <row r="8299" customFormat="false" ht="15" hidden="false" customHeight="false" outlineLevel="0" collapsed="false">
      <c r="B8299" s="130" t="n">
        <v>2027</v>
      </c>
      <c r="C8299" s="131" t="s">
        <v>253</v>
      </c>
      <c r="D8299" s="132" t="n">
        <v>46708</v>
      </c>
      <c r="E8299" s="131" t="s">
        <v>40</v>
      </c>
      <c r="F8299" s="133" t="s">
        <v>24</v>
      </c>
      <c r="G8299" s="134" t="n">
        <f aca="false">LEN('Saisie programme'!$F$300)+SUMIFS('Vols additionnels'!$E$7:$E$66,'Vols additionnels'!$C$7:$C$66,$E8299,'Vols additionnels'!$D$7:$D$66,$F8299,'Vols additionnels'!$B$7:$B$66,$D8299)</f>
        <v>1</v>
      </c>
      <c r="H8299" s="135" t="n">
        <f aca="false">$G8299*'Analyse capacite'!$F$9</f>
        <v>174</v>
      </c>
      <c r="I8299" s="135" t="n">
        <f aca="false">$G8299*'Analyse capacite'!$C$9</f>
        <v>0</v>
      </c>
      <c r="J8299" s="135" t="n">
        <f aca="false">$G8299*'Analyse capacite'!$D$9</f>
        <v>12</v>
      </c>
      <c r="K8299" s="135" t="n">
        <f aca="false">$G8299*'Analyse capacite'!$E$9</f>
        <v>162</v>
      </c>
    </row>
    <row r="8300" customFormat="false" ht="15" hidden="false" customHeight="false" outlineLevel="0" collapsed="false">
      <c r="B8300" s="130" t="n">
        <v>2027</v>
      </c>
      <c r="C8300" s="131" t="s">
        <v>253</v>
      </c>
      <c r="D8300" s="132" t="n">
        <v>46708</v>
      </c>
      <c r="E8300" s="131" t="s">
        <v>14</v>
      </c>
      <c r="F8300" s="133" t="s">
        <v>11</v>
      </c>
      <c r="G8300" s="134" t="n">
        <f aca="false">LEN('Saisie programme'!$F$301)+SUMIFS('Vols additionnels'!$E$7:$E$66,'Vols additionnels'!$C$7:$C$66,$E8300,'Vols additionnels'!$D$7:$D$66,$F8300,'Vols additionnels'!$B$7:$B$66,$D8300)</f>
        <v>0</v>
      </c>
      <c r="H8300" s="135" t="n">
        <f aca="false">$G8300*'Analyse capacite'!$F$7</f>
        <v>0</v>
      </c>
      <c r="I8300" s="135" t="n">
        <f aca="false">$G8300*'Analyse capacite'!$C$7</f>
        <v>0</v>
      </c>
      <c r="J8300" s="135" t="n">
        <f aca="false">$G8300*'Analyse capacite'!$D$7</f>
        <v>0</v>
      </c>
      <c r="K8300" s="135" t="n">
        <f aca="false">$G8300*'Analyse capacite'!$E$7</f>
        <v>0</v>
      </c>
    </row>
    <row r="8301" customFormat="false" ht="15" hidden="false" customHeight="false" outlineLevel="0" collapsed="false">
      <c r="B8301" s="130" t="n">
        <v>2027</v>
      </c>
      <c r="C8301" s="131" t="s">
        <v>253</v>
      </c>
      <c r="D8301" s="132" t="n">
        <v>46708</v>
      </c>
      <c r="E8301" s="131" t="s">
        <v>14</v>
      </c>
      <c r="F8301" s="133" t="s">
        <v>19</v>
      </c>
      <c r="G8301" s="134" t="n">
        <f aca="false">LEN('Saisie programme'!$F$302)+SUMIFS('Vols additionnels'!$E$7:$E$66,'Vols additionnels'!$C$7:$C$66,$E8301,'Vols additionnels'!$D$7:$D$66,$F8301,'Vols additionnels'!$B$7:$B$66,$D8301)</f>
        <v>0</v>
      </c>
      <c r="H8301" s="135" t="n">
        <f aca="false">$G8301*'Analyse capacite'!$F$8</f>
        <v>0</v>
      </c>
      <c r="I8301" s="135" t="n">
        <f aca="false">$G8301*'Analyse capacite'!$C$8</f>
        <v>0</v>
      </c>
      <c r="J8301" s="135" t="n">
        <f aca="false">$G8301*'Analyse capacite'!$D$8</f>
        <v>0</v>
      </c>
      <c r="K8301" s="135" t="n">
        <f aca="false">$G8301*'Analyse capacite'!$E$8</f>
        <v>0</v>
      </c>
    </row>
    <row r="8302" customFormat="false" ht="15" hidden="false" customHeight="false" outlineLevel="0" collapsed="false">
      <c r="B8302" s="130" t="n">
        <v>2027</v>
      </c>
      <c r="C8302" s="131" t="s">
        <v>253</v>
      </c>
      <c r="D8302" s="132" t="n">
        <v>46708</v>
      </c>
      <c r="E8302" s="131" t="s">
        <v>14</v>
      </c>
      <c r="F8302" s="133" t="s">
        <v>24</v>
      </c>
      <c r="G8302" s="134" t="n">
        <f aca="false">LEN('Saisie programme'!$F$303)+SUMIFS('Vols additionnels'!$E$7:$E$66,'Vols additionnels'!$C$7:$C$66,$E8302,'Vols additionnels'!$D$7:$D$66,$F8302,'Vols additionnels'!$B$7:$B$66,$D8302)</f>
        <v>0</v>
      </c>
      <c r="H8302" s="135" t="n">
        <f aca="false">$G8302*'Analyse capacite'!$F$9</f>
        <v>0</v>
      </c>
      <c r="I8302" s="135" t="n">
        <f aca="false">$G8302*'Analyse capacite'!$C$9</f>
        <v>0</v>
      </c>
      <c r="J8302" s="135" t="n">
        <f aca="false">$G8302*'Analyse capacite'!$D$9</f>
        <v>0</v>
      </c>
      <c r="K8302" s="135" t="n">
        <f aca="false">$G8302*'Analyse capacite'!$E$9</f>
        <v>0</v>
      </c>
    </row>
    <row r="8303" customFormat="false" ht="15" hidden="false" customHeight="false" outlineLevel="0" collapsed="false">
      <c r="B8303" s="130" t="n">
        <v>2027</v>
      </c>
      <c r="C8303" s="131" t="s">
        <v>253</v>
      </c>
      <c r="D8303" s="132" t="n">
        <v>46708</v>
      </c>
      <c r="E8303" s="131" t="s">
        <v>46</v>
      </c>
      <c r="F8303" s="133" t="s">
        <v>11</v>
      </c>
      <c r="G8303" s="134" t="n">
        <f aca="false">LEN('Saisie programme'!$F$304)+SUMIFS('Vols additionnels'!$E$7:$E$66,'Vols additionnels'!$C$7:$C$66,$E8303,'Vols additionnels'!$D$7:$D$66,$F8303,'Vols additionnels'!$B$7:$B$66,$D8303)</f>
        <v>0</v>
      </c>
      <c r="H8303" s="135" t="n">
        <f aca="false">$G8303*'Analyse capacite'!$F$7</f>
        <v>0</v>
      </c>
      <c r="I8303" s="135" t="n">
        <f aca="false">$G8303*'Analyse capacite'!$C$7</f>
        <v>0</v>
      </c>
      <c r="J8303" s="135" t="n">
        <f aca="false">$G8303*'Analyse capacite'!$D$7</f>
        <v>0</v>
      </c>
      <c r="K8303" s="135" t="n">
        <f aca="false">$G8303*'Analyse capacite'!$E$7</f>
        <v>0</v>
      </c>
    </row>
    <row r="8304" customFormat="false" ht="15" hidden="false" customHeight="false" outlineLevel="0" collapsed="false">
      <c r="B8304" s="130" t="n">
        <v>2027</v>
      </c>
      <c r="C8304" s="131" t="s">
        <v>253</v>
      </c>
      <c r="D8304" s="132" t="n">
        <v>46708</v>
      </c>
      <c r="E8304" s="131" t="s">
        <v>46</v>
      </c>
      <c r="F8304" s="133" t="s">
        <v>19</v>
      </c>
      <c r="G8304" s="134" t="n">
        <f aca="false">LEN('Saisie programme'!$F$305)+SUMIFS('Vols additionnels'!$E$7:$E$66,'Vols additionnels'!$C$7:$C$66,$E8304,'Vols additionnels'!$D$7:$D$66,$F8304,'Vols additionnels'!$B$7:$B$66,$D8304)</f>
        <v>0</v>
      </c>
      <c r="H8304" s="135" t="n">
        <f aca="false">$G8304*'Analyse capacite'!$F$8</f>
        <v>0</v>
      </c>
      <c r="I8304" s="135" t="n">
        <f aca="false">$G8304*'Analyse capacite'!$C$8</f>
        <v>0</v>
      </c>
      <c r="J8304" s="135" t="n">
        <f aca="false">$G8304*'Analyse capacite'!$D$8</f>
        <v>0</v>
      </c>
      <c r="K8304" s="135" t="n">
        <f aca="false">$G8304*'Analyse capacite'!$E$8</f>
        <v>0</v>
      </c>
    </row>
    <row r="8305" customFormat="false" ht="15" hidden="false" customHeight="false" outlineLevel="0" collapsed="false">
      <c r="B8305" s="130" t="n">
        <v>2027</v>
      </c>
      <c r="C8305" s="131" t="s">
        <v>253</v>
      </c>
      <c r="D8305" s="132" t="n">
        <v>46708</v>
      </c>
      <c r="E8305" s="131" t="s">
        <v>46</v>
      </c>
      <c r="F8305" s="133" t="s">
        <v>24</v>
      </c>
      <c r="G8305" s="134" t="n">
        <f aca="false">LEN('Saisie programme'!$F$306)+SUMIFS('Vols additionnels'!$E$7:$E$66,'Vols additionnels'!$C$7:$C$66,$E8305,'Vols additionnels'!$D$7:$D$66,$F8305,'Vols additionnels'!$B$7:$B$66,$D8305)</f>
        <v>0</v>
      </c>
      <c r="H8305" s="135" t="n">
        <f aca="false">$G8305*'Analyse capacite'!$F$9</f>
        <v>0</v>
      </c>
      <c r="I8305" s="135" t="n">
        <f aca="false">$G8305*'Analyse capacite'!$C$9</f>
        <v>0</v>
      </c>
      <c r="J8305" s="135" t="n">
        <f aca="false">$G8305*'Analyse capacite'!$D$9</f>
        <v>0</v>
      </c>
      <c r="K8305" s="135" t="n">
        <f aca="false">$G8305*'Analyse capacite'!$E$9</f>
        <v>0</v>
      </c>
    </row>
    <row r="8306" customFormat="false" ht="15" hidden="false" customHeight="false" outlineLevel="0" collapsed="false">
      <c r="B8306" s="130" t="n">
        <v>2027</v>
      </c>
      <c r="C8306" s="131" t="s">
        <v>253</v>
      </c>
      <c r="D8306" s="132" t="n">
        <v>46708</v>
      </c>
      <c r="E8306" s="131" t="s">
        <v>49</v>
      </c>
      <c r="F8306" s="133" t="s">
        <v>11</v>
      </c>
      <c r="G8306" s="134" t="n">
        <f aca="false">LEN('Saisie programme'!$F$307)+SUMIFS('Vols additionnels'!$E$7:$E$66,'Vols additionnels'!$C$7:$C$66,$E8306,'Vols additionnels'!$D$7:$D$66,$F8306,'Vols additionnels'!$B$7:$B$66,$D8306)</f>
        <v>0</v>
      </c>
      <c r="H8306" s="135" t="n">
        <f aca="false">$G8306*'Analyse capacite'!$F$7</f>
        <v>0</v>
      </c>
      <c r="I8306" s="135" t="n">
        <f aca="false">$G8306*'Analyse capacite'!$C$7</f>
        <v>0</v>
      </c>
      <c r="J8306" s="135" t="n">
        <f aca="false">$G8306*'Analyse capacite'!$D$7</f>
        <v>0</v>
      </c>
      <c r="K8306" s="135" t="n">
        <f aca="false">$G8306*'Analyse capacite'!$E$7</f>
        <v>0</v>
      </c>
    </row>
    <row r="8307" customFormat="false" ht="15" hidden="false" customHeight="false" outlineLevel="0" collapsed="false">
      <c r="B8307" s="130" t="n">
        <v>2027</v>
      </c>
      <c r="C8307" s="131" t="s">
        <v>253</v>
      </c>
      <c r="D8307" s="132" t="n">
        <v>46708</v>
      </c>
      <c r="E8307" s="131" t="s">
        <v>49</v>
      </c>
      <c r="F8307" s="133" t="s">
        <v>19</v>
      </c>
      <c r="G8307" s="134" t="n">
        <f aca="false">LEN('Saisie programme'!$F$308)+SUMIFS('Vols additionnels'!$E$7:$E$66,'Vols additionnels'!$C$7:$C$66,$E8307,'Vols additionnels'!$D$7:$D$66,$F8307,'Vols additionnels'!$B$7:$B$66,$D8307)</f>
        <v>0</v>
      </c>
      <c r="H8307" s="135" t="n">
        <f aca="false">$G8307*'Analyse capacite'!$F$8</f>
        <v>0</v>
      </c>
      <c r="I8307" s="135" t="n">
        <f aca="false">$G8307*'Analyse capacite'!$C$8</f>
        <v>0</v>
      </c>
      <c r="J8307" s="135" t="n">
        <f aca="false">$G8307*'Analyse capacite'!$D$8</f>
        <v>0</v>
      </c>
      <c r="K8307" s="135" t="n">
        <f aca="false">$G8307*'Analyse capacite'!$E$8</f>
        <v>0</v>
      </c>
    </row>
    <row r="8308" customFormat="false" ht="15" hidden="false" customHeight="false" outlineLevel="0" collapsed="false">
      <c r="B8308" s="130" t="n">
        <v>2027</v>
      </c>
      <c r="C8308" s="131" t="s">
        <v>253</v>
      </c>
      <c r="D8308" s="132" t="n">
        <v>46708</v>
      </c>
      <c r="E8308" s="131" t="s">
        <v>49</v>
      </c>
      <c r="F8308" s="133" t="s">
        <v>24</v>
      </c>
      <c r="G8308" s="134" t="n">
        <f aca="false">LEN('Saisie programme'!$F$309)+SUMIFS('Vols additionnels'!$E$7:$E$66,'Vols additionnels'!$C$7:$C$66,$E8308,'Vols additionnels'!$D$7:$D$66,$F8308,'Vols additionnels'!$B$7:$B$66,$D8308)</f>
        <v>0</v>
      </c>
      <c r="H8308" s="135" t="n">
        <f aca="false">$G8308*'Analyse capacite'!$F$9</f>
        <v>0</v>
      </c>
      <c r="I8308" s="135" t="n">
        <f aca="false">$G8308*'Analyse capacite'!$C$9</f>
        <v>0</v>
      </c>
      <c r="J8308" s="135" t="n">
        <f aca="false">$G8308*'Analyse capacite'!$D$9</f>
        <v>0</v>
      </c>
      <c r="K8308" s="135" t="n">
        <f aca="false">$G8308*'Analyse capacite'!$E$9</f>
        <v>0</v>
      </c>
    </row>
    <row r="8309" customFormat="false" ht="15" hidden="false" customHeight="false" outlineLevel="0" collapsed="false">
      <c r="B8309" s="130" t="n">
        <v>2027</v>
      </c>
      <c r="C8309" s="131" t="s">
        <v>253</v>
      </c>
      <c r="D8309" s="132" t="n">
        <v>46708</v>
      </c>
      <c r="E8309" s="131" t="s">
        <v>53</v>
      </c>
      <c r="F8309" s="133" t="s">
        <v>11</v>
      </c>
      <c r="G8309" s="134" t="n">
        <f aca="false">LEN('Saisie programme'!$F$310)+SUMIFS('Vols additionnels'!$E$7:$E$66,'Vols additionnels'!$C$7:$C$66,$E8309,'Vols additionnels'!$D$7:$D$66,$F8309,'Vols additionnels'!$B$7:$B$66,$D8309)</f>
        <v>0</v>
      </c>
      <c r="H8309" s="135" t="n">
        <f aca="false">$G8309*'Analyse capacite'!$F$7</f>
        <v>0</v>
      </c>
      <c r="I8309" s="135" t="n">
        <f aca="false">$G8309*'Analyse capacite'!$C$7</f>
        <v>0</v>
      </c>
      <c r="J8309" s="135" t="n">
        <f aca="false">$G8309*'Analyse capacite'!$D$7</f>
        <v>0</v>
      </c>
      <c r="K8309" s="135" t="n">
        <f aca="false">$G8309*'Analyse capacite'!$E$7</f>
        <v>0</v>
      </c>
    </row>
    <row r="8310" customFormat="false" ht="15" hidden="false" customHeight="false" outlineLevel="0" collapsed="false">
      <c r="B8310" s="130" t="n">
        <v>2027</v>
      </c>
      <c r="C8310" s="131" t="s">
        <v>253</v>
      </c>
      <c r="D8310" s="132" t="n">
        <v>46708</v>
      </c>
      <c r="E8310" s="131" t="s">
        <v>53</v>
      </c>
      <c r="F8310" s="133" t="s">
        <v>19</v>
      </c>
      <c r="G8310" s="134" t="n">
        <f aca="false">LEN('Saisie programme'!$F$311)+SUMIFS('Vols additionnels'!$E$7:$E$66,'Vols additionnels'!$C$7:$C$66,$E8310,'Vols additionnels'!$D$7:$D$66,$F8310,'Vols additionnels'!$B$7:$B$66,$D8310)</f>
        <v>0</v>
      </c>
      <c r="H8310" s="135" t="n">
        <f aca="false">$G8310*'Analyse capacite'!$F$8</f>
        <v>0</v>
      </c>
      <c r="I8310" s="135" t="n">
        <f aca="false">$G8310*'Analyse capacite'!$C$8</f>
        <v>0</v>
      </c>
      <c r="J8310" s="135" t="n">
        <f aca="false">$G8310*'Analyse capacite'!$D$8</f>
        <v>0</v>
      </c>
      <c r="K8310" s="135" t="n">
        <f aca="false">$G8310*'Analyse capacite'!$E$8</f>
        <v>0</v>
      </c>
    </row>
    <row r="8311" customFormat="false" ht="15" hidden="false" customHeight="false" outlineLevel="0" collapsed="false">
      <c r="B8311" s="130" t="n">
        <v>2027</v>
      </c>
      <c r="C8311" s="131" t="s">
        <v>253</v>
      </c>
      <c r="D8311" s="132" t="n">
        <v>46708</v>
      </c>
      <c r="E8311" s="131" t="s">
        <v>53</v>
      </c>
      <c r="F8311" s="133" t="s">
        <v>24</v>
      </c>
      <c r="G8311" s="134" t="n">
        <f aca="false">LEN('Saisie programme'!$F$312)+SUMIFS('Vols additionnels'!$E$7:$E$66,'Vols additionnels'!$C$7:$C$66,$E8311,'Vols additionnels'!$D$7:$D$66,$F8311,'Vols additionnels'!$B$7:$B$66,$D8311)</f>
        <v>0</v>
      </c>
      <c r="H8311" s="135" t="n">
        <f aca="false">$G8311*'Analyse capacite'!$F$9</f>
        <v>0</v>
      </c>
      <c r="I8311" s="135" t="n">
        <f aca="false">$G8311*'Analyse capacite'!$C$9</f>
        <v>0</v>
      </c>
      <c r="J8311" s="135" t="n">
        <f aca="false">$G8311*'Analyse capacite'!$D$9</f>
        <v>0</v>
      </c>
      <c r="K8311" s="135" t="n">
        <f aca="false">$G8311*'Analyse capacite'!$E$9</f>
        <v>0</v>
      </c>
    </row>
    <row r="8312" customFormat="false" ht="15" hidden="false" customHeight="false" outlineLevel="0" collapsed="false">
      <c r="B8312" s="130" t="n">
        <v>2027</v>
      </c>
      <c r="C8312" s="131" t="s">
        <v>253</v>
      </c>
      <c r="D8312" s="132" t="n">
        <v>46708</v>
      </c>
      <c r="E8312" s="131" t="s">
        <v>56</v>
      </c>
      <c r="F8312" s="133" t="s">
        <v>11</v>
      </c>
      <c r="G8312" s="134" t="n">
        <f aca="false">LEN('Saisie programme'!$F$313)+SUMIFS('Vols additionnels'!$E$7:$E$66,'Vols additionnels'!$C$7:$C$66,$E8312,'Vols additionnels'!$D$7:$D$66,$F8312,'Vols additionnels'!$B$7:$B$66,$D8312)</f>
        <v>0</v>
      </c>
      <c r="H8312" s="135" t="n">
        <f aca="false">$G8312*'Analyse capacite'!$F$7</f>
        <v>0</v>
      </c>
      <c r="I8312" s="135" t="n">
        <f aca="false">$G8312*'Analyse capacite'!$C$7</f>
        <v>0</v>
      </c>
      <c r="J8312" s="135" t="n">
        <f aca="false">$G8312*'Analyse capacite'!$D$7</f>
        <v>0</v>
      </c>
      <c r="K8312" s="135" t="n">
        <f aca="false">$G8312*'Analyse capacite'!$E$7</f>
        <v>0</v>
      </c>
    </row>
    <row r="8313" customFormat="false" ht="15" hidden="false" customHeight="false" outlineLevel="0" collapsed="false">
      <c r="B8313" s="130" t="n">
        <v>2027</v>
      </c>
      <c r="C8313" s="131" t="s">
        <v>253</v>
      </c>
      <c r="D8313" s="132" t="n">
        <v>46708</v>
      </c>
      <c r="E8313" s="131" t="s">
        <v>56</v>
      </c>
      <c r="F8313" s="133" t="s">
        <v>19</v>
      </c>
      <c r="G8313" s="134" t="n">
        <f aca="false">LEN('Saisie programme'!$F$314)+SUMIFS('Vols additionnels'!$E$7:$E$66,'Vols additionnels'!$C$7:$C$66,$E8313,'Vols additionnels'!$D$7:$D$66,$F8313,'Vols additionnels'!$B$7:$B$66,$D8313)</f>
        <v>0</v>
      </c>
      <c r="H8313" s="135" t="n">
        <f aca="false">$G8313*'Analyse capacite'!$F$8</f>
        <v>0</v>
      </c>
      <c r="I8313" s="135" t="n">
        <f aca="false">$G8313*'Analyse capacite'!$C$8</f>
        <v>0</v>
      </c>
      <c r="J8313" s="135" t="n">
        <f aca="false">$G8313*'Analyse capacite'!$D$8</f>
        <v>0</v>
      </c>
      <c r="K8313" s="135" t="n">
        <f aca="false">$G8313*'Analyse capacite'!$E$8</f>
        <v>0</v>
      </c>
    </row>
    <row r="8314" customFormat="false" ht="15" hidden="false" customHeight="false" outlineLevel="0" collapsed="false">
      <c r="B8314" s="130" t="n">
        <v>2027</v>
      </c>
      <c r="C8314" s="131" t="s">
        <v>253</v>
      </c>
      <c r="D8314" s="132" t="n">
        <v>46708</v>
      </c>
      <c r="E8314" s="131" t="s">
        <v>56</v>
      </c>
      <c r="F8314" s="133" t="s">
        <v>24</v>
      </c>
      <c r="G8314" s="134" t="n">
        <f aca="false">LEN('Saisie programme'!$F$315)+SUMIFS('Vols additionnels'!$E$7:$E$66,'Vols additionnels'!$C$7:$C$66,$E8314,'Vols additionnels'!$D$7:$D$66,$F8314,'Vols additionnels'!$B$7:$B$66,$D8314)</f>
        <v>0</v>
      </c>
      <c r="H8314" s="135" t="n">
        <f aca="false">$G8314*'Analyse capacite'!$F$9</f>
        <v>0</v>
      </c>
      <c r="I8314" s="135" t="n">
        <f aca="false">$G8314*'Analyse capacite'!$C$9</f>
        <v>0</v>
      </c>
      <c r="J8314" s="135" t="n">
        <f aca="false">$G8314*'Analyse capacite'!$D$9</f>
        <v>0</v>
      </c>
      <c r="K8314" s="135" t="n">
        <f aca="false">$G8314*'Analyse capacite'!$E$9</f>
        <v>0</v>
      </c>
    </row>
    <row r="8315" customFormat="false" ht="15" hidden="false" customHeight="false" outlineLevel="0" collapsed="false">
      <c r="B8315" s="130" t="n">
        <v>2027</v>
      </c>
      <c r="C8315" s="131" t="s">
        <v>253</v>
      </c>
      <c r="D8315" s="132" t="n">
        <v>46708</v>
      </c>
      <c r="E8315" s="131" t="s">
        <v>59</v>
      </c>
      <c r="F8315" s="133" t="s">
        <v>11</v>
      </c>
      <c r="G8315" s="134" t="n">
        <f aca="false">LEN('Saisie programme'!$F$316)+SUMIFS('Vols additionnels'!$E$7:$E$66,'Vols additionnels'!$C$7:$C$66,$E8315,'Vols additionnels'!$D$7:$D$66,$F8315,'Vols additionnels'!$B$7:$B$66,$D8315)</f>
        <v>0</v>
      </c>
      <c r="H8315" s="135" t="n">
        <f aca="false">$G8315*'Analyse capacite'!$F$7</f>
        <v>0</v>
      </c>
      <c r="I8315" s="135" t="n">
        <f aca="false">$G8315*'Analyse capacite'!$C$7</f>
        <v>0</v>
      </c>
      <c r="J8315" s="135" t="n">
        <f aca="false">$G8315*'Analyse capacite'!$D$7</f>
        <v>0</v>
      </c>
      <c r="K8315" s="135" t="n">
        <f aca="false">$G8315*'Analyse capacite'!$E$7</f>
        <v>0</v>
      </c>
    </row>
    <row r="8316" customFormat="false" ht="15" hidden="false" customHeight="false" outlineLevel="0" collapsed="false">
      <c r="B8316" s="130" t="n">
        <v>2027</v>
      </c>
      <c r="C8316" s="131" t="s">
        <v>253</v>
      </c>
      <c r="D8316" s="132" t="n">
        <v>46708</v>
      </c>
      <c r="E8316" s="131" t="s">
        <v>59</v>
      </c>
      <c r="F8316" s="133" t="s">
        <v>19</v>
      </c>
      <c r="G8316" s="134" t="n">
        <f aca="false">LEN('Saisie programme'!$F$317)+SUMIFS('Vols additionnels'!$E$7:$E$66,'Vols additionnels'!$C$7:$C$66,$E8316,'Vols additionnels'!$D$7:$D$66,$F8316,'Vols additionnels'!$B$7:$B$66,$D8316)</f>
        <v>0</v>
      </c>
      <c r="H8316" s="135" t="n">
        <f aca="false">$G8316*'Analyse capacite'!$F$8</f>
        <v>0</v>
      </c>
      <c r="I8316" s="135" t="n">
        <f aca="false">$G8316*'Analyse capacite'!$C$8</f>
        <v>0</v>
      </c>
      <c r="J8316" s="135" t="n">
        <f aca="false">$G8316*'Analyse capacite'!$D$8</f>
        <v>0</v>
      </c>
      <c r="K8316" s="135" t="n">
        <f aca="false">$G8316*'Analyse capacite'!$E$8</f>
        <v>0</v>
      </c>
    </row>
    <row r="8317" customFormat="false" ht="15" hidden="false" customHeight="false" outlineLevel="0" collapsed="false">
      <c r="B8317" s="130" t="n">
        <v>2027</v>
      </c>
      <c r="C8317" s="131" t="s">
        <v>253</v>
      </c>
      <c r="D8317" s="132" t="n">
        <v>46708</v>
      </c>
      <c r="E8317" s="131" t="s">
        <v>59</v>
      </c>
      <c r="F8317" s="133" t="s">
        <v>24</v>
      </c>
      <c r="G8317" s="134" t="n">
        <f aca="false">LEN('Saisie programme'!$F$318)+SUMIFS('Vols additionnels'!$E$7:$E$66,'Vols additionnels'!$C$7:$C$66,$E8317,'Vols additionnels'!$D$7:$D$66,$F8317,'Vols additionnels'!$B$7:$B$66,$D8317)</f>
        <v>1</v>
      </c>
      <c r="H8317" s="135" t="n">
        <f aca="false">$G8317*'Analyse capacite'!$F$9</f>
        <v>174</v>
      </c>
      <c r="I8317" s="135" t="n">
        <f aca="false">$G8317*'Analyse capacite'!$C$9</f>
        <v>0</v>
      </c>
      <c r="J8317" s="135" t="n">
        <f aca="false">$G8317*'Analyse capacite'!$D$9</f>
        <v>12</v>
      </c>
      <c r="K8317" s="135" t="n">
        <f aca="false">$G8317*'Analyse capacite'!$E$9</f>
        <v>162</v>
      </c>
    </row>
    <row r="8318" customFormat="false" ht="15" hidden="false" customHeight="false" outlineLevel="0" collapsed="false">
      <c r="B8318" s="130" t="n">
        <v>2027</v>
      </c>
      <c r="C8318" s="131" t="s">
        <v>253</v>
      </c>
      <c r="D8318" s="132" t="n">
        <v>46708</v>
      </c>
      <c r="E8318" s="131" t="s">
        <v>62</v>
      </c>
      <c r="F8318" s="133" t="s">
        <v>11</v>
      </c>
      <c r="G8318" s="134" t="n">
        <f aca="false">LEN('Saisie programme'!$F$319)+SUMIFS('Vols additionnels'!$E$7:$E$66,'Vols additionnels'!$C$7:$C$66,$E8318,'Vols additionnels'!$D$7:$D$66,$F8318,'Vols additionnels'!$B$7:$B$66,$D8318)</f>
        <v>0</v>
      </c>
      <c r="H8318" s="135" t="n">
        <f aca="false">$G8318*'Analyse capacite'!$F$7</f>
        <v>0</v>
      </c>
      <c r="I8318" s="135" t="n">
        <f aca="false">$G8318*'Analyse capacite'!$C$7</f>
        <v>0</v>
      </c>
      <c r="J8318" s="135" t="n">
        <f aca="false">$G8318*'Analyse capacite'!$D$7</f>
        <v>0</v>
      </c>
      <c r="K8318" s="135" t="n">
        <f aca="false">$G8318*'Analyse capacite'!$E$7</f>
        <v>0</v>
      </c>
    </row>
    <row r="8319" customFormat="false" ht="15" hidden="false" customHeight="false" outlineLevel="0" collapsed="false">
      <c r="B8319" s="130" t="n">
        <v>2027</v>
      </c>
      <c r="C8319" s="131" t="s">
        <v>253</v>
      </c>
      <c r="D8319" s="132" t="n">
        <v>46708</v>
      </c>
      <c r="E8319" s="131" t="s">
        <v>62</v>
      </c>
      <c r="F8319" s="133" t="s">
        <v>19</v>
      </c>
      <c r="G8319" s="134" t="n">
        <f aca="false">LEN('Saisie programme'!$F$320)+SUMIFS('Vols additionnels'!$E$7:$E$66,'Vols additionnels'!$C$7:$C$66,$E8319,'Vols additionnels'!$D$7:$D$66,$F8319,'Vols additionnels'!$B$7:$B$66,$D8319)</f>
        <v>0</v>
      </c>
      <c r="H8319" s="135" t="n">
        <f aca="false">$G8319*'Analyse capacite'!$F$8</f>
        <v>0</v>
      </c>
      <c r="I8319" s="135" t="n">
        <f aca="false">$G8319*'Analyse capacite'!$C$8</f>
        <v>0</v>
      </c>
      <c r="J8319" s="135" t="n">
        <f aca="false">$G8319*'Analyse capacite'!$D$8</f>
        <v>0</v>
      </c>
      <c r="K8319" s="135" t="n">
        <f aca="false">$G8319*'Analyse capacite'!$E$8</f>
        <v>0</v>
      </c>
    </row>
    <row r="8320" customFormat="false" ht="15" hidden="false" customHeight="false" outlineLevel="0" collapsed="false">
      <c r="B8320" s="130" t="n">
        <v>2027</v>
      </c>
      <c r="C8320" s="131" t="s">
        <v>253</v>
      </c>
      <c r="D8320" s="132" t="n">
        <v>46708</v>
      </c>
      <c r="E8320" s="131" t="s">
        <v>62</v>
      </c>
      <c r="F8320" s="133" t="s">
        <v>24</v>
      </c>
      <c r="G8320" s="134" t="n">
        <f aca="false">LEN('Saisie programme'!$F$321)+SUMIFS('Vols additionnels'!$E$7:$E$66,'Vols additionnels'!$C$7:$C$66,$E8320,'Vols additionnels'!$D$7:$D$66,$F8320,'Vols additionnels'!$B$7:$B$66,$D8320)</f>
        <v>1</v>
      </c>
      <c r="H8320" s="135" t="n">
        <f aca="false">$G8320*'Analyse capacite'!$F$9</f>
        <v>174</v>
      </c>
      <c r="I8320" s="135" t="n">
        <f aca="false">$G8320*'Analyse capacite'!$C$9</f>
        <v>0</v>
      </c>
      <c r="J8320" s="135" t="n">
        <f aca="false">$G8320*'Analyse capacite'!$D$9</f>
        <v>12</v>
      </c>
      <c r="K8320" s="135" t="n">
        <f aca="false">$G8320*'Analyse capacite'!$E$9</f>
        <v>162</v>
      </c>
    </row>
    <row r="8321" customFormat="false" ht="15" hidden="false" customHeight="false" outlineLevel="0" collapsed="false">
      <c r="B8321" s="130" t="n">
        <v>2027</v>
      </c>
      <c r="C8321" s="131" t="s">
        <v>253</v>
      </c>
      <c r="D8321" s="132" t="n">
        <v>46709</v>
      </c>
      <c r="E8321" s="131" t="s">
        <v>12</v>
      </c>
      <c r="F8321" s="133" t="s">
        <v>11</v>
      </c>
      <c r="G8321" s="134" t="n">
        <f aca="false">LEN('Saisie programme'!$G$286)+SUMIFS('Vols additionnels'!$E$7:$E$66,'Vols additionnels'!$C$7:$C$66,$E8321,'Vols additionnels'!$D$7:$D$66,$F8321,'Vols additionnels'!$B$7:$B$66,$D8321)</f>
        <v>1</v>
      </c>
      <c r="H8321" s="135" t="n">
        <f aca="false">$G8321*'Analyse capacite'!$F$7</f>
        <v>438</v>
      </c>
      <c r="I8321" s="135" t="n">
        <f aca="false">$G8321*'Analyse capacite'!$C$7</f>
        <v>14</v>
      </c>
      <c r="J8321" s="135" t="n">
        <f aca="false">$G8321*'Analyse capacite'!$D$7</f>
        <v>40</v>
      </c>
      <c r="K8321" s="135" t="n">
        <f aca="false">$G8321*'Analyse capacite'!$E$7</f>
        <v>384</v>
      </c>
    </row>
    <row r="8322" customFormat="false" ht="15" hidden="false" customHeight="false" outlineLevel="0" collapsed="false">
      <c r="B8322" s="130" t="n">
        <v>2027</v>
      </c>
      <c r="C8322" s="131" t="s">
        <v>253</v>
      </c>
      <c r="D8322" s="132" t="n">
        <v>46709</v>
      </c>
      <c r="E8322" s="131" t="s">
        <v>12</v>
      </c>
      <c r="F8322" s="133" t="s">
        <v>19</v>
      </c>
      <c r="G8322" s="134" t="n">
        <f aca="false">LEN('Saisie programme'!$G$287)+SUMIFS('Vols additionnels'!$E$7:$E$66,'Vols additionnels'!$C$7:$C$66,$E8322,'Vols additionnels'!$D$7:$D$66,$F8322,'Vols additionnels'!$B$7:$B$66,$D8322)</f>
        <v>0</v>
      </c>
      <c r="H8322" s="135" t="n">
        <f aca="false">$G8322*'Analyse capacite'!$F$8</f>
        <v>0</v>
      </c>
      <c r="I8322" s="135" t="n">
        <f aca="false">$G8322*'Analyse capacite'!$C$8</f>
        <v>0</v>
      </c>
      <c r="J8322" s="135" t="n">
        <f aca="false">$G8322*'Analyse capacite'!$D$8</f>
        <v>0</v>
      </c>
      <c r="K8322" s="135" t="n">
        <f aca="false">$G8322*'Analyse capacite'!$E$8</f>
        <v>0</v>
      </c>
    </row>
    <row r="8323" customFormat="false" ht="15" hidden="false" customHeight="false" outlineLevel="0" collapsed="false">
      <c r="B8323" s="130" t="n">
        <v>2027</v>
      </c>
      <c r="C8323" s="131" t="s">
        <v>253</v>
      </c>
      <c r="D8323" s="132" t="n">
        <v>46709</v>
      </c>
      <c r="E8323" s="131" t="s">
        <v>12</v>
      </c>
      <c r="F8323" s="133" t="s">
        <v>24</v>
      </c>
      <c r="G8323" s="134" t="n">
        <f aca="false">LEN('Saisie programme'!$G$288)+SUMIFS('Vols additionnels'!$E$7:$E$66,'Vols additionnels'!$C$7:$C$66,$E8323,'Vols additionnels'!$D$7:$D$66,$F8323,'Vols additionnels'!$B$7:$B$66,$D8323)</f>
        <v>0</v>
      </c>
      <c r="H8323" s="135" t="n">
        <f aca="false">$G8323*'Analyse capacite'!$F$9</f>
        <v>0</v>
      </c>
      <c r="I8323" s="135" t="n">
        <f aca="false">$G8323*'Analyse capacite'!$C$9</f>
        <v>0</v>
      </c>
      <c r="J8323" s="135" t="n">
        <f aca="false">$G8323*'Analyse capacite'!$D$9</f>
        <v>0</v>
      </c>
      <c r="K8323" s="135" t="n">
        <f aca="false">$G8323*'Analyse capacite'!$E$9</f>
        <v>0</v>
      </c>
    </row>
    <row r="8324" customFormat="false" ht="15" hidden="false" customHeight="false" outlineLevel="0" collapsed="false">
      <c r="B8324" s="130" t="n">
        <v>2027</v>
      </c>
      <c r="C8324" s="131" t="s">
        <v>253</v>
      </c>
      <c r="D8324" s="132" t="n">
        <v>46709</v>
      </c>
      <c r="E8324" s="131" t="s">
        <v>20</v>
      </c>
      <c r="F8324" s="133" t="s">
        <v>11</v>
      </c>
      <c r="G8324" s="134" t="n">
        <f aca="false">LEN('Saisie programme'!$G$289)+SUMIFS('Vols additionnels'!$E$7:$E$66,'Vols additionnels'!$C$7:$C$66,$E8324,'Vols additionnels'!$D$7:$D$66,$F8324,'Vols additionnels'!$B$7:$B$66,$D8324)</f>
        <v>0</v>
      </c>
      <c r="H8324" s="135" t="n">
        <f aca="false">$G8324*'Analyse capacite'!$F$7</f>
        <v>0</v>
      </c>
      <c r="I8324" s="135" t="n">
        <f aca="false">$G8324*'Analyse capacite'!$C$7</f>
        <v>0</v>
      </c>
      <c r="J8324" s="135" t="n">
        <f aca="false">$G8324*'Analyse capacite'!$D$7</f>
        <v>0</v>
      </c>
      <c r="K8324" s="135" t="n">
        <f aca="false">$G8324*'Analyse capacite'!$E$7</f>
        <v>0</v>
      </c>
    </row>
    <row r="8325" customFormat="false" ht="15" hidden="false" customHeight="false" outlineLevel="0" collapsed="false">
      <c r="B8325" s="130" t="n">
        <v>2027</v>
      </c>
      <c r="C8325" s="131" t="s">
        <v>253</v>
      </c>
      <c r="D8325" s="132" t="n">
        <v>46709</v>
      </c>
      <c r="E8325" s="131" t="s">
        <v>20</v>
      </c>
      <c r="F8325" s="133" t="s">
        <v>19</v>
      </c>
      <c r="G8325" s="134" t="n">
        <f aca="false">LEN('Saisie programme'!$G$290)+SUMIFS('Vols additionnels'!$E$7:$E$66,'Vols additionnels'!$C$7:$C$66,$E8325,'Vols additionnels'!$D$7:$D$66,$F8325,'Vols additionnels'!$B$7:$B$66,$D8325)</f>
        <v>0</v>
      </c>
      <c r="H8325" s="135" t="n">
        <f aca="false">$G8325*'Analyse capacite'!$F$8</f>
        <v>0</v>
      </c>
      <c r="I8325" s="135" t="n">
        <f aca="false">$G8325*'Analyse capacite'!$C$8</f>
        <v>0</v>
      </c>
      <c r="J8325" s="135" t="n">
        <f aca="false">$G8325*'Analyse capacite'!$D$8</f>
        <v>0</v>
      </c>
      <c r="K8325" s="135" t="n">
        <f aca="false">$G8325*'Analyse capacite'!$E$8</f>
        <v>0</v>
      </c>
    </row>
    <row r="8326" customFormat="false" ht="15" hidden="false" customHeight="false" outlineLevel="0" collapsed="false">
      <c r="B8326" s="130" t="n">
        <v>2027</v>
      </c>
      <c r="C8326" s="131" t="s">
        <v>253</v>
      </c>
      <c r="D8326" s="132" t="n">
        <v>46709</v>
      </c>
      <c r="E8326" s="131" t="s">
        <v>20</v>
      </c>
      <c r="F8326" s="133" t="s">
        <v>24</v>
      </c>
      <c r="G8326" s="134" t="n">
        <f aca="false">LEN('Saisie programme'!$G$291)+SUMIFS('Vols additionnels'!$E$7:$E$66,'Vols additionnels'!$C$7:$C$66,$E8326,'Vols additionnels'!$D$7:$D$66,$F8326,'Vols additionnels'!$B$7:$B$66,$D8326)</f>
        <v>0</v>
      </c>
      <c r="H8326" s="135" t="n">
        <f aca="false">$G8326*'Analyse capacite'!$F$9</f>
        <v>0</v>
      </c>
      <c r="I8326" s="135" t="n">
        <f aca="false">$G8326*'Analyse capacite'!$C$9</f>
        <v>0</v>
      </c>
      <c r="J8326" s="135" t="n">
        <f aca="false">$G8326*'Analyse capacite'!$D$9</f>
        <v>0</v>
      </c>
      <c r="K8326" s="135" t="n">
        <f aca="false">$G8326*'Analyse capacite'!$E$9</f>
        <v>0</v>
      </c>
    </row>
    <row r="8327" customFormat="false" ht="15" hidden="false" customHeight="false" outlineLevel="0" collapsed="false">
      <c r="B8327" s="130" t="n">
        <v>2027</v>
      </c>
      <c r="C8327" s="131" t="s">
        <v>253</v>
      </c>
      <c r="D8327" s="132" t="n">
        <v>46709</v>
      </c>
      <c r="E8327" s="131" t="s">
        <v>25</v>
      </c>
      <c r="F8327" s="133" t="s">
        <v>11</v>
      </c>
      <c r="G8327" s="134" t="n">
        <f aca="false">LEN('Saisie programme'!$G$292)+SUMIFS('Vols additionnels'!$E$7:$E$66,'Vols additionnels'!$C$7:$C$66,$E8327,'Vols additionnels'!$D$7:$D$66,$F8327,'Vols additionnels'!$B$7:$B$66,$D8327)</f>
        <v>0</v>
      </c>
      <c r="H8327" s="135" t="n">
        <f aca="false">$G8327*'Analyse capacite'!$F$7</f>
        <v>0</v>
      </c>
      <c r="I8327" s="135" t="n">
        <f aca="false">$G8327*'Analyse capacite'!$C$7</f>
        <v>0</v>
      </c>
      <c r="J8327" s="135" t="n">
        <f aca="false">$G8327*'Analyse capacite'!$D$7</f>
        <v>0</v>
      </c>
      <c r="K8327" s="135" t="n">
        <f aca="false">$G8327*'Analyse capacite'!$E$7</f>
        <v>0</v>
      </c>
    </row>
    <row r="8328" customFormat="false" ht="15" hidden="false" customHeight="false" outlineLevel="0" collapsed="false">
      <c r="B8328" s="130" t="n">
        <v>2027</v>
      </c>
      <c r="C8328" s="131" t="s">
        <v>253</v>
      </c>
      <c r="D8328" s="132" t="n">
        <v>46709</v>
      </c>
      <c r="E8328" s="131" t="s">
        <v>25</v>
      </c>
      <c r="F8328" s="133" t="s">
        <v>19</v>
      </c>
      <c r="G8328" s="134" t="n">
        <f aca="false">LEN('Saisie programme'!$G$293)+SUMIFS('Vols additionnels'!$E$7:$E$66,'Vols additionnels'!$C$7:$C$66,$E8328,'Vols additionnels'!$D$7:$D$66,$F8328,'Vols additionnels'!$B$7:$B$66,$D8328)</f>
        <v>0</v>
      </c>
      <c r="H8328" s="135" t="n">
        <f aca="false">$G8328*'Analyse capacite'!$F$8</f>
        <v>0</v>
      </c>
      <c r="I8328" s="135" t="n">
        <f aca="false">$G8328*'Analyse capacite'!$C$8</f>
        <v>0</v>
      </c>
      <c r="J8328" s="135" t="n">
        <f aca="false">$G8328*'Analyse capacite'!$D$8</f>
        <v>0</v>
      </c>
      <c r="K8328" s="135" t="n">
        <f aca="false">$G8328*'Analyse capacite'!$E$8</f>
        <v>0</v>
      </c>
    </row>
    <row r="8329" customFormat="false" ht="15" hidden="false" customHeight="false" outlineLevel="0" collapsed="false">
      <c r="B8329" s="130" t="n">
        <v>2027</v>
      </c>
      <c r="C8329" s="131" t="s">
        <v>253</v>
      </c>
      <c r="D8329" s="132" t="n">
        <v>46709</v>
      </c>
      <c r="E8329" s="131" t="s">
        <v>25</v>
      </c>
      <c r="F8329" s="133" t="s">
        <v>24</v>
      </c>
      <c r="G8329" s="134" t="n">
        <f aca="false">LEN('Saisie programme'!$G$294)+SUMIFS('Vols additionnels'!$E$7:$E$66,'Vols additionnels'!$C$7:$C$66,$E8329,'Vols additionnels'!$D$7:$D$66,$F8329,'Vols additionnels'!$B$7:$B$66,$D8329)</f>
        <v>0</v>
      </c>
      <c r="H8329" s="135" t="n">
        <f aca="false">$G8329*'Analyse capacite'!$F$9</f>
        <v>0</v>
      </c>
      <c r="I8329" s="135" t="n">
        <f aca="false">$G8329*'Analyse capacite'!$C$9</f>
        <v>0</v>
      </c>
      <c r="J8329" s="135" t="n">
        <f aca="false">$G8329*'Analyse capacite'!$D$9</f>
        <v>0</v>
      </c>
      <c r="K8329" s="135" t="n">
        <f aca="false">$G8329*'Analyse capacite'!$E$9</f>
        <v>0</v>
      </c>
    </row>
    <row r="8330" customFormat="false" ht="15" hidden="false" customHeight="false" outlineLevel="0" collapsed="false">
      <c r="B8330" s="130" t="n">
        <v>2027</v>
      </c>
      <c r="C8330" s="131" t="s">
        <v>253</v>
      </c>
      <c r="D8330" s="132" t="n">
        <v>46709</v>
      </c>
      <c r="E8330" s="131" t="s">
        <v>36</v>
      </c>
      <c r="F8330" s="133" t="s">
        <v>11</v>
      </c>
      <c r="G8330" s="134" t="n">
        <f aca="false">LEN('Saisie programme'!$G$295)+SUMIFS('Vols additionnels'!$E$7:$E$66,'Vols additionnels'!$C$7:$C$66,$E8330,'Vols additionnels'!$D$7:$D$66,$F8330,'Vols additionnels'!$B$7:$B$66,$D8330)</f>
        <v>0</v>
      </c>
      <c r="H8330" s="135" t="n">
        <f aca="false">$G8330*'Analyse capacite'!$F$7</f>
        <v>0</v>
      </c>
      <c r="I8330" s="135" t="n">
        <f aca="false">$G8330*'Analyse capacite'!$C$7</f>
        <v>0</v>
      </c>
      <c r="J8330" s="135" t="n">
        <f aca="false">$G8330*'Analyse capacite'!$D$7</f>
        <v>0</v>
      </c>
      <c r="K8330" s="135" t="n">
        <f aca="false">$G8330*'Analyse capacite'!$E$7</f>
        <v>0</v>
      </c>
    </row>
    <row r="8331" customFormat="false" ht="15" hidden="false" customHeight="false" outlineLevel="0" collapsed="false">
      <c r="B8331" s="130" t="n">
        <v>2027</v>
      </c>
      <c r="C8331" s="131" t="s">
        <v>253</v>
      </c>
      <c r="D8331" s="132" t="n">
        <v>46709</v>
      </c>
      <c r="E8331" s="131" t="s">
        <v>36</v>
      </c>
      <c r="F8331" s="133" t="s">
        <v>19</v>
      </c>
      <c r="G8331" s="134" t="n">
        <f aca="false">LEN('Saisie programme'!$G$296)+SUMIFS('Vols additionnels'!$E$7:$E$66,'Vols additionnels'!$C$7:$C$66,$E8331,'Vols additionnels'!$D$7:$D$66,$F8331,'Vols additionnels'!$B$7:$B$66,$D8331)</f>
        <v>0</v>
      </c>
      <c r="H8331" s="135" t="n">
        <f aca="false">$G8331*'Analyse capacite'!$F$8</f>
        <v>0</v>
      </c>
      <c r="I8331" s="135" t="n">
        <f aca="false">$G8331*'Analyse capacite'!$C$8</f>
        <v>0</v>
      </c>
      <c r="J8331" s="135" t="n">
        <f aca="false">$G8331*'Analyse capacite'!$D$8</f>
        <v>0</v>
      </c>
      <c r="K8331" s="135" t="n">
        <f aca="false">$G8331*'Analyse capacite'!$E$8</f>
        <v>0</v>
      </c>
    </row>
    <row r="8332" customFormat="false" ht="15" hidden="false" customHeight="false" outlineLevel="0" collapsed="false">
      <c r="B8332" s="130" t="n">
        <v>2027</v>
      </c>
      <c r="C8332" s="131" t="s">
        <v>253</v>
      </c>
      <c r="D8332" s="132" t="n">
        <v>46709</v>
      </c>
      <c r="E8332" s="131" t="s">
        <v>36</v>
      </c>
      <c r="F8332" s="133" t="s">
        <v>24</v>
      </c>
      <c r="G8332" s="134" t="n">
        <f aca="false">LEN('Saisie programme'!$G$297)+SUMIFS('Vols additionnels'!$E$7:$E$66,'Vols additionnels'!$C$7:$C$66,$E8332,'Vols additionnels'!$D$7:$D$66,$F8332,'Vols additionnels'!$B$7:$B$66,$D8332)</f>
        <v>1</v>
      </c>
      <c r="H8332" s="135" t="n">
        <f aca="false">$G8332*'Analyse capacite'!$F$9</f>
        <v>174</v>
      </c>
      <c r="I8332" s="135" t="n">
        <f aca="false">$G8332*'Analyse capacite'!$C$9</f>
        <v>0</v>
      </c>
      <c r="J8332" s="135" t="n">
        <f aca="false">$G8332*'Analyse capacite'!$D$9</f>
        <v>12</v>
      </c>
      <c r="K8332" s="135" t="n">
        <f aca="false">$G8332*'Analyse capacite'!$E$9</f>
        <v>162</v>
      </c>
    </row>
    <row r="8333" customFormat="false" ht="15" hidden="false" customHeight="false" outlineLevel="0" collapsed="false">
      <c r="B8333" s="130" t="n">
        <v>2027</v>
      </c>
      <c r="C8333" s="131" t="s">
        <v>253</v>
      </c>
      <c r="D8333" s="132" t="n">
        <v>46709</v>
      </c>
      <c r="E8333" s="131" t="s">
        <v>40</v>
      </c>
      <c r="F8333" s="133" t="s">
        <v>11</v>
      </c>
      <c r="G8333" s="134" t="n">
        <f aca="false">LEN('Saisie programme'!$G$298)+SUMIFS('Vols additionnels'!$E$7:$E$66,'Vols additionnels'!$C$7:$C$66,$E8333,'Vols additionnels'!$D$7:$D$66,$F8333,'Vols additionnels'!$B$7:$B$66,$D8333)</f>
        <v>0</v>
      </c>
      <c r="H8333" s="135" t="n">
        <f aca="false">$G8333*'Analyse capacite'!$F$7</f>
        <v>0</v>
      </c>
      <c r="I8333" s="135" t="n">
        <f aca="false">$G8333*'Analyse capacite'!$C$7</f>
        <v>0</v>
      </c>
      <c r="J8333" s="135" t="n">
        <f aca="false">$G8333*'Analyse capacite'!$D$7</f>
        <v>0</v>
      </c>
      <c r="K8333" s="135" t="n">
        <f aca="false">$G8333*'Analyse capacite'!$E$7</f>
        <v>0</v>
      </c>
    </row>
    <row r="8334" customFormat="false" ht="15" hidden="false" customHeight="false" outlineLevel="0" collapsed="false">
      <c r="B8334" s="130" t="n">
        <v>2027</v>
      </c>
      <c r="C8334" s="131" t="s">
        <v>253</v>
      </c>
      <c r="D8334" s="132" t="n">
        <v>46709</v>
      </c>
      <c r="E8334" s="131" t="s">
        <v>40</v>
      </c>
      <c r="F8334" s="133" t="s">
        <v>19</v>
      </c>
      <c r="G8334" s="134" t="n">
        <f aca="false">LEN('Saisie programme'!$G$299)+SUMIFS('Vols additionnels'!$E$7:$E$66,'Vols additionnels'!$C$7:$C$66,$E8334,'Vols additionnels'!$D$7:$D$66,$F8334,'Vols additionnels'!$B$7:$B$66,$D8334)</f>
        <v>0</v>
      </c>
      <c r="H8334" s="135" t="n">
        <f aca="false">$G8334*'Analyse capacite'!$F$8</f>
        <v>0</v>
      </c>
      <c r="I8334" s="135" t="n">
        <f aca="false">$G8334*'Analyse capacite'!$C$8</f>
        <v>0</v>
      </c>
      <c r="J8334" s="135" t="n">
        <f aca="false">$G8334*'Analyse capacite'!$D$8</f>
        <v>0</v>
      </c>
      <c r="K8334" s="135" t="n">
        <f aca="false">$G8334*'Analyse capacite'!$E$8</f>
        <v>0</v>
      </c>
    </row>
    <row r="8335" customFormat="false" ht="15" hidden="false" customHeight="false" outlineLevel="0" collapsed="false">
      <c r="B8335" s="130" t="n">
        <v>2027</v>
      </c>
      <c r="C8335" s="131" t="s">
        <v>253</v>
      </c>
      <c r="D8335" s="132" t="n">
        <v>46709</v>
      </c>
      <c r="E8335" s="131" t="s">
        <v>40</v>
      </c>
      <c r="F8335" s="133" t="s">
        <v>24</v>
      </c>
      <c r="G8335" s="134" t="n">
        <f aca="false">LEN('Saisie programme'!$G$300)+SUMIFS('Vols additionnels'!$E$7:$E$66,'Vols additionnels'!$C$7:$C$66,$E8335,'Vols additionnels'!$D$7:$D$66,$F8335,'Vols additionnels'!$B$7:$B$66,$D8335)</f>
        <v>0</v>
      </c>
      <c r="H8335" s="135" t="n">
        <f aca="false">$G8335*'Analyse capacite'!$F$9</f>
        <v>0</v>
      </c>
      <c r="I8335" s="135" t="n">
        <f aca="false">$G8335*'Analyse capacite'!$C$9</f>
        <v>0</v>
      </c>
      <c r="J8335" s="135" t="n">
        <f aca="false">$G8335*'Analyse capacite'!$D$9</f>
        <v>0</v>
      </c>
      <c r="K8335" s="135" t="n">
        <f aca="false">$G8335*'Analyse capacite'!$E$9</f>
        <v>0</v>
      </c>
    </row>
    <row r="8336" customFormat="false" ht="15" hidden="false" customHeight="false" outlineLevel="0" collapsed="false">
      <c r="B8336" s="130" t="n">
        <v>2027</v>
      </c>
      <c r="C8336" s="131" t="s">
        <v>253</v>
      </c>
      <c r="D8336" s="132" t="n">
        <v>46709</v>
      </c>
      <c r="E8336" s="131" t="s">
        <v>14</v>
      </c>
      <c r="F8336" s="133" t="s">
        <v>11</v>
      </c>
      <c r="G8336" s="134" t="n">
        <f aca="false">LEN('Saisie programme'!$G$301)+SUMIFS('Vols additionnels'!$E$7:$E$66,'Vols additionnels'!$C$7:$C$66,$E8336,'Vols additionnels'!$D$7:$D$66,$F8336,'Vols additionnels'!$B$7:$B$66,$D8336)</f>
        <v>0</v>
      </c>
      <c r="H8336" s="135" t="n">
        <f aca="false">$G8336*'Analyse capacite'!$F$7</f>
        <v>0</v>
      </c>
      <c r="I8336" s="135" t="n">
        <f aca="false">$G8336*'Analyse capacite'!$C$7</f>
        <v>0</v>
      </c>
      <c r="J8336" s="135" t="n">
        <f aca="false">$G8336*'Analyse capacite'!$D$7</f>
        <v>0</v>
      </c>
      <c r="K8336" s="135" t="n">
        <f aca="false">$G8336*'Analyse capacite'!$E$7</f>
        <v>0</v>
      </c>
    </row>
    <row r="8337" customFormat="false" ht="15" hidden="false" customHeight="false" outlineLevel="0" collapsed="false">
      <c r="B8337" s="130" t="n">
        <v>2027</v>
      </c>
      <c r="C8337" s="131" t="s">
        <v>253</v>
      </c>
      <c r="D8337" s="132" t="n">
        <v>46709</v>
      </c>
      <c r="E8337" s="131" t="s">
        <v>14</v>
      </c>
      <c r="F8337" s="133" t="s">
        <v>19</v>
      </c>
      <c r="G8337" s="134" t="n">
        <f aca="false">LEN('Saisie programme'!$G$302)+SUMIFS('Vols additionnels'!$E$7:$E$66,'Vols additionnels'!$C$7:$C$66,$E8337,'Vols additionnels'!$D$7:$D$66,$F8337,'Vols additionnels'!$B$7:$B$66,$D8337)</f>
        <v>0</v>
      </c>
      <c r="H8337" s="135" t="n">
        <f aca="false">$G8337*'Analyse capacite'!$F$8</f>
        <v>0</v>
      </c>
      <c r="I8337" s="135" t="n">
        <f aca="false">$G8337*'Analyse capacite'!$C$8</f>
        <v>0</v>
      </c>
      <c r="J8337" s="135" t="n">
        <f aca="false">$G8337*'Analyse capacite'!$D$8</f>
        <v>0</v>
      </c>
      <c r="K8337" s="135" t="n">
        <f aca="false">$G8337*'Analyse capacite'!$E$8</f>
        <v>0</v>
      </c>
    </row>
    <row r="8338" customFormat="false" ht="15" hidden="false" customHeight="false" outlineLevel="0" collapsed="false">
      <c r="B8338" s="130" t="n">
        <v>2027</v>
      </c>
      <c r="C8338" s="131" t="s">
        <v>253</v>
      </c>
      <c r="D8338" s="132" t="n">
        <v>46709</v>
      </c>
      <c r="E8338" s="131" t="s">
        <v>14</v>
      </c>
      <c r="F8338" s="133" t="s">
        <v>24</v>
      </c>
      <c r="G8338" s="134" t="n">
        <f aca="false">LEN('Saisie programme'!$G$303)+SUMIFS('Vols additionnels'!$E$7:$E$66,'Vols additionnels'!$C$7:$C$66,$E8338,'Vols additionnels'!$D$7:$D$66,$F8338,'Vols additionnels'!$B$7:$B$66,$D8338)</f>
        <v>1</v>
      </c>
      <c r="H8338" s="135" t="n">
        <f aca="false">$G8338*'Analyse capacite'!$F$9</f>
        <v>174</v>
      </c>
      <c r="I8338" s="135" t="n">
        <f aca="false">$G8338*'Analyse capacite'!$C$9</f>
        <v>0</v>
      </c>
      <c r="J8338" s="135" t="n">
        <f aca="false">$G8338*'Analyse capacite'!$D$9</f>
        <v>12</v>
      </c>
      <c r="K8338" s="135" t="n">
        <f aca="false">$G8338*'Analyse capacite'!$E$9</f>
        <v>162</v>
      </c>
    </row>
    <row r="8339" customFormat="false" ht="15" hidden="false" customHeight="false" outlineLevel="0" collapsed="false">
      <c r="B8339" s="130" t="n">
        <v>2027</v>
      </c>
      <c r="C8339" s="131" t="s">
        <v>253</v>
      </c>
      <c r="D8339" s="132" t="n">
        <v>46709</v>
      </c>
      <c r="E8339" s="131" t="s">
        <v>46</v>
      </c>
      <c r="F8339" s="133" t="s">
        <v>11</v>
      </c>
      <c r="G8339" s="134" t="n">
        <f aca="false">LEN('Saisie programme'!$G$304)+SUMIFS('Vols additionnels'!$E$7:$E$66,'Vols additionnels'!$C$7:$C$66,$E8339,'Vols additionnels'!$D$7:$D$66,$F8339,'Vols additionnels'!$B$7:$B$66,$D8339)</f>
        <v>0</v>
      </c>
      <c r="H8339" s="135" t="n">
        <f aca="false">$G8339*'Analyse capacite'!$F$7</f>
        <v>0</v>
      </c>
      <c r="I8339" s="135" t="n">
        <f aca="false">$G8339*'Analyse capacite'!$C$7</f>
        <v>0</v>
      </c>
      <c r="J8339" s="135" t="n">
        <f aca="false">$G8339*'Analyse capacite'!$D$7</f>
        <v>0</v>
      </c>
      <c r="K8339" s="135" t="n">
        <f aca="false">$G8339*'Analyse capacite'!$E$7</f>
        <v>0</v>
      </c>
    </row>
    <row r="8340" customFormat="false" ht="15" hidden="false" customHeight="false" outlineLevel="0" collapsed="false">
      <c r="B8340" s="130" t="n">
        <v>2027</v>
      </c>
      <c r="C8340" s="131" t="s">
        <v>253</v>
      </c>
      <c r="D8340" s="132" t="n">
        <v>46709</v>
      </c>
      <c r="E8340" s="131" t="s">
        <v>46</v>
      </c>
      <c r="F8340" s="133" t="s">
        <v>19</v>
      </c>
      <c r="G8340" s="134" t="n">
        <f aca="false">LEN('Saisie programme'!$G$305)+SUMIFS('Vols additionnels'!$E$7:$E$66,'Vols additionnels'!$C$7:$C$66,$E8340,'Vols additionnels'!$D$7:$D$66,$F8340,'Vols additionnels'!$B$7:$B$66,$D8340)</f>
        <v>0</v>
      </c>
      <c r="H8340" s="135" t="n">
        <f aca="false">$G8340*'Analyse capacite'!$F$8</f>
        <v>0</v>
      </c>
      <c r="I8340" s="135" t="n">
        <f aca="false">$G8340*'Analyse capacite'!$C$8</f>
        <v>0</v>
      </c>
      <c r="J8340" s="135" t="n">
        <f aca="false">$G8340*'Analyse capacite'!$D$8</f>
        <v>0</v>
      </c>
      <c r="K8340" s="135" t="n">
        <f aca="false">$G8340*'Analyse capacite'!$E$8</f>
        <v>0</v>
      </c>
    </row>
    <row r="8341" customFormat="false" ht="15" hidden="false" customHeight="false" outlineLevel="0" collapsed="false">
      <c r="B8341" s="130" t="n">
        <v>2027</v>
      </c>
      <c r="C8341" s="131" t="s">
        <v>253</v>
      </c>
      <c r="D8341" s="132" t="n">
        <v>46709</v>
      </c>
      <c r="E8341" s="131" t="s">
        <v>46</v>
      </c>
      <c r="F8341" s="133" t="s">
        <v>24</v>
      </c>
      <c r="G8341" s="134" t="n">
        <f aca="false">LEN('Saisie programme'!$G$306)+SUMIFS('Vols additionnels'!$E$7:$E$66,'Vols additionnels'!$C$7:$C$66,$E8341,'Vols additionnels'!$D$7:$D$66,$F8341,'Vols additionnels'!$B$7:$B$66,$D8341)</f>
        <v>1</v>
      </c>
      <c r="H8341" s="135" t="n">
        <f aca="false">$G8341*'Analyse capacite'!$F$9</f>
        <v>174</v>
      </c>
      <c r="I8341" s="135" t="n">
        <f aca="false">$G8341*'Analyse capacite'!$C$9</f>
        <v>0</v>
      </c>
      <c r="J8341" s="135" t="n">
        <f aca="false">$G8341*'Analyse capacite'!$D$9</f>
        <v>12</v>
      </c>
      <c r="K8341" s="135" t="n">
        <f aca="false">$G8341*'Analyse capacite'!$E$9</f>
        <v>162</v>
      </c>
    </row>
    <row r="8342" customFormat="false" ht="15" hidden="false" customHeight="false" outlineLevel="0" collapsed="false">
      <c r="B8342" s="130" t="n">
        <v>2027</v>
      </c>
      <c r="C8342" s="131" t="s">
        <v>253</v>
      </c>
      <c r="D8342" s="132" t="n">
        <v>46709</v>
      </c>
      <c r="E8342" s="131" t="s">
        <v>49</v>
      </c>
      <c r="F8342" s="133" t="s">
        <v>11</v>
      </c>
      <c r="G8342" s="134" t="n">
        <f aca="false">LEN('Saisie programme'!$G$307)+SUMIFS('Vols additionnels'!$E$7:$E$66,'Vols additionnels'!$C$7:$C$66,$E8342,'Vols additionnels'!$D$7:$D$66,$F8342,'Vols additionnels'!$B$7:$B$66,$D8342)</f>
        <v>0</v>
      </c>
      <c r="H8342" s="135" t="n">
        <f aca="false">$G8342*'Analyse capacite'!$F$7</f>
        <v>0</v>
      </c>
      <c r="I8342" s="135" t="n">
        <f aca="false">$G8342*'Analyse capacite'!$C$7</f>
        <v>0</v>
      </c>
      <c r="J8342" s="135" t="n">
        <f aca="false">$G8342*'Analyse capacite'!$D$7</f>
        <v>0</v>
      </c>
      <c r="K8342" s="135" t="n">
        <f aca="false">$G8342*'Analyse capacite'!$E$7</f>
        <v>0</v>
      </c>
    </row>
    <row r="8343" customFormat="false" ht="15" hidden="false" customHeight="false" outlineLevel="0" collapsed="false">
      <c r="B8343" s="130" t="n">
        <v>2027</v>
      </c>
      <c r="C8343" s="131" t="s">
        <v>253</v>
      </c>
      <c r="D8343" s="132" t="n">
        <v>46709</v>
      </c>
      <c r="E8343" s="131" t="s">
        <v>49</v>
      </c>
      <c r="F8343" s="133" t="s">
        <v>19</v>
      </c>
      <c r="G8343" s="134" t="n">
        <f aca="false">LEN('Saisie programme'!$G$308)+SUMIFS('Vols additionnels'!$E$7:$E$66,'Vols additionnels'!$C$7:$C$66,$E8343,'Vols additionnels'!$D$7:$D$66,$F8343,'Vols additionnels'!$B$7:$B$66,$D8343)</f>
        <v>0</v>
      </c>
      <c r="H8343" s="135" t="n">
        <f aca="false">$G8343*'Analyse capacite'!$F$8</f>
        <v>0</v>
      </c>
      <c r="I8343" s="135" t="n">
        <f aca="false">$G8343*'Analyse capacite'!$C$8</f>
        <v>0</v>
      </c>
      <c r="J8343" s="135" t="n">
        <f aca="false">$G8343*'Analyse capacite'!$D$8</f>
        <v>0</v>
      </c>
      <c r="K8343" s="135" t="n">
        <f aca="false">$G8343*'Analyse capacite'!$E$8</f>
        <v>0</v>
      </c>
    </row>
    <row r="8344" customFormat="false" ht="15" hidden="false" customHeight="false" outlineLevel="0" collapsed="false">
      <c r="B8344" s="130" t="n">
        <v>2027</v>
      </c>
      <c r="C8344" s="131" t="s">
        <v>253</v>
      </c>
      <c r="D8344" s="132" t="n">
        <v>46709</v>
      </c>
      <c r="E8344" s="131" t="s">
        <v>49</v>
      </c>
      <c r="F8344" s="133" t="s">
        <v>24</v>
      </c>
      <c r="G8344" s="134" t="n">
        <f aca="false">LEN('Saisie programme'!$G$309)+SUMIFS('Vols additionnels'!$E$7:$E$66,'Vols additionnels'!$C$7:$C$66,$E8344,'Vols additionnels'!$D$7:$D$66,$F8344,'Vols additionnels'!$B$7:$B$66,$D8344)</f>
        <v>0</v>
      </c>
      <c r="H8344" s="135" t="n">
        <f aca="false">$G8344*'Analyse capacite'!$F$9</f>
        <v>0</v>
      </c>
      <c r="I8344" s="135" t="n">
        <f aca="false">$G8344*'Analyse capacite'!$C$9</f>
        <v>0</v>
      </c>
      <c r="J8344" s="135" t="n">
        <f aca="false">$G8344*'Analyse capacite'!$D$9</f>
        <v>0</v>
      </c>
      <c r="K8344" s="135" t="n">
        <f aca="false">$G8344*'Analyse capacite'!$E$9</f>
        <v>0</v>
      </c>
    </row>
    <row r="8345" customFormat="false" ht="15" hidden="false" customHeight="false" outlineLevel="0" collapsed="false">
      <c r="B8345" s="130" t="n">
        <v>2027</v>
      </c>
      <c r="C8345" s="131" t="s">
        <v>253</v>
      </c>
      <c r="D8345" s="132" t="n">
        <v>46709</v>
      </c>
      <c r="E8345" s="131" t="s">
        <v>53</v>
      </c>
      <c r="F8345" s="133" t="s">
        <v>11</v>
      </c>
      <c r="G8345" s="134" t="n">
        <f aca="false">LEN('Saisie programme'!$G$310)+SUMIFS('Vols additionnels'!$E$7:$E$66,'Vols additionnels'!$C$7:$C$66,$E8345,'Vols additionnels'!$D$7:$D$66,$F8345,'Vols additionnels'!$B$7:$B$66,$D8345)</f>
        <v>0</v>
      </c>
      <c r="H8345" s="135" t="n">
        <f aca="false">$G8345*'Analyse capacite'!$F$7</f>
        <v>0</v>
      </c>
      <c r="I8345" s="135" t="n">
        <f aca="false">$G8345*'Analyse capacite'!$C$7</f>
        <v>0</v>
      </c>
      <c r="J8345" s="135" t="n">
        <f aca="false">$G8345*'Analyse capacite'!$D$7</f>
        <v>0</v>
      </c>
      <c r="K8345" s="135" t="n">
        <f aca="false">$G8345*'Analyse capacite'!$E$7</f>
        <v>0</v>
      </c>
    </row>
    <row r="8346" customFormat="false" ht="15" hidden="false" customHeight="false" outlineLevel="0" collapsed="false">
      <c r="B8346" s="130" t="n">
        <v>2027</v>
      </c>
      <c r="C8346" s="131" t="s">
        <v>253</v>
      </c>
      <c r="D8346" s="132" t="n">
        <v>46709</v>
      </c>
      <c r="E8346" s="131" t="s">
        <v>53</v>
      </c>
      <c r="F8346" s="133" t="s">
        <v>19</v>
      </c>
      <c r="G8346" s="134" t="n">
        <f aca="false">LEN('Saisie programme'!$G$311)+SUMIFS('Vols additionnels'!$E$7:$E$66,'Vols additionnels'!$C$7:$C$66,$E8346,'Vols additionnels'!$D$7:$D$66,$F8346,'Vols additionnels'!$B$7:$B$66,$D8346)</f>
        <v>1</v>
      </c>
      <c r="H8346" s="135" t="n">
        <f aca="false">$G8346*'Analyse capacite'!$F$8</f>
        <v>262</v>
      </c>
      <c r="I8346" s="135" t="n">
        <f aca="false">$G8346*'Analyse capacite'!$C$8</f>
        <v>18</v>
      </c>
      <c r="J8346" s="135" t="n">
        <f aca="false">$G8346*'Analyse capacite'!$D$8</f>
        <v>0</v>
      </c>
      <c r="K8346" s="135" t="n">
        <f aca="false">$G8346*'Analyse capacite'!$E$8</f>
        <v>244</v>
      </c>
    </row>
    <row r="8347" customFormat="false" ht="15" hidden="false" customHeight="false" outlineLevel="0" collapsed="false">
      <c r="B8347" s="130" t="n">
        <v>2027</v>
      </c>
      <c r="C8347" s="131" t="s">
        <v>253</v>
      </c>
      <c r="D8347" s="132" t="n">
        <v>46709</v>
      </c>
      <c r="E8347" s="131" t="s">
        <v>53</v>
      </c>
      <c r="F8347" s="133" t="s">
        <v>24</v>
      </c>
      <c r="G8347" s="134" t="n">
        <f aca="false">LEN('Saisie programme'!$G$312)+SUMIFS('Vols additionnels'!$E$7:$E$66,'Vols additionnels'!$C$7:$C$66,$E8347,'Vols additionnels'!$D$7:$D$66,$F8347,'Vols additionnels'!$B$7:$B$66,$D8347)</f>
        <v>0</v>
      </c>
      <c r="H8347" s="135" t="n">
        <f aca="false">$G8347*'Analyse capacite'!$F$9</f>
        <v>0</v>
      </c>
      <c r="I8347" s="135" t="n">
        <f aca="false">$G8347*'Analyse capacite'!$C$9</f>
        <v>0</v>
      </c>
      <c r="J8347" s="135" t="n">
        <f aca="false">$G8347*'Analyse capacite'!$D$9</f>
        <v>0</v>
      </c>
      <c r="K8347" s="135" t="n">
        <f aca="false">$G8347*'Analyse capacite'!$E$9</f>
        <v>0</v>
      </c>
    </row>
    <row r="8348" customFormat="false" ht="15" hidden="false" customHeight="false" outlineLevel="0" collapsed="false">
      <c r="B8348" s="130" t="n">
        <v>2027</v>
      </c>
      <c r="C8348" s="131" t="s">
        <v>253</v>
      </c>
      <c r="D8348" s="132" t="n">
        <v>46709</v>
      </c>
      <c r="E8348" s="131" t="s">
        <v>56</v>
      </c>
      <c r="F8348" s="133" t="s">
        <v>11</v>
      </c>
      <c r="G8348" s="134" t="n">
        <f aca="false">LEN('Saisie programme'!$G$313)+SUMIFS('Vols additionnels'!$E$7:$E$66,'Vols additionnels'!$C$7:$C$66,$E8348,'Vols additionnels'!$D$7:$D$66,$F8348,'Vols additionnels'!$B$7:$B$66,$D8348)</f>
        <v>0</v>
      </c>
      <c r="H8348" s="135" t="n">
        <f aca="false">$G8348*'Analyse capacite'!$F$7</f>
        <v>0</v>
      </c>
      <c r="I8348" s="135" t="n">
        <f aca="false">$G8348*'Analyse capacite'!$C$7</f>
        <v>0</v>
      </c>
      <c r="J8348" s="135" t="n">
        <f aca="false">$G8348*'Analyse capacite'!$D$7</f>
        <v>0</v>
      </c>
      <c r="K8348" s="135" t="n">
        <f aca="false">$G8348*'Analyse capacite'!$E$7</f>
        <v>0</v>
      </c>
    </row>
    <row r="8349" customFormat="false" ht="15" hidden="false" customHeight="false" outlineLevel="0" collapsed="false">
      <c r="B8349" s="130" t="n">
        <v>2027</v>
      </c>
      <c r="C8349" s="131" t="s">
        <v>253</v>
      </c>
      <c r="D8349" s="132" t="n">
        <v>46709</v>
      </c>
      <c r="E8349" s="131" t="s">
        <v>56</v>
      </c>
      <c r="F8349" s="133" t="s">
        <v>19</v>
      </c>
      <c r="G8349" s="134" t="n">
        <f aca="false">LEN('Saisie programme'!$G$314)+SUMIFS('Vols additionnels'!$E$7:$E$66,'Vols additionnels'!$C$7:$C$66,$E8349,'Vols additionnels'!$D$7:$D$66,$F8349,'Vols additionnels'!$B$7:$B$66,$D8349)</f>
        <v>0</v>
      </c>
      <c r="H8349" s="135" t="n">
        <f aca="false">$G8349*'Analyse capacite'!$F$8</f>
        <v>0</v>
      </c>
      <c r="I8349" s="135" t="n">
        <f aca="false">$G8349*'Analyse capacite'!$C$8</f>
        <v>0</v>
      </c>
      <c r="J8349" s="135" t="n">
        <f aca="false">$G8349*'Analyse capacite'!$D$8</f>
        <v>0</v>
      </c>
      <c r="K8349" s="135" t="n">
        <f aca="false">$G8349*'Analyse capacite'!$E$8</f>
        <v>0</v>
      </c>
    </row>
    <row r="8350" customFormat="false" ht="15" hidden="false" customHeight="false" outlineLevel="0" collapsed="false">
      <c r="B8350" s="130" t="n">
        <v>2027</v>
      </c>
      <c r="C8350" s="131" t="s">
        <v>253</v>
      </c>
      <c r="D8350" s="132" t="n">
        <v>46709</v>
      </c>
      <c r="E8350" s="131" t="s">
        <v>56</v>
      </c>
      <c r="F8350" s="133" t="s">
        <v>24</v>
      </c>
      <c r="G8350" s="134" t="n">
        <f aca="false">LEN('Saisie programme'!$G$315)+SUMIFS('Vols additionnels'!$E$7:$E$66,'Vols additionnels'!$C$7:$C$66,$E8350,'Vols additionnels'!$D$7:$D$66,$F8350,'Vols additionnels'!$B$7:$B$66,$D8350)</f>
        <v>0</v>
      </c>
      <c r="H8350" s="135" t="n">
        <f aca="false">$G8350*'Analyse capacite'!$F$9</f>
        <v>0</v>
      </c>
      <c r="I8350" s="135" t="n">
        <f aca="false">$G8350*'Analyse capacite'!$C$9</f>
        <v>0</v>
      </c>
      <c r="J8350" s="135" t="n">
        <f aca="false">$G8350*'Analyse capacite'!$D$9</f>
        <v>0</v>
      </c>
      <c r="K8350" s="135" t="n">
        <f aca="false">$G8350*'Analyse capacite'!$E$9</f>
        <v>0</v>
      </c>
    </row>
    <row r="8351" customFormat="false" ht="15" hidden="false" customHeight="false" outlineLevel="0" collapsed="false">
      <c r="B8351" s="130" t="n">
        <v>2027</v>
      </c>
      <c r="C8351" s="131" t="s">
        <v>253</v>
      </c>
      <c r="D8351" s="132" t="n">
        <v>46709</v>
      </c>
      <c r="E8351" s="131" t="s">
        <v>59</v>
      </c>
      <c r="F8351" s="133" t="s">
        <v>11</v>
      </c>
      <c r="G8351" s="134" t="n">
        <f aca="false">LEN('Saisie programme'!$G$316)+SUMIFS('Vols additionnels'!$E$7:$E$66,'Vols additionnels'!$C$7:$C$66,$E8351,'Vols additionnels'!$D$7:$D$66,$F8351,'Vols additionnels'!$B$7:$B$66,$D8351)</f>
        <v>0</v>
      </c>
      <c r="H8351" s="135" t="n">
        <f aca="false">$G8351*'Analyse capacite'!$F$7</f>
        <v>0</v>
      </c>
      <c r="I8351" s="135" t="n">
        <f aca="false">$G8351*'Analyse capacite'!$C$7</f>
        <v>0</v>
      </c>
      <c r="J8351" s="135" t="n">
        <f aca="false">$G8351*'Analyse capacite'!$D$7</f>
        <v>0</v>
      </c>
      <c r="K8351" s="135" t="n">
        <f aca="false">$G8351*'Analyse capacite'!$E$7</f>
        <v>0</v>
      </c>
    </row>
    <row r="8352" customFormat="false" ht="15" hidden="false" customHeight="false" outlineLevel="0" collapsed="false">
      <c r="B8352" s="130" t="n">
        <v>2027</v>
      </c>
      <c r="C8352" s="131" t="s">
        <v>253</v>
      </c>
      <c r="D8352" s="132" t="n">
        <v>46709</v>
      </c>
      <c r="E8352" s="131" t="s">
        <v>59</v>
      </c>
      <c r="F8352" s="133" t="s">
        <v>19</v>
      </c>
      <c r="G8352" s="134" t="n">
        <f aca="false">LEN('Saisie programme'!$G$317)+SUMIFS('Vols additionnels'!$E$7:$E$66,'Vols additionnels'!$C$7:$C$66,$E8352,'Vols additionnels'!$D$7:$D$66,$F8352,'Vols additionnels'!$B$7:$B$66,$D8352)</f>
        <v>0</v>
      </c>
      <c r="H8352" s="135" t="n">
        <f aca="false">$G8352*'Analyse capacite'!$F$8</f>
        <v>0</v>
      </c>
      <c r="I8352" s="135" t="n">
        <f aca="false">$G8352*'Analyse capacite'!$C$8</f>
        <v>0</v>
      </c>
      <c r="J8352" s="135" t="n">
        <f aca="false">$G8352*'Analyse capacite'!$D$8</f>
        <v>0</v>
      </c>
      <c r="K8352" s="135" t="n">
        <f aca="false">$G8352*'Analyse capacite'!$E$8</f>
        <v>0</v>
      </c>
    </row>
    <row r="8353" customFormat="false" ht="15" hidden="false" customHeight="false" outlineLevel="0" collapsed="false">
      <c r="B8353" s="130" t="n">
        <v>2027</v>
      </c>
      <c r="C8353" s="131" t="s">
        <v>253</v>
      </c>
      <c r="D8353" s="132" t="n">
        <v>46709</v>
      </c>
      <c r="E8353" s="131" t="s">
        <v>59</v>
      </c>
      <c r="F8353" s="133" t="s">
        <v>24</v>
      </c>
      <c r="G8353" s="134" t="n">
        <f aca="false">LEN('Saisie programme'!$G$318)+SUMIFS('Vols additionnels'!$E$7:$E$66,'Vols additionnels'!$C$7:$C$66,$E8353,'Vols additionnels'!$D$7:$D$66,$F8353,'Vols additionnels'!$B$7:$B$66,$D8353)</f>
        <v>2</v>
      </c>
      <c r="H8353" s="135" t="n">
        <f aca="false">$G8353*'Analyse capacite'!$F$9</f>
        <v>348</v>
      </c>
      <c r="I8353" s="135" t="n">
        <f aca="false">$G8353*'Analyse capacite'!$C$9</f>
        <v>0</v>
      </c>
      <c r="J8353" s="135" t="n">
        <f aca="false">$G8353*'Analyse capacite'!$D$9</f>
        <v>24</v>
      </c>
      <c r="K8353" s="135" t="n">
        <f aca="false">$G8353*'Analyse capacite'!$E$9</f>
        <v>324</v>
      </c>
    </row>
    <row r="8354" customFormat="false" ht="15" hidden="false" customHeight="false" outlineLevel="0" collapsed="false">
      <c r="B8354" s="130" t="n">
        <v>2027</v>
      </c>
      <c r="C8354" s="131" t="s">
        <v>253</v>
      </c>
      <c r="D8354" s="132" t="n">
        <v>46709</v>
      </c>
      <c r="E8354" s="131" t="s">
        <v>62</v>
      </c>
      <c r="F8354" s="133" t="s">
        <v>11</v>
      </c>
      <c r="G8354" s="134" t="n">
        <f aca="false">LEN('Saisie programme'!$G$319)+SUMIFS('Vols additionnels'!$E$7:$E$66,'Vols additionnels'!$C$7:$C$66,$E8354,'Vols additionnels'!$D$7:$D$66,$F8354,'Vols additionnels'!$B$7:$B$66,$D8354)</f>
        <v>0</v>
      </c>
      <c r="H8354" s="135" t="n">
        <f aca="false">$G8354*'Analyse capacite'!$F$7</f>
        <v>0</v>
      </c>
      <c r="I8354" s="135" t="n">
        <f aca="false">$G8354*'Analyse capacite'!$C$7</f>
        <v>0</v>
      </c>
      <c r="J8354" s="135" t="n">
        <f aca="false">$G8354*'Analyse capacite'!$D$7</f>
        <v>0</v>
      </c>
      <c r="K8354" s="135" t="n">
        <f aca="false">$G8354*'Analyse capacite'!$E$7</f>
        <v>0</v>
      </c>
    </row>
    <row r="8355" customFormat="false" ht="15" hidden="false" customHeight="false" outlineLevel="0" collapsed="false">
      <c r="B8355" s="130" t="n">
        <v>2027</v>
      </c>
      <c r="C8355" s="131" t="s">
        <v>253</v>
      </c>
      <c r="D8355" s="132" t="n">
        <v>46709</v>
      </c>
      <c r="E8355" s="131" t="s">
        <v>62</v>
      </c>
      <c r="F8355" s="133" t="s">
        <v>19</v>
      </c>
      <c r="G8355" s="134" t="n">
        <f aca="false">LEN('Saisie programme'!$G$320)+SUMIFS('Vols additionnels'!$E$7:$E$66,'Vols additionnels'!$C$7:$C$66,$E8355,'Vols additionnels'!$D$7:$D$66,$F8355,'Vols additionnels'!$B$7:$B$66,$D8355)</f>
        <v>0</v>
      </c>
      <c r="H8355" s="135" t="n">
        <f aca="false">$G8355*'Analyse capacite'!$F$8</f>
        <v>0</v>
      </c>
      <c r="I8355" s="135" t="n">
        <f aca="false">$G8355*'Analyse capacite'!$C$8</f>
        <v>0</v>
      </c>
      <c r="J8355" s="135" t="n">
        <f aca="false">$G8355*'Analyse capacite'!$D$8</f>
        <v>0</v>
      </c>
      <c r="K8355" s="135" t="n">
        <f aca="false">$G8355*'Analyse capacite'!$E$8</f>
        <v>0</v>
      </c>
    </row>
    <row r="8356" customFormat="false" ht="15" hidden="false" customHeight="false" outlineLevel="0" collapsed="false">
      <c r="B8356" s="130" t="n">
        <v>2027</v>
      </c>
      <c r="C8356" s="131" t="s">
        <v>253</v>
      </c>
      <c r="D8356" s="132" t="n">
        <v>46709</v>
      </c>
      <c r="E8356" s="131" t="s">
        <v>62</v>
      </c>
      <c r="F8356" s="133" t="s">
        <v>24</v>
      </c>
      <c r="G8356" s="134" t="n">
        <f aca="false">LEN('Saisie programme'!$G$321)+SUMIFS('Vols additionnels'!$E$7:$E$66,'Vols additionnels'!$C$7:$C$66,$E8356,'Vols additionnels'!$D$7:$D$66,$F8356,'Vols additionnels'!$B$7:$B$66,$D8356)</f>
        <v>0</v>
      </c>
      <c r="H8356" s="135" t="n">
        <f aca="false">$G8356*'Analyse capacite'!$F$9</f>
        <v>0</v>
      </c>
      <c r="I8356" s="135" t="n">
        <f aca="false">$G8356*'Analyse capacite'!$C$9</f>
        <v>0</v>
      </c>
      <c r="J8356" s="135" t="n">
        <f aca="false">$G8356*'Analyse capacite'!$D$9</f>
        <v>0</v>
      </c>
      <c r="K8356" s="135" t="n">
        <f aca="false">$G8356*'Analyse capacite'!$E$9</f>
        <v>0</v>
      </c>
    </row>
    <row r="8357" customFormat="false" ht="15" hidden="false" customHeight="false" outlineLevel="0" collapsed="false">
      <c r="B8357" s="130" t="n">
        <v>2027</v>
      </c>
      <c r="C8357" s="131" t="s">
        <v>253</v>
      </c>
      <c r="D8357" s="132" t="n">
        <v>46710</v>
      </c>
      <c r="E8357" s="131" t="s">
        <v>12</v>
      </c>
      <c r="F8357" s="133" t="s">
        <v>11</v>
      </c>
      <c r="G8357" s="134" t="n">
        <f aca="false">LEN('Saisie programme'!$H$286)+SUMIFS('Vols additionnels'!$E$7:$E$66,'Vols additionnels'!$C$7:$C$66,$E8357,'Vols additionnels'!$D$7:$D$66,$F8357,'Vols additionnels'!$B$7:$B$66,$D8357)</f>
        <v>1</v>
      </c>
      <c r="H8357" s="135" t="n">
        <f aca="false">$G8357*'Analyse capacite'!$F$7</f>
        <v>438</v>
      </c>
      <c r="I8357" s="135" t="n">
        <f aca="false">$G8357*'Analyse capacite'!$C$7</f>
        <v>14</v>
      </c>
      <c r="J8357" s="135" t="n">
        <f aca="false">$G8357*'Analyse capacite'!$D$7</f>
        <v>40</v>
      </c>
      <c r="K8357" s="135" t="n">
        <f aca="false">$G8357*'Analyse capacite'!$E$7</f>
        <v>384</v>
      </c>
    </row>
    <row r="8358" customFormat="false" ht="15" hidden="false" customHeight="false" outlineLevel="0" collapsed="false">
      <c r="B8358" s="130" t="n">
        <v>2027</v>
      </c>
      <c r="C8358" s="131" t="s">
        <v>253</v>
      </c>
      <c r="D8358" s="132" t="n">
        <v>46710</v>
      </c>
      <c r="E8358" s="131" t="s">
        <v>12</v>
      </c>
      <c r="F8358" s="133" t="s">
        <v>19</v>
      </c>
      <c r="G8358" s="134" t="n">
        <f aca="false">LEN('Saisie programme'!$H$287)+SUMIFS('Vols additionnels'!$E$7:$E$66,'Vols additionnels'!$C$7:$C$66,$E8358,'Vols additionnels'!$D$7:$D$66,$F8358,'Vols additionnels'!$B$7:$B$66,$D8358)</f>
        <v>1</v>
      </c>
      <c r="H8358" s="135" t="n">
        <f aca="false">$G8358*'Analyse capacite'!$F$8</f>
        <v>262</v>
      </c>
      <c r="I8358" s="135" t="n">
        <f aca="false">$G8358*'Analyse capacite'!$C$8</f>
        <v>18</v>
      </c>
      <c r="J8358" s="135" t="n">
        <f aca="false">$G8358*'Analyse capacite'!$D$8</f>
        <v>0</v>
      </c>
      <c r="K8358" s="135" t="n">
        <f aca="false">$G8358*'Analyse capacite'!$E$8</f>
        <v>244</v>
      </c>
    </row>
    <row r="8359" customFormat="false" ht="15" hidden="false" customHeight="false" outlineLevel="0" collapsed="false">
      <c r="B8359" s="130" t="n">
        <v>2027</v>
      </c>
      <c r="C8359" s="131" t="s">
        <v>253</v>
      </c>
      <c r="D8359" s="132" t="n">
        <v>46710</v>
      </c>
      <c r="E8359" s="131" t="s">
        <v>12</v>
      </c>
      <c r="F8359" s="133" t="s">
        <v>24</v>
      </c>
      <c r="G8359" s="134" t="n">
        <f aca="false">LEN('Saisie programme'!$H$288)+SUMIFS('Vols additionnels'!$E$7:$E$66,'Vols additionnels'!$C$7:$C$66,$E8359,'Vols additionnels'!$D$7:$D$66,$F8359,'Vols additionnels'!$B$7:$B$66,$D8359)</f>
        <v>0</v>
      </c>
      <c r="H8359" s="135" t="n">
        <f aca="false">$G8359*'Analyse capacite'!$F$9</f>
        <v>0</v>
      </c>
      <c r="I8359" s="135" t="n">
        <f aca="false">$G8359*'Analyse capacite'!$C$9</f>
        <v>0</v>
      </c>
      <c r="J8359" s="135" t="n">
        <f aca="false">$G8359*'Analyse capacite'!$D$9</f>
        <v>0</v>
      </c>
      <c r="K8359" s="135" t="n">
        <f aca="false">$G8359*'Analyse capacite'!$E$9</f>
        <v>0</v>
      </c>
    </row>
    <row r="8360" customFormat="false" ht="15" hidden="false" customHeight="false" outlineLevel="0" collapsed="false">
      <c r="B8360" s="130" t="n">
        <v>2027</v>
      </c>
      <c r="C8360" s="131" t="s">
        <v>253</v>
      </c>
      <c r="D8360" s="132" t="n">
        <v>46710</v>
      </c>
      <c r="E8360" s="131" t="s">
        <v>20</v>
      </c>
      <c r="F8360" s="133" t="s">
        <v>11</v>
      </c>
      <c r="G8360" s="134" t="n">
        <f aca="false">LEN('Saisie programme'!$H$289)+SUMIFS('Vols additionnels'!$E$7:$E$66,'Vols additionnels'!$C$7:$C$66,$E8360,'Vols additionnels'!$D$7:$D$66,$F8360,'Vols additionnels'!$B$7:$B$66,$D8360)</f>
        <v>0</v>
      </c>
      <c r="H8360" s="135" t="n">
        <f aca="false">$G8360*'Analyse capacite'!$F$7</f>
        <v>0</v>
      </c>
      <c r="I8360" s="135" t="n">
        <f aca="false">$G8360*'Analyse capacite'!$C$7</f>
        <v>0</v>
      </c>
      <c r="J8360" s="135" t="n">
        <f aca="false">$G8360*'Analyse capacite'!$D$7</f>
        <v>0</v>
      </c>
      <c r="K8360" s="135" t="n">
        <f aca="false">$G8360*'Analyse capacite'!$E$7</f>
        <v>0</v>
      </c>
    </row>
    <row r="8361" customFormat="false" ht="15" hidden="false" customHeight="false" outlineLevel="0" collapsed="false">
      <c r="B8361" s="130" t="n">
        <v>2027</v>
      </c>
      <c r="C8361" s="131" t="s">
        <v>253</v>
      </c>
      <c r="D8361" s="132" t="n">
        <v>46710</v>
      </c>
      <c r="E8361" s="131" t="s">
        <v>20</v>
      </c>
      <c r="F8361" s="133" t="s">
        <v>19</v>
      </c>
      <c r="G8361" s="134" t="n">
        <f aca="false">LEN('Saisie programme'!$H$290)+SUMIFS('Vols additionnels'!$E$7:$E$66,'Vols additionnels'!$C$7:$C$66,$E8361,'Vols additionnels'!$D$7:$D$66,$F8361,'Vols additionnels'!$B$7:$B$66,$D8361)</f>
        <v>1</v>
      </c>
      <c r="H8361" s="135" t="n">
        <f aca="false">$G8361*'Analyse capacite'!$F$8</f>
        <v>262</v>
      </c>
      <c r="I8361" s="135" t="n">
        <f aca="false">$G8361*'Analyse capacite'!$C$8</f>
        <v>18</v>
      </c>
      <c r="J8361" s="135" t="n">
        <f aca="false">$G8361*'Analyse capacite'!$D$8</f>
        <v>0</v>
      </c>
      <c r="K8361" s="135" t="n">
        <f aca="false">$G8361*'Analyse capacite'!$E$8</f>
        <v>244</v>
      </c>
    </row>
    <row r="8362" customFormat="false" ht="15" hidden="false" customHeight="false" outlineLevel="0" collapsed="false">
      <c r="B8362" s="130" t="n">
        <v>2027</v>
      </c>
      <c r="C8362" s="131" t="s">
        <v>253</v>
      </c>
      <c r="D8362" s="132" t="n">
        <v>46710</v>
      </c>
      <c r="E8362" s="131" t="s">
        <v>20</v>
      </c>
      <c r="F8362" s="133" t="s">
        <v>24</v>
      </c>
      <c r="G8362" s="134" t="n">
        <f aca="false">LEN('Saisie programme'!$H$291)+SUMIFS('Vols additionnels'!$E$7:$E$66,'Vols additionnels'!$C$7:$C$66,$E8362,'Vols additionnels'!$D$7:$D$66,$F8362,'Vols additionnels'!$B$7:$B$66,$D8362)</f>
        <v>0</v>
      </c>
      <c r="H8362" s="135" t="n">
        <f aca="false">$G8362*'Analyse capacite'!$F$9</f>
        <v>0</v>
      </c>
      <c r="I8362" s="135" t="n">
        <f aca="false">$G8362*'Analyse capacite'!$C$9</f>
        <v>0</v>
      </c>
      <c r="J8362" s="135" t="n">
        <f aca="false">$G8362*'Analyse capacite'!$D$9</f>
        <v>0</v>
      </c>
      <c r="K8362" s="135" t="n">
        <f aca="false">$G8362*'Analyse capacite'!$E$9</f>
        <v>0</v>
      </c>
    </row>
    <row r="8363" customFormat="false" ht="15" hidden="false" customHeight="false" outlineLevel="0" collapsed="false">
      <c r="B8363" s="130" t="n">
        <v>2027</v>
      </c>
      <c r="C8363" s="131" t="s">
        <v>253</v>
      </c>
      <c r="D8363" s="132" t="n">
        <v>46710</v>
      </c>
      <c r="E8363" s="131" t="s">
        <v>25</v>
      </c>
      <c r="F8363" s="133" t="s">
        <v>11</v>
      </c>
      <c r="G8363" s="134" t="n">
        <f aca="false">LEN('Saisie programme'!$H$292)+SUMIFS('Vols additionnels'!$E$7:$E$66,'Vols additionnels'!$C$7:$C$66,$E8363,'Vols additionnels'!$D$7:$D$66,$F8363,'Vols additionnels'!$B$7:$B$66,$D8363)</f>
        <v>0</v>
      </c>
      <c r="H8363" s="135" t="n">
        <f aca="false">$G8363*'Analyse capacite'!$F$7</f>
        <v>0</v>
      </c>
      <c r="I8363" s="135" t="n">
        <f aca="false">$G8363*'Analyse capacite'!$C$7</f>
        <v>0</v>
      </c>
      <c r="J8363" s="135" t="n">
        <f aca="false">$G8363*'Analyse capacite'!$D$7</f>
        <v>0</v>
      </c>
      <c r="K8363" s="135" t="n">
        <f aca="false">$G8363*'Analyse capacite'!$E$7</f>
        <v>0</v>
      </c>
    </row>
    <row r="8364" customFormat="false" ht="15" hidden="false" customHeight="false" outlineLevel="0" collapsed="false">
      <c r="B8364" s="130" t="n">
        <v>2027</v>
      </c>
      <c r="C8364" s="131" t="s">
        <v>253</v>
      </c>
      <c r="D8364" s="132" t="n">
        <v>46710</v>
      </c>
      <c r="E8364" s="131" t="s">
        <v>25</v>
      </c>
      <c r="F8364" s="133" t="s">
        <v>19</v>
      </c>
      <c r="G8364" s="134" t="n">
        <f aca="false">LEN('Saisie programme'!$H$293)+SUMIFS('Vols additionnels'!$E$7:$E$66,'Vols additionnels'!$C$7:$C$66,$E8364,'Vols additionnels'!$D$7:$D$66,$F8364,'Vols additionnels'!$B$7:$B$66,$D8364)</f>
        <v>0</v>
      </c>
      <c r="H8364" s="135" t="n">
        <f aca="false">$G8364*'Analyse capacite'!$F$8</f>
        <v>0</v>
      </c>
      <c r="I8364" s="135" t="n">
        <f aca="false">$G8364*'Analyse capacite'!$C$8</f>
        <v>0</v>
      </c>
      <c r="J8364" s="135" t="n">
        <f aca="false">$G8364*'Analyse capacite'!$D$8</f>
        <v>0</v>
      </c>
      <c r="K8364" s="135" t="n">
        <f aca="false">$G8364*'Analyse capacite'!$E$8</f>
        <v>0</v>
      </c>
    </row>
    <row r="8365" customFormat="false" ht="15" hidden="false" customHeight="false" outlineLevel="0" collapsed="false">
      <c r="B8365" s="130" t="n">
        <v>2027</v>
      </c>
      <c r="C8365" s="131" t="s">
        <v>253</v>
      </c>
      <c r="D8365" s="132" t="n">
        <v>46710</v>
      </c>
      <c r="E8365" s="131" t="s">
        <v>25</v>
      </c>
      <c r="F8365" s="133" t="s">
        <v>24</v>
      </c>
      <c r="G8365" s="134" t="n">
        <f aca="false">LEN('Saisie programme'!$H$294)+SUMIFS('Vols additionnels'!$E$7:$E$66,'Vols additionnels'!$C$7:$C$66,$E8365,'Vols additionnels'!$D$7:$D$66,$F8365,'Vols additionnels'!$B$7:$B$66,$D8365)</f>
        <v>0</v>
      </c>
      <c r="H8365" s="135" t="n">
        <f aca="false">$G8365*'Analyse capacite'!$F$9</f>
        <v>0</v>
      </c>
      <c r="I8365" s="135" t="n">
        <f aca="false">$G8365*'Analyse capacite'!$C$9</f>
        <v>0</v>
      </c>
      <c r="J8365" s="135" t="n">
        <f aca="false">$G8365*'Analyse capacite'!$D$9</f>
        <v>0</v>
      </c>
      <c r="K8365" s="135" t="n">
        <f aca="false">$G8365*'Analyse capacite'!$E$9</f>
        <v>0</v>
      </c>
    </row>
    <row r="8366" customFormat="false" ht="15" hidden="false" customHeight="false" outlineLevel="0" collapsed="false">
      <c r="B8366" s="130" t="n">
        <v>2027</v>
      </c>
      <c r="C8366" s="131" t="s">
        <v>253</v>
      </c>
      <c r="D8366" s="132" t="n">
        <v>46710</v>
      </c>
      <c r="E8366" s="131" t="s">
        <v>36</v>
      </c>
      <c r="F8366" s="133" t="s">
        <v>11</v>
      </c>
      <c r="G8366" s="134" t="n">
        <f aca="false">LEN('Saisie programme'!$H$295)+SUMIFS('Vols additionnels'!$E$7:$E$66,'Vols additionnels'!$C$7:$C$66,$E8366,'Vols additionnels'!$D$7:$D$66,$F8366,'Vols additionnels'!$B$7:$B$66,$D8366)</f>
        <v>0</v>
      </c>
      <c r="H8366" s="135" t="n">
        <f aca="false">$G8366*'Analyse capacite'!$F$7</f>
        <v>0</v>
      </c>
      <c r="I8366" s="135" t="n">
        <f aca="false">$G8366*'Analyse capacite'!$C$7</f>
        <v>0</v>
      </c>
      <c r="J8366" s="135" t="n">
        <f aca="false">$G8366*'Analyse capacite'!$D$7</f>
        <v>0</v>
      </c>
      <c r="K8366" s="135" t="n">
        <f aca="false">$G8366*'Analyse capacite'!$E$7</f>
        <v>0</v>
      </c>
    </row>
    <row r="8367" customFormat="false" ht="15" hidden="false" customHeight="false" outlineLevel="0" collapsed="false">
      <c r="B8367" s="130" t="n">
        <v>2027</v>
      </c>
      <c r="C8367" s="131" t="s">
        <v>253</v>
      </c>
      <c r="D8367" s="132" t="n">
        <v>46710</v>
      </c>
      <c r="E8367" s="131" t="s">
        <v>36</v>
      </c>
      <c r="F8367" s="133" t="s">
        <v>19</v>
      </c>
      <c r="G8367" s="134" t="n">
        <f aca="false">LEN('Saisie programme'!$H$296)+SUMIFS('Vols additionnels'!$E$7:$E$66,'Vols additionnels'!$C$7:$C$66,$E8367,'Vols additionnels'!$D$7:$D$66,$F8367,'Vols additionnels'!$B$7:$B$66,$D8367)</f>
        <v>0</v>
      </c>
      <c r="H8367" s="135" t="n">
        <f aca="false">$G8367*'Analyse capacite'!$F$8</f>
        <v>0</v>
      </c>
      <c r="I8367" s="135" t="n">
        <f aca="false">$G8367*'Analyse capacite'!$C$8</f>
        <v>0</v>
      </c>
      <c r="J8367" s="135" t="n">
        <f aca="false">$G8367*'Analyse capacite'!$D$8</f>
        <v>0</v>
      </c>
      <c r="K8367" s="135" t="n">
        <f aca="false">$G8367*'Analyse capacite'!$E$8</f>
        <v>0</v>
      </c>
    </row>
    <row r="8368" customFormat="false" ht="15" hidden="false" customHeight="false" outlineLevel="0" collapsed="false">
      <c r="B8368" s="130" t="n">
        <v>2027</v>
      </c>
      <c r="C8368" s="131" t="s">
        <v>253</v>
      </c>
      <c r="D8368" s="132" t="n">
        <v>46710</v>
      </c>
      <c r="E8368" s="131" t="s">
        <v>36</v>
      </c>
      <c r="F8368" s="133" t="s">
        <v>24</v>
      </c>
      <c r="G8368" s="134" t="n">
        <f aca="false">LEN('Saisie programme'!$H$297)+SUMIFS('Vols additionnels'!$E$7:$E$66,'Vols additionnels'!$C$7:$C$66,$E8368,'Vols additionnels'!$D$7:$D$66,$F8368,'Vols additionnels'!$B$7:$B$66,$D8368)</f>
        <v>1</v>
      </c>
      <c r="H8368" s="135" t="n">
        <f aca="false">$G8368*'Analyse capacite'!$F$9</f>
        <v>174</v>
      </c>
      <c r="I8368" s="135" t="n">
        <f aca="false">$G8368*'Analyse capacite'!$C$9</f>
        <v>0</v>
      </c>
      <c r="J8368" s="135" t="n">
        <f aca="false">$G8368*'Analyse capacite'!$D$9</f>
        <v>12</v>
      </c>
      <c r="K8368" s="135" t="n">
        <f aca="false">$G8368*'Analyse capacite'!$E$9</f>
        <v>162</v>
      </c>
    </row>
    <row r="8369" customFormat="false" ht="15" hidden="false" customHeight="false" outlineLevel="0" collapsed="false">
      <c r="B8369" s="130" t="n">
        <v>2027</v>
      </c>
      <c r="C8369" s="131" t="s">
        <v>253</v>
      </c>
      <c r="D8369" s="132" t="n">
        <v>46710</v>
      </c>
      <c r="E8369" s="131" t="s">
        <v>40</v>
      </c>
      <c r="F8369" s="133" t="s">
        <v>11</v>
      </c>
      <c r="G8369" s="134" t="n">
        <f aca="false">LEN('Saisie programme'!$H$298)+SUMIFS('Vols additionnels'!$E$7:$E$66,'Vols additionnels'!$C$7:$C$66,$E8369,'Vols additionnels'!$D$7:$D$66,$F8369,'Vols additionnels'!$B$7:$B$66,$D8369)</f>
        <v>0</v>
      </c>
      <c r="H8369" s="135" t="n">
        <f aca="false">$G8369*'Analyse capacite'!$F$7</f>
        <v>0</v>
      </c>
      <c r="I8369" s="135" t="n">
        <f aca="false">$G8369*'Analyse capacite'!$C$7</f>
        <v>0</v>
      </c>
      <c r="J8369" s="135" t="n">
        <f aca="false">$G8369*'Analyse capacite'!$D$7</f>
        <v>0</v>
      </c>
      <c r="K8369" s="135" t="n">
        <f aca="false">$G8369*'Analyse capacite'!$E$7</f>
        <v>0</v>
      </c>
    </row>
    <row r="8370" customFormat="false" ht="15" hidden="false" customHeight="false" outlineLevel="0" collapsed="false">
      <c r="B8370" s="130" t="n">
        <v>2027</v>
      </c>
      <c r="C8370" s="131" t="s">
        <v>253</v>
      </c>
      <c r="D8370" s="132" t="n">
        <v>46710</v>
      </c>
      <c r="E8370" s="131" t="s">
        <v>40</v>
      </c>
      <c r="F8370" s="133" t="s">
        <v>19</v>
      </c>
      <c r="G8370" s="134" t="n">
        <f aca="false">LEN('Saisie programme'!$H$299)+SUMIFS('Vols additionnels'!$E$7:$E$66,'Vols additionnels'!$C$7:$C$66,$E8370,'Vols additionnels'!$D$7:$D$66,$F8370,'Vols additionnels'!$B$7:$B$66,$D8370)</f>
        <v>0</v>
      </c>
      <c r="H8370" s="135" t="n">
        <f aca="false">$G8370*'Analyse capacite'!$F$8</f>
        <v>0</v>
      </c>
      <c r="I8370" s="135" t="n">
        <f aca="false">$G8370*'Analyse capacite'!$C$8</f>
        <v>0</v>
      </c>
      <c r="J8370" s="135" t="n">
        <f aca="false">$G8370*'Analyse capacite'!$D$8</f>
        <v>0</v>
      </c>
      <c r="K8370" s="135" t="n">
        <f aca="false">$G8370*'Analyse capacite'!$E$8</f>
        <v>0</v>
      </c>
    </row>
    <row r="8371" customFormat="false" ht="15" hidden="false" customHeight="false" outlineLevel="0" collapsed="false">
      <c r="B8371" s="130" t="n">
        <v>2027</v>
      </c>
      <c r="C8371" s="131" t="s">
        <v>253</v>
      </c>
      <c r="D8371" s="132" t="n">
        <v>46710</v>
      </c>
      <c r="E8371" s="131" t="s">
        <v>40</v>
      </c>
      <c r="F8371" s="133" t="s">
        <v>24</v>
      </c>
      <c r="G8371" s="134" t="n">
        <f aca="false">LEN('Saisie programme'!$H$300)+SUMIFS('Vols additionnels'!$E$7:$E$66,'Vols additionnels'!$C$7:$C$66,$E8371,'Vols additionnels'!$D$7:$D$66,$F8371,'Vols additionnels'!$B$7:$B$66,$D8371)</f>
        <v>1</v>
      </c>
      <c r="H8371" s="135" t="n">
        <f aca="false">$G8371*'Analyse capacite'!$F$9</f>
        <v>174</v>
      </c>
      <c r="I8371" s="135" t="n">
        <f aca="false">$G8371*'Analyse capacite'!$C$9</f>
        <v>0</v>
      </c>
      <c r="J8371" s="135" t="n">
        <f aca="false">$G8371*'Analyse capacite'!$D$9</f>
        <v>12</v>
      </c>
      <c r="K8371" s="135" t="n">
        <f aca="false">$G8371*'Analyse capacite'!$E$9</f>
        <v>162</v>
      </c>
    </row>
    <row r="8372" customFormat="false" ht="15" hidden="false" customHeight="false" outlineLevel="0" collapsed="false">
      <c r="B8372" s="130" t="n">
        <v>2027</v>
      </c>
      <c r="C8372" s="131" t="s">
        <v>253</v>
      </c>
      <c r="D8372" s="132" t="n">
        <v>46710</v>
      </c>
      <c r="E8372" s="131" t="s">
        <v>14</v>
      </c>
      <c r="F8372" s="133" t="s">
        <v>11</v>
      </c>
      <c r="G8372" s="134" t="n">
        <f aca="false">LEN('Saisie programme'!$H$301)+SUMIFS('Vols additionnels'!$E$7:$E$66,'Vols additionnels'!$C$7:$C$66,$E8372,'Vols additionnels'!$D$7:$D$66,$F8372,'Vols additionnels'!$B$7:$B$66,$D8372)</f>
        <v>0</v>
      </c>
      <c r="H8372" s="135" t="n">
        <f aca="false">$G8372*'Analyse capacite'!$F$7</f>
        <v>0</v>
      </c>
      <c r="I8372" s="135" t="n">
        <f aca="false">$G8372*'Analyse capacite'!$C$7</f>
        <v>0</v>
      </c>
      <c r="J8372" s="135" t="n">
        <f aca="false">$G8372*'Analyse capacite'!$D$7</f>
        <v>0</v>
      </c>
      <c r="K8372" s="135" t="n">
        <f aca="false">$G8372*'Analyse capacite'!$E$7</f>
        <v>0</v>
      </c>
    </row>
    <row r="8373" customFormat="false" ht="15" hidden="false" customHeight="false" outlineLevel="0" collapsed="false">
      <c r="B8373" s="130" t="n">
        <v>2027</v>
      </c>
      <c r="C8373" s="131" t="s">
        <v>253</v>
      </c>
      <c r="D8373" s="132" t="n">
        <v>46710</v>
      </c>
      <c r="E8373" s="131" t="s">
        <v>14</v>
      </c>
      <c r="F8373" s="133" t="s">
        <v>19</v>
      </c>
      <c r="G8373" s="134" t="n">
        <f aca="false">LEN('Saisie programme'!$H$302)+SUMIFS('Vols additionnels'!$E$7:$E$66,'Vols additionnels'!$C$7:$C$66,$E8373,'Vols additionnels'!$D$7:$D$66,$F8373,'Vols additionnels'!$B$7:$B$66,$D8373)</f>
        <v>0</v>
      </c>
      <c r="H8373" s="135" t="n">
        <f aca="false">$G8373*'Analyse capacite'!$F$8</f>
        <v>0</v>
      </c>
      <c r="I8373" s="135" t="n">
        <f aca="false">$G8373*'Analyse capacite'!$C$8</f>
        <v>0</v>
      </c>
      <c r="J8373" s="135" t="n">
        <f aca="false">$G8373*'Analyse capacite'!$D$8</f>
        <v>0</v>
      </c>
      <c r="K8373" s="135" t="n">
        <f aca="false">$G8373*'Analyse capacite'!$E$8</f>
        <v>0</v>
      </c>
    </row>
    <row r="8374" customFormat="false" ht="15" hidden="false" customHeight="false" outlineLevel="0" collapsed="false">
      <c r="B8374" s="130" t="n">
        <v>2027</v>
      </c>
      <c r="C8374" s="131" t="s">
        <v>253</v>
      </c>
      <c r="D8374" s="132" t="n">
        <v>46710</v>
      </c>
      <c r="E8374" s="131" t="s">
        <v>14</v>
      </c>
      <c r="F8374" s="133" t="s">
        <v>24</v>
      </c>
      <c r="G8374" s="134" t="n">
        <f aca="false">LEN('Saisie programme'!$H$303)+SUMIFS('Vols additionnels'!$E$7:$E$66,'Vols additionnels'!$C$7:$C$66,$E8374,'Vols additionnels'!$D$7:$D$66,$F8374,'Vols additionnels'!$B$7:$B$66,$D8374)</f>
        <v>0</v>
      </c>
      <c r="H8374" s="135" t="n">
        <f aca="false">$G8374*'Analyse capacite'!$F$9</f>
        <v>0</v>
      </c>
      <c r="I8374" s="135" t="n">
        <f aca="false">$G8374*'Analyse capacite'!$C$9</f>
        <v>0</v>
      </c>
      <c r="J8374" s="135" t="n">
        <f aca="false">$G8374*'Analyse capacite'!$D$9</f>
        <v>0</v>
      </c>
      <c r="K8374" s="135" t="n">
        <f aca="false">$G8374*'Analyse capacite'!$E$9</f>
        <v>0</v>
      </c>
    </row>
    <row r="8375" customFormat="false" ht="15" hidden="false" customHeight="false" outlineLevel="0" collapsed="false">
      <c r="B8375" s="130" t="n">
        <v>2027</v>
      </c>
      <c r="C8375" s="131" t="s">
        <v>253</v>
      </c>
      <c r="D8375" s="132" t="n">
        <v>46710</v>
      </c>
      <c r="E8375" s="131" t="s">
        <v>46</v>
      </c>
      <c r="F8375" s="133" t="s">
        <v>11</v>
      </c>
      <c r="G8375" s="134" t="n">
        <f aca="false">LEN('Saisie programme'!$H$304)+SUMIFS('Vols additionnels'!$E$7:$E$66,'Vols additionnels'!$C$7:$C$66,$E8375,'Vols additionnels'!$D$7:$D$66,$F8375,'Vols additionnels'!$B$7:$B$66,$D8375)</f>
        <v>0</v>
      </c>
      <c r="H8375" s="135" t="n">
        <f aca="false">$G8375*'Analyse capacite'!$F$7</f>
        <v>0</v>
      </c>
      <c r="I8375" s="135" t="n">
        <f aca="false">$G8375*'Analyse capacite'!$C$7</f>
        <v>0</v>
      </c>
      <c r="J8375" s="135" t="n">
        <f aca="false">$G8375*'Analyse capacite'!$D$7</f>
        <v>0</v>
      </c>
      <c r="K8375" s="135" t="n">
        <f aca="false">$G8375*'Analyse capacite'!$E$7</f>
        <v>0</v>
      </c>
    </row>
    <row r="8376" customFormat="false" ht="15" hidden="false" customHeight="false" outlineLevel="0" collapsed="false">
      <c r="B8376" s="130" t="n">
        <v>2027</v>
      </c>
      <c r="C8376" s="131" t="s">
        <v>253</v>
      </c>
      <c r="D8376" s="132" t="n">
        <v>46710</v>
      </c>
      <c r="E8376" s="131" t="s">
        <v>46</v>
      </c>
      <c r="F8376" s="133" t="s">
        <v>19</v>
      </c>
      <c r="G8376" s="134" t="n">
        <f aca="false">LEN('Saisie programme'!$H$305)+SUMIFS('Vols additionnels'!$E$7:$E$66,'Vols additionnels'!$C$7:$C$66,$E8376,'Vols additionnels'!$D$7:$D$66,$F8376,'Vols additionnels'!$B$7:$B$66,$D8376)</f>
        <v>0</v>
      </c>
      <c r="H8376" s="135" t="n">
        <f aca="false">$G8376*'Analyse capacite'!$F$8</f>
        <v>0</v>
      </c>
      <c r="I8376" s="135" t="n">
        <f aca="false">$G8376*'Analyse capacite'!$C$8</f>
        <v>0</v>
      </c>
      <c r="J8376" s="135" t="n">
        <f aca="false">$G8376*'Analyse capacite'!$D$8</f>
        <v>0</v>
      </c>
      <c r="K8376" s="135" t="n">
        <f aca="false">$G8376*'Analyse capacite'!$E$8</f>
        <v>0</v>
      </c>
    </row>
    <row r="8377" customFormat="false" ht="15" hidden="false" customHeight="false" outlineLevel="0" collapsed="false">
      <c r="B8377" s="130" t="n">
        <v>2027</v>
      </c>
      <c r="C8377" s="131" t="s">
        <v>253</v>
      </c>
      <c r="D8377" s="132" t="n">
        <v>46710</v>
      </c>
      <c r="E8377" s="131" t="s">
        <v>46</v>
      </c>
      <c r="F8377" s="133" t="s">
        <v>24</v>
      </c>
      <c r="G8377" s="134" t="n">
        <f aca="false">LEN('Saisie programme'!$H$306)+SUMIFS('Vols additionnels'!$E$7:$E$66,'Vols additionnels'!$C$7:$C$66,$E8377,'Vols additionnels'!$D$7:$D$66,$F8377,'Vols additionnels'!$B$7:$B$66,$D8377)</f>
        <v>0</v>
      </c>
      <c r="H8377" s="135" t="n">
        <f aca="false">$G8377*'Analyse capacite'!$F$9</f>
        <v>0</v>
      </c>
      <c r="I8377" s="135" t="n">
        <f aca="false">$G8377*'Analyse capacite'!$C$9</f>
        <v>0</v>
      </c>
      <c r="J8377" s="135" t="n">
        <f aca="false">$G8377*'Analyse capacite'!$D$9</f>
        <v>0</v>
      </c>
      <c r="K8377" s="135" t="n">
        <f aca="false">$G8377*'Analyse capacite'!$E$9</f>
        <v>0</v>
      </c>
    </row>
    <row r="8378" customFormat="false" ht="15" hidden="false" customHeight="false" outlineLevel="0" collapsed="false">
      <c r="B8378" s="130" t="n">
        <v>2027</v>
      </c>
      <c r="C8378" s="131" t="s">
        <v>253</v>
      </c>
      <c r="D8378" s="132" t="n">
        <v>46710</v>
      </c>
      <c r="E8378" s="131" t="s">
        <v>49</v>
      </c>
      <c r="F8378" s="133" t="s">
        <v>11</v>
      </c>
      <c r="G8378" s="134" t="n">
        <f aca="false">LEN('Saisie programme'!$H$307)+SUMIFS('Vols additionnels'!$E$7:$E$66,'Vols additionnels'!$C$7:$C$66,$E8378,'Vols additionnels'!$D$7:$D$66,$F8378,'Vols additionnels'!$B$7:$B$66,$D8378)</f>
        <v>0</v>
      </c>
      <c r="H8378" s="135" t="n">
        <f aca="false">$G8378*'Analyse capacite'!$F$7</f>
        <v>0</v>
      </c>
      <c r="I8378" s="135" t="n">
        <f aca="false">$G8378*'Analyse capacite'!$C$7</f>
        <v>0</v>
      </c>
      <c r="J8378" s="135" t="n">
        <f aca="false">$G8378*'Analyse capacite'!$D$7</f>
        <v>0</v>
      </c>
      <c r="K8378" s="135" t="n">
        <f aca="false">$G8378*'Analyse capacite'!$E$7</f>
        <v>0</v>
      </c>
    </row>
    <row r="8379" customFormat="false" ht="15" hidden="false" customHeight="false" outlineLevel="0" collapsed="false">
      <c r="B8379" s="130" t="n">
        <v>2027</v>
      </c>
      <c r="C8379" s="131" t="s">
        <v>253</v>
      </c>
      <c r="D8379" s="132" t="n">
        <v>46710</v>
      </c>
      <c r="E8379" s="131" t="s">
        <v>49</v>
      </c>
      <c r="F8379" s="133" t="s">
        <v>19</v>
      </c>
      <c r="G8379" s="134" t="n">
        <f aca="false">LEN('Saisie programme'!$H$308)+SUMIFS('Vols additionnels'!$E$7:$E$66,'Vols additionnels'!$C$7:$C$66,$E8379,'Vols additionnels'!$D$7:$D$66,$F8379,'Vols additionnels'!$B$7:$B$66,$D8379)</f>
        <v>1</v>
      </c>
      <c r="H8379" s="135" t="n">
        <f aca="false">$G8379*'Analyse capacite'!$F$8</f>
        <v>262</v>
      </c>
      <c r="I8379" s="135" t="n">
        <f aca="false">$G8379*'Analyse capacite'!$C$8</f>
        <v>18</v>
      </c>
      <c r="J8379" s="135" t="n">
        <f aca="false">$G8379*'Analyse capacite'!$D$8</f>
        <v>0</v>
      </c>
      <c r="K8379" s="135" t="n">
        <f aca="false">$G8379*'Analyse capacite'!$E$8</f>
        <v>244</v>
      </c>
    </row>
    <row r="8380" customFormat="false" ht="15" hidden="false" customHeight="false" outlineLevel="0" collapsed="false">
      <c r="B8380" s="130" t="n">
        <v>2027</v>
      </c>
      <c r="C8380" s="131" t="s">
        <v>253</v>
      </c>
      <c r="D8380" s="132" t="n">
        <v>46710</v>
      </c>
      <c r="E8380" s="131" t="s">
        <v>49</v>
      </c>
      <c r="F8380" s="133" t="s">
        <v>24</v>
      </c>
      <c r="G8380" s="134" t="n">
        <f aca="false">LEN('Saisie programme'!$H$309)+SUMIFS('Vols additionnels'!$E$7:$E$66,'Vols additionnels'!$C$7:$C$66,$E8380,'Vols additionnels'!$D$7:$D$66,$F8380,'Vols additionnels'!$B$7:$B$66,$D8380)</f>
        <v>0</v>
      </c>
      <c r="H8380" s="135" t="n">
        <f aca="false">$G8380*'Analyse capacite'!$F$9</f>
        <v>0</v>
      </c>
      <c r="I8380" s="135" t="n">
        <f aca="false">$G8380*'Analyse capacite'!$C$9</f>
        <v>0</v>
      </c>
      <c r="J8380" s="135" t="n">
        <f aca="false">$G8380*'Analyse capacite'!$D$9</f>
        <v>0</v>
      </c>
      <c r="K8380" s="135" t="n">
        <f aca="false">$G8380*'Analyse capacite'!$E$9</f>
        <v>0</v>
      </c>
    </row>
    <row r="8381" customFormat="false" ht="15" hidden="false" customHeight="false" outlineLevel="0" collapsed="false">
      <c r="B8381" s="130" t="n">
        <v>2027</v>
      </c>
      <c r="C8381" s="131" t="s">
        <v>253</v>
      </c>
      <c r="D8381" s="132" t="n">
        <v>46710</v>
      </c>
      <c r="E8381" s="131" t="s">
        <v>53</v>
      </c>
      <c r="F8381" s="133" t="s">
        <v>11</v>
      </c>
      <c r="G8381" s="134" t="n">
        <f aca="false">LEN('Saisie programme'!$H$310)+SUMIFS('Vols additionnels'!$E$7:$E$66,'Vols additionnels'!$C$7:$C$66,$E8381,'Vols additionnels'!$D$7:$D$66,$F8381,'Vols additionnels'!$B$7:$B$66,$D8381)</f>
        <v>0</v>
      </c>
      <c r="H8381" s="135" t="n">
        <f aca="false">$G8381*'Analyse capacite'!$F$7</f>
        <v>0</v>
      </c>
      <c r="I8381" s="135" t="n">
        <f aca="false">$G8381*'Analyse capacite'!$C$7</f>
        <v>0</v>
      </c>
      <c r="J8381" s="135" t="n">
        <f aca="false">$G8381*'Analyse capacite'!$D$7</f>
        <v>0</v>
      </c>
      <c r="K8381" s="135" t="n">
        <f aca="false">$G8381*'Analyse capacite'!$E$7</f>
        <v>0</v>
      </c>
    </row>
    <row r="8382" customFormat="false" ht="15" hidden="false" customHeight="false" outlineLevel="0" collapsed="false">
      <c r="B8382" s="130" t="n">
        <v>2027</v>
      </c>
      <c r="C8382" s="131" t="s">
        <v>253</v>
      </c>
      <c r="D8382" s="132" t="n">
        <v>46710</v>
      </c>
      <c r="E8382" s="131" t="s">
        <v>53</v>
      </c>
      <c r="F8382" s="133" t="s">
        <v>19</v>
      </c>
      <c r="G8382" s="134" t="n">
        <f aca="false">LEN('Saisie programme'!$H$311)+SUMIFS('Vols additionnels'!$E$7:$E$66,'Vols additionnels'!$C$7:$C$66,$E8382,'Vols additionnels'!$D$7:$D$66,$F8382,'Vols additionnels'!$B$7:$B$66,$D8382)</f>
        <v>0</v>
      </c>
      <c r="H8382" s="135" t="n">
        <f aca="false">$G8382*'Analyse capacite'!$F$8</f>
        <v>0</v>
      </c>
      <c r="I8382" s="135" t="n">
        <f aca="false">$G8382*'Analyse capacite'!$C$8</f>
        <v>0</v>
      </c>
      <c r="J8382" s="135" t="n">
        <f aca="false">$G8382*'Analyse capacite'!$D$8</f>
        <v>0</v>
      </c>
      <c r="K8382" s="135" t="n">
        <f aca="false">$G8382*'Analyse capacite'!$E$8</f>
        <v>0</v>
      </c>
    </row>
    <row r="8383" customFormat="false" ht="15" hidden="false" customHeight="false" outlineLevel="0" collapsed="false">
      <c r="B8383" s="130" t="n">
        <v>2027</v>
      </c>
      <c r="C8383" s="131" t="s">
        <v>253</v>
      </c>
      <c r="D8383" s="132" t="n">
        <v>46710</v>
      </c>
      <c r="E8383" s="131" t="s">
        <v>53</v>
      </c>
      <c r="F8383" s="133" t="s">
        <v>24</v>
      </c>
      <c r="G8383" s="134" t="n">
        <f aca="false">LEN('Saisie programme'!$H$312)+SUMIFS('Vols additionnels'!$E$7:$E$66,'Vols additionnels'!$C$7:$C$66,$E8383,'Vols additionnels'!$D$7:$D$66,$F8383,'Vols additionnels'!$B$7:$B$66,$D8383)</f>
        <v>0</v>
      </c>
      <c r="H8383" s="135" t="n">
        <f aca="false">$G8383*'Analyse capacite'!$F$9</f>
        <v>0</v>
      </c>
      <c r="I8383" s="135" t="n">
        <f aca="false">$G8383*'Analyse capacite'!$C$9</f>
        <v>0</v>
      </c>
      <c r="J8383" s="135" t="n">
        <f aca="false">$G8383*'Analyse capacite'!$D$9</f>
        <v>0</v>
      </c>
      <c r="K8383" s="135" t="n">
        <f aca="false">$G8383*'Analyse capacite'!$E$9</f>
        <v>0</v>
      </c>
    </row>
    <row r="8384" customFormat="false" ht="15" hidden="false" customHeight="false" outlineLevel="0" collapsed="false">
      <c r="B8384" s="130" t="n">
        <v>2027</v>
      </c>
      <c r="C8384" s="131" t="s">
        <v>253</v>
      </c>
      <c r="D8384" s="132" t="n">
        <v>46710</v>
      </c>
      <c r="E8384" s="131" t="s">
        <v>56</v>
      </c>
      <c r="F8384" s="133" t="s">
        <v>11</v>
      </c>
      <c r="G8384" s="134" t="n">
        <f aca="false">LEN('Saisie programme'!$H$313)+SUMIFS('Vols additionnels'!$E$7:$E$66,'Vols additionnels'!$C$7:$C$66,$E8384,'Vols additionnels'!$D$7:$D$66,$F8384,'Vols additionnels'!$B$7:$B$66,$D8384)</f>
        <v>0</v>
      </c>
      <c r="H8384" s="135" t="n">
        <f aca="false">$G8384*'Analyse capacite'!$F$7</f>
        <v>0</v>
      </c>
      <c r="I8384" s="135" t="n">
        <f aca="false">$G8384*'Analyse capacite'!$C$7</f>
        <v>0</v>
      </c>
      <c r="J8384" s="135" t="n">
        <f aca="false">$G8384*'Analyse capacite'!$D$7</f>
        <v>0</v>
      </c>
      <c r="K8384" s="135" t="n">
        <f aca="false">$G8384*'Analyse capacite'!$E$7</f>
        <v>0</v>
      </c>
    </row>
    <row r="8385" customFormat="false" ht="15" hidden="false" customHeight="false" outlineLevel="0" collapsed="false">
      <c r="B8385" s="130" t="n">
        <v>2027</v>
      </c>
      <c r="C8385" s="131" t="s">
        <v>253</v>
      </c>
      <c r="D8385" s="132" t="n">
        <v>46710</v>
      </c>
      <c r="E8385" s="131" t="s">
        <v>56</v>
      </c>
      <c r="F8385" s="133" t="s">
        <v>19</v>
      </c>
      <c r="G8385" s="134" t="n">
        <f aca="false">LEN('Saisie programme'!$H$314)+SUMIFS('Vols additionnels'!$E$7:$E$66,'Vols additionnels'!$C$7:$C$66,$E8385,'Vols additionnels'!$D$7:$D$66,$F8385,'Vols additionnels'!$B$7:$B$66,$D8385)</f>
        <v>0</v>
      </c>
      <c r="H8385" s="135" t="n">
        <f aca="false">$G8385*'Analyse capacite'!$F$8</f>
        <v>0</v>
      </c>
      <c r="I8385" s="135" t="n">
        <f aca="false">$G8385*'Analyse capacite'!$C$8</f>
        <v>0</v>
      </c>
      <c r="J8385" s="135" t="n">
        <f aca="false">$G8385*'Analyse capacite'!$D$8</f>
        <v>0</v>
      </c>
      <c r="K8385" s="135" t="n">
        <f aca="false">$G8385*'Analyse capacite'!$E$8</f>
        <v>0</v>
      </c>
    </row>
    <row r="8386" customFormat="false" ht="15" hidden="false" customHeight="false" outlineLevel="0" collapsed="false">
      <c r="B8386" s="130" t="n">
        <v>2027</v>
      </c>
      <c r="C8386" s="131" t="s">
        <v>253</v>
      </c>
      <c r="D8386" s="132" t="n">
        <v>46710</v>
      </c>
      <c r="E8386" s="131" t="s">
        <v>56</v>
      </c>
      <c r="F8386" s="133" t="s">
        <v>24</v>
      </c>
      <c r="G8386" s="134" t="n">
        <f aca="false">LEN('Saisie programme'!$H$315)+SUMIFS('Vols additionnels'!$E$7:$E$66,'Vols additionnels'!$C$7:$C$66,$E8386,'Vols additionnels'!$D$7:$D$66,$F8386,'Vols additionnels'!$B$7:$B$66,$D8386)</f>
        <v>0</v>
      </c>
      <c r="H8386" s="135" t="n">
        <f aca="false">$G8386*'Analyse capacite'!$F$9</f>
        <v>0</v>
      </c>
      <c r="I8386" s="135" t="n">
        <f aca="false">$G8386*'Analyse capacite'!$C$9</f>
        <v>0</v>
      </c>
      <c r="J8386" s="135" t="n">
        <f aca="false">$G8386*'Analyse capacite'!$D$9</f>
        <v>0</v>
      </c>
      <c r="K8386" s="135" t="n">
        <f aca="false">$G8386*'Analyse capacite'!$E$9</f>
        <v>0</v>
      </c>
    </row>
    <row r="8387" customFormat="false" ht="15" hidden="false" customHeight="false" outlineLevel="0" collapsed="false">
      <c r="B8387" s="130" t="n">
        <v>2027</v>
      </c>
      <c r="C8387" s="131" t="s">
        <v>253</v>
      </c>
      <c r="D8387" s="132" t="n">
        <v>46710</v>
      </c>
      <c r="E8387" s="131" t="s">
        <v>59</v>
      </c>
      <c r="F8387" s="133" t="s">
        <v>11</v>
      </c>
      <c r="G8387" s="134" t="n">
        <f aca="false">LEN('Saisie programme'!$H$316)+SUMIFS('Vols additionnels'!$E$7:$E$66,'Vols additionnels'!$C$7:$C$66,$E8387,'Vols additionnels'!$D$7:$D$66,$F8387,'Vols additionnels'!$B$7:$B$66,$D8387)</f>
        <v>0</v>
      </c>
      <c r="H8387" s="135" t="n">
        <f aca="false">$G8387*'Analyse capacite'!$F$7</f>
        <v>0</v>
      </c>
      <c r="I8387" s="135" t="n">
        <f aca="false">$G8387*'Analyse capacite'!$C$7</f>
        <v>0</v>
      </c>
      <c r="J8387" s="135" t="n">
        <f aca="false">$G8387*'Analyse capacite'!$D$7</f>
        <v>0</v>
      </c>
      <c r="K8387" s="135" t="n">
        <f aca="false">$G8387*'Analyse capacite'!$E$7</f>
        <v>0</v>
      </c>
    </row>
    <row r="8388" customFormat="false" ht="15" hidden="false" customHeight="false" outlineLevel="0" collapsed="false">
      <c r="B8388" s="130" t="n">
        <v>2027</v>
      </c>
      <c r="C8388" s="131" t="s">
        <v>253</v>
      </c>
      <c r="D8388" s="132" t="n">
        <v>46710</v>
      </c>
      <c r="E8388" s="131" t="s">
        <v>59</v>
      </c>
      <c r="F8388" s="133" t="s">
        <v>19</v>
      </c>
      <c r="G8388" s="134" t="n">
        <f aca="false">LEN('Saisie programme'!$H$317)+SUMIFS('Vols additionnels'!$E$7:$E$66,'Vols additionnels'!$C$7:$C$66,$E8388,'Vols additionnels'!$D$7:$D$66,$F8388,'Vols additionnels'!$B$7:$B$66,$D8388)</f>
        <v>0</v>
      </c>
      <c r="H8388" s="135" t="n">
        <f aca="false">$G8388*'Analyse capacite'!$F$8</f>
        <v>0</v>
      </c>
      <c r="I8388" s="135" t="n">
        <f aca="false">$G8388*'Analyse capacite'!$C$8</f>
        <v>0</v>
      </c>
      <c r="J8388" s="135" t="n">
        <f aca="false">$G8388*'Analyse capacite'!$D$8</f>
        <v>0</v>
      </c>
      <c r="K8388" s="135" t="n">
        <f aca="false">$G8388*'Analyse capacite'!$E$8</f>
        <v>0</v>
      </c>
    </row>
    <row r="8389" customFormat="false" ht="15" hidden="false" customHeight="false" outlineLevel="0" collapsed="false">
      <c r="B8389" s="130" t="n">
        <v>2027</v>
      </c>
      <c r="C8389" s="131" t="s">
        <v>253</v>
      </c>
      <c r="D8389" s="132" t="n">
        <v>46710</v>
      </c>
      <c r="E8389" s="131" t="s">
        <v>59</v>
      </c>
      <c r="F8389" s="133" t="s">
        <v>24</v>
      </c>
      <c r="G8389" s="134" t="n">
        <f aca="false">LEN('Saisie programme'!$H$318)+SUMIFS('Vols additionnels'!$E$7:$E$66,'Vols additionnels'!$C$7:$C$66,$E8389,'Vols additionnels'!$D$7:$D$66,$F8389,'Vols additionnels'!$B$7:$B$66,$D8389)</f>
        <v>1</v>
      </c>
      <c r="H8389" s="135" t="n">
        <f aca="false">$G8389*'Analyse capacite'!$F$9</f>
        <v>174</v>
      </c>
      <c r="I8389" s="135" t="n">
        <f aca="false">$G8389*'Analyse capacite'!$C$9</f>
        <v>0</v>
      </c>
      <c r="J8389" s="135" t="n">
        <f aca="false">$G8389*'Analyse capacite'!$D$9</f>
        <v>12</v>
      </c>
      <c r="K8389" s="135" t="n">
        <f aca="false">$G8389*'Analyse capacite'!$E$9</f>
        <v>162</v>
      </c>
    </row>
    <row r="8390" customFormat="false" ht="15" hidden="false" customHeight="false" outlineLevel="0" collapsed="false">
      <c r="B8390" s="130" t="n">
        <v>2027</v>
      </c>
      <c r="C8390" s="131" t="s">
        <v>253</v>
      </c>
      <c r="D8390" s="132" t="n">
        <v>46710</v>
      </c>
      <c r="E8390" s="131" t="s">
        <v>62</v>
      </c>
      <c r="F8390" s="133" t="s">
        <v>11</v>
      </c>
      <c r="G8390" s="134" t="n">
        <f aca="false">LEN('Saisie programme'!$H$319)+SUMIFS('Vols additionnels'!$E$7:$E$66,'Vols additionnels'!$C$7:$C$66,$E8390,'Vols additionnels'!$D$7:$D$66,$F8390,'Vols additionnels'!$B$7:$B$66,$D8390)</f>
        <v>0</v>
      </c>
      <c r="H8390" s="135" t="n">
        <f aca="false">$G8390*'Analyse capacite'!$F$7</f>
        <v>0</v>
      </c>
      <c r="I8390" s="135" t="n">
        <f aca="false">$G8390*'Analyse capacite'!$C$7</f>
        <v>0</v>
      </c>
      <c r="J8390" s="135" t="n">
        <f aca="false">$G8390*'Analyse capacite'!$D$7</f>
        <v>0</v>
      </c>
      <c r="K8390" s="135" t="n">
        <f aca="false">$G8390*'Analyse capacite'!$E$7</f>
        <v>0</v>
      </c>
    </row>
    <row r="8391" customFormat="false" ht="15" hidden="false" customHeight="false" outlineLevel="0" collapsed="false">
      <c r="B8391" s="130" t="n">
        <v>2027</v>
      </c>
      <c r="C8391" s="131" t="s">
        <v>253</v>
      </c>
      <c r="D8391" s="132" t="n">
        <v>46710</v>
      </c>
      <c r="E8391" s="131" t="s">
        <v>62</v>
      </c>
      <c r="F8391" s="133" t="s">
        <v>19</v>
      </c>
      <c r="G8391" s="134" t="n">
        <f aca="false">LEN('Saisie programme'!$H$320)+SUMIFS('Vols additionnels'!$E$7:$E$66,'Vols additionnels'!$C$7:$C$66,$E8391,'Vols additionnels'!$D$7:$D$66,$F8391,'Vols additionnels'!$B$7:$B$66,$D8391)</f>
        <v>0</v>
      </c>
      <c r="H8391" s="135" t="n">
        <f aca="false">$G8391*'Analyse capacite'!$F$8</f>
        <v>0</v>
      </c>
      <c r="I8391" s="135" t="n">
        <f aca="false">$G8391*'Analyse capacite'!$C$8</f>
        <v>0</v>
      </c>
      <c r="J8391" s="135" t="n">
        <f aca="false">$G8391*'Analyse capacite'!$D$8</f>
        <v>0</v>
      </c>
      <c r="K8391" s="135" t="n">
        <f aca="false">$G8391*'Analyse capacite'!$E$8</f>
        <v>0</v>
      </c>
    </row>
    <row r="8392" customFormat="false" ht="15" hidden="false" customHeight="false" outlineLevel="0" collapsed="false">
      <c r="B8392" s="130" t="n">
        <v>2027</v>
      </c>
      <c r="C8392" s="131" t="s">
        <v>253</v>
      </c>
      <c r="D8392" s="132" t="n">
        <v>46710</v>
      </c>
      <c r="E8392" s="131" t="s">
        <v>62</v>
      </c>
      <c r="F8392" s="133" t="s">
        <v>24</v>
      </c>
      <c r="G8392" s="134" t="n">
        <f aca="false">LEN('Saisie programme'!$H$321)+SUMIFS('Vols additionnels'!$E$7:$E$66,'Vols additionnels'!$C$7:$C$66,$E8392,'Vols additionnels'!$D$7:$D$66,$F8392,'Vols additionnels'!$B$7:$B$66,$D8392)</f>
        <v>0</v>
      </c>
      <c r="H8392" s="135" t="n">
        <f aca="false">$G8392*'Analyse capacite'!$F$9</f>
        <v>0</v>
      </c>
      <c r="I8392" s="135" t="n">
        <f aca="false">$G8392*'Analyse capacite'!$C$9</f>
        <v>0</v>
      </c>
      <c r="J8392" s="135" t="n">
        <f aca="false">$G8392*'Analyse capacite'!$D$9</f>
        <v>0</v>
      </c>
      <c r="K8392" s="135" t="n">
        <f aca="false">$G8392*'Analyse capacite'!$E$9</f>
        <v>0</v>
      </c>
    </row>
    <row r="8393" customFormat="false" ht="15" hidden="false" customHeight="false" outlineLevel="0" collapsed="false">
      <c r="B8393" s="130" t="n">
        <v>2027</v>
      </c>
      <c r="C8393" s="131" t="s">
        <v>253</v>
      </c>
      <c r="D8393" s="132" t="n">
        <v>46711</v>
      </c>
      <c r="E8393" s="131" t="s">
        <v>12</v>
      </c>
      <c r="F8393" s="133" t="s">
        <v>11</v>
      </c>
      <c r="G8393" s="134" t="n">
        <f aca="false">LEN('Saisie programme'!$I$286)+SUMIFS('Vols additionnels'!$E$7:$E$66,'Vols additionnels'!$C$7:$C$66,$E8393,'Vols additionnels'!$D$7:$D$66,$F8393,'Vols additionnels'!$B$7:$B$66,$D8393)</f>
        <v>1</v>
      </c>
      <c r="H8393" s="135" t="n">
        <f aca="false">$G8393*'Analyse capacite'!$F$7</f>
        <v>438</v>
      </c>
      <c r="I8393" s="135" t="n">
        <f aca="false">$G8393*'Analyse capacite'!$C$7</f>
        <v>14</v>
      </c>
      <c r="J8393" s="135" t="n">
        <f aca="false">$G8393*'Analyse capacite'!$D$7</f>
        <v>40</v>
      </c>
      <c r="K8393" s="135" t="n">
        <f aca="false">$G8393*'Analyse capacite'!$E$7</f>
        <v>384</v>
      </c>
    </row>
    <row r="8394" customFormat="false" ht="15" hidden="false" customHeight="false" outlineLevel="0" collapsed="false">
      <c r="B8394" s="130" t="n">
        <v>2027</v>
      </c>
      <c r="C8394" s="131" t="s">
        <v>253</v>
      </c>
      <c r="D8394" s="132" t="n">
        <v>46711</v>
      </c>
      <c r="E8394" s="131" t="s">
        <v>12</v>
      </c>
      <c r="F8394" s="133" t="s">
        <v>19</v>
      </c>
      <c r="G8394" s="134" t="n">
        <f aca="false">LEN('Saisie programme'!$I$287)+SUMIFS('Vols additionnels'!$E$7:$E$66,'Vols additionnels'!$C$7:$C$66,$E8394,'Vols additionnels'!$D$7:$D$66,$F8394,'Vols additionnels'!$B$7:$B$66,$D8394)</f>
        <v>0</v>
      </c>
      <c r="H8394" s="135" t="n">
        <f aca="false">$G8394*'Analyse capacite'!$F$8</f>
        <v>0</v>
      </c>
      <c r="I8394" s="135" t="n">
        <f aca="false">$G8394*'Analyse capacite'!$C$8</f>
        <v>0</v>
      </c>
      <c r="J8394" s="135" t="n">
        <f aca="false">$G8394*'Analyse capacite'!$D$8</f>
        <v>0</v>
      </c>
      <c r="K8394" s="135" t="n">
        <f aca="false">$G8394*'Analyse capacite'!$E$8</f>
        <v>0</v>
      </c>
    </row>
    <row r="8395" customFormat="false" ht="15" hidden="false" customHeight="false" outlineLevel="0" collapsed="false">
      <c r="B8395" s="130" t="n">
        <v>2027</v>
      </c>
      <c r="C8395" s="131" t="s">
        <v>253</v>
      </c>
      <c r="D8395" s="132" t="n">
        <v>46711</v>
      </c>
      <c r="E8395" s="131" t="s">
        <v>12</v>
      </c>
      <c r="F8395" s="133" t="s">
        <v>24</v>
      </c>
      <c r="G8395" s="134" t="n">
        <f aca="false">LEN('Saisie programme'!$I$288)+SUMIFS('Vols additionnels'!$E$7:$E$66,'Vols additionnels'!$C$7:$C$66,$E8395,'Vols additionnels'!$D$7:$D$66,$F8395,'Vols additionnels'!$B$7:$B$66,$D8395)</f>
        <v>0</v>
      </c>
      <c r="H8395" s="135" t="n">
        <f aca="false">$G8395*'Analyse capacite'!$F$9</f>
        <v>0</v>
      </c>
      <c r="I8395" s="135" t="n">
        <f aca="false">$G8395*'Analyse capacite'!$C$9</f>
        <v>0</v>
      </c>
      <c r="J8395" s="135" t="n">
        <f aca="false">$G8395*'Analyse capacite'!$D$9</f>
        <v>0</v>
      </c>
      <c r="K8395" s="135" t="n">
        <f aca="false">$G8395*'Analyse capacite'!$E$9</f>
        <v>0</v>
      </c>
    </row>
    <row r="8396" customFormat="false" ht="15" hidden="false" customHeight="false" outlineLevel="0" collapsed="false">
      <c r="B8396" s="130" t="n">
        <v>2027</v>
      </c>
      <c r="C8396" s="131" t="s">
        <v>253</v>
      </c>
      <c r="D8396" s="132" t="n">
        <v>46711</v>
      </c>
      <c r="E8396" s="131" t="s">
        <v>20</v>
      </c>
      <c r="F8396" s="133" t="s">
        <v>11</v>
      </c>
      <c r="G8396" s="134" t="n">
        <f aca="false">LEN('Saisie programme'!$I$289)+SUMIFS('Vols additionnels'!$E$7:$E$66,'Vols additionnels'!$C$7:$C$66,$E8396,'Vols additionnels'!$D$7:$D$66,$F8396,'Vols additionnels'!$B$7:$B$66,$D8396)</f>
        <v>0</v>
      </c>
      <c r="H8396" s="135" t="n">
        <f aca="false">$G8396*'Analyse capacite'!$F$7</f>
        <v>0</v>
      </c>
      <c r="I8396" s="135" t="n">
        <f aca="false">$G8396*'Analyse capacite'!$C$7</f>
        <v>0</v>
      </c>
      <c r="J8396" s="135" t="n">
        <f aca="false">$G8396*'Analyse capacite'!$D$7</f>
        <v>0</v>
      </c>
      <c r="K8396" s="135" t="n">
        <f aca="false">$G8396*'Analyse capacite'!$E$7</f>
        <v>0</v>
      </c>
    </row>
    <row r="8397" customFormat="false" ht="15" hidden="false" customHeight="false" outlineLevel="0" collapsed="false">
      <c r="B8397" s="130" t="n">
        <v>2027</v>
      </c>
      <c r="C8397" s="131" t="s">
        <v>253</v>
      </c>
      <c r="D8397" s="132" t="n">
        <v>46711</v>
      </c>
      <c r="E8397" s="131" t="s">
        <v>20</v>
      </c>
      <c r="F8397" s="133" t="s">
        <v>19</v>
      </c>
      <c r="G8397" s="134" t="n">
        <f aca="false">LEN('Saisie programme'!$I$290)+SUMIFS('Vols additionnels'!$E$7:$E$66,'Vols additionnels'!$C$7:$C$66,$E8397,'Vols additionnels'!$D$7:$D$66,$F8397,'Vols additionnels'!$B$7:$B$66,$D8397)</f>
        <v>0</v>
      </c>
      <c r="H8397" s="135" t="n">
        <f aca="false">$G8397*'Analyse capacite'!$F$8</f>
        <v>0</v>
      </c>
      <c r="I8397" s="135" t="n">
        <f aca="false">$G8397*'Analyse capacite'!$C$8</f>
        <v>0</v>
      </c>
      <c r="J8397" s="135" t="n">
        <f aca="false">$G8397*'Analyse capacite'!$D$8</f>
        <v>0</v>
      </c>
      <c r="K8397" s="135" t="n">
        <f aca="false">$G8397*'Analyse capacite'!$E$8</f>
        <v>0</v>
      </c>
    </row>
    <row r="8398" customFormat="false" ht="15" hidden="false" customHeight="false" outlineLevel="0" collapsed="false">
      <c r="B8398" s="130" t="n">
        <v>2027</v>
      </c>
      <c r="C8398" s="131" t="s">
        <v>253</v>
      </c>
      <c r="D8398" s="132" t="n">
        <v>46711</v>
      </c>
      <c r="E8398" s="131" t="s">
        <v>20</v>
      </c>
      <c r="F8398" s="133" t="s">
        <v>24</v>
      </c>
      <c r="G8398" s="134" t="n">
        <f aca="false">LEN('Saisie programme'!$I$291)+SUMIFS('Vols additionnels'!$E$7:$E$66,'Vols additionnels'!$C$7:$C$66,$E8398,'Vols additionnels'!$D$7:$D$66,$F8398,'Vols additionnels'!$B$7:$B$66,$D8398)</f>
        <v>0</v>
      </c>
      <c r="H8398" s="135" t="n">
        <f aca="false">$G8398*'Analyse capacite'!$F$9</f>
        <v>0</v>
      </c>
      <c r="I8398" s="135" t="n">
        <f aca="false">$G8398*'Analyse capacite'!$C$9</f>
        <v>0</v>
      </c>
      <c r="J8398" s="135" t="n">
        <f aca="false">$G8398*'Analyse capacite'!$D$9</f>
        <v>0</v>
      </c>
      <c r="K8398" s="135" t="n">
        <f aca="false">$G8398*'Analyse capacite'!$E$9</f>
        <v>0</v>
      </c>
    </row>
    <row r="8399" customFormat="false" ht="15" hidden="false" customHeight="false" outlineLevel="0" collapsed="false">
      <c r="B8399" s="130" t="n">
        <v>2027</v>
      </c>
      <c r="C8399" s="131" t="s">
        <v>253</v>
      </c>
      <c r="D8399" s="132" t="n">
        <v>46711</v>
      </c>
      <c r="E8399" s="131" t="s">
        <v>25</v>
      </c>
      <c r="F8399" s="133" t="s">
        <v>11</v>
      </c>
      <c r="G8399" s="134" t="n">
        <f aca="false">LEN('Saisie programme'!$I$292)+SUMIFS('Vols additionnels'!$E$7:$E$66,'Vols additionnels'!$C$7:$C$66,$E8399,'Vols additionnels'!$D$7:$D$66,$F8399,'Vols additionnels'!$B$7:$B$66,$D8399)</f>
        <v>0</v>
      </c>
      <c r="H8399" s="135" t="n">
        <f aca="false">$G8399*'Analyse capacite'!$F$7</f>
        <v>0</v>
      </c>
      <c r="I8399" s="135" t="n">
        <f aca="false">$G8399*'Analyse capacite'!$C$7</f>
        <v>0</v>
      </c>
      <c r="J8399" s="135" t="n">
        <f aca="false">$G8399*'Analyse capacite'!$D$7</f>
        <v>0</v>
      </c>
      <c r="K8399" s="135" t="n">
        <f aca="false">$G8399*'Analyse capacite'!$E$7</f>
        <v>0</v>
      </c>
    </row>
    <row r="8400" customFormat="false" ht="15" hidden="false" customHeight="false" outlineLevel="0" collapsed="false">
      <c r="B8400" s="130" t="n">
        <v>2027</v>
      </c>
      <c r="C8400" s="131" t="s">
        <v>253</v>
      </c>
      <c r="D8400" s="132" t="n">
        <v>46711</v>
      </c>
      <c r="E8400" s="131" t="s">
        <v>25</v>
      </c>
      <c r="F8400" s="133" t="s">
        <v>19</v>
      </c>
      <c r="G8400" s="134" t="n">
        <f aca="false">LEN('Saisie programme'!$I$293)+SUMIFS('Vols additionnels'!$E$7:$E$66,'Vols additionnels'!$C$7:$C$66,$E8400,'Vols additionnels'!$D$7:$D$66,$F8400,'Vols additionnels'!$B$7:$B$66,$D8400)</f>
        <v>1</v>
      </c>
      <c r="H8400" s="135" t="n">
        <f aca="false">$G8400*'Analyse capacite'!$F$8</f>
        <v>262</v>
      </c>
      <c r="I8400" s="135" t="n">
        <f aca="false">$G8400*'Analyse capacite'!$C$8</f>
        <v>18</v>
      </c>
      <c r="J8400" s="135" t="n">
        <f aca="false">$G8400*'Analyse capacite'!$D$8</f>
        <v>0</v>
      </c>
      <c r="K8400" s="135" t="n">
        <f aca="false">$G8400*'Analyse capacite'!$E$8</f>
        <v>244</v>
      </c>
    </row>
    <row r="8401" customFormat="false" ht="15" hidden="false" customHeight="false" outlineLevel="0" collapsed="false">
      <c r="B8401" s="130" t="n">
        <v>2027</v>
      </c>
      <c r="C8401" s="131" t="s">
        <v>253</v>
      </c>
      <c r="D8401" s="132" t="n">
        <v>46711</v>
      </c>
      <c r="E8401" s="131" t="s">
        <v>25</v>
      </c>
      <c r="F8401" s="133" t="s">
        <v>24</v>
      </c>
      <c r="G8401" s="134" t="n">
        <f aca="false">LEN('Saisie programme'!$I$294)+SUMIFS('Vols additionnels'!$E$7:$E$66,'Vols additionnels'!$C$7:$C$66,$E8401,'Vols additionnels'!$D$7:$D$66,$F8401,'Vols additionnels'!$B$7:$B$66,$D8401)</f>
        <v>0</v>
      </c>
      <c r="H8401" s="135" t="n">
        <f aca="false">$G8401*'Analyse capacite'!$F$9</f>
        <v>0</v>
      </c>
      <c r="I8401" s="135" t="n">
        <f aca="false">$G8401*'Analyse capacite'!$C$9</f>
        <v>0</v>
      </c>
      <c r="J8401" s="135" t="n">
        <f aca="false">$G8401*'Analyse capacite'!$D$9</f>
        <v>0</v>
      </c>
      <c r="K8401" s="135" t="n">
        <f aca="false">$G8401*'Analyse capacite'!$E$9</f>
        <v>0</v>
      </c>
    </row>
    <row r="8402" customFormat="false" ht="15" hidden="false" customHeight="false" outlineLevel="0" collapsed="false">
      <c r="B8402" s="130" t="n">
        <v>2027</v>
      </c>
      <c r="C8402" s="131" t="s">
        <v>253</v>
      </c>
      <c r="D8402" s="132" t="n">
        <v>46711</v>
      </c>
      <c r="E8402" s="131" t="s">
        <v>36</v>
      </c>
      <c r="F8402" s="133" t="s">
        <v>11</v>
      </c>
      <c r="G8402" s="134" t="n">
        <f aca="false">LEN('Saisie programme'!$I$295)+SUMIFS('Vols additionnels'!$E$7:$E$66,'Vols additionnels'!$C$7:$C$66,$E8402,'Vols additionnels'!$D$7:$D$66,$F8402,'Vols additionnels'!$B$7:$B$66,$D8402)</f>
        <v>0</v>
      </c>
      <c r="H8402" s="135" t="n">
        <f aca="false">$G8402*'Analyse capacite'!$F$7</f>
        <v>0</v>
      </c>
      <c r="I8402" s="135" t="n">
        <f aca="false">$G8402*'Analyse capacite'!$C$7</f>
        <v>0</v>
      </c>
      <c r="J8402" s="135" t="n">
        <f aca="false">$G8402*'Analyse capacite'!$D$7</f>
        <v>0</v>
      </c>
      <c r="K8402" s="135" t="n">
        <f aca="false">$G8402*'Analyse capacite'!$E$7</f>
        <v>0</v>
      </c>
    </row>
    <row r="8403" customFormat="false" ht="15" hidden="false" customHeight="false" outlineLevel="0" collapsed="false">
      <c r="B8403" s="130" t="n">
        <v>2027</v>
      </c>
      <c r="C8403" s="131" t="s">
        <v>253</v>
      </c>
      <c r="D8403" s="132" t="n">
        <v>46711</v>
      </c>
      <c r="E8403" s="131" t="s">
        <v>36</v>
      </c>
      <c r="F8403" s="133" t="s">
        <v>19</v>
      </c>
      <c r="G8403" s="134" t="n">
        <f aca="false">LEN('Saisie programme'!$I$296)+SUMIFS('Vols additionnels'!$E$7:$E$66,'Vols additionnels'!$C$7:$C$66,$E8403,'Vols additionnels'!$D$7:$D$66,$F8403,'Vols additionnels'!$B$7:$B$66,$D8403)</f>
        <v>0</v>
      </c>
      <c r="H8403" s="135" t="n">
        <f aca="false">$G8403*'Analyse capacite'!$F$8</f>
        <v>0</v>
      </c>
      <c r="I8403" s="135" t="n">
        <f aca="false">$G8403*'Analyse capacite'!$C$8</f>
        <v>0</v>
      </c>
      <c r="J8403" s="135" t="n">
        <f aca="false">$G8403*'Analyse capacite'!$D$8</f>
        <v>0</v>
      </c>
      <c r="K8403" s="135" t="n">
        <f aca="false">$G8403*'Analyse capacite'!$E$8</f>
        <v>0</v>
      </c>
    </row>
    <row r="8404" customFormat="false" ht="15" hidden="false" customHeight="false" outlineLevel="0" collapsed="false">
      <c r="B8404" s="130" t="n">
        <v>2027</v>
      </c>
      <c r="C8404" s="131" t="s">
        <v>253</v>
      </c>
      <c r="D8404" s="132" t="n">
        <v>46711</v>
      </c>
      <c r="E8404" s="131" t="s">
        <v>36</v>
      </c>
      <c r="F8404" s="133" t="s">
        <v>24</v>
      </c>
      <c r="G8404" s="134" t="n">
        <f aca="false">LEN('Saisie programme'!$I$297)+SUMIFS('Vols additionnels'!$E$7:$E$66,'Vols additionnels'!$C$7:$C$66,$E8404,'Vols additionnels'!$D$7:$D$66,$F8404,'Vols additionnels'!$B$7:$B$66,$D8404)</f>
        <v>0</v>
      </c>
      <c r="H8404" s="135" t="n">
        <f aca="false">$G8404*'Analyse capacite'!$F$9</f>
        <v>0</v>
      </c>
      <c r="I8404" s="135" t="n">
        <f aca="false">$G8404*'Analyse capacite'!$C$9</f>
        <v>0</v>
      </c>
      <c r="J8404" s="135" t="n">
        <f aca="false">$G8404*'Analyse capacite'!$D$9</f>
        <v>0</v>
      </c>
      <c r="K8404" s="135" t="n">
        <f aca="false">$G8404*'Analyse capacite'!$E$9</f>
        <v>0</v>
      </c>
    </row>
    <row r="8405" customFormat="false" ht="15" hidden="false" customHeight="false" outlineLevel="0" collapsed="false">
      <c r="B8405" s="130" t="n">
        <v>2027</v>
      </c>
      <c r="C8405" s="131" t="s">
        <v>253</v>
      </c>
      <c r="D8405" s="132" t="n">
        <v>46711</v>
      </c>
      <c r="E8405" s="131" t="s">
        <v>40</v>
      </c>
      <c r="F8405" s="133" t="s">
        <v>11</v>
      </c>
      <c r="G8405" s="134" t="n">
        <f aca="false">LEN('Saisie programme'!$I$298)+SUMIFS('Vols additionnels'!$E$7:$E$66,'Vols additionnels'!$C$7:$C$66,$E8405,'Vols additionnels'!$D$7:$D$66,$F8405,'Vols additionnels'!$B$7:$B$66,$D8405)</f>
        <v>0</v>
      </c>
      <c r="H8405" s="135" t="n">
        <f aca="false">$G8405*'Analyse capacite'!$F$7</f>
        <v>0</v>
      </c>
      <c r="I8405" s="135" t="n">
        <f aca="false">$G8405*'Analyse capacite'!$C$7</f>
        <v>0</v>
      </c>
      <c r="J8405" s="135" t="n">
        <f aca="false">$G8405*'Analyse capacite'!$D$7</f>
        <v>0</v>
      </c>
      <c r="K8405" s="135" t="n">
        <f aca="false">$G8405*'Analyse capacite'!$E$7</f>
        <v>0</v>
      </c>
    </row>
    <row r="8406" customFormat="false" ht="15" hidden="false" customHeight="false" outlineLevel="0" collapsed="false">
      <c r="B8406" s="130" t="n">
        <v>2027</v>
      </c>
      <c r="C8406" s="131" t="s">
        <v>253</v>
      </c>
      <c r="D8406" s="132" t="n">
        <v>46711</v>
      </c>
      <c r="E8406" s="131" t="s">
        <v>40</v>
      </c>
      <c r="F8406" s="133" t="s">
        <v>19</v>
      </c>
      <c r="G8406" s="134" t="n">
        <f aca="false">LEN('Saisie programme'!$I$299)+SUMIFS('Vols additionnels'!$E$7:$E$66,'Vols additionnels'!$C$7:$C$66,$E8406,'Vols additionnels'!$D$7:$D$66,$F8406,'Vols additionnels'!$B$7:$B$66,$D8406)</f>
        <v>0</v>
      </c>
      <c r="H8406" s="135" t="n">
        <f aca="false">$G8406*'Analyse capacite'!$F$8</f>
        <v>0</v>
      </c>
      <c r="I8406" s="135" t="n">
        <f aca="false">$G8406*'Analyse capacite'!$C$8</f>
        <v>0</v>
      </c>
      <c r="J8406" s="135" t="n">
        <f aca="false">$G8406*'Analyse capacite'!$D$8</f>
        <v>0</v>
      </c>
      <c r="K8406" s="135" t="n">
        <f aca="false">$G8406*'Analyse capacite'!$E$8</f>
        <v>0</v>
      </c>
    </row>
    <row r="8407" customFormat="false" ht="15" hidden="false" customHeight="false" outlineLevel="0" collapsed="false">
      <c r="B8407" s="130" t="n">
        <v>2027</v>
      </c>
      <c r="C8407" s="131" t="s">
        <v>253</v>
      </c>
      <c r="D8407" s="132" t="n">
        <v>46711</v>
      </c>
      <c r="E8407" s="131" t="s">
        <v>40</v>
      </c>
      <c r="F8407" s="133" t="s">
        <v>24</v>
      </c>
      <c r="G8407" s="134" t="n">
        <f aca="false">LEN('Saisie programme'!$I$300)+SUMIFS('Vols additionnels'!$E$7:$E$66,'Vols additionnels'!$C$7:$C$66,$E8407,'Vols additionnels'!$D$7:$D$66,$F8407,'Vols additionnels'!$B$7:$B$66,$D8407)</f>
        <v>0</v>
      </c>
      <c r="H8407" s="135" t="n">
        <f aca="false">$G8407*'Analyse capacite'!$F$9</f>
        <v>0</v>
      </c>
      <c r="I8407" s="135" t="n">
        <f aca="false">$G8407*'Analyse capacite'!$C$9</f>
        <v>0</v>
      </c>
      <c r="J8407" s="135" t="n">
        <f aca="false">$G8407*'Analyse capacite'!$D$9</f>
        <v>0</v>
      </c>
      <c r="K8407" s="135" t="n">
        <f aca="false">$G8407*'Analyse capacite'!$E$9</f>
        <v>0</v>
      </c>
    </row>
    <row r="8408" customFormat="false" ht="15" hidden="false" customHeight="false" outlineLevel="0" collapsed="false">
      <c r="B8408" s="130" t="n">
        <v>2027</v>
      </c>
      <c r="C8408" s="131" t="s">
        <v>253</v>
      </c>
      <c r="D8408" s="132" t="n">
        <v>46711</v>
      </c>
      <c r="E8408" s="131" t="s">
        <v>14</v>
      </c>
      <c r="F8408" s="133" t="s">
        <v>11</v>
      </c>
      <c r="G8408" s="134" t="n">
        <f aca="false">LEN('Saisie programme'!$I$301)+SUMIFS('Vols additionnels'!$E$7:$E$66,'Vols additionnels'!$C$7:$C$66,$E8408,'Vols additionnels'!$D$7:$D$66,$F8408,'Vols additionnels'!$B$7:$B$66,$D8408)</f>
        <v>0</v>
      </c>
      <c r="H8408" s="135" t="n">
        <f aca="false">$G8408*'Analyse capacite'!$F$7</f>
        <v>0</v>
      </c>
      <c r="I8408" s="135" t="n">
        <f aca="false">$G8408*'Analyse capacite'!$C$7</f>
        <v>0</v>
      </c>
      <c r="J8408" s="135" t="n">
        <f aca="false">$G8408*'Analyse capacite'!$D$7</f>
        <v>0</v>
      </c>
      <c r="K8408" s="135" t="n">
        <f aca="false">$G8408*'Analyse capacite'!$E$7</f>
        <v>0</v>
      </c>
    </row>
    <row r="8409" customFormat="false" ht="15" hidden="false" customHeight="false" outlineLevel="0" collapsed="false">
      <c r="B8409" s="130" t="n">
        <v>2027</v>
      </c>
      <c r="C8409" s="131" t="s">
        <v>253</v>
      </c>
      <c r="D8409" s="132" t="n">
        <v>46711</v>
      </c>
      <c r="E8409" s="131" t="s">
        <v>14</v>
      </c>
      <c r="F8409" s="133" t="s">
        <v>19</v>
      </c>
      <c r="G8409" s="134" t="n">
        <f aca="false">LEN('Saisie programme'!$I$302)+SUMIFS('Vols additionnels'!$E$7:$E$66,'Vols additionnels'!$C$7:$C$66,$E8409,'Vols additionnels'!$D$7:$D$66,$F8409,'Vols additionnels'!$B$7:$B$66,$D8409)</f>
        <v>0</v>
      </c>
      <c r="H8409" s="135" t="n">
        <f aca="false">$G8409*'Analyse capacite'!$F$8</f>
        <v>0</v>
      </c>
      <c r="I8409" s="135" t="n">
        <f aca="false">$G8409*'Analyse capacite'!$C$8</f>
        <v>0</v>
      </c>
      <c r="J8409" s="135" t="n">
        <f aca="false">$G8409*'Analyse capacite'!$D$8</f>
        <v>0</v>
      </c>
      <c r="K8409" s="135" t="n">
        <f aca="false">$G8409*'Analyse capacite'!$E$8</f>
        <v>0</v>
      </c>
    </row>
    <row r="8410" customFormat="false" ht="15" hidden="false" customHeight="false" outlineLevel="0" collapsed="false">
      <c r="B8410" s="130" t="n">
        <v>2027</v>
      </c>
      <c r="C8410" s="131" t="s">
        <v>253</v>
      </c>
      <c r="D8410" s="132" t="n">
        <v>46711</v>
      </c>
      <c r="E8410" s="131" t="s">
        <v>14</v>
      </c>
      <c r="F8410" s="133" t="s">
        <v>24</v>
      </c>
      <c r="G8410" s="134" t="n">
        <f aca="false">LEN('Saisie programme'!$I$303)+SUMIFS('Vols additionnels'!$E$7:$E$66,'Vols additionnels'!$C$7:$C$66,$E8410,'Vols additionnels'!$D$7:$D$66,$F8410,'Vols additionnels'!$B$7:$B$66,$D8410)</f>
        <v>1</v>
      </c>
      <c r="H8410" s="135" t="n">
        <f aca="false">$G8410*'Analyse capacite'!$F$9</f>
        <v>174</v>
      </c>
      <c r="I8410" s="135" t="n">
        <f aca="false">$G8410*'Analyse capacite'!$C$9</f>
        <v>0</v>
      </c>
      <c r="J8410" s="135" t="n">
        <f aca="false">$G8410*'Analyse capacite'!$D$9</f>
        <v>12</v>
      </c>
      <c r="K8410" s="135" t="n">
        <f aca="false">$G8410*'Analyse capacite'!$E$9</f>
        <v>162</v>
      </c>
    </row>
    <row r="8411" customFormat="false" ht="15" hidden="false" customHeight="false" outlineLevel="0" collapsed="false">
      <c r="B8411" s="130" t="n">
        <v>2027</v>
      </c>
      <c r="C8411" s="131" t="s">
        <v>253</v>
      </c>
      <c r="D8411" s="132" t="n">
        <v>46711</v>
      </c>
      <c r="E8411" s="131" t="s">
        <v>46</v>
      </c>
      <c r="F8411" s="133" t="s">
        <v>11</v>
      </c>
      <c r="G8411" s="134" t="n">
        <f aca="false">LEN('Saisie programme'!$I$304)+SUMIFS('Vols additionnels'!$E$7:$E$66,'Vols additionnels'!$C$7:$C$66,$E8411,'Vols additionnels'!$D$7:$D$66,$F8411,'Vols additionnels'!$B$7:$B$66,$D8411)</f>
        <v>0</v>
      </c>
      <c r="H8411" s="135" t="n">
        <f aca="false">$G8411*'Analyse capacite'!$F$7</f>
        <v>0</v>
      </c>
      <c r="I8411" s="135" t="n">
        <f aca="false">$G8411*'Analyse capacite'!$C$7</f>
        <v>0</v>
      </c>
      <c r="J8411" s="135" t="n">
        <f aca="false">$G8411*'Analyse capacite'!$D$7</f>
        <v>0</v>
      </c>
      <c r="K8411" s="135" t="n">
        <f aca="false">$G8411*'Analyse capacite'!$E$7</f>
        <v>0</v>
      </c>
    </row>
    <row r="8412" customFormat="false" ht="15" hidden="false" customHeight="false" outlineLevel="0" collapsed="false">
      <c r="B8412" s="130" t="n">
        <v>2027</v>
      </c>
      <c r="C8412" s="131" t="s">
        <v>253</v>
      </c>
      <c r="D8412" s="132" t="n">
        <v>46711</v>
      </c>
      <c r="E8412" s="131" t="s">
        <v>46</v>
      </c>
      <c r="F8412" s="133" t="s">
        <v>19</v>
      </c>
      <c r="G8412" s="134" t="n">
        <f aca="false">LEN('Saisie programme'!$I$305)+SUMIFS('Vols additionnels'!$E$7:$E$66,'Vols additionnels'!$C$7:$C$66,$E8412,'Vols additionnels'!$D$7:$D$66,$F8412,'Vols additionnels'!$B$7:$B$66,$D8412)</f>
        <v>0</v>
      </c>
      <c r="H8412" s="135" t="n">
        <f aca="false">$G8412*'Analyse capacite'!$F$8</f>
        <v>0</v>
      </c>
      <c r="I8412" s="135" t="n">
        <f aca="false">$G8412*'Analyse capacite'!$C$8</f>
        <v>0</v>
      </c>
      <c r="J8412" s="135" t="n">
        <f aca="false">$G8412*'Analyse capacite'!$D$8</f>
        <v>0</v>
      </c>
      <c r="K8412" s="135" t="n">
        <f aca="false">$G8412*'Analyse capacite'!$E$8</f>
        <v>0</v>
      </c>
    </row>
    <row r="8413" customFormat="false" ht="15" hidden="false" customHeight="false" outlineLevel="0" collapsed="false">
      <c r="B8413" s="130" t="n">
        <v>2027</v>
      </c>
      <c r="C8413" s="131" t="s">
        <v>253</v>
      </c>
      <c r="D8413" s="132" t="n">
        <v>46711</v>
      </c>
      <c r="E8413" s="131" t="s">
        <v>46</v>
      </c>
      <c r="F8413" s="133" t="s">
        <v>24</v>
      </c>
      <c r="G8413" s="134" t="n">
        <f aca="false">LEN('Saisie programme'!$I$306)+SUMIFS('Vols additionnels'!$E$7:$E$66,'Vols additionnels'!$C$7:$C$66,$E8413,'Vols additionnels'!$D$7:$D$66,$F8413,'Vols additionnels'!$B$7:$B$66,$D8413)</f>
        <v>1</v>
      </c>
      <c r="H8413" s="135" t="n">
        <f aca="false">$G8413*'Analyse capacite'!$F$9</f>
        <v>174</v>
      </c>
      <c r="I8413" s="135" t="n">
        <f aca="false">$G8413*'Analyse capacite'!$C$9</f>
        <v>0</v>
      </c>
      <c r="J8413" s="135" t="n">
        <f aca="false">$G8413*'Analyse capacite'!$D$9</f>
        <v>12</v>
      </c>
      <c r="K8413" s="135" t="n">
        <f aca="false">$G8413*'Analyse capacite'!$E$9</f>
        <v>162</v>
      </c>
    </row>
    <row r="8414" customFormat="false" ht="15" hidden="false" customHeight="false" outlineLevel="0" collapsed="false">
      <c r="B8414" s="130" t="n">
        <v>2027</v>
      </c>
      <c r="C8414" s="131" t="s">
        <v>253</v>
      </c>
      <c r="D8414" s="132" t="n">
        <v>46711</v>
      </c>
      <c r="E8414" s="131" t="s">
        <v>49</v>
      </c>
      <c r="F8414" s="133" t="s">
        <v>11</v>
      </c>
      <c r="G8414" s="134" t="n">
        <f aca="false">LEN('Saisie programme'!$I$307)+SUMIFS('Vols additionnels'!$E$7:$E$66,'Vols additionnels'!$C$7:$C$66,$E8414,'Vols additionnels'!$D$7:$D$66,$F8414,'Vols additionnels'!$B$7:$B$66,$D8414)</f>
        <v>0</v>
      </c>
      <c r="H8414" s="135" t="n">
        <f aca="false">$G8414*'Analyse capacite'!$F$7</f>
        <v>0</v>
      </c>
      <c r="I8414" s="135" t="n">
        <f aca="false">$G8414*'Analyse capacite'!$C$7</f>
        <v>0</v>
      </c>
      <c r="J8414" s="135" t="n">
        <f aca="false">$G8414*'Analyse capacite'!$D$7</f>
        <v>0</v>
      </c>
      <c r="K8414" s="135" t="n">
        <f aca="false">$G8414*'Analyse capacite'!$E$7</f>
        <v>0</v>
      </c>
    </row>
    <row r="8415" customFormat="false" ht="15" hidden="false" customHeight="false" outlineLevel="0" collapsed="false">
      <c r="B8415" s="130" t="n">
        <v>2027</v>
      </c>
      <c r="C8415" s="131" t="s">
        <v>253</v>
      </c>
      <c r="D8415" s="132" t="n">
        <v>46711</v>
      </c>
      <c r="E8415" s="131" t="s">
        <v>49</v>
      </c>
      <c r="F8415" s="133" t="s">
        <v>19</v>
      </c>
      <c r="G8415" s="134" t="n">
        <f aca="false">LEN('Saisie programme'!$I$308)+SUMIFS('Vols additionnels'!$E$7:$E$66,'Vols additionnels'!$C$7:$C$66,$E8415,'Vols additionnels'!$D$7:$D$66,$F8415,'Vols additionnels'!$B$7:$B$66,$D8415)</f>
        <v>0</v>
      </c>
      <c r="H8415" s="135" t="n">
        <f aca="false">$G8415*'Analyse capacite'!$F$8</f>
        <v>0</v>
      </c>
      <c r="I8415" s="135" t="n">
        <f aca="false">$G8415*'Analyse capacite'!$C$8</f>
        <v>0</v>
      </c>
      <c r="J8415" s="135" t="n">
        <f aca="false">$G8415*'Analyse capacite'!$D$8</f>
        <v>0</v>
      </c>
      <c r="K8415" s="135" t="n">
        <f aca="false">$G8415*'Analyse capacite'!$E$8</f>
        <v>0</v>
      </c>
    </row>
    <row r="8416" customFormat="false" ht="15" hidden="false" customHeight="false" outlineLevel="0" collapsed="false">
      <c r="B8416" s="130" t="n">
        <v>2027</v>
      </c>
      <c r="C8416" s="131" t="s">
        <v>253</v>
      </c>
      <c r="D8416" s="132" t="n">
        <v>46711</v>
      </c>
      <c r="E8416" s="131" t="s">
        <v>49</v>
      </c>
      <c r="F8416" s="133" t="s">
        <v>24</v>
      </c>
      <c r="G8416" s="134" t="n">
        <f aca="false">LEN('Saisie programme'!$I$309)+SUMIFS('Vols additionnels'!$E$7:$E$66,'Vols additionnels'!$C$7:$C$66,$E8416,'Vols additionnels'!$D$7:$D$66,$F8416,'Vols additionnels'!$B$7:$B$66,$D8416)</f>
        <v>0</v>
      </c>
      <c r="H8416" s="135" t="n">
        <f aca="false">$G8416*'Analyse capacite'!$F$9</f>
        <v>0</v>
      </c>
      <c r="I8416" s="135" t="n">
        <f aca="false">$G8416*'Analyse capacite'!$C$9</f>
        <v>0</v>
      </c>
      <c r="J8416" s="135" t="n">
        <f aca="false">$G8416*'Analyse capacite'!$D$9</f>
        <v>0</v>
      </c>
      <c r="K8416" s="135" t="n">
        <f aca="false">$G8416*'Analyse capacite'!$E$9</f>
        <v>0</v>
      </c>
    </row>
    <row r="8417" customFormat="false" ht="15" hidden="false" customHeight="false" outlineLevel="0" collapsed="false">
      <c r="B8417" s="130" t="n">
        <v>2027</v>
      </c>
      <c r="C8417" s="131" t="s">
        <v>253</v>
      </c>
      <c r="D8417" s="132" t="n">
        <v>46711</v>
      </c>
      <c r="E8417" s="131" t="s">
        <v>53</v>
      </c>
      <c r="F8417" s="133" t="s">
        <v>11</v>
      </c>
      <c r="G8417" s="134" t="n">
        <f aca="false">LEN('Saisie programme'!$I$310)+SUMIFS('Vols additionnels'!$E$7:$E$66,'Vols additionnels'!$C$7:$C$66,$E8417,'Vols additionnels'!$D$7:$D$66,$F8417,'Vols additionnels'!$B$7:$B$66,$D8417)</f>
        <v>0</v>
      </c>
      <c r="H8417" s="135" t="n">
        <f aca="false">$G8417*'Analyse capacite'!$F$7</f>
        <v>0</v>
      </c>
      <c r="I8417" s="135" t="n">
        <f aca="false">$G8417*'Analyse capacite'!$C$7</f>
        <v>0</v>
      </c>
      <c r="J8417" s="135" t="n">
        <f aca="false">$G8417*'Analyse capacite'!$D$7</f>
        <v>0</v>
      </c>
      <c r="K8417" s="135" t="n">
        <f aca="false">$G8417*'Analyse capacite'!$E$7</f>
        <v>0</v>
      </c>
    </row>
    <row r="8418" customFormat="false" ht="15" hidden="false" customHeight="false" outlineLevel="0" collapsed="false">
      <c r="B8418" s="130" t="n">
        <v>2027</v>
      </c>
      <c r="C8418" s="131" t="s">
        <v>253</v>
      </c>
      <c r="D8418" s="132" t="n">
        <v>46711</v>
      </c>
      <c r="E8418" s="131" t="s">
        <v>53</v>
      </c>
      <c r="F8418" s="133" t="s">
        <v>19</v>
      </c>
      <c r="G8418" s="134" t="n">
        <f aca="false">LEN('Saisie programme'!$I$311)+SUMIFS('Vols additionnels'!$E$7:$E$66,'Vols additionnels'!$C$7:$C$66,$E8418,'Vols additionnels'!$D$7:$D$66,$F8418,'Vols additionnels'!$B$7:$B$66,$D8418)</f>
        <v>0</v>
      </c>
      <c r="H8418" s="135" t="n">
        <f aca="false">$G8418*'Analyse capacite'!$F$8</f>
        <v>0</v>
      </c>
      <c r="I8418" s="135" t="n">
        <f aca="false">$G8418*'Analyse capacite'!$C$8</f>
        <v>0</v>
      </c>
      <c r="J8418" s="135" t="n">
        <f aca="false">$G8418*'Analyse capacite'!$D$8</f>
        <v>0</v>
      </c>
      <c r="K8418" s="135" t="n">
        <f aca="false">$G8418*'Analyse capacite'!$E$8</f>
        <v>0</v>
      </c>
    </row>
    <row r="8419" customFormat="false" ht="15" hidden="false" customHeight="false" outlineLevel="0" collapsed="false">
      <c r="B8419" s="130" t="n">
        <v>2027</v>
      </c>
      <c r="C8419" s="131" t="s">
        <v>253</v>
      </c>
      <c r="D8419" s="132" t="n">
        <v>46711</v>
      </c>
      <c r="E8419" s="131" t="s">
        <v>53</v>
      </c>
      <c r="F8419" s="133" t="s">
        <v>24</v>
      </c>
      <c r="G8419" s="134" t="n">
        <f aca="false">LEN('Saisie programme'!$I$312)+SUMIFS('Vols additionnels'!$E$7:$E$66,'Vols additionnels'!$C$7:$C$66,$E8419,'Vols additionnels'!$D$7:$D$66,$F8419,'Vols additionnels'!$B$7:$B$66,$D8419)</f>
        <v>0</v>
      </c>
      <c r="H8419" s="135" t="n">
        <f aca="false">$G8419*'Analyse capacite'!$F$9</f>
        <v>0</v>
      </c>
      <c r="I8419" s="135" t="n">
        <f aca="false">$G8419*'Analyse capacite'!$C$9</f>
        <v>0</v>
      </c>
      <c r="J8419" s="135" t="n">
        <f aca="false">$G8419*'Analyse capacite'!$D$9</f>
        <v>0</v>
      </c>
      <c r="K8419" s="135" t="n">
        <f aca="false">$G8419*'Analyse capacite'!$E$9</f>
        <v>0</v>
      </c>
    </row>
    <row r="8420" customFormat="false" ht="15" hidden="false" customHeight="false" outlineLevel="0" collapsed="false">
      <c r="B8420" s="130" t="n">
        <v>2027</v>
      </c>
      <c r="C8420" s="131" t="s">
        <v>253</v>
      </c>
      <c r="D8420" s="132" t="n">
        <v>46711</v>
      </c>
      <c r="E8420" s="131" t="s">
        <v>56</v>
      </c>
      <c r="F8420" s="133" t="s">
        <v>11</v>
      </c>
      <c r="G8420" s="134" t="n">
        <f aca="false">LEN('Saisie programme'!$I$313)+SUMIFS('Vols additionnels'!$E$7:$E$66,'Vols additionnels'!$C$7:$C$66,$E8420,'Vols additionnels'!$D$7:$D$66,$F8420,'Vols additionnels'!$B$7:$B$66,$D8420)</f>
        <v>0</v>
      </c>
      <c r="H8420" s="135" t="n">
        <f aca="false">$G8420*'Analyse capacite'!$F$7</f>
        <v>0</v>
      </c>
      <c r="I8420" s="135" t="n">
        <f aca="false">$G8420*'Analyse capacite'!$C$7</f>
        <v>0</v>
      </c>
      <c r="J8420" s="135" t="n">
        <f aca="false">$G8420*'Analyse capacite'!$D$7</f>
        <v>0</v>
      </c>
      <c r="K8420" s="135" t="n">
        <f aca="false">$G8420*'Analyse capacite'!$E$7</f>
        <v>0</v>
      </c>
    </row>
    <row r="8421" customFormat="false" ht="15" hidden="false" customHeight="false" outlineLevel="0" collapsed="false">
      <c r="B8421" s="130" t="n">
        <v>2027</v>
      </c>
      <c r="C8421" s="131" t="s">
        <v>253</v>
      </c>
      <c r="D8421" s="132" t="n">
        <v>46711</v>
      </c>
      <c r="E8421" s="131" t="s">
        <v>56</v>
      </c>
      <c r="F8421" s="133" t="s">
        <v>19</v>
      </c>
      <c r="G8421" s="134" t="n">
        <f aca="false">LEN('Saisie programme'!$I$314)+SUMIFS('Vols additionnels'!$E$7:$E$66,'Vols additionnels'!$C$7:$C$66,$E8421,'Vols additionnels'!$D$7:$D$66,$F8421,'Vols additionnels'!$B$7:$B$66,$D8421)</f>
        <v>0</v>
      </c>
      <c r="H8421" s="135" t="n">
        <f aca="false">$G8421*'Analyse capacite'!$F$8</f>
        <v>0</v>
      </c>
      <c r="I8421" s="135" t="n">
        <f aca="false">$G8421*'Analyse capacite'!$C$8</f>
        <v>0</v>
      </c>
      <c r="J8421" s="135" t="n">
        <f aca="false">$G8421*'Analyse capacite'!$D$8</f>
        <v>0</v>
      </c>
      <c r="K8421" s="135" t="n">
        <f aca="false">$G8421*'Analyse capacite'!$E$8</f>
        <v>0</v>
      </c>
    </row>
    <row r="8422" customFormat="false" ht="15" hidden="false" customHeight="false" outlineLevel="0" collapsed="false">
      <c r="B8422" s="130" t="n">
        <v>2027</v>
      </c>
      <c r="C8422" s="131" t="s">
        <v>253</v>
      </c>
      <c r="D8422" s="132" t="n">
        <v>46711</v>
      </c>
      <c r="E8422" s="131" t="s">
        <v>56</v>
      </c>
      <c r="F8422" s="133" t="s">
        <v>24</v>
      </c>
      <c r="G8422" s="134" t="n">
        <f aca="false">LEN('Saisie programme'!$I$315)+SUMIFS('Vols additionnels'!$E$7:$E$66,'Vols additionnels'!$C$7:$C$66,$E8422,'Vols additionnels'!$D$7:$D$66,$F8422,'Vols additionnels'!$B$7:$B$66,$D8422)</f>
        <v>1</v>
      </c>
      <c r="H8422" s="135" t="n">
        <f aca="false">$G8422*'Analyse capacite'!$F$9</f>
        <v>174</v>
      </c>
      <c r="I8422" s="135" t="n">
        <f aca="false">$G8422*'Analyse capacite'!$C$9</f>
        <v>0</v>
      </c>
      <c r="J8422" s="135" t="n">
        <f aca="false">$G8422*'Analyse capacite'!$D$9</f>
        <v>12</v>
      </c>
      <c r="K8422" s="135" t="n">
        <f aca="false">$G8422*'Analyse capacite'!$E$9</f>
        <v>162</v>
      </c>
    </row>
    <row r="8423" customFormat="false" ht="15" hidden="false" customHeight="false" outlineLevel="0" collapsed="false">
      <c r="B8423" s="130" t="n">
        <v>2027</v>
      </c>
      <c r="C8423" s="131" t="s">
        <v>253</v>
      </c>
      <c r="D8423" s="132" t="n">
        <v>46711</v>
      </c>
      <c r="E8423" s="131" t="s">
        <v>59</v>
      </c>
      <c r="F8423" s="133" t="s">
        <v>11</v>
      </c>
      <c r="G8423" s="134" t="n">
        <f aca="false">LEN('Saisie programme'!$I$316)+SUMIFS('Vols additionnels'!$E$7:$E$66,'Vols additionnels'!$C$7:$C$66,$E8423,'Vols additionnels'!$D$7:$D$66,$F8423,'Vols additionnels'!$B$7:$B$66,$D8423)</f>
        <v>0</v>
      </c>
      <c r="H8423" s="135" t="n">
        <f aca="false">$G8423*'Analyse capacite'!$F$7</f>
        <v>0</v>
      </c>
      <c r="I8423" s="135" t="n">
        <f aca="false">$G8423*'Analyse capacite'!$C$7</f>
        <v>0</v>
      </c>
      <c r="J8423" s="135" t="n">
        <f aca="false">$G8423*'Analyse capacite'!$D$7</f>
        <v>0</v>
      </c>
      <c r="K8423" s="135" t="n">
        <f aca="false">$G8423*'Analyse capacite'!$E$7</f>
        <v>0</v>
      </c>
    </row>
    <row r="8424" customFormat="false" ht="15" hidden="false" customHeight="false" outlineLevel="0" collapsed="false">
      <c r="B8424" s="130" t="n">
        <v>2027</v>
      </c>
      <c r="C8424" s="131" t="s">
        <v>253</v>
      </c>
      <c r="D8424" s="132" t="n">
        <v>46711</v>
      </c>
      <c r="E8424" s="131" t="s">
        <v>59</v>
      </c>
      <c r="F8424" s="133" t="s">
        <v>19</v>
      </c>
      <c r="G8424" s="134" t="n">
        <f aca="false">LEN('Saisie programme'!$I$317)+SUMIFS('Vols additionnels'!$E$7:$E$66,'Vols additionnels'!$C$7:$C$66,$E8424,'Vols additionnels'!$D$7:$D$66,$F8424,'Vols additionnels'!$B$7:$B$66,$D8424)</f>
        <v>0</v>
      </c>
      <c r="H8424" s="135" t="n">
        <f aca="false">$G8424*'Analyse capacite'!$F$8</f>
        <v>0</v>
      </c>
      <c r="I8424" s="135" t="n">
        <f aca="false">$G8424*'Analyse capacite'!$C$8</f>
        <v>0</v>
      </c>
      <c r="J8424" s="135" t="n">
        <f aca="false">$G8424*'Analyse capacite'!$D$8</f>
        <v>0</v>
      </c>
      <c r="K8424" s="135" t="n">
        <f aca="false">$G8424*'Analyse capacite'!$E$8</f>
        <v>0</v>
      </c>
    </row>
    <row r="8425" customFormat="false" ht="15" hidden="false" customHeight="false" outlineLevel="0" collapsed="false">
      <c r="B8425" s="130" t="n">
        <v>2027</v>
      </c>
      <c r="C8425" s="131" t="s">
        <v>253</v>
      </c>
      <c r="D8425" s="132" t="n">
        <v>46711</v>
      </c>
      <c r="E8425" s="131" t="s">
        <v>59</v>
      </c>
      <c r="F8425" s="133" t="s">
        <v>24</v>
      </c>
      <c r="G8425" s="134" t="n">
        <f aca="false">LEN('Saisie programme'!$I$318)+SUMIFS('Vols additionnels'!$E$7:$E$66,'Vols additionnels'!$C$7:$C$66,$E8425,'Vols additionnels'!$D$7:$D$66,$F8425,'Vols additionnels'!$B$7:$B$66,$D8425)</f>
        <v>1</v>
      </c>
      <c r="H8425" s="135" t="n">
        <f aca="false">$G8425*'Analyse capacite'!$F$9</f>
        <v>174</v>
      </c>
      <c r="I8425" s="135" t="n">
        <f aca="false">$G8425*'Analyse capacite'!$C$9</f>
        <v>0</v>
      </c>
      <c r="J8425" s="135" t="n">
        <f aca="false">$G8425*'Analyse capacite'!$D$9</f>
        <v>12</v>
      </c>
      <c r="K8425" s="135" t="n">
        <f aca="false">$G8425*'Analyse capacite'!$E$9</f>
        <v>162</v>
      </c>
    </row>
    <row r="8426" customFormat="false" ht="15" hidden="false" customHeight="false" outlineLevel="0" collapsed="false">
      <c r="B8426" s="130" t="n">
        <v>2027</v>
      </c>
      <c r="C8426" s="131" t="s">
        <v>253</v>
      </c>
      <c r="D8426" s="132" t="n">
        <v>46711</v>
      </c>
      <c r="E8426" s="131" t="s">
        <v>62</v>
      </c>
      <c r="F8426" s="133" t="s">
        <v>11</v>
      </c>
      <c r="G8426" s="134" t="n">
        <f aca="false">LEN('Saisie programme'!$I$319)+SUMIFS('Vols additionnels'!$E$7:$E$66,'Vols additionnels'!$C$7:$C$66,$E8426,'Vols additionnels'!$D$7:$D$66,$F8426,'Vols additionnels'!$B$7:$B$66,$D8426)</f>
        <v>0</v>
      </c>
      <c r="H8426" s="135" t="n">
        <f aca="false">$G8426*'Analyse capacite'!$F$7</f>
        <v>0</v>
      </c>
      <c r="I8426" s="135" t="n">
        <f aca="false">$G8426*'Analyse capacite'!$C$7</f>
        <v>0</v>
      </c>
      <c r="J8426" s="135" t="n">
        <f aca="false">$G8426*'Analyse capacite'!$D$7</f>
        <v>0</v>
      </c>
      <c r="K8426" s="135" t="n">
        <f aca="false">$G8426*'Analyse capacite'!$E$7</f>
        <v>0</v>
      </c>
    </row>
    <row r="8427" customFormat="false" ht="15" hidden="false" customHeight="false" outlineLevel="0" collapsed="false">
      <c r="B8427" s="130" t="n">
        <v>2027</v>
      </c>
      <c r="C8427" s="131" t="s">
        <v>253</v>
      </c>
      <c r="D8427" s="132" t="n">
        <v>46711</v>
      </c>
      <c r="E8427" s="131" t="s">
        <v>62</v>
      </c>
      <c r="F8427" s="133" t="s">
        <v>19</v>
      </c>
      <c r="G8427" s="134" t="n">
        <f aca="false">LEN('Saisie programme'!$I$320)+SUMIFS('Vols additionnels'!$E$7:$E$66,'Vols additionnels'!$C$7:$C$66,$E8427,'Vols additionnels'!$D$7:$D$66,$F8427,'Vols additionnels'!$B$7:$B$66,$D8427)</f>
        <v>0</v>
      </c>
      <c r="H8427" s="135" t="n">
        <f aca="false">$G8427*'Analyse capacite'!$F$8</f>
        <v>0</v>
      </c>
      <c r="I8427" s="135" t="n">
        <f aca="false">$G8427*'Analyse capacite'!$C$8</f>
        <v>0</v>
      </c>
      <c r="J8427" s="135" t="n">
        <f aca="false">$G8427*'Analyse capacite'!$D$8</f>
        <v>0</v>
      </c>
      <c r="K8427" s="135" t="n">
        <f aca="false">$G8427*'Analyse capacite'!$E$8</f>
        <v>0</v>
      </c>
    </row>
    <row r="8428" customFormat="false" ht="15" hidden="false" customHeight="false" outlineLevel="0" collapsed="false">
      <c r="B8428" s="130" t="n">
        <v>2027</v>
      </c>
      <c r="C8428" s="131" t="s">
        <v>253</v>
      </c>
      <c r="D8428" s="132" t="n">
        <v>46711</v>
      </c>
      <c r="E8428" s="131" t="s">
        <v>62</v>
      </c>
      <c r="F8428" s="133" t="s">
        <v>24</v>
      </c>
      <c r="G8428" s="134" t="n">
        <f aca="false">LEN('Saisie programme'!$I$321)+SUMIFS('Vols additionnels'!$E$7:$E$66,'Vols additionnels'!$C$7:$C$66,$E8428,'Vols additionnels'!$D$7:$D$66,$F8428,'Vols additionnels'!$B$7:$B$66,$D8428)</f>
        <v>0</v>
      </c>
      <c r="H8428" s="135" t="n">
        <f aca="false">$G8428*'Analyse capacite'!$F$9</f>
        <v>0</v>
      </c>
      <c r="I8428" s="135" t="n">
        <f aca="false">$G8428*'Analyse capacite'!$C$9</f>
        <v>0</v>
      </c>
      <c r="J8428" s="135" t="n">
        <f aca="false">$G8428*'Analyse capacite'!$D$9</f>
        <v>0</v>
      </c>
      <c r="K8428" s="135" t="n">
        <f aca="false">$G8428*'Analyse capacite'!$E$9</f>
        <v>0</v>
      </c>
    </row>
    <row r="8429" customFormat="false" ht="15" hidden="false" customHeight="false" outlineLevel="0" collapsed="false">
      <c r="B8429" s="130" t="n">
        <v>2027</v>
      </c>
      <c r="C8429" s="131" t="s">
        <v>253</v>
      </c>
      <c r="D8429" s="132" t="n">
        <v>46712</v>
      </c>
      <c r="E8429" s="131" t="s">
        <v>12</v>
      </c>
      <c r="F8429" s="133" t="s">
        <v>11</v>
      </c>
      <c r="G8429" s="134" t="n">
        <f aca="false">LEN('Saisie programme'!$J$286)+SUMIFS('Vols additionnels'!$E$7:$E$66,'Vols additionnels'!$C$7:$C$66,$E8429,'Vols additionnels'!$D$7:$D$66,$F8429,'Vols additionnels'!$B$7:$B$66,$D8429)</f>
        <v>1</v>
      </c>
      <c r="H8429" s="135" t="n">
        <f aca="false">$G8429*'Analyse capacite'!$F$7</f>
        <v>438</v>
      </c>
      <c r="I8429" s="135" t="n">
        <f aca="false">$G8429*'Analyse capacite'!$C$7</f>
        <v>14</v>
      </c>
      <c r="J8429" s="135" t="n">
        <f aca="false">$G8429*'Analyse capacite'!$D$7</f>
        <v>40</v>
      </c>
      <c r="K8429" s="135" t="n">
        <f aca="false">$G8429*'Analyse capacite'!$E$7</f>
        <v>384</v>
      </c>
    </row>
    <row r="8430" customFormat="false" ht="15" hidden="false" customHeight="false" outlineLevel="0" collapsed="false">
      <c r="B8430" s="130" t="n">
        <v>2027</v>
      </c>
      <c r="C8430" s="131" t="s">
        <v>253</v>
      </c>
      <c r="D8430" s="132" t="n">
        <v>46712</v>
      </c>
      <c r="E8430" s="131" t="s">
        <v>12</v>
      </c>
      <c r="F8430" s="133" t="s">
        <v>19</v>
      </c>
      <c r="G8430" s="134" t="n">
        <f aca="false">LEN('Saisie programme'!$J$287)+SUMIFS('Vols additionnels'!$E$7:$E$66,'Vols additionnels'!$C$7:$C$66,$E8430,'Vols additionnels'!$D$7:$D$66,$F8430,'Vols additionnels'!$B$7:$B$66,$D8430)</f>
        <v>0</v>
      </c>
      <c r="H8430" s="135" t="n">
        <f aca="false">$G8430*'Analyse capacite'!$F$8</f>
        <v>0</v>
      </c>
      <c r="I8430" s="135" t="n">
        <f aca="false">$G8430*'Analyse capacite'!$C$8</f>
        <v>0</v>
      </c>
      <c r="J8430" s="135" t="n">
        <f aca="false">$G8430*'Analyse capacite'!$D$8</f>
        <v>0</v>
      </c>
      <c r="K8430" s="135" t="n">
        <f aca="false">$G8430*'Analyse capacite'!$E$8</f>
        <v>0</v>
      </c>
    </row>
    <row r="8431" customFormat="false" ht="15" hidden="false" customHeight="false" outlineLevel="0" collapsed="false">
      <c r="B8431" s="130" t="n">
        <v>2027</v>
      </c>
      <c r="C8431" s="131" t="s">
        <v>253</v>
      </c>
      <c r="D8431" s="132" t="n">
        <v>46712</v>
      </c>
      <c r="E8431" s="131" t="s">
        <v>12</v>
      </c>
      <c r="F8431" s="133" t="s">
        <v>24</v>
      </c>
      <c r="G8431" s="134" t="n">
        <f aca="false">LEN('Saisie programme'!$J$288)+SUMIFS('Vols additionnels'!$E$7:$E$66,'Vols additionnels'!$C$7:$C$66,$E8431,'Vols additionnels'!$D$7:$D$66,$F8431,'Vols additionnels'!$B$7:$B$66,$D8431)</f>
        <v>0</v>
      </c>
      <c r="H8431" s="135" t="n">
        <f aca="false">$G8431*'Analyse capacite'!$F$9</f>
        <v>0</v>
      </c>
      <c r="I8431" s="135" t="n">
        <f aca="false">$G8431*'Analyse capacite'!$C$9</f>
        <v>0</v>
      </c>
      <c r="J8431" s="135" t="n">
        <f aca="false">$G8431*'Analyse capacite'!$D$9</f>
        <v>0</v>
      </c>
      <c r="K8431" s="135" t="n">
        <f aca="false">$G8431*'Analyse capacite'!$E$9</f>
        <v>0</v>
      </c>
    </row>
    <row r="8432" customFormat="false" ht="15" hidden="false" customHeight="false" outlineLevel="0" collapsed="false">
      <c r="B8432" s="130" t="n">
        <v>2027</v>
      </c>
      <c r="C8432" s="131" t="s">
        <v>253</v>
      </c>
      <c r="D8432" s="132" t="n">
        <v>46712</v>
      </c>
      <c r="E8432" s="131" t="s">
        <v>20</v>
      </c>
      <c r="F8432" s="133" t="s">
        <v>11</v>
      </c>
      <c r="G8432" s="134" t="n">
        <f aca="false">LEN('Saisie programme'!$J$289)+SUMIFS('Vols additionnels'!$E$7:$E$66,'Vols additionnels'!$C$7:$C$66,$E8432,'Vols additionnels'!$D$7:$D$66,$F8432,'Vols additionnels'!$B$7:$B$66,$D8432)</f>
        <v>1</v>
      </c>
      <c r="H8432" s="135" t="n">
        <f aca="false">$G8432*'Analyse capacite'!$F$7</f>
        <v>438</v>
      </c>
      <c r="I8432" s="135" t="n">
        <f aca="false">$G8432*'Analyse capacite'!$C$7</f>
        <v>14</v>
      </c>
      <c r="J8432" s="135" t="n">
        <f aca="false">$G8432*'Analyse capacite'!$D$7</f>
        <v>40</v>
      </c>
      <c r="K8432" s="135" t="n">
        <f aca="false">$G8432*'Analyse capacite'!$E$7</f>
        <v>384</v>
      </c>
    </row>
    <row r="8433" customFormat="false" ht="15" hidden="false" customHeight="false" outlineLevel="0" collapsed="false">
      <c r="B8433" s="130" t="n">
        <v>2027</v>
      </c>
      <c r="C8433" s="131" t="s">
        <v>253</v>
      </c>
      <c r="D8433" s="132" t="n">
        <v>46712</v>
      </c>
      <c r="E8433" s="131" t="s">
        <v>20</v>
      </c>
      <c r="F8433" s="133" t="s">
        <v>19</v>
      </c>
      <c r="G8433" s="134" t="n">
        <f aca="false">LEN('Saisie programme'!$J$290)+SUMIFS('Vols additionnels'!$E$7:$E$66,'Vols additionnels'!$C$7:$C$66,$E8433,'Vols additionnels'!$D$7:$D$66,$F8433,'Vols additionnels'!$B$7:$B$66,$D8433)</f>
        <v>0</v>
      </c>
      <c r="H8433" s="135" t="n">
        <f aca="false">$G8433*'Analyse capacite'!$F$8</f>
        <v>0</v>
      </c>
      <c r="I8433" s="135" t="n">
        <f aca="false">$G8433*'Analyse capacite'!$C$8</f>
        <v>0</v>
      </c>
      <c r="J8433" s="135" t="n">
        <f aca="false">$G8433*'Analyse capacite'!$D$8</f>
        <v>0</v>
      </c>
      <c r="K8433" s="135" t="n">
        <f aca="false">$G8433*'Analyse capacite'!$E$8</f>
        <v>0</v>
      </c>
    </row>
    <row r="8434" customFormat="false" ht="15" hidden="false" customHeight="false" outlineLevel="0" collapsed="false">
      <c r="B8434" s="130" t="n">
        <v>2027</v>
      </c>
      <c r="C8434" s="131" t="s">
        <v>253</v>
      </c>
      <c r="D8434" s="132" t="n">
        <v>46712</v>
      </c>
      <c r="E8434" s="131" t="s">
        <v>20</v>
      </c>
      <c r="F8434" s="133" t="s">
        <v>24</v>
      </c>
      <c r="G8434" s="134" t="n">
        <f aca="false">LEN('Saisie programme'!$J$291)+SUMIFS('Vols additionnels'!$E$7:$E$66,'Vols additionnels'!$C$7:$C$66,$E8434,'Vols additionnels'!$D$7:$D$66,$F8434,'Vols additionnels'!$B$7:$B$66,$D8434)</f>
        <v>0</v>
      </c>
      <c r="H8434" s="135" t="n">
        <f aca="false">$G8434*'Analyse capacite'!$F$9</f>
        <v>0</v>
      </c>
      <c r="I8434" s="135" t="n">
        <f aca="false">$G8434*'Analyse capacite'!$C$9</f>
        <v>0</v>
      </c>
      <c r="J8434" s="135" t="n">
        <f aca="false">$G8434*'Analyse capacite'!$D$9</f>
        <v>0</v>
      </c>
      <c r="K8434" s="135" t="n">
        <f aca="false">$G8434*'Analyse capacite'!$E$9</f>
        <v>0</v>
      </c>
    </row>
    <row r="8435" customFormat="false" ht="15" hidden="false" customHeight="false" outlineLevel="0" collapsed="false">
      <c r="B8435" s="130" t="n">
        <v>2027</v>
      </c>
      <c r="C8435" s="131" t="s">
        <v>253</v>
      </c>
      <c r="D8435" s="132" t="n">
        <v>46712</v>
      </c>
      <c r="E8435" s="131" t="s">
        <v>25</v>
      </c>
      <c r="F8435" s="133" t="s">
        <v>11</v>
      </c>
      <c r="G8435" s="134" t="n">
        <f aca="false">LEN('Saisie programme'!$J$292)+SUMIFS('Vols additionnels'!$E$7:$E$66,'Vols additionnels'!$C$7:$C$66,$E8435,'Vols additionnels'!$D$7:$D$66,$F8435,'Vols additionnels'!$B$7:$B$66,$D8435)</f>
        <v>0</v>
      </c>
      <c r="H8435" s="135" t="n">
        <f aca="false">$G8435*'Analyse capacite'!$F$7</f>
        <v>0</v>
      </c>
      <c r="I8435" s="135" t="n">
        <f aca="false">$G8435*'Analyse capacite'!$C$7</f>
        <v>0</v>
      </c>
      <c r="J8435" s="135" t="n">
        <f aca="false">$G8435*'Analyse capacite'!$D$7</f>
        <v>0</v>
      </c>
      <c r="K8435" s="135" t="n">
        <f aca="false">$G8435*'Analyse capacite'!$E$7</f>
        <v>0</v>
      </c>
    </row>
    <row r="8436" customFormat="false" ht="15" hidden="false" customHeight="false" outlineLevel="0" collapsed="false">
      <c r="B8436" s="130" t="n">
        <v>2027</v>
      </c>
      <c r="C8436" s="131" t="s">
        <v>253</v>
      </c>
      <c r="D8436" s="132" t="n">
        <v>46712</v>
      </c>
      <c r="E8436" s="131" t="s">
        <v>25</v>
      </c>
      <c r="F8436" s="133" t="s">
        <v>19</v>
      </c>
      <c r="G8436" s="134" t="n">
        <f aca="false">LEN('Saisie programme'!$J$293)+SUMIFS('Vols additionnels'!$E$7:$E$66,'Vols additionnels'!$C$7:$C$66,$E8436,'Vols additionnels'!$D$7:$D$66,$F8436,'Vols additionnels'!$B$7:$B$66,$D8436)</f>
        <v>0</v>
      </c>
      <c r="H8436" s="135" t="n">
        <f aca="false">$G8436*'Analyse capacite'!$F$8</f>
        <v>0</v>
      </c>
      <c r="I8436" s="135" t="n">
        <f aca="false">$G8436*'Analyse capacite'!$C$8</f>
        <v>0</v>
      </c>
      <c r="J8436" s="135" t="n">
        <f aca="false">$G8436*'Analyse capacite'!$D$8</f>
        <v>0</v>
      </c>
      <c r="K8436" s="135" t="n">
        <f aca="false">$G8436*'Analyse capacite'!$E$8</f>
        <v>0</v>
      </c>
    </row>
    <row r="8437" customFormat="false" ht="15" hidden="false" customHeight="false" outlineLevel="0" collapsed="false">
      <c r="B8437" s="130" t="n">
        <v>2027</v>
      </c>
      <c r="C8437" s="131" t="s">
        <v>253</v>
      </c>
      <c r="D8437" s="132" t="n">
        <v>46712</v>
      </c>
      <c r="E8437" s="131" t="s">
        <v>25</v>
      </c>
      <c r="F8437" s="133" t="s">
        <v>24</v>
      </c>
      <c r="G8437" s="134" t="n">
        <f aca="false">LEN('Saisie programme'!$J$294)+SUMIFS('Vols additionnels'!$E$7:$E$66,'Vols additionnels'!$C$7:$C$66,$E8437,'Vols additionnels'!$D$7:$D$66,$F8437,'Vols additionnels'!$B$7:$B$66,$D8437)</f>
        <v>0</v>
      </c>
      <c r="H8437" s="135" t="n">
        <f aca="false">$G8437*'Analyse capacite'!$F$9</f>
        <v>0</v>
      </c>
      <c r="I8437" s="135" t="n">
        <f aca="false">$G8437*'Analyse capacite'!$C$9</f>
        <v>0</v>
      </c>
      <c r="J8437" s="135" t="n">
        <f aca="false">$G8437*'Analyse capacite'!$D$9</f>
        <v>0</v>
      </c>
      <c r="K8437" s="135" t="n">
        <f aca="false">$G8437*'Analyse capacite'!$E$9</f>
        <v>0</v>
      </c>
    </row>
    <row r="8438" customFormat="false" ht="15" hidden="false" customHeight="false" outlineLevel="0" collapsed="false">
      <c r="B8438" s="130" t="n">
        <v>2027</v>
      </c>
      <c r="C8438" s="131" t="s">
        <v>253</v>
      </c>
      <c r="D8438" s="132" t="n">
        <v>46712</v>
      </c>
      <c r="E8438" s="131" t="s">
        <v>36</v>
      </c>
      <c r="F8438" s="133" t="s">
        <v>11</v>
      </c>
      <c r="G8438" s="134" t="n">
        <f aca="false">LEN('Saisie programme'!$J$295)+SUMIFS('Vols additionnels'!$E$7:$E$66,'Vols additionnels'!$C$7:$C$66,$E8438,'Vols additionnels'!$D$7:$D$66,$F8438,'Vols additionnels'!$B$7:$B$66,$D8438)</f>
        <v>0</v>
      </c>
      <c r="H8438" s="135" t="n">
        <f aca="false">$G8438*'Analyse capacite'!$F$7</f>
        <v>0</v>
      </c>
      <c r="I8438" s="135" t="n">
        <f aca="false">$G8438*'Analyse capacite'!$C$7</f>
        <v>0</v>
      </c>
      <c r="J8438" s="135" t="n">
        <f aca="false">$G8438*'Analyse capacite'!$D$7</f>
        <v>0</v>
      </c>
      <c r="K8438" s="135" t="n">
        <f aca="false">$G8438*'Analyse capacite'!$E$7</f>
        <v>0</v>
      </c>
    </row>
    <row r="8439" customFormat="false" ht="15" hidden="false" customHeight="false" outlineLevel="0" collapsed="false">
      <c r="B8439" s="130" t="n">
        <v>2027</v>
      </c>
      <c r="C8439" s="131" t="s">
        <v>253</v>
      </c>
      <c r="D8439" s="132" t="n">
        <v>46712</v>
      </c>
      <c r="E8439" s="131" t="s">
        <v>36</v>
      </c>
      <c r="F8439" s="133" t="s">
        <v>19</v>
      </c>
      <c r="G8439" s="134" t="n">
        <f aca="false">LEN('Saisie programme'!$J$296)+SUMIFS('Vols additionnels'!$E$7:$E$66,'Vols additionnels'!$C$7:$C$66,$E8439,'Vols additionnels'!$D$7:$D$66,$F8439,'Vols additionnels'!$B$7:$B$66,$D8439)</f>
        <v>0</v>
      </c>
      <c r="H8439" s="135" t="n">
        <f aca="false">$G8439*'Analyse capacite'!$F$8</f>
        <v>0</v>
      </c>
      <c r="I8439" s="135" t="n">
        <f aca="false">$G8439*'Analyse capacite'!$C$8</f>
        <v>0</v>
      </c>
      <c r="J8439" s="135" t="n">
        <f aca="false">$G8439*'Analyse capacite'!$D$8</f>
        <v>0</v>
      </c>
      <c r="K8439" s="135" t="n">
        <f aca="false">$G8439*'Analyse capacite'!$E$8</f>
        <v>0</v>
      </c>
    </row>
    <row r="8440" customFormat="false" ht="15" hidden="false" customHeight="false" outlineLevel="0" collapsed="false">
      <c r="B8440" s="130" t="n">
        <v>2027</v>
      </c>
      <c r="C8440" s="131" t="s">
        <v>253</v>
      </c>
      <c r="D8440" s="132" t="n">
        <v>46712</v>
      </c>
      <c r="E8440" s="131" t="s">
        <v>36</v>
      </c>
      <c r="F8440" s="133" t="s">
        <v>24</v>
      </c>
      <c r="G8440" s="134" t="n">
        <f aca="false">LEN('Saisie programme'!$J$297)+SUMIFS('Vols additionnels'!$E$7:$E$66,'Vols additionnels'!$C$7:$C$66,$E8440,'Vols additionnels'!$D$7:$D$66,$F8440,'Vols additionnels'!$B$7:$B$66,$D8440)</f>
        <v>0</v>
      </c>
      <c r="H8440" s="135" t="n">
        <f aca="false">$G8440*'Analyse capacite'!$F$9</f>
        <v>0</v>
      </c>
      <c r="I8440" s="135" t="n">
        <f aca="false">$G8440*'Analyse capacite'!$C$9</f>
        <v>0</v>
      </c>
      <c r="J8440" s="135" t="n">
        <f aca="false">$G8440*'Analyse capacite'!$D$9</f>
        <v>0</v>
      </c>
      <c r="K8440" s="135" t="n">
        <f aca="false">$G8440*'Analyse capacite'!$E$9</f>
        <v>0</v>
      </c>
    </row>
    <row r="8441" customFormat="false" ht="15" hidden="false" customHeight="false" outlineLevel="0" collapsed="false">
      <c r="B8441" s="130" t="n">
        <v>2027</v>
      </c>
      <c r="C8441" s="131" t="s">
        <v>253</v>
      </c>
      <c r="D8441" s="132" t="n">
        <v>46712</v>
      </c>
      <c r="E8441" s="131" t="s">
        <v>40</v>
      </c>
      <c r="F8441" s="133" t="s">
        <v>11</v>
      </c>
      <c r="G8441" s="134" t="n">
        <f aca="false">LEN('Saisie programme'!$J$298)+SUMIFS('Vols additionnels'!$E$7:$E$66,'Vols additionnels'!$C$7:$C$66,$E8441,'Vols additionnels'!$D$7:$D$66,$F8441,'Vols additionnels'!$B$7:$B$66,$D8441)</f>
        <v>0</v>
      </c>
      <c r="H8441" s="135" t="n">
        <f aca="false">$G8441*'Analyse capacite'!$F$7</f>
        <v>0</v>
      </c>
      <c r="I8441" s="135" t="n">
        <f aca="false">$G8441*'Analyse capacite'!$C$7</f>
        <v>0</v>
      </c>
      <c r="J8441" s="135" t="n">
        <f aca="false">$G8441*'Analyse capacite'!$D$7</f>
        <v>0</v>
      </c>
      <c r="K8441" s="135" t="n">
        <f aca="false">$G8441*'Analyse capacite'!$E$7</f>
        <v>0</v>
      </c>
    </row>
    <row r="8442" customFormat="false" ht="15" hidden="false" customHeight="false" outlineLevel="0" collapsed="false">
      <c r="B8442" s="130" t="n">
        <v>2027</v>
      </c>
      <c r="C8442" s="131" t="s">
        <v>253</v>
      </c>
      <c r="D8442" s="132" t="n">
        <v>46712</v>
      </c>
      <c r="E8442" s="131" t="s">
        <v>40</v>
      </c>
      <c r="F8442" s="133" t="s">
        <v>19</v>
      </c>
      <c r="G8442" s="134" t="n">
        <f aca="false">LEN('Saisie programme'!$J$299)+SUMIFS('Vols additionnels'!$E$7:$E$66,'Vols additionnels'!$C$7:$C$66,$E8442,'Vols additionnels'!$D$7:$D$66,$F8442,'Vols additionnels'!$B$7:$B$66,$D8442)</f>
        <v>0</v>
      </c>
      <c r="H8442" s="135" t="n">
        <f aca="false">$G8442*'Analyse capacite'!$F$8</f>
        <v>0</v>
      </c>
      <c r="I8442" s="135" t="n">
        <f aca="false">$G8442*'Analyse capacite'!$C$8</f>
        <v>0</v>
      </c>
      <c r="J8442" s="135" t="n">
        <f aca="false">$G8442*'Analyse capacite'!$D$8</f>
        <v>0</v>
      </c>
      <c r="K8442" s="135" t="n">
        <f aca="false">$G8442*'Analyse capacite'!$E$8</f>
        <v>0</v>
      </c>
    </row>
    <row r="8443" customFormat="false" ht="15" hidden="false" customHeight="false" outlineLevel="0" collapsed="false">
      <c r="B8443" s="130" t="n">
        <v>2027</v>
      </c>
      <c r="C8443" s="131" t="s">
        <v>253</v>
      </c>
      <c r="D8443" s="132" t="n">
        <v>46712</v>
      </c>
      <c r="E8443" s="131" t="s">
        <v>40</v>
      </c>
      <c r="F8443" s="133" t="s">
        <v>24</v>
      </c>
      <c r="G8443" s="134" t="n">
        <f aca="false">LEN('Saisie programme'!$J$300)+SUMIFS('Vols additionnels'!$E$7:$E$66,'Vols additionnels'!$C$7:$C$66,$E8443,'Vols additionnels'!$D$7:$D$66,$F8443,'Vols additionnels'!$B$7:$B$66,$D8443)</f>
        <v>1</v>
      </c>
      <c r="H8443" s="135" t="n">
        <f aca="false">$G8443*'Analyse capacite'!$F$9</f>
        <v>174</v>
      </c>
      <c r="I8443" s="135" t="n">
        <f aca="false">$G8443*'Analyse capacite'!$C$9</f>
        <v>0</v>
      </c>
      <c r="J8443" s="135" t="n">
        <f aca="false">$G8443*'Analyse capacite'!$D$9</f>
        <v>12</v>
      </c>
      <c r="K8443" s="135" t="n">
        <f aca="false">$G8443*'Analyse capacite'!$E$9</f>
        <v>162</v>
      </c>
    </row>
    <row r="8444" customFormat="false" ht="15" hidden="false" customHeight="false" outlineLevel="0" collapsed="false">
      <c r="B8444" s="130" t="n">
        <v>2027</v>
      </c>
      <c r="C8444" s="131" t="s">
        <v>253</v>
      </c>
      <c r="D8444" s="132" t="n">
        <v>46712</v>
      </c>
      <c r="E8444" s="131" t="s">
        <v>14</v>
      </c>
      <c r="F8444" s="133" t="s">
        <v>11</v>
      </c>
      <c r="G8444" s="134" t="n">
        <f aca="false">LEN('Saisie programme'!$J$301)+SUMIFS('Vols additionnels'!$E$7:$E$66,'Vols additionnels'!$C$7:$C$66,$E8444,'Vols additionnels'!$D$7:$D$66,$F8444,'Vols additionnels'!$B$7:$B$66,$D8444)</f>
        <v>0</v>
      </c>
      <c r="H8444" s="135" t="n">
        <f aca="false">$G8444*'Analyse capacite'!$F$7</f>
        <v>0</v>
      </c>
      <c r="I8444" s="135" t="n">
        <f aca="false">$G8444*'Analyse capacite'!$C$7</f>
        <v>0</v>
      </c>
      <c r="J8444" s="135" t="n">
        <f aca="false">$G8444*'Analyse capacite'!$D$7</f>
        <v>0</v>
      </c>
      <c r="K8444" s="135" t="n">
        <f aca="false">$G8444*'Analyse capacite'!$E$7</f>
        <v>0</v>
      </c>
    </row>
    <row r="8445" customFormat="false" ht="15" hidden="false" customHeight="false" outlineLevel="0" collapsed="false">
      <c r="B8445" s="130" t="n">
        <v>2027</v>
      </c>
      <c r="C8445" s="131" t="s">
        <v>253</v>
      </c>
      <c r="D8445" s="132" t="n">
        <v>46712</v>
      </c>
      <c r="E8445" s="131" t="s">
        <v>14</v>
      </c>
      <c r="F8445" s="133" t="s">
        <v>19</v>
      </c>
      <c r="G8445" s="134" t="n">
        <f aca="false">LEN('Saisie programme'!$J$302)+SUMIFS('Vols additionnels'!$E$7:$E$66,'Vols additionnels'!$C$7:$C$66,$E8445,'Vols additionnels'!$D$7:$D$66,$F8445,'Vols additionnels'!$B$7:$B$66,$D8445)</f>
        <v>0</v>
      </c>
      <c r="H8445" s="135" t="n">
        <f aca="false">$G8445*'Analyse capacite'!$F$8</f>
        <v>0</v>
      </c>
      <c r="I8445" s="135" t="n">
        <f aca="false">$G8445*'Analyse capacite'!$C$8</f>
        <v>0</v>
      </c>
      <c r="J8445" s="135" t="n">
        <f aca="false">$G8445*'Analyse capacite'!$D$8</f>
        <v>0</v>
      </c>
      <c r="K8445" s="135" t="n">
        <f aca="false">$G8445*'Analyse capacite'!$E$8</f>
        <v>0</v>
      </c>
    </row>
    <row r="8446" customFormat="false" ht="15" hidden="false" customHeight="false" outlineLevel="0" collapsed="false">
      <c r="B8446" s="130" t="n">
        <v>2027</v>
      </c>
      <c r="C8446" s="131" t="s">
        <v>253</v>
      </c>
      <c r="D8446" s="132" t="n">
        <v>46712</v>
      </c>
      <c r="E8446" s="131" t="s">
        <v>14</v>
      </c>
      <c r="F8446" s="133" t="s">
        <v>24</v>
      </c>
      <c r="G8446" s="134" t="n">
        <f aca="false">LEN('Saisie programme'!$J$303)+SUMIFS('Vols additionnels'!$E$7:$E$66,'Vols additionnels'!$C$7:$C$66,$E8446,'Vols additionnels'!$D$7:$D$66,$F8446,'Vols additionnels'!$B$7:$B$66,$D8446)</f>
        <v>0</v>
      </c>
      <c r="H8446" s="135" t="n">
        <f aca="false">$G8446*'Analyse capacite'!$F$9</f>
        <v>0</v>
      </c>
      <c r="I8446" s="135" t="n">
        <f aca="false">$G8446*'Analyse capacite'!$C$9</f>
        <v>0</v>
      </c>
      <c r="J8446" s="135" t="n">
        <f aca="false">$G8446*'Analyse capacite'!$D$9</f>
        <v>0</v>
      </c>
      <c r="K8446" s="135" t="n">
        <f aca="false">$G8446*'Analyse capacite'!$E$9</f>
        <v>0</v>
      </c>
    </row>
    <row r="8447" customFormat="false" ht="15" hidden="false" customHeight="false" outlineLevel="0" collapsed="false">
      <c r="B8447" s="130" t="n">
        <v>2027</v>
      </c>
      <c r="C8447" s="131" t="s">
        <v>253</v>
      </c>
      <c r="D8447" s="132" t="n">
        <v>46712</v>
      </c>
      <c r="E8447" s="131" t="s">
        <v>46</v>
      </c>
      <c r="F8447" s="133" t="s">
        <v>11</v>
      </c>
      <c r="G8447" s="134" t="n">
        <f aca="false">LEN('Saisie programme'!$J$304)+SUMIFS('Vols additionnels'!$E$7:$E$66,'Vols additionnels'!$C$7:$C$66,$E8447,'Vols additionnels'!$D$7:$D$66,$F8447,'Vols additionnels'!$B$7:$B$66,$D8447)</f>
        <v>0</v>
      </c>
      <c r="H8447" s="135" t="n">
        <f aca="false">$G8447*'Analyse capacite'!$F$7</f>
        <v>0</v>
      </c>
      <c r="I8447" s="135" t="n">
        <f aca="false">$G8447*'Analyse capacite'!$C$7</f>
        <v>0</v>
      </c>
      <c r="J8447" s="135" t="n">
        <f aca="false">$G8447*'Analyse capacite'!$D$7</f>
        <v>0</v>
      </c>
      <c r="K8447" s="135" t="n">
        <f aca="false">$G8447*'Analyse capacite'!$E$7</f>
        <v>0</v>
      </c>
    </row>
    <row r="8448" customFormat="false" ht="15" hidden="false" customHeight="false" outlineLevel="0" collapsed="false">
      <c r="B8448" s="130" t="n">
        <v>2027</v>
      </c>
      <c r="C8448" s="131" t="s">
        <v>253</v>
      </c>
      <c r="D8448" s="132" t="n">
        <v>46712</v>
      </c>
      <c r="E8448" s="131" t="s">
        <v>46</v>
      </c>
      <c r="F8448" s="133" t="s">
        <v>19</v>
      </c>
      <c r="G8448" s="134" t="n">
        <f aca="false">LEN('Saisie programme'!$J$305)+SUMIFS('Vols additionnels'!$E$7:$E$66,'Vols additionnels'!$C$7:$C$66,$E8448,'Vols additionnels'!$D$7:$D$66,$F8448,'Vols additionnels'!$B$7:$B$66,$D8448)</f>
        <v>0</v>
      </c>
      <c r="H8448" s="135" t="n">
        <f aca="false">$G8448*'Analyse capacite'!$F$8</f>
        <v>0</v>
      </c>
      <c r="I8448" s="135" t="n">
        <f aca="false">$G8448*'Analyse capacite'!$C$8</f>
        <v>0</v>
      </c>
      <c r="J8448" s="135" t="n">
        <f aca="false">$G8448*'Analyse capacite'!$D$8</f>
        <v>0</v>
      </c>
      <c r="K8448" s="135" t="n">
        <f aca="false">$G8448*'Analyse capacite'!$E$8</f>
        <v>0</v>
      </c>
    </row>
    <row r="8449" customFormat="false" ht="15" hidden="false" customHeight="false" outlineLevel="0" collapsed="false">
      <c r="B8449" s="130" t="n">
        <v>2027</v>
      </c>
      <c r="C8449" s="131" t="s">
        <v>253</v>
      </c>
      <c r="D8449" s="132" t="n">
        <v>46712</v>
      </c>
      <c r="E8449" s="131" t="s">
        <v>46</v>
      </c>
      <c r="F8449" s="133" t="s">
        <v>24</v>
      </c>
      <c r="G8449" s="134" t="n">
        <f aca="false">LEN('Saisie programme'!$J$306)+SUMIFS('Vols additionnels'!$E$7:$E$66,'Vols additionnels'!$C$7:$C$66,$E8449,'Vols additionnels'!$D$7:$D$66,$F8449,'Vols additionnels'!$B$7:$B$66,$D8449)</f>
        <v>0</v>
      </c>
      <c r="H8449" s="135" t="n">
        <f aca="false">$G8449*'Analyse capacite'!$F$9</f>
        <v>0</v>
      </c>
      <c r="I8449" s="135" t="n">
        <f aca="false">$G8449*'Analyse capacite'!$C$9</f>
        <v>0</v>
      </c>
      <c r="J8449" s="135" t="n">
        <f aca="false">$G8449*'Analyse capacite'!$D$9</f>
        <v>0</v>
      </c>
      <c r="K8449" s="135" t="n">
        <f aca="false">$G8449*'Analyse capacite'!$E$9</f>
        <v>0</v>
      </c>
    </row>
    <row r="8450" customFormat="false" ht="15" hidden="false" customHeight="false" outlineLevel="0" collapsed="false">
      <c r="B8450" s="130" t="n">
        <v>2027</v>
      </c>
      <c r="C8450" s="131" t="s">
        <v>253</v>
      </c>
      <c r="D8450" s="132" t="n">
        <v>46712</v>
      </c>
      <c r="E8450" s="131" t="s">
        <v>49</v>
      </c>
      <c r="F8450" s="133" t="s">
        <v>11</v>
      </c>
      <c r="G8450" s="134" t="n">
        <f aca="false">LEN('Saisie programme'!$J$307)+SUMIFS('Vols additionnels'!$E$7:$E$66,'Vols additionnels'!$C$7:$C$66,$E8450,'Vols additionnels'!$D$7:$D$66,$F8450,'Vols additionnels'!$B$7:$B$66,$D8450)</f>
        <v>0</v>
      </c>
      <c r="H8450" s="135" t="n">
        <f aca="false">$G8450*'Analyse capacite'!$F$7</f>
        <v>0</v>
      </c>
      <c r="I8450" s="135" t="n">
        <f aca="false">$G8450*'Analyse capacite'!$C$7</f>
        <v>0</v>
      </c>
      <c r="J8450" s="135" t="n">
        <f aca="false">$G8450*'Analyse capacite'!$D$7</f>
        <v>0</v>
      </c>
      <c r="K8450" s="135" t="n">
        <f aca="false">$G8450*'Analyse capacite'!$E$7</f>
        <v>0</v>
      </c>
    </row>
    <row r="8451" customFormat="false" ht="15" hidden="false" customHeight="false" outlineLevel="0" collapsed="false">
      <c r="B8451" s="130" t="n">
        <v>2027</v>
      </c>
      <c r="C8451" s="131" t="s">
        <v>253</v>
      </c>
      <c r="D8451" s="132" t="n">
        <v>46712</v>
      </c>
      <c r="E8451" s="131" t="s">
        <v>49</v>
      </c>
      <c r="F8451" s="133" t="s">
        <v>19</v>
      </c>
      <c r="G8451" s="134" t="n">
        <f aca="false">LEN('Saisie programme'!$J$308)+SUMIFS('Vols additionnels'!$E$7:$E$66,'Vols additionnels'!$C$7:$C$66,$E8451,'Vols additionnels'!$D$7:$D$66,$F8451,'Vols additionnels'!$B$7:$B$66,$D8451)</f>
        <v>0</v>
      </c>
      <c r="H8451" s="135" t="n">
        <f aca="false">$G8451*'Analyse capacite'!$F$8</f>
        <v>0</v>
      </c>
      <c r="I8451" s="135" t="n">
        <f aca="false">$G8451*'Analyse capacite'!$C$8</f>
        <v>0</v>
      </c>
      <c r="J8451" s="135" t="n">
        <f aca="false">$G8451*'Analyse capacite'!$D$8</f>
        <v>0</v>
      </c>
      <c r="K8451" s="135" t="n">
        <f aca="false">$G8451*'Analyse capacite'!$E$8</f>
        <v>0</v>
      </c>
    </row>
    <row r="8452" customFormat="false" ht="15" hidden="false" customHeight="false" outlineLevel="0" collapsed="false">
      <c r="B8452" s="130" t="n">
        <v>2027</v>
      </c>
      <c r="C8452" s="131" t="s">
        <v>253</v>
      </c>
      <c r="D8452" s="132" t="n">
        <v>46712</v>
      </c>
      <c r="E8452" s="131" t="s">
        <v>49</v>
      </c>
      <c r="F8452" s="133" t="s">
        <v>24</v>
      </c>
      <c r="G8452" s="134" t="n">
        <f aca="false">LEN('Saisie programme'!$J$309)+SUMIFS('Vols additionnels'!$E$7:$E$66,'Vols additionnels'!$C$7:$C$66,$E8452,'Vols additionnels'!$D$7:$D$66,$F8452,'Vols additionnels'!$B$7:$B$66,$D8452)</f>
        <v>0</v>
      </c>
      <c r="H8452" s="135" t="n">
        <f aca="false">$G8452*'Analyse capacite'!$F$9</f>
        <v>0</v>
      </c>
      <c r="I8452" s="135" t="n">
        <f aca="false">$G8452*'Analyse capacite'!$C$9</f>
        <v>0</v>
      </c>
      <c r="J8452" s="135" t="n">
        <f aca="false">$G8452*'Analyse capacite'!$D$9</f>
        <v>0</v>
      </c>
      <c r="K8452" s="135" t="n">
        <f aca="false">$G8452*'Analyse capacite'!$E$9</f>
        <v>0</v>
      </c>
    </row>
    <row r="8453" customFormat="false" ht="15" hidden="false" customHeight="false" outlineLevel="0" collapsed="false">
      <c r="B8453" s="130" t="n">
        <v>2027</v>
      </c>
      <c r="C8453" s="131" t="s">
        <v>253</v>
      </c>
      <c r="D8453" s="132" t="n">
        <v>46712</v>
      </c>
      <c r="E8453" s="131" t="s">
        <v>53</v>
      </c>
      <c r="F8453" s="133" t="s">
        <v>11</v>
      </c>
      <c r="G8453" s="134" t="n">
        <f aca="false">LEN('Saisie programme'!$J$310)+SUMIFS('Vols additionnels'!$E$7:$E$66,'Vols additionnels'!$C$7:$C$66,$E8453,'Vols additionnels'!$D$7:$D$66,$F8453,'Vols additionnels'!$B$7:$B$66,$D8453)</f>
        <v>0</v>
      </c>
      <c r="H8453" s="135" t="n">
        <f aca="false">$G8453*'Analyse capacite'!$F$7</f>
        <v>0</v>
      </c>
      <c r="I8453" s="135" t="n">
        <f aca="false">$G8453*'Analyse capacite'!$C$7</f>
        <v>0</v>
      </c>
      <c r="J8453" s="135" t="n">
        <f aca="false">$G8453*'Analyse capacite'!$D$7</f>
        <v>0</v>
      </c>
      <c r="K8453" s="135" t="n">
        <f aca="false">$G8453*'Analyse capacite'!$E$7</f>
        <v>0</v>
      </c>
    </row>
    <row r="8454" customFormat="false" ht="15" hidden="false" customHeight="false" outlineLevel="0" collapsed="false">
      <c r="B8454" s="130" t="n">
        <v>2027</v>
      </c>
      <c r="C8454" s="131" t="s">
        <v>253</v>
      </c>
      <c r="D8454" s="132" t="n">
        <v>46712</v>
      </c>
      <c r="E8454" s="131" t="s">
        <v>53</v>
      </c>
      <c r="F8454" s="133" t="s">
        <v>19</v>
      </c>
      <c r="G8454" s="134" t="n">
        <f aca="false">LEN('Saisie programme'!$J$311)+SUMIFS('Vols additionnels'!$E$7:$E$66,'Vols additionnels'!$C$7:$C$66,$E8454,'Vols additionnels'!$D$7:$D$66,$F8454,'Vols additionnels'!$B$7:$B$66,$D8454)</f>
        <v>0</v>
      </c>
      <c r="H8454" s="135" t="n">
        <f aca="false">$G8454*'Analyse capacite'!$F$8</f>
        <v>0</v>
      </c>
      <c r="I8454" s="135" t="n">
        <f aca="false">$G8454*'Analyse capacite'!$C$8</f>
        <v>0</v>
      </c>
      <c r="J8454" s="135" t="n">
        <f aca="false">$G8454*'Analyse capacite'!$D$8</f>
        <v>0</v>
      </c>
      <c r="K8454" s="135" t="n">
        <f aca="false">$G8454*'Analyse capacite'!$E$8</f>
        <v>0</v>
      </c>
    </row>
    <row r="8455" customFormat="false" ht="15" hidden="false" customHeight="false" outlineLevel="0" collapsed="false">
      <c r="B8455" s="130" t="n">
        <v>2027</v>
      </c>
      <c r="C8455" s="131" t="s">
        <v>253</v>
      </c>
      <c r="D8455" s="132" t="n">
        <v>46712</v>
      </c>
      <c r="E8455" s="131" t="s">
        <v>53</v>
      </c>
      <c r="F8455" s="133" t="s">
        <v>24</v>
      </c>
      <c r="G8455" s="134" t="n">
        <f aca="false">LEN('Saisie programme'!$J$312)+SUMIFS('Vols additionnels'!$E$7:$E$66,'Vols additionnels'!$C$7:$C$66,$E8455,'Vols additionnels'!$D$7:$D$66,$F8455,'Vols additionnels'!$B$7:$B$66,$D8455)</f>
        <v>0</v>
      </c>
      <c r="H8455" s="135" t="n">
        <f aca="false">$G8455*'Analyse capacite'!$F$9</f>
        <v>0</v>
      </c>
      <c r="I8455" s="135" t="n">
        <f aca="false">$G8455*'Analyse capacite'!$C$9</f>
        <v>0</v>
      </c>
      <c r="J8455" s="135" t="n">
        <f aca="false">$G8455*'Analyse capacite'!$D$9</f>
        <v>0</v>
      </c>
      <c r="K8455" s="135" t="n">
        <f aca="false">$G8455*'Analyse capacite'!$E$9</f>
        <v>0</v>
      </c>
    </row>
    <row r="8456" customFormat="false" ht="15" hidden="false" customHeight="false" outlineLevel="0" collapsed="false">
      <c r="B8456" s="130" t="n">
        <v>2027</v>
      </c>
      <c r="C8456" s="131" t="s">
        <v>253</v>
      </c>
      <c r="D8456" s="132" t="n">
        <v>46712</v>
      </c>
      <c r="E8456" s="131" t="s">
        <v>56</v>
      </c>
      <c r="F8456" s="133" t="s">
        <v>11</v>
      </c>
      <c r="G8456" s="134" t="n">
        <f aca="false">LEN('Saisie programme'!$J$313)+SUMIFS('Vols additionnels'!$E$7:$E$66,'Vols additionnels'!$C$7:$C$66,$E8456,'Vols additionnels'!$D$7:$D$66,$F8456,'Vols additionnels'!$B$7:$B$66,$D8456)</f>
        <v>0</v>
      </c>
      <c r="H8456" s="135" t="n">
        <f aca="false">$G8456*'Analyse capacite'!$F$7</f>
        <v>0</v>
      </c>
      <c r="I8456" s="135" t="n">
        <f aca="false">$G8456*'Analyse capacite'!$C$7</f>
        <v>0</v>
      </c>
      <c r="J8456" s="135" t="n">
        <f aca="false">$G8456*'Analyse capacite'!$D$7</f>
        <v>0</v>
      </c>
      <c r="K8456" s="135" t="n">
        <f aca="false">$G8456*'Analyse capacite'!$E$7</f>
        <v>0</v>
      </c>
    </row>
    <row r="8457" customFormat="false" ht="15" hidden="false" customHeight="false" outlineLevel="0" collapsed="false">
      <c r="B8457" s="130" t="n">
        <v>2027</v>
      </c>
      <c r="C8457" s="131" t="s">
        <v>253</v>
      </c>
      <c r="D8457" s="132" t="n">
        <v>46712</v>
      </c>
      <c r="E8457" s="131" t="s">
        <v>56</v>
      </c>
      <c r="F8457" s="133" t="s">
        <v>19</v>
      </c>
      <c r="G8457" s="134" t="n">
        <f aca="false">LEN('Saisie programme'!$J$314)+SUMIFS('Vols additionnels'!$E$7:$E$66,'Vols additionnels'!$C$7:$C$66,$E8457,'Vols additionnels'!$D$7:$D$66,$F8457,'Vols additionnels'!$B$7:$B$66,$D8457)</f>
        <v>0</v>
      </c>
      <c r="H8457" s="135" t="n">
        <f aca="false">$G8457*'Analyse capacite'!$F$8</f>
        <v>0</v>
      </c>
      <c r="I8457" s="135" t="n">
        <f aca="false">$G8457*'Analyse capacite'!$C$8</f>
        <v>0</v>
      </c>
      <c r="J8457" s="135" t="n">
        <f aca="false">$G8457*'Analyse capacite'!$D$8</f>
        <v>0</v>
      </c>
      <c r="K8457" s="135" t="n">
        <f aca="false">$G8457*'Analyse capacite'!$E$8</f>
        <v>0</v>
      </c>
    </row>
    <row r="8458" customFormat="false" ht="15" hidden="false" customHeight="false" outlineLevel="0" collapsed="false">
      <c r="B8458" s="130" t="n">
        <v>2027</v>
      </c>
      <c r="C8458" s="131" t="s">
        <v>253</v>
      </c>
      <c r="D8458" s="132" t="n">
        <v>46712</v>
      </c>
      <c r="E8458" s="131" t="s">
        <v>56</v>
      </c>
      <c r="F8458" s="133" t="s">
        <v>24</v>
      </c>
      <c r="G8458" s="134" t="n">
        <f aca="false">LEN('Saisie programme'!$J$315)+SUMIFS('Vols additionnels'!$E$7:$E$66,'Vols additionnels'!$C$7:$C$66,$E8458,'Vols additionnels'!$D$7:$D$66,$F8458,'Vols additionnels'!$B$7:$B$66,$D8458)</f>
        <v>0</v>
      </c>
      <c r="H8458" s="135" t="n">
        <f aca="false">$G8458*'Analyse capacite'!$F$9</f>
        <v>0</v>
      </c>
      <c r="I8458" s="135" t="n">
        <f aca="false">$G8458*'Analyse capacite'!$C$9</f>
        <v>0</v>
      </c>
      <c r="J8458" s="135" t="n">
        <f aca="false">$G8458*'Analyse capacite'!$D$9</f>
        <v>0</v>
      </c>
      <c r="K8458" s="135" t="n">
        <f aca="false">$G8458*'Analyse capacite'!$E$9</f>
        <v>0</v>
      </c>
    </row>
    <row r="8459" customFormat="false" ht="15" hidden="false" customHeight="false" outlineLevel="0" collapsed="false">
      <c r="B8459" s="130" t="n">
        <v>2027</v>
      </c>
      <c r="C8459" s="131" t="s">
        <v>253</v>
      </c>
      <c r="D8459" s="132" t="n">
        <v>46712</v>
      </c>
      <c r="E8459" s="131" t="s">
        <v>59</v>
      </c>
      <c r="F8459" s="133" t="s">
        <v>11</v>
      </c>
      <c r="G8459" s="134" t="n">
        <f aca="false">LEN('Saisie programme'!$J$316)+SUMIFS('Vols additionnels'!$E$7:$E$66,'Vols additionnels'!$C$7:$C$66,$E8459,'Vols additionnels'!$D$7:$D$66,$F8459,'Vols additionnels'!$B$7:$B$66,$D8459)</f>
        <v>0</v>
      </c>
      <c r="H8459" s="135" t="n">
        <f aca="false">$G8459*'Analyse capacite'!$F$7</f>
        <v>0</v>
      </c>
      <c r="I8459" s="135" t="n">
        <f aca="false">$G8459*'Analyse capacite'!$C$7</f>
        <v>0</v>
      </c>
      <c r="J8459" s="135" t="n">
        <f aca="false">$G8459*'Analyse capacite'!$D$7</f>
        <v>0</v>
      </c>
      <c r="K8459" s="135" t="n">
        <f aca="false">$G8459*'Analyse capacite'!$E$7</f>
        <v>0</v>
      </c>
    </row>
    <row r="8460" customFormat="false" ht="15" hidden="false" customHeight="false" outlineLevel="0" collapsed="false">
      <c r="B8460" s="130" t="n">
        <v>2027</v>
      </c>
      <c r="C8460" s="131" t="s">
        <v>253</v>
      </c>
      <c r="D8460" s="132" t="n">
        <v>46712</v>
      </c>
      <c r="E8460" s="131" t="s">
        <v>59</v>
      </c>
      <c r="F8460" s="133" t="s">
        <v>19</v>
      </c>
      <c r="G8460" s="134" t="n">
        <f aca="false">LEN('Saisie programme'!$J$317)+SUMIFS('Vols additionnels'!$E$7:$E$66,'Vols additionnels'!$C$7:$C$66,$E8460,'Vols additionnels'!$D$7:$D$66,$F8460,'Vols additionnels'!$B$7:$B$66,$D8460)</f>
        <v>0</v>
      </c>
      <c r="H8460" s="135" t="n">
        <f aca="false">$G8460*'Analyse capacite'!$F$8</f>
        <v>0</v>
      </c>
      <c r="I8460" s="135" t="n">
        <f aca="false">$G8460*'Analyse capacite'!$C$8</f>
        <v>0</v>
      </c>
      <c r="J8460" s="135" t="n">
        <f aca="false">$G8460*'Analyse capacite'!$D$8</f>
        <v>0</v>
      </c>
      <c r="K8460" s="135" t="n">
        <f aca="false">$G8460*'Analyse capacite'!$E$8</f>
        <v>0</v>
      </c>
    </row>
    <row r="8461" customFormat="false" ht="15" hidden="false" customHeight="false" outlineLevel="0" collapsed="false">
      <c r="B8461" s="130" t="n">
        <v>2027</v>
      </c>
      <c r="C8461" s="131" t="s">
        <v>253</v>
      </c>
      <c r="D8461" s="132" t="n">
        <v>46712</v>
      </c>
      <c r="E8461" s="131" t="s">
        <v>59</v>
      </c>
      <c r="F8461" s="133" t="s">
        <v>24</v>
      </c>
      <c r="G8461" s="134" t="n">
        <f aca="false">LEN('Saisie programme'!$J$318)+SUMIFS('Vols additionnels'!$E$7:$E$66,'Vols additionnels'!$C$7:$C$66,$E8461,'Vols additionnels'!$D$7:$D$66,$F8461,'Vols additionnels'!$B$7:$B$66,$D8461)</f>
        <v>0</v>
      </c>
      <c r="H8461" s="135" t="n">
        <f aca="false">$G8461*'Analyse capacite'!$F$9</f>
        <v>0</v>
      </c>
      <c r="I8461" s="135" t="n">
        <f aca="false">$G8461*'Analyse capacite'!$C$9</f>
        <v>0</v>
      </c>
      <c r="J8461" s="135" t="n">
        <f aca="false">$G8461*'Analyse capacite'!$D$9</f>
        <v>0</v>
      </c>
      <c r="K8461" s="135" t="n">
        <f aca="false">$G8461*'Analyse capacite'!$E$9</f>
        <v>0</v>
      </c>
    </row>
    <row r="8462" customFormat="false" ht="15" hidden="false" customHeight="false" outlineLevel="0" collapsed="false">
      <c r="B8462" s="130" t="n">
        <v>2027</v>
      </c>
      <c r="C8462" s="131" t="s">
        <v>253</v>
      </c>
      <c r="D8462" s="132" t="n">
        <v>46712</v>
      </c>
      <c r="E8462" s="131" t="s">
        <v>62</v>
      </c>
      <c r="F8462" s="133" t="s">
        <v>11</v>
      </c>
      <c r="G8462" s="134" t="n">
        <f aca="false">LEN('Saisie programme'!$J$319)+SUMIFS('Vols additionnels'!$E$7:$E$66,'Vols additionnels'!$C$7:$C$66,$E8462,'Vols additionnels'!$D$7:$D$66,$F8462,'Vols additionnels'!$B$7:$B$66,$D8462)</f>
        <v>0</v>
      </c>
      <c r="H8462" s="135" t="n">
        <f aca="false">$G8462*'Analyse capacite'!$F$7</f>
        <v>0</v>
      </c>
      <c r="I8462" s="135" t="n">
        <f aca="false">$G8462*'Analyse capacite'!$C$7</f>
        <v>0</v>
      </c>
      <c r="J8462" s="135" t="n">
        <f aca="false">$G8462*'Analyse capacite'!$D$7</f>
        <v>0</v>
      </c>
      <c r="K8462" s="135" t="n">
        <f aca="false">$G8462*'Analyse capacite'!$E$7</f>
        <v>0</v>
      </c>
    </row>
    <row r="8463" customFormat="false" ht="15" hidden="false" customHeight="false" outlineLevel="0" collapsed="false">
      <c r="B8463" s="130" t="n">
        <v>2027</v>
      </c>
      <c r="C8463" s="131" t="s">
        <v>253</v>
      </c>
      <c r="D8463" s="132" t="n">
        <v>46712</v>
      </c>
      <c r="E8463" s="131" t="s">
        <v>62</v>
      </c>
      <c r="F8463" s="133" t="s">
        <v>19</v>
      </c>
      <c r="G8463" s="134" t="n">
        <f aca="false">LEN('Saisie programme'!$J$320)+SUMIFS('Vols additionnels'!$E$7:$E$66,'Vols additionnels'!$C$7:$C$66,$E8463,'Vols additionnels'!$D$7:$D$66,$F8463,'Vols additionnels'!$B$7:$B$66,$D8463)</f>
        <v>0</v>
      </c>
      <c r="H8463" s="135" t="n">
        <f aca="false">$G8463*'Analyse capacite'!$F$8</f>
        <v>0</v>
      </c>
      <c r="I8463" s="135" t="n">
        <f aca="false">$G8463*'Analyse capacite'!$C$8</f>
        <v>0</v>
      </c>
      <c r="J8463" s="135" t="n">
        <f aca="false">$G8463*'Analyse capacite'!$D$8</f>
        <v>0</v>
      </c>
      <c r="K8463" s="135" t="n">
        <f aca="false">$G8463*'Analyse capacite'!$E$8</f>
        <v>0</v>
      </c>
    </row>
    <row r="8464" customFormat="false" ht="15" hidden="false" customHeight="false" outlineLevel="0" collapsed="false">
      <c r="B8464" s="130" t="n">
        <v>2027</v>
      </c>
      <c r="C8464" s="131" t="s">
        <v>253</v>
      </c>
      <c r="D8464" s="132" t="n">
        <v>46712</v>
      </c>
      <c r="E8464" s="131" t="s">
        <v>62</v>
      </c>
      <c r="F8464" s="133" t="s">
        <v>24</v>
      </c>
      <c r="G8464" s="134" t="n">
        <f aca="false">LEN('Saisie programme'!$J$321)+SUMIFS('Vols additionnels'!$E$7:$E$66,'Vols additionnels'!$C$7:$C$66,$E8464,'Vols additionnels'!$D$7:$D$66,$F8464,'Vols additionnels'!$B$7:$B$66,$D8464)</f>
        <v>1</v>
      </c>
      <c r="H8464" s="135" t="n">
        <f aca="false">$G8464*'Analyse capacite'!$F$9</f>
        <v>174</v>
      </c>
      <c r="I8464" s="135" t="n">
        <f aca="false">$G8464*'Analyse capacite'!$C$9</f>
        <v>0</v>
      </c>
      <c r="J8464" s="135" t="n">
        <f aca="false">$G8464*'Analyse capacite'!$D$9</f>
        <v>12</v>
      </c>
      <c r="K8464" s="135" t="n">
        <f aca="false">$G8464*'Analyse capacite'!$E$9</f>
        <v>162</v>
      </c>
    </row>
    <row r="8465" customFormat="false" ht="15" hidden="false" customHeight="false" outlineLevel="0" collapsed="false">
      <c r="B8465" s="130" t="n">
        <v>2027</v>
      </c>
      <c r="C8465" s="131" t="s">
        <v>253</v>
      </c>
      <c r="D8465" s="132" t="n">
        <v>46713</v>
      </c>
      <c r="E8465" s="131" t="s">
        <v>12</v>
      </c>
      <c r="F8465" s="133" t="s">
        <v>11</v>
      </c>
      <c r="G8465" s="134" t="n">
        <f aca="false">LEN('Saisie programme'!$D$286)+SUMIFS('Vols additionnels'!$E$7:$E$66,'Vols additionnels'!$C$7:$C$66,$E8465,'Vols additionnels'!$D$7:$D$66,$F8465,'Vols additionnels'!$B$7:$B$66,$D8465)</f>
        <v>1</v>
      </c>
      <c r="H8465" s="135" t="n">
        <f aca="false">$G8465*'Analyse capacite'!$F$7</f>
        <v>438</v>
      </c>
      <c r="I8465" s="135" t="n">
        <f aca="false">$G8465*'Analyse capacite'!$C$7</f>
        <v>14</v>
      </c>
      <c r="J8465" s="135" t="n">
        <f aca="false">$G8465*'Analyse capacite'!$D$7</f>
        <v>40</v>
      </c>
      <c r="K8465" s="135" t="n">
        <f aca="false">$G8465*'Analyse capacite'!$E$7</f>
        <v>384</v>
      </c>
    </row>
    <row r="8466" customFormat="false" ht="15" hidden="false" customHeight="false" outlineLevel="0" collapsed="false">
      <c r="B8466" s="130" t="n">
        <v>2027</v>
      </c>
      <c r="C8466" s="131" t="s">
        <v>253</v>
      </c>
      <c r="D8466" s="132" t="n">
        <v>46713</v>
      </c>
      <c r="E8466" s="131" t="s">
        <v>12</v>
      </c>
      <c r="F8466" s="133" t="s">
        <v>19</v>
      </c>
      <c r="G8466" s="134" t="n">
        <f aca="false">LEN('Saisie programme'!$D$287)+SUMIFS('Vols additionnels'!$E$7:$E$66,'Vols additionnels'!$C$7:$C$66,$E8466,'Vols additionnels'!$D$7:$D$66,$F8466,'Vols additionnels'!$B$7:$B$66,$D8466)</f>
        <v>1</v>
      </c>
      <c r="H8466" s="135" t="n">
        <f aca="false">$G8466*'Analyse capacite'!$F$8</f>
        <v>262</v>
      </c>
      <c r="I8466" s="135" t="n">
        <f aca="false">$G8466*'Analyse capacite'!$C$8</f>
        <v>18</v>
      </c>
      <c r="J8466" s="135" t="n">
        <f aca="false">$G8466*'Analyse capacite'!$D$8</f>
        <v>0</v>
      </c>
      <c r="K8466" s="135" t="n">
        <f aca="false">$G8466*'Analyse capacite'!$E$8</f>
        <v>244</v>
      </c>
    </row>
    <row r="8467" customFormat="false" ht="15" hidden="false" customHeight="false" outlineLevel="0" collapsed="false">
      <c r="B8467" s="130" t="n">
        <v>2027</v>
      </c>
      <c r="C8467" s="131" t="s">
        <v>253</v>
      </c>
      <c r="D8467" s="132" t="n">
        <v>46713</v>
      </c>
      <c r="E8467" s="131" t="s">
        <v>12</v>
      </c>
      <c r="F8467" s="133" t="s">
        <v>24</v>
      </c>
      <c r="G8467" s="134" t="n">
        <f aca="false">LEN('Saisie programme'!$D$288)+SUMIFS('Vols additionnels'!$E$7:$E$66,'Vols additionnels'!$C$7:$C$66,$E8467,'Vols additionnels'!$D$7:$D$66,$F8467,'Vols additionnels'!$B$7:$B$66,$D8467)</f>
        <v>2</v>
      </c>
      <c r="H8467" s="135" t="n">
        <f aca="false">$G8467*'Analyse capacite'!$F$9</f>
        <v>348</v>
      </c>
      <c r="I8467" s="135" t="n">
        <f aca="false">$G8467*'Analyse capacite'!$C$9</f>
        <v>0</v>
      </c>
      <c r="J8467" s="135" t="n">
        <f aca="false">$G8467*'Analyse capacite'!$D$9</f>
        <v>24</v>
      </c>
      <c r="K8467" s="135" t="n">
        <f aca="false">$G8467*'Analyse capacite'!$E$9</f>
        <v>324</v>
      </c>
    </row>
    <row r="8468" customFormat="false" ht="15" hidden="false" customHeight="false" outlineLevel="0" collapsed="false">
      <c r="B8468" s="130" t="n">
        <v>2027</v>
      </c>
      <c r="C8468" s="131" t="s">
        <v>253</v>
      </c>
      <c r="D8468" s="132" t="n">
        <v>46713</v>
      </c>
      <c r="E8468" s="131" t="s">
        <v>20</v>
      </c>
      <c r="F8468" s="133" t="s">
        <v>11</v>
      </c>
      <c r="G8468" s="134" t="n">
        <f aca="false">LEN('Saisie programme'!$D$289)+SUMIFS('Vols additionnels'!$E$7:$E$66,'Vols additionnels'!$C$7:$C$66,$E8468,'Vols additionnels'!$D$7:$D$66,$F8468,'Vols additionnels'!$B$7:$B$66,$D8468)</f>
        <v>0</v>
      </c>
      <c r="H8468" s="135" t="n">
        <f aca="false">$G8468*'Analyse capacite'!$F$7</f>
        <v>0</v>
      </c>
      <c r="I8468" s="135" t="n">
        <f aca="false">$G8468*'Analyse capacite'!$C$7</f>
        <v>0</v>
      </c>
      <c r="J8468" s="135" t="n">
        <f aca="false">$G8468*'Analyse capacite'!$D$7</f>
        <v>0</v>
      </c>
      <c r="K8468" s="135" t="n">
        <f aca="false">$G8468*'Analyse capacite'!$E$7</f>
        <v>0</v>
      </c>
    </row>
    <row r="8469" customFormat="false" ht="15" hidden="false" customHeight="false" outlineLevel="0" collapsed="false">
      <c r="B8469" s="130" t="n">
        <v>2027</v>
      </c>
      <c r="C8469" s="131" t="s">
        <v>253</v>
      </c>
      <c r="D8469" s="132" t="n">
        <v>46713</v>
      </c>
      <c r="E8469" s="131" t="s">
        <v>20</v>
      </c>
      <c r="F8469" s="133" t="s">
        <v>19</v>
      </c>
      <c r="G8469" s="134" t="n">
        <f aca="false">LEN('Saisie programme'!$D$290)+SUMIFS('Vols additionnels'!$E$7:$E$66,'Vols additionnels'!$C$7:$C$66,$E8469,'Vols additionnels'!$D$7:$D$66,$F8469,'Vols additionnels'!$B$7:$B$66,$D8469)</f>
        <v>0</v>
      </c>
      <c r="H8469" s="135" t="n">
        <f aca="false">$G8469*'Analyse capacite'!$F$8</f>
        <v>0</v>
      </c>
      <c r="I8469" s="135" t="n">
        <f aca="false">$G8469*'Analyse capacite'!$C$8</f>
        <v>0</v>
      </c>
      <c r="J8469" s="135" t="n">
        <f aca="false">$G8469*'Analyse capacite'!$D$8</f>
        <v>0</v>
      </c>
      <c r="K8469" s="135" t="n">
        <f aca="false">$G8469*'Analyse capacite'!$E$8</f>
        <v>0</v>
      </c>
    </row>
    <row r="8470" customFormat="false" ht="15" hidden="false" customHeight="false" outlineLevel="0" collapsed="false">
      <c r="B8470" s="130" t="n">
        <v>2027</v>
      </c>
      <c r="C8470" s="131" t="s">
        <v>253</v>
      </c>
      <c r="D8470" s="132" t="n">
        <v>46713</v>
      </c>
      <c r="E8470" s="131" t="s">
        <v>20</v>
      </c>
      <c r="F8470" s="133" t="s">
        <v>24</v>
      </c>
      <c r="G8470" s="134" t="n">
        <f aca="false">LEN('Saisie programme'!$D$291)+SUMIFS('Vols additionnels'!$E$7:$E$66,'Vols additionnels'!$C$7:$C$66,$E8470,'Vols additionnels'!$D$7:$D$66,$F8470,'Vols additionnels'!$B$7:$B$66,$D8470)</f>
        <v>0</v>
      </c>
      <c r="H8470" s="135" t="n">
        <f aca="false">$G8470*'Analyse capacite'!$F$9</f>
        <v>0</v>
      </c>
      <c r="I8470" s="135" t="n">
        <f aca="false">$G8470*'Analyse capacite'!$C$9</f>
        <v>0</v>
      </c>
      <c r="J8470" s="135" t="n">
        <f aca="false">$G8470*'Analyse capacite'!$D$9</f>
        <v>0</v>
      </c>
      <c r="K8470" s="135" t="n">
        <f aca="false">$G8470*'Analyse capacite'!$E$9</f>
        <v>0</v>
      </c>
    </row>
    <row r="8471" customFormat="false" ht="15" hidden="false" customHeight="false" outlineLevel="0" collapsed="false">
      <c r="B8471" s="130" t="n">
        <v>2027</v>
      </c>
      <c r="C8471" s="131" t="s">
        <v>253</v>
      </c>
      <c r="D8471" s="132" t="n">
        <v>46713</v>
      </c>
      <c r="E8471" s="131" t="s">
        <v>25</v>
      </c>
      <c r="F8471" s="133" t="s">
        <v>11</v>
      </c>
      <c r="G8471" s="134" t="n">
        <f aca="false">LEN('Saisie programme'!$D$292)+SUMIFS('Vols additionnels'!$E$7:$E$66,'Vols additionnels'!$C$7:$C$66,$E8471,'Vols additionnels'!$D$7:$D$66,$F8471,'Vols additionnels'!$B$7:$B$66,$D8471)</f>
        <v>0</v>
      </c>
      <c r="H8471" s="135" t="n">
        <f aca="false">$G8471*'Analyse capacite'!$F$7</f>
        <v>0</v>
      </c>
      <c r="I8471" s="135" t="n">
        <f aca="false">$G8471*'Analyse capacite'!$C$7</f>
        <v>0</v>
      </c>
      <c r="J8471" s="135" t="n">
        <f aca="false">$G8471*'Analyse capacite'!$D$7</f>
        <v>0</v>
      </c>
      <c r="K8471" s="135" t="n">
        <f aca="false">$G8471*'Analyse capacite'!$E$7</f>
        <v>0</v>
      </c>
    </row>
    <row r="8472" customFormat="false" ht="15" hidden="false" customHeight="false" outlineLevel="0" collapsed="false">
      <c r="B8472" s="130" t="n">
        <v>2027</v>
      </c>
      <c r="C8472" s="131" t="s">
        <v>253</v>
      </c>
      <c r="D8472" s="132" t="n">
        <v>46713</v>
      </c>
      <c r="E8472" s="131" t="s">
        <v>25</v>
      </c>
      <c r="F8472" s="133" t="s">
        <v>19</v>
      </c>
      <c r="G8472" s="134" t="n">
        <f aca="false">LEN('Saisie programme'!$D$293)+SUMIFS('Vols additionnels'!$E$7:$E$66,'Vols additionnels'!$C$7:$C$66,$E8472,'Vols additionnels'!$D$7:$D$66,$F8472,'Vols additionnels'!$B$7:$B$66,$D8472)</f>
        <v>0</v>
      </c>
      <c r="H8472" s="135" t="n">
        <f aca="false">$G8472*'Analyse capacite'!$F$8</f>
        <v>0</v>
      </c>
      <c r="I8472" s="135" t="n">
        <f aca="false">$G8472*'Analyse capacite'!$C$8</f>
        <v>0</v>
      </c>
      <c r="J8472" s="135" t="n">
        <f aca="false">$G8472*'Analyse capacite'!$D$8</f>
        <v>0</v>
      </c>
      <c r="K8472" s="135" t="n">
        <f aca="false">$G8472*'Analyse capacite'!$E$8</f>
        <v>0</v>
      </c>
    </row>
    <row r="8473" customFormat="false" ht="15" hidden="false" customHeight="false" outlineLevel="0" collapsed="false">
      <c r="B8473" s="130" t="n">
        <v>2027</v>
      </c>
      <c r="C8473" s="131" t="s">
        <v>253</v>
      </c>
      <c r="D8473" s="132" t="n">
        <v>46713</v>
      </c>
      <c r="E8473" s="131" t="s">
        <v>25</v>
      </c>
      <c r="F8473" s="133" t="s">
        <v>24</v>
      </c>
      <c r="G8473" s="134" t="n">
        <f aca="false">LEN('Saisie programme'!$D$294)+SUMIFS('Vols additionnels'!$E$7:$E$66,'Vols additionnels'!$C$7:$C$66,$E8473,'Vols additionnels'!$D$7:$D$66,$F8473,'Vols additionnels'!$B$7:$B$66,$D8473)</f>
        <v>0</v>
      </c>
      <c r="H8473" s="135" t="n">
        <f aca="false">$G8473*'Analyse capacite'!$F$9</f>
        <v>0</v>
      </c>
      <c r="I8473" s="135" t="n">
        <f aca="false">$G8473*'Analyse capacite'!$C$9</f>
        <v>0</v>
      </c>
      <c r="J8473" s="135" t="n">
        <f aca="false">$G8473*'Analyse capacite'!$D$9</f>
        <v>0</v>
      </c>
      <c r="K8473" s="135" t="n">
        <f aca="false">$G8473*'Analyse capacite'!$E$9</f>
        <v>0</v>
      </c>
    </row>
    <row r="8474" customFormat="false" ht="15" hidden="false" customHeight="false" outlineLevel="0" collapsed="false">
      <c r="B8474" s="130" t="n">
        <v>2027</v>
      </c>
      <c r="C8474" s="131" t="s">
        <v>253</v>
      </c>
      <c r="D8474" s="132" t="n">
        <v>46713</v>
      </c>
      <c r="E8474" s="131" t="s">
        <v>36</v>
      </c>
      <c r="F8474" s="133" t="s">
        <v>11</v>
      </c>
      <c r="G8474" s="134" t="n">
        <f aca="false">LEN('Saisie programme'!$D$295)+SUMIFS('Vols additionnels'!$E$7:$E$66,'Vols additionnels'!$C$7:$C$66,$E8474,'Vols additionnels'!$D$7:$D$66,$F8474,'Vols additionnels'!$B$7:$B$66,$D8474)</f>
        <v>0</v>
      </c>
      <c r="H8474" s="135" t="n">
        <f aca="false">$G8474*'Analyse capacite'!$F$7</f>
        <v>0</v>
      </c>
      <c r="I8474" s="135" t="n">
        <f aca="false">$G8474*'Analyse capacite'!$C$7</f>
        <v>0</v>
      </c>
      <c r="J8474" s="135" t="n">
        <f aca="false">$G8474*'Analyse capacite'!$D$7</f>
        <v>0</v>
      </c>
      <c r="K8474" s="135" t="n">
        <f aca="false">$G8474*'Analyse capacite'!$E$7</f>
        <v>0</v>
      </c>
    </row>
    <row r="8475" customFormat="false" ht="15" hidden="false" customHeight="false" outlineLevel="0" collapsed="false">
      <c r="B8475" s="130" t="n">
        <v>2027</v>
      </c>
      <c r="C8475" s="131" t="s">
        <v>253</v>
      </c>
      <c r="D8475" s="132" t="n">
        <v>46713</v>
      </c>
      <c r="E8475" s="131" t="s">
        <v>36</v>
      </c>
      <c r="F8475" s="133" t="s">
        <v>19</v>
      </c>
      <c r="G8475" s="134" t="n">
        <f aca="false">LEN('Saisie programme'!$D$296)+SUMIFS('Vols additionnels'!$E$7:$E$66,'Vols additionnels'!$C$7:$C$66,$E8475,'Vols additionnels'!$D$7:$D$66,$F8475,'Vols additionnels'!$B$7:$B$66,$D8475)</f>
        <v>0</v>
      </c>
      <c r="H8475" s="135" t="n">
        <f aca="false">$G8475*'Analyse capacite'!$F$8</f>
        <v>0</v>
      </c>
      <c r="I8475" s="135" t="n">
        <f aca="false">$G8475*'Analyse capacite'!$C$8</f>
        <v>0</v>
      </c>
      <c r="J8475" s="135" t="n">
        <f aca="false">$G8475*'Analyse capacite'!$D$8</f>
        <v>0</v>
      </c>
      <c r="K8475" s="135" t="n">
        <f aca="false">$G8475*'Analyse capacite'!$E$8</f>
        <v>0</v>
      </c>
    </row>
    <row r="8476" customFormat="false" ht="15" hidden="false" customHeight="false" outlineLevel="0" collapsed="false">
      <c r="B8476" s="130" t="n">
        <v>2027</v>
      </c>
      <c r="C8476" s="131" t="s">
        <v>253</v>
      </c>
      <c r="D8476" s="132" t="n">
        <v>46713</v>
      </c>
      <c r="E8476" s="131" t="s">
        <v>36</v>
      </c>
      <c r="F8476" s="133" t="s">
        <v>24</v>
      </c>
      <c r="G8476" s="134" t="n">
        <f aca="false">LEN('Saisie programme'!$D$297)+SUMIFS('Vols additionnels'!$E$7:$E$66,'Vols additionnels'!$C$7:$C$66,$E8476,'Vols additionnels'!$D$7:$D$66,$F8476,'Vols additionnels'!$B$7:$B$66,$D8476)</f>
        <v>1</v>
      </c>
      <c r="H8476" s="135" t="n">
        <f aca="false">$G8476*'Analyse capacite'!$F$9</f>
        <v>174</v>
      </c>
      <c r="I8476" s="135" t="n">
        <f aca="false">$G8476*'Analyse capacite'!$C$9</f>
        <v>0</v>
      </c>
      <c r="J8476" s="135" t="n">
        <f aca="false">$G8476*'Analyse capacite'!$D$9</f>
        <v>12</v>
      </c>
      <c r="K8476" s="135" t="n">
        <f aca="false">$G8476*'Analyse capacite'!$E$9</f>
        <v>162</v>
      </c>
    </row>
    <row r="8477" customFormat="false" ht="15" hidden="false" customHeight="false" outlineLevel="0" collapsed="false">
      <c r="B8477" s="130" t="n">
        <v>2027</v>
      </c>
      <c r="C8477" s="131" t="s">
        <v>253</v>
      </c>
      <c r="D8477" s="132" t="n">
        <v>46713</v>
      </c>
      <c r="E8477" s="131" t="s">
        <v>40</v>
      </c>
      <c r="F8477" s="133" t="s">
        <v>11</v>
      </c>
      <c r="G8477" s="134" t="n">
        <f aca="false">LEN('Saisie programme'!$D$298)+SUMIFS('Vols additionnels'!$E$7:$E$66,'Vols additionnels'!$C$7:$C$66,$E8477,'Vols additionnels'!$D$7:$D$66,$F8477,'Vols additionnels'!$B$7:$B$66,$D8477)</f>
        <v>0</v>
      </c>
      <c r="H8477" s="135" t="n">
        <f aca="false">$G8477*'Analyse capacite'!$F$7</f>
        <v>0</v>
      </c>
      <c r="I8477" s="135" t="n">
        <f aca="false">$G8477*'Analyse capacite'!$C$7</f>
        <v>0</v>
      </c>
      <c r="J8477" s="135" t="n">
        <f aca="false">$G8477*'Analyse capacite'!$D$7</f>
        <v>0</v>
      </c>
      <c r="K8477" s="135" t="n">
        <f aca="false">$G8477*'Analyse capacite'!$E$7</f>
        <v>0</v>
      </c>
    </row>
    <row r="8478" customFormat="false" ht="15" hidden="false" customHeight="false" outlineLevel="0" collapsed="false">
      <c r="B8478" s="130" t="n">
        <v>2027</v>
      </c>
      <c r="C8478" s="131" t="s">
        <v>253</v>
      </c>
      <c r="D8478" s="132" t="n">
        <v>46713</v>
      </c>
      <c r="E8478" s="131" t="s">
        <v>40</v>
      </c>
      <c r="F8478" s="133" t="s">
        <v>19</v>
      </c>
      <c r="G8478" s="134" t="n">
        <f aca="false">LEN('Saisie programme'!$D$299)+SUMIFS('Vols additionnels'!$E$7:$E$66,'Vols additionnels'!$C$7:$C$66,$E8478,'Vols additionnels'!$D$7:$D$66,$F8478,'Vols additionnels'!$B$7:$B$66,$D8478)</f>
        <v>0</v>
      </c>
      <c r="H8478" s="135" t="n">
        <f aca="false">$G8478*'Analyse capacite'!$F$8</f>
        <v>0</v>
      </c>
      <c r="I8478" s="135" t="n">
        <f aca="false">$G8478*'Analyse capacite'!$C$8</f>
        <v>0</v>
      </c>
      <c r="J8478" s="135" t="n">
        <f aca="false">$G8478*'Analyse capacite'!$D$8</f>
        <v>0</v>
      </c>
      <c r="K8478" s="135" t="n">
        <f aca="false">$G8478*'Analyse capacite'!$E$8</f>
        <v>0</v>
      </c>
    </row>
    <row r="8479" customFormat="false" ht="15" hidden="false" customHeight="false" outlineLevel="0" collapsed="false">
      <c r="B8479" s="130" t="n">
        <v>2027</v>
      </c>
      <c r="C8479" s="131" t="s">
        <v>253</v>
      </c>
      <c r="D8479" s="132" t="n">
        <v>46713</v>
      </c>
      <c r="E8479" s="131" t="s">
        <v>40</v>
      </c>
      <c r="F8479" s="133" t="s">
        <v>24</v>
      </c>
      <c r="G8479" s="134" t="n">
        <f aca="false">LEN('Saisie programme'!$D$300)+SUMIFS('Vols additionnels'!$E$7:$E$66,'Vols additionnels'!$C$7:$C$66,$E8479,'Vols additionnels'!$D$7:$D$66,$F8479,'Vols additionnels'!$B$7:$B$66,$D8479)</f>
        <v>1</v>
      </c>
      <c r="H8479" s="135" t="n">
        <f aca="false">$G8479*'Analyse capacite'!$F$9</f>
        <v>174</v>
      </c>
      <c r="I8479" s="135" t="n">
        <f aca="false">$G8479*'Analyse capacite'!$C$9</f>
        <v>0</v>
      </c>
      <c r="J8479" s="135" t="n">
        <f aca="false">$G8479*'Analyse capacite'!$D$9</f>
        <v>12</v>
      </c>
      <c r="K8479" s="135" t="n">
        <f aca="false">$G8479*'Analyse capacite'!$E$9</f>
        <v>162</v>
      </c>
    </row>
    <row r="8480" customFormat="false" ht="15" hidden="false" customHeight="false" outlineLevel="0" collapsed="false">
      <c r="B8480" s="130" t="n">
        <v>2027</v>
      </c>
      <c r="C8480" s="131" t="s">
        <v>253</v>
      </c>
      <c r="D8480" s="132" t="n">
        <v>46713</v>
      </c>
      <c r="E8480" s="131" t="s">
        <v>14</v>
      </c>
      <c r="F8480" s="133" t="s">
        <v>11</v>
      </c>
      <c r="G8480" s="134" t="n">
        <f aca="false">LEN('Saisie programme'!$D$301)+SUMIFS('Vols additionnels'!$E$7:$E$66,'Vols additionnels'!$C$7:$C$66,$E8480,'Vols additionnels'!$D$7:$D$66,$F8480,'Vols additionnels'!$B$7:$B$66,$D8480)</f>
        <v>0</v>
      </c>
      <c r="H8480" s="135" t="n">
        <f aca="false">$G8480*'Analyse capacite'!$F$7</f>
        <v>0</v>
      </c>
      <c r="I8480" s="135" t="n">
        <f aca="false">$G8480*'Analyse capacite'!$C$7</f>
        <v>0</v>
      </c>
      <c r="J8480" s="135" t="n">
        <f aca="false">$G8480*'Analyse capacite'!$D$7</f>
        <v>0</v>
      </c>
      <c r="K8480" s="135" t="n">
        <f aca="false">$G8480*'Analyse capacite'!$E$7</f>
        <v>0</v>
      </c>
    </row>
    <row r="8481" customFormat="false" ht="15" hidden="false" customHeight="false" outlineLevel="0" collapsed="false">
      <c r="B8481" s="130" t="n">
        <v>2027</v>
      </c>
      <c r="C8481" s="131" t="s">
        <v>253</v>
      </c>
      <c r="D8481" s="132" t="n">
        <v>46713</v>
      </c>
      <c r="E8481" s="131" t="s">
        <v>14</v>
      </c>
      <c r="F8481" s="133" t="s">
        <v>19</v>
      </c>
      <c r="G8481" s="134" t="n">
        <f aca="false">LEN('Saisie programme'!$D$302)+SUMIFS('Vols additionnels'!$E$7:$E$66,'Vols additionnels'!$C$7:$C$66,$E8481,'Vols additionnels'!$D$7:$D$66,$F8481,'Vols additionnels'!$B$7:$B$66,$D8481)</f>
        <v>0</v>
      </c>
      <c r="H8481" s="135" t="n">
        <f aca="false">$G8481*'Analyse capacite'!$F$8</f>
        <v>0</v>
      </c>
      <c r="I8481" s="135" t="n">
        <f aca="false">$G8481*'Analyse capacite'!$C$8</f>
        <v>0</v>
      </c>
      <c r="J8481" s="135" t="n">
        <f aca="false">$G8481*'Analyse capacite'!$D$8</f>
        <v>0</v>
      </c>
      <c r="K8481" s="135" t="n">
        <f aca="false">$G8481*'Analyse capacite'!$E$8</f>
        <v>0</v>
      </c>
    </row>
    <row r="8482" customFormat="false" ht="15" hidden="false" customHeight="false" outlineLevel="0" collapsed="false">
      <c r="B8482" s="130" t="n">
        <v>2027</v>
      </c>
      <c r="C8482" s="131" t="s">
        <v>253</v>
      </c>
      <c r="D8482" s="132" t="n">
        <v>46713</v>
      </c>
      <c r="E8482" s="131" t="s">
        <v>14</v>
      </c>
      <c r="F8482" s="133" t="s">
        <v>24</v>
      </c>
      <c r="G8482" s="134" t="n">
        <f aca="false">LEN('Saisie programme'!$D$303)+SUMIFS('Vols additionnels'!$E$7:$E$66,'Vols additionnels'!$C$7:$C$66,$E8482,'Vols additionnels'!$D$7:$D$66,$F8482,'Vols additionnels'!$B$7:$B$66,$D8482)</f>
        <v>1</v>
      </c>
      <c r="H8482" s="135" t="n">
        <f aca="false">$G8482*'Analyse capacite'!$F$9</f>
        <v>174</v>
      </c>
      <c r="I8482" s="135" t="n">
        <f aca="false">$G8482*'Analyse capacite'!$C$9</f>
        <v>0</v>
      </c>
      <c r="J8482" s="135" t="n">
        <f aca="false">$G8482*'Analyse capacite'!$D$9</f>
        <v>12</v>
      </c>
      <c r="K8482" s="135" t="n">
        <f aca="false">$G8482*'Analyse capacite'!$E$9</f>
        <v>162</v>
      </c>
    </row>
    <row r="8483" customFormat="false" ht="15" hidden="false" customHeight="false" outlineLevel="0" collapsed="false">
      <c r="B8483" s="130" t="n">
        <v>2027</v>
      </c>
      <c r="C8483" s="131" t="s">
        <v>253</v>
      </c>
      <c r="D8483" s="132" t="n">
        <v>46713</v>
      </c>
      <c r="E8483" s="131" t="s">
        <v>46</v>
      </c>
      <c r="F8483" s="133" t="s">
        <v>11</v>
      </c>
      <c r="G8483" s="134" t="n">
        <f aca="false">LEN('Saisie programme'!$D$304)+SUMIFS('Vols additionnels'!$E$7:$E$66,'Vols additionnels'!$C$7:$C$66,$E8483,'Vols additionnels'!$D$7:$D$66,$F8483,'Vols additionnels'!$B$7:$B$66,$D8483)</f>
        <v>0</v>
      </c>
      <c r="H8483" s="135" t="n">
        <f aca="false">$G8483*'Analyse capacite'!$F$7</f>
        <v>0</v>
      </c>
      <c r="I8483" s="135" t="n">
        <f aca="false">$G8483*'Analyse capacite'!$C$7</f>
        <v>0</v>
      </c>
      <c r="J8483" s="135" t="n">
        <f aca="false">$G8483*'Analyse capacite'!$D$7</f>
        <v>0</v>
      </c>
      <c r="K8483" s="135" t="n">
        <f aca="false">$G8483*'Analyse capacite'!$E$7</f>
        <v>0</v>
      </c>
    </row>
    <row r="8484" customFormat="false" ht="15" hidden="false" customHeight="false" outlineLevel="0" collapsed="false">
      <c r="B8484" s="130" t="n">
        <v>2027</v>
      </c>
      <c r="C8484" s="131" t="s">
        <v>253</v>
      </c>
      <c r="D8484" s="132" t="n">
        <v>46713</v>
      </c>
      <c r="E8484" s="131" t="s">
        <v>46</v>
      </c>
      <c r="F8484" s="133" t="s">
        <v>19</v>
      </c>
      <c r="G8484" s="134" t="n">
        <f aca="false">LEN('Saisie programme'!$D$305)+SUMIFS('Vols additionnels'!$E$7:$E$66,'Vols additionnels'!$C$7:$C$66,$E8484,'Vols additionnels'!$D$7:$D$66,$F8484,'Vols additionnels'!$B$7:$B$66,$D8484)</f>
        <v>0</v>
      </c>
      <c r="H8484" s="135" t="n">
        <f aca="false">$G8484*'Analyse capacite'!$F$8</f>
        <v>0</v>
      </c>
      <c r="I8484" s="135" t="n">
        <f aca="false">$G8484*'Analyse capacite'!$C$8</f>
        <v>0</v>
      </c>
      <c r="J8484" s="135" t="n">
        <f aca="false">$G8484*'Analyse capacite'!$D$8</f>
        <v>0</v>
      </c>
      <c r="K8484" s="135" t="n">
        <f aca="false">$G8484*'Analyse capacite'!$E$8</f>
        <v>0</v>
      </c>
    </row>
    <row r="8485" customFormat="false" ht="15" hidden="false" customHeight="false" outlineLevel="0" collapsed="false">
      <c r="B8485" s="130" t="n">
        <v>2027</v>
      </c>
      <c r="C8485" s="131" t="s">
        <v>253</v>
      </c>
      <c r="D8485" s="132" t="n">
        <v>46713</v>
      </c>
      <c r="E8485" s="131" t="s">
        <v>46</v>
      </c>
      <c r="F8485" s="133" t="s">
        <v>24</v>
      </c>
      <c r="G8485" s="134" t="n">
        <f aca="false">LEN('Saisie programme'!$D$306)+SUMIFS('Vols additionnels'!$E$7:$E$66,'Vols additionnels'!$C$7:$C$66,$E8485,'Vols additionnels'!$D$7:$D$66,$F8485,'Vols additionnels'!$B$7:$B$66,$D8485)</f>
        <v>0</v>
      </c>
      <c r="H8485" s="135" t="n">
        <f aca="false">$G8485*'Analyse capacite'!$F$9</f>
        <v>0</v>
      </c>
      <c r="I8485" s="135" t="n">
        <f aca="false">$G8485*'Analyse capacite'!$C$9</f>
        <v>0</v>
      </c>
      <c r="J8485" s="135" t="n">
        <f aca="false">$G8485*'Analyse capacite'!$D$9</f>
        <v>0</v>
      </c>
      <c r="K8485" s="135" t="n">
        <f aca="false">$G8485*'Analyse capacite'!$E$9</f>
        <v>0</v>
      </c>
    </row>
    <row r="8486" customFormat="false" ht="15" hidden="false" customHeight="false" outlineLevel="0" collapsed="false">
      <c r="B8486" s="130" t="n">
        <v>2027</v>
      </c>
      <c r="C8486" s="131" t="s">
        <v>253</v>
      </c>
      <c r="D8486" s="132" t="n">
        <v>46713</v>
      </c>
      <c r="E8486" s="131" t="s">
        <v>49</v>
      </c>
      <c r="F8486" s="133" t="s">
        <v>11</v>
      </c>
      <c r="G8486" s="134" t="n">
        <f aca="false">LEN('Saisie programme'!$D$307)+SUMIFS('Vols additionnels'!$E$7:$E$66,'Vols additionnels'!$C$7:$C$66,$E8486,'Vols additionnels'!$D$7:$D$66,$F8486,'Vols additionnels'!$B$7:$B$66,$D8486)</f>
        <v>0</v>
      </c>
      <c r="H8486" s="135" t="n">
        <f aca="false">$G8486*'Analyse capacite'!$F$7</f>
        <v>0</v>
      </c>
      <c r="I8486" s="135" t="n">
        <f aca="false">$G8486*'Analyse capacite'!$C$7</f>
        <v>0</v>
      </c>
      <c r="J8486" s="135" t="n">
        <f aca="false">$G8486*'Analyse capacite'!$D$7</f>
        <v>0</v>
      </c>
      <c r="K8486" s="135" t="n">
        <f aca="false">$G8486*'Analyse capacite'!$E$7</f>
        <v>0</v>
      </c>
    </row>
    <row r="8487" customFormat="false" ht="15" hidden="false" customHeight="false" outlineLevel="0" collapsed="false">
      <c r="B8487" s="130" t="n">
        <v>2027</v>
      </c>
      <c r="C8487" s="131" t="s">
        <v>253</v>
      </c>
      <c r="D8487" s="132" t="n">
        <v>46713</v>
      </c>
      <c r="E8487" s="131" t="s">
        <v>49</v>
      </c>
      <c r="F8487" s="133" t="s">
        <v>19</v>
      </c>
      <c r="G8487" s="134" t="n">
        <f aca="false">LEN('Saisie programme'!$D$308)+SUMIFS('Vols additionnels'!$E$7:$E$66,'Vols additionnels'!$C$7:$C$66,$E8487,'Vols additionnels'!$D$7:$D$66,$F8487,'Vols additionnels'!$B$7:$B$66,$D8487)</f>
        <v>1</v>
      </c>
      <c r="H8487" s="135" t="n">
        <f aca="false">$G8487*'Analyse capacite'!$F$8</f>
        <v>262</v>
      </c>
      <c r="I8487" s="135" t="n">
        <f aca="false">$G8487*'Analyse capacite'!$C$8</f>
        <v>18</v>
      </c>
      <c r="J8487" s="135" t="n">
        <f aca="false">$G8487*'Analyse capacite'!$D$8</f>
        <v>0</v>
      </c>
      <c r="K8487" s="135" t="n">
        <f aca="false">$G8487*'Analyse capacite'!$E$8</f>
        <v>244</v>
      </c>
    </row>
    <row r="8488" customFormat="false" ht="15" hidden="false" customHeight="false" outlineLevel="0" collapsed="false">
      <c r="B8488" s="130" t="n">
        <v>2027</v>
      </c>
      <c r="C8488" s="131" t="s">
        <v>253</v>
      </c>
      <c r="D8488" s="132" t="n">
        <v>46713</v>
      </c>
      <c r="E8488" s="131" t="s">
        <v>49</v>
      </c>
      <c r="F8488" s="133" t="s">
        <v>24</v>
      </c>
      <c r="G8488" s="134" t="n">
        <f aca="false">LEN('Saisie programme'!$D$309)+SUMIFS('Vols additionnels'!$E$7:$E$66,'Vols additionnels'!$C$7:$C$66,$E8488,'Vols additionnels'!$D$7:$D$66,$F8488,'Vols additionnels'!$B$7:$B$66,$D8488)</f>
        <v>0</v>
      </c>
      <c r="H8488" s="135" t="n">
        <f aca="false">$G8488*'Analyse capacite'!$F$9</f>
        <v>0</v>
      </c>
      <c r="I8488" s="135" t="n">
        <f aca="false">$G8488*'Analyse capacite'!$C$9</f>
        <v>0</v>
      </c>
      <c r="J8488" s="135" t="n">
        <f aca="false">$G8488*'Analyse capacite'!$D$9</f>
        <v>0</v>
      </c>
      <c r="K8488" s="135" t="n">
        <f aca="false">$G8488*'Analyse capacite'!$E$9</f>
        <v>0</v>
      </c>
    </row>
    <row r="8489" customFormat="false" ht="15" hidden="false" customHeight="false" outlineLevel="0" collapsed="false">
      <c r="B8489" s="130" t="n">
        <v>2027</v>
      </c>
      <c r="C8489" s="131" t="s">
        <v>253</v>
      </c>
      <c r="D8489" s="132" t="n">
        <v>46713</v>
      </c>
      <c r="E8489" s="131" t="s">
        <v>53</v>
      </c>
      <c r="F8489" s="133" t="s">
        <v>11</v>
      </c>
      <c r="G8489" s="134" t="n">
        <f aca="false">LEN('Saisie programme'!$D$310)+SUMIFS('Vols additionnels'!$E$7:$E$66,'Vols additionnels'!$C$7:$C$66,$E8489,'Vols additionnels'!$D$7:$D$66,$F8489,'Vols additionnels'!$B$7:$B$66,$D8489)</f>
        <v>0</v>
      </c>
      <c r="H8489" s="135" t="n">
        <f aca="false">$G8489*'Analyse capacite'!$F$7</f>
        <v>0</v>
      </c>
      <c r="I8489" s="135" t="n">
        <f aca="false">$G8489*'Analyse capacite'!$C$7</f>
        <v>0</v>
      </c>
      <c r="J8489" s="135" t="n">
        <f aca="false">$G8489*'Analyse capacite'!$D$7</f>
        <v>0</v>
      </c>
      <c r="K8489" s="135" t="n">
        <f aca="false">$G8489*'Analyse capacite'!$E$7</f>
        <v>0</v>
      </c>
    </row>
    <row r="8490" customFormat="false" ht="15" hidden="false" customHeight="false" outlineLevel="0" collapsed="false">
      <c r="B8490" s="130" t="n">
        <v>2027</v>
      </c>
      <c r="C8490" s="131" t="s">
        <v>253</v>
      </c>
      <c r="D8490" s="132" t="n">
        <v>46713</v>
      </c>
      <c r="E8490" s="131" t="s">
        <v>53</v>
      </c>
      <c r="F8490" s="133" t="s">
        <v>19</v>
      </c>
      <c r="G8490" s="134" t="n">
        <f aca="false">LEN('Saisie programme'!$D$311)+SUMIFS('Vols additionnels'!$E$7:$E$66,'Vols additionnels'!$C$7:$C$66,$E8490,'Vols additionnels'!$D$7:$D$66,$F8490,'Vols additionnels'!$B$7:$B$66,$D8490)</f>
        <v>0</v>
      </c>
      <c r="H8490" s="135" t="n">
        <f aca="false">$G8490*'Analyse capacite'!$F$8</f>
        <v>0</v>
      </c>
      <c r="I8490" s="135" t="n">
        <f aca="false">$G8490*'Analyse capacite'!$C$8</f>
        <v>0</v>
      </c>
      <c r="J8490" s="135" t="n">
        <f aca="false">$G8490*'Analyse capacite'!$D$8</f>
        <v>0</v>
      </c>
      <c r="K8490" s="135" t="n">
        <f aca="false">$G8490*'Analyse capacite'!$E$8</f>
        <v>0</v>
      </c>
    </row>
    <row r="8491" customFormat="false" ht="15" hidden="false" customHeight="false" outlineLevel="0" collapsed="false">
      <c r="B8491" s="130" t="n">
        <v>2027</v>
      </c>
      <c r="C8491" s="131" t="s">
        <v>253</v>
      </c>
      <c r="D8491" s="132" t="n">
        <v>46713</v>
      </c>
      <c r="E8491" s="131" t="s">
        <v>53</v>
      </c>
      <c r="F8491" s="133" t="s">
        <v>24</v>
      </c>
      <c r="G8491" s="134" t="n">
        <f aca="false">LEN('Saisie programme'!$D$312)+SUMIFS('Vols additionnels'!$E$7:$E$66,'Vols additionnels'!$C$7:$C$66,$E8491,'Vols additionnels'!$D$7:$D$66,$F8491,'Vols additionnels'!$B$7:$B$66,$D8491)</f>
        <v>0</v>
      </c>
      <c r="H8491" s="135" t="n">
        <f aca="false">$G8491*'Analyse capacite'!$F$9</f>
        <v>0</v>
      </c>
      <c r="I8491" s="135" t="n">
        <f aca="false">$G8491*'Analyse capacite'!$C$9</f>
        <v>0</v>
      </c>
      <c r="J8491" s="135" t="n">
        <f aca="false">$G8491*'Analyse capacite'!$D$9</f>
        <v>0</v>
      </c>
      <c r="K8491" s="135" t="n">
        <f aca="false">$G8491*'Analyse capacite'!$E$9</f>
        <v>0</v>
      </c>
    </row>
    <row r="8492" customFormat="false" ht="15" hidden="false" customHeight="false" outlineLevel="0" collapsed="false">
      <c r="B8492" s="130" t="n">
        <v>2027</v>
      </c>
      <c r="C8492" s="131" t="s">
        <v>253</v>
      </c>
      <c r="D8492" s="132" t="n">
        <v>46713</v>
      </c>
      <c r="E8492" s="131" t="s">
        <v>56</v>
      </c>
      <c r="F8492" s="133" t="s">
        <v>11</v>
      </c>
      <c r="G8492" s="134" t="n">
        <f aca="false">LEN('Saisie programme'!$D$313)+SUMIFS('Vols additionnels'!$E$7:$E$66,'Vols additionnels'!$C$7:$C$66,$E8492,'Vols additionnels'!$D$7:$D$66,$F8492,'Vols additionnels'!$B$7:$B$66,$D8492)</f>
        <v>0</v>
      </c>
      <c r="H8492" s="135" t="n">
        <f aca="false">$G8492*'Analyse capacite'!$F$7</f>
        <v>0</v>
      </c>
      <c r="I8492" s="135" t="n">
        <f aca="false">$G8492*'Analyse capacite'!$C$7</f>
        <v>0</v>
      </c>
      <c r="J8492" s="135" t="n">
        <f aca="false">$G8492*'Analyse capacite'!$D$7</f>
        <v>0</v>
      </c>
      <c r="K8492" s="135" t="n">
        <f aca="false">$G8492*'Analyse capacite'!$E$7</f>
        <v>0</v>
      </c>
    </row>
    <row r="8493" customFormat="false" ht="15" hidden="false" customHeight="false" outlineLevel="0" collapsed="false">
      <c r="B8493" s="130" t="n">
        <v>2027</v>
      </c>
      <c r="C8493" s="131" t="s">
        <v>253</v>
      </c>
      <c r="D8493" s="132" t="n">
        <v>46713</v>
      </c>
      <c r="E8493" s="131" t="s">
        <v>56</v>
      </c>
      <c r="F8493" s="133" t="s">
        <v>19</v>
      </c>
      <c r="G8493" s="134" t="n">
        <f aca="false">LEN('Saisie programme'!$D$314)+SUMIFS('Vols additionnels'!$E$7:$E$66,'Vols additionnels'!$C$7:$C$66,$E8493,'Vols additionnels'!$D$7:$D$66,$F8493,'Vols additionnels'!$B$7:$B$66,$D8493)</f>
        <v>0</v>
      </c>
      <c r="H8493" s="135" t="n">
        <f aca="false">$G8493*'Analyse capacite'!$F$8</f>
        <v>0</v>
      </c>
      <c r="I8493" s="135" t="n">
        <f aca="false">$G8493*'Analyse capacite'!$C$8</f>
        <v>0</v>
      </c>
      <c r="J8493" s="135" t="n">
        <f aca="false">$G8493*'Analyse capacite'!$D$8</f>
        <v>0</v>
      </c>
      <c r="K8493" s="135" t="n">
        <f aca="false">$G8493*'Analyse capacite'!$E$8</f>
        <v>0</v>
      </c>
    </row>
    <row r="8494" customFormat="false" ht="15" hidden="false" customHeight="false" outlineLevel="0" collapsed="false">
      <c r="B8494" s="130" t="n">
        <v>2027</v>
      </c>
      <c r="C8494" s="131" t="s">
        <v>253</v>
      </c>
      <c r="D8494" s="132" t="n">
        <v>46713</v>
      </c>
      <c r="E8494" s="131" t="s">
        <v>56</v>
      </c>
      <c r="F8494" s="133" t="s">
        <v>24</v>
      </c>
      <c r="G8494" s="134" t="n">
        <f aca="false">LEN('Saisie programme'!$D$315)+SUMIFS('Vols additionnels'!$E$7:$E$66,'Vols additionnels'!$C$7:$C$66,$E8494,'Vols additionnels'!$D$7:$D$66,$F8494,'Vols additionnels'!$B$7:$B$66,$D8494)</f>
        <v>0</v>
      </c>
      <c r="H8494" s="135" t="n">
        <f aca="false">$G8494*'Analyse capacite'!$F$9</f>
        <v>0</v>
      </c>
      <c r="I8494" s="135" t="n">
        <f aca="false">$G8494*'Analyse capacite'!$C$9</f>
        <v>0</v>
      </c>
      <c r="J8494" s="135" t="n">
        <f aca="false">$G8494*'Analyse capacite'!$D$9</f>
        <v>0</v>
      </c>
      <c r="K8494" s="135" t="n">
        <f aca="false">$G8494*'Analyse capacite'!$E$9</f>
        <v>0</v>
      </c>
    </row>
    <row r="8495" customFormat="false" ht="15" hidden="false" customHeight="false" outlineLevel="0" collapsed="false">
      <c r="B8495" s="130" t="n">
        <v>2027</v>
      </c>
      <c r="C8495" s="131" t="s">
        <v>253</v>
      </c>
      <c r="D8495" s="132" t="n">
        <v>46713</v>
      </c>
      <c r="E8495" s="131" t="s">
        <v>59</v>
      </c>
      <c r="F8495" s="133" t="s">
        <v>11</v>
      </c>
      <c r="G8495" s="134" t="n">
        <f aca="false">LEN('Saisie programme'!$D$316)+SUMIFS('Vols additionnels'!$E$7:$E$66,'Vols additionnels'!$C$7:$C$66,$E8495,'Vols additionnels'!$D$7:$D$66,$F8495,'Vols additionnels'!$B$7:$B$66,$D8495)</f>
        <v>0</v>
      </c>
      <c r="H8495" s="135" t="n">
        <f aca="false">$G8495*'Analyse capacite'!$F$7</f>
        <v>0</v>
      </c>
      <c r="I8495" s="135" t="n">
        <f aca="false">$G8495*'Analyse capacite'!$C$7</f>
        <v>0</v>
      </c>
      <c r="J8495" s="135" t="n">
        <f aca="false">$G8495*'Analyse capacite'!$D$7</f>
        <v>0</v>
      </c>
      <c r="K8495" s="135" t="n">
        <f aca="false">$G8495*'Analyse capacite'!$E$7</f>
        <v>0</v>
      </c>
    </row>
    <row r="8496" customFormat="false" ht="15" hidden="false" customHeight="false" outlineLevel="0" collapsed="false">
      <c r="B8496" s="130" t="n">
        <v>2027</v>
      </c>
      <c r="C8496" s="131" t="s">
        <v>253</v>
      </c>
      <c r="D8496" s="132" t="n">
        <v>46713</v>
      </c>
      <c r="E8496" s="131" t="s">
        <v>59</v>
      </c>
      <c r="F8496" s="133" t="s">
        <v>19</v>
      </c>
      <c r="G8496" s="134" t="n">
        <f aca="false">LEN('Saisie programme'!$D$317)+SUMIFS('Vols additionnels'!$E$7:$E$66,'Vols additionnels'!$C$7:$C$66,$E8496,'Vols additionnels'!$D$7:$D$66,$F8496,'Vols additionnels'!$B$7:$B$66,$D8496)</f>
        <v>0</v>
      </c>
      <c r="H8496" s="135" t="n">
        <f aca="false">$G8496*'Analyse capacite'!$F$8</f>
        <v>0</v>
      </c>
      <c r="I8496" s="135" t="n">
        <f aca="false">$G8496*'Analyse capacite'!$C$8</f>
        <v>0</v>
      </c>
      <c r="J8496" s="135" t="n">
        <f aca="false">$G8496*'Analyse capacite'!$D$8</f>
        <v>0</v>
      </c>
      <c r="K8496" s="135" t="n">
        <f aca="false">$G8496*'Analyse capacite'!$E$8</f>
        <v>0</v>
      </c>
    </row>
    <row r="8497" customFormat="false" ht="15" hidden="false" customHeight="false" outlineLevel="0" collapsed="false">
      <c r="B8497" s="130" t="n">
        <v>2027</v>
      </c>
      <c r="C8497" s="131" t="s">
        <v>253</v>
      </c>
      <c r="D8497" s="132" t="n">
        <v>46713</v>
      </c>
      <c r="E8497" s="131" t="s">
        <v>59</v>
      </c>
      <c r="F8497" s="133" t="s">
        <v>24</v>
      </c>
      <c r="G8497" s="134" t="n">
        <f aca="false">LEN('Saisie programme'!$D$318)+SUMIFS('Vols additionnels'!$E$7:$E$66,'Vols additionnels'!$C$7:$C$66,$E8497,'Vols additionnels'!$D$7:$D$66,$F8497,'Vols additionnels'!$B$7:$B$66,$D8497)</f>
        <v>1</v>
      </c>
      <c r="H8497" s="135" t="n">
        <f aca="false">$G8497*'Analyse capacite'!$F$9</f>
        <v>174</v>
      </c>
      <c r="I8497" s="135" t="n">
        <f aca="false">$G8497*'Analyse capacite'!$C$9</f>
        <v>0</v>
      </c>
      <c r="J8497" s="135" t="n">
        <f aca="false">$G8497*'Analyse capacite'!$D$9</f>
        <v>12</v>
      </c>
      <c r="K8497" s="135" t="n">
        <f aca="false">$G8497*'Analyse capacite'!$E$9</f>
        <v>162</v>
      </c>
    </row>
    <row r="8498" customFormat="false" ht="15" hidden="false" customHeight="false" outlineLevel="0" collapsed="false">
      <c r="B8498" s="130" t="n">
        <v>2027</v>
      </c>
      <c r="C8498" s="131" t="s">
        <v>253</v>
      </c>
      <c r="D8498" s="132" t="n">
        <v>46713</v>
      </c>
      <c r="E8498" s="131" t="s">
        <v>62</v>
      </c>
      <c r="F8498" s="133" t="s">
        <v>11</v>
      </c>
      <c r="G8498" s="134" t="n">
        <f aca="false">LEN('Saisie programme'!$D$319)+SUMIFS('Vols additionnels'!$E$7:$E$66,'Vols additionnels'!$C$7:$C$66,$E8498,'Vols additionnels'!$D$7:$D$66,$F8498,'Vols additionnels'!$B$7:$B$66,$D8498)</f>
        <v>0</v>
      </c>
      <c r="H8498" s="135" t="n">
        <f aca="false">$G8498*'Analyse capacite'!$F$7</f>
        <v>0</v>
      </c>
      <c r="I8498" s="135" t="n">
        <f aca="false">$G8498*'Analyse capacite'!$C$7</f>
        <v>0</v>
      </c>
      <c r="J8498" s="135" t="n">
        <f aca="false">$G8498*'Analyse capacite'!$D$7</f>
        <v>0</v>
      </c>
      <c r="K8498" s="135" t="n">
        <f aca="false">$G8498*'Analyse capacite'!$E$7</f>
        <v>0</v>
      </c>
    </row>
    <row r="8499" customFormat="false" ht="15" hidden="false" customHeight="false" outlineLevel="0" collapsed="false">
      <c r="B8499" s="130" t="n">
        <v>2027</v>
      </c>
      <c r="C8499" s="131" t="s">
        <v>253</v>
      </c>
      <c r="D8499" s="132" t="n">
        <v>46713</v>
      </c>
      <c r="E8499" s="131" t="s">
        <v>62</v>
      </c>
      <c r="F8499" s="133" t="s">
        <v>19</v>
      </c>
      <c r="G8499" s="134" t="n">
        <f aca="false">LEN('Saisie programme'!$D$320)+SUMIFS('Vols additionnels'!$E$7:$E$66,'Vols additionnels'!$C$7:$C$66,$E8499,'Vols additionnels'!$D$7:$D$66,$F8499,'Vols additionnels'!$B$7:$B$66,$D8499)</f>
        <v>0</v>
      </c>
      <c r="H8499" s="135" t="n">
        <f aca="false">$G8499*'Analyse capacite'!$F$8</f>
        <v>0</v>
      </c>
      <c r="I8499" s="135" t="n">
        <f aca="false">$G8499*'Analyse capacite'!$C$8</f>
        <v>0</v>
      </c>
      <c r="J8499" s="135" t="n">
        <f aca="false">$G8499*'Analyse capacite'!$D$8</f>
        <v>0</v>
      </c>
      <c r="K8499" s="135" t="n">
        <f aca="false">$G8499*'Analyse capacite'!$E$8</f>
        <v>0</v>
      </c>
    </row>
    <row r="8500" customFormat="false" ht="15" hidden="false" customHeight="false" outlineLevel="0" collapsed="false">
      <c r="B8500" s="130" t="n">
        <v>2027</v>
      </c>
      <c r="C8500" s="131" t="s">
        <v>253</v>
      </c>
      <c r="D8500" s="132" t="n">
        <v>46713</v>
      </c>
      <c r="E8500" s="131" t="s">
        <v>62</v>
      </c>
      <c r="F8500" s="133" t="s">
        <v>24</v>
      </c>
      <c r="G8500" s="134" t="n">
        <f aca="false">LEN('Saisie programme'!$D$321)+SUMIFS('Vols additionnels'!$E$7:$E$66,'Vols additionnels'!$C$7:$C$66,$E8500,'Vols additionnels'!$D$7:$D$66,$F8500,'Vols additionnels'!$B$7:$B$66,$D8500)</f>
        <v>0</v>
      </c>
      <c r="H8500" s="135" t="n">
        <f aca="false">$G8500*'Analyse capacite'!$F$9</f>
        <v>0</v>
      </c>
      <c r="I8500" s="135" t="n">
        <f aca="false">$G8500*'Analyse capacite'!$C$9</f>
        <v>0</v>
      </c>
      <c r="J8500" s="135" t="n">
        <f aca="false">$G8500*'Analyse capacite'!$D$9</f>
        <v>0</v>
      </c>
      <c r="K8500" s="135" t="n">
        <f aca="false">$G8500*'Analyse capacite'!$E$9</f>
        <v>0</v>
      </c>
    </row>
    <row r="8501" customFormat="false" ht="15" hidden="false" customHeight="false" outlineLevel="0" collapsed="false">
      <c r="B8501" s="130" t="n">
        <v>2027</v>
      </c>
      <c r="C8501" s="131" t="s">
        <v>253</v>
      </c>
      <c r="D8501" s="132" t="n">
        <v>46714</v>
      </c>
      <c r="E8501" s="131" t="s">
        <v>12</v>
      </c>
      <c r="F8501" s="133" t="s">
        <v>11</v>
      </c>
      <c r="G8501" s="134" t="n">
        <f aca="false">LEN('Saisie programme'!$E$286)+SUMIFS('Vols additionnels'!$E$7:$E$66,'Vols additionnels'!$C$7:$C$66,$E8501,'Vols additionnels'!$D$7:$D$66,$F8501,'Vols additionnels'!$B$7:$B$66,$D8501)</f>
        <v>1</v>
      </c>
      <c r="H8501" s="135" t="n">
        <f aca="false">$G8501*'Analyse capacite'!$F$7</f>
        <v>438</v>
      </c>
      <c r="I8501" s="135" t="n">
        <f aca="false">$G8501*'Analyse capacite'!$C$7</f>
        <v>14</v>
      </c>
      <c r="J8501" s="135" t="n">
        <f aca="false">$G8501*'Analyse capacite'!$D$7</f>
        <v>40</v>
      </c>
      <c r="K8501" s="135" t="n">
        <f aca="false">$G8501*'Analyse capacite'!$E$7</f>
        <v>384</v>
      </c>
    </row>
    <row r="8502" customFormat="false" ht="15" hidden="false" customHeight="false" outlineLevel="0" collapsed="false">
      <c r="B8502" s="130" t="n">
        <v>2027</v>
      </c>
      <c r="C8502" s="131" t="s">
        <v>253</v>
      </c>
      <c r="D8502" s="132" t="n">
        <v>46714</v>
      </c>
      <c r="E8502" s="131" t="s">
        <v>12</v>
      </c>
      <c r="F8502" s="133" t="s">
        <v>19</v>
      </c>
      <c r="G8502" s="134" t="n">
        <f aca="false">LEN('Saisie programme'!$E$287)+SUMIFS('Vols additionnels'!$E$7:$E$66,'Vols additionnels'!$C$7:$C$66,$E8502,'Vols additionnels'!$D$7:$D$66,$F8502,'Vols additionnels'!$B$7:$B$66,$D8502)</f>
        <v>0</v>
      </c>
      <c r="H8502" s="135" t="n">
        <f aca="false">$G8502*'Analyse capacite'!$F$8</f>
        <v>0</v>
      </c>
      <c r="I8502" s="135" t="n">
        <f aca="false">$G8502*'Analyse capacite'!$C$8</f>
        <v>0</v>
      </c>
      <c r="J8502" s="135" t="n">
        <f aca="false">$G8502*'Analyse capacite'!$D$8</f>
        <v>0</v>
      </c>
      <c r="K8502" s="135" t="n">
        <f aca="false">$G8502*'Analyse capacite'!$E$8</f>
        <v>0</v>
      </c>
    </row>
    <row r="8503" customFormat="false" ht="15" hidden="false" customHeight="false" outlineLevel="0" collapsed="false">
      <c r="B8503" s="130" t="n">
        <v>2027</v>
      </c>
      <c r="C8503" s="131" t="s">
        <v>253</v>
      </c>
      <c r="D8503" s="132" t="n">
        <v>46714</v>
      </c>
      <c r="E8503" s="131" t="s">
        <v>12</v>
      </c>
      <c r="F8503" s="133" t="s">
        <v>24</v>
      </c>
      <c r="G8503" s="134" t="n">
        <f aca="false">LEN('Saisie programme'!$E$288)+SUMIFS('Vols additionnels'!$E$7:$E$66,'Vols additionnels'!$C$7:$C$66,$E8503,'Vols additionnels'!$D$7:$D$66,$F8503,'Vols additionnels'!$B$7:$B$66,$D8503)</f>
        <v>0</v>
      </c>
      <c r="H8503" s="135" t="n">
        <f aca="false">$G8503*'Analyse capacite'!$F$9</f>
        <v>0</v>
      </c>
      <c r="I8503" s="135" t="n">
        <f aca="false">$G8503*'Analyse capacite'!$C$9</f>
        <v>0</v>
      </c>
      <c r="J8503" s="135" t="n">
        <f aca="false">$G8503*'Analyse capacite'!$D$9</f>
        <v>0</v>
      </c>
      <c r="K8503" s="135" t="n">
        <f aca="false">$G8503*'Analyse capacite'!$E$9</f>
        <v>0</v>
      </c>
    </row>
    <row r="8504" customFormat="false" ht="15" hidden="false" customHeight="false" outlineLevel="0" collapsed="false">
      <c r="B8504" s="130" t="n">
        <v>2027</v>
      </c>
      <c r="C8504" s="131" t="s">
        <v>253</v>
      </c>
      <c r="D8504" s="132" t="n">
        <v>46714</v>
      </c>
      <c r="E8504" s="131" t="s">
        <v>20</v>
      </c>
      <c r="F8504" s="133" t="s">
        <v>11</v>
      </c>
      <c r="G8504" s="134" t="n">
        <f aca="false">LEN('Saisie programme'!$E$289)+SUMIFS('Vols additionnels'!$E$7:$E$66,'Vols additionnels'!$C$7:$C$66,$E8504,'Vols additionnels'!$D$7:$D$66,$F8504,'Vols additionnels'!$B$7:$B$66,$D8504)</f>
        <v>0</v>
      </c>
      <c r="H8504" s="135" t="n">
        <f aca="false">$G8504*'Analyse capacite'!$F$7</f>
        <v>0</v>
      </c>
      <c r="I8504" s="135" t="n">
        <f aca="false">$G8504*'Analyse capacite'!$C$7</f>
        <v>0</v>
      </c>
      <c r="J8504" s="135" t="n">
        <f aca="false">$G8504*'Analyse capacite'!$D$7</f>
        <v>0</v>
      </c>
      <c r="K8504" s="135" t="n">
        <f aca="false">$G8504*'Analyse capacite'!$E$7</f>
        <v>0</v>
      </c>
    </row>
    <row r="8505" customFormat="false" ht="15" hidden="false" customHeight="false" outlineLevel="0" collapsed="false">
      <c r="B8505" s="130" t="n">
        <v>2027</v>
      </c>
      <c r="C8505" s="131" t="s">
        <v>253</v>
      </c>
      <c r="D8505" s="132" t="n">
        <v>46714</v>
      </c>
      <c r="E8505" s="131" t="s">
        <v>20</v>
      </c>
      <c r="F8505" s="133" t="s">
        <v>19</v>
      </c>
      <c r="G8505" s="134" t="n">
        <f aca="false">LEN('Saisie programme'!$E$290)+SUMIFS('Vols additionnels'!$E$7:$E$66,'Vols additionnels'!$C$7:$C$66,$E8505,'Vols additionnels'!$D$7:$D$66,$F8505,'Vols additionnels'!$B$7:$B$66,$D8505)</f>
        <v>1</v>
      </c>
      <c r="H8505" s="135" t="n">
        <f aca="false">$G8505*'Analyse capacite'!$F$8</f>
        <v>262</v>
      </c>
      <c r="I8505" s="135" t="n">
        <f aca="false">$G8505*'Analyse capacite'!$C$8</f>
        <v>18</v>
      </c>
      <c r="J8505" s="135" t="n">
        <f aca="false">$G8505*'Analyse capacite'!$D$8</f>
        <v>0</v>
      </c>
      <c r="K8505" s="135" t="n">
        <f aca="false">$G8505*'Analyse capacite'!$E$8</f>
        <v>244</v>
      </c>
    </row>
    <row r="8506" customFormat="false" ht="15" hidden="false" customHeight="false" outlineLevel="0" collapsed="false">
      <c r="B8506" s="130" t="n">
        <v>2027</v>
      </c>
      <c r="C8506" s="131" t="s">
        <v>253</v>
      </c>
      <c r="D8506" s="132" t="n">
        <v>46714</v>
      </c>
      <c r="E8506" s="131" t="s">
        <v>20</v>
      </c>
      <c r="F8506" s="133" t="s">
        <v>24</v>
      </c>
      <c r="G8506" s="134" t="n">
        <f aca="false">LEN('Saisie programme'!$E$291)+SUMIFS('Vols additionnels'!$E$7:$E$66,'Vols additionnels'!$C$7:$C$66,$E8506,'Vols additionnels'!$D$7:$D$66,$F8506,'Vols additionnels'!$B$7:$B$66,$D8506)</f>
        <v>0</v>
      </c>
      <c r="H8506" s="135" t="n">
        <f aca="false">$G8506*'Analyse capacite'!$F$9</f>
        <v>0</v>
      </c>
      <c r="I8506" s="135" t="n">
        <f aca="false">$G8506*'Analyse capacite'!$C$9</f>
        <v>0</v>
      </c>
      <c r="J8506" s="135" t="n">
        <f aca="false">$G8506*'Analyse capacite'!$D$9</f>
        <v>0</v>
      </c>
      <c r="K8506" s="135" t="n">
        <f aca="false">$G8506*'Analyse capacite'!$E$9</f>
        <v>0</v>
      </c>
    </row>
    <row r="8507" customFormat="false" ht="15" hidden="false" customHeight="false" outlineLevel="0" collapsed="false">
      <c r="B8507" s="130" t="n">
        <v>2027</v>
      </c>
      <c r="C8507" s="131" t="s">
        <v>253</v>
      </c>
      <c r="D8507" s="132" t="n">
        <v>46714</v>
      </c>
      <c r="E8507" s="131" t="s">
        <v>25</v>
      </c>
      <c r="F8507" s="133" t="s">
        <v>11</v>
      </c>
      <c r="G8507" s="134" t="n">
        <f aca="false">LEN('Saisie programme'!$E$292)+SUMIFS('Vols additionnels'!$E$7:$E$66,'Vols additionnels'!$C$7:$C$66,$E8507,'Vols additionnels'!$D$7:$D$66,$F8507,'Vols additionnels'!$B$7:$B$66,$D8507)</f>
        <v>0</v>
      </c>
      <c r="H8507" s="135" t="n">
        <f aca="false">$G8507*'Analyse capacite'!$F$7</f>
        <v>0</v>
      </c>
      <c r="I8507" s="135" t="n">
        <f aca="false">$G8507*'Analyse capacite'!$C$7</f>
        <v>0</v>
      </c>
      <c r="J8507" s="135" t="n">
        <f aca="false">$G8507*'Analyse capacite'!$D$7</f>
        <v>0</v>
      </c>
      <c r="K8507" s="135" t="n">
        <f aca="false">$G8507*'Analyse capacite'!$E$7</f>
        <v>0</v>
      </c>
    </row>
    <row r="8508" customFormat="false" ht="15" hidden="false" customHeight="false" outlineLevel="0" collapsed="false">
      <c r="B8508" s="130" t="n">
        <v>2027</v>
      </c>
      <c r="C8508" s="131" t="s">
        <v>253</v>
      </c>
      <c r="D8508" s="132" t="n">
        <v>46714</v>
      </c>
      <c r="E8508" s="131" t="s">
        <v>25</v>
      </c>
      <c r="F8508" s="133" t="s">
        <v>19</v>
      </c>
      <c r="G8508" s="134" t="n">
        <f aca="false">LEN('Saisie programme'!$E$293)+SUMIFS('Vols additionnels'!$E$7:$E$66,'Vols additionnels'!$C$7:$C$66,$E8508,'Vols additionnels'!$D$7:$D$66,$F8508,'Vols additionnels'!$B$7:$B$66,$D8508)</f>
        <v>0</v>
      </c>
      <c r="H8508" s="135" t="n">
        <f aca="false">$G8508*'Analyse capacite'!$F$8</f>
        <v>0</v>
      </c>
      <c r="I8508" s="135" t="n">
        <f aca="false">$G8508*'Analyse capacite'!$C$8</f>
        <v>0</v>
      </c>
      <c r="J8508" s="135" t="n">
        <f aca="false">$G8508*'Analyse capacite'!$D$8</f>
        <v>0</v>
      </c>
      <c r="K8508" s="135" t="n">
        <f aca="false">$G8508*'Analyse capacite'!$E$8</f>
        <v>0</v>
      </c>
    </row>
    <row r="8509" customFormat="false" ht="15" hidden="false" customHeight="false" outlineLevel="0" collapsed="false">
      <c r="B8509" s="130" t="n">
        <v>2027</v>
      </c>
      <c r="C8509" s="131" t="s">
        <v>253</v>
      </c>
      <c r="D8509" s="132" t="n">
        <v>46714</v>
      </c>
      <c r="E8509" s="131" t="s">
        <v>25</v>
      </c>
      <c r="F8509" s="133" t="s">
        <v>24</v>
      </c>
      <c r="G8509" s="134" t="n">
        <f aca="false">LEN('Saisie programme'!$E$294)+SUMIFS('Vols additionnels'!$E$7:$E$66,'Vols additionnels'!$C$7:$C$66,$E8509,'Vols additionnels'!$D$7:$D$66,$F8509,'Vols additionnels'!$B$7:$B$66,$D8509)</f>
        <v>0</v>
      </c>
      <c r="H8509" s="135" t="n">
        <f aca="false">$G8509*'Analyse capacite'!$F$9</f>
        <v>0</v>
      </c>
      <c r="I8509" s="135" t="n">
        <f aca="false">$G8509*'Analyse capacite'!$C$9</f>
        <v>0</v>
      </c>
      <c r="J8509" s="135" t="n">
        <f aca="false">$G8509*'Analyse capacite'!$D$9</f>
        <v>0</v>
      </c>
      <c r="K8509" s="135" t="n">
        <f aca="false">$G8509*'Analyse capacite'!$E$9</f>
        <v>0</v>
      </c>
    </row>
    <row r="8510" customFormat="false" ht="15" hidden="false" customHeight="false" outlineLevel="0" collapsed="false">
      <c r="B8510" s="130" t="n">
        <v>2027</v>
      </c>
      <c r="C8510" s="131" t="s">
        <v>253</v>
      </c>
      <c r="D8510" s="132" t="n">
        <v>46714</v>
      </c>
      <c r="E8510" s="131" t="s">
        <v>36</v>
      </c>
      <c r="F8510" s="133" t="s">
        <v>11</v>
      </c>
      <c r="G8510" s="134" t="n">
        <f aca="false">LEN('Saisie programme'!$E$295)+SUMIFS('Vols additionnels'!$E$7:$E$66,'Vols additionnels'!$C$7:$C$66,$E8510,'Vols additionnels'!$D$7:$D$66,$F8510,'Vols additionnels'!$B$7:$B$66,$D8510)</f>
        <v>0</v>
      </c>
      <c r="H8510" s="135" t="n">
        <f aca="false">$G8510*'Analyse capacite'!$F$7</f>
        <v>0</v>
      </c>
      <c r="I8510" s="135" t="n">
        <f aca="false">$G8510*'Analyse capacite'!$C$7</f>
        <v>0</v>
      </c>
      <c r="J8510" s="135" t="n">
        <f aca="false">$G8510*'Analyse capacite'!$D$7</f>
        <v>0</v>
      </c>
      <c r="K8510" s="135" t="n">
        <f aca="false">$G8510*'Analyse capacite'!$E$7</f>
        <v>0</v>
      </c>
    </row>
    <row r="8511" customFormat="false" ht="15" hidden="false" customHeight="false" outlineLevel="0" collapsed="false">
      <c r="B8511" s="130" t="n">
        <v>2027</v>
      </c>
      <c r="C8511" s="131" t="s">
        <v>253</v>
      </c>
      <c r="D8511" s="132" t="n">
        <v>46714</v>
      </c>
      <c r="E8511" s="131" t="s">
        <v>36</v>
      </c>
      <c r="F8511" s="133" t="s">
        <v>19</v>
      </c>
      <c r="G8511" s="134" t="n">
        <f aca="false">LEN('Saisie programme'!$E$296)+SUMIFS('Vols additionnels'!$E$7:$E$66,'Vols additionnels'!$C$7:$C$66,$E8511,'Vols additionnels'!$D$7:$D$66,$F8511,'Vols additionnels'!$B$7:$B$66,$D8511)</f>
        <v>0</v>
      </c>
      <c r="H8511" s="135" t="n">
        <f aca="false">$G8511*'Analyse capacite'!$F$8</f>
        <v>0</v>
      </c>
      <c r="I8511" s="135" t="n">
        <f aca="false">$G8511*'Analyse capacite'!$C$8</f>
        <v>0</v>
      </c>
      <c r="J8511" s="135" t="n">
        <f aca="false">$G8511*'Analyse capacite'!$D$8</f>
        <v>0</v>
      </c>
      <c r="K8511" s="135" t="n">
        <f aca="false">$G8511*'Analyse capacite'!$E$8</f>
        <v>0</v>
      </c>
    </row>
    <row r="8512" customFormat="false" ht="15" hidden="false" customHeight="false" outlineLevel="0" collapsed="false">
      <c r="B8512" s="130" t="n">
        <v>2027</v>
      </c>
      <c r="C8512" s="131" t="s">
        <v>253</v>
      </c>
      <c r="D8512" s="132" t="n">
        <v>46714</v>
      </c>
      <c r="E8512" s="131" t="s">
        <v>36</v>
      </c>
      <c r="F8512" s="133" t="s">
        <v>24</v>
      </c>
      <c r="G8512" s="134" t="n">
        <f aca="false">LEN('Saisie programme'!$E$297)+SUMIFS('Vols additionnels'!$E$7:$E$66,'Vols additionnels'!$C$7:$C$66,$E8512,'Vols additionnels'!$D$7:$D$66,$F8512,'Vols additionnels'!$B$7:$B$66,$D8512)</f>
        <v>1</v>
      </c>
      <c r="H8512" s="135" t="n">
        <f aca="false">$G8512*'Analyse capacite'!$F$9</f>
        <v>174</v>
      </c>
      <c r="I8512" s="135" t="n">
        <f aca="false">$G8512*'Analyse capacite'!$C$9</f>
        <v>0</v>
      </c>
      <c r="J8512" s="135" t="n">
        <f aca="false">$G8512*'Analyse capacite'!$D$9</f>
        <v>12</v>
      </c>
      <c r="K8512" s="135" t="n">
        <f aca="false">$G8512*'Analyse capacite'!$E$9</f>
        <v>162</v>
      </c>
    </row>
    <row r="8513" customFormat="false" ht="15" hidden="false" customHeight="false" outlineLevel="0" collapsed="false">
      <c r="B8513" s="130" t="n">
        <v>2027</v>
      </c>
      <c r="C8513" s="131" t="s">
        <v>253</v>
      </c>
      <c r="D8513" s="132" t="n">
        <v>46714</v>
      </c>
      <c r="E8513" s="131" t="s">
        <v>40</v>
      </c>
      <c r="F8513" s="133" t="s">
        <v>11</v>
      </c>
      <c r="G8513" s="134" t="n">
        <f aca="false">LEN('Saisie programme'!$E$298)+SUMIFS('Vols additionnels'!$E$7:$E$66,'Vols additionnels'!$C$7:$C$66,$E8513,'Vols additionnels'!$D$7:$D$66,$F8513,'Vols additionnels'!$B$7:$B$66,$D8513)</f>
        <v>0</v>
      </c>
      <c r="H8513" s="135" t="n">
        <f aca="false">$G8513*'Analyse capacite'!$F$7</f>
        <v>0</v>
      </c>
      <c r="I8513" s="135" t="n">
        <f aca="false">$G8513*'Analyse capacite'!$C$7</f>
        <v>0</v>
      </c>
      <c r="J8513" s="135" t="n">
        <f aca="false">$G8513*'Analyse capacite'!$D$7</f>
        <v>0</v>
      </c>
      <c r="K8513" s="135" t="n">
        <f aca="false">$G8513*'Analyse capacite'!$E$7</f>
        <v>0</v>
      </c>
    </row>
    <row r="8514" customFormat="false" ht="15" hidden="false" customHeight="false" outlineLevel="0" collapsed="false">
      <c r="B8514" s="130" t="n">
        <v>2027</v>
      </c>
      <c r="C8514" s="131" t="s">
        <v>253</v>
      </c>
      <c r="D8514" s="132" t="n">
        <v>46714</v>
      </c>
      <c r="E8514" s="131" t="s">
        <v>40</v>
      </c>
      <c r="F8514" s="133" t="s">
        <v>19</v>
      </c>
      <c r="G8514" s="134" t="n">
        <f aca="false">LEN('Saisie programme'!$E$299)+SUMIFS('Vols additionnels'!$E$7:$E$66,'Vols additionnels'!$C$7:$C$66,$E8514,'Vols additionnels'!$D$7:$D$66,$F8514,'Vols additionnels'!$B$7:$B$66,$D8514)</f>
        <v>0</v>
      </c>
      <c r="H8514" s="135" t="n">
        <f aca="false">$G8514*'Analyse capacite'!$F$8</f>
        <v>0</v>
      </c>
      <c r="I8514" s="135" t="n">
        <f aca="false">$G8514*'Analyse capacite'!$C$8</f>
        <v>0</v>
      </c>
      <c r="J8514" s="135" t="n">
        <f aca="false">$G8514*'Analyse capacite'!$D$8</f>
        <v>0</v>
      </c>
      <c r="K8514" s="135" t="n">
        <f aca="false">$G8514*'Analyse capacite'!$E$8</f>
        <v>0</v>
      </c>
    </row>
    <row r="8515" customFormat="false" ht="15" hidden="false" customHeight="false" outlineLevel="0" collapsed="false">
      <c r="B8515" s="130" t="n">
        <v>2027</v>
      </c>
      <c r="C8515" s="131" t="s">
        <v>253</v>
      </c>
      <c r="D8515" s="132" t="n">
        <v>46714</v>
      </c>
      <c r="E8515" s="131" t="s">
        <v>40</v>
      </c>
      <c r="F8515" s="133" t="s">
        <v>24</v>
      </c>
      <c r="G8515" s="134" t="n">
        <f aca="false">LEN('Saisie programme'!$E$300)+SUMIFS('Vols additionnels'!$E$7:$E$66,'Vols additionnels'!$C$7:$C$66,$E8515,'Vols additionnels'!$D$7:$D$66,$F8515,'Vols additionnels'!$B$7:$B$66,$D8515)</f>
        <v>0</v>
      </c>
      <c r="H8515" s="135" t="n">
        <f aca="false">$G8515*'Analyse capacite'!$F$9</f>
        <v>0</v>
      </c>
      <c r="I8515" s="135" t="n">
        <f aca="false">$G8515*'Analyse capacite'!$C$9</f>
        <v>0</v>
      </c>
      <c r="J8515" s="135" t="n">
        <f aca="false">$G8515*'Analyse capacite'!$D$9</f>
        <v>0</v>
      </c>
      <c r="K8515" s="135" t="n">
        <f aca="false">$G8515*'Analyse capacite'!$E$9</f>
        <v>0</v>
      </c>
    </row>
    <row r="8516" customFormat="false" ht="15" hidden="false" customHeight="false" outlineLevel="0" collapsed="false">
      <c r="B8516" s="130" t="n">
        <v>2027</v>
      </c>
      <c r="C8516" s="131" t="s">
        <v>253</v>
      </c>
      <c r="D8516" s="132" t="n">
        <v>46714</v>
      </c>
      <c r="E8516" s="131" t="s">
        <v>14</v>
      </c>
      <c r="F8516" s="133" t="s">
        <v>11</v>
      </c>
      <c r="G8516" s="134" t="n">
        <f aca="false">LEN('Saisie programme'!$E$301)+SUMIFS('Vols additionnels'!$E$7:$E$66,'Vols additionnels'!$C$7:$C$66,$E8516,'Vols additionnels'!$D$7:$D$66,$F8516,'Vols additionnels'!$B$7:$B$66,$D8516)</f>
        <v>0</v>
      </c>
      <c r="H8516" s="135" t="n">
        <f aca="false">$G8516*'Analyse capacite'!$F$7</f>
        <v>0</v>
      </c>
      <c r="I8516" s="135" t="n">
        <f aca="false">$G8516*'Analyse capacite'!$C$7</f>
        <v>0</v>
      </c>
      <c r="J8516" s="135" t="n">
        <f aca="false">$G8516*'Analyse capacite'!$D$7</f>
        <v>0</v>
      </c>
      <c r="K8516" s="135" t="n">
        <f aca="false">$G8516*'Analyse capacite'!$E$7</f>
        <v>0</v>
      </c>
    </row>
    <row r="8517" customFormat="false" ht="15" hidden="false" customHeight="false" outlineLevel="0" collapsed="false">
      <c r="B8517" s="130" t="n">
        <v>2027</v>
      </c>
      <c r="C8517" s="131" t="s">
        <v>253</v>
      </c>
      <c r="D8517" s="132" t="n">
        <v>46714</v>
      </c>
      <c r="E8517" s="131" t="s">
        <v>14</v>
      </c>
      <c r="F8517" s="133" t="s">
        <v>19</v>
      </c>
      <c r="G8517" s="134" t="n">
        <f aca="false">LEN('Saisie programme'!$E$302)+SUMIFS('Vols additionnels'!$E$7:$E$66,'Vols additionnels'!$C$7:$C$66,$E8517,'Vols additionnels'!$D$7:$D$66,$F8517,'Vols additionnels'!$B$7:$B$66,$D8517)</f>
        <v>0</v>
      </c>
      <c r="H8517" s="135" t="n">
        <f aca="false">$G8517*'Analyse capacite'!$F$8</f>
        <v>0</v>
      </c>
      <c r="I8517" s="135" t="n">
        <f aca="false">$G8517*'Analyse capacite'!$C$8</f>
        <v>0</v>
      </c>
      <c r="J8517" s="135" t="n">
        <f aca="false">$G8517*'Analyse capacite'!$D$8</f>
        <v>0</v>
      </c>
      <c r="K8517" s="135" t="n">
        <f aca="false">$G8517*'Analyse capacite'!$E$8</f>
        <v>0</v>
      </c>
    </row>
    <row r="8518" customFormat="false" ht="15" hidden="false" customHeight="false" outlineLevel="0" collapsed="false">
      <c r="B8518" s="130" t="n">
        <v>2027</v>
      </c>
      <c r="C8518" s="131" t="s">
        <v>253</v>
      </c>
      <c r="D8518" s="132" t="n">
        <v>46714</v>
      </c>
      <c r="E8518" s="131" t="s">
        <v>14</v>
      </c>
      <c r="F8518" s="133" t="s">
        <v>24</v>
      </c>
      <c r="G8518" s="134" t="n">
        <f aca="false">LEN('Saisie programme'!$E$303)+SUMIFS('Vols additionnels'!$E$7:$E$66,'Vols additionnels'!$C$7:$C$66,$E8518,'Vols additionnels'!$D$7:$D$66,$F8518,'Vols additionnels'!$B$7:$B$66,$D8518)</f>
        <v>0</v>
      </c>
      <c r="H8518" s="135" t="n">
        <f aca="false">$G8518*'Analyse capacite'!$F$9</f>
        <v>0</v>
      </c>
      <c r="I8518" s="135" t="n">
        <f aca="false">$G8518*'Analyse capacite'!$C$9</f>
        <v>0</v>
      </c>
      <c r="J8518" s="135" t="n">
        <f aca="false">$G8518*'Analyse capacite'!$D$9</f>
        <v>0</v>
      </c>
      <c r="K8518" s="135" t="n">
        <f aca="false">$G8518*'Analyse capacite'!$E$9</f>
        <v>0</v>
      </c>
    </row>
    <row r="8519" customFormat="false" ht="15" hidden="false" customHeight="false" outlineLevel="0" collapsed="false">
      <c r="B8519" s="130" t="n">
        <v>2027</v>
      </c>
      <c r="C8519" s="131" t="s">
        <v>253</v>
      </c>
      <c r="D8519" s="132" t="n">
        <v>46714</v>
      </c>
      <c r="E8519" s="131" t="s">
        <v>46</v>
      </c>
      <c r="F8519" s="133" t="s">
        <v>11</v>
      </c>
      <c r="G8519" s="134" t="n">
        <f aca="false">LEN('Saisie programme'!$E$304)+SUMIFS('Vols additionnels'!$E$7:$E$66,'Vols additionnels'!$C$7:$C$66,$E8519,'Vols additionnels'!$D$7:$D$66,$F8519,'Vols additionnels'!$B$7:$B$66,$D8519)</f>
        <v>0</v>
      </c>
      <c r="H8519" s="135" t="n">
        <f aca="false">$G8519*'Analyse capacite'!$F$7</f>
        <v>0</v>
      </c>
      <c r="I8519" s="135" t="n">
        <f aca="false">$G8519*'Analyse capacite'!$C$7</f>
        <v>0</v>
      </c>
      <c r="J8519" s="135" t="n">
        <f aca="false">$G8519*'Analyse capacite'!$D$7</f>
        <v>0</v>
      </c>
      <c r="K8519" s="135" t="n">
        <f aca="false">$G8519*'Analyse capacite'!$E$7</f>
        <v>0</v>
      </c>
    </row>
    <row r="8520" customFormat="false" ht="15" hidden="false" customHeight="false" outlineLevel="0" collapsed="false">
      <c r="B8520" s="130" t="n">
        <v>2027</v>
      </c>
      <c r="C8520" s="131" t="s">
        <v>253</v>
      </c>
      <c r="D8520" s="132" t="n">
        <v>46714</v>
      </c>
      <c r="E8520" s="131" t="s">
        <v>46</v>
      </c>
      <c r="F8520" s="133" t="s">
        <v>19</v>
      </c>
      <c r="G8520" s="134" t="n">
        <f aca="false">LEN('Saisie programme'!$E$305)+SUMIFS('Vols additionnels'!$E$7:$E$66,'Vols additionnels'!$C$7:$C$66,$E8520,'Vols additionnels'!$D$7:$D$66,$F8520,'Vols additionnels'!$B$7:$B$66,$D8520)</f>
        <v>0</v>
      </c>
      <c r="H8520" s="135" t="n">
        <f aca="false">$G8520*'Analyse capacite'!$F$8</f>
        <v>0</v>
      </c>
      <c r="I8520" s="135" t="n">
        <f aca="false">$G8520*'Analyse capacite'!$C$8</f>
        <v>0</v>
      </c>
      <c r="J8520" s="135" t="n">
        <f aca="false">$G8520*'Analyse capacite'!$D$8</f>
        <v>0</v>
      </c>
      <c r="K8520" s="135" t="n">
        <f aca="false">$G8520*'Analyse capacite'!$E$8</f>
        <v>0</v>
      </c>
    </row>
    <row r="8521" customFormat="false" ht="15" hidden="false" customHeight="false" outlineLevel="0" collapsed="false">
      <c r="B8521" s="130" t="n">
        <v>2027</v>
      </c>
      <c r="C8521" s="131" t="s">
        <v>253</v>
      </c>
      <c r="D8521" s="132" t="n">
        <v>46714</v>
      </c>
      <c r="E8521" s="131" t="s">
        <v>46</v>
      </c>
      <c r="F8521" s="133" t="s">
        <v>24</v>
      </c>
      <c r="G8521" s="134" t="n">
        <f aca="false">LEN('Saisie programme'!$E$306)+SUMIFS('Vols additionnels'!$E$7:$E$66,'Vols additionnels'!$C$7:$C$66,$E8521,'Vols additionnels'!$D$7:$D$66,$F8521,'Vols additionnels'!$B$7:$B$66,$D8521)</f>
        <v>1</v>
      </c>
      <c r="H8521" s="135" t="n">
        <f aca="false">$G8521*'Analyse capacite'!$F$9</f>
        <v>174</v>
      </c>
      <c r="I8521" s="135" t="n">
        <f aca="false">$G8521*'Analyse capacite'!$C$9</f>
        <v>0</v>
      </c>
      <c r="J8521" s="135" t="n">
        <f aca="false">$G8521*'Analyse capacite'!$D$9</f>
        <v>12</v>
      </c>
      <c r="K8521" s="135" t="n">
        <f aca="false">$G8521*'Analyse capacite'!$E$9</f>
        <v>162</v>
      </c>
    </row>
    <row r="8522" customFormat="false" ht="15" hidden="false" customHeight="false" outlineLevel="0" collapsed="false">
      <c r="B8522" s="130" t="n">
        <v>2027</v>
      </c>
      <c r="C8522" s="131" t="s">
        <v>253</v>
      </c>
      <c r="D8522" s="132" t="n">
        <v>46714</v>
      </c>
      <c r="E8522" s="131" t="s">
        <v>49</v>
      </c>
      <c r="F8522" s="133" t="s">
        <v>11</v>
      </c>
      <c r="G8522" s="134" t="n">
        <f aca="false">LEN('Saisie programme'!$E$307)+SUMIFS('Vols additionnels'!$E$7:$E$66,'Vols additionnels'!$C$7:$C$66,$E8522,'Vols additionnels'!$D$7:$D$66,$F8522,'Vols additionnels'!$B$7:$B$66,$D8522)</f>
        <v>0</v>
      </c>
      <c r="H8522" s="135" t="n">
        <f aca="false">$G8522*'Analyse capacite'!$F$7</f>
        <v>0</v>
      </c>
      <c r="I8522" s="135" t="n">
        <f aca="false">$G8522*'Analyse capacite'!$C$7</f>
        <v>0</v>
      </c>
      <c r="J8522" s="135" t="n">
        <f aca="false">$G8522*'Analyse capacite'!$D$7</f>
        <v>0</v>
      </c>
      <c r="K8522" s="135" t="n">
        <f aca="false">$G8522*'Analyse capacite'!$E$7</f>
        <v>0</v>
      </c>
    </row>
    <row r="8523" customFormat="false" ht="15" hidden="false" customHeight="false" outlineLevel="0" collapsed="false">
      <c r="B8523" s="130" t="n">
        <v>2027</v>
      </c>
      <c r="C8523" s="131" t="s">
        <v>253</v>
      </c>
      <c r="D8523" s="132" t="n">
        <v>46714</v>
      </c>
      <c r="E8523" s="131" t="s">
        <v>49</v>
      </c>
      <c r="F8523" s="133" t="s">
        <v>19</v>
      </c>
      <c r="G8523" s="134" t="n">
        <f aca="false">LEN('Saisie programme'!$E$308)+SUMIFS('Vols additionnels'!$E$7:$E$66,'Vols additionnels'!$C$7:$C$66,$E8523,'Vols additionnels'!$D$7:$D$66,$F8523,'Vols additionnels'!$B$7:$B$66,$D8523)</f>
        <v>0</v>
      </c>
      <c r="H8523" s="135" t="n">
        <f aca="false">$G8523*'Analyse capacite'!$F$8</f>
        <v>0</v>
      </c>
      <c r="I8523" s="135" t="n">
        <f aca="false">$G8523*'Analyse capacite'!$C$8</f>
        <v>0</v>
      </c>
      <c r="J8523" s="135" t="n">
        <f aca="false">$G8523*'Analyse capacite'!$D$8</f>
        <v>0</v>
      </c>
      <c r="K8523" s="135" t="n">
        <f aca="false">$G8523*'Analyse capacite'!$E$8</f>
        <v>0</v>
      </c>
    </row>
    <row r="8524" customFormat="false" ht="15" hidden="false" customHeight="false" outlineLevel="0" collapsed="false">
      <c r="B8524" s="130" t="n">
        <v>2027</v>
      </c>
      <c r="C8524" s="131" t="s">
        <v>253</v>
      </c>
      <c r="D8524" s="132" t="n">
        <v>46714</v>
      </c>
      <c r="E8524" s="131" t="s">
        <v>49</v>
      </c>
      <c r="F8524" s="133" t="s">
        <v>24</v>
      </c>
      <c r="G8524" s="134" t="n">
        <f aca="false">LEN('Saisie programme'!$E$309)+SUMIFS('Vols additionnels'!$E$7:$E$66,'Vols additionnels'!$C$7:$C$66,$E8524,'Vols additionnels'!$D$7:$D$66,$F8524,'Vols additionnels'!$B$7:$B$66,$D8524)</f>
        <v>0</v>
      </c>
      <c r="H8524" s="135" t="n">
        <f aca="false">$G8524*'Analyse capacite'!$F$9</f>
        <v>0</v>
      </c>
      <c r="I8524" s="135" t="n">
        <f aca="false">$G8524*'Analyse capacite'!$C$9</f>
        <v>0</v>
      </c>
      <c r="J8524" s="135" t="n">
        <f aca="false">$G8524*'Analyse capacite'!$D$9</f>
        <v>0</v>
      </c>
      <c r="K8524" s="135" t="n">
        <f aca="false">$G8524*'Analyse capacite'!$E$9</f>
        <v>0</v>
      </c>
    </row>
    <row r="8525" customFormat="false" ht="15" hidden="false" customHeight="false" outlineLevel="0" collapsed="false">
      <c r="B8525" s="130" t="n">
        <v>2027</v>
      </c>
      <c r="C8525" s="131" t="s">
        <v>253</v>
      </c>
      <c r="D8525" s="132" t="n">
        <v>46714</v>
      </c>
      <c r="E8525" s="131" t="s">
        <v>53</v>
      </c>
      <c r="F8525" s="133" t="s">
        <v>11</v>
      </c>
      <c r="G8525" s="134" t="n">
        <f aca="false">LEN('Saisie programme'!$E$310)+SUMIFS('Vols additionnels'!$E$7:$E$66,'Vols additionnels'!$C$7:$C$66,$E8525,'Vols additionnels'!$D$7:$D$66,$F8525,'Vols additionnels'!$B$7:$B$66,$D8525)</f>
        <v>0</v>
      </c>
      <c r="H8525" s="135" t="n">
        <f aca="false">$G8525*'Analyse capacite'!$F$7</f>
        <v>0</v>
      </c>
      <c r="I8525" s="135" t="n">
        <f aca="false">$G8525*'Analyse capacite'!$C$7</f>
        <v>0</v>
      </c>
      <c r="J8525" s="135" t="n">
        <f aca="false">$G8525*'Analyse capacite'!$D$7</f>
        <v>0</v>
      </c>
      <c r="K8525" s="135" t="n">
        <f aca="false">$G8525*'Analyse capacite'!$E$7</f>
        <v>0</v>
      </c>
    </row>
    <row r="8526" customFormat="false" ht="15" hidden="false" customHeight="false" outlineLevel="0" collapsed="false">
      <c r="B8526" s="130" t="n">
        <v>2027</v>
      </c>
      <c r="C8526" s="131" t="s">
        <v>253</v>
      </c>
      <c r="D8526" s="132" t="n">
        <v>46714</v>
      </c>
      <c r="E8526" s="131" t="s">
        <v>53</v>
      </c>
      <c r="F8526" s="133" t="s">
        <v>19</v>
      </c>
      <c r="G8526" s="134" t="n">
        <f aca="false">LEN('Saisie programme'!$E$311)+SUMIFS('Vols additionnels'!$E$7:$E$66,'Vols additionnels'!$C$7:$C$66,$E8526,'Vols additionnels'!$D$7:$D$66,$F8526,'Vols additionnels'!$B$7:$B$66,$D8526)</f>
        <v>0</v>
      </c>
      <c r="H8526" s="135" t="n">
        <f aca="false">$G8526*'Analyse capacite'!$F$8</f>
        <v>0</v>
      </c>
      <c r="I8526" s="135" t="n">
        <f aca="false">$G8526*'Analyse capacite'!$C$8</f>
        <v>0</v>
      </c>
      <c r="J8526" s="135" t="n">
        <f aca="false">$G8526*'Analyse capacite'!$D$8</f>
        <v>0</v>
      </c>
      <c r="K8526" s="135" t="n">
        <f aca="false">$G8526*'Analyse capacite'!$E$8</f>
        <v>0</v>
      </c>
    </row>
    <row r="8527" customFormat="false" ht="15" hidden="false" customHeight="false" outlineLevel="0" collapsed="false">
      <c r="B8527" s="130" t="n">
        <v>2027</v>
      </c>
      <c r="C8527" s="131" t="s">
        <v>253</v>
      </c>
      <c r="D8527" s="132" t="n">
        <v>46714</v>
      </c>
      <c r="E8527" s="131" t="s">
        <v>53</v>
      </c>
      <c r="F8527" s="133" t="s">
        <v>24</v>
      </c>
      <c r="G8527" s="134" t="n">
        <f aca="false">LEN('Saisie programme'!$E$312)+SUMIFS('Vols additionnels'!$E$7:$E$66,'Vols additionnels'!$C$7:$C$66,$E8527,'Vols additionnels'!$D$7:$D$66,$F8527,'Vols additionnels'!$B$7:$B$66,$D8527)</f>
        <v>0</v>
      </c>
      <c r="H8527" s="135" t="n">
        <f aca="false">$G8527*'Analyse capacite'!$F$9</f>
        <v>0</v>
      </c>
      <c r="I8527" s="135" t="n">
        <f aca="false">$G8527*'Analyse capacite'!$C$9</f>
        <v>0</v>
      </c>
      <c r="J8527" s="135" t="n">
        <f aca="false">$G8527*'Analyse capacite'!$D$9</f>
        <v>0</v>
      </c>
      <c r="K8527" s="135" t="n">
        <f aca="false">$G8527*'Analyse capacite'!$E$9</f>
        <v>0</v>
      </c>
    </row>
    <row r="8528" customFormat="false" ht="15" hidden="false" customHeight="false" outlineLevel="0" collapsed="false">
      <c r="B8528" s="130" t="n">
        <v>2027</v>
      </c>
      <c r="C8528" s="131" t="s">
        <v>253</v>
      </c>
      <c r="D8528" s="132" t="n">
        <v>46714</v>
      </c>
      <c r="E8528" s="131" t="s">
        <v>56</v>
      </c>
      <c r="F8528" s="133" t="s">
        <v>11</v>
      </c>
      <c r="G8528" s="134" t="n">
        <f aca="false">LEN('Saisie programme'!$E$313)+SUMIFS('Vols additionnels'!$E$7:$E$66,'Vols additionnels'!$C$7:$C$66,$E8528,'Vols additionnels'!$D$7:$D$66,$F8528,'Vols additionnels'!$B$7:$B$66,$D8528)</f>
        <v>0</v>
      </c>
      <c r="H8528" s="135" t="n">
        <f aca="false">$G8528*'Analyse capacite'!$F$7</f>
        <v>0</v>
      </c>
      <c r="I8528" s="135" t="n">
        <f aca="false">$G8528*'Analyse capacite'!$C$7</f>
        <v>0</v>
      </c>
      <c r="J8528" s="135" t="n">
        <f aca="false">$G8528*'Analyse capacite'!$D$7</f>
        <v>0</v>
      </c>
      <c r="K8528" s="135" t="n">
        <f aca="false">$G8528*'Analyse capacite'!$E$7</f>
        <v>0</v>
      </c>
    </row>
    <row r="8529" customFormat="false" ht="15" hidden="false" customHeight="false" outlineLevel="0" collapsed="false">
      <c r="B8529" s="130" t="n">
        <v>2027</v>
      </c>
      <c r="C8529" s="131" t="s">
        <v>253</v>
      </c>
      <c r="D8529" s="132" t="n">
        <v>46714</v>
      </c>
      <c r="E8529" s="131" t="s">
        <v>56</v>
      </c>
      <c r="F8529" s="133" t="s">
        <v>19</v>
      </c>
      <c r="G8529" s="134" t="n">
        <f aca="false">LEN('Saisie programme'!$E$314)+SUMIFS('Vols additionnels'!$E$7:$E$66,'Vols additionnels'!$C$7:$C$66,$E8529,'Vols additionnels'!$D$7:$D$66,$F8529,'Vols additionnels'!$B$7:$B$66,$D8529)</f>
        <v>0</v>
      </c>
      <c r="H8529" s="135" t="n">
        <f aca="false">$G8529*'Analyse capacite'!$F$8</f>
        <v>0</v>
      </c>
      <c r="I8529" s="135" t="n">
        <f aca="false">$G8529*'Analyse capacite'!$C$8</f>
        <v>0</v>
      </c>
      <c r="J8529" s="135" t="n">
        <f aca="false">$G8529*'Analyse capacite'!$D$8</f>
        <v>0</v>
      </c>
      <c r="K8529" s="135" t="n">
        <f aca="false">$G8529*'Analyse capacite'!$E$8</f>
        <v>0</v>
      </c>
    </row>
    <row r="8530" customFormat="false" ht="15" hidden="false" customHeight="false" outlineLevel="0" collapsed="false">
      <c r="B8530" s="130" t="n">
        <v>2027</v>
      </c>
      <c r="C8530" s="131" t="s">
        <v>253</v>
      </c>
      <c r="D8530" s="132" t="n">
        <v>46714</v>
      </c>
      <c r="E8530" s="131" t="s">
        <v>56</v>
      </c>
      <c r="F8530" s="133" t="s">
        <v>24</v>
      </c>
      <c r="G8530" s="134" t="n">
        <f aca="false">LEN('Saisie programme'!$E$315)+SUMIFS('Vols additionnels'!$E$7:$E$66,'Vols additionnels'!$C$7:$C$66,$E8530,'Vols additionnels'!$D$7:$D$66,$F8530,'Vols additionnels'!$B$7:$B$66,$D8530)</f>
        <v>1</v>
      </c>
      <c r="H8530" s="135" t="n">
        <f aca="false">$G8530*'Analyse capacite'!$F$9</f>
        <v>174</v>
      </c>
      <c r="I8530" s="135" t="n">
        <f aca="false">$G8530*'Analyse capacite'!$C$9</f>
        <v>0</v>
      </c>
      <c r="J8530" s="135" t="n">
        <f aca="false">$G8530*'Analyse capacite'!$D$9</f>
        <v>12</v>
      </c>
      <c r="K8530" s="135" t="n">
        <f aca="false">$G8530*'Analyse capacite'!$E$9</f>
        <v>162</v>
      </c>
    </row>
    <row r="8531" customFormat="false" ht="15" hidden="false" customHeight="false" outlineLevel="0" collapsed="false">
      <c r="B8531" s="130" t="n">
        <v>2027</v>
      </c>
      <c r="C8531" s="131" t="s">
        <v>253</v>
      </c>
      <c r="D8531" s="132" t="n">
        <v>46714</v>
      </c>
      <c r="E8531" s="131" t="s">
        <v>59</v>
      </c>
      <c r="F8531" s="133" t="s">
        <v>11</v>
      </c>
      <c r="G8531" s="134" t="n">
        <f aca="false">LEN('Saisie programme'!$E$316)+SUMIFS('Vols additionnels'!$E$7:$E$66,'Vols additionnels'!$C$7:$C$66,$E8531,'Vols additionnels'!$D$7:$D$66,$F8531,'Vols additionnels'!$B$7:$B$66,$D8531)</f>
        <v>0</v>
      </c>
      <c r="H8531" s="135" t="n">
        <f aca="false">$G8531*'Analyse capacite'!$F$7</f>
        <v>0</v>
      </c>
      <c r="I8531" s="135" t="n">
        <f aca="false">$G8531*'Analyse capacite'!$C$7</f>
        <v>0</v>
      </c>
      <c r="J8531" s="135" t="n">
        <f aca="false">$G8531*'Analyse capacite'!$D$7</f>
        <v>0</v>
      </c>
      <c r="K8531" s="135" t="n">
        <f aca="false">$G8531*'Analyse capacite'!$E$7</f>
        <v>0</v>
      </c>
    </row>
    <row r="8532" customFormat="false" ht="15" hidden="false" customHeight="false" outlineLevel="0" collapsed="false">
      <c r="B8532" s="130" t="n">
        <v>2027</v>
      </c>
      <c r="C8532" s="131" t="s">
        <v>253</v>
      </c>
      <c r="D8532" s="132" t="n">
        <v>46714</v>
      </c>
      <c r="E8532" s="131" t="s">
        <v>59</v>
      </c>
      <c r="F8532" s="133" t="s">
        <v>19</v>
      </c>
      <c r="G8532" s="134" t="n">
        <f aca="false">LEN('Saisie programme'!$E$317)+SUMIFS('Vols additionnels'!$E$7:$E$66,'Vols additionnels'!$C$7:$C$66,$E8532,'Vols additionnels'!$D$7:$D$66,$F8532,'Vols additionnels'!$B$7:$B$66,$D8532)</f>
        <v>0</v>
      </c>
      <c r="H8532" s="135" t="n">
        <f aca="false">$G8532*'Analyse capacite'!$F$8</f>
        <v>0</v>
      </c>
      <c r="I8532" s="135" t="n">
        <f aca="false">$G8532*'Analyse capacite'!$C$8</f>
        <v>0</v>
      </c>
      <c r="J8532" s="135" t="n">
        <f aca="false">$G8532*'Analyse capacite'!$D$8</f>
        <v>0</v>
      </c>
      <c r="K8532" s="135" t="n">
        <f aca="false">$G8532*'Analyse capacite'!$E$8</f>
        <v>0</v>
      </c>
    </row>
    <row r="8533" customFormat="false" ht="15" hidden="false" customHeight="false" outlineLevel="0" collapsed="false">
      <c r="B8533" s="130" t="n">
        <v>2027</v>
      </c>
      <c r="C8533" s="131" t="s">
        <v>253</v>
      </c>
      <c r="D8533" s="132" t="n">
        <v>46714</v>
      </c>
      <c r="E8533" s="131" t="s">
        <v>59</v>
      </c>
      <c r="F8533" s="133" t="s">
        <v>24</v>
      </c>
      <c r="G8533" s="134" t="n">
        <f aca="false">LEN('Saisie programme'!$E$318)+SUMIFS('Vols additionnels'!$E$7:$E$66,'Vols additionnels'!$C$7:$C$66,$E8533,'Vols additionnels'!$D$7:$D$66,$F8533,'Vols additionnels'!$B$7:$B$66,$D8533)</f>
        <v>1</v>
      </c>
      <c r="H8533" s="135" t="n">
        <f aca="false">$G8533*'Analyse capacite'!$F$9</f>
        <v>174</v>
      </c>
      <c r="I8533" s="135" t="n">
        <f aca="false">$G8533*'Analyse capacite'!$C$9</f>
        <v>0</v>
      </c>
      <c r="J8533" s="135" t="n">
        <f aca="false">$G8533*'Analyse capacite'!$D$9</f>
        <v>12</v>
      </c>
      <c r="K8533" s="135" t="n">
        <f aca="false">$G8533*'Analyse capacite'!$E$9</f>
        <v>162</v>
      </c>
    </row>
    <row r="8534" customFormat="false" ht="15" hidden="false" customHeight="false" outlineLevel="0" collapsed="false">
      <c r="B8534" s="130" t="n">
        <v>2027</v>
      </c>
      <c r="C8534" s="131" t="s">
        <v>253</v>
      </c>
      <c r="D8534" s="132" t="n">
        <v>46714</v>
      </c>
      <c r="E8534" s="131" t="s">
        <v>62</v>
      </c>
      <c r="F8534" s="133" t="s">
        <v>11</v>
      </c>
      <c r="G8534" s="134" t="n">
        <f aca="false">LEN('Saisie programme'!$E$319)+SUMIFS('Vols additionnels'!$E$7:$E$66,'Vols additionnels'!$C$7:$C$66,$E8534,'Vols additionnels'!$D$7:$D$66,$F8534,'Vols additionnels'!$B$7:$B$66,$D8534)</f>
        <v>0</v>
      </c>
      <c r="H8534" s="135" t="n">
        <f aca="false">$G8534*'Analyse capacite'!$F$7</f>
        <v>0</v>
      </c>
      <c r="I8534" s="135" t="n">
        <f aca="false">$G8534*'Analyse capacite'!$C$7</f>
        <v>0</v>
      </c>
      <c r="J8534" s="135" t="n">
        <f aca="false">$G8534*'Analyse capacite'!$D$7</f>
        <v>0</v>
      </c>
      <c r="K8534" s="135" t="n">
        <f aca="false">$G8534*'Analyse capacite'!$E$7</f>
        <v>0</v>
      </c>
    </row>
    <row r="8535" customFormat="false" ht="15" hidden="false" customHeight="false" outlineLevel="0" collapsed="false">
      <c r="B8535" s="130" t="n">
        <v>2027</v>
      </c>
      <c r="C8535" s="131" t="s">
        <v>253</v>
      </c>
      <c r="D8535" s="132" t="n">
        <v>46714</v>
      </c>
      <c r="E8535" s="131" t="s">
        <v>62</v>
      </c>
      <c r="F8535" s="133" t="s">
        <v>19</v>
      </c>
      <c r="G8535" s="134" t="n">
        <f aca="false">LEN('Saisie programme'!$E$320)+SUMIFS('Vols additionnels'!$E$7:$E$66,'Vols additionnels'!$C$7:$C$66,$E8535,'Vols additionnels'!$D$7:$D$66,$F8535,'Vols additionnels'!$B$7:$B$66,$D8535)</f>
        <v>0</v>
      </c>
      <c r="H8535" s="135" t="n">
        <f aca="false">$G8535*'Analyse capacite'!$F$8</f>
        <v>0</v>
      </c>
      <c r="I8535" s="135" t="n">
        <f aca="false">$G8535*'Analyse capacite'!$C$8</f>
        <v>0</v>
      </c>
      <c r="J8535" s="135" t="n">
        <f aca="false">$G8535*'Analyse capacite'!$D$8</f>
        <v>0</v>
      </c>
      <c r="K8535" s="135" t="n">
        <f aca="false">$G8535*'Analyse capacite'!$E$8</f>
        <v>0</v>
      </c>
    </row>
    <row r="8536" customFormat="false" ht="15" hidden="false" customHeight="false" outlineLevel="0" collapsed="false">
      <c r="B8536" s="130" t="n">
        <v>2027</v>
      </c>
      <c r="C8536" s="131" t="s">
        <v>253</v>
      </c>
      <c r="D8536" s="132" t="n">
        <v>46714</v>
      </c>
      <c r="E8536" s="131" t="s">
        <v>62</v>
      </c>
      <c r="F8536" s="133" t="s">
        <v>24</v>
      </c>
      <c r="G8536" s="134" t="n">
        <f aca="false">LEN('Saisie programme'!$E$321)+SUMIFS('Vols additionnels'!$E$7:$E$66,'Vols additionnels'!$C$7:$C$66,$E8536,'Vols additionnels'!$D$7:$D$66,$F8536,'Vols additionnels'!$B$7:$B$66,$D8536)</f>
        <v>0</v>
      </c>
      <c r="H8536" s="135" t="n">
        <f aca="false">$G8536*'Analyse capacite'!$F$9</f>
        <v>0</v>
      </c>
      <c r="I8536" s="135" t="n">
        <f aca="false">$G8536*'Analyse capacite'!$C$9</f>
        <v>0</v>
      </c>
      <c r="J8536" s="135" t="n">
        <f aca="false">$G8536*'Analyse capacite'!$D$9</f>
        <v>0</v>
      </c>
      <c r="K8536" s="135" t="n">
        <f aca="false">$G8536*'Analyse capacite'!$E$9</f>
        <v>0</v>
      </c>
    </row>
    <row r="8537" customFormat="false" ht="15" hidden="false" customHeight="false" outlineLevel="0" collapsed="false">
      <c r="B8537" s="130" t="n">
        <v>2027</v>
      </c>
      <c r="C8537" s="131" t="s">
        <v>253</v>
      </c>
      <c r="D8537" s="132" t="n">
        <v>46715</v>
      </c>
      <c r="E8537" s="131" t="s">
        <v>12</v>
      </c>
      <c r="F8537" s="133" t="s">
        <v>11</v>
      </c>
      <c r="G8537" s="134" t="n">
        <f aca="false">LEN('Saisie programme'!$F$286)+SUMIFS('Vols additionnels'!$E$7:$E$66,'Vols additionnels'!$C$7:$C$66,$E8537,'Vols additionnels'!$D$7:$D$66,$F8537,'Vols additionnels'!$B$7:$B$66,$D8537)</f>
        <v>1</v>
      </c>
      <c r="H8537" s="135" t="n">
        <f aca="false">$G8537*'Analyse capacite'!$F$7</f>
        <v>438</v>
      </c>
      <c r="I8537" s="135" t="n">
        <f aca="false">$G8537*'Analyse capacite'!$C$7</f>
        <v>14</v>
      </c>
      <c r="J8537" s="135" t="n">
        <f aca="false">$G8537*'Analyse capacite'!$D$7</f>
        <v>40</v>
      </c>
      <c r="K8537" s="135" t="n">
        <f aca="false">$G8537*'Analyse capacite'!$E$7</f>
        <v>384</v>
      </c>
    </row>
    <row r="8538" customFormat="false" ht="15" hidden="false" customHeight="false" outlineLevel="0" collapsed="false">
      <c r="B8538" s="130" t="n">
        <v>2027</v>
      </c>
      <c r="C8538" s="131" t="s">
        <v>253</v>
      </c>
      <c r="D8538" s="132" t="n">
        <v>46715</v>
      </c>
      <c r="E8538" s="131" t="s">
        <v>12</v>
      </c>
      <c r="F8538" s="133" t="s">
        <v>19</v>
      </c>
      <c r="G8538" s="134" t="n">
        <f aca="false">LEN('Saisie programme'!$F$287)+SUMIFS('Vols additionnels'!$E$7:$E$66,'Vols additionnels'!$C$7:$C$66,$E8538,'Vols additionnels'!$D$7:$D$66,$F8538,'Vols additionnels'!$B$7:$B$66,$D8538)</f>
        <v>0</v>
      </c>
      <c r="H8538" s="135" t="n">
        <f aca="false">$G8538*'Analyse capacite'!$F$8</f>
        <v>0</v>
      </c>
      <c r="I8538" s="135" t="n">
        <f aca="false">$G8538*'Analyse capacite'!$C$8</f>
        <v>0</v>
      </c>
      <c r="J8538" s="135" t="n">
        <f aca="false">$G8538*'Analyse capacite'!$D$8</f>
        <v>0</v>
      </c>
      <c r="K8538" s="135" t="n">
        <f aca="false">$G8538*'Analyse capacite'!$E$8</f>
        <v>0</v>
      </c>
    </row>
    <row r="8539" customFormat="false" ht="15" hidden="false" customHeight="false" outlineLevel="0" collapsed="false">
      <c r="B8539" s="130" t="n">
        <v>2027</v>
      </c>
      <c r="C8539" s="131" t="s">
        <v>253</v>
      </c>
      <c r="D8539" s="132" t="n">
        <v>46715</v>
      </c>
      <c r="E8539" s="131" t="s">
        <v>12</v>
      </c>
      <c r="F8539" s="133" t="s">
        <v>24</v>
      </c>
      <c r="G8539" s="134" t="n">
        <f aca="false">LEN('Saisie programme'!$F$288)+SUMIFS('Vols additionnels'!$E$7:$E$66,'Vols additionnels'!$C$7:$C$66,$E8539,'Vols additionnels'!$D$7:$D$66,$F8539,'Vols additionnels'!$B$7:$B$66,$D8539)</f>
        <v>0</v>
      </c>
      <c r="H8539" s="135" t="n">
        <f aca="false">$G8539*'Analyse capacite'!$F$9</f>
        <v>0</v>
      </c>
      <c r="I8539" s="135" t="n">
        <f aca="false">$G8539*'Analyse capacite'!$C$9</f>
        <v>0</v>
      </c>
      <c r="J8539" s="135" t="n">
        <f aca="false">$G8539*'Analyse capacite'!$D$9</f>
        <v>0</v>
      </c>
      <c r="K8539" s="135" t="n">
        <f aca="false">$G8539*'Analyse capacite'!$E$9</f>
        <v>0</v>
      </c>
    </row>
    <row r="8540" customFormat="false" ht="15" hidden="false" customHeight="false" outlineLevel="0" collapsed="false">
      <c r="B8540" s="130" t="n">
        <v>2027</v>
      </c>
      <c r="C8540" s="131" t="s">
        <v>253</v>
      </c>
      <c r="D8540" s="132" t="n">
        <v>46715</v>
      </c>
      <c r="E8540" s="131" t="s">
        <v>20</v>
      </c>
      <c r="F8540" s="133" t="s">
        <v>11</v>
      </c>
      <c r="G8540" s="134" t="n">
        <f aca="false">LEN('Saisie programme'!$F$289)+SUMIFS('Vols additionnels'!$E$7:$E$66,'Vols additionnels'!$C$7:$C$66,$E8540,'Vols additionnels'!$D$7:$D$66,$F8540,'Vols additionnels'!$B$7:$B$66,$D8540)</f>
        <v>0</v>
      </c>
      <c r="H8540" s="135" t="n">
        <f aca="false">$G8540*'Analyse capacite'!$F$7</f>
        <v>0</v>
      </c>
      <c r="I8540" s="135" t="n">
        <f aca="false">$G8540*'Analyse capacite'!$C$7</f>
        <v>0</v>
      </c>
      <c r="J8540" s="135" t="n">
        <f aca="false">$G8540*'Analyse capacite'!$D$7</f>
        <v>0</v>
      </c>
      <c r="K8540" s="135" t="n">
        <f aca="false">$G8540*'Analyse capacite'!$E$7</f>
        <v>0</v>
      </c>
    </row>
    <row r="8541" customFormat="false" ht="15" hidden="false" customHeight="false" outlineLevel="0" collapsed="false">
      <c r="B8541" s="130" t="n">
        <v>2027</v>
      </c>
      <c r="C8541" s="131" t="s">
        <v>253</v>
      </c>
      <c r="D8541" s="132" t="n">
        <v>46715</v>
      </c>
      <c r="E8541" s="131" t="s">
        <v>20</v>
      </c>
      <c r="F8541" s="133" t="s">
        <v>19</v>
      </c>
      <c r="G8541" s="134" t="n">
        <f aca="false">LEN('Saisie programme'!$F$290)+SUMIFS('Vols additionnels'!$E$7:$E$66,'Vols additionnels'!$C$7:$C$66,$E8541,'Vols additionnels'!$D$7:$D$66,$F8541,'Vols additionnels'!$B$7:$B$66,$D8541)</f>
        <v>0</v>
      </c>
      <c r="H8541" s="135" t="n">
        <f aca="false">$G8541*'Analyse capacite'!$F$8</f>
        <v>0</v>
      </c>
      <c r="I8541" s="135" t="n">
        <f aca="false">$G8541*'Analyse capacite'!$C$8</f>
        <v>0</v>
      </c>
      <c r="J8541" s="135" t="n">
        <f aca="false">$G8541*'Analyse capacite'!$D$8</f>
        <v>0</v>
      </c>
      <c r="K8541" s="135" t="n">
        <f aca="false">$G8541*'Analyse capacite'!$E$8</f>
        <v>0</v>
      </c>
    </row>
    <row r="8542" customFormat="false" ht="15" hidden="false" customHeight="false" outlineLevel="0" collapsed="false">
      <c r="B8542" s="130" t="n">
        <v>2027</v>
      </c>
      <c r="C8542" s="131" t="s">
        <v>253</v>
      </c>
      <c r="D8542" s="132" t="n">
        <v>46715</v>
      </c>
      <c r="E8542" s="131" t="s">
        <v>20</v>
      </c>
      <c r="F8542" s="133" t="s">
        <v>24</v>
      </c>
      <c r="G8542" s="134" t="n">
        <f aca="false">LEN('Saisie programme'!$F$291)+SUMIFS('Vols additionnels'!$E$7:$E$66,'Vols additionnels'!$C$7:$C$66,$E8542,'Vols additionnels'!$D$7:$D$66,$F8542,'Vols additionnels'!$B$7:$B$66,$D8542)</f>
        <v>0</v>
      </c>
      <c r="H8542" s="135" t="n">
        <f aca="false">$G8542*'Analyse capacite'!$F$9</f>
        <v>0</v>
      </c>
      <c r="I8542" s="135" t="n">
        <f aca="false">$G8542*'Analyse capacite'!$C$9</f>
        <v>0</v>
      </c>
      <c r="J8542" s="135" t="n">
        <f aca="false">$G8542*'Analyse capacite'!$D$9</f>
        <v>0</v>
      </c>
      <c r="K8542" s="135" t="n">
        <f aca="false">$G8542*'Analyse capacite'!$E$9</f>
        <v>0</v>
      </c>
    </row>
    <row r="8543" customFormat="false" ht="15" hidden="false" customHeight="false" outlineLevel="0" collapsed="false">
      <c r="B8543" s="130" t="n">
        <v>2027</v>
      </c>
      <c r="C8543" s="131" t="s">
        <v>253</v>
      </c>
      <c r="D8543" s="132" t="n">
        <v>46715</v>
      </c>
      <c r="E8543" s="131" t="s">
        <v>25</v>
      </c>
      <c r="F8543" s="133" t="s">
        <v>11</v>
      </c>
      <c r="G8543" s="134" t="n">
        <f aca="false">LEN('Saisie programme'!$F$292)+SUMIFS('Vols additionnels'!$E$7:$E$66,'Vols additionnels'!$C$7:$C$66,$E8543,'Vols additionnels'!$D$7:$D$66,$F8543,'Vols additionnels'!$B$7:$B$66,$D8543)</f>
        <v>0</v>
      </c>
      <c r="H8543" s="135" t="n">
        <f aca="false">$G8543*'Analyse capacite'!$F$7</f>
        <v>0</v>
      </c>
      <c r="I8543" s="135" t="n">
        <f aca="false">$G8543*'Analyse capacite'!$C$7</f>
        <v>0</v>
      </c>
      <c r="J8543" s="135" t="n">
        <f aca="false">$G8543*'Analyse capacite'!$D$7</f>
        <v>0</v>
      </c>
      <c r="K8543" s="135" t="n">
        <f aca="false">$G8543*'Analyse capacite'!$E$7</f>
        <v>0</v>
      </c>
    </row>
    <row r="8544" customFormat="false" ht="15" hidden="false" customHeight="false" outlineLevel="0" collapsed="false">
      <c r="B8544" s="130" t="n">
        <v>2027</v>
      </c>
      <c r="C8544" s="131" t="s">
        <v>253</v>
      </c>
      <c r="D8544" s="132" t="n">
        <v>46715</v>
      </c>
      <c r="E8544" s="131" t="s">
        <v>25</v>
      </c>
      <c r="F8544" s="133" t="s">
        <v>19</v>
      </c>
      <c r="G8544" s="134" t="n">
        <f aca="false">LEN('Saisie programme'!$F$293)+SUMIFS('Vols additionnels'!$E$7:$E$66,'Vols additionnels'!$C$7:$C$66,$E8544,'Vols additionnels'!$D$7:$D$66,$F8544,'Vols additionnels'!$B$7:$B$66,$D8544)</f>
        <v>1</v>
      </c>
      <c r="H8544" s="135" t="n">
        <f aca="false">$G8544*'Analyse capacite'!$F$8</f>
        <v>262</v>
      </c>
      <c r="I8544" s="135" t="n">
        <f aca="false">$G8544*'Analyse capacite'!$C$8</f>
        <v>18</v>
      </c>
      <c r="J8544" s="135" t="n">
        <f aca="false">$G8544*'Analyse capacite'!$D$8</f>
        <v>0</v>
      </c>
      <c r="K8544" s="135" t="n">
        <f aca="false">$G8544*'Analyse capacite'!$E$8</f>
        <v>244</v>
      </c>
    </row>
    <row r="8545" customFormat="false" ht="15" hidden="false" customHeight="false" outlineLevel="0" collapsed="false">
      <c r="B8545" s="130" t="n">
        <v>2027</v>
      </c>
      <c r="C8545" s="131" t="s">
        <v>253</v>
      </c>
      <c r="D8545" s="132" t="n">
        <v>46715</v>
      </c>
      <c r="E8545" s="131" t="s">
        <v>25</v>
      </c>
      <c r="F8545" s="133" t="s">
        <v>24</v>
      </c>
      <c r="G8545" s="134" t="n">
        <f aca="false">LEN('Saisie programme'!$F$294)+SUMIFS('Vols additionnels'!$E$7:$E$66,'Vols additionnels'!$C$7:$C$66,$E8545,'Vols additionnels'!$D$7:$D$66,$F8545,'Vols additionnels'!$B$7:$B$66,$D8545)</f>
        <v>0</v>
      </c>
      <c r="H8545" s="135" t="n">
        <f aca="false">$G8545*'Analyse capacite'!$F$9</f>
        <v>0</v>
      </c>
      <c r="I8545" s="135" t="n">
        <f aca="false">$G8545*'Analyse capacite'!$C$9</f>
        <v>0</v>
      </c>
      <c r="J8545" s="135" t="n">
        <f aca="false">$G8545*'Analyse capacite'!$D$9</f>
        <v>0</v>
      </c>
      <c r="K8545" s="135" t="n">
        <f aca="false">$G8545*'Analyse capacite'!$E$9</f>
        <v>0</v>
      </c>
    </row>
    <row r="8546" customFormat="false" ht="15" hidden="false" customHeight="false" outlineLevel="0" collapsed="false">
      <c r="B8546" s="130" t="n">
        <v>2027</v>
      </c>
      <c r="C8546" s="131" t="s">
        <v>253</v>
      </c>
      <c r="D8546" s="132" t="n">
        <v>46715</v>
      </c>
      <c r="E8546" s="131" t="s">
        <v>36</v>
      </c>
      <c r="F8546" s="133" t="s">
        <v>11</v>
      </c>
      <c r="G8546" s="134" t="n">
        <f aca="false">LEN('Saisie programme'!$F$295)+SUMIFS('Vols additionnels'!$E$7:$E$66,'Vols additionnels'!$C$7:$C$66,$E8546,'Vols additionnels'!$D$7:$D$66,$F8546,'Vols additionnels'!$B$7:$B$66,$D8546)</f>
        <v>0</v>
      </c>
      <c r="H8546" s="135" t="n">
        <f aca="false">$G8546*'Analyse capacite'!$F$7</f>
        <v>0</v>
      </c>
      <c r="I8546" s="135" t="n">
        <f aca="false">$G8546*'Analyse capacite'!$C$7</f>
        <v>0</v>
      </c>
      <c r="J8546" s="135" t="n">
        <f aca="false">$G8546*'Analyse capacite'!$D$7</f>
        <v>0</v>
      </c>
      <c r="K8546" s="135" t="n">
        <f aca="false">$G8546*'Analyse capacite'!$E$7</f>
        <v>0</v>
      </c>
    </row>
    <row r="8547" customFormat="false" ht="15" hidden="false" customHeight="false" outlineLevel="0" collapsed="false">
      <c r="B8547" s="130" t="n">
        <v>2027</v>
      </c>
      <c r="C8547" s="131" t="s">
        <v>253</v>
      </c>
      <c r="D8547" s="132" t="n">
        <v>46715</v>
      </c>
      <c r="E8547" s="131" t="s">
        <v>36</v>
      </c>
      <c r="F8547" s="133" t="s">
        <v>19</v>
      </c>
      <c r="G8547" s="134" t="n">
        <f aca="false">LEN('Saisie programme'!$F$296)+SUMIFS('Vols additionnels'!$E$7:$E$66,'Vols additionnels'!$C$7:$C$66,$E8547,'Vols additionnels'!$D$7:$D$66,$F8547,'Vols additionnels'!$B$7:$B$66,$D8547)</f>
        <v>1</v>
      </c>
      <c r="H8547" s="135" t="n">
        <f aca="false">$G8547*'Analyse capacite'!$F$8</f>
        <v>262</v>
      </c>
      <c r="I8547" s="135" t="n">
        <f aca="false">$G8547*'Analyse capacite'!$C$8</f>
        <v>18</v>
      </c>
      <c r="J8547" s="135" t="n">
        <f aca="false">$G8547*'Analyse capacite'!$D$8</f>
        <v>0</v>
      </c>
      <c r="K8547" s="135" t="n">
        <f aca="false">$G8547*'Analyse capacite'!$E$8</f>
        <v>244</v>
      </c>
    </row>
    <row r="8548" customFormat="false" ht="15" hidden="false" customHeight="false" outlineLevel="0" collapsed="false">
      <c r="B8548" s="130" t="n">
        <v>2027</v>
      </c>
      <c r="C8548" s="131" t="s">
        <v>253</v>
      </c>
      <c r="D8548" s="132" t="n">
        <v>46715</v>
      </c>
      <c r="E8548" s="131" t="s">
        <v>36</v>
      </c>
      <c r="F8548" s="133" t="s">
        <v>24</v>
      </c>
      <c r="G8548" s="134" t="n">
        <f aca="false">LEN('Saisie programme'!$F$297)+SUMIFS('Vols additionnels'!$E$7:$E$66,'Vols additionnels'!$C$7:$C$66,$E8548,'Vols additionnels'!$D$7:$D$66,$F8548,'Vols additionnels'!$B$7:$B$66,$D8548)</f>
        <v>1</v>
      </c>
      <c r="H8548" s="135" t="n">
        <f aca="false">$G8548*'Analyse capacite'!$F$9</f>
        <v>174</v>
      </c>
      <c r="I8548" s="135" t="n">
        <f aca="false">$G8548*'Analyse capacite'!$C$9</f>
        <v>0</v>
      </c>
      <c r="J8548" s="135" t="n">
        <f aca="false">$G8548*'Analyse capacite'!$D$9</f>
        <v>12</v>
      </c>
      <c r="K8548" s="135" t="n">
        <f aca="false">$G8548*'Analyse capacite'!$E$9</f>
        <v>162</v>
      </c>
    </row>
    <row r="8549" customFormat="false" ht="15" hidden="false" customHeight="false" outlineLevel="0" collapsed="false">
      <c r="B8549" s="130" t="n">
        <v>2027</v>
      </c>
      <c r="C8549" s="131" t="s">
        <v>253</v>
      </c>
      <c r="D8549" s="132" t="n">
        <v>46715</v>
      </c>
      <c r="E8549" s="131" t="s">
        <v>40</v>
      </c>
      <c r="F8549" s="133" t="s">
        <v>11</v>
      </c>
      <c r="G8549" s="134" t="n">
        <f aca="false">LEN('Saisie programme'!$F$298)+SUMIFS('Vols additionnels'!$E$7:$E$66,'Vols additionnels'!$C$7:$C$66,$E8549,'Vols additionnels'!$D$7:$D$66,$F8549,'Vols additionnels'!$B$7:$B$66,$D8549)</f>
        <v>0</v>
      </c>
      <c r="H8549" s="135" t="n">
        <f aca="false">$G8549*'Analyse capacite'!$F$7</f>
        <v>0</v>
      </c>
      <c r="I8549" s="135" t="n">
        <f aca="false">$G8549*'Analyse capacite'!$C$7</f>
        <v>0</v>
      </c>
      <c r="J8549" s="135" t="n">
        <f aca="false">$G8549*'Analyse capacite'!$D$7</f>
        <v>0</v>
      </c>
      <c r="K8549" s="135" t="n">
        <f aca="false">$G8549*'Analyse capacite'!$E$7</f>
        <v>0</v>
      </c>
    </row>
    <row r="8550" customFormat="false" ht="15" hidden="false" customHeight="false" outlineLevel="0" collapsed="false">
      <c r="B8550" s="130" t="n">
        <v>2027</v>
      </c>
      <c r="C8550" s="131" t="s">
        <v>253</v>
      </c>
      <c r="D8550" s="132" t="n">
        <v>46715</v>
      </c>
      <c r="E8550" s="131" t="s">
        <v>40</v>
      </c>
      <c r="F8550" s="133" t="s">
        <v>19</v>
      </c>
      <c r="G8550" s="134" t="n">
        <f aca="false">LEN('Saisie programme'!$F$299)+SUMIFS('Vols additionnels'!$E$7:$E$66,'Vols additionnels'!$C$7:$C$66,$E8550,'Vols additionnels'!$D$7:$D$66,$F8550,'Vols additionnels'!$B$7:$B$66,$D8550)</f>
        <v>0</v>
      </c>
      <c r="H8550" s="135" t="n">
        <f aca="false">$G8550*'Analyse capacite'!$F$8</f>
        <v>0</v>
      </c>
      <c r="I8550" s="135" t="n">
        <f aca="false">$G8550*'Analyse capacite'!$C$8</f>
        <v>0</v>
      </c>
      <c r="J8550" s="135" t="n">
        <f aca="false">$G8550*'Analyse capacite'!$D$8</f>
        <v>0</v>
      </c>
      <c r="K8550" s="135" t="n">
        <f aca="false">$G8550*'Analyse capacite'!$E$8</f>
        <v>0</v>
      </c>
    </row>
    <row r="8551" customFormat="false" ht="15" hidden="false" customHeight="false" outlineLevel="0" collapsed="false">
      <c r="B8551" s="130" t="n">
        <v>2027</v>
      </c>
      <c r="C8551" s="131" t="s">
        <v>253</v>
      </c>
      <c r="D8551" s="132" t="n">
        <v>46715</v>
      </c>
      <c r="E8551" s="131" t="s">
        <v>40</v>
      </c>
      <c r="F8551" s="133" t="s">
        <v>24</v>
      </c>
      <c r="G8551" s="134" t="n">
        <f aca="false">LEN('Saisie programme'!$F$300)+SUMIFS('Vols additionnels'!$E$7:$E$66,'Vols additionnels'!$C$7:$C$66,$E8551,'Vols additionnels'!$D$7:$D$66,$F8551,'Vols additionnels'!$B$7:$B$66,$D8551)</f>
        <v>1</v>
      </c>
      <c r="H8551" s="135" t="n">
        <f aca="false">$G8551*'Analyse capacite'!$F$9</f>
        <v>174</v>
      </c>
      <c r="I8551" s="135" t="n">
        <f aca="false">$G8551*'Analyse capacite'!$C$9</f>
        <v>0</v>
      </c>
      <c r="J8551" s="135" t="n">
        <f aca="false">$G8551*'Analyse capacite'!$D$9</f>
        <v>12</v>
      </c>
      <c r="K8551" s="135" t="n">
        <f aca="false">$G8551*'Analyse capacite'!$E$9</f>
        <v>162</v>
      </c>
    </row>
    <row r="8552" customFormat="false" ht="15" hidden="false" customHeight="false" outlineLevel="0" collapsed="false">
      <c r="B8552" s="130" t="n">
        <v>2027</v>
      </c>
      <c r="C8552" s="131" t="s">
        <v>253</v>
      </c>
      <c r="D8552" s="132" t="n">
        <v>46715</v>
      </c>
      <c r="E8552" s="131" t="s">
        <v>14</v>
      </c>
      <c r="F8552" s="133" t="s">
        <v>11</v>
      </c>
      <c r="G8552" s="134" t="n">
        <f aca="false">LEN('Saisie programme'!$F$301)+SUMIFS('Vols additionnels'!$E$7:$E$66,'Vols additionnels'!$C$7:$C$66,$E8552,'Vols additionnels'!$D$7:$D$66,$F8552,'Vols additionnels'!$B$7:$B$66,$D8552)</f>
        <v>0</v>
      </c>
      <c r="H8552" s="135" t="n">
        <f aca="false">$G8552*'Analyse capacite'!$F$7</f>
        <v>0</v>
      </c>
      <c r="I8552" s="135" t="n">
        <f aca="false">$G8552*'Analyse capacite'!$C$7</f>
        <v>0</v>
      </c>
      <c r="J8552" s="135" t="n">
        <f aca="false">$G8552*'Analyse capacite'!$D$7</f>
        <v>0</v>
      </c>
      <c r="K8552" s="135" t="n">
        <f aca="false">$G8552*'Analyse capacite'!$E$7</f>
        <v>0</v>
      </c>
    </row>
    <row r="8553" customFormat="false" ht="15" hidden="false" customHeight="false" outlineLevel="0" collapsed="false">
      <c r="B8553" s="130" t="n">
        <v>2027</v>
      </c>
      <c r="C8553" s="131" t="s">
        <v>253</v>
      </c>
      <c r="D8553" s="132" t="n">
        <v>46715</v>
      </c>
      <c r="E8553" s="131" t="s">
        <v>14</v>
      </c>
      <c r="F8553" s="133" t="s">
        <v>19</v>
      </c>
      <c r="G8553" s="134" t="n">
        <f aca="false">LEN('Saisie programme'!$F$302)+SUMIFS('Vols additionnels'!$E$7:$E$66,'Vols additionnels'!$C$7:$C$66,$E8553,'Vols additionnels'!$D$7:$D$66,$F8553,'Vols additionnels'!$B$7:$B$66,$D8553)</f>
        <v>0</v>
      </c>
      <c r="H8553" s="135" t="n">
        <f aca="false">$G8553*'Analyse capacite'!$F$8</f>
        <v>0</v>
      </c>
      <c r="I8553" s="135" t="n">
        <f aca="false">$G8553*'Analyse capacite'!$C$8</f>
        <v>0</v>
      </c>
      <c r="J8553" s="135" t="n">
        <f aca="false">$G8553*'Analyse capacite'!$D$8</f>
        <v>0</v>
      </c>
      <c r="K8553" s="135" t="n">
        <f aca="false">$G8553*'Analyse capacite'!$E$8</f>
        <v>0</v>
      </c>
    </row>
    <row r="8554" customFormat="false" ht="15" hidden="false" customHeight="false" outlineLevel="0" collapsed="false">
      <c r="B8554" s="130" t="n">
        <v>2027</v>
      </c>
      <c r="C8554" s="131" t="s">
        <v>253</v>
      </c>
      <c r="D8554" s="132" t="n">
        <v>46715</v>
      </c>
      <c r="E8554" s="131" t="s">
        <v>14</v>
      </c>
      <c r="F8554" s="133" t="s">
        <v>24</v>
      </c>
      <c r="G8554" s="134" t="n">
        <f aca="false">LEN('Saisie programme'!$F$303)+SUMIFS('Vols additionnels'!$E$7:$E$66,'Vols additionnels'!$C$7:$C$66,$E8554,'Vols additionnels'!$D$7:$D$66,$F8554,'Vols additionnels'!$B$7:$B$66,$D8554)</f>
        <v>0</v>
      </c>
      <c r="H8554" s="135" t="n">
        <f aca="false">$G8554*'Analyse capacite'!$F$9</f>
        <v>0</v>
      </c>
      <c r="I8554" s="135" t="n">
        <f aca="false">$G8554*'Analyse capacite'!$C$9</f>
        <v>0</v>
      </c>
      <c r="J8554" s="135" t="n">
        <f aca="false">$G8554*'Analyse capacite'!$D$9</f>
        <v>0</v>
      </c>
      <c r="K8554" s="135" t="n">
        <f aca="false">$G8554*'Analyse capacite'!$E$9</f>
        <v>0</v>
      </c>
    </row>
    <row r="8555" customFormat="false" ht="15" hidden="false" customHeight="false" outlineLevel="0" collapsed="false">
      <c r="B8555" s="130" t="n">
        <v>2027</v>
      </c>
      <c r="C8555" s="131" t="s">
        <v>253</v>
      </c>
      <c r="D8555" s="132" t="n">
        <v>46715</v>
      </c>
      <c r="E8555" s="131" t="s">
        <v>46</v>
      </c>
      <c r="F8555" s="133" t="s">
        <v>11</v>
      </c>
      <c r="G8555" s="134" t="n">
        <f aca="false">LEN('Saisie programme'!$F$304)+SUMIFS('Vols additionnels'!$E$7:$E$66,'Vols additionnels'!$C$7:$C$66,$E8555,'Vols additionnels'!$D$7:$D$66,$F8555,'Vols additionnels'!$B$7:$B$66,$D8555)</f>
        <v>0</v>
      </c>
      <c r="H8555" s="135" t="n">
        <f aca="false">$G8555*'Analyse capacite'!$F$7</f>
        <v>0</v>
      </c>
      <c r="I8555" s="135" t="n">
        <f aca="false">$G8555*'Analyse capacite'!$C$7</f>
        <v>0</v>
      </c>
      <c r="J8555" s="135" t="n">
        <f aca="false">$G8555*'Analyse capacite'!$D$7</f>
        <v>0</v>
      </c>
      <c r="K8555" s="135" t="n">
        <f aca="false">$G8555*'Analyse capacite'!$E$7</f>
        <v>0</v>
      </c>
    </row>
    <row r="8556" customFormat="false" ht="15" hidden="false" customHeight="false" outlineLevel="0" collapsed="false">
      <c r="B8556" s="130" t="n">
        <v>2027</v>
      </c>
      <c r="C8556" s="131" t="s">
        <v>253</v>
      </c>
      <c r="D8556" s="132" t="n">
        <v>46715</v>
      </c>
      <c r="E8556" s="131" t="s">
        <v>46</v>
      </c>
      <c r="F8556" s="133" t="s">
        <v>19</v>
      </c>
      <c r="G8556" s="134" t="n">
        <f aca="false">LEN('Saisie programme'!$F$305)+SUMIFS('Vols additionnels'!$E$7:$E$66,'Vols additionnels'!$C$7:$C$66,$E8556,'Vols additionnels'!$D$7:$D$66,$F8556,'Vols additionnels'!$B$7:$B$66,$D8556)</f>
        <v>0</v>
      </c>
      <c r="H8556" s="135" t="n">
        <f aca="false">$G8556*'Analyse capacite'!$F$8</f>
        <v>0</v>
      </c>
      <c r="I8556" s="135" t="n">
        <f aca="false">$G8556*'Analyse capacite'!$C$8</f>
        <v>0</v>
      </c>
      <c r="J8556" s="135" t="n">
        <f aca="false">$G8556*'Analyse capacite'!$D$8</f>
        <v>0</v>
      </c>
      <c r="K8556" s="135" t="n">
        <f aca="false">$G8556*'Analyse capacite'!$E$8</f>
        <v>0</v>
      </c>
    </row>
    <row r="8557" customFormat="false" ht="15" hidden="false" customHeight="false" outlineLevel="0" collapsed="false">
      <c r="B8557" s="130" t="n">
        <v>2027</v>
      </c>
      <c r="C8557" s="131" t="s">
        <v>253</v>
      </c>
      <c r="D8557" s="132" t="n">
        <v>46715</v>
      </c>
      <c r="E8557" s="131" t="s">
        <v>46</v>
      </c>
      <c r="F8557" s="133" t="s">
        <v>24</v>
      </c>
      <c r="G8557" s="134" t="n">
        <f aca="false">LEN('Saisie programme'!$F$306)+SUMIFS('Vols additionnels'!$E$7:$E$66,'Vols additionnels'!$C$7:$C$66,$E8557,'Vols additionnels'!$D$7:$D$66,$F8557,'Vols additionnels'!$B$7:$B$66,$D8557)</f>
        <v>0</v>
      </c>
      <c r="H8557" s="135" t="n">
        <f aca="false">$G8557*'Analyse capacite'!$F$9</f>
        <v>0</v>
      </c>
      <c r="I8557" s="135" t="n">
        <f aca="false">$G8557*'Analyse capacite'!$C$9</f>
        <v>0</v>
      </c>
      <c r="J8557" s="135" t="n">
        <f aca="false">$G8557*'Analyse capacite'!$D$9</f>
        <v>0</v>
      </c>
      <c r="K8557" s="135" t="n">
        <f aca="false">$G8557*'Analyse capacite'!$E$9</f>
        <v>0</v>
      </c>
    </row>
    <row r="8558" customFormat="false" ht="15" hidden="false" customHeight="false" outlineLevel="0" collapsed="false">
      <c r="B8558" s="130" t="n">
        <v>2027</v>
      </c>
      <c r="C8558" s="131" t="s">
        <v>253</v>
      </c>
      <c r="D8558" s="132" t="n">
        <v>46715</v>
      </c>
      <c r="E8558" s="131" t="s">
        <v>49</v>
      </c>
      <c r="F8558" s="133" t="s">
        <v>11</v>
      </c>
      <c r="G8558" s="134" t="n">
        <f aca="false">LEN('Saisie programme'!$F$307)+SUMIFS('Vols additionnels'!$E$7:$E$66,'Vols additionnels'!$C$7:$C$66,$E8558,'Vols additionnels'!$D$7:$D$66,$F8558,'Vols additionnels'!$B$7:$B$66,$D8558)</f>
        <v>0</v>
      </c>
      <c r="H8558" s="135" t="n">
        <f aca="false">$G8558*'Analyse capacite'!$F$7</f>
        <v>0</v>
      </c>
      <c r="I8558" s="135" t="n">
        <f aca="false">$G8558*'Analyse capacite'!$C$7</f>
        <v>0</v>
      </c>
      <c r="J8558" s="135" t="n">
        <f aca="false">$G8558*'Analyse capacite'!$D$7</f>
        <v>0</v>
      </c>
      <c r="K8558" s="135" t="n">
        <f aca="false">$G8558*'Analyse capacite'!$E$7</f>
        <v>0</v>
      </c>
    </row>
    <row r="8559" customFormat="false" ht="15" hidden="false" customHeight="false" outlineLevel="0" collapsed="false">
      <c r="B8559" s="130" t="n">
        <v>2027</v>
      </c>
      <c r="C8559" s="131" t="s">
        <v>253</v>
      </c>
      <c r="D8559" s="132" t="n">
        <v>46715</v>
      </c>
      <c r="E8559" s="131" t="s">
        <v>49</v>
      </c>
      <c r="F8559" s="133" t="s">
        <v>19</v>
      </c>
      <c r="G8559" s="134" t="n">
        <f aca="false">LEN('Saisie programme'!$F$308)+SUMIFS('Vols additionnels'!$E$7:$E$66,'Vols additionnels'!$C$7:$C$66,$E8559,'Vols additionnels'!$D$7:$D$66,$F8559,'Vols additionnels'!$B$7:$B$66,$D8559)</f>
        <v>0</v>
      </c>
      <c r="H8559" s="135" t="n">
        <f aca="false">$G8559*'Analyse capacite'!$F$8</f>
        <v>0</v>
      </c>
      <c r="I8559" s="135" t="n">
        <f aca="false">$G8559*'Analyse capacite'!$C$8</f>
        <v>0</v>
      </c>
      <c r="J8559" s="135" t="n">
        <f aca="false">$G8559*'Analyse capacite'!$D$8</f>
        <v>0</v>
      </c>
      <c r="K8559" s="135" t="n">
        <f aca="false">$G8559*'Analyse capacite'!$E$8</f>
        <v>0</v>
      </c>
    </row>
    <row r="8560" customFormat="false" ht="15" hidden="false" customHeight="false" outlineLevel="0" collapsed="false">
      <c r="B8560" s="130" t="n">
        <v>2027</v>
      </c>
      <c r="C8560" s="131" t="s">
        <v>253</v>
      </c>
      <c r="D8560" s="132" t="n">
        <v>46715</v>
      </c>
      <c r="E8560" s="131" t="s">
        <v>49</v>
      </c>
      <c r="F8560" s="133" t="s">
        <v>24</v>
      </c>
      <c r="G8560" s="134" t="n">
        <f aca="false">LEN('Saisie programme'!$F$309)+SUMIFS('Vols additionnels'!$E$7:$E$66,'Vols additionnels'!$C$7:$C$66,$E8560,'Vols additionnels'!$D$7:$D$66,$F8560,'Vols additionnels'!$B$7:$B$66,$D8560)</f>
        <v>0</v>
      </c>
      <c r="H8560" s="135" t="n">
        <f aca="false">$G8560*'Analyse capacite'!$F$9</f>
        <v>0</v>
      </c>
      <c r="I8560" s="135" t="n">
        <f aca="false">$G8560*'Analyse capacite'!$C$9</f>
        <v>0</v>
      </c>
      <c r="J8560" s="135" t="n">
        <f aca="false">$G8560*'Analyse capacite'!$D$9</f>
        <v>0</v>
      </c>
      <c r="K8560" s="135" t="n">
        <f aca="false">$G8560*'Analyse capacite'!$E$9</f>
        <v>0</v>
      </c>
    </row>
    <row r="8561" customFormat="false" ht="15" hidden="false" customHeight="false" outlineLevel="0" collapsed="false">
      <c r="B8561" s="130" t="n">
        <v>2027</v>
      </c>
      <c r="C8561" s="131" t="s">
        <v>253</v>
      </c>
      <c r="D8561" s="132" t="n">
        <v>46715</v>
      </c>
      <c r="E8561" s="131" t="s">
        <v>53</v>
      </c>
      <c r="F8561" s="133" t="s">
        <v>11</v>
      </c>
      <c r="G8561" s="134" t="n">
        <f aca="false">LEN('Saisie programme'!$F$310)+SUMIFS('Vols additionnels'!$E$7:$E$66,'Vols additionnels'!$C$7:$C$66,$E8561,'Vols additionnels'!$D$7:$D$66,$F8561,'Vols additionnels'!$B$7:$B$66,$D8561)</f>
        <v>0</v>
      </c>
      <c r="H8561" s="135" t="n">
        <f aca="false">$G8561*'Analyse capacite'!$F$7</f>
        <v>0</v>
      </c>
      <c r="I8561" s="135" t="n">
        <f aca="false">$G8561*'Analyse capacite'!$C$7</f>
        <v>0</v>
      </c>
      <c r="J8561" s="135" t="n">
        <f aca="false">$G8561*'Analyse capacite'!$D$7</f>
        <v>0</v>
      </c>
      <c r="K8561" s="135" t="n">
        <f aca="false">$G8561*'Analyse capacite'!$E$7</f>
        <v>0</v>
      </c>
    </row>
    <row r="8562" customFormat="false" ht="15" hidden="false" customHeight="false" outlineLevel="0" collapsed="false">
      <c r="B8562" s="130" t="n">
        <v>2027</v>
      </c>
      <c r="C8562" s="131" t="s">
        <v>253</v>
      </c>
      <c r="D8562" s="132" t="n">
        <v>46715</v>
      </c>
      <c r="E8562" s="131" t="s">
        <v>53</v>
      </c>
      <c r="F8562" s="133" t="s">
        <v>19</v>
      </c>
      <c r="G8562" s="134" t="n">
        <f aca="false">LEN('Saisie programme'!$F$311)+SUMIFS('Vols additionnels'!$E$7:$E$66,'Vols additionnels'!$C$7:$C$66,$E8562,'Vols additionnels'!$D$7:$D$66,$F8562,'Vols additionnels'!$B$7:$B$66,$D8562)</f>
        <v>0</v>
      </c>
      <c r="H8562" s="135" t="n">
        <f aca="false">$G8562*'Analyse capacite'!$F$8</f>
        <v>0</v>
      </c>
      <c r="I8562" s="135" t="n">
        <f aca="false">$G8562*'Analyse capacite'!$C$8</f>
        <v>0</v>
      </c>
      <c r="J8562" s="135" t="n">
        <f aca="false">$G8562*'Analyse capacite'!$D$8</f>
        <v>0</v>
      </c>
      <c r="K8562" s="135" t="n">
        <f aca="false">$G8562*'Analyse capacite'!$E$8</f>
        <v>0</v>
      </c>
    </row>
    <row r="8563" customFormat="false" ht="15" hidden="false" customHeight="false" outlineLevel="0" collapsed="false">
      <c r="B8563" s="130" t="n">
        <v>2027</v>
      </c>
      <c r="C8563" s="131" t="s">
        <v>253</v>
      </c>
      <c r="D8563" s="132" t="n">
        <v>46715</v>
      </c>
      <c r="E8563" s="131" t="s">
        <v>53</v>
      </c>
      <c r="F8563" s="133" t="s">
        <v>24</v>
      </c>
      <c r="G8563" s="134" t="n">
        <f aca="false">LEN('Saisie programme'!$F$312)+SUMIFS('Vols additionnels'!$E$7:$E$66,'Vols additionnels'!$C$7:$C$66,$E8563,'Vols additionnels'!$D$7:$D$66,$F8563,'Vols additionnels'!$B$7:$B$66,$D8563)</f>
        <v>0</v>
      </c>
      <c r="H8563" s="135" t="n">
        <f aca="false">$G8563*'Analyse capacite'!$F$9</f>
        <v>0</v>
      </c>
      <c r="I8563" s="135" t="n">
        <f aca="false">$G8563*'Analyse capacite'!$C$9</f>
        <v>0</v>
      </c>
      <c r="J8563" s="135" t="n">
        <f aca="false">$G8563*'Analyse capacite'!$D$9</f>
        <v>0</v>
      </c>
      <c r="K8563" s="135" t="n">
        <f aca="false">$G8563*'Analyse capacite'!$E$9</f>
        <v>0</v>
      </c>
    </row>
    <row r="8564" customFormat="false" ht="15" hidden="false" customHeight="false" outlineLevel="0" collapsed="false">
      <c r="B8564" s="130" t="n">
        <v>2027</v>
      </c>
      <c r="C8564" s="131" t="s">
        <v>253</v>
      </c>
      <c r="D8564" s="132" t="n">
        <v>46715</v>
      </c>
      <c r="E8564" s="131" t="s">
        <v>56</v>
      </c>
      <c r="F8564" s="133" t="s">
        <v>11</v>
      </c>
      <c r="G8564" s="134" t="n">
        <f aca="false">LEN('Saisie programme'!$F$313)+SUMIFS('Vols additionnels'!$E$7:$E$66,'Vols additionnels'!$C$7:$C$66,$E8564,'Vols additionnels'!$D$7:$D$66,$F8564,'Vols additionnels'!$B$7:$B$66,$D8564)</f>
        <v>0</v>
      </c>
      <c r="H8564" s="135" t="n">
        <f aca="false">$G8564*'Analyse capacite'!$F$7</f>
        <v>0</v>
      </c>
      <c r="I8564" s="135" t="n">
        <f aca="false">$G8564*'Analyse capacite'!$C$7</f>
        <v>0</v>
      </c>
      <c r="J8564" s="135" t="n">
        <f aca="false">$G8564*'Analyse capacite'!$D$7</f>
        <v>0</v>
      </c>
      <c r="K8564" s="135" t="n">
        <f aca="false">$G8564*'Analyse capacite'!$E$7</f>
        <v>0</v>
      </c>
    </row>
    <row r="8565" customFormat="false" ht="15" hidden="false" customHeight="false" outlineLevel="0" collapsed="false">
      <c r="B8565" s="130" t="n">
        <v>2027</v>
      </c>
      <c r="C8565" s="131" t="s">
        <v>253</v>
      </c>
      <c r="D8565" s="132" t="n">
        <v>46715</v>
      </c>
      <c r="E8565" s="131" t="s">
        <v>56</v>
      </c>
      <c r="F8565" s="133" t="s">
        <v>19</v>
      </c>
      <c r="G8565" s="134" t="n">
        <f aca="false">LEN('Saisie programme'!$F$314)+SUMIFS('Vols additionnels'!$E$7:$E$66,'Vols additionnels'!$C$7:$C$66,$E8565,'Vols additionnels'!$D$7:$D$66,$F8565,'Vols additionnels'!$B$7:$B$66,$D8565)</f>
        <v>0</v>
      </c>
      <c r="H8565" s="135" t="n">
        <f aca="false">$G8565*'Analyse capacite'!$F$8</f>
        <v>0</v>
      </c>
      <c r="I8565" s="135" t="n">
        <f aca="false">$G8565*'Analyse capacite'!$C$8</f>
        <v>0</v>
      </c>
      <c r="J8565" s="135" t="n">
        <f aca="false">$G8565*'Analyse capacite'!$D$8</f>
        <v>0</v>
      </c>
      <c r="K8565" s="135" t="n">
        <f aca="false">$G8565*'Analyse capacite'!$E$8</f>
        <v>0</v>
      </c>
    </row>
    <row r="8566" customFormat="false" ht="15" hidden="false" customHeight="false" outlineLevel="0" collapsed="false">
      <c r="B8566" s="130" t="n">
        <v>2027</v>
      </c>
      <c r="C8566" s="131" t="s">
        <v>253</v>
      </c>
      <c r="D8566" s="132" t="n">
        <v>46715</v>
      </c>
      <c r="E8566" s="131" t="s">
        <v>56</v>
      </c>
      <c r="F8566" s="133" t="s">
        <v>24</v>
      </c>
      <c r="G8566" s="134" t="n">
        <f aca="false">LEN('Saisie programme'!$F$315)+SUMIFS('Vols additionnels'!$E$7:$E$66,'Vols additionnels'!$C$7:$C$66,$E8566,'Vols additionnels'!$D$7:$D$66,$F8566,'Vols additionnels'!$B$7:$B$66,$D8566)</f>
        <v>0</v>
      </c>
      <c r="H8566" s="135" t="n">
        <f aca="false">$G8566*'Analyse capacite'!$F$9</f>
        <v>0</v>
      </c>
      <c r="I8566" s="135" t="n">
        <f aca="false">$G8566*'Analyse capacite'!$C$9</f>
        <v>0</v>
      </c>
      <c r="J8566" s="135" t="n">
        <f aca="false">$G8566*'Analyse capacite'!$D$9</f>
        <v>0</v>
      </c>
      <c r="K8566" s="135" t="n">
        <f aca="false">$G8566*'Analyse capacite'!$E$9</f>
        <v>0</v>
      </c>
    </row>
    <row r="8567" customFormat="false" ht="15" hidden="false" customHeight="false" outlineLevel="0" collapsed="false">
      <c r="B8567" s="130" t="n">
        <v>2027</v>
      </c>
      <c r="C8567" s="131" t="s">
        <v>253</v>
      </c>
      <c r="D8567" s="132" t="n">
        <v>46715</v>
      </c>
      <c r="E8567" s="131" t="s">
        <v>59</v>
      </c>
      <c r="F8567" s="133" t="s">
        <v>11</v>
      </c>
      <c r="G8567" s="134" t="n">
        <f aca="false">LEN('Saisie programme'!$F$316)+SUMIFS('Vols additionnels'!$E$7:$E$66,'Vols additionnels'!$C$7:$C$66,$E8567,'Vols additionnels'!$D$7:$D$66,$F8567,'Vols additionnels'!$B$7:$B$66,$D8567)</f>
        <v>0</v>
      </c>
      <c r="H8567" s="135" t="n">
        <f aca="false">$G8567*'Analyse capacite'!$F$7</f>
        <v>0</v>
      </c>
      <c r="I8567" s="135" t="n">
        <f aca="false">$G8567*'Analyse capacite'!$C$7</f>
        <v>0</v>
      </c>
      <c r="J8567" s="135" t="n">
        <f aca="false">$G8567*'Analyse capacite'!$D$7</f>
        <v>0</v>
      </c>
      <c r="K8567" s="135" t="n">
        <f aca="false">$G8567*'Analyse capacite'!$E$7</f>
        <v>0</v>
      </c>
    </row>
    <row r="8568" customFormat="false" ht="15" hidden="false" customHeight="false" outlineLevel="0" collapsed="false">
      <c r="B8568" s="130" t="n">
        <v>2027</v>
      </c>
      <c r="C8568" s="131" t="s">
        <v>253</v>
      </c>
      <c r="D8568" s="132" t="n">
        <v>46715</v>
      </c>
      <c r="E8568" s="131" t="s">
        <v>59</v>
      </c>
      <c r="F8568" s="133" t="s">
        <v>19</v>
      </c>
      <c r="G8568" s="134" t="n">
        <f aca="false">LEN('Saisie programme'!$F$317)+SUMIFS('Vols additionnels'!$E$7:$E$66,'Vols additionnels'!$C$7:$C$66,$E8568,'Vols additionnels'!$D$7:$D$66,$F8568,'Vols additionnels'!$B$7:$B$66,$D8568)</f>
        <v>0</v>
      </c>
      <c r="H8568" s="135" t="n">
        <f aca="false">$G8568*'Analyse capacite'!$F$8</f>
        <v>0</v>
      </c>
      <c r="I8568" s="135" t="n">
        <f aca="false">$G8568*'Analyse capacite'!$C$8</f>
        <v>0</v>
      </c>
      <c r="J8568" s="135" t="n">
        <f aca="false">$G8568*'Analyse capacite'!$D$8</f>
        <v>0</v>
      </c>
      <c r="K8568" s="135" t="n">
        <f aca="false">$G8568*'Analyse capacite'!$E$8</f>
        <v>0</v>
      </c>
    </row>
    <row r="8569" customFormat="false" ht="15" hidden="false" customHeight="false" outlineLevel="0" collapsed="false">
      <c r="B8569" s="130" t="n">
        <v>2027</v>
      </c>
      <c r="C8569" s="131" t="s">
        <v>253</v>
      </c>
      <c r="D8569" s="132" t="n">
        <v>46715</v>
      </c>
      <c r="E8569" s="131" t="s">
        <v>59</v>
      </c>
      <c r="F8569" s="133" t="s">
        <v>24</v>
      </c>
      <c r="G8569" s="134" t="n">
        <f aca="false">LEN('Saisie programme'!$F$318)+SUMIFS('Vols additionnels'!$E$7:$E$66,'Vols additionnels'!$C$7:$C$66,$E8569,'Vols additionnels'!$D$7:$D$66,$F8569,'Vols additionnels'!$B$7:$B$66,$D8569)</f>
        <v>1</v>
      </c>
      <c r="H8569" s="135" t="n">
        <f aca="false">$G8569*'Analyse capacite'!$F$9</f>
        <v>174</v>
      </c>
      <c r="I8569" s="135" t="n">
        <f aca="false">$G8569*'Analyse capacite'!$C$9</f>
        <v>0</v>
      </c>
      <c r="J8569" s="135" t="n">
        <f aca="false">$G8569*'Analyse capacite'!$D$9</f>
        <v>12</v>
      </c>
      <c r="K8569" s="135" t="n">
        <f aca="false">$G8569*'Analyse capacite'!$E$9</f>
        <v>162</v>
      </c>
    </row>
    <row r="8570" customFormat="false" ht="15" hidden="false" customHeight="false" outlineLevel="0" collapsed="false">
      <c r="B8570" s="130" t="n">
        <v>2027</v>
      </c>
      <c r="C8570" s="131" t="s">
        <v>253</v>
      </c>
      <c r="D8570" s="132" t="n">
        <v>46715</v>
      </c>
      <c r="E8570" s="131" t="s">
        <v>62</v>
      </c>
      <c r="F8570" s="133" t="s">
        <v>11</v>
      </c>
      <c r="G8570" s="134" t="n">
        <f aca="false">LEN('Saisie programme'!$F$319)+SUMIFS('Vols additionnels'!$E$7:$E$66,'Vols additionnels'!$C$7:$C$66,$E8570,'Vols additionnels'!$D$7:$D$66,$F8570,'Vols additionnels'!$B$7:$B$66,$D8570)</f>
        <v>0</v>
      </c>
      <c r="H8570" s="135" t="n">
        <f aca="false">$G8570*'Analyse capacite'!$F$7</f>
        <v>0</v>
      </c>
      <c r="I8570" s="135" t="n">
        <f aca="false">$G8570*'Analyse capacite'!$C$7</f>
        <v>0</v>
      </c>
      <c r="J8570" s="135" t="n">
        <f aca="false">$G8570*'Analyse capacite'!$D$7</f>
        <v>0</v>
      </c>
      <c r="K8570" s="135" t="n">
        <f aca="false">$G8570*'Analyse capacite'!$E$7</f>
        <v>0</v>
      </c>
    </row>
    <row r="8571" customFormat="false" ht="15" hidden="false" customHeight="false" outlineLevel="0" collapsed="false">
      <c r="B8571" s="130" t="n">
        <v>2027</v>
      </c>
      <c r="C8571" s="131" t="s">
        <v>253</v>
      </c>
      <c r="D8571" s="132" t="n">
        <v>46715</v>
      </c>
      <c r="E8571" s="131" t="s">
        <v>62</v>
      </c>
      <c r="F8571" s="133" t="s">
        <v>19</v>
      </c>
      <c r="G8571" s="134" t="n">
        <f aca="false">LEN('Saisie programme'!$F$320)+SUMIFS('Vols additionnels'!$E$7:$E$66,'Vols additionnels'!$C$7:$C$66,$E8571,'Vols additionnels'!$D$7:$D$66,$F8571,'Vols additionnels'!$B$7:$B$66,$D8571)</f>
        <v>0</v>
      </c>
      <c r="H8571" s="135" t="n">
        <f aca="false">$G8571*'Analyse capacite'!$F$8</f>
        <v>0</v>
      </c>
      <c r="I8571" s="135" t="n">
        <f aca="false">$G8571*'Analyse capacite'!$C$8</f>
        <v>0</v>
      </c>
      <c r="J8571" s="135" t="n">
        <f aca="false">$G8571*'Analyse capacite'!$D$8</f>
        <v>0</v>
      </c>
      <c r="K8571" s="135" t="n">
        <f aca="false">$G8571*'Analyse capacite'!$E$8</f>
        <v>0</v>
      </c>
    </row>
    <row r="8572" customFormat="false" ht="15" hidden="false" customHeight="false" outlineLevel="0" collapsed="false">
      <c r="B8572" s="130" t="n">
        <v>2027</v>
      </c>
      <c r="C8572" s="131" t="s">
        <v>253</v>
      </c>
      <c r="D8572" s="132" t="n">
        <v>46715</v>
      </c>
      <c r="E8572" s="131" t="s">
        <v>62</v>
      </c>
      <c r="F8572" s="133" t="s">
        <v>24</v>
      </c>
      <c r="G8572" s="134" t="n">
        <f aca="false">LEN('Saisie programme'!$F$321)+SUMIFS('Vols additionnels'!$E$7:$E$66,'Vols additionnels'!$C$7:$C$66,$E8572,'Vols additionnels'!$D$7:$D$66,$F8572,'Vols additionnels'!$B$7:$B$66,$D8572)</f>
        <v>1</v>
      </c>
      <c r="H8572" s="135" t="n">
        <f aca="false">$G8572*'Analyse capacite'!$F$9</f>
        <v>174</v>
      </c>
      <c r="I8572" s="135" t="n">
        <f aca="false">$G8572*'Analyse capacite'!$C$9</f>
        <v>0</v>
      </c>
      <c r="J8572" s="135" t="n">
        <f aca="false">$G8572*'Analyse capacite'!$D$9</f>
        <v>12</v>
      </c>
      <c r="K8572" s="135" t="n">
        <f aca="false">$G8572*'Analyse capacite'!$E$9</f>
        <v>162</v>
      </c>
    </row>
    <row r="8573" customFormat="false" ht="15" hidden="false" customHeight="false" outlineLevel="0" collapsed="false">
      <c r="B8573" s="130" t="n">
        <v>2027</v>
      </c>
      <c r="C8573" s="131" t="s">
        <v>253</v>
      </c>
      <c r="D8573" s="132" t="n">
        <v>46716</v>
      </c>
      <c r="E8573" s="131" t="s">
        <v>12</v>
      </c>
      <c r="F8573" s="133" t="s">
        <v>11</v>
      </c>
      <c r="G8573" s="134" t="n">
        <f aca="false">LEN('Saisie programme'!$G$286)+SUMIFS('Vols additionnels'!$E$7:$E$66,'Vols additionnels'!$C$7:$C$66,$E8573,'Vols additionnels'!$D$7:$D$66,$F8573,'Vols additionnels'!$B$7:$B$66,$D8573)</f>
        <v>1</v>
      </c>
      <c r="H8573" s="135" t="n">
        <f aca="false">$G8573*'Analyse capacite'!$F$7</f>
        <v>438</v>
      </c>
      <c r="I8573" s="135" t="n">
        <f aca="false">$G8573*'Analyse capacite'!$C$7</f>
        <v>14</v>
      </c>
      <c r="J8573" s="135" t="n">
        <f aca="false">$G8573*'Analyse capacite'!$D$7</f>
        <v>40</v>
      </c>
      <c r="K8573" s="135" t="n">
        <f aca="false">$G8573*'Analyse capacite'!$E$7</f>
        <v>384</v>
      </c>
    </row>
    <row r="8574" customFormat="false" ht="15" hidden="false" customHeight="false" outlineLevel="0" collapsed="false">
      <c r="B8574" s="130" t="n">
        <v>2027</v>
      </c>
      <c r="C8574" s="131" t="s">
        <v>253</v>
      </c>
      <c r="D8574" s="132" t="n">
        <v>46716</v>
      </c>
      <c r="E8574" s="131" t="s">
        <v>12</v>
      </c>
      <c r="F8574" s="133" t="s">
        <v>19</v>
      </c>
      <c r="G8574" s="134" t="n">
        <f aca="false">LEN('Saisie programme'!$G$287)+SUMIFS('Vols additionnels'!$E$7:$E$66,'Vols additionnels'!$C$7:$C$66,$E8574,'Vols additionnels'!$D$7:$D$66,$F8574,'Vols additionnels'!$B$7:$B$66,$D8574)</f>
        <v>0</v>
      </c>
      <c r="H8574" s="135" t="n">
        <f aca="false">$G8574*'Analyse capacite'!$F$8</f>
        <v>0</v>
      </c>
      <c r="I8574" s="135" t="n">
        <f aca="false">$G8574*'Analyse capacite'!$C$8</f>
        <v>0</v>
      </c>
      <c r="J8574" s="135" t="n">
        <f aca="false">$G8574*'Analyse capacite'!$D$8</f>
        <v>0</v>
      </c>
      <c r="K8574" s="135" t="n">
        <f aca="false">$G8574*'Analyse capacite'!$E$8</f>
        <v>0</v>
      </c>
    </row>
    <row r="8575" customFormat="false" ht="15" hidden="false" customHeight="false" outlineLevel="0" collapsed="false">
      <c r="B8575" s="130" t="n">
        <v>2027</v>
      </c>
      <c r="C8575" s="131" t="s">
        <v>253</v>
      </c>
      <c r="D8575" s="132" t="n">
        <v>46716</v>
      </c>
      <c r="E8575" s="131" t="s">
        <v>12</v>
      </c>
      <c r="F8575" s="133" t="s">
        <v>24</v>
      </c>
      <c r="G8575" s="134" t="n">
        <f aca="false">LEN('Saisie programme'!$G$288)+SUMIFS('Vols additionnels'!$E$7:$E$66,'Vols additionnels'!$C$7:$C$66,$E8575,'Vols additionnels'!$D$7:$D$66,$F8575,'Vols additionnels'!$B$7:$B$66,$D8575)</f>
        <v>0</v>
      </c>
      <c r="H8575" s="135" t="n">
        <f aca="false">$G8575*'Analyse capacite'!$F$9</f>
        <v>0</v>
      </c>
      <c r="I8575" s="135" t="n">
        <f aca="false">$G8575*'Analyse capacite'!$C$9</f>
        <v>0</v>
      </c>
      <c r="J8575" s="135" t="n">
        <f aca="false">$G8575*'Analyse capacite'!$D$9</f>
        <v>0</v>
      </c>
      <c r="K8575" s="135" t="n">
        <f aca="false">$G8575*'Analyse capacite'!$E$9</f>
        <v>0</v>
      </c>
    </row>
    <row r="8576" customFormat="false" ht="15" hidden="false" customHeight="false" outlineLevel="0" collapsed="false">
      <c r="B8576" s="130" t="n">
        <v>2027</v>
      </c>
      <c r="C8576" s="131" t="s">
        <v>253</v>
      </c>
      <c r="D8576" s="132" t="n">
        <v>46716</v>
      </c>
      <c r="E8576" s="131" t="s">
        <v>20</v>
      </c>
      <c r="F8576" s="133" t="s">
        <v>11</v>
      </c>
      <c r="G8576" s="134" t="n">
        <f aca="false">LEN('Saisie programme'!$G$289)+SUMIFS('Vols additionnels'!$E$7:$E$66,'Vols additionnels'!$C$7:$C$66,$E8576,'Vols additionnels'!$D$7:$D$66,$F8576,'Vols additionnels'!$B$7:$B$66,$D8576)</f>
        <v>0</v>
      </c>
      <c r="H8576" s="135" t="n">
        <f aca="false">$G8576*'Analyse capacite'!$F$7</f>
        <v>0</v>
      </c>
      <c r="I8576" s="135" t="n">
        <f aca="false">$G8576*'Analyse capacite'!$C$7</f>
        <v>0</v>
      </c>
      <c r="J8576" s="135" t="n">
        <f aca="false">$G8576*'Analyse capacite'!$D$7</f>
        <v>0</v>
      </c>
      <c r="K8576" s="135" t="n">
        <f aca="false">$G8576*'Analyse capacite'!$E$7</f>
        <v>0</v>
      </c>
    </row>
    <row r="8577" customFormat="false" ht="15" hidden="false" customHeight="false" outlineLevel="0" collapsed="false">
      <c r="B8577" s="130" t="n">
        <v>2027</v>
      </c>
      <c r="C8577" s="131" t="s">
        <v>253</v>
      </c>
      <c r="D8577" s="132" t="n">
        <v>46716</v>
      </c>
      <c r="E8577" s="131" t="s">
        <v>20</v>
      </c>
      <c r="F8577" s="133" t="s">
        <v>19</v>
      </c>
      <c r="G8577" s="134" t="n">
        <f aca="false">LEN('Saisie programme'!$G$290)+SUMIFS('Vols additionnels'!$E$7:$E$66,'Vols additionnels'!$C$7:$C$66,$E8577,'Vols additionnels'!$D$7:$D$66,$F8577,'Vols additionnels'!$B$7:$B$66,$D8577)</f>
        <v>0</v>
      </c>
      <c r="H8577" s="135" t="n">
        <f aca="false">$G8577*'Analyse capacite'!$F$8</f>
        <v>0</v>
      </c>
      <c r="I8577" s="135" t="n">
        <f aca="false">$G8577*'Analyse capacite'!$C$8</f>
        <v>0</v>
      </c>
      <c r="J8577" s="135" t="n">
        <f aca="false">$G8577*'Analyse capacite'!$D$8</f>
        <v>0</v>
      </c>
      <c r="K8577" s="135" t="n">
        <f aca="false">$G8577*'Analyse capacite'!$E$8</f>
        <v>0</v>
      </c>
    </row>
    <row r="8578" customFormat="false" ht="15" hidden="false" customHeight="false" outlineLevel="0" collapsed="false">
      <c r="B8578" s="130" t="n">
        <v>2027</v>
      </c>
      <c r="C8578" s="131" t="s">
        <v>253</v>
      </c>
      <c r="D8578" s="132" t="n">
        <v>46716</v>
      </c>
      <c r="E8578" s="131" t="s">
        <v>20</v>
      </c>
      <c r="F8578" s="133" t="s">
        <v>24</v>
      </c>
      <c r="G8578" s="134" t="n">
        <f aca="false">LEN('Saisie programme'!$G$291)+SUMIFS('Vols additionnels'!$E$7:$E$66,'Vols additionnels'!$C$7:$C$66,$E8578,'Vols additionnels'!$D$7:$D$66,$F8578,'Vols additionnels'!$B$7:$B$66,$D8578)</f>
        <v>0</v>
      </c>
      <c r="H8578" s="135" t="n">
        <f aca="false">$G8578*'Analyse capacite'!$F$9</f>
        <v>0</v>
      </c>
      <c r="I8578" s="135" t="n">
        <f aca="false">$G8578*'Analyse capacite'!$C$9</f>
        <v>0</v>
      </c>
      <c r="J8578" s="135" t="n">
        <f aca="false">$G8578*'Analyse capacite'!$D$9</f>
        <v>0</v>
      </c>
      <c r="K8578" s="135" t="n">
        <f aca="false">$G8578*'Analyse capacite'!$E$9</f>
        <v>0</v>
      </c>
    </row>
    <row r="8579" customFormat="false" ht="15" hidden="false" customHeight="false" outlineLevel="0" collapsed="false">
      <c r="B8579" s="130" t="n">
        <v>2027</v>
      </c>
      <c r="C8579" s="131" t="s">
        <v>253</v>
      </c>
      <c r="D8579" s="132" t="n">
        <v>46716</v>
      </c>
      <c r="E8579" s="131" t="s">
        <v>25</v>
      </c>
      <c r="F8579" s="133" t="s">
        <v>11</v>
      </c>
      <c r="G8579" s="134" t="n">
        <f aca="false">LEN('Saisie programme'!$G$292)+SUMIFS('Vols additionnels'!$E$7:$E$66,'Vols additionnels'!$C$7:$C$66,$E8579,'Vols additionnels'!$D$7:$D$66,$F8579,'Vols additionnels'!$B$7:$B$66,$D8579)</f>
        <v>0</v>
      </c>
      <c r="H8579" s="135" t="n">
        <f aca="false">$G8579*'Analyse capacite'!$F$7</f>
        <v>0</v>
      </c>
      <c r="I8579" s="135" t="n">
        <f aca="false">$G8579*'Analyse capacite'!$C$7</f>
        <v>0</v>
      </c>
      <c r="J8579" s="135" t="n">
        <f aca="false">$G8579*'Analyse capacite'!$D$7</f>
        <v>0</v>
      </c>
      <c r="K8579" s="135" t="n">
        <f aca="false">$G8579*'Analyse capacite'!$E$7</f>
        <v>0</v>
      </c>
    </row>
    <row r="8580" customFormat="false" ht="15" hidden="false" customHeight="false" outlineLevel="0" collapsed="false">
      <c r="B8580" s="130" t="n">
        <v>2027</v>
      </c>
      <c r="C8580" s="131" t="s">
        <v>253</v>
      </c>
      <c r="D8580" s="132" t="n">
        <v>46716</v>
      </c>
      <c r="E8580" s="131" t="s">
        <v>25</v>
      </c>
      <c r="F8580" s="133" t="s">
        <v>19</v>
      </c>
      <c r="G8580" s="134" t="n">
        <f aca="false">LEN('Saisie programme'!$G$293)+SUMIFS('Vols additionnels'!$E$7:$E$66,'Vols additionnels'!$C$7:$C$66,$E8580,'Vols additionnels'!$D$7:$D$66,$F8580,'Vols additionnels'!$B$7:$B$66,$D8580)</f>
        <v>0</v>
      </c>
      <c r="H8580" s="135" t="n">
        <f aca="false">$G8580*'Analyse capacite'!$F$8</f>
        <v>0</v>
      </c>
      <c r="I8580" s="135" t="n">
        <f aca="false">$G8580*'Analyse capacite'!$C$8</f>
        <v>0</v>
      </c>
      <c r="J8580" s="135" t="n">
        <f aca="false">$G8580*'Analyse capacite'!$D$8</f>
        <v>0</v>
      </c>
      <c r="K8580" s="135" t="n">
        <f aca="false">$G8580*'Analyse capacite'!$E$8</f>
        <v>0</v>
      </c>
    </row>
    <row r="8581" customFormat="false" ht="15" hidden="false" customHeight="false" outlineLevel="0" collapsed="false">
      <c r="B8581" s="130" t="n">
        <v>2027</v>
      </c>
      <c r="C8581" s="131" t="s">
        <v>253</v>
      </c>
      <c r="D8581" s="132" t="n">
        <v>46716</v>
      </c>
      <c r="E8581" s="131" t="s">
        <v>25</v>
      </c>
      <c r="F8581" s="133" t="s">
        <v>24</v>
      </c>
      <c r="G8581" s="134" t="n">
        <f aca="false">LEN('Saisie programme'!$G$294)+SUMIFS('Vols additionnels'!$E$7:$E$66,'Vols additionnels'!$C$7:$C$66,$E8581,'Vols additionnels'!$D$7:$D$66,$F8581,'Vols additionnels'!$B$7:$B$66,$D8581)</f>
        <v>0</v>
      </c>
      <c r="H8581" s="135" t="n">
        <f aca="false">$G8581*'Analyse capacite'!$F$9</f>
        <v>0</v>
      </c>
      <c r="I8581" s="135" t="n">
        <f aca="false">$G8581*'Analyse capacite'!$C$9</f>
        <v>0</v>
      </c>
      <c r="J8581" s="135" t="n">
        <f aca="false">$G8581*'Analyse capacite'!$D$9</f>
        <v>0</v>
      </c>
      <c r="K8581" s="135" t="n">
        <f aca="false">$G8581*'Analyse capacite'!$E$9</f>
        <v>0</v>
      </c>
    </row>
    <row r="8582" customFormat="false" ht="15" hidden="false" customHeight="false" outlineLevel="0" collapsed="false">
      <c r="B8582" s="130" t="n">
        <v>2027</v>
      </c>
      <c r="C8582" s="131" t="s">
        <v>253</v>
      </c>
      <c r="D8582" s="132" t="n">
        <v>46716</v>
      </c>
      <c r="E8582" s="131" t="s">
        <v>36</v>
      </c>
      <c r="F8582" s="133" t="s">
        <v>11</v>
      </c>
      <c r="G8582" s="134" t="n">
        <f aca="false">LEN('Saisie programme'!$G$295)+SUMIFS('Vols additionnels'!$E$7:$E$66,'Vols additionnels'!$C$7:$C$66,$E8582,'Vols additionnels'!$D$7:$D$66,$F8582,'Vols additionnels'!$B$7:$B$66,$D8582)</f>
        <v>0</v>
      </c>
      <c r="H8582" s="135" t="n">
        <f aca="false">$G8582*'Analyse capacite'!$F$7</f>
        <v>0</v>
      </c>
      <c r="I8582" s="135" t="n">
        <f aca="false">$G8582*'Analyse capacite'!$C$7</f>
        <v>0</v>
      </c>
      <c r="J8582" s="135" t="n">
        <f aca="false">$G8582*'Analyse capacite'!$D$7</f>
        <v>0</v>
      </c>
      <c r="K8582" s="135" t="n">
        <f aca="false">$G8582*'Analyse capacite'!$E$7</f>
        <v>0</v>
      </c>
    </row>
    <row r="8583" customFormat="false" ht="15" hidden="false" customHeight="false" outlineLevel="0" collapsed="false">
      <c r="B8583" s="130" t="n">
        <v>2027</v>
      </c>
      <c r="C8583" s="131" t="s">
        <v>253</v>
      </c>
      <c r="D8583" s="132" t="n">
        <v>46716</v>
      </c>
      <c r="E8583" s="131" t="s">
        <v>36</v>
      </c>
      <c r="F8583" s="133" t="s">
        <v>19</v>
      </c>
      <c r="G8583" s="134" t="n">
        <f aca="false">LEN('Saisie programme'!$G$296)+SUMIFS('Vols additionnels'!$E$7:$E$66,'Vols additionnels'!$C$7:$C$66,$E8583,'Vols additionnels'!$D$7:$D$66,$F8583,'Vols additionnels'!$B$7:$B$66,$D8583)</f>
        <v>0</v>
      </c>
      <c r="H8583" s="135" t="n">
        <f aca="false">$G8583*'Analyse capacite'!$F$8</f>
        <v>0</v>
      </c>
      <c r="I8583" s="135" t="n">
        <f aca="false">$G8583*'Analyse capacite'!$C$8</f>
        <v>0</v>
      </c>
      <c r="J8583" s="135" t="n">
        <f aca="false">$G8583*'Analyse capacite'!$D$8</f>
        <v>0</v>
      </c>
      <c r="K8583" s="135" t="n">
        <f aca="false">$G8583*'Analyse capacite'!$E$8</f>
        <v>0</v>
      </c>
    </row>
    <row r="8584" customFormat="false" ht="15" hidden="false" customHeight="false" outlineLevel="0" collapsed="false">
      <c r="B8584" s="130" t="n">
        <v>2027</v>
      </c>
      <c r="C8584" s="131" t="s">
        <v>253</v>
      </c>
      <c r="D8584" s="132" t="n">
        <v>46716</v>
      </c>
      <c r="E8584" s="131" t="s">
        <v>36</v>
      </c>
      <c r="F8584" s="133" t="s">
        <v>24</v>
      </c>
      <c r="G8584" s="134" t="n">
        <f aca="false">LEN('Saisie programme'!$G$297)+SUMIFS('Vols additionnels'!$E$7:$E$66,'Vols additionnels'!$C$7:$C$66,$E8584,'Vols additionnels'!$D$7:$D$66,$F8584,'Vols additionnels'!$B$7:$B$66,$D8584)</f>
        <v>1</v>
      </c>
      <c r="H8584" s="135" t="n">
        <f aca="false">$G8584*'Analyse capacite'!$F$9</f>
        <v>174</v>
      </c>
      <c r="I8584" s="135" t="n">
        <f aca="false">$G8584*'Analyse capacite'!$C$9</f>
        <v>0</v>
      </c>
      <c r="J8584" s="135" t="n">
        <f aca="false">$G8584*'Analyse capacite'!$D$9</f>
        <v>12</v>
      </c>
      <c r="K8584" s="135" t="n">
        <f aca="false">$G8584*'Analyse capacite'!$E$9</f>
        <v>162</v>
      </c>
    </row>
    <row r="8585" customFormat="false" ht="15" hidden="false" customHeight="false" outlineLevel="0" collapsed="false">
      <c r="B8585" s="130" t="n">
        <v>2027</v>
      </c>
      <c r="C8585" s="131" t="s">
        <v>253</v>
      </c>
      <c r="D8585" s="132" t="n">
        <v>46716</v>
      </c>
      <c r="E8585" s="131" t="s">
        <v>40</v>
      </c>
      <c r="F8585" s="133" t="s">
        <v>11</v>
      </c>
      <c r="G8585" s="134" t="n">
        <f aca="false">LEN('Saisie programme'!$G$298)+SUMIFS('Vols additionnels'!$E$7:$E$66,'Vols additionnels'!$C$7:$C$66,$E8585,'Vols additionnels'!$D$7:$D$66,$F8585,'Vols additionnels'!$B$7:$B$66,$D8585)</f>
        <v>0</v>
      </c>
      <c r="H8585" s="135" t="n">
        <f aca="false">$G8585*'Analyse capacite'!$F$7</f>
        <v>0</v>
      </c>
      <c r="I8585" s="135" t="n">
        <f aca="false">$G8585*'Analyse capacite'!$C$7</f>
        <v>0</v>
      </c>
      <c r="J8585" s="135" t="n">
        <f aca="false">$G8585*'Analyse capacite'!$D$7</f>
        <v>0</v>
      </c>
      <c r="K8585" s="135" t="n">
        <f aca="false">$G8585*'Analyse capacite'!$E$7</f>
        <v>0</v>
      </c>
    </row>
    <row r="8586" customFormat="false" ht="15" hidden="false" customHeight="false" outlineLevel="0" collapsed="false">
      <c r="B8586" s="130" t="n">
        <v>2027</v>
      </c>
      <c r="C8586" s="131" t="s">
        <v>253</v>
      </c>
      <c r="D8586" s="132" t="n">
        <v>46716</v>
      </c>
      <c r="E8586" s="131" t="s">
        <v>40</v>
      </c>
      <c r="F8586" s="133" t="s">
        <v>19</v>
      </c>
      <c r="G8586" s="134" t="n">
        <f aca="false">LEN('Saisie programme'!$G$299)+SUMIFS('Vols additionnels'!$E$7:$E$66,'Vols additionnels'!$C$7:$C$66,$E8586,'Vols additionnels'!$D$7:$D$66,$F8586,'Vols additionnels'!$B$7:$B$66,$D8586)</f>
        <v>0</v>
      </c>
      <c r="H8586" s="135" t="n">
        <f aca="false">$G8586*'Analyse capacite'!$F$8</f>
        <v>0</v>
      </c>
      <c r="I8586" s="135" t="n">
        <f aca="false">$G8586*'Analyse capacite'!$C$8</f>
        <v>0</v>
      </c>
      <c r="J8586" s="135" t="n">
        <f aca="false">$G8586*'Analyse capacite'!$D$8</f>
        <v>0</v>
      </c>
      <c r="K8586" s="135" t="n">
        <f aca="false">$G8586*'Analyse capacite'!$E$8</f>
        <v>0</v>
      </c>
    </row>
    <row r="8587" customFormat="false" ht="15" hidden="false" customHeight="false" outlineLevel="0" collapsed="false">
      <c r="B8587" s="130" t="n">
        <v>2027</v>
      </c>
      <c r="C8587" s="131" t="s">
        <v>253</v>
      </c>
      <c r="D8587" s="132" t="n">
        <v>46716</v>
      </c>
      <c r="E8587" s="131" t="s">
        <v>40</v>
      </c>
      <c r="F8587" s="133" t="s">
        <v>24</v>
      </c>
      <c r="G8587" s="134" t="n">
        <f aca="false">LEN('Saisie programme'!$G$300)+SUMIFS('Vols additionnels'!$E$7:$E$66,'Vols additionnels'!$C$7:$C$66,$E8587,'Vols additionnels'!$D$7:$D$66,$F8587,'Vols additionnels'!$B$7:$B$66,$D8587)</f>
        <v>0</v>
      </c>
      <c r="H8587" s="135" t="n">
        <f aca="false">$G8587*'Analyse capacite'!$F$9</f>
        <v>0</v>
      </c>
      <c r="I8587" s="135" t="n">
        <f aca="false">$G8587*'Analyse capacite'!$C$9</f>
        <v>0</v>
      </c>
      <c r="J8587" s="135" t="n">
        <f aca="false">$G8587*'Analyse capacite'!$D$9</f>
        <v>0</v>
      </c>
      <c r="K8587" s="135" t="n">
        <f aca="false">$G8587*'Analyse capacite'!$E$9</f>
        <v>0</v>
      </c>
    </row>
    <row r="8588" customFormat="false" ht="15" hidden="false" customHeight="false" outlineLevel="0" collapsed="false">
      <c r="B8588" s="130" t="n">
        <v>2027</v>
      </c>
      <c r="C8588" s="131" t="s">
        <v>253</v>
      </c>
      <c r="D8588" s="132" t="n">
        <v>46716</v>
      </c>
      <c r="E8588" s="131" t="s">
        <v>14</v>
      </c>
      <c r="F8588" s="133" t="s">
        <v>11</v>
      </c>
      <c r="G8588" s="134" t="n">
        <f aca="false">LEN('Saisie programme'!$G$301)+SUMIFS('Vols additionnels'!$E$7:$E$66,'Vols additionnels'!$C$7:$C$66,$E8588,'Vols additionnels'!$D$7:$D$66,$F8588,'Vols additionnels'!$B$7:$B$66,$D8588)</f>
        <v>0</v>
      </c>
      <c r="H8588" s="135" t="n">
        <f aca="false">$G8588*'Analyse capacite'!$F$7</f>
        <v>0</v>
      </c>
      <c r="I8588" s="135" t="n">
        <f aca="false">$G8588*'Analyse capacite'!$C$7</f>
        <v>0</v>
      </c>
      <c r="J8588" s="135" t="n">
        <f aca="false">$G8588*'Analyse capacite'!$D$7</f>
        <v>0</v>
      </c>
      <c r="K8588" s="135" t="n">
        <f aca="false">$G8588*'Analyse capacite'!$E$7</f>
        <v>0</v>
      </c>
    </row>
    <row r="8589" customFormat="false" ht="15" hidden="false" customHeight="false" outlineLevel="0" collapsed="false">
      <c r="B8589" s="130" t="n">
        <v>2027</v>
      </c>
      <c r="C8589" s="131" t="s">
        <v>253</v>
      </c>
      <c r="D8589" s="132" t="n">
        <v>46716</v>
      </c>
      <c r="E8589" s="131" t="s">
        <v>14</v>
      </c>
      <c r="F8589" s="133" t="s">
        <v>19</v>
      </c>
      <c r="G8589" s="134" t="n">
        <f aca="false">LEN('Saisie programme'!$G$302)+SUMIFS('Vols additionnels'!$E$7:$E$66,'Vols additionnels'!$C$7:$C$66,$E8589,'Vols additionnels'!$D$7:$D$66,$F8589,'Vols additionnels'!$B$7:$B$66,$D8589)</f>
        <v>0</v>
      </c>
      <c r="H8589" s="135" t="n">
        <f aca="false">$G8589*'Analyse capacite'!$F$8</f>
        <v>0</v>
      </c>
      <c r="I8589" s="135" t="n">
        <f aca="false">$G8589*'Analyse capacite'!$C$8</f>
        <v>0</v>
      </c>
      <c r="J8589" s="135" t="n">
        <f aca="false">$G8589*'Analyse capacite'!$D$8</f>
        <v>0</v>
      </c>
      <c r="K8589" s="135" t="n">
        <f aca="false">$G8589*'Analyse capacite'!$E$8</f>
        <v>0</v>
      </c>
    </row>
    <row r="8590" customFormat="false" ht="15" hidden="false" customHeight="false" outlineLevel="0" collapsed="false">
      <c r="B8590" s="130" t="n">
        <v>2027</v>
      </c>
      <c r="C8590" s="131" t="s">
        <v>253</v>
      </c>
      <c r="D8590" s="132" t="n">
        <v>46716</v>
      </c>
      <c r="E8590" s="131" t="s">
        <v>14</v>
      </c>
      <c r="F8590" s="133" t="s">
        <v>24</v>
      </c>
      <c r="G8590" s="134" t="n">
        <f aca="false">LEN('Saisie programme'!$G$303)+SUMIFS('Vols additionnels'!$E$7:$E$66,'Vols additionnels'!$C$7:$C$66,$E8590,'Vols additionnels'!$D$7:$D$66,$F8590,'Vols additionnels'!$B$7:$B$66,$D8590)</f>
        <v>1</v>
      </c>
      <c r="H8590" s="135" t="n">
        <f aca="false">$G8590*'Analyse capacite'!$F$9</f>
        <v>174</v>
      </c>
      <c r="I8590" s="135" t="n">
        <f aca="false">$G8590*'Analyse capacite'!$C$9</f>
        <v>0</v>
      </c>
      <c r="J8590" s="135" t="n">
        <f aca="false">$G8590*'Analyse capacite'!$D$9</f>
        <v>12</v>
      </c>
      <c r="K8590" s="135" t="n">
        <f aca="false">$G8590*'Analyse capacite'!$E$9</f>
        <v>162</v>
      </c>
    </row>
    <row r="8591" customFormat="false" ht="15" hidden="false" customHeight="false" outlineLevel="0" collapsed="false">
      <c r="B8591" s="130" t="n">
        <v>2027</v>
      </c>
      <c r="C8591" s="131" t="s">
        <v>253</v>
      </c>
      <c r="D8591" s="132" t="n">
        <v>46716</v>
      </c>
      <c r="E8591" s="131" t="s">
        <v>46</v>
      </c>
      <c r="F8591" s="133" t="s">
        <v>11</v>
      </c>
      <c r="G8591" s="134" t="n">
        <f aca="false">LEN('Saisie programme'!$G$304)+SUMIFS('Vols additionnels'!$E$7:$E$66,'Vols additionnels'!$C$7:$C$66,$E8591,'Vols additionnels'!$D$7:$D$66,$F8591,'Vols additionnels'!$B$7:$B$66,$D8591)</f>
        <v>0</v>
      </c>
      <c r="H8591" s="135" t="n">
        <f aca="false">$G8591*'Analyse capacite'!$F$7</f>
        <v>0</v>
      </c>
      <c r="I8591" s="135" t="n">
        <f aca="false">$G8591*'Analyse capacite'!$C$7</f>
        <v>0</v>
      </c>
      <c r="J8591" s="135" t="n">
        <f aca="false">$G8591*'Analyse capacite'!$D$7</f>
        <v>0</v>
      </c>
      <c r="K8591" s="135" t="n">
        <f aca="false">$G8591*'Analyse capacite'!$E$7</f>
        <v>0</v>
      </c>
    </row>
    <row r="8592" customFormat="false" ht="15" hidden="false" customHeight="false" outlineLevel="0" collapsed="false">
      <c r="B8592" s="130" t="n">
        <v>2027</v>
      </c>
      <c r="C8592" s="131" t="s">
        <v>253</v>
      </c>
      <c r="D8592" s="132" t="n">
        <v>46716</v>
      </c>
      <c r="E8592" s="131" t="s">
        <v>46</v>
      </c>
      <c r="F8592" s="133" t="s">
        <v>19</v>
      </c>
      <c r="G8592" s="134" t="n">
        <f aca="false">LEN('Saisie programme'!$G$305)+SUMIFS('Vols additionnels'!$E$7:$E$66,'Vols additionnels'!$C$7:$C$66,$E8592,'Vols additionnels'!$D$7:$D$66,$F8592,'Vols additionnels'!$B$7:$B$66,$D8592)</f>
        <v>0</v>
      </c>
      <c r="H8592" s="135" t="n">
        <f aca="false">$G8592*'Analyse capacite'!$F$8</f>
        <v>0</v>
      </c>
      <c r="I8592" s="135" t="n">
        <f aca="false">$G8592*'Analyse capacite'!$C$8</f>
        <v>0</v>
      </c>
      <c r="J8592" s="135" t="n">
        <f aca="false">$G8592*'Analyse capacite'!$D$8</f>
        <v>0</v>
      </c>
      <c r="K8592" s="135" t="n">
        <f aca="false">$G8592*'Analyse capacite'!$E$8</f>
        <v>0</v>
      </c>
    </row>
    <row r="8593" customFormat="false" ht="15" hidden="false" customHeight="false" outlineLevel="0" collapsed="false">
      <c r="B8593" s="130" t="n">
        <v>2027</v>
      </c>
      <c r="C8593" s="131" t="s">
        <v>253</v>
      </c>
      <c r="D8593" s="132" t="n">
        <v>46716</v>
      </c>
      <c r="E8593" s="131" t="s">
        <v>46</v>
      </c>
      <c r="F8593" s="133" t="s">
        <v>24</v>
      </c>
      <c r="G8593" s="134" t="n">
        <f aca="false">LEN('Saisie programme'!$G$306)+SUMIFS('Vols additionnels'!$E$7:$E$66,'Vols additionnels'!$C$7:$C$66,$E8593,'Vols additionnels'!$D$7:$D$66,$F8593,'Vols additionnels'!$B$7:$B$66,$D8593)</f>
        <v>1</v>
      </c>
      <c r="H8593" s="135" t="n">
        <f aca="false">$G8593*'Analyse capacite'!$F$9</f>
        <v>174</v>
      </c>
      <c r="I8593" s="135" t="n">
        <f aca="false">$G8593*'Analyse capacite'!$C$9</f>
        <v>0</v>
      </c>
      <c r="J8593" s="135" t="n">
        <f aca="false">$G8593*'Analyse capacite'!$D$9</f>
        <v>12</v>
      </c>
      <c r="K8593" s="135" t="n">
        <f aca="false">$G8593*'Analyse capacite'!$E$9</f>
        <v>162</v>
      </c>
    </row>
    <row r="8594" customFormat="false" ht="15" hidden="false" customHeight="false" outlineLevel="0" collapsed="false">
      <c r="B8594" s="130" t="n">
        <v>2027</v>
      </c>
      <c r="C8594" s="131" t="s">
        <v>253</v>
      </c>
      <c r="D8594" s="132" t="n">
        <v>46716</v>
      </c>
      <c r="E8594" s="131" t="s">
        <v>49</v>
      </c>
      <c r="F8594" s="133" t="s">
        <v>11</v>
      </c>
      <c r="G8594" s="134" t="n">
        <f aca="false">LEN('Saisie programme'!$G$307)+SUMIFS('Vols additionnels'!$E$7:$E$66,'Vols additionnels'!$C$7:$C$66,$E8594,'Vols additionnels'!$D$7:$D$66,$F8594,'Vols additionnels'!$B$7:$B$66,$D8594)</f>
        <v>0</v>
      </c>
      <c r="H8594" s="135" t="n">
        <f aca="false">$G8594*'Analyse capacite'!$F$7</f>
        <v>0</v>
      </c>
      <c r="I8594" s="135" t="n">
        <f aca="false">$G8594*'Analyse capacite'!$C$7</f>
        <v>0</v>
      </c>
      <c r="J8594" s="135" t="n">
        <f aca="false">$G8594*'Analyse capacite'!$D$7</f>
        <v>0</v>
      </c>
      <c r="K8594" s="135" t="n">
        <f aca="false">$G8594*'Analyse capacite'!$E$7</f>
        <v>0</v>
      </c>
    </row>
    <row r="8595" customFormat="false" ht="15" hidden="false" customHeight="false" outlineLevel="0" collapsed="false">
      <c r="B8595" s="130" t="n">
        <v>2027</v>
      </c>
      <c r="C8595" s="131" t="s">
        <v>253</v>
      </c>
      <c r="D8595" s="132" t="n">
        <v>46716</v>
      </c>
      <c r="E8595" s="131" t="s">
        <v>49</v>
      </c>
      <c r="F8595" s="133" t="s">
        <v>19</v>
      </c>
      <c r="G8595" s="134" t="n">
        <f aca="false">LEN('Saisie programme'!$G$308)+SUMIFS('Vols additionnels'!$E$7:$E$66,'Vols additionnels'!$C$7:$C$66,$E8595,'Vols additionnels'!$D$7:$D$66,$F8595,'Vols additionnels'!$B$7:$B$66,$D8595)</f>
        <v>0</v>
      </c>
      <c r="H8595" s="135" t="n">
        <f aca="false">$G8595*'Analyse capacite'!$F$8</f>
        <v>0</v>
      </c>
      <c r="I8595" s="135" t="n">
        <f aca="false">$G8595*'Analyse capacite'!$C$8</f>
        <v>0</v>
      </c>
      <c r="J8595" s="135" t="n">
        <f aca="false">$G8595*'Analyse capacite'!$D$8</f>
        <v>0</v>
      </c>
      <c r="K8595" s="135" t="n">
        <f aca="false">$G8595*'Analyse capacite'!$E$8</f>
        <v>0</v>
      </c>
    </row>
    <row r="8596" customFormat="false" ht="15" hidden="false" customHeight="false" outlineLevel="0" collapsed="false">
      <c r="B8596" s="130" t="n">
        <v>2027</v>
      </c>
      <c r="C8596" s="131" t="s">
        <v>253</v>
      </c>
      <c r="D8596" s="132" t="n">
        <v>46716</v>
      </c>
      <c r="E8596" s="131" t="s">
        <v>49</v>
      </c>
      <c r="F8596" s="133" t="s">
        <v>24</v>
      </c>
      <c r="G8596" s="134" t="n">
        <f aca="false">LEN('Saisie programme'!$G$309)+SUMIFS('Vols additionnels'!$E$7:$E$66,'Vols additionnels'!$C$7:$C$66,$E8596,'Vols additionnels'!$D$7:$D$66,$F8596,'Vols additionnels'!$B$7:$B$66,$D8596)</f>
        <v>0</v>
      </c>
      <c r="H8596" s="135" t="n">
        <f aca="false">$G8596*'Analyse capacite'!$F$9</f>
        <v>0</v>
      </c>
      <c r="I8596" s="135" t="n">
        <f aca="false">$G8596*'Analyse capacite'!$C$9</f>
        <v>0</v>
      </c>
      <c r="J8596" s="135" t="n">
        <f aca="false">$G8596*'Analyse capacite'!$D$9</f>
        <v>0</v>
      </c>
      <c r="K8596" s="135" t="n">
        <f aca="false">$G8596*'Analyse capacite'!$E$9</f>
        <v>0</v>
      </c>
    </row>
    <row r="8597" customFormat="false" ht="15" hidden="false" customHeight="false" outlineLevel="0" collapsed="false">
      <c r="B8597" s="130" t="n">
        <v>2027</v>
      </c>
      <c r="C8597" s="131" t="s">
        <v>253</v>
      </c>
      <c r="D8597" s="132" t="n">
        <v>46716</v>
      </c>
      <c r="E8597" s="131" t="s">
        <v>53</v>
      </c>
      <c r="F8597" s="133" t="s">
        <v>11</v>
      </c>
      <c r="G8597" s="134" t="n">
        <f aca="false">LEN('Saisie programme'!$G$310)+SUMIFS('Vols additionnels'!$E$7:$E$66,'Vols additionnels'!$C$7:$C$66,$E8597,'Vols additionnels'!$D$7:$D$66,$F8597,'Vols additionnels'!$B$7:$B$66,$D8597)</f>
        <v>0</v>
      </c>
      <c r="H8597" s="135" t="n">
        <f aca="false">$G8597*'Analyse capacite'!$F$7</f>
        <v>0</v>
      </c>
      <c r="I8597" s="135" t="n">
        <f aca="false">$G8597*'Analyse capacite'!$C$7</f>
        <v>0</v>
      </c>
      <c r="J8597" s="135" t="n">
        <f aca="false">$G8597*'Analyse capacite'!$D$7</f>
        <v>0</v>
      </c>
      <c r="K8597" s="135" t="n">
        <f aca="false">$G8597*'Analyse capacite'!$E$7</f>
        <v>0</v>
      </c>
    </row>
    <row r="8598" customFormat="false" ht="15" hidden="false" customHeight="false" outlineLevel="0" collapsed="false">
      <c r="B8598" s="130" t="n">
        <v>2027</v>
      </c>
      <c r="C8598" s="131" t="s">
        <v>253</v>
      </c>
      <c r="D8598" s="132" t="n">
        <v>46716</v>
      </c>
      <c r="E8598" s="131" t="s">
        <v>53</v>
      </c>
      <c r="F8598" s="133" t="s">
        <v>19</v>
      </c>
      <c r="G8598" s="134" t="n">
        <f aca="false">LEN('Saisie programme'!$G$311)+SUMIFS('Vols additionnels'!$E$7:$E$66,'Vols additionnels'!$C$7:$C$66,$E8598,'Vols additionnels'!$D$7:$D$66,$F8598,'Vols additionnels'!$B$7:$B$66,$D8598)</f>
        <v>1</v>
      </c>
      <c r="H8598" s="135" t="n">
        <f aca="false">$G8598*'Analyse capacite'!$F$8</f>
        <v>262</v>
      </c>
      <c r="I8598" s="135" t="n">
        <f aca="false">$G8598*'Analyse capacite'!$C$8</f>
        <v>18</v>
      </c>
      <c r="J8598" s="135" t="n">
        <f aca="false">$G8598*'Analyse capacite'!$D$8</f>
        <v>0</v>
      </c>
      <c r="K8598" s="135" t="n">
        <f aca="false">$G8598*'Analyse capacite'!$E$8</f>
        <v>244</v>
      </c>
    </row>
    <row r="8599" customFormat="false" ht="15" hidden="false" customHeight="false" outlineLevel="0" collapsed="false">
      <c r="B8599" s="130" t="n">
        <v>2027</v>
      </c>
      <c r="C8599" s="131" t="s">
        <v>253</v>
      </c>
      <c r="D8599" s="132" t="n">
        <v>46716</v>
      </c>
      <c r="E8599" s="131" t="s">
        <v>53</v>
      </c>
      <c r="F8599" s="133" t="s">
        <v>24</v>
      </c>
      <c r="G8599" s="134" t="n">
        <f aca="false">LEN('Saisie programme'!$G$312)+SUMIFS('Vols additionnels'!$E$7:$E$66,'Vols additionnels'!$C$7:$C$66,$E8599,'Vols additionnels'!$D$7:$D$66,$F8599,'Vols additionnels'!$B$7:$B$66,$D8599)</f>
        <v>0</v>
      </c>
      <c r="H8599" s="135" t="n">
        <f aca="false">$G8599*'Analyse capacite'!$F$9</f>
        <v>0</v>
      </c>
      <c r="I8599" s="135" t="n">
        <f aca="false">$G8599*'Analyse capacite'!$C$9</f>
        <v>0</v>
      </c>
      <c r="J8599" s="135" t="n">
        <f aca="false">$G8599*'Analyse capacite'!$D$9</f>
        <v>0</v>
      </c>
      <c r="K8599" s="135" t="n">
        <f aca="false">$G8599*'Analyse capacite'!$E$9</f>
        <v>0</v>
      </c>
    </row>
    <row r="8600" customFormat="false" ht="15" hidden="false" customHeight="false" outlineLevel="0" collapsed="false">
      <c r="B8600" s="130" t="n">
        <v>2027</v>
      </c>
      <c r="C8600" s="131" t="s">
        <v>253</v>
      </c>
      <c r="D8600" s="132" t="n">
        <v>46716</v>
      </c>
      <c r="E8600" s="131" t="s">
        <v>56</v>
      </c>
      <c r="F8600" s="133" t="s">
        <v>11</v>
      </c>
      <c r="G8600" s="134" t="n">
        <f aca="false">LEN('Saisie programme'!$G$313)+SUMIFS('Vols additionnels'!$E$7:$E$66,'Vols additionnels'!$C$7:$C$66,$E8600,'Vols additionnels'!$D$7:$D$66,$F8600,'Vols additionnels'!$B$7:$B$66,$D8600)</f>
        <v>0</v>
      </c>
      <c r="H8600" s="135" t="n">
        <f aca="false">$G8600*'Analyse capacite'!$F$7</f>
        <v>0</v>
      </c>
      <c r="I8600" s="135" t="n">
        <f aca="false">$G8600*'Analyse capacite'!$C$7</f>
        <v>0</v>
      </c>
      <c r="J8600" s="135" t="n">
        <f aca="false">$G8600*'Analyse capacite'!$D$7</f>
        <v>0</v>
      </c>
      <c r="K8600" s="135" t="n">
        <f aca="false">$G8600*'Analyse capacite'!$E$7</f>
        <v>0</v>
      </c>
    </row>
    <row r="8601" customFormat="false" ht="15" hidden="false" customHeight="false" outlineLevel="0" collapsed="false">
      <c r="B8601" s="130" t="n">
        <v>2027</v>
      </c>
      <c r="C8601" s="131" t="s">
        <v>253</v>
      </c>
      <c r="D8601" s="132" t="n">
        <v>46716</v>
      </c>
      <c r="E8601" s="131" t="s">
        <v>56</v>
      </c>
      <c r="F8601" s="133" t="s">
        <v>19</v>
      </c>
      <c r="G8601" s="134" t="n">
        <f aca="false">LEN('Saisie programme'!$G$314)+SUMIFS('Vols additionnels'!$E$7:$E$66,'Vols additionnels'!$C$7:$C$66,$E8601,'Vols additionnels'!$D$7:$D$66,$F8601,'Vols additionnels'!$B$7:$B$66,$D8601)</f>
        <v>0</v>
      </c>
      <c r="H8601" s="135" t="n">
        <f aca="false">$G8601*'Analyse capacite'!$F$8</f>
        <v>0</v>
      </c>
      <c r="I8601" s="135" t="n">
        <f aca="false">$G8601*'Analyse capacite'!$C$8</f>
        <v>0</v>
      </c>
      <c r="J8601" s="135" t="n">
        <f aca="false">$G8601*'Analyse capacite'!$D$8</f>
        <v>0</v>
      </c>
      <c r="K8601" s="135" t="n">
        <f aca="false">$G8601*'Analyse capacite'!$E$8</f>
        <v>0</v>
      </c>
    </row>
    <row r="8602" customFormat="false" ht="15" hidden="false" customHeight="false" outlineLevel="0" collapsed="false">
      <c r="B8602" s="130" t="n">
        <v>2027</v>
      </c>
      <c r="C8602" s="131" t="s">
        <v>253</v>
      </c>
      <c r="D8602" s="132" t="n">
        <v>46716</v>
      </c>
      <c r="E8602" s="131" t="s">
        <v>56</v>
      </c>
      <c r="F8602" s="133" t="s">
        <v>24</v>
      </c>
      <c r="G8602" s="134" t="n">
        <f aca="false">LEN('Saisie programme'!$G$315)+SUMIFS('Vols additionnels'!$E$7:$E$66,'Vols additionnels'!$C$7:$C$66,$E8602,'Vols additionnels'!$D$7:$D$66,$F8602,'Vols additionnels'!$B$7:$B$66,$D8602)</f>
        <v>0</v>
      </c>
      <c r="H8602" s="135" t="n">
        <f aca="false">$G8602*'Analyse capacite'!$F$9</f>
        <v>0</v>
      </c>
      <c r="I8602" s="135" t="n">
        <f aca="false">$G8602*'Analyse capacite'!$C$9</f>
        <v>0</v>
      </c>
      <c r="J8602" s="135" t="n">
        <f aca="false">$G8602*'Analyse capacite'!$D$9</f>
        <v>0</v>
      </c>
      <c r="K8602" s="135" t="n">
        <f aca="false">$G8602*'Analyse capacite'!$E$9</f>
        <v>0</v>
      </c>
    </row>
    <row r="8603" customFormat="false" ht="15" hidden="false" customHeight="false" outlineLevel="0" collapsed="false">
      <c r="B8603" s="130" t="n">
        <v>2027</v>
      </c>
      <c r="C8603" s="131" t="s">
        <v>253</v>
      </c>
      <c r="D8603" s="132" t="n">
        <v>46716</v>
      </c>
      <c r="E8603" s="131" t="s">
        <v>59</v>
      </c>
      <c r="F8603" s="133" t="s">
        <v>11</v>
      </c>
      <c r="G8603" s="134" t="n">
        <f aca="false">LEN('Saisie programme'!$G$316)+SUMIFS('Vols additionnels'!$E$7:$E$66,'Vols additionnels'!$C$7:$C$66,$E8603,'Vols additionnels'!$D$7:$D$66,$F8603,'Vols additionnels'!$B$7:$B$66,$D8603)</f>
        <v>0</v>
      </c>
      <c r="H8603" s="135" t="n">
        <f aca="false">$G8603*'Analyse capacite'!$F$7</f>
        <v>0</v>
      </c>
      <c r="I8603" s="135" t="n">
        <f aca="false">$G8603*'Analyse capacite'!$C$7</f>
        <v>0</v>
      </c>
      <c r="J8603" s="135" t="n">
        <f aca="false">$G8603*'Analyse capacite'!$D$7</f>
        <v>0</v>
      </c>
      <c r="K8603" s="135" t="n">
        <f aca="false">$G8603*'Analyse capacite'!$E$7</f>
        <v>0</v>
      </c>
    </row>
    <row r="8604" customFormat="false" ht="15" hidden="false" customHeight="false" outlineLevel="0" collapsed="false">
      <c r="B8604" s="130" t="n">
        <v>2027</v>
      </c>
      <c r="C8604" s="131" t="s">
        <v>253</v>
      </c>
      <c r="D8604" s="132" t="n">
        <v>46716</v>
      </c>
      <c r="E8604" s="131" t="s">
        <v>59</v>
      </c>
      <c r="F8604" s="133" t="s">
        <v>19</v>
      </c>
      <c r="G8604" s="134" t="n">
        <f aca="false">LEN('Saisie programme'!$G$317)+SUMIFS('Vols additionnels'!$E$7:$E$66,'Vols additionnels'!$C$7:$C$66,$E8604,'Vols additionnels'!$D$7:$D$66,$F8604,'Vols additionnels'!$B$7:$B$66,$D8604)</f>
        <v>0</v>
      </c>
      <c r="H8604" s="135" t="n">
        <f aca="false">$G8604*'Analyse capacite'!$F$8</f>
        <v>0</v>
      </c>
      <c r="I8604" s="135" t="n">
        <f aca="false">$G8604*'Analyse capacite'!$C$8</f>
        <v>0</v>
      </c>
      <c r="J8604" s="135" t="n">
        <f aca="false">$G8604*'Analyse capacite'!$D$8</f>
        <v>0</v>
      </c>
      <c r="K8604" s="135" t="n">
        <f aca="false">$G8604*'Analyse capacite'!$E$8</f>
        <v>0</v>
      </c>
    </row>
    <row r="8605" customFormat="false" ht="15" hidden="false" customHeight="false" outlineLevel="0" collapsed="false">
      <c r="B8605" s="130" t="n">
        <v>2027</v>
      </c>
      <c r="C8605" s="131" t="s">
        <v>253</v>
      </c>
      <c r="D8605" s="132" t="n">
        <v>46716</v>
      </c>
      <c r="E8605" s="131" t="s">
        <v>59</v>
      </c>
      <c r="F8605" s="133" t="s">
        <v>24</v>
      </c>
      <c r="G8605" s="134" t="n">
        <f aca="false">LEN('Saisie programme'!$G$318)+SUMIFS('Vols additionnels'!$E$7:$E$66,'Vols additionnels'!$C$7:$C$66,$E8605,'Vols additionnels'!$D$7:$D$66,$F8605,'Vols additionnels'!$B$7:$B$66,$D8605)</f>
        <v>2</v>
      </c>
      <c r="H8605" s="135" t="n">
        <f aca="false">$G8605*'Analyse capacite'!$F$9</f>
        <v>348</v>
      </c>
      <c r="I8605" s="135" t="n">
        <f aca="false">$G8605*'Analyse capacite'!$C$9</f>
        <v>0</v>
      </c>
      <c r="J8605" s="135" t="n">
        <f aca="false">$G8605*'Analyse capacite'!$D$9</f>
        <v>24</v>
      </c>
      <c r="K8605" s="135" t="n">
        <f aca="false">$G8605*'Analyse capacite'!$E$9</f>
        <v>324</v>
      </c>
    </row>
    <row r="8606" customFormat="false" ht="15" hidden="false" customHeight="false" outlineLevel="0" collapsed="false">
      <c r="B8606" s="130" t="n">
        <v>2027</v>
      </c>
      <c r="C8606" s="131" t="s">
        <v>253</v>
      </c>
      <c r="D8606" s="132" t="n">
        <v>46716</v>
      </c>
      <c r="E8606" s="131" t="s">
        <v>62</v>
      </c>
      <c r="F8606" s="133" t="s">
        <v>11</v>
      </c>
      <c r="G8606" s="134" t="n">
        <f aca="false">LEN('Saisie programme'!$G$319)+SUMIFS('Vols additionnels'!$E$7:$E$66,'Vols additionnels'!$C$7:$C$66,$E8606,'Vols additionnels'!$D$7:$D$66,$F8606,'Vols additionnels'!$B$7:$B$66,$D8606)</f>
        <v>0</v>
      </c>
      <c r="H8606" s="135" t="n">
        <f aca="false">$G8606*'Analyse capacite'!$F$7</f>
        <v>0</v>
      </c>
      <c r="I8606" s="135" t="n">
        <f aca="false">$G8606*'Analyse capacite'!$C$7</f>
        <v>0</v>
      </c>
      <c r="J8606" s="135" t="n">
        <f aca="false">$G8606*'Analyse capacite'!$D$7</f>
        <v>0</v>
      </c>
      <c r="K8606" s="135" t="n">
        <f aca="false">$G8606*'Analyse capacite'!$E$7</f>
        <v>0</v>
      </c>
    </row>
    <row r="8607" customFormat="false" ht="15" hidden="false" customHeight="false" outlineLevel="0" collapsed="false">
      <c r="B8607" s="130" t="n">
        <v>2027</v>
      </c>
      <c r="C8607" s="131" t="s">
        <v>253</v>
      </c>
      <c r="D8607" s="132" t="n">
        <v>46716</v>
      </c>
      <c r="E8607" s="131" t="s">
        <v>62</v>
      </c>
      <c r="F8607" s="133" t="s">
        <v>19</v>
      </c>
      <c r="G8607" s="134" t="n">
        <f aca="false">LEN('Saisie programme'!$G$320)+SUMIFS('Vols additionnels'!$E$7:$E$66,'Vols additionnels'!$C$7:$C$66,$E8607,'Vols additionnels'!$D$7:$D$66,$F8607,'Vols additionnels'!$B$7:$B$66,$D8607)</f>
        <v>0</v>
      </c>
      <c r="H8607" s="135" t="n">
        <f aca="false">$G8607*'Analyse capacite'!$F$8</f>
        <v>0</v>
      </c>
      <c r="I8607" s="135" t="n">
        <f aca="false">$G8607*'Analyse capacite'!$C$8</f>
        <v>0</v>
      </c>
      <c r="J8607" s="135" t="n">
        <f aca="false">$G8607*'Analyse capacite'!$D$8</f>
        <v>0</v>
      </c>
      <c r="K8607" s="135" t="n">
        <f aca="false">$G8607*'Analyse capacite'!$E$8</f>
        <v>0</v>
      </c>
    </row>
    <row r="8608" customFormat="false" ht="15" hidden="false" customHeight="false" outlineLevel="0" collapsed="false">
      <c r="B8608" s="130" t="n">
        <v>2027</v>
      </c>
      <c r="C8608" s="131" t="s">
        <v>253</v>
      </c>
      <c r="D8608" s="132" t="n">
        <v>46716</v>
      </c>
      <c r="E8608" s="131" t="s">
        <v>62</v>
      </c>
      <c r="F8608" s="133" t="s">
        <v>24</v>
      </c>
      <c r="G8608" s="134" t="n">
        <f aca="false">LEN('Saisie programme'!$G$321)+SUMIFS('Vols additionnels'!$E$7:$E$66,'Vols additionnels'!$C$7:$C$66,$E8608,'Vols additionnels'!$D$7:$D$66,$F8608,'Vols additionnels'!$B$7:$B$66,$D8608)</f>
        <v>0</v>
      </c>
      <c r="H8608" s="135" t="n">
        <f aca="false">$G8608*'Analyse capacite'!$F$9</f>
        <v>0</v>
      </c>
      <c r="I8608" s="135" t="n">
        <f aca="false">$G8608*'Analyse capacite'!$C$9</f>
        <v>0</v>
      </c>
      <c r="J8608" s="135" t="n">
        <f aca="false">$G8608*'Analyse capacite'!$D$9</f>
        <v>0</v>
      </c>
      <c r="K8608" s="135" t="n">
        <f aca="false">$G8608*'Analyse capacite'!$E$9</f>
        <v>0</v>
      </c>
    </row>
    <row r="8609" customFormat="false" ht="15" hidden="false" customHeight="false" outlineLevel="0" collapsed="false">
      <c r="B8609" s="130" t="n">
        <v>2027</v>
      </c>
      <c r="C8609" s="131" t="s">
        <v>253</v>
      </c>
      <c r="D8609" s="132" t="n">
        <v>46717</v>
      </c>
      <c r="E8609" s="131" t="s">
        <v>12</v>
      </c>
      <c r="F8609" s="133" t="s">
        <v>11</v>
      </c>
      <c r="G8609" s="134" t="n">
        <f aca="false">LEN('Saisie programme'!$H$286)+SUMIFS('Vols additionnels'!$E$7:$E$66,'Vols additionnels'!$C$7:$C$66,$E8609,'Vols additionnels'!$D$7:$D$66,$F8609,'Vols additionnels'!$B$7:$B$66,$D8609)</f>
        <v>1</v>
      </c>
      <c r="H8609" s="135" t="n">
        <f aca="false">$G8609*'Analyse capacite'!$F$7</f>
        <v>438</v>
      </c>
      <c r="I8609" s="135" t="n">
        <f aca="false">$G8609*'Analyse capacite'!$C$7</f>
        <v>14</v>
      </c>
      <c r="J8609" s="135" t="n">
        <f aca="false">$G8609*'Analyse capacite'!$D$7</f>
        <v>40</v>
      </c>
      <c r="K8609" s="135" t="n">
        <f aca="false">$G8609*'Analyse capacite'!$E$7</f>
        <v>384</v>
      </c>
    </row>
    <row r="8610" customFormat="false" ht="15" hidden="false" customHeight="false" outlineLevel="0" collapsed="false">
      <c r="B8610" s="130" t="n">
        <v>2027</v>
      </c>
      <c r="C8610" s="131" t="s">
        <v>253</v>
      </c>
      <c r="D8610" s="132" t="n">
        <v>46717</v>
      </c>
      <c r="E8610" s="131" t="s">
        <v>12</v>
      </c>
      <c r="F8610" s="133" t="s">
        <v>19</v>
      </c>
      <c r="G8610" s="134" t="n">
        <f aca="false">LEN('Saisie programme'!$H$287)+SUMIFS('Vols additionnels'!$E$7:$E$66,'Vols additionnels'!$C$7:$C$66,$E8610,'Vols additionnels'!$D$7:$D$66,$F8610,'Vols additionnels'!$B$7:$B$66,$D8610)</f>
        <v>1</v>
      </c>
      <c r="H8610" s="135" t="n">
        <f aca="false">$G8610*'Analyse capacite'!$F$8</f>
        <v>262</v>
      </c>
      <c r="I8610" s="135" t="n">
        <f aca="false">$G8610*'Analyse capacite'!$C$8</f>
        <v>18</v>
      </c>
      <c r="J8610" s="135" t="n">
        <f aca="false">$G8610*'Analyse capacite'!$D$8</f>
        <v>0</v>
      </c>
      <c r="K8610" s="135" t="n">
        <f aca="false">$G8610*'Analyse capacite'!$E$8</f>
        <v>244</v>
      </c>
    </row>
    <row r="8611" customFormat="false" ht="15" hidden="false" customHeight="false" outlineLevel="0" collapsed="false">
      <c r="B8611" s="130" t="n">
        <v>2027</v>
      </c>
      <c r="C8611" s="131" t="s">
        <v>253</v>
      </c>
      <c r="D8611" s="132" t="n">
        <v>46717</v>
      </c>
      <c r="E8611" s="131" t="s">
        <v>12</v>
      </c>
      <c r="F8611" s="133" t="s">
        <v>24</v>
      </c>
      <c r="G8611" s="134" t="n">
        <f aca="false">LEN('Saisie programme'!$H$288)+SUMIFS('Vols additionnels'!$E$7:$E$66,'Vols additionnels'!$C$7:$C$66,$E8611,'Vols additionnels'!$D$7:$D$66,$F8611,'Vols additionnels'!$B$7:$B$66,$D8611)</f>
        <v>0</v>
      </c>
      <c r="H8611" s="135" t="n">
        <f aca="false">$G8611*'Analyse capacite'!$F$9</f>
        <v>0</v>
      </c>
      <c r="I8611" s="135" t="n">
        <f aca="false">$G8611*'Analyse capacite'!$C$9</f>
        <v>0</v>
      </c>
      <c r="J8611" s="135" t="n">
        <f aca="false">$G8611*'Analyse capacite'!$D$9</f>
        <v>0</v>
      </c>
      <c r="K8611" s="135" t="n">
        <f aca="false">$G8611*'Analyse capacite'!$E$9</f>
        <v>0</v>
      </c>
    </row>
    <row r="8612" customFormat="false" ht="15" hidden="false" customHeight="false" outlineLevel="0" collapsed="false">
      <c r="B8612" s="130" t="n">
        <v>2027</v>
      </c>
      <c r="C8612" s="131" t="s">
        <v>253</v>
      </c>
      <c r="D8612" s="132" t="n">
        <v>46717</v>
      </c>
      <c r="E8612" s="131" t="s">
        <v>20</v>
      </c>
      <c r="F8612" s="133" t="s">
        <v>11</v>
      </c>
      <c r="G8612" s="134" t="n">
        <f aca="false">LEN('Saisie programme'!$H$289)+SUMIFS('Vols additionnels'!$E$7:$E$66,'Vols additionnels'!$C$7:$C$66,$E8612,'Vols additionnels'!$D$7:$D$66,$F8612,'Vols additionnels'!$B$7:$B$66,$D8612)</f>
        <v>0</v>
      </c>
      <c r="H8612" s="135" t="n">
        <f aca="false">$G8612*'Analyse capacite'!$F$7</f>
        <v>0</v>
      </c>
      <c r="I8612" s="135" t="n">
        <f aca="false">$G8612*'Analyse capacite'!$C$7</f>
        <v>0</v>
      </c>
      <c r="J8612" s="135" t="n">
        <f aca="false">$G8612*'Analyse capacite'!$D$7</f>
        <v>0</v>
      </c>
      <c r="K8612" s="135" t="n">
        <f aca="false">$G8612*'Analyse capacite'!$E$7</f>
        <v>0</v>
      </c>
    </row>
    <row r="8613" customFormat="false" ht="15" hidden="false" customHeight="false" outlineLevel="0" collapsed="false">
      <c r="B8613" s="130" t="n">
        <v>2027</v>
      </c>
      <c r="C8613" s="131" t="s">
        <v>253</v>
      </c>
      <c r="D8613" s="132" t="n">
        <v>46717</v>
      </c>
      <c r="E8613" s="131" t="s">
        <v>20</v>
      </c>
      <c r="F8613" s="133" t="s">
        <v>19</v>
      </c>
      <c r="G8613" s="134" t="n">
        <f aca="false">LEN('Saisie programme'!$H$290)+SUMIFS('Vols additionnels'!$E$7:$E$66,'Vols additionnels'!$C$7:$C$66,$E8613,'Vols additionnels'!$D$7:$D$66,$F8613,'Vols additionnels'!$B$7:$B$66,$D8613)</f>
        <v>1</v>
      </c>
      <c r="H8613" s="135" t="n">
        <f aca="false">$G8613*'Analyse capacite'!$F$8</f>
        <v>262</v>
      </c>
      <c r="I8613" s="135" t="n">
        <f aca="false">$G8613*'Analyse capacite'!$C$8</f>
        <v>18</v>
      </c>
      <c r="J8613" s="135" t="n">
        <f aca="false">$G8613*'Analyse capacite'!$D$8</f>
        <v>0</v>
      </c>
      <c r="K8613" s="135" t="n">
        <f aca="false">$G8613*'Analyse capacite'!$E$8</f>
        <v>244</v>
      </c>
    </row>
    <row r="8614" customFormat="false" ht="15" hidden="false" customHeight="false" outlineLevel="0" collapsed="false">
      <c r="B8614" s="130" t="n">
        <v>2027</v>
      </c>
      <c r="C8614" s="131" t="s">
        <v>253</v>
      </c>
      <c r="D8614" s="132" t="n">
        <v>46717</v>
      </c>
      <c r="E8614" s="131" t="s">
        <v>20</v>
      </c>
      <c r="F8614" s="133" t="s">
        <v>24</v>
      </c>
      <c r="G8614" s="134" t="n">
        <f aca="false">LEN('Saisie programme'!$H$291)+SUMIFS('Vols additionnels'!$E$7:$E$66,'Vols additionnels'!$C$7:$C$66,$E8614,'Vols additionnels'!$D$7:$D$66,$F8614,'Vols additionnels'!$B$7:$B$66,$D8614)</f>
        <v>0</v>
      </c>
      <c r="H8614" s="135" t="n">
        <f aca="false">$G8614*'Analyse capacite'!$F$9</f>
        <v>0</v>
      </c>
      <c r="I8614" s="135" t="n">
        <f aca="false">$G8614*'Analyse capacite'!$C$9</f>
        <v>0</v>
      </c>
      <c r="J8614" s="135" t="n">
        <f aca="false">$G8614*'Analyse capacite'!$D$9</f>
        <v>0</v>
      </c>
      <c r="K8614" s="135" t="n">
        <f aca="false">$G8614*'Analyse capacite'!$E$9</f>
        <v>0</v>
      </c>
    </row>
    <row r="8615" customFormat="false" ht="15" hidden="false" customHeight="false" outlineLevel="0" collapsed="false">
      <c r="B8615" s="130" t="n">
        <v>2027</v>
      </c>
      <c r="C8615" s="131" t="s">
        <v>253</v>
      </c>
      <c r="D8615" s="132" t="n">
        <v>46717</v>
      </c>
      <c r="E8615" s="131" t="s">
        <v>25</v>
      </c>
      <c r="F8615" s="133" t="s">
        <v>11</v>
      </c>
      <c r="G8615" s="134" t="n">
        <f aca="false">LEN('Saisie programme'!$H$292)+SUMIFS('Vols additionnels'!$E$7:$E$66,'Vols additionnels'!$C$7:$C$66,$E8615,'Vols additionnels'!$D$7:$D$66,$F8615,'Vols additionnels'!$B$7:$B$66,$D8615)</f>
        <v>0</v>
      </c>
      <c r="H8615" s="135" t="n">
        <f aca="false">$G8615*'Analyse capacite'!$F$7</f>
        <v>0</v>
      </c>
      <c r="I8615" s="135" t="n">
        <f aca="false">$G8615*'Analyse capacite'!$C$7</f>
        <v>0</v>
      </c>
      <c r="J8615" s="135" t="n">
        <f aca="false">$G8615*'Analyse capacite'!$D$7</f>
        <v>0</v>
      </c>
      <c r="K8615" s="135" t="n">
        <f aca="false">$G8615*'Analyse capacite'!$E$7</f>
        <v>0</v>
      </c>
    </row>
    <row r="8616" customFormat="false" ht="15" hidden="false" customHeight="false" outlineLevel="0" collapsed="false">
      <c r="B8616" s="130" t="n">
        <v>2027</v>
      </c>
      <c r="C8616" s="131" t="s">
        <v>253</v>
      </c>
      <c r="D8616" s="132" t="n">
        <v>46717</v>
      </c>
      <c r="E8616" s="131" t="s">
        <v>25</v>
      </c>
      <c r="F8616" s="133" t="s">
        <v>19</v>
      </c>
      <c r="G8616" s="134" t="n">
        <f aca="false">LEN('Saisie programme'!$H$293)+SUMIFS('Vols additionnels'!$E$7:$E$66,'Vols additionnels'!$C$7:$C$66,$E8616,'Vols additionnels'!$D$7:$D$66,$F8616,'Vols additionnels'!$B$7:$B$66,$D8616)</f>
        <v>0</v>
      </c>
      <c r="H8616" s="135" t="n">
        <f aca="false">$G8616*'Analyse capacite'!$F$8</f>
        <v>0</v>
      </c>
      <c r="I8616" s="135" t="n">
        <f aca="false">$G8616*'Analyse capacite'!$C$8</f>
        <v>0</v>
      </c>
      <c r="J8616" s="135" t="n">
        <f aca="false">$G8616*'Analyse capacite'!$D$8</f>
        <v>0</v>
      </c>
      <c r="K8616" s="135" t="n">
        <f aca="false">$G8616*'Analyse capacite'!$E$8</f>
        <v>0</v>
      </c>
    </row>
    <row r="8617" customFormat="false" ht="15" hidden="false" customHeight="false" outlineLevel="0" collapsed="false">
      <c r="B8617" s="130" t="n">
        <v>2027</v>
      </c>
      <c r="C8617" s="131" t="s">
        <v>253</v>
      </c>
      <c r="D8617" s="132" t="n">
        <v>46717</v>
      </c>
      <c r="E8617" s="131" t="s">
        <v>25</v>
      </c>
      <c r="F8617" s="133" t="s">
        <v>24</v>
      </c>
      <c r="G8617" s="134" t="n">
        <f aca="false">LEN('Saisie programme'!$H$294)+SUMIFS('Vols additionnels'!$E$7:$E$66,'Vols additionnels'!$C$7:$C$66,$E8617,'Vols additionnels'!$D$7:$D$66,$F8617,'Vols additionnels'!$B$7:$B$66,$D8617)</f>
        <v>0</v>
      </c>
      <c r="H8617" s="135" t="n">
        <f aca="false">$G8617*'Analyse capacite'!$F$9</f>
        <v>0</v>
      </c>
      <c r="I8617" s="135" t="n">
        <f aca="false">$G8617*'Analyse capacite'!$C$9</f>
        <v>0</v>
      </c>
      <c r="J8617" s="135" t="n">
        <f aca="false">$G8617*'Analyse capacite'!$D$9</f>
        <v>0</v>
      </c>
      <c r="K8617" s="135" t="n">
        <f aca="false">$G8617*'Analyse capacite'!$E$9</f>
        <v>0</v>
      </c>
    </row>
    <row r="8618" customFormat="false" ht="15" hidden="false" customHeight="false" outlineLevel="0" collapsed="false">
      <c r="B8618" s="130" t="n">
        <v>2027</v>
      </c>
      <c r="C8618" s="131" t="s">
        <v>253</v>
      </c>
      <c r="D8618" s="132" t="n">
        <v>46717</v>
      </c>
      <c r="E8618" s="131" t="s">
        <v>36</v>
      </c>
      <c r="F8618" s="133" t="s">
        <v>11</v>
      </c>
      <c r="G8618" s="134" t="n">
        <f aca="false">LEN('Saisie programme'!$H$295)+SUMIFS('Vols additionnels'!$E$7:$E$66,'Vols additionnels'!$C$7:$C$66,$E8618,'Vols additionnels'!$D$7:$D$66,$F8618,'Vols additionnels'!$B$7:$B$66,$D8618)</f>
        <v>0</v>
      </c>
      <c r="H8618" s="135" t="n">
        <f aca="false">$G8618*'Analyse capacite'!$F$7</f>
        <v>0</v>
      </c>
      <c r="I8618" s="135" t="n">
        <f aca="false">$G8618*'Analyse capacite'!$C$7</f>
        <v>0</v>
      </c>
      <c r="J8618" s="135" t="n">
        <f aca="false">$G8618*'Analyse capacite'!$D$7</f>
        <v>0</v>
      </c>
      <c r="K8618" s="135" t="n">
        <f aca="false">$G8618*'Analyse capacite'!$E$7</f>
        <v>0</v>
      </c>
    </row>
    <row r="8619" customFormat="false" ht="15" hidden="false" customHeight="false" outlineLevel="0" collapsed="false">
      <c r="B8619" s="130" t="n">
        <v>2027</v>
      </c>
      <c r="C8619" s="131" t="s">
        <v>253</v>
      </c>
      <c r="D8619" s="132" t="n">
        <v>46717</v>
      </c>
      <c r="E8619" s="131" t="s">
        <v>36</v>
      </c>
      <c r="F8619" s="133" t="s">
        <v>19</v>
      </c>
      <c r="G8619" s="134" t="n">
        <f aca="false">LEN('Saisie programme'!$H$296)+SUMIFS('Vols additionnels'!$E$7:$E$66,'Vols additionnels'!$C$7:$C$66,$E8619,'Vols additionnels'!$D$7:$D$66,$F8619,'Vols additionnels'!$B$7:$B$66,$D8619)</f>
        <v>0</v>
      </c>
      <c r="H8619" s="135" t="n">
        <f aca="false">$G8619*'Analyse capacite'!$F$8</f>
        <v>0</v>
      </c>
      <c r="I8619" s="135" t="n">
        <f aca="false">$G8619*'Analyse capacite'!$C$8</f>
        <v>0</v>
      </c>
      <c r="J8619" s="135" t="n">
        <f aca="false">$G8619*'Analyse capacite'!$D$8</f>
        <v>0</v>
      </c>
      <c r="K8619" s="135" t="n">
        <f aca="false">$G8619*'Analyse capacite'!$E$8</f>
        <v>0</v>
      </c>
    </row>
    <row r="8620" customFormat="false" ht="15" hidden="false" customHeight="false" outlineLevel="0" collapsed="false">
      <c r="B8620" s="130" t="n">
        <v>2027</v>
      </c>
      <c r="C8620" s="131" t="s">
        <v>253</v>
      </c>
      <c r="D8620" s="132" t="n">
        <v>46717</v>
      </c>
      <c r="E8620" s="131" t="s">
        <v>36</v>
      </c>
      <c r="F8620" s="133" t="s">
        <v>24</v>
      </c>
      <c r="G8620" s="134" t="n">
        <f aca="false">LEN('Saisie programme'!$H$297)+SUMIFS('Vols additionnels'!$E$7:$E$66,'Vols additionnels'!$C$7:$C$66,$E8620,'Vols additionnels'!$D$7:$D$66,$F8620,'Vols additionnels'!$B$7:$B$66,$D8620)</f>
        <v>1</v>
      </c>
      <c r="H8620" s="135" t="n">
        <f aca="false">$G8620*'Analyse capacite'!$F$9</f>
        <v>174</v>
      </c>
      <c r="I8620" s="135" t="n">
        <f aca="false">$G8620*'Analyse capacite'!$C$9</f>
        <v>0</v>
      </c>
      <c r="J8620" s="135" t="n">
        <f aca="false">$G8620*'Analyse capacite'!$D$9</f>
        <v>12</v>
      </c>
      <c r="K8620" s="135" t="n">
        <f aca="false">$G8620*'Analyse capacite'!$E$9</f>
        <v>162</v>
      </c>
    </row>
    <row r="8621" customFormat="false" ht="15" hidden="false" customHeight="false" outlineLevel="0" collapsed="false">
      <c r="B8621" s="130" t="n">
        <v>2027</v>
      </c>
      <c r="C8621" s="131" t="s">
        <v>253</v>
      </c>
      <c r="D8621" s="132" t="n">
        <v>46717</v>
      </c>
      <c r="E8621" s="131" t="s">
        <v>40</v>
      </c>
      <c r="F8621" s="133" t="s">
        <v>11</v>
      </c>
      <c r="G8621" s="134" t="n">
        <f aca="false">LEN('Saisie programme'!$H$298)+SUMIFS('Vols additionnels'!$E$7:$E$66,'Vols additionnels'!$C$7:$C$66,$E8621,'Vols additionnels'!$D$7:$D$66,$F8621,'Vols additionnels'!$B$7:$B$66,$D8621)</f>
        <v>0</v>
      </c>
      <c r="H8621" s="135" t="n">
        <f aca="false">$G8621*'Analyse capacite'!$F$7</f>
        <v>0</v>
      </c>
      <c r="I8621" s="135" t="n">
        <f aca="false">$G8621*'Analyse capacite'!$C$7</f>
        <v>0</v>
      </c>
      <c r="J8621" s="135" t="n">
        <f aca="false">$G8621*'Analyse capacite'!$D$7</f>
        <v>0</v>
      </c>
      <c r="K8621" s="135" t="n">
        <f aca="false">$G8621*'Analyse capacite'!$E$7</f>
        <v>0</v>
      </c>
    </row>
    <row r="8622" customFormat="false" ht="15" hidden="false" customHeight="false" outlineLevel="0" collapsed="false">
      <c r="B8622" s="130" t="n">
        <v>2027</v>
      </c>
      <c r="C8622" s="131" t="s">
        <v>253</v>
      </c>
      <c r="D8622" s="132" t="n">
        <v>46717</v>
      </c>
      <c r="E8622" s="131" t="s">
        <v>40</v>
      </c>
      <c r="F8622" s="133" t="s">
        <v>19</v>
      </c>
      <c r="G8622" s="134" t="n">
        <f aca="false">LEN('Saisie programme'!$H$299)+SUMIFS('Vols additionnels'!$E$7:$E$66,'Vols additionnels'!$C$7:$C$66,$E8622,'Vols additionnels'!$D$7:$D$66,$F8622,'Vols additionnels'!$B$7:$B$66,$D8622)</f>
        <v>0</v>
      </c>
      <c r="H8622" s="135" t="n">
        <f aca="false">$G8622*'Analyse capacite'!$F$8</f>
        <v>0</v>
      </c>
      <c r="I8622" s="135" t="n">
        <f aca="false">$G8622*'Analyse capacite'!$C$8</f>
        <v>0</v>
      </c>
      <c r="J8622" s="135" t="n">
        <f aca="false">$G8622*'Analyse capacite'!$D$8</f>
        <v>0</v>
      </c>
      <c r="K8622" s="135" t="n">
        <f aca="false">$G8622*'Analyse capacite'!$E$8</f>
        <v>0</v>
      </c>
    </row>
    <row r="8623" customFormat="false" ht="15" hidden="false" customHeight="false" outlineLevel="0" collapsed="false">
      <c r="B8623" s="130" t="n">
        <v>2027</v>
      </c>
      <c r="C8623" s="131" t="s">
        <v>253</v>
      </c>
      <c r="D8623" s="132" t="n">
        <v>46717</v>
      </c>
      <c r="E8623" s="131" t="s">
        <v>40</v>
      </c>
      <c r="F8623" s="133" t="s">
        <v>24</v>
      </c>
      <c r="G8623" s="134" t="n">
        <f aca="false">LEN('Saisie programme'!$H$300)+SUMIFS('Vols additionnels'!$E$7:$E$66,'Vols additionnels'!$C$7:$C$66,$E8623,'Vols additionnels'!$D$7:$D$66,$F8623,'Vols additionnels'!$B$7:$B$66,$D8623)</f>
        <v>1</v>
      </c>
      <c r="H8623" s="135" t="n">
        <f aca="false">$G8623*'Analyse capacite'!$F$9</f>
        <v>174</v>
      </c>
      <c r="I8623" s="135" t="n">
        <f aca="false">$G8623*'Analyse capacite'!$C$9</f>
        <v>0</v>
      </c>
      <c r="J8623" s="135" t="n">
        <f aca="false">$G8623*'Analyse capacite'!$D$9</f>
        <v>12</v>
      </c>
      <c r="K8623" s="135" t="n">
        <f aca="false">$G8623*'Analyse capacite'!$E$9</f>
        <v>162</v>
      </c>
    </row>
    <row r="8624" customFormat="false" ht="15" hidden="false" customHeight="false" outlineLevel="0" collapsed="false">
      <c r="B8624" s="130" t="n">
        <v>2027</v>
      </c>
      <c r="C8624" s="131" t="s">
        <v>253</v>
      </c>
      <c r="D8624" s="132" t="n">
        <v>46717</v>
      </c>
      <c r="E8624" s="131" t="s">
        <v>14</v>
      </c>
      <c r="F8624" s="133" t="s">
        <v>11</v>
      </c>
      <c r="G8624" s="134" t="n">
        <f aca="false">LEN('Saisie programme'!$H$301)+SUMIFS('Vols additionnels'!$E$7:$E$66,'Vols additionnels'!$C$7:$C$66,$E8624,'Vols additionnels'!$D$7:$D$66,$F8624,'Vols additionnels'!$B$7:$B$66,$D8624)</f>
        <v>0</v>
      </c>
      <c r="H8624" s="135" t="n">
        <f aca="false">$G8624*'Analyse capacite'!$F$7</f>
        <v>0</v>
      </c>
      <c r="I8624" s="135" t="n">
        <f aca="false">$G8624*'Analyse capacite'!$C$7</f>
        <v>0</v>
      </c>
      <c r="J8624" s="135" t="n">
        <f aca="false">$G8624*'Analyse capacite'!$D$7</f>
        <v>0</v>
      </c>
      <c r="K8624" s="135" t="n">
        <f aca="false">$G8624*'Analyse capacite'!$E$7</f>
        <v>0</v>
      </c>
    </row>
    <row r="8625" customFormat="false" ht="15" hidden="false" customHeight="false" outlineLevel="0" collapsed="false">
      <c r="B8625" s="130" t="n">
        <v>2027</v>
      </c>
      <c r="C8625" s="131" t="s">
        <v>253</v>
      </c>
      <c r="D8625" s="132" t="n">
        <v>46717</v>
      </c>
      <c r="E8625" s="131" t="s">
        <v>14</v>
      </c>
      <c r="F8625" s="133" t="s">
        <v>19</v>
      </c>
      <c r="G8625" s="134" t="n">
        <f aca="false">LEN('Saisie programme'!$H$302)+SUMIFS('Vols additionnels'!$E$7:$E$66,'Vols additionnels'!$C$7:$C$66,$E8625,'Vols additionnels'!$D$7:$D$66,$F8625,'Vols additionnels'!$B$7:$B$66,$D8625)</f>
        <v>0</v>
      </c>
      <c r="H8625" s="135" t="n">
        <f aca="false">$G8625*'Analyse capacite'!$F$8</f>
        <v>0</v>
      </c>
      <c r="I8625" s="135" t="n">
        <f aca="false">$G8625*'Analyse capacite'!$C$8</f>
        <v>0</v>
      </c>
      <c r="J8625" s="135" t="n">
        <f aca="false">$G8625*'Analyse capacite'!$D$8</f>
        <v>0</v>
      </c>
      <c r="K8625" s="135" t="n">
        <f aca="false">$G8625*'Analyse capacite'!$E$8</f>
        <v>0</v>
      </c>
    </row>
    <row r="8626" customFormat="false" ht="15" hidden="false" customHeight="false" outlineLevel="0" collapsed="false">
      <c r="B8626" s="130" t="n">
        <v>2027</v>
      </c>
      <c r="C8626" s="131" t="s">
        <v>253</v>
      </c>
      <c r="D8626" s="132" t="n">
        <v>46717</v>
      </c>
      <c r="E8626" s="131" t="s">
        <v>14</v>
      </c>
      <c r="F8626" s="133" t="s">
        <v>24</v>
      </c>
      <c r="G8626" s="134" t="n">
        <f aca="false">LEN('Saisie programme'!$H$303)+SUMIFS('Vols additionnels'!$E$7:$E$66,'Vols additionnels'!$C$7:$C$66,$E8626,'Vols additionnels'!$D$7:$D$66,$F8626,'Vols additionnels'!$B$7:$B$66,$D8626)</f>
        <v>0</v>
      </c>
      <c r="H8626" s="135" t="n">
        <f aca="false">$G8626*'Analyse capacite'!$F$9</f>
        <v>0</v>
      </c>
      <c r="I8626" s="135" t="n">
        <f aca="false">$G8626*'Analyse capacite'!$C$9</f>
        <v>0</v>
      </c>
      <c r="J8626" s="135" t="n">
        <f aca="false">$G8626*'Analyse capacite'!$D$9</f>
        <v>0</v>
      </c>
      <c r="K8626" s="135" t="n">
        <f aca="false">$G8626*'Analyse capacite'!$E$9</f>
        <v>0</v>
      </c>
    </row>
    <row r="8627" customFormat="false" ht="15" hidden="false" customHeight="false" outlineLevel="0" collapsed="false">
      <c r="B8627" s="130" t="n">
        <v>2027</v>
      </c>
      <c r="C8627" s="131" t="s">
        <v>253</v>
      </c>
      <c r="D8627" s="132" t="n">
        <v>46717</v>
      </c>
      <c r="E8627" s="131" t="s">
        <v>46</v>
      </c>
      <c r="F8627" s="133" t="s">
        <v>11</v>
      </c>
      <c r="G8627" s="134" t="n">
        <f aca="false">LEN('Saisie programme'!$H$304)+SUMIFS('Vols additionnels'!$E$7:$E$66,'Vols additionnels'!$C$7:$C$66,$E8627,'Vols additionnels'!$D$7:$D$66,$F8627,'Vols additionnels'!$B$7:$B$66,$D8627)</f>
        <v>0</v>
      </c>
      <c r="H8627" s="135" t="n">
        <f aca="false">$G8627*'Analyse capacite'!$F$7</f>
        <v>0</v>
      </c>
      <c r="I8627" s="135" t="n">
        <f aca="false">$G8627*'Analyse capacite'!$C$7</f>
        <v>0</v>
      </c>
      <c r="J8627" s="135" t="n">
        <f aca="false">$G8627*'Analyse capacite'!$D$7</f>
        <v>0</v>
      </c>
      <c r="K8627" s="135" t="n">
        <f aca="false">$G8627*'Analyse capacite'!$E$7</f>
        <v>0</v>
      </c>
    </row>
    <row r="8628" customFormat="false" ht="15" hidden="false" customHeight="false" outlineLevel="0" collapsed="false">
      <c r="B8628" s="130" t="n">
        <v>2027</v>
      </c>
      <c r="C8628" s="131" t="s">
        <v>253</v>
      </c>
      <c r="D8628" s="132" t="n">
        <v>46717</v>
      </c>
      <c r="E8628" s="131" t="s">
        <v>46</v>
      </c>
      <c r="F8628" s="133" t="s">
        <v>19</v>
      </c>
      <c r="G8628" s="134" t="n">
        <f aca="false">LEN('Saisie programme'!$H$305)+SUMIFS('Vols additionnels'!$E$7:$E$66,'Vols additionnels'!$C$7:$C$66,$E8628,'Vols additionnels'!$D$7:$D$66,$F8628,'Vols additionnels'!$B$7:$B$66,$D8628)</f>
        <v>0</v>
      </c>
      <c r="H8628" s="135" t="n">
        <f aca="false">$G8628*'Analyse capacite'!$F$8</f>
        <v>0</v>
      </c>
      <c r="I8628" s="135" t="n">
        <f aca="false">$G8628*'Analyse capacite'!$C$8</f>
        <v>0</v>
      </c>
      <c r="J8628" s="135" t="n">
        <f aca="false">$G8628*'Analyse capacite'!$D$8</f>
        <v>0</v>
      </c>
      <c r="K8628" s="135" t="n">
        <f aca="false">$G8628*'Analyse capacite'!$E$8</f>
        <v>0</v>
      </c>
    </row>
    <row r="8629" customFormat="false" ht="15" hidden="false" customHeight="false" outlineLevel="0" collapsed="false">
      <c r="B8629" s="130" t="n">
        <v>2027</v>
      </c>
      <c r="C8629" s="131" t="s">
        <v>253</v>
      </c>
      <c r="D8629" s="132" t="n">
        <v>46717</v>
      </c>
      <c r="E8629" s="131" t="s">
        <v>46</v>
      </c>
      <c r="F8629" s="133" t="s">
        <v>24</v>
      </c>
      <c r="G8629" s="134" t="n">
        <f aca="false">LEN('Saisie programme'!$H$306)+SUMIFS('Vols additionnels'!$E$7:$E$66,'Vols additionnels'!$C$7:$C$66,$E8629,'Vols additionnels'!$D$7:$D$66,$F8629,'Vols additionnels'!$B$7:$B$66,$D8629)</f>
        <v>0</v>
      </c>
      <c r="H8629" s="135" t="n">
        <f aca="false">$G8629*'Analyse capacite'!$F$9</f>
        <v>0</v>
      </c>
      <c r="I8629" s="135" t="n">
        <f aca="false">$G8629*'Analyse capacite'!$C$9</f>
        <v>0</v>
      </c>
      <c r="J8629" s="135" t="n">
        <f aca="false">$G8629*'Analyse capacite'!$D$9</f>
        <v>0</v>
      </c>
      <c r="K8629" s="135" t="n">
        <f aca="false">$G8629*'Analyse capacite'!$E$9</f>
        <v>0</v>
      </c>
    </row>
    <row r="8630" customFormat="false" ht="15" hidden="false" customHeight="false" outlineLevel="0" collapsed="false">
      <c r="B8630" s="130" t="n">
        <v>2027</v>
      </c>
      <c r="C8630" s="131" t="s">
        <v>253</v>
      </c>
      <c r="D8630" s="132" t="n">
        <v>46717</v>
      </c>
      <c r="E8630" s="131" t="s">
        <v>49</v>
      </c>
      <c r="F8630" s="133" t="s">
        <v>11</v>
      </c>
      <c r="G8630" s="134" t="n">
        <f aca="false">LEN('Saisie programme'!$H$307)+SUMIFS('Vols additionnels'!$E$7:$E$66,'Vols additionnels'!$C$7:$C$66,$E8630,'Vols additionnels'!$D$7:$D$66,$F8630,'Vols additionnels'!$B$7:$B$66,$D8630)</f>
        <v>0</v>
      </c>
      <c r="H8630" s="135" t="n">
        <f aca="false">$G8630*'Analyse capacite'!$F$7</f>
        <v>0</v>
      </c>
      <c r="I8630" s="135" t="n">
        <f aca="false">$G8630*'Analyse capacite'!$C$7</f>
        <v>0</v>
      </c>
      <c r="J8630" s="135" t="n">
        <f aca="false">$G8630*'Analyse capacite'!$D$7</f>
        <v>0</v>
      </c>
      <c r="K8630" s="135" t="n">
        <f aca="false">$G8630*'Analyse capacite'!$E$7</f>
        <v>0</v>
      </c>
    </row>
    <row r="8631" customFormat="false" ht="15" hidden="false" customHeight="false" outlineLevel="0" collapsed="false">
      <c r="B8631" s="130" t="n">
        <v>2027</v>
      </c>
      <c r="C8631" s="131" t="s">
        <v>253</v>
      </c>
      <c r="D8631" s="132" t="n">
        <v>46717</v>
      </c>
      <c r="E8631" s="131" t="s">
        <v>49</v>
      </c>
      <c r="F8631" s="133" t="s">
        <v>19</v>
      </c>
      <c r="G8631" s="134" t="n">
        <f aca="false">LEN('Saisie programme'!$H$308)+SUMIFS('Vols additionnels'!$E$7:$E$66,'Vols additionnels'!$C$7:$C$66,$E8631,'Vols additionnels'!$D$7:$D$66,$F8631,'Vols additionnels'!$B$7:$B$66,$D8631)</f>
        <v>1</v>
      </c>
      <c r="H8631" s="135" t="n">
        <f aca="false">$G8631*'Analyse capacite'!$F$8</f>
        <v>262</v>
      </c>
      <c r="I8631" s="135" t="n">
        <f aca="false">$G8631*'Analyse capacite'!$C$8</f>
        <v>18</v>
      </c>
      <c r="J8631" s="135" t="n">
        <f aca="false">$G8631*'Analyse capacite'!$D$8</f>
        <v>0</v>
      </c>
      <c r="K8631" s="135" t="n">
        <f aca="false">$G8631*'Analyse capacite'!$E$8</f>
        <v>244</v>
      </c>
    </row>
    <row r="8632" customFormat="false" ht="15" hidden="false" customHeight="false" outlineLevel="0" collapsed="false">
      <c r="B8632" s="130" t="n">
        <v>2027</v>
      </c>
      <c r="C8632" s="131" t="s">
        <v>253</v>
      </c>
      <c r="D8632" s="132" t="n">
        <v>46717</v>
      </c>
      <c r="E8632" s="131" t="s">
        <v>49</v>
      </c>
      <c r="F8632" s="133" t="s">
        <v>24</v>
      </c>
      <c r="G8632" s="134" t="n">
        <f aca="false">LEN('Saisie programme'!$H$309)+SUMIFS('Vols additionnels'!$E$7:$E$66,'Vols additionnels'!$C$7:$C$66,$E8632,'Vols additionnels'!$D$7:$D$66,$F8632,'Vols additionnels'!$B$7:$B$66,$D8632)</f>
        <v>0</v>
      </c>
      <c r="H8632" s="135" t="n">
        <f aca="false">$G8632*'Analyse capacite'!$F$9</f>
        <v>0</v>
      </c>
      <c r="I8632" s="135" t="n">
        <f aca="false">$G8632*'Analyse capacite'!$C$9</f>
        <v>0</v>
      </c>
      <c r="J8632" s="135" t="n">
        <f aca="false">$G8632*'Analyse capacite'!$D$9</f>
        <v>0</v>
      </c>
      <c r="K8632" s="135" t="n">
        <f aca="false">$G8632*'Analyse capacite'!$E$9</f>
        <v>0</v>
      </c>
    </row>
    <row r="8633" customFormat="false" ht="15" hidden="false" customHeight="false" outlineLevel="0" collapsed="false">
      <c r="B8633" s="130" t="n">
        <v>2027</v>
      </c>
      <c r="C8633" s="131" t="s">
        <v>253</v>
      </c>
      <c r="D8633" s="132" t="n">
        <v>46717</v>
      </c>
      <c r="E8633" s="131" t="s">
        <v>53</v>
      </c>
      <c r="F8633" s="133" t="s">
        <v>11</v>
      </c>
      <c r="G8633" s="134" t="n">
        <f aca="false">LEN('Saisie programme'!$H$310)+SUMIFS('Vols additionnels'!$E$7:$E$66,'Vols additionnels'!$C$7:$C$66,$E8633,'Vols additionnels'!$D$7:$D$66,$F8633,'Vols additionnels'!$B$7:$B$66,$D8633)</f>
        <v>0</v>
      </c>
      <c r="H8633" s="135" t="n">
        <f aca="false">$G8633*'Analyse capacite'!$F$7</f>
        <v>0</v>
      </c>
      <c r="I8633" s="135" t="n">
        <f aca="false">$G8633*'Analyse capacite'!$C$7</f>
        <v>0</v>
      </c>
      <c r="J8633" s="135" t="n">
        <f aca="false">$G8633*'Analyse capacite'!$D$7</f>
        <v>0</v>
      </c>
      <c r="K8633" s="135" t="n">
        <f aca="false">$G8633*'Analyse capacite'!$E$7</f>
        <v>0</v>
      </c>
    </row>
    <row r="8634" customFormat="false" ht="15" hidden="false" customHeight="false" outlineLevel="0" collapsed="false">
      <c r="B8634" s="130" t="n">
        <v>2027</v>
      </c>
      <c r="C8634" s="131" t="s">
        <v>253</v>
      </c>
      <c r="D8634" s="132" t="n">
        <v>46717</v>
      </c>
      <c r="E8634" s="131" t="s">
        <v>53</v>
      </c>
      <c r="F8634" s="133" t="s">
        <v>19</v>
      </c>
      <c r="G8634" s="134" t="n">
        <f aca="false">LEN('Saisie programme'!$H$311)+SUMIFS('Vols additionnels'!$E$7:$E$66,'Vols additionnels'!$C$7:$C$66,$E8634,'Vols additionnels'!$D$7:$D$66,$F8634,'Vols additionnels'!$B$7:$B$66,$D8634)</f>
        <v>0</v>
      </c>
      <c r="H8634" s="135" t="n">
        <f aca="false">$G8634*'Analyse capacite'!$F$8</f>
        <v>0</v>
      </c>
      <c r="I8634" s="135" t="n">
        <f aca="false">$G8634*'Analyse capacite'!$C$8</f>
        <v>0</v>
      </c>
      <c r="J8634" s="135" t="n">
        <f aca="false">$G8634*'Analyse capacite'!$D$8</f>
        <v>0</v>
      </c>
      <c r="K8634" s="135" t="n">
        <f aca="false">$G8634*'Analyse capacite'!$E$8</f>
        <v>0</v>
      </c>
    </row>
    <row r="8635" customFormat="false" ht="15" hidden="false" customHeight="false" outlineLevel="0" collapsed="false">
      <c r="B8635" s="130" t="n">
        <v>2027</v>
      </c>
      <c r="C8635" s="131" t="s">
        <v>253</v>
      </c>
      <c r="D8635" s="132" t="n">
        <v>46717</v>
      </c>
      <c r="E8635" s="131" t="s">
        <v>53</v>
      </c>
      <c r="F8635" s="133" t="s">
        <v>24</v>
      </c>
      <c r="G8635" s="134" t="n">
        <f aca="false">LEN('Saisie programme'!$H$312)+SUMIFS('Vols additionnels'!$E$7:$E$66,'Vols additionnels'!$C$7:$C$66,$E8635,'Vols additionnels'!$D$7:$D$66,$F8635,'Vols additionnels'!$B$7:$B$66,$D8635)</f>
        <v>0</v>
      </c>
      <c r="H8635" s="135" t="n">
        <f aca="false">$G8635*'Analyse capacite'!$F$9</f>
        <v>0</v>
      </c>
      <c r="I8635" s="135" t="n">
        <f aca="false">$G8635*'Analyse capacite'!$C$9</f>
        <v>0</v>
      </c>
      <c r="J8635" s="135" t="n">
        <f aca="false">$G8635*'Analyse capacite'!$D$9</f>
        <v>0</v>
      </c>
      <c r="K8635" s="135" t="n">
        <f aca="false">$G8635*'Analyse capacite'!$E$9</f>
        <v>0</v>
      </c>
    </row>
    <row r="8636" customFormat="false" ht="15" hidden="false" customHeight="false" outlineLevel="0" collapsed="false">
      <c r="B8636" s="130" t="n">
        <v>2027</v>
      </c>
      <c r="C8636" s="131" t="s">
        <v>253</v>
      </c>
      <c r="D8636" s="132" t="n">
        <v>46717</v>
      </c>
      <c r="E8636" s="131" t="s">
        <v>56</v>
      </c>
      <c r="F8636" s="133" t="s">
        <v>11</v>
      </c>
      <c r="G8636" s="134" t="n">
        <f aca="false">LEN('Saisie programme'!$H$313)+SUMIFS('Vols additionnels'!$E$7:$E$66,'Vols additionnels'!$C$7:$C$66,$E8636,'Vols additionnels'!$D$7:$D$66,$F8636,'Vols additionnels'!$B$7:$B$66,$D8636)</f>
        <v>0</v>
      </c>
      <c r="H8636" s="135" t="n">
        <f aca="false">$G8636*'Analyse capacite'!$F$7</f>
        <v>0</v>
      </c>
      <c r="I8636" s="135" t="n">
        <f aca="false">$G8636*'Analyse capacite'!$C$7</f>
        <v>0</v>
      </c>
      <c r="J8636" s="135" t="n">
        <f aca="false">$G8636*'Analyse capacite'!$D$7</f>
        <v>0</v>
      </c>
      <c r="K8636" s="135" t="n">
        <f aca="false">$G8636*'Analyse capacite'!$E$7</f>
        <v>0</v>
      </c>
    </row>
    <row r="8637" customFormat="false" ht="15" hidden="false" customHeight="false" outlineLevel="0" collapsed="false">
      <c r="B8637" s="130" t="n">
        <v>2027</v>
      </c>
      <c r="C8637" s="131" t="s">
        <v>253</v>
      </c>
      <c r="D8637" s="132" t="n">
        <v>46717</v>
      </c>
      <c r="E8637" s="131" t="s">
        <v>56</v>
      </c>
      <c r="F8637" s="133" t="s">
        <v>19</v>
      </c>
      <c r="G8637" s="134" t="n">
        <f aca="false">LEN('Saisie programme'!$H$314)+SUMIFS('Vols additionnels'!$E$7:$E$66,'Vols additionnels'!$C$7:$C$66,$E8637,'Vols additionnels'!$D$7:$D$66,$F8637,'Vols additionnels'!$B$7:$B$66,$D8637)</f>
        <v>0</v>
      </c>
      <c r="H8637" s="135" t="n">
        <f aca="false">$G8637*'Analyse capacite'!$F$8</f>
        <v>0</v>
      </c>
      <c r="I8637" s="135" t="n">
        <f aca="false">$G8637*'Analyse capacite'!$C$8</f>
        <v>0</v>
      </c>
      <c r="J8637" s="135" t="n">
        <f aca="false">$G8637*'Analyse capacite'!$D$8</f>
        <v>0</v>
      </c>
      <c r="K8637" s="135" t="n">
        <f aca="false">$G8637*'Analyse capacite'!$E$8</f>
        <v>0</v>
      </c>
    </row>
    <row r="8638" customFormat="false" ht="15" hidden="false" customHeight="false" outlineLevel="0" collapsed="false">
      <c r="B8638" s="130" t="n">
        <v>2027</v>
      </c>
      <c r="C8638" s="131" t="s">
        <v>253</v>
      </c>
      <c r="D8638" s="132" t="n">
        <v>46717</v>
      </c>
      <c r="E8638" s="131" t="s">
        <v>56</v>
      </c>
      <c r="F8638" s="133" t="s">
        <v>24</v>
      </c>
      <c r="G8638" s="134" t="n">
        <f aca="false">LEN('Saisie programme'!$H$315)+SUMIFS('Vols additionnels'!$E$7:$E$66,'Vols additionnels'!$C$7:$C$66,$E8638,'Vols additionnels'!$D$7:$D$66,$F8638,'Vols additionnels'!$B$7:$B$66,$D8638)</f>
        <v>0</v>
      </c>
      <c r="H8638" s="135" t="n">
        <f aca="false">$G8638*'Analyse capacite'!$F$9</f>
        <v>0</v>
      </c>
      <c r="I8638" s="135" t="n">
        <f aca="false">$G8638*'Analyse capacite'!$C$9</f>
        <v>0</v>
      </c>
      <c r="J8638" s="135" t="n">
        <f aca="false">$G8638*'Analyse capacite'!$D$9</f>
        <v>0</v>
      </c>
      <c r="K8638" s="135" t="n">
        <f aca="false">$G8638*'Analyse capacite'!$E$9</f>
        <v>0</v>
      </c>
    </row>
    <row r="8639" customFormat="false" ht="15" hidden="false" customHeight="false" outlineLevel="0" collapsed="false">
      <c r="B8639" s="130" t="n">
        <v>2027</v>
      </c>
      <c r="C8639" s="131" t="s">
        <v>253</v>
      </c>
      <c r="D8639" s="132" t="n">
        <v>46717</v>
      </c>
      <c r="E8639" s="131" t="s">
        <v>59</v>
      </c>
      <c r="F8639" s="133" t="s">
        <v>11</v>
      </c>
      <c r="G8639" s="134" t="n">
        <f aca="false">LEN('Saisie programme'!$H$316)+SUMIFS('Vols additionnels'!$E$7:$E$66,'Vols additionnels'!$C$7:$C$66,$E8639,'Vols additionnels'!$D$7:$D$66,$F8639,'Vols additionnels'!$B$7:$B$66,$D8639)</f>
        <v>0</v>
      </c>
      <c r="H8639" s="135" t="n">
        <f aca="false">$G8639*'Analyse capacite'!$F$7</f>
        <v>0</v>
      </c>
      <c r="I8639" s="135" t="n">
        <f aca="false">$G8639*'Analyse capacite'!$C$7</f>
        <v>0</v>
      </c>
      <c r="J8639" s="135" t="n">
        <f aca="false">$G8639*'Analyse capacite'!$D$7</f>
        <v>0</v>
      </c>
      <c r="K8639" s="135" t="n">
        <f aca="false">$G8639*'Analyse capacite'!$E$7</f>
        <v>0</v>
      </c>
    </row>
    <row r="8640" customFormat="false" ht="15" hidden="false" customHeight="false" outlineLevel="0" collapsed="false">
      <c r="B8640" s="130" t="n">
        <v>2027</v>
      </c>
      <c r="C8640" s="131" t="s">
        <v>253</v>
      </c>
      <c r="D8640" s="132" t="n">
        <v>46717</v>
      </c>
      <c r="E8640" s="131" t="s">
        <v>59</v>
      </c>
      <c r="F8640" s="133" t="s">
        <v>19</v>
      </c>
      <c r="G8640" s="134" t="n">
        <f aca="false">LEN('Saisie programme'!$H$317)+SUMIFS('Vols additionnels'!$E$7:$E$66,'Vols additionnels'!$C$7:$C$66,$E8640,'Vols additionnels'!$D$7:$D$66,$F8640,'Vols additionnels'!$B$7:$B$66,$D8640)</f>
        <v>0</v>
      </c>
      <c r="H8640" s="135" t="n">
        <f aca="false">$G8640*'Analyse capacite'!$F$8</f>
        <v>0</v>
      </c>
      <c r="I8640" s="135" t="n">
        <f aca="false">$G8640*'Analyse capacite'!$C$8</f>
        <v>0</v>
      </c>
      <c r="J8640" s="135" t="n">
        <f aca="false">$G8640*'Analyse capacite'!$D$8</f>
        <v>0</v>
      </c>
      <c r="K8640" s="135" t="n">
        <f aca="false">$G8640*'Analyse capacite'!$E$8</f>
        <v>0</v>
      </c>
    </row>
    <row r="8641" customFormat="false" ht="15" hidden="false" customHeight="false" outlineLevel="0" collapsed="false">
      <c r="B8641" s="130" t="n">
        <v>2027</v>
      </c>
      <c r="C8641" s="131" t="s">
        <v>253</v>
      </c>
      <c r="D8641" s="132" t="n">
        <v>46717</v>
      </c>
      <c r="E8641" s="131" t="s">
        <v>59</v>
      </c>
      <c r="F8641" s="133" t="s">
        <v>24</v>
      </c>
      <c r="G8641" s="134" t="n">
        <f aca="false">LEN('Saisie programme'!$H$318)+SUMIFS('Vols additionnels'!$E$7:$E$66,'Vols additionnels'!$C$7:$C$66,$E8641,'Vols additionnels'!$D$7:$D$66,$F8641,'Vols additionnels'!$B$7:$B$66,$D8641)</f>
        <v>1</v>
      </c>
      <c r="H8641" s="135" t="n">
        <f aca="false">$G8641*'Analyse capacite'!$F$9</f>
        <v>174</v>
      </c>
      <c r="I8641" s="135" t="n">
        <f aca="false">$G8641*'Analyse capacite'!$C$9</f>
        <v>0</v>
      </c>
      <c r="J8641" s="135" t="n">
        <f aca="false">$G8641*'Analyse capacite'!$D$9</f>
        <v>12</v>
      </c>
      <c r="K8641" s="135" t="n">
        <f aca="false">$G8641*'Analyse capacite'!$E$9</f>
        <v>162</v>
      </c>
    </row>
    <row r="8642" customFormat="false" ht="15" hidden="false" customHeight="false" outlineLevel="0" collapsed="false">
      <c r="B8642" s="130" t="n">
        <v>2027</v>
      </c>
      <c r="C8642" s="131" t="s">
        <v>253</v>
      </c>
      <c r="D8642" s="132" t="n">
        <v>46717</v>
      </c>
      <c r="E8642" s="131" t="s">
        <v>62</v>
      </c>
      <c r="F8642" s="133" t="s">
        <v>11</v>
      </c>
      <c r="G8642" s="134" t="n">
        <f aca="false">LEN('Saisie programme'!$H$319)+SUMIFS('Vols additionnels'!$E$7:$E$66,'Vols additionnels'!$C$7:$C$66,$E8642,'Vols additionnels'!$D$7:$D$66,$F8642,'Vols additionnels'!$B$7:$B$66,$D8642)</f>
        <v>0</v>
      </c>
      <c r="H8642" s="135" t="n">
        <f aca="false">$G8642*'Analyse capacite'!$F$7</f>
        <v>0</v>
      </c>
      <c r="I8642" s="135" t="n">
        <f aca="false">$G8642*'Analyse capacite'!$C$7</f>
        <v>0</v>
      </c>
      <c r="J8642" s="135" t="n">
        <f aca="false">$G8642*'Analyse capacite'!$D$7</f>
        <v>0</v>
      </c>
      <c r="K8642" s="135" t="n">
        <f aca="false">$G8642*'Analyse capacite'!$E$7</f>
        <v>0</v>
      </c>
    </row>
    <row r="8643" customFormat="false" ht="15" hidden="false" customHeight="false" outlineLevel="0" collapsed="false">
      <c r="B8643" s="130" t="n">
        <v>2027</v>
      </c>
      <c r="C8643" s="131" t="s">
        <v>253</v>
      </c>
      <c r="D8643" s="132" t="n">
        <v>46717</v>
      </c>
      <c r="E8643" s="131" t="s">
        <v>62</v>
      </c>
      <c r="F8643" s="133" t="s">
        <v>19</v>
      </c>
      <c r="G8643" s="134" t="n">
        <f aca="false">LEN('Saisie programme'!$H$320)+SUMIFS('Vols additionnels'!$E$7:$E$66,'Vols additionnels'!$C$7:$C$66,$E8643,'Vols additionnels'!$D$7:$D$66,$F8643,'Vols additionnels'!$B$7:$B$66,$D8643)</f>
        <v>0</v>
      </c>
      <c r="H8643" s="135" t="n">
        <f aca="false">$G8643*'Analyse capacite'!$F$8</f>
        <v>0</v>
      </c>
      <c r="I8643" s="135" t="n">
        <f aca="false">$G8643*'Analyse capacite'!$C$8</f>
        <v>0</v>
      </c>
      <c r="J8643" s="135" t="n">
        <f aca="false">$G8643*'Analyse capacite'!$D$8</f>
        <v>0</v>
      </c>
      <c r="K8643" s="135" t="n">
        <f aca="false">$G8643*'Analyse capacite'!$E$8</f>
        <v>0</v>
      </c>
    </row>
    <row r="8644" customFormat="false" ht="15" hidden="false" customHeight="false" outlineLevel="0" collapsed="false">
      <c r="B8644" s="130" t="n">
        <v>2027</v>
      </c>
      <c r="C8644" s="131" t="s">
        <v>253</v>
      </c>
      <c r="D8644" s="132" t="n">
        <v>46717</v>
      </c>
      <c r="E8644" s="131" t="s">
        <v>62</v>
      </c>
      <c r="F8644" s="133" t="s">
        <v>24</v>
      </c>
      <c r="G8644" s="134" t="n">
        <f aca="false">LEN('Saisie programme'!$H$321)+SUMIFS('Vols additionnels'!$E$7:$E$66,'Vols additionnels'!$C$7:$C$66,$E8644,'Vols additionnels'!$D$7:$D$66,$F8644,'Vols additionnels'!$B$7:$B$66,$D8644)</f>
        <v>0</v>
      </c>
      <c r="H8644" s="135" t="n">
        <f aca="false">$G8644*'Analyse capacite'!$F$9</f>
        <v>0</v>
      </c>
      <c r="I8644" s="135" t="n">
        <f aca="false">$G8644*'Analyse capacite'!$C$9</f>
        <v>0</v>
      </c>
      <c r="J8644" s="135" t="n">
        <f aca="false">$G8644*'Analyse capacite'!$D$9</f>
        <v>0</v>
      </c>
      <c r="K8644" s="135" t="n">
        <f aca="false">$G8644*'Analyse capacite'!$E$9</f>
        <v>0</v>
      </c>
    </row>
    <row r="8645" customFormat="false" ht="15" hidden="false" customHeight="false" outlineLevel="0" collapsed="false">
      <c r="B8645" s="130" t="n">
        <v>2027</v>
      </c>
      <c r="C8645" s="131" t="s">
        <v>253</v>
      </c>
      <c r="D8645" s="132" t="n">
        <v>46718</v>
      </c>
      <c r="E8645" s="131" t="s">
        <v>12</v>
      </c>
      <c r="F8645" s="133" t="s">
        <v>11</v>
      </c>
      <c r="G8645" s="134" t="n">
        <f aca="false">LEN('Saisie programme'!$I$286)+SUMIFS('Vols additionnels'!$E$7:$E$66,'Vols additionnels'!$C$7:$C$66,$E8645,'Vols additionnels'!$D$7:$D$66,$F8645,'Vols additionnels'!$B$7:$B$66,$D8645)</f>
        <v>1</v>
      </c>
      <c r="H8645" s="135" t="n">
        <f aca="false">$G8645*'Analyse capacite'!$F$7</f>
        <v>438</v>
      </c>
      <c r="I8645" s="135" t="n">
        <f aca="false">$G8645*'Analyse capacite'!$C$7</f>
        <v>14</v>
      </c>
      <c r="J8645" s="135" t="n">
        <f aca="false">$G8645*'Analyse capacite'!$D$7</f>
        <v>40</v>
      </c>
      <c r="K8645" s="135" t="n">
        <f aca="false">$G8645*'Analyse capacite'!$E$7</f>
        <v>384</v>
      </c>
    </row>
    <row r="8646" customFormat="false" ht="15" hidden="false" customHeight="false" outlineLevel="0" collapsed="false">
      <c r="B8646" s="130" t="n">
        <v>2027</v>
      </c>
      <c r="C8646" s="131" t="s">
        <v>253</v>
      </c>
      <c r="D8646" s="132" t="n">
        <v>46718</v>
      </c>
      <c r="E8646" s="131" t="s">
        <v>12</v>
      </c>
      <c r="F8646" s="133" t="s">
        <v>19</v>
      </c>
      <c r="G8646" s="134" t="n">
        <f aca="false">LEN('Saisie programme'!$I$287)+SUMIFS('Vols additionnels'!$E$7:$E$66,'Vols additionnels'!$C$7:$C$66,$E8646,'Vols additionnels'!$D$7:$D$66,$F8646,'Vols additionnels'!$B$7:$B$66,$D8646)</f>
        <v>0</v>
      </c>
      <c r="H8646" s="135" t="n">
        <f aca="false">$G8646*'Analyse capacite'!$F$8</f>
        <v>0</v>
      </c>
      <c r="I8646" s="135" t="n">
        <f aca="false">$G8646*'Analyse capacite'!$C$8</f>
        <v>0</v>
      </c>
      <c r="J8646" s="135" t="n">
        <f aca="false">$G8646*'Analyse capacite'!$D$8</f>
        <v>0</v>
      </c>
      <c r="K8646" s="135" t="n">
        <f aca="false">$G8646*'Analyse capacite'!$E$8</f>
        <v>0</v>
      </c>
    </row>
    <row r="8647" customFormat="false" ht="15" hidden="false" customHeight="false" outlineLevel="0" collapsed="false">
      <c r="B8647" s="130" t="n">
        <v>2027</v>
      </c>
      <c r="C8647" s="131" t="s">
        <v>253</v>
      </c>
      <c r="D8647" s="132" t="n">
        <v>46718</v>
      </c>
      <c r="E8647" s="131" t="s">
        <v>12</v>
      </c>
      <c r="F8647" s="133" t="s">
        <v>24</v>
      </c>
      <c r="G8647" s="134" t="n">
        <f aca="false">LEN('Saisie programme'!$I$288)+SUMIFS('Vols additionnels'!$E$7:$E$66,'Vols additionnels'!$C$7:$C$66,$E8647,'Vols additionnels'!$D$7:$D$66,$F8647,'Vols additionnels'!$B$7:$B$66,$D8647)</f>
        <v>0</v>
      </c>
      <c r="H8647" s="135" t="n">
        <f aca="false">$G8647*'Analyse capacite'!$F$9</f>
        <v>0</v>
      </c>
      <c r="I8647" s="135" t="n">
        <f aca="false">$G8647*'Analyse capacite'!$C$9</f>
        <v>0</v>
      </c>
      <c r="J8647" s="135" t="n">
        <f aca="false">$G8647*'Analyse capacite'!$D$9</f>
        <v>0</v>
      </c>
      <c r="K8647" s="135" t="n">
        <f aca="false">$G8647*'Analyse capacite'!$E$9</f>
        <v>0</v>
      </c>
    </row>
    <row r="8648" customFormat="false" ht="15" hidden="false" customHeight="false" outlineLevel="0" collapsed="false">
      <c r="B8648" s="130" t="n">
        <v>2027</v>
      </c>
      <c r="C8648" s="131" t="s">
        <v>253</v>
      </c>
      <c r="D8648" s="132" t="n">
        <v>46718</v>
      </c>
      <c r="E8648" s="131" t="s">
        <v>20</v>
      </c>
      <c r="F8648" s="133" t="s">
        <v>11</v>
      </c>
      <c r="G8648" s="134" t="n">
        <f aca="false">LEN('Saisie programme'!$I$289)+SUMIFS('Vols additionnels'!$E$7:$E$66,'Vols additionnels'!$C$7:$C$66,$E8648,'Vols additionnels'!$D$7:$D$66,$F8648,'Vols additionnels'!$B$7:$B$66,$D8648)</f>
        <v>0</v>
      </c>
      <c r="H8648" s="135" t="n">
        <f aca="false">$G8648*'Analyse capacite'!$F$7</f>
        <v>0</v>
      </c>
      <c r="I8648" s="135" t="n">
        <f aca="false">$G8648*'Analyse capacite'!$C$7</f>
        <v>0</v>
      </c>
      <c r="J8648" s="135" t="n">
        <f aca="false">$G8648*'Analyse capacite'!$D$7</f>
        <v>0</v>
      </c>
      <c r="K8648" s="135" t="n">
        <f aca="false">$G8648*'Analyse capacite'!$E$7</f>
        <v>0</v>
      </c>
    </row>
    <row r="8649" customFormat="false" ht="15" hidden="false" customHeight="false" outlineLevel="0" collapsed="false">
      <c r="B8649" s="130" t="n">
        <v>2027</v>
      </c>
      <c r="C8649" s="131" t="s">
        <v>253</v>
      </c>
      <c r="D8649" s="132" t="n">
        <v>46718</v>
      </c>
      <c r="E8649" s="131" t="s">
        <v>20</v>
      </c>
      <c r="F8649" s="133" t="s">
        <v>19</v>
      </c>
      <c r="G8649" s="134" t="n">
        <f aca="false">LEN('Saisie programme'!$I$290)+SUMIFS('Vols additionnels'!$E$7:$E$66,'Vols additionnels'!$C$7:$C$66,$E8649,'Vols additionnels'!$D$7:$D$66,$F8649,'Vols additionnels'!$B$7:$B$66,$D8649)</f>
        <v>0</v>
      </c>
      <c r="H8649" s="135" t="n">
        <f aca="false">$G8649*'Analyse capacite'!$F$8</f>
        <v>0</v>
      </c>
      <c r="I8649" s="135" t="n">
        <f aca="false">$G8649*'Analyse capacite'!$C$8</f>
        <v>0</v>
      </c>
      <c r="J8649" s="135" t="n">
        <f aca="false">$G8649*'Analyse capacite'!$D$8</f>
        <v>0</v>
      </c>
      <c r="K8649" s="135" t="n">
        <f aca="false">$G8649*'Analyse capacite'!$E$8</f>
        <v>0</v>
      </c>
    </row>
    <row r="8650" customFormat="false" ht="15" hidden="false" customHeight="false" outlineLevel="0" collapsed="false">
      <c r="B8650" s="130" t="n">
        <v>2027</v>
      </c>
      <c r="C8650" s="131" t="s">
        <v>253</v>
      </c>
      <c r="D8650" s="132" t="n">
        <v>46718</v>
      </c>
      <c r="E8650" s="131" t="s">
        <v>20</v>
      </c>
      <c r="F8650" s="133" t="s">
        <v>24</v>
      </c>
      <c r="G8650" s="134" t="n">
        <f aca="false">LEN('Saisie programme'!$I$291)+SUMIFS('Vols additionnels'!$E$7:$E$66,'Vols additionnels'!$C$7:$C$66,$E8650,'Vols additionnels'!$D$7:$D$66,$F8650,'Vols additionnels'!$B$7:$B$66,$D8650)</f>
        <v>0</v>
      </c>
      <c r="H8650" s="135" t="n">
        <f aca="false">$G8650*'Analyse capacite'!$F$9</f>
        <v>0</v>
      </c>
      <c r="I8650" s="135" t="n">
        <f aca="false">$G8650*'Analyse capacite'!$C$9</f>
        <v>0</v>
      </c>
      <c r="J8650" s="135" t="n">
        <f aca="false">$G8650*'Analyse capacite'!$D$9</f>
        <v>0</v>
      </c>
      <c r="K8650" s="135" t="n">
        <f aca="false">$G8650*'Analyse capacite'!$E$9</f>
        <v>0</v>
      </c>
    </row>
    <row r="8651" customFormat="false" ht="15" hidden="false" customHeight="false" outlineLevel="0" collapsed="false">
      <c r="B8651" s="130" t="n">
        <v>2027</v>
      </c>
      <c r="C8651" s="131" t="s">
        <v>253</v>
      </c>
      <c r="D8651" s="132" t="n">
        <v>46718</v>
      </c>
      <c r="E8651" s="131" t="s">
        <v>25</v>
      </c>
      <c r="F8651" s="133" t="s">
        <v>11</v>
      </c>
      <c r="G8651" s="134" t="n">
        <f aca="false">LEN('Saisie programme'!$I$292)+SUMIFS('Vols additionnels'!$E$7:$E$66,'Vols additionnels'!$C$7:$C$66,$E8651,'Vols additionnels'!$D$7:$D$66,$F8651,'Vols additionnels'!$B$7:$B$66,$D8651)</f>
        <v>0</v>
      </c>
      <c r="H8651" s="135" t="n">
        <f aca="false">$G8651*'Analyse capacite'!$F$7</f>
        <v>0</v>
      </c>
      <c r="I8651" s="135" t="n">
        <f aca="false">$G8651*'Analyse capacite'!$C$7</f>
        <v>0</v>
      </c>
      <c r="J8651" s="135" t="n">
        <f aca="false">$G8651*'Analyse capacite'!$D$7</f>
        <v>0</v>
      </c>
      <c r="K8651" s="135" t="n">
        <f aca="false">$G8651*'Analyse capacite'!$E$7</f>
        <v>0</v>
      </c>
    </row>
    <row r="8652" customFormat="false" ht="15" hidden="false" customHeight="false" outlineLevel="0" collapsed="false">
      <c r="B8652" s="130" t="n">
        <v>2027</v>
      </c>
      <c r="C8652" s="131" t="s">
        <v>253</v>
      </c>
      <c r="D8652" s="132" t="n">
        <v>46718</v>
      </c>
      <c r="E8652" s="131" t="s">
        <v>25</v>
      </c>
      <c r="F8652" s="133" t="s">
        <v>19</v>
      </c>
      <c r="G8652" s="134" t="n">
        <f aca="false">LEN('Saisie programme'!$I$293)+SUMIFS('Vols additionnels'!$E$7:$E$66,'Vols additionnels'!$C$7:$C$66,$E8652,'Vols additionnels'!$D$7:$D$66,$F8652,'Vols additionnels'!$B$7:$B$66,$D8652)</f>
        <v>1</v>
      </c>
      <c r="H8652" s="135" t="n">
        <f aca="false">$G8652*'Analyse capacite'!$F$8</f>
        <v>262</v>
      </c>
      <c r="I8652" s="135" t="n">
        <f aca="false">$G8652*'Analyse capacite'!$C$8</f>
        <v>18</v>
      </c>
      <c r="J8652" s="135" t="n">
        <f aca="false">$G8652*'Analyse capacite'!$D$8</f>
        <v>0</v>
      </c>
      <c r="K8652" s="135" t="n">
        <f aca="false">$G8652*'Analyse capacite'!$E$8</f>
        <v>244</v>
      </c>
    </row>
    <row r="8653" customFormat="false" ht="15" hidden="false" customHeight="false" outlineLevel="0" collapsed="false">
      <c r="B8653" s="130" t="n">
        <v>2027</v>
      </c>
      <c r="C8653" s="131" t="s">
        <v>253</v>
      </c>
      <c r="D8653" s="132" t="n">
        <v>46718</v>
      </c>
      <c r="E8653" s="131" t="s">
        <v>25</v>
      </c>
      <c r="F8653" s="133" t="s">
        <v>24</v>
      </c>
      <c r="G8653" s="134" t="n">
        <f aca="false">LEN('Saisie programme'!$I$294)+SUMIFS('Vols additionnels'!$E$7:$E$66,'Vols additionnels'!$C$7:$C$66,$E8653,'Vols additionnels'!$D$7:$D$66,$F8653,'Vols additionnels'!$B$7:$B$66,$D8653)</f>
        <v>0</v>
      </c>
      <c r="H8653" s="135" t="n">
        <f aca="false">$G8653*'Analyse capacite'!$F$9</f>
        <v>0</v>
      </c>
      <c r="I8653" s="135" t="n">
        <f aca="false">$G8653*'Analyse capacite'!$C$9</f>
        <v>0</v>
      </c>
      <c r="J8653" s="135" t="n">
        <f aca="false">$G8653*'Analyse capacite'!$D$9</f>
        <v>0</v>
      </c>
      <c r="K8653" s="135" t="n">
        <f aca="false">$G8653*'Analyse capacite'!$E$9</f>
        <v>0</v>
      </c>
    </row>
    <row r="8654" customFormat="false" ht="15" hidden="false" customHeight="false" outlineLevel="0" collapsed="false">
      <c r="B8654" s="130" t="n">
        <v>2027</v>
      </c>
      <c r="C8654" s="131" t="s">
        <v>253</v>
      </c>
      <c r="D8654" s="132" t="n">
        <v>46718</v>
      </c>
      <c r="E8654" s="131" t="s">
        <v>36</v>
      </c>
      <c r="F8654" s="133" t="s">
        <v>11</v>
      </c>
      <c r="G8654" s="134" t="n">
        <f aca="false">LEN('Saisie programme'!$I$295)+SUMIFS('Vols additionnels'!$E$7:$E$66,'Vols additionnels'!$C$7:$C$66,$E8654,'Vols additionnels'!$D$7:$D$66,$F8654,'Vols additionnels'!$B$7:$B$66,$D8654)</f>
        <v>0</v>
      </c>
      <c r="H8654" s="135" t="n">
        <f aca="false">$G8654*'Analyse capacite'!$F$7</f>
        <v>0</v>
      </c>
      <c r="I8654" s="135" t="n">
        <f aca="false">$G8654*'Analyse capacite'!$C$7</f>
        <v>0</v>
      </c>
      <c r="J8654" s="135" t="n">
        <f aca="false">$G8654*'Analyse capacite'!$D$7</f>
        <v>0</v>
      </c>
      <c r="K8654" s="135" t="n">
        <f aca="false">$G8654*'Analyse capacite'!$E$7</f>
        <v>0</v>
      </c>
    </row>
    <row r="8655" customFormat="false" ht="15" hidden="false" customHeight="false" outlineLevel="0" collapsed="false">
      <c r="B8655" s="130" t="n">
        <v>2027</v>
      </c>
      <c r="C8655" s="131" t="s">
        <v>253</v>
      </c>
      <c r="D8655" s="132" t="n">
        <v>46718</v>
      </c>
      <c r="E8655" s="131" t="s">
        <v>36</v>
      </c>
      <c r="F8655" s="133" t="s">
        <v>19</v>
      </c>
      <c r="G8655" s="134" t="n">
        <f aca="false">LEN('Saisie programme'!$I$296)+SUMIFS('Vols additionnels'!$E$7:$E$66,'Vols additionnels'!$C$7:$C$66,$E8655,'Vols additionnels'!$D$7:$D$66,$F8655,'Vols additionnels'!$B$7:$B$66,$D8655)</f>
        <v>0</v>
      </c>
      <c r="H8655" s="135" t="n">
        <f aca="false">$G8655*'Analyse capacite'!$F$8</f>
        <v>0</v>
      </c>
      <c r="I8655" s="135" t="n">
        <f aca="false">$G8655*'Analyse capacite'!$C$8</f>
        <v>0</v>
      </c>
      <c r="J8655" s="135" t="n">
        <f aca="false">$G8655*'Analyse capacite'!$D$8</f>
        <v>0</v>
      </c>
      <c r="K8655" s="135" t="n">
        <f aca="false">$G8655*'Analyse capacite'!$E$8</f>
        <v>0</v>
      </c>
    </row>
    <row r="8656" customFormat="false" ht="15" hidden="false" customHeight="false" outlineLevel="0" collapsed="false">
      <c r="B8656" s="130" t="n">
        <v>2027</v>
      </c>
      <c r="C8656" s="131" t="s">
        <v>253</v>
      </c>
      <c r="D8656" s="132" t="n">
        <v>46718</v>
      </c>
      <c r="E8656" s="131" t="s">
        <v>36</v>
      </c>
      <c r="F8656" s="133" t="s">
        <v>24</v>
      </c>
      <c r="G8656" s="134" t="n">
        <f aca="false">LEN('Saisie programme'!$I$297)+SUMIFS('Vols additionnels'!$E$7:$E$66,'Vols additionnels'!$C$7:$C$66,$E8656,'Vols additionnels'!$D$7:$D$66,$F8656,'Vols additionnels'!$B$7:$B$66,$D8656)</f>
        <v>0</v>
      </c>
      <c r="H8656" s="135" t="n">
        <f aca="false">$G8656*'Analyse capacite'!$F$9</f>
        <v>0</v>
      </c>
      <c r="I8656" s="135" t="n">
        <f aca="false">$G8656*'Analyse capacite'!$C$9</f>
        <v>0</v>
      </c>
      <c r="J8656" s="135" t="n">
        <f aca="false">$G8656*'Analyse capacite'!$D$9</f>
        <v>0</v>
      </c>
      <c r="K8656" s="135" t="n">
        <f aca="false">$G8656*'Analyse capacite'!$E$9</f>
        <v>0</v>
      </c>
    </row>
    <row r="8657" customFormat="false" ht="15" hidden="false" customHeight="false" outlineLevel="0" collapsed="false">
      <c r="B8657" s="130" t="n">
        <v>2027</v>
      </c>
      <c r="C8657" s="131" t="s">
        <v>253</v>
      </c>
      <c r="D8657" s="132" t="n">
        <v>46718</v>
      </c>
      <c r="E8657" s="131" t="s">
        <v>40</v>
      </c>
      <c r="F8657" s="133" t="s">
        <v>11</v>
      </c>
      <c r="G8657" s="134" t="n">
        <f aca="false">LEN('Saisie programme'!$I$298)+SUMIFS('Vols additionnels'!$E$7:$E$66,'Vols additionnels'!$C$7:$C$66,$E8657,'Vols additionnels'!$D$7:$D$66,$F8657,'Vols additionnels'!$B$7:$B$66,$D8657)</f>
        <v>0</v>
      </c>
      <c r="H8657" s="135" t="n">
        <f aca="false">$G8657*'Analyse capacite'!$F$7</f>
        <v>0</v>
      </c>
      <c r="I8657" s="135" t="n">
        <f aca="false">$G8657*'Analyse capacite'!$C$7</f>
        <v>0</v>
      </c>
      <c r="J8657" s="135" t="n">
        <f aca="false">$G8657*'Analyse capacite'!$D$7</f>
        <v>0</v>
      </c>
      <c r="K8657" s="135" t="n">
        <f aca="false">$G8657*'Analyse capacite'!$E$7</f>
        <v>0</v>
      </c>
    </row>
    <row r="8658" customFormat="false" ht="15" hidden="false" customHeight="false" outlineLevel="0" collapsed="false">
      <c r="B8658" s="130" t="n">
        <v>2027</v>
      </c>
      <c r="C8658" s="131" t="s">
        <v>253</v>
      </c>
      <c r="D8658" s="132" t="n">
        <v>46718</v>
      </c>
      <c r="E8658" s="131" t="s">
        <v>40</v>
      </c>
      <c r="F8658" s="133" t="s">
        <v>19</v>
      </c>
      <c r="G8658" s="134" t="n">
        <f aca="false">LEN('Saisie programme'!$I$299)+SUMIFS('Vols additionnels'!$E$7:$E$66,'Vols additionnels'!$C$7:$C$66,$E8658,'Vols additionnels'!$D$7:$D$66,$F8658,'Vols additionnels'!$B$7:$B$66,$D8658)</f>
        <v>0</v>
      </c>
      <c r="H8658" s="135" t="n">
        <f aca="false">$G8658*'Analyse capacite'!$F$8</f>
        <v>0</v>
      </c>
      <c r="I8658" s="135" t="n">
        <f aca="false">$G8658*'Analyse capacite'!$C$8</f>
        <v>0</v>
      </c>
      <c r="J8658" s="135" t="n">
        <f aca="false">$G8658*'Analyse capacite'!$D$8</f>
        <v>0</v>
      </c>
      <c r="K8658" s="135" t="n">
        <f aca="false">$G8658*'Analyse capacite'!$E$8</f>
        <v>0</v>
      </c>
    </row>
    <row r="8659" customFormat="false" ht="15" hidden="false" customHeight="false" outlineLevel="0" collapsed="false">
      <c r="B8659" s="130" t="n">
        <v>2027</v>
      </c>
      <c r="C8659" s="131" t="s">
        <v>253</v>
      </c>
      <c r="D8659" s="132" t="n">
        <v>46718</v>
      </c>
      <c r="E8659" s="131" t="s">
        <v>40</v>
      </c>
      <c r="F8659" s="133" t="s">
        <v>24</v>
      </c>
      <c r="G8659" s="134" t="n">
        <f aca="false">LEN('Saisie programme'!$I$300)+SUMIFS('Vols additionnels'!$E$7:$E$66,'Vols additionnels'!$C$7:$C$66,$E8659,'Vols additionnels'!$D$7:$D$66,$F8659,'Vols additionnels'!$B$7:$B$66,$D8659)</f>
        <v>0</v>
      </c>
      <c r="H8659" s="135" t="n">
        <f aca="false">$G8659*'Analyse capacite'!$F$9</f>
        <v>0</v>
      </c>
      <c r="I8659" s="135" t="n">
        <f aca="false">$G8659*'Analyse capacite'!$C$9</f>
        <v>0</v>
      </c>
      <c r="J8659" s="135" t="n">
        <f aca="false">$G8659*'Analyse capacite'!$D$9</f>
        <v>0</v>
      </c>
      <c r="K8659" s="135" t="n">
        <f aca="false">$G8659*'Analyse capacite'!$E$9</f>
        <v>0</v>
      </c>
    </row>
    <row r="8660" customFormat="false" ht="15" hidden="false" customHeight="false" outlineLevel="0" collapsed="false">
      <c r="B8660" s="130" t="n">
        <v>2027</v>
      </c>
      <c r="C8660" s="131" t="s">
        <v>253</v>
      </c>
      <c r="D8660" s="132" t="n">
        <v>46718</v>
      </c>
      <c r="E8660" s="131" t="s">
        <v>14</v>
      </c>
      <c r="F8660" s="133" t="s">
        <v>11</v>
      </c>
      <c r="G8660" s="134" t="n">
        <f aca="false">LEN('Saisie programme'!$I$301)+SUMIFS('Vols additionnels'!$E$7:$E$66,'Vols additionnels'!$C$7:$C$66,$E8660,'Vols additionnels'!$D$7:$D$66,$F8660,'Vols additionnels'!$B$7:$B$66,$D8660)</f>
        <v>0</v>
      </c>
      <c r="H8660" s="135" t="n">
        <f aca="false">$G8660*'Analyse capacite'!$F$7</f>
        <v>0</v>
      </c>
      <c r="I8660" s="135" t="n">
        <f aca="false">$G8660*'Analyse capacite'!$C$7</f>
        <v>0</v>
      </c>
      <c r="J8660" s="135" t="n">
        <f aca="false">$G8660*'Analyse capacite'!$D$7</f>
        <v>0</v>
      </c>
      <c r="K8660" s="135" t="n">
        <f aca="false">$G8660*'Analyse capacite'!$E$7</f>
        <v>0</v>
      </c>
    </row>
    <row r="8661" customFormat="false" ht="15" hidden="false" customHeight="false" outlineLevel="0" collapsed="false">
      <c r="B8661" s="130" t="n">
        <v>2027</v>
      </c>
      <c r="C8661" s="131" t="s">
        <v>253</v>
      </c>
      <c r="D8661" s="132" t="n">
        <v>46718</v>
      </c>
      <c r="E8661" s="131" t="s">
        <v>14</v>
      </c>
      <c r="F8661" s="133" t="s">
        <v>19</v>
      </c>
      <c r="G8661" s="134" t="n">
        <f aca="false">LEN('Saisie programme'!$I$302)+SUMIFS('Vols additionnels'!$E$7:$E$66,'Vols additionnels'!$C$7:$C$66,$E8661,'Vols additionnels'!$D$7:$D$66,$F8661,'Vols additionnels'!$B$7:$B$66,$D8661)</f>
        <v>0</v>
      </c>
      <c r="H8661" s="135" t="n">
        <f aca="false">$G8661*'Analyse capacite'!$F$8</f>
        <v>0</v>
      </c>
      <c r="I8661" s="135" t="n">
        <f aca="false">$G8661*'Analyse capacite'!$C$8</f>
        <v>0</v>
      </c>
      <c r="J8661" s="135" t="n">
        <f aca="false">$G8661*'Analyse capacite'!$D$8</f>
        <v>0</v>
      </c>
      <c r="K8661" s="135" t="n">
        <f aca="false">$G8661*'Analyse capacite'!$E$8</f>
        <v>0</v>
      </c>
    </row>
    <row r="8662" customFormat="false" ht="15" hidden="false" customHeight="false" outlineLevel="0" collapsed="false">
      <c r="B8662" s="130" t="n">
        <v>2027</v>
      </c>
      <c r="C8662" s="131" t="s">
        <v>253</v>
      </c>
      <c r="D8662" s="132" t="n">
        <v>46718</v>
      </c>
      <c r="E8662" s="131" t="s">
        <v>14</v>
      </c>
      <c r="F8662" s="133" t="s">
        <v>24</v>
      </c>
      <c r="G8662" s="134" t="n">
        <f aca="false">LEN('Saisie programme'!$I$303)+SUMIFS('Vols additionnels'!$E$7:$E$66,'Vols additionnels'!$C$7:$C$66,$E8662,'Vols additionnels'!$D$7:$D$66,$F8662,'Vols additionnels'!$B$7:$B$66,$D8662)</f>
        <v>1</v>
      </c>
      <c r="H8662" s="135" t="n">
        <f aca="false">$G8662*'Analyse capacite'!$F$9</f>
        <v>174</v>
      </c>
      <c r="I8662" s="135" t="n">
        <f aca="false">$G8662*'Analyse capacite'!$C$9</f>
        <v>0</v>
      </c>
      <c r="J8662" s="135" t="n">
        <f aca="false">$G8662*'Analyse capacite'!$D$9</f>
        <v>12</v>
      </c>
      <c r="K8662" s="135" t="n">
        <f aca="false">$G8662*'Analyse capacite'!$E$9</f>
        <v>162</v>
      </c>
    </row>
    <row r="8663" customFormat="false" ht="15" hidden="false" customHeight="false" outlineLevel="0" collapsed="false">
      <c r="B8663" s="130" t="n">
        <v>2027</v>
      </c>
      <c r="C8663" s="131" t="s">
        <v>253</v>
      </c>
      <c r="D8663" s="132" t="n">
        <v>46718</v>
      </c>
      <c r="E8663" s="131" t="s">
        <v>46</v>
      </c>
      <c r="F8663" s="133" t="s">
        <v>11</v>
      </c>
      <c r="G8663" s="134" t="n">
        <f aca="false">LEN('Saisie programme'!$I$304)+SUMIFS('Vols additionnels'!$E$7:$E$66,'Vols additionnels'!$C$7:$C$66,$E8663,'Vols additionnels'!$D$7:$D$66,$F8663,'Vols additionnels'!$B$7:$B$66,$D8663)</f>
        <v>0</v>
      </c>
      <c r="H8663" s="135" t="n">
        <f aca="false">$G8663*'Analyse capacite'!$F$7</f>
        <v>0</v>
      </c>
      <c r="I8663" s="135" t="n">
        <f aca="false">$G8663*'Analyse capacite'!$C$7</f>
        <v>0</v>
      </c>
      <c r="J8663" s="135" t="n">
        <f aca="false">$G8663*'Analyse capacite'!$D$7</f>
        <v>0</v>
      </c>
      <c r="K8663" s="135" t="n">
        <f aca="false">$G8663*'Analyse capacite'!$E$7</f>
        <v>0</v>
      </c>
    </row>
    <row r="8664" customFormat="false" ht="15" hidden="false" customHeight="false" outlineLevel="0" collapsed="false">
      <c r="B8664" s="130" t="n">
        <v>2027</v>
      </c>
      <c r="C8664" s="131" t="s">
        <v>253</v>
      </c>
      <c r="D8664" s="132" t="n">
        <v>46718</v>
      </c>
      <c r="E8664" s="131" t="s">
        <v>46</v>
      </c>
      <c r="F8664" s="133" t="s">
        <v>19</v>
      </c>
      <c r="G8664" s="134" t="n">
        <f aca="false">LEN('Saisie programme'!$I$305)+SUMIFS('Vols additionnels'!$E$7:$E$66,'Vols additionnels'!$C$7:$C$66,$E8664,'Vols additionnels'!$D$7:$D$66,$F8664,'Vols additionnels'!$B$7:$B$66,$D8664)</f>
        <v>0</v>
      </c>
      <c r="H8664" s="135" t="n">
        <f aca="false">$G8664*'Analyse capacite'!$F$8</f>
        <v>0</v>
      </c>
      <c r="I8664" s="135" t="n">
        <f aca="false">$G8664*'Analyse capacite'!$C$8</f>
        <v>0</v>
      </c>
      <c r="J8664" s="135" t="n">
        <f aca="false">$G8664*'Analyse capacite'!$D$8</f>
        <v>0</v>
      </c>
      <c r="K8664" s="135" t="n">
        <f aca="false">$G8664*'Analyse capacite'!$E$8</f>
        <v>0</v>
      </c>
    </row>
    <row r="8665" customFormat="false" ht="15" hidden="false" customHeight="false" outlineLevel="0" collapsed="false">
      <c r="B8665" s="130" t="n">
        <v>2027</v>
      </c>
      <c r="C8665" s="131" t="s">
        <v>253</v>
      </c>
      <c r="D8665" s="132" t="n">
        <v>46718</v>
      </c>
      <c r="E8665" s="131" t="s">
        <v>46</v>
      </c>
      <c r="F8665" s="133" t="s">
        <v>24</v>
      </c>
      <c r="G8665" s="134" t="n">
        <f aca="false">LEN('Saisie programme'!$I$306)+SUMIFS('Vols additionnels'!$E$7:$E$66,'Vols additionnels'!$C$7:$C$66,$E8665,'Vols additionnels'!$D$7:$D$66,$F8665,'Vols additionnels'!$B$7:$B$66,$D8665)</f>
        <v>1</v>
      </c>
      <c r="H8665" s="135" t="n">
        <f aca="false">$G8665*'Analyse capacite'!$F$9</f>
        <v>174</v>
      </c>
      <c r="I8665" s="135" t="n">
        <f aca="false">$G8665*'Analyse capacite'!$C$9</f>
        <v>0</v>
      </c>
      <c r="J8665" s="135" t="n">
        <f aca="false">$G8665*'Analyse capacite'!$D$9</f>
        <v>12</v>
      </c>
      <c r="K8665" s="135" t="n">
        <f aca="false">$G8665*'Analyse capacite'!$E$9</f>
        <v>162</v>
      </c>
    </row>
    <row r="8666" customFormat="false" ht="15" hidden="false" customHeight="false" outlineLevel="0" collapsed="false">
      <c r="B8666" s="130" t="n">
        <v>2027</v>
      </c>
      <c r="C8666" s="131" t="s">
        <v>253</v>
      </c>
      <c r="D8666" s="132" t="n">
        <v>46718</v>
      </c>
      <c r="E8666" s="131" t="s">
        <v>49</v>
      </c>
      <c r="F8666" s="133" t="s">
        <v>11</v>
      </c>
      <c r="G8666" s="134" t="n">
        <f aca="false">LEN('Saisie programme'!$I$307)+SUMIFS('Vols additionnels'!$E$7:$E$66,'Vols additionnels'!$C$7:$C$66,$E8666,'Vols additionnels'!$D$7:$D$66,$F8666,'Vols additionnels'!$B$7:$B$66,$D8666)</f>
        <v>0</v>
      </c>
      <c r="H8666" s="135" t="n">
        <f aca="false">$G8666*'Analyse capacite'!$F$7</f>
        <v>0</v>
      </c>
      <c r="I8666" s="135" t="n">
        <f aca="false">$G8666*'Analyse capacite'!$C$7</f>
        <v>0</v>
      </c>
      <c r="J8666" s="135" t="n">
        <f aca="false">$G8666*'Analyse capacite'!$D$7</f>
        <v>0</v>
      </c>
      <c r="K8666" s="135" t="n">
        <f aca="false">$G8666*'Analyse capacite'!$E$7</f>
        <v>0</v>
      </c>
    </row>
    <row r="8667" customFormat="false" ht="15" hidden="false" customHeight="false" outlineLevel="0" collapsed="false">
      <c r="B8667" s="130" t="n">
        <v>2027</v>
      </c>
      <c r="C8667" s="131" t="s">
        <v>253</v>
      </c>
      <c r="D8667" s="132" t="n">
        <v>46718</v>
      </c>
      <c r="E8667" s="131" t="s">
        <v>49</v>
      </c>
      <c r="F8667" s="133" t="s">
        <v>19</v>
      </c>
      <c r="G8667" s="134" t="n">
        <f aca="false">LEN('Saisie programme'!$I$308)+SUMIFS('Vols additionnels'!$E$7:$E$66,'Vols additionnels'!$C$7:$C$66,$E8667,'Vols additionnels'!$D$7:$D$66,$F8667,'Vols additionnels'!$B$7:$B$66,$D8667)</f>
        <v>0</v>
      </c>
      <c r="H8667" s="135" t="n">
        <f aca="false">$G8667*'Analyse capacite'!$F$8</f>
        <v>0</v>
      </c>
      <c r="I8667" s="135" t="n">
        <f aca="false">$G8667*'Analyse capacite'!$C$8</f>
        <v>0</v>
      </c>
      <c r="J8667" s="135" t="n">
        <f aca="false">$G8667*'Analyse capacite'!$D$8</f>
        <v>0</v>
      </c>
      <c r="K8667" s="135" t="n">
        <f aca="false">$G8667*'Analyse capacite'!$E$8</f>
        <v>0</v>
      </c>
    </row>
    <row r="8668" customFormat="false" ht="15" hidden="false" customHeight="false" outlineLevel="0" collapsed="false">
      <c r="B8668" s="130" t="n">
        <v>2027</v>
      </c>
      <c r="C8668" s="131" t="s">
        <v>253</v>
      </c>
      <c r="D8668" s="132" t="n">
        <v>46718</v>
      </c>
      <c r="E8668" s="131" t="s">
        <v>49</v>
      </c>
      <c r="F8668" s="133" t="s">
        <v>24</v>
      </c>
      <c r="G8668" s="134" t="n">
        <f aca="false">LEN('Saisie programme'!$I$309)+SUMIFS('Vols additionnels'!$E$7:$E$66,'Vols additionnels'!$C$7:$C$66,$E8668,'Vols additionnels'!$D$7:$D$66,$F8668,'Vols additionnels'!$B$7:$B$66,$D8668)</f>
        <v>0</v>
      </c>
      <c r="H8668" s="135" t="n">
        <f aca="false">$G8668*'Analyse capacite'!$F$9</f>
        <v>0</v>
      </c>
      <c r="I8668" s="135" t="n">
        <f aca="false">$G8668*'Analyse capacite'!$C$9</f>
        <v>0</v>
      </c>
      <c r="J8668" s="135" t="n">
        <f aca="false">$G8668*'Analyse capacite'!$D$9</f>
        <v>0</v>
      </c>
      <c r="K8668" s="135" t="n">
        <f aca="false">$G8668*'Analyse capacite'!$E$9</f>
        <v>0</v>
      </c>
    </row>
    <row r="8669" customFormat="false" ht="15" hidden="false" customHeight="false" outlineLevel="0" collapsed="false">
      <c r="B8669" s="130" t="n">
        <v>2027</v>
      </c>
      <c r="C8669" s="131" t="s">
        <v>253</v>
      </c>
      <c r="D8669" s="132" t="n">
        <v>46718</v>
      </c>
      <c r="E8669" s="131" t="s">
        <v>53</v>
      </c>
      <c r="F8669" s="133" t="s">
        <v>11</v>
      </c>
      <c r="G8669" s="134" t="n">
        <f aca="false">LEN('Saisie programme'!$I$310)+SUMIFS('Vols additionnels'!$E$7:$E$66,'Vols additionnels'!$C$7:$C$66,$E8669,'Vols additionnels'!$D$7:$D$66,$F8669,'Vols additionnels'!$B$7:$B$66,$D8669)</f>
        <v>0</v>
      </c>
      <c r="H8669" s="135" t="n">
        <f aca="false">$G8669*'Analyse capacite'!$F$7</f>
        <v>0</v>
      </c>
      <c r="I8669" s="135" t="n">
        <f aca="false">$G8669*'Analyse capacite'!$C$7</f>
        <v>0</v>
      </c>
      <c r="J8669" s="135" t="n">
        <f aca="false">$G8669*'Analyse capacite'!$D$7</f>
        <v>0</v>
      </c>
      <c r="K8669" s="135" t="n">
        <f aca="false">$G8669*'Analyse capacite'!$E$7</f>
        <v>0</v>
      </c>
    </row>
    <row r="8670" customFormat="false" ht="15" hidden="false" customHeight="false" outlineLevel="0" collapsed="false">
      <c r="B8670" s="130" t="n">
        <v>2027</v>
      </c>
      <c r="C8670" s="131" t="s">
        <v>253</v>
      </c>
      <c r="D8670" s="132" t="n">
        <v>46718</v>
      </c>
      <c r="E8670" s="131" t="s">
        <v>53</v>
      </c>
      <c r="F8670" s="133" t="s">
        <v>19</v>
      </c>
      <c r="G8670" s="134" t="n">
        <f aca="false">LEN('Saisie programme'!$I$311)+SUMIFS('Vols additionnels'!$E$7:$E$66,'Vols additionnels'!$C$7:$C$66,$E8670,'Vols additionnels'!$D$7:$D$66,$F8670,'Vols additionnels'!$B$7:$B$66,$D8670)</f>
        <v>0</v>
      </c>
      <c r="H8670" s="135" t="n">
        <f aca="false">$G8670*'Analyse capacite'!$F$8</f>
        <v>0</v>
      </c>
      <c r="I8670" s="135" t="n">
        <f aca="false">$G8670*'Analyse capacite'!$C$8</f>
        <v>0</v>
      </c>
      <c r="J8670" s="135" t="n">
        <f aca="false">$G8670*'Analyse capacite'!$D$8</f>
        <v>0</v>
      </c>
      <c r="K8670" s="135" t="n">
        <f aca="false">$G8670*'Analyse capacite'!$E$8</f>
        <v>0</v>
      </c>
    </row>
    <row r="8671" customFormat="false" ht="15" hidden="false" customHeight="false" outlineLevel="0" collapsed="false">
      <c r="B8671" s="130" t="n">
        <v>2027</v>
      </c>
      <c r="C8671" s="131" t="s">
        <v>253</v>
      </c>
      <c r="D8671" s="132" t="n">
        <v>46718</v>
      </c>
      <c r="E8671" s="131" t="s">
        <v>53</v>
      </c>
      <c r="F8671" s="133" t="s">
        <v>24</v>
      </c>
      <c r="G8671" s="134" t="n">
        <f aca="false">LEN('Saisie programme'!$I$312)+SUMIFS('Vols additionnels'!$E$7:$E$66,'Vols additionnels'!$C$7:$C$66,$E8671,'Vols additionnels'!$D$7:$D$66,$F8671,'Vols additionnels'!$B$7:$B$66,$D8671)</f>
        <v>0</v>
      </c>
      <c r="H8671" s="135" t="n">
        <f aca="false">$G8671*'Analyse capacite'!$F$9</f>
        <v>0</v>
      </c>
      <c r="I8671" s="135" t="n">
        <f aca="false">$G8671*'Analyse capacite'!$C$9</f>
        <v>0</v>
      </c>
      <c r="J8671" s="135" t="n">
        <f aca="false">$G8671*'Analyse capacite'!$D$9</f>
        <v>0</v>
      </c>
      <c r="K8671" s="135" t="n">
        <f aca="false">$G8671*'Analyse capacite'!$E$9</f>
        <v>0</v>
      </c>
    </row>
    <row r="8672" customFormat="false" ht="15" hidden="false" customHeight="false" outlineLevel="0" collapsed="false">
      <c r="B8672" s="130" t="n">
        <v>2027</v>
      </c>
      <c r="C8672" s="131" t="s">
        <v>253</v>
      </c>
      <c r="D8672" s="132" t="n">
        <v>46718</v>
      </c>
      <c r="E8672" s="131" t="s">
        <v>56</v>
      </c>
      <c r="F8672" s="133" t="s">
        <v>11</v>
      </c>
      <c r="G8672" s="134" t="n">
        <f aca="false">LEN('Saisie programme'!$I$313)+SUMIFS('Vols additionnels'!$E$7:$E$66,'Vols additionnels'!$C$7:$C$66,$E8672,'Vols additionnels'!$D$7:$D$66,$F8672,'Vols additionnels'!$B$7:$B$66,$D8672)</f>
        <v>0</v>
      </c>
      <c r="H8672" s="135" t="n">
        <f aca="false">$G8672*'Analyse capacite'!$F$7</f>
        <v>0</v>
      </c>
      <c r="I8672" s="135" t="n">
        <f aca="false">$G8672*'Analyse capacite'!$C$7</f>
        <v>0</v>
      </c>
      <c r="J8672" s="135" t="n">
        <f aca="false">$G8672*'Analyse capacite'!$D$7</f>
        <v>0</v>
      </c>
      <c r="K8672" s="135" t="n">
        <f aca="false">$G8672*'Analyse capacite'!$E$7</f>
        <v>0</v>
      </c>
    </row>
    <row r="8673" customFormat="false" ht="15" hidden="false" customHeight="false" outlineLevel="0" collapsed="false">
      <c r="B8673" s="130" t="n">
        <v>2027</v>
      </c>
      <c r="C8673" s="131" t="s">
        <v>253</v>
      </c>
      <c r="D8673" s="132" t="n">
        <v>46718</v>
      </c>
      <c r="E8673" s="131" t="s">
        <v>56</v>
      </c>
      <c r="F8673" s="133" t="s">
        <v>19</v>
      </c>
      <c r="G8673" s="134" t="n">
        <f aca="false">LEN('Saisie programme'!$I$314)+SUMIFS('Vols additionnels'!$E$7:$E$66,'Vols additionnels'!$C$7:$C$66,$E8673,'Vols additionnels'!$D$7:$D$66,$F8673,'Vols additionnels'!$B$7:$B$66,$D8673)</f>
        <v>0</v>
      </c>
      <c r="H8673" s="135" t="n">
        <f aca="false">$G8673*'Analyse capacite'!$F$8</f>
        <v>0</v>
      </c>
      <c r="I8673" s="135" t="n">
        <f aca="false">$G8673*'Analyse capacite'!$C$8</f>
        <v>0</v>
      </c>
      <c r="J8673" s="135" t="n">
        <f aca="false">$G8673*'Analyse capacite'!$D$8</f>
        <v>0</v>
      </c>
      <c r="K8673" s="135" t="n">
        <f aca="false">$G8673*'Analyse capacite'!$E$8</f>
        <v>0</v>
      </c>
    </row>
    <row r="8674" customFormat="false" ht="15" hidden="false" customHeight="false" outlineLevel="0" collapsed="false">
      <c r="B8674" s="130" t="n">
        <v>2027</v>
      </c>
      <c r="C8674" s="131" t="s">
        <v>253</v>
      </c>
      <c r="D8674" s="132" t="n">
        <v>46718</v>
      </c>
      <c r="E8674" s="131" t="s">
        <v>56</v>
      </c>
      <c r="F8674" s="133" t="s">
        <v>24</v>
      </c>
      <c r="G8674" s="134" t="n">
        <f aca="false">LEN('Saisie programme'!$I$315)+SUMIFS('Vols additionnels'!$E$7:$E$66,'Vols additionnels'!$C$7:$C$66,$E8674,'Vols additionnels'!$D$7:$D$66,$F8674,'Vols additionnels'!$B$7:$B$66,$D8674)</f>
        <v>1</v>
      </c>
      <c r="H8674" s="135" t="n">
        <f aca="false">$G8674*'Analyse capacite'!$F$9</f>
        <v>174</v>
      </c>
      <c r="I8674" s="135" t="n">
        <f aca="false">$G8674*'Analyse capacite'!$C$9</f>
        <v>0</v>
      </c>
      <c r="J8674" s="135" t="n">
        <f aca="false">$G8674*'Analyse capacite'!$D$9</f>
        <v>12</v>
      </c>
      <c r="K8674" s="135" t="n">
        <f aca="false">$G8674*'Analyse capacite'!$E$9</f>
        <v>162</v>
      </c>
    </row>
    <row r="8675" customFormat="false" ht="15" hidden="false" customHeight="false" outlineLevel="0" collapsed="false">
      <c r="B8675" s="130" t="n">
        <v>2027</v>
      </c>
      <c r="C8675" s="131" t="s">
        <v>253</v>
      </c>
      <c r="D8675" s="132" t="n">
        <v>46718</v>
      </c>
      <c r="E8675" s="131" t="s">
        <v>59</v>
      </c>
      <c r="F8675" s="133" t="s">
        <v>11</v>
      </c>
      <c r="G8675" s="134" t="n">
        <f aca="false">LEN('Saisie programme'!$I$316)+SUMIFS('Vols additionnels'!$E$7:$E$66,'Vols additionnels'!$C$7:$C$66,$E8675,'Vols additionnels'!$D$7:$D$66,$F8675,'Vols additionnels'!$B$7:$B$66,$D8675)</f>
        <v>0</v>
      </c>
      <c r="H8675" s="135" t="n">
        <f aca="false">$G8675*'Analyse capacite'!$F$7</f>
        <v>0</v>
      </c>
      <c r="I8675" s="135" t="n">
        <f aca="false">$G8675*'Analyse capacite'!$C$7</f>
        <v>0</v>
      </c>
      <c r="J8675" s="135" t="n">
        <f aca="false">$G8675*'Analyse capacite'!$D$7</f>
        <v>0</v>
      </c>
      <c r="K8675" s="135" t="n">
        <f aca="false">$G8675*'Analyse capacite'!$E$7</f>
        <v>0</v>
      </c>
    </row>
    <row r="8676" customFormat="false" ht="15" hidden="false" customHeight="false" outlineLevel="0" collapsed="false">
      <c r="B8676" s="130" t="n">
        <v>2027</v>
      </c>
      <c r="C8676" s="131" t="s">
        <v>253</v>
      </c>
      <c r="D8676" s="132" t="n">
        <v>46718</v>
      </c>
      <c r="E8676" s="131" t="s">
        <v>59</v>
      </c>
      <c r="F8676" s="133" t="s">
        <v>19</v>
      </c>
      <c r="G8676" s="134" t="n">
        <f aca="false">LEN('Saisie programme'!$I$317)+SUMIFS('Vols additionnels'!$E$7:$E$66,'Vols additionnels'!$C$7:$C$66,$E8676,'Vols additionnels'!$D$7:$D$66,$F8676,'Vols additionnels'!$B$7:$B$66,$D8676)</f>
        <v>0</v>
      </c>
      <c r="H8676" s="135" t="n">
        <f aca="false">$G8676*'Analyse capacite'!$F$8</f>
        <v>0</v>
      </c>
      <c r="I8676" s="135" t="n">
        <f aca="false">$G8676*'Analyse capacite'!$C$8</f>
        <v>0</v>
      </c>
      <c r="J8676" s="135" t="n">
        <f aca="false">$G8676*'Analyse capacite'!$D$8</f>
        <v>0</v>
      </c>
      <c r="K8676" s="135" t="n">
        <f aca="false">$G8676*'Analyse capacite'!$E$8</f>
        <v>0</v>
      </c>
    </row>
    <row r="8677" customFormat="false" ht="15" hidden="false" customHeight="false" outlineLevel="0" collapsed="false">
      <c r="B8677" s="130" t="n">
        <v>2027</v>
      </c>
      <c r="C8677" s="131" t="s">
        <v>253</v>
      </c>
      <c r="D8677" s="132" t="n">
        <v>46718</v>
      </c>
      <c r="E8677" s="131" t="s">
        <v>59</v>
      </c>
      <c r="F8677" s="133" t="s">
        <v>24</v>
      </c>
      <c r="G8677" s="134" t="n">
        <f aca="false">LEN('Saisie programme'!$I$318)+SUMIFS('Vols additionnels'!$E$7:$E$66,'Vols additionnels'!$C$7:$C$66,$E8677,'Vols additionnels'!$D$7:$D$66,$F8677,'Vols additionnels'!$B$7:$B$66,$D8677)</f>
        <v>1</v>
      </c>
      <c r="H8677" s="135" t="n">
        <f aca="false">$G8677*'Analyse capacite'!$F$9</f>
        <v>174</v>
      </c>
      <c r="I8677" s="135" t="n">
        <f aca="false">$G8677*'Analyse capacite'!$C$9</f>
        <v>0</v>
      </c>
      <c r="J8677" s="135" t="n">
        <f aca="false">$G8677*'Analyse capacite'!$D$9</f>
        <v>12</v>
      </c>
      <c r="K8677" s="135" t="n">
        <f aca="false">$G8677*'Analyse capacite'!$E$9</f>
        <v>162</v>
      </c>
    </row>
    <row r="8678" customFormat="false" ht="15" hidden="false" customHeight="false" outlineLevel="0" collapsed="false">
      <c r="B8678" s="130" t="n">
        <v>2027</v>
      </c>
      <c r="C8678" s="131" t="s">
        <v>253</v>
      </c>
      <c r="D8678" s="132" t="n">
        <v>46718</v>
      </c>
      <c r="E8678" s="131" t="s">
        <v>62</v>
      </c>
      <c r="F8678" s="133" t="s">
        <v>11</v>
      </c>
      <c r="G8678" s="134" t="n">
        <f aca="false">LEN('Saisie programme'!$I$319)+SUMIFS('Vols additionnels'!$E$7:$E$66,'Vols additionnels'!$C$7:$C$66,$E8678,'Vols additionnels'!$D$7:$D$66,$F8678,'Vols additionnels'!$B$7:$B$66,$D8678)</f>
        <v>0</v>
      </c>
      <c r="H8678" s="135" t="n">
        <f aca="false">$G8678*'Analyse capacite'!$F$7</f>
        <v>0</v>
      </c>
      <c r="I8678" s="135" t="n">
        <f aca="false">$G8678*'Analyse capacite'!$C$7</f>
        <v>0</v>
      </c>
      <c r="J8678" s="135" t="n">
        <f aca="false">$G8678*'Analyse capacite'!$D$7</f>
        <v>0</v>
      </c>
      <c r="K8678" s="135" t="n">
        <f aca="false">$G8678*'Analyse capacite'!$E$7</f>
        <v>0</v>
      </c>
    </row>
    <row r="8679" customFormat="false" ht="15" hidden="false" customHeight="false" outlineLevel="0" collapsed="false">
      <c r="B8679" s="130" t="n">
        <v>2027</v>
      </c>
      <c r="C8679" s="131" t="s">
        <v>253</v>
      </c>
      <c r="D8679" s="132" t="n">
        <v>46718</v>
      </c>
      <c r="E8679" s="131" t="s">
        <v>62</v>
      </c>
      <c r="F8679" s="133" t="s">
        <v>19</v>
      </c>
      <c r="G8679" s="134" t="n">
        <f aca="false">LEN('Saisie programme'!$I$320)+SUMIFS('Vols additionnels'!$E$7:$E$66,'Vols additionnels'!$C$7:$C$66,$E8679,'Vols additionnels'!$D$7:$D$66,$F8679,'Vols additionnels'!$B$7:$B$66,$D8679)</f>
        <v>0</v>
      </c>
      <c r="H8679" s="135" t="n">
        <f aca="false">$G8679*'Analyse capacite'!$F$8</f>
        <v>0</v>
      </c>
      <c r="I8679" s="135" t="n">
        <f aca="false">$G8679*'Analyse capacite'!$C$8</f>
        <v>0</v>
      </c>
      <c r="J8679" s="135" t="n">
        <f aca="false">$G8679*'Analyse capacite'!$D$8</f>
        <v>0</v>
      </c>
      <c r="K8679" s="135" t="n">
        <f aca="false">$G8679*'Analyse capacite'!$E$8</f>
        <v>0</v>
      </c>
    </row>
    <row r="8680" customFormat="false" ht="15" hidden="false" customHeight="false" outlineLevel="0" collapsed="false">
      <c r="B8680" s="130" t="n">
        <v>2027</v>
      </c>
      <c r="C8680" s="131" t="s">
        <v>253</v>
      </c>
      <c r="D8680" s="132" t="n">
        <v>46718</v>
      </c>
      <c r="E8680" s="131" t="s">
        <v>62</v>
      </c>
      <c r="F8680" s="133" t="s">
        <v>24</v>
      </c>
      <c r="G8680" s="134" t="n">
        <f aca="false">LEN('Saisie programme'!$I$321)+SUMIFS('Vols additionnels'!$E$7:$E$66,'Vols additionnels'!$C$7:$C$66,$E8680,'Vols additionnels'!$D$7:$D$66,$F8680,'Vols additionnels'!$B$7:$B$66,$D8680)</f>
        <v>0</v>
      </c>
      <c r="H8680" s="135" t="n">
        <f aca="false">$G8680*'Analyse capacite'!$F$9</f>
        <v>0</v>
      </c>
      <c r="I8680" s="135" t="n">
        <f aca="false">$G8680*'Analyse capacite'!$C$9</f>
        <v>0</v>
      </c>
      <c r="J8680" s="135" t="n">
        <f aca="false">$G8680*'Analyse capacite'!$D$9</f>
        <v>0</v>
      </c>
      <c r="K8680" s="135" t="n">
        <f aca="false">$G8680*'Analyse capacite'!$E$9</f>
        <v>0</v>
      </c>
    </row>
    <row r="8681" customFormat="false" ht="15" hidden="false" customHeight="false" outlineLevel="0" collapsed="false">
      <c r="B8681" s="130" t="n">
        <v>2027</v>
      </c>
      <c r="C8681" s="131" t="s">
        <v>253</v>
      </c>
      <c r="D8681" s="132" t="n">
        <v>46719</v>
      </c>
      <c r="E8681" s="131" t="s">
        <v>12</v>
      </c>
      <c r="F8681" s="133" t="s">
        <v>11</v>
      </c>
      <c r="G8681" s="134" t="n">
        <f aca="false">LEN('Saisie programme'!$J$286)+SUMIFS('Vols additionnels'!$E$7:$E$66,'Vols additionnels'!$C$7:$C$66,$E8681,'Vols additionnels'!$D$7:$D$66,$F8681,'Vols additionnels'!$B$7:$B$66,$D8681)</f>
        <v>1</v>
      </c>
      <c r="H8681" s="135" t="n">
        <f aca="false">$G8681*'Analyse capacite'!$F$7</f>
        <v>438</v>
      </c>
      <c r="I8681" s="135" t="n">
        <f aca="false">$G8681*'Analyse capacite'!$C$7</f>
        <v>14</v>
      </c>
      <c r="J8681" s="135" t="n">
        <f aca="false">$G8681*'Analyse capacite'!$D$7</f>
        <v>40</v>
      </c>
      <c r="K8681" s="135" t="n">
        <f aca="false">$G8681*'Analyse capacite'!$E$7</f>
        <v>384</v>
      </c>
    </row>
    <row r="8682" customFormat="false" ht="15" hidden="false" customHeight="false" outlineLevel="0" collapsed="false">
      <c r="B8682" s="130" t="n">
        <v>2027</v>
      </c>
      <c r="C8682" s="131" t="s">
        <v>253</v>
      </c>
      <c r="D8682" s="132" t="n">
        <v>46719</v>
      </c>
      <c r="E8682" s="131" t="s">
        <v>12</v>
      </c>
      <c r="F8682" s="133" t="s">
        <v>19</v>
      </c>
      <c r="G8682" s="134" t="n">
        <f aca="false">LEN('Saisie programme'!$J$287)+SUMIFS('Vols additionnels'!$E$7:$E$66,'Vols additionnels'!$C$7:$C$66,$E8682,'Vols additionnels'!$D$7:$D$66,$F8682,'Vols additionnels'!$B$7:$B$66,$D8682)</f>
        <v>0</v>
      </c>
      <c r="H8682" s="135" t="n">
        <f aca="false">$G8682*'Analyse capacite'!$F$8</f>
        <v>0</v>
      </c>
      <c r="I8682" s="135" t="n">
        <f aca="false">$G8682*'Analyse capacite'!$C$8</f>
        <v>0</v>
      </c>
      <c r="J8682" s="135" t="n">
        <f aca="false">$G8682*'Analyse capacite'!$D$8</f>
        <v>0</v>
      </c>
      <c r="K8682" s="135" t="n">
        <f aca="false">$G8682*'Analyse capacite'!$E$8</f>
        <v>0</v>
      </c>
    </row>
    <row r="8683" customFormat="false" ht="15" hidden="false" customHeight="false" outlineLevel="0" collapsed="false">
      <c r="B8683" s="130" t="n">
        <v>2027</v>
      </c>
      <c r="C8683" s="131" t="s">
        <v>253</v>
      </c>
      <c r="D8683" s="132" t="n">
        <v>46719</v>
      </c>
      <c r="E8683" s="131" t="s">
        <v>12</v>
      </c>
      <c r="F8683" s="133" t="s">
        <v>24</v>
      </c>
      <c r="G8683" s="134" t="n">
        <f aca="false">LEN('Saisie programme'!$J$288)+SUMIFS('Vols additionnels'!$E$7:$E$66,'Vols additionnels'!$C$7:$C$66,$E8683,'Vols additionnels'!$D$7:$D$66,$F8683,'Vols additionnels'!$B$7:$B$66,$D8683)</f>
        <v>0</v>
      </c>
      <c r="H8683" s="135" t="n">
        <f aca="false">$G8683*'Analyse capacite'!$F$9</f>
        <v>0</v>
      </c>
      <c r="I8683" s="135" t="n">
        <f aca="false">$G8683*'Analyse capacite'!$C$9</f>
        <v>0</v>
      </c>
      <c r="J8683" s="135" t="n">
        <f aca="false">$G8683*'Analyse capacite'!$D$9</f>
        <v>0</v>
      </c>
      <c r="K8683" s="135" t="n">
        <f aca="false">$G8683*'Analyse capacite'!$E$9</f>
        <v>0</v>
      </c>
    </row>
    <row r="8684" customFormat="false" ht="15" hidden="false" customHeight="false" outlineLevel="0" collapsed="false">
      <c r="B8684" s="130" t="n">
        <v>2027</v>
      </c>
      <c r="C8684" s="131" t="s">
        <v>253</v>
      </c>
      <c r="D8684" s="132" t="n">
        <v>46719</v>
      </c>
      <c r="E8684" s="131" t="s">
        <v>20</v>
      </c>
      <c r="F8684" s="133" t="s">
        <v>11</v>
      </c>
      <c r="G8684" s="134" t="n">
        <f aca="false">LEN('Saisie programme'!$J$289)+SUMIFS('Vols additionnels'!$E$7:$E$66,'Vols additionnels'!$C$7:$C$66,$E8684,'Vols additionnels'!$D$7:$D$66,$F8684,'Vols additionnels'!$B$7:$B$66,$D8684)</f>
        <v>1</v>
      </c>
      <c r="H8684" s="135" t="n">
        <f aca="false">$G8684*'Analyse capacite'!$F$7</f>
        <v>438</v>
      </c>
      <c r="I8684" s="135" t="n">
        <f aca="false">$G8684*'Analyse capacite'!$C$7</f>
        <v>14</v>
      </c>
      <c r="J8684" s="135" t="n">
        <f aca="false">$G8684*'Analyse capacite'!$D$7</f>
        <v>40</v>
      </c>
      <c r="K8684" s="135" t="n">
        <f aca="false">$G8684*'Analyse capacite'!$E$7</f>
        <v>384</v>
      </c>
    </row>
    <row r="8685" customFormat="false" ht="15" hidden="false" customHeight="false" outlineLevel="0" collapsed="false">
      <c r="B8685" s="130" t="n">
        <v>2027</v>
      </c>
      <c r="C8685" s="131" t="s">
        <v>253</v>
      </c>
      <c r="D8685" s="132" t="n">
        <v>46719</v>
      </c>
      <c r="E8685" s="131" t="s">
        <v>20</v>
      </c>
      <c r="F8685" s="133" t="s">
        <v>19</v>
      </c>
      <c r="G8685" s="134" t="n">
        <f aca="false">LEN('Saisie programme'!$J$290)+SUMIFS('Vols additionnels'!$E$7:$E$66,'Vols additionnels'!$C$7:$C$66,$E8685,'Vols additionnels'!$D$7:$D$66,$F8685,'Vols additionnels'!$B$7:$B$66,$D8685)</f>
        <v>0</v>
      </c>
      <c r="H8685" s="135" t="n">
        <f aca="false">$G8685*'Analyse capacite'!$F$8</f>
        <v>0</v>
      </c>
      <c r="I8685" s="135" t="n">
        <f aca="false">$G8685*'Analyse capacite'!$C$8</f>
        <v>0</v>
      </c>
      <c r="J8685" s="135" t="n">
        <f aca="false">$G8685*'Analyse capacite'!$D$8</f>
        <v>0</v>
      </c>
      <c r="K8685" s="135" t="n">
        <f aca="false">$G8685*'Analyse capacite'!$E$8</f>
        <v>0</v>
      </c>
    </row>
    <row r="8686" customFormat="false" ht="15" hidden="false" customHeight="false" outlineLevel="0" collapsed="false">
      <c r="B8686" s="130" t="n">
        <v>2027</v>
      </c>
      <c r="C8686" s="131" t="s">
        <v>253</v>
      </c>
      <c r="D8686" s="132" t="n">
        <v>46719</v>
      </c>
      <c r="E8686" s="131" t="s">
        <v>20</v>
      </c>
      <c r="F8686" s="133" t="s">
        <v>24</v>
      </c>
      <c r="G8686" s="134" t="n">
        <f aca="false">LEN('Saisie programme'!$J$291)+SUMIFS('Vols additionnels'!$E$7:$E$66,'Vols additionnels'!$C$7:$C$66,$E8686,'Vols additionnels'!$D$7:$D$66,$F8686,'Vols additionnels'!$B$7:$B$66,$D8686)</f>
        <v>0</v>
      </c>
      <c r="H8686" s="135" t="n">
        <f aca="false">$G8686*'Analyse capacite'!$F$9</f>
        <v>0</v>
      </c>
      <c r="I8686" s="135" t="n">
        <f aca="false">$G8686*'Analyse capacite'!$C$9</f>
        <v>0</v>
      </c>
      <c r="J8686" s="135" t="n">
        <f aca="false">$G8686*'Analyse capacite'!$D$9</f>
        <v>0</v>
      </c>
      <c r="K8686" s="135" t="n">
        <f aca="false">$G8686*'Analyse capacite'!$E$9</f>
        <v>0</v>
      </c>
    </row>
    <row r="8687" customFormat="false" ht="15" hidden="false" customHeight="false" outlineLevel="0" collapsed="false">
      <c r="B8687" s="130" t="n">
        <v>2027</v>
      </c>
      <c r="C8687" s="131" t="s">
        <v>253</v>
      </c>
      <c r="D8687" s="132" t="n">
        <v>46719</v>
      </c>
      <c r="E8687" s="131" t="s">
        <v>25</v>
      </c>
      <c r="F8687" s="133" t="s">
        <v>11</v>
      </c>
      <c r="G8687" s="134" t="n">
        <f aca="false">LEN('Saisie programme'!$J$292)+SUMIFS('Vols additionnels'!$E$7:$E$66,'Vols additionnels'!$C$7:$C$66,$E8687,'Vols additionnels'!$D$7:$D$66,$F8687,'Vols additionnels'!$B$7:$B$66,$D8687)</f>
        <v>0</v>
      </c>
      <c r="H8687" s="135" t="n">
        <f aca="false">$G8687*'Analyse capacite'!$F$7</f>
        <v>0</v>
      </c>
      <c r="I8687" s="135" t="n">
        <f aca="false">$G8687*'Analyse capacite'!$C$7</f>
        <v>0</v>
      </c>
      <c r="J8687" s="135" t="n">
        <f aca="false">$G8687*'Analyse capacite'!$D$7</f>
        <v>0</v>
      </c>
      <c r="K8687" s="135" t="n">
        <f aca="false">$G8687*'Analyse capacite'!$E$7</f>
        <v>0</v>
      </c>
    </row>
    <row r="8688" customFormat="false" ht="15" hidden="false" customHeight="false" outlineLevel="0" collapsed="false">
      <c r="B8688" s="130" t="n">
        <v>2027</v>
      </c>
      <c r="C8688" s="131" t="s">
        <v>253</v>
      </c>
      <c r="D8688" s="132" t="n">
        <v>46719</v>
      </c>
      <c r="E8688" s="131" t="s">
        <v>25</v>
      </c>
      <c r="F8688" s="133" t="s">
        <v>19</v>
      </c>
      <c r="G8688" s="134" t="n">
        <f aca="false">LEN('Saisie programme'!$J$293)+SUMIFS('Vols additionnels'!$E$7:$E$66,'Vols additionnels'!$C$7:$C$66,$E8688,'Vols additionnels'!$D$7:$D$66,$F8688,'Vols additionnels'!$B$7:$B$66,$D8688)</f>
        <v>0</v>
      </c>
      <c r="H8688" s="135" t="n">
        <f aca="false">$G8688*'Analyse capacite'!$F$8</f>
        <v>0</v>
      </c>
      <c r="I8688" s="135" t="n">
        <f aca="false">$G8688*'Analyse capacite'!$C$8</f>
        <v>0</v>
      </c>
      <c r="J8688" s="135" t="n">
        <f aca="false">$G8688*'Analyse capacite'!$D$8</f>
        <v>0</v>
      </c>
      <c r="K8688" s="135" t="n">
        <f aca="false">$G8688*'Analyse capacite'!$E$8</f>
        <v>0</v>
      </c>
    </row>
    <row r="8689" customFormat="false" ht="15" hidden="false" customHeight="false" outlineLevel="0" collapsed="false">
      <c r="B8689" s="130" t="n">
        <v>2027</v>
      </c>
      <c r="C8689" s="131" t="s">
        <v>253</v>
      </c>
      <c r="D8689" s="132" t="n">
        <v>46719</v>
      </c>
      <c r="E8689" s="131" t="s">
        <v>25</v>
      </c>
      <c r="F8689" s="133" t="s">
        <v>24</v>
      </c>
      <c r="G8689" s="134" t="n">
        <f aca="false">LEN('Saisie programme'!$J$294)+SUMIFS('Vols additionnels'!$E$7:$E$66,'Vols additionnels'!$C$7:$C$66,$E8689,'Vols additionnels'!$D$7:$D$66,$F8689,'Vols additionnels'!$B$7:$B$66,$D8689)</f>
        <v>0</v>
      </c>
      <c r="H8689" s="135" t="n">
        <f aca="false">$G8689*'Analyse capacite'!$F$9</f>
        <v>0</v>
      </c>
      <c r="I8689" s="135" t="n">
        <f aca="false">$G8689*'Analyse capacite'!$C$9</f>
        <v>0</v>
      </c>
      <c r="J8689" s="135" t="n">
        <f aca="false">$G8689*'Analyse capacite'!$D$9</f>
        <v>0</v>
      </c>
      <c r="K8689" s="135" t="n">
        <f aca="false">$G8689*'Analyse capacite'!$E$9</f>
        <v>0</v>
      </c>
    </row>
    <row r="8690" customFormat="false" ht="15" hidden="false" customHeight="false" outlineLevel="0" collapsed="false">
      <c r="B8690" s="130" t="n">
        <v>2027</v>
      </c>
      <c r="C8690" s="131" t="s">
        <v>253</v>
      </c>
      <c r="D8690" s="132" t="n">
        <v>46719</v>
      </c>
      <c r="E8690" s="131" t="s">
        <v>36</v>
      </c>
      <c r="F8690" s="133" t="s">
        <v>11</v>
      </c>
      <c r="G8690" s="134" t="n">
        <f aca="false">LEN('Saisie programme'!$J$295)+SUMIFS('Vols additionnels'!$E$7:$E$66,'Vols additionnels'!$C$7:$C$66,$E8690,'Vols additionnels'!$D$7:$D$66,$F8690,'Vols additionnels'!$B$7:$B$66,$D8690)</f>
        <v>0</v>
      </c>
      <c r="H8690" s="135" t="n">
        <f aca="false">$G8690*'Analyse capacite'!$F$7</f>
        <v>0</v>
      </c>
      <c r="I8690" s="135" t="n">
        <f aca="false">$G8690*'Analyse capacite'!$C$7</f>
        <v>0</v>
      </c>
      <c r="J8690" s="135" t="n">
        <f aca="false">$G8690*'Analyse capacite'!$D$7</f>
        <v>0</v>
      </c>
      <c r="K8690" s="135" t="n">
        <f aca="false">$G8690*'Analyse capacite'!$E$7</f>
        <v>0</v>
      </c>
    </row>
    <row r="8691" customFormat="false" ht="15" hidden="false" customHeight="false" outlineLevel="0" collapsed="false">
      <c r="B8691" s="130" t="n">
        <v>2027</v>
      </c>
      <c r="C8691" s="131" t="s">
        <v>253</v>
      </c>
      <c r="D8691" s="132" t="n">
        <v>46719</v>
      </c>
      <c r="E8691" s="131" t="s">
        <v>36</v>
      </c>
      <c r="F8691" s="133" t="s">
        <v>19</v>
      </c>
      <c r="G8691" s="134" t="n">
        <f aca="false">LEN('Saisie programme'!$J$296)+SUMIFS('Vols additionnels'!$E$7:$E$66,'Vols additionnels'!$C$7:$C$66,$E8691,'Vols additionnels'!$D$7:$D$66,$F8691,'Vols additionnels'!$B$7:$B$66,$D8691)</f>
        <v>0</v>
      </c>
      <c r="H8691" s="135" t="n">
        <f aca="false">$G8691*'Analyse capacite'!$F$8</f>
        <v>0</v>
      </c>
      <c r="I8691" s="135" t="n">
        <f aca="false">$G8691*'Analyse capacite'!$C$8</f>
        <v>0</v>
      </c>
      <c r="J8691" s="135" t="n">
        <f aca="false">$G8691*'Analyse capacite'!$D$8</f>
        <v>0</v>
      </c>
      <c r="K8691" s="135" t="n">
        <f aca="false">$G8691*'Analyse capacite'!$E$8</f>
        <v>0</v>
      </c>
    </row>
    <row r="8692" customFormat="false" ht="15" hidden="false" customHeight="false" outlineLevel="0" collapsed="false">
      <c r="B8692" s="130" t="n">
        <v>2027</v>
      </c>
      <c r="C8692" s="131" t="s">
        <v>253</v>
      </c>
      <c r="D8692" s="132" t="n">
        <v>46719</v>
      </c>
      <c r="E8692" s="131" t="s">
        <v>36</v>
      </c>
      <c r="F8692" s="133" t="s">
        <v>24</v>
      </c>
      <c r="G8692" s="134" t="n">
        <f aca="false">LEN('Saisie programme'!$J$297)+SUMIFS('Vols additionnels'!$E$7:$E$66,'Vols additionnels'!$C$7:$C$66,$E8692,'Vols additionnels'!$D$7:$D$66,$F8692,'Vols additionnels'!$B$7:$B$66,$D8692)</f>
        <v>0</v>
      </c>
      <c r="H8692" s="135" t="n">
        <f aca="false">$G8692*'Analyse capacite'!$F$9</f>
        <v>0</v>
      </c>
      <c r="I8692" s="135" t="n">
        <f aca="false">$G8692*'Analyse capacite'!$C$9</f>
        <v>0</v>
      </c>
      <c r="J8692" s="135" t="n">
        <f aca="false">$G8692*'Analyse capacite'!$D$9</f>
        <v>0</v>
      </c>
      <c r="K8692" s="135" t="n">
        <f aca="false">$G8692*'Analyse capacite'!$E$9</f>
        <v>0</v>
      </c>
    </row>
    <row r="8693" customFormat="false" ht="15" hidden="false" customHeight="false" outlineLevel="0" collapsed="false">
      <c r="B8693" s="130" t="n">
        <v>2027</v>
      </c>
      <c r="C8693" s="131" t="s">
        <v>253</v>
      </c>
      <c r="D8693" s="132" t="n">
        <v>46719</v>
      </c>
      <c r="E8693" s="131" t="s">
        <v>40</v>
      </c>
      <c r="F8693" s="133" t="s">
        <v>11</v>
      </c>
      <c r="G8693" s="134" t="n">
        <f aca="false">LEN('Saisie programme'!$J$298)+SUMIFS('Vols additionnels'!$E$7:$E$66,'Vols additionnels'!$C$7:$C$66,$E8693,'Vols additionnels'!$D$7:$D$66,$F8693,'Vols additionnels'!$B$7:$B$66,$D8693)</f>
        <v>0</v>
      </c>
      <c r="H8693" s="135" t="n">
        <f aca="false">$G8693*'Analyse capacite'!$F$7</f>
        <v>0</v>
      </c>
      <c r="I8693" s="135" t="n">
        <f aca="false">$G8693*'Analyse capacite'!$C$7</f>
        <v>0</v>
      </c>
      <c r="J8693" s="135" t="n">
        <f aca="false">$G8693*'Analyse capacite'!$D$7</f>
        <v>0</v>
      </c>
      <c r="K8693" s="135" t="n">
        <f aca="false">$G8693*'Analyse capacite'!$E$7</f>
        <v>0</v>
      </c>
    </row>
    <row r="8694" customFormat="false" ht="15" hidden="false" customHeight="false" outlineLevel="0" collapsed="false">
      <c r="B8694" s="130" t="n">
        <v>2027</v>
      </c>
      <c r="C8694" s="131" t="s">
        <v>253</v>
      </c>
      <c r="D8694" s="132" t="n">
        <v>46719</v>
      </c>
      <c r="E8694" s="131" t="s">
        <v>40</v>
      </c>
      <c r="F8694" s="133" t="s">
        <v>19</v>
      </c>
      <c r="G8694" s="134" t="n">
        <f aca="false">LEN('Saisie programme'!$J$299)+SUMIFS('Vols additionnels'!$E$7:$E$66,'Vols additionnels'!$C$7:$C$66,$E8694,'Vols additionnels'!$D$7:$D$66,$F8694,'Vols additionnels'!$B$7:$B$66,$D8694)</f>
        <v>0</v>
      </c>
      <c r="H8694" s="135" t="n">
        <f aca="false">$G8694*'Analyse capacite'!$F$8</f>
        <v>0</v>
      </c>
      <c r="I8694" s="135" t="n">
        <f aca="false">$G8694*'Analyse capacite'!$C$8</f>
        <v>0</v>
      </c>
      <c r="J8694" s="135" t="n">
        <f aca="false">$G8694*'Analyse capacite'!$D$8</f>
        <v>0</v>
      </c>
      <c r="K8694" s="135" t="n">
        <f aca="false">$G8694*'Analyse capacite'!$E$8</f>
        <v>0</v>
      </c>
    </row>
    <row r="8695" customFormat="false" ht="15" hidden="false" customHeight="false" outlineLevel="0" collapsed="false">
      <c r="B8695" s="130" t="n">
        <v>2027</v>
      </c>
      <c r="C8695" s="131" t="s">
        <v>253</v>
      </c>
      <c r="D8695" s="132" t="n">
        <v>46719</v>
      </c>
      <c r="E8695" s="131" t="s">
        <v>40</v>
      </c>
      <c r="F8695" s="133" t="s">
        <v>24</v>
      </c>
      <c r="G8695" s="134" t="n">
        <f aca="false">LEN('Saisie programme'!$J$300)+SUMIFS('Vols additionnels'!$E$7:$E$66,'Vols additionnels'!$C$7:$C$66,$E8695,'Vols additionnels'!$D$7:$D$66,$F8695,'Vols additionnels'!$B$7:$B$66,$D8695)</f>
        <v>1</v>
      </c>
      <c r="H8695" s="135" t="n">
        <f aca="false">$G8695*'Analyse capacite'!$F$9</f>
        <v>174</v>
      </c>
      <c r="I8695" s="135" t="n">
        <f aca="false">$G8695*'Analyse capacite'!$C$9</f>
        <v>0</v>
      </c>
      <c r="J8695" s="135" t="n">
        <f aca="false">$G8695*'Analyse capacite'!$D$9</f>
        <v>12</v>
      </c>
      <c r="K8695" s="135" t="n">
        <f aca="false">$G8695*'Analyse capacite'!$E$9</f>
        <v>162</v>
      </c>
    </row>
    <row r="8696" customFormat="false" ht="15" hidden="false" customHeight="false" outlineLevel="0" collapsed="false">
      <c r="B8696" s="130" t="n">
        <v>2027</v>
      </c>
      <c r="C8696" s="131" t="s">
        <v>253</v>
      </c>
      <c r="D8696" s="132" t="n">
        <v>46719</v>
      </c>
      <c r="E8696" s="131" t="s">
        <v>14</v>
      </c>
      <c r="F8696" s="133" t="s">
        <v>11</v>
      </c>
      <c r="G8696" s="134" t="n">
        <f aca="false">LEN('Saisie programme'!$J$301)+SUMIFS('Vols additionnels'!$E$7:$E$66,'Vols additionnels'!$C$7:$C$66,$E8696,'Vols additionnels'!$D$7:$D$66,$F8696,'Vols additionnels'!$B$7:$B$66,$D8696)</f>
        <v>0</v>
      </c>
      <c r="H8696" s="135" t="n">
        <f aca="false">$G8696*'Analyse capacite'!$F$7</f>
        <v>0</v>
      </c>
      <c r="I8696" s="135" t="n">
        <f aca="false">$G8696*'Analyse capacite'!$C$7</f>
        <v>0</v>
      </c>
      <c r="J8696" s="135" t="n">
        <f aca="false">$G8696*'Analyse capacite'!$D$7</f>
        <v>0</v>
      </c>
      <c r="K8696" s="135" t="n">
        <f aca="false">$G8696*'Analyse capacite'!$E$7</f>
        <v>0</v>
      </c>
    </row>
    <row r="8697" customFormat="false" ht="15" hidden="false" customHeight="false" outlineLevel="0" collapsed="false">
      <c r="B8697" s="130" t="n">
        <v>2027</v>
      </c>
      <c r="C8697" s="131" t="s">
        <v>253</v>
      </c>
      <c r="D8697" s="132" t="n">
        <v>46719</v>
      </c>
      <c r="E8697" s="131" t="s">
        <v>14</v>
      </c>
      <c r="F8697" s="133" t="s">
        <v>19</v>
      </c>
      <c r="G8697" s="134" t="n">
        <f aca="false">LEN('Saisie programme'!$J$302)+SUMIFS('Vols additionnels'!$E$7:$E$66,'Vols additionnels'!$C$7:$C$66,$E8697,'Vols additionnels'!$D$7:$D$66,$F8697,'Vols additionnels'!$B$7:$B$66,$D8697)</f>
        <v>0</v>
      </c>
      <c r="H8697" s="135" t="n">
        <f aca="false">$G8697*'Analyse capacite'!$F$8</f>
        <v>0</v>
      </c>
      <c r="I8697" s="135" t="n">
        <f aca="false">$G8697*'Analyse capacite'!$C$8</f>
        <v>0</v>
      </c>
      <c r="J8697" s="135" t="n">
        <f aca="false">$G8697*'Analyse capacite'!$D$8</f>
        <v>0</v>
      </c>
      <c r="K8697" s="135" t="n">
        <f aca="false">$G8697*'Analyse capacite'!$E$8</f>
        <v>0</v>
      </c>
    </row>
    <row r="8698" customFormat="false" ht="15" hidden="false" customHeight="false" outlineLevel="0" collapsed="false">
      <c r="B8698" s="130" t="n">
        <v>2027</v>
      </c>
      <c r="C8698" s="131" t="s">
        <v>253</v>
      </c>
      <c r="D8698" s="132" t="n">
        <v>46719</v>
      </c>
      <c r="E8698" s="131" t="s">
        <v>14</v>
      </c>
      <c r="F8698" s="133" t="s">
        <v>24</v>
      </c>
      <c r="G8698" s="134" t="n">
        <f aca="false">LEN('Saisie programme'!$J$303)+SUMIFS('Vols additionnels'!$E$7:$E$66,'Vols additionnels'!$C$7:$C$66,$E8698,'Vols additionnels'!$D$7:$D$66,$F8698,'Vols additionnels'!$B$7:$B$66,$D8698)</f>
        <v>0</v>
      </c>
      <c r="H8698" s="135" t="n">
        <f aca="false">$G8698*'Analyse capacite'!$F$9</f>
        <v>0</v>
      </c>
      <c r="I8698" s="135" t="n">
        <f aca="false">$G8698*'Analyse capacite'!$C$9</f>
        <v>0</v>
      </c>
      <c r="J8698" s="135" t="n">
        <f aca="false">$G8698*'Analyse capacite'!$D$9</f>
        <v>0</v>
      </c>
      <c r="K8698" s="135" t="n">
        <f aca="false">$G8698*'Analyse capacite'!$E$9</f>
        <v>0</v>
      </c>
    </row>
    <row r="8699" customFormat="false" ht="15" hidden="false" customHeight="false" outlineLevel="0" collapsed="false">
      <c r="B8699" s="130" t="n">
        <v>2027</v>
      </c>
      <c r="C8699" s="131" t="s">
        <v>253</v>
      </c>
      <c r="D8699" s="132" t="n">
        <v>46719</v>
      </c>
      <c r="E8699" s="131" t="s">
        <v>46</v>
      </c>
      <c r="F8699" s="133" t="s">
        <v>11</v>
      </c>
      <c r="G8699" s="134" t="n">
        <f aca="false">LEN('Saisie programme'!$J$304)+SUMIFS('Vols additionnels'!$E$7:$E$66,'Vols additionnels'!$C$7:$C$66,$E8699,'Vols additionnels'!$D$7:$D$66,$F8699,'Vols additionnels'!$B$7:$B$66,$D8699)</f>
        <v>0</v>
      </c>
      <c r="H8699" s="135" t="n">
        <f aca="false">$G8699*'Analyse capacite'!$F$7</f>
        <v>0</v>
      </c>
      <c r="I8699" s="135" t="n">
        <f aca="false">$G8699*'Analyse capacite'!$C$7</f>
        <v>0</v>
      </c>
      <c r="J8699" s="135" t="n">
        <f aca="false">$G8699*'Analyse capacite'!$D$7</f>
        <v>0</v>
      </c>
      <c r="K8699" s="135" t="n">
        <f aca="false">$G8699*'Analyse capacite'!$E$7</f>
        <v>0</v>
      </c>
    </row>
    <row r="8700" customFormat="false" ht="15" hidden="false" customHeight="false" outlineLevel="0" collapsed="false">
      <c r="B8700" s="130" t="n">
        <v>2027</v>
      </c>
      <c r="C8700" s="131" t="s">
        <v>253</v>
      </c>
      <c r="D8700" s="132" t="n">
        <v>46719</v>
      </c>
      <c r="E8700" s="131" t="s">
        <v>46</v>
      </c>
      <c r="F8700" s="133" t="s">
        <v>19</v>
      </c>
      <c r="G8700" s="134" t="n">
        <f aca="false">LEN('Saisie programme'!$J$305)+SUMIFS('Vols additionnels'!$E$7:$E$66,'Vols additionnels'!$C$7:$C$66,$E8700,'Vols additionnels'!$D$7:$D$66,$F8700,'Vols additionnels'!$B$7:$B$66,$D8700)</f>
        <v>0</v>
      </c>
      <c r="H8700" s="135" t="n">
        <f aca="false">$G8700*'Analyse capacite'!$F$8</f>
        <v>0</v>
      </c>
      <c r="I8700" s="135" t="n">
        <f aca="false">$G8700*'Analyse capacite'!$C$8</f>
        <v>0</v>
      </c>
      <c r="J8700" s="135" t="n">
        <f aca="false">$G8700*'Analyse capacite'!$D$8</f>
        <v>0</v>
      </c>
      <c r="K8700" s="135" t="n">
        <f aca="false">$G8700*'Analyse capacite'!$E$8</f>
        <v>0</v>
      </c>
    </row>
    <row r="8701" customFormat="false" ht="15" hidden="false" customHeight="false" outlineLevel="0" collapsed="false">
      <c r="B8701" s="130" t="n">
        <v>2027</v>
      </c>
      <c r="C8701" s="131" t="s">
        <v>253</v>
      </c>
      <c r="D8701" s="132" t="n">
        <v>46719</v>
      </c>
      <c r="E8701" s="131" t="s">
        <v>46</v>
      </c>
      <c r="F8701" s="133" t="s">
        <v>24</v>
      </c>
      <c r="G8701" s="134" t="n">
        <f aca="false">LEN('Saisie programme'!$J$306)+SUMIFS('Vols additionnels'!$E$7:$E$66,'Vols additionnels'!$C$7:$C$66,$E8701,'Vols additionnels'!$D$7:$D$66,$F8701,'Vols additionnels'!$B$7:$B$66,$D8701)</f>
        <v>0</v>
      </c>
      <c r="H8701" s="135" t="n">
        <f aca="false">$G8701*'Analyse capacite'!$F$9</f>
        <v>0</v>
      </c>
      <c r="I8701" s="135" t="n">
        <f aca="false">$G8701*'Analyse capacite'!$C$9</f>
        <v>0</v>
      </c>
      <c r="J8701" s="135" t="n">
        <f aca="false">$G8701*'Analyse capacite'!$D$9</f>
        <v>0</v>
      </c>
      <c r="K8701" s="135" t="n">
        <f aca="false">$G8701*'Analyse capacite'!$E$9</f>
        <v>0</v>
      </c>
    </row>
    <row r="8702" customFormat="false" ht="15" hidden="false" customHeight="false" outlineLevel="0" collapsed="false">
      <c r="B8702" s="130" t="n">
        <v>2027</v>
      </c>
      <c r="C8702" s="131" t="s">
        <v>253</v>
      </c>
      <c r="D8702" s="132" t="n">
        <v>46719</v>
      </c>
      <c r="E8702" s="131" t="s">
        <v>49</v>
      </c>
      <c r="F8702" s="133" t="s">
        <v>11</v>
      </c>
      <c r="G8702" s="134" t="n">
        <f aca="false">LEN('Saisie programme'!$J$307)+SUMIFS('Vols additionnels'!$E$7:$E$66,'Vols additionnels'!$C$7:$C$66,$E8702,'Vols additionnels'!$D$7:$D$66,$F8702,'Vols additionnels'!$B$7:$B$66,$D8702)</f>
        <v>0</v>
      </c>
      <c r="H8702" s="135" t="n">
        <f aca="false">$G8702*'Analyse capacite'!$F$7</f>
        <v>0</v>
      </c>
      <c r="I8702" s="135" t="n">
        <f aca="false">$G8702*'Analyse capacite'!$C$7</f>
        <v>0</v>
      </c>
      <c r="J8702" s="135" t="n">
        <f aca="false">$G8702*'Analyse capacite'!$D$7</f>
        <v>0</v>
      </c>
      <c r="K8702" s="135" t="n">
        <f aca="false">$G8702*'Analyse capacite'!$E$7</f>
        <v>0</v>
      </c>
    </row>
    <row r="8703" customFormat="false" ht="15" hidden="false" customHeight="false" outlineLevel="0" collapsed="false">
      <c r="B8703" s="130" t="n">
        <v>2027</v>
      </c>
      <c r="C8703" s="131" t="s">
        <v>253</v>
      </c>
      <c r="D8703" s="132" t="n">
        <v>46719</v>
      </c>
      <c r="E8703" s="131" t="s">
        <v>49</v>
      </c>
      <c r="F8703" s="133" t="s">
        <v>19</v>
      </c>
      <c r="G8703" s="134" t="n">
        <f aca="false">LEN('Saisie programme'!$J$308)+SUMIFS('Vols additionnels'!$E$7:$E$66,'Vols additionnels'!$C$7:$C$66,$E8703,'Vols additionnels'!$D$7:$D$66,$F8703,'Vols additionnels'!$B$7:$B$66,$D8703)</f>
        <v>0</v>
      </c>
      <c r="H8703" s="135" t="n">
        <f aca="false">$G8703*'Analyse capacite'!$F$8</f>
        <v>0</v>
      </c>
      <c r="I8703" s="135" t="n">
        <f aca="false">$G8703*'Analyse capacite'!$C$8</f>
        <v>0</v>
      </c>
      <c r="J8703" s="135" t="n">
        <f aca="false">$G8703*'Analyse capacite'!$D$8</f>
        <v>0</v>
      </c>
      <c r="K8703" s="135" t="n">
        <f aca="false">$G8703*'Analyse capacite'!$E$8</f>
        <v>0</v>
      </c>
    </row>
    <row r="8704" customFormat="false" ht="15" hidden="false" customHeight="false" outlineLevel="0" collapsed="false">
      <c r="B8704" s="130" t="n">
        <v>2027</v>
      </c>
      <c r="C8704" s="131" t="s">
        <v>253</v>
      </c>
      <c r="D8704" s="132" t="n">
        <v>46719</v>
      </c>
      <c r="E8704" s="131" t="s">
        <v>49</v>
      </c>
      <c r="F8704" s="133" t="s">
        <v>24</v>
      </c>
      <c r="G8704" s="134" t="n">
        <f aca="false">LEN('Saisie programme'!$J$309)+SUMIFS('Vols additionnels'!$E$7:$E$66,'Vols additionnels'!$C$7:$C$66,$E8704,'Vols additionnels'!$D$7:$D$66,$F8704,'Vols additionnels'!$B$7:$B$66,$D8704)</f>
        <v>0</v>
      </c>
      <c r="H8704" s="135" t="n">
        <f aca="false">$G8704*'Analyse capacite'!$F$9</f>
        <v>0</v>
      </c>
      <c r="I8704" s="135" t="n">
        <f aca="false">$G8704*'Analyse capacite'!$C$9</f>
        <v>0</v>
      </c>
      <c r="J8704" s="135" t="n">
        <f aca="false">$G8704*'Analyse capacite'!$D$9</f>
        <v>0</v>
      </c>
      <c r="K8704" s="135" t="n">
        <f aca="false">$G8704*'Analyse capacite'!$E$9</f>
        <v>0</v>
      </c>
    </row>
    <row r="8705" customFormat="false" ht="15" hidden="false" customHeight="false" outlineLevel="0" collapsed="false">
      <c r="B8705" s="130" t="n">
        <v>2027</v>
      </c>
      <c r="C8705" s="131" t="s">
        <v>253</v>
      </c>
      <c r="D8705" s="132" t="n">
        <v>46719</v>
      </c>
      <c r="E8705" s="131" t="s">
        <v>53</v>
      </c>
      <c r="F8705" s="133" t="s">
        <v>11</v>
      </c>
      <c r="G8705" s="134" t="n">
        <f aca="false">LEN('Saisie programme'!$J$310)+SUMIFS('Vols additionnels'!$E$7:$E$66,'Vols additionnels'!$C$7:$C$66,$E8705,'Vols additionnels'!$D$7:$D$66,$F8705,'Vols additionnels'!$B$7:$B$66,$D8705)</f>
        <v>0</v>
      </c>
      <c r="H8705" s="135" t="n">
        <f aca="false">$G8705*'Analyse capacite'!$F$7</f>
        <v>0</v>
      </c>
      <c r="I8705" s="135" t="n">
        <f aca="false">$G8705*'Analyse capacite'!$C$7</f>
        <v>0</v>
      </c>
      <c r="J8705" s="135" t="n">
        <f aca="false">$G8705*'Analyse capacite'!$D$7</f>
        <v>0</v>
      </c>
      <c r="K8705" s="135" t="n">
        <f aca="false">$G8705*'Analyse capacite'!$E$7</f>
        <v>0</v>
      </c>
    </row>
    <row r="8706" customFormat="false" ht="15" hidden="false" customHeight="false" outlineLevel="0" collapsed="false">
      <c r="B8706" s="130" t="n">
        <v>2027</v>
      </c>
      <c r="C8706" s="131" t="s">
        <v>253</v>
      </c>
      <c r="D8706" s="132" t="n">
        <v>46719</v>
      </c>
      <c r="E8706" s="131" t="s">
        <v>53</v>
      </c>
      <c r="F8706" s="133" t="s">
        <v>19</v>
      </c>
      <c r="G8706" s="134" t="n">
        <f aca="false">LEN('Saisie programme'!$J$311)+SUMIFS('Vols additionnels'!$E$7:$E$66,'Vols additionnels'!$C$7:$C$66,$E8706,'Vols additionnels'!$D$7:$D$66,$F8706,'Vols additionnels'!$B$7:$B$66,$D8706)</f>
        <v>0</v>
      </c>
      <c r="H8706" s="135" t="n">
        <f aca="false">$G8706*'Analyse capacite'!$F$8</f>
        <v>0</v>
      </c>
      <c r="I8706" s="135" t="n">
        <f aca="false">$G8706*'Analyse capacite'!$C$8</f>
        <v>0</v>
      </c>
      <c r="J8706" s="135" t="n">
        <f aca="false">$G8706*'Analyse capacite'!$D$8</f>
        <v>0</v>
      </c>
      <c r="K8706" s="135" t="n">
        <f aca="false">$G8706*'Analyse capacite'!$E$8</f>
        <v>0</v>
      </c>
    </row>
    <row r="8707" customFormat="false" ht="15" hidden="false" customHeight="false" outlineLevel="0" collapsed="false">
      <c r="B8707" s="130" t="n">
        <v>2027</v>
      </c>
      <c r="C8707" s="131" t="s">
        <v>253</v>
      </c>
      <c r="D8707" s="132" t="n">
        <v>46719</v>
      </c>
      <c r="E8707" s="131" t="s">
        <v>53</v>
      </c>
      <c r="F8707" s="133" t="s">
        <v>24</v>
      </c>
      <c r="G8707" s="134" t="n">
        <f aca="false">LEN('Saisie programme'!$J$312)+SUMIFS('Vols additionnels'!$E$7:$E$66,'Vols additionnels'!$C$7:$C$66,$E8707,'Vols additionnels'!$D$7:$D$66,$F8707,'Vols additionnels'!$B$7:$B$66,$D8707)</f>
        <v>0</v>
      </c>
      <c r="H8707" s="135" t="n">
        <f aca="false">$G8707*'Analyse capacite'!$F$9</f>
        <v>0</v>
      </c>
      <c r="I8707" s="135" t="n">
        <f aca="false">$G8707*'Analyse capacite'!$C$9</f>
        <v>0</v>
      </c>
      <c r="J8707" s="135" t="n">
        <f aca="false">$G8707*'Analyse capacite'!$D$9</f>
        <v>0</v>
      </c>
      <c r="K8707" s="135" t="n">
        <f aca="false">$G8707*'Analyse capacite'!$E$9</f>
        <v>0</v>
      </c>
    </row>
    <row r="8708" customFormat="false" ht="15" hidden="false" customHeight="false" outlineLevel="0" collapsed="false">
      <c r="B8708" s="130" t="n">
        <v>2027</v>
      </c>
      <c r="C8708" s="131" t="s">
        <v>253</v>
      </c>
      <c r="D8708" s="132" t="n">
        <v>46719</v>
      </c>
      <c r="E8708" s="131" t="s">
        <v>56</v>
      </c>
      <c r="F8708" s="133" t="s">
        <v>11</v>
      </c>
      <c r="G8708" s="134" t="n">
        <f aca="false">LEN('Saisie programme'!$J$313)+SUMIFS('Vols additionnels'!$E$7:$E$66,'Vols additionnels'!$C$7:$C$66,$E8708,'Vols additionnels'!$D$7:$D$66,$F8708,'Vols additionnels'!$B$7:$B$66,$D8708)</f>
        <v>0</v>
      </c>
      <c r="H8708" s="135" t="n">
        <f aca="false">$G8708*'Analyse capacite'!$F$7</f>
        <v>0</v>
      </c>
      <c r="I8708" s="135" t="n">
        <f aca="false">$G8708*'Analyse capacite'!$C$7</f>
        <v>0</v>
      </c>
      <c r="J8708" s="135" t="n">
        <f aca="false">$G8708*'Analyse capacite'!$D$7</f>
        <v>0</v>
      </c>
      <c r="K8708" s="135" t="n">
        <f aca="false">$G8708*'Analyse capacite'!$E$7</f>
        <v>0</v>
      </c>
    </row>
    <row r="8709" customFormat="false" ht="15" hidden="false" customHeight="false" outlineLevel="0" collapsed="false">
      <c r="B8709" s="130" t="n">
        <v>2027</v>
      </c>
      <c r="C8709" s="131" t="s">
        <v>253</v>
      </c>
      <c r="D8709" s="132" t="n">
        <v>46719</v>
      </c>
      <c r="E8709" s="131" t="s">
        <v>56</v>
      </c>
      <c r="F8709" s="133" t="s">
        <v>19</v>
      </c>
      <c r="G8709" s="134" t="n">
        <f aca="false">LEN('Saisie programme'!$J$314)+SUMIFS('Vols additionnels'!$E$7:$E$66,'Vols additionnels'!$C$7:$C$66,$E8709,'Vols additionnels'!$D$7:$D$66,$F8709,'Vols additionnels'!$B$7:$B$66,$D8709)</f>
        <v>0</v>
      </c>
      <c r="H8709" s="135" t="n">
        <f aca="false">$G8709*'Analyse capacite'!$F$8</f>
        <v>0</v>
      </c>
      <c r="I8709" s="135" t="n">
        <f aca="false">$G8709*'Analyse capacite'!$C$8</f>
        <v>0</v>
      </c>
      <c r="J8709" s="135" t="n">
        <f aca="false">$G8709*'Analyse capacite'!$D$8</f>
        <v>0</v>
      </c>
      <c r="K8709" s="135" t="n">
        <f aca="false">$G8709*'Analyse capacite'!$E$8</f>
        <v>0</v>
      </c>
    </row>
    <row r="8710" customFormat="false" ht="15" hidden="false" customHeight="false" outlineLevel="0" collapsed="false">
      <c r="B8710" s="130" t="n">
        <v>2027</v>
      </c>
      <c r="C8710" s="131" t="s">
        <v>253</v>
      </c>
      <c r="D8710" s="132" t="n">
        <v>46719</v>
      </c>
      <c r="E8710" s="131" t="s">
        <v>56</v>
      </c>
      <c r="F8710" s="133" t="s">
        <v>24</v>
      </c>
      <c r="G8710" s="134" t="n">
        <f aca="false">LEN('Saisie programme'!$J$315)+SUMIFS('Vols additionnels'!$E$7:$E$66,'Vols additionnels'!$C$7:$C$66,$E8710,'Vols additionnels'!$D$7:$D$66,$F8710,'Vols additionnels'!$B$7:$B$66,$D8710)</f>
        <v>0</v>
      </c>
      <c r="H8710" s="135" t="n">
        <f aca="false">$G8710*'Analyse capacite'!$F$9</f>
        <v>0</v>
      </c>
      <c r="I8710" s="135" t="n">
        <f aca="false">$G8710*'Analyse capacite'!$C$9</f>
        <v>0</v>
      </c>
      <c r="J8710" s="135" t="n">
        <f aca="false">$G8710*'Analyse capacite'!$D$9</f>
        <v>0</v>
      </c>
      <c r="K8710" s="135" t="n">
        <f aca="false">$G8710*'Analyse capacite'!$E$9</f>
        <v>0</v>
      </c>
    </row>
    <row r="8711" customFormat="false" ht="15" hidden="false" customHeight="false" outlineLevel="0" collapsed="false">
      <c r="B8711" s="130" t="n">
        <v>2027</v>
      </c>
      <c r="C8711" s="131" t="s">
        <v>253</v>
      </c>
      <c r="D8711" s="132" t="n">
        <v>46719</v>
      </c>
      <c r="E8711" s="131" t="s">
        <v>59</v>
      </c>
      <c r="F8711" s="133" t="s">
        <v>11</v>
      </c>
      <c r="G8711" s="134" t="n">
        <f aca="false">LEN('Saisie programme'!$J$316)+SUMIFS('Vols additionnels'!$E$7:$E$66,'Vols additionnels'!$C$7:$C$66,$E8711,'Vols additionnels'!$D$7:$D$66,$F8711,'Vols additionnels'!$B$7:$B$66,$D8711)</f>
        <v>0</v>
      </c>
      <c r="H8711" s="135" t="n">
        <f aca="false">$G8711*'Analyse capacite'!$F$7</f>
        <v>0</v>
      </c>
      <c r="I8711" s="135" t="n">
        <f aca="false">$G8711*'Analyse capacite'!$C$7</f>
        <v>0</v>
      </c>
      <c r="J8711" s="135" t="n">
        <f aca="false">$G8711*'Analyse capacite'!$D$7</f>
        <v>0</v>
      </c>
      <c r="K8711" s="135" t="n">
        <f aca="false">$G8711*'Analyse capacite'!$E$7</f>
        <v>0</v>
      </c>
    </row>
    <row r="8712" customFormat="false" ht="15" hidden="false" customHeight="false" outlineLevel="0" collapsed="false">
      <c r="B8712" s="130" t="n">
        <v>2027</v>
      </c>
      <c r="C8712" s="131" t="s">
        <v>253</v>
      </c>
      <c r="D8712" s="132" t="n">
        <v>46719</v>
      </c>
      <c r="E8712" s="131" t="s">
        <v>59</v>
      </c>
      <c r="F8712" s="133" t="s">
        <v>19</v>
      </c>
      <c r="G8712" s="134" t="n">
        <f aca="false">LEN('Saisie programme'!$J$317)+SUMIFS('Vols additionnels'!$E$7:$E$66,'Vols additionnels'!$C$7:$C$66,$E8712,'Vols additionnels'!$D$7:$D$66,$F8712,'Vols additionnels'!$B$7:$B$66,$D8712)</f>
        <v>0</v>
      </c>
      <c r="H8712" s="135" t="n">
        <f aca="false">$G8712*'Analyse capacite'!$F$8</f>
        <v>0</v>
      </c>
      <c r="I8712" s="135" t="n">
        <f aca="false">$G8712*'Analyse capacite'!$C$8</f>
        <v>0</v>
      </c>
      <c r="J8712" s="135" t="n">
        <f aca="false">$G8712*'Analyse capacite'!$D$8</f>
        <v>0</v>
      </c>
      <c r="K8712" s="135" t="n">
        <f aca="false">$G8712*'Analyse capacite'!$E$8</f>
        <v>0</v>
      </c>
    </row>
    <row r="8713" customFormat="false" ht="15" hidden="false" customHeight="false" outlineLevel="0" collapsed="false">
      <c r="B8713" s="130" t="n">
        <v>2027</v>
      </c>
      <c r="C8713" s="131" t="s">
        <v>253</v>
      </c>
      <c r="D8713" s="132" t="n">
        <v>46719</v>
      </c>
      <c r="E8713" s="131" t="s">
        <v>59</v>
      </c>
      <c r="F8713" s="133" t="s">
        <v>24</v>
      </c>
      <c r="G8713" s="134" t="n">
        <f aca="false">LEN('Saisie programme'!$J$318)+SUMIFS('Vols additionnels'!$E$7:$E$66,'Vols additionnels'!$C$7:$C$66,$E8713,'Vols additionnels'!$D$7:$D$66,$F8713,'Vols additionnels'!$B$7:$B$66,$D8713)</f>
        <v>0</v>
      </c>
      <c r="H8713" s="135" t="n">
        <f aca="false">$G8713*'Analyse capacite'!$F$9</f>
        <v>0</v>
      </c>
      <c r="I8713" s="135" t="n">
        <f aca="false">$G8713*'Analyse capacite'!$C$9</f>
        <v>0</v>
      </c>
      <c r="J8713" s="135" t="n">
        <f aca="false">$G8713*'Analyse capacite'!$D$9</f>
        <v>0</v>
      </c>
      <c r="K8713" s="135" t="n">
        <f aca="false">$G8713*'Analyse capacite'!$E$9</f>
        <v>0</v>
      </c>
    </row>
    <row r="8714" customFormat="false" ht="15" hidden="false" customHeight="false" outlineLevel="0" collapsed="false">
      <c r="B8714" s="130" t="n">
        <v>2027</v>
      </c>
      <c r="C8714" s="131" t="s">
        <v>253</v>
      </c>
      <c r="D8714" s="132" t="n">
        <v>46719</v>
      </c>
      <c r="E8714" s="131" t="s">
        <v>62</v>
      </c>
      <c r="F8714" s="133" t="s">
        <v>11</v>
      </c>
      <c r="G8714" s="134" t="n">
        <f aca="false">LEN('Saisie programme'!$J$319)+SUMIFS('Vols additionnels'!$E$7:$E$66,'Vols additionnels'!$C$7:$C$66,$E8714,'Vols additionnels'!$D$7:$D$66,$F8714,'Vols additionnels'!$B$7:$B$66,$D8714)</f>
        <v>0</v>
      </c>
      <c r="H8714" s="135" t="n">
        <f aca="false">$G8714*'Analyse capacite'!$F$7</f>
        <v>0</v>
      </c>
      <c r="I8714" s="135" t="n">
        <f aca="false">$G8714*'Analyse capacite'!$C$7</f>
        <v>0</v>
      </c>
      <c r="J8714" s="135" t="n">
        <f aca="false">$G8714*'Analyse capacite'!$D$7</f>
        <v>0</v>
      </c>
      <c r="K8714" s="135" t="n">
        <f aca="false">$G8714*'Analyse capacite'!$E$7</f>
        <v>0</v>
      </c>
    </row>
    <row r="8715" customFormat="false" ht="15" hidden="false" customHeight="false" outlineLevel="0" collapsed="false">
      <c r="B8715" s="130" t="n">
        <v>2027</v>
      </c>
      <c r="C8715" s="131" t="s">
        <v>253</v>
      </c>
      <c r="D8715" s="132" t="n">
        <v>46719</v>
      </c>
      <c r="E8715" s="131" t="s">
        <v>62</v>
      </c>
      <c r="F8715" s="133" t="s">
        <v>19</v>
      </c>
      <c r="G8715" s="134" t="n">
        <f aca="false">LEN('Saisie programme'!$J$320)+SUMIFS('Vols additionnels'!$E$7:$E$66,'Vols additionnels'!$C$7:$C$66,$E8715,'Vols additionnels'!$D$7:$D$66,$F8715,'Vols additionnels'!$B$7:$B$66,$D8715)</f>
        <v>0</v>
      </c>
      <c r="H8715" s="135" t="n">
        <f aca="false">$G8715*'Analyse capacite'!$F$8</f>
        <v>0</v>
      </c>
      <c r="I8715" s="135" t="n">
        <f aca="false">$G8715*'Analyse capacite'!$C$8</f>
        <v>0</v>
      </c>
      <c r="J8715" s="135" t="n">
        <f aca="false">$G8715*'Analyse capacite'!$D$8</f>
        <v>0</v>
      </c>
      <c r="K8715" s="135" t="n">
        <f aca="false">$G8715*'Analyse capacite'!$E$8</f>
        <v>0</v>
      </c>
    </row>
    <row r="8716" customFormat="false" ht="15" hidden="false" customHeight="false" outlineLevel="0" collapsed="false">
      <c r="B8716" s="130" t="n">
        <v>2027</v>
      </c>
      <c r="C8716" s="131" t="s">
        <v>253</v>
      </c>
      <c r="D8716" s="132" t="n">
        <v>46719</v>
      </c>
      <c r="E8716" s="131" t="s">
        <v>62</v>
      </c>
      <c r="F8716" s="133" t="s">
        <v>24</v>
      </c>
      <c r="G8716" s="134" t="n">
        <f aca="false">LEN('Saisie programme'!$J$321)+SUMIFS('Vols additionnels'!$E$7:$E$66,'Vols additionnels'!$C$7:$C$66,$E8716,'Vols additionnels'!$D$7:$D$66,$F8716,'Vols additionnels'!$B$7:$B$66,$D8716)</f>
        <v>1</v>
      </c>
      <c r="H8716" s="135" t="n">
        <f aca="false">$G8716*'Analyse capacite'!$F$9</f>
        <v>174</v>
      </c>
      <c r="I8716" s="135" t="n">
        <f aca="false">$G8716*'Analyse capacite'!$C$9</f>
        <v>0</v>
      </c>
      <c r="J8716" s="135" t="n">
        <f aca="false">$G8716*'Analyse capacite'!$D$9</f>
        <v>12</v>
      </c>
      <c r="K8716" s="135" t="n">
        <f aca="false">$G8716*'Analyse capacite'!$E$9</f>
        <v>162</v>
      </c>
    </row>
    <row r="8717" customFormat="false" ht="15" hidden="false" customHeight="false" outlineLevel="0" collapsed="false">
      <c r="B8717" s="130" t="n">
        <v>2027</v>
      </c>
      <c r="C8717" s="131" t="s">
        <v>253</v>
      </c>
      <c r="D8717" s="132" t="n">
        <v>46720</v>
      </c>
      <c r="E8717" s="131" t="s">
        <v>12</v>
      </c>
      <c r="F8717" s="133" t="s">
        <v>11</v>
      </c>
      <c r="G8717" s="134" t="n">
        <f aca="false">LEN('Saisie programme'!$D$286)+SUMIFS('Vols additionnels'!$E$7:$E$66,'Vols additionnels'!$C$7:$C$66,$E8717,'Vols additionnels'!$D$7:$D$66,$F8717,'Vols additionnels'!$B$7:$B$66,$D8717)</f>
        <v>1</v>
      </c>
      <c r="H8717" s="135" t="n">
        <f aca="false">$G8717*'Analyse capacite'!$F$7</f>
        <v>438</v>
      </c>
      <c r="I8717" s="135" t="n">
        <f aca="false">$G8717*'Analyse capacite'!$C$7</f>
        <v>14</v>
      </c>
      <c r="J8717" s="135" t="n">
        <f aca="false">$G8717*'Analyse capacite'!$D$7</f>
        <v>40</v>
      </c>
      <c r="K8717" s="135" t="n">
        <f aca="false">$G8717*'Analyse capacite'!$E$7</f>
        <v>384</v>
      </c>
    </row>
    <row r="8718" customFormat="false" ht="15" hidden="false" customHeight="false" outlineLevel="0" collapsed="false">
      <c r="B8718" s="130" t="n">
        <v>2027</v>
      </c>
      <c r="C8718" s="131" t="s">
        <v>253</v>
      </c>
      <c r="D8718" s="132" t="n">
        <v>46720</v>
      </c>
      <c r="E8718" s="131" t="s">
        <v>12</v>
      </c>
      <c r="F8718" s="133" t="s">
        <v>19</v>
      </c>
      <c r="G8718" s="134" t="n">
        <f aca="false">LEN('Saisie programme'!$D$287)+SUMIFS('Vols additionnels'!$E$7:$E$66,'Vols additionnels'!$C$7:$C$66,$E8718,'Vols additionnels'!$D$7:$D$66,$F8718,'Vols additionnels'!$B$7:$B$66,$D8718)</f>
        <v>1</v>
      </c>
      <c r="H8718" s="135" t="n">
        <f aca="false">$G8718*'Analyse capacite'!$F$8</f>
        <v>262</v>
      </c>
      <c r="I8718" s="135" t="n">
        <f aca="false">$G8718*'Analyse capacite'!$C$8</f>
        <v>18</v>
      </c>
      <c r="J8718" s="135" t="n">
        <f aca="false">$G8718*'Analyse capacite'!$D$8</f>
        <v>0</v>
      </c>
      <c r="K8718" s="135" t="n">
        <f aca="false">$G8718*'Analyse capacite'!$E$8</f>
        <v>244</v>
      </c>
    </row>
    <row r="8719" customFormat="false" ht="15" hidden="false" customHeight="false" outlineLevel="0" collapsed="false">
      <c r="B8719" s="130" t="n">
        <v>2027</v>
      </c>
      <c r="C8719" s="131" t="s">
        <v>253</v>
      </c>
      <c r="D8719" s="132" t="n">
        <v>46720</v>
      </c>
      <c r="E8719" s="131" t="s">
        <v>12</v>
      </c>
      <c r="F8719" s="133" t="s">
        <v>24</v>
      </c>
      <c r="G8719" s="134" t="n">
        <f aca="false">LEN('Saisie programme'!$D$288)+SUMIFS('Vols additionnels'!$E$7:$E$66,'Vols additionnels'!$C$7:$C$66,$E8719,'Vols additionnels'!$D$7:$D$66,$F8719,'Vols additionnels'!$B$7:$B$66,$D8719)</f>
        <v>2</v>
      </c>
      <c r="H8719" s="135" t="n">
        <f aca="false">$G8719*'Analyse capacite'!$F$9</f>
        <v>348</v>
      </c>
      <c r="I8719" s="135" t="n">
        <f aca="false">$G8719*'Analyse capacite'!$C$9</f>
        <v>0</v>
      </c>
      <c r="J8719" s="135" t="n">
        <f aca="false">$G8719*'Analyse capacite'!$D$9</f>
        <v>24</v>
      </c>
      <c r="K8719" s="135" t="n">
        <f aca="false">$G8719*'Analyse capacite'!$E$9</f>
        <v>324</v>
      </c>
    </row>
    <row r="8720" customFormat="false" ht="15" hidden="false" customHeight="false" outlineLevel="0" collapsed="false">
      <c r="B8720" s="130" t="n">
        <v>2027</v>
      </c>
      <c r="C8720" s="131" t="s">
        <v>253</v>
      </c>
      <c r="D8720" s="132" t="n">
        <v>46720</v>
      </c>
      <c r="E8720" s="131" t="s">
        <v>20</v>
      </c>
      <c r="F8720" s="133" t="s">
        <v>11</v>
      </c>
      <c r="G8720" s="134" t="n">
        <f aca="false">LEN('Saisie programme'!$D$289)+SUMIFS('Vols additionnels'!$E$7:$E$66,'Vols additionnels'!$C$7:$C$66,$E8720,'Vols additionnels'!$D$7:$D$66,$F8720,'Vols additionnels'!$B$7:$B$66,$D8720)</f>
        <v>0</v>
      </c>
      <c r="H8720" s="135" t="n">
        <f aca="false">$G8720*'Analyse capacite'!$F$7</f>
        <v>0</v>
      </c>
      <c r="I8720" s="135" t="n">
        <f aca="false">$G8720*'Analyse capacite'!$C$7</f>
        <v>0</v>
      </c>
      <c r="J8720" s="135" t="n">
        <f aca="false">$G8720*'Analyse capacite'!$D$7</f>
        <v>0</v>
      </c>
      <c r="K8720" s="135" t="n">
        <f aca="false">$G8720*'Analyse capacite'!$E$7</f>
        <v>0</v>
      </c>
    </row>
    <row r="8721" customFormat="false" ht="15" hidden="false" customHeight="false" outlineLevel="0" collapsed="false">
      <c r="B8721" s="130" t="n">
        <v>2027</v>
      </c>
      <c r="C8721" s="131" t="s">
        <v>253</v>
      </c>
      <c r="D8721" s="132" t="n">
        <v>46720</v>
      </c>
      <c r="E8721" s="131" t="s">
        <v>20</v>
      </c>
      <c r="F8721" s="133" t="s">
        <v>19</v>
      </c>
      <c r="G8721" s="134" t="n">
        <f aca="false">LEN('Saisie programme'!$D$290)+SUMIFS('Vols additionnels'!$E$7:$E$66,'Vols additionnels'!$C$7:$C$66,$E8721,'Vols additionnels'!$D$7:$D$66,$F8721,'Vols additionnels'!$B$7:$B$66,$D8721)</f>
        <v>0</v>
      </c>
      <c r="H8721" s="135" t="n">
        <f aca="false">$G8721*'Analyse capacite'!$F$8</f>
        <v>0</v>
      </c>
      <c r="I8721" s="135" t="n">
        <f aca="false">$G8721*'Analyse capacite'!$C$8</f>
        <v>0</v>
      </c>
      <c r="J8721" s="135" t="n">
        <f aca="false">$G8721*'Analyse capacite'!$D$8</f>
        <v>0</v>
      </c>
      <c r="K8721" s="135" t="n">
        <f aca="false">$G8721*'Analyse capacite'!$E$8</f>
        <v>0</v>
      </c>
    </row>
    <row r="8722" customFormat="false" ht="15" hidden="false" customHeight="false" outlineLevel="0" collapsed="false">
      <c r="B8722" s="130" t="n">
        <v>2027</v>
      </c>
      <c r="C8722" s="131" t="s">
        <v>253</v>
      </c>
      <c r="D8722" s="132" t="n">
        <v>46720</v>
      </c>
      <c r="E8722" s="131" t="s">
        <v>20</v>
      </c>
      <c r="F8722" s="133" t="s">
        <v>24</v>
      </c>
      <c r="G8722" s="134" t="n">
        <f aca="false">LEN('Saisie programme'!$D$291)+SUMIFS('Vols additionnels'!$E$7:$E$66,'Vols additionnels'!$C$7:$C$66,$E8722,'Vols additionnels'!$D$7:$D$66,$F8722,'Vols additionnels'!$B$7:$B$66,$D8722)</f>
        <v>0</v>
      </c>
      <c r="H8722" s="135" t="n">
        <f aca="false">$G8722*'Analyse capacite'!$F$9</f>
        <v>0</v>
      </c>
      <c r="I8722" s="135" t="n">
        <f aca="false">$G8722*'Analyse capacite'!$C$9</f>
        <v>0</v>
      </c>
      <c r="J8722" s="135" t="n">
        <f aca="false">$G8722*'Analyse capacite'!$D$9</f>
        <v>0</v>
      </c>
      <c r="K8722" s="135" t="n">
        <f aca="false">$G8722*'Analyse capacite'!$E$9</f>
        <v>0</v>
      </c>
    </row>
    <row r="8723" customFormat="false" ht="15" hidden="false" customHeight="false" outlineLevel="0" collapsed="false">
      <c r="B8723" s="130" t="n">
        <v>2027</v>
      </c>
      <c r="C8723" s="131" t="s">
        <v>253</v>
      </c>
      <c r="D8723" s="132" t="n">
        <v>46720</v>
      </c>
      <c r="E8723" s="131" t="s">
        <v>25</v>
      </c>
      <c r="F8723" s="133" t="s">
        <v>11</v>
      </c>
      <c r="G8723" s="134" t="n">
        <f aca="false">LEN('Saisie programme'!$D$292)+SUMIFS('Vols additionnels'!$E$7:$E$66,'Vols additionnels'!$C$7:$C$66,$E8723,'Vols additionnels'!$D$7:$D$66,$F8723,'Vols additionnels'!$B$7:$B$66,$D8723)</f>
        <v>0</v>
      </c>
      <c r="H8723" s="135" t="n">
        <f aca="false">$G8723*'Analyse capacite'!$F$7</f>
        <v>0</v>
      </c>
      <c r="I8723" s="135" t="n">
        <f aca="false">$G8723*'Analyse capacite'!$C$7</f>
        <v>0</v>
      </c>
      <c r="J8723" s="135" t="n">
        <f aca="false">$G8723*'Analyse capacite'!$D$7</f>
        <v>0</v>
      </c>
      <c r="K8723" s="135" t="n">
        <f aca="false">$G8723*'Analyse capacite'!$E$7</f>
        <v>0</v>
      </c>
    </row>
    <row r="8724" customFormat="false" ht="15" hidden="false" customHeight="false" outlineLevel="0" collapsed="false">
      <c r="B8724" s="130" t="n">
        <v>2027</v>
      </c>
      <c r="C8724" s="131" t="s">
        <v>253</v>
      </c>
      <c r="D8724" s="132" t="n">
        <v>46720</v>
      </c>
      <c r="E8724" s="131" t="s">
        <v>25</v>
      </c>
      <c r="F8724" s="133" t="s">
        <v>19</v>
      </c>
      <c r="G8724" s="134" t="n">
        <f aca="false">LEN('Saisie programme'!$D$293)+SUMIFS('Vols additionnels'!$E$7:$E$66,'Vols additionnels'!$C$7:$C$66,$E8724,'Vols additionnels'!$D$7:$D$66,$F8724,'Vols additionnels'!$B$7:$B$66,$D8724)</f>
        <v>0</v>
      </c>
      <c r="H8724" s="135" t="n">
        <f aca="false">$G8724*'Analyse capacite'!$F$8</f>
        <v>0</v>
      </c>
      <c r="I8724" s="135" t="n">
        <f aca="false">$G8724*'Analyse capacite'!$C$8</f>
        <v>0</v>
      </c>
      <c r="J8724" s="135" t="n">
        <f aca="false">$G8724*'Analyse capacite'!$D$8</f>
        <v>0</v>
      </c>
      <c r="K8724" s="135" t="n">
        <f aca="false">$G8724*'Analyse capacite'!$E$8</f>
        <v>0</v>
      </c>
    </row>
    <row r="8725" customFormat="false" ht="15" hidden="false" customHeight="false" outlineLevel="0" collapsed="false">
      <c r="B8725" s="130" t="n">
        <v>2027</v>
      </c>
      <c r="C8725" s="131" t="s">
        <v>253</v>
      </c>
      <c r="D8725" s="132" t="n">
        <v>46720</v>
      </c>
      <c r="E8725" s="131" t="s">
        <v>25</v>
      </c>
      <c r="F8725" s="133" t="s">
        <v>24</v>
      </c>
      <c r="G8725" s="134" t="n">
        <f aca="false">LEN('Saisie programme'!$D$294)+SUMIFS('Vols additionnels'!$E$7:$E$66,'Vols additionnels'!$C$7:$C$66,$E8725,'Vols additionnels'!$D$7:$D$66,$F8725,'Vols additionnels'!$B$7:$B$66,$D8725)</f>
        <v>0</v>
      </c>
      <c r="H8725" s="135" t="n">
        <f aca="false">$G8725*'Analyse capacite'!$F$9</f>
        <v>0</v>
      </c>
      <c r="I8725" s="135" t="n">
        <f aca="false">$G8725*'Analyse capacite'!$C$9</f>
        <v>0</v>
      </c>
      <c r="J8725" s="135" t="n">
        <f aca="false">$G8725*'Analyse capacite'!$D$9</f>
        <v>0</v>
      </c>
      <c r="K8725" s="135" t="n">
        <f aca="false">$G8725*'Analyse capacite'!$E$9</f>
        <v>0</v>
      </c>
    </row>
    <row r="8726" customFormat="false" ht="15" hidden="false" customHeight="false" outlineLevel="0" collapsed="false">
      <c r="B8726" s="130" t="n">
        <v>2027</v>
      </c>
      <c r="C8726" s="131" t="s">
        <v>253</v>
      </c>
      <c r="D8726" s="132" t="n">
        <v>46720</v>
      </c>
      <c r="E8726" s="131" t="s">
        <v>36</v>
      </c>
      <c r="F8726" s="133" t="s">
        <v>11</v>
      </c>
      <c r="G8726" s="134" t="n">
        <f aca="false">LEN('Saisie programme'!$D$295)+SUMIFS('Vols additionnels'!$E$7:$E$66,'Vols additionnels'!$C$7:$C$66,$E8726,'Vols additionnels'!$D$7:$D$66,$F8726,'Vols additionnels'!$B$7:$B$66,$D8726)</f>
        <v>0</v>
      </c>
      <c r="H8726" s="135" t="n">
        <f aca="false">$G8726*'Analyse capacite'!$F$7</f>
        <v>0</v>
      </c>
      <c r="I8726" s="135" t="n">
        <f aca="false">$G8726*'Analyse capacite'!$C$7</f>
        <v>0</v>
      </c>
      <c r="J8726" s="135" t="n">
        <f aca="false">$G8726*'Analyse capacite'!$D$7</f>
        <v>0</v>
      </c>
      <c r="K8726" s="135" t="n">
        <f aca="false">$G8726*'Analyse capacite'!$E$7</f>
        <v>0</v>
      </c>
    </row>
    <row r="8727" customFormat="false" ht="15" hidden="false" customHeight="false" outlineLevel="0" collapsed="false">
      <c r="B8727" s="130" t="n">
        <v>2027</v>
      </c>
      <c r="C8727" s="131" t="s">
        <v>253</v>
      </c>
      <c r="D8727" s="132" t="n">
        <v>46720</v>
      </c>
      <c r="E8727" s="131" t="s">
        <v>36</v>
      </c>
      <c r="F8727" s="133" t="s">
        <v>19</v>
      </c>
      <c r="G8727" s="134" t="n">
        <f aca="false">LEN('Saisie programme'!$D$296)+SUMIFS('Vols additionnels'!$E$7:$E$66,'Vols additionnels'!$C$7:$C$66,$E8727,'Vols additionnels'!$D$7:$D$66,$F8727,'Vols additionnels'!$B$7:$B$66,$D8727)</f>
        <v>0</v>
      </c>
      <c r="H8727" s="135" t="n">
        <f aca="false">$G8727*'Analyse capacite'!$F$8</f>
        <v>0</v>
      </c>
      <c r="I8727" s="135" t="n">
        <f aca="false">$G8727*'Analyse capacite'!$C$8</f>
        <v>0</v>
      </c>
      <c r="J8727" s="135" t="n">
        <f aca="false">$G8727*'Analyse capacite'!$D$8</f>
        <v>0</v>
      </c>
      <c r="K8727" s="135" t="n">
        <f aca="false">$G8727*'Analyse capacite'!$E$8</f>
        <v>0</v>
      </c>
    </row>
    <row r="8728" customFormat="false" ht="15" hidden="false" customHeight="false" outlineLevel="0" collapsed="false">
      <c r="B8728" s="130" t="n">
        <v>2027</v>
      </c>
      <c r="C8728" s="131" t="s">
        <v>253</v>
      </c>
      <c r="D8728" s="132" t="n">
        <v>46720</v>
      </c>
      <c r="E8728" s="131" t="s">
        <v>36</v>
      </c>
      <c r="F8728" s="133" t="s">
        <v>24</v>
      </c>
      <c r="G8728" s="134" t="n">
        <f aca="false">LEN('Saisie programme'!$D$297)+SUMIFS('Vols additionnels'!$E$7:$E$66,'Vols additionnels'!$C$7:$C$66,$E8728,'Vols additionnels'!$D$7:$D$66,$F8728,'Vols additionnels'!$B$7:$B$66,$D8728)</f>
        <v>1</v>
      </c>
      <c r="H8728" s="135" t="n">
        <f aca="false">$G8728*'Analyse capacite'!$F$9</f>
        <v>174</v>
      </c>
      <c r="I8728" s="135" t="n">
        <f aca="false">$G8728*'Analyse capacite'!$C$9</f>
        <v>0</v>
      </c>
      <c r="J8728" s="135" t="n">
        <f aca="false">$G8728*'Analyse capacite'!$D$9</f>
        <v>12</v>
      </c>
      <c r="K8728" s="135" t="n">
        <f aca="false">$G8728*'Analyse capacite'!$E$9</f>
        <v>162</v>
      </c>
    </row>
    <row r="8729" customFormat="false" ht="15" hidden="false" customHeight="false" outlineLevel="0" collapsed="false">
      <c r="B8729" s="130" t="n">
        <v>2027</v>
      </c>
      <c r="C8729" s="131" t="s">
        <v>253</v>
      </c>
      <c r="D8729" s="132" t="n">
        <v>46720</v>
      </c>
      <c r="E8729" s="131" t="s">
        <v>40</v>
      </c>
      <c r="F8729" s="133" t="s">
        <v>11</v>
      </c>
      <c r="G8729" s="134" t="n">
        <f aca="false">LEN('Saisie programme'!$D$298)+SUMIFS('Vols additionnels'!$E$7:$E$66,'Vols additionnels'!$C$7:$C$66,$E8729,'Vols additionnels'!$D$7:$D$66,$F8729,'Vols additionnels'!$B$7:$B$66,$D8729)</f>
        <v>0</v>
      </c>
      <c r="H8729" s="135" t="n">
        <f aca="false">$G8729*'Analyse capacite'!$F$7</f>
        <v>0</v>
      </c>
      <c r="I8729" s="135" t="n">
        <f aca="false">$G8729*'Analyse capacite'!$C$7</f>
        <v>0</v>
      </c>
      <c r="J8729" s="135" t="n">
        <f aca="false">$G8729*'Analyse capacite'!$D$7</f>
        <v>0</v>
      </c>
      <c r="K8729" s="135" t="n">
        <f aca="false">$G8729*'Analyse capacite'!$E$7</f>
        <v>0</v>
      </c>
    </row>
    <row r="8730" customFormat="false" ht="15" hidden="false" customHeight="false" outlineLevel="0" collapsed="false">
      <c r="B8730" s="130" t="n">
        <v>2027</v>
      </c>
      <c r="C8730" s="131" t="s">
        <v>253</v>
      </c>
      <c r="D8730" s="132" t="n">
        <v>46720</v>
      </c>
      <c r="E8730" s="131" t="s">
        <v>40</v>
      </c>
      <c r="F8730" s="133" t="s">
        <v>19</v>
      </c>
      <c r="G8730" s="134" t="n">
        <f aca="false">LEN('Saisie programme'!$D$299)+SUMIFS('Vols additionnels'!$E$7:$E$66,'Vols additionnels'!$C$7:$C$66,$E8730,'Vols additionnels'!$D$7:$D$66,$F8730,'Vols additionnels'!$B$7:$B$66,$D8730)</f>
        <v>0</v>
      </c>
      <c r="H8730" s="135" t="n">
        <f aca="false">$G8730*'Analyse capacite'!$F$8</f>
        <v>0</v>
      </c>
      <c r="I8730" s="135" t="n">
        <f aca="false">$G8730*'Analyse capacite'!$C$8</f>
        <v>0</v>
      </c>
      <c r="J8730" s="135" t="n">
        <f aca="false">$G8730*'Analyse capacite'!$D$8</f>
        <v>0</v>
      </c>
      <c r="K8730" s="135" t="n">
        <f aca="false">$G8730*'Analyse capacite'!$E$8</f>
        <v>0</v>
      </c>
    </row>
    <row r="8731" customFormat="false" ht="15" hidden="false" customHeight="false" outlineLevel="0" collapsed="false">
      <c r="B8731" s="130" t="n">
        <v>2027</v>
      </c>
      <c r="C8731" s="131" t="s">
        <v>253</v>
      </c>
      <c r="D8731" s="132" t="n">
        <v>46720</v>
      </c>
      <c r="E8731" s="131" t="s">
        <v>40</v>
      </c>
      <c r="F8731" s="133" t="s">
        <v>24</v>
      </c>
      <c r="G8731" s="134" t="n">
        <f aca="false">LEN('Saisie programme'!$D$300)+SUMIFS('Vols additionnels'!$E$7:$E$66,'Vols additionnels'!$C$7:$C$66,$E8731,'Vols additionnels'!$D$7:$D$66,$F8731,'Vols additionnels'!$B$7:$B$66,$D8731)</f>
        <v>1</v>
      </c>
      <c r="H8731" s="135" t="n">
        <f aca="false">$G8731*'Analyse capacite'!$F$9</f>
        <v>174</v>
      </c>
      <c r="I8731" s="135" t="n">
        <f aca="false">$G8731*'Analyse capacite'!$C$9</f>
        <v>0</v>
      </c>
      <c r="J8731" s="135" t="n">
        <f aca="false">$G8731*'Analyse capacite'!$D$9</f>
        <v>12</v>
      </c>
      <c r="K8731" s="135" t="n">
        <f aca="false">$G8731*'Analyse capacite'!$E$9</f>
        <v>162</v>
      </c>
    </row>
    <row r="8732" customFormat="false" ht="15" hidden="false" customHeight="false" outlineLevel="0" collapsed="false">
      <c r="B8732" s="130" t="n">
        <v>2027</v>
      </c>
      <c r="C8732" s="131" t="s">
        <v>253</v>
      </c>
      <c r="D8732" s="132" t="n">
        <v>46720</v>
      </c>
      <c r="E8732" s="131" t="s">
        <v>14</v>
      </c>
      <c r="F8732" s="133" t="s">
        <v>11</v>
      </c>
      <c r="G8732" s="134" t="n">
        <f aca="false">LEN('Saisie programme'!$D$301)+SUMIFS('Vols additionnels'!$E$7:$E$66,'Vols additionnels'!$C$7:$C$66,$E8732,'Vols additionnels'!$D$7:$D$66,$F8732,'Vols additionnels'!$B$7:$B$66,$D8732)</f>
        <v>0</v>
      </c>
      <c r="H8732" s="135" t="n">
        <f aca="false">$G8732*'Analyse capacite'!$F$7</f>
        <v>0</v>
      </c>
      <c r="I8732" s="135" t="n">
        <f aca="false">$G8732*'Analyse capacite'!$C$7</f>
        <v>0</v>
      </c>
      <c r="J8732" s="135" t="n">
        <f aca="false">$G8732*'Analyse capacite'!$D$7</f>
        <v>0</v>
      </c>
      <c r="K8732" s="135" t="n">
        <f aca="false">$G8732*'Analyse capacite'!$E$7</f>
        <v>0</v>
      </c>
    </row>
    <row r="8733" customFormat="false" ht="15" hidden="false" customHeight="false" outlineLevel="0" collapsed="false">
      <c r="B8733" s="130" t="n">
        <v>2027</v>
      </c>
      <c r="C8733" s="131" t="s">
        <v>253</v>
      </c>
      <c r="D8733" s="132" t="n">
        <v>46720</v>
      </c>
      <c r="E8733" s="131" t="s">
        <v>14</v>
      </c>
      <c r="F8733" s="133" t="s">
        <v>19</v>
      </c>
      <c r="G8733" s="134" t="n">
        <f aca="false">LEN('Saisie programme'!$D$302)+SUMIFS('Vols additionnels'!$E$7:$E$66,'Vols additionnels'!$C$7:$C$66,$E8733,'Vols additionnels'!$D$7:$D$66,$F8733,'Vols additionnels'!$B$7:$B$66,$D8733)</f>
        <v>0</v>
      </c>
      <c r="H8733" s="135" t="n">
        <f aca="false">$G8733*'Analyse capacite'!$F$8</f>
        <v>0</v>
      </c>
      <c r="I8733" s="135" t="n">
        <f aca="false">$G8733*'Analyse capacite'!$C$8</f>
        <v>0</v>
      </c>
      <c r="J8733" s="135" t="n">
        <f aca="false">$G8733*'Analyse capacite'!$D$8</f>
        <v>0</v>
      </c>
      <c r="K8733" s="135" t="n">
        <f aca="false">$G8733*'Analyse capacite'!$E$8</f>
        <v>0</v>
      </c>
    </row>
    <row r="8734" customFormat="false" ht="15" hidden="false" customHeight="false" outlineLevel="0" collapsed="false">
      <c r="B8734" s="130" t="n">
        <v>2027</v>
      </c>
      <c r="C8734" s="131" t="s">
        <v>253</v>
      </c>
      <c r="D8734" s="132" t="n">
        <v>46720</v>
      </c>
      <c r="E8734" s="131" t="s">
        <v>14</v>
      </c>
      <c r="F8734" s="133" t="s">
        <v>24</v>
      </c>
      <c r="G8734" s="134" t="n">
        <f aca="false">LEN('Saisie programme'!$D$303)+SUMIFS('Vols additionnels'!$E$7:$E$66,'Vols additionnels'!$C$7:$C$66,$E8734,'Vols additionnels'!$D$7:$D$66,$F8734,'Vols additionnels'!$B$7:$B$66,$D8734)</f>
        <v>1</v>
      </c>
      <c r="H8734" s="135" t="n">
        <f aca="false">$G8734*'Analyse capacite'!$F$9</f>
        <v>174</v>
      </c>
      <c r="I8734" s="135" t="n">
        <f aca="false">$G8734*'Analyse capacite'!$C$9</f>
        <v>0</v>
      </c>
      <c r="J8734" s="135" t="n">
        <f aca="false">$G8734*'Analyse capacite'!$D$9</f>
        <v>12</v>
      </c>
      <c r="K8734" s="135" t="n">
        <f aca="false">$G8734*'Analyse capacite'!$E$9</f>
        <v>162</v>
      </c>
    </row>
    <row r="8735" customFormat="false" ht="15" hidden="false" customHeight="false" outlineLevel="0" collapsed="false">
      <c r="B8735" s="130" t="n">
        <v>2027</v>
      </c>
      <c r="C8735" s="131" t="s">
        <v>253</v>
      </c>
      <c r="D8735" s="132" t="n">
        <v>46720</v>
      </c>
      <c r="E8735" s="131" t="s">
        <v>46</v>
      </c>
      <c r="F8735" s="133" t="s">
        <v>11</v>
      </c>
      <c r="G8735" s="134" t="n">
        <f aca="false">LEN('Saisie programme'!$D$304)+SUMIFS('Vols additionnels'!$E$7:$E$66,'Vols additionnels'!$C$7:$C$66,$E8735,'Vols additionnels'!$D$7:$D$66,$F8735,'Vols additionnels'!$B$7:$B$66,$D8735)</f>
        <v>0</v>
      </c>
      <c r="H8735" s="135" t="n">
        <f aca="false">$G8735*'Analyse capacite'!$F$7</f>
        <v>0</v>
      </c>
      <c r="I8735" s="135" t="n">
        <f aca="false">$G8735*'Analyse capacite'!$C$7</f>
        <v>0</v>
      </c>
      <c r="J8735" s="135" t="n">
        <f aca="false">$G8735*'Analyse capacite'!$D$7</f>
        <v>0</v>
      </c>
      <c r="K8735" s="135" t="n">
        <f aca="false">$G8735*'Analyse capacite'!$E$7</f>
        <v>0</v>
      </c>
    </row>
    <row r="8736" customFormat="false" ht="15" hidden="false" customHeight="false" outlineLevel="0" collapsed="false">
      <c r="B8736" s="130" t="n">
        <v>2027</v>
      </c>
      <c r="C8736" s="131" t="s">
        <v>253</v>
      </c>
      <c r="D8736" s="132" t="n">
        <v>46720</v>
      </c>
      <c r="E8736" s="131" t="s">
        <v>46</v>
      </c>
      <c r="F8736" s="133" t="s">
        <v>19</v>
      </c>
      <c r="G8736" s="134" t="n">
        <f aca="false">LEN('Saisie programme'!$D$305)+SUMIFS('Vols additionnels'!$E$7:$E$66,'Vols additionnels'!$C$7:$C$66,$E8736,'Vols additionnels'!$D$7:$D$66,$F8736,'Vols additionnels'!$B$7:$B$66,$D8736)</f>
        <v>0</v>
      </c>
      <c r="H8736" s="135" t="n">
        <f aca="false">$G8736*'Analyse capacite'!$F$8</f>
        <v>0</v>
      </c>
      <c r="I8736" s="135" t="n">
        <f aca="false">$G8736*'Analyse capacite'!$C$8</f>
        <v>0</v>
      </c>
      <c r="J8736" s="135" t="n">
        <f aca="false">$G8736*'Analyse capacite'!$D$8</f>
        <v>0</v>
      </c>
      <c r="K8736" s="135" t="n">
        <f aca="false">$G8736*'Analyse capacite'!$E$8</f>
        <v>0</v>
      </c>
    </row>
    <row r="8737" customFormat="false" ht="15" hidden="false" customHeight="false" outlineLevel="0" collapsed="false">
      <c r="B8737" s="130" t="n">
        <v>2027</v>
      </c>
      <c r="C8737" s="131" t="s">
        <v>253</v>
      </c>
      <c r="D8737" s="132" t="n">
        <v>46720</v>
      </c>
      <c r="E8737" s="131" t="s">
        <v>46</v>
      </c>
      <c r="F8737" s="133" t="s">
        <v>24</v>
      </c>
      <c r="G8737" s="134" t="n">
        <f aca="false">LEN('Saisie programme'!$D$306)+SUMIFS('Vols additionnels'!$E$7:$E$66,'Vols additionnels'!$C$7:$C$66,$E8737,'Vols additionnels'!$D$7:$D$66,$F8737,'Vols additionnels'!$B$7:$B$66,$D8737)</f>
        <v>0</v>
      </c>
      <c r="H8737" s="135" t="n">
        <f aca="false">$G8737*'Analyse capacite'!$F$9</f>
        <v>0</v>
      </c>
      <c r="I8737" s="135" t="n">
        <f aca="false">$G8737*'Analyse capacite'!$C$9</f>
        <v>0</v>
      </c>
      <c r="J8737" s="135" t="n">
        <f aca="false">$G8737*'Analyse capacite'!$D$9</f>
        <v>0</v>
      </c>
      <c r="K8737" s="135" t="n">
        <f aca="false">$G8737*'Analyse capacite'!$E$9</f>
        <v>0</v>
      </c>
    </row>
    <row r="8738" customFormat="false" ht="15" hidden="false" customHeight="false" outlineLevel="0" collapsed="false">
      <c r="B8738" s="130" t="n">
        <v>2027</v>
      </c>
      <c r="C8738" s="131" t="s">
        <v>253</v>
      </c>
      <c r="D8738" s="132" t="n">
        <v>46720</v>
      </c>
      <c r="E8738" s="131" t="s">
        <v>49</v>
      </c>
      <c r="F8738" s="133" t="s">
        <v>11</v>
      </c>
      <c r="G8738" s="134" t="n">
        <f aca="false">LEN('Saisie programme'!$D$307)+SUMIFS('Vols additionnels'!$E$7:$E$66,'Vols additionnels'!$C$7:$C$66,$E8738,'Vols additionnels'!$D$7:$D$66,$F8738,'Vols additionnels'!$B$7:$B$66,$D8738)</f>
        <v>0</v>
      </c>
      <c r="H8738" s="135" t="n">
        <f aca="false">$G8738*'Analyse capacite'!$F$7</f>
        <v>0</v>
      </c>
      <c r="I8738" s="135" t="n">
        <f aca="false">$G8738*'Analyse capacite'!$C$7</f>
        <v>0</v>
      </c>
      <c r="J8738" s="135" t="n">
        <f aca="false">$G8738*'Analyse capacite'!$D$7</f>
        <v>0</v>
      </c>
      <c r="K8738" s="135" t="n">
        <f aca="false">$G8738*'Analyse capacite'!$E$7</f>
        <v>0</v>
      </c>
    </row>
    <row r="8739" customFormat="false" ht="15" hidden="false" customHeight="false" outlineLevel="0" collapsed="false">
      <c r="B8739" s="130" t="n">
        <v>2027</v>
      </c>
      <c r="C8739" s="131" t="s">
        <v>253</v>
      </c>
      <c r="D8739" s="132" t="n">
        <v>46720</v>
      </c>
      <c r="E8739" s="131" t="s">
        <v>49</v>
      </c>
      <c r="F8739" s="133" t="s">
        <v>19</v>
      </c>
      <c r="G8739" s="134" t="n">
        <f aca="false">LEN('Saisie programme'!$D$308)+SUMIFS('Vols additionnels'!$E$7:$E$66,'Vols additionnels'!$C$7:$C$66,$E8739,'Vols additionnels'!$D$7:$D$66,$F8739,'Vols additionnels'!$B$7:$B$66,$D8739)</f>
        <v>1</v>
      </c>
      <c r="H8739" s="135" t="n">
        <f aca="false">$G8739*'Analyse capacite'!$F$8</f>
        <v>262</v>
      </c>
      <c r="I8739" s="135" t="n">
        <f aca="false">$G8739*'Analyse capacite'!$C$8</f>
        <v>18</v>
      </c>
      <c r="J8739" s="135" t="n">
        <f aca="false">$G8739*'Analyse capacite'!$D$8</f>
        <v>0</v>
      </c>
      <c r="K8739" s="135" t="n">
        <f aca="false">$G8739*'Analyse capacite'!$E$8</f>
        <v>244</v>
      </c>
    </row>
    <row r="8740" customFormat="false" ht="15" hidden="false" customHeight="false" outlineLevel="0" collapsed="false">
      <c r="B8740" s="130" t="n">
        <v>2027</v>
      </c>
      <c r="C8740" s="131" t="s">
        <v>253</v>
      </c>
      <c r="D8740" s="132" t="n">
        <v>46720</v>
      </c>
      <c r="E8740" s="131" t="s">
        <v>49</v>
      </c>
      <c r="F8740" s="133" t="s">
        <v>24</v>
      </c>
      <c r="G8740" s="134" t="n">
        <f aca="false">LEN('Saisie programme'!$D$309)+SUMIFS('Vols additionnels'!$E$7:$E$66,'Vols additionnels'!$C$7:$C$66,$E8740,'Vols additionnels'!$D$7:$D$66,$F8740,'Vols additionnels'!$B$7:$B$66,$D8740)</f>
        <v>0</v>
      </c>
      <c r="H8740" s="135" t="n">
        <f aca="false">$G8740*'Analyse capacite'!$F$9</f>
        <v>0</v>
      </c>
      <c r="I8740" s="135" t="n">
        <f aca="false">$G8740*'Analyse capacite'!$C$9</f>
        <v>0</v>
      </c>
      <c r="J8740" s="135" t="n">
        <f aca="false">$G8740*'Analyse capacite'!$D$9</f>
        <v>0</v>
      </c>
      <c r="K8740" s="135" t="n">
        <f aca="false">$G8740*'Analyse capacite'!$E$9</f>
        <v>0</v>
      </c>
    </row>
    <row r="8741" customFormat="false" ht="15" hidden="false" customHeight="false" outlineLevel="0" collapsed="false">
      <c r="B8741" s="130" t="n">
        <v>2027</v>
      </c>
      <c r="C8741" s="131" t="s">
        <v>253</v>
      </c>
      <c r="D8741" s="132" t="n">
        <v>46720</v>
      </c>
      <c r="E8741" s="131" t="s">
        <v>53</v>
      </c>
      <c r="F8741" s="133" t="s">
        <v>11</v>
      </c>
      <c r="G8741" s="134" t="n">
        <f aca="false">LEN('Saisie programme'!$D$310)+SUMIFS('Vols additionnels'!$E$7:$E$66,'Vols additionnels'!$C$7:$C$66,$E8741,'Vols additionnels'!$D$7:$D$66,$F8741,'Vols additionnels'!$B$7:$B$66,$D8741)</f>
        <v>0</v>
      </c>
      <c r="H8741" s="135" t="n">
        <f aca="false">$G8741*'Analyse capacite'!$F$7</f>
        <v>0</v>
      </c>
      <c r="I8741" s="135" t="n">
        <f aca="false">$G8741*'Analyse capacite'!$C$7</f>
        <v>0</v>
      </c>
      <c r="J8741" s="135" t="n">
        <f aca="false">$G8741*'Analyse capacite'!$D$7</f>
        <v>0</v>
      </c>
      <c r="K8741" s="135" t="n">
        <f aca="false">$G8741*'Analyse capacite'!$E$7</f>
        <v>0</v>
      </c>
    </row>
    <row r="8742" customFormat="false" ht="15" hidden="false" customHeight="false" outlineLevel="0" collapsed="false">
      <c r="B8742" s="130" t="n">
        <v>2027</v>
      </c>
      <c r="C8742" s="131" t="s">
        <v>253</v>
      </c>
      <c r="D8742" s="132" t="n">
        <v>46720</v>
      </c>
      <c r="E8742" s="131" t="s">
        <v>53</v>
      </c>
      <c r="F8742" s="133" t="s">
        <v>19</v>
      </c>
      <c r="G8742" s="134" t="n">
        <f aca="false">LEN('Saisie programme'!$D$311)+SUMIFS('Vols additionnels'!$E$7:$E$66,'Vols additionnels'!$C$7:$C$66,$E8742,'Vols additionnels'!$D$7:$D$66,$F8742,'Vols additionnels'!$B$7:$B$66,$D8742)</f>
        <v>0</v>
      </c>
      <c r="H8742" s="135" t="n">
        <f aca="false">$G8742*'Analyse capacite'!$F$8</f>
        <v>0</v>
      </c>
      <c r="I8742" s="135" t="n">
        <f aca="false">$G8742*'Analyse capacite'!$C$8</f>
        <v>0</v>
      </c>
      <c r="J8742" s="135" t="n">
        <f aca="false">$G8742*'Analyse capacite'!$D$8</f>
        <v>0</v>
      </c>
      <c r="K8742" s="135" t="n">
        <f aca="false">$G8742*'Analyse capacite'!$E$8</f>
        <v>0</v>
      </c>
    </row>
    <row r="8743" customFormat="false" ht="15" hidden="false" customHeight="false" outlineLevel="0" collapsed="false">
      <c r="B8743" s="130" t="n">
        <v>2027</v>
      </c>
      <c r="C8743" s="131" t="s">
        <v>253</v>
      </c>
      <c r="D8743" s="132" t="n">
        <v>46720</v>
      </c>
      <c r="E8743" s="131" t="s">
        <v>53</v>
      </c>
      <c r="F8743" s="133" t="s">
        <v>24</v>
      </c>
      <c r="G8743" s="134" t="n">
        <f aca="false">LEN('Saisie programme'!$D$312)+SUMIFS('Vols additionnels'!$E$7:$E$66,'Vols additionnels'!$C$7:$C$66,$E8743,'Vols additionnels'!$D$7:$D$66,$F8743,'Vols additionnels'!$B$7:$B$66,$D8743)</f>
        <v>0</v>
      </c>
      <c r="H8743" s="135" t="n">
        <f aca="false">$G8743*'Analyse capacite'!$F$9</f>
        <v>0</v>
      </c>
      <c r="I8743" s="135" t="n">
        <f aca="false">$G8743*'Analyse capacite'!$C$9</f>
        <v>0</v>
      </c>
      <c r="J8743" s="135" t="n">
        <f aca="false">$G8743*'Analyse capacite'!$D$9</f>
        <v>0</v>
      </c>
      <c r="K8743" s="135" t="n">
        <f aca="false">$G8743*'Analyse capacite'!$E$9</f>
        <v>0</v>
      </c>
    </row>
    <row r="8744" customFormat="false" ht="15" hidden="false" customHeight="false" outlineLevel="0" collapsed="false">
      <c r="B8744" s="130" t="n">
        <v>2027</v>
      </c>
      <c r="C8744" s="131" t="s">
        <v>253</v>
      </c>
      <c r="D8744" s="132" t="n">
        <v>46720</v>
      </c>
      <c r="E8744" s="131" t="s">
        <v>56</v>
      </c>
      <c r="F8744" s="133" t="s">
        <v>11</v>
      </c>
      <c r="G8744" s="134" t="n">
        <f aca="false">LEN('Saisie programme'!$D$313)+SUMIFS('Vols additionnels'!$E$7:$E$66,'Vols additionnels'!$C$7:$C$66,$E8744,'Vols additionnels'!$D$7:$D$66,$F8744,'Vols additionnels'!$B$7:$B$66,$D8744)</f>
        <v>0</v>
      </c>
      <c r="H8744" s="135" t="n">
        <f aca="false">$G8744*'Analyse capacite'!$F$7</f>
        <v>0</v>
      </c>
      <c r="I8744" s="135" t="n">
        <f aca="false">$G8744*'Analyse capacite'!$C$7</f>
        <v>0</v>
      </c>
      <c r="J8744" s="135" t="n">
        <f aca="false">$G8744*'Analyse capacite'!$D$7</f>
        <v>0</v>
      </c>
      <c r="K8744" s="135" t="n">
        <f aca="false">$G8744*'Analyse capacite'!$E$7</f>
        <v>0</v>
      </c>
    </row>
    <row r="8745" customFormat="false" ht="15" hidden="false" customHeight="false" outlineLevel="0" collapsed="false">
      <c r="B8745" s="130" t="n">
        <v>2027</v>
      </c>
      <c r="C8745" s="131" t="s">
        <v>253</v>
      </c>
      <c r="D8745" s="132" t="n">
        <v>46720</v>
      </c>
      <c r="E8745" s="131" t="s">
        <v>56</v>
      </c>
      <c r="F8745" s="133" t="s">
        <v>19</v>
      </c>
      <c r="G8745" s="134" t="n">
        <f aca="false">LEN('Saisie programme'!$D$314)+SUMIFS('Vols additionnels'!$E$7:$E$66,'Vols additionnels'!$C$7:$C$66,$E8745,'Vols additionnels'!$D$7:$D$66,$F8745,'Vols additionnels'!$B$7:$B$66,$D8745)</f>
        <v>0</v>
      </c>
      <c r="H8745" s="135" t="n">
        <f aca="false">$G8745*'Analyse capacite'!$F$8</f>
        <v>0</v>
      </c>
      <c r="I8745" s="135" t="n">
        <f aca="false">$G8745*'Analyse capacite'!$C$8</f>
        <v>0</v>
      </c>
      <c r="J8745" s="135" t="n">
        <f aca="false">$G8745*'Analyse capacite'!$D$8</f>
        <v>0</v>
      </c>
      <c r="K8745" s="135" t="n">
        <f aca="false">$G8745*'Analyse capacite'!$E$8</f>
        <v>0</v>
      </c>
    </row>
    <row r="8746" customFormat="false" ht="15" hidden="false" customHeight="false" outlineLevel="0" collapsed="false">
      <c r="B8746" s="130" t="n">
        <v>2027</v>
      </c>
      <c r="C8746" s="131" t="s">
        <v>253</v>
      </c>
      <c r="D8746" s="132" t="n">
        <v>46720</v>
      </c>
      <c r="E8746" s="131" t="s">
        <v>56</v>
      </c>
      <c r="F8746" s="133" t="s">
        <v>24</v>
      </c>
      <c r="G8746" s="134" t="n">
        <f aca="false">LEN('Saisie programme'!$D$315)+SUMIFS('Vols additionnels'!$E$7:$E$66,'Vols additionnels'!$C$7:$C$66,$E8746,'Vols additionnels'!$D$7:$D$66,$F8746,'Vols additionnels'!$B$7:$B$66,$D8746)</f>
        <v>0</v>
      </c>
      <c r="H8746" s="135" t="n">
        <f aca="false">$G8746*'Analyse capacite'!$F$9</f>
        <v>0</v>
      </c>
      <c r="I8746" s="135" t="n">
        <f aca="false">$G8746*'Analyse capacite'!$C$9</f>
        <v>0</v>
      </c>
      <c r="J8746" s="135" t="n">
        <f aca="false">$G8746*'Analyse capacite'!$D$9</f>
        <v>0</v>
      </c>
      <c r="K8746" s="135" t="n">
        <f aca="false">$G8746*'Analyse capacite'!$E$9</f>
        <v>0</v>
      </c>
    </row>
    <row r="8747" customFormat="false" ht="15" hidden="false" customHeight="false" outlineLevel="0" collapsed="false">
      <c r="B8747" s="130" t="n">
        <v>2027</v>
      </c>
      <c r="C8747" s="131" t="s">
        <v>253</v>
      </c>
      <c r="D8747" s="132" t="n">
        <v>46720</v>
      </c>
      <c r="E8747" s="131" t="s">
        <v>59</v>
      </c>
      <c r="F8747" s="133" t="s">
        <v>11</v>
      </c>
      <c r="G8747" s="134" t="n">
        <f aca="false">LEN('Saisie programme'!$D$316)+SUMIFS('Vols additionnels'!$E$7:$E$66,'Vols additionnels'!$C$7:$C$66,$E8747,'Vols additionnels'!$D$7:$D$66,$F8747,'Vols additionnels'!$B$7:$B$66,$D8747)</f>
        <v>0</v>
      </c>
      <c r="H8747" s="135" t="n">
        <f aca="false">$G8747*'Analyse capacite'!$F$7</f>
        <v>0</v>
      </c>
      <c r="I8747" s="135" t="n">
        <f aca="false">$G8747*'Analyse capacite'!$C$7</f>
        <v>0</v>
      </c>
      <c r="J8747" s="135" t="n">
        <f aca="false">$G8747*'Analyse capacite'!$D$7</f>
        <v>0</v>
      </c>
      <c r="K8747" s="135" t="n">
        <f aca="false">$G8747*'Analyse capacite'!$E$7</f>
        <v>0</v>
      </c>
    </row>
    <row r="8748" customFormat="false" ht="15" hidden="false" customHeight="false" outlineLevel="0" collapsed="false">
      <c r="B8748" s="130" t="n">
        <v>2027</v>
      </c>
      <c r="C8748" s="131" t="s">
        <v>253</v>
      </c>
      <c r="D8748" s="132" t="n">
        <v>46720</v>
      </c>
      <c r="E8748" s="131" t="s">
        <v>59</v>
      </c>
      <c r="F8748" s="133" t="s">
        <v>19</v>
      </c>
      <c r="G8748" s="134" t="n">
        <f aca="false">LEN('Saisie programme'!$D$317)+SUMIFS('Vols additionnels'!$E$7:$E$66,'Vols additionnels'!$C$7:$C$66,$E8748,'Vols additionnels'!$D$7:$D$66,$F8748,'Vols additionnels'!$B$7:$B$66,$D8748)</f>
        <v>0</v>
      </c>
      <c r="H8748" s="135" t="n">
        <f aca="false">$G8748*'Analyse capacite'!$F$8</f>
        <v>0</v>
      </c>
      <c r="I8748" s="135" t="n">
        <f aca="false">$G8748*'Analyse capacite'!$C$8</f>
        <v>0</v>
      </c>
      <c r="J8748" s="135" t="n">
        <f aca="false">$G8748*'Analyse capacite'!$D$8</f>
        <v>0</v>
      </c>
      <c r="K8748" s="135" t="n">
        <f aca="false">$G8748*'Analyse capacite'!$E$8</f>
        <v>0</v>
      </c>
    </row>
    <row r="8749" customFormat="false" ht="15" hidden="false" customHeight="false" outlineLevel="0" collapsed="false">
      <c r="B8749" s="130" t="n">
        <v>2027</v>
      </c>
      <c r="C8749" s="131" t="s">
        <v>253</v>
      </c>
      <c r="D8749" s="132" t="n">
        <v>46720</v>
      </c>
      <c r="E8749" s="131" t="s">
        <v>59</v>
      </c>
      <c r="F8749" s="133" t="s">
        <v>24</v>
      </c>
      <c r="G8749" s="134" t="n">
        <f aca="false">LEN('Saisie programme'!$D$318)+SUMIFS('Vols additionnels'!$E$7:$E$66,'Vols additionnels'!$C$7:$C$66,$E8749,'Vols additionnels'!$D$7:$D$66,$F8749,'Vols additionnels'!$B$7:$B$66,$D8749)</f>
        <v>1</v>
      </c>
      <c r="H8749" s="135" t="n">
        <f aca="false">$G8749*'Analyse capacite'!$F$9</f>
        <v>174</v>
      </c>
      <c r="I8749" s="135" t="n">
        <f aca="false">$G8749*'Analyse capacite'!$C$9</f>
        <v>0</v>
      </c>
      <c r="J8749" s="135" t="n">
        <f aca="false">$G8749*'Analyse capacite'!$D$9</f>
        <v>12</v>
      </c>
      <c r="K8749" s="135" t="n">
        <f aca="false">$G8749*'Analyse capacite'!$E$9</f>
        <v>162</v>
      </c>
    </row>
    <row r="8750" customFormat="false" ht="15" hidden="false" customHeight="false" outlineLevel="0" collapsed="false">
      <c r="B8750" s="130" t="n">
        <v>2027</v>
      </c>
      <c r="C8750" s="131" t="s">
        <v>253</v>
      </c>
      <c r="D8750" s="132" t="n">
        <v>46720</v>
      </c>
      <c r="E8750" s="131" t="s">
        <v>62</v>
      </c>
      <c r="F8750" s="133" t="s">
        <v>11</v>
      </c>
      <c r="G8750" s="134" t="n">
        <f aca="false">LEN('Saisie programme'!$D$319)+SUMIFS('Vols additionnels'!$E$7:$E$66,'Vols additionnels'!$C$7:$C$66,$E8750,'Vols additionnels'!$D$7:$D$66,$F8750,'Vols additionnels'!$B$7:$B$66,$D8750)</f>
        <v>0</v>
      </c>
      <c r="H8750" s="135" t="n">
        <f aca="false">$G8750*'Analyse capacite'!$F$7</f>
        <v>0</v>
      </c>
      <c r="I8750" s="135" t="n">
        <f aca="false">$G8750*'Analyse capacite'!$C$7</f>
        <v>0</v>
      </c>
      <c r="J8750" s="135" t="n">
        <f aca="false">$G8750*'Analyse capacite'!$D$7</f>
        <v>0</v>
      </c>
      <c r="K8750" s="135" t="n">
        <f aca="false">$G8750*'Analyse capacite'!$E$7</f>
        <v>0</v>
      </c>
    </row>
    <row r="8751" customFormat="false" ht="15" hidden="false" customHeight="false" outlineLevel="0" collapsed="false">
      <c r="B8751" s="130" t="n">
        <v>2027</v>
      </c>
      <c r="C8751" s="131" t="s">
        <v>253</v>
      </c>
      <c r="D8751" s="132" t="n">
        <v>46720</v>
      </c>
      <c r="E8751" s="131" t="s">
        <v>62</v>
      </c>
      <c r="F8751" s="133" t="s">
        <v>19</v>
      </c>
      <c r="G8751" s="134" t="n">
        <f aca="false">LEN('Saisie programme'!$D$320)+SUMIFS('Vols additionnels'!$E$7:$E$66,'Vols additionnels'!$C$7:$C$66,$E8751,'Vols additionnels'!$D$7:$D$66,$F8751,'Vols additionnels'!$B$7:$B$66,$D8751)</f>
        <v>0</v>
      </c>
      <c r="H8751" s="135" t="n">
        <f aca="false">$G8751*'Analyse capacite'!$F$8</f>
        <v>0</v>
      </c>
      <c r="I8751" s="135" t="n">
        <f aca="false">$G8751*'Analyse capacite'!$C$8</f>
        <v>0</v>
      </c>
      <c r="J8751" s="135" t="n">
        <f aca="false">$G8751*'Analyse capacite'!$D$8</f>
        <v>0</v>
      </c>
      <c r="K8751" s="135" t="n">
        <f aca="false">$G8751*'Analyse capacite'!$E$8</f>
        <v>0</v>
      </c>
    </row>
    <row r="8752" customFormat="false" ht="15" hidden="false" customHeight="false" outlineLevel="0" collapsed="false">
      <c r="B8752" s="130" t="n">
        <v>2027</v>
      </c>
      <c r="C8752" s="131" t="s">
        <v>253</v>
      </c>
      <c r="D8752" s="132" t="n">
        <v>46720</v>
      </c>
      <c r="E8752" s="131" t="s">
        <v>62</v>
      </c>
      <c r="F8752" s="133" t="s">
        <v>24</v>
      </c>
      <c r="G8752" s="134" t="n">
        <f aca="false">LEN('Saisie programme'!$D$321)+SUMIFS('Vols additionnels'!$E$7:$E$66,'Vols additionnels'!$C$7:$C$66,$E8752,'Vols additionnels'!$D$7:$D$66,$F8752,'Vols additionnels'!$B$7:$B$66,$D8752)</f>
        <v>0</v>
      </c>
      <c r="H8752" s="135" t="n">
        <f aca="false">$G8752*'Analyse capacite'!$F$9</f>
        <v>0</v>
      </c>
      <c r="I8752" s="135" t="n">
        <f aca="false">$G8752*'Analyse capacite'!$C$9</f>
        <v>0</v>
      </c>
      <c r="J8752" s="135" t="n">
        <f aca="false">$G8752*'Analyse capacite'!$D$9</f>
        <v>0</v>
      </c>
      <c r="K8752" s="135" t="n">
        <f aca="false">$G8752*'Analyse capacite'!$E$9</f>
        <v>0</v>
      </c>
    </row>
    <row r="8753" customFormat="false" ht="15" hidden="false" customHeight="false" outlineLevel="0" collapsed="false">
      <c r="B8753" s="130" t="n">
        <v>2027</v>
      </c>
      <c r="C8753" s="131" t="s">
        <v>253</v>
      </c>
      <c r="D8753" s="132" t="n">
        <v>46721</v>
      </c>
      <c r="E8753" s="131" t="s">
        <v>12</v>
      </c>
      <c r="F8753" s="133" t="s">
        <v>11</v>
      </c>
      <c r="G8753" s="134" t="n">
        <f aca="false">LEN('Saisie programme'!$E$286)+SUMIFS('Vols additionnels'!$E$7:$E$66,'Vols additionnels'!$C$7:$C$66,$E8753,'Vols additionnels'!$D$7:$D$66,$F8753,'Vols additionnels'!$B$7:$B$66,$D8753)</f>
        <v>1</v>
      </c>
      <c r="H8753" s="135" t="n">
        <f aca="false">$G8753*'Analyse capacite'!$F$7</f>
        <v>438</v>
      </c>
      <c r="I8753" s="135" t="n">
        <f aca="false">$G8753*'Analyse capacite'!$C$7</f>
        <v>14</v>
      </c>
      <c r="J8753" s="135" t="n">
        <f aca="false">$G8753*'Analyse capacite'!$D$7</f>
        <v>40</v>
      </c>
      <c r="K8753" s="135" t="n">
        <f aca="false">$G8753*'Analyse capacite'!$E$7</f>
        <v>384</v>
      </c>
    </row>
    <row r="8754" customFormat="false" ht="15" hidden="false" customHeight="false" outlineLevel="0" collapsed="false">
      <c r="B8754" s="130" t="n">
        <v>2027</v>
      </c>
      <c r="C8754" s="131" t="s">
        <v>253</v>
      </c>
      <c r="D8754" s="132" t="n">
        <v>46721</v>
      </c>
      <c r="E8754" s="131" t="s">
        <v>12</v>
      </c>
      <c r="F8754" s="133" t="s">
        <v>19</v>
      </c>
      <c r="G8754" s="134" t="n">
        <f aca="false">LEN('Saisie programme'!$E$287)+SUMIFS('Vols additionnels'!$E$7:$E$66,'Vols additionnels'!$C$7:$C$66,$E8754,'Vols additionnels'!$D$7:$D$66,$F8754,'Vols additionnels'!$B$7:$B$66,$D8754)</f>
        <v>0</v>
      </c>
      <c r="H8754" s="135" t="n">
        <f aca="false">$G8754*'Analyse capacite'!$F$8</f>
        <v>0</v>
      </c>
      <c r="I8754" s="135" t="n">
        <f aca="false">$G8754*'Analyse capacite'!$C$8</f>
        <v>0</v>
      </c>
      <c r="J8754" s="135" t="n">
        <f aca="false">$G8754*'Analyse capacite'!$D$8</f>
        <v>0</v>
      </c>
      <c r="K8754" s="135" t="n">
        <f aca="false">$G8754*'Analyse capacite'!$E$8</f>
        <v>0</v>
      </c>
    </row>
    <row r="8755" customFormat="false" ht="15" hidden="false" customHeight="false" outlineLevel="0" collapsed="false">
      <c r="B8755" s="130" t="n">
        <v>2027</v>
      </c>
      <c r="C8755" s="131" t="s">
        <v>253</v>
      </c>
      <c r="D8755" s="132" t="n">
        <v>46721</v>
      </c>
      <c r="E8755" s="131" t="s">
        <v>12</v>
      </c>
      <c r="F8755" s="133" t="s">
        <v>24</v>
      </c>
      <c r="G8755" s="134" t="n">
        <f aca="false">LEN('Saisie programme'!$E$288)+SUMIFS('Vols additionnels'!$E$7:$E$66,'Vols additionnels'!$C$7:$C$66,$E8755,'Vols additionnels'!$D$7:$D$66,$F8755,'Vols additionnels'!$B$7:$B$66,$D8755)</f>
        <v>0</v>
      </c>
      <c r="H8755" s="135" t="n">
        <f aca="false">$G8755*'Analyse capacite'!$F$9</f>
        <v>0</v>
      </c>
      <c r="I8755" s="135" t="n">
        <f aca="false">$G8755*'Analyse capacite'!$C$9</f>
        <v>0</v>
      </c>
      <c r="J8755" s="135" t="n">
        <f aca="false">$G8755*'Analyse capacite'!$D$9</f>
        <v>0</v>
      </c>
      <c r="K8755" s="135" t="n">
        <f aca="false">$G8755*'Analyse capacite'!$E$9</f>
        <v>0</v>
      </c>
    </row>
    <row r="8756" customFormat="false" ht="15" hidden="false" customHeight="false" outlineLevel="0" collapsed="false">
      <c r="B8756" s="130" t="n">
        <v>2027</v>
      </c>
      <c r="C8756" s="131" t="s">
        <v>253</v>
      </c>
      <c r="D8756" s="132" t="n">
        <v>46721</v>
      </c>
      <c r="E8756" s="131" t="s">
        <v>20</v>
      </c>
      <c r="F8756" s="133" t="s">
        <v>11</v>
      </c>
      <c r="G8756" s="134" t="n">
        <f aca="false">LEN('Saisie programme'!$E$289)+SUMIFS('Vols additionnels'!$E$7:$E$66,'Vols additionnels'!$C$7:$C$66,$E8756,'Vols additionnels'!$D$7:$D$66,$F8756,'Vols additionnels'!$B$7:$B$66,$D8756)</f>
        <v>0</v>
      </c>
      <c r="H8756" s="135" t="n">
        <f aca="false">$G8756*'Analyse capacite'!$F$7</f>
        <v>0</v>
      </c>
      <c r="I8756" s="135" t="n">
        <f aca="false">$G8756*'Analyse capacite'!$C$7</f>
        <v>0</v>
      </c>
      <c r="J8756" s="135" t="n">
        <f aca="false">$G8756*'Analyse capacite'!$D$7</f>
        <v>0</v>
      </c>
      <c r="K8756" s="135" t="n">
        <f aca="false">$G8756*'Analyse capacite'!$E$7</f>
        <v>0</v>
      </c>
    </row>
    <row r="8757" customFormat="false" ht="15" hidden="false" customHeight="false" outlineLevel="0" collapsed="false">
      <c r="B8757" s="130" t="n">
        <v>2027</v>
      </c>
      <c r="C8757" s="131" t="s">
        <v>253</v>
      </c>
      <c r="D8757" s="132" t="n">
        <v>46721</v>
      </c>
      <c r="E8757" s="131" t="s">
        <v>20</v>
      </c>
      <c r="F8757" s="133" t="s">
        <v>19</v>
      </c>
      <c r="G8757" s="134" t="n">
        <f aca="false">LEN('Saisie programme'!$E$290)+SUMIFS('Vols additionnels'!$E$7:$E$66,'Vols additionnels'!$C$7:$C$66,$E8757,'Vols additionnels'!$D$7:$D$66,$F8757,'Vols additionnels'!$B$7:$B$66,$D8757)</f>
        <v>1</v>
      </c>
      <c r="H8757" s="135" t="n">
        <f aca="false">$G8757*'Analyse capacite'!$F$8</f>
        <v>262</v>
      </c>
      <c r="I8757" s="135" t="n">
        <f aca="false">$G8757*'Analyse capacite'!$C$8</f>
        <v>18</v>
      </c>
      <c r="J8757" s="135" t="n">
        <f aca="false">$G8757*'Analyse capacite'!$D$8</f>
        <v>0</v>
      </c>
      <c r="K8757" s="135" t="n">
        <f aca="false">$G8757*'Analyse capacite'!$E$8</f>
        <v>244</v>
      </c>
    </row>
    <row r="8758" customFormat="false" ht="15" hidden="false" customHeight="false" outlineLevel="0" collapsed="false">
      <c r="B8758" s="130" t="n">
        <v>2027</v>
      </c>
      <c r="C8758" s="131" t="s">
        <v>253</v>
      </c>
      <c r="D8758" s="132" t="n">
        <v>46721</v>
      </c>
      <c r="E8758" s="131" t="s">
        <v>20</v>
      </c>
      <c r="F8758" s="133" t="s">
        <v>24</v>
      </c>
      <c r="G8758" s="134" t="n">
        <f aca="false">LEN('Saisie programme'!$E$291)+SUMIFS('Vols additionnels'!$E$7:$E$66,'Vols additionnels'!$C$7:$C$66,$E8758,'Vols additionnels'!$D$7:$D$66,$F8758,'Vols additionnels'!$B$7:$B$66,$D8758)</f>
        <v>0</v>
      </c>
      <c r="H8758" s="135" t="n">
        <f aca="false">$G8758*'Analyse capacite'!$F$9</f>
        <v>0</v>
      </c>
      <c r="I8758" s="135" t="n">
        <f aca="false">$G8758*'Analyse capacite'!$C$9</f>
        <v>0</v>
      </c>
      <c r="J8758" s="135" t="n">
        <f aca="false">$G8758*'Analyse capacite'!$D$9</f>
        <v>0</v>
      </c>
      <c r="K8758" s="135" t="n">
        <f aca="false">$G8758*'Analyse capacite'!$E$9</f>
        <v>0</v>
      </c>
    </row>
    <row r="8759" customFormat="false" ht="15" hidden="false" customHeight="false" outlineLevel="0" collapsed="false">
      <c r="B8759" s="130" t="n">
        <v>2027</v>
      </c>
      <c r="C8759" s="131" t="s">
        <v>253</v>
      </c>
      <c r="D8759" s="132" t="n">
        <v>46721</v>
      </c>
      <c r="E8759" s="131" t="s">
        <v>25</v>
      </c>
      <c r="F8759" s="133" t="s">
        <v>11</v>
      </c>
      <c r="G8759" s="134" t="n">
        <f aca="false">LEN('Saisie programme'!$E$292)+SUMIFS('Vols additionnels'!$E$7:$E$66,'Vols additionnels'!$C$7:$C$66,$E8759,'Vols additionnels'!$D$7:$D$66,$F8759,'Vols additionnels'!$B$7:$B$66,$D8759)</f>
        <v>0</v>
      </c>
      <c r="H8759" s="135" t="n">
        <f aca="false">$G8759*'Analyse capacite'!$F$7</f>
        <v>0</v>
      </c>
      <c r="I8759" s="135" t="n">
        <f aca="false">$G8759*'Analyse capacite'!$C$7</f>
        <v>0</v>
      </c>
      <c r="J8759" s="135" t="n">
        <f aca="false">$G8759*'Analyse capacite'!$D$7</f>
        <v>0</v>
      </c>
      <c r="K8759" s="135" t="n">
        <f aca="false">$G8759*'Analyse capacite'!$E$7</f>
        <v>0</v>
      </c>
    </row>
    <row r="8760" customFormat="false" ht="15" hidden="false" customHeight="false" outlineLevel="0" collapsed="false">
      <c r="B8760" s="130" t="n">
        <v>2027</v>
      </c>
      <c r="C8760" s="131" t="s">
        <v>253</v>
      </c>
      <c r="D8760" s="132" t="n">
        <v>46721</v>
      </c>
      <c r="E8760" s="131" t="s">
        <v>25</v>
      </c>
      <c r="F8760" s="133" t="s">
        <v>19</v>
      </c>
      <c r="G8760" s="134" t="n">
        <f aca="false">LEN('Saisie programme'!$E$293)+SUMIFS('Vols additionnels'!$E$7:$E$66,'Vols additionnels'!$C$7:$C$66,$E8760,'Vols additionnels'!$D$7:$D$66,$F8760,'Vols additionnels'!$B$7:$B$66,$D8760)</f>
        <v>0</v>
      </c>
      <c r="H8760" s="135" t="n">
        <f aca="false">$G8760*'Analyse capacite'!$F$8</f>
        <v>0</v>
      </c>
      <c r="I8760" s="135" t="n">
        <f aca="false">$G8760*'Analyse capacite'!$C$8</f>
        <v>0</v>
      </c>
      <c r="J8760" s="135" t="n">
        <f aca="false">$G8760*'Analyse capacite'!$D$8</f>
        <v>0</v>
      </c>
      <c r="K8760" s="135" t="n">
        <f aca="false">$G8760*'Analyse capacite'!$E$8</f>
        <v>0</v>
      </c>
    </row>
    <row r="8761" customFormat="false" ht="15" hidden="false" customHeight="false" outlineLevel="0" collapsed="false">
      <c r="B8761" s="130" t="n">
        <v>2027</v>
      </c>
      <c r="C8761" s="131" t="s">
        <v>253</v>
      </c>
      <c r="D8761" s="132" t="n">
        <v>46721</v>
      </c>
      <c r="E8761" s="131" t="s">
        <v>25</v>
      </c>
      <c r="F8761" s="133" t="s">
        <v>24</v>
      </c>
      <c r="G8761" s="134" t="n">
        <f aca="false">LEN('Saisie programme'!$E$294)+SUMIFS('Vols additionnels'!$E$7:$E$66,'Vols additionnels'!$C$7:$C$66,$E8761,'Vols additionnels'!$D$7:$D$66,$F8761,'Vols additionnels'!$B$7:$B$66,$D8761)</f>
        <v>0</v>
      </c>
      <c r="H8761" s="135" t="n">
        <f aca="false">$G8761*'Analyse capacite'!$F$9</f>
        <v>0</v>
      </c>
      <c r="I8761" s="135" t="n">
        <f aca="false">$G8761*'Analyse capacite'!$C$9</f>
        <v>0</v>
      </c>
      <c r="J8761" s="135" t="n">
        <f aca="false">$G8761*'Analyse capacite'!$D$9</f>
        <v>0</v>
      </c>
      <c r="K8761" s="135" t="n">
        <f aca="false">$G8761*'Analyse capacite'!$E$9</f>
        <v>0</v>
      </c>
    </row>
    <row r="8762" customFormat="false" ht="15" hidden="false" customHeight="false" outlineLevel="0" collapsed="false">
      <c r="B8762" s="130" t="n">
        <v>2027</v>
      </c>
      <c r="C8762" s="131" t="s">
        <v>253</v>
      </c>
      <c r="D8762" s="132" t="n">
        <v>46721</v>
      </c>
      <c r="E8762" s="131" t="s">
        <v>36</v>
      </c>
      <c r="F8762" s="133" t="s">
        <v>11</v>
      </c>
      <c r="G8762" s="134" t="n">
        <f aca="false">LEN('Saisie programme'!$E$295)+SUMIFS('Vols additionnels'!$E$7:$E$66,'Vols additionnels'!$C$7:$C$66,$E8762,'Vols additionnels'!$D$7:$D$66,$F8762,'Vols additionnels'!$B$7:$B$66,$D8762)</f>
        <v>0</v>
      </c>
      <c r="H8762" s="135" t="n">
        <f aca="false">$G8762*'Analyse capacite'!$F$7</f>
        <v>0</v>
      </c>
      <c r="I8762" s="135" t="n">
        <f aca="false">$G8762*'Analyse capacite'!$C$7</f>
        <v>0</v>
      </c>
      <c r="J8762" s="135" t="n">
        <f aca="false">$G8762*'Analyse capacite'!$D$7</f>
        <v>0</v>
      </c>
      <c r="K8762" s="135" t="n">
        <f aca="false">$G8762*'Analyse capacite'!$E$7</f>
        <v>0</v>
      </c>
    </row>
    <row r="8763" customFormat="false" ht="15" hidden="false" customHeight="false" outlineLevel="0" collapsed="false">
      <c r="B8763" s="130" t="n">
        <v>2027</v>
      </c>
      <c r="C8763" s="131" t="s">
        <v>253</v>
      </c>
      <c r="D8763" s="132" t="n">
        <v>46721</v>
      </c>
      <c r="E8763" s="131" t="s">
        <v>36</v>
      </c>
      <c r="F8763" s="133" t="s">
        <v>19</v>
      </c>
      <c r="G8763" s="134" t="n">
        <f aca="false">LEN('Saisie programme'!$E$296)+SUMIFS('Vols additionnels'!$E$7:$E$66,'Vols additionnels'!$C$7:$C$66,$E8763,'Vols additionnels'!$D$7:$D$66,$F8763,'Vols additionnels'!$B$7:$B$66,$D8763)</f>
        <v>0</v>
      </c>
      <c r="H8763" s="135" t="n">
        <f aca="false">$G8763*'Analyse capacite'!$F$8</f>
        <v>0</v>
      </c>
      <c r="I8763" s="135" t="n">
        <f aca="false">$G8763*'Analyse capacite'!$C$8</f>
        <v>0</v>
      </c>
      <c r="J8763" s="135" t="n">
        <f aca="false">$G8763*'Analyse capacite'!$D$8</f>
        <v>0</v>
      </c>
      <c r="K8763" s="135" t="n">
        <f aca="false">$G8763*'Analyse capacite'!$E$8</f>
        <v>0</v>
      </c>
    </row>
    <row r="8764" customFormat="false" ht="15" hidden="false" customHeight="false" outlineLevel="0" collapsed="false">
      <c r="B8764" s="130" t="n">
        <v>2027</v>
      </c>
      <c r="C8764" s="131" t="s">
        <v>253</v>
      </c>
      <c r="D8764" s="132" t="n">
        <v>46721</v>
      </c>
      <c r="E8764" s="131" t="s">
        <v>36</v>
      </c>
      <c r="F8764" s="133" t="s">
        <v>24</v>
      </c>
      <c r="G8764" s="134" t="n">
        <f aca="false">LEN('Saisie programme'!$E$297)+SUMIFS('Vols additionnels'!$E$7:$E$66,'Vols additionnels'!$C$7:$C$66,$E8764,'Vols additionnels'!$D$7:$D$66,$F8764,'Vols additionnels'!$B$7:$B$66,$D8764)</f>
        <v>1</v>
      </c>
      <c r="H8764" s="135" t="n">
        <f aca="false">$G8764*'Analyse capacite'!$F$9</f>
        <v>174</v>
      </c>
      <c r="I8764" s="135" t="n">
        <f aca="false">$G8764*'Analyse capacite'!$C$9</f>
        <v>0</v>
      </c>
      <c r="J8764" s="135" t="n">
        <f aca="false">$G8764*'Analyse capacite'!$D$9</f>
        <v>12</v>
      </c>
      <c r="K8764" s="135" t="n">
        <f aca="false">$G8764*'Analyse capacite'!$E$9</f>
        <v>162</v>
      </c>
    </row>
    <row r="8765" customFormat="false" ht="15" hidden="false" customHeight="false" outlineLevel="0" collapsed="false">
      <c r="B8765" s="130" t="n">
        <v>2027</v>
      </c>
      <c r="C8765" s="131" t="s">
        <v>253</v>
      </c>
      <c r="D8765" s="132" t="n">
        <v>46721</v>
      </c>
      <c r="E8765" s="131" t="s">
        <v>40</v>
      </c>
      <c r="F8765" s="133" t="s">
        <v>11</v>
      </c>
      <c r="G8765" s="134" t="n">
        <f aca="false">LEN('Saisie programme'!$E$298)+SUMIFS('Vols additionnels'!$E$7:$E$66,'Vols additionnels'!$C$7:$C$66,$E8765,'Vols additionnels'!$D$7:$D$66,$F8765,'Vols additionnels'!$B$7:$B$66,$D8765)</f>
        <v>0</v>
      </c>
      <c r="H8765" s="135" t="n">
        <f aca="false">$G8765*'Analyse capacite'!$F$7</f>
        <v>0</v>
      </c>
      <c r="I8765" s="135" t="n">
        <f aca="false">$G8765*'Analyse capacite'!$C$7</f>
        <v>0</v>
      </c>
      <c r="J8765" s="135" t="n">
        <f aca="false">$G8765*'Analyse capacite'!$D$7</f>
        <v>0</v>
      </c>
      <c r="K8765" s="135" t="n">
        <f aca="false">$G8765*'Analyse capacite'!$E$7</f>
        <v>0</v>
      </c>
    </row>
    <row r="8766" customFormat="false" ht="15" hidden="false" customHeight="false" outlineLevel="0" collapsed="false">
      <c r="B8766" s="130" t="n">
        <v>2027</v>
      </c>
      <c r="C8766" s="131" t="s">
        <v>253</v>
      </c>
      <c r="D8766" s="132" t="n">
        <v>46721</v>
      </c>
      <c r="E8766" s="131" t="s">
        <v>40</v>
      </c>
      <c r="F8766" s="133" t="s">
        <v>19</v>
      </c>
      <c r="G8766" s="134" t="n">
        <f aca="false">LEN('Saisie programme'!$E$299)+SUMIFS('Vols additionnels'!$E$7:$E$66,'Vols additionnels'!$C$7:$C$66,$E8766,'Vols additionnels'!$D$7:$D$66,$F8766,'Vols additionnels'!$B$7:$B$66,$D8766)</f>
        <v>0</v>
      </c>
      <c r="H8766" s="135" t="n">
        <f aca="false">$G8766*'Analyse capacite'!$F$8</f>
        <v>0</v>
      </c>
      <c r="I8766" s="135" t="n">
        <f aca="false">$G8766*'Analyse capacite'!$C$8</f>
        <v>0</v>
      </c>
      <c r="J8766" s="135" t="n">
        <f aca="false">$G8766*'Analyse capacite'!$D$8</f>
        <v>0</v>
      </c>
      <c r="K8766" s="135" t="n">
        <f aca="false">$G8766*'Analyse capacite'!$E$8</f>
        <v>0</v>
      </c>
    </row>
    <row r="8767" customFormat="false" ht="15" hidden="false" customHeight="false" outlineLevel="0" collapsed="false">
      <c r="B8767" s="130" t="n">
        <v>2027</v>
      </c>
      <c r="C8767" s="131" t="s">
        <v>253</v>
      </c>
      <c r="D8767" s="132" t="n">
        <v>46721</v>
      </c>
      <c r="E8767" s="131" t="s">
        <v>40</v>
      </c>
      <c r="F8767" s="133" t="s">
        <v>24</v>
      </c>
      <c r="G8767" s="134" t="n">
        <f aca="false">LEN('Saisie programme'!$E$300)+SUMIFS('Vols additionnels'!$E$7:$E$66,'Vols additionnels'!$C$7:$C$66,$E8767,'Vols additionnels'!$D$7:$D$66,$F8767,'Vols additionnels'!$B$7:$B$66,$D8767)</f>
        <v>0</v>
      </c>
      <c r="H8767" s="135" t="n">
        <f aca="false">$G8767*'Analyse capacite'!$F$9</f>
        <v>0</v>
      </c>
      <c r="I8767" s="135" t="n">
        <f aca="false">$G8767*'Analyse capacite'!$C$9</f>
        <v>0</v>
      </c>
      <c r="J8767" s="135" t="n">
        <f aca="false">$G8767*'Analyse capacite'!$D$9</f>
        <v>0</v>
      </c>
      <c r="K8767" s="135" t="n">
        <f aca="false">$G8767*'Analyse capacite'!$E$9</f>
        <v>0</v>
      </c>
    </row>
    <row r="8768" customFormat="false" ht="15" hidden="false" customHeight="false" outlineLevel="0" collapsed="false">
      <c r="B8768" s="130" t="n">
        <v>2027</v>
      </c>
      <c r="C8768" s="131" t="s">
        <v>253</v>
      </c>
      <c r="D8768" s="132" t="n">
        <v>46721</v>
      </c>
      <c r="E8768" s="131" t="s">
        <v>14</v>
      </c>
      <c r="F8768" s="133" t="s">
        <v>11</v>
      </c>
      <c r="G8768" s="134" t="n">
        <f aca="false">LEN('Saisie programme'!$E$301)+SUMIFS('Vols additionnels'!$E$7:$E$66,'Vols additionnels'!$C$7:$C$66,$E8768,'Vols additionnels'!$D$7:$D$66,$F8768,'Vols additionnels'!$B$7:$B$66,$D8768)</f>
        <v>0</v>
      </c>
      <c r="H8768" s="135" t="n">
        <f aca="false">$G8768*'Analyse capacite'!$F$7</f>
        <v>0</v>
      </c>
      <c r="I8768" s="135" t="n">
        <f aca="false">$G8768*'Analyse capacite'!$C$7</f>
        <v>0</v>
      </c>
      <c r="J8768" s="135" t="n">
        <f aca="false">$G8768*'Analyse capacite'!$D$7</f>
        <v>0</v>
      </c>
      <c r="K8768" s="135" t="n">
        <f aca="false">$G8768*'Analyse capacite'!$E$7</f>
        <v>0</v>
      </c>
    </row>
    <row r="8769" customFormat="false" ht="15" hidden="false" customHeight="false" outlineLevel="0" collapsed="false">
      <c r="B8769" s="130" t="n">
        <v>2027</v>
      </c>
      <c r="C8769" s="131" t="s">
        <v>253</v>
      </c>
      <c r="D8769" s="132" t="n">
        <v>46721</v>
      </c>
      <c r="E8769" s="131" t="s">
        <v>14</v>
      </c>
      <c r="F8769" s="133" t="s">
        <v>19</v>
      </c>
      <c r="G8769" s="134" t="n">
        <f aca="false">LEN('Saisie programme'!$E$302)+SUMIFS('Vols additionnels'!$E$7:$E$66,'Vols additionnels'!$C$7:$C$66,$E8769,'Vols additionnels'!$D$7:$D$66,$F8769,'Vols additionnels'!$B$7:$B$66,$D8769)</f>
        <v>0</v>
      </c>
      <c r="H8769" s="135" t="n">
        <f aca="false">$G8769*'Analyse capacite'!$F$8</f>
        <v>0</v>
      </c>
      <c r="I8769" s="135" t="n">
        <f aca="false">$G8769*'Analyse capacite'!$C$8</f>
        <v>0</v>
      </c>
      <c r="J8769" s="135" t="n">
        <f aca="false">$G8769*'Analyse capacite'!$D$8</f>
        <v>0</v>
      </c>
      <c r="K8769" s="135" t="n">
        <f aca="false">$G8769*'Analyse capacite'!$E$8</f>
        <v>0</v>
      </c>
    </row>
    <row r="8770" customFormat="false" ht="15" hidden="false" customHeight="false" outlineLevel="0" collapsed="false">
      <c r="B8770" s="130" t="n">
        <v>2027</v>
      </c>
      <c r="C8770" s="131" t="s">
        <v>253</v>
      </c>
      <c r="D8770" s="132" t="n">
        <v>46721</v>
      </c>
      <c r="E8770" s="131" t="s">
        <v>14</v>
      </c>
      <c r="F8770" s="133" t="s">
        <v>24</v>
      </c>
      <c r="G8770" s="134" t="n">
        <f aca="false">LEN('Saisie programme'!$E$303)+SUMIFS('Vols additionnels'!$E$7:$E$66,'Vols additionnels'!$C$7:$C$66,$E8770,'Vols additionnels'!$D$7:$D$66,$F8770,'Vols additionnels'!$B$7:$B$66,$D8770)</f>
        <v>0</v>
      </c>
      <c r="H8770" s="135" t="n">
        <f aca="false">$G8770*'Analyse capacite'!$F$9</f>
        <v>0</v>
      </c>
      <c r="I8770" s="135" t="n">
        <f aca="false">$G8770*'Analyse capacite'!$C$9</f>
        <v>0</v>
      </c>
      <c r="J8770" s="135" t="n">
        <f aca="false">$G8770*'Analyse capacite'!$D$9</f>
        <v>0</v>
      </c>
      <c r="K8770" s="135" t="n">
        <f aca="false">$G8770*'Analyse capacite'!$E$9</f>
        <v>0</v>
      </c>
    </row>
    <row r="8771" customFormat="false" ht="15" hidden="false" customHeight="false" outlineLevel="0" collapsed="false">
      <c r="B8771" s="130" t="n">
        <v>2027</v>
      </c>
      <c r="C8771" s="131" t="s">
        <v>253</v>
      </c>
      <c r="D8771" s="132" t="n">
        <v>46721</v>
      </c>
      <c r="E8771" s="131" t="s">
        <v>46</v>
      </c>
      <c r="F8771" s="133" t="s">
        <v>11</v>
      </c>
      <c r="G8771" s="134" t="n">
        <f aca="false">LEN('Saisie programme'!$E$304)+SUMIFS('Vols additionnels'!$E$7:$E$66,'Vols additionnels'!$C$7:$C$66,$E8771,'Vols additionnels'!$D$7:$D$66,$F8771,'Vols additionnels'!$B$7:$B$66,$D8771)</f>
        <v>0</v>
      </c>
      <c r="H8771" s="135" t="n">
        <f aca="false">$G8771*'Analyse capacite'!$F$7</f>
        <v>0</v>
      </c>
      <c r="I8771" s="135" t="n">
        <f aca="false">$G8771*'Analyse capacite'!$C$7</f>
        <v>0</v>
      </c>
      <c r="J8771" s="135" t="n">
        <f aca="false">$G8771*'Analyse capacite'!$D$7</f>
        <v>0</v>
      </c>
      <c r="K8771" s="135" t="n">
        <f aca="false">$G8771*'Analyse capacite'!$E$7</f>
        <v>0</v>
      </c>
    </row>
    <row r="8772" customFormat="false" ht="15" hidden="false" customHeight="false" outlineLevel="0" collapsed="false">
      <c r="B8772" s="130" t="n">
        <v>2027</v>
      </c>
      <c r="C8772" s="131" t="s">
        <v>253</v>
      </c>
      <c r="D8772" s="132" t="n">
        <v>46721</v>
      </c>
      <c r="E8772" s="131" t="s">
        <v>46</v>
      </c>
      <c r="F8772" s="133" t="s">
        <v>19</v>
      </c>
      <c r="G8772" s="134" t="n">
        <f aca="false">LEN('Saisie programme'!$E$305)+SUMIFS('Vols additionnels'!$E$7:$E$66,'Vols additionnels'!$C$7:$C$66,$E8772,'Vols additionnels'!$D$7:$D$66,$F8772,'Vols additionnels'!$B$7:$B$66,$D8772)</f>
        <v>0</v>
      </c>
      <c r="H8772" s="135" t="n">
        <f aca="false">$G8772*'Analyse capacite'!$F$8</f>
        <v>0</v>
      </c>
      <c r="I8772" s="135" t="n">
        <f aca="false">$G8772*'Analyse capacite'!$C$8</f>
        <v>0</v>
      </c>
      <c r="J8772" s="135" t="n">
        <f aca="false">$G8772*'Analyse capacite'!$D$8</f>
        <v>0</v>
      </c>
      <c r="K8772" s="135" t="n">
        <f aca="false">$G8772*'Analyse capacite'!$E$8</f>
        <v>0</v>
      </c>
    </row>
    <row r="8773" customFormat="false" ht="15" hidden="false" customHeight="false" outlineLevel="0" collapsed="false">
      <c r="B8773" s="130" t="n">
        <v>2027</v>
      </c>
      <c r="C8773" s="131" t="s">
        <v>253</v>
      </c>
      <c r="D8773" s="132" t="n">
        <v>46721</v>
      </c>
      <c r="E8773" s="131" t="s">
        <v>46</v>
      </c>
      <c r="F8773" s="133" t="s">
        <v>24</v>
      </c>
      <c r="G8773" s="134" t="n">
        <f aca="false">LEN('Saisie programme'!$E$306)+SUMIFS('Vols additionnels'!$E$7:$E$66,'Vols additionnels'!$C$7:$C$66,$E8773,'Vols additionnels'!$D$7:$D$66,$F8773,'Vols additionnels'!$B$7:$B$66,$D8773)</f>
        <v>1</v>
      </c>
      <c r="H8773" s="135" t="n">
        <f aca="false">$G8773*'Analyse capacite'!$F$9</f>
        <v>174</v>
      </c>
      <c r="I8773" s="135" t="n">
        <f aca="false">$G8773*'Analyse capacite'!$C$9</f>
        <v>0</v>
      </c>
      <c r="J8773" s="135" t="n">
        <f aca="false">$G8773*'Analyse capacite'!$D$9</f>
        <v>12</v>
      </c>
      <c r="K8773" s="135" t="n">
        <f aca="false">$G8773*'Analyse capacite'!$E$9</f>
        <v>162</v>
      </c>
    </row>
    <row r="8774" customFormat="false" ht="15" hidden="false" customHeight="false" outlineLevel="0" collapsed="false">
      <c r="B8774" s="130" t="n">
        <v>2027</v>
      </c>
      <c r="C8774" s="131" t="s">
        <v>253</v>
      </c>
      <c r="D8774" s="132" t="n">
        <v>46721</v>
      </c>
      <c r="E8774" s="131" t="s">
        <v>49</v>
      </c>
      <c r="F8774" s="133" t="s">
        <v>11</v>
      </c>
      <c r="G8774" s="134" t="n">
        <f aca="false">LEN('Saisie programme'!$E$307)+SUMIFS('Vols additionnels'!$E$7:$E$66,'Vols additionnels'!$C$7:$C$66,$E8774,'Vols additionnels'!$D$7:$D$66,$F8774,'Vols additionnels'!$B$7:$B$66,$D8774)</f>
        <v>0</v>
      </c>
      <c r="H8774" s="135" t="n">
        <f aca="false">$G8774*'Analyse capacite'!$F$7</f>
        <v>0</v>
      </c>
      <c r="I8774" s="135" t="n">
        <f aca="false">$G8774*'Analyse capacite'!$C$7</f>
        <v>0</v>
      </c>
      <c r="J8774" s="135" t="n">
        <f aca="false">$G8774*'Analyse capacite'!$D$7</f>
        <v>0</v>
      </c>
      <c r="K8774" s="135" t="n">
        <f aca="false">$G8774*'Analyse capacite'!$E$7</f>
        <v>0</v>
      </c>
    </row>
    <row r="8775" customFormat="false" ht="15" hidden="false" customHeight="false" outlineLevel="0" collapsed="false">
      <c r="B8775" s="130" t="n">
        <v>2027</v>
      </c>
      <c r="C8775" s="131" t="s">
        <v>253</v>
      </c>
      <c r="D8775" s="132" t="n">
        <v>46721</v>
      </c>
      <c r="E8775" s="131" t="s">
        <v>49</v>
      </c>
      <c r="F8775" s="133" t="s">
        <v>19</v>
      </c>
      <c r="G8775" s="134" t="n">
        <f aca="false">LEN('Saisie programme'!$E$308)+SUMIFS('Vols additionnels'!$E$7:$E$66,'Vols additionnels'!$C$7:$C$66,$E8775,'Vols additionnels'!$D$7:$D$66,$F8775,'Vols additionnels'!$B$7:$B$66,$D8775)</f>
        <v>0</v>
      </c>
      <c r="H8775" s="135" t="n">
        <f aca="false">$G8775*'Analyse capacite'!$F$8</f>
        <v>0</v>
      </c>
      <c r="I8775" s="135" t="n">
        <f aca="false">$G8775*'Analyse capacite'!$C$8</f>
        <v>0</v>
      </c>
      <c r="J8775" s="135" t="n">
        <f aca="false">$G8775*'Analyse capacite'!$D$8</f>
        <v>0</v>
      </c>
      <c r="K8775" s="135" t="n">
        <f aca="false">$G8775*'Analyse capacite'!$E$8</f>
        <v>0</v>
      </c>
    </row>
    <row r="8776" customFormat="false" ht="15" hidden="false" customHeight="false" outlineLevel="0" collapsed="false">
      <c r="B8776" s="130" t="n">
        <v>2027</v>
      </c>
      <c r="C8776" s="131" t="s">
        <v>253</v>
      </c>
      <c r="D8776" s="132" t="n">
        <v>46721</v>
      </c>
      <c r="E8776" s="131" t="s">
        <v>49</v>
      </c>
      <c r="F8776" s="133" t="s">
        <v>24</v>
      </c>
      <c r="G8776" s="134" t="n">
        <f aca="false">LEN('Saisie programme'!$E$309)+SUMIFS('Vols additionnels'!$E$7:$E$66,'Vols additionnels'!$C$7:$C$66,$E8776,'Vols additionnels'!$D$7:$D$66,$F8776,'Vols additionnels'!$B$7:$B$66,$D8776)</f>
        <v>0</v>
      </c>
      <c r="H8776" s="135" t="n">
        <f aca="false">$G8776*'Analyse capacite'!$F$9</f>
        <v>0</v>
      </c>
      <c r="I8776" s="135" t="n">
        <f aca="false">$G8776*'Analyse capacite'!$C$9</f>
        <v>0</v>
      </c>
      <c r="J8776" s="135" t="n">
        <f aca="false">$G8776*'Analyse capacite'!$D$9</f>
        <v>0</v>
      </c>
      <c r="K8776" s="135" t="n">
        <f aca="false">$G8776*'Analyse capacite'!$E$9</f>
        <v>0</v>
      </c>
    </row>
    <row r="8777" customFormat="false" ht="15" hidden="false" customHeight="false" outlineLevel="0" collapsed="false">
      <c r="B8777" s="130" t="n">
        <v>2027</v>
      </c>
      <c r="C8777" s="131" t="s">
        <v>253</v>
      </c>
      <c r="D8777" s="132" t="n">
        <v>46721</v>
      </c>
      <c r="E8777" s="131" t="s">
        <v>53</v>
      </c>
      <c r="F8777" s="133" t="s">
        <v>11</v>
      </c>
      <c r="G8777" s="134" t="n">
        <f aca="false">LEN('Saisie programme'!$E$310)+SUMIFS('Vols additionnels'!$E$7:$E$66,'Vols additionnels'!$C$7:$C$66,$E8777,'Vols additionnels'!$D$7:$D$66,$F8777,'Vols additionnels'!$B$7:$B$66,$D8777)</f>
        <v>0</v>
      </c>
      <c r="H8777" s="135" t="n">
        <f aca="false">$G8777*'Analyse capacite'!$F$7</f>
        <v>0</v>
      </c>
      <c r="I8777" s="135" t="n">
        <f aca="false">$G8777*'Analyse capacite'!$C$7</f>
        <v>0</v>
      </c>
      <c r="J8777" s="135" t="n">
        <f aca="false">$G8777*'Analyse capacite'!$D$7</f>
        <v>0</v>
      </c>
      <c r="K8777" s="135" t="n">
        <f aca="false">$G8777*'Analyse capacite'!$E$7</f>
        <v>0</v>
      </c>
    </row>
    <row r="8778" customFormat="false" ht="15" hidden="false" customHeight="false" outlineLevel="0" collapsed="false">
      <c r="B8778" s="130" t="n">
        <v>2027</v>
      </c>
      <c r="C8778" s="131" t="s">
        <v>253</v>
      </c>
      <c r="D8778" s="132" t="n">
        <v>46721</v>
      </c>
      <c r="E8778" s="131" t="s">
        <v>53</v>
      </c>
      <c r="F8778" s="133" t="s">
        <v>19</v>
      </c>
      <c r="G8778" s="134" t="n">
        <f aca="false">LEN('Saisie programme'!$E$311)+SUMIFS('Vols additionnels'!$E$7:$E$66,'Vols additionnels'!$C$7:$C$66,$E8778,'Vols additionnels'!$D$7:$D$66,$F8778,'Vols additionnels'!$B$7:$B$66,$D8778)</f>
        <v>0</v>
      </c>
      <c r="H8778" s="135" t="n">
        <f aca="false">$G8778*'Analyse capacite'!$F$8</f>
        <v>0</v>
      </c>
      <c r="I8778" s="135" t="n">
        <f aca="false">$G8778*'Analyse capacite'!$C$8</f>
        <v>0</v>
      </c>
      <c r="J8778" s="135" t="n">
        <f aca="false">$G8778*'Analyse capacite'!$D$8</f>
        <v>0</v>
      </c>
      <c r="K8778" s="135" t="n">
        <f aca="false">$G8778*'Analyse capacite'!$E$8</f>
        <v>0</v>
      </c>
    </row>
    <row r="8779" customFormat="false" ht="15" hidden="false" customHeight="false" outlineLevel="0" collapsed="false">
      <c r="B8779" s="130" t="n">
        <v>2027</v>
      </c>
      <c r="C8779" s="131" t="s">
        <v>253</v>
      </c>
      <c r="D8779" s="132" t="n">
        <v>46721</v>
      </c>
      <c r="E8779" s="131" t="s">
        <v>53</v>
      </c>
      <c r="F8779" s="133" t="s">
        <v>24</v>
      </c>
      <c r="G8779" s="134" t="n">
        <f aca="false">LEN('Saisie programme'!$E$312)+SUMIFS('Vols additionnels'!$E$7:$E$66,'Vols additionnels'!$C$7:$C$66,$E8779,'Vols additionnels'!$D$7:$D$66,$F8779,'Vols additionnels'!$B$7:$B$66,$D8779)</f>
        <v>0</v>
      </c>
      <c r="H8779" s="135" t="n">
        <f aca="false">$G8779*'Analyse capacite'!$F$9</f>
        <v>0</v>
      </c>
      <c r="I8779" s="135" t="n">
        <f aca="false">$G8779*'Analyse capacite'!$C$9</f>
        <v>0</v>
      </c>
      <c r="J8779" s="135" t="n">
        <f aca="false">$G8779*'Analyse capacite'!$D$9</f>
        <v>0</v>
      </c>
      <c r="K8779" s="135" t="n">
        <f aca="false">$G8779*'Analyse capacite'!$E$9</f>
        <v>0</v>
      </c>
    </row>
    <row r="8780" customFormat="false" ht="15" hidden="false" customHeight="false" outlineLevel="0" collapsed="false">
      <c r="B8780" s="130" t="n">
        <v>2027</v>
      </c>
      <c r="C8780" s="131" t="s">
        <v>253</v>
      </c>
      <c r="D8780" s="132" t="n">
        <v>46721</v>
      </c>
      <c r="E8780" s="131" t="s">
        <v>56</v>
      </c>
      <c r="F8780" s="133" t="s">
        <v>11</v>
      </c>
      <c r="G8780" s="134" t="n">
        <f aca="false">LEN('Saisie programme'!$E$313)+SUMIFS('Vols additionnels'!$E$7:$E$66,'Vols additionnels'!$C$7:$C$66,$E8780,'Vols additionnels'!$D$7:$D$66,$F8780,'Vols additionnels'!$B$7:$B$66,$D8780)</f>
        <v>0</v>
      </c>
      <c r="H8780" s="135" t="n">
        <f aca="false">$G8780*'Analyse capacite'!$F$7</f>
        <v>0</v>
      </c>
      <c r="I8780" s="135" t="n">
        <f aca="false">$G8780*'Analyse capacite'!$C$7</f>
        <v>0</v>
      </c>
      <c r="J8780" s="135" t="n">
        <f aca="false">$G8780*'Analyse capacite'!$D$7</f>
        <v>0</v>
      </c>
      <c r="K8780" s="135" t="n">
        <f aca="false">$G8780*'Analyse capacite'!$E$7</f>
        <v>0</v>
      </c>
    </row>
    <row r="8781" customFormat="false" ht="15" hidden="false" customHeight="false" outlineLevel="0" collapsed="false">
      <c r="B8781" s="130" t="n">
        <v>2027</v>
      </c>
      <c r="C8781" s="131" t="s">
        <v>253</v>
      </c>
      <c r="D8781" s="132" t="n">
        <v>46721</v>
      </c>
      <c r="E8781" s="131" t="s">
        <v>56</v>
      </c>
      <c r="F8781" s="133" t="s">
        <v>19</v>
      </c>
      <c r="G8781" s="134" t="n">
        <f aca="false">LEN('Saisie programme'!$E$314)+SUMIFS('Vols additionnels'!$E$7:$E$66,'Vols additionnels'!$C$7:$C$66,$E8781,'Vols additionnels'!$D$7:$D$66,$F8781,'Vols additionnels'!$B$7:$B$66,$D8781)</f>
        <v>0</v>
      </c>
      <c r="H8781" s="135" t="n">
        <f aca="false">$G8781*'Analyse capacite'!$F$8</f>
        <v>0</v>
      </c>
      <c r="I8781" s="135" t="n">
        <f aca="false">$G8781*'Analyse capacite'!$C$8</f>
        <v>0</v>
      </c>
      <c r="J8781" s="135" t="n">
        <f aca="false">$G8781*'Analyse capacite'!$D$8</f>
        <v>0</v>
      </c>
      <c r="K8781" s="135" t="n">
        <f aca="false">$G8781*'Analyse capacite'!$E$8</f>
        <v>0</v>
      </c>
    </row>
    <row r="8782" customFormat="false" ht="15" hidden="false" customHeight="false" outlineLevel="0" collapsed="false">
      <c r="B8782" s="130" t="n">
        <v>2027</v>
      </c>
      <c r="C8782" s="131" t="s">
        <v>253</v>
      </c>
      <c r="D8782" s="132" t="n">
        <v>46721</v>
      </c>
      <c r="E8782" s="131" t="s">
        <v>56</v>
      </c>
      <c r="F8782" s="133" t="s">
        <v>24</v>
      </c>
      <c r="G8782" s="134" t="n">
        <f aca="false">LEN('Saisie programme'!$E$315)+SUMIFS('Vols additionnels'!$E$7:$E$66,'Vols additionnels'!$C$7:$C$66,$E8782,'Vols additionnels'!$D$7:$D$66,$F8782,'Vols additionnels'!$B$7:$B$66,$D8782)</f>
        <v>1</v>
      </c>
      <c r="H8782" s="135" t="n">
        <f aca="false">$G8782*'Analyse capacite'!$F$9</f>
        <v>174</v>
      </c>
      <c r="I8782" s="135" t="n">
        <f aca="false">$G8782*'Analyse capacite'!$C$9</f>
        <v>0</v>
      </c>
      <c r="J8782" s="135" t="n">
        <f aca="false">$G8782*'Analyse capacite'!$D$9</f>
        <v>12</v>
      </c>
      <c r="K8782" s="135" t="n">
        <f aca="false">$G8782*'Analyse capacite'!$E$9</f>
        <v>162</v>
      </c>
    </row>
    <row r="8783" customFormat="false" ht="15" hidden="false" customHeight="false" outlineLevel="0" collapsed="false">
      <c r="B8783" s="130" t="n">
        <v>2027</v>
      </c>
      <c r="C8783" s="131" t="s">
        <v>253</v>
      </c>
      <c r="D8783" s="132" t="n">
        <v>46721</v>
      </c>
      <c r="E8783" s="131" t="s">
        <v>59</v>
      </c>
      <c r="F8783" s="133" t="s">
        <v>11</v>
      </c>
      <c r="G8783" s="134" t="n">
        <f aca="false">LEN('Saisie programme'!$E$316)+SUMIFS('Vols additionnels'!$E$7:$E$66,'Vols additionnels'!$C$7:$C$66,$E8783,'Vols additionnels'!$D$7:$D$66,$F8783,'Vols additionnels'!$B$7:$B$66,$D8783)</f>
        <v>0</v>
      </c>
      <c r="H8783" s="135" t="n">
        <f aca="false">$G8783*'Analyse capacite'!$F$7</f>
        <v>0</v>
      </c>
      <c r="I8783" s="135" t="n">
        <f aca="false">$G8783*'Analyse capacite'!$C$7</f>
        <v>0</v>
      </c>
      <c r="J8783" s="135" t="n">
        <f aca="false">$G8783*'Analyse capacite'!$D$7</f>
        <v>0</v>
      </c>
      <c r="K8783" s="135" t="n">
        <f aca="false">$G8783*'Analyse capacite'!$E$7</f>
        <v>0</v>
      </c>
    </row>
    <row r="8784" customFormat="false" ht="15" hidden="false" customHeight="false" outlineLevel="0" collapsed="false">
      <c r="B8784" s="130" t="n">
        <v>2027</v>
      </c>
      <c r="C8784" s="131" t="s">
        <v>253</v>
      </c>
      <c r="D8784" s="132" t="n">
        <v>46721</v>
      </c>
      <c r="E8784" s="131" t="s">
        <v>59</v>
      </c>
      <c r="F8784" s="133" t="s">
        <v>19</v>
      </c>
      <c r="G8784" s="134" t="n">
        <f aca="false">LEN('Saisie programme'!$E$317)+SUMIFS('Vols additionnels'!$E$7:$E$66,'Vols additionnels'!$C$7:$C$66,$E8784,'Vols additionnels'!$D$7:$D$66,$F8784,'Vols additionnels'!$B$7:$B$66,$D8784)</f>
        <v>0</v>
      </c>
      <c r="H8784" s="135" t="n">
        <f aca="false">$G8784*'Analyse capacite'!$F$8</f>
        <v>0</v>
      </c>
      <c r="I8784" s="135" t="n">
        <f aca="false">$G8784*'Analyse capacite'!$C$8</f>
        <v>0</v>
      </c>
      <c r="J8784" s="135" t="n">
        <f aca="false">$G8784*'Analyse capacite'!$D$8</f>
        <v>0</v>
      </c>
      <c r="K8784" s="135" t="n">
        <f aca="false">$G8784*'Analyse capacite'!$E$8</f>
        <v>0</v>
      </c>
    </row>
    <row r="8785" customFormat="false" ht="15" hidden="false" customHeight="false" outlineLevel="0" collapsed="false">
      <c r="B8785" s="130" t="n">
        <v>2027</v>
      </c>
      <c r="C8785" s="131" t="s">
        <v>253</v>
      </c>
      <c r="D8785" s="132" t="n">
        <v>46721</v>
      </c>
      <c r="E8785" s="131" t="s">
        <v>59</v>
      </c>
      <c r="F8785" s="133" t="s">
        <v>24</v>
      </c>
      <c r="G8785" s="134" t="n">
        <f aca="false">LEN('Saisie programme'!$E$318)+SUMIFS('Vols additionnels'!$E$7:$E$66,'Vols additionnels'!$C$7:$C$66,$E8785,'Vols additionnels'!$D$7:$D$66,$F8785,'Vols additionnels'!$B$7:$B$66,$D8785)</f>
        <v>1</v>
      </c>
      <c r="H8785" s="135" t="n">
        <f aca="false">$G8785*'Analyse capacite'!$F$9</f>
        <v>174</v>
      </c>
      <c r="I8785" s="135" t="n">
        <f aca="false">$G8785*'Analyse capacite'!$C$9</f>
        <v>0</v>
      </c>
      <c r="J8785" s="135" t="n">
        <f aca="false">$G8785*'Analyse capacite'!$D$9</f>
        <v>12</v>
      </c>
      <c r="K8785" s="135" t="n">
        <f aca="false">$G8785*'Analyse capacite'!$E$9</f>
        <v>162</v>
      </c>
    </row>
    <row r="8786" customFormat="false" ht="15" hidden="false" customHeight="false" outlineLevel="0" collapsed="false">
      <c r="B8786" s="130" t="n">
        <v>2027</v>
      </c>
      <c r="C8786" s="131" t="s">
        <v>253</v>
      </c>
      <c r="D8786" s="132" t="n">
        <v>46721</v>
      </c>
      <c r="E8786" s="131" t="s">
        <v>62</v>
      </c>
      <c r="F8786" s="133" t="s">
        <v>11</v>
      </c>
      <c r="G8786" s="134" t="n">
        <f aca="false">LEN('Saisie programme'!$E$319)+SUMIFS('Vols additionnels'!$E$7:$E$66,'Vols additionnels'!$C$7:$C$66,$E8786,'Vols additionnels'!$D$7:$D$66,$F8786,'Vols additionnels'!$B$7:$B$66,$D8786)</f>
        <v>0</v>
      </c>
      <c r="H8786" s="135" t="n">
        <f aca="false">$G8786*'Analyse capacite'!$F$7</f>
        <v>0</v>
      </c>
      <c r="I8786" s="135" t="n">
        <f aca="false">$G8786*'Analyse capacite'!$C$7</f>
        <v>0</v>
      </c>
      <c r="J8786" s="135" t="n">
        <f aca="false">$G8786*'Analyse capacite'!$D$7</f>
        <v>0</v>
      </c>
      <c r="K8786" s="135" t="n">
        <f aca="false">$G8786*'Analyse capacite'!$E$7</f>
        <v>0</v>
      </c>
    </row>
    <row r="8787" customFormat="false" ht="15" hidden="false" customHeight="false" outlineLevel="0" collapsed="false">
      <c r="B8787" s="130" t="n">
        <v>2027</v>
      </c>
      <c r="C8787" s="131" t="s">
        <v>253</v>
      </c>
      <c r="D8787" s="132" t="n">
        <v>46721</v>
      </c>
      <c r="E8787" s="131" t="s">
        <v>62</v>
      </c>
      <c r="F8787" s="133" t="s">
        <v>19</v>
      </c>
      <c r="G8787" s="134" t="n">
        <f aca="false">LEN('Saisie programme'!$E$320)+SUMIFS('Vols additionnels'!$E$7:$E$66,'Vols additionnels'!$C$7:$C$66,$E8787,'Vols additionnels'!$D$7:$D$66,$F8787,'Vols additionnels'!$B$7:$B$66,$D8787)</f>
        <v>0</v>
      </c>
      <c r="H8787" s="135" t="n">
        <f aca="false">$G8787*'Analyse capacite'!$F$8</f>
        <v>0</v>
      </c>
      <c r="I8787" s="135" t="n">
        <f aca="false">$G8787*'Analyse capacite'!$C$8</f>
        <v>0</v>
      </c>
      <c r="J8787" s="135" t="n">
        <f aca="false">$G8787*'Analyse capacite'!$D$8</f>
        <v>0</v>
      </c>
      <c r="K8787" s="135" t="n">
        <f aca="false">$G8787*'Analyse capacite'!$E$8</f>
        <v>0</v>
      </c>
    </row>
    <row r="8788" customFormat="false" ht="15" hidden="false" customHeight="false" outlineLevel="0" collapsed="false">
      <c r="B8788" s="130" t="n">
        <v>2027</v>
      </c>
      <c r="C8788" s="131" t="s">
        <v>253</v>
      </c>
      <c r="D8788" s="132" t="n">
        <v>46721</v>
      </c>
      <c r="E8788" s="131" t="s">
        <v>62</v>
      </c>
      <c r="F8788" s="133" t="s">
        <v>24</v>
      </c>
      <c r="G8788" s="134" t="n">
        <f aca="false">LEN('Saisie programme'!$E$321)+SUMIFS('Vols additionnels'!$E$7:$E$66,'Vols additionnels'!$C$7:$C$66,$E8788,'Vols additionnels'!$D$7:$D$66,$F8788,'Vols additionnels'!$B$7:$B$66,$D8788)</f>
        <v>0</v>
      </c>
      <c r="H8788" s="135" t="n">
        <f aca="false">$G8788*'Analyse capacite'!$F$9</f>
        <v>0</v>
      </c>
      <c r="I8788" s="135" t="n">
        <f aca="false">$G8788*'Analyse capacite'!$C$9</f>
        <v>0</v>
      </c>
      <c r="J8788" s="135" t="n">
        <f aca="false">$G8788*'Analyse capacite'!$D$9</f>
        <v>0</v>
      </c>
      <c r="K8788" s="135" t="n">
        <f aca="false">$G8788*'Analyse capacite'!$E$9</f>
        <v>0</v>
      </c>
    </row>
    <row r="8789" customFormat="false" ht="15" hidden="false" customHeight="false" outlineLevel="0" collapsed="false">
      <c r="B8789" s="130" t="n">
        <v>2027</v>
      </c>
      <c r="C8789" s="131" t="s">
        <v>254</v>
      </c>
      <c r="D8789" s="132" t="n">
        <v>46722</v>
      </c>
      <c r="E8789" s="131" t="s">
        <v>12</v>
      </c>
      <c r="F8789" s="133" t="s">
        <v>11</v>
      </c>
      <c r="G8789" s="134" t="n">
        <f aca="false">LEN('Saisie programme'!$F$325)+SUMIFS('Vols additionnels'!$E$7:$E$66,'Vols additionnels'!$C$7:$C$66,$E8789,'Vols additionnels'!$D$7:$D$66,$F8789,'Vols additionnels'!$B$7:$B$66,$D8789)</f>
        <v>1</v>
      </c>
      <c r="H8789" s="135" t="n">
        <f aca="false">$G8789*'Analyse capacite'!$F$7</f>
        <v>438</v>
      </c>
      <c r="I8789" s="135" t="n">
        <f aca="false">$G8789*'Analyse capacite'!$C$7</f>
        <v>14</v>
      </c>
      <c r="J8789" s="135" t="n">
        <f aca="false">$G8789*'Analyse capacite'!$D$7</f>
        <v>40</v>
      </c>
      <c r="K8789" s="135" t="n">
        <f aca="false">$G8789*'Analyse capacite'!$E$7</f>
        <v>384</v>
      </c>
    </row>
    <row r="8790" customFormat="false" ht="15" hidden="false" customHeight="false" outlineLevel="0" collapsed="false">
      <c r="B8790" s="130" t="n">
        <v>2027</v>
      </c>
      <c r="C8790" s="131" t="s">
        <v>254</v>
      </c>
      <c r="D8790" s="132" t="n">
        <v>46722</v>
      </c>
      <c r="E8790" s="131" t="s">
        <v>12</v>
      </c>
      <c r="F8790" s="133" t="s">
        <v>19</v>
      </c>
      <c r="G8790" s="134" t="n">
        <f aca="false">LEN('Saisie programme'!$F$326)+SUMIFS('Vols additionnels'!$E$7:$E$66,'Vols additionnels'!$C$7:$C$66,$E8790,'Vols additionnels'!$D$7:$D$66,$F8790,'Vols additionnels'!$B$7:$B$66,$D8790)</f>
        <v>0</v>
      </c>
      <c r="H8790" s="135" t="n">
        <f aca="false">$G8790*'Analyse capacite'!$F$8</f>
        <v>0</v>
      </c>
      <c r="I8790" s="135" t="n">
        <f aca="false">$G8790*'Analyse capacite'!$C$8</f>
        <v>0</v>
      </c>
      <c r="J8790" s="135" t="n">
        <f aca="false">$G8790*'Analyse capacite'!$D$8</f>
        <v>0</v>
      </c>
      <c r="K8790" s="135" t="n">
        <f aca="false">$G8790*'Analyse capacite'!$E$8</f>
        <v>0</v>
      </c>
    </row>
    <row r="8791" customFormat="false" ht="15" hidden="false" customHeight="false" outlineLevel="0" collapsed="false">
      <c r="B8791" s="130" t="n">
        <v>2027</v>
      </c>
      <c r="C8791" s="131" t="s">
        <v>254</v>
      </c>
      <c r="D8791" s="132" t="n">
        <v>46722</v>
      </c>
      <c r="E8791" s="131" t="s">
        <v>12</v>
      </c>
      <c r="F8791" s="133" t="s">
        <v>24</v>
      </c>
      <c r="G8791" s="134" t="n">
        <f aca="false">LEN('Saisie programme'!$F$327)+SUMIFS('Vols additionnels'!$E$7:$E$66,'Vols additionnels'!$C$7:$C$66,$E8791,'Vols additionnels'!$D$7:$D$66,$F8791,'Vols additionnels'!$B$7:$B$66,$D8791)</f>
        <v>0</v>
      </c>
      <c r="H8791" s="135" t="n">
        <f aca="false">$G8791*'Analyse capacite'!$F$9</f>
        <v>0</v>
      </c>
      <c r="I8791" s="135" t="n">
        <f aca="false">$G8791*'Analyse capacite'!$C$9</f>
        <v>0</v>
      </c>
      <c r="J8791" s="135" t="n">
        <f aca="false">$G8791*'Analyse capacite'!$D$9</f>
        <v>0</v>
      </c>
      <c r="K8791" s="135" t="n">
        <f aca="false">$G8791*'Analyse capacite'!$E$9</f>
        <v>0</v>
      </c>
    </row>
    <row r="8792" customFormat="false" ht="15" hidden="false" customHeight="false" outlineLevel="0" collapsed="false">
      <c r="B8792" s="130" t="n">
        <v>2027</v>
      </c>
      <c r="C8792" s="131" t="s">
        <v>254</v>
      </c>
      <c r="D8792" s="132" t="n">
        <v>46722</v>
      </c>
      <c r="E8792" s="131" t="s">
        <v>20</v>
      </c>
      <c r="F8792" s="133" t="s">
        <v>11</v>
      </c>
      <c r="G8792" s="134" t="n">
        <f aca="false">LEN('Saisie programme'!$F$328)+SUMIFS('Vols additionnels'!$E$7:$E$66,'Vols additionnels'!$C$7:$C$66,$E8792,'Vols additionnels'!$D$7:$D$66,$F8792,'Vols additionnels'!$B$7:$B$66,$D8792)</f>
        <v>0</v>
      </c>
      <c r="H8792" s="135" t="n">
        <f aca="false">$G8792*'Analyse capacite'!$F$7</f>
        <v>0</v>
      </c>
      <c r="I8792" s="135" t="n">
        <f aca="false">$G8792*'Analyse capacite'!$C$7</f>
        <v>0</v>
      </c>
      <c r="J8792" s="135" t="n">
        <f aca="false">$G8792*'Analyse capacite'!$D$7</f>
        <v>0</v>
      </c>
      <c r="K8792" s="135" t="n">
        <f aca="false">$G8792*'Analyse capacite'!$E$7</f>
        <v>0</v>
      </c>
    </row>
    <row r="8793" customFormat="false" ht="15" hidden="false" customHeight="false" outlineLevel="0" collapsed="false">
      <c r="B8793" s="130" t="n">
        <v>2027</v>
      </c>
      <c r="C8793" s="131" t="s">
        <v>254</v>
      </c>
      <c r="D8793" s="132" t="n">
        <v>46722</v>
      </c>
      <c r="E8793" s="131" t="s">
        <v>20</v>
      </c>
      <c r="F8793" s="133" t="s">
        <v>19</v>
      </c>
      <c r="G8793" s="134" t="n">
        <f aca="false">LEN('Saisie programme'!$F$329)+SUMIFS('Vols additionnels'!$E$7:$E$66,'Vols additionnels'!$C$7:$C$66,$E8793,'Vols additionnels'!$D$7:$D$66,$F8793,'Vols additionnels'!$B$7:$B$66,$D8793)</f>
        <v>0</v>
      </c>
      <c r="H8793" s="135" t="n">
        <f aca="false">$G8793*'Analyse capacite'!$F$8</f>
        <v>0</v>
      </c>
      <c r="I8793" s="135" t="n">
        <f aca="false">$G8793*'Analyse capacite'!$C$8</f>
        <v>0</v>
      </c>
      <c r="J8793" s="135" t="n">
        <f aca="false">$G8793*'Analyse capacite'!$D$8</f>
        <v>0</v>
      </c>
      <c r="K8793" s="135" t="n">
        <f aca="false">$G8793*'Analyse capacite'!$E$8</f>
        <v>0</v>
      </c>
    </row>
    <row r="8794" customFormat="false" ht="15" hidden="false" customHeight="false" outlineLevel="0" collapsed="false">
      <c r="B8794" s="130" t="n">
        <v>2027</v>
      </c>
      <c r="C8794" s="131" t="s">
        <v>254</v>
      </c>
      <c r="D8794" s="132" t="n">
        <v>46722</v>
      </c>
      <c r="E8794" s="131" t="s">
        <v>20</v>
      </c>
      <c r="F8794" s="133" t="s">
        <v>24</v>
      </c>
      <c r="G8794" s="134" t="n">
        <f aca="false">LEN('Saisie programme'!$F$330)+SUMIFS('Vols additionnels'!$E$7:$E$66,'Vols additionnels'!$C$7:$C$66,$E8794,'Vols additionnels'!$D$7:$D$66,$F8794,'Vols additionnels'!$B$7:$B$66,$D8794)</f>
        <v>0</v>
      </c>
      <c r="H8794" s="135" t="n">
        <f aca="false">$G8794*'Analyse capacite'!$F$9</f>
        <v>0</v>
      </c>
      <c r="I8794" s="135" t="n">
        <f aca="false">$G8794*'Analyse capacite'!$C$9</f>
        <v>0</v>
      </c>
      <c r="J8794" s="135" t="n">
        <f aca="false">$G8794*'Analyse capacite'!$D$9</f>
        <v>0</v>
      </c>
      <c r="K8794" s="135" t="n">
        <f aca="false">$G8794*'Analyse capacite'!$E$9</f>
        <v>0</v>
      </c>
    </row>
    <row r="8795" customFormat="false" ht="15" hidden="false" customHeight="false" outlineLevel="0" collapsed="false">
      <c r="B8795" s="130" t="n">
        <v>2027</v>
      </c>
      <c r="C8795" s="131" t="s">
        <v>254</v>
      </c>
      <c r="D8795" s="132" t="n">
        <v>46722</v>
      </c>
      <c r="E8795" s="131" t="s">
        <v>25</v>
      </c>
      <c r="F8795" s="133" t="s">
        <v>11</v>
      </c>
      <c r="G8795" s="134" t="n">
        <f aca="false">LEN('Saisie programme'!$F$331)+SUMIFS('Vols additionnels'!$E$7:$E$66,'Vols additionnels'!$C$7:$C$66,$E8795,'Vols additionnels'!$D$7:$D$66,$F8795,'Vols additionnels'!$B$7:$B$66,$D8795)</f>
        <v>0</v>
      </c>
      <c r="H8795" s="135" t="n">
        <f aca="false">$G8795*'Analyse capacite'!$F$7</f>
        <v>0</v>
      </c>
      <c r="I8795" s="135" t="n">
        <f aca="false">$G8795*'Analyse capacite'!$C$7</f>
        <v>0</v>
      </c>
      <c r="J8795" s="135" t="n">
        <f aca="false">$G8795*'Analyse capacite'!$D$7</f>
        <v>0</v>
      </c>
      <c r="K8795" s="135" t="n">
        <f aca="false">$G8795*'Analyse capacite'!$E$7</f>
        <v>0</v>
      </c>
    </row>
    <row r="8796" customFormat="false" ht="15" hidden="false" customHeight="false" outlineLevel="0" collapsed="false">
      <c r="B8796" s="130" t="n">
        <v>2027</v>
      </c>
      <c r="C8796" s="131" t="s">
        <v>254</v>
      </c>
      <c r="D8796" s="132" t="n">
        <v>46722</v>
      </c>
      <c r="E8796" s="131" t="s">
        <v>25</v>
      </c>
      <c r="F8796" s="133" t="s">
        <v>19</v>
      </c>
      <c r="G8796" s="134" t="n">
        <f aca="false">LEN('Saisie programme'!$F$332)+SUMIFS('Vols additionnels'!$E$7:$E$66,'Vols additionnels'!$C$7:$C$66,$E8796,'Vols additionnels'!$D$7:$D$66,$F8796,'Vols additionnels'!$B$7:$B$66,$D8796)</f>
        <v>1</v>
      </c>
      <c r="H8796" s="135" t="n">
        <f aca="false">$G8796*'Analyse capacite'!$F$8</f>
        <v>262</v>
      </c>
      <c r="I8796" s="135" t="n">
        <f aca="false">$G8796*'Analyse capacite'!$C$8</f>
        <v>18</v>
      </c>
      <c r="J8796" s="135" t="n">
        <f aca="false">$G8796*'Analyse capacite'!$D$8</f>
        <v>0</v>
      </c>
      <c r="K8796" s="135" t="n">
        <f aca="false">$G8796*'Analyse capacite'!$E$8</f>
        <v>244</v>
      </c>
    </row>
    <row r="8797" customFormat="false" ht="15" hidden="false" customHeight="false" outlineLevel="0" collapsed="false">
      <c r="B8797" s="130" t="n">
        <v>2027</v>
      </c>
      <c r="C8797" s="131" t="s">
        <v>254</v>
      </c>
      <c r="D8797" s="132" t="n">
        <v>46722</v>
      </c>
      <c r="E8797" s="131" t="s">
        <v>25</v>
      </c>
      <c r="F8797" s="133" t="s">
        <v>24</v>
      </c>
      <c r="G8797" s="134" t="n">
        <f aca="false">LEN('Saisie programme'!$F$333)+SUMIFS('Vols additionnels'!$E$7:$E$66,'Vols additionnels'!$C$7:$C$66,$E8797,'Vols additionnels'!$D$7:$D$66,$F8797,'Vols additionnels'!$B$7:$B$66,$D8797)</f>
        <v>0</v>
      </c>
      <c r="H8797" s="135" t="n">
        <f aca="false">$G8797*'Analyse capacite'!$F$9</f>
        <v>0</v>
      </c>
      <c r="I8797" s="135" t="n">
        <f aca="false">$G8797*'Analyse capacite'!$C$9</f>
        <v>0</v>
      </c>
      <c r="J8797" s="135" t="n">
        <f aca="false">$G8797*'Analyse capacite'!$D$9</f>
        <v>0</v>
      </c>
      <c r="K8797" s="135" t="n">
        <f aca="false">$G8797*'Analyse capacite'!$E$9</f>
        <v>0</v>
      </c>
    </row>
    <row r="8798" customFormat="false" ht="15" hidden="false" customHeight="false" outlineLevel="0" collapsed="false">
      <c r="B8798" s="130" t="n">
        <v>2027</v>
      </c>
      <c r="C8798" s="131" t="s">
        <v>254</v>
      </c>
      <c r="D8798" s="132" t="n">
        <v>46722</v>
      </c>
      <c r="E8798" s="131" t="s">
        <v>36</v>
      </c>
      <c r="F8798" s="133" t="s">
        <v>11</v>
      </c>
      <c r="G8798" s="134" t="n">
        <f aca="false">LEN('Saisie programme'!$F$334)+SUMIFS('Vols additionnels'!$E$7:$E$66,'Vols additionnels'!$C$7:$C$66,$E8798,'Vols additionnels'!$D$7:$D$66,$F8798,'Vols additionnels'!$B$7:$B$66,$D8798)</f>
        <v>0</v>
      </c>
      <c r="H8798" s="135" t="n">
        <f aca="false">$G8798*'Analyse capacite'!$F$7</f>
        <v>0</v>
      </c>
      <c r="I8798" s="135" t="n">
        <f aca="false">$G8798*'Analyse capacite'!$C$7</f>
        <v>0</v>
      </c>
      <c r="J8798" s="135" t="n">
        <f aca="false">$G8798*'Analyse capacite'!$D$7</f>
        <v>0</v>
      </c>
      <c r="K8798" s="135" t="n">
        <f aca="false">$G8798*'Analyse capacite'!$E$7</f>
        <v>0</v>
      </c>
    </row>
    <row r="8799" customFormat="false" ht="15" hidden="false" customHeight="false" outlineLevel="0" collapsed="false">
      <c r="B8799" s="130" t="n">
        <v>2027</v>
      </c>
      <c r="C8799" s="131" t="s">
        <v>254</v>
      </c>
      <c r="D8799" s="132" t="n">
        <v>46722</v>
      </c>
      <c r="E8799" s="131" t="s">
        <v>36</v>
      </c>
      <c r="F8799" s="133" t="s">
        <v>19</v>
      </c>
      <c r="G8799" s="134" t="n">
        <f aca="false">LEN('Saisie programme'!$F$335)+SUMIFS('Vols additionnels'!$E$7:$E$66,'Vols additionnels'!$C$7:$C$66,$E8799,'Vols additionnels'!$D$7:$D$66,$F8799,'Vols additionnels'!$B$7:$B$66,$D8799)</f>
        <v>1</v>
      </c>
      <c r="H8799" s="135" t="n">
        <f aca="false">$G8799*'Analyse capacite'!$F$8</f>
        <v>262</v>
      </c>
      <c r="I8799" s="135" t="n">
        <f aca="false">$G8799*'Analyse capacite'!$C$8</f>
        <v>18</v>
      </c>
      <c r="J8799" s="135" t="n">
        <f aca="false">$G8799*'Analyse capacite'!$D$8</f>
        <v>0</v>
      </c>
      <c r="K8799" s="135" t="n">
        <f aca="false">$G8799*'Analyse capacite'!$E$8</f>
        <v>244</v>
      </c>
    </row>
    <row r="8800" customFormat="false" ht="15" hidden="false" customHeight="false" outlineLevel="0" collapsed="false">
      <c r="B8800" s="130" t="n">
        <v>2027</v>
      </c>
      <c r="C8800" s="131" t="s">
        <v>254</v>
      </c>
      <c r="D8800" s="132" t="n">
        <v>46722</v>
      </c>
      <c r="E8800" s="131" t="s">
        <v>36</v>
      </c>
      <c r="F8800" s="133" t="s">
        <v>24</v>
      </c>
      <c r="G8800" s="134" t="n">
        <f aca="false">LEN('Saisie programme'!$F$336)+SUMIFS('Vols additionnels'!$E$7:$E$66,'Vols additionnels'!$C$7:$C$66,$E8800,'Vols additionnels'!$D$7:$D$66,$F8800,'Vols additionnels'!$B$7:$B$66,$D8800)</f>
        <v>1</v>
      </c>
      <c r="H8800" s="135" t="n">
        <f aca="false">$G8800*'Analyse capacite'!$F$9</f>
        <v>174</v>
      </c>
      <c r="I8800" s="135" t="n">
        <f aca="false">$G8800*'Analyse capacite'!$C$9</f>
        <v>0</v>
      </c>
      <c r="J8800" s="135" t="n">
        <f aca="false">$G8800*'Analyse capacite'!$D$9</f>
        <v>12</v>
      </c>
      <c r="K8800" s="135" t="n">
        <f aca="false">$G8800*'Analyse capacite'!$E$9</f>
        <v>162</v>
      </c>
    </row>
    <row r="8801" customFormat="false" ht="15" hidden="false" customHeight="false" outlineLevel="0" collapsed="false">
      <c r="B8801" s="130" t="n">
        <v>2027</v>
      </c>
      <c r="C8801" s="131" t="s">
        <v>254</v>
      </c>
      <c r="D8801" s="132" t="n">
        <v>46722</v>
      </c>
      <c r="E8801" s="131" t="s">
        <v>40</v>
      </c>
      <c r="F8801" s="133" t="s">
        <v>11</v>
      </c>
      <c r="G8801" s="134" t="n">
        <f aca="false">LEN('Saisie programme'!$F$337)+SUMIFS('Vols additionnels'!$E$7:$E$66,'Vols additionnels'!$C$7:$C$66,$E8801,'Vols additionnels'!$D$7:$D$66,$F8801,'Vols additionnels'!$B$7:$B$66,$D8801)</f>
        <v>0</v>
      </c>
      <c r="H8801" s="135" t="n">
        <f aca="false">$G8801*'Analyse capacite'!$F$7</f>
        <v>0</v>
      </c>
      <c r="I8801" s="135" t="n">
        <f aca="false">$G8801*'Analyse capacite'!$C$7</f>
        <v>0</v>
      </c>
      <c r="J8801" s="135" t="n">
        <f aca="false">$G8801*'Analyse capacite'!$D$7</f>
        <v>0</v>
      </c>
      <c r="K8801" s="135" t="n">
        <f aca="false">$G8801*'Analyse capacite'!$E$7</f>
        <v>0</v>
      </c>
    </row>
    <row r="8802" customFormat="false" ht="15" hidden="false" customHeight="false" outlineLevel="0" collapsed="false">
      <c r="B8802" s="130" t="n">
        <v>2027</v>
      </c>
      <c r="C8802" s="131" t="s">
        <v>254</v>
      </c>
      <c r="D8802" s="132" t="n">
        <v>46722</v>
      </c>
      <c r="E8802" s="131" t="s">
        <v>40</v>
      </c>
      <c r="F8802" s="133" t="s">
        <v>19</v>
      </c>
      <c r="G8802" s="134" t="n">
        <f aca="false">LEN('Saisie programme'!$F$338)+SUMIFS('Vols additionnels'!$E$7:$E$66,'Vols additionnels'!$C$7:$C$66,$E8802,'Vols additionnels'!$D$7:$D$66,$F8802,'Vols additionnels'!$B$7:$B$66,$D8802)</f>
        <v>0</v>
      </c>
      <c r="H8802" s="135" t="n">
        <f aca="false">$G8802*'Analyse capacite'!$F$8</f>
        <v>0</v>
      </c>
      <c r="I8802" s="135" t="n">
        <f aca="false">$G8802*'Analyse capacite'!$C$8</f>
        <v>0</v>
      </c>
      <c r="J8802" s="135" t="n">
        <f aca="false">$G8802*'Analyse capacite'!$D$8</f>
        <v>0</v>
      </c>
      <c r="K8802" s="135" t="n">
        <f aca="false">$G8802*'Analyse capacite'!$E$8</f>
        <v>0</v>
      </c>
    </row>
    <row r="8803" customFormat="false" ht="15" hidden="false" customHeight="false" outlineLevel="0" collapsed="false">
      <c r="B8803" s="130" t="n">
        <v>2027</v>
      </c>
      <c r="C8803" s="131" t="s">
        <v>254</v>
      </c>
      <c r="D8803" s="132" t="n">
        <v>46722</v>
      </c>
      <c r="E8803" s="131" t="s">
        <v>40</v>
      </c>
      <c r="F8803" s="133" t="s">
        <v>24</v>
      </c>
      <c r="G8803" s="134" t="n">
        <f aca="false">LEN('Saisie programme'!$F$339)+SUMIFS('Vols additionnels'!$E$7:$E$66,'Vols additionnels'!$C$7:$C$66,$E8803,'Vols additionnels'!$D$7:$D$66,$F8803,'Vols additionnels'!$B$7:$B$66,$D8803)</f>
        <v>1</v>
      </c>
      <c r="H8803" s="135" t="n">
        <f aca="false">$G8803*'Analyse capacite'!$F$9</f>
        <v>174</v>
      </c>
      <c r="I8803" s="135" t="n">
        <f aca="false">$G8803*'Analyse capacite'!$C$9</f>
        <v>0</v>
      </c>
      <c r="J8803" s="135" t="n">
        <f aca="false">$G8803*'Analyse capacite'!$D$9</f>
        <v>12</v>
      </c>
      <c r="K8803" s="135" t="n">
        <f aca="false">$G8803*'Analyse capacite'!$E$9</f>
        <v>162</v>
      </c>
    </row>
    <row r="8804" customFormat="false" ht="15" hidden="false" customHeight="false" outlineLevel="0" collapsed="false">
      <c r="B8804" s="130" t="n">
        <v>2027</v>
      </c>
      <c r="C8804" s="131" t="s">
        <v>254</v>
      </c>
      <c r="D8804" s="132" t="n">
        <v>46722</v>
      </c>
      <c r="E8804" s="131" t="s">
        <v>14</v>
      </c>
      <c r="F8804" s="133" t="s">
        <v>11</v>
      </c>
      <c r="G8804" s="134" t="n">
        <f aca="false">LEN('Saisie programme'!$F$340)+SUMIFS('Vols additionnels'!$E$7:$E$66,'Vols additionnels'!$C$7:$C$66,$E8804,'Vols additionnels'!$D$7:$D$66,$F8804,'Vols additionnels'!$B$7:$B$66,$D8804)</f>
        <v>0</v>
      </c>
      <c r="H8804" s="135" t="n">
        <f aca="false">$G8804*'Analyse capacite'!$F$7</f>
        <v>0</v>
      </c>
      <c r="I8804" s="135" t="n">
        <f aca="false">$G8804*'Analyse capacite'!$C$7</f>
        <v>0</v>
      </c>
      <c r="J8804" s="135" t="n">
        <f aca="false">$G8804*'Analyse capacite'!$D$7</f>
        <v>0</v>
      </c>
      <c r="K8804" s="135" t="n">
        <f aca="false">$G8804*'Analyse capacite'!$E$7</f>
        <v>0</v>
      </c>
    </row>
    <row r="8805" customFormat="false" ht="15" hidden="false" customHeight="false" outlineLevel="0" collapsed="false">
      <c r="B8805" s="130" t="n">
        <v>2027</v>
      </c>
      <c r="C8805" s="131" t="s">
        <v>254</v>
      </c>
      <c r="D8805" s="132" t="n">
        <v>46722</v>
      </c>
      <c r="E8805" s="131" t="s">
        <v>14</v>
      </c>
      <c r="F8805" s="133" t="s">
        <v>19</v>
      </c>
      <c r="G8805" s="134" t="n">
        <f aca="false">LEN('Saisie programme'!$F$341)+SUMIFS('Vols additionnels'!$E$7:$E$66,'Vols additionnels'!$C$7:$C$66,$E8805,'Vols additionnels'!$D$7:$D$66,$F8805,'Vols additionnels'!$B$7:$B$66,$D8805)</f>
        <v>0</v>
      </c>
      <c r="H8805" s="135" t="n">
        <f aca="false">$G8805*'Analyse capacite'!$F$8</f>
        <v>0</v>
      </c>
      <c r="I8805" s="135" t="n">
        <f aca="false">$G8805*'Analyse capacite'!$C$8</f>
        <v>0</v>
      </c>
      <c r="J8805" s="135" t="n">
        <f aca="false">$G8805*'Analyse capacite'!$D$8</f>
        <v>0</v>
      </c>
      <c r="K8805" s="135" t="n">
        <f aca="false">$G8805*'Analyse capacite'!$E$8</f>
        <v>0</v>
      </c>
    </row>
    <row r="8806" customFormat="false" ht="15" hidden="false" customHeight="false" outlineLevel="0" collapsed="false">
      <c r="B8806" s="130" t="n">
        <v>2027</v>
      </c>
      <c r="C8806" s="131" t="s">
        <v>254</v>
      </c>
      <c r="D8806" s="132" t="n">
        <v>46722</v>
      </c>
      <c r="E8806" s="131" t="s">
        <v>14</v>
      </c>
      <c r="F8806" s="133" t="s">
        <v>24</v>
      </c>
      <c r="G8806" s="134" t="n">
        <f aca="false">LEN('Saisie programme'!$F$342)+SUMIFS('Vols additionnels'!$E$7:$E$66,'Vols additionnels'!$C$7:$C$66,$E8806,'Vols additionnels'!$D$7:$D$66,$F8806,'Vols additionnels'!$B$7:$B$66,$D8806)</f>
        <v>0</v>
      </c>
      <c r="H8806" s="135" t="n">
        <f aca="false">$G8806*'Analyse capacite'!$F$9</f>
        <v>0</v>
      </c>
      <c r="I8806" s="135" t="n">
        <f aca="false">$G8806*'Analyse capacite'!$C$9</f>
        <v>0</v>
      </c>
      <c r="J8806" s="135" t="n">
        <f aca="false">$G8806*'Analyse capacite'!$D$9</f>
        <v>0</v>
      </c>
      <c r="K8806" s="135" t="n">
        <f aca="false">$G8806*'Analyse capacite'!$E$9</f>
        <v>0</v>
      </c>
    </row>
    <row r="8807" customFormat="false" ht="15" hidden="false" customHeight="false" outlineLevel="0" collapsed="false">
      <c r="B8807" s="130" t="n">
        <v>2027</v>
      </c>
      <c r="C8807" s="131" t="s">
        <v>254</v>
      </c>
      <c r="D8807" s="132" t="n">
        <v>46722</v>
      </c>
      <c r="E8807" s="131" t="s">
        <v>46</v>
      </c>
      <c r="F8807" s="133" t="s">
        <v>11</v>
      </c>
      <c r="G8807" s="134" t="n">
        <f aca="false">LEN('Saisie programme'!$F$343)+SUMIFS('Vols additionnels'!$E$7:$E$66,'Vols additionnels'!$C$7:$C$66,$E8807,'Vols additionnels'!$D$7:$D$66,$F8807,'Vols additionnels'!$B$7:$B$66,$D8807)</f>
        <v>0</v>
      </c>
      <c r="H8807" s="135" t="n">
        <f aca="false">$G8807*'Analyse capacite'!$F$7</f>
        <v>0</v>
      </c>
      <c r="I8807" s="135" t="n">
        <f aca="false">$G8807*'Analyse capacite'!$C$7</f>
        <v>0</v>
      </c>
      <c r="J8807" s="135" t="n">
        <f aca="false">$G8807*'Analyse capacite'!$D$7</f>
        <v>0</v>
      </c>
      <c r="K8807" s="135" t="n">
        <f aca="false">$G8807*'Analyse capacite'!$E$7</f>
        <v>0</v>
      </c>
    </row>
    <row r="8808" customFormat="false" ht="15" hidden="false" customHeight="false" outlineLevel="0" collapsed="false">
      <c r="B8808" s="130" t="n">
        <v>2027</v>
      </c>
      <c r="C8808" s="131" t="s">
        <v>254</v>
      </c>
      <c r="D8808" s="132" t="n">
        <v>46722</v>
      </c>
      <c r="E8808" s="131" t="s">
        <v>46</v>
      </c>
      <c r="F8808" s="133" t="s">
        <v>19</v>
      </c>
      <c r="G8808" s="134" t="n">
        <f aca="false">LEN('Saisie programme'!$F$344)+SUMIFS('Vols additionnels'!$E$7:$E$66,'Vols additionnels'!$C$7:$C$66,$E8808,'Vols additionnels'!$D$7:$D$66,$F8808,'Vols additionnels'!$B$7:$B$66,$D8808)</f>
        <v>0</v>
      </c>
      <c r="H8808" s="135" t="n">
        <f aca="false">$G8808*'Analyse capacite'!$F$8</f>
        <v>0</v>
      </c>
      <c r="I8808" s="135" t="n">
        <f aca="false">$G8808*'Analyse capacite'!$C$8</f>
        <v>0</v>
      </c>
      <c r="J8808" s="135" t="n">
        <f aca="false">$G8808*'Analyse capacite'!$D$8</f>
        <v>0</v>
      </c>
      <c r="K8808" s="135" t="n">
        <f aca="false">$G8808*'Analyse capacite'!$E$8</f>
        <v>0</v>
      </c>
    </row>
    <row r="8809" customFormat="false" ht="15" hidden="false" customHeight="false" outlineLevel="0" collapsed="false">
      <c r="B8809" s="130" t="n">
        <v>2027</v>
      </c>
      <c r="C8809" s="131" t="s">
        <v>254</v>
      </c>
      <c r="D8809" s="132" t="n">
        <v>46722</v>
      </c>
      <c r="E8809" s="131" t="s">
        <v>46</v>
      </c>
      <c r="F8809" s="133" t="s">
        <v>24</v>
      </c>
      <c r="G8809" s="134" t="n">
        <f aca="false">LEN('Saisie programme'!$F$345)+SUMIFS('Vols additionnels'!$E$7:$E$66,'Vols additionnels'!$C$7:$C$66,$E8809,'Vols additionnels'!$D$7:$D$66,$F8809,'Vols additionnels'!$B$7:$B$66,$D8809)</f>
        <v>0</v>
      </c>
      <c r="H8809" s="135" t="n">
        <f aca="false">$G8809*'Analyse capacite'!$F$9</f>
        <v>0</v>
      </c>
      <c r="I8809" s="135" t="n">
        <f aca="false">$G8809*'Analyse capacite'!$C$9</f>
        <v>0</v>
      </c>
      <c r="J8809" s="135" t="n">
        <f aca="false">$G8809*'Analyse capacite'!$D$9</f>
        <v>0</v>
      </c>
      <c r="K8809" s="135" t="n">
        <f aca="false">$G8809*'Analyse capacite'!$E$9</f>
        <v>0</v>
      </c>
    </row>
    <row r="8810" customFormat="false" ht="15" hidden="false" customHeight="false" outlineLevel="0" collapsed="false">
      <c r="B8810" s="130" t="n">
        <v>2027</v>
      </c>
      <c r="C8810" s="131" t="s">
        <v>254</v>
      </c>
      <c r="D8810" s="132" t="n">
        <v>46722</v>
      </c>
      <c r="E8810" s="131" t="s">
        <v>49</v>
      </c>
      <c r="F8810" s="133" t="s">
        <v>11</v>
      </c>
      <c r="G8810" s="134" t="n">
        <f aca="false">LEN('Saisie programme'!$F$346)+SUMIFS('Vols additionnels'!$E$7:$E$66,'Vols additionnels'!$C$7:$C$66,$E8810,'Vols additionnels'!$D$7:$D$66,$F8810,'Vols additionnels'!$B$7:$B$66,$D8810)</f>
        <v>0</v>
      </c>
      <c r="H8810" s="135" t="n">
        <f aca="false">$G8810*'Analyse capacite'!$F$7</f>
        <v>0</v>
      </c>
      <c r="I8810" s="135" t="n">
        <f aca="false">$G8810*'Analyse capacite'!$C$7</f>
        <v>0</v>
      </c>
      <c r="J8810" s="135" t="n">
        <f aca="false">$G8810*'Analyse capacite'!$D$7</f>
        <v>0</v>
      </c>
      <c r="K8810" s="135" t="n">
        <f aca="false">$G8810*'Analyse capacite'!$E$7</f>
        <v>0</v>
      </c>
    </row>
    <row r="8811" customFormat="false" ht="15" hidden="false" customHeight="false" outlineLevel="0" collapsed="false">
      <c r="B8811" s="130" t="n">
        <v>2027</v>
      </c>
      <c r="C8811" s="131" t="s">
        <v>254</v>
      </c>
      <c r="D8811" s="132" t="n">
        <v>46722</v>
      </c>
      <c r="E8811" s="131" t="s">
        <v>49</v>
      </c>
      <c r="F8811" s="133" t="s">
        <v>19</v>
      </c>
      <c r="G8811" s="134" t="n">
        <f aca="false">LEN('Saisie programme'!$F$347)+SUMIFS('Vols additionnels'!$E$7:$E$66,'Vols additionnels'!$C$7:$C$66,$E8811,'Vols additionnels'!$D$7:$D$66,$F8811,'Vols additionnels'!$B$7:$B$66,$D8811)</f>
        <v>0</v>
      </c>
      <c r="H8811" s="135" t="n">
        <f aca="false">$G8811*'Analyse capacite'!$F$8</f>
        <v>0</v>
      </c>
      <c r="I8811" s="135" t="n">
        <f aca="false">$G8811*'Analyse capacite'!$C$8</f>
        <v>0</v>
      </c>
      <c r="J8811" s="135" t="n">
        <f aca="false">$G8811*'Analyse capacite'!$D$8</f>
        <v>0</v>
      </c>
      <c r="K8811" s="135" t="n">
        <f aca="false">$G8811*'Analyse capacite'!$E$8</f>
        <v>0</v>
      </c>
    </row>
    <row r="8812" customFormat="false" ht="15" hidden="false" customHeight="false" outlineLevel="0" collapsed="false">
      <c r="B8812" s="130" t="n">
        <v>2027</v>
      </c>
      <c r="C8812" s="131" t="s">
        <v>254</v>
      </c>
      <c r="D8812" s="132" t="n">
        <v>46722</v>
      </c>
      <c r="E8812" s="131" t="s">
        <v>49</v>
      </c>
      <c r="F8812" s="133" t="s">
        <v>24</v>
      </c>
      <c r="G8812" s="134" t="n">
        <f aca="false">LEN('Saisie programme'!$F$348)+SUMIFS('Vols additionnels'!$E$7:$E$66,'Vols additionnels'!$C$7:$C$66,$E8812,'Vols additionnels'!$D$7:$D$66,$F8812,'Vols additionnels'!$B$7:$B$66,$D8812)</f>
        <v>0</v>
      </c>
      <c r="H8812" s="135" t="n">
        <f aca="false">$G8812*'Analyse capacite'!$F$9</f>
        <v>0</v>
      </c>
      <c r="I8812" s="135" t="n">
        <f aca="false">$G8812*'Analyse capacite'!$C$9</f>
        <v>0</v>
      </c>
      <c r="J8812" s="135" t="n">
        <f aca="false">$G8812*'Analyse capacite'!$D$9</f>
        <v>0</v>
      </c>
      <c r="K8812" s="135" t="n">
        <f aca="false">$G8812*'Analyse capacite'!$E$9</f>
        <v>0</v>
      </c>
    </row>
    <row r="8813" customFormat="false" ht="15" hidden="false" customHeight="false" outlineLevel="0" collapsed="false">
      <c r="B8813" s="130" t="n">
        <v>2027</v>
      </c>
      <c r="C8813" s="131" t="s">
        <v>254</v>
      </c>
      <c r="D8813" s="132" t="n">
        <v>46722</v>
      </c>
      <c r="E8813" s="131" t="s">
        <v>53</v>
      </c>
      <c r="F8813" s="133" t="s">
        <v>11</v>
      </c>
      <c r="G8813" s="134" t="n">
        <f aca="false">LEN('Saisie programme'!$F$349)+SUMIFS('Vols additionnels'!$E$7:$E$66,'Vols additionnels'!$C$7:$C$66,$E8813,'Vols additionnels'!$D$7:$D$66,$F8813,'Vols additionnels'!$B$7:$B$66,$D8813)</f>
        <v>0</v>
      </c>
      <c r="H8813" s="135" t="n">
        <f aca="false">$G8813*'Analyse capacite'!$F$7</f>
        <v>0</v>
      </c>
      <c r="I8813" s="135" t="n">
        <f aca="false">$G8813*'Analyse capacite'!$C$7</f>
        <v>0</v>
      </c>
      <c r="J8813" s="135" t="n">
        <f aca="false">$G8813*'Analyse capacite'!$D$7</f>
        <v>0</v>
      </c>
      <c r="K8813" s="135" t="n">
        <f aca="false">$G8813*'Analyse capacite'!$E$7</f>
        <v>0</v>
      </c>
    </row>
    <row r="8814" customFormat="false" ht="15" hidden="false" customHeight="false" outlineLevel="0" collapsed="false">
      <c r="B8814" s="130" t="n">
        <v>2027</v>
      </c>
      <c r="C8814" s="131" t="s">
        <v>254</v>
      </c>
      <c r="D8814" s="132" t="n">
        <v>46722</v>
      </c>
      <c r="E8814" s="131" t="s">
        <v>53</v>
      </c>
      <c r="F8814" s="133" t="s">
        <v>19</v>
      </c>
      <c r="G8814" s="134" t="n">
        <f aca="false">LEN('Saisie programme'!$F$350)+SUMIFS('Vols additionnels'!$E$7:$E$66,'Vols additionnels'!$C$7:$C$66,$E8814,'Vols additionnels'!$D$7:$D$66,$F8814,'Vols additionnels'!$B$7:$B$66,$D8814)</f>
        <v>0</v>
      </c>
      <c r="H8814" s="135" t="n">
        <f aca="false">$G8814*'Analyse capacite'!$F$8</f>
        <v>0</v>
      </c>
      <c r="I8814" s="135" t="n">
        <f aca="false">$G8814*'Analyse capacite'!$C$8</f>
        <v>0</v>
      </c>
      <c r="J8814" s="135" t="n">
        <f aca="false">$G8814*'Analyse capacite'!$D$8</f>
        <v>0</v>
      </c>
      <c r="K8814" s="135" t="n">
        <f aca="false">$G8814*'Analyse capacite'!$E$8</f>
        <v>0</v>
      </c>
    </row>
    <row r="8815" customFormat="false" ht="15" hidden="false" customHeight="false" outlineLevel="0" collapsed="false">
      <c r="B8815" s="130" t="n">
        <v>2027</v>
      </c>
      <c r="C8815" s="131" t="s">
        <v>254</v>
      </c>
      <c r="D8815" s="132" t="n">
        <v>46722</v>
      </c>
      <c r="E8815" s="131" t="s">
        <v>53</v>
      </c>
      <c r="F8815" s="133" t="s">
        <v>24</v>
      </c>
      <c r="G8815" s="134" t="n">
        <f aca="false">LEN('Saisie programme'!$F$351)+SUMIFS('Vols additionnels'!$E$7:$E$66,'Vols additionnels'!$C$7:$C$66,$E8815,'Vols additionnels'!$D$7:$D$66,$F8815,'Vols additionnels'!$B$7:$B$66,$D8815)</f>
        <v>0</v>
      </c>
      <c r="H8815" s="135" t="n">
        <f aca="false">$G8815*'Analyse capacite'!$F$9</f>
        <v>0</v>
      </c>
      <c r="I8815" s="135" t="n">
        <f aca="false">$G8815*'Analyse capacite'!$C$9</f>
        <v>0</v>
      </c>
      <c r="J8815" s="135" t="n">
        <f aca="false">$G8815*'Analyse capacite'!$D$9</f>
        <v>0</v>
      </c>
      <c r="K8815" s="135" t="n">
        <f aca="false">$G8815*'Analyse capacite'!$E$9</f>
        <v>0</v>
      </c>
    </row>
    <row r="8816" customFormat="false" ht="15" hidden="false" customHeight="false" outlineLevel="0" collapsed="false">
      <c r="B8816" s="130" t="n">
        <v>2027</v>
      </c>
      <c r="C8816" s="131" t="s">
        <v>254</v>
      </c>
      <c r="D8816" s="132" t="n">
        <v>46722</v>
      </c>
      <c r="E8816" s="131" t="s">
        <v>56</v>
      </c>
      <c r="F8816" s="133" t="s">
        <v>11</v>
      </c>
      <c r="G8816" s="134" t="n">
        <f aca="false">LEN('Saisie programme'!$F$352)+SUMIFS('Vols additionnels'!$E$7:$E$66,'Vols additionnels'!$C$7:$C$66,$E8816,'Vols additionnels'!$D$7:$D$66,$F8816,'Vols additionnels'!$B$7:$B$66,$D8816)</f>
        <v>0</v>
      </c>
      <c r="H8816" s="135" t="n">
        <f aca="false">$G8816*'Analyse capacite'!$F$7</f>
        <v>0</v>
      </c>
      <c r="I8816" s="135" t="n">
        <f aca="false">$G8816*'Analyse capacite'!$C$7</f>
        <v>0</v>
      </c>
      <c r="J8816" s="135" t="n">
        <f aca="false">$G8816*'Analyse capacite'!$D$7</f>
        <v>0</v>
      </c>
      <c r="K8816" s="135" t="n">
        <f aca="false">$G8816*'Analyse capacite'!$E$7</f>
        <v>0</v>
      </c>
    </row>
    <row r="8817" customFormat="false" ht="15" hidden="false" customHeight="false" outlineLevel="0" collapsed="false">
      <c r="B8817" s="130" t="n">
        <v>2027</v>
      </c>
      <c r="C8817" s="131" t="s">
        <v>254</v>
      </c>
      <c r="D8817" s="132" t="n">
        <v>46722</v>
      </c>
      <c r="E8817" s="131" t="s">
        <v>56</v>
      </c>
      <c r="F8817" s="133" t="s">
        <v>19</v>
      </c>
      <c r="G8817" s="134" t="n">
        <f aca="false">LEN('Saisie programme'!$F$353)+SUMIFS('Vols additionnels'!$E$7:$E$66,'Vols additionnels'!$C$7:$C$66,$E8817,'Vols additionnels'!$D$7:$D$66,$F8817,'Vols additionnels'!$B$7:$B$66,$D8817)</f>
        <v>0</v>
      </c>
      <c r="H8817" s="135" t="n">
        <f aca="false">$G8817*'Analyse capacite'!$F$8</f>
        <v>0</v>
      </c>
      <c r="I8817" s="135" t="n">
        <f aca="false">$G8817*'Analyse capacite'!$C$8</f>
        <v>0</v>
      </c>
      <c r="J8817" s="135" t="n">
        <f aca="false">$G8817*'Analyse capacite'!$D$8</f>
        <v>0</v>
      </c>
      <c r="K8817" s="135" t="n">
        <f aca="false">$G8817*'Analyse capacite'!$E$8</f>
        <v>0</v>
      </c>
    </row>
    <row r="8818" customFormat="false" ht="15" hidden="false" customHeight="false" outlineLevel="0" collapsed="false">
      <c r="B8818" s="130" t="n">
        <v>2027</v>
      </c>
      <c r="C8818" s="131" t="s">
        <v>254</v>
      </c>
      <c r="D8818" s="132" t="n">
        <v>46722</v>
      </c>
      <c r="E8818" s="131" t="s">
        <v>56</v>
      </c>
      <c r="F8818" s="133" t="s">
        <v>24</v>
      </c>
      <c r="G8818" s="134" t="n">
        <f aca="false">LEN('Saisie programme'!$F$354)+SUMIFS('Vols additionnels'!$E$7:$E$66,'Vols additionnels'!$C$7:$C$66,$E8818,'Vols additionnels'!$D$7:$D$66,$F8818,'Vols additionnels'!$B$7:$B$66,$D8818)</f>
        <v>0</v>
      </c>
      <c r="H8818" s="135" t="n">
        <f aca="false">$G8818*'Analyse capacite'!$F$9</f>
        <v>0</v>
      </c>
      <c r="I8818" s="135" t="n">
        <f aca="false">$G8818*'Analyse capacite'!$C$9</f>
        <v>0</v>
      </c>
      <c r="J8818" s="135" t="n">
        <f aca="false">$G8818*'Analyse capacite'!$D$9</f>
        <v>0</v>
      </c>
      <c r="K8818" s="135" t="n">
        <f aca="false">$G8818*'Analyse capacite'!$E$9</f>
        <v>0</v>
      </c>
    </row>
    <row r="8819" customFormat="false" ht="15" hidden="false" customHeight="false" outlineLevel="0" collapsed="false">
      <c r="B8819" s="130" t="n">
        <v>2027</v>
      </c>
      <c r="C8819" s="131" t="s">
        <v>254</v>
      </c>
      <c r="D8819" s="132" t="n">
        <v>46722</v>
      </c>
      <c r="E8819" s="131" t="s">
        <v>59</v>
      </c>
      <c r="F8819" s="133" t="s">
        <v>11</v>
      </c>
      <c r="G8819" s="134" t="n">
        <f aca="false">LEN('Saisie programme'!$F$355)+SUMIFS('Vols additionnels'!$E$7:$E$66,'Vols additionnels'!$C$7:$C$66,$E8819,'Vols additionnels'!$D$7:$D$66,$F8819,'Vols additionnels'!$B$7:$B$66,$D8819)</f>
        <v>0</v>
      </c>
      <c r="H8819" s="135" t="n">
        <f aca="false">$G8819*'Analyse capacite'!$F$7</f>
        <v>0</v>
      </c>
      <c r="I8819" s="135" t="n">
        <f aca="false">$G8819*'Analyse capacite'!$C$7</f>
        <v>0</v>
      </c>
      <c r="J8819" s="135" t="n">
        <f aca="false">$G8819*'Analyse capacite'!$D$7</f>
        <v>0</v>
      </c>
      <c r="K8819" s="135" t="n">
        <f aca="false">$G8819*'Analyse capacite'!$E$7</f>
        <v>0</v>
      </c>
    </row>
    <row r="8820" customFormat="false" ht="15" hidden="false" customHeight="false" outlineLevel="0" collapsed="false">
      <c r="B8820" s="130" t="n">
        <v>2027</v>
      </c>
      <c r="C8820" s="131" t="s">
        <v>254</v>
      </c>
      <c r="D8820" s="132" t="n">
        <v>46722</v>
      </c>
      <c r="E8820" s="131" t="s">
        <v>59</v>
      </c>
      <c r="F8820" s="133" t="s">
        <v>19</v>
      </c>
      <c r="G8820" s="134" t="n">
        <f aca="false">LEN('Saisie programme'!$F$356)+SUMIFS('Vols additionnels'!$E$7:$E$66,'Vols additionnels'!$C$7:$C$66,$E8820,'Vols additionnels'!$D$7:$D$66,$F8820,'Vols additionnels'!$B$7:$B$66,$D8820)</f>
        <v>0</v>
      </c>
      <c r="H8820" s="135" t="n">
        <f aca="false">$G8820*'Analyse capacite'!$F$8</f>
        <v>0</v>
      </c>
      <c r="I8820" s="135" t="n">
        <f aca="false">$G8820*'Analyse capacite'!$C$8</f>
        <v>0</v>
      </c>
      <c r="J8820" s="135" t="n">
        <f aca="false">$G8820*'Analyse capacite'!$D$8</f>
        <v>0</v>
      </c>
      <c r="K8820" s="135" t="n">
        <f aca="false">$G8820*'Analyse capacite'!$E$8</f>
        <v>0</v>
      </c>
    </row>
    <row r="8821" customFormat="false" ht="15" hidden="false" customHeight="false" outlineLevel="0" collapsed="false">
      <c r="B8821" s="130" t="n">
        <v>2027</v>
      </c>
      <c r="C8821" s="131" t="s">
        <v>254</v>
      </c>
      <c r="D8821" s="132" t="n">
        <v>46722</v>
      </c>
      <c r="E8821" s="131" t="s">
        <v>59</v>
      </c>
      <c r="F8821" s="133" t="s">
        <v>24</v>
      </c>
      <c r="G8821" s="134" t="n">
        <f aca="false">LEN('Saisie programme'!$F$357)+SUMIFS('Vols additionnels'!$E$7:$E$66,'Vols additionnels'!$C$7:$C$66,$E8821,'Vols additionnels'!$D$7:$D$66,$F8821,'Vols additionnels'!$B$7:$B$66,$D8821)</f>
        <v>1</v>
      </c>
      <c r="H8821" s="135" t="n">
        <f aca="false">$G8821*'Analyse capacite'!$F$9</f>
        <v>174</v>
      </c>
      <c r="I8821" s="135" t="n">
        <f aca="false">$G8821*'Analyse capacite'!$C$9</f>
        <v>0</v>
      </c>
      <c r="J8821" s="135" t="n">
        <f aca="false">$G8821*'Analyse capacite'!$D$9</f>
        <v>12</v>
      </c>
      <c r="K8821" s="135" t="n">
        <f aca="false">$G8821*'Analyse capacite'!$E$9</f>
        <v>162</v>
      </c>
    </row>
    <row r="8822" customFormat="false" ht="15" hidden="false" customHeight="false" outlineLevel="0" collapsed="false">
      <c r="B8822" s="130" t="n">
        <v>2027</v>
      </c>
      <c r="C8822" s="131" t="s">
        <v>254</v>
      </c>
      <c r="D8822" s="132" t="n">
        <v>46722</v>
      </c>
      <c r="E8822" s="131" t="s">
        <v>62</v>
      </c>
      <c r="F8822" s="133" t="s">
        <v>11</v>
      </c>
      <c r="G8822" s="134" t="n">
        <f aca="false">LEN('Saisie programme'!$F$358)+SUMIFS('Vols additionnels'!$E$7:$E$66,'Vols additionnels'!$C$7:$C$66,$E8822,'Vols additionnels'!$D$7:$D$66,$F8822,'Vols additionnels'!$B$7:$B$66,$D8822)</f>
        <v>0</v>
      </c>
      <c r="H8822" s="135" t="n">
        <f aca="false">$G8822*'Analyse capacite'!$F$7</f>
        <v>0</v>
      </c>
      <c r="I8822" s="135" t="n">
        <f aca="false">$G8822*'Analyse capacite'!$C$7</f>
        <v>0</v>
      </c>
      <c r="J8822" s="135" t="n">
        <f aca="false">$G8822*'Analyse capacite'!$D$7</f>
        <v>0</v>
      </c>
      <c r="K8822" s="135" t="n">
        <f aca="false">$G8822*'Analyse capacite'!$E$7</f>
        <v>0</v>
      </c>
    </row>
    <row r="8823" customFormat="false" ht="15" hidden="false" customHeight="false" outlineLevel="0" collapsed="false">
      <c r="B8823" s="130" t="n">
        <v>2027</v>
      </c>
      <c r="C8823" s="131" t="s">
        <v>254</v>
      </c>
      <c r="D8823" s="132" t="n">
        <v>46722</v>
      </c>
      <c r="E8823" s="131" t="s">
        <v>62</v>
      </c>
      <c r="F8823" s="133" t="s">
        <v>19</v>
      </c>
      <c r="G8823" s="134" t="n">
        <f aca="false">LEN('Saisie programme'!$F$359)+SUMIFS('Vols additionnels'!$E$7:$E$66,'Vols additionnels'!$C$7:$C$66,$E8823,'Vols additionnels'!$D$7:$D$66,$F8823,'Vols additionnels'!$B$7:$B$66,$D8823)</f>
        <v>0</v>
      </c>
      <c r="H8823" s="135" t="n">
        <f aca="false">$G8823*'Analyse capacite'!$F$8</f>
        <v>0</v>
      </c>
      <c r="I8823" s="135" t="n">
        <f aca="false">$G8823*'Analyse capacite'!$C$8</f>
        <v>0</v>
      </c>
      <c r="J8823" s="135" t="n">
        <f aca="false">$G8823*'Analyse capacite'!$D$8</f>
        <v>0</v>
      </c>
      <c r="K8823" s="135" t="n">
        <f aca="false">$G8823*'Analyse capacite'!$E$8</f>
        <v>0</v>
      </c>
    </row>
    <row r="8824" customFormat="false" ht="15" hidden="false" customHeight="false" outlineLevel="0" collapsed="false">
      <c r="B8824" s="130" t="n">
        <v>2027</v>
      </c>
      <c r="C8824" s="131" t="s">
        <v>254</v>
      </c>
      <c r="D8824" s="132" t="n">
        <v>46722</v>
      </c>
      <c r="E8824" s="131" t="s">
        <v>62</v>
      </c>
      <c r="F8824" s="133" t="s">
        <v>24</v>
      </c>
      <c r="G8824" s="134" t="n">
        <f aca="false">LEN('Saisie programme'!$F$360)+SUMIFS('Vols additionnels'!$E$7:$E$66,'Vols additionnels'!$C$7:$C$66,$E8824,'Vols additionnels'!$D$7:$D$66,$F8824,'Vols additionnels'!$B$7:$B$66,$D8824)</f>
        <v>1</v>
      </c>
      <c r="H8824" s="135" t="n">
        <f aca="false">$G8824*'Analyse capacite'!$F$9</f>
        <v>174</v>
      </c>
      <c r="I8824" s="135" t="n">
        <f aca="false">$G8824*'Analyse capacite'!$C$9</f>
        <v>0</v>
      </c>
      <c r="J8824" s="135" t="n">
        <f aca="false">$G8824*'Analyse capacite'!$D$9</f>
        <v>12</v>
      </c>
      <c r="K8824" s="135" t="n">
        <f aca="false">$G8824*'Analyse capacite'!$E$9</f>
        <v>162</v>
      </c>
    </row>
    <row r="8825" customFormat="false" ht="15" hidden="false" customHeight="false" outlineLevel="0" collapsed="false">
      <c r="B8825" s="130" t="n">
        <v>2027</v>
      </c>
      <c r="C8825" s="131" t="s">
        <v>254</v>
      </c>
      <c r="D8825" s="132" t="n">
        <v>46723</v>
      </c>
      <c r="E8825" s="131" t="s">
        <v>12</v>
      </c>
      <c r="F8825" s="133" t="s">
        <v>11</v>
      </c>
      <c r="G8825" s="134" t="n">
        <f aca="false">LEN('Saisie programme'!$G$325)+SUMIFS('Vols additionnels'!$E$7:$E$66,'Vols additionnels'!$C$7:$C$66,$E8825,'Vols additionnels'!$D$7:$D$66,$F8825,'Vols additionnels'!$B$7:$B$66,$D8825)</f>
        <v>1</v>
      </c>
      <c r="H8825" s="135" t="n">
        <f aca="false">$G8825*'Analyse capacite'!$F$7</f>
        <v>438</v>
      </c>
      <c r="I8825" s="135" t="n">
        <f aca="false">$G8825*'Analyse capacite'!$C$7</f>
        <v>14</v>
      </c>
      <c r="J8825" s="135" t="n">
        <f aca="false">$G8825*'Analyse capacite'!$D$7</f>
        <v>40</v>
      </c>
      <c r="K8825" s="135" t="n">
        <f aca="false">$G8825*'Analyse capacite'!$E$7</f>
        <v>384</v>
      </c>
    </row>
    <row r="8826" customFormat="false" ht="15" hidden="false" customHeight="false" outlineLevel="0" collapsed="false">
      <c r="B8826" s="130" t="n">
        <v>2027</v>
      </c>
      <c r="C8826" s="131" t="s">
        <v>254</v>
      </c>
      <c r="D8826" s="132" t="n">
        <v>46723</v>
      </c>
      <c r="E8826" s="131" t="s">
        <v>12</v>
      </c>
      <c r="F8826" s="133" t="s">
        <v>19</v>
      </c>
      <c r="G8826" s="134" t="n">
        <f aca="false">LEN('Saisie programme'!$G$326)+SUMIFS('Vols additionnels'!$E$7:$E$66,'Vols additionnels'!$C$7:$C$66,$E8826,'Vols additionnels'!$D$7:$D$66,$F8826,'Vols additionnels'!$B$7:$B$66,$D8826)</f>
        <v>0</v>
      </c>
      <c r="H8826" s="135" t="n">
        <f aca="false">$G8826*'Analyse capacite'!$F$8</f>
        <v>0</v>
      </c>
      <c r="I8826" s="135" t="n">
        <f aca="false">$G8826*'Analyse capacite'!$C$8</f>
        <v>0</v>
      </c>
      <c r="J8826" s="135" t="n">
        <f aca="false">$G8826*'Analyse capacite'!$D$8</f>
        <v>0</v>
      </c>
      <c r="K8826" s="135" t="n">
        <f aca="false">$G8826*'Analyse capacite'!$E$8</f>
        <v>0</v>
      </c>
    </row>
    <row r="8827" customFormat="false" ht="15" hidden="false" customHeight="false" outlineLevel="0" collapsed="false">
      <c r="B8827" s="130" t="n">
        <v>2027</v>
      </c>
      <c r="C8827" s="131" t="s">
        <v>254</v>
      </c>
      <c r="D8827" s="132" t="n">
        <v>46723</v>
      </c>
      <c r="E8827" s="131" t="s">
        <v>12</v>
      </c>
      <c r="F8827" s="133" t="s">
        <v>24</v>
      </c>
      <c r="G8827" s="134" t="n">
        <f aca="false">LEN('Saisie programme'!$G$327)+SUMIFS('Vols additionnels'!$E$7:$E$66,'Vols additionnels'!$C$7:$C$66,$E8827,'Vols additionnels'!$D$7:$D$66,$F8827,'Vols additionnels'!$B$7:$B$66,$D8827)</f>
        <v>0</v>
      </c>
      <c r="H8827" s="135" t="n">
        <f aca="false">$G8827*'Analyse capacite'!$F$9</f>
        <v>0</v>
      </c>
      <c r="I8827" s="135" t="n">
        <f aca="false">$G8827*'Analyse capacite'!$C$9</f>
        <v>0</v>
      </c>
      <c r="J8827" s="135" t="n">
        <f aca="false">$G8827*'Analyse capacite'!$D$9</f>
        <v>0</v>
      </c>
      <c r="K8827" s="135" t="n">
        <f aca="false">$G8827*'Analyse capacite'!$E$9</f>
        <v>0</v>
      </c>
    </row>
    <row r="8828" customFormat="false" ht="15" hidden="false" customHeight="false" outlineLevel="0" collapsed="false">
      <c r="B8828" s="130" t="n">
        <v>2027</v>
      </c>
      <c r="C8828" s="131" t="s">
        <v>254</v>
      </c>
      <c r="D8828" s="132" t="n">
        <v>46723</v>
      </c>
      <c r="E8828" s="131" t="s">
        <v>20</v>
      </c>
      <c r="F8828" s="133" t="s">
        <v>11</v>
      </c>
      <c r="G8828" s="134" t="n">
        <f aca="false">LEN('Saisie programme'!$G$328)+SUMIFS('Vols additionnels'!$E$7:$E$66,'Vols additionnels'!$C$7:$C$66,$E8828,'Vols additionnels'!$D$7:$D$66,$F8828,'Vols additionnels'!$B$7:$B$66,$D8828)</f>
        <v>0</v>
      </c>
      <c r="H8828" s="135" t="n">
        <f aca="false">$G8828*'Analyse capacite'!$F$7</f>
        <v>0</v>
      </c>
      <c r="I8828" s="135" t="n">
        <f aca="false">$G8828*'Analyse capacite'!$C$7</f>
        <v>0</v>
      </c>
      <c r="J8828" s="135" t="n">
        <f aca="false">$G8828*'Analyse capacite'!$D$7</f>
        <v>0</v>
      </c>
      <c r="K8828" s="135" t="n">
        <f aca="false">$G8828*'Analyse capacite'!$E$7</f>
        <v>0</v>
      </c>
    </row>
    <row r="8829" customFormat="false" ht="15" hidden="false" customHeight="false" outlineLevel="0" collapsed="false">
      <c r="B8829" s="130" t="n">
        <v>2027</v>
      </c>
      <c r="C8829" s="131" t="s">
        <v>254</v>
      </c>
      <c r="D8829" s="132" t="n">
        <v>46723</v>
      </c>
      <c r="E8829" s="131" t="s">
        <v>20</v>
      </c>
      <c r="F8829" s="133" t="s">
        <v>19</v>
      </c>
      <c r="G8829" s="134" t="n">
        <f aca="false">LEN('Saisie programme'!$G$329)+SUMIFS('Vols additionnels'!$E$7:$E$66,'Vols additionnels'!$C$7:$C$66,$E8829,'Vols additionnels'!$D$7:$D$66,$F8829,'Vols additionnels'!$B$7:$B$66,$D8829)</f>
        <v>0</v>
      </c>
      <c r="H8829" s="135" t="n">
        <f aca="false">$G8829*'Analyse capacite'!$F$8</f>
        <v>0</v>
      </c>
      <c r="I8829" s="135" t="n">
        <f aca="false">$G8829*'Analyse capacite'!$C$8</f>
        <v>0</v>
      </c>
      <c r="J8829" s="135" t="n">
        <f aca="false">$G8829*'Analyse capacite'!$D$8</f>
        <v>0</v>
      </c>
      <c r="K8829" s="135" t="n">
        <f aca="false">$G8829*'Analyse capacite'!$E$8</f>
        <v>0</v>
      </c>
    </row>
    <row r="8830" customFormat="false" ht="15" hidden="false" customHeight="false" outlineLevel="0" collapsed="false">
      <c r="B8830" s="130" t="n">
        <v>2027</v>
      </c>
      <c r="C8830" s="131" t="s">
        <v>254</v>
      </c>
      <c r="D8830" s="132" t="n">
        <v>46723</v>
      </c>
      <c r="E8830" s="131" t="s">
        <v>20</v>
      </c>
      <c r="F8830" s="133" t="s">
        <v>24</v>
      </c>
      <c r="G8830" s="134" t="n">
        <f aca="false">LEN('Saisie programme'!$G$330)+SUMIFS('Vols additionnels'!$E$7:$E$66,'Vols additionnels'!$C$7:$C$66,$E8830,'Vols additionnels'!$D$7:$D$66,$F8830,'Vols additionnels'!$B$7:$B$66,$D8830)</f>
        <v>0</v>
      </c>
      <c r="H8830" s="135" t="n">
        <f aca="false">$G8830*'Analyse capacite'!$F$9</f>
        <v>0</v>
      </c>
      <c r="I8830" s="135" t="n">
        <f aca="false">$G8830*'Analyse capacite'!$C$9</f>
        <v>0</v>
      </c>
      <c r="J8830" s="135" t="n">
        <f aca="false">$G8830*'Analyse capacite'!$D$9</f>
        <v>0</v>
      </c>
      <c r="K8830" s="135" t="n">
        <f aca="false">$G8830*'Analyse capacite'!$E$9</f>
        <v>0</v>
      </c>
    </row>
    <row r="8831" customFormat="false" ht="15" hidden="false" customHeight="false" outlineLevel="0" collapsed="false">
      <c r="B8831" s="130" t="n">
        <v>2027</v>
      </c>
      <c r="C8831" s="131" t="s">
        <v>254</v>
      </c>
      <c r="D8831" s="132" t="n">
        <v>46723</v>
      </c>
      <c r="E8831" s="131" t="s">
        <v>25</v>
      </c>
      <c r="F8831" s="133" t="s">
        <v>11</v>
      </c>
      <c r="G8831" s="134" t="n">
        <f aca="false">LEN('Saisie programme'!$G$331)+SUMIFS('Vols additionnels'!$E$7:$E$66,'Vols additionnels'!$C$7:$C$66,$E8831,'Vols additionnels'!$D$7:$D$66,$F8831,'Vols additionnels'!$B$7:$B$66,$D8831)</f>
        <v>0</v>
      </c>
      <c r="H8831" s="135" t="n">
        <f aca="false">$G8831*'Analyse capacite'!$F$7</f>
        <v>0</v>
      </c>
      <c r="I8831" s="135" t="n">
        <f aca="false">$G8831*'Analyse capacite'!$C$7</f>
        <v>0</v>
      </c>
      <c r="J8831" s="135" t="n">
        <f aca="false">$G8831*'Analyse capacite'!$D$7</f>
        <v>0</v>
      </c>
      <c r="K8831" s="135" t="n">
        <f aca="false">$G8831*'Analyse capacite'!$E$7</f>
        <v>0</v>
      </c>
    </row>
    <row r="8832" customFormat="false" ht="15" hidden="false" customHeight="false" outlineLevel="0" collapsed="false">
      <c r="B8832" s="130" t="n">
        <v>2027</v>
      </c>
      <c r="C8832" s="131" t="s">
        <v>254</v>
      </c>
      <c r="D8832" s="132" t="n">
        <v>46723</v>
      </c>
      <c r="E8832" s="131" t="s">
        <v>25</v>
      </c>
      <c r="F8832" s="133" t="s">
        <v>19</v>
      </c>
      <c r="G8832" s="134" t="n">
        <f aca="false">LEN('Saisie programme'!$G$332)+SUMIFS('Vols additionnels'!$E$7:$E$66,'Vols additionnels'!$C$7:$C$66,$E8832,'Vols additionnels'!$D$7:$D$66,$F8832,'Vols additionnels'!$B$7:$B$66,$D8832)</f>
        <v>0</v>
      </c>
      <c r="H8832" s="135" t="n">
        <f aca="false">$G8832*'Analyse capacite'!$F$8</f>
        <v>0</v>
      </c>
      <c r="I8832" s="135" t="n">
        <f aca="false">$G8832*'Analyse capacite'!$C$8</f>
        <v>0</v>
      </c>
      <c r="J8832" s="135" t="n">
        <f aca="false">$G8832*'Analyse capacite'!$D$8</f>
        <v>0</v>
      </c>
      <c r="K8832" s="135" t="n">
        <f aca="false">$G8832*'Analyse capacite'!$E$8</f>
        <v>0</v>
      </c>
    </row>
    <row r="8833" customFormat="false" ht="15" hidden="false" customHeight="false" outlineLevel="0" collapsed="false">
      <c r="B8833" s="130" t="n">
        <v>2027</v>
      </c>
      <c r="C8833" s="131" t="s">
        <v>254</v>
      </c>
      <c r="D8833" s="132" t="n">
        <v>46723</v>
      </c>
      <c r="E8833" s="131" t="s">
        <v>25</v>
      </c>
      <c r="F8833" s="133" t="s">
        <v>24</v>
      </c>
      <c r="G8833" s="134" t="n">
        <f aca="false">LEN('Saisie programme'!$G$333)+SUMIFS('Vols additionnels'!$E$7:$E$66,'Vols additionnels'!$C$7:$C$66,$E8833,'Vols additionnels'!$D$7:$D$66,$F8833,'Vols additionnels'!$B$7:$B$66,$D8833)</f>
        <v>0</v>
      </c>
      <c r="H8833" s="135" t="n">
        <f aca="false">$G8833*'Analyse capacite'!$F$9</f>
        <v>0</v>
      </c>
      <c r="I8833" s="135" t="n">
        <f aca="false">$G8833*'Analyse capacite'!$C$9</f>
        <v>0</v>
      </c>
      <c r="J8833" s="135" t="n">
        <f aca="false">$G8833*'Analyse capacite'!$D$9</f>
        <v>0</v>
      </c>
      <c r="K8833" s="135" t="n">
        <f aca="false">$G8833*'Analyse capacite'!$E$9</f>
        <v>0</v>
      </c>
    </row>
    <row r="8834" customFormat="false" ht="15" hidden="false" customHeight="false" outlineLevel="0" collapsed="false">
      <c r="B8834" s="130" t="n">
        <v>2027</v>
      </c>
      <c r="C8834" s="131" t="s">
        <v>254</v>
      </c>
      <c r="D8834" s="132" t="n">
        <v>46723</v>
      </c>
      <c r="E8834" s="131" t="s">
        <v>36</v>
      </c>
      <c r="F8834" s="133" t="s">
        <v>11</v>
      </c>
      <c r="G8834" s="134" t="n">
        <f aca="false">LEN('Saisie programme'!$G$334)+SUMIFS('Vols additionnels'!$E$7:$E$66,'Vols additionnels'!$C$7:$C$66,$E8834,'Vols additionnels'!$D$7:$D$66,$F8834,'Vols additionnels'!$B$7:$B$66,$D8834)</f>
        <v>0</v>
      </c>
      <c r="H8834" s="135" t="n">
        <f aca="false">$G8834*'Analyse capacite'!$F$7</f>
        <v>0</v>
      </c>
      <c r="I8834" s="135" t="n">
        <f aca="false">$G8834*'Analyse capacite'!$C$7</f>
        <v>0</v>
      </c>
      <c r="J8834" s="135" t="n">
        <f aca="false">$G8834*'Analyse capacite'!$D$7</f>
        <v>0</v>
      </c>
      <c r="K8834" s="135" t="n">
        <f aca="false">$G8834*'Analyse capacite'!$E$7</f>
        <v>0</v>
      </c>
    </row>
    <row r="8835" customFormat="false" ht="15" hidden="false" customHeight="false" outlineLevel="0" collapsed="false">
      <c r="B8835" s="130" t="n">
        <v>2027</v>
      </c>
      <c r="C8835" s="131" t="s">
        <v>254</v>
      </c>
      <c r="D8835" s="132" t="n">
        <v>46723</v>
      </c>
      <c r="E8835" s="131" t="s">
        <v>36</v>
      </c>
      <c r="F8835" s="133" t="s">
        <v>19</v>
      </c>
      <c r="G8835" s="134" t="n">
        <f aca="false">LEN('Saisie programme'!$G$335)+SUMIFS('Vols additionnels'!$E$7:$E$66,'Vols additionnels'!$C$7:$C$66,$E8835,'Vols additionnels'!$D$7:$D$66,$F8835,'Vols additionnels'!$B$7:$B$66,$D8835)</f>
        <v>0</v>
      </c>
      <c r="H8835" s="135" t="n">
        <f aca="false">$G8835*'Analyse capacite'!$F$8</f>
        <v>0</v>
      </c>
      <c r="I8835" s="135" t="n">
        <f aca="false">$G8835*'Analyse capacite'!$C$8</f>
        <v>0</v>
      </c>
      <c r="J8835" s="135" t="n">
        <f aca="false">$G8835*'Analyse capacite'!$D$8</f>
        <v>0</v>
      </c>
      <c r="K8835" s="135" t="n">
        <f aca="false">$G8835*'Analyse capacite'!$E$8</f>
        <v>0</v>
      </c>
    </row>
    <row r="8836" customFormat="false" ht="15" hidden="false" customHeight="false" outlineLevel="0" collapsed="false">
      <c r="B8836" s="130" t="n">
        <v>2027</v>
      </c>
      <c r="C8836" s="131" t="s">
        <v>254</v>
      </c>
      <c r="D8836" s="132" t="n">
        <v>46723</v>
      </c>
      <c r="E8836" s="131" t="s">
        <v>36</v>
      </c>
      <c r="F8836" s="133" t="s">
        <v>24</v>
      </c>
      <c r="G8836" s="134" t="n">
        <f aca="false">LEN('Saisie programme'!$G$336)+SUMIFS('Vols additionnels'!$E$7:$E$66,'Vols additionnels'!$C$7:$C$66,$E8836,'Vols additionnels'!$D$7:$D$66,$F8836,'Vols additionnels'!$B$7:$B$66,$D8836)</f>
        <v>1</v>
      </c>
      <c r="H8836" s="135" t="n">
        <f aca="false">$G8836*'Analyse capacite'!$F$9</f>
        <v>174</v>
      </c>
      <c r="I8836" s="135" t="n">
        <f aca="false">$G8836*'Analyse capacite'!$C$9</f>
        <v>0</v>
      </c>
      <c r="J8836" s="135" t="n">
        <f aca="false">$G8836*'Analyse capacite'!$D$9</f>
        <v>12</v>
      </c>
      <c r="K8836" s="135" t="n">
        <f aca="false">$G8836*'Analyse capacite'!$E$9</f>
        <v>162</v>
      </c>
    </row>
    <row r="8837" customFormat="false" ht="15" hidden="false" customHeight="false" outlineLevel="0" collapsed="false">
      <c r="B8837" s="130" t="n">
        <v>2027</v>
      </c>
      <c r="C8837" s="131" t="s">
        <v>254</v>
      </c>
      <c r="D8837" s="132" t="n">
        <v>46723</v>
      </c>
      <c r="E8837" s="131" t="s">
        <v>40</v>
      </c>
      <c r="F8837" s="133" t="s">
        <v>11</v>
      </c>
      <c r="G8837" s="134" t="n">
        <f aca="false">LEN('Saisie programme'!$G$337)+SUMIFS('Vols additionnels'!$E$7:$E$66,'Vols additionnels'!$C$7:$C$66,$E8837,'Vols additionnels'!$D$7:$D$66,$F8837,'Vols additionnels'!$B$7:$B$66,$D8837)</f>
        <v>0</v>
      </c>
      <c r="H8837" s="135" t="n">
        <f aca="false">$G8837*'Analyse capacite'!$F$7</f>
        <v>0</v>
      </c>
      <c r="I8837" s="135" t="n">
        <f aca="false">$G8837*'Analyse capacite'!$C$7</f>
        <v>0</v>
      </c>
      <c r="J8837" s="135" t="n">
        <f aca="false">$G8837*'Analyse capacite'!$D$7</f>
        <v>0</v>
      </c>
      <c r="K8837" s="135" t="n">
        <f aca="false">$G8837*'Analyse capacite'!$E$7</f>
        <v>0</v>
      </c>
    </row>
    <row r="8838" customFormat="false" ht="15" hidden="false" customHeight="false" outlineLevel="0" collapsed="false">
      <c r="B8838" s="130" t="n">
        <v>2027</v>
      </c>
      <c r="C8838" s="131" t="s">
        <v>254</v>
      </c>
      <c r="D8838" s="132" t="n">
        <v>46723</v>
      </c>
      <c r="E8838" s="131" t="s">
        <v>40</v>
      </c>
      <c r="F8838" s="133" t="s">
        <v>19</v>
      </c>
      <c r="G8838" s="134" t="n">
        <f aca="false">LEN('Saisie programme'!$G$338)+SUMIFS('Vols additionnels'!$E$7:$E$66,'Vols additionnels'!$C$7:$C$66,$E8838,'Vols additionnels'!$D$7:$D$66,$F8838,'Vols additionnels'!$B$7:$B$66,$D8838)</f>
        <v>0</v>
      </c>
      <c r="H8838" s="135" t="n">
        <f aca="false">$G8838*'Analyse capacite'!$F$8</f>
        <v>0</v>
      </c>
      <c r="I8838" s="135" t="n">
        <f aca="false">$G8838*'Analyse capacite'!$C$8</f>
        <v>0</v>
      </c>
      <c r="J8838" s="135" t="n">
        <f aca="false">$G8838*'Analyse capacite'!$D$8</f>
        <v>0</v>
      </c>
      <c r="K8838" s="135" t="n">
        <f aca="false">$G8838*'Analyse capacite'!$E$8</f>
        <v>0</v>
      </c>
    </row>
    <row r="8839" customFormat="false" ht="15" hidden="false" customHeight="false" outlineLevel="0" collapsed="false">
      <c r="B8839" s="130" t="n">
        <v>2027</v>
      </c>
      <c r="C8839" s="131" t="s">
        <v>254</v>
      </c>
      <c r="D8839" s="132" t="n">
        <v>46723</v>
      </c>
      <c r="E8839" s="131" t="s">
        <v>40</v>
      </c>
      <c r="F8839" s="133" t="s">
        <v>24</v>
      </c>
      <c r="G8839" s="134" t="n">
        <f aca="false">LEN('Saisie programme'!$G$339)+SUMIFS('Vols additionnels'!$E$7:$E$66,'Vols additionnels'!$C$7:$C$66,$E8839,'Vols additionnels'!$D$7:$D$66,$F8839,'Vols additionnels'!$B$7:$B$66,$D8839)</f>
        <v>0</v>
      </c>
      <c r="H8839" s="135" t="n">
        <f aca="false">$G8839*'Analyse capacite'!$F$9</f>
        <v>0</v>
      </c>
      <c r="I8839" s="135" t="n">
        <f aca="false">$G8839*'Analyse capacite'!$C$9</f>
        <v>0</v>
      </c>
      <c r="J8839" s="135" t="n">
        <f aca="false">$G8839*'Analyse capacite'!$D$9</f>
        <v>0</v>
      </c>
      <c r="K8839" s="135" t="n">
        <f aca="false">$G8839*'Analyse capacite'!$E$9</f>
        <v>0</v>
      </c>
    </row>
    <row r="8840" customFormat="false" ht="15" hidden="false" customHeight="false" outlineLevel="0" collapsed="false">
      <c r="B8840" s="130" t="n">
        <v>2027</v>
      </c>
      <c r="C8840" s="131" t="s">
        <v>254</v>
      </c>
      <c r="D8840" s="132" t="n">
        <v>46723</v>
      </c>
      <c r="E8840" s="131" t="s">
        <v>14</v>
      </c>
      <c r="F8840" s="133" t="s">
        <v>11</v>
      </c>
      <c r="G8840" s="134" t="n">
        <f aca="false">LEN('Saisie programme'!$G$340)+SUMIFS('Vols additionnels'!$E$7:$E$66,'Vols additionnels'!$C$7:$C$66,$E8840,'Vols additionnels'!$D$7:$D$66,$F8840,'Vols additionnels'!$B$7:$B$66,$D8840)</f>
        <v>0</v>
      </c>
      <c r="H8840" s="135" t="n">
        <f aca="false">$G8840*'Analyse capacite'!$F$7</f>
        <v>0</v>
      </c>
      <c r="I8840" s="135" t="n">
        <f aca="false">$G8840*'Analyse capacite'!$C$7</f>
        <v>0</v>
      </c>
      <c r="J8840" s="135" t="n">
        <f aca="false">$G8840*'Analyse capacite'!$D$7</f>
        <v>0</v>
      </c>
      <c r="K8840" s="135" t="n">
        <f aca="false">$G8840*'Analyse capacite'!$E$7</f>
        <v>0</v>
      </c>
    </row>
    <row r="8841" customFormat="false" ht="15" hidden="false" customHeight="false" outlineLevel="0" collapsed="false">
      <c r="B8841" s="130" t="n">
        <v>2027</v>
      </c>
      <c r="C8841" s="131" t="s">
        <v>254</v>
      </c>
      <c r="D8841" s="132" t="n">
        <v>46723</v>
      </c>
      <c r="E8841" s="131" t="s">
        <v>14</v>
      </c>
      <c r="F8841" s="133" t="s">
        <v>19</v>
      </c>
      <c r="G8841" s="134" t="n">
        <f aca="false">LEN('Saisie programme'!$G$341)+SUMIFS('Vols additionnels'!$E$7:$E$66,'Vols additionnels'!$C$7:$C$66,$E8841,'Vols additionnels'!$D$7:$D$66,$F8841,'Vols additionnels'!$B$7:$B$66,$D8841)</f>
        <v>0</v>
      </c>
      <c r="H8841" s="135" t="n">
        <f aca="false">$G8841*'Analyse capacite'!$F$8</f>
        <v>0</v>
      </c>
      <c r="I8841" s="135" t="n">
        <f aca="false">$G8841*'Analyse capacite'!$C$8</f>
        <v>0</v>
      </c>
      <c r="J8841" s="135" t="n">
        <f aca="false">$G8841*'Analyse capacite'!$D$8</f>
        <v>0</v>
      </c>
      <c r="K8841" s="135" t="n">
        <f aca="false">$G8841*'Analyse capacite'!$E$8</f>
        <v>0</v>
      </c>
    </row>
    <row r="8842" customFormat="false" ht="15" hidden="false" customHeight="false" outlineLevel="0" collapsed="false">
      <c r="B8842" s="130" t="n">
        <v>2027</v>
      </c>
      <c r="C8842" s="131" t="s">
        <v>254</v>
      </c>
      <c r="D8842" s="132" t="n">
        <v>46723</v>
      </c>
      <c r="E8842" s="131" t="s">
        <v>14</v>
      </c>
      <c r="F8842" s="133" t="s">
        <v>24</v>
      </c>
      <c r="G8842" s="134" t="n">
        <f aca="false">LEN('Saisie programme'!$G$342)+SUMIFS('Vols additionnels'!$E$7:$E$66,'Vols additionnels'!$C$7:$C$66,$E8842,'Vols additionnels'!$D$7:$D$66,$F8842,'Vols additionnels'!$B$7:$B$66,$D8842)</f>
        <v>1</v>
      </c>
      <c r="H8842" s="135" t="n">
        <f aca="false">$G8842*'Analyse capacite'!$F$9</f>
        <v>174</v>
      </c>
      <c r="I8842" s="135" t="n">
        <f aca="false">$G8842*'Analyse capacite'!$C$9</f>
        <v>0</v>
      </c>
      <c r="J8842" s="135" t="n">
        <f aca="false">$G8842*'Analyse capacite'!$D$9</f>
        <v>12</v>
      </c>
      <c r="K8842" s="135" t="n">
        <f aca="false">$G8842*'Analyse capacite'!$E$9</f>
        <v>162</v>
      </c>
    </row>
    <row r="8843" customFormat="false" ht="15" hidden="false" customHeight="false" outlineLevel="0" collapsed="false">
      <c r="B8843" s="130" t="n">
        <v>2027</v>
      </c>
      <c r="C8843" s="131" t="s">
        <v>254</v>
      </c>
      <c r="D8843" s="132" t="n">
        <v>46723</v>
      </c>
      <c r="E8843" s="131" t="s">
        <v>46</v>
      </c>
      <c r="F8843" s="133" t="s">
        <v>11</v>
      </c>
      <c r="G8843" s="134" t="n">
        <f aca="false">LEN('Saisie programme'!$G$343)+SUMIFS('Vols additionnels'!$E$7:$E$66,'Vols additionnels'!$C$7:$C$66,$E8843,'Vols additionnels'!$D$7:$D$66,$F8843,'Vols additionnels'!$B$7:$B$66,$D8843)</f>
        <v>0</v>
      </c>
      <c r="H8843" s="135" t="n">
        <f aca="false">$G8843*'Analyse capacite'!$F$7</f>
        <v>0</v>
      </c>
      <c r="I8843" s="135" t="n">
        <f aca="false">$G8843*'Analyse capacite'!$C$7</f>
        <v>0</v>
      </c>
      <c r="J8843" s="135" t="n">
        <f aca="false">$G8843*'Analyse capacite'!$D$7</f>
        <v>0</v>
      </c>
      <c r="K8843" s="135" t="n">
        <f aca="false">$G8843*'Analyse capacite'!$E$7</f>
        <v>0</v>
      </c>
    </row>
    <row r="8844" customFormat="false" ht="15" hidden="false" customHeight="false" outlineLevel="0" collapsed="false">
      <c r="B8844" s="130" t="n">
        <v>2027</v>
      </c>
      <c r="C8844" s="131" t="s">
        <v>254</v>
      </c>
      <c r="D8844" s="132" t="n">
        <v>46723</v>
      </c>
      <c r="E8844" s="131" t="s">
        <v>46</v>
      </c>
      <c r="F8844" s="133" t="s">
        <v>19</v>
      </c>
      <c r="G8844" s="134" t="n">
        <f aca="false">LEN('Saisie programme'!$G$344)+SUMIFS('Vols additionnels'!$E$7:$E$66,'Vols additionnels'!$C$7:$C$66,$E8844,'Vols additionnels'!$D$7:$D$66,$F8844,'Vols additionnels'!$B$7:$B$66,$D8844)</f>
        <v>0</v>
      </c>
      <c r="H8844" s="135" t="n">
        <f aca="false">$G8844*'Analyse capacite'!$F$8</f>
        <v>0</v>
      </c>
      <c r="I8844" s="135" t="n">
        <f aca="false">$G8844*'Analyse capacite'!$C$8</f>
        <v>0</v>
      </c>
      <c r="J8844" s="135" t="n">
        <f aca="false">$G8844*'Analyse capacite'!$D$8</f>
        <v>0</v>
      </c>
      <c r="K8844" s="135" t="n">
        <f aca="false">$G8844*'Analyse capacite'!$E$8</f>
        <v>0</v>
      </c>
    </row>
    <row r="8845" customFormat="false" ht="15" hidden="false" customHeight="false" outlineLevel="0" collapsed="false">
      <c r="B8845" s="130" t="n">
        <v>2027</v>
      </c>
      <c r="C8845" s="131" t="s">
        <v>254</v>
      </c>
      <c r="D8845" s="132" t="n">
        <v>46723</v>
      </c>
      <c r="E8845" s="131" t="s">
        <v>46</v>
      </c>
      <c r="F8845" s="133" t="s">
        <v>24</v>
      </c>
      <c r="G8845" s="134" t="n">
        <f aca="false">LEN('Saisie programme'!$G$345)+SUMIFS('Vols additionnels'!$E$7:$E$66,'Vols additionnels'!$C$7:$C$66,$E8845,'Vols additionnels'!$D$7:$D$66,$F8845,'Vols additionnels'!$B$7:$B$66,$D8845)</f>
        <v>1</v>
      </c>
      <c r="H8845" s="135" t="n">
        <f aca="false">$G8845*'Analyse capacite'!$F$9</f>
        <v>174</v>
      </c>
      <c r="I8845" s="135" t="n">
        <f aca="false">$G8845*'Analyse capacite'!$C$9</f>
        <v>0</v>
      </c>
      <c r="J8845" s="135" t="n">
        <f aca="false">$G8845*'Analyse capacite'!$D$9</f>
        <v>12</v>
      </c>
      <c r="K8845" s="135" t="n">
        <f aca="false">$G8845*'Analyse capacite'!$E$9</f>
        <v>162</v>
      </c>
    </row>
    <row r="8846" customFormat="false" ht="15" hidden="false" customHeight="false" outlineLevel="0" collapsed="false">
      <c r="B8846" s="130" t="n">
        <v>2027</v>
      </c>
      <c r="C8846" s="131" t="s">
        <v>254</v>
      </c>
      <c r="D8846" s="132" t="n">
        <v>46723</v>
      </c>
      <c r="E8846" s="131" t="s">
        <v>49</v>
      </c>
      <c r="F8846" s="133" t="s">
        <v>11</v>
      </c>
      <c r="G8846" s="134" t="n">
        <f aca="false">LEN('Saisie programme'!$G$346)+SUMIFS('Vols additionnels'!$E$7:$E$66,'Vols additionnels'!$C$7:$C$66,$E8846,'Vols additionnels'!$D$7:$D$66,$F8846,'Vols additionnels'!$B$7:$B$66,$D8846)</f>
        <v>0</v>
      </c>
      <c r="H8846" s="135" t="n">
        <f aca="false">$G8846*'Analyse capacite'!$F$7</f>
        <v>0</v>
      </c>
      <c r="I8846" s="135" t="n">
        <f aca="false">$G8846*'Analyse capacite'!$C$7</f>
        <v>0</v>
      </c>
      <c r="J8846" s="135" t="n">
        <f aca="false">$G8846*'Analyse capacite'!$D$7</f>
        <v>0</v>
      </c>
      <c r="K8846" s="135" t="n">
        <f aca="false">$G8846*'Analyse capacite'!$E$7</f>
        <v>0</v>
      </c>
    </row>
    <row r="8847" customFormat="false" ht="15" hidden="false" customHeight="false" outlineLevel="0" collapsed="false">
      <c r="B8847" s="130" t="n">
        <v>2027</v>
      </c>
      <c r="C8847" s="131" t="s">
        <v>254</v>
      </c>
      <c r="D8847" s="132" t="n">
        <v>46723</v>
      </c>
      <c r="E8847" s="131" t="s">
        <v>49</v>
      </c>
      <c r="F8847" s="133" t="s">
        <v>19</v>
      </c>
      <c r="G8847" s="134" t="n">
        <f aca="false">LEN('Saisie programme'!$G$347)+SUMIFS('Vols additionnels'!$E$7:$E$66,'Vols additionnels'!$C$7:$C$66,$E8847,'Vols additionnels'!$D$7:$D$66,$F8847,'Vols additionnels'!$B$7:$B$66,$D8847)</f>
        <v>0</v>
      </c>
      <c r="H8847" s="135" t="n">
        <f aca="false">$G8847*'Analyse capacite'!$F$8</f>
        <v>0</v>
      </c>
      <c r="I8847" s="135" t="n">
        <f aca="false">$G8847*'Analyse capacite'!$C$8</f>
        <v>0</v>
      </c>
      <c r="J8847" s="135" t="n">
        <f aca="false">$G8847*'Analyse capacite'!$D$8</f>
        <v>0</v>
      </c>
      <c r="K8847" s="135" t="n">
        <f aca="false">$G8847*'Analyse capacite'!$E$8</f>
        <v>0</v>
      </c>
    </row>
    <row r="8848" customFormat="false" ht="15" hidden="false" customHeight="false" outlineLevel="0" collapsed="false">
      <c r="B8848" s="130" t="n">
        <v>2027</v>
      </c>
      <c r="C8848" s="131" t="s">
        <v>254</v>
      </c>
      <c r="D8848" s="132" t="n">
        <v>46723</v>
      </c>
      <c r="E8848" s="131" t="s">
        <v>49</v>
      </c>
      <c r="F8848" s="133" t="s">
        <v>24</v>
      </c>
      <c r="G8848" s="134" t="n">
        <f aca="false">LEN('Saisie programme'!$G$348)+SUMIFS('Vols additionnels'!$E$7:$E$66,'Vols additionnels'!$C$7:$C$66,$E8848,'Vols additionnels'!$D$7:$D$66,$F8848,'Vols additionnels'!$B$7:$B$66,$D8848)</f>
        <v>0</v>
      </c>
      <c r="H8848" s="135" t="n">
        <f aca="false">$G8848*'Analyse capacite'!$F$9</f>
        <v>0</v>
      </c>
      <c r="I8848" s="135" t="n">
        <f aca="false">$G8848*'Analyse capacite'!$C$9</f>
        <v>0</v>
      </c>
      <c r="J8848" s="135" t="n">
        <f aca="false">$G8848*'Analyse capacite'!$D$9</f>
        <v>0</v>
      </c>
      <c r="K8848" s="135" t="n">
        <f aca="false">$G8848*'Analyse capacite'!$E$9</f>
        <v>0</v>
      </c>
    </row>
    <row r="8849" customFormat="false" ht="15" hidden="false" customHeight="false" outlineLevel="0" collapsed="false">
      <c r="B8849" s="130" t="n">
        <v>2027</v>
      </c>
      <c r="C8849" s="131" t="s">
        <v>254</v>
      </c>
      <c r="D8849" s="132" t="n">
        <v>46723</v>
      </c>
      <c r="E8849" s="131" t="s">
        <v>53</v>
      </c>
      <c r="F8849" s="133" t="s">
        <v>11</v>
      </c>
      <c r="G8849" s="134" t="n">
        <f aca="false">LEN('Saisie programme'!$G$349)+SUMIFS('Vols additionnels'!$E$7:$E$66,'Vols additionnels'!$C$7:$C$66,$E8849,'Vols additionnels'!$D$7:$D$66,$F8849,'Vols additionnels'!$B$7:$B$66,$D8849)</f>
        <v>0</v>
      </c>
      <c r="H8849" s="135" t="n">
        <f aca="false">$G8849*'Analyse capacite'!$F$7</f>
        <v>0</v>
      </c>
      <c r="I8849" s="135" t="n">
        <f aca="false">$G8849*'Analyse capacite'!$C$7</f>
        <v>0</v>
      </c>
      <c r="J8849" s="135" t="n">
        <f aca="false">$G8849*'Analyse capacite'!$D$7</f>
        <v>0</v>
      </c>
      <c r="K8849" s="135" t="n">
        <f aca="false">$G8849*'Analyse capacite'!$E$7</f>
        <v>0</v>
      </c>
    </row>
    <row r="8850" customFormat="false" ht="15" hidden="false" customHeight="false" outlineLevel="0" collapsed="false">
      <c r="B8850" s="130" t="n">
        <v>2027</v>
      </c>
      <c r="C8850" s="131" t="s">
        <v>254</v>
      </c>
      <c r="D8850" s="132" t="n">
        <v>46723</v>
      </c>
      <c r="E8850" s="131" t="s">
        <v>53</v>
      </c>
      <c r="F8850" s="133" t="s">
        <v>19</v>
      </c>
      <c r="G8850" s="134" t="n">
        <f aca="false">LEN('Saisie programme'!$G$350)+SUMIFS('Vols additionnels'!$E$7:$E$66,'Vols additionnels'!$C$7:$C$66,$E8850,'Vols additionnels'!$D$7:$D$66,$F8850,'Vols additionnels'!$B$7:$B$66,$D8850)</f>
        <v>1</v>
      </c>
      <c r="H8850" s="135" t="n">
        <f aca="false">$G8850*'Analyse capacite'!$F$8</f>
        <v>262</v>
      </c>
      <c r="I8850" s="135" t="n">
        <f aca="false">$G8850*'Analyse capacite'!$C$8</f>
        <v>18</v>
      </c>
      <c r="J8850" s="135" t="n">
        <f aca="false">$G8850*'Analyse capacite'!$D$8</f>
        <v>0</v>
      </c>
      <c r="K8850" s="135" t="n">
        <f aca="false">$G8850*'Analyse capacite'!$E$8</f>
        <v>244</v>
      </c>
    </row>
    <row r="8851" customFormat="false" ht="15" hidden="false" customHeight="false" outlineLevel="0" collapsed="false">
      <c r="B8851" s="130" t="n">
        <v>2027</v>
      </c>
      <c r="C8851" s="131" t="s">
        <v>254</v>
      </c>
      <c r="D8851" s="132" t="n">
        <v>46723</v>
      </c>
      <c r="E8851" s="131" t="s">
        <v>53</v>
      </c>
      <c r="F8851" s="133" t="s">
        <v>24</v>
      </c>
      <c r="G8851" s="134" t="n">
        <f aca="false">LEN('Saisie programme'!$G$351)+SUMIFS('Vols additionnels'!$E$7:$E$66,'Vols additionnels'!$C$7:$C$66,$E8851,'Vols additionnels'!$D$7:$D$66,$F8851,'Vols additionnels'!$B$7:$B$66,$D8851)</f>
        <v>0</v>
      </c>
      <c r="H8851" s="135" t="n">
        <f aca="false">$G8851*'Analyse capacite'!$F$9</f>
        <v>0</v>
      </c>
      <c r="I8851" s="135" t="n">
        <f aca="false">$G8851*'Analyse capacite'!$C$9</f>
        <v>0</v>
      </c>
      <c r="J8851" s="135" t="n">
        <f aca="false">$G8851*'Analyse capacite'!$D$9</f>
        <v>0</v>
      </c>
      <c r="K8851" s="135" t="n">
        <f aca="false">$G8851*'Analyse capacite'!$E$9</f>
        <v>0</v>
      </c>
    </row>
    <row r="8852" customFormat="false" ht="15" hidden="false" customHeight="false" outlineLevel="0" collapsed="false">
      <c r="B8852" s="130" t="n">
        <v>2027</v>
      </c>
      <c r="C8852" s="131" t="s">
        <v>254</v>
      </c>
      <c r="D8852" s="132" t="n">
        <v>46723</v>
      </c>
      <c r="E8852" s="131" t="s">
        <v>56</v>
      </c>
      <c r="F8852" s="133" t="s">
        <v>11</v>
      </c>
      <c r="G8852" s="134" t="n">
        <f aca="false">LEN('Saisie programme'!$G$352)+SUMIFS('Vols additionnels'!$E$7:$E$66,'Vols additionnels'!$C$7:$C$66,$E8852,'Vols additionnels'!$D$7:$D$66,$F8852,'Vols additionnels'!$B$7:$B$66,$D8852)</f>
        <v>0</v>
      </c>
      <c r="H8852" s="135" t="n">
        <f aca="false">$G8852*'Analyse capacite'!$F$7</f>
        <v>0</v>
      </c>
      <c r="I8852" s="135" t="n">
        <f aca="false">$G8852*'Analyse capacite'!$C$7</f>
        <v>0</v>
      </c>
      <c r="J8852" s="135" t="n">
        <f aca="false">$G8852*'Analyse capacite'!$D$7</f>
        <v>0</v>
      </c>
      <c r="K8852" s="135" t="n">
        <f aca="false">$G8852*'Analyse capacite'!$E$7</f>
        <v>0</v>
      </c>
    </row>
    <row r="8853" customFormat="false" ht="15" hidden="false" customHeight="false" outlineLevel="0" collapsed="false">
      <c r="B8853" s="130" t="n">
        <v>2027</v>
      </c>
      <c r="C8853" s="131" t="s">
        <v>254</v>
      </c>
      <c r="D8853" s="132" t="n">
        <v>46723</v>
      </c>
      <c r="E8853" s="131" t="s">
        <v>56</v>
      </c>
      <c r="F8853" s="133" t="s">
        <v>19</v>
      </c>
      <c r="G8853" s="134" t="n">
        <f aca="false">LEN('Saisie programme'!$G$353)+SUMIFS('Vols additionnels'!$E$7:$E$66,'Vols additionnels'!$C$7:$C$66,$E8853,'Vols additionnels'!$D$7:$D$66,$F8853,'Vols additionnels'!$B$7:$B$66,$D8853)</f>
        <v>0</v>
      </c>
      <c r="H8853" s="135" t="n">
        <f aca="false">$G8853*'Analyse capacite'!$F$8</f>
        <v>0</v>
      </c>
      <c r="I8853" s="135" t="n">
        <f aca="false">$G8853*'Analyse capacite'!$C$8</f>
        <v>0</v>
      </c>
      <c r="J8853" s="135" t="n">
        <f aca="false">$G8853*'Analyse capacite'!$D$8</f>
        <v>0</v>
      </c>
      <c r="K8853" s="135" t="n">
        <f aca="false">$G8853*'Analyse capacite'!$E$8</f>
        <v>0</v>
      </c>
    </row>
    <row r="8854" customFormat="false" ht="15" hidden="false" customHeight="false" outlineLevel="0" collapsed="false">
      <c r="B8854" s="130" t="n">
        <v>2027</v>
      </c>
      <c r="C8854" s="131" t="s">
        <v>254</v>
      </c>
      <c r="D8854" s="132" t="n">
        <v>46723</v>
      </c>
      <c r="E8854" s="131" t="s">
        <v>56</v>
      </c>
      <c r="F8854" s="133" t="s">
        <v>24</v>
      </c>
      <c r="G8854" s="134" t="n">
        <f aca="false">LEN('Saisie programme'!$G$354)+SUMIFS('Vols additionnels'!$E$7:$E$66,'Vols additionnels'!$C$7:$C$66,$E8854,'Vols additionnels'!$D$7:$D$66,$F8854,'Vols additionnels'!$B$7:$B$66,$D8854)</f>
        <v>0</v>
      </c>
      <c r="H8854" s="135" t="n">
        <f aca="false">$G8854*'Analyse capacite'!$F$9</f>
        <v>0</v>
      </c>
      <c r="I8854" s="135" t="n">
        <f aca="false">$G8854*'Analyse capacite'!$C$9</f>
        <v>0</v>
      </c>
      <c r="J8854" s="135" t="n">
        <f aca="false">$G8854*'Analyse capacite'!$D$9</f>
        <v>0</v>
      </c>
      <c r="K8854" s="135" t="n">
        <f aca="false">$G8854*'Analyse capacite'!$E$9</f>
        <v>0</v>
      </c>
    </row>
    <row r="8855" customFormat="false" ht="15" hidden="false" customHeight="false" outlineLevel="0" collapsed="false">
      <c r="B8855" s="130" t="n">
        <v>2027</v>
      </c>
      <c r="C8855" s="131" t="s">
        <v>254</v>
      </c>
      <c r="D8855" s="132" t="n">
        <v>46723</v>
      </c>
      <c r="E8855" s="131" t="s">
        <v>59</v>
      </c>
      <c r="F8855" s="133" t="s">
        <v>11</v>
      </c>
      <c r="G8855" s="134" t="n">
        <f aca="false">LEN('Saisie programme'!$G$355)+SUMIFS('Vols additionnels'!$E$7:$E$66,'Vols additionnels'!$C$7:$C$66,$E8855,'Vols additionnels'!$D$7:$D$66,$F8855,'Vols additionnels'!$B$7:$B$66,$D8855)</f>
        <v>0</v>
      </c>
      <c r="H8855" s="135" t="n">
        <f aca="false">$G8855*'Analyse capacite'!$F$7</f>
        <v>0</v>
      </c>
      <c r="I8855" s="135" t="n">
        <f aca="false">$G8855*'Analyse capacite'!$C$7</f>
        <v>0</v>
      </c>
      <c r="J8855" s="135" t="n">
        <f aca="false">$G8855*'Analyse capacite'!$D$7</f>
        <v>0</v>
      </c>
      <c r="K8855" s="135" t="n">
        <f aca="false">$G8855*'Analyse capacite'!$E$7</f>
        <v>0</v>
      </c>
    </row>
    <row r="8856" customFormat="false" ht="15" hidden="false" customHeight="false" outlineLevel="0" collapsed="false">
      <c r="B8856" s="130" t="n">
        <v>2027</v>
      </c>
      <c r="C8856" s="131" t="s">
        <v>254</v>
      </c>
      <c r="D8856" s="132" t="n">
        <v>46723</v>
      </c>
      <c r="E8856" s="131" t="s">
        <v>59</v>
      </c>
      <c r="F8856" s="133" t="s">
        <v>19</v>
      </c>
      <c r="G8856" s="134" t="n">
        <f aca="false">LEN('Saisie programme'!$G$356)+SUMIFS('Vols additionnels'!$E$7:$E$66,'Vols additionnels'!$C$7:$C$66,$E8856,'Vols additionnels'!$D$7:$D$66,$F8856,'Vols additionnels'!$B$7:$B$66,$D8856)</f>
        <v>0</v>
      </c>
      <c r="H8856" s="135" t="n">
        <f aca="false">$G8856*'Analyse capacite'!$F$8</f>
        <v>0</v>
      </c>
      <c r="I8856" s="135" t="n">
        <f aca="false">$G8856*'Analyse capacite'!$C$8</f>
        <v>0</v>
      </c>
      <c r="J8856" s="135" t="n">
        <f aca="false">$G8856*'Analyse capacite'!$D$8</f>
        <v>0</v>
      </c>
      <c r="K8856" s="135" t="n">
        <f aca="false">$G8856*'Analyse capacite'!$E$8</f>
        <v>0</v>
      </c>
    </row>
    <row r="8857" customFormat="false" ht="15" hidden="false" customHeight="false" outlineLevel="0" collapsed="false">
      <c r="B8857" s="130" t="n">
        <v>2027</v>
      </c>
      <c r="C8857" s="131" t="s">
        <v>254</v>
      </c>
      <c r="D8857" s="132" t="n">
        <v>46723</v>
      </c>
      <c r="E8857" s="131" t="s">
        <v>59</v>
      </c>
      <c r="F8857" s="133" t="s">
        <v>24</v>
      </c>
      <c r="G8857" s="134" t="n">
        <f aca="false">LEN('Saisie programme'!$G$357)+SUMIFS('Vols additionnels'!$E$7:$E$66,'Vols additionnels'!$C$7:$C$66,$E8857,'Vols additionnels'!$D$7:$D$66,$F8857,'Vols additionnels'!$B$7:$B$66,$D8857)</f>
        <v>2</v>
      </c>
      <c r="H8857" s="135" t="n">
        <f aca="false">$G8857*'Analyse capacite'!$F$9</f>
        <v>348</v>
      </c>
      <c r="I8857" s="135" t="n">
        <f aca="false">$G8857*'Analyse capacite'!$C$9</f>
        <v>0</v>
      </c>
      <c r="J8857" s="135" t="n">
        <f aca="false">$G8857*'Analyse capacite'!$D$9</f>
        <v>24</v>
      </c>
      <c r="K8857" s="135" t="n">
        <f aca="false">$G8857*'Analyse capacite'!$E$9</f>
        <v>324</v>
      </c>
    </row>
    <row r="8858" customFormat="false" ht="15" hidden="false" customHeight="false" outlineLevel="0" collapsed="false">
      <c r="B8858" s="130" t="n">
        <v>2027</v>
      </c>
      <c r="C8858" s="131" t="s">
        <v>254</v>
      </c>
      <c r="D8858" s="132" t="n">
        <v>46723</v>
      </c>
      <c r="E8858" s="131" t="s">
        <v>62</v>
      </c>
      <c r="F8858" s="133" t="s">
        <v>11</v>
      </c>
      <c r="G8858" s="134" t="n">
        <f aca="false">LEN('Saisie programme'!$G$358)+SUMIFS('Vols additionnels'!$E$7:$E$66,'Vols additionnels'!$C$7:$C$66,$E8858,'Vols additionnels'!$D$7:$D$66,$F8858,'Vols additionnels'!$B$7:$B$66,$D8858)</f>
        <v>0</v>
      </c>
      <c r="H8858" s="135" t="n">
        <f aca="false">$G8858*'Analyse capacite'!$F$7</f>
        <v>0</v>
      </c>
      <c r="I8858" s="135" t="n">
        <f aca="false">$G8858*'Analyse capacite'!$C$7</f>
        <v>0</v>
      </c>
      <c r="J8858" s="135" t="n">
        <f aca="false">$G8858*'Analyse capacite'!$D$7</f>
        <v>0</v>
      </c>
      <c r="K8858" s="135" t="n">
        <f aca="false">$G8858*'Analyse capacite'!$E$7</f>
        <v>0</v>
      </c>
    </row>
    <row r="8859" customFormat="false" ht="15" hidden="false" customHeight="false" outlineLevel="0" collapsed="false">
      <c r="B8859" s="130" t="n">
        <v>2027</v>
      </c>
      <c r="C8859" s="131" t="s">
        <v>254</v>
      </c>
      <c r="D8859" s="132" t="n">
        <v>46723</v>
      </c>
      <c r="E8859" s="131" t="s">
        <v>62</v>
      </c>
      <c r="F8859" s="133" t="s">
        <v>19</v>
      </c>
      <c r="G8859" s="134" t="n">
        <f aca="false">LEN('Saisie programme'!$G$359)+SUMIFS('Vols additionnels'!$E$7:$E$66,'Vols additionnels'!$C$7:$C$66,$E8859,'Vols additionnels'!$D$7:$D$66,$F8859,'Vols additionnels'!$B$7:$B$66,$D8859)</f>
        <v>0</v>
      </c>
      <c r="H8859" s="135" t="n">
        <f aca="false">$G8859*'Analyse capacite'!$F$8</f>
        <v>0</v>
      </c>
      <c r="I8859" s="135" t="n">
        <f aca="false">$G8859*'Analyse capacite'!$C$8</f>
        <v>0</v>
      </c>
      <c r="J8859" s="135" t="n">
        <f aca="false">$G8859*'Analyse capacite'!$D$8</f>
        <v>0</v>
      </c>
      <c r="K8859" s="135" t="n">
        <f aca="false">$G8859*'Analyse capacite'!$E$8</f>
        <v>0</v>
      </c>
    </row>
    <row r="8860" customFormat="false" ht="15" hidden="false" customHeight="false" outlineLevel="0" collapsed="false">
      <c r="B8860" s="130" t="n">
        <v>2027</v>
      </c>
      <c r="C8860" s="131" t="s">
        <v>254</v>
      </c>
      <c r="D8860" s="132" t="n">
        <v>46723</v>
      </c>
      <c r="E8860" s="131" t="s">
        <v>62</v>
      </c>
      <c r="F8860" s="133" t="s">
        <v>24</v>
      </c>
      <c r="G8860" s="134" t="n">
        <f aca="false">LEN('Saisie programme'!$G$360)+SUMIFS('Vols additionnels'!$E$7:$E$66,'Vols additionnels'!$C$7:$C$66,$E8860,'Vols additionnels'!$D$7:$D$66,$F8860,'Vols additionnels'!$B$7:$B$66,$D8860)</f>
        <v>0</v>
      </c>
      <c r="H8860" s="135" t="n">
        <f aca="false">$G8860*'Analyse capacite'!$F$9</f>
        <v>0</v>
      </c>
      <c r="I8860" s="135" t="n">
        <f aca="false">$G8860*'Analyse capacite'!$C$9</f>
        <v>0</v>
      </c>
      <c r="J8860" s="135" t="n">
        <f aca="false">$G8860*'Analyse capacite'!$D$9</f>
        <v>0</v>
      </c>
      <c r="K8860" s="135" t="n">
        <f aca="false">$G8860*'Analyse capacite'!$E$9</f>
        <v>0</v>
      </c>
    </row>
    <row r="8861" customFormat="false" ht="15" hidden="false" customHeight="false" outlineLevel="0" collapsed="false">
      <c r="B8861" s="130" t="n">
        <v>2027</v>
      </c>
      <c r="C8861" s="131" t="s">
        <v>254</v>
      </c>
      <c r="D8861" s="132" t="n">
        <v>46724</v>
      </c>
      <c r="E8861" s="131" t="s">
        <v>12</v>
      </c>
      <c r="F8861" s="133" t="s">
        <v>11</v>
      </c>
      <c r="G8861" s="134" t="n">
        <f aca="false">LEN('Saisie programme'!$H$325)+SUMIFS('Vols additionnels'!$E$7:$E$66,'Vols additionnels'!$C$7:$C$66,$E8861,'Vols additionnels'!$D$7:$D$66,$F8861,'Vols additionnels'!$B$7:$B$66,$D8861)</f>
        <v>1</v>
      </c>
      <c r="H8861" s="135" t="n">
        <f aca="false">$G8861*'Analyse capacite'!$F$7</f>
        <v>438</v>
      </c>
      <c r="I8861" s="135" t="n">
        <f aca="false">$G8861*'Analyse capacite'!$C$7</f>
        <v>14</v>
      </c>
      <c r="J8861" s="135" t="n">
        <f aca="false">$G8861*'Analyse capacite'!$D$7</f>
        <v>40</v>
      </c>
      <c r="K8861" s="135" t="n">
        <f aca="false">$G8861*'Analyse capacite'!$E$7</f>
        <v>384</v>
      </c>
    </row>
    <row r="8862" customFormat="false" ht="15" hidden="false" customHeight="false" outlineLevel="0" collapsed="false">
      <c r="B8862" s="130" t="n">
        <v>2027</v>
      </c>
      <c r="C8862" s="131" t="s">
        <v>254</v>
      </c>
      <c r="D8862" s="132" t="n">
        <v>46724</v>
      </c>
      <c r="E8862" s="131" t="s">
        <v>12</v>
      </c>
      <c r="F8862" s="133" t="s">
        <v>19</v>
      </c>
      <c r="G8862" s="134" t="n">
        <f aca="false">LEN('Saisie programme'!$H$326)+SUMIFS('Vols additionnels'!$E$7:$E$66,'Vols additionnels'!$C$7:$C$66,$E8862,'Vols additionnels'!$D$7:$D$66,$F8862,'Vols additionnels'!$B$7:$B$66,$D8862)</f>
        <v>1</v>
      </c>
      <c r="H8862" s="135" t="n">
        <f aca="false">$G8862*'Analyse capacite'!$F$8</f>
        <v>262</v>
      </c>
      <c r="I8862" s="135" t="n">
        <f aca="false">$G8862*'Analyse capacite'!$C$8</f>
        <v>18</v>
      </c>
      <c r="J8862" s="135" t="n">
        <f aca="false">$G8862*'Analyse capacite'!$D$8</f>
        <v>0</v>
      </c>
      <c r="K8862" s="135" t="n">
        <f aca="false">$G8862*'Analyse capacite'!$E$8</f>
        <v>244</v>
      </c>
    </row>
    <row r="8863" customFormat="false" ht="15" hidden="false" customHeight="false" outlineLevel="0" collapsed="false">
      <c r="B8863" s="130" t="n">
        <v>2027</v>
      </c>
      <c r="C8863" s="131" t="s">
        <v>254</v>
      </c>
      <c r="D8863" s="132" t="n">
        <v>46724</v>
      </c>
      <c r="E8863" s="131" t="s">
        <v>12</v>
      </c>
      <c r="F8863" s="133" t="s">
        <v>24</v>
      </c>
      <c r="G8863" s="134" t="n">
        <f aca="false">LEN('Saisie programme'!$H$327)+SUMIFS('Vols additionnels'!$E$7:$E$66,'Vols additionnels'!$C$7:$C$66,$E8863,'Vols additionnels'!$D$7:$D$66,$F8863,'Vols additionnels'!$B$7:$B$66,$D8863)</f>
        <v>0</v>
      </c>
      <c r="H8863" s="135" t="n">
        <f aca="false">$G8863*'Analyse capacite'!$F$9</f>
        <v>0</v>
      </c>
      <c r="I8863" s="135" t="n">
        <f aca="false">$G8863*'Analyse capacite'!$C$9</f>
        <v>0</v>
      </c>
      <c r="J8863" s="135" t="n">
        <f aca="false">$G8863*'Analyse capacite'!$D$9</f>
        <v>0</v>
      </c>
      <c r="K8863" s="135" t="n">
        <f aca="false">$G8863*'Analyse capacite'!$E$9</f>
        <v>0</v>
      </c>
    </row>
    <row r="8864" customFormat="false" ht="15" hidden="false" customHeight="false" outlineLevel="0" collapsed="false">
      <c r="B8864" s="130" t="n">
        <v>2027</v>
      </c>
      <c r="C8864" s="131" t="s">
        <v>254</v>
      </c>
      <c r="D8864" s="132" t="n">
        <v>46724</v>
      </c>
      <c r="E8864" s="131" t="s">
        <v>20</v>
      </c>
      <c r="F8864" s="133" t="s">
        <v>11</v>
      </c>
      <c r="G8864" s="134" t="n">
        <f aca="false">LEN('Saisie programme'!$H$328)+SUMIFS('Vols additionnels'!$E$7:$E$66,'Vols additionnels'!$C$7:$C$66,$E8864,'Vols additionnels'!$D$7:$D$66,$F8864,'Vols additionnels'!$B$7:$B$66,$D8864)</f>
        <v>0</v>
      </c>
      <c r="H8864" s="135" t="n">
        <f aca="false">$G8864*'Analyse capacite'!$F$7</f>
        <v>0</v>
      </c>
      <c r="I8864" s="135" t="n">
        <f aca="false">$G8864*'Analyse capacite'!$C$7</f>
        <v>0</v>
      </c>
      <c r="J8864" s="135" t="n">
        <f aca="false">$G8864*'Analyse capacite'!$D$7</f>
        <v>0</v>
      </c>
      <c r="K8864" s="135" t="n">
        <f aca="false">$G8864*'Analyse capacite'!$E$7</f>
        <v>0</v>
      </c>
    </row>
    <row r="8865" customFormat="false" ht="15" hidden="false" customHeight="false" outlineLevel="0" collapsed="false">
      <c r="B8865" s="130" t="n">
        <v>2027</v>
      </c>
      <c r="C8865" s="131" t="s">
        <v>254</v>
      </c>
      <c r="D8865" s="132" t="n">
        <v>46724</v>
      </c>
      <c r="E8865" s="131" t="s">
        <v>20</v>
      </c>
      <c r="F8865" s="133" t="s">
        <v>19</v>
      </c>
      <c r="G8865" s="134" t="n">
        <f aca="false">LEN('Saisie programme'!$H$329)+SUMIFS('Vols additionnels'!$E$7:$E$66,'Vols additionnels'!$C$7:$C$66,$E8865,'Vols additionnels'!$D$7:$D$66,$F8865,'Vols additionnels'!$B$7:$B$66,$D8865)</f>
        <v>1</v>
      </c>
      <c r="H8865" s="135" t="n">
        <f aca="false">$G8865*'Analyse capacite'!$F$8</f>
        <v>262</v>
      </c>
      <c r="I8865" s="135" t="n">
        <f aca="false">$G8865*'Analyse capacite'!$C$8</f>
        <v>18</v>
      </c>
      <c r="J8865" s="135" t="n">
        <f aca="false">$G8865*'Analyse capacite'!$D$8</f>
        <v>0</v>
      </c>
      <c r="K8865" s="135" t="n">
        <f aca="false">$G8865*'Analyse capacite'!$E$8</f>
        <v>244</v>
      </c>
    </row>
    <row r="8866" customFormat="false" ht="15" hidden="false" customHeight="false" outlineLevel="0" collapsed="false">
      <c r="B8866" s="130" t="n">
        <v>2027</v>
      </c>
      <c r="C8866" s="131" t="s">
        <v>254</v>
      </c>
      <c r="D8866" s="132" t="n">
        <v>46724</v>
      </c>
      <c r="E8866" s="131" t="s">
        <v>20</v>
      </c>
      <c r="F8866" s="133" t="s">
        <v>24</v>
      </c>
      <c r="G8866" s="134" t="n">
        <f aca="false">LEN('Saisie programme'!$H$330)+SUMIFS('Vols additionnels'!$E$7:$E$66,'Vols additionnels'!$C$7:$C$66,$E8866,'Vols additionnels'!$D$7:$D$66,$F8866,'Vols additionnels'!$B$7:$B$66,$D8866)</f>
        <v>0</v>
      </c>
      <c r="H8866" s="135" t="n">
        <f aca="false">$G8866*'Analyse capacite'!$F$9</f>
        <v>0</v>
      </c>
      <c r="I8866" s="135" t="n">
        <f aca="false">$G8866*'Analyse capacite'!$C$9</f>
        <v>0</v>
      </c>
      <c r="J8866" s="135" t="n">
        <f aca="false">$G8866*'Analyse capacite'!$D$9</f>
        <v>0</v>
      </c>
      <c r="K8866" s="135" t="n">
        <f aca="false">$G8866*'Analyse capacite'!$E$9</f>
        <v>0</v>
      </c>
    </row>
    <row r="8867" customFormat="false" ht="15" hidden="false" customHeight="false" outlineLevel="0" collapsed="false">
      <c r="B8867" s="130" t="n">
        <v>2027</v>
      </c>
      <c r="C8867" s="131" t="s">
        <v>254</v>
      </c>
      <c r="D8867" s="132" t="n">
        <v>46724</v>
      </c>
      <c r="E8867" s="131" t="s">
        <v>25</v>
      </c>
      <c r="F8867" s="133" t="s">
        <v>11</v>
      </c>
      <c r="G8867" s="134" t="n">
        <f aca="false">LEN('Saisie programme'!$H$331)+SUMIFS('Vols additionnels'!$E$7:$E$66,'Vols additionnels'!$C$7:$C$66,$E8867,'Vols additionnels'!$D$7:$D$66,$F8867,'Vols additionnels'!$B$7:$B$66,$D8867)</f>
        <v>0</v>
      </c>
      <c r="H8867" s="135" t="n">
        <f aca="false">$G8867*'Analyse capacite'!$F$7</f>
        <v>0</v>
      </c>
      <c r="I8867" s="135" t="n">
        <f aca="false">$G8867*'Analyse capacite'!$C$7</f>
        <v>0</v>
      </c>
      <c r="J8867" s="135" t="n">
        <f aca="false">$G8867*'Analyse capacite'!$D$7</f>
        <v>0</v>
      </c>
      <c r="K8867" s="135" t="n">
        <f aca="false">$G8867*'Analyse capacite'!$E$7</f>
        <v>0</v>
      </c>
    </row>
    <row r="8868" customFormat="false" ht="15" hidden="false" customHeight="false" outlineLevel="0" collapsed="false">
      <c r="B8868" s="130" t="n">
        <v>2027</v>
      </c>
      <c r="C8868" s="131" t="s">
        <v>254</v>
      </c>
      <c r="D8868" s="132" t="n">
        <v>46724</v>
      </c>
      <c r="E8868" s="131" t="s">
        <v>25</v>
      </c>
      <c r="F8868" s="133" t="s">
        <v>19</v>
      </c>
      <c r="G8868" s="134" t="n">
        <f aca="false">LEN('Saisie programme'!$H$332)+SUMIFS('Vols additionnels'!$E$7:$E$66,'Vols additionnels'!$C$7:$C$66,$E8868,'Vols additionnels'!$D$7:$D$66,$F8868,'Vols additionnels'!$B$7:$B$66,$D8868)</f>
        <v>0</v>
      </c>
      <c r="H8868" s="135" t="n">
        <f aca="false">$G8868*'Analyse capacite'!$F$8</f>
        <v>0</v>
      </c>
      <c r="I8868" s="135" t="n">
        <f aca="false">$G8868*'Analyse capacite'!$C$8</f>
        <v>0</v>
      </c>
      <c r="J8868" s="135" t="n">
        <f aca="false">$G8868*'Analyse capacite'!$D$8</f>
        <v>0</v>
      </c>
      <c r="K8868" s="135" t="n">
        <f aca="false">$G8868*'Analyse capacite'!$E$8</f>
        <v>0</v>
      </c>
    </row>
    <row r="8869" customFormat="false" ht="15" hidden="false" customHeight="false" outlineLevel="0" collapsed="false">
      <c r="B8869" s="130" t="n">
        <v>2027</v>
      </c>
      <c r="C8869" s="131" t="s">
        <v>254</v>
      </c>
      <c r="D8869" s="132" t="n">
        <v>46724</v>
      </c>
      <c r="E8869" s="131" t="s">
        <v>25</v>
      </c>
      <c r="F8869" s="133" t="s">
        <v>24</v>
      </c>
      <c r="G8869" s="134" t="n">
        <f aca="false">LEN('Saisie programme'!$H$333)+SUMIFS('Vols additionnels'!$E$7:$E$66,'Vols additionnels'!$C$7:$C$66,$E8869,'Vols additionnels'!$D$7:$D$66,$F8869,'Vols additionnels'!$B$7:$B$66,$D8869)</f>
        <v>0</v>
      </c>
      <c r="H8869" s="135" t="n">
        <f aca="false">$G8869*'Analyse capacite'!$F$9</f>
        <v>0</v>
      </c>
      <c r="I8869" s="135" t="n">
        <f aca="false">$G8869*'Analyse capacite'!$C$9</f>
        <v>0</v>
      </c>
      <c r="J8869" s="135" t="n">
        <f aca="false">$G8869*'Analyse capacite'!$D$9</f>
        <v>0</v>
      </c>
      <c r="K8869" s="135" t="n">
        <f aca="false">$G8869*'Analyse capacite'!$E$9</f>
        <v>0</v>
      </c>
    </row>
    <row r="8870" customFormat="false" ht="15" hidden="false" customHeight="false" outlineLevel="0" collapsed="false">
      <c r="B8870" s="130" t="n">
        <v>2027</v>
      </c>
      <c r="C8870" s="131" t="s">
        <v>254</v>
      </c>
      <c r="D8870" s="132" t="n">
        <v>46724</v>
      </c>
      <c r="E8870" s="131" t="s">
        <v>36</v>
      </c>
      <c r="F8870" s="133" t="s">
        <v>11</v>
      </c>
      <c r="G8870" s="134" t="n">
        <f aca="false">LEN('Saisie programme'!$H$334)+SUMIFS('Vols additionnels'!$E$7:$E$66,'Vols additionnels'!$C$7:$C$66,$E8870,'Vols additionnels'!$D$7:$D$66,$F8870,'Vols additionnels'!$B$7:$B$66,$D8870)</f>
        <v>0</v>
      </c>
      <c r="H8870" s="135" t="n">
        <f aca="false">$G8870*'Analyse capacite'!$F$7</f>
        <v>0</v>
      </c>
      <c r="I8870" s="135" t="n">
        <f aca="false">$G8870*'Analyse capacite'!$C$7</f>
        <v>0</v>
      </c>
      <c r="J8870" s="135" t="n">
        <f aca="false">$G8870*'Analyse capacite'!$D$7</f>
        <v>0</v>
      </c>
      <c r="K8870" s="135" t="n">
        <f aca="false">$G8870*'Analyse capacite'!$E$7</f>
        <v>0</v>
      </c>
    </row>
    <row r="8871" customFormat="false" ht="15" hidden="false" customHeight="false" outlineLevel="0" collapsed="false">
      <c r="B8871" s="130" t="n">
        <v>2027</v>
      </c>
      <c r="C8871" s="131" t="s">
        <v>254</v>
      </c>
      <c r="D8871" s="132" t="n">
        <v>46724</v>
      </c>
      <c r="E8871" s="131" t="s">
        <v>36</v>
      </c>
      <c r="F8871" s="133" t="s">
        <v>19</v>
      </c>
      <c r="G8871" s="134" t="n">
        <f aca="false">LEN('Saisie programme'!$H$335)+SUMIFS('Vols additionnels'!$E$7:$E$66,'Vols additionnels'!$C$7:$C$66,$E8871,'Vols additionnels'!$D$7:$D$66,$F8871,'Vols additionnels'!$B$7:$B$66,$D8871)</f>
        <v>0</v>
      </c>
      <c r="H8871" s="135" t="n">
        <f aca="false">$G8871*'Analyse capacite'!$F$8</f>
        <v>0</v>
      </c>
      <c r="I8871" s="135" t="n">
        <f aca="false">$G8871*'Analyse capacite'!$C$8</f>
        <v>0</v>
      </c>
      <c r="J8871" s="135" t="n">
        <f aca="false">$G8871*'Analyse capacite'!$D$8</f>
        <v>0</v>
      </c>
      <c r="K8871" s="135" t="n">
        <f aca="false">$G8871*'Analyse capacite'!$E$8</f>
        <v>0</v>
      </c>
    </row>
    <row r="8872" customFormat="false" ht="15" hidden="false" customHeight="false" outlineLevel="0" collapsed="false">
      <c r="B8872" s="130" t="n">
        <v>2027</v>
      </c>
      <c r="C8872" s="131" t="s">
        <v>254</v>
      </c>
      <c r="D8872" s="132" t="n">
        <v>46724</v>
      </c>
      <c r="E8872" s="131" t="s">
        <v>36</v>
      </c>
      <c r="F8872" s="133" t="s">
        <v>24</v>
      </c>
      <c r="G8872" s="134" t="n">
        <f aca="false">LEN('Saisie programme'!$H$336)+SUMIFS('Vols additionnels'!$E$7:$E$66,'Vols additionnels'!$C$7:$C$66,$E8872,'Vols additionnels'!$D$7:$D$66,$F8872,'Vols additionnels'!$B$7:$B$66,$D8872)</f>
        <v>1</v>
      </c>
      <c r="H8872" s="135" t="n">
        <f aca="false">$G8872*'Analyse capacite'!$F$9</f>
        <v>174</v>
      </c>
      <c r="I8872" s="135" t="n">
        <f aca="false">$G8872*'Analyse capacite'!$C$9</f>
        <v>0</v>
      </c>
      <c r="J8872" s="135" t="n">
        <f aca="false">$G8872*'Analyse capacite'!$D$9</f>
        <v>12</v>
      </c>
      <c r="K8872" s="135" t="n">
        <f aca="false">$G8872*'Analyse capacite'!$E$9</f>
        <v>162</v>
      </c>
    </row>
    <row r="8873" customFormat="false" ht="15" hidden="false" customHeight="false" outlineLevel="0" collapsed="false">
      <c r="B8873" s="130" t="n">
        <v>2027</v>
      </c>
      <c r="C8873" s="131" t="s">
        <v>254</v>
      </c>
      <c r="D8873" s="132" t="n">
        <v>46724</v>
      </c>
      <c r="E8873" s="131" t="s">
        <v>40</v>
      </c>
      <c r="F8873" s="133" t="s">
        <v>11</v>
      </c>
      <c r="G8873" s="134" t="n">
        <f aca="false">LEN('Saisie programme'!$H$337)+SUMIFS('Vols additionnels'!$E$7:$E$66,'Vols additionnels'!$C$7:$C$66,$E8873,'Vols additionnels'!$D$7:$D$66,$F8873,'Vols additionnels'!$B$7:$B$66,$D8873)</f>
        <v>0</v>
      </c>
      <c r="H8873" s="135" t="n">
        <f aca="false">$G8873*'Analyse capacite'!$F$7</f>
        <v>0</v>
      </c>
      <c r="I8873" s="135" t="n">
        <f aca="false">$G8873*'Analyse capacite'!$C$7</f>
        <v>0</v>
      </c>
      <c r="J8873" s="135" t="n">
        <f aca="false">$G8873*'Analyse capacite'!$D$7</f>
        <v>0</v>
      </c>
      <c r="K8873" s="135" t="n">
        <f aca="false">$G8873*'Analyse capacite'!$E$7</f>
        <v>0</v>
      </c>
    </row>
    <row r="8874" customFormat="false" ht="15" hidden="false" customHeight="false" outlineLevel="0" collapsed="false">
      <c r="B8874" s="130" t="n">
        <v>2027</v>
      </c>
      <c r="C8874" s="131" t="s">
        <v>254</v>
      </c>
      <c r="D8874" s="132" t="n">
        <v>46724</v>
      </c>
      <c r="E8874" s="131" t="s">
        <v>40</v>
      </c>
      <c r="F8874" s="133" t="s">
        <v>19</v>
      </c>
      <c r="G8874" s="134" t="n">
        <f aca="false">LEN('Saisie programme'!$H$338)+SUMIFS('Vols additionnels'!$E$7:$E$66,'Vols additionnels'!$C$7:$C$66,$E8874,'Vols additionnels'!$D$7:$D$66,$F8874,'Vols additionnels'!$B$7:$B$66,$D8874)</f>
        <v>0</v>
      </c>
      <c r="H8874" s="135" t="n">
        <f aca="false">$G8874*'Analyse capacite'!$F$8</f>
        <v>0</v>
      </c>
      <c r="I8874" s="135" t="n">
        <f aca="false">$G8874*'Analyse capacite'!$C$8</f>
        <v>0</v>
      </c>
      <c r="J8874" s="135" t="n">
        <f aca="false">$G8874*'Analyse capacite'!$D$8</f>
        <v>0</v>
      </c>
      <c r="K8874" s="135" t="n">
        <f aca="false">$G8874*'Analyse capacite'!$E$8</f>
        <v>0</v>
      </c>
    </row>
    <row r="8875" customFormat="false" ht="15" hidden="false" customHeight="false" outlineLevel="0" collapsed="false">
      <c r="B8875" s="130" t="n">
        <v>2027</v>
      </c>
      <c r="C8875" s="131" t="s">
        <v>254</v>
      </c>
      <c r="D8875" s="132" t="n">
        <v>46724</v>
      </c>
      <c r="E8875" s="131" t="s">
        <v>40</v>
      </c>
      <c r="F8875" s="133" t="s">
        <v>24</v>
      </c>
      <c r="G8875" s="134" t="n">
        <f aca="false">LEN('Saisie programme'!$H$339)+SUMIFS('Vols additionnels'!$E$7:$E$66,'Vols additionnels'!$C$7:$C$66,$E8875,'Vols additionnels'!$D$7:$D$66,$F8875,'Vols additionnels'!$B$7:$B$66,$D8875)</f>
        <v>1</v>
      </c>
      <c r="H8875" s="135" t="n">
        <f aca="false">$G8875*'Analyse capacite'!$F$9</f>
        <v>174</v>
      </c>
      <c r="I8875" s="135" t="n">
        <f aca="false">$G8875*'Analyse capacite'!$C$9</f>
        <v>0</v>
      </c>
      <c r="J8875" s="135" t="n">
        <f aca="false">$G8875*'Analyse capacite'!$D$9</f>
        <v>12</v>
      </c>
      <c r="K8875" s="135" t="n">
        <f aca="false">$G8875*'Analyse capacite'!$E$9</f>
        <v>162</v>
      </c>
    </row>
    <row r="8876" customFormat="false" ht="15" hidden="false" customHeight="false" outlineLevel="0" collapsed="false">
      <c r="B8876" s="130" t="n">
        <v>2027</v>
      </c>
      <c r="C8876" s="131" t="s">
        <v>254</v>
      </c>
      <c r="D8876" s="132" t="n">
        <v>46724</v>
      </c>
      <c r="E8876" s="131" t="s">
        <v>14</v>
      </c>
      <c r="F8876" s="133" t="s">
        <v>11</v>
      </c>
      <c r="G8876" s="134" t="n">
        <f aca="false">LEN('Saisie programme'!$H$340)+SUMIFS('Vols additionnels'!$E$7:$E$66,'Vols additionnels'!$C$7:$C$66,$E8876,'Vols additionnels'!$D$7:$D$66,$F8876,'Vols additionnels'!$B$7:$B$66,$D8876)</f>
        <v>0</v>
      </c>
      <c r="H8876" s="135" t="n">
        <f aca="false">$G8876*'Analyse capacite'!$F$7</f>
        <v>0</v>
      </c>
      <c r="I8876" s="135" t="n">
        <f aca="false">$G8876*'Analyse capacite'!$C$7</f>
        <v>0</v>
      </c>
      <c r="J8876" s="135" t="n">
        <f aca="false">$G8876*'Analyse capacite'!$D$7</f>
        <v>0</v>
      </c>
      <c r="K8876" s="135" t="n">
        <f aca="false">$G8876*'Analyse capacite'!$E$7</f>
        <v>0</v>
      </c>
    </row>
    <row r="8877" customFormat="false" ht="15" hidden="false" customHeight="false" outlineLevel="0" collapsed="false">
      <c r="B8877" s="130" t="n">
        <v>2027</v>
      </c>
      <c r="C8877" s="131" t="s">
        <v>254</v>
      </c>
      <c r="D8877" s="132" t="n">
        <v>46724</v>
      </c>
      <c r="E8877" s="131" t="s">
        <v>14</v>
      </c>
      <c r="F8877" s="133" t="s">
        <v>19</v>
      </c>
      <c r="G8877" s="134" t="n">
        <f aca="false">LEN('Saisie programme'!$H$341)+SUMIFS('Vols additionnels'!$E$7:$E$66,'Vols additionnels'!$C$7:$C$66,$E8877,'Vols additionnels'!$D$7:$D$66,$F8877,'Vols additionnels'!$B$7:$B$66,$D8877)</f>
        <v>0</v>
      </c>
      <c r="H8877" s="135" t="n">
        <f aca="false">$G8877*'Analyse capacite'!$F$8</f>
        <v>0</v>
      </c>
      <c r="I8877" s="135" t="n">
        <f aca="false">$G8877*'Analyse capacite'!$C$8</f>
        <v>0</v>
      </c>
      <c r="J8877" s="135" t="n">
        <f aca="false">$G8877*'Analyse capacite'!$D$8</f>
        <v>0</v>
      </c>
      <c r="K8877" s="135" t="n">
        <f aca="false">$G8877*'Analyse capacite'!$E$8</f>
        <v>0</v>
      </c>
    </row>
    <row r="8878" customFormat="false" ht="15" hidden="false" customHeight="false" outlineLevel="0" collapsed="false">
      <c r="B8878" s="130" t="n">
        <v>2027</v>
      </c>
      <c r="C8878" s="131" t="s">
        <v>254</v>
      </c>
      <c r="D8878" s="132" t="n">
        <v>46724</v>
      </c>
      <c r="E8878" s="131" t="s">
        <v>14</v>
      </c>
      <c r="F8878" s="133" t="s">
        <v>24</v>
      </c>
      <c r="G8878" s="134" t="n">
        <f aca="false">LEN('Saisie programme'!$H$342)+SUMIFS('Vols additionnels'!$E$7:$E$66,'Vols additionnels'!$C$7:$C$66,$E8878,'Vols additionnels'!$D$7:$D$66,$F8878,'Vols additionnels'!$B$7:$B$66,$D8878)</f>
        <v>0</v>
      </c>
      <c r="H8878" s="135" t="n">
        <f aca="false">$G8878*'Analyse capacite'!$F$9</f>
        <v>0</v>
      </c>
      <c r="I8878" s="135" t="n">
        <f aca="false">$G8878*'Analyse capacite'!$C$9</f>
        <v>0</v>
      </c>
      <c r="J8878" s="135" t="n">
        <f aca="false">$G8878*'Analyse capacite'!$D$9</f>
        <v>0</v>
      </c>
      <c r="K8878" s="135" t="n">
        <f aca="false">$G8878*'Analyse capacite'!$E$9</f>
        <v>0</v>
      </c>
    </row>
    <row r="8879" customFormat="false" ht="15" hidden="false" customHeight="false" outlineLevel="0" collapsed="false">
      <c r="B8879" s="130" t="n">
        <v>2027</v>
      </c>
      <c r="C8879" s="131" t="s">
        <v>254</v>
      </c>
      <c r="D8879" s="132" t="n">
        <v>46724</v>
      </c>
      <c r="E8879" s="131" t="s">
        <v>46</v>
      </c>
      <c r="F8879" s="133" t="s">
        <v>11</v>
      </c>
      <c r="G8879" s="134" t="n">
        <f aca="false">LEN('Saisie programme'!$H$343)+SUMIFS('Vols additionnels'!$E$7:$E$66,'Vols additionnels'!$C$7:$C$66,$E8879,'Vols additionnels'!$D$7:$D$66,$F8879,'Vols additionnels'!$B$7:$B$66,$D8879)</f>
        <v>0</v>
      </c>
      <c r="H8879" s="135" t="n">
        <f aca="false">$G8879*'Analyse capacite'!$F$7</f>
        <v>0</v>
      </c>
      <c r="I8879" s="135" t="n">
        <f aca="false">$G8879*'Analyse capacite'!$C$7</f>
        <v>0</v>
      </c>
      <c r="J8879" s="135" t="n">
        <f aca="false">$G8879*'Analyse capacite'!$D$7</f>
        <v>0</v>
      </c>
      <c r="K8879" s="135" t="n">
        <f aca="false">$G8879*'Analyse capacite'!$E$7</f>
        <v>0</v>
      </c>
    </row>
    <row r="8880" customFormat="false" ht="15" hidden="false" customHeight="false" outlineLevel="0" collapsed="false">
      <c r="B8880" s="130" t="n">
        <v>2027</v>
      </c>
      <c r="C8880" s="131" t="s">
        <v>254</v>
      </c>
      <c r="D8880" s="132" t="n">
        <v>46724</v>
      </c>
      <c r="E8880" s="131" t="s">
        <v>46</v>
      </c>
      <c r="F8880" s="133" t="s">
        <v>19</v>
      </c>
      <c r="G8880" s="134" t="n">
        <f aca="false">LEN('Saisie programme'!$H$344)+SUMIFS('Vols additionnels'!$E$7:$E$66,'Vols additionnels'!$C$7:$C$66,$E8880,'Vols additionnels'!$D$7:$D$66,$F8880,'Vols additionnels'!$B$7:$B$66,$D8880)</f>
        <v>0</v>
      </c>
      <c r="H8880" s="135" t="n">
        <f aca="false">$G8880*'Analyse capacite'!$F$8</f>
        <v>0</v>
      </c>
      <c r="I8880" s="135" t="n">
        <f aca="false">$G8880*'Analyse capacite'!$C$8</f>
        <v>0</v>
      </c>
      <c r="J8880" s="135" t="n">
        <f aca="false">$G8880*'Analyse capacite'!$D$8</f>
        <v>0</v>
      </c>
      <c r="K8880" s="135" t="n">
        <f aca="false">$G8880*'Analyse capacite'!$E$8</f>
        <v>0</v>
      </c>
    </row>
    <row r="8881" customFormat="false" ht="15" hidden="false" customHeight="false" outlineLevel="0" collapsed="false">
      <c r="B8881" s="130" t="n">
        <v>2027</v>
      </c>
      <c r="C8881" s="131" t="s">
        <v>254</v>
      </c>
      <c r="D8881" s="132" t="n">
        <v>46724</v>
      </c>
      <c r="E8881" s="131" t="s">
        <v>46</v>
      </c>
      <c r="F8881" s="133" t="s">
        <v>24</v>
      </c>
      <c r="G8881" s="134" t="n">
        <f aca="false">LEN('Saisie programme'!$H$345)+SUMIFS('Vols additionnels'!$E$7:$E$66,'Vols additionnels'!$C$7:$C$66,$E8881,'Vols additionnels'!$D$7:$D$66,$F8881,'Vols additionnels'!$B$7:$B$66,$D8881)</f>
        <v>0</v>
      </c>
      <c r="H8881" s="135" t="n">
        <f aca="false">$G8881*'Analyse capacite'!$F$9</f>
        <v>0</v>
      </c>
      <c r="I8881" s="135" t="n">
        <f aca="false">$G8881*'Analyse capacite'!$C$9</f>
        <v>0</v>
      </c>
      <c r="J8881" s="135" t="n">
        <f aca="false">$G8881*'Analyse capacite'!$D$9</f>
        <v>0</v>
      </c>
      <c r="K8881" s="135" t="n">
        <f aca="false">$G8881*'Analyse capacite'!$E$9</f>
        <v>0</v>
      </c>
    </row>
    <row r="8882" customFormat="false" ht="15" hidden="false" customHeight="false" outlineLevel="0" collapsed="false">
      <c r="B8882" s="130" t="n">
        <v>2027</v>
      </c>
      <c r="C8882" s="131" t="s">
        <v>254</v>
      </c>
      <c r="D8882" s="132" t="n">
        <v>46724</v>
      </c>
      <c r="E8882" s="131" t="s">
        <v>49</v>
      </c>
      <c r="F8882" s="133" t="s">
        <v>11</v>
      </c>
      <c r="G8882" s="134" t="n">
        <f aca="false">LEN('Saisie programme'!$H$346)+SUMIFS('Vols additionnels'!$E$7:$E$66,'Vols additionnels'!$C$7:$C$66,$E8882,'Vols additionnels'!$D$7:$D$66,$F8882,'Vols additionnels'!$B$7:$B$66,$D8882)</f>
        <v>0</v>
      </c>
      <c r="H8882" s="135" t="n">
        <f aca="false">$G8882*'Analyse capacite'!$F$7</f>
        <v>0</v>
      </c>
      <c r="I8882" s="135" t="n">
        <f aca="false">$G8882*'Analyse capacite'!$C$7</f>
        <v>0</v>
      </c>
      <c r="J8882" s="135" t="n">
        <f aca="false">$G8882*'Analyse capacite'!$D$7</f>
        <v>0</v>
      </c>
      <c r="K8882" s="135" t="n">
        <f aca="false">$G8882*'Analyse capacite'!$E$7</f>
        <v>0</v>
      </c>
    </row>
    <row r="8883" customFormat="false" ht="15" hidden="false" customHeight="false" outlineLevel="0" collapsed="false">
      <c r="B8883" s="130" t="n">
        <v>2027</v>
      </c>
      <c r="C8883" s="131" t="s">
        <v>254</v>
      </c>
      <c r="D8883" s="132" t="n">
        <v>46724</v>
      </c>
      <c r="E8883" s="131" t="s">
        <v>49</v>
      </c>
      <c r="F8883" s="133" t="s">
        <v>19</v>
      </c>
      <c r="G8883" s="134" t="n">
        <f aca="false">LEN('Saisie programme'!$H$347)+SUMIFS('Vols additionnels'!$E$7:$E$66,'Vols additionnels'!$C$7:$C$66,$E8883,'Vols additionnels'!$D$7:$D$66,$F8883,'Vols additionnels'!$B$7:$B$66,$D8883)</f>
        <v>1</v>
      </c>
      <c r="H8883" s="135" t="n">
        <f aca="false">$G8883*'Analyse capacite'!$F$8</f>
        <v>262</v>
      </c>
      <c r="I8883" s="135" t="n">
        <f aca="false">$G8883*'Analyse capacite'!$C$8</f>
        <v>18</v>
      </c>
      <c r="J8883" s="135" t="n">
        <f aca="false">$G8883*'Analyse capacite'!$D$8</f>
        <v>0</v>
      </c>
      <c r="K8883" s="135" t="n">
        <f aca="false">$G8883*'Analyse capacite'!$E$8</f>
        <v>244</v>
      </c>
    </row>
    <row r="8884" customFormat="false" ht="15" hidden="false" customHeight="false" outlineLevel="0" collapsed="false">
      <c r="B8884" s="130" t="n">
        <v>2027</v>
      </c>
      <c r="C8884" s="131" t="s">
        <v>254</v>
      </c>
      <c r="D8884" s="132" t="n">
        <v>46724</v>
      </c>
      <c r="E8884" s="131" t="s">
        <v>49</v>
      </c>
      <c r="F8884" s="133" t="s">
        <v>24</v>
      </c>
      <c r="G8884" s="134" t="n">
        <f aca="false">LEN('Saisie programme'!$H$348)+SUMIFS('Vols additionnels'!$E$7:$E$66,'Vols additionnels'!$C$7:$C$66,$E8884,'Vols additionnels'!$D$7:$D$66,$F8884,'Vols additionnels'!$B$7:$B$66,$D8884)</f>
        <v>0</v>
      </c>
      <c r="H8884" s="135" t="n">
        <f aca="false">$G8884*'Analyse capacite'!$F$9</f>
        <v>0</v>
      </c>
      <c r="I8884" s="135" t="n">
        <f aca="false">$G8884*'Analyse capacite'!$C$9</f>
        <v>0</v>
      </c>
      <c r="J8884" s="135" t="n">
        <f aca="false">$G8884*'Analyse capacite'!$D$9</f>
        <v>0</v>
      </c>
      <c r="K8884" s="135" t="n">
        <f aca="false">$G8884*'Analyse capacite'!$E$9</f>
        <v>0</v>
      </c>
    </row>
    <row r="8885" customFormat="false" ht="15" hidden="false" customHeight="false" outlineLevel="0" collapsed="false">
      <c r="B8885" s="130" t="n">
        <v>2027</v>
      </c>
      <c r="C8885" s="131" t="s">
        <v>254</v>
      </c>
      <c r="D8885" s="132" t="n">
        <v>46724</v>
      </c>
      <c r="E8885" s="131" t="s">
        <v>53</v>
      </c>
      <c r="F8885" s="133" t="s">
        <v>11</v>
      </c>
      <c r="G8885" s="134" t="n">
        <f aca="false">LEN('Saisie programme'!$H$349)+SUMIFS('Vols additionnels'!$E$7:$E$66,'Vols additionnels'!$C$7:$C$66,$E8885,'Vols additionnels'!$D$7:$D$66,$F8885,'Vols additionnels'!$B$7:$B$66,$D8885)</f>
        <v>0</v>
      </c>
      <c r="H8885" s="135" t="n">
        <f aca="false">$G8885*'Analyse capacite'!$F$7</f>
        <v>0</v>
      </c>
      <c r="I8885" s="135" t="n">
        <f aca="false">$G8885*'Analyse capacite'!$C$7</f>
        <v>0</v>
      </c>
      <c r="J8885" s="135" t="n">
        <f aca="false">$G8885*'Analyse capacite'!$D$7</f>
        <v>0</v>
      </c>
      <c r="K8885" s="135" t="n">
        <f aca="false">$G8885*'Analyse capacite'!$E$7</f>
        <v>0</v>
      </c>
    </row>
    <row r="8886" customFormat="false" ht="15" hidden="false" customHeight="false" outlineLevel="0" collapsed="false">
      <c r="B8886" s="130" t="n">
        <v>2027</v>
      </c>
      <c r="C8886" s="131" t="s">
        <v>254</v>
      </c>
      <c r="D8886" s="132" t="n">
        <v>46724</v>
      </c>
      <c r="E8886" s="131" t="s">
        <v>53</v>
      </c>
      <c r="F8886" s="133" t="s">
        <v>19</v>
      </c>
      <c r="G8886" s="134" t="n">
        <f aca="false">LEN('Saisie programme'!$H$350)+SUMIFS('Vols additionnels'!$E$7:$E$66,'Vols additionnels'!$C$7:$C$66,$E8886,'Vols additionnels'!$D$7:$D$66,$F8886,'Vols additionnels'!$B$7:$B$66,$D8886)</f>
        <v>0</v>
      </c>
      <c r="H8886" s="135" t="n">
        <f aca="false">$G8886*'Analyse capacite'!$F$8</f>
        <v>0</v>
      </c>
      <c r="I8886" s="135" t="n">
        <f aca="false">$G8886*'Analyse capacite'!$C$8</f>
        <v>0</v>
      </c>
      <c r="J8886" s="135" t="n">
        <f aca="false">$G8886*'Analyse capacite'!$D$8</f>
        <v>0</v>
      </c>
      <c r="K8886" s="135" t="n">
        <f aca="false">$G8886*'Analyse capacite'!$E$8</f>
        <v>0</v>
      </c>
    </row>
    <row r="8887" customFormat="false" ht="15" hidden="false" customHeight="false" outlineLevel="0" collapsed="false">
      <c r="B8887" s="130" t="n">
        <v>2027</v>
      </c>
      <c r="C8887" s="131" t="s">
        <v>254</v>
      </c>
      <c r="D8887" s="132" t="n">
        <v>46724</v>
      </c>
      <c r="E8887" s="131" t="s">
        <v>53</v>
      </c>
      <c r="F8887" s="133" t="s">
        <v>24</v>
      </c>
      <c r="G8887" s="134" t="n">
        <f aca="false">LEN('Saisie programme'!$H$351)+SUMIFS('Vols additionnels'!$E$7:$E$66,'Vols additionnels'!$C$7:$C$66,$E8887,'Vols additionnels'!$D$7:$D$66,$F8887,'Vols additionnels'!$B$7:$B$66,$D8887)</f>
        <v>0</v>
      </c>
      <c r="H8887" s="135" t="n">
        <f aca="false">$G8887*'Analyse capacite'!$F$9</f>
        <v>0</v>
      </c>
      <c r="I8887" s="135" t="n">
        <f aca="false">$G8887*'Analyse capacite'!$C$9</f>
        <v>0</v>
      </c>
      <c r="J8887" s="135" t="n">
        <f aca="false">$G8887*'Analyse capacite'!$D$9</f>
        <v>0</v>
      </c>
      <c r="K8887" s="135" t="n">
        <f aca="false">$G8887*'Analyse capacite'!$E$9</f>
        <v>0</v>
      </c>
    </row>
    <row r="8888" customFormat="false" ht="15" hidden="false" customHeight="false" outlineLevel="0" collapsed="false">
      <c r="B8888" s="130" t="n">
        <v>2027</v>
      </c>
      <c r="C8888" s="131" t="s">
        <v>254</v>
      </c>
      <c r="D8888" s="132" t="n">
        <v>46724</v>
      </c>
      <c r="E8888" s="131" t="s">
        <v>56</v>
      </c>
      <c r="F8888" s="133" t="s">
        <v>11</v>
      </c>
      <c r="G8888" s="134" t="n">
        <f aca="false">LEN('Saisie programme'!$H$352)+SUMIFS('Vols additionnels'!$E$7:$E$66,'Vols additionnels'!$C$7:$C$66,$E8888,'Vols additionnels'!$D$7:$D$66,$F8888,'Vols additionnels'!$B$7:$B$66,$D8888)</f>
        <v>0</v>
      </c>
      <c r="H8888" s="135" t="n">
        <f aca="false">$G8888*'Analyse capacite'!$F$7</f>
        <v>0</v>
      </c>
      <c r="I8888" s="135" t="n">
        <f aca="false">$G8888*'Analyse capacite'!$C$7</f>
        <v>0</v>
      </c>
      <c r="J8888" s="135" t="n">
        <f aca="false">$G8888*'Analyse capacite'!$D$7</f>
        <v>0</v>
      </c>
      <c r="K8888" s="135" t="n">
        <f aca="false">$G8888*'Analyse capacite'!$E$7</f>
        <v>0</v>
      </c>
    </row>
    <row r="8889" customFormat="false" ht="15" hidden="false" customHeight="false" outlineLevel="0" collapsed="false">
      <c r="B8889" s="130" t="n">
        <v>2027</v>
      </c>
      <c r="C8889" s="131" t="s">
        <v>254</v>
      </c>
      <c r="D8889" s="132" t="n">
        <v>46724</v>
      </c>
      <c r="E8889" s="131" t="s">
        <v>56</v>
      </c>
      <c r="F8889" s="133" t="s">
        <v>19</v>
      </c>
      <c r="G8889" s="134" t="n">
        <f aca="false">LEN('Saisie programme'!$H$353)+SUMIFS('Vols additionnels'!$E$7:$E$66,'Vols additionnels'!$C$7:$C$66,$E8889,'Vols additionnels'!$D$7:$D$66,$F8889,'Vols additionnels'!$B$7:$B$66,$D8889)</f>
        <v>0</v>
      </c>
      <c r="H8889" s="135" t="n">
        <f aca="false">$G8889*'Analyse capacite'!$F$8</f>
        <v>0</v>
      </c>
      <c r="I8889" s="135" t="n">
        <f aca="false">$G8889*'Analyse capacite'!$C$8</f>
        <v>0</v>
      </c>
      <c r="J8889" s="135" t="n">
        <f aca="false">$G8889*'Analyse capacite'!$D$8</f>
        <v>0</v>
      </c>
      <c r="K8889" s="135" t="n">
        <f aca="false">$G8889*'Analyse capacite'!$E$8</f>
        <v>0</v>
      </c>
    </row>
    <row r="8890" customFormat="false" ht="15" hidden="false" customHeight="false" outlineLevel="0" collapsed="false">
      <c r="B8890" s="130" t="n">
        <v>2027</v>
      </c>
      <c r="C8890" s="131" t="s">
        <v>254</v>
      </c>
      <c r="D8890" s="132" t="n">
        <v>46724</v>
      </c>
      <c r="E8890" s="131" t="s">
        <v>56</v>
      </c>
      <c r="F8890" s="133" t="s">
        <v>24</v>
      </c>
      <c r="G8890" s="134" t="n">
        <f aca="false">LEN('Saisie programme'!$H$354)+SUMIFS('Vols additionnels'!$E$7:$E$66,'Vols additionnels'!$C$7:$C$66,$E8890,'Vols additionnels'!$D$7:$D$66,$F8890,'Vols additionnels'!$B$7:$B$66,$D8890)</f>
        <v>0</v>
      </c>
      <c r="H8890" s="135" t="n">
        <f aca="false">$G8890*'Analyse capacite'!$F$9</f>
        <v>0</v>
      </c>
      <c r="I8890" s="135" t="n">
        <f aca="false">$G8890*'Analyse capacite'!$C$9</f>
        <v>0</v>
      </c>
      <c r="J8890" s="135" t="n">
        <f aca="false">$G8890*'Analyse capacite'!$D$9</f>
        <v>0</v>
      </c>
      <c r="K8890" s="135" t="n">
        <f aca="false">$G8890*'Analyse capacite'!$E$9</f>
        <v>0</v>
      </c>
    </row>
    <row r="8891" customFormat="false" ht="15" hidden="false" customHeight="false" outlineLevel="0" collapsed="false">
      <c r="B8891" s="130" t="n">
        <v>2027</v>
      </c>
      <c r="C8891" s="131" t="s">
        <v>254</v>
      </c>
      <c r="D8891" s="132" t="n">
        <v>46724</v>
      </c>
      <c r="E8891" s="131" t="s">
        <v>59</v>
      </c>
      <c r="F8891" s="133" t="s">
        <v>11</v>
      </c>
      <c r="G8891" s="134" t="n">
        <f aca="false">LEN('Saisie programme'!$H$355)+SUMIFS('Vols additionnels'!$E$7:$E$66,'Vols additionnels'!$C$7:$C$66,$E8891,'Vols additionnels'!$D$7:$D$66,$F8891,'Vols additionnels'!$B$7:$B$66,$D8891)</f>
        <v>0</v>
      </c>
      <c r="H8891" s="135" t="n">
        <f aca="false">$G8891*'Analyse capacite'!$F$7</f>
        <v>0</v>
      </c>
      <c r="I8891" s="135" t="n">
        <f aca="false">$G8891*'Analyse capacite'!$C$7</f>
        <v>0</v>
      </c>
      <c r="J8891" s="135" t="n">
        <f aca="false">$G8891*'Analyse capacite'!$D$7</f>
        <v>0</v>
      </c>
      <c r="K8891" s="135" t="n">
        <f aca="false">$G8891*'Analyse capacite'!$E$7</f>
        <v>0</v>
      </c>
    </row>
    <row r="8892" customFormat="false" ht="15" hidden="false" customHeight="false" outlineLevel="0" collapsed="false">
      <c r="B8892" s="130" t="n">
        <v>2027</v>
      </c>
      <c r="C8892" s="131" t="s">
        <v>254</v>
      </c>
      <c r="D8892" s="132" t="n">
        <v>46724</v>
      </c>
      <c r="E8892" s="131" t="s">
        <v>59</v>
      </c>
      <c r="F8892" s="133" t="s">
        <v>19</v>
      </c>
      <c r="G8892" s="134" t="n">
        <f aca="false">LEN('Saisie programme'!$H$356)+SUMIFS('Vols additionnels'!$E$7:$E$66,'Vols additionnels'!$C$7:$C$66,$E8892,'Vols additionnels'!$D$7:$D$66,$F8892,'Vols additionnels'!$B$7:$B$66,$D8892)</f>
        <v>0</v>
      </c>
      <c r="H8892" s="135" t="n">
        <f aca="false">$G8892*'Analyse capacite'!$F$8</f>
        <v>0</v>
      </c>
      <c r="I8892" s="135" t="n">
        <f aca="false">$G8892*'Analyse capacite'!$C$8</f>
        <v>0</v>
      </c>
      <c r="J8892" s="135" t="n">
        <f aca="false">$G8892*'Analyse capacite'!$D$8</f>
        <v>0</v>
      </c>
      <c r="K8892" s="135" t="n">
        <f aca="false">$G8892*'Analyse capacite'!$E$8</f>
        <v>0</v>
      </c>
    </row>
    <row r="8893" customFormat="false" ht="15" hidden="false" customHeight="false" outlineLevel="0" collapsed="false">
      <c r="B8893" s="130" t="n">
        <v>2027</v>
      </c>
      <c r="C8893" s="131" t="s">
        <v>254</v>
      </c>
      <c r="D8893" s="132" t="n">
        <v>46724</v>
      </c>
      <c r="E8893" s="131" t="s">
        <v>59</v>
      </c>
      <c r="F8893" s="133" t="s">
        <v>24</v>
      </c>
      <c r="G8893" s="134" t="n">
        <f aca="false">LEN('Saisie programme'!$H$357)+SUMIFS('Vols additionnels'!$E$7:$E$66,'Vols additionnels'!$C$7:$C$66,$E8893,'Vols additionnels'!$D$7:$D$66,$F8893,'Vols additionnels'!$B$7:$B$66,$D8893)</f>
        <v>1</v>
      </c>
      <c r="H8893" s="135" t="n">
        <f aca="false">$G8893*'Analyse capacite'!$F$9</f>
        <v>174</v>
      </c>
      <c r="I8893" s="135" t="n">
        <f aca="false">$G8893*'Analyse capacite'!$C$9</f>
        <v>0</v>
      </c>
      <c r="J8893" s="135" t="n">
        <f aca="false">$G8893*'Analyse capacite'!$D$9</f>
        <v>12</v>
      </c>
      <c r="K8893" s="135" t="n">
        <f aca="false">$G8893*'Analyse capacite'!$E$9</f>
        <v>162</v>
      </c>
    </row>
    <row r="8894" customFormat="false" ht="15" hidden="false" customHeight="false" outlineLevel="0" collapsed="false">
      <c r="B8894" s="130" t="n">
        <v>2027</v>
      </c>
      <c r="C8894" s="131" t="s">
        <v>254</v>
      </c>
      <c r="D8894" s="132" t="n">
        <v>46724</v>
      </c>
      <c r="E8894" s="131" t="s">
        <v>62</v>
      </c>
      <c r="F8894" s="133" t="s">
        <v>11</v>
      </c>
      <c r="G8894" s="134" t="n">
        <f aca="false">LEN('Saisie programme'!$H$358)+SUMIFS('Vols additionnels'!$E$7:$E$66,'Vols additionnels'!$C$7:$C$66,$E8894,'Vols additionnels'!$D$7:$D$66,$F8894,'Vols additionnels'!$B$7:$B$66,$D8894)</f>
        <v>0</v>
      </c>
      <c r="H8894" s="135" t="n">
        <f aca="false">$G8894*'Analyse capacite'!$F$7</f>
        <v>0</v>
      </c>
      <c r="I8894" s="135" t="n">
        <f aca="false">$G8894*'Analyse capacite'!$C$7</f>
        <v>0</v>
      </c>
      <c r="J8894" s="135" t="n">
        <f aca="false">$G8894*'Analyse capacite'!$D$7</f>
        <v>0</v>
      </c>
      <c r="K8894" s="135" t="n">
        <f aca="false">$G8894*'Analyse capacite'!$E$7</f>
        <v>0</v>
      </c>
    </row>
    <row r="8895" customFormat="false" ht="15" hidden="false" customHeight="false" outlineLevel="0" collapsed="false">
      <c r="B8895" s="130" t="n">
        <v>2027</v>
      </c>
      <c r="C8895" s="131" t="s">
        <v>254</v>
      </c>
      <c r="D8895" s="132" t="n">
        <v>46724</v>
      </c>
      <c r="E8895" s="131" t="s">
        <v>62</v>
      </c>
      <c r="F8895" s="133" t="s">
        <v>19</v>
      </c>
      <c r="G8895" s="134" t="n">
        <f aca="false">LEN('Saisie programme'!$H$359)+SUMIFS('Vols additionnels'!$E$7:$E$66,'Vols additionnels'!$C$7:$C$66,$E8895,'Vols additionnels'!$D$7:$D$66,$F8895,'Vols additionnels'!$B$7:$B$66,$D8895)</f>
        <v>0</v>
      </c>
      <c r="H8895" s="135" t="n">
        <f aca="false">$G8895*'Analyse capacite'!$F$8</f>
        <v>0</v>
      </c>
      <c r="I8895" s="135" t="n">
        <f aca="false">$G8895*'Analyse capacite'!$C$8</f>
        <v>0</v>
      </c>
      <c r="J8895" s="135" t="n">
        <f aca="false">$G8895*'Analyse capacite'!$D$8</f>
        <v>0</v>
      </c>
      <c r="K8895" s="135" t="n">
        <f aca="false">$G8895*'Analyse capacite'!$E$8</f>
        <v>0</v>
      </c>
    </row>
    <row r="8896" customFormat="false" ht="15" hidden="false" customHeight="false" outlineLevel="0" collapsed="false">
      <c r="B8896" s="130" t="n">
        <v>2027</v>
      </c>
      <c r="C8896" s="131" t="s">
        <v>254</v>
      </c>
      <c r="D8896" s="132" t="n">
        <v>46724</v>
      </c>
      <c r="E8896" s="131" t="s">
        <v>62</v>
      </c>
      <c r="F8896" s="133" t="s">
        <v>24</v>
      </c>
      <c r="G8896" s="134" t="n">
        <f aca="false">LEN('Saisie programme'!$H$360)+SUMIFS('Vols additionnels'!$E$7:$E$66,'Vols additionnels'!$C$7:$C$66,$E8896,'Vols additionnels'!$D$7:$D$66,$F8896,'Vols additionnels'!$B$7:$B$66,$D8896)</f>
        <v>0</v>
      </c>
      <c r="H8896" s="135" t="n">
        <f aca="false">$G8896*'Analyse capacite'!$F$9</f>
        <v>0</v>
      </c>
      <c r="I8896" s="135" t="n">
        <f aca="false">$G8896*'Analyse capacite'!$C$9</f>
        <v>0</v>
      </c>
      <c r="J8896" s="135" t="n">
        <f aca="false">$G8896*'Analyse capacite'!$D$9</f>
        <v>0</v>
      </c>
      <c r="K8896" s="135" t="n">
        <f aca="false">$G8896*'Analyse capacite'!$E$9</f>
        <v>0</v>
      </c>
    </row>
    <row r="8897" customFormat="false" ht="15" hidden="false" customHeight="false" outlineLevel="0" collapsed="false">
      <c r="B8897" s="130" t="n">
        <v>2027</v>
      </c>
      <c r="C8897" s="131" t="s">
        <v>254</v>
      </c>
      <c r="D8897" s="132" t="n">
        <v>46725</v>
      </c>
      <c r="E8897" s="131" t="s">
        <v>12</v>
      </c>
      <c r="F8897" s="133" t="s">
        <v>11</v>
      </c>
      <c r="G8897" s="134" t="n">
        <f aca="false">LEN('Saisie programme'!$I$325)+SUMIFS('Vols additionnels'!$E$7:$E$66,'Vols additionnels'!$C$7:$C$66,$E8897,'Vols additionnels'!$D$7:$D$66,$F8897,'Vols additionnels'!$B$7:$B$66,$D8897)</f>
        <v>1</v>
      </c>
      <c r="H8897" s="135" t="n">
        <f aca="false">$G8897*'Analyse capacite'!$F$7</f>
        <v>438</v>
      </c>
      <c r="I8897" s="135" t="n">
        <f aca="false">$G8897*'Analyse capacite'!$C$7</f>
        <v>14</v>
      </c>
      <c r="J8897" s="135" t="n">
        <f aca="false">$G8897*'Analyse capacite'!$D$7</f>
        <v>40</v>
      </c>
      <c r="K8897" s="135" t="n">
        <f aca="false">$G8897*'Analyse capacite'!$E$7</f>
        <v>384</v>
      </c>
    </row>
    <row r="8898" customFormat="false" ht="15" hidden="false" customHeight="false" outlineLevel="0" collapsed="false">
      <c r="B8898" s="130" t="n">
        <v>2027</v>
      </c>
      <c r="C8898" s="131" t="s">
        <v>254</v>
      </c>
      <c r="D8898" s="132" t="n">
        <v>46725</v>
      </c>
      <c r="E8898" s="131" t="s">
        <v>12</v>
      </c>
      <c r="F8898" s="133" t="s">
        <v>19</v>
      </c>
      <c r="G8898" s="134" t="n">
        <f aca="false">LEN('Saisie programme'!$I$326)+SUMIFS('Vols additionnels'!$E$7:$E$66,'Vols additionnels'!$C$7:$C$66,$E8898,'Vols additionnels'!$D$7:$D$66,$F8898,'Vols additionnels'!$B$7:$B$66,$D8898)</f>
        <v>0</v>
      </c>
      <c r="H8898" s="135" t="n">
        <f aca="false">$G8898*'Analyse capacite'!$F$8</f>
        <v>0</v>
      </c>
      <c r="I8898" s="135" t="n">
        <f aca="false">$G8898*'Analyse capacite'!$C$8</f>
        <v>0</v>
      </c>
      <c r="J8898" s="135" t="n">
        <f aca="false">$G8898*'Analyse capacite'!$D$8</f>
        <v>0</v>
      </c>
      <c r="K8898" s="135" t="n">
        <f aca="false">$G8898*'Analyse capacite'!$E$8</f>
        <v>0</v>
      </c>
    </row>
    <row r="8899" customFormat="false" ht="15" hidden="false" customHeight="false" outlineLevel="0" collapsed="false">
      <c r="B8899" s="130" t="n">
        <v>2027</v>
      </c>
      <c r="C8899" s="131" t="s">
        <v>254</v>
      </c>
      <c r="D8899" s="132" t="n">
        <v>46725</v>
      </c>
      <c r="E8899" s="131" t="s">
        <v>12</v>
      </c>
      <c r="F8899" s="133" t="s">
        <v>24</v>
      </c>
      <c r="G8899" s="134" t="n">
        <f aca="false">LEN('Saisie programme'!$I$327)+SUMIFS('Vols additionnels'!$E$7:$E$66,'Vols additionnels'!$C$7:$C$66,$E8899,'Vols additionnels'!$D$7:$D$66,$F8899,'Vols additionnels'!$B$7:$B$66,$D8899)</f>
        <v>0</v>
      </c>
      <c r="H8899" s="135" t="n">
        <f aca="false">$G8899*'Analyse capacite'!$F$9</f>
        <v>0</v>
      </c>
      <c r="I8899" s="135" t="n">
        <f aca="false">$G8899*'Analyse capacite'!$C$9</f>
        <v>0</v>
      </c>
      <c r="J8899" s="135" t="n">
        <f aca="false">$G8899*'Analyse capacite'!$D$9</f>
        <v>0</v>
      </c>
      <c r="K8899" s="135" t="n">
        <f aca="false">$G8899*'Analyse capacite'!$E$9</f>
        <v>0</v>
      </c>
    </row>
    <row r="8900" customFormat="false" ht="15" hidden="false" customHeight="false" outlineLevel="0" collapsed="false">
      <c r="B8900" s="130" t="n">
        <v>2027</v>
      </c>
      <c r="C8900" s="131" t="s">
        <v>254</v>
      </c>
      <c r="D8900" s="132" t="n">
        <v>46725</v>
      </c>
      <c r="E8900" s="131" t="s">
        <v>20</v>
      </c>
      <c r="F8900" s="133" t="s">
        <v>11</v>
      </c>
      <c r="G8900" s="134" t="n">
        <f aca="false">LEN('Saisie programme'!$I$328)+SUMIFS('Vols additionnels'!$E$7:$E$66,'Vols additionnels'!$C$7:$C$66,$E8900,'Vols additionnels'!$D$7:$D$66,$F8900,'Vols additionnels'!$B$7:$B$66,$D8900)</f>
        <v>0</v>
      </c>
      <c r="H8900" s="135" t="n">
        <f aca="false">$G8900*'Analyse capacite'!$F$7</f>
        <v>0</v>
      </c>
      <c r="I8900" s="135" t="n">
        <f aca="false">$G8900*'Analyse capacite'!$C$7</f>
        <v>0</v>
      </c>
      <c r="J8900" s="135" t="n">
        <f aca="false">$G8900*'Analyse capacite'!$D$7</f>
        <v>0</v>
      </c>
      <c r="K8900" s="135" t="n">
        <f aca="false">$G8900*'Analyse capacite'!$E$7</f>
        <v>0</v>
      </c>
    </row>
    <row r="8901" customFormat="false" ht="15" hidden="false" customHeight="false" outlineLevel="0" collapsed="false">
      <c r="B8901" s="130" t="n">
        <v>2027</v>
      </c>
      <c r="C8901" s="131" t="s">
        <v>254</v>
      </c>
      <c r="D8901" s="132" t="n">
        <v>46725</v>
      </c>
      <c r="E8901" s="131" t="s">
        <v>20</v>
      </c>
      <c r="F8901" s="133" t="s">
        <v>19</v>
      </c>
      <c r="G8901" s="134" t="n">
        <f aca="false">LEN('Saisie programme'!$I$329)+SUMIFS('Vols additionnels'!$E$7:$E$66,'Vols additionnels'!$C$7:$C$66,$E8901,'Vols additionnels'!$D$7:$D$66,$F8901,'Vols additionnels'!$B$7:$B$66,$D8901)</f>
        <v>0</v>
      </c>
      <c r="H8901" s="135" t="n">
        <f aca="false">$G8901*'Analyse capacite'!$F$8</f>
        <v>0</v>
      </c>
      <c r="I8901" s="135" t="n">
        <f aca="false">$G8901*'Analyse capacite'!$C$8</f>
        <v>0</v>
      </c>
      <c r="J8901" s="135" t="n">
        <f aca="false">$G8901*'Analyse capacite'!$D$8</f>
        <v>0</v>
      </c>
      <c r="K8901" s="135" t="n">
        <f aca="false">$G8901*'Analyse capacite'!$E$8</f>
        <v>0</v>
      </c>
    </row>
    <row r="8902" customFormat="false" ht="15" hidden="false" customHeight="false" outlineLevel="0" collapsed="false">
      <c r="B8902" s="130" t="n">
        <v>2027</v>
      </c>
      <c r="C8902" s="131" t="s">
        <v>254</v>
      </c>
      <c r="D8902" s="132" t="n">
        <v>46725</v>
      </c>
      <c r="E8902" s="131" t="s">
        <v>20</v>
      </c>
      <c r="F8902" s="133" t="s">
        <v>24</v>
      </c>
      <c r="G8902" s="134" t="n">
        <f aca="false">LEN('Saisie programme'!$I$330)+SUMIFS('Vols additionnels'!$E$7:$E$66,'Vols additionnels'!$C$7:$C$66,$E8902,'Vols additionnels'!$D$7:$D$66,$F8902,'Vols additionnels'!$B$7:$B$66,$D8902)</f>
        <v>0</v>
      </c>
      <c r="H8902" s="135" t="n">
        <f aca="false">$G8902*'Analyse capacite'!$F$9</f>
        <v>0</v>
      </c>
      <c r="I8902" s="135" t="n">
        <f aca="false">$G8902*'Analyse capacite'!$C$9</f>
        <v>0</v>
      </c>
      <c r="J8902" s="135" t="n">
        <f aca="false">$G8902*'Analyse capacite'!$D$9</f>
        <v>0</v>
      </c>
      <c r="K8902" s="135" t="n">
        <f aca="false">$G8902*'Analyse capacite'!$E$9</f>
        <v>0</v>
      </c>
    </row>
    <row r="8903" customFormat="false" ht="15" hidden="false" customHeight="false" outlineLevel="0" collapsed="false">
      <c r="B8903" s="130" t="n">
        <v>2027</v>
      </c>
      <c r="C8903" s="131" t="s">
        <v>254</v>
      </c>
      <c r="D8903" s="132" t="n">
        <v>46725</v>
      </c>
      <c r="E8903" s="131" t="s">
        <v>25</v>
      </c>
      <c r="F8903" s="133" t="s">
        <v>11</v>
      </c>
      <c r="G8903" s="134" t="n">
        <f aca="false">LEN('Saisie programme'!$I$331)+SUMIFS('Vols additionnels'!$E$7:$E$66,'Vols additionnels'!$C$7:$C$66,$E8903,'Vols additionnels'!$D$7:$D$66,$F8903,'Vols additionnels'!$B$7:$B$66,$D8903)</f>
        <v>0</v>
      </c>
      <c r="H8903" s="135" t="n">
        <f aca="false">$G8903*'Analyse capacite'!$F$7</f>
        <v>0</v>
      </c>
      <c r="I8903" s="135" t="n">
        <f aca="false">$G8903*'Analyse capacite'!$C$7</f>
        <v>0</v>
      </c>
      <c r="J8903" s="135" t="n">
        <f aca="false">$G8903*'Analyse capacite'!$D$7</f>
        <v>0</v>
      </c>
      <c r="K8903" s="135" t="n">
        <f aca="false">$G8903*'Analyse capacite'!$E$7</f>
        <v>0</v>
      </c>
    </row>
    <row r="8904" customFormat="false" ht="15" hidden="false" customHeight="false" outlineLevel="0" collapsed="false">
      <c r="B8904" s="130" t="n">
        <v>2027</v>
      </c>
      <c r="C8904" s="131" t="s">
        <v>254</v>
      </c>
      <c r="D8904" s="132" t="n">
        <v>46725</v>
      </c>
      <c r="E8904" s="131" t="s">
        <v>25</v>
      </c>
      <c r="F8904" s="133" t="s">
        <v>19</v>
      </c>
      <c r="G8904" s="134" t="n">
        <f aca="false">LEN('Saisie programme'!$I$332)+SUMIFS('Vols additionnels'!$E$7:$E$66,'Vols additionnels'!$C$7:$C$66,$E8904,'Vols additionnels'!$D$7:$D$66,$F8904,'Vols additionnels'!$B$7:$B$66,$D8904)</f>
        <v>1</v>
      </c>
      <c r="H8904" s="135" t="n">
        <f aca="false">$G8904*'Analyse capacite'!$F$8</f>
        <v>262</v>
      </c>
      <c r="I8904" s="135" t="n">
        <f aca="false">$G8904*'Analyse capacite'!$C$8</f>
        <v>18</v>
      </c>
      <c r="J8904" s="135" t="n">
        <f aca="false">$G8904*'Analyse capacite'!$D$8</f>
        <v>0</v>
      </c>
      <c r="K8904" s="135" t="n">
        <f aca="false">$G8904*'Analyse capacite'!$E$8</f>
        <v>244</v>
      </c>
    </row>
    <row r="8905" customFormat="false" ht="15" hidden="false" customHeight="false" outlineLevel="0" collapsed="false">
      <c r="B8905" s="130" t="n">
        <v>2027</v>
      </c>
      <c r="C8905" s="131" t="s">
        <v>254</v>
      </c>
      <c r="D8905" s="132" t="n">
        <v>46725</v>
      </c>
      <c r="E8905" s="131" t="s">
        <v>25</v>
      </c>
      <c r="F8905" s="133" t="s">
        <v>24</v>
      </c>
      <c r="G8905" s="134" t="n">
        <f aca="false">LEN('Saisie programme'!$I$333)+SUMIFS('Vols additionnels'!$E$7:$E$66,'Vols additionnels'!$C$7:$C$66,$E8905,'Vols additionnels'!$D$7:$D$66,$F8905,'Vols additionnels'!$B$7:$B$66,$D8905)</f>
        <v>0</v>
      </c>
      <c r="H8905" s="135" t="n">
        <f aca="false">$G8905*'Analyse capacite'!$F$9</f>
        <v>0</v>
      </c>
      <c r="I8905" s="135" t="n">
        <f aca="false">$G8905*'Analyse capacite'!$C$9</f>
        <v>0</v>
      </c>
      <c r="J8905" s="135" t="n">
        <f aca="false">$G8905*'Analyse capacite'!$D$9</f>
        <v>0</v>
      </c>
      <c r="K8905" s="135" t="n">
        <f aca="false">$G8905*'Analyse capacite'!$E$9</f>
        <v>0</v>
      </c>
    </row>
    <row r="8906" customFormat="false" ht="15" hidden="false" customHeight="false" outlineLevel="0" collapsed="false">
      <c r="B8906" s="130" t="n">
        <v>2027</v>
      </c>
      <c r="C8906" s="131" t="s">
        <v>254</v>
      </c>
      <c r="D8906" s="132" t="n">
        <v>46725</v>
      </c>
      <c r="E8906" s="131" t="s">
        <v>36</v>
      </c>
      <c r="F8906" s="133" t="s">
        <v>11</v>
      </c>
      <c r="G8906" s="134" t="n">
        <f aca="false">LEN('Saisie programme'!$I$334)+SUMIFS('Vols additionnels'!$E$7:$E$66,'Vols additionnels'!$C$7:$C$66,$E8906,'Vols additionnels'!$D$7:$D$66,$F8906,'Vols additionnels'!$B$7:$B$66,$D8906)</f>
        <v>0</v>
      </c>
      <c r="H8906" s="135" t="n">
        <f aca="false">$G8906*'Analyse capacite'!$F$7</f>
        <v>0</v>
      </c>
      <c r="I8906" s="135" t="n">
        <f aca="false">$G8906*'Analyse capacite'!$C$7</f>
        <v>0</v>
      </c>
      <c r="J8906" s="135" t="n">
        <f aca="false">$G8906*'Analyse capacite'!$D$7</f>
        <v>0</v>
      </c>
      <c r="K8906" s="135" t="n">
        <f aca="false">$G8906*'Analyse capacite'!$E$7</f>
        <v>0</v>
      </c>
    </row>
    <row r="8907" customFormat="false" ht="15" hidden="false" customHeight="false" outlineLevel="0" collapsed="false">
      <c r="B8907" s="130" t="n">
        <v>2027</v>
      </c>
      <c r="C8907" s="131" t="s">
        <v>254</v>
      </c>
      <c r="D8907" s="132" t="n">
        <v>46725</v>
      </c>
      <c r="E8907" s="131" t="s">
        <v>36</v>
      </c>
      <c r="F8907" s="133" t="s">
        <v>19</v>
      </c>
      <c r="G8907" s="134" t="n">
        <f aca="false">LEN('Saisie programme'!$I$335)+SUMIFS('Vols additionnels'!$E$7:$E$66,'Vols additionnels'!$C$7:$C$66,$E8907,'Vols additionnels'!$D$7:$D$66,$F8907,'Vols additionnels'!$B$7:$B$66,$D8907)</f>
        <v>0</v>
      </c>
      <c r="H8907" s="135" t="n">
        <f aca="false">$G8907*'Analyse capacite'!$F$8</f>
        <v>0</v>
      </c>
      <c r="I8907" s="135" t="n">
        <f aca="false">$G8907*'Analyse capacite'!$C$8</f>
        <v>0</v>
      </c>
      <c r="J8907" s="135" t="n">
        <f aca="false">$G8907*'Analyse capacite'!$D$8</f>
        <v>0</v>
      </c>
      <c r="K8907" s="135" t="n">
        <f aca="false">$G8907*'Analyse capacite'!$E$8</f>
        <v>0</v>
      </c>
    </row>
    <row r="8908" customFormat="false" ht="15" hidden="false" customHeight="false" outlineLevel="0" collapsed="false">
      <c r="B8908" s="130" t="n">
        <v>2027</v>
      </c>
      <c r="C8908" s="131" t="s">
        <v>254</v>
      </c>
      <c r="D8908" s="132" t="n">
        <v>46725</v>
      </c>
      <c r="E8908" s="131" t="s">
        <v>36</v>
      </c>
      <c r="F8908" s="133" t="s">
        <v>24</v>
      </c>
      <c r="G8908" s="134" t="n">
        <f aca="false">LEN('Saisie programme'!$I$336)+SUMIFS('Vols additionnels'!$E$7:$E$66,'Vols additionnels'!$C$7:$C$66,$E8908,'Vols additionnels'!$D$7:$D$66,$F8908,'Vols additionnels'!$B$7:$B$66,$D8908)</f>
        <v>0</v>
      </c>
      <c r="H8908" s="135" t="n">
        <f aca="false">$G8908*'Analyse capacite'!$F$9</f>
        <v>0</v>
      </c>
      <c r="I8908" s="135" t="n">
        <f aca="false">$G8908*'Analyse capacite'!$C$9</f>
        <v>0</v>
      </c>
      <c r="J8908" s="135" t="n">
        <f aca="false">$G8908*'Analyse capacite'!$D$9</f>
        <v>0</v>
      </c>
      <c r="K8908" s="135" t="n">
        <f aca="false">$G8908*'Analyse capacite'!$E$9</f>
        <v>0</v>
      </c>
    </row>
    <row r="8909" customFormat="false" ht="15" hidden="false" customHeight="false" outlineLevel="0" collapsed="false">
      <c r="B8909" s="130" t="n">
        <v>2027</v>
      </c>
      <c r="C8909" s="131" t="s">
        <v>254</v>
      </c>
      <c r="D8909" s="132" t="n">
        <v>46725</v>
      </c>
      <c r="E8909" s="131" t="s">
        <v>40</v>
      </c>
      <c r="F8909" s="133" t="s">
        <v>11</v>
      </c>
      <c r="G8909" s="134" t="n">
        <f aca="false">LEN('Saisie programme'!$I$337)+SUMIFS('Vols additionnels'!$E$7:$E$66,'Vols additionnels'!$C$7:$C$66,$E8909,'Vols additionnels'!$D$7:$D$66,$F8909,'Vols additionnels'!$B$7:$B$66,$D8909)</f>
        <v>0</v>
      </c>
      <c r="H8909" s="135" t="n">
        <f aca="false">$G8909*'Analyse capacite'!$F$7</f>
        <v>0</v>
      </c>
      <c r="I8909" s="135" t="n">
        <f aca="false">$G8909*'Analyse capacite'!$C$7</f>
        <v>0</v>
      </c>
      <c r="J8909" s="135" t="n">
        <f aca="false">$G8909*'Analyse capacite'!$D$7</f>
        <v>0</v>
      </c>
      <c r="K8909" s="135" t="n">
        <f aca="false">$G8909*'Analyse capacite'!$E$7</f>
        <v>0</v>
      </c>
    </row>
    <row r="8910" customFormat="false" ht="15" hidden="false" customHeight="false" outlineLevel="0" collapsed="false">
      <c r="B8910" s="130" t="n">
        <v>2027</v>
      </c>
      <c r="C8910" s="131" t="s">
        <v>254</v>
      </c>
      <c r="D8910" s="132" t="n">
        <v>46725</v>
      </c>
      <c r="E8910" s="131" t="s">
        <v>40</v>
      </c>
      <c r="F8910" s="133" t="s">
        <v>19</v>
      </c>
      <c r="G8910" s="134" t="n">
        <f aca="false">LEN('Saisie programme'!$I$338)+SUMIFS('Vols additionnels'!$E$7:$E$66,'Vols additionnels'!$C$7:$C$66,$E8910,'Vols additionnels'!$D$7:$D$66,$F8910,'Vols additionnels'!$B$7:$B$66,$D8910)</f>
        <v>0</v>
      </c>
      <c r="H8910" s="135" t="n">
        <f aca="false">$G8910*'Analyse capacite'!$F$8</f>
        <v>0</v>
      </c>
      <c r="I8910" s="135" t="n">
        <f aca="false">$G8910*'Analyse capacite'!$C$8</f>
        <v>0</v>
      </c>
      <c r="J8910" s="135" t="n">
        <f aca="false">$G8910*'Analyse capacite'!$D$8</f>
        <v>0</v>
      </c>
      <c r="K8910" s="135" t="n">
        <f aca="false">$G8910*'Analyse capacite'!$E$8</f>
        <v>0</v>
      </c>
    </row>
    <row r="8911" customFormat="false" ht="15" hidden="false" customHeight="false" outlineLevel="0" collapsed="false">
      <c r="B8911" s="130" t="n">
        <v>2027</v>
      </c>
      <c r="C8911" s="131" t="s">
        <v>254</v>
      </c>
      <c r="D8911" s="132" t="n">
        <v>46725</v>
      </c>
      <c r="E8911" s="131" t="s">
        <v>40</v>
      </c>
      <c r="F8911" s="133" t="s">
        <v>24</v>
      </c>
      <c r="G8911" s="134" t="n">
        <f aca="false">LEN('Saisie programme'!$I$339)+SUMIFS('Vols additionnels'!$E$7:$E$66,'Vols additionnels'!$C$7:$C$66,$E8911,'Vols additionnels'!$D$7:$D$66,$F8911,'Vols additionnels'!$B$7:$B$66,$D8911)</f>
        <v>0</v>
      </c>
      <c r="H8911" s="135" t="n">
        <f aca="false">$G8911*'Analyse capacite'!$F$9</f>
        <v>0</v>
      </c>
      <c r="I8911" s="135" t="n">
        <f aca="false">$G8911*'Analyse capacite'!$C$9</f>
        <v>0</v>
      </c>
      <c r="J8911" s="135" t="n">
        <f aca="false">$G8911*'Analyse capacite'!$D$9</f>
        <v>0</v>
      </c>
      <c r="K8911" s="135" t="n">
        <f aca="false">$G8911*'Analyse capacite'!$E$9</f>
        <v>0</v>
      </c>
    </row>
    <row r="8912" customFormat="false" ht="15" hidden="false" customHeight="false" outlineLevel="0" collapsed="false">
      <c r="B8912" s="130" t="n">
        <v>2027</v>
      </c>
      <c r="C8912" s="131" t="s">
        <v>254</v>
      </c>
      <c r="D8912" s="132" t="n">
        <v>46725</v>
      </c>
      <c r="E8912" s="131" t="s">
        <v>14</v>
      </c>
      <c r="F8912" s="133" t="s">
        <v>11</v>
      </c>
      <c r="G8912" s="134" t="n">
        <f aca="false">LEN('Saisie programme'!$I$340)+SUMIFS('Vols additionnels'!$E$7:$E$66,'Vols additionnels'!$C$7:$C$66,$E8912,'Vols additionnels'!$D$7:$D$66,$F8912,'Vols additionnels'!$B$7:$B$66,$D8912)</f>
        <v>0</v>
      </c>
      <c r="H8912" s="135" t="n">
        <f aca="false">$G8912*'Analyse capacite'!$F$7</f>
        <v>0</v>
      </c>
      <c r="I8912" s="135" t="n">
        <f aca="false">$G8912*'Analyse capacite'!$C$7</f>
        <v>0</v>
      </c>
      <c r="J8912" s="135" t="n">
        <f aca="false">$G8912*'Analyse capacite'!$D$7</f>
        <v>0</v>
      </c>
      <c r="K8912" s="135" t="n">
        <f aca="false">$G8912*'Analyse capacite'!$E$7</f>
        <v>0</v>
      </c>
    </row>
    <row r="8913" customFormat="false" ht="15" hidden="false" customHeight="false" outlineLevel="0" collapsed="false">
      <c r="B8913" s="130" t="n">
        <v>2027</v>
      </c>
      <c r="C8913" s="131" t="s">
        <v>254</v>
      </c>
      <c r="D8913" s="132" t="n">
        <v>46725</v>
      </c>
      <c r="E8913" s="131" t="s">
        <v>14</v>
      </c>
      <c r="F8913" s="133" t="s">
        <v>19</v>
      </c>
      <c r="G8913" s="134" t="n">
        <f aca="false">LEN('Saisie programme'!$I$341)+SUMIFS('Vols additionnels'!$E$7:$E$66,'Vols additionnels'!$C$7:$C$66,$E8913,'Vols additionnels'!$D$7:$D$66,$F8913,'Vols additionnels'!$B$7:$B$66,$D8913)</f>
        <v>0</v>
      </c>
      <c r="H8913" s="135" t="n">
        <f aca="false">$G8913*'Analyse capacite'!$F$8</f>
        <v>0</v>
      </c>
      <c r="I8913" s="135" t="n">
        <f aca="false">$G8913*'Analyse capacite'!$C$8</f>
        <v>0</v>
      </c>
      <c r="J8913" s="135" t="n">
        <f aca="false">$G8913*'Analyse capacite'!$D$8</f>
        <v>0</v>
      </c>
      <c r="K8913" s="135" t="n">
        <f aca="false">$G8913*'Analyse capacite'!$E$8</f>
        <v>0</v>
      </c>
    </row>
    <row r="8914" customFormat="false" ht="15" hidden="false" customHeight="false" outlineLevel="0" collapsed="false">
      <c r="B8914" s="130" t="n">
        <v>2027</v>
      </c>
      <c r="C8914" s="131" t="s">
        <v>254</v>
      </c>
      <c r="D8914" s="132" t="n">
        <v>46725</v>
      </c>
      <c r="E8914" s="131" t="s">
        <v>14</v>
      </c>
      <c r="F8914" s="133" t="s">
        <v>24</v>
      </c>
      <c r="G8914" s="134" t="n">
        <f aca="false">LEN('Saisie programme'!$I$342)+SUMIFS('Vols additionnels'!$E$7:$E$66,'Vols additionnels'!$C$7:$C$66,$E8914,'Vols additionnels'!$D$7:$D$66,$F8914,'Vols additionnels'!$B$7:$B$66,$D8914)</f>
        <v>1</v>
      </c>
      <c r="H8914" s="135" t="n">
        <f aca="false">$G8914*'Analyse capacite'!$F$9</f>
        <v>174</v>
      </c>
      <c r="I8914" s="135" t="n">
        <f aca="false">$G8914*'Analyse capacite'!$C$9</f>
        <v>0</v>
      </c>
      <c r="J8914" s="135" t="n">
        <f aca="false">$G8914*'Analyse capacite'!$D$9</f>
        <v>12</v>
      </c>
      <c r="K8914" s="135" t="n">
        <f aca="false">$G8914*'Analyse capacite'!$E$9</f>
        <v>162</v>
      </c>
    </row>
    <row r="8915" customFormat="false" ht="15" hidden="false" customHeight="false" outlineLevel="0" collapsed="false">
      <c r="B8915" s="130" t="n">
        <v>2027</v>
      </c>
      <c r="C8915" s="131" t="s">
        <v>254</v>
      </c>
      <c r="D8915" s="132" t="n">
        <v>46725</v>
      </c>
      <c r="E8915" s="131" t="s">
        <v>46</v>
      </c>
      <c r="F8915" s="133" t="s">
        <v>11</v>
      </c>
      <c r="G8915" s="134" t="n">
        <f aca="false">LEN('Saisie programme'!$I$343)+SUMIFS('Vols additionnels'!$E$7:$E$66,'Vols additionnels'!$C$7:$C$66,$E8915,'Vols additionnels'!$D$7:$D$66,$F8915,'Vols additionnels'!$B$7:$B$66,$D8915)</f>
        <v>0</v>
      </c>
      <c r="H8915" s="135" t="n">
        <f aca="false">$G8915*'Analyse capacite'!$F$7</f>
        <v>0</v>
      </c>
      <c r="I8915" s="135" t="n">
        <f aca="false">$G8915*'Analyse capacite'!$C$7</f>
        <v>0</v>
      </c>
      <c r="J8915" s="135" t="n">
        <f aca="false">$G8915*'Analyse capacite'!$D$7</f>
        <v>0</v>
      </c>
      <c r="K8915" s="135" t="n">
        <f aca="false">$G8915*'Analyse capacite'!$E$7</f>
        <v>0</v>
      </c>
    </row>
    <row r="8916" customFormat="false" ht="15" hidden="false" customHeight="false" outlineLevel="0" collapsed="false">
      <c r="B8916" s="130" t="n">
        <v>2027</v>
      </c>
      <c r="C8916" s="131" t="s">
        <v>254</v>
      </c>
      <c r="D8916" s="132" t="n">
        <v>46725</v>
      </c>
      <c r="E8916" s="131" t="s">
        <v>46</v>
      </c>
      <c r="F8916" s="133" t="s">
        <v>19</v>
      </c>
      <c r="G8916" s="134" t="n">
        <f aca="false">LEN('Saisie programme'!$I$344)+SUMIFS('Vols additionnels'!$E$7:$E$66,'Vols additionnels'!$C$7:$C$66,$E8916,'Vols additionnels'!$D$7:$D$66,$F8916,'Vols additionnels'!$B$7:$B$66,$D8916)</f>
        <v>0</v>
      </c>
      <c r="H8916" s="135" t="n">
        <f aca="false">$G8916*'Analyse capacite'!$F$8</f>
        <v>0</v>
      </c>
      <c r="I8916" s="135" t="n">
        <f aca="false">$G8916*'Analyse capacite'!$C$8</f>
        <v>0</v>
      </c>
      <c r="J8916" s="135" t="n">
        <f aca="false">$G8916*'Analyse capacite'!$D$8</f>
        <v>0</v>
      </c>
      <c r="K8916" s="135" t="n">
        <f aca="false">$G8916*'Analyse capacite'!$E$8</f>
        <v>0</v>
      </c>
    </row>
    <row r="8917" customFormat="false" ht="15" hidden="false" customHeight="false" outlineLevel="0" collapsed="false">
      <c r="B8917" s="130" t="n">
        <v>2027</v>
      </c>
      <c r="C8917" s="131" t="s">
        <v>254</v>
      </c>
      <c r="D8917" s="132" t="n">
        <v>46725</v>
      </c>
      <c r="E8917" s="131" t="s">
        <v>46</v>
      </c>
      <c r="F8917" s="133" t="s">
        <v>24</v>
      </c>
      <c r="G8917" s="134" t="n">
        <f aca="false">LEN('Saisie programme'!$I$345)+SUMIFS('Vols additionnels'!$E$7:$E$66,'Vols additionnels'!$C$7:$C$66,$E8917,'Vols additionnels'!$D$7:$D$66,$F8917,'Vols additionnels'!$B$7:$B$66,$D8917)</f>
        <v>1</v>
      </c>
      <c r="H8917" s="135" t="n">
        <f aca="false">$G8917*'Analyse capacite'!$F$9</f>
        <v>174</v>
      </c>
      <c r="I8917" s="135" t="n">
        <f aca="false">$G8917*'Analyse capacite'!$C$9</f>
        <v>0</v>
      </c>
      <c r="J8917" s="135" t="n">
        <f aca="false">$G8917*'Analyse capacite'!$D$9</f>
        <v>12</v>
      </c>
      <c r="K8917" s="135" t="n">
        <f aca="false">$G8917*'Analyse capacite'!$E$9</f>
        <v>162</v>
      </c>
    </row>
    <row r="8918" customFormat="false" ht="15" hidden="false" customHeight="false" outlineLevel="0" collapsed="false">
      <c r="B8918" s="130" t="n">
        <v>2027</v>
      </c>
      <c r="C8918" s="131" t="s">
        <v>254</v>
      </c>
      <c r="D8918" s="132" t="n">
        <v>46725</v>
      </c>
      <c r="E8918" s="131" t="s">
        <v>49</v>
      </c>
      <c r="F8918" s="133" t="s">
        <v>11</v>
      </c>
      <c r="G8918" s="134" t="n">
        <f aca="false">LEN('Saisie programme'!$I$346)+SUMIFS('Vols additionnels'!$E$7:$E$66,'Vols additionnels'!$C$7:$C$66,$E8918,'Vols additionnels'!$D$7:$D$66,$F8918,'Vols additionnels'!$B$7:$B$66,$D8918)</f>
        <v>0</v>
      </c>
      <c r="H8918" s="135" t="n">
        <f aca="false">$G8918*'Analyse capacite'!$F$7</f>
        <v>0</v>
      </c>
      <c r="I8918" s="135" t="n">
        <f aca="false">$G8918*'Analyse capacite'!$C$7</f>
        <v>0</v>
      </c>
      <c r="J8918" s="135" t="n">
        <f aca="false">$G8918*'Analyse capacite'!$D$7</f>
        <v>0</v>
      </c>
      <c r="K8918" s="135" t="n">
        <f aca="false">$G8918*'Analyse capacite'!$E$7</f>
        <v>0</v>
      </c>
    </row>
    <row r="8919" customFormat="false" ht="15" hidden="false" customHeight="false" outlineLevel="0" collapsed="false">
      <c r="B8919" s="130" t="n">
        <v>2027</v>
      </c>
      <c r="C8919" s="131" t="s">
        <v>254</v>
      </c>
      <c r="D8919" s="132" t="n">
        <v>46725</v>
      </c>
      <c r="E8919" s="131" t="s">
        <v>49</v>
      </c>
      <c r="F8919" s="133" t="s">
        <v>19</v>
      </c>
      <c r="G8919" s="134" t="n">
        <f aca="false">LEN('Saisie programme'!$I$347)+SUMIFS('Vols additionnels'!$E$7:$E$66,'Vols additionnels'!$C$7:$C$66,$E8919,'Vols additionnels'!$D$7:$D$66,$F8919,'Vols additionnels'!$B$7:$B$66,$D8919)</f>
        <v>0</v>
      </c>
      <c r="H8919" s="135" t="n">
        <f aca="false">$G8919*'Analyse capacite'!$F$8</f>
        <v>0</v>
      </c>
      <c r="I8919" s="135" t="n">
        <f aca="false">$G8919*'Analyse capacite'!$C$8</f>
        <v>0</v>
      </c>
      <c r="J8919" s="135" t="n">
        <f aca="false">$G8919*'Analyse capacite'!$D$8</f>
        <v>0</v>
      </c>
      <c r="K8919" s="135" t="n">
        <f aca="false">$G8919*'Analyse capacite'!$E$8</f>
        <v>0</v>
      </c>
    </row>
    <row r="8920" customFormat="false" ht="15" hidden="false" customHeight="false" outlineLevel="0" collapsed="false">
      <c r="B8920" s="130" t="n">
        <v>2027</v>
      </c>
      <c r="C8920" s="131" t="s">
        <v>254</v>
      </c>
      <c r="D8920" s="132" t="n">
        <v>46725</v>
      </c>
      <c r="E8920" s="131" t="s">
        <v>49</v>
      </c>
      <c r="F8920" s="133" t="s">
        <v>24</v>
      </c>
      <c r="G8920" s="134" t="n">
        <f aca="false">LEN('Saisie programme'!$I$348)+SUMIFS('Vols additionnels'!$E$7:$E$66,'Vols additionnels'!$C$7:$C$66,$E8920,'Vols additionnels'!$D$7:$D$66,$F8920,'Vols additionnels'!$B$7:$B$66,$D8920)</f>
        <v>0</v>
      </c>
      <c r="H8920" s="135" t="n">
        <f aca="false">$G8920*'Analyse capacite'!$F$9</f>
        <v>0</v>
      </c>
      <c r="I8920" s="135" t="n">
        <f aca="false">$G8920*'Analyse capacite'!$C$9</f>
        <v>0</v>
      </c>
      <c r="J8920" s="135" t="n">
        <f aca="false">$G8920*'Analyse capacite'!$D$9</f>
        <v>0</v>
      </c>
      <c r="K8920" s="135" t="n">
        <f aca="false">$G8920*'Analyse capacite'!$E$9</f>
        <v>0</v>
      </c>
    </row>
    <row r="8921" customFormat="false" ht="15" hidden="false" customHeight="false" outlineLevel="0" collapsed="false">
      <c r="B8921" s="130" t="n">
        <v>2027</v>
      </c>
      <c r="C8921" s="131" t="s">
        <v>254</v>
      </c>
      <c r="D8921" s="132" t="n">
        <v>46725</v>
      </c>
      <c r="E8921" s="131" t="s">
        <v>53</v>
      </c>
      <c r="F8921" s="133" t="s">
        <v>11</v>
      </c>
      <c r="G8921" s="134" t="n">
        <f aca="false">LEN('Saisie programme'!$I$349)+SUMIFS('Vols additionnels'!$E$7:$E$66,'Vols additionnels'!$C$7:$C$66,$E8921,'Vols additionnels'!$D$7:$D$66,$F8921,'Vols additionnels'!$B$7:$B$66,$D8921)</f>
        <v>0</v>
      </c>
      <c r="H8921" s="135" t="n">
        <f aca="false">$G8921*'Analyse capacite'!$F$7</f>
        <v>0</v>
      </c>
      <c r="I8921" s="135" t="n">
        <f aca="false">$G8921*'Analyse capacite'!$C$7</f>
        <v>0</v>
      </c>
      <c r="J8921" s="135" t="n">
        <f aca="false">$G8921*'Analyse capacite'!$D$7</f>
        <v>0</v>
      </c>
      <c r="K8921" s="135" t="n">
        <f aca="false">$G8921*'Analyse capacite'!$E$7</f>
        <v>0</v>
      </c>
    </row>
    <row r="8922" customFormat="false" ht="15" hidden="false" customHeight="false" outlineLevel="0" collapsed="false">
      <c r="B8922" s="130" t="n">
        <v>2027</v>
      </c>
      <c r="C8922" s="131" t="s">
        <v>254</v>
      </c>
      <c r="D8922" s="132" t="n">
        <v>46725</v>
      </c>
      <c r="E8922" s="131" t="s">
        <v>53</v>
      </c>
      <c r="F8922" s="133" t="s">
        <v>19</v>
      </c>
      <c r="G8922" s="134" t="n">
        <f aca="false">LEN('Saisie programme'!$I$350)+SUMIFS('Vols additionnels'!$E$7:$E$66,'Vols additionnels'!$C$7:$C$66,$E8922,'Vols additionnels'!$D$7:$D$66,$F8922,'Vols additionnels'!$B$7:$B$66,$D8922)</f>
        <v>0</v>
      </c>
      <c r="H8922" s="135" t="n">
        <f aca="false">$G8922*'Analyse capacite'!$F$8</f>
        <v>0</v>
      </c>
      <c r="I8922" s="135" t="n">
        <f aca="false">$G8922*'Analyse capacite'!$C$8</f>
        <v>0</v>
      </c>
      <c r="J8922" s="135" t="n">
        <f aca="false">$G8922*'Analyse capacite'!$D$8</f>
        <v>0</v>
      </c>
      <c r="K8922" s="135" t="n">
        <f aca="false">$G8922*'Analyse capacite'!$E$8</f>
        <v>0</v>
      </c>
    </row>
    <row r="8923" customFormat="false" ht="15" hidden="false" customHeight="false" outlineLevel="0" collapsed="false">
      <c r="B8923" s="130" t="n">
        <v>2027</v>
      </c>
      <c r="C8923" s="131" t="s">
        <v>254</v>
      </c>
      <c r="D8923" s="132" t="n">
        <v>46725</v>
      </c>
      <c r="E8923" s="131" t="s">
        <v>53</v>
      </c>
      <c r="F8923" s="133" t="s">
        <v>24</v>
      </c>
      <c r="G8923" s="134" t="n">
        <f aca="false">LEN('Saisie programme'!$I$351)+SUMIFS('Vols additionnels'!$E$7:$E$66,'Vols additionnels'!$C$7:$C$66,$E8923,'Vols additionnels'!$D$7:$D$66,$F8923,'Vols additionnels'!$B$7:$B$66,$D8923)</f>
        <v>0</v>
      </c>
      <c r="H8923" s="135" t="n">
        <f aca="false">$G8923*'Analyse capacite'!$F$9</f>
        <v>0</v>
      </c>
      <c r="I8923" s="135" t="n">
        <f aca="false">$G8923*'Analyse capacite'!$C$9</f>
        <v>0</v>
      </c>
      <c r="J8923" s="135" t="n">
        <f aca="false">$G8923*'Analyse capacite'!$D$9</f>
        <v>0</v>
      </c>
      <c r="K8923" s="135" t="n">
        <f aca="false">$G8923*'Analyse capacite'!$E$9</f>
        <v>0</v>
      </c>
    </row>
    <row r="8924" customFormat="false" ht="15" hidden="false" customHeight="false" outlineLevel="0" collapsed="false">
      <c r="B8924" s="130" t="n">
        <v>2027</v>
      </c>
      <c r="C8924" s="131" t="s">
        <v>254</v>
      </c>
      <c r="D8924" s="132" t="n">
        <v>46725</v>
      </c>
      <c r="E8924" s="131" t="s">
        <v>56</v>
      </c>
      <c r="F8924" s="133" t="s">
        <v>11</v>
      </c>
      <c r="G8924" s="134" t="n">
        <f aca="false">LEN('Saisie programme'!$I$352)+SUMIFS('Vols additionnels'!$E$7:$E$66,'Vols additionnels'!$C$7:$C$66,$E8924,'Vols additionnels'!$D$7:$D$66,$F8924,'Vols additionnels'!$B$7:$B$66,$D8924)</f>
        <v>0</v>
      </c>
      <c r="H8924" s="135" t="n">
        <f aca="false">$G8924*'Analyse capacite'!$F$7</f>
        <v>0</v>
      </c>
      <c r="I8924" s="135" t="n">
        <f aca="false">$G8924*'Analyse capacite'!$C$7</f>
        <v>0</v>
      </c>
      <c r="J8924" s="135" t="n">
        <f aca="false">$G8924*'Analyse capacite'!$D$7</f>
        <v>0</v>
      </c>
      <c r="K8924" s="135" t="n">
        <f aca="false">$G8924*'Analyse capacite'!$E$7</f>
        <v>0</v>
      </c>
    </row>
    <row r="8925" customFormat="false" ht="15" hidden="false" customHeight="false" outlineLevel="0" collapsed="false">
      <c r="B8925" s="130" t="n">
        <v>2027</v>
      </c>
      <c r="C8925" s="131" t="s">
        <v>254</v>
      </c>
      <c r="D8925" s="132" t="n">
        <v>46725</v>
      </c>
      <c r="E8925" s="131" t="s">
        <v>56</v>
      </c>
      <c r="F8925" s="133" t="s">
        <v>19</v>
      </c>
      <c r="G8925" s="134" t="n">
        <f aca="false">LEN('Saisie programme'!$I$353)+SUMIFS('Vols additionnels'!$E$7:$E$66,'Vols additionnels'!$C$7:$C$66,$E8925,'Vols additionnels'!$D$7:$D$66,$F8925,'Vols additionnels'!$B$7:$B$66,$D8925)</f>
        <v>0</v>
      </c>
      <c r="H8925" s="135" t="n">
        <f aca="false">$G8925*'Analyse capacite'!$F$8</f>
        <v>0</v>
      </c>
      <c r="I8925" s="135" t="n">
        <f aca="false">$G8925*'Analyse capacite'!$C$8</f>
        <v>0</v>
      </c>
      <c r="J8925" s="135" t="n">
        <f aca="false">$G8925*'Analyse capacite'!$D$8</f>
        <v>0</v>
      </c>
      <c r="K8925" s="135" t="n">
        <f aca="false">$G8925*'Analyse capacite'!$E$8</f>
        <v>0</v>
      </c>
    </row>
    <row r="8926" customFormat="false" ht="15" hidden="false" customHeight="false" outlineLevel="0" collapsed="false">
      <c r="B8926" s="130" t="n">
        <v>2027</v>
      </c>
      <c r="C8926" s="131" t="s">
        <v>254</v>
      </c>
      <c r="D8926" s="132" t="n">
        <v>46725</v>
      </c>
      <c r="E8926" s="131" t="s">
        <v>56</v>
      </c>
      <c r="F8926" s="133" t="s">
        <v>24</v>
      </c>
      <c r="G8926" s="134" t="n">
        <f aca="false">LEN('Saisie programme'!$I$354)+SUMIFS('Vols additionnels'!$E$7:$E$66,'Vols additionnels'!$C$7:$C$66,$E8926,'Vols additionnels'!$D$7:$D$66,$F8926,'Vols additionnels'!$B$7:$B$66,$D8926)</f>
        <v>1</v>
      </c>
      <c r="H8926" s="135" t="n">
        <f aca="false">$G8926*'Analyse capacite'!$F$9</f>
        <v>174</v>
      </c>
      <c r="I8926" s="135" t="n">
        <f aca="false">$G8926*'Analyse capacite'!$C$9</f>
        <v>0</v>
      </c>
      <c r="J8926" s="135" t="n">
        <f aca="false">$G8926*'Analyse capacite'!$D$9</f>
        <v>12</v>
      </c>
      <c r="K8926" s="135" t="n">
        <f aca="false">$G8926*'Analyse capacite'!$E$9</f>
        <v>162</v>
      </c>
    </row>
    <row r="8927" customFormat="false" ht="15" hidden="false" customHeight="false" outlineLevel="0" collapsed="false">
      <c r="B8927" s="130" t="n">
        <v>2027</v>
      </c>
      <c r="C8927" s="131" t="s">
        <v>254</v>
      </c>
      <c r="D8927" s="132" t="n">
        <v>46725</v>
      </c>
      <c r="E8927" s="131" t="s">
        <v>59</v>
      </c>
      <c r="F8927" s="133" t="s">
        <v>11</v>
      </c>
      <c r="G8927" s="134" t="n">
        <f aca="false">LEN('Saisie programme'!$I$355)+SUMIFS('Vols additionnels'!$E$7:$E$66,'Vols additionnels'!$C$7:$C$66,$E8927,'Vols additionnels'!$D$7:$D$66,$F8927,'Vols additionnels'!$B$7:$B$66,$D8927)</f>
        <v>0</v>
      </c>
      <c r="H8927" s="135" t="n">
        <f aca="false">$G8927*'Analyse capacite'!$F$7</f>
        <v>0</v>
      </c>
      <c r="I8927" s="135" t="n">
        <f aca="false">$G8927*'Analyse capacite'!$C$7</f>
        <v>0</v>
      </c>
      <c r="J8927" s="135" t="n">
        <f aca="false">$G8927*'Analyse capacite'!$D$7</f>
        <v>0</v>
      </c>
      <c r="K8927" s="135" t="n">
        <f aca="false">$G8927*'Analyse capacite'!$E$7</f>
        <v>0</v>
      </c>
    </row>
    <row r="8928" customFormat="false" ht="15" hidden="false" customHeight="false" outlineLevel="0" collapsed="false">
      <c r="B8928" s="130" t="n">
        <v>2027</v>
      </c>
      <c r="C8928" s="131" t="s">
        <v>254</v>
      </c>
      <c r="D8928" s="132" t="n">
        <v>46725</v>
      </c>
      <c r="E8928" s="131" t="s">
        <v>59</v>
      </c>
      <c r="F8928" s="133" t="s">
        <v>19</v>
      </c>
      <c r="G8928" s="134" t="n">
        <f aca="false">LEN('Saisie programme'!$I$356)+SUMIFS('Vols additionnels'!$E$7:$E$66,'Vols additionnels'!$C$7:$C$66,$E8928,'Vols additionnels'!$D$7:$D$66,$F8928,'Vols additionnels'!$B$7:$B$66,$D8928)</f>
        <v>0</v>
      </c>
      <c r="H8928" s="135" t="n">
        <f aca="false">$G8928*'Analyse capacite'!$F$8</f>
        <v>0</v>
      </c>
      <c r="I8928" s="135" t="n">
        <f aca="false">$G8928*'Analyse capacite'!$C$8</f>
        <v>0</v>
      </c>
      <c r="J8928" s="135" t="n">
        <f aca="false">$G8928*'Analyse capacite'!$D$8</f>
        <v>0</v>
      </c>
      <c r="K8928" s="135" t="n">
        <f aca="false">$G8928*'Analyse capacite'!$E$8</f>
        <v>0</v>
      </c>
    </row>
    <row r="8929" customFormat="false" ht="15" hidden="false" customHeight="false" outlineLevel="0" collapsed="false">
      <c r="B8929" s="130" t="n">
        <v>2027</v>
      </c>
      <c r="C8929" s="131" t="s">
        <v>254</v>
      </c>
      <c r="D8929" s="132" t="n">
        <v>46725</v>
      </c>
      <c r="E8929" s="131" t="s">
        <v>59</v>
      </c>
      <c r="F8929" s="133" t="s">
        <v>24</v>
      </c>
      <c r="G8929" s="134" t="n">
        <f aca="false">LEN('Saisie programme'!$I$357)+SUMIFS('Vols additionnels'!$E$7:$E$66,'Vols additionnels'!$C$7:$C$66,$E8929,'Vols additionnels'!$D$7:$D$66,$F8929,'Vols additionnels'!$B$7:$B$66,$D8929)</f>
        <v>1</v>
      </c>
      <c r="H8929" s="135" t="n">
        <f aca="false">$G8929*'Analyse capacite'!$F$9</f>
        <v>174</v>
      </c>
      <c r="I8929" s="135" t="n">
        <f aca="false">$G8929*'Analyse capacite'!$C$9</f>
        <v>0</v>
      </c>
      <c r="J8929" s="135" t="n">
        <f aca="false">$G8929*'Analyse capacite'!$D$9</f>
        <v>12</v>
      </c>
      <c r="K8929" s="135" t="n">
        <f aca="false">$G8929*'Analyse capacite'!$E$9</f>
        <v>162</v>
      </c>
    </row>
    <row r="8930" customFormat="false" ht="15" hidden="false" customHeight="false" outlineLevel="0" collapsed="false">
      <c r="B8930" s="130" t="n">
        <v>2027</v>
      </c>
      <c r="C8930" s="131" t="s">
        <v>254</v>
      </c>
      <c r="D8930" s="132" t="n">
        <v>46725</v>
      </c>
      <c r="E8930" s="131" t="s">
        <v>62</v>
      </c>
      <c r="F8930" s="133" t="s">
        <v>11</v>
      </c>
      <c r="G8930" s="134" t="n">
        <f aca="false">LEN('Saisie programme'!$I$358)+SUMIFS('Vols additionnels'!$E$7:$E$66,'Vols additionnels'!$C$7:$C$66,$E8930,'Vols additionnels'!$D$7:$D$66,$F8930,'Vols additionnels'!$B$7:$B$66,$D8930)</f>
        <v>0</v>
      </c>
      <c r="H8930" s="135" t="n">
        <f aca="false">$G8930*'Analyse capacite'!$F$7</f>
        <v>0</v>
      </c>
      <c r="I8930" s="135" t="n">
        <f aca="false">$G8930*'Analyse capacite'!$C$7</f>
        <v>0</v>
      </c>
      <c r="J8930" s="135" t="n">
        <f aca="false">$G8930*'Analyse capacite'!$D$7</f>
        <v>0</v>
      </c>
      <c r="K8930" s="135" t="n">
        <f aca="false">$G8930*'Analyse capacite'!$E$7</f>
        <v>0</v>
      </c>
    </row>
    <row r="8931" customFormat="false" ht="15" hidden="false" customHeight="false" outlineLevel="0" collapsed="false">
      <c r="B8931" s="130" t="n">
        <v>2027</v>
      </c>
      <c r="C8931" s="131" t="s">
        <v>254</v>
      </c>
      <c r="D8931" s="132" t="n">
        <v>46725</v>
      </c>
      <c r="E8931" s="131" t="s">
        <v>62</v>
      </c>
      <c r="F8931" s="133" t="s">
        <v>19</v>
      </c>
      <c r="G8931" s="134" t="n">
        <f aca="false">LEN('Saisie programme'!$I$359)+SUMIFS('Vols additionnels'!$E$7:$E$66,'Vols additionnels'!$C$7:$C$66,$E8931,'Vols additionnels'!$D$7:$D$66,$F8931,'Vols additionnels'!$B$7:$B$66,$D8931)</f>
        <v>0</v>
      </c>
      <c r="H8931" s="135" t="n">
        <f aca="false">$G8931*'Analyse capacite'!$F$8</f>
        <v>0</v>
      </c>
      <c r="I8931" s="135" t="n">
        <f aca="false">$G8931*'Analyse capacite'!$C$8</f>
        <v>0</v>
      </c>
      <c r="J8931" s="135" t="n">
        <f aca="false">$G8931*'Analyse capacite'!$D$8</f>
        <v>0</v>
      </c>
      <c r="K8931" s="135" t="n">
        <f aca="false">$G8931*'Analyse capacite'!$E$8</f>
        <v>0</v>
      </c>
    </row>
    <row r="8932" customFormat="false" ht="15" hidden="false" customHeight="false" outlineLevel="0" collapsed="false">
      <c r="B8932" s="130" t="n">
        <v>2027</v>
      </c>
      <c r="C8932" s="131" t="s">
        <v>254</v>
      </c>
      <c r="D8932" s="132" t="n">
        <v>46725</v>
      </c>
      <c r="E8932" s="131" t="s">
        <v>62</v>
      </c>
      <c r="F8932" s="133" t="s">
        <v>24</v>
      </c>
      <c r="G8932" s="134" t="n">
        <f aca="false">LEN('Saisie programme'!$I$360)+SUMIFS('Vols additionnels'!$E$7:$E$66,'Vols additionnels'!$C$7:$C$66,$E8932,'Vols additionnels'!$D$7:$D$66,$F8932,'Vols additionnels'!$B$7:$B$66,$D8932)</f>
        <v>0</v>
      </c>
      <c r="H8932" s="135" t="n">
        <f aca="false">$G8932*'Analyse capacite'!$F$9</f>
        <v>0</v>
      </c>
      <c r="I8932" s="135" t="n">
        <f aca="false">$G8932*'Analyse capacite'!$C$9</f>
        <v>0</v>
      </c>
      <c r="J8932" s="135" t="n">
        <f aca="false">$G8932*'Analyse capacite'!$D$9</f>
        <v>0</v>
      </c>
      <c r="K8932" s="135" t="n">
        <f aca="false">$G8932*'Analyse capacite'!$E$9</f>
        <v>0</v>
      </c>
    </row>
    <row r="8933" customFormat="false" ht="15" hidden="false" customHeight="false" outlineLevel="0" collapsed="false">
      <c r="B8933" s="130" t="n">
        <v>2027</v>
      </c>
      <c r="C8933" s="131" t="s">
        <v>254</v>
      </c>
      <c r="D8933" s="132" t="n">
        <v>46726</v>
      </c>
      <c r="E8933" s="131" t="s">
        <v>12</v>
      </c>
      <c r="F8933" s="133" t="s">
        <v>11</v>
      </c>
      <c r="G8933" s="134" t="n">
        <f aca="false">LEN('Saisie programme'!$J$325)+SUMIFS('Vols additionnels'!$E$7:$E$66,'Vols additionnels'!$C$7:$C$66,$E8933,'Vols additionnels'!$D$7:$D$66,$F8933,'Vols additionnels'!$B$7:$B$66,$D8933)</f>
        <v>1</v>
      </c>
      <c r="H8933" s="135" t="n">
        <f aca="false">$G8933*'Analyse capacite'!$F$7</f>
        <v>438</v>
      </c>
      <c r="I8933" s="135" t="n">
        <f aca="false">$G8933*'Analyse capacite'!$C$7</f>
        <v>14</v>
      </c>
      <c r="J8933" s="135" t="n">
        <f aca="false">$G8933*'Analyse capacite'!$D$7</f>
        <v>40</v>
      </c>
      <c r="K8933" s="135" t="n">
        <f aca="false">$G8933*'Analyse capacite'!$E$7</f>
        <v>384</v>
      </c>
    </row>
    <row r="8934" customFormat="false" ht="15" hidden="false" customHeight="false" outlineLevel="0" collapsed="false">
      <c r="B8934" s="130" t="n">
        <v>2027</v>
      </c>
      <c r="C8934" s="131" t="s">
        <v>254</v>
      </c>
      <c r="D8934" s="132" t="n">
        <v>46726</v>
      </c>
      <c r="E8934" s="131" t="s">
        <v>12</v>
      </c>
      <c r="F8934" s="133" t="s">
        <v>19</v>
      </c>
      <c r="G8934" s="134" t="n">
        <f aca="false">LEN('Saisie programme'!$J$326)+SUMIFS('Vols additionnels'!$E$7:$E$66,'Vols additionnels'!$C$7:$C$66,$E8934,'Vols additionnels'!$D$7:$D$66,$F8934,'Vols additionnels'!$B$7:$B$66,$D8934)</f>
        <v>0</v>
      </c>
      <c r="H8934" s="135" t="n">
        <f aca="false">$G8934*'Analyse capacite'!$F$8</f>
        <v>0</v>
      </c>
      <c r="I8934" s="135" t="n">
        <f aca="false">$G8934*'Analyse capacite'!$C$8</f>
        <v>0</v>
      </c>
      <c r="J8934" s="135" t="n">
        <f aca="false">$G8934*'Analyse capacite'!$D$8</f>
        <v>0</v>
      </c>
      <c r="K8934" s="135" t="n">
        <f aca="false">$G8934*'Analyse capacite'!$E$8</f>
        <v>0</v>
      </c>
    </row>
    <row r="8935" customFormat="false" ht="15" hidden="false" customHeight="false" outlineLevel="0" collapsed="false">
      <c r="B8935" s="130" t="n">
        <v>2027</v>
      </c>
      <c r="C8935" s="131" t="s">
        <v>254</v>
      </c>
      <c r="D8935" s="132" t="n">
        <v>46726</v>
      </c>
      <c r="E8935" s="131" t="s">
        <v>12</v>
      </c>
      <c r="F8935" s="133" t="s">
        <v>24</v>
      </c>
      <c r="G8935" s="134" t="n">
        <f aca="false">LEN('Saisie programme'!$J$327)+SUMIFS('Vols additionnels'!$E$7:$E$66,'Vols additionnels'!$C$7:$C$66,$E8935,'Vols additionnels'!$D$7:$D$66,$F8935,'Vols additionnels'!$B$7:$B$66,$D8935)</f>
        <v>0</v>
      </c>
      <c r="H8935" s="135" t="n">
        <f aca="false">$G8935*'Analyse capacite'!$F$9</f>
        <v>0</v>
      </c>
      <c r="I8935" s="135" t="n">
        <f aca="false">$G8935*'Analyse capacite'!$C$9</f>
        <v>0</v>
      </c>
      <c r="J8935" s="135" t="n">
        <f aca="false">$G8935*'Analyse capacite'!$D$9</f>
        <v>0</v>
      </c>
      <c r="K8935" s="135" t="n">
        <f aca="false">$G8935*'Analyse capacite'!$E$9</f>
        <v>0</v>
      </c>
    </row>
    <row r="8936" customFormat="false" ht="15" hidden="false" customHeight="false" outlineLevel="0" collapsed="false">
      <c r="B8936" s="130" t="n">
        <v>2027</v>
      </c>
      <c r="C8936" s="131" t="s">
        <v>254</v>
      </c>
      <c r="D8936" s="132" t="n">
        <v>46726</v>
      </c>
      <c r="E8936" s="131" t="s">
        <v>20</v>
      </c>
      <c r="F8936" s="133" t="s">
        <v>11</v>
      </c>
      <c r="G8936" s="134" t="n">
        <f aca="false">LEN('Saisie programme'!$J$328)+SUMIFS('Vols additionnels'!$E$7:$E$66,'Vols additionnels'!$C$7:$C$66,$E8936,'Vols additionnels'!$D$7:$D$66,$F8936,'Vols additionnels'!$B$7:$B$66,$D8936)</f>
        <v>1</v>
      </c>
      <c r="H8936" s="135" t="n">
        <f aca="false">$G8936*'Analyse capacite'!$F$7</f>
        <v>438</v>
      </c>
      <c r="I8936" s="135" t="n">
        <f aca="false">$G8936*'Analyse capacite'!$C$7</f>
        <v>14</v>
      </c>
      <c r="J8936" s="135" t="n">
        <f aca="false">$G8936*'Analyse capacite'!$D$7</f>
        <v>40</v>
      </c>
      <c r="K8936" s="135" t="n">
        <f aca="false">$G8936*'Analyse capacite'!$E$7</f>
        <v>384</v>
      </c>
    </row>
    <row r="8937" customFormat="false" ht="15" hidden="false" customHeight="false" outlineLevel="0" collapsed="false">
      <c r="B8937" s="130" t="n">
        <v>2027</v>
      </c>
      <c r="C8937" s="131" t="s">
        <v>254</v>
      </c>
      <c r="D8937" s="132" t="n">
        <v>46726</v>
      </c>
      <c r="E8937" s="131" t="s">
        <v>20</v>
      </c>
      <c r="F8937" s="133" t="s">
        <v>19</v>
      </c>
      <c r="G8937" s="134" t="n">
        <f aca="false">LEN('Saisie programme'!$J$329)+SUMIFS('Vols additionnels'!$E$7:$E$66,'Vols additionnels'!$C$7:$C$66,$E8937,'Vols additionnels'!$D$7:$D$66,$F8937,'Vols additionnels'!$B$7:$B$66,$D8937)</f>
        <v>0</v>
      </c>
      <c r="H8937" s="135" t="n">
        <f aca="false">$G8937*'Analyse capacite'!$F$8</f>
        <v>0</v>
      </c>
      <c r="I8937" s="135" t="n">
        <f aca="false">$G8937*'Analyse capacite'!$C$8</f>
        <v>0</v>
      </c>
      <c r="J8937" s="135" t="n">
        <f aca="false">$G8937*'Analyse capacite'!$D$8</f>
        <v>0</v>
      </c>
      <c r="K8937" s="135" t="n">
        <f aca="false">$G8937*'Analyse capacite'!$E$8</f>
        <v>0</v>
      </c>
    </row>
    <row r="8938" customFormat="false" ht="15" hidden="false" customHeight="false" outlineLevel="0" collapsed="false">
      <c r="B8938" s="130" t="n">
        <v>2027</v>
      </c>
      <c r="C8938" s="131" t="s">
        <v>254</v>
      </c>
      <c r="D8938" s="132" t="n">
        <v>46726</v>
      </c>
      <c r="E8938" s="131" t="s">
        <v>20</v>
      </c>
      <c r="F8938" s="133" t="s">
        <v>24</v>
      </c>
      <c r="G8938" s="134" t="n">
        <f aca="false">LEN('Saisie programme'!$J$330)+SUMIFS('Vols additionnels'!$E$7:$E$66,'Vols additionnels'!$C$7:$C$66,$E8938,'Vols additionnels'!$D$7:$D$66,$F8938,'Vols additionnels'!$B$7:$B$66,$D8938)</f>
        <v>0</v>
      </c>
      <c r="H8938" s="135" t="n">
        <f aca="false">$G8938*'Analyse capacite'!$F$9</f>
        <v>0</v>
      </c>
      <c r="I8938" s="135" t="n">
        <f aca="false">$G8938*'Analyse capacite'!$C$9</f>
        <v>0</v>
      </c>
      <c r="J8938" s="135" t="n">
        <f aca="false">$G8938*'Analyse capacite'!$D$9</f>
        <v>0</v>
      </c>
      <c r="K8938" s="135" t="n">
        <f aca="false">$G8938*'Analyse capacite'!$E$9</f>
        <v>0</v>
      </c>
    </row>
    <row r="8939" customFormat="false" ht="15" hidden="false" customHeight="false" outlineLevel="0" collapsed="false">
      <c r="B8939" s="130" t="n">
        <v>2027</v>
      </c>
      <c r="C8939" s="131" t="s">
        <v>254</v>
      </c>
      <c r="D8939" s="132" t="n">
        <v>46726</v>
      </c>
      <c r="E8939" s="131" t="s">
        <v>25</v>
      </c>
      <c r="F8939" s="133" t="s">
        <v>11</v>
      </c>
      <c r="G8939" s="134" t="n">
        <f aca="false">LEN('Saisie programme'!$J$331)+SUMIFS('Vols additionnels'!$E$7:$E$66,'Vols additionnels'!$C$7:$C$66,$E8939,'Vols additionnels'!$D$7:$D$66,$F8939,'Vols additionnels'!$B$7:$B$66,$D8939)</f>
        <v>0</v>
      </c>
      <c r="H8939" s="135" t="n">
        <f aca="false">$G8939*'Analyse capacite'!$F$7</f>
        <v>0</v>
      </c>
      <c r="I8939" s="135" t="n">
        <f aca="false">$G8939*'Analyse capacite'!$C$7</f>
        <v>0</v>
      </c>
      <c r="J8939" s="135" t="n">
        <f aca="false">$G8939*'Analyse capacite'!$D$7</f>
        <v>0</v>
      </c>
      <c r="K8939" s="135" t="n">
        <f aca="false">$G8939*'Analyse capacite'!$E$7</f>
        <v>0</v>
      </c>
    </row>
    <row r="8940" customFormat="false" ht="15" hidden="false" customHeight="false" outlineLevel="0" collapsed="false">
      <c r="B8940" s="130" t="n">
        <v>2027</v>
      </c>
      <c r="C8940" s="131" t="s">
        <v>254</v>
      </c>
      <c r="D8940" s="132" t="n">
        <v>46726</v>
      </c>
      <c r="E8940" s="131" t="s">
        <v>25</v>
      </c>
      <c r="F8940" s="133" t="s">
        <v>19</v>
      </c>
      <c r="G8940" s="134" t="n">
        <f aca="false">LEN('Saisie programme'!$J$332)+SUMIFS('Vols additionnels'!$E$7:$E$66,'Vols additionnels'!$C$7:$C$66,$E8940,'Vols additionnels'!$D$7:$D$66,$F8940,'Vols additionnels'!$B$7:$B$66,$D8940)</f>
        <v>0</v>
      </c>
      <c r="H8940" s="135" t="n">
        <f aca="false">$G8940*'Analyse capacite'!$F$8</f>
        <v>0</v>
      </c>
      <c r="I8940" s="135" t="n">
        <f aca="false">$G8940*'Analyse capacite'!$C$8</f>
        <v>0</v>
      </c>
      <c r="J8940" s="135" t="n">
        <f aca="false">$G8940*'Analyse capacite'!$D$8</f>
        <v>0</v>
      </c>
      <c r="K8940" s="135" t="n">
        <f aca="false">$G8940*'Analyse capacite'!$E$8</f>
        <v>0</v>
      </c>
    </row>
    <row r="8941" customFormat="false" ht="15" hidden="false" customHeight="false" outlineLevel="0" collapsed="false">
      <c r="B8941" s="130" t="n">
        <v>2027</v>
      </c>
      <c r="C8941" s="131" t="s">
        <v>254</v>
      </c>
      <c r="D8941" s="132" t="n">
        <v>46726</v>
      </c>
      <c r="E8941" s="131" t="s">
        <v>25</v>
      </c>
      <c r="F8941" s="133" t="s">
        <v>24</v>
      </c>
      <c r="G8941" s="134" t="n">
        <f aca="false">LEN('Saisie programme'!$J$333)+SUMIFS('Vols additionnels'!$E$7:$E$66,'Vols additionnels'!$C$7:$C$66,$E8941,'Vols additionnels'!$D$7:$D$66,$F8941,'Vols additionnels'!$B$7:$B$66,$D8941)</f>
        <v>0</v>
      </c>
      <c r="H8941" s="135" t="n">
        <f aca="false">$G8941*'Analyse capacite'!$F$9</f>
        <v>0</v>
      </c>
      <c r="I8941" s="135" t="n">
        <f aca="false">$G8941*'Analyse capacite'!$C$9</f>
        <v>0</v>
      </c>
      <c r="J8941" s="135" t="n">
        <f aca="false">$G8941*'Analyse capacite'!$D$9</f>
        <v>0</v>
      </c>
      <c r="K8941" s="135" t="n">
        <f aca="false">$G8941*'Analyse capacite'!$E$9</f>
        <v>0</v>
      </c>
    </row>
    <row r="8942" customFormat="false" ht="15" hidden="false" customHeight="false" outlineLevel="0" collapsed="false">
      <c r="B8942" s="130" t="n">
        <v>2027</v>
      </c>
      <c r="C8942" s="131" t="s">
        <v>254</v>
      </c>
      <c r="D8942" s="132" t="n">
        <v>46726</v>
      </c>
      <c r="E8942" s="131" t="s">
        <v>36</v>
      </c>
      <c r="F8942" s="133" t="s">
        <v>11</v>
      </c>
      <c r="G8942" s="134" t="n">
        <f aca="false">LEN('Saisie programme'!$J$334)+SUMIFS('Vols additionnels'!$E$7:$E$66,'Vols additionnels'!$C$7:$C$66,$E8942,'Vols additionnels'!$D$7:$D$66,$F8942,'Vols additionnels'!$B$7:$B$66,$D8942)</f>
        <v>0</v>
      </c>
      <c r="H8942" s="135" t="n">
        <f aca="false">$G8942*'Analyse capacite'!$F$7</f>
        <v>0</v>
      </c>
      <c r="I8942" s="135" t="n">
        <f aca="false">$G8942*'Analyse capacite'!$C$7</f>
        <v>0</v>
      </c>
      <c r="J8942" s="135" t="n">
        <f aca="false">$G8942*'Analyse capacite'!$D$7</f>
        <v>0</v>
      </c>
      <c r="K8942" s="135" t="n">
        <f aca="false">$G8942*'Analyse capacite'!$E$7</f>
        <v>0</v>
      </c>
    </row>
    <row r="8943" customFormat="false" ht="15" hidden="false" customHeight="false" outlineLevel="0" collapsed="false">
      <c r="B8943" s="130" t="n">
        <v>2027</v>
      </c>
      <c r="C8943" s="131" t="s">
        <v>254</v>
      </c>
      <c r="D8943" s="132" t="n">
        <v>46726</v>
      </c>
      <c r="E8943" s="131" t="s">
        <v>36</v>
      </c>
      <c r="F8943" s="133" t="s">
        <v>19</v>
      </c>
      <c r="G8943" s="134" t="n">
        <f aca="false">LEN('Saisie programme'!$J$335)+SUMIFS('Vols additionnels'!$E$7:$E$66,'Vols additionnels'!$C$7:$C$66,$E8943,'Vols additionnels'!$D$7:$D$66,$F8943,'Vols additionnels'!$B$7:$B$66,$D8943)</f>
        <v>0</v>
      </c>
      <c r="H8943" s="135" t="n">
        <f aca="false">$G8943*'Analyse capacite'!$F$8</f>
        <v>0</v>
      </c>
      <c r="I8943" s="135" t="n">
        <f aca="false">$G8943*'Analyse capacite'!$C$8</f>
        <v>0</v>
      </c>
      <c r="J8943" s="135" t="n">
        <f aca="false">$G8943*'Analyse capacite'!$D$8</f>
        <v>0</v>
      </c>
      <c r="K8943" s="135" t="n">
        <f aca="false">$G8943*'Analyse capacite'!$E$8</f>
        <v>0</v>
      </c>
    </row>
    <row r="8944" customFormat="false" ht="15" hidden="false" customHeight="false" outlineLevel="0" collapsed="false">
      <c r="B8944" s="130" t="n">
        <v>2027</v>
      </c>
      <c r="C8944" s="131" t="s">
        <v>254</v>
      </c>
      <c r="D8944" s="132" t="n">
        <v>46726</v>
      </c>
      <c r="E8944" s="131" t="s">
        <v>36</v>
      </c>
      <c r="F8944" s="133" t="s">
        <v>24</v>
      </c>
      <c r="G8944" s="134" t="n">
        <f aca="false">LEN('Saisie programme'!$J$336)+SUMIFS('Vols additionnels'!$E$7:$E$66,'Vols additionnels'!$C$7:$C$66,$E8944,'Vols additionnels'!$D$7:$D$66,$F8944,'Vols additionnels'!$B$7:$B$66,$D8944)</f>
        <v>0</v>
      </c>
      <c r="H8944" s="135" t="n">
        <f aca="false">$G8944*'Analyse capacite'!$F$9</f>
        <v>0</v>
      </c>
      <c r="I8944" s="135" t="n">
        <f aca="false">$G8944*'Analyse capacite'!$C$9</f>
        <v>0</v>
      </c>
      <c r="J8944" s="135" t="n">
        <f aca="false">$G8944*'Analyse capacite'!$D$9</f>
        <v>0</v>
      </c>
      <c r="K8944" s="135" t="n">
        <f aca="false">$G8944*'Analyse capacite'!$E$9</f>
        <v>0</v>
      </c>
    </row>
    <row r="8945" customFormat="false" ht="15" hidden="false" customHeight="false" outlineLevel="0" collapsed="false">
      <c r="B8945" s="130" t="n">
        <v>2027</v>
      </c>
      <c r="C8945" s="131" t="s">
        <v>254</v>
      </c>
      <c r="D8945" s="132" t="n">
        <v>46726</v>
      </c>
      <c r="E8945" s="131" t="s">
        <v>40</v>
      </c>
      <c r="F8945" s="133" t="s">
        <v>11</v>
      </c>
      <c r="G8945" s="134" t="n">
        <f aca="false">LEN('Saisie programme'!$J$337)+SUMIFS('Vols additionnels'!$E$7:$E$66,'Vols additionnels'!$C$7:$C$66,$E8945,'Vols additionnels'!$D$7:$D$66,$F8945,'Vols additionnels'!$B$7:$B$66,$D8945)</f>
        <v>0</v>
      </c>
      <c r="H8945" s="135" t="n">
        <f aca="false">$G8945*'Analyse capacite'!$F$7</f>
        <v>0</v>
      </c>
      <c r="I8945" s="135" t="n">
        <f aca="false">$G8945*'Analyse capacite'!$C$7</f>
        <v>0</v>
      </c>
      <c r="J8945" s="135" t="n">
        <f aca="false">$G8945*'Analyse capacite'!$D$7</f>
        <v>0</v>
      </c>
      <c r="K8945" s="135" t="n">
        <f aca="false">$G8945*'Analyse capacite'!$E$7</f>
        <v>0</v>
      </c>
    </row>
    <row r="8946" customFormat="false" ht="15" hidden="false" customHeight="false" outlineLevel="0" collapsed="false">
      <c r="B8946" s="130" t="n">
        <v>2027</v>
      </c>
      <c r="C8946" s="131" t="s">
        <v>254</v>
      </c>
      <c r="D8946" s="132" t="n">
        <v>46726</v>
      </c>
      <c r="E8946" s="131" t="s">
        <v>40</v>
      </c>
      <c r="F8946" s="133" t="s">
        <v>19</v>
      </c>
      <c r="G8946" s="134" t="n">
        <f aca="false">LEN('Saisie programme'!$J$338)+SUMIFS('Vols additionnels'!$E$7:$E$66,'Vols additionnels'!$C$7:$C$66,$E8946,'Vols additionnels'!$D$7:$D$66,$F8946,'Vols additionnels'!$B$7:$B$66,$D8946)</f>
        <v>0</v>
      </c>
      <c r="H8946" s="135" t="n">
        <f aca="false">$G8946*'Analyse capacite'!$F$8</f>
        <v>0</v>
      </c>
      <c r="I8946" s="135" t="n">
        <f aca="false">$G8946*'Analyse capacite'!$C$8</f>
        <v>0</v>
      </c>
      <c r="J8946" s="135" t="n">
        <f aca="false">$G8946*'Analyse capacite'!$D$8</f>
        <v>0</v>
      </c>
      <c r="K8946" s="135" t="n">
        <f aca="false">$G8946*'Analyse capacite'!$E$8</f>
        <v>0</v>
      </c>
    </row>
    <row r="8947" customFormat="false" ht="15" hidden="false" customHeight="false" outlineLevel="0" collapsed="false">
      <c r="B8947" s="130" t="n">
        <v>2027</v>
      </c>
      <c r="C8947" s="131" t="s">
        <v>254</v>
      </c>
      <c r="D8947" s="132" t="n">
        <v>46726</v>
      </c>
      <c r="E8947" s="131" t="s">
        <v>40</v>
      </c>
      <c r="F8947" s="133" t="s">
        <v>24</v>
      </c>
      <c r="G8947" s="134" t="n">
        <f aca="false">LEN('Saisie programme'!$J$339)+SUMIFS('Vols additionnels'!$E$7:$E$66,'Vols additionnels'!$C$7:$C$66,$E8947,'Vols additionnels'!$D$7:$D$66,$F8947,'Vols additionnels'!$B$7:$B$66,$D8947)</f>
        <v>1</v>
      </c>
      <c r="H8947" s="135" t="n">
        <f aca="false">$G8947*'Analyse capacite'!$F$9</f>
        <v>174</v>
      </c>
      <c r="I8947" s="135" t="n">
        <f aca="false">$G8947*'Analyse capacite'!$C$9</f>
        <v>0</v>
      </c>
      <c r="J8947" s="135" t="n">
        <f aca="false">$G8947*'Analyse capacite'!$D$9</f>
        <v>12</v>
      </c>
      <c r="K8947" s="135" t="n">
        <f aca="false">$G8947*'Analyse capacite'!$E$9</f>
        <v>162</v>
      </c>
    </row>
    <row r="8948" customFormat="false" ht="15" hidden="false" customHeight="false" outlineLevel="0" collapsed="false">
      <c r="B8948" s="130" t="n">
        <v>2027</v>
      </c>
      <c r="C8948" s="131" t="s">
        <v>254</v>
      </c>
      <c r="D8948" s="132" t="n">
        <v>46726</v>
      </c>
      <c r="E8948" s="131" t="s">
        <v>14</v>
      </c>
      <c r="F8948" s="133" t="s">
        <v>11</v>
      </c>
      <c r="G8948" s="134" t="n">
        <f aca="false">LEN('Saisie programme'!$J$340)+SUMIFS('Vols additionnels'!$E$7:$E$66,'Vols additionnels'!$C$7:$C$66,$E8948,'Vols additionnels'!$D$7:$D$66,$F8948,'Vols additionnels'!$B$7:$B$66,$D8948)</f>
        <v>0</v>
      </c>
      <c r="H8948" s="135" t="n">
        <f aca="false">$G8948*'Analyse capacite'!$F$7</f>
        <v>0</v>
      </c>
      <c r="I8948" s="135" t="n">
        <f aca="false">$G8948*'Analyse capacite'!$C$7</f>
        <v>0</v>
      </c>
      <c r="J8948" s="135" t="n">
        <f aca="false">$G8948*'Analyse capacite'!$D$7</f>
        <v>0</v>
      </c>
      <c r="K8948" s="135" t="n">
        <f aca="false">$G8948*'Analyse capacite'!$E$7</f>
        <v>0</v>
      </c>
    </row>
    <row r="8949" customFormat="false" ht="15" hidden="false" customHeight="false" outlineLevel="0" collapsed="false">
      <c r="B8949" s="130" t="n">
        <v>2027</v>
      </c>
      <c r="C8949" s="131" t="s">
        <v>254</v>
      </c>
      <c r="D8949" s="132" t="n">
        <v>46726</v>
      </c>
      <c r="E8949" s="131" t="s">
        <v>14</v>
      </c>
      <c r="F8949" s="133" t="s">
        <v>19</v>
      </c>
      <c r="G8949" s="134" t="n">
        <f aca="false">LEN('Saisie programme'!$J$341)+SUMIFS('Vols additionnels'!$E$7:$E$66,'Vols additionnels'!$C$7:$C$66,$E8949,'Vols additionnels'!$D$7:$D$66,$F8949,'Vols additionnels'!$B$7:$B$66,$D8949)</f>
        <v>0</v>
      </c>
      <c r="H8949" s="135" t="n">
        <f aca="false">$G8949*'Analyse capacite'!$F$8</f>
        <v>0</v>
      </c>
      <c r="I8949" s="135" t="n">
        <f aca="false">$G8949*'Analyse capacite'!$C$8</f>
        <v>0</v>
      </c>
      <c r="J8949" s="135" t="n">
        <f aca="false">$G8949*'Analyse capacite'!$D$8</f>
        <v>0</v>
      </c>
      <c r="K8949" s="135" t="n">
        <f aca="false">$G8949*'Analyse capacite'!$E$8</f>
        <v>0</v>
      </c>
    </row>
    <row r="8950" customFormat="false" ht="15" hidden="false" customHeight="false" outlineLevel="0" collapsed="false">
      <c r="B8950" s="130" t="n">
        <v>2027</v>
      </c>
      <c r="C8950" s="131" t="s">
        <v>254</v>
      </c>
      <c r="D8950" s="132" t="n">
        <v>46726</v>
      </c>
      <c r="E8950" s="131" t="s">
        <v>14</v>
      </c>
      <c r="F8950" s="133" t="s">
        <v>24</v>
      </c>
      <c r="G8950" s="134" t="n">
        <f aca="false">LEN('Saisie programme'!$J$342)+SUMIFS('Vols additionnels'!$E$7:$E$66,'Vols additionnels'!$C$7:$C$66,$E8950,'Vols additionnels'!$D$7:$D$66,$F8950,'Vols additionnels'!$B$7:$B$66,$D8950)</f>
        <v>1</v>
      </c>
      <c r="H8950" s="135" t="n">
        <f aca="false">$G8950*'Analyse capacite'!$F$9</f>
        <v>174</v>
      </c>
      <c r="I8950" s="135" t="n">
        <f aca="false">$G8950*'Analyse capacite'!$C$9</f>
        <v>0</v>
      </c>
      <c r="J8950" s="135" t="n">
        <f aca="false">$G8950*'Analyse capacite'!$D$9</f>
        <v>12</v>
      </c>
      <c r="K8950" s="135" t="n">
        <f aca="false">$G8950*'Analyse capacite'!$E$9</f>
        <v>162</v>
      </c>
    </row>
    <row r="8951" customFormat="false" ht="15" hidden="false" customHeight="false" outlineLevel="0" collapsed="false">
      <c r="B8951" s="130" t="n">
        <v>2027</v>
      </c>
      <c r="C8951" s="131" t="s">
        <v>254</v>
      </c>
      <c r="D8951" s="132" t="n">
        <v>46726</v>
      </c>
      <c r="E8951" s="131" t="s">
        <v>46</v>
      </c>
      <c r="F8951" s="133" t="s">
        <v>11</v>
      </c>
      <c r="G8951" s="134" t="n">
        <f aca="false">LEN('Saisie programme'!$J$343)+SUMIFS('Vols additionnels'!$E$7:$E$66,'Vols additionnels'!$C$7:$C$66,$E8951,'Vols additionnels'!$D$7:$D$66,$F8951,'Vols additionnels'!$B$7:$B$66,$D8951)</f>
        <v>0</v>
      </c>
      <c r="H8951" s="135" t="n">
        <f aca="false">$G8951*'Analyse capacite'!$F$7</f>
        <v>0</v>
      </c>
      <c r="I8951" s="135" t="n">
        <f aca="false">$G8951*'Analyse capacite'!$C$7</f>
        <v>0</v>
      </c>
      <c r="J8951" s="135" t="n">
        <f aca="false">$G8951*'Analyse capacite'!$D$7</f>
        <v>0</v>
      </c>
      <c r="K8951" s="135" t="n">
        <f aca="false">$G8951*'Analyse capacite'!$E$7</f>
        <v>0</v>
      </c>
    </row>
    <row r="8952" customFormat="false" ht="15" hidden="false" customHeight="false" outlineLevel="0" collapsed="false">
      <c r="B8952" s="130" t="n">
        <v>2027</v>
      </c>
      <c r="C8952" s="131" t="s">
        <v>254</v>
      </c>
      <c r="D8952" s="132" t="n">
        <v>46726</v>
      </c>
      <c r="E8952" s="131" t="s">
        <v>46</v>
      </c>
      <c r="F8952" s="133" t="s">
        <v>19</v>
      </c>
      <c r="G8952" s="134" t="n">
        <f aca="false">LEN('Saisie programme'!$J$344)+SUMIFS('Vols additionnels'!$E$7:$E$66,'Vols additionnels'!$C$7:$C$66,$E8952,'Vols additionnels'!$D$7:$D$66,$F8952,'Vols additionnels'!$B$7:$B$66,$D8952)</f>
        <v>0</v>
      </c>
      <c r="H8952" s="135" t="n">
        <f aca="false">$G8952*'Analyse capacite'!$F$8</f>
        <v>0</v>
      </c>
      <c r="I8952" s="135" t="n">
        <f aca="false">$G8952*'Analyse capacite'!$C$8</f>
        <v>0</v>
      </c>
      <c r="J8952" s="135" t="n">
        <f aca="false">$G8952*'Analyse capacite'!$D$8</f>
        <v>0</v>
      </c>
      <c r="K8952" s="135" t="n">
        <f aca="false">$G8952*'Analyse capacite'!$E$8</f>
        <v>0</v>
      </c>
    </row>
    <row r="8953" customFormat="false" ht="15" hidden="false" customHeight="false" outlineLevel="0" collapsed="false">
      <c r="B8953" s="130" t="n">
        <v>2027</v>
      </c>
      <c r="C8953" s="131" t="s">
        <v>254</v>
      </c>
      <c r="D8953" s="132" t="n">
        <v>46726</v>
      </c>
      <c r="E8953" s="131" t="s">
        <v>46</v>
      </c>
      <c r="F8953" s="133" t="s">
        <v>24</v>
      </c>
      <c r="G8953" s="134" t="n">
        <f aca="false">LEN('Saisie programme'!$J$345)+SUMIFS('Vols additionnels'!$E$7:$E$66,'Vols additionnels'!$C$7:$C$66,$E8953,'Vols additionnels'!$D$7:$D$66,$F8953,'Vols additionnels'!$B$7:$B$66,$D8953)</f>
        <v>0</v>
      </c>
      <c r="H8953" s="135" t="n">
        <f aca="false">$G8953*'Analyse capacite'!$F$9</f>
        <v>0</v>
      </c>
      <c r="I8953" s="135" t="n">
        <f aca="false">$G8953*'Analyse capacite'!$C$9</f>
        <v>0</v>
      </c>
      <c r="J8953" s="135" t="n">
        <f aca="false">$G8953*'Analyse capacite'!$D$9</f>
        <v>0</v>
      </c>
      <c r="K8953" s="135" t="n">
        <f aca="false">$G8953*'Analyse capacite'!$E$9</f>
        <v>0</v>
      </c>
    </row>
    <row r="8954" customFormat="false" ht="15" hidden="false" customHeight="false" outlineLevel="0" collapsed="false">
      <c r="B8954" s="130" t="n">
        <v>2027</v>
      </c>
      <c r="C8954" s="131" t="s">
        <v>254</v>
      </c>
      <c r="D8954" s="132" t="n">
        <v>46726</v>
      </c>
      <c r="E8954" s="131" t="s">
        <v>49</v>
      </c>
      <c r="F8954" s="133" t="s">
        <v>11</v>
      </c>
      <c r="G8954" s="134" t="n">
        <f aca="false">LEN('Saisie programme'!$J$346)+SUMIFS('Vols additionnels'!$E$7:$E$66,'Vols additionnels'!$C$7:$C$66,$E8954,'Vols additionnels'!$D$7:$D$66,$F8954,'Vols additionnels'!$B$7:$B$66,$D8954)</f>
        <v>0</v>
      </c>
      <c r="H8954" s="135" t="n">
        <f aca="false">$G8954*'Analyse capacite'!$F$7</f>
        <v>0</v>
      </c>
      <c r="I8954" s="135" t="n">
        <f aca="false">$G8954*'Analyse capacite'!$C$7</f>
        <v>0</v>
      </c>
      <c r="J8954" s="135" t="n">
        <f aca="false">$G8954*'Analyse capacite'!$D$7</f>
        <v>0</v>
      </c>
      <c r="K8954" s="135" t="n">
        <f aca="false">$G8954*'Analyse capacite'!$E$7</f>
        <v>0</v>
      </c>
    </row>
    <row r="8955" customFormat="false" ht="15" hidden="false" customHeight="false" outlineLevel="0" collapsed="false">
      <c r="B8955" s="130" t="n">
        <v>2027</v>
      </c>
      <c r="C8955" s="131" t="s">
        <v>254</v>
      </c>
      <c r="D8955" s="132" t="n">
        <v>46726</v>
      </c>
      <c r="E8955" s="131" t="s">
        <v>49</v>
      </c>
      <c r="F8955" s="133" t="s">
        <v>19</v>
      </c>
      <c r="G8955" s="134" t="n">
        <f aca="false">LEN('Saisie programme'!$J$347)+SUMIFS('Vols additionnels'!$E$7:$E$66,'Vols additionnels'!$C$7:$C$66,$E8955,'Vols additionnels'!$D$7:$D$66,$F8955,'Vols additionnels'!$B$7:$B$66,$D8955)</f>
        <v>0</v>
      </c>
      <c r="H8955" s="135" t="n">
        <f aca="false">$G8955*'Analyse capacite'!$F$8</f>
        <v>0</v>
      </c>
      <c r="I8955" s="135" t="n">
        <f aca="false">$G8955*'Analyse capacite'!$C$8</f>
        <v>0</v>
      </c>
      <c r="J8955" s="135" t="n">
        <f aca="false">$G8955*'Analyse capacite'!$D$8</f>
        <v>0</v>
      </c>
      <c r="K8955" s="135" t="n">
        <f aca="false">$G8955*'Analyse capacite'!$E$8</f>
        <v>0</v>
      </c>
    </row>
    <row r="8956" customFormat="false" ht="15" hidden="false" customHeight="false" outlineLevel="0" collapsed="false">
      <c r="B8956" s="130" t="n">
        <v>2027</v>
      </c>
      <c r="C8956" s="131" t="s">
        <v>254</v>
      </c>
      <c r="D8956" s="132" t="n">
        <v>46726</v>
      </c>
      <c r="E8956" s="131" t="s">
        <v>49</v>
      </c>
      <c r="F8956" s="133" t="s">
        <v>24</v>
      </c>
      <c r="G8956" s="134" t="n">
        <f aca="false">LEN('Saisie programme'!$J$348)+SUMIFS('Vols additionnels'!$E$7:$E$66,'Vols additionnels'!$C$7:$C$66,$E8956,'Vols additionnels'!$D$7:$D$66,$F8956,'Vols additionnels'!$B$7:$B$66,$D8956)</f>
        <v>0</v>
      </c>
      <c r="H8956" s="135" t="n">
        <f aca="false">$G8956*'Analyse capacite'!$F$9</f>
        <v>0</v>
      </c>
      <c r="I8956" s="135" t="n">
        <f aca="false">$G8956*'Analyse capacite'!$C$9</f>
        <v>0</v>
      </c>
      <c r="J8956" s="135" t="n">
        <f aca="false">$G8956*'Analyse capacite'!$D$9</f>
        <v>0</v>
      </c>
      <c r="K8956" s="135" t="n">
        <f aca="false">$G8956*'Analyse capacite'!$E$9</f>
        <v>0</v>
      </c>
    </row>
    <row r="8957" customFormat="false" ht="15" hidden="false" customHeight="false" outlineLevel="0" collapsed="false">
      <c r="B8957" s="130" t="n">
        <v>2027</v>
      </c>
      <c r="C8957" s="131" t="s">
        <v>254</v>
      </c>
      <c r="D8957" s="132" t="n">
        <v>46726</v>
      </c>
      <c r="E8957" s="131" t="s">
        <v>53</v>
      </c>
      <c r="F8957" s="133" t="s">
        <v>11</v>
      </c>
      <c r="G8957" s="134" t="n">
        <f aca="false">LEN('Saisie programme'!$J$349)+SUMIFS('Vols additionnels'!$E$7:$E$66,'Vols additionnels'!$C$7:$C$66,$E8957,'Vols additionnels'!$D$7:$D$66,$F8957,'Vols additionnels'!$B$7:$B$66,$D8957)</f>
        <v>0</v>
      </c>
      <c r="H8957" s="135" t="n">
        <f aca="false">$G8957*'Analyse capacite'!$F$7</f>
        <v>0</v>
      </c>
      <c r="I8957" s="135" t="n">
        <f aca="false">$G8957*'Analyse capacite'!$C$7</f>
        <v>0</v>
      </c>
      <c r="J8957" s="135" t="n">
        <f aca="false">$G8957*'Analyse capacite'!$D$7</f>
        <v>0</v>
      </c>
      <c r="K8957" s="135" t="n">
        <f aca="false">$G8957*'Analyse capacite'!$E$7</f>
        <v>0</v>
      </c>
    </row>
    <row r="8958" customFormat="false" ht="15" hidden="false" customHeight="false" outlineLevel="0" collapsed="false">
      <c r="B8958" s="130" t="n">
        <v>2027</v>
      </c>
      <c r="C8958" s="131" t="s">
        <v>254</v>
      </c>
      <c r="D8958" s="132" t="n">
        <v>46726</v>
      </c>
      <c r="E8958" s="131" t="s">
        <v>53</v>
      </c>
      <c r="F8958" s="133" t="s">
        <v>19</v>
      </c>
      <c r="G8958" s="134" t="n">
        <f aca="false">LEN('Saisie programme'!$J$350)+SUMIFS('Vols additionnels'!$E$7:$E$66,'Vols additionnels'!$C$7:$C$66,$E8958,'Vols additionnels'!$D$7:$D$66,$F8958,'Vols additionnels'!$B$7:$B$66,$D8958)</f>
        <v>0</v>
      </c>
      <c r="H8958" s="135" t="n">
        <f aca="false">$G8958*'Analyse capacite'!$F$8</f>
        <v>0</v>
      </c>
      <c r="I8958" s="135" t="n">
        <f aca="false">$G8958*'Analyse capacite'!$C$8</f>
        <v>0</v>
      </c>
      <c r="J8958" s="135" t="n">
        <f aca="false">$G8958*'Analyse capacite'!$D$8</f>
        <v>0</v>
      </c>
      <c r="K8958" s="135" t="n">
        <f aca="false">$G8958*'Analyse capacite'!$E$8</f>
        <v>0</v>
      </c>
    </row>
    <row r="8959" customFormat="false" ht="15" hidden="false" customHeight="false" outlineLevel="0" collapsed="false">
      <c r="B8959" s="130" t="n">
        <v>2027</v>
      </c>
      <c r="C8959" s="131" t="s">
        <v>254</v>
      </c>
      <c r="D8959" s="132" t="n">
        <v>46726</v>
      </c>
      <c r="E8959" s="131" t="s">
        <v>53</v>
      </c>
      <c r="F8959" s="133" t="s">
        <v>24</v>
      </c>
      <c r="G8959" s="134" t="n">
        <f aca="false">LEN('Saisie programme'!$J$351)+SUMIFS('Vols additionnels'!$E$7:$E$66,'Vols additionnels'!$C$7:$C$66,$E8959,'Vols additionnels'!$D$7:$D$66,$F8959,'Vols additionnels'!$B$7:$B$66,$D8959)</f>
        <v>0</v>
      </c>
      <c r="H8959" s="135" t="n">
        <f aca="false">$G8959*'Analyse capacite'!$F$9</f>
        <v>0</v>
      </c>
      <c r="I8959" s="135" t="n">
        <f aca="false">$G8959*'Analyse capacite'!$C$9</f>
        <v>0</v>
      </c>
      <c r="J8959" s="135" t="n">
        <f aca="false">$G8959*'Analyse capacite'!$D$9</f>
        <v>0</v>
      </c>
      <c r="K8959" s="135" t="n">
        <f aca="false">$G8959*'Analyse capacite'!$E$9</f>
        <v>0</v>
      </c>
    </row>
    <row r="8960" customFormat="false" ht="15" hidden="false" customHeight="false" outlineLevel="0" collapsed="false">
      <c r="B8960" s="130" t="n">
        <v>2027</v>
      </c>
      <c r="C8960" s="131" t="s">
        <v>254</v>
      </c>
      <c r="D8960" s="132" t="n">
        <v>46726</v>
      </c>
      <c r="E8960" s="131" t="s">
        <v>56</v>
      </c>
      <c r="F8960" s="133" t="s">
        <v>11</v>
      </c>
      <c r="G8960" s="134" t="n">
        <f aca="false">LEN('Saisie programme'!$J$352)+SUMIFS('Vols additionnels'!$E$7:$E$66,'Vols additionnels'!$C$7:$C$66,$E8960,'Vols additionnels'!$D$7:$D$66,$F8960,'Vols additionnels'!$B$7:$B$66,$D8960)</f>
        <v>0</v>
      </c>
      <c r="H8960" s="135" t="n">
        <f aca="false">$G8960*'Analyse capacite'!$F$7</f>
        <v>0</v>
      </c>
      <c r="I8960" s="135" t="n">
        <f aca="false">$G8960*'Analyse capacite'!$C$7</f>
        <v>0</v>
      </c>
      <c r="J8960" s="135" t="n">
        <f aca="false">$G8960*'Analyse capacite'!$D$7</f>
        <v>0</v>
      </c>
      <c r="K8960" s="135" t="n">
        <f aca="false">$G8960*'Analyse capacite'!$E$7</f>
        <v>0</v>
      </c>
    </row>
    <row r="8961" customFormat="false" ht="15" hidden="false" customHeight="false" outlineLevel="0" collapsed="false">
      <c r="B8961" s="130" t="n">
        <v>2027</v>
      </c>
      <c r="C8961" s="131" t="s">
        <v>254</v>
      </c>
      <c r="D8961" s="132" t="n">
        <v>46726</v>
      </c>
      <c r="E8961" s="131" t="s">
        <v>56</v>
      </c>
      <c r="F8961" s="133" t="s">
        <v>19</v>
      </c>
      <c r="G8961" s="134" t="n">
        <f aca="false">LEN('Saisie programme'!$J$353)+SUMIFS('Vols additionnels'!$E$7:$E$66,'Vols additionnels'!$C$7:$C$66,$E8961,'Vols additionnels'!$D$7:$D$66,$F8961,'Vols additionnels'!$B$7:$B$66,$D8961)</f>
        <v>0</v>
      </c>
      <c r="H8961" s="135" t="n">
        <f aca="false">$G8961*'Analyse capacite'!$F$8</f>
        <v>0</v>
      </c>
      <c r="I8961" s="135" t="n">
        <f aca="false">$G8961*'Analyse capacite'!$C$8</f>
        <v>0</v>
      </c>
      <c r="J8961" s="135" t="n">
        <f aca="false">$G8961*'Analyse capacite'!$D$8</f>
        <v>0</v>
      </c>
      <c r="K8961" s="135" t="n">
        <f aca="false">$G8961*'Analyse capacite'!$E$8</f>
        <v>0</v>
      </c>
    </row>
    <row r="8962" customFormat="false" ht="15" hidden="false" customHeight="false" outlineLevel="0" collapsed="false">
      <c r="B8962" s="130" t="n">
        <v>2027</v>
      </c>
      <c r="C8962" s="131" t="s">
        <v>254</v>
      </c>
      <c r="D8962" s="132" t="n">
        <v>46726</v>
      </c>
      <c r="E8962" s="131" t="s">
        <v>56</v>
      </c>
      <c r="F8962" s="133" t="s">
        <v>24</v>
      </c>
      <c r="G8962" s="134" t="n">
        <f aca="false">LEN('Saisie programme'!$J$354)+SUMIFS('Vols additionnels'!$E$7:$E$66,'Vols additionnels'!$C$7:$C$66,$E8962,'Vols additionnels'!$D$7:$D$66,$F8962,'Vols additionnels'!$B$7:$B$66,$D8962)</f>
        <v>0</v>
      </c>
      <c r="H8962" s="135" t="n">
        <f aca="false">$G8962*'Analyse capacite'!$F$9</f>
        <v>0</v>
      </c>
      <c r="I8962" s="135" t="n">
        <f aca="false">$G8962*'Analyse capacite'!$C$9</f>
        <v>0</v>
      </c>
      <c r="J8962" s="135" t="n">
        <f aca="false">$G8962*'Analyse capacite'!$D$9</f>
        <v>0</v>
      </c>
      <c r="K8962" s="135" t="n">
        <f aca="false">$G8962*'Analyse capacite'!$E$9</f>
        <v>0</v>
      </c>
    </row>
    <row r="8963" customFormat="false" ht="15" hidden="false" customHeight="false" outlineLevel="0" collapsed="false">
      <c r="B8963" s="130" t="n">
        <v>2027</v>
      </c>
      <c r="C8963" s="131" t="s">
        <v>254</v>
      </c>
      <c r="D8963" s="132" t="n">
        <v>46726</v>
      </c>
      <c r="E8963" s="131" t="s">
        <v>59</v>
      </c>
      <c r="F8963" s="133" t="s">
        <v>11</v>
      </c>
      <c r="G8963" s="134" t="n">
        <f aca="false">LEN('Saisie programme'!$J$355)+SUMIFS('Vols additionnels'!$E$7:$E$66,'Vols additionnels'!$C$7:$C$66,$E8963,'Vols additionnels'!$D$7:$D$66,$F8963,'Vols additionnels'!$B$7:$B$66,$D8963)</f>
        <v>0</v>
      </c>
      <c r="H8963" s="135" t="n">
        <f aca="false">$G8963*'Analyse capacite'!$F$7</f>
        <v>0</v>
      </c>
      <c r="I8963" s="135" t="n">
        <f aca="false">$G8963*'Analyse capacite'!$C$7</f>
        <v>0</v>
      </c>
      <c r="J8963" s="135" t="n">
        <f aca="false">$G8963*'Analyse capacite'!$D$7</f>
        <v>0</v>
      </c>
      <c r="K8963" s="135" t="n">
        <f aca="false">$G8963*'Analyse capacite'!$E$7</f>
        <v>0</v>
      </c>
    </row>
    <row r="8964" customFormat="false" ht="15" hidden="false" customHeight="false" outlineLevel="0" collapsed="false">
      <c r="B8964" s="130" t="n">
        <v>2027</v>
      </c>
      <c r="C8964" s="131" t="s">
        <v>254</v>
      </c>
      <c r="D8964" s="132" t="n">
        <v>46726</v>
      </c>
      <c r="E8964" s="131" t="s">
        <v>59</v>
      </c>
      <c r="F8964" s="133" t="s">
        <v>19</v>
      </c>
      <c r="G8964" s="134" t="n">
        <f aca="false">LEN('Saisie programme'!$J$356)+SUMIFS('Vols additionnels'!$E$7:$E$66,'Vols additionnels'!$C$7:$C$66,$E8964,'Vols additionnels'!$D$7:$D$66,$F8964,'Vols additionnels'!$B$7:$B$66,$D8964)</f>
        <v>0</v>
      </c>
      <c r="H8964" s="135" t="n">
        <f aca="false">$G8964*'Analyse capacite'!$F$8</f>
        <v>0</v>
      </c>
      <c r="I8964" s="135" t="n">
        <f aca="false">$G8964*'Analyse capacite'!$C$8</f>
        <v>0</v>
      </c>
      <c r="J8964" s="135" t="n">
        <f aca="false">$G8964*'Analyse capacite'!$D$8</f>
        <v>0</v>
      </c>
      <c r="K8964" s="135" t="n">
        <f aca="false">$G8964*'Analyse capacite'!$E$8</f>
        <v>0</v>
      </c>
    </row>
    <row r="8965" customFormat="false" ht="15" hidden="false" customHeight="false" outlineLevel="0" collapsed="false">
      <c r="B8965" s="130" t="n">
        <v>2027</v>
      </c>
      <c r="C8965" s="131" t="s">
        <v>254</v>
      </c>
      <c r="D8965" s="132" t="n">
        <v>46726</v>
      </c>
      <c r="E8965" s="131" t="s">
        <v>59</v>
      </c>
      <c r="F8965" s="133" t="s">
        <v>24</v>
      </c>
      <c r="G8965" s="134" t="n">
        <f aca="false">LEN('Saisie programme'!$J$357)+SUMIFS('Vols additionnels'!$E$7:$E$66,'Vols additionnels'!$C$7:$C$66,$E8965,'Vols additionnels'!$D$7:$D$66,$F8965,'Vols additionnels'!$B$7:$B$66,$D8965)</f>
        <v>0</v>
      </c>
      <c r="H8965" s="135" t="n">
        <f aca="false">$G8965*'Analyse capacite'!$F$9</f>
        <v>0</v>
      </c>
      <c r="I8965" s="135" t="n">
        <f aca="false">$G8965*'Analyse capacite'!$C$9</f>
        <v>0</v>
      </c>
      <c r="J8965" s="135" t="n">
        <f aca="false">$G8965*'Analyse capacite'!$D$9</f>
        <v>0</v>
      </c>
      <c r="K8965" s="135" t="n">
        <f aca="false">$G8965*'Analyse capacite'!$E$9</f>
        <v>0</v>
      </c>
    </row>
    <row r="8966" customFormat="false" ht="15" hidden="false" customHeight="false" outlineLevel="0" collapsed="false">
      <c r="B8966" s="130" t="n">
        <v>2027</v>
      </c>
      <c r="C8966" s="131" t="s">
        <v>254</v>
      </c>
      <c r="D8966" s="132" t="n">
        <v>46726</v>
      </c>
      <c r="E8966" s="131" t="s">
        <v>62</v>
      </c>
      <c r="F8966" s="133" t="s">
        <v>11</v>
      </c>
      <c r="G8966" s="134" t="n">
        <f aca="false">LEN('Saisie programme'!$J$358)+SUMIFS('Vols additionnels'!$E$7:$E$66,'Vols additionnels'!$C$7:$C$66,$E8966,'Vols additionnels'!$D$7:$D$66,$F8966,'Vols additionnels'!$B$7:$B$66,$D8966)</f>
        <v>0</v>
      </c>
      <c r="H8966" s="135" t="n">
        <f aca="false">$G8966*'Analyse capacite'!$F$7</f>
        <v>0</v>
      </c>
      <c r="I8966" s="135" t="n">
        <f aca="false">$G8966*'Analyse capacite'!$C$7</f>
        <v>0</v>
      </c>
      <c r="J8966" s="135" t="n">
        <f aca="false">$G8966*'Analyse capacite'!$D$7</f>
        <v>0</v>
      </c>
      <c r="K8966" s="135" t="n">
        <f aca="false">$G8966*'Analyse capacite'!$E$7</f>
        <v>0</v>
      </c>
    </row>
    <row r="8967" customFormat="false" ht="15" hidden="false" customHeight="false" outlineLevel="0" collapsed="false">
      <c r="B8967" s="130" t="n">
        <v>2027</v>
      </c>
      <c r="C8967" s="131" t="s">
        <v>254</v>
      </c>
      <c r="D8967" s="132" t="n">
        <v>46726</v>
      </c>
      <c r="E8967" s="131" t="s">
        <v>62</v>
      </c>
      <c r="F8967" s="133" t="s">
        <v>19</v>
      </c>
      <c r="G8967" s="134" t="n">
        <f aca="false">LEN('Saisie programme'!$J$359)+SUMIFS('Vols additionnels'!$E$7:$E$66,'Vols additionnels'!$C$7:$C$66,$E8967,'Vols additionnels'!$D$7:$D$66,$F8967,'Vols additionnels'!$B$7:$B$66,$D8967)</f>
        <v>0</v>
      </c>
      <c r="H8967" s="135" t="n">
        <f aca="false">$G8967*'Analyse capacite'!$F$8</f>
        <v>0</v>
      </c>
      <c r="I8967" s="135" t="n">
        <f aca="false">$G8967*'Analyse capacite'!$C$8</f>
        <v>0</v>
      </c>
      <c r="J8967" s="135" t="n">
        <f aca="false">$G8967*'Analyse capacite'!$D$8</f>
        <v>0</v>
      </c>
      <c r="K8967" s="135" t="n">
        <f aca="false">$G8967*'Analyse capacite'!$E$8</f>
        <v>0</v>
      </c>
    </row>
    <row r="8968" customFormat="false" ht="15" hidden="false" customHeight="false" outlineLevel="0" collapsed="false">
      <c r="B8968" s="130" t="n">
        <v>2027</v>
      </c>
      <c r="C8968" s="131" t="s">
        <v>254</v>
      </c>
      <c r="D8968" s="132" t="n">
        <v>46726</v>
      </c>
      <c r="E8968" s="131" t="s">
        <v>62</v>
      </c>
      <c r="F8968" s="133" t="s">
        <v>24</v>
      </c>
      <c r="G8968" s="134" t="n">
        <f aca="false">LEN('Saisie programme'!$J$360)+SUMIFS('Vols additionnels'!$E$7:$E$66,'Vols additionnels'!$C$7:$C$66,$E8968,'Vols additionnels'!$D$7:$D$66,$F8968,'Vols additionnels'!$B$7:$B$66,$D8968)</f>
        <v>1</v>
      </c>
      <c r="H8968" s="135" t="n">
        <f aca="false">$G8968*'Analyse capacite'!$F$9</f>
        <v>174</v>
      </c>
      <c r="I8968" s="135" t="n">
        <f aca="false">$G8968*'Analyse capacite'!$C$9</f>
        <v>0</v>
      </c>
      <c r="J8968" s="135" t="n">
        <f aca="false">$G8968*'Analyse capacite'!$D$9</f>
        <v>12</v>
      </c>
      <c r="K8968" s="135" t="n">
        <f aca="false">$G8968*'Analyse capacite'!$E$9</f>
        <v>162</v>
      </c>
    </row>
    <row r="8969" customFormat="false" ht="15" hidden="false" customHeight="false" outlineLevel="0" collapsed="false">
      <c r="B8969" s="130" t="n">
        <v>2027</v>
      </c>
      <c r="C8969" s="131" t="s">
        <v>254</v>
      </c>
      <c r="D8969" s="132" t="n">
        <v>46727</v>
      </c>
      <c r="E8969" s="131" t="s">
        <v>12</v>
      </c>
      <c r="F8969" s="133" t="s">
        <v>11</v>
      </c>
      <c r="G8969" s="134" t="n">
        <f aca="false">LEN('Saisie programme'!$D$325)+SUMIFS('Vols additionnels'!$E$7:$E$66,'Vols additionnels'!$C$7:$C$66,$E8969,'Vols additionnels'!$D$7:$D$66,$F8969,'Vols additionnels'!$B$7:$B$66,$D8969)</f>
        <v>1</v>
      </c>
      <c r="H8969" s="135" t="n">
        <f aca="false">$G8969*'Analyse capacite'!$F$7</f>
        <v>438</v>
      </c>
      <c r="I8969" s="135" t="n">
        <f aca="false">$G8969*'Analyse capacite'!$C$7</f>
        <v>14</v>
      </c>
      <c r="J8969" s="135" t="n">
        <f aca="false">$G8969*'Analyse capacite'!$D$7</f>
        <v>40</v>
      </c>
      <c r="K8969" s="135" t="n">
        <f aca="false">$G8969*'Analyse capacite'!$E$7</f>
        <v>384</v>
      </c>
    </row>
    <row r="8970" customFormat="false" ht="15" hidden="false" customHeight="false" outlineLevel="0" collapsed="false">
      <c r="B8970" s="130" t="n">
        <v>2027</v>
      </c>
      <c r="C8970" s="131" t="s">
        <v>254</v>
      </c>
      <c r="D8970" s="132" t="n">
        <v>46727</v>
      </c>
      <c r="E8970" s="131" t="s">
        <v>12</v>
      </c>
      <c r="F8970" s="133" t="s">
        <v>19</v>
      </c>
      <c r="G8970" s="134" t="n">
        <f aca="false">LEN('Saisie programme'!$D$326)+SUMIFS('Vols additionnels'!$E$7:$E$66,'Vols additionnels'!$C$7:$C$66,$E8970,'Vols additionnels'!$D$7:$D$66,$F8970,'Vols additionnels'!$B$7:$B$66,$D8970)</f>
        <v>1</v>
      </c>
      <c r="H8970" s="135" t="n">
        <f aca="false">$G8970*'Analyse capacite'!$F$8</f>
        <v>262</v>
      </c>
      <c r="I8970" s="135" t="n">
        <f aca="false">$G8970*'Analyse capacite'!$C$8</f>
        <v>18</v>
      </c>
      <c r="J8970" s="135" t="n">
        <f aca="false">$G8970*'Analyse capacite'!$D$8</f>
        <v>0</v>
      </c>
      <c r="K8970" s="135" t="n">
        <f aca="false">$G8970*'Analyse capacite'!$E$8</f>
        <v>244</v>
      </c>
    </row>
    <row r="8971" customFormat="false" ht="15" hidden="false" customHeight="false" outlineLevel="0" collapsed="false">
      <c r="B8971" s="130" t="n">
        <v>2027</v>
      </c>
      <c r="C8971" s="131" t="s">
        <v>254</v>
      </c>
      <c r="D8971" s="132" t="n">
        <v>46727</v>
      </c>
      <c r="E8971" s="131" t="s">
        <v>12</v>
      </c>
      <c r="F8971" s="133" t="s">
        <v>24</v>
      </c>
      <c r="G8971" s="134" t="n">
        <f aca="false">LEN('Saisie programme'!$D$327)+SUMIFS('Vols additionnels'!$E$7:$E$66,'Vols additionnels'!$C$7:$C$66,$E8971,'Vols additionnels'!$D$7:$D$66,$F8971,'Vols additionnels'!$B$7:$B$66,$D8971)</f>
        <v>2</v>
      </c>
      <c r="H8971" s="135" t="n">
        <f aca="false">$G8971*'Analyse capacite'!$F$9</f>
        <v>348</v>
      </c>
      <c r="I8971" s="135" t="n">
        <f aca="false">$G8971*'Analyse capacite'!$C$9</f>
        <v>0</v>
      </c>
      <c r="J8971" s="135" t="n">
        <f aca="false">$G8971*'Analyse capacite'!$D$9</f>
        <v>24</v>
      </c>
      <c r="K8971" s="135" t="n">
        <f aca="false">$G8971*'Analyse capacite'!$E$9</f>
        <v>324</v>
      </c>
    </row>
    <row r="8972" customFormat="false" ht="15" hidden="false" customHeight="false" outlineLevel="0" collapsed="false">
      <c r="B8972" s="130" t="n">
        <v>2027</v>
      </c>
      <c r="C8972" s="131" t="s">
        <v>254</v>
      </c>
      <c r="D8972" s="132" t="n">
        <v>46727</v>
      </c>
      <c r="E8972" s="131" t="s">
        <v>20</v>
      </c>
      <c r="F8972" s="133" t="s">
        <v>11</v>
      </c>
      <c r="G8972" s="134" t="n">
        <f aca="false">LEN('Saisie programme'!$D$328)+SUMIFS('Vols additionnels'!$E$7:$E$66,'Vols additionnels'!$C$7:$C$66,$E8972,'Vols additionnels'!$D$7:$D$66,$F8972,'Vols additionnels'!$B$7:$B$66,$D8972)</f>
        <v>0</v>
      </c>
      <c r="H8972" s="135" t="n">
        <f aca="false">$G8972*'Analyse capacite'!$F$7</f>
        <v>0</v>
      </c>
      <c r="I8972" s="135" t="n">
        <f aca="false">$G8972*'Analyse capacite'!$C$7</f>
        <v>0</v>
      </c>
      <c r="J8972" s="135" t="n">
        <f aca="false">$G8972*'Analyse capacite'!$D$7</f>
        <v>0</v>
      </c>
      <c r="K8972" s="135" t="n">
        <f aca="false">$G8972*'Analyse capacite'!$E$7</f>
        <v>0</v>
      </c>
    </row>
    <row r="8973" customFormat="false" ht="15" hidden="false" customHeight="false" outlineLevel="0" collapsed="false">
      <c r="B8973" s="130" t="n">
        <v>2027</v>
      </c>
      <c r="C8973" s="131" t="s">
        <v>254</v>
      </c>
      <c r="D8973" s="132" t="n">
        <v>46727</v>
      </c>
      <c r="E8973" s="131" t="s">
        <v>20</v>
      </c>
      <c r="F8973" s="133" t="s">
        <v>19</v>
      </c>
      <c r="G8973" s="134" t="n">
        <f aca="false">LEN('Saisie programme'!$D$329)+SUMIFS('Vols additionnels'!$E$7:$E$66,'Vols additionnels'!$C$7:$C$66,$E8973,'Vols additionnels'!$D$7:$D$66,$F8973,'Vols additionnels'!$B$7:$B$66,$D8973)</f>
        <v>0</v>
      </c>
      <c r="H8973" s="135" t="n">
        <f aca="false">$G8973*'Analyse capacite'!$F$8</f>
        <v>0</v>
      </c>
      <c r="I8973" s="135" t="n">
        <f aca="false">$G8973*'Analyse capacite'!$C$8</f>
        <v>0</v>
      </c>
      <c r="J8973" s="135" t="n">
        <f aca="false">$G8973*'Analyse capacite'!$D$8</f>
        <v>0</v>
      </c>
      <c r="K8973" s="135" t="n">
        <f aca="false">$G8973*'Analyse capacite'!$E$8</f>
        <v>0</v>
      </c>
    </row>
    <row r="8974" customFormat="false" ht="15" hidden="false" customHeight="false" outlineLevel="0" collapsed="false">
      <c r="B8974" s="130" t="n">
        <v>2027</v>
      </c>
      <c r="C8974" s="131" t="s">
        <v>254</v>
      </c>
      <c r="D8974" s="132" t="n">
        <v>46727</v>
      </c>
      <c r="E8974" s="131" t="s">
        <v>20</v>
      </c>
      <c r="F8974" s="133" t="s">
        <v>24</v>
      </c>
      <c r="G8974" s="134" t="n">
        <f aca="false">LEN('Saisie programme'!$D$330)+SUMIFS('Vols additionnels'!$E$7:$E$66,'Vols additionnels'!$C$7:$C$66,$E8974,'Vols additionnels'!$D$7:$D$66,$F8974,'Vols additionnels'!$B$7:$B$66,$D8974)</f>
        <v>0</v>
      </c>
      <c r="H8974" s="135" t="n">
        <f aca="false">$G8974*'Analyse capacite'!$F$9</f>
        <v>0</v>
      </c>
      <c r="I8974" s="135" t="n">
        <f aca="false">$G8974*'Analyse capacite'!$C$9</f>
        <v>0</v>
      </c>
      <c r="J8974" s="135" t="n">
        <f aca="false">$G8974*'Analyse capacite'!$D$9</f>
        <v>0</v>
      </c>
      <c r="K8974" s="135" t="n">
        <f aca="false">$G8974*'Analyse capacite'!$E$9</f>
        <v>0</v>
      </c>
    </row>
    <row r="8975" customFormat="false" ht="15" hidden="false" customHeight="false" outlineLevel="0" collapsed="false">
      <c r="B8975" s="130" t="n">
        <v>2027</v>
      </c>
      <c r="C8975" s="131" t="s">
        <v>254</v>
      </c>
      <c r="D8975" s="132" t="n">
        <v>46727</v>
      </c>
      <c r="E8975" s="131" t="s">
        <v>25</v>
      </c>
      <c r="F8975" s="133" t="s">
        <v>11</v>
      </c>
      <c r="G8975" s="134" t="n">
        <f aca="false">LEN('Saisie programme'!$D$331)+SUMIFS('Vols additionnels'!$E$7:$E$66,'Vols additionnels'!$C$7:$C$66,$E8975,'Vols additionnels'!$D$7:$D$66,$F8975,'Vols additionnels'!$B$7:$B$66,$D8975)</f>
        <v>0</v>
      </c>
      <c r="H8975" s="135" t="n">
        <f aca="false">$G8975*'Analyse capacite'!$F$7</f>
        <v>0</v>
      </c>
      <c r="I8975" s="135" t="n">
        <f aca="false">$G8975*'Analyse capacite'!$C$7</f>
        <v>0</v>
      </c>
      <c r="J8975" s="135" t="n">
        <f aca="false">$G8975*'Analyse capacite'!$D$7</f>
        <v>0</v>
      </c>
      <c r="K8975" s="135" t="n">
        <f aca="false">$G8975*'Analyse capacite'!$E$7</f>
        <v>0</v>
      </c>
    </row>
    <row r="8976" customFormat="false" ht="15" hidden="false" customHeight="false" outlineLevel="0" collapsed="false">
      <c r="B8976" s="130" t="n">
        <v>2027</v>
      </c>
      <c r="C8976" s="131" t="s">
        <v>254</v>
      </c>
      <c r="D8976" s="132" t="n">
        <v>46727</v>
      </c>
      <c r="E8976" s="131" t="s">
        <v>25</v>
      </c>
      <c r="F8976" s="133" t="s">
        <v>19</v>
      </c>
      <c r="G8976" s="134" t="n">
        <f aca="false">LEN('Saisie programme'!$D$332)+SUMIFS('Vols additionnels'!$E$7:$E$66,'Vols additionnels'!$C$7:$C$66,$E8976,'Vols additionnels'!$D$7:$D$66,$F8976,'Vols additionnels'!$B$7:$B$66,$D8976)</f>
        <v>0</v>
      </c>
      <c r="H8976" s="135" t="n">
        <f aca="false">$G8976*'Analyse capacite'!$F$8</f>
        <v>0</v>
      </c>
      <c r="I8976" s="135" t="n">
        <f aca="false">$G8976*'Analyse capacite'!$C$8</f>
        <v>0</v>
      </c>
      <c r="J8976" s="135" t="n">
        <f aca="false">$G8976*'Analyse capacite'!$D$8</f>
        <v>0</v>
      </c>
      <c r="K8976" s="135" t="n">
        <f aca="false">$G8976*'Analyse capacite'!$E$8</f>
        <v>0</v>
      </c>
    </row>
    <row r="8977" customFormat="false" ht="15" hidden="false" customHeight="false" outlineLevel="0" collapsed="false">
      <c r="B8977" s="130" t="n">
        <v>2027</v>
      </c>
      <c r="C8977" s="131" t="s">
        <v>254</v>
      </c>
      <c r="D8977" s="132" t="n">
        <v>46727</v>
      </c>
      <c r="E8977" s="131" t="s">
        <v>25</v>
      </c>
      <c r="F8977" s="133" t="s">
        <v>24</v>
      </c>
      <c r="G8977" s="134" t="n">
        <f aca="false">LEN('Saisie programme'!$D$333)+SUMIFS('Vols additionnels'!$E$7:$E$66,'Vols additionnels'!$C$7:$C$66,$E8977,'Vols additionnels'!$D$7:$D$66,$F8977,'Vols additionnels'!$B$7:$B$66,$D8977)</f>
        <v>0</v>
      </c>
      <c r="H8977" s="135" t="n">
        <f aca="false">$G8977*'Analyse capacite'!$F$9</f>
        <v>0</v>
      </c>
      <c r="I8977" s="135" t="n">
        <f aca="false">$G8977*'Analyse capacite'!$C$9</f>
        <v>0</v>
      </c>
      <c r="J8977" s="135" t="n">
        <f aca="false">$G8977*'Analyse capacite'!$D$9</f>
        <v>0</v>
      </c>
      <c r="K8977" s="135" t="n">
        <f aca="false">$G8977*'Analyse capacite'!$E$9</f>
        <v>0</v>
      </c>
    </row>
    <row r="8978" customFormat="false" ht="15" hidden="false" customHeight="false" outlineLevel="0" collapsed="false">
      <c r="B8978" s="130" t="n">
        <v>2027</v>
      </c>
      <c r="C8978" s="131" t="s">
        <v>254</v>
      </c>
      <c r="D8978" s="132" t="n">
        <v>46727</v>
      </c>
      <c r="E8978" s="131" t="s">
        <v>36</v>
      </c>
      <c r="F8978" s="133" t="s">
        <v>11</v>
      </c>
      <c r="G8978" s="134" t="n">
        <f aca="false">LEN('Saisie programme'!$D$334)+SUMIFS('Vols additionnels'!$E$7:$E$66,'Vols additionnels'!$C$7:$C$66,$E8978,'Vols additionnels'!$D$7:$D$66,$F8978,'Vols additionnels'!$B$7:$B$66,$D8978)</f>
        <v>0</v>
      </c>
      <c r="H8978" s="135" t="n">
        <f aca="false">$G8978*'Analyse capacite'!$F$7</f>
        <v>0</v>
      </c>
      <c r="I8978" s="135" t="n">
        <f aca="false">$G8978*'Analyse capacite'!$C$7</f>
        <v>0</v>
      </c>
      <c r="J8978" s="135" t="n">
        <f aca="false">$G8978*'Analyse capacite'!$D$7</f>
        <v>0</v>
      </c>
      <c r="K8978" s="135" t="n">
        <f aca="false">$G8978*'Analyse capacite'!$E$7</f>
        <v>0</v>
      </c>
    </row>
    <row r="8979" customFormat="false" ht="15" hidden="false" customHeight="false" outlineLevel="0" collapsed="false">
      <c r="B8979" s="130" t="n">
        <v>2027</v>
      </c>
      <c r="C8979" s="131" t="s">
        <v>254</v>
      </c>
      <c r="D8979" s="132" t="n">
        <v>46727</v>
      </c>
      <c r="E8979" s="131" t="s">
        <v>36</v>
      </c>
      <c r="F8979" s="133" t="s">
        <v>19</v>
      </c>
      <c r="G8979" s="134" t="n">
        <f aca="false">LEN('Saisie programme'!$D$335)+SUMIFS('Vols additionnels'!$E$7:$E$66,'Vols additionnels'!$C$7:$C$66,$E8979,'Vols additionnels'!$D$7:$D$66,$F8979,'Vols additionnels'!$B$7:$B$66,$D8979)</f>
        <v>0</v>
      </c>
      <c r="H8979" s="135" t="n">
        <f aca="false">$G8979*'Analyse capacite'!$F$8</f>
        <v>0</v>
      </c>
      <c r="I8979" s="135" t="n">
        <f aca="false">$G8979*'Analyse capacite'!$C$8</f>
        <v>0</v>
      </c>
      <c r="J8979" s="135" t="n">
        <f aca="false">$G8979*'Analyse capacite'!$D$8</f>
        <v>0</v>
      </c>
      <c r="K8979" s="135" t="n">
        <f aca="false">$G8979*'Analyse capacite'!$E$8</f>
        <v>0</v>
      </c>
    </row>
    <row r="8980" customFormat="false" ht="15" hidden="false" customHeight="false" outlineLevel="0" collapsed="false">
      <c r="B8980" s="130" t="n">
        <v>2027</v>
      </c>
      <c r="C8980" s="131" t="s">
        <v>254</v>
      </c>
      <c r="D8980" s="132" t="n">
        <v>46727</v>
      </c>
      <c r="E8980" s="131" t="s">
        <v>36</v>
      </c>
      <c r="F8980" s="133" t="s">
        <v>24</v>
      </c>
      <c r="G8980" s="134" t="n">
        <f aca="false">LEN('Saisie programme'!$D$336)+SUMIFS('Vols additionnels'!$E$7:$E$66,'Vols additionnels'!$C$7:$C$66,$E8980,'Vols additionnels'!$D$7:$D$66,$F8980,'Vols additionnels'!$B$7:$B$66,$D8980)</f>
        <v>1</v>
      </c>
      <c r="H8980" s="135" t="n">
        <f aca="false">$G8980*'Analyse capacite'!$F$9</f>
        <v>174</v>
      </c>
      <c r="I8980" s="135" t="n">
        <f aca="false">$G8980*'Analyse capacite'!$C$9</f>
        <v>0</v>
      </c>
      <c r="J8980" s="135" t="n">
        <f aca="false">$G8980*'Analyse capacite'!$D$9</f>
        <v>12</v>
      </c>
      <c r="K8980" s="135" t="n">
        <f aca="false">$G8980*'Analyse capacite'!$E$9</f>
        <v>162</v>
      </c>
    </row>
    <row r="8981" customFormat="false" ht="15" hidden="false" customHeight="false" outlineLevel="0" collapsed="false">
      <c r="B8981" s="130" t="n">
        <v>2027</v>
      </c>
      <c r="C8981" s="131" t="s">
        <v>254</v>
      </c>
      <c r="D8981" s="132" t="n">
        <v>46727</v>
      </c>
      <c r="E8981" s="131" t="s">
        <v>40</v>
      </c>
      <c r="F8981" s="133" t="s">
        <v>11</v>
      </c>
      <c r="G8981" s="134" t="n">
        <f aca="false">LEN('Saisie programme'!$D$337)+SUMIFS('Vols additionnels'!$E$7:$E$66,'Vols additionnels'!$C$7:$C$66,$E8981,'Vols additionnels'!$D$7:$D$66,$F8981,'Vols additionnels'!$B$7:$B$66,$D8981)</f>
        <v>0</v>
      </c>
      <c r="H8981" s="135" t="n">
        <f aca="false">$G8981*'Analyse capacite'!$F$7</f>
        <v>0</v>
      </c>
      <c r="I8981" s="135" t="n">
        <f aca="false">$G8981*'Analyse capacite'!$C$7</f>
        <v>0</v>
      </c>
      <c r="J8981" s="135" t="n">
        <f aca="false">$G8981*'Analyse capacite'!$D$7</f>
        <v>0</v>
      </c>
      <c r="K8981" s="135" t="n">
        <f aca="false">$G8981*'Analyse capacite'!$E$7</f>
        <v>0</v>
      </c>
    </row>
    <row r="8982" customFormat="false" ht="15" hidden="false" customHeight="false" outlineLevel="0" collapsed="false">
      <c r="B8982" s="130" t="n">
        <v>2027</v>
      </c>
      <c r="C8982" s="131" t="s">
        <v>254</v>
      </c>
      <c r="D8982" s="132" t="n">
        <v>46727</v>
      </c>
      <c r="E8982" s="131" t="s">
        <v>40</v>
      </c>
      <c r="F8982" s="133" t="s">
        <v>19</v>
      </c>
      <c r="G8982" s="134" t="n">
        <f aca="false">LEN('Saisie programme'!$D$338)+SUMIFS('Vols additionnels'!$E$7:$E$66,'Vols additionnels'!$C$7:$C$66,$E8982,'Vols additionnels'!$D$7:$D$66,$F8982,'Vols additionnels'!$B$7:$B$66,$D8982)</f>
        <v>0</v>
      </c>
      <c r="H8982" s="135" t="n">
        <f aca="false">$G8982*'Analyse capacite'!$F$8</f>
        <v>0</v>
      </c>
      <c r="I8982" s="135" t="n">
        <f aca="false">$G8982*'Analyse capacite'!$C$8</f>
        <v>0</v>
      </c>
      <c r="J8982" s="135" t="n">
        <f aca="false">$G8982*'Analyse capacite'!$D$8</f>
        <v>0</v>
      </c>
      <c r="K8982" s="135" t="n">
        <f aca="false">$G8982*'Analyse capacite'!$E$8</f>
        <v>0</v>
      </c>
    </row>
    <row r="8983" customFormat="false" ht="15" hidden="false" customHeight="false" outlineLevel="0" collapsed="false">
      <c r="B8983" s="130" t="n">
        <v>2027</v>
      </c>
      <c r="C8983" s="131" t="s">
        <v>254</v>
      </c>
      <c r="D8983" s="132" t="n">
        <v>46727</v>
      </c>
      <c r="E8983" s="131" t="s">
        <v>40</v>
      </c>
      <c r="F8983" s="133" t="s">
        <v>24</v>
      </c>
      <c r="G8983" s="134" t="n">
        <f aca="false">LEN('Saisie programme'!$D$339)+SUMIFS('Vols additionnels'!$E$7:$E$66,'Vols additionnels'!$C$7:$C$66,$E8983,'Vols additionnels'!$D$7:$D$66,$F8983,'Vols additionnels'!$B$7:$B$66,$D8983)</f>
        <v>1</v>
      </c>
      <c r="H8983" s="135" t="n">
        <f aca="false">$G8983*'Analyse capacite'!$F$9</f>
        <v>174</v>
      </c>
      <c r="I8983" s="135" t="n">
        <f aca="false">$G8983*'Analyse capacite'!$C$9</f>
        <v>0</v>
      </c>
      <c r="J8983" s="135" t="n">
        <f aca="false">$G8983*'Analyse capacite'!$D$9</f>
        <v>12</v>
      </c>
      <c r="K8983" s="135" t="n">
        <f aca="false">$G8983*'Analyse capacite'!$E$9</f>
        <v>162</v>
      </c>
    </row>
    <row r="8984" customFormat="false" ht="15" hidden="false" customHeight="false" outlineLevel="0" collapsed="false">
      <c r="B8984" s="130" t="n">
        <v>2027</v>
      </c>
      <c r="C8984" s="131" t="s">
        <v>254</v>
      </c>
      <c r="D8984" s="132" t="n">
        <v>46727</v>
      </c>
      <c r="E8984" s="131" t="s">
        <v>14</v>
      </c>
      <c r="F8984" s="133" t="s">
        <v>11</v>
      </c>
      <c r="G8984" s="134" t="n">
        <f aca="false">LEN('Saisie programme'!$D$340)+SUMIFS('Vols additionnels'!$E$7:$E$66,'Vols additionnels'!$C$7:$C$66,$E8984,'Vols additionnels'!$D$7:$D$66,$F8984,'Vols additionnels'!$B$7:$B$66,$D8984)</f>
        <v>0</v>
      </c>
      <c r="H8984" s="135" t="n">
        <f aca="false">$G8984*'Analyse capacite'!$F$7</f>
        <v>0</v>
      </c>
      <c r="I8984" s="135" t="n">
        <f aca="false">$G8984*'Analyse capacite'!$C$7</f>
        <v>0</v>
      </c>
      <c r="J8984" s="135" t="n">
        <f aca="false">$G8984*'Analyse capacite'!$D$7</f>
        <v>0</v>
      </c>
      <c r="K8984" s="135" t="n">
        <f aca="false">$G8984*'Analyse capacite'!$E$7</f>
        <v>0</v>
      </c>
    </row>
    <row r="8985" customFormat="false" ht="15" hidden="false" customHeight="false" outlineLevel="0" collapsed="false">
      <c r="B8985" s="130" t="n">
        <v>2027</v>
      </c>
      <c r="C8985" s="131" t="s">
        <v>254</v>
      </c>
      <c r="D8985" s="132" t="n">
        <v>46727</v>
      </c>
      <c r="E8985" s="131" t="s">
        <v>14</v>
      </c>
      <c r="F8985" s="133" t="s">
        <v>19</v>
      </c>
      <c r="G8985" s="134" t="n">
        <f aca="false">LEN('Saisie programme'!$D$341)+SUMIFS('Vols additionnels'!$E$7:$E$66,'Vols additionnels'!$C$7:$C$66,$E8985,'Vols additionnels'!$D$7:$D$66,$F8985,'Vols additionnels'!$B$7:$B$66,$D8985)</f>
        <v>0</v>
      </c>
      <c r="H8985" s="135" t="n">
        <f aca="false">$G8985*'Analyse capacite'!$F$8</f>
        <v>0</v>
      </c>
      <c r="I8985" s="135" t="n">
        <f aca="false">$G8985*'Analyse capacite'!$C$8</f>
        <v>0</v>
      </c>
      <c r="J8985" s="135" t="n">
        <f aca="false">$G8985*'Analyse capacite'!$D$8</f>
        <v>0</v>
      </c>
      <c r="K8985" s="135" t="n">
        <f aca="false">$G8985*'Analyse capacite'!$E$8</f>
        <v>0</v>
      </c>
    </row>
    <row r="8986" customFormat="false" ht="15" hidden="false" customHeight="false" outlineLevel="0" collapsed="false">
      <c r="B8986" s="130" t="n">
        <v>2027</v>
      </c>
      <c r="C8986" s="131" t="s">
        <v>254</v>
      </c>
      <c r="D8986" s="132" t="n">
        <v>46727</v>
      </c>
      <c r="E8986" s="131" t="s">
        <v>14</v>
      </c>
      <c r="F8986" s="133" t="s">
        <v>24</v>
      </c>
      <c r="G8986" s="134" t="n">
        <f aca="false">LEN('Saisie programme'!$D$342)+SUMIFS('Vols additionnels'!$E$7:$E$66,'Vols additionnels'!$C$7:$C$66,$E8986,'Vols additionnels'!$D$7:$D$66,$F8986,'Vols additionnels'!$B$7:$B$66,$D8986)</f>
        <v>1</v>
      </c>
      <c r="H8986" s="135" t="n">
        <f aca="false">$G8986*'Analyse capacite'!$F$9</f>
        <v>174</v>
      </c>
      <c r="I8986" s="135" t="n">
        <f aca="false">$G8986*'Analyse capacite'!$C$9</f>
        <v>0</v>
      </c>
      <c r="J8986" s="135" t="n">
        <f aca="false">$G8986*'Analyse capacite'!$D$9</f>
        <v>12</v>
      </c>
      <c r="K8986" s="135" t="n">
        <f aca="false">$G8986*'Analyse capacite'!$E$9</f>
        <v>162</v>
      </c>
    </row>
    <row r="8987" customFormat="false" ht="15" hidden="false" customHeight="false" outlineLevel="0" collapsed="false">
      <c r="B8987" s="130" t="n">
        <v>2027</v>
      </c>
      <c r="C8987" s="131" t="s">
        <v>254</v>
      </c>
      <c r="D8987" s="132" t="n">
        <v>46727</v>
      </c>
      <c r="E8987" s="131" t="s">
        <v>46</v>
      </c>
      <c r="F8987" s="133" t="s">
        <v>11</v>
      </c>
      <c r="G8987" s="134" t="n">
        <f aca="false">LEN('Saisie programme'!$D$343)+SUMIFS('Vols additionnels'!$E$7:$E$66,'Vols additionnels'!$C$7:$C$66,$E8987,'Vols additionnels'!$D$7:$D$66,$F8987,'Vols additionnels'!$B$7:$B$66,$D8987)</f>
        <v>0</v>
      </c>
      <c r="H8987" s="135" t="n">
        <f aca="false">$G8987*'Analyse capacite'!$F$7</f>
        <v>0</v>
      </c>
      <c r="I8987" s="135" t="n">
        <f aca="false">$G8987*'Analyse capacite'!$C$7</f>
        <v>0</v>
      </c>
      <c r="J8987" s="135" t="n">
        <f aca="false">$G8987*'Analyse capacite'!$D$7</f>
        <v>0</v>
      </c>
      <c r="K8987" s="135" t="n">
        <f aca="false">$G8987*'Analyse capacite'!$E$7</f>
        <v>0</v>
      </c>
    </row>
    <row r="8988" customFormat="false" ht="15" hidden="false" customHeight="false" outlineLevel="0" collapsed="false">
      <c r="B8988" s="130" t="n">
        <v>2027</v>
      </c>
      <c r="C8988" s="131" t="s">
        <v>254</v>
      </c>
      <c r="D8988" s="132" t="n">
        <v>46727</v>
      </c>
      <c r="E8988" s="131" t="s">
        <v>46</v>
      </c>
      <c r="F8988" s="133" t="s">
        <v>19</v>
      </c>
      <c r="G8988" s="134" t="n">
        <f aca="false">LEN('Saisie programme'!$D$344)+SUMIFS('Vols additionnels'!$E$7:$E$66,'Vols additionnels'!$C$7:$C$66,$E8988,'Vols additionnels'!$D$7:$D$66,$F8988,'Vols additionnels'!$B$7:$B$66,$D8988)</f>
        <v>0</v>
      </c>
      <c r="H8988" s="135" t="n">
        <f aca="false">$G8988*'Analyse capacite'!$F$8</f>
        <v>0</v>
      </c>
      <c r="I8988" s="135" t="n">
        <f aca="false">$G8988*'Analyse capacite'!$C$8</f>
        <v>0</v>
      </c>
      <c r="J8988" s="135" t="n">
        <f aca="false">$G8988*'Analyse capacite'!$D$8</f>
        <v>0</v>
      </c>
      <c r="K8988" s="135" t="n">
        <f aca="false">$G8988*'Analyse capacite'!$E$8</f>
        <v>0</v>
      </c>
    </row>
    <row r="8989" customFormat="false" ht="15" hidden="false" customHeight="false" outlineLevel="0" collapsed="false">
      <c r="B8989" s="130" t="n">
        <v>2027</v>
      </c>
      <c r="C8989" s="131" t="s">
        <v>254</v>
      </c>
      <c r="D8989" s="132" t="n">
        <v>46727</v>
      </c>
      <c r="E8989" s="131" t="s">
        <v>46</v>
      </c>
      <c r="F8989" s="133" t="s">
        <v>24</v>
      </c>
      <c r="G8989" s="134" t="n">
        <f aca="false">LEN('Saisie programme'!$D$345)+SUMIFS('Vols additionnels'!$E$7:$E$66,'Vols additionnels'!$C$7:$C$66,$E8989,'Vols additionnels'!$D$7:$D$66,$F8989,'Vols additionnels'!$B$7:$B$66,$D8989)</f>
        <v>0</v>
      </c>
      <c r="H8989" s="135" t="n">
        <f aca="false">$G8989*'Analyse capacite'!$F$9</f>
        <v>0</v>
      </c>
      <c r="I8989" s="135" t="n">
        <f aca="false">$G8989*'Analyse capacite'!$C$9</f>
        <v>0</v>
      </c>
      <c r="J8989" s="135" t="n">
        <f aca="false">$G8989*'Analyse capacite'!$D$9</f>
        <v>0</v>
      </c>
      <c r="K8989" s="135" t="n">
        <f aca="false">$G8989*'Analyse capacite'!$E$9</f>
        <v>0</v>
      </c>
    </row>
    <row r="8990" customFormat="false" ht="15" hidden="false" customHeight="false" outlineLevel="0" collapsed="false">
      <c r="B8990" s="130" t="n">
        <v>2027</v>
      </c>
      <c r="C8990" s="131" t="s">
        <v>254</v>
      </c>
      <c r="D8990" s="132" t="n">
        <v>46727</v>
      </c>
      <c r="E8990" s="131" t="s">
        <v>49</v>
      </c>
      <c r="F8990" s="133" t="s">
        <v>11</v>
      </c>
      <c r="G8990" s="134" t="n">
        <f aca="false">LEN('Saisie programme'!$D$346)+SUMIFS('Vols additionnels'!$E$7:$E$66,'Vols additionnels'!$C$7:$C$66,$E8990,'Vols additionnels'!$D$7:$D$66,$F8990,'Vols additionnels'!$B$7:$B$66,$D8990)</f>
        <v>0</v>
      </c>
      <c r="H8990" s="135" t="n">
        <f aca="false">$G8990*'Analyse capacite'!$F$7</f>
        <v>0</v>
      </c>
      <c r="I8990" s="135" t="n">
        <f aca="false">$G8990*'Analyse capacite'!$C$7</f>
        <v>0</v>
      </c>
      <c r="J8990" s="135" t="n">
        <f aca="false">$G8990*'Analyse capacite'!$D$7</f>
        <v>0</v>
      </c>
      <c r="K8990" s="135" t="n">
        <f aca="false">$G8990*'Analyse capacite'!$E$7</f>
        <v>0</v>
      </c>
    </row>
    <row r="8991" customFormat="false" ht="15" hidden="false" customHeight="false" outlineLevel="0" collapsed="false">
      <c r="B8991" s="130" t="n">
        <v>2027</v>
      </c>
      <c r="C8991" s="131" t="s">
        <v>254</v>
      </c>
      <c r="D8991" s="132" t="n">
        <v>46727</v>
      </c>
      <c r="E8991" s="131" t="s">
        <v>49</v>
      </c>
      <c r="F8991" s="133" t="s">
        <v>19</v>
      </c>
      <c r="G8991" s="134" t="n">
        <f aca="false">LEN('Saisie programme'!$D$347)+SUMIFS('Vols additionnels'!$E$7:$E$66,'Vols additionnels'!$C$7:$C$66,$E8991,'Vols additionnels'!$D$7:$D$66,$F8991,'Vols additionnels'!$B$7:$B$66,$D8991)</f>
        <v>1</v>
      </c>
      <c r="H8991" s="135" t="n">
        <f aca="false">$G8991*'Analyse capacite'!$F$8</f>
        <v>262</v>
      </c>
      <c r="I8991" s="135" t="n">
        <f aca="false">$G8991*'Analyse capacite'!$C$8</f>
        <v>18</v>
      </c>
      <c r="J8991" s="135" t="n">
        <f aca="false">$G8991*'Analyse capacite'!$D$8</f>
        <v>0</v>
      </c>
      <c r="K8991" s="135" t="n">
        <f aca="false">$G8991*'Analyse capacite'!$E$8</f>
        <v>244</v>
      </c>
    </row>
    <row r="8992" customFormat="false" ht="15" hidden="false" customHeight="false" outlineLevel="0" collapsed="false">
      <c r="B8992" s="130" t="n">
        <v>2027</v>
      </c>
      <c r="C8992" s="131" t="s">
        <v>254</v>
      </c>
      <c r="D8992" s="132" t="n">
        <v>46727</v>
      </c>
      <c r="E8992" s="131" t="s">
        <v>49</v>
      </c>
      <c r="F8992" s="133" t="s">
        <v>24</v>
      </c>
      <c r="G8992" s="134" t="n">
        <f aca="false">LEN('Saisie programme'!$D$348)+SUMIFS('Vols additionnels'!$E$7:$E$66,'Vols additionnels'!$C$7:$C$66,$E8992,'Vols additionnels'!$D$7:$D$66,$F8992,'Vols additionnels'!$B$7:$B$66,$D8992)</f>
        <v>0</v>
      </c>
      <c r="H8992" s="135" t="n">
        <f aca="false">$G8992*'Analyse capacite'!$F$9</f>
        <v>0</v>
      </c>
      <c r="I8992" s="135" t="n">
        <f aca="false">$G8992*'Analyse capacite'!$C$9</f>
        <v>0</v>
      </c>
      <c r="J8992" s="135" t="n">
        <f aca="false">$G8992*'Analyse capacite'!$D$9</f>
        <v>0</v>
      </c>
      <c r="K8992" s="135" t="n">
        <f aca="false">$G8992*'Analyse capacite'!$E$9</f>
        <v>0</v>
      </c>
    </row>
    <row r="8993" customFormat="false" ht="15" hidden="false" customHeight="false" outlineLevel="0" collapsed="false">
      <c r="B8993" s="130" t="n">
        <v>2027</v>
      </c>
      <c r="C8993" s="131" t="s">
        <v>254</v>
      </c>
      <c r="D8993" s="132" t="n">
        <v>46727</v>
      </c>
      <c r="E8993" s="131" t="s">
        <v>53</v>
      </c>
      <c r="F8993" s="133" t="s">
        <v>11</v>
      </c>
      <c r="G8993" s="134" t="n">
        <f aca="false">LEN('Saisie programme'!$D$349)+SUMIFS('Vols additionnels'!$E$7:$E$66,'Vols additionnels'!$C$7:$C$66,$E8993,'Vols additionnels'!$D$7:$D$66,$F8993,'Vols additionnels'!$B$7:$B$66,$D8993)</f>
        <v>0</v>
      </c>
      <c r="H8993" s="135" t="n">
        <f aca="false">$G8993*'Analyse capacite'!$F$7</f>
        <v>0</v>
      </c>
      <c r="I8993" s="135" t="n">
        <f aca="false">$G8993*'Analyse capacite'!$C$7</f>
        <v>0</v>
      </c>
      <c r="J8993" s="135" t="n">
        <f aca="false">$G8993*'Analyse capacite'!$D$7</f>
        <v>0</v>
      </c>
      <c r="K8993" s="135" t="n">
        <f aca="false">$G8993*'Analyse capacite'!$E$7</f>
        <v>0</v>
      </c>
    </row>
    <row r="8994" customFormat="false" ht="15" hidden="false" customHeight="false" outlineLevel="0" collapsed="false">
      <c r="B8994" s="130" t="n">
        <v>2027</v>
      </c>
      <c r="C8994" s="131" t="s">
        <v>254</v>
      </c>
      <c r="D8994" s="132" t="n">
        <v>46727</v>
      </c>
      <c r="E8994" s="131" t="s">
        <v>53</v>
      </c>
      <c r="F8994" s="133" t="s">
        <v>19</v>
      </c>
      <c r="G8994" s="134" t="n">
        <f aca="false">LEN('Saisie programme'!$D$350)+SUMIFS('Vols additionnels'!$E$7:$E$66,'Vols additionnels'!$C$7:$C$66,$E8994,'Vols additionnels'!$D$7:$D$66,$F8994,'Vols additionnels'!$B$7:$B$66,$D8994)</f>
        <v>0</v>
      </c>
      <c r="H8994" s="135" t="n">
        <f aca="false">$G8994*'Analyse capacite'!$F$8</f>
        <v>0</v>
      </c>
      <c r="I8994" s="135" t="n">
        <f aca="false">$G8994*'Analyse capacite'!$C$8</f>
        <v>0</v>
      </c>
      <c r="J8994" s="135" t="n">
        <f aca="false">$G8994*'Analyse capacite'!$D$8</f>
        <v>0</v>
      </c>
      <c r="K8994" s="135" t="n">
        <f aca="false">$G8994*'Analyse capacite'!$E$8</f>
        <v>0</v>
      </c>
    </row>
    <row r="8995" customFormat="false" ht="15" hidden="false" customHeight="false" outlineLevel="0" collapsed="false">
      <c r="B8995" s="130" t="n">
        <v>2027</v>
      </c>
      <c r="C8995" s="131" t="s">
        <v>254</v>
      </c>
      <c r="D8995" s="132" t="n">
        <v>46727</v>
      </c>
      <c r="E8995" s="131" t="s">
        <v>53</v>
      </c>
      <c r="F8995" s="133" t="s">
        <v>24</v>
      </c>
      <c r="G8995" s="134" t="n">
        <f aca="false">LEN('Saisie programme'!$D$351)+SUMIFS('Vols additionnels'!$E$7:$E$66,'Vols additionnels'!$C$7:$C$66,$E8995,'Vols additionnels'!$D$7:$D$66,$F8995,'Vols additionnels'!$B$7:$B$66,$D8995)</f>
        <v>0</v>
      </c>
      <c r="H8995" s="135" t="n">
        <f aca="false">$G8995*'Analyse capacite'!$F$9</f>
        <v>0</v>
      </c>
      <c r="I8995" s="135" t="n">
        <f aca="false">$G8995*'Analyse capacite'!$C$9</f>
        <v>0</v>
      </c>
      <c r="J8995" s="135" t="n">
        <f aca="false">$G8995*'Analyse capacite'!$D$9</f>
        <v>0</v>
      </c>
      <c r="K8995" s="135" t="n">
        <f aca="false">$G8995*'Analyse capacite'!$E$9</f>
        <v>0</v>
      </c>
    </row>
    <row r="8996" customFormat="false" ht="15" hidden="false" customHeight="false" outlineLevel="0" collapsed="false">
      <c r="B8996" s="130" t="n">
        <v>2027</v>
      </c>
      <c r="C8996" s="131" t="s">
        <v>254</v>
      </c>
      <c r="D8996" s="132" t="n">
        <v>46727</v>
      </c>
      <c r="E8996" s="131" t="s">
        <v>56</v>
      </c>
      <c r="F8996" s="133" t="s">
        <v>11</v>
      </c>
      <c r="G8996" s="134" t="n">
        <f aca="false">LEN('Saisie programme'!$D$352)+SUMIFS('Vols additionnels'!$E$7:$E$66,'Vols additionnels'!$C$7:$C$66,$E8996,'Vols additionnels'!$D$7:$D$66,$F8996,'Vols additionnels'!$B$7:$B$66,$D8996)</f>
        <v>0</v>
      </c>
      <c r="H8996" s="135" t="n">
        <f aca="false">$G8996*'Analyse capacite'!$F$7</f>
        <v>0</v>
      </c>
      <c r="I8996" s="135" t="n">
        <f aca="false">$G8996*'Analyse capacite'!$C$7</f>
        <v>0</v>
      </c>
      <c r="J8996" s="135" t="n">
        <f aca="false">$G8996*'Analyse capacite'!$D$7</f>
        <v>0</v>
      </c>
      <c r="K8996" s="135" t="n">
        <f aca="false">$G8996*'Analyse capacite'!$E$7</f>
        <v>0</v>
      </c>
    </row>
    <row r="8997" customFormat="false" ht="15" hidden="false" customHeight="false" outlineLevel="0" collapsed="false">
      <c r="B8997" s="130" t="n">
        <v>2027</v>
      </c>
      <c r="C8997" s="131" t="s">
        <v>254</v>
      </c>
      <c r="D8997" s="132" t="n">
        <v>46727</v>
      </c>
      <c r="E8997" s="131" t="s">
        <v>56</v>
      </c>
      <c r="F8997" s="133" t="s">
        <v>19</v>
      </c>
      <c r="G8997" s="134" t="n">
        <f aca="false">LEN('Saisie programme'!$D$353)+SUMIFS('Vols additionnels'!$E$7:$E$66,'Vols additionnels'!$C$7:$C$66,$E8997,'Vols additionnels'!$D$7:$D$66,$F8997,'Vols additionnels'!$B$7:$B$66,$D8997)</f>
        <v>0</v>
      </c>
      <c r="H8997" s="135" t="n">
        <f aca="false">$G8997*'Analyse capacite'!$F$8</f>
        <v>0</v>
      </c>
      <c r="I8997" s="135" t="n">
        <f aca="false">$G8997*'Analyse capacite'!$C$8</f>
        <v>0</v>
      </c>
      <c r="J8997" s="135" t="n">
        <f aca="false">$G8997*'Analyse capacite'!$D$8</f>
        <v>0</v>
      </c>
      <c r="K8997" s="135" t="n">
        <f aca="false">$G8997*'Analyse capacite'!$E$8</f>
        <v>0</v>
      </c>
    </row>
    <row r="8998" customFormat="false" ht="15" hidden="false" customHeight="false" outlineLevel="0" collapsed="false">
      <c r="B8998" s="130" t="n">
        <v>2027</v>
      </c>
      <c r="C8998" s="131" t="s">
        <v>254</v>
      </c>
      <c r="D8998" s="132" t="n">
        <v>46727</v>
      </c>
      <c r="E8998" s="131" t="s">
        <v>56</v>
      </c>
      <c r="F8998" s="133" t="s">
        <v>24</v>
      </c>
      <c r="G8998" s="134" t="n">
        <f aca="false">LEN('Saisie programme'!$D$354)+SUMIFS('Vols additionnels'!$E$7:$E$66,'Vols additionnels'!$C$7:$C$66,$E8998,'Vols additionnels'!$D$7:$D$66,$F8998,'Vols additionnels'!$B$7:$B$66,$D8998)</f>
        <v>0</v>
      </c>
      <c r="H8998" s="135" t="n">
        <f aca="false">$G8998*'Analyse capacite'!$F$9</f>
        <v>0</v>
      </c>
      <c r="I8998" s="135" t="n">
        <f aca="false">$G8998*'Analyse capacite'!$C$9</f>
        <v>0</v>
      </c>
      <c r="J8998" s="135" t="n">
        <f aca="false">$G8998*'Analyse capacite'!$D$9</f>
        <v>0</v>
      </c>
      <c r="K8998" s="135" t="n">
        <f aca="false">$G8998*'Analyse capacite'!$E$9</f>
        <v>0</v>
      </c>
    </row>
    <row r="8999" customFormat="false" ht="15" hidden="false" customHeight="false" outlineLevel="0" collapsed="false">
      <c r="B8999" s="130" t="n">
        <v>2027</v>
      </c>
      <c r="C8999" s="131" t="s">
        <v>254</v>
      </c>
      <c r="D8999" s="132" t="n">
        <v>46727</v>
      </c>
      <c r="E8999" s="131" t="s">
        <v>59</v>
      </c>
      <c r="F8999" s="133" t="s">
        <v>11</v>
      </c>
      <c r="G8999" s="134" t="n">
        <f aca="false">LEN('Saisie programme'!$D$355)+SUMIFS('Vols additionnels'!$E$7:$E$66,'Vols additionnels'!$C$7:$C$66,$E8999,'Vols additionnels'!$D$7:$D$66,$F8999,'Vols additionnels'!$B$7:$B$66,$D8999)</f>
        <v>0</v>
      </c>
      <c r="H8999" s="135" t="n">
        <f aca="false">$G8999*'Analyse capacite'!$F$7</f>
        <v>0</v>
      </c>
      <c r="I8999" s="135" t="n">
        <f aca="false">$G8999*'Analyse capacite'!$C$7</f>
        <v>0</v>
      </c>
      <c r="J8999" s="135" t="n">
        <f aca="false">$G8999*'Analyse capacite'!$D$7</f>
        <v>0</v>
      </c>
      <c r="K8999" s="135" t="n">
        <f aca="false">$G8999*'Analyse capacite'!$E$7</f>
        <v>0</v>
      </c>
    </row>
    <row r="9000" customFormat="false" ht="15" hidden="false" customHeight="false" outlineLevel="0" collapsed="false">
      <c r="B9000" s="130" t="n">
        <v>2027</v>
      </c>
      <c r="C9000" s="131" t="s">
        <v>254</v>
      </c>
      <c r="D9000" s="132" t="n">
        <v>46727</v>
      </c>
      <c r="E9000" s="131" t="s">
        <v>59</v>
      </c>
      <c r="F9000" s="133" t="s">
        <v>19</v>
      </c>
      <c r="G9000" s="134" t="n">
        <f aca="false">LEN('Saisie programme'!$D$356)+SUMIFS('Vols additionnels'!$E$7:$E$66,'Vols additionnels'!$C$7:$C$66,$E9000,'Vols additionnels'!$D$7:$D$66,$F9000,'Vols additionnels'!$B$7:$B$66,$D9000)</f>
        <v>0</v>
      </c>
      <c r="H9000" s="135" t="n">
        <f aca="false">$G9000*'Analyse capacite'!$F$8</f>
        <v>0</v>
      </c>
      <c r="I9000" s="135" t="n">
        <f aca="false">$G9000*'Analyse capacite'!$C$8</f>
        <v>0</v>
      </c>
      <c r="J9000" s="135" t="n">
        <f aca="false">$G9000*'Analyse capacite'!$D$8</f>
        <v>0</v>
      </c>
      <c r="K9000" s="135" t="n">
        <f aca="false">$G9000*'Analyse capacite'!$E$8</f>
        <v>0</v>
      </c>
    </row>
    <row r="9001" customFormat="false" ht="15" hidden="false" customHeight="false" outlineLevel="0" collapsed="false">
      <c r="B9001" s="130" t="n">
        <v>2027</v>
      </c>
      <c r="C9001" s="131" t="s">
        <v>254</v>
      </c>
      <c r="D9001" s="132" t="n">
        <v>46727</v>
      </c>
      <c r="E9001" s="131" t="s">
        <v>59</v>
      </c>
      <c r="F9001" s="133" t="s">
        <v>24</v>
      </c>
      <c r="G9001" s="134" t="n">
        <f aca="false">LEN('Saisie programme'!$D$357)+SUMIFS('Vols additionnels'!$E$7:$E$66,'Vols additionnels'!$C$7:$C$66,$E9001,'Vols additionnels'!$D$7:$D$66,$F9001,'Vols additionnels'!$B$7:$B$66,$D9001)</f>
        <v>1</v>
      </c>
      <c r="H9001" s="135" t="n">
        <f aca="false">$G9001*'Analyse capacite'!$F$9</f>
        <v>174</v>
      </c>
      <c r="I9001" s="135" t="n">
        <f aca="false">$G9001*'Analyse capacite'!$C$9</f>
        <v>0</v>
      </c>
      <c r="J9001" s="135" t="n">
        <f aca="false">$G9001*'Analyse capacite'!$D$9</f>
        <v>12</v>
      </c>
      <c r="K9001" s="135" t="n">
        <f aca="false">$G9001*'Analyse capacite'!$E$9</f>
        <v>162</v>
      </c>
    </row>
    <row r="9002" customFormat="false" ht="15" hidden="false" customHeight="false" outlineLevel="0" collapsed="false">
      <c r="B9002" s="130" t="n">
        <v>2027</v>
      </c>
      <c r="C9002" s="131" t="s">
        <v>254</v>
      </c>
      <c r="D9002" s="132" t="n">
        <v>46727</v>
      </c>
      <c r="E9002" s="131" t="s">
        <v>62</v>
      </c>
      <c r="F9002" s="133" t="s">
        <v>11</v>
      </c>
      <c r="G9002" s="134" t="n">
        <f aca="false">LEN('Saisie programme'!$D$358)+SUMIFS('Vols additionnels'!$E$7:$E$66,'Vols additionnels'!$C$7:$C$66,$E9002,'Vols additionnels'!$D$7:$D$66,$F9002,'Vols additionnels'!$B$7:$B$66,$D9002)</f>
        <v>0</v>
      </c>
      <c r="H9002" s="135" t="n">
        <f aca="false">$G9002*'Analyse capacite'!$F$7</f>
        <v>0</v>
      </c>
      <c r="I9002" s="135" t="n">
        <f aca="false">$G9002*'Analyse capacite'!$C$7</f>
        <v>0</v>
      </c>
      <c r="J9002" s="135" t="n">
        <f aca="false">$G9002*'Analyse capacite'!$D$7</f>
        <v>0</v>
      </c>
      <c r="K9002" s="135" t="n">
        <f aca="false">$G9002*'Analyse capacite'!$E$7</f>
        <v>0</v>
      </c>
    </row>
    <row r="9003" customFormat="false" ht="15" hidden="false" customHeight="false" outlineLevel="0" collapsed="false">
      <c r="B9003" s="130" t="n">
        <v>2027</v>
      </c>
      <c r="C9003" s="131" t="s">
        <v>254</v>
      </c>
      <c r="D9003" s="132" t="n">
        <v>46727</v>
      </c>
      <c r="E9003" s="131" t="s">
        <v>62</v>
      </c>
      <c r="F9003" s="133" t="s">
        <v>19</v>
      </c>
      <c r="G9003" s="134" t="n">
        <f aca="false">LEN('Saisie programme'!$D$359)+SUMIFS('Vols additionnels'!$E$7:$E$66,'Vols additionnels'!$C$7:$C$66,$E9003,'Vols additionnels'!$D$7:$D$66,$F9003,'Vols additionnels'!$B$7:$B$66,$D9003)</f>
        <v>0</v>
      </c>
      <c r="H9003" s="135" t="n">
        <f aca="false">$G9003*'Analyse capacite'!$F$8</f>
        <v>0</v>
      </c>
      <c r="I9003" s="135" t="n">
        <f aca="false">$G9003*'Analyse capacite'!$C$8</f>
        <v>0</v>
      </c>
      <c r="J9003" s="135" t="n">
        <f aca="false">$G9003*'Analyse capacite'!$D$8</f>
        <v>0</v>
      </c>
      <c r="K9003" s="135" t="n">
        <f aca="false">$G9003*'Analyse capacite'!$E$8</f>
        <v>0</v>
      </c>
    </row>
    <row r="9004" customFormat="false" ht="15" hidden="false" customHeight="false" outlineLevel="0" collapsed="false">
      <c r="B9004" s="130" t="n">
        <v>2027</v>
      </c>
      <c r="C9004" s="131" t="s">
        <v>254</v>
      </c>
      <c r="D9004" s="132" t="n">
        <v>46727</v>
      </c>
      <c r="E9004" s="131" t="s">
        <v>62</v>
      </c>
      <c r="F9004" s="133" t="s">
        <v>24</v>
      </c>
      <c r="G9004" s="134" t="n">
        <f aca="false">LEN('Saisie programme'!$D$360)+SUMIFS('Vols additionnels'!$E$7:$E$66,'Vols additionnels'!$C$7:$C$66,$E9004,'Vols additionnels'!$D$7:$D$66,$F9004,'Vols additionnels'!$B$7:$B$66,$D9004)</f>
        <v>0</v>
      </c>
      <c r="H9004" s="135" t="n">
        <f aca="false">$G9004*'Analyse capacite'!$F$9</f>
        <v>0</v>
      </c>
      <c r="I9004" s="135" t="n">
        <f aca="false">$G9004*'Analyse capacite'!$C$9</f>
        <v>0</v>
      </c>
      <c r="J9004" s="135" t="n">
        <f aca="false">$G9004*'Analyse capacite'!$D$9</f>
        <v>0</v>
      </c>
      <c r="K9004" s="135" t="n">
        <f aca="false">$G9004*'Analyse capacite'!$E$9</f>
        <v>0</v>
      </c>
    </row>
    <row r="9005" customFormat="false" ht="15" hidden="false" customHeight="false" outlineLevel="0" collapsed="false">
      <c r="B9005" s="130" t="n">
        <v>2027</v>
      </c>
      <c r="C9005" s="131" t="s">
        <v>254</v>
      </c>
      <c r="D9005" s="132" t="n">
        <v>46728</v>
      </c>
      <c r="E9005" s="131" t="s">
        <v>12</v>
      </c>
      <c r="F9005" s="133" t="s">
        <v>11</v>
      </c>
      <c r="G9005" s="134" t="n">
        <f aca="false">LEN('Saisie programme'!$E$325)+SUMIFS('Vols additionnels'!$E$7:$E$66,'Vols additionnels'!$C$7:$C$66,$E9005,'Vols additionnels'!$D$7:$D$66,$F9005,'Vols additionnels'!$B$7:$B$66,$D9005)</f>
        <v>1</v>
      </c>
      <c r="H9005" s="135" t="n">
        <f aca="false">$G9005*'Analyse capacite'!$F$7</f>
        <v>438</v>
      </c>
      <c r="I9005" s="135" t="n">
        <f aca="false">$G9005*'Analyse capacite'!$C$7</f>
        <v>14</v>
      </c>
      <c r="J9005" s="135" t="n">
        <f aca="false">$G9005*'Analyse capacite'!$D$7</f>
        <v>40</v>
      </c>
      <c r="K9005" s="135" t="n">
        <f aca="false">$G9005*'Analyse capacite'!$E$7</f>
        <v>384</v>
      </c>
    </row>
    <row r="9006" customFormat="false" ht="15" hidden="false" customHeight="false" outlineLevel="0" collapsed="false">
      <c r="B9006" s="130" t="n">
        <v>2027</v>
      </c>
      <c r="C9006" s="131" t="s">
        <v>254</v>
      </c>
      <c r="D9006" s="132" t="n">
        <v>46728</v>
      </c>
      <c r="E9006" s="131" t="s">
        <v>12</v>
      </c>
      <c r="F9006" s="133" t="s">
        <v>19</v>
      </c>
      <c r="G9006" s="134" t="n">
        <f aca="false">LEN('Saisie programme'!$E$326)+SUMIFS('Vols additionnels'!$E$7:$E$66,'Vols additionnels'!$C$7:$C$66,$E9006,'Vols additionnels'!$D$7:$D$66,$F9006,'Vols additionnels'!$B$7:$B$66,$D9006)</f>
        <v>0</v>
      </c>
      <c r="H9006" s="135" t="n">
        <f aca="false">$G9006*'Analyse capacite'!$F$8</f>
        <v>0</v>
      </c>
      <c r="I9006" s="135" t="n">
        <f aca="false">$G9006*'Analyse capacite'!$C$8</f>
        <v>0</v>
      </c>
      <c r="J9006" s="135" t="n">
        <f aca="false">$G9006*'Analyse capacite'!$D$8</f>
        <v>0</v>
      </c>
      <c r="K9006" s="135" t="n">
        <f aca="false">$G9006*'Analyse capacite'!$E$8</f>
        <v>0</v>
      </c>
    </row>
    <row r="9007" customFormat="false" ht="15" hidden="false" customHeight="false" outlineLevel="0" collapsed="false">
      <c r="B9007" s="130" t="n">
        <v>2027</v>
      </c>
      <c r="C9007" s="131" t="s">
        <v>254</v>
      </c>
      <c r="D9007" s="132" t="n">
        <v>46728</v>
      </c>
      <c r="E9007" s="131" t="s">
        <v>12</v>
      </c>
      <c r="F9007" s="133" t="s">
        <v>24</v>
      </c>
      <c r="G9007" s="134" t="n">
        <f aca="false">LEN('Saisie programme'!$E$327)+SUMIFS('Vols additionnels'!$E$7:$E$66,'Vols additionnels'!$C$7:$C$66,$E9007,'Vols additionnels'!$D$7:$D$66,$F9007,'Vols additionnels'!$B$7:$B$66,$D9007)</f>
        <v>0</v>
      </c>
      <c r="H9007" s="135" t="n">
        <f aca="false">$G9007*'Analyse capacite'!$F$9</f>
        <v>0</v>
      </c>
      <c r="I9007" s="135" t="n">
        <f aca="false">$G9007*'Analyse capacite'!$C$9</f>
        <v>0</v>
      </c>
      <c r="J9007" s="135" t="n">
        <f aca="false">$G9007*'Analyse capacite'!$D$9</f>
        <v>0</v>
      </c>
      <c r="K9007" s="135" t="n">
        <f aca="false">$G9007*'Analyse capacite'!$E$9</f>
        <v>0</v>
      </c>
    </row>
    <row r="9008" customFormat="false" ht="15" hidden="false" customHeight="false" outlineLevel="0" collapsed="false">
      <c r="B9008" s="130" t="n">
        <v>2027</v>
      </c>
      <c r="C9008" s="131" t="s">
        <v>254</v>
      </c>
      <c r="D9008" s="132" t="n">
        <v>46728</v>
      </c>
      <c r="E9008" s="131" t="s">
        <v>20</v>
      </c>
      <c r="F9008" s="133" t="s">
        <v>11</v>
      </c>
      <c r="G9008" s="134" t="n">
        <f aca="false">LEN('Saisie programme'!$E$328)+SUMIFS('Vols additionnels'!$E$7:$E$66,'Vols additionnels'!$C$7:$C$66,$E9008,'Vols additionnels'!$D$7:$D$66,$F9008,'Vols additionnels'!$B$7:$B$66,$D9008)</f>
        <v>0</v>
      </c>
      <c r="H9008" s="135" t="n">
        <f aca="false">$G9008*'Analyse capacite'!$F$7</f>
        <v>0</v>
      </c>
      <c r="I9008" s="135" t="n">
        <f aca="false">$G9008*'Analyse capacite'!$C$7</f>
        <v>0</v>
      </c>
      <c r="J9008" s="135" t="n">
        <f aca="false">$G9008*'Analyse capacite'!$D$7</f>
        <v>0</v>
      </c>
      <c r="K9008" s="135" t="n">
        <f aca="false">$G9008*'Analyse capacite'!$E$7</f>
        <v>0</v>
      </c>
    </row>
    <row r="9009" customFormat="false" ht="15" hidden="false" customHeight="false" outlineLevel="0" collapsed="false">
      <c r="B9009" s="130" t="n">
        <v>2027</v>
      </c>
      <c r="C9009" s="131" t="s">
        <v>254</v>
      </c>
      <c r="D9009" s="132" t="n">
        <v>46728</v>
      </c>
      <c r="E9009" s="131" t="s">
        <v>20</v>
      </c>
      <c r="F9009" s="133" t="s">
        <v>19</v>
      </c>
      <c r="G9009" s="134" t="n">
        <f aca="false">LEN('Saisie programme'!$E$329)+SUMIFS('Vols additionnels'!$E$7:$E$66,'Vols additionnels'!$C$7:$C$66,$E9009,'Vols additionnels'!$D$7:$D$66,$F9009,'Vols additionnels'!$B$7:$B$66,$D9009)</f>
        <v>1</v>
      </c>
      <c r="H9009" s="135" t="n">
        <f aca="false">$G9009*'Analyse capacite'!$F$8</f>
        <v>262</v>
      </c>
      <c r="I9009" s="135" t="n">
        <f aca="false">$G9009*'Analyse capacite'!$C$8</f>
        <v>18</v>
      </c>
      <c r="J9009" s="135" t="n">
        <f aca="false">$G9009*'Analyse capacite'!$D$8</f>
        <v>0</v>
      </c>
      <c r="K9009" s="135" t="n">
        <f aca="false">$G9009*'Analyse capacite'!$E$8</f>
        <v>244</v>
      </c>
    </row>
    <row r="9010" customFormat="false" ht="15" hidden="false" customHeight="false" outlineLevel="0" collapsed="false">
      <c r="B9010" s="130" t="n">
        <v>2027</v>
      </c>
      <c r="C9010" s="131" t="s">
        <v>254</v>
      </c>
      <c r="D9010" s="132" t="n">
        <v>46728</v>
      </c>
      <c r="E9010" s="131" t="s">
        <v>20</v>
      </c>
      <c r="F9010" s="133" t="s">
        <v>24</v>
      </c>
      <c r="G9010" s="134" t="n">
        <f aca="false">LEN('Saisie programme'!$E$330)+SUMIFS('Vols additionnels'!$E$7:$E$66,'Vols additionnels'!$C$7:$C$66,$E9010,'Vols additionnels'!$D$7:$D$66,$F9010,'Vols additionnels'!$B$7:$B$66,$D9010)</f>
        <v>0</v>
      </c>
      <c r="H9010" s="135" t="n">
        <f aca="false">$G9010*'Analyse capacite'!$F$9</f>
        <v>0</v>
      </c>
      <c r="I9010" s="135" t="n">
        <f aca="false">$G9010*'Analyse capacite'!$C$9</f>
        <v>0</v>
      </c>
      <c r="J9010" s="135" t="n">
        <f aca="false">$G9010*'Analyse capacite'!$D$9</f>
        <v>0</v>
      </c>
      <c r="K9010" s="135" t="n">
        <f aca="false">$G9010*'Analyse capacite'!$E$9</f>
        <v>0</v>
      </c>
    </row>
    <row r="9011" customFormat="false" ht="15" hidden="false" customHeight="false" outlineLevel="0" collapsed="false">
      <c r="B9011" s="130" t="n">
        <v>2027</v>
      </c>
      <c r="C9011" s="131" t="s">
        <v>254</v>
      </c>
      <c r="D9011" s="132" t="n">
        <v>46728</v>
      </c>
      <c r="E9011" s="131" t="s">
        <v>25</v>
      </c>
      <c r="F9011" s="133" t="s">
        <v>11</v>
      </c>
      <c r="G9011" s="134" t="n">
        <f aca="false">LEN('Saisie programme'!$E$331)+SUMIFS('Vols additionnels'!$E$7:$E$66,'Vols additionnels'!$C$7:$C$66,$E9011,'Vols additionnels'!$D$7:$D$66,$F9011,'Vols additionnels'!$B$7:$B$66,$D9011)</f>
        <v>0</v>
      </c>
      <c r="H9011" s="135" t="n">
        <f aca="false">$G9011*'Analyse capacite'!$F$7</f>
        <v>0</v>
      </c>
      <c r="I9011" s="135" t="n">
        <f aca="false">$G9011*'Analyse capacite'!$C$7</f>
        <v>0</v>
      </c>
      <c r="J9011" s="135" t="n">
        <f aca="false">$G9011*'Analyse capacite'!$D$7</f>
        <v>0</v>
      </c>
      <c r="K9011" s="135" t="n">
        <f aca="false">$G9011*'Analyse capacite'!$E$7</f>
        <v>0</v>
      </c>
    </row>
    <row r="9012" customFormat="false" ht="15" hidden="false" customHeight="false" outlineLevel="0" collapsed="false">
      <c r="B9012" s="130" t="n">
        <v>2027</v>
      </c>
      <c r="C9012" s="131" t="s">
        <v>254</v>
      </c>
      <c r="D9012" s="132" t="n">
        <v>46728</v>
      </c>
      <c r="E9012" s="131" t="s">
        <v>25</v>
      </c>
      <c r="F9012" s="133" t="s">
        <v>19</v>
      </c>
      <c r="G9012" s="134" t="n">
        <f aca="false">LEN('Saisie programme'!$E$332)+SUMIFS('Vols additionnels'!$E$7:$E$66,'Vols additionnels'!$C$7:$C$66,$E9012,'Vols additionnels'!$D$7:$D$66,$F9012,'Vols additionnels'!$B$7:$B$66,$D9012)</f>
        <v>0</v>
      </c>
      <c r="H9012" s="135" t="n">
        <f aca="false">$G9012*'Analyse capacite'!$F$8</f>
        <v>0</v>
      </c>
      <c r="I9012" s="135" t="n">
        <f aca="false">$G9012*'Analyse capacite'!$C$8</f>
        <v>0</v>
      </c>
      <c r="J9012" s="135" t="n">
        <f aca="false">$G9012*'Analyse capacite'!$D$8</f>
        <v>0</v>
      </c>
      <c r="K9012" s="135" t="n">
        <f aca="false">$G9012*'Analyse capacite'!$E$8</f>
        <v>0</v>
      </c>
    </row>
    <row r="9013" customFormat="false" ht="15" hidden="false" customHeight="false" outlineLevel="0" collapsed="false">
      <c r="B9013" s="130" t="n">
        <v>2027</v>
      </c>
      <c r="C9013" s="131" t="s">
        <v>254</v>
      </c>
      <c r="D9013" s="132" t="n">
        <v>46728</v>
      </c>
      <c r="E9013" s="131" t="s">
        <v>25</v>
      </c>
      <c r="F9013" s="133" t="s">
        <v>24</v>
      </c>
      <c r="G9013" s="134" t="n">
        <f aca="false">LEN('Saisie programme'!$E$333)+SUMIFS('Vols additionnels'!$E$7:$E$66,'Vols additionnels'!$C$7:$C$66,$E9013,'Vols additionnels'!$D$7:$D$66,$F9013,'Vols additionnels'!$B$7:$B$66,$D9013)</f>
        <v>0</v>
      </c>
      <c r="H9013" s="135" t="n">
        <f aca="false">$G9013*'Analyse capacite'!$F$9</f>
        <v>0</v>
      </c>
      <c r="I9013" s="135" t="n">
        <f aca="false">$G9013*'Analyse capacite'!$C$9</f>
        <v>0</v>
      </c>
      <c r="J9013" s="135" t="n">
        <f aca="false">$G9013*'Analyse capacite'!$D$9</f>
        <v>0</v>
      </c>
      <c r="K9013" s="135" t="n">
        <f aca="false">$G9013*'Analyse capacite'!$E$9</f>
        <v>0</v>
      </c>
    </row>
    <row r="9014" customFormat="false" ht="15" hidden="false" customHeight="false" outlineLevel="0" collapsed="false">
      <c r="B9014" s="130" t="n">
        <v>2027</v>
      </c>
      <c r="C9014" s="131" t="s">
        <v>254</v>
      </c>
      <c r="D9014" s="132" t="n">
        <v>46728</v>
      </c>
      <c r="E9014" s="131" t="s">
        <v>36</v>
      </c>
      <c r="F9014" s="133" t="s">
        <v>11</v>
      </c>
      <c r="G9014" s="134" t="n">
        <f aca="false">LEN('Saisie programme'!$E$334)+SUMIFS('Vols additionnels'!$E$7:$E$66,'Vols additionnels'!$C$7:$C$66,$E9014,'Vols additionnels'!$D$7:$D$66,$F9014,'Vols additionnels'!$B$7:$B$66,$D9014)</f>
        <v>0</v>
      </c>
      <c r="H9014" s="135" t="n">
        <f aca="false">$G9014*'Analyse capacite'!$F$7</f>
        <v>0</v>
      </c>
      <c r="I9014" s="135" t="n">
        <f aca="false">$G9014*'Analyse capacite'!$C$7</f>
        <v>0</v>
      </c>
      <c r="J9014" s="135" t="n">
        <f aca="false">$G9014*'Analyse capacite'!$D$7</f>
        <v>0</v>
      </c>
      <c r="K9014" s="135" t="n">
        <f aca="false">$G9014*'Analyse capacite'!$E$7</f>
        <v>0</v>
      </c>
    </row>
    <row r="9015" customFormat="false" ht="15" hidden="false" customHeight="false" outlineLevel="0" collapsed="false">
      <c r="B9015" s="130" t="n">
        <v>2027</v>
      </c>
      <c r="C9015" s="131" t="s">
        <v>254</v>
      </c>
      <c r="D9015" s="132" t="n">
        <v>46728</v>
      </c>
      <c r="E9015" s="131" t="s">
        <v>36</v>
      </c>
      <c r="F9015" s="133" t="s">
        <v>19</v>
      </c>
      <c r="G9015" s="134" t="n">
        <f aca="false">LEN('Saisie programme'!$E$335)+SUMIFS('Vols additionnels'!$E$7:$E$66,'Vols additionnels'!$C$7:$C$66,$E9015,'Vols additionnels'!$D$7:$D$66,$F9015,'Vols additionnels'!$B$7:$B$66,$D9015)</f>
        <v>0</v>
      </c>
      <c r="H9015" s="135" t="n">
        <f aca="false">$G9015*'Analyse capacite'!$F$8</f>
        <v>0</v>
      </c>
      <c r="I9015" s="135" t="n">
        <f aca="false">$G9015*'Analyse capacite'!$C$8</f>
        <v>0</v>
      </c>
      <c r="J9015" s="135" t="n">
        <f aca="false">$G9015*'Analyse capacite'!$D$8</f>
        <v>0</v>
      </c>
      <c r="K9015" s="135" t="n">
        <f aca="false">$G9015*'Analyse capacite'!$E$8</f>
        <v>0</v>
      </c>
    </row>
    <row r="9016" customFormat="false" ht="15" hidden="false" customHeight="false" outlineLevel="0" collapsed="false">
      <c r="B9016" s="130" t="n">
        <v>2027</v>
      </c>
      <c r="C9016" s="131" t="s">
        <v>254</v>
      </c>
      <c r="D9016" s="132" t="n">
        <v>46728</v>
      </c>
      <c r="E9016" s="131" t="s">
        <v>36</v>
      </c>
      <c r="F9016" s="133" t="s">
        <v>24</v>
      </c>
      <c r="G9016" s="134" t="n">
        <f aca="false">LEN('Saisie programme'!$E$336)+SUMIFS('Vols additionnels'!$E$7:$E$66,'Vols additionnels'!$C$7:$C$66,$E9016,'Vols additionnels'!$D$7:$D$66,$F9016,'Vols additionnels'!$B$7:$B$66,$D9016)</f>
        <v>1</v>
      </c>
      <c r="H9016" s="135" t="n">
        <f aca="false">$G9016*'Analyse capacite'!$F$9</f>
        <v>174</v>
      </c>
      <c r="I9016" s="135" t="n">
        <f aca="false">$G9016*'Analyse capacite'!$C$9</f>
        <v>0</v>
      </c>
      <c r="J9016" s="135" t="n">
        <f aca="false">$G9016*'Analyse capacite'!$D$9</f>
        <v>12</v>
      </c>
      <c r="K9016" s="135" t="n">
        <f aca="false">$G9016*'Analyse capacite'!$E$9</f>
        <v>162</v>
      </c>
    </row>
    <row r="9017" customFormat="false" ht="15" hidden="false" customHeight="false" outlineLevel="0" collapsed="false">
      <c r="B9017" s="130" t="n">
        <v>2027</v>
      </c>
      <c r="C9017" s="131" t="s">
        <v>254</v>
      </c>
      <c r="D9017" s="132" t="n">
        <v>46728</v>
      </c>
      <c r="E9017" s="131" t="s">
        <v>40</v>
      </c>
      <c r="F9017" s="133" t="s">
        <v>11</v>
      </c>
      <c r="G9017" s="134" t="n">
        <f aca="false">LEN('Saisie programme'!$E$337)+SUMIFS('Vols additionnels'!$E$7:$E$66,'Vols additionnels'!$C$7:$C$66,$E9017,'Vols additionnels'!$D$7:$D$66,$F9017,'Vols additionnels'!$B$7:$B$66,$D9017)</f>
        <v>0</v>
      </c>
      <c r="H9017" s="135" t="n">
        <f aca="false">$G9017*'Analyse capacite'!$F$7</f>
        <v>0</v>
      </c>
      <c r="I9017" s="135" t="n">
        <f aca="false">$G9017*'Analyse capacite'!$C$7</f>
        <v>0</v>
      </c>
      <c r="J9017" s="135" t="n">
        <f aca="false">$G9017*'Analyse capacite'!$D$7</f>
        <v>0</v>
      </c>
      <c r="K9017" s="135" t="n">
        <f aca="false">$G9017*'Analyse capacite'!$E$7</f>
        <v>0</v>
      </c>
    </row>
    <row r="9018" customFormat="false" ht="15" hidden="false" customHeight="false" outlineLevel="0" collapsed="false">
      <c r="B9018" s="130" t="n">
        <v>2027</v>
      </c>
      <c r="C9018" s="131" t="s">
        <v>254</v>
      </c>
      <c r="D9018" s="132" t="n">
        <v>46728</v>
      </c>
      <c r="E9018" s="131" t="s">
        <v>40</v>
      </c>
      <c r="F9018" s="133" t="s">
        <v>19</v>
      </c>
      <c r="G9018" s="134" t="n">
        <f aca="false">LEN('Saisie programme'!$E$338)+SUMIFS('Vols additionnels'!$E$7:$E$66,'Vols additionnels'!$C$7:$C$66,$E9018,'Vols additionnels'!$D$7:$D$66,$F9018,'Vols additionnels'!$B$7:$B$66,$D9018)</f>
        <v>0</v>
      </c>
      <c r="H9018" s="135" t="n">
        <f aca="false">$G9018*'Analyse capacite'!$F$8</f>
        <v>0</v>
      </c>
      <c r="I9018" s="135" t="n">
        <f aca="false">$G9018*'Analyse capacite'!$C$8</f>
        <v>0</v>
      </c>
      <c r="J9018" s="135" t="n">
        <f aca="false">$G9018*'Analyse capacite'!$D$8</f>
        <v>0</v>
      </c>
      <c r="K9018" s="135" t="n">
        <f aca="false">$G9018*'Analyse capacite'!$E$8</f>
        <v>0</v>
      </c>
    </row>
    <row r="9019" customFormat="false" ht="15" hidden="false" customHeight="false" outlineLevel="0" collapsed="false">
      <c r="B9019" s="130" t="n">
        <v>2027</v>
      </c>
      <c r="C9019" s="131" t="s">
        <v>254</v>
      </c>
      <c r="D9019" s="132" t="n">
        <v>46728</v>
      </c>
      <c r="E9019" s="131" t="s">
        <v>40</v>
      </c>
      <c r="F9019" s="133" t="s">
        <v>24</v>
      </c>
      <c r="G9019" s="134" t="n">
        <f aca="false">LEN('Saisie programme'!$E$339)+SUMIFS('Vols additionnels'!$E$7:$E$66,'Vols additionnels'!$C$7:$C$66,$E9019,'Vols additionnels'!$D$7:$D$66,$F9019,'Vols additionnels'!$B$7:$B$66,$D9019)</f>
        <v>0</v>
      </c>
      <c r="H9019" s="135" t="n">
        <f aca="false">$G9019*'Analyse capacite'!$F$9</f>
        <v>0</v>
      </c>
      <c r="I9019" s="135" t="n">
        <f aca="false">$G9019*'Analyse capacite'!$C$9</f>
        <v>0</v>
      </c>
      <c r="J9019" s="135" t="n">
        <f aca="false">$G9019*'Analyse capacite'!$D$9</f>
        <v>0</v>
      </c>
      <c r="K9019" s="135" t="n">
        <f aca="false">$G9019*'Analyse capacite'!$E$9</f>
        <v>0</v>
      </c>
    </row>
    <row r="9020" customFormat="false" ht="15" hidden="false" customHeight="false" outlineLevel="0" collapsed="false">
      <c r="B9020" s="130" t="n">
        <v>2027</v>
      </c>
      <c r="C9020" s="131" t="s">
        <v>254</v>
      </c>
      <c r="D9020" s="132" t="n">
        <v>46728</v>
      </c>
      <c r="E9020" s="131" t="s">
        <v>14</v>
      </c>
      <c r="F9020" s="133" t="s">
        <v>11</v>
      </c>
      <c r="G9020" s="134" t="n">
        <f aca="false">LEN('Saisie programme'!$E$340)+SUMIFS('Vols additionnels'!$E$7:$E$66,'Vols additionnels'!$C$7:$C$66,$E9020,'Vols additionnels'!$D$7:$D$66,$F9020,'Vols additionnels'!$B$7:$B$66,$D9020)</f>
        <v>0</v>
      </c>
      <c r="H9020" s="135" t="n">
        <f aca="false">$G9020*'Analyse capacite'!$F$7</f>
        <v>0</v>
      </c>
      <c r="I9020" s="135" t="n">
        <f aca="false">$G9020*'Analyse capacite'!$C$7</f>
        <v>0</v>
      </c>
      <c r="J9020" s="135" t="n">
        <f aca="false">$G9020*'Analyse capacite'!$D$7</f>
        <v>0</v>
      </c>
      <c r="K9020" s="135" t="n">
        <f aca="false">$G9020*'Analyse capacite'!$E$7</f>
        <v>0</v>
      </c>
    </row>
    <row r="9021" customFormat="false" ht="15" hidden="false" customHeight="false" outlineLevel="0" collapsed="false">
      <c r="B9021" s="130" t="n">
        <v>2027</v>
      </c>
      <c r="C9021" s="131" t="s">
        <v>254</v>
      </c>
      <c r="D9021" s="132" t="n">
        <v>46728</v>
      </c>
      <c r="E9021" s="131" t="s">
        <v>14</v>
      </c>
      <c r="F9021" s="133" t="s">
        <v>19</v>
      </c>
      <c r="G9021" s="134" t="n">
        <f aca="false">LEN('Saisie programme'!$E$341)+SUMIFS('Vols additionnels'!$E$7:$E$66,'Vols additionnels'!$C$7:$C$66,$E9021,'Vols additionnels'!$D$7:$D$66,$F9021,'Vols additionnels'!$B$7:$B$66,$D9021)</f>
        <v>0</v>
      </c>
      <c r="H9021" s="135" t="n">
        <f aca="false">$G9021*'Analyse capacite'!$F$8</f>
        <v>0</v>
      </c>
      <c r="I9021" s="135" t="n">
        <f aca="false">$G9021*'Analyse capacite'!$C$8</f>
        <v>0</v>
      </c>
      <c r="J9021" s="135" t="n">
        <f aca="false">$G9021*'Analyse capacite'!$D$8</f>
        <v>0</v>
      </c>
      <c r="K9021" s="135" t="n">
        <f aca="false">$G9021*'Analyse capacite'!$E$8</f>
        <v>0</v>
      </c>
    </row>
    <row r="9022" customFormat="false" ht="15" hidden="false" customHeight="false" outlineLevel="0" collapsed="false">
      <c r="B9022" s="130" t="n">
        <v>2027</v>
      </c>
      <c r="C9022" s="131" t="s">
        <v>254</v>
      </c>
      <c r="D9022" s="132" t="n">
        <v>46728</v>
      </c>
      <c r="E9022" s="131" t="s">
        <v>14</v>
      </c>
      <c r="F9022" s="133" t="s">
        <v>24</v>
      </c>
      <c r="G9022" s="134" t="n">
        <f aca="false">LEN('Saisie programme'!$E$342)+SUMIFS('Vols additionnels'!$E$7:$E$66,'Vols additionnels'!$C$7:$C$66,$E9022,'Vols additionnels'!$D$7:$D$66,$F9022,'Vols additionnels'!$B$7:$B$66,$D9022)</f>
        <v>1</v>
      </c>
      <c r="H9022" s="135" t="n">
        <f aca="false">$G9022*'Analyse capacite'!$F$9</f>
        <v>174</v>
      </c>
      <c r="I9022" s="135" t="n">
        <f aca="false">$G9022*'Analyse capacite'!$C$9</f>
        <v>0</v>
      </c>
      <c r="J9022" s="135" t="n">
        <f aca="false">$G9022*'Analyse capacite'!$D$9</f>
        <v>12</v>
      </c>
      <c r="K9022" s="135" t="n">
        <f aca="false">$G9022*'Analyse capacite'!$E$9</f>
        <v>162</v>
      </c>
    </row>
    <row r="9023" customFormat="false" ht="15" hidden="false" customHeight="false" outlineLevel="0" collapsed="false">
      <c r="B9023" s="130" t="n">
        <v>2027</v>
      </c>
      <c r="C9023" s="131" t="s">
        <v>254</v>
      </c>
      <c r="D9023" s="132" t="n">
        <v>46728</v>
      </c>
      <c r="E9023" s="131" t="s">
        <v>46</v>
      </c>
      <c r="F9023" s="133" t="s">
        <v>11</v>
      </c>
      <c r="G9023" s="134" t="n">
        <f aca="false">LEN('Saisie programme'!$E$343)+SUMIFS('Vols additionnels'!$E$7:$E$66,'Vols additionnels'!$C$7:$C$66,$E9023,'Vols additionnels'!$D$7:$D$66,$F9023,'Vols additionnels'!$B$7:$B$66,$D9023)</f>
        <v>0</v>
      </c>
      <c r="H9023" s="135" t="n">
        <f aca="false">$G9023*'Analyse capacite'!$F$7</f>
        <v>0</v>
      </c>
      <c r="I9023" s="135" t="n">
        <f aca="false">$G9023*'Analyse capacite'!$C$7</f>
        <v>0</v>
      </c>
      <c r="J9023" s="135" t="n">
        <f aca="false">$G9023*'Analyse capacite'!$D$7</f>
        <v>0</v>
      </c>
      <c r="K9023" s="135" t="n">
        <f aca="false">$G9023*'Analyse capacite'!$E$7</f>
        <v>0</v>
      </c>
    </row>
    <row r="9024" customFormat="false" ht="15" hidden="false" customHeight="false" outlineLevel="0" collapsed="false">
      <c r="B9024" s="130" t="n">
        <v>2027</v>
      </c>
      <c r="C9024" s="131" t="s">
        <v>254</v>
      </c>
      <c r="D9024" s="132" t="n">
        <v>46728</v>
      </c>
      <c r="E9024" s="131" t="s">
        <v>46</v>
      </c>
      <c r="F9024" s="133" t="s">
        <v>19</v>
      </c>
      <c r="G9024" s="134" t="n">
        <f aca="false">LEN('Saisie programme'!$E$344)+SUMIFS('Vols additionnels'!$E$7:$E$66,'Vols additionnels'!$C$7:$C$66,$E9024,'Vols additionnels'!$D$7:$D$66,$F9024,'Vols additionnels'!$B$7:$B$66,$D9024)</f>
        <v>0</v>
      </c>
      <c r="H9024" s="135" t="n">
        <f aca="false">$G9024*'Analyse capacite'!$F$8</f>
        <v>0</v>
      </c>
      <c r="I9024" s="135" t="n">
        <f aca="false">$G9024*'Analyse capacite'!$C$8</f>
        <v>0</v>
      </c>
      <c r="J9024" s="135" t="n">
        <f aca="false">$G9024*'Analyse capacite'!$D$8</f>
        <v>0</v>
      </c>
      <c r="K9024" s="135" t="n">
        <f aca="false">$G9024*'Analyse capacite'!$E$8</f>
        <v>0</v>
      </c>
    </row>
    <row r="9025" customFormat="false" ht="15" hidden="false" customHeight="false" outlineLevel="0" collapsed="false">
      <c r="B9025" s="130" t="n">
        <v>2027</v>
      </c>
      <c r="C9025" s="131" t="s">
        <v>254</v>
      </c>
      <c r="D9025" s="132" t="n">
        <v>46728</v>
      </c>
      <c r="E9025" s="131" t="s">
        <v>46</v>
      </c>
      <c r="F9025" s="133" t="s">
        <v>24</v>
      </c>
      <c r="G9025" s="134" t="n">
        <f aca="false">LEN('Saisie programme'!$E$345)+SUMIFS('Vols additionnels'!$E$7:$E$66,'Vols additionnels'!$C$7:$C$66,$E9025,'Vols additionnels'!$D$7:$D$66,$F9025,'Vols additionnels'!$B$7:$B$66,$D9025)</f>
        <v>1</v>
      </c>
      <c r="H9025" s="135" t="n">
        <f aca="false">$G9025*'Analyse capacite'!$F$9</f>
        <v>174</v>
      </c>
      <c r="I9025" s="135" t="n">
        <f aca="false">$G9025*'Analyse capacite'!$C$9</f>
        <v>0</v>
      </c>
      <c r="J9025" s="135" t="n">
        <f aca="false">$G9025*'Analyse capacite'!$D$9</f>
        <v>12</v>
      </c>
      <c r="K9025" s="135" t="n">
        <f aca="false">$G9025*'Analyse capacite'!$E$9</f>
        <v>162</v>
      </c>
    </row>
    <row r="9026" customFormat="false" ht="15" hidden="false" customHeight="false" outlineLevel="0" collapsed="false">
      <c r="B9026" s="130" t="n">
        <v>2027</v>
      </c>
      <c r="C9026" s="131" t="s">
        <v>254</v>
      </c>
      <c r="D9026" s="132" t="n">
        <v>46728</v>
      </c>
      <c r="E9026" s="131" t="s">
        <v>49</v>
      </c>
      <c r="F9026" s="133" t="s">
        <v>11</v>
      </c>
      <c r="G9026" s="134" t="n">
        <f aca="false">LEN('Saisie programme'!$E$346)+SUMIFS('Vols additionnels'!$E$7:$E$66,'Vols additionnels'!$C$7:$C$66,$E9026,'Vols additionnels'!$D$7:$D$66,$F9026,'Vols additionnels'!$B$7:$B$66,$D9026)</f>
        <v>0</v>
      </c>
      <c r="H9026" s="135" t="n">
        <f aca="false">$G9026*'Analyse capacite'!$F$7</f>
        <v>0</v>
      </c>
      <c r="I9026" s="135" t="n">
        <f aca="false">$G9026*'Analyse capacite'!$C$7</f>
        <v>0</v>
      </c>
      <c r="J9026" s="135" t="n">
        <f aca="false">$G9026*'Analyse capacite'!$D$7</f>
        <v>0</v>
      </c>
      <c r="K9026" s="135" t="n">
        <f aca="false">$G9026*'Analyse capacite'!$E$7</f>
        <v>0</v>
      </c>
    </row>
    <row r="9027" customFormat="false" ht="15" hidden="false" customHeight="false" outlineLevel="0" collapsed="false">
      <c r="B9027" s="130" t="n">
        <v>2027</v>
      </c>
      <c r="C9027" s="131" t="s">
        <v>254</v>
      </c>
      <c r="D9027" s="132" t="n">
        <v>46728</v>
      </c>
      <c r="E9027" s="131" t="s">
        <v>49</v>
      </c>
      <c r="F9027" s="133" t="s">
        <v>19</v>
      </c>
      <c r="G9027" s="134" t="n">
        <f aca="false">LEN('Saisie programme'!$E$347)+SUMIFS('Vols additionnels'!$E$7:$E$66,'Vols additionnels'!$C$7:$C$66,$E9027,'Vols additionnels'!$D$7:$D$66,$F9027,'Vols additionnels'!$B$7:$B$66,$D9027)</f>
        <v>0</v>
      </c>
      <c r="H9027" s="135" t="n">
        <f aca="false">$G9027*'Analyse capacite'!$F$8</f>
        <v>0</v>
      </c>
      <c r="I9027" s="135" t="n">
        <f aca="false">$G9027*'Analyse capacite'!$C$8</f>
        <v>0</v>
      </c>
      <c r="J9027" s="135" t="n">
        <f aca="false">$G9027*'Analyse capacite'!$D$8</f>
        <v>0</v>
      </c>
      <c r="K9027" s="135" t="n">
        <f aca="false">$G9027*'Analyse capacite'!$E$8</f>
        <v>0</v>
      </c>
    </row>
    <row r="9028" customFormat="false" ht="15" hidden="false" customHeight="false" outlineLevel="0" collapsed="false">
      <c r="B9028" s="130" t="n">
        <v>2027</v>
      </c>
      <c r="C9028" s="131" t="s">
        <v>254</v>
      </c>
      <c r="D9028" s="132" t="n">
        <v>46728</v>
      </c>
      <c r="E9028" s="131" t="s">
        <v>49</v>
      </c>
      <c r="F9028" s="133" t="s">
        <v>24</v>
      </c>
      <c r="G9028" s="134" t="n">
        <f aca="false">LEN('Saisie programme'!$E$348)+SUMIFS('Vols additionnels'!$E$7:$E$66,'Vols additionnels'!$C$7:$C$66,$E9028,'Vols additionnels'!$D$7:$D$66,$F9028,'Vols additionnels'!$B$7:$B$66,$D9028)</f>
        <v>0</v>
      </c>
      <c r="H9028" s="135" t="n">
        <f aca="false">$G9028*'Analyse capacite'!$F$9</f>
        <v>0</v>
      </c>
      <c r="I9028" s="135" t="n">
        <f aca="false">$G9028*'Analyse capacite'!$C$9</f>
        <v>0</v>
      </c>
      <c r="J9028" s="135" t="n">
        <f aca="false">$G9028*'Analyse capacite'!$D$9</f>
        <v>0</v>
      </c>
      <c r="K9028" s="135" t="n">
        <f aca="false">$G9028*'Analyse capacite'!$E$9</f>
        <v>0</v>
      </c>
    </row>
    <row r="9029" customFormat="false" ht="15" hidden="false" customHeight="false" outlineLevel="0" collapsed="false">
      <c r="B9029" s="130" t="n">
        <v>2027</v>
      </c>
      <c r="C9029" s="131" t="s">
        <v>254</v>
      </c>
      <c r="D9029" s="132" t="n">
        <v>46728</v>
      </c>
      <c r="E9029" s="131" t="s">
        <v>53</v>
      </c>
      <c r="F9029" s="133" t="s">
        <v>11</v>
      </c>
      <c r="G9029" s="134" t="n">
        <f aca="false">LEN('Saisie programme'!$E$349)+SUMIFS('Vols additionnels'!$E$7:$E$66,'Vols additionnels'!$C$7:$C$66,$E9029,'Vols additionnels'!$D$7:$D$66,$F9029,'Vols additionnels'!$B$7:$B$66,$D9029)</f>
        <v>0</v>
      </c>
      <c r="H9029" s="135" t="n">
        <f aca="false">$G9029*'Analyse capacite'!$F$7</f>
        <v>0</v>
      </c>
      <c r="I9029" s="135" t="n">
        <f aca="false">$G9029*'Analyse capacite'!$C$7</f>
        <v>0</v>
      </c>
      <c r="J9029" s="135" t="n">
        <f aca="false">$G9029*'Analyse capacite'!$D$7</f>
        <v>0</v>
      </c>
      <c r="K9029" s="135" t="n">
        <f aca="false">$G9029*'Analyse capacite'!$E$7</f>
        <v>0</v>
      </c>
    </row>
    <row r="9030" customFormat="false" ht="15" hidden="false" customHeight="false" outlineLevel="0" collapsed="false">
      <c r="B9030" s="130" t="n">
        <v>2027</v>
      </c>
      <c r="C9030" s="131" t="s">
        <v>254</v>
      </c>
      <c r="D9030" s="132" t="n">
        <v>46728</v>
      </c>
      <c r="E9030" s="131" t="s">
        <v>53</v>
      </c>
      <c r="F9030" s="133" t="s">
        <v>19</v>
      </c>
      <c r="G9030" s="134" t="n">
        <f aca="false">LEN('Saisie programme'!$E$350)+SUMIFS('Vols additionnels'!$E$7:$E$66,'Vols additionnels'!$C$7:$C$66,$E9030,'Vols additionnels'!$D$7:$D$66,$F9030,'Vols additionnels'!$B$7:$B$66,$D9030)</f>
        <v>0</v>
      </c>
      <c r="H9030" s="135" t="n">
        <f aca="false">$G9030*'Analyse capacite'!$F$8</f>
        <v>0</v>
      </c>
      <c r="I9030" s="135" t="n">
        <f aca="false">$G9030*'Analyse capacite'!$C$8</f>
        <v>0</v>
      </c>
      <c r="J9030" s="135" t="n">
        <f aca="false">$G9030*'Analyse capacite'!$D$8</f>
        <v>0</v>
      </c>
      <c r="K9030" s="135" t="n">
        <f aca="false">$G9030*'Analyse capacite'!$E$8</f>
        <v>0</v>
      </c>
    </row>
    <row r="9031" customFormat="false" ht="15" hidden="false" customHeight="false" outlineLevel="0" collapsed="false">
      <c r="B9031" s="130" t="n">
        <v>2027</v>
      </c>
      <c r="C9031" s="131" t="s">
        <v>254</v>
      </c>
      <c r="D9031" s="132" t="n">
        <v>46728</v>
      </c>
      <c r="E9031" s="131" t="s">
        <v>53</v>
      </c>
      <c r="F9031" s="133" t="s">
        <v>24</v>
      </c>
      <c r="G9031" s="134" t="n">
        <f aca="false">LEN('Saisie programme'!$E$351)+SUMIFS('Vols additionnels'!$E$7:$E$66,'Vols additionnels'!$C$7:$C$66,$E9031,'Vols additionnels'!$D$7:$D$66,$F9031,'Vols additionnels'!$B$7:$B$66,$D9031)</f>
        <v>0</v>
      </c>
      <c r="H9031" s="135" t="n">
        <f aca="false">$G9031*'Analyse capacite'!$F$9</f>
        <v>0</v>
      </c>
      <c r="I9031" s="135" t="n">
        <f aca="false">$G9031*'Analyse capacite'!$C$9</f>
        <v>0</v>
      </c>
      <c r="J9031" s="135" t="n">
        <f aca="false">$G9031*'Analyse capacite'!$D$9</f>
        <v>0</v>
      </c>
      <c r="K9031" s="135" t="n">
        <f aca="false">$G9031*'Analyse capacite'!$E$9</f>
        <v>0</v>
      </c>
    </row>
    <row r="9032" customFormat="false" ht="15" hidden="false" customHeight="false" outlineLevel="0" collapsed="false">
      <c r="B9032" s="130" t="n">
        <v>2027</v>
      </c>
      <c r="C9032" s="131" t="s">
        <v>254</v>
      </c>
      <c r="D9032" s="132" t="n">
        <v>46728</v>
      </c>
      <c r="E9032" s="131" t="s">
        <v>56</v>
      </c>
      <c r="F9032" s="133" t="s">
        <v>11</v>
      </c>
      <c r="G9032" s="134" t="n">
        <f aca="false">LEN('Saisie programme'!$E$352)+SUMIFS('Vols additionnels'!$E$7:$E$66,'Vols additionnels'!$C$7:$C$66,$E9032,'Vols additionnels'!$D$7:$D$66,$F9032,'Vols additionnels'!$B$7:$B$66,$D9032)</f>
        <v>0</v>
      </c>
      <c r="H9032" s="135" t="n">
        <f aca="false">$G9032*'Analyse capacite'!$F$7</f>
        <v>0</v>
      </c>
      <c r="I9032" s="135" t="n">
        <f aca="false">$G9032*'Analyse capacite'!$C$7</f>
        <v>0</v>
      </c>
      <c r="J9032" s="135" t="n">
        <f aca="false">$G9032*'Analyse capacite'!$D$7</f>
        <v>0</v>
      </c>
      <c r="K9032" s="135" t="n">
        <f aca="false">$G9032*'Analyse capacite'!$E$7</f>
        <v>0</v>
      </c>
    </row>
    <row r="9033" customFormat="false" ht="15" hidden="false" customHeight="false" outlineLevel="0" collapsed="false">
      <c r="B9033" s="130" t="n">
        <v>2027</v>
      </c>
      <c r="C9033" s="131" t="s">
        <v>254</v>
      </c>
      <c r="D9033" s="132" t="n">
        <v>46728</v>
      </c>
      <c r="E9033" s="131" t="s">
        <v>56</v>
      </c>
      <c r="F9033" s="133" t="s">
        <v>19</v>
      </c>
      <c r="G9033" s="134" t="n">
        <f aca="false">LEN('Saisie programme'!$E$353)+SUMIFS('Vols additionnels'!$E$7:$E$66,'Vols additionnels'!$C$7:$C$66,$E9033,'Vols additionnels'!$D$7:$D$66,$F9033,'Vols additionnels'!$B$7:$B$66,$D9033)</f>
        <v>0</v>
      </c>
      <c r="H9033" s="135" t="n">
        <f aca="false">$G9033*'Analyse capacite'!$F$8</f>
        <v>0</v>
      </c>
      <c r="I9033" s="135" t="n">
        <f aca="false">$G9033*'Analyse capacite'!$C$8</f>
        <v>0</v>
      </c>
      <c r="J9033" s="135" t="n">
        <f aca="false">$G9033*'Analyse capacite'!$D$8</f>
        <v>0</v>
      </c>
      <c r="K9033" s="135" t="n">
        <f aca="false">$G9033*'Analyse capacite'!$E$8</f>
        <v>0</v>
      </c>
    </row>
    <row r="9034" customFormat="false" ht="15" hidden="false" customHeight="false" outlineLevel="0" collapsed="false">
      <c r="B9034" s="130" t="n">
        <v>2027</v>
      </c>
      <c r="C9034" s="131" t="s">
        <v>254</v>
      </c>
      <c r="D9034" s="132" t="n">
        <v>46728</v>
      </c>
      <c r="E9034" s="131" t="s">
        <v>56</v>
      </c>
      <c r="F9034" s="133" t="s">
        <v>24</v>
      </c>
      <c r="G9034" s="134" t="n">
        <f aca="false">LEN('Saisie programme'!$E$354)+SUMIFS('Vols additionnels'!$E$7:$E$66,'Vols additionnels'!$C$7:$C$66,$E9034,'Vols additionnels'!$D$7:$D$66,$F9034,'Vols additionnels'!$B$7:$B$66,$D9034)</f>
        <v>1</v>
      </c>
      <c r="H9034" s="135" t="n">
        <f aca="false">$G9034*'Analyse capacite'!$F$9</f>
        <v>174</v>
      </c>
      <c r="I9034" s="135" t="n">
        <f aca="false">$G9034*'Analyse capacite'!$C$9</f>
        <v>0</v>
      </c>
      <c r="J9034" s="135" t="n">
        <f aca="false">$G9034*'Analyse capacite'!$D$9</f>
        <v>12</v>
      </c>
      <c r="K9034" s="135" t="n">
        <f aca="false">$G9034*'Analyse capacite'!$E$9</f>
        <v>162</v>
      </c>
    </row>
    <row r="9035" customFormat="false" ht="15" hidden="false" customHeight="false" outlineLevel="0" collapsed="false">
      <c r="B9035" s="130" t="n">
        <v>2027</v>
      </c>
      <c r="C9035" s="131" t="s">
        <v>254</v>
      </c>
      <c r="D9035" s="132" t="n">
        <v>46728</v>
      </c>
      <c r="E9035" s="131" t="s">
        <v>59</v>
      </c>
      <c r="F9035" s="133" t="s">
        <v>11</v>
      </c>
      <c r="G9035" s="134" t="n">
        <f aca="false">LEN('Saisie programme'!$E$355)+SUMIFS('Vols additionnels'!$E$7:$E$66,'Vols additionnels'!$C$7:$C$66,$E9035,'Vols additionnels'!$D$7:$D$66,$F9035,'Vols additionnels'!$B$7:$B$66,$D9035)</f>
        <v>0</v>
      </c>
      <c r="H9035" s="135" t="n">
        <f aca="false">$G9035*'Analyse capacite'!$F$7</f>
        <v>0</v>
      </c>
      <c r="I9035" s="135" t="n">
        <f aca="false">$G9035*'Analyse capacite'!$C$7</f>
        <v>0</v>
      </c>
      <c r="J9035" s="135" t="n">
        <f aca="false">$G9035*'Analyse capacite'!$D$7</f>
        <v>0</v>
      </c>
      <c r="K9035" s="135" t="n">
        <f aca="false">$G9035*'Analyse capacite'!$E$7</f>
        <v>0</v>
      </c>
    </row>
    <row r="9036" customFormat="false" ht="15" hidden="false" customHeight="false" outlineLevel="0" collapsed="false">
      <c r="B9036" s="130" t="n">
        <v>2027</v>
      </c>
      <c r="C9036" s="131" t="s">
        <v>254</v>
      </c>
      <c r="D9036" s="132" t="n">
        <v>46728</v>
      </c>
      <c r="E9036" s="131" t="s">
        <v>59</v>
      </c>
      <c r="F9036" s="133" t="s">
        <v>19</v>
      </c>
      <c r="G9036" s="134" t="n">
        <f aca="false">LEN('Saisie programme'!$E$356)+SUMIFS('Vols additionnels'!$E$7:$E$66,'Vols additionnels'!$C$7:$C$66,$E9036,'Vols additionnels'!$D$7:$D$66,$F9036,'Vols additionnels'!$B$7:$B$66,$D9036)</f>
        <v>0</v>
      </c>
      <c r="H9036" s="135" t="n">
        <f aca="false">$G9036*'Analyse capacite'!$F$8</f>
        <v>0</v>
      </c>
      <c r="I9036" s="135" t="n">
        <f aca="false">$G9036*'Analyse capacite'!$C$8</f>
        <v>0</v>
      </c>
      <c r="J9036" s="135" t="n">
        <f aca="false">$G9036*'Analyse capacite'!$D$8</f>
        <v>0</v>
      </c>
      <c r="K9036" s="135" t="n">
        <f aca="false">$G9036*'Analyse capacite'!$E$8</f>
        <v>0</v>
      </c>
    </row>
    <row r="9037" customFormat="false" ht="15" hidden="false" customHeight="false" outlineLevel="0" collapsed="false">
      <c r="B9037" s="130" t="n">
        <v>2027</v>
      </c>
      <c r="C9037" s="131" t="s">
        <v>254</v>
      </c>
      <c r="D9037" s="132" t="n">
        <v>46728</v>
      </c>
      <c r="E9037" s="131" t="s">
        <v>59</v>
      </c>
      <c r="F9037" s="133" t="s">
        <v>24</v>
      </c>
      <c r="G9037" s="134" t="n">
        <f aca="false">LEN('Saisie programme'!$E$357)+SUMIFS('Vols additionnels'!$E$7:$E$66,'Vols additionnels'!$C$7:$C$66,$E9037,'Vols additionnels'!$D$7:$D$66,$F9037,'Vols additionnels'!$B$7:$B$66,$D9037)</f>
        <v>1</v>
      </c>
      <c r="H9037" s="135" t="n">
        <f aca="false">$G9037*'Analyse capacite'!$F$9</f>
        <v>174</v>
      </c>
      <c r="I9037" s="135" t="n">
        <f aca="false">$G9037*'Analyse capacite'!$C$9</f>
        <v>0</v>
      </c>
      <c r="J9037" s="135" t="n">
        <f aca="false">$G9037*'Analyse capacite'!$D$9</f>
        <v>12</v>
      </c>
      <c r="K9037" s="135" t="n">
        <f aca="false">$G9037*'Analyse capacite'!$E$9</f>
        <v>162</v>
      </c>
    </row>
    <row r="9038" customFormat="false" ht="15" hidden="false" customHeight="false" outlineLevel="0" collapsed="false">
      <c r="B9038" s="130" t="n">
        <v>2027</v>
      </c>
      <c r="C9038" s="131" t="s">
        <v>254</v>
      </c>
      <c r="D9038" s="132" t="n">
        <v>46728</v>
      </c>
      <c r="E9038" s="131" t="s">
        <v>62</v>
      </c>
      <c r="F9038" s="133" t="s">
        <v>11</v>
      </c>
      <c r="G9038" s="134" t="n">
        <f aca="false">LEN('Saisie programme'!$E$358)+SUMIFS('Vols additionnels'!$E$7:$E$66,'Vols additionnels'!$C$7:$C$66,$E9038,'Vols additionnels'!$D$7:$D$66,$F9038,'Vols additionnels'!$B$7:$B$66,$D9038)</f>
        <v>0</v>
      </c>
      <c r="H9038" s="135" t="n">
        <f aca="false">$G9038*'Analyse capacite'!$F$7</f>
        <v>0</v>
      </c>
      <c r="I9038" s="135" t="n">
        <f aca="false">$G9038*'Analyse capacite'!$C$7</f>
        <v>0</v>
      </c>
      <c r="J9038" s="135" t="n">
        <f aca="false">$G9038*'Analyse capacite'!$D$7</f>
        <v>0</v>
      </c>
      <c r="K9038" s="135" t="n">
        <f aca="false">$G9038*'Analyse capacite'!$E$7</f>
        <v>0</v>
      </c>
    </row>
    <row r="9039" customFormat="false" ht="15" hidden="false" customHeight="false" outlineLevel="0" collapsed="false">
      <c r="B9039" s="130" t="n">
        <v>2027</v>
      </c>
      <c r="C9039" s="131" t="s">
        <v>254</v>
      </c>
      <c r="D9039" s="132" t="n">
        <v>46728</v>
      </c>
      <c r="E9039" s="131" t="s">
        <v>62</v>
      </c>
      <c r="F9039" s="133" t="s">
        <v>19</v>
      </c>
      <c r="G9039" s="134" t="n">
        <f aca="false">LEN('Saisie programme'!$E$359)+SUMIFS('Vols additionnels'!$E$7:$E$66,'Vols additionnels'!$C$7:$C$66,$E9039,'Vols additionnels'!$D$7:$D$66,$F9039,'Vols additionnels'!$B$7:$B$66,$D9039)</f>
        <v>0</v>
      </c>
      <c r="H9039" s="135" t="n">
        <f aca="false">$G9039*'Analyse capacite'!$F$8</f>
        <v>0</v>
      </c>
      <c r="I9039" s="135" t="n">
        <f aca="false">$G9039*'Analyse capacite'!$C$8</f>
        <v>0</v>
      </c>
      <c r="J9039" s="135" t="n">
        <f aca="false">$G9039*'Analyse capacite'!$D$8</f>
        <v>0</v>
      </c>
      <c r="K9039" s="135" t="n">
        <f aca="false">$G9039*'Analyse capacite'!$E$8</f>
        <v>0</v>
      </c>
    </row>
    <row r="9040" customFormat="false" ht="15" hidden="false" customHeight="false" outlineLevel="0" collapsed="false">
      <c r="B9040" s="130" t="n">
        <v>2027</v>
      </c>
      <c r="C9040" s="131" t="s">
        <v>254</v>
      </c>
      <c r="D9040" s="132" t="n">
        <v>46728</v>
      </c>
      <c r="E9040" s="131" t="s">
        <v>62</v>
      </c>
      <c r="F9040" s="133" t="s">
        <v>24</v>
      </c>
      <c r="G9040" s="134" t="n">
        <f aca="false">LEN('Saisie programme'!$E$360)+SUMIFS('Vols additionnels'!$E$7:$E$66,'Vols additionnels'!$C$7:$C$66,$E9040,'Vols additionnels'!$D$7:$D$66,$F9040,'Vols additionnels'!$B$7:$B$66,$D9040)</f>
        <v>0</v>
      </c>
      <c r="H9040" s="135" t="n">
        <f aca="false">$G9040*'Analyse capacite'!$F$9</f>
        <v>0</v>
      </c>
      <c r="I9040" s="135" t="n">
        <f aca="false">$G9040*'Analyse capacite'!$C$9</f>
        <v>0</v>
      </c>
      <c r="J9040" s="135" t="n">
        <f aca="false">$G9040*'Analyse capacite'!$D$9</f>
        <v>0</v>
      </c>
      <c r="K9040" s="135" t="n">
        <f aca="false">$G9040*'Analyse capacite'!$E$9</f>
        <v>0</v>
      </c>
    </row>
    <row r="9041" customFormat="false" ht="15" hidden="false" customHeight="false" outlineLevel="0" collapsed="false">
      <c r="B9041" s="130" t="n">
        <v>2027</v>
      </c>
      <c r="C9041" s="131" t="s">
        <v>254</v>
      </c>
      <c r="D9041" s="132" t="n">
        <v>46729</v>
      </c>
      <c r="E9041" s="131" t="s">
        <v>12</v>
      </c>
      <c r="F9041" s="133" t="s">
        <v>11</v>
      </c>
      <c r="G9041" s="134" t="n">
        <f aca="false">LEN('Saisie programme'!$F$325)+SUMIFS('Vols additionnels'!$E$7:$E$66,'Vols additionnels'!$C$7:$C$66,$E9041,'Vols additionnels'!$D$7:$D$66,$F9041,'Vols additionnels'!$B$7:$B$66,$D9041)</f>
        <v>1</v>
      </c>
      <c r="H9041" s="135" t="n">
        <f aca="false">$G9041*'Analyse capacite'!$F$7</f>
        <v>438</v>
      </c>
      <c r="I9041" s="135" t="n">
        <f aca="false">$G9041*'Analyse capacite'!$C$7</f>
        <v>14</v>
      </c>
      <c r="J9041" s="135" t="n">
        <f aca="false">$G9041*'Analyse capacite'!$D$7</f>
        <v>40</v>
      </c>
      <c r="K9041" s="135" t="n">
        <f aca="false">$G9041*'Analyse capacite'!$E$7</f>
        <v>384</v>
      </c>
    </row>
    <row r="9042" customFormat="false" ht="15" hidden="false" customHeight="false" outlineLevel="0" collapsed="false">
      <c r="B9042" s="130" t="n">
        <v>2027</v>
      </c>
      <c r="C9042" s="131" t="s">
        <v>254</v>
      </c>
      <c r="D9042" s="132" t="n">
        <v>46729</v>
      </c>
      <c r="E9042" s="131" t="s">
        <v>12</v>
      </c>
      <c r="F9042" s="133" t="s">
        <v>19</v>
      </c>
      <c r="G9042" s="134" t="n">
        <f aca="false">LEN('Saisie programme'!$F$326)+SUMIFS('Vols additionnels'!$E$7:$E$66,'Vols additionnels'!$C$7:$C$66,$E9042,'Vols additionnels'!$D$7:$D$66,$F9042,'Vols additionnels'!$B$7:$B$66,$D9042)</f>
        <v>0</v>
      </c>
      <c r="H9042" s="135" t="n">
        <f aca="false">$G9042*'Analyse capacite'!$F$8</f>
        <v>0</v>
      </c>
      <c r="I9042" s="135" t="n">
        <f aca="false">$G9042*'Analyse capacite'!$C$8</f>
        <v>0</v>
      </c>
      <c r="J9042" s="135" t="n">
        <f aca="false">$G9042*'Analyse capacite'!$D$8</f>
        <v>0</v>
      </c>
      <c r="K9042" s="135" t="n">
        <f aca="false">$G9042*'Analyse capacite'!$E$8</f>
        <v>0</v>
      </c>
    </row>
    <row r="9043" customFormat="false" ht="15" hidden="false" customHeight="false" outlineLevel="0" collapsed="false">
      <c r="B9043" s="130" t="n">
        <v>2027</v>
      </c>
      <c r="C9043" s="131" t="s">
        <v>254</v>
      </c>
      <c r="D9043" s="132" t="n">
        <v>46729</v>
      </c>
      <c r="E9043" s="131" t="s">
        <v>12</v>
      </c>
      <c r="F9043" s="133" t="s">
        <v>24</v>
      </c>
      <c r="G9043" s="134" t="n">
        <f aca="false">LEN('Saisie programme'!$F$327)+SUMIFS('Vols additionnels'!$E$7:$E$66,'Vols additionnels'!$C$7:$C$66,$E9043,'Vols additionnels'!$D$7:$D$66,$F9043,'Vols additionnels'!$B$7:$B$66,$D9043)</f>
        <v>0</v>
      </c>
      <c r="H9043" s="135" t="n">
        <f aca="false">$G9043*'Analyse capacite'!$F$9</f>
        <v>0</v>
      </c>
      <c r="I9043" s="135" t="n">
        <f aca="false">$G9043*'Analyse capacite'!$C$9</f>
        <v>0</v>
      </c>
      <c r="J9043" s="135" t="n">
        <f aca="false">$G9043*'Analyse capacite'!$D$9</f>
        <v>0</v>
      </c>
      <c r="K9043" s="135" t="n">
        <f aca="false">$G9043*'Analyse capacite'!$E$9</f>
        <v>0</v>
      </c>
    </row>
    <row r="9044" customFormat="false" ht="15" hidden="false" customHeight="false" outlineLevel="0" collapsed="false">
      <c r="B9044" s="130" t="n">
        <v>2027</v>
      </c>
      <c r="C9044" s="131" t="s">
        <v>254</v>
      </c>
      <c r="D9044" s="132" t="n">
        <v>46729</v>
      </c>
      <c r="E9044" s="131" t="s">
        <v>20</v>
      </c>
      <c r="F9044" s="133" t="s">
        <v>11</v>
      </c>
      <c r="G9044" s="134" t="n">
        <f aca="false">LEN('Saisie programme'!$F$328)+SUMIFS('Vols additionnels'!$E$7:$E$66,'Vols additionnels'!$C$7:$C$66,$E9044,'Vols additionnels'!$D$7:$D$66,$F9044,'Vols additionnels'!$B$7:$B$66,$D9044)</f>
        <v>0</v>
      </c>
      <c r="H9044" s="135" t="n">
        <f aca="false">$G9044*'Analyse capacite'!$F$7</f>
        <v>0</v>
      </c>
      <c r="I9044" s="135" t="n">
        <f aca="false">$G9044*'Analyse capacite'!$C$7</f>
        <v>0</v>
      </c>
      <c r="J9044" s="135" t="n">
        <f aca="false">$G9044*'Analyse capacite'!$D$7</f>
        <v>0</v>
      </c>
      <c r="K9044" s="135" t="n">
        <f aca="false">$G9044*'Analyse capacite'!$E$7</f>
        <v>0</v>
      </c>
    </row>
    <row r="9045" customFormat="false" ht="15" hidden="false" customHeight="false" outlineLevel="0" collapsed="false">
      <c r="B9045" s="130" t="n">
        <v>2027</v>
      </c>
      <c r="C9045" s="131" t="s">
        <v>254</v>
      </c>
      <c r="D9045" s="132" t="n">
        <v>46729</v>
      </c>
      <c r="E9045" s="131" t="s">
        <v>20</v>
      </c>
      <c r="F9045" s="133" t="s">
        <v>19</v>
      </c>
      <c r="G9045" s="134" t="n">
        <f aca="false">LEN('Saisie programme'!$F$329)+SUMIFS('Vols additionnels'!$E$7:$E$66,'Vols additionnels'!$C$7:$C$66,$E9045,'Vols additionnels'!$D$7:$D$66,$F9045,'Vols additionnels'!$B$7:$B$66,$D9045)</f>
        <v>0</v>
      </c>
      <c r="H9045" s="135" t="n">
        <f aca="false">$G9045*'Analyse capacite'!$F$8</f>
        <v>0</v>
      </c>
      <c r="I9045" s="135" t="n">
        <f aca="false">$G9045*'Analyse capacite'!$C$8</f>
        <v>0</v>
      </c>
      <c r="J9045" s="135" t="n">
        <f aca="false">$G9045*'Analyse capacite'!$D$8</f>
        <v>0</v>
      </c>
      <c r="K9045" s="135" t="n">
        <f aca="false">$G9045*'Analyse capacite'!$E$8</f>
        <v>0</v>
      </c>
    </row>
    <row r="9046" customFormat="false" ht="15" hidden="false" customHeight="false" outlineLevel="0" collapsed="false">
      <c r="B9046" s="130" t="n">
        <v>2027</v>
      </c>
      <c r="C9046" s="131" t="s">
        <v>254</v>
      </c>
      <c r="D9046" s="132" t="n">
        <v>46729</v>
      </c>
      <c r="E9046" s="131" t="s">
        <v>20</v>
      </c>
      <c r="F9046" s="133" t="s">
        <v>24</v>
      </c>
      <c r="G9046" s="134" t="n">
        <f aca="false">LEN('Saisie programme'!$F$330)+SUMIFS('Vols additionnels'!$E$7:$E$66,'Vols additionnels'!$C$7:$C$66,$E9046,'Vols additionnels'!$D$7:$D$66,$F9046,'Vols additionnels'!$B$7:$B$66,$D9046)</f>
        <v>0</v>
      </c>
      <c r="H9046" s="135" t="n">
        <f aca="false">$G9046*'Analyse capacite'!$F$9</f>
        <v>0</v>
      </c>
      <c r="I9046" s="135" t="n">
        <f aca="false">$G9046*'Analyse capacite'!$C$9</f>
        <v>0</v>
      </c>
      <c r="J9046" s="135" t="n">
        <f aca="false">$G9046*'Analyse capacite'!$D$9</f>
        <v>0</v>
      </c>
      <c r="K9046" s="135" t="n">
        <f aca="false">$G9046*'Analyse capacite'!$E$9</f>
        <v>0</v>
      </c>
    </row>
    <row r="9047" customFormat="false" ht="15" hidden="false" customHeight="false" outlineLevel="0" collapsed="false">
      <c r="B9047" s="130" t="n">
        <v>2027</v>
      </c>
      <c r="C9047" s="131" t="s">
        <v>254</v>
      </c>
      <c r="D9047" s="132" t="n">
        <v>46729</v>
      </c>
      <c r="E9047" s="131" t="s">
        <v>25</v>
      </c>
      <c r="F9047" s="133" t="s">
        <v>11</v>
      </c>
      <c r="G9047" s="134" t="n">
        <f aca="false">LEN('Saisie programme'!$F$331)+SUMIFS('Vols additionnels'!$E$7:$E$66,'Vols additionnels'!$C$7:$C$66,$E9047,'Vols additionnels'!$D$7:$D$66,$F9047,'Vols additionnels'!$B$7:$B$66,$D9047)</f>
        <v>0</v>
      </c>
      <c r="H9047" s="135" t="n">
        <f aca="false">$G9047*'Analyse capacite'!$F$7</f>
        <v>0</v>
      </c>
      <c r="I9047" s="135" t="n">
        <f aca="false">$G9047*'Analyse capacite'!$C$7</f>
        <v>0</v>
      </c>
      <c r="J9047" s="135" t="n">
        <f aca="false">$G9047*'Analyse capacite'!$D$7</f>
        <v>0</v>
      </c>
      <c r="K9047" s="135" t="n">
        <f aca="false">$G9047*'Analyse capacite'!$E$7</f>
        <v>0</v>
      </c>
    </row>
    <row r="9048" customFormat="false" ht="15" hidden="false" customHeight="false" outlineLevel="0" collapsed="false">
      <c r="B9048" s="130" t="n">
        <v>2027</v>
      </c>
      <c r="C9048" s="131" t="s">
        <v>254</v>
      </c>
      <c r="D9048" s="132" t="n">
        <v>46729</v>
      </c>
      <c r="E9048" s="131" t="s">
        <v>25</v>
      </c>
      <c r="F9048" s="133" t="s">
        <v>19</v>
      </c>
      <c r="G9048" s="134" t="n">
        <f aca="false">LEN('Saisie programme'!$F$332)+SUMIFS('Vols additionnels'!$E$7:$E$66,'Vols additionnels'!$C$7:$C$66,$E9048,'Vols additionnels'!$D$7:$D$66,$F9048,'Vols additionnels'!$B$7:$B$66,$D9048)</f>
        <v>1</v>
      </c>
      <c r="H9048" s="135" t="n">
        <f aca="false">$G9048*'Analyse capacite'!$F$8</f>
        <v>262</v>
      </c>
      <c r="I9048" s="135" t="n">
        <f aca="false">$G9048*'Analyse capacite'!$C$8</f>
        <v>18</v>
      </c>
      <c r="J9048" s="135" t="n">
        <f aca="false">$G9048*'Analyse capacite'!$D$8</f>
        <v>0</v>
      </c>
      <c r="K9048" s="135" t="n">
        <f aca="false">$G9048*'Analyse capacite'!$E$8</f>
        <v>244</v>
      </c>
    </row>
    <row r="9049" customFormat="false" ht="15" hidden="false" customHeight="false" outlineLevel="0" collapsed="false">
      <c r="B9049" s="130" t="n">
        <v>2027</v>
      </c>
      <c r="C9049" s="131" t="s">
        <v>254</v>
      </c>
      <c r="D9049" s="132" t="n">
        <v>46729</v>
      </c>
      <c r="E9049" s="131" t="s">
        <v>25</v>
      </c>
      <c r="F9049" s="133" t="s">
        <v>24</v>
      </c>
      <c r="G9049" s="134" t="n">
        <f aca="false">LEN('Saisie programme'!$F$333)+SUMIFS('Vols additionnels'!$E$7:$E$66,'Vols additionnels'!$C$7:$C$66,$E9049,'Vols additionnels'!$D$7:$D$66,$F9049,'Vols additionnels'!$B$7:$B$66,$D9049)</f>
        <v>0</v>
      </c>
      <c r="H9049" s="135" t="n">
        <f aca="false">$G9049*'Analyse capacite'!$F$9</f>
        <v>0</v>
      </c>
      <c r="I9049" s="135" t="n">
        <f aca="false">$G9049*'Analyse capacite'!$C$9</f>
        <v>0</v>
      </c>
      <c r="J9049" s="135" t="n">
        <f aca="false">$G9049*'Analyse capacite'!$D$9</f>
        <v>0</v>
      </c>
      <c r="K9049" s="135" t="n">
        <f aca="false">$G9049*'Analyse capacite'!$E$9</f>
        <v>0</v>
      </c>
    </row>
    <row r="9050" customFormat="false" ht="15" hidden="false" customHeight="false" outlineLevel="0" collapsed="false">
      <c r="B9050" s="130" t="n">
        <v>2027</v>
      </c>
      <c r="C9050" s="131" t="s">
        <v>254</v>
      </c>
      <c r="D9050" s="132" t="n">
        <v>46729</v>
      </c>
      <c r="E9050" s="131" t="s">
        <v>36</v>
      </c>
      <c r="F9050" s="133" t="s">
        <v>11</v>
      </c>
      <c r="G9050" s="134" t="n">
        <f aca="false">LEN('Saisie programme'!$F$334)+SUMIFS('Vols additionnels'!$E$7:$E$66,'Vols additionnels'!$C$7:$C$66,$E9050,'Vols additionnels'!$D$7:$D$66,$F9050,'Vols additionnels'!$B$7:$B$66,$D9050)</f>
        <v>0</v>
      </c>
      <c r="H9050" s="135" t="n">
        <f aca="false">$G9050*'Analyse capacite'!$F$7</f>
        <v>0</v>
      </c>
      <c r="I9050" s="135" t="n">
        <f aca="false">$G9050*'Analyse capacite'!$C$7</f>
        <v>0</v>
      </c>
      <c r="J9050" s="135" t="n">
        <f aca="false">$G9050*'Analyse capacite'!$D$7</f>
        <v>0</v>
      </c>
      <c r="K9050" s="135" t="n">
        <f aca="false">$G9050*'Analyse capacite'!$E$7</f>
        <v>0</v>
      </c>
    </row>
    <row r="9051" customFormat="false" ht="15" hidden="false" customHeight="false" outlineLevel="0" collapsed="false">
      <c r="B9051" s="130" t="n">
        <v>2027</v>
      </c>
      <c r="C9051" s="131" t="s">
        <v>254</v>
      </c>
      <c r="D9051" s="132" t="n">
        <v>46729</v>
      </c>
      <c r="E9051" s="131" t="s">
        <v>36</v>
      </c>
      <c r="F9051" s="133" t="s">
        <v>19</v>
      </c>
      <c r="G9051" s="134" t="n">
        <f aca="false">LEN('Saisie programme'!$F$335)+SUMIFS('Vols additionnels'!$E$7:$E$66,'Vols additionnels'!$C$7:$C$66,$E9051,'Vols additionnels'!$D$7:$D$66,$F9051,'Vols additionnels'!$B$7:$B$66,$D9051)</f>
        <v>1</v>
      </c>
      <c r="H9051" s="135" t="n">
        <f aca="false">$G9051*'Analyse capacite'!$F$8</f>
        <v>262</v>
      </c>
      <c r="I9051" s="135" t="n">
        <f aca="false">$G9051*'Analyse capacite'!$C$8</f>
        <v>18</v>
      </c>
      <c r="J9051" s="135" t="n">
        <f aca="false">$G9051*'Analyse capacite'!$D$8</f>
        <v>0</v>
      </c>
      <c r="K9051" s="135" t="n">
        <f aca="false">$G9051*'Analyse capacite'!$E$8</f>
        <v>244</v>
      </c>
    </row>
    <row r="9052" customFormat="false" ht="15" hidden="false" customHeight="false" outlineLevel="0" collapsed="false">
      <c r="B9052" s="130" t="n">
        <v>2027</v>
      </c>
      <c r="C9052" s="131" t="s">
        <v>254</v>
      </c>
      <c r="D9052" s="132" t="n">
        <v>46729</v>
      </c>
      <c r="E9052" s="131" t="s">
        <v>36</v>
      </c>
      <c r="F9052" s="133" t="s">
        <v>24</v>
      </c>
      <c r="G9052" s="134" t="n">
        <f aca="false">LEN('Saisie programme'!$F$336)+SUMIFS('Vols additionnels'!$E$7:$E$66,'Vols additionnels'!$C$7:$C$66,$E9052,'Vols additionnels'!$D$7:$D$66,$F9052,'Vols additionnels'!$B$7:$B$66,$D9052)</f>
        <v>1</v>
      </c>
      <c r="H9052" s="135" t="n">
        <f aca="false">$G9052*'Analyse capacite'!$F$9</f>
        <v>174</v>
      </c>
      <c r="I9052" s="135" t="n">
        <f aca="false">$G9052*'Analyse capacite'!$C$9</f>
        <v>0</v>
      </c>
      <c r="J9052" s="135" t="n">
        <f aca="false">$G9052*'Analyse capacite'!$D$9</f>
        <v>12</v>
      </c>
      <c r="K9052" s="135" t="n">
        <f aca="false">$G9052*'Analyse capacite'!$E$9</f>
        <v>162</v>
      </c>
    </row>
    <row r="9053" customFormat="false" ht="15" hidden="false" customHeight="false" outlineLevel="0" collapsed="false">
      <c r="B9053" s="130" t="n">
        <v>2027</v>
      </c>
      <c r="C9053" s="131" t="s">
        <v>254</v>
      </c>
      <c r="D9053" s="132" t="n">
        <v>46729</v>
      </c>
      <c r="E9053" s="131" t="s">
        <v>40</v>
      </c>
      <c r="F9053" s="133" t="s">
        <v>11</v>
      </c>
      <c r="G9053" s="134" t="n">
        <f aca="false">LEN('Saisie programme'!$F$337)+SUMIFS('Vols additionnels'!$E$7:$E$66,'Vols additionnels'!$C$7:$C$66,$E9053,'Vols additionnels'!$D$7:$D$66,$F9053,'Vols additionnels'!$B$7:$B$66,$D9053)</f>
        <v>0</v>
      </c>
      <c r="H9053" s="135" t="n">
        <f aca="false">$G9053*'Analyse capacite'!$F$7</f>
        <v>0</v>
      </c>
      <c r="I9053" s="135" t="n">
        <f aca="false">$G9053*'Analyse capacite'!$C$7</f>
        <v>0</v>
      </c>
      <c r="J9053" s="135" t="n">
        <f aca="false">$G9053*'Analyse capacite'!$D$7</f>
        <v>0</v>
      </c>
      <c r="K9053" s="135" t="n">
        <f aca="false">$G9053*'Analyse capacite'!$E$7</f>
        <v>0</v>
      </c>
    </row>
    <row r="9054" customFormat="false" ht="15" hidden="false" customHeight="false" outlineLevel="0" collapsed="false">
      <c r="B9054" s="130" t="n">
        <v>2027</v>
      </c>
      <c r="C9054" s="131" t="s">
        <v>254</v>
      </c>
      <c r="D9054" s="132" t="n">
        <v>46729</v>
      </c>
      <c r="E9054" s="131" t="s">
        <v>40</v>
      </c>
      <c r="F9054" s="133" t="s">
        <v>19</v>
      </c>
      <c r="G9054" s="134" t="n">
        <f aca="false">LEN('Saisie programme'!$F$338)+SUMIFS('Vols additionnels'!$E$7:$E$66,'Vols additionnels'!$C$7:$C$66,$E9054,'Vols additionnels'!$D$7:$D$66,$F9054,'Vols additionnels'!$B$7:$B$66,$D9054)</f>
        <v>0</v>
      </c>
      <c r="H9054" s="135" t="n">
        <f aca="false">$G9054*'Analyse capacite'!$F$8</f>
        <v>0</v>
      </c>
      <c r="I9054" s="135" t="n">
        <f aca="false">$G9054*'Analyse capacite'!$C$8</f>
        <v>0</v>
      </c>
      <c r="J9054" s="135" t="n">
        <f aca="false">$G9054*'Analyse capacite'!$D$8</f>
        <v>0</v>
      </c>
      <c r="K9054" s="135" t="n">
        <f aca="false">$G9054*'Analyse capacite'!$E$8</f>
        <v>0</v>
      </c>
    </row>
    <row r="9055" customFormat="false" ht="15" hidden="false" customHeight="false" outlineLevel="0" collapsed="false">
      <c r="B9055" s="130" t="n">
        <v>2027</v>
      </c>
      <c r="C9055" s="131" t="s">
        <v>254</v>
      </c>
      <c r="D9055" s="132" t="n">
        <v>46729</v>
      </c>
      <c r="E9055" s="131" t="s">
        <v>40</v>
      </c>
      <c r="F9055" s="133" t="s">
        <v>24</v>
      </c>
      <c r="G9055" s="134" t="n">
        <f aca="false">LEN('Saisie programme'!$F$339)+SUMIFS('Vols additionnels'!$E$7:$E$66,'Vols additionnels'!$C$7:$C$66,$E9055,'Vols additionnels'!$D$7:$D$66,$F9055,'Vols additionnels'!$B$7:$B$66,$D9055)</f>
        <v>1</v>
      </c>
      <c r="H9055" s="135" t="n">
        <f aca="false">$G9055*'Analyse capacite'!$F$9</f>
        <v>174</v>
      </c>
      <c r="I9055" s="135" t="n">
        <f aca="false">$G9055*'Analyse capacite'!$C$9</f>
        <v>0</v>
      </c>
      <c r="J9055" s="135" t="n">
        <f aca="false">$G9055*'Analyse capacite'!$D$9</f>
        <v>12</v>
      </c>
      <c r="K9055" s="135" t="n">
        <f aca="false">$G9055*'Analyse capacite'!$E$9</f>
        <v>162</v>
      </c>
    </row>
    <row r="9056" customFormat="false" ht="15" hidden="false" customHeight="false" outlineLevel="0" collapsed="false">
      <c r="B9056" s="130" t="n">
        <v>2027</v>
      </c>
      <c r="C9056" s="131" t="s">
        <v>254</v>
      </c>
      <c r="D9056" s="132" t="n">
        <v>46729</v>
      </c>
      <c r="E9056" s="131" t="s">
        <v>14</v>
      </c>
      <c r="F9056" s="133" t="s">
        <v>11</v>
      </c>
      <c r="G9056" s="134" t="n">
        <f aca="false">LEN('Saisie programme'!$F$340)+SUMIFS('Vols additionnels'!$E$7:$E$66,'Vols additionnels'!$C$7:$C$66,$E9056,'Vols additionnels'!$D$7:$D$66,$F9056,'Vols additionnels'!$B$7:$B$66,$D9056)</f>
        <v>0</v>
      </c>
      <c r="H9056" s="135" t="n">
        <f aca="false">$G9056*'Analyse capacite'!$F$7</f>
        <v>0</v>
      </c>
      <c r="I9056" s="135" t="n">
        <f aca="false">$G9056*'Analyse capacite'!$C$7</f>
        <v>0</v>
      </c>
      <c r="J9056" s="135" t="n">
        <f aca="false">$G9056*'Analyse capacite'!$D$7</f>
        <v>0</v>
      </c>
      <c r="K9056" s="135" t="n">
        <f aca="false">$G9056*'Analyse capacite'!$E$7</f>
        <v>0</v>
      </c>
    </row>
    <row r="9057" customFormat="false" ht="15" hidden="false" customHeight="false" outlineLevel="0" collapsed="false">
      <c r="B9057" s="130" t="n">
        <v>2027</v>
      </c>
      <c r="C9057" s="131" t="s">
        <v>254</v>
      </c>
      <c r="D9057" s="132" t="n">
        <v>46729</v>
      </c>
      <c r="E9057" s="131" t="s">
        <v>14</v>
      </c>
      <c r="F9057" s="133" t="s">
        <v>19</v>
      </c>
      <c r="G9057" s="134" t="n">
        <f aca="false">LEN('Saisie programme'!$F$341)+SUMIFS('Vols additionnels'!$E$7:$E$66,'Vols additionnels'!$C$7:$C$66,$E9057,'Vols additionnels'!$D$7:$D$66,$F9057,'Vols additionnels'!$B$7:$B$66,$D9057)</f>
        <v>0</v>
      </c>
      <c r="H9057" s="135" t="n">
        <f aca="false">$G9057*'Analyse capacite'!$F$8</f>
        <v>0</v>
      </c>
      <c r="I9057" s="135" t="n">
        <f aca="false">$G9057*'Analyse capacite'!$C$8</f>
        <v>0</v>
      </c>
      <c r="J9057" s="135" t="n">
        <f aca="false">$G9057*'Analyse capacite'!$D$8</f>
        <v>0</v>
      </c>
      <c r="K9057" s="135" t="n">
        <f aca="false">$G9057*'Analyse capacite'!$E$8</f>
        <v>0</v>
      </c>
    </row>
    <row r="9058" customFormat="false" ht="15" hidden="false" customHeight="false" outlineLevel="0" collapsed="false">
      <c r="B9058" s="130" t="n">
        <v>2027</v>
      </c>
      <c r="C9058" s="131" t="s">
        <v>254</v>
      </c>
      <c r="D9058" s="132" t="n">
        <v>46729</v>
      </c>
      <c r="E9058" s="131" t="s">
        <v>14</v>
      </c>
      <c r="F9058" s="133" t="s">
        <v>24</v>
      </c>
      <c r="G9058" s="134" t="n">
        <f aca="false">LEN('Saisie programme'!$F$342)+SUMIFS('Vols additionnels'!$E$7:$E$66,'Vols additionnels'!$C$7:$C$66,$E9058,'Vols additionnels'!$D$7:$D$66,$F9058,'Vols additionnels'!$B$7:$B$66,$D9058)</f>
        <v>0</v>
      </c>
      <c r="H9058" s="135" t="n">
        <f aca="false">$G9058*'Analyse capacite'!$F$9</f>
        <v>0</v>
      </c>
      <c r="I9058" s="135" t="n">
        <f aca="false">$G9058*'Analyse capacite'!$C$9</f>
        <v>0</v>
      </c>
      <c r="J9058" s="135" t="n">
        <f aca="false">$G9058*'Analyse capacite'!$D$9</f>
        <v>0</v>
      </c>
      <c r="K9058" s="135" t="n">
        <f aca="false">$G9058*'Analyse capacite'!$E$9</f>
        <v>0</v>
      </c>
    </row>
    <row r="9059" customFormat="false" ht="15" hidden="false" customHeight="false" outlineLevel="0" collapsed="false">
      <c r="B9059" s="130" t="n">
        <v>2027</v>
      </c>
      <c r="C9059" s="131" t="s">
        <v>254</v>
      </c>
      <c r="D9059" s="132" t="n">
        <v>46729</v>
      </c>
      <c r="E9059" s="131" t="s">
        <v>46</v>
      </c>
      <c r="F9059" s="133" t="s">
        <v>11</v>
      </c>
      <c r="G9059" s="134" t="n">
        <f aca="false">LEN('Saisie programme'!$F$343)+SUMIFS('Vols additionnels'!$E$7:$E$66,'Vols additionnels'!$C$7:$C$66,$E9059,'Vols additionnels'!$D$7:$D$66,$F9059,'Vols additionnels'!$B$7:$B$66,$D9059)</f>
        <v>0</v>
      </c>
      <c r="H9059" s="135" t="n">
        <f aca="false">$G9059*'Analyse capacite'!$F$7</f>
        <v>0</v>
      </c>
      <c r="I9059" s="135" t="n">
        <f aca="false">$G9059*'Analyse capacite'!$C$7</f>
        <v>0</v>
      </c>
      <c r="J9059" s="135" t="n">
        <f aca="false">$G9059*'Analyse capacite'!$D$7</f>
        <v>0</v>
      </c>
      <c r="K9059" s="135" t="n">
        <f aca="false">$G9059*'Analyse capacite'!$E$7</f>
        <v>0</v>
      </c>
    </row>
    <row r="9060" customFormat="false" ht="15" hidden="false" customHeight="false" outlineLevel="0" collapsed="false">
      <c r="B9060" s="130" t="n">
        <v>2027</v>
      </c>
      <c r="C9060" s="131" t="s">
        <v>254</v>
      </c>
      <c r="D9060" s="132" t="n">
        <v>46729</v>
      </c>
      <c r="E9060" s="131" t="s">
        <v>46</v>
      </c>
      <c r="F9060" s="133" t="s">
        <v>19</v>
      </c>
      <c r="G9060" s="134" t="n">
        <f aca="false">LEN('Saisie programme'!$F$344)+SUMIFS('Vols additionnels'!$E$7:$E$66,'Vols additionnels'!$C$7:$C$66,$E9060,'Vols additionnels'!$D$7:$D$66,$F9060,'Vols additionnels'!$B$7:$B$66,$D9060)</f>
        <v>0</v>
      </c>
      <c r="H9060" s="135" t="n">
        <f aca="false">$G9060*'Analyse capacite'!$F$8</f>
        <v>0</v>
      </c>
      <c r="I9060" s="135" t="n">
        <f aca="false">$G9060*'Analyse capacite'!$C$8</f>
        <v>0</v>
      </c>
      <c r="J9060" s="135" t="n">
        <f aca="false">$G9060*'Analyse capacite'!$D$8</f>
        <v>0</v>
      </c>
      <c r="K9060" s="135" t="n">
        <f aca="false">$G9060*'Analyse capacite'!$E$8</f>
        <v>0</v>
      </c>
    </row>
    <row r="9061" customFormat="false" ht="15" hidden="false" customHeight="false" outlineLevel="0" collapsed="false">
      <c r="B9061" s="130" t="n">
        <v>2027</v>
      </c>
      <c r="C9061" s="131" t="s">
        <v>254</v>
      </c>
      <c r="D9061" s="132" t="n">
        <v>46729</v>
      </c>
      <c r="E9061" s="131" t="s">
        <v>46</v>
      </c>
      <c r="F9061" s="133" t="s">
        <v>24</v>
      </c>
      <c r="G9061" s="134" t="n">
        <f aca="false">LEN('Saisie programme'!$F$345)+SUMIFS('Vols additionnels'!$E$7:$E$66,'Vols additionnels'!$C$7:$C$66,$E9061,'Vols additionnels'!$D$7:$D$66,$F9061,'Vols additionnels'!$B$7:$B$66,$D9061)</f>
        <v>0</v>
      </c>
      <c r="H9061" s="135" t="n">
        <f aca="false">$G9061*'Analyse capacite'!$F$9</f>
        <v>0</v>
      </c>
      <c r="I9061" s="135" t="n">
        <f aca="false">$G9061*'Analyse capacite'!$C$9</f>
        <v>0</v>
      </c>
      <c r="J9061" s="135" t="n">
        <f aca="false">$G9061*'Analyse capacite'!$D$9</f>
        <v>0</v>
      </c>
      <c r="K9061" s="135" t="n">
        <f aca="false">$G9061*'Analyse capacite'!$E$9</f>
        <v>0</v>
      </c>
    </row>
    <row r="9062" customFormat="false" ht="15" hidden="false" customHeight="false" outlineLevel="0" collapsed="false">
      <c r="B9062" s="130" t="n">
        <v>2027</v>
      </c>
      <c r="C9062" s="131" t="s">
        <v>254</v>
      </c>
      <c r="D9062" s="132" t="n">
        <v>46729</v>
      </c>
      <c r="E9062" s="131" t="s">
        <v>49</v>
      </c>
      <c r="F9062" s="133" t="s">
        <v>11</v>
      </c>
      <c r="G9062" s="134" t="n">
        <f aca="false">LEN('Saisie programme'!$F$346)+SUMIFS('Vols additionnels'!$E$7:$E$66,'Vols additionnels'!$C$7:$C$66,$E9062,'Vols additionnels'!$D$7:$D$66,$F9062,'Vols additionnels'!$B$7:$B$66,$D9062)</f>
        <v>0</v>
      </c>
      <c r="H9062" s="135" t="n">
        <f aca="false">$G9062*'Analyse capacite'!$F$7</f>
        <v>0</v>
      </c>
      <c r="I9062" s="135" t="n">
        <f aca="false">$G9062*'Analyse capacite'!$C$7</f>
        <v>0</v>
      </c>
      <c r="J9062" s="135" t="n">
        <f aca="false">$G9062*'Analyse capacite'!$D$7</f>
        <v>0</v>
      </c>
      <c r="K9062" s="135" t="n">
        <f aca="false">$G9062*'Analyse capacite'!$E$7</f>
        <v>0</v>
      </c>
    </row>
    <row r="9063" customFormat="false" ht="15" hidden="false" customHeight="false" outlineLevel="0" collapsed="false">
      <c r="B9063" s="130" t="n">
        <v>2027</v>
      </c>
      <c r="C9063" s="131" t="s">
        <v>254</v>
      </c>
      <c r="D9063" s="132" t="n">
        <v>46729</v>
      </c>
      <c r="E9063" s="131" t="s">
        <v>49</v>
      </c>
      <c r="F9063" s="133" t="s">
        <v>19</v>
      </c>
      <c r="G9063" s="134" t="n">
        <f aca="false">LEN('Saisie programme'!$F$347)+SUMIFS('Vols additionnels'!$E$7:$E$66,'Vols additionnels'!$C$7:$C$66,$E9063,'Vols additionnels'!$D$7:$D$66,$F9063,'Vols additionnels'!$B$7:$B$66,$D9063)</f>
        <v>0</v>
      </c>
      <c r="H9063" s="135" t="n">
        <f aca="false">$G9063*'Analyse capacite'!$F$8</f>
        <v>0</v>
      </c>
      <c r="I9063" s="135" t="n">
        <f aca="false">$G9063*'Analyse capacite'!$C$8</f>
        <v>0</v>
      </c>
      <c r="J9063" s="135" t="n">
        <f aca="false">$G9063*'Analyse capacite'!$D$8</f>
        <v>0</v>
      </c>
      <c r="K9063" s="135" t="n">
        <f aca="false">$G9063*'Analyse capacite'!$E$8</f>
        <v>0</v>
      </c>
    </row>
    <row r="9064" customFormat="false" ht="15" hidden="false" customHeight="false" outlineLevel="0" collapsed="false">
      <c r="B9064" s="130" t="n">
        <v>2027</v>
      </c>
      <c r="C9064" s="131" t="s">
        <v>254</v>
      </c>
      <c r="D9064" s="132" t="n">
        <v>46729</v>
      </c>
      <c r="E9064" s="131" t="s">
        <v>49</v>
      </c>
      <c r="F9064" s="133" t="s">
        <v>24</v>
      </c>
      <c r="G9064" s="134" t="n">
        <f aca="false">LEN('Saisie programme'!$F$348)+SUMIFS('Vols additionnels'!$E$7:$E$66,'Vols additionnels'!$C$7:$C$66,$E9064,'Vols additionnels'!$D$7:$D$66,$F9064,'Vols additionnels'!$B$7:$B$66,$D9064)</f>
        <v>0</v>
      </c>
      <c r="H9064" s="135" t="n">
        <f aca="false">$G9064*'Analyse capacite'!$F$9</f>
        <v>0</v>
      </c>
      <c r="I9064" s="135" t="n">
        <f aca="false">$G9064*'Analyse capacite'!$C$9</f>
        <v>0</v>
      </c>
      <c r="J9064" s="135" t="n">
        <f aca="false">$G9064*'Analyse capacite'!$D$9</f>
        <v>0</v>
      </c>
      <c r="K9064" s="135" t="n">
        <f aca="false">$G9064*'Analyse capacite'!$E$9</f>
        <v>0</v>
      </c>
    </row>
    <row r="9065" customFormat="false" ht="15" hidden="false" customHeight="false" outlineLevel="0" collapsed="false">
      <c r="B9065" s="130" t="n">
        <v>2027</v>
      </c>
      <c r="C9065" s="131" t="s">
        <v>254</v>
      </c>
      <c r="D9065" s="132" t="n">
        <v>46729</v>
      </c>
      <c r="E9065" s="131" t="s">
        <v>53</v>
      </c>
      <c r="F9065" s="133" t="s">
        <v>11</v>
      </c>
      <c r="G9065" s="134" t="n">
        <f aca="false">LEN('Saisie programme'!$F$349)+SUMIFS('Vols additionnels'!$E$7:$E$66,'Vols additionnels'!$C$7:$C$66,$E9065,'Vols additionnels'!$D$7:$D$66,$F9065,'Vols additionnels'!$B$7:$B$66,$D9065)</f>
        <v>0</v>
      </c>
      <c r="H9065" s="135" t="n">
        <f aca="false">$G9065*'Analyse capacite'!$F$7</f>
        <v>0</v>
      </c>
      <c r="I9065" s="135" t="n">
        <f aca="false">$G9065*'Analyse capacite'!$C$7</f>
        <v>0</v>
      </c>
      <c r="J9065" s="135" t="n">
        <f aca="false">$G9065*'Analyse capacite'!$D$7</f>
        <v>0</v>
      </c>
      <c r="K9065" s="135" t="n">
        <f aca="false">$G9065*'Analyse capacite'!$E$7</f>
        <v>0</v>
      </c>
    </row>
    <row r="9066" customFormat="false" ht="15" hidden="false" customHeight="false" outlineLevel="0" collapsed="false">
      <c r="B9066" s="130" t="n">
        <v>2027</v>
      </c>
      <c r="C9066" s="131" t="s">
        <v>254</v>
      </c>
      <c r="D9066" s="132" t="n">
        <v>46729</v>
      </c>
      <c r="E9066" s="131" t="s">
        <v>53</v>
      </c>
      <c r="F9066" s="133" t="s">
        <v>19</v>
      </c>
      <c r="G9066" s="134" t="n">
        <f aca="false">LEN('Saisie programme'!$F$350)+SUMIFS('Vols additionnels'!$E$7:$E$66,'Vols additionnels'!$C$7:$C$66,$E9066,'Vols additionnels'!$D$7:$D$66,$F9066,'Vols additionnels'!$B$7:$B$66,$D9066)</f>
        <v>0</v>
      </c>
      <c r="H9066" s="135" t="n">
        <f aca="false">$G9066*'Analyse capacite'!$F$8</f>
        <v>0</v>
      </c>
      <c r="I9066" s="135" t="n">
        <f aca="false">$G9066*'Analyse capacite'!$C$8</f>
        <v>0</v>
      </c>
      <c r="J9066" s="135" t="n">
        <f aca="false">$G9066*'Analyse capacite'!$D$8</f>
        <v>0</v>
      </c>
      <c r="K9066" s="135" t="n">
        <f aca="false">$G9066*'Analyse capacite'!$E$8</f>
        <v>0</v>
      </c>
    </row>
    <row r="9067" customFormat="false" ht="15" hidden="false" customHeight="false" outlineLevel="0" collapsed="false">
      <c r="B9067" s="130" t="n">
        <v>2027</v>
      </c>
      <c r="C9067" s="131" t="s">
        <v>254</v>
      </c>
      <c r="D9067" s="132" t="n">
        <v>46729</v>
      </c>
      <c r="E9067" s="131" t="s">
        <v>53</v>
      </c>
      <c r="F9067" s="133" t="s">
        <v>24</v>
      </c>
      <c r="G9067" s="134" t="n">
        <f aca="false">LEN('Saisie programme'!$F$351)+SUMIFS('Vols additionnels'!$E$7:$E$66,'Vols additionnels'!$C$7:$C$66,$E9067,'Vols additionnels'!$D$7:$D$66,$F9067,'Vols additionnels'!$B$7:$B$66,$D9067)</f>
        <v>0</v>
      </c>
      <c r="H9067" s="135" t="n">
        <f aca="false">$G9067*'Analyse capacite'!$F$9</f>
        <v>0</v>
      </c>
      <c r="I9067" s="135" t="n">
        <f aca="false">$G9067*'Analyse capacite'!$C$9</f>
        <v>0</v>
      </c>
      <c r="J9067" s="135" t="n">
        <f aca="false">$G9067*'Analyse capacite'!$D$9</f>
        <v>0</v>
      </c>
      <c r="K9067" s="135" t="n">
        <f aca="false">$G9067*'Analyse capacite'!$E$9</f>
        <v>0</v>
      </c>
    </row>
    <row r="9068" customFormat="false" ht="15" hidden="false" customHeight="false" outlineLevel="0" collapsed="false">
      <c r="B9068" s="130" t="n">
        <v>2027</v>
      </c>
      <c r="C9068" s="131" t="s">
        <v>254</v>
      </c>
      <c r="D9068" s="132" t="n">
        <v>46729</v>
      </c>
      <c r="E9068" s="131" t="s">
        <v>56</v>
      </c>
      <c r="F9068" s="133" t="s">
        <v>11</v>
      </c>
      <c r="G9068" s="134" t="n">
        <f aca="false">LEN('Saisie programme'!$F$352)+SUMIFS('Vols additionnels'!$E$7:$E$66,'Vols additionnels'!$C$7:$C$66,$E9068,'Vols additionnels'!$D$7:$D$66,$F9068,'Vols additionnels'!$B$7:$B$66,$D9068)</f>
        <v>0</v>
      </c>
      <c r="H9068" s="135" t="n">
        <f aca="false">$G9068*'Analyse capacite'!$F$7</f>
        <v>0</v>
      </c>
      <c r="I9068" s="135" t="n">
        <f aca="false">$G9068*'Analyse capacite'!$C$7</f>
        <v>0</v>
      </c>
      <c r="J9068" s="135" t="n">
        <f aca="false">$G9068*'Analyse capacite'!$D$7</f>
        <v>0</v>
      </c>
      <c r="K9068" s="135" t="n">
        <f aca="false">$G9068*'Analyse capacite'!$E$7</f>
        <v>0</v>
      </c>
    </row>
    <row r="9069" customFormat="false" ht="15" hidden="false" customHeight="false" outlineLevel="0" collapsed="false">
      <c r="B9069" s="130" t="n">
        <v>2027</v>
      </c>
      <c r="C9069" s="131" t="s">
        <v>254</v>
      </c>
      <c r="D9069" s="132" t="n">
        <v>46729</v>
      </c>
      <c r="E9069" s="131" t="s">
        <v>56</v>
      </c>
      <c r="F9069" s="133" t="s">
        <v>19</v>
      </c>
      <c r="G9069" s="134" t="n">
        <f aca="false">LEN('Saisie programme'!$F$353)+SUMIFS('Vols additionnels'!$E$7:$E$66,'Vols additionnels'!$C$7:$C$66,$E9069,'Vols additionnels'!$D$7:$D$66,$F9069,'Vols additionnels'!$B$7:$B$66,$D9069)</f>
        <v>0</v>
      </c>
      <c r="H9069" s="135" t="n">
        <f aca="false">$G9069*'Analyse capacite'!$F$8</f>
        <v>0</v>
      </c>
      <c r="I9069" s="135" t="n">
        <f aca="false">$G9069*'Analyse capacite'!$C$8</f>
        <v>0</v>
      </c>
      <c r="J9069" s="135" t="n">
        <f aca="false">$G9069*'Analyse capacite'!$D$8</f>
        <v>0</v>
      </c>
      <c r="K9069" s="135" t="n">
        <f aca="false">$G9069*'Analyse capacite'!$E$8</f>
        <v>0</v>
      </c>
    </row>
    <row r="9070" customFormat="false" ht="15" hidden="false" customHeight="false" outlineLevel="0" collapsed="false">
      <c r="B9070" s="130" t="n">
        <v>2027</v>
      </c>
      <c r="C9070" s="131" t="s">
        <v>254</v>
      </c>
      <c r="D9070" s="132" t="n">
        <v>46729</v>
      </c>
      <c r="E9070" s="131" t="s">
        <v>56</v>
      </c>
      <c r="F9070" s="133" t="s">
        <v>24</v>
      </c>
      <c r="G9070" s="134" t="n">
        <f aca="false">LEN('Saisie programme'!$F$354)+SUMIFS('Vols additionnels'!$E$7:$E$66,'Vols additionnels'!$C$7:$C$66,$E9070,'Vols additionnels'!$D$7:$D$66,$F9070,'Vols additionnels'!$B$7:$B$66,$D9070)</f>
        <v>0</v>
      </c>
      <c r="H9070" s="135" t="n">
        <f aca="false">$G9070*'Analyse capacite'!$F$9</f>
        <v>0</v>
      </c>
      <c r="I9070" s="135" t="n">
        <f aca="false">$G9070*'Analyse capacite'!$C$9</f>
        <v>0</v>
      </c>
      <c r="J9070" s="135" t="n">
        <f aca="false">$G9070*'Analyse capacite'!$D$9</f>
        <v>0</v>
      </c>
      <c r="K9070" s="135" t="n">
        <f aca="false">$G9070*'Analyse capacite'!$E$9</f>
        <v>0</v>
      </c>
    </row>
    <row r="9071" customFormat="false" ht="15" hidden="false" customHeight="false" outlineLevel="0" collapsed="false">
      <c r="B9071" s="130" t="n">
        <v>2027</v>
      </c>
      <c r="C9071" s="131" t="s">
        <v>254</v>
      </c>
      <c r="D9071" s="132" t="n">
        <v>46729</v>
      </c>
      <c r="E9071" s="131" t="s">
        <v>59</v>
      </c>
      <c r="F9071" s="133" t="s">
        <v>11</v>
      </c>
      <c r="G9071" s="134" t="n">
        <f aca="false">LEN('Saisie programme'!$F$355)+SUMIFS('Vols additionnels'!$E$7:$E$66,'Vols additionnels'!$C$7:$C$66,$E9071,'Vols additionnels'!$D$7:$D$66,$F9071,'Vols additionnels'!$B$7:$B$66,$D9071)</f>
        <v>0</v>
      </c>
      <c r="H9071" s="135" t="n">
        <f aca="false">$G9071*'Analyse capacite'!$F$7</f>
        <v>0</v>
      </c>
      <c r="I9071" s="135" t="n">
        <f aca="false">$G9071*'Analyse capacite'!$C$7</f>
        <v>0</v>
      </c>
      <c r="J9071" s="135" t="n">
        <f aca="false">$G9071*'Analyse capacite'!$D$7</f>
        <v>0</v>
      </c>
      <c r="K9071" s="135" t="n">
        <f aca="false">$G9071*'Analyse capacite'!$E$7</f>
        <v>0</v>
      </c>
    </row>
    <row r="9072" customFormat="false" ht="15" hidden="false" customHeight="false" outlineLevel="0" collapsed="false">
      <c r="B9072" s="130" t="n">
        <v>2027</v>
      </c>
      <c r="C9072" s="131" t="s">
        <v>254</v>
      </c>
      <c r="D9072" s="132" t="n">
        <v>46729</v>
      </c>
      <c r="E9072" s="131" t="s">
        <v>59</v>
      </c>
      <c r="F9072" s="133" t="s">
        <v>19</v>
      </c>
      <c r="G9072" s="134" t="n">
        <f aca="false">LEN('Saisie programme'!$F$356)+SUMIFS('Vols additionnels'!$E$7:$E$66,'Vols additionnels'!$C$7:$C$66,$E9072,'Vols additionnels'!$D$7:$D$66,$F9072,'Vols additionnels'!$B$7:$B$66,$D9072)</f>
        <v>0</v>
      </c>
      <c r="H9072" s="135" t="n">
        <f aca="false">$G9072*'Analyse capacite'!$F$8</f>
        <v>0</v>
      </c>
      <c r="I9072" s="135" t="n">
        <f aca="false">$G9072*'Analyse capacite'!$C$8</f>
        <v>0</v>
      </c>
      <c r="J9072" s="135" t="n">
        <f aca="false">$G9072*'Analyse capacite'!$D$8</f>
        <v>0</v>
      </c>
      <c r="K9072" s="135" t="n">
        <f aca="false">$G9072*'Analyse capacite'!$E$8</f>
        <v>0</v>
      </c>
    </row>
    <row r="9073" customFormat="false" ht="15" hidden="false" customHeight="false" outlineLevel="0" collapsed="false">
      <c r="B9073" s="130" t="n">
        <v>2027</v>
      </c>
      <c r="C9073" s="131" t="s">
        <v>254</v>
      </c>
      <c r="D9073" s="132" t="n">
        <v>46729</v>
      </c>
      <c r="E9073" s="131" t="s">
        <v>59</v>
      </c>
      <c r="F9073" s="133" t="s">
        <v>24</v>
      </c>
      <c r="G9073" s="134" t="n">
        <f aca="false">LEN('Saisie programme'!$F$357)+SUMIFS('Vols additionnels'!$E$7:$E$66,'Vols additionnels'!$C$7:$C$66,$E9073,'Vols additionnels'!$D$7:$D$66,$F9073,'Vols additionnels'!$B$7:$B$66,$D9073)</f>
        <v>1</v>
      </c>
      <c r="H9073" s="135" t="n">
        <f aca="false">$G9073*'Analyse capacite'!$F$9</f>
        <v>174</v>
      </c>
      <c r="I9073" s="135" t="n">
        <f aca="false">$G9073*'Analyse capacite'!$C$9</f>
        <v>0</v>
      </c>
      <c r="J9073" s="135" t="n">
        <f aca="false">$G9073*'Analyse capacite'!$D$9</f>
        <v>12</v>
      </c>
      <c r="K9073" s="135" t="n">
        <f aca="false">$G9073*'Analyse capacite'!$E$9</f>
        <v>162</v>
      </c>
    </row>
    <row r="9074" customFormat="false" ht="15" hidden="false" customHeight="false" outlineLevel="0" collapsed="false">
      <c r="B9074" s="130" t="n">
        <v>2027</v>
      </c>
      <c r="C9074" s="131" t="s">
        <v>254</v>
      </c>
      <c r="D9074" s="132" t="n">
        <v>46729</v>
      </c>
      <c r="E9074" s="131" t="s">
        <v>62</v>
      </c>
      <c r="F9074" s="133" t="s">
        <v>11</v>
      </c>
      <c r="G9074" s="134" t="n">
        <f aca="false">LEN('Saisie programme'!$F$358)+SUMIFS('Vols additionnels'!$E$7:$E$66,'Vols additionnels'!$C$7:$C$66,$E9074,'Vols additionnels'!$D$7:$D$66,$F9074,'Vols additionnels'!$B$7:$B$66,$D9074)</f>
        <v>0</v>
      </c>
      <c r="H9074" s="135" t="n">
        <f aca="false">$G9074*'Analyse capacite'!$F$7</f>
        <v>0</v>
      </c>
      <c r="I9074" s="135" t="n">
        <f aca="false">$G9074*'Analyse capacite'!$C$7</f>
        <v>0</v>
      </c>
      <c r="J9074" s="135" t="n">
        <f aca="false">$G9074*'Analyse capacite'!$D$7</f>
        <v>0</v>
      </c>
      <c r="K9074" s="135" t="n">
        <f aca="false">$G9074*'Analyse capacite'!$E$7</f>
        <v>0</v>
      </c>
    </row>
    <row r="9075" customFormat="false" ht="15" hidden="false" customHeight="false" outlineLevel="0" collapsed="false">
      <c r="B9075" s="130" t="n">
        <v>2027</v>
      </c>
      <c r="C9075" s="131" t="s">
        <v>254</v>
      </c>
      <c r="D9075" s="132" t="n">
        <v>46729</v>
      </c>
      <c r="E9075" s="131" t="s">
        <v>62</v>
      </c>
      <c r="F9075" s="133" t="s">
        <v>19</v>
      </c>
      <c r="G9075" s="134" t="n">
        <f aca="false">LEN('Saisie programme'!$F$359)+SUMIFS('Vols additionnels'!$E$7:$E$66,'Vols additionnels'!$C$7:$C$66,$E9075,'Vols additionnels'!$D$7:$D$66,$F9075,'Vols additionnels'!$B$7:$B$66,$D9075)</f>
        <v>0</v>
      </c>
      <c r="H9075" s="135" t="n">
        <f aca="false">$G9075*'Analyse capacite'!$F$8</f>
        <v>0</v>
      </c>
      <c r="I9075" s="135" t="n">
        <f aca="false">$G9075*'Analyse capacite'!$C$8</f>
        <v>0</v>
      </c>
      <c r="J9075" s="135" t="n">
        <f aca="false">$G9075*'Analyse capacite'!$D$8</f>
        <v>0</v>
      </c>
      <c r="K9075" s="135" t="n">
        <f aca="false">$G9075*'Analyse capacite'!$E$8</f>
        <v>0</v>
      </c>
    </row>
    <row r="9076" customFormat="false" ht="15" hidden="false" customHeight="false" outlineLevel="0" collapsed="false">
      <c r="B9076" s="130" t="n">
        <v>2027</v>
      </c>
      <c r="C9076" s="131" t="s">
        <v>254</v>
      </c>
      <c r="D9076" s="132" t="n">
        <v>46729</v>
      </c>
      <c r="E9076" s="131" t="s">
        <v>62</v>
      </c>
      <c r="F9076" s="133" t="s">
        <v>24</v>
      </c>
      <c r="G9076" s="134" t="n">
        <f aca="false">LEN('Saisie programme'!$F$360)+SUMIFS('Vols additionnels'!$E$7:$E$66,'Vols additionnels'!$C$7:$C$66,$E9076,'Vols additionnels'!$D$7:$D$66,$F9076,'Vols additionnels'!$B$7:$B$66,$D9076)</f>
        <v>1</v>
      </c>
      <c r="H9076" s="135" t="n">
        <f aca="false">$G9076*'Analyse capacite'!$F$9</f>
        <v>174</v>
      </c>
      <c r="I9076" s="135" t="n">
        <f aca="false">$G9076*'Analyse capacite'!$C$9</f>
        <v>0</v>
      </c>
      <c r="J9076" s="135" t="n">
        <f aca="false">$G9076*'Analyse capacite'!$D$9</f>
        <v>12</v>
      </c>
      <c r="K9076" s="135" t="n">
        <f aca="false">$G9076*'Analyse capacite'!$E$9</f>
        <v>162</v>
      </c>
    </row>
    <row r="9077" customFormat="false" ht="15" hidden="false" customHeight="false" outlineLevel="0" collapsed="false">
      <c r="B9077" s="130" t="n">
        <v>2027</v>
      </c>
      <c r="C9077" s="131" t="s">
        <v>254</v>
      </c>
      <c r="D9077" s="132" t="n">
        <v>46730</v>
      </c>
      <c r="E9077" s="131" t="s">
        <v>12</v>
      </c>
      <c r="F9077" s="133" t="s">
        <v>11</v>
      </c>
      <c r="G9077" s="134" t="n">
        <f aca="false">LEN('Saisie programme'!$G$325)+SUMIFS('Vols additionnels'!$E$7:$E$66,'Vols additionnels'!$C$7:$C$66,$E9077,'Vols additionnels'!$D$7:$D$66,$F9077,'Vols additionnels'!$B$7:$B$66,$D9077)</f>
        <v>1</v>
      </c>
      <c r="H9077" s="135" t="n">
        <f aca="false">$G9077*'Analyse capacite'!$F$7</f>
        <v>438</v>
      </c>
      <c r="I9077" s="135" t="n">
        <f aca="false">$G9077*'Analyse capacite'!$C$7</f>
        <v>14</v>
      </c>
      <c r="J9077" s="135" t="n">
        <f aca="false">$G9077*'Analyse capacite'!$D$7</f>
        <v>40</v>
      </c>
      <c r="K9077" s="135" t="n">
        <f aca="false">$G9077*'Analyse capacite'!$E$7</f>
        <v>384</v>
      </c>
    </row>
    <row r="9078" customFormat="false" ht="15" hidden="false" customHeight="false" outlineLevel="0" collapsed="false">
      <c r="B9078" s="130" t="n">
        <v>2027</v>
      </c>
      <c r="C9078" s="131" t="s">
        <v>254</v>
      </c>
      <c r="D9078" s="132" t="n">
        <v>46730</v>
      </c>
      <c r="E9078" s="131" t="s">
        <v>12</v>
      </c>
      <c r="F9078" s="133" t="s">
        <v>19</v>
      </c>
      <c r="G9078" s="134" t="n">
        <f aca="false">LEN('Saisie programme'!$G$326)+SUMIFS('Vols additionnels'!$E$7:$E$66,'Vols additionnels'!$C$7:$C$66,$E9078,'Vols additionnels'!$D$7:$D$66,$F9078,'Vols additionnels'!$B$7:$B$66,$D9078)</f>
        <v>0</v>
      </c>
      <c r="H9078" s="135" t="n">
        <f aca="false">$G9078*'Analyse capacite'!$F$8</f>
        <v>0</v>
      </c>
      <c r="I9078" s="135" t="n">
        <f aca="false">$G9078*'Analyse capacite'!$C$8</f>
        <v>0</v>
      </c>
      <c r="J9078" s="135" t="n">
        <f aca="false">$G9078*'Analyse capacite'!$D$8</f>
        <v>0</v>
      </c>
      <c r="K9078" s="135" t="n">
        <f aca="false">$G9078*'Analyse capacite'!$E$8</f>
        <v>0</v>
      </c>
    </row>
    <row r="9079" customFormat="false" ht="15" hidden="false" customHeight="false" outlineLevel="0" collapsed="false">
      <c r="B9079" s="130" t="n">
        <v>2027</v>
      </c>
      <c r="C9079" s="131" t="s">
        <v>254</v>
      </c>
      <c r="D9079" s="132" t="n">
        <v>46730</v>
      </c>
      <c r="E9079" s="131" t="s">
        <v>12</v>
      </c>
      <c r="F9079" s="133" t="s">
        <v>24</v>
      </c>
      <c r="G9079" s="134" t="n">
        <f aca="false">LEN('Saisie programme'!$G$327)+SUMIFS('Vols additionnels'!$E$7:$E$66,'Vols additionnels'!$C$7:$C$66,$E9079,'Vols additionnels'!$D$7:$D$66,$F9079,'Vols additionnels'!$B$7:$B$66,$D9079)</f>
        <v>0</v>
      </c>
      <c r="H9079" s="135" t="n">
        <f aca="false">$G9079*'Analyse capacite'!$F$9</f>
        <v>0</v>
      </c>
      <c r="I9079" s="135" t="n">
        <f aca="false">$G9079*'Analyse capacite'!$C$9</f>
        <v>0</v>
      </c>
      <c r="J9079" s="135" t="n">
        <f aca="false">$G9079*'Analyse capacite'!$D$9</f>
        <v>0</v>
      </c>
      <c r="K9079" s="135" t="n">
        <f aca="false">$G9079*'Analyse capacite'!$E$9</f>
        <v>0</v>
      </c>
    </row>
    <row r="9080" customFormat="false" ht="15" hidden="false" customHeight="false" outlineLevel="0" collapsed="false">
      <c r="B9080" s="130" t="n">
        <v>2027</v>
      </c>
      <c r="C9080" s="131" t="s">
        <v>254</v>
      </c>
      <c r="D9080" s="132" t="n">
        <v>46730</v>
      </c>
      <c r="E9080" s="131" t="s">
        <v>20</v>
      </c>
      <c r="F9080" s="133" t="s">
        <v>11</v>
      </c>
      <c r="G9080" s="134" t="n">
        <f aca="false">LEN('Saisie programme'!$G$328)+SUMIFS('Vols additionnels'!$E$7:$E$66,'Vols additionnels'!$C$7:$C$66,$E9080,'Vols additionnels'!$D$7:$D$66,$F9080,'Vols additionnels'!$B$7:$B$66,$D9080)</f>
        <v>0</v>
      </c>
      <c r="H9080" s="135" t="n">
        <f aca="false">$G9080*'Analyse capacite'!$F$7</f>
        <v>0</v>
      </c>
      <c r="I9080" s="135" t="n">
        <f aca="false">$G9080*'Analyse capacite'!$C$7</f>
        <v>0</v>
      </c>
      <c r="J9080" s="135" t="n">
        <f aca="false">$G9080*'Analyse capacite'!$D$7</f>
        <v>0</v>
      </c>
      <c r="K9080" s="135" t="n">
        <f aca="false">$G9080*'Analyse capacite'!$E$7</f>
        <v>0</v>
      </c>
    </row>
    <row r="9081" customFormat="false" ht="15" hidden="false" customHeight="false" outlineLevel="0" collapsed="false">
      <c r="B9081" s="130" t="n">
        <v>2027</v>
      </c>
      <c r="C9081" s="131" t="s">
        <v>254</v>
      </c>
      <c r="D9081" s="132" t="n">
        <v>46730</v>
      </c>
      <c r="E9081" s="131" t="s">
        <v>20</v>
      </c>
      <c r="F9081" s="133" t="s">
        <v>19</v>
      </c>
      <c r="G9081" s="134" t="n">
        <f aca="false">LEN('Saisie programme'!$G$329)+SUMIFS('Vols additionnels'!$E$7:$E$66,'Vols additionnels'!$C$7:$C$66,$E9081,'Vols additionnels'!$D$7:$D$66,$F9081,'Vols additionnels'!$B$7:$B$66,$D9081)</f>
        <v>0</v>
      </c>
      <c r="H9081" s="135" t="n">
        <f aca="false">$G9081*'Analyse capacite'!$F$8</f>
        <v>0</v>
      </c>
      <c r="I9081" s="135" t="n">
        <f aca="false">$G9081*'Analyse capacite'!$C$8</f>
        <v>0</v>
      </c>
      <c r="J9081" s="135" t="n">
        <f aca="false">$G9081*'Analyse capacite'!$D$8</f>
        <v>0</v>
      </c>
      <c r="K9081" s="135" t="n">
        <f aca="false">$G9081*'Analyse capacite'!$E$8</f>
        <v>0</v>
      </c>
    </row>
    <row r="9082" customFormat="false" ht="15" hidden="false" customHeight="false" outlineLevel="0" collapsed="false">
      <c r="B9082" s="130" t="n">
        <v>2027</v>
      </c>
      <c r="C9082" s="131" t="s">
        <v>254</v>
      </c>
      <c r="D9082" s="132" t="n">
        <v>46730</v>
      </c>
      <c r="E9082" s="131" t="s">
        <v>20</v>
      </c>
      <c r="F9082" s="133" t="s">
        <v>24</v>
      </c>
      <c r="G9082" s="134" t="n">
        <f aca="false">LEN('Saisie programme'!$G$330)+SUMIFS('Vols additionnels'!$E$7:$E$66,'Vols additionnels'!$C$7:$C$66,$E9082,'Vols additionnels'!$D$7:$D$66,$F9082,'Vols additionnels'!$B$7:$B$66,$D9082)</f>
        <v>0</v>
      </c>
      <c r="H9082" s="135" t="n">
        <f aca="false">$G9082*'Analyse capacite'!$F$9</f>
        <v>0</v>
      </c>
      <c r="I9082" s="135" t="n">
        <f aca="false">$G9082*'Analyse capacite'!$C$9</f>
        <v>0</v>
      </c>
      <c r="J9082" s="135" t="n">
        <f aca="false">$G9082*'Analyse capacite'!$D$9</f>
        <v>0</v>
      </c>
      <c r="K9082" s="135" t="n">
        <f aca="false">$G9082*'Analyse capacite'!$E$9</f>
        <v>0</v>
      </c>
    </row>
    <row r="9083" customFormat="false" ht="15" hidden="false" customHeight="false" outlineLevel="0" collapsed="false">
      <c r="B9083" s="130" t="n">
        <v>2027</v>
      </c>
      <c r="C9083" s="131" t="s">
        <v>254</v>
      </c>
      <c r="D9083" s="132" t="n">
        <v>46730</v>
      </c>
      <c r="E9083" s="131" t="s">
        <v>25</v>
      </c>
      <c r="F9083" s="133" t="s">
        <v>11</v>
      </c>
      <c r="G9083" s="134" t="n">
        <f aca="false">LEN('Saisie programme'!$G$331)+SUMIFS('Vols additionnels'!$E$7:$E$66,'Vols additionnels'!$C$7:$C$66,$E9083,'Vols additionnels'!$D$7:$D$66,$F9083,'Vols additionnels'!$B$7:$B$66,$D9083)</f>
        <v>0</v>
      </c>
      <c r="H9083" s="135" t="n">
        <f aca="false">$G9083*'Analyse capacite'!$F$7</f>
        <v>0</v>
      </c>
      <c r="I9083" s="135" t="n">
        <f aca="false">$G9083*'Analyse capacite'!$C$7</f>
        <v>0</v>
      </c>
      <c r="J9083" s="135" t="n">
        <f aca="false">$G9083*'Analyse capacite'!$D$7</f>
        <v>0</v>
      </c>
      <c r="K9083" s="135" t="n">
        <f aca="false">$G9083*'Analyse capacite'!$E$7</f>
        <v>0</v>
      </c>
    </row>
    <row r="9084" customFormat="false" ht="15" hidden="false" customHeight="false" outlineLevel="0" collapsed="false">
      <c r="B9084" s="130" t="n">
        <v>2027</v>
      </c>
      <c r="C9084" s="131" t="s">
        <v>254</v>
      </c>
      <c r="D9084" s="132" t="n">
        <v>46730</v>
      </c>
      <c r="E9084" s="131" t="s">
        <v>25</v>
      </c>
      <c r="F9084" s="133" t="s">
        <v>19</v>
      </c>
      <c r="G9084" s="134" t="n">
        <f aca="false">LEN('Saisie programme'!$G$332)+SUMIFS('Vols additionnels'!$E$7:$E$66,'Vols additionnels'!$C$7:$C$66,$E9084,'Vols additionnels'!$D$7:$D$66,$F9084,'Vols additionnels'!$B$7:$B$66,$D9084)</f>
        <v>0</v>
      </c>
      <c r="H9084" s="135" t="n">
        <f aca="false">$G9084*'Analyse capacite'!$F$8</f>
        <v>0</v>
      </c>
      <c r="I9084" s="135" t="n">
        <f aca="false">$G9084*'Analyse capacite'!$C$8</f>
        <v>0</v>
      </c>
      <c r="J9084" s="135" t="n">
        <f aca="false">$G9084*'Analyse capacite'!$D$8</f>
        <v>0</v>
      </c>
      <c r="K9084" s="135" t="n">
        <f aca="false">$G9084*'Analyse capacite'!$E$8</f>
        <v>0</v>
      </c>
    </row>
    <row r="9085" customFormat="false" ht="15" hidden="false" customHeight="false" outlineLevel="0" collapsed="false">
      <c r="B9085" s="130" t="n">
        <v>2027</v>
      </c>
      <c r="C9085" s="131" t="s">
        <v>254</v>
      </c>
      <c r="D9085" s="132" t="n">
        <v>46730</v>
      </c>
      <c r="E9085" s="131" t="s">
        <v>25</v>
      </c>
      <c r="F9085" s="133" t="s">
        <v>24</v>
      </c>
      <c r="G9085" s="134" t="n">
        <f aca="false">LEN('Saisie programme'!$G$333)+SUMIFS('Vols additionnels'!$E$7:$E$66,'Vols additionnels'!$C$7:$C$66,$E9085,'Vols additionnels'!$D$7:$D$66,$F9085,'Vols additionnels'!$B$7:$B$66,$D9085)</f>
        <v>0</v>
      </c>
      <c r="H9085" s="135" t="n">
        <f aca="false">$G9085*'Analyse capacite'!$F$9</f>
        <v>0</v>
      </c>
      <c r="I9085" s="135" t="n">
        <f aca="false">$G9085*'Analyse capacite'!$C$9</f>
        <v>0</v>
      </c>
      <c r="J9085" s="135" t="n">
        <f aca="false">$G9085*'Analyse capacite'!$D$9</f>
        <v>0</v>
      </c>
      <c r="K9085" s="135" t="n">
        <f aca="false">$G9085*'Analyse capacite'!$E$9</f>
        <v>0</v>
      </c>
    </row>
    <row r="9086" customFormat="false" ht="15" hidden="false" customHeight="false" outlineLevel="0" collapsed="false">
      <c r="B9086" s="130" t="n">
        <v>2027</v>
      </c>
      <c r="C9086" s="131" t="s">
        <v>254</v>
      </c>
      <c r="D9086" s="132" t="n">
        <v>46730</v>
      </c>
      <c r="E9086" s="131" t="s">
        <v>36</v>
      </c>
      <c r="F9086" s="133" t="s">
        <v>11</v>
      </c>
      <c r="G9086" s="134" t="n">
        <f aca="false">LEN('Saisie programme'!$G$334)+SUMIFS('Vols additionnels'!$E$7:$E$66,'Vols additionnels'!$C$7:$C$66,$E9086,'Vols additionnels'!$D$7:$D$66,$F9086,'Vols additionnels'!$B$7:$B$66,$D9086)</f>
        <v>0</v>
      </c>
      <c r="H9086" s="135" t="n">
        <f aca="false">$G9086*'Analyse capacite'!$F$7</f>
        <v>0</v>
      </c>
      <c r="I9086" s="135" t="n">
        <f aca="false">$G9086*'Analyse capacite'!$C$7</f>
        <v>0</v>
      </c>
      <c r="J9086" s="135" t="n">
        <f aca="false">$G9086*'Analyse capacite'!$D$7</f>
        <v>0</v>
      </c>
      <c r="K9086" s="135" t="n">
        <f aca="false">$G9086*'Analyse capacite'!$E$7</f>
        <v>0</v>
      </c>
    </row>
    <row r="9087" customFormat="false" ht="15" hidden="false" customHeight="false" outlineLevel="0" collapsed="false">
      <c r="B9087" s="130" t="n">
        <v>2027</v>
      </c>
      <c r="C9087" s="131" t="s">
        <v>254</v>
      </c>
      <c r="D9087" s="132" t="n">
        <v>46730</v>
      </c>
      <c r="E9087" s="131" t="s">
        <v>36</v>
      </c>
      <c r="F9087" s="133" t="s">
        <v>19</v>
      </c>
      <c r="G9087" s="134" t="n">
        <f aca="false">LEN('Saisie programme'!$G$335)+SUMIFS('Vols additionnels'!$E$7:$E$66,'Vols additionnels'!$C$7:$C$66,$E9087,'Vols additionnels'!$D$7:$D$66,$F9087,'Vols additionnels'!$B$7:$B$66,$D9087)</f>
        <v>0</v>
      </c>
      <c r="H9087" s="135" t="n">
        <f aca="false">$G9087*'Analyse capacite'!$F$8</f>
        <v>0</v>
      </c>
      <c r="I9087" s="135" t="n">
        <f aca="false">$G9087*'Analyse capacite'!$C$8</f>
        <v>0</v>
      </c>
      <c r="J9087" s="135" t="n">
        <f aca="false">$G9087*'Analyse capacite'!$D$8</f>
        <v>0</v>
      </c>
      <c r="K9087" s="135" t="n">
        <f aca="false">$G9087*'Analyse capacite'!$E$8</f>
        <v>0</v>
      </c>
    </row>
    <row r="9088" customFormat="false" ht="15" hidden="false" customHeight="false" outlineLevel="0" collapsed="false">
      <c r="B9088" s="130" t="n">
        <v>2027</v>
      </c>
      <c r="C9088" s="131" t="s">
        <v>254</v>
      </c>
      <c r="D9088" s="132" t="n">
        <v>46730</v>
      </c>
      <c r="E9088" s="131" t="s">
        <v>36</v>
      </c>
      <c r="F9088" s="133" t="s">
        <v>24</v>
      </c>
      <c r="G9088" s="134" t="n">
        <f aca="false">LEN('Saisie programme'!$G$336)+SUMIFS('Vols additionnels'!$E$7:$E$66,'Vols additionnels'!$C$7:$C$66,$E9088,'Vols additionnels'!$D$7:$D$66,$F9088,'Vols additionnels'!$B$7:$B$66,$D9088)</f>
        <v>1</v>
      </c>
      <c r="H9088" s="135" t="n">
        <f aca="false">$G9088*'Analyse capacite'!$F$9</f>
        <v>174</v>
      </c>
      <c r="I9088" s="135" t="n">
        <f aca="false">$G9088*'Analyse capacite'!$C$9</f>
        <v>0</v>
      </c>
      <c r="J9088" s="135" t="n">
        <f aca="false">$G9088*'Analyse capacite'!$D$9</f>
        <v>12</v>
      </c>
      <c r="K9088" s="135" t="n">
        <f aca="false">$G9088*'Analyse capacite'!$E$9</f>
        <v>162</v>
      </c>
    </row>
    <row r="9089" customFormat="false" ht="15" hidden="false" customHeight="false" outlineLevel="0" collapsed="false">
      <c r="B9089" s="130" t="n">
        <v>2027</v>
      </c>
      <c r="C9089" s="131" t="s">
        <v>254</v>
      </c>
      <c r="D9089" s="132" t="n">
        <v>46730</v>
      </c>
      <c r="E9089" s="131" t="s">
        <v>40</v>
      </c>
      <c r="F9089" s="133" t="s">
        <v>11</v>
      </c>
      <c r="G9089" s="134" t="n">
        <f aca="false">LEN('Saisie programme'!$G$337)+SUMIFS('Vols additionnels'!$E$7:$E$66,'Vols additionnels'!$C$7:$C$66,$E9089,'Vols additionnels'!$D$7:$D$66,$F9089,'Vols additionnels'!$B$7:$B$66,$D9089)</f>
        <v>0</v>
      </c>
      <c r="H9089" s="135" t="n">
        <f aca="false">$G9089*'Analyse capacite'!$F$7</f>
        <v>0</v>
      </c>
      <c r="I9089" s="135" t="n">
        <f aca="false">$G9089*'Analyse capacite'!$C$7</f>
        <v>0</v>
      </c>
      <c r="J9089" s="135" t="n">
        <f aca="false">$G9089*'Analyse capacite'!$D$7</f>
        <v>0</v>
      </c>
      <c r="K9089" s="135" t="n">
        <f aca="false">$G9089*'Analyse capacite'!$E$7</f>
        <v>0</v>
      </c>
    </row>
    <row r="9090" customFormat="false" ht="15" hidden="false" customHeight="false" outlineLevel="0" collapsed="false">
      <c r="B9090" s="130" t="n">
        <v>2027</v>
      </c>
      <c r="C9090" s="131" t="s">
        <v>254</v>
      </c>
      <c r="D9090" s="132" t="n">
        <v>46730</v>
      </c>
      <c r="E9090" s="131" t="s">
        <v>40</v>
      </c>
      <c r="F9090" s="133" t="s">
        <v>19</v>
      </c>
      <c r="G9090" s="134" t="n">
        <f aca="false">LEN('Saisie programme'!$G$338)+SUMIFS('Vols additionnels'!$E$7:$E$66,'Vols additionnels'!$C$7:$C$66,$E9090,'Vols additionnels'!$D$7:$D$66,$F9090,'Vols additionnels'!$B$7:$B$66,$D9090)</f>
        <v>0</v>
      </c>
      <c r="H9090" s="135" t="n">
        <f aca="false">$G9090*'Analyse capacite'!$F$8</f>
        <v>0</v>
      </c>
      <c r="I9090" s="135" t="n">
        <f aca="false">$G9090*'Analyse capacite'!$C$8</f>
        <v>0</v>
      </c>
      <c r="J9090" s="135" t="n">
        <f aca="false">$G9090*'Analyse capacite'!$D$8</f>
        <v>0</v>
      </c>
      <c r="K9090" s="135" t="n">
        <f aca="false">$G9090*'Analyse capacite'!$E$8</f>
        <v>0</v>
      </c>
    </row>
    <row r="9091" customFormat="false" ht="15" hidden="false" customHeight="false" outlineLevel="0" collapsed="false">
      <c r="B9091" s="130" t="n">
        <v>2027</v>
      </c>
      <c r="C9091" s="131" t="s">
        <v>254</v>
      </c>
      <c r="D9091" s="132" t="n">
        <v>46730</v>
      </c>
      <c r="E9091" s="131" t="s">
        <v>40</v>
      </c>
      <c r="F9091" s="133" t="s">
        <v>24</v>
      </c>
      <c r="G9091" s="134" t="n">
        <f aca="false">LEN('Saisie programme'!$G$339)+SUMIFS('Vols additionnels'!$E$7:$E$66,'Vols additionnels'!$C$7:$C$66,$E9091,'Vols additionnels'!$D$7:$D$66,$F9091,'Vols additionnels'!$B$7:$B$66,$D9091)</f>
        <v>0</v>
      </c>
      <c r="H9091" s="135" t="n">
        <f aca="false">$G9091*'Analyse capacite'!$F$9</f>
        <v>0</v>
      </c>
      <c r="I9091" s="135" t="n">
        <f aca="false">$G9091*'Analyse capacite'!$C$9</f>
        <v>0</v>
      </c>
      <c r="J9091" s="135" t="n">
        <f aca="false">$G9091*'Analyse capacite'!$D$9</f>
        <v>0</v>
      </c>
      <c r="K9091" s="135" t="n">
        <f aca="false">$G9091*'Analyse capacite'!$E$9</f>
        <v>0</v>
      </c>
    </row>
    <row r="9092" customFormat="false" ht="15" hidden="false" customHeight="false" outlineLevel="0" collapsed="false">
      <c r="B9092" s="130" t="n">
        <v>2027</v>
      </c>
      <c r="C9092" s="131" t="s">
        <v>254</v>
      </c>
      <c r="D9092" s="132" t="n">
        <v>46730</v>
      </c>
      <c r="E9092" s="131" t="s">
        <v>14</v>
      </c>
      <c r="F9092" s="133" t="s">
        <v>11</v>
      </c>
      <c r="G9092" s="134" t="n">
        <f aca="false">LEN('Saisie programme'!$G$340)+SUMIFS('Vols additionnels'!$E$7:$E$66,'Vols additionnels'!$C$7:$C$66,$E9092,'Vols additionnels'!$D$7:$D$66,$F9092,'Vols additionnels'!$B$7:$B$66,$D9092)</f>
        <v>0</v>
      </c>
      <c r="H9092" s="135" t="n">
        <f aca="false">$G9092*'Analyse capacite'!$F$7</f>
        <v>0</v>
      </c>
      <c r="I9092" s="135" t="n">
        <f aca="false">$G9092*'Analyse capacite'!$C$7</f>
        <v>0</v>
      </c>
      <c r="J9092" s="135" t="n">
        <f aca="false">$G9092*'Analyse capacite'!$D$7</f>
        <v>0</v>
      </c>
      <c r="K9092" s="135" t="n">
        <f aca="false">$G9092*'Analyse capacite'!$E$7</f>
        <v>0</v>
      </c>
    </row>
    <row r="9093" customFormat="false" ht="15" hidden="false" customHeight="false" outlineLevel="0" collapsed="false">
      <c r="B9093" s="130" t="n">
        <v>2027</v>
      </c>
      <c r="C9093" s="131" t="s">
        <v>254</v>
      </c>
      <c r="D9093" s="132" t="n">
        <v>46730</v>
      </c>
      <c r="E9093" s="131" t="s">
        <v>14</v>
      </c>
      <c r="F9093" s="133" t="s">
        <v>19</v>
      </c>
      <c r="G9093" s="134" t="n">
        <f aca="false">LEN('Saisie programme'!$G$341)+SUMIFS('Vols additionnels'!$E$7:$E$66,'Vols additionnels'!$C$7:$C$66,$E9093,'Vols additionnels'!$D$7:$D$66,$F9093,'Vols additionnels'!$B$7:$B$66,$D9093)</f>
        <v>0</v>
      </c>
      <c r="H9093" s="135" t="n">
        <f aca="false">$G9093*'Analyse capacite'!$F$8</f>
        <v>0</v>
      </c>
      <c r="I9093" s="135" t="n">
        <f aca="false">$G9093*'Analyse capacite'!$C$8</f>
        <v>0</v>
      </c>
      <c r="J9093" s="135" t="n">
        <f aca="false">$G9093*'Analyse capacite'!$D$8</f>
        <v>0</v>
      </c>
      <c r="K9093" s="135" t="n">
        <f aca="false">$G9093*'Analyse capacite'!$E$8</f>
        <v>0</v>
      </c>
    </row>
    <row r="9094" customFormat="false" ht="15" hidden="false" customHeight="false" outlineLevel="0" collapsed="false">
      <c r="B9094" s="130" t="n">
        <v>2027</v>
      </c>
      <c r="C9094" s="131" t="s">
        <v>254</v>
      </c>
      <c r="D9094" s="132" t="n">
        <v>46730</v>
      </c>
      <c r="E9094" s="131" t="s">
        <v>14</v>
      </c>
      <c r="F9094" s="133" t="s">
        <v>24</v>
      </c>
      <c r="G9094" s="134" t="n">
        <f aca="false">LEN('Saisie programme'!$G$342)+SUMIFS('Vols additionnels'!$E$7:$E$66,'Vols additionnels'!$C$7:$C$66,$E9094,'Vols additionnels'!$D$7:$D$66,$F9094,'Vols additionnels'!$B$7:$B$66,$D9094)</f>
        <v>1</v>
      </c>
      <c r="H9094" s="135" t="n">
        <f aca="false">$G9094*'Analyse capacite'!$F$9</f>
        <v>174</v>
      </c>
      <c r="I9094" s="135" t="n">
        <f aca="false">$G9094*'Analyse capacite'!$C$9</f>
        <v>0</v>
      </c>
      <c r="J9094" s="135" t="n">
        <f aca="false">$G9094*'Analyse capacite'!$D$9</f>
        <v>12</v>
      </c>
      <c r="K9094" s="135" t="n">
        <f aca="false">$G9094*'Analyse capacite'!$E$9</f>
        <v>162</v>
      </c>
    </row>
    <row r="9095" customFormat="false" ht="15" hidden="false" customHeight="false" outlineLevel="0" collapsed="false">
      <c r="B9095" s="130" t="n">
        <v>2027</v>
      </c>
      <c r="C9095" s="131" t="s">
        <v>254</v>
      </c>
      <c r="D9095" s="132" t="n">
        <v>46730</v>
      </c>
      <c r="E9095" s="131" t="s">
        <v>46</v>
      </c>
      <c r="F9095" s="133" t="s">
        <v>11</v>
      </c>
      <c r="G9095" s="134" t="n">
        <f aca="false">LEN('Saisie programme'!$G$343)+SUMIFS('Vols additionnels'!$E$7:$E$66,'Vols additionnels'!$C$7:$C$66,$E9095,'Vols additionnels'!$D$7:$D$66,$F9095,'Vols additionnels'!$B$7:$B$66,$D9095)</f>
        <v>0</v>
      </c>
      <c r="H9095" s="135" t="n">
        <f aca="false">$G9095*'Analyse capacite'!$F$7</f>
        <v>0</v>
      </c>
      <c r="I9095" s="135" t="n">
        <f aca="false">$G9095*'Analyse capacite'!$C$7</f>
        <v>0</v>
      </c>
      <c r="J9095" s="135" t="n">
        <f aca="false">$G9095*'Analyse capacite'!$D$7</f>
        <v>0</v>
      </c>
      <c r="K9095" s="135" t="n">
        <f aca="false">$G9095*'Analyse capacite'!$E$7</f>
        <v>0</v>
      </c>
    </row>
    <row r="9096" customFormat="false" ht="15" hidden="false" customHeight="false" outlineLevel="0" collapsed="false">
      <c r="B9096" s="130" t="n">
        <v>2027</v>
      </c>
      <c r="C9096" s="131" t="s">
        <v>254</v>
      </c>
      <c r="D9096" s="132" t="n">
        <v>46730</v>
      </c>
      <c r="E9096" s="131" t="s">
        <v>46</v>
      </c>
      <c r="F9096" s="133" t="s">
        <v>19</v>
      </c>
      <c r="G9096" s="134" t="n">
        <f aca="false">LEN('Saisie programme'!$G$344)+SUMIFS('Vols additionnels'!$E$7:$E$66,'Vols additionnels'!$C$7:$C$66,$E9096,'Vols additionnels'!$D$7:$D$66,$F9096,'Vols additionnels'!$B$7:$B$66,$D9096)</f>
        <v>0</v>
      </c>
      <c r="H9096" s="135" t="n">
        <f aca="false">$G9096*'Analyse capacite'!$F$8</f>
        <v>0</v>
      </c>
      <c r="I9096" s="135" t="n">
        <f aca="false">$G9096*'Analyse capacite'!$C$8</f>
        <v>0</v>
      </c>
      <c r="J9096" s="135" t="n">
        <f aca="false">$G9096*'Analyse capacite'!$D$8</f>
        <v>0</v>
      </c>
      <c r="K9096" s="135" t="n">
        <f aca="false">$G9096*'Analyse capacite'!$E$8</f>
        <v>0</v>
      </c>
    </row>
    <row r="9097" customFormat="false" ht="15" hidden="false" customHeight="false" outlineLevel="0" collapsed="false">
      <c r="B9097" s="130" t="n">
        <v>2027</v>
      </c>
      <c r="C9097" s="131" t="s">
        <v>254</v>
      </c>
      <c r="D9097" s="132" t="n">
        <v>46730</v>
      </c>
      <c r="E9097" s="131" t="s">
        <v>46</v>
      </c>
      <c r="F9097" s="133" t="s">
        <v>24</v>
      </c>
      <c r="G9097" s="134" t="n">
        <f aca="false">LEN('Saisie programme'!$G$345)+SUMIFS('Vols additionnels'!$E$7:$E$66,'Vols additionnels'!$C$7:$C$66,$E9097,'Vols additionnels'!$D$7:$D$66,$F9097,'Vols additionnels'!$B$7:$B$66,$D9097)</f>
        <v>1</v>
      </c>
      <c r="H9097" s="135" t="n">
        <f aca="false">$G9097*'Analyse capacite'!$F$9</f>
        <v>174</v>
      </c>
      <c r="I9097" s="135" t="n">
        <f aca="false">$G9097*'Analyse capacite'!$C$9</f>
        <v>0</v>
      </c>
      <c r="J9097" s="135" t="n">
        <f aca="false">$G9097*'Analyse capacite'!$D$9</f>
        <v>12</v>
      </c>
      <c r="K9097" s="135" t="n">
        <f aca="false">$G9097*'Analyse capacite'!$E$9</f>
        <v>162</v>
      </c>
    </row>
    <row r="9098" customFormat="false" ht="15" hidden="false" customHeight="false" outlineLevel="0" collapsed="false">
      <c r="B9098" s="130" t="n">
        <v>2027</v>
      </c>
      <c r="C9098" s="131" t="s">
        <v>254</v>
      </c>
      <c r="D9098" s="132" t="n">
        <v>46730</v>
      </c>
      <c r="E9098" s="131" t="s">
        <v>49</v>
      </c>
      <c r="F9098" s="133" t="s">
        <v>11</v>
      </c>
      <c r="G9098" s="134" t="n">
        <f aca="false">LEN('Saisie programme'!$G$346)+SUMIFS('Vols additionnels'!$E$7:$E$66,'Vols additionnels'!$C$7:$C$66,$E9098,'Vols additionnels'!$D$7:$D$66,$F9098,'Vols additionnels'!$B$7:$B$66,$D9098)</f>
        <v>0</v>
      </c>
      <c r="H9098" s="135" t="n">
        <f aca="false">$G9098*'Analyse capacite'!$F$7</f>
        <v>0</v>
      </c>
      <c r="I9098" s="135" t="n">
        <f aca="false">$G9098*'Analyse capacite'!$C$7</f>
        <v>0</v>
      </c>
      <c r="J9098" s="135" t="n">
        <f aca="false">$G9098*'Analyse capacite'!$D$7</f>
        <v>0</v>
      </c>
      <c r="K9098" s="135" t="n">
        <f aca="false">$G9098*'Analyse capacite'!$E$7</f>
        <v>0</v>
      </c>
    </row>
    <row r="9099" customFormat="false" ht="15" hidden="false" customHeight="false" outlineLevel="0" collapsed="false">
      <c r="B9099" s="130" t="n">
        <v>2027</v>
      </c>
      <c r="C9099" s="131" t="s">
        <v>254</v>
      </c>
      <c r="D9099" s="132" t="n">
        <v>46730</v>
      </c>
      <c r="E9099" s="131" t="s">
        <v>49</v>
      </c>
      <c r="F9099" s="133" t="s">
        <v>19</v>
      </c>
      <c r="G9099" s="134" t="n">
        <f aca="false">LEN('Saisie programme'!$G$347)+SUMIFS('Vols additionnels'!$E$7:$E$66,'Vols additionnels'!$C$7:$C$66,$E9099,'Vols additionnels'!$D$7:$D$66,$F9099,'Vols additionnels'!$B$7:$B$66,$D9099)</f>
        <v>0</v>
      </c>
      <c r="H9099" s="135" t="n">
        <f aca="false">$G9099*'Analyse capacite'!$F$8</f>
        <v>0</v>
      </c>
      <c r="I9099" s="135" t="n">
        <f aca="false">$G9099*'Analyse capacite'!$C$8</f>
        <v>0</v>
      </c>
      <c r="J9099" s="135" t="n">
        <f aca="false">$G9099*'Analyse capacite'!$D$8</f>
        <v>0</v>
      </c>
      <c r="K9099" s="135" t="n">
        <f aca="false">$G9099*'Analyse capacite'!$E$8</f>
        <v>0</v>
      </c>
    </row>
    <row r="9100" customFormat="false" ht="15" hidden="false" customHeight="false" outlineLevel="0" collapsed="false">
      <c r="B9100" s="130" t="n">
        <v>2027</v>
      </c>
      <c r="C9100" s="131" t="s">
        <v>254</v>
      </c>
      <c r="D9100" s="132" t="n">
        <v>46730</v>
      </c>
      <c r="E9100" s="131" t="s">
        <v>49</v>
      </c>
      <c r="F9100" s="133" t="s">
        <v>24</v>
      </c>
      <c r="G9100" s="134" t="n">
        <f aca="false">LEN('Saisie programme'!$G$348)+SUMIFS('Vols additionnels'!$E$7:$E$66,'Vols additionnels'!$C$7:$C$66,$E9100,'Vols additionnels'!$D$7:$D$66,$F9100,'Vols additionnels'!$B$7:$B$66,$D9100)</f>
        <v>0</v>
      </c>
      <c r="H9100" s="135" t="n">
        <f aca="false">$G9100*'Analyse capacite'!$F$9</f>
        <v>0</v>
      </c>
      <c r="I9100" s="135" t="n">
        <f aca="false">$G9100*'Analyse capacite'!$C$9</f>
        <v>0</v>
      </c>
      <c r="J9100" s="135" t="n">
        <f aca="false">$G9100*'Analyse capacite'!$D$9</f>
        <v>0</v>
      </c>
      <c r="K9100" s="135" t="n">
        <f aca="false">$G9100*'Analyse capacite'!$E$9</f>
        <v>0</v>
      </c>
    </row>
    <row r="9101" customFormat="false" ht="15" hidden="false" customHeight="false" outlineLevel="0" collapsed="false">
      <c r="B9101" s="130" t="n">
        <v>2027</v>
      </c>
      <c r="C9101" s="131" t="s">
        <v>254</v>
      </c>
      <c r="D9101" s="132" t="n">
        <v>46730</v>
      </c>
      <c r="E9101" s="131" t="s">
        <v>53</v>
      </c>
      <c r="F9101" s="133" t="s">
        <v>11</v>
      </c>
      <c r="G9101" s="134" t="n">
        <f aca="false">LEN('Saisie programme'!$G$349)+SUMIFS('Vols additionnels'!$E$7:$E$66,'Vols additionnels'!$C$7:$C$66,$E9101,'Vols additionnels'!$D$7:$D$66,$F9101,'Vols additionnels'!$B$7:$B$66,$D9101)</f>
        <v>0</v>
      </c>
      <c r="H9101" s="135" t="n">
        <f aca="false">$G9101*'Analyse capacite'!$F$7</f>
        <v>0</v>
      </c>
      <c r="I9101" s="135" t="n">
        <f aca="false">$G9101*'Analyse capacite'!$C$7</f>
        <v>0</v>
      </c>
      <c r="J9101" s="135" t="n">
        <f aca="false">$G9101*'Analyse capacite'!$D$7</f>
        <v>0</v>
      </c>
      <c r="K9101" s="135" t="n">
        <f aca="false">$G9101*'Analyse capacite'!$E$7</f>
        <v>0</v>
      </c>
    </row>
    <row r="9102" customFormat="false" ht="15" hidden="false" customHeight="false" outlineLevel="0" collapsed="false">
      <c r="B9102" s="130" t="n">
        <v>2027</v>
      </c>
      <c r="C9102" s="131" t="s">
        <v>254</v>
      </c>
      <c r="D9102" s="132" t="n">
        <v>46730</v>
      </c>
      <c r="E9102" s="131" t="s">
        <v>53</v>
      </c>
      <c r="F9102" s="133" t="s">
        <v>19</v>
      </c>
      <c r="G9102" s="134" t="n">
        <f aca="false">LEN('Saisie programme'!$G$350)+SUMIFS('Vols additionnels'!$E$7:$E$66,'Vols additionnels'!$C$7:$C$66,$E9102,'Vols additionnels'!$D$7:$D$66,$F9102,'Vols additionnels'!$B$7:$B$66,$D9102)</f>
        <v>1</v>
      </c>
      <c r="H9102" s="135" t="n">
        <f aca="false">$G9102*'Analyse capacite'!$F$8</f>
        <v>262</v>
      </c>
      <c r="I9102" s="135" t="n">
        <f aca="false">$G9102*'Analyse capacite'!$C$8</f>
        <v>18</v>
      </c>
      <c r="J9102" s="135" t="n">
        <f aca="false">$G9102*'Analyse capacite'!$D$8</f>
        <v>0</v>
      </c>
      <c r="K9102" s="135" t="n">
        <f aca="false">$G9102*'Analyse capacite'!$E$8</f>
        <v>244</v>
      </c>
    </row>
    <row r="9103" customFormat="false" ht="15" hidden="false" customHeight="false" outlineLevel="0" collapsed="false">
      <c r="B9103" s="130" t="n">
        <v>2027</v>
      </c>
      <c r="C9103" s="131" t="s">
        <v>254</v>
      </c>
      <c r="D9103" s="132" t="n">
        <v>46730</v>
      </c>
      <c r="E9103" s="131" t="s">
        <v>53</v>
      </c>
      <c r="F9103" s="133" t="s">
        <v>24</v>
      </c>
      <c r="G9103" s="134" t="n">
        <f aca="false">LEN('Saisie programme'!$G$351)+SUMIFS('Vols additionnels'!$E$7:$E$66,'Vols additionnels'!$C$7:$C$66,$E9103,'Vols additionnels'!$D$7:$D$66,$F9103,'Vols additionnels'!$B$7:$B$66,$D9103)</f>
        <v>0</v>
      </c>
      <c r="H9103" s="135" t="n">
        <f aca="false">$G9103*'Analyse capacite'!$F$9</f>
        <v>0</v>
      </c>
      <c r="I9103" s="135" t="n">
        <f aca="false">$G9103*'Analyse capacite'!$C$9</f>
        <v>0</v>
      </c>
      <c r="J9103" s="135" t="n">
        <f aca="false">$G9103*'Analyse capacite'!$D$9</f>
        <v>0</v>
      </c>
      <c r="K9103" s="135" t="n">
        <f aca="false">$G9103*'Analyse capacite'!$E$9</f>
        <v>0</v>
      </c>
    </row>
    <row r="9104" customFormat="false" ht="15" hidden="false" customHeight="false" outlineLevel="0" collapsed="false">
      <c r="B9104" s="130" t="n">
        <v>2027</v>
      </c>
      <c r="C9104" s="131" t="s">
        <v>254</v>
      </c>
      <c r="D9104" s="132" t="n">
        <v>46730</v>
      </c>
      <c r="E9104" s="131" t="s">
        <v>56</v>
      </c>
      <c r="F9104" s="133" t="s">
        <v>11</v>
      </c>
      <c r="G9104" s="134" t="n">
        <f aca="false">LEN('Saisie programme'!$G$352)+SUMIFS('Vols additionnels'!$E$7:$E$66,'Vols additionnels'!$C$7:$C$66,$E9104,'Vols additionnels'!$D$7:$D$66,$F9104,'Vols additionnels'!$B$7:$B$66,$D9104)</f>
        <v>0</v>
      </c>
      <c r="H9104" s="135" t="n">
        <f aca="false">$G9104*'Analyse capacite'!$F$7</f>
        <v>0</v>
      </c>
      <c r="I9104" s="135" t="n">
        <f aca="false">$G9104*'Analyse capacite'!$C$7</f>
        <v>0</v>
      </c>
      <c r="J9104" s="135" t="n">
        <f aca="false">$G9104*'Analyse capacite'!$D$7</f>
        <v>0</v>
      </c>
      <c r="K9104" s="135" t="n">
        <f aca="false">$G9104*'Analyse capacite'!$E$7</f>
        <v>0</v>
      </c>
    </row>
    <row r="9105" customFormat="false" ht="15" hidden="false" customHeight="false" outlineLevel="0" collapsed="false">
      <c r="B9105" s="130" t="n">
        <v>2027</v>
      </c>
      <c r="C9105" s="131" t="s">
        <v>254</v>
      </c>
      <c r="D9105" s="132" t="n">
        <v>46730</v>
      </c>
      <c r="E9105" s="131" t="s">
        <v>56</v>
      </c>
      <c r="F9105" s="133" t="s">
        <v>19</v>
      </c>
      <c r="G9105" s="134" t="n">
        <f aca="false">LEN('Saisie programme'!$G$353)+SUMIFS('Vols additionnels'!$E$7:$E$66,'Vols additionnels'!$C$7:$C$66,$E9105,'Vols additionnels'!$D$7:$D$66,$F9105,'Vols additionnels'!$B$7:$B$66,$D9105)</f>
        <v>0</v>
      </c>
      <c r="H9105" s="135" t="n">
        <f aca="false">$G9105*'Analyse capacite'!$F$8</f>
        <v>0</v>
      </c>
      <c r="I9105" s="135" t="n">
        <f aca="false">$G9105*'Analyse capacite'!$C$8</f>
        <v>0</v>
      </c>
      <c r="J9105" s="135" t="n">
        <f aca="false">$G9105*'Analyse capacite'!$D$8</f>
        <v>0</v>
      </c>
      <c r="K9105" s="135" t="n">
        <f aca="false">$G9105*'Analyse capacite'!$E$8</f>
        <v>0</v>
      </c>
    </row>
    <row r="9106" customFormat="false" ht="15" hidden="false" customHeight="false" outlineLevel="0" collapsed="false">
      <c r="B9106" s="130" t="n">
        <v>2027</v>
      </c>
      <c r="C9106" s="131" t="s">
        <v>254</v>
      </c>
      <c r="D9106" s="132" t="n">
        <v>46730</v>
      </c>
      <c r="E9106" s="131" t="s">
        <v>56</v>
      </c>
      <c r="F9106" s="133" t="s">
        <v>24</v>
      </c>
      <c r="G9106" s="134" t="n">
        <f aca="false">LEN('Saisie programme'!$G$354)+SUMIFS('Vols additionnels'!$E$7:$E$66,'Vols additionnels'!$C$7:$C$66,$E9106,'Vols additionnels'!$D$7:$D$66,$F9106,'Vols additionnels'!$B$7:$B$66,$D9106)</f>
        <v>0</v>
      </c>
      <c r="H9106" s="135" t="n">
        <f aca="false">$G9106*'Analyse capacite'!$F$9</f>
        <v>0</v>
      </c>
      <c r="I9106" s="135" t="n">
        <f aca="false">$G9106*'Analyse capacite'!$C$9</f>
        <v>0</v>
      </c>
      <c r="J9106" s="135" t="n">
        <f aca="false">$G9106*'Analyse capacite'!$D$9</f>
        <v>0</v>
      </c>
      <c r="K9106" s="135" t="n">
        <f aca="false">$G9106*'Analyse capacite'!$E$9</f>
        <v>0</v>
      </c>
    </row>
    <row r="9107" customFormat="false" ht="15" hidden="false" customHeight="false" outlineLevel="0" collapsed="false">
      <c r="B9107" s="130" t="n">
        <v>2027</v>
      </c>
      <c r="C9107" s="131" t="s">
        <v>254</v>
      </c>
      <c r="D9107" s="132" t="n">
        <v>46730</v>
      </c>
      <c r="E9107" s="131" t="s">
        <v>59</v>
      </c>
      <c r="F9107" s="133" t="s">
        <v>11</v>
      </c>
      <c r="G9107" s="134" t="n">
        <f aca="false">LEN('Saisie programme'!$G$355)+SUMIFS('Vols additionnels'!$E$7:$E$66,'Vols additionnels'!$C$7:$C$66,$E9107,'Vols additionnels'!$D$7:$D$66,$F9107,'Vols additionnels'!$B$7:$B$66,$D9107)</f>
        <v>0</v>
      </c>
      <c r="H9107" s="135" t="n">
        <f aca="false">$G9107*'Analyse capacite'!$F$7</f>
        <v>0</v>
      </c>
      <c r="I9107" s="135" t="n">
        <f aca="false">$G9107*'Analyse capacite'!$C$7</f>
        <v>0</v>
      </c>
      <c r="J9107" s="135" t="n">
        <f aca="false">$G9107*'Analyse capacite'!$D$7</f>
        <v>0</v>
      </c>
      <c r="K9107" s="135" t="n">
        <f aca="false">$G9107*'Analyse capacite'!$E$7</f>
        <v>0</v>
      </c>
    </row>
    <row r="9108" customFormat="false" ht="15" hidden="false" customHeight="false" outlineLevel="0" collapsed="false">
      <c r="B9108" s="130" t="n">
        <v>2027</v>
      </c>
      <c r="C9108" s="131" t="s">
        <v>254</v>
      </c>
      <c r="D9108" s="132" t="n">
        <v>46730</v>
      </c>
      <c r="E9108" s="131" t="s">
        <v>59</v>
      </c>
      <c r="F9108" s="133" t="s">
        <v>19</v>
      </c>
      <c r="G9108" s="134" t="n">
        <f aca="false">LEN('Saisie programme'!$G$356)+SUMIFS('Vols additionnels'!$E$7:$E$66,'Vols additionnels'!$C$7:$C$66,$E9108,'Vols additionnels'!$D$7:$D$66,$F9108,'Vols additionnels'!$B$7:$B$66,$D9108)</f>
        <v>0</v>
      </c>
      <c r="H9108" s="135" t="n">
        <f aca="false">$G9108*'Analyse capacite'!$F$8</f>
        <v>0</v>
      </c>
      <c r="I9108" s="135" t="n">
        <f aca="false">$G9108*'Analyse capacite'!$C$8</f>
        <v>0</v>
      </c>
      <c r="J9108" s="135" t="n">
        <f aca="false">$G9108*'Analyse capacite'!$D$8</f>
        <v>0</v>
      </c>
      <c r="K9108" s="135" t="n">
        <f aca="false">$G9108*'Analyse capacite'!$E$8</f>
        <v>0</v>
      </c>
    </row>
    <row r="9109" customFormat="false" ht="15" hidden="false" customHeight="false" outlineLevel="0" collapsed="false">
      <c r="B9109" s="130" t="n">
        <v>2027</v>
      </c>
      <c r="C9109" s="131" t="s">
        <v>254</v>
      </c>
      <c r="D9109" s="132" t="n">
        <v>46730</v>
      </c>
      <c r="E9109" s="131" t="s">
        <v>59</v>
      </c>
      <c r="F9109" s="133" t="s">
        <v>24</v>
      </c>
      <c r="G9109" s="134" t="n">
        <f aca="false">LEN('Saisie programme'!$G$357)+SUMIFS('Vols additionnels'!$E$7:$E$66,'Vols additionnels'!$C$7:$C$66,$E9109,'Vols additionnels'!$D$7:$D$66,$F9109,'Vols additionnels'!$B$7:$B$66,$D9109)</f>
        <v>2</v>
      </c>
      <c r="H9109" s="135" t="n">
        <f aca="false">$G9109*'Analyse capacite'!$F$9</f>
        <v>348</v>
      </c>
      <c r="I9109" s="135" t="n">
        <f aca="false">$G9109*'Analyse capacite'!$C$9</f>
        <v>0</v>
      </c>
      <c r="J9109" s="135" t="n">
        <f aca="false">$G9109*'Analyse capacite'!$D$9</f>
        <v>24</v>
      </c>
      <c r="K9109" s="135" t="n">
        <f aca="false">$G9109*'Analyse capacite'!$E$9</f>
        <v>324</v>
      </c>
    </row>
    <row r="9110" customFormat="false" ht="15" hidden="false" customHeight="false" outlineLevel="0" collapsed="false">
      <c r="B9110" s="130" t="n">
        <v>2027</v>
      </c>
      <c r="C9110" s="131" t="s">
        <v>254</v>
      </c>
      <c r="D9110" s="132" t="n">
        <v>46730</v>
      </c>
      <c r="E9110" s="131" t="s">
        <v>62</v>
      </c>
      <c r="F9110" s="133" t="s">
        <v>11</v>
      </c>
      <c r="G9110" s="134" t="n">
        <f aca="false">LEN('Saisie programme'!$G$358)+SUMIFS('Vols additionnels'!$E$7:$E$66,'Vols additionnels'!$C$7:$C$66,$E9110,'Vols additionnels'!$D$7:$D$66,$F9110,'Vols additionnels'!$B$7:$B$66,$D9110)</f>
        <v>0</v>
      </c>
      <c r="H9110" s="135" t="n">
        <f aca="false">$G9110*'Analyse capacite'!$F$7</f>
        <v>0</v>
      </c>
      <c r="I9110" s="135" t="n">
        <f aca="false">$G9110*'Analyse capacite'!$C$7</f>
        <v>0</v>
      </c>
      <c r="J9110" s="135" t="n">
        <f aca="false">$G9110*'Analyse capacite'!$D$7</f>
        <v>0</v>
      </c>
      <c r="K9110" s="135" t="n">
        <f aca="false">$G9110*'Analyse capacite'!$E$7</f>
        <v>0</v>
      </c>
    </row>
    <row r="9111" customFormat="false" ht="15" hidden="false" customHeight="false" outlineLevel="0" collapsed="false">
      <c r="B9111" s="130" t="n">
        <v>2027</v>
      </c>
      <c r="C9111" s="131" t="s">
        <v>254</v>
      </c>
      <c r="D9111" s="132" t="n">
        <v>46730</v>
      </c>
      <c r="E9111" s="131" t="s">
        <v>62</v>
      </c>
      <c r="F9111" s="133" t="s">
        <v>19</v>
      </c>
      <c r="G9111" s="134" t="n">
        <f aca="false">LEN('Saisie programme'!$G$359)+SUMIFS('Vols additionnels'!$E$7:$E$66,'Vols additionnels'!$C$7:$C$66,$E9111,'Vols additionnels'!$D$7:$D$66,$F9111,'Vols additionnels'!$B$7:$B$66,$D9111)</f>
        <v>0</v>
      </c>
      <c r="H9111" s="135" t="n">
        <f aca="false">$G9111*'Analyse capacite'!$F$8</f>
        <v>0</v>
      </c>
      <c r="I9111" s="135" t="n">
        <f aca="false">$G9111*'Analyse capacite'!$C$8</f>
        <v>0</v>
      </c>
      <c r="J9111" s="135" t="n">
        <f aca="false">$G9111*'Analyse capacite'!$D$8</f>
        <v>0</v>
      </c>
      <c r="K9111" s="135" t="n">
        <f aca="false">$G9111*'Analyse capacite'!$E$8</f>
        <v>0</v>
      </c>
    </row>
    <row r="9112" customFormat="false" ht="15" hidden="false" customHeight="false" outlineLevel="0" collapsed="false">
      <c r="B9112" s="130" t="n">
        <v>2027</v>
      </c>
      <c r="C9112" s="131" t="s">
        <v>254</v>
      </c>
      <c r="D9112" s="132" t="n">
        <v>46730</v>
      </c>
      <c r="E9112" s="131" t="s">
        <v>62</v>
      </c>
      <c r="F9112" s="133" t="s">
        <v>24</v>
      </c>
      <c r="G9112" s="134" t="n">
        <f aca="false">LEN('Saisie programme'!$G$360)+SUMIFS('Vols additionnels'!$E$7:$E$66,'Vols additionnels'!$C$7:$C$66,$E9112,'Vols additionnels'!$D$7:$D$66,$F9112,'Vols additionnels'!$B$7:$B$66,$D9112)</f>
        <v>0</v>
      </c>
      <c r="H9112" s="135" t="n">
        <f aca="false">$G9112*'Analyse capacite'!$F$9</f>
        <v>0</v>
      </c>
      <c r="I9112" s="135" t="n">
        <f aca="false">$G9112*'Analyse capacite'!$C$9</f>
        <v>0</v>
      </c>
      <c r="J9112" s="135" t="n">
        <f aca="false">$G9112*'Analyse capacite'!$D$9</f>
        <v>0</v>
      </c>
      <c r="K9112" s="135" t="n">
        <f aca="false">$G9112*'Analyse capacite'!$E$9</f>
        <v>0</v>
      </c>
    </row>
    <row r="9113" customFormat="false" ht="15" hidden="false" customHeight="false" outlineLevel="0" collapsed="false">
      <c r="B9113" s="130" t="n">
        <v>2027</v>
      </c>
      <c r="C9113" s="131" t="s">
        <v>254</v>
      </c>
      <c r="D9113" s="132" t="n">
        <v>46731</v>
      </c>
      <c r="E9113" s="131" t="s">
        <v>12</v>
      </c>
      <c r="F9113" s="133" t="s">
        <v>11</v>
      </c>
      <c r="G9113" s="134" t="n">
        <f aca="false">LEN('Saisie programme'!$H$325)+SUMIFS('Vols additionnels'!$E$7:$E$66,'Vols additionnels'!$C$7:$C$66,$E9113,'Vols additionnels'!$D$7:$D$66,$F9113,'Vols additionnels'!$B$7:$B$66,$D9113)</f>
        <v>1</v>
      </c>
      <c r="H9113" s="135" t="n">
        <f aca="false">$G9113*'Analyse capacite'!$F$7</f>
        <v>438</v>
      </c>
      <c r="I9113" s="135" t="n">
        <f aca="false">$G9113*'Analyse capacite'!$C$7</f>
        <v>14</v>
      </c>
      <c r="J9113" s="135" t="n">
        <f aca="false">$G9113*'Analyse capacite'!$D$7</f>
        <v>40</v>
      </c>
      <c r="K9113" s="135" t="n">
        <f aca="false">$G9113*'Analyse capacite'!$E$7</f>
        <v>384</v>
      </c>
    </row>
    <row r="9114" customFormat="false" ht="15" hidden="false" customHeight="false" outlineLevel="0" collapsed="false">
      <c r="B9114" s="130" t="n">
        <v>2027</v>
      </c>
      <c r="C9114" s="131" t="s">
        <v>254</v>
      </c>
      <c r="D9114" s="132" t="n">
        <v>46731</v>
      </c>
      <c r="E9114" s="131" t="s">
        <v>12</v>
      </c>
      <c r="F9114" s="133" t="s">
        <v>19</v>
      </c>
      <c r="G9114" s="134" t="n">
        <f aca="false">LEN('Saisie programme'!$H$326)+SUMIFS('Vols additionnels'!$E$7:$E$66,'Vols additionnels'!$C$7:$C$66,$E9114,'Vols additionnels'!$D$7:$D$66,$F9114,'Vols additionnels'!$B$7:$B$66,$D9114)</f>
        <v>1</v>
      </c>
      <c r="H9114" s="135" t="n">
        <f aca="false">$G9114*'Analyse capacite'!$F$8</f>
        <v>262</v>
      </c>
      <c r="I9114" s="135" t="n">
        <f aca="false">$G9114*'Analyse capacite'!$C$8</f>
        <v>18</v>
      </c>
      <c r="J9114" s="135" t="n">
        <f aca="false">$G9114*'Analyse capacite'!$D$8</f>
        <v>0</v>
      </c>
      <c r="K9114" s="135" t="n">
        <f aca="false">$G9114*'Analyse capacite'!$E$8</f>
        <v>244</v>
      </c>
    </row>
    <row r="9115" customFormat="false" ht="15" hidden="false" customHeight="false" outlineLevel="0" collapsed="false">
      <c r="B9115" s="130" t="n">
        <v>2027</v>
      </c>
      <c r="C9115" s="131" t="s">
        <v>254</v>
      </c>
      <c r="D9115" s="132" t="n">
        <v>46731</v>
      </c>
      <c r="E9115" s="131" t="s">
        <v>12</v>
      </c>
      <c r="F9115" s="133" t="s">
        <v>24</v>
      </c>
      <c r="G9115" s="134" t="n">
        <f aca="false">LEN('Saisie programme'!$H$327)+SUMIFS('Vols additionnels'!$E$7:$E$66,'Vols additionnels'!$C$7:$C$66,$E9115,'Vols additionnels'!$D$7:$D$66,$F9115,'Vols additionnels'!$B$7:$B$66,$D9115)</f>
        <v>0</v>
      </c>
      <c r="H9115" s="135" t="n">
        <f aca="false">$G9115*'Analyse capacite'!$F$9</f>
        <v>0</v>
      </c>
      <c r="I9115" s="135" t="n">
        <f aca="false">$G9115*'Analyse capacite'!$C$9</f>
        <v>0</v>
      </c>
      <c r="J9115" s="135" t="n">
        <f aca="false">$G9115*'Analyse capacite'!$D$9</f>
        <v>0</v>
      </c>
      <c r="K9115" s="135" t="n">
        <f aca="false">$G9115*'Analyse capacite'!$E$9</f>
        <v>0</v>
      </c>
    </row>
    <row r="9116" customFormat="false" ht="15" hidden="false" customHeight="false" outlineLevel="0" collapsed="false">
      <c r="B9116" s="130" t="n">
        <v>2027</v>
      </c>
      <c r="C9116" s="131" t="s">
        <v>254</v>
      </c>
      <c r="D9116" s="132" t="n">
        <v>46731</v>
      </c>
      <c r="E9116" s="131" t="s">
        <v>20</v>
      </c>
      <c r="F9116" s="133" t="s">
        <v>11</v>
      </c>
      <c r="G9116" s="134" t="n">
        <f aca="false">LEN('Saisie programme'!$H$328)+SUMIFS('Vols additionnels'!$E$7:$E$66,'Vols additionnels'!$C$7:$C$66,$E9116,'Vols additionnels'!$D$7:$D$66,$F9116,'Vols additionnels'!$B$7:$B$66,$D9116)</f>
        <v>0</v>
      </c>
      <c r="H9116" s="135" t="n">
        <f aca="false">$G9116*'Analyse capacite'!$F$7</f>
        <v>0</v>
      </c>
      <c r="I9116" s="135" t="n">
        <f aca="false">$G9116*'Analyse capacite'!$C$7</f>
        <v>0</v>
      </c>
      <c r="J9116" s="135" t="n">
        <f aca="false">$G9116*'Analyse capacite'!$D$7</f>
        <v>0</v>
      </c>
      <c r="K9116" s="135" t="n">
        <f aca="false">$G9116*'Analyse capacite'!$E$7</f>
        <v>0</v>
      </c>
    </row>
    <row r="9117" customFormat="false" ht="15" hidden="false" customHeight="false" outlineLevel="0" collapsed="false">
      <c r="B9117" s="130" t="n">
        <v>2027</v>
      </c>
      <c r="C9117" s="131" t="s">
        <v>254</v>
      </c>
      <c r="D9117" s="132" t="n">
        <v>46731</v>
      </c>
      <c r="E9117" s="131" t="s">
        <v>20</v>
      </c>
      <c r="F9117" s="133" t="s">
        <v>19</v>
      </c>
      <c r="G9117" s="134" t="n">
        <f aca="false">LEN('Saisie programme'!$H$329)+SUMIFS('Vols additionnels'!$E$7:$E$66,'Vols additionnels'!$C$7:$C$66,$E9117,'Vols additionnels'!$D$7:$D$66,$F9117,'Vols additionnels'!$B$7:$B$66,$D9117)</f>
        <v>1</v>
      </c>
      <c r="H9117" s="135" t="n">
        <f aca="false">$G9117*'Analyse capacite'!$F$8</f>
        <v>262</v>
      </c>
      <c r="I9117" s="135" t="n">
        <f aca="false">$G9117*'Analyse capacite'!$C$8</f>
        <v>18</v>
      </c>
      <c r="J9117" s="135" t="n">
        <f aca="false">$G9117*'Analyse capacite'!$D$8</f>
        <v>0</v>
      </c>
      <c r="K9117" s="135" t="n">
        <f aca="false">$G9117*'Analyse capacite'!$E$8</f>
        <v>244</v>
      </c>
    </row>
    <row r="9118" customFormat="false" ht="15" hidden="false" customHeight="false" outlineLevel="0" collapsed="false">
      <c r="B9118" s="130" t="n">
        <v>2027</v>
      </c>
      <c r="C9118" s="131" t="s">
        <v>254</v>
      </c>
      <c r="D9118" s="132" t="n">
        <v>46731</v>
      </c>
      <c r="E9118" s="131" t="s">
        <v>20</v>
      </c>
      <c r="F9118" s="133" t="s">
        <v>24</v>
      </c>
      <c r="G9118" s="134" t="n">
        <f aca="false">LEN('Saisie programme'!$H$330)+SUMIFS('Vols additionnels'!$E$7:$E$66,'Vols additionnels'!$C$7:$C$66,$E9118,'Vols additionnels'!$D$7:$D$66,$F9118,'Vols additionnels'!$B$7:$B$66,$D9118)</f>
        <v>0</v>
      </c>
      <c r="H9118" s="135" t="n">
        <f aca="false">$G9118*'Analyse capacite'!$F$9</f>
        <v>0</v>
      </c>
      <c r="I9118" s="135" t="n">
        <f aca="false">$G9118*'Analyse capacite'!$C$9</f>
        <v>0</v>
      </c>
      <c r="J9118" s="135" t="n">
        <f aca="false">$G9118*'Analyse capacite'!$D$9</f>
        <v>0</v>
      </c>
      <c r="K9118" s="135" t="n">
        <f aca="false">$G9118*'Analyse capacite'!$E$9</f>
        <v>0</v>
      </c>
    </row>
    <row r="9119" customFormat="false" ht="15" hidden="false" customHeight="false" outlineLevel="0" collapsed="false">
      <c r="B9119" s="130" t="n">
        <v>2027</v>
      </c>
      <c r="C9119" s="131" t="s">
        <v>254</v>
      </c>
      <c r="D9119" s="132" t="n">
        <v>46731</v>
      </c>
      <c r="E9119" s="131" t="s">
        <v>25</v>
      </c>
      <c r="F9119" s="133" t="s">
        <v>11</v>
      </c>
      <c r="G9119" s="134" t="n">
        <f aca="false">LEN('Saisie programme'!$H$331)+SUMIFS('Vols additionnels'!$E$7:$E$66,'Vols additionnels'!$C$7:$C$66,$E9119,'Vols additionnels'!$D$7:$D$66,$F9119,'Vols additionnels'!$B$7:$B$66,$D9119)</f>
        <v>0</v>
      </c>
      <c r="H9119" s="135" t="n">
        <f aca="false">$G9119*'Analyse capacite'!$F$7</f>
        <v>0</v>
      </c>
      <c r="I9119" s="135" t="n">
        <f aca="false">$G9119*'Analyse capacite'!$C$7</f>
        <v>0</v>
      </c>
      <c r="J9119" s="135" t="n">
        <f aca="false">$G9119*'Analyse capacite'!$D$7</f>
        <v>0</v>
      </c>
      <c r="K9119" s="135" t="n">
        <f aca="false">$G9119*'Analyse capacite'!$E$7</f>
        <v>0</v>
      </c>
    </row>
    <row r="9120" customFormat="false" ht="15" hidden="false" customHeight="false" outlineLevel="0" collapsed="false">
      <c r="B9120" s="130" t="n">
        <v>2027</v>
      </c>
      <c r="C9120" s="131" t="s">
        <v>254</v>
      </c>
      <c r="D9120" s="132" t="n">
        <v>46731</v>
      </c>
      <c r="E9120" s="131" t="s">
        <v>25</v>
      </c>
      <c r="F9120" s="133" t="s">
        <v>19</v>
      </c>
      <c r="G9120" s="134" t="n">
        <f aca="false">LEN('Saisie programme'!$H$332)+SUMIFS('Vols additionnels'!$E$7:$E$66,'Vols additionnels'!$C$7:$C$66,$E9120,'Vols additionnels'!$D$7:$D$66,$F9120,'Vols additionnels'!$B$7:$B$66,$D9120)</f>
        <v>0</v>
      </c>
      <c r="H9120" s="135" t="n">
        <f aca="false">$G9120*'Analyse capacite'!$F$8</f>
        <v>0</v>
      </c>
      <c r="I9120" s="135" t="n">
        <f aca="false">$G9120*'Analyse capacite'!$C$8</f>
        <v>0</v>
      </c>
      <c r="J9120" s="135" t="n">
        <f aca="false">$G9120*'Analyse capacite'!$D$8</f>
        <v>0</v>
      </c>
      <c r="K9120" s="135" t="n">
        <f aca="false">$G9120*'Analyse capacite'!$E$8</f>
        <v>0</v>
      </c>
    </row>
    <row r="9121" customFormat="false" ht="15" hidden="false" customHeight="false" outlineLevel="0" collapsed="false">
      <c r="B9121" s="130" t="n">
        <v>2027</v>
      </c>
      <c r="C9121" s="131" t="s">
        <v>254</v>
      </c>
      <c r="D9121" s="132" t="n">
        <v>46731</v>
      </c>
      <c r="E9121" s="131" t="s">
        <v>25</v>
      </c>
      <c r="F9121" s="133" t="s">
        <v>24</v>
      </c>
      <c r="G9121" s="134" t="n">
        <f aca="false">LEN('Saisie programme'!$H$333)+SUMIFS('Vols additionnels'!$E$7:$E$66,'Vols additionnels'!$C$7:$C$66,$E9121,'Vols additionnels'!$D$7:$D$66,$F9121,'Vols additionnels'!$B$7:$B$66,$D9121)</f>
        <v>0</v>
      </c>
      <c r="H9121" s="135" t="n">
        <f aca="false">$G9121*'Analyse capacite'!$F$9</f>
        <v>0</v>
      </c>
      <c r="I9121" s="135" t="n">
        <f aca="false">$G9121*'Analyse capacite'!$C$9</f>
        <v>0</v>
      </c>
      <c r="J9121" s="135" t="n">
        <f aca="false">$G9121*'Analyse capacite'!$D$9</f>
        <v>0</v>
      </c>
      <c r="K9121" s="135" t="n">
        <f aca="false">$G9121*'Analyse capacite'!$E$9</f>
        <v>0</v>
      </c>
    </row>
    <row r="9122" customFormat="false" ht="15" hidden="false" customHeight="false" outlineLevel="0" collapsed="false">
      <c r="B9122" s="130" t="n">
        <v>2027</v>
      </c>
      <c r="C9122" s="131" t="s">
        <v>254</v>
      </c>
      <c r="D9122" s="132" t="n">
        <v>46731</v>
      </c>
      <c r="E9122" s="131" t="s">
        <v>36</v>
      </c>
      <c r="F9122" s="133" t="s">
        <v>11</v>
      </c>
      <c r="G9122" s="134" t="n">
        <f aca="false">LEN('Saisie programme'!$H$334)+SUMIFS('Vols additionnels'!$E$7:$E$66,'Vols additionnels'!$C$7:$C$66,$E9122,'Vols additionnels'!$D$7:$D$66,$F9122,'Vols additionnels'!$B$7:$B$66,$D9122)</f>
        <v>0</v>
      </c>
      <c r="H9122" s="135" t="n">
        <f aca="false">$G9122*'Analyse capacite'!$F$7</f>
        <v>0</v>
      </c>
      <c r="I9122" s="135" t="n">
        <f aca="false">$G9122*'Analyse capacite'!$C$7</f>
        <v>0</v>
      </c>
      <c r="J9122" s="135" t="n">
        <f aca="false">$G9122*'Analyse capacite'!$D$7</f>
        <v>0</v>
      </c>
      <c r="K9122" s="135" t="n">
        <f aca="false">$G9122*'Analyse capacite'!$E$7</f>
        <v>0</v>
      </c>
    </row>
    <row r="9123" customFormat="false" ht="15" hidden="false" customHeight="false" outlineLevel="0" collapsed="false">
      <c r="B9123" s="130" t="n">
        <v>2027</v>
      </c>
      <c r="C9123" s="131" t="s">
        <v>254</v>
      </c>
      <c r="D9123" s="132" t="n">
        <v>46731</v>
      </c>
      <c r="E9123" s="131" t="s">
        <v>36</v>
      </c>
      <c r="F9123" s="133" t="s">
        <v>19</v>
      </c>
      <c r="G9123" s="134" t="n">
        <f aca="false">LEN('Saisie programme'!$H$335)+SUMIFS('Vols additionnels'!$E$7:$E$66,'Vols additionnels'!$C$7:$C$66,$E9123,'Vols additionnels'!$D$7:$D$66,$F9123,'Vols additionnels'!$B$7:$B$66,$D9123)</f>
        <v>0</v>
      </c>
      <c r="H9123" s="135" t="n">
        <f aca="false">$G9123*'Analyse capacite'!$F$8</f>
        <v>0</v>
      </c>
      <c r="I9123" s="135" t="n">
        <f aca="false">$G9123*'Analyse capacite'!$C$8</f>
        <v>0</v>
      </c>
      <c r="J9123" s="135" t="n">
        <f aca="false">$G9123*'Analyse capacite'!$D$8</f>
        <v>0</v>
      </c>
      <c r="K9123" s="135" t="n">
        <f aca="false">$G9123*'Analyse capacite'!$E$8</f>
        <v>0</v>
      </c>
    </row>
    <row r="9124" customFormat="false" ht="15" hidden="false" customHeight="false" outlineLevel="0" collapsed="false">
      <c r="B9124" s="130" t="n">
        <v>2027</v>
      </c>
      <c r="C9124" s="131" t="s">
        <v>254</v>
      </c>
      <c r="D9124" s="132" t="n">
        <v>46731</v>
      </c>
      <c r="E9124" s="131" t="s">
        <v>36</v>
      </c>
      <c r="F9124" s="133" t="s">
        <v>24</v>
      </c>
      <c r="G9124" s="134" t="n">
        <f aca="false">LEN('Saisie programme'!$H$336)+SUMIFS('Vols additionnels'!$E$7:$E$66,'Vols additionnels'!$C$7:$C$66,$E9124,'Vols additionnels'!$D$7:$D$66,$F9124,'Vols additionnels'!$B$7:$B$66,$D9124)</f>
        <v>1</v>
      </c>
      <c r="H9124" s="135" t="n">
        <f aca="false">$G9124*'Analyse capacite'!$F$9</f>
        <v>174</v>
      </c>
      <c r="I9124" s="135" t="n">
        <f aca="false">$G9124*'Analyse capacite'!$C$9</f>
        <v>0</v>
      </c>
      <c r="J9124" s="135" t="n">
        <f aca="false">$G9124*'Analyse capacite'!$D$9</f>
        <v>12</v>
      </c>
      <c r="K9124" s="135" t="n">
        <f aca="false">$G9124*'Analyse capacite'!$E$9</f>
        <v>162</v>
      </c>
    </row>
    <row r="9125" customFormat="false" ht="15" hidden="false" customHeight="false" outlineLevel="0" collapsed="false">
      <c r="B9125" s="130" t="n">
        <v>2027</v>
      </c>
      <c r="C9125" s="131" t="s">
        <v>254</v>
      </c>
      <c r="D9125" s="132" t="n">
        <v>46731</v>
      </c>
      <c r="E9125" s="131" t="s">
        <v>40</v>
      </c>
      <c r="F9125" s="133" t="s">
        <v>11</v>
      </c>
      <c r="G9125" s="134" t="n">
        <f aca="false">LEN('Saisie programme'!$H$337)+SUMIFS('Vols additionnels'!$E$7:$E$66,'Vols additionnels'!$C$7:$C$66,$E9125,'Vols additionnels'!$D$7:$D$66,$F9125,'Vols additionnels'!$B$7:$B$66,$D9125)</f>
        <v>0</v>
      </c>
      <c r="H9125" s="135" t="n">
        <f aca="false">$G9125*'Analyse capacite'!$F$7</f>
        <v>0</v>
      </c>
      <c r="I9125" s="135" t="n">
        <f aca="false">$G9125*'Analyse capacite'!$C$7</f>
        <v>0</v>
      </c>
      <c r="J9125" s="135" t="n">
        <f aca="false">$G9125*'Analyse capacite'!$D$7</f>
        <v>0</v>
      </c>
      <c r="K9125" s="135" t="n">
        <f aca="false">$G9125*'Analyse capacite'!$E$7</f>
        <v>0</v>
      </c>
    </row>
    <row r="9126" customFormat="false" ht="15" hidden="false" customHeight="false" outlineLevel="0" collapsed="false">
      <c r="B9126" s="130" t="n">
        <v>2027</v>
      </c>
      <c r="C9126" s="131" t="s">
        <v>254</v>
      </c>
      <c r="D9126" s="132" t="n">
        <v>46731</v>
      </c>
      <c r="E9126" s="131" t="s">
        <v>40</v>
      </c>
      <c r="F9126" s="133" t="s">
        <v>19</v>
      </c>
      <c r="G9126" s="134" t="n">
        <f aca="false">LEN('Saisie programme'!$H$338)+SUMIFS('Vols additionnels'!$E$7:$E$66,'Vols additionnels'!$C$7:$C$66,$E9126,'Vols additionnels'!$D$7:$D$66,$F9126,'Vols additionnels'!$B$7:$B$66,$D9126)</f>
        <v>0</v>
      </c>
      <c r="H9126" s="135" t="n">
        <f aca="false">$G9126*'Analyse capacite'!$F$8</f>
        <v>0</v>
      </c>
      <c r="I9126" s="135" t="n">
        <f aca="false">$G9126*'Analyse capacite'!$C$8</f>
        <v>0</v>
      </c>
      <c r="J9126" s="135" t="n">
        <f aca="false">$G9126*'Analyse capacite'!$D$8</f>
        <v>0</v>
      </c>
      <c r="K9126" s="135" t="n">
        <f aca="false">$G9126*'Analyse capacite'!$E$8</f>
        <v>0</v>
      </c>
    </row>
    <row r="9127" customFormat="false" ht="15" hidden="false" customHeight="false" outlineLevel="0" collapsed="false">
      <c r="B9127" s="130" t="n">
        <v>2027</v>
      </c>
      <c r="C9127" s="131" t="s">
        <v>254</v>
      </c>
      <c r="D9127" s="132" t="n">
        <v>46731</v>
      </c>
      <c r="E9127" s="131" t="s">
        <v>40</v>
      </c>
      <c r="F9127" s="133" t="s">
        <v>24</v>
      </c>
      <c r="G9127" s="134" t="n">
        <f aca="false">LEN('Saisie programme'!$H$339)+SUMIFS('Vols additionnels'!$E$7:$E$66,'Vols additionnels'!$C$7:$C$66,$E9127,'Vols additionnels'!$D$7:$D$66,$F9127,'Vols additionnels'!$B$7:$B$66,$D9127)</f>
        <v>1</v>
      </c>
      <c r="H9127" s="135" t="n">
        <f aca="false">$G9127*'Analyse capacite'!$F$9</f>
        <v>174</v>
      </c>
      <c r="I9127" s="135" t="n">
        <f aca="false">$G9127*'Analyse capacite'!$C$9</f>
        <v>0</v>
      </c>
      <c r="J9127" s="135" t="n">
        <f aca="false">$G9127*'Analyse capacite'!$D$9</f>
        <v>12</v>
      </c>
      <c r="K9127" s="135" t="n">
        <f aca="false">$G9127*'Analyse capacite'!$E$9</f>
        <v>162</v>
      </c>
    </row>
    <row r="9128" customFormat="false" ht="15" hidden="false" customHeight="false" outlineLevel="0" collapsed="false">
      <c r="B9128" s="130" t="n">
        <v>2027</v>
      </c>
      <c r="C9128" s="131" t="s">
        <v>254</v>
      </c>
      <c r="D9128" s="132" t="n">
        <v>46731</v>
      </c>
      <c r="E9128" s="131" t="s">
        <v>14</v>
      </c>
      <c r="F9128" s="133" t="s">
        <v>11</v>
      </c>
      <c r="G9128" s="134" t="n">
        <f aca="false">LEN('Saisie programme'!$H$340)+SUMIFS('Vols additionnels'!$E$7:$E$66,'Vols additionnels'!$C$7:$C$66,$E9128,'Vols additionnels'!$D$7:$D$66,$F9128,'Vols additionnels'!$B$7:$B$66,$D9128)</f>
        <v>0</v>
      </c>
      <c r="H9128" s="135" t="n">
        <f aca="false">$G9128*'Analyse capacite'!$F$7</f>
        <v>0</v>
      </c>
      <c r="I9128" s="135" t="n">
        <f aca="false">$G9128*'Analyse capacite'!$C$7</f>
        <v>0</v>
      </c>
      <c r="J9128" s="135" t="n">
        <f aca="false">$G9128*'Analyse capacite'!$D$7</f>
        <v>0</v>
      </c>
      <c r="K9128" s="135" t="n">
        <f aca="false">$G9128*'Analyse capacite'!$E$7</f>
        <v>0</v>
      </c>
    </row>
    <row r="9129" customFormat="false" ht="15" hidden="false" customHeight="false" outlineLevel="0" collapsed="false">
      <c r="B9129" s="130" t="n">
        <v>2027</v>
      </c>
      <c r="C9129" s="131" t="s">
        <v>254</v>
      </c>
      <c r="D9129" s="132" t="n">
        <v>46731</v>
      </c>
      <c r="E9129" s="131" t="s">
        <v>14</v>
      </c>
      <c r="F9129" s="133" t="s">
        <v>19</v>
      </c>
      <c r="G9129" s="134" t="n">
        <f aca="false">LEN('Saisie programme'!$H$341)+SUMIFS('Vols additionnels'!$E$7:$E$66,'Vols additionnels'!$C$7:$C$66,$E9129,'Vols additionnels'!$D$7:$D$66,$F9129,'Vols additionnels'!$B$7:$B$66,$D9129)</f>
        <v>0</v>
      </c>
      <c r="H9129" s="135" t="n">
        <f aca="false">$G9129*'Analyse capacite'!$F$8</f>
        <v>0</v>
      </c>
      <c r="I9129" s="135" t="n">
        <f aca="false">$G9129*'Analyse capacite'!$C$8</f>
        <v>0</v>
      </c>
      <c r="J9129" s="135" t="n">
        <f aca="false">$G9129*'Analyse capacite'!$D$8</f>
        <v>0</v>
      </c>
      <c r="K9129" s="135" t="n">
        <f aca="false">$G9129*'Analyse capacite'!$E$8</f>
        <v>0</v>
      </c>
    </row>
    <row r="9130" customFormat="false" ht="15" hidden="false" customHeight="false" outlineLevel="0" collapsed="false">
      <c r="B9130" s="130" t="n">
        <v>2027</v>
      </c>
      <c r="C9130" s="131" t="s">
        <v>254</v>
      </c>
      <c r="D9130" s="132" t="n">
        <v>46731</v>
      </c>
      <c r="E9130" s="131" t="s">
        <v>14</v>
      </c>
      <c r="F9130" s="133" t="s">
        <v>24</v>
      </c>
      <c r="G9130" s="134" t="n">
        <f aca="false">LEN('Saisie programme'!$H$342)+SUMIFS('Vols additionnels'!$E$7:$E$66,'Vols additionnels'!$C$7:$C$66,$E9130,'Vols additionnels'!$D$7:$D$66,$F9130,'Vols additionnels'!$B$7:$B$66,$D9130)</f>
        <v>0</v>
      </c>
      <c r="H9130" s="135" t="n">
        <f aca="false">$G9130*'Analyse capacite'!$F$9</f>
        <v>0</v>
      </c>
      <c r="I9130" s="135" t="n">
        <f aca="false">$G9130*'Analyse capacite'!$C$9</f>
        <v>0</v>
      </c>
      <c r="J9130" s="135" t="n">
        <f aca="false">$G9130*'Analyse capacite'!$D$9</f>
        <v>0</v>
      </c>
      <c r="K9130" s="135" t="n">
        <f aca="false">$G9130*'Analyse capacite'!$E$9</f>
        <v>0</v>
      </c>
    </row>
    <row r="9131" customFormat="false" ht="15" hidden="false" customHeight="false" outlineLevel="0" collapsed="false">
      <c r="B9131" s="130" t="n">
        <v>2027</v>
      </c>
      <c r="C9131" s="131" t="s">
        <v>254</v>
      </c>
      <c r="D9131" s="132" t="n">
        <v>46731</v>
      </c>
      <c r="E9131" s="131" t="s">
        <v>46</v>
      </c>
      <c r="F9131" s="133" t="s">
        <v>11</v>
      </c>
      <c r="G9131" s="134" t="n">
        <f aca="false">LEN('Saisie programme'!$H$343)+SUMIFS('Vols additionnels'!$E$7:$E$66,'Vols additionnels'!$C$7:$C$66,$E9131,'Vols additionnels'!$D$7:$D$66,$F9131,'Vols additionnels'!$B$7:$B$66,$D9131)</f>
        <v>0</v>
      </c>
      <c r="H9131" s="135" t="n">
        <f aca="false">$G9131*'Analyse capacite'!$F$7</f>
        <v>0</v>
      </c>
      <c r="I9131" s="135" t="n">
        <f aca="false">$G9131*'Analyse capacite'!$C$7</f>
        <v>0</v>
      </c>
      <c r="J9131" s="135" t="n">
        <f aca="false">$G9131*'Analyse capacite'!$D$7</f>
        <v>0</v>
      </c>
      <c r="K9131" s="135" t="n">
        <f aca="false">$G9131*'Analyse capacite'!$E$7</f>
        <v>0</v>
      </c>
    </row>
    <row r="9132" customFormat="false" ht="15" hidden="false" customHeight="false" outlineLevel="0" collapsed="false">
      <c r="B9132" s="130" t="n">
        <v>2027</v>
      </c>
      <c r="C9132" s="131" t="s">
        <v>254</v>
      </c>
      <c r="D9132" s="132" t="n">
        <v>46731</v>
      </c>
      <c r="E9132" s="131" t="s">
        <v>46</v>
      </c>
      <c r="F9132" s="133" t="s">
        <v>19</v>
      </c>
      <c r="G9132" s="134" t="n">
        <f aca="false">LEN('Saisie programme'!$H$344)+SUMIFS('Vols additionnels'!$E$7:$E$66,'Vols additionnels'!$C$7:$C$66,$E9132,'Vols additionnels'!$D$7:$D$66,$F9132,'Vols additionnels'!$B$7:$B$66,$D9132)</f>
        <v>0</v>
      </c>
      <c r="H9132" s="135" t="n">
        <f aca="false">$G9132*'Analyse capacite'!$F$8</f>
        <v>0</v>
      </c>
      <c r="I9132" s="135" t="n">
        <f aca="false">$G9132*'Analyse capacite'!$C$8</f>
        <v>0</v>
      </c>
      <c r="J9132" s="135" t="n">
        <f aca="false">$G9132*'Analyse capacite'!$D$8</f>
        <v>0</v>
      </c>
      <c r="K9132" s="135" t="n">
        <f aca="false">$G9132*'Analyse capacite'!$E$8</f>
        <v>0</v>
      </c>
    </row>
    <row r="9133" customFormat="false" ht="15" hidden="false" customHeight="false" outlineLevel="0" collapsed="false">
      <c r="B9133" s="130" t="n">
        <v>2027</v>
      </c>
      <c r="C9133" s="131" t="s">
        <v>254</v>
      </c>
      <c r="D9133" s="132" t="n">
        <v>46731</v>
      </c>
      <c r="E9133" s="131" t="s">
        <v>46</v>
      </c>
      <c r="F9133" s="133" t="s">
        <v>24</v>
      </c>
      <c r="G9133" s="134" t="n">
        <f aca="false">LEN('Saisie programme'!$H$345)+SUMIFS('Vols additionnels'!$E$7:$E$66,'Vols additionnels'!$C$7:$C$66,$E9133,'Vols additionnels'!$D$7:$D$66,$F9133,'Vols additionnels'!$B$7:$B$66,$D9133)</f>
        <v>0</v>
      </c>
      <c r="H9133" s="135" t="n">
        <f aca="false">$G9133*'Analyse capacite'!$F$9</f>
        <v>0</v>
      </c>
      <c r="I9133" s="135" t="n">
        <f aca="false">$G9133*'Analyse capacite'!$C$9</f>
        <v>0</v>
      </c>
      <c r="J9133" s="135" t="n">
        <f aca="false">$G9133*'Analyse capacite'!$D$9</f>
        <v>0</v>
      </c>
      <c r="K9133" s="135" t="n">
        <f aca="false">$G9133*'Analyse capacite'!$E$9</f>
        <v>0</v>
      </c>
    </row>
    <row r="9134" customFormat="false" ht="15" hidden="false" customHeight="false" outlineLevel="0" collapsed="false">
      <c r="B9134" s="130" t="n">
        <v>2027</v>
      </c>
      <c r="C9134" s="131" t="s">
        <v>254</v>
      </c>
      <c r="D9134" s="132" t="n">
        <v>46731</v>
      </c>
      <c r="E9134" s="131" t="s">
        <v>49</v>
      </c>
      <c r="F9134" s="133" t="s">
        <v>11</v>
      </c>
      <c r="G9134" s="134" t="n">
        <f aca="false">LEN('Saisie programme'!$H$346)+SUMIFS('Vols additionnels'!$E$7:$E$66,'Vols additionnels'!$C$7:$C$66,$E9134,'Vols additionnels'!$D$7:$D$66,$F9134,'Vols additionnels'!$B$7:$B$66,$D9134)</f>
        <v>0</v>
      </c>
      <c r="H9134" s="135" t="n">
        <f aca="false">$G9134*'Analyse capacite'!$F$7</f>
        <v>0</v>
      </c>
      <c r="I9134" s="135" t="n">
        <f aca="false">$G9134*'Analyse capacite'!$C$7</f>
        <v>0</v>
      </c>
      <c r="J9134" s="135" t="n">
        <f aca="false">$G9134*'Analyse capacite'!$D$7</f>
        <v>0</v>
      </c>
      <c r="K9134" s="135" t="n">
        <f aca="false">$G9134*'Analyse capacite'!$E$7</f>
        <v>0</v>
      </c>
    </row>
    <row r="9135" customFormat="false" ht="15" hidden="false" customHeight="false" outlineLevel="0" collapsed="false">
      <c r="B9135" s="130" t="n">
        <v>2027</v>
      </c>
      <c r="C9135" s="131" t="s">
        <v>254</v>
      </c>
      <c r="D9135" s="132" t="n">
        <v>46731</v>
      </c>
      <c r="E9135" s="131" t="s">
        <v>49</v>
      </c>
      <c r="F9135" s="133" t="s">
        <v>19</v>
      </c>
      <c r="G9135" s="134" t="n">
        <f aca="false">LEN('Saisie programme'!$H$347)+SUMIFS('Vols additionnels'!$E$7:$E$66,'Vols additionnels'!$C$7:$C$66,$E9135,'Vols additionnels'!$D$7:$D$66,$F9135,'Vols additionnels'!$B$7:$B$66,$D9135)</f>
        <v>1</v>
      </c>
      <c r="H9135" s="135" t="n">
        <f aca="false">$G9135*'Analyse capacite'!$F$8</f>
        <v>262</v>
      </c>
      <c r="I9135" s="135" t="n">
        <f aca="false">$G9135*'Analyse capacite'!$C$8</f>
        <v>18</v>
      </c>
      <c r="J9135" s="135" t="n">
        <f aca="false">$G9135*'Analyse capacite'!$D$8</f>
        <v>0</v>
      </c>
      <c r="K9135" s="135" t="n">
        <f aca="false">$G9135*'Analyse capacite'!$E$8</f>
        <v>244</v>
      </c>
    </row>
    <row r="9136" customFormat="false" ht="15" hidden="false" customHeight="false" outlineLevel="0" collapsed="false">
      <c r="B9136" s="130" t="n">
        <v>2027</v>
      </c>
      <c r="C9136" s="131" t="s">
        <v>254</v>
      </c>
      <c r="D9136" s="132" t="n">
        <v>46731</v>
      </c>
      <c r="E9136" s="131" t="s">
        <v>49</v>
      </c>
      <c r="F9136" s="133" t="s">
        <v>24</v>
      </c>
      <c r="G9136" s="134" t="n">
        <f aca="false">LEN('Saisie programme'!$H$348)+SUMIFS('Vols additionnels'!$E$7:$E$66,'Vols additionnels'!$C$7:$C$66,$E9136,'Vols additionnels'!$D$7:$D$66,$F9136,'Vols additionnels'!$B$7:$B$66,$D9136)</f>
        <v>0</v>
      </c>
      <c r="H9136" s="135" t="n">
        <f aca="false">$G9136*'Analyse capacite'!$F$9</f>
        <v>0</v>
      </c>
      <c r="I9136" s="135" t="n">
        <f aca="false">$G9136*'Analyse capacite'!$C$9</f>
        <v>0</v>
      </c>
      <c r="J9136" s="135" t="n">
        <f aca="false">$G9136*'Analyse capacite'!$D$9</f>
        <v>0</v>
      </c>
      <c r="K9136" s="135" t="n">
        <f aca="false">$G9136*'Analyse capacite'!$E$9</f>
        <v>0</v>
      </c>
    </row>
    <row r="9137" customFormat="false" ht="15" hidden="false" customHeight="false" outlineLevel="0" collapsed="false">
      <c r="B9137" s="130" t="n">
        <v>2027</v>
      </c>
      <c r="C9137" s="131" t="s">
        <v>254</v>
      </c>
      <c r="D9137" s="132" t="n">
        <v>46731</v>
      </c>
      <c r="E9137" s="131" t="s">
        <v>53</v>
      </c>
      <c r="F9137" s="133" t="s">
        <v>11</v>
      </c>
      <c r="G9137" s="134" t="n">
        <f aca="false">LEN('Saisie programme'!$H$349)+SUMIFS('Vols additionnels'!$E$7:$E$66,'Vols additionnels'!$C$7:$C$66,$E9137,'Vols additionnels'!$D$7:$D$66,$F9137,'Vols additionnels'!$B$7:$B$66,$D9137)</f>
        <v>0</v>
      </c>
      <c r="H9137" s="135" t="n">
        <f aca="false">$G9137*'Analyse capacite'!$F$7</f>
        <v>0</v>
      </c>
      <c r="I9137" s="135" t="n">
        <f aca="false">$G9137*'Analyse capacite'!$C$7</f>
        <v>0</v>
      </c>
      <c r="J9137" s="135" t="n">
        <f aca="false">$G9137*'Analyse capacite'!$D$7</f>
        <v>0</v>
      </c>
      <c r="K9137" s="135" t="n">
        <f aca="false">$G9137*'Analyse capacite'!$E$7</f>
        <v>0</v>
      </c>
    </row>
    <row r="9138" customFormat="false" ht="15" hidden="false" customHeight="false" outlineLevel="0" collapsed="false">
      <c r="B9138" s="130" t="n">
        <v>2027</v>
      </c>
      <c r="C9138" s="131" t="s">
        <v>254</v>
      </c>
      <c r="D9138" s="132" t="n">
        <v>46731</v>
      </c>
      <c r="E9138" s="131" t="s">
        <v>53</v>
      </c>
      <c r="F9138" s="133" t="s">
        <v>19</v>
      </c>
      <c r="G9138" s="134" t="n">
        <f aca="false">LEN('Saisie programme'!$H$350)+SUMIFS('Vols additionnels'!$E$7:$E$66,'Vols additionnels'!$C$7:$C$66,$E9138,'Vols additionnels'!$D$7:$D$66,$F9138,'Vols additionnels'!$B$7:$B$66,$D9138)</f>
        <v>0</v>
      </c>
      <c r="H9138" s="135" t="n">
        <f aca="false">$G9138*'Analyse capacite'!$F$8</f>
        <v>0</v>
      </c>
      <c r="I9138" s="135" t="n">
        <f aca="false">$G9138*'Analyse capacite'!$C$8</f>
        <v>0</v>
      </c>
      <c r="J9138" s="135" t="n">
        <f aca="false">$G9138*'Analyse capacite'!$D$8</f>
        <v>0</v>
      </c>
      <c r="K9138" s="135" t="n">
        <f aca="false">$G9138*'Analyse capacite'!$E$8</f>
        <v>0</v>
      </c>
    </row>
    <row r="9139" customFormat="false" ht="15" hidden="false" customHeight="false" outlineLevel="0" collapsed="false">
      <c r="B9139" s="130" t="n">
        <v>2027</v>
      </c>
      <c r="C9139" s="131" t="s">
        <v>254</v>
      </c>
      <c r="D9139" s="132" t="n">
        <v>46731</v>
      </c>
      <c r="E9139" s="131" t="s">
        <v>53</v>
      </c>
      <c r="F9139" s="133" t="s">
        <v>24</v>
      </c>
      <c r="G9139" s="134" t="n">
        <f aca="false">LEN('Saisie programme'!$H$351)+SUMIFS('Vols additionnels'!$E$7:$E$66,'Vols additionnels'!$C$7:$C$66,$E9139,'Vols additionnels'!$D$7:$D$66,$F9139,'Vols additionnels'!$B$7:$B$66,$D9139)</f>
        <v>0</v>
      </c>
      <c r="H9139" s="135" t="n">
        <f aca="false">$G9139*'Analyse capacite'!$F$9</f>
        <v>0</v>
      </c>
      <c r="I9139" s="135" t="n">
        <f aca="false">$G9139*'Analyse capacite'!$C$9</f>
        <v>0</v>
      </c>
      <c r="J9139" s="135" t="n">
        <f aca="false">$G9139*'Analyse capacite'!$D$9</f>
        <v>0</v>
      </c>
      <c r="K9139" s="135" t="n">
        <f aca="false">$G9139*'Analyse capacite'!$E$9</f>
        <v>0</v>
      </c>
    </row>
    <row r="9140" customFormat="false" ht="15" hidden="false" customHeight="false" outlineLevel="0" collapsed="false">
      <c r="B9140" s="130" t="n">
        <v>2027</v>
      </c>
      <c r="C9140" s="131" t="s">
        <v>254</v>
      </c>
      <c r="D9140" s="132" t="n">
        <v>46731</v>
      </c>
      <c r="E9140" s="131" t="s">
        <v>56</v>
      </c>
      <c r="F9140" s="133" t="s">
        <v>11</v>
      </c>
      <c r="G9140" s="134" t="n">
        <f aca="false">LEN('Saisie programme'!$H$352)+SUMIFS('Vols additionnels'!$E$7:$E$66,'Vols additionnels'!$C$7:$C$66,$E9140,'Vols additionnels'!$D$7:$D$66,$F9140,'Vols additionnels'!$B$7:$B$66,$D9140)</f>
        <v>0</v>
      </c>
      <c r="H9140" s="135" t="n">
        <f aca="false">$G9140*'Analyse capacite'!$F$7</f>
        <v>0</v>
      </c>
      <c r="I9140" s="135" t="n">
        <f aca="false">$G9140*'Analyse capacite'!$C$7</f>
        <v>0</v>
      </c>
      <c r="J9140" s="135" t="n">
        <f aca="false">$G9140*'Analyse capacite'!$D$7</f>
        <v>0</v>
      </c>
      <c r="K9140" s="135" t="n">
        <f aca="false">$G9140*'Analyse capacite'!$E$7</f>
        <v>0</v>
      </c>
    </row>
    <row r="9141" customFormat="false" ht="15" hidden="false" customHeight="false" outlineLevel="0" collapsed="false">
      <c r="B9141" s="130" t="n">
        <v>2027</v>
      </c>
      <c r="C9141" s="131" t="s">
        <v>254</v>
      </c>
      <c r="D9141" s="132" t="n">
        <v>46731</v>
      </c>
      <c r="E9141" s="131" t="s">
        <v>56</v>
      </c>
      <c r="F9141" s="133" t="s">
        <v>19</v>
      </c>
      <c r="G9141" s="134" t="n">
        <f aca="false">LEN('Saisie programme'!$H$353)+SUMIFS('Vols additionnels'!$E$7:$E$66,'Vols additionnels'!$C$7:$C$66,$E9141,'Vols additionnels'!$D$7:$D$66,$F9141,'Vols additionnels'!$B$7:$B$66,$D9141)</f>
        <v>0</v>
      </c>
      <c r="H9141" s="135" t="n">
        <f aca="false">$G9141*'Analyse capacite'!$F$8</f>
        <v>0</v>
      </c>
      <c r="I9141" s="135" t="n">
        <f aca="false">$G9141*'Analyse capacite'!$C$8</f>
        <v>0</v>
      </c>
      <c r="J9141" s="135" t="n">
        <f aca="false">$G9141*'Analyse capacite'!$D$8</f>
        <v>0</v>
      </c>
      <c r="K9141" s="135" t="n">
        <f aca="false">$G9141*'Analyse capacite'!$E$8</f>
        <v>0</v>
      </c>
    </row>
    <row r="9142" customFormat="false" ht="15" hidden="false" customHeight="false" outlineLevel="0" collapsed="false">
      <c r="B9142" s="130" t="n">
        <v>2027</v>
      </c>
      <c r="C9142" s="131" t="s">
        <v>254</v>
      </c>
      <c r="D9142" s="132" t="n">
        <v>46731</v>
      </c>
      <c r="E9142" s="131" t="s">
        <v>56</v>
      </c>
      <c r="F9142" s="133" t="s">
        <v>24</v>
      </c>
      <c r="G9142" s="134" t="n">
        <f aca="false">LEN('Saisie programme'!$H$354)+SUMIFS('Vols additionnels'!$E$7:$E$66,'Vols additionnels'!$C$7:$C$66,$E9142,'Vols additionnels'!$D$7:$D$66,$F9142,'Vols additionnels'!$B$7:$B$66,$D9142)</f>
        <v>0</v>
      </c>
      <c r="H9142" s="135" t="n">
        <f aca="false">$G9142*'Analyse capacite'!$F$9</f>
        <v>0</v>
      </c>
      <c r="I9142" s="135" t="n">
        <f aca="false">$G9142*'Analyse capacite'!$C$9</f>
        <v>0</v>
      </c>
      <c r="J9142" s="135" t="n">
        <f aca="false">$G9142*'Analyse capacite'!$D$9</f>
        <v>0</v>
      </c>
      <c r="K9142" s="135" t="n">
        <f aca="false">$G9142*'Analyse capacite'!$E$9</f>
        <v>0</v>
      </c>
    </row>
    <row r="9143" customFormat="false" ht="15" hidden="false" customHeight="false" outlineLevel="0" collapsed="false">
      <c r="B9143" s="130" t="n">
        <v>2027</v>
      </c>
      <c r="C9143" s="131" t="s">
        <v>254</v>
      </c>
      <c r="D9143" s="132" t="n">
        <v>46731</v>
      </c>
      <c r="E9143" s="131" t="s">
        <v>59</v>
      </c>
      <c r="F9143" s="133" t="s">
        <v>11</v>
      </c>
      <c r="G9143" s="134" t="n">
        <f aca="false">LEN('Saisie programme'!$H$355)+SUMIFS('Vols additionnels'!$E$7:$E$66,'Vols additionnels'!$C$7:$C$66,$E9143,'Vols additionnels'!$D$7:$D$66,$F9143,'Vols additionnels'!$B$7:$B$66,$D9143)</f>
        <v>0</v>
      </c>
      <c r="H9143" s="135" t="n">
        <f aca="false">$G9143*'Analyse capacite'!$F$7</f>
        <v>0</v>
      </c>
      <c r="I9143" s="135" t="n">
        <f aca="false">$G9143*'Analyse capacite'!$C$7</f>
        <v>0</v>
      </c>
      <c r="J9143" s="135" t="n">
        <f aca="false">$G9143*'Analyse capacite'!$D$7</f>
        <v>0</v>
      </c>
      <c r="K9143" s="135" t="n">
        <f aca="false">$G9143*'Analyse capacite'!$E$7</f>
        <v>0</v>
      </c>
    </row>
    <row r="9144" customFormat="false" ht="15" hidden="false" customHeight="false" outlineLevel="0" collapsed="false">
      <c r="B9144" s="130" t="n">
        <v>2027</v>
      </c>
      <c r="C9144" s="131" t="s">
        <v>254</v>
      </c>
      <c r="D9144" s="132" t="n">
        <v>46731</v>
      </c>
      <c r="E9144" s="131" t="s">
        <v>59</v>
      </c>
      <c r="F9144" s="133" t="s">
        <v>19</v>
      </c>
      <c r="G9144" s="134" t="n">
        <f aca="false">LEN('Saisie programme'!$H$356)+SUMIFS('Vols additionnels'!$E$7:$E$66,'Vols additionnels'!$C$7:$C$66,$E9144,'Vols additionnels'!$D$7:$D$66,$F9144,'Vols additionnels'!$B$7:$B$66,$D9144)</f>
        <v>0</v>
      </c>
      <c r="H9144" s="135" t="n">
        <f aca="false">$G9144*'Analyse capacite'!$F$8</f>
        <v>0</v>
      </c>
      <c r="I9144" s="135" t="n">
        <f aca="false">$G9144*'Analyse capacite'!$C$8</f>
        <v>0</v>
      </c>
      <c r="J9144" s="135" t="n">
        <f aca="false">$G9144*'Analyse capacite'!$D$8</f>
        <v>0</v>
      </c>
      <c r="K9144" s="135" t="n">
        <f aca="false">$G9144*'Analyse capacite'!$E$8</f>
        <v>0</v>
      </c>
    </row>
    <row r="9145" customFormat="false" ht="15" hidden="false" customHeight="false" outlineLevel="0" collapsed="false">
      <c r="B9145" s="130" t="n">
        <v>2027</v>
      </c>
      <c r="C9145" s="131" t="s">
        <v>254</v>
      </c>
      <c r="D9145" s="132" t="n">
        <v>46731</v>
      </c>
      <c r="E9145" s="131" t="s">
        <v>59</v>
      </c>
      <c r="F9145" s="133" t="s">
        <v>24</v>
      </c>
      <c r="G9145" s="134" t="n">
        <f aca="false">LEN('Saisie programme'!$H$357)+SUMIFS('Vols additionnels'!$E$7:$E$66,'Vols additionnels'!$C$7:$C$66,$E9145,'Vols additionnels'!$D$7:$D$66,$F9145,'Vols additionnels'!$B$7:$B$66,$D9145)</f>
        <v>1</v>
      </c>
      <c r="H9145" s="135" t="n">
        <f aca="false">$G9145*'Analyse capacite'!$F$9</f>
        <v>174</v>
      </c>
      <c r="I9145" s="135" t="n">
        <f aca="false">$G9145*'Analyse capacite'!$C$9</f>
        <v>0</v>
      </c>
      <c r="J9145" s="135" t="n">
        <f aca="false">$G9145*'Analyse capacite'!$D$9</f>
        <v>12</v>
      </c>
      <c r="K9145" s="135" t="n">
        <f aca="false">$G9145*'Analyse capacite'!$E$9</f>
        <v>162</v>
      </c>
    </row>
    <row r="9146" customFormat="false" ht="15" hidden="false" customHeight="false" outlineLevel="0" collapsed="false">
      <c r="B9146" s="130" t="n">
        <v>2027</v>
      </c>
      <c r="C9146" s="131" t="s">
        <v>254</v>
      </c>
      <c r="D9146" s="132" t="n">
        <v>46731</v>
      </c>
      <c r="E9146" s="131" t="s">
        <v>62</v>
      </c>
      <c r="F9146" s="133" t="s">
        <v>11</v>
      </c>
      <c r="G9146" s="134" t="n">
        <f aca="false">LEN('Saisie programme'!$H$358)+SUMIFS('Vols additionnels'!$E$7:$E$66,'Vols additionnels'!$C$7:$C$66,$E9146,'Vols additionnels'!$D$7:$D$66,$F9146,'Vols additionnels'!$B$7:$B$66,$D9146)</f>
        <v>0</v>
      </c>
      <c r="H9146" s="135" t="n">
        <f aca="false">$G9146*'Analyse capacite'!$F$7</f>
        <v>0</v>
      </c>
      <c r="I9146" s="135" t="n">
        <f aca="false">$G9146*'Analyse capacite'!$C$7</f>
        <v>0</v>
      </c>
      <c r="J9146" s="135" t="n">
        <f aca="false">$G9146*'Analyse capacite'!$D$7</f>
        <v>0</v>
      </c>
      <c r="K9146" s="135" t="n">
        <f aca="false">$G9146*'Analyse capacite'!$E$7</f>
        <v>0</v>
      </c>
    </row>
    <row r="9147" customFormat="false" ht="15" hidden="false" customHeight="false" outlineLevel="0" collapsed="false">
      <c r="B9147" s="130" t="n">
        <v>2027</v>
      </c>
      <c r="C9147" s="131" t="s">
        <v>254</v>
      </c>
      <c r="D9147" s="132" t="n">
        <v>46731</v>
      </c>
      <c r="E9147" s="131" t="s">
        <v>62</v>
      </c>
      <c r="F9147" s="133" t="s">
        <v>19</v>
      </c>
      <c r="G9147" s="134" t="n">
        <f aca="false">LEN('Saisie programme'!$H$359)+SUMIFS('Vols additionnels'!$E$7:$E$66,'Vols additionnels'!$C$7:$C$66,$E9147,'Vols additionnels'!$D$7:$D$66,$F9147,'Vols additionnels'!$B$7:$B$66,$D9147)</f>
        <v>0</v>
      </c>
      <c r="H9147" s="135" t="n">
        <f aca="false">$G9147*'Analyse capacite'!$F$8</f>
        <v>0</v>
      </c>
      <c r="I9147" s="135" t="n">
        <f aca="false">$G9147*'Analyse capacite'!$C$8</f>
        <v>0</v>
      </c>
      <c r="J9147" s="135" t="n">
        <f aca="false">$G9147*'Analyse capacite'!$D$8</f>
        <v>0</v>
      </c>
      <c r="K9147" s="135" t="n">
        <f aca="false">$G9147*'Analyse capacite'!$E$8</f>
        <v>0</v>
      </c>
    </row>
    <row r="9148" customFormat="false" ht="15" hidden="false" customHeight="false" outlineLevel="0" collapsed="false">
      <c r="B9148" s="130" t="n">
        <v>2027</v>
      </c>
      <c r="C9148" s="131" t="s">
        <v>254</v>
      </c>
      <c r="D9148" s="132" t="n">
        <v>46731</v>
      </c>
      <c r="E9148" s="131" t="s">
        <v>62</v>
      </c>
      <c r="F9148" s="133" t="s">
        <v>24</v>
      </c>
      <c r="G9148" s="134" t="n">
        <f aca="false">LEN('Saisie programme'!$H$360)+SUMIFS('Vols additionnels'!$E$7:$E$66,'Vols additionnels'!$C$7:$C$66,$E9148,'Vols additionnels'!$D$7:$D$66,$F9148,'Vols additionnels'!$B$7:$B$66,$D9148)</f>
        <v>0</v>
      </c>
      <c r="H9148" s="135" t="n">
        <f aca="false">$G9148*'Analyse capacite'!$F$9</f>
        <v>0</v>
      </c>
      <c r="I9148" s="135" t="n">
        <f aca="false">$G9148*'Analyse capacite'!$C$9</f>
        <v>0</v>
      </c>
      <c r="J9148" s="135" t="n">
        <f aca="false">$G9148*'Analyse capacite'!$D$9</f>
        <v>0</v>
      </c>
      <c r="K9148" s="135" t="n">
        <f aca="false">$G9148*'Analyse capacite'!$E$9</f>
        <v>0</v>
      </c>
    </row>
    <row r="9149" customFormat="false" ht="15" hidden="false" customHeight="false" outlineLevel="0" collapsed="false">
      <c r="B9149" s="130" t="n">
        <v>2027</v>
      </c>
      <c r="C9149" s="131" t="s">
        <v>254</v>
      </c>
      <c r="D9149" s="132" t="n">
        <v>46732</v>
      </c>
      <c r="E9149" s="131" t="s">
        <v>12</v>
      </c>
      <c r="F9149" s="133" t="s">
        <v>11</v>
      </c>
      <c r="G9149" s="134" t="n">
        <f aca="false">LEN('Saisie programme'!$I$325)+SUMIFS('Vols additionnels'!$E$7:$E$66,'Vols additionnels'!$C$7:$C$66,$E9149,'Vols additionnels'!$D$7:$D$66,$F9149,'Vols additionnels'!$B$7:$B$66,$D9149)</f>
        <v>1</v>
      </c>
      <c r="H9149" s="135" t="n">
        <f aca="false">$G9149*'Analyse capacite'!$F$7</f>
        <v>438</v>
      </c>
      <c r="I9149" s="135" t="n">
        <f aca="false">$G9149*'Analyse capacite'!$C$7</f>
        <v>14</v>
      </c>
      <c r="J9149" s="135" t="n">
        <f aca="false">$G9149*'Analyse capacite'!$D$7</f>
        <v>40</v>
      </c>
      <c r="K9149" s="135" t="n">
        <f aca="false">$G9149*'Analyse capacite'!$E$7</f>
        <v>384</v>
      </c>
    </row>
    <row r="9150" customFormat="false" ht="15" hidden="false" customHeight="false" outlineLevel="0" collapsed="false">
      <c r="B9150" s="130" t="n">
        <v>2027</v>
      </c>
      <c r="C9150" s="131" t="s">
        <v>254</v>
      </c>
      <c r="D9150" s="132" t="n">
        <v>46732</v>
      </c>
      <c r="E9150" s="131" t="s">
        <v>12</v>
      </c>
      <c r="F9150" s="133" t="s">
        <v>19</v>
      </c>
      <c r="G9150" s="134" t="n">
        <f aca="false">LEN('Saisie programme'!$I$326)+SUMIFS('Vols additionnels'!$E$7:$E$66,'Vols additionnels'!$C$7:$C$66,$E9150,'Vols additionnels'!$D$7:$D$66,$F9150,'Vols additionnels'!$B$7:$B$66,$D9150)</f>
        <v>0</v>
      </c>
      <c r="H9150" s="135" t="n">
        <f aca="false">$G9150*'Analyse capacite'!$F$8</f>
        <v>0</v>
      </c>
      <c r="I9150" s="135" t="n">
        <f aca="false">$G9150*'Analyse capacite'!$C$8</f>
        <v>0</v>
      </c>
      <c r="J9150" s="135" t="n">
        <f aca="false">$G9150*'Analyse capacite'!$D$8</f>
        <v>0</v>
      </c>
      <c r="K9150" s="135" t="n">
        <f aca="false">$G9150*'Analyse capacite'!$E$8</f>
        <v>0</v>
      </c>
    </row>
    <row r="9151" customFormat="false" ht="15" hidden="false" customHeight="false" outlineLevel="0" collapsed="false">
      <c r="B9151" s="130" t="n">
        <v>2027</v>
      </c>
      <c r="C9151" s="131" t="s">
        <v>254</v>
      </c>
      <c r="D9151" s="132" t="n">
        <v>46732</v>
      </c>
      <c r="E9151" s="131" t="s">
        <v>12</v>
      </c>
      <c r="F9151" s="133" t="s">
        <v>24</v>
      </c>
      <c r="G9151" s="134" t="n">
        <f aca="false">LEN('Saisie programme'!$I$327)+SUMIFS('Vols additionnels'!$E$7:$E$66,'Vols additionnels'!$C$7:$C$66,$E9151,'Vols additionnels'!$D$7:$D$66,$F9151,'Vols additionnels'!$B$7:$B$66,$D9151)</f>
        <v>0</v>
      </c>
      <c r="H9151" s="135" t="n">
        <f aca="false">$G9151*'Analyse capacite'!$F$9</f>
        <v>0</v>
      </c>
      <c r="I9151" s="135" t="n">
        <f aca="false">$G9151*'Analyse capacite'!$C$9</f>
        <v>0</v>
      </c>
      <c r="J9151" s="135" t="n">
        <f aca="false">$G9151*'Analyse capacite'!$D$9</f>
        <v>0</v>
      </c>
      <c r="K9151" s="135" t="n">
        <f aca="false">$G9151*'Analyse capacite'!$E$9</f>
        <v>0</v>
      </c>
    </row>
    <row r="9152" customFormat="false" ht="15" hidden="false" customHeight="false" outlineLevel="0" collapsed="false">
      <c r="B9152" s="130" t="n">
        <v>2027</v>
      </c>
      <c r="C9152" s="131" t="s">
        <v>254</v>
      </c>
      <c r="D9152" s="132" t="n">
        <v>46732</v>
      </c>
      <c r="E9152" s="131" t="s">
        <v>20</v>
      </c>
      <c r="F9152" s="133" t="s">
        <v>11</v>
      </c>
      <c r="G9152" s="134" t="n">
        <f aca="false">LEN('Saisie programme'!$I$328)+SUMIFS('Vols additionnels'!$E$7:$E$66,'Vols additionnels'!$C$7:$C$66,$E9152,'Vols additionnels'!$D$7:$D$66,$F9152,'Vols additionnels'!$B$7:$B$66,$D9152)</f>
        <v>0</v>
      </c>
      <c r="H9152" s="135" t="n">
        <f aca="false">$G9152*'Analyse capacite'!$F$7</f>
        <v>0</v>
      </c>
      <c r="I9152" s="135" t="n">
        <f aca="false">$G9152*'Analyse capacite'!$C$7</f>
        <v>0</v>
      </c>
      <c r="J9152" s="135" t="n">
        <f aca="false">$G9152*'Analyse capacite'!$D$7</f>
        <v>0</v>
      </c>
      <c r="K9152" s="135" t="n">
        <f aca="false">$G9152*'Analyse capacite'!$E$7</f>
        <v>0</v>
      </c>
    </row>
    <row r="9153" customFormat="false" ht="15" hidden="false" customHeight="false" outlineLevel="0" collapsed="false">
      <c r="B9153" s="130" t="n">
        <v>2027</v>
      </c>
      <c r="C9153" s="131" t="s">
        <v>254</v>
      </c>
      <c r="D9153" s="132" t="n">
        <v>46732</v>
      </c>
      <c r="E9153" s="131" t="s">
        <v>20</v>
      </c>
      <c r="F9153" s="133" t="s">
        <v>19</v>
      </c>
      <c r="G9153" s="134" t="n">
        <f aca="false">LEN('Saisie programme'!$I$329)+SUMIFS('Vols additionnels'!$E$7:$E$66,'Vols additionnels'!$C$7:$C$66,$E9153,'Vols additionnels'!$D$7:$D$66,$F9153,'Vols additionnels'!$B$7:$B$66,$D9153)</f>
        <v>0</v>
      </c>
      <c r="H9153" s="135" t="n">
        <f aca="false">$G9153*'Analyse capacite'!$F$8</f>
        <v>0</v>
      </c>
      <c r="I9153" s="135" t="n">
        <f aca="false">$G9153*'Analyse capacite'!$C$8</f>
        <v>0</v>
      </c>
      <c r="J9153" s="135" t="n">
        <f aca="false">$G9153*'Analyse capacite'!$D$8</f>
        <v>0</v>
      </c>
      <c r="K9153" s="135" t="n">
        <f aca="false">$G9153*'Analyse capacite'!$E$8</f>
        <v>0</v>
      </c>
    </row>
    <row r="9154" customFormat="false" ht="15" hidden="false" customHeight="false" outlineLevel="0" collapsed="false">
      <c r="B9154" s="130" t="n">
        <v>2027</v>
      </c>
      <c r="C9154" s="131" t="s">
        <v>254</v>
      </c>
      <c r="D9154" s="132" t="n">
        <v>46732</v>
      </c>
      <c r="E9154" s="131" t="s">
        <v>20</v>
      </c>
      <c r="F9154" s="133" t="s">
        <v>24</v>
      </c>
      <c r="G9154" s="134" t="n">
        <f aca="false">LEN('Saisie programme'!$I$330)+SUMIFS('Vols additionnels'!$E$7:$E$66,'Vols additionnels'!$C$7:$C$66,$E9154,'Vols additionnels'!$D$7:$D$66,$F9154,'Vols additionnels'!$B$7:$B$66,$D9154)</f>
        <v>0</v>
      </c>
      <c r="H9154" s="135" t="n">
        <f aca="false">$G9154*'Analyse capacite'!$F$9</f>
        <v>0</v>
      </c>
      <c r="I9154" s="135" t="n">
        <f aca="false">$G9154*'Analyse capacite'!$C$9</f>
        <v>0</v>
      </c>
      <c r="J9154" s="135" t="n">
        <f aca="false">$G9154*'Analyse capacite'!$D$9</f>
        <v>0</v>
      </c>
      <c r="K9154" s="135" t="n">
        <f aca="false">$G9154*'Analyse capacite'!$E$9</f>
        <v>0</v>
      </c>
    </row>
    <row r="9155" customFormat="false" ht="15" hidden="false" customHeight="false" outlineLevel="0" collapsed="false">
      <c r="B9155" s="130" t="n">
        <v>2027</v>
      </c>
      <c r="C9155" s="131" t="s">
        <v>254</v>
      </c>
      <c r="D9155" s="132" t="n">
        <v>46732</v>
      </c>
      <c r="E9155" s="131" t="s">
        <v>25</v>
      </c>
      <c r="F9155" s="133" t="s">
        <v>11</v>
      </c>
      <c r="G9155" s="134" t="n">
        <f aca="false">LEN('Saisie programme'!$I$331)+SUMIFS('Vols additionnels'!$E$7:$E$66,'Vols additionnels'!$C$7:$C$66,$E9155,'Vols additionnels'!$D$7:$D$66,$F9155,'Vols additionnels'!$B$7:$B$66,$D9155)</f>
        <v>0</v>
      </c>
      <c r="H9155" s="135" t="n">
        <f aca="false">$G9155*'Analyse capacite'!$F$7</f>
        <v>0</v>
      </c>
      <c r="I9155" s="135" t="n">
        <f aca="false">$G9155*'Analyse capacite'!$C$7</f>
        <v>0</v>
      </c>
      <c r="J9155" s="135" t="n">
        <f aca="false">$G9155*'Analyse capacite'!$D$7</f>
        <v>0</v>
      </c>
      <c r="K9155" s="135" t="n">
        <f aca="false">$G9155*'Analyse capacite'!$E$7</f>
        <v>0</v>
      </c>
    </row>
    <row r="9156" customFormat="false" ht="15" hidden="false" customHeight="false" outlineLevel="0" collapsed="false">
      <c r="B9156" s="130" t="n">
        <v>2027</v>
      </c>
      <c r="C9156" s="131" t="s">
        <v>254</v>
      </c>
      <c r="D9156" s="132" t="n">
        <v>46732</v>
      </c>
      <c r="E9156" s="131" t="s">
        <v>25</v>
      </c>
      <c r="F9156" s="133" t="s">
        <v>19</v>
      </c>
      <c r="G9156" s="134" t="n">
        <f aca="false">LEN('Saisie programme'!$I$332)+SUMIFS('Vols additionnels'!$E$7:$E$66,'Vols additionnels'!$C$7:$C$66,$E9156,'Vols additionnels'!$D$7:$D$66,$F9156,'Vols additionnels'!$B$7:$B$66,$D9156)</f>
        <v>1</v>
      </c>
      <c r="H9156" s="135" t="n">
        <f aca="false">$G9156*'Analyse capacite'!$F$8</f>
        <v>262</v>
      </c>
      <c r="I9156" s="135" t="n">
        <f aca="false">$G9156*'Analyse capacite'!$C$8</f>
        <v>18</v>
      </c>
      <c r="J9156" s="135" t="n">
        <f aca="false">$G9156*'Analyse capacite'!$D$8</f>
        <v>0</v>
      </c>
      <c r="K9156" s="135" t="n">
        <f aca="false">$G9156*'Analyse capacite'!$E$8</f>
        <v>244</v>
      </c>
    </row>
    <row r="9157" customFormat="false" ht="15" hidden="false" customHeight="false" outlineLevel="0" collapsed="false">
      <c r="B9157" s="130" t="n">
        <v>2027</v>
      </c>
      <c r="C9157" s="131" t="s">
        <v>254</v>
      </c>
      <c r="D9157" s="132" t="n">
        <v>46732</v>
      </c>
      <c r="E9157" s="131" t="s">
        <v>25</v>
      </c>
      <c r="F9157" s="133" t="s">
        <v>24</v>
      </c>
      <c r="G9157" s="134" t="n">
        <f aca="false">LEN('Saisie programme'!$I$333)+SUMIFS('Vols additionnels'!$E$7:$E$66,'Vols additionnels'!$C$7:$C$66,$E9157,'Vols additionnels'!$D$7:$D$66,$F9157,'Vols additionnels'!$B$7:$B$66,$D9157)</f>
        <v>0</v>
      </c>
      <c r="H9157" s="135" t="n">
        <f aca="false">$G9157*'Analyse capacite'!$F$9</f>
        <v>0</v>
      </c>
      <c r="I9157" s="135" t="n">
        <f aca="false">$G9157*'Analyse capacite'!$C$9</f>
        <v>0</v>
      </c>
      <c r="J9157" s="135" t="n">
        <f aca="false">$G9157*'Analyse capacite'!$D$9</f>
        <v>0</v>
      </c>
      <c r="K9157" s="135" t="n">
        <f aca="false">$G9157*'Analyse capacite'!$E$9</f>
        <v>0</v>
      </c>
    </row>
    <row r="9158" customFormat="false" ht="15" hidden="false" customHeight="false" outlineLevel="0" collapsed="false">
      <c r="B9158" s="130" t="n">
        <v>2027</v>
      </c>
      <c r="C9158" s="131" t="s">
        <v>254</v>
      </c>
      <c r="D9158" s="132" t="n">
        <v>46732</v>
      </c>
      <c r="E9158" s="131" t="s">
        <v>36</v>
      </c>
      <c r="F9158" s="133" t="s">
        <v>11</v>
      </c>
      <c r="G9158" s="134" t="n">
        <f aca="false">LEN('Saisie programme'!$I$334)+SUMIFS('Vols additionnels'!$E$7:$E$66,'Vols additionnels'!$C$7:$C$66,$E9158,'Vols additionnels'!$D$7:$D$66,$F9158,'Vols additionnels'!$B$7:$B$66,$D9158)</f>
        <v>0</v>
      </c>
      <c r="H9158" s="135" t="n">
        <f aca="false">$G9158*'Analyse capacite'!$F$7</f>
        <v>0</v>
      </c>
      <c r="I9158" s="135" t="n">
        <f aca="false">$G9158*'Analyse capacite'!$C$7</f>
        <v>0</v>
      </c>
      <c r="J9158" s="135" t="n">
        <f aca="false">$G9158*'Analyse capacite'!$D$7</f>
        <v>0</v>
      </c>
      <c r="K9158" s="135" t="n">
        <f aca="false">$G9158*'Analyse capacite'!$E$7</f>
        <v>0</v>
      </c>
    </row>
    <row r="9159" customFormat="false" ht="15" hidden="false" customHeight="false" outlineLevel="0" collapsed="false">
      <c r="B9159" s="130" t="n">
        <v>2027</v>
      </c>
      <c r="C9159" s="131" t="s">
        <v>254</v>
      </c>
      <c r="D9159" s="132" t="n">
        <v>46732</v>
      </c>
      <c r="E9159" s="131" t="s">
        <v>36</v>
      </c>
      <c r="F9159" s="133" t="s">
        <v>19</v>
      </c>
      <c r="G9159" s="134" t="n">
        <f aca="false">LEN('Saisie programme'!$I$335)+SUMIFS('Vols additionnels'!$E$7:$E$66,'Vols additionnels'!$C$7:$C$66,$E9159,'Vols additionnels'!$D$7:$D$66,$F9159,'Vols additionnels'!$B$7:$B$66,$D9159)</f>
        <v>0</v>
      </c>
      <c r="H9159" s="135" t="n">
        <f aca="false">$G9159*'Analyse capacite'!$F$8</f>
        <v>0</v>
      </c>
      <c r="I9159" s="135" t="n">
        <f aca="false">$G9159*'Analyse capacite'!$C$8</f>
        <v>0</v>
      </c>
      <c r="J9159" s="135" t="n">
        <f aca="false">$G9159*'Analyse capacite'!$D$8</f>
        <v>0</v>
      </c>
      <c r="K9159" s="135" t="n">
        <f aca="false">$G9159*'Analyse capacite'!$E$8</f>
        <v>0</v>
      </c>
    </row>
    <row r="9160" customFormat="false" ht="15" hidden="false" customHeight="false" outlineLevel="0" collapsed="false">
      <c r="B9160" s="130" t="n">
        <v>2027</v>
      </c>
      <c r="C9160" s="131" t="s">
        <v>254</v>
      </c>
      <c r="D9160" s="132" t="n">
        <v>46732</v>
      </c>
      <c r="E9160" s="131" t="s">
        <v>36</v>
      </c>
      <c r="F9160" s="133" t="s">
        <v>24</v>
      </c>
      <c r="G9160" s="134" t="n">
        <f aca="false">LEN('Saisie programme'!$I$336)+SUMIFS('Vols additionnels'!$E$7:$E$66,'Vols additionnels'!$C$7:$C$66,$E9160,'Vols additionnels'!$D$7:$D$66,$F9160,'Vols additionnels'!$B$7:$B$66,$D9160)</f>
        <v>0</v>
      </c>
      <c r="H9160" s="135" t="n">
        <f aca="false">$G9160*'Analyse capacite'!$F$9</f>
        <v>0</v>
      </c>
      <c r="I9160" s="135" t="n">
        <f aca="false">$G9160*'Analyse capacite'!$C$9</f>
        <v>0</v>
      </c>
      <c r="J9160" s="135" t="n">
        <f aca="false">$G9160*'Analyse capacite'!$D$9</f>
        <v>0</v>
      </c>
      <c r="K9160" s="135" t="n">
        <f aca="false">$G9160*'Analyse capacite'!$E$9</f>
        <v>0</v>
      </c>
    </row>
    <row r="9161" customFormat="false" ht="15" hidden="false" customHeight="false" outlineLevel="0" collapsed="false">
      <c r="B9161" s="130" t="n">
        <v>2027</v>
      </c>
      <c r="C9161" s="131" t="s">
        <v>254</v>
      </c>
      <c r="D9161" s="132" t="n">
        <v>46732</v>
      </c>
      <c r="E9161" s="131" t="s">
        <v>40</v>
      </c>
      <c r="F9161" s="133" t="s">
        <v>11</v>
      </c>
      <c r="G9161" s="134" t="n">
        <f aca="false">LEN('Saisie programme'!$I$337)+SUMIFS('Vols additionnels'!$E$7:$E$66,'Vols additionnels'!$C$7:$C$66,$E9161,'Vols additionnels'!$D$7:$D$66,$F9161,'Vols additionnels'!$B$7:$B$66,$D9161)</f>
        <v>0</v>
      </c>
      <c r="H9161" s="135" t="n">
        <f aca="false">$G9161*'Analyse capacite'!$F$7</f>
        <v>0</v>
      </c>
      <c r="I9161" s="135" t="n">
        <f aca="false">$G9161*'Analyse capacite'!$C$7</f>
        <v>0</v>
      </c>
      <c r="J9161" s="135" t="n">
        <f aca="false">$G9161*'Analyse capacite'!$D$7</f>
        <v>0</v>
      </c>
      <c r="K9161" s="135" t="n">
        <f aca="false">$G9161*'Analyse capacite'!$E$7</f>
        <v>0</v>
      </c>
    </row>
    <row r="9162" customFormat="false" ht="15" hidden="false" customHeight="false" outlineLevel="0" collapsed="false">
      <c r="B9162" s="130" t="n">
        <v>2027</v>
      </c>
      <c r="C9162" s="131" t="s">
        <v>254</v>
      </c>
      <c r="D9162" s="132" t="n">
        <v>46732</v>
      </c>
      <c r="E9162" s="131" t="s">
        <v>40</v>
      </c>
      <c r="F9162" s="133" t="s">
        <v>19</v>
      </c>
      <c r="G9162" s="134" t="n">
        <f aca="false">LEN('Saisie programme'!$I$338)+SUMIFS('Vols additionnels'!$E$7:$E$66,'Vols additionnels'!$C$7:$C$66,$E9162,'Vols additionnels'!$D$7:$D$66,$F9162,'Vols additionnels'!$B$7:$B$66,$D9162)</f>
        <v>0</v>
      </c>
      <c r="H9162" s="135" t="n">
        <f aca="false">$G9162*'Analyse capacite'!$F$8</f>
        <v>0</v>
      </c>
      <c r="I9162" s="135" t="n">
        <f aca="false">$G9162*'Analyse capacite'!$C$8</f>
        <v>0</v>
      </c>
      <c r="J9162" s="135" t="n">
        <f aca="false">$G9162*'Analyse capacite'!$D$8</f>
        <v>0</v>
      </c>
      <c r="K9162" s="135" t="n">
        <f aca="false">$G9162*'Analyse capacite'!$E$8</f>
        <v>0</v>
      </c>
    </row>
    <row r="9163" customFormat="false" ht="15" hidden="false" customHeight="false" outlineLevel="0" collapsed="false">
      <c r="B9163" s="130" t="n">
        <v>2027</v>
      </c>
      <c r="C9163" s="131" t="s">
        <v>254</v>
      </c>
      <c r="D9163" s="132" t="n">
        <v>46732</v>
      </c>
      <c r="E9163" s="131" t="s">
        <v>40</v>
      </c>
      <c r="F9163" s="133" t="s">
        <v>24</v>
      </c>
      <c r="G9163" s="134" t="n">
        <f aca="false">LEN('Saisie programme'!$I$339)+SUMIFS('Vols additionnels'!$E$7:$E$66,'Vols additionnels'!$C$7:$C$66,$E9163,'Vols additionnels'!$D$7:$D$66,$F9163,'Vols additionnels'!$B$7:$B$66,$D9163)</f>
        <v>0</v>
      </c>
      <c r="H9163" s="135" t="n">
        <f aca="false">$G9163*'Analyse capacite'!$F$9</f>
        <v>0</v>
      </c>
      <c r="I9163" s="135" t="n">
        <f aca="false">$G9163*'Analyse capacite'!$C$9</f>
        <v>0</v>
      </c>
      <c r="J9163" s="135" t="n">
        <f aca="false">$G9163*'Analyse capacite'!$D$9</f>
        <v>0</v>
      </c>
      <c r="K9163" s="135" t="n">
        <f aca="false">$G9163*'Analyse capacite'!$E$9</f>
        <v>0</v>
      </c>
    </row>
    <row r="9164" customFormat="false" ht="15" hidden="false" customHeight="false" outlineLevel="0" collapsed="false">
      <c r="B9164" s="130" t="n">
        <v>2027</v>
      </c>
      <c r="C9164" s="131" t="s">
        <v>254</v>
      </c>
      <c r="D9164" s="132" t="n">
        <v>46732</v>
      </c>
      <c r="E9164" s="131" t="s">
        <v>14</v>
      </c>
      <c r="F9164" s="133" t="s">
        <v>11</v>
      </c>
      <c r="G9164" s="134" t="n">
        <f aca="false">LEN('Saisie programme'!$I$340)+SUMIFS('Vols additionnels'!$E$7:$E$66,'Vols additionnels'!$C$7:$C$66,$E9164,'Vols additionnels'!$D$7:$D$66,$F9164,'Vols additionnels'!$B$7:$B$66,$D9164)</f>
        <v>0</v>
      </c>
      <c r="H9164" s="135" t="n">
        <f aca="false">$G9164*'Analyse capacite'!$F$7</f>
        <v>0</v>
      </c>
      <c r="I9164" s="135" t="n">
        <f aca="false">$G9164*'Analyse capacite'!$C$7</f>
        <v>0</v>
      </c>
      <c r="J9164" s="135" t="n">
        <f aca="false">$G9164*'Analyse capacite'!$D$7</f>
        <v>0</v>
      </c>
      <c r="K9164" s="135" t="n">
        <f aca="false">$G9164*'Analyse capacite'!$E$7</f>
        <v>0</v>
      </c>
    </row>
    <row r="9165" customFormat="false" ht="15" hidden="false" customHeight="false" outlineLevel="0" collapsed="false">
      <c r="B9165" s="130" t="n">
        <v>2027</v>
      </c>
      <c r="C9165" s="131" t="s">
        <v>254</v>
      </c>
      <c r="D9165" s="132" t="n">
        <v>46732</v>
      </c>
      <c r="E9165" s="131" t="s">
        <v>14</v>
      </c>
      <c r="F9165" s="133" t="s">
        <v>19</v>
      </c>
      <c r="G9165" s="134" t="n">
        <f aca="false">LEN('Saisie programme'!$I$341)+SUMIFS('Vols additionnels'!$E$7:$E$66,'Vols additionnels'!$C$7:$C$66,$E9165,'Vols additionnels'!$D$7:$D$66,$F9165,'Vols additionnels'!$B$7:$B$66,$D9165)</f>
        <v>0</v>
      </c>
      <c r="H9165" s="135" t="n">
        <f aca="false">$G9165*'Analyse capacite'!$F$8</f>
        <v>0</v>
      </c>
      <c r="I9165" s="135" t="n">
        <f aca="false">$G9165*'Analyse capacite'!$C$8</f>
        <v>0</v>
      </c>
      <c r="J9165" s="135" t="n">
        <f aca="false">$G9165*'Analyse capacite'!$D$8</f>
        <v>0</v>
      </c>
      <c r="K9165" s="135" t="n">
        <f aca="false">$G9165*'Analyse capacite'!$E$8</f>
        <v>0</v>
      </c>
    </row>
    <row r="9166" customFormat="false" ht="15" hidden="false" customHeight="false" outlineLevel="0" collapsed="false">
      <c r="B9166" s="130" t="n">
        <v>2027</v>
      </c>
      <c r="C9166" s="131" t="s">
        <v>254</v>
      </c>
      <c r="D9166" s="132" t="n">
        <v>46732</v>
      </c>
      <c r="E9166" s="131" t="s">
        <v>14</v>
      </c>
      <c r="F9166" s="133" t="s">
        <v>24</v>
      </c>
      <c r="G9166" s="134" t="n">
        <f aca="false">LEN('Saisie programme'!$I$342)+SUMIFS('Vols additionnels'!$E$7:$E$66,'Vols additionnels'!$C$7:$C$66,$E9166,'Vols additionnels'!$D$7:$D$66,$F9166,'Vols additionnels'!$B$7:$B$66,$D9166)</f>
        <v>1</v>
      </c>
      <c r="H9166" s="135" t="n">
        <f aca="false">$G9166*'Analyse capacite'!$F$9</f>
        <v>174</v>
      </c>
      <c r="I9166" s="135" t="n">
        <f aca="false">$G9166*'Analyse capacite'!$C$9</f>
        <v>0</v>
      </c>
      <c r="J9166" s="135" t="n">
        <f aca="false">$G9166*'Analyse capacite'!$D$9</f>
        <v>12</v>
      </c>
      <c r="K9166" s="135" t="n">
        <f aca="false">$G9166*'Analyse capacite'!$E$9</f>
        <v>162</v>
      </c>
    </row>
    <row r="9167" customFormat="false" ht="15" hidden="false" customHeight="false" outlineLevel="0" collapsed="false">
      <c r="B9167" s="130" t="n">
        <v>2027</v>
      </c>
      <c r="C9167" s="131" t="s">
        <v>254</v>
      </c>
      <c r="D9167" s="132" t="n">
        <v>46732</v>
      </c>
      <c r="E9167" s="131" t="s">
        <v>46</v>
      </c>
      <c r="F9167" s="133" t="s">
        <v>11</v>
      </c>
      <c r="G9167" s="134" t="n">
        <f aca="false">LEN('Saisie programme'!$I$343)+SUMIFS('Vols additionnels'!$E$7:$E$66,'Vols additionnels'!$C$7:$C$66,$E9167,'Vols additionnels'!$D$7:$D$66,$F9167,'Vols additionnels'!$B$7:$B$66,$D9167)</f>
        <v>0</v>
      </c>
      <c r="H9167" s="135" t="n">
        <f aca="false">$G9167*'Analyse capacite'!$F$7</f>
        <v>0</v>
      </c>
      <c r="I9167" s="135" t="n">
        <f aca="false">$G9167*'Analyse capacite'!$C$7</f>
        <v>0</v>
      </c>
      <c r="J9167" s="135" t="n">
        <f aca="false">$G9167*'Analyse capacite'!$D$7</f>
        <v>0</v>
      </c>
      <c r="K9167" s="135" t="n">
        <f aca="false">$G9167*'Analyse capacite'!$E$7</f>
        <v>0</v>
      </c>
    </row>
    <row r="9168" customFormat="false" ht="15" hidden="false" customHeight="false" outlineLevel="0" collapsed="false">
      <c r="B9168" s="130" t="n">
        <v>2027</v>
      </c>
      <c r="C9168" s="131" t="s">
        <v>254</v>
      </c>
      <c r="D9168" s="132" t="n">
        <v>46732</v>
      </c>
      <c r="E9168" s="131" t="s">
        <v>46</v>
      </c>
      <c r="F9168" s="133" t="s">
        <v>19</v>
      </c>
      <c r="G9168" s="134" t="n">
        <f aca="false">LEN('Saisie programme'!$I$344)+SUMIFS('Vols additionnels'!$E$7:$E$66,'Vols additionnels'!$C$7:$C$66,$E9168,'Vols additionnels'!$D$7:$D$66,$F9168,'Vols additionnels'!$B$7:$B$66,$D9168)</f>
        <v>0</v>
      </c>
      <c r="H9168" s="135" t="n">
        <f aca="false">$G9168*'Analyse capacite'!$F$8</f>
        <v>0</v>
      </c>
      <c r="I9168" s="135" t="n">
        <f aca="false">$G9168*'Analyse capacite'!$C$8</f>
        <v>0</v>
      </c>
      <c r="J9168" s="135" t="n">
        <f aca="false">$G9168*'Analyse capacite'!$D$8</f>
        <v>0</v>
      </c>
      <c r="K9168" s="135" t="n">
        <f aca="false">$G9168*'Analyse capacite'!$E$8</f>
        <v>0</v>
      </c>
    </row>
    <row r="9169" customFormat="false" ht="15" hidden="false" customHeight="false" outlineLevel="0" collapsed="false">
      <c r="B9169" s="130" t="n">
        <v>2027</v>
      </c>
      <c r="C9169" s="131" t="s">
        <v>254</v>
      </c>
      <c r="D9169" s="132" t="n">
        <v>46732</v>
      </c>
      <c r="E9169" s="131" t="s">
        <v>46</v>
      </c>
      <c r="F9169" s="133" t="s">
        <v>24</v>
      </c>
      <c r="G9169" s="134" t="n">
        <f aca="false">LEN('Saisie programme'!$I$345)+SUMIFS('Vols additionnels'!$E$7:$E$66,'Vols additionnels'!$C$7:$C$66,$E9169,'Vols additionnels'!$D$7:$D$66,$F9169,'Vols additionnels'!$B$7:$B$66,$D9169)</f>
        <v>1</v>
      </c>
      <c r="H9169" s="135" t="n">
        <f aca="false">$G9169*'Analyse capacite'!$F$9</f>
        <v>174</v>
      </c>
      <c r="I9169" s="135" t="n">
        <f aca="false">$G9169*'Analyse capacite'!$C$9</f>
        <v>0</v>
      </c>
      <c r="J9169" s="135" t="n">
        <f aca="false">$G9169*'Analyse capacite'!$D$9</f>
        <v>12</v>
      </c>
      <c r="K9169" s="135" t="n">
        <f aca="false">$G9169*'Analyse capacite'!$E$9</f>
        <v>162</v>
      </c>
    </row>
    <row r="9170" customFormat="false" ht="15" hidden="false" customHeight="false" outlineLevel="0" collapsed="false">
      <c r="B9170" s="130" t="n">
        <v>2027</v>
      </c>
      <c r="C9170" s="131" t="s">
        <v>254</v>
      </c>
      <c r="D9170" s="132" t="n">
        <v>46732</v>
      </c>
      <c r="E9170" s="131" t="s">
        <v>49</v>
      </c>
      <c r="F9170" s="133" t="s">
        <v>11</v>
      </c>
      <c r="G9170" s="134" t="n">
        <f aca="false">LEN('Saisie programme'!$I$346)+SUMIFS('Vols additionnels'!$E$7:$E$66,'Vols additionnels'!$C$7:$C$66,$E9170,'Vols additionnels'!$D$7:$D$66,$F9170,'Vols additionnels'!$B$7:$B$66,$D9170)</f>
        <v>0</v>
      </c>
      <c r="H9170" s="135" t="n">
        <f aca="false">$G9170*'Analyse capacite'!$F$7</f>
        <v>0</v>
      </c>
      <c r="I9170" s="135" t="n">
        <f aca="false">$G9170*'Analyse capacite'!$C$7</f>
        <v>0</v>
      </c>
      <c r="J9170" s="135" t="n">
        <f aca="false">$G9170*'Analyse capacite'!$D$7</f>
        <v>0</v>
      </c>
      <c r="K9170" s="135" t="n">
        <f aca="false">$G9170*'Analyse capacite'!$E$7</f>
        <v>0</v>
      </c>
    </row>
    <row r="9171" customFormat="false" ht="15" hidden="false" customHeight="false" outlineLevel="0" collapsed="false">
      <c r="B9171" s="130" t="n">
        <v>2027</v>
      </c>
      <c r="C9171" s="131" t="s">
        <v>254</v>
      </c>
      <c r="D9171" s="132" t="n">
        <v>46732</v>
      </c>
      <c r="E9171" s="131" t="s">
        <v>49</v>
      </c>
      <c r="F9171" s="133" t="s">
        <v>19</v>
      </c>
      <c r="G9171" s="134" t="n">
        <f aca="false">LEN('Saisie programme'!$I$347)+SUMIFS('Vols additionnels'!$E$7:$E$66,'Vols additionnels'!$C$7:$C$66,$E9171,'Vols additionnels'!$D$7:$D$66,$F9171,'Vols additionnels'!$B$7:$B$66,$D9171)</f>
        <v>0</v>
      </c>
      <c r="H9171" s="135" t="n">
        <f aca="false">$G9171*'Analyse capacite'!$F$8</f>
        <v>0</v>
      </c>
      <c r="I9171" s="135" t="n">
        <f aca="false">$G9171*'Analyse capacite'!$C$8</f>
        <v>0</v>
      </c>
      <c r="J9171" s="135" t="n">
        <f aca="false">$G9171*'Analyse capacite'!$D$8</f>
        <v>0</v>
      </c>
      <c r="K9171" s="135" t="n">
        <f aca="false">$G9171*'Analyse capacite'!$E$8</f>
        <v>0</v>
      </c>
    </row>
    <row r="9172" customFormat="false" ht="15" hidden="false" customHeight="false" outlineLevel="0" collapsed="false">
      <c r="B9172" s="130" t="n">
        <v>2027</v>
      </c>
      <c r="C9172" s="131" t="s">
        <v>254</v>
      </c>
      <c r="D9172" s="132" t="n">
        <v>46732</v>
      </c>
      <c r="E9172" s="131" t="s">
        <v>49</v>
      </c>
      <c r="F9172" s="133" t="s">
        <v>24</v>
      </c>
      <c r="G9172" s="134" t="n">
        <f aca="false">LEN('Saisie programme'!$I$348)+SUMIFS('Vols additionnels'!$E$7:$E$66,'Vols additionnels'!$C$7:$C$66,$E9172,'Vols additionnels'!$D$7:$D$66,$F9172,'Vols additionnels'!$B$7:$B$66,$D9172)</f>
        <v>0</v>
      </c>
      <c r="H9172" s="135" t="n">
        <f aca="false">$G9172*'Analyse capacite'!$F$9</f>
        <v>0</v>
      </c>
      <c r="I9172" s="135" t="n">
        <f aca="false">$G9172*'Analyse capacite'!$C$9</f>
        <v>0</v>
      </c>
      <c r="J9172" s="135" t="n">
        <f aca="false">$G9172*'Analyse capacite'!$D$9</f>
        <v>0</v>
      </c>
      <c r="K9172" s="135" t="n">
        <f aca="false">$G9172*'Analyse capacite'!$E$9</f>
        <v>0</v>
      </c>
    </row>
    <row r="9173" customFormat="false" ht="15" hidden="false" customHeight="false" outlineLevel="0" collapsed="false">
      <c r="B9173" s="130" t="n">
        <v>2027</v>
      </c>
      <c r="C9173" s="131" t="s">
        <v>254</v>
      </c>
      <c r="D9173" s="132" t="n">
        <v>46732</v>
      </c>
      <c r="E9173" s="131" t="s">
        <v>53</v>
      </c>
      <c r="F9173" s="133" t="s">
        <v>11</v>
      </c>
      <c r="G9173" s="134" t="n">
        <f aca="false">LEN('Saisie programme'!$I$349)+SUMIFS('Vols additionnels'!$E$7:$E$66,'Vols additionnels'!$C$7:$C$66,$E9173,'Vols additionnels'!$D$7:$D$66,$F9173,'Vols additionnels'!$B$7:$B$66,$D9173)</f>
        <v>0</v>
      </c>
      <c r="H9173" s="135" t="n">
        <f aca="false">$G9173*'Analyse capacite'!$F$7</f>
        <v>0</v>
      </c>
      <c r="I9173" s="135" t="n">
        <f aca="false">$G9173*'Analyse capacite'!$C$7</f>
        <v>0</v>
      </c>
      <c r="J9173" s="135" t="n">
        <f aca="false">$G9173*'Analyse capacite'!$D$7</f>
        <v>0</v>
      </c>
      <c r="K9173" s="135" t="n">
        <f aca="false">$G9173*'Analyse capacite'!$E$7</f>
        <v>0</v>
      </c>
    </row>
    <row r="9174" customFormat="false" ht="15" hidden="false" customHeight="false" outlineLevel="0" collapsed="false">
      <c r="B9174" s="130" t="n">
        <v>2027</v>
      </c>
      <c r="C9174" s="131" t="s">
        <v>254</v>
      </c>
      <c r="D9174" s="132" t="n">
        <v>46732</v>
      </c>
      <c r="E9174" s="131" t="s">
        <v>53</v>
      </c>
      <c r="F9174" s="133" t="s">
        <v>19</v>
      </c>
      <c r="G9174" s="134" t="n">
        <f aca="false">LEN('Saisie programme'!$I$350)+SUMIFS('Vols additionnels'!$E$7:$E$66,'Vols additionnels'!$C$7:$C$66,$E9174,'Vols additionnels'!$D$7:$D$66,$F9174,'Vols additionnels'!$B$7:$B$66,$D9174)</f>
        <v>0</v>
      </c>
      <c r="H9174" s="135" t="n">
        <f aca="false">$G9174*'Analyse capacite'!$F$8</f>
        <v>0</v>
      </c>
      <c r="I9174" s="135" t="n">
        <f aca="false">$G9174*'Analyse capacite'!$C$8</f>
        <v>0</v>
      </c>
      <c r="J9174" s="135" t="n">
        <f aca="false">$G9174*'Analyse capacite'!$D$8</f>
        <v>0</v>
      </c>
      <c r="K9174" s="135" t="n">
        <f aca="false">$G9174*'Analyse capacite'!$E$8</f>
        <v>0</v>
      </c>
    </row>
    <row r="9175" customFormat="false" ht="15" hidden="false" customHeight="false" outlineLevel="0" collapsed="false">
      <c r="B9175" s="130" t="n">
        <v>2027</v>
      </c>
      <c r="C9175" s="131" t="s">
        <v>254</v>
      </c>
      <c r="D9175" s="132" t="n">
        <v>46732</v>
      </c>
      <c r="E9175" s="131" t="s">
        <v>53</v>
      </c>
      <c r="F9175" s="133" t="s">
        <v>24</v>
      </c>
      <c r="G9175" s="134" t="n">
        <f aca="false">LEN('Saisie programme'!$I$351)+SUMIFS('Vols additionnels'!$E$7:$E$66,'Vols additionnels'!$C$7:$C$66,$E9175,'Vols additionnels'!$D$7:$D$66,$F9175,'Vols additionnels'!$B$7:$B$66,$D9175)</f>
        <v>0</v>
      </c>
      <c r="H9175" s="135" t="n">
        <f aca="false">$G9175*'Analyse capacite'!$F$9</f>
        <v>0</v>
      </c>
      <c r="I9175" s="135" t="n">
        <f aca="false">$G9175*'Analyse capacite'!$C$9</f>
        <v>0</v>
      </c>
      <c r="J9175" s="135" t="n">
        <f aca="false">$G9175*'Analyse capacite'!$D$9</f>
        <v>0</v>
      </c>
      <c r="K9175" s="135" t="n">
        <f aca="false">$G9175*'Analyse capacite'!$E$9</f>
        <v>0</v>
      </c>
    </row>
    <row r="9176" customFormat="false" ht="15" hidden="false" customHeight="false" outlineLevel="0" collapsed="false">
      <c r="B9176" s="130" t="n">
        <v>2027</v>
      </c>
      <c r="C9176" s="131" t="s">
        <v>254</v>
      </c>
      <c r="D9176" s="132" t="n">
        <v>46732</v>
      </c>
      <c r="E9176" s="131" t="s">
        <v>56</v>
      </c>
      <c r="F9176" s="133" t="s">
        <v>11</v>
      </c>
      <c r="G9176" s="134" t="n">
        <f aca="false">LEN('Saisie programme'!$I$352)+SUMIFS('Vols additionnels'!$E$7:$E$66,'Vols additionnels'!$C$7:$C$66,$E9176,'Vols additionnels'!$D$7:$D$66,$F9176,'Vols additionnels'!$B$7:$B$66,$D9176)</f>
        <v>0</v>
      </c>
      <c r="H9176" s="135" t="n">
        <f aca="false">$G9176*'Analyse capacite'!$F$7</f>
        <v>0</v>
      </c>
      <c r="I9176" s="135" t="n">
        <f aca="false">$G9176*'Analyse capacite'!$C$7</f>
        <v>0</v>
      </c>
      <c r="J9176" s="135" t="n">
        <f aca="false">$G9176*'Analyse capacite'!$D$7</f>
        <v>0</v>
      </c>
      <c r="K9176" s="135" t="n">
        <f aca="false">$G9176*'Analyse capacite'!$E$7</f>
        <v>0</v>
      </c>
    </row>
    <row r="9177" customFormat="false" ht="15" hidden="false" customHeight="false" outlineLevel="0" collapsed="false">
      <c r="B9177" s="130" t="n">
        <v>2027</v>
      </c>
      <c r="C9177" s="131" t="s">
        <v>254</v>
      </c>
      <c r="D9177" s="132" t="n">
        <v>46732</v>
      </c>
      <c r="E9177" s="131" t="s">
        <v>56</v>
      </c>
      <c r="F9177" s="133" t="s">
        <v>19</v>
      </c>
      <c r="G9177" s="134" t="n">
        <f aca="false">LEN('Saisie programme'!$I$353)+SUMIFS('Vols additionnels'!$E$7:$E$66,'Vols additionnels'!$C$7:$C$66,$E9177,'Vols additionnels'!$D$7:$D$66,$F9177,'Vols additionnels'!$B$7:$B$66,$D9177)</f>
        <v>0</v>
      </c>
      <c r="H9177" s="135" t="n">
        <f aca="false">$G9177*'Analyse capacite'!$F$8</f>
        <v>0</v>
      </c>
      <c r="I9177" s="135" t="n">
        <f aca="false">$G9177*'Analyse capacite'!$C$8</f>
        <v>0</v>
      </c>
      <c r="J9177" s="135" t="n">
        <f aca="false">$G9177*'Analyse capacite'!$D$8</f>
        <v>0</v>
      </c>
      <c r="K9177" s="135" t="n">
        <f aca="false">$G9177*'Analyse capacite'!$E$8</f>
        <v>0</v>
      </c>
    </row>
    <row r="9178" customFormat="false" ht="15" hidden="false" customHeight="false" outlineLevel="0" collapsed="false">
      <c r="B9178" s="130" t="n">
        <v>2027</v>
      </c>
      <c r="C9178" s="131" t="s">
        <v>254</v>
      </c>
      <c r="D9178" s="132" t="n">
        <v>46732</v>
      </c>
      <c r="E9178" s="131" t="s">
        <v>56</v>
      </c>
      <c r="F9178" s="133" t="s">
        <v>24</v>
      </c>
      <c r="G9178" s="134" t="n">
        <f aca="false">LEN('Saisie programme'!$I$354)+SUMIFS('Vols additionnels'!$E$7:$E$66,'Vols additionnels'!$C$7:$C$66,$E9178,'Vols additionnels'!$D$7:$D$66,$F9178,'Vols additionnels'!$B$7:$B$66,$D9178)</f>
        <v>1</v>
      </c>
      <c r="H9178" s="135" t="n">
        <f aca="false">$G9178*'Analyse capacite'!$F$9</f>
        <v>174</v>
      </c>
      <c r="I9178" s="135" t="n">
        <f aca="false">$G9178*'Analyse capacite'!$C$9</f>
        <v>0</v>
      </c>
      <c r="J9178" s="135" t="n">
        <f aca="false">$G9178*'Analyse capacite'!$D$9</f>
        <v>12</v>
      </c>
      <c r="K9178" s="135" t="n">
        <f aca="false">$G9178*'Analyse capacite'!$E$9</f>
        <v>162</v>
      </c>
    </row>
    <row r="9179" customFormat="false" ht="15" hidden="false" customHeight="false" outlineLevel="0" collapsed="false">
      <c r="B9179" s="130" t="n">
        <v>2027</v>
      </c>
      <c r="C9179" s="131" t="s">
        <v>254</v>
      </c>
      <c r="D9179" s="132" t="n">
        <v>46732</v>
      </c>
      <c r="E9179" s="131" t="s">
        <v>59</v>
      </c>
      <c r="F9179" s="133" t="s">
        <v>11</v>
      </c>
      <c r="G9179" s="134" t="n">
        <f aca="false">LEN('Saisie programme'!$I$355)+SUMIFS('Vols additionnels'!$E$7:$E$66,'Vols additionnels'!$C$7:$C$66,$E9179,'Vols additionnels'!$D$7:$D$66,$F9179,'Vols additionnels'!$B$7:$B$66,$D9179)</f>
        <v>0</v>
      </c>
      <c r="H9179" s="135" t="n">
        <f aca="false">$G9179*'Analyse capacite'!$F$7</f>
        <v>0</v>
      </c>
      <c r="I9179" s="135" t="n">
        <f aca="false">$G9179*'Analyse capacite'!$C$7</f>
        <v>0</v>
      </c>
      <c r="J9179" s="135" t="n">
        <f aca="false">$G9179*'Analyse capacite'!$D$7</f>
        <v>0</v>
      </c>
      <c r="K9179" s="135" t="n">
        <f aca="false">$G9179*'Analyse capacite'!$E$7</f>
        <v>0</v>
      </c>
    </row>
    <row r="9180" customFormat="false" ht="15" hidden="false" customHeight="false" outlineLevel="0" collapsed="false">
      <c r="B9180" s="130" t="n">
        <v>2027</v>
      </c>
      <c r="C9180" s="131" t="s">
        <v>254</v>
      </c>
      <c r="D9180" s="132" t="n">
        <v>46732</v>
      </c>
      <c r="E9180" s="131" t="s">
        <v>59</v>
      </c>
      <c r="F9180" s="133" t="s">
        <v>19</v>
      </c>
      <c r="G9180" s="134" t="n">
        <f aca="false">LEN('Saisie programme'!$I$356)+SUMIFS('Vols additionnels'!$E$7:$E$66,'Vols additionnels'!$C$7:$C$66,$E9180,'Vols additionnels'!$D$7:$D$66,$F9180,'Vols additionnels'!$B$7:$B$66,$D9180)</f>
        <v>0</v>
      </c>
      <c r="H9180" s="135" t="n">
        <f aca="false">$G9180*'Analyse capacite'!$F$8</f>
        <v>0</v>
      </c>
      <c r="I9180" s="135" t="n">
        <f aca="false">$G9180*'Analyse capacite'!$C$8</f>
        <v>0</v>
      </c>
      <c r="J9180" s="135" t="n">
        <f aca="false">$G9180*'Analyse capacite'!$D$8</f>
        <v>0</v>
      </c>
      <c r="K9180" s="135" t="n">
        <f aca="false">$G9180*'Analyse capacite'!$E$8</f>
        <v>0</v>
      </c>
    </row>
    <row r="9181" customFormat="false" ht="15" hidden="false" customHeight="false" outlineLevel="0" collapsed="false">
      <c r="B9181" s="130" t="n">
        <v>2027</v>
      </c>
      <c r="C9181" s="131" t="s">
        <v>254</v>
      </c>
      <c r="D9181" s="132" t="n">
        <v>46732</v>
      </c>
      <c r="E9181" s="131" t="s">
        <v>59</v>
      </c>
      <c r="F9181" s="133" t="s">
        <v>24</v>
      </c>
      <c r="G9181" s="134" t="n">
        <f aca="false">LEN('Saisie programme'!$I$357)+SUMIFS('Vols additionnels'!$E$7:$E$66,'Vols additionnels'!$C$7:$C$66,$E9181,'Vols additionnels'!$D$7:$D$66,$F9181,'Vols additionnels'!$B$7:$B$66,$D9181)</f>
        <v>1</v>
      </c>
      <c r="H9181" s="135" t="n">
        <f aca="false">$G9181*'Analyse capacite'!$F$9</f>
        <v>174</v>
      </c>
      <c r="I9181" s="135" t="n">
        <f aca="false">$G9181*'Analyse capacite'!$C$9</f>
        <v>0</v>
      </c>
      <c r="J9181" s="135" t="n">
        <f aca="false">$G9181*'Analyse capacite'!$D$9</f>
        <v>12</v>
      </c>
      <c r="K9181" s="135" t="n">
        <f aca="false">$G9181*'Analyse capacite'!$E$9</f>
        <v>162</v>
      </c>
    </row>
    <row r="9182" customFormat="false" ht="15" hidden="false" customHeight="false" outlineLevel="0" collapsed="false">
      <c r="B9182" s="130" t="n">
        <v>2027</v>
      </c>
      <c r="C9182" s="131" t="s">
        <v>254</v>
      </c>
      <c r="D9182" s="132" t="n">
        <v>46732</v>
      </c>
      <c r="E9182" s="131" t="s">
        <v>62</v>
      </c>
      <c r="F9182" s="133" t="s">
        <v>11</v>
      </c>
      <c r="G9182" s="134" t="n">
        <f aca="false">LEN('Saisie programme'!$I$358)+SUMIFS('Vols additionnels'!$E$7:$E$66,'Vols additionnels'!$C$7:$C$66,$E9182,'Vols additionnels'!$D$7:$D$66,$F9182,'Vols additionnels'!$B$7:$B$66,$D9182)</f>
        <v>0</v>
      </c>
      <c r="H9182" s="135" t="n">
        <f aca="false">$G9182*'Analyse capacite'!$F$7</f>
        <v>0</v>
      </c>
      <c r="I9182" s="135" t="n">
        <f aca="false">$G9182*'Analyse capacite'!$C$7</f>
        <v>0</v>
      </c>
      <c r="J9182" s="135" t="n">
        <f aca="false">$G9182*'Analyse capacite'!$D$7</f>
        <v>0</v>
      </c>
      <c r="K9182" s="135" t="n">
        <f aca="false">$G9182*'Analyse capacite'!$E$7</f>
        <v>0</v>
      </c>
    </row>
    <row r="9183" customFormat="false" ht="15" hidden="false" customHeight="false" outlineLevel="0" collapsed="false">
      <c r="B9183" s="130" t="n">
        <v>2027</v>
      </c>
      <c r="C9183" s="131" t="s">
        <v>254</v>
      </c>
      <c r="D9183" s="132" t="n">
        <v>46732</v>
      </c>
      <c r="E9183" s="131" t="s">
        <v>62</v>
      </c>
      <c r="F9183" s="133" t="s">
        <v>19</v>
      </c>
      <c r="G9183" s="134" t="n">
        <f aca="false">LEN('Saisie programme'!$I$359)+SUMIFS('Vols additionnels'!$E$7:$E$66,'Vols additionnels'!$C$7:$C$66,$E9183,'Vols additionnels'!$D$7:$D$66,$F9183,'Vols additionnels'!$B$7:$B$66,$D9183)</f>
        <v>0</v>
      </c>
      <c r="H9183" s="135" t="n">
        <f aca="false">$G9183*'Analyse capacite'!$F$8</f>
        <v>0</v>
      </c>
      <c r="I9183" s="135" t="n">
        <f aca="false">$G9183*'Analyse capacite'!$C$8</f>
        <v>0</v>
      </c>
      <c r="J9183" s="135" t="n">
        <f aca="false">$G9183*'Analyse capacite'!$D$8</f>
        <v>0</v>
      </c>
      <c r="K9183" s="135" t="n">
        <f aca="false">$G9183*'Analyse capacite'!$E$8</f>
        <v>0</v>
      </c>
    </row>
    <row r="9184" customFormat="false" ht="15" hidden="false" customHeight="false" outlineLevel="0" collapsed="false">
      <c r="B9184" s="130" t="n">
        <v>2027</v>
      </c>
      <c r="C9184" s="131" t="s">
        <v>254</v>
      </c>
      <c r="D9184" s="132" t="n">
        <v>46732</v>
      </c>
      <c r="E9184" s="131" t="s">
        <v>62</v>
      </c>
      <c r="F9184" s="133" t="s">
        <v>24</v>
      </c>
      <c r="G9184" s="134" t="n">
        <f aca="false">LEN('Saisie programme'!$I$360)+SUMIFS('Vols additionnels'!$E$7:$E$66,'Vols additionnels'!$C$7:$C$66,$E9184,'Vols additionnels'!$D$7:$D$66,$F9184,'Vols additionnels'!$B$7:$B$66,$D9184)</f>
        <v>0</v>
      </c>
      <c r="H9184" s="135" t="n">
        <f aca="false">$G9184*'Analyse capacite'!$F$9</f>
        <v>0</v>
      </c>
      <c r="I9184" s="135" t="n">
        <f aca="false">$G9184*'Analyse capacite'!$C$9</f>
        <v>0</v>
      </c>
      <c r="J9184" s="135" t="n">
        <f aca="false">$G9184*'Analyse capacite'!$D$9</f>
        <v>0</v>
      </c>
      <c r="K9184" s="135" t="n">
        <f aca="false">$G9184*'Analyse capacite'!$E$9</f>
        <v>0</v>
      </c>
    </row>
    <row r="9185" customFormat="false" ht="15" hidden="false" customHeight="false" outlineLevel="0" collapsed="false">
      <c r="B9185" s="130" t="n">
        <v>2027</v>
      </c>
      <c r="C9185" s="131" t="s">
        <v>254</v>
      </c>
      <c r="D9185" s="132" t="n">
        <v>46733</v>
      </c>
      <c r="E9185" s="131" t="s">
        <v>12</v>
      </c>
      <c r="F9185" s="133" t="s">
        <v>11</v>
      </c>
      <c r="G9185" s="134" t="n">
        <f aca="false">LEN('Saisie programme'!$J$325)+SUMIFS('Vols additionnels'!$E$7:$E$66,'Vols additionnels'!$C$7:$C$66,$E9185,'Vols additionnels'!$D$7:$D$66,$F9185,'Vols additionnels'!$B$7:$B$66,$D9185)</f>
        <v>1</v>
      </c>
      <c r="H9185" s="135" t="n">
        <f aca="false">$G9185*'Analyse capacite'!$F$7</f>
        <v>438</v>
      </c>
      <c r="I9185" s="135" t="n">
        <f aca="false">$G9185*'Analyse capacite'!$C$7</f>
        <v>14</v>
      </c>
      <c r="J9185" s="135" t="n">
        <f aca="false">$G9185*'Analyse capacite'!$D$7</f>
        <v>40</v>
      </c>
      <c r="K9185" s="135" t="n">
        <f aca="false">$G9185*'Analyse capacite'!$E$7</f>
        <v>384</v>
      </c>
    </row>
    <row r="9186" customFormat="false" ht="15" hidden="false" customHeight="false" outlineLevel="0" collapsed="false">
      <c r="B9186" s="130" t="n">
        <v>2027</v>
      </c>
      <c r="C9186" s="131" t="s">
        <v>254</v>
      </c>
      <c r="D9186" s="132" t="n">
        <v>46733</v>
      </c>
      <c r="E9186" s="131" t="s">
        <v>12</v>
      </c>
      <c r="F9186" s="133" t="s">
        <v>19</v>
      </c>
      <c r="G9186" s="134" t="n">
        <f aca="false">LEN('Saisie programme'!$J$326)+SUMIFS('Vols additionnels'!$E$7:$E$66,'Vols additionnels'!$C$7:$C$66,$E9186,'Vols additionnels'!$D$7:$D$66,$F9186,'Vols additionnels'!$B$7:$B$66,$D9186)</f>
        <v>0</v>
      </c>
      <c r="H9186" s="135" t="n">
        <f aca="false">$G9186*'Analyse capacite'!$F$8</f>
        <v>0</v>
      </c>
      <c r="I9186" s="135" t="n">
        <f aca="false">$G9186*'Analyse capacite'!$C$8</f>
        <v>0</v>
      </c>
      <c r="J9186" s="135" t="n">
        <f aca="false">$G9186*'Analyse capacite'!$D$8</f>
        <v>0</v>
      </c>
      <c r="K9186" s="135" t="n">
        <f aca="false">$G9186*'Analyse capacite'!$E$8</f>
        <v>0</v>
      </c>
    </row>
    <row r="9187" customFormat="false" ht="15" hidden="false" customHeight="false" outlineLevel="0" collapsed="false">
      <c r="B9187" s="130" t="n">
        <v>2027</v>
      </c>
      <c r="C9187" s="131" t="s">
        <v>254</v>
      </c>
      <c r="D9187" s="132" t="n">
        <v>46733</v>
      </c>
      <c r="E9187" s="131" t="s">
        <v>12</v>
      </c>
      <c r="F9187" s="133" t="s">
        <v>24</v>
      </c>
      <c r="G9187" s="134" t="n">
        <f aca="false">LEN('Saisie programme'!$J$327)+SUMIFS('Vols additionnels'!$E$7:$E$66,'Vols additionnels'!$C$7:$C$66,$E9187,'Vols additionnels'!$D$7:$D$66,$F9187,'Vols additionnels'!$B$7:$B$66,$D9187)</f>
        <v>0</v>
      </c>
      <c r="H9187" s="135" t="n">
        <f aca="false">$G9187*'Analyse capacite'!$F$9</f>
        <v>0</v>
      </c>
      <c r="I9187" s="135" t="n">
        <f aca="false">$G9187*'Analyse capacite'!$C$9</f>
        <v>0</v>
      </c>
      <c r="J9187" s="135" t="n">
        <f aca="false">$G9187*'Analyse capacite'!$D$9</f>
        <v>0</v>
      </c>
      <c r="K9187" s="135" t="n">
        <f aca="false">$G9187*'Analyse capacite'!$E$9</f>
        <v>0</v>
      </c>
    </row>
    <row r="9188" customFormat="false" ht="15" hidden="false" customHeight="false" outlineLevel="0" collapsed="false">
      <c r="B9188" s="130" t="n">
        <v>2027</v>
      </c>
      <c r="C9188" s="131" t="s">
        <v>254</v>
      </c>
      <c r="D9188" s="132" t="n">
        <v>46733</v>
      </c>
      <c r="E9188" s="131" t="s">
        <v>20</v>
      </c>
      <c r="F9188" s="133" t="s">
        <v>11</v>
      </c>
      <c r="G9188" s="134" t="n">
        <f aca="false">LEN('Saisie programme'!$J$328)+SUMIFS('Vols additionnels'!$E$7:$E$66,'Vols additionnels'!$C$7:$C$66,$E9188,'Vols additionnels'!$D$7:$D$66,$F9188,'Vols additionnels'!$B$7:$B$66,$D9188)</f>
        <v>1</v>
      </c>
      <c r="H9188" s="135" t="n">
        <f aca="false">$G9188*'Analyse capacite'!$F$7</f>
        <v>438</v>
      </c>
      <c r="I9188" s="135" t="n">
        <f aca="false">$G9188*'Analyse capacite'!$C$7</f>
        <v>14</v>
      </c>
      <c r="J9188" s="135" t="n">
        <f aca="false">$G9188*'Analyse capacite'!$D$7</f>
        <v>40</v>
      </c>
      <c r="K9188" s="135" t="n">
        <f aca="false">$G9188*'Analyse capacite'!$E$7</f>
        <v>384</v>
      </c>
    </row>
    <row r="9189" customFormat="false" ht="15" hidden="false" customHeight="false" outlineLevel="0" collapsed="false">
      <c r="B9189" s="130" t="n">
        <v>2027</v>
      </c>
      <c r="C9189" s="131" t="s">
        <v>254</v>
      </c>
      <c r="D9189" s="132" t="n">
        <v>46733</v>
      </c>
      <c r="E9189" s="131" t="s">
        <v>20</v>
      </c>
      <c r="F9189" s="133" t="s">
        <v>19</v>
      </c>
      <c r="G9189" s="134" t="n">
        <f aca="false">LEN('Saisie programme'!$J$329)+SUMIFS('Vols additionnels'!$E$7:$E$66,'Vols additionnels'!$C$7:$C$66,$E9189,'Vols additionnels'!$D$7:$D$66,$F9189,'Vols additionnels'!$B$7:$B$66,$D9189)</f>
        <v>0</v>
      </c>
      <c r="H9189" s="135" t="n">
        <f aca="false">$G9189*'Analyse capacite'!$F$8</f>
        <v>0</v>
      </c>
      <c r="I9189" s="135" t="n">
        <f aca="false">$G9189*'Analyse capacite'!$C$8</f>
        <v>0</v>
      </c>
      <c r="J9189" s="135" t="n">
        <f aca="false">$G9189*'Analyse capacite'!$D$8</f>
        <v>0</v>
      </c>
      <c r="K9189" s="135" t="n">
        <f aca="false">$G9189*'Analyse capacite'!$E$8</f>
        <v>0</v>
      </c>
    </row>
    <row r="9190" customFormat="false" ht="15" hidden="false" customHeight="false" outlineLevel="0" collapsed="false">
      <c r="B9190" s="130" t="n">
        <v>2027</v>
      </c>
      <c r="C9190" s="131" t="s">
        <v>254</v>
      </c>
      <c r="D9190" s="132" t="n">
        <v>46733</v>
      </c>
      <c r="E9190" s="131" t="s">
        <v>20</v>
      </c>
      <c r="F9190" s="133" t="s">
        <v>24</v>
      </c>
      <c r="G9190" s="134" t="n">
        <f aca="false">LEN('Saisie programme'!$J$330)+SUMIFS('Vols additionnels'!$E$7:$E$66,'Vols additionnels'!$C$7:$C$66,$E9190,'Vols additionnels'!$D$7:$D$66,$F9190,'Vols additionnels'!$B$7:$B$66,$D9190)</f>
        <v>0</v>
      </c>
      <c r="H9190" s="135" t="n">
        <f aca="false">$G9190*'Analyse capacite'!$F$9</f>
        <v>0</v>
      </c>
      <c r="I9190" s="135" t="n">
        <f aca="false">$G9190*'Analyse capacite'!$C$9</f>
        <v>0</v>
      </c>
      <c r="J9190" s="135" t="n">
        <f aca="false">$G9190*'Analyse capacite'!$D$9</f>
        <v>0</v>
      </c>
      <c r="K9190" s="135" t="n">
        <f aca="false">$G9190*'Analyse capacite'!$E$9</f>
        <v>0</v>
      </c>
    </row>
    <row r="9191" customFormat="false" ht="15" hidden="false" customHeight="false" outlineLevel="0" collapsed="false">
      <c r="B9191" s="130" t="n">
        <v>2027</v>
      </c>
      <c r="C9191" s="131" t="s">
        <v>254</v>
      </c>
      <c r="D9191" s="132" t="n">
        <v>46733</v>
      </c>
      <c r="E9191" s="131" t="s">
        <v>25</v>
      </c>
      <c r="F9191" s="133" t="s">
        <v>11</v>
      </c>
      <c r="G9191" s="134" t="n">
        <f aca="false">LEN('Saisie programme'!$J$331)+SUMIFS('Vols additionnels'!$E$7:$E$66,'Vols additionnels'!$C$7:$C$66,$E9191,'Vols additionnels'!$D$7:$D$66,$F9191,'Vols additionnels'!$B$7:$B$66,$D9191)</f>
        <v>0</v>
      </c>
      <c r="H9191" s="135" t="n">
        <f aca="false">$G9191*'Analyse capacite'!$F$7</f>
        <v>0</v>
      </c>
      <c r="I9191" s="135" t="n">
        <f aca="false">$G9191*'Analyse capacite'!$C$7</f>
        <v>0</v>
      </c>
      <c r="J9191" s="135" t="n">
        <f aca="false">$G9191*'Analyse capacite'!$D$7</f>
        <v>0</v>
      </c>
      <c r="K9191" s="135" t="n">
        <f aca="false">$G9191*'Analyse capacite'!$E$7</f>
        <v>0</v>
      </c>
    </row>
    <row r="9192" customFormat="false" ht="15" hidden="false" customHeight="false" outlineLevel="0" collapsed="false">
      <c r="B9192" s="130" t="n">
        <v>2027</v>
      </c>
      <c r="C9192" s="131" t="s">
        <v>254</v>
      </c>
      <c r="D9192" s="132" t="n">
        <v>46733</v>
      </c>
      <c r="E9192" s="131" t="s">
        <v>25</v>
      </c>
      <c r="F9192" s="133" t="s">
        <v>19</v>
      </c>
      <c r="G9192" s="134" t="n">
        <f aca="false">LEN('Saisie programme'!$J$332)+SUMIFS('Vols additionnels'!$E$7:$E$66,'Vols additionnels'!$C$7:$C$66,$E9192,'Vols additionnels'!$D$7:$D$66,$F9192,'Vols additionnels'!$B$7:$B$66,$D9192)</f>
        <v>0</v>
      </c>
      <c r="H9192" s="135" t="n">
        <f aca="false">$G9192*'Analyse capacite'!$F$8</f>
        <v>0</v>
      </c>
      <c r="I9192" s="135" t="n">
        <f aca="false">$G9192*'Analyse capacite'!$C$8</f>
        <v>0</v>
      </c>
      <c r="J9192" s="135" t="n">
        <f aca="false">$G9192*'Analyse capacite'!$D$8</f>
        <v>0</v>
      </c>
      <c r="K9192" s="135" t="n">
        <f aca="false">$G9192*'Analyse capacite'!$E$8</f>
        <v>0</v>
      </c>
    </row>
    <row r="9193" customFormat="false" ht="15" hidden="false" customHeight="false" outlineLevel="0" collapsed="false">
      <c r="B9193" s="130" t="n">
        <v>2027</v>
      </c>
      <c r="C9193" s="131" t="s">
        <v>254</v>
      </c>
      <c r="D9193" s="132" t="n">
        <v>46733</v>
      </c>
      <c r="E9193" s="131" t="s">
        <v>25</v>
      </c>
      <c r="F9193" s="133" t="s">
        <v>24</v>
      </c>
      <c r="G9193" s="134" t="n">
        <f aca="false">LEN('Saisie programme'!$J$333)+SUMIFS('Vols additionnels'!$E$7:$E$66,'Vols additionnels'!$C$7:$C$66,$E9193,'Vols additionnels'!$D$7:$D$66,$F9193,'Vols additionnels'!$B$7:$B$66,$D9193)</f>
        <v>0</v>
      </c>
      <c r="H9193" s="135" t="n">
        <f aca="false">$G9193*'Analyse capacite'!$F$9</f>
        <v>0</v>
      </c>
      <c r="I9193" s="135" t="n">
        <f aca="false">$G9193*'Analyse capacite'!$C$9</f>
        <v>0</v>
      </c>
      <c r="J9193" s="135" t="n">
        <f aca="false">$G9193*'Analyse capacite'!$D$9</f>
        <v>0</v>
      </c>
      <c r="K9193" s="135" t="n">
        <f aca="false">$G9193*'Analyse capacite'!$E$9</f>
        <v>0</v>
      </c>
    </row>
    <row r="9194" customFormat="false" ht="15" hidden="false" customHeight="false" outlineLevel="0" collapsed="false">
      <c r="B9194" s="130" t="n">
        <v>2027</v>
      </c>
      <c r="C9194" s="131" t="s">
        <v>254</v>
      </c>
      <c r="D9194" s="132" t="n">
        <v>46733</v>
      </c>
      <c r="E9194" s="131" t="s">
        <v>36</v>
      </c>
      <c r="F9194" s="133" t="s">
        <v>11</v>
      </c>
      <c r="G9194" s="134" t="n">
        <f aca="false">LEN('Saisie programme'!$J$334)+SUMIFS('Vols additionnels'!$E$7:$E$66,'Vols additionnels'!$C$7:$C$66,$E9194,'Vols additionnels'!$D$7:$D$66,$F9194,'Vols additionnels'!$B$7:$B$66,$D9194)</f>
        <v>0</v>
      </c>
      <c r="H9194" s="135" t="n">
        <f aca="false">$G9194*'Analyse capacite'!$F$7</f>
        <v>0</v>
      </c>
      <c r="I9194" s="135" t="n">
        <f aca="false">$G9194*'Analyse capacite'!$C$7</f>
        <v>0</v>
      </c>
      <c r="J9194" s="135" t="n">
        <f aca="false">$G9194*'Analyse capacite'!$D$7</f>
        <v>0</v>
      </c>
      <c r="K9194" s="135" t="n">
        <f aca="false">$G9194*'Analyse capacite'!$E$7</f>
        <v>0</v>
      </c>
    </row>
    <row r="9195" customFormat="false" ht="15" hidden="false" customHeight="false" outlineLevel="0" collapsed="false">
      <c r="B9195" s="130" t="n">
        <v>2027</v>
      </c>
      <c r="C9195" s="131" t="s">
        <v>254</v>
      </c>
      <c r="D9195" s="132" t="n">
        <v>46733</v>
      </c>
      <c r="E9195" s="131" t="s">
        <v>36</v>
      </c>
      <c r="F9195" s="133" t="s">
        <v>19</v>
      </c>
      <c r="G9195" s="134" t="n">
        <f aca="false">LEN('Saisie programme'!$J$335)+SUMIFS('Vols additionnels'!$E$7:$E$66,'Vols additionnels'!$C$7:$C$66,$E9195,'Vols additionnels'!$D$7:$D$66,$F9195,'Vols additionnels'!$B$7:$B$66,$D9195)</f>
        <v>0</v>
      </c>
      <c r="H9195" s="135" t="n">
        <f aca="false">$G9195*'Analyse capacite'!$F$8</f>
        <v>0</v>
      </c>
      <c r="I9195" s="135" t="n">
        <f aca="false">$G9195*'Analyse capacite'!$C$8</f>
        <v>0</v>
      </c>
      <c r="J9195" s="135" t="n">
        <f aca="false">$G9195*'Analyse capacite'!$D$8</f>
        <v>0</v>
      </c>
      <c r="K9195" s="135" t="n">
        <f aca="false">$G9195*'Analyse capacite'!$E$8</f>
        <v>0</v>
      </c>
    </row>
    <row r="9196" customFormat="false" ht="15" hidden="false" customHeight="false" outlineLevel="0" collapsed="false">
      <c r="B9196" s="130" t="n">
        <v>2027</v>
      </c>
      <c r="C9196" s="131" t="s">
        <v>254</v>
      </c>
      <c r="D9196" s="132" t="n">
        <v>46733</v>
      </c>
      <c r="E9196" s="131" t="s">
        <v>36</v>
      </c>
      <c r="F9196" s="133" t="s">
        <v>24</v>
      </c>
      <c r="G9196" s="134" t="n">
        <f aca="false">LEN('Saisie programme'!$J$336)+SUMIFS('Vols additionnels'!$E$7:$E$66,'Vols additionnels'!$C$7:$C$66,$E9196,'Vols additionnels'!$D$7:$D$66,$F9196,'Vols additionnels'!$B$7:$B$66,$D9196)</f>
        <v>0</v>
      </c>
      <c r="H9196" s="135" t="n">
        <f aca="false">$G9196*'Analyse capacite'!$F$9</f>
        <v>0</v>
      </c>
      <c r="I9196" s="135" t="n">
        <f aca="false">$G9196*'Analyse capacite'!$C$9</f>
        <v>0</v>
      </c>
      <c r="J9196" s="135" t="n">
        <f aca="false">$G9196*'Analyse capacite'!$D$9</f>
        <v>0</v>
      </c>
      <c r="K9196" s="135" t="n">
        <f aca="false">$G9196*'Analyse capacite'!$E$9</f>
        <v>0</v>
      </c>
    </row>
    <row r="9197" customFormat="false" ht="15" hidden="false" customHeight="false" outlineLevel="0" collapsed="false">
      <c r="B9197" s="130" t="n">
        <v>2027</v>
      </c>
      <c r="C9197" s="131" t="s">
        <v>254</v>
      </c>
      <c r="D9197" s="132" t="n">
        <v>46733</v>
      </c>
      <c r="E9197" s="131" t="s">
        <v>40</v>
      </c>
      <c r="F9197" s="133" t="s">
        <v>11</v>
      </c>
      <c r="G9197" s="134" t="n">
        <f aca="false">LEN('Saisie programme'!$J$337)+SUMIFS('Vols additionnels'!$E$7:$E$66,'Vols additionnels'!$C$7:$C$66,$E9197,'Vols additionnels'!$D$7:$D$66,$F9197,'Vols additionnels'!$B$7:$B$66,$D9197)</f>
        <v>0</v>
      </c>
      <c r="H9197" s="135" t="n">
        <f aca="false">$G9197*'Analyse capacite'!$F$7</f>
        <v>0</v>
      </c>
      <c r="I9197" s="135" t="n">
        <f aca="false">$G9197*'Analyse capacite'!$C$7</f>
        <v>0</v>
      </c>
      <c r="J9197" s="135" t="n">
        <f aca="false">$G9197*'Analyse capacite'!$D$7</f>
        <v>0</v>
      </c>
      <c r="K9197" s="135" t="n">
        <f aca="false">$G9197*'Analyse capacite'!$E$7</f>
        <v>0</v>
      </c>
    </row>
    <row r="9198" customFormat="false" ht="15" hidden="false" customHeight="false" outlineLevel="0" collapsed="false">
      <c r="B9198" s="130" t="n">
        <v>2027</v>
      </c>
      <c r="C9198" s="131" t="s">
        <v>254</v>
      </c>
      <c r="D9198" s="132" t="n">
        <v>46733</v>
      </c>
      <c r="E9198" s="131" t="s">
        <v>40</v>
      </c>
      <c r="F9198" s="133" t="s">
        <v>19</v>
      </c>
      <c r="G9198" s="134" t="n">
        <f aca="false">LEN('Saisie programme'!$J$338)+SUMIFS('Vols additionnels'!$E$7:$E$66,'Vols additionnels'!$C$7:$C$66,$E9198,'Vols additionnels'!$D$7:$D$66,$F9198,'Vols additionnels'!$B$7:$B$66,$D9198)</f>
        <v>0</v>
      </c>
      <c r="H9198" s="135" t="n">
        <f aca="false">$G9198*'Analyse capacite'!$F$8</f>
        <v>0</v>
      </c>
      <c r="I9198" s="135" t="n">
        <f aca="false">$G9198*'Analyse capacite'!$C$8</f>
        <v>0</v>
      </c>
      <c r="J9198" s="135" t="n">
        <f aca="false">$G9198*'Analyse capacite'!$D$8</f>
        <v>0</v>
      </c>
      <c r="K9198" s="135" t="n">
        <f aca="false">$G9198*'Analyse capacite'!$E$8</f>
        <v>0</v>
      </c>
    </row>
    <row r="9199" customFormat="false" ht="15" hidden="false" customHeight="false" outlineLevel="0" collapsed="false">
      <c r="B9199" s="130" t="n">
        <v>2027</v>
      </c>
      <c r="C9199" s="131" t="s">
        <v>254</v>
      </c>
      <c r="D9199" s="132" t="n">
        <v>46733</v>
      </c>
      <c r="E9199" s="131" t="s">
        <v>40</v>
      </c>
      <c r="F9199" s="133" t="s">
        <v>24</v>
      </c>
      <c r="G9199" s="134" t="n">
        <f aca="false">LEN('Saisie programme'!$J$339)+SUMIFS('Vols additionnels'!$E$7:$E$66,'Vols additionnels'!$C$7:$C$66,$E9199,'Vols additionnels'!$D$7:$D$66,$F9199,'Vols additionnels'!$B$7:$B$66,$D9199)</f>
        <v>1</v>
      </c>
      <c r="H9199" s="135" t="n">
        <f aca="false">$G9199*'Analyse capacite'!$F$9</f>
        <v>174</v>
      </c>
      <c r="I9199" s="135" t="n">
        <f aca="false">$G9199*'Analyse capacite'!$C$9</f>
        <v>0</v>
      </c>
      <c r="J9199" s="135" t="n">
        <f aca="false">$G9199*'Analyse capacite'!$D$9</f>
        <v>12</v>
      </c>
      <c r="K9199" s="135" t="n">
        <f aca="false">$G9199*'Analyse capacite'!$E$9</f>
        <v>162</v>
      </c>
    </row>
    <row r="9200" customFormat="false" ht="15" hidden="false" customHeight="false" outlineLevel="0" collapsed="false">
      <c r="B9200" s="130" t="n">
        <v>2027</v>
      </c>
      <c r="C9200" s="131" t="s">
        <v>254</v>
      </c>
      <c r="D9200" s="132" t="n">
        <v>46733</v>
      </c>
      <c r="E9200" s="131" t="s">
        <v>14</v>
      </c>
      <c r="F9200" s="133" t="s">
        <v>11</v>
      </c>
      <c r="G9200" s="134" t="n">
        <f aca="false">LEN('Saisie programme'!$J$340)+SUMIFS('Vols additionnels'!$E$7:$E$66,'Vols additionnels'!$C$7:$C$66,$E9200,'Vols additionnels'!$D$7:$D$66,$F9200,'Vols additionnels'!$B$7:$B$66,$D9200)</f>
        <v>0</v>
      </c>
      <c r="H9200" s="135" t="n">
        <f aca="false">$G9200*'Analyse capacite'!$F$7</f>
        <v>0</v>
      </c>
      <c r="I9200" s="135" t="n">
        <f aca="false">$G9200*'Analyse capacite'!$C$7</f>
        <v>0</v>
      </c>
      <c r="J9200" s="135" t="n">
        <f aca="false">$G9200*'Analyse capacite'!$D$7</f>
        <v>0</v>
      </c>
      <c r="K9200" s="135" t="n">
        <f aca="false">$G9200*'Analyse capacite'!$E$7</f>
        <v>0</v>
      </c>
    </row>
    <row r="9201" customFormat="false" ht="15" hidden="false" customHeight="false" outlineLevel="0" collapsed="false">
      <c r="B9201" s="130" t="n">
        <v>2027</v>
      </c>
      <c r="C9201" s="131" t="s">
        <v>254</v>
      </c>
      <c r="D9201" s="132" t="n">
        <v>46733</v>
      </c>
      <c r="E9201" s="131" t="s">
        <v>14</v>
      </c>
      <c r="F9201" s="133" t="s">
        <v>19</v>
      </c>
      <c r="G9201" s="134" t="n">
        <f aca="false">LEN('Saisie programme'!$J$341)+SUMIFS('Vols additionnels'!$E$7:$E$66,'Vols additionnels'!$C$7:$C$66,$E9201,'Vols additionnels'!$D$7:$D$66,$F9201,'Vols additionnels'!$B$7:$B$66,$D9201)</f>
        <v>0</v>
      </c>
      <c r="H9201" s="135" t="n">
        <f aca="false">$G9201*'Analyse capacite'!$F$8</f>
        <v>0</v>
      </c>
      <c r="I9201" s="135" t="n">
        <f aca="false">$G9201*'Analyse capacite'!$C$8</f>
        <v>0</v>
      </c>
      <c r="J9201" s="135" t="n">
        <f aca="false">$G9201*'Analyse capacite'!$D$8</f>
        <v>0</v>
      </c>
      <c r="K9201" s="135" t="n">
        <f aca="false">$G9201*'Analyse capacite'!$E$8</f>
        <v>0</v>
      </c>
    </row>
    <row r="9202" customFormat="false" ht="15" hidden="false" customHeight="false" outlineLevel="0" collapsed="false">
      <c r="B9202" s="130" t="n">
        <v>2027</v>
      </c>
      <c r="C9202" s="131" t="s">
        <v>254</v>
      </c>
      <c r="D9202" s="132" t="n">
        <v>46733</v>
      </c>
      <c r="E9202" s="131" t="s">
        <v>14</v>
      </c>
      <c r="F9202" s="133" t="s">
        <v>24</v>
      </c>
      <c r="G9202" s="134" t="n">
        <f aca="false">LEN('Saisie programme'!$J$342)+SUMIFS('Vols additionnels'!$E$7:$E$66,'Vols additionnels'!$C$7:$C$66,$E9202,'Vols additionnels'!$D$7:$D$66,$F9202,'Vols additionnels'!$B$7:$B$66,$D9202)</f>
        <v>1</v>
      </c>
      <c r="H9202" s="135" t="n">
        <f aca="false">$G9202*'Analyse capacite'!$F$9</f>
        <v>174</v>
      </c>
      <c r="I9202" s="135" t="n">
        <f aca="false">$G9202*'Analyse capacite'!$C$9</f>
        <v>0</v>
      </c>
      <c r="J9202" s="135" t="n">
        <f aca="false">$G9202*'Analyse capacite'!$D$9</f>
        <v>12</v>
      </c>
      <c r="K9202" s="135" t="n">
        <f aca="false">$G9202*'Analyse capacite'!$E$9</f>
        <v>162</v>
      </c>
    </row>
    <row r="9203" customFormat="false" ht="15" hidden="false" customHeight="false" outlineLevel="0" collapsed="false">
      <c r="B9203" s="130" t="n">
        <v>2027</v>
      </c>
      <c r="C9203" s="131" t="s">
        <v>254</v>
      </c>
      <c r="D9203" s="132" t="n">
        <v>46733</v>
      </c>
      <c r="E9203" s="131" t="s">
        <v>46</v>
      </c>
      <c r="F9203" s="133" t="s">
        <v>11</v>
      </c>
      <c r="G9203" s="134" t="n">
        <f aca="false">LEN('Saisie programme'!$J$343)+SUMIFS('Vols additionnels'!$E$7:$E$66,'Vols additionnels'!$C$7:$C$66,$E9203,'Vols additionnels'!$D$7:$D$66,$F9203,'Vols additionnels'!$B$7:$B$66,$D9203)</f>
        <v>0</v>
      </c>
      <c r="H9203" s="135" t="n">
        <f aca="false">$G9203*'Analyse capacite'!$F$7</f>
        <v>0</v>
      </c>
      <c r="I9203" s="135" t="n">
        <f aca="false">$G9203*'Analyse capacite'!$C$7</f>
        <v>0</v>
      </c>
      <c r="J9203" s="135" t="n">
        <f aca="false">$G9203*'Analyse capacite'!$D$7</f>
        <v>0</v>
      </c>
      <c r="K9203" s="135" t="n">
        <f aca="false">$G9203*'Analyse capacite'!$E$7</f>
        <v>0</v>
      </c>
    </row>
    <row r="9204" customFormat="false" ht="15" hidden="false" customHeight="false" outlineLevel="0" collapsed="false">
      <c r="B9204" s="130" t="n">
        <v>2027</v>
      </c>
      <c r="C9204" s="131" t="s">
        <v>254</v>
      </c>
      <c r="D9204" s="132" t="n">
        <v>46733</v>
      </c>
      <c r="E9204" s="131" t="s">
        <v>46</v>
      </c>
      <c r="F9204" s="133" t="s">
        <v>19</v>
      </c>
      <c r="G9204" s="134" t="n">
        <f aca="false">LEN('Saisie programme'!$J$344)+SUMIFS('Vols additionnels'!$E$7:$E$66,'Vols additionnels'!$C$7:$C$66,$E9204,'Vols additionnels'!$D$7:$D$66,$F9204,'Vols additionnels'!$B$7:$B$66,$D9204)</f>
        <v>0</v>
      </c>
      <c r="H9204" s="135" t="n">
        <f aca="false">$G9204*'Analyse capacite'!$F$8</f>
        <v>0</v>
      </c>
      <c r="I9204" s="135" t="n">
        <f aca="false">$G9204*'Analyse capacite'!$C$8</f>
        <v>0</v>
      </c>
      <c r="J9204" s="135" t="n">
        <f aca="false">$G9204*'Analyse capacite'!$D$8</f>
        <v>0</v>
      </c>
      <c r="K9204" s="135" t="n">
        <f aca="false">$G9204*'Analyse capacite'!$E$8</f>
        <v>0</v>
      </c>
    </row>
    <row r="9205" customFormat="false" ht="15" hidden="false" customHeight="false" outlineLevel="0" collapsed="false">
      <c r="B9205" s="130" t="n">
        <v>2027</v>
      </c>
      <c r="C9205" s="131" t="s">
        <v>254</v>
      </c>
      <c r="D9205" s="132" t="n">
        <v>46733</v>
      </c>
      <c r="E9205" s="131" t="s">
        <v>46</v>
      </c>
      <c r="F9205" s="133" t="s">
        <v>24</v>
      </c>
      <c r="G9205" s="134" t="n">
        <f aca="false">LEN('Saisie programme'!$J$345)+SUMIFS('Vols additionnels'!$E$7:$E$66,'Vols additionnels'!$C$7:$C$66,$E9205,'Vols additionnels'!$D$7:$D$66,$F9205,'Vols additionnels'!$B$7:$B$66,$D9205)</f>
        <v>0</v>
      </c>
      <c r="H9205" s="135" t="n">
        <f aca="false">$G9205*'Analyse capacite'!$F$9</f>
        <v>0</v>
      </c>
      <c r="I9205" s="135" t="n">
        <f aca="false">$G9205*'Analyse capacite'!$C$9</f>
        <v>0</v>
      </c>
      <c r="J9205" s="135" t="n">
        <f aca="false">$G9205*'Analyse capacite'!$D$9</f>
        <v>0</v>
      </c>
      <c r="K9205" s="135" t="n">
        <f aca="false">$G9205*'Analyse capacite'!$E$9</f>
        <v>0</v>
      </c>
    </row>
    <row r="9206" customFormat="false" ht="15" hidden="false" customHeight="false" outlineLevel="0" collapsed="false">
      <c r="B9206" s="130" t="n">
        <v>2027</v>
      </c>
      <c r="C9206" s="131" t="s">
        <v>254</v>
      </c>
      <c r="D9206" s="132" t="n">
        <v>46733</v>
      </c>
      <c r="E9206" s="131" t="s">
        <v>49</v>
      </c>
      <c r="F9206" s="133" t="s">
        <v>11</v>
      </c>
      <c r="G9206" s="134" t="n">
        <f aca="false">LEN('Saisie programme'!$J$346)+SUMIFS('Vols additionnels'!$E$7:$E$66,'Vols additionnels'!$C$7:$C$66,$E9206,'Vols additionnels'!$D$7:$D$66,$F9206,'Vols additionnels'!$B$7:$B$66,$D9206)</f>
        <v>0</v>
      </c>
      <c r="H9206" s="135" t="n">
        <f aca="false">$G9206*'Analyse capacite'!$F$7</f>
        <v>0</v>
      </c>
      <c r="I9206" s="135" t="n">
        <f aca="false">$G9206*'Analyse capacite'!$C$7</f>
        <v>0</v>
      </c>
      <c r="J9206" s="135" t="n">
        <f aca="false">$G9206*'Analyse capacite'!$D$7</f>
        <v>0</v>
      </c>
      <c r="K9206" s="135" t="n">
        <f aca="false">$G9206*'Analyse capacite'!$E$7</f>
        <v>0</v>
      </c>
    </row>
    <row r="9207" customFormat="false" ht="15" hidden="false" customHeight="false" outlineLevel="0" collapsed="false">
      <c r="B9207" s="130" t="n">
        <v>2027</v>
      </c>
      <c r="C9207" s="131" t="s">
        <v>254</v>
      </c>
      <c r="D9207" s="132" t="n">
        <v>46733</v>
      </c>
      <c r="E9207" s="131" t="s">
        <v>49</v>
      </c>
      <c r="F9207" s="133" t="s">
        <v>19</v>
      </c>
      <c r="G9207" s="134" t="n">
        <f aca="false">LEN('Saisie programme'!$J$347)+SUMIFS('Vols additionnels'!$E$7:$E$66,'Vols additionnels'!$C$7:$C$66,$E9207,'Vols additionnels'!$D$7:$D$66,$F9207,'Vols additionnels'!$B$7:$B$66,$D9207)</f>
        <v>0</v>
      </c>
      <c r="H9207" s="135" t="n">
        <f aca="false">$G9207*'Analyse capacite'!$F$8</f>
        <v>0</v>
      </c>
      <c r="I9207" s="135" t="n">
        <f aca="false">$G9207*'Analyse capacite'!$C$8</f>
        <v>0</v>
      </c>
      <c r="J9207" s="135" t="n">
        <f aca="false">$G9207*'Analyse capacite'!$D$8</f>
        <v>0</v>
      </c>
      <c r="K9207" s="135" t="n">
        <f aca="false">$G9207*'Analyse capacite'!$E$8</f>
        <v>0</v>
      </c>
    </row>
    <row r="9208" customFormat="false" ht="15" hidden="false" customHeight="false" outlineLevel="0" collapsed="false">
      <c r="B9208" s="130" t="n">
        <v>2027</v>
      </c>
      <c r="C9208" s="131" t="s">
        <v>254</v>
      </c>
      <c r="D9208" s="132" t="n">
        <v>46733</v>
      </c>
      <c r="E9208" s="131" t="s">
        <v>49</v>
      </c>
      <c r="F9208" s="133" t="s">
        <v>24</v>
      </c>
      <c r="G9208" s="134" t="n">
        <f aca="false">LEN('Saisie programme'!$J$348)+SUMIFS('Vols additionnels'!$E$7:$E$66,'Vols additionnels'!$C$7:$C$66,$E9208,'Vols additionnels'!$D$7:$D$66,$F9208,'Vols additionnels'!$B$7:$B$66,$D9208)</f>
        <v>0</v>
      </c>
      <c r="H9208" s="135" t="n">
        <f aca="false">$G9208*'Analyse capacite'!$F$9</f>
        <v>0</v>
      </c>
      <c r="I9208" s="135" t="n">
        <f aca="false">$G9208*'Analyse capacite'!$C$9</f>
        <v>0</v>
      </c>
      <c r="J9208" s="135" t="n">
        <f aca="false">$G9208*'Analyse capacite'!$D$9</f>
        <v>0</v>
      </c>
      <c r="K9208" s="135" t="n">
        <f aca="false">$G9208*'Analyse capacite'!$E$9</f>
        <v>0</v>
      </c>
    </row>
    <row r="9209" customFormat="false" ht="15" hidden="false" customHeight="false" outlineLevel="0" collapsed="false">
      <c r="B9209" s="130" t="n">
        <v>2027</v>
      </c>
      <c r="C9209" s="131" t="s">
        <v>254</v>
      </c>
      <c r="D9209" s="132" t="n">
        <v>46733</v>
      </c>
      <c r="E9209" s="131" t="s">
        <v>53</v>
      </c>
      <c r="F9209" s="133" t="s">
        <v>11</v>
      </c>
      <c r="G9209" s="134" t="n">
        <f aca="false">LEN('Saisie programme'!$J$349)+SUMIFS('Vols additionnels'!$E$7:$E$66,'Vols additionnels'!$C$7:$C$66,$E9209,'Vols additionnels'!$D$7:$D$66,$F9209,'Vols additionnels'!$B$7:$B$66,$D9209)</f>
        <v>0</v>
      </c>
      <c r="H9209" s="135" t="n">
        <f aca="false">$G9209*'Analyse capacite'!$F$7</f>
        <v>0</v>
      </c>
      <c r="I9209" s="135" t="n">
        <f aca="false">$G9209*'Analyse capacite'!$C$7</f>
        <v>0</v>
      </c>
      <c r="J9209" s="135" t="n">
        <f aca="false">$G9209*'Analyse capacite'!$D$7</f>
        <v>0</v>
      </c>
      <c r="K9209" s="135" t="n">
        <f aca="false">$G9209*'Analyse capacite'!$E$7</f>
        <v>0</v>
      </c>
    </row>
    <row r="9210" customFormat="false" ht="15" hidden="false" customHeight="false" outlineLevel="0" collapsed="false">
      <c r="B9210" s="130" t="n">
        <v>2027</v>
      </c>
      <c r="C9210" s="131" t="s">
        <v>254</v>
      </c>
      <c r="D9210" s="132" t="n">
        <v>46733</v>
      </c>
      <c r="E9210" s="131" t="s">
        <v>53</v>
      </c>
      <c r="F9210" s="133" t="s">
        <v>19</v>
      </c>
      <c r="G9210" s="134" t="n">
        <f aca="false">LEN('Saisie programme'!$J$350)+SUMIFS('Vols additionnels'!$E$7:$E$66,'Vols additionnels'!$C$7:$C$66,$E9210,'Vols additionnels'!$D$7:$D$66,$F9210,'Vols additionnels'!$B$7:$B$66,$D9210)</f>
        <v>0</v>
      </c>
      <c r="H9210" s="135" t="n">
        <f aca="false">$G9210*'Analyse capacite'!$F$8</f>
        <v>0</v>
      </c>
      <c r="I9210" s="135" t="n">
        <f aca="false">$G9210*'Analyse capacite'!$C$8</f>
        <v>0</v>
      </c>
      <c r="J9210" s="135" t="n">
        <f aca="false">$G9210*'Analyse capacite'!$D$8</f>
        <v>0</v>
      </c>
      <c r="K9210" s="135" t="n">
        <f aca="false">$G9210*'Analyse capacite'!$E$8</f>
        <v>0</v>
      </c>
    </row>
    <row r="9211" customFormat="false" ht="15" hidden="false" customHeight="false" outlineLevel="0" collapsed="false">
      <c r="B9211" s="130" t="n">
        <v>2027</v>
      </c>
      <c r="C9211" s="131" t="s">
        <v>254</v>
      </c>
      <c r="D9211" s="132" t="n">
        <v>46733</v>
      </c>
      <c r="E9211" s="131" t="s">
        <v>53</v>
      </c>
      <c r="F9211" s="133" t="s">
        <v>24</v>
      </c>
      <c r="G9211" s="134" t="n">
        <f aca="false">LEN('Saisie programme'!$J$351)+SUMIFS('Vols additionnels'!$E$7:$E$66,'Vols additionnels'!$C$7:$C$66,$E9211,'Vols additionnels'!$D$7:$D$66,$F9211,'Vols additionnels'!$B$7:$B$66,$D9211)</f>
        <v>0</v>
      </c>
      <c r="H9211" s="135" t="n">
        <f aca="false">$G9211*'Analyse capacite'!$F$9</f>
        <v>0</v>
      </c>
      <c r="I9211" s="135" t="n">
        <f aca="false">$G9211*'Analyse capacite'!$C$9</f>
        <v>0</v>
      </c>
      <c r="J9211" s="135" t="n">
        <f aca="false">$G9211*'Analyse capacite'!$D$9</f>
        <v>0</v>
      </c>
      <c r="K9211" s="135" t="n">
        <f aca="false">$G9211*'Analyse capacite'!$E$9</f>
        <v>0</v>
      </c>
    </row>
    <row r="9212" customFormat="false" ht="15" hidden="false" customHeight="false" outlineLevel="0" collapsed="false">
      <c r="B9212" s="130" t="n">
        <v>2027</v>
      </c>
      <c r="C9212" s="131" t="s">
        <v>254</v>
      </c>
      <c r="D9212" s="132" t="n">
        <v>46733</v>
      </c>
      <c r="E9212" s="131" t="s">
        <v>56</v>
      </c>
      <c r="F9212" s="133" t="s">
        <v>11</v>
      </c>
      <c r="G9212" s="134" t="n">
        <f aca="false">LEN('Saisie programme'!$J$352)+SUMIFS('Vols additionnels'!$E$7:$E$66,'Vols additionnels'!$C$7:$C$66,$E9212,'Vols additionnels'!$D$7:$D$66,$F9212,'Vols additionnels'!$B$7:$B$66,$D9212)</f>
        <v>0</v>
      </c>
      <c r="H9212" s="135" t="n">
        <f aca="false">$G9212*'Analyse capacite'!$F$7</f>
        <v>0</v>
      </c>
      <c r="I9212" s="135" t="n">
        <f aca="false">$G9212*'Analyse capacite'!$C$7</f>
        <v>0</v>
      </c>
      <c r="J9212" s="135" t="n">
        <f aca="false">$G9212*'Analyse capacite'!$D$7</f>
        <v>0</v>
      </c>
      <c r="K9212" s="135" t="n">
        <f aca="false">$G9212*'Analyse capacite'!$E$7</f>
        <v>0</v>
      </c>
    </row>
    <row r="9213" customFormat="false" ht="15" hidden="false" customHeight="false" outlineLevel="0" collapsed="false">
      <c r="B9213" s="130" t="n">
        <v>2027</v>
      </c>
      <c r="C9213" s="131" t="s">
        <v>254</v>
      </c>
      <c r="D9213" s="132" t="n">
        <v>46733</v>
      </c>
      <c r="E9213" s="131" t="s">
        <v>56</v>
      </c>
      <c r="F9213" s="133" t="s">
        <v>19</v>
      </c>
      <c r="G9213" s="134" t="n">
        <f aca="false">LEN('Saisie programme'!$J$353)+SUMIFS('Vols additionnels'!$E$7:$E$66,'Vols additionnels'!$C$7:$C$66,$E9213,'Vols additionnels'!$D$7:$D$66,$F9213,'Vols additionnels'!$B$7:$B$66,$D9213)</f>
        <v>0</v>
      </c>
      <c r="H9213" s="135" t="n">
        <f aca="false">$G9213*'Analyse capacite'!$F$8</f>
        <v>0</v>
      </c>
      <c r="I9213" s="135" t="n">
        <f aca="false">$G9213*'Analyse capacite'!$C$8</f>
        <v>0</v>
      </c>
      <c r="J9213" s="135" t="n">
        <f aca="false">$G9213*'Analyse capacite'!$D$8</f>
        <v>0</v>
      </c>
      <c r="K9213" s="135" t="n">
        <f aca="false">$G9213*'Analyse capacite'!$E$8</f>
        <v>0</v>
      </c>
    </row>
    <row r="9214" customFormat="false" ht="15" hidden="false" customHeight="false" outlineLevel="0" collapsed="false">
      <c r="B9214" s="130" t="n">
        <v>2027</v>
      </c>
      <c r="C9214" s="131" t="s">
        <v>254</v>
      </c>
      <c r="D9214" s="132" t="n">
        <v>46733</v>
      </c>
      <c r="E9214" s="131" t="s">
        <v>56</v>
      </c>
      <c r="F9214" s="133" t="s">
        <v>24</v>
      </c>
      <c r="G9214" s="134" t="n">
        <f aca="false">LEN('Saisie programme'!$J$354)+SUMIFS('Vols additionnels'!$E$7:$E$66,'Vols additionnels'!$C$7:$C$66,$E9214,'Vols additionnels'!$D$7:$D$66,$F9214,'Vols additionnels'!$B$7:$B$66,$D9214)</f>
        <v>0</v>
      </c>
      <c r="H9214" s="135" t="n">
        <f aca="false">$G9214*'Analyse capacite'!$F$9</f>
        <v>0</v>
      </c>
      <c r="I9214" s="135" t="n">
        <f aca="false">$G9214*'Analyse capacite'!$C$9</f>
        <v>0</v>
      </c>
      <c r="J9214" s="135" t="n">
        <f aca="false">$G9214*'Analyse capacite'!$D$9</f>
        <v>0</v>
      </c>
      <c r="K9214" s="135" t="n">
        <f aca="false">$G9214*'Analyse capacite'!$E$9</f>
        <v>0</v>
      </c>
    </row>
    <row r="9215" customFormat="false" ht="15" hidden="false" customHeight="false" outlineLevel="0" collapsed="false">
      <c r="B9215" s="130" t="n">
        <v>2027</v>
      </c>
      <c r="C9215" s="131" t="s">
        <v>254</v>
      </c>
      <c r="D9215" s="132" t="n">
        <v>46733</v>
      </c>
      <c r="E9215" s="131" t="s">
        <v>59</v>
      </c>
      <c r="F9215" s="133" t="s">
        <v>11</v>
      </c>
      <c r="G9215" s="134" t="n">
        <f aca="false">LEN('Saisie programme'!$J$355)+SUMIFS('Vols additionnels'!$E$7:$E$66,'Vols additionnels'!$C$7:$C$66,$E9215,'Vols additionnels'!$D$7:$D$66,$F9215,'Vols additionnels'!$B$7:$B$66,$D9215)</f>
        <v>0</v>
      </c>
      <c r="H9215" s="135" t="n">
        <f aca="false">$G9215*'Analyse capacite'!$F$7</f>
        <v>0</v>
      </c>
      <c r="I9215" s="135" t="n">
        <f aca="false">$G9215*'Analyse capacite'!$C$7</f>
        <v>0</v>
      </c>
      <c r="J9215" s="135" t="n">
        <f aca="false">$G9215*'Analyse capacite'!$D$7</f>
        <v>0</v>
      </c>
      <c r="K9215" s="135" t="n">
        <f aca="false">$G9215*'Analyse capacite'!$E$7</f>
        <v>0</v>
      </c>
    </row>
    <row r="9216" customFormat="false" ht="15" hidden="false" customHeight="false" outlineLevel="0" collapsed="false">
      <c r="B9216" s="130" t="n">
        <v>2027</v>
      </c>
      <c r="C9216" s="131" t="s">
        <v>254</v>
      </c>
      <c r="D9216" s="132" t="n">
        <v>46733</v>
      </c>
      <c r="E9216" s="131" t="s">
        <v>59</v>
      </c>
      <c r="F9216" s="133" t="s">
        <v>19</v>
      </c>
      <c r="G9216" s="134" t="n">
        <f aca="false">LEN('Saisie programme'!$J$356)+SUMIFS('Vols additionnels'!$E$7:$E$66,'Vols additionnels'!$C$7:$C$66,$E9216,'Vols additionnels'!$D$7:$D$66,$F9216,'Vols additionnels'!$B$7:$B$66,$D9216)</f>
        <v>0</v>
      </c>
      <c r="H9216" s="135" t="n">
        <f aca="false">$G9216*'Analyse capacite'!$F$8</f>
        <v>0</v>
      </c>
      <c r="I9216" s="135" t="n">
        <f aca="false">$G9216*'Analyse capacite'!$C$8</f>
        <v>0</v>
      </c>
      <c r="J9216" s="135" t="n">
        <f aca="false">$G9216*'Analyse capacite'!$D$8</f>
        <v>0</v>
      </c>
      <c r="K9216" s="135" t="n">
        <f aca="false">$G9216*'Analyse capacite'!$E$8</f>
        <v>0</v>
      </c>
    </row>
    <row r="9217" customFormat="false" ht="15" hidden="false" customHeight="false" outlineLevel="0" collapsed="false">
      <c r="B9217" s="130" t="n">
        <v>2027</v>
      </c>
      <c r="C9217" s="131" t="s">
        <v>254</v>
      </c>
      <c r="D9217" s="132" t="n">
        <v>46733</v>
      </c>
      <c r="E9217" s="131" t="s">
        <v>59</v>
      </c>
      <c r="F9217" s="133" t="s">
        <v>24</v>
      </c>
      <c r="G9217" s="134" t="n">
        <f aca="false">LEN('Saisie programme'!$J$357)+SUMIFS('Vols additionnels'!$E$7:$E$66,'Vols additionnels'!$C$7:$C$66,$E9217,'Vols additionnels'!$D$7:$D$66,$F9217,'Vols additionnels'!$B$7:$B$66,$D9217)</f>
        <v>0</v>
      </c>
      <c r="H9217" s="135" t="n">
        <f aca="false">$G9217*'Analyse capacite'!$F$9</f>
        <v>0</v>
      </c>
      <c r="I9217" s="135" t="n">
        <f aca="false">$G9217*'Analyse capacite'!$C$9</f>
        <v>0</v>
      </c>
      <c r="J9217" s="135" t="n">
        <f aca="false">$G9217*'Analyse capacite'!$D$9</f>
        <v>0</v>
      </c>
      <c r="K9217" s="135" t="n">
        <f aca="false">$G9217*'Analyse capacite'!$E$9</f>
        <v>0</v>
      </c>
    </row>
    <row r="9218" customFormat="false" ht="15" hidden="false" customHeight="false" outlineLevel="0" collapsed="false">
      <c r="B9218" s="130" t="n">
        <v>2027</v>
      </c>
      <c r="C9218" s="131" t="s">
        <v>254</v>
      </c>
      <c r="D9218" s="132" t="n">
        <v>46733</v>
      </c>
      <c r="E9218" s="131" t="s">
        <v>62</v>
      </c>
      <c r="F9218" s="133" t="s">
        <v>11</v>
      </c>
      <c r="G9218" s="134" t="n">
        <f aca="false">LEN('Saisie programme'!$J$358)+SUMIFS('Vols additionnels'!$E$7:$E$66,'Vols additionnels'!$C$7:$C$66,$E9218,'Vols additionnels'!$D$7:$D$66,$F9218,'Vols additionnels'!$B$7:$B$66,$D9218)</f>
        <v>0</v>
      </c>
      <c r="H9218" s="135" t="n">
        <f aca="false">$G9218*'Analyse capacite'!$F$7</f>
        <v>0</v>
      </c>
      <c r="I9218" s="135" t="n">
        <f aca="false">$G9218*'Analyse capacite'!$C$7</f>
        <v>0</v>
      </c>
      <c r="J9218" s="135" t="n">
        <f aca="false">$G9218*'Analyse capacite'!$D$7</f>
        <v>0</v>
      </c>
      <c r="K9218" s="135" t="n">
        <f aca="false">$G9218*'Analyse capacite'!$E$7</f>
        <v>0</v>
      </c>
    </row>
    <row r="9219" customFormat="false" ht="15" hidden="false" customHeight="false" outlineLevel="0" collapsed="false">
      <c r="B9219" s="130" t="n">
        <v>2027</v>
      </c>
      <c r="C9219" s="131" t="s">
        <v>254</v>
      </c>
      <c r="D9219" s="132" t="n">
        <v>46733</v>
      </c>
      <c r="E9219" s="131" t="s">
        <v>62</v>
      </c>
      <c r="F9219" s="133" t="s">
        <v>19</v>
      </c>
      <c r="G9219" s="134" t="n">
        <f aca="false">LEN('Saisie programme'!$J$359)+SUMIFS('Vols additionnels'!$E$7:$E$66,'Vols additionnels'!$C$7:$C$66,$E9219,'Vols additionnels'!$D$7:$D$66,$F9219,'Vols additionnels'!$B$7:$B$66,$D9219)</f>
        <v>0</v>
      </c>
      <c r="H9219" s="135" t="n">
        <f aca="false">$G9219*'Analyse capacite'!$F$8</f>
        <v>0</v>
      </c>
      <c r="I9219" s="135" t="n">
        <f aca="false">$G9219*'Analyse capacite'!$C$8</f>
        <v>0</v>
      </c>
      <c r="J9219" s="135" t="n">
        <f aca="false">$G9219*'Analyse capacite'!$D$8</f>
        <v>0</v>
      </c>
      <c r="K9219" s="135" t="n">
        <f aca="false">$G9219*'Analyse capacite'!$E$8</f>
        <v>0</v>
      </c>
    </row>
    <row r="9220" customFormat="false" ht="15" hidden="false" customHeight="false" outlineLevel="0" collapsed="false">
      <c r="B9220" s="130" t="n">
        <v>2027</v>
      </c>
      <c r="C9220" s="131" t="s">
        <v>254</v>
      </c>
      <c r="D9220" s="132" t="n">
        <v>46733</v>
      </c>
      <c r="E9220" s="131" t="s">
        <v>62</v>
      </c>
      <c r="F9220" s="133" t="s">
        <v>24</v>
      </c>
      <c r="G9220" s="134" t="n">
        <f aca="false">LEN('Saisie programme'!$J$360)+SUMIFS('Vols additionnels'!$E$7:$E$66,'Vols additionnels'!$C$7:$C$66,$E9220,'Vols additionnels'!$D$7:$D$66,$F9220,'Vols additionnels'!$B$7:$B$66,$D9220)</f>
        <v>1</v>
      </c>
      <c r="H9220" s="135" t="n">
        <f aca="false">$G9220*'Analyse capacite'!$F$9</f>
        <v>174</v>
      </c>
      <c r="I9220" s="135" t="n">
        <f aca="false">$G9220*'Analyse capacite'!$C$9</f>
        <v>0</v>
      </c>
      <c r="J9220" s="135" t="n">
        <f aca="false">$G9220*'Analyse capacite'!$D$9</f>
        <v>12</v>
      </c>
      <c r="K9220" s="135" t="n">
        <f aca="false">$G9220*'Analyse capacite'!$E$9</f>
        <v>162</v>
      </c>
    </row>
    <row r="9221" customFormat="false" ht="15" hidden="false" customHeight="false" outlineLevel="0" collapsed="false">
      <c r="B9221" s="130" t="n">
        <v>2027</v>
      </c>
      <c r="C9221" s="131" t="s">
        <v>254</v>
      </c>
      <c r="D9221" s="132" t="n">
        <v>46734</v>
      </c>
      <c r="E9221" s="131" t="s">
        <v>12</v>
      </c>
      <c r="F9221" s="133" t="s">
        <v>11</v>
      </c>
      <c r="G9221" s="134" t="n">
        <f aca="false">LEN('Saisie programme'!$D$325)+SUMIFS('Vols additionnels'!$E$7:$E$66,'Vols additionnels'!$C$7:$C$66,$E9221,'Vols additionnels'!$D$7:$D$66,$F9221,'Vols additionnels'!$B$7:$B$66,$D9221)</f>
        <v>1</v>
      </c>
      <c r="H9221" s="135" t="n">
        <f aca="false">$G9221*'Analyse capacite'!$F$7</f>
        <v>438</v>
      </c>
      <c r="I9221" s="135" t="n">
        <f aca="false">$G9221*'Analyse capacite'!$C$7</f>
        <v>14</v>
      </c>
      <c r="J9221" s="135" t="n">
        <f aca="false">$G9221*'Analyse capacite'!$D$7</f>
        <v>40</v>
      </c>
      <c r="K9221" s="135" t="n">
        <f aca="false">$G9221*'Analyse capacite'!$E$7</f>
        <v>384</v>
      </c>
    </row>
    <row r="9222" customFormat="false" ht="15" hidden="false" customHeight="false" outlineLevel="0" collapsed="false">
      <c r="B9222" s="130" t="n">
        <v>2027</v>
      </c>
      <c r="C9222" s="131" t="s">
        <v>254</v>
      </c>
      <c r="D9222" s="132" t="n">
        <v>46734</v>
      </c>
      <c r="E9222" s="131" t="s">
        <v>12</v>
      </c>
      <c r="F9222" s="133" t="s">
        <v>19</v>
      </c>
      <c r="G9222" s="134" t="n">
        <f aca="false">LEN('Saisie programme'!$D$326)+SUMIFS('Vols additionnels'!$E$7:$E$66,'Vols additionnels'!$C$7:$C$66,$E9222,'Vols additionnels'!$D$7:$D$66,$F9222,'Vols additionnels'!$B$7:$B$66,$D9222)</f>
        <v>1</v>
      </c>
      <c r="H9222" s="135" t="n">
        <f aca="false">$G9222*'Analyse capacite'!$F$8</f>
        <v>262</v>
      </c>
      <c r="I9222" s="135" t="n">
        <f aca="false">$G9222*'Analyse capacite'!$C$8</f>
        <v>18</v>
      </c>
      <c r="J9222" s="135" t="n">
        <f aca="false">$G9222*'Analyse capacite'!$D$8</f>
        <v>0</v>
      </c>
      <c r="K9222" s="135" t="n">
        <f aca="false">$G9222*'Analyse capacite'!$E$8</f>
        <v>244</v>
      </c>
    </row>
    <row r="9223" customFormat="false" ht="15" hidden="false" customHeight="false" outlineLevel="0" collapsed="false">
      <c r="B9223" s="130" t="n">
        <v>2027</v>
      </c>
      <c r="C9223" s="131" t="s">
        <v>254</v>
      </c>
      <c r="D9223" s="132" t="n">
        <v>46734</v>
      </c>
      <c r="E9223" s="131" t="s">
        <v>12</v>
      </c>
      <c r="F9223" s="133" t="s">
        <v>24</v>
      </c>
      <c r="G9223" s="134" t="n">
        <f aca="false">LEN('Saisie programme'!$D$327)+SUMIFS('Vols additionnels'!$E$7:$E$66,'Vols additionnels'!$C$7:$C$66,$E9223,'Vols additionnels'!$D$7:$D$66,$F9223,'Vols additionnels'!$B$7:$B$66,$D9223)</f>
        <v>2</v>
      </c>
      <c r="H9223" s="135" t="n">
        <f aca="false">$G9223*'Analyse capacite'!$F$9</f>
        <v>348</v>
      </c>
      <c r="I9223" s="135" t="n">
        <f aca="false">$G9223*'Analyse capacite'!$C$9</f>
        <v>0</v>
      </c>
      <c r="J9223" s="135" t="n">
        <f aca="false">$G9223*'Analyse capacite'!$D$9</f>
        <v>24</v>
      </c>
      <c r="K9223" s="135" t="n">
        <f aca="false">$G9223*'Analyse capacite'!$E$9</f>
        <v>324</v>
      </c>
    </row>
    <row r="9224" customFormat="false" ht="15" hidden="false" customHeight="false" outlineLevel="0" collapsed="false">
      <c r="B9224" s="130" t="n">
        <v>2027</v>
      </c>
      <c r="C9224" s="131" t="s">
        <v>254</v>
      </c>
      <c r="D9224" s="132" t="n">
        <v>46734</v>
      </c>
      <c r="E9224" s="131" t="s">
        <v>20</v>
      </c>
      <c r="F9224" s="133" t="s">
        <v>11</v>
      </c>
      <c r="G9224" s="134" t="n">
        <f aca="false">LEN('Saisie programme'!$D$328)+SUMIFS('Vols additionnels'!$E$7:$E$66,'Vols additionnels'!$C$7:$C$66,$E9224,'Vols additionnels'!$D$7:$D$66,$F9224,'Vols additionnels'!$B$7:$B$66,$D9224)</f>
        <v>0</v>
      </c>
      <c r="H9224" s="135" t="n">
        <f aca="false">$G9224*'Analyse capacite'!$F$7</f>
        <v>0</v>
      </c>
      <c r="I9224" s="135" t="n">
        <f aca="false">$G9224*'Analyse capacite'!$C$7</f>
        <v>0</v>
      </c>
      <c r="J9224" s="135" t="n">
        <f aca="false">$G9224*'Analyse capacite'!$D$7</f>
        <v>0</v>
      </c>
      <c r="K9224" s="135" t="n">
        <f aca="false">$G9224*'Analyse capacite'!$E$7</f>
        <v>0</v>
      </c>
    </row>
    <row r="9225" customFormat="false" ht="15" hidden="false" customHeight="false" outlineLevel="0" collapsed="false">
      <c r="B9225" s="130" t="n">
        <v>2027</v>
      </c>
      <c r="C9225" s="131" t="s">
        <v>254</v>
      </c>
      <c r="D9225" s="132" t="n">
        <v>46734</v>
      </c>
      <c r="E9225" s="131" t="s">
        <v>20</v>
      </c>
      <c r="F9225" s="133" t="s">
        <v>19</v>
      </c>
      <c r="G9225" s="134" t="n">
        <f aca="false">LEN('Saisie programme'!$D$329)+SUMIFS('Vols additionnels'!$E$7:$E$66,'Vols additionnels'!$C$7:$C$66,$E9225,'Vols additionnels'!$D$7:$D$66,$F9225,'Vols additionnels'!$B$7:$B$66,$D9225)</f>
        <v>0</v>
      </c>
      <c r="H9225" s="135" t="n">
        <f aca="false">$G9225*'Analyse capacite'!$F$8</f>
        <v>0</v>
      </c>
      <c r="I9225" s="135" t="n">
        <f aca="false">$G9225*'Analyse capacite'!$C$8</f>
        <v>0</v>
      </c>
      <c r="J9225" s="135" t="n">
        <f aca="false">$G9225*'Analyse capacite'!$D$8</f>
        <v>0</v>
      </c>
      <c r="K9225" s="135" t="n">
        <f aca="false">$G9225*'Analyse capacite'!$E$8</f>
        <v>0</v>
      </c>
    </row>
    <row r="9226" customFormat="false" ht="15" hidden="false" customHeight="false" outlineLevel="0" collapsed="false">
      <c r="B9226" s="130" t="n">
        <v>2027</v>
      </c>
      <c r="C9226" s="131" t="s">
        <v>254</v>
      </c>
      <c r="D9226" s="132" t="n">
        <v>46734</v>
      </c>
      <c r="E9226" s="131" t="s">
        <v>20</v>
      </c>
      <c r="F9226" s="133" t="s">
        <v>24</v>
      </c>
      <c r="G9226" s="134" t="n">
        <f aca="false">LEN('Saisie programme'!$D$330)+SUMIFS('Vols additionnels'!$E$7:$E$66,'Vols additionnels'!$C$7:$C$66,$E9226,'Vols additionnels'!$D$7:$D$66,$F9226,'Vols additionnels'!$B$7:$B$66,$D9226)</f>
        <v>0</v>
      </c>
      <c r="H9226" s="135" t="n">
        <f aca="false">$G9226*'Analyse capacite'!$F$9</f>
        <v>0</v>
      </c>
      <c r="I9226" s="135" t="n">
        <f aca="false">$G9226*'Analyse capacite'!$C$9</f>
        <v>0</v>
      </c>
      <c r="J9226" s="135" t="n">
        <f aca="false">$G9226*'Analyse capacite'!$D$9</f>
        <v>0</v>
      </c>
      <c r="K9226" s="135" t="n">
        <f aca="false">$G9226*'Analyse capacite'!$E$9</f>
        <v>0</v>
      </c>
    </row>
    <row r="9227" customFormat="false" ht="15" hidden="false" customHeight="false" outlineLevel="0" collapsed="false">
      <c r="B9227" s="130" t="n">
        <v>2027</v>
      </c>
      <c r="C9227" s="131" t="s">
        <v>254</v>
      </c>
      <c r="D9227" s="132" t="n">
        <v>46734</v>
      </c>
      <c r="E9227" s="131" t="s">
        <v>25</v>
      </c>
      <c r="F9227" s="133" t="s">
        <v>11</v>
      </c>
      <c r="G9227" s="134" t="n">
        <f aca="false">LEN('Saisie programme'!$D$331)+SUMIFS('Vols additionnels'!$E$7:$E$66,'Vols additionnels'!$C$7:$C$66,$E9227,'Vols additionnels'!$D$7:$D$66,$F9227,'Vols additionnels'!$B$7:$B$66,$D9227)</f>
        <v>0</v>
      </c>
      <c r="H9227" s="135" t="n">
        <f aca="false">$G9227*'Analyse capacite'!$F$7</f>
        <v>0</v>
      </c>
      <c r="I9227" s="135" t="n">
        <f aca="false">$G9227*'Analyse capacite'!$C$7</f>
        <v>0</v>
      </c>
      <c r="J9227" s="135" t="n">
        <f aca="false">$G9227*'Analyse capacite'!$D$7</f>
        <v>0</v>
      </c>
      <c r="K9227" s="135" t="n">
        <f aca="false">$G9227*'Analyse capacite'!$E$7</f>
        <v>0</v>
      </c>
    </row>
    <row r="9228" customFormat="false" ht="15" hidden="false" customHeight="false" outlineLevel="0" collapsed="false">
      <c r="B9228" s="130" t="n">
        <v>2027</v>
      </c>
      <c r="C9228" s="131" t="s">
        <v>254</v>
      </c>
      <c r="D9228" s="132" t="n">
        <v>46734</v>
      </c>
      <c r="E9228" s="131" t="s">
        <v>25</v>
      </c>
      <c r="F9228" s="133" t="s">
        <v>19</v>
      </c>
      <c r="G9228" s="134" t="n">
        <f aca="false">LEN('Saisie programme'!$D$332)+SUMIFS('Vols additionnels'!$E$7:$E$66,'Vols additionnels'!$C$7:$C$66,$E9228,'Vols additionnels'!$D$7:$D$66,$F9228,'Vols additionnels'!$B$7:$B$66,$D9228)</f>
        <v>0</v>
      </c>
      <c r="H9228" s="135" t="n">
        <f aca="false">$G9228*'Analyse capacite'!$F$8</f>
        <v>0</v>
      </c>
      <c r="I9228" s="135" t="n">
        <f aca="false">$G9228*'Analyse capacite'!$C$8</f>
        <v>0</v>
      </c>
      <c r="J9228" s="135" t="n">
        <f aca="false">$G9228*'Analyse capacite'!$D$8</f>
        <v>0</v>
      </c>
      <c r="K9228" s="135" t="n">
        <f aca="false">$G9228*'Analyse capacite'!$E$8</f>
        <v>0</v>
      </c>
    </row>
    <row r="9229" customFormat="false" ht="15" hidden="false" customHeight="false" outlineLevel="0" collapsed="false">
      <c r="B9229" s="130" t="n">
        <v>2027</v>
      </c>
      <c r="C9229" s="131" t="s">
        <v>254</v>
      </c>
      <c r="D9229" s="132" t="n">
        <v>46734</v>
      </c>
      <c r="E9229" s="131" t="s">
        <v>25</v>
      </c>
      <c r="F9229" s="133" t="s">
        <v>24</v>
      </c>
      <c r="G9229" s="134" t="n">
        <f aca="false">LEN('Saisie programme'!$D$333)+SUMIFS('Vols additionnels'!$E$7:$E$66,'Vols additionnels'!$C$7:$C$66,$E9229,'Vols additionnels'!$D$7:$D$66,$F9229,'Vols additionnels'!$B$7:$B$66,$D9229)</f>
        <v>0</v>
      </c>
      <c r="H9229" s="135" t="n">
        <f aca="false">$G9229*'Analyse capacite'!$F$9</f>
        <v>0</v>
      </c>
      <c r="I9229" s="135" t="n">
        <f aca="false">$G9229*'Analyse capacite'!$C$9</f>
        <v>0</v>
      </c>
      <c r="J9229" s="135" t="n">
        <f aca="false">$G9229*'Analyse capacite'!$D$9</f>
        <v>0</v>
      </c>
      <c r="K9229" s="135" t="n">
        <f aca="false">$G9229*'Analyse capacite'!$E$9</f>
        <v>0</v>
      </c>
    </row>
    <row r="9230" customFormat="false" ht="15" hidden="false" customHeight="false" outlineLevel="0" collapsed="false">
      <c r="B9230" s="130" t="n">
        <v>2027</v>
      </c>
      <c r="C9230" s="131" t="s">
        <v>254</v>
      </c>
      <c r="D9230" s="132" t="n">
        <v>46734</v>
      </c>
      <c r="E9230" s="131" t="s">
        <v>36</v>
      </c>
      <c r="F9230" s="133" t="s">
        <v>11</v>
      </c>
      <c r="G9230" s="134" t="n">
        <f aca="false">LEN('Saisie programme'!$D$334)+SUMIFS('Vols additionnels'!$E$7:$E$66,'Vols additionnels'!$C$7:$C$66,$E9230,'Vols additionnels'!$D$7:$D$66,$F9230,'Vols additionnels'!$B$7:$B$66,$D9230)</f>
        <v>0</v>
      </c>
      <c r="H9230" s="135" t="n">
        <f aca="false">$G9230*'Analyse capacite'!$F$7</f>
        <v>0</v>
      </c>
      <c r="I9230" s="135" t="n">
        <f aca="false">$G9230*'Analyse capacite'!$C$7</f>
        <v>0</v>
      </c>
      <c r="J9230" s="135" t="n">
        <f aca="false">$G9230*'Analyse capacite'!$D$7</f>
        <v>0</v>
      </c>
      <c r="K9230" s="135" t="n">
        <f aca="false">$G9230*'Analyse capacite'!$E$7</f>
        <v>0</v>
      </c>
    </row>
    <row r="9231" customFormat="false" ht="15" hidden="false" customHeight="false" outlineLevel="0" collapsed="false">
      <c r="B9231" s="130" t="n">
        <v>2027</v>
      </c>
      <c r="C9231" s="131" t="s">
        <v>254</v>
      </c>
      <c r="D9231" s="132" t="n">
        <v>46734</v>
      </c>
      <c r="E9231" s="131" t="s">
        <v>36</v>
      </c>
      <c r="F9231" s="133" t="s">
        <v>19</v>
      </c>
      <c r="G9231" s="134" t="n">
        <f aca="false">LEN('Saisie programme'!$D$335)+SUMIFS('Vols additionnels'!$E$7:$E$66,'Vols additionnels'!$C$7:$C$66,$E9231,'Vols additionnels'!$D$7:$D$66,$F9231,'Vols additionnels'!$B$7:$B$66,$D9231)</f>
        <v>0</v>
      </c>
      <c r="H9231" s="135" t="n">
        <f aca="false">$G9231*'Analyse capacite'!$F$8</f>
        <v>0</v>
      </c>
      <c r="I9231" s="135" t="n">
        <f aca="false">$G9231*'Analyse capacite'!$C$8</f>
        <v>0</v>
      </c>
      <c r="J9231" s="135" t="n">
        <f aca="false">$G9231*'Analyse capacite'!$D$8</f>
        <v>0</v>
      </c>
      <c r="K9231" s="135" t="n">
        <f aca="false">$G9231*'Analyse capacite'!$E$8</f>
        <v>0</v>
      </c>
    </row>
    <row r="9232" customFormat="false" ht="15" hidden="false" customHeight="false" outlineLevel="0" collapsed="false">
      <c r="B9232" s="130" t="n">
        <v>2027</v>
      </c>
      <c r="C9232" s="131" t="s">
        <v>254</v>
      </c>
      <c r="D9232" s="132" t="n">
        <v>46734</v>
      </c>
      <c r="E9232" s="131" t="s">
        <v>36</v>
      </c>
      <c r="F9232" s="133" t="s">
        <v>24</v>
      </c>
      <c r="G9232" s="134" t="n">
        <f aca="false">LEN('Saisie programme'!$D$336)+SUMIFS('Vols additionnels'!$E$7:$E$66,'Vols additionnels'!$C$7:$C$66,$E9232,'Vols additionnels'!$D$7:$D$66,$F9232,'Vols additionnels'!$B$7:$B$66,$D9232)</f>
        <v>1</v>
      </c>
      <c r="H9232" s="135" t="n">
        <f aca="false">$G9232*'Analyse capacite'!$F$9</f>
        <v>174</v>
      </c>
      <c r="I9232" s="135" t="n">
        <f aca="false">$G9232*'Analyse capacite'!$C$9</f>
        <v>0</v>
      </c>
      <c r="J9232" s="135" t="n">
        <f aca="false">$G9232*'Analyse capacite'!$D$9</f>
        <v>12</v>
      </c>
      <c r="K9232" s="135" t="n">
        <f aca="false">$G9232*'Analyse capacite'!$E$9</f>
        <v>162</v>
      </c>
    </row>
    <row r="9233" customFormat="false" ht="15" hidden="false" customHeight="false" outlineLevel="0" collapsed="false">
      <c r="B9233" s="130" t="n">
        <v>2027</v>
      </c>
      <c r="C9233" s="131" t="s">
        <v>254</v>
      </c>
      <c r="D9233" s="132" t="n">
        <v>46734</v>
      </c>
      <c r="E9233" s="131" t="s">
        <v>40</v>
      </c>
      <c r="F9233" s="133" t="s">
        <v>11</v>
      </c>
      <c r="G9233" s="134" t="n">
        <f aca="false">LEN('Saisie programme'!$D$337)+SUMIFS('Vols additionnels'!$E$7:$E$66,'Vols additionnels'!$C$7:$C$66,$E9233,'Vols additionnels'!$D$7:$D$66,$F9233,'Vols additionnels'!$B$7:$B$66,$D9233)</f>
        <v>0</v>
      </c>
      <c r="H9233" s="135" t="n">
        <f aca="false">$G9233*'Analyse capacite'!$F$7</f>
        <v>0</v>
      </c>
      <c r="I9233" s="135" t="n">
        <f aca="false">$G9233*'Analyse capacite'!$C$7</f>
        <v>0</v>
      </c>
      <c r="J9233" s="135" t="n">
        <f aca="false">$G9233*'Analyse capacite'!$D$7</f>
        <v>0</v>
      </c>
      <c r="K9233" s="135" t="n">
        <f aca="false">$G9233*'Analyse capacite'!$E$7</f>
        <v>0</v>
      </c>
    </row>
    <row r="9234" customFormat="false" ht="15" hidden="false" customHeight="false" outlineLevel="0" collapsed="false">
      <c r="B9234" s="130" t="n">
        <v>2027</v>
      </c>
      <c r="C9234" s="131" t="s">
        <v>254</v>
      </c>
      <c r="D9234" s="132" t="n">
        <v>46734</v>
      </c>
      <c r="E9234" s="131" t="s">
        <v>40</v>
      </c>
      <c r="F9234" s="133" t="s">
        <v>19</v>
      </c>
      <c r="G9234" s="134" t="n">
        <f aca="false">LEN('Saisie programme'!$D$338)+SUMIFS('Vols additionnels'!$E$7:$E$66,'Vols additionnels'!$C$7:$C$66,$E9234,'Vols additionnels'!$D$7:$D$66,$F9234,'Vols additionnels'!$B$7:$B$66,$D9234)</f>
        <v>0</v>
      </c>
      <c r="H9234" s="135" t="n">
        <f aca="false">$G9234*'Analyse capacite'!$F$8</f>
        <v>0</v>
      </c>
      <c r="I9234" s="135" t="n">
        <f aca="false">$G9234*'Analyse capacite'!$C$8</f>
        <v>0</v>
      </c>
      <c r="J9234" s="135" t="n">
        <f aca="false">$G9234*'Analyse capacite'!$D$8</f>
        <v>0</v>
      </c>
      <c r="K9234" s="135" t="n">
        <f aca="false">$G9234*'Analyse capacite'!$E$8</f>
        <v>0</v>
      </c>
    </row>
    <row r="9235" customFormat="false" ht="15" hidden="false" customHeight="false" outlineLevel="0" collapsed="false">
      <c r="B9235" s="130" t="n">
        <v>2027</v>
      </c>
      <c r="C9235" s="131" t="s">
        <v>254</v>
      </c>
      <c r="D9235" s="132" t="n">
        <v>46734</v>
      </c>
      <c r="E9235" s="131" t="s">
        <v>40</v>
      </c>
      <c r="F9235" s="133" t="s">
        <v>24</v>
      </c>
      <c r="G9235" s="134" t="n">
        <f aca="false">LEN('Saisie programme'!$D$339)+SUMIFS('Vols additionnels'!$E$7:$E$66,'Vols additionnels'!$C$7:$C$66,$E9235,'Vols additionnels'!$D$7:$D$66,$F9235,'Vols additionnels'!$B$7:$B$66,$D9235)</f>
        <v>1</v>
      </c>
      <c r="H9235" s="135" t="n">
        <f aca="false">$G9235*'Analyse capacite'!$F$9</f>
        <v>174</v>
      </c>
      <c r="I9235" s="135" t="n">
        <f aca="false">$G9235*'Analyse capacite'!$C$9</f>
        <v>0</v>
      </c>
      <c r="J9235" s="135" t="n">
        <f aca="false">$G9235*'Analyse capacite'!$D$9</f>
        <v>12</v>
      </c>
      <c r="K9235" s="135" t="n">
        <f aca="false">$G9235*'Analyse capacite'!$E$9</f>
        <v>162</v>
      </c>
    </row>
    <row r="9236" customFormat="false" ht="15" hidden="false" customHeight="false" outlineLevel="0" collapsed="false">
      <c r="B9236" s="130" t="n">
        <v>2027</v>
      </c>
      <c r="C9236" s="131" t="s">
        <v>254</v>
      </c>
      <c r="D9236" s="132" t="n">
        <v>46734</v>
      </c>
      <c r="E9236" s="131" t="s">
        <v>14</v>
      </c>
      <c r="F9236" s="133" t="s">
        <v>11</v>
      </c>
      <c r="G9236" s="134" t="n">
        <f aca="false">LEN('Saisie programme'!$D$340)+SUMIFS('Vols additionnels'!$E$7:$E$66,'Vols additionnels'!$C$7:$C$66,$E9236,'Vols additionnels'!$D$7:$D$66,$F9236,'Vols additionnels'!$B$7:$B$66,$D9236)</f>
        <v>0</v>
      </c>
      <c r="H9236" s="135" t="n">
        <f aca="false">$G9236*'Analyse capacite'!$F$7</f>
        <v>0</v>
      </c>
      <c r="I9236" s="135" t="n">
        <f aca="false">$G9236*'Analyse capacite'!$C$7</f>
        <v>0</v>
      </c>
      <c r="J9236" s="135" t="n">
        <f aca="false">$G9236*'Analyse capacite'!$D$7</f>
        <v>0</v>
      </c>
      <c r="K9236" s="135" t="n">
        <f aca="false">$G9236*'Analyse capacite'!$E$7</f>
        <v>0</v>
      </c>
    </row>
    <row r="9237" customFormat="false" ht="15" hidden="false" customHeight="false" outlineLevel="0" collapsed="false">
      <c r="B9237" s="130" t="n">
        <v>2027</v>
      </c>
      <c r="C9237" s="131" t="s">
        <v>254</v>
      </c>
      <c r="D9237" s="132" t="n">
        <v>46734</v>
      </c>
      <c r="E9237" s="131" t="s">
        <v>14</v>
      </c>
      <c r="F9237" s="133" t="s">
        <v>19</v>
      </c>
      <c r="G9237" s="134" t="n">
        <f aca="false">LEN('Saisie programme'!$D$341)+SUMIFS('Vols additionnels'!$E$7:$E$66,'Vols additionnels'!$C$7:$C$66,$E9237,'Vols additionnels'!$D$7:$D$66,$F9237,'Vols additionnels'!$B$7:$B$66,$D9237)</f>
        <v>0</v>
      </c>
      <c r="H9237" s="135" t="n">
        <f aca="false">$G9237*'Analyse capacite'!$F$8</f>
        <v>0</v>
      </c>
      <c r="I9237" s="135" t="n">
        <f aca="false">$G9237*'Analyse capacite'!$C$8</f>
        <v>0</v>
      </c>
      <c r="J9237" s="135" t="n">
        <f aca="false">$G9237*'Analyse capacite'!$D$8</f>
        <v>0</v>
      </c>
      <c r="K9237" s="135" t="n">
        <f aca="false">$G9237*'Analyse capacite'!$E$8</f>
        <v>0</v>
      </c>
    </row>
    <row r="9238" customFormat="false" ht="15" hidden="false" customHeight="false" outlineLevel="0" collapsed="false">
      <c r="B9238" s="130" t="n">
        <v>2027</v>
      </c>
      <c r="C9238" s="131" t="s">
        <v>254</v>
      </c>
      <c r="D9238" s="132" t="n">
        <v>46734</v>
      </c>
      <c r="E9238" s="131" t="s">
        <v>14</v>
      </c>
      <c r="F9238" s="133" t="s">
        <v>24</v>
      </c>
      <c r="G9238" s="134" t="n">
        <f aca="false">LEN('Saisie programme'!$D$342)+SUMIFS('Vols additionnels'!$E$7:$E$66,'Vols additionnels'!$C$7:$C$66,$E9238,'Vols additionnels'!$D$7:$D$66,$F9238,'Vols additionnels'!$B$7:$B$66,$D9238)</f>
        <v>1</v>
      </c>
      <c r="H9238" s="135" t="n">
        <f aca="false">$G9238*'Analyse capacite'!$F$9</f>
        <v>174</v>
      </c>
      <c r="I9238" s="135" t="n">
        <f aca="false">$G9238*'Analyse capacite'!$C$9</f>
        <v>0</v>
      </c>
      <c r="J9238" s="135" t="n">
        <f aca="false">$G9238*'Analyse capacite'!$D$9</f>
        <v>12</v>
      </c>
      <c r="K9238" s="135" t="n">
        <f aca="false">$G9238*'Analyse capacite'!$E$9</f>
        <v>162</v>
      </c>
    </row>
    <row r="9239" customFormat="false" ht="15" hidden="false" customHeight="false" outlineLevel="0" collapsed="false">
      <c r="B9239" s="130" t="n">
        <v>2027</v>
      </c>
      <c r="C9239" s="131" t="s">
        <v>254</v>
      </c>
      <c r="D9239" s="132" t="n">
        <v>46734</v>
      </c>
      <c r="E9239" s="131" t="s">
        <v>46</v>
      </c>
      <c r="F9239" s="133" t="s">
        <v>11</v>
      </c>
      <c r="G9239" s="134" t="n">
        <f aca="false">LEN('Saisie programme'!$D$343)+SUMIFS('Vols additionnels'!$E$7:$E$66,'Vols additionnels'!$C$7:$C$66,$E9239,'Vols additionnels'!$D$7:$D$66,$F9239,'Vols additionnels'!$B$7:$B$66,$D9239)</f>
        <v>0</v>
      </c>
      <c r="H9239" s="135" t="n">
        <f aca="false">$G9239*'Analyse capacite'!$F$7</f>
        <v>0</v>
      </c>
      <c r="I9239" s="135" t="n">
        <f aca="false">$G9239*'Analyse capacite'!$C$7</f>
        <v>0</v>
      </c>
      <c r="J9239" s="135" t="n">
        <f aca="false">$G9239*'Analyse capacite'!$D$7</f>
        <v>0</v>
      </c>
      <c r="K9239" s="135" t="n">
        <f aca="false">$G9239*'Analyse capacite'!$E$7</f>
        <v>0</v>
      </c>
    </row>
    <row r="9240" customFormat="false" ht="15" hidden="false" customHeight="false" outlineLevel="0" collapsed="false">
      <c r="B9240" s="130" t="n">
        <v>2027</v>
      </c>
      <c r="C9240" s="131" t="s">
        <v>254</v>
      </c>
      <c r="D9240" s="132" t="n">
        <v>46734</v>
      </c>
      <c r="E9240" s="131" t="s">
        <v>46</v>
      </c>
      <c r="F9240" s="133" t="s">
        <v>19</v>
      </c>
      <c r="G9240" s="134" t="n">
        <f aca="false">LEN('Saisie programme'!$D$344)+SUMIFS('Vols additionnels'!$E$7:$E$66,'Vols additionnels'!$C$7:$C$66,$E9240,'Vols additionnels'!$D$7:$D$66,$F9240,'Vols additionnels'!$B$7:$B$66,$D9240)</f>
        <v>0</v>
      </c>
      <c r="H9240" s="135" t="n">
        <f aca="false">$G9240*'Analyse capacite'!$F$8</f>
        <v>0</v>
      </c>
      <c r="I9240" s="135" t="n">
        <f aca="false">$G9240*'Analyse capacite'!$C$8</f>
        <v>0</v>
      </c>
      <c r="J9240" s="135" t="n">
        <f aca="false">$G9240*'Analyse capacite'!$D$8</f>
        <v>0</v>
      </c>
      <c r="K9240" s="135" t="n">
        <f aca="false">$G9240*'Analyse capacite'!$E$8</f>
        <v>0</v>
      </c>
    </row>
    <row r="9241" customFormat="false" ht="15" hidden="false" customHeight="false" outlineLevel="0" collapsed="false">
      <c r="B9241" s="130" t="n">
        <v>2027</v>
      </c>
      <c r="C9241" s="131" t="s">
        <v>254</v>
      </c>
      <c r="D9241" s="132" t="n">
        <v>46734</v>
      </c>
      <c r="E9241" s="131" t="s">
        <v>46</v>
      </c>
      <c r="F9241" s="133" t="s">
        <v>24</v>
      </c>
      <c r="G9241" s="134" t="n">
        <f aca="false">LEN('Saisie programme'!$D$345)+SUMIFS('Vols additionnels'!$E$7:$E$66,'Vols additionnels'!$C$7:$C$66,$E9241,'Vols additionnels'!$D$7:$D$66,$F9241,'Vols additionnels'!$B$7:$B$66,$D9241)</f>
        <v>0</v>
      </c>
      <c r="H9241" s="135" t="n">
        <f aca="false">$G9241*'Analyse capacite'!$F$9</f>
        <v>0</v>
      </c>
      <c r="I9241" s="135" t="n">
        <f aca="false">$G9241*'Analyse capacite'!$C$9</f>
        <v>0</v>
      </c>
      <c r="J9241" s="135" t="n">
        <f aca="false">$G9241*'Analyse capacite'!$D$9</f>
        <v>0</v>
      </c>
      <c r="K9241" s="135" t="n">
        <f aca="false">$G9241*'Analyse capacite'!$E$9</f>
        <v>0</v>
      </c>
    </row>
    <row r="9242" customFormat="false" ht="15" hidden="false" customHeight="false" outlineLevel="0" collapsed="false">
      <c r="B9242" s="130" t="n">
        <v>2027</v>
      </c>
      <c r="C9242" s="131" t="s">
        <v>254</v>
      </c>
      <c r="D9242" s="132" t="n">
        <v>46734</v>
      </c>
      <c r="E9242" s="131" t="s">
        <v>49</v>
      </c>
      <c r="F9242" s="133" t="s">
        <v>11</v>
      </c>
      <c r="G9242" s="134" t="n">
        <f aca="false">LEN('Saisie programme'!$D$346)+SUMIFS('Vols additionnels'!$E$7:$E$66,'Vols additionnels'!$C$7:$C$66,$E9242,'Vols additionnels'!$D$7:$D$66,$F9242,'Vols additionnels'!$B$7:$B$66,$D9242)</f>
        <v>0</v>
      </c>
      <c r="H9242" s="135" t="n">
        <f aca="false">$G9242*'Analyse capacite'!$F$7</f>
        <v>0</v>
      </c>
      <c r="I9242" s="135" t="n">
        <f aca="false">$G9242*'Analyse capacite'!$C$7</f>
        <v>0</v>
      </c>
      <c r="J9242" s="135" t="n">
        <f aca="false">$G9242*'Analyse capacite'!$D$7</f>
        <v>0</v>
      </c>
      <c r="K9242" s="135" t="n">
        <f aca="false">$G9242*'Analyse capacite'!$E$7</f>
        <v>0</v>
      </c>
    </row>
    <row r="9243" customFormat="false" ht="15" hidden="false" customHeight="false" outlineLevel="0" collapsed="false">
      <c r="B9243" s="130" t="n">
        <v>2027</v>
      </c>
      <c r="C9243" s="131" t="s">
        <v>254</v>
      </c>
      <c r="D9243" s="132" t="n">
        <v>46734</v>
      </c>
      <c r="E9243" s="131" t="s">
        <v>49</v>
      </c>
      <c r="F9243" s="133" t="s">
        <v>19</v>
      </c>
      <c r="G9243" s="134" t="n">
        <f aca="false">LEN('Saisie programme'!$D$347)+SUMIFS('Vols additionnels'!$E$7:$E$66,'Vols additionnels'!$C$7:$C$66,$E9243,'Vols additionnels'!$D$7:$D$66,$F9243,'Vols additionnels'!$B$7:$B$66,$D9243)</f>
        <v>1</v>
      </c>
      <c r="H9243" s="135" t="n">
        <f aca="false">$G9243*'Analyse capacite'!$F$8</f>
        <v>262</v>
      </c>
      <c r="I9243" s="135" t="n">
        <f aca="false">$G9243*'Analyse capacite'!$C$8</f>
        <v>18</v>
      </c>
      <c r="J9243" s="135" t="n">
        <f aca="false">$G9243*'Analyse capacite'!$D$8</f>
        <v>0</v>
      </c>
      <c r="K9243" s="135" t="n">
        <f aca="false">$G9243*'Analyse capacite'!$E$8</f>
        <v>244</v>
      </c>
    </row>
    <row r="9244" customFormat="false" ht="15" hidden="false" customHeight="false" outlineLevel="0" collapsed="false">
      <c r="B9244" s="130" t="n">
        <v>2027</v>
      </c>
      <c r="C9244" s="131" t="s">
        <v>254</v>
      </c>
      <c r="D9244" s="132" t="n">
        <v>46734</v>
      </c>
      <c r="E9244" s="131" t="s">
        <v>49</v>
      </c>
      <c r="F9244" s="133" t="s">
        <v>24</v>
      </c>
      <c r="G9244" s="134" t="n">
        <f aca="false">LEN('Saisie programme'!$D$348)+SUMIFS('Vols additionnels'!$E$7:$E$66,'Vols additionnels'!$C$7:$C$66,$E9244,'Vols additionnels'!$D$7:$D$66,$F9244,'Vols additionnels'!$B$7:$B$66,$D9244)</f>
        <v>0</v>
      </c>
      <c r="H9244" s="135" t="n">
        <f aca="false">$G9244*'Analyse capacite'!$F$9</f>
        <v>0</v>
      </c>
      <c r="I9244" s="135" t="n">
        <f aca="false">$G9244*'Analyse capacite'!$C$9</f>
        <v>0</v>
      </c>
      <c r="J9244" s="135" t="n">
        <f aca="false">$G9244*'Analyse capacite'!$D$9</f>
        <v>0</v>
      </c>
      <c r="K9244" s="135" t="n">
        <f aca="false">$G9244*'Analyse capacite'!$E$9</f>
        <v>0</v>
      </c>
    </row>
    <row r="9245" customFormat="false" ht="15" hidden="false" customHeight="false" outlineLevel="0" collapsed="false">
      <c r="B9245" s="130" t="n">
        <v>2027</v>
      </c>
      <c r="C9245" s="131" t="s">
        <v>254</v>
      </c>
      <c r="D9245" s="132" t="n">
        <v>46734</v>
      </c>
      <c r="E9245" s="131" t="s">
        <v>53</v>
      </c>
      <c r="F9245" s="133" t="s">
        <v>11</v>
      </c>
      <c r="G9245" s="134" t="n">
        <f aca="false">LEN('Saisie programme'!$D$349)+SUMIFS('Vols additionnels'!$E$7:$E$66,'Vols additionnels'!$C$7:$C$66,$E9245,'Vols additionnels'!$D$7:$D$66,$F9245,'Vols additionnels'!$B$7:$B$66,$D9245)</f>
        <v>0</v>
      </c>
      <c r="H9245" s="135" t="n">
        <f aca="false">$G9245*'Analyse capacite'!$F$7</f>
        <v>0</v>
      </c>
      <c r="I9245" s="135" t="n">
        <f aca="false">$G9245*'Analyse capacite'!$C$7</f>
        <v>0</v>
      </c>
      <c r="J9245" s="135" t="n">
        <f aca="false">$G9245*'Analyse capacite'!$D$7</f>
        <v>0</v>
      </c>
      <c r="K9245" s="135" t="n">
        <f aca="false">$G9245*'Analyse capacite'!$E$7</f>
        <v>0</v>
      </c>
    </row>
    <row r="9246" customFormat="false" ht="15" hidden="false" customHeight="false" outlineLevel="0" collapsed="false">
      <c r="B9246" s="130" t="n">
        <v>2027</v>
      </c>
      <c r="C9246" s="131" t="s">
        <v>254</v>
      </c>
      <c r="D9246" s="132" t="n">
        <v>46734</v>
      </c>
      <c r="E9246" s="131" t="s">
        <v>53</v>
      </c>
      <c r="F9246" s="133" t="s">
        <v>19</v>
      </c>
      <c r="G9246" s="134" t="n">
        <f aca="false">LEN('Saisie programme'!$D$350)+SUMIFS('Vols additionnels'!$E$7:$E$66,'Vols additionnels'!$C$7:$C$66,$E9246,'Vols additionnels'!$D$7:$D$66,$F9246,'Vols additionnels'!$B$7:$B$66,$D9246)</f>
        <v>0</v>
      </c>
      <c r="H9246" s="135" t="n">
        <f aca="false">$G9246*'Analyse capacite'!$F$8</f>
        <v>0</v>
      </c>
      <c r="I9246" s="135" t="n">
        <f aca="false">$G9246*'Analyse capacite'!$C$8</f>
        <v>0</v>
      </c>
      <c r="J9246" s="135" t="n">
        <f aca="false">$G9246*'Analyse capacite'!$D$8</f>
        <v>0</v>
      </c>
      <c r="K9246" s="135" t="n">
        <f aca="false">$G9246*'Analyse capacite'!$E$8</f>
        <v>0</v>
      </c>
    </row>
    <row r="9247" customFormat="false" ht="15" hidden="false" customHeight="false" outlineLevel="0" collapsed="false">
      <c r="B9247" s="130" t="n">
        <v>2027</v>
      </c>
      <c r="C9247" s="131" t="s">
        <v>254</v>
      </c>
      <c r="D9247" s="132" t="n">
        <v>46734</v>
      </c>
      <c r="E9247" s="131" t="s">
        <v>53</v>
      </c>
      <c r="F9247" s="133" t="s">
        <v>24</v>
      </c>
      <c r="G9247" s="134" t="n">
        <f aca="false">LEN('Saisie programme'!$D$351)+SUMIFS('Vols additionnels'!$E$7:$E$66,'Vols additionnels'!$C$7:$C$66,$E9247,'Vols additionnels'!$D$7:$D$66,$F9247,'Vols additionnels'!$B$7:$B$66,$D9247)</f>
        <v>0</v>
      </c>
      <c r="H9247" s="135" t="n">
        <f aca="false">$G9247*'Analyse capacite'!$F$9</f>
        <v>0</v>
      </c>
      <c r="I9247" s="135" t="n">
        <f aca="false">$G9247*'Analyse capacite'!$C$9</f>
        <v>0</v>
      </c>
      <c r="J9247" s="135" t="n">
        <f aca="false">$G9247*'Analyse capacite'!$D$9</f>
        <v>0</v>
      </c>
      <c r="K9247" s="135" t="n">
        <f aca="false">$G9247*'Analyse capacite'!$E$9</f>
        <v>0</v>
      </c>
    </row>
    <row r="9248" customFormat="false" ht="15" hidden="false" customHeight="false" outlineLevel="0" collapsed="false">
      <c r="B9248" s="130" t="n">
        <v>2027</v>
      </c>
      <c r="C9248" s="131" t="s">
        <v>254</v>
      </c>
      <c r="D9248" s="132" t="n">
        <v>46734</v>
      </c>
      <c r="E9248" s="131" t="s">
        <v>56</v>
      </c>
      <c r="F9248" s="133" t="s">
        <v>11</v>
      </c>
      <c r="G9248" s="134" t="n">
        <f aca="false">LEN('Saisie programme'!$D$352)+SUMIFS('Vols additionnels'!$E$7:$E$66,'Vols additionnels'!$C$7:$C$66,$E9248,'Vols additionnels'!$D$7:$D$66,$F9248,'Vols additionnels'!$B$7:$B$66,$D9248)</f>
        <v>0</v>
      </c>
      <c r="H9248" s="135" t="n">
        <f aca="false">$G9248*'Analyse capacite'!$F$7</f>
        <v>0</v>
      </c>
      <c r="I9248" s="135" t="n">
        <f aca="false">$G9248*'Analyse capacite'!$C$7</f>
        <v>0</v>
      </c>
      <c r="J9248" s="135" t="n">
        <f aca="false">$G9248*'Analyse capacite'!$D$7</f>
        <v>0</v>
      </c>
      <c r="K9248" s="135" t="n">
        <f aca="false">$G9248*'Analyse capacite'!$E$7</f>
        <v>0</v>
      </c>
    </row>
    <row r="9249" customFormat="false" ht="15" hidden="false" customHeight="false" outlineLevel="0" collapsed="false">
      <c r="B9249" s="130" t="n">
        <v>2027</v>
      </c>
      <c r="C9249" s="131" t="s">
        <v>254</v>
      </c>
      <c r="D9249" s="132" t="n">
        <v>46734</v>
      </c>
      <c r="E9249" s="131" t="s">
        <v>56</v>
      </c>
      <c r="F9249" s="133" t="s">
        <v>19</v>
      </c>
      <c r="G9249" s="134" t="n">
        <f aca="false">LEN('Saisie programme'!$D$353)+SUMIFS('Vols additionnels'!$E$7:$E$66,'Vols additionnels'!$C$7:$C$66,$E9249,'Vols additionnels'!$D$7:$D$66,$F9249,'Vols additionnels'!$B$7:$B$66,$D9249)</f>
        <v>0</v>
      </c>
      <c r="H9249" s="135" t="n">
        <f aca="false">$G9249*'Analyse capacite'!$F$8</f>
        <v>0</v>
      </c>
      <c r="I9249" s="135" t="n">
        <f aca="false">$G9249*'Analyse capacite'!$C$8</f>
        <v>0</v>
      </c>
      <c r="J9249" s="135" t="n">
        <f aca="false">$G9249*'Analyse capacite'!$D$8</f>
        <v>0</v>
      </c>
      <c r="K9249" s="135" t="n">
        <f aca="false">$G9249*'Analyse capacite'!$E$8</f>
        <v>0</v>
      </c>
    </row>
    <row r="9250" customFormat="false" ht="15" hidden="false" customHeight="false" outlineLevel="0" collapsed="false">
      <c r="B9250" s="130" t="n">
        <v>2027</v>
      </c>
      <c r="C9250" s="131" t="s">
        <v>254</v>
      </c>
      <c r="D9250" s="132" t="n">
        <v>46734</v>
      </c>
      <c r="E9250" s="131" t="s">
        <v>56</v>
      </c>
      <c r="F9250" s="133" t="s">
        <v>24</v>
      </c>
      <c r="G9250" s="134" t="n">
        <f aca="false">LEN('Saisie programme'!$D$354)+SUMIFS('Vols additionnels'!$E$7:$E$66,'Vols additionnels'!$C$7:$C$66,$E9250,'Vols additionnels'!$D$7:$D$66,$F9250,'Vols additionnels'!$B$7:$B$66,$D9250)</f>
        <v>0</v>
      </c>
      <c r="H9250" s="135" t="n">
        <f aca="false">$G9250*'Analyse capacite'!$F$9</f>
        <v>0</v>
      </c>
      <c r="I9250" s="135" t="n">
        <f aca="false">$G9250*'Analyse capacite'!$C$9</f>
        <v>0</v>
      </c>
      <c r="J9250" s="135" t="n">
        <f aca="false">$G9250*'Analyse capacite'!$D$9</f>
        <v>0</v>
      </c>
      <c r="K9250" s="135" t="n">
        <f aca="false">$G9250*'Analyse capacite'!$E$9</f>
        <v>0</v>
      </c>
    </row>
    <row r="9251" customFormat="false" ht="15" hidden="false" customHeight="false" outlineLevel="0" collapsed="false">
      <c r="B9251" s="130" t="n">
        <v>2027</v>
      </c>
      <c r="C9251" s="131" t="s">
        <v>254</v>
      </c>
      <c r="D9251" s="132" t="n">
        <v>46734</v>
      </c>
      <c r="E9251" s="131" t="s">
        <v>59</v>
      </c>
      <c r="F9251" s="133" t="s">
        <v>11</v>
      </c>
      <c r="G9251" s="134" t="n">
        <f aca="false">LEN('Saisie programme'!$D$355)+SUMIFS('Vols additionnels'!$E$7:$E$66,'Vols additionnels'!$C$7:$C$66,$E9251,'Vols additionnels'!$D$7:$D$66,$F9251,'Vols additionnels'!$B$7:$B$66,$D9251)</f>
        <v>0</v>
      </c>
      <c r="H9251" s="135" t="n">
        <f aca="false">$G9251*'Analyse capacite'!$F$7</f>
        <v>0</v>
      </c>
      <c r="I9251" s="135" t="n">
        <f aca="false">$G9251*'Analyse capacite'!$C$7</f>
        <v>0</v>
      </c>
      <c r="J9251" s="135" t="n">
        <f aca="false">$G9251*'Analyse capacite'!$D$7</f>
        <v>0</v>
      </c>
      <c r="K9251" s="135" t="n">
        <f aca="false">$G9251*'Analyse capacite'!$E$7</f>
        <v>0</v>
      </c>
    </row>
    <row r="9252" customFormat="false" ht="15" hidden="false" customHeight="false" outlineLevel="0" collapsed="false">
      <c r="B9252" s="130" t="n">
        <v>2027</v>
      </c>
      <c r="C9252" s="131" t="s">
        <v>254</v>
      </c>
      <c r="D9252" s="132" t="n">
        <v>46734</v>
      </c>
      <c r="E9252" s="131" t="s">
        <v>59</v>
      </c>
      <c r="F9252" s="133" t="s">
        <v>19</v>
      </c>
      <c r="G9252" s="134" t="n">
        <f aca="false">LEN('Saisie programme'!$D$356)+SUMIFS('Vols additionnels'!$E$7:$E$66,'Vols additionnels'!$C$7:$C$66,$E9252,'Vols additionnels'!$D$7:$D$66,$F9252,'Vols additionnels'!$B$7:$B$66,$D9252)</f>
        <v>0</v>
      </c>
      <c r="H9252" s="135" t="n">
        <f aca="false">$G9252*'Analyse capacite'!$F$8</f>
        <v>0</v>
      </c>
      <c r="I9252" s="135" t="n">
        <f aca="false">$G9252*'Analyse capacite'!$C$8</f>
        <v>0</v>
      </c>
      <c r="J9252" s="135" t="n">
        <f aca="false">$G9252*'Analyse capacite'!$D$8</f>
        <v>0</v>
      </c>
      <c r="K9252" s="135" t="n">
        <f aca="false">$G9252*'Analyse capacite'!$E$8</f>
        <v>0</v>
      </c>
    </row>
    <row r="9253" customFormat="false" ht="15" hidden="false" customHeight="false" outlineLevel="0" collapsed="false">
      <c r="B9253" s="130" t="n">
        <v>2027</v>
      </c>
      <c r="C9253" s="131" t="s">
        <v>254</v>
      </c>
      <c r="D9253" s="132" t="n">
        <v>46734</v>
      </c>
      <c r="E9253" s="131" t="s">
        <v>59</v>
      </c>
      <c r="F9253" s="133" t="s">
        <v>24</v>
      </c>
      <c r="G9253" s="134" t="n">
        <f aca="false">LEN('Saisie programme'!$D$357)+SUMIFS('Vols additionnels'!$E$7:$E$66,'Vols additionnels'!$C$7:$C$66,$E9253,'Vols additionnels'!$D$7:$D$66,$F9253,'Vols additionnels'!$B$7:$B$66,$D9253)</f>
        <v>1</v>
      </c>
      <c r="H9253" s="135" t="n">
        <f aca="false">$G9253*'Analyse capacite'!$F$9</f>
        <v>174</v>
      </c>
      <c r="I9253" s="135" t="n">
        <f aca="false">$G9253*'Analyse capacite'!$C$9</f>
        <v>0</v>
      </c>
      <c r="J9253" s="135" t="n">
        <f aca="false">$G9253*'Analyse capacite'!$D$9</f>
        <v>12</v>
      </c>
      <c r="K9253" s="135" t="n">
        <f aca="false">$G9253*'Analyse capacite'!$E$9</f>
        <v>162</v>
      </c>
    </row>
    <row r="9254" customFormat="false" ht="15" hidden="false" customHeight="false" outlineLevel="0" collapsed="false">
      <c r="B9254" s="130" t="n">
        <v>2027</v>
      </c>
      <c r="C9254" s="131" t="s">
        <v>254</v>
      </c>
      <c r="D9254" s="132" t="n">
        <v>46734</v>
      </c>
      <c r="E9254" s="131" t="s">
        <v>62</v>
      </c>
      <c r="F9254" s="133" t="s">
        <v>11</v>
      </c>
      <c r="G9254" s="134" t="n">
        <f aca="false">LEN('Saisie programme'!$D$358)+SUMIFS('Vols additionnels'!$E$7:$E$66,'Vols additionnels'!$C$7:$C$66,$E9254,'Vols additionnels'!$D$7:$D$66,$F9254,'Vols additionnels'!$B$7:$B$66,$D9254)</f>
        <v>0</v>
      </c>
      <c r="H9254" s="135" t="n">
        <f aca="false">$G9254*'Analyse capacite'!$F$7</f>
        <v>0</v>
      </c>
      <c r="I9254" s="135" t="n">
        <f aca="false">$G9254*'Analyse capacite'!$C$7</f>
        <v>0</v>
      </c>
      <c r="J9254" s="135" t="n">
        <f aca="false">$G9254*'Analyse capacite'!$D$7</f>
        <v>0</v>
      </c>
      <c r="K9254" s="135" t="n">
        <f aca="false">$G9254*'Analyse capacite'!$E$7</f>
        <v>0</v>
      </c>
    </row>
    <row r="9255" customFormat="false" ht="15" hidden="false" customHeight="false" outlineLevel="0" collapsed="false">
      <c r="B9255" s="130" t="n">
        <v>2027</v>
      </c>
      <c r="C9255" s="131" t="s">
        <v>254</v>
      </c>
      <c r="D9255" s="132" t="n">
        <v>46734</v>
      </c>
      <c r="E9255" s="131" t="s">
        <v>62</v>
      </c>
      <c r="F9255" s="133" t="s">
        <v>19</v>
      </c>
      <c r="G9255" s="134" t="n">
        <f aca="false">LEN('Saisie programme'!$D$359)+SUMIFS('Vols additionnels'!$E$7:$E$66,'Vols additionnels'!$C$7:$C$66,$E9255,'Vols additionnels'!$D$7:$D$66,$F9255,'Vols additionnels'!$B$7:$B$66,$D9255)</f>
        <v>0</v>
      </c>
      <c r="H9255" s="135" t="n">
        <f aca="false">$G9255*'Analyse capacite'!$F$8</f>
        <v>0</v>
      </c>
      <c r="I9255" s="135" t="n">
        <f aca="false">$G9255*'Analyse capacite'!$C$8</f>
        <v>0</v>
      </c>
      <c r="J9255" s="135" t="n">
        <f aca="false">$G9255*'Analyse capacite'!$D$8</f>
        <v>0</v>
      </c>
      <c r="K9255" s="135" t="n">
        <f aca="false">$G9255*'Analyse capacite'!$E$8</f>
        <v>0</v>
      </c>
    </row>
    <row r="9256" customFormat="false" ht="15" hidden="false" customHeight="false" outlineLevel="0" collapsed="false">
      <c r="B9256" s="130" t="n">
        <v>2027</v>
      </c>
      <c r="C9256" s="131" t="s">
        <v>254</v>
      </c>
      <c r="D9256" s="132" t="n">
        <v>46734</v>
      </c>
      <c r="E9256" s="131" t="s">
        <v>62</v>
      </c>
      <c r="F9256" s="133" t="s">
        <v>24</v>
      </c>
      <c r="G9256" s="134" t="n">
        <f aca="false">LEN('Saisie programme'!$D$360)+SUMIFS('Vols additionnels'!$E$7:$E$66,'Vols additionnels'!$C$7:$C$66,$E9256,'Vols additionnels'!$D$7:$D$66,$F9256,'Vols additionnels'!$B$7:$B$66,$D9256)</f>
        <v>0</v>
      </c>
      <c r="H9256" s="135" t="n">
        <f aca="false">$G9256*'Analyse capacite'!$F$9</f>
        <v>0</v>
      </c>
      <c r="I9256" s="135" t="n">
        <f aca="false">$G9256*'Analyse capacite'!$C$9</f>
        <v>0</v>
      </c>
      <c r="J9256" s="135" t="n">
        <f aca="false">$G9256*'Analyse capacite'!$D$9</f>
        <v>0</v>
      </c>
      <c r="K9256" s="135" t="n">
        <f aca="false">$G9256*'Analyse capacite'!$E$9</f>
        <v>0</v>
      </c>
    </row>
    <row r="9257" customFormat="false" ht="15" hidden="false" customHeight="false" outlineLevel="0" collapsed="false">
      <c r="B9257" s="130" t="n">
        <v>2027</v>
      </c>
      <c r="C9257" s="131" t="s">
        <v>254</v>
      </c>
      <c r="D9257" s="132" t="n">
        <v>46735</v>
      </c>
      <c r="E9257" s="131" t="s">
        <v>12</v>
      </c>
      <c r="F9257" s="133" t="s">
        <v>11</v>
      </c>
      <c r="G9257" s="134" t="n">
        <f aca="false">LEN('Saisie programme'!$E$325)+SUMIFS('Vols additionnels'!$E$7:$E$66,'Vols additionnels'!$C$7:$C$66,$E9257,'Vols additionnels'!$D$7:$D$66,$F9257,'Vols additionnels'!$B$7:$B$66,$D9257)</f>
        <v>1</v>
      </c>
      <c r="H9257" s="135" t="n">
        <f aca="false">$G9257*'Analyse capacite'!$F$7</f>
        <v>438</v>
      </c>
      <c r="I9257" s="135" t="n">
        <f aca="false">$G9257*'Analyse capacite'!$C$7</f>
        <v>14</v>
      </c>
      <c r="J9257" s="135" t="n">
        <f aca="false">$G9257*'Analyse capacite'!$D$7</f>
        <v>40</v>
      </c>
      <c r="K9257" s="135" t="n">
        <f aca="false">$G9257*'Analyse capacite'!$E$7</f>
        <v>384</v>
      </c>
    </row>
    <row r="9258" customFormat="false" ht="15" hidden="false" customHeight="false" outlineLevel="0" collapsed="false">
      <c r="B9258" s="130" t="n">
        <v>2027</v>
      </c>
      <c r="C9258" s="131" t="s">
        <v>254</v>
      </c>
      <c r="D9258" s="132" t="n">
        <v>46735</v>
      </c>
      <c r="E9258" s="131" t="s">
        <v>12</v>
      </c>
      <c r="F9258" s="133" t="s">
        <v>19</v>
      </c>
      <c r="G9258" s="134" t="n">
        <f aca="false">LEN('Saisie programme'!$E$326)+SUMIFS('Vols additionnels'!$E$7:$E$66,'Vols additionnels'!$C$7:$C$66,$E9258,'Vols additionnels'!$D$7:$D$66,$F9258,'Vols additionnels'!$B$7:$B$66,$D9258)</f>
        <v>0</v>
      </c>
      <c r="H9258" s="135" t="n">
        <f aca="false">$G9258*'Analyse capacite'!$F$8</f>
        <v>0</v>
      </c>
      <c r="I9258" s="135" t="n">
        <f aca="false">$G9258*'Analyse capacite'!$C$8</f>
        <v>0</v>
      </c>
      <c r="J9258" s="135" t="n">
        <f aca="false">$G9258*'Analyse capacite'!$D$8</f>
        <v>0</v>
      </c>
      <c r="K9258" s="135" t="n">
        <f aca="false">$G9258*'Analyse capacite'!$E$8</f>
        <v>0</v>
      </c>
    </row>
    <row r="9259" customFormat="false" ht="15" hidden="false" customHeight="false" outlineLevel="0" collapsed="false">
      <c r="B9259" s="130" t="n">
        <v>2027</v>
      </c>
      <c r="C9259" s="131" t="s">
        <v>254</v>
      </c>
      <c r="D9259" s="132" t="n">
        <v>46735</v>
      </c>
      <c r="E9259" s="131" t="s">
        <v>12</v>
      </c>
      <c r="F9259" s="133" t="s">
        <v>24</v>
      </c>
      <c r="G9259" s="134" t="n">
        <f aca="false">LEN('Saisie programme'!$E$327)+SUMIFS('Vols additionnels'!$E$7:$E$66,'Vols additionnels'!$C$7:$C$66,$E9259,'Vols additionnels'!$D$7:$D$66,$F9259,'Vols additionnels'!$B$7:$B$66,$D9259)</f>
        <v>0</v>
      </c>
      <c r="H9259" s="135" t="n">
        <f aca="false">$G9259*'Analyse capacite'!$F$9</f>
        <v>0</v>
      </c>
      <c r="I9259" s="135" t="n">
        <f aca="false">$G9259*'Analyse capacite'!$C$9</f>
        <v>0</v>
      </c>
      <c r="J9259" s="135" t="n">
        <f aca="false">$G9259*'Analyse capacite'!$D$9</f>
        <v>0</v>
      </c>
      <c r="K9259" s="135" t="n">
        <f aca="false">$G9259*'Analyse capacite'!$E$9</f>
        <v>0</v>
      </c>
    </row>
    <row r="9260" customFormat="false" ht="15" hidden="false" customHeight="false" outlineLevel="0" collapsed="false">
      <c r="B9260" s="130" t="n">
        <v>2027</v>
      </c>
      <c r="C9260" s="131" t="s">
        <v>254</v>
      </c>
      <c r="D9260" s="132" t="n">
        <v>46735</v>
      </c>
      <c r="E9260" s="131" t="s">
        <v>20</v>
      </c>
      <c r="F9260" s="133" t="s">
        <v>11</v>
      </c>
      <c r="G9260" s="134" t="n">
        <f aca="false">LEN('Saisie programme'!$E$328)+SUMIFS('Vols additionnels'!$E$7:$E$66,'Vols additionnels'!$C$7:$C$66,$E9260,'Vols additionnels'!$D$7:$D$66,$F9260,'Vols additionnels'!$B$7:$B$66,$D9260)</f>
        <v>0</v>
      </c>
      <c r="H9260" s="135" t="n">
        <f aca="false">$G9260*'Analyse capacite'!$F$7</f>
        <v>0</v>
      </c>
      <c r="I9260" s="135" t="n">
        <f aca="false">$G9260*'Analyse capacite'!$C$7</f>
        <v>0</v>
      </c>
      <c r="J9260" s="135" t="n">
        <f aca="false">$G9260*'Analyse capacite'!$D$7</f>
        <v>0</v>
      </c>
      <c r="K9260" s="135" t="n">
        <f aca="false">$G9260*'Analyse capacite'!$E$7</f>
        <v>0</v>
      </c>
    </row>
    <row r="9261" customFormat="false" ht="15" hidden="false" customHeight="false" outlineLevel="0" collapsed="false">
      <c r="B9261" s="130" t="n">
        <v>2027</v>
      </c>
      <c r="C9261" s="131" t="s">
        <v>254</v>
      </c>
      <c r="D9261" s="132" t="n">
        <v>46735</v>
      </c>
      <c r="E9261" s="131" t="s">
        <v>20</v>
      </c>
      <c r="F9261" s="133" t="s">
        <v>19</v>
      </c>
      <c r="G9261" s="134" t="n">
        <f aca="false">LEN('Saisie programme'!$E$329)+SUMIFS('Vols additionnels'!$E$7:$E$66,'Vols additionnels'!$C$7:$C$66,$E9261,'Vols additionnels'!$D$7:$D$66,$F9261,'Vols additionnels'!$B$7:$B$66,$D9261)</f>
        <v>1</v>
      </c>
      <c r="H9261" s="135" t="n">
        <f aca="false">$G9261*'Analyse capacite'!$F$8</f>
        <v>262</v>
      </c>
      <c r="I9261" s="135" t="n">
        <f aca="false">$G9261*'Analyse capacite'!$C$8</f>
        <v>18</v>
      </c>
      <c r="J9261" s="135" t="n">
        <f aca="false">$G9261*'Analyse capacite'!$D$8</f>
        <v>0</v>
      </c>
      <c r="K9261" s="135" t="n">
        <f aca="false">$G9261*'Analyse capacite'!$E$8</f>
        <v>244</v>
      </c>
    </row>
    <row r="9262" customFormat="false" ht="15" hidden="false" customHeight="false" outlineLevel="0" collapsed="false">
      <c r="B9262" s="130" t="n">
        <v>2027</v>
      </c>
      <c r="C9262" s="131" t="s">
        <v>254</v>
      </c>
      <c r="D9262" s="132" t="n">
        <v>46735</v>
      </c>
      <c r="E9262" s="131" t="s">
        <v>20</v>
      </c>
      <c r="F9262" s="133" t="s">
        <v>24</v>
      </c>
      <c r="G9262" s="134" t="n">
        <f aca="false">LEN('Saisie programme'!$E$330)+SUMIFS('Vols additionnels'!$E$7:$E$66,'Vols additionnels'!$C$7:$C$66,$E9262,'Vols additionnels'!$D$7:$D$66,$F9262,'Vols additionnels'!$B$7:$B$66,$D9262)</f>
        <v>0</v>
      </c>
      <c r="H9262" s="135" t="n">
        <f aca="false">$G9262*'Analyse capacite'!$F$9</f>
        <v>0</v>
      </c>
      <c r="I9262" s="135" t="n">
        <f aca="false">$G9262*'Analyse capacite'!$C$9</f>
        <v>0</v>
      </c>
      <c r="J9262" s="135" t="n">
        <f aca="false">$G9262*'Analyse capacite'!$D$9</f>
        <v>0</v>
      </c>
      <c r="K9262" s="135" t="n">
        <f aca="false">$G9262*'Analyse capacite'!$E$9</f>
        <v>0</v>
      </c>
    </row>
    <row r="9263" customFormat="false" ht="15" hidden="false" customHeight="false" outlineLevel="0" collapsed="false">
      <c r="B9263" s="130" t="n">
        <v>2027</v>
      </c>
      <c r="C9263" s="131" t="s">
        <v>254</v>
      </c>
      <c r="D9263" s="132" t="n">
        <v>46735</v>
      </c>
      <c r="E9263" s="131" t="s">
        <v>25</v>
      </c>
      <c r="F9263" s="133" t="s">
        <v>11</v>
      </c>
      <c r="G9263" s="134" t="n">
        <f aca="false">LEN('Saisie programme'!$E$331)+SUMIFS('Vols additionnels'!$E$7:$E$66,'Vols additionnels'!$C$7:$C$66,$E9263,'Vols additionnels'!$D$7:$D$66,$F9263,'Vols additionnels'!$B$7:$B$66,$D9263)</f>
        <v>0</v>
      </c>
      <c r="H9263" s="135" t="n">
        <f aca="false">$G9263*'Analyse capacite'!$F$7</f>
        <v>0</v>
      </c>
      <c r="I9263" s="135" t="n">
        <f aca="false">$G9263*'Analyse capacite'!$C$7</f>
        <v>0</v>
      </c>
      <c r="J9263" s="135" t="n">
        <f aca="false">$G9263*'Analyse capacite'!$D$7</f>
        <v>0</v>
      </c>
      <c r="K9263" s="135" t="n">
        <f aca="false">$G9263*'Analyse capacite'!$E$7</f>
        <v>0</v>
      </c>
    </row>
    <row r="9264" customFormat="false" ht="15" hidden="false" customHeight="false" outlineLevel="0" collapsed="false">
      <c r="B9264" s="130" t="n">
        <v>2027</v>
      </c>
      <c r="C9264" s="131" t="s">
        <v>254</v>
      </c>
      <c r="D9264" s="132" t="n">
        <v>46735</v>
      </c>
      <c r="E9264" s="131" t="s">
        <v>25</v>
      </c>
      <c r="F9264" s="133" t="s">
        <v>19</v>
      </c>
      <c r="G9264" s="134" t="n">
        <f aca="false">LEN('Saisie programme'!$E$332)+SUMIFS('Vols additionnels'!$E$7:$E$66,'Vols additionnels'!$C$7:$C$66,$E9264,'Vols additionnels'!$D$7:$D$66,$F9264,'Vols additionnels'!$B$7:$B$66,$D9264)</f>
        <v>0</v>
      </c>
      <c r="H9264" s="135" t="n">
        <f aca="false">$G9264*'Analyse capacite'!$F$8</f>
        <v>0</v>
      </c>
      <c r="I9264" s="135" t="n">
        <f aca="false">$G9264*'Analyse capacite'!$C$8</f>
        <v>0</v>
      </c>
      <c r="J9264" s="135" t="n">
        <f aca="false">$G9264*'Analyse capacite'!$D$8</f>
        <v>0</v>
      </c>
      <c r="K9264" s="135" t="n">
        <f aca="false">$G9264*'Analyse capacite'!$E$8</f>
        <v>0</v>
      </c>
    </row>
    <row r="9265" customFormat="false" ht="15" hidden="false" customHeight="false" outlineLevel="0" collapsed="false">
      <c r="B9265" s="130" t="n">
        <v>2027</v>
      </c>
      <c r="C9265" s="131" t="s">
        <v>254</v>
      </c>
      <c r="D9265" s="132" t="n">
        <v>46735</v>
      </c>
      <c r="E9265" s="131" t="s">
        <v>25</v>
      </c>
      <c r="F9265" s="133" t="s">
        <v>24</v>
      </c>
      <c r="G9265" s="134" t="n">
        <f aca="false">LEN('Saisie programme'!$E$333)+SUMIFS('Vols additionnels'!$E$7:$E$66,'Vols additionnels'!$C$7:$C$66,$E9265,'Vols additionnels'!$D$7:$D$66,$F9265,'Vols additionnels'!$B$7:$B$66,$D9265)</f>
        <v>0</v>
      </c>
      <c r="H9265" s="135" t="n">
        <f aca="false">$G9265*'Analyse capacite'!$F$9</f>
        <v>0</v>
      </c>
      <c r="I9265" s="135" t="n">
        <f aca="false">$G9265*'Analyse capacite'!$C$9</f>
        <v>0</v>
      </c>
      <c r="J9265" s="135" t="n">
        <f aca="false">$G9265*'Analyse capacite'!$D$9</f>
        <v>0</v>
      </c>
      <c r="K9265" s="135" t="n">
        <f aca="false">$G9265*'Analyse capacite'!$E$9</f>
        <v>0</v>
      </c>
    </row>
    <row r="9266" customFormat="false" ht="15" hidden="false" customHeight="false" outlineLevel="0" collapsed="false">
      <c r="B9266" s="130" t="n">
        <v>2027</v>
      </c>
      <c r="C9266" s="131" t="s">
        <v>254</v>
      </c>
      <c r="D9266" s="132" t="n">
        <v>46735</v>
      </c>
      <c r="E9266" s="131" t="s">
        <v>36</v>
      </c>
      <c r="F9266" s="133" t="s">
        <v>11</v>
      </c>
      <c r="G9266" s="134" t="n">
        <f aca="false">LEN('Saisie programme'!$E$334)+SUMIFS('Vols additionnels'!$E$7:$E$66,'Vols additionnels'!$C$7:$C$66,$E9266,'Vols additionnels'!$D$7:$D$66,$F9266,'Vols additionnels'!$B$7:$B$66,$D9266)</f>
        <v>0</v>
      </c>
      <c r="H9266" s="135" t="n">
        <f aca="false">$G9266*'Analyse capacite'!$F$7</f>
        <v>0</v>
      </c>
      <c r="I9266" s="135" t="n">
        <f aca="false">$G9266*'Analyse capacite'!$C$7</f>
        <v>0</v>
      </c>
      <c r="J9266" s="135" t="n">
        <f aca="false">$G9266*'Analyse capacite'!$D$7</f>
        <v>0</v>
      </c>
      <c r="K9266" s="135" t="n">
        <f aca="false">$G9266*'Analyse capacite'!$E$7</f>
        <v>0</v>
      </c>
    </row>
    <row r="9267" customFormat="false" ht="15" hidden="false" customHeight="false" outlineLevel="0" collapsed="false">
      <c r="B9267" s="130" t="n">
        <v>2027</v>
      </c>
      <c r="C9267" s="131" t="s">
        <v>254</v>
      </c>
      <c r="D9267" s="132" t="n">
        <v>46735</v>
      </c>
      <c r="E9267" s="131" t="s">
        <v>36</v>
      </c>
      <c r="F9267" s="133" t="s">
        <v>19</v>
      </c>
      <c r="G9267" s="134" t="n">
        <f aca="false">LEN('Saisie programme'!$E$335)+SUMIFS('Vols additionnels'!$E$7:$E$66,'Vols additionnels'!$C$7:$C$66,$E9267,'Vols additionnels'!$D$7:$D$66,$F9267,'Vols additionnels'!$B$7:$B$66,$D9267)</f>
        <v>0</v>
      </c>
      <c r="H9267" s="135" t="n">
        <f aca="false">$G9267*'Analyse capacite'!$F$8</f>
        <v>0</v>
      </c>
      <c r="I9267" s="135" t="n">
        <f aca="false">$G9267*'Analyse capacite'!$C$8</f>
        <v>0</v>
      </c>
      <c r="J9267" s="135" t="n">
        <f aca="false">$G9267*'Analyse capacite'!$D$8</f>
        <v>0</v>
      </c>
      <c r="K9267" s="135" t="n">
        <f aca="false">$G9267*'Analyse capacite'!$E$8</f>
        <v>0</v>
      </c>
    </row>
    <row r="9268" customFormat="false" ht="15" hidden="false" customHeight="false" outlineLevel="0" collapsed="false">
      <c r="B9268" s="130" t="n">
        <v>2027</v>
      </c>
      <c r="C9268" s="131" t="s">
        <v>254</v>
      </c>
      <c r="D9268" s="132" t="n">
        <v>46735</v>
      </c>
      <c r="E9268" s="131" t="s">
        <v>36</v>
      </c>
      <c r="F9268" s="133" t="s">
        <v>24</v>
      </c>
      <c r="G9268" s="134" t="n">
        <f aca="false">LEN('Saisie programme'!$E$336)+SUMIFS('Vols additionnels'!$E$7:$E$66,'Vols additionnels'!$C$7:$C$66,$E9268,'Vols additionnels'!$D$7:$D$66,$F9268,'Vols additionnels'!$B$7:$B$66,$D9268)</f>
        <v>1</v>
      </c>
      <c r="H9268" s="135" t="n">
        <f aca="false">$G9268*'Analyse capacite'!$F$9</f>
        <v>174</v>
      </c>
      <c r="I9268" s="135" t="n">
        <f aca="false">$G9268*'Analyse capacite'!$C$9</f>
        <v>0</v>
      </c>
      <c r="J9268" s="135" t="n">
        <f aca="false">$G9268*'Analyse capacite'!$D$9</f>
        <v>12</v>
      </c>
      <c r="K9268" s="135" t="n">
        <f aca="false">$G9268*'Analyse capacite'!$E$9</f>
        <v>162</v>
      </c>
    </row>
    <row r="9269" customFormat="false" ht="15" hidden="false" customHeight="false" outlineLevel="0" collapsed="false">
      <c r="B9269" s="130" t="n">
        <v>2027</v>
      </c>
      <c r="C9269" s="131" t="s">
        <v>254</v>
      </c>
      <c r="D9269" s="132" t="n">
        <v>46735</v>
      </c>
      <c r="E9269" s="131" t="s">
        <v>40</v>
      </c>
      <c r="F9269" s="133" t="s">
        <v>11</v>
      </c>
      <c r="G9269" s="134" t="n">
        <f aca="false">LEN('Saisie programme'!$E$337)+SUMIFS('Vols additionnels'!$E$7:$E$66,'Vols additionnels'!$C$7:$C$66,$E9269,'Vols additionnels'!$D$7:$D$66,$F9269,'Vols additionnels'!$B$7:$B$66,$D9269)</f>
        <v>0</v>
      </c>
      <c r="H9269" s="135" t="n">
        <f aca="false">$G9269*'Analyse capacite'!$F$7</f>
        <v>0</v>
      </c>
      <c r="I9269" s="135" t="n">
        <f aca="false">$G9269*'Analyse capacite'!$C$7</f>
        <v>0</v>
      </c>
      <c r="J9269" s="135" t="n">
        <f aca="false">$G9269*'Analyse capacite'!$D$7</f>
        <v>0</v>
      </c>
      <c r="K9269" s="135" t="n">
        <f aca="false">$G9269*'Analyse capacite'!$E$7</f>
        <v>0</v>
      </c>
    </row>
    <row r="9270" customFormat="false" ht="15" hidden="false" customHeight="false" outlineLevel="0" collapsed="false">
      <c r="B9270" s="130" t="n">
        <v>2027</v>
      </c>
      <c r="C9270" s="131" t="s">
        <v>254</v>
      </c>
      <c r="D9270" s="132" t="n">
        <v>46735</v>
      </c>
      <c r="E9270" s="131" t="s">
        <v>40</v>
      </c>
      <c r="F9270" s="133" t="s">
        <v>19</v>
      </c>
      <c r="G9270" s="134" t="n">
        <f aca="false">LEN('Saisie programme'!$E$338)+SUMIFS('Vols additionnels'!$E$7:$E$66,'Vols additionnels'!$C$7:$C$66,$E9270,'Vols additionnels'!$D$7:$D$66,$F9270,'Vols additionnels'!$B$7:$B$66,$D9270)</f>
        <v>0</v>
      </c>
      <c r="H9270" s="135" t="n">
        <f aca="false">$G9270*'Analyse capacite'!$F$8</f>
        <v>0</v>
      </c>
      <c r="I9270" s="135" t="n">
        <f aca="false">$G9270*'Analyse capacite'!$C$8</f>
        <v>0</v>
      </c>
      <c r="J9270" s="135" t="n">
        <f aca="false">$G9270*'Analyse capacite'!$D$8</f>
        <v>0</v>
      </c>
      <c r="K9270" s="135" t="n">
        <f aca="false">$G9270*'Analyse capacite'!$E$8</f>
        <v>0</v>
      </c>
    </row>
    <row r="9271" customFormat="false" ht="15" hidden="false" customHeight="false" outlineLevel="0" collapsed="false">
      <c r="B9271" s="130" t="n">
        <v>2027</v>
      </c>
      <c r="C9271" s="131" t="s">
        <v>254</v>
      </c>
      <c r="D9271" s="132" t="n">
        <v>46735</v>
      </c>
      <c r="E9271" s="131" t="s">
        <v>40</v>
      </c>
      <c r="F9271" s="133" t="s">
        <v>24</v>
      </c>
      <c r="G9271" s="134" t="n">
        <f aca="false">LEN('Saisie programme'!$E$339)+SUMIFS('Vols additionnels'!$E$7:$E$66,'Vols additionnels'!$C$7:$C$66,$E9271,'Vols additionnels'!$D$7:$D$66,$F9271,'Vols additionnels'!$B$7:$B$66,$D9271)</f>
        <v>0</v>
      </c>
      <c r="H9271" s="135" t="n">
        <f aca="false">$G9271*'Analyse capacite'!$F$9</f>
        <v>0</v>
      </c>
      <c r="I9271" s="135" t="n">
        <f aca="false">$G9271*'Analyse capacite'!$C$9</f>
        <v>0</v>
      </c>
      <c r="J9271" s="135" t="n">
        <f aca="false">$G9271*'Analyse capacite'!$D$9</f>
        <v>0</v>
      </c>
      <c r="K9271" s="135" t="n">
        <f aca="false">$G9271*'Analyse capacite'!$E$9</f>
        <v>0</v>
      </c>
    </row>
    <row r="9272" customFormat="false" ht="15" hidden="false" customHeight="false" outlineLevel="0" collapsed="false">
      <c r="B9272" s="130" t="n">
        <v>2027</v>
      </c>
      <c r="C9272" s="131" t="s">
        <v>254</v>
      </c>
      <c r="D9272" s="132" t="n">
        <v>46735</v>
      </c>
      <c r="E9272" s="131" t="s">
        <v>14</v>
      </c>
      <c r="F9272" s="133" t="s">
        <v>11</v>
      </c>
      <c r="G9272" s="134" t="n">
        <f aca="false">LEN('Saisie programme'!$E$340)+SUMIFS('Vols additionnels'!$E$7:$E$66,'Vols additionnels'!$C$7:$C$66,$E9272,'Vols additionnels'!$D$7:$D$66,$F9272,'Vols additionnels'!$B$7:$B$66,$D9272)</f>
        <v>0</v>
      </c>
      <c r="H9272" s="135" t="n">
        <f aca="false">$G9272*'Analyse capacite'!$F$7</f>
        <v>0</v>
      </c>
      <c r="I9272" s="135" t="n">
        <f aca="false">$G9272*'Analyse capacite'!$C$7</f>
        <v>0</v>
      </c>
      <c r="J9272" s="135" t="n">
        <f aca="false">$G9272*'Analyse capacite'!$D$7</f>
        <v>0</v>
      </c>
      <c r="K9272" s="135" t="n">
        <f aca="false">$G9272*'Analyse capacite'!$E$7</f>
        <v>0</v>
      </c>
    </row>
    <row r="9273" customFormat="false" ht="15" hidden="false" customHeight="false" outlineLevel="0" collapsed="false">
      <c r="B9273" s="130" t="n">
        <v>2027</v>
      </c>
      <c r="C9273" s="131" t="s">
        <v>254</v>
      </c>
      <c r="D9273" s="132" t="n">
        <v>46735</v>
      </c>
      <c r="E9273" s="131" t="s">
        <v>14</v>
      </c>
      <c r="F9273" s="133" t="s">
        <v>19</v>
      </c>
      <c r="G9273" s="134" t="n">
        <f aca="false">LEN('Saisie programme'!$E$341)+SUMIFS('Vols additionnels'!$E$7:$E$66,'Vols additionnels'!$C$7:$C$66,$E9273,'Vols additionnels'!$D$7:$D$66,$F9273,'Vols additionnels'!$B$7:$B$66,$D9273)</f>
        <v>0</v>
      </c>
      <c r="H9273" s="135" t="n">
        <f aca="false">$G9273*'Analyse capacite'!$F$8</f>
        <v>0</v>
      </c>
      <c r="I9273" s="135" t="n">
        <f aca="false">$G9273*'Analyse capacite'!$C$8</f>
        <v>0</v>
      </c>
      <c r="J9273" s="135" t="n">
        <f aca="false">$G9273*'Analyse capacite'!$D$8</f>
        <v>0</v>
      </c>
      <c r="K9273" s="135" t="n">
        <f aca="false">$G9273*'Analyse capacite'!$E$8</f>
        <v>0</v>
      </c>
    </row>
    <row r="9274" customFormat="false" ht="15" hidden="false" customHeight="false" outlineLevel="0" collapsed="false">
      <c r="B9274" s="130" t="n">
        <v>2027</v>
      </c>
      <c r="C9274" s="131" t="s">
        <v>254</v>
      </c>
      <c r="D9274" s="132" t="n">
        <v>46735</v>
      </c>
      <c r="E9274" s="131" t="s">
        <v>14</v>
      </c>
      <c r="F9274" s="133" t="s">
        <v>24</v>
      </c>
      <c r="G9274" s="134" t="n">
        <f aca="false">LEN('Saisie programme'!$E$342)+SUMIFS('Vols additionnels'!$E$7:$E$66,'Vols additionnels'!$C$7:$C$66,$E9274,'Vols additionnels'!$D$7:$D$66,$F9274,'Vols additionnels'!$B$7:$B$66,$D9274)</f>
        <v>1</v>
      </c>
      <c r="H9274" s="135" t="n">
        <f aca="false">$G9274*'Analyse capacite'!$F$9</f>
        <v>174</v>
      </c>
      <c r="I9274" s="135" t="n">
        <f aca="false">$G9274*'Analyse capacite'!$C$9</f>
        <v>0</v>
      </c>
      <c r="J9274" s="135" t="n">
        <f aca="false">$G9274*'Analyse capacite'!$D$9</f>
        <v>12</v>
      </c>
      <c r="K9274" s="135" t="n">
        <f aca="false">$G9274*'Analyse capacite'!$E$9</f>
        <v>162</v>
      </c>
    </row>
    <row r="9275" customFormat="false" ht="15" hidden="false" customHeight="false" outlineLevel="0" collapsed="false">
      <c r="B9275" s="130" t="n">
        <v>2027</v>
      </c>
      <c r="C9275" s="131" t="s">
        <v>254</v>
      </c>
      <c r="D9275" s="132" t="n">
        <v>46735</v>
      </c>
      <c r="E9275" s="131" t="s">
        <v>46</v>
      </c>
      <c r="F9275" s="133" t="s">
        <v>11</v>
      </c>
      <c r="G9275" s="134" t="n">
        <f aca="false">LEN('Saisie programme'!$E$343)+SUMIFS('Vols additionnels'!$E$7:$E$66,'Vols additionnels'!$C$7:$C$66,$E9275,'Vols additionnels'!$D$7:$D$66,$F9275,'Vols additionnels'!$B$7:$B$66,$D9275)</f>
        <v>0</v>
      </c>
      <c r="H9275" s="135" t="n">
        <f aca="false">$G9275*'Analyse capacite'!$F$7</f>
        <v>0</v>
      </c>
      <c r="I9275" s="135" t="n">
        <f aca="false">$G9275*'Analyse capacite'!$C$7</f>
        <v>0</v>
      </c>
      <c r="J9275" s="135" t="n">
        <f aca="false">$G9275*'Analyse capacite'!$D$7</f>
        <v>0</v>
      </c>
      <c r="K9275" s="135" t="n">
        <f aca="false">$G9275*'Analyse capacite'!$E$7</f>
        <v>0</v>
      </c>
    </row>
    <row r="9276" customFormat="false" ht="15" hidden="false" customHeight="false" outlineLevel="0" collapsed="false">
      <c r="B9276" s="130" t="n">
        <v>2027</v>
      </c>
      <c r="C9276" s="131" t="s">
        <v>254</v>
      </c>
      <c r="D9276" s="132" t="n">
        <v>46735</v>
      </c>
      <c r="E9276" s="131" t="s">
        <v>46</v>
      </c>
      <c r="F9276" s="133" t="s">
        <v>19</v>
      </c>
      <c r="G9276" s="134" t="n">
        <f aca="false">LEN('Saisie programme'!$E$344)+SUMIFS('Vols additionnels'!$E$7:$E$66,'Vols additionnels'!$C$7:$C$66,$E9276,'Vols additionnels'!$D$7:$D$66,$F9276,'Vols additionnels'!$B$7:$B$66,$D9276)</f>
        <v>0</v>
      </c>
      <c r="H9276" s="135" t="n">
        <f aca="false">$G9276*'Analyse capacite'!$F$8</f>
        <v>0</v>
      </c>
      <c r="I9276" s="135" t="n">
        <f aca="false">$G9276*'Analyse capacite'!$C$8</f>
        <v>0</v>
      </c>
      <c r="J9276" s="135" t="n">
        <f aca="false">$G9276*'Analyse capacite'!$D$8</f>
        <v>0</v>
      </c>
      <c r="K9276" s="135" t="n">
        <f aca="false">$G9276*'Analyse capacite'!$E$8</f>
        <v>0</v>
      </c>
    </row>
    <row r="9277" customFormat="false" ht="15" hidden="false" customHeight="false" outlineLevel="0" collapsed="false">
      <c r="B9277" s="130" t="n">
        <v>2027</v>
      </c>
      <c r="C9277" s="131" t="s">
        <v>254</v>
      </c>
      <c r="D9277" s="132" t="n">
        <v>46735</v>
      </c>
      <c r="E9277" s="131" t="s">
        <v>46</v>
      </c>
      <c r="F9277" s="133" t="s">
        <v>24</v>
      </c>
      <c r="G9277" s="134" t="n">
        <f aca="false">LEN('Saisie programme'!$E$345)+SUMIFS('Vols additionnels'!$E$7:$E$66,'Vols additionnels'!$C$7:$C$66,$E9277,'Vols additionnels'!$D$7:$D$66,$F9277,'Vols additionnels'!$B$7:$B$66,$D9277)</f>
        <v>1</v>
      </c>
      <c r="H9277" s="135" t="n">
        <f aca="false">$G9277*'Analyse capacite'!$F$9</f>
        <v>174</v>
      </c>
      <c r="I9277" s="135" t="n">
        <f aca="false">$G9277*'Analyse capacite'!$C$9</f>
        <v>0</v>
      </c>
      <c r="J9277" s="135" t="n">
        <f aca="false">$G9277*'Analyse capacite'!$D$9</f>
        <v>12</v>
      </c>
      <c r="K9277" s="135" t="n">
        <f aca="false">$G9277*'Analyse capacite'!$E$9</f>
        <v>162</v>
      </c>
    </row>
    <row r="9278" customFormat="false" ht="15" hidden="false" customHeight="false" outlineLevel="0" collapsed="false">
      <c r="B9278" s="130" t="n">
        <v>2027</v>
      </c>
      <c r="C9278" s="131" t="s">
        <v>254</v>
      </c>
      <c r="D9278" s="132" t="n">
        <v>46735</v>
      </c>
      <c r="E9278" s="131" t="s">
        <v>49</v>
      </c>
      <c r="F9278" s="133" t="s">
        <v>11</v>
      </c>
      <c r="G9278" s="134" t="n">
        <f aca="false">LEN('Saisie programme'!$E$346)+SUMIFS('Vols additionnels'!$E$7:$E$66,'Vols additionnels'!$C$7:$C$66,$E9278,'Vols additionnels'!$D$7:$D$66,$F9278,'Vols additionnels'!$B$7:$B$66,$D9278)</f>
        <v>0</v>
      </c>
      <c r="H9278" s="135" t="n">
        <f aca="false">$G9278*'Analyse capacite'!$F$7</f>
        <v>0</v>
      </c>
      <c r="I9278" s="135" t="n">
        <f aca="false">$G9278*'Analyse capacite'!$C$7</f>
        <v>0</v>
      </c>
      <c r="J9278" s="135" t="n">
        <f aca="false">$G9278*'Analyse capacite'!$D$7</f>
        <v>0</v>
      </c>
      <c r="K9278" s="135" t="n">
        <f aca="false">$G9278*'Analyse capacite'!$E$7</f>
        <v>0</v>
      </c>
    </row>
    <row r="9279" customFormat="false" ht="15" hidden="false" customHeight="false" outlineLevel="0" collapsed="false">
      <c r="B9279" s="130" t="n">
        <v>2027</v>
      </c>
      <c r="C9279" s="131" t="s">
        <v>254</v>
      </c>
      <c r="D9279" s="132" t="n">
        <v>46735</v>
      </c>
      <c r="E9279" s="131" t="s">
        <v>49</v>
      </c>
      <c r="F9279" s="133" t="s">
        <v>19</v>
      </c>
      <c r="G9279" s="134" t="n">
        <f aca="false">LEN('Saisie programme'!$E$347)+SUMIFS('Vols additionnels'!$E$7:$E$66,'Vols additionnels'!$C$7:$C$66,$E9279,'Vols additionnels'!$D$7:$D$66,$F9279,'Vols additionnels'!$B$7:$B$66,$D9279)</f>
        <v>0</v>
      </c>
      <c r="H9279" s="135" t="n">
        <f aca="false">$G9279*'Analyse capacite'!$F$8</f>
        <v>0</v>
      </c>
      <c r="I9279" s="135" t="n">
        <f aca="false">$G9279*'Analyse capacite'!$C$8</f>
        <v>0</v>
      </c>
      <c r="J9279" s="135" t="n">
        <f aca="false">$G9279*'Analyse capacite'!$D$8</f>
        <v>0</v>
      </c>
      <c r="K9279" s="135" t="n">
        <f aca="false">$G9279*'Analyse capacite'!$E$8</f>
        <v>0</v>
      </c>
    </row>
    <row r="9280" customFormat="false" ht="15" hidden="false" customHeight="false" outlineLevel="0" collapsed="false">
      <c r="B9280" s="130" t="n">
        <v>2027</v>
      </c>
      <c r="C9280" s="131" t="s">
        <v>254</v>
      </c>
      <c r="D9280" s="132" t="n">
        <v>46735</v>
      </c>
      <c r="E9280" s="131" t="s">
        <v>49</v>
      </c>
      <c r="F9280" s="133" t="s">
        <v>24</v>
      </c>
      <c r="G9280" s="134" t="n">
        <f aca="false">LEN('Saisie programme'!$E$348)+SUMIFS('Vols additionnels'!$E$7:$E$66,'Vols additionnels'!$C$7:$C$66,$E9280,'Vols additionnels'!$D$7:$D$66,$F9280,'Vols additionnels'!$B$7:$B$66,$D9280)</f>
        <v>0</v>
      </c>
      <c r="H9280" s="135" t="n">
        <f aca="false">$G9280*'Analyse capacite'!$F$9</f>
        <v>0</v>
      </c>
      <c r="I9280" s="135" t="n">
        <f aca="false">$G9280*'Analyse capacite'!$C$9</f>
        <v>0</v>
      </c>
      <c r="J9280" s="135" t="n">
        <f aca="false">$G9280*'Analyse capacite'!$D$9</f>
        <v>0</v>
      </c>
      <c r="K9280" s="135" t="n">
        <f aca="false">$G9280*'Analyse capacite'!$E$9</f>
        <v>0</v>
      </c>
    </row>
    <row r="9281" customFormat="false" ht="15" hidden="false" customHeight="false" outlineLevel="0" collapsed="false">
      <c r="B9281" s="130" t="n">
        <v>2027</v>
      </c>
      <c r="C9281" s="131" t="s">
        <v>254</v>
      </c>
      <c r="D9281" s="132" t="n">
        <v>46735</v>
      </c>
      <c r="E9281" s="131" t="s">
        <v>53</v>
      </c>
      <c r="F9281" s="133" t="s">
        <v>11</v>
      </c>
      <c r="G9281" s="134" t="n">
        <f aca="false">LEN('Saisie programme'!$E$349)+SUMIFS('Vols additionnels'!$E$7:$E$66,'Vols additionnels'!$C$7:$C$66,$E9281,'Vols additionnels'!$D$7:$D$66,$F9281,'Vols additionnels'!$B$7:$B$66,$D9281)</f>
        <v>0</v>
      </c>
      <c r="H9281" s="135" t="n">
        <f aca="false">$G9281*'Analyse capacite'!$F$7</f>
        <v>0</v>
      </c>
      <c r="I9281" s="135" t="n">
        <f aca="false">$G9281*'Analyse capacite'!$C$7</f>
        <v>0</v>
      </c>
      <c r="J9281" s="135" t="n">
        <f aca="false">$G9281*'Analyse capacite'!$D$7</f>
        <v>0</v>
      </c>
      <c r="K9281" s="135" t="n">
        <f aca="false">$G9281*'Analyse capacite'!$E$7</f>
        <v>0</v>
      </c>
    </row>
    <row r="9282" customFormat="false" ht="15" hidden="false" customHeight="false" outlineLevel="0" collapsed="false">
      <c r="B9282" s="130" t="n">
        <v>2027</v>
      </c>
      <c r="C9282" s="131" t="s">
        <v>254</v>
      </c>
      <c r="D9282" s="132" t="n">
        <v>46735</v>
      </c>
      <c r="E9282" s="131" t="s">
        <v>53</v>
      </c>
      <c r="F9282" s="133" t="s">
        <v>19</v>
      </c>
      <c r="G9282" s="134" t="n">
        <f aca="false">LEN('Saisie programme'!$E$350)+SUMIFS('Vols additionnels'!$E$7:$E$66,'Vols additionnels'!$C$7:$C$66,$E9282,'Vols additionnels'!$D$7:$D$66,$F9282,'Vols additionnels'!$B$7:$B$66,$D9282)</f>
        <v>0</v>
      </c>
      <c r="H9282" s="135" t="n">
        <f aca="false">$G9282*'Analyse capacite'!$F$8</f>
        <v>0</v>
      </c>
      <c r="I9282" s="135" t="n">
        <f aca="false">$G9282*'Analyse capacite'!$C$8</f>
        <v>0</v>
      </c>
      <c r="J9282" s="135" t="n">
        <f aca="false">$G9282*'Analyse capacite'!$D$8</f>
        <v>0</v>
      </c>
      <c r="K9282" s="135" t="n">
        <f aca="false">$G9282*'Analyse capacite'!$E$8</f>
        <v>0</v>
      </c>
    </row>
    <row r="9283" customFormat="false" ht="15" hidden="false" customHeight="false" outlineLevel="0" collapsed="false">
      <c r="B9283" s="130" t="n">
        <v>2027</v>
      </c>
      <c r="C9283" s="131" t="s">
        <v>254</v>
      </c>
      <c r="D9283" s="132" t="n">
        <v>46735</v>
      </c>
      <c r="E9283" s="131" t="s">
        <v>53</v>
      </c>
      <c r="F9283" s="133" t="s">
        <v>24</v>
      </c>
      <c r="G9283" s="134" t="n">
        <f aca="false">LEN('Saisie programme'!$E$351)+SUMIFS('Vols additionnels'!$E$7:$E$66,'Vols additionnels'!$C$7:$C$66,$E9283,'Vols additionnels'!$D$7:$D$66,$F9283,'Vols additionnels'!$B$7:$B$66,$D9283)</f>
        <v>0</v>
      </c>
      <c r="H9283" s="135" t="n">
        <f aca="false">$G9283*'Analyse capacite'!$F$9</f>
        <v>0</v>
      </c>
      <c r="I9283" s="135" t="n">
        <f aca="false">$G9283*'Analyse capacite'!$C$9</f>
        <v>0</v>
      </c>
      <c r="J9283" s="135" t="n">
        <f aca="false">$G9283*'Analyse capacite'!$D$9</f>
        <v>0</v>
      </c>
      <c r="K9283" s="135" t="n">
        <f aca="false">$G9283*'Analyse capacite'!$E$9</f>
        <v>0</v>
      </c>
    </row>
    <row r="9284" customFormat="false" ht="15" hidden="false" customHeight="false" outlineLevel="0" collapsed="false">
      <c r="B9284" s="130" t="n">
        <v>2027</v>
      </c>
      <c r="C9284" s="131" t="s">
        <v>254</v>
      </c>
      <c r="D9284" s="132" t="n">
        <v>46735</v>
      </c>
      <c r="E9284" s="131" t="s">
        <v>56</v>
      </c>
      <c r="F9284" s="133" t="s">
        <v>11</v>
      </c>
      <c r="G9284" s="134" t="n">
        <f aca="false">LEN('Saisie programme'!$E$352)+SUMIFS('Vols additionnels'!$E$7:$E$66,'Vols additionnels'!$C$7:$C$66,$E9284,'Vols additionnels'!$D$7:$D$66,$F9284,'Vols additionnels'!$B$7:$B$66,$D9284)</f>
        <v>0</v>
      </c>
      <c r="H9284" s="135" t="n">
        <f aca="false">$G9284*'Analyse capacite'!$F$7</f>
        <v>0</v>
      </c>
      <c r="I9284" s="135" t="n">
        <f aca="false">$G9284*'Analyse capacite'!$C$7</f>
        <v>0</v>
      </c>
      <c r="J9284" s="135" t="n">
        <f aca="false">$G9284*'Analyse capacite'!$D$7</f>
        <v>0</v>
      </c>
      <c r="K9284" s="135" t="n">
        <f aca="false">$G9284*'Analyse capacite'!$E$7</f>
        <v>0</v>
      </c>
    </row>
    <row r="9285" customFormat="false" ht="15" hidden="false" customHeight="false" outlineLevel="0" collapsed="false">
      <c r="B9285" s="130" t="n">
        <v>2027</v>
      </c>
      <c r="C9285" s="131" t="s">
        <v>254</v>
      </c>
      <c r="D9285" s="132" t="n">
        <v>46735</v>
      </c>
      <c r="E9285" s="131" t="s">
        <v>56</v>
      </c>
      <c r="F9285" s="133" t="s">
        <v>19</v>
      </c>
      <c r="G9285" s="134" t="n">
        <f aca="false">LEN('Saisie programme'!$E$353)+SUMIFS('Vols additionnels'!$E$7:$E$66,'Vols additionnels'!$C$7:$C$66,$E9285,'Vols additionnels'!$D$7:$D$66,$F9285,'Vols additionnels'!$B$7:$B$66,$D9285)</f>
        <v>0</v>
      </c>
      <c r="H9285" s="135" t="n">
        <f aca="false">$G9285*'Analyse capacite'!$F$8</f>
        <v>0</v>
      </c>
      <c r="I9285" s="135" t="n">
        <f aca="false">$G9285*'Analyse capacite'!$C$8</f>
        <v>0</v>
      </c>
      <c r="J9285" s="135" t="n">
        <f aca="false">$G9285*'Analyse capacite'!$D$8</f>
        <v>0</v>
      </c>
      <c r="K9285" s="135" t="n">
        <f aca="false">$G9285*'Analyse capacite'!$E$8</f>
        <v>0</v>
      </c>
    </row>
    <row r="9286" customFormat="false" ht="15" hidden="false" customHeight="false" outlineLevel="0" collapsed="false">
      <c r="B9286" s="130" t="n">
        <v>2027</v>
      </c>
      <c r="C9286" s="131" t="s">
        <v>254</v>
      </c>
      <c r="D9286" s="132" t="n">
        <v>46735</v>
      </c>
      <c r="E9286" s="131" t="s">
        <v>56</v>
      </c>
      <c r="F9286" s="133" t="s">
        <v>24</v>
      </c>
      <c r="G9286" s="134" t="n">
        <f aca="false">LEN('Saisie programme'!$E$354)+SUMIFS('Vols additionnels'!$E$7:$E$66,'Vols additionnels'!$C$7:$C$66,$E9286,'Vols additionnels'!$D$7:$D$66,$F9286,'Vols additionnels'!$B$7:$B$66,$D9286)</f>
        <v>1</v>
      </c>
      <c r="H9286" s="135" t="n">
        <f aca="false">$G9286*'Analyse capacite'!$F$9</f>
        <v>174</v>
      </c>
      <c r="I9286" s="135" t="n">
        <f aca="false">$G9286*'Analyse capacite'!$C$9</f>
        <v>0</v>
      </c>
      <c r="J9286" s="135" t="n">
        <f aca="false">$G9286*'Analyse capacite'!$D$9</f>
        <v>12</v>
      </c>
      <c r="K9286" s="135" t="n">
        <f aca="false">$G9286*'Analyse capacite'!$E$9</f>
        <v>162</v>
      </c>
    </row>
    <row r="9287" customFormat="false" ht="15" hidden="false" customHeight="false" outlineLevel="0" collapsed="false">
      <c r="B9287" s="130" t="n">
        <v>2027</v>
      </c>
      <c r="C9287" s="131" t="s">
        <v>254</v>
      </c>
      <c r="D9287" s="132" t="n">
        <v>46735</v>
      </c>
      <c r="E9287" s="131" t="s">
        <v>59</v>
      </c>
      <c r="F9287" s="133" t="s">
        <v>11</v>
      </c>
      <c r="G9287" s="134" t="n">
        <f aca="false">LEN('Saisie programme'!$E$355)+SUMIFS('Vols additionnels'!$E$7:$E$66,'Vols additionnels'!$C$7:$C$66,$E9287,'Vols additionnels'!$D$7:$D$66,$F9287,'Vols additionnels'!$B$7:$B$66,$D9287)</f>
        <v>0</v>
      </c>
      <c r="H9287" s="135" t="n">
        <f aca="false">$G9287*'Analyse capacite'!$F$7</f>
        <v>0</v>
      </c>
      <c r="I9287" s="135" t="n">
        <f aca="false">$G9287*'Analyse capacite'!$C$7</f>
        <v>0</v>
      </c>
      <c r="J9287" s="135" t="n">
        <f aca="false">$G9287*'Analyse capacite'!$D$7</f>
        <v>0</v>
      </c>
      <c r="K9287" s="135" t="n">
        <f aca="false">$G9287*'Analyse capacite'!$E$7</f>
        <v>0</v>
      </c>
    </row>
    <row r="9288" customFormat="false" ht="15" hidden="false" customHeight="false" outlineLevel="0" collapsed="false">
      <c r="B9288" s="130" t="n">
        <v>2027</v>
      </c>
      <c r="C9288" s="131" t="s">
        <v>254</v>
      </c>
      <c r="D9288" s="132" t="n">
        <v>46735</v>
      </c>
      <c r="E9288" s="131" t="s">
        <v>59</v>
      </c>
      <c r="F9288" s="133" t="s">
        <v>19</v>
      </c>
      <c r="G9288" s="134" t="n">
        <f aca="false">LEN('Saisie programme'!$E$356)+SUMIFS('Vols additionnels'!$E$7:$E$66,'Vols additionnels'!$C$7:$C$66,$E9288,'Vols additionnels'!$D$7:$D$66,$F9288,'Vols additionnels'!$B$7:$B$66,$D9288)</f>
        <v>0</v>
      </c>
      <c r="H9288" s="135" t="n">
        <f aca="false">$G9288*'Analyse capacite'!$F$8</f>
        <v>0</v>
      </c>
      <c r="I9288" s="135" t="n">
        <f aca="false">$G9288*'Analyse capacite'!$C$8</f>
        <v>0</v>
      </c>
      <c r="J9288" s="135" t="n">
        <f aca="false">$G9288*'Analyse capacite'!$D$8</f>
        <v>0</v>
      </c>
      <c r="K9288" s="135" t="n">
        <f aca="false">$G9288*'Analyse capacite'!$E$8</f>
        <v>0</v>
      </c>
    </row>
    <row r="9289" customFormat="false" ht="15" hidden="false" customHeight="false" outlineLevel="0" collapsed="false">
      <c r="B9289" s="130" t="n">
        <v>2027</v>
      </c>
      <c r="C9289" s="131" t="s">
        <v>254</v>
      </c>
      <c r="D9289" s="132" t="n">
        <v>46735</v>
      </c>
      <c r="E9289" s="131" t="s">
        <v>59</v>
      </c>
      <c r="F9289" s="133" t="s">
        <v>24</v>
      </c>
      <c r="G9289" s="134" t="n">
        <f aca="false">LEN('Saisie programme'!$E$357)+SUMIFS('Vols additionnels'!$E$7:$E$66,'Vols additionnels'!$C$7:$C$66,$E9289,'Vols additionnels'!$D$7:$D$66,$F9289,'Vols additionnels'!$B$7:$B$66,$D9289)</f>
        <v>1</v>
      </c>
      <c r="H9289" s="135" t="n">
        <f aca="false">$G9289*'Analyse capacite'!$F$9</f>
        <v>174</v>
      </c>
      <c r="I9289" s="135" t="n">
        <f aca="false">$G9289*'Analyse capacite'!$C$9</f>
        <v>0</v>
      </c>
      <c r="J9289" s="135" t="n">
        <f aca="false">$G9289*'Analyse capacite'!$D$9</f>
        <v>12</v>
      </c>
      <c r="K9289" s="135" t="n">
        <f aca="false">$G9289*'Analyse capacite'!$E$9</f>
        <v>162</v>
      </c>
    </row>
    <row r="9290" customFormat="false" ht="15" hidden="false" customHeight="false" outlineLevel="0" collapsed="false">
      <c r="B9290" s="130" t="n">
        <v>2027</v>
      </c>
      <c r="C9290" s="131" t="s">
        <v>254</v>
      </c>
      <c r="D9290" s="132" t="n">
        <v>46735</v>
      </c>
      <c r="E9290" s="131" t="s">
        <v>62</v>
      </c>
      <c r="F9290" s="133" t="s">
        <v>11</v>
      </c>
      <c r="G9290" s="134" t="n">
        <f aca="false">LEN('Saisie programme'!$E$358)+SUMIFS('Vols additionnels'!$E$7:$E$66,'Vols additionnels'!$C$7:$C$66,$E9290,'Vols additionnels'!$D$7:$D$66,$F9290,'Vols additionnels'!$B$7:$B$66,$D9290)</f>
        <v>0</v>
      </c>
      <c r="H9290" s="135" t="n">
        <f aca="false">$G9290*'Analyse capacite'!$F$7</f>
        <v>0</v>
      </c>
      <c r="I9290" s="135" t="n">
        <f aca="false">$G9290*'Analyse capacite'!$C$7</f>
        <v>0</v>
      </c>
      <c r="J9290" s="135" t="n">
        <f aca="false">$G9290*'Analyse capacite'!$D$7</f>
        <v>0</v>
      </c>
      <c r="K9290" s="135" t="n">
        <f aca="false">$G9290*'Analyse capacite'!$E$7</f>
        <v>0</v>
      </c>
    </row>
    <row r="9291" customFormat="false" ht="15" hidden="false" customHeight="false" outlineLevel="0" collapsed="false">
      <c r="B9291" s="130" t="n">
        <v>2027</v>
      </c>
      <c r="C9291" s="131" t="s">
        <v>254</v>
      </c>
      <c r="D9291" s="132" t="n">
        <v>46735</v>
      </c>
      <c r="E9291" s="131" t="s">
        <v>62</v>
      </c>
      <c r="F9291" s="133" t="s">
        <v>19</v>
      </c>
      <c r="G9291" s="134" t="n">
        <f aca="false">LEN('Saisie programme'!$E$359)+SUMIFS('Vols additionnels'!$E$7:$E$66,'Vols additionnels'!$C$7:$C$66,$E9291,'Vols additionnels'!$D$7:$D$66,$F9291,'Vols additionnels'!$B$7:$B$66,$D9291)</f>
        <v>0</v>
      </c>
      <c r="H9291" s="135" t="n">
        <f aca="false">$G9291*'Analyse capacite'!$F$8</f>
        <v>0</v>
      </c>
      <c r="I9291" s="135" t="n">
        <f aca="false">$G9291*'Analyse capacite'!$C$8</f>
        <v>0</v>
      </c>
      <c r="J9291" s="135" t="n">
        <f aca="false">$G9291*'Analyse capacite'!$D$8</f>
        <v>0</v>
      </c>
      <c r="K9291" s="135" t="n">
        <f aca="false">$G9291*'Analyse capacite'!$E$8</f>
        <v>0</v>
      </c>
    </row>
    <row r="9292" customFormat="false" ht="15" hidden="false" customHeight="false" outlineLevel="0" collapsed="false">
      <c r="B9292" s="130" t="n">
        <v>2027</v>
      </c>
      <c r="C9292" s="131" t="s">
        <v>254</v>
      </c>
      <c r="D9292" s="132" t="n">
        <v>46735</v>
      </c>
      <c r="E9292" s="131" t="s">
        <v>62</v>
      </c>
      <c r="F9292" s="133" t="s">
        <v>24</v>
      </c>
      <c r="G9292" s="134" t="n">
        <f aca="false">LEN('Saisie programme'!$E$360)+SUMIFS('Vols additionnels'!$E$7:$E$66,'Vols additionnels'!$C$7:$C$66,$E9292,'Vols additionnels'!$D$7:$D$66,$F9292,'Vols additionnels'!$B$7:$B$66,$D9292)</f>
        <v>0</v>
      </c>
      <c r="H9292" s="135" t="n">
        <f aca="false">$G9292*'Analyse capacite'!$F$9</f>
        <v>0</v>
      </c>
      <c r="I9292" s="135" t="n">
        <f aca="false">$G9292*'Analyse capacite'!$C$9</f>
        <v>0</v>
      </c>
      <c r="J9292" s="135" t="n">
        <f aca="false">$G9292*'Analyse capacite'!$D$9</f>
        <v>0</v>
      </c>
      <c r="K9292" s="135" t="n">
        <f aca="false">$G9292*'Analyse capacite'!$E$9</f>
        <v>0</v>
      </c>
    </row>
    <row r="9293" customFormat="false" ht="15" hidden="false" customHeight="false" outlineLevel="0" collapsed="false">
      <c r="B9293" s="130" t="n">
        <v>2027</v>
      </c>
      <c r="C9293" s="131" t="s">
        <v>254</v>
      </c>
      <c r="D9293" s="132" t="n">
        <v>46736</v>
      </c>
      <c r="E9293" s="131" t="s">
        <v>12</v>
      </c>
      <c r="F9293" s="133" t="s">
        <v>11</v>
      </c>
      <c r="G9293" s="134" t="n">
        <f aca="false">LEN('Saisie programme'!$F$325)+SUMIFS('Vols additionnels'!$E$7:$E$66,'Vols additionnels'!$C$7:$C$66,$E9293,'Vols additionnels'!$D$7:$D$66,$F9293,'Vols additionnels'!$B$7:$B$66,$D9293)</f>
        <v>1</v>
      </c>
      <c r="H9293" s="135" t="n">
        <f aca="false">$G9293*'Analyse capacite'!$F$7</f>
        <v>438</v>
      </c>
      <c r="I9293" s="135" t="n">
        <f aca="false">$G9293*'Analyse capacite'!$C$7</f>
        <v>14</v>
      </c>
      <c r="J9293" s="135" t="n">
        <f aca="false">$G9293*'Analyse capacite'!$D$7</f>
        <v>40</v>
      </c>
      <c r="K9293" s="135" t="n">
        <f aca="false">$G9293*'Analyse capacite'!$E$7</f>
        <v>384</v>
      </c>
    </row>
    <row r="9294" customFormat="false" ht="15" hidden="false" customHeight="false" outlineLevel="0" collapsed="false">
      <c r="B9294" s="130" t="n">
        <v>2027</v>
      </c>
      <c r="C9294" s="131" t="s">
        <v>254</v>
      </c>
      <c r="D9294" s="132" t="n">
        <v>46736</v>
      </c>
      <c r="E9294" s="131" t="s">
        <v>12</v>
      </c>
      <c r="F9294" s="133" t="s">
        <v>19</v>
      </c>
      <c r="G9294" s="134" t="n">
        <f aca="false">LEN('Saisie programme'!$F$326)+SUMIFS('Vols additionnels'!$E$7:$E$66,'Vols additionnels'!$C$7:$C$66,$E9294,'Vols additionnels'!$D$7:$D$66,$F9294,'Vols additionnels'!$B$7:$B$66,$D9294)</f>
        <v>0</v>
      </c>
      <c r="H9294" s="135" t="n">
        <f aca="false">$G9294*'Analyse capacite'!$F$8</f>
        <v>0</v>
      </c>
      <c r="I9294" s="135" t="n">
        <f aca="false">$G9294*'Analyse capacite'!$C$8</f>
        <v>0</v>
      </c>
      <c r="J9294" s="135" t="n">
        <f aca="false">$G9294*'Analyse capacite'!$D$8</f>
        <v>0</v>
      </c>
      <c r="K9294" s="135" t="n">
        <f aca="false">$G9294*'Analyse capacite'!$E$8</f>
        <v>0</v>
      </c>
    </row>
    <row r="9295" customFormat="false" ht="15" hidden="false" customHeight="false" outlineLevel="0" collapsed="false">
      <c r="B9295" s="130" t="n">
        <v>2027</v>
      </c>
      <c r="C9295" s="131" t="s">
        <v>254</v>
      </c>
      <c r="D9295" s="132" t="n">
        <v>46736</v>
      </c>
      <c r="E9295" s="131" t="s">
        <v>12</v>
      </c>
      <c r="F9295" s="133" t="s">
        <v>24</v>
      </c>
      <c r="G9295" s="134" t="n">
        <f aca="false">LEN('Saisie programme'!$F$327)+SUMIFS('Vols additionnels'!$E$7:$E$66,'Vols additionnels'!$C$7:$C$66,$E9295,'Vols additionnels'!$D$7:$D$66,$F9295,'Vols additionnels'!$B$7:$B$66,$D9295)</f>
        <v>0</v>
      </c>
      <c r="H9295" s="135" t="n">
        <f aca="false">$G9295*'Analyse capacite'!$F$9</f>
        <v>0</v>
      </c>
      <c r="I9295" s="135" t="n">
        <f aca="false">$G9295*'Analyse capacite'!$C$9</f>
        <v>0</v>
      </c>
      <c r="J9295" s="135" t="n">
        <f aca="false">$G9295*'Analyse capacite'!$D$9</f>
        <v>0</v>
      </c>
      <c r="K9295" s="135" t="n">
        <f aca="false">$G9295*'Analyse capacite'!$E$9</f>
        <v>0</v>
      </c>
    </row>
    <row r="9296" customFormat="false" ht="15" hidden="false" customHeight="false" outlineLevel="0" collapsed="false">
      <c r="B9296" s="130" t="n">
        <v>2027</v>
      </c>
      <c r="C9296" s="131" t="s">
        <v>254</v>
      </c>
      <c r="D9296" s="132" t="n">
        <v>46736</v>
      </c>
      <c r="E9296" s="131" t="s">
        <v>20</v>
      </c>
      <c r="F9296" s="133" t="s">
        <v>11</v>
      </c>
      <c r="G9296" s="134" t="n">
        <f aca="false">LEN('Saisie programme'!$F$328)+SUMIFS('Vols additionnels'!$E$7:$E$66,'Vols additionnels'!$C$7:$C$66,$E9296,'Vols additionnels'!$D$7:$D$66,$F9296,'Vols additionnels'!$B$7:$B$66,$D9296)</f>
        <v>0</v>
      </c>
      <c r="H9296" s="135" t="n">
        <f aca="false">$G9296*'Analyse capacite'!$F$7</f>
        <v>0</v>
      </c>
      <c r="I9296" s="135" t="n">
        <f aca="false">$G9296*'Analyse capacite'!$C$7</f>
        <v>0</v>
      </c>
      <c r="J9296" s="135" t="n">
        <f aca="false">$G9296*'Analyse capacite'!$D$7</f>
        <v>0</v>
      </c>
      <c r="K9296" s="135" t="n">
        <f aca="false">$G9296*'Analyse capacite'!$E$7</f>
        <v>0</v>
      </c>
    </row>
    <row r="9297" customFormat="false" ht="15" hidden="false" customHeight="false" outlineLevel="0" collapsed="false">
      <c r="B9297" s="130" t="n">
        <v>2027</v>
      </c>
      <c r="C9297" s="131" t="s">
        <v>254</v>
      </c>
      <c r="D9297" s="132" t="n">
        <v>46736</v>
      </c>
      <c r="E9297" s="131" t="s">
        <v>20</v>
      </c>
      <c r="F9297" s="133" t="s">
        <v>19</v>
      </c>
      <c r="G9297" s="134" t="n">
        <f aca="false">LEN('Saisie programme'!$F$329)+SUMIFS('Vols additionnels'!$E$7:$E$66,'Vols additionnels'!$C$7:$C$66,$E9297,'Vols additionnels'!$D$7:$D$66,$F9297,'Vols additionnels'!$B$7:$B$66,$D9297)</f>
        <v>0</v>
      </c>
      <c r="H9297" s="135" t="n">
        <f aca="false">$G9297*'Analyse capacite'!$F$8</f>
        <v>0</v>
      </c>
      <c r="I9297" s="135" t="n">
        <f aca="false">$G9297*'Analyse capacite'!$C$8</f>
        <v>0</v>
      </c>
      <c r="J9297" s="135" t="n">
        <f aca="false">$G9297*'Analyse capacite'!$D$8</f>
        <v>0</v>
      </c>
      <c r="K9297" s="135" t="n">
        <f aca="false">$G9297*'Analyse capacite'!$E$8</f>
        <v>0</v>
      </c>
    </row>
    <row r="9298" customFormat="false" ht="15" hidden="false" customHeight="false" outlineLevel="0" collapsed="false">
      <c r="B9298" s="130" t="n">
        <v>2027</v>
      </c>
      <c r="C9298" s="131" t="s">
        <v>254</v>
      </c>
      <c r="D9298" s="132" t="n">
        <v>46736</v>
      </c>
      <c r="E9298" s="131" t="s">
        <v>20</v>
      </c>
      <c r="F9298" s="133" t="s">
        <v>24</v>
      </c>
      <c r="G9298" s="134" t="n">
        <f aca="false">LEN('Saisie programme'!$F$330)+SUMIFS('Vols additionnels'!$E$7:$E$66,'Vols additionnels'!$C$7:$C$66,$E9298,'Vols additionnels'!$D$7:$D$66,$F9298,'Vols additionnels'!$B$7:$B$66,$D9298)</f>
        <v>0</v>
      </c>
      <c r="H9298" s="135" t="n">
        <f aca="false">$G9298*'Analyse capacite'!$F$9</f>
        <v>0</v>
      </c>
      <c r="I9298" s="135" t="n">
        <f aca="false">$G9298*'Analyse capacite'!$C$9</f>
        <v>0</v>
      </c>
      <c r="J9298" s="135" t="n">
        <f aca="false">$G9298*'Analyse capacite'!$D$9</f>
        <v>0</v>
      </c>
      <c r="K9298" s="135" t="n">
        <f aca="false">$G9298*'Analyse capacite'!$E$9</f>
        <v>0</v>
      </c>
    </row>
    <row r="9299" customFormat="false" ht="15" hidden="false" customHeight="false" outlineLevel="0" collapsed="false">
      <c r="B9299" s="130" t="n">
        <v>2027</v>
      </c>
      <c r="C9299" s="131" t="s">
        <v>254</v>
      </c>
      <c r="D9299" s="132" t="n">
        <v>46736</v>
      </c>
      <c r="E9299" s="131" t="s">
        <v>25</v>
      </c>
      <c r="F9299" s="133" t="s">
        <v>11</v>
      </c>
      <c r="G9299" s="134" t="n">
        <f aca="false">LEN('Saisie programme'!$F$331)+SUMIFS('Vols additionnels'!$E$7:$E$66,'Vols additionnels'!$C$7:$C$66,$E9299,'Vols additionnels'!$D$7:$D$66,$F9299,'Vols additionnels'!$B$7:$B$66,$D9299)</f>
        <v>0</v>
      </c>
      <c r="H9299" s="135" t="n">
        <f aca="false">$G9299*'Analyse capacite'!$F$7</f>
        <v>0</v>
      </c>
      <c r="I9299" s="135" t="n">
        <f aca="false">$G9299*'Analyse capacite'!$C$7</f>
        <v>0</v>
      </c>
      <c r="J9299" s="135" t="n">
        <f aca="false">$G9299*'Analyse capacite'!$D$7</f>
        <v>0</v>
      </c>
      <c r="K9299" s="135" t="n">
        <f aca="false">$G9299*'Analyse capacite'!$E$7</f>
        <v>0</v>
      </c>
    </row>
    <row r="9300" customFormat="false" ht="15" hidden="false" customHeight="false" outlineLevel="0" collapsed="false">
      <c r="B9300" s="130" t="n">
        <v>2027</v>
      </c>
      <c r="C9300" s="131" t="s">
        <v>254</v>
      </c>
      <c r="D9300" s="132" t="n">
        <v>46736</v>
      </c>
      <c r="E9300" s="131" t="s">
        <v>25</v>
      </c>
      <c r="F9300" s="133" t="s">
        <v>19</v>
      </c>
      <c r="G9300" s="134" t="n">
        <f aca="false">LEN('Saisie programme'!$F$332)+SUMIFS('Vols additionnels'!$E$7:$E$66,'Vols additionnels'!$C$7:$C$66,$E9300,'Vols additionnels'!$D$7:$D$66,$F9300,'Vols additionnels'!$B$7:$B$66,$D9300)</f>
        <v>1</v>
      </c>
      <c r="H9300" s="135" t="n">
        <f aca="false">$G9300*'Analyse capacite'!$F$8</f>
        <v>262</v>
      </c>
      <c r="I9300" s="135" t="n">
        <f aca="false">$G9300*'Analyse capacite'!$C$8</f>
        <v>18</v>
      </c>
      <c r="J9300" s="135" t="n">
        <f aca="false">$G9300*'Analyse capacite'!$D$8</f>
        <v>0</v>
      </c>
      <c r="K9300" s="135" t="n">
        <f aca="false">$G9300*'Analyse capacite'!$E$8</f>
        <v>244</v>
      </c>
    </row>
    <row r="9301" customFormat="false" ht="15" hidden="false" customHeight="false" outlineLevel="0" collapsed="false">
      <c r="B9301" s="130" t="n">
        <v>2027</v>
      </c>
      <c r="C9301" s="131" t="s">
        <v>254</v>
      </c>
      <c r="D9301" s="132" t="n">
        <v>46736</v>
      </c>
      <c r="E9301" s="131" t="s">
        <v>25</v>
      </c>
      <c r="F9301" s="133" t="s">
        <v>24</v>
      </c>
      <c r="G9301" s="134" t="n">
        <f aca="false">LEN('Saisie programme'!$F$333)+SUMIFS('Vols additionnels'!$E$7:$E$66,'Vols additionnels'!$C$7:$C$66,$E9301,'Vols additionnels'!$D$7:$D$66,$F9301,'Vols additionnels'!$B$7:$B$66,$D9301)</f>
        <v>0</v>
      </c>
      <c r="H9301" s="135" t="n">
        <f aca="false">$G9301*'Analyse capacite'!$F$9</f>
        <v>0</v>
      </c>
      <c r="I9301" s="135" t="n">
        <f aca="false">$G9301*'Analyse capacite'!$C$9</f>
        <v>0</v>
      </c>
      <c r="J9301" s="135" t="n">
        <f aca="false">$G9301*'Analyse capacite'!$D$9</f>
        <v>0</v>
      </c>
      <c r="K9301" s="135" t="n">
        <f aca="false">$G9301*'Analyse capacite'!$E$9</f>
        <v>0</v>
      </c>
    </row>
    <row r="9302" customFormat="false" ht="15" hidden="false" customHeight="false" outlineLevel="0" collapsed="false">
      <c r="B9302" s="130" t="n">
        <v>2027</v>
      </c>
      <c r="C9302" s="131" t="s">
        <v>254</v>
      </c>
      <c r="D9302" s="132" t="n">
        <v>46736</v>
      </c>
      <c r="E9302" s="131" t="s">
        <v>36</v>
      </c>
      <c r="F9302" s="133" t="s">
        <v>11</v>
      </c>
      <c r="G9302" s="134" t="n">
        <f aca="false">LEN('Saisie programme'!$F$334)+SUMIFS('Vols additionnels'!$E$7:$E$66,'Vols additionnels'!$C$7:$C$66,$E9302,'Vols additionnels'!$D$7:$D$66,$F9302,'Vols additionnels'!$B$7:$B$66,$D9302)</f>
        <v>0</v>
      </c>
      <c r="H9302" s="135" t="n">
        <f aca="false">$G9302*'Analyse capacite'!$F$7</f>
        <v>0</v>
      </c>
      <c r="I9302" s="135" t="n">
        <f aca="false">$G9302*'Analyse capacite'!$C$7</f>
        <v>0</v>
      </c>
      <c r="J9302" s="135" t="n">
        <f aca="false">$G9302*'Analyse capacite'!$D$7</f>
        <v>0</v>
      </c>
      <c r="K9302" s="135" t="n">
        <f aca="false">$G9302*'Analyse capacite'!$E$7</f>
        <v>0</v>
      </c>
    </row>
    <row r="9303" customFormat="false" ht="15" hidden="false" customHeight="false" outlineLevel="0" collapsed="false">
      <c r="B9303" s="130" t="n">
        <v>2027</v>
      </c>
      <c r="C9303" s="131" t="s">
        <v>254</v>
      </c>
      <c r="D9303" s="132" t="n">
        <v>46736</v>
      </c>
      <c r="E9303" s="131" t="s">
        <v>36</v>
      </c>
      <c r="F9303" s="133" t="s">
        <v>19</v>
      </c>
      <c r="G9303" s="134" t="n">
        <f aca="false">LEN('Saisie programme'!$F$335)+SUMIFS('Vols additionnels'!$E$7:$E$66,'Vols additionnels'!$C$7:$C$66,$E9303,'Vols additionnels'!$D$7:$D$66,$F9303,'Vols additionnels'!$B$7:$B$66,$D9303)</f>
        <v>1</v>
      </c>
      <c r="H9303" s="135" t="n">
        <f aca="false">$G9303*'Analyse capacite'!$F$8</f>
        <v>262</v>
      </c>
      <c r="I9303" s="135" t="n">
        <f aca="false">$G9303*'Analyse capacite'!$C$8</f>
        <v>18</v>
      </c>
      <c r="J9303" s="135" t="n">
        <f aca="false">$G9303*'Analyse capacite'!$D$8</f>
        <v>0</v>
      </c>
      <c r="K9303" s="135" t="n">
        <f aca="false">$G9303*'Analyse capacite'!$E$8</f>
        <v>244</v>
      </c>
    </row>
    <row r="9304" customFormat="false" ht="15" hidden="false" customHeight="false" outlineLevel="0" collapsed="false">
      <c r="B9304" s="130" t="n">
        <v>2027</v>
      </c>
      <c r="C9304" s="131" t="s">
        <v>254</v>
      </c>
      <c r="D9304" s="132" t="n">
        <v>46736</v>
      </c>
      <c r="E9304" s="131" t="s">
        <v>36</v>
      </c>
      <c r="F9304" s="133" t="s">
        <v>24</v>
      </c>
      <c r="G9304" s="134" t="n">
        <f aca="false">LEN('Saisie programme'!$F$336)+SUMIFS('Vols additionnels'!$E$7:$E$66,'Vols additionnels'!$C$7:$C$66,$E9304,'Vols additionnels'!$D$7:$D$66,$F9304,'Vols additionnels'!$B$7:$B$66,$D9304)</f>
        <v>1</v>
      </c>
      <c r="H9304" s="135" t="n">
        <f aca="false">$G9304*'Analyse capacite'!$F$9</f>
        <v>174</v>
      </c>
      <c r="I9304" s="135" t="n">
        <f aca="false">$G9304*'Analyse capacite'!$C$9</f>
        <v>0</v>
      </c>
      <c r="J9304" s="135" t="n">
        <f aca="false">$G9304*'Analyse capacite'!$D$9</f>
        <v>12</v>
      </c>
      <c r="K9304" s="135" t="n">
        <f aca="false">$G9304*'Analyse capacite'!$E$9</f>
        <v>162</v>
      </c>
    </row>
    <row r="9305" customFormat="false" ht="15" hidden="false" customHeight="false" outlineLevel="0" collapsed="false">
      <c r="B9305" s="130" t="n">
        <v>2027</v>
      </c>
      <c r="C9305" s="131" t="s">
        <v>254</v>
      </c>
      <c r="D9305" s="132" t="n">
        <v>46736</v>
      </c>
      <c r="E9305" s="131" t="s">
        <v>40</v>
      </c>
      <c r="F9305" s="133" t="s">
        <v>11</v>
      </c>
      <c r="G9305" s="134" t="n">
        <f aca="false">LEN('Saisie programme'!$F$337)+SUMIFS('Vols additionnels'!$E$7:$E$66,'Vols additionnels'!$C$7:$C$66,$E9305,'Vols additionnels'!$D$7:$D$66,$F9305,'Vols additionnels'!$B$7:$B$66,$D9305)</f>
        <v>0</v>
      </c>
      <c r="H9305" s="135" t="n">
        <f aca="false">$G9305*'Analyse capacite'!$F$7</f>
        <v>0</v>
      </c>
      <c r="I9305" s="135" t="n">
        <f aca="false">$G9305*'Analyse capacite'!$C$7</f>
        <v>0</v>
      </c>
      <c r="J9305" s="135" t="n">
        <f aca="false">$G9305*'Analyse capacite'!$D$7</f>
        <v>0</v>
      </c>
      <c r="K9305" s="135" t="n">
        <f aca="false">$G9305*'Analyse capacite'!$E$7</f>
        <v>0</v>
      </c>
    </row>
    <row r="9306" customFormat="false" ht="15" hidden="false" customHeight="false" outlineLevel="0" collapsed="false">
      <c r="B9306" s="130" t="n">
        <v>2027</v>
      </c>
      <c r="C9306" s="131" t="s">
        <v>254</v>
      </c>
      <c r="D9306" s="132" t="n">
        <v>46736</v>
      </c>
      <c r="E9306" s="131" t="s">
        <v>40</v>
      </c>
      <c r="F9306" s="133" t="s">
        <v>19</v>
      </c>
      <c r="G9306" s="134" t="n">
        <f aca="false">LEN('Saisie programme'!$F$338)+SUMIFS('Vols additionnels'!$E$7:$E$66,'Vols additionnels'!$C$7:$C$66,$E9306,'Vols additionnels'!$D$7:$D$66,$F9306,'Vols additionnels'!$B$7:$B$66,$D9306)</f>
        <v>0</v>
      </c>
      <c r="H9306" s="135" t="n">
        <f aca="false">$G9306*'Analyse capacite'!$F$8</f>
        <v>0</v>
      </c>
      <c r="I9306" s="135" t="n">
        <f aca="false">$G9306*'Analyse capacite'!$C$8</f>
        <v>0</v>
      </c>
      <c r="J9306" s="135" t="n">
        <f aca="false">$G9306*'Analyse capacite'!$D$8</f>
        <v>0</v>
      </c>
      <c r="K9306" s="135" t="n">
        <f aca="false">$G9306*'Analyse capacite'!$E$8</f>
        <v>0</v>
      </c>
    </row>
    <row r="9307" customFormat="false" ht="15" hidden="false" customHeight="false" outlineLevel="0" collapsed="false">
      <c r="B9307" s="130" t="n">
        <v>2027</v>
      </c>
      <c r="C9307" s="131" t="s">
        <v>254</v>
      </c>
      <c r="D9307" s="132" t="n">
        <v>46736</v>
      </c>
      <c r="E9307" s="131" t="s">
        <v>40</v>
      </c>
      <c r="F9307" s="133" t="s">
        <v>24</v>
      </c>
      <c r="G9307" s="134" t="n">
        <f aca="false">LEN('Saisie programme'!$F$339)+SUMIFS('Vols additionnels'!$E$7:$E$66,'Vols additionnels'!$C$7:$C$66,$E9307,'Vols additionnels'!$D$7:$D$66,$F9307,'Vols additionnels'!$B$7:$B$66,$D9307)</f>
        <v>1</v>
      </c>
      <c r="H9307" s="135" t="n">
        <f aca="false">$G9307*'Analyse capacite'!$F$9</f>
        <v>174</v>
      </c>
      <c r="I9307" s="135" t="n">
        <f aca="false">$G9307*'Analyse capacite'!$C$9</f>
        <v>0</v>
      </c>
      <c r="J9307" s="135" t="n">
        <f aca="false">$G9307*'Analyse capacite'!$D$9</f>
        <v>12</v>
      </c>
      <c r="K9307" s="135" t="n">
        <f aca="false">$G9307*'Analyse capacite'!$E$9</f>
        <v>162</v>
      </c>
    </row>
    <row r="9308" customFormat="false" ht="15" hidden="false" customHeight="false" outlineLevel="0" collapsed="false">
      <c r="B9308" s="130" t="n">
        <v>2027</v>
      </c>
      <c r="C9308" s="131" t="s">
        <v>254</v>
      </c>
      <c r="D9308" s="132" t="n">
        <v>46736</v>
      </c>
      <c r="E9308" s="131" t="s">
        <v>14</v>
      </c>
      <c r="F9308" s="133" t="s">
        <v>11</v>
      </c>
      <c r="G9308" s="134" t="n">
        <f aca="false">LEN('Saisie programme'!$F$340)+SUMIFS('Vols additionnels'!$E$7:$E$66,'Vols additionnels'!$C$7:$C$66,$E9308,'Vols additionnels'!$D$7:$D$66,$F9308,'Vols additionnels'!$B$7:$B$66,$D9308)</f>
        <v>0</v>
      </c>
      <c r="H9308" s="135" t="n">
        <f aca="false">$G9308*'Analyse capacite'!$F$7</f>
        <v>0</v>
      </c>
      <c r="I9308" s="135" t="n">
        <f aca="false">$G9308*'Analyse capacite'!$C$7</f>
        <v>0</v>
      </c>
      <c r="J9308" s="135" t="n">
        <f aca="false">$G9308*'Analyse capacite'!$D$7</f>
        <v>0</v>
      </c>
      <c r="K9308" s="135" t="n">
        <f aca="false">$G9308*'Analyse capacite'!$E$7</f>
        <v>0</v>
      </c>
    </row>
    <row r="9309" customFormat="false" ht="15" hidden="false" customHeight="false" outlineLevel="0" collapsed="false">
      <c r="B9309" s="130" t="n">
        <v>2027</v>
      </c>
      <c r="C9309" s="131" t="s">
        <v>254</v>
      </c>
      <c r="D9309" s="132" t="n">
        <v>46736</v>
      </c>
      <c r="E9309" s="131" t="s">
        <v>14</v>
      </c>
      <c r="F9309" s="133" t="s">
        <v>19</v>
      </c>
      <c r="G9309" s="134" t="n">
        <f aca="false">LEN('Saisie programme'!$F$341)+SUMIFS('Vols additionnels'!$E$7:$E$66,'Vols additionnels'!$C$7:$C$66,$E9309,'Vols additionnels'!$D$7:$D$66,$F9309,'Vols additionnels'!$B$7:$B$66,$D9309)</f>
        <v>0</v>
      </c>
      <c r="H9309" s="135" t="n">
        <f aca="false">$G9309*'Analyse capacite'!$F$8</f>
        <v>0</v>
      </c>
      <c r="I9309" s="135" t="n">
        <f aca="false">$G9309*'Analyse capacite'!$C$8</f>
        <v>0</v>
      </c>
      <c r="J9309" s="135" t="n">
        <f aca="false">$G9309*'Analyse capacite'!$D$8</f>
        <v>0</v>
      </c>
      <c r="K9309" s="135" t="n">
        <f aca="false">$G9309*'Analyse capacite'!$E$8</f>
        <v>0</v>
      </c>
    </row>
    <row r="9310" customFormat="false" ht="15" hidden="false" customHeight="false" outlineLevel="0" collapsed="false">
      <c r="B9310" s="130" t="n">
        <v>2027</v>
      </c>
      <c r="C9310" s="131" t="s">
        <v>254</v>
      </c>
      <c r="D9310" s="132" t="n">
        <v>46736</v>
      </c>
      <c r="E9310" s="131" t="s">
        <v>14</v>
      </c>
      <c r="F9310" s="133" t="s">
        <v>24</v>
      </c>
      <c r="G9310" s="134" t="n">
        <f aca="false">LEN('Saisie programme'!$F$342)+SUMIFS('Vols additionnels'!$E$7:$E$66,'Vols additionnels'!$C$7:$C$66,$E9310,'Vols additionnels'!$D$7:$D$66,$F9310,'Vols additionnels'!$B$7:$B$66,$D9310)</f>
        <v>0</v>
      </c>
      <c r="H9310" s="135" t="n">
        <f aca="false">$G9310*'Analyse capacite'!$F$9</f>
        <v>0</v>
      </c>
      <c r="I9310" s="135" t="n">
        <f aca="false">$G9310*'Analyse capacite'!$C$9</f>
        <v>0</v>
      </c>
      <c r="J9310" s="135" t="n">
        <f aca="false">$G9310*'Analyse capacite'!$D$9</f>
        <v>0</v>
      </c>
      <c r="K9310" s="135" t="n">
        <f aca="false">$G9310*'Analyse capacite'!$E$9</f>
        <v>0</v>
      </c>
    </row>
    <row r="9311" customFormat="false" ht="15" hidden="false" customHeight="false" outlineLevel="0" collapsed="false">
      <c r="B9311" s="130" t="n">
        <v>2027</v>
      </c>
      <c r="C9311" s="131" t="s">
        <v>254</v>
      </c>
      <c r="D9311" s="132" t="n">
        <v>46736</v>
      </c>
      <c r="E9311" s="131" t="s">
        <v>46</v>
      </c>
      <c r="F9311" s="133" t="s">
        <v>11</v>
      </c>
      <c r="G9311" s="134" t="n">
        <f aca="false">LEN('Saisie programme'!$F$343)+SUMIFS('Vols additionnels'!$E$7:$E$66,'Vols additionnels'!$C$7:$C$66,$E9311,'Vols additionnels'!$D$7:$D$66,$F9311,'Vols additionnels'!$B$7:$B$66,$D9311)</f>
        <v>0</v>
      </c>
      <c r="H9311" s="135" t="n">
        <f aca="false">$G9311*'Analyse capacite'!$F$7</f>
        <v>0</v>
      </c>
      <c r="I9311" s="135" t="n">
        <f aca="false">$G9311*'Analyse capacite'!$C$7</f>
        <v>0</v>
      </c>
      <c r="J9311" s="135" t="n">
        <f aca="false">$G9311*'Analyse capacite'!$D$7</f>
        <v>0</v>
      </c>
      <c r="K9311" s="135" t="n">
        <f aca="false">$G9311*'Analyse capacite'!$E$7</f>
        <v>0</v>
      </c>
    </row>
    <row r="9312" customFormat="false" ht="15" hidden="false" customHeight="false" outlineLevel="0" collapsed="false">
      <c r="B9312" s="130" t="n">
        <v>2027</v>
      </c>
      <c r="C9312" s="131" t="s">
        <v>254</v>
      </c>
      <c r="D9312" s="132" t="n">
        <v>46736</v>
      </c>
      <c r="E9312" s="131" t="s">
        <v>46</v>
      </c>
      <c r="F9312" s="133" t="s">
        <v>19</v>
      </c>
      <c r="G9312" s="134" t="n">
        <f aca="false">LEN('Saisie programme'!$F$344)+SUMIFS('Vols additionnels'!$E$7:$E$66,'Vols additionnels'!$C$7:$C$66,$E9312,'Vols additionnels'!$D$7:$D$66,$F9312,'Vols additionnels'!$B$7:$B$66,$D9312)</f>
        <v>0</v>
      </c>
      <c r="H9312" s="135" t="n">
        <f aca="false">$G9312*'Analyse capacite'!$F$8</f>
        <v>0</v>
      </c>
      <c r="I9312" s="135" t="n">
        <f aca="false">$G9312*'Analyse capacite'!$C$8</f>
        <v>0</v>
      </c>
      <c r="J9312" s="135" t="n">
        <f aca="false">$G9312*'Analyse capacite'!$D$8</f>
        <v>0</v>
      </c>
      <c r="K9312" s="135" t="n">
        <f aca="false">$G9312*'Analyse capacite'!$E$8</f>
        <v>0</v>
      </c>
    </row>
    <row r="9313" customFormat="false" ht="15" hidden="false" customHeight="false" outlineLevel="0" collapsed="false">
      <c r="B9313" s="130" t="n">
        <v>2027</v>
      </c>
      <c r="C9313" s="131" t="s">
        <v>254</v>
      </c>
      <c r="D9313" s="132" t="n">
        <v>46736</v>
      </c>
      <c r="E9313" s="131" t="s">
        <v>46</v>
      </c>
      <c r="F9313" s="133" t="s">
        <v>24</v>
      </c>
      <c r="G9313" s="134" t="n">
        <f aca="false">LEN('Saisie programme'!$F$345)+SUMIFS('Vols additionnels'!$E$7:$E$66,'Vols additionnels'!$C$7:$C$66,$E9313,'Vols additionnels'!$D$7:$D$66,$F9313,'Vols additionnels'!$B$7:$B$66,$D9313)</f>
        <v>0</v>
      </c>
      <c r="H9313" s="135" t="n">
        <f aca="false">$G9313*'Analyse capacite'!$F$9</f>
        <v>0</v>
      </c>
      <c r="I9313" s="135" t="n">
        <f aca="false">$G9313*'Analyse capacite'!$C$9</f>
        <v>0</v>
      </c>
      <c r="J9313" s="135" t="n">
        <f aca="false">$G9313*'Analyse capacite'!$D$9</f>
        <v>0</v>
      </c>
      <c r="K9313" s="135" t="n">
        <f aca="false">$G9313*'Analyse capacite'!$E$9</f>
        <v>0</v>
      </c>
    </row>
    <row r="9314" customFormat="false" ht="15" hidden="false" customHeight="false" outlineLevel="0" collapsed="false">
      <c r="B9314" s="130" t="n">
        <v>2027</v>
      </c>
      <c r="C9314" s="131" t="s">
        <v>254</v>
      </c>
      <c r="D9314" s="132" t="n">
        <v>46736</v>
      </c>
      <c r="E9314" s="131" t="s">
        <v>49</v>
      </c>
      <c r="F9314" s="133" t="s">
        <v>11</v>
      </c>
      <c r="G9314" s="134" t="n">
        <f aca="false">LEN('Saisie programme'!$F$346)+SUMIFS('Vols additionnels'!$E$7:$E$66,'Vols additionnels'!$C$7:$C$66,$E9314,'Vols additionnels'!$D$7:$D$66,$F9314,'Vols additionnels'!$B$7:$B$66,$D9314)</f>
        <v>0</v>
      </c>
      <c r="H9314" s="135" t="n">
        <f aca="false">$G9314*'Analyse capacite'!$F$7</f>
        <v>0</v>
      </c>
      <c r="I9314" s="135" t="n">
        <f aca="false">$G9314*'Analyse capacite'!$C$7</f>
        <v>0</v>
      </c>
      <c r="J9314" s="135" t="n">
        <f aca="false">$G9314*'Analyse capacite'!$D$7</f>
        <v>0</v>
      </c>
      <c r="K9314" s="135" t="n">
        <f aca="false">$G9314*'Analyse capacite'!$E$7</f>
        <v>0</v>
      </c>
    </row>
    <row r="9315" customFormat="false" ht="15" hidden="false" customHeight="false" outlineLevel="0" collapsed="false">
      <c r="B9315" s="130" t="n">
        <v>2027</v>
      </c>
      <c r="C9315" s="131" t="s">
        <v>254</v>
      </c>
      <c r="D9315" s="132" t="n">
        <v>46736</v>
      </c>
      <c r="E9315" s="131" t="s">
        <v>49</v>
      </c>
      <c r="F9315" s="133" t="s">
        <v>19</v>
      </c>
      <c r="G9315" s="134" t="n">
        <f aca="false">LEN('Saisie programme'!$F$347)+SUMIFS('Vols additionnels'!$E$7:$E$66,'Vols additionnels'!$C$7:$C$66,$E9315,'Vols additionnels'!$D$7:$D$66,$F9315,'Vols additionnels'!$B$7:$B$66,$D9315)</f>
        <v>0</v>
      </c>
      <c r="H9315" s="135" t="n">
        <f aca="false">$G9315*'Analyse capacite'!$F$8</f>
        <v>0</v>
      </c>
      <c r="I9315" s="135" t="n">
        <f aca="false">$G9315*'Analyse capacite'!$C$8</f>
        <v>0</v>
      </c>
      <c r="J9315" s="135" t="n">
        <f aca="false">$G9315*'Analyse capacite'!$D$8</f>
        <v>0</v>
      </c>
      <c r="K9315" s="135" t="n">
        <f aca="false">$G9315*'Analyse capacite'!$E$8</f>
        <v>0</v>
      </c>
    </row>
    <row r="9316" customFormat="false" ht="15" hidden="false" customHeight="false" outlineLevel="0" collapsed="false">
      <c r="B9316" s="130" t="n">
        <v>2027</v>
      </c>
      <c r="C9316" s="131" t="s">
        <v>254</v>
      </c>
      <c r="D9316" s="132" t="n">
        <v>46736</v>
      </c>
      <c r="E9316" s="131" t="s">
        <v>49</v>
      </c>
      <c r="F9316" s="133" t="s">
        <v>24</v>
      </c>
      <c r="G9316" s="134" t="n">
        <f aca="false">LEN('Saisie programme'!$F$348)+SUMIFS('Vols additionnels'!$E$7:$E$66,'Vols additionnels'!$C$7:$C$66,$E9316,'Vols additionnels'!$D$7:$D$66,$F9316,'Vols additionnels'!$B$7:$B$66,$D9316)</f>
        <v>0</v>
      </c>
      <c r="H9316" s="135" t="n">
        <f aca="false">$G9316*'Analyse capacite'!$F$9</f>
        <v>0</v>
      </c>
      <c r="I9316" s="135" t="n">
        <f aca="false">$G9316*'Analyse capacite'!$C$9</f>
        <v>0</v>
      </c>
      <c r="J9316" s="135" t="n">
        <f aca="false">$G9316*'Analyse capacite'!$D$9</f>
        <v>0</v>
      </c>
      <c r="K9316" s="135" t="n">
        <f aca="false">$G9316*'Analyse capacite'!$E$9</f>
        <v>0</v>
      </c>
    </row>
    <row r="9317" customFormat="false" ht="15" hidden="false" customHeight="false" outlineLevel="0" collapsed="false">
      <c r="B9317" s="130" t="n">
        <v>2027</v>
      </c>
      <c r="C9317" s="131" t="s">
        <v>254</v>
      </c>
      <c r="D9317" s="132" t="n">
        <v>46736</v>
      </c>
      <c r="E9317" s="131" t="s">
        <v>53</v>
      </c>
      <c r="F9317" s="133" t="s">
        <v>11</v>
      </c>
      <c r="G9317" s="134" t="n">
        <f aca="false">LEN('Saisie programme'!$F$349)+SUMIFS('Vols additionnels'!$E$7:$E$66,'Vols additionnels'!$C$7:$C$66,$E9317,'Vols additionnels'!$D$7:$D$66,$F9317,'Vols additionnels'!$B$7:$B$66,$D9317)</f>
        <v>0</v>
      </c>
      <c r="H9317" s="135" t="n">
        <f aca="false">$G9317*'Analyse capacite'!$F$7</f>
        <v>0</v>
      </c>
      <c r="I9317" s="135" t="n">
        <f aca="false">$G9317*'Analyse capacite'!$C$7</f>
        <v>0</v>
      </c>
      <c r="J9317" s="135" t="n">
        <f aca="false">$G9317*'Analyse capacite'!$D$7</f>
        <v>0</v>
      </c>
      <c r="K9317" s="135" t="n">
        <f aca="false">$G9317*'Analyse capacite'!$E$7</f>
        <v>0</v>
      </c>
    </row>
    <row r="9318" customFormat="false" ht="15" hidden="false" customHeight="false" outlineLevel="0" collapsed="false">
      <c r="B9318" s="130" t="n">
        <v>2027</v>
      </c>
      <c r="C9318" s="131" t="s">
        <v>254</v>
      </c>
      <c r="D9318" s="132" t="n">
        <v>46736</v>
      </c>
      <c r="E9318" s="131" t="s">
        <v>53</v>
      </c>
      <c r="F9318" s="133" t="s">
        <v>19</v>
      </c>
      <c r="G9318" s="134" t="n">
        <f aca="false">LEN('Saisie programme'!$F$350)+SUMIFS('Vols additionnels'!$E$7:$E$66,'Vols additionnels'!$C$7:$C$66,$E9318,'Vols additionnels'!$D$7:$D$66,$F9318,'Vols additionnels'!$B$7:$B$66,$D9318)</f>
        <v>0</v>
      </c>
      <c r="H9318" s="135" t="n">
        <f aca="false">$G9318*'Analyse capacite'!$F$8</f>
        <v>0</v>
      </c>
      <c r="I9318" s="135" t="n">
        <f aca="false">$G9318*'Analyse capacite'!$C$8</f>
        <v>0</v>
      </c>
      <c r="J9318" s="135" t="n">
        <f aca="false">$G9318*'Analyse capacite'!$D$8</f>
        <v>0</v>
      </c>
      <c r="K9318" s="135" t="n">
        <f aca="false">$G9318*'Analyse capacite'!$E$8</f>
        <v>0</v>
      </c>
    </row>
    <row r="9319" customFormat="false" ht="15" hidden="false" customHeight="false" outlineLevel="0" collapsed="false">
      <c r="B9319" s="130" t="n">
        <v>2027</v>
      </c>
      <c r="C9319" s="131" t="s">
        <v>254</v>
      </c>
      <c r="D9319" s="132" t="n">
        <v>46736</v>
      </c>
      <c r="E9319" s="131" t="s">
        <v>53</v>
      </c>
      <c r="F9319" s="133" t="s">
        <v>24</v>
      </c>
      <c r="G9319" s="134" t="n">
        <f aca="false">LEN('Saisie programme'!$F$351)+SUMIFS('Vols additionnels'!$E$7:$E$66,'Vols additionnels'!$C$7:$C$66,$E9319,'Vols additionnels'!$D$7:$D$66,$F9319,'Vols additionnels'!$B$7:$B$66,$D9319)</f>
        <v>0</v>
      </c>
      <c r="H9319" s="135" t="n">
        <f aca="false">$G9319*'Analyse capacite'!$F$9</f>
        <v>0</v>
      </c>
      <c r="I9319" s="135" t="n">
        <f aca="false">$G9319*'Analyse capacite'!$C$9</f>
        <v>0</v>
      </c>
      <c r="J9319" s="135" t="n">
        <f aca="false">$G9319*'Analyse capacite'!$D$9</f>
        <v>0</v>
      </c>
      <c r="K9319" s="135" t="n">
        <f aca="false">$G9319*'Analyse capacite'!$E$9</f>
        <v>0</v>
      </c>
    </row>
    <row r="9320" customFormat="false" ht="15" hidden="false" customHeight="false" outlineLevel="0" collapsed="false">
      <c r="B9320" s="130" t="n">
        <v>2027</v>
      </c>
      <c r="C9320" s="131" t="s">
        <v>254</v>
      </c>
      <c r="D9320" s="132" t="n">
        <v>46736</v>
      </c>
      <c r="E9320" s="131" t="s">
        <v>56</v>
      </c>
      <c r="F9320" s="133" t="s">
        <v>11</v>
      </c>
      <c r="G9320" s="134" t="n">
        <f aca="false">LEN('Saisie programme'!$F$352)+SUMIFS('Vols additionnels'!$E$7:$E$66,'Vols additionnels'!$C$7:$C$66,$E9320,'Vols additionnels'!$D$7:$D$66,$F9320,'Vols additionnels'!$B$7:$B$66,$D9320)</f>
        <v>0</v>
      </c>
      <c r="H9320" s="135" t="n">
        <f aca="false">$G9320*'Analyse capacite'!$F$7</f>
        <v>0</v>
      </c>
      <c r="I9320" s="135" t="n">
        <f aca="false">$G9320*'Analyse capacite'!$C$7</f>
        <v>0</v>
      </c>
      <c r="J9320" s="135" t="n">
        <f aca="false">$G9320*'Analyse capacite'!$D$7</f>
        <v>0</v>
      </c>
      <c r="K9320" s="135" t="n">
        <f aca="false">$G9320*'Analyse capacite'!$E$7</f>
        <v>0</v>
      </c>
    </row>
    <row r="9321" customFormat="false" ht="15" hidden="false" customHeight="false" outlineLevel="0" collapsed="false">
      <c r="B9321" s="130" t="n">
        <v>2027</v>
      </c>
      <c r="C9321" s="131" t="s">
        <v>254</v>
      </c>
      <c r="D9321" s="132" t="n">
        <v>46736</v>
      </c>
      <c r="E9321" s="131" t="s">
        <v>56</v>
      </c>
      <c r="F9321" s="133" t="s">
        <v>19</v>
      </c>
      <c r="G9321" s="134" t="n">
        <f aca="false">LEN('Saisie programme'!$F$353)+SUMIFS('Vols additionnels'!$E$7:$E$66,'Vols additionnels'!$C$7:$C$66,$E9321,'Vols additionnels'!$D$7:$D$66,$F9321,'Vols additionnels'!$B$7:$B$66,$D9321)</f>
        <v>0</v>
      </c>
      <c r="H9321" s="135" t="n">
        <f aca="false">$G9321*'Analyse capacite'!$F$8</f>
        <v>0</v>
      </c>
      <c r="I9321" s="135" t="n">
        <f aca="false">$G9321*'Analyse capacite'!$C$8</f>
        <v>0</v>
      </c>
      <c r="J9321" s="135" t="n">
        <f aca="false">$G9321*'Analyse capacite'!$D$8</f>
        <v>0</v>
      </c>
      <c r="K9321" s="135" t="n">
        <f aca="false">$G9321*'Analyse capacite'!$E$8</f>
        <v>0</v>
      </c>
    </row>
    <row r="9322" customFormat="false" ht="15" hidden="false" customHeight="false" outlineLevel="0" collapsed="false">
      <c r="B9322" s="130" t="n">
        <v>2027</v>
      </c>
      <c r="C9322" s="131" t="s">
        <v>254</v>
      </c>
      <c r="D9322" s="132" t="n">
        <v>46736</v>
      </c>
      <c r="E9322" s="131" t="s">
        <v>56</v>
      </c>
      <c r="F9322" s="133" t="s">
        <v>24</v>
      </c>
      <c r="G9322" s="134" t="n">
        <f aca="false">LEN('Saisie programme'!$F$354)+SUMIFS('Vols additionnels'!$E$7:$E$66,'Vols additionnels'!$C$7:$C$66,$E9322,'Vols additionnels'!$D$7:$D$66,$F9322,'Vols additionnels'!$B$7:$B$66,$D9322)</f>
        <v>0</v>
      </c>
      <c r="H9322" s="135" t="n">
        <f aca="false">$G9322*'Analyse capacite'!$F$9</f>
        <v>0</v>
      </c>
      <c r="I9322" s="135" t="n">
        <f aca="false">$G9322*'Analyse capacite'!$C$9</f>
        <v>0</v>
      </c>
      <c r="J9322" s="135" t="n">
        <f aca="false">$G9322*'Analyse capacite'!$D$9</f>
        <v>0</v>
      </c>
      <c r="K9322" s="135" t="n">
        <f aca="false">$G9322*'Analyse capacite'!$E$9</f>
        <v>0</v>
      </c>
    </row>
    <row r="9323" customFormat="false" ht="15" hidden="false" customHeight="false" outlineLevel="0" collapsed="false">
      <c r="B9323" s="130" t="n">
        <v>2027</v>
      </c>
      <c r="C9323" s="131" t="s">
        <v>254</v>
      </c>
      <c r="D9323" s="132" t="n">
        <v>46736</v>
      </c>
      <c r="E9323" s="131" t="s">
        <v>59</v>
      </c>
      <c r="F9323" s="133" t="s">
        <v>11</v>
      </c>
      <c r="G9323" s="134" t="n">
        <f aca="false">LEN('Saisie programme'!$F$355)+SUMIFS('Vols additionnels'!$E$7:$E$66,'Vols additionnels'!$C$7:$C$66,$E9323,'Vols additionnels'!$D$7:$D$66,$F9323,'Vols additionnels'!$B$7:$B$66,$D9323)</f>
        <v>0</v>
      </c>
      <c r="H9323" s="135" t="n">
        <f aca="false">$G9323*'Analyse capacite'!$F$7</f>
        <v>0</v>
      </c>
      <c r="I9323" s="135" t="n">
        <f aca="false">$G9323*'Analyse capacite'!$C$7</f>
        <v>0</v>
      </c>
      <c r="J9323" s="135" t="n">
        <f aca="false">$G9323*'Analyse capacite'!$D$7</f>
        <v>0</v>
      </c>
      <c r="K9323" s="135" t="n">
        <f aca="false">$G9323*'Analyse capacite'!$E$7</f>
        <v>0</v>
      </c>
    </row>
    <row r="9324" customFormat="false" ht="15" hidden="false" customHeight="false" outlineLevel="0" collapsed="false">
      <c r="B9324" s="130" t="n">
        <v>2027</v>
      </c>
      <c r="C9324" s="131" t="s">
        <v>254</v>
      </c>
      <c r="D9324" s="132" t="n">
        <v>46736</v>
      </c>
      <c r="E9324" s="131" t="s">
        <v>59</v>
      </c>
      <c r="F9324" s="133" t="s">
        <v>19</v>
      </c>
      <c r="G9324" s="134" t="n">
        <f aca="false">LEN('Saisie programme'!$F$356)+SUMIFS('Vols additionnels'!$E$7:$E$66,'Vols additionnels'!$C$7:$C$66,$E9324,'Vols additionnels'!$D$7:$D$66,$F9324,'Vols additionnels'!$B$7:$B$66,$D9324)</f>
        <v>0</v>
      </c>
      <c r="H9324" s="135" t="n">
        <f aca="false">$G9324*'Analyse capacite'!$F$8</f>
        <v>0</v>
      </c>
      <c r="I9324" s="135" t="n">
        <f aca="false">$G9324*'Analyse capacite'!$C$8</f>
        <v>0</v>
      </c>
      <c r="J9324" s="135" t="n">
        <f aca="false">$G9324*'Analyse capacite'!$D$8</f>
        <v>0</v>
      </c>
      <c r="K9324" s="135" t="n">
        <f aca="false">$G9324*'Analyse capacite'!$E$8</f>
        <v>0</v>
      </c>
    </row>
    <row r="9325" customFormat="false" ht="15" hidden="false" customHeight="false" outlineLevel="0" collapsed="false">
      <c r="B9325" s="130" t="n">
        <v>2027</v>
      </c>
      <c r="C9325" s="131" t="s">
        <v>254</v>
      </c>
      <c r="D9325" s="132" t="n">
        <v>46736</v>
      </c>
      <c r="E9325" s="131" t="s">
        <v>59</v>
      </c>
      <c r="F9325" s="133" t="s">
        <v>24</v>
      </c>
      <c r="G9325" s="134" t="n">
        <f aca="false">LEN('Saisie programme'!$F$357)+SUMIFS('Vols additionnels'!$E$7:$E$66,'Vols additionnels'!$C$7:$C$66,$E9325,'Vols additionnels'!$D$7:$D$66,$F9325,'Vols additionnels'!$B$7:$B$66,$D9325)</f>
        <v>1</v>
      </c>
      <c r="H9325" s="135" t="n">
        <f aca="false">$G9325*'Analyse capacite'!$F$9</f>
        <v>174</v>
      </c>
      <c r="I9325" s="135" t="n">
        <f aca="false">$G9325*'Analyse capacite'!$C$9</f>
        <v>0</v>
      </c>
      <c r="J9325" s="135" t="n">
        <f aca="false">$G9325*'Analyse capacite'!$D$9</f>
        <v>12</v>
      </c>
      <c r="K9325" s="135" t="n">
        <f aca="false">$G9325*'Analyse capacite'!$E$9</f>
        <v>162</v>
      </c>
    </row>
    <row r="9326" customFormat="false" ht="15" hidden="false" customHeight="false" outlineLevel="0" collapsed="false">
      <c r="B9326" s="130" t="n">
        <v>2027</v>
      </c>
      <c r="C9326" s="131" t="s">
        <v>254</v>
      </c>
      <c r="D9326" s="132" t="n">
        <v>46736</v>
      </c>
      <c r="E9326" s="131" t="s">
        <v>62</v>
      </c>
      <c r="F9326" s="133" t="s">
        <v>11</v>
      </c>
      <c r="G9326" s="134" t="n">
        <f aca="false">LEN('Saisie programme'!$F$358)+SUMIFS('Vols additionnels'!$E$7:$E$66,'Vols additionnels'!$C$7:$C$66,$E9326,'Vols additionnels'!$D$7:$D$66,$F9326,'Vols additionnels'!$B$7:$B$66,$D9326)</f>
        <v>0</v>
      </c>
      <c r="H9326" s="135" t="n">
        <f aca="false">$G9326*'Analyse capacite'!$F$7</f>
        <v>0</v>
      </c>
      <c r="I9326" s="135" t="n">
        <f aca="false">$G9326*'Analyse capacite'!$C$7</f>
        <v>0</v>
      </c>
      <c r="J9326" s="135" t="n">
        <f aca="false">$G9326*'Analyse capacite'!$D$7</f>
        <v>0</v>
      </c>
      <c r="K9326" s="135" t="n">
        <f aca="false">$G9326*'Analyse capacite'!$E$7</f>
        <v>0</v>
      </c>
    </row>
    <row r="9327" customFormat="false" ht="15" hidden="false" customHeight="false" outlineLevel="0" collapsed="false">
      <c r="B9327" s="130" t="n">
        <v>2027</v>
      </c>
      <c r="C9327" s="131" t="s">
        <v>254</v>
      </c>
      <c r="D9327" s="132" t="n">
        <v>46736</v>
      </c>
      <c r="E9327" s="131" t="s">
        <v>62</v>
      </c>
      <c r="F9327" s="133" t="s">
        <v>19</v>
      </c>
      <c r="G9327" s="134" t="n">
        <f aca="false">LEN('Saisie programme'!$F$359)+SUMIFS('Vols additionnels'!$E$7:$E$66,'Vols additionnels'!$C$7:$C$66,$E9327,'Vols additionnels'!$D$7:$D$66,$F9327,'Vols additionnels'!$B$7:$B$66,$D9327)</f>
        <v>0</v>
      </c>
      <c r="H9327" s="135" t="n">
        <f aca="false">$G9327*'Analyse capacite'!$F$8</f>
        <v>0</v>
      </c>
      <c r="I9327" s="135" t="n">
        <f aca="false">$G9327*'Analyse capacite'!$C$8</f>
        <v>0</v>
      </c>
      <c r="J9327" s="135" t="n">
        <f aca="false">$G9327*'Analyse capacite'!$D$8</f>
        <v>0</v>
      </c>
      <c r="K9327" s="135" t="n">
        <f aca="false">$G9327*'Analyse capacite'!$E$8</f>
        <v>0</v>
      </c>
    </row>
    <row r="9328" customFormat="false" ht="15" hidden="false" customHeight="false" outlineLevel="0" collapsed="false">
      <c r="B9328" s="130" t="n">
        <v>2027</v>
      </c>
      <c r="C9328" s="131" t="s">
        <v>254</v>
      </c>
      <c r="D9328" s="132" t="n">
        <v>46736</v>
      </c>
      <c r="E9328" s="131" t="s">
        <v>62</v>
      </c>
      <c r="F9328" s="133" t="s">
        <v>24</v>
      </c>
      <c r="G9328" s="134" t="n">
        <f aca="false">LEN('Saisie programme'!$F$360)+SUMIFS('Vols additionnels'!$E$7:$E$66,'Vols additionnels'!$C$7:$C$66,$E9328,'Vols additionnels'!$D$7:$D$66,$F9328,'Vols additionnels'!$B$7:$B$66,$D9328)</f>
        <v>1</v>
      </c>
      <c r="H9328" s="135" t="n">
        <f aca="false">$G9328*'Analyse capacite'!$F$9</f>
        <v>174</v>
      </c>
      <c r="I9328" s="135" t="n">
        <f aca="false">$G9328*'Analyse capacite'!$C$9</f>
        <v>0</v>
      </c>
      <c r="J9328" s="135" t="n">
        <f aca="false">$G9328*'Analyse capacite'!$D$9</f>
        <v>12</v>
      </c>
      <c r="K9328" s="135" t="n">
        <f aca="false">$G9328*'Analyse capacite'!$E$9</f>
        <v>162</v>
      </c>
    </row>
    <row r="9329" customFormat="false" ht="15" hidden="false" customHeight="false" outlineLevel="0" collapsed="false">
      <c r="B9329" s="130" t="n">
        <v>2027</v>
      </c>
      <c r="C9329" s="131" t="s">
        <v>254</v>
      </c>
      <c r="D9329" s="132" t="n">
        <v>46737</v>
      </c>
      <c r="E9329" s="131" t="s">
        <v>12</v>
      </c>
      <c r="F9329" s="133" t="s">
        <v>11</v>
      </c>
      <c r="G9329" s="134" t="n">
        <f aca="false">LEN('Saisie programme'!$G$325)+SUMIFS('Vols additionnels'!$E$7:$E$66,'Vols additionnels'!$C$7:$C$66,$E9329,'Vols additionnels'!$D$7:$D$66,$F9329,'Vols additionnels'!$B$7:$B$66,$D9329)</f>
        <v>1</v>
      </c>
      <c r="H9329" s="135" t="n">
        <f aca="false">$G9329*'Analyse capacite'!$F$7</f>
        <v>438</v>
      </c>
      <c r="I9329" s="135" t="n">
        <f aca="false">$G9329*'Analyse capacite'!$C$7</f>
        <v>14</v>
      </c>
      <c r="J9329" s="135" t="n">
        <f aca="false">$G9329*'Analyse capacite'!$D$7</f>
        <v>40</v>
      </c>
      <c r="K9329" s="135" t="n">
        <f aca="false">$G9329*'Analyse capacite'!$E$7</f>
        <v>384</v>
      </c>
    </row>
    <row r="9330" customFormat="false" ht="15" hidden="false" customHeight="false" outlineLevel="0" collapsed="false">
      <c r="B9330" s="130" t="n">
        <v>2027</v>
      </c>
      <c r="C9330" s="131" t="s">
        <v>254</v>
      </c>
      <c r="D9330" s="132" t="n">
        <v>46737</v>
      </c>
      <c r="E9330" s="131" t="s">
        <v>12</v>
      </c>
      <c r="F9330" s="133" t="s">
        <v>19</v>
      </c>
      <c r="G9330" s="134" t="n">
        <f aca="false">LEN('Saisie programme'!$G$326)+SUMIFS('Vols additionnels'!$E$7:$E$66,'Vols additionnels'!$C$7:$C$66,$E9330,'Vols additionnels'!$D$7:$D$66,$F9330,'Vols additionnels'!$B$7:$B$66,$D9330)</f>
        <v>0</v>
      </c>
      <c r="H9330" s="135" t="n">
        <f aca="false">$G9330*'Analyse capacite'!$F$8</f>
        <v>0</v>
      </c>
      <c r="I9330" s="135" t="n">
        <f aca="false">$G9330*'Analyse capacite'!$C$8</f>
        <v>0</v>
      </c>
      <c r="J9330" s="135" t="n">
        <f aca="false">$G9330*'Analyse capacite'!$D$8</f>
        <v>0</v>
      </c>
      <c r="K9330" s="135" t="n">
        <f aca="false">$G9330*'Analyse capacite'!$E$8</f>
        <v>0</v>
      </c>
    </row>
    <row r="9331" customFormat="false" ht="15" hidden="false" customHeight="false" outlineLevel="0" collapsed="false">
      <c r="B9331" s="130" t="n">
        <v>2027</v>
      </c>
      <c r="C9331" s="131" t="s">
        <v>254</v>
      </c>
      <c r="D9331" s="132" t="n">
        <v>46737</v>
      </c>
      <c r="E9331" s="131" t="s">
        <v>12</v>
      </c>
      <c r="F9331" s="133" t="s">
        <v>24</v>
      </c>
      <c r="G9331" s="134" t="n">
        <f aca="false">LEN('Saisie programme'!$G$327)+SUMIFS('Vols additionnels'!$E$7:$E$66,'Vols additionnels'!$C$7:$C$66,$E9331,'Vols additionnels'!$D$7:$D$66,$F9331,'Vols additionnels'!$B$7:$B$66,$D9331)</f>
        <v>0</v>
      </c>
      <c r="H9331" s="135" t="n">
        <f aca="false">$G9331*'Analyse capacite'!$F$9</f>
        <v>0</v>
      </c>
      <c r="I9331" s="135" t="n">
        <f aca="false">$G9331*'Analyse capacite'!$C$9</f>
        <v>0</v>
      </c>
      <c r="J9331" s="135" t="n">
        <f aca="false">$G9331*'Analyse capacite'!$D$9</f>
        <v>0</v>
      </c>
      <c r="K9331" s="135" t="n">
        <f aca="false">$G9331*'Analyse capacite'!$E$9</f>
        <v>0</v>
      </c>
    </row>
    <row r="9332" customFormat="false" ht="15" hidden="false" customHeight="false" outlineLevel="0" collapsed="false">
      <c r="B9332" s="130" t="n">
        <v>2027</v>
      </c>
      <c r="C9332" s="131" t="s">
        <v>254</v>
      </c>
      <c r="D9332" s="132" t="n">
        <v>46737</v>
      </c>
      <c r="E9332" s="131" t="s">
        <v>20</v>
      </c>
      <c r="F9332" s="133" t="s">
        <v>11</v>
      </c>
      <c r="G9332" s="134" t="n">
        <f aca="false">LEN('Saisie programme'!$G$328)+SUMIFS('Vols additionnels'!$E$7:$E$66,'Vols additionnels'!$C$7:$C$66,$E9332,'Vols additionnels'!$D$7:$D$66,$F9332,'Vols additionnels'!$B$7:$B$66,$D9332)</f>
        <v>0</v>
      </c>
      <c r="H9332" s="135" t="n">
        <f aca="false">$G9332*'Analyse capacite'!$F$7</f>
        <v>0</v>
      </c>
      <c r="I9332" s="135" t="n">
        <f aca="false">$G9332*'Analyse capacite'!$C$7</f>
        <v>0</v>
      </c>
      <c r="J9332" s="135" t="n">
        <f aca="false">$G9332*'Analyse capacite'!$D$7</f>
        <v>0</v>
      </c>
      <c r="K9332" s="135" t="n">
        <f aca="false">$G9332*'Analyse capacite'!$E$7</f>
        <v>0</v>
      </c>
    </row>
    <row r="9333" customFormat="false" ht="15" hidden="false" customHeight="false" outlineLevel="0" collapsed="false">
      <c r="B9333" s="130" t="n">
        <v>2027</v>
      </c>
      <c r="C9333" s="131" t="s">
        <v>254</v>
      </c>
      <c r="D9333" s="132" t="n">
        <v>46737</v>
      </c>
      <c r="E9333" s="131" t="s">
        <v>20</v>
      </c>
      <c r="F9333" s="133" t="s">
        <v>19</v>
      </c>
      <c r="G9333" s="134" t="n">
        <f aca="false">LEN('Saisie programme'!$G$329)+SUMIFS('Vols additionnels'!$E$7:$E$66,'Vols additionnels'!$C$7:$C$66,$E9333,'Vols additionnels'!$D$7:$D$66,$F9333,'Vols additionnels'!$B$7:$B$66,$D9333)</f>
        <v>0</v>
      </c>
      <c r="H9333" s="135" t="n">
        <f aca="false">$G9333*'Analyse capacite'!$F$8</f>
        <v>0</v>
      </c>
      <c r="I9333" s="135" t="n">
        <f aca="false">$G9333*'Analyse capacite'!$C$8</f>
        <v>0</v>
      </c>
      <c r="J9333" s="135" t="n">
        <f aca="false">$G9333*'Analyse capacite'!$D$8</f>
        <v>0</v>
      </c>
      <c r="K9333" s="135" t="n">
        <f aca="false">$G9333*'Analyse capacite'!$E$8</f>
        <v>0</v>
      </c>
    </row>
    <row r="9334" customFormat="false" ht="15" hidden="false" customHeight="false" outlineLevel="0" collapsed="false">
      <c r="B9334" s="130" t="n">
        <v>2027</v>
      </c>
      <c r="C9334" s="131" t="s">
        <v>254</v>
      </c>
      <c r="D9334" s="132" t="n">
        <v>46737</v>
      </c>
      <c r="E9334" s="131" t="s">
        <v>20</v>
      </c>
      <c r="F9334" s="133" t="s">
        <v>24</v>
      </c>
      <c r="G9334" s="134" t="n">
        <f aca="false">LEN('Saisie programme'!$G$330)+SUMIFS('Vols additionnels'!$E$7:$E$66,'Vols additionnels'!$C$7:$C$66,$E9334,'Vols additionnels'!$D$7:$D$66,$F9334,'Vols additionnels'!$B$7:$B$66,$D9334)</f>
        <v>0</v>
      </c>
      <c r="H9334" s="135" t="n">
        <f aca="false">$G9334*'Analyse capacite'!$F$9</f>
        <v>0</v>
      </c>
      <c r="I9334" s="135" t="n">
        <f aca="false">$G9334*'Analyse capacite'!$C$9</f>
        <v>0</v>
      </c>
      <c r="J9334" s="135" t="n">
        <f aca="false">$G9334*'Analyse capacite'!$D$9</f>
        <v>0</v>
      </c>
      <c r="K9334" s="135" t="n">
        <f aca="false">$G9334*'Analyse capacite'!$E$9</f>
        <v>0</v>
      </c>
    </row>
    <row r="9335" customFormat="false" ht="15" hidden="false" customHeight="false" outlineLevel="0" collapsed="false">
      <c r="B9335" s="130" t="n">
        <v>2027</v>
      </c>
      <c r="C9335" s="131" t="s">
        <v>254</v>
      </c>
      <c r="D9335" s="132" t="n">
        <v>46737</v>
      </c>
      <c r="E9335" s="131" t="s">
        <v>25</v>
      </c>
      <c r="F9335" s="133" t="s">
        <v>11</v>
      </c>
      <c r="G9335" s="134" t="n">
        <f aca="false">LEN('Saisie programme'!$G$331)+SUMIFS('Vols additionnels'!$E$7:$E$66,'Vols additionnels'!$C$7:$C$66,$E9335,'Vols additionnels'!$D$7:$D$66,$F9335,'Vols additionnels'!$B$7:$B$66,$D9335)</f>
        <v>0</v>
      </c>
      <c r="H9335" s="135" t="n">
        <f aca="false">$G9335*'Analyse capacite'!$F$7</f>
        <v>0</v>
      </c>
      <c r="I9335" s="135" t="n">
        <f aca="false">$G9335*'Analyse capacite'!$C$7</f>
        <v>0</v>
      </c>
      <c r="J9335" s="135" t="n">
        <f aca="false">$G9335*'Analyse capacite'!$D$7</f>
        <v>0</v>
      </c>
      <c r="K9335" s="135" t="n">
        <f aca="false">$G9335*'Analyse capacite'!$E$7</f>
        <v>0</v>
      </c>
    </row>
    <row r="9336" customFormat="false" ht="15" hidden="false" customHeight="false" outlineLevel="0" collapsed="false">
      <c r="B9336" s="130" t="n">
        <v>2027</v>
      </c>
      <c r="C9336" s="131" t="s">
        <v>254</v>
      </c>
      <c r="D9336" s="132" t="n">
        <v>46737</v>
      </c>
      <c r="E9336" s="131" t="s">
        <v>25</v>
      </c>
      <c r="F9336" s="133" t="s">
        <v>19</v>
      </c>
      <c r="G9336" s="134" t="n">
        <f aca="false">LEN('Saisie programme'!$G$332)+SUMIFS('Vols additionnels'!$E$7:$E$66,'Vols additionnels'!$C$7:$C$66,$E9336,'Vols additionnels'!$D$7:$D$66,$F9336,'Vols additionnels'!$B$7:$B$66,$D9336)</f>
        <v>0</v>
      </c>
      <c r="H9336" s="135" t="n">
        <f aca="false">$G9336*'Analyse capacite'!$F$8</f>
        <v>0</v>
      </c>
      <c r="I9336" s="135" t="n">
        <f aca="false">$G9336*'Analyse capacite'!$C$8</f>
        <v>0</v>
      </c>
      <c r="J9336" s="135" t="n">
        <f aca="false">$G9336*'Analyse capacite'!$D$8</f>
        <v>0</v>
      </c>
      <c r="K9336" s="135" t="n">
        <f aca="false">$G9336*'Analyse capacite'!$E$8</f>
        <v>0</v>
      </c>
    </row>
    <row r="9337" customFormat="false" ht="15" hidden="false" customHeight="false" outlineLevel="0" collapsed="false">
      <c r="B9337" s="130" t="n">
        <v>2027</v>
      </c>
      <c r="C9337" s="131" t="s">
        <v>254</v>
      </c>
      <c r="D9337" s="132" t="n">
        <v>46737</v>
      </c>
      <c r="E9337" s="131" t="s">
        <v>25</v>
      </c>
      <c r="F9337" s="133" t="s">
        <v>24</v>
      </c>
      <c r="G9337" s="134" t="n">
        <f aca="false">LEN('Saisie programme'!$G$333)+SUMIFS('Vols additionnels'!$E$7:$E$66,'Vols additionnels'!$C$7:$C$66,$E9337,'Vols additionnels'!$D$7:$D$66,$F9337,'Vols additionnels'!$B$7:$B$66,$D9337)</f>
        <v>0</v>
      </c>
      <c r="H9337" s="135" t="n">
        <f aca="false">$G9337*'Analyse capacite'!$F$9</f>
        <v>0</v>
      </c>
      <c r="I9337" s="135" t="n">
        <f aca="false">$G9337*'Analyse capacite'!$C$9</f>
        <v>0</v>
      </c>
      <c r="J9337" s="135" t="n">
        <f aca="false">$G9337*'Analyse capacite'!$D$9</f>
        <v>0</v>
      </c>
      <c r="K9337" s="135" t="n">
        <f aca="false">$G9337*'Analyse capacite'!$E$9</f>
        <v>0</v>
      </c>
    </row>
    <row r="9338" customFormat="false" ht="15" hidden="false" customHeight="false" outlineLevel="0" collapsed="false">
      <c r="B9338" s="130" t="n">
        <v>2027</v>
      </c>
      <c r="C9338" s="131" t="s">
        <v>254</v>
      </c>
      <c r="D9338" s="132" t="n">
        <v>46737</v>
      </c>
      <c r="E9338" s="131" t="s">
        <v>36</v>
      </c>
      <c r="F9338" s="133" t="s">
        <v>11</v>
      </c>
      <c r="G9338" s="134" t="n">
        <f aca="false">LEN('Saisie programme'!$G$334)+SUMIFS('Vols additionnels'!$E$7:$E$66,'Vols additionnels'!$C$7:$C$66,$E9338,'Vols additionnels'!$D$7:$D$66,$F9338,'Vols additionnels'!$B$7:$B$66,$D9338)</f>
        <v>0</v>
      </c>
      <c r="H9338" s="135" t="n">
        <f aca="false">$G9338*'Analyse capacite'!$F$7</f>
        <v>0</v>
      </c>
      <c r="I9338" s="135" t="n">
        <f aca="false">$G9338*'Analyse capacite'!$C$7</f>
        <v>0</v>
      </c>
      <c r="J9338" s="135" t="n">
        <f aca="false">$G9338*'Analyse capacite'!$D$7</f>
        <v>0</v>
      </c>
      <c r="K9338" s="135" t="n">
        <f aca="false">$G9338*'Analyse capacite'!$E$7</f>
        <v>0</v>
      </c>
    </row>
    <row r="9339" customFormat="false" ht="15" hidden="false" customHeight="false" outlineLevel="0" collapsed="false">
      <c r="B9339" s="130" t="n">
        <v>2027</v>
      </c>
      <c r="C9339" s="131" t="s">
        <v>254</v>
      </c>
      <c r="D9339" s="132" t="n">
        <v>46737</v>
      </c>
      <c r="E9339" s="131" t="s">
        <v>36</v>
      </c>
      <c r="F9339" s="133" t="s">
        <v>19</v>
      </c>
      <c r="G9339" s="134" t="n">
        <f aca="false">LEN('Saisie programme'!$G$335)+SUMIFS('Vols additionnels'!$E$7:$E$66,'Vols additionnels'!$C$7:$C$66,$E9339,'Vols additionnels'!$D$7:$D$66,$F9339,'Vols additionnels'!$B$7:$B$66,$D9339)</f>
        <v>0</v>
      </c>
      <c r="H9339" s="135" t="n">
        <f aca="false">$G9339*'Analyse capacite'!$F$8</f>
        <v>0</v>
      </c>
      <c r="I9339" s="135" t="n">
        <f aca="false">$G9339*'Analyse capacite'!$C$8</f>
        <v>0</v>
      </c>
      <c r="J9339" s="135" t="n">
        <f aca="false">$G9339*'Analyse capacite'!$D$8</f>
        <v>0</v>
      </c>
      <c r="K9339" s="135" t="n">
        <f aca="false">$G9339*'Analyse capacite'!$E$8</f>
        <v>0</v>
      </c>
    </row>
    <row r="9340" customFormat="false" ht="15" hidden="false" customHeight="false" outlineLevel="0" collapsed="false">
      <c r="B9340" s="130" t="n">
        <v>2027</v>
      </c>
      <c r="C9340" s="131" t="s">
        <v>254</v>
      </c>
      <c r="D9340" s="132" t="n">
        <v>46737</v>
      </c>
      <c r="E9340" s="131" t="s">
        <v>36</v>
      </c>
      <c r="F9340" s="133" t="s">
        <v>24</v>
      </c>
      <c r="G9340" s="134" t="n">
        <f aca="false">LEN('Saisie programme'!$G$336)+SUMIFS('Vols additionnels'!$E$7:$E$66,'Vols additionnels'!$C$7:$C$66,$E9340,'Vols additionnels'!$D$7:$D$66,$F9340,'Vols additionnels'!$B$7:$B$66,$D9340)</f>
        <v>1</v>
      </c>
      <c r="H9340" s="135" t="n">
        <f aca="false">$G9340*'Analyse capacite'!$F$9</f>
        <v>174</v>
      </c>
      <c r="I9340" s="135" t="n">
        <f aca="false">$G9340*'Analyse capacite'!$C$9</f>
        <v>0</v>
      </c>
      <c r="J9340" s="135" t="n">
        <f aca="false">$G9340*'Analyse capacite'!$D$9</f>
        <v>12</v>
      </c>
      <c r="K9340" s="135" t="n">
        <f aca="false">$G9340*'Analyse capacite'!$E$9</f>
        <v>162</v>
      </c>
    </row>
    <row r="9341" customFormat="false" ht="15" hidden="false" customHeight="false" outlineLevel="0" collapsed="false">
      <c r="B9341" s="130" t="n">
        <v>2027</v>
      </c>
      <c r="C9341" s="131" t="s">
        <v>254</v>
      </c>
      <c r="D9341" s="132" t="n">
        <v>46737</v>
      </c>
      <c r="E9341" s="131" t="s">
        <v>40</v>
      </c>
      <c r="F9341" s="133" t="s">
        <v>11</v>
      </c>
      <c r="G9341" s="134" t="n">
        <f aca="false">LEN('Saisie programme'!$G$337)+SUMIFS('Vols additionnels'!$E$7:$E$66,'Vols additionnels'!$C$7:$C$66,$E9341,'Vols additionnels'!$D$7:$D$66,$F9341,'Vols additionnels'!$B$7:$B$66,$D9341)</f>
        <v>0</v>
      </c>
      <c r="H9341" s="135" t="n">
        <f aca="false">$G9341*'Analyse capacite'!$F$7</f>
        <v>0</v>
      </c>
      <c r="I9341" s="135" t="n">
        <f aca="false">$G9341*'Analyse capacite'!$C$7</f>
        <v>0</v>
      </c>
      <c r="J9341" s="135" t="n">
        <f aca="false">$G9341*'Analyse capacite'!$D$7</f>
        <v>0</v>
      </c>
      <c r="K9341" s="135" t="n">
        <f aca="false">$G9341*'Analyse capacite'!$E$7</f>
        <v>0</v>
      </c>
    </row>
    <row r="9342" customFormat="false" ht="15" hidden="false" customHeight="false" outlineLevel="0" collapsed="false">
      <c r="B9342" s="130" t="n">
        <v>2027</v>
      </c>
      <c r="C9342" s="131" t="s">
        <v>254</v>
      </c>
      <c r="D9342" s="132" t="n">
        <v>46737</v>
      </c>
      <c r="E9342" s="131" t="s">
        <v>40</v>
      </c>
      <c r="F9342" s="133" t="s">
        <v>19</v>
      </c>
      <c r="G9342" s="134" t="n">
        <f aca="false">LEN('Saisie programme'!$G$338)+SUMIFS('Vols additionnels'!$E$7:$E$66,'Vols additionnels'!$C$7:$C$66,$E9342,'Vols additionnels'!$D$7:$D$66,$F9342,'Vols additionnels'!$B$7:$B$66,$D9342)</f>
        <v>0</v>
      </c>
      <c r="H9342" s="135" t="n">
        <f aca="false">$G9342*'Analyse capacite'!$F$8</f>
        <v>0</v>
      </c>
      <c r="I9342" s="135" t="n">
        <f aca="false">$G9342*'Analyse capacite'!$C$8</f>
        <v>0</v>
      </c>
      <c r="J9342" s="135" t="n">
        <f aca="false">$G9342*'Analyse capacite'!$D$8</f>
        <v>0</v>
      </c>
      <c r="K9342" s="135" t="n">
        <f aca="false">$G9342*'Analyse capacite'!$E$8</f>
        <v>0</v>
      </c>
    </row>
    <row r="9343" customFormat="false" ht="15" hidden="false" customHeight="false" outlineLevel="0" collapsed="false">
      <c r="B9343" s="130" t="n">
        <v>2027</v>
      </c>
      <c r="C9343" s="131" t="s">
        <v>254</v>
      </c>
      <c r="D9343" s="132" t="n">
        <v>46737</v>
      </c>
      <c r="E9343" s="131" t="s">
        <v>40</v>
      </c>
      <c r="F9343" s="133" t="s">
        <v>24</v>
      </c>
      <c r="G9343" s="134" t="n">
        <f aca="false">LEN('Saisie programme'!$G$339)+SUMIFS('Vols additionnels'!$E$7:$E$66,'Vols additionnels'!$C$7:$C$66,$E9343,'Vols additionnels'!$D$7:$D$66,$F9343,'Vols additionnels'!$B$7:$B$66,$D9343)</f>
        <v>0</v>
      </c>
      <c r="H9343" s="135" t="n">
        <f aca="false">$G9343*'Analyse capacite'!$F$9</f>
        <v>0</v>
      </c>
      <c r="I9343" s="135" t="n">
        <f aca="false">$G9343*'Analyse capacite'!$C$9</f>
        <v>0</v>
      </c>
      <c r="J9343" s="135" t="n">
        <f aca="false">$G9343*'Analyse capacite'!$D$9</f>
        <v>0</v>
      </c>
      <c r="K9343" s="135" t="n">
        <f aca="false">$G9343*'Analyse capacite'!$E$9</f>
        <v>0</v>
      </c>
    </row>
    <row r="9344" customFormat="false" ht="15" hidden="false" customHeight="false" outlineLevel="0" collapsed="false">
      <c r="B9344" s="130" t="n">
        <v>2027</v>
      </c>
      <c r="C9344" s="131" t="s">
        <v>254</v>
      </c>
      <c r="D9344" s="132" t="n">
        <v>46737</v>
      </c>
      <c r="E9344" s="131" t="s">
        <v>14</v>
      </c>
      <c r="F9344" s="133" t="s">
        <v>11</v>
      </c>
      <c r="G9344" s="134" t="n">
        <f aca="false">LEN('Saisie programme'!$G$340)+SUMIFS('Vols additionnels'!$E$7:$E$66,'Vols additionnels'!$C$7:$C$66,$E9344,'Vols additionnels'!$D$7:$D$66,$F9344,'Vols additionnels'!$B$7:$B$66,$D9344)</f>
        <v>0</v>
      </c>
      <c r="H9344" s="135" t="n">
        <f aca="false">$G9344*'Analyse capacite'!$F$7</f>
        <v>0</v>
      </c>
      <c r="I9344" s="135" t="n">
        <f aca="false">$G9344*'Analyse capacite'!$C$7</f>
        <v>0</v>
      </c>
      <c r="J9344" s="135" t="n">
        <f aca="false">$G9344*'Analyse capacite'!$D$7</f>
        <v>0</v>
      </c>
      <c r="K9344" s="135" t="n">
        <f aca="false">$G9344*'Analyse capacite'!$E$7</f>
        <v>0</v>
      </c>
    </row>
    <row r="9345" customFormat="false" ht="15" hidden="false" customHeight="false" outlineLevel="0" collapsed="false">
      <c r="B9345" s="130" t="n">
        <v>2027</v>
      </c>
      <c r="C9345" s="131" t="s">
        <v>254</v>
      </c>
      <c r="D9345" s="132" t="n">
        <v>46737</v>
      </c>
      <c r="E9345" s="131" t="s">
        <v>14</v>
      </c>
      <c r="F9345" s="133" t="s">
        <v>19</v>
      </c>
      <c r="G9345" s="134" t="n">
        <f aca="false">LEN('Saisie programme'!$G$341)+SUMIFS('Vols additionnels'!$E$7:$E$66,'Vols additionnels'!$C$7:$C$66,$E9345,'Vols additionnels'!$D$7:$D$66,$F9345,'Vols additionnels'!$B$7:$B$66,$D9345)</f>
        <v>0</v>
      </c>
      <c r="H9345" s="135" t="n">
        <f aca="false">$G9345*'Analyse capacite'!$F$8</f>
        <v>0</v>
      </c>
      <c r="I9345" s="135" t="n">
        <f aca="false">$G9345*'Analyse capacite'!$C$8</f>
        <v>0</v>
      </c>
      <c r="J9345" s="135" t="n">
        <f aca="false">$G9345*'Analyse capacite'!$D$8</f>
        <v>0</v>
      </c>
      <c r="K9345" s="135" t="n">
        <f aca="false">$G9345*'Analyse capacite'!$E$8</f>
        <v>0</v>
      </c>
    </row>
    <row r="9346" customFormat="false" ht="15" hidden="false" customHeight="false" outlineLevel="0" collapsed="false">
      <c r="B9346" s="130" t="n">
        <v>2027</v>
      </c>
      <c r="C9346" s="131" t="s">
        <v>254</v>
      </c>
      <c r="D9346" s="132" t="n">
        <v>46737</v>
      </c>
      <c r="E9346" s="131" t="s">
        <v>14</v>
      </c>
      <c r="F9346" s="133" t="s">
        <v>24</v>
      </c>
      <c r="G9346" s="134" t="n">
        <f aca="false">LEN('Saisie programme'!$G$342)+SUMIFS('Vols additionnels'!$E$7:$E$66,'Vols additionnels'!$C$7:$C$66,$E9346,'Vols additionnels'!$D$7:$D$66,$F9346,'Vols additionnels'!$B$7:$B$66,$D9346)</f>
        <v>1</v>
      </c>
      <c r="H9346" s="135" t="n">
        <f aca="false">$G9346*'Analyse capacite'!$F$9</f>
        <v>174</v>
      </c>
      <c r="I9346" s="135" t="n">
        <f aca="false">$G9346*'Analyse capacite'!$C$9</f>
        <v>0</v>
      </c>
      <c r="J9346" s="135" t="n">
        <f aca="false">$G9346*'Analyse capacite'!$D$9</f>
        <v>12</v>
      </c>
      <c r="K9346" s="135" t="n">
        <f aca="false">$G9346*'Analyse capacite'!$E$9</f>
        <v>162</v>
      </c>
    </row>
    <row r="9347" customFormat="false" ht="15" hidden="false" customHeight="false" outlineLevel="0" collapsed="false">
      <c r="B9347" s="130" t="n">
        <v>2027</v>
      </c>
      <c r="C9347" s="131" t="s">
        <v>254</v>
      </c>
      <c r="D9347" s="132" t="n">
        <v>46737</v>
      </c>
      <c r="E9347" s="131" t="s">
        <v>46</v>
      </c>
      <c r="F9347" s="133" t="s">
        <v>11</v>
      </c>
      <c r="G9347" s="134" t="n">
        <f aca="false">LEN('Saisie programme'!$G$343)+SUMIFS('Vols additionnels'!$E$7:$E$66,'Vols additionnels'!$C$7:$C$66,$E9347,'Vols additionnels'!$D$7:$D$66,$F9347,'Vols additionnels'!$B$7:$B$66,$D9347)</f>
        <v>0</v>
      </c>
      <c r="H9347" s="135" t="n">
        <f aca="false">$G9347*'Analyse capacite'!$F$7</f>
        <v>0</v>
      </c>
      <c r="I9347" s="135" t="n">
        <f aca="false">$G9347*'Analyse capacite'!$C$7</f>
        <v>0</v>
      </c>
      <c r="J9347" s="135" t="n">
        <f aca="false">$G9347*'Analyse capacite'!$D$7</f>
        <v>0</v>
      </c>
      <c r="K9347" s="135" t="n">
        <f aca="false">$G9347*'Analyse capacite'!$E$7</f>
        <v>0</v>
      </c>
    </row>
    <row r="9348" customFormat="false" ht="15" hidden="false" customHeight="false" outlineLevel="0" collapsed="false">
      <c r="B9348" s="130" t="n">
        <v>2027</v>
      </c>
      <c r="C9348" s="131" t="s">
        <v>254</v>
      </c>
      <c r="D9348" s="132" t="n">
        <v>46737</v>
      </c>
      <c r="E9348" s="131" t="s">
        <v>46</v>
      </c>
      <c r="F9348" s="133" t="s">
        <v>19</v>
      </c>
      <c r="G9348" s="134" t="n">
        <f aca="false">LEN('Saisie programme'!$G$344)+SUMIFS('Vols additionnels'!$E$7:$E$66,'Vols additionnels'!$C$7:$C$66,$E9348,'Vols additionnels'!$D$7:$D$66,$F9348,'Vols additionnels'!$B$7:$B$66,$D9348)</f>
        <v>0</v>
      </c>
      <c r="H9348" s="135" t="n">
        <f aca="false">$G9348*'Analyse capacite'!$F$8</f>
        <v>0</v>
      </c>
      <c r="I9348" s="135" t="n">
        <f aca="false">$G9348*'Analyse capacite'!$C$8</f>
        <v>0</v>
      </c>
      <c r="J9348" s="135" t="n">
        <f aca="false">$G9348*'Analyse capacite'!$D$8</f>
        <v>0</v>
      </c>
      <c r="K9348" s="135" t="n">
        <f aca="false">$G9348*'Analyse capacite'!$E$8</f>
        <v>0</v>
      </c>
    </row>
    <row r="9349" customFormat="false" ht="15" hidden="false" customHeight="false" outlineLevel="0" collapsed="false">
      <c r="B9349" s="130" t="n">
        <v>2027</v>
      </c>
      <c r="C9349" s="131" t="s">
        <v>254</v>
      </c>
      <c r="D9349" s="132" t="n">
        <v>46737</v>
      </c>
      <c r="E9349" s="131" t="s">
        <v>46</v>
      </c>
      <c r="F9349" s="133" t="s">
        <v>24</v>
      </c>
      <c r="G9349" s="134" t="n">
        <f aca="false">LEN('Saisie programme'!$G$345)+SUMIFS('Vols additionnels'!$E$7:$E$66,'Vols additionnels'!$C$7:$C$66,$E9349,'Vols additionnels'!$D$7:$D$66,$F9349,'Vols additionnels'!$B$7:$B$66,$D9349)</f>
        <v>1</v>
      </c>
      <c r="H9349" s="135" t="n">
        <f aca="false">$G9349*'Analyse capacite'!$F$9</f>
        <v>174</v>
      </c>
      <c r="I9349" s="135" t="n">
        <f aca="false">$G9349*'Analyse capacite'!$C$9</f>
        <v>0</v>
      </c>
      <c r="J9349" s="135" t="n">
        <f aca="false">$G9349*'Analyse capacite'!$D$9</f>
        <v>12</v>
      </c>
      <c r="K9349" s="135" t="n">
        <f aca="false">$G9349*'Analyse capacite'!$E$9</f>
        <v>162</v>
      </c>
    </row>
    <row r="9350" customFormat="false" ht="15" hidden="false" customHeight="false" outlineLevel="0" collapsed="false">
      <c r="B9350" s="130" t="n">
        <v>2027</v>
      </c>
      <c r="C9350" s="131" t="s">
        <v>254</v>
      </c>
      <c r="D9350" s="132" t="n">
        <v>46737</v>
      </c>
      <c r="E9350" s="131" t="s">
        <v>49</v>
      </c>
      <c r="F9350" s="133" t="s">
        <v>11</v>
      </c>
      <c r="G9350" s="134" t="n">
        <f aca="false">LEN('Saisie programme'!$G$346)+SUMIFS('Vols additionnels'!$E$7:$E$66,'Vols additionnels'!$C$7:$C$66,$E9350,'Vols additionnels'!$D$7:$D$66,$F9350,'Vols additionnels'!$B$7:$B$66,$D9350)</f>
        <v>0</v>
      </c>
      <c r="H9350" s="135" t="n">
        <f aca="false">$G9350*'Analyse capacite'!$F$7</f>
        <v>0</v>
      </c>
      <c r="I9350" s="135" t="n">
        <f aca="false">$G9350*'Analyse capacite'!$C$7</f>
        <v>0</v>
      </c>
      <c r="J9350" s="135" t="n">
        <f aca="false">$G9350*'Analyse capacite'!$D$7</f>
        <v>0</v>
      </c>
      <c r="K9350" s="135" t="n">
        <f aca="false">$G9350*'Analyse capacite'!$E$7</f>
        <v>0</v>
      </c>
    </row>
    <row r="9351" customFormat="false" ht="15" hidden="false" customHeight="false" outlineLevel="0" collapsed="false">
      <c r="B9351" s="130" t="n">
        <v>2027</v>
      </c>
      <c r="C9351" s="131" t="s">
        <v>254</v>
      </c>
      <c r="D9351" s="132" t="n">
        <v>46737</v>
      </c>
      <c r="E9351" s="131" t="s">
        <v>49</v>
      </c>
      <c r="F9351" s="133" t="s">
        <v>19</v>
      </c>
      <c r="G9351" s="134" t="n">
        <f aca="false">LEN('Saisie programme'!$G$347)+SUMIFS('Vols additionnels'!$E$7:$E$66,'Vols additionnels'!$C$7:$C$66,$E9351,'Vols additionnels'!$D$7:$D$66,$F9351,'Vols additionnels'!$B$7:$B$66,$D9351)</f>
        <v>0</v>
      </c>
      <c r="H9351" s="135" t="n">
        <f aca="false">$G9351*'Analyse capacite'!$F$8</f>
        <v>0</v>
      </c>
      <c r="I9351" s="135" t="n">
        <f aca="false">$G9351*'Analyse capacite'!$C$8</f>
        <v>0</v>
      </c>
      <c r="J9351" s="135" t="n">
        <f aca="false">$G9351*'Analyse capacite'!$D$8</f>
        <v>0</v>
      </c>
      <c r="K9351" s="135" t="n">
        <f aca="false">$G9351*'Analyse capacite'!$E$8</f>
        <v>0</v>
      </c>
    </row>
    <row r="9352" customFormat="false" ht="15" hidden="false" customHeight="false" outlineLevel="0" collapsed="false">
      <c r="B9352" s="130" t="n">
        <v>2027</v>
      </c>
      <c r="C9352" s="131" t="s">
        <v>254</v>
      </c>
      <c r="D9352" s="132" t="n">
        <v>46737</v>
      </c>
      <c r="E9352" s="131" t="s">
        <v>49</v>
      </c>
      <c r="F9352" s="133" t="s">
        <v>24</v>
      </c>
      <c r="G9352" s="134" t="n">
        <f aca="false">LEN('Saisie programme'!$G$348)+SUMIFS('Vols additionnels'!$E$7:$E$66,'Vols additionnels'!$C$7:$C$66,$E9352,'Vols additionnels'!$D$7:$D$66,$F9352,'Vols additionnels'!$B$7:$B$66,$D9352)</f>
        <v>0</v>
      </c>
      <c r="H9352" s="135" t="n">
        <f aca="false">$G9352*'Analyse capacite'!$F$9</f>
        <v>0</v>
      </c>
      <c r="I9352" s="135" t="n">
        <f aca="false">$G9352*'Analyse capacite'!$C$9</f>
        <v>0</v>
      </c>
      <c r="J9352" s="135" t="n">
        <f aca="false">$G9352*'Analyse capacite'!$D$9</f>
        <v>0</v>
      </c>
      <c r="K9352" s="135" t="n">
        <f aca="false">$G9352*'Analyse capacite'!$E$9</f>
        <v>0</v>
      </c>
    </row>
    <row r="9353" customFormat="false" ht="15" hidden="false" customHeight="false" outlineLevel="0" collapsed="false">
      <c r="B9353" s="130" t="n">
        <v>2027</v>
      </c>
      <c r="C9353" s="131" t="s">
        <v>254</v>
      </c>
      <c r="D9353" s="132" t="n">
        <v>46737</v>
      </c>
      <c r="E9353" s="131" t="s">
        <v>53</v>
      </c>
      <c r="F9353" s="133" t="s">
        <v>11</v>
      </c>
      <c r="G9353" s="134" t="n">
        <f aca="false">LEN('Saisie programme'!$G$349)+SUMIFS('Vols additionnels'!$E$7:$E$66,'Vols additionnels'!$C$7:$C$66,$E9353,'Vols additionnels'!$D$7:$D$66,$F9353,'Vols additionnels'!$B$7:$B$66,$D9353)</f>
        <v>0</v>
      </c>
      <c r="H9353" s="135" t="n">
        <f aca="false">$G9353*'Analyse capacite'!$F$7</f>
        <v>0</v>
      </c>
      <c r="I9353" s="135" t="n">
        <f aca="false">$G9353*'Analyse capacite'!$C$7</f>
        <v>0</v>
      </c>
      <c r="J9353" s="135" t="n">
        <f aca="false">$G9353*'Analyse capacite'!$D$7</f>
        <v>0</v>
      </c>
      <c r="K9353" s="135" t="n">
        <f aca="false">$G9353*'Analyse capacite'!$E$7</f>
        <v>0</v>
      </c>
    </row>
    <row r="9354" customFormat="false" ht="15" hidden="false" customHeight="false" outlineLevel="0" collapsed="false">
      <c r="B9354" s="130" t="n">
        <v>2027</v>
      </c>
      <c r="C9354" s="131" t="s">
        <v>254</v>
      </c>
      <c r="D9354" s="132" t="n">
        <v>46737</v>
      </c>
      <c r="E9354" s="131" t="s">
        <v>53</v>
      </c>
      <c r="F9354" s="133" t="s">
        <v>19</v>
      </c>
      <c r="G9354" s="134" t="n">
        <f aca="false">LEN('Saisie programme'!$G$350)+SUMIFS('Vols additionnels'!$E$7:$E$66,'Vols additionnels'!$C$7:$C$66,$E9354,'Vols additionnels'!$D$7:$D$66,$F9354,'Vols additionnels'!$B$7:$B$66,$D9354)</f>
        <v>1</v>
      </c>
      <c r="H9354" s="135" t="n">
        <f aca="false">$G9354*'Analyse capacite'!$F$8</f>
        <v>262</v>
      </c>
      <c r="I9354" s="135" t="n">
        <f aca="false">$G9354*'Analyse capacite'!$C$8</f>
        <v>18</v>
      </c>
      <c r="J9354" s="135" t="n">
        <f aca="false">$G9354*'Analyse capacite'!$D$8</f>
        <v>0</v>
      </c>
      <c r="K9354" s="135" t="n">
        <f aca="false">$G9354*'Analyse capacite'!$E$8</f>
        <v>244</v>
      </c>
    </row>
    <row r="9355" customFormat="false" ht="15" hidden="false" customHeight="false" outlineLevel="0" collapsed="false">
      <c r="B9355" s="130" t="n">
        <v>2027</v>
      </c>
      <c r="C9355" s="131" t="s">
        <v>254</v>
      </c>
      <c r="D9355" s="132" t="n">
        <v>46737</v>
      </c>
      <c r="E9355" s="131" t="s">
        <v>53</v>
      </c>
      <c r="F9355" s="133" t="s">
        <v>24</v>
      </c>
      <c r="G9355" s="134" t="n">
        <f aca="false">LEN('Saisie programme'!$G$351)+SUMIFS('Vols additionnels'!$E$7:$E$66,'Vols additionnels'!$C$7:$C$66,$E9355,'Vols additionnels'!$D$7:$D$66,$F9355,'Vols additionnels'!$B$7:$B$66,$D9355)</f>
        <v>0</v>
      </c>
      <c r="H9355" s="135" t="n">
        <f aca="false">$G9355*'Analyse capacite'!$F$9</f>
        <v>0</v>
      </c>
      <c r="I9355" s="135" t="n">
        <f aca="false">$G9355*'Analyse capacite'!$C$9</f>
        <v>0</v>
      </c>
      <c r="J9355" s="135" t="n">
        <f aca="false">$G9355*'Analyse capacite'!$D$9</f>
        <v>0</v>
      </c>
      <c r="K9355" s="135" t="n">
        <f aca="false">$G9355*'Analyse capacite'!$E$9</f>
        <v>0</v>
      </c>
    </row>
    <row r="9356" customFormat="false" ht="15" hidden="false" customHeight="false" outlineLevel="0" collapsed="false">
      <c r="B9356" s="130" t="n">
        <v>2027</v>
      </c>
      <c r="C9356" s="131" t="s">
        <v>254</v>
      </c>
      <c r="D9356" s="132" t="n">
        <v>46737</v>
      </c>
      <c r="E9356" s="131" t="s">
        <v>56</v>
      </c>
      <c r="F9356" s="133" t="s">
        <v>11</v>
      </c>
      <c r="G9356" s="134" t="n">
        <f aca="false">LEN('Saisie programme'!$G$352)+SUMIFS('Vols additionnels'!$E$7:$E$66,'Vols additionnels'!$C$7:$C$66,$E9356,'Vols additionnels'!$D$7:$D$66,$F9356,'Vols additionnels'!$B$7:$B$66,$D9356)</f>
        <v>0</v>
      </c>
      <c r="H9356" s="135" t="n">
        <f aca="false">$G9356*'Analyse capacite'!$F$7</f>
        <v>0</v>
      </c>
      <c r="I9356" s="135" t="n">
        <f aca="false">$G9356*'Analyse capacite'!$C$7</f>
        <v>0</v>
      </c>
      <c r="J9356" s="135" t="n">
        <f aca="false">$G9356*'Analyse capacite'!$D$7</f>
        <v>0</v>
      </c>
      <c r="K9356" s="135" t="n">
        <f aca="false">$G9356*'Analyse capacite'!$E$7</f>
        <v>0</v>
      </c>
    </row>
    <row r="9357" customFormat="false" ht="15" hidden="false" customHeight="false" outlineLevel="0" collapsed="false">
      <c r="B9357" s="130" t="n">
        <v>2027</v>
      </c>
      <c r="C9357" s="131" t="s">
        <v>254</v>
      </c>
      <c r="D9357" s="132" t="n">
        <v>46737</v>
      </c>
      <c r="E9357" s="131" t="s">
        <v>56</v>
      </c>
      <c r="F9357" s="133" t="s">
        <v>19</v>
      </c>
      <c r="G9357" s="134" t="n">
        <f aca="false">LEN('Saisie programme'!$G$353)+SUMIFS('Vols additionnels'!$E$7:$E$66,'Vols additionnels'!$C$7:$C$66,$E9357,'Vols additionnels'!$D$7:$D$66,$F9357,'Vols additionnels'!$B$7:$B$66,$D9357)</f>
        <v>0</v>
      </c>
      <c r="H9357" s="135" t="n">
        <f aca="false">$G9357*'Analyse capacite'!$F$8</f>
        <v>0</v>
      </c>
      <c r="I9357" s="135" t="n">
        <f aca="false">$G9357*'Analyse capacite'!$C$8</f>
        <v>0</v>
      </c>
      <c r="J9357" s="135" t="n">
        <f aca="false">$G9357*'Analyse capacite'!$D$8</f>
        <v>0</v>
      </c>
      <c r="K9357" s="135" t="n">
        <f aca="false">$G9357*'Analyse capacite'!$E$8</f>
        <v>0</v>
      </c>
    </row>
    <row r="9358" customFormat="false" ht="15" hidden="false" customHeight="false" outlineLevel="0" collapsed="false">
      <c r="B9358" s="130" t="n">
        <v>2027</v>
      </c>
      <c r="C9358" s="131" t="s">
        <v>254</v>
      </c>
      <c r="D9358" s="132" t="n">
        <v>46737</v>
      </c>
      <c r="E9358" s="131" t="s">
        <v>56</v>
      </c>
      <c r="F9358" s="133" t="s">
        <v>24</v>
      </c>
      <c r="G9358" s="134" t="n">
        <f aca="false">LEN('Saisie programme'!$G$354)+SUMIFS('Vols additionnels'!$E$7:$E$66,'Vols additionnels'!$C$7:$C$66,$E9358,'Vols additionnels'!$D$7:$D$66,$F9358,'Vols additionnels'!$B$7:$B$66,$D9358)</f>
        <v>0</v>
      </c>
      <c r="H9358" s="135" t="n">
        <f aca="false">$G9358*'Analyse capacite'!$F$9</f>
        <v>0</v>
      </c>
      <c r="I9358" s="135" t="n">
        <f aca="false">$G9358*'Analyse capacite'!$C$9</f>
        <v>0</v>
      </c>
      <c r="J9358" s="135" t="n">
        <f aca="false">$G9358*'Analyse capacite'!$D$9</f>
        <v>0</v>
      </c>
      <c r="K9358" s="135" t="n">
        <f aca="false">$G9358*'Analyse capacite'!$E$9</f>
        <v>0</v>
      </c>
    </row>
    <row r="9359" customFormat="false" ht="15" hidden="false" customHeight="false" outlineLevel="0" collapsed="false">
      <c r="B9359" s="130" t="n">
        <v>2027</v>
      </c>
      <c r="C9359" s="131" t="s">
        <v>254</v>
      </c>
      <c r="D9359" s="132" t="n">
        <v>46737</v>
      </c>
      <c r="E9359" s="131" t="s">
        <v>59</v>
      </c>
      <c r="F9359" s="133" t="s">
        <v>11</v>
      </c>
      <c r="G9359" s="134" t="n">
        <f aca="false">LEN('Saisie programme'!$G$355)+SUMIFS('Vols additionnels'!$E$7:$E$66,'Vols additionnels'!$C$7:$C$66,$E9359,'Vols additionnels'!$D$7:$D$66,$F9359,'Vols additionnels'!$B$7:$B$66,$D9359)</f>
        <v>0</v>
      </c>
      <c r="H9359" s="135" t="n">
        <f aca="false">$G9359*'Analyse capacite'!$F$7</f>
        <v>0</v>
      </c>
      <c r="I9359" s="135" t="n">
        <f aca="false">$G9359*'Analyse capacite'!$C$7</f>
        <v>0</v>
      </c>
      <c r="J9359" s="135" t="n">
        <f aca="false">$G9359*'Analyse capacite'!$D$7</f>
        <v>0</v>
      </c>
      <c r="K9359" s="135" t="n">
        <f aca="false">$G9359*'Analyse capacite'!$E$7</f>
        <v>0</v>
      </c>
    </row>
    <row r="9360" customFormat="false" ht="15" hidden="false" customHeight="false" outlineLevel="0" collapsed="false">
      <c r="B9360" s="130" t="n">
        <v>2027</v>
      </c>
      <c r="C9360" s="131" t="s">
        <v>254</v>
      </c>
      <c r="D9360" s="132" t="n">
        <v>46737</v>
      </c>
      <c r="E9360" s="131" t="s">
        <v>59</v>
      </c>
      <c r="F9360" s="133" t="s">
        <v>19</v>
      </c>
      <c r="G9360" s="134" t="n">
        <f aca="false">LEN('Saisie programme'!$G$356)+SUMIFS('Vols additionnels'!$E$7:$E$66,'Vols additionnels'!$C$7:$C$66,$E9360,'Vols additionnels'!$D$7:$D$66,$F9360,'Vols additionnels'!$B$7:$B$66,$D9360)</f>
        <v>0</v>
      </c>
      <c r="H9360" s="135" t="n">
        <f aca="false">$G9360*'Analyse capacite'!$F$8</f>
        <v>0</v>
      </c>
      <c r="I9360" s="135" t="n">
        <f aca="false">$G9360*'Analyse capacite'!$C$8</f>
        <v>0</v>
      </c>
      <c r="J9360" s="135" t="n">
        <f aca="false">$G9360*'Analyse capacite'!$D$8</f>
        <v>0</v>
      </c>
      <c r="K9360" s="135" t="n">
        <f aca="false">$G9360*'Analyse capacite'!$E$8</f>
        <v>0</v>
      </c>
    </row>
    <row r="9361" customFormat="false" ht="15" hidden="false" customHeight="false" outlineLevel="0" collapsed="false">
      <c r="B9361" s="130" t="n">
        <v>2027</v>
      </c>
      <c r="C9361" s="131" t="s">
        <v>254</v>
      </c>
      <c r="D9361" s="132" t="n">
        <v>46737</v>
      </c>
      <c r="E9361" s="131" t="s">
        <v>59</v>
      </c>
      <c r="F9361" s="133" t="s">
        <v>24</v>
      </c>
      <c r="G9361" s="134" t="n">
        <f aca="false">LEN('Saisie programme'!$G$357)+SUMIFS('Vols additionnels'!$E$7:$E$66,'Vols additionnels'!$C$7:$C$66,$E9361,'Vols additionnels'!$D$7:$D$66,$F9361,'Vols additionnels'!$B$7:$B$66,$D9361)</f>
        <v>2</v>
      </c>
      <c r="H9361" s="135" t="n">
        <f aca="false">$G9361*'Analyse capacite'!$F$9</f>
        <v>348</v>
      </c>
      <c r="I9361" s="135" t="n">
        <f aca="false">$G9361*'Analyse capacite'!$C$9</f>
        <v>0</v>
      </c>
      <c r="J9361" s="135" t="n">
        <f aca="false">$G9361*'Analyse capacite'!$D$9</f>
        <v>24</v>
      </c>
      <c r="K9361" s="135" t="n">
        <f aca="false">$G9361*'Analyse capacite'!$E$9</f>
        <v>324</v>
      </c>
    </row>
    <row r="9362" customFormat="false" ht="15" hidden="false" customHeight="false" outlineLevel="0" collapsed="false">
      <c r="B9362" s="130" t="n">
        <v>2027</v>
      </c>
      <c r="C9362" s="131" t="s">
        <v>254</v>
      </c>
      <c r="D9362" s="132" t="n">
        <v>46737</v>
      </c>
      <c r="E9362" s="131" t="s">
        <v>62</v>
      </c>
      <c r="F9362" s="133" t="s">
        <v>11</v>
      </c>
      <c r="G9362" s="134" t="n">
        <f aca="false">LEN('Saisie programme'!$G$358)+SUMIFS('Vols additionnels'!$E$7:$E$66,'Vols additionnels'!$C$7:$C$66,$E9362,'Vols additionnels'!$D$7:$D$66,$F9362,'Vols additionnels'!$B$7:$B$66,$D9362)</f>
        <v>0</v>
      </c>
      <c r="H9362" s="135" t="n">
        <f aca="false">$G9362*'Analyse capacite'!$F$7</f>
        <v>0</v>
      </c>
      <c r="I9362" s="135" t="n">
        <f aca="false">$G9362*'Analyse capacite'!$C$7</f>
        <v>0</v>
      </c>
      <c r="J9362" s="135" t="n">
        <f aca="false">$G9362*'Analyse capacite'!$D$7</f>
        <v>0</v>
      </c>
      <c r="K9362" s="135" t="n">
        <f aca="false">$G9362*'Analyse capacite'!$E$7</f>
        <v>0</v>
      </c>
    </row>
    <row r="9363" customFormat="false" ht="15" hidden="false" customHeight="false" outlineLevel="0" collapsed="false">
      <c r="B9363" s="130" t="n">
        <v>2027</v>
      </c>
      <c r="C9363" s="131" t="s">
        <v>254</v>
      </c>
      <c r="D9363" s="132" t="n">
        <v>46737</v>
      </c>
      <c r="E9363" s="131" t="s">
        <v>62</v>
      </c>
      <c r="F9363" s="133" t="s">
        <v>19</v>
      </c>
      <c r="G9363" s="134" t="n">
        <f aca="false">LEN('Saisie programme'!$G$359)+SUMIFS('Vols additionnels'!$E$7:$E$66,'Vols additionnels'!$C$7:$C$66,$E9363,'Vols additionnels'!$D$7:$D$66,$F9363,'Vols additionnels'!$B$7:$B$66,$D9363)</f>
        <v>0</v>
      </c>
      <c r="H9363" s="135" t="n">
        <f aca="false">$G9363*'Analyse capacite'!$F$8</f>
        <v>0</v>
      </c>
      <c r="I9363" s="135" t="n">
        <f aca="false">$G9363*'Analyse capacite'!$C$8</f>
        <v>0</v>
      </c>
      <c r="J9363" s="135" t="n">
        <f aca="false">$G9363*'Analyse capacite'!$D$8</f>
        <v>0</v>
      </c>
      <c r="K9363" s="135" t="n">
        <f aca="false">$G9363*'Analyse capacite'!$E$8</f>
        <v>0</v>
      </c>
    </row>
    <row r="9364" customFormat="false" ht="15" hidden="false" customHeight="false" outlineLevel="0" collapsed="false">
      <c r="B9364" s="130" t="n">
        <v>2027</v>
      </c>
      <c r="C9364" s="131" t="s">
        <v>254</v>
      </c>
      <c r="D9364" s="132" t="n">
        <v>46737</v>
      </c>
      <c r="E9364" s="131" t="s">
        <v>62</v>
      </c>
      <c r="F9364" s="133" t="s">
        <v>24</v>
      </c>
      <c r="G9364" s="134" t="n">
        <f aca="false">LEN('Saisie programme'!$G$360)+SUMIFS('Vols additionnels'!$E$7:$E$66,'Vols additionnels'!$C$7:$C$66,$E9364,'Vols additionnels'!$D$7:$D$66,$F9364,'Vols additionnels'!$B$7:$B$66,$D9364)</f>
        <v>0</v>
      </c>
      <c r="H9364" s="135" t="n">
        <f aca="false">$G9364*'Analyse capacite'!$F$9</f>
        <v>0</v>
      </c>
      <c r="I9364" s="135" t="n">
        <f aca="false">$G9364*'Analyse capacite'!$C$9</f>
        <v>0</v>
      </c>
      <c r="J9364" s="135" t="n">
        <f aca="false">$G9364*'Analyse capacite'!$D$9</f>
        <v>0</v>
      </c>
      <c r="K9364" s="135" t="n">
        <f aca="false">$G9364*'Analyse capacite'!$E$9</f>
        <v>0</v>
      </c>
    </row>
    <row r="9365" customFormat="false" ht="15" hidden="false" customHeight="false" outlineLevel="0" collapsed="false">
      <c r="B9365" s="130" t="n">
        <v>2027</v>
      </c>
      <c r="C9365" s="131" t="s">
        <v>254</v>
      </c>
      <c r="D9365" s="132" t="n">
        <v>46738</v>
      </c>
      <c r="E9365" s="131" t="s">
        <v>12</v>
      </c>
      <c r="F9365" s="133" t="s">
        <v>11</v>
      </c>
      <c r="G9365" s="134" t="n">
        <f aca="false">LEN('Saisie programme'!$H$325)+SUMIFS('Vols additionnels'!$E$7:$E$66,'Vols additionnels'!$C$7:$C$66,$E9365,'Vols additionnels'!$D$7:$D$66,$F9365,'Vols additionnels'!$B$7:$B$66,$D9365)</f>
        <v>1</v>
      </c>
      <c r="H9365" s="135" t="n">
        <f aca="false">$G9365*'Analyse capacite'!$F$7</f>
        <v>438</v>
      </c>
      <c r="I9365" s="135" t="n">
        <f aca="false">$G9365*'Analyse capacite'!$C$7</f>
        <v>14</v>
      </c>
      <c r="J9365" s="135" t="n">
        <f aca="false">$G9365*'Analyse capacite'!$D$7</f>
        <v>40</v>
      </c>
      <c r="K9365" s="135" t="n">
        <f aca="false">$G9365*'Analyse capacite'!$E$7</f>
        <v>384</v>
      </c>
    </row>
    <row r="9366" customFormat="false" ht="15" hidden="false" customHeight="false" outlineLevel="0" collapsed="false">
      <c r="B9366" s="130" t="n">
        <v>2027</v>
      </c>
      <c r="C9366" s="131" t="s">
        <v>254</v>
      </c>
      <c r="D9366" s="132" t="n">
        <v>46738</v>
      </c>
      <c r="E9366" s="131" t="s">
        <v>12</v>
      </c>
      <c r="F9366" s="133" t="s">
        <v>19</v>
      </c>
      <c r="G9366" s="134" t="n">
        <f aca="false">LEN('Saisie programme'!$H$326)+SUMIFS('Vols additionnels'!$E$7:$E$66,'Vols additionnels'!$C$7:$C$66,$E9366,'Vols additionnels'!$D$7:$D$66,$F9366,'Vols additionnels'!$B$7:$B$66,$D9366)</f>
        <v>1</v>
      </c>
      <c r="H9366" s="135" t="n">
        <f aca="false">$G9366*'Analyse capacite'!$F$8</f>
        <v>262</v>
      </c>
      <c r="I9366" s="135" t="n">
        <f aca="false">$G9366*'Analyse capacite'!$C$8</f>
        <v>18</v>
      </c>
      <c r="J9366" s="135" t="n">
        <f aca="false">$G9366*'Analyse capacite'!$D$8</f>
        <v>0</v>
      </c>
      <c r="K9366" s="135" t="n">
        <f aca="false">$G9366*'Analyse capacite'!$E$8</f>
        <v>244</v>
      </c>
    </row>
    <row r="9367" customFormat="false" ht="15" hidden="false" customHeight="false" outlineLevel="0" collapsed="false">
      <c r="B9367" s="130" t="n">
        <v>2027</v>
      </c>
      <c r="C9367" s="131" t="s">
        <v>254</v>
      </c>
      <c r="D9367" s="132" t="n">
        <v>46738</v>
      </c>
      <c r="E9367" s="131" t="s">
        <v>12</v>
      </c>
      <c r="F9367" s="133" t="s">
        <v>24</v>
      </c>
      <c r="G9367" s="134" t="n">
        <f aca="false">LEN('Saisie programme'!$H$327)+SUMIFS('Vols additionnels'!$E$7:$E$66,'Vols additionnels'!$C$7:$C$66,$E9367,'Vols additionnels'!$D$7:$D$66,$F9367,'Vols additionnels'!$B$7:$B$66,$D9367)</f>
        <v>0</v>
      </c>
      <c r="H9367" s="135" t="n">
        <f aca="false">$G9367*'Analyse capacite'!$F$9</f>
        <v>0</v>
      </c>
      <c r="I9367" s="135" t="n">
        <f aca="false">$G9367*'Analyse capacite'!$C$9</f>
        <v>0</v>
      </c>
      <c r="J9367" s="135" t="n">
        <f aca="false">$G9367*'Analyse capacite'!$D$9</f>
        <v>0</v>
      </c>
      <c r="K9367" s="135" t="n">
        <f aca="false">$G9367*'Analyse capacite'!$E$9</f>
        <v>0</v>
      </c>
    </row>
    <row r="9368" customFormat="false" ht="15" hidden="false" customHeight="false" outlineLevel="0" collapsed="false">
      <c r="B9368" s="130" t="n">
        <v>2027</v>
      </c>
      <c r="C9368" s="131" t="s">
        <v>254</v>
      </c>
      <c r="D9368" s="132" t="n">
        <v>46738</v>
      </c>
      <c r="E9368" s="131" t="s">
        <v>20</v>
      </c>
      <c r="F9368" s="133" t="s">
        <v>11</v>
      </c>
      <c r="G9368" s="134" t="n">
        <f aca="false">LEN('Saisie programme'!$H$328)+SUMIFS('Vols additionnels'!$E$7:$E$66,'Vols additionnels'!$C$7:$C$66,$E9368,'Vols additionnels'!$D$7:$D$66,$F9368,'Vols additionnels'!$B$7:$B$66,$D9368)</f>
        <v>0</v>
      </c>
      <c r="H9368" s="135" t="n">
        <f aca="false">$G9368*'Analyse capacite'!$F$7</f>
        <v>0</v>
      </c>
      <c r="I9368" s="135" t="n">
        <f aca="false">$G9368*'Analyse capacite'!$C$7</f>
        <v>0</v>
      </c>
      <c r="J9368" s="135" t="n">
        <f aca="false">$G9368*'Analyse capacite'!$D$7</f>
        <v>0</v>
      </c>
      <c r="K9368" s="135" t="n">
        <f aca="false">$G9368*'Analyse capacite'!$E$7</f>
        <v>0</v>
      </c>
    </row>
    <row r="9369" customFormat="false" ht="15" hidden="false" customHeight="false" outlineLevel="0" collapsed="false">
      <c r="B9369" s="130" t="n">
        <v>2027</v>
      </c>
      <c r="C9369" s="131" t="s">
        <v>254</v>
      </c>
      <c r="D9369" s="132" t="n">
        <v>46738</v>
      </c>
      <c r="E9369" s="131" t="s">
        <v>20</v>
      </c>
      <c r="F9369" s="133" t="s">
        <v>19</v>
      </c>
      <c r="G9369" s="134" t="n">
        <f aca="false">LEN('Saisie programme'!$H$329)+SUMIFS('Vols additionnels'!$E$7:$E$66,'Vols additionnels'!$C$7:$C$66,$E9369,'Vols additionnels'!$D$7:$D$66,$F9369,'Vols additionnels'!$B$7:$B$66,$D9369)</f>
        <v>1</v>
      </c>
      <c r="H9369" s="135" t="n">
        <f aca="false">$G9369*'Analyse capacite'!$F$8</f>
        <v>262</v>
      </c>
      <c r="I9369" s="135" t="n">
        <f aca="false">$G9369*'Analyse capacite'!$C$8</f>
        <v>18</v>
      </c>
      <c r="J9369" s="135" t="n">
        <f aca="false">$G9369*'Analyse capacite'!$D$8</f>
        <v>0</v>
      </c>
      <c r="K9369" s="135" t="n">
        <f aca="false">$G9369*'Analyse capacite'!$E$8</f>
        <v>244</v>
      </c>
    </row>
    <row r="9370" customFormat="false" ht="15" hidden="false" customHeight="false" outlineLevel="0" collapsed="false">
      <c r="B9370" s="130" t="n">
        <v>2027</v>
      </c>
      <c r="C9370" s="131" t="s">
        <v>254</v>
      </c>
      <c r="D9370" s="132" t="n">
        <v>46738</v>
      </c>
      <c r="E9370" s="131" t="s">
        <v>20</v>
      </c>
      <c r="F9370" s="133" t="s">
        <v>24</v>
      </c>
      <c r="G9370" s="134" t="n">
        <f aca="false">LEN('Saisie programme'!$H$330)+SUMIFS('Vols additionnels'!$E$7:$E$66,'Vols additionnels'!$C$7:$C$66,$E9370,'Vols additionnels'!$D$7:$D$66,$F9370,'Vols additionnels'!$B$7:$B$66,$D9370)</f>
        <v>0</v>
      </c>
      <c r="H9370" s="135" t="n">
        <f aca="false">$G9370*'Analyse capacite'!$F$9</f>
        <v>0</v>
      </c>
      <c r="I9370" s="135" t="n">
        <f aca="false">$G9370*'Analyse capacite'!$C$9</f>
        <v>0</v>
      </c>
      <c r="J9370" s="135" t="n">
        <f aca="false">$G9370*'Analyse capacite'!$D$9</f>
        <v>0</v>
      </c>
      <c r="K9370" s="135" t="n">
        <f aca="false">$G9370*'Analyse capacite'!$E$9</f>
        <v>0</v>
      </c>
    </row>
    <row r="9371" customFormat="false" ht="15" hidden="false" customHeight="false" outlineLevel="0" collapsed="false">
      <c r="B9371" s="130" t="n">
        <v>2027</v>
      </c>
      <c r="C9371" s="131" t="s">
        <v>254</v>
      </c>
      <c r="D9371" s="132" t="n">
        <v>46738</v>
      </c>
      <c r="E9371" s="131" t="s">
        <v>25</v>
      </c>
      <c r="F9371" s="133" t="s">
        <v>11</v>
      </c>
      <c r="G9371" s="134" t="n">
        <f aca="false">LEN('Saisie programme'!$H$331)+SUMIFS('Vols additionnels'!$E$7:$E$66,'Vols additionnels'!$C$7:$C$66,$E9371,'Vols additionnels'!$D$7:$D$66,$F9371,'Vols additionnels'!$B$7:$B$66,$D9371)</f>
        <v>0</v>
      </c>
      <c r="H9371" s="135" t="n">
        <f aca="false">$G9371*'Analyse capacite'!$F$7</f>
        <v>0</v>
      </c>
      <c r="I9371" s="135" t="n">
        <f aca="false">$G9371*'Analyse capacite'!$C$7</f>
        <v>0</v>
      </c>
      <c r="J9371" s="135" t="n">
        <f aca="false">$G9371*'Analyse capacite'!$D$7</f>
        <v>0</v>
      </c>
      <c r="K9371" s="135" t="n">
        <f aca="false">$G9371*'Analyse capacite'!$E$7</f>
        <v>0</v>
      </c>
    </row>
    <row r="9372" customFormat="false" ht="15" hidden="false" customHeight="false" outlineLevel="0" collapsed="false">
      <c r="B9372" s="130" t="n">
        <v>2027</v>
      </c>
      <c r="C9372" s="131" t="s">
        <v>254</v>
      </c>
      <c r="D9372" s="132" t="n">
        <v>46738</v>
      </c>
      <c r="E9372" s="131" t="s">
        <v>25</v>
      </c>
      <c r="F9372" s="133" t="s">
        <v>19</v>
      </c>
      <c r="G9372" s="134" t="n">
        <f aca="false">LEN('Saisie programme'!$H$332)+SUMIFS('Vols additionnels'!$E$7:$E$66,'Vols additionnels'!$C$7:$C$66,$E9372,'Vols additionnels'!$D$7:$D$66,$F9372,'Vols additionnels'!$B$7:$B$66,$D9372)</f>
        <v>0</v>
      </c>
      <c r="H9372" s="135" t="n">
        <f aca="false">$G9372*'Analyse capacite'!$F$8</f>
        <v>0</v>
      </c>
      <c r="I9372" s="135" t="n">
        <f aca="false">$G9372*'Analyse capacite'!$C$8</f>
        <v>0</v>
      </c>
      <c r="J9372" s="135" t="n">
        <f aca="false">$G9372*'Analyse capacite'!$D$8</f>
        <v>0</v>
      </c>
      <c r="K9372" s="135" t="n">
        <f aca="false">$G9372*'Analyse capacite'!$E$8</f>
        <v>0</v>
      </c>
    </row>
    <row r="9373" customFormat="false" ht="15" hidden="false" customHeight="false" outlineLevel="0" collapsed="false">
      <c r="B9373" s="130" t="n">
        <v>2027</v>
      </c>
      <c r="C9373" s="131" t="s">
        <v>254</v>
      </c>
      <c r="D9373" s="132" t="n">
        <v>46738</v>
      </c>
      <c r="E9373" s="131" t="s">
        <v>25</v>
      </c>
      <c r="F9373" s="133" t="s">
        <v>24</v>
      </c>
      <c r="G9373" s="134" t="n">
        <f aca="false">LEN('Saisie programme'!$H$333)+SUMIFS('Vols additionnels'!$E$7:$E$66,'Vols additionnels'!$C$7:$C$66,$E9373,'Vols additionnels'!$D$7:$D$66,$F9373,'Vols additionnels'!$B$7:$B$66,$D9373)</f>
        <v>0</v>
      </c>
      <c r="H9373" s="135" t="n">
        <f aca="false">$G9373*'Analyse capacite'!$F$9</f>
        <v>0</v>
      </c>
      <c r="I9373" s="135" t="n">
        <f aca="false">$G9373*'Analyse capacite'!$C$9</f>
        <v>0</v>
      </c>
      <c r="J9373" s="135" t="n">
        <f aca="false">$G9373*'Analyse capacite'!$D$9</f>
        <v>0</v>
      </c>
      <c r="K9373" s="135" t="n">
        <f aca="false">$G9373*'Analyse capacite'!$E$9</f>
        <v>0</v>
      </c>
    </row>
    <row r="9374" customFormat="false" ht="15" hidden="false" customHeight="false" outlineLevel="0" collapsed="false">
      <c r="B9374" s="130" t="n">
        <v>2027</v>
      </c>
      <c r="C9374" s="131" t="s">
        <v>254</v>
      </c>
      <c r="D9374" s="132" t="n">
        <v>46738</v>
      </c>
      <c r="E9374" s="131" t="s">
        <v>36</v>
      </c>
      <c r="F9374" s="133" t="s">
        <v>11</v>
      </c>
      <c r="G9374" s="134" t="n">
        <f aca="false">LEN('Saisie programme'!$H$334)+SUMIFS('Vols additionnels'!$E$7:$E$66,'Vols additionnels'!$C$7:$C$66,$E9374,'Vols additionnels'!$D$7:$D$66,$F9374,'Vols additionnels'!$B$7:$B$66,$D9374)</f>
        <v>0</v>
      </c>
      <c r="H9374" s="135" t="n">
        <f aca="false">$G9374*'Analyse capacite'!$F$7</f>
        <v>0</v>
      </c>
      <c r="I9374" s="135" t="n">
        <f aca="false">$G9374*'Analyse capacite'!$C$7</f>
        <v>0</v>
      </c>
      <c r="J9374" s="135" t="n">
        <f aca="false">$G9374*'Analyse capacite'!$D$7</f>
        <v>0</v>
      </c>
      <c r="K9374" s="135" t="n">
        <f aca="false">$G9374*'Analyse capacite'!$E$7</f>
        <v>0</v>
      </c>
    </row>
    <row r="9375" customFormat="false" ht="15" hidden="false" customHeight="false" outlineLevel="0" collapsed="false">
      <c r="B9375" s="130" t="n">
        <v>2027</v>
      </c>
      <c r="C9375" s="131" t="s">
        <v>254</v>
      </c>
      <c r="D9375" s="132" t="n">
        <v>46738</v>
      </c>
      <c r="E9375" s="131" t="s">
        <v>36</v>
      </c>
      <c r="F9375" s="133" t="s">
        <v>19</v>
      </c>
      <c r="G9375" s="134" t="n">
        <f aca="false">LEN('Saisie programme'!$H$335)+SUMIFS('Vols additionnels'!$E$7:$E$66,'Vols additionnels'!$C$7:$C$66,$E9375,'Vols additionnels'!$D$7:$D$66,$F9375,'Vols additionnels'!$B$7:$B$66,$D9375)</f>
        <v>0</v>
      </c>
      <c r="H9375" s="135" t="n">
        <f aca="false">$G9375*'Analyse capacite'!$F$8</f>
        <v>0</v>
      </c>
      <c r="I9375" s="135" t="n">
        <f aca="false">$G9375*'Analyse capacite'!$C$8</f>
        <v>0</v>
      </c>
      <c r="J9375" s="135" t="n">
        <f aca="false">$G9375*'Analyse capacite'!$D$8</f>
        <v>0</v>
      </c>
      <c r="K9375" s="135" t="n">
        <f aca="false">$G9375*'Analyse capacite'!$E$8</f>
        <v>0</v>
      </c>
    </row>
    <row r="9376" customFormat="false" ht="15" hidden="false" customHeight="false" outlineLevel="0" collapsed="false">
      <c r="B9376" s="130" t="n">
        <v>2027</v>
      </c>
      <c r="C9376" s="131" t="s">
        <v>254</v>
      </c>
      <c r="D9376" s="132" t="n">
        <v>46738</v>
      </c>
      <c r="E9376" s="131" t="s">
        <v>36</v>
      </c>
      <c r="F9376" s="133" t="s">
        <v>24</v>
      </c>
      <c r="G9376" s="134" t="n">
        <f aca="false">LEN('Saisie programme'!$H$336)+SUMIFS('Vols additionnels'!$E$7:$E$66,'Vols additionnels'!$C$7:$C$66,$E9376,'Vols additionnels'!$D$7:$D$66,$F9376,'Vols additionnels'!$B$7:$B$66,$D9376)</f>
        <v>1</v>
      </c>
      <c r="H9376" s="135" t="n">
        <f aca="false">$G9376*'Analyse capacite'!$F$9</f>
        <v>174</v>
      </c>
      <c r="I9376" s="135" t="n">
        <f aca="false">$G9376*'Analyse capacite'!$C$9</f>
        <v>0</v>
      </c>
      <c r="J9376" s="135" t="n">
        <f aca="false">$G9376*'Analyse capacite'!$D$9</f>
        <v>12</v>
      </c>
      <c r="K9376" s="135" t="n">
        <f aca="false">$G9376*'Analyse capacite'!$E$9</f>
        <v>162</v>
      </c>
    </row>
    <row r="9377" customFormat="false" ht="15" hidden="false" customHeight="false" outlineLevel="0" collapsed="false">
      <c r="B9377" s="130" t="n">
        <v>2027</v>
      </c>
      <c r="C9377" s="131" t="s">
        <v>254</v>
      </c>
      <c r="D9377" s="132" t="n">
        <v>46738</v>
      </c>
      <c r="E9377" s="131" t="s">
        <v>40</v>
      </c>
      <c r="F9377" s="133" t="s">
        <v>11</v>
      </c>
      <c r="G9377" s="134" t="n">
        <f aca="false">LEN('Saisie programme'!$H$337)+SUMIFS('Vols additionnels'!$E$7:$E$66,'Vols additionnels'!$C$7:$C$66,$E9377,'Vols additionnels'!$D$7:$D$66,$F9377,'Vols additionnels'!$B$7:$B$66,$D9377)</f>
        <v>0</v>
      </c>
      <c r="H9377" s="135" t="n">
        <f aca="false">$G9377*'Analyse capacite'!$F$7</f>
        <v>0</v>
      </c>
      <c r="I9377" s="135" t="n">
        <f aca="false">$G9377*'Analyse capacite'!$C$7</f>
        <v>0</v>
      </c>
      <c r="J9377" s="135" t="n">
        <f aca="false">$G9377*'Analyse capacite'!$D$7</f>
        <v>0</v>
      </c>
      <c r="K9377" s="135" t="n">
        <f aca="false">$G9377*'Analyse capacite'!$E$7</f>
        <v>0</v>
      </c>
    </row>
    <row r="9378" customFormat="false" ht="15" hidden="false" customHeight="false" outlineLevel="0" collapsed="false">
      <c r="B9378" s="130" t="n">
        <v>2027</v>
      </c>
      <c r="C9378" s="131" t="s">
        <v>254</v>
      </c>
      <c r="D9378" s="132" t="n">
        <v>46738</v>
      </c>
      <c r="E9378" s="131" t="s">
        <v>40</v>
      </c>
      <c r="F9378" s="133" t="s">
        <v>19</v>
      </c>
      <c r="G9378" s="134" t="n">
        <f aca="false">LEN('Saisie programme'!$H$338)+SUMIFS('Vols additionnels'!$E$7:$E$66,'Vols additionnels'!$C$7:$C$66,$E9378,'Vols additionnels'!$D$7:$D$66,$F9378,'Vols additionnels'!$B$7:$B$66,$D9378)</f>
        <v>0</v>
      </c>
      <c r="H9378" s="135" t="n">
        <f aca="false">$G9378*'Analyse capacite'!$F$8</f>
        <v>0</v>
      </c>
      <c r="I9378" s="135" t="n">
        <f aca="false">$G9378*'Analyse capacite'!$C$8</f>
        <v>0</v>
      </c>
      <c r="J9378" s="135" t="n">
        <f aca="false">$G9378*'Analyse capacite'!$D$8</f>
        <v>0</v>
      </c>
      <c r="K9378" s="135" t="n">
        <f aca="false">$G9378*'Analyse capacite'!$E$8</f>
        <v>0</v>
      </c>
    </row>
    <row r="9379" customFormat="false" ht="15" hidden="false" customHeight="false" outlineLevel="0" collapsed="false">
      <c r="B9379" s="130" t="n">
        <v>2027</v>
      </c>
      <c r="C9379" s="131" t="s">
        <v>254</v>
      </c>
      <c r="D9379" s="132" t="n">
        <v>46738</v>
      </c>
      <c r="E9379" s="131" t="s">
        <v>40</v>
      </c>
      <c r="F9379" s="133" t="s">
        <v>24</v>
      </c>
      <c r="G9379" s="134" t="n">
        <f aca="false">LEN('Saisie programme'!$H$339)+SUMIFS('Vols additionnels'!$E$7:$E$66,'Vols additionnels'!$C$7:$C$66,$E9379,'Vols additionnels'!$D$7:$D$66,$F9379,'Vols additionnels'!$B$7:$B$66,$D9379)</f>
        <v>1</v>
      </c>
      <c r="H9379" s="135" t="n">
        <f aca="false">$G9379*'Analyse capacite'!$F$9</f>
        <v>174</v>
      </c>
      <c r="I9379" s="135" t="n">
        <f aca="false">$G9379*'Analyse capacite'!$C$9</f>
        <v>0</v>
      </c>
      <c r="J9379" s="135" t="n">
        <f aca="false">$G9379*'Analyse capacite'!$D$9</f>
        <v>12</v>
      </c>
      <c r="K9379" s="135" t="n">
        <f aca="false">$G9379*'Analyse capacite'!$E$9</f>
        <v>162</v>
      </c>
    </row>
    <row r="9380" customFormat="false" ht="15" hidden="false" customHeight="false" outlineLevel="0" collapsed="false">
      <c r="B9380" s="130" t="n">
        <v>2027</v>
      </c>
      <c r="C9380" s="131" t="s">
        <v>254</v>
      </c>
      <c r="D9380" s="132" t="n">
        <v>46738</v>
      </c>
      <c r="E9380" s="131" t="s">
        <v>14</v>
      </c>
      <c r="F9380" s="133" t="s">
        <v>11</v>
      </c>
      <c r="G9380" s="134" t="n">
        <f aca="false">LEN('Saisie programme'!$H$340)+SUMIFS('Vols additionnels'!$E$7:$E$66,'Vols additionnels'!$C$7:$C$66,$E9380,'Vols additionnels'!$D$7:$D$66,$F9380,'Vols additionnels'!$B$7:$B$66,$D9380)</f>
        <v>0</v>
      </c>
      <c r="H9380" s="135" t="n">
        <f aca="false">$G9380*'Analyse capacite'!$F$7</f>
        <v>0</v>
      </c>
      <c r="I9380" s="135" t="n">
        <f aca="false">$G9380*'Analyse capacite'!$C$7</f>
        <v>0</v>
      </c>
      <c r="J9380" s="135" t="n">
        <f aca="false">$G9380*'Analyse capacite'!$D$7</f>
        <v>0</v>
      </c>
      <c r="K9380" s="135" t="n">
        <f aca="false">$G9380*'Analyse capacite'!$E$7</f>
        <v>0</v>
      </c>
    </row>
    <row r="9381" customFormat="false" ht="15" hidden="false" customHeight="false" outlineLevel="0" collapsed="false">
      <c r="B9381" s="130" t="n">
        <v>2027</v>
      </c>
      <c r="C9381" s="131" t="s">
        <v>254</v>
      </c>
      <c r="D9381" s="132" t="n">
        <v>46738</v>
      </c>
      <c r="E9381" s="131" t="s">
        <v>14</v>
      </c>
      <c r="F9381" s="133" t="s">
        <v>19</v>
      </c>
      <c r="G9381" s="134" t="n">
        <f aca="false">LEN('Saisie programme'!$H$341)+SUMIFS('Vols additionnels'!$E$7:$E$66,'Vols additionnels'!$C$7:$C$66,$E9381,'Vols additionnels'!$D$7:$D$66,$F9381,'Vols additionnels'!$B$7:$B$66,$D9381)</f>
        <v>0</v>
      </c>
      <c r="H9381" s="135" t="n">
        <f aca="false">$G9381*'Analyse capacite'!$F$8</f>
        <v>0</v>
      </c>
      <c r="I9381" s="135" t="n">
        <f aca="false">$G9381*'Analyse capacite'!$C$8</f>
        <v>0</v>
      </c>
      <c r="J9381" s="135" t="n">
        <f aca="false">$G9381*'Analyse capacite'!$D$8</f>
        <v>0</v>
      </c>
      <c r="K9381" s="135" t="n">
        <f aca="false">$G9381*'Analyse capacite'!$E$8</f>
        <v>0</v>
      </c>
    </row>
    <row r="9382" customFormat="false" ht="15" hidden="false" customHeight="false" outlineLevel="0" collapsed="false">
      <c r="B9382" s="130" t="n">
        <v>2027</v>
      </c>
      <c r="C9382" s="131" t="s">
        <v>254</v>
      </c>
      <c r="D9382" s="132" t="n">
        <v>46738</v>
      </c>
      <c r="E9382" s="131" t="s">
        <v>14</v>
      </c>
      <c r="F9382" s="133" t="s">
        <v>24</v>
      </c>
      <c r="G9382" s="134" t="n">
        <f aca="false">LEN('Saisie programme'!$H$342)+SUMIFS('Vols additionnels'!$E$7:$E$66,'Vols additionnels'!$C$7:$C$66,$E9382,'Vols additionnels'!$D$7:$D$66,$F9382,'Vols additionnels'!$B$7:$B$66,$D9382)</f>
        <v>0</v>
      </c>
      <c r="H9382" s="135" t="n">
        <f aca="false">$G9382*'Analyse capacite'!$F$9</f>
        <v>0</v>
      </c>
      <c r="I9382" s="135" t="n">
        <f aca="false">$G9382*'Analyse capacite'!$C$9</f>
        <v>0</v>
      </c>
      <c r="J9382" s="135" t="n">
        <f aca="false">$G9382*'Analyse capacite'!$D$9</f>
        <v>0</v>
      </c>
      <c r="K9382" s="135" t="n">
        <f aca="false">$G9382*'Analyse capacite'!$E$9</f>
        <v>0</v>
      </c>
    </row>
    <row r="9383" customFormat="false" ht="15" hidden="false" customHeight="false" outlineLevel="0" collapsed="false">
      <c r="B9383" s="130" t="n">
        <v>2027</v>
      </c>
      <c r="C9383" s="131" t="s">
        <v>254</v>
      </c>
      <c r="D9383" s="132" t="n">
        <v>46738</v>
      </c>
      <c r="E9383" s="131" t="s">
        <v>46</v>
      </c>
      <c r="F9383" s="133" t="s">
        <v>11</v>
      </c>
      <c r="G9383" s="134" t="n">
        <f aca="false">LEN('Saisie programme'!$H$343)+SUMIFS('Vols additionnels'!$E$7:$E$66,'Vols additionnels'!$C$7:$C$66,$E9383,'Vols additionnels'!$D$7:$D$66,$F9383,'Vols additionnels'!$B$7:$B$66,$D9383)</f>
        <v>0</v>
      </c>
      <c r="H9383" s="135" t="n">
        <f aca="false">$G9383*'Analyse capacite'!$F$7</f>
        <v>0</v>
      </c>
      <c r="I9383" s="135" t="n">
        <f aca="false">$G9383*'Analyse capacite'!$C$7</f>
        <v>0</v>
      </c>
      <c r="J9383" s="135" t="n">
        <f aca="false">$G9383*'Analyse capacite'!$D$7</f>
        <v>0</v>
      </c>
      <c r="K9383" s="135" t="n">
        <f aca="false">$G9383*'Analyse capacite'!$E$7</f>
        <v>0</v>
      </c>
    </row>
    <row r="9384" customFormat="false" ht="15" hidden="false" customHeight="false" outlineLevel="0" collapsed="false">
      <c r="B9384" s="130" t="n">
        <v>2027</v>
      </c>
      <c r="C9384" s="131" t="s">
        <v>254</v>
      </c>
      <c r="D9384" s="132" t="n">
        <v>46738</v>
      </c>
      <c r="E9384" s="131" t="s">
        <v>46</v>
      </c>
      <c r="F9384" s="133" t="s">
        <v>19</v>
      </c>
      <c r="G9384" s="134" t="n">
        <f aca="false">LEN('Saisie programme'!$H$344)+SUMIFS('Vols additionnels'!$E$7:$E$66,'Vols additionnels'!$C$7:$C$66,$E9384,'Vols additionnels'!$D$7:$D$66,$F9384,'Vols additionnels'!$B$7:$B$66,$D9384)</f>
        <v>0</v>
      </c>
      <c r="H9384" s="135" t="n">
        <f aca="false">$G9384*'Analyse capacite'!$F$8</f>
        <v>0</v>
      </c>
      <c r="I9384" s="135" t="n">
        <f aca="false">$G9384*'Analyse capacite'!$C$8</f>
        <v>0</v>
      </c>
      <c r="J9384" s="135" t="n">
        <f aca="false">$G9384*'Analyse capacite'!$D$8</f>
        <v>0</v>
      </c>
      <c r="K9384" s="135" t="n">
        <f aca="false">$G9384*'Analyse capacite'!$E$8</f>
        <v>0</v>
      </c>
    </row>
    <row r="9385" customFormat="false" ht="15" hidden="false" customHeight="false" outlineLevel="0" collapsed="false">
      <c r="B9385" s="130" t="n">
        <v>2027</v>
      </c>
      <c r="C9385" s="131" t="s">
        <v>254</v>
      </c>
      <c r="D9385" s="132" t="n">
        <v>46738</v>
      </c>
      <c r="E9385" s="131" t="s">
        <v>46</v>
      </c>
      <c r="F9385" s="133" t="s">
        <v>24</v>
      </c>
      <c r="G9385" s="134" t="n">
        <f aca="false">LEN('Saisie programme'!$H$345)+SUMIFS('Vols additionnels'!$E$7:$E$66,'Vols additionnels'!$C$7:$C$66,$E9385,'Vols additionnels'!$D$7:$D$66,$F9385,'Vols additionnels'!$B$7:$B$66,$D9385)</f>
        <v>0</v>
      </c>
      <c r="H9385" s="135" t="n">
        <f aca="false">$G9385*'Analyse capacite'!$F$9</f>
        <v>0</v>
      </c>
      <c r="I9385" s="135" t="n">
        <f aca="false">$G9385*'Analyse capacite'!$C$9</f>
        <v>0</v>
      </c>
      <c r="J9385" s="135" t="n">
        <f aca="false">$G9385*'Analyse capacite'!$D$9</f>
        <v>0</v>
      </c>
      <c r="K9385" s="135" t="n">
        <f aca="false">$G9385*'Analyse capacite'!$E$9</f>
        <v>0</v>
      </c>
    </row>
    <row r="9386" customFormat="false" ht="15" hidden="false" customHeight="false" outlineLevel="0" collapsed="false">
      <c r="B9386" s="130" t="n">
        <v>2027</v>
      </c>
      <c r="C9386" s="131" t="s">
        <v>254</v>
      </c>
      <c r="D9386" s="132" t="n">
        <v>46738</v>
      </c>
      <c r="E9386" s="131" t="s">
        <v>49</v>
      </c>
      <c r="F9386" s="133" t="s">
        <v>11</v>
      </c>
      <c r="G9386" s="134" t="n">
        <f aca="false">LEN('Saisie programme'!$H$346)+SUMIFS('Vols additionnels'!$E$7:$E$66,'Vols additionnels'!$C$7:$C$66,$E9386,'Vols additionnels'!$D$7:$D$66,$F9386,'Vols additionnels'!$B$7:$B$66,$D9386)</f>
        <v>0</v>
      </c>
      <c r="H9386" s="135" t="n">
        <f aca="false">$G9386*'Analyse capacite'!$F$7</f>
        <v>0</v>
      </c>
      <c r="I9386" s="135" t="n">
        <f aca="false">$G9386*'Analyse capacite'!$C$7</f>
        <v>0</v>
      </c>
      <c r="J9386" s="135" t="n">
        <f aca="false">$G9386*'Analyse capacite'!$D$7</f>
        <v>0</v>
      </c>
      <c r="K9386" s="135" t="n">
        <f aca="false">$G9386*'Analyse capacite'!$E$7</f>
        <v>0</v>
      </c>
    </row>
    <row r="9387" customFormat="false" ht="15" hidden="false" customHeight="false" outlineLevel="0" collapsed="false">
      <c r="B9387" s="130" t="n">
        <v>2027</v>
      </c>
      <c r="C9387" s="131" t="s">
        <v>254</v>
      </c>
      <c r="D9387" s="132" t="n">
        <v>46738</v>
      </c>
      <c r="E9387" s="131" t="s">
        <v>49</v>
      </c>
      <c r="F9387" s="133" t="s">
        <v>19</v>
      </c>
      <c r="G9387" s="134" t="n">
        <f aca="false">LEN('Saisie programme'!$H$347)+SUMIFS('Vols additionnels'!$E$7:$E$66,'Vols additionnels'!$C$7:$C$66,$E9387,'Vols additionnels'!$D$7:$D$66,$F9387,'Vols additionnels'!$B$7:$B$66,$D9387)</f>
        <v>1</v>
      </c>
      <c r="H9387" s="135" t="n">
        <f aca="false">$G9387*'Analyse capacite'!$F$8</f>
        <v>262</v>
      </c>
      <c r="I9387" s="135" t="n">
        <f aca="false">$G9387*'Analyse capacite'!$C$8</f>
        <v>18</v>
      </c>
      <c r="J9387" s="135" t="n">
        <f aca="false">$G9387*'Analyse capacite'!$D$8</f>
        <v>0</v>
      </c>
      <c r="K9387" s="135" t="n">
        <f aca="false">$G9387*'Analyse capacite'!$E$8</f>
        <v>244</v>
      </c>
    </row>
    <row r="9388" customFormat="false" ht="15" hidden="false" customHeight="false" outlineLevel="0" collapsed="false">
      <c r="B9388" s="130" t="n">
        <v>2027</v>
      </c>
      <c r="C9388" s="131" t="s">
        <v>254</v>
      </c>
      <c r="D9388" s="132" t="n">
        <v>46738</v>
      </c>
      <c r="E9388" s="131" t="s">
        <v>49</v>
      </c>
      <c r="F9388" s="133" t="s">
        <v>24</v>
      </c>
      <c r="G9388" s="134" t="n">
        <f aca="false">LEN('Saisie programme'!$H$348)+SUMIFS('Vols additionnels'!$E$7:$E$66,'Vols additionnels'!$C$7:$C$66,$E9388,'Vols additionnels'!$D$7:$D$66,$F9388,'Vols additionnels'!$B$7:$B$66,$D9388)</f>
        <v>0</v>
      </c>
      <c r="H9388" s="135" t="n">
        <f aca="false">$G9388*'Analyse capacite'!$F$9</f>
        <v>0</v>
      </c>
      <c r="I9388" s="135" t="n">
        <f aca="false">$G9388*'Analyse capacite'!$C$9</f>
        <v>0</v>
      </c>
      <c r="J9388" s="135" t="n">
        <f aca="false">$G9388*'Analyse capacite'!$D$9</f>
        <v>0</v>
      </c>
      <c r="K9388" s="135" t="n">
        <f aca="false">$G9388*'Analyse capacite'!$E$9</f>
        <v>0</v>
      </c>
    </row>
    <row r="9389" customFormat="false" ht="15" hidden="false" customHeight="false" outlineLevel="0" collapsed="false">
      <c r="B9389" s="130" t="n">
        <v>2027</v>
      </c>
      <c r="C9389" s="131" t="s">
        <v>254</v>
      </c>
      <c r="D9389" s="132" t="n">
        <v>46738</v>
      </c>
      <c r="E9389" s="131" t="s">
        <v>53</v>
      </c>
      <c r="F9389" s="133" t="s">
        <v>11</v>
      </c>
      <c r="G9389" s="134" t="n">
        <f aca="false">LEN('Saisie programme'!$H$349)+SUMIFS('Vols additionnels'!$E$7:$E$66,'Vols additionnels'!$C$7:$C$66,$E9389,'Vols additionnels'!$D$7:$D$66,$F9389,'Vols additionnels'!$B$7:$B$66,$D9389)</f>
        <v>0</v>
      </c>
      <c r="H9389" s="135" t="n">
        <f aca="false">$G9389*'Analyse capacite'!$F$7</f>
        <v>0</v>
      </c>
      <c r="I9389" s="135" t="n">
        <f aca="false">$G9389*'Analyse capacite'!$C$7</f>
        <v>0</v>
      </c>
      <c r="J9389" s="135" t="n">
        <f aca="false">$G9389*'Analyse capacite'!$D$7</f>
        <v>0</v>
      </c>
      <c r="K9389" s="135" t="n">
        <f aca="false">$G9389*'Analyse capacite'!$E$7</f>
        <v>0</v>
      </c>
    </row>
    <row r="9390" customFormat="false" ht="15" hidden="false" customHeight="false" outlineLevel="0" collapsed="false">
      <c r="B9390" s="130" t="n">
        <v>2027</v>
      </c>
      <c r="C9390" s="131" t="s">
        <v>254</v>
      </c>
      <c r="D9390" s="132" t="n">
        <v>46738</v>
      </c>
      <c r="E9390" s="131" t="s">
        <v>53</v>
      </c>
      <c r="F9390" s="133" t="s">
        <v>19</v>
      </c>
      <c r="G9390" s="134" t="n">
        <f aca="false">LEN('Saisie programme'!$H$350)+SUMIFS('Vols additionnels'!$E$7:$E$66,'Vols additionnels'!$C$7:$C$66,$E9390,'Vols additionnels'!$D$7:$D$66,$F9390,'Vols additionnels'!$B$7:$B$66,$D9390)</f>
        <v>0</v>
      </c>
      <c r="H9390" s="135" t="n">
        <f aca="false">$G9390*'Analyse capacite'!$F$8</f>
        <v>0</v>
      </c>
      <c r="I9390" s="135" t="n">
        <f aca="false">$G9390*'Analyse capacite'!$C$8</f>
        <v>0</v>
      </c>
      <c r="J9390" s="135" t="n">
        <f aca="false">$G9390*'Analyse capacite'!$D$8</f>
        <v>0</v>
      </c>
      <c r="K9390" s="135" t="n">
        <f aca="false">$G9390*'Analyse capacite'!$E$8</f>
        <v>0</v>
      </c>
    </row>
    <row r="9391" customFormat="false" ht="15" hidden="false" customHeight="false" outlineLevel="0" collapsed="false">
      <c r="B9391" s="130" t="n">
        <v>2027</v>
      </c>
      <c r="C9391" s="131" t="s">
        <v>254</v>
      </c>
      <c r="D9391" s="132" t="n">
        <v>46738</v>
      </c>
      <c r="E9391" s="131" t="s">
        <v>53</v>
      </c>
      <c r="F9391" s="133" t="s">
        <v>24</v>
      </c>
      <c r="G9391" s="134" t="n">
        <f aca="false">LEN('Saisie programme'!$H$351)+SUMIFS('Vols additionnels'!$E$7:$E$66,'Vols additionnels'!$C$7:$C$66,$E9391,'Vols additionnels'!$D$7:$D$66,$F9391,'Vols additionnels'!$B$7:$B$66,$D9391)</f>
        <v>0</v>
      </c>
      <c r="H9391" s="135" t="n">
        <f aca="false">$G9391*'Analyse capacite'!$F$9</f>
        <v>0</v>
      </c>
      <c r="I9391" s="135" t="n">
        <f aca="false">$G9391*'Analyse capacite'!$C$9</f>
        <v>0</v>
      </c>
      <c r="J9391" s="135" t="n">
        <f aca="false">$G9391*'Analyse capacite'!$D$9</f>
        <v>0</v>
      </c>
      <c r="K9391" s="135" t="n">
        <f aca="false">$G9391*'Analyse capacite'!$E$9</f>
        <v>0</v>
      </c>
    </row>
    <row r="9392" customFormat="false" ht="15" hidden="false" customHeight="false" outlineLevel="0" collapsed="false">
      <c r="B9392" s="130" t="n">
        <v>2027</v>
      </c>
      <c r="C9392" s="131" t="s">
        <v>254</v>
      </c>
      <c r="D9392" s="132" t="n">
        <v>46738</v>
      </c>
      <c r="E9392" s="131" t="s">
        <v>56</v>
      </c>
      <c r="F9392" s="133" t="s">
        <v>11</v>
      </c>
      <c r="G9392" s="134" t="n">
        <f aca="false">LEN('Saisie programme'!$H$352)+SUMIFS('Vols additionnels'!$E$7:$E$66,'Vols additionnels'!$C$7:$C$66,$E9392,'Vols additionnels'!$D$7:$D$66,$F9392,'Vols additionnels'!$B$7:$B$66,$D9392)</f>
        <v>0</v>
      </c>
      <c r="H9392" s="135" t="n">
        <f aca="false">$G9392*'Analyse capacite'!$F$7</f>
        <v>0</v>
      </c>
      <c r="I9392" s="135" t="n">
        <f aca="false">$G9392*'Analyse capacite'!$C$7</f>
        <v>0</v>
      </c>
      <c r="J9392" s="135" t="n">
        <f aca="false">$G9392*'Analyse capacite'!$D$7</f>
        <v>0</v>
      </c>
      <c r="K9392" s="135" t="n">
        <f aca="false">$G9392*'Analyse capacite'!$E$7</f>
        <v>0</v>
      </c>
    </row>
    <row r="9393" customFormat="false" ht="15" hidden="false" customHeight="false" outlineLevel="0" collapsed="false">
      <c r="B9393" s="130" t="n">
        <v>2027</v>
      </c>
      <c r="C9393" s="131" t="s">
        <v>254</v>
      </c>
      <c r="D9393" s="132" t="n">
        <v>46738</v>
      </c>
      <c r="E9393" s="131" t="s">
        <v>56</v>
      </c>
      <c r="F9393" s="133" t="s">
        <v>19</v>
      </c>
      <c r="G9393" s="134" t="n">
        <f aca="false">LEN('Saisie programme'!$H$353)+SUMIFS('Vols additionnels'!$E$7:$E$66,'Vols additionnels'!$C$7:$C$66,$E9393,'Vols additionnels'!$D$7:$D$66,$F9393,'Vols additionnels'!$B$7:$B$66,$D9393)</f>
        <v>0</v>
      </c>
      <c r="H9393" s="135" t="n">
        <f aca="false">$G9393*'Analyse capacite'!$F$8</f>
        <v>0</v>
      </c>
      <c r="I9393" s="135" t="n">
        <f aca="false">$G9393*'Analyse capacite'!$C$8</f>
        <v>0</v>
      </c>
      <c r="J9393" s="135" t="n">
        <f aca="false">$G9393*'Analyse capacite'!$D$8</f>
        <v>0</v>
      </c>
      <c r="K9393" s="135" t="n">
        <f aca="false">$G9393*'Analyse capacite'!$E$8</f>
        <v>0</v>
      </c>
    </row>
    <row r="9394" customFormat="false" ht="15" hidden="false" customHeight="false" outlineLevel="0" collapsed="false">
      <c r="B9394" s="130" t="n">
        <v>2027</v>
      </c>
      <c r="C9394" s="131" t="s">
        <v>254</v>
      </c>
      <c r="D9394" s="132" t="n">
        <v>46738</v>
      </c>
      <c r="E9394" s="131" t="s">
        <v>56</v>
      </c>
      <c r="F9394" s="133" t="s">
        <v>24</v>
      </c>
      <c r="G9394" s="134" t="n">
        <f aca="false">LEN('Saisie programme'!$H$354)+SUMIFS('Vols additionnels'!$E$7:$E$66,'Vols additionnels'!$C$7:$C$66,$E9394,'Vols additionnels'!$D$7:$D$66,$F9394,'Vols additionnels'!$B$7:$B$66,$D9394)</f>
        <v>0</v>
      </c>
      <c r="H9394" s="135" t="n">
        <f aca="false">$G9394*'Analyse capacite'!$F$9</f>
        <v>0</v>
      </c>
      <c r="I9394" s="135" t="n">
        <f aca="false">$G9394*'Analyse capacite'!$C$9</f>
        <v>0</v>
      </c>
      <c r="J9394" s="135" t="n">
        <f aca="false">$G9394*'Analyse capacite'!$D$9</f>
        <v>0</v>
      </c>
      <c r="K9394" s="135" t="n">
        <f aca="false">$G9394*'Analyse capacite'!$E$9</f>
        <v>0</v>
      </c>
    </row>
    <row r="9395" customFormat="false" ht="15" hidden="false" customHeight="false" outlineLevel="0" collapsed="false">
      <c r="B9395" s="130" t="n">
        <v>2027</v>
      </c>
      <c r="C9395" s="131" t="s">
        <v>254</v>
      </c>
      <c r="D9395" s="132" t="n">
        <v>46738</v>
      </c>
      <c r="E9395" s="131" t="s">
        <v>59</v>
      </c>
      <c r="F9395" s="133" t="s">
        <v>11</v>
      </c>
      <c r="G9395" s="134" t="n">
        <f aca="false">LEN('Saisie programme'!$H$355)+SUMIFS('Vols additionnels'!$E$7:$E$66,'Vols additionnels'!$C$7:$C$66,$E9395,'Vols additionnels'!$D$7:$D$66,$F9395,'Vols additionnels'!$B$7:$B$66,$D9395)</f>
        <v>0</v>
      </c>
      <c r="H9395" s="135" t="n">
        <f aca="false">$G9395*'Analyse capacite'!$F$7</f>
        <v>0</v>
      </c>
      <c r="I9395" s="135" t="n">
        <f aca="false">$G9395*'Analyse capacite'!$C$7</f>
        <v>0</v>
      </c>
      <c r="J9395" s="135" t="n">
        <f aca="false">$G9395*'Analyse capacite'!$D$7</f>
        <v>0</v>
      </c>
      <c r="K9395" s="135" t="n">
        <f aca="false">$G9395*'Analyse capacite'!$E$7</f>
        <v>0</v>
      </c>
    </row>
    <row r="9396" customFormat="false" ht="15" hidden="false" customHeight="false" outlineLevel="0" collapsed="false">
      <c r="B9396" s="130" t="n">
        <v>2027</v>
      </c>
      <c r="C9396" s="131" t="s">
        <v>254</v>
      </c>
      <c r="D9396" s="132" t="n">
        <v>46738</v>
      </c>
      <c r="E9396" s="131" t="s">
        <v>59</v>
      </c>
      <c r="F9396" s="133" t="s">
        <v>19</v>
      </c>
      <c r="G9396" s="134" t="n">
        <f aca="false">LEN('Saisie programme'!$H$356)+SUMIFS('Vols additionnels'!$E$7:$E$66,'Vols additionnels'!$C$7:$C$66,$E9396,'Vols additionnels'!$D$7:$D$66,$F9396,'Vols additionnels'!$B$7:$B$66,$D9396)</f>
        <v>0</v>
      </c>
      <c r="H9396" s="135" t="n">
        <f aca="false">$G9396*'Analyse capacite'!$F$8</f>
        <v>0</v>
      </c>
      <c r="I9396" s="135" t="n">
        <f aca="false">$G9396*'Analyse capacite'!$C$8</f>
        <v>0</v>
      </c>
      <c r="J9396" s="135" t="n">
        <f aca="false">$G9396*'Analyse capacite'!$D$8</f>
        <v>0</v>
      </c>
      <c r="K9396" s="135" t="n">
        <f aca="false">$G9396*'Analyse capacite'!$E$8</f>
        <v>0</v>
      </c>
    </row>
    <row r="9397" customFormat="false" ht="15" hidden="false" customHeight="false" outlineLevel="0" collapsed="false">
      <c r="B9397" s="130" t="n">
        <v>2027</v>
      </c>
      <c r="C9397" s="131" t="s">
        <v>254</v>
      </c>
      <c r="D9397" s="132" t="n">
        <v>46738</v>
      </c>
      <c r="E9397" s="131" t="s">
        <v>59</v>
      </c>
      <c r="F9397" s="133" t="s">
        <v>24</v>
      </c>
      <c r="G9397" s="134" t="n">
        <f aca="false">LEN('Saisie programme'!$H$357)+SUMIFS('Vols additionnels'!$E$7:$E$66,'Vols additionnels'!$C$7:$C$66,$E9397,'Vols additionnels'!$D$7:$D$66,$F9397,'Vols additionnels'!$B$7:$B$66,$D9397)</f>
        <v>1</v>
      </c>
      <c r="H9397" s="135" t="n">
        <f aca="false">$G9397*'Analyse capacite'!$F$9</f>
        <v>174</v>
      </c>
      <c r="I9397" s="135" t="n">
        <f aca="false">$G9397*'Analyse capacite'!$C$9</f>
        <v>0</v>
      </c>
      <c r="J9397" s="135" t="n">
        <f aca="false">$G9397*'Analyse capacite'!$D$9</f>
        <v>12</v>
      </c>
      <c r="K9397" s="135" t="n">
        <f aca="false">$G9397*'Analyse capacite'!$E$9</f>
        <v>162</v>
      </c>
    </row>
    <row r="9398" customFormat="false" ht="15" hidden="false" customHeight="false" outlineLevel="0" collapsed="false">
      <c r="B9398" s="130" t="n">
        <v>2027</v>
      </c>
      <c r="C9398" s="131" t="s">
        <v>254</v>
      </c>
      <c r="D9398" s="132" t="n">
        <v>46738</v>
      </c>
      <c r="E9398" s="131" t="s">
        <v>62</v>
      </c>
      <c r="F9398" s="133" t="s">
        <v>11</v>
      </c>
      <c r="G9398" s="134" t="n">
        <f aca="false">LEN('Saisie programme'!$H$358)+SUMIFS('Vols additionnels'!$E$7:$E$66,'Vols additionnels'!$C$7:$C$66,$E9398,'Vols additionnels'!$D$7:$D$66,$F9398,'Vols additionnels'!$B$7:$B$66,$D9398)</f>
        <v>0</v>
      </c>
      <c r="H9398" s="135" t="n">
        <f aca="false">$G9398*'Analyse capacite'!$F$7</f>
        <v>0</v>
      </c>
      <c r="I9398" s="135" t="n">
        <f aca="false">$G9398*'Analyse capacite'!$C$7</f>
        <v>0</v>
      </c>
      <c r="J9398" s="135" t="n">
        <f aca="false">$G9398*'Analyse capacite'!$D$7</f>
        <v>0</v>
      </c>
      <c r="K9398" s="135" t="n">
        <f aca="false">$G9398*'Analyse capacite'!$E$7</f>
        <v>0</v>
      </c>
    </row>
    <row r="9399" customFormat="false" ht="15" hidden="false" customHeight="false" outlineLevel="0" collapsed="false">
      <c r="B9399" s="130" t="n">
        <v>2027</v>
      </c>
      <c r="C9399" s="131" t="s">
        <v>254</v>
      </c>
      <c r="D9399" s="132" t="n">
        <v>46738</v>
      </c>
      <c r="E9399" s="131" t="s">
        <v>62</v>
      </c>
      <c r="F9399" s="133" t="s">
        <v>19</v>
      </c>
      <c r="G9399" s="134" t="n">
        <f aca="false">LEN('Saisie programme'!$H$359)+SUMIFS('Vols additionnels'!$E$7:$E$66,'Vols additionnels'!$C$7:$C$66,$E9399,'Vols additionnels'!$D$7:$D$66,$F9399,'Vols additionnels'!$B$7:$B$66,$D9399)</f>
        <v>0</v>
      </c>
      <c r="H9399" s="135" t="n">
        <f aca="false">$G9399*'Analyse capacite'!$F$8</f>
        <v>0</v>
      </c>
      <c r="I9399" s="135" t="n">
        <f aca="false">$G9399*'Analyse capacite'!$C$8</f>
        <v>0</v>
      </c>
      <c r="J9399" s="135" t="n">
        <f aca="false">$G9399*'Analyse capacite'!$D$8</f>
        <v>0</v>
      </c>
      <c r="K9399" s="135" t="n">
        <f aca="false">$G9399*'Analyse capacite'!$E$8</f>
        <v>0</v>
      </c>
    </row>
    <row r="9400" customFormat="false" ht="15" hidden="false" customHeight="false" outlineLevel="0" collapsed="false">
      <c r="B9400" s="130" t="n">
        <v>2027</v>
      </c>
      <c r="C9400" s="131" t="s">
        <v>254</v>
      </c>
      <c r="D9400" s="132" t="n">
        <v>46738</v>
      </c>
      <c r="E9400" s="131" t="s">
        <v>62</v>
      </c>
      <c r="F9400" s="133" t="s">
        <v>24</v>
      </c>
      <c r="G9400" s="134" t="n">
        <f aca="false">LEN('Saisie programme'!$H$360)+SUMIFS('Vols additionnels'!$E$7:$E$66,'Vols additionnels'!$C$7:$C$66,$E9400,'Vols additionnels'!$D$7:$D$66,$F9400,'Vols additionnels'!$B$7:$B$66,$D9400)</f>
        <v>0</v>
      </c>
      <c r="H9400" s="135" t="n">
        <f aca="false">$G9400*'Analyse capacite'!$F$9</f>
        <v>0</v>
      </c>
      <c r="I9400" s="135" t="n">
        <f aca="false">$G9400*'Analyse capacite'!$C$9</f>
        <v>0</v>
      </c>
      <c r="J9400" s="135" t="n">
        <f aca="false">$G9400*'Analyse capacite'!$D$9</f>
        <v>0</v>
      </c>
      <c r="K9400" s="135" t="n">
        <f aca="false">$G9400*'Analyse capacite'!$E$9</f>
        <v>0</v>
      </c>
    </row>
    <row r="9401" customFormat="false" ht="15" hidden="false" customHeight="false" outlineLevel="0" collapsed="false">
      <c r="B9401" s="130" t="n">
        <v>2027</v>
      </c>
      <c r="C9401" s="131" t="s">
        <v>254</v>
      </c>
      <c r="D9401" s="132" t="n">
        <v>46739</v>
      </c>
      <c r="E9401" s="131" t="s">
        <v>12</v>
      </c>
      <c r="F9401" s="133" t="s">
        <v>11</v>
      </c>
      <c r="G9401" s="134" t="n">
        <f aca="false">LEN('Saisie programme'!$I$325)+SUMIFS('Vols additionnels'!$E$7:$E$66,'Vols additionnels'!$C$7:$C$66,$E9401,'Vols additionnels'!$D$7:$D$66,$F9401,'Vols additionnels'!$B$7:$B$66,$D9401)</f>
        <v>1</v>
      </c>
      <c r="H9401" s="135" t="n">
        <f aca="false">$G9401*'Analyse capacite'!$F$7</f>
        <v>438</v>
      </c>
      <c r="I9401" s="135" t="n">
        <f aca="false">$G9401*'Analyse capacite'!$C$7</f>
        <v>14</v>
      </c>
      <c r="J9401" s="135" t="n">
        <f aca="false">$G9401*'Analyse capacite'!$D$7</f>
        <v>40</v>
      </c>
      <c r="K9401" s="135" t="n">
        <f aca="false">$G9401*'Analyse capacite'!$E$7</f>
        <v>384</v>
      </c>
    </row>
    <row r="9402" customFormat="false" ht="15" hidden="false" customHeight="false" outlineLevel="0" collapsed="false">
      <c r="B9402" s="130" t="n">
        <v>2027</v>
      </c>
      <c r="C9402" s="131" t="s">
        <v>254</v>
      </c>
      <c r="D9402" s="132" t="n">
        <v>46739</v>
      </c>
      <c r="E9402" s="131" t="s">
        <v>12</v>
      </c>
      <c r="F9402" s="133" t="s">
        <v>19</v>
      </c>
      <c r="G9402" s="134" t="n">
        <f aca="false">LEN('Saisie programme'!$I$326)+SUMIFS('Vols additionnels'!$E$7:$E$66,'Vols additionnels'!$C$7:$C$66,$E9402,'Vols additionnels'!$D$7:$D$66,$F9402,'Vols additionnels'!$B$7:$B$66,$D9402)</f>
        <v>0</v>
      </c>
      <c r="H9402" s="135" t="n">
        <f aca="false">$G9402*'Analyse capacite'!$F$8</f>
        <v>0</v>
      </c>
      <c r="I9402" s="135" t="n">
        <f aca="false">$G9402*'Analyse capacite'!$C$8</f>
        <v>0</v>
      </c>
      <c r="J9402" s="135" t="n">
        <f aca="false">$G9402*'Analyse capacite'!$D$8</f>
        <v>0</v>
      </c>
      <c r="K9402" s="135" t="n">
        <f aca="false">$G9402*'Analyse capacite'!$E$8</f>
        <v>0</v>
      </c>
    </row>
    <row r="9403" customFormat="false" ht="15" hidden="false" customHeight="false" outlineLevel="0" collapsed="false">
      <c r="B9403" s="130" t="n">
        <v>2027</v>
      </c>
      <c r="C9403" s="131" t="s">
        <v>254</v>
      </c>
      <c r="D9403" s="132" t="n">
        <v>46739</v>
      </c>
      <c r="E9403" s="131" t="s">
        <v>12</v>
      </c>
      <c r="F9403" s="133" t="s">
        <v>24</v>
      </c>
      <c r="G9403" s="134" t="n">
        <f aca="false">LEN('Saisie programme'!$I$327)+SUMIFS('Vols additionnels'!$E$7:$E$66,'Vols additionnels'!$C$7:$C$66,$E9403,'Vols additionnels'!$D$7:$D$66,$F9403,'Vols additionnels'!$B$7:$B$66,$D9403)</f>
        <v>0</v>
      </c>
      <c r="H9403" s="135" t="n">
        <f aca="false">$G9403*'Analyse capacite'!$F$9</f>
        <v>0</v>
      </c>
      <c r="I9403" s="135" t="n">
        <f aca="false">$G9403*'Analyse capacite'!$C$9</f>
        <v>0</v>
      </c>
      <c r="J9403" s="135" t="n">
        <f aca="false">$G9403*'Analyse capacite'!$D$9</f>
        <v>0</v>
      </c>
      <c r="K9403" s="135" t="n">
        <f aca="false">$G9403*'Analyse capacite'!$E$9</f>
        <v>0</v>
      </c>
    </row>
    <row r="9404" customFormat="false" ht="15" hidden="false" customHeight="false" outlineLevel="0" collapsed="false">
      <c r="B9404" s="130" t="n">
        <v>2027</v>
      </c>
      <c r="C9404" s="131" t="s">
        <v>254</v>
      </c>
      <c r="D9404" s="132" t="n">
        <v>46739</v>
      </c>
      <c r="E9404" s="131" t="s">
        <v>20</v>
      </c>
      <c r="F9404" s="133" t="s">
        <v>11</v>
      </c>
      <c r="G9404" s="134" t="n">
        <f aca="false">LEN('Saisie programme'!$I$328)+SUMIFS('Vols additionnels'!$E$7:$E$66,'Vols additionnels'!$C$7:$C$66,$E9404,'Vols additionnels'!$D$7:$D$66,$F9404,'Vols additionnels'!$B$7:$B$66,$D9404)</f>
        <v>0</v>
      </c>
      <c r="H9404" s="135" t="n">
        <f aca="false">$G9404*'Analyse capacite'!$F$7</f>
        <v>0</v>
      </c>
      <c r="I9404" s="135" t="n">
        <f aca="false">$G9404*'Analyse capacite'!$C$7</f>
        <v>0</v>
      </c>
      <c r="J9404" s="135" t="n">
        <f aca="false">$G9404*'Analyse capacite'!$D$7</f>
        <v>0</v>
      </c>
      <c r="K9404" s="135" t="n">
        <f aca="false">$G9404*'Analyse capacite'!$E$7</f>
        <v>0</v>
      </c>
    </row>
    <row r="9405" customFormat="false" ht="15" hidden="false" customHeight="false" outlineLevel="0" collapsed="false">
      <c r="B9405" s="130" t="n">
        <v>2027</v>
      </c>
      <c r="C9405" s="131" t="s">
        <v>254</v>
      </c>
      <c r="D9405" s="132" t="n">
        <v>46739</v>
      </c>
      <c r="E9405" s="131" t="s">
        <v>20</v>
      </c>
      <c r="F9405" s="133" t="s">
        <v>19</v>
      </c>
      <c r="G9405" s="134" t="n">
        <f aca="false">LEN('Saisie programme'!$I$329)+SUMIFS('Vols additionnels'!$E$7:$E$66,'Vols additionnels'!$C$7:$C$66,$E9405,'Vols additionnels'!$D$7:$D$66,$F9405,'Vols additionnels'!$B$7:$B$66,$D9405)</f>
        <v>0</v>
      </c>
      <c r="H9405" s="135" t="n">
        <f aca="false">$G9405*'Analyse capacite'!$F$8</f>
        <v>0</v>
      </c>
      <c r="I9405" s="135" t="n">
        <f aca="false">$G9405*'Analyse capacite'!$C$8</f>
        <v>0</v>
      </c>
      <c r="J9405" s="135" t="n">
        <f aca="false">$G9405*'Analyse capacite'!$D$8</f>
        <v>0</v>
      </c>
      <c r="K9405" s="135" t="n">
        <f aca="false">$G9405*'Analyse capacite'!$E$8</f>
        <v>0</v>
      </c>
    </row>
    <row r="9406" customFormat="false" ht="15" hidden="false" customHeight="false" outlineLevel="0" collapsed="false">
      <c r="B9406" s="130" t="n">
        <v>2027</v>
      </c>
      <c r="C9406" s="131" t="s">
        <v>254</v>
      </c>
      <c r="D9406" s="132" t="n">
        <v>46739</v>
      </c>
      <c r="E9406" s="131" t="s">
        <v>20</v>
      </c>
      <c r="F9406" s="133" t="s">
        <v>24</v>
      </c>
      <c r="G9406" s="134" t="n">
        <f aca="false">LEN('Saisie programme'!$I$330)+SUMIFS('Vols additionnels'!$E$7:$E$66,'Vols additionnels'!$C$7:$C$66,$E9406,'Vols additionnels'!$D$7:$D$66,$F9406,'Vols additionnels'!$B$7:$B$66,$D9406)</f>
        <v>0</v>
      </c>
      <c r="H9406" s="135" t="n">
        <f aca="false">$G9406*'Analyse capacite'!$F$9</f>
        <v>0</v>
      </c>
      <c r="I9406" s="135" t="n">
        <f aca="false">$G9406*'Analyse capacite'!$C$9</f>
        <v>0</v>
      </c>
      <c r="J9406" s="135" t="n">
        <f aca="false">$G9406*'Analyse capacite'!$D$9</f>
        <v>0</v>
      </c>
      <c r="K9406" s="135" t="n">
        <f aca="false">$G9406*'Analyse capacite'!$E$9</f>
        <v>0</v>
      </c>
    </row>
    <row r="9407" customFormat="false" ht="15" hidden="false" customHeight="false" outlineLevel="0" collapsed="false">
      <c r="B9407" s="130" t="n">
        <v>2027</v>
      </c>
      <c r="C9407" s="131" t="s">
        <v>254</v>
      </c>
      <c r="D9407" s="132" t="n">
        <v>46739</v>
      </c>
      <c r="E9407" s="131" t="s">
        <v>25</v>
      </c>
      <c r="F9407" s="133" t="s">
        <v>11</v>
      </c>
      <c r="G9407" s="134" t="n">
        <f aca="false">LEN('Saisie programme'!$I$331)+SUMIFS('Vols additionnels'!$E$7:$E$66,'Vols additionnels'!$C$7:$C$66,$E9407,'Vols additionnels'!$D$7:$D$66,$F9407,'Vols additionnels'!$B$7:$B$66,$D9407)</f>
        <v>0</v>
      </c>
      <c r="H9407" s="135" t="n">
        <f aca="false">$G9407*'Analyse capacite'!$F$7</f>
        <v>0</v>
      </c>
      <c r="I9407" s="135" t="n">
        <f aca="false">$G9407*'Analyse capacite'!$C$7</f>
        <v>0</v>
      </c>
      <c r="J9407" s="135" t="n">
        <f aca="false">$G9407*'Analyse capacite'!$D$7</f>
        <v>0</v>
      </c>
      <c r="K9407" s="135" t="n">
        <f aca="false">$G9407*'Analyse capacite'!$E$7</f>
        <v>0</v>
      </c>
    </row>
    <row r="9408" customFormat="false" ht="15" hidden="false" customHeight="false" outlineLevel="0" collapsed="false">
      <c r="B9408" s="130" t="n">
        <v>2027</v>
      </c>
      <c r="C9408" s="131" t="s">
        <v>254</v>
      </c>
      <c r="D9408" s="132" t="n">
        <v>46739</v>
      </c>
      <c r="E9408" s="131" t="s">
        <v>25</v>
      </c>
      <c r="F9408" s="133" t="s">
        <v>19</v>
      </c>
      <c r="G9408" s="134" t="n">
        <f aca="false">LEN('Saisie programme'!$I$332)+SUMIFS('Vols additionnels'!$E$7:$E$66,'Vols additionnels'!$C$7:$C$66,$E9408,'Vols additionnels'!$D$7:$D$66,$F9408,'Vols additionnels'!$B$7:$B$66,$D9408)</f>
        <v>1</v>
      </c>
      <c r="H9408" s="135" t="n">
        <f aca="false">$G9408*'Analyse capacite'!$F$8</f>
        <v>262</v>
      </c>
      <c r="I9408" s="135" t="n">
        <f aca="false">$G9408*'Analyse capacite'!$C$8</f>
        <v>18</v>
      </c>
      <c r="J9408" s="135" t="n">
        <f aca="false">$G9408*'Analyse capacite'!$D$8</f>
        <v>0</v>
      </c>
      <c r="K9408" s="135" t="n">
        <f aca="false">$G9408*'Analyse capacite'!$E$8</f>
        <v>244</v>
      </c>
    </row>
    <row r="9409" customFormat="false" ht="15" hidden="false" customHeight="false" outlineLevel="0" collapsed="false">
      <c r="B9409" s="130" t="n">
        <v>2027</v>
      </c>
      <c r="C9409" s="131" t="s">
        <v>254</v>
      </c>
      <c r="D9409" s="132" t="n">
        <v>46739</v>
      </c>
      <c r="E9409" s="131" t="s">
        <v>25</v>
      </c>
      <c r="F9409" s="133" t="s">
        <v>24</v>
      </c>
      <c r="G9409" s="134" t="n">
        <f aca="false">LEN('Saisie programme'!$I$333)+SUMIFS('Vols additionnels'!$E$7:$E$66,'Vols additionnels'!$C$7:$C$66,$E9409,'Vols additionnels'!$D$7:$D$66,$F9409,'Vols additionnels'!$B$7:$B$66,$D9409)</f>
        <v>0</v>
      </c>
      <c r="H9409" s="135" t="n">
        <f aca="false">$G9409*'Analyse capacite'!$F$9</f>
        <v>0</v>
      </c>
      <c r="I9409" s="135" t="n">
        <f aca="false">$G9409*'Analyse capacite'!$C$9</f>
        <v>0</v>
      </c>
      <c r="J9409" s="135" t="n">
        <f aca="false">$G9409*'Analyse capacite'!$D$9</f>
        <v>0</v>
      </c>
      <c r="K9409" s="135" t="n">
        <f aca="false">$G9409*'Analyse capacite'!$E$9</f>
        <v>0</v>
      </c>
    </row>
    <row r="9410" customFormat="false" ht="15" hidden="false" customHeight="false" outlineLevel="0" collapsed="false">
      <c r="B9410" s="130" t="n">
        <v>2027</v>
      </c>
      <c r="C9410" s="131" t="s">
        <v>254</v>
      </c>
      <c r="D9410" s="132" t="n">
        <v>46739</v>
      </c>
      <c r="E9410" s="131" t="s">
        <v>36</v>
      </c>
      <c r="F9410" s="133" t="s">
        <v>11</v>
      </c>
      <c r="G9410" s="134" t="n">
        <f aca="false">LEN('Saisie programme'!$I$334)+SUMIFS('Vols additionnels'!$E$7:$E$66,'Vols additionnels'!$C$7:$C$66,$E9410,'Vols additionnels'!$D$7:$D$66,$F9410,'Vols additionnels'!$B$7:$B$66,$D9410)</f>
        <v>0</v>
      </c>
      <c r="H9410" s="135" t="n">
        <f aca="false">$G9410*'Analyse capacite'!$F$7</f>
        <v>0</v>
      </c>
      <c r="I9410" s="135" t="n">
        <f aca="false">$G9410*'Analyse capacite'!$C$7</f>
        <v>0</v>
      </c>
      <c r="J9410" s="135" t="n">
        <f aca="false">$G9410*'Analyse capacite'!$D$7</f>
        <v>0</v>
      </c>
      <c r="K9410" s="135" t="n">
        <f aca="false">$G9410*'Analyse capacite'!$E$7</f>
        <v>0</v>
      </c>
    </row>
    <row r="9411" customFormat="false" ht="15" hidden="false" customHeight="false" outlineLevel="0" collapsed="false">
      <c r="B9411" s="130" t="n">
        <v>2027</v>
      </c>
      <c r="C9411" s="131" t="s">
        <v>254</v>
      </c>
      <c r="D9411" s="132" t="n">
        <v>46739</v>
      </c>
      <c r="E9411" s="131" t="s">
        <v>36</v>
      </c>
      <c r="F9411" s="133" t="s">
        <v>19</v>
      </c>
      <c r="G9411" s="134" t="n">
        <f aca="false">LEN('Saisie programme'!$I$335)+SUMIFS('Vols additionnels'!$E$7:$E$66,'Vols additionnels'!$C$7:$C$66,$E9411,'Vols additionnels'!$D$7:$D$66,$F9411,'Vols additionnels'!$B$7:$B$66,$D9411)</f>
        <v>0</v>
      </c>
      <c r="H9411" s="135" t="n">
        <f aca="false">$G9411*'Analyse capacite'!$F$8</f>
        <v>0</v>
      </c>
      <c r="I9411" s="135" t="n">
        <f aca="false">$G9411*'Analyse capacite'!$C$8</f>
        <v>0</v>
      </c>
      <c r="J9411" s="135" t="n">
        <f aca="false">$G9411*'Analyse capacite'!$D$8</f>
        <v>0</v>
      </c>
      <c r="K9411" s="135" t="n">
        <f aca="false">$G9411*'Analyse capacite'!$E$8</f>
        <v>0</v>
      </c>
    </row>
    <row r="9412" customFormat="false" ht="15" hidden="false" customHeight="false" outlineLevel="0" collapsed="false">
      <c r="B9412" s="130" t="n">
        <v>2027</v>
      </c>
      <c r="C9412" s="131" t="s">
        <v>254</v>
      </c>
      <c r="D9412" s="132" t="n">
        <v>46739</v>
      </c>
      <c r="E9412" s="131" t="s">
        <v>36</v>
      </c>
      <c r="F9412" s="133" t="s">
        <v>24</v>
      </c>
      <c r="G9412" s="134" t="n">
        <f aca="false">LEN('Saisie programme'!$I$336)+SUMIFS('Vols additionnels'!$E$7:$E$66,'Vols additionnels'!$C$7:$C$66,$E9412,'Vols additionnels'!$D$7:$D$66,$F9412,'Vols additionnels'!$B$7:$B$66,$D9412)</f>
        <v>0</v>
      </c>
      <c r="H9412" s="135" t="n">
        <f aca="false">$G9412*'Analyse capacite'!$F$9</f>
        <v>0</v>
      </c>
      <c r="I9412" s="135" t="n">
        <f aca="false">$G9412*'Analyse capacite'!$C$9</f>
        <v>0</v>
      </c>
      <c r="J9412" s="135" t="n">
        <f aca="false">$G9412*'Analyse capacite'!$D$9</f>
        <v>0</v>
      </c>
      <c r="K9412" s="135" t="n">
        <f aca="false">$G9412*'Analyse capacite'!$E$9</f>
        <v>0</v>
      </c>
    </row>
    <row r="9413" customFormat="false" ht="15" hidden="false" customHeight="false" outlineLevel="0" collapsed="false">
      <c r="B9413" s="130" t="n">
        <v>2027</v>
      </c>
      <c r="C9413" s="131" t="s">
        <v>254</v>
      </c>
      <c r="D9413" s="132" t="n">
        <v>46739</v>
      </c>
      <c r="E9413" s="131" t="s">
        <v>40</v>
      </c>
      <c r="F9413" s="133" t="s">
        <v>11</v>
      </c>
      <c r="G9413" s="134" t="n">
        <f aca="false">LEN('Saisie programme'!$I$337)+SUMIFS('Vols additionnels'!$E$7:$E$66,'Vols additionnels'!$C$7:$C$66,$E9413,'Vols additionnels'!$D$7:$D$66,$F9413,'Vols additionnels'!$B$7:$B$66,$D9413)</f>
        <v>0</v>
      </c>
      <c r="H9413" s="135" t="n">
        <f aca="false">$G9413*'Analyse capacite'!$F$7</f>
        <v>0</v>
      </c>
      <c r="I9413" s="135" t="n">
        <f aca="false">$G9413*'Analyse capacite'!$C$7</f>
        <v>0</v>
      </c>
      <c r="J9413" s="135" t="n">
        <f aca="false">$G9413*'Analyse capacite'!$D$7</f>
        <v>0</v>
      </c>
      <c r="K9413" s="135" t="n">
        <f aca="false">$G9413*'Analyse capacite'!$E$7</f>
        <v>0</v>
      </c>
    </row>
    <row r="9414" customFormat="false" ht="15" hidden="false" customHeight="false" outlineLevel="0" collapsed="false">
      <c r="B9414" s="130" t="n">
        <v>2027</v>
      </c>
      <c r="C9414" s="131" t="s">
        <v>254</v>
      </c>
      <c r="D9414" s="132" t="n">
        <v>46739</v>
      </c>
      <c r="E9414" s="131" t="s">
        <v>40</v>
      </c>
      <c r="F9414" s="133" t="s">
        <v>19</v>
      </c>
      <c r="G9414" s="134" t="n">
        <f aca="false">LEN('Saisie programme'!$I$338)+SUMIFS('Vols additionnels'!$E$7:$E$66,'Vols additionnels'!$C$7:$C$66,$E9414,'Vols additionnels'!$D$7:$D$66,$F9414,'Vols additionnels'!$B$7:$B$66,$D9414)</f>
        <v>0</v>
      </c>
      <c r="H9414" s="135" t="n">
        <f aca="false">$G9414*'Analyse capacite'!$F$8</f>
        <v>0</v>
      </c>
      <c r="I9414" s="135" t="n">
        <f aca="false">$G9414*'Analyse capacite'!$C$8</f>
        <v>0</v>
      </c>
      <c r="J9414" s="135" t="n">
        <f aca="false">$G9414*'Analyse capacite'!$D$8</f>
        <v>0</v>
      </c>
      <c r="K9414" s="135" t="n">
        <f aca="false">$G9414*'Analyse capacite'!$E$8</f>
        <v>0</v>
      </c>
    </row>
    <row r="9415" customFormat="false" ht="15" hidden="false" customHeight="false" outlineLevel="0" collapsed="false">
      <c r="B9415" s="130" t="n">
        <v>2027</v>
      </c>
      <c r="C9415" s="131" t="s">
        <v>254</v>
      </c>
      <c r="D9415" s="132" t="n">
        <v>46739</v>
      </c>
      <c r="E9415" s="131" t="s">
        <v>40</v>
      </c>
      <c r="F9415" s="133" t="s">
        <v>24</v>
      </c>
      <c r="G9415" s="134" t="n">
        <f aca="false">LEN('Saisie programme'!$I$339)+SUMIFS('Vols additionnels'!$E$7:$E$66,'Vols additionnels'!$C$7:$C$66,$E9415,'Vols additionnels'!$D$7:$D$66,$F9415,'Vols additionnels'!$B$7:$B$66,$D9415)</f>
        <v>0</v>
      </c>
      <c r="H9415" s="135" t="n">
        <f aca="false">$G9415*'Analyse capacite'!$F$9</f>
        <v>0</v>
      </c>
      <c r="I9415" s="135" t="n">
        <f aca="false">$G9415*'Analyse capacite'!$C$9</f>
        <v>0</v>
      </c>
      <c r="J9415" s="135" t="n">
        <f aca="false">$G9415*'Analyse capacite'!$D$9</f>
        <v>0</v>
      </c>
      <c r="K9415" s="135" t="n">
        <f aca="false">$G9415*'Analyse capacite'!$E$9</f>
        <v>0</v>
      </c>
    </row>
    <row r="9416" customFormat="false" ht="15" hidden="false" customHeight="false" outlineLevel="0" collapsed="false">
      <c r="B9416" s="130" t="n">
        <v>2027</v>
      </c>
      <c r="C9416" s="131" t="s">
        <v>254</v>
      </c>
      <c r="D9416" s="132" t="n">
        <v>46739</v>
      </c>
      <c r="E9416" s="131" t="s">
        <v>14</v>
      </c>
      <c r="F9416" s="133" t="s">
        <v>11</v>
      </c>
      <c r="G9416" s="134" t="n">
        <f aca="false">LEN('Saisie programme'!$I$340)+SUMIFS('Vols additionnels'!$E$7:$E$66,'Vols additionnels'!$C$7:$C$66,$E9416,'Vols additionnels'!$D$7:$D$66,$F9416,'Vols additionnels'!$B$7:$B$66,$D9416)</f>
        <v>0</v>
      </c>
      <c r="H9416" s="135" t="n">
        <f aca="false">$G9416*'Analyse capacite'!$F$7</f>
        <v>0</v>
      </c>
      <c r="I9416" s="135" t="n">
        <f aca="false">$G9416*'Analyse capacite'!$C$7</f>
        <v>0</v>
      </c>
      <c r="J9416" s="135" t="n">
        <f aca="false">$G9416*'Analyse capacite'!$D$7</f>
        <v>0</v>
      </c>
      <c r="K9416" s="135" t="n">
        <f aca="false">$G9416*'Analyse capacite'!$E$7</f>
        <v>0</v>
      </c>
    </row>
    <row r="9417" customFormat="false" ht="15" hidden="false" customHeight="false" outlineLevel="0" collapsed="false">
      <c r="B9417" s="130" t="n">
        <v>2027</v>
      </c>
      <c r="C9417" s="131" t="s">
        <v>254</v>
      </c>
      <c r="D9417" s="132" t="n">
        <v>46739</v>
      </c>
      <c r="E9417" s="131" t="s">
        <v>14</v>
      </c>
      <c r="F9417" s="133" t="s">
        <v>19</v>
      </c>
      <c r="G9417" s="134" t="n">
        <f aca="false">LEN('Saisie programme'!$I$341)+SUMIFS('Vols additionnels'!$E$7:$E$66,'Vols additionnels'!$C$7:$C$66,$E9417,'Vols additionnels'!$D$7:$D$66,$F9417,'Vols additionnels'!$B$7:$B$66,$D9417)</f>
        <v>0</v>
      </c>
      <c r="H9417" s="135" t="n">
        <f aca="false">$G9417*'Analyse capacite'!$F$8</f>
        <v>0</v>
      </c>
      <c r="I9417" s="135" t="n">
        <f aca="false">$G9417*'Analyse capacite'!$C$8</f>
        <v>0</v>
      </c>
      <c r="J9417" s="135" t="n">
        <f aca="false">$G9417*'Analyse capacite'!$D$8</f>
        <v>0</v>
      </c>
      <c r="K9417" s="135" t="n">
        <f aca="false">$G9417*'Analyse capacite'!$E$8</f>
        <v>0</v>
      </c>
    </row>
    <row r="9418" customFormat="false" ht="15" hidden="false" customHeight="false" outlineLevel="0" collapsed="false">
      <c r="B9418" s="130" t="n">
        <v>2027</v>
      </c>
      <c r="C9418" s="131" t="s">
        <v>254</v>
      </c>
      <c r="D9418" s="132" t="n">
        <v>46739</v>
      </c>
      <c r="E9418" s="131" t="s">
        <v>14</v>
      </c>
      <c r="F9418" s="133" t="s">
        <v>24</v>
      </c>
      <c r="G9418" s="134" t="n">
        <f aca="false">LEN('Saisie programme'!$I$342)+SUMIFS('Vols additionnels'!$E$7:$E$66,'Vols additionnels'!$C$7:$C$66,$E9418,'Vols additionnels'!$D$7:$D$66,$F9418,'Vols additionnels'!$B$7:$B$66,$D9418)</f>
        <v>1</v>
      </c>
      <c r="H9418" s="135" t="n">
        <f aca="false">$G9418*'Analyse capacite'!$F$9</f>
        <v>174</v>
      </c>
      <c r="I9418" s="135" t="n">
        <f aca="false">$G9418*'Analyse capacite'!$C$9</f>
        <v>0</v>
      </c>
      <c r="J9418" s="135" t="n">
        <f aca="false">$G9418*'Analyse capacite'!$D$9</f>
        <v>12</v>
      </c>
      <c r="K9418" s="135" t="n">
        <f aca="false">$G9418*'Analyse capacite'!$E$9</f>
        <v>162</v>
      </c>
    </row>
    <row r="9419" customFormat="false" ht="15" hidden="false" customHeight="false" outlineLevel="0" collapsed="false">
      <c r="B9419" s="130" t="n">
        <v>2027</v>
      </c>
      <c r="C9419" s="131" t="s">
        <v>254</v>
      </c>
      <c r="D9419" s="132" t="n">
        <v>46739</v>
      </c>
      <c r="E9419" s="131" t="s">
        <v>46</v>
      </c>
      <c r="F9419" s="133" t="s">
        <v>11</v>
      </c>
      <c r="G9419" s="134" t="n">
        <f aca="false">LEN('Saisie programme'!$I$343)+SUMIFS('Vols additionnels'!$E$7:$E$66,'Vols additionnels'!$C$7:$C$66,$E9419,'Vols additionnels'!$D$7:$D$66,$F9419,'Vols additionnels'!$B$7:$B$66,$D9419)</f>
        <v>0</v>
      </c>
      <c r="H9419" s="135" t="n">
        <f aca="false">$G9419*'Analyse capacite'!$F$7</f>
        <v>0</v>
      </c>
      <c r="I9419" s="135" t="n">
        <f aca="false">$G9419*'Analyse capacite'!$C$7</f>
        <v>0</v>
      </c>
      <c r="J9419" s="135" t="n">
        <f aca="false">$G9419*'Analyse capacite'!$D$7</f>
        <v>0</v>
      </c>
      <c r="K9419" s="135" t="n">
        <f aca="false">$G9419*'Analyse capacite'!$E$7</f>
        <v>0</v>
      </c>
    </row>
    <row r="9420" customFormat="false" ht="15" hidden="false" customHeight="false" outlineLevel="0" collapsed="false">
      <c r="B9420" s="130" t="n">
        <v>2027</v>
      </c>
      <c r="C9420" s="131" t="s">
        <v>254</v>
      </c>
      <c r="D9420" s="132" t="n">
        <v>46739</v>
      </c>
      <c r="E9420" s="131" t="s">
        <v>46</v>
      </c>
      <c r="F9420" s="133" t="s">
        <v>19</v>
      </c>
      <c r="G9420" s="134" t="n">
        <f aca="false">LEN('Saisie programme'!$I$344)+SUMIFS('Vols additionnels'!$E$7:$E$66,'Vols additionnels'!$C$7:$C$66,$E9420,'Vols additionnels'!$D$7:$D$66,$F9420,'Vols additionnels'!$B$7:$B$66,$D9420)</f>
        <v>0</v>
      </c>
      <c r="H9420" s="135" t="n">
        <f aca="false">$G9420*'Analyse capacite'!$F$8</f>
        <v>0</v>
      </c>
      <c r="I9420" s="135" t="n">
        <f aca="false">$G9420*'Analyse capacite'!$C$8</f>
        <v>0</v>
      </c>
      <c r="J9420" s="135" t="n">
        <f aca="false">$G9420*'Analyse capacite'!$D$8</f>
        <v>0</v>
      </c>
      <c r="K9420" s="135" t="n">
        <f aca="false">$G9420*'Analyse capacite'!$E$8</f>
        <v>0</v>
      </c>
    </row>
    <row r="9421" customFormat="false" ht="15" hidden="false" customHeight="false" outlineLevel="0" collapsed="false">
      <c r="B9421" s="130" t="n">
        <v>2027</v>
      </c>
      <c r="C9421" s="131" t="s">
        <v>254</v>
      </c>
      <c r="D9421" s="132" t="n">
        <v>46739</v>
      </c>
      <c r="E9421" s="131" t="s">
        <v>46</v>
      </c>
      <c r="F9421" s="133" t="s">
        <v>24</v>
      </c>
      <c r="G9421" s="134" t="n">
        <f aca="false">LEN('Saisie programme'!$I$345)+SUMIFS('Vols additionnels'!$E$7:$E$66,'Vols additionnels'!$C$7:$C$66,$E9421,'Vols additionnels'!$D$7:$D$66,$F9421,'Vols additionnels'!$B$7:$B$66,$D9421)</f>
        <v>1</v>
      </c>
      <c r="H9421" s="135" t="n">
        <f aca="false">$G9421*'Analyse capacite'!$F$9</f>
        <v>174</v>
      </c>
      <c r="I9421" s="135" t="n">
        <f aca="false">$G9421*'Analyse capacite'!$C$9</f>
        <v>0</v>
      </c>
      <c r="J9421" s="135" t="n">
        <f aca="false">$G9421*'Analyse capacite'!$D$9</f>
        <v>12</v>
      </c>
      <c r="K9421" s="135" t="n">
        <f aca="false">$G9421*'Analyse capacite'!$E$9</f>
        <v>162</v>
      </c>
    </row>
    <row r="9422" customFormat="false" ht="15" hidden="false" customHeight="false" outlineLevel="0" collapsed="false">
      <c r="B9422" s="130" t="n">
        <v>2027</v>
      </c>
      <c r="C9422" s="131" t="s">
        <v>254</v>
      </c>
      <c r="D9422" s="132" t="n">
        <v>46739</v>
      </c>
      <c r="E9422" s="131" t="s">
        <v>49</v>
      </c>
      <c r="F9422" s="133" t="s">
        <v>11</v>
      </c>
      <c r="G9422" s="134" t="n">
        <f aca="false">LEN('Saisie programme'!$I$346)+SUMIFS('Vols additionnels'!$E$7:$E$66,'Vols additionnels'!$C$7:$C$66,$E9422,'Vols additionnels'!$D$7:$D$66,$F9422,'Vols additionnels'!$B$7:$B$66,$D9422)</f>
        <v>0</v>
      </c>
      <c r="H9422" s="135" t="n">
        <f aca="false">$G9422*'Analyse capacite'!$F$7</f>
        <v>0</v>
      </c>
      <c r="I9422" s="135" t="n">
        <f aca="false">$G9422*'Analyse capacite'!$C$7</f>
        <v>0</v>
      </c>
      <c r="J9422" s="135" t="n">
        <f aca="false">$G9422*'Analyse capacite'!$D$7</f>
        <v>0</v>
      </c>
      <c r="K9422" s="135" t="n">
        <f aca="false">$G9422*'Analyse capacite'!$E$7</f>
        <v>0</v>
      </c>
    </row>
    <row r="9423" customFormat="false" ht="15" hidden="false" customHeight="false" outlineLevel="0" collapsed="false">
      <c r="B9423" s="130" t="n">
        <v>2027</v>
      </c>
      <c r="C9423" s="131" t="s">
        <v>254</v>
      </c>
      <c r="D9423" s="132" t="n">
        <v>46739</v>
      </c>
      <c r="E9423" s="131" t="s">
        <v>49</v>
      </c>
      <c r="F9423" s="133" t="s">
        <v>19</v>
      </c>
      <c r="G9423" s="134" t="n">
        <f aca="false">LEN('Saisie programme'!$I$347)+SUMIFS('Vols additionnels'!$E$7:$E$66,'Vols additionnels'!$C$7:$C$66,$E9423,'Vols additionnels'!$D$7:$D$66,$F9423,'Vols additionnels'!$B$7:$B$66,$D9423)</f>
        <v>0</v>
      </c>
      <c r="H9423" s="135" t="n">
        <f aca="false">$G9423*'Analyse capacite'!$F$8</f>
        <v>0</v>
      </c>
      <c r="I9423" s="135" t="n">
        <f aca="false">$G9423*'Analyse capacite'!$C$8</f>
        <v>0</v>
      </c>
      <c r="J9423" s="135" t="n">
        <f aca="false">$G9423*'Analyse capacite'!$D$8</f>
        <v>0</v>
      </c>
      <c r="K9423" s="135" t="n">
        <f aca="false">$G9423*'Analyse capacite'!$E$8</f>
        <v>0</v>
      </c>
    </row>
    <row r="9424" customFormat="false" ht="15" hidden="false" customHeight="false" outlineLevel="0" collapsed="false">
      <c r="B9424" s="130" t="n">
        <v>2027</v>
      </c>
      <c r="C9424" s="131" t="s">
        <v>254</v>
      </c>
      <c r="D9424" s="132" t="n">
        <v>46739</v>
      </c>
      <c r="E9424" s="131" t="s">
        <v>49</v>
      </c>
      <c r="F9424" s="133" t="s">
        <v>24</v>
      </c>
      <c r="G9424" s="134" t="n">
        <f aca="false">LEN('Saisie programme'!$I$348)+SUMIFS('Vols additionnels'!$E$7:$E$66,'Vols additionnels'!$C$7:$C$66,$E9424,'Vols additionnels'!$D$7:$D$66,$F9424,'Vols additionnels'!$B$7:$B$66,$D9424)</f>
        <v>0</v>
      </c>
      <c r="H9424" s="135" t="n">
        <f aca="false">$G9424*'Analyse capacite'!$F$9</f>
        <v>0</v>
      </c>
      <c r="I9424" s="135" t="n">
        <f aca="false">$G9424*'Analyse capacite'!$C$9</f>
        <v>0</v>
      </c>
      <c r="J9424" s="135" t="n">
        <f aca="false">$G9424*'Analyse capacite'!$D$9</f>
        <v>0</v>
      </c>
      <c r="K9424" s="135" t="n">
        <f aca="false">$G9424*'Analyse capacite'!$E$9</f>
        <v>0</v>
      </c>
    </row>
    <row r="9425" customFormat="false" ht="15" hidden="false" customHeight="false" outlineLevel="0" collapsed="false">
      <c r="B9425" s="130" t="n">
        <v>2027</v>
      </c>
      <c r="C9425" s="131" t="s">
        <v>254</v>
      </c>
      <c r="D9425" s="132" t="n">
        <v>46739</v>
      </c>
      <c r="E9425" s="131" t="s">
        <v>53</v>
      </c>
      <c r="F9425" s="133" t="s">
        <v>11</v>
      </c>
      <c r="G9425" s="134" t="n">
        <f aca="false">LEN('Saisie programme'!$I$349)+SUMIFS('Vols additionnels'!$E$7:$E$66,'Vols additionnels'!$C$7:$C$66,$E9425,'Vols additionnels'!$D$7:$D$66,$F9425,'Vols additionnels'!$B$7:$B$66,$D9425)</f>
        <v>0</v>
      </c>
      <c r="H9425" s="135" t="n">
        <f aca="false">$G9425*'Analyse capacite'!$F$7</f>
        <v>0</v>
      </c>
      <c r="I9425" s="135" t="n">
        <f aca="false">$G9425*'Analyse capacite'!$C$7</f>
        <v>0</v>
      </c>
      <c r="J9425" s="135" t="n">
        <f aca="false">$G9425*'Analyse capacite'!$D$7</f>
        <v>0</v>
      </c>
      <c r="K9425" s="135" t="n">
        <f aca="false">$G9425*'Analyse capacite'!$E$7</f>
        <v>0</v>
      </c>
    </row>
    <row r="9426" customFormat="false" ht="15" hidden="false" customHeight="false" outlineLevel="0" collapsed="false">
      <c r="B9426" s="130" t="n">
        <v>2027</v>
      </c>
      <c r="C9426" s="131" t="s">
        <v>254</v>
      </c>
      <c r="D9426" s="132" t="n">
        <v>46739</v>
      </c>
      <c r="E9426" s="131" t="s">
        <v>53</v>
      </c>
      <c r="F9426" s="133" t="s">
        <v>19</v>
      </c>
      <c r="G9426" s="134" t="n">
        <f aca="false">LEN('Saisie programme'!$I$350)+SUMIFS('Vols additionnels'!$E$7:$E$66,'Vols additionnels'!$C$7:$C$66,$E9426,'Vols additionnels'!$D$7:$D$66,$F9426,'Vols additionnels'!$B$7:$B$66,$D9426)</f>
        <v>0</v>
      </c>
      <c r="H9426" s="135" t="n">
        <f aca="false">$G9426*'Analyse capacite'!$F$8</f>
        <v>0</v>
      </c>
      <c r="I9426" s="135" t="n">
        <f aca="false">$G9426*'Analyse capacite'!$C$8</f>
        <v>0</v>
      </c>
      <c r="J9426" s="135" t="n">
        <f aca="false">$G9426*'Analyse capacite'!$D$8</f>
        <v>0</v>
      </c>
      <c r="K9426" s="135" t="n">
        <f aca="false">$G9426*'Analyse capacite'!$E$8</f>
        <v>0</v>
      </c>
    </row>
    <row r="9427" customFormat="false" ht="15" hidden="false" customHeight="false" outlineLevel="0" collapsed="false">
      <c r="B9427" s="130" t="n">
        <v>2027</v>
      </c>
      <c r="C9427" s="131" t="s">
        <v>254</v>
      </c>
      <c r="D9427" s="132" t="n">
        <v>46739</v>
      </c>
      <c r="E9427" s="131" t="s">
        <v>53</v>
      </c>
      <c r="F9427" s="133" t="s">
        <v>24</v>
      </c>
      <c r="G9427" s="134" t="n">
        <f aca="false">LEN('Saisie programme'!$I$351)+SUMIFS('Vols additionnels'!$E$7:$E$66,'Vols additionnels'!$C$7:$C$66,$E9427,'Vols additionnels'!$D$7:$D$66,$F9427,'Vols additionnels'!$B$7:$B$66,$D9427)</f>
        <v>0</v>
      </c>
      <c r="H9427" s="135" t="n">
        <f aca="false">$G9427*'Analyse capacite'!$F$9</f>
        <v>0</v>
      </c>
      <c r="I9427" s="135" t="n">
        <f aca="false">$G9427*'Analyse capacite'!$C$9</f>
        <v>0</v>
      </c>
      <c r="J9427" s="135" t="n">
        <f aca="false">$G9427*'Analyse capacite'!$D$9</f>
        <v>0</v>
      </c>
      <c r="K9427" s="135" t="n">
        <f aca="false">$G9427*'Analyse capacite'!$E$9</f>
        <v>0</v>
      </c>
    </row>
    <row r="9428" customFormat="false" ht="15" hidden="false" customHeight="false" outlineLevel="0" collapsed="false">
      <c r="B9428" s="130" t="n">
        <v>2027</v>
      </c>
      <c r="C9428" s="131" t="s">
        <v>254</v>
      </c>
      <c r="D9428" s="132" t="n">
        <v>46739</v>
      </c>
      <c r="E9428" s="131" t="s">
        <v>56</v>
      </c>
      <c r="F9428" s="133" t="s">
        <v>11</v>
      </c>
      <c r="G9428" s="134" t="n">
        <f aca="false">LEN('Saisie programme'!$I$352)+SUMIFS('Vols additionnels'!$E$7:$E$66,'Vols additionnels'!$C$7:$C$66,$E9428,'Vols additionnels'!$D$7:$D$66,$F9428,'Vols additionnels'!$B$7:$B$66,$D9428)</f>
        <v>0</v>
      </c>
      <c r="H9428" s="135" t="n">
        <f aca="false">$G9428*'Analyse capacite'!$F$7</f>
        <v>0</v>
      </c>
      <c r="I9428" s="135" t="n">
        <f aca="false">$G9428*'Analyse capacite'!$C$7</f>
        <v>0</v>
      </c>
      <c r="J9428" s="135" t="n">
        <f aca="false">$G9428*'Analyse capacite'!$D$7</f>
        <v>0</v>
      </c>
      <c r="K9428" s="135" t="n">
        <f aca="false">$G9428*'Analyse capacite'!$E$7</f>
        <v>0</v>
      </c>
    </row>
    <row r="9429" customFormat="false" ht="15" hidden="false" customHeight="false" outlineLevel="0" collapsed="false">
      <c r="B9429" s="130" t="n">
        <v>2027</v>
      </c>
      <c r="C9429" s="131" t="s">
        <v>254</v>
      </c>
      <c r="D9429" s="132" t="n">
        <v>46739</v>
      </c>
      <c r="E9429" s="131" t="s">
        <v>56</v>
      </c>
      <c r="F9429" s="133" t="s">
        <v>19</v>
      </c>
      <c r="G9429" s="134" t="n">
        <f aca="false">LEN('Saisie programme'!$I$353)+SUMIFS('Vols additionnels'!$E$7:$E$66,'Vols additionnels'!$C$7:$C$66,$E9429,'Vols additionnels'!$D$7:$D$66,$F9429,'Vols additionnels'!$B$7:$B$66,$D9429)</f>
        <v>0</v>
      </c>
      <c r="H9429" s="135" t="n">
        <f aca="false">$G9429*'Analyse capacite'!$F$8</f>
        <v>0</v>
      </c>
      <c r="I9429" s="135" t="n">
        <f aca="false">$G9429*'Analyse capacite'!$C$8</f>
        <v>0</v>
      </c>
      <c r="J9429" s="135" t="n">
        <f aca="false">$G9429*'Analyse capacite'!$D$8</f>
        <v>0</v>
      </c>
      <c r="K9429" s="135" t="n">
        <f aca="false">$G9429*'Analyse capacite'!$E$8</f>
        <v>0</v>
      </c>
    </row>
    <row r="9430" customFormat="false" ht="15" hidden="false" customHeight="false" outlineLevel="0" collapsed="false">
      <c r="B9430" s="130" t="n">
        <v>2027</v>
      </c>
      <c r="C9430" s="131" t="s">
        <v>254</v>
      </c>
      <c r="D9430" s="132" t="n">
        <v>46739</v>
      </c>
      <c r="E9430" s="131" t="s">
        <v>56</v>
      </c>
      <c r="F9430" s="133" t="s">
        <v>24</v>
      </c>
      <c r="G9430" s="134" t="n">
        <f aca="false">LEN('Saisie programme'!$I$354)+SUMIFS('Vols additionnels'!$E$7:$E$66,'Vols additionnels'!$C$7:$C$66,$E9430,'Vols additionnels'!$D$7:$D$66,$F9430,'Vols additionnels'!$B$7:$B$66,$D9430)</f>
        <v>1</v>
      </c>
      <c r="H9430" s="135" t="n">
        <f aca="false">$G9430*'Analyse capacite'!$F$9</f>
        <v>174</v>
      </c>
      <c r="I9430" s="135" t="n">
        <f aca="false">$G9430*'Analyse capacite'!$C$9</f>
        <v>0</v>
      </c>
      <c r="J9430" s="135" t="n">
        <f aca="false">$G9430*'Analyse capacite'!$D$9</f>
        <v>12</v>
      </c>
      <c r="K9430" s="135" t="n">
        <f aca="false">$G9430*'Analyse capacite'!$E$9</f>
        <v>162</v>
      </c>
    </row>
    <row r="9431" customFormat="false" ht="15" hidden="false" customHeight="false" outlineLevel="0" collapsed="false">
      <c r="B9431" s="130" t="n">
        <v>2027</v>
      </c>
      <c r="C9431" s="131" t="s">
        <v>254</v>
      </c>
      <c r="D9431" s="132" t="n">
        <v>46739</v>
      </c>
      <c r="E9431" s="131" t="s">
        <v>59</v>
      </c>
      <c r="F9431" s="133" t="s">
        <v>11</v>
      </c>
      <c r="G9431" s="134" t="n">
        <f aca="false">LEN('Saisie programme'!$I$355)+SUMIFS('Vols additionnels'!$E$7:$E$66,'Vols additionnels'!$C$7:$C$66,$E9431,'Vols additionnels'!$D$7:$D$66,$F9431,'Vols additionnels'!$B$7:$B$66,$D9431)</f>
        <v>0</v>
      </c>
      <c r="H9431" s="135" t="n">
        <f aca="false">$G9431*'Analyse capacite'!$F$7</f>
        <v>0</v>
      </c>
      <c r="I9431" s="135" t="n">
        <f aca="false">$G9431*'Analyse capacite'!$C$7</f>
        <v>0</v>
      </c>
      <c r="J9431" s="135" t="n">
        <f aca="false">$G9431*'Analyse capacite'!$D$7</f>
        <v>0</v>
      </c>
      <c r="K9431" s="135" t="n">
        <f aca="false">$G9431*'Analyse capacite'!$E$7</f>
        <v>0</v>
      </c>
    </row>
    <row r="9432" customFormat="false" ht="15" hidden="false" customHeight="false" outlineLevel="0" collapsed="false">
      <c r="B9432" s="130" t="n">
        <v>2027</v>
      </c>
      <c r="C9432" s="131" t="s">
        <v>254</v>
      </c>
      <c r="D9432" s="132" t="n">
        <v>46739</v>
      </c>
      <c r="E9432" s="131" t="s">
        <v>59</v>
      </c>
      <c r="F9432" s="133" t="s">
        <v>19</v>
      </c>
      <c r="G9432" s="134" t="n">
        <f aca="false">LEN('Saisie programme'!$I$356)+SUMIFS('Vols additionnels'!$E$7:$E$66,'Vols additionnels'!$C$7:$C$66,$E9432,'Vols additionnels'!$D$7:$D$66,$F9432,'Vols additionnels'!$B$7:$B$66,$D9432)</f>
        <v>0</v>
      </c>
      <c r="H9432" s="135" t="n">
        <f aca="false">$G9432*'Analyse capacite'!$F$8</f>
        <v>0</v>
      </c>
      <c r="I9432" s="135" t="n">
        <f aca="false">$G9432*'Analyse capacite'!$C$8</f>
        <v>0</v>
      </c>
      <c r="J9432" s="135" t="n">
        <f aca="false">$G9432*'Analyse capacite'!$D$8</f>
        <v>0</v>
      </c>
      <c r="K9432" s="135" t="n">
        <f aca="false">$G9432*'Analyse capacite'!$E$8</f>
        <v>0</v>
      </c>
    </row>
    <row r="9433" customFormat="false" ht="15" hidden="false" customHeight="false" outlineLevel="0" collapsed="false">
      <c r="B9433" s="130" t="n">
        <v>2027</v>
      </c>
      <c r="C9433" s="131" t="s">
        <v>254</v>
      </c>
      <c r="D9433" s="132" t="n">
        <v>46739</v>
      </c>
      <c r="E9433" s="131" t="s">
        <v>59</v>
      </c>
      <c r="F9433" s="133" t="s">
        <v>24</v>
      </c>
      <c r="G9433" s="134" t="n">
        <f aca="false">LEN('Saisie programme'!$I$357)+SUMIFS('Vols additionnels'!$E$7:$E$66,'Vols additionnels'!$C$7:$C$66,$E9433,'Vols additionnels'!$D$7:$D$66,$F9433,'Vols additionnels'!$B$7:$B$66,$D9433)</f>
        <v>1</v>
      </c>
      <c r="H9433" s="135" t="n">
        <f aca="false">$G9433*'Analyse capacite'!$F$9</f>
        <v>174</v>
      </c>
      <c r="I9433" s="135" t="n">
        <f aca="false">$G9433*'Analyse capacite'!$C$9</f>
        <v>0</v>
      </c>
      <c r="J9433" s="135" t="n">
        <f aca="false">$G9433*'Analyse capacite'!$D$9</f>
        <v>12</v>
      </c>
      <c r="K9433" s="135" t="n">
        <f aca="false">$G9433*'Analyse capacite'!$E$9</f>
        <v>162</v>
      </c>
    </row>
    <row r="9434" customFormat="false" ht="15" hidden="false" customHeight="false" outlineLevel="0" collapsed="false">
      <c r="B9434" s="130" t="n">
        <v>2027</v>
      </c>
      <c r="C9434" s="131" t="s">
        <v>254</v>
      </c>
      <c r="D9434" s="132" t="n">
        <v>46739</v>
      </c>
      <c r="E9434" s="131" t="s">
        <v>62</v>
      </c>
      <c r="F9434" s="133" t="s">
        <v>11</v>
      </c>
      <c r="G9434" s="134" t="n">
        <f aca="false">LEN('Saisie programme'!$I$358)+SUMIFS('Vols additionnels'!$E$7:$E$66,'Vols additionnels'!$C$7:$C$66,$E9434,'Vols additionnels'!$D$7:$D$66,$F9434,'Vols additionnels'!$B$7:$B$66,$D9434)</f>
        <v>0</v>
      </c>
      <c r="H9434" s="135" t="n">
        <f aca="false">$G9434*'Analyse capacite'!$F$7</f>
        <v>0</v>
      </c>
      <c r="I9434" s="135" t="n">
        <f aca="false">$G9434*'Analyse capacite'!$C$7</f>
        <v>0</v>
      </c>
      <c r="J9434" s="135" t="n">
        <f aca="false">$G9434*'Analyse capacite'!$D$7</f>
        <v>0</v>
      </c>
      <c r="K9434" s="135" t="n">
        <f aca="false">$G9434*'Analyse capacite'!$E$7</f>
        <v>0</v>
      </c>
    </row>
    <row r="9435" customFormat="false" ht="15" hidden="false" customHeight="false" outlineLevel="0" collapsed="false">
      <c r="B9435" s="130" t="n">
        <v>2027</v>
      </c>
      <c r="C9435" s="131" t="s">
        <v>254</v>
      </c>
      <c r="D9435" s="132" t="n">
        <v>46739</v>
      </c>
      <c r="E9435" s="131" t="s">
        <v>62</v>
      </c>
      <c r="F9435" s="133" t="s">
        <v>19</v>
      </c>
      <c r="G9435" s="134" t="n">
        <f aca="false">LEN('Saisie programme'!$I$359)+SUMIFS('Vols additionnels'!$E$7:$E$66,'Vols additionnels'!$C$7:$C$66,$E9435,'Vols additionnels'!$D$7:$D$66,$F9435,'Vols additionnels'!$B$7:$B$66,$D9435)</f>
        <v>0</v>
      </c>
      <c r="H9435" s="135" t="n">
        <f aca="false">$G9435*'Analyse capacite'!$F$8</f>
        <v>0</v>
      </c>
      <c r="I9435" s="135" t="n">
        <f aca="false">$G9435*'Analyse capacite'!$C$8</f>
        <v>0</v>
      </c>
      <c r="J9435" s="135" t="n">
        <f aca="false">$G9435*'Analyse capacite'!$D$8</f>
        <v>0</v>
      </c>
      <c r="K9435" s="135" t="n">
        <f aca="false">$G9435*'Analyse capacite'!$E$8</f>
        <v>0</v>
      </c>
    </row>
    <row r="9436" customFormat="false" ht="15" hidden="false" customHeight="false" outlineLevel="0" collapsed="false">
      <c r="B9436" s="130" t="n">
        <v>2027</v>
      </c>
      <c r="C9436" s="131" t="s">
        <v>254</v>
      </c>
      <c r="D9436" s="132" t="n">
        <v>46739</v>
      </c>
      <c r="E9436" s="131" t="s">
        <v>62</v>
      </c>
      <c r="F9436" s="133" t="s">
        <v>24</v>
      </c>
      <c r="G9436" s="134" t="n">
        <f aca="false">LEN('Saisie programme'!$I$360)+SUMIFS('Vols additionnels'!$E$7:$E$66,'Vols additionnels'!$C$7:$C$66,$E9436,'Vols additionnels'!$D$7:$D$66,$F9436,'Vols additionnels'!$B$7:$B$66,$D9436)</f>
        <v>0</v>
      </c>
      <c r="H9436" s="135" t="n">
        <f aca="false">$G9436*'Analyse capacite'!$F$9</f>
        <v>0</v>
      </c>
      <c r="I9436" s="135" t="n">
        <f aca="false">$G9436*'Analyse capacite'!$C$9</f>
        <v>0</v>
      </c>
      <c r="J9436" s="135" t="n">
        <f aca="false">$G9436*'Analyse capacite'!$D$9</f>
        <v>0</v>
      </c>
      <c r="K9436" s="135" t="n">
        <f aca="false">$G9436*'Analyse capacite'!$E$9</f>
        <v>0</v>
      </c>
    </row>
    <row r="9437" customFormat="false" ht="15" hidden="false" customHeight="false" outlineLevel="0" collapsed="false">
      <c r="B9437" s="130" t="n">
        <v>2027</v>
      </c>
      <c r="C9437" s="131" t="s">
        <v>254</v>
      </c>
      <c r="D9437" s="132" t="n">
        <v>46740</v>
      </c>
      <c r="E9437" s="131" t="s">
        <v>12</v>
      </c>
      <c r="F9437" s="133" t="s">
        <v>11</v>
      </c>
      <c r="G9437" s="134" t="n">
        <f aca="false">LEN('Saisie programme'!$J$325)+SUMIFS('Vols additionnels'!$E$7:$E$66,'Vols additionnels'!$C$7:$C$66,$E9437,'Vols additionnels'!$D$7:$D$66,$F9437,'Vols additionnels'!$B$7:$B$66,$D9437)</f>
        <v>1</v>
      </c>
      <c r="H9437" s="135" t="n">
        <f aca="false">$G9437*'Analyse capacite'!$F$7</f>
        <v>438</v>
      </c>
      <c r="I9437" s="135" t="n">
        <f aca="false">$G9437*'Analyse capacite'!$C$7</f>
        <v>14</v>
      </c>
      <c r="J9437" s="135" t="n">
        <f aca="false">$G9437*'Analyse capacite'!$D$7</f>
        <v>40</v>
      </c>
      <c r="K9437" s="135" t="n">
        <f aca="false">$G9437*'Analyse capacite'!$E$7</f>
        <v>384</v>
      </c>
    </row>
    <row r="9438" customFormat="false" ht="15" hidden="false" customHeight="false" outlineLevel="0" collapsed="false">
      <c r="B9438" s="130" t="n">
        <v>2027</v>
      </c>
      <c r="C9438" s="131" t="s">
        <v>254</v>
      </c>
      <c r="D9438" s="132" t="n">
        <v>46740</v>
      </c>
      <c r="E9438" s="131" t="s">
        <v>12</v>
      </c>
      <c r="F9438" s="133" t="s">
        <v>19</v>
      </c>
      <c r="G9438" s="134" t="n">
        <f aca="false">LEN('Saisie programme'!$J$326)+SUMIFS('Vols additionnels'!$E$7:$E$66,'Vols additionnels'!$C$7:$C$66,$E9438,'Vols additionnels'!$D$7:$D$66,$F9438,'Vols additionnels'!$B$7:$B$66,$D9438)</f>
        <v>0</v>
      </c>
      <c r="H9438" s="135" t="n">
        <f aca="false">$G9438*'Analyse capacite'!$F$8</f>
        <v>0</v>
      </c>
      <c r="I9438" s="135" t="n">
        <f aca="false">$G9438*'Analyse capacite'!$C$8</f>
        <v>0</v>
      </c>
      <c r="J9438" s="135" t="n">
        <f aca="false">$G9438*'Analyse capacite'!$D$8</f>
        <v>0</v>
      </c>
      <c r="K9438" s="135" t="n">
        <f aca="false">$G9438*'Analyse capacite'!$E$8</f>
        <v>0</v>
      </c>
    </row>
    <row r="9439" customFormat="false" ht="15" hidden="false" customHeight="false" outlineLevel="0" collapsed="false">
      <c r="B9439" s="130" t="n">
        <v>2027</v>
      </c>
      <c r="C9439" s="131" t="s">
        <v>254</v>
      </c>
      <c r="D9439" s="132" t="n">
        <v>46740</v>
      </c>
      <c r="E9439" s="131" t="s">
        <v>12</v>
      </c>
      <c r="F9439" s="133" t="s">
        <v>24</v>
      </c>
      <c r="G9439" s="134" t="n">
        <f aca="false">LEN('Saisie programme'!$J$327)+SUMIFS('Vols additionnels'!$E$7:$E$66,'Vols additionnels'!$C$7:$C$66,$E9439,'Vols additionnels'!$D$7:$D$66,$F9439,'Vols additionnels'!$B$7:$B$66,$D9439)</f>
        <v>0</v>
      </c>
      <c r="H9439" s="135" t="n">
        <f aca="false">$G9439*'Analyse capacite'!$F$9</f>
        <v>0</v>
      </c>
      <c r="I9439" s="135" t="n">
        <f aca="false">$G9439*'Analyse capacite'!$C$9</f>
        <v>0</v>
      </c>
      <c r="J9439" s="135" t="n">
        <f aca="false">$G9439*'Analyse capacite'!$D$9</f>
        <v>0</v>
      </c>
      <c r="K9439" s="135" t="n">
        <f aca="false">$G9439*'Analyse capacite'!$E$9</f>
        <v>0</v>
      </c>
    </row>
    <row r="9440" customFormat="false" ht="15" hidden="false" customHeight="false" outlineLevel="0" collapsed="false">
      <c r="B9440" s="130" t="n">
        <v>2027</v>
      </c>
      <c r="C9440" s="131" t="s">
        <v>254</v>
      </c>
      <c r="D9440" s="132" t="n">
        <v>46740</v>
      </c>
      <c r="E9440" s="131" t="s">
        <v>20</v>
      </c>
      <c r="F9440" s="133" t="s">
        <v>11</v>
      </c>
      <c r="G9440" s="134" t="n">
        <f aca="false">LEN('Saisie programme'!$J$328)+SUMIFS('Vols additionnels'!$E$7:$E$66,'Vols additionnels'!$C$7:$C$66,$E9440,'Vols additionnels'!$D$7:$D$66,$F9440,'Vols additionnels'!$B$7:$B$66,$D9440)</f>
        <v>1</v>
      </c>
      <c r="H9440" s="135" t="n">
        <f aca="false">$G9440*'Analyse capacite'!$F$7</f>
        <v>438</v>
      </c>
      <c r="I9440" s="135" t="n">
        <f aca="false">$G9440*'Analyse capacite'!$C$7</f>
        <v>14</v>
      </c>
      <c r="J9440" s="135" t="n">
        <f aca="false">$G9440*'Analyse capacite'!$D$7</f>
        <v>40</v>
      </c>
      <c r="K9440" s="135" t="n">
        <f aca="false">$G9440*'Analyse capacite'!$E$7</f>
        <v>384</v>
      </c>
    </row>
    <row r="9441" customFormat="false" ht="15" hidden="false" customHeight="false" outlineLevel="0" collapsed="false">
      <c r="B9441" s="130" t="n">
        <v>2027</v>
      </c>
      <c r="C9441" s="131" t="s">
        <v>254</v>
      </c>
      <c r="D9441" s="132" t="n">
        <v>46740</v>
      </c>
      <c r="E9441" s="131" t="s">
        <v>20</v>
      </c>
      <c r="F9441" s="133" t="s">
        <v>19</v>
      </c>
      <c r="G9441" s="134" t="n">
        <f aca="false">LEN('Saisie programme'!$J$329)+SUMIFS('Vols additionnels'!$E$7:$E$66,'Vols additionnels'!$C$7:$C$66,$E9441,'Vols additionnels'!$D$7:$D$66,$F9441,'Vols additionnels'!$B$7:$B$66,$D9441)</f>
        <v>0</v>
      </c>
      <c r="H9441" s="135" t="n">
        <f aca="false">$G9441*'Analyse capacite'!$F$8</f>
        <v>0</v>
      </c>
      <c r="I9441" s="135" t="n">
        <f aca="false">$G9441*'Analyse capacite'!$C$8</f>
        <v>0</v>
      </c>
      <c r="J9441" s="135" t="n">
        <f aca="false">$G9441*'Analyse capacite'!$D$8</f>
        <v>0</v>
      </c>
      <c r="K9441" s="135" t="n">
        <f aca="false">$G9441*'Analyse capacite'!$E$8</f>
        <v>0</v>
      </c>
    </row>
    <row r="9442" customFormat="false" ht="15" hidden="false" customHeight="false" outlineLevel="0" collapsed="false">
      <c r="B9442" s="130" t="n">
        <v>2027</v>
      </c>
      <c r="C9442" s="131" t="s">
        <v>254</v>
      </c>
      <c r="D9442" s="132" t="n">
        <v>46740</v>
      </c>
      <c r="E9442" s="131" t="s">
        <v>20</v>
      </c>
      <c r="F9442" s="133" t="s">
        <v>24</v>
      </c>
      <c r="G9442" s="134" t="n">
        <f aca="false">LEN('Saisie programme'!$J$330)+SUMIFS('Vols additionnels'!$E$7:$E$66,'Vols additionnels'!$C$7:$C$66,$E9442,'Vols additionnels'!$D$7:$D$66,$F9442,'Vols additionnels'!$B$7:$B$66,$D9442)</f>
        <v>0</v>
      </c>
      <c r="H9442" s="135" t="n">
        <f aca="false">$G9442*'Analyse capacite'!$F$9</f>
        <v>0</v>
      </c>
      <c r="I9442" s="135" t="n">
        <f aca="false">$G9442*'Analyse capacite'!$C$9</f>
        <v>0</v>
      </c>
      <c r="J9442" s="135" t="n">
        <f aca="false">$G9442*'Analyse capacite'!$D$9</f>
        <v>0</v>
      </c>
      <c r="K9442" s="135" t="n">
        <f aca="false">$G9442*'Analyse capacite'!$E$9</f>
        <v>0</v>
      </c>
    </row>
    <row r="9443" customFormat="false" ht="15" hidden="false" customHeight="false" outlineLevel="0" collapsed="false">
      <c r="B9443" s="130" t="n">
        <v>2027</v>
      </c>
      <c r="C9443" s="131" t="s">
        <v>254</v>
      </c>
      <c r="D9443" s="132" t="n">
        <v>46740</v>
      </c>
      <c r="E9443" s="131" t="s">
        <v>25</v>
      </c>
      <c r="F9443" s="133" t="s">
        <v>11</v>
      </c>
      <c r="G9443" s="134" t="n">
        <f aca="false">LEN('Saisie programme'!$J$331)+SUMIFS('Vols additionnels'!$E$7:$E$66,'Vols additionnels'!$C$7:$C$66,$E9443,'Vols additionnels'!$D$7:$D$66,$F9443,'Vols additionnels'!$B$7:$B$66,$D9443)</f>
        <v>0</v>
      </c>
      <c r="H9443" s="135" t="n">
        <f aca="false">$G9443*'Analyse capacite'!$F$7</f>
        <v>0</v>
      </c>
      <c r="I9443" s="135" t="n">
        <f aca="false">$G9443*'Analyse capacite'!$C$7</f>
        <v>0</v>
      </c>
      <c r="J9443" s="135" t="n">
        <f aca="false">$G9443*'Analyse capacite'!$D$7</f>
        <v>0</v>
      </c>
      <c r="K9443" s="135" t="n">
        <f aca="false">$G9443*'Analyse capacite'!$E$7</f>
        <v>0</v>
      </c>
    </row>
    <row r="9444" customFormat="false" ht="15" hidden="false" customHeight="false" outlineLevel="0" collapsed="false">
      <c r="B9444" s="130" t="n">
        <v>2027</v>
      </c>
      <c r="C9444" s="131" t="s">
        <v>254</v>
      </c>
      <c r="D9444" s="132" t="n">
        <v>46740</v>
      </c>
      <c r="E9444" s="131" t="s">
        <v>25</v>
      </c>
      <c r="F9444" s="133" t="s">
        <v>19</v>
      </c>
      <c r="G9444" s="134" t="n">
        <f aca="false">LEN('Saisie programme'!$J$332)+SUMIFS('Vols additionnels'!$E$7:$E$66,'Vols additionnels'!$C$7:$C$66,$E9444,'Vols additionnels'!$D$7:$D$66,$F9444,'Vols additionnels'!$B$7:$B$66,$D9444)</f>
        <v>0</v>
      </c>
      <c r="H9444" s="135" t="n">
        <f aca="false">$G9444*'Analyse capacite'!$F$8</f>
        <v>0</v>
      </c>
      <c r="I9444" s="135" t="n">
        <f aca="false">$G9444*'Analyse capacite'!$C$8</f>
        <v>0</v>
      </c>
      <c r="J9444" s="135" t="n">
        <f aca="false">$G9444*'Analyse capacite'!$D$8</f>
        <v>0</v>
      </c>
      <c r="K9444" s="135" t="n">
        <f aca="false">$G9444*'Analyse capacite'!$E$8</f>
        <v>0</v>
      </c>
    </row>
    <row r="9445" customFormat="false" ht="15" hidden="false" customHeight="false" outlineLevel="0" collapsed="false">
      <c r="B9445" s="130" t="n">
        <v>2027</v>
      </c>
      <c r="C9445" s="131" t="s">
        <v>254</v>
      </c>
      <c r="D9445" s="132" t="n">
        <v>46740</v>
      </c>
      <c r="E9445" s="131" t="s">
        <v>25</v>
      </c>
      <c r="F9445" s="133" t="s">
        <v>24</v>
      </c>
      <c r="G9445" s="134" t="n">
        <f aca="false">LEN('Saisie programme'!$J$333)+SUMIFS('Vols additionnels'!$E$7:$E$66,'Vols additionnels'!$C$7:$C$66,$E9445,'Vols additionnels'!$D$7:$D$66,$F9445,'Vols additionnels'!$B$7:$B$66,$D9445)</f>
        <v>0</v>
      </c>
      <c r="H9445" s="135" t="n">
        <f aca="false">$G9445*'Analyse capacite'!$F$9</f>
        <v>0</v>
      </c>
      <c r="I9445" s="135" t="n">
        <f aca="false">$G9445*'Analyse capacite'!$C$9</f>
        <v>0</v>
      </c>
      <c r="J9445" s="135" t="n">
        <f aca="false">$G9445*'Analyse capacite'!$D$9</f>
        <v>0</v>
      </c>
      <c r="K9445" s="135" t="n">
        <f aca="false">$G9445*'Analyse capacite'!$E$9</f>
        <v>0</v>
      </c>
    </row>
    <row r="9446" customFormat="false" ht="15" hidden="false" customHeight="false" outlineLevel="0" collapsed="false">
      <c r="B9446" s="130" t="n">
        <v>2027</v>
      </c>
      <c r="C9446" s="131" t="s">
        <v>254</v>
      </c>
      <c r="D9446" s="132" t="n">
        <v>46740</v>
      </c>
      <c r="E9446" s="131" t="s">
        <v>36</v>
      </c>
      <c r="F9446" s="133" t="s">
        <v>11</v>
      </c>
      <c r="G9446" s="134" t="n">
        <f aca="false">LEN('Saisie programme'!$J$334)+SUMIFS('Vols additionnels'!$E$7:$E$66,'Vols additionnels'!$C$7:$C$66,$E9446,'Vols additionnels'!$D$7:$D$66,$F9446,'Vols additionnels'!$B$7:$B$66,$D9446)</f>
        <v>0</v>
      </c>
      <c r="H9446" s="135" t="n">
        <f aca="false">$G9446*'Analyse capacite'!$F$7</f>
        <v>0</v>
      </c>
      <c r="I9446" s="135" t="n">
        <f aca="false">$G9446*'Analyse capacite'!$C$7</f>
        <v>0</v>
      </c>
      <c r="J9446" s="135" t="n">
        <f aca="false">$G9446*'Analyse capacite'!$D$7</f>
        <v>0</v>
      </c>
      <c r="K9446" s="135" t="n">
        <f aca="false">$G9446*'Analyse capacite'!$E$7</f>
        <v>0</v>
      </c>
    </row>
    <row r="9447" customFormat="false" ht="15" hidden="false" customHeight="false" outlineLevel="0" collapsed="false">
      <c r="B9447" s="130" t="n">
        <v>2027</v>
      </c>
      <c r="C9447" s="131" t="s">
        <v>254</v>
      </c>
      <c r="D9447" s="132" t="n">
        <v>46740</v>
      </c>
      <c r="E9447" s="131" t="s">
        <v>36</v>
      </c>
      <c r="F9447" s="133" t="s">
        <v>19</v>
      </c>
      <c r="G9447" s="134" t="n">
        <f aca="false">LEN('Saisie programme'!$J$335)+SUMIFS('Vols additionnels'!$E$7:$E$66,'Vols additionnels'!$C$7:$C$66,$E9447,'Vols additionnels'!$D$7:$D$66,$F9447,'Vols additionnels'!$B$7:$B$66,$D9447)</f>
        <v>0</v>
      </c>
      <c r="H9447" s="135" t="n">
        <f aca="false">$G9447*'Analyse capacite'!$F$8</f>
        <v>0</v>
      </c>
      <c r="I9447" s="135" t="n">
        <f aca="false">$G9447*'Analyse capacite'!$C$8</f>
        <v>0</v>
      </c>
      <c r="J9447" s="135" t="n">
        <f aca="false">$G9447*'Analyse capacite'!$D$8</f>
        <v>0</v>
      </c>
      <c r="K9447" s="135" t="n">
        <f aca="false">$G9447*'Analyse capacite'!$E$8</f>
        <v>0</v>
      </c>
    </row>
    <row r="9448" customFormat="false" ht="15" hidden="false" customHeight="false" outlineLevel="0" collapsed="false">
      <c r="B9448" s="130" t="n">
        <v>2027</v>
      </c>
      <c r="C9448" s="131" t="s">
        <v>254</v>
      </c>
      <c r="D9448" s="132" t="n">
        <v>46740</v>
      </c>
      <c r="E9448" s="131" t="s">
        <v>36</v>
      </c>
      <c r="F9448" s="133" t="s">
        <v>24</v>
      </c>
      <c r="G9448" s="134" t="n">
        <f aca="false">LEN('Saisie programme'!$J$336)+SUMIFS('Vols additionnels'!$E$7:$E$66,'Vols additionnels'!$C$7:$C$66,$E9448,'Vols additionnels'!$D$7:$D$66,$F9448,'Vols additionnels'!$B$7:$B$66,$D9448)</f>
        <v>0</v>
      </c>
      <c r="H9448" s="135" t="n">
        <f aca="false">$G9448*'Analyse capacite'!$F$9</f>
        <v>0</v>
      </c>
      <c r="I9448" s="135" t="n">
        <f aca="false">$G9448*'Analyse capacite'!$C$9</f>
        <v>0</v>
      </c>
      <c r="J9448" s="135" t="n">
        <f aca="false">$G9448*'Analyse capacite'!$D$9</f>
        <v>0</v>
      </c>
      <c r="K9448" s="135" t="n">
        <f aca="false">$G9448*'Analyse capacite'!$E$9</f>
        <v>0</v>
      </c>
    </row>
    <row r="9449" customFormat="false" ht="15" hidden="false" customHeight="false" outlineLevel="0" collapsed="false">
      <c r="B9449" s="130" t="n">
        <v>2027</v>
      </c>
      <c r="C9449" s="131" t="s">
        <v>254</v>
      </c>
      <c r="D9449" s="132" t="n">
        <v>46740</v>
      </c>
      <c r="E9449" s="131" t="s">
        <v>40</v>
      </c>
      <c r="F9449" s="133" t="s">
        <v>11</v>
      </c>
      <c r="G9449" s="134" t="n">
        <f aca="false">LEN('Saisie programme'!$J$337)+SUMIFS('Vols additionnels'!$E$7:$E$66,'Vols additionnels'!$C$7:$C$66,$E9449,'Vols additionnels'!$D$7:$D$66,$F9449,'Vols additionnels'!$B$7:$B$66,$D9449)</f>
        <v>0</v>
      </c>
      <c r="H9449" s="135" t="n">
        <f aca="false">$G9449*'Analyse capacite'!$F$7</f>
        <v>0</v>
      </c>
      <c r="I9449" s="135" t="n">
        <f aca="false">$G9449*'Analyse capacite'!$C$7</f>
        <v>0</v>
      </c>
      <c r="J9449" s="135" t="n">
        <f aca="false">$G9449*'Analyse capacite'!$D$7</f>
        <v>0</v>
      </c>
      <c r="K9449" s="135" t="n">
        <f aca="false">$G9449*'Analyse capacite'!$E$7</f>
        <v>0</v>
      </c>
    </row>
    <row r="9450" customFormat="false" ht="15" hidden="false" customHeight="false" outlineLevel="0" collapsed="false">
      <c r="B9450" s="130" t="n">
        <v>2027</v>
      </c>
      <c r="C9450" s="131" t="s">
        <v>254</v>
      </c>
      <c r="D9450" s="132" t="n">
        <v>46740</v>
      </c>
      <c r="E9450" s="131" t="s">
        <v>40</v>
      </c>
      <c r="F9450" s="133" t="s">
        <v>19</v>
      </c>
      <c r="G9450" s="134" t="n">
        <f aca="false">LEN('Saisie programme'!$J$338)+SUMIFS('Vols additionnels'!$E$7:$E$66,'Vols additionnels'!$C$7:$C$66,$E9450,'Vols additionnels'!$D$7:$D$66,$F9450,'Vols additionnels'!$B$7:$B$66,$D9450)</f>
        <v>0</v>
      </c>
      <c r="H9450" s="135" t="n">
        <f aca="false">$G9450*'Analyse capacite'!$F$8</f>
        <v>0</v>
      </c>
      <c r="I9450" s="135" t="n">
        <f aca="false">$G9450*'Analyse capacite'!$C$8</f>
        <v>0</v>
      </c>
      <c r="J9450" s="135" t="n">
        <f aca="false">$G9450*'Analyse capacite'!$D$8</f>
        <v>0</v>
      </c>
      <c r="K9450" s="135" t="n">
        <f aca="false">$G9450*'Analyse capacite'!$E$8</f>
        <v>0</v>
      </c>
    </row>
    <row r="9451" customFormat="false" ht="15" hidden="false" customHeight="false" outlineLevel="0" collapsed="false">
      <c r="B9451" s="130" t="n">
        <v>2027</v>
      </c>
      <c r="C9451" s="131" t="s">
        <v>254</v>
      </c>
      <c r="D9451" s="132" t="n">
        <v>46740</v>
      </c>
      <c r="E9451" s="131" t="s">
        <v>40</v>
      </c>
      <c r="F9451" s="133" t="s">
        <v>24</v>
      </c>
      <c r="G9451" s="134" t="n">
        <f aca="false">LEN('Saisie programme'!$J$339)+SUMIFS('Vols additionnels'!$E$7:$E$66,'Vols additionnels'!$C$7:$C$66,$E9451,'Vols additionnels'!$D$7:$D$66,$F9451,'Vols additionnels'!$B$7:$B$66,$D9451)</f>
        <v>1</v>
      </c>
      <c r="H9451" s="135" t="n">
        <f aca="false">$G9451*'Analyse capacite'!$F$9</f>
        <v>174</v>
      </c>
      <c r="I9451" s="135" t="n">
        <f aca="false">$G9451*'Analyse capacite'!$C$9</f>
        <v>0</v>
      </c>
      <c r="J9451" s="135" t="n">
        <f aca="false">$G9451*'Analyse capacite'!$D$9</f>
        <v>12</v>
      </c>
      <c r="K9451" s="135" t="n">
        <f aca="false">$G9451*'Analyse capacite'!$E$9</f>
        <v>162</v>
      </c>
    </row>
    <row r="9452" customFormat="false" ht="15" hidden="false" customHeight="false" outlineLevel="0" collapsed="false">
      <c r="B9452" s="130" t="n">
        <v>2027</v>
      </c>
      <c r="C9452" s="131" t="s">
        <v>254</v>
      </c>
      <c r="D9452" s="132" t="n">
        <v>46740</v>
      </c>
      <c r="E9452" s="131" t="s">
        <v>14</v>
      </c>
      <c r="F9452" s="133" t="s">
        <v>11</v>
      </c>
      <c r="G9452" s="134" t="n">
        <f aca="false">LEN('Saisie programme'!$J$340)+SUMIFS('Vols additionnels'!$E$7:$E$66,'Vols additionnels'!$C$7:$C$66,$E9452,'Vols additionnels'!$D$7:$D$66,$F9452,'Vols additionnels'!$B$7:$B$66,$D9452)</f>
        <v>0</v>
      </c>
      <c r="H9452" s="135" t="n">
        <f aca="false">$G9452*'Analyse capacite'!$F$7</f>
        <v>0</v>
      </c>
      <c r="I9452" s="135" t="n">
        <f aca="false">$G9452*'Analyse capacite'!$C$7</f>
        <v>0</v>
      </c>
      <c r="J9452" s="135" t="n">
        <f aca="false">$G9452*'Analyse capacite'!$D$7</f>
        <v>0</v>
      </c>
      <c r="K9452" s="135" t="n">
        <f aca="false">$G9452*'Analyse capacite'!$E$7</f>
        <v>0</v>
      </c>
    </row>
    <row r="9453" customFormat="false" ht="15" hidden="false" customHeight="false" outlineLevel="0" collapsed="false">
      <c r="B9453" s="130" t="n">
        <v>2027</v>
      </c>
      <c r="C9453" s="131" t="s">
        <v>254</v>
      </c>
      <c r="D9453" s="132" t="n">
        <v>46740</v>
      </c>
      <c r="E9453" s="131" t="s">
        <v>14</v>
      </c>
      <c r="F9453" s="133" t="s">
        <v>19</v>
      </c>
      <c r="G9453" s="134" t="n">
        <f aca="false">LEN('Saisie programme'!$J$341)+SUMIFS('Vols additionnels'!$E$7:$E$66,'Vols additionnels'!$C$7:$C$66,$E9453,'Vols additionnels'!$D$7:$D$66,$F9453,'Vols additionnels'!$B$7:$B$66,$D9453)</f>
        <v>0</v>
      </c>
      <c r="H9453" s="135" t="n">
        <f aca="false">$G9453*'Analyse capacite'!$F$8</f>
        <v>0</v>
      </c>
      <c r="I9453" s="135" t="n">
        <f aca="false">$G9453*'Analyse capacite'!$C$8</f>
        <v>0</v>
      </c>
      <c r="J9453" s="135" t="n">
        <f aca="false">$G9453*'Analyse capacite'!$D$8</f>
        <v>0</v>
      </c>
      <c r="K9453" s="135" t="n">
        <f aca="false">$G9453*'Analyse capacite'!$E$8</f>
        <v>0</v>
      </c>
    </row>
    <row r="9454" customFormat="false" ht="15" hidden="false" customHeight="false" outlineLevel="0" collapsed="false">
      <c r="B9454" s="130" t="n">
        <v>2027</v>
      </c>
      <c r="C9454" s="131" t="s">
        <v>254</v>
      </c>
      <c r="D9454" s="132" t="n">
        <v>46740</v>
      </c>
      <c r="E9454" s="131" t="s">
        <v>14</v>
      </c>
      <c r="F9454" s="133" t="s">
        <v>24</v>
      </c>
      <c r="G9454" s="134" t="n">
        <f aca="false">LEN('Saisie programme'!$J$342)+SUMIFS('Vols additionnels'!$E$7:$E$66,'Vols additionnels'!$C$7:$C$66,$E9454,'Vols additionnels'!$D$7:$D$66,$F9454,'Vols additionnels'!$B$7:$B$66,$D9454)</f>
        <v>1</v>
      </c>
      <c r="H9454" s="135" t="n">
        <f aca="false">$G9454*'Analyse capacite'!$F$9</f>
        <v>174</v>
      </c>
      <c r="I9454" s="135" t="n">
        <f aca="false">$G9454*'Analyse capacite'!$C$9</f>
        <v>0</v>
      </c>
      <c r="J9454" s="135" t="n">
        <f aca="false">$G9454*'Analyse capacite'!$D$9</f>
        <v>12</v>
      </c>
      <c r="K9454" s="135" t="n">
        <f aca="false">$G9454*'Analyse capacite'!$E$9</f>
        <v>162</v>
      </c>
    </row>
    <row r="9455" customFormat="false" ht="15" hidden="false" customHeight="false" outlineLevel="0" collapsed="false">
      <c r="B9455" s="130" t="n">
        <v>2027</v>
      </c>
      <c r="C9455" s="131" t="s">
        <v>254</v>
      </c>
      <c r="D9455" s="132" t="n">
        <v>46740</v>
      </c>
      <c r="E9455" s="131" t="s">
        <v>46</v>
      </c>
      <c r="F9455" s="133" t="s">
        <v>11</v>
      </c>
      <c r="G9455" s="134" t="n">
        <f aca="false">LEN('Saisie programme'!$J$343)+SUMIFS('Vols additionnels'!$E$7:$E$66,'Vols additionnels'!$C$7:$C$66,$E9455,'Vols additionnels'!$D$7:$D$66,$F9455,'Vols additionnels'!$B$7:$B$66,$D9455)</f>
        <v>0</v>
      </c>
      <c r="H9455" s="135" t="n">
        <f aca="false">$G9455*'Analyse capacite'!$F$7</f>
        <v>0</v>
      </c>
      <c r="I9455" s="135" t="n">
        <f aca="false">$G9455*'Analyse capacite'!$C$7</f>
        <v>0</v>
      </c>
      <c r="J9455" s="135" t="n">
        <f aca="false">$G9455*'Analyse capacite'!$D$7</f>
        <v>0</v>
      </c>
      <c r="K9455" s="135" t="n">
        <f aca="false">$G9455*'Analyse capacite'!$E$7</f>
        <v>0</v>
      </c>
    </row>
    <row r="9456" customFormat="false" ht="15" hidden="false" customHeight="false" outlineLevel="0" collapsed="false">
      <c r="B9456" s="130" t="n">
        <v>2027</v>
      </c>
      <c r="C9456" s="131" t="s">
        <v>254</v>
      </c>
      <c r="D9456" s="132" t="n">
        <v>46740</v>
      </c>
      <c r="E9456" s="131" t="s">
        <v>46</v>
      </c>
      <c r="F9456" s="133" t="s">
        <v>19</v>
      </c>
      <c r="G9456" s="134" t="n">
        <f aca="false">LEN('Saisie programme'!$J$344)+SUMIFS('Vols additionnels'!$E$7:$E$66,'Vols additionnels'!$C$7:$C$66,$E9456,'Vols additionnels'!$D$7:$D$66,$F9456,'Vols additionnels'!$B$7:$B$66,$D9456)</f>
        <v>0</v>
      </c>
      <c r="H9456" s="135" t="n">
        <f aca="false">$G9456*'Analyse capacite'!$F$8</f>
        <v>0</v>
      </c>
      <c r="I9456" s="135" t="n">
        <f aca="false">$G9456*'Analyse capacite'!$C$8</f>
        <v>0</v>
      </c>
      <c r="J9456" s="135" t="n">
        <f aca="false">$G9456*'Analyse capacite'!$D$8</f>
        <v>0</v>
      </c>
      <c r="K9456" s="135" t="n">
        <f aca="false">$G9456*'Analyse capacite'!$E$8</f>
        <v>0</v>
      </c>
    </row>
    <row r="9457" customFormat="false" ht="15" hidden="false" customHeight="false" outlineLevel="0" collapsed="false">
      <c r="B9457" s="130" t="n">
        <v>2027</v>
      </c>
      <c r="C9457" s="131" t="s">
        <v>254</v>
      </c>
      <c r="D9457" s="132" t="n">
        <v>46740</v>
      </c>
      <c r="E9457" s="131" t="s">
        <v>46</v>
      </c>
      <c r="F9457" s="133" t="s">
        <v>24</v>
      </c>
      <c r="G9457" s="134" t="n">
        <f aca="false">LEN('Saisie programme'!$J$345)+SUMIFS('Vols additionnels'!$E$7:$E$66,'Vols additionnels'!$C$7:$C$66,$E9457,'Vols additionnels'!$D$7:$D$66,$F9457,'Vols additionnels'!$B$7:$B$66,$D9457)</f>
        <v>0</v>
      </c>
      <c r="H9457" s="135" t="n">
        <f aca="false">$G9457*'Analyse capacite'!$F$9</f>
        <v>0</v>
      </c>
      <c r="I9457" s="135" t="n">
        <f aca="false">$G9457*'Analyse capacite'!$C$9</f>
        <v>0</v>
      </c>
      <c r="J9457" s="135" t="n">
        <f aca="false">$G9457*'Analyse capacite'!$D$9</f>
        <v>0</v>
      </c>
      <c r="K9457" s="135" t="n">
        <f aca="false">$G9457*'Analyse capacite'!$E$9</f>
        <v>0</v>
      </c>
    </row>
    <row r="9458" customFormat="false" ht="15" hidden="false" customHeight="false" outlineLevel="0" collapsed="false">
      <c r="B9458" s="130" t="n">
        <v>2027</v>
      </c>
      <c r="C9458" s="131" t="s">
        <v>254</v>
      </c>
      <c r="D9458" s="132" t="n">
        <v>46740</v>
      </c>
      <c r="E9458" s="131" t="s">
        <v>49</v>
      </c>
      <c r="F9458" s="133" t="s">
        <v>11</v>
      </c>
      <c r="G9458" s="134" t="n">
        <f aca="false">LEN('Saisie programme'!$J$346)+SUMIFS('Vols additionnels'!$E$7:$E$66,'Vols additionnels'!$C$7:$C$66,$E9458,'Vols additionnels'!$D$7:$D$66,$F9458,'Vols additionnels'!$B$7:$B$66,$D9458)</f>
        <v>0</v>
      </c>
      <c r="H9458" s="135" t="n">
        <f aca="false">$G9458*'Analyse capacite'!$F$7</f>
        <v>0</v>
      </c>
      <c r="I9458" s="135" t="n">
        <f aca="false">$G9458*'Analyse capacite'!$C$7</f>
        <v>0</v>
      </c>
      <c r="J9458" s="135" t="n">
        <f aca="false">$G9458*'Analyse capacite'!$D$7</f>
        <v>0</v>
      </c>
      <c r="K9458" s="135" t="n">
        <f aca="false">$G9458*'Analyse capacite'!$E$7</f>
        <v>0</v>
      </c>
    </row>
    <row r="9459" customFormat="false" ht="15" hidden="false" customHeight="false" outlineLevel="0" collapsed="false">
      <c r="B9459" s="130" t="n">
        <v>2027</v>
      </c>
      <c r="C9459" s="131" t="s">
        <v>254</v>
      </c>
      <c r="D9459" s="132" t="n">
        <v>46740</v>
      </c>
      <c r="E9459" s="131" t="s">
        <v>49</v>
      </c>
      <c r="F9459" s="133" t="s">
        <v>19</v>
      </c>
      <c r="G9459" s="134" t="n">
        <f aca="false">LEN('Saisie programme'!$J$347)+SUMIFS('Vols additionnels'!$E$7:$E$66,'Vols additionnels'!$C$7:$C$66,$E9459,'Vols additionnels'!$D$7:$D$66,$F9459,'Vols additionnels'!$B$7:$B$66,$D9459)</f>
        <v>0</v>
      </c>
      <c r="H9459" s="135" t="n">
        <f aca="false">$G9459*'Analyse capacite'!$F$8</f>
        <v>0</v>
      </c>
      <c r="I9459" s="135" t="n">
        <f aca="false">$G9459*'Analyse capacite'!$C$8</f>
        <v>0</v>
      </c>
      <c r="J9459" s="135" t="n">
        <f aca="false">$G9459*'Analyse capacite'!$D$8</f>
        <v>0</v>
      </c>
      <c r="K9459" s="135" t="n">
        <f aca="false">$G9459*'Analyse capacite'!$E$8</f>
        <v>0</v>
      </c>
    </row>
    <row r="9460" customFormat="false" ht="15" hidden="false" customHeight="false" outlineLevel="0" collapsed="false">
      <c r="B9460" s="130" t="n">
        <v>2027</v>
      </c>
      <c r="C9460" s="131" t="s">
        <v>254</v>
      </c>
      <c r="D9460" s="132" t="n">
        <v>46740</v>
      </c>
      <c r="E9460" s="131" t="s">
        <v>49</v>
      </c>
      <c r="F9460" s="133" t="s">
        <v>24</v>
      </c>
      <c r="G9460" s="134" t="n">
        <f aca="false">LEN('Saisie programme'!$J$348)+SUMIFS('Vols additionnels'!$E$7:$E$66,'Vols additionnels'!$C$7:$C$66,$E9460,'Vols additionnels'!$D$7:$D$66,$F9460,'Vols additionnels'!$B$7:$B$66,$D9460)</f>
        <v>0</v>
      </c>
      <c r="H9460" s="135" t="n">
        <f aca="false">$G9460*'Analyse capacite'!$F$9</f>
        <v>0</v>
      </c>
      <c r="I9460" s="135" t="n">
        <f aca="false">$G9460*'Analyse capacite'!$C$9</f>
        <v>0</v>
      </c>
      <c r="J9460" s="135" t="n">
        <f aca="false">$G9460*'Analyse capacite'!$D$9</f>
        <v>0</v>
      </c>
      <c r="K9460" s="135" t="n">
        <f aca="false">$G9460*'Analyse capacite'!$E$9</f>
        <v>0</v>
      </c>
    </row>
    <row r="9461" customFormat="false" ht="15" hidden="false" customHeight="false" outlineLevel="0" collapsed="false">
      <c r="B9461" s="130" t="n">
        <v>2027</v>
      </c>
      <c r="C9461" s="131" t="s">
        <v>254</v>
      </c>
      <c r="D9461" s="132" t="n">
        <v>46740</v>
      </c>
      <c r="E9461" s="131" t="s">
        <v>53</v>
      </c>
      <c r="F9461" s="133" t="s">
        <v>11</v>
      </c>
      <c r="G9461" s="134" t="n">
        <f aca="false">LEN('Saisie programme'!$J$349)+SUMIFS('Vols additionnels'!$E$7:$E$66,'Vols additionnels'!$C$7:$C$66,$E9461,'Vols additionnels'!$D$7:$D$66,$F9461,'Vols additionnels'!$B$7:$B$66,$D9461)</f>
        <v>0</v>
      </c>
      <c r="H9461" s="135" t="n">
        <f aca="false">$G9461*'Analyse capacite'!$F$7</f>
        <v>0</v>
      </c>
      <c r="I9461" s="135" t="n">
        <f aca="false">$G9461*'Analyse capacite'!$C$7</f>
        <v>0</v>
      </c>
      <c r="J9461" s="135" t="n">
        <f aca="false">$G9461*'Analyse capacite'!$D$7</f>
        <v>0</v>
      </c>
      <c r="K9461" s="135" t="n">
        <f aca="false">$G9461*'Analyse capacite'!$E$7</f>
        <v>0</v>
      </c>
    </row>
    <row r="9462" customFormat="false" ht="15" hidden="false" customHeight="false" outlineLevel="0" collapsed="false">
      <c r="B9462" s="130" t="n">
        <v>2027</v>
      </c>
      <c r="C9462" s="131" t="s">
        <v>254</v>
      </c>
      <c r="D9462" s="132" t="n">
        <v>46740</v>
      </c>
      <c r="E9462" s="131" t="s">
        <v>53</v>
      </c>
      <c r="F9462" s="133" t="s">
        <v>19</v>
      </c>
      <c r="G9462" s="134" t="n">
        <f aca="false">LEN('Saisie programme'!$J$350)+SUMIFS('Vols additionnels'!$E$7:$E$66,'Vols additionnels'!$C$7:$C$66,$E9462,'Vols additionnels'!$D$7:$D$66,$F9462,'Vols additionnels'!$B$7:$B$66,$D9462)</f>
        <v>0</v>
      </c>
      <c r="H9462" s="135" t="n">
        <f aca="false">$G9462*'Analyse capacite'!$F$8</f>
        <v>0</v>
      </c>
      <c r="I9462" s="135" t="n">
        <f aca="false">$G9462*'Analyse capacite'!$C$8</f>
        <v>0</v>
      </c>
      <c r="J9462" s="135" t="n">
        <f aca="false">$G9462*'Analyse capacite'!$D$8</f>
        <v>0</v>
      </c>
      <c r="K9462" s="135" t="n">
        <f aca="false">$G9462*'Analyse capacite'!$E$8</f>
        <v>0</v>
      </c>
    </row>
    <row r="9463" customFormat="false" ht="15" hidden="false" customHeight="false" outlineLevel="0" collapsed="false">
      <c r="B9463" s="130" t="n">
        <v>2027</v>
      </c>
      <c r="C9463" s="131" t="s">
        <v>254</v>
      </c>
      <c r="D9463" s="132" t="n">
        <v>46740</v>
      </c>
      <c r="E9463" s="131" t="s">
        <v>53</v>
      </c>
      <c r="F9463" s="133" t="s">
        <v>24</v>
      </c>
      <c r="G9463" s="134" t="n">
        <f aca="false">LEN('Saisie programme'!$J$351)+SUMIFS('Vols additionnels'!$E$7:$E$66,'Vols additionnels'!$C$7:$C$66,$E9463,'Vols additionnels'!$D$7:$D$66,$F9463,'Vols additionnels'!$B$7:$B$66,$D9463)</f>
        <v>0</v>
      </c>
      <c r="H9463" s="135" t="n">
        <f aca="false">$G9463*'Analyse capacite'!$F$9</f>
        <v>0</v>
      </c>
      <c r="I9463" s="135" t="n">
        <f aca="false">$G9463*'Analyse capacite'!$C$9</f>
        <v>0</v>
      </c>
      <c r="J9463" s="135" t="n">
        <f aca="false">$G9463*'Analyse capacite'!$D$9</f>
        <v>0</v>
      </c>
      <c r="K9463" s="135" t="n">
        <f aca="false">$G9463*'Analyse capacite'!$E$9</f>
        <v>0</v>
      </c>
    </row>
    <row r="9464" customFormat="false" ht="15" hidden="false" customHeight="false" outlineLevel="0" collapsed="false">
      <c r="B9464" s="130" t="n">
        <v>2027</v>
      </c>
      <c r="C9464" s="131" t="s">
        <v>254</v>
      </c>
      <c r="D9464" s="132" t="n">
        <v>46740</v>
      </c>
      <c r="E9464" s="131" t="s">
        <v>56</v>
      </c>
      <c r="F9464" s="133" t="s">
        <v>11</v>
      </c>
      <c r="G9464" s="134" t="n">
        <f aca="false">LEN('Saisie programme'!$J$352)+SUMIFS('Vols additionnels'!$E$7:$E$66,'Vols additionnels'!$C$7:$C$66,$E9464,'Vols additionnels'!$D$7:$D$66,$F9464,'Vols additionnels'!$B$7:$B$66,$D9464)</f>
        <v>0</v>
      </c>
      <c r="H9464" s="135" t="n">
        <f aca="false">$G9464*'Analyse capacite'!$F$7</f>
        <v>0</v>
      </c>
      <c r="I9464" s="135" t="n">
        <f aca="false">$G9464*'Analyse capacite'!$C$7</f>
        <v>0</v>
      </c>
      <c r="J9464" s="135" t="n">
        <f aca="false">$G9464*'Analyse capacite'!$D$7</f>
        <v>0</v>
      </c>
      <c r="K9464" s="135" t="n">
        <f aca="false">$G9464*'Analyse capacite'!$E$7</f>
        <v>0</v>
      </c>
    </row>
    <row r="9465" customFormat="false" ht="15" hidden="false" customHeight="false" outlineLevel="0" collapsed="false">
      <c r="B9465" s="130" t="n">
        <v>2027</v>
      </c>
      <c r="C9465" s="131" t="s">
        <v>254</v>
      </c>
      <c r="D9465" s="132" t="n">
        <v>46740</v>
      </c>
      <c r="E9465" s="131" t="s">
        <v>56</v>
      </c>
      <c r="F9465" s="133" t="s">
        <v>19</v>
      </c>
      <c r="G9465" s="134" t="n">
        <f aca="false">LEN('Saisie programme'!$J$353)+SUMIFS('Vols additionnels'!$E$7:$E$66,'Vols additionnels'!$C$7:$C$66,$E9465,'Vols additionnels'!$D$7:$D$66,$F9465,'Vols additionnels'!$B$7:$B$66,$D9465)</f>
        <v>0</v>
      </c>
      <c r="H9465" s="135" t="n">
        <f aca="false">$G9465*'Analyse capacite'!$F$8</f>
        <v>0</v>
      </c>
      <c r="I9465" s="135" t="n">
        <f aca="false">$G9465*'Analyse capacite'!$C$8</f>
        <v>0</v>
      </c>
      <c r="J9465" s="135" t="n">
        <f aca="false">$G9465*'Analyse capacite'!$D$8</f>
        <v>0</v>
      </c>
      <c r="K9465" s="135" t="n">
        <f aca="false">$G9465*'Analyse capacite'!$E$8</f>
        <v>0</v>
      </c>
    </row>
    <row r="9466" customFormat="false" ht="15" hidden="false" customHeight="false" outlineLevel="0" collapsed="false">
      <c r="B9466" s="130" t="n">
        <v>2027</v>
      </c>
      <c r="C9466" s="131" t="s">
        <v>254</v>
      </c>
      <c r="D9466" s="132" t="n">
        <v>46740</v>
      </c>
      <c r="E9466" s="131" t="s">
        <v>56</v>
      </c>
      <c r="F9466" s="133" t="s">
        <v>24</v>
      </c>
      <c r="G9466" s="134" t="n">
        <f aca="false">LEN('Saisie programme'!$J$354)+SUMIFS('Vols additionnels'!$E$7:$E$66,'Vols additionnels'!$C$7:$C$66,$E9466,'Vols additionnels'!$D$7:$D$66,$F9466,'Vols additionnels'!$B$7:$B$66,$D9466)</f>
        <v>0</v>
      </c>
      <c r="H9466" s="135" t="n">
        <f aca="false">$G9466*'Analyse capacite'!$F$9</f>
        <v>0</v>
      </c>
      <c r="I9466" s="135" t="n">
        <f aca="false">$G9466*'Analyse capacite'!$C$9</f>
        <v>0</v>
      </c>
      <c r="J9466" s="135" t="n">
        <f aca="false">$G9466*'Analyse capacite'!$D$9</f>
        <v>0</v>
      </c>
      <c r="K9466" s="135" t="n">
        <f aca="false">$G9466*'Analyse capacite'!$E$9</f>
        <v>0</v>
      </c>
    </row>
    <row r="9467" customFormat="false" ht="15" hidden="false" customHeight="false" outlineLevel="0" collapsed="false">
      <c r="B9467" s="130" t="n">
        <v>2027</v>
      </c>
      <c r="C9467" s="131" t="s">
        <v>254</v>
      </c>
      <c r="D9467" s="132" t="n">
        <v>46740</v>
      </c>
      <c r="E9467" s="131" t="s">
        <v>59</v>
      </c>
      <c r="F9467" s="133" t="s">
        <v>11</v>
      </c>
      <c r="G9467" s="134" t="n">
        <f aca="false">LEN('Saisie programme'!$J$355)+SUMIFS('Vols additionnels'!$E$7:$E$66,'Vols additionnels'!$C$7:$C$66,$E9467,'Vols additionnels'!$D$7:$D$66,$F9467,'Vols additionnels'!$B$7:$B$66,$D9467)</f>
        <v>0</v>
      </c>
      <c r="H9467" s="135" t="n">
        <f aca="false">$G9467*'Analyse capacite'!$F$7</f>
        <v>0</v>
      </c>
      <c r="I9467" s="135" t="n">
        <f aca="false">$G9467*'Analyse capacite'!$C$7</f>
        <v>0</v>
      </c>
      <c r="J9467" s="135" t="n">
        <f aca="false">$G9467*'Analyse capacite'!$D$7</f>
        <v>0</v>
      </c>
      <c r="K9467" s="135" t="n">
        <f aca="false">$G9467*'Analyse capacite'!$E$7</f>
        <v>0</v>
      </c>
    </row>
    <row r="9468" customFormat="false" ht="15" hidden="false" customHeight="false" outlineLevel="0" collapsed="false">
      <c r="B9468" s="130" t="n">
        <v>2027</v>
      </c>
      <c r="C9468" s="131" t="s">
        <v>254</v>
      </c>
      <c r="D9468" s="132" t="n">
        <v>46740</v>
      </c>
      <c r="E9468" s="131" t="s">
        <v>59</v>
      </c>
      <c r="F9468" s="133" t="s">
        <v>19</v>
      </c>
      <c r="G9468" s="134" t="n">
        <f aca="false">LEN('Saisie programme'!$J$356)+SUMIFS('Vols additionnels'!$E$7:$E$66,'Vols additionnels'!$C$7:$C$66,$E9468,'Vols additionnels'!$D$7:$D$66,$F9468,'Vols additionnels'!$B$7:$B$66,$D9468)</f>
        <v>0</v>
      </c>
      <c r="H9468" s="135" t="n">
        <f aca="false">$G9468*'Analyse capacite'!$F$8</f>
        <v>0</v>
      </c>
      <c r="I9468" s="135" t="n">
        <f aca="false">$G9468*'Analyse capacite'!$C$8</f>
        <v>0</v>
      </c>
      <c r="J9468" s="135" t="n">
        <f aca="false">$G9468*'Analyse capacite'!$D$8</f>
        <v>0</v>
      </c>
      <c r="K9468" s="135" t="n">
        <f aca="false">$G9468*'Analyse capacite'!$E$8</f>
        <v>0</v>
      </c>
    </row>
    <row r="9469" customFormat="false" ht="15" hidden="false" customHeight="false" outlineLevel="0" collapsed="false">
      <c r="B9469" s="130" t="n">
        <v>2027</v>
      </c>
      <c r="C9469" s="131" t="s">
        <v>254</v>
      </c>
      <c r="D9469" s="132" t="n">
        <v>46740</v>
      </c>
      <c r="E9469" s="131" t="s">
        <v>59</v>
      </c>
      <c r="F9469" s="133" t="s">
        <v>24</v>
      </c>
      <c r="G9469" s="134" t="n">
        <f aca="false">LEN('Saisie programme'!$J$357)+SUMIFS('Vols additionnels'!$E$7:$E$66,'Vols additionnels'!$C$7:$C$66,$E9469,'Vols additionnels'!$D$7:$D$66,$F9469,'Vols additionnels'!$B$7:$B$66,$D9469)</f>
        <v>0</v>
      </c>
      <c r="H9469" s="135" t="n">
        <f aca="false">$G9469*'Analyse capacite'!$F$9</f>
        <v>0</v>
      </c>
      <c r="I9469" s="135" t="n">
        <f aca="false">$G9469*'Analyse capacite'!$C$9</f>
        <v>0</v>
      </c>
      <c r="J9469" s="135" t="n">
        <f aca="false">$G9469*'Analyse capacite'!$D$9</f>
        <v>0</v>
      </c>
      <c r="K9469" s="135" t="n">
        <f aca="false">$G9469*'Analyse capacite'!$E$9</f>
        <v>0</v>
      </c>
    </row>
    <row r="9470" customFormat="false" ht="15" hidden="false" customHeight="false" outlineLevel="0" collapsed="false">
      <c r="B9470" s="130" t="n">
        <v>2027</v>
      </c>
      <c r="C9470" s="131" t="s">
        <v>254</v>
      </c>
      <c r="D9470" s="132" t="n">
        <v>46740</v>
      </c>
      <c r="E9470" s="131" t="s">
        <v>62</v>
      </c>
      <c r="F9470" s="133" t="s">
        <v>11</v>
      </c>
      <c r="G9470" s="134" t="n">
        <f aca="false">LEN('Saisie programme'!$J$358)+SUMIFS('Vols additionnels'!$E$7:$E$66,'Vols additionnels'!$C$7:$C$66,$E9470,'Vols additionnels'!$D$7:$D$66,$F9470,'Vols additionnels'!$B$7:$B$66,$D9470)</f>
        <v>0</v>
      </c>
      <c r="H9470" s="135" t="n">
        <f aca="false">$G9470*'Analyse capacite'!$F$7</f>
        <v>0</v>
      </c>
      <c r="I9470" s="135" t="n">
        <f aca="false">$G9470*'Analyse capacite'!$C$7</f>
        <v>0</v>
      </c>
      <c r="J9470" s="135" t="n">
        <f aca="false">$G9470*'Analyse capacite'!$D$7</f>
        <v>0</v>
      </c>
      <c r="K9470" s="135" t="n">
        <f aca="false">$G9470*'Analyse capacite'!$E$7</f>
        <v>0</v>
      </c>
    </row>
    <row r="9471" customFormat="false" ht="15" hidden="false" customHeight="false" outlineLevel="0" collapsed="false">
      <c r="B9471" s="130" t="n">
        <v>2027</v>
      </c>
      <c r="C9471" s="131" t="s">
        <v>254</v>
      </c>
      <c r="D9471" s="132" t="n">
        <v>46740</v>
      </c>
      <c r="E9471" s="131" t="s">
        <v>62</v>
      </c>
      <c r="F9471" s="133" t="s">
        <v>19</v>
      </c>
      <c r="G9471" s="134" t="n">
        <f aca="false">LEN('Saisie programme'!$J$359)+SUMIFS('Vols additionnels'!$E$7:$E$66,'Vols additionnels'!$C$7:$C$66,$E9471,'Vols additionnels'!$D$7:$D$66,$F9471,'Vols additionnels'!$B$7:$B$66,$D9471)</f>
        <v>0</v>
      </c>
      <c r="H9471" s="135" t="n">
        <f aca="false">$G9471*'Analyse capacite'!$F$8</f>
        <v>0</v>
      </c>
      <c r="I9471" s="135" t="n">
        <f aca="false">$G9471*'Analyse capacite'!$C$8</f>
        <v>0</v>
      </c>
      <c r="J9471" s="135" t="n">
        <f aca="false">$G9471*'Analyse capacite'!$D$8</f>
        <v>0</v>
      </c>
      <c r="K9471" s="135" t="n">
        <f aca="false">$G9471*'Analyse capacite'!$E$8</f>
        <v>0</v>
      </c>
    </row>
    <row r="9472" customFormat="false" ht="15" hidden="false" customHeight="false" outlineLevel="0" collapsed="false">
      <c r="B9472" s="130" t="n">
        <v>2027</v>
      </c>
      <c r="C9472" s="131" t="s">
        <v>254</v>
      </c>
      <c r="D9472" s="132" t="n">
        <v>46740</v>
      </c>
      <c r="E9472" s="131" t="s">
        <v>62</v>
      </c>
      <c r="F9472" s="133" t="s">
        <v>24</v>
      </c>
      <c r="G9472" s="134" t="n">
        <f aca="false">LEN('Saisie programme'!$J$360)+SUMIFS('Vols additionnels'!$E$7:$E$66,'Vols additionnels'!$C$7:$C$66,$E9472,'Vols additionnels'!$D$7:$D$66,$F9472,'Vols additionnels'!$B$7:$B$66,$D9472)</f>
        <v>1</v>
      </c>
      <c r="H9472" s="135" t="n">
        <f aca="false">$G9472*'Analyse capacite'!$F$9</f>
        <v>174</v>
      </c>
      <c r="I9472" s="135" t="n">
        <f aca="false">$G9472*'Analyse capacite'!$C$9</f>
        <v>0</v>
      </c>
      <c r="J9472" s="135" t="n">
        <f aca="false">$G9472*'Analyse capacite'!$D$9</f>
        <v>12</v>
      </c>
      <c r="K9472" s="135" t="n">
        <f aca="false">$G9472*'Analyse capacite'!$E$9</f>
        <v>162</v>
      </c>
    </row>
    <row r="9473" customFormat="false" ht="15" hidden="false" customHeight="false" outlineLevel="0" collapsed="false">
      <c r="B9473" s="130" t="n">
        <v>2027</v>
      </c>
      <c r="C9473" s="131" t="s">
        <v>254</v>
      </c>
      <c r="D9473" s="132" t="n">
        <v>46741</v>
      </c>
      <c r="E9473" s="131" t="s">
        <v>12</v>
      </c>
      <c r="F9473" s="133" t="s">
        <v>11</v>
      </c>
      <c r="G9473" s="134" t="n">
        <f aca="false">LEN('Saisie programme'!$D$325)+SUMIFS('Vols additionnels'!$E$7:$E$66,'Vols additionnels'!$C$7:$C$66,$E9473,'Vols additionnels'!$D$7:$D$66,$F9473,'Vols additionnels'!$B$7:$B$66,$D9473)</f>
        <v>1</v>
      </c>
      <c r="H9473" s="135" t="n">
        <f aca="false">$G9473*'Analyse capacite'!$F$7</f>
        <v>438</v>
      </c>
      <c r="I9473" s="135" t="n">
        <f aca="false">$G9473*'Analyse capacite'!$C$7</f>
        <v>14</v>
      </c>
      <c r="J9473" s="135" t="n">
        <f aca="false">$G9473*'Analyse capacite'!$D$7</f>
        <v>40</v>
      </c>
      <c r="K9473" s="135" t="n">
        <f aca="false">$G9473*'Analyse capacite'!$E$7</f>
        <v>384</v>
      </c>
    </row>
    <row r="9474" customFormat="false" ht="15" hidden="false" customHeight="false" outlineLevel="0" collapsed="false">
      <c r="B9474" s="130" t="n">
        <v>2027</v>
      </c>
      <c r="C9474" s="131" t="s">
        <v>254</v>
      </c>
      <c r="D9474" s="132" t="n">
        <v>46741</v>
      </c>
      <c r="E9474" s="131" t="s">
        <v>12</v>
      </c>
      <c r="F9474" s="133" t="s">
        <v>19</v>
      </c>
      <c r="G9474" s="134" t="n">
        <f aca="false">LEN('Saisie programme'!$D$326)+SUMIFS('Vols additionnels'!$E$7:$E$66,'Vols additionnels'!$C$7:$C$66,$E9474,'Vols additionnels'!$D$7:$D$66,$F9474,'Vols additionnels'!$B$7:$B$66,$D9474)</f>
        <v>1</v>
      </c>
      <c r="H9474" s="135" t="n">
        <f aca="false">$G9474*'Analyse capacite'!$F$8</f>
        <v>262</v>
      </c>
      <c r="I9474" s="135" t="n">
        <f aca="false">$G9474*'Analyse capacite'!$C$8</f>
        <v>18</v>
      </c>
      <c r="J9474" s="135" t="n">
        <f aca="false">$G9474*'Analyse capacite'!$D$8</f>
        <v>0</v>
      </c>
      <c r="K9474" s="135" t="n">
        <f aca="false">$G9474*'Analyse capacite'!$E$8</f>
        <v>244</v>
      </c>
    </row>
    <row r="9475" customFormat="false" ht="15" hidden="false" customHeight="false" outlineLevel="0" collapsed="false">
      <c r="B9475" s="130" t="n">
        <v>2027</v>
      </c>
      <c r="C9475" s="131" t="s">
        <v>254</v>
      </c>
      <c r="D9475" s="132" t="n">
        <v>46741</v>
      </c>
      <c r="E9475" s="131" t="s">
        <v>12</v>
      </c>
      <c r="F9475" s="133" t="s">
        <v>24</v>
      </c>
      <c r="G9475" s="134" t="n">
        <f aca="false">LEN('Saisie programme'!$D$327)+SUMIFS('Vols additionnels'!$E$7:$E$66,'Vols additionnels'!$C$7:$C$66,$E9475,'Vols additionnels'!$D$7:$D$66,$F9475,'Vols additionnels'!$B$7:$B$66,$D9475)</f>
        <v>2</v>
      </c>
      <c r="H9475" s="135" t="n">
        <f aca="false">$G9475*'Analyse capacite'!$F$9</f>
        <v>348</v>
      </c>
      <c r="I9475" s="135" t="n">
        <f aca="false">$G9475*'Analyse capacite'!$C$9</f>
        <v>0</v>
      </c>
      <c r="J9475" s="135" t="n">
        <f aca="false">$G9475*'Analyse capacite'!$D$9</f>
        <v>24</v>
      </c>
      <c r="K9475" s="135" t="n">
        <f aca="false">$G9475*'Analyse capacite'!$E$9</f>
        <v>324</v>
      </c>
    </row>
    <row r="9476" customFormat="false" ht="15" hidden="false" customHeight="false" outlineLevel="0" collapsed="false">
      <c r="B9476" s="130" t="n">
        <v>2027</v>
      </c>
      <c r="C9476" s="131" t="s">
        <v>254</v>
      </c>
      <c r="D9476" s="132" t="n">
        <v>46741</v>
      </c>
      <c r="E9476" s="131" t="s">
        <v>20</v>
      </c>
      <c r="F9476" s="133" t="s">
        <v>11</v>
      </c>
      <c r="G9476" s="134" t="n">
        <f aca="false">LEN('Saisie programme'!$D$328)+SUMIFS('Vols additionnels'!$E$7:$E$66,'Vols additionnels'!$C$7:$C$66,$E9476,'Vols additionnels'!$D$7:$D$66,$F9476,'Vols additionnels'!$B$7:$B$66,$D9476)</f>
        <v>0</v>
      </c>
      <c r="H9476" s="135" t="n">
        <f aca="false">$G9476*'Analyse capacite'!$F$7</f>
        <v>0</v>
      </c>
      <c r="I9476" s="135" t="n">
        <f aca="false">$G9476*'Analyse capacite'!$C$7</f>
        <v>0</v>
      </c>
      <c r="J9476" s="135" t="n">
        <f aca="false">$G9476*'Analyse capacite'!$D$7</f>
        <v>0</v>
      </c>
      <c r="K9476" s="135" t="n">
        <f aca="false">$G9476*'Analyse capacite'!$E$7</f>
        <v>0</v>
      </c>
    </row>
    <row r="9477" customFormat="false" ht="15" hidden="false" customHeight="false" outlineLevel="0" collapsed="false">
      <c r="B9477" s="130" t="n">
        <v>2027</v>
      </c>
      <c r="C9477" s="131" t="s">
        <v>254</v>
      </c>
      <c r="D9477" s="132" t="n">
        <v>46741</v>
      </c>
      <c r="E9477" s="131" t="s">
        <v>20</v>
      </c>
      <c r="F9477" s="133" t="s">
        <v>19</v>
      </c>
      <c r="G9477" s="134" t="n">
        <f aca="false">LEN('Saisie programme'!$D$329)+SUMIFS('Vols additionnels'!$E$7:$E$66,'Vols additionnels'!$C$7:$C$66,$E9477,'Vols additionnels'!$D$7:$D$66,$F9477,'Vols additionnels'!$B$7:$B$66,$D9477)</f>
        <v>0</v>
      </c>
      <c r="H9477" s="135" t="n">
        <f aca="false">$G9477*'Analyse capacite'!$F$8</f>
        <v>0</v>
      </c>
      <c r="I9477" s="135" t="n">
        <f aca="false">$G9477*'Analyse capacite'!$C$8</f>
        <v>0</v>
      </c>
      <c r="J9477" s="135" t="n">
        <f aca="false">$G9477*'Analyse capacite'!$D$8</f>
        <v>0</v>
      </c>
      <c r="K9477" s="135" t="n">
        <f aca="false">$G9477*'Analyse capacite'!$E$8</f>
        <v>0</v>
      </c>
    </row>
    <row r="9478" customFormat="false" ht="15" hidden="false" customHeight="false" outlineLevel="0" collapsed="false">
      <c r="B9478" s="130" t="n">
        <v>2027</v>
      </c>
      <c r="C9478" s="131" t="s">
        <v>254</v>
      </c>
      <c r="D9478" s="132" t="n">
        <v>46741</v>
      </c>
      <c r="E9478" s="131" t="s">
        <v>20</v>
      </c>
      <c r="F9478" s="133" t="s">
        <v>24</v>
      </c>
      <c r="G9478" s="134" t="n">
        <f aca="false">LEN('Saisie programme'!$D$330)+SUMIFS('Vols additionnels'!$E$7:$E$66,'Vols additionnels'!$C$7:$C$66,$E9478,'Vols additionnels'!$D$7:$D$66,$F9478,'Vols additionnels'!$B$7:$B$66,$D9478)</f>
        <v>0</v>
      </c>
      <c r="H9478" s="135" t="n">
        <f aca="false">$G9478*'Analyse capacite'!$F$9</f>
        <v>0</v>
      </c>
      <c r="I9478" s="135" t="n">
        <f aca="false">$G9478*'Analyse capacite'!$C$9</f>
        <v>0</v>
      </c>
      <c r="J9478" s="135" t="n">
        <f aca="false">$G9478*'Analyse capacite'!$D$9</f>
        <v>0</v>
      </c>
      <c r="K9478" s="135" t="n">
        <f aca="false">$G9478*'Analyse capacite'!$E$9</f>
        <v>0</v>
      </c>
    </row>
    <row r="9479" customFormat="false" ht="15" hidden="false" customHeight="false" outlineLevel="0" collapsed="false">
      <c r="B9479" s="130" t="n">
        <v>2027</v>
      </c>
      <c r="C9479" s="131" t="s">
        <v>254</v>
      </c>
      <c r="D9479" s="132" t="n">
        <v>46741</v>
      </c>
      <c r="E9479" s="131" t="s">
        <v>25</v>
      </c>
      <c r="F9479" s="133" t="s">
        <v>11</v>
      </c>
      <c r="G9479" s="134" t="n">
        <f aca="false">LEN('Saisie programme'!$D$331)+SUMIFS('Vols additionnels'!$E$7:$E$66,'Vols additionnels'!$C$7:$C$66,$E9479,'Vols additionnels'!$D$7:$D$66,$F9479,'Vols additionnels'!$B$7:$B$66,$D9479)</f>
        <v>0</v>
      </c>
      <c r="H9479" s="135" t="n">
        <f aca="false">$G9479*'Analyse capacite'!$F$7</f>
        <v>0</v>
      </c>
      <c r="I9479" s="135" t="n">
        <f aca="false">$G9479*'Analyse capacite'!$C$7</f>
        <v>0</v>
      </c>
      <c r="J9479" s="135" t="n">
        <f aca="false">$G9479*'Analyse capacite'!$D$7</f>
        <v>0</v>
      </c>
      <c r="K9479" s="135" t="n">
        <f aca="false">$G9479*'Analyse capacite'!$E$7</f>
        <v>0</v>
      </c>
    </row>
    <row r="9480" customFormat="false" ht="15" hidden="false" customHeight="false" outlineLevel="0" collapsed="false">
      <c r="B9480" s="130" t="n">
        <v>2027</v>
      </c>
      <c r="C9480" s="131" t="s">
        <v>254</v>
      </c>
      <c r="D9480" s="132" t="n">
        <v>46741</v>
      </c>
      <c r="E9480" s="131" t="s">
        <v>25</v>
      </c>
      <c r="F9480" s="133" t="s">
        <v>19</v>
      </c>
      <c r="G9480" s="134" t="n">
        <f aca="false">LEN('Saisie programme'!$D$332)+SUMIFS('Vols additionnels'!$E$7:$E$66,'Vols additionnels'!$C$7:$C$66,$E9480,'Vols additionnels'!$D$7:$D$66,$F9480,'Vols additionnels'!$B$7:$B$66,$D9480)</f>
        <v>0</v>
      </c>
      <c r="H9480" s="135" t="n">
        <f aca="false">$G9480*'Analyse capacite'!$F$8</f>
        <v>0</v>
      </c>
      <c r="I9480" s="135" t="n">
        <f aca="false">$G9480*'Analyse capacite'!$C$8</f>
        <v>0</v>
      </c>
      <c r="J9480" s="135" t="n">
        <f aca="false">$G9480*'Analyse capacite'!$D$8</f>
        <v>0</v>
      </c>
      <c r="K9480" s="135" t="n">
        <f aca="false">$G9480*'Analyse capacite'!$E$8</f>
        <v>0</v>
      </c>
    </row>
    <row r="9481" customFormat="false" ht="15" hidden="false" customHeight="false" outlineLevel="0" collapsed="false">
      <c r="B9481" s="130" t="n">
        <v>2027</v>
      </c>
      <c r="C9481" s="131" t="s">
        <v>254</v>
      </c>
      <c r="D9481" s="132" t="n">
        <v>46741</v>
      </c>
      <c r="E9481" s="131" t="s">
        <v>25</v>
      </c>
      <c r="F9481" s="133" t="s">
        <v>24</v>
      </c>
      <c r="G9481" s="134" t="n">
        <f aca="false">LEN('Saisie programme'!$D$333)+SUMIFS('Vols additionnels'!$E$7:$E$66,'Vols additionnels'!$C$7:$C$66,$E9481,'Vols additionnels'!$D$7:$D$66,$F9481,'Vols additionnels'!$B$7:$B$66,$D9481)</f>
        <v>0</v>
      </c>
      <c r="H9481" s="135" t="n">
        <f aca="false">$G9481*'Analyse capacite'!$F$9</f>
        <v>0</v>
      </c>
      <c r="I9481" s="135" t="n">
        <f aca="false">$G9481*'Analyse capacite'!$C$9</f>
        <v>0</v>
      </c>
      <c r="J9481" s="135" t="n">
        <f aca="false">$G9481*'Analyse capacite'!$D$9</f>
        <v>0</v>
      </c>
      <c r="K9481" s="135" t="n">
        <f aca="false">$G9481*'Analyse capacite'!$E$9</f>
        <v>0</v>
      </c>
    </row>
    <row r="9482" customFormat="false" ht="15" hidden="false" customHeight="false" outlineLevel="0" collapsed="false">
      <c r="B9482" s="130" t="n">
        <v>2027</v>
      </c>
      <c r="C9482" s="131" t="s">
        <v>254</v>
      </c>
      <c r="D9482" s="132" t="n">
        <v>46741</v>
      </c>
      <c r="E9482" s="131" t="s">
        <v>36</v>
      </c>
      <c r="F9482" s="133" t="s">
        <v>11</v>
      </c>
      <c r="G9482" s="134" t="n">
        <f aca="false">LEN('Saisie programme'!$D$334)+SUMIFS('Vols additionnels'!$E$7:$E$66,'Vols additionnels'!$C$7:$C$66,$E9482,'Vols additionnels'!$D$7:$D$66,$F9482,'Vols additionnels'!$B$7:$B$66,$D9482)</f>
        <v>0</v>
      </c>
      <c r="H9482" s="135" t="n">
        <f aca="false">$G9482*'Analyse capacite'!$F$7</f>
        <v>0</v>
      </c>
      <c r="I9482" s="135" t="n">
        <f aca="false">$G9482*'Analyse capacite'!$C$7</f>
        <v>0</v>
      </c>
      <c r="J9482" s="135" t="n">
        <f aca="false">$G9482*'Analyse capacite'!$D$7</f>
        <v>0</v>
      </c>
      <c r="K9482" s="135" t="n">
        <f aca="false">$G9482*'Analyse capacite'!$E$7</f>
        <v>0</v>
      </c>
    </row>
    <row r="9483" customFormat="false" ht="15" hidden="false" customHeight="false" outlineLevel="0" collapsed="false">
      <c r="B9483" s="130" t="n">
        <v>2027</v>
      </c>
      <c r="C9483" s="131" t="s">
        <v>254</v>
      </c>
      <c r="D9483" s="132" t="n">
        <v>46741</v>
      </c>
      <c r="E9483" s="131" t="s">
        <v>36</v>
      </c>
      <c r="F9483" s="133" t="s">
        <v>19</v>
      </c>
      <c r="G9483" s="134" t="n">
        <f aca="false">LEN('Saisie programme'!$D$335)+SUMIFS('Vols additionnels'!$E$7:$E$66,'Vols additionnels'!$C$7:$C$66,$E9483,'Vols additionnels'!$D$7:$D$66,$F9483,'Vols additionnels'!$B$7:$B$66,$D9483)</f>
        <v>0</v>
      </c>
      <c r="H9483" s="135" t="n">
        <f aca="false">$G9483*'Analyse capacite'!$F$8</f>
        <v>0</v>
      </c>
      <c r="I9483" s="135" t="n">
        <f aca="false">$G9483*'Analyse capacite'!$C$8</f>
        <v>0</v>
      </c>
      <c r="J9483" s="135" t="n">
        <f aca="false">$G9483*'Analyse capacite'!$D$8</f>
        <v>0</v>
      </c>
      <c r="K9483" s="135" t="n">
        <f aca="false">$G9483*'Analyse capacite'!$E$8</f>
        <v>0</v>
      </c>
    </row>
    <row r="9484" customFormat="false" ht="15" hidden="false" customHeight="false" outlineLevel="0" collapsed="false">
      <c r="B9484" s="130" t="n">
        <v>2027</v>
      </c>
      <c r="C9484" s="131" t="s">
        <v>254</v>
      </c>
      <c r="D9484" s="132" t="n">
        <v>46741</v>
      </c>
      <c r="E9484" s="131" t="s">
        <v>36</v>
      </c>
      <c r="F9484" s="133" t="s">
        <v>24</v>
      </c>
      <c r="G9484" s="134" t="n">
        <f aca="false">LEN('Saisie programme'!$D$336)+SUMIFS('Vols additionnels'!$E$7:$E$66,'Vols additionnels'!$C$7:$C$66,$E9484,'Vols additionnels'!$D$7:$D$66,$F9484,'Vols additionnels'!$B$7:$B$66,$D9484)</f>
        <v>1</v>
      </c>
      <c r="H9484" s="135" t="n">
        <f aca="false">$G9484*'Analyse capacite'!$F$9</f>
        <v>174</v>
      </c>
      <c r="I9484" s="135" t="n">
        <f aca="false">$G9484*'Analyse capacite'!$C$9</f>
        <v>0</v>
      </c>
      <c r="J9484" s="135" t="n">
        <f aca="false">$G9484*'Analyse capacite'!$D$9</f>
        <v>12</v>
      </c>
      <c r="K9484" s="135" t="n">
        <f aca="false">$G9484*'Analyse capacite'!$E$9</f>
        <v>162</v>
      </c>
    </row>
    <row r="9485" customFormat="false" ht="15" hidden="false" customHeight="false" outlineLevel="0" collapsed="false">
      <c r="B9485" s="130" t="n">
        <v>2027</v>
      </c>
      <c r="C9485" s="131" t="s">
        <v>254</v>
      </c>
      <c r="D9485" s="132" t="n">
        <v>46741</v>
      </c>
      <c r="E9485" s="131" t="s">
        <v>40</v>
      </c>
      <c r="F9485" s="133" t="s">
        <v>11</v>
      </c>
      <c r="G9485" s="134" t="n">
        <f aca="false">LEN('Saisie programme'!$D$337)+SUMIFS('Vols additionnels'!$E$7:$E$66,'Vols additionnels'!$C$7:$C$66,$E9485,'Vols additionnels'!$D$7:$D$66,$F9485,'Vols additionnels'!$B$7:$B$66,$D9485)</f>
        <v>0</v>
      </c>
      <c r="H9485" s="135" t="n">
        <f aca="false">$G9485*'Analyse capacite'!$F$7</f>
        <v>0</v>
      </c>
      <c r="I9485" s="135" t="n">
        <f aca="false">$G9485*'Analyse capacite'!$C$7</f>
        <v>0</v>
      </c>
      <c r="J9485" s="135" t="n">
        <f aca="false">$G9485*'Analyse capacite'!$D$7</f>
        <v>0</v>
      </c>
      <c r="K9485" s="135" t="n">
        <f aca="false">$G9485*'Analyse capacite'!$E$7</f>
        <v>0</v>
      </c>
    </row>
    <row r="9486" customFormat="false" ht="15" hidden="false" customHeight="false" outlineLevel="0" collapsed="false">
      <c r="B9486" s="130" t="n">
        <v>2027</v>
      </c>
      <c r="C9486" s="131" t="s">
        <v>254</v>
      </c>
      <c r="D9486" s="132" t="n">
        <v>46741</v>
      </c>
      <c r="E9486" s="131" t="s">
        <v>40</v>
      </c>
      <c r="F9486" s="133" t="s">
        <v>19</v>
      </c>
      <c r="G9486" s="134" t="n">
        <f aca="false">LEN('Saisie programme'!$D$338)+SUMIFS('Vols additionnels'!$E$7:$E$66,'Vols additionnels'!$C$7:$C$66,$E9486,'Vols additionnels'!$D$7:$D$66,$F9486,'Vols additionnels'!$B$7:$B$66,$D9486)</f>
        <v>0</v>
      </c>
      <c r="H9486" s="135" t="n">
        <f aca="false">$G9486*'Analyse capacite'!$F$8</f>
        <v>0</v>
      </c>
      <c r="I9486" s="135" t="n">
        <f aca="false">$G9486*'Analyse capacite'!$C$8</f>
        <v>0</v>
      </c>
      <c r="J9486" s="135" t="n">
        <f aca="false">$G9486*'Analyse capacite'!$D$8</f>
        <v>0</v>
      </c>
      <c r="K9486" s="135" t="n">
        <f aca="false">$G9486*'Analyse capacite'!$E$8</f>
        <v>0</v>
      </c>
    </row>
    <row r="9487" customFormat="false" ht="15" hidden="false" customHeight="false" outlineLevel="0" collapsed="false">
      <c r="B9487" s="130" t="n">
        <v>2027</v>
      </c>
      <c r="C9487" s="131" t="s">
        <v>254</v>
      </c>
      <c r="D9487" s="132" t="n">
        <v>46741</v>
      </c>
      <c r="E9487" s="131" t="s">
        <v>40</v>
      </c>
      <c r="F9487" s="133" t="s">
        <v>24</v>
      </c>
      <c r="G9487" s="134" t="n">
        <f aca="false">LEN('Saisie programme'!$D$339)+SUMIFS('Vols additionnels'!$E$7:$E$66,'Vols additionnels'!$C$7:$C$66,$E9487,'Vols additionnels'!$D$7:$D$66,$F9487,'Vols additionnels'!$B$7:$B$66,$D9487)</f>
        <v>1</v>
      </c>
      <c r="H9487" s="135" t="n">
        <f aca="false">$G9487*'Analyse capacite'!$F$9</f>
        <v>174</v>
      </c>
      <c r="I9487" s="135" t="n">
        <f aca="false">$G9487*'Analyse capacite'!$C$9</f>
        <v>0</v>
      </c>
      <c r="J9487" s="135" t="n">
        <f aca="false">$G9487*'Analyse capacite'!$D$9</f>
        <v>12</v>
      </c>
      <c r="K9487" s="135" t="n">
        <f aca="false">$G9487*'Analyse capacite'!$E$9</f>
        <v>162</v>
      </c>
    </row>
    <row r="9488" customFormat="false" ht="15" hidden="false" customHeight="false" outlineLevel="0" collapsed="false">
      <c r="B9488" s="130" t="n">
        <v>2027</v>
      </c>
      <c r="C9488" s="131" t="s">
        <v>254</v>
      </c>
      <c r="D9488" s="132" t="n">
        <v>46741</v>
      </c>
      <c r="E9488" s="131" t="s">
        <v>14</v>
      </c>
      <c r="F9488" s="133" t="s">
        <v>11</v>
      </c>
      <c r="G9488" s="134" t="n">
        <f aca="false">LEN('Saisie programme'!$D$340)+SUMIFS('Vols additionnels'!$E$7:$E$66,'Vols additionnels'!$C$7:$C$66,$E9488,'Vols additionnels'!$D$7:$D$66,$F9488,'Vols additionnels'!$B$7:$B$66,$D9488)</f>
        <v>0</v>
      </c>
      <c r="H9488" s="135" t="n">
        <f aca="false">$G9488*'Analyse capacite'!$F$7</f>
        <v>0</v>
      </c>
      <c r="I9488" s="135" t="n">
        <f aca="false">$G9488*'Analyse capacite'!$C$7</f>
        <v>0</v>
      </c>
      <c r="J9488" s="135" t="n">
        <f aca="false">$G9488*'Analyse capacite'!$D$7</f>
        <v>0</v>
      </c>
      <c r="K9488" s="135" t="n">
        <f aca="false">$G9488*'Analyse capacite'!$E$7</f>
        <v>0</v>
      </c>
    </row>
    <row r="9489" customFormat="false" ht="15" hidden="false" customHeight="false" outlineLevel="0" collapsed="false">
      <c r="B9489" s="130" t="n">
        <v>2027</v>
      </c>
      <c r="C9489" s="131" t="s">
        <v>254</v>
      </c>
      <c r="D9489" s="132" t="n">
        <v>46741</v>
      </c>
      <c r="E9489" s="131" t="s">
        <v>14</v>
      </c>
      <c r="F9489" s="133" t="s">
        <v>19</v>
      </c>
      <c r="G9489" s="134" t="n">
        <f aca="false">LEN('Saisie programme'!$D$341)+SUMIFS('Vols additionnels'!$E$7:$E$66,'Vols additionnels'!$C$7:$C$66,$E9489,'Vols additionnels'!$D$7:$D$66,$F9489,'Vols additionnels'!$B$7:$B$66,$D9489)</f>
        <v>0</v>
      </c>
      <c r="H9489" s="135" t="n">
        <f aca="false">$G9489*'Analyse capacite'!$F$8</f>
        <v>0</v>
      </c>
      <c r="I9489" s="135" t="n">
        <f aca="false">$G9489*'Analyse capacite'!$C$8</f>
        <v>0</v>
      </c>
      <c r="J9489" s="135" t="n">
        <f aca="false">$G9489*'Analyse capacite'!$D$8</f>
        <v>0</v>
      </c>
      <c r="K9489" s="135" t="n">
        <f aca="false">$G9489*'Analyse capacite'!$E$8</f>
        <v>0</v>
      </c>
    </row>
    <row r="9490" customFormat="false" ht="15" hidden="false" customHeight="false" outlineLevel="0" collapsed="false">
      <c r="B9490" s="130" t="n">
        <v>2027</v>
      </c>
      <c r="C9490" s="131" t="s">
        <v>254</v>
      </c>
      <c r="D9490" s="132" t="n">
        <v>46741</v>
      </c>
      <c r="E9490" s="131" t="s">
        <v>14</v>
      </c>
      <c r="F9490" s="133" t="s">
        <v>24</v>
      </c>
      <c r="G9490" s="134" t="n">
        <f aca="false">LEN('Saisie programme'!$D$342)+SUMIFS('Vols additionnels'!$E$7:$E$66,'Vols additionnels'!$C$7:$C$66,$E9490,'Vols additionnels'!$D$7:$D$66,$F9490,'Vols additionnels'!$B$7:$B$66,$D9490)</f>
        <v>1</v>
      </c>
      <c r="H9490" s="135" t="n">
        <f aca="false">$G9490*'Analyse capacite'!$F$9</f>
        <v>174</v>
      </c>
      <c r="I9490" s="135" t="n">
        <f aca="false">$G9490*'Analyse capacite'!$C$9</f>
        <v>0</v>
      </c>
      <c r="J9490" s="135" t="n">
        <f aca="false">$G9490*'Analyse capacite'!$D$9</f>
        <v>12</v>
      </c>
      <c r="K9490" s="135" t="n">
        <f aca="false">$G9490*'Analyse capacite'!$E$9</f>
        <v>162</v>
      </c>
    </row>
    <row r="9491" customFormat="false" ht="15" hidden="false" customHeight="false" outlineLevel="0" collapsed="false">
      <c r="B9491" s="130" t="n">
        <v>2027</v>
      </c>
      <c r="C9491" s="131" t="s">
        <v>254</v>
      </c>
      <c r="D9491" s="132" t="n">
        <v>46741</v>
      </c>
      <c r="E9491" s="131" t="s">
        <v>46</v>
      </c>
      <c r="F9491" s="133" t="s">
        <v>11</v>
      </c>
      <c r="G9491" s="134" t="n">
        <f aca="false">LEN('Saisie programme'!$D$343)+SUMIFS('Vols additionnels'!$E$7:$E$66,'Vols additionnels'!$C$7:$C$66,$E9491,'Vols additionnels'!$D$7:$D$66,$F9491,'Vols additionnels'!$B$7:$B$66,$D9491)</f>
        <v>0</v>
      </c>
      <c r="H9491" s="135" t="n">
        <f aca="false">$G9491*'Analyse capacite'!$F$7</f>
        <v>0</v>
      </c>
      <c r="I9491" s="135" t="n">
        <f aca="false">$G9491*'Analyse capacite'!$C$7</f>
        <v>0</v>
      </c>
      <c r="J9491" s="135" t="n">
        <f aca="false">$G9491*'Analyse capacite'!$D$7</f>
        <v>0</v>
      </c>
      <c r="K9491" s="135" t="n">
        <f aca="false">$G9491*'Analyse capacite'!$E$7</f>
        <v>0</v>
      </c>
    </row>
    <row r="9492" customFormat="false" ht="15" hidden="false" customHeight="false" outlineLevel="0" collapsed="false">
      <c r="B9492" s="130" t="n">
        <v>2027</v>
      </c>
      <c r="C9492" s="131" t="s">
        <v>254</v>
      </c>
      <c r="D9492" s="132" t="n">
        <v>46741</v>
      </c>
      <c r="E9492" s="131" t="s">
        <v>46</v>
      </c>
      <c r="F9492" s="133" t="s">
        <v>19</v>
      </c>
      <c r="G9492" s="134" t="n">
        <f aca="false">LEN('Saisie programme'!$D$344)+SUMIFS('Vols additionnels'!$E$7:$E$66,'Vols additionnels'!$C$7:$C$66,$E9492,'Vols additionnels'!$D$7:$D$66,$F9492,'Vols additionnels'!$B$7:$B$66,$D9492)</f>
        <v>0</v>
      </c>
      <c r="H9492" s="135" t="n">
        <f aca="false">$G9492*'Analyse capacite'!$F$8</f>
        <v>0</v>
      </c>
      <c r="I9492" s="135" t="n">
        <f aca="false">$G9492*'Analyse capacite'!$C$8</f>
        <v>0</v>
      </c>
      <c r="J9492" s="135" t="n">
        <f aca="false">$G9492*'Analyse capacite'!$D$8</f>
        <v>0</v>
      </c>
      <c r="K9492" s="135" t="n">
        <f aca="false">$G9492*'Analyse capacite'!$E$8</f>
        <v>0</v>
      </c>
    </row>
    <row r="9493" customFormat="false" ht="15" hidden="false" customHeight="false" outlineLevel="0" collapsed="false">
      <c r="B9493" s="130" t="n">
        <v>2027</v>
      </c>
      <c r="C9493" s="131" t="s">
        <v>254</v>
      </c>
      <c r="D9493" s="132" t="n">
        <v>46741</v>
      </c>
      <c r="E9493" s="131" t="s">
        <v>46</v>
      </c>
      <c r="F9493" s="133" t="s">
        <v>24</v>
      </c>
      <c r="G9493" s="134" t="n">
        <f aca="false">LEN('Saisie programme'!$D$345)+SUMIFS('Vols additionnels'!$E$7:$E$66,'Vols additionnels'!$C$7:$C$66,$E9493,'Vols additionnels'!$D$7:$D$66,$F9493,'Vols additionnels'!$B$7:$B$66,$D9493)</f>
        <v>0</v>
      </c>
      <c r="H9493" s="135" t="n">
        <f aca="false">$G9493*'Analyse capacite'!$F$9</f>
        <v>0</v>
      </c>
      <c r="I9493" s="135" t="n">
        <f aca="false">$G9493*'Analyse capacite'!$C$9</f>
        <v>0</v>
      </c>
      <c r="J9493" s="135" t="n">
        <f aca="false">$G9493*'Analyse capacite'!$D$9</f>
        <v>0</v>
      </c>
      <c r="K9493" s="135" t="n">
        <f aca="false">$G9493*'Analyse capacite'!$E$9</f>
        <v>0</v>
      </c>
    </row>
    <row r="9494" customFormat="false" ht="15" hidden="false" customHeight="false" outlineLevel="0" collapsed="false">
      <c r="B9494" s="130" t="n">
        <v>2027</v>
      </c>
      <c r="C9494" s="131" t="s">
        <v>254</v>
      </c>
      <c r="D9494" s="132" t="n">
        <v>46741</v>
      </c>
      <c r="E9494" s="131" t="s">
        <v>49</v>
      </c>
      <c r="F9494" s="133" t="s">
        <v>11</v>
      </c>
      <c r="G9494" s="134" t="n">
        <f aca="false">LEN('Saisie programme'!$D$346)+SUMIFS('Vols additionnels'!$E$7:$E$66,'Vols additionnels'!$C$7:$C$66,$E9494,'Vols additionnels'!$D$7:$D$66,$F9494,'Vols additionnels'!$B$7:$B$66,$D9494)</f>
        <v>0</v>
      </c>
      <c r="H9494" s="135" t="n">
        <f aca="false">$G9494*'Analyse capacite'!$F$7</f>
        <v>0</v>
      </c>
      <c r="I9494" s="135" t="n">
        <f aca="false">$G9494*'Analyse capacite'!$C$7</f>
        <v>0</v>
      </c>
      <c r="J9494" s="135" t="n">
        <f aca="false">$G9494*'Analyse capacite'!$D$7</f>
        <v>0</v>
      </c>
      <c r="K9494" s="135" t="n">
        <f aca="false">$G9494*'Analyse capacite'!$E$7</f>
        <v>0</v>
      </c>
    </row>
    <row r="9495" customFormat="false" ht="15" hidden="false" customHeight="false" outlineLevel="0" collapsed="false">
      <c r="B9495" s="130" t="n">
        <v>2027</v>
      </c>
      <c r="C9495" s="131" t="s">
        <v>254</v>
      </c>
      <c r="D9495" s="132" t="n">
        <v>46741</v>
      </c>
      <c r="E9495" s="131" t="s">
        <v>49</v>
      </c>
      <c r="F9495" s="133" t="s">
        <v>19</v>
      </c>
      <c r="G9495" s="134" t="n">
        <f aca="false">LEN('Saisie programme'!$D$347)+SUMIFS('Vols additionnels'!$E$7:$E$66,'Vols additionnels'!$C$7:$C$66,$E9495,'Vols additionnels'!$D$7:$D$66,$F9495,'Vols additionnels'!$B$7:$B$66,$D9495)</f>
        <v>1</v>
      </c>
      <c r="H9495" s="135" t="n">
        <f aca="false">$G9495*'Analyse capacite'!$F$8</f>
        <v>262</v>
      </c>
      <c r="I9495" s="135" t="n">
        <f aca="false">$G9495*'Analyse capacite'!$C$8</f>
        <v>18</v>
      </c>
      <c r="J9495" s="135" t="n">
        <f aca="false">$G9495*'Analyse capacite'!$D$8</f>
        <v>0</v>
      </c>
      <c r="K9495" s="135" t="n">
        <f aca="false">$G9495*'Analyse capacite'!$E$8</f>
        <v>244</v>
      </c>
    </row>
    <row r="9496" customFormat="false" ht="15" hidden="false" customHeight="false" outlineLevel="0" collapsed="false">
      <c r="B9496" s="130" t="n">
        <v>2027</v>
      </c>
      <c r="C9496" s="131" t="s">
        <v>254</v>
      </c>
      <c r="D9496" s="132" t="n">
        <v>46741</v>
      </c>
      <c r="E9496" s="131" t="s">
        <v>49</v>
      </c>
      <c r="F9496" s="133" t="s">
        <v>24</v>
      </c>
      <c r="G9496" s="134" t="n">
        <f aca="false">LEN('Saisie programme'!$D$348)+SUMIFS('Vols additionnels'!$E$7:$E$66,'Vols additionnels'!$C$7:$C$66,$E9496,'Vols additionnels'!$D$7:$D$66,$F9496,'Vols additionnels'!$B$7:$B$66,$D9496)</f>
        <v>0</v>
      </c>
      <c r="H9496" s="135" t="n">
        <f aca="false">$G9496*'Analyse capacite'!$F$9</f>
        <v>0</v>
      </c>
      <c r="I9496" s="135" t="n">
        <f aca="false">$G9496*'Analyse capacite'!$C$9</f>
        <v>0</v>
      </c>
      <c r="J9496" s="135" t="n">
        <f aca="false">$G9496*'Analyse capacite'!$D$9</f>
        <v>0</v>
      </c>
      <c r="K9496" s="135" t="n">
        <f aca="false">$G9496*'Analyse capacite'!$E$9</f>
        <v>0</v>
      </c>
    </row>
    <row r="9497" customFormat="false" ht="15" hidden="false" customHeight="false" outlineLevel="0" collapsed="false">
      <c r="B9497" s="130" t="n">
        <v>2027</v>
      </c>
      <c r="C9497" s="131" t="s">
        <v>254</v>
      </c>
      <c r="D9497" s="132" t="n">
        <v>46741</v>
      </c>
      <c r="E9497" s="131" t="s">
        <v>53</v>
      </c>
      <c r="F9497" s="133" t="s">
        <v>11</v>
      </c>
      <c r="G9497" s="134" t="n">
        <f aca="false">LEN('Saisie programme'!$D$349)+SUMIFS('Vols additionnels'!$E$7:$E$66,'Vols additionnels'!$C$7:$C$66,$E9497,'Vols additionnels'!$D$7:$D$66,$F9497,'Vols additionnels'!$B$7:$B$66,$D9497)</f>
        <v>0</v>
      </c>
      <c r="H9497" s="135" t="n">
        <f aca="false">$G9497*'Analyse capacite'!$F$7</f>
        <v>0</v>
      </c>
      <c r="I9497" s="135" t="n">
        <f aca="false">$G9497*'Analyse capacite'!$C$7</f>
        <v>0</v>
      </c>
      <c r="J9497" s="135" t="n">
        <f aca="false">$G9497*'Analyse capacite'!$D$7</f>
        <v>0</v>
      </c>
      <c r="K9497" s="135" t="n">
        <f aca="false">$G9497*'Analyse capacite'!$E$7</f>
        <v>0</v>
      </c>
    </row>
    <row r="9498" customFormat="false" ht="15" hidden="false" customHeight="false" outlineLevel="0" collapsed="false">
      <c r="B9498" s="130" t="n">
        <v>2027</v>
      </c>
      <c r="C9498" s="131" t="s">
        <v>254</v>
      </c>
      <c r="D9498" s="132" t="n">
        <v>46741</v>
      </c>
      <c r="E9498" s="131" t="s">
        <v>53</v>
      </c>
      <c r="F9498" s="133" t="s">
        <v>19</v>
      </c>
      <c r="G9498" s="134" t="n">
        <f aca="false">LEN('Saisie programme'!$D$350)+SUMIFS('Vols additionnels'!$E$7:$E$66,'Vols additionnels'!$C$7:$C$66,$E9498,'Vols additionnels'!$D$7:$D$66,$F9498,'Vols additionnels'!$B$7:$B$66,$D9498)</f>
        <v>0</v>
      </c>
      <c r="H9498" s="135" t="n">
        <f aca="false">$G9498*'Analyse capacite'!$F$8</f>
        <v>0</v>
      </c>
      <c r="I9498" s="135" t="n">
        <f aca="false">$G9498*'Analyse capacite'!$C$8</f>
        <v>0</v>
      </c>
      <c r="J9498" s="135" t="n">
        <f aca="false">$G9498*'Analyse capacite'!$D$8</f>
        <v>0</v>
      </c>
      <c r="K9498" s="135" t="n">
        <f aca="false">$G9498*'Analyse capacite'!$E$8</f>
        <v>0</v>
      </c>
    </row>
    <row r="9499" customFormat="false" ht="15" hidden="false" customHeight="false" outlineLevel="0" collapsed="false">
      <c r="B9499" s="130" t="n">
        <v>2027</v>
      </c>
      <c r="C9499" s="131" t="s">
        <v>254</v>
      </c>
      <c r="D9499" s="132" t="n">
        <v>46741</v>
      </c>
      <c r="E9499" s="131" t="s">
        <v>53</v>
      </c>
      <c r="F9499" s="133" t="s">
        <v>24</v>
      </c>
      <c r="G9499" s="134" t="n">
        <f aca="false">LEN('Saisie programme'!$D$351)+SUMIFS('Vols additionnels'!$E$7:$E$66,'Vols additionnels'!$C$7:$C$66,$E9499,'Vols additionnels'!$D$7:$D$66,$F9499,'Vols additionnels'!$B$7:$B$66,$D9499)</f>
        <v>0</v>
      </c>
      <c r="H9499" s="135" t="n">
        <f aca="false">$G9499*'Analyse capacite'!$F$9</f>
        <v>0</v>
      </c>
      <c r="I9499" s="135" t="n">
        <f aca="false">$G9499*'Analyse capacite'!$C$9</f>
        <v>0</v>
      </c>
      <c r="J9499" s="135" t="n">
        <f aca="false">$G9499*'Analyse capacite'!$D$9</f>
        <v>0</v>
      </c>
      <c r="K9499" s="135" t="n">
        <f aca="false">$G9499*'Analyse capacite'!$E$9</f>
        <v>0</v>
      </c>
    </row>
    <row r="9500" customFormat="false" ht="15" hidden="false" customHeight="false" outlineLevel="0" collapsed="false">
      <c r="B9500" s="130" t="n">
        <v>2027</v>
      </c>
      <c r="C9500" s="131" t="s">
        <v>254</v>
      </c>
      <c r="D9500" s="132" t="n">
        <v>46741</v>
      </c>
      <c r="E9500" s="131" t="s">
        <v>56</v>
      </c>
      <c r="F9500" s="133" t="s">
        <v>11</v>
      </c>
      <c r="G9500" s="134" t="n">
        <f aca="false">LEN('Saisie programme'!$D$352)+SUMIFS('Vols additionnels'!$E$7:$E$66,'Vols additionnels'!$C$7:$C$66,$E9500,'Vols additionnels'!$D$7:$D$66,$F9500,'Vols additionnels'!$B$7:$B$66,$D9500)</f>
        <v>0</v>
      </c>
      <c r="H9500" s="135" t="n">
        <f aca="false">$G9500*'Analyse capacite'!$F$7</f>
        <v>0</v>
      </c>
      <c r="I9500" s="135" t="n">
        <f aca="false">$G9500*'Analyse capacite'!$C$7</f>
        <v>0</v>
      </c>
      <c r="J9500" s="135" t="n">
        <f aca="false">$G9500*'Analyse capacite'!$D$7</f>
        <v>0</v>
      </c>
      <c r="K9500" s="135" t="n">
        <f aca="false">$G9500*'Analyse capacite'!$E$7</f>
        <v>0</v>
      </c>
    </row>
    <row r="9501" customFormat="false" ht="15" hidden="false" customHeight="false" outlineLevel="0" collapsed="false">
      <c r="B9501" s="130" t="n">
        <v>2027</v>
      </c>
      <c r="C9501" s="131" t="s">
        <v>254</v>
      </c>
      <c r="D9501" s="132" t="n">
        <v>46741</v>
      </c>
      <c r="E9501" s="131" t="s">
        <v>56</v>
      </c>
      <c r="F9501" s="133" t="s">
        <v>19</v>
      </c>
      <c r="G9501" s="134" t="n">
        <f aca="false">LEN('Saisie programme'!$D$353)+SUMIFS('Vols additionnels'!$E$7:$E$66,'Vols additionnels'!$C$7:$C$66,$E9501,'Vols additionnels'!$D$7:$D$66,$F9501,'Vols additionnels'!$B$7:$B$66,$D9501)</f>
        <v>0</v>
      </c>
      <c r="H9501" s="135" t="n">
        <f aca="false">$G9501*'Analyse capacite'!$F$8</f>
        <v>0</v>
      </c>
      <c r="I9501" s="135" t="n">
        <f aca="false">$G9501*'Analyse capacite'!$C$8</f>
        <v>0</v>
      </c>
      <c r="J9501" s="135" t="n">
        <f aca="false">$G9501*'Analyse capacite'!$D$8</f>
        <v>0</v>
      </c>
      <c r="K9501" s="135" t="n">
        <f aca="false">$G9501*'Analyse capacite'!$E$8</f>
        <v>0</v>
      </c>
    </row>
    <row r="9502" customFormat="false" ht="15" hidden="false" customHeight="false" outlineLevel="0" collapsed="false">
      <c r="B9502" s="130" t="n">
        <v>2027</v>
      </c>
      <c r="C9502" s="131" t="s">
        <v>254</v>
      </c>
      <c r="D9502" s="132" t="n">
        <v>46741</v>
      </c>
      <c r="E9502" s="131" t="s">
        <v>56</v>
      </c>
      <c r="F9502" s="133" t="s">
        <v>24</v>
      </c>
      <c r="G9502" s="134" t="n">
        <f aca="false">LEN('Saisie programme'!$D$354)+SUMIFS('Vols additionnels'!$E$7:$E$66,'Vols additionnels'!$C$7:$C$66,$E9502,'Vols additionnels'!$D$7:$D$66,$F9502,'Vols additionnels'!$B$7:$B$66,$D9502)</f>
        <v>0</v>
      </c>
      <c r="H9502" s="135" t="n">
        <f aca="false">$G9502*'Analyse capacite'!$F$9</f>
        <v>0</v>
      </c>
      <c r="I9502" s="135" t="n">
        <f aca="false">$G9502*'Analyse capacite'!$C$9</f>
        <v>0</v>
      </c>
      <c r="J9502" s="135" t="n">
        <f aca="false">$G9502*'Analyse capacite'!$D$9</f>
        <v>0</v>
      </c>
      <c r="K9502" s="135" t="n">
        <f aca="false">$G9502*'Analyse capacite'!$E$9</f>
        <v>0</v>
      </c>
    </row>
    <row r="9503" customFormat="false" ht="15" hidden="false" customHeight="false" outlineLevel="0" collapsed="false">
      <c r="B9503" s="130" t="n">
        <v>2027</v>
      </c>
      <c r="C9503" s="131" t="s">
        <v>254</v>
      </c>
      <c r="D9503" s="132" t="n">
        <v>46741</v>
      </c>
      <c r="E9503" s="131" t="s">
        <v>59</v>
      </c>
      <c r="F9503" s="133" t="s">
        <v>11</v>
      </c>
      <c r="G9503" s="134" t="n">
        <f aca="false">LEN('Saisie programme'!$D$355)+SUMIFS('Vols additionnels'!$E$7:$E$66,'Vols additionnels'!$C$7:$C$66,$E9503,'Vols additionnels'!$D$7:$D$66,$F9503,'Vols additionnels'!$B$7:$B$66,$D9503)</f>
        <v>0</v>
      </c>
      <c r="H9503" s="135" t="n">
        <f aca="false">$G9503*'Analyse capacite'!$F$7</f>
        <v>0</v>
      </c>
      <c r="I9503" s="135" t="n">
        <f aca="false">$G9503*'Analyse capacite'!$C$7</f>
        <v>0</v>
      </c>
      <c r="J9503" s="135" t="n">
        <f aca="false">$G9503*'Analyse capacite'!$D$7</f>
        <v>0</v>
      </c>
      <c r="K9503" s="135" t="n">
        <f aca="false">$G9503*'Analyse capacite'!$E$7</f>
        <v>0</v>
      </c>
    </row>
    <row r="9504" customFormat="false" ht="15" hidden="false" customHeight="false" outlineLevel="0" collapsed="false">
      <c r="B9504" s="130" t="n">
        <v>2027</v>
      </c>
      <c r="C9504" s="131" t="s">
        <v>254</v>
      </c>
      <c r="D9504" s="132" t="n">
        <v>46741</v>
      </c>
      <c r="E9504" s="131" t="s">
        <v>59</v>
      </c>
      <c r="F9504" s="133" t="s">
        <v>19</v>
      </c>
      <c r="G9504" s="134" t="n">
        <f aca="false">LEN('Saisie programme'!$D$356)+SUMIFS('Vols additionnels'!$E$7:$E$66,'Vols additionnels'!$C$7:$C$66,$E9504,'Vols additionnels'!$D$7:$D$66,$F9504,'Vols additionnels'!$B$7:$B$66,$D9504)</f>
        <v>0</v>
      </c>
      <c r="H9504" s="135" t="n">
        <f aca="false">$G9504*'Analyse capacite'!$F$8</f>
        <v>0</v>
      </c>
      <c r="I9504" s="135" t="n">
        <f aca="false">$G9504*'Analyse capacite'!$C$8</f>
        <v>0</v>
      </c>
      <c r="J9504" s="135" t="n">
        <f aca="false">$G9504*'Analyse capacite'!$D$8</f>
        <v>0</v>
      </c>
      <c r="K9504" s="135" t="n">
        <f aca="false">$G9504*'Analyse capacite'!$E$8</f>
        <v>0</v>
      </c>
    </row>
    <row r="9505" customFormat="false" ht="15" hidden="false" customHeight="false" outlineLevel="0" collapsed="false">
      <c r="B9505" s="130" t="n">
        <v>2027</v>
      </c>
      <c r="C9505" s="131" t="s">
        <v>254</v>
      </c>
      <c r="D9505" s="132" t="n">
        <v>46741</v>
      </c>
      <c r="E9505" s="131" t="s">
        <v>59</v>
      </c>
      <c r="F9505" s="133" t="s">
        <v>24</v>
      </c>
      <c r="G9505" s="134" t="n">
        <f aca="false">LEN('Saisie programme'!$D$357)+SUMIFS('Vols additionnels'!$E$7:$E$66,'Vols additionnels'!$C$7:$C$66,$E9505,'Vols additionnels'!$D$7:$D$66,$F9505,'Vols additionnels'!$B$7:$B$66,$D9505)</f>
        <v>1</v>
      </c>
      <c r="H9505" s="135" t="n">
        <f aca="false">$G9505*'Analyse capacite'!$F$9</f>
        <v>174</v>
      </c>
      <c r="I9505" s="135" t="n">
        <f aca="false">$G9505*'Analyse capacite'!$C$9</f>
        <v>0</v>
      </c>
      <c r="J9505" s="135" t="n">
        <f aca="false">$G9505*'Analyse capacite'!$D$9</f>
        <v>12</v>
      </c>
      <c r="K9505" s="135" t="n">
        <f aca="false">$G9505*'Analyse capacite'!$E$9</f>
        <v>162</v>
      </c>
    </row>
    <row r="9506" customFormat="false" ht="15" hidden="false" customHeight="false" outlineLevel="0" collapsed="false">
      <c r="B9506" s="130" t="n">
        <v>2027</v>
      </c>
      <c r="C9506" s="131" t="s">
        <v>254</v>
      </c>
      <c r="D9506" s="132" t="n">
        <v>46741</v>
      </c>
      <c r="E9506" s="131" t="s">
        <v>62</v>
      </c>
      <c r="F9506" s="133" t="s">
        <v>11</v>
      </c>
      <c r="G9506" s="134" t="n">
        <f aca="false">LEN('Saisie programme'!$D$358)+SUMIFS('Vols additionnels'!$E$7:$E$66,'Vols additionnels'!$C$7:$C$66,$E9506,'Vols additionnels'!$D$7:$D$66,$F9506,'Vols additionnels'!$B$7:$B$66,$D9506)</f>
        <v>0</v>
      </c>
      <c r="H9506" s="135" t="n">
        <f aca="false">$G9506*'Analyse capacite'!$F$7</f>
        <v>0</v>
      </c>
      <c r="I9506" s="135" t="n">
        <f aca="false">$G9506*'Analyse capacite'!$C$7</f>
        <v>0</v>
      </c>
      <c r="J9506" s="135" t="n">
        <f aca="false">$G9506*'Analyse capacite'!$D$7</f>
        <v>0</v>
      </c>
      <c r="K9506" s="135" t="n">
        <f aca="false">$G9506*'Analyse capacite'!$E$7</f>
        <v>0</v>
      </c>
    </row>
    <row r="9507" customFormat="false" ht="15" hidden="false" customHeight="false" outlineLevel="0" collapsed="false">
      <c r="B9507" s="130" t="n">
        <v>2027</v>
      </c>
      <c r="C9507" s="131" t="s">
        <v>254</v>
      </c>
      <c r="D9507" s="132" t="n">
        <v>46741</v>
      </c>
      <c r="E9507" s="131" t="s">
        <v>62</v>
      </c>
      <c r="F9507" s="133" t="s">
        <v>19</v>
      </c>
      <c r="G9507" s="134" t="n">
        <f aca="false">LEN('Saisie programme'!$D$359)+SUMIFS('Vols additionnels'!$E$7:$E$66,'Vols additionnels'!$C$7:$C$66,$E9507,'Vols additionnels'!$D$7:$D$66,$F9507,'Vols additionnels'!$B$7:$B$66,$D9507)</f>
        <v>0</v>
      </c>
      <c r="H9507" s="135" t="n">
        <f aca="false">$G9507*'Analyse capacite'!$F$8</f>
        <v>0</v>
      </c>
      <c r="I9507" s="135" t="n">
        <f aca="false">$G9507*'Analyse capacite'!$C$8</f>
        <v>0</v>
      </c>
      <c r="J9507" s="135" t="n">
        <f aca="false">$G9507*'Analyse capacite'!$D$8</f>
        <v>0</v>
      </c>
      <c r="K9507" s="135" t="n">
        <f aca="false">$G9507*'Analyse capacite'!$E$8</f>
        <v>0</v>
      </c>
    </row>
    <row r="9508" customFormat="false" ht="15" hidden="false" customHeight="false" outlineLevel="0" collapsed="false">
      <c r="B9508" s="130" t="n">
        <v>2027</v>
      </c>
      <c r="C9508" s="131" t="s">
        <v>254</v>
      </c>
      <c r="D9508" s="132" t="n">
        <v>46741</v>
      </c>
      <c r="E9508" s="131" t="s">
        <v>62</v>
      </c>
      <c r="F9508" s="133" t="s">
        <v>24</v>
      </c>
      <c r="G9508" s="134" t="n">
        <f aca="false">LEN('Saisie programme'!$D$360)+SUMIFS('Vols additionnels'!$E$7:$E$66,'Vols additionnels'!$C$7:$C$66,$E9508,'Vols additionnels'!$D$7:$D$66,$F9508,'Vols additionnels'!$B$7:$B$66,$D9508)</f>
        <v>0</v>
      </c>
      <c r="H9508" s="135" t="n">
        <f aca="false">$G9508*'Analyse capacite'!$F$9</f>
        <v>0</v>
      </c>
      <c r="I9508" s="135" t="n">
        <f aca="false">$G9508*'Analyse capacite'!$C$9</f>
        <v>0</v>
      </c>
      <c r="J9508" s="135" t="n">
        <f aca="false">$G9508*'Analyse capacite'!$D$9</f>
        <v>0</v>
      </c>
      <c r="K9508" s="135" t="n">
        <f aca="false">$G9508*'Analyse capacite'!$E$9</f>
        <v>0</v>
      </c>
    </row>
    <row r="9509" customFormat="false" ht="15" hidden="false" customHeight="false" outlineLevel="0" collapsed="false">
      <c r="B9509" s="130" t="n">
        <v>2027</v>
      </c>
      <c r="C9509" s="131" t="s">
        <v>254</v>
      </c>
      <c r="D9509" s="132" t="n">
        <v>46742</v>
      </c>
      <c r="E9509" s="131" t="s">
        <v>12</v>
      </c>
      <c r="F9509" s="133" t="s">
        <v>11</v>
      </c>
      <c r="G9509" s="134" t="n">
        <f aca="false">LEN('Saisie programme'!$E$325)+SUMIFS('Vols additionnels'!$E$7:$E$66,'Vols additionnels'!$C$7:$C$66,$E9509,'Vols additionnels'!$D$7:$D$66,$F9509,'Vols additionnels'!$B$7:$B$66,$D9509)</f>
        <v>1</v>
      </c>
      <c r="H9509" s="135" t="n">
        <f aca="false">$G9509*'Analyse capacite'!$F$7</f>
        <v>438</v>
      </c>
      <c r="I9509" s="135" t="n">
        <f aca="false">$G9509*'Analyse capacite'!$C$7</f>
        <v>14</v>
      </c>
      <c r="J9509" s="135" t="n">
        <f aca="false">$G9509*'Analyse capacite'!$D$7</f>
        <v>40</v>
      </c>
      <c r="K9509" s="135" t="n">
        <f aca="false">$G9509*'Analyse capacite'!$E$7</f>
        <v>384</v>
      </c>
    </row>
    <row r="9510" customFormat="false" ht="15" hidden="false" customHeight="false" outlineLevel="0" collapsed="false">
      <c r="B9510" s="130" t="n">
        <v>2027</v>
      </c>
      <c r="C9510" s="131" t="s">
        <v>254</v>
      </c>
      <c r="D9510" s="132" t="n">
        <v>46742</v>
      </c>
      <c r="E9510" s="131" t="s">
        <v>12</v>
      </c>
      <c r="F9510" s="133" t="s">
        <v>19</v>
      </c>
      <c r="G9510" s="134" t="n">
        <f aca="false">LEN('Saisie programme'!$E$326)+SUMIFS('Vols additionnels'!$E$7:$E$66,'Vols additionnels'!$C$7:$C$66,$E9510,'Vols additionnels'!$D$7:$D$66,$F9510,'Vols additionnels'!$B$7:$B$66,$D9510)</f>
        <v>0</v>
      </c>
      <c r="H9510" s="135" t="n">
        <f aca="false">$G9510*'Analyse capacite'!$F$8</f>
        <v>0</v>
      </c>
      <c r="I9510" s="135" t="n">
        <f aca="false">$G9510*'Analyse capacite'!$C$8</f>
        <v>0</v>
      </c>
      <c r="J9510" s="135" t="n">
        <f aca="false">$G9510*'Analyse capacite'!$D$8</f>
        <v>0</v>
      </c>
      <c r="K9510" s="135" t="n">
        <f aca="false">$G9510*'Analyse capacite'!$E$8</f>
        <v>0</v>
      </c>
    </row>
    <row r="9511" customFormat="false" ht="15" hidden="false" customHeight="false" outlineLevel="0" collapsed="false">
      <c r="B9511" s="130" t="n">
        <v>2027</v>
      </c>
      <c r="C9511" s="131" t="s">
        <v>254</v>
      </c>
      <c r="D9511" s="132" t="n">
        <v>46742</v>
      </c>
      <c r="E9511" s="131" t="s">
        <v>12</v>
      </c>
      <c r="F9511" s="133" t="s">
        <v>24</v>
      </c>
      <c r="G9511" s="134" t="n">
        <f aca="false">LEN('Saisie programme'!$E$327)+SUMIFS('Vols additionnels'!$E$7:$E$66,'Vols additionnels'!$C$7:$C$66,$E9511,'Vols additionnels'!$D$7:$D$66,$F9511,'Vols additionnels'!$B$7:$B$66,$D9511)</f>
        <v>0</v>
      </c>
      <c r="H9511" s="135" t="n">
        <f aca="false">$G9511*'Analyse capacite'!$F$9</f>
        <v>0</v>
      </c>
      <c r="I9511" s="135" t="n">
        <f aca="false">$G9511*'Analyse capacite'!$C$9</f>
        <v>0</v>
      </c>
      <c r="J9511" s="135" t="n">
        <f aca="false">$G9511*'Analyse capacite'!$D$9</f>
        <v>0</v>
      </c>
      <c r="K9511" s="135" t="n">
        <f aca="false">$G9511*'Analyse capacite'!$E$9</f>
        <v>0</v>
      </c>
    </row>
    <row r="9512" customFormat="false" ht="15" hidden="false" customHeight="false" outlineLevel="0" collapsed="false">
      <c r="B9512" s="130" t="n">
        <v>2027</v>
      </c>
      <c r="C9512" s="131" t="s">
        <v>254</v>
      </c>
      <c r="D9512" s="132" t="n">
        <v>46742</v>
      </c>
      <c r="E9512" s="131" t="s">
        <v>20</v>
      </c>
      <c r="F9512" s="133" t="s">
        <v>11</v>
      </c>
      <c r="G9512" s="134" t="n">
        <f aca="false">LEN('Saisie programme'!$E$328)+SUMIFS('Vols additionnels'!$E$7:$E$66,'Vols additionnels'!$C$7:$C$66,$E9512,'Vols additionnels'!$D$7:$D$66,$F9512,'Vols additionnels'!$B$7:$B$66,$D9512)</f>
        <v>0</v>
      </c>
      <c r="H9512" s="135" t="n">
        <f aca="false">$G9512*'Analyse capacite'!$F$7</f>
        <v>0</v>
      </c>
      <c r="I9512" s="135" t="n">
        <f aca="false">$G9512*'Analyse capacite'!$C$7</f>
        <v>0</v>
      </c>
      <c r="J9512" s="135" t="n">
        <f aca="false">$G9512*'Analyse capacite'!$D$7</f>
        <v>0</v>
      </c>
      <c r="K9512" s="135" t="n">
        <f aca="false">$G9512*'Analyse capacite'!$E$7</f>
        <v>0</v>
      </c>
    </row>
    <row r="9513" customFormat="false" ht="15" hidden="false" customHeight="false" outlineLevel="0" collapsed="false">
      <c r="B9513" s="130" t="n">
        <v>2027</v>
      </c>
      <c r="C9513" s="131" t="s">
        <v>254</v>
      </c>
      <c r="D9513" s="132" t="n">
        <v>46742</v>
      </c>
      <c r="E9513" s="131" t="s">
        <v>20</v>
      </c>
      <c r="F9513" s="133" t="s">
        <v>19</v>
      </c>
      <c r="G9513" s="134" t="n">
        <f aca="false">LEN('Saisie programme'!$E$329)+SUMIFS('Vols additionnels'!$E$7:$E$66,'Vols additionnels'!$C$7:$C$66,$E9513,'Vols additionnels'!$D$7:$D$66,$F9513,'Vols additionnels'!$B$7:$B$66,$D9513)</f>
        <v>1</v>
      </c>
      <c r="H9513" s="135" t="n">
        <f aca="false">$G9513*'Analyse capacite'!$F$8</f>
        <v>262</v>
      </c>
      <c r="I9513" s="135" t="n">
        <f aca="false">$G9513*'Analyse capacite'!$C$8</f>
        <v>18</v>
      </c>
      <c r="J9513" s="135" t="n">
        <f aca="false">$G9513*'Analyse capacite'!$D$8</f>
        <v>0</v>
      </c>
      <c r="K9513" s="135" t="n">
        <f aca="false">$G9513*'Analyse capacite'!$E$8</f>
        <v>244</v>
      </c>
    </row>
    <row r="9514" customFormat="false" ht="15" hidden="false" customHeight="false" outlineLevel="0" collapsed="false">
      <c r="B9514" s="130" t="n">
        <v>2027</v>
      </c>
      <c r="C9514" s="131" t="s">
        <v>254</v>
      </c>
      <c r="D9514" s="132" t="n">
        <v>46742</v>
      </c>
      <c r="E9514" s="131" t="s">
        <v>20</v>
      </c>
      <c r="F9514" s="133" t="s">
        <v>24</v>
      </c>
      <c r="G9514" s="134" t="n">
        <f aca="false">LEN('Saisie programme'!$E$330)+SUMIFS('Vols additionnels'!$E$7:$E$66,'Vols additionnels'!$C$7:$C$66,$E9514,'Vols additionnels'!$D$7:$D$66,$F9514,'Vols additionnels'!$B$7:$B$66,$D9514)</f>
        <v>0</v>
      </c>
      <c r="H9514" s="135" t="n">
        <f aca="false">$G9514*'Analyse capacite'!$F$9</f>
        <v>0</v>
      </c>
      <c r="I9514" s="135" t="n">
        <f aca="false">$G9514*'Analyse capacite'!$C$9</f>
        <v>0</v>
      </c>
      <c r="J9514" s="135" t="n">
        <f aca="false">$G9514*'Analyse capacite'!$D$9</f>
        <v>0</v>
      </c>
      <c r="K9514" s="135" t="n">
        <f aca="false">$G9514*'Analyse capacite'!$E$9</f>
        <v>0</v>
      </c>
    </row>
    <row r="9515" customFormat="false" ht="15" hidden="false" customHeight="false" outlineLevel="0" collapsed="false">
      <c r="B9515" s="130" t="n">
        <v>2027</v>
      </c>
      <c r="C9515" s="131" t="s">
        <v>254</v>
      </c>
      <c r="D9515" s="132" t="n">
        <v>46742</v>
      </c>
      <c r="E9515" s="131" t="s">
        <v>25</v>
      </c>
      <c r="F9515" s="133" t="s">
        <v>11</v>
      </c>
      <c r="G9515" s="134" t="n">
        <f aca="false">LEN('Saisie programme'!$E$331)+SUMIFS('Vols additionnels'!$E$7:$E$66,'Vols additionnels'!$C$7:$C$66,$E9515,'Vols additionnels'!$D$7:$D$66,$F9515,'Vols additionnels'!$B$7:$B$66,$D9515)</f>
        <v>0</v>
      </c>
      <c r="H9515" s="135" t="n">
        <f aca="false">$G9515*'Analyse capacite'!$F$7</f>
        <v>0</v>
      </c>
      <c r="I9515" s="135" t="n">
        <f aca="false">$G9515*'Analyse capacite'!$C$7</f>
        <v>0</v>
      </c>
      <c r="J9515" s="135" t="n">
        <f aca="false">$G9515*'Analyse capacite'!$D$7</f>
        <v>0</v>
      </c>
      <c r="K9515" s="135" t="n">
        <f aca="false">$G9515*'Analyse capacite'!$E$7</f>
        <v>0</v>
      </c>
    </row>
    <row r="9516" customFormat="false" ht="15" hidden="false" customHeight="false" outlineLevel="0" collapsed="false">
      <c r="B9516" s="130" t="n">
        <v>2027</v>
      </c>
      <c r="C9516" s="131" t="s">
        <v>254</v>
      </c>
      <c r="D9516" s="132" t="n">
        <v>46742</v>
      </c>
      <c r="E9516" s="131" t="s">
        <v>25</v>
      </c>
      <c r="F9516" s="133" t="s">
        <v>19</v>
      </c>
      <c r="G9516" s="134" t="n">
        <f aca="false">LEN('Saisie programme'!$E$332)+SUMIFS('Vols additionnels'!$E$7:$E$66,'Vols additionnels'!$C$7:$C$66,$E9516,'Vols additionnels'!$D$7:$D$66,$F9516,'Vols additionnels'!$B$7:$B$66,$D9516)</f>
        <v>0</v>
      </c>
      <c r="H9516" s="135" t="n">
        <f aca="false">$G9516*'Analyse capacite'!$F$8</f>
        <v>0</v>
      </c>
      <c r="I9516" s="135" t="n">
        <f aca="false">$G9516*'Analyse capacite'!$C$8</f>
        <v>0</v>
      </c>
      <c r="J9516" s="135" t="n">
        <f aca="false">$G9516*'Analyse capacite'!$D$8</f>
        <v>0</v>
      </c>
      <c r="K9516" s="135" t="n">
        <f aca="false">$G9516*'Analyse capacite'!$E$8</f>
        <v>0</v>
      </c>
    </row>
    <row r="9517" customFormat="false" ht="15" hidden="false" customHeight="false" outlineLevel="0" collapsed="false">
      <c r="B9517" s="130" t="n">
        <v>2027</v>
      </c>
      <c r="C9517" s="131" t="s">
        <v>254</v>
      </c>
      <c r="D9517" s="132" t="n">
        <v>46742</v>
      </c>
      <c r="E9517" s="131" t="s">
        <v>25</v>
      </c>
      <c r="F9517" s="133" t="s">
        <v>24</v>
      </c>
      <c r="G9517" s="134" t="n">
        <f aca="false">LEN('Saisie programme'!$E$333)+SUMIFS('Vols additionnels'!$E$7:$E$66,'Vols additionnels'!$C$7:$C$66,$E9517,'Vols additionnels'!$D$7:$D$66,$F9517,'Vols additionnels'!$B$7:$B$66,$D9517)</f>
        <v>0</v>
      </c>
      <c r="H9517" s="135" t="n">
        <f aca="false">$G9517*'Analyse capacite'!$F$9</f>
        <v>0</v>
      </c>
      <c r="I9517" s="135" t="n">
        <f aca="false">$G9517*'Analyse capacite'!$C$9</f>
        <v>0</v>
      </c>
      <c r="J9517" s="135" t="n">
        <f aca="false">$G9517*'Analyse capacite'!$D$9</f>
        <v>0</v>
      </c>
      <c r="K9517" s="135" t="n">
        <f aca="false">$G9517*'Analyse capacite'!$E$9</f>
        <v>0</v>
      </c>
    </row>
    <row r="9518" customFormat="false" ht="15" hidden="false" customHeight="false" outlineLevel="0" collapsed="false">
      <c r="B9518" s="130" t="n">
        <v>2027</v>
      </c>
      <c r="C9518" s="131" t="s">
        <v>254</v>
      </c>
      <c r="D9518" s="132" t="n">
        <v>46742</v>
      </c>
      <c r="E9518" s="131" t="s">
        <v>36</v>
      </c>
      <c r="F9518" s="133" t="s">
        <v>11</v>
      </c>
      <c r="G9518" s="134" t="n">
        <f aca="false">LEN('Saisie programme'!$E$334)+SUMIFS('Vols additionnels'!$E$7:$E$66,'Vols additionnels'!$C$7:$C$66,$E9518,'Vols additionnels'!$D$7:$D$66,$F9518,'Vols additionnels'!$B$7:$B$66,$D9518)</f>
        <v>0</v>
      </c>
      <c r="H9518" s="135" t="n">
        <f aca="false">$G9518*'Analyse capacite'!$F$7</f>
        <v>0</v>
      </c>
      <c r="I9518" s="135" t="n">
        <f aca="false">$G9518*'Analyse capacite'!$C$7</f>
        <v>0</v>
      </c>
      <c r="J9518" s="135" t="n">
        <f aca="false">$G9518*'Analyse capacite'!$D$7</f>
        <v>0</v>
      </c>
      <c r="K9518" s="135" t="n">
        <f aca="false">$G9518*'Analyse capacite'!$E$7</f>
        <v>0</v>
      </c>
    </row>
    <row r="9519" customFormat="false" ht="15" hidden="false" customHeight="false" outlineLevel="0" collapsed="false">
      <c r="B9519" s="130" t="n">
        <v>2027</v>
      </c>
      <c r="C9519" s="131" t="s">
        <v>254</v>
      </c>
      <c r="D9519" s="132" t="n">
        <v>46742</v>
      </c>
      <c r="E9519" s="131" t="s">
        <v>36</v>
      </c>
      <c r="F9519" s="133" t="s">
        <v>19</v>
      </c>
      <c r="G9519" s="134" t="n">
        <f aca="false">LEN('Saisie programme'!$E$335)+SUMIFS('Vols additionnels'!$E$7:$E$66,'Vols additionnels'!$C$7:$C$66,$E9519,'Vols additionnels'!$D$7:$D$66,$F9519,'Vols additionnels'!$B$7:$B$66,$D9519)</f>
        <v>0</v>
      </c>
      <c r="H9519" s="135" t="n">
        <f aca="false">$G9519*'Analyse capacite'!$F$8</f>
        <v>0</v>
      </c>
      <c r="I9519" s="135" t="n">
        <f aca="false">$G9519*'Analyse capacite'!$C$8</f>
        <v>0</v>
      </c>
      <c r="J9519" s="135" t="n">
        <f aca="false">$G9519*'Analyse capacite'!$D$8</f>
        <v>0</v>
      </c>
      <c r="K9519" s="135" t="n">
        <f aca="false">$G9519*'Analyse capacite'!$E$8</f>
        <v>0</v>
      </c>
    </row>
    <row r="9520" customFormat="false" ht="15" hidden="false" customHeight="false" outlineLevel="0" collapsed="false">
      <c r="B9520" s="130" t="n">
        <v>2027</v>
      </c>
      <c r="C9520" s="131" t="s">
        <v>254</v>
      </c>
      <c r="D9520" s="132" t="n">
        <v>46742</v>
      </c>
      <c r="E9520" s="131" t="s">
        <v>36</v>
      </c>
      <c r="F9520" s="133" t="s">
        <v>24</v>
      </c>
      <c r="G9520" s="134" t="n">
        <f aca="false">LEN('Saisie programme'!$E$336)+SUMIFS('Vols additionnels'!$E$7:$E$66,'Vols additionnels'!$C$7:$C$66,$E9520,'Vols additionnels'!$D$7:$D$66,$F9520,'Vols additionnels'!$B$7:$B$66,$D9520)</f>
        <v>1</v>
      </c>
      <c r="H9520" s="135" t="n">
        <f aca="false">$G9520*'Analyse capacite'!$F$9</f>
        <v>174</v>
      </c>
      <c r="I9520" s="135" t="n">
        <f aca="false">$G9520*'Analyse capacite'!$C$9</f>
        <v>0</v>
      </c>
      <c r="J9520" s="135" t="n">
        <f aca="false">$G9520*'Analyse capacite'!$D$9</f>
        <v>12</v>
      </c>
      <c r="K9520" s="135" t="n">
        <f aca="false">$G9520*'Analyse capacite'!$E$9</f>
        <v>162</v>
      </c>
    </row>
    <row r="9521" customFormat="false" ht="15" hidden="false" customHeight="false" outlineLevel="0" collapsed="false">
      <c r="B9521" s="130" t="n">
        <v>2027</v>
      </c>
      <c r="C9521" s="131" t="s">
        <v>254</v>
      </c>
      <c r="D9521" s="132" t="n">
        <v>46742</v>
      </c>
      <c r="E9521" s="131" t="s">
        <v>40</v>
      </c>
      <c r="F9521" s="133" t="s">
        <v>11</v>
      </c>
      <c r="G9521" s="134" t="n">
        <f aca="false">LEN('Saisie programme'!$E$337)+SUMIFS('Vols additionnels'!$E$7:$E$66,'Vols additionnels'!$C$7:$C$66,$E9521,'Vols additionnels'!$D$7:$D$66,$F9521,'Vols additionnels'!$B$7:$B$66,$D9521)</f>
        <v>0</v>
      </c>
      <c r="H9521" s="135" t="n">
        <f aca="false">$G9521*'Analyse capacite'!$F$7</f>
        <v>0</v>
      </c>
      <c r="I9521" s="135" t="n">
        <f aca="false">$G9521*'Analyse capacite'!$C$7</f>
        <v>0</v>
      </c>
      <c r="J9521" s="135" t="n">
        <f aca="false">$G9521*'Analyse capacite'!$D$7</f>
        <v>0</v>
      </c>
      <c r="K9521" s="135" t="n">
        <f aca="false">$G9521*'Analyse capacite'!$E$7</f>
        <v>0</v>
      </c>
    </row>
    <row r="9522" customFormat="false" ht="15" hidden="false" customHeight="false" outlineLevel="0" collapsed="false">
      <c r="B9522" s="130" t="n">
        <v>2027</v>
      </c>
      <c r="C9522" s="131" t="s">
        <v>254</v>
      </c>
      <c r="D9522" s="132" t="n">
        <v>46742</v>
      </c>
      <c r="E9522" s="131" t="s">
        <v>40</v>
      </c>
      <c r="F9522" s="133" t="s">
        <v>19</v>
      </c>
      <c r="G9522" s="134" t="n">
        <f aca="false">LEN('Saisie programme'!$E$338)+SUMIFS('Vols additionnels'!$E$7:$E$66,'Vols additionnels'!$C$7:$C$66,$E9522,'Vols additionnels'!$D$7:$D$66,$F9522,'Vols additionnels'!$B$7:$B$66,$D9522)</f>
        <v>0</v>
      </c>
      <c r="H9522" s="135" t="n">
        <f aca="false">$G9522*'Analyse capacite'!$F$8</f>
        <v>0</v>
      </c>
      <c r="I9522" s="135" t="n">
        <f aca="false">$G9522*'Analyse capacite'!$C$8</f>
        <v>0</v>
      </c>
      <c r="J9522" s="135" t="n">
        <f aca="false">$G9522*'Analyse capacite'!$D$8</f>
        <v>0</v>
      </c>
      <c r="K9522" s="135" t="n">
        <f aca="false">$G9522*'Analyse capacite'!$E$8</f>
        <v>0</v>
      </c>
    </row>
    <row r="9523" customFormat="false" ht="15" hidden="false" customHeight="false" outlineLevel="0" collapsed="false">
      <c r="B9523" s="130" t="n">
        <v>2027</v>
      </c>
      <c r="C9523" s="131" t="s">
        <v>254</v>
      </c>
      <c r="D9523" s="132" t="n">
        <v>46742</v>
      </c>
      <c r="E9523" s="131" t="s">
        <v>40</v>
      </c>
      <c r="F9523" s="133" t="s">
        <v>24</v>
      </c>
      <c r="G9523" s="134" t="n">
        <f aca="false">LEN('Saisie programme'!$E$339)+SUMIFS('Vols additionnels'!$E$7:$E$66,'Vols additionnels'!$C$7:$C$66,$E9523,'Vols additionnels'!$D$7:$D$66,$F9523,'Vols additionnels'!$B$7:$B$66,$D9523)</f>
        <v>0</v>
      </c>
      <c r="H9523" s="135" t="n">
        <f aca="false">$G9523*'Analyse capacite'!$F$9</f>
        <v>0</v>
      </c>
      <c r="I9523" s="135" t="n">
        <f aca="false">$G9523*'Analyse capacite'!$C$9</f>
        <v>0</v>
      </c>
      <c r="J9523" s="135" t="n">
        <f aca="false">$G9523*'Analyse capacite'!$D$9</f>
        <v>0</v>
      </c>
      <c r="K9523" s="135" t="n">
        <f aca="false">$G9523*'Analyse capacite'!$E$9</f>
        <v>0</v>
      </c>
    </row>
    <row r="9524" customFormat="false" ht="15" hidden="false" customHeight="false" outlineLevel="0" collapsed="false">
      <c r="B9524" s="130" t="n">
        <v>2027</v>
      </c>
      <c r="C9524" s="131" t="s">
        <v>254</v>
      </c>
      <c r="D9524" s="132" t="n">
        <v>46742</v>
      </c>
      <c r="E9524" s="131" t="s">
        <v>14</v>
      </c>
      <c r="F9524" s="133" t="s">
        <v>11</v>
      </c>
      <c r="G9524" s="134" t="n">
        <f aca="false">LEN('Saisie programme'!$E$340)+SUMIFS('Vols additionnels'!$E$7:$E$66,'Vols additionnels'!$C$7:$C$66,$E9524,'Vols additionnels'!$D$7:$D$66,$F9524,'Vols additionnels'!$B$7:$B$66,$D9524)</f>
        <v>0</v>
      </c>
      <c r="H9524" s="135" t="n">
        <f aca="false">$G9524*'Analyse capacite'!$F$7</f>
        <v>0</v>
      </c>
      <c r="I9524" s="135" t="n">
        <f aca="false">$G9524*'Analyse capacite'!$C$7</f>
        <v>0</v>
      </c>
      <c r="J9524" s="135" t="n">
        <f aca="false">$G9524*'Analyse capacite'!$D$7</f>
        <v>0</v>
      </c>
      <c r="K9524" s="135" t="n">
        <f aca="false">$G9524*'Analyse capacite'!$E$7</f>
        <v>0</v>
      </c>
    </row>
    <row r="9525" customFormat="false" ht="15" hidden="false" customHeight="false" outlineLevel="0" collapsed="false">
      <c r="B9525" s="130" t="n">
        <v>2027</v>
      </c>
      <c r="C9525" s="131" t="s">
        <v>254</v>
      </c>
      <c r="D9525" s="132" t="n">
        <v>46742</v>
      </c>
      <c r="E9525" s="131" t="s">
        <v>14</v>
      </c>
      <c r="F9525" s="133" t="s">
        <v>19</v>
      </c>
      <c r="G9525" s="134" t="n">
        <f aca="false">LEN('Saisie programme'!$E$341)+SUMIFS('Vols additionnels'!$E$7:$E$66,'Vols additionnels'!$C$7:$C$66,$E9525,'Vols additionnels'!$D$7:$D$66,$F9525,'Vols additionnels'!$B$7:$B$66,$D9525)</f>
        <v>0</v>
      </c>
      <c r="H9525" s="135" t="n">
        <f aca="false">$G9525*'Analyse capacite'!$F$8</f>
        <v>0</v>
      </c>
      <c r="I9525" s="135" t="n">
        <f aca="false">$G9525*'Analyse capacite'!$C$8</f>
        <v>0</v>
      </c>
      <c r="J9525" s="135" t="n">
        <f aca="false">$G9525*'Analyse capacite'!$D$8</f>
        <v>0</v>
      </c>
      <c r="K9525" s="135" t="n">
        <f aca="false">$G9525*'Analyse capacite'!$E$8</f>
        <v>0</v>
      </c>
    </row>
    <row r="9526" customFormat="false" ht="15" hidden="false" customHeight="false" outlineLevel="0" collapsed="false">
      <c r="B9526" s="130" t="n">
        <v>2027</v>
      </c>
      <c r="C9526" s="131" t="s">
        <v>254</v>
      </c>
      <c r="D9526" s="132" t="n">
        <v>46742</v>
      </c>
      <c r="E9526" s="131" t="s">
        <v>14</v>
      </c>
      <c r="F9526" s="133" t="s">
        <v>24</v>
      </c>
      <c r="G9526" s="134" t="n">
        <f aca="false">LEN('Saisie programme'!$E$342)+SUMIFS('Vols additionnels'!$E$7:$E$66,'Vols additionnels'!$C$7:$C$66,$E9526,'Vols additionnels'!$D$7:$D$66,$F9526,'Vols additionnels'!$B$7:$B$66,$D9526)</f>
        <v>1</v>
      </c>
      <c r="H9526" s="135" t="n">
        <f aca="false">$G9526*'Analyse capacite'!$F$9</f>
        <v>174</v>
      </c>
      <c r="I9526" s="135" t="n">
        <f aca="false">$G9526*'Analyse capacite'!$C$9</f>
        <v>0</v>
      </c>
      <c r="J9526" s="135" t="n">
        <f aca="false">$G9526*'Analyse capacite'!$D$9</f>
        <v>12</v>
      </c>
      <c r="K9526" s="135" t="n">
        <f aca="false">$G9526*'Analyse capacite'!$E$9</f>
        <v>162</v>
      </c>
    </row>
    <row r="9527" customFormat="false" ht="15" hidden="false" customHeight="false" outlineLevel="0" collapsed="false">
      <c r="B9527" s="130" t="n">
        <v>2027</v>
      </c>
      <c r="C9527" s="131" t="s">
        <v>254</v>
      </c>
      <c r="D9527" s="132" t="n">
        <v>46742</v>
      </c>
      <c r="E9527" s="131" t="s">
        <v>46</v>
      </c>
      <c r="F9527" s="133" t="s">
        <v>11</v>
      </c>
      <c r="G9527" s="134" t="n">
        <f aca="false">LEN('Saisie programme'!$E$343)+SUMIFS('Vols additionnels'!$E$7:$E$66,'Vols additionnels'!$C$7:$C$66,$E9527,'Vols additionnels'!$D$7:$D$66,$F9527,'Vols additionnels'!$B$7:$B$66,$D9527)</f>
        <v>0</v>
      </c>
      <c r="H9527" s="135" t="n">
        <f aca="false">$G9527*'Analyse capacite'!$F$7</f>
        <v>0</v>
      </c>
      <c r="I9527" s="135" t="n">
        <f aca="false">$G9527*'Analyse capacite'!$C$7</f>
        <v>0</v>
      </c>
      <c r="J9527" s="135" t="n">
        <f aca="false">$G9527*'Analyse capacite'!$D$7</f>
        <v>0</v>
      </c>
      <c r="K9527" s="135" t="n">
        <f aca="false">$G9527*'Analyse capacite'!$E$7</f>
        <v>0</v>
      </c>
    </row>
    <row r="9528" customFormat="false" ht="15" hidden="false" customHeight="false" outlineLevel="0" collapsed="false">
      <c r="B9528" s="130" t="n">
        <v>2027</v>
      </c>
      <c r="C9528" s="131" t="s">
        <v>254</v>
      </c>
      <c r="D9528" s="132" t="n">
        <v>46742</v>
      </c>
      <c r="E9528" s="131" t="s">
        <v>46</v>
      </c>
      <c r="F9528" s="133" t="s">
        <v>19</v>
      </c>
      <c r="G9528" s="134" t="n">
        <f aca="false">LEN('Saisie programme'!$E$344)+SUMIFS('Vols additionnels'!$E$7:$E$66,'Vols additionnels'!$C$7:$C$66,$E9528,'Vols additionnels'!$D$7:$D$66,$F9528,'Vols additionnels'!$B$7:$B$66,$D9528)</f>
        <v>0</v>
      </c>
      <c r="H9528" s="135" t="n">
        <f aca="false">$G9528*'Analyse capacite'!$F$8</f>
        <v>0</v>
      </c>
      <c r="I9528" s="135" t="n">
        <f aca="false">$G9528*'Analyse capacite'!$C$8</f>
        <v>0</v>
      </c>
      <c r="J9528" s="135" t="n">
        <f aca="false">$G9528*'Analyse capacite'!$D$8</f>
        <v>0</v>
      </c>
      <c r="K9528" s="135" t="n">
        <f aca="false">$G9528*'Analyse capacite'!$E$8</f>
        <v>0</v>
      </c>
    </row>
    <row r="9529" customFormat="false" ht="15" hidden="false" customHeight="false" outlineLevel="0" collapsed="false">
      <c r="B9529" s="130" t="n">
        <v>2027</v>
      </c>
      <c r="C9529" s="131" t="s">
        <v>254</v>
      </c>
      <c r="D9529" s="132" t="n">
        <v>46742</v>
      </c>
      <c r="E9529" s="131" t="s">
        <v>46</v>
      </c>
      <c r="F9529" s="133" t="s">
        <v>24</v>
      </c>
      <c r="G9529" s="134" t="n">
        <f aca="false">LEN('Saisie programme'!$E$345)+SUMIFS('Vols additionnels'!$E$7:$E$66,'Vols additionnels'!$C$7:$C$66,$E9529,'Vols additionnels'!$D$7:$D$66,$F9529,'Vols additionnels'!$B$7:$B$66,$D9529)</f>
        <v>1</v>
      </c>
      <c r="H9529" s="135" t="n">
        <f aca="false">$G9529*'Analyse capacite'!$F$9</f>
        <v>174</v>
      </c>
      <c r="I9529" s="135" t="n">
        <f aca="false">$G9529*'Analyse capacite'!$C$9</f>
        <v>0</v>
      </c>
      <c r="J9529" s="135" t="n">
        <f aca="false">$G9529*'Analyse capacite'!$D$9</f>
        <v>12</v>
      </c>
      <c r="K9529" s="135" t="n">
        <f aca="false">$G9529*'Analyse capacite'!$E$9</f>
        <v>162</v>
      </c>
    </row>
    <row r="9530" customFormat="false" ht="15" hidden="false" customHeight="false" outlineLevel="0" collapsed="false">
      <c r="B9530" s="130" t="n">
        <v>2027</v>
      </c>
      <c r="C9530" s="131" t="s">
        <v>254</v>
      </c>
      <c r="D9530" s="132" t="n">
        <v>46742</v>
      </c>
      <c r="E9530" s="131" t="s">
        <v>49</v>
      </c>
      <c r="F9530" s="133" t="s">
        <v>11</v>
      </c>
      <c r="G9530" s="134" t="n">
        <f aca="false">LEN('Saisie programme'!$E$346)+SUMIFS('Vols additionnels'!$E$7:$E$66,'Vols additionnels'!$C$7:$C$66,$E9530,'Vols additionnels'!$D$7:$D$66,$F9530,'Vols additionnels'!$B$7:$B$66,$D9530)</f>
        <v>0</v>
      </c>
      <c r="H9530" s="135" t="n">
        <f aca="false">$G9530*'Analyse capacite'!$F$7</f>
        <v>0</v>
      </c>
      <c r="I9530" s="135" t="n">
        <f aca="false">$G9530*'Analyse capacite'!$C$7</f>
        <v>0</v>
      </c>
      <c r="J9530" s="135" t="n">
        <f aca="false">$G9530*'Analyse capacite'!$D$7</f>
        <v>0</v>
      </c>
      <c r="K9530" s="135" t="n">
        <f aca="false">$G9530*'Analyse capacite'!$E$7</f>
        <v>0</v>
      </c>
    </row>
    <row r="9531" customFormat="false" ht="15" hidden="false" customHeight="false" outlineLevel="0" collapsed="false">
      <c r="B9531" s="130" t="n">
        <v>2027</v>
      </c>
      <c r="C9531" s="131" t="s">
        <v>254</v>
      </c>
      <c r="D9531" s="132" t="n">
        <v>46742</v>
      </c>
      <c r="E9531" s="131" t="s">
        <v>49</v>
      </c>
      <c r="F9531" s="133" t="s">
        <v>19</v>
      </c>
      <c r="G9531" s="134" t="n">
        <f aca="false">LEN('Saisie programme'!$E$347)+SUMIFS('Vols additionnels'!$E$7:$E$66,'Vols additionnels'!$C$7:$C$66,$E9531,'Vols additionnels'!$D$7:$D$66,$F9531,'Vols additionnels'!$B$7:$B$66,$D9531)</f>
        <v>0</v>
      </c>
      <c r="H9531" s="135" t="n">
        <f aca="false">$G9531*'Analyse capacite'!$F$8</f>
        <v>0</v>
      </c>
      <c r="I9531" s="135" t="n">
        <f aca="false">$G9531*'Analyse capacite'!$C$8</f>
        <v>0</v>
      </c>
      <c r="J9531" s="135" t="n">
        <f aca="false">$G9531*'Analyse capacite'!$D$8</f>
        <v>0</v>
      </c>
      <c r="K9531" s="135" t="n">
        <f aca="false">$G9531*'Analyse capacite'!$E$8</f>
        <v>0</v>
      </c>
    </row>
    <row r="9532" customFormat="false" ht="15" hidden="false" customHeight="false" outlineLevel="0" collapsed="false">
      <c r="B9532" s="130" t="n">
        <v>2027</v>
      </c>
      <c r="C9532" s="131" t="s">
        <v>254</v>
      </c>
      <c r="D9532" s="132" t="n">
        <v>46742</v>
      </c>
      <c r="E9532" s="131" t="s">
        <v>49</v>
      </c>
      <c r="F9532" s="133" t="s">
        <v>24</v>
      </c>
      <c r="G9532" s="134" t="n">
        <f aca="false">LEN('Saisie programme'!$E$348)+SUMIFS('Vols additionnels'!$E$7:$E$66,'Vols additionnels'!$C$7:$C$66,$E9532,'Vols additionnels'!$D$7:$D$66,$F9532,'Vols additionnels'!$B$7:$B$66,$D9532)</f>
        <v>0</v>
      </c>
      <c r="H9532" s="135" t="n">
        <f aca="false">$G9532*'Analyse capacite'!$F$9</f>
        <v>0</v>
      </c>
      <c r="I9532" s="135" t="n">
        <f aca="false">$G9532*'Analyse capacite'!$C$9</f>
        <v>0</v>
      </c>
      <c r="J9532" s="135" t="n">
        <f aca="false">$G9532*'Analyse capacite'!$D$9</f>
        <v>0</v>
      </c>
      <c r="K9532" s="135" t="n">
        <f aca="false">$G9532*'Analyse capacite'!$E$9</f>
        <v>0</v>
      </c>
    </row>
    <row r="9533" customFormat="false" ht="15" hidden="false" customHeight="false" outlineLevel="0" collapsed="false">
      <c r="B9533" s="130" t="n">
        <v>2027</v>
      </c>
      <c r="C9533" s="131" t="s">
        <v>254</v>
      </c>
      <c r="D9533" s="132" t="n">
        <v>46742</v>
      </c>
      <c r="E9533" s="131" t="s">
        <v>53</v>
      </c>
      <c r="F9533" s="133" t="s">
        <v>11</v>
      </c>
      <c r="G9533" s="134" t="n">
        <f aca="false">LEN('Saisie programme'!$E$349)+SUMIFS('Vols additionnels'!$E$7:$E$66,'Vols additionnels'!$C$7:$C$66,$E9533,'Vols additionnels'!$D$7:$D$66,$F9533,'Vols additionnels'!$B$7:$B$66,$D9533)</f>
        <v>0</v>
      </c>
      <c r="H9533" s="135" t="n">
        <f aca="false">$G9533*'Analyse capacite'!$F$7</f>
        <v>0</v>
      </c>
      <c r="I9533" s="135" t="n">
        <f aca="false">$G9533*'Analyse capacite'!$C$7</f>
        <v>0</v>
      </c>
      <c r="J9533" s="135" t="n">
        <f aca="false">$G9533*'Analyse capacite'!$D$7</f>
        <v>0</v>
      </c>
      <c r="K9533" s="135" t="n">
        <f aca="false">$G9533*'Analyse capacite'!$E$7</f>
        <v>0</v>
      </c>
    </row>
    <row r="9534" customFormat="false" ht="15" hidden="false" customHeight="false" outlineLevel="0" collapsed="false">
      <c r="B9534" s="130" t="n">
        <v>2027</v>
      </c>
      <c r="C9534" s="131" t="s">
        <v>254</v>
      </c>
      <c r="D9534" s="132" t="n">
        <v>46742</v>
      </c>
      <c r="E9534" s="131" t="s">
        <v>53</v>
      </c>
      <c r="F9534" s="133" t="s">
        <v>19</v>
      </c>
      <c r="G9534" s="134" t="n">
        <f aca="false">LEN('Saisie programme'!$E$350)+SUMIFS('Vols additionnels'!$E$7:$E$66,'Vols additionnels'!$C$7:$C$66,$E9534,'Vols additionnels'!$D$7:$D$66,$F9534,'Vols additionnels'!$B$7:$B$66,$D9534)</f>
        <v>0</v>
      </c>
      <c r="H9534" s="135" t="n">
        <f aca="false">$G9534*'Analyse capacite'!$F$8</f>
        <v>0</v>
      </c>
      <c r="I9534" s="135" t="n">
        <f aca="false">$G9534*'Analyse capacite'!$C$8</f>
        <v>0</v>
      </c>
      <c r="J9534" s="135" t="n">
        <f aca="false">$G9534*'Analyse capacite'!$D$8</f>
        <v>0</v>
      </c>
      <c r="K9534" s="135" t="n">
        <f aca="false">$G9534*'Analyse capacite'!$E$8</f>
        <v>0</v>
      </c>
    </row>
    <row r="9535" customFormat="false" ht="15" hidden="false" customHeight="false" outlineLevel="0" collapsed="false">
      <c r="B9535" s="130" t="n">
        <v>2027</v>
      </c>
      <c r="C9535" s="131" t="s">
        <v>254</v>
      </c>
      <c r="D9535" s="132" t="n">
        <v>46742</v>
      </c>
      <c r="E9535" s="131" t="s">
        <v>53</v>
      </c>
      <c r="F9535" s="133" t="s">
        <v>24</v>
      </c>
      <c r="G9535" s="134" t="n">
        <f aca="false">LEN('Saisie programme'!$E$351)+SUMIFS('Vols additionnels'!$E$7:$E$66,'Vols additionnels'!$C$7:$C$66,$E9535,'Vols additionnels'!$D$7:$D$66,$F9535,'Vols additionnels'!$B$7:$B$66,$D9535)</f>
        <v>0</v>
      </c>
      <c r="H9535" s="135" t="n">
        <f aca="false">$G9535*'Analyse capacite'!$F$9</f>
        <v>0</v>
      </c>
      <c r="I9535" s="135" t="n">
        <f aca="false">$G9535*'Analyse capacite'!$C$9</f>
        <v>0</v>
      </c>
      <c r="J9535" s="135" t="n">
        <f aca="false">$G9535*'Analyse capacite'!$D$9</f>
        <v>0</v>
      </c>
      <c r="K9535" s="135" t="n">
        <f aca="false">$G9535*'Analyse capacite'!$E$9</f>
        <v>0</v>
      </c>
    </row>
    <row r="9536" customFormat="false" ht="15" hidden="false" customHeight="false" outlineLevel="0" collapsed="false">
      <c r="B9536" s="130" t="n">
        <v>2027</v>
      </c>
      <c r="C9536" s="131" t="s">
        <v>254</v>
      </c>
      <c r="D9536" s="132" t="n">
        <v>46742</v>
      </c>
      <c r="E9536" s="131" t="s">
        <v>56</v>
      </c>
      <c r="F9536" s="133" t="s">
        <v>11</v>
      </c>
      <c r="G9536" s="134" t="n">
        <f aca="false">LEN('Saisie programme'!$E$352)+SUMIFS('Vols additionnels'!$E$7:$E$66,'Vols additionnels'!$C$7:$C$66,$E9536,'Vols additionnels'!$D$7:$D$66,$F9536,'Vols additionnels'!$B$7:$B$66,$D9536)</f>
        <v>0</v>
      </c>
      <c r="H9536" s="135" t="n">
        <f aca="false">$G9536*'Analyse capacite'!$F$7</f>
        <v>0</v>
      </c>
      <c r="I9536" s="135" t="n">
        <f aca="false">$G9536*'Analyse capacite'!$C$7</f>
        <v>0</v>
      </c>
      <c r="J9536" s="135" t="n">
        <f aca="false">$G9536*'Analyse capacite'!$D$7</f>
        <v>0</v>
      </c>
      <c r="K9536" s="135" t="n">
        <f aca="false">$G9536*'Analyse capacite'!$E$7</f>
        <v>0</v>
      </c>
    </row>
    <row r="9537" customFormat="false" ht="15" hidden="false" customHeight="false" outlineLevel="0" collapsed="false">
      <c r="B9537" s="130" t="n">
        <v>2027</v>
      </c>
      <c r="C9537" s="131" t="s">
        <v>254</v>
      </c>
      <c r="D9537" s="132" t="n">
        <v>46742</v>
      </c>
      <c r="E9537" s="131" t="s">
        <v>56</v>
      </c>
      <c r="F9537" s="133" t="s">
        <v>19</v>
      </c>
      <c r="G9537" s="134" t="n">
        <f aca="false">LEN('Saisie programme'!$E$353)+SUMIFS('Vols additionnels'!$E$7:$E$66,'Vols additionnels'!$C$7:$C$66,$E9537,'Vols additionnels'!$D$7:$D$66,$F9537,'Vols additionnels'!$B$7:$B$66,$D9537)</f>
        <v>0</v>
      </c>
      <c r="H9537" s="135" t="n">
        <f aca="false">$G9537*'Analyse capacite'!$F$8</f>
        <v>0</v>
      </c>
      <c r="I9537" s="135" t="n">
        <f aca="false">$G9537*'Analyse capacite'!$C$8</f>
        <v>0</v>
      </c>
      <c r="J9537" s="135" t="n">
        <f aca="false">$G9537*'Analyse capacite'!$D$8</f>
        <v>0</v>
      </c>
      <c r="K9537" s="135" t="n">
        <f aca="false">$G9537*'Analyse capacite'!$E$8</f>
        <v>0</v>
      </c>
    </row>
    <row r="9538" customFormat="false" ht="15" hidden="false" customHeight="false" outlineLevel="0" collapsed="false">
      <c r="B9538" s="130" t="n">
        <v>2027</v>
      </c>
      <c r="C9538" s="131" t="s">
        <v>254</v>
      </c>
      <c r="D9538" s="132" t="n">
        <v>46742</v>
      </c>
      <c r="E9538" s="131" t="s">
        <v>56</v>
      </c>
      <c r="F9538" s="133" t="s">
        <v>24</v>
      </c>
      <c r="G9538" s="134" t="n">
        <f aca="false">LEN('Saisie programme'!$E$354)+SUMIFS('Vols additionnels'!$E$7:$E$66,'Vols additionnels'!$C$7:$C$66,$E9538,'Vols additionnels'!$D$7:$D$66,$F9538,'Vols additionnels'!$B$7:$B$66,$D9538)</f>
        <v>1</v>
      </c>
      <c r="H9538" s="135" t="n">
        <f aca="false">$G9538*'Analyse capacite'!$F$9</f>
        <v>174</v>
      </c>
      <c r="I9538" s="135" t="n">
        <f aca="false">$G9538*'Analyse capacite'!$C$9</f>
        <v>0</v>
      </c>
      <c r="J9538" s="135" t="n">
        <f aca="false">$G9538*'Analyse capacite'!$D$9</f>
        <v>12</v>
      </c>
      <c r="K9538" s="135" t="n">
        <f aca="false">$G9538*'Analyse capacite'!$E$9</f>
        <v>162</v>
      </c>
    </row>
    <row r="9539" customFormat="false" ht="15" hidden="false" customHeight="false" outlineLevel="0" collapsed="false">
      <c r="B9539" s="130" t="n">
        <v>2027</v>
      </c>
      <c r="C9539" s="131" t="s">
        <v>254</v>
      </c>
      <c r="D9539" s="132" t="n">
        <v>46742</v>
      </c>
      <c r="E9539" s="131" t="s">
        <v>59</v>
      </c>
      <c r="F9539" s="133" t="s">
        <v>11</v>
      </c>
      <c r="G9539" s="134" t="n">
        <f aca="false">LEN('Saisie programme'!$E$355)+SUMIFS('Vols additionnels'!$E$7:$E$66,'Vols additionnels'!$C$7:$C$66,$E9539,'Vols additionnels'!$D$7:$D$66,$F9539,'Vols additionnels'!$B$7:$B$66,$D9539)</f>
        <v>0</v>
      </c>
      <c r="H9539" s="135" t="n">
        <f aca="false">$G9539*'Analyse capacite'!$F$7</f>
        <v>0</v>
      </c>
      <c r="I9539" s="135" t="n">
        <f aca="false">$G9539*'Analyse capacite'!$C$7</f>
        <v>0</v>
      </c>
      <c r="J9539" s="135" t="n">
        <f aca="false">$G9539*'Analyse capacite'!$D$7</f>
        <v>0</v>
      </c>
      <c r="K9539" s="135" t="n">
        <f aca="false">$G9539*'Analyse capacite'!$E$7</f>
        <v>0</v>
      </c>
    </row>
    <row r="9540" customFormat="false" ht="15" hidden="false" customHeight="false" outlineLevel="0" collapsed="false">
      <c r="B9540" s="130" t="n">
        <v>2027</v>
      </c>
      <c r="C9540" s="131" t="s">
        <v>254</v>
      </c>
      <c r="D9540" s="132" t="n">
        <v>46742</v>
      </c>
      <c r="E9540" s="131" t="s">
        <v>59</v>
      </c>
      <c r="F9540" s="133" t="s">
        <v>19</v>
      </c>
      <c r="G9540" s="134" t="n">
        <f aca="false">LEN('Saisie programme'!$E$356)+SUMIFS('Vols additionnels'!$E$7:$E$66,'Vols additionnels'!$C$7:$C$66,$E9540,'Vols additionnels'!$D$7:$D$66,$F9540,'Vols additionnels'!$B$7:$B$66,$D9540)</f>
        <v>0</v>
      </c>
      <c r="H9540" s="135" t="n">
        <f aca="false">$G9540*'Analyse capacite'!$F$8</f>
        <v>0</v>
      </c>
      <c r="I9540" s="135" t="n">
        <f aca="false">$G9540*'Analyse capacite'!$C$8</f>
        <v>0</v>
      </c>
      <c r="J9540" s="135" t="n">
        <f aca="false">$G9540*'Analyse capacite'!$D$8</f>
        <v>0</v>
      </c>
      <c r="K9540" s="135" t="n">
        <f aca="false">$G9540*'Analyse capacite'!$E$8</f>
        <v>0</v>
      </c>
    </row>
    <row r="9541" customFormat="false" ht="15" hidden="false" customHeight="false" outlineLevel="0" collapsed="false">
      <c r="B9541" s="130" t="n">
        <v>2027</v>
      </c>
      <c r="C9541" s="131" t="s">
        <v>254</v>
      </c>
      <c r="D9541" s="132" t="n">
        <v>46742</v>
      </c>
      <c r="E9541" s="131" t="s">
        <v>59</v>
      </c>
      <c r="F9541" s="133" t="s">
        <v>24</v>
      </c>
      <c r="G9541" s="134" t="n">
        <f aca="false">LEN('Saisie programme'!$E$357)+SUMIFS('Vols additionnels'!$E$7:$E$66,'Vols additionnels'!$C$7:$C$66,$E9541,'Vols additionnels'!$D$7:$D$66,$F9541,'Vols additionnels'!$B$7:$B$66,$D9541)</f>
        <v>1</v>
      </c>
      <c r="H9541" s="135" t="n">
        <f aca="false">$G9541*'Analyse capacite'!$F$9</f>
        <v>174</v>
      </c>
      <c r="I9541" s="135" t="n">
        <f aca="false">$G9541*'Analyse capacite'!$C$9</f>
        <v>0</v>
      </c>
      <c r="J9541" s="135" t="n">
        <f aca="false">$G9541*'Analyse capacite'!$D$9</f>
        <v>12</v>
      </c>
      <c r="K9541" s="135" t="n">
        <f aca="false">$G9541*'Analyse capacite'!$E$9</f>
        <v>162</v>
      </c>
    </row>
    <row r="9542" customFormat="false" ht="15" hidden="false" customHeight="false" outlineLevel="0" collapsed="false">
      <c r="B9542" s="130" t="n">
        <v>2027</v>
      </c>
      <c r="C9542" s="131" t="s">
        <v>254</v>
      </c>
      <c r="D9542" s="132" t="n">
        <v>46742</v>
      </c>
      <c r="E9542" s="131" t="s">
        <v>62</v>
      </c>
      <c r="F9542" s="133" t="s">
        <v>11</v>
      </c>
      <c r="G9542" s="134" t="n">
        <f aca="false">LEN('Saisie programme'!$E$358)+SUMIFS('Vols additionnels'!$E$7:$E$66,'Vols additionnels'!$C$7:$C$66,$E9542,'Vols additionnels'!$D$7:$D$66,$F9542,'Vols additionnels'!$B$7:$B$66,$D9542)</f>
        <v>0</v>
      </c>
      <c r="H9542" s="135" t="n">
        <f aca="false">$G9542*'Analyse capacite'!$F$7</f>
        <v>0</v>
      </c>
      <c r="I9542" s="135" t="n">
        <f aca="false">$G9542*'Analyse capacite'!$C$7</f>
        <v>0</v>
      </c>
      <c r="J9542" s="135" t="n">
        <f aca="false">$G9542*'Analyse capacite'!$D$7</f>
        <v>0</v>
      </c>
      <c r="K9542" s="135" t="n">
        <f aca="false">$G9542*'Analyse capacite'!$E$7</f>
        <v>0</v>
      </c>
    </row>
    <row r="9543" customFormat="false" ht="15" hidden="false" customHeight="false" outlineLevel="0" collapsed="false">
      <c r="B9543" s="130" t="n">
        <v>2027</v>
      </c>
      <c r="C9543" s="131" t="s">
        <v>254</v>
      </c>
      <c r="D9543" s="132" t="n">
        <v>46742</v>
      </c>
      <c r="E9543" s="131" t="s">
        <v>62</v>
      </c>
      <c r="F9543" s="133" t="s">
        <v>19</v>
      </c>
      <c r="G9543" s="134" t="n">
        <f aca="false">LEN('Saisie programme'!$E$359)+SUMIFS('Vols additionnels'!$E$7:$E$66,'Vols additionnels'!$C$7:$C$66,$E9543,'Vols additionnels'!$D$7:$D$66,$F9543,'Vols additionnels'!$B$7:$B$66,$D9543)</f>
        <v>0</v>
      </c>
      <c r="H9543" s="135" t="n">
        <f aca="false">$G9543*'Analyse capacite'!$F$8</f>
        <v>0</v>
      </c>
      <c r="I9543" s="135" t="n">
        <f aca="false">$G9543*'Analyse capacite'!$C$8</f>
        <v>0</v>
      </c>
      <c r="J9543" s="135" t="n">
        <f aca="false">$G9543*'Analyse capacite'!$D$8</f>
        <v>0</v>
      </c>
      <c r="K9543" s="135" t="n">
        <f aca="false">$G9543*'Analyse capacite'!$E$8</f>
        <v>0</v>
      </c>
    </row>
    <row r="9544" customFormat="false" ht="15" hidden="false" customHeight="false" outlineLevel="0" collapsed="false">
      <c r="B9544" s="130" t="n">
        <v>2027</v>
      </c>
      <c r="C9544" s="131" t="s">
        <v>254</v>
      </c>
      <c r="D9544" s="132" t="n">
        <v>46742</v>
      </c>
      <c r="E9544" s="131" t="s">
        <v>62</v>
      </c>
      <c r="F9544" s="133" t="s">
        <v>24</v>
      </c>
      <c r="G9544" s="134" t="n">
        <f aca="false">LEN('Saisie programme'!$E$360)+SUMIFS('Vols additionnels'!$E$7:$E$66,'Vols additionnels'!$C$7:$C$66,$E9544,'Vols additionnels'!$D$7:$D$66,$F9544,'Vols additionnels'!$B$7:$B$66,$D9544)</f>
        <v>0</v>
      </c>
      <c r="H9544" s="135" t="n">
        <f aca="false">$G9544*'Analyse capacite'!$F$9</f>
        <v>0</v>
      </c>
      <c r="I9544" s="135" t="n">
        <f aca="false">$G9544*'Analyse capacite'!$C$9</f>
        <v>0</v>
      </c>
      <c r="J9544" s="135" t="n">
        <f aca="false">$G9544*'Analyse capacite'!$D$9</f>
        <v>0</v>
      </c>
      <c r="K9544" s="135" t="n">
        <f aca="false">$G9544*'Analyse capacite'!$E$9</f>
        <v>0</v>
      </c>
    </row>
    <row r="9545" customFormat="false" ht="15" hidden="false" customHeight="false" outlineLevel="0" collapsed="false">
      <c r="B9545" s="130" t="n">
        <v>2027</v>
      </c>
      <c r="C9545" s="131" t="s">
        <v>254</v>
      </c>
      <c r="D9545" s="132" t="n">
        <v>46743</v>
      </c>
      <c r="E9545" s="131" t="s">
        <v>12</v>
      </c>
      <c r="F9545" s="133" t="s">
        <v>11</v>
      </c>
      <c r="G9545" s="134" t="n">
        <f aca="false">LEN('Saisie programme'!$F$325)+SUMIFS('Vols additionnels'!$E$7:$E$66,'Vols additionnels'!$C$7:$C$66,$E9545,'Vols additionnels'!$D$7:$D$66,$F9545,'Vols additionnels'!$B$7:$B$66,$D9545)</f>
        <v>1</v>
      </c>
      <c r="H9545" s="135" t="n">
        <f aca="false">$G9545*'Analyse capacite'!$F$7</f>
        <v>438</v>
      </c>
      <c r="I9545" s="135" t="n">
        <f aca="false">$G9545*'Analyse capacite'!$C$7</f>
        <v>14</v>
      </c>
      <c r="J9545" s="135" t="n">
        <f aca="false">$G9545*'Analyse capacite'!$D$7</f>
        <v>40</v>
      </c>
      <c r="K9545" s="135" t="n">
        <f aca="false">$G9545*'Analyse capacite'!$E$7</f>
        <v>384</v>
      </c>
    </row>
    <row r="9546" customFormat="false" ht="15" hidden="false" customHeight="false" outlineLevel="0" collapsed="false">
      <c r="B9546" s="130" t="n">
        <v>2027</v>
      </c>
      <c r="C9546" s="131" t="s">
        <v>254</v>
      </c>
      <c r="D9546" s="132" t="n">
        <v>46743</v>
      </c>
      <c r="E9546" s="131" t="s">
        <v>12</v>
      </c>
      <c r="F9546" s="133" t="s">
        <v>19</v>
      </c>
      <c r="G9546" s="134" t="n">
        <f aca="false">LEN('Saisie programme'!$F$326)+SUMIFS('Vols additionnels'!$E$7:$E$66,'Vols additionnels'!$C$7:$C$66,$E9546,'Vols additionnels'!$D$7:$D$66,$F9546,'Vols additionnels'!$B$7:$B$66,$D9546)</f>
        <v>0</v>
      </c>
      <c r="H9546" s="135" t="n">
        <f aca="false">$G9546*'Analyse capacite'!$F$8</f>
        <v>0</v>
      </c>
      <c r="I9546" s="135" t="n">
        <f aca="false">$G9546*'Analyse capacite'!$C$8</f>
        <v>0</v>
      </c>
      <c r="J9546" s="135" t="n">
        <f aca="false">$G9546*'Analyse capacite'!$D$8</f>
        <v>0</v>
      </c>
      <c r="K9546" s="135" t="n">
        <f aca="false">$G9546*'Analyse capacite'!$E$8</f>
        <v>0</v>
      </c>
    </row>
    <row r="9547" customFormat="false" ht="15" hidden="false" customHeight="false" outlineLevel="0" collapsed="false">
      <c r="B9547" s="130" t="n">
        <v>2027</v>
      </c>
      <c r="C9547" s="131" t="s">
        <v>254</v>
      </c>
      <c r="D9547" s="132" t="n">
        <v>46743</v>
      </c>
      <c r="E9547" s="131" t="s">
        <v>12</v>
      </c>
      <c r="F9547" s="133" t="s">
        <v>24</v>
      </c>
      <c r="G9547" s="134" t="n">
        <f aca="false">LEN('Saisie programme'!$F$327)+SUMIFS('Vols additionnels'!$E$7:$E$66,'Vols additionnels'!$C$7:$C$66,$E9547,'Vols additionnels'!$D$7:$D$66,$F9547,'Vols additionnels'!$B$7:$B$66,$D9547)</f>
        <v>0</v>
      </c>
      <c r="H9547" s="135" t="n">
        <f aca="false">$G9547*'Analyse capacite'!$F$9</f>
        <v>0</v>
      </c>
      <c r="I9547" s="135" t="n">
        <f aca="false">$G9547*'Analyse capacite'!$C$9</f>
        <v>0</v>
      </c>
      <c r="J9547" s="135" t="n">
        <f aca="false">$G9547*'Analyse capacite'!$D$9</f>
        <v>0</v>
      </c>
      <c r="K9547" s="135" t="n">
        <f aca="false">$G9547*'Analyse capacite'!$E$9</f>
        <v>0</v>
      </c>
    </row>
    <row r="9548" customFormat="false" ht="15" hidden="false" customHeight="false" outlineLevel="0" collapsed="false">
      <c r="B9548" s="130" t="n">
        <v>2027</v>
      </c>
      <c r="C9548" s="131" t="s">
        <v>254</v>
      </c>
      <c r="D9548" s="132" t="n">
        <v>46743</v>
      </c>
      <c r="E9548" s="131" t="s">
        <v>20</v>
      </c>
      <c r="F9548" s="133" t="s">
        <v>11</v>
      </c>
      <c r="G9548" s="134" t="n">
        <f aca="false">LEN('Saisie programme'!$F$328)+SUMIFS('Vols additionnels'!$E$7:$E$66,'Vols additionnels'!$C$7:$C$66,$E9548,'Vols additionnels'!$D$7:$D$66,$F9548,'Vols additionnels'!$B$7:$B$66,$D9548)</f>
        <v>0</v>
      </c>
      <c r="H9548" s="135" t="n">
        <f aca="false">$G9548*'Analyse capacite'!$F$7</f>
        <v>0</v>
      </c>
      <c r="I9548" s="135" t="n">
        <f aca="false">$G9548*'Analyse capacite'!$C$7</f>
        <v>0</v>
      </c>
      <c r="J9548" s="135" t="n">
        <f aca="false">$G9548*'Analyse capacite'!$D$7</f>
        <v>0</v>
      </c>
      <c r="K9548" s="135" t="n">
        <f aca="false">$G9548*'Analyse capacite'!$E$7</f>
        <v>0</v>
      </c>
    </row>
    <row r="9549" customFormat="false" ht="15" hidden="false" customHeight="false" outlineLevel="0" collapsed="false">
      <c r="B9549" s="130" t="n">
        <v>2027</v>
      </c>
      <c r="C9549" s="131" t="s">
        <v>254</v>
      </c>
      <c r="D9549" s="132" t="n">
        <v>46743</v>
      </c>
      <c r="E9549" s="131" t="s">
        <v>20</v>
      </c>
      <c r="F9549" s="133" t="s">
        <v>19</v>
      </c>
      <c r="G9549" s="134" t="n">
        <f aca="false">LEN('Saisie programme'!$F$329)+SUMIFS('Vols additionnels'!$E$7:$E$66,'Vols additionnels'!$C$7:$C$66,$E9549,'Vols additionnels'!$D$7:$D$66,$F9549,'Vols additionnels'!$B$7:$B$66,$D9549)</f>
        <v>0</v>
      </c>
      <c r="H9549" s="135" t="n">
        <f aca="false">$G9549*'Analyse capacite'!$F$8</f>
        <v>0</v>
      </c>
      <c r="I9549" s="135" t="n">
        <f aca="false">$G9549*'Analyse capacite'!$C$8</f>
        <v>0</v>
      </c>
      <c r="J9549" s="135" t="n">
        <f aca="false">$G9549*'Analyse capacite'!$D$8</f>
        <v>0</v>
      </c>
      <c r="K9549" s="135" t="n">
        <f aca="false">$G9549*'Analyse capacite'!$E$8</f>
        <v>0</v>
      </c>
    </row>
    <row r="9550" customFormat="false" ht="15" hidden="false" customHeight="false" outlineLevel="0" collapsed="false">
      <c r="B9550" s="130" t="n">
        <v>2027</v>
      </c>
      <c r="C9550" s="131" t="s">
        <v>254</v>
      </c>
      <c r="D9550" s="132" t="n">
        <v>46743</v>
      </c>
      <c r="E9550" s="131" t="s">
        <v>20</v>
      </c>
      <c r="F9550" s="133" t="s">
        <v>24</v>
      </c>
      <c r="G9550" s="134" t="n">
        <f aca="false">LEN('Saisie programme'!$F$330)+SUMIFS('Vols additionnels'!$E$7:$E$66,'Vols additionnels'!$C$7:$C$66,$E9550,'Vols additionnels'!$D$7:$D$66,$F9550,'Vols additionnels'!$B$7:$B$66,$D9550)</f>
        <v>0</v>
      </c>
      <c r="H9550" s="135" t="n">
        <f aca="false">$G9550*'Analyse capacite'!$F$9</f>
        <v>0</v>
      </c>
      <c r="I9550" s="135" t="n">
        <f aca="false">$G9550*'Analyse capacite'!$C$9</f>
        <v>0</v>
      </c>
      <c r="J9550" s="135" t="n">
        <f aca="false">$G9550*'Analyse capacite'!$D$9</f>
        <v>0</v>
      </c>
      <c r="K9550" s="135" t="n">
        <f aca="false">$G9550*'Analyse capacite'!$E$9</f>
        <v>0</v>
      </c>
    </row>
    <row r="9551" customFormat="false" ht="15" hidden="false" customHeight="false" outlineLevel="0" collapsed="false">
      <c r="B9551" s="130" t="n">
        <v>2027</v>
      </c>
      <c r="C9551" s="131" t="s">
        <v>254</v>
      </c>
      <c r="D9551" s="132" t="n">
        <v>46743</v>
      </c>
      <c r="E9551" s="131" t="s">
        <v>25</v>
      </c>
      <c r="F9551" s="133" t="s">
        <v>11</v>
      </c>
      <c r="G9551" s="134" t="n">
        <f aca="false">LEN('Saisie programme'!$F$331)+SUMIFS('Vols additionnels'!$E$7:$E$66,'Vols additionnels'!$C$7:$C$66,$E9551,'Vols additionnels'!$D$7:$D$66,$F9551,'Vols additionnels'!$B$7:$B$66,$D9551)</f>
        <v>0</v>
      </c>
      <c r="H9551" s="135" t="n">
        <f aca="false">$G9551*'Analyse capacite'!$F$7</f>
        <v>0</v>
      </c>
      <c r="I9551" s="135" t="n">
        <f aca="false">$G9551*'Analyse capacite'!$C$7</f>
        <v>0</v>
      </c>
      <c r="J9551" s="135" t="n">
        <f aca="false">$G9551*'Analyse capacite'!$D$7</f>
        <v>0</v>
      </c>
      <c r="K9551" s="135" t="n">
        <f aca="false">$G9551*'Analyse capacite'!$E$7</f>
        <v>0</v>
      </c>
    </row>
    <row r="9552" customFormat="false" ht="15" hidden="false" customHeight="false" outlineLevel="0" collapsed="false">
      <c r="B9552" s="130" t="n">
        <v>2027</v>
      </c>
      <c r="C9552" s="131" t="s">
        <v>254</v>
      </c>
      <c r="D9552" s="132" t="n">
        <v>46743</v>
      </c>
      <c r="E9552" s="131" t="s">
        <v>25</v>
      </c>
      <c r="F9552" s="133" t="s">
        <v>19</v>
      </c>
      <c r="G9552" s="134" t="n">
        <f aca="false">LEN('Saisie programme'!$F$332)+SUMIFS('Vols additionnels'!$E$7:$E$66,'Vols additionnels'!$C$7:$C$66,$E9552,'Vols additionnels'!$D$7:$D$66,$F9552,'Vols additionnels'!$B$7:$B$66,$D9552)</f>
        <v>1</v>
      </c>
      <c r="H9552" s="135" t="n">
        <f aca="false">$G9552*'Analyse capacite'!$F$8</f>
        <v>262</v>
      </c>
      <c r="I9552" s="135" t="n">
        <f aca="false">$G9552*'Analyse capacite'!$C$8</f>
        <v>18</v>
      </c>
      <c r="J9552" s="135" t="n">
        <f aca="false">$G9552*'Analyse capacite'!$D$8</f>
        <v>0</v>
      </c>
      <c r="K9552" s="135" t="n">
        <f aca="false">$G9552*'Analyse capacite'!$E$8</f>
        <v>244</v>
      </c>
    </row>
    <row r="9553" customFormat="false" ht="15" hidden="false" customHeight="false" outlineLevel="0" collapsed="false">
      <c r="B9553" s="130" t="n">
        <v>2027</v>
      </c>
      <c r="C9553" s="131" t="s">
        <v>254</v>
      </c>
      <c r="D9553" s="132" t="n">
        <v>46743</v>
      </c>
      <c r="E9553" s="131" t="s">
        <v>25</v>
      </c>
      <c r="F9553" s="133" t="s">
        <v>24</v>
      </c>
      <c r="G9553" s="134" t="n">
        <f aca="false">LEN('Saisie programme'!$F$333)+SUMIFS('Vols additionnels'!$E$7:$E$66,'Vols additionnels'!$C$7:$C$66,$E9553,'Vols additionnels'!$D$7:$D$66,$F9553,'Vols additionnels'!$B$7:$B$66,$D9553)</f>
        <v>0</v>
      </c>
      <c r="H9553" s="135" t="n">
        <f aca="false">$G9553*'Analyse capacite'!$F$9</f>
        <v>0</v>
      </c>
      <c r="I9553" s="135" t="n">
        <f aca="false">$G9553*'Analyse capacite'!$C$9</f>
        <v>0</v>
      </c>
      <c r="J9553" s="135" t="n">
        <f aca="false">$G9553*'Analyse capacite'!$D$9</f>
        <v>0</v>
      </c>
      <c r="K9553" s="135" t="n">
        <f aca="false">$G9553*'Analyse capacite'!$E$9</f>
        <v>0</v>
      </c>
    </row>
    <row r="9554" customFormat="false" ht="15" hidden="false" customHeight="false" outlineLevel="0" collapsed="false">
      <c r="B9554" s="130" t="n">
        <v>2027</v>
      </c>
      <c r="C9554" s="131" t="s">
        <v>254</v>
      </c>
      <c r="D9554" s="132" t="n">
        <v>46743</v>
      </c>
      <c r="E9554" s="131" t="s">
        <v>36</v>
      </c>
      <c r="F9554" s="133" t="s">
        <v>11</v>
      </c>
      <c r="G9554" s="134" t="n">
        <f aca="false">LEN('Saisie programme'!$F$334)+SUMIFS('Vols additionnels'!$E$7:$E$66,'Vols additionnels'!$C$7:$C$66,$E9554,'Vols additionnels'!$D$7:$D$66,$F9554,'Vols additionnels'!$B$7:$B$66,$D9554)</f>
        <v>0</v>
      </c>
      <c r="H9554" s="135" t="n">
        <f aca="false">$G9554*'Analyse capacite'!$F$7</f>
        <v>0</v>
      </c>
      <c r="I9554" s="135" t="n">
        <f aca="false">$G9554*'Analyse capacite'!$C$7</f>
        <v>0</v>
      </c>
      <c r="J9554" s="135" t="n">
        <f aca="false">$G9554*'Analyse capacite'!$D$7</f>
        <v>0</v>
      </c>
      <c r="K9554" s="135" t="n">
        <f aca="false">$G9554*'Analyse capacite'!$E$7</f>
        <v>0</v>
      </c>
    </row>
    <row r="9555" customFormat="false" ht="15" hidden="false" customHeight="false" outlineLevel="0" collapsed="false">
      <c r="B9555" s="130" t="n">
        <v>2027</v>
      </c>
      <c r="C9555" s="131" t="s">
        <v>254</v>
      </c>
      <c r="D9555" s="132" t="n">
        <v>46743</v>
      </c>
      <c r="E9555" s="131" t="s">
        <v>36</v>
      </c>
      <c r="F9555" s="133" t="s">
        <v>19</v>
      </c>
      <c r="G9555" s="134" t="n">
        <f aca="false">LEN('Saisie programme'!$F$335)+SUMIFS('Vols additionnels'!$E$7:$E$66,'Vols additionnels'!$C$7:$C$66,$E9555,'Vols additionnels'!$D$7:$D$66,$F9555,'Vols additionnels'!$B$7:$B$66,$D9555)</f>
        <v>1</v>
      </c>
      <c r="H9555" s="135" t="n">
        <f aca="false">$G9555*'Analyse capacite'!$F$8</f>
        <v>262</v>
      </c>
      <c r="I9555" s="135" t="n">
        <f aca="false">$G9555*'Analyse capacite'!$C$8</f>
        <v>18</v>
      </c>
      <c r="J9555" s="135" t="n">
        <f aca="false">$G9555*'Analyse capacite'!$D$8</f>
        <v>0</v>
      </c>
      <c r="K9555" s="135" t="n">
        <f aca="false">$G9555*'Analyse capacite'!$E$8</f>
        <v>244</v>
      </c>
    </row>
    <row r="9556" customFormat="false" ht="15" hidden="false" customHeight="false" outlineLevel="0" collapsed="false">
      <c r="B9556" s="130" t="n">
        <v>2027</v>
      </c>
      <c r="C9556" s="131" t="s">
        <v>254</v>
      </c>
      <c r="D9556" s="132" t="n">
        <v>46743</v>
      </c>
      <c r="E9556" s="131" t="s">
        <v>36</v>
      </c>
      <c r="F9556" s="133" t="s">
        <v>24</v>
      </c>
      <c r="G9556" s="134" t="n">
        <f aca="false">LEN('Saisie programme'!$F$336)+SUMIFS('Vols additionnels'!$E$7:$E$66,'Vols additionnels'!$C$7:$C$66,$E9556,'Vols additionnels'!$D$7:$D$66,$F9556,'Vols additionnels'!$B$7:$B$66,$D9556)</f>
        <v>1</v>
      </c>
      <c r="H9556" s="135" t="n">
        <f aca="false">$G9556*'Analyse capacite'!$F$9</f>
        <v>174</v>
      </c>
      <c r="I9556" s="135" t="n">
        <f aca="false">$G9556*'Analyse capacite'!$C$9</f>
        <v>0</v>
      </c>
      <c r="J9556" s="135" t="n">
        <f aca="false">$G9556*'Analyse capacite'!$D$9</f>
        <v>12</v>
      </c>
      <c r="K9556" s="135" t="n">
        <f aca="false">$G9556*'Analyse capacite'!$E$9</f>
        <v>162</v>
      </c>
    </row>
    <row r="9557" customFormat="false" ht="15" hidden="false" customHeight="false" outlineLevel="0" collapsed="false">
      <c r="B9557" s="130" t="n">
        <v>2027</v>
      </c>
      <c r="C9557" s="131" t="s">
        <v>254</v>
      </c>
      <c r="D9557" s="132" t="n">
        <v>46743</v>
      </c>
      <c r="E9557" s="131" t="s">
        <v>40</v>
      </c>
      <c r="F9557" s="133" t="s">
        <v>11</v>
      </c>
      <c r="G9557" s="134" t="n">
        <f aca="false">LEN('Saisie programme'!$F$337)+SUMIFS('Vols additionnels'!$E$7:$E$66,'Vols additionnels'!$C$7:$C$66,$E9557,'Vols additionnels'!$D$7:$D$66,$F9557,'Vols additionnels'!$B$7:$B$66,$D9557)</f>
        <v>0</v>
      </c>
      <c r="H9557" s="135" t="n">
        <f aca="false">$G9557*'Analyse capacite'!$F$7</f>
        <v>0</v>
      </c>
      <c r="I9557" s="135" t="n">
        <f aca="false">$G9557*'Analyse capacite'!$C$7</f>
        <v>0</v>
      </c>
      <c r="J9557" s="135" t="n">
        <f aca="false">$G9557*'Analyse capacite'!$D$7</f>
        <v>0</v>
      </c>
      <c r="K9557" s="135" t="n">
        <f aca="false">$G9557*'Analyse capacite'!$E$7</f>
        <v>0</v>
      </c>
    </row>
    <row r="9558" customFormat="false" ht="15" hidden="false" customHeight="false" outlineLevel="0" collapsed="false">
      <c r="B9558" s="130" t="n">
        <v>2027</v>
      </c>
      <c r="C9558" s="131" t="s">
        <v>254</v>
      </c>
      <c r="D9558" s="132" t="n">
        <v>46743</v>
      </c>
      <c r="E9558" s="131" t="s">
        <v>40</v>
      </c>
      <c r="F9558" s="133" t="s">
        <v>19</v>
      </c>
      <c r="G9558" s="134" t="n">
        <f aca="false">LEN('Saisie programme'!$F$338)+SUMIFS('Vols additionnels'!$E$7:$E$66,'Vols additionnels'!$C$7:$C$66,$E9558,'Vols additionnels'!$D$7:$D$66,$F9558,'Vols additionnels'!$B$7:$B$66,$D9558)</f>
        <v>0</v>
      </c>
      <c r="H9558" s="135" t="n">
        <f aca="false">$G9558*'Analyse capacite'!$F$8</f>
        <v>0</v>
      </c>
      <c r="I9558" s="135" t="n">
        <f aca="false">$G9558*'Analyse capacite'!$C$8</f>
        <v>0</v>
      </c>
      <c r="J9558" s="135" t="n">
        <f aca="false">$G9558*'Analyse capacite'!$D$8</f>
        <v>0</v>
      </c>
      <c r="K9558" s="135" t="n">
        <f aca="false">$G9558*'Analyse capacite'!$E$8</f>
        <v>0</v>
      </c>
    </row>
    <row r="9559" customFormat="false" ht="15" hidden="false" customHeight="false" outlineLevel="0" collapsed="false">
      <c r="B9559" s="130" t="n">
        <v>2027</v>
      </c>
      <c r="C9559" s="131" t="s">
        <v>254</v>
      </c>
      <c r="D9559" s="132" t="n">
        <v>46743</v>
      </c>
      <c r="E9559" s="131" t="s">
        <v>40</v>
      </c>
      <c r="F9559" s="133" t="s">
        <v>24</v>
      </c>
      <c r="G9559" s="134" t="n">
        <f aca="false">LEN('Saisie programme'!$F$339)+SUMIFS('Vols additionnels'!$E$7:$E$66,'Vols additionnels'!$C$7:$C$66,$E9559,'Vols additionnels'!$D$7:$D$66,$F9559,'Vols additionnels'!$B$7:$B$66,$D9559)</f>
        <v>1</v>
      </c>
      <c r="H9559" s="135" t="n">
        <f aca="false">$G9559*'Analyse capacite'!$F$9</f>
        <v>174</v>
      </c>
      <c r="I9559" s="135" t="n">
        <f aca="false">$G9559*'Analyse capacite'!$C$9</f>
        <v>0</v>
      </c>
      <c r="J9559" s="135" t="n">
        <f aca="false">$G9559*'Analyse capacite'!$D$9</f>
        <v>12</v>
      </c>
      <c r="K9559" s="135" t="n">
        <f aca="false">$G9559*'Analyse capacite'!$E$9</f>
        <v>162</v>
      </c>
    </row>
    <row r="9560" customFormat="false" ht="15" hidden="false" customHeight="false" outlineLevel="0" collapsed="false">
      <c r="B9560" s="130" t="n">
        <v>2027</v>
      </c>
      <c r="C9560" s="131" t="s">
        <v>254</v>
      </c>
      <c r="D9560" s="132" t="n">
        <v>46743</v>
      </c>
      <c r="E9560" s="131" t="s">
        <v>14</v>
      </c>
      <c r="F9560" s="133" t="s">
        <v>11</v>
      </c>
      <c r="G9560" s="134" t="n">
        <f aca="false">LEN('Saisie programme'!$F$340)+SUMIFS('Vols additionnels'!$E$7:$E$66,'Vols additionnels'!$C$7:$C$66,$E9560,'Vols additionnels'!$D$7:$D$66,$F9560,'Vols additionnels'!$B$7:$B$66,$D9560)</f>
        <v>0</v>
      </c>
      <c r="H9560" s="135" t="n">
        <f aca="false">$G9560*'Analyse capacite'!$F$7</f>
        <v>0</v>
      </c>
      <c r="I9560" s="135" t="n">
        <f aca="false">$G9560*'Analyse capacite'!$C$7</f>
        <v>0</v>
      </c>
      <c r="J9560" s="135" t="n">
        <f aca="false">$G9560*'Analyse capacite'!$D$7</f>
        <v>0</v>
      </c>
      <c r="K9560" s="135" t="n">
        <f aca="false">$G9560*'Analyse capacite'!$E$7</f>
        <v>0</v>
      </c>
    </row>
    <row r="9561" customFormat="false" ht="15" hidden="false" customHeight="false" outlineLevel="0" collapsed="false">
      <c r="B9561" s="130" t="n">
        <v>2027</v>
      </c>
      <c r="C9561" s="131" t="s">
        <v>254</v>
      </c>
      <c r="D9561" s="132" t="n">
        <v>46743</v>
      </c>
      <c r="E9561" s="131" t="s">
        <v>14</v>
      </c>
      <c r="F9561" s="133" t="s">
        <v>19</v>
      </c>
      <c r="G9561" s="134" t="n">
        <f aca="false">LEN('Saisie programme'!$F$341)+SUMIFS('Vols additionnels'!$E$7:$E$66,'Vols additionnels'!$C$7:$C$66,$E9561,'Vols additionnels'!$D$7:$D$66,$F9561,'Vols additionnels'!$B$7:$B$66,$D9561)</f>
        <v>0</v>
      </c>
      <c r="H9561" s="135" t="n">
        <f aca="false">$G9561*'Analyse capacite'!$F$8</f>
        <v>0</v>
      </c>
      <c r="I9561" s="135" t="n">
        <f aca="false">$G9561*'Analyse capacite'!$C$8</f>
        <v>0</v>
      </c>
      <c r="J9561" s="135" t="n">
        <f aca="false">$G9561*'Analyse capacite'!$D$8</f>
        <v>0</v>
      </c>
      <c r="K9561" s="135" t="n">
        <f aca="false">$G9561*'Analyse capacite'!$E$8</f>
        <v>0</v>
      </c>
    </row>
    <row r="9562" customFormat="false" ht="15" hidden="false" customHeight="false" outlineLevel="0" collapsed="false">
      <c r="B9562" s="130" t="n">
        <v>2027</v>
      </c>
      <c r="C9562" s="131" t="s">
        <v>254</v>
      </c>
      <c r="D9562" s="132" t="n">
        <v>46743</v>
      </c>
      <c r="E9562" s="131" t="s">
        <v>14</v>
      </c>
      <c r="F9562" s="133" t="s">
        <v>24</v>
      </c>
      <c r="G9562" s="134" t="n">
        <f aca="false">LEN('Saisie programme'!$F$342)+SUMIFS('Vols additionnels'!$E$7:$E$66,'Vols additionnels'!$C$7:$C$66,$E9562,'Vols additionnels'!$D$7:$D$66,$F9562,'Vols additionnels'!$B$7:$B$66,$D9562)</f>
        <v>0</v>
      </c>
      <c r="H9562" s="135" t="n">
        <f aca="false">$G9562*'Analyse capacite'!$F$9</f>
        <v>0</v>
      </c>
      <c r="I9562" s="135" t="n">
        <f aca="false">$G9562*'Analyse capacite'!$C$9</f>
        <v>0</v>
      </c>
      <c r="J9562" s="135" t="n">
        <f aca="false">$G9562*'Analyse capacite'!$D$9</f>
        <v>0</v>
      </c>
      <c r="K9562" s="135" t="n">
        <f aca="false">$G9562*'Analyse capacite'!$E$9</f>
        <v>0</v>
      </c>
    </row>
    <row r="9563" customFormat="false" ht="15" hidden="false" customHeight="false" outlineLevel="0" collapsed="false">
      <c r="B9563" s="130" t="n">
        <v>2027</v>
      </c>
      <c r="C9563" s="131" t="s">
        <v>254</v>
      </c>
      <c r="D9563" s="132" t="n">
        <v>46743</v>
      </c>
      <c r="E9563" s="131" t="s">
        <v>46</v>
      </c>
      <c r="F9563" s="133" t="s">
        <v>11</v>
      </c>
      <c r="G9563" s="134" t="n">
        <f aca="false">LEN('Saisie programme'!$F$343)+SUMIFS('Vols additionnels'!$E$7:$E$66,'Vols additionnels'!$C$7:$C$66,$E9563,'Vols additionnels'!$D$7:$D$66,$F9563,'Vols additionnels'!$B$7:$B$66,$D9563)</f>
        <v>0</v>
      </c>
      <c r="H9563" s="135" t="n">
        <f aca="false">$G9563*'Analyse capacite'!$F$7</f>
        <v>0</v>
      </c>
      <c r="I9563" s="135" t="n">
        <f aca="false">$G9563*'Analyse capacite'!$C$7</f>
        <v>0</v>
      </c>
      <c r="J9563" s="135" t="n">
        <f aca="false">$G9563*'Analyse capacite'!$D$7</f>
        <v>0</v>
      </c>
      <c r="K9563" s="135" t="n">
        <f aca="false">$G9563*'Analyse capacite'!$E$7</f>
        <v>0</v>
      </c>
    </row>
    <row r="9564" customFormat="false" ht="15" hidden="false" customHeight="false" outlineLevel="0" collapsed="false">
      <c r="B9564" s="130" t="n">
        <v>2027</v>
      </c>
      <c r="C9564" s="131" t="s">
        <v>254</v>
      </c>
      <c r="D9564" s="132" t="n">
        <v>46743</v>
      </c>
      <c r="E9564" s="131" t="s">
        <v>46</v>
      </c>
      <c r="F9564" s="133" t="s">
        <v>19</v>
      </c>
      <c r="G9564" s="134" t="n">
        <f aca="false">LEN('Saisie programme'!$F$344)+SUMIFS('Vols additionnels'!$E$7:$E$66,'Vols additionnels'!$C$7:$C$66,$E9564,'Vols additionnels'!$D$7:$D$66,$F9564,'Vols additionnels'!$B$7:$B$66,$D9564)</f>
        <v>0</v>
      </c>
      <c r="H9564" s="135" t="n">
        <f aca="false">$G9564*'Analyse capacite'!$F$8</f>
        <v>0</v>
      </c>
      <c r="I9564" s="135" t="n">
        <f aca="false">$G9564*'Analyse capacite'!$C$8</f>
        <v>0</v>
      </c>
      <c r="J9564" s="135" t="n">
        <f aca="false">$G9564*'Analyse capacite'!$D$8</f>
        <v>0</v>
      </c>
      <c r="K9564" s="135" t="n">
        <f aca="false">$G9564*'Analyse capacite'!$E$8</f>
        <v>0</v>
      </c>
    </row>
    <row r="9565" customFormat="false" ht="15" hidden="false" customHeight="false" outlineLevel="0" collapsed="false">
      <c r="B9565" s="130" t="n">
        <v>2027</v>
      </c>
      <c r="C9565" s="131" t="s">
        <v>254</v>
      </c>
      <c r="D9565" s="132" t="n">
        <v>46743</v>
      </c>
      <c r="E9565" s="131" t="s">
        <v>46</v>
      </c>
      <c r="F9565" s="133" t="s">
        <v>24</v>
      </c>
      <c r="G9565" s="134" t="n">
        <f aca="false">LEN('Saisie programme'!$F$345)+SUMIFS('Vols additionnels'!$E$7:$E$66,'Vols additionnels'!$C$7:$C$66,$E9565,'Vols additionnels'!$D$7:$D$66,$F9565,'Vols additionnels'!$B$7:$B$66,$D9565)</f>
        <v>0</v>
      </c>
      <c r="H9565" s="135" t="n">
        <f aca="false">$G9565*'Analyse capacite'!$F$9</f>
        <v>0</v>
      </c>
      <c r="I9565" s="135" t="n">
        <f aca="false">$G9565*'Analyse capacite'!$C$9</f>
        <v>0</v>
      </c>
      <c r="J9565" s="135" t="n">
        <f aca="false">$G9565*'Analyse capacite'!$D$9</f>
        <v>0</v>
      </c>
      <c r="K9565" s="135" t="n">
        <f aca="false">$G9565*'Analyse capacite'!$E$9</f>
        <v>0</v>
      </c>
    </row>
    <row r="9566" customFormat="false" ht="15" hidden="false" customHeight="false" outlineLevel="0" collapsed="false">
      <c r="B9566" s="130" t="n">
        <v>2027</v>
      </c>
      <c r="C9566" s="131" t="s">
        <v>254</v>
      </c>
      <c r="D9566" s="132" t="n">
        <v>46743</v>
      </c>
      <c r="E9566" s="131" t="s">
        <v>49</v>
      </c>
      <c r="F9566" s="133" t="s">
        <v>11</v>
      </c>
      <c r="G9566" s="134" t="n">
        <f aca="false">LEN('Saisie programme'!$F$346)+SUMIFS('Vols additionnels'!$E$7:$E$66,'Vols additionnels'!$C$7:$C$66,$E9566,'Vols additionnels'!$D$7:$D$66,$F9566,'Vols additionnels'!$B$7:$B$66,$D9566)</f>
        <v>0</v>
      </c>
      <c r="H9566" s="135" t="n">
        <f aca="false">$G9566*'Analyse capacite'!$F$7</f>
        <v>0</v>
      </c>
      <c r="I9566" s="135" t="n">
        <f aca="false">$G9566*'Analyse capacite'!$C$7</f>
        <v>0</v>
      </c>
      <c r="J9566" s="135" t="n">
        <f aca="false">$G9566*'Analyse capacite'!$D$7</f>
        <v>0</v>
      </c>
      <c r="K9566" s="135" t="n">
        <f aca="false">$G9566*'Analyse capacite'!$E$7</f>
        <v>0</v>
      </c>
    </row>
    <row r="9567" customFormat="false" ht="15" hidden="false" customHeight="false" outlineLevel="0" collapsed="false">
      <c r="B9567" s="130" t="n">
        <v>2027</v>
      </c>
      <c r="C9567" s="131" t="s">
        <v>254</v>
      </c>
      <c r="D9567" s="132" t="n">
        <v>46743</v>
      </c>
      <c r="E9567" s="131" t="s">
        <v>49</v>
      </c>
      <c r="F9567" s="133" t="s">
        <v>19</v>
      </c>
      <c r="G9567" s="134" t="n">
        <f aca="false">LEN('Saisie programme'!$F$347)+SUMIFS('Vols additionnels'!$E$7:$E$66,'Vols additionnels'!$C$7:$C$66,$E9567,'Vols additionnels'!$D$7:$D$66,$F9567,'Vols additionnels'!$B$7:$B$66,$D9567)</f>
        <v>0</v>
      </c>
      <c r="H9567" s="135" t="n">
        <f aca="false">$G9567*'Analyse capacite'!$F$8</f>
        <v>0</v>
      </c>
      <c r="I9567" s="135" t="n">
        <f aca="false">$G9567*'Analyse capacite'!$C$8</f>
        <v>0</v>
      </c>
      <c r="J9567" s="135" t="n">
        <f aca="false">$G9567*'Analyse capacite'!$D$8</f>
        <v>0</v>
      </c>
      <c r="K9567" s="135" t="n">
        <f aca="false">$G9567*'Analyse capacite'!$E$8</f>
        <v>0</v>
      </c>
    </row>
    <row r="9568" customFormat="false" ht="15" hidden="false" customHeight="false" outlineLevel="0" collapsed="false">
      <c r="B9568" s="130" t="n">
        <v>2027</v>
      </c>
      <c r="C9568" s="131" t="s">
        <v>254</v>
      </c>
      <c r="D9568" s="132" t="n">
        <v>46743</v>
      </c>
      <c r="E9568" s="131" t="s">
        <v>49</v>
      </c>
      <c r="F9568" s="133" t="s">
        <v>24</v>
      </c>
      <c r="G9568" s="134" t="n">
        <f aca="false">LEN('Saisie programme'!$F$348)+SUMIFS('Vols additionnels'!$E$7:$E$66,'Vols additionnels'!$C$7:$C$66,$E9568,'Vols additionnels'!$D$7:$D$66,$F9568,'Vols additionnels'!$B$7:$B$66,$D9568)</f>
        <v>0</v>
      </c>
      <c r="H9568" s="135" t="n">
        <f aca="false">$G9568*'Analyse capacite'!$F$9</f>
        <v>0</v>
      </c>
      <c r="I9568" s="135" t="n">
        <f aca="false">$G9568*'Analyse capacite'!$C$9</f>
        <v>0</v>
      </c>
      <c r="J9568" s="135" t="n">
        <f aca="false">$G9568*'Analyse capacite'!$D$9</f>
        <v>0</v>
      </c>
      <c r="K9568" s="135" t="n">
        <f aca="false">$G9568*'Analyse capacite'!$E$9</f>
        <v>0</v>
      </c>
    </row>
    <row r="9569" customFormat="false" ht="15" hidden="false" customHeight="false" outlineLevel="0" collapsed="false">
      <c r="B9569" s="130" t="n">
        <v>2027</v>
      </c>
      <c r="C9569" s="131" t="s">
        <v>254</v>
      </c>
      <c r="D9569" s="132" t="n">
        <v>46743</v>
      </c>
      <c r="E9569" s="131" t="s">
        <v>53</v>
      </c>
      <c r="F9569" s="133" t="s">
        <v>11</v>
      </c>
      <c r="G9569" s="134" t="n">
        <f aca="false">LEN('Saisie programme'!$F$349)+SUMIFS('Vols additionnels'!$E$7:$E$66,'Vols additionnels'!$C$7:$C$66,$E9569,'Vols additionnels'!$D$7:$D$66,$F9569,'Vols additionnels'!$B$7:$B$66,$D9569)</f>
        <v>0</v>
      </c>
      <c r="H9569" s="135" t="n">
        <f aca="false">$G9569*'Analyse capacite'!$F$7</f>
        <v>0</v>
      </c>
      <c r="I9569" s="135" t="n">
        <f aca="false">$G9569*'Analyse capacite'!$C$7</f>
        <v>0</v>
      </c>
      <c r="J9569" s="135" t="n">
        <f aca="false">$G9569*'Analyse capacite'!$D$7</f>
        <v>0</v>
      </c>
      <c r="K9569" s="135" t="n">
        <f aca="false">$G9569*'Analyse capacite'!$E$7</f>
        <v>0</v>
      </c>
    </row>
    <row r="9570" customFormat="false" ht="15" hidden="false" customHeight="false" outlineLevel="0" collapsed="false">
      <c r="B9570" s="130" t="n">
        <v>2027</v>
      </c>
      <c r="C9570" s="131" t="s">
        <v>254</v>
      </c>
      <c r="D9570" s="132" t="n">
        <v>46743</v>
      </c>
      <c r="E9570" s="131" t="s">
        <v>53</v>
      </c>
      <c r="F9570" s="133" t="s">
        <v>19</v>
      </c>
      <c r="G9570" s="134" t="n">
        <f aca="false">LEN('Saisie programme'!$F$350)+SUMIFS('Vols additionnels'!$E$7:$E$66,'Vols additionnels'!$C$7:$C$66,$E9570,'Vols additionnels'!$D$7:$D$66,$F9570,'Vols additionnels'!$B$7:$B$66,$D9570)</f>
        <v>0</v>
      </c>
      <c r="H9570" s="135" t="n">
        <f aca="false">$G9570*'Analyse capacite'!$F$8</f>
        <v>0</v>
      </c>
      <c r="I9570" s="135" t="n">
        <f aca="false">$G9570*'Analyse capacite'!$C$8</f>
        <v>0</v>
      </c>
      <c r="J9570" s="135" t="n">
        <f aca="false">$G9570*'Analyse capacite'!$D$8</f>
        <v>0</v>
      </c>
      <c r="K9570" s="135" t="n">
        <f aca="false">$G9570*'Analyse capacite'!$E$8</f>
        <v>0</v>
      </c>
    </row>
    <row r="9571" customFormat="false" ht="15" hidden="false" customHeight="false" outlineLevel="0" collapsed="false">
      <c r="B9571" s="130" t="n">
        <v>2027</v>
      </c>
      <c r="C9571" s="131" t="s">
        <v>254</v>
      </c>
      <c r="D9571" s="132" t="n">
        <v>46743</v>
      </c>
      <c r="E9571" s="131" t="s">
        <v>53</v>
      </c>
      <c r="F9571" s="133" t="s">
        <v>24</v>
      </c>
      <c r="G9571" s="134" t="n">
        <f aca="false">LEN('Saisie programme'!$F$351)+SUMIFS('Vols additionnels'!$E$7:$E$66,'Vols additionnels'!$C$7:$C$66,$E9571,'Vols additionnels'!$D$7:$D$66,$F9571,'Vols additionnels'!$B$7:$B$66,$D9571)</f>
        <v>0</v>
      </c>
      <c r="H9571" s="135" t="n">
        <f aca="false">$G9571*'Analyse capacite'!$F$9</f>
        <v>0</v>
      </c>
      <c r="I9571" s="135" t="n">
        <f aca="false">$G9571*'Analyse capacite'!$C$9</f>
        <v>0</v>
      </c>
      <c r="J9571" s="135" t="n">
        <f aca="false">$G9571*'Analyse capacite'!$D$9</f>
        <v>0</v>
      </c>
      <c r="K9571" s="135" t="n">
        <f aca="false">$G9571*'Analyse capacite'!$E$9</f>
        <v>0</v>
      </c>
    </row>
    <row r="9572" customFormat="false" ht="15" hidden="false" customHeight="false" outlineLevel="0" collapsed="false">
      <c r="B9572" s="130" t="n">
        <v>2027</v>
      </c>
      <c r="C9572" s="131" t="s">
        <v>254</v>
      </c>
      <c r="D9572" s="132" t="n">
        <v>46743</v>
      </c>
      <c r="E9572" s="131" t="s">
        <v>56</v>
      </c>
      <c r="F9572" s="133" t="s">
        <v>11</v>
      </c>
      <c r="G9572" s="134" t="n">
        <f aca="false">LEN('Saisie programme'!$F$352)+SUMIFS('Vols additionnels'!$E$7:$E$66,'Vols additionnels'!$C$7:$C$66,$E9572,'Vols additionnels'!$D$7:$D$66,$F9572,'Vols additionnels'!$B$7:$B$66,$D9572)</f>
        <v>0</v>
      </c>
      <c r="H9572" s="135" t="n">
        <f aca="false">$G9572*'Analyse capacite'!$F$7</f>
        <v>0</v>
      </c>
      <c r="I9572" s="135" t="n">
        <f aca="false">$G9572*'Analyse capacite'!$C$7</f>
        <v>0</v>
      </c>
      <c r="J9572" s="135" t="n">
        <f aca="false">$G9572*'Analyse capacite'!$D$7</f>
        <v>0</v>
      </c>
      <c r="K9572" s="135" t="n">
        <f aca="false">$G9572*'Analyse capacite'!$E$7</f>
        <v>0</v>
      </c>
    </row>
    <row r="9573" customFormat="false" ht="15" hidden="false" customHeight="false" outlineLevel="0" collapsed="false">
      <c r="B9573" s="130" t="n">
        <v>2027</v>
      </c>
      <c r="C9573" s="131" t="s">
        <v>254</v>
      </c>
      <c r="D9573" s="132" t="n">
        <v>46743</v>
      </c>
      <c r="E9573" s="131" t="s">
        <v>56</v>
      </c>
      <c r="F9573" s="133" t="s">
        <v>19</v>
      </c>
      <c r="G9573" s="134" t="n">
        <f aca="false">LEN('Saisie programme'!$F$353)+SUMIFS('Vols additionnels'!$E$7:$E$66,'Vols additionnels'!$C$7:$C$66,$E9573,'Vols additionnels'!$D$7:$D$66,$F9573,'Vols additionnels'!$B$7:$B$66,$D9573)</f>
        <v>0</v>
      </c>
      <c r="H9573" s="135" t="n">
        <f aca="false">$G9573*'Analyse capacite'!$F$8</f>
        <v>0</v>
      </c>
      <c r="I9573" s="135" t="n">
        <f aca="false">$G9573*'Analyse capacite'!$C$8</f>
        <v>0</v>
      </c>
      <c r="J9573" s="135" t="n">
        <f aca="false">$G9573*'Analyse capacite'!$D$8</f>
        <v>0</v>
      </c>
      <c r="K9573" s="135" t="n">
        <f aca="false">$G9573*'Analyse capacite'!$E$8</f>
        <v>0</v>
      </c>
    </row>
    <row r="9574" customFormat="false" ht="15" hidden="false" customHeight="false" outlineLevel="0" collapsed="false">
      <c r="B9574" s="130" t="n">
        <v>2027</v>
      </c>
      <c r="C9574" s="131" t="s">
        <v>254</v>
      </c>
      <c r="D9574" s="132" t="n">
        <v>46743</v>
      </c>
      <c r="E9574" s="131" t="s">
        <v>56</v>
      </c>
      <c r="F9574" s="133" t="s">
        <v>24</v>
      </c>
      <c r="G9574" s="134" t="n">
        <f aca="false">LEN('Saisie programme'!$F$354)+SUMIFS('Vols additionnels'!$E$7:$E$66,'Vols additionnels'!$C$7:$C$66,$E9574,'Vols additionnels'!$D$7:$D$66,$F9574,'Vols additionnels'!$B$7:$B$66,$D9574)</f>
        <v>0</v>
      </c>
      <c r="H9574" s="135" t="n">
        <f aca="false">$G9574*'Analyse capacite'!$F$9</f>
        <v>0</v>
      </c>
      <c r="I9574" s="135" t="n">
        <f aca="false">$G9574*'Analyse capacite'!$C$9</f>
        <v>0</v>
      </c>
      <c r="J9574" s="135" t="n">
        <f aca="false">$G9574*'Analyse capacite'!$D$9</f>
        <v>0</v>
      </c>
      <c r="K9574" s="135" t="n">
        <f aca="false">$G9574*'Analyse capacite'!$E$9</f>
        <v>0</v>
      </c>
    </row>
    <row r="9575" customFormat="false" ht="15" hidden="false" customHeight="false" outlineLevel="0" collapsed="false">
      <c r="B9575" s="130" t="n">
        <v>2027</v>
      </c>
      <c r="C9575" s="131" t="s">
        <v>254</v>
      </c>
      <c r="D9575" s="132" t="n">
        <v>46743</v>
      </c>
      <c r="E9575" s="131" t="s">
        <v>59</v>
      </c>
      <c r="F9575" s="133" t="s">
        <v>11</v>
      </c>
      <c r="G9575" s="134" t="n">
        <f aca="false">LEN('Saisie programme'!$F$355)+SUMIFS('Vols additionnels'!$E$7:$E$66,'Vols additionnels'!$C$7:$C$66,$E9575,'Vols additionnels'!$D$7:$D$66,$F9575,'Vols additionnels'!$B$7:$B$66,$D9575)</f>
        <v>0</v>
      </c>
      <c r="H9575" s="135" t="n">
        <f aca="false">$G9575*'Analyse capacite'!$F$7</f>
        <v>0</v>
      </c>
      <c r="I9575" s="135" t="n">
        <f aca="false">$G9575*'Analyse capacite'!$C$7</f>
        <v>0</v>
      </c>
      <c r="J9575" s="135" t="n">
        <f aca="false">$G9575*'Analyse capacite'!$D$7</f>
        <v>0</v>
      </c>
      <c r="K9575" s="135" t="n">
        <f aca="false">$G9575*'Analyse capacite'!$E$7</f>
        <v>0</v>
      </c>
    </row>
    <row r="9576" customFormat="false" ht="15" hidden="false" customHeight="false" outlineLevel="0" collapsed="false">
      <c r="B9576" s="130" t="n">
        <v>2027</v>
      </c>
      <c r="C9576" s="131" t="s">
        <v>254</v>
      </c>
      <c r="D9576" s="132" t="n">
        <v>46743</v>
      </c>
      <c r="E9576" s="131" t="s">
        <v>59</v>
      </c>
      <c r="F9576" s="133" t="s">
        <v>19</v>
      </c>
      <c r="G9576" s="134" t="n">
        <f aca="false">LEN('Saisie programme'!$F$356)+SUMIFS('Vols additionnels'!$E$7:$E$66,'Vols additionnels'!$C$7:$C$66,$E9576,'Vols additionnels'!$D$7:$D$66,$F9576,'Vols additionnels'!$B$7:$B$66,$D9576)</f>
        <v>0</v>
      </c>
      <c r="H9576" s="135" t="n">
        <f aca="false">$G9576*'Analyse capacite'!$F$8</f>
        <v>0</v>
      </c>
      <c r="I9576" s="135" t="n">
        <f aca="false">$G9576*'Analyse capacite'!$C$8</f>
        <v>0</v>
      </c>
      <c r="J9576" s="135" t="n">
        <f aca="false">$G9576*'Analyse capacite'!$D$8</f>
        <v>0</v>
      </c>
      <c r="K9576" s="135" t="n">
        <f aca="false">$G9576*'Analyse capacite'!$E$8</f>
        <v>0</v>
      </c>
    </row>
    <row r="9577" customFormat="false" ht="15" hidden="false" customHeight="false" outlineLevel="0" collapsed="false">
      <c r="B9577" s="130" t="n">
        <v>2027</v>
      </c>
      <c r="C9577" s="131" t="s">
        <v>254</v>
      </c>
      <c r="D9577" s="132" t="n">
        <v>46743</v>
      </c>
      <c r="E9577" s="131" t="s">
        <v>59</v>
      </c>
      <c r="F9577" s="133" t="s">
        <v>24</v>
      </c>
      <c r="G9577" s="134" t="n">
        <f aca="false">LEN('Saisie programme'!$F$357)+SUMIFS('Vols additionnels'!$E$7:$E$66,'Vols additionnels'!$C$7:$C$66,$E9577,'Vols additionnels'!$D$7:$D$66,$F9577,'Vols additionnels'!$B$7:$B$66,$D9577)</f>
        <v>1</v>
      </c>
      <c r="H9577" s="135" t="n">
        <f aca="false">$G9577*'Analyse capacite'!$F$9</f>
        <v>174</v>
      </c>
      <c r="I9577" s="135" t="n">
        <f aca="false">$G9577*'Analyse capacite'!$C$9</f>
        <v>0</v>
      </c>
      <c r="J9577" s="135" t="n">
        <f aca="false">$G9577*'Analyse capacite'!$D$9</f>
        <v>12</v>
      </c>
      <c r="K9577" s="135" t="n">
        <f aca="false">$G9577*'Analyse capacite'!$E$9</f>
        <v>162</v>
      </c>
    </row>
    <row r="9578" customFormat="false" ht="15" hidden="false" customHeight="false" outlineLevel="0" collapsed="false">
      <c r="B9578" s="130" t="n">
        <v>2027</v>
      </c>
      <c r="C9578" s="131" t="s">
        <v>254</v>
      </c>
      <c r="D9578" s="132" t="n">
        <v>46743</v>
      </c>
      <c r="E9578" s="131" t="s">
        <v>62</v>
      </c>
      <c r="F9578" s="133" t="s">
        <v>11</v>
      </c>
      <c r="G9578" s="134" t="n">
        <f aca="false">LEN('Saisie programme'!$F$358)+SUMIFS('Vols additionnels'!$E$7:$E$66,'Vols additionnels'!$C$7:$C$66,$E9578,'Vols additionnels'!$D$7:$D$66,$F9578,'Vols additionnels'!$B$7:$B$66,$D9578)</f>
        <v>0</v>
      </c>
      <c r="H9578" s="135" t="n">
        <f aca="false">$G9578*'Analyse capacite'!$F$7</f>
        <v>0</v>
      </c>
      <c r="I9578" s="135" t="n">
        <f aca="false">$G9578*'Analyse capacite'!$C$7</f>
        <v>0</v>
      </c>
      <c r="J9578" s="135" t="n">
        <f aca="false">$G9578*'Analyse capacite'!$D$7</f>
        <v>0</v>
      </c>
      <c r="K9578" s="135" t="n">
        <f aca="false">$G9578*'Analyse capacite'!$E$7</f>
        <v>0</v>
      </c>
    </row>
    <row r="9579" customFormat="false" ht="15" hidden="false" customHeight="false" outlineLevel="0" collapsed="false">
      <c r="B9579" s="130" t="n">
        <v>2027</v>
      </c>
      <c r="C9579" s="131" t="s">
        <v>254</v>
      </c>
      <c r="D9579" s="132" t="n">
        <v>46743</v>
      </c>
      <c r="E9579" s="131" t="s">
        <v>62</v>
      </c>
      <c r="F9579" s="133" t="s">
        <v>19</v>
      </c>
      <c r="G9579" s="134" t="n">
        <f aca="false">LEN('Saisie programme'!$F$359)+SUMIFS('Vols additionnels'!$E$7:$E$66,'Vols additionnels'!$C$7:$C$66,$E9579,'Vols additionnels'!$D$7:$D$66,$F9579,'Vols additionnels'!$B$7:$B$66,$D9579)</f>
        <v>0</v>
      </c>
      <c r="H9579" s="135" t="n">
        <f aca="false">$G9579*'Analyse capacite'!$F$8</f>
        <v>0</v>
      </c>
      <c r="I9579" s="135" t="n">
        <f aca="false">$G9579*'Analyse capacite'!$C$8</f>
        <v>0</v>
      </c>
      <c r="J9579" s="135" t="n">
        <f aca="false">$G9579*'Analyse capacite'!$D$8</f>
        <v>0</v>
      </c>
      <c r="K9579" s="135" t="n">
        <f aca="false">$G9579*'Analyse capacite'!$E$8</f>
        <v>0</v>
      </c>
    </row>
    <row r="9580" customFormat="false" ht="15" hidden="false" customHeight="false" outlineLevel="0" collapsed="false">
      <c r="B9580" s="130" t="n">
        <v>2027</v>
      </c>
      <c r="C9580" s="131" t="s">
        <v>254</v>
      </c>
      <c r="D9580" s="132" t="n">
        <v>46743</v>
      </c>
      <c r="E9580" s="131" t="s">
        <v>62</v>
      </c>
      <c r="F9580" s="133" t="s">
        <v>24</v>
      </c>
      <c r="G9580" s="134" t="n">
        <f aca="false">LEN('Saisie programme'!$F$360)+SUMIFS('Vols additionnels'!$E$7:$E$66,'Vols additionnels'!$C$7:$C$66,$E9580,'Vols additionnels'!$D$7:$D$66,$F9580,'Vols additionnels'!$B$7:$B$66,$D9580)</f>
        <v>1</v>
      </c>
      <c r="H9580" s="135" t="n">
        <f aca="false">$G9580*'Analyse capacite'!$F$9</f>
        <v>174</v>
      </c>
      <c r="I9580" s="135" t="n">
        <f aca="false">$G9580*'Analyse capacite'!$C$9</f>
        <v>0</v>
      </c>
      <c r="J9580" s="135" t="n">
        <f aca="false">$G9580*'Analyse capacite'!$D$9</f>
        <v>12</v>
      </c>
      <c r="K9580" s="135" t="n">
        <f aca="false">$G9580*'Analyse capacite'!$E$9</f>
        <v>162</v>
      </c>
    </row>
    <row r="9581" customFormat="false" ht="15" hidden="false" customHeight="false" outlineLevel="0" collapsed="false">
      <c r="B9581" s="130" t="n">
        <v>2027</v>
      </c>
      <c r="C9581" s="131" t="s">
        <v>254</v>
      </c>
      <c r="D9581" s="132" t="n">
        <v>46744</v>
      </c>
      <c r="E9581" s="131" t="s">
        <v>12</v>
      </c>
      <c r="F9581" s="133" t="s">
        <v>11</v>
      </c>
      <c r="G9581" s="134" t="n">
        <f aca="false">LEN('Saisie programme'!$G$325)+SUMIFS('Vols additionnels'!$E$7:$E$66,'Vols additionnels'!$C$7:$C$66,$E9581,'Vols additionnels'!$D$7:$D$66,$F9581,'Vols additionnels'!$B$7:$B$66,$D9581)</f>
        <v>1</v>
      </c>
      <c r="H9581" s="135" t="n">
        <f aca="false">$G9581*'Analyse capacite'!$F$7</f>
        <v>438</v>
      </c>
      <c r="I9581" s="135" t="n">
        <f aca="false">$G9581*'Analyse capacite'!$C$7</f>
        <v>14</v>
      </c>
      <c r="J9581" s="135" t="n">
        <f aca="false">$G9581*'Analyse capacite'!$D$7</f>
        <v>40</v>
      </c>
      <c r="K9581" s="135" t="n">
        <f aca="false">$G9581*'Analyse capacite'!$E$7</f>
        <v>384</v>
      </c>
    </row>
    <row r="9582" customFormat="false" ht="15" hidden="false" customHeight="false" outlineLevel="0" collapsed="false">
      <c r="B9582" s="130" t="n">
        <v>2027</v>
      </c>
      <c r="C9582" s="131" t="s">
        <v>254</v>
      </c>
      <c r="D9582" s="132" t="n">
        <v>46744</v>
      </c>
      <c r="E9582" s="131" t="s">
        <v>12</v>
      </c>
      <c r="F9582" s="133" t="s">
        <v>19</v>
      </c>
      <c r="G9582" s="134" t="n">
        <f aca="false">LEN('Saisie programme'!$G$326)+SUMIFS('Vols additionnels'!$E$7:$E$66,'Vols additionnels'!$C$7:$C$66,$E9582,'Vols additionnels'!$D$7:$D$66,$F9582,'Vols additionnels'!$B$7:$B$66,$D9582)</f>
        <v>0</v>
      </c>
      <c r="H9582" s="135" t="n">
        <f aca="false">$G9582*'Analyse capacite'!$F$8</f>
        <v>0</v>
      </c>
      <c r="I9582" s="135" t="n">
        <f aca="false">$G9582*'Analyse capacite'!$C$8</f>
        <v>0</v>
      </c>
      <c r="J9582" s="135" t="n">
        <f aca="false">$G9582*'Analyse capacite'!$D$8</f>
        <v>0</v>
      </c>
      <c r="K9582" s="135" t="n">
        <f aca="false">$G9582*'Analyse capacite'!$E$8</f>
        <v>0</v>
      </c>
    </row>
    <row r="9583" customFormat="false" ht="15" hidden="false" customHeight="false" outlineLevel="0" collapsed="false">
      <c r="B9583" s="130" t="n">
        <v>2027</v>
      </c>
      <c r="C9583" s="131" t="s">
        <v>254</v>
      </c>
      <c r="D9583" s="132" t="n">
        <v>46744</v>
      </c>
      <c r="E9583" s="131" t="s">
        <v>12</v>
      </c>
      <c r="F9583" s="133" t="s">
        <v>24</v>
      </c>
      <c r="G9583" s="134" t="n">
        <f aca="false">LEN('Saisie programme'!$G$327)+SUMIFS('Vols additionnels'!$E$7:$E$66,'Vols additionnels'!$C$7:$C$66,$E9583,'Vols additionnels'!$D$7:$D$66,$F9583,'Vols additionnels'!$B$7:$B$66,$D9583)</f>
        <v>0</v>
      </c>
      <c r="H9583" s="135" t="n">
        <f aca="false">$G9583*'Analyse capacite'!$F$9</f>
        <v>0</v>
      </c>
      <c r="I9583" s="135" t="n">
        <f aca="false">$G9583*'Analyse capacite'!$C$9</f>
        <v>0</v>
      </c>
      <c r="J9583" s="135" t="n">
        <f aca="false">$G9583*'Analyse capacite'!$D$9</f>
        <v>0</v>
      </c>
      <c r="K9583" s="135" t="n">
        <f aca="false">$G9583*'Analyse capacite'!$E$9</f>
        <v>0</v>
      </c>
    </row>
    <row r="9584" customFormat="false" ht="15" hidden="false" customHeight="false" outlineLevel="0" collapsed="false">
      <c r="B9584" s="130" t="n">
        <v>2027</v>
      </c>
      <c r="C9584" s="131" t="s">
        <v>254</v>
      </c>
      <c r="D9584" s="132" t="n">
        <v>46744</v>
      </c>
      <c r="E9584" s="131" t="s">
        <v>20</v>
      </c>
      <c r="F9584" s="133" t="s">
        <v>11</v>
      </c>
      <c r="G9584" s="134" t="n">
        <f aca="false">LEN('Saisie programme'!$G$328)+SUMIFS('Vols additionnels'!$E$7:$E$66,'Vols additionnels'!$C$7:$C$66,$E9584,'Vols additionnels'!$D$7:$D$66,$F9584,'Vols additionnels'!$B$7:$B$66,$D9584)</f>
        <v>0</v>
      </c>
      <c r="H9584" s="135" t="n">
        <f aca="false">$G9584*'Analyse capacite'!$F$7</f>
        <v>0</v>
      </c>
      <c r="I9584" s="135" t="n">
        <f aca="false">$G9584*'Analyse capacite'!$C$7</f>
        <v>0</v>
      </c>
      <c r="J9584" s="135" t="n">
        <f aca="false">$G9584*'Analyse capacite'!$D$7</f>
        <v>0</v>
      </c>
      <c r="K9584" s="135" t="n">
        <f aca="false">$G9584*'Analyse capacite'!$E$7</f>
        <v>0</v>
      </c>
    </row>
    <row r="9585" customFormat="false" ht="15" hidden="false" customHeight="false" outlineLevel="0" collapsed="false">
      <c r="B9585" s="130" t="n">
        <v>2027</v>
      </c>
      <c r="C9585" s="131" t="s">
        <v>254</v>
      </c>
      <c r="D9585" s="132" t="n">
        <v>46744</v>
      </c>
      <c r="E9585" s="131" t="s">
        <v>20</v>
      </c>
      <c r="F9585" s="133" t="s">
        <v>19</v>
      </c>
      <c r="G9585" s="134" t="n">
        <f aca="false">LEN('Saisie programme'!$G$329)+SUMIFS('Vols additionnels'!$E$7:$E$66,'Vols additionnels'!$C$7:$C$66,$E9585,'Vols additionnels'!$D$7:$D$66,$F9585,'Vols additionnels'!$B$7:$B$66,$D9585)</f>
        <v>0</v>
      </c>
      <c r="H9585" s="135" t="n">
        <f aca="false">$G9585*'Analyse capacite'!$F$8</f>
        <v>0</v>
      </c>
      <c r="I9585" s="135" t="n">
        <f aca="false">$G9585*'Analyse capacite'!$C$8</f>
        <v>0</v>
      </c>
      <c r="J9585" s="135" t="n">
        <f aca="false">$G9585*'Analyse capacite'!$D$8</f>
        <v>0</v>
      </c>
      <c r="K9585" s="135" t="n">
        <f aca="false">$G9585*'Analyse capacite'!$E$8</f>
        <v>0</v>
      </c>
    </row>
    <row r="9586" customFormat="false" ht="15" hidden="false" customHeight="false" outlineLevel="0" collapsed="false">
      <c r="B9586" s="130" t="n">
        <v>2027</v>
      </c>
      <c r="C9586" s="131" t="s">
        <v>254</v>
      </c>
      <c r="D9586" s="132" t="n">
        <v>46744</v>
      </c>
      <c r="E9586" s="131" t="s">
        <v>20</v>
      </c>
      <c r="F9586" s="133" t="s">
        <v>24</v>
      </c>
      <c r="G9586" s="134" t="n">
        <f aca="false">LEN('Saisie programme'!$G$330)+SUMIFS('Vols additionnels'!$E$7:$E$66,'Vols additionnels'!$C$7:$C$66,$E9586,'Vols additionnels'!$D$7:$D$66,$F9586,'Vols additionnels'!$B$7:$B$66,$D9586)</f>
        <v>0</v>
      </c>
      <c r="H9586" s="135" t="n">
        <f aca="false">$G9586*'Analyse capacite'!$F$9</f>
        <v>0</v>
      </c>
      <c r="I9586" s="135" t="n">
        <f aca="false">$G9586*'Analyse capacite'!$C$9</f>
        <v>0</v>
      </c>
      <c r="J9586" s="135" t="n">
        <f aca="false">$G9586*'Analyse capacite'!$D$9</f>
        <v>0</v>
      </c>
      <c r="K9586" s="135" t="n">
        <f aca="false">$G9586*'Analyse capacite'!$E$9</f>
        <v>0</v>
      </c>
    </row>
    <row r="9587" customFormat="false" ht="15" hidden="false" customHeight="false" outlineLevel="0" collapsed="false">
      <c r="B9587" s="130" t="n">
        <v>2027</v>
      </c>
      <c r="C9587" s="131" t="s">
        <v>254</v>
      </c>
      <c r="D9587" s="132" t="n">
        <v>46744</v>
      </c>
      <c r="E9587" s="131" t="s">
        <v>25</v>
      </c>
      <c r="F9587" s="133" t="s">
        <v>11</v>
      </c>
      <c r="G9587" s="134" t="n">
        <f aca="false">LEN('Saisie programme'!$G$331)+SUMIFS('Vols additionnels'!$E$7:$E$66,'Vols additionnels'!$C$7:$C$66,$E9587,'Vols additionnels'!$D$7:$D$66,$F9587,'Vols additionnels'!$B$7:$B$66,$D9587)</f>
        <v>0</v>
      </c>
      <c r="H9587" s="135" t="n">
        <f aca="false">$G9587*'Analyse capacite'!$F$7</f>
        <v>0</v>
      </c>
      <c r="I9587" s="135" t="n">
        <f aca="false">$G9587*'Analyse capacite'!$C$7</f>
        <v>0</v>
      </c>
      <c r="J9587" s="135" t="n">
        <f aca="false">$G9587*'Analyse capacite'!$D$7</f>
        <v>0</v>
      </c>
      <c r="K9587" s="135" t="n">
        <f aca="false">$G9587*'Analyse capacite'!$E$7</f>
        <v>0</v>
      </c>
    </row>
    <row r="9588" customFormat="false" ht="15" hidden="false" customHeight="false" outlineLevel="0" collapsed="false">
      <c r="B9588" s="130" t="n">
        <v>2027</v>
      </c>
      <c r="C9588" s="131" t="s">
        <v>254</v>
      </c>
      <c r="D9588" s="132" t="n">
        <v>46744</v>
      </c>
      <c r="E9588" s="131" t="s">
        <v>25</v>
      </c>
      <c r="F9588" s="133" t="s">
        <v>19</v>
      </c>
      <c r="G9588" s="134" t="n">
        <f aca="false">LEN('Saisie programme'!$G$332)+SUMIFS('Vols additionnels'!$E$7:$E$66,'Vols additionnels'!$C$7:$C$66,$E9588,'Vols additionnels'!$D$7:$D$66,$F9588,'Vols additionnels'!$B$7:$B$66,$D9588)</f>
        <v>0</v>
      </c>
      <c r="H9588" s="135" t="n">
        <f aca="false">$G9588*'Analyse capacite'!$F$8</f>
        <v>0</v>
      </c>
      <c r="I9588" s="135" t="n">
        <f aca="false">$G9588*'Analyse capacite'!$C$8</f>
        <v>0</v>
      </c>
      <c r="J9588" s="135" t="n">
        <f aca="false">$G9588*'Analyse capacite'!$D$8</f>
        <v>0</v>
      </c>
      <c r="K9588" s="135" t="n">
        <f aca="false">$G9588*'Analyse capacite'!$E$8</f>
        <v>0</v>
      </c>
    </row>
    <row r="9589" customFormat="false" ht="15" hidden="false" customHeight="false" outlineLevel="0" collapsed="false">
      <c r="B9589" s="130" t="n">
        <v>2027</v>
      </c>
      <c r="C9589" s="131" t="s">
        <v>254</v>
      </c>
      <c r="D9589" s="132" t="n">
        <v>46744</v>
      </c>
      <c r="E9589" s="131" t="s">
        <v>25</v>
      </c>
      <c r="F9589" s="133" t="s">
        <v>24</v>
      </c>
      <c r="G9589" s="134" t="n">
        <f aca="false">LEN('Saisie programme'!$G$333)+SUMIFS('Vols additionnels'!$E$7:$E$66,'Vols additionnels'!$C$7:$C$66,$E9589,'Vols additionnels'!$D$7:$D$66,$F9589,'Vols additionnels'!$B$7:$B$66,$D9589)</f>
        <v>0</v>
      </c>
      <c r="H9589" s="135" t="n">
        <f aca="false">$G9589*'Analyse capacite'!$F$9</f>
        <v>0</v>
      </c>
      <c r="I9589" s="135" t="n">
        <f aca="false">$G9589*'Analyse capacite'!$C$9</f>
        <v>0</v>
      </c>
      <c r="J9589" s="135" t="n">
        <f aca="false">$G9589*'Analyse capacite'!$D$9</f>
        <v>0</v>
      </c>
      <c r="K9589" s="135" t="n">
        <f aca="false">$G9589*'Analyse capacite'!$E$9</f>
        <v>0</v>
      </c>
    </row>
    <row r="9590" customFormat="false" ht="15" hidden="false" customHeight="false" outlineLevel="0" collapsed="false">
      <c r="B9590" s="130" t="n">
        <v>2027</v>
      </c>
      <c r="C9590" s="131" t="s">
        <v>254</v>
      </c>
      <c r="D9590" s="132" t="n">
        <v>46744</v>
      </c>
      <c r="E9590" s="131" t="s">
        <v>36</v>
      </c>
      <c r="F9590" s="133" t="s">
        <v>11</v>
      </c>
      <c r="G9590" s="134" t="n">
        <f aca="false">LEN('Saisie programme'!$G$334)+SUMIFS('Vols additionnels'!$E$7:$E$66,'Vols additionnels'!$C$7:$C$66,$E9590,'Vols additionnels'!$D$7:$D$66,$F9590,'Vols additionnels'!$B$7:$B$66,$D9590)</f>
        <v>0</v>
      </c>
      <c r="H9590" s="135" t="n">
        <f aca="false">$G9590*'Analyse capacite'!$F$7</f>
        <v>0</v>
      </c>
      <c r="I9590" s="135" t="n">
        <f aca="false">$G9590*'Analyse capacite'!$C$7</f>
        <v>0</v>
      </c>
      <c r="J9590" s="135" t="n">
        <f aca="false">$G9590*'Analyse capacite'!$D$7</f>
        <v>0</v>
      </c>
      <c r="K9590" s="135" t="n">
        <f aca="false">$G9590*'Analyse capacite'!$E$7</f>
        <v>0</v>
      </c>
    </row>
    <row r="9591" customFormat="false" ht="15" hidden="false" customHeight="false" outlineLevel="0" collapsed="false">
      <c r="B9591" s="130" t="n">
        <v>2027</v>
      </c>
      <c r="C9591" s="131" t="s">
        <v>254</v>
      </c>
      <c r="D9591" s="132" t="n">
        <v>46744</v>
      </c>
      <c r="E9591" s="131" t="s">
        <v>36</v>
      </c>
      <c r="F9591" s="133" t="s">
        <v>19</v>
      </c>
      <c r="G9591" s="134" t="n">
        <f aca="false">LEN('Saisie programme'!$G$335)+SUMIFS('Vols additionnels'!$E$7:$E$66,'Vols additionnels'!$C$7:$C$66,$E9591,'Vols additionnels'!$D$7:$D$66,$F9591,'Vols additionnels'!$B$7:$B$66,$D9591)</f>
        <v>0</v>
      </c>
      <c r="H9591" s="135" t="n">
        <f aca="false">$G9591*'Analyse capacite'!$F$8</f>
        <v>0</v>
      </c>
      <c r="I9591" s="135" t="n">
        <f aca="false">$G9591*'Analyse capacite'!$C$8</f>
        <v>0</v>
      </c>
      <c r="J9591" s="135" t="n">
        <f aca="false">$G9591*'Analyse capacite'!$D$8</f>
        <v>0</v>
      </c>
      <c r="K9591" s="135" t="n">
        <f aca="false">$G9591*'Analyse capacite'!$E$8</f>
        <v>0</v>
      </c>
    </row>
    <row r="9592" customFormat="false" ht="15" hidden="false" customHeight="false" outlineLevel="0" collapsed="false">
      <c r="B9592" s="130" t="n">
        <v>2027</v>
      </c>
      <c r="C9592" s="131" t="s">
        <v>254</v>
      </c>
      <c r="D9592" s="132" t="n">
        <v>46744</v>
      </c>
      <c r="E9592" s="131" t="s">
        <v>36</v>
      </c>
      <c r="F9592" s="133" t="s">
        <v>24</v>
      </c>
      <c r="G9592" s="134" t="n">
        <f aca="false">LEN('Saisie programme'!$G$336)+SUMIFS('Vols additionnels'!$E$7:$E$66,'Vols additionnels'!$C$7:$C$66,$E9592,'Vols additionnels'!$D$7:$D$66,$F9592,'Vols additionnels'!$B$7:$B$66,$D9592)</f>
        <v>1</v>
      </c>
      <c r="H9592" s="135" t="n">
        <f aca="false">$G9592*'Analyse capacite'!$F$9</f>
        <v>174</v>
      </c>
      <c r="I9592" s="135" t="n">
        <f aca="false">$G9592*'Analyse capacite'!$C$9</f>
        <v>0</v>
      </c>
      <c r="J9592" s="135" t="n">
        <f aca="false">$G9592*'Analyse capacite'!$D$9</f>
        <v>12</v>
      </c>
      <c r="K9592" s="135" t="n">
        <f aca="false">$G9592*'Analyse capacite'!$E$9</f>
        <v>162</v>
      </c>
    </row>
    <row r="9593" customFormat="false" ht="15" hidden="false" customHeight="false" outlineLevel="0" collapsed="false">
      <c r="B9593" s="130" t="n">
        <v>2027</v>
      </c>
      <c r="C9593" s="131" t="s">
        <v>254</v>
      </c>
      <c r="D9593" s="132" t="n">
        <v>46744</v>
      </c>
      <c r="E9593" s="131" t="s">
        <v>40</v>
      </c>
      <c r="F9593" s="133" t="s">
        <v>11</v>
      </c>
      <c r="G9593" s="134" t="n">
        <f aca="false">LEN('Saisie programme'!$G$337)+SUMIFS('Vols additionnels'!$E$7:$E$66,'Vols additionnels'!$C$7:$C$66,$E9593,'Vols additionnels'!$D$7:$D$66,$F9593,'Vols additionnels'!$B$7:$B$66,$D9593)</f>
        <v>0</v>
      </c>
      <c r="H9593" s="135" t="n">
        <f aca="false">$G9593*'Analyse capacite'!$F$7</f>
        <v>0</v>
      </c>
      <c r="I9593" s="135" t="n">
        <f aca="false">$G9593*'Analyse capacite'!$C$7</f>
        <v>0</v>
      </c>
      <c r="J9593" s="135" t="n">
        <f aca="false">$G9593*'Analyse capacite'!$D$7</f>
        <v>0</v>
      </c>
      <c r="K9593" s="135" t="n">
        <f aca="false">$G9593*'Analyse capacite'!$E$7</f>
        <v>0</v>
      </c>
    </row>
    <row r="9594" customFormat="false" ht="15" hidden="false" customHeight="false" outlineLevel="0" collapsed="false">
      <c r="B9594" s="130" t="n">
        <v>2027</v>
      </c>
      <c r="C9594" s="131" t="s">
        <v>254</v>
      </c>
      <c r="D9594" s="132" t="n">
        <v>46744</v>
      </c>
      <c r="E9594" s="131" t="s">
        <v>40</v>
      </c>
      <c r="F9594" s="133" t="s">
        <v>19</v>
      </c>
      <c r="G9594" s="134" t="n">
        <f aca="false">LEN('Saisie programme'!$G$338)+SUMIFS('Vols additionnels'!$E$7:$E$66,'Vols additionnels'!$C$7:$C$66,$E9594,'Vols additionnels'!$D$7:$D$66,$F9594,'Vols additionnels'!$B$7:$B$66,$D9594)</f>
        <v>0</v>
      </c>
      <c r="H9594" s="135" t="n">
        <f aca="false">$G9594*'Analyse capacite'!$F$8</f>
        <v>0</v>
      </c>
      <c r="I9594" s="135" t="n">
        <f aca="false">$G9594*'Analyse capacite'!$C$8</f>
        <v>0</v>
      </c>
      <c r="J9594" s="135" t="n">
        <f aca="false">$G9594*'Analyse capacite'!$D$8</f>
        <v>0</v>
      </c>
      <c r="K9594" s="135" t="n">
        <f aca="false">$G9594*'Analyse capacite'!$E$8</f>
        <v>0</v>
      </c>
    </row>
    <row r="9595" customFormat="false" ht="15" hidden="false" customHeight="false" outlineLevel="0" collapsed="false">
      <c r="B9595" s="130" t="n">
        <v>2027</v>
      </c>
      <c r="C9595" s="131" t="s">
        <v>254</v>
      </c>
      <c r="D9595" s="132" t="n">
        <v>46744</v>
      </c>
      <c r="E9595" s="131" t="s">
        <v>40</v>
      </c>
      <c r="F9595" s="133" t="s">
        <v>24</v>
      </c>
      <c r="G9595" s="134" t="n">
        <f aca="false">LEN('Saisie programme'!$G$339)+SUMIFS('Vols additionnels'!$E$7:$E$66,'Vols additionnels'!$C$7:$C$66,$E9595,'Vols additionnels'!$D$7:$D$66,$F9595,'Vols additionnels'!$B$7:$B$66,$D9595)</f>
        <v>0</v>
      </c>
      <c r="H9595" s="135" t="n">
        <f aca="false">$G9595*'Analyse capacite'!$F$9</f>
        <v>0</v>
      </c>
      <c r="I9595" s="135" t="n">
        <f aca="false">$G9595*'Analyse capacite'!$C$9</f>
        <v>0</v>
      </c>
      <c r="J9595" s="135" t="n">
        <f aca="false">$G9595*'Analyse capacite'!$D$9</f>
        <v>0</v>
      </c>
      <c r="K9595" s="135" t="n">
        <f aca="false">$G9595*'Analyse capacite'!$E$9</f>
        <v>0</v>
      </c>
    </row>
    <row r="9596" customFormat="false" ht="15" hidden="false" customHeight="false" outlineLevel="0" collapsed="false">
      <c r="B9596" s="130" t="n">
        <v>2027</v>
      </c>
      <c r="C9596" s="131" t="s">
        <v>254</v>
      </c>
      <c r="D9596" s="132" t="n">
        <v>46744</v>
      </c>
      <c r="E9596" s="131" t="s">
        <v>14</v>
      </c>
      <c r="F9596" s="133" t="s">
        <v>11</v>
      </c>
      <c r="G9596" s="134" t="n">
        <f aca="false">LEN('Saisie programme'!$G$340)+SUMIFS('Vols additionnels'!$E$7:$E$66,'Vols additionnels'!$C$7:$C$66,$E9596,'Vols additionnels'!$D$7:$D$66,$F9596,'Vols additionnels'!$B$7:$B$66,$D9596)</f>
        <v>0</v>
      </c>
      <c r="H9596" s="135" t="n">
        <f aca="false">$G9596*'Analyse capacite'!$F$7</f>
        <v>0</v>
      </c>
      <c r="I9596" s="135" t="n">
        <f aca="false">$G9596*'Analyse capacite'!$C$7</f>
        <v>0</v>
      </c>
      <c r="J9596" s="135" t="n">
        <f aca="false">$G9596*'Analyse capacite'!$D$7</f>
        <v>0</v>
      </c>
      <c r="K9596" s="135" t="n">
        <f aca="false">$G9596*'Analyse capacite'!$E$7</f>
        <v>0</v>
      </c>
    </row>
    <row r="9597" customFormat="false" ht="15" hidden="false" customHeight="false" outlineLevel="0" collapsed="false">
      <c r="B9597" s="130" t="n">
        <v>2027</v>
      </c>
      <c r="C9597" s="131" t="s">
        <v>254</v>
      </c>
      <c r="D9597" s="132" t="n">
        <v>46744</v>
      </c>
      <c r="E9597" s="131" t="s">
        <v>14</v>
      </c>
      <c r="F9597" s="133" t="s">
        <v>19</v>
      </c>
      <c r="G9597" s="134" t="n">
        <f aca="false">LEN('Saisie programme'!$G$341)+SUMIFS('Vols additionnels'!$E$7:$E$66,'Vols additionnels'!$C$7:$C$66,$E9597,'Vols additionnels'!$D$7:$D$66,$F9597,'Vols additionnels'!$B$7:$B$66,$D9597)</f>
        <v>0</v>
      </c>
      <c r="H9597" s="135" t="n">
        <f aca="false">$G9597*'Analyse capacite'!$F$8</f>
        <v>0</v>
      </c>
      <c r="I9597" s="135" t="n">
        <f aca="false">$G9597*'Analyse capacite'!$C$8</f>
        <v>0</v>
      </c>
      <c r="J9597" s="135" t="n">
        <f aca="false">$G9597*'Analyse capacite'!$D$8</f>
        <v>0</v>
      </c>
      <c r="K9597" s="135" t="n">
        <f aca="false">$G9597*'Analyse capacite'!$E$8</f>
        <v>0</v>
      </c>
    </row>
    <row r="9598" customFormat="false" ht="15" hidden="false" customHeight="false" outlineLevel="0" collapsed="false">
      <c r="B9598" s="130" t="n">
        <v>2027</v>
      </c>
      <c r="C9598" s="131" t="s">
        <v>254</v>
      </c>
      <c r="D9598" s="132" t="n">
        <v>46744</v>
      </c>
      <c r="E9598" s="131" t="s">
        <v>14</v>
      </c>
      <c r="F9598" s="133" t="s">
        <v>24</v>
      </c>
      <c r="G9598" s="134" t="n">
        <f aca="false">LEN('Saisie programme'!$G$342)+SUMIFS('Vols additionnels'!$E$7:$E$66,'Vols additionnels'!$C$7:$C$66,$E9598,'Vols additionnels'!$D$7:$D$66,$F9598,'Vols additionnels'!$B$7:$B$66,$D9598)</f>
        <v>1</v>
      </c>
      <c r="H9598" s="135" t="n">
        <f aca="false">$G9598*'Analyse capacite'!$F$9</f>
        <v>174</v>
      </c>
      <c r="I9598" s="135" t="n">
        <f aca="false">$G9598*'Analyse capacite'!$C$9</f>
        <v>0</v>
      </c>
      <c r="J9598" s="135" t="n">
        <f aca="false">$G9598*'Analyse capacite'!$D$9</f>
        <v>12</v>
      </c>
      <c r="K9598" s="135" t="n">
        <f aca="false">$G9598*'Analyse capacite'!$E$9</f>
        <v>162</v>
      </c>
    </row>
    <row r="9599" customFormat="false" ht="15" hidden="false" customHeight="false" outlineLevel="0" collapsed="false">
      <c r="B9599" s="130" t="n">
        <v>2027</v>
      </c>
      <c r="C9599" s="131" t="s">
        <v>254</v>
      </c>
      <c r="D9599" s="132" t="n">
        <v>46744</v>
      </c>
      <c r="E9599" s="131" t="s">
        <v>46</v>
      </c>
      <c r="F9599" s="133" t="s">
        <v>11</v>
      </c>
      <c r="G9599" s="134" t="n">
        <f aca="false">LEN('Saisie programme'!$G$343)+SUMIFS('Vols additionnels'!$E$7:$E$66,'Vols additionnels'!$C$7:$C$66,$E9599,'Vols additionnels'!$D$7:$D$66,$F9599,'Vols additionnels'!$B$7:$B$66,$D9599)</f>
        <v>0</v>
      </c>
      <c r="H9599" s="135" t="n">
        <f aca="false">$G9599*'Analyse capacite'!$F$7</f>
        <v>0</v>
      </c>
      <c r="I9599" s="135" t="n">
        <f aca="false">$G9599*'Analyse capacite'!$C$7</f>
        <v>0</v>
      </c>
      <c r="J9599" s="135" t="n">
        <f aca="false">$G9599*'Analyse capacite'!$D$7</f>
        <v>0</v>
      </c>
      <c r="K9599" s="135" t="n">
        <f aca="false">$G9599*'Analyse capacite'!$E$7</f>
        <v>0</v>
      </c>
    </row>
    <row r="9600" customFormat="false" ht="15" hidden="false" customHeight="false" outlineLevel="0" collapsed="false">
      <c r="B9600" s="130" t="n">
        <v>2027</v>
      </c>
      <c r="C9600" s="131" t="s">
        <v>254</v>
      </c>
      <c r="D9600" s="132" t="n">
        <v>46744</v>
      </c>
      <c r="E9600" s="131" t="s">
        <v>46</v>
      </c>
      <c r="F9600" s="133" t="s">
        <v>19</v>
      </c>
      <c r="G9600" s="134" t="n">
        <f aca="false">LEN('Saisie programme'!$G$344)+SUMIFS('Vols additionnels'!$E$7:$E$66,'Vols additionnels'!$C$7:$C$66,$E9600,'Vols additionnels'!$D$7:$D$66,$F9600,'Vols additionnels'!$B$7:$B$66,$D9600)</f>
        <v>0</v>
      </c>
      <c r="H9600" s="135" t="n">
        <f aca="false">$G9600*'Analyse capacite'!$F$8</f>
        <v>0</v>
      </c>
      <c r="I9600" s="135" t="n">
        <f aca="false">$G9600*'Analyse capacite'!$C$8</f>
        <v>0</v>
      </c>
      <c r="J9600" s="135" t="n">
        <f aca="false">$G9600*'Analyse capacite'!$D$8</f>
        <v>0</v>
      </c>
      <c r="K9600" s="135" t="n">
        <f aca="false">$G9600*'Analyse capacite'!$E$8</f>
        <v>0</v>
      </c>
    </row>
    <row r="9601" customFormat="false" ht="15" hidden="false" customHeight="false" outlineLevel="0" collapsed="false">
      <c r="B9601" s="130" t="n">
        <v>2027</v>
      </c>
      <c r="C9601" s="131" t="s">
        <v>254</v>
      </c>
      <c r="D9601" s="132" t="n">
        <v>46744</v>
      </c>
      <c r="E9601" s="131" t="s">
        <v>46</v>
      </c>
      <c r="F9601" s="133" t="s">
        <v>24</v>
      </c>
      <c r="G9601" s="134" t="n">
        <f aca="false">LEN('Saisie programme'!$G$345)+SUMIFS('Vols additionnels'!$E$7:$E$66,'Vols additionnels'!$C$7:$C$66,$E9601,'Vols additionnels'!$D$7:$D$66,$F9601,'Vols additionnels'!$B$7:$B$66,$D9601)</f>
        <v>1</v>
      </c>
      <c r="H9601" s="135" t="n">
        <f aca="false">$G9601*'Analyse capacite'!$F$9</f>
        <v>174</v>
      </c>
      <c r="I9601" s="135" t="n">
        <f aca="false">$G9601*'Analyse capacite'!$C$9</f>
        <v>0</v>
      </c>
      <c r="J9601" s="135" t="n">
        <f aca="false">$G9601*'Analyse capacite'!$D$9</f>
        <v>12</v>
      </c>
      <c r="K9601" s="135" t="n">
        <f aca="false">$G9601*'Analyse capacite'!$E$9</f>
        <v>162</v>
      </c>
    </row>
    <row r="9602" customFormat="false" ht="15" hidden="false" customHeight="false" outlineLevel="0" collapsed="false">
      <c r="B9602" s="130" t="n">
        <v>2027</v>
      </c>
      <c r="C9602" s="131" t="s">
        <v>254</v>
      </c>
      <c r="D9602" s="132" t="n">
        <v>46744</v>
      </c>
      <c r="E9602" s="131" t="s">
        <v>49</v>
      </c>
      <c r="F9602" s="133" t="s">
        <v>11</v>
      </c>
      <c r="G9602" s="134" t="n">
        <f aca="false">LEN('Saisie programme'!$G$346)+SUMIFS('Vols additionnels'!$E$7:$E$66,'Vols additionnels'!$C$7:$C$66,$E9602,'Vols additionnels'!$D$7:$D$66,$F9602,'Vols additionnels'!$B$7:$B$66,$D9602)</f>
        <v>0</v>
      </c>
      <c r="H9602" s="135" t="n">
        <f aca="false">$G9602*'Analyse capacite'!$F$7</f>
        <v>0</v>
      </c>
      <c r="I9602" s="135" t="n">
        <f aca="false">$G9602*'Analyse capacite'!$C$7</f>
        <v>0</v>
      </c>
      <c r="J9602" s="135" t="n">
        <f aca="false">$G9602*'Analyse capacite'!$D$7</f>
        <v>0</v>
      </c>
      <c r="K9602" s="135" t="n">
        <f aca="false">$G9602*'Analyse capacite'!$E$7</f>
        <v>0</v>
      </c>
    </row>
    <row r="9603" customFormat="false" ht="15" hidden="false" customHeight="false" outlineLevel="0" collapsed="false">
      <c r="B9603" s="130" t="n">
        <v>2027</v>
      </c>
      <c r="C9603" s="131" t="s">
        <v>254</v>
      </c>
      <c r="D9603" s="132" t="n">
        <v>46744</v>
      </c>
      <c r="E9603" s="131" t="s">
        <v>49</v>
      </c>
      <c r="F9603" s="133" t="s">
        <v>19</v>
      </c>
      <c r="G9603" s="134" t="n">
        <f aca="false">LEN('Saisie programme'!$G$347)+SUMIFS('Vols additionnels'!$E$7:$E$66,'Vols additionnels'!$C$7:$C$66,$E9603,'Vols additionnels'!$D$7:$D$66,$F9603,'Vols additionnels'!$B$7:$B$66,$D9603)</f>
        <v>0</v>
      </c>
      <c r="H9603" s="135" t="n">
        <f aca="false">$G9603*'Analyse capacite'!$F$8</f>
        <v>0</v>
      </c>
      <c r="I9603" s="135" t="n">
        <f aca="false">$G9603*'Analyse capacite'!$C$8</f>
        <v>0</v>
      </c>
      <c r="J9603" s="135" t="n">
        <f aca="false">$G9603*'Analyse capacite'!$D$8</f>
        <v>0</v>
      </c>
      <c r="K9603" s="135" t="n">
        <f aca="false">$G9603*'Analyse capacite'!$E$8</f>
        <v>0</v>
      </c>
    </row>
    <row r="9604" customFormat="false" ht="15" hidden="false" customHeight="false" outlineLevel="0" collapsed="false">
      <c r="B9604" s="130" t="n">
        <v>2027</v>
      </c>
      <c r="C9604" s="131" t="s">
        <v>254</v>
      </c>
      <c r="D9604" s="132" t="n">
        <v>46744</v>
      </c>
      <c r="E9604" s="131" t="s">
        <v>49</v>
      </c>
      <c r="F9604" s="133" t="s">
        <v>24</v>
      </c>
      <c r="G9604" s="134" t="n">
        <f aca="false">LEN('Saisie programme'!$G$348)+SUMIFS('Vols additionnels'!$E$7:$E$66,'Vols additionnels'!$C$7:$C$66,$E9604,'Vols additionnels'!$D$7:$D$66,$F9604,'Vols additionnels'!$B$7:$B$66,$D9604)</f>
        <v>0</v>
      </c>
      <c r="H9604" s="135" t="n">
        <f aca="false">$G9604*'Analyse capacite'!$F$9</f>
        <v>0</v>
      </c>
      <c r="I9604" s="135" t="n">
        <f aca="false">$G9604*'Analyse capacite'!$C$9</f>
        <v>0</v>
      </c>
      <c r="J9604" s="135" t="n">
        <f aca="false">$G9604*'Analyse capacite'!$D$9</f>
        <v>0</v>
      </c>
      <c r="K9604" s="135" t="n">
        <f aca="false">$G9604*'Analyse capacite'!$E$9</f>
        <v>0</v>
      </c>
    </row>
    <row r="9605" customFormat="false" ht="15" hidden="false" customHeight="false" outlineLevel="0" collapsed="false">
      <c r="B9605" s="130" t="n">
        <v>2027</v>
      </c>
      <c r="C9605" s="131" t="s">
        <v>254</v>
      </c>
      <c r="D9605" s="132" t="n">
        <v>46744</v>
      </c>
      <c r="E9605" s="131" t="s">
        <v>53</v>
      </c>
      <c r="F9605" s="133" t="s">
        <v>11</v>
      </c>
      <c r="G9605" s="134" t="n">
        <f aca="false">LEN('Saisie programme'!$G$349)+SUMIFS('Vols additionnels'!$E$7:$E$66,'Vols additionnels'!$C$7:$C$66,$E9605,'Vols additionnels'!$D$7:$D$66,$F9605,'Vols additionnels'!$B$7:$B$66,$D9605)</f>
        <v>0</v>
      </c>
      <c r="H9605" s="135" t="n">
        <f aca="false">$G9605*'Analyse capacite'!$F$7</f>
        <v>0</v>
      </c>
      <c r="I9605" s="135" t="n">
        <f aca="false">$G9605*'Analyse capacite'!$C$7</f>
        <v>0</v>
      </c>
      <c r="J9605" s="135" t="n">
        <f aca="false">$G9605*'Analyse capacite'!$D$7</f>
        <v>0</v>
      </c>
      <c r="K9605" s="135" t="n">
        <f aca="false">$G9605*'Analyse capacite'!$E$7</f>
        <v>0</v>
      </c>
    </row>
    <row r="9606" customFormat="false" ht="15" hidden="false" customHeight="false" outlineLevel="0" collapsed="false">
      <c r="B9606" s="130" t="n">
        <v>2027</v>
      </c>
      <c r="C9606" s="131" t="s">
        <v>254</v>
      </c>
      <c r="D9606" s="132" t="n">
        <v>46744</v>
      </c>
      <c r="E9606" s="131" t="s">
        <v>53</v>
      </c>
      <c r="F9606" s="133" t="s">
        <v>19</v>
      </c>
      <c r="G9606" s="134" t="n">
        <f aca="false">LEN('Saisie programme'!$G$350)+SUMIFS('Vols additionnels'!$E$7:$E$66,'Vols additionnels'!$C$7:$C$66,$E9606,'Vols additionnels'!$D$7:$D$66,$F9606,'Vols additionnels'!$B$7:$B$66,$D9606)</f>
        <v>1</v>
      </c>
      <c r="H9606" s="135" t="n">
        <f aca="false">$G9606*'Analyse capacite'!$F$8</f>
        <v>262</v>
      </c>
      <c r="I9606" s="135" t="n">
        <f aca="false">$G9606*'Analyse capacite'!$C$8</f>
        <v>18</v>
      </c>
      <c r="J9606" s="135" t="n">
        <f aca="false">$G9606*'Analyse capacite'!$D$8</f>
        <v>0</v>
      </c>
      <c r="K9606" s="135" t="n">
        <f aca="false">$G9606*'Analyse capacite'!$E$8</f>
        <v>244</v>
      </c>
    </row>
    <row r="9607" customFormat="false" ht="15" hidden="false" customHeight="false" outlineLevel="0" collapsed="false">
      <c r="B9607" s="130" t="n">
        <v>2027</v>
      </c>
      <c r="C9607" s="131" t="s">
        <v>254</v>
      </c>
      <c r="D9607" s="132" t="n">
        <v>46744</v>
      </c>
      <c r="E9607" s="131" t="s">
        <v>53</v>
      </c>
      <c r="F9607" s="133" t="s">
        <v>24</v>
      </c>
      <c r="G9607" s="134" t="n">
        <f aca="false">LEN('Saisie programme'!$G$351)+SUMIFS('Vols additionnels'!$E$7:$E$66,'Vols additionnels'!$C$7:$C$66,$E9607,'Vols additionnels'!$D$7:$D$66,$F9607,'Vols additionnels'!$B$7:$B$66,$D9607)</f>
        <v>0</v>
      </c>
      <c r="H9607" s="135" t="n">
        <f aca="false">$G9607*'Analyse capacite'!$F$9</f>
        <v>0</v>
      </c>
      <c r="I9607" s="135" t="n">
        <f aca="false">$G9607*'Analyse capacite'!$C$9</f>
        <v>0</v>
      </c>
      <c r="J9607" s="135" t="n">
        <f aca="false">$G9607*'Analyse capacite'!$D$9</f>
        <v>0</v>
      </c>
      <c r="K9607" s="135" t="n">
        <f aca="false">$G9607*'Analyse capacite'!$E$9</f>
        <v>0</v>
      </c>
    </row>
    <row r="9608" customFormat="false" ht="15" hidden="false" customHeight="false" outlineLevel="0" collapsed="false">
      <c r="B9608" s="130" t="n">
        <v>2027</v>
      </c>
      <c r="C9608" s="131" t="s">
        <v>254</v>
      </c>
      <c r="D9608" s="132" t="n">
        <v>46744</v>
      </c>
      <c r="E9608" s="131" t="s">
        <v>56</v>
      </c>
      <c r="F9608" s="133" t="s">
        <v>11</v>
      </c>
      <c r="G9608" s="134" t="n">
        <f aca="false">LEN('Saisie programme'!$G$352)+SUMIFS('Vols additionnels'!$E$7:$E$66,'Vols additionnels'!$C$7:$C$66,$E9608,'Vols additionnels'!$D$7:$D$66,$F9608,'Vols additionnels'!$B$7:$B$66,$D9608)</f>
        <v>0</v>
      </c>
      <c r="H9608" s="135" t="n">
        <f aca="false">$G9608*'Analyse capacite'!$F$7</f>
        <v>0</v>
      </c>
      <c r="I9608" s="135" t="n">
        <f aca="false">$G9608*'Analyse capacite'!$C$7</f>
        <v>0</v>
      </c>
      <c r="J9608" s="135" t="n">
        <f aca="false">$G9608*'Analyse capacite'!$D$7</f>
        <v>0</v>
      </c>
      <c r="K9608" s="135" t="n">
        <f aca="false">$G9608*'Analyse capacite'!$E$7</f>
        <v>0</v>
      </c>
    </row>
    <row r="9609" customFormat="false" ht="15" hidden="false" customHeight="false" outlineLevel="0" collapsed="false">
      <c r="B9609" s="130" t="n">
        <v>2027</v>
      </c>
      <c r="C9609" s="131" t="s">
        <v>254</v>
      </c>
      <c r="D9609" s="132" t="n">
        <v>46744</v>
      </c>
      <c r="E9609" s="131" t="s">
        <v>56</v>
      </c>
      <c r="F9609" s="133" t="s">
        <v>19</v>
      </c>
      <c r="G9609" s="134" t="n">
        <f aca="false">LEN('Saisie programme'!$G$353)+SUMIFS('Vols additionnels'!$E$7:$E$66,'Vols additionnels'!$C$7:$C$66,$E9609,'Vols additionnels'!$D$7:$D$66,$F9609,'Vols additionnels'!$B$7:$B$66,$D9609)</f>
        <v>0</v>
      </c>
      <c r="H9609" s="135" t="n">
        <f aca="false">$G9609*'Analyse capacite'!$F$8</f>
        <v>0</v>
      </c>
      <c r="I9609" s="135" t="n">
        <f aca="false">$G9609*'Analyse capacite'!$C$8</f>
        <v>0</v>
      </c>
      <c r="J9609" s="135" t="n">
        <f aca="false">$G9609*'Analyse capacite'!$D$8</f>
        <v>0</v>
      </c>
      <c r="K9609" s="135" t="n">
        <f aca="false">$G9609*'Analyse capacite'!$E$8</f>
        <v>0</v>
      </c>
    </row>
    <row r="9610" customFormat="false" ht="15" hidden="false" customHeight="false" outlineLevel="0" collapsed="false">
      <c r="B9610" s="130" t="n">
        <v>2027</v>
      </c>
      <c r="C9610" s="131" t="s">
        <v>254</v>
      </c>
      <c r="D9610" s="132" t="n">
        <v>46744</v>
      </c>
      <c r="E9610" s="131" t="s">
        <v>56</v>
      </c>
      <c r="F9610" s="133" t="s">
        <v>24</v>
      </c>
      <c r="G9610" s="134" t="n">
        <f aca="false">LEN('Saisie programme'!$G$354)+SUMIFS('Vols additionnels'!$E$7:$E$66,'Vols additionnels'!$C$7:$C$66,$E9610,'Vols additionnels'!$D$7:$D$66,$F9610,'Vols additionnels'!$B$7:$B$66,$D9610)</f>
        <v>0</v>
      </c>
      <c r="H9610" s="135" t="n">
        <f aca="false">$G9610*'Analyse capacite'!$F$9</f>
        <v>0</v>
      </c>
      <c r="I9610" s="135" t="n">
        <f aca="false">$G9610*'Analyse capacite'!$C$9</f>
        <v>0</v>
      </c>
      <c r="J9610" s="135" t="n">
        <f aca="false">$G9610*'Analyse capacite'!$D$9</f>
        <v>0</v>
      </c>
      <c r="K9610" s="135" t="n">
        <f aca="false">$G9610*'Analyse capacite'!$E$9</f>
        <v>0</v>
      </c>
    </row>
    <row r="9611" customFormat="false" ht="15" hidden="false" customHeight="false" outlineLevel="0" collapsed="false">
      <c r="B9611" s="130" t="n">
        <v>2027</v>
      </c>
      <c r="C9611" s="131" t="s">
        <v>254</v>
      </c>
      <c r="D9611" s="132" t="n">
        <v>46744</v>
      </c>
      <c r="E9611" s="131" t="s">
        <v>59</v>
      </c>
      <c r="F9611" s="133" t="s">
        <v>11</v>
      </c>
      <c r="G9611" s="134" t="n">
        <f aca="false">LEN('Saisie programme'!$G$355)+SUMIFS('Vols additionnels'!$E$7:$E$66,'Vols additionnels'!$C$7:$C$66,$E9611,'Vols additionnels'!$D$7:$D$66,$F9611,'Vols additionnels'!$B$7:$B$66,$D9611)</f>
        <v>0</v>
      </c>
      <c r="H9611" s="135" t="n">
        <f aca="false">$G9611*'Analyse capacite'!$F$7</f>
        <v>0</v>
      </c>
      <c r="I9611" s="135" t="n">
        <f aca="false">$G9611*'Analyse capacite'!$C$7</f>
        <v>0</v>
      </c>
      <c r="J9611" s="135" t="n">
        <f aca="false">$G9611*'Analyse capacite'!$D$7</f>
        <v>0</v>
      </c>
      <c r="K9611" s="135" t="n">
        <f aca="false">$G9611*'Analyse capacite'!$E$7</f>
        <v>0</v>
      </c>
    </row>
    <row r="9612" customFormat="false" ht="15" hidden="false" customHeight="false" outlineLevel="0" collapsed="false">
      <c r="B9612" s="130" t="n">
        <v>2027</v>
      </c>
      <c r="C9612" s="131" t="s">
        <v>254</v>
      </c>
      <c r="D9612" s="132" t="n">
        <v>46744</v>
      </c>
      <c r="E9612" s="131" t="s">
        <v>59</v>
      </c>
      <c r="F9612" s="133" t="s">
        <v>19</v>
      </c>
      <c r="G9612" s="134" t="n">
        <f aca="false">LEN('Saisie programme'!$G$356)+SUMIFS('Vols additionnels'!$E$7:$E$66,'Vols additionnels'!$C$7:$C$66,$E9612,'Vols additionnels'!$D$7:$D$66,$F9612,'Vols additionnels'!$B$7:$B$66,$D9612)</f>
        <v>0</v>
      </c>
      <c r="H9612" s="135" t="n">
        <f aca="false">$G9612*'Analyse capacite'!$F$8</f>
        <v>0</v>
      </c>
      <c r="I9612" s="135" t="n">
        <f aca="false">$G9612*'Analyse capacite'!$C$8</f>
        <v>0</v>
      </c>
      <c r="J9612" s="135" t="n">
        <f aca="false">$G9612*'Analyse capacite'!$D$8</f>
        <v>0</v>
      </c>
      <c r="K9612" s="135" t="n">
        <f aca="false">$G9612*'Analyse capacite'!$E$8</f>
        <v>0</v>
      </c>
    </row>
    <row r="9613" customFormat="false" ht="15" hidden="false" customHeight="false" outlineLevel="0" collapsed="false">
      <c r="B9613" s="130" t="n">
        <v>2027</v>
      </c>
      <c r="C9613" s="131" t="s">
        <v>254</v>
      </c>
      <c r="D9613" s="132" t="n">
        <v>46744</v>
      </c>
      <c r="E9613" s="131" t="s">
        <v>59</v>
      </c>
      <c r="F9613" s="133" t="s">
        <v>24</v>
      </c>
      <c r="G9613" s="134" t="n">
        <f aca="false">LEN('Saisie programme'!$G$357)+SUMIFS('Vols additionnels'!$E$7:$E$66,'Vols additionnels'!$C$7:$C$66,$E9613,'Vols additionnels'!$D$7:$D$66,$F9613,'Vols additionnels'!$B$7:$B$66,$D9613)</f>
        <v>2</v>
      </c>
      <c r="H9613" s="135" t="n">
        <f aca="false">$G9613*'Analyse capacite'!$F$9</f>
        <v>348</v>
      </c>
      <c r="I9613" s="135" t="n">
        <f aca="false">$G9613*'Analyse capacite'!$C$9</f>
        <v>0</v>
      </c>
      <c r="J9613" s="135" t="n">
        <f aca="false">$G9613*'Analyse capacite'!$D$9</f>
        <v>24</v>
      </c>
      <c r="K9613" s="135" t="n">
        <f aca="false">$G9613*'Analyse capacite'!$E$9</f>
        <v>324</v>
      </c>
    </row>
    <row r="9614" customFormat="false" ht="15" hidden="false" customHeight="false" outlineLevel="0" collapsed="false">
      <c r="B9614" s="130" t="n">
        <v>2027</v>
      </c>
      <c r="C9614" s="131" t="s">
        <v>254</v>
      </c>
      <c r="D9614" s="132" t="n">
        <v>46744</v>
      </c>
      <c r="E9614" s="131" t="s">
        <v>62</v>
      </c>
      <c r="F9614" s="133" t="s">
        <v>11</v>
      </c>
      <c r="G9614" s="134" t="n">
        <f aca="false">LEN('Saisie programme'!$G$358)+SUMIFS('Vols additionnels'!$E$7:$E$66,'Vols additionnels'!$C$7:$C$66,$E9614,'Vols additionnels'!$D$7:$D$66,$F9614,'Vols additionnels'!$B$7:$B$66,$D9614)</f>
        <v>0</v>
      </c>
      <c r="H9614" s="135" t="n">
        <f aca="false">$G9614*'Analyse capacite'!$F$7</f>
        <v>0</v>
      </c>
      <c r="I9614" s="135" t="n">
        <f aca="false">$G9614*'Analyse capacite'!$C$7</f>
        <v>0</v>
      </c>
      <c r="J9614" s="135" t="n">
        <f aca="false">$G9614*'Analyse capacite'!$D$7</f>
        <v>0</v>
      </c>
      <c r="K9614" s="135" t="n">
        <f aca="false">$G9614*'Analyse capacite'!$E$7</f>
        <v>0</v>
      </c>
    </row>
    <row r="9615" customFormat="false" ht="15" hidden="false" customHeight="false" outlineLevel="0" collapsed="false">
      <c r="B9615" s="130" t="n">
        <v>2027</v>
      </c>
      <c r="C9615" s="131" t="s">
        <v>254</v>
      </c>
      <c r="D9615" s="132" t="n">
        <v>46744</v>
      </c>
      <c r="E9615" s="131" t="s">
        <v>62</v>
      </c>
      <c r="F9615" s="133" t="s">
        <v>19</v>
      </c>
      <c r="G9615" s="134" t="n">
        <f aca="false">LEN('Saisie programme'!$G$359)+SUMIFS('Vols additionnels'!$E$7:$E$66,'Vols additionnels'!$C$7:$C$66,$E9615,'Vols additionnels'!$D$7:$D$66,$F9615,'Vols additionnels'!$B$7:$B$66,$D9615)</f>
        <v>0</v>
      </c>
      <c r="H9615" s="135" t="n">
        <f aca="false">$G9615*'Analyse capacite'!$F$8</f>
        <v>0</v>
      </c>
      <c r="I9615" s="135" t="n">
        <f aca="false">$G9615*'Analyse capacite'!$C$8</f>
        <v>0</v>
      </c>
      <c r="J9615" s="135" t="n">
        <f aca="false">$G9615*'Analyse capacite'!$D$8</f>
        <v>0</v>
      </c>
      <c r="K9615" s="135" t="n">
        <f aca="false">$G9615*'Analyse capacite'!$E$8</f>
        <v>0</v>
      </c>
    </row>
    <row r="9616" customFormat="false" ht="15" hidden="false" customHeight="false" outlineLevel="0" collapsed="false">
      <c r="B9616" s="130" t="n">
        <v>2027</v>
      </c>
      <c r="C9616" s="131" t="s">
        <v>254</v>
      </c>
      <c r="D9616" s="132" t="n">
        <v>46744</v>
      </c>
      <c r="E9616" s="131" t="s">
        <v>62</v>
      </c>
      <c r="F9616" s="133" t="s">
        <v>24</v>
      </c>
      <c r="G9616" s="134" t="n">
        <f aca="false">LEN('Saisie programme'!$G$360)+SUMIFS('Vols additionnels'!$E$7:$E$66,'Vols additionnels'!$C$7:$C$66,$E9616,'Vols additionnels'!$D$7:$D$66,$F9616,'Vols additionnels'!$B$7:$B$66,$D9616)</f>
        <v>0</v>
      </c>
      <c r="H9616" s="135" t="n">
        <f aca="false">$G9616*'Analyse capacite'!$F$9</f>
        <v>0</v>
      </c>
      <c r="I9616" s="135" t="n">
        <f aca="false">$G9616*'Analyse capacite'!$C$9</f>
        <v>0</v>
      </c>
      <c r="J9616" s="135" t="n">
        <f aca="false">$G9616*'Analyse capacite'!$D$9</f>
        <v>0</v>
      </c>
      <c r="K9616" s="135" t="n">
        <f aca="false">$G9616*'Analyse capacite'!$E$9</f>
        <v>0</v>
      </c>
    </row>
    <row r="9617" customFormat="false" ht="15" hidden="false" customHeight="false" outlineLevel="0" collapsed="false">
      <c r="B9617" s="130" t="n">
        <v>2027</v>
      </c>
      <c r="C9617" s="131" t="s">
        <v>254</v>
      </c>
      <c r="D9617" s="132" t="n">
        <v>46745</v>
      </c>
      <c r="E9617" s="131" t="s">
        <v>12</v>
      </c>
      <c r="F9617" s="133" t="s">
        <v>11</v>
      </c>
      <c r="G9617" s="134" t="n">
        <f aca="false">LEN('Saisie programme'!$H$325)+SUMIFS('Vols additionnels'!$E$7:$E$66,'Vols additionnels'!$C$7:$C$66,$E9617,'Vols additionnels'!$D$7:$D$66,$F9617,'Vols additionnels'!$B$7:$B$66,$D9617)</f>
        <v>1</v>
      </c>
      <c r="H9617" s="135" t="n">
        <f aca="false">$G9617*'Analyse capacite'!$F$7</f>
        <v>438</v>
      </c>
      <c r="I9617" s="135" t="n">
        <f aca="false">$G9617*'Analyse capacite'!$C$7</f>
        <v>14</v>
      </c>
      <c r="J9617" s="135" t="n">
        <f aca="false">$G9617*'Analyse capacite'!$D$7</f>
        <v>40</v>
      </c>
      <c r="K9617" s="135" t="n">
        <f aca="false">$G9617*'Analyse capacite'!$E$7</f>
        <v>384</v>
      </c>
    </row>
    <row r="9618" customFormat="false" ht="15" hidden="false" customHeight="false" outlineLevel="0" collapsed="false">
      <c r="B9618" s="130" t="n">
        <v>2027</v>
      </c>
      <c r="C9618" s="131" t="s">
        <v>254</v>
      </c>
      <c r="D9618" s="132" t="n">
        <v>46745</v>
      </c>
      <c r="E9618" s="131" t="s">
        <v>12</v>
      </c>
      <c r="F9618" s="133" t="s">
        <v>19</v>
      </c>
      <c r="G9618" s="134" t="n">
        <f aca="false">LEN('Saisie programme'!$H$326)+SUMIFS('Vols additionnels'!$E$7:$E$66,'Vols additionnels'!$C$7:$C$66,$E9618,'Vols additionnels'!$D$7:$D$66,$F9618,'Vols additionnels'!$B$7:$B$66,$D9618)</f>
        <v>1</v>
      </c>
      <c r="H9618" s="135" t="n">
        <f aca="false">$G9618*'Analyse capacite'!$F$8</f>
        <v>262</v>
      </c>
      <c r="I9618" s="135" t="n">
        <f aca="false">$G9618*'Analyse capacite'!$C$8</f>
        <v>18</v>
      </c>
      <c r="J9618" s="135" t="n">
        <f aca="false">$G9618*'Analyse capacite'!$D$8</f>
        <v>0</v>
      </c>
      <c r="K9618" s="135" t="n">
        <f aca="false">$G9618*'Analyse capacite'!$E$8</f>
        <v>244</v>
      </c>
    </row>
    <row r="9619" customFormat="false" ht="15" hidden="false" customHeight="false" outlineLevel="0" collapsed="false">
      <c r="B9619" s="130" t="n">
        <v>2027</v>
      </c>
      <c r="C9619" s="131" t="s">
        <v>254</v>
      </c>
      <c r="D9619" s="132" t="n">
        <v>46745</v>
      </c>
      <c r="E9619" s="131" t="s">
        <v>12</v>
      </c>
      <c r="F9619" s="133" t="s">
        <v>24</v>
      </c>
      <c r="G9619" s="134" t="n">
        <f aca="false">LEN('Saisie programme'!$H$327)+SUMIFS('Vols additionnels'!$E$7:$E$66,'Vols additionnels'!$C$7:$C$66,$E9619,'Vols additionnels'!$D$7:$D$66,$F9619,'Vols additionnels'!$B$7:$B$66,$D9619)</f>
        <v>0</v>
      </c>
      <c r="H9619" s="135" t="n">
        <f aca="false">$G9619*'Analyse capacite'!$F$9</f>
        <v>0</v>
      </c>
      <c r="I9619" s="135" t="n">
        <f aca="false">$G9619*'Analyse capacite'!$C$9</f>
        <v>0</v>
      </c>
      <c r="J9619" s="135" t="n">
        <f aca="false">$G9619*'Analyse capacite'!$D$9</f>
        <v>0</v>
      </c>
      <c r="K9619" s="135" t="n">
        <f aca="false">$G9619*'Analyse capacite'!$E$9</f>
        <v>0</v>
      </c>
    </row>
    <row r="9620" customFormat="false" ht="15" hidden="false" customHeight="false" outlineLevel="0" collapsed="false">
      <c r="B9620" s="130" t="n">
        <v>2027</v>
      </c>
      <c r="C9620" s="131" t="s">
        <v>254</v>
      </c>
      <c r="D9620" s="132" t="n">
        <v>46745</v>
      </c>
      <c r="E9620" s="131" t="s">
        <v>20</v>
      </c>
      <c r="F9620" s="133" t="s">
        <v>11</v>
      </c>
      <c r="G9620" s="134" t="n">
        <f aca="false">LEN('Saisie programme'!$H$328)+SUMIFS('Vols additionnels'!$E$7:$E$66,'Vols additionnels'!$C$7:$C$66,$E9620,'Vols additionnels'!$D$7:$D$66,$F9620,'Vols additionnels'!$B$7:$B$66,$D9620)</f>
        <v>0</v>
      </c>
      <c r="H9620" s="135" t="n">
        <f aca="false">$G9620*'Analyse capacite'!$F$7</f>
        <v>0</v>
      </c>
      <c r="I9620" s="135" t="n">
        <f aca="false">$G9620*'Analyse capacite'!$C$7</f>
        <v>0</v>
      </c>
      <c r="J9620" s="135" t="n">
        <f aca="false">$G9620*'Analyse capacite'!$D$7</f>
        <v>0</v>
      </c>
      <c r="K9620" s="135" t="n">
        <f aca="false">$G9620*'Analyse capacite'!$E$7</f>
        <v>0</v>
      </c>
    </row>
    <row r="9621" customFormat="false" ht="15" hidden="false" customHeight="false" outlineLevel="0" collapsed="false">
      <c r="B9621" s="130" t="n">
        <v>2027</v>
      </c>
      <c r="C9621" s="131" t="s">
        <v>254</v>
      </c>
      <c r="D9621" s="132" t="n">
        <v>46745</v>
      </c>
      <c r="E9621" s="131" t="s">
        <v>20</v>
      </c>
      <c r="F9621" s="133" t="s">
        <v>19</v>
      </c>
      <c r="G9621" s="134" t="n">
        <f aca="false">LEN('Saisie programme'!$H$329)+SUMIFS('Vols additionnels'!$E$7:$E$66,'Vols additionnels'!$C$7:$C$66,$E9621,'Vols additionnels'!$D$7:$D$66,$F9621,'Vols additionnels'!$B$7:$B$66,$D9621)</f>
        <v>1</v>
      </c>
      <c r="H9621" s="135" t="n">
        <f aca="false">$G9621*'Analyse capacite'!$F$8</f>
        <v>262</v>
      </c>
      <c r="I9621" s="135" t="n">
        <f aca="false">$G9621*'Analyse capacite'!$C$8</f>
        <v>18</v>
      </c>
      <c r="J9621" s="135" t="n">
        <f aca="false">$G9621*'Analyse capacite'!$D$8</f>
        <v>0</v>
      </c>
      <c r="K9621" s="135" t="n">
        <f aca="false">$G9621*'Analyse capacite'!$E$8</f>
        <v>244</v>
      </c>
    </row>
    <row r="9622" customFormat="false" ht="15" hidden="false" customHeight="false" outlineLevel="0" collapsed="false">
      <c r="B9622" s="130" t="n">
        <v>2027</v>
      </c>
      <c r="C9622" s="131" t="s">
        <v>254</v>
      </c>
      <c r="D9622" s="132" t="n">
        <v>46745</v>
      </c>
      <c r="E9622" s="131" t="s">
        <v>20</v>
      </c>
      <c r="F9622" s="133" t="s">
        <v>24</v>
      </c>
      <c r="G9622" s="134" t="n">
        <f aca="false">LEN('Saisie programme'!$H$330)+SUMIFS('Vols additionnels'!$E$7:$E$66,'Vols additionnels'!$C$7:$C$66,$E9622,'Vols additionnels'!$D$7:$D$66,$F9622,'Vols additionnels'!$B$7:$B$66,$D9622)</f>
        <v>0</v>
      </c>
      <c r="H9622" s="135" t="n">
        <f aca="false">$G9622*'Analyse capacite'!$F$9</f>
        <v>0</v>
      </c>
      <c r="I9622" s="135" t="n">
        <f aca="false">$G9622*'Analyse capacite'!$C$9</f>
        <v>0</v>
      </c>
      <c r="J9622" s="135" t="n">
        <f aca="false">$G9622*'Analyse capacite'!$D$9</f>
        <v>0</v>
      </c>
      <c r="K9622" s="135" t="n">
        <f aca="false">$G9622*'Analyse capacite'!$E$9</f>
        <v>0</v>
      </c>
    </row>
    <row r="9623" customFormat="false" ht="15" hidden="false" customHeight="false" outlineLevel="0" collapsed="false">
      <c r="B9623" s="130" t="n">
        <v>2027</v>
      </c>
      <c r="C9623" s="131" t="s">
        <v>254</v>
      </c>
      <c r="D9623" s="132" t="n">
        <v>46745</v>
      </c>
      <c r="E9623" s="131" t="s">
        <v>25</v>
      </c>
      <c r="F9623" s="133" t="s">
        <v>11</v>
      </c>
      <c r="G9623" s="134" t="n">
        <f aca="false">LEN('Saisie programme'!$H$331)+SUMIFS('Vols additionnels'!$E$7:$E$66,'Vols additionnels'!$C$7:$C$66,$E9623,'Vols additionnels'!$D$7:$D$66,$F9623,'Vols additionnels'!$B$7:$B$66,$D9623)</f>
        <v>0</v>
      </c>
      <c r="H9623" s="135" t="n">
        <f aca="false">$G9623*'Analyse capacite'!$F$7</f>
        <v>0</v>
      </c>
      <c r="I9623" s="135" t="n">
        <f aca="false">$G9623*'Analyse capacite'!$C$7</f>
        <v>0</v>
      </c>
      <c r="J9623" s="135" t="n">
        <f aca="false">$G9623*'Analyse capacite'!$D$7</f>
        <v>0</v>
      </c>
      <c r="K9623" s="135" t="n">
        <f aca="false">$G9623*'Analyse capacite'!$E$7</f>
        <v>0</v>
      </c>
    </row>
    <row r="9624" customFormat="false" ht="15" hidden="false" customHeight="false" outlineLevel="0" collapsed="false">
      <c r="B9624" s="130" t="n">
        <v>2027</v>
      </c>
      <c r="C9624" s="131" t="s">
        <v>254</v>
      </c>
      <c r="D9624" s="132" t="n">
        <v>46745</v>
      </c>
      <c r="E9624" s="131" t="s">
        <v>25</v>
      </c>
      <c r="F9624" s="133" t="s">
        <v>19</v>
      </c>
      <c r="G9624" s="134" t="n">
        <f aca="false">LEN('Saisie programme'!$H$332)+SUMIFS('Vols additionnels'!$E$7:$E$66,'Vols additionnels'!$C$7:$C$66,$E9624,'Vols additionnels'!$D$7:$D$66,$F9624,'Vols additionnels'!$B$7:$B$66,$D9624)</f>
        <v>0</v>
      </c>
      <c r="H9624" s="135" t="n">
        <f aca="false">$G9624*'Analyse capacite'!$F$8</f>
        <v>0</v>
      </c>
      <c r="I9624" s="135" t="n">
        <f aca="false">$G9624*'Analyse capacite'!$C$8</f>
        <v>0</v>
      </c>
      <c r="J9624" s="135" t="n">
        <f aca="false">$G9624*'Analyse capacite'!$D$8</f>
        <v>0</v>
      </c>
      <c r="K9624" s="135" t="n">
        <f aca="false">$G9624*'Analyse capacite'!$E$8</f>
        <v>0</v>
      </c>
    </row>
    <row r="9625" customFormat="false" ht="15" hidden="false" customHeight="false" outlineLevel="0" collapsed="false">
      <c r="B9625" s="130" t="n">
        <v>2027</v>
      </c>
      <c r="C9625" s="131" t="s">
        <v>254</v>
      </c>
      <c r="D9625" s="132" t="n">
        <v>46745</v>
      </c>
      <c r="E9625" s="131" t="s">
        <v>25</v>
      </c>
      <c r="F9625" s="133" t="s">
        <v>24</v>
      </c>
      <c r="G9625" s="134" t="n">
        <f aca="false">LEN('Saisie programme'!$H$333)+SUMIFS('Vols additionnels'!$E$7:$E$66,'Vols additionnels'!$C$7:$C$66,$E9625,'Vols additionnels'!$D$7:$D$66,$F9625,'Vols additionnels'!$B$7:$B$66,$D9625)</f>
        <v>0</v>
      </c>
      <c r="H9625" s="135" t="n">
        <f aca="false">$G9625*'Analyse capacite'!$F$9</f>
        <v>0</v>
      </c>
      <c r="I9625" s="135" t="n">
        <f aca="false">$G9625*'Analyse capacite'!$C$9</f>
        <v>0</v>
      </c>
      <c r="J9625" s="135" t="n">
        <f aca="false">$G9625*'Analyse capacite'!$D$9</f>
        <v>0</v>
      </c>
      <c r="K9625" s="135" t="n">
        <f aca="false">$G9625*'Analyse capacite'!$E$9</f>
        <v>0</v>
      </c>
    </row>
    <row r="9626" customFormat="false" ht="15" hidden="false" customHeight="false" outlineLevel="0" collapsed="false">
      <c r="B9626" s="130" t="n">
        <v>2027</v>
      </c>
      <c r="C9626" s="131" t="s">
        <v>254</v>
      </c>
      <c r="D9626" s="132" t="n">
        <v>46745</v>
      </c>
      <c r="E9626" s="131" t="s">
        <v>36</v>
      </c>
      <c r="F9626" s="133" t="s">
        <v>11</v>
      </c>
      <c r="G9626" s="134" t="n">
        <f aca="false">LEN('Saisie programme'!$H$334)+SUMIFS('Vols additionnels'!$E$7:$E$66,'Vols additionnels'!$C$7:$C$66,$E9626,'Vols additionnels'!$D$7:$D$66,$F9626,'Vols additionnels'!$B$7:$B$66,$D9626)</f>
        <v>0</v>
      </c>
      <c r="H9626" s="135" t="n">
        <f aca="false">$G9626*'Analyse capacite'!$F$7</f>
        <v>0</v>
      </c>
      <c r="I9626" s="135" t="n">
        <f aca="false">$G9626*'Analyse capacite'!$C$7</f>
        <v>0</v>
      </c>
      <c r="J9626" s="135" t="n">
        <f aca="false">$G9626*'Analyse capacite'!$D$7</f>
        <v>0</v>
      </c>
      <c r="K9626" s="135" t="n">
        <f aca="false">$G9626*'Analyse capacite'!$E$7</f>
        <v>0</v>
      </c>
    </row>
    <row r="9627" customFormat="false" ht="15" hidden="false" customHeight="false" outlineLevel="0" collapsed="false">
      <c r="B9627" s="130" t="n">
        <v>2027</v>
      </c>
      <c r="C9627" s="131" t="s">
        <v>254</v>
      </c>
      <c r="D9627" s="132" t="n">
        <v>46745</v>
      </c>
      <c r="E9627" s="131" t="s">
        <v>36</v>
      </c>
      <c r="F9627" s="133" t="s">
        <v>19</v>
      </c>
      <c r="G9627" s="134" t="n">
        <f aca="false">LEN('Saisie programme'!$H$335)+SUMIFS('Vols additionnels'!$E$7:$E$66,'Vols additionnels'!$C$7:$C$66,$E9627,'Vols additionnels'!$D$7:$D$66,$F9627,'Vols additionnels'!$B$7:$B$66,$D9627)</f>
        <v>0</v>
      </c>
      <c r="H9627" s="135" t="n">
        <f aca="false">$G9627*'Analyse capacite'!$F$8</f>
        <v>0</v>
      </c>
      <c r="I9627" s="135" t="n">
        <f aca="false">$G9627*'Analyse capacite'!$C$8</f>
        <v>0</v>
      </c>
      <c r="J9627" s="135" t="n">
        <f aca="false">$G9627*'Analyse capacite'!$D$8</f>
        <v>0</v>
      </c>
      <c r="K9627" s="135" t="n">
        <f aca="false">$G9627*'Analyse capacite'!$E$8</f>
        <v>0</v>
      </c>
    </row>
    <row r="9628" customFormat="false" ht="15" hidden="false" customHeight="false" outlineLevel="0" collapsed="false">
      <c r="B9628" s="130" t="n">
        <v>2027</v>
      </c>
      <c r="C9628" s="131" t="s">
        <v>254</v>
      </c>
      <c r="D9628" s="132" t="n">
        <v>46745</v>
      </c>
      <c r="E9628" s="131" t="s">
        <v>36</v>
      </c>
      <c r="F9628" s="133" t="s">
        <v>24</v>
      </c>
      <c r="G9628" s="134" t="n">
        <f aca="false">LEN('Saisie programme'!$H$336)+SUMIFS('Vols additionnels'!$E$7:$E$66,'Vols additionnels'!$C$7:$C$66,$E9628,'Vols additionnels'!$D$7:$D$66,$F9628,'Vols additionnels'!$B$7:$B$66,$D9628)</f>
        <v>1</v>
      </c>
      <c r="H9628" s="135" t="n">
        <f aca="false">$G9628*'Analyse capacite'!$F$9</f>
        <v>174</v>
      </c>
      <c r="I9628" s="135" t="n">
        <f aca="false">$G9628*'Analyse capacite'!$C$9</f>
        <v>0</v>
      </c>
      <c r="J9628" s="135" t="n">
        <f aca="false">$G9628*'Analyse capacite'!$D$9</f>
        <v>12</v>
      </c>
      <c r="K9628" s="135" t="n">
        <f aca="false">$G9628*'Analyse capacite'!$E$9</f>
        <v>162</v>
      </c>
    </row>
    <row r="9629" customFormat="false" ht="15" hidden="false" customHeight="false" outlineLevel="0" collapsed="false">
      <c r="B9629" s="130" t="n">
        <v>2027</v>
      </c>
      <c r="C9629" s="131" t="s">
        <v>254</v>
      </c>
      <c r="D9629" s="132" t="n">
        <v>46745</v>
      </c>
      <c r="E9629" s="131" t="s">
        <v>40</v>
      </c>
      <c r="F9629" s="133" t="s">
        <v>11</v>
      </c>
      <c r="G9629" s="134" t="n">
        <f aca="false">LEN('Saisie programme'!$H$337)+SUMIFS('Vols additionnels'!$E$7:$E$66,'Vols additionnels'!$C$7:$C$66,$E9629,'Vols additionnels'!$D$7:$D$66,$F9629,'Vols additionnels'!$B$7:$B$66,$D9629)</f>
        <v>0</v>
      </c>
      <c r="H9629" s="135" t="n">
        <f aca="false">$G9629*'Analyse capacite'!$F$7</f>
        <v>0</v>
      </c>
      <c r="I9629" s="135" t="n">
        <f aca="false">$G9629*'Analyse capacite'!$C$7</f>
        <v>0</v>
      </c>
      <c r="J9629" s="135" t="n">
        <f aca="false">$G9629*'Analyse capacite'!$D$7</f>
        <v>0</v>
      </c>
      <c r="K9629" s="135" t="n">
        <f aca="false">$G9629*'Analyse capacite'!$E$7</f>
        <v>0</v>
      </c>
    </row>
    <row r="9630" customFormat="false" ht="15" hidden="false" customHeight="false" outlineLevel="0" collapsed="false">
      <c r="B9630" s="130" t="n">
        <v>2027</v>
      </c>
      <c r="C9630" s="131" t="s">
        <v>254</v>
      </c>
      <c r="D9630" s="132" t="n">
        <v>46745</v>
      </c>
      <c r="E9630" s="131" t="s">
        <v>40</v>
      </c>
      <c r="F9630" s="133" t="s">
        <v>19</v>
      </c>
      <c r="G9630" s="134" t="n">
        <f aca="false">LEN('Saisie programme'!$H$338)+SUMIFS('Vols additionnels'!$E$7:$E$66,'Vols additionnels'!$C$7:$C$66,$E9630,'Vols additionnels'!$D$7:$D$66,$F9630,'Vols additionnels'!$B$7:$B$66,$D9630)</f>
        <v>0</v>
      </c>
      <c r="H9630" s="135" t="n">
        <f aca="false">$G9630*'Analyse capacite'!$F$8</f>
        <v>0</v>
      </c>
      <c r="I9630" s="135" t="n">
        <f aca="false">$G9630*'Analyse capacite'!$C$8</f>
        <v>0</v>
      </c>
      <c r="J9630" s="135" t="n">
        <f aca="false">$G9630*'Analyse capacite'!$D$8</f>
        <v>0</v>
      </c>
      <c r="K9630" s="135" t="n">
        <f aca="false">$G9630*'Analyse capacite'!$E$8</f>
        <v>0</v>
      </c>
    </row>
    <row r="9631" customFormat="false" ht="15" hidden="false" customHeight="false" outlineLevel="0" collapsed="false">
      <c r="B9631" s="130" t="n">
        <v>2027</v>
      </c>
      <c r="C9631" s="131" t="s">
        <v>254</v>
      </c>
      <c r="D9631" s="132" t="n">
        <v>46745</v>
      </c>
      <c r="E9631" s="131" t="s">
        <v>40</v>
      </c>
      <c r="F9631" s="133" t="s">
        <v>24</v>
      </c>
      <c r="G9631" s="134" t="n">
        <f aca="false">LEN('Saisie programme'!$H$339)+SUMIFS('Vols additionnels'!$E$7:$E$66,'Vols additionnels'!$C$7:$C$66,$E9631,'Vols additionnels'!$D$7:$D$66,$F9631,'Vols additionnels'!$B$7:$B$66,$D9631)</f>
        <v>1</v>
      </c>
      <c r="H9631" s="135" t="n">
        <f aca="false">$G9631*'Analyse capacite'!$F$9</f>
        <v>174</v>
      </c>
      <c r="I9631" s="135" t="n">
        <f aca="false">$G9631*'Analyse capacite'!$C$9</f>
        <v>0</v>
      </c>
      <c r="J9631" s="135" t="n">
        <f aca="false">$G9631*'Analyse capacite'!$D$9</f>
        <v>12</v>
      </c>
      <c r="K9631" s="135" t="n">
        <f aca="false">$G9631*'Analyse capacite'!$E$9</f>
        <v>162</v>
      </c>
    </row>
    <row r="9632" customFormat="false" ht="15" hidden="false" customHeight="false" outlineLevel="0" collapsed="false">
      <c r="B9632" s="130" t="n">
        <v>2027</v>
      </c>
      <c r="C9632" s="131" t="s">
        <v>254</v>
      </c>
      <c r="D9632" s="132" t="n">
        <v>46745</v>
      </c>
      <c r="E9632" s="131" t="s">
        <v>14</v>
      </c>
      <c r="F9632" s="133" t="s">
        <v>11</v>
      </c>
      <c r="G9632" s="134" t="n">
        <f aca="false">LEN('Saisie programme'!$H$340)+SUMIFS('Vols additionnels'!$E$7:$E$66,'Vols additionnels'!$C$7:$C$66,$E9632,'Vols additionnels'!$D$7:$D$66,$F9632,'Vols additionnels'!$B$7:$B$66,$D9632)</f>
        <v>0</v>
      </c>
      <c r="H9632" s="135" t="n">
        <f aca="false">$G9632*'Analyse capacite'!$F$7</f>
        <v>0</v>
      </c>
      <c r="I9632" s="135" t="n">
        <f aca="false">$G9632*'Analyse capacite'!$C$7</f>
        <v>0</v>
      </c>
      <c r="J9632" s="135" t="n">
        <f aca="false">$G9632*'Analyse capacite'!$D$7</f>
        <v>0</v>
      </c>
      <c r="K9632" s="135" t="n">
        <f aca="false">$G9632*'Analyse capacite'!$E$7</f>
        <v>0</v>
      </c>
    </row>
    <row r="9633" customFormat="false" ht="15" hidden="false" customHeight="false" outlineLevel="0" collapsed="false">
      <c r="B9633" s="130" t="n">
        <v>2027</v>
      </c>
      <c r="C9633" s="131" t="s">
        <v>254</v>
      </c>
      <c r="D9633" s="132" t="n">
        <v>46745</v>
      </c>
      <c r="E9633" s="131" t="s">
        <v>14</v>
      </c>
      <c r="F9633" s="133" t="s">
        <v>19</v>
      </c>
      <c r="G9633" s="134" t="n">
        <f aca="false">LEN('Saisie programme'!$H$341)+SUMIFS('Vols additionnels'!$E$7:$E$66,'Vols additionnels'!$C$7:$C$66,$E9633,'Vols additionnels'!$D$7:$D$66,$F9633,'Vols additionnels'!$B$7:$B$66,$D9633)</f>
        <v>0</v>
      </c>
      <c r="H9633" s="135" t="n">
        <f aca="false">$G9633*'Analyse capacite'!$F$8</f>
        <v>0</v>
      </c>
      <c r="I9633" s="135" t="n">
        <f aca="false">$G9633*'Analyse capacite'!$C$8</f>
        <v>0</v>
      </c>
      <c r="J9633" s="135" t="n">
        <f aca="false">$G9633*'Analyse capacite'!$D$8</f>
        <v>0</v>
      </c>
      <c r="K9633" s="135" t="n">
        <f aca="false">$G9633*'Analyse capacite'!$E$8</f>
        <v>0</v>
      </c>
    </row>
    <row r="9634" customFormat="false" ht="15" hidden="false" customHeight="false" outlineLevel="0" collapsed="false">
      <c r="B9634" s="130" t="n">
        <v>2027</v>
      </c>
      <c r="C9634" s="131" t="s">
        <v>254</v>
      </c>
      <c r="D9634" s="132" t="n">
        <v>46745</v>
      </c>
      <c r="E9634" s="131" t="s">
        <v>14</v>
      </c>
      <c r="F9634" s="133" t="s">
        <v>24</v>
      </c>
      <c r="G9634" s="134" t="n">
        <f aca="false">LEN('Saisie programme'!$H$342)+SUMIFS('Vols additionnels'!$E$7:$E$66,'Vols additionnels'!$C$7:$C$66,$E9634,'Vols additionnels'!$D$7:$D$66,$F9634,'Vols additionnels'!$B$7:$B$66,$D9634)</f>
        <v>0</v>
      </c>
      <c r="H9634" s="135" t="n">
        <f aca="false">$G9634*'Analyse capacite'!$F$9</f>
        <v>0</v>
      </c>
      <c r="I9634" s="135" t="n">
        <f aca="false">$G9634*'Analyse capacite'!$C$9</f>
        <v>0</v>
      </c>
      <c r="J9634" s="135" t="n">
        <f aca="false">$G9634*'Analyse capacite'!$D$9</f>
        <v>0</v>
      </c>
      <c r="K9634" s="135" t="n">
        <f aca="false">$G9634*'Analyse capacite'!$E$9</f>
        <v>0</v>
      </c>
    </row>
    <row r="9635" customFormat="false" ht="15" hidden="false" customHeight="false" outlineLevel="0" collapsed="false">
      <c r="B9635" s="130" t="n">
        <v>2027</v>
      </c>
      <c r="C9635" s="131" t="s">
        <v>254</v>
      </c>
      <c r="D9635" s="132" t="n">
        <v>46745</v>
      </c>
      <c r="E9635" s="131" t="s">
        <v>46</v>
      </c>
      <c r="F9635" s="133" t="s">
        <v>11</v>
      </c>
      <c r="G9635" s="134" t="n">
        <f aca="false">LEN('Saisie programme'!$H$343)+SUMIFS('Vols additionnels'!$E$7:$E$66,'Vols additionnels'!$C$7:$C$66,$E9635,'Vols additionnels'!$D$7:$D$66,$F9635,'Vols additionnels'!$B$7:$B$66,$D9635)</f>
        <v>0</v>
      </c>
      <c r="H9635" s="135" t="n">
        <f aca="false">$G9635*'Analyse capacite'!$F$7</f>
        <v>0</v>
      </c>
      <c r="I9635" s="135" t="n">
        <f aca="false">$G9635*'Analyse capacite'!$C$7</f>
        <v>0</v>
      </c>
      <c r="J9635" s="135" t="n">
        <f aca="false">$G9635*'Analyse capacite'!$D$7</f>
        <v>0</v>
      </c>
      <c r="K9635" s="135" t="n">
        <f aca="false">$G9635*'Analyse capacite'!$E$7</f>
        <v>0</v>
      </c>
    </row>
    <row r="9636" customFormat="false" ht="15" hidden="false" customHeight="false" outlineLevel="0" collapsed="false">
      <c r="B9636" s="130" t="n">
        <v>2027</v>
      </c>
      <c r="C9636" s="131" t="s">
        <v>254</v>
      </c>
      <c r="D9636" s="132" t="n">
        <v>46745</v>
      </c>
      <c r="E9636" s="131" t="s">
        <v>46</v>
      </c>
      <c r="F9636" s="133" t="s">
        <v>19</v>
      </c>
      <c r="G9636" s="134" t="n">
        <f aca="false">LEN('Saisie programme'!$H$344)+SUMIFS('Vols additionnels'!$E$7:$E$66,'Vols additionnels'!$C$7:$C$66,$E9636,'Vols additionnels'!$D$7:$D$66,$F9636,'Vols additionnels'!$B$7:$B$66,$D9636)</f>
        <v>0</v>
      </c>
      <c r="H9636" s="135" t="n">
        <f aca="false">$G9636*'Analyse capacite'!$F$8</f>
        <v>0</v>
      </c>
      <c r="I9636" s="135" t="n">
        <f aca="false">$G9636*'Analyse capacite'!$C$8</f>
        <v>0</v>
      </c>
      <c r="J9636" s="135" t="n">
        <f aca="false">$G9636*'Analyse capacite'!$D$8</f>
        <v>0</v>
      </c>
      <c r="K9636" s="135" t="n">
        <f aca="false">$G9636*'Analyse capacite'!$E$8</f>
        <v>0</v>
      </c>
    </row>
    <row r="9637" customFormat="false" ht="15" hidden="false" customHeight="false" outlineLevel="0" collapsed="false">
      <c r="B9637" s="130" t="n">
        <v>2027</v>
      </c>
      <c r="C9637" s="131" t="s">
        <v>254</v>
      </c>
      <c r="D9637" s="132" t="n">
        <v>46745</v>
      </c>
      <c r="E9637" s="131" t="s">
        <v>46</v>
      </c>
      <c r="F9637" s="133" t="s">
        <v>24</v>
      </c>
      <c r="G9637" s="134" t="n">
        <f aca="false">LEN('Saisie programme'!$H$345)+SUMIFS('Vols additionnels'!$E$7:$E$66,'Vols additionnels'!$C$7:$C$66,$E9637,'Vols additionnels'!$D$7:$D$66,$F9637,'Vols additionnels'!$B$7:$B$66,$D9637)</f>
        <v>0</v>
      </c>
      <c r="H9637" s="135" t="n">
        <f aca="false">$G9637*'Analyse capacite'!$F$9</f>
        <v>0</v>
      </c>
      <c r="I9637" s="135" t="n">
        <f aca="false">$G9637*'Analyse capacite'!$C$9</f>
        <v>0</v>
      </c>
      <c r="J9637" s="135" t="n">
        <f aca="false">$G9637*'Analyse capacite'!$D$9</f>
        <v>0</v>
      </c>
      <c r="K9637" s="135" t="n">
        <f aca="false">$G9637*'Analyse capacite'!$E$9</f>
        <v>0</v>
      </c>
    </row>
    <row r="9638" customFormat="false" ht="15" hidden="false" customHeight="false" outlineLevel="0" collapsed="false">
      <c r="B9638" s="130" t="n">
        <v>2027</v>
      </c>
      <c r="C9638" s="131" t="s">
        <v>254</v>
      </c>
      <c r="D9638" s="132" t="n">
        <v>46745</v>
      </c>
      <c r="E9638" s="131" t="s">
        <v>49</v>
      </c>
      <c r="F9638" s="133" t="s">
        <v>11</v>
      </c>
      <c r="G9638" s="134" t="n">
        <f aca="false">LEN('Saisie programme'!$H$346)+SUMIFS('Vols additionnels'!$E$7:$E$66,'Vols additionnels'!$C$7:$C$66,$E9638,'Vols additionnels'!$D$7:$D$66,$F9638,'Vols additionnels'!$B$7:$B$66,$D9638)</f>
        <v>0</v>
      </c>
      <c r="H9638" s="135" t="n">
        <f aca="false">$G9638*'Analyse capacite'!$F$7</f>
        <v>0</v>
      </c>
      <c r="I9638" s="135" t="n">
        <f aca="false">$G9638*'Analyse capacite'!$C$7</f>
        <v>0</v>
      </c>
      <c r="J9638" s="135" t="n">
        <f aca="false">$G9638*'Analyse capacite'!$D$7</f>
        <v>0</v>
      </c>
      <c r="K9638" s="135" t="n">
        <f aca="false">$G9638*'Analyse capacite'!$E$7</f>
        <v>0</v>
      </c>
    </row>
    <row r="9639" customFormat="false" ht="15" hidden="false" customHeight="false" outlineLevel="0" collapsed="false">
      <c r="B9639" s="130" t="n">
        <v>2027</v>
      </c>
      <c r="C9639" s="131" t="s">
        <v>254</v>
      </c>
      <c r="D9639" s="132" t="n">
        <v>46745</v>
      </c>
      <c r="E9639" s="131" t="s">
        <v>49</v>
      </c>
      <c r="F9639" s="133" t="s">
        <v>19</v>
      </c>
      <c r="G9639" s="134" t="n">
        <f aca="false">LEN('Saisie programme'!$H$347)+SUMIFS('Vols additionnels'!$E$7:$E$66,'Vols additionnels'!$C$7:$C$66,$E9639,'Vols additionnels'!$D$7:$D$66,$F9639,'Vols additionnels'!$B$7:$B$66,$D9639)</f>
        <v>1</v>
      </c>
      <c r="H9639" s="135" t="n">
        <f aca="false">$G9639*'Analyse capacite'!$F$8</f>
        <v>262</v>
      </c>
      <c r="I9639" s="135" t="n">
        <f aca="false">$G9639*'Analyse capacite'!$C$8</f>
        <v>18</v>
      </c>
      <c r="J9639" s="135" t="n">
        <f aca="false">$G9639*'Analyse capacite'!$D$8</f>
        <v>0</v>
      </c>
      <c r="K9639" s="135" t="n">
        <f aca="false">$G9639*'Analyse capacite'!$E$8</f>
        <v>244</v>
      </c>
    </row>
    <row r="9640" customFormat="false" ht="15" hidden="false" customHeight="false" outlineLevel="0" collapsed="false">
      <c r="B9640" s="130" t="n">
        <v>2027</v>
      </c>
      <c r="C9640" s="131" t="s">
        <v>254</v>
      </c>
      <c r="D9640" s="132" t="n">
        <v>46745</v>
      </c>
      <c r="E9640" s="131" t="s">
        <v>49</v>
      </c>
      <c r="F9640" s="133" t="s">
        <v>24</v>
      </c>
      <c r="G9640" s="134" t="n">
        <f aca="false">LEN('Saisie programme'!$H$348)+SUMIFS('Vols additionnels'!$E$7:$E$66,'Vols additionnels'!$C$7:$C$66,$E9640,'Vols additionnels'!$D$7:$D$66,$F9640,'Vols additionnels'!$B$7:$B$66,$D9640)</f>
        <v>0</v>
      </c>
      <c r="H9640" s="135" t="n">
        <f aca="false">$G9640*'Analyse capacite'!$F$9</f>
        <v>0</v>
      </c>
      <c r="I9640" s="135" t="n">
        <f aca="false">$G9640*'Analyse capacite'!$C$9</f>
        <v>0</v>
      </c>
      <c r="J9640" s="135" t="n">
        <f aca="false">$G9640*'Analyse capacite'!$D$9</f>
        <v>0</v>
      </c>
      <c r="K9640" s="135" t="n">
        <f aca="false">$G9640*'Analyse capacite'!$E$9</f>
        <v>0</v>
      </c>
    </row>
    <row r="9641" customFormat="false" ht="15" hidden="false" customHeight="false" outlineLevel="0" collapsed="false">
      <c r="B9641" s="130" t="n">
        <v>2027</v>
      </c>
      <c r="C9641" s="131" t="s">
        <v>254</v>
      </c>
      <c r="D9641" s="132" t="n">
        <v>46745</v>
      </c>
      <c r="E9641" s="131" t="s">
        <v>53</v>
      </c>
      <c r="F9641" s="133" t="s">
        <v>11</v>
      </c>
      <c r="G9641" s="134" t="n">
        <f aca="false">LEN('Saisie programme'!$H$349)+SUMIFS('Vols additionnels'!$E$7:$E$66,'Vols additionnels'!$C$7:$C$66,$E9641,'Vols additionnels'!$D$7:$D$66,$F9641,'Vols additionnels'!$B$7:$B$66,$D9641)</f>
        <v>0</v>
      </c>
      <c r="H9641" s="135" t="n">
        <f aca="false">$G9641*'Analyse capacite'!$F$7</f>
        <v>0</v>
      </c>
      <c r="I9641" s="135" t="n">
        <f aca="false">$G9641*'Analyse capacite'!$C$7</f>
        <v>0</v>
      </c>
      <c r="J9641" s="135" t="n">
        <f aca="false">$G9641*'Analyse capacite'!$D$7</f>
        <v>0</v>
      </c>
      <c r="K9641" s="135" t="n">
        <f aca="false">$G9641*'Analyse capacite'!$E$7</f>
        <v>0</v>
      </c>
    </row>
    <row r="9642" customFormat="false" ht="15" hidden="false" customHeight="false" outlineLevel="0" collapsed="false">
      <c r="B9642" s="130" t="n">
        <v>2027</v>
      </c>
      <c r="C9642" s="131" t="s">
        <v>254</v>
      </c>
      <c r="D9642" s="132" t="n">
        <v>46745</v>
      </c>
      <c r="E9642" s="131" t="s">
        <v>53</v>
      </c>
      <c r="F9642" s="133" t="s">
        <v>19</v>
      </c>
      <c r="G9642" s="134" t="n">
        <f aca="false">LEN('Saisie programme'!$H$350)+SUMIFS('Vols additionnels'!$E$7:$E$66,'Vols additionnels'!$C$7:$C$66,$E9642,'Vols additionnels'!$D$7:$D$66,$F9642,'Vols additionnels'!$B$7:$B$66,$D9642)</f>
        <v>0</v>
      </c>
      <c r="H9642" s="135" t="n">
        <f aca="false">$G9642*'Analyse capacite'!$F$8</f>
        <v>0</v>
      </c>
      <c r="I9642" s="135" t="n">
        <f aca="false">$G9642*'Analyse capacite'!$C$8</f>
        <v>0</v>
      </c>
      <c r="J9642" s="135" t="n">
        <f aca="false">$G9642*'Analyse capacite'!$D$8</f>
        <v>0</v>
      </c>
      <c r="K9642" s="135" t="n">
        <f aca="false">$G9642*'Analyse capacite'!$E$8</f>
        <v>0</v>
      </c>
    </row>
    <row r="9643" customFormat="false" ht="15" hidden="false" customHeight="false" outlineLevel="0" collapsed="false">
      <c r="B9643" s="130" t="n">
        <v>2027</v>
      </c>
      <c r="C9643" s="131" t="s">
        <v>254</v>
      </c>
      <c r="D9643" s="132" t="n">
        <v>46745</v>
      </c>
      <c r="E9643" s="131" t="s">
        <v>53</v>
      </c>
      <c r="F9643" s="133" t="s">
        <v>24</v>
      </c>
      <c r="G9643" s="134" t="n">
        <f aca="false">LEN('Saisie programme'!$H$351)+SUMIFS('Vols additionnels'!$E$7:$E$66,'Vols additionnels'!$C$7:$C$66,$E9643,'Vols additionnels'!$D$7:$D$66,$F9643,'Vols additionnels'!$B$7:$B$66,$D9643)</f>
        <v>0</v>
      </c>
      <c r="H9643" s="135" t="n">
        <f aca="false">$G9643*'Analyse capacite'!$F$9</f>
        <v>0</v>
      </c>
      <c r="I9643" s="135" t="n">
        <f aca="false">$G9643*'Analyse capacite'!$C$9</f>
        <v>0</v>
      </c>
      <c r="J9643" s="135" t="n">
        <f aca="false">$G9643*'Analyse capacite'!$D$9</f>
        <v>0</v>
      </c>
      <c r="K9643" s="135" t="n">
        <f aca="false">$G9643*'Analyse capacite'!$E$9</f>
        <v>0</v>
      </c>
    </row>
    <row r="9644" customFormat="false" ht="15" hidden="false" customHeight="false" outlineLevel="0" collapsed="false">
      <c r="B9644" s="130" t="n">
        <v>2027</v>
      </c>
      <c r="C9644" s="131" t="s">
        <v>254</v>
      </c>
      <c r="D9644" s="132" t="n">
        <v>46745</v>
      </c>
      <c r="E9644" s="131" t="s">
        <v>56</v>
      </c>
      <c r="F9644" s="133" t="s">
        <v>11</v>
      </c>
      <c r="G9644" s="134" t="n">
        <f aca="false">LEN('Saisie programme'!$H$352)+SUMIFS('Vols additionnels'!$E$7:$E$66,'Vols additionnels'!$C$7:$C$66,$E9644,'Vols additionnels'!$D$7:$D$66,$F9644,'Vols additionnels'!$B$7:$B$66,$D9644)</f>
        <v>0</v>
      </c>
      <c r="H9644" s="135" t="n">
        <f aca="false">$G9644*'Analyse capacite'!$F$7</f>
        <v>0</v>
      </c>
      <c r="I9644" s="135" t="n">
        <f aca="false">$G9644*'Analyse capacite'!$C$7</f>
        <v>0</v>
      </c>
      <c r="J9644" s="135" t="n">
        <f aca="false">$G9644*'Analyse capacite'!$D$7</f>
        <v>0</v>
      </c>
      <c r="K9644" s="135" t="n">
        <f aca="false">$G9644*'Analyse capacite'!$E$7</f>
        <v>0</v>
      </c>
    </row>
    <row r="9645" customFormat="false" ht="15" hidden="false" customHeight="false" outlineLevel="0" collapsed="false">
      <c r="B9645" s="130" t="n">
        <v>2027</v>
      </c>
      <c r="C9645" s="131" t="s">
        <v>254</v>
      </c>
      <c r="D9645" s="132" t="n">
        <v>46745</v>
      </c>
      <c r="E9645" s="131" t="s">
        <v>56</v>
      </c>
      <c r="F9645" s="133" t="s">
        <v>19</v>
      </c>
      <c r="G9645" s="134" t="n">
        <f aca="false">LEN('Saisie programme'!$H$353)+SUMIFS('Vols additionnels'!$E$7:$E$66,'Vols additionnels'!$C$7:$C$66,$E9645,'Vols additionnels'!$D$7:$D$66,$F9645,'Vols additionnels'!$B$7:$B$66,$D9645)</f>
        <v>0</v>
      </c>
      <c r="H9645" s="135" t="n">
        <f aca="false">$G9645*'Analyse capacite'!$F$8</f>
        <v>0</v>
      </c>
      <c r="I9645" s="135" t="n">
        <f aca="false">$G9645*'Analyse capacite'!$C$8</f>
        <v>0</v>
      </c>
      <c r="J9645" s="135" t="n">
        <f aca="false">$G9645*'Analyse capacite'!$D$8</f>
        <v>0</v>
      </c>
      <c r="K9645" s="135" t="n">
        <f aca="false">$G9645*'Analyse capacite'!$E$8</f>
        <v>0</v>
      </c>
    </row>
    <row r="9646" customFormat="false" ht="15" hidden="false" customHeight="false" outlineLevel="0" collapsed="false">
      <c r="B9646" s="130" t="n">
        <v>2027</v>
      </c>
      <c r="C9646" s="131" t="s">
        <v>254</v>
      </c>
      <c r="D9646" s="132" t="n">
        <v>46745</v>
      </c>
      <c r="E9646" s="131" t="s">
        <v>56</v>
      </c>
      <c r="F9646" s="133" t="s">
        <v>24</v>
      </c>
      <c r="G9646" s="134" t="n">
        <f aca="false">LEN('Saisie programme'!$H$354)+SUMIFS('Vols additionnels'!$E$7:$E$66,'Vols additionnels'!$C$7:$C$66,$E9646,'Vols additionnels'!$D$7:$D$66,$F9646,'Vols additionnels'!$B$7:$B$66,$D9646)</f>
        <v>0</v>
      </c>
      <c r="H9646" s="135" t="n">
        <f aca="false">$G9646*'Analyse capacite'!$F$9</f>
        <v>0</v>
      </c>
      <c r="I9646" s="135" t="n">
        <f aca="false">$G9646*'Analyse capacite'!$C$9</f>
        <v>0</v>
      </c>
      <c r="J9646" s="135" t="n">
        <f aca="false">$G9646*'Analyse capacite'!$D$9</f>
        <v>0</v>
      </c>
      <c r="K9646" s="135" t="n">
        <f aca="false">$G9646*'Analyse capacite'!$E$9</f>
        <v>0</v>
      </c>
    </row>
    <row r="9647" customFormat="false" ht="15" hidden="false" customHeight="false" outlineLevel="0" collapsed="false">
      <c r="B9647" s="130" t="n">
        <v>2027</v>
      </c>
      <c r="C9647" s="131" t="s">
        <v>254</v>
      </c>
      <c r="D9647" s="132" t="n">
        <v>46745</v>
      </c>
      <c r="E9647" s="131" t="s">
        <v>59</v>
      </c>
      <c r="F9647" s="133" t="s">
        <v>11</v>
      </c>
      <c r="G9647" s="134" t="n">
        <f aca="false">LEN('Saisie programme'!$H$355)+SUMIFS('Vols additionnels'!$E$7:$E$66,'Vols additionnels'!$C$7:$C$66,$E9647,'Vols additionnels'!$D$7:$D$66,$F9647,'Vols additionnels'!$B$7:$B$66,$D9647)</f>
        <v>0</v>
      </c>
      <c r="H9647" s="135" t="n">
        <f aca="false">$G9647*'Analyse capacite'!$F$7</f>
        <v>0</v>
      </c>
      <c r="I9647" s="135" t="n">
        <f aca="false">$G9647*'Analyse capacite'!$C$7</f>
        <v>0</v>
      </c>
      <c r="J9647" s="135" t="n">
        <f aca="false">$G9647*'Analyse capacite'!$D$7</f>
        <v>0</v>
      </c>
      <c r="K9647" s="135" t="n">
        <f aca="false">$G9647*'Analyse capacite'!$E$7</f>
        <v>0</v>
      </c>
    </row>
    <row r="9648" customFormat="false" ht="15" hidden="false" customHeight="false" outlineLevel="0" collapsed="false">
      <c r="B9648" s="130" t="n">
        <v>2027</v>
      </c>
      <c r="C9648" s="131" t="s">
        <v>254</v>
      </c>
      <c r="D9648" s="132" t="n">
        <v>46745</v>
      </c>
      <c r="E9648" s="131" t="s">
        <v>59</v>
      </c>
      <c r="F9648" s="133" t="s">
        <v>19</v>
      </c>
      <c r="G9648" s="134" t="n">
        <f aca="false">LEN('Saisie programme'!$H$356)+SUMIFS('Vols additionnels'!$E$7:$E$66,'Vols additionnels'!$C$7:$C$66,$E9648,'Vols additionnels'!$D$7:$D$66,$F9648,'Vols additionnels'!$B$7:$B$66,$D9648)</f>
        <v>0</v>
      </c>
      <c r="H9648" s="135" t="n">
        <f aca="false">$G9648*'Analyse capacite'!$F$8</f>
        <v>0</v>
      </c>
      <c r="I9648" s="135" t="n">
        <f aca="false">$G9648*'Analyse capacite'!$C$8</f>
        <v>0</v>
      </c>
      <c r="J9648" s="135" t="n">
        <f aca="false">$G9648*'Analyse capacite'!$D$8</f>
        <v>0</v>
      </c>
      <c r="K9648" s="135" t="n">
        <f aca="false">$G9648*'Analyse capacite'!$E$8</f>
        <v>0</v>
      </c>
    </row>
    <row r="9649" customFormat="false" ht="15" hidden="false" customHeight="false" outlineLevel="0" collapsed="false">
      <c r="B9649" s="130" t="n">
        <v>2027</v>
      </c>
      <c r="C9649" s="131" t="s">
        <v>254</v>
      </c>
      <c r="D9649" s="132" t="n">
        <v>46745</v>
      </c>
      <c r="E9649" s="131" t="s">
        <v>59</v>
      </c>
      <c r="F9649" s="133" t="s">
        <v>24</v>
      </c>
      <c r="G9649" s="134" t="n">
        <f aca="false">LEN('Saisie programme'!$H$357)+SUMIFS('Vols additionnels'!$E$7:$E$66,'Vols additionnels'!$C$7:$C$66,$E9649,'Vols additionnels'!$D$7:$D$66,$F9649,'Vols additionnels'!$B$7:$B$66,$D9649)</f>
        <v>1</v>
      </c>
      <c r="H9649" s="135" t="n">
        <f aca="false">$G9649*'Analyse capacite'!$F$9</f>
        <v>174</v>
      </c>
      <c r="I9649" s="135" t="n">
        <f aca="false">$G9649*'Analyse capacite'!$C$9</f>
        <v>0</v>
      </c>
      <c r="J9649" s="135" t="n">
        <f aca="false">$G9649*'Analyse capacite'!$D$9</f>
        <v>12</v>
      </c>
      <c r="K9649" s="135" t="n">
        <f aca="false">$G9649*'Analyse capacite'!$E$9</f>
        <v>162</v>
      </c>
    </row>
    <row r="9650" customFormat="false" ht="15" hidden="false" customHeight="false" outlineLevel="0" collapsed="false">
      <c r="B9650" s="130" t="n">
        <v>2027</v>
      </c>
      <c r="C9650" s="131" t="s">
        <v>254</v>
      </c>
      <c r="D9650" s="132" t="n">
        <v>46745</v>
      </c>
      <c r="E9650" s="131" t="s">
        <v>62</v>
      </c>
      <c r="F9650" s="133" t="s">
        <v>11</v>
      </c>
      <c r="G9650" s="134" t="n">
        <f aca="false">LEN('Saisie programme'!$H$358)+SUMIFS('Vols additionnels'!$E$7:$E$66,'Vols additionnels'!$C$7:$C$66,$E9650,'Vols additionnels'!$D$7:$D$66,$F9650,'Vols additionnels'!$B$7:$B$66,$D9650)</f>
        <v>0</v>
      </c>
      <c r="H9650" s="135" t="n">
        <f aca="false">$G9650*'Analyse capacite'!$F$7</f>
        <v>0</v>
      </c>
      <c r="I9650" s="135" t="n">
        <f aca="false">$G9650*'Analyse capacite'!$C$7</f>
        <v>0</v>
      </c>
      <c r="J9650" s="135" t="n">
        <f aca="false">$G9650*'Analyse capacite'!$D$7</f>
        <v>0</v>
      </c>
      <c r="K9650" s="135" t="n">
        <f aca="false">$G9650*'Analyse capacite'!$E$7</f>
        <v>0</v>
      </c>
    </row>
    <row r="9651" customFormat="false" ht="15" hidden="false" customHeight="false" outlineLevel="0" collapsed="false">
      <c r="B9651" s="130" t="n">
        <v>2027</v>
      </c>
      <c r="C9651" s="131" t="s">
        <v>254</v>
      </c>
      <c r="D9651" s="132" t="n">
        <v>46745</v>
      </c>
      <c r="E9651" s="131" t="s">
        <v>62</v>
      </c>
      <c r="F9651" s="133" t="s">
        <v>19</v>
      </c>
      <c r="G9651" s="134" t="n">
        <f aca="false">LEN('Saisie programme'!$H$359)+SUMIFS('Vols additionnels'!$E$7:$E$66,'Vols additionnels'!$C$7:$C$66,$E9651,'Vols additionnels'!$D$7:$D$66,$F9651,'Vols additionnels'!$B$7:$B$66,$D9651)</f>
        <v>0</v>
      </c>
      <c r="H9651" s="135" t="n">
        <f aca="false">$G9651*'Analyse capacite'!$F$8</f>
        <v>0</v>
      </c>
      <c r="I9651" s="135" t="n">
        <f aca="false">$G9651*'Analyse capacite'!$C$8</f>
        <v>0</v>
      </c>
      <c r="J9651" s="135" t="n">
        <f aca="false">$G9651*'Analyse capacite'!$D$8</f>
        <v>0</v>
      </c>
      <c r="K9651" s="135" t="n">
        <f aca="false">$G9651*'Analyse capacite'!$E$8</f>
        <v>0</v>
      </c>
    </row>
    <row r="9652" customFormat="false" ht="15" hidden="false" customHeight="false" outlineLevel="0" collapsed="false">
      <c r="B9652" s="130" t="n">
        <v>2027</v>
      </c>
      <c r="C9652" s="131" t="s">
        <v>254</v>
      </c>
      <c r="D9652" s="132" t="n">
        <v>46745</v>
      </c>
      <c r="E9652" s="131" t="s">
        <v>62</v>
      </c>
      <c r="F9652" s="133" t="s">
        <v>24</v>
      </c>
      <c r="G9652" s="134" t="n">
        <f aca="false">LEN('Saisie programme'!$H$360)+SUMIFS('Vols additionnels'!$E$7:$E$66,'Vols additionnels'!$C$7:$C$66,$E9652,'Vols additionnels'!$D$7:$D$66,$F9652,'Vols additionnels'!$B$7:$B$66,$D9652)</f>
        <v>0</v>
      </c>
      <c r="H9652" s="135" t="n">
        <f aca="false">$G9652*'Analyse capacite'!$F$9</f>
        <v>0</v>
      </c>
      <c r="I9652" s="135" t="n">
        <f aca="false">$G9652*'Analyse capacite'!$C$9</f>
        <v>0</v>
      </c>
      <c r="J9652" s="135" t="n">
        <f aca="false">$G9652*'Analyse capacite'!$D$9</f>
        <v>0</v>
      </c>
      <c r="K9652" s="135" t="n">
        <f aca="false">$G9652*'Analyse capacite'!$E$9</f>
        <v>0</v>
      </c>
    </row>
    <row r="9653" customFormat="false" ht="15" hidden="false" customHeight="false" outlineLevel="0" collapsed="false">
      <c r="B9653" s="130" t="n">
        <v>2027</v>
      </c>
      <c r="C9653" s="131" t="s">
        <v>254</v>
      </c>
      <c r="D9653" s="132" t="n">
        <v>46746</v>
      </c>
      <c r="E9653" s="131" t="s">
        <v>12</v>
      </c>
      <c r="F9653" s="133" t="s">
        <v>11</v>
      </c>
      <c r="G9653" s="134" t="n">
        <f aca="false">LEN('Saisie programme'!$I$325)+SUMIFS('Vols additionnels'!$E$7:$E$66,'Vols additionnels'!$C$7:$C$66,$E9653,'Vols additionnels'!$D$7:$D$66,$F9653,'Vols additionnels'!$B$7:$B$66,$D9653)</f>
        <v>1</v>
      </c>
      <c r="H9653" s="135" t="n">
        <f aca="false">$G9653*'Analyse capacite'!$F$7</f>
        <v>438</v>
      </c>
      <c r="I9653" s="135" t="n">
        <f aca="false">$G9653*'Analyse capacite'!$C$7</f>
        <v>14</v>
      </c>
      <c r="J9653" s="135" t="n">
        <f aca="false">$G9653*'Analyse capacite'!$D$7</f>
        <v>40</v>
      </c>
      <c r="K9653" s="135" t="n">
        <f aca="false">$G9653*'Analyse capacite'!$E$7</f>
        <v>384</v>
      </c>
    </row>
    <row r="9654" customFormat="false" ht="15" hidden="false" customHeight="false" outlineLevel="0" collapsed="false">
      <c r="B9654" s="130" t="n">
        <v>2027</v>
      </c>
      <c r="C9654" s="131" t="s">
        <v>254</v>
      </c>
      <c r="D9654" s="132" t="n">
        <v>46746</v>
      </c>
      <c r="E9654" s="131" t="s">
        <v>12</v>
      </c>
      <c r="F9654" s="133" t="s">
        <v>19</v>
      </c>
      <c r="G9654" s="134" t="n">
        <f aca="false">LEN('Saisie programme'!$I$326)+SUMIFS('Vols additionnels'!$E$7:$E$66,'Vols additionnels'!$C$7:$C$66,$E9654,'Vols additionnels'!$D$7:$D$66,$F9654,'Vols additionnels'!$B$7:$B$66,$D9654)</f>
        <v>0</v>
      </c>
      <c r="H9654" s="135" t="n">
        <f aca="false">$G9654*'Analyse capacite'!$F$8</f>
        <v>0</v>
      </c>
      <c r="I9654" s="135" t="n">
        <f aca="false">$G9654*'Analyse capacite'!$C$8</f>
        <v>0</v>
      </c>
      <c r="J9654" s="135" t="n">
        <f aca="false">$G9654*'Analyse capacite'!$D$8</f>
        <v>0</v>
      </c>
      <c r="K9654" s="135" t="n">
        <f aca="false">$G9654*'Analyse capacite'!$E$8</f>
        <v>0</v>
      </c>
    </row>
    <row r="9655" customFormat="false" ht="15" hidden="false" customHeight="false" outlineLevel="0" collapsed="false">
      <c r="B9655" s="130" t="n">
        <v>2027</v>
      </c>
      <c r="C9655" s="131" t="s">
        <v>254</v>
      </c>
      <c r="D9655" s="132" t="n">
        <v>46746</v>
      </c>
      <c r="E9655" s="131" t="s">
        <v>12</v>
      </c>
      <c r="F9655" s="133" t="s">
        <v>24</v>
      </c>
      <c r="G9655" s="134" t="n">
        <f aca="false">LEN('Saisie programme'!$I$327)+SUMIFS('Vols additionnels'!$E$7:$E$66,'Vols additionnels'!$C$7:$C$66,$E9655,'Vols additionnels'!$D$7:$D$66,$F9655,'Vols additionnels'!$B$7:$B$66,$D9655)</f>
        <v>0</v>
      </c>
      <c r="H9655" s="135" t="n">
        <f aca="false">$G9655*'Analyse capacite'!$F$9</f>
        <v>0</v>
      </c>
      <c r="I9655" s="135" t="n">
        <f aca="false">$G9655*'Analyse capacite'!$C$9</f>
        <v>0</v>
      </c>
      <c r="J9655" s="135" t="n">
        <f aca="false">$G9655*'Analyse capacite'!$D$9</f>
        <v>0</v>
      </c>
      <c r="K9655" s="135" t="n">
        <f aca="false">$G9655*'Analyse capacite'!$E$9</f>
        <v>0</v>
      </c>
    </row>
    <row r="9656" customFormat="false" ht="15" hidden="false" customHeight="false" outlineLevel="0" collapsed="false">
      <c r="B9656" s="130" t="n">
        <v>2027</v>
      </c>
      <c r="C9656" s="131" t="s">
        <v>254</v>
      </c>
      <c r="D9656" s="132" t="n">
        <v>46746</v>
      </c>
      <c r="E9656" s="131" t="s">
        <v>20</v>
      </c>
      <c r="F9656" s="133" t="s">
        <v>11</v>
      </c>
      <c r="G9656" s="134" t="n">
        <f aca="false">LEN('Saisie programme'!$I$328)+SUMIFS('Vols additionnels'!$E$7:$E$66,'Vols additionnels'!$C$7:$C$66,$E9656,'Vols additionnels'!$D$7:$D$66,$F9656,'Vols additionnels'!$B$7:$B$66,$D9656)</f>
        <v>0</v>
      </c>
      <c r="H9656" s="135" t="n">
        <f aca="false">$G9656*'Analyse capacite'!$F$7</f>
        <v>0</v>
      </c>
      <c r="I9656" s="135" t="n">
        <f aca="false">$G9656*'Analyse capacite'!$C$7</f>
        <v>0</v>
      </c>
      <c r="J9656" s="135" t="n">
        <f aca="false">$G9656*'Analyse capacite'!$D$7</f>
        <v>0</v>
      </c>
      <c r="K9656" s="135" t="n">
        <f aca="false">$G9656*'Analyse capacite'!$E$7</f>
        <v>0</v>
      </c>
    </row>
    <row r="9657" customFormat="false" ht="15" hidden="false" customHeight="false" outlineLevel="0" collapsed="false">
      <c r="B9657" s="130" t="n">
        <v>2027</v>
      </c>
      <c r="C9657" s="131" t="s">
        <v>254</v>
      </c>
      <c r="D9657" s="132" t="n">
        <v>46746</v>
      </c>
      <c r="E9657" s="131" t="s">
        <v>20</v>
      </c>
      <c r="F9657" s="133" t="s">
        <v>19</v>
      </c>
      <c r="G9657" s="134" t="n">
        <f aca="false">LEN('Saisie programme'!$I$329)+SUMIFS('Vols additionnels'!$E$7:$E$66,'Vols additionnels'!$C$7:$C$66,$E9657,'Vols additionnels'!$D$7:$D$66,$F9657,'Vols additionnels'!$B$7:$B$66,$D9657)</f>
        <v>0</v>
      </c>
      <c r="H9657" s="135" t="n">
        <f aca="false">$G9657*'Analyse capacite'!$F$8</f>
        <v>0</v>
      </c>
      <c r="I9657" s="135" t="n">
        <f aca="false">$G9657*'Analyse capacite'!$C$8</f>
        <v>0</v>
      </c>
      <c r="J9657" s="135" t="n">
        <f aca="false">$G9657*'Analyse capacite'!$D$8</f>
        <v>0</v>
      </c>
      <c r="K9657" s="135" t="n">
        <f aca="false">$G9657*'Analyse capacite'!$E$8</f>
        <v>0</v>
      </c>
    </row>
    <row r="9658" customFormat="false" ht="15" hidden="false" customHeight="false" outlineLevel="0" collapsed="false">
      <c r="B9658" s="130" t="n">
        <v>2027</v>
      </c>
      <c r="C9658" s="131" t="s">
        <v>254</v>
      </c>
      <c r="D9658" s="132" t="n">
        <v>46746</v>
      </c>
      <c r="E9658" s="131" t="s">
        <v>20</v>
      </c>
      <c r="F9658" s="133" t="s">
        <v>24</v>
      </c>
      <c r="G9658" s="134" t="n">
        <f aca="false">LEN('Saisie programme'!$I$330)+SUMIFS('Vols additionnels'!$E$7:$E$66,'Vols additionnels'!$C$7:$C$66,$E9658,'Vols additionnels'!$D$7:$D$66,$F9658,'Vols additionnels'!$B$7:$B$66,$D9658)</f>
        <v>0</v>
      </c>
      <c r="H9658" s="135" t="n">
        <f aca="false">$G9658*'Analyse capacite'!$F$9</f>
        <v>0</v>
      </c>
      <c r="I9658" s="135" t="n">
        <f aca="false">$G9658*'Analyse capacite'!$C$9</f>
        <v>0</v>
      </c>
      <c r="J9658" s="135" t="n">
        <f aca="false">$G9658*'Analyse capacite'!$D$9</f>
        <v>0</v>
      </c>
      <c r="K9658" s="135" t="n">
        <f aca="false">$G9658*'Analyse capacite'!$E$9</f>
        <v>0</v>
      </c>
    </row>
    <row r="9659" customFormat="false" ht="15" hidden="false" customHeight="false" outlineLevel="0" collapsed="false">
      <c r="B9659" s="130" t="n">
        <v>2027</v>
      </c>
      <c r="C9659" s="131" t="s">
        <v>254</v>
      </c>
      <c r="D9659" s="132" t="n">
        <v>46746</v>
      </c>
      <c r="E9659" s="131" t="s">
        <v>25</v>
      </c>
      <c r="F9659" s="133" t="s">
        <v>11</v>
      </c>
      <c r="G9659" s="134" t="n">
        <f aca="false">LEN('Saisie programme'!$I$331)+SUMIFS('Vols additionnels'!$E$7:$E$66,'Vols additionnels'!$C$7:$C$66,$E9659,'Vols additionnels'!$D$7:$D$66,$F9659,'Vols additionnels'!$B$7:$B$66,$D9659)</f>
        <v>0</v>
      </c>
      <c r="H9659" s="135" t="n">
        <f aca="false">$G9659*'Analyse capacite'!$F$7</f>
        <v>0</v>
      </c>
      <c r="I9659" s="135" t="n">
        <f aca="false">$G9659*'Analyse capacite'!$C$7</f>
        <v>0</v>
      </c>
      <c r="J9659" s="135" t="n">
        <f aca="false">$G9659*'Analyse capacite'!$D$7</f>
        <v>0</v>
      </c>
      <c r="K9659" s="135" t="n">
        <f aca="false">$G9659*'Analyse capacite'!$E$7</f>
        <v>0</v>
      </c>
    </row>
    <row r="9660" customFormat="false" ht="15" hidden="false" customHeight="false" outlineLevel="0" collapsed="false">
      <c r="B9660" s="130" t="n">
        <v>2027</v>
      </c>
      <c r="C9660" s="131" t="s">
        <v>254</v>
      </c>
      <c r="D9660" s="132" t="n">
        <v>46746</v>
      </c>
      <c r="E9660" s="131" t="s">
        <v>25</v>
      </c>
      <c r="F9660" s="133" t="s">
        <v>19</v>
      </c>
      <c r="G9660" s="134" t="n">
        <f aca="false">LEN('Saisie programme'!$I$332)+SUMIFS('Vols additionnels'!$E$7:$E$66,'Vols additionnels'!$C$7:$C$66,$E9660,'Vols additionnels'!$D$7:$D$66,$F9660,'Vols additionnels'!$B$7:$B$66,$D9660)</f>
        <v>1</v>
      </c>
      <c r="H9660" s="135" t="n">
        <f aca="false">$G9660*'Analyse capacite'!$F$8</f>
        <v>262</v>
      </c>
      <c r="I9660" s="135" t="n">
        <f aca="false">$G9660*'Analyse capacite'!$C$8</f>
        <v>18</v>
      </c>
      <c r="J9660" s="135" t="n">
        <f aca="false">$G9660*'Analyse capacite'!$D$8</f>
        <v>0</v>
      </c>
      <c r="K9660" s="135" t="n">
        <f aca="false">$G9660*'Analyse capacite'!$E$8</f>
        <v>244</v>
      </c>
    </row>
    <row r="9661" customFormat="false" ht="15" hidden="false" customHeight="false" outlineLevel="0" collapsed="false">
      <c r="B9661" s="130" t="n">
        <v>2027</v>
      </c>
      <c r="C9661" s="131" t="s">
        <v>254</v>
      </c>
      <c r="D9661" s="132" t="n">
        <v>46746</v>
      </c>
      <c r="E9661" s="131" t="s">
        <v>25</v>
      </c>
      <c r="F9661" s="133" t="s">
        <v>24</v>
      </c>
      <c r="G9661" s="134" t="n">
        <f aca="false">LEN('Saisie programme'!$I$333)+SUMIFS('Vols additionnels'!$E$7:$E$66,'Vols additionnels'!$C$7:$C$66,$E9661,'Vols additionnels'!$D$7:$D$66,$F9661,'Vols additionnels'!$B$7:$B$66,$D9661)</f>
        <v>0</v>
      </c>
      <c r="H9661" s="135" t="n">
        <f aca="false">$G9661*'Analyse capacite'!$F$9</f>
        <v>0</v>
      </c>
      <c r="I9661" s="135" t="n">
        <f aca="false">$G9661*'Analyse capacite'!$C$9</f>
        <v>0</v>
      </c>
      <c r="J9661" s="135" t="n">
        <f aca="false">$G9661*'Analyse capacite'!$D$9</f>
        <v>0</v>
      </c>
      <c r="K9661" s="135" t="n">
        <f aca="false">$G9661*'Analyse capacite'!$E$9</f>
        <v>0</v>
      </c>
    </row>
    <row r="9662" customFormat="false" ht="15" hidden="false" customHeight="false" outlineLevel="0" collapsed="false">
      <c r="B9662" s="130" t="n">
        <v>2027</v>
      </c>
      <c r="C9662" s="131" t="s">
        <v>254</v>
      </c>
      <c r="D9662" s="132" t="n">
        <v>46746</v>
      </c>
      <c r="E9662" s="131" t="s">
        <v>36</v>
      </c>
      <c r="F9662" s="133" t="s">
        <v>11</v>
      </c>
      <c r="G9662" s="134" t="n">
        <f aca="false">LEN('Saisie programme'!$I$334)+SUMIFS('Vols additionnels'!$E$7:$E$66,'Vols additionnels'!$C$7:$C$66,$E9662,'Vols additionnels'!$D$7:$D$66,$F9662,'Vols additionnels'!$B$7:$B$66,$D9662)</f>
        <v>0</v>
      </c>
      <c r="H9662" s="135" t="n">
        <f aca="false">$G9662*'Analyse capacite'!$F$7</f>
        <v>0</v>
      </c>
      <c r="I9662" s="135" t="n">
        <f aca="false">$G9662*'Analyse capacite'!$C$7</f>
        <v>0</v>
      </c>
      <c r="J9662" s="135" t="n">
        <f aca="false">$G9662*'Analyse capacite'!$D$7</f>
        <v>0</v>
      </c>
      <c r="K9662" s="135" t="n">
        <f aca="false">$G9662*'Analyse capacite'!$E$7</f>
        <v>0</v>
      </c>
    </row>
    <row r="9663" customFormat="false" ht="15" hidden="false" customHeight="false" outlineLevel="0" collapsed="false">
      <c r="B9663" s="130" t="n">
        <v>2027</v>
      </c>
      <c r="C9663" s="131" t="s">
        <v>254</v>
      </c>
      <c r="D9663" s="132" t="n">
        <v>46746</v>
      </c>
      <c r="E9663" s="131" t="s">
        <v>36</v>
      </c>
      <c r="F9663" s="133" t="s">
        <v>19</v>
      </c>
      <c r="G9663" s="134" t="n">
        <f aca="false">LEN('Saisie programme'!$I$335)+SUMIFS('Vols additionnels'!$E$7:$E$66,'Vols additionnels'!$C$7:$C$66,$E9663,'Vols additionnels'!$D$7:$D$66,$F9663,'Vols additionnels'!$B$7:$B$66,$D9663)</f>
        <v>0</v>
      </c>
      <c r="H9663" s="135" t="n">
        <f aca="false">$G9663*'Analyse capacite'!$F$8</f>
        <v>0</v>
      </c>
      <c r="I9663" s="135" t="n">
        <f aca="false">$G9663*'Analyse capacite'!$C$8</f>
        <v>0</v>
      </c>
      <c r="J9663" s="135" t="n">
        <f aca="false">$G9663*'Analyse capacite'!$D$8</f>
        <v>0</v>
      </c>
      <c r="K9663" s="135" t="n">
        <f aca="false">$G9663*'Analyse capacite'!$E$8</f>
        <v>0</v>
      </c>
    </row>
    <row r="9664" customFormat="false" ht="15" hidden="false" customHeight="false" outlineLevel="0" collapsed="false">
      <c r="B9664" s="130" t="n">
        <v>2027</v>
      </c>
      <c r="C9664" s="131" t="s">
        <v>254</v>
      </c>
      <c r="D9664" s="132" t="n">
        <v>46746</v>
      </c>
      <c r="E9664" s="131" t="s">
        <v>36</v>
      </c>
      <c r="F9664" s="133" t="s">
        <v>24</v>
      </c>
      <c r="G9664" s="134" t="n">
        <f aca="false">LEN('Saisie programme'!$I$336)+SUMIFS('Vols additionnels'!$E$7:$E$66,'Vols additionnels'!$C$7:$C$66,$E9664,'Vols additionnels'!$D$7:$D$66,$F9664,'Vols additionnels'!$B$7:$B$66,$D9664)</f>
        <v>0</v>
      </c>
      <c r="H9664" s="135" t="n">
        <f aca="false">$G9664*'Analyse capacite'!$F$9</f>
        <v>0</v>
      </c>
      <c r="I9664" s="135" t="n">
        <f aca="false">$G9664*'Analyse capacite'!$C$9</f>
        <v>0</v>
      </c>
      <c r="J9664" s="135" t="n">
        <f aca="false">$G9664*'Analyse capacite'!$D$9</f>
        <v>0</v>
      </c>
      <c r="K9664" s="135" t="n">
        <f aca="false">$G9664*'Analyse capacite'!$E$9</f>
        <v>0</v>
      </c>
    </row>
    <row r="9665" customFormat="false" ht="15" hidden="false" customHeight="false" outlineLevel="0" collapsed="false">
      <c r="B9665" s="130" t="n">
        <v>2027</v>
      </c>
      <c r="C9665" s="131" t="s">
        <v>254</v>
      </c>
      <c r="D9665" s="132" t="n">
        <v>46746</v>
      </c>
      <c r="E9665" s="131" t="s">
        <v>40</v>
      </c>
      <c r="F9665" s="133" t="s">
        <v>11</v>
      </c>
      <c r="G9665" s="134" t="n">
        <f aca="false">LEN('Saisie programme'!$I$337)+SUMIFS('Vols additionnels'!$E$7:$E$66,'Vols additionnels'!$C$7:$C$66,$E9665,'Vols additionnels'!$D$7:$D$66,$F9665,'Vols additionnels'!$B$7:$B$66,$D9665)</f>
        <v>0</v>
      </c>
      <c r="H9665" s="135" t="n">
        <f aca="false">$G9665*'Analyse capacite'!$F$7</f>
        <v>0</v>
      </c>
      <c r="I9665" s="135" t="n">
        <f aca="false">$G9665*'Analyse capacite'!$C$7</f>
        <v>0</v>
      </c>
      <c r="J9665" s="135" t="n">
        <f aca="false">$G9665*'Analyse capacite'!$D$7</f>
        <v>0</v>
      </c>
      <c r="K9665" s="135" t="n">
        <f aca="false">$G9665*'Analyse capacite'!$E$7</f>
        <v>0</v>
      </c>
    </row>
    <row r="9666" customFormat="false" ht="15" hidden="false" customHeight="false" outlineLevel="0" collapsed="false">
      <c r="B9666" s="130" t="n">
        <v>2027</v>
      </c>
      <c r="C9666" s="131" t="s">
        <v>254</v>
      </c>
      <c r="D9666" s="132" t="n">
        <v>46746</v>
      </c>
      <c r="E9666" s="131" t="s">
        <v>40</v>
      </c>
      <c r="F9666" s="133" t="s">
        <v>19</v>
      </c>
      <c r="G9666" s="134" t="n">
        <f aca="false">LEN('Saisie programme'!$I$338)+SUMIFS('Vols additionnels'!$E$7:$E$66,'Vols additionnels'!$C$7:$C$66,$E9666,'Vols additionnels'!$D$7:$D$66,$F9666,'Vols additionnels'!$B$7:$B$66,$D9666)</f>
        <v>0</v>
      </c>
      <c r="H9666" s="135" t="n">
        <f aca="false">$G9666*'Analyse capacite'!$F$8</f>
        <v>0</v>
      </c>
      <c r="I9666" s="135" t="n">
        <f aca="false">$G9666*'Analyse capacite'!$C$8</f>
        <v>0</v>
      </c>
      <c r="J9666" s="135" t="n">
        <f aca="false">$G9666*'Analyse capacite'!$D$8</f>
        <v>0</v>
      </c>
      <c r="K9666" s="135" t="n">
        <f aca="false">$G9666*'Analyse capacite'!$E$8</f>
        <v>0</v>
      </c>
    </row>
    <row r="9667" customFormat="false" ht="15" hidden="false" customHeight="false" outlineLevel="0" collapsed="false">
      <c r="B9667" s="130" t="n">
        <v>2027</v>
      </c>
      <c r="C9667" s="131" t="s">
        <v>254</v>
      </c>
      <c r="D9667" s="132" t="n">
        <v>46746</v>
      </c>
      <c r="E9667" s="131" t="s">
        <v>40</v>
      </c>
      <c r="F9667" s="133" t="s">
        <v>24</v>
      </c>
      <c r="G9667" s="134" t="n">
        <f aca="false">LEN('Saisie programme'!$I$339)+SUMIFS('Vols additionnels'!$E$7:$E$66,'Vols additionnels'!$C$7:$C$66,$E9667,'Vols additionnels'!$D$7:$D$66,$F9667,'Vols additionnels'!$B$7:$B$66,$D9667)</f>
        <v>0</v>
      </c>
      <c r="H9667" s="135" t="n">
        <f aca="false">$G9667*'Analyse capacite'!$F$9</f>
        <v>0</v>
      </c>
      <c r="I9667" s="135" t="n">
        <f aca="false">$G9667*'Analyse capacite'!$C$9</f>
        <v>0</v>
      </c>
      <c r="J9667" s="135" t="n">
        <f aca="false">$G9667*'Analyse capacite'!$D$9</f>
        <v>0</v>
      </c>
      <c r="K9667" s="135" t="n">
        <f aca="false">$G9667*'Analyse capacite'!$E$9</f>
        <v>0</v>
      </c>
    </row>
    <row r="9668" customFormat="false" ht="15" hidden="false" customHeight="false" outlineLevel="0" collapsed="false">
      <c r="B9668" s="130" t="n">
        <v>2027</v>
      </c>
      <c r="C9668" s="131" t="s">
        <v>254</v>
      </c>
      <c r="D9668" s="132" t="n">
        <v>46746</v>
      </c>
      <c r="E9668" s="131" t="s">
        <v>14</v>
      </c>
      <c r="F9668" s="133" t="s">
        <v>11</v>
      </c>
      <c r="G9668" s="134" t="n">
        <f aca="false">LEN('Saisie programme'!$I$340)+SUMIFS('Vols additionnels'!$E$7:$E$66,'Vols additionnels'!$C$7:$C$66,$E9668,'Vols additionnels'!$D$7:$D$66,$F9668,'Vols additionnels'!$B$7:$B$66,$D9668)</f>
        <v>0</v>
      </c>
      <c r="H9668" s="135" t="n">
        <f aca="false">$G9668*'Analyse capacite'!$F$7</f>
        <v>0</v>
      </c>
      <c r="I9668" s="135" t="n">
        <f aca="false">$G9668*'Analyse capacite'!$C$7</f>
        <v>0</v>
      </c>
      <c r="J9668" s="135" t="n">
        <f aca="false">$G9668*'Analyse capacite'!$D$7</f>
        <v>0</v>
      </c>
      <c r="K9668" s="135" t="n">
        <f aca="false">$G9668*'Analyse capacite'!$E$7</f>
        <v>0</v>
      </c>
    </row>
    <row r="9669" customFormat="false" ht="15" hidden="false" customHeight="false" outlineLevel="0" collapsed="false">
      <c r="B9669" s="130" t="n">
        <v>2027</v>
      </c>
      <c r="C9669" s="131" t="s">
        <v>254</v>
      </c>
      <c r="D9669" s="132" t="n">
        <v>46746</v>
      </c>
      <c r="E9669" s="131" t="s">
        <v>14</v>
      </c>
      <c r="F9669" s="133" t="s">
        <v>19</v>
      </c>
      <c r="G9669" s="134" t="n">
        <f aca="false">LEN('Saisie programme'!$I$341)+SUMIFS('Vols additionnels'!$E$7:$E$66,'Vols additionnels'!$C$7:$C$66,$E9669,'Vols additionnels'!$D$7:$D$66,$F9669,'Vols additionnels'!$B$7:$B$66,$D9669)</f>
        <v>0</v>
      </c>
      <c r="H9669" s="135" t="n">
        <f aca="false">$G9669*'Analyse capacite'!$F$8</f>
        <v>0</v>
      </c>
      <c r="I9669" s="135" t="n">
        <f aca="false">$G9669*'Analyse capacite'!$C$8</f>
        <v>0</v>
      </c>
      <c r="J9669" s="135" t="n">
        <f aca="false">$G9669*'Analyse capacite'!$D$8</f>
        <v>0</v>
      </c>
      <c r="K9669" s="135" t="n">
        <f aca="false">$G9669*'Analyse capacite'!$E$8</f>
        <v>0</v>
      </c>
    </row>
    <row r="9670" customFormat="false" ht="15" hidden="false" customHeight="false" outlineLevel="0" collapsed="false">
      <c r="B9670" s="130" t="n">
        <v>2027</v>
      </c>
      <c r="C9670" s="131" t="s">
        <v>254</v>
      </c>
      <c r="D9670" s="132" t="n">
        <v>46746</v>
      </c>
      <c r="E9670" s="131" t="s">
        <v>14</v>
      </c>
      <c r="F9670" s="133" t="s">
        <v>24</v>
      </c>
      <c r="G9670" s="134" t="n">
        <f aca="false">LEN('Saisie programme'!$I$342)+SUMIFS('Vols additionnels'!$E$7:$E$66,'Vols additionnels'!$C$7:$C$66,$E9670,'Vols additionnels'!$D$7:$D$66,$F9670,'Vols additionnels'!$B$7:$B$66,$D9670)</f>
        <v>1</v>
      </c>
      <c r="H9670" s="135" t="n">
        <f aca="false">$G9670*'Analyse capacite'!$F$9</f>
        <v>174</v>
      </c>
      <c r="I9670" s="135" t="n">
        <f aca="false">$G9670*'Analyse capacite'!$C$9</f>
        <v>0</v>
      </c>
      <c r="J9670" s="135" t="n">
        <f aca="false">$G9670*'Analyse capacite'!$D$9</f>
        <v>12</v>
      </c>
      <c r="K9670" s="135" t="n">
        <f aca="false">$G9670*'Analyse capacite'!$E$9</f>
        <v>162</v>
      </c>
    </row>
    <row r="9671" customFormat="false" ht="15" hidden="false" customHeight="false" outlineLevel="0" collapsed="false">
      <c r="B9671" s="130" t="n">
        <v>2027</v>
      </c>
      <c r="C9671" s="131" t="s">
        <v>254</v>
      </c>
      <c r="D9671" s="132" t="n">
        <v>46746</v>
      </c>
      <c r="E9671" s="131" t="s">
        <v>46</v>
      </c>
      <c r="F9671" s="133" t="s">
        <v>11</v>
      </c>
      <c r="G9671" s="134" t="n">
        <f aca="false">LEN('Saisie programme'!$I$343)+SUMIFS('Vols additionnels'!$E$7:$E$66,'Vols additionnels'!$C$7:$C$66,$E9671,'Vols additionnels'!$D$7:$D$66,$F9671,'Vols additionnels'!$B$7:$B$66,$D9671)</f>
        <v>0</v>
      </c>
      <c r="H9671" s="135" t="n">
        <f aca="false">$G9671*'Analyse capacite'!$F$7</f>
        <v>0</v>
      </c>
      <c r="I9671" s="135" t="n">
        <f aca="false">$G9671*'Analyse capacite'!$C$7</f>
        <v>0</v>
      </c>
      <c r="J9671" s="135" t="n">
        <f aca="false">$G9671*'Analyse capacite'!$D$7</f>
        <v>0</v>
      </c>
      <c r="K9671" s="135" t="n">
        <f aca="false">$G9671*'Analyse capacite'!$E$7</f>
        <v>0</v>
      </c>
    </row>
    <row r="9672" customFormat="false" ht="15" hidden="false" customHeight="false" outlineLevel="0" collapsed="false">
      <c r="B9672" s="130" t="n">
        <v>2027</v>
      </c>
      <c r="C9672" s="131" t="s">
        <v>254</v>
      </c>
      <c r="D9672" s="132" t="n">
        <v>46746</v>
      </c>
      <c r="E9672" s="131" t="s">
        <v>46</v>
      </c>
      <c r="F9672" s="133" t="s">
        <v>19</v>
      </c>
      <c r="G9672" s="134" t="n">
        <f aca="false">LEN('Saisie programme'!$I$344)+SUMIFS('Vols additionnels'!$E$7:$E$66,'Vols additionnels'!$C$7:$C$66,$E9672,'Vols additionnels'!$D$7:$D$66,$F9672,'Vols additionnels'!$B$7:$B$66,$D9672)</f>
        <v>0</v>
      </c>
      <c r="H9672" s="135" t="n">
        <f aca="false">$G9672*'Analyse capacite'!$F$8</f>
        <v>0</v>
      </c>
      <c r="I9672" s="135" t="n">
        <f aca="false">$G9672*'Analyse capacite'!$C$8</f>
        <v>0</v>
      </c>
      <c r="J9672" s="135" t="n">
        <f aca="false">$G9672*'Analyse capacite'!$D$8</f>
        <v>0</v>
      </c>
      <c r="K9672" s="135" t="n">
        <f aca="false">$G9672*'Analyse capacite'!$E$8</f>
        <v>0</v>
      </c>
    </row>
    <row r="9673" customFormat="false" ht="15" hidden="false" customHeight="false" outlineLevel="0" collapsed="false">
      <c r="B9673" s="130" t="n">
        <v>2027</v>
      </c>
      <c r="C9673" s="131" t="s">
        <v>254</v>
      </c>
      <c r="D9673" s="132" t="n">
        <v>46746</v>
      </c>
      <c r="E9673" s="131" t="s">
        <v>46</v>
      </c>
      <c r="F9673" s="133" t="s">
        <v>24</v>
      </c>
      <c r="G9673" s="134" t="n">
        <f aca="false">LEN('Saisie programme'!$I$345)+SUMIFS('Vols additionnels'!$E$7:$E$66,'Vols additionnels'!$C$7:$C$66,$E9673,'Vols additionnels'!$D$7:$D$66,$F9673,'Vols additionnels'!$B$7:$B$66,$D9673)</f>
        <v>1</v>
      </c>
      <c r="H9673" s="135" t="n">
        <f aca="false">$G9673*'Analyse capacite'!$F$9</f>
        <v>174</v>
      </c>
      <c r="I9673" s="135" t="n">
        <f aca="false">$G9673*'Analyse capacite'!$C$9</f>
        <v>0</v>
      </c>
      <c r="J9673" s="135" t="n">
        <f aca="false">$G9673*'Analyse capacite'!$D$9</f>
        <v>12</v>
      </c>
      <c r="K9673" s="135" t="n">
        <f aca="false">$G9673*'Analyse capacite'!$E$9</f>
        <v>162</v>
      </c>
    </row>
    <row r="9674" customFormat="false" ht="15" hidden="false" customHeight="false" outlineLevel="0" collapsed="false">
      <c r="B9674" s="130" t="n">
        <v>2027</v>
      </c>
      <c r="C9674" s="131" t="s">
        <v>254</v>
      </c>
      <c r="D9674" s="132" t="n">
        <v>46746</v>
      </c>
      <c r="E9674" s="131" t="s">
        <v>49</v>
      </c>
      <c r="F9674" s="133" t="s">
        <v>11</v>
      </c>
      <c r="G9674" s="134" t="n">
        <f aca="false">LEN('Saisie programme'!$I$346)+SUMIFS('Vols additionnels'!$E$7:$E$66,'Vols additionnels'!$C$7:$C$66,$E9674,'Vols additionnels'!$D$7:$D$66,$F9674,'Vols additionnels'!$B$7:$B$66,$D9674)</f>
        <v>0</v>
      </c>
      <c r="H9674" s="135" t="n">
        <f aca="false">$G9674*'Analyse capacite'!$F$7</f>
        <v>0</v>
      </c>
      <c r="I9674" s="135" t="n">
        <f aca="false">$G9674*'Analyse capacite'!$C$7</f>
        <v>0</v>
      </c>
      <c r="J9674" s="135" t="n">
        <f aca="false">$G9674*'Analyse capacite'!$D$7</f>
        <v>0</v>
      </c>
      <c r="K9674" s="135" t="n">
        <f aca="false">$G9674*'Analyse capacite'!$E$7</f>
        <v>0</v>
      </c>
    </row>
    <row r="9675" customFormat="false" ht="15" hidden="false" customHeight="false" outlineLevel="0" collapsed="false">
      <c r="B9675" s="130" t="n">
        <v>2027</v>
      </c>
      <c r="C9675" s="131" t="s">
        <v>254</v>
      </c>
      <c r="D9675" s="132" t="n">
        <v>46746</v>
      </c>
      <c r="E9675" s="131" t="s">
        <v>49</v>
      </c>
      <c r="F9675" s="133" t="s">
        <v>19</v>
      </c>
      <c r="G9675" s="134" t="n">
        <f aca="false">LEN('Saisie programme'!$I$347)+SUMIFS('Vols additionnels'!$E$7:$E$66,'Vols additionnels'!$C$7:$C$66,$E9675,'Vols additionnels'!$D$7:$D$66,$F9675,'Vols additionnels'!$B$7:$B$66,$D9675)</f>
        <v>0</v>
      </c>
      <c r="H9675" s="135" t="n">
        <f aca="false">$G9675*'Analyse capacite'!$F$8</f>
        <v>0</v>
      </c>
      <c r="I9675" s="135" t="n">
        <f aca="false">$G9675*'Analyse capacite'!$C$8</f>
        <v>0</v>
      </c>
      <c r="J9675" s="135" t="n">
        <f aca="false">$G9675*'Analyse capacite'!$D$8</f>
        <v>0</v>
      </c>
      <c r="K9675" s="135" t="n">
        <f aca="false">$G9675*'Analyse capacite'!$E$8</f>
        <v>0</v>
      </c>
    </row>
    <row r="9676" customFormat="false" ht="15" hidden="false" customHeight="false" outlineLevel="0" collapsed="false">
      <c r="B9676" s="130" t="n">
        <v>2027</v>
      </c>
      <c r="C9676" s="131" t="s">
        <v>254</v>
      </c>
      <c r="D9676" s="132" t="n">
        <v>46746</v>
      </c>
      <c r="E9676" s="131" t="s">
        <v>49</v>
      </c>
      <c r="F9676" s="133" t="s">
        <v>24</v>
      </c>
      <c r="G9676" s="134" t="n">
        <f aca="false">LEN('Saisie programme'!$I$348)+SUMIFS('Vols additionnels'!$E$7:$E$66,'Vols additionnels'!$C$7:$C$66,$E9676,'Vols additionnels'!$D$7:$D$66,$F9676,'Vols additionnels'!$B$7:$B$66,$D9676)</f>
        <v>0</v>
      </c>
      <c r="H9676" s="135" t="n">
        <f aca="false">$G9676*'Analyse capacite'!$F$9</f>
        <v>0</v>
      </c>
      <c r="I9676" s="135" t="n">
        <f aca="false">$G9676*'Analyse capacite'!$C$9</f>
        <v>0</v>
      </c>
      <c r="J9676" s="135" t="n">
        <f aca="false">$G9676*'Analyse capacite'!$D$9</f>
        <v>0</v>
      </c>
      <c r="K9676" s="135" t="n">
        <f aca="false">$G9676*'Analyse capacite'!$E$9</f>
        <v>0</v>
      </c>
    </row>
    <row r="9677" customFormat="false" ht="15" hidden="false" customHeight="false" outlineLevel="0" collapsed="false">
      <c r="B9677" s="130" t="n">
        <v>2027</v>
      </c>
      <c r="C9677" s="131" t="s">
        <v>254</v>
      </c>
      <c r="D9677" s="132" t="n">
        <v>46746</v>
      </c>
      <c r="E9677" s="131" t="s">
        <v>53</v>
      </c>
      <c r="F9677" s="133" t="s">
        <v>11</v>
      </c>
      <c r="G9677" s="134" t="n">
        <f aca="false">LEN('Saisie programme'!$I$349)+SUMIFS('Vols additionnels'!$E$7:$E$66,'Vols additionnels'!$C$7:$C$66,$E9677,'Vols additionnels'!$D$7:$D$66,$F9677,'Vols additionnels'!$B$7:$B$66,$D9677)</f>
        <v>0</v>
      </c>
      <c r="H9677" s="135" t="n">
        <f aca="false">$G9677*'Analyse capacite'!$F$7</f>
        <v>0</v>
      </c>
      <c r="I9677" s="135" t="n">
        <f aca="false">$G9677*'Analyse capacite'!$C$7</f>
        <v>0</v>
      </c>
      <c r="J9677" s="135" t="n">
        <f aca="false">$G9677*'Analyse capacite'!$D$7</f>
        <v>0</v>
      </c>
      <c r="K9677" s="135" t="n">
        <f aca="false">$G9677*'Analyse capacite'!$E$7</f>
        <v>0</v>
      </c>
    </row>
    <row r="9678" customFormat="false" ht="15" hidden="false" customHeight="false" outlineLevel="0" collapsed="false">
      <c r="B9678" s="130" t="n">
        <v>2027</v>
      </c>
      <c r="C9678" s="131" t="s">
        <v>254</v>
      </c>
      <c r="D9678" s="132" t="n">
        <v>46746</v>
      </c>
      <c r="E9678" s="131" t="s">
        <v>53</v>
      </c>
      <c r="F9678" s="133" t="s">
        <v>19</v>
      </c>
      <c r="G9678" s="134" t="n">
        <f aca="false">LEN('Saisie programme'!$I$350)+SUMIFS('Vols additionnels'!$E$7:$E$66,'Vols additionnels'!$C$7:$C$66,$E9678,'Vols additionnels'!$D$7:$D$66,$F9678,'Vols additionnels'!$B$7:$B$66,$D9678)</f>
        <v>0</v>
      </c>
      <c r="H9678" s="135" t="n">
        <f aca="false">$G9678*'Analyse capacite'!$F$8</f>
        <v>0</v>
      </c>
      <c r="I9678" s="135" t="n">
        <f aca="false">$G9678*'Analyse capacite'!$C$8</f>
        <v>0</v>
      </c>
      <c r="J9678" s="135" t="n">
        <f aca="false">$G9678*'Analyse capacite'!$D$8</f>
        <v>0</v>
      </c>
      <c r="K9678" s="135" t="n">
        <f aca="false">$G9678*'Analyse capacite'!$E$8</f>
        <v>0</v>
      </c>
    </row>
    <row r="9679" customFormat="false" ht="15" hidden="false" customHeight="false" outlineLevel="0" collapsed="false">
      <c r="B9679" s="130" t="n">
        <v>2027</v>
      </c>
      <c r="C9679" s="131" t="s">
        <v>254</v>
      </c>
      <c r="D9679" s="132" t="n">
        <v>46746</v>
      </c>
      <c r="E9679" s="131" t="s">
        <v>53</v>
      </c>
      <c r="F9679" s="133" t="s">
        <v>24</v>
      </c>
      <c r="G9679" s="134" t="n">
        <f aca="false">LEN('Saisie programme'!$I$351)+SUMIFS('Vols additionnels'!$E$7:$E$66,'Vols additionnels'!$C$7:$C$66,$E9679,'Vols additionnels'!$D$7:$D$66,$F9679,'Vols additionnels'!$B$7:$B$66,$D9679)</f>
        <v>0</v>
      </c>
      <c r="H9679" s="135" t="n">
        <f aca="false">$G9679*'Analyse capacite'!$F$9</f>
        <v>0</v>
      </c>
      <c r="I9679" s="135" t="n">
        <f aca="false">$G9679*'Analyse capacite'!$C$9</f>
        <v>0</v>
      </c>
      <c r="J9679" s="135" t="n">
        <f aca="false">$G9679*'Analyse capacite'!$D$9</f>
        <v>0</v>
      </c>
      <c r="K9679" s="135" t="n">
        <f aca="false">$G9679*'Analyse capacite'!$E$9</f>
        <v>0</v>
      </c>
    </row>
    <row r="9680" customFormat="false" ht="15" hidden="false" customHeight="false" outlineLevel="0" collapsed="false">
      <c r="B9680" s="130" t="n">
        <v>2027</v>
      </c>
      <c r="C9680" s="131" t="s">
        <v>254</v>
      </c>
      <c r="D9680" s="132" t="n">
        <v>46746</v>
      </c>
      <c r="E9680" s="131" t="s">
        <v>56</v>
      </c>
      <c r="F9680" s="133" t="s">
        <v>11</v>
      </c>
      <c r="G9680" s="134" t="n">
        <f aca="false">LEN('Saisie programme'!$I$352)+SUMIFS('Vols additionnels'!$E$7:$E$66,'Vols additionnels'!$C$7:$C$66,$E9680,'Vols additionnels'!$D$7:$D$66,$F9680,'Vols additionnels'!$B$7:$B$66,$D9680)</f>
        <v>0</v>
      </c>
      <c r="H9680" s="135" t="n">
        <f aca="false">$G9680*'Analyse capacite'!$F$7</f>
        <v>0</v>
      </c>
      <c r="I9680" s="135" t="n">
        <f aca="false">$G9680*'Analyse capacite'!$C$7</f>
        <v>0</v>
      </c>
      <c r="J9680" s="135" t="n">
        <f aca="false">$G9680*'Analyse capacite'!$D$7</f>
        <v>0</v>
      </c>
      <c r="K9680" s="135" t="n">
        <f aca="false">$G9680*'Analyse capacite'!$E$7</f>
        <v>0</v>
      </c>
    </row>
    <row r="9681" customFormat="false" ht="15" hidden="false" customHeight="false" outlineLevel="0" collapsed="false">
      <c r="B9681" s="130" t="n">
        <v>2027</v>
      </c>
      <c r="C9681" s="131" t="s">
        <v>254</v>
      </c>
      <c r="D9681" s="132" t="n">
        <v>46746</v>
      </c>
      <c r="E9681" s="131" t="s">
        <v>56</v>
      </c>
      <c r="F9681" s="133" t="s">
        <v>19</v>
      </c>
      <c r="G9681" s="134" t="n">
        <f aca="false">LEN('Saisie programme'!$I$353)+SUMIFS('Vols additionnels'!$E$7:$E$66,'Vols additionnels'!$C$7:$C$66,$E9681,'Vols additionnels'!$D$7:$D$66,$F9681,'Vols additionnels'!$B$7:$B$66,$D9681)</f>
        <v>0</v>
      </c>
      <c r="H9681" s="135" t="n">
        <f aca="false">$G9681*'Analyse capacite'!$F$8</f>
        <v>0</v>
      </c>
      <c r="I9681" s="135" t="n">
        <f aca="false">$G9681*'Analyse capacite'!$C$8</f>
        <v>0</v>
      </c>
      <c r="J9681" s="135" t="n">
        <f aca="false">$G9681*'Analyse capacite'!$D$8</f>
        <v>0</v>
      </c>
      <c r="K9681" s="135" t="n">
        <f aca="false">$G9681*'Analyse capacite'!$E$8</f>
        <v>0</v>
      </c>
    </row>
    <row r="9682" customFormat="false" ht="15" hidden="false" customHeight="false" outlineLevel="0" collapsed="false">
      <c r="B9682" s="130" t="n">
        <v>2027</v>
      </c>
      <c r="C9682" s="131" t="s">
        <v>254</v>
      </c>
      <c r="D9682" s="132" t="n">
        <v>46746</v>
      </c>
      <c r="E9682" s="131" t="s">
        <v>56</v>
      </c>
      <c r="F9682" s="133" t="s">
        <v>24</v>
      </c>
      <c r="G9682" s="134" t="n">
        <f aca="false">LEN('Saisie programme'!$I$354)+SUMIFS('Vols additionnels'!$E$7:$E$66,'Vols additionnels'!$C$7:$C$66,$E9682,'Vols additionnels'!$D$7:$D$66,$F9682,'Vols additionnels'!$B$7:$B$66,$D9682)</f>
        <v>1</v>
      </c>
      <c r="H9682" s="135" t="n">
        <f aca="false">$G9682*'Analyse capacite'!$F$9</f>
        <v>174</v>
      </c>
      <c r="I9682" s="135" t="n">
        <f aca="false">$G9682*'Analyse capacite'!$C$9</f>
        <v>0</v>
      </c>
      <c r="J9682" s="135" t="n">
        <f aca="false">$G9682*'Analyse capacite'!$D$9</f>
        <v>12</v>
      </c>
      <c r="K9682" s="135" t="n">
        <f aca="false">$G9682*'Analyse capacite'!$E$9</f>
        <v>162</v>
      </c>
    </row>
    <row r="9683" customFormat="false" ht="15" hidden="false" customHeight="false" outlineLevel="0" collapsed="false">
      <c r="B9683" s="130" t="n">
        <v>2027</v>
      </c>
      <c r="C9683" s="131" t="s">
        <v>254</v>
      </c>
      <c r="D9683" s="132" t="n">
        <v>46746</v>
      </c>
      <c r="E9683" s="131" t="s">
        <v>59</v>
      </c>
      <c r="F9683" s="133" t="s">
        <v>11</v>
      </c>
      <c r="G9683" s="134" t="n">
        <f aca="false">LEN('Saisie programme'!$I$355)+SUMIFS('Vols additionnels'!$E$7:$E$66,'Vols additionnels'!$C$7:$C$66,$E9683,'Vols additionnels'!$D$7:$D$66,$F9683,'Vols additionnels'!$B$7:$B$66,$D9683)</f>
        <v>0</v>
      </c>
      <c r="H9683" s="135" t="n">
        <f aca="false">$G9683*'Analyse capacite'!$F$7</f>
        <v>0</v>
      </c>
      <c r="I9683" s="135" t="n">
        <f aca="false">$G9683*'Analyse capacite'!$C$7</f>
        <v>0</v>
      </c>
      <c r="J9683" s="135" t="n">
        <f aca="false">$G9683*'Analyse capacite'!$D$7</f>
        <v>0</v>
      </c>
      <c r="K9683" s="135" t="n">
        <f aca="false">$G9683*'Analyse capacite'!$E$7</f>
        <v>0</v>
      </c>
    </row>
    <row r="9684" customFormat="false" ht="15" hidden="false" customHeight="false" outlineLevel="0" collapsed="false">
      <c r="B9684" s="130" t="n">
        <v>2027</v>
      </c>
      <c r="C9684" s="131" t="s">
        <v>254</v>
      </c>
      <c r="D9684" s="132" t="n">
        <v>46746</v>
      </c>
      <c r="E9684" s="131" t="s">
        <v>59</v>
      </c>
      <c r="F9684" s="133" t="s">
        <v>19</v>
      </c>
      <c r="G9684" s="134" t="n">
        <f aca="false">LEN('Saisie programme'!$I$356)+SUMIFS('Vols additionnels'!$E$7:$E$66,'Vols additionnels'!$C$7:$C$66,$E9684,'Vols additionnels'!$D$7:$D$66,$F9684,'Vols additionnels'!$B$7:$B$66,$D9684)</f>
        <v>0</v>
      </c>
      <c r="H9684" s="135" t="n">
        <f aca="false">$G9684*'Analyse capacite'!$F$8</f>
        <v>0</v>
      </c>
      <c r="I9684" s="135" t="n">
        <f aca="false">$G9684*'Analyse capacite'!$C$8</f>
        <v>0</v>
      </c>
      <c r="J9684" s="135" t="n">
        <f aca="false">$G9684*'Analyse capacite'!$D$8</f>
        <v>0</v>
      </c>
      <c r="K9684" s="135" t="n">
        <f aca="false">$G9684*'Analyse capacite'!$E$8</f>
        <v>0</v>
      </c>
    </row>
    <row r="9685" customFormat="false" ht="15" hidden="false" customHeight="false" outlineLevel="0" collapsed="false">
      <c r="B9685" s="130" t="n">
        <v>2027</v>
      </c>
      <c r="C9685" s="131" t="s">
        <v>254</v>
      </c>
      <c r="D9685" s="132" t="n">
        <v>46746</v>
      </c>
      <c r="E9685" s="131" t="s">
        <v>59</v>
      </c>
      <c r="F9685" s="133" t="s">
        <v>24</v>
      </c>
      <c r="G9685" s="134" t="n">
        <f aca="false">LEN('Saisie programme'!$I$357)+SUMIFS('Vols additionnels'!$E$7:$E$66,'Vols additionnels'!$C$7:$C$66,$E9685,'Vols additionnels'!$D$7:$D$66,$F9685,'Vols additionnels'!$B$7:$B$66,$D9685)</f>
        <v>1</v>
      </c>
      <c r="H9685" s="135" t="n">
        <f aca="false">$G9685*'Analyse capacite'!$F$9</f>
        <v>174</v>
      </c>
      <c r="I9685" s="135" t="n">
        <f aca="false">$G9685*'Analyse capacite'!$C$9</f>
        <v>0</v>
      </c>
      <c r="J9685" s="135" t="n">
        <f aca="false">$G9685*'Analyse capacite'!$D$9</f>
        <v>12</v>
      </c>
      <c r="K9685" s="135" t="n">
        <f aca="false">$G9685*'Analyse capacite'!$E$9</f>
        <v>162</v>
      </c>
    </row>
    <row r="9686" customFormat="false" ht="15" hidden="false" customHeight="false" outlineLevel="0" collapsed="false">
      <c r="B9686" s="130" t="n">
        <v>2027</v>
      </c>
      <c r="C9686" s="131" t="s">
        <v>254</v>
      </c>
      <c r="D9686" s="132" t="n">
        <v>46746</v>
      </c>
      <c r="E9686" s="131" t="s">
        <v>62</v>
      </c>
      <c r="F9686" s="133" t="s">
        <v>11</v>
      </c>
      <c r="G9686" s="134" t="n">
        <f aca="false">LEN('Saisie programme'!$I$358)+SUMIFS('Vols additionnels'!$E$7:$E$66,'Vols additionnels'!$C$7:$C$66,$E9686,'Vols additionnels'!$D$7:$D$66,$F9686,'Vols additionnels'!$B$7:$B$66,$D9686)</f>
        <v>0</v>
      </c>
      <c r="H9686" s="135" t="n">
        <f aca="false">$G9686*'Analyse capacite'!$F$7</f>
        <v>0</v>
      </c>
      <c r="I9686" s="135" t="n">
        <f aca="false">$G9686*'Analyse capacite'!$C$7</f>
        <v>0</v>
      </c>
      <c r="J9686" s="135" t="n">
        <f aca="false">$G9686*'Analyse capacite'!$D$7</f>
        <v>0</v>
      </c>
      <c r="K9686" s="135" t="n">
        <f aca="false">$G9686*'Analyse capacite'!$E$7</f>
        <v>0</v>
      </c>
    </row>
    <row r="9687" customFormat="false" ht="15" hidden="false" customHeight="false" outlineLevel="0" collapsed="false">
      <c r="B9687" s="130" t="n">
        <v>2027</v>
      </c>
      <c r="C9687" s="131" t="s">
        <v>254</v>
      </c>
      <c r="D9687" s="132" t="n">
        <v>46746</v>
      </c>
      <c r="E9687" s="131" t="s">
        <v>62</v>
      </c>
      <c r="F9687" s="133" t="s">
        <v>19</v>
      </c>
      <c r="G9687" s="134" t="n">
        <f aca="false">LEN('Saisie programme'!$I$359)+SUMIFS('Vols additionnels'!$E$7:$E$66,'Vols additionnels'!$C$7:$C$66,$E9687,'Vols additionnels'!$D$7:$D$66,$F9687,'Vols additionnels'!$B$7:$B$66,$D9687)</f>
        <v>0</v>
      </c>
      <c r="H9687" s="135" t="n">
        <f aca="false">$G9687*'Analyse capacite'!$F$8</f>
        <v>0</v>
      </c>
      <c r="I9687" s="135" t="n">
        <f aca="false">$G9687*'Analyse capacite'!$C$8</f>
        <v>0</v>
      </c>
      <c r="J9687" s="135" t="n">
        <f aca="false">$G9687*'Analyse capacite'!$D$8</f>
        <v>0</v>
      </c>
      <c r="K9687" s="135" t="n">
        <f aca="false">$G9687*'Analyse capacite'!$E$8</f>
        <v>0</v>
      </c>
    </row>
    <row r="9688" customFormat="false" ht="15" hidden="false" customHeight="false" outlineLevel="0" collapsed="false">
      <c r="B9688" s="130" t="n">
        <v>2027</v>
      </c>
      <c r="C9688" s="131" t="s">
        <v>254</v>
      </c>
      <c r="D9688" s="132" t="n">
        <v>46746</v>
      </c>
      <c r="E9688" s="131" t="s">
        <v>62</v>
      </c>
      <c r="F9688" s="133" t="s">
        <v>24</v>
      </c>
      <c r="G9688" s="134" t="n">
        <f aca="false">LEN('Saisie programme'!$I$360)+SUMIFS('Vols additionnels'!$E$7:$E$66,'Vols additionnels'!$C$7:$C$66,$E9688,'Vols additionnels'!$D$7:$D$66,$F9688,'Vols additionnels'!$B$7:$B$66,$D9688)</f>
        <v>0</v>
      </c>
      <c r="H9688" s="135" t="n">
        <f aca="false">$G9688*'Analyse capacite'!$F$9</f>
        <v>0</v>
      </c>
      <c r="I9688" s="135" t="n">
        <f aca="false">$G9688*'Analyse capacite'!$C$9</f>
        <v>0</v>
      </c>
      <c r="J9688" s="135" t="n">
        <f aca="false">$G9688*'Analyse capacite'!$D$9</f>
        <v>0</v>
      </c>
      <c r="K9688" s="135" t="n">
        <f aca="false">$G9688*'Analyse capacite'!$E$9</f>
        <v>0</v>
      </c>
    </row>
    <row r="9689" customFormat="false" ht="15" hidden="false" customHeight="false" outlineLevel="0" collapsed="false">
      <c r="B9689" s="130" t="n">
        <v>2027</v>
      </c>
      <c r="C9689" s="131" t="s">
        <v>254</v>
      </c>
      <c r="D9689" s="132" t="n">
        <v>46747</v>
      </c>
      <c r="E9689" s="131" t="s">
        <v>12</v>
      </c>
      <c r="F9689" s="133" t="s">
        <v>11</v>
      </c>
      <c r="G9689" s="134" t="n">
        <f aca="false">LEN('Saisie programme'!$J$325)+SUMIFS('Vols additionnels'!$E$7:$E$66,'Vols additionnels'!$C$7:$C$66,$E9689,'Vols additionnels'!$D$7:$D$66,$F9689,'Vols additionnels'!$B$7:$B$66,$D9689)</f>
        <v>1</v>
      </c>
      <c r="H9689" s="135" t="n">
        <f aca="false">$G9689*'Analyse capacite'!$F$7</f>
        <v>438</v>
      </c>
      <c r="I9689" s="135" t="n">
        <f aca="false">$G9689*'Analyse capacite'!$C$7</f>
        <v>14</v>
      </c>
      <c r="J9689" s="135" t="n">
        <f aca="false">$G9689*'Analyse capacite'!$D$7</f>
        <v>40</v>
      </c>
      <c r="K9689" s="135" t="n">
        <f aca="false">$G9689*'Analyse capacite'!$E$7</f>
        <v>384</v>
      </c>
    </row>
    <row r="9690" customFormat="false" ht="15" hidden="false" customHeight="false" outlineLevel="0" collapsed="false">
      <c r="B9690" s="130" t="n">
        <v>2027</v>
      </c>
      <c r="C9690" s="131" t="s">
        <v>254</v>
      </c>
      <c r="D9690" s="132" t="n">
        <v>46747</v>
      </c>
      <c r="E9690" s="131" t="s">
        <v>12</v>
      </c>
      <c r="F9690" s="133" t="s">
        <v>19</v>
      </c>
      <c r="G9690" s="134" t="n">
        <f aca="false">LEN('Saisie programme'!$J$326)+SUMIFS('Vols additionnels'!$E$7:$E$66,'Vols additionnels'!$C$7:$C$66,$E9690,'Vols additionnels'!$D$7:$D$66,$F9690,'Vols additionnels'!$B$7:$B$66,$D9690)</f>
        <v>0</v>
      </c>
      <c r="H9690" s="135" t="n">
        <f aca="false">$G9690*'Analyse capacite'!$F$8</f>
        <v>0</v>
      </c>
      <c r="I9690" s="135" t="n">
        <f aca="false">$G9690*'Analyse capacite'!$C$8</f>
        <v>0</v>
      </c>
      <c r="J9690" s="135" t="n">
        <f aca="false">$G9690*'Analyse capacite'!$D$8</f>
        <v>0</v>
      </c>
      <c r="K9690" s="135" t="n">
        <f aca="false">$G9690*'Analyse capacite'!$E$8</f>
        <v>0</v>
      </c>
    </row>
    <row r="9691" customFormat="false" ht="15" hidden="false" customHeight="false" outlineLevel="0" collapsed="false">
      <c r="B9691" s="130" t="n">
        <v>2027</v>
      </c>
      <c r="C9691" s="131" t="s">
        <v>254</v>
      </c>
      <c r="D9691" s="132" t="n">
        <v>46747</v>
      </c>
      <c r="E9691" s="131" t="s">
        <v>12</v>
      </c>
      <c r="F9691" s="133" t="s">
        <v>24</v>
      </c>
      <c r="G9691" s="134" t="n">
        <f aca="false">LEN('Saisie programme'!$J$327)+SUMIFS('Vols additionnels'!$E$7:$E$66,'Vols additionnels'!$C$7:$C$66,$E9691,'Vols additionnels'!$D$7:$D$66,$F9691,'Vols additionnels'!$B$7:$B$66,$D9691)</f>
        <v>0</v>
      </c>
      <c r="H9691" s="135" t="n">
        <f aca="false">$G9691*'Analyse capacite'!$F$9</f>
        <v>0</v>
      </c>
      <c r="I9691" s="135" t="n">
        <f aca="false">$G9691*'Analyse capacite'!$C$9</f>
        <v>0</v>
      </c>
      <c r="J9691" s="135" t="n">
        <f aca="false">$G9691*'Analyse capacite'!$D$9</f>
        <v>0</v>
      </c>
      <c r="K9691" s="135" t="n">
        <f aca="false">$G9691*'Analyse capacite'!$E$9</f>
        <v>0</v>
      </c>
    </row>
    <row r="9692" customFormat="false" ht="15" hidden="false" customHeight="false" outlineLevel="0" collapsed="false">
      <c r="B9692" s="130" t="n">
        <v>2027</v>
      </c>
      <c r="C9692" s="131" t="s">
        <v>254</v>
      </c>
      <c r="D9692" s="132" t="n">
        <v>46747</v>
      </c>
      <c r="E9692" s="131" t="s">
        <v>20</v>
      </c>
      <c r="F9692" s="133" t="s">
        <v>11</v>
      </c>
      <c r="G9692" s="134" t="n">
        <f aca="false">LEN('Saisie programme'!$J$328)+SUMIFS('Vols additionnels'!$E$7:$E$66,'Vols additionnels'!$C$7:$C$66,$E9692,'Vols additionnels'!$D$7:$D$66,$F9692,'Vols additionnels'!$B$7:$B$66,$D9692)</f>
        <v>1</v>
      </c>
      <c r="H9692" s="135" t="n">
        <f aca="false">$G9692*'Analyse capacite'!$F$7</f>
        <v>438</v>
      </c>
      <c r="I9692" s="135" t="n">
        <f aca="false">$G9692*'Analyse capacite'!$C$7</f>
        <v>14</v>
      </c>
      <c r="J9692" s="135" t="n">
        <f aca="false">$G9692*'Analyse capacite'!$D$7</f>
        <v>40</v>
      </c>
      <c r="K9692" s="135" t="n">
        <f aca="false">$G9692*'Analyse capacite'!$E$7</f>
        <v>384</v>
      </c>
    </row>
    <row r="9693" customFormat="false" ht="15" hidden="false" customHeight="false" outlineLevel="0" collapsed="false">
      <c r="B9693" s="130" t="n">
        <v>2027</v>
      </c>
      <c r="C9693" s="131" t="s">
        <v>254</v>
      </c>
      <c r="D9693" s="132" t="n">
        <v>46747</v>
      </c>
      <c r="E9693" s="131" t="s">
        <v>20</v>
      </c>
      <c r="F9693" s="133" t="s">
        <v>19</v>
      </c>
      <c r="G9693" s="134" t="n">
        <f aca="false">LEN('Saisie programme'!$J$329)+SUMIFS('Vols additionnels'!$E$7:$E$66,'Vols additionnels'!$C$7:$C$66,$E9693,'Vols additionnels'!$D$7:$D$66,$F9693,'Vols additionnels'!$B$7:$B$66,$D9693)</f>
        <v>0</v>
      </c>
      <c r="H9693" s="135" t="n">
        <f aca="false">$G9693*'Analyse capacite'!$F$8</f>
        <v>0</v>
      </c>
      <c r="I9693" s="135" t="n">
        <f aca="false">$G9693*'Analyse capacite'!$C$8</f>
        <v>0</v>
      </c>
      <c r="J9693" s="135" t="n">
        <f aca="false">$G9693*'Analyse capacite'!$D$8</f>
        <v>0</v>
      </c>
      <c r="K9693" s="135" t="n">
        <f aca="false">$G9693*'Analyse capacite'!$E$8</f>
        <v>0</v>
      </c>
    </row>
    <row r="9694" customFormat="false" ht="15" hidden="false" customHeight="false" outlineLevel="0" collapsed="false">
      <c r="B9694" s="130" t="n">
        <v>2027</v>
      </c>
      <c r="C9694" s="131" t="s">
        <v>254</v>
      </c>
      <c r="D9694" s="132" t="n">
        <v>46747</v>
      </c>
      <c r="E9694" s="131" t="s">
        <v>20</v>
      </c>
      <c r="F9694" s="133" t="s">
        <v>24</v>
      </c>
      <c r="G9694" s="134" t="n">
        <f aca="false">LEN('Saisie programme'!$J$330)+SUMIFS('Vols additionnels'!$E$7:$E$66,'Vols additionnels'!$C$7:$C$66,$E9694,'Vols additionnels'!$D$7:$D$66,$F9694,'Vols additionnels'!$B$7:$B$66,$D9694)</f>
        <v>0</v>
      </c>
      <c r="H9694" s="135" t="n">
        <f aca="false">$G9694*'Analyse capacite'!$F$9</f>
        <v>0</v>
      </c>
      <c r="I9694" s="135" t="n">
        <f aca="false">$G9694*'Analyse capacite'!$C$9</f>
        <v>0</v>
      </c>
      <c r="J9694" s="135" t="n">
        <f aca="false">$G9694*'Analyse capacite'!$D$9</f>
        <v>0</v>
      </c>
      <c r="K9694" s="135" t="n">
        <f aca="false">$G9694*'Analyse capacite'!$E$9</f>
        <v>0</v>
      </c>
    </row>
    <row r="9695" customFormat="false" ht="15" hidden="false" customHeight="false" outlineLevel="0" collapsed="false">
      <c r="B9695" s="130" t="n">
        <v>2027</v>
      </c>
      <c r="C9695" s="131" t="s">
        <v>254</v>
      </c>
      <c r="D9695" s="132" t="n">
        <v>46747</v>
      </c>
      <c r="E9695" s="131" t="s">
        <v>25</v>
      </c>
      <c r="F9695" s="133" t="s">
        <v>11</v>
      </c>
      <c r="G9695" s="134" t="n">
        <f aca="false">LEN('Saisie programme'!$J$331)+SUMIFS('Vols additionnels'!$E$7:$E$66,'Vols additionnels'!$C$7:$C$66,$E9695,'Vols additionnels'!$D$7:$D$66,$F9695,'Vols additionnels'!$B$7:$B$66,$D9695)</f>
        <v>0</v>
      </c>
      <c r="H9695" s="135" t="n">
        <f aca="false">$G9695*'Analyse capacite'!$F$7</f>
        <v>0</v>
      </c>
      <c r="I9695" s="135" t="n">
        <f aca="false">$G9695*'Analyse capacite'!$C$7</f>
        <v>0</v>
      </c>
      <c r="J9695" s="135" t="n">
        <f aca="false">$G9695*'Analyse capacite'!$D$7</f>
        <v>0</v>
      </c>
      <c r="K9695" s="135" t="n">
        <f aca="false">$G9695*'Analyse capacite'!$E$7</f>
        <v>0</v>
      </c>
    </row>
    <row r="9696" customFormat="false" ht="15" hidden="false" customHeight="false" outlineLevel="0" collapsed="false">
      <c r="B9696" s="130" t="n">
        <v>2027</v>
      </c>
      <c r="C9696" s="131" t="s">
        <v>254</v>
      </c>
      <c r="D9696" s="132" t="n">
        <v>46747</v>
      </c>
      <c r="E9696" s="131" t="s">
        <v>25</v>
      </c>
      <c r="F9696" s="133" t="s">
        <v>19</v>
      </c>
      <c r="G9696" s="134" t="n">
        <f aca="false">LEN('Saisie programme'!$J$332)+SUMIFS('Vols additionnels'!$E$7:$E$66,'Vols additionnels'!$C$7:$C$66,$E9696,'Vols additionnels'!$D$7:$D$66,$F9696,'Vols additionnels'!$B$7:$B$66,$D9696)</f>
        <v>0</v>
      </c>
      <c r="H9696" s="135" t="n">
        <f aca="false">$G9696*'Analyse capacite'!$F$8</f>
        <v>0</v>
      </c>
      <c r="I9696" s="135" t="n">
        <f aca="false">$G9696*'Analyse capacite'!$C$8</f>
        <v>0</v>
      </c>
      <c r="J9696" s="135" t="n">
        <f aca="false">$G9696*'Analyse capacite'!$D$8</f>
        <v>0</v>
      </c>
      <c r="K9696" s="135" t="n">
        <f aca="false">$G9696*'Analyse capacite'!$E$8</f>
        <v>0</v>
      </c>
    </row>
    <row r="9697" customFormat="false" ht="15" hidden="false" customHeight="false" outlineLevel="0" collapsed="false">
      <c r="B9697" s="130" t="n">
        <v>2027</v>
      </c>
      <c r="C9697" s="131" t="s">
        <v>254</v>
      </c>
      <c r="D9697" s="132" t="n">
        <v>46747</v>
      </c>
      <c r="E9697" s="131" t="s">
        <v>25</v>
      </c>
      <c r="F9697" s="133" t="s">
        <v>24</v>
      </c>
      <c r="G9697" s="134" t="n">
        <f aca="false">LEN('Saisie programme'!$J$333)+SUMIFS('Vols additionnels'!$E$7:$E$66,'Vols additionnels'!$C$7:$C$66,$E9697,'Vols additionnels'!$D$7:$D$66,$F9697,'Vols additionnels'!$B$7:$B$66,$D9697)</f>
        <v>0</v>
      </c>
      <c r="H9697" s="135" t="n">
        <f aca="false">$G9697*'Analyse capacite'!$F$9</f>
        <v>0</v>
      </c>
      <c r="I9697" s="135" t="n">
        <f aca="false">$G9697*'Analyse capacite'!$C$9</f>
        <v>0</v>
      </c>
      <c r="J9697" s="135" t="n">
        <f aca="false">$G9697*'Analyse capacite'!$D$9</f>
        <v>0</v>
      </c>
      <c r="K9697" s="135" t="n">
        <f aca="false">$G9697*'Analyse capacite'!$E$9</f>
        <v>0</v>
      </c>
    </row>
    <row r="9698" customFormat="false" ht="15" hidden="false" customHeight="false" outlineLevel="0" collapsed="false">
      <c r="B9698" s="130" t="n">
        <v>2027</v>
      </c>
      <c r="C9698" s="131" t="s">
        <v>254</v>
      </c>
      <c r="D9698" s="132" t="n">
        <v>46747</v>
      </c>
      <c r="E9698" s="131" t="s">
        <v>36</v>
      </c>
      <c r="F9698" s="133" t="s">
        <v>11</v>
      </c>
      <c r="G9698" s="134" t="n">
        <f aca="false">LEN('Saisie programme'!$J$334)+SUMIFS('Vols additionnels'!$E$7:$E$66,'Vols additionnels'!$C$7:$C$66,$E9698,'Vols additionnels'!$D$7:$D$66,$F9698,'Vols additionnels'!$B$7:$B$66,$D9698)</f>
        <v>0</v>
      </c>
      <c r="H9698" s="135" t="n">
        <f aca="false">$G9698*'Analyse capacite'!$F$7</f>
        <v>0</v>
      </c>
      <c r="I9698" s="135" t="n">
        <f aca="false">$G9698*'Analyse capacite'!$C$7</f>
        <v>0</v>
      </c>
      <c r="J9698" s="135" t="n">
        <f aca="false">$G9698*'Analyse capacite'!$D$7</f>
        <v>0</v>
      </c>
      <c r="K9698" s="135" t="n">
        <f aca="false">$G9698*'Analyse capacite'!$E$7</f>
        <v>0</v>
      </c>
    </row>
    <row r="9699" customFormat="false" ht="15" hidden="false" customHeight="false" outlineLevel="0" collapsed="false">
      <c r="B9699" s="130" t="n">
        <v>2027</v>
      </c>
      <c r="C9699" s="131" t="s">
        <v>254</v>
      </c>
      <c r="D9699" s="132" t="n">
        <v>46747</v>
      </c>
      <c r="E9699" s="131" t="s">
        <v>36</v>
      </c>
      <c r="F9699" s="133" t="s">
        <v>19</v>
      </c>
      <c r="G9699" s="134" t="n">
        <f aca="false">LEN('Saisie programme'!$J$335)+SUMIFS('Vols additionnels'!$E$7:$E$66,'Vols additionnels'!$C$7:$C$66,$E9699,'Vols additionnels'!$D$7:$D$66,$F9699,'Vols additionnels'!$B$7:$B$66,$D9699)</f>
        <v>0</v>
      </c>
      <c r="H9699" s="135" t="n">
        <f aca="false">$G9699*'Analyse capacite'!$F$8</f>
        <v>0</v>
      </c>
      <c r="I9699" s="135" t="n">
        <f aca="false">$G9699*'Analyse capacite'!$C$8</f>
        <v>0</v>
      </c>
      <c r="J9699" s="135" t="n">
        <f aca="false">$G9699*'Analyse capacite'!$D$8</f>
        <v>0</v>
      </c>
      <c r="K9699" s="135" t="n">
        <f aca="false">$G9699*'Analyse capacite'!$E$8</f>
        <v>0</v>
      </c>
    </row>
    <row r="9700" customFormat="false" ht="15" hidden="false" customHeight="false" outlineLevel="0" collapsed="false">
      <c r="B9700" s="130" t="n">
        <v>2027</v>
      </c>
      <c r="C9700" s="131" t="s">
        <v>254</v>
      </c>
      <c r="D9700" s="132" t="n">
        <v>46747</v>
      </c>
      <c r="E9700" s="131" t="s">
        <v>36</v>
      </c>
      <c r="F9700" s="133" t="s">
        <v>24</v>
      </c>
      <c r="G9700" s="134" t="n">
        <f aca="false">LEN('Saisie programme'!$J$336)+SUMIFS('Vols additionnels'!$E$7:$E$66,'Vols additionnels'!$C$7:$C$66,$E9700,'Vols additionnels'!$D$7:$D$66,$F9700,'Vols additionnels'!$B$7:$B$66,$D9700)</f>
        <v>0</v>
      </c>
      <c r="H9700" s="135" t="n">
        <f aca="false">$G9700*'Analyse capacite'!$F$9</f>
        <v>0</v>
      </c>
      <c r="I9700" s="135" t="n">
        <f aca="false">$G9700*'Analyse capacite'!$C$9</f>
        <v>0</v>
      </c>
      <c r="J9700" s="135" t="n">
        <f aca="false">$G9700*'Analyse capacite'!$D$9</f>
        <v>0</v>
      </c>
      <c r="K9700" s="135" t="n">
        <f aca="false">$G9700*'Analyse capacite'!$E$9</f>
        <v>0</v>
      </c>
    </row>
    <row r="9701" customFormat="false" ht="15" hidden="false" customHeight="false" outlineLevel="0" collapsed="false">
      <c r="B9701" s="130" t="n">
        <v>2027</v>
      </c>
      <c r="C9701" s="131" t="s">
        <v>254</v>
      </c>
      <c r="D9701" s="132" t="n">
        <v>46747</v>
      </c>
      <c r="E9701" s="131" t="s">
        <v>40</v>
      </c>
      <c r="F9701" s="133" t="s">
        <v>11</v>
      </c>
      <c r="G9701" s="134" t="n">
        <f aca="false">LEN('Saisie programme'!$J$337)+SUMIFS('Vols additionnels'!$E$7:$E$66,'Vols additionnels'!$C$7:$C$66,$E9701,'Vols additionnels'!$D$7:$D$66,$F9701,'Vols additionnels'!$B$7:$B$66,$D9701)</f>
        <v>0</v>
      </c>
      <c r="H9701" s="135" t="n">
        <f aca="false">$G9701*'Analyse capacite'!$F$7</f>
        <v>0</v>
      </c>
      <c r="I9701" s="135" t="n">
        <f aca="false">$G9701*'Analyse capacite'!$C$7</f>
        <v>0</v>
      </c>
      <c r="J9701" s="135" t="n">
        <f aca="false">$G9701*'Analyse capacite'!$D$7</f>
        <v>0</v>
      </c>
      <c r="K9701" s="135" t="n">
        <f aca="false">$G9701*'Analyse capacite'!$E$7</f>
        <v>0</v>
      </c>
    </row>
    <row r="9702" customFormat="false" ht="15" hidden="false" customHeight="false" outlineLevel="0" collapsed="false">
      <c r="B9702" s="130" t="n">
        <v>2027</v>
      </c>
      <c r="C9702" s="131" t="s">
        <v>254</v>
      </c>
      <c r="D9702" s="132" t="n">
        <v>46747</v>
      </c>
      <c r="E9702" s="131" t="s">
        <v>40</v>
      </c>
      <c r="F9702" s="133" t="s">
        <v>19</v>
      </c>
      <c r="G9702" s="134" t="n">
        <f aca="false">LEN('Saisie programme'!$J$338)+SUMIFS('Vols additionnels'!$E$7:$E$66,'Vols additionnels'!$C$7:$C$66,$E9702,'Vols additionnels'!$D$7:$D$66,$F9702,'Vols additionnels'!$B$7:$B$66,$D9702)</f>
        <v>0</v>
      </c>
      <c r="H9702" s="135" t="n">
        <f aca="false">$G9702*'Analyse capacite'!$F$8</f>
        <v>0</v>
      </c>
      <c r="I9702" s="135" t="n">
        <f aca="false">$G9702*'Analyse capacite'!$C$8</f>
        <v>0</v>
      </c>
      <c r="J9702" s="135" t="n">
        <f aca="false">$G9702*'Analyse capacite'!$D$8</f>
        <v>0</v>
      </c>
      <c r="K9702" s="135" t="n">
        <f aca="false">$G9702*'Analyse capacite'!$E$8</f>
        <v>0</v>
      </c>
    </row>
    <row r="9703" customFormat="false" ht="15" hidden="false" customHeight="false" outlineLevel="0" collapsed="false">
      <c r="B9703" s="130" t="n">
        <v>2027</v>
      </c>
      <c r="C9703" s="131" t="s">
        <v>254</v>
      </c>
      <c r="D9703" s="132" t="n">
        <v>46747</v>
      </c>
      <c r="E9703" s="131" t="s">
        <v>40</v>
      </c>
      <c r="F9703" s="133" t="s">
        <v>24</v>
      </c>
      <c r="G9703" s="134" t="n">
        <f aca="false">LEN('Saisie programme'!$J$339)+SUMIFS('Vols additionnels'!$E$7:$E$66,'Vols additionnels'!$C$7:$C$66,$E9703,'Vols additionnels'!$D$7:$D$66,$F9703,'Vols additionnels'!$B$7:$B$66,$D9703)</f>
        <v>1</v>
      </c>
      <c r="H9703" s="135" t="n">
        <f aca="false">$G9703*'Analyse capacite'!$F$9</f>
        <v>174</v>
      </c>
      <c r="I9703" s="135" t="n">
        <f aca="false">$G9703*'Analyse capacite'!$C$9</f>
        <v>0</v>
      </c>
      <c r="J9703" s="135" t="n">
        <f aca="false">$G9703*'Analyse capacite'!$D$9</f>
        <v>12</v>
      </c>
      <c r="K9703" s="135" t="n">
        <f aca="false">$G9703*'Analyse capacite'!$E$9</f>
        <v>162</v>
      </c>
    </row>
    <row r="9704" customFormat="false" ht="15" hidden="false" customHeight="false" outlineLevel="0" collapsed="false">
      <c r="B9704" s="130" t="n">
        <v>2027</v>
      </c>
      <c r="C9704" s="131" t="s">
        <v>254</v>
      </c>
      <c r="D9704" s="132" t="n">
        <v>46747</v>
      </c>
      <c r="E9704" s="131" t="s">
        <v>14</v>
      </c>
      <c r="F9704" s="133" t="s">
        <v>11</v>
      </c>
      <c r="G9704" s="134" t="n">
        <f aca="false">LEN('Saisie programme'!$J$340)+SUMIFS('Vols additionnels'!$E$7:$E$66,'Vols additionnels'!$C$7:$C$66,$E9704,'Vols additionnels'!$D$7:$D$66,$F9704,'Vols additionnels'!$B$7:$B$66,$D9704)</f>
        <v>0</v>
      </c>
      <c r="H9704" s="135" t="n">
        <f aca="false">$G9704*'Analyse capacite'!$F$7</f>
        <v>0</v>
      </c>
      <c r="I9704" s="135" t="n">
        <f aca="false">$G9704*'Analyse capacite'!$C$7</f>
        <v>0</v>
      </c>
      <c r="J9704" s="135" t="n">
        <f aca="false">$G9704*'Analyse capacite'!$D$7</f>
        <v>0</v>
      </c>
      <c r="K9704" s="135" t="n">
        <f aca="false">$G9704*'Analyse capacite'!$E$7</f>
        <v>0</v>
      </c>
    </row>
    <row r="9705" customFormat="false" ht="15" hidden="false" customHeight="false" outlineLevel="0" collapsed="false">
      <c r="B9705" s="130" t="n">
        <v>2027</v>
      </c>
      <c r="C9705" s="131" t="s">
        <v>254</v>
      </c>
      <c r="D9705" s="132" t="n">
        <v>46747</v>
      </c>
      <c r="E9705" s="131" t="s">
        <v>14</v>
      </c>
      <c r="F9705" s="133" t="s">
        <v>19</v>
      </c>
      <c r="G9705" s="134" t="n">
        <f aca="false">LEN('Saisie programme'!$J$341)+SUMIFS('Vols additionnels'!$E$7:$E$66,'Vols additionnels'!$C$7:$C$66,$E9705,'Vols additionnels'!$D$7:$D$66,$F9705,'Vols additionnels'!$B$7:$B$66,$D9705)</f>
        <v>0</v>
      </c>
      <c r="H9705" s="135" t="n">
        <f aca="false">$G9705*'Analyse capacite'!$F$8</f>
        <v>0</v>
      </c>
      <c r="I9705" s="135" t="n">
        <f aca="false">$G9705*'Analyse capacite'!$C$8</f>
        <v>0</v>
      </c>
      <c r="J9705" s="135" t="n">
        <f aca="false">$G9705*'Analyse capacite'!$D$8</f>
        <v>0</v>
      </c>
      <c r="K9705" s="135" t="n">
        <f aca="false">$G9705*'Analyse capacite'!$E$8</f>
        <v>0</v>
      </c>
    </row>
    <row r="9706" customFormat="false" ht="15" hidden="false" customHeight="false" outlineLevel="0" collapsed="false">
      <c r="B9706" s="130" t="n">
        <v>2027</v>
      </c>
      <c r="C9706" s="131" t="s">
        <v>254</v>
      </c>
      <c r="D9706" s="132" t="n">
        <v>46747</v>
      </c>
      <c r="E9706" s="131" t="s">
        <v>14</v>
      </c>
      <c r="F9706" s="133" t="s">
        <v>24</v>
      </c>
      <c r="G9706" s="134" t="n">
        <f aca="false">LEN('Saisie programme'!$J$342)+SUMIFS('Vols additionnels'!$E$7:$E$66,'Vols additionnels'!$C$7:$C$66,$E9706,'Vols additionnels'!$D$7:$D$66,$F9706,'Vols additionnels'!$B$7:$B$66,$D9706)</f>
        <v>1</v>
      </c>
      <c r="H9706" s="135" t="n">
        <f aca="false">$G9706*'Analyse capacite'!$F$9</f>
        <v>174</v>
      </c>
      <c r="I9706" s="135" t="n">
        <f aca="false">$G9706*'Analyse capacite'!$C$9</f>
        <v>0</v>
      </c>
      <c r="J9706" s="135" t="n">
        <f aca="false">$G9706*'Analyse capacite'!$D$9</f>
        <v>12</v>
      </c>
      <c r="K9706" s="135" t="n">
        <f aca="false">$G9706*'Analyse capacite'!$E$9</f>
        <v>162</v>
      </c>
    </row>
    <row r="9707" customFormat="false" ht="15" hidden="false" customHeight="false" outlineLevel="0" collapsed="false">
      <c r="B9707" s="130" t="n">
        <v>2027</v>
      </c>
      <c r="C9707" s="131" t="s">
        <v>254</v>
      </c>
      <c r="D9707" s="132" t="n">
        <v>46747</v>
      </c>
      <c r="E9707" s="131" t="s">
        <v>46</v>
      </c>
      <c r="F9707" s="133" t="s">
        <v>11</v>
      </c>
      <c r="G9707" s="134" t="n">
        <f aca="false">LEN('Saisie programme'!$J$343)+SUMIFS('Vols additionnels'!$E$7:$E$66,'Vols additionnels'!$C$7:$C$66,$E9707,'Vols additionnels'!$D$7:$D$66,$F9707,'Vols additionnels'!$B$7:$B$66,$D9707)</f>
        <v>0</v>
      </c>
      <c r="H9707" s="135" t="n">
        <f aca="false">$G9707*'Analyse capacite'!$F$7</f>
        <v>0</v>
      </c>
      <c r="I9707" s="135" t="n">
        <f aca="false">$G9707*'Analyse capacite'!$C$7</f>
        <v>0</v>
      </c>
      <c r="J9707" s="135" t="n">
        <f aca="false">$G9707*'Analyse capacite'!$D$7</f>
        <v>0</v>
      </c>
      <c r="K9707" s="135" t="n">
        <f aca="false">$G9707*'Analyse capacite'!$E$7</f>
        <v>0</v>
      </c>
    </row>
    <row r="9708" customFormat="false" ht="15" hidden="false" customHeight="false" outlineLevel="0" collapsed="false">
      <c r="B9708" s="130" t="n">
        <v>2027</v>
      </c>
      <c r="C9708" s="131" t="s">
        <v>254</v>
      </c>
      <c r="D9708" s="132" t="n">
        <v>46747</v>
      </c>
      <c r="E9708" s="131" t="s">
        <v>46</v>
      </c>
      <c r="F9708" s="133" t="s">
        <v>19</v>
      </c>
      <c r="G9708" s="134" t="n">
        <f aca="false">LEN('Saisie programme'!$J$344)+SUMIFS('Vols additionnels'!$E$7:$E$66,'Vols additionnels'!$C$7:$C$66,$E9708,'Vols additionnels'!$D$7:$D$66,$F9708,'Vols additionnels'!$B$7:$B$66,$D9708)</f>
        <v>0</v>
      </c>
      <c r="H9708" s="135" t="n">
        <f aca="false">$G9708*'Analyse capacite'!$F$8</f>
        <v>0</v>
      </c>
      <c r="I9708" s="135" t="n">
        <f aca="false">$G9708*'Analyse capacite'!$C$8</f>
        <v>0</v>
      </c>
      <c r="J9708" s="135" t="n">
        <f aca="false">$G9708*'Analyse capacite'!$D$8</f>
        <v>0</v>
      </c>
      <c r="K9708" s="135" t="n">
        <f aca="false">$G9708*'Analyse capacite'!$E$8</f>
        <v>0</v>
      </c>
    </row>
    <row r="9709" customFormat="false" ht="15" hidden="false" customHeight="false" outlineLevel="0" collapsed="false">
      <c r="B9709" s="130" t="n">
        <v>2027</v>
      </c>
      <c r="C9709" s="131" t="s">
        <v>254</v>
      </c>
      <c r="D9709" s="132" t="n">
        <v>46747</v>
      </c>
      <c r="E9709" s="131" t="s">
        <v>46</v>
      </c>
      <c r="F9709" s="133" t="s">
        <v>24</v>
      </c>
      <c r="G9709" s="134" t="n">
        <f aca="false">LEN('Saisie programme'!$J$345)+SUMIFS('Vols additionnels'!$E$7:$E$66,'Vols additionnels'!$C$7:$C$66,$E9709,'Vols additionnels'!$D$7:$D$66,$F9709,'Vols additionnels'!$B$7:$B$66,$D9709)</f>
        <v>0</v>
      </c>
      <c r="H9709" s="135" t="n">
        <f aca="false">$G9709*'Analyse capacite'!$F$9</f>
        <v>0</v>
      </c>
      <c r="I9709" s="135" t="n">
        <f aca="false">$G9709*'Analyse capacite'!$C$9</f>
        <v>0</v>
      </c>
      <c r="J9709" s="135" t="n">
        <f aca="false">$G9709*'Analyse capacite'!$D$9</f>
        <v>0</v>
      </c>
      <c r="K9709" s="135" t="n">
        <f aca="false">$G9709*'Analyse capacite'!$E$9</f>
        <v>0</v>
      </c>
    </row>
    <row r="9710" customFormat="false" ht="15" hidden="false" customHeight="false" outlineLevel="0" collapsed="false">
      <c r="B9710" s="130" t="n">
        <v>2027</v>
      </c>
      <c r="C9710" s="131" t="s">
        <v>254</v>
      </c>
      <c r="D9710" s="132" t="n">
        <v>46747</v>
      </c>
      <c r="E9710" s="131" t="s">
        <v>49</v>
      </c>
      <c r="F9710" s="133" t="s">
        <v>11</v>
      </c>
      <c r="G9710" s="134" t="n">
        <f aca="false">LEN('Saisie programme'!$J$346)+SUMIFS('Vols additionnels'!$E$7:$E$66,'Vols additionnels'!$C$7:$C$66,$E9710,'Vols additionnels'!$D$7:$D$66,$F9710,'Vols additionnels'!$B$7:$B$66,$D9710)</f>
        <v>0</v>
      </c>
      <c r="H9710" s="135" t="n">
        <f aca="false">$G9710*'Analyse capacite'!$F$7</f>
        <v>0</v>
      </c>
      <c r="I9710" s="135" t="n">
        <f aca="false">$G9710*'Analyse capacite'!$C$7</f>
        <v>0</v>
      </c>
      <c r="J9710" s="135" t="n">
        <f aca="false">$G9710*'Analyse capacite'!$D$7</f>
        <v>0</v>
      </c>
      <c r="K9710" s="135" t="n">
        <f aca="false">$G9710*'Analyse capacite'!$E$7</f>
        <v>0</v>
      </c>
    </row>
    <row r="9711" customFormat="false" ht="15" hidden="false" customHeight="false" outlineLevel="0" collapsed="false">
      <c r="B9711" s="130" t="n">
        <v>2027</v>
      </c>
      <c r="C9711" s="131" t="s">
        <v>254</v>
      </c>
      <c r="D9711" s="132" t="n">
        <v>46747</v>
      </c>
      <c r="E9711" s="131" t="s">
        <v>49</v>
      </c>
      <c r="F9711" s="133" t="s">
        <v>19</v>
      </c>
      <c r="G9711" s="134" t="n">
        <f aca="false">LEN('Saisie programme'!$J$347)+SUMIFS('Vols additionnels'!$E$7:$E$66,'Vols additionnels'!$C$7:$C$66,$E9711,'Vols additionnels'!$D$7:$D$66,$F9711,'Vols additionnels'!$B$7:$B$66,$D9711)</f>
        <v>0</v>
      </c>
      <c r="H9711" s="135" t="n">
        <f aca="false">$G9711*'Analyse capacite'!$F$8</f>
        <v>0</v>
      </c>
      <c r="I9711" s="135" t="n">
        <f aca="false">$G9711*'Analyse capacite'!$C$8</f>
        <v>0</v>
      </c>
      <c r="J9711" s="135" t="n">
        <f aca="false">$G9711*'Analyse capacite'!$D$8</f>
        <v>0</v>
      </c>
      <c r="K9711" s="135" t="n">
        <f aca="false">$G9711*'Analyse capacite'!$E$8</f>
        <v>0</v>
      </c>
    </row>
    <row r="9712" customFormat="false" ht="15" hidden="false" customHeight="false" outlineLevel="0" collapsed="false">
      <c r="B9712" s="130" t="n">
        <v>2027</v>
      </c>
      <c r="C9712" s="131" t="s">
        <v>254</v>
      </c>
      <c r="D9712" s="132" t="n">
        <v>46747</v>
      </c>
      <c r="E9712" s="131" t="s">
        <v>49</v>
      </c>
      <c r="F9712" s="133" t="s">
        <v>24</v>
      </c>
      <c r="G9712" s="134" t="n">
        <f aca="false">LEN('Saisie programme'!$J$348)+SUMIFS('Vols additionnels'!$E$7:$E$66,'Vols additionnels'!$C$7:$C$66,$E9712,'Vols additionnels'!$D$7:$D$66,$F9712,'Vols additionnels'!$B$7:$B$66,$D9712)</f>
        <v>0</v>
      </c>
      <c r="H9712" s="135" t="n">
        <f aca="false">$G9712*'Analyse capacite'!$F$9</f>
        <v>0</v>
      </c>
      <c r="I9712" s="135" t="n">
        <f aca="false">$G9712*'Analyse capacite'!$C$9</f>
        <v>0</v>
      </c>
      <c r="J9712" s="135" t="n">
        <f aca="false">$G9712*'Analyse capacite'!$D$9</f>
        <v>0</v>
      </c>
      <c r="K9712" s="135" t="n">
        <f aca="false">$G9712*'Analyse capacite'!$E$9</f>
        <v>0</v>
      </c>
    </row>
    <row r="9713" customFormat="false" ht="15" hidden="false" customHeight="false" outlineLevel="0" collapsed="false">
      <c r="B9713" s="130" t="n">
        <v>2027</v>
      </c>
      <c r="C9713" s="131" t="s">
        <v>254</v>
      </c>
      <c r="D9713" s="132" t="n">
        <v>46747</v>
      </c>
      <c r="E9713" s="131" t="s">
        <v>53</v>
      </c>
      <c r="F9713" s="133" t="s">
        <v>11</v>
      </c>
      <c r="G9713" s="134" t="n">
        <f aca="false">LEN('Saisie programme'!$J$349)+SUMIFS('Vols additionnels'!$E$7:$E$66,'Vols additionnels'!$C$7:$C$66,$E9713,'Vols additionnels'!$D$7:$D$66,$F9713,'Vols additionnels'!$B$7:$B$66,$D9713)</f>
        <v>0</v>
      </c>
      <c r="H9713" s="135" t="n">
        <f aca="false">$G9713*'Analyse capacite'!$F$7</f>
        <v>0</v>
      </c>
      <c r="I9713" s="135" t="n">
        <f aca="false">$G9713*'Analyse capacite'!$C$7</f>
        <v>0</v>
      </c>
      <c r="J9713" s="135" t="n">
        <f aca="false">$G9713*'Analyse capacite'!$D$7</f>
        <v>0</v>
      </c>
      <c r="K9713" s="135" t="n">
        <f aca="false">$G9713*'Analyse capacite'!$E$7</f>
        <v>0</v>
      </c>
    </row>
    <row r="9714" customFormat="false" ht="15" hidden="false" customHeight="false" outlineLevel="0" collapsed="false">
      <c r="B9714" s="130" t="n">
        <v>2027</v>
      </c>
      <c r="C9714" s="131" t="s">
        <v>254</v>
      </c>
      <c r="D9714" s="132" t="n">
        <v>46747</v>
      </c>
      <c r="E9714" s="131" t="s">
        <v>53</v>
      </c>
      <c r="F9714" s="133" t="s">
        <v>19</v>
      </c>
      <c r="G9714" s="134" t="n">
        <f aca="false">LEN('Saisie programme'!$J$350)+SUMIFS('Vols additionnels'!$E$7:$E$66,'Vols additionnels'!$C$7:$C$66,$E9714,'Vols additionnels'!$D$7:$D$66,$F9714,'Vols additionnels'!$B$7:$B$66,$D9714)</f>
        <v>0</v>
      </c>
      <c r="H9714" s="135" t="n">
        <f aca="false">$G9714*'Analyse capacite'!$F$8</f>
        <v>0</v>
      </c>
      <c r="I9714" s="135" t="n">
        <f aca="false">$G9714*'Analyse capacite'!$C$8</f>
        <v>0</v>
      </c>
      <c r="J9714" s="135" t="n">
        <f aca="false">$G9714*'Analyse capacite'!$D$8</f>
        <v>0</v>
      </c>
      <c r="K9714" s="135" t="n">
        <f aca="false">$G9714*'Analyse capacite'!$E$8</f>
        <v>0</v>
      </c>
    </row>
    <row r="9715" customFormat="false" ht="15" hidden="false" customHeight="false" outlineLevel="0" collapsed="false">
      <c r="B9715" s="130" t="n">
        <v>2027</v>
      </c>
      <c r="C9715" s="131" t="s">
        <v>254</v>
      </c>
      <c r="D9715" s="132" t="n">
        <v>46747</v>
      </c>
      <c r="E9715" s="131" t="s">
        <v>53</v>
      </c>
      <c r="F9715" s="133" t="s">
        <v>24</v>
      </c>
      <c r="G9715" s="134" t="n">
        <f aca="false">LEN('Saisie programme'!$J$351)+SUMIFS('Vols additionnels'!$E$7:$E$66,'Vols additionnels'!$C$7:$C$66,$E9715,'Vols additionnels'!$D$7:$D$66,$F9715,'Vols additionnels'!$B$7:$B$66,$D9715)</f>
        <v>0</v>
      </c>
      <c r="H9715" s="135" t="n">
        <f aca="false">$G9715*'Analyse capacite'!$F$9</f>
        <v>0</v>
      </c>
      <c r="I9715" s="135" t="n">
        <f aca="false">$G9715*'Analyse capacite'!$C$9</f>
        <v>0</v>
      </c>
      <c r="J9715" s="135" t="n">
        <f aca="false">$G9715*'Analyse capacite'!$D$9</f>
        <v>0</v>
      </c>
      <c r="K9715" s="135" t="n">
        <f aca="false">$G9715*'Analyse capacite'!$E$9</f>
        <v>0</v>
      </c>
    </row>
    <row r="9716" customFormat="false" ht="15" hidden="false" customHeight="false" outlineLevel="0" collapsed="false">
      <c r="B9716" s="130" t="n">
        <v>2027</v>
      </c>
      <c r="C9716" s="131" t="s">
        <v>254</v>
      </c>
      <c r="D9716" s="132" t="n">
        <v>46747</v>
      </c>
      <c r="E9716" s="131" t="s">
        <v>56</v>
      </c>
      <c r="F9716" s="133" t="s">
        <v>11</v>
      </c>
      <c r="G9716" s="134" t="n">
        <f aca="false">LEN('Saisie programme'!$J$352)+SUMIFS('Vols additionnels'!$E$7:$E$66,'Vols additionnels'!$C$7:$C$66,$E9716,'Vols additionnels'!$D$7:$D$66,$F9716,'Vols additionnels'!$B$7:$B$66,$D9716)</f>
        <v>0</v>
      </c>
      <c r="H9716" s="135" t="n">
        <f aca="false">$G9716*'Analyse capacite'!$F$7</f>
        <v>0</v>
      </c>
      <c r="I9716" s="135" t="n">
        <f aca="false">$G9716*'Analyse capacite'!$C$7</f>
        <v>0</v>
      </c>
      <c r="J9716" s="135" t="n">
        <f aca="false">$G9716*'Analyse capacite'!$D$7</f>
        <v>0</v>
      </c>
      <c r="K9716" s="135" t="n">
        <f aca="false">$G9716*'Analyse capacite'!$E$7</f>
        <v>0</v>
      </c>
    </row>
    <row r="9717" customFormat="false" ht="15" hidden="false" customHeight="false" outlineLevel="0" collapsed="false">
      <c r="B9717" s="130" t="n">
        <v>2027</v>
      </c>
      <c r="C9717" s="131" t="s">
        <v>254</v>
      </c>
      <c r="D9717" s="132" t="n">
        <v>46747</v>
      </c>
      <c r="E9717" s="131" t="s">
        <v>56</v>
      </c>
      <c r="F9717" s="133" t="s">
        <v>19</v>
      </c>
      <c r="G9717" s="134" t="n">
        <f aca="false">LEN('Saisie programme'!$J$353)+SUMIFS('Vols additionnels'!$E$7:$E$66,'Vols additionnels'!$C$7:$C$66,$E9717,'Vols additionnels'!$D$7:$D$66,$F9717,'Vols additionnels'!$B$7:$B$66,$D9717)</f>
        <v>0</v>
      </c>
      <c r="H9717" s="135" t="n">
        <f aca="false">$G9717*'Analyse capacite'!$F$8</f>
        <v>0</v>
      </c>
      <c r="I9717" s="135" t="n">
        <f aca="false">$G9717*'Analyse capacite'!$C$8</f>
        <v>0</v>
      </c>
      <c r="J9717" s="135" t="n">
        <f aca="false">$G9717*'Analyse capacite'!$D$8</f>
        <v>0</v>
      </c>
      <c r="K9717" s="135" t="n">
        <f aca="false">$G9717*'Analyse capacite'!$E$8</f>
        <v>0</v>
      </c>
    </row>
    <row r="9718" customFormat="false" ht="15" hidden="false" customHeight="false" outlineLevel="0" collapsed="false">
      <c r="B9718" s="130" t="n">
        <v>2027</v>
      </c>
      <c r="C9718" s="131" t="s">
        <v>254</v>
      </c>
      <c r="D9718" s="132" t="n">
        <v>46747</v>
      </c>
      <c r="E9718" s="131" t="s">
        <v>56</v>
      </c>
      <c r="F9718" s="133" t="s">
        <v>24</v>
      </c>
      <c r="G9718" s="134" t="n">
        <f aca="false">LEN('Saisie programme'!$J$354)+SUMIFS('Vols additionnels'!$E$7:$E$66,'Vols additionnels'!$C$7:$C$66,$E9718,'Vols additionnels'!$D$7:$D$66,$F9718,'Vols additionnels'!$B$7:$B$66,$D9718)</f>
        <v>0</v>
      </c>
      <c r="H9718" s="135" t="n">
        <f aca="false">$G9718*'Analyse capacite'!$F$9</f>
        <v>0</v>
      </c>
      <c r="I9718" s="135" t="n">
        <f aca="false">$G9718*'Analyse capacite'!$C$9</f>
        <v>0</v>
      </c>
      <c r="J9718" s="135" t="n">
        <f aca="false">$G9718*'Analyse capacite'!$D$9</f>
        <v>0</v>
      </c>
      <c r="K9718" s="135" t="n">
        <f aca="false">$G9718*'Analyse capacite'!$E$9</f>
        <v>0</v>
      </c>
    </row>
    <row r="9719" customFormat="false" ht="15" hidden="false" customHeight="false" outlineLevel="0" collapsed="false">
      <c r="B9719" s="130" t="n">
        <v>2027</v>
      </c>
      <c r="C9719" s="131" t="s">
        <v>254</v>
      </c>
      <c r="D9719" s="132" t="n">
        <v>46747</v>
      </c>
      <c r="E9719" s="131" t="s">
        <v>59</v>
      </c>
      <c r="F9719" s="133" t="s">
        <v>11</v>
      </c>
      <c r="G9719" s="134" t="n">
        <f aca="false">LEN('Saisie programme'!$J$355)+SUMIFS('Vols additionnels'!$E$7:$E$66,'Vols additionnels'!$C$7:$C$66,$E9719,'Vols additionnels'!$D$7:$D$66,$F9719,'Vols additionnels'!$B$7:$B$66,$D9719)</f>
        <v>0</v>
      </c>
      <c r="H9719" s="135" t="n">
        <f aca="false">$G9719*'Analyse capacite'!$F$7</f>
        <v>0</v>
      </c>
      <c r="I9719" s="135" t="n">
        <f aca="false">$G9719*'Analyse capacite'!$C$7</f>
        <v>0</v>
      </c>
      <c r="J9719" s="135" t="n">
        <f aca="false">$G9719*'Analyse capacite'!$D$7</f>
        <v>0</v>
      </c>
      <c r="K9719" s="135" t="n">
        <f aca="false">$G9719*'Analyse capacite'!$E$7</f>
        <v>0</v>
      </c>
    </row>
    <row r="9720" customFormat="false" ht="15" hidden="false" customHeight="false" outlineLevel="0" collapsed="false">
      <c r="B9720" s="130" t="n">
        <v>2027</v>
      </c>
      <c r="C9720" s="131" t="s">
        <v>254</v>
      </c>
      <c r="D9720" s="132" t="n">
        <v>46747</v>
      </c>
      <c r="E9720" s="131" t="s">
        <v>59</v>
      </c>
      <c r="F9720" s="133" t="s">
        <v>19</v>
      </c>
      <c r="G9720" s="134" t="n">
        <f aca="false">LEN('Saisie programme'!$J$356)+SUMIFS('Vols additionnels'!$E$7:$E$66,'Vols additionnels'!$C$7:$C$66,$E9720,'Vols additionnels'!$D$7:$D$66,$F9720,'Vols additionnels'!$B$7:$B$66,$D9720)</f>
        <v>0</v>
      </c>
      <c r="H9720" s="135" t="n">
        <f aca="false">$G9720*'Analyse capacite'!$F$8</f>
        <v>0</v>
      </c>
      <c r="I9720" s="135" t="n">
        <f aca="false">$G9720*'Analyse capacite'!$C$8</f>
        <v>0</v>
      </c>
      <c r="J9720" s="135" t="n">
        <f aca="false">$G9720*'Analyse capacite'!$D$8</f>
        <v>0</v>
      </c>
      <c r="K9720" s="135" t="n">
        <f aca="false">$G9720*'Analyse capacite'!$E$8</f>
        <v>0</v>
      </c>
    </row>
    <row r="9721" customFormat="false" ht="15" hidden="false" customHeight="false" outlineLevel="0" collapsed="false">
      <c r="B9721" s="130" t="n">
        <v>2027</v>
      </c>
      <c r="C9721" s="131" t="s">
        <v>254</v>
      </c>
      <c r="D9721" s="132" t="n">
        <v>46747</v>
      </c>
      <c r="E9721" s="131" t="s">
        <v>59</v>
      </c>
      <c r="F9721" s="133" t="s">
        <v>24</v>
      </c>
      <c r="G9721" s="134" t="n">
        <f aca="false">LEN('Saisie programme'!$J$357)+SUMIFS('Vols additionnels'!$E$7:$E$66,'Vols additionnels'!$C$7:$C$66,$E9721,'Vols additionnels'!$D$7:$D$66,$F9721,'Vols additionnels'!$B$7:$B$66,$D9721)</f>
        <v>0</v>
      </c>
      <c r="H9721" s="135" t="n">
        <f aca="false">$G9721*'Analyse capacite'!$F$9</f>
        <v>0</v>
      </c>
      <c r="I9721" s="135" t="n">
        <f aca="false">$G9721*'Analyse capacite'!$C$9</f>
        <v>0</v>
      </c>
      <c r="J9721" s="135" t="n">
        <f aca="false">$G9721*'Analyse capacite'!$D$9</f>
        <v>0</v>
      </c>
      <c r="K9721" s="135" t="n">
        <f aca="false">$G9721*'Analyse capacite'!$E$9</f>
        <v>0</v>
      </c>
    </row>
    <row r="9722" customFormat="false" ht="15" hidden="false" customHeight="false" outlineLevel="0" collapsed="false">
      <c r="B9722" s="130" t="n">
        <v>2027</v>
      </c>
      <c r="C9722" s="131" t="s">
        <v>254</v>
      </c>
      <c r="D9722" s="132" t="n">
        <v>46747</v>
      </c>
      <c r="E9722" s="131" t="s">
        <v>62</v>
      </c>
      <c r="F9722" s="133" t="s">
        <v>11</v>
      </c>
      <c r="G9722" s="134" t="n">
        <f aca="false">LEN('Saisie programme'!$J$358)+SUMIFS('Vols additionnels'!$E$7:$E$66,'Vols additionnels'!$C$7:$C$66,$E9722,'Vols additionnels'!$D$7:$D$66,$F9722,'Vols additionnels'!$B$7:$B$66,$D9722)</f>
        <v>0</v>
      </c>
      <c r="H9722" s="135" t="n">
        <f aca="false">$G9722*'Analyse capacite'!$F$7</f>
        <v>0</v>
      </c>
      <c r="I9722" s="135" t="n">
        <f aca="false">$G9722*'Analyse capacite'!$C$7</f>
        <v>0</v>
      </c>
      <c r="J9722" s="135" t="n">
        <f aca="false">$G9722*'Analyse capacite'!$D$7</f>
        <v>0</v>
      </c>
      <c r="K9722" s="135" t="n">
        <f aca="false">$G9722*'Analyse capacite'!$E$7</f>
        <v>0</v>
      </c>
    </row>
    <row r="9723" customFormat="false" ht="15" hidden="false" customHeight="false" outlineLevel="0" collapsed="false">
      <c r="B9723" s="130" t="n">
        <v>2027</v>
      </c>
      <c r="C9723" s="131" t="s">
        <v>254</v>
      </c>
      <c r="D9723" s="132" t="n">
        <v>46747</v>
      </c>
      <c r="E9723" s="131" t="s">
        <v>62</v>
      </c>
      <c r="F9723" s="133" t="s">
        <v>19</v>
      </c>
      <c r="G9723" s="134" t="n">
        <f aca="false">LEN('Saisie programme'!$J$359)+SUMIFS('Vols additionnels'!$E$7:$E$66,'Vols additionnels'!$C$7:$C$66,$E9723,'Vols additionnels'!$D$7:$D$66,$F9723,'Vols additionnels'!$B$7:$B$66,$D9723)</f>
        <v>0</v>
      </c>
      <c r="H9723" s="135" t="n">
        <f aca="false">$G9723*'Analyse capacite'!$F$8</f>
        <v>0</v>
      </c>
      <c r="I9723" s="135" t="n">
        <f aca="false">$G9723*'Analyse capacite'!$C$8</f>
        <v>0</v>
      </c>
      <c r="J9723" s="135" t="n">
        <f aca="false">$G9723*'Analyse capacite'!$D$8</f>
        <v>0</v>
      </c>
      <c r="K9723" s="135" t="n">
        <f aca="false">$G9723*'Analyse capacite'!$E$8</f>
        <v>0</v>
      </c>
    </row>
    <row r="9724" customFormat="false" ht="15" hidden="false" customHeight="false" outlineLevel="0" collapsed="false">
      <c r="B9724" s="130" t="n">
        <v>2027</v>
      </c>
      <c r="C9724" s="131" t="s">
        <v>254</v>
      </c>
      <c r="D9724" s="132" t="n">
        <v>46747</v>
      </c>
      <c r="E9724" s="131" t="s">
        <v>62</v>
      </c>
      <c r="F9724" s="133" t="s">
        <v>24</v>
      </c>
      <c r="G9724" s="134" t="n">
        <f aca="false">LEN('Saisie programme'!$J$360)+SUMIFS('Vols additionnels'!$E$7:$E$66,'Vols additionnels'!$C$7:$C$66,$E9724,'Vols additionnels'!$D$7:$D$66,$F9724,'Vols additionnels'!$B$7:$B$66,$D9724)</f>
        <v>1</v>
      </c>
      <c r="H9724" s="135" t="n">
        <f aca="false">$G9724*'Analyse capacite'!$F$9</f>
        <v>174</v>
      </c>
      <c r="I9724" s="135" t="n">
        <f aca="false">$G9724*'Analyse capacite'!$C$9</f>
        <v>0</v>
      </c>
      <c r="J9724" s="135" t="n">
        <f aca="false">$G9724*'Analyse capacite'!$D$9</f>
        <v>12</v>
      </c>
      <c r="K9724" s="135" t="n">
        <f aca="false">$G9724*'Analyse capacite'!$E$9</f>
        <v>162</v>
      </c>
    </row>
    <row r="9725" customFormat="false" ht="15" hidden="false" customHeight="false" outlineLevel="0" collapsed="false">
      <c r="B9725" s="130" t="n">
        <v>2027</v>
      </c>
      <c r="C9725" s="131" t="s">
        <v>254</v>
      </c>
      <c r="D9725" s="132" t="n">
        <v>46748</v>
      </c>
      <c r="E9725" s="131" t="s">
        <v>12</v>
      </c>
      <c r="F9725" s="133" t="s">
        <v>11</v>
      </c>
      <c r="G9725" s="134" t="n">
        <f aca="false">LEN('Saisie programme'!$D$325)+SUMIFS('Vols additionnels'!$E$7:$E$66,'Vols additionnels'!$C$7:$C$66,$E9725,'Vols additionnels'!$D$7:$D$66,$F9725,'Vols additionnels'!$B$7:$B$66,$D9725)</f>
        <v>1</v>
      </c>
      <c r="H9725" s="135" t="n">
        <f aca="false">$G9725*'Analyse capacite'!$F$7</f>
        <v>438</v>
      </c>
      <c r="I9725" s="135" t="n">
        <f aca="false">$G9725*'Analyse capacite'!$C$7</f>
        <v>14</v>
      </c>
      <c r="J9725" s="135" t="n">
        <f aca="false">$G9725*'Analyse capacite'!$D$7</f>
        <v>40</v>
      </c>
      <c r="K9725" s="135" t="n">
        <f aca="false">$G9725*'Analyse capacite'!$E$7</f>
        <v>384</v>
      </c>
    </row>
    <row r="9726" customFormat="false" ht="15" hidden="false" customHeight="false" outlineLevel="0" collapsed="false">
      <c r="B9726" s="130" t="n">
        <v>2027</v>
      </c>
      <c r="C9726" s="131" t="s">
        <v>254</v>
      </c>
      <c r="D9726" s="132" t="n">
        <v>46748</v>
      </c>
      <c r="E9726" s="131" t="s">
        <v>12</v>
      </c>
      <c r="F9726" s="133" t="s">
        <v>19</v>
      </c>
      <c r="G9726" s="134" t="n">
        <f aca="false">LEN('Saisie programme'!$D$326)+SUMIFS('Vols additionnels'!$E$7:$E$66,'Vols additionnels'!$C$7:$C$66,$E9726,'Vols additionnels'!$D$7:$D$66,$F9726,'Vols additionnels'!$B$7:$B$66,$D9726)</f>
        <v>1</v>
      </c>
      <c r="H9726" s="135" t="n">
        <f aca="false">$G9726*'Analyse capacite'!$F$8</f>
        <v>262</v>
      </c>
      <c r="I9726" s="135" t="n">
        <f aca="false">$G9726*'Analyse capacite'!$C$8</f>
        <v>18</v>
      </c>
      <c r="J9726" s="135" t="n">
        <f aca="false">$G9726*'Analyse capacite'!$D$8</f>
        <v>0</v>
      </c>
      <c r="K9726" s="135" t="n">
        <f aca="false">$G9726*'Analyse capacite'!$E$8</f>
        <v>244</v>
      </c>
    </row>
    <row r="9727" customFormat="false" ht="15" hidden="false" customHeight="false" outlineLevel="0" collapsed="false">
      <c r="B9727" s="130" t="n">
        <v>2027</v>
      </c>
      <c r="C9727" s="131" t="s">
        <v>254</v>
      </c>
      <c r="D9727" s="132" t="n">
        <v>46748</v>
      </c>
      <c r="E9727" s="131" t="s">
        <v>12</v>
      </c>
      <c r="F9727" s="133" t="s">
        <v>24</v>
      </c>
      <c r="G9727" s="134" t="n">
        <f aca="false">LEN('Saisie programme'!$D$327)+SUMIFS('Vols additionnels'!$E$7:$E$66,'Vols additionnels'!$C$7:$C$66,$E9727,'Vols additionnels'!$D$7:$D$66,$F9727,'Vols additionnels'!$B$7:$B$66,$D9727)</f>
        <v>2</v>
      </c>
      <c r="H9727" s="135" t="n">
        <f aca="false">$G9727*'Analyse capacite'!$F$9</f>
        <v>348</v>
      </c>
      <c r="I9727" s="135" t="n">
        <f aca="false">$G9727*'Analyse capacite'!$C$9</f>
        <v>0</v>
      </c>
      <c r="J9727" s="135" t="n">
        <f aca="false">$G9727*'Analyse capacite'!$D$9</f>
        <v>24</v>
      </c>
      <c r="K9727" s="135" t="n">
        <f aca="false">$G9727*'Analyse capacite'!$E$9</f>
        <v>324</v>
      </c>
    </row>
    <row r="9728" customFormat="false" ht="15" hidden="false" customHeight="false" outlineLevel="0" collapsed="false">
      <c r="B9728" s="130" t="n">
        <v>2027</v>
      </c>
      <c r="C9728" s="131" t="s">
        <v>254</v>
      </c>
      <c r="D9728" s="132" t="n">
        <v>46748</v>
      </c>
      <c r="E9728" s="131" t="s">
        <v>20</v>
      </c>
      <c r="F9728" s="133" t="s">
        <v>11</v>
      </c>
      <c r="G9728" s="134" t="n">
        <f aca="false">LEN('Saisie programme'!$D$328)+SUMIFS('Vols additionnels'!$E$7:$E$66,'Vols additionnels'!$C$7:$C$66,$E9728,'Vols additionnels'!$D$7:$D$66,$F9728,'Vols additionnels'!$B$7:$B$66,$D9728)</f>
        <v>0</v>
      </c>
      <c r="H9728" s="135" t="n">
        <f aca="false">$G9728*'Analyse capacite'!$F$7</f>
        <v>0</v>
      </c>
      <c r="I9728" s="135" t="n">
        <f aca="false">$G9728*'Analyse capacite'!$C$7</f>
        <v>0</v>
      </c>
      <c r="J9728" s="135" t="n">
        <f aca="false">$G9728*'Analyse capacite'!$D$7</f>
        <v>0</v>
      </c>
      <c r="K9728" s="135" t="n">
        <f aca="false">$G9728*'Analyse capacite'!$E$7</f>
        <v>0</v>
      </c>
    </row>
    <row r="9729" customFormat="false" ht="15" hidden="false" customHeight="false" outlineLevel="0" collapsed="false">
      <c r="B9729" s="130" t="n">
        <v>2027</v>
      </c>
      <c r="C9729" s="131" t="s">
        <v>254</v>
      </c>
      <c r="D9729" s="132" t="n">
        <v>46748</v>
      </c>
      <c r="E9729" s="131" t="s">
        <v>20</v>
      </c>
      <c r="F9729" s="133" t="s">
        <v>19</v>
      </c>
      <c r="G9729" s="134" t="n">
        <f aca="false">LEN('Saisie programme'!$D$329)+SUMIFS('Vols additionnels'!$E$7:$E$66,'Vols additionnels'!$C$7:$C$66,$E9729,'Vols additionnels'!$D$7:$D$66,$F9729,'Vols additionnels'!$B$7:$B$66,$D9729)</f>
        <v>0</v>
      </c>
      <c r="H9729" s="135" t="n">
        <f aca="false">$G9729*'Analyse capacite'!$F$8</f>
        <v>0</v>
      </c>
      <c r="I9729" s="135" t="n">
        <f aca="false">$G9729*'Analyse capacite'!$C$8</f>
        <v>0</v>
      </c>
      <c r="J9729" s="135" t="n">
        <f aca="false">$G9729*'Analyse capacite'!$D$8</f>
        <v>0</v>
      </c>
      <c r="K9729" s="135" t="n">
        <f aca="false">$G9729*'Analyse capacite'!$E$8</f>
        <v>0</v>
      </c>
    </row>
    <row r="9730" customFormat="false" ht="15" hidden="false" customHeight="false" outlineLevel="0" collapsed="false">
      <c r="B9730" s="130" t="n">
        <v>2027</v>
      </c>
      <c r="C9730" s="131" t="s">
        <v>254</v>
      </c>
      <c r="D9730" s="132" t="n">
        <v>46748</v>
      </c>
      <c r="E9730" s="131" t="s">
        <v>20</v>
      </c>
      <c r="F9730" s="133" t="s">
        <v>24</v>
      </c>
      <c r="G9730" s="134" t="n">
        <f aca="false">LEN('Saisie programme'!$D$330)+SUMIFS('Vols additionnels'!$E$7:$E$66,'Vols additionnels'!$C$7:$C$66,$E9730,'Vols additionnels'!$D$7:$D$66,$F9730,'Vols additionnels'!$B$7:$B$66,$D9730)</f>
        <v>0</v>
      </c>
      <c r="H9730" s="135" t="n">
        <f aca="false">$G9730*'Analyse capacite'!$F$9</f>
        <v>0</v>
      </c>
      <c r="I9730" s="135" t="n">
        <f aca="false">$G9730*'Analyse capacite'!$C$9</f>
        <v>0</v>
      </c>
      <c r="J9730" s="135" t="n">
        <f aca="false">$G9730*'Analyse capacite'!$D$9</f>
        <v>0</v>
      </c>
      <c r="K9730" s="135" t="n">
        <f aca="false">$G9730*'Analyse capacite'!$E$9</f>
        <v>0</v>
      </c>
    </row>
    <row r="9731" customFormat="false" ht="15" hidden="false" customHeight="false" outlineLevel="0" collapsed="false">
      <c r="B9731" s="130" t="n">
        <v>2027</v>
      </c>
      <c r="C9731" s="131" t="s">
        <v>254</v>
      </c>
      <c r="D9731" s="132" t="n">
        <v>46748</v>
      </c>
      <c r="E9731" s="131" t="s">
        <v>25</v>
      </c>
      <c r="F9731" s="133" t="s">
        <v>11</v>
      </c>
      <c r="G9731" s="134" t="n">
        <f aca="false">LEN('Saisie programme'!$D$331)+SUMIFS('Vols additionnels'!$E$7:$E$66,'Vols additionnels'!$C$7:$C$66,$E9731,'Vols additionnels'!$D$7:$D$66,$F9731,'Vols additionnels'!$B$7:$B$66,$D9731)</f>
        <v>0</v>
      </c>
      <c r="H9731" s="135" t="n">
        <f aca="false">$G9731*'Analyse capacite'!$F$7</f>
        <v>0</v>
      </c>
      <c r="I9731" s="135" t="n">
        <f aca="false">$G9731*'Analyse capacite'!$C$7</f>
        <v>0</v>
      </c>
      <c r="J9731" s="135" t="n">
        <f aca="false">$G9731*'Analyse capacite'!$D$7</f>
        <v>0</v>
      </c>
      <c r="K9731" s="135" t="n">
        <f aca="false">$G9731*'Analyse capacite'!$E$7</f>
        <v>0</v>
      </c>
    </row>
    <row r="9732" customFormat="false" ht="15" hidden="false" customHeight="false" outlineLevel="0" collapsed="false">
      <c r="B9732" s="130" t="n">
        <v>2027</v>
      </c>
      <c r="C9732" s="131" t="s">
        <v>254</v>
      </c>
      <c r="D9732" s="132" t="n">
        <v>46748</v>
      </c>
      <c r="E9732" s="131" t="s">
        <v>25</v>
      </c>
      <c r="F9732" s="133" t="s">
        <v>19</v>
      </c>
      <c r="G9732" s="134" t="n">
        <f aca="false">LEN('Saisie programme'!$D$332)+SUMIFS('Vols additionnels'!$E$7:$E$66,'Vols additionnels'!$C$7:$C$66,$E9732,'Vols additionnels'!$D$7:$D$66,$F9732,'Vols additionnels'!$B$7:$B$66,$D9732)</f>
        <v>0</v>
      </c>
      <c r="H9732" s="135" t="n">
        <f aca="false">$G9732*'Analyse capacite'!$F$8</f>
        <v>0</v>
      </c>
      <c r="I9732" s="135" t="n">
        <f aca="false">$G9732*'Analyse capacite'!$C$8</f>
        <v>0</v>
      </c>
      <c r="J9732" s="135" t="n">
        <f aca="false">$G9732*'Analyse capacite'!$D$8</f>
        <v>0</v>
      </c>
      <c r="K9732" s="135" t="n">
        <f aca="false">$G9732*'Analyse capacite'!$E$8</f>
        <v>0</v>
      </c>
    </row>
    <row r="9733" customFormat="false" ht="15" hidden="false" customHeight="false" outlineLevel="0" collapsed="false">
      <c r="B9733" s="130" t="n">
        <v>2027</v>
      </c>
      <c r="C9733" s="131" t="s">
        <v>254</v>
      </c>
      <c r="D9733" s="132" t="n">
        <v>46748</v>
      </c>
      <c r="E9733" s="131" t="s">
        <v>25</v>
      </c>
      <c r="F9733" s="133" t="s">
        <v>24</v>
      </c>
      <c r="G9733" s="134" t="n">
        <f aca="false">LEN('Saisie programme'!$D$333)+SUMIFS('Vols additionnels'!$E$7:$E$66,'Vols additionnels'!$C$7:$C$66,$E9733,'Vols additionnels'!$D$7:$D$66,$F9733,'Vols additionnels'!$B$7:$B$66,$D9733)</f>
        <v>0</v>
      </c>
      <c r="H9733" s="135" t="n">
        <f aca="false">$G9733*'Analyse capacite'!$F$9</f>
        <v>0</v>
      </c>
      <c r="I9733" s="135" t="n">
        <f aca="false">$G9733*'Analyse capacite'!$C$9</f>
        <v>0</v>
      </c>
      <c r="J9733" s="135" t="n">
        <f aca="false">$G9733*'Analyse capacite'!$D$9</f>
        <v>0</v>
      </c>
      <c r="K9733" s="135" t="n">
        <f aca="false">$G9733*'Analyse capacite'!$E$9</f>
        <v>0</v>
      </c>
    </row>
    <row r="9734" customFormat="false" ht="15" hidden="false" customHeight="false" outlineLevel="0" collapsed="false">
      <c r="B9734" s="130" t="n">
        <v>2027</v>
      </c>
      <c r="C9734" s="131" t="s">
        <v>254</v>
      </c>
      <c r="D9734" s="132" t="n">
        <v>46748</v>
      </c>
      <c r="E9734" s="131" t="s">
        <v>36</v>
      </c>
      <c r="F9734" s="133" t="s">
        <v>11</v>
      </c>
      <c r="G9734" s="134" t="n">
        <f aca="false">LEN('Saisie programme'!$D$334)+SUMIFS('Vols additionnels'!$E$7:$E$66,'Vols additionnels'!$C$7:$C$66,$E9734,'Vols additionnels'!$D$7:$D$66,$F9734,'Vols additionnels'!$B$7:$B$66,$D9734)</f>
        <v>0</v>
      </c>
      <c r="H9734" s="135" t="n">
        <f aca="false">$G9734*'Analyse capacite'!$F$7</f>
        <v>0</v>
      </c>
      <c r="I9734" s="135" t="n">
        <f aca="false">$G9734*'Analyse capacite'!$C$7</f>
        <v>0</v>
      </c>
      <c r="J9734" s="135" t="n">
        <f aca="false">$G9734*'Analyse capacite'!$D$7</f>
        <v>0</v>
      </c>
      <c r="K9734" s="135" t="n">
        <f aca="false">$G9734*'Analyse capacite'!$E$7</f>
        <v>0</v>
      </c>
    </row>
    <row r="9735" customFormat="false" ht="15" hidden="false" customHeight="false" outlineLevel="0" collapsed="false">
      <c r="B9735" s="130" t="n">
        <v>2027</v>
      </c>
      <c r="C9735" s="131" t="s">
        <v>254</v>
      </c>
      <c r="D9735" s="132" t="n">
        <v>46748</v>
      </c>
      <c r="E9735" s="131" t="s">
        <v>36</v>
      </c>
      <c r="F9735" s="133" t="s">
        <v>19</v>
      </c>
      <c r="G9735" s="134" t="n">
        <f aca="false">LEN('Saisie programme'!$D$335)+SUMIFS('Vols additionnels'!$E$7:$E$66,'Vols additionnels'!$C$7:$C$66,$E9735,'Vols additionnels'!$D$7:$D$66,$F9735,'Vols additionnels'!$B$7:$B$66,$D9735)</f>
        <v>0</v>
      </c>
      <c r="H9735" s="135" t="n">
        <f aca="false">$G9735*'Analyse capacite'!$F$8</f>
        <v>0</v>
      </c>
      <c r="I9735" s="135" t="n">
        <f aca="false">$G9735*'Analyse capacite'!$C$8</f>
        <v>0</v>
      </c>
      <c r="J9735" s="135" t="n">
        <f aca="false">$G9735*'Analyse capacite'!$D$8</f>
        <v>0</v>
      </c>
      <c r="K9735" s="135" t="n">
        <f aca="false">$G9735*'Analyse capacite'!$E$8</f>
        <v>0</v>
      </c>
    </row>
    <row r="9736" customFormat="false" ht="15" hidden="false" customHeight="false" outlineLevel="0" collapsed="false">
      <c r="B9736" s="130" t="n">
        <v>2027</v>
      </c>
      <c r="C9736" s="131" t="s">
        <v>254</v>
      </c>
      <c r="D9736" s="132" t="n">
        <v>46748</v>
      </c>
      <c r="E9736" s="131" t="s">
        <v>36</v>
      </c>
      <c r="F9736" s="133" t="s">
        <v>24</v>
      </c>
      <c r="G9736" s="134" t="n">
        <f aca="false">LEN('Saisie programme'!$D$336)+SUMIFS('Vols additionnels'!$E$7:$E$66,'Vols additionnels'!$C$7:$C$66,$E9736,'Vols additionnels'!$D$7:$D$66,$F9736,'Vols additionnels'!$B$7:$B$66,$D9736)</f>
        <v>1</v>
      </c>
      <c r="H9736" s="135" t="n">
        <f aca="false">$G9736*'Analyse capacite'!$F$9</f>
        <v>174</v>
      </c>
      <c r="I9736" s="135" t="n">
        <f aca="false">$G9736*'Analyse capacite'!$C$9</f>
        <v>0</v>
      </c>
      <c r="J9736" s="135" t="n">
        <f aca="false">$G9736*'Analyse capacite'!$D$9</f>
        <v>12</v>
      </c>
      <c r="K9736" s="135" t="n">
        <f aca="false">$G9736*'Analyse capacite'!$E$9</f>
        <v>162</v>
      </c>
    </row>
    <row r="9737" customFormat="false" ht="15" hidden="false" customHeight="false" outlineLevel="0" collapsed="false">
      <c r="B9737" s="130" t="n">
        <v>2027</v>
      </c>
      <c r="C9737" s="131" t="s">
        <v>254</v>
      </c>
      <c r="D9737" s="132" t="n">
        <v>46748</v>
      </c>
      <c r="E9737" s="131" t="s">
        <v>40</v>
      </c>
      <c r="F9737" s="133" t="s">
        <v>11</v>
      </c>
      <c r="G9737" s="134" t="n">
        <f aca="false">LEN('Saisie programme'!$D$337)+SUMIFS('Vols additionnels'!$E$7:$E$66,'Vols additionnels'!$C$7:$C$66,$E9737,'Vols additionnels'!$D$7:$D$66,$F9737,'Vols additionnels'!$B$7:$B$66,$D9737)</f>
        <v>0</v>
      </c>
      <c r="H9737" s="135" t="n">
        <f aca="false">$G9737*'Analyse capacite'!$F$7</f>
        <v>0</v>
      </c>
      <c r="I9737" s="135" t="n">
        <f aca="false">$G9737*'Analyse capacite'!$C$7</f>
        <v>0</v>
      </c>
      <c r="J9737" s="135" t="n">
        <f aca="false">$G9737*'Analyse capacite'!$D$7</f>
        <v>0</v>
      </c>
      <c r="K9737" s="135" t="n">
        <f aca="false">$G9737*'Analyse capacite'!$E$7</f>
        <v>0</v>
      </c>
    </row>
    <row r="9738" customFormat="false" ht="15" hidden="false" customHeight="false" outlineLevel="0" collapsed="false">
      <c r="B9738" s="130" t="n">
        <v>2027</v>
      </c>
      <c r="C9738" s="131" t="s">
        <v>254</v>
      </c>
      <c r="D9738" s="132" t="n">
        <v>46748</v>
      </c>
      <c r="E9738" s="131" t="s">
        <v>40</v>
      </c>
      <c r="F9738" s="133" t="s">
        <v>19</v>
      </c>
      <c r="G9738" s="134" t="n">
        <f aca="false">LEN('Saisie programme'!$D$338)+SUMIFS('Vols additionnels'!$E$7:$E$66,'Vols additionnels'!$C$7:$C$66,$E9738,'Vols additionnels'!$D$7:$D$66,$F9738,'Vols additionnels'!$B$7:$B$66,$D9738)</f>
        <v>0</v>
      </c>
      <c r="H9738" s="135" t="n">
        <f aca="false">$G9738*'Analyse capacite'!$F$8</f>
        <v>0</v>
      </c>
      <c r="I9738" s="135" t="n">
        <f aca="false">$G9738*'Analyse capacite'!$C$8</f>
        <v>0</v>
      </c>
      <c r="J9738" s="135" t="n">
        <f aca="false">$G9738*'Analyse capacite'!$D$8</f>
        <v>0</v>
      </c>
      <c r="K9738" s="135" t="n">
        <f aca="false">$G9738*'Analyse capacite'!$E$8</f>
        <v>0</v>
      </c>
    </row>
    <row r="9739" customFormat="false" ht="15" hidden="false" customHeight="false" outlineLevel="0" collapsed="false">
      <c r="B9739" s="130" t="n">
        <v>2027</v>
      </c>
      <c r="C9739" s="131" t="s">
        <v>254</v>
      </c>
      <c r="D9739" s="132" t="n">
        <v>46748</v>
      </c>
      <c r="E9739" s="131" t="s">
        <v>40</v>
      </c>
      <c r="F9739" s="133" t="s">
        <v>24</v>
      </c>
      <c r="G9739" s="134" t="n">
        <f aca="false">LEN('Saisie programme'!$D$339)+SUMIFS('Vols additionnels'!$E$7:$E$66,'Vols additionnels'!$C$7:$C$66,$E9739,'Vols additionnels'!$D$7:$D$66,$F9739,'Vols additionnels'!$B$7:$B$66,$D9739)</f>
        <v>1</v>
      </c>
      <c r="H9739" s="135" t="n">
        <f aca="false">$G9739*'Analyse capacite'!$F$9</f>
        <v>174</v>
      </c>
      <c r="I9739" s="135" t="n">
        <f aca="false">$G9739*'Analyse capacite'!$C$9</f>
        <v>0</v>
      </c>
      <c r="J9739" s="135" t="n">
        <f aca="false">$G9739*'Analyse capacite'!$D$9</f>
        <v>12</v>
      </c>
      <c r="K9739" s="135" t="n">
        <f aca="false">$G9739*'Analyse capacite'!$E$9</f>
        <v>162</v>
      </c>
    </row>
    <row r="9740" customFormat="false" ht="15" hidden="false" customHeight="false" outlineLevel="0" collapsed="false">
      <c r="B9740" s="130" t="n">
        <v>2027</v>
      </c>
      <c r="C9740" s="131" t="s">
        <v>254</v>
      </c>
      <c r="D9740" s="132" t="n">
        <v>46748</v>
      </c>
      <c r="E9740" s="131" t="s">
        <v>14</v>
      </c>
      <c r="F9740" s="133" t="s">
        <v>11</v>
      </c>
      <c r="G9740" s="134" t="n">
        <f aca="false">LEN('Saisie programme'!$D$340)+SUMIFS('Vols additionnels'!$E$7:$E$66,'Vols additionnels'!$C$7:$C$66,$E9740,'Vols additionnels'!$D$7:$D$66,$F9740,'Vols additionnels'!$B$7:$B$66,$D9740)</f>
        <v>0</v>
      </c>
      <c r="H9740" s="135" t="n">
        <f aca="false">$G9740*'Analyse capacite'!$F$7</f>
        <v>0</v>
      </c>
      <c r="I9740" s="135" t="n">
        <f aca="false">$G9740*'Analyse capacite'!$C$7</f>
        <v>0</v>
      </c>
      <c r="J9740" s="135" t="n">
        <f aca="false">$G9740*'Analyse capacite'!$D$7</f>
        <v>0</v>
      </c>
      <c r="K9740" s="135" t="n">
        <f aca="false">$G9740*'Analyse capacite'!$E$7</f>
        <v>0</v>
      </c>
    </row>
    <row r="9741" customFormat="false" ht="15" hidden="false" customHeight="false" outlineLevel="0" collapsed="false">
      <c r="B9741" s="130" t="n">
        <v>2027</v>
      </c>
      <c r="C9741" s="131" t="s">
        <v>254</v>
      </c>
      <c r="D9741" s="132" t="n">
        <v>46748</v>
      </c>
      <c r="E9741" s="131" t="s">
        <v>14</v>
      </c>
      <c r="F9741" s="133" t="s">
        <v>19</v>
      </c>
      <c r="G9741" s="134" t="n">
        <f aca="false">LEN('Saisie programme'!$D$341)+SUMIFS('Vols additionnels'!$E$7:$E$66,'Vols additionnels'!$C$7:$C$66,$E9741,'Vols additionnels'!$D$7:$D$66,$F9741,'Vols additionnels'!$B$7:$B$66,$D9741)</f>
        <v>0</v>
      </c>
      <c r="H9741" s="135" t="n">
        <f aca="false">$G9741*'Analyse capacite'!$F$8</f>
        <v>0</v>
      </c>
      <c r="I9741" s="135" t="n">
        <f aca="false">$G9741*'Analyse capacite'!$C$8</f>
        <v>0</v>
      </c>
      <c r="J9741" s="135" t="n">
        <f aca="false">$G9741*'Analyse capacite'!$D$8</f>
        <v>0</v>
      </c>
      <c r="K9741" s="135" t="n">
        <f aca="false">$G9741*'Analyse capacite'!$E$8</f>
        <v>0</v>
      </c>
    </row>
    <row r="9742" customFormat="false" ht="15" hidden="false" customHeight="false" outlineLevel="0" collapsed="false">
      <c r="B9742" s="130" t="n">
        <v>2027</v>
      </c>
      <c r="C9742" s="131" t="s">
        <v>254</v>
      </c>
      <c r="D9742" s="132" t="n">
        <v>46748</v>
      </c>
      <c r="E9742" s="131" t="s">
        <v>14</v>
      </c>
      <c r="F9742" s="133" t="s">
        <v>24</v>
      </c>
      <c r="G9742" s="134" t="n">
        <f aca="false">LEN('Saisie programme'!$D$342)+SUMIFS('Vols additionnels'!$E$7:$E$66,'Vols additionnels'!$C$7:$C$66,$E9742,'Vols additionnels'!$D$7:$D$66,$F9742,'Vols additionnels'!$B$7:$B$66,$D9742)</f>
        <v>1</v>
      </c>
      <c r="H9742" s="135" t="n">
        <f aca="false">$G9742*'Analyse capacite'!$F$9</f>
        <v>174</v>
      </c>
      <c r="I9742" s="135" t="n">
        <f aca="false">$G9742*'Analyse capacite'!$C$9</f>
        <v>0</v>
      </c>
      <c r="J9742" s="135" t="n">
        <f aca="false">$G9742*'Analyse capacite'!$D$9</f>
        <v>12</v>
      </c>
      <c r="K9742" s="135" t="n">
        <f aca="false">$G9742*'Analyse capacite'!$E$9</f>
        <v>162</v>
      </c>
    </row>
    <row r="9743" customFormat="false" ht="15" hidden="false" customHeight="false" outlineLevel="0" collapsed="false">
      <c r="B9743" s="130" t="n">
        <v>2027</v>
      </c>
      <c r="C9743" s="131" t="s">
        <v>254</v>
      </c>
      <c r="D9743" s="132" t="n">
        <v>46748</v>
      </c>
      <c r="E9743" s="131" t="s">
        <v>46</v>
      </c>
      <c r="F9743" s="133" t="s">
        <v>11</v>
      </c>
      <c r="G9743" s="134" t="n">
        <f aca="false">LEN('Saisie programme'!$D$343)+SUMIFS('Vols additionnels'!$E$7:$E$66,'Vols additionnels'!$C$7:$C$66,$E9743,'Vols additionnels'!$D$7:$D$66,$F9743,'Vols additionnels'!$B$7:$B$66,$D9743)</f>
        <v>0</v>
      </c>
      <c r="H9743" s="135" t="n">
        <f aca="false">$G9743*'Analyse capacite'!$F$7</f>
        <v>0</v>
      </c>
      <c r="I9743" s="135" t="n">
        <f aca="false">$G9743*'Analyse capacite'!$C$7</f>
        <v>0</v>
      </c>
      <c r="J9743" s="135" t="n">
        <f aca="false">$G9743*'Analyse capacite'!$D$7</f>
        <v>0</v>
      </c>
      <c r="K9743" s="135" t="n">
        <f aca="false">$G9743*'Analyse capacite'!$E$7</f>
        <v>0</v>
      </c>
    </row>
    <row r="9744" customFormat="false" ht="15" hidden="false" customHeight="false" outlineLevel="0" collapsed="false">
      <c r="B9744" s="130" t="n">
        <v>2027</v>
      </c>
      <c r="C9744" s="131" t="s">
        <v>254</v>
      </c>
      <c r="D9744" s="132" t="n">
        <v>46748</v>
      </c>
      <c r="E9744" s="131" t="s">
        <v>46</v>
      </c>
      <c r="F9744" s="133" t="s">
        <v>19</v>
      </c>
      <c r="G9744" s="134" t="n">
        <f aca="false">LEN('Saisie programme'!$D$344)+SUMIFS('Vols additionnels'!$E$7:$E$66,'Vols additionnels'!$C$7:$C$66,$E9744,'Vols additionnels'!$D$7:$D$66,$F9744,'Vols additionnels'!$B$7:$B$66,$D9744)</f>
        <v>0</v>
      </c>
      <c r="H9744" s="135" t="n">
        <f aca="false">$G9744*'Analyse capacite'!$F$8</f>
        <v>0</v>
      </c>
      <c r="I9744" s="135" t="n">
        <f aca="false">$G9744*'Analyse capacite'!$C$8</f>
        <v>0</v>
      </c>
      <c r="J9744" s="135" t="n">
        <f aca="false">$G9744*'Analyse capacite'!$D$8</f>
        <v>0</v>
      </c>
      <c r="K9744" s="135" t="n">
        <f aca="false">$G9744*'Analyse capacite'!$E$8</f>
        <v>0</v>
      </c>
    </row>
    <row r="9745" customFormat="false" ht="15" hidden="false" customHeight="false" outlineLevel="0" collapsed="false">
      <c r="B9745" s="130" t="n">
        <v>2027</v>
      </c>
      <c r="C9745" s="131" t="s">
        <v>254</v>
      </c>
      <c r="D9745" s="132" t="n">
        <v>46748</v>
      </c>
      <c r="E9745" s="131" t="s">
        <v>46</v>
      </c>
      <c r="F9745" s="133" t="s">
        <v>24</v>
      </c>
      <c r="G9745" s="134" t="n">
        <f aca="false">LEN('Saisie programme'!$D$345)+SUMIFS('Vols additionnels'!$E$7:$E$66,'Vols additionnels'!$C$7:$C$66,$E9745,'Vols additionnels'!$D$7:$D$66,$F9745,'Vols additionnels'!$B$7:$B$66,$D9745)</f>
        <v>0</v>
      </c>
      <c r="H9745" s="135" t="n">
        <f aca="false">$G9745*'Analyse capacite'!$F$9</f>
        <v>0</v>
      </c>
      <c r="I9745" s="135" t="n">
        <f aca="false">$G9745*'Analyse capacite'!$C$9</f>
        <v>0</v>
      </c>
      <c r="J9745" s="135" t="n">
        <f aca="false">$G9745*'Analyse capacite'!$D$9</f>
        <v>0</v>
      </c>
      <c r="K9745" s="135" t="n">
        <f aca="false">$G9745*'Analyse capacite'!$E$9</f>
        <v>0</v>
      </c>
    </row>
    <row r="9746" customFormat="false" ht="15" hidden="false" customHeight="false" outlineLevel="0" collapsed="false">
      <c r="B9746" s="130" t="n">
        <v>2027</v>
      </c>
      <c r="C9746" s="131" t="s">
        <v>254</v>
      </c>
      <c r="D9746" s="132" t="n">
        <v>46748</v>
      </c>
      <c r="E9746" s="131" t="s">
        <v>49</v>
      </c>
      <c r="F9746" s="133" t="s">
        <v>11</v>
      </c>
      <c r="G9746" s="134" t="n">
        <f aca="false">LEN('Saisie programme'!$D$346)+SUMIFS('Vols additionnels'!$E$7:$E$66,'Vols additionnels'!$C$7:$C$66,$E9746,'Vols additionnels'!$D$7:$D$66,$F9746,'Vols additionnels'!$B$7:$B$66,$D9746)</f>
        <v>0</v>
      </c>
      <c r="H9746" s="135" t="n">
        <f aca="false">$G9746*'Analyse capacite'!$F$7</f>
        <v>0</v>
      </c>
      <c r="I9746" s="135" t="n">
        <f aca="false">$G9746*'Analyse capacite'!$C$7</f>
        <v>0</v>
      </c>
      <c r="J9746" s="135" t="n">
        <f aca="false">$G9746*'Analyse capacite'!$D$7</f>
        <v>0</v>
      </c>
      <c r="K9746" s="135" t="n">
        <f aca="false">$G9746*'Analyse capacite'!$E$7</f>
        <v>0</v>
      </c>
    </row>
    <row r="9747" customFormat="false" ht="15" hidden="false" customHeight="false" outlineLevel="0" collapsed="false">
      <c r="B9747" s="130" t="n">
        <v>2027</v>
      </c>
      <c r="C9747" s="131" t="s">
        <v>254</v>
      </c>
      <c r="D9747" s="132" t="n">
        <v>46748</v>
      </c>
      <c r="E9747" s="131" t="s">
        <v>49</v>
      </c>
      <c r="F9747" s="133" t="s">
        <v>19</v>
      </c>
      <c r="G9747" s="134" t="n">
        <f aca="false">LEN('Saisie programme'!$D$347)+SUMIFS('Vols additionnels'!$E$7:$E$66,'Vols additionnels'!$C$7:$C$66,$E9747,'Vols additionnels'!$D$7:$D$66,$F9747,'Vols additionnels'!$B$7:$B$66,$D9747)</f>
        <v>1</v>
      </c>
      <c r="H9747" s="135" t="n">
        <f aca="false">$G9747*'Analyse capacite'!$F$8</f>
        <v>262</v>
      </c>
      <c r="I9747" s="135" t="n">
        <f aca="false">$G9747*'Analyse capacite'!$C$8</f>
        <v>18</v>
      </c>
      <c r="J9747" s="135" t="n">
        <f aca="false">$G9747*'Analyse capacite'!$D$8</f>
        <v>0</v>
      </c>
      <c r="K9747" s="135" t="n">
        <f aca="false">$G9747*'Analyse capacite'!$E$8</f>
        <v>244</v>
      </c>
    </row>
    <row r="9748" customFormat="false" ht="15" hidden="false" customHeight="false" outlineLevel="0" collapsed="false">
      <c r="B9748" s="130" t="n">
        <v>2027</v>
      </c>
      <c r="C9748" s="131" t="s">
        <v>254</v>
      </c>
      <c r="D9748" s="132" t="n">
        <v>46748</v>
      </c>
      <c r="E9748" s="131" t="s">
        <v>49</v>
      </c>
      <c r="F9748" s="133" t="s">
        <v>24</v>
      </c>
      <c r="G9748" s="134" t="n">
        <f aca="false">LEN('Saisie programme'!$D$348)+SUMIFS('Vols additionnels'!$E$7:$E$66,'Vols additionnels'!$C$7:$C$66,$E9748,'Vols additionnels'!$D$7:$D$66,$F9748,'Vols additionnels'!$B$7:$B$66,$D9748)</f>
        <v>0</v>
      </c>
      <c r="H9748" s="135" t="n">
        <f aca="false">$G9748*'Analyse capacite'!$F$9</f>
        <v>0</v>
      </c>
      <c r="I9748" s="135" t="n">
        <f aca="false">$G9748*'Analyse capacite'!$C$9</f>
        <v>0</v>
      </c>
      <c r="J9748" s="135" t="n">
        <f aca="false">$G9748*'Analyse capacite'!$D$9</f>
        <v>0</v>
      </c>
      <c r="K9748" s="135" t="n">
        <f aca="false">$G9748*'Analyse capacite'!$E$9</f>
        <v>0</v>
      </c>
    </row>
    <row r="9749" customFormat="false" ht="15" hidden="false" customHeight="false" outlineLevel="0" collapsed="false">
      <c r="B9749" s="130" t="n">
        <v>2027</v>
      </c>
      <c r="C9749" s="131" t="s">
        <v>254</v>
      </c>
      <c r="D9749" s="132" t="n">
        <v>46748</v>
      </c>
      <c r="E9749" s="131" t="s">
        <v>53</v>
      </c>
      <c r="F9749" s="133" t="s">
        <v>11</v>
      </c>
      <c r="G9749" s="134" t="n">
        <f aca="false">LEN('Saisie programme'!$D$349)+SUMIFS('Vols additionnels'!$E$7:$E$66,'Vols additionnels'!$C$7:$C$66,$E9749,'Vols additionnels'!$D$7:$D$66,$F9749,'Vols additionnels'!$B$7:$B$66,$D9749)</f>
        <v>0</v>
      </c>
      <c r="H9749" s="135" t="n">
        <f aca="false">$G9749*'Analyse capacite'!$F$7</f>
        <v>0</v>
      </c>
      <c r="I9749" s="135" t="n">
        <f aca="false">$G9749*'Analyse capacite'!$C$7</f>
        <v>0</v>
      </c>
      <c r="J9749" s="135" t="n">
        <f aca="false">$G9749*'Analyse capacite'!$D$7</f>
        <v>0</v>
      </c>
      <c r="K9749" s="135" t="n">
        <f aca="false">$G9749*'Analyse capacite'!$E$7</f>
        <v>0</v>
      </c>
    </row>
    <row r="9750" customFormat="false" ht="15" hidden="false" customHeight="false" outlineLevel="0" collapsed="false">
      <c r="B9750" s="130" t="n">
        <v>2027</v>
      </c>
      <c r="C9750" s="131" t="s">
        <v>254</v>
      </c>
      <c r="D9750" s="132" t="n">
        <v>46748</v>
      </c>
      <c r="E9750" s="131" t="s">
        <v>53</v>
      </c>
      <c r="F9750" s="133" t="s">
        <v>19</v>
      </c>
      <c r="G9750" s="134" t="n">
        <f aca="false">LEN('Saisie programme'!$D$350)+SUMIFS('Vols additionnels'!$E$7:$E$66,'Vols additionnels'!$C$7:$C$66,$E9750,'Vols additionnels'!$D$7:$D$66,$F9750,'Vols additionnels'!$B$7:$B$66,$D9750)</f>
        <v>0</v>
      </c>
      <c r="H9750" s="135" t="n">
        <f aca="false">$G9750*'Analyse capacite'!$F$8</f>
        <v>0</v>
      </c>
      <c r="I9750" s="135" t="n">
        <f aca="false">$G9750*'Analyse capacite'!$C$8</f>
        <v>0</v>
      </c>
      <c r="J9750" s="135" t="n">
        <f aca="false">$G9750*'Analyse capacite'!$D$8</f>
        <v>0</v>
      </c>
      <c r="K9750" s="135" t="n">
        <f aca="false">$G9750*'Analyse capacite'!$E$8</f>
        <v>0</v>
      </c>
    </row>
    <row r="9751" customFormat="false" ht="15" hidden="false" customHeight="false" outlineLevel="0" collapsed="false">
      <c r="B9751" s="130" t="n">
        <v>2027</v>
      </c>
      <c r="C9751" s="131" t="s">
        <v>254</v>
      </c>
      <c r="D9751" s="132" t="n">
        <v>46748</v>
      </c>
      <c r="E9751" s="131" t="s">
        <v>53</v>
      </c>
      <c r="F9751" s="133" t="s">
        <v>24</v>
      </c>
      <c r="G9751" s="134" t="n">
        <f aca="false">LEN('Saisie programme'!$D$351)+SUMIFS('Vols additionnels'!$E$7:$E$66,'Vols additionnels'!$C$7:$C$66,$E9751,'Vols additionnels'!$D$7:$D$66,$F9751,'Vols additionnels'!$B$7:$B$66,$D9751)</f>
        <v>0</v>
      </c>
      <c r="H9751" s="135" t="n">
        <f aca="false">$G9751*'Analyse capacite'!$F$9</f>
        <v>0</v>
      </c>
      <c r="I9751" s="135" t="n">
        <f aca="false">$G9751*'Analyse capacite'!$C$9</f>
        <v>0</v>
      </c>
      <c r="J9751" s="135" t="n">
        <f aca="false">$G9751*'Analyse capacite'!$D$9</f>
        <v>0</v>
      </c>
      <c r="K9751" s="135" t="n">
        <f aca="false">$G9751*'Analyse capacite'!$E$9</f>
        <v>0</v>
      </c>
    </row>
    <row r="9752" customFormat="false" ht="15" hidden="false" customHeight="false" outlineLevel="0" collapsed="false">
      <c r="B9752" s="130" t="n">
        <v>2027</v>
      </c>
      <c r="C9752" s="131" t="s">
        <v>254</v>
      </c>
      <c r="D9752" s="132" t="n">
        <v>46748</v>
      </c>
      <c r="E9752" s="131" t="s">
        <v>56</v>
      </c>
      <c r="F9752" s="133" t="s">
        <v>11</v>
      </c>
      <c r="G9752" s="134" t="n">
        <f aca="false">LEN('Saisie programme'!$D$352)+SUMIFS('Vols additionnels'!$E$7:$E$66,'Vols additionnels'!$C$7:$C$66,$E9752,'Vols additionnels'!$D$7:$D$66,$F9752,'Vols additionnels'!$B$7:$B$66,$D9752)</f>
        <v>0</v>
      </c>
      <c r="H9752" s="135" t="n">
        <f aca="false">$G9752*'Analyse capacite'!$F$7</f>
        <v>0</v>
      </c>
      <c r="I9752" s="135" t="n">
        <f aca="false">$G9752*'Analyse capacite'!$C$7</f>
        <v>0</v>
      </c>
      <c r="J9752" s="135" t="n">
        <f aca="false">$G9752*'Analyse capacite'!$D$7</f>
        <v>0</v>
      </c>
      <c r="K9752" s="135" t="n">
        <f aca="false">$G9752*'Analyse capacite'!$E$7</f>
        <v>0</v>
      </c>
    </row>
    <row r="9753" customFormat="false" ht="15" hidden="false" customHeight="false" outlineLevel="0" collapsed="false">
      <c r="B9753" s="130" t="n">
        <v>2027</v>
      </c>
      <c r="C9753" s="131" t="s">
        <v>254</v>
      </c>
      <c r="D9753" s="132" t="n">
        <v>46748</v>
      </c>
      <c r="E9753" s="131" t="s">
        <v>56</v>
      </c>
      <c r="F9753" s="133" t="s">
        <v>19</v>
      </c>
      <c r="G9753" s="134" t="n">
        <f aca="false">LEN('Saisie programme'!$D$353)+SUMIFS('Vols additionnels'!$E$7:$E$66,'Vols additionnels'!$C$7:$C$66,$E9753,'Vols additionnels'!$D$7:$D$66,$F9753,'Vols additionnels'!$B$7:$B$66,$D9753)</f>
        <v>0</v>
      </c>
      <c r="H9753" s="135" t="n">
        <f aca="false">$G9753*'Analyse capacite'!$F$8</f>
        <v>0</v>
      </c>
      <c r="I9753" s="135" t="n">
        <f aca="false">$G9753*'Analyse capacite'!$C$8</f>
        <v>0</v>
      </c>
      <c r="J9753" s="135" t="n">
        <f aca="false">$G9753*'Analyse capacite'!$D$8</f>
        <v>0</v>
      </c>
      <c r="K9753" s="135" t="n">
        <f aca="false">$G9753*'Analyse capacite'!$E$8</f>
        <v>0</v>
      </c>
    </row>
    <row r="9754" customFormat="false" ht="15" hidden="false" customHeight="false" outlineLevel="0" collapsed="false">
      <c r="B9754" s="130" t="n">
        <v>2027</v>
      </c>
      <c r="C9754" s="131" t="s">
        <v>254</v>
      </c>
      <c r="D9754" s="132" t="n">
        <v>46748</v>
      </c>
      <c r="E9754" s="131" t="s">
        <v>56</v>
      </c>
      <c r="F9754" s="133" t="s">
        <v>24</v>
      </c>
      <c r="G9754" s="134" t="n">
        <f aca="false">LEN('Saisie programme'!$D$354)+SUMIFS('Vols additionnels'!$E$7:$E$66,'Vols additionnels'!$C$7:$C$66,$E9754,'Vols additionnels'!$D$7:$D$66,$F9754,'Vols additionnels'!$B$7:$B$66,$D9754)</f>
        <v>0</v>
      </c>
      <c r="H9754" s="135" t="n">
        <f aca="false">$G9754*'Analyse capacite'!$F$9</f>
        <v>0</v>
      </c>
      <c r="I9754" s="135" t="n">
        <f aca="false">$G9754*'Analyse capacite'!$C$9</f>
        <v>0</v>
      </c>
      <c r="J9754" s="135" t="n">
        <f aca="false">$G9754*'Analyse capacite'!$D$9</f>
        <v>0</v>
      </c>
      <c r="K9754" s="135" t="n">
        <f aca="false">$G9754*'Analyse capacite'!$E$9</f>
        <v>0</v>
      </c>
    </row>
    <row r="9755" customFormat="false" ht="15" hidden="false" customHeight="false" outlineLevel="0" collapsed="false">
      <c r="B9755" s="130" t="n">
        <v>2027</v>
      </c>
      <c r="C9755" s="131" t="s">
        <v>254</v>
      </c>
      <c r="D9755" s="132" t="n">
        <v>46748</v>
      </c>
      <c r="E9755" s="131" t="s">
        <v>59</v>
      </c>
      <c r="F9755" s="133" t="s">
        <v>11</v>
      </c>
      <c r="G9755" s="134" t="n">
        <f aca="false">LEN('Saisie programme'!$D$355)+SUMIFS('Vols additionnels'!$E$7:$E$66,'Vols additionnels'!$C$7:$C$66,$E9755,'Vols additionnels'!$D$7:$D$66,$F9755,'Vols additionnels'!$B$7:$B$66,$D9755)</f>
        <v>0</v>
      </c>
      <c r="H9755" s="135" t="n">
        <f aca="false">$G9755*'Analyse capacite'!$F$7</f>
        <v>0</v>
      </c>
      <c r="I9755" s="135" t="n">
        <f aca="false">$G9755*'Analyse capacite'!$C$7</f>
        <v>0</v>
      </c>
      <c r="J9755" s="135" t="n">
        <f aca="false">$G9755*'Analyse capacite'!$D$7</f>
        <v>0</v>
      </c>
      <c r="K9755" s="135" t="n">
        <f aca="false">$G9755*'Analyse capacite'!$E$7</f>
        <v>0</v>
      </c>
    </row>
    <row r="9756" customFormat="false" ht="15" hidden="false" customHeight="false" outlineLevel="0" collapsed="false">
      <c r="B9756" s="130" t="n">
        <v>2027</v>
      </c>
      <c r="C9756" s="131" t="s">
        <v>254</v>
      </c>
      <c r="D9756" s="132" t="n">
        <v>46748</v>
      </c>
      <c r="E9756" s="131" t="s">
        <v>59</v>
      </c>
      <c r="F9756" s="133" t="s">
        <v>19</v>
      </c>
      <c r="G9756" s="134" t="n">
        <f aca="false">LEN('Saisie programme'!$D$356)+SUMIFS('Vols additionnels'!$E$7:$E$66,'Vols additionnels'!$C$7:$C$66,$E9756,'Vols additionnels'!$D$7:$D$66,$F9756,'Vols additionnels'!$B$7:$B$66,$D9756)</f>
        <v>0</v>
      </c>
      <c r="H9756" s="135" t="n">
        <f aca="false">$G9756*'Analyse capacite'!$F$8</f>
        <v>0</v>
      </c>
      <c r="I9756" s="135" t="n">
        <f aca="false">$G9756*'Analyse capacite'!$C$8</f>
        <v>0</v>
      </c>
      <c r="J9756" s="135" t="n">
        <f aca="false">$G9756*'Analyse capacite'!$D$8</f>
        <v>0</v>
      </c>
      <c r="K9756" s="135" t="n">
        <f aca="false">$G9756*'Analyse capacite'!$E$8</f>
        <v>0</v>
      </c>
    </row>
    <row r="9757" customFormat="false" ht="15" hidden="false" customHeight="false" outlineLevel="0" collapsed="false">
      <c r="B9757" s="130" t="n">
        <v>2027</v>
      </c>
      <c r="C9757" s="131" t="s">
        <v>254</v>
      </c>
      <c r="D9757" s="132" t="n">
        <v>46748</v>
      </c>
      <c r="E9757" s="131" t="s">
        <v>59</v>
      </c>
      <c r="F9757" s="133" t="s">
        <v>24</v>
      </c>
      <c r="G9757" s="134" t="n">
        <f aca="false">LEN('Saisie programme'!$D$357)+SUMIFS('Vols additionnels'!$E$7:$E$66,'Vols additionnels'!$C$7:$C$66,$E9757,'Vols additionnels'!$D$7:$D$66,$F9757,'Vols additionnels'!$B$7:$B$66,$D9757)</f>
        <v>1</v>
      </c>
      <c r="H9757" s="135" t="n">
        <f aca="false">$G9757*'Analyse capacite'!$F$9</f>
        <v>174</v>
      </c>
      <c r="I9757" s="135" t="n">
        <f aca="false">$G9757*'Analyse capacite'!$C$9</f>
        <v>0</v>
      </c>
      <c r="J9757" s="135" t="n">
        <f aca="false">$G9757*'Analyse capacite'!$D$9</f>
        <v>12</v>
      </c>
      <c r="K9757" s="135" t="n">
        <f aca="false">$G9757*'Analyse capacite'!$E$9</f>
        <v>162</v>
      </c>
    </row>
    <row r="9758" customFormat="false" ht="15" hidden="false" customHeight="false" outlineLevel="0" collapsed="false">
      <c r="B9758" s="130" t="n">
        <v>2027</v>
      </c>
      <c r="C9758" s="131" t="s">
        <v>254</v>
      </c>
      <c r="D9758" s="132" t="n">
        <v>46748</v>
      </c>
      <c r="E9758" s="131" t="s">
        <v>62</v>
      </c>
      <c r="F9758" s="133" t="s">
        <v>11</v>
      </c>
      <c r="G9758" s="134" t="n">
        <f aca="false">LEN('Saisie programme'!$D$358)+SUMIFS('Vols additionnels'!$E$7:$E$66,'Vols additionnels'!$C$7:$C$66,$E9758,'Vols additionnels'!$D$7:$D$66,$F9758,'Vols additionnels'!$B$7:$B$66,$D9758)</f>
        <v>0</v>
      </c>
      <c r="H9758" s="135" t="n">
        <f aca="false">$G9758*'Analyse capacite'!$F$7</f>
        <v>0</v>
      </c>
      <c r="I9758" s="135" t="n">
        <f aca="false">$G9758*'Analyse capacite'!$C$7</f>
        <v>0</v>
      </c>
      <c r="J9758" s="135" t="n">
        <f aca="false">$G9758*'Analyse capacite'!$D$7</f>
        <v>0</v>
      </c>
      <c r="K9758" s="135" t="n">
        <f aca="false">$G9758*'Analyse capacite'!$E$7</f>
        <v>0</v>
      </c>
    </row>
    <row r="9759" customFormat="false" ht="15" hidden="false" customHeight="false" outlineLevel="0" collapsed="false">
      <c r="B9759" s="130" t="n">
        <v>2027</v>
      </c>
      <c r="C9759" s="131" t="s">
        <v>254</v>
      </c>
      <c r="D9759" s="132" t="n">
        <v>46748</v>
      </c>
      <c r="E9759" s="131" t="s">
        <v>62</v>
      </c>
      <c r="F9759" s="133" t="s">
        <v>19</v>
      </c>
      <c r="G9759" s="134" t="n">
        <f aca="false">LEN('Saisie programme'!$D$359)+SUMIFS('Vols additionnels'!$E$7:$E$66,'Vols additionnels'!$C$7:$C$66,$E9759,'Vols additionnels'!$D$7:$D$66,$F9759,'Vols additionnels'!$B$7:$B$66,$D9759)</f>
        <v>0</v>
      </c>
      <c r="H9759" s="135" t="n">
        <f aca="false">$G9759*'Analyse capacite'!$F$8</f>
        <v>0</v>
      </c>
      <c r="I9759" s="135" t="n">
        <f aca="false">$G9759*'Analyse capacite'!$C$8</f>
        <v>0</v>
      </c>
      <c r="J9759" s="135" t="n">
        <f aca="false">$G9759*'Analyse capacite'!$D$8</f>
        <v>0</v>
      </c>
      <c r="K9759" s="135" t="n">
        <f aca="false">$G9759*'Analyse capacite'!$E$8</f>
        <v>0</v>
      </c>
    </row>
    <row r="9760" customFormat="false" ht="15" hidden="false" customHeight="false" outlineLevel="0" collapsed="false">
      <c r="B9760" s="130" t="n">
        <v>2027</v>
      </c>
      <c r="C9760" s="131" t="s">
        <v>254</v>
      </c>
      <c r="D9760" s="132" t="n">
        <v>46748</v>
      </c>
      <c r="E9760" s="131" t="s">
        <v>62</v>
      </c>
      <c r="F9760" s="133" t="s">
        <v>24</v>
      </c>
      <c r="G9760" s="134" t="n">
        <f aca="false">LEN('Saisie programme'!$D$360)+SUMIFS('Vols additionnels'!$E$7:$E$66,'Vols additionnels'!$C$7:$C$66,$E9760,'Vols additionnels'!$D$7:$D$66,$F9760,'Vols additionnels'!$B$7:$B$66,$D9760)</f>
        <v>0</v>
      </c>
      <c r="H9760" s="135" t="n">
        <f aca="false">$G9760*'Analyse capacite'!$F$9</f>
        <v>0</v>
      </c>
      <c r="I9760" s="135" t="n">
        <f aca="false">$G9760*'Analyse capacite'!$C$9</f>
        <v>0</v>
      </c>
      <c r="J9760" s="135" t="n">
        <f aca="false">$G9760*'Analyse capacite'!$D$9</f>
        <v>0</v>
      </c>
      <c r="K9760" s="135" t="n">
        <f aca="false">$G9760*'Analyse capacite'!$E$9</f>
        <v>0</v>
      </c>
    </row>
    <row r="9761" customFormat="false" ht="15" hidden="false" customHeight="false" outlineLevel="0" collapsed="false">
      <c r="B9761" s="130" t="n">
        <v>2027</v>
      </c>
      <c r="C9761" s="131" t="s">
        <v>254</v>
      </c>
      <c r="D9761" s="132" t="n">
        <v>46749</v>
      </c>
      <c r="E9761" s="131" t="s">
        <v>12</v>
      </c>
      <c r="F9761" s="133" t="s">
        <v>11</v>
      </c>
      <c r="G9761" s="134" t="n">
        <f aca="false">LEN('Saisie programme'!$E$325)+SUMIFS('Vols additionnels'!$E$7:$E$66,'Vols additionnels'!$C$7:$C$66,$E9761,'Vols additionnels'!$D$7:$D$66,$F9761,'Vols additionnels'!$B$7:$B$66,$D9761)</f>
        <v>1</v>
      </c>
      <c r="H9761" s="135" t="n">
        <f aca="false">$G9761*'Analyse capacite'!$F$7</f>
        <v>438</v>
      </c>
      <c r="I9761" s="135" t="n">
        <f aca="false">$G9761*'Analyse capacite'!$C$7</f>
        <v>14</v>
      </c>
      <c r="J9761" s="135" t="n">
        <f aca="false">$G9761*'Analyse capacite'!$D$7</f>
        <v>40</v>
      </c>
      <c r="K9761" s="135" t="n">
        <f aca="false">$G9761*'Analyse capacite'!$E$7</f>
        <v>384</v>
      </c>
    </row>
    <row r="9762" customFormat="false" ht="15" hidden="false" customHeight="false" outlineLevel="0" collapsed="false">
      <c r="B9762" s="130" t="n">
        <v>2027</v>
      </c>
      <c r="C9762" s="131" t="s">
        <v>254</v>
      </c>
      <c r="D9762" s="132" t="n">
        <v>46749</v>
      </c>
      <c r="E9762" s="131" t="s">
        <v>12</v>
      </c>
      <c r="F9762" s="133" t="s">
        <v>19</v>
      </c>
      <c r="G9762" s="134" t="n">
        <f aca="false">LEN('Saisie programme'!$E$326)+SUMIFS('Vols additionnels'!$E$7:$E$66,'Vols additionnels'!$C$7:$C$66,$E9762,'Vols additionnels'!$D$7:$D$66,$F9762,'Vols additionnels'!$B$7:$B$66,$D9762)</f>
        <v>0</v>
      </c>
      <c r="H9762" s="135" t="n">
        <f aca="false">$G9762*'Analyse capacite'!$F$8</f>
        <v>0</v>
      </c>
      <c r="I9762" s="135" t="n">
        <f aca="false">$G9762*'Analyse capacite'!$C$8</f>
        <v>0</v>
      </c>
      <c r="J9762" s="135" t="n">
        <f aca="false">$G9762*'Analyse capacite'!$D$8</f>
        <v>0</v>
      </c>
      <c r="K9762" s="135" t="n">
        <f aca="false">$G9762*'Analyse capacite'!$E$8</f>
        <v>0</v>
      </c>
    </row>
    <row r="9763" customFormat="false" ht="15" hidden="false" customHeight="false" outlineLevel="0" collapsed="false">
      <c r="B9763" s="130" t="n">
        <v>2027</v>
      </c>
      <c r="C9763" s="131" t="s">
        <v>254</v>
      </c>
      <c r="D9763" s="132" t="n">
        <v>46749</v>
      </c>
      <c r="E9763" s="131" t="s">
        <v>12</v>
      </c>
      <c r="F9763" s="133" t="s">
        <v>24</v>
      </c>
      <c r="G9763" s="134" t="n">
        <f aca="false">LEN('Saisie programme'!$E$327)+SUMIFS('Vols additionnels'!$E$7:$E$66,'Vols additionnels'!$C$7:$C$66,$E9763,'Vols additionnels'!$D$7:$D$66,$F9763,'Vols additionnels'!$B$7:$B$66,$D9763)</f>
        <v>0</v>
      </c>
      <c r="H9763" s="135" t="n">
        <f aca="false">$G9763*'Analyse capacite'!$F$9</f>
        <v>0</v>
      </c>
      <c r="I9763" s="135" t="n">
        <f aca="false">$G9763*'Analyse capacite'!$C$9</f>
        <v>0</v>
      </c>
      <c r="J9763" s="135" t="n">
        <f aca="false">$G9763*'Analyse capacite'!$D$9</f>
        <v>0</v>
      </c>
      <c r="K9763" s="135" t="n">
        <f aca="false">$G9763*'Analyse capacite'!$E$9</f>
        <v>0</v>
      </c>
    </row>
    <row r="9764" customFormat="false" ht="15" hidden="false" customHeight="false" outlineLevel="0" collapsed="false">
      <c r="B9764" s="130" t="n">
        <v>2027</v>
      </c>
      <c r="C9764" s="131" t="s">
        <v>254</v>
      </c>
      <c r="D9764" s="132" t="n">
        <v>46749</v>
      </c>
      <c r="E9764" s="131" t="s">
        <v>20</v>
      </c>
      <c r="F9764" s="133" t="s">
        <v>11</v>
      </c>
      <c r="G9764" s="134" t="n">
        <f aca="false">LEN('Saisie programme'!$E$328)+SUMIFS('Vols additionnels'!$E$7:$E$66,'Vols additionnels'!$C$7:$C$66,$E9764,'Vols additionnels'!$D$7:$D$66,$F9764,'Vols additionnels'!$B$7:$B$66,$D9764)</f>
        <v>0</v>
      </c>
      <c r="H9764" s="135" t="n">
        <f aca="false">$G9764*'Analyse capacite'!$F$7</f>
        <v>0</v>
      </c>
      <c r="I9764" s="135" t="n">
        <f aca="false">$G9764*'Analyse capacite'!$C$7</f>
        <v>0</v>
      </c>
      <c r="J9764" s="135" t="n">
        <f aca="false">$G9764*'Analyse capacite'!$D$7</f>
        <v>0</v>
      </c>
      <c r="K9764" s="135" t="n">
        <f aca="false">$G9764*'Analyse capacite'!$E$7</f>
        <v>0</v>
      </c>
    </row>
    <row r="9765" customFormat="false" ht="15" hidden="false" customHeight="false" outlineLevel="0" collapsed="false">
      <c r="B9765" s="130" t="n">
        <v>2027</v>
      </c>
      <c r="C9765" s="131" t="s">
        <v>254</v>
      </c>
      <c r="D9765" s="132" t="n">
        <v>46749</v>
      </c>
      <c r="E9765" s="131" t="s">
        <v>20</v>
      </c>
      <c r="F9765" s="133" t="s">
        <v>19</v>
      </c>
      <c r="G9765" s="134" t="n">
        <f aca="false">LEN('Saisie programme'!$E$329)+SUMIFS('Vols additionnels'!$E$7:$E$66,'Vols additionnels'!$C$7:$C$66,$E9765,'Vols additionnels'!$D$7:$D$66,$F9765,'Vols additionnels'!$B$7:$B$66,$D9765)</f>
        <v>1</v>
      </c>
      <c r="H9765" s="135" t="n">
        <f aca="false">$G9765*'Analyse capacite'!$F$8</f>
        <v>262</v>
      </c>
      <c r="I9765" s="135" t="n">
        <f aca="false">$G9765*'Analyse capacite'!$C$8</f>
        <v>18</v>
      </c>
      <c r="J9765" s="135" t="n">
        <f aca="false">$G9765*'Analyse capacite'!$D$8</f>
        <v>0</v>
      </c>
      <c r="K9765" s="135" t="n">
        <f aca="false">$G9765*'Analyse capacite'!$E$8</f>
        <v>244</v>
      </c>
    </row>
    <row r="9766" customFormat="false" ht="15" hidden="false" customHeight="false" outlineLevel="0" collapsed="false">
      <c r="B9766" s="130" t="n">
        <v>2027</v>
      </c>
      <c r="C9766" s="131" t="s">
        <v>254</v>
      </c>
      <c r="D9766" s="132" t="n">
        <v>46749</v>
      </c>
      <c r="E9766" s="131" t="s">
        <v>20</v>
      </c>
      <c r="F9766" s="133" t="s">
        <v>24</v>
      </c>
      <c r="G9766" s="134" t="n">
        <f aca="false">LEN('Saisie programme'!$E$330)+SUMIFS('Vols additionnels'!$E$7:$E$66,'Vols additionnels'!$C$7:$C$66,$E9766,'Vols additionnels'!$D$7:$D$66,$F9766,'Vols additionnels'!$B$7:$B$66,$D9766)</f>
        <v>0</v>
      </c>
      <c r="H9766" s="135" t="n">
        <f aca="false">$G9766*'Analyse capacite'!$F$9</f>
        <v>0</v>
      </c>
      <c r="I9766" s="135" t="n">
        <f aca="false">$G9766*'Analyse capacite'!$C$9</f>
        <v>0</v>
      </c>
      <c r="J9766" s="135" t="n">
        <f aca="false">$G9766*'Analyse capacite'!$D$9</f>
        <v>0</v>
      </c>
      <c r="K9766" s="135" t="n">
        <f aca="false">$G9766*'Analyse capacite'!$E$9</f>
        <v>0</v>
      </c>
    </row>
    <row r="9767" customFormat="false" ht="15" hidden="false" customHeight="false" outlineLevel="0" collapsed="false">
      <c r="B9767" s="130" t="n">
        <v>2027</v>
      </c>
      <c r="C9767" s="131" t="s">
        <v>254</v>
      </c>
      <c r="D9767" s="132" t="n">
        <v>46749</v>
      </c>
      <c r="E9767" s="131" t="s">
        <v>25</v>
      </c>
      <c r="F9767" s="133" t="s">
        <v>11</v>
      </c>
      <c r="G9767" s="134" t="n">
        <f aca="false">LEN('Saisie programme'!$E$331)+SUMIFS('Vols additionnels'!$E$7:$E$66,'Vols additionnels'!$C$7:$C$66,$E9767,'Vols additionnels'!$D$7:$D$66,$F9767,'Vols additionnels'!$B$7:$B$66,$D9767)</f>
        <v>0</v>
      </c>
      <c r="H9767" s="135" t="n">
        <f aca="false">$G9767*'Analyse capacite'!$F$7</f>
        <v>0</v>
      </c>
      <c r="I9767" s="135" t="n">
        <f aca="false">$G9767*'Analyse capacite'!$C$7</f>
        <v>0</v>
      </c>
      <c r="J9767" s="135" t="n">
        <f aca="false">$G9767*'Analyse capacite'!$D$7</f>
        <v>0</v>
      </c>
      <c r="K9767" s="135" t="n">
        <f aca="false">$G9767*'Analyse capacite'!$E$7</f>
        <v>0</v>
      </c>
    </row>
    <row r="9768" customFormat="false" ht="15" hidden="false" customHeight="false" outlineLevel="0" collapsed="false">
      <c r="B9768" s="130" t="n">
        <v>2027</v>
      </c>
      <c r="C9768" s="131" t="s">
        <v>254</v>
      </c>
      <c r="D9768" s="132" t="n">
        <v>46749</v>
      </c>
      <c r="E9768" s="131" t="s">
        <v>25</v>
      </c>
      <c r="F9768" s="133" t="s">
        <v>19</v>
      </c>
      <c r="G9768" s="134" t="n">
        <f aca="false">LEN('Saisie programme'!$E$332)+SUMIFS('Vols additionnels'!$E$7:$E$66,'Vols additionnels'!$C$7:$C$66,$E9768,'Vols additionnels'!$D$7:$D$66,$F9768,'Vols additionnels'!$B$7:$B$66,$D9768)</f>
        <v>0</v>
      </c>
      <c r="H9768" s="135" t="n">
        <f aca="false">$G9768*'Analyse capacite'!$F$8</f>
        <v>0</v>
      </c>
      <c r="I9768" s="135" t="n">
        <f aca="false">$G9768*'Analyse capacite'!$C$8</f>
        <v>0</v>
      </c>
      <c r="J9768" s="135" t="n">
        <f aca="false">$G9768*'Analyse capacite'!$D$8</f>
        <v>0</v>
      </c>
      <c r="K9768" s="135" t="n">
        <f aca="false">$G9768*'Analyse capacite'!$E$8</f>
        <v>0</v>
      </c>
    </row>
    <row r="9769" customFormat="false" ht="15" hidden="false" customHeight="false" outlineLevel="0" collapsed="false">
      <c r="B9769" s="130" t="n">
        <v>2027</v>
      </c>
      <c r="C9769" s="131" t="s">
        <v>254</v>
      </c>
      <c r="D9769" s="132" t="n">
        <v>46749</v>
      </c>
      <c r="E9769" s="131" t="s">
        <v>25</v>
      </c>
      <c r="F9769" s="133" t="s">
        <v>24</v>
      </c>
      <c r="G9769" s="134" t="n">
        <f aca="false">LEN('Saisie programme'!$E$333)+SUMIFS('Vols additionnels'!$E$7:$E$66,'Vols additionnels'!$C$7:$C$66,$E9769,'Vols additionnels'!$D$7:$D$66,$F9769,'Vols additionnels'!$B$7:$B$66,$D9769)</f>
        <v>0</v>
      </c>
      <c r="H9769" s="135" t="n">
        <f aca="false">$G9769*'Analyse capacite'!$F$9</f>
        <v>0</v>
      </c>
      <c r="I9769" s="135" t="n">
        <f aca="false">$G9769*'Analyse capacite'!$C$9</f>
        <v>0</v>
      </c>
      <c r="J9769" s="135" t="n">
        <f aca="false">$G9769*'Analyse capacite'!$D$9</f>
        <v>0</v>
      </c>
      <c r="K9769" s="135" t="n">
        <f aca="false">$G9769*'Analyse capacite'!$E$9</f>
        <v>0</v>
      </c>
    </row>
    <row r="9770" customFormat="false" ht="15" hidden="false" customHeight="false" outlineLevel="0" collapsed="false">
      <c r="B9770" s="130" t="n">
        <v>2027</v>
      </c>
      <c r="C9770" s="131" t="s">
        <v>254</v>
      </c>
      <c r="D9770" s="132" t="n">
        <v>46749</v>
      </c>
      <c r="E9770" s="131" t="s">
        <v>36</v>
      </c>
      <c r="F9770" s="133" t="s">
        <v>11</v>
      </c>
      <c r="G9770" s="134" t="n">
        <f aca="false">LEN('Saisie programme'!$E$334)+SUMIFS('Vols additionnels'!$E$7:$E$66,'Vols additionnels'!$C$7:$C$66,$E9770,'Vols additionnels'!$D$7:$D$66,$F9770,'Vols additionnels'!$B$7:$B$66,$D9770)</f>
        <v>0</v>
      </c>
      <c r="H9770" s="135" t="n">
        <f aca="false">$G9770*'Analyse capacite'!$F$7</f>
        <v>0</v>
      </c>
      <c r="I9770" s="135" t="n">
        <f aca="false">$G9770*'Analyse capacite'!$C$7</f>
        <v>0</v>
      </c>
      <c r="J9770" s="135" t="n">
        <f aca="false">$G9770*'Analyse capacite'!$D$7</f>
        <v>0</v>
      </c>
      <c r="K9770" s="135" t="n">
        <f aca="false">$G9770*'Analyse capacite'!$E$7</f>
        <v>0</v>
      </c>
    </row>
    <row r="9771" customFormat="false" ht="15" hidden="false" customHeight="false" outlineLevel="0" collapsed="false">
      <c r="B9771" s="130" t="n">
        <v>2027</v>
      </c>
      <c r="C9771" s="131" t="s">
        <v>254</v>
      </c>
      <c r="D9771" s="132" t="n">
        <v>46749</v>
      </c>
      <c r="E9771" s="131" t="s">
        <v>36</v>
      </c>
      <c r="F9771" s="133" t="s">
        <v>19</v>
      </c>
      <c r="G9771" s="134" t="n">
        <f aca="false">LEN('Saisie programme'!$E$335)+SUMIFS('Vols additionnels'!$E$7:$E$66,'Vols additionnels'!$C$7:$C$66,$E9771,'Vols additionnels'!$D$7:$D$66,$F9771,'Vols additionnels'!$B$7:$B$66,$D9771)</f>
        <v>0</v>
      </c>
      <c r="H9771" s="135" t="n">
        <f aca="false">$G9771*'Analyse capacite'!$F$8</f>
        <v>0</v>
      </c>
      <c r="I9771" s="135" t="n">
        <f aca="false">$G9771*'Analyse capacite'!$C$8</f>
        <v>0</v>
      </c>
      <c r="J9771" s="135" t="n">
        <f aca="false">$G9771*'Analyse capacite'!$D$8</f>
        <v>0</v>
      </c>
      <c r="K9771" s="135" t="n">
        <f aca="false">$G9771*'Analyse capacite'!$E$8</f>
        <v>0</v>
      </c>
    </row>
    <row r="9772" customFormat="false" ht="15" hidden="false" customHeight="false" outlineLevel="0" collapsed="false">
      <c r="B9772" s="130" t="n">
        <v>2027</v>
      </c>
      <c r="C9772" s="131" t="s">
        <v>254</v>
      </c>
      <c r="D9772" s="132" t="n">
        <v>46749</v>
      </c>
      <c r="E9772" s="131" t="s">
        <v>36</v>
      </c>
      <c r="F9772" s="133" t="s">
        <v>24</v>
      </c>
      <c r="G9772" s="134" t="n">
        <f aca="false">LEN('Saisie programme'!$E$336)+SUMIFS('Vols additionnels'!$E$7:$E$66,'Vols additionnels'!$C$7:$C$66,$E9772,'Vols additionnels'!$D$7:$D$66,$F9772,'Vols additionnels'!$B$7:$B$66,$D9772)</f>
        <v>1</v>
      </c>
      <c r="H9772" s="135" t="n">
        <f aca="false">$G9772*'Analyse capacite'!$F$9</f>
        <v>174</v>
      </c>
      <c r="I9772" s="135" t="n">
        <f aca="false">$G9772*'Analyse capacite'!$C$9</f>
        <v>0</v>
      </c>
      <c r="J9772" s="135" t="n">
        <f aca="false">$G9772*'Analyse capacite'!$D$9</f>
        <v>12</v>
      </c>
      <c r="K9772" s="135" t="n">
        <f aca="false">$G9772*'Analyse capacite'!$E$9</f>
        <v>162</v>
      </c>
    </row>
    <row r="9773" customFormat="false" ht="15" hidden="false" customHeight="false" outlineLevel="0" collapsed="false">
      <c r="B9773" s="130" t="n">
        <v>2027</v>
      </c>
      <c r="C9773" s="131" t="s">
        <v>254</v>
      </c>
      <c r="D9773" s="132" t="n">
        <v>46749</v>
      </c>
      <c r="E9773" s="131" t="s">
        <v>40</v>
      </c>
      <c r="F9773" s="133" t="s">
        <v>11</v>
      </c>
      <c r="G9773" s="134" t="n">
        <f aca="false">LEN('Saisie programme'!$E$337)+SUMIFS('Vols additionnels'!$E$7:$E$66,'Vols additionnels'!$C$7:$C$66,$E9773,'Vols additionnels'!$D$7:$D$66,$F9773,'Vols additionnels'!$B$7:$B$66,$D9773)</f>
        <v>0</v>
      </c>
      <c r="H9773" s="135" t="n">
        <f aca="false">$G9773*'Analyse capacite'!$F$7</f>
        <v>0</v>
      </c>
      <c r="I9773" s="135" t="n">
        <f aca="false">$G9773*'Analyse capacite'!$C$7</f>
        <v>0</v>
      </c>
      <c r="J9773" s="135" t="n">
        <f aca="false">$G9773*'Analyse capacite'!$D$7</f>
        <v>0</v>
      </c>
      <c r="K9773" s="135" t="n">
        <f aca="false">$G9773*'Analyse capacite'!$E$7</f>
        <v>0</v>
      </c>
    </row>
    <row r="9774" customFormat="false" ht="15" hidden="false" customHeight="false" outlineLevel="0" collapsed="false">
      <c r="B9774" s="130" t="n">
        <v>2027</v>
      </c>
      <c r="C9774" s="131" t="s">
        <v>254</v>
      </c>
      <c r="D9774" s="132" t="n">
        <v>46749</v>
      </c>
      <c r="E9774" s="131" t="s">
        <v>40</v>
      </c>
      <c r="F9774" s="133" t="s">
        <v>19</v>
      </c>
      <c r="G9774" s="134" t="n">
        <f aca="false">LEN('Saisie programme'!$E$338)+SUMIFS('Vols additionnels'!$E$7:$E$66,'Vols additionnels'!$C$7:$C$66,$E9774,'Vols additionnels'!$D$7:$D$66,$F9774,'Vols additionnels'!$B$7:$B$66,$D9774)</f>
        <v>0</v>
      </c>
      <c r="H9774" s="135" t="n">
        <f aca="false">$G9774*'Analyse capacite'!$F$8</f>
        <v>0</v>
      </c>
      <c r="I9774" s="135" t="n">
        <f aca="false">$G9774*'Analyse capacite'!$C$8</f>
        <v>0</v>
      </c>
      <c r="J9774" s="135" t="n">
        <f aca="false">$G9774*'Analyse capacite'!$D$8</f>
        <v>0</v>
      </c>
      <c r="K9774" s="135" t="n">
        <f aca="false">$G9774*'Analyse capacite'!$E$8</f>
        <v>0</v>
      </c>
    </row>
    <row r="9775" customFormat="false" ht="15" hidden="false" customHeight="false" outlineLevel="0" collapsed="false">
      <c r="B9775" s="130" t="n">
        <v>2027</v>
      </c>
      <c r="C9775" s="131" t="s">
        <v>254</v>
      </c>
      <c r="D9775" s="132" t="n">
        <v>46749</v>
      </c>
      <c r="E9775" s="131" t="s">
        <v>40</v>
      </c>
      <c r="F9775" s="133" t="s">
        <v>24</v>
      </c>
      <c r="G9775" s="134" t="n">
        <f aca="false">LEN('Saisie programme'!$E$339)+SUMIFS('Vols additionnels'!$E$7:$E$66,'Vols additionnels'!$C$7:$C$66,$E9775,'Vols additionnels'!$D$7:$D$66,$F9775,'Vols additionnels'!$B$7:$B$66,$D9775)</f>
        <v>0</v>
      </c>
      <c r="H9775" s="135" t="n">
        <f aca="false">$G9775*'Analyse capacite'!$F$9</f>
        <v>0</v>
      </c>
      <c r="I9775" s="135" t="n">
        <f aca="false">$G9775*'Analyse capacite'!$C$9</f>
        <v>0</v>
      </c>
      <c r="J9775" s="135" t="n">
        <f aca="false">$G9775*'Analyse capacite'!$D$9</f>
        <v>0</v>
      </c>
      <c r="K9775" s="135" t="n">
        <f aca="false">$G9775*'Analyse capacite'!$E$9</f>
        <v>0</v>
      </c>
    </row>
    <row r="9776" customFormat="false" ht="15" hidden="false" customHeight="false" outlineLevel="0" collapsed="false">
      <c r="B9776" s="130" t="n">
        <v>2027</v>
      </c>
      <c r="C9776" s="131" t="s">
        <v>254</v>
      </c>
      <c r="D9776" s="132" t="n">
        <v>46749</v>
      </c>
      <c r="E9776" s="131" t="s">
        <v>14</v>
      </c>
      <c r="F9776" s="133" t="s">
        <v>11</v>
      </c>
      <c r="G9776" s="134" t="n">
        <f aca="false">LEN('Saisie programme'!$E$340)+SUMIFS('Vols additionnels'!$E$7:$E$66,'Vols additionnels'!$C$7:$C$66,$E9776,'Vols additionnels'!$D$7:$D$66,$F9776,'Vols additionnels'!$B$7:$B$66,$D9776)</f>
        <v>0</v>
      </c>
      <c r="H9776" s="135" t="n">
        <f aca="false">$G9776*'Analyse capacite'!$F$7</f>
        <v>0</v>
      </c>
      <c r="I9776" s="135" t="n">
        <f aca="false">$G9776*'Analyse capacite'!$C$7</f>
        <v>0</v>
      </c>
      <c r="J9776" s="135" t="n">
        <f aca="false">$G9776*'Analyse capacite'!$D$7</f>
        <v>0</v>
      </c>
      <c r="K9776" s="135" t="n">
        <f aca="false">$G9776*'Analyse capacite'!$E$7</f>
        <v>0</v>
      </c>
    </row>
    <row r="9777" customFormat="false" ht="15" hidden="false" customHeight="false" outlineLevel="0" collapsed="false">
      <c r="B9777" s="130" t="n">
        <v>2027</v>
      </c>
      <c r="C9777" s="131" t="s">
        <v>254</v>
      </c>
      <c r="D9777" s="132" t="n">
        <v>46749</v>
      </c>
      <c r="E9777" s="131" t="s">
        <v>14</v>
      </c>
      <c r="F9777" s="133" t="s">
        <v>19</v>
      </c>
      <c r="G9777" s="134" t="n">
        <f aca="false">LEN('Saisie programme'!$E$341)+SUMIFS('Vols additionnels'!$E$7:$E$66,'Vols additionnels'!$C$7:$C$66,$E9777,'Vols additionnels'!$D$7:$D$66,$F9777,'Vols additionnels'!$B$7:$B$66,$D9777)</f>
        <v>0</v>
      </c>
      <c r="H9777" s="135" t="n">
        <f aca="false">$G9777*'Analyse capacite'!$F$8</f>
        <v>0</v>
      </c>
      <c r="I9777" s="135" t="n">
        <f aca="false">$G9777*'Analyse capacite'!$C$8</f>
        <v>0</v>
      </c>
      <c r="J9777" s="135" t="n">
        <f aca="false">$G9777*'Analyse capacite'!$D$8</f>
        <v>0</v>
      </c>
      <c r="K9777" s="135" t="n">
        <f aca="false">$G9777*'Analyse capacite'!$E$8</f>
        <v>0</v>
      </c>
    </row>
    <row r="9778" customFormat="false" ht="15" hidden="false" customHeight="false" outlineLevel="0" collapsed="false">
      <c r="B9778" s="130" t="n">
        <v>2027</v>
      </c>
      <c r="C9778" s="131" t="s">
        <v>254</v>
      </c>
      <c r="D9778" s="132" t="n">
        <v>46749</v>
      </c>
      <c r="E9778" s="131" t="s">
        <v>14</v>
      </c>
      <c r="F9778" s="133" t="s">
        <v>24</v>
      </c>
      <c r="G9778" s="134" t="n">
        <f aca="false">LEN('Saisie programme'!$E$342)+SUMIFS('Vols additionnels'!$E$7:$E$66,'Vols additionnels'!$C$7:$C$66,$E9778,'Vols additionnels'!$D$7:$D$66,$F9778,'Vols additionnels'!$B$7:$B$66,$D9778)</f>
        <v>1</v>
      </c>
      <c r="H9778" s="135" t="n">
        <f aca="false">$G9778*'Analyse capacite'!$F$9</f>
        <v>174</v>
      </c>
      <c r="I9778" s="135" t="n">
        <f aca="false">$G9778*'Analyse capacite'!$C$9</f>
        <v>0</v>
      </c>
      <c r="J9778" s="135" t="n">
        <f aca="false">$G9778*'Analyse capacite'!$D$9</f>
        <v>12</v>
      </c>
      <c r="K9778" s="135" t="n">
        <f aca="false">$G9778*'Analyse capacite'!$E$9</f>
        <v>162</v>
      </c>
    </row>
    <row r="9779" customFormat="false" ht="15" hidden="false" customHeight="false" outlineLevel="0" collapsed="false">
      <c r="B9779" s="130" t="n">
        <v>2027</v>
      </c>
      <c r="C9779" s="131" t="s">
        <v>254</v>
      </c>
      <c r="D9779" s="132" t="n">
        <v>46749</v>
      </c>
      <c r="E9779" s="131" t="s">
        <v>46</v>
      </c>
      <c r="F9779" s="133" t="s">
        <v>11</v>
      </c>
      <c r="G9779" s="134" t="n">
        <f aca="false">LEN('Saisie programme'!$E$343)+SUMIFS('Vols additionnels'!$E$7:$E$66,'Vols additionnels'!$C$7:$C$66,$E9779,'Vols additionnels'!$D$7:$D$66,$F9779,'Vols additionnels'!$B$7:$B$66,$D9779)</f>
        <v>0</v>
      </c>
      <c r="H9779" s="135" t="n">
        <f aca="false">$G9779*'Analyse capacite'!$F$7</f>
        <v>0</v>
      </c>
      <c r="I9779" s="135" t="n">
        <f aca="false">$G9779*'Analyse capacite'!$C$7</f>
        <v>0</v>
      </c>
      <c r="J9779" s="135" t="n">
        <f aca="false">$G9779*'Analyse capacite'!$D$7</f>
        <v>0</v>
      </c>
      <c r="K9779" s="135" t="n">
        <f aca="false">$G9779*'Analyse capacite'!$E$7</f>
        <v>0</v>
      </c>
    </row>
    <row r="9780" customFormat="false" ht="15" hidden="false" customHeight="false" outlineLevel="0" collapsed="false">
      <c r="B9780" s="130" t="n">
        <v>2027</v>
      </c>
      <c r="C9780" s="131" t="s">
        <v>254</v>
      </c>
      <c r="D9780" s="132" t="n">
        <v>46749</v>
      </c>
      <c r="E9780" s="131" t="s">
        <v>46</v>
      </c>
      <c r="F9780" s="133" t="s">
        <v>19</v>
      </c>
      <c r="G9780" s="134" t="n">
        <f aca="false">LEN('Saisie programme'!$E$344)+SUMIFS('Vols additionnels'!$E$7:$E$66,'Vols additionnels'!$C$7:$C$66,$E9780,'Vols additionnels'!$D$7:$D$66,$F9780,'Vols additionnels'!$B$7:$B$66,$D9780)</f>
        <v>0</v>
      </c>
      <c r="H9780" s="135" t="n">
        <f aca="false">$G9780*'Analyse capacite'!$F$8</f>
        <v>0</v>
      </c>
      <c r="I9780" s="135" t="n">
        <f aca="false">$G9780*'Analyse capacite'!$C$8</f>
        <v>0</v>
      </c>
      <c r="J9780" s="135" t="n">
        <f aca="false">$G9780*'Analyse capacite'!$D$8</f>
        <v>0</v>
      </c>
      <c r="K9780" s="135" t="n">
        <f aca="false">$G9780*'Analyse capacite'!$E$8</f>
        <v>0</v>
      </c>
    </row>
    <row r="9781" customFormat="false" ht="15" hidden="false" customHeight="false" outlineLevel="0" collapsed="false">
      <c r="B9781" s="130" t="n">
        <v>2027</v>
      </c>
      <c r="C9781" s="131" t="s">
        <v>254</v>
      </c>
      <c r="D9781" s="132" t="n">
        <v>46749</v>
      </c>
      <c r="E9781" s="131" t="s">
        <v>46</v>
      </c>
      <c r="F9781" s="133" t="s">
        <v>24</v>
      </c>
      <c r="G9781" s="134" t="n">
        <f aca="false">LEN('Saisie programme'!$E$345)+SUMIFS('Vols additionnels'!$E$7:$E$66,'Vols additionnels'!$C$7:$C$66,$E9781,'Vols additionnels'!$D$7:$D$66,$F9781,'Vols additionnels'!$B$7:$B$66,$D9781)</f>
        <v>1</v>
      </c>
      <c r="H9781" s="135" t="n">
        <f aca="false">$G9781*'Analyse capacite'!$F$9</f>
        <v>174</v>
      </c>
      <c r="I9781" s="135" t="n">
        <f aca="false">$G9781*'Analyse capacite'!$C$9</f>
        <v>0</v>
      </c>
      <c r="J9781" s="135" t="n">
        <f aca="false">$G9781*'Analyse capacite'!$D$9</f>
        <v>12</v>
      </c>
      <c r="K9781" s="135" t="n">
        <f aca="false">$G9781*'Analyse capacite'!$E$9</f>
        <v>162</v>
      </c>
    </row>
    <row r="9782" customFormat="false" ht="15" hidden="false" customHeight="false" outlineLevel="0" collapsed="false">
      <c r="B9782" s="130" t="n">
        <v>2027</v>
      </c>
      <c r="C9782" s="131" t="s">
        <v>254</v>
      </c>
      <c r="D9782" s="132" t="n">
        <v>46749</v>
      </c>
      <c r="E9782" s="131" t="s">
        <v>49</v>
      </c>
      <c r="F9782" s="133" t="s">
        <v>11</v>
      </c>
      <c r="G9782" s="134" t="n">
        <f aca="false">LEN('Saisie programme'!$E$346)+SUMIFS('Vols additionnels'!$E$7:$E$66,'Vols additionnels'!$C$7:$C$66,$E9782,'Vols additionnels'!$D$7:$D$66,$F9782,'Vols additionnels'!$B$7:$B$66,$D9782)</f>
        <v>0</v>
      </c>
      <c r="H9782" s="135" t="n">
        <f aca="false">$G9782*'Analyse capacite'!$F$7</f>
        <v>0</v>
      </c>
      <c r="I9782" s="135" t="n">
        <f aca="false">$G9782*'Analyse capacite'!$C$7</f>
        <v>0</v>
      </c>
      <c r="J9782" s="135" t="n">
        <f aca="false">$G9782*'Analyse capacite'!$D$7</f>
        <v>0</v>
      </c>
      <c r="K9782" s="135" t="n">
        <f aca="false">$G9782*'Analyse capacite'!$E$7</f>
        <v>0</v>
      </c>
    </row>
    <row r="9783" customFormat="false" ht="15" hidden="false" customHeight="false" outlineLevel="0" collapsed="false">
      <c r="B9783" s="130" t="n">
        <v>2027</v>
      </c>
      <c r="C9783" s="131" t="s">
        <v>254</v>
      </c>
      <c r="D9783" s="132" t="n">
        <v>46749</v>
      </c>
      <c r="E9783" s="131" t="s">
        <v>49</v>
      </c>
      <c r="F9783" s="133" t="s">
        <v>19</v>
      </c>
      <c r="G9783" s="134" t="n">
        <f aca="false">LEN('Saisie programme'!$E$347)+SUMIFS('Vols additionnels'!$E$7:$E$66,'Vols additionnels'!$C$7:$C$66,$E9783,'Vols additionnels'!$D$7:$D$66,$F9783,'Vols additionnels'!$B$7:$B$66,$D9783)</f>
        <v>0</v>
      </c>
      <c r="H9783" s="135" t="n">
        <f aca="false">$G9783*'Analyse capacite'!$F$8</f>
        <v>0</v>
      </c>
      <c r="I9783" s="135" t="n">
        <f aca="false">$G9783*'Analyse capacite'!$C$8</f>
        <v>0</v>
      </c>
      <c r="J9783" s="135" t="n">
        <f aca="false">$G9783*'Analyse capacite'!$D$8</f>
        <v>0</v>
      </c>
      <c r="K9783" s="135" t="n">
        <f aca="false">$G9783*'Analyse capacite'!$E$8</f>
        <v>0</v>
      </c>
    </row>
    <row r="9784" customFormat="false" ht="15" hidden="false" customHeight="false" outlineLevel="0" collapsed="false">
      <c r="B9784" s="130" t="n">
        <v>2027</v>
      </c>
      <c r="C9784" s="131" t="s">
        <v>254</v>
      </c>
      <c r="D9784" s="132" t="n">
        <v>46749</v>
      </c>
      <c r="E9784" s="131" t="s">
        <v>49</v>
      </c>
      <c r="F9784" s="133" t="s">
        <v>24</v>
      </c>
      <c r="G9784" s="134" t="n">
        <f aca="false">LEN('Saisie programme'!$E$348)+SUMIFS('Vols additionnels'!$E$7:$E$66,'Vols additionnels'!$C$7:$C$66,$E9784,'Vols additionnels'!$D$7:$D$66,$F9784,'Vols additionnels'!$B$7:$B$66,$D9784)</f>
        <v>0</v>
      </c>
      <c r="H9784" s="135" t="n">
        <f aca="false">$G9784*'Analyse capacite'!$F$9</f>
        <v>0</v>
      </c>
      <c r="I9784" s="135" t="n">
        <f aca="false">$G9784*'Analyse capacite'!$C$9</f>
        <v>0</v>
      </c>
      <c r="J9784" s="135" t="n">
        <f aca="false">$G9784*'Analyse capacite'!$D$9</f>
        <v>0</v>
      </c>
      <c r="K9784" s="135" t="n">
        <f aca="false">$G9784*'Analyse capacite'!$E$9</f>
        <v>0</v>
      </c>
    </row>
    <row r="9785" customFormat="false" ht="15" hidden="false" customHeight="false" outlineLevel="0" collapsed="false">
      <c r="B9785" s="130" t="n">
        <v>2027</v>
      </c>
      <c r="C9785" s="131" t="s">
        <v>254</v>
      </c>
      <c r="D9785" s="132" t="n">
        <v>46749</v>
      </c>
      <c r="E9785" s="131" t="s">
        <v>53</v>
      </c>
      <c r="F9785" s="133" t="s">
        <v>11</v>
      </c>
      <c r="G9785" s="134" t="n">
        <f aca="false">LEN('Saisie programme'!$E$349)+SUMIFS('Vols additionnels'!$E$7:$E$66,'Vols additionnels'!$C$7:$C$66,$E9785,'Vols additionnels'!$D$7:$D$66,$F9785,'Vols additionnels'!$B$7:$B$66,$D9785)</f>
        <v>0</v>
      </c>
      <c r="H9785" s="135" t="n">
        <f aca="false">$G9785*'Analyse capacite'!$F$7</f>
        <v>0</v>
      </c>
      <c r="I9785" s="135" t="n">
        <f aca="false">$G9785*'Analyse capacite'!$C$7</f>
        <v>0</v>
      </c>
      <c r="J9785" s="135" t="n">
        <f aca="false">$G9785*'Analyse capacite'!$D$7</f>
        <v>0</v>
      </c>
      <c r="K9785" s="135" t="n">
        <f aca="false">$G9785*'Analyse capacite'!$E$7</f>
        <v>0</v>
      </c>
    </row>
    <row r="9786" customFormat="false" ht="15" hidden="false" customHeight="false" outlineLevel="0" collapsed="false">
      <c r="B9786" s="130" t="n">
        <v>2027</v>
      </c>
      <c r="C9786" s="131" t="s">
        <v>254</v>
      </c>
      <c r="D9786" s="132" t="n">
        <v>46749</v>
      </c>
      <c r="E9786" s="131" t="s">
        <v>53</v>
      </c>
      <c r="F9786" s="133" t="s">
        <v>19</v>
      </c>
      <c r="G9786" s="134" t="n">
        <f aca="false">LEN('Saisie programme'!$E$350)+SUMIFS('Vols additionnels'!$E$7:$E$66,'Vols additionnels'!$C$7:$C$66,$E9786,'Vols additionnels'!$D$7:$D$66,$F9786,'Vols additionnels'!$B$7:$B$66,$D9786)</f>
        <v>0</v>
      </c>
      <c r="H9786" s="135" t="n">
        <f aca="false">$G9786*'Analyse capacite'!$F$8</f>
        <v>0</v>
      </c>
      <c r="I9786" s="135" t="n">
        <f aca="false">$G9786*'Analyse capacite'!$C$8</f>
        <v>0</v>
      </c>
      <c r="J9786" s="135" t="n">
        <f aca="false">$G9786*'Analyse capacite'!$D$8</f>
        <v>0</v>
      </c>
      <c r="K9786" s="135" t="n">
        <f aca="false">$G9786*'Analyse capacite'!$E$8</f>
        <v>0</v>
      </c>
    </row>
    <row r="9787" customFormat="false" ht="15" hidden="false" customHeight="false" outlineLevel="0" collapsed="false">
      <c r="B9787" s="130" t="n">
        <v>2027</v>
      </c>
      <c r="C9787" s="131" t="s">
        <v>254</v>
      </c>
      <c r="D9787" s="132" t="n">
        <v>46749</v>
      </c>
      <c r="E9787" s="131" t="s">
        <v>53</v>
      </c>
      <c r="F9787" s="133" t="s">
        <v>24</v>
      </c>
      <c r="G9787" s="134" t="n">
        <f aca="false">LEN('Saisie programme'!$E$351)+SUMIFS('Vols additionnels'!$E$7:$E$66,'Vols additionnels'!$C$7:$C$66,$E9787,'Vols additionnels'!$D$7:$D$66,$F9787,'Vols additionnels'!$B$7:$B$66,$D9787)</f>
        <v>0</v>
      </c>
      <c r="H9787" s="135" t="n">
        <f aca="false">$G9787*'Analyse capacite'!$F$9</f>
        <v>0</v>
      </c>
      <c r="I9787" s="135" t="n">
        <f aca="false">$G9787*'Analyse capacite'!$C$9</f>
        <v>0</v>
      </c>
      <c r="J9787" s="135" t="n">
        <f aca="false">$G9787*'Analyse capacite'!$D$9</f>
        <v>0</v>
      </c>
      <c r="K9787" s="135" t="n">
        <f aca="false">$G9787*'Analyse capacite'!$E$9</f>
        <v>0</v>
      </c>
    </row>
    <row r="9788" customFormat="false" ht="15" hidden="false" customHeight="false" outlineLevel="0" collapsed="false">
      <c r="B9788" s="130" t="n">
        <v>2027</v>
      </c>
      <c r="C9788" s="131" t="s">
        <v>254</v>
      </c>
      <c r="D9788" s="132" t="n">
        <v>46749</v>
      </c>
      <c r="E9788" s="131" t="s">
        <v>56</v>
      </c>
      <c r="F9788" s="133" t="s">
        <v>11</v>
      </c>
      <c r="G9788" s="134" t="n">
        <f aca="false">LEN('Saisie programme'!$E$352)+SUMIFS('Vols additionnels'!$E$7:$E$66,'Vols additionnels'!$C$7:$C$66,$E9788,'Vols additionnels'!$D$7:$D$66,$F9788,'Vols additionnels'!$B$7:$B$66,$D9788)</f>
        <v>0</v>
      </c>
      <c r="H9788" s="135" t="n">
        <f aca="false">$G9788*'Analyse capacite'!$F$7</f>
        <v>0</v>
      </c>
      <c r="I9788" s="135" t="n">
        <f aca="false">$G9788*'Analyse capacite'!$C$7</f>
        <v>0</v>
      </c>
      <c r="J9788" s="135" t="n">
        <f aca="false">$G9788*'Analyse capacite'!$D$7</f>
        <v>0</v>
      </c>
      <c r="K9788" s="135" t="n">
        <f aca="false">$G9788*'Analyse capacite'!$E$7</f>
        <v>0</v>
      </c>
    </row>
    <row r="9789" customFormat="false" ht="15" hidden="false" customHeight="false" outlineLevel="0" collapsed="false">
      <c r="B9789" s="130" t="n">
        <v>2027</v>
      </c>
      <c r="C9789" s="131" t="s">
        <v>254</v>
      </c>
      <c r="D9789" s="132" t="n">
        <v>46749</v>
      </c>
      <c r="E9789" s="131" t="s">
        <v>56</v>
      </c>
      <c r="F9789" s="133" t="s">
        <v>19</v>
      </c>
      <c r="G9789" s="134" t="n">
        <f aca="false">LEN('Saisie programme'!$E$353)+SUMIFS('Vols additionnels'!$E$7:$E$66,'Vols additionnels'!$C$7:$C$66,$E9789,'Vols additionnels'!$D$7:$D$66,$F9789,'Vols additionnels'!$B$7:$B$66,$D9789)</f>
        <v>0</v>
      </c>
      <c r="H9789" s="135" t="n">
        <f aca="false">$G9789*'Analyse capacite'!$F$8</f>
        <v>0</v>
      </c>
      <c r="I9789" s="135" t="n">
        <f aca="false">$G9789*'Analyse capacite'!$C$8</f>
        <v>0</v>
      </c>
      <c r="J9789" s="135" t="n">
        <f aca="false">$G9789*'Analyse capacite'!$D$8</f>
        <v>0</v>
      </c>
      <c r="K9789" s="135" t="n">
        <f aca="false">$G9789*'Analyse capacite'!$E$8</f>
        <v>0</v>
      </c>
    </row>
    <row r="9790" customFormat="false" ht="15" hidden="false" customHeight="false" outlineLevel="0" collapsed="false">
      <c r="B9790" s="130" t="n">
        <v>2027</v>
      </c>
      <c r="C9790" s="131" t="s">
        <v>254</v>
      </c>
      <c r="D9790" s="132" t="n">
        <v>46749</v>
      </c>
      <c r="E9790" s="131" t="s">
        <v>56</v>
      </c>
      <c r="F9790" s="133" t="s">
        <v>24</v>
      </c>
      <c r="G9790" s="134" t="n">
        <f aca="false">LEN('Saisie programme'!$E$354)+SUMIFS('Vols additionnels'!$E$7:$E$66,'Vols additionnels'!$C$7:$C$66,$E9790,'Vols additionnels'!$D$7:$D$66,$F9790,'Vols additionnels'!$B$7:$B$66,$D9790)</f>
        <v>1</v>
      </c>
      <c r="H9790" s="135" t="n">
        <f aca="false">$G9790*'Analyse capacite'!$F$9</f>
        <v>174</v>
      </c>
      <c r="I9790" s="135" t="n">
        <f aca="false">$G9790*'Analyse capacite'!$C$9</f>
        <v>0</v>
      </c>
      <c r="J9790" s="135" t="n">
        <f aca="false">$G9790*'Analyse capacite'!$D$9</f>
        <v>12</v>
      </c>
      <c r="K9790" s="135" t="n">
        <f aca="false">$G9790*'Analyse capacite'!$E$9</f>
        <v>162</v>
      </c>
    </row>
    <row r="9791" customFormat="false" ht="15" hidden="false" customHeight="false" outlineLevel="0" collapsed="false">
      <c r="B9791" s="130" t="n">
        <v>2027</v>
      </c>
      <c r="C9791" s="131" t="s">
        <v>254</v>
      </c>
      <c r="D9791" s="132" t="n">
        <v>46749</v>
      </c>
      <c r="E9791" s="131" t="s">
        <v>59</v>
      </c>
      <c r="F9791" s="133" t="s">
        <v>11</v>
      </c>
      <c r="G9791" s="134" t="n">
        <f aca="false">LEN('Saisie programme'!$E$355)+SUMIFS('Vols additionnels'!$E$7:$E$66,'Vols additionnels'!$C$7:$C$66,$E9791,'Vols additionnels'!$D$7:$D$66,$F9791,'Vols additionnels'!$B$7:$B$66,$D9791)</f>
        <v>0</v>
      </c>
      <c r="H9791" s="135" t="n">
        <f aca="false">$G9791*'Analyse capacite'!$F$7</f>
        <v>0</v>
      </c>
      <c r="I9791" s="135" t="n">
        <f aca="false">$G9791*'Analyse capacite'!$C$7</f>
        <v>0</v>
      </c>
      <c r="J9791" s="135" t="n">
        <f aca="false">$G9791*'Analyse capacite'!$D$7</f>
        <v>0</v>
      </c>
      <c r="K9791" s="135" t="n">
        <f aca="false">$G9791*'Analyse capacite'!$E$7</f>
        <v>0</v>
      </c>
    </row>
    <row r="9792" customFormat="false" ht="15" hidden="false" customHeight="false" outlineLevel="0" collapsed="false">
      <c r="B9792" s="130" t="n">
        <v>2027</v>
      </c>
      <c r="C9792" s="131" t="s">
        <v>254</v>
      </c>
      <c r="D9792" s="132" t="n">
        <v>46749</v>
      </c>
      <c r="E9792" s="131" t="s">
        <v>59</v>
      </c>
      <c r="F9792" s="133" t="s">
        <v>19</v>
      </c>
      <c r="G9792" s="134" t="n">
        <f aca="false">LEN('Saisie programme'!$E$356)+SUMIFS('Vols additionnels'!$E$7:$E$66,'Vols additionnels'!$C$7:$C$66,$E9792,'Vols additionnels'!$D$7:$D$66,$F9792,'Vols additionnels'!$B$7:$B$66,$D9792)</f>
        <v>0</v>
      </c>
      <c r="H9792" s="135" t="n">
        <f aca="false">$G9792*'Analyse capacite'!$F$8</f>
        <v>0</v>
      </c>
      <c r="I9792" s="135" t="n">
        <f aca="false">$G9792*'Analyse capacite'!$C$8</f>
        <v>0</v>
      </c>
      <c r="J9792" s="135" t="n">
        <f aca="false">$G9792*'Analyse capacite'!$D$8</f>
        <v>0</v>
      </c>
      <c r="K9792" s="135" t="n">
        <f aca="false">$G9792*'Analyse capacite'!$E$8</f>
        <v>0</v>
      </c>
    </row>
    <row r="9793" customFormat="false" ht="15" hidden="false" customHeight="false" outlineLevel="0" collapsed="false">
      <c r="B9793" s="130" t="n">
        <v>2027</v>
      </c>
      <c r="C9793" s="131" t="s">
        <v>254</v>
      </c>
      <c r="D9793" s="132" t="n">
        <v>46749</v>
      </c>
      <c r="E9793" s="131" t="s">
        <v>59</v>
      </c>
      <c r="F9793" s="133" t="s">
        <v>24</v>
      </c>
      <c r="G9793" s="134" t="n">
        <f aca="false">LEN('Saisie programme'!$E$357)+SUMIFS('Vols additionnels'!$E$7:$E$66,'Vols additionnels'!$C$7:$C$66,$E9793,'Vols additionnels'!$D$7:$D$66,$F9793,'Vols additionnels'!$B$7:$B$66,$D9793)</f>
        <v>1</v>
      </c>
      <c r="H9793" s="135" t="n">
        <f aca="false">$G9793*'Analyse capacite'!$F$9</f>
        <v>174</v>
      </c>
      <c r="I9793" s="135" t="n">
        <f aca="false">$G9793*'Analyse capacite'!$C$9</f>
        <v>0</v>
      </c>
      <c r="J9793" s="135" t="n">
        <f aca="false">$G9793*'Analyse capacite'!$D$9</f>
        <v>12</v>
      </c>
      <c r="K9793" s="135" t="n">
        <f aca="false">$G9793*'Analyse capacite'!$E$9</f>
        <v>162</v>
      </c>
    </row>
    <row r="9794" customFormat="false" ht="15" hidden="false" customHeight="false" outlineLevel="0" collapsed="false">
      <c r="B9794" s="130" t="n">
        <v>2027</v>
      </c>
      <c r="C9794" s="131" t="s">
        <v>254</v>
      </c>
      <c r="D9794" s="132" t="n">
        <v>46749</v>
      </c>
      <c r="E9794" s="131" t="s">
        <v>62</v>
      </c>
      <c r="F9794" s="133" t="s">
        <v>11</v>
      </c>
      <c r="G9794" s="134" t="n">
        <f aca="false">LEN('Saisie programme'!$E$358)+SUMIFS('Vols additionnels'!$E$7:$E$66,'Vols additionnels'!$C$7:$C$66,$E9794,'Vols additionnels'!$D$7:$D$66,$F9794,'Vols additionnels'!$B$7:$B$66,$D9794)</f>
        <v>0</v>
      </c>
      <c r="H9794" s="135" t="n">
        <f aca="false">$G9794*'Analyse capacite'!$F$7</f>
        <v>0</v>
      </c>
      <c r="I9794" s="135" t="n">
        <f aca="false">$G9794*'Analyse capacite'!$C$7</f>
        <v>0</v>
      </c>
      <c r="J9794" s="135" t="n">
        <f aca="false">$G9794*'Analyse capacite'!$D$7</f>
        <v>0</v>
      </c>
      <c r="K9794" s="135" t="n">
        <f aca="false">$G9794*'Analyse capacite'!$E$7</f>
        <v>0</v>
      </c>
    </row>
    <row r="9795" customFormat="false" ht="15" hidden="false" customHeight="false" outlineLevel="0" collapsed="false">
      <c r="B9795" s="130" t="n">
        <v>2027</v>
      </c>
      <c r="C9795" s="131" t="s">
        <v>254</v>
      </c>
      <c r="D9795" s="132" t="n">
        <v>46749</v>
      </c>
      <c r="E9795" s="131" t="s">
        <v>62</v>
      </c>
      <c r="F9795" s="133" t="s">
        <v>19</v>
      </c>
      <c r="G9795" s="134" t="n">
        <f aca="false">LEN('Saisie programme'!$E$359)+SUMIFS('Vols additionnels'!$E$7:$E$66,'Vols additionnels'!$C$7:$C$66,$E9795,'Vols additionnels'!$D$7:$D$66,$F9795,'Vols additionnels'!$B$7:$B$66,$D9795)</f>
        <v>0</v>
      </c>
      <c r="H9795" s="135" t="n">
        <f aca="false">$G9795*'Analyse capacite'!$F$8</f>
        <v>0</v>
      </c>
      <c r="I9795" s="135" t="n">
        <f aca="false">$G9795*'Analyse capacite'!$C$8</f>
        <v>0</v>
      </c>
      <c r="J9795" s="135" t="n">
        <f aca="false">$G9795*'Analyse capacite'!$D$8</f>
        <v>0</v>
      </c>
      <c r="K9795" s="135" t="n">
        <f aca="false">$G9795*'Analyse capacite'!$E$8</f>
        <v>0</v>
      </c>
    </row>
    <row r="9796" customFormat="false" ht="15" hidden="false" customHeight="false" outlineLevel="0" collapsed="false">
      <c r="B9796" s="130" t="n">
        <v>2027</v>
      </c>
      <c r="C9796" s="131" t="s">
        <v>254</v>
      </c>
      <c r="D9796" s="132" t="n">
        <v>46749</v>
      </c>
      <c r="E9796" s="131" t="s">
        <v>62</v>
      </c>
      <c r="F9796" s="133" t="s">
        <v>24</v>
      </c>
      <c r="G9796" s="134" t="n">
        <f aca="false">LEN('Saisie programme'!$E$360)+SUMIFS('Vols additionnels'!$E$7:$E$66,'Vols additionnels'!$C$7:$C$66,$E9796,'Vols additionnels'!$D$7:$D$66,$F9796,'Vols additionnels'!$B$7:$B$66,$D9796)</f>
        <v>0</v>
      </c>
      <c r="H9796" s="135" t="n">
        <f aca="false">$G9796*'Analyse capacite'!$F$9</f>
        <v>0</v>
      </c>
      <c r="I9796" s="135" t="n">
        <f aca="false">$G9796*'Analyse capacite'!$C$9</f>
        <v>0</v>
      </c>
      <c r="J9796" s="135" t="n">
        <f aca="false">$G9796*'Analyse capacite'!$D$9</f>
        <v>0</v>
      </c>
      <c r="K9796" s="135" t="n">
        <f aca="false">$G9796*'Analyse capacite'!$E$9</f>
        <v>0</v>
      </c>
    </row>
    <row r="9797" customFormat="false" ht="15" hidden="false" customHeight="false" outlineLevel="0" collapsed="false">
      <c r="B9797" s="130" t="n">
        <v>2027</v>
      </c>
      <c r="C9797" s="131" t="s">
        <v>254</v>
      </c>
      <c r="D9797" s="132" t="n">
        <v>46750</v>
      </c>
      <c r="E9797" s="131" t="s">
        <v>12</v>
      </c>
      <c r="F9797" s="133" t="s">
        <v>11</v>
      </c>
      <c r="G9797" s="134" t="n">
        <f aca="false">LEN('Saisie programme'!$F$325)+SUMIFS('Vols additionnels'!$E$7:$E$66,'Vols additionnels'!$C$7:$C$66,$E9797,'Vols additionnels'!$D$7:$D$66,$F9797,'Vols additionnels'!$B$7:$B$66,$D9797)</f>
        <v>1</v>
      </c>
      <c r="H9797" s="135" t="n">
        <f aca="false">$G9797*'Analyse capacite'!$F$7</f>
        <v>438</v>
      </c>
      <c r="I9797" s="135" t="n">
        <f aca="false">$G9797*'Analyse capacite'!$C$7</f>
        <v>14</v>
      </c>
      <c r="J9797" s="135" t="n">
        <f aca="false">$G9797*'Analyse capacite'!$D$7</f>
        <v>40</v>
      </c>
      <c r="K9797" s="135" t="n">
        <f aca="false">$G9797*'Analyse capacite'!$E$7</f>
        <v>384</v>
      </c>
    </row>
    <row r="9798" customFormat="false" ht="15" hidden="false" customHeight="false" outlineLevel="0" collapsed="false">
      <c r="B9798" s="130" t="n">
        <v>2027</v>
      </c>
      <c r="C9798" s="131" t="s">
        <v>254</v>
      </c>
      <c r="D9798" s="132" t="n">
        <v>46750</v>
      </c>
      <c r="E9798" s="131" t="s">
        <v>12</v>
      </c>
      <c r="F9798" s="133" t="s">
        <v>19</v>
      </c>
      <c r="G9798" s="134" t="n">
        <f aca="false">LEN('Saisie programme'!$F$326)+SUMIFS('Vols additionnels'!$E$7:$E$66,'Vols additionnels'!$C$7:$C$66,$E9798,'Vols additionnels'!$D$7:$D$66,$F9798,'Vols additionnels'!$B$7:$B$66,$D9798)</f>
        <v>0</v>
      </c>
      <c r="H9798" s="135" t="n">
        <f aca="false">$G9798*'Analyse capacite'!$F$8</f>
        <v>0</v>
      </c>
      <c r="I9798" s="135" t="n">
        <f aca="false">$G9798*'Analyse capacite'!$C$8</f>
        <v>0</v>
      </c>
      <c r="J9798" s="135" t="n">
        <f aca="false">$G9798*'Analyse capacite'!$D$8</f>
        <v>0</v>
      </c>
      <c r="K9798" s="135" t="n">
        <f aca="false">$G9798*'Analyse capacite'!$E$8</f>
        <v>0</v>
      </c>
    </row>
    <row r="9799" customFormat="false" ht="15" hidden="false" customHeight="false" outlineLevel="0" collapsed="false">
      <c r="B9799" s="130" t="n">
        <v>2027</v>
      </c>
      <c r="C9799" s="131" t="s">
        <v>254</v>
      </c>
      <c r="D9799" s="132" t="n">
        <v>46750</v>
      </c>
      <c r="E9799" s="131" t="s">
        <v>12</v>
      </c>
      <c r="F9799" s="133" t="s">
        <v>24</v>
      </c>
      <c r="G9799" s="134" t="n">
        <f aca="false">LEN('Saisie programme'!$F$327)+SUMIFS('Vols additionnels'!$E$7:$E$66,'Vols additionnels'!$C$7:$C$66,$E9799,'Vols additionnels'!$D$7:$D$66,$F9799,'Vols additionnels'!$B$7:$B$66,$D9799)</f>
        <v>0</v>
      </c>
      <c r="H9799" s="135" t="n">
        <f aca="false">$G9799*'Analyse capacite'!$F$9</f>
        <v>0</v>
      </c>
      <c r="I9799" s="135" t="n">
        <f aca="false">$G9799*'Analyse capacite'!$C$9</f>
        <v>0</v>
      </c>
      <c r="J9799" s="135" t="n">
        <f aca="false">$G9799*'Analyse capacite'!$D$9</f>
        <v>0</v>
      </c>
      <c r="K9799" s="135" t="n">
        <f aca="false">$G9799*'Analyse capacite'!$E$9</f>
        <v>0</v>
      </c>
    </row>
    <row r="9800" customFormat="false" ht="15" hidden="false" customHeight="false" outlineLevel="0" collapsed="false">
      <c r="B9800" s="130" t="n">
        <v>2027</v>
      </c>
      <c r="C9800" s="131" t="s">
        <v>254</v>
      </c>
      <c r="D9800" s="132" t="n">
        <v>46750</v>
      </c>
      <c r="E9800" s="131" t="s">
        <v>20</v>
      </c>
      <c r="F9800" s="133" t="s">
        <v>11</v>
      </c>
      <c r="G9800" s="134" t="n">
        <f aca="false">LEN('Saisie programme'!$F$328)+SUMIFS('Vols additionnels'!$E$7:$E$66,'Vols additionnels'!$C$7:$C$66,$E9800,'Vols additionnels'!$D$7:$D$66,$F9800,'Vols additionnels'!$B$7:$B$66,$D9800)</f>
        <v>0</v>
      </c>
      <c r="H9800" s="135" t="n">
        <f aca="false">$G9800*'Analyse capacite'!$F$7</f>
        <v>0</v>
      </c>
      <c r="I9800" s="135" t="n">
        <f aca="false">$G9800*'Analyse capacite'!$C$7</f>
        <v>0</v>
      </c>
      <c r="J9800" s="135" t="n">
        <f aca="false">$G9800*'Analyse capacite'!$D$7</f>
        <v>0</v>
      </c>
      <c r="K9800" s="135" t="n">
        <f aca="false">$G9800*'Analyse capacite'!$E$7</f>
        <v>0</v>
      </c>
    </row>
    <row r="9801" customFormat="false" ht="15" hidden="false" customHeight="false" outlineLevel="0" collapsed="false">
      <c r="B9801" s="130" t="n">
        <v>2027</v>
      </c>
      <c r="C9801" s="131" t="s">
        <v>254</v>
      </c>
      <c r="D9801" s="132" t="n">
        <v>46750</v>
      </c>
      <c r="E9801" s="131" t="s">
        <v>20</v>
      </c>
      <c r="F9801" s="133" t="s">
        <v>19</v>
      </c>
      <c r="G9801" s="134" t="n">
        <f aca="false">LEN('Saisie programme'!$F$329)+SUMIFS('Vols additionnels'!$E$7:$E$66,'Vols additionnels'!$C$7:$C$66,$E9801,'Vols additionnels'!$D$7:$D$66,$F9801,'Vols additionnels'!$B$7:$B$66,$D9801)</f>
        <v>0</v>
      </c>
      <c r="H9801" s="135" t="n">
        <f aca="false">$G9801*'Analyse capacite'!$F$8</f>
        <v>0</v>
      </c>
      <c r="I9801" s="135" t="n">
        <f aca="false">$G9801*'Analyse capacite'!$C$8</f>
        <v>0</v>
      </c>
      <c r="J9801" s="135" t="n">
        <f aca="false">$G9801*'Analyse capacite'!$D$8</f>
        <v>0</v>
      </c>
      <c r="K9801" s="135" t="n">
        <f aca="false">$G9801*'Analyse capacite'!$E$8</f>
        <v>0</v>
      </c>
    </row>
    <row r="9802" customFormat="false" ht="15" hidden="false" customHeight="false" outlineLevel="0" collapsed="false">
      <c r="B9802" s="130" t="n">
        <v>2027</v>
      </c>
      <c r="C9802" s="131" t="s">
        <v>254</v>
      </c>
      <c r="D9802" s="132" t="n">
        <v>46750</v>
      </c>
      <c r="E9802" s="131" t="s">
        <v>20</v>
      </c>
      <c r="F9802" s="133" t="s">
        <v>24</v>
      </c>
      <c r="G9802" s="134" t="n">
        <f aca="false">LEN('Saisie programme'!$F$330)+SUMIFS('Vols additionnels'!$E$7:$E$66,'Vols additionnels'!$C$7:$C$66,$E9802,'Vols additionnels'!$D$7:$D$66,$F9802,'Vols additionnels'!$B$7:$B$66,$D9802)</f>
        <v>0</v>
      </c>
      <c r="H9802" s="135" t="n">
        <f aca="false">$G9802*'Analyse capacite'!$F$9</f>
        <v>0</v>
      </c>
      <c r="I9802" s="135" t="n">
        <f aca="false">$G9802*'Analyse capacite'!$C$9</f>
        <v>0</v>
      </c>
      <c r="J9802" s="135" t="n">
        <f aca="false">$G9802*'Analyse capacite'!$D$9</f>
        <v>0</v>
      </c>
      <c r="K9802" s="135" t="n">
        <f aca="false">$G9802*'Analyse capacite'!$E$9</f>
        <v>0</v>
      </c>
    </row>
    <row r="9803" customFormat="false" ht="15" hidden="false" customHeight="false" outlineLevel="0" collapsed="false">
      <c r="B9803" s="130" t="n">
        <v>2027</v>
      </c>
      <c r="C9803" s="131" t="s">
        <v>254</v>
      </c>
      <c r="D9803" s="132" t="n">
        <v>46750</v>
      </c>
      <c r="E9803" s="131" t="s">
        <v>25</v>
      </c>
      <c r="F9803" s="133" t="s">
        <v>11</v>
      </c>
      <c r="G9803" s="134" t="n">
        <f aca="false">LEN('Saisie programme'!$F$331)+SUMIFS('Vols additionnels'!$E$7:$E$66,'Vols additionnels'!$C$7:$C$66,$E9803,'Vols additionnels'!$D$7:$D$66,$F9803,'Vols additionnels'!$B$7:$B$66,$D9803)</f>
        <v>0</v>
      </c>
      <c r="H9803" s="135" t="n">
        <f aca="false">$G9803*'Analyse capacite'!$F$7</f>
        <v>0</v>
      </c>
      <c r="I9803" s="135" t="n">
        <f aca="false">$G9803*'Analyse capacite'!$C$7</f>
        <v>0</v>
      </c>
      <c r="J9803" s="135" t="n">
        <f aca="false">$G9803*'Analyse capacite'!$D$7</f>
        <v>0</v>
      </c>
      <c r="K9803" s="135" t="n">
        <f aca="false">$G9803*'Analyse capacite'!$E$7</f>
        <v>0</v>
      </c>
    </row>
    <row r="9804" customFormat="false" ht="15" hidden="false" customHeight="false" outlineLevel="0" collapsed="false">
      <c r="B9804" s="130" t="n">
        <v>2027</v>
      </c>
      <c r="C9804" s="131" t="s">
        <v>254</v>
      </c>
      <c r="D9804" s="132" t="n">
        <v>46750</v>
      </c>
      <c r="E9804" s="131" t="s">
        <v>25</v>
      </c>
      <c r="F9804" s="133" t="s">
        <v>19</v>
      </c>
      <c r="G9804" s="134" t="n">
        <f aca="false">LEN('Saisie programme'!$F$332)+SUMIFS('Vols additionnels'!$E$7:$E$66,'Vols additionnels'!$C$7:$C$66,$E9804,'Vols additionnels'!$D$7:$D$66,$F9804,'Vols additionnels'!$B$7:$B$66,$D9804)</f>
        <v>1</v>
      </c>
      <c r="H9804" s="135" t="n">
        <f aca="false">$G9804*'Analyse capacite'!$F$8</f>
        <v>262</v>
      </c>
      <c r="I9804" s="135" t="n">
        <f aca="false">$G9804*'Analyse capacite'!$C$8</f>
        <v>18</v>
      </c>
      <c r="J9804" s="135" t="n">
        <f aca="false">$G9804*'Analyse capacite'!$D$8</f>
        <v>0</v>
      </c>
      <c r="K9804" s="135" t="n">
        <f aca="false">$G9804*'Analyse capacite'!$E$8</f>
        <v>244</v>
      </c>
    </row>
    <row r="9805" customFormat="false" ht="15" hidden="false" customHeight="false" outlineLevel="0" collapsed="false">
      <c r="B9805" s="130" t="n">
        <v>2027</v>
      </c>
      <c r="C9805" s="131" t="s">
        <v>254</v>
      </c>
      <c r="D9805" s="132" t="n">
        <v>46750</v>
      </c>
      <c r="E9805" s="131" t="s">
        <v>25</v>
      </c>
      <c r="F9805" s="133" t="s">
        <v>24</v>
      </c>
      <c r="G9805" s="134" t="n">
        <f aca="false">LEN('Saisie programme'!$F$333)+SUMIFS('Vols additionnels'!$E$7:$E$66,'Vols additionnels'!$C$7:$C$66,$E9805,'Vols additionnels'!$D$7:$D$66,$F9805,'Vols additionnels'!$B$7:$B$66,$D9805)</f>
        <v>0</v>
      </c>
      <c r="H9805" s="135" t="n">
        <f aca="false">$G9805*'Analyse capacite'!$F$9</f>
        <v>0</v>
      </c>
      <c r="I9805" s="135" t="n">
        <f aca="false">$G9805*'Analyse capacite'!$C$9</f>
        <v>0</v>
      </c>
      <c r="J9805" s="135" t="n">
        <f aca="false">$G9805*'Analyse capacite'!$D$9</f>
        <v>0</v>
      </c>
      <c r="K9805" s="135" t="n">
        <f aca="false">$G9805*'Analyse capacite'!$E$9</f>
        <v>0</v>
      </c>
    </row>
    <row r="9806" customFormat="false" ht="15" hidden="false" customHeight="false" outlineLevel="0" collapsed="false">
      <c r="B9806" s="130" t="n">
        <v>2027</v>
      </c>
      <c r="C9806" s="131" t="s">
        <v>254</v>
      </c>
      <c r="D9806" s="132" t="n">
        <v>46750</v>
      </c>
      <c r="E9806" s="131" t="s">
        <v>36</v>
      </c>
      <c r="F9806" s="133" t="s">
        <v>11</v>
      </c>
      <c r="G9806" s="134" t="n">
        <f aca="false">LEN('Saisie programme'!$F$334)+SUMIFS('Vols additionnels'!$E$7:$E$66,'Vols additionnels'!$C$7:$C$66,$E9806,'Vols additionnels'!$D$7:$D$66,$F9806,'Vols additionnels'!$B$7:$B$66,$D9806)</f>
        <v>0</v>
      </c>
      <c r="H9806" s="135" t="n">
        <f aca="false">$G9806*'Analyse capacite'!$F$7</f>
        <v>0</v>
      </c>
      <c r="I9806" s="135" t="n">
        <f aca="false">$G9806*'Analyse capacite'!$C$7</f>
        <v>0</v>
      </c>
      <c r="J9806" s="135" t="n">
        <f aca="false">$G9806*'Analyse capacite'!$D$7</f>
        <v>0</v>
      </c>
      <c r="K9806" s="135" t="n">
        <f aca="false">$G9806*'Analyse capacite'!$E$7</f>
        <v>0</v>
      </c>
    </row>
    <row r="9807" customFormat="false" ht="15" hidden="false" customHeight="false" outlineLevel="0" collapsed="false">
      <c r="B9807" s="130" t="n">
        <v>2027</v>
      </c>
      <c r="C9807" s="131" t="s">
        <v>254</v>
      </c>
      <c r="D9807" s="132" t="n">
        <v>46750</v>
      </c>
      <c r="E9807" s="131" t="s">
        <v>36</v>
      </c>
      <c r="F9807" s="133" t="s">
        <v>19</v>
      </c>
      <c r="G9807" s="134" t="n">
        <f aca="false">LEN('Saisie programme'!$F$335)+SUMIFS('Vols additionnels'!$E$7:$E$66,'Vols additionnels'!$C$7:$C$66,$E9807,'Vols additionnels'!$D$7:$D$66,$F9807,'Vols additionnels'!$B$7:$B$66,$D9807)</f>
        <v>1</v>
      </c>
      <c r="H9807" s="135" t="n">
        <f aca="false">$G9807*'Analyse capacite'!$F$8</f>
        <v>262</v>
      </c>
      <c r="I9807" s="135" t="n">
        <f aca="false">$G9807*'Analyse capacite'!$C$8</f>
        <v>18</v>
      </c>
      <c r="J9807" s="135" t="n">
        <f aca="false">$G9807*'Analyse capacite'!$D$8</f>
        <v>0</v>
      </c>
      <c r="K9807" s="135" t="n">
        <f aca="false">$G9807*'Analyse capacite'!$E$8</f>
        <v>244</v>
      </c>
    </row>
    <row r="9808" customFormat="false" ht="15" hidden="false" customHeight="false" outlineLevel="0" collapsed="false">
      <c r="B9808" s="130" t="n">
        <v>2027</v>
      </c>
      <c r="C9808" s="131" t="s">
        <v>254</v>
      </c>
      <c r="D9808" s="132" t="n">
        <v>46750</v>
      </c>
      <c r="E9808" s="131" t="s">
        <v>36</v>
      </c>
      <c r="F9808" s="133" t="s">
        <v>24</v>
      </c>
      <c r="G9808" s="134" t="n">
        <f aca="false">LEN('Saisie programme'!$F$336)+SUMIFS('Vols additionnels'!$E$7:$E$66,'Vols additionnels'!$C$7:$C$66,$E9808,'Vols additionnels'!$D$7:$D$66,$F9808,'Vols additionnels'!$B$7:$B$66,$D9808)</f>
        <v>1</v>
      </c>
      <c r="H9808" s="135" t="n">
        <f aca="false">$G9808*'Analyse capacite'!$F$9</f>
        <v>174</v>
      </c>
      <c r="I9808" s="135" t="n">
        <f aca="false">$G9808*'Analyse capacite'!$C$9</f>
        <v>0</v>
      </c>
      <c r="J9808" s="135" t="n">
        <f aca="false">$G9808*'Analyse capacite'!$D$9</f>
        <v>12</v>
      </c>
      <c r="K9808" s="135" t="n">
        <f aca="false">$G9808*'Analyse capacite'!$E$9</f>
        <v>162</v>
      </c>
    </row>
    <row r="9809" customFormat="false" ht="15" hidden="false" customHeight="false" outlineLevel="0" collapsed="false">
      <c r="B9809" s="130" t="n">
        <v>2027</v>
      </c>
      <c r="C9809" s="131" t="s">
        <v>254</v>
      </c>
      <c r="D9809" s="132" t="n">
        <v>46750</v>
      </c>
      <c r="E9809" s="131" t="s">
        <v>40</v>
      </c>
      <c r="F9809" s="133" t="s">
        <v>11</v>
      </c>
      <c r="G9809" s="134" t="n">
        <f aca="false">LEN('Saisie programme'!$F$337)+SUMIFS('Vols additionnels'!$E$7:$E$66,'Vols additionnels'!$C$7:$C$66,$E9809,'Vols additionnels'!$D$7:$D$66,$F9809,'Vols additionnels'!$B$7:$B$66,$D9809)</f>
        <v>0</v>
      </c>
      <c r="H9809" s="135" t="n">
        <f aca="false">$G9809*'Analyse capacite'!$F$7</f>
        <v>0</v>
      </c>
      <c r="I9809" s="135" t="n">
        <f aca="false">$G9809*'Analyse capacite'!$C$7</f>
        <v>0</v>
      </c>
      <c r="J9809" s="135" t="n">
        <f aca="false">$G9809*'Analyse capacite'!$D$7</f>
        <v>0</v>
      </c>
      <c r="K9809" s="135" t="n">
        <f aca="false">$G9809*'Analyse capacite'!$E$7</f>
        <v>0</v>
      </c>
    </row>
    <row r="9810" customFormat="false" ht="15" hidden="false" customHeight="false" outlineLevel="0" collapsed="false">
      <c r="B9810" s="130" t="n">
        <v>2027</v>
      </c>
      <c r="C9810" s="131" t="s">
        <v>254</v>
      </c>
      <c r="D9810" s="132" t="n">
        <v>46750</v>
      </c>
      <c r="E9810" s="131" t="s">
        <v>40</v>
      </c>
      <c r="F9810" s="133" t="s">
        <v>19</v>
      </c>
      <c r="G9810" s="134" t="n">
        <f aca="false">LEN('Saisie programme'!$F$338)+SUMIFS('Vols additionnels'!$E$7:$E$66,'Vols additionnels'!$C$7:$C$66,$E9810,'Vols additionnels'!$D$7:$D$66,$F9810,'Vols additionnels'!$B$7:$B$66,$D9810)</f>
        <v>0</v>
      </c>
      <c r="H9810" s="135" t="n">
        <f aca="false">$G9810*'Analyse capacite'!$F$8</f>
        <v>0</v>
      </c>
      <c r="I9810" s="135" t="n">
        <f aca="false">$G9810*'Analyse capacite'!$C$8</f>
        <v>0</v>
      </c>
      <c r="J9810" s="135" t="n">
        <f aca="false">$G9810*'Analyse capacite'!$D$8</f>
        <v>0</v>
      </c>
      <c r="K9810" s="135" t="n">
        <f aca="false">$G9810*'Analyse capacite'!$E$8</f>
        <v>0</v>
      </c>
    </row>
    <row r="9811" customFormat="false" ht="15" hidden="false" customHeight="false" outlineLevel="0" collapsed="false">
      <c r="B9811" s="130" t="n">
        <v>2027</v>
      </c>
      <c r="C9811" s="131" t="s">
        <v>254</v>
      </c>
      <c r="D9811" s="132" t="n">
        <v>46750</v>
      </c>
      <c r="E9811" s="131" t="s">
        <v>40</v>
      </c>
      <c r="F9811" s="133" t="s">
        <v>24</v>
      </c>
      <c r="G9811" s="134" t="n">
        <f aca="false">LEN('Saisie programme'!$F$339)+SUMIFS('Vols additionnels'!$E$7:$E$66,'Vols additionnels'!$C$7:$C$66,$E9811,'Vols additionnels'!$D$7:$D$66,$F9811,'Vols additionnels'!$B$7:$B$66,$D9811)</f>
        <v>1</v>
      </c>
      <c r="H9811" s="135" t="n">
        <f aca="false">$G9811*'Analyse capacite'!$F$9</f>
        <v>174</v>
      </c>
      <c r="I9811" s="135" t="n">
        <f aca="false">$G9811*'Analyse capacite'!$C$9</f>
        <v>0</v>
      </c>
      <c r="J9811" s="135" t="n">
        <f aca="false">$G9811*'Analyse capacite'!$D$9</f>
        <v>12</v>
      </c>
      <c r="K9811" s="135" t="n">
        <f aca="false">$G9811*'Analyse capacite'!$E$9</f>
        <v>162</v>
      </c>
    </row>
    <row r="9812" customFormat="false" ht="15" hidden="false" customHeight="false" outlineLevel="0" collapsed="false">
      <c r="B9812" s="130" t="n">
        <v>2027</v>
      </c>
      <c r="C9812" s="131" t="s">
        <v>254</v>
      </c>
      <c r="D9812" s="132" t="n">
        <v>46750</v>
      </c>
      <c r="E9812" s="131" t="s">
        <v>14</v>
      </c>
      <c r="F9812" s="133" t="s">
        <v>11</v>
      </c>
      <c r="G9812" s="134" t="n">
        <f aca="false">LEN('Saisie programme'!$F$340)+SUMIFS('Vols additionnels'!$E$7:$E$66,'Vols additionnels'!$C$7:$C$66,$E9812,'Vols additionnels'!$D$7:$D$66,$F9812,'Vols additionnels'!$B$7:$B$66,$D9812)</f>
        <v>0</v>
      </c>
      <c r="H9812" s="135" t="n">
        <f aca="false">$G9812*'Analyse capacite'!$F$7</f>
        <v>0</v>
      </c>
      <c r="I9812" s="135" t="n">
        <f aca="false">$G9812*'Analyse capacite'!$C$7</f>
        <v>0</v>
      </c>
      <c r="J9812" s="135" t="n">
        <f aca="false">$G9812*'Analyse capacite'!$D$7</f>
        <v>0</v>
      </c>
      <c r="K9812" s="135" t="n">
        <f aca="false">$G9812*'Analyse capacite'!$E$7</f>
        <v>0</v>
      </c>
    </row>
    <row r="9813" customFormat="false" ht="15" hidden="false" customHeight="false" outlineLevel="0" collapsed="false">
      <c r="B9813" s="130" t="n">
        <v>2027</v>
      </c>
      <c r="C9813" s="131" t="s">
        <v>254</v>
      </c>
      <c r="D9813" s="132" t="n">
        <v>46750</v>
      </c>
      <c r="E9813" s="131" t="s">
        <v>14</v>
      </c>
      <c r="F9813" s="133" t="s">
        <v>19</v>
      </c>
      <c r="G9813" s="134" t="n">
        <f aca="false">LEN('Saisie programme'!$F$341)+SUMIFS('Vols additionnels'!$E$7:$E$66,'Vols additionnels'!$C$7:$C$66,$E9813,'Vols additionnels'!$D$7:$D$66,$F9813,'Vols additionnels'!$B$7:$B$66,$D9813)</f>
        <v>0</v>
      </c>
      <c r="H9813" s="135" t="n">
        <f aca="false">$G9813*'Analyse capacite'!$F$8</f>
        <v>0</v>
      </c>
      <c r="I9813" s="135" t="n">
        <f aca="false">$G9813*'Analyse capacite'!$C$8</f>
        <v>0</v>
      </c>
      <c r="J9813" s="135" t="n">
        <f aca="false">$G9813*'Analyse capacite'!$D$8</f>
        <v>0</v>
      </c>
      <c r="K9813" s="135" t="n">
        <f aca="false">$G9813*'Analyse capacite'!$E$8</f>
        <v>0</v>
      </c>
    </row>
    <row r="9814" customFormat="false" ht="15" hidden="false" customHeight="false" outlineLevel="0" collapsed="false">
      <c r="B9814" s="130" t="n">
        <v>2027</v>
      </c>
      <c r="C9814" s="131" t="s">
        <v>254</v>
      </c>
      <c r="D9814" s="132" t="n">
        <v>46750</v>
      </c>
      <c r="E9814" s="131" t="s">
        <v>14</v>
      </c>
      <c r="F9814" s="133" t="s">
        <v>24</v>
      </c>
      <c r="G9814" s="134" t="n">
        <f aca="false">LEN('Saisie programme'!$F$342)+SUMIFS('Vols additionnels'!$E$7:$E$66,'Vols additionnels'!$C$7:$C$66,$E9814,'Vols additionnels'!$D$7:$D$66,$F9814,'Vols additionnels'!$B$7:$B$66,$D9814)</f>
        <v>0</v>
      </c>
      <c r="H9814" s="135" t="n">
        <f aca="false">$G9814*'Analyse capacite'!$F$9</f>
        <v>0</v>
      </c>
      <c r="I9814" s="135" t="n">
        <f aca="false">$G9814*'Analyse capacite'!$C$9</f>
        <v>0</v>
      </c>
      <c r="J9814" s="135" t="n">
        <f aca="false">$G9814*'Analyse capacite'!$D$9</f>
        <v>0</v>
      </c>
      <c r="K9814" s="135" t="n">
        <f aca="false">$G9814*'Analyse capacite'!$E$9</f>
        <v>0</v>
      </c>
    </row>
    <row r="9815" customFormat="false" ht="15" hidden="false" customHeight="false" outlineLevel="0" collapsed="false">
      <c r="B9815" s="130" t="n">
        <v>2027</v>
      </c>
      <c r="C9815" s="131" t="s">
        <v>254</v>
      </c>
      <c r="D9815" s="132" t="n">
        <v>46750</v>
      </c>
      <c r="E9815" s="131" t="s">
        <v>46</v>
      </c>
      <c r="F9815" s="133" t="s">
        <v>11</v>
      </c>
      <c r="G9815" s="134" t="n">
        <f aca="false">LEN('Saisie programme'!$F$343)+SUMIFS('Vols additionnels'!$E$7:$E$66,'Vols additionnels'!$C$7:$C$66,$E9815,'Vols additionnels'!$D$7:$D$66,$F9815,'Vols additionnels'!$B$7:$B$66,$D9815)</f>
        <v>0</v>
      </c>
      <c r="H9815" s="135" t="n">
        <f aca="false">$G9815*'Analyse capacite'!$F$7</f>
        <v>0</v>
      </c>
      <c r="I9815" s="135" t="n">
        <f aca="false">$G9815*'Analyse capacite'!$C$7</f>
        <v>0</v>
      </c>
      <c r="J9815" s="135" t="n">
        <f aca="false">$G9815*'Analyse capacite'!$D$7</f>
        <v>0</v>
      </c>
      <c r="K9815" s="135" t="n">
        <f aca="false">$G9815*'Analyse capacite'!$E$7</f>
        <v>0</v>
      </c>
    </row>
    <row r="9816" customFormat="false" ht="15" hidden="false" customHeight="false" outlineLevel="0" collapsed="false">
      <c r="B9816" s="130" t="n">
        <v>2027</v>
      </c>
      <c r="C9816" s="131" t="s">
        <v>254</v>
      </c>
      <c r="D9816" s="132" t="n">
        <v>46750</v>
      </c>
      <c r="E9816" s="131" t="s">
        <v>46</v>
      </c>
      <c r="F9816" s="133" t="s">
        <v>19</v>
      </c>
      <c r="G9816" s="134" t="n">
        <f aca="false">LEN('Saisie programme'!$F$344)+SUMIFS('Vols additionnels'!$E$7:$E$66,'Vols additionnels'!$C$7:$C$66,$E9816,'Vols additionnels'!$D$7:$D$66,$F9816,'Vols additionnels'!$B$7:$B$66,$D9816)</f>
        <v>0</v>
      </c>
      <c r="H9816" s="135" t="n">
        <f aca="false">$G9816*'Analyse capacite'!$F$8</f>
        <v>0</v>
      </c>
      <c r="I9816" s="135" t="n">
        <f aca="false">$G9816*'Analyse capacite'!$C$8</f>
        <v>0</v>
      </c>
      <c r="J9816" s="135" t="n">
        <f aca="false">$G9816*'Analyse capacite'!$D$8</f>
        <v>0</v>
      </c>
      <c r="K9816" s="135" t="n">
        <f aca="false">$G9816*'Analyse capacite'!$E$8</f>
        <v>0</v>
      </c>
    </row>
    <row r="9817" customFormat="false" ht="15" hidden="false" customHeight="false" outlineLevel="0" collapsed="false">
      <c r="B9817" s="130" t="n">
        <v>2027</v>
      </c>
      <c r="C9817" s="131" t="s">
        <v>254</v>
      </c>
      <c r="D9817" s="132" t="n">
        <v>46750</v>
      </c>
      <c r="E9817" s="131" t="s">
        <v>46</v>
      </c>
      <c r="F9817" s="133" t="s">
        <v>24</v>
      </c>
      <c r="G9817" s="134" t="n">
        <f aca="false">LEN('Saisie programme'!$F$345)+SUMIFS('Vols additionnels'!$E$7:$E$66,'Vols additionnels'!$C$7:$C$66,$E9817,'Vols additionnels'!$D$7:$D$66,$F9817,'Vols additionnels'!$B$7:$B$66,$D9817)</f>
        <v>0</v>
      </c>
      <c r="H9817" s="135" t="n">
        <f aca="false">$G9817*'Analyse capacite'!$F$9</f>
        <v>0</v>
      </c>
      <c r="I9817" s="135" t="n">
        <f aca="false">$G9817*'Analyse capacite'!$C$9</f>
        <v>0</v>
      </c>
      <c r="J9817" s="135" t="n">
        <f aca="false">$G9817*'Analyse capacite'!$D$9</f>
        <v>0</v>
      </c>
      <c r="K9817" s="135" t="n">
        <f aca="false">$G9817*'Analyse capacite'!$E$9</f>
        <v>0</v>
      </c>
    </row>
    <row r="9818" customFormat="false" ht="15" hidden="false" customHeight="false" outlineLevel="0" collapsed="false">
      <c r="B9818" s="130" t="n">
        <v>2027</v>
      </c>
      <c r="C9818" s="131" t="s">
        <v>254</v>
      </c>
      <c r="D9818" s="132" t="n">
        <v>46750</v>
      </c>
      <c r="E9818" s="131" t="s">
        <v>49</v>
      </c>
      <c r="F9818" s="133" t="s">
        <v>11</v>
      </c>
      <c r="G9818" s="134" t="n">
        <f aca="false">LEN('Saisie programme'!$F$346)+SUMIFS('Vols additionnels'!$E$7:$E$66,'Vols additionnels'!$C$7:$C$66,$E9818,'Vols additionnels'!$D$7:$D$66,$F9818,'Vols additionnels'!$B$7:$B$66,$D9818)</f>
        <v>0</v>
      </c>
      <c r="H9818" s="135" t="n">
        <f aca="false">$G9818*'Analyse capacite'!$F$7</f>
        <v>0</v>
      </c>
      <c r="I9818" s="135" t="n">
        <f aca="false">$G9818*'Analyse capacite'!$C$7</f>
        <v>0</v>
      </c>
      <c r="J9818" s="135" t="n">
        <f aca="false">$G9818*'Analyse capacite'!$D$7</f>
        <v>0</v>
      </c>
      <c r="K9818" s="135" t="n">
        <f aca="false">$G9818*'Analyse capacite'!$E$7</f>
        <v>0</v>
      </c>
    </row>
    <row r="9819" customFormat="false" ht="15" hidden="false" customHeight="false" outlineLevel="0" collapsed="false">
      <c r="B9819" s="130" t="n">
        <v>2027</v>
      </c>
      <c r="C9819" s="131" t="s">
        <v>254</v>
      </c>
      <c r="D9819" s="132" t="n">
        <v>46750</v>
      </c>
      <c r="E9819" s="131" t="s">
        <v>49</v>
      </c>
      <c r="F9819" s="133" t="s">
        <v>19</v>
      </c>
      <c r="G9819" s="134" t="n">
        <f aca="false">LEN('Saisie programme'!$F$347)+SUMIFS('Vols additionnels'!$E$7:$E$66,'Vols additionnels'!$C$7:$C$66,$E9819,'Vols additionnels'!$D$7:$D$66,$F9819,'Vols additionnels'!$B$7:$B$66,$D9819)</f>
        <v>0</v>
      </c>
      <c r="H9819" s="135" t="n">
        <f aca="false">$G9819*'Analyse capacite'!$F$8</f>
        <v>0</v>
      </c>
      <c r="I9819" s="135" t="n">
        <f aca="false">$G9819*'Analyse capacite'!$C$8</f>
        <v>0</v>
      </c>
      <c r="J9819" s="135" t="n">
        <f aca="false">$G9819*'Analyse capacite'!$D$8</f>
        <v>0</v>
      </c>
      <c r="K9819" s="135" t="n">
        <f aca="false">$G9819*'Analyse capacite'!$E$8</f>
        <v>0</v>
      </c>
    </row>
    <row r="9820" customFormat="false" ht="15" hidden="false" customHeight="false" outlineLevel="0" collapsed="false">
      <c r="B9820" s="130" t="n">
        <v>2027</v>
      </c>
      <c r="C9820" s="131" t="s">
        <v>254</v>
      </c>
      <c r="D9820" s="132" t="n">
        <v>46750</v>
      </c>
      <c r="E9820" s="131" t="s">
        <v>49</v>
      </c>
      <c r="F9820" s="133" t="s">
        <v>24</v>
      </c>
      <c r="G9820" s="134" t="n">
        <f aca="false">LEN('Saisie programme'!$F$348)+SUMIFS('Vols additionnels'!$E$7:$E$66,'Vols additionnels'!$C$7:$C$66,$E9820,'Vols additionnels'!$D$7:$D$66,$F9820,'Vols additionnels'!$B$7:$B$66,$D9820)</f>
        <v>0</v>
      </c>
      <c r="H9820" s="135" t="n">
        <f aca="false">$G9820*'Analyse capacite'!$F$9</f>
        <v>0</v>
      </c>
      <c r="I9820" s="135" t="n">
        <f aca="false">$G9820*'Analyse capacite'!$C$9</f>
        <v>0</v>
      </c>
      <c r="J9820" s="135" t="n">
        <f aca="false">$G9820*'Analyse capacite'!$D$9</f>
        <v>0</v>
      </c>
      <c r="K9820" s="135" t="n">
        <f aca="false">$G9820*'Analyse capacite'!$E$9</f>
        <v>0</v>
      </c>
    </row>
    <row r="9821" customFormat="false" ht="15" hidden="false" customHeight="false" outlineLevel="0" collapsed="false">
      <c r="B9821" s="130" t="n">
        <v>2027</v>
      </c>
      <c r="C9821" s="131" t="s">
        <v>254</v>
      </c>
      <c r="D9821" s="132" t="n">
        <v>46750</v>
      </c>
      <c r="E9821" s="131" t="s">
        <v>53</v>
      </c>
      <c r="F9821" s="133" t="s">
        <v>11</v>
      </c>
      <c r="G9821" s="134" t="n">
        <f aca="false">LEN('Saisie programme'!$F$349)+SUMIFS('Vols additionnels'!$E$7:$E$66,'Vols additionnels'!$C$7:$C$66,$E9821,'Vols additionnels'!$D$7:$D$66,$F9821,'Vols additionnels'!$B$7:$B$66,$D9821)</f>
        <v>0</v>
      </c>
      <c r="H9821" s="135" t="n">
        <f aca="false">$G9821*'Analyse capacite'!$F$7</f>
        <v>0</v>
      </c>
      <c r="I9821" s="135" t="n">
        <f aca="false">$G9821*'Analyse capacite'!$C$7</f>
        <v>0</v>
      </c>
      <c r="J9821" s="135" t="n">
        <f aca="false">$G9821*'Analyse capacite'!$D$7</f>
        <v>0</v>
      </c>
      <c r="K9821" s="135" t="n">
        <f aca="false">$G9821*'Analyse capacite'!$E$7</f>
        <v>0</v>
      </c>
    </row>
    <row r="9822" customFormat="false" ht="15" hidden="false" customHeight="false" outlineLevel="0" collapsed="false">
      <c r="B9822" s="130" t="n">
        <v>2027</v>
      </c>
      <c r="C9822" s="131" t="s">
        <v>254</v>
      </c>
      <c r="D9822" s="132" t="n">
        <v>46750</v>
      </c>
      <c r="E9822" s="131" t="s">
        <v>53</v>
      </c>
      <c r="F9822" s="133" t="s">
        <v>19</v>
      </c>
      <c r="G9822" s="134" t="n">
        <f aca="false">LEN('Saisie programme'!$F$350)+SUMIFS('Vols additionnels'!$E$7:$E$66,'Vols additionnels'!$C$7:$C$66,$E9822,'Vols additionnels'!$D$7:$D$66,$F9822,'Vols additionnels'!$B$7:$B$66,$D9822)</f>
        <v>0</v>
      </c>
      <c r="H9822" s="135" t="n">
        <f aca="false">$G9822*'Analyse capacite'!$F$8</f>
        <v>0</v>
      </c>
      <c r="I9822" s="135" t="n">
        <f aca="false">$G9822*'Analyse capacite'!$C$8</f>
        <v>0</v>
      </c>
      <c r="J9822" s="135" t="n">
        <f aca="false">$G9822*'Analyse capacite'!$D$8</f>
        <v>0</v>
      </c>
      <c r="K9822" s="135" t="n">
        <f aca="false">$G9822*'Analyse capacite'!$E$8</f>
        <v>0</v>
      </c>
    </row>
    <row r="9823" customFormat="false" ht="15" hidden="false" customHeight="false" outlineLevel="0" collapsed="false">
      <c r="B9823" s="130" t="n">
        <v>2027</v>
      </c>
      <c r="C9823" s="131" t="s">
        <v>254</v>
      </c>
      <c r="D9823" s="132" t="n">
        <v>46750</v>
      </c>
      <c r="E9823" s="131" t="s">
        <v>53</v>
      </c>
      <c r="F9823" s="133" t="s">
        <v>24</v>
      </c>
      <c r="G9823" s="134" t="n">
        <f aca="false">LEN('Saisie programme'!$F$351)+SUMIFS('Vols additionnels'!$E$7:$E$66,'Vols additionnels'!$C$7:$C$66,$E9823,'Vols additionnels'!$D$7:$D$66,$F9823,'Vols additionnels'!$B$7:$B$66,$D9823)</f>
        <v>0</v>
      </c>
      <c r="H9823" s="135" t="n">
        <f aca="false">$G9823*'Analyse capacite'!$F$9</f>
        <v>0</v>
      </c>
      <c r="I9823" s="135" t="n">
        <f aca="false">$G9823*'Analyse capacite'!$C$9</f>
        <v>0</v>
      </c>
      <c r="J9823" s="135" t="n">
        <f aca="false">$G9823*'Analyse capacite'!$D$9</f>
        <v>0</v>
      </c>
      <c r="K9823" s="135" t="n">
        <f aca="false">$G9823*'Analyse capacite'!$E$9</f>
        <v>0</v>
      </c>
    </row>
    <row r="9824" customFormat="false" ht="15" hidden="false" customHeight="false" outlineLevel="0" collapsed="false">
      <c r="B9824" s="130" t="n">
        <v>2027</v>
      </c>
      <c r="C9824" s="131" t="s">
        <v>254</v>
      </c>
      <c r="D9824" s="132" t="n">
        <v>46750</v>
      </c>
      <c r="E9824" s="131" t="s">
        <v>56</v>
      </c>
      <c r="F9824" s="133" t="s">
        <v>11</v>
      </c>
      <c r="G9824" s="134" t="n">
        <f aca="false">LEN('Saisie programme'!$F$352)+SUMIFS('Vols additionnels'!$E$7:$E$66,'Vols additionnels'!$C$7:$C$66,$E9824,'Vols additionnels'!$D$7:$D$66,$F9824,'Vols additionnels'!$B$7:$B$66,$D9824)</f>
        <v>0</v>
      </c>
      <c r="H9824" s="135" t="n">
        <f aca="false">$G9824*'Analyse capacite'!$F$7</f>
        <v>0</v>
      </c>
      <c r="I9824" s="135" t="n">
        <f aca="false">$G9824*'Analyse capacite'!$C$7</f>
        <v>0</v>
      </c>
      <c r="J9824" s="135" t="n">
        <f aca="false">$G9824*'Analyse capacite'!$D$7</f>
        <v>0</v>
      </c>
      <c r="K9824" s="135" t="n">
        <f aca="false">$G9824*'Analyse capacite'!$E$7</f>
        <v>0</v>
      </c>
    </row>
    <row r="9825" customFormat="false" ht="15" hidden="false" customHeight="false" outlineLevel="0" collapsed="false">
      <c r="B9825" s="130" t="n">
        <v>2027</v>
      </c>
      <c r="C9825" s="131" t="s">
        <v>254</v>
      </c>
      <c r="D9825" s="132" t="n">
        <v>46750</v>
      </c>
      <c r="E9825" s="131" t="s">
        <v>56</v>
      </c>
      <c r="F9825" s="133" t="s">
        <v>19</v>
      </c>
      <c r="G9825" s="134" t="n">
        <f aca="false">LEN('Saisie programme'!$F$353)+SUMIFS('Vols additionnels'!$E$7:$E$66,'Vols additionnels'!$C$7:$C$66,$E9825,'Vols additionnels'!$D$7:$D$66,$F9825,'Vols additionnels'!$B$7:$B$66,$D9825)</f>
        <v>0</v>
      </c>
      <c r="H9825" s="135" t="n">
        <f aca="false">$G9825*'Analyse capacite'!$F$8</f>
        <v>0</v>
      </c>
      <c r="I9825" s="135" t="n">
        <f aca="false">$G9825*'Analyse capacite'!$C$8</f>
        <v>0</v>
      </c>
      <c r="J9825" s="135" t="n">
        <f aca="false">$G9825*'Analyse capacite'!$D$8</f>
        <v>0</v>
      </c>
      <c r="K9825" s="135" t="n">
        <f aca="false">$G9825*'Analyse capacite'!$E$8</f>
        <v>0</v>
      </c>
    </row>
    <row r="9826" customFormat="false" ht="15" hidden="false" customHeight="false" outlineLevel="0" collapsed="false">
      <c r="B9826" s="130" t="n">
        <v>2027</v>
      </c>
      <c r="C9826" s="131" t="s">
        <v>254</v>
      </c>
      <c r="D9826" s="132" t="n">
        <v>46750</v>
      </c>
      <c r="E9826" s="131" t="s">
        <v>56</v>
      </c>
      <c r="F9826" s="133" t="s">
        <v>24</v>
      </c>
      <c r="G9826" s="134" t="n">
        <f aca="false">LEN('Saisie programme'!$F$354)+SUMIFS('Vols additionnels'!$E$7:$E$66,'Vols additionnels'!$C$7:$C$66,$E9826,'Vols additionnels'!$D$7:$D$66,$F9826,'Vols additionnels'!$B$7:$B$66,$D9826)</f>
        <v>0</v>
      </c>
      <c r="H9826" s="135" t="n">
        <f aca="false">$G9826*'Analyse capacite'!$F$9</f>
        <v>0</v>
      </c>
      <c r="I9826" s="135" t="n">
        <f aca="false">$G9826*'Analyse capacite'!$C$9</f>
        <v>0</v>
      </c>
      <c r="J9826" s="135" t="n">
        <f aca="false">$G9826*'Analyse capacite'!$D$9</f>
        <v>0</v>
      </c>
      <c r="K9826" s="135" t="n">
        <f aca="false">$G9826*'Analyse capacite'!$E$9</f>
        <v>0</v>
      </c>
    </row>
    <row r="9827" customFormat="false" ht="15" hidden="false" customHeight="false" outlineLevel="0" collapsed="false">
      <c r="B9827" s="130" t="n">
        <v>2027</v>
      </c>
      <c r="C9827" s="131" t="s">
        <v>254</v>
      </c>
      <c r="D9827" s="132" t="n">
        <v>46750</v>
      </c>
      <c r="E9827" s="131" t="s">
        <v>59</v>
      </c>
      <c r="F9827" s="133" t="s">
        <v>11</v>
      </c>
      <c r="G9827" s="134" t="n">
        <f aca="false">LEN('Saisie programme'!$F$355)+SUMIFS('Vols additionnels'!$E$7:$E$66,'Vols additionnels'!$C$7:$C$66,$E9827,'Vols additionnels'!$D$7:$D$66,$F9827,'Vols additionnels'!$B$7:$B$66,$D9827)</f>
        <v>0</v>
      </c>
      <c r="H9827" s="135" t="n">
        <f aca="false">$G9827*'Analyse capacite'!$F$7</f>
        <v>0</v>
      </c>
      <c r="I9827" s="135" t="n">
        <f aca="false">$G9827*'Analyse capacite'!$C$7</f>
        <v>0</v>
      </c>
      <c r="J9827" s="135" t="n">
        <f aca="false">$G9827*'Analyse capacite'!$D$7</f>
        <v>0</v>
      </c>
      <c r="K9827" s="135" t="n">
        <f aca="false">$G9827*'Analyse capacite'!$E$7</f>
        <v>0</v>
      </c>
    </row>
    <row r="9828" customFormat="false" ht="15" hidden="false" customHeight="false" outlineLevel="0" collapsed="false">
      <c r="B9828" s="130" t="n">
        <v>2027</v>
      </c>
      <c r="C9828" s="131" t="s">
        <v>254</v>
      </c>
      <c r="D9828" s="132" t="n">
        <v>46750</v>
      </c>
      <c r="E9828" s="131" t="s">
        <v>59</v>
      </c>
      <c r="F9828" s="133" t="s">
        <v>19</v>
      </c>
      <c r="G9828" s="134" t="n">
        <f aca="false">LEN('Saisie programme'!$F$356)+SUMIFS('Vols additionnels'!$E$7:$E$66,'Vols additionnels'!$C$7:$C$66,$E9828,'Vols additionnels'!$D$7:$D$66,$F9828,'Vols additionnels'!$B$7:$B$66,$D9828)</f>
        <v>0</v>
      </c>
      <c r="H9828" s="135" t="n">
        <f aca="false">$G9828*'Analyse capacite'!$F$8</f>
        <v>0</v>
      </c>
      <c r="I9828" s="135" t="n">
        <f aca="false">$G9828*'Analyse capacite'!$C$8</f>
        <v>0</v>
      </c>
      <c r="J9828" s="135" t="n">
        <f aca="false">$G9828*'Analyse capacite'!$D$8</f>
        <v>0</v>
      </c>
      <c r="K9828" s="135" t="n">
        <f aca="false">$G9828*'Analyse capacite'!$E$8</f>
        <v>0</v>
      </c>
    </row>
    <row r="9829" customFormat="false" ht="15" hidden="false" customHeight="false" outlineLevel="0" collapsed="false">
      <c r="B9829" s="130" t="n">
        <v>2027</v>
      </c>
      <c r="C9829" s="131" t="s">
        <v>254</v>
      </c>
      <c r="D9829" s="132" t="n">
        <v>46750</v>
      </c>
      <c r="E9829" s="131" t="s">
        <v>59</v>
      </c>
      <c r="F9829" s="133" t="s">
        <v>24</v>
      </c>
      <c r="G9829" s="134" t="n">
        <f aca="false">LEN('Saisie programme'!$F$357)+SUMIFS('Vols additionnels'!$E$7:$E$66,'Vols additionnels'!$C$7:$C$66,$E9829,'Vols additionnels'!$D$7:$D$66,$F9829,'Vols additionnels'!$B$7:$B$66,$D9829)</f>
        <v>1</v>
      </c>
      <c r="H9829" s="135" t="n">
        <f aca="false">$G9829*'Analyse capacite'!$F$9</f>
        <v>174</v>
      </c>
      <c r="I9829" s="135" t="n">
        <f aca="false">$G9829*'Analyse capacite'!$C$9</f>
        <v>0</v>
      </c>
      <c r="J9829" s="135" t="n">
        <f aca="false">$G9829*'Analyse capacite'!$D$9</f>
        <v>12</v>
      </c>
      <c r="K9829" s="135" t="n">
        <f aca="false">$G9829*'Analyse capacite'!$E$9</f>
        <v>162</v>
      </c>
    </row>
    <row r="9830" customFormat="false" ht="15" hidden="false" customHeight="false" outlineLevel="0" collapsed="false">
      <c r="B9830" s="130" t="n">
        <v>2027</v>
      </c>
      <c r="C9830" s="131" t="s">
        <v>254</v>
      </c>
      <c r="D9830" s="132" t="n">
        <v>46750</v>
      </c>
      <c r="E9830" s="131" t="s">
        <v>62</v>
      </c>
      <c r="F9830" s="133" t="s">
        <v>11</v>
      </c>
      <c r="G9830" s="134" t="n">
        <f aca="false">LEN('Saisie programme'!$F$358)+SUMIFS('Vols additionnels'!$E$7:$E$66,'Vols additionnels'!$C$7:$C$66,$E9830,'Vols additionnels'!$D$7:$D$66,$F9830,'Vols additionnels'!$B$7:$B$66,$D9830)</f>
        <v>0</v>
      </c>
      <c r="H9830" s="135" t="n">
        <f aca="false">$G9830*'Analyse capacite'!$F$7</f>
        <v>0</v>
      </c>
      <c r="I9830" s="135" t="n">
        <f aca="false">$G9830*'Analyse capacite'!$C$7</f>
        <v>0</v>
      </c>
      <c r="J9830" s="135" t="n">
        <f aca="false">$G9830*'Analyse capacite'!$D$7</f>
        <v>0</v>
      </c>
      <c r="K9830" s="135" t="n">
        <f aca="false">$G9830*'Analyse capacite'!$E$7</f>
        <v>0</v>
      </c>
    </row>
    <row r="9831" customFormat="false" ht="15" hidden="false" customHeight="false" outlineLevel="0" collapsed="false">
      <c r="B9831" s="130" t="n">
        <v>2027</v>
      </c>
      <c r="C9831" s="131" t="s">
        <v>254</v>
      </c>
      <c r="D9831" s="132" t="n">
        <v>46750</v>
      </c>
      <c r="E9831" s="131" t="s">
        <v>62</v>
      </c>
      <c r="F9831" s="133" t="s">
        <v>19</v>
      </c>
      <c r="G9831" s="134" t="n">
        <f aca="false">LEN('Saisie programme'!$F$359)+SUMIFS('Vols additionnels'!$E$7:$E$66,'Vols additionnels'!$C$7:$C$66,$E9831,'Vols additionnels'!$D$7:$D$66,$F9831,'Vols additionnels'!$B$7:$B$66,$D9831)</f>
        <v>0</v>
      </c>
      <c r="H9831" s="135" t="n">
        <f aca="false">$G9831*'Analyse capacite'!$F$8</f>
        <v>0</v>
      </c>
      <c r="I9831" s="135" t="n">
        <f aca="false">$G9831*'Analyse capacite'!$C$8</f>
        <v>0</v>
      </c>
      <c r="J9831" s="135" t="n">
        <f aca="false">$G9831*'Analyse capacite'!$D$8</f>
        <v>0</v>
      </c>
      <c r="K9831" s="135" t="n">
        <f aca="false">$G9831*'Analyse capacite'!$E$8</f>
        <v>0</v>
      </c>
    </row>
    <row r="9832" customFormat="false" ht="15" hidden="false" customHeight="false" outlineLevel="0" collapsed="false">
      <c r="B9832" s="130" t="n">
        <v>2027</v>
      </c>
      <c r="C9832" s="131" t="s">
        <v>254</v>
      </c>
      <c r="D9832" s="132" t="n">
        <v>46750</v>
      </c>
      <c r="E9832" s="131" t="s">
        <v>62</v>
      </c>
      <c r="F9832" s="133" t="s">
        <v>24</v>
      </c>
      <c r="G9832" s="134" t="n">
        <f aca="false">LEN('Saisie programme'!$F$360)+SUMIFS('Vols additionnels'!$E$7:$E$66,'Vols additionnels'!$C$7:$C$66,$E9832,'Vols additionnels'!$D$7:$D$66,$F9832,'Vols additionnels'!$B$7:$B$66,$D9832)</f>
        <v>1</v>
      </c>
      <c r="H9832" s="135" t="n">
        <f aca="false">$G9832*'Analyse capacite'!$F$9</f>
        <v>174</v>
      </c>
      <c r="I9832" s="135" t="n">
        <f aca="false">$G9832*'Analyse capacite'!$C$9</f>
        <v>0</v>
      </c>
      <c r="J9832" s="135" t="n">
        <f aca="false">$G9832*'Analyse capacite'!$D$9</f>
        <v>12</v>
      </c>
      <c r="K9832" s="135" t="n">
        <f aca="false">$G9832*'Analyse capacite'!$E$9</f>
        <v>162</v>
      </c>
    </row>
    <row r="9833" customFormat="false" ht="15" hidden="false" customHeight="false" outlineLevel="0" collapsed="false">
      <c r="B9833" s="130" t="n">
        <v>2027</v>
      </c>
      <c r="C9833" s="131" t="s">
        <v>254</v>
      </c>
      <c r="D9833" s="132" t="n">
        <v>46751</v>
      </c>
      <c r="E9833" s="131" t="s">
        <v>12</v>
      </c>
      <c r="F9833" s="133" t="s">
        <v>11</v>
      </c>
      <c r="G9833" s="134" t="n">
        <f aca="false">LEN('Saisie programme'!$G$325)+SUMIFS('Vols additionnels'!$E$7:$E$66,'Vols additionnels'!$C$7:$C$66,$E9833,'Vols additionnels'!$D$7:$D$66,$F9833,'Vols additionnels'!$B$7:$B$66,$D9833)</f>
        <v>1</v>
      </c>
      <c r="H9833" s="135" t="n">
        <f aca="false">$G9833*'Analyse capacite'!$F$7</f>
        <v>438</v>
      </c>
      <c r="I9833" s="135" t="n">
        <f aca="false">$G9833*'Analyse capacite'!$C$7</f>
        <v>14</v>
      </c>
      <c r="J9833" s="135" t="n">
        <f aca="false">$G9833*'Analyse capacite'!$D$7</f>
        <v>40</v>
      </c>
      <c r="K9833" s="135" t="n">
        <f aca="false">$G9833*'Analyse capacite'!$E$7</f>
        <v>384</v>
      </c>
    </row>
    <row r="9834" customFormat="false" ht="15" hidden="false" customHeight="false" outlineLevel="0" collapsed="false">
      <c r="B9834" s="130" t="n">
        <v>2027</v>
      </c>
      <c r="C9834" s="131" t="s">
        <v>254</v>
      </c>
      <c r="D9834" s="132" t="n">
        <v>46751</v>
      </c>
      <c r="E9834" s="131" t="s">
        <v>12</v>
      </c>
      <c r="F9834" s="133" t="s">
        <v>19</v>
      </c>
      <c r="G9834" s="134" t="n">
        <f aca="false">LEN('Saisie programme'!$G$326)+SUMIFS('Vols additionnels'!$E$7:$E$66,'Vols additionnels'!$C$7:$C$66,$E9834,'Vols additionnels'!$D$7:$D$66,$F9834,'Vols additionnels'!$B$7:$B$66,$D9834)</f>
        <v>0</v>
      </c>
      <c r="H9834" s="135" t="n">
        <f aca="false">$G9834*'Analyse capacite'!$F$8</f>
        <v>0</v>
      </c>
      <c r="I9834" s="135" t="n">
        <f aca="false">$G9834*'Analyse capacite'!$C$8</f>
        <v>0</v>
      </c>
      <c r="J9834" s="135" t="n">
        <f aca="false">$G9834*'Analyse capacite'!$D$8</f>
        <v>0</v>
      </c>
      <c r="K9834" s="135" t="n">
        <f aca="false">$G9834*'Analyse capacite'!$E$8</f>
        <v>0</v>
      </c>
    </row>
    <row r="9835" customFormat="false" ht="15" hidden="false" customHeight="false" outlineLevel="0" collapsed="false">
      <c r="B9835" s="130" t="n">
        <v>2027</v>
      </c>
      <c r="C9835" s="131" t="s">
        <v>254</v>
      </c>
      <c r="D9835" s="132" t="n">
        <v>46751</v>
      </c>
      <c r="E9835" s="131" t="s">
        <v>12</v>
      </c>
      <c r="F9835" s="133" t="s">
        <v>24</v>
      </c>
      <c r="G9835" s="134" t="n">
        <f aca="false">LEN('Saisie programme'!$G$327)+SUMIFS('Vols additionnels'!$E$7:$E$66,'Vols additionnels'!$C$7:$C$66,$E9835,'Vols additionnels'!$D$7:$D$66,$F9835,'Vols additionnels'!$B$7:$B$66,$D9835)</f>
        <v>0</v>
      </c>
      <c r="H9835" s="135" t="n">
        <f aca="false">$G9835*'Analyse capacite'!$F$9</f>
        <v>0</v>
      </c>
      <c r="I9835" s="135" t="n">
        <f aca="false">$G9835*'Analyse capacite'!$C$9</f>
        <v>0</v>
      </c>
      <c r="J9835" s="135" t="n">
        <f aca="false">$G9835*'Analyse capacite'!$D$9</f>
        <v>0</v>
      </c>
      <c r="K9835" s="135" t="n">
        <f aca="false">$G9835*'Analyse capacite'!$E$9</f>
        <v>0</v>
      </c>
    </row>
    <row r="9836" customFormat="false" ht="15" hidden="false" customHeight="false" outlineLevel="0" collapsed="false">
      <c r="B9836" s="130" t="n">
        <v>2027</v>
      </c>
      <c r="C9836" s="131" t="s">
        <v>254</v>
      </c>
      <c r="D9836" s="132" t="n">
        <v>46751</v>
      </c>
      <c r="E9836" s="131" t="s">
        <v>20</v>
      </c>
      <c r="F9836" s="133" t="s">
        <v>11</v>
      </c>
      <c r="G9836" s="134" t="n">
        <f aca="false">LEN('Saisie programme'!$G$328)+SUMIFS('Vols additionnels'!$E$7:$E$66,'Vols additionnels'!$C$7:$C$66,$E9836,'Vols additionnels'!$D$7:$D$66,$F9836,'Vols additionnels'!$B$7:$B$66,$D9836)</f>
        <v>0</v>
      </c>
      <c r="H9836" s="135" t="n">
        <f aca="false">$G9836*'Analyse capacite'!$F$7</f>
        <v>0</v>
      </c>
      <c r="I9836" s="135" t="n">
        <f aca="false">$G9836*'Analyse capacite'!$C$7</f>
        <v>0</v>
      </c>
      <c r="J9836" s="135" t="n">
        <f aca="false">$G9836*'Analyse capacite'!$D$7</f>
        <v>0</v>
      </c>
      <c r="K9836" s="135" t="n">
        <f aca="false">$G9836*'Analyse capacite'!$E$7</f>
        <v>0</v>
      </c>
    </row>
    <row r="9837" customFormat="false" ht="15" hidden="false" customHeight="false" outlineLevel="0" collapsed="false">
      <c r="B9837" s="130" t="n">
        <v>2027</v>
      </c>
      <c r="C9837" s="131" t="s">
        <v>254</v>
      </c>
      <c r="D9837" s="132" t="n">
        <v>46751</v>
      </c>
      <c r="E9837" s="131" t="s">
        <v>20</v>
      </c>
      <c r="F9837" s="133" t="s">
        <v>19</v>
      </c>
      <c r="G9837" s="134" t="n">
        <f aca="false">LEN('Saisie programme'!$G$329)+SUMIFS('Vols additionnels'!$E$7:$E$66,'Vols additionnels'!$C$7:$C$66,$E9837,'Vols additionnels'!$D$7:$D$66,$F9837,'Vols additionnels'!$B$7:$B$66,$D9837)</f>
        <v>0</v>
      </c>
      <c r="H9837" s="135" t="n">
        <f aca="false">$G9837*'Analyse capacite'!$F$8</f>
        <v>0</v>
      </c>
      <c r="I9837" s="135" t="n">
        <f aca="false">$G9837*'Analyse capacite'!$C$8</f>
        <v>0</v>
      </c>
      <c r="J9837" s="135" t="n">
        <f aca="false">$G9837*'Analyse capacite'!$D$8</f>
        <v>0</v>
      </c>
      <c r="K9837" s="135" t="n">
        <f aca="false">$G9837*'Analyse capacite'!$E$8</f>
        <v>0</v>
      </c>
    </row>
    <row r="9838" customFormat="false" ht="15" hidden="false" customHeight="false" outlineLevel="0" collapsed="false">
      <c r="B9838" s="130" t="n">
        <v>2027</v>
      </c>
      <c r="C9838" s="131" t="s">
        <v>254</v>
      </c>
      <c r="D9838" s="132" t="n">
        <v>46751</v>
      </c>
      <c r="E9838" s="131" t="s">
        <v>20</v>
      </c>
      <c r="F9838" s="133" t="s">
        <v>24</v>
      </c>
      <c r="G9838" s="134" t="n">
        <f aca="false">LEN('Saisie programme'!$G$330)+SUMIFS('Vols additionnels'!$E$7:$E$66,'Vols additionnels'!$C$7:$C$66,$E9838,'Vols additionnels'!$D$7:$D$66,$F9838,'Vols additionnels'!$B$7:$B$66,$D9838)</f>
        <v>0</v>
      </c>
      <c r="H9838" s="135" t="n">
        <f aca="false">$G9838*'Analyse capacite'!$F$9</f>
        <v>0</v>
      </c>
      <c r="I9838" s="135" t="n">
        <f aca="false">$G9838*'Analyse capacite'!$C$9</f>
        <v>0</v>
      </c>
      <c r="J9838" s="135" t="n">
        <f aca="false">$G9838*'Analyse capacite'!$D$9</f>
        <v>0</v>
      </c>
      <c r="K9838" s="135" t="n">
        <f aca="false">$G9838*'Analyse capacite'!$E$9</f>
        <v>0</v>
      </c>
    </row>
    <row r="9839" customFormat="false" ht="15" hidden="false" customHeight="false" outlineLevel="0" collapsed="false">
      <c r="B9839" s="130" t="n">
        <v>2027</v>
      </c>
      <c r="C9839" s="131" t="s">
        <v>254</v>
      </c>
      <c r="D9839" s="132" t="n">
        <v>46751</v>
      </c>
      <c r="E9839" s="131" t="s">
        <v>25</v>
      </c>
      <c r="F9839" s="133" t="s">
        <v>11</v>
      </c>
      <c r="G9839" s="134" t="n">
        <f aca="false">LEN('Saisie programme'!$G$331)+SUMIFS('Vols additionnels'!$E$7:$E$66,'Vols additionnels'!$C$7:$C$66,$E9839,'Vols additionnels'!$D$7:$D$66,$F9839,'Vols additionnels'!$B$7:$B$66,$D9839)</f>
        <v>0</v>
      </c>
      <c r="H9839" s="135" t="n">
        <f aca="false">$G9839*'Analyse capacite'!$F$7</f>
        <v>0</v>
      </c>
      <c r="I9839" s="135" t="n">
        <f aca="false">$G9839*'Analyse capacite'!$C$7</f>
        <v>0</v>
      </c>
      <c r="J9839" s="135" t="n">
        <f aca="false">$G9839*'Analyse capacite'!$D$7</f>
        <v>0</v>
      </c>
      <c r="K9839" s="135" t="n">
        <f aca="false">$G9839*'Analyse capacite'!$E$7</f>
        <v>0</v>
      </c>
    </row>
    <row r="9840" customFormat="false" ht="15" hidden="false" customHeight="false" outlineLevel="0" collapsed="false">
      <c r="B9840" s="130" t="n">
        <v>2027</v>
      </c>
      <c r="C9840" s="131" t="s">
        <v>254</v>
      </c>
      <c r="D9840" s="132" t="n">
        <v>46751</v>
      </c>
      <c r="E9840" s="131" t="s">
        <v>25</v>
      </c>
      <c r="F9840" s="133" t="s">
        <v>19</v>
      </c>
      <c r="G9840" s="134" t="n">
        <f aca="false">LEN('Saisie programme'!$G$332)+SUMIFS('Vols additionnels'!$E$7:$E$66,'Vols additionnels'!$C$7:$C$66,$E9840,'Vols additionnels'!$D$7:$D$66,$F9840,'Vols additionnels'!$B$7:$B$66,$D9840)</f>
        <v>0</v>
      </c>
      <c r="H9840" s="135" t="n">
        <f aca="false">$G9840*'Analyse capacite'!$F$8</f>
        <v>0</v>
      </c>
      <c r="I9840" s="135" t="n">
        <f aca="false">$G9840*'Analyse capacite'!$C$8</f>
        <v>0</v>
      </c>
      <c r="J9840" s="135" t="n">
        <f aca="false">$G9840*'Analyse capacite'!$D$8</f>
        <v>0</v>
      </c>
      <c r="K9840" s="135" t="n">
        <f aca="false">$G9840*'Analyse capacite'!$E$8</f>
        <v>0</v>
      </c>
    </row>
    <row r="9841" customFormat="false" ht="15" hidden="false" customHeight="false" outlineLevel="0" collapsed="false">
      <c r="B9841" s="130" t="n">
        <v>2027</v>
      </c>
      <c r="C9841" s="131" t="s">
        <v>254</v>
      </c>
      <c r="D9841" s="132" t="n">
        <v>46751</v>
      </c>
      <c r="E9841" s="131" t="s">
        <v>25</v>
      </c>
      <c r="F9841" s="133" t="s">
        <v>24</v>
      </c>
      <c r="G9841" s="134" t="n">
        <f aca="false">LEN('Saisie programme'!$G$333)+SUMIFS('Vols additionnels'!$E$7:$E$66,'Vols additionnels'!$C$7:$C$66,$E9841,'Vols additionnels'!$D$7:$D$66,$F9841,'Vols additionnels'!$B$7:$B$66,$D9841)</f>
        <v>0</v>
      </c>
      <c r="H9841" s="135" t="n">
        <f aca="false">$G9841*'Analyse capacite'!$F$9</f>
        <v>0</v>
      </c>
      <c r="I9841" s="135" t="n">
        <f aca="false">$G9841*'Analyse capacite'!$C$9</f>
        <v>0</v>
      </c>
      <c r="J9841" s="135" t="n">
        <f aca="false">$G9841*'Analyse capacite'!$D$9</f>
        <v>0</v>
      </c>
      <c r="K9841" s="135" t="n">
        <f aca="false">$G9841*'Analyse capacite'!$E$9</f>
        <v>0</v>
      </c>
    </row>
    <row r="9842" customFormat="false" ht="15" hidden="false" customHeight="false" outlineLevel="0" collapsed="false">
      <c r="B9842" s="130" t="n">
        <v>2027</v>
      </c>
      <c r="C9842" s="131" t="s">
        <v>254</v>
      </c>
      <c r="D9842" s="132" t="n">
        <v>46751</v>
      </c>
      <c r="E9842" s="131" t="s">
        <v>36</v>
      </c>
      <c r="F9842" s="133" t="s">
        <v>11</v>
      </c>
      <c r="G9842" s="134" t="n">
        <f aca="false">LEN('Saisie programme'!$G$334)+SUMIFS('Vols additionnels'!$E$7:$E$66,'Vols additionnels'!$C$7:$C$66,$E9842,'Vols additionnels'!$D$7:$D$66,$F9842,'Vols additionnels'!$B$7:$B$66,$D9842)</f>
        <v>0</v>
      </c>
      <c r="H9842" s="135" t="n">
        <f aca="false">$G9842*'Analyse capacite'!$F$7</f>
        <v>0</v>
      </c>
      <c r="I9842" s="135" t="n">
        <f aca="false">$G9842*'Analyse capacite'!$C$7</f>
        <v>0</v>
      </c>
      <c r="J9842" s="135" t="n">
        <f aca="false">$G9842*'Analyse capacite'!$D$7</f>
        <v>0</v>
      </c>
      <c r="K9842" s="135" t="n">
        <f aca="false">$G9842*'Analyse capacite'!$E$7</f>
        <v>0</v>
      </c>
    </row>
    <row r="9843" customFormat="false" ht="15" hidden="false" customHeight="false" outlineLevel="0" collapsed="false">
      <c r="B9843" s="130" t="n">
        <v>2027</v>
      </c>
      <c r="C9843" s="131" t="s">
        <v>254</v>
      </c>
      <c r="D9843" s="132" t="n">
        <v>46751</v>
      </c>
      <c r="E9843" s="131" t="s">
        <v>36</v>
      </c>
      <c r="F9843" s="133" t="s">
        <v>19</v>
      </c>
      <c r="G9843" s="134" t="n">
        <f aca="false">LEN('Saisie programme'!$G$335)+SUMIFS('Vols additionnels'!$E$7:$E$66,'Vols additionnels'!$C$7:$C$66,$E9843,'Vols additionnels'!$D$7:$D$66,$F9843,'Vols additionnels'!$B$7:$B$66,$D9843)</f>
        <v>0</v>
      </c>
      <c r="H9843" s="135" t="n">
        <f aca="false">$G9843*'Analyse capacite'!$F$8</f>
        <v>0</v>
      </c>
      <c r="I9843" s="135" t="n">
        <f aca="false">$G9843*'Analyse capacite'!$C$8</f>
        <v>0</v>
      </c>
      <c r="J9843" s="135" t="n">
        <f aca="false">$G9843*'Analyse capacite'!$D$8</f>
        <v>0</v>
      </c>
      <c r="K9843" s="135" t="n">
        <f aca="false">$G9843*'Analyse capacite'!$E$8</f>
        <v>0</v>
      </c>
    </row>
    <row r="9844" customFormat="false" ht="15" hidden="false" customHeight="false" outlineLevel="0" collapsed="false">
      <c r="B9844" s="130" t="n">
        <v>2027</v>
      </c>
      <c r="C9844" s="131" t="s">
        <v>254</v>
      </c>
      <c r="D9844" s="132" t="n">
        <v>46751</v>
      </c>
      <c r="E9844" s="131" t="s">
        <v>36</v>
      </c>
      <c r="F9844" s="133" t="s">
        <v>24</v>
      </c>
      <c r="G9844" s="134" t="n">
        <f aca="false">LEN('Saisie programme'!$G$336)+SUMIFS('Vols additionnels'!$E$7:$E$66,'Vols additionnels'!$C$7:$C$66,$E9844,'Vols additionnels'!$D$7:$D$66,$F9844,'Vols additionnels'!$B$7:$B$66,$D9844)</f>
        <v>1</v>
      </c>
      <c r="H9844" s="135" t="n">
        <f aca="false">$G9844*'Analyse capacite'!$F$9</f>
        <v>174</v>
      </c>
      <c r="I9844" s="135" t="n">
        <f aca="false">$G9844*'Analyse capacite'!$C$9</f>
        <v>0</v>
      </c>
      <c r="J9844" s="135" t="n">
        <f aca="false">$G9844*'Analyse capacite'!$D$9</f>
        <v>12</v>
      </c>
      <c r="K9844" s="135" t="n">
        <f aca="false">$G9844*'Analyse capacite'!$E$9</f>
        <v>162</v>
      </c>
    </row>
    <row r="9845" customFormat="false" ht="15" hidden="false" customHeight="false" outlineLevel="0" collapsed="false">
      <c r="B9845" s="130" t="n">
        <v>2027</v>
      </c>
      <c r="C9845" s="131" t="s">
        <v>254</v>
      </c>
      <c r="D9845" s="132" t="n">
        <v>46751</v>
      </c>
      <c r="E9845" s="131" t="s">
        <v>40</v>
      </c>
      <c r="F9845" s="133" t="s">
        <v>11</v>
      </c>
      <c r="G9845" s="134" t="n">
        <f aca="false">LEN('Saisie programme'!$G$337)+SUMIFS('Vols additionnels'!$E$7:$E$66,'Vols additionnels'!$C$7:$C$66,$E9845,'Vols additionnels'!$D$7:$D$66,$F9845,'Vols additionnels'!$B$7:$B$66,$D9845)</f>
        <v>0</v>
      </c>
      <c r="H9845" s="135" t="n">
        <f aca="false">$G9845*'Analyse capacite'!$F$7</f>
        <v>0</v>
      </c>
      <c r="I9845" s="135" t="n">
        <f aca="false">$G9845*'Analyse capacite'!$C$7</f>
        <v>0</v>
      </c>
      <c r="J9845" s="135" t="n">
        <f aca="false">$G9845*'Analyse capacite'!$D$7</f>
        <v>0</v>
      </c>
      <c r="K9845" s="135" t="n">
        <f aca="false">$G9845*'Analyse capacite'!$E$7</f>
        <v>0</v>
      </c>
    </row>
    <row r="9846" customFormat="false" ht="15" hidden="false" customHeight="false" outlineLevel="0" collapsed="false">
      <c r="B9846" s="130" t="n">
        <v>2027</v>
      </c>
      <c r="C9846" s="131" t="s">
        <v>254</v>
      </c>
      <c r="D9846" s="132" t="n">
        <v>46751</v>
      </c>
      <c r="E9846" s="131" t="s">
        <v>40</v>
      </c>
      <c r="F9846" s="133" t="s">
        <v>19</v>
      </c>
      <c r="G9846" s="134" t="n">
        <f aca="false">LEN('Saisie programme'!$G$338)+SUMIFS('Vols additionnels'!$E$7:$E$66,'Vols additionnels'!$C$7:$C$66,$E9846,'Vols additionnels'!$D$7:$D$66,$F9846,'Vols additionnels'!$B$7:$B$66,$D9846)</f>
        <v>0</v>
      </c>
      <c r="H9846" s="135" t="n">
        <f aca="false">$G9846*'Analyse capacite'!$F$8</f>
        <v>0</v>
      </c>
      <c r="I9846" s="135" t="n">
        <f aca="false">$G9846*'Analyse capacite'!$C$8</f>
        <v>0</v>
      </c>
      <c r="J9846" s="135" t="n">
        <f aca="false">$G9846*'Analyse capacite'!$D$8</f>
        <v>0</v>
      </c>
      <c r="K9846" s="135" t="n">
        <f aca="false">$G9846*'Analyse capacite'!$E$8</f>
        <v>0</v>
      </c>
    </row>
    <row r="9847" customFormat="false" ht="15" hidden="false" customHeight="false" outlineLevel="0" collapsed="false">
      <c r="B9847" s="130" t="n">
        <v>2027</v>
      </c>
      <c r="C9847" s="131" t="s">
        <v>254</v>
      </c>
      <c r="D9847" s="132" t="n">
        <v>46751</v>
      </c>
      <c r="E9847" s="131" t="s">
        <v>40</v>
      </c>
      <c r="F9847" s="133" t="s">
        <v>24</v>
      </c>
      <c r="G9847" s="134" t="n">
        <f aca="false">LEN('Saisie programme'!$G$339)+SUMIFS('Vols additionnels'!$E$7:$E$66,'Vols additionnels'!$C$7:$C$66,$E9847,'Vols additionnels'!$D$7:$D$66,$F9847,'Vols additionnels'!$B$7:$B$66,$D9847)</f>
        <v>0</v>
      </c>
      <c r="H9847" s="135" t="n">
        <f aca="false">$G9847*'Analyse capacite'!$F$9</f>
        <v>0</v>
      </c>
      <c r="I9847" s="135" t="n">
        <f aca="false">$G9847*'Analyse capacite'!$C$9</f>
        <v>0</v>
      </c>
      <c r="J9847" s="135" t="n">
        <f aca="false">$G9847*'Analyse capacite'!$D$9</f>
        <v>0</v>
      </c>
      <c r="K9847" s="135" t="n">
        <f aca="false">$G9847*'Analyse capacite'!$E$9</f>
        <v>0</v>
      </c>
    </row>
    <row r="9848" customFormat="false" ht="15" hidden="false" customHeight="false" outlineLevel="0" collapsed="false">
      <c r="B9848" s="130" t="n">
        <v>2027</v>
      </c>
      <c r="C9848" s="131" t="s">
        <v>254</v>
      </c>
      <c r="D9848" s="132" t="n">
        <v>46751</v>
      </c>
      <c r="E9848" s="131" t="s">
        <v>14</v>
      </c>
      <c r="F9848" s="133" t="s">
        <v>11</v>
      </c>
      <c r="G9848" s="134" t="n">
        <f aca="false">LEN('Saisie programme'!$G$340)+SUMIFS('Vols additionnels'!$E$7:$E$66,'Vols additionnels'!$C$7:$C$66,$E9848,'Vols additionnels'!$D$7:$D$66,$F9848,'Vols additionnels'!$B$7:$B$66,$D9848)</f>
        <v>0</v>
      </c>
      <c r="H9848" s="135" t="n">
        <f aca="false">$G9848*'Analyse capacite'!$F$7</f>
        <v>0</v>
      </c>
      <c r="I9848" s="135" t="n">
        <f aca="false">$G9848*'Analyse capacite'!$C$7</f>
        <v>0</v>
      </c>
      <c r="J9848" s="135" t="n">
        <f aca="false">$G9848*'Analyse capacite'!$D$7</f>
        <v>0</v>
      </c>
      <c r="K9848" s="135" t="n">
        <f aca="false">$G9848*'Analyse capacite'!$E$7</f>
        <v>0</v>
      </c>
    </row>
    <row r="9849" customFormat="false" ht="15" hidden="false" customHeight="false" outlineLevel="0" collapsed="false">
      <c r="B9849" s="130" t="n">
        <v>2027</v>
      </c>
      <c r="C9849" s="131" t="s">
        <v>254</v>
      </c>
      <c r="D9849" s="132" t="n">
        <v>46751</v>
      </c>
      <c r="E9849" s="131" t="s">
        <v>14</v>
      </c>
      <c r="F9849" s="133" t="s">
        <v>19</v>
      </c>
      <c r="G9849" s="134" t="n">
        <f aca="false">LEN('Saisie programme'!$G$341)+SUMIFS('Vols additionnels'!$E$7:$E$66,'Vols additionnels'!$C$7:$C$66,$E9849,'Vols additionnels'!$D$7:$D$66,$F9849,'Vols additionnels'!$B$7:$B$66,$D9849)</f>
        <v>0</v>
      </c>
      <c r="H9849" s="135" t="n">
        <f aca="false">$G9849*'Analyse capacite'!$F$8</f>
        <v>0</v>
      </c>
      <c r="I9849" s="135" t="n">
        <f aca="false">$G9849*'Analyse capacite'!$C$8</f>
        <v>0</v>
      </c>
      <c r="J9849" s="135" t="n">
        <f aca="false">$G9849*'Analyse capacite'!$D$8</f>
        <v>0</v>
      </c>
      <c r="K9849" s="135" t="n">
        <f aca="false">$G9849*'Analyse capacite'!$E$8</f>
        <v>0</v>
      </c>
    </row>
    <row r="9850" customFormat="false" ht="15" hidden="false" customHeight="false" outlineLevel="0" collapsed="false">
      <c r="B9850" s="130" t="n">
        <v>2027</v>
      </c>
      <c r="C9850" s="131" t="s">
        <v>254</v>
      </c>
      <c r="D9850" s="132" t="n">
        <v>46751</v>
      </c>
      <c r="E9850" s="131" t="s">
        <v>14</v>
      </c>
      <c r="F9850" s="133" t="s">
        <v>24</v>
      </c>
      <c r="G9850" s="134" t="n">
        <f aca="false">LEN('Saisie programme'!$G$342)+SUMIFS('Vols additionnels'!$E$7:$E$66,'Vols additionnels'!$C$7:$C$66,$E9850,'Vols additionnels'!$D$7:$D$66,$F9850,'Vols additionnels'!$B$7:$B$66,$D9850)</f>
        <v>1</v>
      </c>
      <c r="H9850" s="135" t="n">
        <f aca="false">$G9850*'Analyse capacite'!$F$9</f>
        <v>174</v>
      </c>
      <c r="I9850" s="135" t="n">
        <f aca="false">$G9850*'Analyse capacite'!$C$9</f>
        <v>0</v>
      </c>
      <c r="J9850" s="135" t="n">
        <f aca="false">$G9850*'Analyse capacite'!$D$9</f>
        <v>12</v>
      </c>
      <c r="K9850" s="135" t="n">
        <f aca="false">$G9850*'Analyse capacite'!$E$9</f>
        <v>162</v>
      </c>
    </row>
    <row r="9851" customFormat="false" ht="15" hidden="false" customHeight="false" outlineLevel="0" collapsed="false">
      <c r="B9851" s="130" t="n">
        <v>2027</v>
      </c>
      <c r="C9851" s="131" t="s">
        <v>254</v>
      </c>
      <c r="D9851" s="132" t="n">
        <v>46751</v>
      </c>
      <c r="E9851" s="131" t="s">
        <v>46</v>
      </c>
      <c r="F9851" s="133" t="s">
        <v>11</v>
      </c>
      <c r="G9851" s="134" t="n">
        <f aca="false">LEN('Saisie programme'!$G$343)+SUMIFS('Vols additionnels'!$E$7:$E$66,'Vols additionnels'!$C$7:$C$66,$E9851,'Vols additionnels'!$D$7:$D$66,$F9851,'Vols additionnels'!$B$7:$B$66,$D9851)</f>
        <v>0</v>
      </c>
      <c r="H9851" s="135" t="n">
        <f aca="false">$G9851*'Analyse capacite'!$F$7</f>
        <v>0</v>
      </c>
      <c r="I9851" s="135" t="n">
        <f aca="false">$G9851*'Analyse capacite'!$C$7</f>
        <v>0</v>
      </c>
      <c r="J9851" s="135" t="n">
        <f aca="false">$G9851*'Analyse capacite'!$D$7</f>
        <v>0</v>
      </c>
      <c r="K9851" s="135" t="n">
        <f aca="false">$G9851*'Analyse capacite'!$E$7</f>
        <v>0</v>
      </c>
    </row>
    <row r="9852" customFormat="false" ht="15" hidden="false" customHeight="false" outlineLevel="0" collapsed="false">
      <c r="B9852" s="130" t="n">
        <v>2027</v>
      </c>
      <c r="C9852" s="131" t="s">
        <v>254</v>
      </c>
      <c r="D9852" s="132" t="n">
        <v>46751</v>
      </c>
      <c r="E9852" s="131" t="s">
        <v>46</v>
      </c>
      <c r="F9852" s="133" t="s">
        <v>19</v>
      </c>
      <c r="G9852" s="134" t="n">
        <f aca="false">LEN('Saisie programme'!$G$344)+SUMIFS('Vols additionnels'!$E$7:$E$66,'Vols additionnels'!$C$7:$C$66,$E9852,'Vols additionnels'!$D$7:$D$66,$F9852,'Vols additionnels'!$B$7:$B$66,$D9852)</f>
        <v>0</v>
      </c>
      <c r="H9852" s="135" t="n">
        <f aca="false">$G9852*'Analyse capacite'!$F$8</f>
        <v>0</v>
      </c>
      <c r="I9852" s="135" t="n">
        <f aca="false">$G9852*'Analyse capacite'!$C$8</f>
        <v>0</v>
      </c>
      <c r="J9852" s="135" t="n">
        <f aca="false">$G9852*'Analyse capacite'!$D$8</f>
        <v>0</v>
      </c>
      <c r="K9852" s="135" t="n">
        <f aca="false">$G9852*'Analyse capacite'!$E$8</f>
        <v>0</v>
      </c>
    </row>
    <row r="9853" customFormat="false" ht="15" hidden="false" customHeight="false" outlineLevel="0" collapsed="false">
      <c r="B9853" s="130" t="n">
        <v>2027</v>
      </c>
      <c r="C9853" s="131" t="s">
        <v>254</v>
      </c>
      <c r="D9853" s="132" t="n">
        <v>46751</v>
      </c>
      <c r="E9853" s="131" t="s">
        <v>46</v>
      </c>
      <c r="F9853" s="133" t="s">
        <v>24</v>
      </c>
      <c r="G9853" s="134" t="n">
        <f aca="false">LEN('Saisie programme'!$G$345)+SUMIFS('Vols additionnels'!$E$7:$E$66,'Vols additionnels'!$C$7:$C$66,$E9853,'Vols additionnels'!$D$7:$D$66,$F9853,'Vols additionnels'!$B$7:$B$66,$D9853)</f>
        <v>1</v>
      </c>
      <c r="H9853" s="135" t="n">
        <f aca="false">$G9853*'Analyse capacite'!$F$9</f>
        <v>174</v>
      </c>
      <c r="I9853" s="135" t="n">
        <f aca="false">$G9853*'Analyse capacite'!$C$9</f>
        <v>0</v>
      </c>
      <c r="J9853" s="135" t="n">
        <f aca="false">$G9853*'Analyse capacite'!$D$9</f>
        <v>12</v>
      </c>
      <c r="K9853" s="135" t="n">
        <f aca="false">$G9853*'Analyse capacite'!$E$9</f>
        <v>162</v>
      </c>
    </row>
    <row r="9854" customFormat="false" ht="15" hidden="false" customHeight="false" outlineLevel="0" collapsed="false">
      <c r="B9854" s="130" t="n">
        <v>2027</v>
      </c>
      <c r="C9854" s="131" t="s">
        <v>254</v>
      </c>
      <c r="D9854" s="132" t="n">
        <v>46751</v>
      </c>
      <c r="E9854" s="131" t="s">
        <v>49</v>
      </c>
      <c r="F9854" s="133" t="s">
        <v>11</v>
      </c>
      <c r="G9854" s="134" t="n">
        <f aca="false">LEN('Saisie programme'!$G$346)+SUMIFS('Vols additionnels'!$E$7:$E$66,'Vols additionnels'!$C$7:$C$66,$E9854,'Vols additionnels'!$D$7:$D$66,$F9854,'Vols additionnels'!$B$7:$B$66,$D9854)</f>
        <v>0</v>
      </c>
      <c r="H9854" s="135" t="n">
        <f aca="false">$G9854*'Analyse capacite'!$F$7</f>
        <v>0</v>
      </c>
      <c r="I9854" s="135" t="n">
        <f aca="false">$G9854*'Analyse capacite'!$C$7</f>
        <v>0</v>
      </c>
      <c r="J9854" s="135" t="n">
        <f aca="false">$G9854*'Analyse capacite'!$D$7</f>
        <v>0</v>
      </c>
      <c r="K9854" s="135" t="n">
        <f aca="false">$G9854*'Analyse capacite'!$E$7</f>
        <v>0</v>
      </c>
    </row>
    <row r="9855" customFormat="false" ht="15" hidden="false" customHeight="false" outlineLevel="0" collapsed="false">
      <c r="B9855" s="130" t="n">
        <v>2027</v>
      </c>
      <c r="C9855" s="131" t="s">
        <v>254</v>
      </c>
      <c r="D9855" s="132" t="n">
        <v>46751</v>
      </c>
      <c r="E9855" s="131" t="s">
        <v>49</v>
      </c>
      <c r="F9855" s="133" t="s">
        <v>19</v>
      </c>
      <c r="G9855" s="134" t="n">
        <f aca="false">LEN('Saisie programme'!$G$347)+SUMIFS('Vols additionnels'!$E$7:$E$66,'Vols additionnels'!$C$7:$C$66,$E9855,'Vols additionnels'!$D$7:$D$66,$F9855,'Vols additionnels'!$B$7:$B$66,$D9855)</f>
        <v>0</v>
      </c>
      <c r="H9855" s="135" t="n">
        <f aca="false">$G9855*'Analyse capacite'!$F$8</f>
        <v>0</v>
      </c>
      <c r="I9855" s="135" t="n">
        <f aca="false">$G9855*'Analyse capacite'!$C$8</f>
        <v>0</v>
      </c>
      <c r="J9855" s="135" t="n">
        <f aca="false">$G9855*'Analyse capacite'!$D$8</f>
        <v>0</v>
      </c>
      <c r="K9855" s="135" t="n">
        <f aca="false">$G9855*'Analyse capacite'!$E$8</f>
        <v>0</v>
      </c>
    </row>
    <row r="9856" customFormat="false" ht="15" hidden="false" customHeight="false" outlineLevel="0" collapsed="false">
      <c r="B9856" s="130" t="n">
        <v>2027</v>
      </c>
      <c r="C9856" s="131" t="s">
        <v>254</v>
      </c>
      <c r="D9856" s="132" t="n">
        <v>46751</v>
      </c>
      <c r="E9856" s="131" t="s">
        <v>49</v>
      </c>
      <c r="F9856" s="133" t="s">
        <v>24</v>
      </c>
      <c r="G9856" s="134" t="n">
        <f aca="false">LEN('Saisie programme'!$G$348)+SUMIFS('Vols additionnels'!$E$7:$E$66,'Vols additionnels'!$C$7:$C$66,$E9856,'Vols additionnels'!$D$7:$D$66,$F9856,'Vols additionnels'!$B$7:$B$66,$D9856)</f>
        <v>0</v>
      </c>
      <c r="H9856" s="135" t="n">
        <f aca="false">$G9856*'Analyse capacite'!$F$9</f>
        <v>0</v>
      </c>
      <c r="I9856" s="135" t="n">
        <f aca="false">$G9856*'Analyse capacite'!$C$9</f>
        <v>0</v>
      </c>
      <c r="J9856" s="135" t="n">
        <f aca="false">$G9856*'Analyse capacite'!$D$9</f>
        <v>0</v>
      </c>
      <c r="K9856" s="135" t="n">
        <f aca="false">$G9856*'Analyse capacite'!$E$9</f>
        <v>0</v>
      </c>
    </row>
    <row r="9857" customFormat="false" ht="15" hidden="false" customHeight="false" outlineLevel="0" collapsed="false">
      <c r="B9857" s="130" t="n">
        <v>2027</v>
      </c>
      <c r="C9857" s="131" t="s">
        <v>254</v>
      </c>
      <c r="D9857" s="132" t="n">
        <v>46751</v>
      </c>
      <c r="E9857" s="131" t="s">
        <v>53</v>
      </c>
      <c r="F9857" s="133" t="s">
        <v>11</v>
      </c>
      <c r="G9857" s="134" t="n">
        <f aca="false">LEN('Saisie programme'!$G$349)+SUMIFS('Vols additionnels'!$E$7:$E$66,'Vols additionnels'!$C$7:$C$66,$E9857,'Vols additionnels'!$D$7:$D$66,$F9857,'Vols additionnels'!$B$7:$B$66,$D9857)</f>
        <v>0</v>
      </c>
      <c r="H9857" s="135" t="n">
        <f aca="false">$G9857*'Analyse capacite'!$F$7</f>
        <v>0</v>
      </c>
      <c r="I9857" s="135" t="n">
        <f aca="false">$G9857*'Analyse capacite'!$C$7</f>
        <v>0</v>
      </c>
      <c r="J9857" s="135" t="n">
        <f aca="false">$G9857*'Analyse capacite'!$D$7</f>
        <v>0</v>
      </c>
      <c r="K9857" s="135" t="n">
        <f aca="false">$G9857*'Analyse capacite'!$E$7</f>
        <v>0</v>
      </c>
    </row>
    <row r="9858" customFormat="false" ht="15" hidden="false" customHeight="false" outlineLevel="0" collapsed="false">
      <c r="B9858" s="130" t="n">
        <v>2027</v>
      </c>
      <c r="C9858" s="131" t="s">
        <v>254</v>
      </c>
      <c r="D9858" s="132" t="n">
        <v>46751</v>
      </c>
      <c r="E9858" s="131" t="s">
        <v>53</v>
      </c>
      <c r="F9858" s="133" t="s">
        <v>19</v>
      </c>
      <c r="G9858" s="134" t="n">
        <f aca="false">LEN('Saisie programme'!$G$350)+SUMIFS('Vols additionnels'!$E$7:$E$66,'Vols additionnels'!$C$7:$C$66,$E9858,'Vols additionnels'!$D$7:$D$66,$F9858,'Vols additionnels'!$B$7:$B$66,$D9858)</f>
        <v>1</v>
      </c>
      <c r="H9858" s="135" t="n">
        <f aca="false">$G9858*'Analyse capacite'!$F$8</f>
        <v>262</v>
      </c>
      <c r="I9858" s="135" t="n">
        <f aca="false">$G9858*'Analyse capacite'!$C$8</f>
        <v>18</v>
      </c>
      <c r="J9858" s="135" t="n">
        <f aca="false">$G9858*'Analyse capacite'!$D$8</f>
        <v>0</v>
      </c>
      <c r="K9858" s="135" t="n">
        <f aca="false">$G9858*'Analyse capacite'!$E$8</f>
        <v>244</v>
      </c>
    </row>
    <row r="9859" customFormat="false" ht="15" hidden="false" customHeight="false" outlineLevel="0" collapsed="false">
      <c r="B9859" s="130" t="n">
        <v>2027</v>
      </c>
      <c r="C9859" s="131" t="s">
        <v>254</v>
      </c>
      <c r="D9859" s="132" t="n">
        <v>46751</v>
      </c>
      <c r="E9859" s="131" t="s">
        <v>53</v>
      </c>
      <c r="F9859" s="133" t="s">
        <v>24</v>
      </c>
      <c r="G9859" s="134" t="n">
        <f aca="false">LEN('Saisie programme'!$G$351)+SUMIFS('Vols additionnels'!$E$7:$E$66,'Vols additionnels'!$C$7:$C$66,$E9859,'Vols additionnels'!$D$7:$D$66,$F9859,'Vols additionnels'!$B$7:$B$66,$D9859)</f>
        <v>0</v>
      </c>
      <c r="H9859" s="135" t="n">
        <f aca="false">$G9859*'Analyse capacite'!$F$9</f>
        <v>0</v>
      </c>
      <c r="I9859" s="135" t="n">
        <f aca="false">$G9859*'Analyse capacite'!$C$9</f>
        <v>0</v>
      </c>
      <c r="J9859" s="135" t="n">
        <f aca="false">$G9859*'Analyse capacite'!$D$9</f>
        <v>0</v>
      </c>
      <c r="K9859" s="135" t="n">
        <f aca="false">$G9859*'Analyse capacite'!$E$9</f>
        <v>0</v>
      </c>
    </row>
    <row r="9860" customFormat="false" ht="15" hidden="false" customHeight="false" outlineLevel="0" collapsed="false">
      <c r="B9860" s="130" t="n">
        <v>2027</v>
      </c>
      <c r="C9860" s="131" t="s">
        <v>254</v>
      </c>
      <c r="D9860" s="132" t="n">
        <v>46751</v>
      </c>
      <c r="E9860" s="131" t="s">
        <v>56</v>
      </c>
      <c r="F9860" s="133" t="s">
        <v>11</v>
      </c>
      <c r="G9860" s="134" t="n">
        <f aca="false">LEN('Saisie programme'!$G$352)+SUMIFS('Vols additionnels'!$E$7:$E$66,'Vols additionnels'!$C$7:$C$66,$E9860,'Vols additionnels'!$D$7:$D$66,$F9860,'Vols additionnels'!$B$7:$B$66,$D9860)</f>
        <v>0</v>
      </c>
      <c r="H9860" s="135" t="n">
        <f aca="false">$G9860*'Analyse capacite'!$F$7</f>
        <v>0</v>
      </c>
      <c r="I9860" s="135" t="n">
        <f aca="false">$G9860*'Analyse capacite'!$C$7</f>
        <v>0</v>
      </c>
      <c r="J9860" s="135" t="n">
        <f aca="false">$G9860*'Analyse capacite'!$D$7</f>
        <v>0</v>
      </c>
      <c r="K9860" s="135" t="n">
        <f aca="false">$G9860*'Analyse capacite'!$E$7</f>
        <v>0</v>
      </c>
    </row>
    <row r="9861" customFormat="false" ht="15" hidden="false" customHeight="false" outlineLevel="0" collapsed="false">
      <c r="B9861" s="130" t="n">
        <v>2027</v>
      </c>
      <c r="C9861" s="131" t="s">
        <v>254</v>
      </c>
      <c r="D9861" s="132" t="n">
        <v>46751</v>
      </c>
      <c r="E9861" s="131" t="s">
        <v>56</v>
      </c>
      <c r="F9861" s="133" t="s">
        <v>19</v>
      </c>
      <c r="G9861" s="134" t="n">
        <f aca="false">LEN('Saisie programme'!$G$353)+SUMIFS('Vols additionnels'!$E$7:$E$66,'Vols additionnels'!$C$7:$C$66,$E9861,'Vols additionnels'!$D$7:$D$66,$F9861,'Vols additionnels'!$B$7:$B$66,$D9861)</f>
        <v>0</v>
      </c>
      <c r="H9861" s="135" t="n">
        <f aca="false">$G9861*'Analyse capacite'!$F$8</f>
        <v>0</v>
      </c>
      <c r="I9861" s="135" t="n">
        <f aca="false">$G9861*'Analyse capacite'!$C$8</f>
        <v>0</v>
      </c>
      <c r="J9861" s="135" t="n">
        <f aca="false">$G9861*'Analyse capacite'!$D$8</f>
        <v>0</v>
      </c>
      <c r="K9861" s="135" t="n">
        <f aca="false">$G9861*'Analyse capacite'!$E$8</f>
        <v>0</v>
      </c>
    </row>
    <row r="9862" customFormat="false" ht="15" hidden="false" customHeight="false" outlineLevel="0" collapsed="false">
      <c r="B9862" s="130" t="n">
        <v>2027</v>
      </c>
      <c r="C9862" s="131" t="s">
        <v>254</v>
      </c>
      <c r="D9862" s="132" t="n">
        <v>46751</v>
      </c>
      <c r="E9862" s="131" t="s">
        <v>56</v>
      </c>
      <c r="F9862" s="133" t="s">
        <v>24</v>
      </c>
      <c r="G9862" s="134" t="n">
        <f aca="false">LEN('Saisie programme'!$G$354)+SUMIFS('Vols additionnels'!$E$7:$E$66,'Vols additionnels'!$C$7:$C$66,$E9862,'Vols additionnels'!$D$7:$D$66,$F9862,'Vols additionnels'!$B$7:$B$66,$D9862)</f>
        <v>0</v>
      </c>
      <c r="H9862" s="135" t="n">
        <f aca="false">$G9862*'Analyse capacite'!$F$9</f>
        <v>0</v>
      </c>
      <c r="I9862" s="135" t="n">
        <f aca="false">$G9862*'Analyse capacite'!$C$9</f>
        <v>0</v>
      </c>
      <c r="J9862" s="135" t="n">
        <f aca="false">$G9862*'Analyse capacite'!$D$9</f>
        <v>0</v>
      </c>
      <c r="K9862" s="135" t="n">
        <f aca="false">$G9862*'Analyse capacite'!$E$9</f>
        <v>0</v>
      </c>
    </row>
    <row r="9863" customFormat="false" ht="15" hidden="false" customHeight="false" outlineLevel="0" collapsed="false">
      <c r="B9863" s="130" t="n">
        <v>2027</v>
      </c>
      <c r="C9863" s="131" t="s">
        <v>254</v>
      </c>
      <c r="D9863" s="132" t="n">
        <v>46751</v>
      </c>
      <c r="E9863" s="131" t="s">
        <v>59</v>
      </c>
      <c r="F9863" s="133" t="s">
        <v>11</v>
      </c>
      <c r="G9863" s="134" t="n">
        <f aca="false">LEN('Saisie programme'!$G$355)+SUMIFS('Vols additionnels'!$E$7:$E$66,'Vols additionnels'!$C$7:$C$66,$E9863,'Vols additionnels'!$D$7:$D$66,$F9863,'Vols additionnels'!$B$7:$B$66,$D9863)</f>
        <v>0</v>
      </c>
      <c r="H9863" s="135" t="n">
        <f aca="false">$G9863*'Analyse capacite'!$F$7</f>
        <v>0</v>
      </c>
      <c r="I9863" s="135" t="n">
        <f aca="false">$G9863*'Analyse capacite'!$C$7</f>
        <v>0</v>
      </c>
      <c r="J9863" s="135" t="n">
        <f aca="false">$G9863*'Analyse capacite'!$D$7</f>
        <v>0</v>
      </c>
      <c r="K9863" s="135" t="n">
        <f aca="false">$G9863*'Analyse capacite'!$E$7</f>
        <v>0</v>
      </c>
    </row>
    <row r="9864" customFormat="false" ht="15" hidden="false" customHeight="false" outlineLevel="0" collapsed="false">
      <c r="B9864" s="130" t="n">
        <v>2027</v>
      </c>
      <c r="C9864" s="131" t="s">
        <v>254</v>
      </c>
      <c r="D9864" s="132" t="n">
        <v>46751</v>
      </c>
      <c r="E9864" s="131" t="s">
        <v>59</v>
      </c>
      <c r="F9864" s="133" t="s">
        <v>19</v>
      </c>
      <c r="G9864" s="134" t="n">
        <f aca="false">LEN('Saisie programme'!$G$356)+SUMIFS('Vols additionnels'!$E$7:$E$66,'Vols additionnels'!$C$7:$C$66,$E9864,'Vols additionnels'!$D$7:$D$66,$F9864,'Vols additionnels'!$B$7:$B$66,$D9864)</f>
        <v>0</v>
      </c>
      <c r="H9864" s="135" t="n">
        <f aca="false">$G9864*'Analyse capacite'!$F$8</f>
        <v>0</v>
      </c>
      <c r="I9864" s="135" t="n">
        <f aca="false">$G9864*'Analyse capacite'!$C$8</f>
        <v>0</v>
      </c>
      <c r="J9864" s="135" t="n">
        <f aca="false">$G9864*'Analyse capacite'!$D$8</f>
        <v>0</v>
      </c>
      <c r="K9864" s="135" t="n">
        <f aca="false">$G9864*'Analyse capacite'!$E$8</f>
        <v>0</v>
      </c>
    </row>
    <row r="9865" customFormat="false" ht="15" hidden="false" customHeight="false" outlineLevel="0" collapsed="false">
      <c r="B9865" s="130" t="n">
        <v>2027</v>
      </c>
      <c r="C9865" s="131" t="s">
        <v>254</v>
      </c>
      <c r="D9865" s="132" t="n">
        <v>46751</v>
      </c>
      <c r="E9865" s="131" t="s">
        <v>59</v>
      </c>
      <c r="F9865" s="133" t="s">
        <v>24</v>
      </c>
      <c r="G9865" s="134" t="n">
        <f aca="false">LEN('Saisie programme'!$G$357)+SUMIFS('Vols additionnels'!$E$7:$E$66,'Vols additionnels'!$C$7:$C$66,$E9865,'Vols additionnels'!$D$7:$D$66,$F9865,'Vols additionnels'!$B$7:$B$66,$D9865)</f>
        <v>2</v>
      </c>
      <c r="H9865" s="135" t="n">
        <f aca="false">$G9865*'Analyse capacite'!$F$9</f>
        <v>348</v>
      </c>
      <c r="I9865" s="135" t="n">
        <f aca="false">$G9865*'Analyse capacite'!$C$9</f>
        <v>0</v>
      </c>
      <c r="J9865" s="135" t="n">
        <f aca="false">$G9865*'Analyse capacite'!$D$9</f>
        <v>24</v>
      </c>
      <c r="K9865" s="135" t="n">
        <f aca="false">$G9865*'Analyse capacite'!$E$9</f>
        <v>324</v>
      </c>
    </row>
    <row r="9866" customFormat="false" ht="15" hidden="false" customHeight="false" outlineLevel="0" collapsed="false">
      <c r="B9866" s="130" t="n">
        <v>2027</v>
      </c>
      <c r="C9866" s="131" t="s">
        <v>254</v>
      </c>
      <c r="D9866" s="132" t="n">
        <v>46751</v>
      </c>
      <c r="E9866" s="131" t="s">
        <v>62</v>
      </c>
      <c r="F9866" s="133" t="s">
        <v>11</v>
      </c>
      <c r="G9866" s="134" t="n">
        <f aca="false">LEN('Saisie programme'!$G$358)+SUMIFS('Vols additionnels'!$E$7:$E$66,'Vols additionnels'!$C$7:$C$66,$E9866,'Vols additionnels'!$D$7:$D$66,$F9866,'Vols additionnels'!$B$7:$B$66,$D9866)</f>
        <v>0</v>
      </c>
      <c r="H9866" s="135" t="n">
        <f aca="false">$G9866*'Analyse capacite'!$F$7</f>
        <v>0</v>
      </c>
      <c r="I9866" s="135" t="n">
        <f aca="false">$G9866*'Analyse capacite'!$C$7</f>
        <v>0</v>
      </c>
      <c r="J9866" s="135" t="n">
        <f aca="false">$G9866*'Analyse capacite'!$D$7</f>
        <v>0</v>
      </c>
      <c r="K9866" s="135" t="n">
        <f aca="false">$G9866*'Analyse capacite'!$E$7</f>
        <v>0</v>
      </c>
    </row>
    <row r="9867" customFormat="false" ht="15" hidden="false" customHeight="false" outlineLevel="0" collapsed="false">
      <c r="B9867" s="130" t="n">
        <v>2027</v>
      </c>
      <c r="C9867" s="131" t="s">
        <v>254</v>
      </c>
      <c r="D9867" s="132" t="n">
        <v>46751</v>
      </c>
      <c r="E9867" s="131" t="s">
        <v>62</v>
      </c>
      <c r="F9867" s="133" t="s">
        <v>19</v>
      </c>
      <c r="G9867" s="134" t="n">
        <f aca="false">LEN('Saisie programme'!$G$359)+SUMIFS('Vols additionnels'!$E$7:$E$66,'Vols additionnels'!$C$7:$C$66,$E9867,'Vols additionnels'!$D$7:$D$66,$F9867,'Vols additionnels'!$B$7:$B$66,$D9867)</f>
        <v>0</v>
      </c>
      <c r="H9867" s="135" t="n">
        <f aca="false">$G9867*'Analyse capacite'!$F$8</f>
        <v>0</v>
      </c>
      <c r="I9867" s="135" t="n">
        <f aca="false">$G9867*'Analyse capacite'!$C$8</f>
        <v>0</v>
      </c>
      <c r="J9867" s="135" t="n">
        <f aca="false">$G9867*'Analyse capacite'!$D$8</f>
        <v>0</v>
      </c>
      <c r="K9867" s="135" t="n">
        <f aca="false">$G9867*'Analyse capacite'!$E$8</f>
        <v>0</v>
      </c>
    </row>
    <row r="9868" customFormat="false" ht="15" hidden="false" customHeight="false" outlineLevel="0" collapsed="false">
      <c r="B9868" s="130" t="n">
        <v>2027</v>
      </c>
      <c r="C9868" s="131" t="s">
        <v>254</v>
      </c>
      <c r="D9868" s="132" t="n">
        <v>46751</v>
      </c>
      <c r="E9868" s="131" t="s">
        <v>62</v>
      </c>
      <c r="F9868" s="133" t="s">
        <v>24</v>
      </c>
      <c r="G9868" s="134" t="n">
        <f aca="false">LEN('Saisie programme'!$G$360)+SUMIFS('Vols additionnels'!$E$7:$E$66,'Vols additionnels'!$C$7:$C$66,$E9868,'Vols additionnels'!$D$7:$D$66,$F9868,'Vols additionnels'!$B$7:$B$66,$D9868)</f>
        <v>0</v>
      </c>
      <c r="H9868" s="135" t="n">
        <f aca="false">$G9868*'Analyse capacite'!$F$9</f>
        <v>0</v>
      </c>
      <c r="I9868" s="135" t="n">
        <f aca="false">$G9868*'Analyse capacite'!$C$9</f>
        <v>0</v>
      </c>
      <c r="J9868" s="135" t="n">
        <f aca="false">$G9868*'Analyse capacite'!$D$9</f>
        <v>0</v>
      </c>
      <c r="K9868" s="135" t="n">
        <f aca="false">$G9868*'Analyse capacite'!$E$9</f>
        <v>0</v>
      </c>
    </row>
    <row r="9869" customFormat="false" ht="15" hidden="false" customHeight="false" outlineLevel="0" collapsed="false">
      <c r="B9869" s="130" t="n">
        <v>2027</v>
      </c>
      <c r="C9869" s="131" t="s">
        <v>254</v>
      </c>
      <c r="D9869" s="132" t="n">
        <v>46752</v>
      </c>
      <c r="E9869" s="131" t="s">
        <v>12</v>
      </c>
      <c r="F9869" s="133" t="s">
        <v>11</v>
      </c>
      <c r="G9869" s="134" t="n">
        <f aca="false">LEN('Saisie programme'!$H$325)+SUMIFS('Vols additionnels'!$E$7:$E$66,'Vols additionnels'!$C$7:$C$66,$E9869,'Vols additionnels'!$D$7:$D$66,$F9869,'Vols additionnels'!$B$7:$B$66,$D9869)</f>
        <v>1</v>
      </c>
      <c r="H9869" s="135" t="n">
        <f aca="false">$G9869*'Analyse capacite'!$F$7</f>
        <v>438</v>
      </c>
      <c r="I9869" s="135" t="n">
        <f aca="false">$G9869*'Analyse capacite'!$C$7</f>
        <v>14</v>
      </c>
      <c r="J9869" s="135" t="n">
        <f aca="false">$G9869*'Analyse capacite'!$D$7</f>
        <v>40</v>
      </c>
      <c r="K9869" s="135" t="n">
        <f aca="false">$G9869*'Analyse capacite'!$E$7</f>
        <v>384</v>
      </c>
    </row>
    <row r="9870" customFormat="false" ht="15" hidden="false" customHeight="false" outlineLevel="0" collapsed="false">
      <c r="B9870" s="130" t="n">
        <v>2027</v>
      </c>
      <c r="C9870" s="131" t="s">
        <v>254</v>
      </c>
      <c r="D9870" s="132" t="n">
        <v>46752</v>
      </c>
      <c r="E9870" s="131" t="s">
        <v>12</v>
      </c>
      <c r="F9870" s="133" t="s">
        <v>19</v>
      </c>
      <c r="G9870" s="134" t="n">
        <f aca="false">LEN('Saisie programme'!$H$326)+SUMIFS('Vols additionnels'!$E$7:$E$66,'Vols additionnels'!$C$7:$C$66,$E9870,'Vols additionnels'!$D$7:$D$66,$F9870,'Vols additionnels'!$B$7:$B$66,$D9870)</f>
        <v>1</v>
      </c>
      <c r="H9870" s="135" t="n">
        <f aca="false">$G9870*'Analyse capacite'!$F$8</f>
        <v>262</v>
      </c>
      <c r="I9870" s="135" t="n">
        <f aca="false">$G9870*'Analyse capacite'!$C$8</f>
        <v>18</v>
      </c>
      <c r="J9870" s="135" t="n">
        <f aca="false">$G9870*'Analyse capacite'!$D$8</f>
        <v>0</v>
      </c>
      <c r="K9870" s="135" t="n">
        <f aca="false">$G9870*'Analyse capacite'!$E$8</f>
        <v>244</v>
      </c>
    </row>
    <row r="9871" customFormat="false" ht="15" hidden="false" customHeight="false" outlineLevel="0" collapsed="false">
      <c r="B9871" s="130" t="n">
        <v>2027</v>
      </c>
      <c r="C9871" s="131" t="s">
        <v>254</v>
      </c>
      <c r="D9871" s="132" t="n">
        <v>46752</v>
      </c>
      <c r="E9871" s="131" t="s">
        <v>12</v>
      </c>
      <c r="F9871" s="133" t="s">
        <v>24</v>
      </c>
      <c r="G9871" s="134" t="n">
        <f aca="false">LEN('Saisie programme'!$H$327)+SUMIFS('Vols additionnels'!$E$7:$E$66,'Vols additionnels'!$C$7:$C$66,$E9871,'Vols additionnels'!$D$7:$D$66,$F9871,'Vols additionnels'!$B$7:$B$66,$D9871)</f>
        <v>0</v>
      </c>
      <c r="H9871" s="135" t="n">
        <f aca="false">$G9871*'Analyse capacite'!$F$9</f>
        <v>0</v>
      </c>
      <c r="I9871" s="135" t="n">
        <f aca="false">$G9871*'Analyse capacite'!$C$9</f>
        <v>0</v>
      </c>
      <c r="J9871" s="135" t="n">
        <f aca="false">$G9871*'Analyse capacite'!$D$9</f>
        <v>0</v>
      </c>
      <c r="K9871" s="135" t="n">
        <f aca="false">$G9871*'Analyse capacite'!$E$9</f>
        <v>0</v>
      </c>
    </row>
    <row r="9872" customFormat="false" ht="15" hidden="false" customHeight="false" outlineLevel="0" collapsed="false">
      <c r="B9872" s="130" t="n">
        <v>2027</v>
      </c>
      <c r="C9872" s="131" t="s">
        <v>254</v>
      </c>
      <c r="D9872" s="132" t="n">
        <v>46752</v>
      </c>
      <c r="E9872" s="131" t="s">
        <v>20</v>
      </c>
      <c r="F9872" s="133" t="s">
        <v>11</v>
      </c>
      <c r="G9872" s="134" t="n">
        <f aca="false">LEN('Saisie programme'!$H$328)+SUMIFS('Vols additionnels'!$E$7:$E$66,'Vols additionnels'!$C$7:$C$66,$E9872,'Vols additionnels'!$D$7:$D$66,$F9872,'Vols additionnels'!$B$7:$B$66,$D9872)</f>
        <v>0</v>
      </c>
      <c r="H9872" s="135" t="n">
        <f aca="false">$G9872*'Analyse capacite'!$F$7</f>
        <v>0</v>
      </c>
      <c r="I9872" s="135" t="n">
        <f aca="false">$G9872*'Analyse capacite'!$C$7</f>
        <v>0</v>
      </c>
      <c r="J9872" s="135" t="n">
        <f aca="false">$G9872*'Analyse capacite'!$D$7</f>
        <v>0</v>
      </c>
      <c r="K9872" s="135" t="n">
        <f aca="false">$G9872*'Analyse capacite'!$E$7</f>
        <v>0</v>
      </c>
    </row>
    <row r="9873" customFormat="false" ht="15" hidden="false" customHeight="false" outlineLevel="0" collapsed="false">
      <c r="B9873" s="130" t="n">
        <v>2027</v>
      </c>
      <c r="C9873" s="131" t="s">
        <v>254</v>
      </c>
      <c r="D9873" s="132" t="n">
        <v>46752</v>
      </c>
      <c r="E9873" s="131" t="s">
        <v>20</v>
      </c>
      <c r="F9873" s="133" t="s">
        <v>19</v>
      </c>
      <c r="G9873" s="134" t="n">
        <f aca="false">LEN('Saisie programme'!$H$329)+SUMIFS('Vols additionnels'!$E$7:$E$66,'Vols additionnels'!$C$7:$C$66,$E9873,'Vols additionnels'!$D$7:$D$66,$F9873,'Vols additionnels'!$B$7:$B$66,$D9873)</f>
        <v>1</v>
      </c>
      <c r="H9873" s="135" t="n">
        <f aca="false">$G9873*'Analyse capacite'!$F$8</f>
        <v>262</v>
      </c>
      <c r="I9873" s="135" t="n">
        <f aca="false">$G9873*'Analyse capacite'!$C$8</f>
        <v>18</v>
      </c>
      <c r="J9873" s="135" t="n">
        <f aca="false">$G9873*'Analyse capacite'!$D$8</f>
        <v>0</v>
      </c>
      <c r="K9873" s="135" t="n">
        <f aca="false">$G9873*'Analyse capacite'!$E$8</f>
        <v>244</v>
      </c>
    </row>
    <row r="9874" customFormat="false" ht="15" hidden="false" customHeight="false" outlineLevel="0" collapsed="false">
      <c r="B9874" s="130" t="n">
        <v>2027</v>
      </c>
      <c r="C9874" s="131" t="s">
        <v>254</v>
      </c>
      <c r="D9874" s="132" t="n">
        <v>46752</v>
      </c>
      <c r="E9874" s="131" t="s">
        <v>20</v>
      </c>
      <c r="F9874" s="133" t="s">
        <v>24</v>
      </c>
      <c r="G9874" s="134" t="n">
        <f aca="false">LEN('Saisie programme'!$H$330)+SUMIFS('Vols additionnels'!$E$7:$E$66,'Vols additionnels'!$C$7:$C$66,$E9874,'Vols additionnels'!$D$7:$D$66,$F9874,'Vols additionnels'!$B$7:$B$66,$D9874)</f>
        <v>0</v>
      </c>
      <c r="H9874" s="135" t="n">
        <f aca="false">$G9874*'Analyse capacite'!$F$9</f>
        <v>0</v>
      </c>
      <c r="I9874" s="135" t="n">
        <f aca="false">$G9874*'Analyse capacite'!$C$9</f>
        <v>0</v>
      </c>
      <c r="J9874" s="135" t="n">
        <f aca="false">$G9874*'Analyse capacite'!$D$9</f>
        <v>0</v>
      </c>
      <c r="K9874" s="135" t="n">
        <f aca="false">$G9874*'Analyse capacite'!$E$9</f>
        <v>0</v>
      </c>
    </row>
    <row r="9875" customFormat="false" ht="15" hidden="false" customHeight="false" outlineLevel="0" collapsed="false">
      <c r="B9875" s="130" t="n">
        <v>2027</v>
      </c>
      <c r="C9875" s="131" t="s">
        <v>254</v>
      </c>
      <c r="D9875" s="132" t="n">
        <v>46752</v>
      </c>
      <c r="E9875" s="131" t="s">
        <v>25</v>
      </c>
      <c r="F9875" s="133" t="s">
        <v>11</v>
      </c>
      <c r="G9875" s="134" t="n">
        <f aca="false">LEN('Saisie programme'!$H$331)+SUMIFS('Vols additionnels'!$E$7:$E$66,'Vols additionnels'!$C$7:$C$66,$E9875,'Vols additionnels'!$D$7:$D$66,$F9875,'Vols additionnels'!$B$7:$B$66,$D9875)</f>
        <v>0</v>
      </c>
      <c r="H9875" s="135" t="n">
        <f aca="false">$G9875*'Analyse capacite'!$F$7</f>
        <v>0</v>
      </c>
      <c r="I9875" s="135" t="n">
        <f aca="false">$G9875*'Analyse capacite'!$C$7</f>
        <v>0</v>
      </c>
      <c r="J9875" s="135" t="n">
        <f aca="false">$G9875*'Analyse capacite'!$D$7</f>
        <v>0</v>
      </c>
      <c r="K9875" s="135" t="n">
        <f aca="false">$G9875*'Analyse capacite'!$E$7</f>
        <v>0</v>
      </c>
    </row>
    <row r="9876" customFormat="false" ht="15" hidden="false" customHeight="false" outlineLevel="0" collapsed="false">
      <c r="B9876" s="130" t="n">
        <v>2027</v>
      </c>
      <c r="C9876" s="131" t="s">
        <v>254</v>
      </c>
      <c r="D9876" s="132" t="n">
        <v>46752</v>
      </c>
      <c r="E9876" s="131" t="s">
        <v>25</v>
      </c>
      <c r="F9876" s="133" t="s">
        <v>19</v>
      </c>
      <c r="G9876" s="134" t="n">
        <f aca="false">LEN('Saisie programme'!$H$332)+SUMIFS('Vols additionnels'!$E$7:$E$66,'Vols additionnels'!$C$7:$C$66,$E9876,'Vols additionnels'!$D$7:$D$66,$F9876,'Vols additionnels'!$B$7:$B$66,$D9876)</f>
        <v>0</v>
      </c>
      <c r="H9876" s="135" t="n">
        <f aca="false">$G9876*'Analyse capacite'!$F$8</f>
        <v>0</v>
      </c>
      <c r="I9876" s="135" t="n">
        <f aca="false">$G9876*'Analyse capacite'!$C$8</f>
        <v>0</v>
      </c>
      <c r="J9876" s="135" t="n">
        <f aca="false">$G9876*'Analyse capacite'!$D$8</f>
        <v>0</v>
      </c>
      <c r="K9876" s="135" t="n">
        <f aca="false">$G9876*'Analyse capacite'!$E$8</f>
        <v>0</v>
      </c>
    </row>
    <row r="9877" customFormat="false" ht="15" hidden="false" customHeight="false" outlineLevel="0" collapsed="false">
      <c r="B9877" s="130" t="n">
        <v>2027</v>
      </c>
      <c r="C9877" s="131" t="s">
        <v>254</v>
      </c>
      <c r="D9877" s="132" t="n">
        <v>46752</v>
      </c>
      <c r="E9877" s="131" t="s">
        <v>25</v>
      </c>
      <c r="F9877" s="133" t="s">
        <v>24</v>
      </c>
      <c r="G9877" s="134" t="n">
        <f aca="false">LEN('Saisie programme'!$H$333)+SUMIFS('Vols additionnels'!$E$7:$E$66,'Vols additionnels'!$C$7:$C$66,$E9877,'Vols additionnels'!$D$7:$D$66,$F9877,'Vols additionnels'!$B$7:$B$66,$D9877)</f>
        <v>0</v>
      </c>
      <c r="H9877" s="135" t="n">
        <f aca="false">$G9877*'Analyse capacite'!$F$9</f>
        <v>0</v>
      </c>
      <c r="I9877" s="135" t="n">
        <f aca="false">$G9877*'Analyse capacite'!$C$9</f>
        <v>0</v>
      </c>
      <c r="J9877" s="135" t="n">
        <f aca="false">$G9877*'Analyse capacite'!$D$9</f>
        <v>0</v>
      </c>
      <c r="K9877" s="135" t="n">
        <f aca="false">$G9877*'Analyse capacite'!$E$9</f>
        <v>0</v>
      </c>
    </row>
    <row r="9878" customFormat="false" ht="15" hidden="false" customHeight="false" outlineLevel="0" collapsed="false">
      <c r="B9878" s="130" t="n">
        <v>2027</v>
      </c>
      <c r="C9878" s="131" t="s">
        <v>254</v>
      </c>
      <c r="D9878" s="132" t="n">
        <v>46752</v>
      </c>
      <c r="E9878" s="131" t="s">
        <v>36</v>
      </c>
      <c r="F9878" s="133" t="s">
        <v>11</v>
      </c>
      <c r="G9878" s="134" t="n">
        <f aca="false">LEN('Saisie programme'!$H$334)+SUMIFS('Vols additionnels'!$E$7:$E$66,'Vols additionnels'!$C$7:$C$66,$E9878,'Vols additionnels'!$D$7:$D$66,$F9878,'Vols additionnels'!$B$7:$B$66,$D9878)</f>
        <v>0</v>
      </c>
      <c r="H9878" s="135" t="n">
        <f aca="false">$G9878*'Analyse capacite'!$F$7</f>
        <v>0</v>
      </c>
      <c r="I9878" s="135" t="n">
        <f aca="false">$G9878*'Analyse capacite'!$C$7</f>
        <v>0</v>
      </c>
      <c r="J9878" s="135" t="n">
        <f aca="false">$G9878*'Analyse capacite'!$D$7</f>
        <v>0</v>
      </c>
      <c r="K9878" s="135" t="n">
        <f aca="false">$G9878*'Analyse capacite'!$E$7</f>
        <v>0</v>
      </c>
    </row>
    <row r="9879" customFormat="false" ht="15" hidden="false" customHeight="false" outlineLevel="0" collapsed="false">
      <c r="B9879" s="130" t="n">
        <v>2027</v>
      </c>
      <c r="C9879" s="131" t="s">
        <v>254</v>
      </c>
      <c r="D9879" s="132" t="n">
        <v>46752</v>
      </c>
      <c r="E9879" s="131" t="s">
        <v>36</v>
      </c>
      <c r="F9879" s="133" t="s">
        <v>19</v>
      </c>
      <c r="G9879" s="134" t="n">
        <f aca="false">LEN('Saisie programme'!$H$335)+SUMIFS('Vols additionnels'!$E$7:$E$66,'Vols additionnels'!$C$7:$C$66,$E9879,'Vols additionnels'!$D$7:$D$66,$F9879,'Vols additionnels'!$B$7:$B$66,$D9879)</f>
        <v>0</v>
      </c>
      <c r="H9879" s="135" t="n">
        <f aca="false">$G9879*'Analyse capacite'!$F$8</f>
        <v>0</v>
      </c>
      <c r="I9879" s="135" t="n">
        <f aca="false">$G9879*'Analyse capacite'!$C$8</f>
        <v>0</v>
      </c>
      <c r="J9879" s="135" t="n">
        <f aca="false">$G9879*'Analyse capacite'!$D$8</f>
        <v>0</v>
      </c>
      <c r="K9879" s="135" t="n">
        <f aca="false">$G9879*'Analyse capacite'!$E$8</f>
        <v>0</v>
      </c>
    </row>
    <row r="9880" customFormat="false" ht="15" hidden="false" customHeight="false" outlineLevel="0" collapsed="false">
      <c r="B9880" s="130" t="n">
        <v>2027</v>
      </c>
      <c r="C9880" s="131" t="s">
        <v>254</v>
      </c>
      <c r="D9880" s="132" t="n">
        <v>46752</v>
      </c>
      <c r="E9880" s="131" t="s">
        <v>36</v>
      </c>
      <c r="F9880" s="133" t="s">
        <v>24</v>
      </c>
      <c r="G9880" s="134" t="n">
        <f aca="false">LEN('Saisie programme'!$H$336)+SUMIFS('Vols additionnels'!$E$7:$E$66,'Vols additionnels'!$C$7:$C$66,$E9880,'Vols additionnels'!$D$7:$D$66,$F9880,'Vols additionnels'!$B$7:$B$66,$D9880)</f>
        <v>1</v>
      </c>
      <c r="H9880" s="135" t="n">
        <f aca="false">$G9880*'Analyse capacite'!$F$9</f>
        <v>174</v>
      </c>
      <c r="I9880" s="135" t="n">
        <f aca="false">$G9880*'Analyse capacite'!$C$9</f>
        <v>0</v>
      </c>
      <c r="J9880" s="135" t="n">
        <f aca="false">$G9880*'Analyse capacite'!$D$9</f>
        <v>12</v>
      </c>
      <c r="K9880" s="135" t="n">
        <f aca="false">$G9880*'Analyse capacite'!$E$9</f>
        <v>162</v>
      </c>
    </row>
    <row r="9881" customFormat="false" ht="15" hidden="false" customHeight="false" outlineLevel="0" collapsed="false">
      <c r="B9881" s="130" t="n">
        <v>2027</v>
      </c>
      <c r="C9881" s="131" t="s">
        <v>254</v>
      </c>
      <c r="D9881" s="132" t="n">
        <v>46752</v>
      </c>
      <c r="E9881" s="131" t="s">
        <v>40</v>
      </c>
      <c r="F9881" s="133" t="s">
        <v>11</v>
      </c>
      <c r="G9881" s="134" t="n">
        <f aca="false">LEN('Saisie programme'!$H$337)+SUMIFS('Vols additionnels'!$E$7:$E$66,'Vols additionnels'!$C$7:$C$66,$E9881,'Vols additionnels'!$D$7:$D$66,$F9881,'Vols additionnels'!$B$7:$B$66,$D9881)</f>
        <v>0</v>
      </c>
      <c r="H9881" s="135" t="n">
        <f aca="false">$G9881*'Analyse capacite'!$F$7</f>
        <v>0</v>
      </c>
      <c r="I9881" s="135" t="n">
        <f aca="false">$G9881*'Analyse capacite'!$C$7</f>
        <v>0</v>
      </c>
      <c r="J9881" s="135" t="n">
        <f aca="false">$G9881*'Analyse capacite'!$D$7</f>
        <v>0</v>
      </c>
      <c r="K9881" s="135" t="n">
        <f aca="false">$G9881*'Analyse capacite'!$E$7</f>
        <v>0</v>
      </c>
    </row>
    <row r="9882" customFormat="false" ht="15" hidden="false" customHeight="false" outlineLevel="0" collapsed="false">
      <c r="B9882" s="130" t="n">
        <v>2027</v>
      </c>
      <c r="C9882" s="131" t="s">
        <v>254</v>
      </c>
      <c r="D9882" s="132" t="n">
        <v>46752</v>
      </c>
      <c r="E9882" s="131" t="s">
        <v>40</v>
      </c>
      <c r="F9882" s="133" t="s">
        <v>19</v>
      </c>
      <c r="G9882" s="134" t="n">
        <f aca="false">LEN('Saisie programme'!$H$338)+SUMIFS('Vols additionnels'!$E$7:$E$66,'Vols additionnels'!$C$7:$C$66,$E9882,'Vols additionnels'!$D$7:$D$66,$F9882,'Vols additionnels'!$B$7:$B$66,$D9882)</f>
        <v>0</v>
      </c>
      <c r="H9882" s="135" t="n">
        <f aca="false">$G9882*'Analyse capacite'!$F$8</f>
        <v>0</v>
      </c>
      <c r="I9882" s="135" t="n">
        <f aca="false">$G9882*'Analyse capacite'!$C$8</f>
        <v>0</v>
      </c>
      <c r="J9882" s="135" t="n">
        <f aca="false">$G9882*'Analyse capacite'!$D$8</f>
        <v>0</v>
      </c>
      <c r="K9882" s="135" t="n">
        <f aca="false">$G9882*'Analyse capacite'!$E$8</f>
        <v>0</v>
      </c>
    </row>
    <row r="9883" customFormat="false" ht="15" hidden="false" customHeight="false" outlineLevel="0" collapsed="false">
      <c r="B9883" s="130" t="n">
        <v>2027</v>
      </c>
      <c r="C9883" s="131" t="s">
        <v>254</v>
      </c>
      <c r="D9883" s="132" t="n">
        <v>46752</v>
      </c>
      <c r="E9883" s="131" t="s">
        <v>40</v>
      </c>
      <c r="F9883" s="133" t="s">
        <v>24</v>
      </c>
      <c r="G9883" s="134" t="n">
        <f aca="false">LEN('Saisie programme'!$H$339)+SUMIFS('Vols additionnels'!$E$7:$E$66,'Vols additionnels'!$C$7:$C$66,$E9883,'Vols additionnels'!$D$7:$D$66,$F9883,'Vols additionnels'!$B$7:$B$66,$D9883)</f>
        <v>1</v>
      </c>
      <c r="H9883" s="135" t="n">
        <f aca="false">$G9883*'Analyse capacite'!$F$9</f>
        <v>174</v>
      </c>
      <c r="I9883" s="135" t="n">
        <f aca="false">$G9883*'Analyse capacite'!$C$9</f>
        <v>0</v>
      </c>
      <c r="J9883" s="135" t="n">
        <f aca="false">$G9883*'Analyse capacite'!$D$9</f>
        <v>12</v>
      </c>
      <c r="K9883" s="135" t="n">
        <f aca="false">$G9883*'Analyse capacite'!$E$9</f>
        <v>162</v>
      </c>
    </row>
    <row r="9884" customFormat="false" ht="15" hidden="false" customHeight="false" outlineLevel="0" collapsed="false">
      <c r="B9884" s="130" t="n">
        <v>2027</v>
      </c>
      <c r="C9884" s="131" t="s">
        <v>254</v>
      </c>
      <c r="D9884" s="132" t="n">
        <v>46752</v>
      </c>
      <c r="E9884" s="131" t="s">
        <v>14</v>
      </c>
      <c r="F9884" s="133" t="s">
        <v>11</v>
      </c>
      <c r="G9884" s="134" t="n">
        <f aca="false">LEN('Saisie programme'!$H$340)+SUMIFS('Vols additionnels'!$E$7:$E$66,'Vols additionnels'!$C$7:$C$66,$E9884,'Vols additionnels'!$D$7:$D$66,$F9884,'Vols additionnels'!$B$7:$B$66,$D9884)</f>
        <v>0</v>
      </c>
      <c r="H9884" s="135" t="n">
        <f aca="false">$G9884*'Analyse capacite'!$F$7</f>
        <v>0</v>
      </c>
      <c r="I9884" s="135" t="n">
        <f aca="false">$G9884*'Analyse capacite'!$C$7</f>
        <v>0</v>
      </c>
      <c r="J9884" s="135" t="n">
        <f aca="false">$G9884*'Analyse capacite'!$D$7</f>
        <v>0</v>
      </c>
      <c r="K9884" s="135" t="n">
        <f aca="false">$G9884*'Analyse capacite'!$E$7</f>
        <v>0</v>
      </c>
    </row>
    <row r="9885" customFormat="false" ht="15" hidden="false" customHeight="false" outlineLevel="0" collapsed="false">
      <c r="B9885" s="130" t="n">
        <v>2027</v>
      </c>
      <c r="C9885" s="131" t="s">
        <v>254</v>
      </c>
      <c r="D9885" s="132" t="n">
        <v>46752</v>
      </c>
      <c r="E9885" s="131" t="s">
        <v>14</v>
      </c>
      <c r="F9885" s="133" t="s">
        <v>19</v>
      </c>
      <c r="G9885" s="134" t="n">
        <f aca="false">LEN('Saisie programme'!$H$341)+SUMIFS('Vols additionnels'!$E$7:$E$66,'Vols additionnels'!$C$7:$C$66,$E9885,'Vols additionnels'!$D$7:$D$66,$F9885,'Vols additionnels'!$B$7:$B$66,$D9885)</f>
        <v>0</v>
      </c>
      <c r="H9885" s="135" t="n">
        <f aca="false">$G9885*'Analyse capacite'!$F$8</f>
        <v>0</v>
      </c>
      <c r="I9885" s="135" t="n">
        <f aca="false">$G9885*'Analyse capacite'!$C$8</f>
        <v>0</v>
      </c>
      <c r="J9885" s="135" t="n">
        <f aca="false">$G9885*'Analyse capacite'!$D$8</f>
        <v>0</v>
      </c>
      <c r="K9885" s="135" t="n">
        <f aca="false">$G9885*'Analyse capacite'!$E$8</f>
        <v>0</v>
      </c>
    </row>
    <row r="9886" customFormat="false" ht="15" hidden="false" customHeight="false" outlineLevel="0" collapsed="false">
      <c r="B9886" s="130" t="n">
        <v>2027</v>
      </c>
      <c r="C9886" s="131" t="s">
        <v>254</v>
      </c>
      <c r="D9886" s="132" t="n">
        <v>46752</v>
      </c>
      <c r="E9886" s="131" t="s">
        <v>14</v>
      </c>
      <c r="F9886" s="133" t="s">
        <v>24</v>
      </c>
      <c r="G9886" s="134" t="n">
        <f aca="false">LEN('Saisie programme'!$H$342)+SUMIFS('Vols additionnels'!$E$7:$E$66,'Vols additionnels'!$C$7:$C$66,$E9886,'Vols additionnels'!$D$7:$D$66,$F9886,'Vols additionnels'!$B$7:$B$66,$D9886)</f>
        <v>0</v>
      </c>
      <c r="H9886" s="135" t="n">
        <f aca="false">$G9886*'Analyse capacite'!$F$9</f>
        <v>0</v>
      </c>
      <c r="I9886" s="135" t="n">
        <f aca="false">$G9886*'Analyse capacite'!$C$9</f>
        <v>0</v>
      </c>
      <c r="J9886" s="135" t="n">
        <f aca="false">$G9886*'Analyse capacite'!$D$9</f>
        <v>0</v>
      </c>
      <c r="K9886" s="135" t="n">
        <f aca="false">$G9886*'Analyse capacite'!$E$9</f>
        <v>0</v>
      </c>
    </row>
    <row r="9887" customFormat="false" ht="15" hidden="false" customHeight="false" outlineLevel="0" collapsed="false">
      <c r="B9887" s="130" t="n">
        <v>2027</v>
      </c>
      <c r="C9887" s="131" t="s">
        <v>254</v>
      </c>
      <c r="D9887" s="132" t="n">
        <v>46752</v>
      </c>
      <c r="E9887" s="131" t="s">
        <v>46</v>
      </c>
      <c r="F9887" s="133" t="s">
        <v>11</v>
      </c>
      <c r="G9887" s="134" t="n">
        <f aca="false">LEN('Saisie programme'!$H$343)+SUMIFS('Vols additionnels'!$E$7:$E$66,'Vols additionnels'!$C$7:$C$66,$E9887,'Vols additionnels'!$D$7:$D$66,$F9887,'Vols additionnels'!$B$7:$B$66,$D9887)</f>
        <v>0</v>
      </c>
      <c r="H9887" s="135" t="n">
        <f aca="false">$G9887*'Analyse capacite'!$F$7</f>
        <v>0</v>
      </c>
      <c r="I9887" s="135" t="n">
        <f aca="false">$G9887*'Analyse capacite'!$C$7</f>
        <v>0</v>
      </c>
      <c r="J9887" s="135" t="n">
        <f aca="false">$G9887*'Analyse capacite'!$D$7</f>
        <v>0</v>
      </c>
      <c r="K9887" s="135" t="n">
        <f aca="false">$G9887*'Analyse capacite'!$E$7</f>
        <v>0</v>
      </c>
    </row>
    <row r="9888" customFormat="false" ht="15" hidden="false" customHeight="false" outlineLevel="0" collapsed="false">
      <c r="B9888" s="130" t="n">
        <v>2027</v>
      </c>
      <c r="C9888" s="131" t="s">
        <v>254</v>
      </c>
      <c r="D9888" s="132" t="n">
        <v>46752</v>
      </c>
      <c r="E9888" s="131" t="s">
        <v>46</v>
      </c>
      <c r="F9888" s="133" t="s">
        <v>19</v>
      </c>
      <c r="G9888" s="134" t="n">
        <f aca="false">LEN('Saisie programme'!$H$344)+SUMIFS('Vols additionnels'!$E$7:$E$66,'Vols additionnels'!$C$7:$C$66,$E9888,'Vols additionnels'!$D$7:$D$66,$F9888,'Vols additionnels'!$B$7:$B$66,$D9888)</f>
        <v>0</v>
      </c>
      <c r="H9888" s="135" t="n">
        <f aca="false">$G9888*'Analyse capacite'!$F$8</f>
        <v>0</v>
      </c>
      <c r="I9888" s="135" t="n">
        <f aca="false">$G9888*'Analyse capacite'!$C$8</f>
        <v>0</v>
      </c>
      <c r="J9888" s="135" t="n">
        <f aca="false">$G9888*'Analyse capacite'!$D$8</f>
        <v>0</v>
      </c>
      <c r="K9888" s="135" t="n">
        <f aca="false">$G9888*'Analyse capacite'!$E$8</f>
        <v>0</v>
      </c>
    </row>
    <row r="9889" customFormat="false" ht="15" hidden="false" customHeight="false" outlineLevel="0" collapsed="false">
      <c r="B9889" s="130" t="n">
        <v>2027</v>
      </c>
      <c r="C9889" s="131" t="s">
        <v>254</v>
      </c>
      <c r="D9889" s="132" t="n">
        <v>46752</v>
      </c>
      <c r="E9889" s="131" t="s">
        <v>46</v>
      </c>
      <c r="F9889" s="133" t="s">
        <v>24</v>
      </c>
      <c r="G9889" s="134" t="n">
        <f aca="false">LEN('Saisie programme'!$H$345)+SUMIFS('Vols additionnels'!$E$7:$E$66,'Vols additionnels'!$C$7:$C$66,$E9889,'Vols additionnels'!$D$7:$D$66,$F9889,'Vols additionnels'!$B$7:$B$66,$D9889)</f>
        <v>0</v>
      </c>
      <c r="H9889" s="135" t="n">
        <f aca="false">$G9889*'Analyse capacite'!$F$9</f>
        <v>0</v>
      </c>
      <c r="I9889" s="135" t="n">
        <f aca="false">$G9889*'Analyse capacite'!$C$9</f>
        <v>0</v>
      </c>
      <c r="J9889" s="135" t="n">
        <f aca="false">$G9889*'Analyse capacite'!$D$9</f>
        <v>0</v>
      </c>
      <c r="K9889" s="135" t="n">
        <f aca="false">$G9889*'Analyse capacite'!$E$9</f>
        <v>0</v>
      </c>
    </row>
    <row r="9890" customFormat="false" ht="15" hidden="false" customHeight="false" outlineLevel="0" collapsed="false">
      <c r="B9890" s="130" t="n">
        <v>2027</v>
      </c>
      <c r="C9890" s="131" t="s">
        <v>254</v>
      </c>
      <c r="D9890" s="132" t="n">
        <v>46752</v>
      </c>
      <c r="E9890" s="131" t="s">
        <v>49</v>
      </c>
      <c r="F9890" s="133" t="s">
        <v>11</v>
      </c>
      <c r="G9890" s="134" t="n">
        <f aca="false">LEN('Saisie programme'!$H$346)+SUMIFS('Vols additionnels'!$E$7:$E$66,'Vols additionnels'!$C$7:$C$66,$E9890,'Vols additionnels'!$D$7:$D$66,$F9890,'Vols additionnels'!$B$7:$B$66,$D9890)</f>
        <v>0</v>
      </c>
      <c r="H9890" s="135" t="n">
        <f aca="false">$G9890*'Analyse capacite'!$F$7</f>
        <v>0</v>
      </c>
      <c r="I9890" s="135" t="n">
        <f aca="false">$G9890*'Analyse capacite'!$C$7</f>
        <v>0</v>
      </c>
      <c r="J9890" s="135" t="n">
        <f aca="false">$G9890*'Analyse capacite'!$D$7</f>
        <v>0</v>
      </c>
      <c r="K9890" s="135" t="n">
        <f aca="false">$G9890*'Analyse capacite'!$E$7</f>
        <v>0</v>
      </c>
    </row>
    <row r="9891" customFormat="false" ht="15" hidden="false" customHeight="false" outlineLevel="0" collapsed="false">
      <c r="B9891" s="130" t="n">
        <v>2027</v>
      </c>
      <c r="C9891" s="131" t="s">
        <v>254</v>
      </c>
      <c r="D9891" s="132" t="n">
        <v>46752</v>
      </c>
      <c r="E9891" s="131" t="s">
        <v>49</v>
      </c>
      <c r="F9891" s="133" t="s">
        <v>19</v>
      </c>
      <c r="G9891" s="134" t="n">
        <f aca="false">LEN('Saisie programme'!$H$347)+SUMIFS('Vols additionnels'!$E$7:$E$66,'Vols additionnels'!$C$7:$C$66,$E9891,'Vols additionnels'!$D$7:$D$66,$F9891,'Vols additionnels'!$B$7:$B$66,$D9891)</f>
        <v>1</v>
      </c>
      <c r="H9891" s="135" t="n">
        <f aca="false">$G9891*'Analyse capacite'!$F$8</f>
        <v>262</v>
      </c>
      <c r="I9891" s="135" t="n">
        <f aca="false">$G9891*'Analyse capacite'!$C$8</f>
        <v>18</v>
      </c>
      <c r="J9891" s="135" t="n">
        <f aca="false">$G9891*'Analyse capacite'!$D$8</f>
        <v>0</v>
      </c>
      <c r="K9891" s="135" t="n">
        <f aca="false">$G9891*'Analyse capacite'!$E$8</f>
        <v>244</v>
      </c>
    </row>
    <row r="9892" customFormat="false" ht="15" hidden="false" customHeight="false" outlineLevel="0" collapsed="false">
      <c r="B9892" s="130" t="n">
        <v>2027</v>
      </c>
      <c r="C9892" s="131" t="s">
        <v>254</v>
      </c>
      <c r="D9892" s="132" t="n">
        <v>46752</v>
      </c>
      <c r="E9892" s="131" t="s">
        <v>49</v>
      </c>
      <c r="F9892" s="133" t="s">
        <v>24</v>
      </c>
      <c r="G9892" s="134" t="n">
        <f aca="false">LEN('Saisie programme'!$H$348)+SUMIFS('Vols additionnels'!$E$7:$E$66,'Vols additionnels'!$C$7:$C$66,$E9892,'Vols additionnels'!$D$7:$D$66,$F9892,'Vols additionnels'!$B$7:$B$66,$D9892)</f>
        <v>0</v>
      </c>
      <c r="H9892" s="135" t="n">
        <f aca="false">$G9892*'Analyse capacite'!$F$9</f>
        <v>0</v>
      </c>
      <c r="I9892" s="135" t="n">
        <f aca="false">$G9892*'Analyse capacite'!$C$9</f>
        <v>0</v>
      </c>
      <c r="J9892" s="135" t="n">
        <f aca="false">$G9892*'Analyse capacite'!$D$9</f>
        <v>0</v>
      </c>
      <c r="K9892" s="135" t="n">
        <f aca="false">$G9892*'Analyse capacite'!$E$9</f>
        <v>0</v>
      </c>
    </row>
    <row r="9893" customFormat="false" ht="15" hidden="false" customHeight="false" outlineLevel="0" collapsed="false">
      <c r="B9893" s="130" t="n">
        <v>2027</v>
      </c>
      <c r="C9893" s="131" t="s">
        <v>254</v>
      </c>
      <c r="D9893" s="132" t="n">
        <v>46752</v>
      </c>
      <c r="E9893" s="131" t="s">
        <v>53</v>
      </c>
      <c r="F9893" s="133" t="s">
        <v>11</v>
      </c>
      <c r="G9893" s="134" t="n">
        <f aca="false">LEN('Saisie programme'!$H$349)+SUMIFS('Vols additionnels'!$E$7:$E$66,'Vols additionnels'!$C$7:$C$66,$E9893,'Vols additionnels'!$D$7:$D$66,$F9893,'Vols additionnels'!$B$7:$B$66,$D9893)</f>
        <v>0</v>
      </c>
      <c r="H9893" s="135" t="n">
        <f aca="false">$G9893*'Analyse capacite'!$F$7</f>
        <v>0</v>
      </c>
      <c r="I9893" s="135" t="n">
        <f aca="false">$G9893*'Analyse capacite'!$C$7</f>
        <v>0</v>
      </c>
      <c r="J9893" s="135" t="n">
        <f aca="false">$G9893*'Analyse capacite'!$D$7</f>
        <v>0</v>
      </c>
      <c r="K9893" s="135" t="n">
        <f aca="false">$G9893*'Analyse capacite'!$E$7</f>
        <v>0</v>
      </c>
    </row>
    <row r="9894" customFormat="false" ht="15" hidden="false" customHeight="false" outlineLevel="0" collapsed="false">
      <c r="B9894" s="130" t="n">
        <v>2027</v>
      </c>
      <c r="C9894" s="131" t="s">
        <v>254</v>
      </c>
      <c r="D9894" s="132" t="n">
        <v>46752</v>
      </c>
      <c r="E9894" s="131" t="s">
        <v>53</v>
      </c>
      <c r="F9894" s="133" t="s">
        <v>19</v>
      </c>
      <c r="G9894" s="134" t="n">
        <f aca="false">LEN('Saisie programme'!$H$350)+SUMIFS('Vols additionnels'!$E$7:$E$66,'Vols additionnels'!$C$7:$C$66,$E9894,'Vols additionnels'!$D$7:$D$66,$F9894,'Vols additionnels'!$B$7:$B$66,$D9894)</f>
        <v>0</v>
      </c>
      <c r="H9894" s="135" t="n">
        <f aca="false">$G9894*'Analyse capacite'!$F$8</f>
        <v>0</v>
      </c>
      <c r="I9894" s="135" t="n">
        <f aca="false">$G9894*'Analyse capacite'!$C$8</f>
        <v>0</v>
      </c>
      <c r="J9894" s="135" t="n">
        <f aca="false">$G9894*'Analyse capacite'!$D$8</f>
        <v>0</v>
      </c>
      <c r="K9894" s="135" t="n">
        <f aca="false">$G9894*'Analyse capacite'!$E$8</f>
        <v>0</v>
      </c>
    </row>
    <row r="9895" customFormat="false" ht="15" hidden="false" customHeight="false" outlineLevel="0" collapsed="false">
      <c r="B9895" s="130" t="n">
        <v>2027</v>
      </c>
      <c r="C9895" s="131" t="s">
        <v>254</v>
      </c>
      <c r="D9895" s="132" t="n">
        <v>46752</v>
      </c>
      <c r="E9895" s="131" t="s">
        <v>53</v>
      </c>
      <c r="F9895" s="133" t="s">
        <v>24</v>
      </c>
      <c r="G9895" s="134" t="n">
        <f aca="false">LEN('Saisie programme'!$H$351)+SUMIFS('Vols additionnels'!$E$7:$E$66,'Vols additionnels'!$C$7:$C$66,$E9895,'Vols additionnels'!$D$7:$D$66,$F9895,'Vols additionnels'!$B$7:$B$66,$D9895)</f>
        <v>0</v>
      </c>
      <c r="H9895" s="135" t="n">
        <f aca="false">$G9895*'Analyse capacite'!$F$9</f>
        <v>0</v>
      </c>
      <c r="I9895" s="135" t="n">
        <f aca="false">$G9895*'Analyse capacite'!$C$9</f>
        <v>0</v>
      </c>
      <c r="J9895" s="135" t="n">
        <f aca="false">$G9895*'Analyse capacite'!$D$9</f>
        <v>0</v>
      </c>
      <c r="K9895" s="135" t="n">
        <f aca="false">$G9895*'Analyse capacite'!$E$9</f>
        <v>0</v>
      </c>
    </row>
    <row r="9896" customFormat="false" ht="15" hidden="false" customHeight="false" outlineLevel="0" collapsed="false">
      <c r="B9896" s="130" t="n">
        <v>2027</v>
      </c>
      <c r="C9896" s="131" t="s">
        <v>254</v>
      </c>
      <c r="D9896" s="132" t="n">
        <v>46752</v>
      </c>
      <c r="E9896" s="131" t="s">
        <v>56</v>
      </c>
      <c r="F9896" s="133" t="s">
        <v>11</v>
      </c>
      <c r="G9896" s="134" t="n">
        <f aca="false">LEN('Saisie programme'!$H$352)+SUMIFS('Vols additionnels'!$E$7:$E$66,'Vols additionnels'!$C$7:$C$66,$E9896,'Vols additionnels'!$D$7:$D$66,$F9896,'Vols additionnels'!$B$7:$B$66,$D9896)</f>
        <v>0</v>
      </c>
      <c r="H9896" s="135" t="n">
        <f aca="false">$G9896*'Analyse capacite'!$F$7</f>
        <v>0</v>
      </c>
      <c r="I9896" s="135" t="n">
        <f aca="false">$G9896*'Analyse capacite'!$C$7</f>
        <v>0</v>
      </c>
      <c r="J9896" s="135" t="n">
        <f aca="false">$G9896*'Analyse capacite'!$D$7</f>
        <v>0</v>
      </c>
      <c r="K9896" s="135" t="n">
        <f aca="false">$G9896*'Analyse capacite'!$E$7</f>
        <v>0</v>
      </c>
    </row>
    <row r="9897" customFormat="false" ht="15" hidden="false" customHeight="false" outlineLevel="0" collapsed="false">
      <c r="B9897" s="130" t="n">
        <v>2027</v>
      </c>
      <c r="C9897" s="131" t="s">
        <v>254</v>
      </c>
      <c r="D9897" s="132" t="n">
        <v>46752</v>
      </c>
      <c r="E9897" s="131" t="s">
        <v>56</v>
      </c>
      <c r="F9897" s="133" t="s">
        <v>19</v>
      </c>
      <c r="G9897" s="134" t="n">
        <f aca="false">LEN('Saisie programme'!$H$353)+SUMIFS('Vols additionnels'!$E$7:$E$66,'Vols additionnels'!$C$7:$C$66,$E9897,'Vols additionnels'!$D$7:$D$66,$F9897,'Vols additionnels'!$B$7:$B$66,$D9897)</f>
        <v>0</v>
      </c>
      <c r="H9897" s="135" t="n">
        <f aca="false">$G9897*'Analyse capacite'!$F$8</f>
        <v>0</v>
      </c>
      <c r="I9897" s="135" t="n">
        <f aca="false">$G9897*'Analyse capacite'!$C$8</f>
        <v>0</v>
      </c>
      <c r="J9897" s="135" t="n">
        <f aca="false">$G9897*'Analyse capacite'!$D$8</f>
        <v>0</v>
      </c>
      <c r="K9897" s="135" t="n">
        <f aca="false">$G9897*'Analyse capacite'!$E$8</f>
        <v>0</v>
      </c>
    </row>
    <row r="9898" customFormat="false" ht="15" hidden="false" customHeight="false" outlineLevel="0" collapsed="false">
      <c r="B9898" s="130" t="n">
        <v>2027</v>
      </c>
      <c r="C9898" s="131" t="s">
        <v>254</v>
      </c>
      <c r="D9898" s="132" t="n">
        <v>46752</v>
      </c>
      <c r="E9898" s="131" t="s">
        <v>56</v>
      </c>
      <c r="F9898" s="133" t="s">
        <v>24</v>
      </c>
      <c r="G9898" s="134" t="n">
        <f aca="false">LEN('Saisie programme'!$H$354)+SUMIFS('Vols additionnels'!$E$7:$E$66,'Vols additionnels'!$C$7:$C$66,$E9898,'Vols additionnels'!$D$7:$D$66,$F9898,'Vols additionnels'!$B$7:$B$66,$D9898)</f>
        <v>0</v>
      </c>
      <c r="H9898" s="135" t="n">
        <f aca="false">$G9898*'Analyse capacite'!$F$9</f>
        <v>0</v>
      </c>
      <c r="I9898" s="135" t="n">
        <f aca="false">$G9898*'Analyse capacite'!$C$9</f>
        <v>0</v>
      </c>
      <c r="J9898" s="135" t="n">
        <f aca="false">$G9898*'Analyse capacite'!$D$9</f>
        <v>0</v>
      </c>
      <c r="K9898" s="135" t="n">
        <f aca="false">$G9898*'Analyse capacite'!$E$9</f>
        <v>0</v>
      </c>
    </row>
    <row r="9899" customFormat="false" ht="15" hidden="false" customHeight="false" outlineLevel="0" collapsed="false">
      <c r="B9899" s="130" t="n">
        <v>2027</v>
      </c>
      <c r="C9899" s="131" t="s">
        <v>254</v>
      </c>
      <c r="D9899" s="132" t="n">
        <v>46752</v>
      </c>
      <c r="E9899" s="131" t="s">
        <v>59</v>
      </c>
      <c r="F9899" s="133" t="s">
        <v>11</v>
      </c>
      <c r="G9899" s="134" t="n">
        <f aca="false">LEN('Saisie programme'!$H$355)+SUMIFS('Vols additionnels'!$E$7:$E$66,'Vols additionnels'!$C$7:$C$66,$E9899,'Vols additionnels'!$D$7:$D$66,$F9899,'Vols additionnels'!$B$7:$B$66,$D9899)</f>
        <v>0</v>
      </c>
      <c r="H9899" s="135" t="n">
        <f aca="false">$G9899*'Analyse capacite'!$F$7</f>
        <v>0</v>
      </c>
      <c r="I9899" s="135" t="n">
        <f aca="false">$G9899*'Analyse capacite'!$C$7</f>
        <v>0</v>
      </c>
      <c r="J9899" s="135" t="n">
        <f aca="false">$G9899*'Analyse capacite'!$D$7</f>
        <v>0</v>
      </c>
      <c r="K9899" s="135" t="n">
        <f aca="false">$G9899*'Analyse capacite'!$E$7</f>
        <v>0</v>
      </c>
    </row>
    <row r="9900" customFormat="false" ht="15" hidden="false" customHeight="false" outlineLevel="0" collapsed="false">
      <c r="B9900" s="130" t="n">
        <v>2027</v>
      </c>
      <c r="C9900" s="131" t="s">
        <v>254</v>
      </c>
      <c r="D9900" s="132" t="n">
        <v>46752</v>
      </c>
      <c r="E9900" s="131" t="s">
        <v>59</v>
      </c>
      <c r="F9900" s="133" t="s">
        <v>19</v>
      </c>
      <c r="G9900" s="134" t="n">
        <f aca="false">LEN('Saisie programme'!$H$356)+SUMIFS('Vols additionnels'!$E$7:$E$66,'Vols additionnels'!$C$7:$C$66,$E9900,'Vols additionnels'!$D$7:$D$66,$F9900,'Vols additionnels'!$B$7:$B$66,$D9900)</f>
        <v>0</v>
      </c>
      <c r="H9900" s="135" t="n">
        <f aca="false">$G9900*'Analyse capacite'!$F$8</f>
        <v>0</v>
      </c>
      <c r="I9900" s="135" t="n">
        <f aca="false">$G9900*'Analyse capacite'!$C$8</f>
        <v>0</v>
      </c>
      <c r="J9900" s="135" t="n">
        <f aca="false">$G9900*'Analyse capacite'!$D$8</f>
        <v>0</v>
      </c>
      <c r="K9900" s="135" t="n">
        <f aca="false">$G9900*'Analyse capacite'!$E$8</f>
        <v>0</v>
      </c>
    </row>
    <row r="9901" customFormat="false" ht="15" hidden="false" customHeight="false" outlineLevel="0" collapsed="false">
      <c r="B9901" s="130" t="n">
        <v>2027</v>
      </c>
      <c r="C9901" s="131" t="s">
        <v>254</v>
      </c>
      <c r="D9901" s="132" t="n">
        <v>46752</v>
      </c>
      <c r="E9901" s="131" t="s">
        <v>59</v>
      </c>
      <c r="F9901" s="133" t="s">
        <v>24</v>
      </c>
      <c r="G9901" s="134" t="n">
        <f aca="false">LEN('Saisie programme'!$H$357)+SUMIFS('Vols additionnels'!$E$7:$E$66,'Vols additionnels'!$C$7:$C$66,$E9901,'Vols additionnels'!$D$7:$D$66,$F9901,'Vols additionnels'!$B$7:$B$66,$D9901)</f>
        <v>1</v>
      </c>
      <c r="H9901" s="135" t="n">
        <f aca="false">$G9901*'Analyse capacite'!$F$9</f>
        <v>174</v>
      </c>
      <c r="I9901" s="135" t="n">
        <f aca="false">$G9901*'Analyse capacite'!$C$9</f>
        <v>0</v>
      </c>
      <c r="J9901" s="135" t="n">
        <f aca="false">$G9901*'Analyse capacite'!$D$9</f>
        <v>12</v>
      </c>
      <c r="K9901" s="135" t="n">
        <f aca="false">$G9901*'Analyse capacite'!$E$9</f>
        <v>162</v>
      </c>
    </row>
    <row r="9902" customFormat="false" ht="15" hidden="false" customHeight="false" outlineLevel="0" collapsed="false">
      <c r="B9902" s="130" t="n">
        <v>2027</v>
      </c>
      <c r="C9902" s="131" t="s">
        <v>254</v>
      </c>
      <c r="D9902" s="132" t="n">
        <v>46752</v>
      </c>
      <c r="E9902" s="131" t="s">
        <v>62</v>
      </c>
      <c r="F9902" s="133" t="s">
        <v>11</v>
      </c>
      <c r="G9902" s="134" t="n">
        <f aca="false">LEN('Saisie programme'!$H$358)+SUMIFS('Vols additionnels'!$E$7:$E$66,'Vols additionnels'!$C$7:$C$66,$E9902,'Vols additionnels'!$D$7:$D$66,$F9902,'Vols additionnels'!$B$7:$B$66,$D9902)</f>
        <v>0</v>
      </c>
      <c r="H9902" s="135" t="n">
        <f aca="false">$G9902*'Analyse capacite'!$F$7</f>
        <v>0</v>
      </c>
      <c r="I9902" s="135" t="n">
        <f aca="false">$G9902*'Analyse capacite'!$C$7</f>
        <v>0</v>
      </c>
      <c r="J9902" s="135" t="n">
        <f aca="false">$G9902*'Analyse capacite'!$D$7</f>
        <v>0</v>
      </c>
      <c r="K9902" s="135" t="n">
        <f aca="false">$G9902*'Analyse capacite'!$E$7</f>
        <v>0</v>
      </c>
    </row>
    <row r="9903" customFormat="false" ht="15" hidden="false" customHeight="false" outlineLevel="0" collapsed="false">
      <c r="B9903" s="130" t="n">
        <v>2027</v>
      </c>
      <c r="C9903" s="131" t="s">
        <v>254</v>
      </c>
      <c r="D9903" s="132" t="n">
        <v>46752</v>
      </c>
      <c r="E9903" s="131" t="s">
        <v>62</v>
      </c>
      <c r="F9903" s="133" t="s">
        <v>19</v>
      </c>
      <c r="G9903" s="134" t="n">
        <f aca="false">LEN('Saisie programme'!$H$359)+SUMIFS('Vols additionnels'!$E$7:$E$66,'Vols additionnels'!$C$7:$C$66,$E9903,'Vols additionnels'!$D$7:$D$66,$F9903,'Vols additionnels'!$B$7:$B$66,$D9903)</f>
        <v>0</v>
      </c>
      <c r="H9903" s="135" t="n">
        <f aca="false">$G9903*'Analyse capacite'!$F$8</f>
        <v>0</v>
      </c>
      <c r="I9903" s="135" t="n">
        <f aca="false">$G9903*'Analyse capacite'!$C$8</f>
        <v>0</v>
      </c>
      <c r="J9903" s="135" t="n">
        <f aca="false">$G9903*'Analyse capacite'!$D$8</f>
        <v>0</v>
      </c>
      <c r="K9903" s="135" t="n">
        <f aca="false">$G9903*'Analyse capacite'!$E$8</f>
        <v>0</v>
      </c>
    </row>
    <row r="9904" customFormat="false" ht="15" hidden="false" customHeight="false" outlineLevel="0" collapsed="false">
      <c r="B9904" s="130" t="n">
        <v>2027</v>
      </c>
      <c r="C9904" s="131" t="s">
        <v>254</v>
      </c>
      <c r="D9904" s="132" t="n">
        <v>46752</v>
      </c>
      <c r="E9904" s="131" t="s">
        <v>62</v>
      </c>
      <c r="F9904" s="133" t="s">
        <v>24</v>
      </c>
      <c r="G9904" s="134" t="n">
        <f aca="false">LEN('Saisie programme'!$H$360)+SUMIFS('Vols additionnels'!$E$7:$E$66,'Vols additionnels'!$C$7:$C$66,$E9904,'Vols additionnels'!$D$7:$D$66,$F9904,'Vols additionnels'!$B$7:$B$66,$D9904)</f>
        <v>0</v>
      </c>
      <c r="H9904" s="135" t="n">
        <f aca="false">$G9904*'Analyse capacite'!$F$9</f>
        <v>0</v>
      </c>
      <c r="I9904" s="135" t="n">
        <f aca="false">$G9904*'Analyse capacite'!$C$9</f>
        <v>0</v>
      </c>
      <c r="J9904" s="135" t="n">
        <f aca="false">$G9904*'Analyse capacite'!$D$9</f>
        <v>0</v>
      </c>
      <c r="K9904" s="135" t="n">
        <f aca="false">$G9904*'Analyse capacite'!$E$9</f>
        <v>0</v>
      </c>
    </row>
    <row r="9905" customFormat="false" ht="15" hidden="false" customHeight="false" outlineLevel="0" collapsed="false">
      <c r="B9905" s="130" t="n">
        <v>2028</v>
      </c>
      <c r="C9905" s="131" t="s">
        <v>255</v>
      </c>
      <c r="D9905" s="132" t="n">
        <v>46753</v>
      </c>
      <c r="E9905" s="131" t="s">
        <v>12</v>
      </c>
      <c r="F9905" s="133" t="s">
        <v>11</v>
      </c>
      <c r="G9905" s="134" t="n">
        <f aca="false">LEN('Saisie programme'!$I$364)+SUMIFS('Vols additionnels'!$E$7:$E$66,'Vols additionnels'!$C$7:$C$66,$E9905,'Vols additionnels'!$D$7:$D$66,$F9905,'Vols additionnels'!$B$7:$B$66,$D9905)</f>
        <v>1</v>
      </c>
      <c r="H9905" s="135" t="n">
        <f aca="false">$G9905*'Analyse capacite'!$F$7</f>
        <v>438</v>
      </c>
      <c r="I9905" s="135" t="n">
        <f aca="false">$G9905*'Analyse capacite'!$C$7</f>
        <v>14</v>
      </c>
      <c r="J9905" s="135" t="n">
        <f aca="false">$G9905*'Analyse capacite'!$D$7</f>
        <v>40</v>
      </c>
      <c r="K9905" s="135" t="n">
        <f aca="false">$G9905*'Analyse capacite'!$E$7</f>
        <v>384</v>
      </c>
    </row>
    <row r="9906" customFormat="false" ht="15" hidden="false" customHeight="false" outlineLevel="0" collapsed="false">
      <c r="B9906" s="130" t="n">
        <v>2028</v>
      </c>
      <c r="C9906" s="131" t="s">
        <v>255</v>
      </c>
      <c r="D9906" s="132" t="n">
        <v>46753</v>
      </c>
      <c r="E9906" s="131" t="s">
        <v>12</v>
      </c>
      <c r="F9906" s="133" t="s">
        <v>19</v>
      </c>
      <c r="G9906" s="134" t="n">
        <f aca="false">LEN('Saisie programme'!$I$365)+SUMIFS('Vols additionnels'!$E$7:$E$66,'Vols additionnels'!$C$7:$C$66,$E9906,'Vols additionnels'!$D$7:$D$66,$F9906,'Vols additionnels'!$B$7:$B$66,$D9906)</f>
        <v>0</v>
      </c>
      <c r="H9906" s="135" t="n">
        <f aca="false">$G9906*'Analyse capacite'!$F$8</f>
        <v>0</v>
      </c>
      <c r="I9906" s="135" t="n">
        <f aca="false">$G9906*'Analyse capacite'!$C$8</f>
        <v>0</v>
      </c>
      <c r="J9906" s="135" t="n">
        <f aca="false">$G9906*'Analyse capacite'!$D$8</f>
        <v>0</v>
      </c>
      <c r="K9906" s="135" t="n">
        <f aca="false">$G9906*'Analyse capacite'!$E$8</f>
        <v>0</v>
      </c>
    </row>
    <row r="9907" customFormat="false" ht="15" hidden="false" customHeight="false" outlineLevel="0" collapsed="false">
      <c r="B9907" s="130" t="n">
        <v>2028</v>
      </c>
      <c r="C9907" s="131" t="s">
        <v>255</v>
      </c>
      <c r="D9907" s="132" t="n">
        <v>46753</v>
      </c>
      <c r="E9907" s="131" t="s">
        <v>12</v>
      </c>
      <c r="F9907" s="133" t="s">
        <v>24</v>
      </c>
      <c r="G9907" s="134" t="n">
        <f aca="false">LEN('Saisie programme'!$I$366)+SUMIFS('Vols additionnels'!$E$7:$E$66,'Vols additionnels'!$C$7:$C$66,$E9907,'Vols additionnels'!$D$7:$D$66,$F9907,'Vols additionnels'!$B$7:$B$66,$D9907)</f>
        <v>0</v>
      </c>
      <c r="H9907" s="135" t="n">
        <f aca="false">$G9907*'Analyse capacite'!$F$9</f>
        <v>0</v>
      </c>
      <c r="I9907" s="135" t="n">
        <f aca="false">$G9907*'Analyse capacite'!$C$9</f>
        <v>0</v>
      </c>
      <c r="J9907" s="135" t="n">
        <f aca="false">$G9907*'Analyse capacite'!$D$9</f>
        <v>0</v>
      </c>
      <c r="K9907" s="135" t="n">
        <f aca="false">$G9907*'Analyse capacite'!$E$9</f>
        <v>0</v>
      </c>
    </row>
    <row r="9908" customFormat="false" ht="15" hidden="false" customHeight="false" outlineLevel="0" collapsed="false">
      <c r="B9908" s="130" t="n">
        <v>2028</v>
      </c>
      <c r="C9908" s="131" t="s">
        <v>255</v>
      </c>
      <c r="D9908" s="132" t="n">
        <v>46753</v>
      </c>
      <c r="E9908" s="131" t="s">
        <v>20</v>
      </c>
      <c r="F9908" s="133" t="s">
        <v>11</v>
      </c>
      <c r="G9908" s="134" t="n">
        <f aca="false">LEN('Saisie programme'!$I$367)+SUMIFS('Vols additionnels'!$E$7:$E$66,'Vols additionnels'!$C$7:$C$66,$E9908,'Vols additionnels'!$D$7:$D$66,$F9908,'Vols additionnels'!$B$7:$B$66,$D9908)</f>
        <v>0</v>
      </c>
      <c r="H9908" s="135" t="n">
        <f aca="false">$G9908*'Analyse capacite'!$F$7</f>
        <v>0</v>
      </c>
      <c r="I9908" s="135" t="n">
        <f aca="false">$G9908*'Analyse capacite'!$C$7</f>
        <v>0</v>
      </c>
      <c r="J9908" s="135" t="n">
        <f aca="false">$G9908*'Analyse capacite'!$D$7</f>
        <v>0</v>
      </c>
      <c r="K9908" s="135" t="n">
        <f aca="false">$G9908*'Analyse capacite'!$E$7</f>
        <v>0</v>
      </c>
    </row>
    <row r="9909" customFormat="false" ht="15" hidden="false" customHeight="false" outlineLevel="0" collapsed="false">
      <c r="B9909" s="130" t="n">
        <v>2028</v>
      </c>
      <c r="C9909" s="131" t="s">
        <v>255</v>
      </c>
      <c r="D9909" s="132" t="n">
        <v>46753</v>
      </c>
      <c r="E9909" s="131" t="s">
        <v>20</v>
      </c>
      <c r="F9909" s="133" t="s">
        <v>19</v>
      </c>
      <c r="G9909" s="134" t="n">
        <f aca="false">LEN('Saisie programme'!$I$368)+SUMIFS('Vols additionnels'!$E$7:$E$66,'Vols additionnels'!$C$7:$C$66,$E9909,'Vols additionnels'!$D$7:$D$66,$F9909,'Vols additionnels'!$B$7:$B$66,$D9909)</f>
        <v>0</v>
      </c>
      <c r="H9909" s="135" t="n">
        <f aca="false">$G9909*'Analyse capacite'!$F$8</f>
        <v>0</v>
      </c>
      <c r="I9909" s="135" t="n">
        <f aca="false">$G9909*'Analyse capacite'!$C$8</f>
        <v>0</v>
      </c>
      <c r="J9909" s="135" t="n">
        <f aca="false">$G9909*'Analyse capacite'!$D$8</f>
        <v>0</v>
      </c>
      <c r="K9909" s="135" t="n">
        <f aca="false">$G9909*'Analyse capacite'!$E$8</f>
        <v>0</v>
      </c>
    </row>
    <row r="9910" customFormat="false" ht="15" hidden="false" customHeight="false" outlineLevel="0" collapsed="false">
      <c r="B9910" s="130" t="n">
        <v>2028</v>
      </c>
      <c r="C9910" s="131" t="s">
        <v>255</v>
      </c>
      <c r="D9910" s="132" t="n">
        <v>46753</v>
      </c>
      <c r="E9910" s="131" t="s">
        <v>20</v>
      </c>
      <c r="F9910" s="133" t="s">
        <v>24</v>
      </c>
      <c r="G9910" s="134" t="n">
        <f aca="false">LEN('Saisie programme'!$I$369)+SUMIFS('Vols additionnels'!$E$7:$E$66,'Vols additionnels'!$C$7:$C$66,$E9910,'Vols additionnels'!$D$7:$D$66,$F9910,'Vols additionnels'!$B$7:$B$66,$D9910)</f>
        <v>0</v>
      </c>
      <c r="H9910" s="135" t="n">
        <f aca="false">$G9910*'Analyse capacite'!$F$9</f>
        <v>0</v>
      </c>
      <c r="I9910" s="135" t="n">
        <f aca="false">$G9910*'Analyse capacite'!$C$9</f>
        <v>0</v>
      </c>
      <c r="J9910" s="135" t="n">
        <f aca="false">$G9910*'Analyse capacite'!$D$9</f>
        <v>0</v>
      </c>
      <c r="K9910" s="135" t="n">
        <f aca="false">$G9910*'Analyse capacite'!$E$9</f>
        <v>0</v>
      </c>
    </row>
    <row r="9911" customFormat="false" ht="15" hidden="false" customHeight="false" outlineLevel="0" collapsed="false">
      <c r="B9911" s="130" t="n">
        <v>2028</v>
      </c>
      <c r="C9911" s="131" t="s">
        <v>255</v>
      </c>
      <c r="D9911" s="132" t="n">
        <v>46753</v>
      </c>
      <c r="E9911" s="131" t="s">
        <v>25</v>
      </c>
      <c r="F9911" s="133" t="s">
        <v>11</v>
      </c>
      <c r="G9911" s="134" t="n">
        <f aca="false">LEN('Saisie programme'!$I$370)+SUMIFS('Vols additionnels'!$E$7:$E$66,'Vols additionnels'!$C$7:$C$66,$E9911,'Vols additionnels'!$D$7:$D$66,$F9911,'Vols additionnels'!$B$7:$B$66,$D9911)</f>
        <v>0</v>
      </c>
      <c r="H9911" s="135" t="n">
        <f aca="false">$G9911*'Analyse capacite'!$F$7</f>
        <v>0</v>
      </c>
      <c r="I9911" s="135" t="n">
        <f aca="false">$G9911*'Analyse capacite'!$C$7</f>
        <v>0</v>
      </c>
      <c r="J9911" s="135" t="n">
        <f aca="false">$G9911*'Analyse capacite'!$D$7</f>
        <v>0</v>
      </c>
      <c r="K9911" s="135" t="n">
        <f aca="false">$G9911*'Analyse capacite'!$E$7</f>
        <v>0</v>
      </c>
    </row>
    <row r="9912" customFormat="false" ht="15" hidden="false" customHeight="false" outlineLevel="0" collapsed="false">
      <c r="B9912" s="130" t="n">
        <v>2028</v>
      </c>
      <c r="C9912" s="131" t="s">
        <v>255</v>
      </c>
      <c r="D9912" s="132" t="n">
        <v>46753</v>
      </c>
      <c r="E9912" s="131" t="s">
        <v>25</v>
      </c>
      <c r="F9912" s="133" t="s">
        <v>19</v>
      </c>
      <c r="G9912" s="134" t="n">
        <f aca="false">LEN('Saisie programme'!$I$371)+SUMIFS('Vols additionnels'!$E$7:$E$66,'Vols additionnels'!$C$7:$C$66,$E9912,'Vols additionnels'!$D$7:$D$66,$F9912,'Vols additionnels'!$B$7:$B$66,$D9912)</f>
        <v>1</v>
      </c>
      <c r="H9912" s="135" t="n">
        <f aca="false">$G9912*'Analyse capacite'!$F$8</f>
        <v>262</v>
      </c>
      <c r="I9912" s="135" t="n">
        <f aca="false">$G9912*'Analyse capacite'!$C$8</f>
        <v>18</v>
      </c>
      <c r="J9912" s="135" t="n">
        <f aca="false">$G9912*'Analyse capacite'!$D$8</f>
        <v>0</v>
      </c>
      <c r="K9912" s="135" t="n">
        <f aca="false">$G9912*'Analyse capacite'!$E$8</f>
        <v>244</v>
      </c>
    </row>
    <row r="9913" customFormat="false" ht="15" hidden="false" customHeight="false" outlineLevel="0" collapsed="false">
      <c r="B9913" s="130" t="n">
        <v>2028</v>
      </c>
      <c r="C9913" s="131" t="s">
        <v>255</v>
      </c>
      <c r="D9913" s="132" t="n">
        <v>46753</v>
      </c>
      <c r="E9913" s="131" t="s">
        <v>25</v>
      </c>
      <c r="F9913" s="133" t="s">
        <v>24</v>
      </c>
      <c r="G9913" s="134" t="n">
        <f aca="false">LEN('Saisie programme'!$I$372)+SUMIFS('Vols additionnels'!$E$7:$E$66,'Vols additionnels'!$C$7:$C$66,$E9913,'Vols additionnels'!$D$7:$D$66,$F9913,'Vols additionnels'!$B$7:$B$66,$D9913)</f>
        <v>0</v>
      </c>
      <c r="H9913" s="135" t="n">
        <f aca="false">$G9913*'Analyse capacite'!$F$9</f>
        <v>0</v>
      </c>
      <c r="I9913" s="135" t="n">
        <f aca="false">$G9913*'Analyse capacite'!$C$9</f>
        <v>0</v>
      </c>
      <c r="J9913" s="135" t="n">
        <f aca="false">$G9913*'Analyse capacite'!$D$9</f>
        <v>0</v>
      </c>
      <c r="K9913" s="135" t="n">
        <f aca="false">$G9913*'Analyse capacite'!$E$9</f>
        <v>0</v>
      </c>
    </row>
    <row r="9914" customFormat="false" ht="15" hidden="false" customHeight="false" outlineLevel="0" collapsed="false">
      <c r="B9914" s="130" t="n">
        <v>2028</v>
      </c>
      <c r="C9914" s="131" t="s">
        <v>255</v>
      </c>
      <c r="D9914" s="132" t="n">
        <v>46753</v>
      </c>
      <c r="E9914" s="131" t="s">
        <v>36</v>
      </c>
      <c r="F9914" s="133" t="s">
        <v>11</v>
      </c>
      <c r="G9914" s="134" t="n">
        <f aca="false">LEN('Saisie programme'!$I$373)+SUMIFS('Vols additionnels'!$E$7:$E$66,'Vols additionnels'!$C$7:$C$66,$E9914,'Vols additionnels'!$D$7:$D$66,$F9914,'Vols additionnels'!$B$7:$B$66,$D9914)</f>
        <v>0</v>
      </c>
      <c r="H9914" s="135" t="n">
        <f aca="false">$G9914*'Analyse capacite'!$F$7</f>
        <v>0</v>
      </c>
      <c r="I9914" s="135" t="n">
        <f aca="false">$G9914*'Analyse capacite'!$C$7</f>
        <v>0</v>
      </c>
      <c r="J9914" s="135" t="n">
        <f aca="false">$G9914*'Analyse capacite'!$D$7</f>
        <v>0</v>
      </c>
      <c r="K9914" s="135" t="n">
        <f aca="false">$G9914*'Analyse capacite'!$E$7</f>
        <v>0</v>
      </c>
    </row>
    <row r="9915" customFormat="false" ht="15" hidden="false" customHeight="false" outlineLevel="0" collapsed="false">
      <c r="B9915" s="130" t="n">
        <v>2028</v>
      </c>
      <c r="C9915" s="131" t="s">
        <v>255</v>
      </c>
      <c r="D9915" s="132" t="n">
        <v>46753</v>
      </c>
      <c r="E9915" s="131" t="s">
        <v>36</v>
      </c>
      <c r="F9915" s="133" t="s">
        <v>19</v>
      </c>
      <c r="G9915" s="134" t="n">
        <f aca="false">LEN('Saisie programme'!$I$374)+SUMIFS('Vols additionnels'!$E$7:$E$66,'Vols additionnels'!$C$7:$C$66,$E9915,'Vols additionnels'!$D$7:$D$66,$F9915,'Vols additionnels'!$B$7:$B$66,$D9915)</f>
        <v>0</v>
      </c>
      <c r="H9915" s="135" t="n">
        <f aca="false">$G9915*'Analyse capacite'!$F$8</f>
        <v>0</v>
      </c>
      <c r="I9915" s="135" t="n">
        <f aca="false">$G9915*'Analyse capacite'!$C$8</f>
        <v>0</v>
      </c>
      <c r="J9915" s="135" t="n">
        <f aca="false">$G9915*'Analyse capacite'!$D$8</f>
        <v>0</v>
      </c>
      <c r="K9915" s="135" t="n">
        <f aca="false">$G9915*'Analyse capacite'!$E$8</f>
        <v>0</v>
      </c>
    </row>
    <row r="9916" customFormat="false" ht="15" hidden="false" customHeight="false" outlineLevel="0" collapsed="false">
      <c r="B9916" s="130" t="n">
        <v>2028</v>
      </c>
      <c r="C9916" s="131" t="s">
        <v>255</v>
      </c>
      <c r="D9916" s="132" t="n">
        <v>46753</v>
      </c>
      <c r="E9916" s="131" t="s">
        <v>36</v>
      </c>
      <c r="F9916" s="133" t="s">
        <v>24</v>
      </c>
      <c r="G9916" s="134" t="n">
        <f aca="false">LEN('Saisie programme'!$I$375)+SUMIFS('Vols additionnels'!$E$7:$E$66,'Vols additionnels'!$C$7:$C$66,$E9916,'Vols additionnels'!$D$7:$D$66,$F9916,'Vols additionnels'!$B$7:$B$66,$D9916)</f>
        <v>0</v>
      </c>
      <c r="H9916" s="135" t="n">
        <f aca="false">$G9916*'Analyse capacite'!$F$9</f>
        <v>0</v>
      </c>
      <c r="I9916" s="135" t="n">
        <f aca="false">$G9916*'Analyse capacite'!$C$9</f>
        <v>0</v>
      </c>
      <c r="J9916" s="135" t="n">
        <f aca="false">$G9916*'Analyse capacite'!$D$9</f>
        <v>0</v>
      </c>
      <c r="K9916" s="135" t="n">
        <f aca="false">$G9916*'Analyse capacite'!$E$9</f>
        <v>0</v>
      </c>
    </row>
    <row r="9917" customFormat="false" ht="15" hidden="false" customHeight="false" outlineLevel="0" collapsed="false">
      <c r="B9917" s="130" t="n">
        <v>2028</v>
      </c>
      <c r="C9917" s="131" t="s">
        <v>255</v>
      </c>
      <c r="D9917" s="132" t="n">
        <v>46753</v>
      </c>
      <c r="E9917" s="131" t="s">
        <v>40</v>
      </c>
      <c r="F9917" s="133" t="s">
        <v>11</v>
      </c>
      <c r="G9917" s="134" t="n">
        <f aca="false">LEN('Saisie programme'!$I$376)+SUMIFS('Vols additionnels'!$E$7:$E$66,'Vols additionnels'!$C$7:$C$66,$E9917,'Vols additionnels'!$D$7:$D$66,$F9917,'Vols additionnels'!$B$7:$B$66,$D9917)</f>
        <v>0</v>
      </c>
      <c r="H9917" s="135" t="n">
        <f aca="false">$G9917*'Analyse capacite'!$F$7</f>
        <v>0</v>
      </c>
      <c r="I9917" s="135" t="n">
        <f aca="false">$G9917*'Analyse capacite'!$C$7</f>
        <v>0</v>
      </c>
      <c r="J9917" s="135" t="n">
        <f aca="false">$G9917*'Analyse capacite'!$D$7</f>
        <v>0</v>
      </c>
      <c r="K9917" s="135" t="n">
        <f aca="false">$G9917*'Analyse capacite'!$E$7</f>
        <v>0</v>
      </c>
    </row>
    <row r="9918" customFormat="false" ht="15" hidden="false" customHeight="false" outlineLevel="0" collapsed="false">
      <c r="B9918" s="130" t="n">
        <v>2028</v>
      </c>
      <c r="C9918" s="131" t="s">
        <v>255</v>
      </c>
      <c r="D9918" s="132" t="n">
        <v>46753</v>
      </c>
      <c r="E9918" s="131" t="s">
        <v>40</v>
      </c>
      <c r="F9918" s="133" t="s">
        <v>19</v>
      </c>
      <c r="G9918" s="134" t="n">
        <f aca="false">LEN('Saisie programme'!$I$377)+SUMIFS('Vols additionnels'!$E$7:$E$66,'Vols additionnels'!$C$7:$C$66,$E9918,'Vols additionnels'!$D$7:$D$66,$F9918,'Vols additionnels'!$B$7:$B$66,$D9918)</f>
        <v>0</v>
      </c>
      <c r="H9918" s="135" t="n">
        <f aca="false">$G9918*'Analyse capacite'!$F$8</f>
        <v>0</v>
      </c>
      <c r="I9918" s="135" t="n">
        <f aca="false">$G9918*'Analyse capacite'!$C$8</f>
        <v>0</v>
      </c>
      <c r="J9918" s="135" t="n">
        <f aca="false">$G9918*'Analyse capacite'!$D$8</f>
        <v>0</v>
      </c>
      <c r="K9918" s="135" t="n">
        <f aca="false">$G9918*'Analyse capacite'!$E$8</f>
        <v>0</v>
      </c>
    </row>
    <row r="9919" customFormat="false" ht="15" hidden="false" customHeight="false" outlineLevel="0" collapsed="false">
      <c r="B9919" s="130" t="n">
        <v>2028</v>
      </c>
      <c r="C9919" s="131" t="s">
        <v>255</v>
      </c>
      <c r="D9919" s="132" t="n">
        <v>46753</v>
      </c>
      <c r="E9919" s="131" t="s">
        <v>40</v>
      </c>
      <c r="F9919" s="133" t="s">
        <v>24</v>
      </c>
      <c r="G9919" s="134" t="n">
        <f aca="false">LEN('Saisie programme'!$I$378)+SUMIFS('Vols additionnels'!$E$7:$E$66,'Vols additionnels'!$C$7:$C$66,$E9919,'Vols additionnels'!$D$7:$D$66,$F9919,'Vols additionnels'!$B$7:$B$66,$D9919)</f>
        <v>0</v>
      </c>
      <c r="H9919" s="135" t="n">
        <f aca="false">$G9919*'Analyse capacite'!$F$9</f>
        <v>0</v>
      </c>
      <c r="I9919" s="135" t="n">
        <f aca="false">$G9919*'Analyse capacite'!$C$9</f>
        <v>0</v>
      </c>
      <c r="J9919" s="135" t="n">
        <f aca="false">$G9919*'Analyse capacite'!$D$9</f>
        <v>0</v>
      </c>
      <c r="K9919" s="135" t="n">
        <f aca="false">$G9919*'Analyse capacite'!$E$9</f>
        <v>0</v>
      </c>
    </row>
    <row r="9920" customFormat="false" ht="15" hidden="false" customHeight="false" outlineLevel="0" collapsed="false">
      <c r="B9920" s="130" t="n">
        <v>2028</v>
      </c>
      <c r="C9920" s="131" t="s">
        <v>255</v>
      </c>
      <c r="D9920" s="132" t="n">
        <v>46753</v>
      </c>
      <c r="E9920" s="131" t="s">
        <v>14</v>
      </c>
      <c r="F9920" s="133" t="s">
        <v>11</v>
      </c>
      <c r="G9920" s="134" t="n">
        <f aca="false">LEN('Saisie programme'!$I$379)+SUMIFS('Vols additionnels'!$E$7:$E$66,'Vols additionnels'!$C$7:$C$66,$E9920,'Vols additionnels'!$D$7:$D$66,$F9920,'Vols additionnels'!$B$7:$B$66,$D9920)</f>
        <v>0</v>
      </c>
      <c r="H9920" s="135" t="n">
        <f aca="false">$G9920*'Analyse capacite'!$F$7</f>
        <v>0</v>
      </c>
      <c r="I9920" s="135" t="n">
        <f aca="false">$G9920*'Analyse capacite'!$C$7</f>
        <v>0</v>
      </c>
      <c r="J9920" s="135" t="n">
        <f aca="false">$G9920*'Analyse capacite'!$D$7</f>
        <v>0</v>
      </c>
      <c r="K9920" s="135" t="n">
        <f aca="false">$G9920*'Analyse capacite'!$E$7</f>
        <v>0</v>
      </c>
    </row>
    <row r="9921" customFormat="false" ht="15" hidden="false" customHeight="false" outlineLevel="0" collapsed="false">
      <c r="B9921" s="130" t="n">
        <v>2028</v>
      </c>
      <c r="C9921" s="131" t="s">
        <v>255</v>
      </c>
      <c r="D9921" s="132" t="n">
        <v>46753</v>
      </c>
      <c r="E9921" s="131" t="s">
        <v>14</v>
      </c>
      <c r="F9921" s="133" t="s">
        <v>19</v>
      </c>
      <c r="G9921" s="134" t="n">
        <f aca="false">LEN('Saisie programme'!$I$380)+SUMIFS('Vols additionnels'!$E$7:$E$66,'Vols additionnels'!$C$7:$C$66,$E9921,'Vols additionnels'!$D$7:$D$66,$F9921,'Vols additionnels'!$B$7:$B$66,$D9921)</f>
        <v>0</v>
      </c>
      <c r="H9921" s="135" t="n">
        <f aca="false">$G9921*'Analyse capacite'!$F$8</f>
        <v>0</v>
      </c>
      <c r="I9921" s="135" t="n">
        <f aca="false">$G9921*'Analyse capacite'!$C$8</f>
        <v>0</v>
      </c>
      <c r="J9921" s="135" t="n">
        <f aca="false">$G9921*'Analyse capacite'!$D$8</f>
        <v>0</v>
      </c>
      <c r="K9921" s="135" t="n">
        <f aca="false">$G9921*'Analyse capacite'!$E$8</f>
        <v>0</v>
      </c>
    </row>
    <row r="9922" customFormat="false" ht="15" hidden="false" customHeight="false" outlineLevel="0" collapsed="false">
      <c r="B9922" s="130" t="n">
        <v>2028</v>
      </c>
      <c r="C9922" s="131" t="s">
        <v>255</v>
      </c>
      <c r="D9922" s="132" t="n">
        <v>46753</v>
      </c>
      <c r="E9922" s="131" t="s">
        <v>14</v>
      </c>
      <c r="F9922" s="133" t="s">
        <v>24</v>
      </c>
      <c r="G9922" s="134" t="n">
        <f aca="false">LEN('Saisie programme'!$I$381)+SUMIFS('Vols additionnels'!$E$7:$E$66,'Vols additionnels'!$C$7:$C$66,$E9922,'Vols additionnels'!$D$7:$D$66,$F9922,'Vols additionnels'!$B$7:$B$66,$D9922)</f>
        <v>1</v>
      </c>
      <c r="H9922" s="135" t="n">
        <f aca="false">$G9922*'Analyse capacite'!$F$9</f>
        <v>174</v>
      </c>
      <c r="I9922" s="135" t="n">
        <f aca="false">$G9922*'Analyse capacite'!$C$9</f>
        <v>0</v>
      </c>
      <c r="J9922" s="135" t="n">
        <f aca="false">$G9922*'Analyse capacite'!$D$9</f>
        <v>12</v>
      </c>
      <c r="K9922" s="135" t="n">
        <f aca="false">$G9922*'Analyse capacite'!$E$9</f>
        <v>162</v>
      </c>
    </row>
    <row r="9923" customFormat="false" ht="15" hidden="false" customHeight="false" outlineLevel="0" collapsed="false">
      <c r="B9923" s="130" t="n">
        <v>2028</v>
      </c>
      <c r="C9923" s="131" t="s">
        <v>255</v>
      </c>
      <c r="D9923" s="132" t="n">
        <v>46753</v>
      </c>
      <c r="E9923" s="131" t="s">
        <v>46</v>
      </c>
      <c r="F9923" s="133" t="s">
        <v>11</v>
      </c>
      <c r="G9923" s="134" t="n">
        <f aca="false">LEN('Saisie programme'!$I$382)+SUMIFS('Vols additionnels'!$E$7:$E$66,'Vols additionnels'!$C$7:$C$66,$E9923,'Vols additionnels'!$D$7:$D$66,$F9923,'Vols additionnels'!$B$7:$B$66,$D9923)</f>
        <v>0</v>
      </c>
      <c r="H9923" s="135" t="n">
        <f aca="false">$G9923*'Analyse capacite'!$F$7</f>
        <v>0</v>
      </c>
      <c r="I9923" s="135" t="n">
        <f aca="false">$G9923*'Analyse capacite'!$C$7</f>
        <v>0</v>
      </c>
      <c r="J9923" s="135" t="n">
        <f aca="false">$G9923*'Analyse capacite'!$D$7</f>
        <v>0</v>
      </c>
      <c r="K9923" s="135" t="n">
        <f aca="false">$G9923*'Analyse capacite'!$E$7</f>
        <v>0</v>
      </c>
    </row>
    <row r="9924" customFormat="false" ht="15" hidden="false" customHeight="false" outlineLevel="0" collapsed="false">
      <c r="B9924" s="130" t="n">
        <v>2028</v>
      </c>
      <c r="C9924" s="131" t="s">
        <v>255</v>
      </c>
      <c r="D9924" s="132" t="n">
        <v>46753</v>
      </c>
      <c r="E9924" s="131" t="s">
        <v>46</v>
      </c>
      <c r="F9924" s="133" t="s">
        <v>19</v>
      </c>
      <c r="G9924" s="134" t="n">
        <f aca="false">LEN('Saisie programme'!$I$383)+SUMIFS('Vols additionnels'!$E$7:$E$66,'Vols additionnels'!$C$7:$C$66,$E9924,'Vols additionnels'!$D$7:$D$66,$F9924,'Vols additionnels'!$B$7:$B$66,$D9924)</f>
        <v>0</v>
      </c>
      <c r="H9924" s="135" t="n">
        <f aca="false">$G9924*'Analyse capacite'!$F$8</f>
        <v>0</v>
      </c>
      <c r="I9924" s="135" t="n">
        <f aca="false">$G9924*'Analyse capacite'!$C$8</f>
        <v>0</v>
      </c>
      <c r="J9924" s="135" t="n">
        <f aca="false">$G9924*'Analyse capacite'!$D$8</f>
        <v>0</v>
      </c>
      <c r="K9924" s="135" t="n">
        <f aca="false">$G9924*'Analyse capacite'!$E$8</f>
        <v>0</v>
      </c>
    </row>
    <row r="9925" customFormat="false" ht="15" hidden="false" customHeight="false" outlineLevel="0" collapsed="false">
      <c r="B9925" s="130" t="n">
        <v>2028</v>
      </c>
      <c r="C9925" s="131" t="s">
        <v>255</v>
      </c>
      <c r="D9925" s="132" t="n">
        <v>46753</v>
      </c>
      <c r="E9925" s="131" t="s">
        <v>46</v>
      </c>
      <c r="F9925" s="133" t="s">
        <v>24</v>
      </c>
      <c r="G9925" s="134" t="n">
        <f aca="false">LEN('Saisie programme'!$I$384)+SUMIFS('Vols additionnels'!$E$7:$E$66,'Vols additionnels'!$C$7:$C$66,$E9925,'Vols additionnels'!$D$7:$D$66,$F9925,'Vols additionnels'!$B$7:$B$66,$D9925)</f>
        <v>1</v>
      </c>
      <c r="H9925" s="135" t="n">
        <f aca="false">$G9925*'Analyse capacite'!$F$9</f>
        <v>174</v>
      </c>
      <c r="I9925" s="135" t="n">
        <f aca="false">$G9925*'Analyse capacite'!$C$9</f>
        <v>0</v>
      </c>
      <c r="J9925" s="135" t="n">
        <f aca="false">$G9925*'Analyse capacite'!$D$9</f>
        <v>12</v>
      </c>
      <c r="K9925" s="135" t="n">
        <f aca="false">$G9925*'Analyse capacite'!$E$9</f>
        <v>162</v>
      </c>
    </row>
    <row r="9926" customFormat="false" ht="15" hidden="false" customHeight="false" outlineLevel="0" collapsed="false">
      <c r="B9926" s="130" t="n">
        <v>2028</v>
      </c>
      <c r="C9926" s="131" t="s">
        <v>255</v>
      </c>
      <c r="D9926" s="132" t="n">
        <v>46753</v>
      </c>
      <c r="E9926" s="131" t="s">
        <v>49</v>
      </c>
      <c r="F9926" s="133" t="s">
        <v>11</v>
      </c>
      <c r="G9926" s="134" t="n">
        <f aca="false">LEN('Saisie programme'!$I$385)+SUMIFS('Vols additionnels'!$E$7:$E$66,'Vols additionnels'!$C$7:$C$66,$E9926,'Vols additionnels'!$D$7:$D$66,$F9926,'Vols additionnels'!$B$7:$B$66,$D9926)</f>
        <v>0</v>
      </c>
      <c r="H9926" s="135" t="n">
        <f aca="false">$G9926*'Analyse capacite'!$F$7</f>
        <v>0</v>
      </c>
      <c r="I9926" s="135" t="n">
        <f aca="false">$G9926*'Analyse capacite'!$C$7</f>
        <v>0</v>
      </c>
      <c r="J9926" s="135" t="n">
        <f aca="false">$G9926*'Analyse capacite'!$D$7</f>
        <v>0</v>
      </c>
      <c r="K9926" s="135" t="n">
        <f aca="false">$G9926*'Analyse capacite'!$E$7</f>
        <v>0</v>
      </c>
    </row>
    <row r="9927" customFormat="false" ht="15" hidden="false" customHeight="false" outlineLevel="0" collapsed="false">
      <c r="B9927" s="130" t="n">
        <v>2028</v>
      </c>
      <c r="C9927" s="131" t="s">
        <v>255</v>
      </c>
      <c r="D9927" s="132" t="n">
        <v>46753</v>
      </c>
      <c r="E9927" s="131" t="s">
        <v>49</v>
      </c>
      <c r="F9927" s="133" t="s">
        <v>19</v>
      </c>
      <c r="G9927" s="134" t="n">
        <f aca="false">LEN('Saisie programme'!$I$386)+SUMIFS('Vols additionnels'!$E$7:$E$66,'Vols additionnels'!$C$7:$C$66,$E9927,'Vols additionnels'!$D$7:$D$66,$F9927,'Vols additionnels'!$B$7:$B$66,$D9927)</f>
        <v>0</v>
      </c>
      <c r="H9927" s="135" t="n">
        <f aca="false">$G9927*'Analyse capacite'!$F$8</f>
        <v>0</v>
      </c>
      <c r="I9927" s="135" t="n">
        <f aca="false">$G9927*'Analyse capacite'!$C$8</f>
        <v>0</v>
      </c>
      <c r="J9927" s="135" t="n">
        <f aca="false">$G9927*'Analyse capacite'!$D$8</f>
        <v>0</v>
      </c>
      <c r="K9927" s="135" t="n">
        <f aca="false">$G9927*'Analyse capacite'!$E$8</f>
        <v>0</v>
      </c>
    </row>
    <row r="9928" customFormat="false" ht="15" hidden="false" customHeight="false" outlineLevel="0" collapsed="false">
      <c r="B9928" s="130" t="n">
        <v>2028</v>
      </c>
      <c r="C9928" s="131" t="s">
        <v>255</v>
      </c>
      <c r="D9928" s="132" t="n">
        <v>46753</v>
      </c>
      <c r="E9928" s="131" t="s">
        <v>49</v>
      </c>
      <c r="F9928" s="133" t="s">
        <v>24</v>
      </c>
      <c r="G9928" s="134" t="n">
        <f aca="false">LEN('Saisie programme'!$I$387)+SUMIFS('Vols additionnels'!$E$7:$E$66,'Vols additionnels'!$C$7:$C$66,$E9928,'Vols additionnels'!$D$7:$D$66,$F9928,'Vols additionnels'!$B$7:$B$66,$D9928)</f>
        <v>0</v>
      </c>
      <c r="H9928" s="135" t="n">
        <f aca="false">$G9928*'Analyse capacite'!$F$9</f>
        <v>0</v>
      </c>
      <c r="I9928" s="135" t="n">
        <f aca="false">$G9928*'Analyse capacite'!$C$9</f>
        <v>0</v>
      </c>
      <c r="J9928" s="135" t="n">
        <f aca="false">$G9928*'Analyse capacite'!$D$9</f>
        <v>0</v>
      </c>
      <c r="K9928" s="135" t="n">
        <f aca="false">$G9928*'Analyse capacite'!$E$9</f>
        <v>0</v>
      </c>
    </row>
    <row r="9929" customFormat="false" ht="15" hidden="false" customHeight="false" outlineLevel="0" collapsed="false">
      <c r="B9929" s="130" t="n">
        <v>2028</v>
      </c>
      <c r="C9929" s="131" t="s">
        <v>255</v>
      </c>
      <c r="D9929" s="132" t="n">
        <v>46753</v>
      </c>
      <c r="E9929" s="131" t="s">
        <v>53</v>
      </c>
      <c r="F9929" s="133" t="s">
        <v>11</v>
      </c>
      <c r="G9929" s="134" t="n">
        <f aca="false">LEN('Saisie programme'!$I$388)+SUMIFS('Vols additionnels'!$E$7:$E$66,'Vols additionnels'!$C$7:$C$66,$E9929,'Vols additionnels'!$D$7:$D$66,$F9929,'Vols additionnels'!$B$7:$B$66,$D9929)</f>
        <v>0</v>
      </c>
      <c r="H9929" s="135" t="n">
        <f aca="false">$G9929*'Analyse capacite'!$F$7</f>
        <v>0</v>
      </c>
      <c r="I9929" s="135" t="n">
        <f aca="false">$G9929*'Analyse capacite'!$C$7</f>
        <v>0</v>
      </c>
      <c r="J9929" s="135" t="n">
        <f aca="false">$G9929*'Analyse capacite'!$D$7</f>
        <v>0</v>
      </c>
      <c r="K9929" s="135" t="n">
        <f aca="false">$G9929*'Analyse capacite'!$E$7</f>
        <v>0</v>
      </c>
    </row>
    <row r="9930" customFormat="false" ht="15" hidden="false" customHeight="false" outlineLevel="0" collapsed="false">
      <c r="B9930" s="130" t="n">
        <v>2028</v>
      </c>
      <c r="C9930" s="131" t="s">
        <v>255</v>
      </c>
      <c r="D9930" s="132" t="n">
        <v>46753</v>
      </c>
      <c r="E9930" s="131" t="s">
        <v>53</v>
      </c>
      <c r="F9930" s="133" t="s">
        <v>19</v>
      </c>
      <c r="G9930" s="134" t="n">
        <f aca="false">LEN('Saisie programme'!$I$389)+SUMIFS('Vols additionnels'!$E$7:$E$66,'Vols additionnels'!$C$7:$C$66,$E9930,'Vols additionnels'!$D$7:$D$66,$F9930,'Vols additionnels'!$B$7:$B$66,$D9930)</f>
        <v>0</v>
      </c>
      <c r="H9930" s="135" t="n">
        <f aca="false">$G9930*'Analyse capacite'!$F$8</f>
        <v>0</v>
      </c>
      <c r="I9930" s="135" t="n">
        <f aca="false">$G9930*'Analyse capacite'!$C$8</f>
        <v>0</v>
      </c>
      <c r="J9930" s="135" t="n">
        <f aca="false">$G9930*'Analyse capacite'!$D$8</f>
        <v>0</v>
      </c>
      <c r="K9930" s="135" t="n">
        <f aca="false">$G9930*'Analyse capacite'!$E$8</f>
        <v>0</v>
      </c>
    </row>
    <row r="9931" customFormat="false" ht="15" hidden="false" customHeight="false" outlineLevel="0" collapsed="false">
      <c r="B9931" s="130" t="n">
        <v>2028</v>
      </c>
      <c r="C9931" s="131" t="s">
        <v>255</v>
      </c>
      <c r="D9931" s="132" t="n">
        <v>46753</v>
      </c>
      <c r="E9931" s="131" t="s">
        <v>53</v>
      </c>
      <c r="F9931" s="133" t="s">
        <v>24</v>
      </c>
      <c r="G9931" s="134" t="n">
        <f aca="false">LEN('Saisie programme'!$I$390)+SUMIFS('Vols additionnels'!$E$7:$E$66,'Vols additionnels'!$C$7:$C$66,$E9931,'Vols additionnels'!$D$7:$D$66,$F9931,'Vols additionnels'!$B$7:$B$66,$D9931)</f>
        <v>0</v>
      </c>
      <c r="H9931" s="135" t="n">
        <f aca="false">$G9931*'Analyse capacite'!$F$9</f>
        <v>0</v>
      </c>
      <c r="I9931" s="135" t="n">
        <f aca="false">$G9931*'Analyse capacite'!$C$9</f>
        <v>0</v>
      </c>
      <c r="J9931" s="135" t="n">
        <f aca="false">$G9931*'Analyse capacite'!$D$9</f>
        <v>0</v>
      </c>
      <c r="K9931" s="135" t="n">
        <f aca="false">$G9931*'Analyse capacite'!$E$9</f>
        <v>0</v>
      </c>
    </row>
    <row r="9932" customFormat="false" ht="15" hidden="false" customHeight="false" outlineLevel="0" collapsed="false">
      <c r="B9932" s="130" t="n">
        <v>2028</v>
      </c>
      <c r="C9932" s="131" t="s">
        <v>255</v>
      </c>
      <c r="D9932" s="132" t="n">
        <v>46753</v>
      </c>
      <c r="E9932" s="131" t="s">
        <v>56</v>
      </c>
      <c r="F9932" s="133" t="s">
        <v>11</v>
      </c>
      <c r="G9932" s="134" t="n">
        <f aca="false">LEN('Saisie programme'!$I$391)+SUMIFS('Vols additionnels'!$E$7:$E$66,'Vols additionnels'!$C$7:$C$66,$E9932,'Vols additionnels'!$D$7:$D$66,$F9932,'Vols additionnels'!$B$7:$B$66,$D9932)</f>
        <v>0</v>
      </c>
      <c r="H9932" s="135" t="n">
        <f aca="false">$G9932*'Analyse capacite'!$F$7</f>
        <v>0</v>
      </c>
      <c r="I9932" s="135" t="n">
        <f aca="false">$G9932*'Analyse capacite'!$C$7</f>
        <v>0</v>
      </c>
      <c r="J9932" s="135" t="n">
        <f aca="false">$G9932*'Analyse capacite'!$D$7</f>
        <v>0</v>
      </c>
      <c r="K9932" s="135" t="n">
        <f aca="false">$G9932*'Analyse capacite'!$E$7</f>
        <v>0</v>
      </c>
    </row>
    <row r="9933" customFormat="false" ht="15" hidden="false" customHeight="false" outlineLevel="0" collapsed="false">
      <c r="B9933" s="130" t="n">
        <v>2028</v>
      </c>
      <c r="C9933" s="131" t="s">
        <v>255</v>
      </c>
      <c r="D9933" s="132" t="n">
        <v>46753</v>
      </c>
      <c r="E9933" s="131" t="s">
        <v>56</v>
      </c>
      <c r="F9933" s="133" t="s">
        <v>19</v>
      </c>
      <c r="G9933" s="134" t="n">
        <f aca="false">LEN('Saisie programme'!$I$392)+SUMIFS('Vols additionnels'!$E$7:$E$66,'Vols additionnels'!$C$7:$C$66,$E9933,'Vols additionnels'!$D$7:$D$66,$F9933,'Vols additionnels'!$B$7:$B$66,$D9933)</f>
        <v>0</v>
      </c>
      <c r="H9933" s="135" t="n">
        <f aca="false">$G9933*'Analyse capacite'!$F$8</f>
        <v>0</v>
      </c>
      <c r="I9933" s="135" t="n">
        <f aca="false">$G9933*'Analyse capacite'!$C$8</f>
        <v>0</v>
      </c>
      <c r="J9933" s="135" t="n">
        <f aca="false">$G9933*'Analyse capacite'!$D$8</f>
        <v>0</v>
      </c>
      <c r="K9933" s="135" t="n">
        <f aca="false">$G9933*'Analyse capacite'!$E$8</f>
        <v>0</v>
      </c>
    </row>
    <row r="9934" customFormat="false" ht="15" hidden="false" customHeight="false" outlineLevel="0" collapsed="false">
      <c r="B9934" s="130" t="n">
        <v>2028</v>
      </c>
      <c r="C9934" s="131" t="s">
        <v>255</v>
      </c>
      <c r="D9934" s="132" t="n">
        <v>46753</v>
      </c>
      <c r="E9934" s="131" t="s">
        <v>56</v>
      </c>
      <c r="F9934" s="133" t="s">
        <v>24</v>
      </c>
      <c r="G9934" s="134" t="n">
        <f aca="false">LEN('Saisie programme'!$I$393)+SUMIFS('Vols additionnels'!$E$7:$E$66,'Vols additionnels'!$C$7:$C$66,$E9934,'Vols additionnels'!$D$7:$D$66,$F9934,'Vols additionnels'!$B$7:$B$66,$D9934)</f>
        <v>1</v>
      </c>
      <c r="H9934" s="135" t="n">
        <f aca="false">$G9934*'Analyse capacite'!$F$9</f>
        <v>174</v>
      </c>
      <c r="I9934" s="135" t="n">
        <f aca="false">$G9934*'Analyse capacite'!$C$9</f>
        <v>0</v>
      </c>
      <c r="J9934" s="135" t="n">
        <f aca="false">$G9934*'Analyse capacite'!$D$9</f>
        <v>12</v>
      </c>
      <c r="K9934" s="135" t="n">
        <f aca="false">$G9934*'Analyse capacite'!$E$9</f>
        <v>162</v>
      </c>
    </row>
    <row r="9935" customFormat="false" ht="15" hidden="false" customHeight="false" outlineLevel="0" collapsed="false">
      <c r="B9935" s="130" t="n">
        <v>2028</v>
      </c>
      <c r="C9935" s="131" t="s">
        <v>255</v>
      </c>
      <c r="D9935" s="132" t="n">
        <v>46753</v>
      </c>
      <c r="E9935" s="131" t="s">
        <v>59</v>
      </c>
      <c r="F9935" s="133" t="s">
        <v>11</v>
      </c>
      <c r="G9935" s="134" t="n">
        <f aca="false">LEN('Saisie programme'!$I$394)+SUMIFS('Vols additionnels'!$E$7:$E$66,'Vols additionnels'!$C$7:$C$66,$E9935,'Vols additionnels'!$D$7:$D$66,$F9935,'Vols additionnels'!$B$7:$B$66,$D9935)</f>
        <v>0</v>
      </c>
      <c r="H9935" s="135" t="n">
        <f aca="false">$G9935*'Analyse capacite'!$F$7</f>
        <v>0</v>
      </c>
      <c r="I9935" s="135" t="n">
        <f aca="false">$G9935*'Analyse capacite'!$C$7</f>
        <v>0</v>
      </c>
      <c r="J9935" s="135" t="n">
        <f aca="false">$G9935*'Analyse capacite'!$D$7</f>
        <v>0</v>
      </c>
      <c r="K9935" s="135" t="n">
        <f aca="false">$G9935*'Analyse capacite'!$E$7</f>
        <v>0</v>
      </c>
    </row>
    <row r="9936" customFormat="false" ht="15" hidden="false" customHeight="false" outlineLevel="0" collapsed="false">
      <c r="B9936" s="130" t="n">
        <v>2028</v>
      </c>
      <c r="C9936" s="131" t="s">
        <v>255</v>
      </c>
      <c r="D9936" s="132" t="n">
        <v>46753</v>
      </c>
      <c r="E9936" s="131" t="s">
        <v>59</v>
      </c>
      <c r="F9936" s="133" t="s">
        <v>19</v>
      </c>
      <c r="G9936" s="134" t="n">
        <f aca="false">LEN('Saisie programme'!$I$395)+SUMIFS('Vols additionnels'!$E$7:$E$66,'Vols additionnels'!$C$7:$C$66,$E9936,'Vols additionnels'!$D$7:$D$66,$F9936,'Vols additionnels'!$B$7:$B$66,$D9936)</f>
        <v>0</v>
      </c>
      <c r="H9936" s="135" t="n">
        <f aca="false">$G9936*'Analyse capacite'!$F$8</f>
        <v>0</v>
      </c>
      <c r="I9936" s="135" t="n">
        <f aca="false">$G9936*'Analyse capacite'!$C$8</f>
        <v>0</v>
      </c>
      <c r="J9936" s="135" t="n">
        <f aca="false">$G9936*'Analyse capacite'!$D$8</f>
        <v>0</v>
      </c>
      <c r="K9936" s="135" t="n">
        <f aca="false">$G9936*'Analyse capacite'!$E$8</f>
        <v>0</v>
      </c>
    </row>
    <row r="9937" customFormat="false" ht="15" hidden="false" customHeight="false" outlineLevel="0" collapsed="false">
      <c r="B9937" s="130" t="n">
        <v>2028</v>
      </c>
      <c r="C9937" s="131" t="s">
        <v>255</v>
      </c>
      <c r="D9937" s="132" t="n">
        <v>46753</v>
      </c>
      <c r="E9937" s="131" t="s">
        <v>59</v>
      </c>
      <c r="F9937" s="133" t="s">
        <v>24</v>
      </c>
      <c r="G9937" s="134" t="n">
        <f aca="false">LEN('Saisie programme'!$I$396)+SUMIFS('Vols additionnels'!$E$7:$E$66,'Vols additionnels'!$C$7:$C$66,$E9937,'Vols additionnels'!$D$7:$D$66,$F9937,'Vols additionnels'!$B$7:$B$66,$D9937)</f>
        <v>1</v>
      </c>
      <c r="H9937" s="135" t="n">
        <f aca="false">$G9937*'Analyse capacite'!$F$9</f>
        <v>174</v>
      </c>
      <c r="I9937" s="135" t="n">
        <f aca="false">$G9937*'Analyse capacite'!$C$9</f>
        <v>0</v>
      </c>
      <c r="J9937" s="135" t="n">
        <f aca="false">$G9937*'Analyse capacite'!$D$9</f>
        <v>12</v>
      </c>
      <c r="K9937" s="135" t="n">
        <f aca="false">$G9937*'Analyse capacite'!$E$9</f>
        <v>162</v>
      </c>
    </row>
    <row r="9938" customFormat="false" ht="15" hidden="false" customHeight="false" outlineLevel="0" collapsed="false">
      <c r="B9938" s="130" t="n">
        <v>2028</v>
      </c>
      <c r="C9938" s="131" t="s">
        <v>255</v>
      </c>
      <c r="D9938" s="132" t="n">
        <v>46753</v>
      </c>
      <c r="E9938" s="131" t="s">
        <v>62</v>
      </c>
      <c r="F9938" s="133" t="s">
        <v>11</v>
      </c>
      <c r="G9938" s="134" t="n">
        <f aca="false">LEN('Saisie programme'!$I$397)+SUMIFS('Vols additionnels'!$E$7:$E$66,'Vols additionnels'!$C$7:$C$66,$E9938,'Vols additionnels'!$D$7:$D$66,$F9938,'Vols additionnels'!$B$7:$B$66,$D9938)</f>
        <v>0</v>
      </c>
      <c r="H9938" s="135" t="n">
        <f aca="false">$G9938*'Analyse capacite'!$F$7</f>
        <v>0</v>
      </c>
      <c r="I9938" s="135" t="n">
        <f aca="false">$G9938*'Analyse capacite'!$C$7</f>
        <v>0</v>
      </c>
      <c r="J9938" s="135" t="n">
        <f aca="false">$G9938*'Analyse capacite'!$D$7</f>
        <v>0</v>
      </c>
      <c r="K9938" s="135" t="n">
        <f aca="false">$G9938*'Analyse capacite'!$E$7</f>
        <v>0</v>
      </c>
    </row>
    <row r="9939" customFormat="false" ht="15" hidden="false" customHeight="false" outlineLevel="0" collapsed="false">
      <c r="B9939" s="130" t="n">
        <v>2028</v>
      </c>
      <c r="C9939" s="131" t="s">
        <v>255</v>
      </c>
      <c r="D9939" s="132" t="n">
        <v>46753</v>
      </c>
      <c r="E9939" s="131" t="s">
        <v>62</v>
      </c>
      <c r="F9939" s="133" t="s">
        <v>19</v>
      </c>
      <c r="G9939" s="134" t="n">
        <f aca="false">LEN('Saisie programme'!$I$398)+SUMIFS('Vols additionnels'!$E$7:$E$66,'Vols additionnels'!$C$7:$C$66,$E9939,'Vols additionnels'!$D$7:$D$66,$F9939,'Vols additionnels'!$B$7:$B$66,$D9939)</f>
        <v>0</v>
      </c>
      <c r="H9939" s="135" t="n">
        <f aca="false">$G9939*'Analyse capacite'!$F$8</f>
        <v>0</v>
      </c>
      <c r="I9939" s="135" t="n">
        <f aca="false">$G9939*'Analyse capacite'!$C$8</f>
        <v>0</v>
      </c>
      <c r="J9939" s="135" t="n">
        <f aca="false">$G9939*'Analyse capacite'!$D$8</f>
        <v>0</v>
      </c>
      <c r="K9939" s="135" t="n">
        <f aca="false">$G9939*'Analyse capacite'!$E$8</f>
        <v>0</v>
      </c>
    </row>
    <row r="9940" customFormat="false" ht="15" hidden="false" customHeight="false" outlineLevel="0" collapsed="false">
      <c r="B9940" s="130" t="n">
        <v>2028</v>
      </c>
      <c r="C9940" s="131" t="s">
        <v>255</v>
      </c>
      <c r="D9940" s="132" t="n">
        <v>46753</v>
      </c>
      <c r="E9940" s="131" t="s">
        <v>62</v>
      </c>
      <c r="F9940" s="133" t="s">
        <v>24</v>
      </c>
      <c r="G9940" s="134" t="n">
        <f aca="false">LEN('Saisie programme'!$I$399)+SUMIFS('Vols additionnels'!$E$7:$E$66,'Vols additionnels'!$C$7:$C$66,$E9940,'Vols additionnels'!$D$7:$D$66,$F9940,'Vols additionnels'!$B$7:$B$66,$D9940)</f>
        <v>0</v>
      </c>
      <c r="H9940" s="135" t="n">
        <f aca="false">$G9940*'Analyse capacite'!$F$9</f>
        <v>0</v>
      </c>
      <c r="I9940" s="135" t="n">
        <f aca="false">$G9940*'Analyse capacite'!$C$9</f>
        <v>0</v>
      </c>
      <c r="J9940" s="135" t="n">
        <f aca="false">$G9940*'Analyse capacite'!$D$9</f>
        <v>0</v>
      </c>
      <c r="K9940" s="135" t="n">
        <f aca="false">$G9940*'Analyse capacite'!$E$9</f>
        <v>0</v>
      </c>
    </row>
    <row r="9941" customFormat="false" ht="15" hidden="false" customHeight="false" outlineLevel="0" collapsed="false">
      <c r="B9941" s="130" t="n">
        <v>2028</v>
      </c>
      <c r="C9941" s="131" t="s">
        <v>255</v>
      </c>
      <c r="D9941" s="132" t="n">
        <v>46754</v>
      </c>
      <c r="E9941" s="131" t="s">
        <v>12</v>
      </c>
      <c r="F9941" s="133" t="s">
        <v>11</v>
      </c>
      <c r="G9941" s="134" t="n">
        <f aca="false">LEN('Saisie programme'!$J$364)+SUMIFS('Vols additionnels'!$E$7:$E$66,'Vols additionnels'!$C$7:$C$66,$E9941,'Vols additionnels'!$D$7:$D$66,$F9941,'Vols additionnels'!$B$7:$B$66,$D9941)</f>
        <v>1</v>
      </c>
      <c r="H9941" s="135" t="n">
        <f aca="false">$G9941*'Analyse capacite'!$F$7</f>
        <v>438</v>
      </c>
      <c r="I9941" s="135" t="n">
        <f aca="false">$G9941*'Analyse capacite'!$C$7</f>
        <v>14</v>
      </c>
      <c r="J9941" s="135" t="n">
        <f aca="false">$G9941*'Analyse capacite'!$D$7</f>
        <v>40</v>
      </c>
      <c r="K9941" s="135" t="n">
        <f aca="false">$G9941*'Analyse capacite'!$E$7</f>
        <v>384</v>
      </c>
    </row>
    <row r="9942" customFormat="false" ht="15" hidden="false" customHeight="false" outlineLevel="0" collapsed="false">
      <c r="B9942" s="130" t="n">
        <v>2028</v>
      </c>
      <c r="C9942" s="131" t="s">
        <v>255</v>
      </c>
      <c r="D9942" s="132" t="n">
        <v>46754</v>
      </c>
      <c r="E9942" s="131" t="s">
        <v>12</v>
      </c>
      <c r="F9942" s="133" t="s">
        <v>19</v>
      </c>
      <c r="G9942" s="134" t="n">
        <f aca="false">LEN('Saisie programme'!$J$365)+SUMIFS('Vols additionnels'!$E$7:$E$66,'Vols additionnels'!$C$7:$C$66,$E9942,'Vols additionnels'!$D$7:$D$66,$F9942,'Vols additionnels'!$B$7:$B$66,$D9942)</f>
        <v>0</v>
      </c>
      <c r="H9942" s="135" t="n">
        <f aca="false">$G9942*'Analyse capacite'!$F$8</f>
        <v>0</v>
      </c>
      <c r="I9942" s="135" t="n">
        <f aca="false">$G9942*'Analyse capacite'!$C$8</f>
        <v>0</v>
      </c>
      <c r="J9942" s="135" t="n">
        <f aca="false">$G9942*'Analyse capacite'!$D$8</f>
        <v>0</v>
      </c>
      <c r="K9942" s="135" t="n">
        <f aca="false">$G9942*'Analyse capacite'!$E$8</f>
        <v>0</v>
      </c>
    </row>
    <row r="9943" customFormat="false" ht="15" hidden="false" customHeight="false" outlineLevel="0" collapsed="false">
      <c r="B9943" s="130" t="n">
        <v>2028</v>
      </c>
      <c r="C9943" s="131" t="s">
        <v>255</v>
      </c>
      <c r="D9943" s="132" t="n">
        <v>46754</v>
      </c>
      <c r="E9943" s="131" t="s">
        <v>12</v>
      </c>
      <c r="F9943" s="133" t="s">
        <v>24</v>
      </c>
      <c r="G9943" s="134" t="n">
        <f aca="false">LEN('Saisie programme'!$J$366)+SUMIFS('Vols additionnels'!$E$7:$E$66,'Vols additionnels'!$C$7:$C$66,$E9943,'Vols additionnels'!$D$7:$D$66,$F9943,'Vols additionnels'!$B$7:$B$66,$D9943)</f>
        <v>0</v>
      </c>
      <c r="H9943" s="135" t="n">
        <f aca="false">$G9943*'Analyse capacite'!$F$9</f>
        <v>0</v>
      </c>
      <c r="I9943" s="135" t="n">
        <f aca="false">$G9943*'Analyse capacite'!$C$9</f>
        <v>0</v>
      </c>
      <c r="J9943" s="135" t="n">
        <f aca="false">$G9943*'Analyse capacite'!$D$9</f>
        <v>0</v>
      </c>
      <c r="K9943" s="135" t="n">
        <f aca="false">$G9943*'Analyse capacite'!$E$9</f>
        <v>0</v>
      </c>
    </row>
    <row r="9944" customFormat="false" ht="15" hidden="false" customHeight="false" outlineLevel="0" collapsed="false">
      <c r="B9944" s="130" t="n">
        <v>2028</v>
      </c>
      <c r="C9944" s="131" t="s">
        <v>255</v>
      </c>
      <c r="D9944" s="132" t="n">
        <v>46754</v>
      </c>
      <c r="E9944" s="131" t="s">
        <v>20</v>
      </c>
      <c r="F9944" s="133" t="s">
        <v>11</v>
      </c>
      <c r="G9944" s="134" t="n">
        <f aca="false">LEN('Saisie programme'!$J$367)+SUMIFS('Vols additionnels'!$E$7:$E$66,'Vols additionnels'!$C$7:$C$66,$E9944,'Vols additionnels'!$D$7:$D$66,$F9944,'Vols additionnels'!$B$7:$B$66,$D9944)</f>
        <v>1</v>
      </c>
      <c r="H9944" s="135" t="n">
        <f aca="false">$G9944*'Analyse capacite'!$F$7</f>
        <v>438</v>
      </c>
      <c r="I9944" s="135" t="n">
        <f aca="false">$G9944*'Analyse capacite'!$C$7</f>
        <v>14</v>
      </c>
      <c r="J9944" s="135" t="n">
        <f aca="false">$G9944*'Analyse capacite'!$D$7</f>
        <v>40</v>
      </c>
      <c r="K9944" s="135" t="n">
        <f aca="false">$G9944*'Analyse capacite'!$E$7</f>
        <v>384</v>
      </c>
    </row>
    <row r="9945" customFormat="false" ht="15" hidden="false" customHeight="false" outlineLevel="0" collapsed="false">
      <c r="B9945" s="130" t="n">
        <v>2028</v>
      </c>
      <c r="C9945" s="131" t="s">
        <v>255</v>
      </c>
      <c r="D9945" s="132" t="n">
        <v>46754</v>
      </c>
      <c r="E9945" s="131" t="s">
        <v>20</v>
      </c>
      <c r="F9945" s="133" t="s">
        <v>19</v>
      </c>
      <c r="G9945" s="134" t="n">
        <f aca="false">LEN('Saisie programme'!$J$368)+SUMIFS('Vols additionnels'!$E$7:$E$66,'Vols additionnels'!$C$7:$C$66,$E9945,'Vols additionnels'!$D$7:$D$66,$F9945,'Vols additionnels'!$B$7:$B$66,$D9945)</f>
        <v>0</v>
      </c>
      <c r="H9945" s="135" t="n">
        <f aca="false">$G9945*'Analyse capacite'!$F$8</f>
        <v>0</v>
      </c>
      <c r="I9945" s="135" t="n">
        <f aca="false">$G9945*'Analyse capacite'!$C$8</f>
        <v>0</v>
      </c>
      <c r="J9945" s="135" t="n">
        <f aca="false">$G9945*'Analyse capacite'!$D$8</f>
        <v>0</v>
      </c>
      <c r="K9945" s="135" t="n">
        <f aca="false">$G9945*'Analyse capacite'!$E$8</f>
        <v>0</v>
      </c>
    </row>
    <row r="9946" customFormat="false" ht="15" hidden="false" customHeight="false" outlineLevel="0" collapsed="false">
      <c r="B9946" s="130" t="n">
        <v>2028</v>
      </c>
      <c r="C9946" s="131" t="s">
        <v>255</v>
      </c>
      <c r="D9946" s="132" t="n">
        <v>46754</v>
      </c>
      <c r="E9946" s="131" t="s">
        <v>20</v>
      </c>
      <c r="F9946" s="133" t="s">
        <v>24</v>
      </c>
      <c r="G9946" s="134" t="n">
        <f aca="false">LEN('Saisie programme'!$J$369)+SUMIFS('Vols additionnels'!$E$7:$E$66,'Vols additionnels'!$C$7:$C$66,$E9946,'Vols additionnels'!$D$7:$D$66,$F9946,'Vols additionnels'!$B$7:$B$66,$D9946)</f>
        <v>0</v>
      </c>
      <c r="H9946" s="135" t="n">
        <f aca="false">$G9946*'Analyse capacite'!$F$9</f>
        <v>0</v>
      </c>
      <c r="I9946" s="135" t="n">
        <f aca="false">$G9946*'Analyse capacite'!$C$9</f>
        <v>0</v>
      </c>
      <c r="J9946" s="135" t="n">
        <f aca="false">$G9946*'Analyse capacite'!$D$9</f>
        <v>0</v>
      </c>
      <c r="K9946" s="135" t="n">
        <f aca="false">$G9946*'Analyse capacite'!$E$9</f>
        <v>0</v>
      </c>
    </row>
    <row r="9947" customFormat="false" ht="15" hidden="false" customHeight="false" outlineLevel="0" collapsed="false">
      <c r="B9947" s="130" t="n">
        <v>2028</v>
      </c>
      <c r="C9947" s="131" t="s">
        <v>255</v>
      </c>
      <c r="D9947" s="132" t="n">
        <v>46754</v>
      </c>
      <c r="E9947" s="131" t="s">
        <v>25</v>
      </c>
      <c r="F9947" s="133" t="s">
        <v>11</v>
      </c>
      <c r="G9947" s="134" t="n">
        <f aca="false">LEN('Saisie programme'!$J$370)+SUMIFS('Vols additionnels'!$E$7:$E$66,'Vols additionnels'!$C$7:$C$66,$E9947,'Vols additionnels'!$D$7:$D$66,$F9947,'Vols additionnels'!$B$7:$B$66,$D9947)</f>
        <v>0</v>
      </c>
      <c r="H9947" s="135" t="n">
        <f aca="false">$G9947*'Analyse capacite'!$F$7</f>
        <v>0</v>
      </c>
      <c r="I9947" s="135" t="n">
        <f aca="false">$G9947*'Analyse capacite'!$C$7</f>
        <v>0</v>
      </c>
      <c r="J9947" s="135" t="n">
        <f aca="false">$G9947*'Analyse capacite'!$D$7</f>
        <v>0</v>
      </c>
      <c r="K9947" s="135" t="n">
        <f aca="false">$G9947*'Analyse capacite'!$E$7</f>
        <v>0</v>
      </c>
    </row>
    <row r="9948" customFormat="false" ht="15" hidden="false" customHeight="false" outlineLevel="0" collapsed="false">
      <c r="B9948" s="130" t="n">
        <v>2028</v>
      </c>
      <c r="C9948" s="131" t="s">
        <v>255</v>
      </c>
      <c r="D9948" s="132" t="n">
        <v>46754</v>
      </c>
      <c r="E9948" s="131" t="s">
        <v>25</v>
      </c>
      <c r="F9948" s="133" t="s">
        <v>19</v>
      </c>
      <c r="G9948" s="134" t="n">
        <f aca="false">LEN('Saisie programme'!$J$371)+SUMIFS('Vols additionnels'!$E$7:$E$66,'Vols additionnels'!$C$7:$C$66,$E9948,'Vols additionnels'!$D$7:$D$66,$F9948,'Vols additionnels'!$B$7:$B$66,$D9948)</f>
        <v>0</v>
      </c>
      <c r="H9948" s="135" t="n">
        <f aca="false">$G9948*'Analyse capacite'!$F$8</f>
        <v>0</v>
      </c>
      <c r="I9948" s="135" t="n">
        <f aca="false">$G9948*'Analyse capacite'!$C$8</f>
        <v>0</v>
      </c>
      <c r="J9948" s="135" t="n">
        <f aca="false">$G9948*'Analyse capacite'!$D$8</f>
        <v>0</v>
      </c>
      <c r="K9948" s="135" t="n">
        <f aca="false">$G9948*'Analyse capacite'!$E$8</f>
        <v>0</v>
      </c>
    </row>
    <row r="9949" customFormat="false" ht="15" hidden="false" customHeight="false" outlineLevel="0" collapsed="false">
      <c r="B9949" s="130" t="n">
        <v>2028</v>
      </c>
      <c r="C9949" s="131" t="s">
        <v>255</v>
      </c>
      <c r="D9949" s="132" t="n">
        <v>46754</v>
      </c>
      <c r="E9949" s="131" t="s">
        <v>25</v>
      </c>
      <c r="F9949" s="133" t="s">
        <v>24</v>
      </c>
      <c r="G9949" s="134" t="n">
        <f aca="false">LEN('Saisie programme'!$J$372)+SUMIFS('Vols additionnels'!$E$7:$E$66,'Vols additionnels'!$C$7:$C$66,$E9949,'Vols additionnels'!$D$7:$D$66,$F9949,'Vols additionnels'!$B$7:$B$66,$D9949)</f>
        <v>0</v>
      </c>
      <c r="H9949" s="135" t="n">
        <f aca="false">$G9949*'Analyse capacite'!$F$9</f>
        <v>0</v>
      </c>
      <c r="I9949" s="135" t="n">
        <f aca="false">$G9949*'Analyse capacite'!$C$9</f>
        <v>0</v>
      </c>
      <c r="J9949" s="135" t="n">
        <f aca="false">$G9949*'Analyse capacite'!$D$9</f>
        <v>0</v>
      </c>
      <c r="K9949" s="135" t="n">
        <f aca="false">$G9949*'Analyse capacite'!$E$9</f>
        <v>0</v>
      </c>
    </row>
    <row r="9950" customFormat="false" ht="15" hidden="false" customHeight="false" outlineLevel="0" collapsed="false">
      <c r="B9950" s="130" t="n">
        <v>2028</v>
      </c>
      <c r="C9950" s="131" t="s">
        <v>255</v>
      </c>
      <c r="D9950" s="132" t="n">
        <v>46754</v>
      </c>
      <c r="E9950" s="131" t="s">
        <v>36</v>
      </c>
      <c r="F9950" s="133" t="s">
        <v>11</v>
      </c>
      <c r="G9950" s="134" t="n">
        <f aca="false">LEN('Saisie programme'!$J$373)+SUMIFS('Vols additionnels'!$E$7:$E$66,'Vols additionnels'!$C$7:$C$66,$E9950,'Vols additionnels'!$D$7:$D$66,$F9950,'Vols additionnels'!$B$7:$B$66,$D9950)</f>
        <v>0</v>
      </c>
      <c r="H9950" s="135" t="n">
        <f aca="false">$G9950*'Analyse capacite'!$F$7</f>
        <v>0</v>
      </c>
      <c r="I9950" s="135" t="n">
        <f aca="false">$G9950*'Analyse capacite'!$C$7</f>
        <v>0</v>
      </c>
      <c r="J9950" s="135" t="n">
        <f aca="false">$G9950*'Analyse capacite'!$D$7</f>
        <v>0</v>
      </c>
      <c r="K9950" s="135" t="n">
        <f aca="false">$G9950*'Analyse capacite'!$E$7</f>
        <v>0</v>
      </c>
    </row>
    <row r="9951" customFormat="false" ht="15" hidden="false" customHeight="false" outlineLevel="0" collapsed="false">
      <c r="B9951" s="130" t="n">
        <v>2028</v>
      </c>
      <c r="C9951" s="131" t="s">
        <v>255</v>
      </c>
      <c r="D9951" s="132" t="n">
        <v>46754</v>
      </c>
      <c r="E9951" s="131" t="s">
        <v>36</v>
      </c>
      <c r="F9951" s="133" t="s">
        <v>19</v>
      </c>
      <c r="G9951" s="134" t="n">
        <f aca="false">LEN('Saisie programme'!$J$374)+SUMIFS('Vols additionnels'!$E$7:$E$66,'Vols additionnels'!$C$7:$C$66,$E9951,'Vols additionnels'!$D$7:$D$66,$F9951,'Vols additionnels'!$B$7:$B$66,$D9951)</f>
        <v>0</v>
      </c>
      <c r="H9951" s="135" t="n">
        <f aca="false">$G9951*'Analyse capacite'!$F$8</f>
        <v>0</v>
      </c>
      <c r="I9951" s="135" t="n">
        <f aca="false">$G9951*'Analyse capacite'!$C$8</f>
        <v>0</v>
      </c>
      <c r="J9951" s="135" t="n">
        <f aca="false">$G9951*'Analyse capacite'!$D$8</f>
        <v>0</v>
      </c>
      <c r="K9951" s="135" t="n">
        <f aca="false">$G9951*'Analyse capacite'!$E$8</f>
        <v>0</v>
      </c>
    </row>
    <row r="9952" customFormat="false" ht="15" hidden="false" customHeight="false" outlineLevel="0" collapsed="false">
      <c r="B9952" s="130" t="n">
        <v>2028</v>
      </c>
      <c r="C9952" s="131" t="s">
        <v>255</v>
      </c>
      <c r="D9952" s="132" t="n">
        <v>46754</v>
      </c>
      <c r="E9952" s="131" t="s">
        <v>36</v>
      </c>
      <c r="F9952" s="133" t="s">
        <v>24</v>
      </c>
      <c r="G9952" s="134" t="n">
        <f aca="false">LEN('Saisie programme'!$J$375)+SUMIFS('Vols additionnels'!$E$7:$E$66,'Vols additionnels'!$C$7:$C$66,$E9952,'Vols additionnels'!$D$7:$D$66,$F9952,'Vols additionnels'!$B$7:$B$66,$D9952)</f>
        <v>0</v>
      </c>
      <c r="H9952" s="135" t="n">
        <f aca="false">$G9952*'Analyse capacite'!$F$9</f>
        <v>0</v>
      </c>
      <c r="I9952" s="135" t="n">
        <f aca="false">$G9952*'Analyse capacite'!$C$9</f>
        <v>0</v>
      </c>
      <c r="J9952" s="135" t="n">
        <f aca="false">$G9952*'Analyse capacite'!$D$9</f>
        <v>0</v>
      </c>
      <c r="K9952" s="135" t="n">
        <f aca="false">$G9952*'Analyse capacite'!$E$9</f>
        <v>0</v>
      </c>
    </row>
    <row r="9953" customFormat="false" ht="15" hidden="false" customHeight="false" outlineLevel="0" collapsed="false">
      <c r="B9953" s="130" t="n">
        <v>2028</v>
      </c>
      <c r="C9953" s="131" t="s">
        <v>255</v>
      </c>
      <c r="D9953" s="132" t="n">
        <v>46754</v>
      </c>
      <c r="E9953" s="131" t="s">
        <v>40</v>
      </c>
      <c r="F9953" s="133" t="s">
        <v>11</v>
      </c>
      <c r="G9953" s="134" t="n">
        <f aca="false">LEN('Saisie programme'!$J$376)+SUMIFS('Vols additionnels'!$E$7:$E$66,'Vols additionnels'!$C$7:$C$66,$E9953,'Vols additionnels'!$D$7:$D$66,$F9953,'Vols additionnels'!$B$7:$B$66,$D9953)</f>
        <v>0</v>
      </c>
      <c r="H9953" s="135" t="n">
        <f aca="false">$G9953*'Analyse capacite'!$F$7</f>
        <v>0</v>
      </c>
      <c r="I9953" s="135" t="n">
        <f aca="false">$G9953*'Analyse capacite'!$C$7</f>
        <v>0</v>
      </c>
      <c r="J9953" s="135" t="n">
        <f aca="false">$G9953*'Analyse capacite'!$D$7</f>
        <v>0</v>
      </c>
      <c r="K9953" s="135" t="n">
        <f aca="false">$G9953*'Analyse capacite'!$E$7</f>
        <v>0</v>
      </c>
    </row>
    <row r="9954" customFormat="false" ht="15" hidden="false" customHeight="false" outlineLevel="0" collapsed="false">
      <c r="B9954" s="130" t="n">
        <v>2028</v>
      </c>
      <c r="C9954" s="131" t="s">
        <v>255</v>
      </c>
      <c r="D9954" s="132" t="n">
        <v>46754</v>
      </c>
      <c r="E9954" s="131" t="s">
        <v>40</v>
      </c>
      <c r="F9954" s="133" t="s">
        <v>19</v>
      </c>
      <c r="G9954" s="134" t="n">
        <f aca="false">LEN('Saisie programme'!$J$377)+SUMIFS('Vols additionnels'!$E$7:$E$66,'Vols additionnels'!$C$7:$C$66,$E9954,'Vols additionnels'!$D$7:$D$66,$F9954,'Vols additionnels'!$B$7:$B$66,$D9954)</f>
        <v>0</v>
      </c>
      <c r="H9954" s="135" t="n">
        <f aca="false">$G9954*'Analyse capacite'!$F$8</f>
        <v>0</v>
      </c>
      <c r="I9954" s="135" t="n">
        <f aca="false">$G9954*'Analyse capacite'!$C$8</f>
        <v>0</v>
      </c>
      <c r="J9954" s="135" t="n">
        <f aca="false">$G9954*'Analyse capacite'!$D$8</f>
        <v>0</v>
      </c>
      <c r="K9954" s="135" t="n">
        <f aca="false">$G9954*'Analyse capacite'!$E$8</f>
        <v>0</v>
      </c>
    </row>
    <row r="9955" customFormat="false" ht="15" hidden="false" customHeight="false" outlineLevel="0" collapsed="false">
      <c r="B9955" s="130" t="n">
        <v>2028</v>
      </c>
      <c r="C9955" s="131" t="s">
        <v>255</v>
      </c>
      <c r="D9955" s="132" t="n">
        <v>46754</v>
      </c>
      <c r="E9955" s="131" t="s">
        <v>40</v>
      </c>
      <c r="F9955" s="133" t="s">
        <v>24</v>
      </c>
      <c r="G9955" s="134" t="n">
        <f aca="false">LEN('Saisie programme'!$J$378)+SUMIFS('Vols additionnels'!$E$7:$E$66,'Vols additionnels'!$C$7:$C$66,$E9955,'Vols additionnels'!$D$7:$D$66,$F9955,'Vols additionnels'!$B$7:$B$66,$D9955)</f>
        <v>1</v>
      </c>
      <c r="H9955" s="135" t="n">
        <f aca="false">$G9955*'Analyse capacite'!$F$9</f>
        <v>174</v>
      </c>
      <c r="I9955" s="135" t="n">
        <f aca="false">$G9955*'Analyse capacite'!$C$9</f>
        <v>0</v>
      </c>
      <c r="J9955" s="135" t="n">
        <f aca="false">$G9955*'Analyse capacite'!$D$9</f>
        <v>12</v>
      </c>
      <c r="K9955" s="135" t="n">
        <f aca="false">$G9955*'Analyse capacite'!$E$9</f>
        <v>162</v>
      </c>
    </row>
    <row r="9956" customFormat="false" ht="15" hidden="false" customHeight="false" outlineLevel="0" collapsed="false">
      <c r="B9956" s="130" t="n">
        <v>2028</v>
      </c>
      <c r="C9956" s="131" t="s">
        <v>255</v>
      </c>
      <c r="D9956" s="132" t="n">
        <v>46754</v>
      </c>
      <c r="E9956" s="131" t="s">
        <v>14</v>
      </c>
      <c r="F9956" s="133" t="s">
        <v>11</v>
      </c>
      <c r="G9956" s="134" t="n">
        <f aca="false">LEN('Saisie programme'!$J$379)+SUMIFS('Vols additionnels'!$E$7:$E$66,'Vols additionnels'!$C$7:$C$66,$E9956,'Vols additionnels'!$D$7:$D$66,$F9956,'Vols additionnels'!$B$7:$B$66,$D9956)</f>
        <v>0</v>
      </c>
      <c r="H9956" s="135" t="n">
        <f aca="false">$G9956*'Analyse capacite'!$F$7</f>
        <v>0</v>
      </c>
      <c r="I9956" s="135" t="n">
        <f aca="false">$G9956*'Analyse capacite'!$C$7</f>
        <v>0</v>
      </c>
      <c r="J9956" s="135" t="n">
        <f aca="false">$G9956*'Analyse capacite'!$D$7</f>
        <v>0</v>
      </c>
      <c r="K9956" s="135" t="n">
        <f aca="false">$G9956*'Analyse capacite'!$E$7</f>
        <v>0</v>
      </c>
    </row>
    <row r="9957" customFormat="false" ht="15" hidden="false" customHeight="false" outlineLevel="0" collapsed="false">
      <c r="B9957" s="130" t="n">
        <v>2028</v>
      </c>
      <c r="C9957" s="131" t="s">
        <v>255</v>
      </c>
      <c r="D9957" s="132" t="n">
        <v>46754</v>
      </c>
      <c r="E9957" s="131" t="s">
        <v>14</v>
      </c>
      <c r="F9957" s="133" t="s">
        <v>19</v>
      </c>
      <c r="G9957" s="134" t="n">
        <f aca="false">LEN('Saisie programme'!$J$380)+SUMIFS('Vols additionnels'!$E$7:$E$66,'Vols additionnels'!$C$7:$C$66,$E9957,'Vols additionnels'!$D$7:$D$66,$F9957,'Vols additionnels'!$B$7:$B$66,$D9957)</f>
        <v>0</v>
      </c>
      <c r="H9957" s="135" t="n">
        <f aca="false">$G9957*'Analyse capacite'!$F$8</f>
        <v>0</v>
      </c>
      <c r="I9957" s="135" t="n">
        <f aca="false">$G9957*'Analyse capacite'!$C$8</f>
        <v>0</v>
      </c>
      <c r="J9957" s="135" t="n">
        <f aca="false">$G9957*'Analyse capacite'!$D$8</f>
        <v>0</v>
      </c>
      <c r="K9957" s="135" t="n">
        <f aca="false">$G9957*'Analyse capacite'!$E$8</f>
        <v>0</v>
      </c>
    </row>
    <row r="9958" customFormat="false" ht="15" hidden="false" customHeight="false" outlineLevel="0" collapsed="false">
      <c r="B9958" s="130" t="n">
        <v>2028</v>
      </c>
      <c r="C9958" s="131" t="s">
        <v>255</v>
      </c>
      <c r="D9958" s="132" t="n">
        <v>46754</v>
      </c>
      <c r="E9958" s="131" t="s">
        <v>14</v>
      </c>
      <c r="F9958" s="133" t="s">
        <v>24</v>
      </c>
      <c r="G9958" s="134" t="n">
        <f aca="false">LEN('Saisie programme'!$J$381)+SUMIFS('Vols additionnels'!$E$7:$E$66,'Vols additionnels'!$C$7:$C$66,$E9958,'Vols additionnels'!$D$7:$D$66,$F9958,'Vols additionnels'!$B$7:$B$66,$D9958)</f>
        <v>0</v>
      </c>
      <c r="H9958" s="135" t="n">
        <f aca="false">$G9958*'Analyse capacite'!$F$9</f>
        <v>0</v>
      </c>
      <c r="I9958" s="135" t="n">
        <f aca="false">$G9958*'Analyse capacite'!$C$9</f>
        <v>0</v>
      </c>
      <c r="J9958" s="135" t="n">
        <f aca="false">$G9958*'Analyse capacite'!$D$9</f>
        <v>0</v>
      </c>
      <c r="K9958" s="135" t="n">
        <f aca="false">$G9958*'Analyse capacite'!$E$9</f>
        <v>0</v>
      </c>
    </row>
    <row r="9959" customFormat="false" ht="15" hidden="false" customHeight="false" outlineLevel="0" collapsed="false">
      <c r="B9959" s="130" t="n">
        <v>2028</v>
      </c>
      <c r="C9959" s="131" t="s">
        <v>255</v>
      </c>
      <c r="D9959" s="132" t="n">
        <v>46754</v>
      </c>
      <c r="E9959" s="131" t="s">
        <v>46</v>
      </c>
      <c r="F9959" s="133" t="s">
        <v>11</v>
      </c>
      <c r="G9959" s="134" t="n">
        <f aca="false">LEN('Saisie programme'!$J$382)+SUMIFS('Vols additionnels'!$E$7:$E$66,'Vols additionnels'!$C$7:$C$66,$E9959,'Vols additionnels'!$D$7:$D$66,$F9959,'Vols additionnels'!$B$7:$B$66,$D9959)</f>
        <v>0</v>
      </c>
      <c r="H9959" s="135" t="n">
        <f aca="false">$G9959*'Analyse capacite'!$F$7</f>
        <v>0</v>
      </c>
      <c r="I9959" s="135" t="n">
        <f aca="false">$G9959*'Analyse capacite'!$C$7</f>
        <v>0</v>
      </c>
      <c r="J9959" s="135" t="n">
        <f aca="false">$G9959*'Analyse capacite'!$D$7</f>
        <v>0</v>
      </c>
      <c r="K9959" s="135" t="n">
        <f aca="false">$G9959*'Analyse capacite'!$E$7</f>
        <v>0</v>
      </c>
    </row>
    <row r="9960" customFormat="false" ht="15" hidden="false" customHeight="false" outlineLevel="0" collapsed="false">
      <c r="B9960" s="130" t="n">
        <v>2028</v>
      </c>
      <c r="C9960" s="131" t="s">
        <v>255</v>
      </c>
      <c r="D9960" s="132" t="n">
        <v>46754</v>
      </c>
      <c r="E9960" s="131" t="s">
        <v>46</v>
      </c>
      <c r="F9960" s="133" t="s">
        <v>19</v>
      </c>
      <c r="G9960" s="134" t="n">
        <f aca="false">LEN('Saisie programme'!$J$383)+SUMIFS('Vols additionnels'!$E$7:$E$66,'Vols additionnels'!$C$7:$C$66,$E9960,'Vols additionnels'!$D$7:$D$66,$F9960,'Vols additionnels'!$B$7:$B$66,$D9960)</f>
        <v>0</v>
      </c>
      <c r="H9960" s="135" t="n">
        <f aca="false">$G9960*'Analyse capacite'!$F$8</f>
        <v>0</v>
      </c>
      <c r="I9960" s="135" t="n">
        <f aca="false">$G9960*'Analyse capacite'!$C$8</f>
        <v>0</v>
      </c>
      <c r="J9960" s="135" t="n">
        <f aca="false">$G9960*'Analyse capacite'!$D$8</f>
        <v>0</v>
      </c>
      <c r="K9960" s="135" t="n">
        <f aca="false">$G9960*'Analyse capacite'!$E$8</f>
        <v>0</v>
      </c>
    </row>
    <row r="9961" customFormat="false" ht="15" hidden="false" customHeight="false" outlineLevel="0" collapsed="false">
      <c r="B9961" s="130" t="n">
        <v>2028</v>
      </c>
      <c r="C9961" s="131" t="s">
        <v>255</v>
      </c>
      <c r="D9961" s="132" t="n">
        <v>46754</v>
      </c>
      <c r="E9961" s="131" t="s">
        <v>46</v>
      </c>
      <c r="F9961" s="133" t="s">
        <v>24</v>
      </c>
      <c r="G9961" s="134" t="n">
        <f aca="false">LEN('Saisie programme'!$J$384)+SUMIFS('Vols additionnels'!$E$7:$E$66,'Vols additionnels'!$C$7:$C$66,$E9961,'Vols additionnels'!$D$7:$D$66,$F9961,'Vols additionnels'!$B$7:$B$66,$D9961)</f>
        <v>0</v>
      </c>
      <c r="H9961" s="135" t="n">
        <f aca="false">$G9961*'Analyse capacite'!$F$9</f>
        <v>0</v>
      </c>
      <c r="I9961" s="135" t="n">
        <f aca="false">$G9961*'Analyse capacite'!$C$9</f>
        <v>0</v>
      </c>
      <c r="J9961" s="135" t="n">
        <f aca="false">$G9961*'Analyse capacite'!$D$9</f>
        <v>0</v>
      </c>
      <c r="K9961" s="135" t="n">
        <f aca="false">$G9961*'Analyse capacite'!$E$9</f>
        <v>0</v>
      </c>
    </row>
    <row r="9962" customFormat="false" ht="15" hidden="false" customHeight="false" outlineLevel="0" collapsed="false">
      <c r="B9962" s="130" t="n">
        <v>2028</v>
      </c>
      <c r="C9962" s="131" t="s">
        <v>255</v>
      </c>
      <c r="D9962" s="132" t="n">
        <v>46754</v>
      </c>
      <c r="E9962" s="131" t="s">
        <v>49</v>
      </c>
      <c r="F9962" s="133" t="s">
        <v>11</v>
      </c>
      <c r="G9962" s="134" t="n">
        <f aca="false">LEN('Saisie programme'!$J$385)+SUMIFS('Vols additionnels'!$E$7:$E$66,'Vols additionnels'!$C$7:$C$66,$E9962,'Vols additionnels'!$D$7:$D$66,$F9962,'Vols additionnels'!$B$7:$B$66,$D9962)</f>
        <v>0</v>
      </c>
      <c r="H9962" s="135" t="n">
        <f aca="false">$G9962*'Analyse capacite'!$F$7</f>
        <v>0</v>
      </c>
      <c r="I9962" s="135" t="n">
        <f aca="false">$G9962*'Analyse capacite'!$C$7</f>
        <v>0</v>
      </c>
      <c r="J9962" s="135" t="n">
        <f aca="false">$G9962*'Analyse capacite'!$D$7</f>
        <v>0</v>
      </c>
      <c r="K9962" s="135" t="n">
        <f aca="false">$G9962*'Analyse capacite'!$E$7</f>
        <v>0</v>
      </c>
    </row>
    <row r="9963" customFormat="false" ht="15" hidden="false" customHeight="false" outlineLevel="0" collapsed="false">
      <c r="B9963" s="130" t="n">
        <v>2028</v>
      </c>
      <c r="C9963" s="131" t="s">
        <v>255</v>
      </c>
      <c r="D9963" s="132" t="n">
        <v>46754</v>
      </c>
      <c r="E9963" s="131" t="s">
        <v>49</v>
      </c>
      <c r="F9963" s="133" t="s">
        <v>19</v>
      </c>
      <c r="G9963" s="134" t="n">
        <f aca="false">LEN('Saisie programme'!$J$386)+SUMIFS('Vols additionnels'!$E$7:$E$66,'Vols additionnels'!$C$7:$C$66,$E9963,'Vols additionnels'!$D$7:$D$66,$F9963,'Vols additionnels'!$B$7:$B$66,$D9963)</f>
        <v>0</v>
      </c>
      <c r="H9963" s="135" t="n">
        <f aca="false">$G9963*'Analyse capacite'!$F$8</f>
        <v>0</v>
      </c>
      <c r="I9963" s="135" t="n">
        <f aca="false">$G9963*'Analyse capacite'!$C$8</f>
        <v>0</v>
      </c>
      <c r="J9963" s="135" t="n">
        <f aca="false">$G9963*'Analyse capacite'!$D$8</f>
        <v>0</v>
      </c>
      <c r="K9963" s="135" t="n">
        <f aca="false">$G9963*'Analyse capacite'!$E$8</f>
        <v>0</v>
      </c>
    </row>
    <row r="9964" customFormat="false" ht="15" hidden="false" customHeight="false" outlineLevel="0" collapsed="false">
      <c r="B9964" s="130" t="n">
        <v>2028</v>
      </c>
      <c r="C9964" s="131" t="s">
        <v>255</v>
      </c>
      <c r="D9964" s="132" t="n">
        <v>46754</v>
      </c>
      <c r="E9964" s="131" t="s">
        <v>49</v>
      </c>
      <c r="F9964" s="133" t="s">
        <v>24</v>
      </c>
      <c r="G9964" s="134" t="n">
        <f aca="false">LEN('Saisie programme'!$J$387)+SUMIFS('Vols additionnels'!$E$7:$E$66,'Vols additionnels'!$C$7:$C$66,$E9964,'Vols additionnels'!$D$7:$D$66,$F9964,'Vols additionnels'!$B$7:$B$66,$D9964)</f>
        <v>0</v>
      </c>
      <c r="H9964" s="135" t="n">
        <f aca="false">$G9964*'Analyse capacite'!$F$9</f>
        <v>0</v>
      </c>
      <c r="I9964" s="135" t="n">
        <f aca="false">$G9964*'Analyse capacite'!$C$9</f>
        <v>0</v>
      </c>
      <c r="J9964" s="135" t="n">
        <f aca="false">$G9964*'Analyse capacite'!$D$9</f>
        <v>0</v>
      </c>
      <c r="K9964" s="135" t="n">
        <f aca="false">$G9964*'Analyse capacite'!$E$9</f>
        <v>0</v>
      </c>
    </row>
    <row r="9965" customFormat="false" ht="15" hidden="false" customHeight="false" outlineLevel="0" collapsed="false">
      <c r="B9965" s="130" t="n">
        <v>2028</v>
      </c>
      <c r="C9965" s="131" t="s">
        <v>255</v>
      </c>
      <c r="D9965" s="132" t="n">
        <v>46754</v>
      </c>
      <c r="E9965" s="131" t="s">
        <v>53</v>
      </c>
      <c r="F9965" s="133" t="s">
        <v>11</v>
      </c>
      <c r="G9965" s="134" t="n">
        <f aca="false">LEN('Saisie programme'!$J$388)+SUMIFS('Vols additionnels'!$E$7:$E$66,'Vols additionnels'!$C$7:$C$66,$E9965,'Vols additionnels'!$D$7:$D$66,$F9965,'Vols additionnels'!$B$7:$B$66,$D9965)</f>
        <v>0</v>
      </c>
      <c r="H9965" s="135" t="n">
        <f aca="false">$G9965*'Analyse capacite'!$F$7</f>
        <v>0</v>
      </c>
      <c r="I9965" s="135" t="n">
        <f aca="false">$G9965*'Analyse capacite'!$C$7</f>
        <v>0</v>
      </c>
      <c r="J9965" s="135" t="n">
        <f aca="false">$G9965*'Analyse capacite'!$D$7</f>
        <v>0</v>
      </c>
      <c r="K9965" s="135" t="n">
        <f aca="false">$G9965*'Analyse capacite'!$E$7</f>
        <v>0</v>
      </c>
    </row>
    <row r="9966" customFormat="false" ht="15" hidden="false" customHeight="false" outlineLevel="0" collapsed="false">
      <c r="B9966" s="130" t="n">
        <v>2028</v>
      </c>
      <c r="C9966" s="131" t="s">
        <v>255</v>
      </c>
      <c r="D9966" s="132" t="n">
        <v>46754</v>
      </c>
      <c r="E9966" s="131" t="s">
        <v>53</v>
      </c>
      <c r="F9966" s="133" t="s">
        <v>19</v>
      </c>
      <c r="G9966" s="134" t="n">
        <f aca="false">LEN('Saisie programme'!$J$389)+SUMIFS('Vols additionnels'!$E$7:$E$66,'Vols additionnels'!$C$7:$C$66,$E9966,'Vols additionnels'!$D$7:$D$66,$F9966,'Vols additionnels'!$B$7:$B$66,$D9966)</f>
        <v>0</v>
      </c>
      <c r="H9966" s="135" t="n">
        <f aca="false">$G9966*'Analyse capacite'!$F$8</f>
        <v>0</v>
      </c>
      <c r="I9966" s="135" t="n">
        <f aca="false">$G9966*'Analyse capacite'!$C$8</f>
        <v>0</v>
      </c>
      <c r="J9966" s="135" t="n">
        <f aca="false">$G9966*'Analyse capacite'!$D$8</f>
        <v>0</v>
      </c>
      <c r="K9966" s="135" t="n">
        <f aca="false">$G9966*'Analyse capacite'!$E$8</f>
        <v>0</v>
      </c>
    </row>
    <row r="9967" customFormat="false" ht="15" hidden="false" customHeight="false" outlineLevel="0" collapsed="false">
      <c r="B9967" s="130" t="n">
        <v>2028</v>
      </c>
      <c r="C9967" s="131" t="s">
        <v>255</v>
      </c>
      <c r="D9967" s="132" t="n">
        <v>46754</v>
      </c>
      <c r="E9967" s="131" t="s">
        <v>53</v>
      </c>
      <c r="F9967" s="133" t="s">
        <v>24</v>
      </c>
      <c r="G9967" s="134" t="n">
        <f aca="false">LEN('Saisie programme'!$J$390)+SUMIFS('Vols additionnels'!$E$7:$E$66,'Vols additionnels'!$C$7:$C$66,$E9967,'Vols additionnels'!$D$7:$D$66,$F9967,'Vols additionnels'!$B$7:$B$66,$D9967)</f>
        <v>0</v>
      </c>
      <c r="H9967" s="135" t="n">
        <f aca="false">$G9967*'Analyse capacite'!$F$9</f>
        <v>0</v>
      </c>
      <c r="I9967" s="135" t="n">
        <f aca="false">$G9967*'Analyse capacite'!$C$9</f>
        <v>0</v>
      </c>
      <c r="J9967" s="135" t="n">
        <f aca="false">$G9967*'Analyse capacite'!$D$9</f>
        <v>0</v>
      </c>
      <c r="K9967" s="135" t="n">
        <f aca="false">$G9967*'Analyse capacite'!$E$9</f>
        <v>0</v>
      </c>
    </row>
    <row r="9968" customFormat="false" ht="15" hidden="false" customHeight="false" outlineLevel="0" collapsed="false">
      <c r="B9968" s="130" t="n">
        <v>2028</v>
      </c>
      <c r="C9968" s="131" t="s">
        <v>255</v>
      </c>
      <c r="D9968" s="132" t="n">
        <v>46754</v>
      </c>
      <c r="E9968" s="131" t="s">
        <v>56</v>
      </c>
      <c r="F9968" s="133" t="s">
        <v>11</v>
      </c>
      <c r="G9968" s="134" t="n">
        <f aca="false">LEN('Saisie programme'!$J$391)+SUMIFS('Vols additionnels'!$E$7:$E$66,'Vols additionnels'!$C$7:$C$66,$E9968,'Vols additionnels'!$D$7:$D$66,$F9968,'Vols additionnels'!$B$7:$B$66,$D9968)</f>
        <v>0</v>
      </c>
      <c r="H9968" s="135" t="n">
        <f aca="false">$G9968*'Analyse capacite'!$F$7</f>
        <v>0</v>
      </c>
      <c r="I9968" s="135" t="n">
        <f aca="false">$G9968*'Analyse capacite'!$C$7</f>
        <v>0</v>
      </c>
      <c r="J9968" s="135" t="n">
        <f aca="false">$G9968*'Analyse capacite'!$D$7</f>
        <v>0</v>
      </c>
      <c r="K9968" s="135" t="n">
        <f aca="false">$G9968*'Analyse capacite'!$E$7</f>
        <v>0</v>
      </c>
    </row>
    <row r="9969" customFormat="false" ht="15" hidden="false" customHeight="false" outlineLevel="0" collapsed="false">
      <c r="B9969" s="130" t="n">
        <v>2028</v>
      </c>
      <c r="C9969" s="131" t="s">
        <v>255</v>
      </c>
      <c r="D9969" s="132" t="n">
        <v>46754</v>
      </c>
      <c r="E9969" s="131" t="s">
        <v>56</v>
      </c>
      <c r="F9969" s="133" t="s">
        <v>19</v>
      </c>
      <c r="G9969" s="134" t="n">
        <f aca="false">LEN('Saisie programme'!$J$392)+SUMIFS('Vols additionnels'!$E$7:$E$66,'Vols additionnels'!$C$7:$C$66,$E9969,'Vols additionnels'!$D$7:$D$66,$F9969,'Vols additionnels'!$B$7:$B$66,$D9969)</f>
        <v>0</v>
      </c>
      <c r="H9969" s="135" t="n">
        <f aca="false">$G9969*'Analyse capacite'!$F$8</f>
        <v>0</v>
      </c>
      <c r="I9969" s="135" t="n">
        <f aca="false">$G9969*'Analyse capacite'!$C$8</f>
        <v>0</v>
      </c>
      <c r="J9969" s="135" t="n">
        <f aca="false">$G9969*'Analyse capacite'!$D$8</f>
        <v>0</v>
      </c>
      <c r="K9969" s="135" t="n">
        <f aca="false">$G9969*'Analyse capacite'!$E$8</f>
        <v>0</v>
      </c>
    </row>
    <row r="9970" customFormat="false" ht="15" hidden="false" customHeight="false" outlineLevel="0" collapsed="false">
      <c r="B9970" s="130" t="n">
        <v>2028</v>
      </c>
      <c r="C9970" s="131" t="s">
        <v>255</v>
      </c>
      <c r="D9970" s="132" t="n">
        <v>46754</v>
      </c>
      <c r="E9970" s="131" t="s">
        <v>56</v>
      </c>
      <c r="F9970" s="133" t="s">
        <v>24</v>
      </c>
      <c r="G9970" s="134" t="n">
        <f aca="false">LEN('Saisie programme'!$J$393)+SUMIFS('Vols additionnels'!$E$7:$E$66,'Vols additionnels'!$C$7:$C$66,$E9970,'Vols additionnels'!$D$7:$D$66,$F9970,'Vols additionnels'!$B$7:$B$66,$D9970)</f>
        <v>0</v>
      </c>
      <c r="H9970" s="135" t="n">
        <f aca="false">$G9970*'Analyse capacite'!$F$9</f>
        <v>0</v>
      </c>
      <c r="I9970" s="135" t="n">
        <f aca="false">$G9970*'Analyse capacite'!$C$9</f>
        <v>0</v>
      </c>
      <c r="J9970" s="135" t="n">
        <f aca="false">$G9970*'Analyse capacite'!$D$9</f>
        <v>0</v>
      </c>
      <c r="K9970" s="135" t="n">
        <f aca="false">$G9970*'Analyse capacite'!$E$9</f>
        <v>0</v>
      </c>
    </row>
    <row r="9971" customFormat="false" ht="15" hidden="false" customHeight="false" outlineLevel="0" collapsed="false">
      <c r="B9971" s="130" t="n">
        <v>2028</v>
      </c>
      <c r="C9971" s="131" t="s">
        <v>255</v>
      </c>
      <c r="D9971" s="132" t="n">
        <v>46754</v>
      </c>
      <c r="E9971" s="131" t="s">
        <v>59</v>
      </c>
      <c r="F9971" s="133" t="s">
        <v>11</v>
      </c>
      <c r="G9971" s="134" t="n">
        <f aca="false">LEN('Saisie programme'!$J$394)+SUMIFS('Vols additionnels'!$E$7:$E$66,'Vols additionnels'!$C$7:$C$66,$E9971,'Vols additionnels'!$D$7:$D$66,$F9971,'Vols additionnels'!$B$7:$B$66,$D9971)</f>
        <v>0</v>
      </c>
      <c r="H9971" s="135" t="n">
        <f aca="false">$G9971*'Analyse capacite'!$F$7</f>
        <v>0</v>
      </c>
      <c r="I9971" s="135" t="n">
        <f aca="false">$G9971*'Analyse capacite'!$C$7</f>
        <v>0</v>
      </c>
      <c r="J9971" s="135" t="n">
        <f aca="false">$G9971*'Analyse capacite'!$D$7</f>
        <v>0</v>
      </c>
      <c r="K9971" s="135" t="n">
        <f aca="false">$G9971*'Analyse capacite'!$E$7</f>
        <v>0</v>
      </c>
    </row>
    <row r="9972" customFormat="false" ht="15" hidden="false" customHeight="false" outlineLevel="0" collapsed="false">
      <c r="B9972" s="130" t="n">
        <v>2028</v>
      </c>
      <c r="C9972" s="131" t="s">
        <v>255</v>
      </c>
      <c r="D9972" s="132" t="n">
        <v>46754</v>
      </c>
      <c r="E9972" s="131" t="s">
        <v>59</v>
      </c>
      <c r="F9972" s="133" t="s">
        <v>19</v>
      </c>
      <c r="G9972" s="134" t="n">
        <f aca="false">LEN('Saisie programme'!$J$395)+SUMIFS('Vols additionnels'!$E$7:$E$66,'Vols additionnels'!$C$7:$C$66,$E9972,'Vols additionnels'!$D$7:$D$66,$F9972,'Vols additionnels'!$B$7:$B$66,$D9972)</f>
        <v>0</v>
      </c>
      <c r="H9972" s="135" t="n">
        <f aca="false">$G9972*'Analyse capacite'!$F$8</f>
        <v>0</v>
      </c>
      <c r="I9972" s="135" t="n">
        <f aca="false">$G9972*'Analyse capacite'!$C$8</f>
        <v>0</v>
      </c>
      <c r="J9972" s="135" t="n">
        <f aca="false">$G9972*'Analyse capacite'!$D$8</f>
        <v>0</v>
      </c>
      <c r="K9972" s="135" t="n">
        <f aca="false">$G9972*'Analyse capacite'!$E$8</f>
        <v>0</v>
      </c>
    </row>
    <row r="9973" customFormat="false" ht="15" hidden="false" customHeight="false" outlineLevel="0" collapsed="false">
      <c r="B9973" s="130" t="n">
        <v>2028</v>
      </c>
      <c r="C9973" s="131" t="s">
        <v>255</v>
      </c>
      <c r="D9973" s="132" t="n">
        <v>46754</v>
      </c>
      <c r="E9973" s="131" t="s">
        <v>59</v>
      </c>
      <c r="F9973" s="133" t="s">
        <v>24</v>
      </c>
      <c r="G9973" s="134" t="n">
        <f aca="false">LEN('Saisie programme'!$J$396)+SUMIFS('Vols additionnels'!$E$7:$E$66,'Vols additionnels'!$C$7:$C$66,$E9973,'Vols additionnels'!$D$7:$D$66,$F9973,'Vols additionnels'!$B$7:$B$66,$D9973)</f>
        <v>0</v>
      </c>
      <c r="H9973" s="135" t="n">
        <f aca="false">$G9973*'Analyse capacite'!$F$9</f>
        <v>0</v>
      </c>
      <c r="I9973" s="135" t="n">
        <f aca="false">$G9973*'Analyse capacite'!$C$9</f>
        <v>0</v>
      </c>
      <c r="J9973" s="135" t="n">
        <f aca="false">$G9973*'Analyse capacite'!$D$9</f>
        <v>0</v>
      </c>
      <c r="K9973" s="135" t="n">
        <f aca="false">$G9973*'Analyse capacite'!$E$9</f>
        <v>0</v>
      </c>
    </row>
    <row r="9974" customFormat="false" ht="15" hidden="false" customHeight="false" outlineLevel="0" collapsed="false">
      <c r="B9974" s="130" t="n">
        <v>2028</v>
      </c>
      <c r="C9974" s="131" t="s">
        <v>255</v>
      </c>
      <c r="D9974" s="132" t="n">
        <v>46754</v>
      </c>
      <c r="E9974" s="131" t="s">
        <v>62</v>
      </c>
      <c r="F9974" s="133" t="s">
        <v>11</v>
      </c>
      <c r="G9974" s="134" t="n">
        <f aca="false">LEN('Saisie programme'!$J$397)+SUMIFS('Vols additionnels'!$E$7:$E$66,'Vols additionnels'!$C$7:$C$66,$E9974,'Vols additionnels'!$D$7:$D$66,$F9974,'Vols additionnels'!$B$7:$B$66,$D9974)</f>
        <v>0</v>
      </c>
      <c r="H9974" s="135" t="n">
        <f aca="false">$G9974*'Analyse capacite'!$F$7</f>
        <v>0</v>
      </c>
      <c r="I9974" s="135" t="n">
        <f aca="false">$G9974*'Analyse capacite'!$C$7</f>
        <v>0</v>
      </c>
      <c r="J9974" s="135" t="n">
        <f aca="false">$G9974*'Analyse capacite'!$D$7</f>
        <v>0</v>
      </c>
      <c r="K9974" s="135" t="n">
        <f aca="false">$G9974*'Analyse capacite'!$E$7</f>
        <v>0</v>
      </c>
    </row>
    <row r="9975" customFormat="false" ht="15" hidden="false" customHeight="false" outlineLevel="0" collapsed="false">
      <c r="B9975" s="130" t="n">
        <v>2028</v>
      </c>
      <c r="C9975" s="131" t="s">
        <v>255</v>
      </c>
      <c r="D9975" s="132" t="n">
        <v>46754</v>
      </c>
      <c r="E9975" s="131" t="s">
        <v>62</v>
      </c>
      <c r="F9975" s="133" t="s">
        <v>19</v>
      </c>
      <c r="G9975" s="134" t="n">
        <f aca="false">LEN('Saisie programme'!$J$398)+SUMIFS('Vols additionnels'!$E$7:$E$66,'Vols additionnels'!$C$7:$C$66,$E9975,'Vols additionnels'!$D$7:$D$66,$F9975,'Vols additionnels'!$B$7:$B$66,$D9975)</f>
        <v>0</v>
      </c>
      <c r="H9975" s="135" t="n">
        <f aca="false">$G9975*'Analyse capacite'!$F$8</f>
        <v>0</v>
      </c>
      <c r="I9975" s="135" t="n">
        <f aca="false">$G9975*'Analyse capacite'!$C$8</f>
        <v>0</v>
      </c>
      <c r="J9975" s="135" t="n">
        <f aca="false">$G9975*'Analyse capacite'!$D$8</f>
        <v>0</v>
      </c>
      <c r="K9975" s="135" t="n">
        <f aca="false">$G9975*'Analyse capacite'!$E$8</f>
        <v>0</v>
      </c>
    </row>
    <row r="9976" customFormat="false" ht="15" hidden="false" customHeight="false" outlineLevel="0" collapsed="false">
      <c r="B9976" s="130" t="n">
        <v>2028</v>
      </c>
      <c r="C9976" s="131" t="s">
        <v>255</v>
      </c>
      <c r="D9976" s="132" t="n">
        <v>46754</v>
      </c>
      <c r="E9976" s="131" t="s">
        <v>62</v>
      </c>
      <c r="F9976" s="133" t="s">
        <v>24</v>
      </c>
      <c r="G9976" s="134" t="n">
        <f aca="false">LEN('Saisie programme'!$J$399)+SUMIFS('Vols additionnels'!$E$7:$E$66,'Vols additionnels'!$C$7:$C$66,$E9976,'Vols additionnels'!$D$7:$D$66,$F9976,'Vols additionnels'!$B$7:$B$66,$D9976)</f>
        <v>1</v>
      </c>
      <c r="H9976" s="135" t="n">
        <f aca="false">$G9976*'Analyse capacite'!$F$9</f>
        <v>174</v>
      </c>
      <c r="I9976" s="135" t="n">
        <f aca="false">$G9976*'Analyse capacite'!$C$9</f>
        <v>0</v>
      </c>
      <c r="J9976" s="135" t="n">
        <f aca="false">$G9976*'Analyse capacite'!$D$9</f>
        <v>12</v>
      </c>
      <c r="K9976" s="135" t="n">
        <f aca="false">$G9976*'Analyse capacite'!$E$9</f>
        <v>162</v>
      </c>
    </row>
    <row r="9977" customFormat="false" ht="15" hidden="false" customHeight="false" outlineLevel="0" collapsed="false">
      <c r="B9977" s="130" t="n">
        <v>2028</v>
      </c>
      <c r="C9977" s="131" t="s">
        <v>255</v>
      </c>
      <c r="D9977" s="132" t="n">
        <v>46755</v>
      </c>
      <c r="E9977" s="131" t="s">
        <v>12</v>
      </c>
      <c r="F9977" s="133" t="s">
        <v>11</v>
      </c>
      <c r="G9977" s="134" t="n">
        <f aca="false">LEN('Saisie programme'!$D$364)+SUMIFS('Vols additionnels'!$E$7:$E$66,'Vols additionnels'!$C$7:$C$66,$E9977,'Vols additionnels'!$D$7:$D$66,$F9977,'Vols additionnels'!$B$7:$B$66,$D9977)</f>
        <v>1</v>
      </c>
      <c r="H9977" s="135" t="n">
        <f aca="false">$G9977*'Analyse capacite'!$F$7</f>
        <v>438</v>
      </c>
      <c r="I9977" s="135" t="n">
        <f aca="false">$G9977*'Analyse capacite'!$C$7</f>
        <v>14</v>
      </c>
      <c r="J9977" s="135" t="n">
        <f aca="false">$G9977*'Analyse capacite'!$D$7</f>
        <v>40</v>
      </c>
      <c r="K9977" s="135" t="n">
        <f aca="false">$G9977*'Analyse capacite'!$E$7</f>
        <v>384</v>
      </c>
    </row>
    <row r="9978" customFormat="false" ht="15" hidden="false" customHeight="false" outlineLevel="0" collapsed="false">
      <c r="B9978" s="130" t="n">
        <v>2028</v>
      </c>
      <c r="C9978" s="131" t="s">
        <v>255</v>
      </c>
      <c r="D9978" s="132" t="n">
        <v>46755</v>
      </c>
      <c r="E9978" s="131" t="s">
        <v>12</v>
      </c>
      <c r="F9978" s="133" t="s">
        <v>19</v>
      </c>
      <c r="G9978" s="134" t="n">
        <f aca="false">LEN('Saisie programme'!$D$365)+SUMIFS('Vols additionnels'!$E$7:$E$66,'Vols additionnels'!$C$7:$C$66,$E9978,'Vols additionnels'!$D$7:$D$66,$F9978,'Vols additionnels'!$B$7:$B$66,$D9978)</f>
        <v>1</v>
      </c>
      <c r="H9978" s="135" t="n">
        <f aca="false">$G9978*'Analyse capacite'!$F$8</f>
        <v>262</v>
      </c>
      <c r="I9978" s="135" t="n">
        <f aca="false">$G9978*'Analyse capacite'!$C$8</f>
        <v>18</v>
      </c>
      <c r="J9978" s="135" t="n">
        <f aca="false">$G9978*'Analyse capacite'!$D$8</f>
        <v>0</v>
      </c>
      <c r="K9978" s="135" t="n">
        <f aca="false">$G9978*'Analyse capacite'!$E$8</f>
        <v>244</v>
      </c>
    </row>
    <row r="9979" customFormat="false" ht="15" hidden="false" customHeight="false" outlineLevel="0" collapsed="false">
      <c r="B9979" s="130" t="n">
        <v>2028</v>
      </c>
      <c r="C9979" s="131" t="s">
        <v>255</v>
      </c>
      <c r="D9979" s="132" t="n">
        <v>46755</v>
      </c>
      <c r="E9979" s="131" t="s">
        <v>12</v>
      </c>
      <c r="F9979" s="133" t="s">
        <v>24</v>
      </c>
      <c r="G9979" s="134" t="n">
        <f aca="false">LEN('Saisie programme'!$D$366)+SUMIFS('Vols additionnels'!$E$7:$E$66,'Vols additionnels'!$C$7:$C$66,$E9979,'Vols additionnels'!$D$7:$D$66,$F9979,'Vols additionnels'!$B$7:$B$66,$D9979)</f>
        <v>2</v>
      </c>
      <c r="H9979" s="135" t="n">
        <f aca="false">$G9979*'Analyse capacite'!$F$9</f>
        <v>348</v>
      </c>
      <c r="I9979" s="135" t="n">
        <f aca="false">$G9979*'Analyse capacite'!$C$9</f>
        <v>0</v>
      </c>
      <c r="J9979" s="135" t="n">
        <f aca="false">$G9979*'Analyse capacite'!$D$9</f>
        <v>24</v>
      </c>
      <c r="K9979" s="135" t="n">
        <f aca="false">$G9979*'Analyse capacite'!$E$9</f>
        <v>324</v>
      </c>
    </row>
    <row r="9980" customFormat="false" ht="15" hidden="false" customHeight="false" outlineLevel="0" collapsed="false">
      <c r="B9980" s="130" t="n">
        <v>2028</v>
      </c>
      <c r="C9980" s="131" t="s">
        <v>255</v>
      </c>
      <c r="D9980" s="132" t="n">
        <v>46755</v>
      </c>
      <c r="E9980" s="131" t="s">
        <v>20</v>
      </c>
      <c r="F9980" s="133" t="s">
        <v>11</v>
      </c>
      <c r="G9980" s="134" t="n">
        <f aca="false">LEN('Saisie programme'!$D$367)+SUMIFS('Vols additionnels'!$E$7:$E$66,'Vols additionnels'!$C$7:$C$66,$E9980,'Vols additionnels'!$D$7:$D$66,$F9980,'Vols additionnels'!$B$7:$B$66,$D9980)</f>
        <v>0</v>
      </c>
      <c r="H9980" s="135" t="n">
        <f aca="false">$G9980*'Analyse capacite'!$F$7</f>
        <v>0</v>
      </c>
      <c r="I9980" s="135" t="n">
        <f aca="false">$G9980*'Analyse capacite'!$C$7</f>
        <v>0</v>
      </c>
      <c r="J9980" s="135" t="n">
        <f aca="false">$G9980*'Analyse capacite'!$D$7</f>
        <v>0</v>
      </c>
      <c r="K9980" s="135" t="n">
        <f aca="false">$G9980*'Analyse capacite'!$E$7</f>
        <v>0</v>
      </c>
    </row>
    <row r="9981" customFormat="false" ht="15" hidden="false" customHeight="false" outlineLevel="0" collapsed="false">
      <c r="B9981" s="130" t="n">
        <v>2028</v>
      </c>
      <c r="C9981" s="131" t="s">
        <v>255</v>
      </c>
      <c r="D9981" s="132" t="n">
        <v>46755</v>
      </c>
      <c r="E9981" s="131" t="s">
        <v>20</v>
      </c>
      <c r="F9981" s="133" t="s">
        <v>19</v>
      </c>
      <c r="G9981" s="134" t="n">
        <f aca="false">LEN('Saisie programme'!$D$368)+SUMIFS('Vols additionnels'!$E$7:$E$66,'Vols additionnels'!$C$7:$C$66,$E9981,'Vols additionnels'!$D$7:$D$66,$F9981,'Vols additionnels'!$B$7:$B$66,$D9981)</f>
        <v>0</v>
      </c>
      <c r="H9981" s="135" t="n">
        <f aca="false">$G9981*'Analyse capacite'!$F$8</f>
        <v>0</v>
      </c>
      <c r="I9981" s="135" t="n">
        <f aca="false">$G9981*'Analyse capacite'!$C$8</f>
        <v>0</v>
      </c>
      <c r="J9981" s="135" t="n">
        <f aca="false">$G9981*'Analyse capacite'!$D$8</f>
        <v>0</v>
      </c>
      <c r="K9981" s="135" t="n">
        <f aca="false">$G9981*'Analyse capacite'!$E$8</f>
        <v>0</v>
      </c>
    </row>
    <row r="9982" customFormat="false" ht="15" hidden="false" customHeight="false" outlineLevel="0" collapsed="false">
      <c r="B9982" s="130" t="n">
        <v>2028</v>
      </c>
      <c r="C9982" s="131" t="s">
        <v>255</v>
      </c>
      <c r="D9982" s="132" t="n">
        <v>46755</v>
      </c>
      <c r="E9982" s="131" t="s">
        <v>20</v>
      </c>
      <c r="F9982" s="133" t="s">
        <v>24</v>
      </c>
      <c r="G9982" s="134" t="n">
        <f aca="false">LEN('Saisie programme'!$D$369)+SUMIFS('Vols additionnels'!$E$7:$E$66,'Vols additionnels'!$C$7:$C$66,$E9982,'Vols additionnels'!$D$7:$D$66,$F9982,'Vols additionnels'!$B$7:$B$66,$D9982)</f>
        <v>0</v>
      </c>
      <c r="H9982" s="135" t="n">
        <f aca="false">$G9982*'Analyse capacite'!$F$9</f>
        <v>0</v>
      </c>
      <c r="I9982" s="135" t="n">
        <f aca="false">$G9982*'Analyse capacite'!$C$9</f>
        <v>0</v>
      </c>
      <c r="J9982" s="135" t="n">
        <f aca="false">$G9982*'Analyse capacite'!$D$9</f>
        <v>0</v>
      </c>
      <c r="K9982" s="135" t="n">
        <f aca="false">$G9982*'Analyse capacite'!$E$9</f>
        <v>0</v>
      </c>
    </row>
    <row r="9983" customFormat="false" ht="15" hidden="false" customHeight="false" outlineLevel="0" collapsed="false">
      <c r="B9983" s="130" t="n">
        <v>2028</v>
      </c>
      <c r="C9983" s="131" t="s">
        <v>255</v>
      </c>
      <c r="D9983" s="132" t="n">
        <v>46755</v>
      </c>
      <c r="E9983" s="131" t="s">
        <v>25</v>
      </c>
      <c r="F9983" s="133" t="s">
        <v>11</v>
      </c>
      <c r="G9983" s="134" t="n">
        <f aca="false">LEN('Saisie programme'!$D$370)+SUMIFS('Vols additionnels'!$E$7:$E$66,'Vols additionnels'!$C$7:$C$66,$E9983,'Vols additionnels'!$D$7:$D$66,$F9983,'Vols additionnels'!$B$7:$B$66,$D9983)</f>
        <v>0</v>
      </c>
      <c r="H9983" s="135" t="n">
        <f aca="false">$G9983*'Analyse capacite'!$F$7</f>
        <v>0</v>
      </c>
      <c r="I9983" s="135" t="n">
        <f aca="false">$G9983*'Analyse capacite'!$C$7</f>
        <v>0</v>
      </c>
      <c r="J9983" s="135" t="n">
        <f aca="false">$G9983*'Analyse capacite'!$D$7</f>
        <v>0</v>
      </c>
      <c r="K9983" s="135" t="n">
        <f aca="false">$G9983*'Analyse capacite'!$E$7</f>
        <v>0</v>
      </c>
    </row>
    <row r="9984" customFormat="false" ht="15" hidden="false" customHeight="false" outlineLevel="0" collapsed="false">
      <c r="B9984" s="130" t="n">
        <v>2028</v>
      </c>
      <c r="C9984" s="131" t="s">
        <v>255</v>
      </c>
      <c r="D9984" s="132" t="n">
        <v>46755</v>
      </c>
      <c r="E9984" s="131" t="s">
        <v>25</v>
      </c>
      <c r="F9984" s="133" t="s">
        <v>19</v>
      </c>
      <c r="G9984" s="134" t="n">
        <f aca="false">LEN('Saisie programme'!$D$371)+SUMIFS('Vols additionnels'!$E$7:$E$66,'Vols additionnels'!$C$7:$C$66,$E9984,'Vols additionnels'!$D$7:$D$66,$F9984,'Vols additionnels'!$B$7:$B$66,$D9984)</f>
        <v>0</v>
      </c>
      <c r="H9984" s="135" t="n">
        <f aca="false">$G9984*'Analyse capacite'!$F$8</f>
        <v>0</v>
      </c>
      <c r="I9984" s="135" t="n">
        <f aca="false">$G9984*'Analyse capacite'!$C$8</f>
        <v>0</v>
      </c>
      <c r="J9984" s="135" t="n">
        <f aca="false">$G9984*'Analyse capacite'!$D$8</f>
        <v>0</v>
      </c>
      <c r="K9984" s="135" t="n">
        <f aca="false">$G9984*'Analyse capacite'!$E$8</f>
        <v>0</v>
      </c>
    </row>
    <row r="9985" customFormat="false" ht="15" hidden="false" customHeight="false" outlineLevel="0" collapsed="false">
      <c r="B9985" s="130" t="n">
        <v>2028</v>
      </c>
      <c r="C9985" s="131" t="s">
        <v>255</v>
      </c>
      <c r="D9985" s="132" t="n">
        <v>46755</v>
      </c>
      <c r="E9985" s="131" t="s">
        <v>25</v>
      </c>
      <c r="F9985" s="133" t="s">
        <v>24</v>
      </c>
      <c r="G9985" s="134" t="n">
        <f aca="false">LEN('Saisie programme'!$D$372)+SUMIFS('Vols additionnels'!$E$7:$E$66,'Vols additionnels'!$C$7:$C$66,$E9985,'Vols additionnels'!$D$7:$D$66,$F9985,'Vols additionnels'!$B$7:$B$66,$D9985)</f>
        <v>0</v>
      </c>
      <c r="H9985" s="135" t="n">
        <f aca="false">$G9985*'Analyse capacite'!$F$9</f>
        <v>0</v>
      </c>
      <c r="I9985" s="135" t="n">
        <f aca="false">$G9985*'Analyse capacite'!$C$9</f>
        <v>0</v>
      </c>
      <c r="J9985" s="135" t="n">
        <f aca="false">$G9985*'Analyse capacite'!$D$9</f>
        <v>0</v>
      </c>
      <c r="K9985" s="135" t="n">
        <f aca="false">$G9985*'Analyse capacite'!$E$9</f>
        <v>0</v>
      </c>
    </row>
    <row r="9986" customFormat="false" ht="15" hidden="false" customHeight="false" outlineLevel="0" collapsed="false">
      <c r="B9986" s="130" t="n">
        <v>2028</v>
      </c>
      <c r="C9986" s="131" t="s">
        <v>255</v>
      </c>
      <c r="D9986" s="132" t="n">
        <v>46755</v>
      </c>
      <c r="E9986" s="131" t="s">
        <v>36</v>
      </c>
      <c r="F9986" s="133" t="s">
        <v>11</v>
      </c>
      <c r="G9986" s="134" t="n">
        <f aca="false">LEN('Saisie programme'!$D$373)+SUMIFS('Vols additionnels'!$E$7:$E$66,'Vols additionnels'!$C$7:$C$66,$E9986,'Vols additionnels'!$D$7:$D$66,$F9986,'Vols additionnels'!$B$7:$B$66,$D9986)</f>
        <v>0</v>
      </c>
      <c r="H9986" s="135" t="n">
        <f aca="false">$G9986*'Analyse capacite'!$F$7</f>
        <v>0</v>
      </c>
      <c r="I9986" s="135" t="n">
        <f aca="false">$G9986*'Analyse capacite'!$C$7</f>
        <v>0</v>
      </c>
      <c r="J9986" s="135" t="n">
        <f aca="false">$G9986*'Analyse capacite'!$D$7</f>
        <v>0</v>
      </c>
      <c r="K9986" s="135" t="n">
        <f aca="false">$G9986*'Analyse capacite'!$E$7</f>
        <v>0</v>
      </c>
    </row>
    <row r="9987" customFormat="false" ht="15" hidden="false" customHeight="false" outlineLevel="0" collapsed="false">
      <c r="B9987" s="130" t="n">
        <v>2028</v>
      </c>
      <c r="C9987" s="131" t="s">
        <v>255</v>
      </c>
      <c r="D9987" s="132" t="n">
        <v>46755</v>
      </c>
      <c r="E9987" s="131" t="s">
        <v>36</v>
      </c>
      <c r="F9987" s="133" t="s">
        <v>19</v>
      </c>
      <c r="G9987" s="134" t="n">
        <f aca="false">LEN('Saisie programme'!$D$374)+SUMIFS('Vols additionnels'!$E$7:$E$66,'Vols additionnels'!$C$7:$C$66,$E9987,'Vols additionnels'!$D$7:$D$66,$F9987,'Vols additionnels'!$B$7:$B$66,$D9987)</f>
        <v>0</v>
      </c>
      <c r="H9987" s="135" t="n">
        <f aca="false">$G9987*'Analyse capacite'!$F$8</f>
        <v>0</v>
      </c>
      <c r="I9987" s="135" t="n">
        <f aca="false">$G9987*'Analyse capacite'!$C$8</f>
        <v>0</v>
      </c>
      <c r="J9987" s="135" t="n">
        <f aca="false">$G9987*'Analyse capacite'!$D$8</f>
        <v>0</v>
      </c>
      <c r="K9987" s="135" t="n">
        <f aca="false">$G9987*'Analyse capacite'!$E$8</f>
        <v>0</v>
      </c>
    </row>
    <row r="9988" customFormat="false" ht="15" hidden="false" customHeight="false" outlineLevel="0" collapsed="false">
      <c r="B9988" s="130" t="n">
        <v>2028</v>
      </c>
      <c r="C9988" s="131" t="s">
        <v>255</v>
      </c>
      <c r="D9988" s="132" t="n">
        <v>46755</v>
      </c>
      <c r="E9988" s="131" t="s">
        <v>36</v>
      </c>
      <c r="F9988" s="133" t="s">
        <v>24</v>
      </c>
      <c r="G9988" s="134" t="n">
        <f aca="false">LEN('Saisie programme'!$D$375)+SUMIFS('Vols additionnels'!$E$7:$E$66,'Vols additionnels'!$C$7:$C$66,$E9988,'Vols additionnels'!$D$7:$D$66,$F9988,'Vols additionnels'!$B$7:$B$66,$D9988)</f>
        <v>1</v>
      </c>
      <c r="H9988" s="135" t="n">
        <f aca="false">$G9988*'Analyse capacite'!$F$9</f>
        <v>174</v>
      </c>
      <c r="I9988" s="135" t="n">
        <f aca="false">$G9988*'Analyse capacite'!$C$9</f>
        <v>0</v>
      </c>
      <c r="J9988" s="135" t="n">
        <f aca="false">$G9988*'Analyse capacite'!$D$9</f>
        <v>12</v>
      </c>
      <c r="K9988" s="135" t="n">
        <f aca="false">$G9988*'Analyse capacite'!$E$9</f>
        <v>162</v>
      </c>
    </row>
    <row r="9989" customFormat="false" ht="15" hidden="false" customHeight="false" outlineLevel="0" collapsed="false">
      <c r="B9989" s="130" t="n">
        <v>2028</v>
      </c>
      <c r="C9989" s="131" t="s">
        <v>255</v>
      </c>
      <c r="D9989" s="132" t="n">
        <v>46755</v>
      </c>
      <c r="E9989" s="131" t="s">
        <v>40</v>
      </c>
      <c r="F9989" s="133" t="s">
        <v>11</v>
      </c>
      <c r="G9989" s="134" t="n">
        <f aca="false">LEN('Saisie programme'!$D$376)+SUMIFS('Vols additionnels'!$E$7:$E$66,'Vols additionnels'!$C$7:$C$66,$E9989,'Vols additionnels'!$D$7:$D$66,$F9989,'Vols additionnels'!$B$7:$B$66,$D9989)</f>
        <v>0</v>
      </c>
      <c r="H9989" s="135" t="n">
        <f aca="false">$G9989*'Analyse capacite'!$F$7</f>
        <v>0</v>
      </c>
      <c r="I9989" s="135" t="n">
        <f aca="false">$G9989*'Analyse capacite'!$C$7</f>
        <v>0</v>
      </c>
      <c r="J9989" s="135" t="n">
        <f aca="false">$G9989*'Analyse capacite'!$D$7</f>
        <v>0</v>
      </c>
      <c r="K9989" s="135" t="n">
        <f aca="false">$G9989*'Analyse capacite'!$E$7</f>
        <v>0</v>
      </c>
    </row>
    <row r="9990" customFormat="false" ht="15" hidden="false" customHeight="false" outlineLevel="0" collapsed="false">
      <c r="B9990" s="130" t="n">
        <v>2028</v>
      </c>
      <c r="C9990" s="131" t="s">
        <v>255</v>
      </c>
      <c r="D9990" s="132" t="n">
        <v>46755</v>
      </c>
      <c r="E9990" s="131" t="s">
        <v>40</v>
      </c>
      <c r="F9990" s="133" t="s">
        <v>19</v>
      </c>
      <c r="G9990" s="134" t="n">
        <f aca="false">LEN('Saisie programme'!$D$377)+SUMIFS('Vols additionnels'!$E$7:$E$66,'Vols additionnels'!$C$7:$C$66,$E9990,'Vols additionnels'!$D$7:$D$66,$F9990,'Vols additionnels'!$B$7:$B$66,$D9990)</f>
        <v>0</v>
      </c>
      <c r="H9990" s="135" t="n">
        <f aca="false">$G9990*'Analyse capacite'!$F$8</f>
        <v>0</v>
      </c>
      <c r="I9990" s="135" t="n">
        <f aca="false">$G9990*'Analyse capacite'!$C$8</f>
        <v>0</v>
      </c>
      <c r="J9990" s="135" t="n">
        <f aca="false">$G9990*'Analyse capacite'!$D$8</f>
        <v>0</v>
      </c>
      <c r="K9990" s="135" t="n">
        <f aca="false">$G9990*'Analyse capacite'!$E$8</f>
        <v>0</v>
      </c>
    </row>
    <row r="9991" customFormat="false" ht="15" hidden="false" customHeight="false" outlineLevel="0" collapsed="false">
      <c r="B9991" s="130" t="n">
        <v>2028</v>
      </c>
      <c r="C9991" s="131" t="s">
        <v>255</v>
      </c>
      <c r="D9991" s="132" t="n">
        <v>46755</v>
      </c>
      <c r="E9991" s="131" t="s">
        <v>40</v>
      </c>
      <c r="F9991" s="133" t="s">
        <v>24</v>
      </c>
      <c r="G9991" s="134" t="n">
        <f aca="false">LEN('Saisie programme'!$D$378)+SUMIFS('Vols additionnels'!$E$7:$E$66,'Vols additionnels'!$C$7:$C$66,$E9991,'Vols additionnels'!$D$7:$D$66,$F9991,'Vols additionnels'!$B$7:$B$66,$D9991)</f>
        <v>1</v>
      </c>
      <c r="H9991" s="135" t="n">
        <f aca="false">$G9991*'Analyse capacite'!$F$9</f>
        <v>174</v>
      </c>
      <c r="I9991" s="135" t="n">
        <f aca="false">$G9991*'Analyse capacite'!$C$9</f>
        <v>0</v>
      </c>
      <c r="J9991" s="135" t="n">
        <f aca="false">$G9991*'Analyse capacite'!$D$9</f>
        <v>12</v>
      </c>
      <c r="K9991" s="135" t="n">
        <f aca="false">$G9991*'Analyse capacite'!$E$9</f>
        <v>162</v>
      </c>
    </row>
    <row r="9992" customFormat="false" ht="15" hidden="false" customHeight="false" outlineLevel="0" collapsed="false">
      <c r="B9992" s="130" t="n">
        <v>2028</v>
      </c>
      <c r="C9992" s="131" t="s">
        <v>255</v>
      </c>
      <c r="D9992" s="132" t="n">
        <v>46755</v>
      </c>
      <c r="E9992" s="131" t="s">
        <v>14</v>
      </c>
      <c r="F9992" s="133" t="s">
        <v>11</v>
      </c>
      <c r="G9992" s="134" t="n">
        <f aca="false">LEN('Saisie programme'!$D$379)+SUMIFS('Vols additionnels'!$E$7:$E$66,'Vols additionnels'!$C$7:$C$66,$E9992,'Vols additionnels'!$D$7:$D$66,$F9992,'Vols additionnels'!$B$7:$B$66,$D9992)</f>
        <v>0</v>
      </c>
      <c r="H9992" s="135" t="n">
        <f aca="false">$G9992*'Analyse capacite'!$F$7</f>
        <v>0</v>
      </c>
      <c r="I9992" s="135" t="n">
        <f aca="false">$G9992*'Analyse capacite'!$C$7</f>
        <v>0</v>
      </c>
      <c r="J9992" s="135" t="n">
        <f aca="false">$G9992*'Analyse capacite'!$D$7</f>
        <v>0</v>
      </c>
      <c r="K9992" s="135" t="n">
        <f aca="false">$G9992*'Analyse capacite'!$E$7</f>
        <v>0</v>
      </c>
    </row>
    <row r="9993" customFormat="false" ht="15" hidden="false" customHeight="false" outlineLevel="0" collapsed="false">
      <c r="B9993" s="130" t="n">
        <v>2028</v>
      </c>
      <c r="C9993" s="131" t="s">
        <v>255</v>
      </c>
      <c r="D9993" s="132" t="n">
        <v>46755</v>
      </c>
      <c r="E9993" s="131" t="s">
        <v>14</v>
      </c>
      <c r="F9993" s="133" t="s">
        <v>19</v>
      </c>
      <c r="G9993" s="134" t="n">
        <f aca="false">LEN('Saisie programme'!$D$380)+SUMIFS('Vols additionnels'!$E$7:$E$66,'Vols additionnels'!$C$7:$C$66,$E9993,'Vols additionnels'!$D$7:$D$66,$F9993,'Vols additionnels'!$B$7:$B$66,$D9993)</f>
        <v>0</v>
      </c>
      <c r="H9993" s="135" t="n">
        <f aca="false">$G9993*'Analyse capacite'!$F$8</f>
        <v>0</v>
      </c>
      <c r="I9993" s="135" t="n">
        <f aca="false">$G9993*'Analyse capacite'!$C$8</f>
        <v>0</v>
      </c>
      <c r="J9993" s="135" t="n">
        <f aca="false">$G9993*'Analyse capacite'!$D$8</f>
        <v>0</v>
      </c>
      <c r="K9993" s="135" t="n">
        <f aca="false">$G9993*'Analyse capacite'!$E$8</f>
        <v>0</v>
      </c>
    </row>
    <row r="9994" customFormat="false" ht="15" hidden="false" customHeight="false" outlineLevel="0" collapsed="false">
      <c r="B9994" s="130" t="n">
        <v>2028</v>
      </c>
      <c r="C9994" s="131" t="s">
        <v>255</v>
      </c>
      <c r="D9994" s="132" t="n">
        <v>46755</v>
      </c>
      <c r="E9994" s="131" t="s">
        <v>14</v>
      </c>
      <c r="F9994" s="133" t="s">
        <v>24</v>
      </c>
      <c r="G9994" s="134" t="n">
        <f aca="false">LEN('Saisie programme'!$D$381)+SUMIFS('Vols additionnels'!$E$7:$E$66,'Vols additionnels'!$C$7:$C$66,$E9994,'Vols additionnels'!$D$7:$D$66,$F9994,'Vols additionnels'!$B$7:$B$66,$D9994)</f>
        <v>1</v>
      </c>
      <c r="H9994" s="135" t="n">
        <f aca="false">$G9994*'Analyse capacite'!$F$9</f>
        <v>174</v>
      </c>
      <c r="I9994" s="135" t="n">
        <f aca="false">$G9994*'Analyse capacite'!$C$9</f>
        <v>0</v>
      </c>
      <c r="J9994" s="135" t="n">
        <f aca="false">$G9994*'Analyse capacite'!$D$9</f>
        <v>12</v>
      </c>
      <c r="K9994" s="135" t="n">
        <f aca="false">$G9994*'Analyse capacite'!$E$9</f>
        <v>162</v>
      </c>
    </row>
    <row r="9995" customFormat="false" ht="15" hidden="false" customHeight="false" outlineLevel="0" collapsed="false">
      <c r="B9995" s="130" t="n">
        <v>2028</v>
      </c>
      <c r="C9995" s="131" t="s">
        <v>255</v>
      </c>
      <c r="D9995" s="132" t="n">
        <v>46755</v>
      </c>
      <c r="E9995" s="131" t="s">
        <v>46</v>
      </c>
      <c r="F9995" s="133" t="s">
        <v>11</v>
      </c>
      <c r="G9995" s="134" t="n">
        <f aca="false">LEN('Saisie programme'!$D$382)+SUMIFS('Vols additionnels'!$E$7:$E$66,'Vols additionnels'!$C$7:$C$66,$E9995,'Vols additionnels'!$D$7:$D$66,$F9995,'Vols additionnels'!$B$7:$B$66,$D9995)</f>
        <v>0</v>
      </c>
      <c r="H9995" s="135" t="n">
        <f aca="false">$G9995*'Analyse capacite'!$F$7</f>
        <v>0</v>
      </c>
      <c r="I9995" s="135" t="n">
        <f aca="false">$G9995*'Analyse capacite'!$C$7</f>
        <v>0</v>
      </c>
      <c r="J9995" s="135" t="n">
        <f aca="false">$G9995*'Analyse capacite'!$D$7</f>
        <v>0</v>
      </c>
      <c r="K9995" s="135" t="n">
        <f aca="false">$G9995*'Analyse capacite'!$E$7</f>
        <v>0</v>
      </c>
    </row>
    <row r="9996" customFormat="false" ht="15" hidden="false" customHeight="false" outlineLevel="0" collapsed="false">
      <c r="B9996" s="130" t="n">
        <v>2028</v>
      </c>
      <c r="C9996" s="131" t="s">
        <v>255</v>
      </c>
      <c r="D9996" s="132" t="n">
        <v>46755</v>
      </c>
      <c r="E9996" s="131" t="s">
        <v>46</v>
      </c>
      <c r="F9996" s="133" t="s">
        <v>19</v>
      </c>
      <c r="G9996" s="134" t="n">
        <f aca="false">LEN('Saisie programme'!$D$383)+SUMIFS('Vols additionnels'!$E$7:$E$66,'Vols additionnels'!$C$7:$C$66,$E9996,'Vols additionnels'!$D$7:$D$66,$F9996,'Vols additionnels'!$B$7:$B$66,$D9996)</f>
        <v>0</v>
      </c>
      <c r="H9996" s="135" t="n">
        <f aca="false">$G9996*'Analyse capacite'!$F$8</f>
        <v>0</v>
      </c>
      <c r="I9996" s="135" t="n">
        <f aca="false">$G9996*'Analyse capacite'!$C$8</f>
        <v>0</v>
      </c>
      <c r="J9996" s="135" t="n">
        <f aca="false">$G9996*'Analyse capacite'!$D$8</f>
        <v>0</v>
      </c>
      <c r="K9996" s="135" t="n">
        <f aca="false">$G9996*'Analyse capacite'!$E$8</f>
        <v>0</v>
      </c>
    </row>
    <row r="9997" customFormat="false" ht="15" hidden="false" customHeight="false" outlineLevel="0" collapsed="false">
      <c r="B9997" s="130" t="n">
        <v>2028</v>
      </c>
      <c r="C9997" s="131" t="s">
        <v>255</v>
      </c>
      <c r="D9997" s="132" t="n">
        <v>46755</v>
      </c>
      <c r="E9997" s="131" t="s">
        <v>46</v>
      </c>
      <c r="F9997" s="133" t="s">
        <v>24</v>
      </c>
      <c r="G9997" s="134" t="n">
        <f aca="false">LEN('Saisie programme'!$D$384)+SUMIFS('Vols additionnels'!$E$7:$E$66,'Vols additionnels'!$C$7:$C$66,$E9997,'Vols additionnels'!$D$7:$D$66,$F9997,'Vols additionnels'!$B$7:$B$66,$D9997)</f>
        <v>0</v>
      </c>
      <c r="H9997" s="135" t="n">
        <f aca="false">$G9997*'Analyse capacite'!$F$9</f>
        <v>0</v>
      </c>
      <c r="I9997" s="135" t="n">
        <f aca="false">$G9997*'Analyse capacite'!$C$9</f>
        <v>0</v>
      </c>
      <c r="J9997" s="135" t="n">
        <f aca="false">$G9997*'Analyse capacite'!$D$9</f>
        <v>0</v>
      </c>
      <c r="K9997" s="135" t="n">
        <f aca="false">$G9997*'Analyse capacite'!$E$9</f>
        <v>0</v>
      </c>
    </row>
    <row r="9998" customFormat="false" ht="15" hidden="false" customHeight="false" outlineLevel="0" collapsed="false">
      <c r="B9998" s="130" t="n">
        <v>2028</v>
      </c>
      <c r="C9998" s="131" t="s">
        <v>255</v>
      </c>
      <c r="D9998" s="132" t="n">
        <v>46755</v>
      </c>
      <c r="E9998" s="131" t="s">
        <v>49</v>
      </c>
      <c r="F9998" s="133" t="s">
        <v>11</v>
      </c>
      <c r="G9998" s="134" t="n">
        <f aca="false">LEN('Saisie programme'!$D$385)+SUMIFS('Vols additionnels'!$E$7:$E$66,'Vols additionnels'!$C$7:$C$66,$E9998,'Vols additionnels'!$D$7:$D$66,$F9998,'Vols additionnels'!$B$7:$B$66,$D9998)</f>
        <v>0</v>
      </c>
      <c r="H9998" s="135" t="n">
        <f aca="false">$G9998*'Analyse capacite'!$F$7</f>
        <v>0</v>
      </c>
      <c r="I9998" s="135" t="n">
        <f aca="false">$G9998*'Analyse capacite'!$C$7</f>
        <v>0</v>
      </c>
      <c r="J9998" s="135" t="n">
        <f aca="false">$G9998*'Analyse capacite'!$D$7</f>
        <v>0</v>
      </c>
      <c r="K9998" s="135" t="n">
        <f aca="false">$G9998*'Analyse capacite'!$E$7</f>
        <v>0</v>
      </c>
    </row>
    <row r="9999" customFormat="false" ht="15" hidden="false" customHeight="false" outlineLevel="0" collapsed="false">
      <c r="B9999" s="130" t="n">
        <v>2028</v>
      </c>
      <c r="C9999" s="131" t="s">
        <v>255</v>
      </c>
      <c r="D9999" s="132" t="n">
        <v>46755</v>
      </c>
      <c r="E9999" s="131" t="s">
        <v>49</v>
      </c>
      <c r="F9999" s="133" t="s">
        <v>19</v>
      </c>
      <c r="G9999" s="134" t="n">
        <f aca="false">LEN('Saisie programme'!$D$386)+SUMIFS('Vols additionnels'!$E$7:$E$66,'Vols additionnels'!$C$7:$C$66,$E9999,'Vols additionnels'!$D$7:$D$66,$F9999,'Vols additionnels'!$B$7:$B$66,$D9999)</f>
        <v>1</v>
      </c>
      <c r="H9999" s="135" t="n">
        <f aca="false">$G9999*'Analyse capacite'!$F$8</f>
        <v>262</v>
      </c>
      <c r="I9999" s="135" t="n">
        <f aca="false">$G9999*'Analyse capacite'!$C$8</f>
        <v>18</v>
      </c>
      <c r="J9999" s="135" t="n">
        <f aca="false">$G9999*'Analyse capacite'!$D$8</f>
        <v>0</v>
      </c>
      <c r="K9999" s="135" t="n">
        <f aca="false">$G9999*'Analyse capacite'!$E$8</f>
        <v>244</v>
      </c>
    </row>
    <row r="10000" customFormat="false" ht="15" hidden="false" customHeight="false" outlineLevel="0" collapsed="false">
      <c r="B10000" s="130" t="n">
        <v>2028</v>
      </c>
      <c r="C10000" s="131" t="s">
        <v>255</v>
      </c>
      <c r="D10000" s="132" t="n">
        <v>46755</v>
      </c>
      <c r="E10000" s="131" t="s">
        <v>49</v>
      </c>
      <c r="F10000" s="133" t="s">
        <v>24</v>
      </c>
      <c r="G10000" s="134" t="n">
        <f aca="false">LEN('Saisie programme'!$D$387)+SUMIFS('Vols additionnels'!$E$7:$E$66,'Vols additionnels'!$C$7:$C$66,$E10000,'Vols additionnels'!$D$7:$D$66,$F10000,'Vols additionnels'!$B$7:$B$66,$D10000)</f>
        <v>0</v>
      </c>
      <c r="H10000" s="135" t="n">
        <f aca="false">$G10000*'Analyse capacite'!$F$9</f>
        <v>0</v>
      </c>
      <c r="I10000" s="135" t="n">
        <f aca="false">$G10000*'Analyse capacite'!$C$9</f>
        <v>0</v>
      </c>
      <c r="J10000" s="135" t="n">
        <f aca="false">$G10000*'Analyse capacite'!$D$9</f>
        <v>0</v>
      </c>
      <c r="K10000" s="135" t="n">
        <f aca="false">$G10000*'Analyse capacite'!$E$9</f>
        <v>0</v>
      </c>
    </row>
    <row r="10001" customFormat="false" ht="15" hidden="false" customHeight="false" outlineLevel="0" collapsed="false">
      <c r="B10001" s="130" t="n">
        <v>2028</v>
      </c>
      <c r="C10001" s="131" t="s">
        <v>255</v>
      </c>
      <c r="D10001" s="132" t="n">
        <v>46755</v>
      </c>
      <c r="E10001" s="131" t="s">
        <v>53</v>
      </c>
      <c r="F10001" s="133" t="s">
        <v>11</v>
      </c>
      <c r="G10001" s="134" t="n">
        <f aca="false">LEN('Saisie programme'!$D$388)+SUMIFS('Vols additionnels'!$E$7:$E$66,'Vols additionnels'!$C$7:$C$66,$E10001,'Vols additionnels'!$D$7:$D$66,$F10001,'Vols additionnels'!$B$7:$B$66,$D10001)</f>
        <v>0</v>
      </c>
      <c r="H10001" s="135" t="n">
        <f aca="false">$G10001*'Analyse capacite'!$F$7</f>
        <v>0</v>
      </c>
      <c r="I10001" s="135" t="n">
        <f aca="false">$G10001*'Analyse capacite'!$C$7</f>
        <v>0</v>
      </c>
      <c r="J10001" s="135" t="n">
        <f aca="false">$G10001*'Analyse capacite'!$D$7</f>
        <v>0</v>
      </c>
      <c r="K10001" s="135" t="n">
        <f aca="false">$G10001*'Analyse capacite'!$E$7</f>
        <v>0</v>
      </c>
    </row>
    <row r="10002" customFormat="false" ht="15" hidden="false" customHeight="false" outlineLevel="0" collapsed="false">
      <c r="B10002" s="130" t="n">
        <v>2028</v>
      </c>
      <c r="C10002" s="131" t="s">
        <v>255</v>
      </c>
      <c r="D10002" s="132" t="n">
        <v>46755</v>
      </c>
      <c r="E10002" s="131" t="s">
        <v>53</v>
      </c>
      <c r="F10002" s="133" t="s">
        <v>19</v>
      </c>
      <c r="G10002" s="134" t="n">
        <f aca="false">LEN('Saisie programme'!$D$389)+SUMIFS('Vols additionnels'!$E$7:$E$66,'Vols additionnels'!$C$7:$C$66,$E10002,'Vols additionnels'!$D$7:$D$66,$F10002,'Vols additionnels'!$B$7:$B$66,$D10002)</f>
        <v>0</v>
      </c>
      <c r="H10002" s="135" t="n">
        <f aca="false">$G10002*'Analyse capacite'!$F$8</f>
        <v>0</v>
      </c>
      <c r="I10002" s="135" t="n">
        <f aca="false">$G10002*'Analyse capacite'!$C$8</f>
        <v>0</v>
      </c>
      <c r="J10002" s="135" t="n">
        <f aca="false">$G10002*'Analyse capacite'!$D$8</f>
        <v>0</v>
      </c>
      <c r="K10002" s="135" t="n">
        <f aca="false">$G10002*'Analyse capacite'!$E$8</f>
        <v>0</v>
      </c>
    </row>
    <row r="10003" customFormat="false" ht="15" hidden="false" customHeight="false" outlineLevel="0" collapsed="false">
      <c r="B10003" s="130" t="n">
        <v>2028</v>
      </c>
      <c r="C10003" s="131" t="s">
        <v>255</v>
      </c>
      <c r="D10003" s="132" t="n">
        <v>46755</v>
      </c>
      <c r="E10003" s="131" t="s">
        <v>53</v>
      </c>
      <c r="F10003" s="133" t="s">
        <v>24</v>
      </c>
      <c r="G10003" s="134" t="n">
        <f aca="false">LEN('Saisie programme'!$D$390)+SUMIFS('Vols additionnels'!$E$7:$E$66,'Vols additionnels'!$C$7:$C$66,$E10003,'Vols additionnels'!$D$7:$D$66,$F10003,'Vols additionnels'!$B$7:$B$66,$D10003)</f>
        <v>0</v>
      </c>
      <c r="H10003" s="135" t="n">
        <f aca="false">$G10003*'Analyse capacite'!$F$9</f>
        <v>0</v>
      </c>
      <c r="I10003" s="135" t="n">
        <f aca="false">$G10003*'Analyse capacite'!$C$9</f>
        <v>0</v>
      </c>
      <c r="J10003" s="135" t="n">
        <f aca="false">$G10003*'Analyse capacite'!$D$9</f>
        <v>0</v>
      </c>
      <c r="K10003" s="135" t="n">
        <f aca="false">$G10003*'Analyse capacite'!$E$9</f>
        <v>0</v>
      </c>
    </row>
    <row r="10004" customFormat="false" ht="15" hidden="false" customHeight="false" outlineLevel="0" collapsed="false">
      <c r="B10004" s="130" t="n">
        <v>2028</v>
      </c>
      <c r="C10004" s="131" t="s">
        <v>255</v>
      </c>
      <c r="D10004" s="132" t="n">
        <v>46755</v>
      </c>
      <c r="E10004" s="131" t="s">
        <v>56</v>
      </c>
      <c r="F10004" s="133" t="s">
        <v>11</v>
      </c>
      <c r="G10004" s="134" t="n">
        <f aca="false">LEN('Saisie programme'!$D$391)+SUMIFS('Vols additionnels'!$E$7:$E$66,'Vols additionnels'!$C$7:$C$66,$E10004,'Vols additionnels'!$D$7:$D$66,$F10004,'Vols additionnels'!$B$7:$B$66,$D10004)</f>
        <v>0</v>
      </c>
      <c r="H10004" s="135" t="n">
        <f aca="false">$G10004*'Analyse capacite'!$F$7</f>
        <v>0</v>
      </c>
      <c r="I10004" s="135" t="n">
        <f aca="false">$G10004*'Analyse capacite'!$C$7</f>
        <v>0</v>
      </c>
      <c r="J10004" s="135" t="n">
        <f aca="false">$G10004*'Analyse capacite'!$D$7</f>
        <v>0</v>
      </c>
      <c r="K10004" s="135" t="n">
        <f aca="false">$G10004*'Analyse capacite'!$E$7</f>
        <v>0</v>
      </c>
    </row>
    <row r="10005" customFormat="false" ht="15" hidden="false" customHeight="false" outlineLevel="0" collapsed="false">
      <c r="B10005" s="130" t="n">
        <v>2028</v>
      </c>
      <c r="C10005" s="131" t="s">
        <v>255</v>
      </c>
      <c r="D10005" s="132" t="n">
        <v>46755</v>
      </c>
      <c r="E10005" s="131" t="s">
        <v>56</v>
      </c>
      <c r="F10005" s="133" t="s">
        <v>19</v>
      </c>
      <c r="G10005" s="134" t="n">
        <f aca="false">LEN('Saisie programme'!$D$392)+SUMIFS('Vols additionnels'!$E$7:$E$66,'Vols additionnels'!$C$7:$C$66,$E10005,'Vols additionnels'!$D$7:$D$66,$F10005,'Vols additionnels'!$B$7:$B$66,$D10005)</f>
        <v>0</v>
      </c>
      <c r="H10005" s="135" t="n">
        <f aca="false">$G10005*'Analyse capacite'!$F$8</f>
        <v>0</v>
      </c>
      <c r="I10005" s="135" t="n">
        <f aca="false">$G10005*'Analyse capacite'!$C$8</f>
        <v>0</v>
      </c>
      <c r="J10005" s="135" t="n">
        <f aca="false">$G10005*'Analyse capacite'!$D$8</f>
        <v>0</v>
      </c>
      <c r="K10005" s="135" t="n">
        <f aca="false">$G10005*'Analyse capacite'!$E$8</f>
        <v>0</v>
      </c>
    </row>
    <row r="10006" customFormat="false" ht="15" hidden="false" customHeight="false" outlineLevel="0" collapsed="false">
      <c r="B10006" s="130" t="n">
        <v>2028</v>
      </c>
      <c r="C10006" s="131" t="s">
        <v>255</v>
      </c>
      <c r="D10006" s="132" t="n">
        <v>46755</v>
      </c>
      <c r="E10006" s="131" t="s">
        <v>56</v>
      </c>
      <c r="F10006" s="133" t="s">
        <v>24</v>
      </c>
      <c r="G10006" s="134" t="n">
        <f aca="false">LEN('Saisie programme'!$D$393)+SUMIFS('Vols additionnels'!$E$7:$E$66,'Vols additionnels'!$C$7:$C$66,$E10006,'Vols additionnels'!$D$7:$D$66,$F10006,'Vols additionnels'!$B$7:$B$66,$D10006)</f>
        <v>0</v>
      </c>
      <c r="H10006" s="135" t="n">
        <f aca="false">$G10006*'Analyse capacite'!$F$9</f>
        <v>0</v>
      </c>
      <c r="I10006" s="135" t="n">
        <f aca="false">$G10006*'Analyse capacite'!$C$9</f>
        <v>0</v>
      </c>
      <c r="J10006" s="135" t="n">
        <f aca="false">$G10006*'Analyse capacite'!$D$9</f>
        <v>0</v>
      </c>
      <c r="K10006" s="135" t="n">
        <f aca="false">$G10006*'Analyse capacite'!$E$9</f>
        <v>0</v>
      </c>
    </row>
    <row r="10007" customFormat="false" ht="15" hidden="false" customHeight="false" outlineLevel="0" collapsed="false">
      <c r="B10007" s="130" t="n">
        <v>2028</v>
      </c>
      <c r="C10007" s="131" t="s">
        <v>255</v>
      </c>
      <c r="D10007" s="132" t="n">
        <v>46755</v>
      </c>
      <c r="E10007" s="131" t="s">
        <v>59</v>
      </c>
      <c r="F10007" s="133" t="s">
        <v>11</v>
      </c>
      <c r="G10007" s="134" t="n">
        <f aca="false">LEN('Saisie programme'!$D$394)+SUMIFS('Vols additionnels'!$E$7:$E$66,'Vols additionnels'!$C$7:$C$66,$E10007,'Vols additionnels'!$D$7:$D$66,$F10007,'Vols additionnels'!$B$7:$B$66,$D10007)</f>
        <v>0</v>
      </c>
      <c r="H10007" s="135" t="n">
        <f aca="false">$G10007*'Analyse capacite'!$F$7</f>
        <v>0</v>
      </c>
      <c r="I10007" s="135" t="n">
        <f aca="false">$G10007*'Analyse capacite'!$C$7</f>
        <v>0</v>
      </c>
      <c r="J10007" s="135" t="n">
        <f aca="false">$G10007*'Analyse capacite'!$D$7</f>
        <v>0</v>
      </c>
      <c r="K10007" s="135" t="n">
        <f aca="false">$G10007*'Analyse capacite'!$E$7</f>
        <v>0</v>
      </c>
    </row>
    <row r="10008" customFormat="false" ht="15" hidden="false" customHeight="false" outlineLevel="0" collapsed="false">
      <c r="B10008" s="130" t="n">
        <v>2028</v>
      </c>
      <c r="C10008" s="131" t="s">
        <v>255</v>
      </c>
      <c r="D10008" s="132" t="n">
        <v>46755</v>
      </c>
      <c r="E10008" s="131" t="s">
        <v>59</v>
      </c>
      <c r="F10008" s="133" t="s">
        <v>19</v>
      </c>
      <c r="G10008" s="134" t="n">
        <f aca="false">LEN('Saisie programme'!$D$395)+SUMIFS('Vols additionnels'!$E$7:$E$66,'Vols additionnels'!$C$7:$C$66,$E10008,'Vols additionnels'!$D$7:$D$66,$F10008,'Vols additionnels'!$B$7:$B$66,$D10008)</f>
        <v>0</v>
      </c>
      <c r="H10008" s="135" t="n">
        <f aca="false">$G10008*'Analyse capacite'!$F$8</f>
        <v>0</v>
      </c>
      <c r="I10008" s="135" t="n">
        <f aca="false">$G10008*'Analyse capacite'!$C$8</f>
        <v>0</v>
      </c>
      <c r="J10008" s="135" t="n">
        <f aca="false">$G10008*'Analyse capacite'!$D$8</f>
        <v>0</v>
      </c>
      <c r="K10008" s="135" t="n">
        <f aca="false">$G10008*'Analyse capacite'!$E$8</f>
        <v>0</v>
      </c>
    </row>
    <row r="10009" customFormat="false" ht="15" hidden="false" customHeight="false" outlineLevel="0" collapsed="false">
      <c r="B10009" s="130" t="n">
        <v>2028</v>
      </c>
      <c r="C10009" s="131" t="s">
        <v>255</v>
      </c>
      <c r="D10009" s="132" t="n">
        <v>46755</v>
      </c>
      <c r="E10009" s="131" t="s">
        <v>59</v>
      </c>
      <c r="F10009" s="133" t="s">
        <v>24</v>
      </c>
      <c r="G10009" s="134" t="n">
        <f aca="false">LEN('Saisie programme'!$D$396)+SUMIFS('Vols additionnels'!$E$7:$E$66,'Vols additionnels'!$C$7:$C$66,$E10009,'Vols additionnels'!$D$7:$D$66,$F10009,'Vols additionnels'!$B$7:$B$66,$D10009)</f>
        <v>1</v>
      </c>
      <c r="H10009" s="135" t="n">
        <f aca="false">$G10009*'Analyse capacite'!$F$9</f>
        <v>174</v>
      </c>
      <c r="I10009" s="135" t="n">
        <f aca="false">$G10009*'Analyse capacite'!$C$9</f>
        <v>0</v>
      </c>
      <c r="J10009" s="135" t="n">
        <f aca="false">$G10009*'Analyse capacite'!$D$9</f>
        <v>12</v>
      </c>
      <c r="K10009" s="135" t="n">
        <f aca="false">$G10009*'Analyse capacite'!$E$9</f>
        <v>162</v>
      </c>
    </row>
    <row r="10010" customFormat="false" ht="15" hidden="false" customHeight="false" outlineLevel="0" collapsed="false">
      <c r="B10010" s="130" t="n">
        <v>2028</v>
      </c>
      <c r="C10010" s="131" t="s">
        <v>255</v>
      </c>
      <c r="D10010" s="132" t="n">
        <v>46755</v>
      </c>
      <c r="E10010" s="131" t="s">
        <v>62</v>
      </c>
      <c r="F10010" s="133" t="s">
        <v>11</v>
      </c>
      <c r="G10010" s="134" t="n">
        <f aca="false">LEN('Saisie programme'!$D$397)+SUMIFS('Vols additionnels'!$E$7:$E$66,'Vols additionnels'!$C$7:$C$66,$E10010,'Vols additionnels'!$D$7:$D$66,$F10010,'Vols additionnels'!$B$7:$B$66,$D10010)</f>
        <v>0</v>
      </c>
      <c r="H10010" s="135" t="n">
        <f aca="false">$G10010*'Analyse capacite'!$F$7</f>
        <v>0</v>
      </c>
      <c r="I10010" s="135" t="n">
        <f aca="false">$G10010*'Analyse capacite'!$C$7</f>
        <v>0</v>
      </c>
      <c r="J10010" s="135" t="n">
        <f aca="false">$G10010*'Analyse capacite'!$D$7</f>
        <v>0</v>
      </c>
      <c r="K10010" s="135" t="n">
        <f aca="false">$G10010*'Analyse capacite'!$E$7</f>
        <v>0</v>
      </c>
    </row>
    <row r="10011" customFormat="false" ht="15" hidden="false" customHeight="false" outlineLevel="0" collapsed="false">
      <c r="B10011" s="130" t="n">
        <v>2028</v>
      </c>
      <c r="C10011" s="131" t="s">
        <v>255</v>
      </c>
      <c r="D10011" s="132" t="n">
        <v>46755</v>
      </c>
      <c r="E10011" s="131" t="s">
        <v>62</v>
      </c>
      <c r="F10011" s="133" t="s">
        <v>19</v>
      </c>
      <c r="G10011" s="134" t="n">
        <f aca="false">LEN('Saisie programme'!$D$398)+SUMIFS('Vols additionnels'!$E$7:$E$66,'Vols additionnels'!$C$7:$C$66,$E10011,'Vols additionnels'!$D$7:$D$66,$F10011,'Vols additionnels'!$B$7:$B$66,$D10011)</f>
        <v>0</v>
      </c>
      <c r="H10011" s="135" t="n">
        <f aca="false">$G10011*'Analyse capacite'!$F$8</f>
        <v>0</v>
      </c>
      <c r="I10011" s="135" t="n">
        <f aca="false">$G10011*'Analyse capacite'!$C$8</f>
        <v>0</v>
      </c>
      <c r="J10011" s="135" t="n">
        <f aca="false">$G10011*'Analyse capacite'!$D$8</f>
        <v>0</v>
      </c>
      <c r="K10011" s="135" t="n">
        <f aca="false">$G10011*'Analyse capacite'!$E$8</f>
        <v>0</v>
      </c>
    </row>
    <row r="10012" customFormat="false" ht="15" hidden="false" customHeight="false" outlineLevel="0" collapsed="false">
      <c r="B10012" s="130" t="n">
        <v>2028</v>
      </c>
      <c r="C10012" s="131" t="s">
        <v>255</v>
      </c>
      <c r="D10012" s="132" t="n">
        <v>46755</v>
      </c>
      <c r="E10012" s="131" t="s">
        <v>62</v>
      </c>
      <c r="F10012" s="133" t="s">
        <v>24</v>
      </c>
      <c r="G10012" s="134" t="n">
        <f aca="false">LEN('Saisie programme'!$D$399)+SUMIFS('Vols additionnels'!$E$7:$E$66,'Vols additionnels'!$C$7:$C$66,$E10012,'Vols additionnels'!$D$7:$D$66,$F10012,'Vols additionnels'!$B$7:$B$66,$D10012)</f>
        <v>0</v>
      </c>
      <c r="H10012" s="135" t="n">
        <f aca="false">$G10012*'Analyse capacite'!$F$9</f>
        <v>0</v>
      </c>
      <c r="I10012" s="135" t="n">
        <f aca="false">$G10012*'Analyse capacite'!$C$9</f>
        <v>0</v>
      </c>
      <c r="J10012" s="135" t="n">
        <f aca="false">$G10012*'Analyse capacite'!$D$9</f>
        <v>0</v>
      </c>
      <c r="K10012" s="135" t="n">
        <f aca="false">$G10012*'Analyse capacite'!$E$9</f>
        <v>0</v>
      </c>
    </row>
    <row r="10013" customFormat="false" ht="15" hidden="false" customHeight="false" outlineLevel="0" collapsed="false">
      <c r="B10013" s="130" t="n">
        <v>2028</v>
      </c>
      <c r="C10013" s="131" t="s">
        <v>255</v>
      </c>
      <c r="D10013" s="132" t="n">
        <v>46756</v>
      </c>
      <c r="E10013" s="131" t="s">
        <v>12</v>
      </c>
      <c r="F10013" s="133" t="s">
        <v>11</v>
      </c>
      <c r="G10013" s="134" t="n">
        <f aca="false">LEN('Saisie programme'!$E$364)+SUMIFS('Vols additionnels'!$E$7:$E$66,'Vols additionnels'!$C$7:$C$66,$E10013,'Vols additionnels'!$D$7:$D$66,$F10013,'Vols additionnels'!$B$7:$B$66,$D10013)</f>
        <v>1</v>
      </c>
      <c r="H10013" s="135" t="n">
        <f aca="false">$G10013*'Analyse capacite'!$F$7</f>
        <v>438</v>
      </c>
      <c r="I10013" s="135" t="n">
        <f aca="false">$G10013*'Analyse capacite'!$C$7</f>
        <v>14</v>
      </c>
      <c r="J10013" s="135" t="n">
        <f aca="false">$G10013*'Analyse capacite'!$D$7</f>
        <v>40</v>
      </c>
      <c r="K10013" s="135" t="n">
        <f aca="false">$G10013*'Analyse capacite'!$E$7</f>
        <v>384</v>
      </c>
    </row>
    <row r="10014" customFormat="false" ht="15" hidden="false" customHeight="false" outlineLevel="0" collapsed="false">
      <c r="B10014" s="130" t="n">
        <v>2028</v>
      </c>
      <c r="C10014" s="131" t="s">
        <v>255</v>
      </c>
      <c r="D10014" s="132" t="n">
        <v>46756</v>
      </c>
      <c r="E10014" s="131" t="s">
        <v>12</v>
      </c>
      <c r="F10014" s="133" t="s">
        <v>19</v>
      </c>
      <c r="G10014" s="134" t="n">
        <f aca="false">LEN('Saisie programme'!$E$365)+SUMIFS('Vols additionnels'!$E$7:$E$66,'Vols additionnels'!$C$7:$C$66,$E10014,'Vols additionnels'!$D$7:$D$66,$F10014,'Vols additionnels'!$B$7:$B$66,$D10014)</f>
        <v>0</v>
      </c>
      <c r="H10014" s="135" t="n">
        <f aca="false">$G10014*'Analyse capacite'!$F$8</f>
        <v>0</v>
      </c>
      <c r="I10014" s="135" t="n">
        <f aca="false">$G10014*'Analyse capacite'!$C$8</f>
        <v>0</v>
      </c>
      <c r="J10014" s="135" t="n">
        <f aca="false">$G10014*'Analyse capacite'!$D$8</f>
        <v>0</v>
      </c>
      <c r="K10014" s="135" t="n">
        <f aca="false">$G10014*'Analyse capacite'!$E$8</f>
        <v>0</v>
      </c>
    </row>
    <row r="10015" customFormat="false" ht="15" hidden="false" customHeight="false" outlineLevel="0" collapsed="false">
      <c r="B10015" s="130" t="n">
        <v>2028</v>
      </c>
      <c r="C10015" s="131" t="s">
        <v>255</v>
      </c>
      <c r="D10015" s="132" t="n">
        <v>46756</v>
      </c>
      <c r="E10015" s="131" t="s">
        <v>12</v>
      </c>
      <c r="F10015" s="133" t="s">
        <v>24</v>
      </c>
      <c r="G10015" s="134" t="n">
        <f aca="false">LEN('Saisie programme'!$E$366)+SUMIFS('Vols additionnels'!$E$7:$E$66,'Vols additionnels'!$C$7:$C$66,$E10015,'Vols additionnels'!$D$7:$D$66,$F10015,'Vols additionnels'!$B$7:$B$66,$D10015)</f>
        <v>0</v>
      </c>
      <c r="H10015" s="135" t="n">
        <f aca="false">$G10015*'Analyse capacite'!$F$9</f>
        <v>0</v>
      </c>
      <c r="I10015" s="135" t="n">
        <f aca="false">$G10015*'Analyse capacite'!$C$9</f>
        <v>0</v>
      </c>
      <c r="J10015" s="135" t="n">
        <f aca="false">$G10015*'Analyse capacite'!$D$9</f>
        <v>0</v>
      </c>
      <c r="K10015" s="135" t="n">
        <f aca="false">$G10015*'Analyse capacite'!$E$9</f>
        <v>0</v>
      </c>
    </row>
    <row r="10016" customFormat="false" ht="15" hidden="false" customHeight="false" outlineLevel="0" collapsed="false">
      <c r="B10016" s="130" t="n">
        <v>2028</v>
      </c>
      <c r="C10016" s="131" t="s">
        <v>255</v>
      </c>
      <c r="D10016" s="132" t="n">
        <v>46756</v>
      </c>
      <c r="E10016" s="131" t="s">
        <v>20</v>
      </c>
      <c r="F10016" s="133" t="s">
        <v>11</v>
      </c>
      <c r="G10016" s="134" t="n">
        <f aca="false">LEN('Saisie programme'!$E$367)+SUMIFS('Vols additionnels'!$E$7:$E$66,'Vols additionnels'!$C$7:$C$66,$E10016,'Vols additionnels'!$D$7:$D$66,$F10016,'Vols additionnels'!$B$7:$B$66,$D10016)</f>
        <v>0</v>
      </c>
      <c r="H10016" s="135" t="n">
        <f aca="false">$G10016*'Analyse capacite'!$F$7</f>
        <v>0</v>
      </c>
      <c r="I10016" s="135" t="n">
        <f aca="false">$G10016*'Analyse capacite'!$C$7</f>
        <v>0</v>
      </c>
      <c r="J10016" s="135" t="n">
        <f aca="false">$G10016*'Analyse capacite'!$D$7</f>
        <v>0</v>
      </c>
      <c r="K10016" s="135" t="n">
        <f aca="false">$G10016*'Analyse capacite'!$E$7</f>
        <v>0</v>
      </c>
    </row>
    <row r="10017" customFormat="false" ht="15" hidden="false" customHeight="false" outlineLevel="0" collapsed="false">
      <c r="B10017" s="130" t="n">
        <v>2028</v>
      </c>
      <c r="C10017" s="131" t="s">
        <v>255</v>
      </c>
      <c r="D10017" s="132" t="n">
        <v>46756</v>
      </c>
      <c r="E10017" s="131" t="s">
        <v>20</v>
      </c>
      <c r="F10017" s="133" t="s">
        <v>19</v>
      </c>
      <c r="G10017" s="134" t="n">
        <f aca="false">LEN('Saisie programme'!$E$368)+SUMIFS('Vols additionnels'!$E$7:$E$66,'Vols additionnels'!$C$7:$C$66,$E10017,'Vols additionnels'!$D$7:$D$66,$F10017,'Vols additionnels'!$B$7:$B$66,$D10017)</f>
        <v>1</v>
      </c>
      <c r="H10017" s="135" t="n">
        <f aca="false">$G10017*'Analyse capacite'!$F$8</f>
        <v>262</v>
      </c>
      <c r="I10017" s="135" t="n">
        <f aca="false">$G10017*'Analyse capacite'!$C$8</f>
        <v>18</v>
      </c>
      <c r="J10017" s="135" t="n">
        <f aca="false">$G10017*'Analyse capacite'!$D$8</f>
        <v>0</v>
      </c>
      <c r="K10017" s="135" t="n">
        <f aca="false">$G10017*'Analyse capacite'!$E$8</f>
        <v>244</v>
      </c>
    </row>
    <row r="10018" customFormat="false" ht="15" hidden="false" customHeight="false" outlineLevel="0" collapsed="false">
      <c r="B10018" s="130" t="n">
        <v>2028</v>
      </c>
      <c r="C10018" s="131" t="s">
        <v>255</v>
      </c>
      <c r="D10018" s="132" t="n">
        <v>46756</v>
      </c>
      <c r="E10018" s="131" t="s">
        <v>20</v>
      </c>
      <c r="F10018" s="133" t="s">
        <v>24</v>
      </c>
      <c r="G10018" s="134" t="n">
        <f aca="false">LEN('Saisie programme'!$E$369)+SUMIFS('Vols additionnels'!$E$7:$E$66,'Vols additionnels'!$C$7:$C$66,$E10018,'Vols additionnels'!$D$7:$D$66,$F10018,'Vols additionnels'!$B$7:$B$66,$D10018)</f>
        <v>0</v>
      </c>
      <c r="H10018" s="135" t="n">
        <f aca="false">$G10018*'Analyse capacite'!$F$9</f>
        <v>0</v>
      </c>
      <c r="I10018" s="135" t="n">
        <f aca="false">$G10018*'Analyse capacite'!$C$9</f>
        <v>0</v>
      </c>
      <c r="J10018" s="135" t="n">
        <f aca="false">$G10018*'Analyse capacite'!$D$9</f>
        <v>0</v>
      </c>
      <c r="K10018" s="135" t="n">
        <f aca="false">$G10018*'Analyse capacite'!$E$9</f>
        <v>0</v>
      </c>
    </row>
    <row r="10019" customFormat="false" ht="15" hidden="false" customHeight="false" outlineLevel="0" collapsed="false">
      <c r="B10019" s="130" t="n">
        <v>2028</v>
      </c>
      <c r="C10019" s="131" t="s">
        <v>255</v>
      </c>
      <c r="D10019" s="132" t="n">
        <v>46756</v>
      </c>
      <c r="E10019" s="131" t="s">
        <v>25</v>
      </c>
      <c r="F10019" s="133" t="s">
        <v>11</v>
      </c>
      <c r="G10019" s="134" t="n">
        <f aca="false">LEN('Saisie programme'!$E$370)+SUMIFS('Vols additionnels'!$E$7:$E$66,'Vols additionnels'!$C$7:$C$66,$E10019,'Vols additionnels'!$D$7:$D$66,$F10019,'Vols additionnels'!$B$7:$B$66,$D10019)</f>
        <v>0</v>
      </c>
      <c r="H10019" s="135" t="n">
        <f aca="false">$G10019*'Analyse capacite'!$F$7</f>
        <v>0</v>
      </c>
      <c r="I10019" s="135" t="n">
        <f aca="false">$G10019*'Analyse capacite'!$C$7</f>
        <v>0</v>
      </c>
      <c r="J10019" s="135" t="n">
        <f aca="false">$G10019*'Analyse capacite'!$D$7</f>
        <v>0</v>
      </c>
      <c r="K10019" s="135" t="n">
        <f aca="false">$G10019*'Analyse capacite'!$E$7</f>
        <v>0</v>
      </c>
    </row>
    <row r="10020" customFormat="false" ht="15" hidden="false" customHeight="false" outlineLevel="0" collapsed="false">
      <c r="B10020" s="130" t="n">
        <v>2028</v>
      </c>
      <c r="C10020" s="131" t="s">
        <v>255</v>
      </c>
      <c r="D10020" s="132" t="n">
        <v>46756</v>
      </c>
      <c r="E10020" s="131" t="s">
        <v>25</v>
      </c>
      <c r="F10020" s="133" t="s">
        <v>19</v>
      </c>
      <c r="G10020" s="134" t="n">
        <f aca="false">LEN('Saisie programme'!$E$371)+SUMIFS('Vols additionnels'!$E$7:$E$66,'Vols additionnels'!$C$7:$C$66,$E10020,'Vols additionnels'!$D$7:$D$66,$F10020,'Vols additionnels'!$B$7:$B$66,$D10020)</f>
        <v>0</v>
      </c>
      <c r="H10020" s="135" t="n">
        <f aca="false">$G10020*'Analyse capacite'!$F$8</f>
        <v>0</v>
      </c>
      <c r="I10020" s="135" t="n">
        <f aca="false">$G10020*'Analyse capacite'!$C$8</f>
        <v>0</v>
      </c>
      <c r="J10020" s="135" t="n">
        <f aca="false">$G10020*'Analyse capacite'!$D$8</f>
        <v>0</v>
      </c>
      <c r="K10020" s="135" t="n">
        <f aca="false">$G10020*'Analyse capacite'!$E$8</f>
        <v>0</v>
      </c>
    </row>
    <row r="10021" customFormat="false" ht="15" hidden="false" customHeight="false" outlineLevel="0" collapsed="false">
      <c r="B10021" s="130" t="n">
        <v>2028</v>
      </c>
      <c r="C10021" s="131" t="s">
        <v>255</v>
      </c>
      <c r="D10021" s="132" t="n">
        <v>46756</v>
      </c>
      <c r="E10021" s="131" t="s">
        <v>25</v>
      </c>
      <c r="F10021" s="133" t="s">
        <v>24</v>
      </c>
      <c r="G10021" s="134" t="n">
        <f aca="false">LEN('Saisie programme'!$E$372)+SUMIFS('Vols additionnels'!$E$7:$E$66,'Vols additionnels'!$C$7:$C$66,$E10021,'Vols additionnels'!$D$7:$D$66,$F10021,'Vols additionnels'!$B$7:$B$66,$D10021)</f>
        <v>0</v>
      </c>
      <c r="H10021" s="135" t="n">
        <f aca="false">$G10021*'Analyse capacite'!$F$9</f>
        <v>0</v>
      </c>
      <c r="I10021" s="135" t="n">
        <f aca="false">$G10021*'Analyse capacite'!$C$9</f>
        <v>0</v>
      </c>
      <c r="J10021" s="135" t="n">
        <f aca="false">$G10021*'Analyse capacite'!$D$9</f>
        <v>0</v>
      </c>
      <c r="K10021" s="135" t="n">
        <f aca="false">$G10021*'Analyse capacite'!$E$9</f>
        <v>0</v>
      </c>
    </row>
    <row r="10022" customFormat="false" ht="15" hidden="false" customHeight="false" outlineLevel="0" collapsed="false">
      <c r="B10022" s="130" t="n">
        <v>2028</v>
      </c>
      <c r="C10022" s="131" t="s">
        <v>255</v>
      </c>
      <c r="D10022" s="132" t="n">
        <v>46756</v>
      </c>
      <c r="E10022" s="131" t="s">
        <v>36</v>
      </c>
      <c r="F10022" s="133" t="s">
        <v>11</v>
      </c>
      <c r="G10022" s="134" t="n">
        <f aca="false">LEN('Saisie programme'!$E$373)+SUMIFS('Vols additionnels'!$E$7:$E$66,'Vols additionnels'!$C$7:$C$66,$E10022,'Vols additionnels'!$D$7:$D$66,$F10022,'Vols additionnels'!$B$7:$B$66,$D10022)</f>
        <v>0</v>
      </c>
      <c r="H10022" s="135" t="n">
        <f aca="false">$G10022*'Analyse capacite'!$F$7</f>
        <v>0</v>
      </c>
      <c r="I10022" s="135" t="n">
        <f aca="false">$G10022*'Analyse capacite'!$C$7</f>
        <v>0</v>
      </c>
      <c r="J10022" s="135" t="n">
        <f aca="false">$G10022*'Analyse capacite'!$D$7</f>
        <v>0</v>
      </c>
      <c r="K10022" s="135" t="n">
        <f aca="false">$G10022*'Analyse capacite'!$E$7</f>
        <v>0</v>
      </c>
    </row>
    <row r="10023" customFormat="false" ht="15" hidden="false" customHeight="false" outlineLevel="0" collapsed="false">
      <c r="B10023" s="130" t="n">
        <v>2028</v>
      </c>
      <c r="C10023" s="131" t="s">
        <v>255</v>
      </c>
      <c r="D10023" s="132" t="n">
        <v>46756</v>
      </c>
      <c r="E10023" s="131" t="s">
        <v>36</v>
      </c>
      <c r="F10023" s="133" t="s">
        <v>19</v>
      </c>
      <c r="G10023" s="134" t="n">
        <f aca="false">LEN('Saisie programme'!$E$374)+SUMIFS('Vols additionnels'!$E$7:$E$66,'Vols additionnels'!$C$7:$C$66,$E10023,'Vols additionnels'!$D$7:$D$66,$F10023,'Vols additionnels'!$B$7:$B$66,$D10023)</f>
        <v>0</v>
      </c>
      <c r="H10023" s="135" t="n">
        <f aca="false">$G10023*'Analyse capacite'!$F$8</f>
        <v>0</v>
      </c>
      <c r="I10023" s="135" t="n">
        <f aca="false">$G10023*'Analyse capacite'!$C$8</f>
        <v>0</v>
      </c>
      <c r="J10023" s="135" t="n">
        <f aca="false">$G10023*'Analyse capacite'!$D$8</f>
        <v>0</v>
      </c>
      <c r="K10023" s="135" t="n">
        <f aca="false">$G10023*'Analyse capacite'!$E$8</f>
        <v>0</v>
      </c>
    </row>
    <row r="10024" customFormat="false" ht="15" hidden="false" customHeight="false" outlineLevel="0" collapsed="false">
      <c r="B10024" s="130" t="n">
        <v>2028</v>
      </c>
      <c r="C10024" s="131" t="s">
        <v>255</v>
      </c>
      <c r="D10024" s="132" t="n">
        <v>46756</v>
      </c>
      <c r="E10024" s="131" t="s">
        <v>36</v>
      </c>
      <c r="F10024" s="133" t="s">
        <v>24</v>
      </c>
      <c r="G10024" s="134" t="n">
        <f aca="false">LEN('Saisie programme'!$E$375)+SUMIFS('Vols additionnels'!$E$7:$E$66,'Vols additionnels'!$C$7:$C$66,$E10024,'Vols additionnels'!$D$7:$D$66,$F10024,'Vols additionnels'!$B$7:$B$66,$D10024)</f>
        <v>1</v>
      </c>
      <c r="H10024" s="135" t="n">
        <f aca="false">$G10024*'Analyse capacite'!$F$9</f>
        <v>174</v>
      </c>
      <c r="I10024" s="135" t="n">
        <f aca="false">$G10024*'Analyse capacite'!$C$9</f>
        <v>0</v>
      </c>
      <c r="J10024" s="135" t="n">
        <f aca="false">$G10024*'Analyse capacite'!$D$9</f>
        <v>12</v>
      </c>
      <c r="K10024" s="135" t="n">
        <f aca="false">$G10024*'Analyse capacite'!$E$9</f>
        <v>162</v>
      </c>
    </row>
    <row r="10025" customFormat="false" ht="15" hidden="false" customHeight="false" outlineLevel="0" collapsed="false">
      <c r="B10025" s="130" t="n">
        <v>2028</v>
      </c>
      <c r="C10025" s="131" t="s">
        <v>255</v>
      </c>
      <c r="D10025" s="132" t="n">
        <v>46756</v>
      </c>
      <c r="E10025" s="131" t="s">
        <v>40</v>
      </c>
      <c r="F10025" s="133" t="s">
        <v>11</v>
      </c>
      <c r="G10025" s="134" t="n">
        <f aca="false">LEN('Saisie programme'!$E$376)+SUMIFS('Vols additionnels'!$E$7:$E$66,'Vols additionnels'!$C$7:$C$66,$E10025,'Vols additionnels'!$D$7:$D$66,$F10025,'Vols additionnels'!$B$7:$B$66,$D10025)</f>
        <v>0</v>
      </c>
      <c r="H10025" s="135" t="n">
        <f aca="false">$G10025*'Analyse capacite'!$F$7</f>
        <v>0</v>
      </c>
      <c r="I10025" s="135" t="n">
        <f aca="false">$G10025*'Analyse capacite'!$C$7</f>
        <v>0</v>
      </c>
      <c r="J10025" s="135" t="n">
        <f aca="false">$G10025*'Analyse capacite'!$D$7</f>
        <v>0</v>
      </c>
      <c r="K10025" s="135" t="n">
        <f aca="false">$G10025*'Analyse capacite'!$E$7</f>
        <v>0</v>
      </c>
    </row>
    <row r="10026" customFormat="false" ht="15" hidden="false" customHeight="false" outlineLevel="0" collapsed="false">
      <c r="B10026" s="130" t="n">
        <v>2028</v>
      </c>
      <c r="C10026" s="131" t="s">
        <v>255</v>
      </c>
      <c r="D10026" s="132" t="n">
        <v>46756</v>
      </c>
      <c r="E10026" s="131" t="s">
        <v>40</v>
      </c>
      <c r="F10026" s="133" t="s">
        <v>19</v>
      </c>
      <c r="G10026" s="134" t="n">
        <f aca="false">LEN('Saisie programme'!$E$377)+SUMIFS('Vols additionnels'!$E$7:$E$66,'Vols additionnels'!$C$7:$C$66,$E10026,'Vols additionnels'!$D$7:$D$66,$F10026,'Vols additionnels'!$B$7:$B$66,$D10026)</f>
        <v>0</v>
      </c>
      <c r="H10026" s="135" t="n">
        <f aca="false">$G10026*'Analyse capacite'!$F$8</f>
        <v>0</v>
      </c>
      <c r="I10026" s="135" t="n">
        <f aca="false">$G10026*'Analyse capacite'!$C$8</f>
        <v>0</v>
      </c>
      <c r="J10026" s="135" t="n">
        <f aca="false">$G10026*'Analyse capacite'!$D$8</f>
        <v>0</v>
      </c>
      <c r="K10026" s="135" t="n">
        <f aca="false">$G10026*'Analyse capacite'!$E$8</f>
        <v>0</v>
      </c>
    </row>
    <row r="10027" customFormat="false" ht="15" hidden="false" customHeight="false" outlineLevel="0" collapsed="false">
      <c r="B10027" s="130" t="n">
        <v>2028</v>
      </c>
      <c r="C10027" s="131" t="s">
        <v>255</v>
      </c>
      <c r="D10027" s="132" t="n">
        <v>46756</v>
      </c>
      <c r="E10027" s="131" t="s">
        <v>40</v>
      </c>
      <c r="F10027" s="133" t="s">
        <v>24</v>
      </c>
      <c r="G10027" s="134" t="n">
        <f aca="false">LEN('Saisie programme'!$E$378)+SUMIFS('Vols additionnels'!$E$7:$E$66,'Vols additionnels'!$C$7:$C$66,$E10027,'Vols additionnels'!$D$7:$D$66,$F10027,'Vols additionnels'!$B$7:$B$66,$D10027)</f>
        <v>0</v>
      </c>
      <c r="H10027" s="135" t="n">
        <f aca="false">$G10027*'Analyse capacite'!$F$9</f>
        <v>0</v>
      </c>
      <c r="I10027" s="135" t="n">
        <f aca="false">$G10027*'Analyse capacite'!$C$9</f>
        <v>0</v>
      </c>
      <c r="J10027" s="135" t="n">
        <f aca="false">$G10027*'Analyse capacite'!$D$9</f>
        <v>0</v>
      </c>
      <c r="K10027" s="135" t="n">
        <f aca="false">$G10027*'Analyse capacite'!$E$9</f>
        <v>0</v>
      </c>
    </row>
    <row r="10028" customFormat="false" ht="15" hidden="false" customHeight="false" outlineLevel="0" collapsed="false">
      <c r="B10028" s="130" t="n">
        <v>2028</v>
      </c>
      <c r="C10028" s="131" t="s">
        <v>255</v>
      </c>
      <c r="D10028" s="132" t="n">
        <v>46756</v>
      </c>
      <c r="E10028" s="131" t="s">
        <v>14</v>
      </c>
      <c r="F10028" s="133" t="s">
        <v>11</v>
      </c>
      <c r="G10028" s="134" t="n">
        <f aca="false">LEN('Saisie programme'!$E$379)+SUMIFS('Vols additionnels'!$E$7:$E$66,'Vols additionnels'!$C$7:$C$66,$E10028,'Vols additionnels'!$D$7:$D$66,$F10028,'Vols additionnels'!$B$7:$B$66,$D10028)</f>
        <v>0</v>
      </c>
      <c r="H10028" s="135" t="n">
        <f aca="false">$G10028*'Analyse capacite'!$F$7</f>
        <v>0</v>
      </c>
      <c r="I10028" s="135" t="n">
        <f aca="false">$G10028*'Analyse capacite'!$C$7</f>
        <v>0</v>
      </c>
      <c r="J10028" s="135" t="n">
        <f aca="false">$G10028*'Analyse capacite'!$D$7</f>
        <v>0</v>
      </c>
      <c r="K10028" s="135" t="n">
        <f aca="false">$G10028*'Analyse capacite'!$E$7</f>
        <v>0</v>
      </c>
    </row>
    <row r="10029" customFormat="false" ht="15" hidden="false" customHeight="false" outlineLevel="0" collapsed="false">
      <c r="B10029" s="130" t="n">
        <v>2028</v>
      </c>
      <c r="C10029" s="131" t="s">
        <v>255</v>
      </c>
      <c r="D10029" s="132" t="n">
        <v>46756</v>
      </c>
      <c r="E10029" s="131" t="s">
        <v>14</v>
      </c>
      <c r="F10029" s="133" t="s">
        <v>19</v>
      </c>
      <c r="G10029" s="134" t="n">
        <f aca="false">LEN('Saisie programme'!$E$380)+SUMIFS('Vols additionnels'!$E$7:$E$66,'Vols additionnels'!$C$7:$C$66,$E10029,'Vols additionnels'!$D$7:$D$66,$F10029,'Vols additionnels'!$B$7:$B$66,$D10029)</f>
        <v>0</v>
      </c>
      <c r="H10029" s="135" t="n">
        <f aca="false">$G10029*'Analyse capacite'!$F$8</f>
        <v>0</v>
      </c>
      <c r="I10029" s="135" t="n">
        <f aca="false">$G10029*'Analyse capacite'!$C$8</f>
        <v>0</v>
      </c>
      <c r="J10029" s="135" t="n">
        <f aca="false">$G10029*'Analyse capacite'!$D$8</f>
        <v>0</v>
      </c>
      <c r="K10029" s="135" t="n">
        <f aca="false">$G10029*'Analyse capacite'!$E$8</f>
        <v>0</v>
      </c>
    </row>
    <row r="10030" customFormat="false" ht="15" hidden="false" customHeight="false" outlineLevel="0" collapsed="false">
      <c r="B10030" s="130" t="n">
        <v>2028</v>
      </c>
      <c r="C10030" s="131" t="s">
        <v>255</v>
      </c>
      <c r="D10030" s="132" t="n">
        <v>46756</v>
      </c>
      <c r="E10030" s="131" t="s">
        <v>14</v>
      </c>
      <c r="F10030" s="133" t="s">
        <v>24</v>
      </c>
      <c r="G10030" s="134" t="n">
        <f aca="false">LEN('Saisie programme'!$E$381)+SUMIFS('Vols additionnels'!$E$7:$E$66,'Vols additionnels'!$C$7:$C$66,$E10030,'Vols additionnels'!$D$7:$D$66,$F10030,'Vols additionnels'!$B$7:$B$66,$D10030)</f>
        <v>0</v>
      </c>
      <c r="H10030" s="135" t="n">
        <f aca="false">$G10030*'Analyse capacite'!$F$9</f>
        <v>0</v>
      </c>
      <c r="I10030" s="135" t="n">
        <f aca="false">$G10030*'Analyse capacite'!$C$9</f>
        <v>0</v>
      </c>
      <c r="J10030" s="135" t="n">
        <f aca="false">$G10030*'Analyse capacite'!$D$9</f>
        <v>0</v>
      </c>
      <c r="K10030" s="135" t="n">
        <f aca="false">$G10030*'Analyse capacite'!$E$9</f>
        <v>0</v>
      </c>
    </row>
    <row r="10031" customFormat="false" ht="15" hidden="false" customHeight="false" outlineLevel="0" collapsed="false">
      <c r="B10031" s="130" t="n">
        <v>2028</v>
      </c>
      <c r="C10031" s="131" t="s">
        <v>255</v>
      </c>
      <c r="D10031" s="132" t="n">
        <v>46756</v>
      </c>
      <c r="E10031" s="131" t="s">
        <v>46</v>
      </c>
      <c r="F10031" s="133" t="s">
        <v>11</v>
      </c>
      <c r="G10031" s="134" t="n">
        <f aca="false">LEN('Saisie programme'!$E$382)+SUMIFS('Vols additionnels'!$E$7:$E$66,'Vols additionnels'!$C$7:$C$66,$E10031,'Vols additionnels'!$D$7:$D$66,$F10031,'Vols additionnels'!$B$7:$B$66,$D10031)</f>
        <v>0</v>
      </c>
      <c r="H10031" s="135" t="n">
        <f aca="false">$G10031*'Analyse capacite'!$F$7</f>
        <v>0</v>
      </c>
      <c r="I10031" s="135" t="n">
        <f aca="false">$G10031*'Analyse capacite'!$C$7</f>
        <v>0</v>
      </c>
      <c r="J10031" s="135" t="n">
        <f aca="false">$G10031*'Analyse capacite'!$D$7</f>
        <v>0</v>
      </c>
      <c r="K10031" s="135" t="n">
        <f aca="false">$G10031*'Analyse capacite'!$E$7</f>
        <v>0</v>
      </c>
    </row>
    <row r="10032" customFormat="false" ht="15" hidden="false" customHeight="false" outlineLevel="0" collapsed="false">
      <c r="B10032" s="130" t="n">
        <v>2028</v>
      </c>
      <c r="C10032" s="131" t="s">
        <v>255</v>
      </c>
      <c r="D10032" s="132" t="n">
        <v>46756</v>
      </c>
      <c r="E10032" s="131" t="s">
        <v>46</v>
      </c>
      <c r="F10032" s="133" t="s">
        <v>19</v>
      </c>
      <c r="G10032" s="134" t="n">
        <f aca="false">LEN('Saisie programme'!$E$383)+SUMIFS('Vols additionnels'!$E$7:$E$66,'Vols additionnels'!$C$7:$C$66,$E10032,'Vols additionnels'!$D$7:$D$66,$F10032,'Vols additionnels'!$B$7:$B$66,$D10032)</f>
        <v>0</v>
      </c>
      <c r="H10032" s="135" t="n">
        <f aca="false">$G10032*'Analyse capacite'!$F$8</f>
        <v>0</v>
      </c>
      <c r="I10032" s="135" t="n">
        <f aca="false">$G10032*'Analyse capacite'!$C$8</f>
        <v>0</v>
      </c>
      <c r="J10032" s="135" t="n">
        <f aca="false">$G10032*'Analyse capacite'!$D$8</f>
        <v>0</v>
      </c>
      <c r="K10032" s="135" t="n">
        <f aca="false">$G10032*'Analyse capacite'!$E$8</f>
        <v>0</v>
      </c>
    </row>
    <row r="10033" customFormat="false" ht="15" hidden="false" customHeight="false" outlineLevel="0" collapsed="false">
      <c r="B10033" s="130" t="n">
        <v>2028</v>
      </c>
      <c r="C10033" s="131" t="s">
        <v>255</v>
      </c>
      <c r="D10033" s="132" t="n">
        <v>46756</v>
      </c>
      <c r="E10033" s="131" t="s">
        <v>46</v>
      </c>
      <c r="F10033" s="133" t="s">
        <v>24</v>
      </c>
      <c r="G10033" s="134" t="n">
        <f aca="false">LEN('Saisie programme'!$E$384)+SUMIFS('Vols additionnels'!$E$7:$E$66,'Vols additionnels'!$C$7:$C$66,$E10033,'Vols additionnels'!$D$7:$D$66,$F10033,'Vols additionnels'!$B$7:$B$66,$D10033)</f>
        <v>1</v>
      </c>
      <c r="H10033" s="135" t="n">
        <f aca="false">$G10033*'Analyse capacite'!$F$9</f>
        <v>174</v>
      </c>
      <c r="I10033" s="135" t="n">
        <f aca="false">$G10033*'Analyse capacite'!$C$9</f>
        <v>0</v>
      </c>
      <c r="J10033" s="135" t="n">
        <f aca="false">$G10033*'Analyse capacite'!$D$9</f>
        <v>12</v>
      </c>
      <c r="K10033" s="135" t="n">
        <f aca="false">$G10033*'Analyse capacite'!$E$9</f>
        <v>162</v>
      </c>
    </row>
    <row r="10034" customFormat="false" ht="15" hidden="false" customHeight="false" outlineLevel="0" collapsed="false">
      <c r="B10034" s="130" t="n">
        <v>2028</v>
      </c>
      <c r="C10034" s="131" t="s">
        <v>255</v>
      </c>
      <c r="D10034" s="132" t="n">
        <v>46756</v>
      </c>
      <c r="E10034" s="131" t="s">
        <v>49</v>
      </c>
      <c r="F10034" s="133" t="s">
        <v>11</v>
      </c>
      <c r="G10034" s="134" t="n">
        <f aca="false">LEN('Saisie programme'!$E$385)+SUMIFS('Vols additionnels'!$E$7:$E$66,'Vols additionnels'!$C$7:$C$66,$E10034,'Vols additionnels'!$D$7:$D$66,$F10034,'Vols additionnels'!$B$7:$B$66,$D10034)</f>
        <v>0</v>
      </c>
      <c r="H10034" s="135" t="n">
        <f aca="false">$G10034*'Analyse capacite'!$F$7</f>
        <v>0</v>
      </c>
      <c r="I10034" s="135" t="n">
        <f aca="false">$G10034*'Analyse capacite'!$C$7</f>
        <v>0</v>
      </c>
      <c r="J10034" s="135" t="n">
        <f aca="false">$G10034*'Analyse capacite'!$D$7</f>
        <v>0</v>
      </c>
      <c r="K10034" s="135" t="n">
        <f aca="false">$G10034*'Analyse capacite'!$E$7</f>
        <v>0</v>
      </c>
    </row>
    <row r="10035" customFormat="false" ht="15" hidden="false" customHeight="false" outlineLevel="0" collapsed="false">
      <c r="B10035" s="130" t="n">
        <v>2028</v>
      </c>
      <c r="C10035" s="131" t="s">
        <v>255</v>
      </c>
      <c r="D10035" s="132" t="n">
        <v>46756</v>
      </c>
      <c r="E10035" s="131" t="s">
        <v>49</v>
      </c>
      <c r="F10035" s="133" t="s">
        <v>19</v>
      </c>
      <c r="G10035" s="134" t="n">
        <f aca="false">LEN('Saisie programme'!$E$386)+SUMIFS('Vols additionnels'!$E$7:$E$66,'Vols additionnels'!$C$7:$C$66,$E10035,'Vols additionnels'!$D$7:$D$66,$F10035,'Vols additionnels'!$B$7:$B$66,$D10035)</f>
        <v>0</v>
      </c>
      <c r="H10035" s="135" t="n">
        <f aca="false">$G10035*'Analyse capacite'!$F$8</f>
        <v>0</v>
      </c>
      <c r="I10035" s="135" t="n">
        <f aca="false">$G10035*'Analyse capacite'!$C$8</f>
        <v>0</v>
      </c>
      <c r="J10035" s="135" t="n">
        <f aca="false">$G10035*'Analyse capacite'!$D$8</f>
        <v>0</v>
      </c>
      <c r="K10035" s="135" t="n">
        <f aca="false">$G10035*'Analyse capacite'!$E$8</f>
        <v>0</v>
      </c>
    </row>
    <row r="10036" customFormat="false" ht="15" hidden="false" customHeight="false" outlineLevel="0" collapsed="false">
      <c r="B10036" s="130" t="n">
        <v>2028</v>
      </c>
      <c r="C10036" s="131" t="s">
        <v>255</v>
      </c>
      <c r="D10036" s="132" t="n">
        <v>46756</v>
      </c>
      <c r="E10036" s="131" t="s">
        <v>49</v>
      </c>
      <c r="F10036" s="133" t="s">
        <v>24</v>
      </c>
      <c r="G10036" s="134" t="n">
        <f aca="false">LEN('Saisie programme'!$E$387)+SUMIFS('Vols additionnels'!$E$7:$E$66,'Vols additionnels'!$C$7:$C$66,$E10036,'Vols additionnels'!$D$7:$D$66,$F10036,'Vols additionnels'!$B$7:$B$66,$D10036)</f>
        <v>0</v>
      </c>
      <c r="H10036" s="135" t="n">
        <f aca="false">$G10036*'Analyse capacite'!$F$9</f>
        <v>0</v>
      </c>
      <c r="I10036" s="135" t="n">
        <f aca="false">$G10036*'Analyse capacite'!$C$9</f>
        <v>0</v>
      </c>
      <c r="J10036" s="135" t="n">
        <f aca="false">$G10036*'Analyse capacite'!$D$9</f>
        <v>0</v>
      </c>
      <c r="K10036" s="135" t="n">
        <f aca="false">$G10036*'Analyse capacite'!$E$9</f>
        <v>0</v>
      </c>
    </row>
    <row r="10037" customFormat="false" ht="15" hidden="false" customHeight="false" outlineLevel="0" collapsed="false">
      <c r="B10037" s="130" t="n">
        <v>2028</v>
      </c>
      <c r="C10037" s="131" t="s">
        <v>255</v>
      </c>
      <c r="D10037" s="132" t="n">
        <v>46756</v>
      </c>
      <c r="E10037" s="131" t="s">
        <v>53</v>
      </c>
      <c r="F10037" s="133" t="s">
        <v>11</v>
      </c>
      <c r="G10037" s="134" t="n">
        <f aca="false">LEN('Saisie programme'!$E$388)+SUMIFS('Vols additionnels'!$E$7:$E$66,'Vols additionnels'!$C$7:$C$66,$E10037,'Vols additionnels'!$D$7:$D$66,$F10037,'Vols additionnels'!$B$7:$B$66,$D10037)</f>
        <v>0</v>
      </c>
      <c r="H10037" s="135" t="n">
        <f aca="false">$G10037*'Analyse capacite'!$F$7</f>
        <v>0</v>
      </c>
      <c r="I10037" s="135" t="n">
        <f aca="false">$G10037*'Analyse capacite'!$C$7</f>
        <v>0</v>
      </c>
      <c r="J10037" s="135" t="n">
        <f aca="false">$G10037*'Analyse capacite'!$D$7</f>
        <v>0</v>
      </c>
      <c r="K10037" s="135" t="n">
        <f aca="false">$G10037*'Analyse capacite'!$E$7</f>
        <v>0</v>
      </c>
    </row>
    <row r="10038" customFormat="false" ht="15" hidden="false" customHeight="false" outlineLevel="0" collapsed="false">
      <c r="B10038" s="130" t="n">
        <v>2028</v>
      </c>
      <c r="C10038" s="131" t="s">
        <v>255</v>
      </c>
      <c r="D10038" s="132" t="n">
        <v>46756</v>
      </c>
      <c r="E10038" s="131" t="s">
        <v>53</v>
      </c>
      <c r="F10038" s="133" t="s">
        <v>19</v>
      </c>
      <c r="G10038" s="134" t="n">
        <f aca="false">LEN('Saisie programme'!$E$389)+SUMIFS('Vols additionnels'!$E$7:$E$66,'Vols additionnels'!$C$7:$C$66,$E10038,'Vols additionnels'!$D$7:$D$66,$F10038,'Vols additionnels'!$B$7:$B$66,$D10038)</f>
        <v>0</v>
      </c>
      <c r="H10038" s="135" t="n">
        <f aca="false">$G10038*'Analyse capacite'!$F$8</f>
        <v>0</v>
      </c>
      <c r="I10038" s="135" t="n">
        <f aca="false">$G10038*'Analyse capacite'!$C$8</f>
        <v>0</v>
      </c>
      <c r="J10038" s="135" t="n">
        <f aca="false">$G10038*'Analyse capacite'!$D$8</f>
        <v>0</v>
      </c>
      <c r="K10038" s="135" t="n">
        <f aca="false">$G10038*'Analyse capacite'!$E$8</f>
        <v>0</v>
      </c>
    </row>
    <row r="10039" customFormat="false" ht="15" hidden="false" customHeight="false" outlineLevel="0" collapsed="false">
      <c r="B10039" s="130" t="n">
        <v>2028</v>
      </c>
      <c r="C10039" s="131" t="s">
        <v>255</v>
      </c>
      <c r="D10039" s="132" t="n">
        <v>46756</v>
      </c>
      <c r="E10039" s="131" t="s">
        <v>53</v>
      </c>
      <c r="F10039" s="133" t="s">
        <v>24</v>
      </c>
      <c r="G10039" s="134" t="n">
        <f aca="false">LEN('Saisie programme'!$E$390)+SUMIFS('Vols additionnels'!$E$7:$E$66,'Vols additionnels'!$C$7:$C$66,$E10039,'Vols additionnels'!$D$7:$D$66,$F10039,'Vols additionnels'!$B$7:$B$66,$D10039)</f>
        <v>0</v>
      </c>
      <c r="H10039" s="135" t="n">
        <f aca="false">$G10039*'Analyse capacite'!$F$9</f>
        <v>0</v>
      </c>
      <c r="I10039" s="135" t="n">
        <f aca="false">$G10039*'Analyse capacite'!$C$9</f>
        <v>0</v>
      </c>
      <c r="J10039" s="135" t="n">
        <f aca="false">$G10039*'Analyse capacite'!$D$9</f>
        <v>0</v>
      </c>
      <c r="K10039" s="135" t="n">
        <f aca="false">$G10039*'Analyse capacite'!$E$9</f>
        <v>0</v>
      </c>
    </row>
    <row r="10040" customFormat="false" ht="15" hidden="false" customHeight="false" outlineLevel="0" collapsed="false">
      <c r="B10040" s="130" t="n">
        <v>2028</v>
      </c>
      <c r="C10040" s="131" t="s">
        <v>255</v>
      </c>
      <c r="D10040" s="132" t="n">
        <v>46756</v>
      </c>
      <c r="E10040" s="131" t="s">
        <v>56</v>
      </c>
      <c r="F10040" s="133" t="s">
        <v>11</v>
      </c>
      <c r="G10040" s="134" t="n">
        <f aca="false">LEN('Saisie programme'!$E$391)+SUMIFS('Vols additionnels'!$E$7:$E$66,'Vols additionnels'!$C$7:$C$66,$E10040,'Vols additionnels'!$D$7:$D$66,$F10040,'Vols additionnels'!$B$7:$B$66,$D10040)</f>
        <v>0</v>
      </c>
      <c r="H10040" s="135" t="n">
        <f aca="false">$G10040*'Analyse capacite'!$F$7</f>
        <v>0</v>
      </c>
      <c r="I10040" s="135" t="n">
        <f aca="false">$G10040*'Analyse capacite'!$C$7</f>
        <v>0</v>
      </c>
      <c r="J10040" s="135" t="n">
        <f aca="false">$G10040*'Analyse capacite'!$D$7</f>
        <v>0</v>
      </c>
      <c r="K10040" s="135" t="n">
        <f aca="false">$G10040*'Analyse capacite'!$E$7</f>
        <v>0</v>
      </c>
    </row>
    <row r="10041" customFormat="false" ht="15" hidden="false" customHeight="false" outlineLevel="0" collapsed="false">
      <c r="B10041" s="130" t="n">
        <v>2028</v>
      </c>
      <c r="C10041" s="131" t="s">
        <v>255</v>
      </c>
      <c r="D10041" s="132" t="n">
        <v>46756</v>
      </c>
      <c r="E10041" s="131" t="s">
        <v>56</v>
      </c>
      <c r="F10041" s="133" t="s">
        <v>19</v>
      </c>
      <c r="G10041" s="134" t="n">
        <f aca="false">LEN('Saisie programme'!$E$392)+SUMIFS('Vols additionnels'!$E$7:$E$66,'Vols additionnels'!$C$7:$C$66,$E10041,'Vols additionnels'!$D$7:$D$66,$F10041,'Vols additionnels'!$B$7:$B$66,$D10041)</f>
        <v>0</v>
      </c>
      <c r="H10041" s="135" t="n">
        <f aca="false">$G10041*'Analyse capacite'!$F$8</f>
        <v>0</v>
      </c>
      <c r="I10041" s="135" t="n">
        <f aca="false">$G10041*'Analyse capacite'!$C$8</f>
        <v>0</v>
      </c>
      <c r="J10041" s="135" t="n">
        <f aca="false">$G10041*'Analyse capacite'!$D$8</f>
        <v>0</v>
      </c>
      <c r="K10041" s="135" t="n">
        <f aca="false">$G10041*'Analyse capacite'!$E$8</f>
        <v>0</v>
      </c>
    </row>
    <row r="10042" customFormat="false" ht="15" hidden="false" customHeight="false" outlineLevel="0" collapsed="false">
      <c r="B10042" s="130" t="n">
        <v>2028</v>
      </c>
      <c r="C10042" s="131" t="s">
        <v>255</v>
      </c>
      <c r="D10042" s="132" t="n">
        <v>46756</v>
      </c>
      <c r="E10042" s="131" t="s">
        <v>56</v>
      </c>
      <c r="F10042" s="133" t="s">
        <v>24</v>
      </c>
      <c r="G10042" s="134" t="n">
        <f aca="false">LEN('Saisie programme'!$E$393)+SUMIFS('Vols additionnels'!$E$7:$E$66,'Vols additionnels'!$C$7:$C$66,$E10042,'Vols additionnels'!$D$7:$D$66,$F10042,'Vols additionnels'!$B$7:$B$66,$D10042)</f>
        <v>1</v>
      </c>
      <c r="H10042" s="135" t="n">
        <f aca="false">$G10042*'Analyse capacite'!$F$9</f>
        <v>174</v>
      </c>
      <c r="I10042" s="135" t="n">
        <f aca="false">$G10042*'Analyse capacite'!$C$9</f>
        <v>0</v>
      </c>
      <c r="J10042" s="135" t="n">
        <f aca="false">$G10042*'Analyse capacite'!$D$9</f>
        <v>12</v>
      </c>
      <c r="K10042" s="135" t="n">
        <f aca="false">$G10042*'Analyse capacite'!$E$9</f>
        <v>162</v>
      </c>
    </row>
    <row r="10043" customFormat="false" ht="15" hidden="false" customHeight="false" outlineLevel="0" collapsed="false">
      <c r="B10043" s="130" t="n">
        <v>2028</v>
      </c>
      <c r="C10043" s="131" t="s">
        <v>255</v>
      </c>
      <c r="D10043" s="132" t="n">
        <v>46756</v>
      </c>
      <c r="E10043" s="131" t="s">
        <v>59</v>
      </c>
      <c r="F10043" s="133" t="s">
        <v>11</v>
      </c>
      <c r="G10043" s="134" t="n">
        <f aca="false">LEN('Saisie programme'!$E$394)+SUMIFS('Vols additionnels'!$E$7:$E$66,'Vols additionnels'!$C$7:$C$66,$E10043,'Vols additionnels'!$D$7:$D$66,$F10043,'Vols additionnels'!$B$7:$B$66,$D10043)</f>
        <v>0</v>
      </c>
      <c r="H10043" s="135" t="n">
        <f aca="false">$G10043*'Analyse capacite'!$F$7</f>
        <v>0</v>
      </c>
      <c r="I10043" s="135" t="n">
        <f aca="false">$G10043*'Analyse capacite'!$C$7</f>
        <v>0</v>
      </c>
      <c r="J10043" s="135" t="n">
        <f aca="false">$G10043*'Analyse capacite'!$D$7</f>
        <v>0</v>
      </c>
      <c r="K10043" s="135" t="n">
        <f aca="false">$G10043*'Analyse capacite'!$E$7</f>
        <v>0</v>
      </c>
    </row>
    <row r="10044" customFormat="false" ht="15" hidden="false" customHeight="false" outlineLevel="0" collapsed="false">
      <c r="B10044" s="130" t="n">
        <v>2028</v>
      </c>
      <c r="C10044" s="131" t="s">
        <v>255</v>
      </c>
      <c r="D10044" s="132" t="n">
        <v>46756</v>
      </c>
      <c r="E10044" s="131" t="s">
        <v>59</v>
      </c>
      <c r="F10044" s="133" t="s">
        <v>19</v>
      </c>
      <c r="G10044" s="134" t="n">
        <f aca="false">LEN('Saisie programme'!$E$395)+SUMIFS('Vols additionnels'!$E$7:$E$66,'Vols additionnels'!$C$7:$C$66,$E10044,'Vols additionnels'!$D$7:$D$66,$F10044,'Vols additionnels'!$B$7:$B$66,$D10044)</f>
        <v>0</v>
      </c>
      <c r="H10044" s="135" t="n">
        <f aca="false">$G10044*'Analyse capacite'!$F$8</f>
        <v>0</v>
      </c>
      <c r="I10044" s="135" t="n">
        <f aca="false">$G10044*'Analyse capacite'!$C$8</f>
        <v>0</v>
      </c>
      <c r="J10044" s="135" t="n">
        <f aca="false">$G10044*'Analyse capacite'!$D$8</f>
        <v>0</v>
      </c>
      <c r="K10044" s="135" t="n">
        <f aca="false">$G10044*'Analyse capacite'!$E$8</f>
        <v>0</v>
      </c>
    </row>
    <row r="10045" customFormat="false" ht="15" hidden="false" customHeight="false" outlineLevel="0" collapsed="false">
      <c r="B10045" s="130" t="n">
        <v>2028</v>
      </c>
      <c r="C10045" s="131" t="s">
        <v>255</v>
      </c>
      <c r="D10045" s="132" t="n">
        <v>46756</v>
      </c>
      <c r="E10045" s="131" t="s">
        <v>59</v>
      </c>
      <c r="F10045" s="133" t="s">
        <v>24</v>
      </c>
      <c r="G10045" s="134" t="n">
        <f aca="false">LEN('Saisie programme'!$E$396)+SUMIFS('Vols additionnels'!$E$7:$E$66,'Vols additionnels'!$C$7:$C$66,$E10045,'Vols additionnels'!$D$7:$D$66,$F10045,'Vols additionnels'!$B$7:$B$66,$D10045)</f>
        <v>1</v>
      </c>
      <c r="H10045" s="135" t="n">
        <f aca="false">$G10045*'Analyse capacite'!$F$9</f>
        <v>174</v>
      </c>
      <c r="I10045" s="135" t="n">
        <f aca="false">$G10045*'Analyse capacite'!$C$9</f>
        <v>0</v>
      </c>
      <c r="J10045" s="135" t="n">
        <f aca="false">$G10045*'Analyse capacite'!$D$9</f>
        <v>12</v>
      </c>
      <c r="K10045" s="135" t="n">
        <f aca="false">$G10045*'Analyse capacite'!$E$9</f>
        <v>162</v>
      </c>
    </row>
    <row r="10046" customFormat="false" ht="15" hidden="false" customHeight="false" outlineLevel="0" collapsed="false">
      <c r="B10046" s="130" t="n">
        <v>2028</v>
      </c>
      <c r="C10046" s="131" t="s">
        <v>255</v>
      </c>
      <c r="D10046" s="132" t="n">
        <v>46756</v>
      </c>
      <c r="E10046" s="131" t="s">
        <v>62</v>
      </c>
      <c r="F10046" s="133" t="s">
        <v>11</v>
      </c>
      <c r="G10046" s="134" t="n">
        <f aca="false">LEN('Saisie programme'!$E$397)+SUMIFS('Vols additionnels'!$E$7:$E$66,'Vols additionnels'!$C$7:$C$66,$E10046,'Vols additionnels'!$D$7:$D$66,$F10046,'Vols additionnels'!$B$7:$B$66,$D10046)</f>
        <v>0</v>
      </c>
      <c r="H10046" s="135" t="n">
        <f aca="false">$G10046*'Analyse capacite'!$F$7</f>
        <v>0</v>
      </c>
      <c r="I10046" s="135" t="n">
        <f aca="false">$G10046*'Analyse capacite'!$C$7</f>
        <v>0</v>
      </c>
      <c r="J10046" s="135" t="n">
        <f aca="false">$G10046*'Analyse capacite'!$D$7</f>
        <v>0</v>
      </c>
      <c r="K10046" s="135" t="n">
        <f aca="false">$G10046*'Analyse capacite'!$E$7</f>
        <v>0</v>
      </c>
    </row>
    <row r="10047" customFormat="false" ht="15" hidden="false" customHeight="false" outlineLevel="0" collapsed="false">
      <c r="B10047" s="130" t="n">
        <v>2028</v>
      </c>
      <c r="C10047" s="131" t="s">
        <v>255</v>
      </c>
      <c r="D10047" s="132" t="n">
        <v>46756</v>
      </c>
      <c r="E10047" s="131" t="s">
        <v>62</v>
      </c>
      <c r="F10047" s="133" t="s">
        <v>19</v>
      </c>
      <c r="G10047" s="134" t="n">
        <f aca="false">LEN('Saisie programme'!$E$398)+SUMIFS('Vols additionnels'!$E$7:$E$66,'Vols additionnels'!$C$7:$C$66,$E10047,'Vols additionnels'!$D$7:$D$66,$F10047,'Vols additionnels'!$B$7:$B$66,$D10047)</f>
        <v>0</v>
      </c>
      <c r="H10047" s="135" t="n">
        <f aca="false">$G10047*'Analyse capacite'!$F$8</f>
        <v>0</v>
      </c>
      <c r="I10047" s="135" t="n">
        <f aca="false">$G10047*'Analyse capacite'!$C$8</f>
        <v>0</v>
      </c>
      <c r="J10047" s="135" t="n">
        <f aca="false">$G10047*'Analyse capacite'!$D$8</f>
        <v>0</v>
      </c>
      <c r="K10047" s="135" t="n">
        <f aca="false">$G10047*'Analyse capacite'!$E$8</f>
        <v>0</v>
      </c>
    </row>
    <row r="10048" customFormat="false" ht="15" hidden="false" customHeight="false" outlineLevel="0" collapsed="false">
      <c r="B10048" s="130" t="n">
        <v>2028</v>
      </c>
      <c r="C10048" s="131" t="s">
        <v>255</v>
      </c>
      <c r="D10048" s="132" t="n">
        <v>46756</v>
      </c>
      <c r="E10048" s="131" t="s">
        <v>62</v>
      </c>
      <c r="F10048" s="133" t="s">
        <v>24</v>
      </c>
      <c r="G10048" s="134" t="n">
        <f aca="false">LEN('Saisie programme'!$E$399)+SUMIFS('Vols additionnels'!$E$7:$E$66,'Vols additionnels'!$C$7:$C$66,$E10048,'Vols additionnels'!$D$7:$D$66,$F10048,'Vols additionnels'!$B$7:$B$66,$D10048)</f>
        <v>0</v>
      </c>
      <c r="H10048" s="135" t="n">
        <f aca="false">$G10048*'Analyse capacite'!$F$9</f>
        <v>0</v>
      </c>
      <c r="I10048" s="135" t="n">
        <f aca="false">$G10048*'Analyse capacite'!$C$9</f>
        <v>0</v>
      </c>
      <c r="J10048" s="135" t="n">
        <f aca="false">$G10048*'Analyse capacite'!$D$9</f>
        <v>0</v>
      </c>
      <c r="K10048" s="135" t="n">
        <f aca="false">$G10048*'Analyse capacite'!$E$9</f>
        <v>0</v>
      </c>
    </row>
    <row r="10049" customFormat="false" ht="15" hidden="false" customHeight="false" outlineLevel="0" collapsed="false">
      <c r="B10049" s="130" t="n">
        <v>2028</v>
      </c>
      <c r="C10049" s="131" t="s">
        <v>255</v>
      </c>
      <c r="D10049" s="132" t="n">
        <v>46757</v>
      </c>
      <c r="E10049" s="131" t="s">
        <v>12</v>
      </c>
      <c r="F10049" s="133" t="s">
        <v>11</v>
      </c>
      <c r="G10049" s="134" t="n">
        <f aca="false">LEN('Saisie programme'!$F$364)+SUMIFS('Vols additionnels'!$E$7:$E$66,'Vols additionnels'!$C$7:$C$66,$E10049,'Vols additionnels'!$D$7:$D$66,$F10049,'Vols additionnels'!$B$7:$B$66,$D10049)</f>
        <v>1</v>
      </c>
      <c r="H10049" s="135" t="n">
        <f aca="false">$G10049*'Analyse capacite'!$F$7</f>
        <v>438</v>
      </c>
      <c r="I10049" s="135" t="n">
        <f aca="false">$G10049*'Analyse capacite'!$C$7</f>
        <v>14</v>
      </c>
      <c r="J10049" s="135" t="n">
        <f aca="false">$G10049*'Analyse capacite'!$D$7</f>
        <v>40</v>
      </c>
      <c r="K10049" s="135" t="n">
        <f aca="false">$G10049*'Analyse capacite'!$E$7</f>
        <v>384</v>
      </c>
    </row>
    <row r="10050" customFormat="false" ht="15" hidden="false" customHeight="false" outlineLevel="0" collapsed="false">
      <c r="B10050" s="130" t="n">
        <v>2028</v>
      </c>
      <c r="C10050" s="131" t="s">
        <v>255</v>
      </c>
      <c r="D10050" s="132" t="n">
        <v>46757</v>
      </c>
      <c r="E10050" s="131" t="s">
        <v>12</v>
      </c>
      <c r="F10050" s="133" t="s">
        <v>19</v>
      </c>
      <c r="G10050" s="134" t="n">
        <f aca="false">LEN('Saisie programme'!$F$365)+SUMIFS('Vols additionnels'!$E$7:$E$66,'Vols additionnels'!$C$7:$C$66,$E10050,'Vols additionnels'!$D$7:$D$66,$F10050,'Vols additionnels'!$B$7:$B$66,$D10050)</f>
        <v>0</v>
      </c>
      <c r="H10050" s="135" t="n">
        <f aca="false">$G10050*'Analyse capacite'!$F$8</f>
        <v>0</v>
      </c>
      <c r="I10050" s="135" t="n">
        <f aca="false">$G10050*'Analyse capacite'!$C$8</f>
        <v>0</v>
      </c>
      <c r="J10050" s="135" t="n">
        <f aca="false">$G10050*'Analyse capacite'!$D$8</f>
        <v>0</v>
      </c>
      <c r="K10050" s="135" t="n">
        <f aca="false">$G10050*'Analyse capacite'!$E$8</f>
        <v>0</v>
      </c>
    </row>
    <row r="10051" customFormat="false" ht="15" hidden="false" customHeight="false" outlineLevel="0" collapsed="false">
      <c r="B10051" s="130" t="n">
        <v>2028</v>
      </c>
      <c r="C10051" s="131" t="s">
        <v>255</v>
      </c>
      <c r="D10051" s="132" t="n">
        <v>46757</v>
      </c>
      <c r="E10051" s="131" t="s">
        <v>12</v>
      </c>
      <c r="F10051" s="133" t="s">
        <v>24</v>
      </c>
      <c r="G10051" s="134" t="n">
        <f aca="false">LEN('Saisie programme'!$F$366)+SUMIFS('Vols additionnels'!$E$7:$E$66,'Vols additionnels'!$C$7:$C$66,$E10051,'Vols additionnels'!$D$7:$D$66,$F10051,'Vols additionnels'!$B$7:$B$66,$D10051)</f>
        <v>0</v>
      </c>
      <c r="H10051" s="135" t="n">
        <f aca="false">$G10051*'Analyse capacite'!$F$9</f>
        <v>0</v>
      </c>
      <c r="I10051" s="135" t="n">
        <f aca="false">$G10051*'Analyse capacite'!$C$9</f>
        <v>0</v>
      </c>
      <c r="J10051" s="135" t="n">
        <f aca="false">$G10051*'Analyse capacite'!$D$9</f>
        <v>0</v>
      </c>
      <c r="K10051" s="135" t="n">
        <f aca="false">$G10051*'Analyse capacite'!$E$9</f>
        <v>0</v>
      </c>
    </row>
    <row r="10052" customFormat="false" ht="15" hidden="false" customHeight="false" outlineLevel="0" collapsed="false">
      <c r="B10052" s="130" t="n">
        <v>2028</v>
      </c>
      <c r="C10052" s="131" t="s">
        <v>255</v>
      </c>
      <c r="D10052" s="132" t="n">
        <v>46757</v>
      </c>
      <c r="E10052" s="131" t="s">
        <v>20</v>
      </c>
      <c r="F10052" s="133" t="s">
        <v>11</v>
      </c>
      <c r="G10052" s="134" t="n">
        <f aca="false">LEN('Saisie programme'!$F$367)+SUMIFS('Vols additionnels'!$E$7:$E$66,'Vols additionnels'!$C$7:$C$66,$E10052,'Vols additionnels'!$D$7:$D$66,$F10052,'Vols additionnels'!$B$7:$B$66,$D10052)</f>
        <v>0</v>
      </c>
      <c r="H10052" s="135" t="n">
        <f aca="false">$G10052*'Analyse capacite'!$F$7</f>
        <v>0</v>
      </c>
      <c r="I10052" s="135" t="n">
        <f aca="false">$G10052*'Analyse capacite'!$C$7</f>
        <v>0</v>
      </c>
      <c r="J10052" s="135" t="n">
        <f aca="false">$G10052*'Analyse capacite'!$D$7</f>
        <v>0</v>
      </c>
      <c r="K10052" s="135" t="n">
        <f aca="false">$G10052*'Analyse capacite'!$E$7</f>
        <v>0</v>
      </c>
    </row>
    <row r="10053" customFormat="false" ht="15" hidden="false" customHeight="false" outlineLevel="0" collapsed="false">
      <c r="B10053" s="130" t="n">
        <v>2028</v>
      </c>
      <c r="C10053" s="131" t="s">
        <v>255</v>
      </c>
      <c r="D10053" s="132" t="n">
        <v>46757</v>
      </c>
      <c r="E10053" s="131" t="s">
        <v>20</v>
      </c>
      <c r="F10053" s="133" t="s">
        <v>19</v>
      </c>
      <c r="G10053" s="134" t="n">
        <f aca="false">LEN('Saisie programme'!$F$368)+SUMIFS('Vols additionnels'!$E$7:$E$66,'Vols additionnels'!$C$7:$C$66,$E10053,'Vols additionnels'!$D$7:$D$66,$F10053,'Vols additionnels'!$B$7:$B$66,$D10053)</f>
        <v>0</v>
      </c>
      <c r="H10053" s="135" t="n">
        <f aca="false">$G10053*'Analyse capacite'!$F$8</f>
        <v>0</v>
      </c>
      <c r="I10053" s="135" t="n">
        <f aca="false">$G10053*'Analyse capacite'!$C$8</f>
        <v>0</v>
      </c>
      <c r="J10053" s="135" t="n">
        <f aca="false">$G10053*'Analyse capacite'!$D$8</f>
        <v>0</v>
      </c>
      <c r="K10053" s="135" t="n">
        <f aca="false">$G10053*'Analyse capacite'!$E$8</f>
        <v>0</v>
      </c>
    </row>
    <row r="10054" customFormat="false" ht="15" hidden="false" customHeight="false" outlineLevel="0" collapsed="false">
      <c r="B10054" s="130" t="n">
        <v>2028</v>
      </c>
      <c r="C10054" s="131" t="s">
        <v>255</v>
      </c>
      <c r="D10054" s="132" t="n">
        <v>46757</v>
      </c>
      <c r="E10054" s="131" t="s">
        <v>20</v>
      </c>
      <c r="F10054" s="133" t="s">
        <v>24</v>
      </c>
      <c r="G10054" s="134" t="n">
        <f aca="false">LEN('Saisie programme'!$F$369)+SUMIFS('Vols additionnels'!$E$7:$E$66,'Vols additionnels'!$C$7:$C$66,$E10054,'Vols additionnels'!$D$7:$D$66,$F10054,'Vols additionnels'!$B$7:$B$66,$D10054)</f>
        <v>0</v>
      </c>
      <c r="H10054" s="135" t="n">
        <f aca="false">$G10054*'Analyse capacite'!$F$9</f>
        <v>0</v>
      </c>
      <c r="I10054" s="135" t="n">
        <f aca="false">$G10054*'Analyse capacite'!$C$9</f>
        <v>0</v>
      </c>
      <c r="J10054" s="135" t="n">
        <f aca="false">$G10054*'Analyse capacite'!$D$9</f>
        <v>0</v>
      </c>
      <c r="K10054" s="135" t="n">
        <f aca="false">$G10054*'Analyse capacite'!$E$9</f>
        <v>0</v>
      </c>
    </row>
    <row r="10055" customFormat="false" ht="15" hidden="false" customHeight="false" outlineLevel="0" collapsed="false">
      <c r="B10055" s="130" t="n">
        <v>2028</v>
      </c>
      <c r="C10055" s="131" t="s">
        <v>255</v>
      </c>
      <c r="D10055" s="132" t="n">
        <v>46757</v>
      </c>
      <c r="E10055" s="131" t="s">
        <v>25</v>
      </c>
      <c r="F10055" s="133" t="s">
        <v>11</v>
      </c>
      <c r="G10055" s="134" t="n">
        <f aca="false">LEN('Saisie programme'!$F$370)+SUMIFS('Vols additionnels'!$E$7:$E$66,'Vols additionnels'!$C$7:$C$66,$E10055,'Vols additionnels'!$D$7:$D$66,$F10055,'Vols additionnels'!$B$7:$B$66,$D10055)</f>
        <v>0</v>
      </c>
      <c r="H10055" s="135" t="n">
        <f aca="false">$G10055*'Analyse capacite'!$F$7</f>
        <v>0</v>
      </c>
      <c r="I10055" s="135" t="n">
        <f aca="false">$G10055*'Analyse capacite'!$C$7</f>
        <v>0</v>
      </c>
      <c r="J10055" s="135" t="n">
        <f aca="false">$G10055*'Analyse capacite'!$D$7</f>
        <v>0</v>
      </c>
      <c r="K10055" s="135" t="n">
        <f aca="false">$G10055*'Analyse capacite'!$E$7</f>
        <v>0</v>
      </c>
    </row>
    <row r="10056" customFormat="false" ht="15" hidden="false" customHeight="false" outlineLevel="0" collapsed="false">
      <c r="B10056" s="130" t="n">
        <v>2028</v>
      </c>
      <c r="C10056" s="131" t="s">
        <v>255</v>
      </c>
      <c r="D10056" s="132" t="n">
        <v>46757</v>
      </c>
      <c r="E10056" s="131" t="s">
        <v>25</v>
      </c>
      <c r="F10056" s="133" t="s">
        <v>19</v>
      </c>
      <c r="G10056" s="134" t="n">
        <f aca="false">LEN('Saisie programme'!$F$371)+SUMIFS('Vols additionnels'!$E$7:$E$66,'Vols additionnels'!$C$7:$C$66,$E10056,'Vols additionnels'!$D$7:$D$66,$F10056,'Vols additionnels'!$B$7:$B$66,$D10056)</f>
        <v>1</v>
      </c>
      <c r="H10056" s="135" t="n">
        <f aca="false">$G10056*'Analyse capacite'!$F$8</f>
        <v>262</v>
      </c>
      <c r="I10056" s="135" t="n">
        <f aca="false">$G10056*'Analyse capacite'!$C$8</f>
        <v>18</v>
      </c>
      <c r="J10056" s="135" t="n">
        <f aca="false">$G10056*'Analyse capacite'!$D$8</f>
        <v>0</v>
      </c>
      <c r="K10056" s="135" t="n">
        <f aca="false">$G10056*'Analyse capacite'!$E$8</f>
        <v>244</v>
      </c>
    </row>
    <row r="10057" customFormat="false" ht="15" hidden="false" customHeight="false" outlineLevel="0" collapsed="false">
      <c r="B10057" s="130" t="n">
        <v>2028</v>
      </c>
      <c r="C10057" s="131" t="s">
        <v>255</v>
      </c>
      <c r="D10057" s="132" t="n">
        <v>46757</v>
      </c>
      <c r="E10057" s="131" t="s">
        <v>25</v>
      </c>
      <c r="F10057" s="133" t="s">
        <v>24</v>
      </c>
      <c r="G10057" s="134" t="n">
        <f aca="false">LEN('Saisie programme'!$F$372)+SUMIFS('Vols additionnels'!$E$7:$E$66,'Vols additionnels'!$C$7:$C$66,$E10057,'Vols additionnels'!$D$7:$D$66,$F10057,'Vols additionnels'!$B$7:$B$66,$D10057)</f>
        <v>0</v>
      </c>
      <c r="H10057" s="135" t="n">
        <f aca="false">$G10057*'Analyse capacite'!$F$9</f>
        <v>0</v>
      </c>
      <c r="I10057" s="135" t="n">
        <f aca="false">$G10057*'Analyse capacite'!$C$9</f>
        <v>0</v>
      </c>
      <c r="J10057" s="135" t="n">
        <f aca="false">$G10057*'Analyse capacite'!$D$9</f>
        <v>0</v>
      </c>
      <c r="K10057" s="135" t="n">
        <f aca="false">$G10057*'Analyse capacite'!$E$9</f>
        <v>0</v>
      </c>
    </row>
    <row r="10058" customFormat="false" ht="15" hidden="false" customHeight="false" outlineLevel="0" collapsed="false">
      <c r="B10058" s="130" t="n">
        <v>2028</v>
      </c>
      <c r="C10058" s="131" t="s">
        <v>255</v>
      </c>
      <c r="D10058" s="132" t="n">
        <v>46757</v>
      </c>
      <c r="E10058" s="131" t="s">
        <v>36</v>
      </c>
      <c r="F10058" s="133" t="s">
        <v>11</v>
      </c>
      <c r="G10058" s="134" t="n">
        <f aca="false">LEN('Saisie programme'!$F$373)+SUMIFS('Vols additionnels'!$E$7:$E$66,'Vols additionnels'!$C$7:$C$66,$E10058,'Vols additionnels'!$D$7:$D$66,$F10058,'Vols additionnels'!$B$7:$B$66,$D10058)</f>
        <v>0</v>
      </c>
      <c r="H10058" s="135" t="n">
        <f aca="false">$G10058*'Analyse capacite'!$F$7</f>
        <v>0</v>
      </c>
      <c r="I10058" s="135" t="n">
        <f aca="false">$G10058*'Analyse capacite'!$C$7</f>
        <v>0</v>
      </c>
      <c r="J10058" s="135" t="n">
        <f aca="false">$G10058*'Analyse capacite'!$D$7</f>
        <v>0</v>
      </c>
      <c r="K10058" s="135" t="n">
        <f aca="false">$G10058*'Analyse capacite'!$E$7</f>
        <v>0</v>
      </c>
    </row>
    <row r="10059" customFormat="false" ht="15" hidden="false" customHeight="false" outlineLevel="0" collapsed="false">
      <c r="B10059" s="130" t="n">
        <v>2028</v>
      </c>
      <c r="C10059" s="131" t="s">
        <v>255</v>
      </c>
      <c r="D10059" s="132" t="n">
        <v>46757</v>
      </c>
      <c r="E10059" s="131" t="s">
        <v>36</v>
      </c>
      <c r="F10059" s="133" t="s">
        <v>19</v>
      </c>
      <c r="G10059" s="134" t="n">
        <f aca="false">LEN('Saisie programme'!$F$374)+SUMIFS('Vols additionnels'!$E$7:$E$66,'Vols additionnels'!$C$7:$C$66,$E10059,'Vols additionnels'!$D$7:$D$66,$F10059,'Vols additionnels'!$B$7:$B$66,$D10059)</f>
        <v>1</v>
      </c>
      <c r="H10059" s="135" t="n">
        <f aca="false">$G10059*'Analyse capacite'!$F$8</f>
        <v>262</v>
      </c>
      <c r="I10059" s="135" t="n">
        <f aca="false">$G10059*'Analyse capacite'!$C$8</f>
        <v>18</v>
      </c>
      <c r="J10059" s="135" t="n">
        <f aca="false">$G10059*'Analyse capacite'!$D$8</f>
        <v>0</v>
      </c>
      <c r="K10059" s="135" t="n">
        <f aca="false">$G10059*'Analyse capacite'!$E$8</f>
        <v>244</v>
      </c>
    </row>
    <row r="10060" customFormat="false" ht="15" hidden="false" customHeight="false" outlineLevel="0" collapsed="false">
      <c r="B10060" s="130" t="n">
        <v>2028</v>
      </c>
      <c r="C10060" s="131" t="s">
        <v>255</v>
      </c>
      <c r="D10060" s="132" t="n">
        <v>46757</v>
      </c>
      <c r="E10060" s="131" t="s">
        <v>36</v>
      </c>
      <c r="F10060" s="133" t="s">
        <v>24</v>
      </c>
      <c r="G10060" s="134" t="n">
        <f aca="false">LEN('Saisie programme'!$F$375)+SUMIFS('Vols additionnels'!$E$7:$E$66,'Vols additionnels'!$C$7:$C$66,$E10060,'Vols additionnels'!$D$7:$D$66,$F10060,'Vols additionnels'!$B$7:$B$66,$D10060)</f>
        <v>1</v>
      </c>
      <c r="H10060" s="135" t="n">
        <f aca="false">$G10060*'Analyse capacite'!$F$9</f>
        <v>174</v>
      </c>
      <c r="I10060" s="135" t="n">
        <f aca="false">$G10060*'Analyse capacite'!$C$9</f>
        <v>0</v>
      </c>
      <c r="J10060" s="135" t="n">
        <f aca="false">$G10060*'Analyse capacite'!$D$9</f>
        <v>12</v>
      </c>
      <c r="K10060" s="135" t="n">
        <f aca="false">$G10060*'Analyse capacite'!$E$9</f>
        <v>162</v>
      </c>
    </row>
    <row r="10061" customFormat="false" ht="15" hidden="false" customHeight="false" outlineLevel="0" collapsed="false">
      <c r="B10061" s="130" t="n">
        <v>2028</v>
      </c>
      <c r="C10061" s="131" t="s">
        <v>255</v>
      </c>
      <c r="D10061" s="132" t="n">
        <v>46757</v>
      </c>
      <c r="E10061" s="131" t="s">
        <v>40</v>
      </c>
      <c r="F10061" s="133" t="s">
        <v>11</v>
      </c>
      <c r="G10061" s="134" t="n">
        <f aca="false">LEN('Saisie programme'!$F$376)+SUMIFS('Vols additionnels'!$E$7:$E$66,'Vols additionnels'!$C$7:$C$66,$E10061,'Vols additionnels'!$D$7:$D$66,$F10061,'Vols additionnels'!$B$7:$B$66,$D10061)</f>
        <v>0</v>
      </c>
      <c r="H10061" s="135" t="n">
        <f aca="false">$G10061*'Analyse capacite'!$F$7</f>
        <v>0</v>
      </c>
      <c r="I10061" s="135" t="n">
        <f aca="false">$G10061*'Analyse capacite'!$C$7</f>
        <v>0</v>
      </c>
      <c r="J10061" s="135" t="n">
        <f aca="false">$G10061*'Analyse capacite'!$D$7</f>
        <v>0</v>
      </c>
      <c r="K10061" s="135" t="n">
        <f aca="false">$G10061*'Analyse capacite'!$E$7</f>
        <v>0</v>
      </c>
    </row>
    <row r="10062" customFormat="false" ht="15" hidden="false" customHeight="false" outlineLevel="0" collapsed="false">
      <c r="B10062" s="130" t="n">
        <v>2028</v>
      </c>
      <c r="C10062" s="131" t="s">
        <v>255</v>
      </c>
      <c r="D10062" s="132" t="n">
        <v>46757</v>
      </c>
      <c r="E10062" s="131" t="s">
        <v>40</v>
      </c>
      <c r="F10062" s="133" t="s">
        <v>19</v>
      </c>
      <c r="G10062" s="134" t="n">
        <f aca="false">LEN('Saisie programme'!$F$377)+SUMIFS('Vols additionnels'!$E$7:$E$66,'Vols additionnels'!$C$7:$C$66,$E10062,'Vols additionnels'!$D$7:$D$66,$F10062,'Vols additionnels'!$B$7:$B$66,$D10062)</f>
        <v>0</v>
      </c>
      <c r="H10062" s="135" t="n">
        <f aca="false">$G10062*'Analyse capacite'!$F$8</f>
        <v>0</v>
      </c>
      <c r="I10062" s="135" t="n">
        <f aca="false">$G10062*'Analyse capacite'!$C$8</f>
        <v>0</v>
      </c>
      <c r="J10062" s="135" t="n">
        <f aca="false">$G10062*'Analyse capacite'!$D$8</f>
        <v>0</v>
      </c>
      <c r="K10062" s="135" t="n">
        <f aca="false">$G10062*'Analyse capacite'!$E$8</f>
        <v>0</v>
      </c>
    </row>
    <row r="10063" customFormat="false" ht="15" hidden="false" customHeight="false" outlineLevel="0" collapsed="false">
      <c r="B10063" s="130" t="n">
        <v>2028</v>
      </c>
      <c r="C10063" s="131" t="s">
        <v>255</v>
      </c>
      <c r="D10063" s="132" t="n">
        <v>46757</v>
      </c>
      <c r="E10063" s="131" t="s">
        <v>40</v>
      </c>
      <c r="F10063" s="133" t="s">
        <v>24</v>
      </c>
      <c r="G10063" s="134" t="n">
        <f aca="false">LEN('Saisie programme'!$F$378)+SUMIFS('Vols additionnels'!$E$7:$E$66,'Vols additionnels'!$C$7:$C$66,$E10063,'Vols additionnels'!$D$7:$D$66,$F10063,'Vols additionnels'!$B$7:$B$66,$D10063)</f>
        <v>1</v>
      </c>
      <c r="H10063" s="135" t="n">
        <f aca="false">$G10063*'Analyse capacite'!$F$9</f>
        <v>174</v>
      </c>
      <c r="I10063" s="135" t="n">
        <f aca="false">$G10063*'Analyse capacite'!$C$9</f>
        <v>0</v>
      </c>
      <c r="J10063" s="135" t="n">
        <f aca="false">$G10063*'Analyse capacite'!$D$9</f>
        <v>12</v>
      </c>
      <c r="K10063" s="135" t="n">
        <f aca="false">$G10063*'Analyse capacite'!$E$9</f>
        <v>162</v>
      </c>
    </row>
    <row r="10064" customFormat="false" ht="15" hidden="false" customHeight="false" outlineLevel="0" collapsed="false">
      <c r="B10064" s="130" t="n">
        <v>2028</v>
      </c>
      <c r="C10064" s="131" t="s">
        <v>255</v>
      </c>
      <c r="D10064" s="132" t="n">
        <v>46757</v>
      </c>
      <c r="E10064" s="131" t="s">
        <v>14</v>
      </c>
      <c r="F10064" s="133" t="s">
        <v>11</v>
      </c>
      <c r="G10064" s="134" t="n">
        <f aca="false">LEN('Saisie programme'!$F$379)+SUMIFS('Vols additionnels'!$E$7:$E$66,'Vols additionnels'!$C$7:$C$66,$E10064,'Vols additionnels'!$D$7:$D$66,$F10064,'Vols additionnels'!$B$7:$B$66,$D10064)</f>
        <v>0</v>
      </c>
      <c r="H10064" s="135" t="n">
        <f aca="false">$G10064*'Analyse capacite'!$F$7</f>
        <v>0</v>
      </c>
      <c r="I10064" s="135" t="n">
        <f aca="false">$G10064*'Analyse capacite'!$C$7</f>
        <v>0</v>
      </c>
      <c r="J10064" s="135" t="n">
        <f aca="false">$G10064*'Analyse capacite'!$D$7</f>
        <v>0</v>
      </c>
      <c r="K10064" s="135" t="n">
        <f aca="false">$G10064*'Analyse capacite'!$E$7</f>
        <v>0</v>
      </c>
    </row>
    <row r="10065" customFormat="false" ht="15" hidden="false" customHeight="false" outlineLevel="0" collapsed="false">
      <c r="B10065" s="130" t="n">
        <v>2028</v>
      </c>
      <c r="C10065" s="131" t="s">
        <v>255</v>
      </c>
      <c r="D10065" s="132" t="n">
        <v>46757</v>
      </c>
      <c r="E10065" s="131" t="s">
        <v>14</v>
      </c>
      <c r="F10065" s="133" t="s">
        <v>19</v>
      </c>
      <c r="G10065" s="134" t="n">
        <f aca="false">LEN('Saisie programme'!$F$380)+SUMIFS('Vols additionnels'!$E$7:$E$66,'Vols additionnels'!$C$7:$C$66,$E10065,'Vols additionnels'!$D$7:$D$66,$F10065,'Vols additionnels'!$B$7:$B$66,$D10065)</f>
        <v>0</v>
      </c>
      <c r="H10065" s="135" t="n">
        <f aca="false">$G10065*'Analyse capacite'!$F$8</f>
        <v>0</v>
      </c>
      <c r="I10065" s="135" t="n">
        <f aca="false">$G10065*'Analyse capacite'!$C$8</f>
        <v>0</v>
      </c>
      <c r="J10065" s="135" t="n">
        <f aca="false">$G10065*'Analyse capacite'!$D$8</f>
        <v>0</v>
      </c>
      <c r="K10065" s="135" t="n">
        <f aca="false">$G10065*'Analyse capacite'!$E$8</f>
        <v>0</v>
      </c>
    </row>
    <row r="10066" customFormat="false" ht="15" hidden="false" customHeight="false" outlineLevel="0" collapsed="false">
      <c r="B10066" s="130" t="n">
        <v>2028</v>
      </c>
      <c r="C10066" s="131" t="s">
        <v>255</v>
      </c>
      <c r="D10066" s="132" t="n">
        <v>46757</v>
      </c>
      <c r="E10066" s="131" t="s">
        <v>14</v>
      </c>
      <c r="F10066" s="133" t="s">
        <v>24</v>
      </c>
      <c r="G10066" s="134" t="n">
        <f aca="false">LEN('Saisie programme'!$F$381)+SUMIFS('Vols additionnels'!$E$7:$E$66,'Vols additionnels'!$C$7:$C$66,$E10066,'Vols additionnels'!$D$7:$D$66,$F10066,'Vols additionnels'!$B$7:$B$66,$D10066)</f>
        <v>0</v>
      </c>
      <c r="H10066" s="135" t="n">
        <f aca="false">$G10066*'Analyse capacite'!$F$9</f>
        <v>0</v>
      </c>
      <c r="I10066" s="135" t="n">
        <f aca="false">$G10066*'Analyse capacite'!$C$9</f>
        <v>0</v>
      </c>
      <c r="J10066" s="135" t="n">
        <f aca="false">$G10066*'Analyse capacite'!$D$9</f>
        <v>0</v>
      </c>
      <c r="K10066" s="135" t="n">
        <f aca="false">$G10066*'Analyse capacite'!$E$9</f>
        <v>0</v>
      </c>
    </row>
    <row r="10067" customFormat="false" ht="15" hidden="false" customHeight="false" outlineLevel="0" collapsed="false">
      <c r="B10067" s="130" t="n">
        <v>2028</v>
      </c>
      <c r="C10067" s="131" t="s">
        <v>255</v>
      </c>
      <c r="D10067" s="132" t="n">
        <v>46757</v>
      </c>
      <c r="E10067" s="131" t="s">
        <v>46</v>
      </c>
      <c r="F10067" s="133" t="s">
        <v>11</v>
      </c>
      <c r="G10067" s="134" t="n">
        <f aca="false">LEN('Saisie programme'!$F$382)+SUMIFS('Vols additionnels'!$E$7:$E$66,'Vols additionnels'!$C$7:$C$66,$E10067,'Vols additionnels'!$D$7:$D$66,$F10067,'Vols additionnels'!$B$7:$B$66,$D10067)</f>
        <v>0</v>
      </c>
      <c r="H10067" s="135" t="n">
        <f aca="false">$G10067*'Analyse capacite'!$F$7</f>
        <v>0</v>
      </c>
      <c r="I10067" s="135" t="n">
        <f aca="false">$G10067*'Analyse capacite'!$C$7</f>
        <v>0</v>
      </c>
      <c r="J10067" s="135" t="n">
        <f aca="false">$G10067*'Analyse capacite'!$D$7</f>
        <v>0</v>
      </c>
      <c r="K10067" s="135" t="n">
        <f aca="false">$G10067*'Analyse capacite'!$E$7</f>
        <v>0</v>
      </c>
    </row>
    <row r="10068" customFormat="false" ht="15" hidden="false" customHeight="false" outlineLevel="0" collapsed="false">
      <c r="B10068" s="130" t="n">
        <v>2028</v>
      </c>
      <c r="C10068" s="131" t="s">
        <v>255</v>
      </c>
      <c r="D10068" s="132" t="n">
        <v>46757</v>
      </c>
      <c r="E10068" s="131" t="s">
        <v>46</v>
      </c>
      <c r="F10068" s="133" t="s">
        <v>19</v>
      </c>
      <c r="G10068" s="134" t="n">
        <f aca="false">LEN('Saisie programme'!$F$383)+SUMIFS('Vols additionnels'!$E$7:$E$66,'Vols additionnels'!$C$7:$C$66,$E10068,'Vols additionnels'!$D$7:$D$66,$F10068,'Vols additionnels'!$B$7:$B$66,$D10068)</f>
        <v>0</v>
      </c>
      <c r="H10068" s="135" t="n">
        <f aca="false">$G10068*'Analyse capacite'!$F$8</f>
        <v>0</v>
      </c>
      <c r="I10068" s="135" t="n">
        <f aca="false">$G10068*'Analyse capacite'!$C$8</f>
        <v>0</v>
      </c>
      <c r="J10068" s="135" t="n">
        <f aca="false">$G10068*'Analyse capacite'!$D$8</f>
        <v>0</v>
      </c>
      <c r="K10068" s="135" t="n">
        <f aca="false">$G10068*'Analyse capacite'!$E$8</f>
        <v>0</v>
      </c>
    </row>
    <row r="10069" customFormat="false" ht="15" hidden="false" customHeight="false" outlineLevel="0" collapsed="false">
      <c r="B10069" s="130" t="n">
        <v>2028</v>
      </c>
      <c r="C10069" s="131" t="s">
        <v>255</v>
      </c>
      <c r="D10069" s="132" t="n">
        <v>46757</v>
      </c>
      <c r="E10069" s="131" t="s">
        <v>46</v>
      </c>
      <c r="F10069" s="133" t="s">
        <v>24</v>
      </c>
      <c r="G10069" s="134" t="n">
        <f aca="false">LEN('Saisie programme'!$F$384)+SUMIFS('Vols additionnels'!$E$7:$E$66,'Vols additionnels'!$C$7:$C$66,$E10069,'Vols additionnels'!$D$7:$D$66,$F10069,'Vols additionnels'!$B$7:$B$66,$D10069)</f>
        <v>0</v>
      </c>
      <c r="H10069" s="135" t="n">
        <f aca="false">$G10069*'Analyse capacite'!$F$9</f>
        <v>0</v>
      </c>
      <c r="I10069" s="135" t="n">
        <f aca="false">$G10069*'Analyse capacite'!$C$9</f>
        <v>0</v>
      </c>
      <c r="J10069" s="135" t="n">
        <f aca="false">$G10069*'Analyse capacite'!$D$9</f>
        <v>0</v>
      </c>
      <c r="K10069" s="135" t="n">
        <f aca="false">$G10069*'Analyse capacite'!$E$9</f>
        <v>0</v>
      </c>
    </row>
    <row r="10070" customFormat="false" ht="15" hidden="false" customHeight="false" outlineLevel="0" collapsed="false">
      <c r="B10070" s="130" t="n">
        <v>2028</v>
      </c>
      <c r="C10070" s="131" t="s">
        <v>255</v>
      </c>
      <c r="D10070" s="132" t="n">
        <v>46757</v>
      </c>
      <c r="E10070" s="131" t="s">
        <v>49</v>
      </c>
      <c r="F10070" s="133" t="s">
        <v>11</v>
      </c>
      <c r="G10070" s="134" t="n">
        <f aca="false">LEN('Saisie programme'!$F$385)+SUMIFS('Vols additionnels'!$E$7:$E$66,'Vols additionnels'!$C$7:$C$66,$E10070,'Vols additionnels'!$D$7:$D$66,$F10070,'Vols additionnels'!$B$7:$B$66,$D10070)</f>
        <v>0</v>
      </c>
      <c r="H10070" s="135" t="n">
        <f aca="false">$G10070*'Analyse capacite'!$F$7</f>
        <v>0</v>
      </c>
      <c r="I10070" s="135" t="n">
        <f aca="false">$G10070*'Analyse capacite'!$C$7</f>
        <v>0</v>
      </c>
      <c r="J10070" s="135" t="n">
        <f aca="false">$G10070*'Analyse capacite'!$D$7</f>
        <v>0</v>
      </c>
      <c r="K10070" s="135" t="n">
        <f aca="false">$G10070*'Analyse capacite'!$E$7</f>
        <v>0</v>
      </c>
    </row>
    <row r="10071" customFormat="false" ht="15" hidden="false" customHeight="false" outlineLevel="0" collapsed="false">
      <c r="B10071" s="130" t="n">
        <v>2028</v>
      </c>
      <c r="C10071" s="131" t="s">
        <v>255</v>
      </c>
      <c r="D10071" s="132" t="n">
        <v>46757</v>
      </c>
      <c r="E10071" s="131" t="s">
        <v>49</v>
      </c>
      <c r="F10071" s="133" t="s">
        <v>19</v>
      </c>
      <c r="G10071" s="134" t="n">
        <f aca="false">LEN('Saisie programme'!$F$386)+SUMIFS('Vols additionnels'!$E$7:$E$66,'Vols additionnels'!$C$7:$C$66,$E10071,'Vols additionnels'!$D$7:$D$66,$F10071,'Vols additionnels'!$B$7:$B$66,$D10071)</f>
        <v>0</v>
      </c>
      <c r="H10071" s="135" t="n">
        <f aca="false">$G10071*'Analyse capacite'!$F$8</f>
        <v>0</v>
      </c>
      <c r="I10071" s="135" t="n">
        <f aca="false">$G10071*'Analyse capacite'!$C$8</f>
        <v>0</v>
      </c>
      <c r="J10071" s="135" t="n">
        <f aca="false">$G10071*'Analyse capacite'!$D$8</f>
        <v>0</v>
      </c>
      <c r="K10071" s="135" t="n">
        <f aca="false">$G10071*'Analyse capacite'!$E$8</f>
        <v>0</v>
      </c>
    </row>
    <row r="10072" customFormat="false" ht="15" hidden="false" customHeight="false" outlineLevel="0" collapsed="false">
      <c r="B10072" s="130" t="n">
        <v>2028</v>
      </c>
      <c r="C10072" s="131" t="s">
        <v>255</v>
      </c>
      <c r="D10072" s="132" t="n">
        <v>46757</v>
      </c>
      <c r="E10072" s="131" t="s">
        <v>49</v>
      </c>
      <c r="F10072" s="133" t="s">
        <v>24</v>
      </c>
      <c r="G10072" s="134" t="n">
        <f aca="false">LEN('Saisie programme'!$F$387)+SUMIFS('Vols additionnels'!$E$7:$E$66,'Vols additionnels'!$C$7:$C$66,$E10072,'Vols additionnels'!$D$7:$D$66,$F10072,'Vols additionnels'!$B$7:$B$66,$D10072)</f>
        <v>0</v>
      </c>
      <c r="H10072" s="135" t="n">
        <f aca="false">$G10072*'Analyse capacite'!$F$9</f>
        <v>0</v>
      </c>
      <c r="I10072" s="135" t="n">
        <f aca="false">$G10072*'Analyse capacite'!$C$9</f>
        <v>0</v>
      </c>
      <c r="J10072" s="135" t="n">
        <f aca="false">$G10072*'Analyse capacite'!$D$9</f>
        <v>0</v>
      </c>
      <c r="K10072" s="135" t="n">
        <f aca="false">$G10072*'Analyse capacite'!$E$9</f>
        <v>0</v>
      </c>
    </row>
    <row r="10073" customFormat="false" ht="15" hidden="false" customHeight="false" outlineLevel="0" collapsed="false">
      <c r="B10073" s="130" t="n">
        <v>2028</v>
      </c>
      <c r="C10073" s="131" t="s">
        <v>255</v>
      </c>
      <c r="D10073" s="132" t="n">
        <v>46757</v>
      </c>
      <c r="E10073" s="131" t="s">
        <v>53</v>
      </c>
      <c r="F10073" s="133" t="s">
        <v>11</v>
      </c>
      <c r="G10073" s="134" t="n">
        <f aca="false">LEN('Saisie programme'!$F$388)+SUMIFS('Vols additionnels'!$E$7:$E$66,'Vols additionnels'!$C$7:$C$66,$E10073,'Vols additionnels'!$D$7:$D$66,$F10073,'Vols additionnels'!$B$7:$B$66,$D10073)</f>
        <v>0</v>
      </c>
      <c r="H10073" s="135" t="n">
        <f aca="false">$G10073*'Analyse capacite'!$F$7</f>
        <v>0</v>
      </c>
      <c r="I10073" s="135" t="n">
        <f aca="false">$G10073*'Analyse capacite'!$C$7</f>
        <v>0</v>
      </c>
      <c r="J10073" s="135" t="n">
        <f aca="false">$G10073*'Analyse capacite'!$D$7</f>
        <v>0</v>
      </c>
      <c r="K10073" s="135" t="n">
        <f aca="false">$G10073*'Analyse capacite'!$E$7</f>
        <v>0</v>
      </c>
    </row>
    <row r="10074" customFormat="false" ht="15" hidden="false" customHeight="false" outlineLevel="0" collapsed="false">
      <c r="B10074" s="130" t="n">
        <v>2028</v>
      </c>
      <c r="C10074" s="131" t="s">
        <v>255</v>
      </c>
      <c r="D10074" s="132" t="n">
        <v>46757</v>
      </c>
      <c r="E10074" s="131" t="s">
        <v>53</v>
      </c>
      <c r="F10074" s="133" t="s">
        <v>19</v>
      </c>
      <c r="G10074" s="134" t="n">
        <f aca="false">LEN('Saisie programme'!$F$389)+SUMIFS('Vols additionnels'!$E$7:$E$66,'Vols additionnels'!$C$7:$C$66,$E10074,'Vols additionnels'!$D$7:$D$66,$F10074,'Vols additionnels'!$B$7:$B$66,$D10074)</f>
        <v>0</v>
      </c>
      <c r="H10074" s="135" t="n">
        <f aca="false">$G10074*'Analyse capacite'!$F$8</f>
        <v>0</v>
      </c>
      <c r="I10074" s="135" t="n">
        <f aca="false">$G10074*'Analyse capacite'!$C$8</f>
        <v>0</v>
      </c>
      <c r="J10074" s="135" t="n">
        <f aca="false">$G10074*'Analyse capacite'!$D$8</f>
        <v>0</v>
      </c>
      <c r="K10074" s="135" t="n">
        <f aca="false">$G10074*'Analyse capacite'!$E$8</f>
        <v>0</v>
      </c>
    </row>
    <row r="10075" customFormat="false" ht="15" hidden="false" customHeight="false" outlineLevel="0" collapsed="false">
      <c r="B10075" s="130" t="n">
        <v>2028</v>
      </c>
      <c r="C10075" s="131" t="s">
        <v>255</v>
      </c>
      <c r="D10075" s="132" t="n">
        <v>46757</v>
      </c>
      <c r="E10075" s="131" t="s">
        <v>53</v>
      </c>
      <c r="F10075" s="133" t="s">
        <v>24</v>
      </c>
      <c r="G10075" s="134" t="n">
        <f aca="false">LEN('Saisie programme'!$F$390)+SUMIFS('Vols additionnels'!$E$7:$E$66,'Vols additionnels'!$C$7:$C$66,$E10075,'Vols additionnels'!$D$7:$D$66,$F10075,'Vols additionnels'!$B$7:$B$66,$D10075)</f>
        <v>0</v>
      </c>
      <c r="H10075" s="135" t="n">
        <f aca="false">$G10075*'Analyse capacite'!$F$9</f>
        <v>0</v>
      </c>
      <c r="I10075" s="135" t="n">
        <f aca="false">$G10075*'Analyse capacite'!$C$9</f>
        <v>0</v>
      </c>
      <c r="J10075" s="135" t="n">
        <f aca="false">$G10075*'Analyse capacite'!$D$9</f>
        <v>0</v>
      </c>
      <c r="K10075" s="135" t="n">
        <f aca="false">$G10075*'Analyse capacite'!$E$9</f>
        <v>0</v>
      </c>
    </row>
    <row r="10076" customFormat="false" ht="15" hidden="false" customHeight="false" outlineLevel="0" collapsed="false">
      <c r="B10076" s="130" t="n">
        <v>2028</v>
      </c>
      <c r="C10076" s="131" t="s">
        <v>255</v>
      </c>
      <c r="D10076" s="132" t="n">
        <v>46757</v>
      </c>
      <c r="E10076" s="131" t="s">
        <v>56</v>
      </c>
      <c r="F10076" s="133" t="s">
        <v>11</v>
      </c>
      <c r="G10076" s="134" t="n">
        <f aca="false">LEN('Saisie programme'!$F$391)+SUMIFS('Vols additionnels'!$E$7:$E$66,'Vols additionnels'!$C$7:$C$66,$E10076,'Vols additionnels'!$D$7:$D$66,$F10076,'Vols additionnels'!$B$7:$B$66,$D10076)</f>
        <v>0</v>
      </c>
      <c r="H10076" s="135" t="n">
        <f aca="false">$G10076*'Analyse capacite'!$F$7</f>
        <v>0</v>
      </c>
      <c r="I10076" s="135" t="n">
        <f aca="false">$G10076*'Analyse capacite'!$C$7</f>
        <v>0</v>
      </c>
      <c r="J10076" s="135" t="n">
        <f aca="false">$G10076*'Analyse capacite'!$D$7</f>
        <v>0</v>
      </c>
      <c r="K10076" s="135" t="n">
        <f aca="false">$G10076*'Analyse capacite'!$E$7</f>
        <v>0</v>
      </c>
    </row>
    <row r="10077" customFormat="false" ht="15" hidden="false" customHeight="false" outlineLevel="0" collapsed="false">
      <c r="B10077" s="130" t="n">
        <v>2028</v>
      </c>
      <c r="C10077" s="131" t="s">
        <v>255</v>
      </c>
      <c r="D10077" s="132" t="n">
        <v>46757</v>
      </c>
      <c r="E10077" s="131" t="s">
        <v>56</v>
      </c>
      <c r="F10077" s="133" t="s">
        <v>19</v>
      </c>
      <c r="G10077" s="134" t="n">
        <f aca="false">LEN('Saisie programme'!$F$392)+SUMIFS('Vols additionnels'!$E$7:$E$66,'Vols additionnels'!$C$7:$C$66,$E10077,'Vols additionnels'!$D$7:$D$66,$F10077,'Vols additionnels'!$B$7:$B$66,$D10077)</f>
        <v>0</v>
      </c>
      <c r="H10077" s="135" t="n">
        <f aca="false">$G10077*'Analyse capacite'!$F$8</f>
        <v>0</v>
      </c>
      <c r="I10077" s="135" t="n">
        <f aca="false">$G10077*'Analyse capacite'!$C$8</f>
        <v>0</v>
      </c>
      <c r="J10077" s="135" t="n">
        <f aca="false">$G10077*'Analyse capacite'!$D$8</f>
        <v>0</v>
      </c>
      <c r="K10077" s="135" t="n">
        <f aca="false">$G10077*'Analyse capacite'!$E$8</f>
        <v>0</v>
      </c>
    </row>
    <row r="10078" customFormat="false" ht="15" hidden="false" customHeight="false" outlineLevel="0" collapsed="false">
      <c r="B10078" s="130" t="n">
        <v>2028</v>
      </c>
      <c r="C10078" s="131" t="s">
        <v>255</v>
      </c>
      <c r="D10078" s="132" t="n">
        <v>46757</v>
      </c>
      <c r="E10078" s="131" t="s">
        <v>56</v>
      </c>
      <c r="F10078" s="133" t="s">
        <v>24</v>
      </c>
      <c r="G10078" s="134" t="n">
        <f aca="false">LEN('Saisie programme'!$F$393)+SUMIFS('Vols additionnels'!$E$7:$E$66,'Vols additionnels'!$C$7:$C$66,$E10078,'Vols additionnels'!$D$7:$D$66,$F10078,'Vols additionnels'!$B$7:$B$66,$D10078)</f>
        <v>0</v>
      </c>
      <c r="H10078" s="135" t="n">
        <f aca="false">$G10078*'Analyse capacite'!$F$9</f>
        <v>0</v>
      </c>
      <c r="I10078" s="135" t="n">
        <f aca="false">$G10078*'Analyse capacite'!$C$9</f>
        <v>0</v>
      </c>
      <c r="J10078" s="135" t="n">
        <f aca="false">$G10078*'Analyse capacite'!$D$9</f>
        <v>0</v>
      </c>
      <c r="K10078" s="135" t="n">
        <f aca="false">$G10078*'Analyse capacite'!$E$9</f>
        <v>0</v>
      </c>
    </row>
    <row r="10079" customFormat="false" ht="15" hidden="false" customHeight="false" outlineLevel="0" collapsed="false">
      <c r="B10079" s="130" t="n">
        <v>2028</v>
      </c>
      <c r="C10079" s="131" t="s">
        <v>255</v>
      </c>
      <c r="D10079" s="132" t="n">
        <v>46757</v>
      </c>
      <c r="E10079" s="131" t="s">
        <v>59</v>
      </c>
      <c r="F10079" s="133" t="s">
        <v>11</v>
      </c>
      <c r="G10079" s="134" t="n">
        <f aca="false">LEN('Saisie programme'!$F$394)+SUMIFS('Vols additionnels'!$E$7:$E$66,'Vols additionnels'!$C$7:$C$66,$E10079,'Vols additionnels'!$D$7:$D$66,$F10079,'Vols additionnels'!$B$7:$B$66,$D10079)</f>
        <v>0</v>
      </c>
      <c r="H10079" s="135" t="n">
        <f aca="false">$G10079*'Analyse capacite'!$F$7</f>
        <v>0</v>
      </c>
      <c r="I10079" s="135" t="n">
        <f aca="false">$G10079*'Analyse capacite'!$C$7</f>
        <v>0</v>
      </c>
      <c r="J10079" s="135" t="n">
        <f aca="false">$G10079*'Analyse capacite'!$D$7</f>
        <v>0</v>
      </c>
      <c r="K10079" s="135" t="n">
        <f aca="false">$G10079*'Analyse capacite'!$E$7</f>
        <v>0</v>
      </c>
    </row>
    <row r="10080" customFormat="false" ht="15" hidden="false" customHeight="false" outlineLevel="0" collapsed="false">
      <c r="B10080" s="130" t="n">
        <v>2028</v>
      </c>
      <c r="C10080" s="131" t="s">
        <v>255</v>
      </c>
      <c r="D10080" s="132" t="n">
        <v>46757</v>
      </c>
      <c r="E10080" s="131" t="s">
        <v>59</v>
      </c>
      <c r="F10080" s="133" t="s">
        <v>19</v>
      </c>
      <c r="G10080" s="134" t="n">
        <f aca="false">LEN('Saisie programme'!$F$395)+SUMIFS('Vols additionnels'!$E$7:$E$66,'Vols additionnels'!$C$7:$C$66,$E10080,'Vols additionnels'!$D$7:$D$66,$F10080,'Vols additionnels'!$B$7:$B$66,$D10080)</f>
        <v>0</v>
      </c>
      <c r="H10080" s="135" t="n">
        <f aca="false">$G10080*'Analyse capacite'!$F$8</f>
        <v>0</v>
      </c>
      <c r="I10080" s="135" t="n">
        <f aca="false">$G10080*'Analyse capacite'!$C$8</f>
        <v>0</v>
      </c>
      <c r="J10080" s="135" t="n">
        <f aca="false">$G10080*'Analyse capacite'!$D$8</f>
        <v>0</v>
      </c>
      <c r="K10080" s="135" t="n">
        <f aca="false">$G10080*'Analyse capacite'!$E$8</f>
        <v>0</v>
      </c>
    </row>
    <row r="10081" customFormat="false" ht="15" hidden="false" customHeight="false" outlineLevel="0" collapsed="false">
      <c r="B10081" s="130" t="n">
        <v>2028</v>
      </c>
      <c r="C10081" s="131" t="s">
        <v>255</v>
      </c>
      <c r="D10081" s="132" t="n">
        <v>46757</v>
      </c>
      <c r="E10081" s="131" t="s">
        <v>59</v>
      </c>
      <c r="F10081" s="133" t="s">
        <v>24</v>
      </c>
      <c r="G10081" s="134" t="n">
        <f aca="false">LEN('Saisie programme'!$F$396)+SUMIFS('Vols additionnels'!$E$7:$E$66,'Vols additionnels'!$C$7:$C$66,$E10081,'Vols additionnels'!$D$7:$D$66,$F10081,'Vols additionnels'!$B$7:$B$66,$D10081)</f>
        <v>1</v>
      </c>
      <c r="H10081" s="135" t="n">
        <f aca="false">$G10081*'Analyse capacite'!$F$9</f>
        <v>174</v>
      </c>
      <c r="I10081" s="135" t="n">
        <f aca="false">$G10081*'Analyse capacite'!$C$9</f>
        <v>0</v>
      </c>
      <c r="J10081" s="135" t="n">
        <f aca="false">$G10081*'Analyse capacite'!$D$9</f>
        <v>12</v>
      </c>
      <c r="K10081" s="135" t="n">
        <f aca="false">$G10081*'Analyse capacite'!$E$9</f>
        <v>162</v>
      </c>
    </row>
    <row r="10082" customFormat="false" ht="15" hidden="false" customHeight="false" outlineLevel="0" collapsed="false">
      <c r="B10082" s="130" t="n">
        <v>2028</v>
      </c>
      <c r="C10082" s="131" t="s">
        <v>255</v>
      </c>
      <c r="D10082" s="132" t="n">
        <v>46757</v>
      </c>
      <c r="E10082" s="131" t="s">
        <v>62</v>
      </c>
      <c r="F10082" s="133" t="s">
        <v>11</v>
      </c>
      <c r="G10082" s="134" t="n">
        <f aca="false">LEN('Saisie programme'!$F$397)+SUMIFS('Vols additionnels'!$E$7:$E$66,'Vols additionnels'!$C$7:$C$66,$E10082,'Vols additionnels'!$D$7:$D$66,$F10082,'Vols additionnels'!$B$7:$B$66,$D10082)</f>
        <v>0</v>
      </c>
      <c r="H10082" s="135" t="n">
        <f aca="false">$G10082*'Analyse capacite'!$F$7</f>
        <v>0</v>
      </c>
      <c r="I10082" s="135" t="n">
        <f aca="false">$G10082*'Analyse capacite'!$C$7</f>
        <v>0</v>
      </c>
      <c r="J10082" s="135" t="n">
        <f aca="false">$G10082*'Analyse capacite'!$D$7</f>
        <v>0</v>
      </c>
      <c r="K10082" s="135" t="n">
        <f aca="false">$G10082*'Analyse capacite'!$E$7</f>
        <v>0</v>
      </c>
    </row>
    <row r="10083" customFormat="false" ht="15" hidden="false" customHeight="false" outlineLevel="0" collapsed="false">
      <c r="B10083" s="130" t="n">
        <v>2028</v>
      </c>
      <c r="C10083" s="131" t="s">
        <v>255</v>
      </c>
      <c r="D10083" s="132" t="n">
        <v>46757</v>
      </c>
      <c r="E10083" s="131" t="s">
        <v>62</v>
      </c>
      <c r="F10083" s="133" t="s">
        <v>19</v>
      </c>
      <c r="G10083" s="134" t="n">
        <f aca="false">LEN('Saisie programme'!$F$398)+SUMIFS('Vols additionnels'!$E$7:$E$66,'Vols additionnels'!$C$7:$C$66,$E10083,'Vols additionnels'!$D$7:$D$66,$F10083,'Vols additionnels'!$B$7:$B$66,$D10083)</f>
        <v>0</v>
      </c>
      <c r="H10083" s="135" t="n">
        <f aca="false">$G10083*'Analyse capacite'!$F$8</f>
        <v>0</v>
      </c>
      <c r="I10083" s="135" t="n">
        <f aca="false">$G10083*'Analyse capacite'!$C$8</f>
        <v>0</v>
      </c>
      <c r="J10083" s="135" t="n">
        <f aca="false">$G10083*'Analyse capacite'!$D$8</f>
        <v>0</v>
      </c>
      <c r="K10083" s="135" t="n">
        <f aca="false">$G10083*'Analyse capacite'!$E$8</f>
        <v>0</v>
      </c>
    </row>
    <row r="10084" customFormat="false" ht="15" hidden="false" customHeight="false" outlineLevel="0" collapsed="false">
      <c r="B10084" s="130" t="n">
        <v>2028</v>
      </c>
      <c r="C10084" s="131" t="s">
        <v>255</v>
      </c>
      <c r="D10084" s="132" t="n">
        <v>46757</v>
      </c>
      <c r="E10084" s="131" t="s">
        <v>62</v>
      </c>
      <c r="F10084" s="133" t="s">
        <v>24</v>
      </c>
      <c r="G10084" s="134" t="n">
        <f aca="false">LEN('Saisie programme'!$F$399)+SUMIFS('Vols additionnels'!$E$7:$E$66,'Vols additionnels'!$C$7:$C$66,$E10084,'Vols additionnels'!$D$7:$D$66,$F10084,'Vols additionnels'!$B$7:$B$66,$D10084)</f>
        <v>1</v>
      </c>
      <c r="H10084" s="135" t="n">
        <f aca="false">$G10084*'Analyse capacite'!$F$9</f>
        <v>174</v>
      </c>
      <c r="I10084" s="135" t="n">
        <f aca="false">$G10084*'Analyse capacite'!$C$9</f>
        <v>0</v>
      </c>
      <c r="J10084" s="135" t="n">
        <f aca="false">$G10084*'Analyse capacite'!$D$9</f>
        <v>12</v>
      </c>
      <c r="K10084" s="135" t="n">
        <f aca="false">$G10084*'Analyse capacite'!$E$9</f>
        <v>162</v>
      </c>
    </row>
    <row r="10085" customFormat="false" ht="15" hidden="false" customHeight="false" outlineLevel="0" collapsed="false">
      <c r="B10085" s="130" t="n">
        <v>2028</v>
      </c>
      <c r="C10085" s="131" t="s">
        <v>255</v>
      </c>
      <c r="D10085" s="132" t="n">
        <v>46758</v>
      </c>
      <c r="E10085" s="131" t="s">
        <v>12</v>
      </c>
      <c r="F10085" s="133" t="s">
        <v>11</v>
      </c>
      <c r="G10085" s="134" t="n">
        <f aca="false">LEN('Saisie programme'!$G$364)+SUMIFS('Vols additionnels'!$E$7:$E$66,'Vols additionnels'!$C$7:$C$66,$E10085,'Vols additionnels'!$D$7:$D$66,$F10085,'Vols additionnels'!$B$7:$B$66,$D10085)</f>
        <v>1</v>
      </c>
      <c r="H10085" s="135" t="n">
        <f aca="false">$G10085*'Analyse capacite'!$F$7</f>
        <v>438</v>
      </c>
      <c r="I10085" s="135" t="n">
        <f aca="false">$G10085*'Analyse capacite'!$C$7</f>
        <v>14</v>
      </c>
      <c r="J10085" s="135" t="n">
        <f aca="false">$G10085*'Analyse capacite'!$D$7</f>
        <v>40</v>
      </c>
      <c r="K10085" s="135" t="n">
        <f aca="false">$G10085*'Analyse capacite'!$E$7</f>
        <v>384</v>
      </c>
    </row>
    <row r="10086" customFormat="false" ht="15" hidden="false" customHeight="false" outlineLevel="0" collapsed="false">
      <c r="B10086" s="130" t="n">
        <v>2028</v>
      </c>
      <c r="C10086" s="131" t="s">
        <v>255</v>
      </c>
      <c r="D10086" s="132" t="n">
        <v>46758</v>
      </c>
      <c r="E10086" s="131" t="s">
        <v>12</v>
      </c>
      <c r="F10086" s="133" t="s">
        <v>19</v>
      </c>
      <c r="G10086" s="134" t="n">
        <f aca="false">LEN('Saisie programme'!$G$365)+SUMIFS('Vols additionnels'!$E$7:$E$66,'Vols additionnels'!$C$7:$C$66,$E10086,'Vols additionnels'!$D$7:$D$66,$F10086,'Vols additionnels'!$B$7:$B$66,$D10086)</f>
        <v>0</v>
      </c>
      <c r="H10086" s="135" t="n">
        <f aca="false">$G10086*'Analyse capacite'!$F$8</f>
        <v>0</v>
      </c>
      <c r="I10086" s="135" t="n">
        <f aca="false">$G10086*'Analyse capacite'!$C$8</f>
        <v>0</v>
      </c>
      <c r="J10086" s="135" t="n">
        <f aca="false">$G10086*'Analyse capacite'!$D$8</f>
        <v>0</v>
      </c>
      <c r="K10086" s="135" t="n">
        <f aca="false">$G10086*'Analyse capacite'!$E$8</f>
        <v>0</v>
      </c>
    </row>
    <row r="10087" customFormat="false" ht="15" hidden="false" customHeight="false" outlineLevel="0" collapsed="false">
      <c r="B10087" s="130" t="n">
        <v>2028</v>
      </c>
      <c r="C10087" s="131" t="s">
        <v>255</v>
      </c>
      <c r="D10087" s="132" t="n">
        <v>46758</v>
      </c>
      <c r="E10087" s="131" t="s">
        <v>12</v>
      </c>
      <c r="F10087" s="133" t="s">
        <v>24</v>
      </c>
      <c r="G10087" s="134" t="n">
        <f aca="false">LEN('Saisie programme'!$G$366)+SUMIFS('Vols additionnels'!$E$7:$E$66,'Vols additionnels'!$C$7:$C$66,$E10087,'Vols additionnels'!$D$7:$D$66,$F10087,'Vols additionnels'!$B$7:$B$66,$D10087)</f>
        <v>0</v>
      </c>
      <c r="H10087" s="135" t="n">
        <f aca="false">$G10087*'Analyse capacite'!$F$9</f>
        <v>0</v>
      </c>
      <c r="I10087" s="135" t="n">
        <f aca="false">$G10087*'Analyse capacite'!$C$9</f>
        <v>0</v>
      </c>
      <c r="J10087" s="135" t="n">
        <f aca="false">$G10087*'Analyse capacite'!$D$9</f>
        <v>0</v>
      </c>
      <c r="K10087" s="135" t="n">
        <f aca="false">$G10087*'Analyse capacite'!$E$9</f>
        <v>0</v>
      </c>
    </row>
    <row r="10088" customFormat="false" ht="15" hidden="false" customHeight="false" outlineLevel="0" collapsed="false">
      <c r="B10088" s="130" t="n">
        <v>2028</v>
      </c>
      <c r="C10088" s="131" t="s">
        <v>255</v>
      </c>
      <c r="D10088" s="132" t="n">
        <v>46758</v>
      </c>
      <c r="E10088" s="131" t="s">
        <v>20</v>
      </c>
      <c r="F10088" s="133" t="s">
        <v>11</v>
      </c>
      <c r="G10088" s="134" t="n">
        <f aca="false">LEN('Saisie programme'!$G$367)+SUMIFS('Vols additionnels'!$E$7:$E$66,'Vols additionnels'!$C$7:$C$66,$E10088,'Vols additionnels'!$D$7:$D$66,$F10088,'Vols additionnels'!$B$7:$B$66,$D10088)</f>
        <v>0</v>
      </c>
      <c r="H10088" s="135" t="n">
        <f aca="false">$G10088*'Analyse capacite'!$F$7</f>
        <v>0</v>
      </c>
      <c r="I10088" s="135" t="n">
        <f aca="false">$G10088*'Analyse capacite'!$C$7</f>
        <v>0</v>
      </c>
      <c r="J10088" s="135" t="n">
        <f aca="false">$G10088*'Analyse capacite'!$D$7</f>
        <v>0</v>
      </c>
      <c r="K10088" s="135" t="n">
        <f aca="false">$G10088*'Analyse capacite'!$E$7</f>
        <v>0</v>
      </c>
    </row>
    <row r="10089" customFormat="false" ht="15" hidden="false" customHeight="false" outlineLevel="0" collapsed="false">
      <c r="B10089" s="130" t="n">
        <v>2028</v>
      </c>
      <c r="C10089" s="131" t="s">
        <v>255</v>
      </c>
      <c r="D10089" s="132" t="n">
        <v>46758</v>
      </c>
      <c r="E10089" s="131" t="s">
        <v>20</v>
      </c>
      <c r="F10089" s="133" t="s">
        <v>19</v>
      </c>
      <c r="G10089" s="134" t="n">
        <f aca="false">LEN('Saisie programme'!$G$368)+SUMIFS('Vols additionnels'!$E$7:$E$66,'Vols additionnels'!$C$7:$C$66,$E10089,'Vols additionnels'!$D$7:$D$66,$F10089,'Vols additionnels'!$B$7:$B$66,$D10089)</f>
        <v>0</v>
      </c>
      <c r="H10089" s="135" t="n">
        <f aca="false">$G10089*'Analyse capacite'!$F$8</f>
        <v>0</v>
      </c>
      <c r="I10089" s="135" t="n">
        <f aca="false">$G10089*'Analyse capacite'!$C$8</f>
        <v>0</v>
      </c>
      <c r="J10089" s="135" t="n">
        <f aca="false">$G10089*'Analyse capacite'!$D$8</f>
        <v>0</v>
      </c>
      <c r="K10089" s="135" t="n">
        <f aca="false">$G10089*'Analyse capacite'!$E$8</f>
        <v>0</v>
      </c>
    </row>
    <row r="10090" customFormat="false" ht="15" hidden="false" customHeight="false" outlineLevel="0" collapsed="false">
      <c r="B10090" s="130" t="n">
        <v>2028</v>
      </c>
      <c r="C10090" s="131" t="s">
        <v>255</v>
      </c>
      <c r="D10090" s="132" t="n">
        <v>46758</v>
      </c>
      <c r="E10090" s="131" t="s">
        <v>20</v>
      </c>
      <c r="F10090" s="133" t="s">
        <v>24</v>
      </c>
      <c r="G10090" s="134" t="n">
        <f aca="false">LEN('Saisie programme'!$G$369)+SUMIFS('Vols additionnels'!$E$7:$E$66,'Vols additionnels'!$C$7:$C$66,$E10090,'Vols additionnels'!$D$7:$D$66,$F10090,'Vols additionnels'!$B$7:$B$66,$D10090)</f>
        <v>0</v>
      </c>
      <c r="H10090" s="135" t="n">
        <f aca="false">$G10090*'Analyse capacite'!$F$9</f>
        <v>0</v>
      </c>
      <c r="I10090" s="135" t="n">
        <f aca="false">$G10090*'Analyse capacite'!$C$9</f>
        <v>0</v>
      </c>
      <c r="J10090" s="135" t="n">
        <f aca="false">$G10090*'Analyse capacite'!$D$9</f>
        <v>0</v>
      </c>
      <c r="K10090" s="135" t="n">
        <f aca="false">$G10090*'Analyse capacite'!$E$9</f>
        <v>0</v>
      </c>
    </row>
    <row r="10091" customFormat="false" ht="15" hidden="false" customHeight="false" outlineLevel="0" collapsed="false">
      <c r="B10091" s="130" t="n">
        <v>2028</v>
      </c>
      <c r="C10091" s="131" t="s">
        <v>255</v>
      </c>
      <c r="D10091" s="132" t="n">
        <v>46758</v>
      </c>
      <c r="E10091" s="131" t="s">
        <v>25</v>
      </c>
      <c r="F10091" s="133" t="s">
        <v>11</v>
      </c>
      <c r="G10091" s="134" t="n">
        <f aca="false">LEN('Saisie programme'!$G$370)+SUMIFS('Vols additionnels'!$E$7:$E$66,'Vols additionnels'!$C$7:$C$66,$E10091,'Vols additionnels'!$D$7:$D$66,$F10091,'Vols additionnels'!$B$7:$B$66,$D10091)</f>
        <v>0</v>
      </c>
      <c r="H10091" s="135" t="n">
        <f aca="false">$G10091*'Analyse capacite'!$F$7</f>
        <v>0</v>
      </c>
      <c r="I10091" s="135" t="n">
        <f aca="false">$G10091*'Analyse capacite'!$C$7</f>
        <v>0</v>
      </c>
      <c r="J10091" s="135" t="n">
        <f aca="false">$G10091*'Analyse capacite'!$D$7</f>
        <v>0</v>
      </c>
      <c r="K10091" s="135" t="n">
        <f aca="false">$G10091*'Analyse capacite'!$E$7</f>
        <v>0</v>
      </c>
    </row>
    <row r="10092" customFormat="false" ht="15" hidden="false" customHeight="false" outlineLevel="0" collapsed="false">
      <c r="B10092" s="130" t="n">
        <v>2028</v>
      </c>
      <c r="C10092" s="131" t="s">
        <v>255</v>
      </c>
      <c r="D10092" s="132" t="n">
        <v>46758</v>
      </c>
      <c r="E10092" s="131" t="s">
        <v>25</v>
      </c>
      <c r="F10092" s="133" t="s">
        <v>19</v>
      </c>
      <c r="G10092" s="134" t="n">
        <f aca="false">LEN('Saisie programme'!$G$371)+SUMIFS('Vols additionnels'!$E$7:$E$66,'Vols additionnels'!$C$7:$C$66,$E10092,'Vols additionnels'!$D$7:$D$66,$F10092,'Vols additionnels'!$B$7:$B$66,$D10092)</f>
        <v>0</v>
      </c>
      <c r="H10092" s="135" t="n">
        <f aca="false">$G10092*'Analyse capacite'!$F$8</f>
        <v>0</v>
      </c>
      <c r="I10092" s="135" t="n">
        <f aca="false">$G10092*'Analyse capacite'!$C$8</f>
        <v>0</v>
      </c>
      <c r="J10092" s="135" t="n">
        <f aca="false">$G10092*'Analyse capacite'!$D$8</f>
        <v>0</v>
      </c>
      <c r="K10092" s="135" t="n">
        <f aca="false">$G10092*'Analyse capacite'!$E$8</f>
        <v>0</v>
      </c>
    </row>
    <row r="10093" customFormat="false" ht="15" hidden="false" customHeight="false" outlineLevel="0" collapsed="false">
      <c r="B10093" s="130" t="n">
        <v>2028</v>
      </c>
      <c r="C10093" s="131" t="s">
        <v>255</v>
      </c>
      <c r="D10093" s="132" t="n">
        <v>46758</v>
      </c>
      <c r="E10093" s="131" t="s">
        <v>25</v>
      </c>
      <c r="F10093" s="133" t="s">
        <v>24</v>
      </c>
      <c r="G10093" s="134" t="n">
        <f aca="false">LEN('Saisie programme'!$G$372)+SUMIFS('Vols additionnels'!$E$7:$E$66,'Vols additionnels'!$C$7:$C$66,$E10093,'Vols additionnels'!$D$7:$D$66,$F10093,'Vols additionnels'!$B$7:$B$66,$D10093)</f>
        <v>0</v>
      </c>
      <c r="H10093" s="135" t="n">
        <f aca="false">$G10093*'Analyse capacite'!$F$9</f>
        <v>0</v>
      </c>
      <c r="I10093" s="135" t="n">
        <f aca="false">$G10093*'Analyse capacite'!$C$9</f>
        <v>0</v>
      </c>
      <c r="J10093" s="135" t="n">
        <f aca="false">$G10093*'Analyse capacite'!$D$9</f>
        <v>0</v>
      </c>
      <c r="K10093" s="135" t="n">
        <f aca="false">$G10093*'Analyse capacite'!$E$9</f>
        <v>0</v>
      </c>
    </row>
    <row r="10094" customFormat="false" ht="15" hidden="false" customHeight="false" outlineLevel="0" collapsed="false">
      <c r="B10094" s="130" t="n">
        <v>2028</v>
      </c>
      <c r="C10094" s="131" t="s">
        <v>255</v>
      </c>
      <c r="D10094" s="132" t="n">
        <v>46758</v>
      </c>
      <c r="E10094" s="131" t="s">
        <v>36</v>
      </c>
      <c r="F10094" s="133" t="s">
        <v>11</v>
      </c>
      <c r="G10094" s="134" t="n">
        <f aca="false">LEN('Saisie programme'!$G$373)+SUMIFS('Vols additionnels'!$E$7:$E$66,'Vols additionnels'!$C$7:$C$66,$E10094,'Vols additionnels'!$D$7:$D$66,$F10094,'Vols additionnels'!$B$7:$B$66,$D10094)</f>
        <v>0</v>
      </c>
      <c r="H10094" s="135" t="n">
        <f aca="false">$G10094*'Analyse capacite'!$F$7</f>
        <v>0</v>
      </c>
      <c r="I10094" s="135" t="n">
        <f aca="false">$G10094*'Analyse capacite'!$C$7</f>
        <v>0</v>
      </c>
      <c r="J10094" s="135" t="n">
        <f aca="false">$G10094*'Analyse capacite'!$D$7</f>
        <v>0</v>
      </c>
      <c r="K10094" s="135" t="n">
        <f aca="false">$G10094*'Analyse capacite'!$E$7</f>
        <v>0</v>
      </c>
    </row>
    <row r="10095" customFormat="false" ht="15" hidden="false" customHeight="false" outlineLevel="0" collapsed="false">
      <c r="B10095" s="130" t="n">
        <v>2028</v>
      </c>
      <c r="C10095" s="131" t="s">
        <v>255</v>
      </c>
      <c r="D10095" s="132" t="n">
        <v>46758</v>
      </c>
      <c r="E10095" s="131" t="s">
        <v>36</v>
      </c>
      <c r="F10095" s="133" t="s">
        <v>19</v>
      </c>
      <c r="G10095" s="134" t="n">
        <f aca="false">LEN('Saisie programme'!$G$374)+SUMIFS('Vols additionnels'!$E$7:$E$66,'Vols additionnels'!$C$7:$C$66,$E10095,'Vols additionnels'!$D$7:$D$66,$F10095,'Vols additionnels'!$B$7:$B$66,$D10095)</f>
        <v>0</v>
      </c>
      <c r="H10095" s="135" t="n">
        <f aca="false">$G10095*'Analyse capacite'!$F$8</f>
        <v>0</v>
      </c>
      <c r="I10095" s="135" t="n">
        <f aca="false">$G10095*'Analyse capacite'!$C$8</f>
        <v>0</v>
      </c>
      <c r="J10095" s="135" t="n">
        <f aca="false">$G10095*'Analyse capacite'!$D$8</f>
        <v>0</v>
      </c>
      <c r="K10095" s="135" t="n">
        <f aca="false">$G10095*'Analyse capacite'!$E$8</f>
        <v>0</v>
      </c>
    </row>
    <row r="10096" customFormat="false" ht="15" hidden="false" customHeight="false" outlineLevel="0" collapsed="false">
      <c r="B10096" s="130" t="n">
        <v>2028</v>
      </c>
      <c r="C10096" s="131" t="s">
        <v>255</v>
      </c>
      <c r="D10096" s="132" t="n">
        <v>46758</v>
      </c>
      <c r="E10096" s="131" t="s">
        <v>36</v>
      </c>
      <c r="F10096" s="133" t="s">
        <v>24</v>
      </c>
      <c r="G10096" s="134" t="n">
        <f aca="false">LEN('Saisie programme'!$G$375)+SUMIFS('Vols additionnels'!$E$7:$E$66,'Vols additionnels'!$C$7:$C$66,$E10096,'Vols additionnels'!$D$7:$D$66,$F10096,'Vols additionnels'!$B$7:$B$66,$D10096)</f>
        <v>1</v>
      </c>
      <c r="H10096" s="135" t="n">
        <f aca="false">$G10096*'Analyse capacite'!$F$9</f>
        <v>174</v>
      </c>
      <c r="I10096" s="135" t="n">
        <f aca="false">$G10096*'Analyse capacite'!$C$9</f>
        <v>0</v>
      </c>
      <c r="J10096" s="135" t="n">
        <f aca="false">$G10096*'Analyse capacite'!$D$9</f>
        <v>12</v>
      </c>
      <c r="K10096" s="135" t="n">
        <f aca="false">$G10096*'Analyse capacite'!$E$9</f>
        <v>162</v>
      </c>
    </row>
    <row r="10097" customFormat="false" ht="15" hidden="false" customHeight="false" outlineLevel="0" collapsed="false">
      <c r="B10097" s="130" t="n">
        <v>2028</v>
      </c>
      <c r="C10097" s="131" t="s">
        <v>255</v>
      </c>
      <c r="D10097" s="132" t="n">
        <v>46758</v>
      </c>
      <c r="E10097" s="131" t="s">
        <v>40</v>
      </c>
      <c r="F10097" s="133" t="s">
        <v>11</v>
      </c>
      <c r="G10097" s="134" t="n">
        <f aca="false">LEN('Saisie programme'!$G$376)+SUMIFS('Vols additionnels'!$E$7:$E$66,'Vols additionnels'!$C$7:$C$66,$E10097,'Vols additionnels'!$D$7:$D$66,$F10097,'Vols additionnels'!$B$7:$B$66,$D10097)</f>
        <v>0</v>
      </c>
      <c r="H10097" s="135" t="n">
        <f aca="false">$G10097*'Analyse capacite'!$F$7</f>
        <v>0</v>
      </c>
      <c r="I10097" s="135" t="n">
        <f aca="false">$G10097*'Analyse capacite'!$C$7</f>
        <v>0</v>
      </c>
      <c r="J10097" s="135" t="n">
        <f aca="false">$G10097*'Analyse capacite'!$D$7</f>
        <v>0</v>
      </c>
      <c r="K10097" s="135" t="n">
        <f aca="false">$G10097*'Analyse capacite'!$E$7</f>
        <v>0</v>
      </c>
    </row>
    <row r="10098" customFormat="false" ht="15" hidden="false" customHeight="false" outlineLevel="0" collapsed="false">
      <c r="B10098" s="130" t="n">
        <v>2028</v>
      </c>
      <c r="C10098" s="131" t="s">
        <v>255</v>
      </c>
      <c r="D10098" s="132" t="n">
        <v>46758</v>
      </c>
      <c r="E10098" s="131" t="s">
        <v>40</v>
      </c>
      <c r="F10098" s="133" t="s">
        <v>19</v>
      </c>
      <c r="G10098" s="134" t="n">
        <f aca="false">LEN('Saisie programme'!$G$377)+SUMIFS('Vols additionnels'!$E$7:$E$66,'Vols additionnels'!$C$7:$C$66,$E10098,'Vols additionnels'!$D$7:$D$66,$F10098,'Vols additionnels'!$B$7:$B$66,$D10098)</f>
        <v>0</v>
      </c>
      <c r="H10098" s="135" t="n">
        <f aca="false">$G10098*'Analyse capacite'!$F$8</f>
        <v>0</v>
      </c>
      <c r="I10098" s="135" t="n">
        <f aca="false">$G10098*'Analyse capacite'!$C$8</f>
        <v>0</v>
      </c>
      <c r="J10098" s="135" t="n">
        <f aca="false">$G10098*'Analyse capacite'!$D$8</f>
        <v>0</v>
      </c>
      <c r="K10098" s="135" t="n">
        <f aca="false">$G10098*'Analyse capacite'!$E$8</f>
        <v>0</v>
      </c>
    </row>
    <row r="10099" customFormat="false" ht="15" hidden="false" customHeight="false" outlineLevel="0" collapsed="false">
      <c r="B10099" s="130" t="n">
        <v>2028</v>
      </c>
      <c r="C10099" s="131" t="s">
        <v>255</v>
      </c>
      <c r="D10099" s="132" t="n">
        <v>46758</v>
      </c>
      <c r="E10099" s="131" t="s">
        <v>40</v>
      </c>
      <c r="F10099" s="133" t="s">
        <v>24</v>
      </c>
      <c r="G10099" s="134" t="n">
        <f aca="false">LEN('Saisie programme'!$G$378)+SUMIFS('Vols additionnels'!$E$7:$E$66,'Vols additionnels'!$C$7:$C$66,$E10099,'Vols additionnels'!$D$7:$D$66,$F10099,'Vols additionnels'!$B$7:$B$66,$D10099)</f>
        <v>0</v>
      </c>
      <c r="H10099" s="135" t="n">
        <f aca="false">$G10099*'Analyse capacite'!$F$9</f>
        <v>0</v>
      </c>
      <c r="I10099" s="135" t="n">
        <f aca="false">$G10099*'Analyse capacite'!$C$9</f>
        <v>0</v>
      </c>
      <c r="J10099" s="135" t="n">
        <f aca="false">$G10099*'Analyse capacite'!$D$9</f>
        <v>0</v>
      </c>
      <c r="K10099" s="135" t="n">
        <f aca="false">$G10099*'Analyse capacite'!$E$9</f>
        <v>0</v>
      </c>
    </row>
    <row r="10100" customFormat="false" ht="15" hidden="false" customHeight="false" outlineLevel="0" collapsed="false">
      <c r="B10100" s="130" t="n">
        <v>2028</v>
      </c>
      <c r="C10100" s="131" t="s">
        <v>255</v>
      </c>
      <c r="D10100" s="132" t="n">
        <v>46758</v>
      </c>
      <c r="E10100" s="131" t="s">
        <v>14</v>
      </c>
      <c r="F10100" s="133" t="s">
        <v>11</v>
      </c>
      <c r="G10100" s="134" t="n">
        <f aca="false">LEN('Saisie programme'!$G$379)+SUMIFS('Vols additionnels'!$E$7:$E$66,'Vols additionnels'!$C$7:$C$66,$E10100,'Vols additionnels'!$D$7:$D$66,$F10100,'Vols additionnels'!$B$7:$B$66,$D10100)</f>
        <v>0</v>
      </c>
      <c r="H10100" s="135" t="n">
        <f aca="false">$G10100*'Analyse capacite'!$F$7</f>
        <v>0</v>
      </c>
      <c r="I10100" s="135" t="n">
        <f aca="false">$G10100*'Analyse capacite'!$C$7</f>
        <v>0</v>
      </c>
      <c r="J10100" s="135" t="n">
        <f aca="false">$G10100*'Analyse capacite'!$D$7</f>
        <v>0</v>
      </c>
      <c r="K10100" s="135" t="n">
        <f aca="false">$G10100*'Analyse capacite'!$E$7</f>
        <v>0</v>
      </c>
    </row>
    <row r="10101" customFormat="false" ht="15" hidden="false" customHeight="false" outlineLevel="0" collapsed="false">
      <c r="B10101" s="130" t="n">
        <v>2028</v>
      </c>
      <c r="C10101" s="131" t="s">
        <v>255</v>
      </c>
      <c r="D10101" s="132" t="n">
        <v>46758</v>
      </c>
      <c r="E10101" s="131" t="s">
        <v>14</v>
      </c>
      <c r="F10101" s="133" t="s">
        <v>19</v>
      </c>
      <c r="G10101" s="134" t="n">
        <f aca="false">LEN('Saisie programme'!$G$380)+SUMIFS('Vols additionnels'!$E$7:$E$66,'Vols additionnels'!$C$7:$C$66,$E10101,'Vols additionnels'!$D$7:$D$66,$F10101,'Vols additionnels'!$B$7:$B$66,$D10101)</f>
        <v>0</v>
      </c>
      <c r="H10101" s="135" t="n">
        <f aca="false">$G10101*'Analyse capacite'!$F$8</f>
        <v>0</v>
      </c>
      <c r="I10101" s="135" t="n">
        <f aca="false">$G10101*'Analyse capacite'!$C$8</f>
        <v>0</v>
      </c>
      <c r="J10101" s="135" t="n">
        <f aca="false">$G10101*'Analyse capacite'!$D$8</f>
        <v>0</v>
      </c>
      <c r="K10101" s="135" t="n">
        <f aca="false">$G10101*'Analyse capacite'!$E$8</f>
        <v>0</v>
      </c>
    </row>
    <row r="10102" customFormat="false" ht="15" hidden="false" customHeight="false" outlineLevel="0" collapsed="false">
      <c r="B10102" s="130" t="n">
        <v>2028</v>
      </c>
      <c r="C10102" s="131" t="s">
        <v>255</v>
      </c>
      <c r="D10102" s="132" t="n">
        <v>46758</v>
      </c>
      <c r="E10102" s="131" t="s">
        <v>14</v>
      </c>
      <c r="F10102" s="133" t="s">
        <v>24</v>
      </c>
      <c r="G10102" s="134" t="n">
        <f aca="false">LEN('Saisie programme'!$G$381)+SUMIFS('Vols additionnels'!$E$7:$E$66,'Vols additionnels'!$C$7:$C$66,$E10102,'Vols additionnels'!$D$7:$D$66,$F10102,'Vols additionnels'!$B$7:$B$66,$D10102)</f>
        <v>1</v>
      </c>
      <c r="H10102" s="135" t="n">
        <f aca="false">$G10102*'Analyse capacite'!$F$9</f>
        <v>174</v>
      </c>
      <c r="I10102" s="135" t="n">
        <f aca="false">$G10102*'Analyse capacite'!$C$9</f>
        <v>0</v>
      </c>
      <c r="J10102" s="135" t="n">
        <f aca="false">$G10102*'Analyse capacite'!$D$9</f>
        <v>12</v>
      </c>
      <c r="K10102" s="135" t="n">
        <f aca="false">$G10102*'Analyse capacite'!$E$9</f>
        <v>162</v>
      </c>
    </row>
    <row r="10103" customFormat="false" ht="15" hidden="false" customHeight="false" outlineLevel="0" collapsed="false">
      <c r="B10103" s="130" t="n">
        <v>2028</v>
      </c>
      <c r="C10103" s="131" t="s">
        <v>255</v>
      </c>
      <c r="D10103" s="132" t="n">
        <v>46758</v>
      </c>
      <c r="E10103" s="131" t="s">
        <v>46</v>
      </c>
      <c r="F10103" s="133" t="s">
        <v>11</v>
      </c>
      <c r="G10103" s="134" t="n">
        <f aca="false">LEN('Saisie programme'!$G$382)+SUMIFS('Vols additionnels'!$E$7:$E$66,'Vols additionnels'!$C$7:$C$66,$E10103,'Vols additionnels'!$D$7:$D$66,$F10103,'Vols additionnels'!$B$7:$B$66,$D10103)</f>
        <v>0</v>
      </c>
      <c r="H10103" s="135" t="n">
        <f aca="false">$G10103*'Analyse capacite'!$F$7</f>
        <v>0</v>
      </c>
      <c r="I10103" s="135" t="n">
        <f aca="false">$G10103*'Analyse capacite'!$C$7</f>
        <v>0</v>
      </c>
      <c r="J10103" s="135" t="n">
        <f aca="false">$G10103*'Analyse capacite'!$D$7</f>
        <v>0</v>
      </c>
      <c r="K10103" s="135" t="n">
        <f aca="false">$G10103*'Analyse capacite'!$E$7</f>
        <v>0</v>
      </c>
    </row>
    <row r="10104" customFormat="false" ht="15" hidden="false" customHeight="false" outlineLevel="0" collapsed="false">
      <c r="B10104" s="130" t="n">
        <v>2028</v>
      </c>
      <c r="C10104" s="131" t="s">
        <v>255</v>
      </c>
      <c r="D10104" s="132" t="n">
        <v>46758</v>
      </c>
      <c r="E10104" s="131" t="s">
        <v>46</v>
      </c>
      <c r="F10104" s="133" t="s">
        <v>19</v>
      </c>
      <c r="G10104" s="134" t="n">
        <f aca="false">LEN('Saisie programme'!$G$383)+SUMIFS('Vols additionnels'!$E$7:$E$66,'Vols additionnels'!$C$7:$C$66,$E10104,'Vols additionnels'!$D$7:$D$66,$F10104,'Vols additionnels'!$B$7:$B$66,$D10104)</f>
        <v>0</v>
      </c>
      <c r="H10104" s="135" t="n">
        <f aca="false">$G10104*'Analyse capacite'!$F$8</f>
        <v>0</v>
      </c>
      <c r="I10104" s="135" t="n">
        <f aca="false">$G10104*'Analyse capacite'!$C$8</f>
        <v>0</v>
      </c>
      <c r="J10104" s="135" t="n">
        <f aca="false">$G10104*'Analyse capacite'!$D$8</f>
        <v>0</v>
      </c>
      <c r="K10104" s="135" t="n">
        <f aca="false">$G10104*'Analyse capacite'!$E$8</f>
        <v>0</v>
      </c>
    </row>
    <row r="10105" customFormat="false" ht="15" hidden="false" customHeight="false" outlineLevel="0" collapsed="false">
      <c r="B10105" s="130" t="n">
        <v>2028</v>
      </c>
      <c r="C10105" s="131" t="s">
        <v>255</v>
      </c>
      <c r="D10105" s="132" t="n">
        <v>46758</v>
      </c>
      <c r="E10105" s="131" t="s">
        <v>46</v>
      </c>
      <c r="F10105" s="133" t="s">
        <v>24</v>
      </c>
      <c r="G10105" s="134" t="n">
        <f aca="false">LEN('Saisie programme'!$G$384)+SUMIFS('Vols additionnels'!$E$7:$E$66,'Vols additionnels'!$C$7:$C$66,$E10105,'Vols additionnels'!$D$7:$D$66,$F10105,'Vols additionnels'!$B$7:$B$66,$D10105)</f>
        <v>1</v>
      </c>
      <c r="H10105" s="135" t="n">
        <f aca="false">$G10105*'Analyse capacite'!$F$9</f>
        <v>174</v>
      </c>
      <c r="I10105" s="135" t="n">
        <f aca="false">$G10105*'Analyse capacite'!$C$9</f>
        <v>0</v>
      </c>
      <c r="J10105" s="135" t="n">
        <f aca="false">$G10105*'Analyse capacite'!$D$9</f>
        <v>12</v>
      </c>
      <c r="K10105" s="135" t="n">
        <f aca="false">$G10105*'Analyse capacite'!$E$9</f>
        <v>162</v>
      </c>
    </row>
    <row r="10106" customFormat="false" ht="15" hidden="false" customHeight="false" outlineLevel="0" collapsed="false">
      <c r="B10106" s="130" t="n">
        <v>2028</v>
      </c>
      <c r="C10106" s="131" t="s">
        <v>255</v>
      </c>
      <c r="D10106" s="132" t="n">
        <v>46758</v>
      </c>
      <c r="E10106" s="131" t="s">
        <v>49</v>
      </c>
      <c r="F10106" s="133" t="s">
        <v>11</v>
      </c>
      <c r="G10106" s="134" t="n">
        <f aca="false">LEN('Saisie programme'!$G$385)+SUMIFS('Vols additionnels'!$E$7:$E$66,'Vols additionnels'!$C$7:$C$66,$E10106,'Vols additionnels'!$D$7:$D$66,$F10106,'Vols additionnels'!$B$7:$B$66,$D10106)</f>
        <v>0</v>
      </c>
      <c r="H10106" s="135" t="n">
        <f aca="false">$G10106*'Analyse capacite'!$F$7</f>
        <v>0</v>
      </c>
      <c r="I10106" s="135" t="n">
        <f aca="false">$G10106*'Analyse capacite'!$C$7</f>
        <v>0</v>
      </c>
      <c r="J10106" s="135" t="n">
        <f aca="false">$G10106*'Analyse capacite'!$D$7</f>
        <v>0</v>
      </c>
      <c r="K10106" s="135" t="n">
        <f aca="false">$G10106*'Analyse capacite'!$E$7</f>
        <v>0</v>
      </c>
    </row>
    <row r="10107" customFormat="false" ht="15" hidden="false" customHeight="false" outlineLevel="0" collapsed="false">
      <c r="B10107" s="130" t="n">
        <v>2028</v>
      </c>
      <c r="C10107" s="131" t="s">
        <v>255</v>
      </c>
      <c r="D10107" s="132" t="n">
        <v>46758</v>
      </c>
      <c r="E10107" s="131" t="s">
        <v>49</v>
      </c>
      <c r="F10107" s="133" t="s">
        <v>19</v>
      </c>
      <c r="G10107" s="134" t="n">
        <f aca="false">LEN('Saisie programme'!$G$386)+SUMIFS('Vols additionnels'!$E$7:$E$66,'Vols additionnels'!$C$7:$C$66,$E10107,'Vols additionnels'!$D$7:$D$66,$F10107,'Vols additionnels'!$B$7:$B$66,$D10107)</f>
        <v>0</v>
      </c>
      <c r="H10107" s="135" t="n">
        <f aca="false">$G10107*'Analyse capacite'!$F$8</f>
        <v>0</v>
      </c>
      <c r="I10107" s="135" t="n">
        <f aca="false">$G10107*'Analyse capacite'!$C$8</f>
        <v>0</v>
      </c>
      <c r="J10107" s="135" t="n">
        <f aca="false">$G10107*'Analyse capacite'!$D$8</f>
        <v>0</v>
      </c>
      <c r="K10107" s="135" t="n">
        <f aca="false">$G10107*'Analyse capacite'!$E$8</f>
        <v>0</v>
      </c>
    </row>
    <row r="10108" customFormat="false" ht="15" hidden="false" customHeight="false" outlineLevel="0" collapsed="false">
      <c r="B10108" s="130" t="n">
        <v>2028</v>
      </c>
      <c r="C10108" s="131" t="s">
        <v>255</v>
      </c>
      <c r="D10108" s="132" t="n">
        <v>46758</v>
      </c>
      <c r="E10108" s="131" t="s">
        <v>49</v>
      </c>
      <c r="F10108" s="133" t="s">
        <v>24</v>
      </c>
      <c r="G10108" s="134" t="n">
        <f aca="false">LEN('Saisie programme'!$G$387)+SUMIFS('Vols additionnels'!$E$7:$E$66,'Vols additionnels'!$C$7:$C$66,$E10108,'Vols additionnels'!$D$7:$D$66,$F10108,'Vols additionnels'!$B$7:$B$66,$D10108)</f>
        <v>0</v>
      </c>
      <c r="H10108" s="135" t="n">
        <f aca="false">$G10108*'Analyse capacite'!$F$9</f>
        <v>0</v>
      </c>
      <c r="I10108" s="135" t="n">
        <f aca="false">$G10108*'Analyse capacite'!$C$9</f>
        <v>0</v>
      </c>
      <c r="J10108" s="135" t="n">
        <f aca="false">$G10108*'Analyse capacite'!$D$9</f>
        <v>0</v>
      </c>
      <c r="K10108" s="135" t="n">
        <f aca="false">$G10108*'Analyse capacite'!$E$9</f>
        <v>0</v>
      </c>
    </row>
    <row r="10109" customFormat="false" ht="15" hidden="false" customHeight="false" outlineLevel="0" collapsed="false">
      <c r="B10109" s="130" t="n">
        <v>2028</v>
      </c>
      <c r="C10109" s="131" t="s">
        <v>255</v>
      </c>
      <c r="D10109" s="132" t="n">
        <v>46758</v>
      </c>
      <c r="E10109" s="131" t="s">
        <v>53</v>
      </c>
      <c r="F10109" s="133" t="s">
        <v>11</v>
      </c>
      <c r="G10109" s="134" t="n">
        <f aca="false">LEN('Saisie programme'!$G$388)+SUMIFS('Vols additionnels'!$E$7:$E$66,'Vols additionnels'!$C$7:$C$66,$E10109,'Vols additionnels'!$D$7:$D$66,$F10109,'Vols additionnels'!$B$7:$B$66,$D10109)</f>
        <v>0</v>
      </c>
      <c r="H10109" s="135" t="n">
        <f aca="false">$G10109*'Analyse capacite'!$F$7</f>
        <v>0</v>
      </c>
      <c r="I10109" s="135" t="n">
        <f aca="false">$G10109*'Analyse capacite'!$C$7</f>
        <v>0</v>
      </c>
      <c r="J10109" s="135" t="n">
        <f aca="false">$G10109*'Analyse capacite'!$D$7</f>
        <v>0</v>
      </c>
      <c r="K10109" s="135" t="n">
        <f aca="false">$G10109*'Analyse capacite'!$E$7</f>
        <v>0</v>
      </c>
    </row>
    <row r="10110" customFormat="false" ht="15" hidden="false" customHeight="false" outlineLevel="0" collapsed="false">
      <c r="B10110" s="130" t="n">
        <v>2028</v>
      </c>
      <c r="C10110" s="131" t="s">
        <v>255</v>
      </c>
      <c r="D10110" s="132" t="n">
        <v>46758</v>
      </c>
      <c r="E10110" s="131" t="s">
        <v>53</v>
      </c>
      <c r="F10110" s="133" t="s">
        <v>19</v>
      </c>
      <c r="G10110" s="134" t="n">
        <f aca="false">LEN('Saisie programme'!$G$389)+SUMIFS('Vols additionnels'!$E$7:$E$66,'Vols additionnels'!$C$7:$C$66,$E10110,'Vols additionnels'!$D$7:$D$66,$F10110,'Vols additionnels'!$B$7:$B$66,$D10110)</f>
        <v>1</v>
      </c>
      <c r="H10110" s="135" t="n">
        <f aca="false">$G10110*'Analyse capacite'!$F$8</f>
        <v>262</v>
      </c>
      <c r="I10110" s="135" t="n">
        <f aca="false">$G10110*'Analyse capacite'!$C$8</f>
        <v>18</v>
      </c>
      <c r="J10110" s="135" t="n">
        <f aca="false">$G10110*'Analyse capacite'!$D$8</f>
        <v>0</v>
      </c>
      <c r="K10110" s="135" t="n">
        <f aca="false">$G10110*'Analyse capacite'!$E$8</f>
        <v>244</v>
      </c>
    </row>
    <row r="10111" customFormat="false" ht="15" hidden="false" customHeight="false" outlineLevel="0" collapsed="false">
      <c r="B10111" s="130" t="n">
        <v>2028</v>
      </c>
      <c r="C10111" s="131" t="s">
        <v>255</v>
      </c>
      <c r="D10111" s="132" t="n">
        <v>46758</v>
      </c>
      <c r="E10111" s="131" t="s">
        <v>53</v>
      </c>
      <c r="F10111" s="133" t="s">
        <v>24</v>
      </c>
      <c r="G10111" s="134" t="n">
        <f aca="false">LEN('Saisie programme'!$G$390)+SUMIFS('Vols additionnels'!$E$7:$E$66,'Vols additionnels'!$C$7:$C$66,$E10111,'Vols additionnels'!$D$7:$D$66,$F10111,'Vols additionnels'!$B$7:$B$66,$D10111)</f>
        <v>0</v>
      </c>
      <c r="H10111" s="135" t="n">
        <f aca="false">$G10111*'Analyse capacite'!$F$9</f>
        <v>0</v>
      </c>
      <c r="I10111" s="135" t="n">
        <f aca="false">$G10111*'Analyse capacite'!$C$9</f>
        <v>0</v>
      </c>
      <c r="J10111" s="135" t="n">
        <f aca="false">$G10111*'Analyse capacite'!$D$9</f>
        <v>0</v>
      </c>
      <c r="K10111" s="135" t="n">
        <f aca="false">$G10111*'Analyse capacite'!$E$9</f>
        <v>0</v>
      </c>
    </row>
    <row r="10112" customFormat="false" ht="15" hidden="false" customHeight="false" outlineLevel="0" collapsed="false">
      <c r="B10112" s="130" t="n">
        <v>2028</v>
      </c>
      <c r="C10112" s="131" t="s">
        <v>255</v>
      </c>
      <c r="D10112" s="132" t="n">
        <v>46758</v>
      </c>
      <c r="E10112" s="131" t="s">
        <v>56</v>
      </c>
      <c r="F10112" s="133" t="s">
        <v>11</v>
      </c>
      <c r="G10112" s="134" t="n">
        <f aca="false">LEN('Saisie programme'!$G$391)+SUMIFS('Vols additionnels'!$E$7:$E$66,'Vols additionnels'!$C$7:$C$66,$E10112,'Vols additionnels'!$D$7:$D$66,$F10112,'Vols additionnels'!$B$7:$B$66,$D10112)</f>
        <v>0</v>
      </c>
      <c r="H10112" s="135" t="n">
        <f aca="false">$G10112*'Analyse capacite'!$F$7</f>
        <v>0</v>
      </c>
      <c r="I10112" s="135" t="n">
        <f aca="false">$G10112*'Analyse capacite'!$C$7</f>
        <v>0</v>
      </c>
      <c r="J10112" s="135" t="n">
        <f aca="false">$G10112*'Analyse capacite'!$D$7</f>
        <v>0</v>
      </c>
      <c r="K10112" s="135" t="n">
        <f aca="false">$G10112*'Analyse capacite'!$E$7</f>
        <v>0</v>
      </c>
    </row>
    <row r="10113" customFormat="false" ht="15" hidden="false" customHeight="false" outlineLevel="0" collapsed="false">
      <c r="B10113" s="130" t="n">
        <v>2028</v>
      </c>
      <c r="C10113" s="131" t="s">
        <v>255</v>
      </c>
      <c r="D10113" s="132" t="n">
        <v>46758</v>
      </c>
      <c r="E10113" s="131" t="s">
        <v>56</v>
      </c>
      <c r="F10113" s="133" t="s">
        <v>19</v>
      </c>
      <c r="G10113" s="134" t="n">
        <f aca="false">LEN('Saisie programme'!$G$392)+SUMIFS('Vols additionnels'!$E$7:$E$66,'Vols additionnels'!$C$7:$C$66,$E10113,'Vols additionnels'!$D$7:$D$66,$F10113,'Vols additionnels'!$B$7:$B$66,$D10113)</f>
        <v>0</v>
      </c>
      <c r="H10113" s="135" t="n">
        <f aca="false">$G10113*'Analyse capacite'!$F$8</f>
        <v>0</v>
      </c>
      <c r="I10113" s="135" t="n">
        <f aca="false">$G10113*'Analyse capacite'!$C$8</f>
        <v>0</v>
      </c>
      <c r="J10113" s="135" t="n">
        <f aca="false">$G10113*'Analyse capacite'!$D$8</f>
        <v>0</v>
      </c>
      <c r="K10113" s="135" t="n">
        <f aca="false">$G10113*'Analyse capacite'!$E$8</f>
        <v>0</v>
      </c>
    </row>
    <row r="10114" customFormat="false" ht="15" hidden="false" customHeight="false" outlineLevel="0" collapsed="false">
      <c r="B10114" s="130" t="n">
        <v>2028</v>
      </c>
      <c r="C10114" s="131" t="s">
        <v>255</v>
      </c>
      <c r="D10114" s="132" t="n">
        <v>46758</v>
      </c>
      <c r="E10114" s="131" t="s">
        <v>56</v>
      </c>
      <c r="F10114" s="133" t="s">
        <v>24</v>
      </c>
      <c r="G10114" s="134" t="n">
        <f aca="false">LEN('Saisie programme'!$G$393)+SUMIFS('Vols additionnels'!$E$7:$E$66,'Vols additionnels'!$C$7:$C$66,$E10114,'Vols additionnels'!$D$7:$D$66,$F10114,'Vols additionnels'!$B$7:$B$66,$D10114)</f>
        <v>0</v>
      </c>
      <c r="H10114" s="135" t="n">
        <f aca="false">$G10114*'Analyse capacite'!$F$9</f>
        <v>0</v>
      </c>
      <c r="I10114" s="135" t="n">
        <f aca="false">$G10114*'Analyse capacite'!$C$9</f>
        <v>0</v>
      </c>
      <c r="J10114" s="135" t="n">
        <f aca="false">$G10114*'Analyse capacite'!$D$9</f>
        <v>0</v>
      </c>
      <c r="K10114" s="135" t="n">
        <f aca="false">$G10114*'Analyse capacite'!$E$9</f>
        <v>0</v>
      </c>
    </row>
    <row r="10115" customFormat="false" ht="15" hidden="false" customHeight="false" outlineLevel="0" collapsed="false">
      <c r="B10115" s="130" t="n">
        <v>2028</v>
      </c>
      <c r="C10115" s="131" t="s">
        <v>255</v>
      </c>
      <c r="D10115" s="132" t="n">
        <v>46758</v>
      </c>
      <c r="E10115" s="131" t="s">
        <v>59</v>
      </c>
      <c r="F10115" s="133" t="s">
        <v>11</v>
      </c>
      <c r="G10115" s="134" t="n">
        <f aca="false">LEN('Saisie programme'!$G$394)+SUMIFS('Vols additionnels'!$E$7:$E$66,'Vols additionnels'!$C$7:$C$66,$E10115,'Vols additionnels'!$D$7:$D$66,$F10115,'Vols additionnels'!$B$7:$B$66,$D10115)</f>
        <v>0</v>
      </c>
      <c r="H10115" s="135" t="n">
        <f aca="false">$G10115*'Analyse capacite'!$F$7</f>
        <v>0</v>
      </c>
      <c r="I10115" s="135" t="n">
        <f aca="false">$G10115*'Analyse capacite'!$C$7</f>
        <v>0</v>
      </c>
      <c r="J10115" s="135" t="n">
        <f aca="false">$G10115*'Analyse capacite'!$D$7</f>
        <v>0</v>
      </c>
      <c r="K10115" s="135" t="n">
        <f aca="false">$G10115*'Analyse capacite'!$E$7</f>
        <v>0</v>
      </c>
    </row>
    <row r="10116" customFormat="false" ht="15" hidden="false" customHeight="false" outlineLevel="0" collapsed="false">
      <c r="B10116" s="130" t="n">
        <v>2028</v>
      </c>
      <c r="C10116" s="131" t="s">
        <v>255</v>
      </c>
      <c r="D10116" s="132" t="n">
        <v>46758</v>
      </c>
      <c r="E10116" s="131" t="s">
        <v>59</v>
      </c>
      <c r="F10116" s="133" t="s">
        <v>19</v>
      </c>
      <c r="G10116" s="134" t="n">
        <f aca="false">LEN('Saisie programme'!$G$395)+SUMIFS('Vols additionnels'!$E$7:$E$66,'Vols additionnels'!$C$7:$C$66,$E10116,'Vols additionnels'!$D$7:$D$66,$F10116,'Vols additionnels'!$B$7:$B$66,$D10116)</f>
        <v>0</v>
      </c>
      <c r="H10116" s="135" t="n">
        <f aca="false">$G10116*'Analyse capacite'!$F$8</f>
        <v>0</v>
      </c>
      <c r="I10116" s="135" t="n">
        <f aca="false">$G10116*'Analyse capacite'!$C$8</f>
        <v>0</v>
      </c>
      <c r="J10116" s="135" t="n">
        <f aca="false">$G10116*'Analyse capacite'!$D$8</f>
        <v>0</v>
      </c>
      <c r="K10116" s="135" t="n">
        <f aca="false">$G10116*'Analyse capacite'!$E$8</f>
        <v>0</v>
      </c>
    </row>
    <row r="10117" customFormat="false" ht="15" hidden="false" customHeight="false" outlineLevel="0" collapsed="false">
      <c r="B10117" s="130" t="n">
        <v>2028</v>
      </c>
      <c r="C10117" s="131" t="s">
        <v>255</v>
      </c>
      <c r="D10117" s="132" t="n">
        <v>46758</v>
      </c>
      <c r="E10117" s="131" t="s">
        <v>59</v>
      </c>
      <c r="F10117" s="133" t="s">
        <v>24</v>
      </c>
      <c r="G10117" s="134" t="n">
        <f aca="false">LEN('Saisie programme'!$G$396)+SUMIFS('Vols additionnels'!$E$7:$E$66,'Vols additionnels'!$C$7:$C$66,$E10117,'Vols additionnels'!$D$7:$D$66,$F10117,'Vols additionnels'!$B$7:$B$66,$D10117)</f>
        <v>2</v>
      </c>
      <c r="H10117" s="135" t="n">
        <f aca="false">$G10117*'Analyse capacite'!$F$9</f>
        <v>348</v>
      </c>
      <c r="I10117" s="135" t="n">
        <f aca="false">$G10117*'Analyse capacite'!$C$9</f>
        <v>0</v>
      </c>
      <c r="J10117" s="135" t="n">
        <f aca="false">$G10117*'Analyse capacite'!$D$9</f>
        <v>24</v>
      </c>
      <c r="K10117" s="135" t="n">
        <f aca="false">$G10117*'Analyse capacite'!$E$9</f>
        <v>324</v>
      </c>
    </row>
    <row r="10118" customFormat="false" ht="15" hidden="false" customHeight="false" outlineLevel="0" collapsed="false">
      <c r="B10118" s="130" t="n">
        <v>2028</v>
      </c>
      <c r="C10118" s="131" t="s">
        <v>255</v>
      </c>
      <c r="D10118" s="132" t="n">
        <v>46758</v>
      </c>
      <c r="E10118" s="131" t="s">
        <v>62</v>
      </c>
      <c r="F10118" s="133" t="s">
        <v>11</v>
      </c>
      <c r="G10118" s="134" t="n">
        <f aca="false">LEN('Saisie programme'!$G$397)+SUMIFS('Vols additionnels'!$E$7:$E$66,'Vols additionnels'!$C$7:$C$66,$E10118,'Vols additionnels'!$D$7:$D$66,$F10118,'Vols additionnels'!$B$7:$B$66,$D10118)</f>
        <v>0</v>
      </c>
      <c r="H10118" s="135" t="n">
        <f aca="false">$G10118*'Analyse capacite'!$F$7</f>
        <v>0</v>
      </c>
      <c r="I10118" s="135" t="n">
        <f aca="false">$G10118*'Analyse capacite'!$C$7</f>
        <v>0</v>
      </c>
      <c r="J10118" s="135" t="n">
        <f aca="false">$G10118*'Analyse capacite'!$D$7</f>
        <v>0</v>
      </c>
      <c r="K10118" s="135" t="n">
        <f aca="false">$G10118*'Analyse capacite'!$E$7</f>
        <v>0</v>
      </c>
    </row>
    <row r="10119" customFormat="false" ht="15" hidden="false" customHeight="false" outlineLevel="0" collapsed="false">
      <c r="B10119" s="130" t="n">
        <v>2028</v>
      </c>
      <c r="C10119" s="131" t="s">
        <v>255</v>
      </c>
      <c r="D10119" s="132" t="n">
        <v>46758</v>
      </c>
      <c r="E10119" s="131" t="s">
        <v>62</v>
      </c>
      <c r="F10119" s="133" t="s">
        <v>19</v>
      </c>
      <c r="G10119" s="134" t="n">
        <f aca="false">LEN('Saisie programme'!$G$398)+SUMIFS('Vols additionnels'!$E$7:$E$66,'Vols additionnels'!$C$7:$C$66,$E10119,'Vols additionnels'!$D$7:$D$66,$F10119,'Vols additionnels'!$B$7:$B$66,$D10119)</f>
        <v>0</v>
      </c>
      <c r="H10119" s="135" t="n">
        <f aca="false">$G10119*'Analyse capacite'!$F$8</f>
        <v>0</v>
      </c>
      <c r="I10119" s="135" t="n">
        <f aca="false">$G10119*'Analyse capacite'!$C$8</f>
        <v>0</v>
      </c>
      <c r="J10119" s="135" t="n">
        <f aca="false">$G10119*'Analyse capacite'!$D$8</f>
        <v>0</v>
      </c>
      <c r="K10119" s="135" t="n">
        <f aca="false">$G10119*'Analyse capacite'!$E$8</f>
        <v>0</v>
      </c>
    </row>
    <row r="10120" customFormat="false" ht="15" hidden="false" customHeight="false" outlineLevel="0" collapsed="false">
      <c r="B10120" s="130" t="n">
        <v>2028</v>
      </c>
      <c r="C10120" s="131" t="s">
        <v>255</v>
      </c>
      <c r="D10120" s="132" t="n">
        <v>46758</v>
      </c>
      <c r="E10120" s="131" t="s">
        <v>62</v>
      </c>
      <c r="F10120" s="133" t="s">
        <v>24</v>
      </c>
      <c r="G10120" s="134" t="n">
        <f aca="false">LEN('Saisie programme'!$G$399)+SUMIFS('Vols additionnels'!$E$7:$E$66,'Vols additionnels'!$C$7:$C$66,$E10120,'Vols additionnels'!$D$7:$D$66,$F10120,'Vols additionnels'!$B$7:$B$66,$D10120)</f>
        <v>0</v>
      </c>
      <c r="H10120" s="135" t="n">
        <f aca="false">$G10120*'Analyse capacite'!$F$9</f>
        <v>0</v>
      </c>
      <c r="I10120" s="135" t="n">
        <f aca="false">$G10120*'Analyse capacite'!$C$9</f>
        <v>0</v>
      </c>
      <c r="J10120" s="135" t="n">
        <f aca="false">$G10120*'Analyse capacite'!$D$9</f>
        <v>0</v>
      </c>
      <c r="K10120" s="135" t="n">
        <f aca="false">$G10120*'Analyse capacite'!$E$9</f>
        <v>0</v>
      </c>
    </row>
    <row r="10121" customFormat="false" ht="15" hidden="false" customHeight="false" outlineLevel="0" collapsed="false">
      <c r="B10121" s="130" t="n">
        <v>2028</v>
      </c>
      <c r="C10121" s="131" t="s">
        <v>255</v>
      </c>
      <c r="D10121" s="132" t="n">
        <v>46759</v>
      </c>
      <c r="E10121" s="131" t="s">
        <v>12</v>
      </c>
      <c r="F10121" s="133" t="s">
        <v>11</v>
      </c>
      <c r="G10121" s="134" t="n">
        <f aca="false">LEN('Saisie programme'!$H$364)+SUMIFS('Vols additionnels'!$E$7:$E$66,'Vols additionnels'!$C$7:$C$66,$E10121,'Vols additionnels'!$D$7:$D$66,$F10121,'Vols additionnels'!$B$7:$B$66,$D10121)</f>
        <v>1</v>
      </c>
      <c r="H10121" s="135" t="n">
        <f aca="false">$G10121*'Analyse capacite'!$F$7</f>
        <v>438</v>
      </c>
      <c r="I10121" s="135" t="n">
        <f aca="false">$G10121*'Analyse capacite'!$C$7</f>
        <v>14</v>
      </c>
      <c r="J10121" s="135" t="n">
        <f aca="false">$G10121*'Analyse capacite'!$D$7</f>
        <v>40</v>
      </c>
      <c r="K10121" s="135" t="n">
        <f aca="false">$G10121*'Analyse capacite'!$E$7</f>
        <v>384</v>
      </c>
    </row>
    <row r="10122" customFormat="false" ht="15" hidden="false" customHeight="false" outlineLevel="0" collapsed="false">
      <c r="B10122" s="130" t="n">
        <v>2028</v>
      </c>
      <c r="C10122" s="131" t="s">
        <v>255</v>
      </c>
      <c r="D10122" s="132" t="n">
        <v>46759</v>
      </c>
      <c r="E10122" s="131" t="s">
        <v>12</v>
      </c>
      <c r="F10122" s="133" t="s">
        <v>19</v>
      </c>
      <c r="G10122" s="134" t="n">
        <f aca="false">LEN('Saisie programme'!$H$365)+SUMIFS('Vols additionnels'!$E$7:$E$66,'Vols additionnels'!$C$7:$C$66,$E10122,'Vols additionnels'!$D$7:$D$66,$F10122,'Vols additionnels'!$B$7:$B$66,$D10122)</f>
        <v>1</v>
      </c>
      <c r="H10122" s="135" t="n">
        <f aca="false">$G10122*'Analyse capacite'!$F$8</f>
        <v>262</v>
      </c>
      <c r="I10122" s="135" t="n">
        <f aca="false">$G10122*'Analyse capacite'!$C$8</f>
        <v>18</v>
      </c>
      <c r="J10122" s="135" t="n">
        <f aca="false">$G10122*'Analyse capacite'!$D$8</f>
        <v>0</v>
      </c>
      <c r="K10122" s="135" t="n">
        <f aca="false">$G10122*'Analyse capacite'!$E$8</f>
        <v>244</v>
      </c>
    </row>
    <row r="10123" customFormat="false" ht="15" hidden="false" customHeight="false" outlineLevel="0" collapsed="false">
      <c r="B10123" s="130" t="n">
        <v>2028</v>
      </c>
      <c r="C10123" s="131" t="s">
        <v>255</v>
      </c>
      <c r="D10123" s="132" t="n">
        <v>46759</v>
      </c>
      <c r="E10123" s="131" t="s">
        <v>12</v>
      </c>
      <c r="F10123" s="133" t="s">
        <v>24</v>
      </c>
      <c r="G10123" s="134" t="n">
        <f aca="false">LEN('Saisie programme'!$H$366)+SUMIFS('Vols additionnels'!$E$7:$E$66,'Vols additionnels'!$C$7:$C$66,$E10123,'Vols additionnels'!$D$7:$D$66,$F10123,'Vols additionnels'!$B$7:$B$66,$D10123)</f>
        <v>0</v>
      </c>
      <c r="H10123" s="135" t="n">
        <f aca="false">$G10123*'Analyse capacite'!$F$9</f>
        <v>0</v>
      </c>
      <c r="I10123" s="135" t="n">
        <f aca="false">$G10123*'Analyse capacite'!$C$9</f>
        <v>0</v>
      </c>
      <c r="J10123" s="135" t="n">
        <f aca="false">$G10123*'Analyse capacite'!$D$9</f>
        <v>0</v>
      </c>
      <c r="K10123" s="135" t="n">
        <f aca="false">$G10123*'Analyse capacite'!$E$9</f>
        <v>0</v>
      </c>
    </row>
    <row r="10124" customFormat="false" ht="15" hidden="false" customHeight="false" outlineLevel="0" collapsed="false">
      <c r="B10124" s="130" t="n">
        <v>2028</v>
      </c>
      <c r="C10124" s="131" t="s">
        <v>255</v>
      </c>
      <c r="D10124" s="132" t="n">
        <v>46759</v>
      </c>
      <c r="E10124" s="131" t="s">
        <v>20</v>
      </c>
      <c r="F10124" s="133" t="s">
        <v>11</v>
      </c>
      <c r="G10124" s="134" t="n">
        <f aca="false">LEN('Saisie programme'!$H$367)+SUMIFS('Vols additionnels'!$E$7:$E$66,'Vols additionnels'!$C$7:$C$66,$E10124,'Vols additionnels'!$D$7:$D$66,$F10124,'Vols additionnels'!$B$7:$B$66,$D10124)</f>
        <v>0</v>
      </c>
      <c r="H10124" s="135" t="n">
        <f aca="false">$G10124*'Analyse capacite'!$F$7</f>
        <v>0</v>
      </c>
      <c r="I10124" s="135" t="n">
        <f aca="false">$G10124*'Analyse capacite'!$C$7</f>
        <v>0</v>
      </c>
      <c r="J10124" s="135" t="n">
        <f aca="false">$G10124*'Analyse capacite'!$D$7</f>
        <v>0</v>
      </c>
      <c r="K10124" s="135" t="n">
        <f aca="false">$G10124*'Analyse capacite'!$E$7</f>
        <v>0</v>
      </c>
    </row>
    <row r="10125" customFormat="false" ht="15" hidden="false" customHeight="false" outlineLevel="0" collapsed="false">
      <c r="B10125" s="130" t="n">
        <v>2028</v>
      </c>
      <c r="C10125" s="131" t="s">
        <v>255</v>
      </c>
      <c r="D10125" s="132" t="n">
        <v>46759</v>
      </c>
      <c r="E10125" s="131" t="s">
        <v>20</v>
      </c>
      <c r="F10125" s="133" t="s">
        <v>19</v>
      </c>
      <c r="G10125" s="134" t="n">
        <f aca="false">LEN('Saisie programme'!$H$368)+SUMIFS('Vols additionnels'!$E$7:$E$66,'Vols additionnels'!$C$7:$C$66,$E10125,'Vols additionnels'!$D$7:$D$66,$F10125,'Vols additionnels'!$B$7:$B$66,$D10125)</f>
        <v>1</v>
      </c>
      <c r="H10125" s="135" t="n">
        <f aca="false">$G10125*'Analyse capacite'!$F$8</f>
        <v>262</v>
      </c>
      <c r="I10125" s="135" t="n">
        <f aca="false">$G10125*'Analyse capacite'!$C$8</f>
        <v>18</v>
      </c>
      <c r="J10125" s="135" t="n">
        <f aca="false">$G10125*'Analyse capacite'!$D$8</f>
        <v>0</v>
      </c>
      <c r="K10125" s="135" t="n">
        <f aca="false">$G10125*'Analyse capacite'!$E$8</f>
        <v>244</v>
      </c>
    </row>
    <row r="10126" customFormat="false" ht="15" hidden="false" customHeight="false" outlineLevel="0" collapsed="false">
      <c r="B10126" s="130" t="n">
        <v>2028</v>
      </c>
      <c r="C10126" s="131" t="s">
        <v>255</v>
      </c>
      <c r="D10126" s="132" t="n">
        <v>46759</v>
      </c>
      <c r="E10126" s="131" t="s">
        <v>20</v>
      </c>
      <c r="F10126" s="133" t="s">
        <v>24</v>
      </c>
      <c r="G10126" s="134" t="n">
        <f aca="false">LEN('Saisie programme'!$H$369)+SUMIFS('Vols additionnels'!$E$7:$E$66,'Vols additionnels'!$C$7:$C$66,$E10126,'Vols additionnels'!$D$7:$D$66,$F10126,'Vols additionnels'!$B$7:$B$66,$D10126)</f>
        <v>0</v>
      </c>
      <c r="H10126" s="135" t="n">
        <f aca="false">$G10126*'Analyse capacite'!$F$9</f>
        <v>0</v>
      </c>
      <c r="I10126" s="135" t="n">
        <f aca="false">$G10126*'Analyse capacite'!$C$9</f>
        <v>0</v>
      </c>
      <c r="J10126" s="135" t="n">
        <f aca="false">$G10126*'Analyse capacite'!$D$9</f>
        <v>0</v>
      </c>
      <c r="K10126" s="135" t="n">
        <f aca="false">$G10126*'Analyse capacite'!$E$9</f>
        <v>0</v>
      </c>
    </row>
    <row r="10127" customFormat="false" ht="15" hidden="false" customHeight="false" outlineLevel="0" collapsed="false">
      <c r="B10127" s="130" t="n">
        <v>2028</v>
      </c>
      <c r="C10127" s="131" t="s">
        <v>255</v>
      </c>
      <c r="D10127" s="132" t="n">
        <v>46759</v>
      </c>
      <c r="E10127" s="131" t="s">
        <v>25</v>
      </c>
      <c r="F10127" s="133" t="s">
        <v>11</v>
      </c>
      <c r="G10127" s="134" t="n">
        <f aca="false">LEN('Saisie programme'!$H$370)+SUMIFS('Vols additionnels'!$E$7:$E$66,'Vols additionnels'!$C$7:$C$66,$E10127,'Vols additionnels'!$D$7:$D$66,$F10127,'Vols additionnels'!$B$7:$B$66,$D10127)</f>
        <v>0</v>
      </c>
      <c r="H10127" s="135" t="n">
        <f aca="false">$G10127*'Analyse capacite'!$F$7</f>
        <v>0</v>
      </c>
      <c r="I10127" s="135" t="n">
        <f aca="false">$G10127*'Analyse capacite'!$C$7</f>
        <v>0</v>
      </c>
      <c r="J10127" s="135" t="n">
        <f aca="false">$G10127*'Analyse capacite'!$D$7</f>
        <v>0</v>
      </c>
      <c r="K10127" s="135" t="n">
        <f aca="false">$G10127*'Analyse capacite'!$E$7</f>
        <v>0</v>
      </c>
    </row>
    <row r="10128" customFormat="false" ht="15" hidden="false" customHeight="false" outlineLevel="0" collapsed="false">
      <c r="B10128" s="130" t="n">
        <v>2028</v>
      </c>
      <c r="C10128" s="131" t="s">
        <v>255</v>
      </c>
      <c r="D10128" s="132" t="n">
        <v>46759</v>
      </c>
      <c r="E10128" s="131" t="s">
        <v>25</v>
      </c>
      <c r="F10128" s="133" t="s">
        <v>19</v>
      </c>
      <c r="G10128" s="134" t="n">
        <f aca="false">LEN('Saisie programme'!$H$371)+SUMIFS('Vols additionnels'!$E$7:$E$66,'Vols additionnels'!$C$7:$C$66,$E10128,'Vols additionnels'!$D$7:$D$66,$F10128,'Vols additionnels'!$B$7:$B$66,$D10128)</f>
        <v>0</v>
      </c>
      <c r="H10128" s="135" t="n">
        <f aca="false">$G10128*'Analyse capacite'!$F$8</f>
        <v>0</v>
      </c>
      <c r="I10128" s="135" t="n">
        <f aca="false">$G10128*'Analyse capacite'!$C$8</f>
        <v>0</v>
      </c>
      <c r="J10128" s="135" t="n">
        <f aca="false">$G10128*'Analyse capacite'!$D$8</f>
        <v>0</v>
      </c>
      <c r="K10128" s="135" t="n">
        <f aca="false">$G10128*'Analyse capacite'!$E$8</f>
        <v>0</v>
      </c>
    </row>
    <row r="10129" customFormat="false" ht="15" hidden="false" customHeight="false" outlineLevel="0" collapsed="false">
      <c r="B10129" s="130" t="n">
        <v>2028</v>
      </c>
      <c r="C10129" s="131" t="s">
        <v>255</v>
      </c>
      <c r="D10129" s="132" t="n">
        <v>46759</v>
      </c>
      <c r="E10129" s="131" t="s">
        <v>25</v>
      </c>
      <c r="F10129" s="133" t="s">
        <v>24</v>
      </c>
      <c r="G10129" s="134" t="n">
        <f aca="false">LEN('Saisie programme'!$H$372)+SUMIFS('Vols additionnels'!$E$7:$E$66,'Vols additionnels'!$C$7:$C$66,$E10129,'Vols additionnels'!$D$7:$D$66,$F10129,'Vols additionnels'!$B$7:$B$66,$D10129)</f>
        <v>0</v>
      </c>
      <c r="H10129" s="135" t="n">
        <f aca="false">$G10129*'Analyse capacite'!$F$9</f>
        <v>0</v>
      </c>
      <c r="I10129" s="135" t="n">
        <f aca="false">$G10129*'Analyse capacite'!$C$9</f>
        <v>0</v>
      </c>
      <c r="J10129" s="135" t="n">
        <f aca="false">$G10129*'Analyse capacite'!$D$9</f>
        <v>0</v>
      </c>
      <c r="K10129" s="135" t="n">
        <f aca="false">$G10129*'Analyse capacite'!$E$9</f>
        <v>0</v>
      </c>
    </row>
    <row r="10130" customFormat="false" ht="15" hidden="false" customHeight="false" outlineLevel="0" collapsed="false">
      <c r="B10130" s="130" t="n">
        <v>2028</v>
      </c>
      <c r="C10130" s="131" t="s">
        <v>255</v>
      </c>
      <c r="D10130" s="132" t="n">
        <v>46759</v>
      </c>
      <c r="E10130" s="131" t="s">
        <v>36</v>
      </c>
      <c r="F10130" s="133" t="s">
        <v>11</v>
      </c>
      <c r="G10130" s="134" t="n">
        <f aca="false">LEN('Saisie programme'!$H$373)+SUMIFS('Vols additionnels'!$E$7:$E$66,'Vols additionnels'!$C$7:$C$66,$E10130,'Vols additionnels'!$D$7:$D$66,$F10130,'Vols additionnels'!$B$7:$B$66,$D10130)</f>
        <v>0</v>
      </c>
      <c r="H10130" s="135" t="n">
        <f aca="false">$G10130*'Analyse capacite'!$F$7</f>
        <v>0</v>
      </c>
      <c r="I10130" s="135" t="n">
        <f aca="false">$G10130*'Analyse capacite'!$C$7</f>
        <v>0</v>
      </c>
      <c r="J10130" s="135" t="n">
        <f aca="false">$G10130*'Analyse capacite'!$D$7</f>
        <v>0</v>
      </c>
      <c r="K10130" s="135" t="n">
        <f aca="false">$G10130*'Analyse capacite'!$E$7</f>
        <v>0</v>
      </c>
    </row>
    <row r="10131" customFormat="false" ht="15" hidden="false" customHeight="false" outlineLevel="0" collapsed="false">
      <c r="B10131" s="130" t="n">
        <v>2028</v>
      </c>
      <c r="C10131" s="131" t="s">
        <v>255</v>
      </c>
      <c r="D10131" s="132" t="n">
        <v>46759</v>
      </c>
      <c r="E10131" s="131" t="s">
        <v>36</v>
      </c>
      <c r="F10131" s="133" t="s">
        <v>19</v>
      </c>
      <c r="G10131" s="134" t="n">
        <f aca="false">LEN('Saisie programme'!$H$374)+SUMIFS('Vols additionnels'!$E$7:$E$66,'Vols additionnels'!$C$7:$C$66,$E10131,'Vols additionnels'!$D$7:$D$66,$F10131,'Vols additionnels'!$B$7:$B$66,$D10131)</f>
        <v>0</v>
      </c>
      <c r="H10131" s="135" t="n">
        <f aca="false">$G10131*'Analyse capacite'!$F$8</f>
        <v>0</v>
      </c>
      <c r="I10131" s="135" t="n">
        <f aca="false">$G10131*'Analyse capacite'!$C$8</f>
        <v>0</v>
      </c>
      <c r="J10131" s="135" t="n">
        <f aca="false">$G10131*'Analyse capacite'!$D$8</f>
        <v>0</v>
      </c>
      <c r="K10131" s="135" t="n">
        <f aca="false">$G10131*'Analyse capacite'!$E$8</f>
        <v>0</v>
      </c>
    </row>
    <row r="10132" customFormat="false" ht="15" hidden="false" customHeight="false" outlineLevel="0" collapsed="false">
      <c r="B10132" s="130" t="n">
        <v>2028</v>
      </c>
      <c r="C10132" s="131" t="s">
        <v>255</v>
      </c>
      <c r="D10132" s="132" t="n">
        <v>46759</v>
      </c>
      <c r="E10132" s="131" t="s">
        <v>36</v>
      </c>
      <c r="F10132" s="133" t="s">
        <v>24</v>
      </c>
      <c r="G10132" s="134" t="n">
        <f aca="false">LEN('Saisie programme'!$H$375)+SUMIFS('Vols additionnels'!$E$7:$E$66,'Vols additionnels'!$C$7:$C$66,$E10132,'Vols additionnels'!$D$7:$D$66,$F10132,'Vols additionnels'!$B$7:$B$66,$D10132)</f>
        <v>1</v>
      </c>
      <c r="H10132" s="135" t="n">
        <f aca="false">$G10132*'Analyse capacite'!$F$9</f>
        <v>174</v>
      </c>
      <c r="I10132" s="135" t="n">
        <f aca="false">$G10132*'Analyse capacite'!$C$9</f>
        <v>0</v>
      </c>
      <c r="J10132" s="135" t="n">
        <f aca="false">$G10132*'Analyse capacite'!$D$9</f>
        <v>12</v>
      </c>
      <c r="K10132" s="135" t="n">
        <f aca="false">$G10132*'Analyse capacite'!$E$9</f>
        <v>162</v>
      </c>
    </row>
    <row r="10133" customFormat="false" ht="15" hidden="false" customHeight="false" outlineLevel="0" collapsed="false">
      <c r="B10133" s="130" t="n">
        <v>2028</v>
      </c>
      <c r="C10133" s="131" t="s">
        <v>255</v>
      </c>
      <c r="D10133" s="132" t="n">
        <v>46759</v>
      </c>
      <c r="E10133" s="131" t="s">
        <v>40</v>
      </c>
      <c r="F10133" s="133" t="s">
        <v>11</v>
      </c>
      <c r="G10133" s="134" t="n">
        <f aca="false">LEN('Saisie programme'!$H$376)+SUMIFS('Vols additionnels'!$E$7:$E$66,'Vols additionnels'!$C$7:$C$66,$E10133,'Vols additionnels'!$D$7:$D$66,$F10133,'Vols additionnels'!$B$7:$B$66,$D10133)</f>
        <v>0</v>
      </c>
      <c r="H10133" s="135" t="n">
        <f aca="false">$G10133*'Analyse capacite'!$F$7</f>
        <v>0</v>
      </c>
      <c r="I10133" s="135" t="n">
        <f aca="false">$G10133*'Analyse capacite'!$C$7</f>
        <v>0</v>
      </c>
      <c r="J10133" s="135" t="n">
        <f aca="false">$G10133*'Analyse capacite'!$D$7</f>
        <v>0</v>
      </c>
      <c r="K10133" s="135" t="n">
        <f aca="false">$G10133*'Analyse capacite'!$E$7</f>
        <v>0</v>
      </c>
    </row>
    <row r="10134" customFormat="false" ht="15" hidden="false" customHeight="false" outlineLevel="0" collapsed="false">
      <c r="B10134" s="130" t="n">
        <v>2028</v>
      </c>
      <c r="C10134" s="131" t="s">
        <v>255</v>
      </c>
      <c r="D10134" s="132" t="n">
        <v>46759</v>
      </c>
      <c r="E10134" s="131" t="s">
        <v>40</v>
      </c>
      <c r="F10134" s="133" t="s">
        <v>19</v>
      </c>
      <c r="G10134" s="134" t="n">
        <f aca="false">LEN('Saisie programme'!$H$377)+SUMIFS('Vols additionnels'!$E$7:$E$66,'Vols additionnels'!$C$7:$C$66,$E10134,'Vols additionnels'!$D$7:$D$66,$F10134,'Vols additionnels'!$B$7:$B$66,$D10134)</f>
        <v>0</v>
      </c>
      <c r="H10134" s="135" t="n">
        <f aca="false">$G10134*'Analyse capacite'!$F$8</f>
        <v>0</v>
      </c>
      <c r="I10134" s="135" t="n">
        <f aca="false">$G10134*'Analyse capacite'!$C$8</f>
        <v>0</v>
      </c>
      <c r="J10134" s="135" t="n">
        <f aca="false">$G10134*'Analyse capacite'!$D$8</f>
        <v>0</v>
      </c>
      <c r="K10134" s="135" t="n">
        <f aca="false">$G10134*'Analyse capacite'!$E$8</f>
        <v>0</v>
      </c>
    </row>
    <row r="10135" customFormat="false" ht="15" hidden="false" customHeight="false" outlineLevel="0" collapsed="false">
      <c r="B10135" s="130" t="n">
        <v>2028</v>
      </c>
      <c r="C10135" s="131" t="s">
        <v>255</v>
      </c>
      <c r="D10135" s="132" t="n">
        <v>46759</v>
      </c>
      <c r="E10135" s="131" t="s">
        <v>40</v>
      </c>
      <c r="F10135" s="133" t="s">
        <v>24</v>
      </c>
      <c r="G10135" s="134" t="n">
        <f aca="false">LEN('Saisie programme'!$H$378)+SUMIFS('Vols additionnels'!$E$7:$E$66,'Vols additionnels'!$C$7:$C$66,$E10135,'Vols additionnels'!$D$7:$D$66,$F10135,'Vols additionnels'!$B$7:$B$66,$D10135)</f>
        <v>1</v>
      </c>
      <c r="H10135" s="135" t="n">
        <f aca="false">$G10135*'Analyse capacite'!$F$9</f>
        <v>174</v>
      </c>
      <c r="I10135" s="135" t="n">
        <f aca="false">$G10135*'Analyse capacite'!$C$9</f>
        <v>0</v>
      </c>
      <c r="J10135" s="135" t="n">
        <f aca="false">$G10135*'Analyse capacite'!$D$9</f>
        <v>12</v>
      </c>
      <c r="K10135" s="135" t="n">
        <f aca="false">$G10135*'Analyse capacite'!$E$9</f>
        <v>162</v>
      </c>
    </row>
    <row r="10136" customFormat="false" ht="15" hidden="false" customHeight="false" outlineLevel="0" collapsed="false">
      <c r="B10136" s="130" t="n">
        <v>2028</v>
      </c>
      <c r="C10136" s="131" t="s">
        <v>255</v>
      </c>
      <c r="D10136" s="132" t="n">
        <v>46759</v>
      </c>
      <c r="E10136" s="131" t="s">
        <v>14</v>
      </c>
      <c r="F10136" s="133" t="s">
        <v>11</v>
      </c>
      <c r="G10136" s="134" t="n">
        <f aca="false">LEN('Saisie programme'!$H$379)+SUMIFS('Vols additionnels'!$E$7:$E$66,'Vols additionnels'!$C$7:$C$66,$E10136,'Vols additionnels'!$D$7:$D$66,$F10136,'Vols additionnels'!$B$7:$B$66,$D10136)</f>
        <v>0</v>
      </c>
      <c r="H10136" s="135" t="n">
        <f aca="false">$G10136*'Analyse capacite'!$F$7</f>
        <v>0</v>
      </c>
      <c r="I10136" s="135" t="n">
        <f aca="false">$G10136*'Analyse capacite'!$C$7</f>
        <v>0</v>
      </c>
      <c r="J10136" s="135" t="n">
        <f aca="false">$G10136*'Analyse capacite'!$D$7</f>
        <v>0</v>
      </c>
      <c r="K10136" s="135" t="n">
        <f aca="false">$G10136*'Analyse capacite'!$E$7</f>
        <v>0</v>
      </c>
    </row>
    <row r="10137" customFormat="false" ht="15" hidden="false" customHeight="false" outlineLevel="0" collapsed="false">
      <c r="B10137" s="130" t="n">
        <v>2028</v>
      </c>
      <c r="C10137" s="131" t="s">
        <v>255</v>
      </c>
      <c r="D10137" s="132" t="n">
        <v>46759</v>
      </c>
      <c r="E10137" s="131" t="s">
        <v>14</v>
      </c>
      <c r="F10137" s="133" t="s">
        <v>19</v>
      </c>
      <c r="G10137" s="134" t="n">
        <f aca="false">LEN('Saisie programme'!$H$380)+SUMIFS('Vols additionnels'!$E$7:$E$66,'Vols additionnels'!$C$7:$C$66,$E10137,'Vols additionnels'!$D$7:$D$66,$F10137,'Vols additionnels'!$B$7:$B$66,$D10137)</f>
        <v>0</v>
      </c>
      <c r="H10137" s="135" t="n">
        <f aca="false">$G10137*'Analyse capacite'!$F$8</f>
        <v>0</v>
      </c>
      <c r="I10137" s="135" t="n">
        <f aca="false">$G10137*'Analyse capacite'!$C$8</f>
        <v>0</v>
      </c>
      <c r="J10137" s="135" t="n">
        <f aca="false">$G10137*'Analyse capacite'!$D$8</f>
        <v>0</v>
      </c>
      <c r="K10137" s="135" t="n">
        <f aca="false">$G10137*'Analyse capacite'!$E$8</f>
        <v>0</v>
      </c>
    </row>
    <row r="10138" customFormat="false" ht="15" hidden="false" customHeight="false" outlineLevel="0" collapsed="false">
      <c r="B10138" s="130" t="n">
        <v>2028</v>
      </c>
      <c r="C10138" s="131" t="s">
        <v>255</v>
      </c>
      <c r="D10138" s="132" t="n">
        <v>46759</v>
      </c>
      <c r="E10138" s="131" t="s">
        <v>14</v>
      </c>
      <c r="F10138" s="133" t="s">
        <v>24</v>
      </c>
      <c r="G10138" s="134" t="n">
        <f aca="false">LEN('Saisie programme'!$H$381)+SUMIFS('Vols additionnels'!$E$7:$E$66,'Vols additionnels'!$C$7:$C$66,$E10138,'Vols additionnels'!$D$7:$D$66,$F10138,'Vols additionnels'!$B$7:$B$66,$D10138)</f>
        <v>0</v>
      </c>
      <c r="H10138" s="135" t="n">
        <f aca="false">$G10138*'Analyse capacite'!$F$9</f>
        <v>0</v>
      </c>
      <c r="I10138" s="135" t="n">
        <f aca="false">$G10138*'Analyse capacite'!$C$9</f>
        <v>0</v>
      </c>
      <c r="J10138" s="135" t="n">
        <f aca="false">$G10138*'Analyse capacite'!$D$9</f>
        <v>0</v>
      </c>
      <c r="K10138" s="135" t="n">
        <f aca="false">$G10138*'Analyse capacite'!$E$9</f>
        <v>0</v>
      </c>
    </row>
    <row r="10139" customFormat="false" ht="15" hidden="false" customHeight="false" outlineLevel="0" collapsed="false">
      <c r="B10139" s="130" t="n">
        <v>2028</v>
      </c>
      <c r="C10139" s="131" t="s">
        <v>255</v>
      </c>
      <c r="D10139" s="132" t="n">
        <v>46759</v>
      </c>
      <c r="E10139" s="131" t="s">
        <v>46</v>
      </c>
      <c r="F10139" s="133" t="s">
        <v>11</v>
      </c>
      <c r="G10139" s="134" t="n">
        <f aca="false">LEN('Saisie programme'!$H$382)+SUMIFS('Vols additionnels'!$E$7:$E$66,'Vols additionnels'!$C$7:$C$66,$E10139,'Vols additionnels'!$D$7:$D$66,$F10139,'Vols additionnels'!$B$7:$B$66,$D10139)</f>
        <v>0</v>
      </c>
      <c r="H10139" s="135" t="n">
        <f aca="false">$G10139*'Analyse capacite'!$F$7</f>
        <v>0</v>
      </c>
      <c r="I10139" s="135" t="n">
        <f aca="false">$G10139*'Analyse capacite'!$C$7</f>
        <v>0</v>
      </c>
      <c r="J10139" s="135" t="n">
        <f aca="false">$G10139*'Analyse capacite'!$D$7</f>
        <v>0</v>
      </c>
      <c r="K10139" s="135" t="n">
        <f aca="false">$G10139*'Analyse capacite'!$E$7</f>
        <v>0</v>
      </c>
    </row>
    <row r="10140" customFormat="false" ht="15" hidden="false" customHeight="false" outlineLevel="0" collapsed="false">
      <c r="B10140" s="130" t="n">
        <v>2028</v>
      </c>
      <c r="C10140" s="131" t="s">
        <v>255</v>
      </c>
      <c r="D10140" s="132" t="n">
        <v>46759</v>
      </c>
      <c r="E10140" s="131" t="s">
        <v>46</v>
      </c>
      <c r="F10140" s="133" t="s">
        <v>19</v>
      </c>
      <c r="G10140" s="134" t="n">
        <f aca="false">LEN('Saisie programme'!$H$383)+SUMIFS('Vols additionnels'!$E$7:$E$66,'Vols additionnels'!$C$7:$C$66,$E10140,'Vols additionnels'!$D$7:$D$66,$F10140,'Vols additionnels'!$B$7:$B$66,$D10140)</f>
        <v>0</v>
      </c>
      <c r="H10140" s="135" t="n">
        <f aca="false">$G10140*'Analyse capacite'!$F$8</f>
        <v>0</v>
      </c>
      <c r="I10140" s="135" t="n">
        <f aca="false">$G10140*'Analyse capacite'!$C$8</f>
        <v>0</v>
      </c>
      <c r="J10140" s="135" t="n">
        <f aca="false">$G10140*'Analyse capacite'!$D$8</f>
        <v>0</v>
      </c>
      <c r="K10140" s="135" t="n">
        <f aca="false">$G10140*'Analyse capacite'!$E$8</f>
        <v>0</v>
      </c>
    </row>
    <row r="10141" customFormat="false" ht="15" hidden="false" customHeight="false" outlineLevel="0" collapsed="false">
      <c r="B10141" s="130" t="n">
        <v>2028</v>
      </c>
      <c r="C10141" s="131" t="s">
        <v>255</v>
      </c>
      <c r="D10141" s="132" t="n">
        <v>46759</v>
      </c>
      <c r="E10141" s="131" t="s">
        <v>46</v>
      </c>
      <c r="F10141" s="133" t="s">
        <v>24</v>
      </c>
      <c r="G10141" s="134" t="n">
        <f aca="false">LEN('Saisie programme'!$H$384)+SUMIFS('Vols additionnels'!$E$7:$E$66,'Vols additionnels'!$C$7:$C$66,$E10141,'Vols additionnels'!$D$7:$D$66,$F10141,'Vols additionnels'!$B$7:$B$66,$D10141)</f>
        <v>0</v>
      </c>
      <c r="H10141" s="135" t="n">
        <f aca="false">$G10141*'Analyse capacite'!$F$9</f>
        <v>0</v>
      </c>
      <c r="I10141" s="135" t="n">
        <f aca="false">$G10141*'Analyse capacite'!$C$9</f>
        <v>0</v>
      </c>
      <c r="J10141" s="135" t="n">
        <f aca="false">$G10141*'Analyse capacite'!$D$9</f>
        <v>0</v>
      </c>
      <c r="K10141" s="135" t="n">
        <f aca="false">$G10141*'Analyse capacite'!$E$9</f>
        <v>0</v>
      </c>
    </row>
    <row r="10142" customFormat="false" ht="15" hidden="false" customHeight="false" outlineLevel="0" collapsed="false">
      <c r="B10142" s="130" t="n">
        <v>2028</v>
      </c>
      <c r="C10142" s="131" t="s">
        <v>255</v>
      </c>
      <c r="D10142" s="132" t="n">
        <v>46759</v>
      </c>
      <c r="E10142" s="131" t="s">
        <v>49</v>
      </c>
      <c r="F10142" s="133" t="s">
        <v>11</v>
      </c>
      <c r="G10142" s="134" t="n">
        <f aca="false">LEN('Saisie programme'!$H$385)+SUMIFS('Vols additionnels'!$E$7:$E$66,'Vols additionnels'!$C$7:$C$66,$E10142,'Vols additionnels'!$D$7:$D$66,$F10142,'Vols additionnels'!$B$7:$B$66,$D10142)</f>
        <v>0</v>
      </c>
      <c r="H10142" s="135" t="n">
        <f aca="false">$G10142*'Analyse capacite'!$F$7</f>
        <v>0</v>
      </c>
      <c r="I10142" s="135" t="n">
        <f aca="false">$G10142*'Analyse capacite'!$C$7</f>
        <v>0</v>
      </c>
      <c r="J10142" s="135" t="n">
        <f aca="false">$G10142*'Analyse capacite'!$D$7</f>
        <v>0</v>
      </c>
      <c r="K10142" s="135" t="n">
        <f aca="false">$G10142*'Analyse capacite'!$E$7</f>
        <v>0</v>
      </c>
    </row>
    <row r="10143" customFormat="false" ht="15" hidden="false" customHeight="false" outlineLevel="0" collapsed="false">
      <c r="B10143" s="130" t="n">
        <v>2028</v>
      </c>
      <c r="C10143" s="131" t="s">
        <v>255</v>
      </c>
      <c r="D10143" s="132" t="n">
        <v>46759</v>
      </c>
      <c r="E10143" s="131" t="s">
        <v>49</v>
      </c>
      <c r="F10143" s="133" t="s">
        <v>19</v>
      </c>
      <c r="G10143" s="134" t="n">
        <f aca="false">LEN('Saisie programme'!$H$386)+SUMIFS('Vols additionnels'!$E$7:$E$66,'Vols additionnels'!$C$7:$C$66,$E10143,'Vols additionnels'!$D$7:$D$66,$F10143,'Vols additionnels'!$B$7:$B$66,$D10143)</f>
        <v>1</v>
      </c>
      <c r="H10143" s="135" t="n">
        <f aca="false">$G10143*'Analyse capacite'!$F$8</f>
        <v>262</v>
      </c>
      <c r="I10143" s="135" t="n">
        <f aca="false">$G10143*'Analyse capacite'!$C$8</f>
        <v>18</v>
      </c>
      <c r="J10143" s="135" t="n">
        <f aca="false">$G10143*'Analyse capacite'!$D$8</f>
        <v>0</v>
      </c>
      <c r="K10143" s="135" t="n">
        <f aca="false">$G10143*'Analyse capacite'!$E$8</f>
        <v>244</v>
      </c>
    </row>
    <row r="10144" customFormat="false" ht="15" hidden="false" customHeight="false" outlineLevel="0" collapsed="false">
      <c r="B10144" s="130" t="n">
        <v>2028</v>
      </c>
      <c r="C10144" s="131" t="s">
        <v>255</v>
      </c>
      <c r="D10144" s="132" t="n">
        <v>46759</v>
      </c>
      <c r="E10144" s="131" t="s">
        <v>49</v>
      </c>
      <c r="F10144" s="133" t="s">
        <v>24</v>
      </c>
      <c r="G10144" s="134" t="n">
        <f aca="false">LEN('Saisie programme'!$H$387)+SUMIFS('Vols additionnels'!$E$7:$E$66,'Vols additionnels'!$C$7:$C$66,$E10144,'Vols additionnels'!$D$7:$D$66,$F10144,'Vols additionnels'!$B$7:$B$66,$D10144)</f>
        <v>0</v>
      </c>
      <c r="H10144" s="135" t="n">
        <f aca="false">$G10144*'Analyse capacite'!$F$9</f>
        <v>0</v>
      </c>
      <c r="I10144" s="135" t="n">
        <f aca="false">$G10144*'Analyse capacite'!$C$9</f>
        <v>0</v>
      </c>
      <c r="J10144" s="135" t="n">
        <f aca="false">$G10144*'Analyse capacite'!$D$9</f>
        <v>0</v>
      </c>
      <c r="K10144" s="135" t="n">
        <f aca="false">$G10144*'Analyse capacite'!$E$9</f>
        <v>0</v>
      </c>
    </row>
    <row r="10145" customFormat="false" ht="15" hidden="false" customHeight="false" outlineLevel="0" collapsed="false">
      <c r="B10145" s="130" t="n">
        <v>2028</v>
      </c>
      <c r="C10145" s="131" t="s">
        <v>255</v>
      </c>
      <c r="D10145" s="132" t="n">
        <v>46759</v>
      </c>
      <c r="E10145" s="131" t="s">
        <v>53</v>
      </c>
      <c r="F10145" s="133" t="s">
        <v>11</v>
      </c>
      <c r="G10145" s="134" t="n">
        <f aca="false">LEN('Saisie programme'!$H$388)+SUMIFS('Vols additionnels'!$E$7:$E$66,'Vols additionnels'!$C$7:$C$66,$E10145,'Vols additionnels'!$D$7:$D$66,$F10145,'Vols additionnels'!$B$7:$B$66,$D10145)</f>
        <v>0</v>
      </c>
      <c r="H10145" s="135" t="n">
        <f aca="false">$G10145*'Analyse capacite'!$F$7</f>
        <v>0</v>
      </c>
      <c r="I10145" s="135" t="n">
        <f aca="false">$G10145*'Analyse capacite'!$C$7</f>
        <v>0</v>
      </c>
      <c r="J10145" s="135" t="n">
        <f aca="false">$G10145*'Analyse capacite'!$D$7</f>
        <v>0</v>
      </c>
      <c r="K10145" s="135" t="n">
        <f aca="false">$G10145*'Analyse capacite'!$E$7</f>
        <v>0</v>
      </c>
    </row>
    <row r="10146" customFormat="false" ht="15" hidden="false" customHeight="false" outlineLevel="0" collapsed="false">
      <c r="B10146" s="130" t="n">
        <v>2028</v>
      </c>
      <c r="C10146" s="131" t="s">
        <v>255</v>
      </c>
      <c r="D10146" s="132" t="n">
        <v>46759</v>
      </c>
      <c r="E10146" s="131" t="s">
        <v>53</v>
      </c>
      <c r="F10146" s="133" t="s">
        <v>19</v>
      </c>
      <c r="G10146" s="134" t="n">
        <f aca="false">LEN('Saisie programme'!$H$389)+SUMIFS('Vols additionnels'!$E$7:$E$66,'Vols additionnels'!$C$7:$C$66,$E10146,'Vols additionnels'!$D$7:$D$66,$F10146,'Vols additionnels'!$B$7:$B$66,$D10146)</f>
        <v>0</v>
      </c>
      <c r="H10146" s="135" t="n">
        <f aca="false">$G10146*'Analyse capacite'!$F$8</f>
        <v>0</v>
      </c>
      <c r="I10146" s="135" t="n">
        <f aca="false">$G10146*'Analyse capacite'!$C$8</f>
        <v>0</v>
      </c>
      <c r="J10146" s="135" t="n">
        <f aca="false">$G10146*'Analyse capacite'!$D$8</f>
        <v>0</v>
      </c>
      <c r="K10146" s="135" t="n">
        <f aca="false">$G10146*'Analyse capacite'!$E$8</f>
        <v>0</v>
      </c>
    </row>
    <row r="10147" customFormat="false" ht="15" hidden="false" customHeight="false" outlineLevel="0" collapsed="false">
      <c r="B10147" s="130" t="n">
        <v>2028</v>
      </c>
      <c r="C10147" s="131" t="s">
        <v>255</v>
      </c>
      <c r="D10147" s="132" t="n">
        <v>46759</v>
      </c>
      <c r="E10147" s="131" t="s">
        <v>53</v>
      </c>
      <c r="F10147" s="133" t="s">
        <v>24</v>
      </c>
      <c r="G10147" s="134" t="n">
        <f aca="false">LEN('Saisie programme'!$H$390)+SUMIFS('Vols additionnels'!$E$7:$E$66,'Vols additionnels'!$C$7:$C$66,$E10147,'Vols additionnels'!$D$7:$D$66,$F10147,'Vols additionnels'!$B$7:$B$66,$D10147)</f>
        <v>0</v>
      </c>
      <c r="H10147" s="135" t="n">
        <f aca="false">$G10147*'Analyse capacite'!$F$9</f>
        <v>0</v>
      </c>
      <c r="I10147" s="135" t="n">
        <f aca="false">$G10147*'Analyse capacite'!$C$9</f>
        <v>0</v>
      </c>
      <c r="J10147" s="135" t="n">
        <f aca="false">$G10147*'Analyse capacite'!$D$9</f>
        <v>0</v>
      </c>
      <c r="K10147" s="135" t="n">
        <f aca="false">$G10147*'Analyse capacite'!$E$9</f>
        <v>0</v>
      </c>
    </row>
    <row r="10148" customFormat="false" ht="15" hidden="false" customHeight="false" outlineLevel="0" collapsed="false">
      <c r="B10148" s="130" t="n">
        <v>2028</v>
      </c>
      <c r="C10148" s="131" t="s">
        <v>255</v>
      </c>
      <c r="D10148" s="132" t="n">
        <v>46759</v>
      </c>
      <c r="E10148" s="131" t="s">
        <v>56</v>
      </c>
      <c r="F10148" s="133" t="s">
        <v>11</v>
      </c>
      <c r="G10148" s="134" t="n">
        <f aca="false">LEN('Saisie programme'!$H$391)+SUMIFS('Vols additionnels'!$E$7:$E$66,'Vols additionnels'!$C$7:$C$66,$E10148,'Vols additionnels'!$D$7:$D$66,$F10148,'Vols additionnels'!$B$7:$B$66,$D10148)</f>
        <v>0</v>
      </c>
      <c r="H10148" s="135" t="n">
        <f aca="false">$G10148*'Analyse capacite'!$F$7</f>
        <v>0</v>
      </c>
      <c r="I10148" s="135" t="n">
        <f aca="false">$G10148*'Analyse capacite'!$C$7</f>
        <v>0</v>
      </c>
      <c r="J10148" s="135" t="n">
        <f aca="false">$G10148*'Analyse capacite'!$D$7</f>
        <v>0</v>
      </c>
      <c r="K10148" s="135" t="n">
        <f aca="false">$G10148*'Analyse capacite'!$E$7</f>
        <v>0</v>
      </c>
    </row>
    <row r="10149" customFormat="false" ht="15" hidden="false" customHeight="false" outlineLevel="0" collapsed="false">
      <c r="B10149" s="130" t="n">
        <v>2028</v>
      </c>
      <c r="C10149" s="131" t="s">
        <v>255</v>
      </c>
      <c r="D10149" s="132" t="n">
        <v>46759</v>
      </c>
      <c r="E10149" s="131" t="s">
        <v>56</v>
      </c>
      <c r="F10149" s="133" t="s">
        <v>19</v>
      </c>
      <c r="G10149" s="134" t="n">
        <f aca="false">LEN('Saisie programme'!$H$392)+SUMIFS('Vols additionnels'!$E$7:$E$66,'Vols additionnels'!$C$7:$C$66,$E10149,'Vols additionnels'!$D$7:$D$66,$F10149,'Vols additionnels'!$B$7:$B$66,$D10149)</f>
        <v>0</v>
      </c>
      <c r="H10149" s="135" t="n">
        <f aca="false">$G10149*'Analyse capacite'!$F$8</f>
        <v>0</v>
      </c>
      <c r="I10149" s="135" t="n">
        <f aca="false">$G10149*'Analyse capacite'!$C$8</f>
        <v>0</v>
      </c>
      <c r="J10149" s="135" t="n">
        <f aca="false">$G10149*'Analyse capacite'!$D$8</f>
        <v>0</v>
      </c>
      <c r="K10149" s="135" t="n">
        <f aca="false">$G10149*'Analyse capacite'!$E$8</f>
        <v>0</v>
      </c>
    </row>
    <row r="10150" customFormat="false" ht="15" hidden="false" customHeight="false" outlineLevel="0" collapsed="false">
      <c r="B10150" s="130" t="n">
        <v>2028</v>
      </c>
      <c r="C10150" s="131" t="s">
        <v>255</v>
      </c>
      <c r="D10150" s="132" t="n">
        <v>46759</v>
      </c>
      <c r="E10150" s="131" t="s">
        <v>56</v>
      </c>
      <c r="F10150" s="133" t="s">
        <v>24</v>
      </c>
      <c r="G10150" s="134" t="n">
        <f aca="false">LEN('Saisie programme'!$H$393)+SUMIFS('Vols additionnels'!$E$7:$E$66,'Vols additionnels'!$C$7:$C$66,$E10150,'Vols additionnels'!$D$7:$D$66,$F10150,'Vols additionnels'!$B$7:$B$66,$D10150)</f>
        <v>0</v>
      </c>
      <c r="H10150" s="135" t="n">
        <f aca="false">$G10150*'Analyse capacite'!$F$9</f>
        <v>0</v>
      </c>
      <c r="I10150" s="135" t="n">
        <f aca="false">$G10150*'Analyse capacite'!$C$9</f>
        <v>0</v>
      </c>
      <c r="J10150" s="135" t="n">
        <f aca="false">$G10150*'Analyse capacite'!$D$9</f>
        <v>0</v>
      </c>
      <c r="K10150" s="135" t="n">
        <f aca="false">$G10150*'Analyse capacite'!$E$9</f>
        <v>0</v>
      </c>
    </row>
    <row r="10151" customFormat="false" ht="15" hidden="false" customHeight="false" outlineLevel="0" collapsed="false">
      <c r="B10151" s="130" t="n">
        <v>2028</v>
      </c>
      <c r="C10151" s="131" t="s">
        <v>255</v>
      </c>
      <c r="D10151" s="132" t="n">
        <v>46759</v>
      </c>
      <c r="E10151" s="131" t="s">
        <v>59</v>
      </c>
      <c r="F10151" s="133" t="s">
        <v>11</v>
      </c>
      <c r="G10151" s="134" t="n">
        <f aca="false">LEN('Saisie programme'!$H$394)+SUMIFS('Vols additionnels'!$E$7:$E$66,'Vols additionnels'!$C$7:$C$66,$E10151,'Vols additionnels'!$D$7:$D$66,$F10151,'Vols additionnels'!$B$7:$B$66,$D10151)</f>
        <v>0</v>
      </c>
      <c r="H10151" s="135" t="n">
        <f aca="false">$G10151*'Analyse capacite'!$F$7</f>
        <v>0</v>
      </c>
      <c r="I10151" s="135" t="n">
        <f aca="false">$G10151*'Analyse capacite'!$C$7</f>
        <v>0</v>
      </c>
      <c r="J10151" s="135" t="n">
        <f aca="false">$G10151*'Analyse capacite'!$D$7</f>
        <v>0</v>
      </c>
      <c r="K10151" s="135" t="n">
        <f aca="false">$G10151*'Analyse capacite'!$E$7</f>
        <v>0</v>
      </c>
    </row>
    <row r="10152" customFormat="false" ht="15" hidden="false" customHeight="false" outlineLevel="0" collapsed="false">
      <c r="B10152" s="130" t="n">
        <v>2028</v>
      </c>
      <c r="C10152" s="131" t="s">
        <v>255</v>
      </c>
      <c r="D10152" s="132" t="n">
        <v>46759</v>
      </c>
      <c r="E10152" s="131" t="s">
        <v>59</v>
      </c>
      <c r="F10152" s="133" t="s">
        <v>19</v>
      </c>
      <c r="G10152" s="134" t="n">
        <f aca="false">LEN('Saisie programme'!$H$395)+SUMIFS('Vols additionnels'!$E$7:$E$66,'Vols additionnels'!$C$7:$C$66,$E10152,'Vols additionnels'!$D$7:$D$66,$F10152,'Vols additionnels'!$B$7:$B$66,$D10152)</f>
        <v>0</v>
      </c>
      <c r="H10152" s="135" t="n">
        <f aca="false">$G10152*'Analyse capacite'!$F$8</f>
        <v>0</v>
      </c>
      <c r="I10152" s="135" t="n">
        <f aca="false">$G10152*'Analyse capacite'!$C$8</f>
        <v>0</v>
      </c>
      <c r="J10152" s="135" t="n">
        <f aca="false">$G10152*'Analyse capacite'!$D$8</f>
        <v>0</v>
      </c>
      <c r="K10152" s="135" t="n">
        <f aca="false">$G10152*'Analyse capacite'!$E$8</f>
        <v>0</v>
      </c>
    </row>
    <row r="10153" customFormat="false" ht="15" hidden="false" customHeight="false" outlineLevel="0" collapsed="false">
      <c r="B10153" s="130" t="n">
        <v>2028</v>
      </c>
      <c r="C10153" s="131" t="s">
        <v>255</v>
      </c>
      <c r="D10153" s="132" t="n">
        <v>46759</v>
      </c>
      <c r="E10153" s="131" t="s">
        <v>59</v>
      </c>
      <c r="F10153" s="133" t="s">
        <v>24</v>
      </c>
      <c r="G10153" s="134" t="n">
        <f aca="false">LEN('Saisie programme'!$H$396)+SUMIFS('Vols additionnels'!$E$7:$E$66,'Vols additionnels'!$C$7:$C$66,$E10153,'Vols additionnels'!$D$7:$D$66,$F10153,'Vols additionnels'!$B$7:$B$66,$D10153)</f>
        <v>1</v>
      </c>
      <c r="H10153" s="135" t="n">
        <f aca="false">$G10153*'Analyse capacite'!$F$9</f>
        <v>174</v>
      </c>
      <c r="I10153" s="135" t="n">
        <f aca="false">$G10153*'Analyse capacite'!$C$9</f>
        <v>0</v>
      </c>
      <c r="J10153" s="135" t="n">
        <f aca="false">$G10153*'Analyse capacite'!$D$9</f>
        <v>12</v>
      </c>
      <c r="K10153" s="135" t="n">
        <f aca="false">$G10153*'Analyse capacite'!$E$9</f>
        <v>162</v>
      </c>
    </row>
    <row r="10154" customFormat="false" ht="15" hidden="false" customHeight="false" outlineLevel="0" collapsed="false">
      <c r="B10154" s="130" t="n">
        <v>2028</v>
      </c>
      <c r="C10154" s="131" t="s">
        <v>255</v>
      </c>
      <c r="D10154" s="132" t="n">
        <v>46759</v>
      </c>
      <c r="E10154" s="131" t="s">
        <v>62</v>
      </c>
      <c r="F10154" s="133" t="s">
        <v>11</v>
      </c>
      <c r="G10154" s="134" t="n">
        <f aca="false">LEN('Saisie programme'!$H$397)+SUMIFS('Vols additionnels'!$E$7:$E$66,'Vols additionnels'!$C$7:$C$66,$E10154,'Vols additionnels'!$D$7:$D$66,$F10154,'Vols additionnels'!$B$7:$B$66,$D10154)</f>
        <v>0</v>
      </c>
      <c r="H10154" s="135" t="n">
        <f aca="false">$G10154*'Analyse capacite'!$F$7</f>
        <v>0</v>
      </c>
      <c r="I10154" s="135" t="n">
        <f aca="false">$G10154*'Analyse capacite'!$C$7</f>
        <v>0</v>
      </c>
      <c r="J10154" s="135" t="n">
        <f aca="false">$G10154*'Analyse capacite'!$D$7</f>
        <v>0</v>
      </c>
      <c r="K10154" s="135" t="n">
        <f aca="false">$G10154*'Analyse capacite'!$E$7</f>
        <v>0</v>
      </c>
    </row>
    <row r="10155" customFormat="false" ht="15" hidden="false" customHeight="false" outlineLevel="0" collapsed="false">
      <c r="B10155" s="130" t="n">
        <v>2028</v>
      </c>
      <c r="C10155" s="131" t="s">
        <v>255</v>
      </c>
      <c r="D10155" s="132" t="n">
        <v>46759</v>
      </c>
      <c r="E10155" s="131" t="s">
        <v>62</v>
      </c>
      <c r="F10155" s="133" t="s">
        <v>19</v>
      </c>
      <c r="G10155" s="134" t="n">
        <f aca="false">LEN('Saisie programme'!$H$398)+SUMIFS('Vols additionnels'!$E$7:$E$66,'Vols additionnels'!$C$7:$C$66,$E10155,'Vols additionnels'!$D$7:$D$66,$F10155,'Vols additionnels'!$B$7:$B$66,$D10155)</f>
        <v>0</v>
      </c>
      <c r="H10155" s="135" t="n">
        <f aca="false">$G10155*'Analyse capacite'!$F$8</f>
        <v>0</v>
      </c>
      <c r="I10155" s="135" t="n">
        <f aca="false">$G10155*'Analyse capacite'!$C$8</f>
        <v>0</v>
      </c>
      <c r="J10155" s="135" t="n">
        <f aca="false">$G10155*'Analyse capacite'!$D$8</f>
        <v>0</v>
      </c>
      <c r="K10155" s="135" t="n">
        <f aca="false">$G10155*'Analyse capacite'!$E$8</f>
        <v>0</v>
      </c>
    </row>
    <row r="10156" customFormat="false" ht="15" hidden="false" customHeight="false" outlineLevel="0" collapsed="false">
      <c r="B10156" s="130" t="n">
        <v>2028</v>
      </c>
      <c r="C10156" s="131" t="s">
        <v>255</v>
      </c>
      <c r="D10156" s="132" t="n">
        <v>46759</v>
      </c>
      <c r="E10156" s="131" t="s">
        <v>62</v>
      </c>
      <c r="F10156" s="133" t="s">
        <v>24</v>
      </c>
      <c r="G10156" s="134" t="n">
        <f aca="false">LEN('Saisie programme'!$H$399)+SUMIFS('Vols additionnels'!$E$7:$E$66,'Vols additionnels'!$C$7:$C$66,$E10156,'Vols additionnels'!$D$7:$D$66,$F10156,'Vols additionnels'!$B$7:$B$66,$D10156)</f>
        <v>0</v>
      </c>
      <c r="H10156" s="135" t="n">
        <f aca="false">$G10156*'Analyse capacite'!$F$9</f>
        <v>0</v>
      </c>
      <c r="I10156" s="135" t="n">
        <f aca="false">$G10156*'Analyse capacite'!$C$9</f>
        <v>0</v>
      </c>
      <c r="J10156" s="135" t="n">
        <f aca="false">$G10156*'Analyse capacite'!$D$9</f>
        <v>0</v>
      </c>
      <c r="K10156" s="135" t="n">
        <f aca="false">$G10156*'Analyse capacite'!$E$9</f>
        <v>0</v>
      </c>
    </row>
    <row r="10157" customFormat="false" ht="15" hidden="false" customHeight="false" outlineLevel="0" collapsed="false">
      <c r="B10157" s="130" t="n">
        <v>2028</v>
      </c>
      <c r="C10157" s="131" t="s">
        <v>255</v>
      </c>
      <c r="D10157" s="132" t="n">
        <v>46760</v>
      </c>
      <c r="E10157" s="131" t="s">
        <v>12</v>
      </c>
      <c r="F10157" s="133" t="s">
        <v>11</v>
      </c>
      <c r="G10157" s="134" t="n">
        <f aca="false">LEN('Saisie programme'!$I$364)+SUMIFS('Vols additionnels'!$E$7:$E$66,'Vols additionnels'!$C$7:$C$66,$E10157,'Vols additionnels'!$D$7:$D$66,$F10157,'Vols additionnels'!$B$7:$B$66,$D10157)</f>
        <v>1</v>
      </c>
      <c r="H10157" s="135" t="n">
        <f aca="false">$G10157*'Analyse capacite'!$F$7</f>
        <v>438</v>
      </c>
      <c r="I10157" s="135" t="n">
        <f aca="false">$G10157*'Analyse capacite'!$C$7</f>
        <v>14</v>
      </c>
      <c r="J10157" s="135" t="n">
        <f aca="false">$G10157*'Analyse capacite'!$D$7</f>
        <v>40</v>
      </c>
      <c r="K10157" s="135" t="n">
        <f aca="false">$G10157*'Analyse capacite'!$E$7</f>
        <v>384</v>
      </c>
    </row>
    <row r="10158" customFormat="false" ht="15" hidden="false" customHeight="false" outlineLevel="0" collapsed="false">
      <c r="B10158" s="130" t="n">
        <v>2028</v>
      </c>
      <c r="C10158" s="131" t="s">
        <v>255</v>
      </c>
      <c r="D10158" s="132" t="n">
        <v>46760</v>
      </c>
      <c r="E10158" s="131" t="s">
        <v>12</v>
      </c>
      <c r="F10158" s="133" t="s">
        <v>19</v>
      </c>
      <c r="G10158" s="134" t="n">
        <f aca="false">LEN('Saisie programme'!$I$365)+SUMIFS('Vols additionnels'!$E$7:$E$66,'Vols additionnels'!$C$7:$C$66,$E10158,'Vols additionnels'!$D$7:$D$66,$F10158,'Vols additionnels'!$B$7:$B$66,$D10158)</f>
        <v>0</v>
      </c>
      <c r="H10158" s="135" t="n">
        <f aca="false">$G10158*'Analyse capacite'!$F$8</f>
        <v>0</v>
      </c>
      <c r="I10158" s="135" t="n">
        <f aca="false">$G10158*'Analyse capacite'!$C$8</f>
        <v>0</v>
      </c>
      <c r="J10158" s="135" t="n">
        <f aca="false">$G10158*'Analyse capacite'!$D$8</f>
        <v>0</v>
      </c>
      <c r="K10158" s="135" t="n">
        <f aca="false">$G10158*'Analyse capacite'!$E$8</f>
        <v>0</v>
      </c>
    </row>
    <row r="10159" customFormat="false" ht="15" hidden="false" customHeight="false" outlineLevel="0" collapsed="false">
      <c r="B10159" s="130" t="n">
        <v>2028</v>
      </c>
      <c r="C10159" s="131" t="s">
        <v>255</v>
      </c>
      <c r="D10159" s="132" t="n">
        <v>46760</v>
      </c>
      <c r="E10159" s="131" t="s">
        <v>12</v>
      </c>
      <c r="F10159" s="133" t="s">
        <v>24</v>
      </c>
      <c r="G10159" s="134" t="n">
        <f aca="false">LEN('Saisie programme'!$I$366)+SUMIFS('Vols additionnels'!$E$7:$E$66,'Vols additionnels'!$C$7:$C$66,$E10159,'Vols additionnels'!$D$7:$D$66,$F10159,'Vols additionnels'!$B$7:$B$66,$D10159)</f>
        <v>0</v>
      </c>
      <c r="H10159" s="135" t="n">
        <f aca="false">$G10159*'Analyse capacite'!$F$9</f>
        <v>0</v>
      </c>
      <c r="I10159" s="135" t="n">
        <f aca="false">$G10159*'Analyse capacite'!$C$9</f>
        <v>0</v>
      </c>
      <c r="J10159" s="135" t="n">
        <f aca="false">$G10159*'Analyse capacite'!$D$9</f>
        <v>0</v>
      </c>
      <c r="K10159" s="135" t="n">
        <f aca="false">$G10159*'Analyse capacite'!$E$9</f>
        <v>0</v>
      </c>
    </row>
    <row r="10160" customFormat="false" ht="15" hidden="false" customHeight="false" outlineLevel="0" collapsed="false">
      <c r="B10160" s="130" t="n">
        <v>2028</v>
      </c>
      <c r="C10160" s="131" t="s">
        <v>255</v>
      </c>
      <c r="D10160" s="132" t="n">
        <v>46760</v>
      </c>
      <c r="E10160" s="131" t="s">
        <v>20</v>
      </c>
      <c r="F10160" s="133" t="s">
        <v>11</v>
      </c>
      <c r="G10160" s="134" t="n">
        <f aca="false">LEN('Saisie programme'!$I$367)+SUMIFS('Vols additionnels'!$E$7:$E$66,'Vols additionnels'!$C$7:$C$66,$E10160,'Vols additionnels'!$D$7:$D$66,$F10160,'Vols additionnels'!$B$7:$B$66,$D10160)</f>
        <v>0</v>
      </c>
      <c r="H10160" s="135" t="n">
        <f aca="false">$G10160*'Analyse capacite'!$F$7</f>
        <v>0</v>
      </c>
      <c r="I10160" s="135" t="n">
        <f aca="false">$G10160*'Analyse capacite'!$C$7</f>
        <v>0</v>
      </c>
      <c r="J10160" s="135" t="n">
        <f aca="false">$G10160*'Analyse capacite'!$D$7</f>
        <v>0</v>
      </c>
      <c r="K10160" s="135" t="n">
        <f aca="false">$G10160*'Analyse capacite'!$E$7</f>
        <v>0</v>
      </c>
    </row>
    <row r="10161" customFormat="false" ht="15" hidden="false" customHeight="false" outlineLevel="0" collapsed="false">
      <c r="B10161" s="130" t="n">
        <v>2028</v>
      </c>
      <c r="C10161" s="131" t="s">
        <v>255</v>
      </c>
      <c r="D10161" s="132" t="n">
        <v>46760</v>
      </c>
      <c r="E10161" s="131" t="s">
        <v>20</v>
      </c>
      <c r="F10161" s="133" t="s">
        <v>19</v>
      </c>
      <c r="G10161" s="134" t="n">
        <f aca="false">LEN('Saisie programme'!$I$368)+SUMIFS('Vols additionnels'!$E$7:$E$66,'Vols additionnels'!$C$7:$C$66,$E10161,'Vols additionnels'!$D$7:$D$66,$F10161,'Vols additionnels'!$B$7:$B$66,$D10161)</f>
        <v>0</v>
      </c>
      <c r="H10161" s="135" t="n">
        <f aca="false">$G10161*'Analyse capacite'!$F$8</f>
        <v>0</v>
      </c>
      <c r="I10161" s="135" t="n">
        <f aca="false">$G10161*'Analyse capacite'!$C$8</f>
        <v>0</v>
      </c>
      <c r="J10161" s="135" t="n">
        <f aca="false">$G10161*'Analyse capacite'!$D$8</f>
        <v>0</v>
      </c>
      <c r="K10161" s="135" t="n">
        <f aca="false">$G10161*'Analyse capacite'!$E$8</f>
        <v>0</v>
      </c>
    </row>
    <row r="10162" customFormat="false" ht="15" hidden="false" customHeight="false" outlineLevel="0" collapsed="false">
      <c r="B10162" s="130" t="n">
        <v>2028</v>
      </c>
      <c r="C10162" s="131" t="s">
        <v>255</v>
      </c>
      <c r="D10162" s="132" t="n">
        <v>46760</v>
      </c>
      <c r="E10162" s="131" t="s">
        <v>20</v>
      </c>
      <c r="F10162" s="133" t="s">
        <v>24</v>
      </c>
      <c r="G10162" s="134" t="n">
        <f aca="false">LEN('Saisie programme'!$I$369)+SUMIFS('Vols additionnels'!$E$7:$E$66,'Vols additionnels'!$C$7:$C$66,$E10162,'Vols additionnels'!$D$7:$D$66,$F10162,'Vols additionnels'!$B$7:$B$66,$D10162)</f>
        <v>0</v>
      </c>
      <c r="H10162" s="135" t="n">
        <f aca="false">$G10162*'Analyse capacite'!$F$9</f>
        <v>0</v>
      </c>
      <c r="I10162" s="135" t="n">
        <f aca="false">$G10162*'Analyse capacite'!$C$9</f>
        <v>0</v>
      </c>
      <c r="J10162" s="135" t="n">
        <f aca="false">$G10162*'Analyse capacite'!$D$9</f>
        <v>0</v>
      </c>
      <c r="K10162" s="135" t="n">
        <f aca="false">$G10162*'Analyse capacite'!$E$9</f>
        <v>0</v>
      </c>
    </row>
    <row r="10163" customFormat="false" ht="15" hidden="false" customHeight="false" outlineLevel="0" collapsed="false">
      <c r="B10163" s="130" t="n">
        <v>2028</v>
      </c>
      <c r="C10163" s="131" t="s">
        <v>255</v>
      </c>
      <c r="D10163" s="132" t="n">
        <v>46760</v>
      </c>
      <c r="E10163" s="131" t="s">
        <v>25</v>
      </c>
      <c r="F10163" s="133" t="s">
        <v>11</v>
      </c>
      <c r="G10163" s="134" t="n">
        <f aca="false">LEN('Saisie programme'!$I$370)+SUMIFS('Vols additionnels'!$E$7:$E$66,'Vols additionnels'!$C$7:$C$66,$E10163,'Vols additionnels'!$D$7:$D$66,$F10163,'Vols additionnels'!$B$7:$B$66,$D10163)</f>
        <v>0</v>
      </c>
      <c r="H10163" s="135" t="n">
        <f aca="false">$G10163*'Analyse capacite'!$F$7</f>
        <v>0</v>
      </c>
      <c r="I10163" s="135" t="n">
        <f aca="false">$G10163*'Analyse capacite'!$C$7</f>
        <v>0</v>
      </c>
      <c r="J10163" s="135" t="n">
        <f aca="false">$G10163*'Analyse capacite'!$D$7</f>
        <v>0</v>
      </c>
      <c r="K10163" s="135" t="n">
        <f aca="false">$G10163*'Analyse capacite'!$E$7</f>
        <v>0</v>
      </c>
    </row>
    <row r="10164" customFormat="false" ht="15" hidden="false" customHeight="false" outlineLevel="0" collapsed="false">
      <c r="B10164" s="130" t="n">
        <v>2028</v>
      </c>
      <c r="C10164" s="131" t="s">
        <v>255</v>
      </c>
      <c r="D10164" s="132" t="n">
        <v>46760</v>
      </c>
      <c r="E10164" s="131" t="s">
        <v>25</v>
      </c>
      <c r="F10164" s="133" t="s">
        <v>19</v>
      </c>
      <c r="G10164" s="134" t="n">
        <f aca="false">LEN('Saisie programme'!$I$371)+SUMIFS('Vols additionnels'!$E$7:$E$66,'Vols additionnels'!$C$7:$C$66,$E10164,'Vols additionnels'!$D$7:$D$66,$F10164,'Vols additionnels'!$B$7:$B$66,$D10164)</f>
        <v>1</v>
      </c>
      <c r="H10164" s="135" t="n">
        <f aca="false">$G10164*'Analyse capacite'!$F$8</f>
        <v>262</v>
      </c>
      <c r="I10164" s="135" t="n">
        <f aca="false">$G10164*'Analyse capacite'!$C$8</f>
        <v>18</v>
      </c>
      <c r="J10164" s="135" t="n">
        <f aca="false">$G10164*'Analyse capacite'!$D$8</f>
        <v>0</v>
      </c>
      <c r="K10164" s="135" t="n">
        <f aca="false">$G10164*'Analyse capacite'!$E$8</f>
        <v>244</v>
      </c>
    </row>
    <row r="10165" customFormat="false" ht="15" hidden="false" customHeight="false" outlineLevel="0" collapsed="false">
      <c r="B10165" s="130" t="n">
        <v>2028</v>
      </c>
      <c r="C10165" s="131" t="s">
        <v>255</v>
      </c>
      <c r="D10165" s="132" t="n">
        <v>46760</v>
      </c>
      <c r="E10165" s="131" t="s">
        <v>25</v>
      </c>
      <c r="F10165" s="133" t="s">
        <v>24</v>
      </c>
      <c r="G10165" s="134" t="n">
        <f aca="false">LEN('Saisie programme'!$I$372)+SUMIFS('Vols additionnels'!$E$7:$E$66,'Vols additionnels'!$C$7:$C$66,$E10165,'Vols additionnels'!$D$7:$D$66,$F10165,'Vols additionnels'!$B$7:$B$66,$D10165)</f>
        <v>0</v>
      </c>
      <c r="H10165" s="135" t="n">
        <f aca="false">$G10165*'Analyse capacite'!$F$9</f>
        <v>0</v>
      </c>
      <c r="I10165" s="135" t="n">
        <f aca="false">$G10165*'Analyse capacite'!$C$9</f>
        <v>0</v>
      </c>
      <c r="J10165" s="135" t="n">
        <f aca="false">$G10165*'Analyse capacite'!$D$9</f>
        <v>0</v>
      </c>
      <c r="K10165" s="135" t="n">
        <f aca="false">$G10165*'Analyse capacite'!$E$9</f>
        <v>0</v>
      </c>
    </row>
    <row r="10166" customFormat="false" ht="15" hidden="false" customHeight="false" outlineLevel="0" collapsed="false">
      <c r="B10166" s="130" t="n">
        <v>2028</v>
      </c>
      <c r="C10166" s="131" t="s">
        <v>255</v>
      </c>
      <c r="D10166" s="132" t="n">
        <v>46760</v>
      </c>
      <c r="E10166" s="131" t="s">
        <v>36</v>
      </c>
      <c r="F10166" s="133" t="s">
        <v>11</v>
      </c>
      <c r="G10166" s="134" t="n">
        <f aca="false">LEN('Saisie programme'!$I$373)+SUMIFS('Vols additionnels'!$E$7:$E$66,'Vols additionnels'!$C$7:$C$66,$E10166,'Vols additionnels'!$D$7:$D$66,$F10166,'Vols additionnels'!$B$7:$B$66,$D10166)</f>
        <v>0</v>
      </c>
      <c r="H10166" s="135" t="n">
        <f aca="false">$G10166*'Analyse capacite'!$F$7</f>
        <v>0</v>
      </c>
      <c r="I10166" s="135" t="n">
        <f aca="false">$G10166*'Analyse capacite'!$C$7</f>
        <v>0</v>
      </c>
      <c r="J10166" s="135" t="n">
        <f aca="false">$G10166*'Analyse capacite'!$D$7</f>
        <v>0</v>
      </c>
      <c r="K10166" s="135" t="n">
        <f aca="false">$G10166*'Analyse capacite'!$E$7</f>
        <v>0</v>
      </c>
    </row>
    <row r="10167" customFormat="false" ht="15" hidden="false" customHeight="false" outlineLevel="0" collapsed="false">
      <c r="B10167" s="130" t="n">
        <v>2028</v>
      </c>
      <c r="C10167" s="131" t="s">
        <v>255</v>
      </c>
      <c r="D10167" s="132" t="n">
        <v>46760</v>
      </c>
      <c r="E10167" s="131" t="s">
        <v>36</v>
      </c>
      <c r="F10167" s="133" t="s">
        <v>19</v>
      </c>
      <c r="G10167" s="134" t="n">
        <f aca="false">LEN('Saisie programme'!$I$374)+SUMIFS('Vols additionnels'!$E$7:$E$66,'Vols additionnels'!$C$7:$C$66,$E10167,'Vols additionnels'!$D$7:$D$66,$F10167,'Vols additionnels'!$B$7:$B$66,$D10167)</f>
        <v>0</v>
      </c>
      <c r="H10167" s="135" t="n">
        <f aca="false">$G10167*'Analyse capacite'!$F$8</f>
        <v>0</v>
      </c>
      <c r="I10167" s="135" t="n">
        <f aca="false">$G10167*'Analyse capacite'!$C$8</f>
        <v>0</v>
      </c>
      <c r="J10167" s="135" t="n">
        <f aca="false">$G10167*'Analyse capacite'!$D$8</f>
        <v>0</v>
      </c>
      <c r="K10167" s="135" t="n">
        <f aca="false">$G10167*'Analyse capacite'!$E$8</f>
        <v>0</v>
      </c>
    </row>
    <row r="10168" customFormat="false" ht="15" hidden="false" customHeight="false" outlineLevel="0" collapsed="false">
      <c r="B10168" s="130" t="n">
        <v>2028</v>
      </c>
      <c r="C10168" s="131" t="s">
        <v>255</v>
      </c>
      <c r="D10168" s="132" t="n">
        <v>46760</v>
      </c>
      <c r="E10168" s="131" t="s">
        <v>36</v>
      </c>
      <c r="F10168" s="133" t="s">
        <v>24</v>
      </c>
      <c r="G10168" s="134" t="n">
        <f aca="false">LEN('Saisie programme'!$I$375)+SUMIFS('Vols additionnels'!$E$7:$E$66,'Vols additionnels'!$C$7:$C$66,$E10168,'Vols additionnels'!$D$7:$D$66,$F10168,'Vols additionnels'!$B$7:$B$66,$D10168)</f>
        <v>0</v>
      </c>
      <c r="H10168" s="135" t="n">
        <f aca="false">$G10168*'Analyse capacite'!$F$9</f>
        <v>0</v>
      </c>
      <c r="I10168" s="135" t="n">
        <f aca="false">$G10168*'Analyse capacite'!$C$9</f>
        <v>0</v>
      </c>
      <c r="J10168" s="135" t="n">
        <f aca="false">$G10168*'Analyse capacite'!$D$9</f>
        <v>0</v>
      </c>
      <c r="K10168" s="135" t="n">
        <f aca="false">$G10168*'Analyse capacite'!$E$9</f>
        <v>0</v>
      </c>
    </row>
    <row r="10169" customFormat="false" ht="15" hidden="false" customHeight="false" outlineLevel="0" collapsed="false">
      <c r="B10169" s="130" t="n">
        <v>2028</v>
      </c>
      <c r="C10169" s="131" t="s">
        <v>255</v>
      </c>
      <c r="D10169" s="132" t="n">
        <v>46760</v>
      </c>
      <c r="E10169" s="131" t="s">
        <v>40</v>
      </c>
      <c r="F10169" s="133" t="s">
        <v>11</v>
      </c>
      <c r="G10169" s="134" t="n">
        <f aca="false">LEN('Saisie programme'!$I$376)+SUMIFS('Vols additionnels'!$E$7:$E$66,'Vols additionnels'!$C$7:$C$66,$E10169,'Vols additionnels'!$D$7:$D$66,$F10169,'Vols additionnels'!$B$7:$B$66,$D10169)</f>
        <v>0</v>
      </c>
      <c r="H10169" s="135" t="n">
        <f aca="false">$G10169*'Analyse capacite'!$F$7</f>
        <v>0</v>
      </c>
      <c r="I10169" s="135" t="n">
        <f aca="false">$G10169*'Analyse capacite'!$C$7</f>
        <v>0</v>
      </c>
      <c r="J10169" s="135" t="n">
        <f aca="false">$G10169*'Analyse capacite'!$D$7</f>
        <v>0</v>
      </c>
      <c r="K10169" s="135" t="n">
        <f aca="false">$G10169*'Analyse capacite'!$E$7</f>
        <v>0</v>
      </c>
    </row>
    <row r="10170" customFormat="false" ht="15" hidden="false" customHeight="false" outlineLevel="0" collapsed="false">
      <c r="B10170" s="130" t="n">
        <v>2028</v>
      </c>
      <c r="C10170" s="131" t="s">
        <v>255</v>
      </c>
      <c r="D10170" s="132" t="n">
        <v>46760</v>
      </c>
      <c r="E10170" s="131" t="s">
        <v>40</v>
      </c>
      <c r="F10170" s="133" t="s">
        <v>19</v>
      </c>
      <c r="G10170" s="134" t="n">
        <f aca="false">LEN('Saisie programme'!$I$377)+SUMIFS('Vols additionnels'!$E$7:$E$66,'Vols additionnels'!$C$7:$C$66,$E10170,'Vols additionnels'!$D$7:$D$66,$F10170,'Vols additionnels'!$B$7:$B$66,$D10170)</f>
        <v>0</v>
      </c>
      <c r="H10170" s="135" t="n">
        <f aca="false">$G10170*'Analyse capacite'!$F$8</f>
        <v>0</v>
      </c>
      <c r="I10170" s="135" t="n">
        <f aca="false">$G10170*'Analyse capacite'!$C$8</f>
        <v>0</v>
      </c>
      <c r="J10170" s="135" t="n">
        <f aca="false">$G10170*'Analyse capacite'!$D$8</f>
        <v>0</v>
      </c>
      <c r="K10170" s="135" t="n">
        <f aca="false">$G10170*'Analyse capacite'!$E$8</f>
        <v>0</v>
      </c>
    </row>
    <row r="10171" customFormat="false" ht="15" hidden="false" customHeight="false" outlineLevel="0" collapsed="false">
      <c r="B10171" s="130" t="n">
        <v>2028</v>
      </c>
      <c r="C10171" s="131" t="s">
        <v>255</v>
      </c>
      <c r="D10171" s="132" t="n">
        <v>46760</v>
      </c>
      <c r="E10171" s="131" t="s">
        <v>40</v>
      </c>
      <c r="F10171" s="133" t="s">
        <v>24</v>
      </c>
      <c r="G10171" s="134" t="n">
        <f aca="false">LEN('Saisie programme'!$I$378)+SUMIFS('Vols additionnels'!$E$7:$E$66,'Vols additionnels'!$C$7:$C$66,$E10171,'Vols additionnels'!$D$7:$D$66,$F10171,'Vols additionnels'!$B$7:$B$66,$D10171)</f>
        <v>0</v>
      </c>
      <c r="H10171" s="135" t="n">
        <f aca="false">$G10171*'Analyse capacite'!$F$9</f>
        <v>0</v>
      </c>
      <c r="I10171" s="135" t="n">
        <f aca="false">$G10171*'Analyse capacite'!$C$9</f>
        <v>0</v>
      </c>
      <c r="J10171" s="135" t="n">
        <f aca="false">$G10171*'Analyse capacite'!$D$9</f>
        <v>0</v>
      </c>
      <c r="K10171" s="135" t="n">
        <f aca="false">$G10171*'Analyse capacite'!$E$9</f>
        <v>0</v>
      </c>
    </row>
    <row r="10172" customFormat="false" ht="15" hidden="false" customHeight="false" outlineLevel="0" collapsed="false">
      <c r="B10172" s="130" t="n">
        <v>2028</v>
      </c>
      <c r="C10172" s="131" t="s">
        <v>255</v>
      </c>
      <c r="D10172" s="132" t="n">
        <v>46760</v>
      </c>
      <c r="E10172" s="131" t="s">
        <v>14</v>
      </c>
      <c r="F10172" s="133" t="s">
        <v>11</v>
      </c>
      <c r="G10172" s="134" t="n">
        <f aca="false">LEN('Saisie programme'!$I$379)+SUMIFS('Vols additionnels'!$E$7:$E$66,'Vols additionnels'!$C$7:$C$66,$E10172,'Vols additionnels'!$D$7:$D$66,$F10172,'Vols additionnels'!$B$7:$B$66,$D10172)</f>
        <v>0</v>
      </c>
      <c r="H10172" s="135" t="n">
        <f aca="false">$G10172*'Analyse capacite'!$F$7</f>
        <v>0</v>
      </c>
      <c r="I10172" s="135" t="n">
        <f aca="false">$G10172*'Analyse capacite'!$C$7</f>
        <v>0</v>
      </c>
      <c r="J10172" s="135" t="n">
        <f aca="false">$G10172*'Analyse capacite'!$D$7</f>
        <v>0</v>
      </c>
      <c r="K10172" s="135" t="n">
        <f aca="false">$G10172*'Analyse capacite'!$E$7</f>
        <v>0</v>
      </c>
    </row>
    <row r="10173" customFormat="false" ht="15" hidden="false" customHeight="false" outlineLevel="0" collapsed="false">
      <c r="B10173" s="130" t="n">
        <v>2028</v>
      </c>
      <c r="C10173" s="131" t="s">
        <v>255</v>
      </c>
      <c r="D10173" s="132" t="n">
        <v>46760</v>
      </c>
      <c r="E10173" s="131" t="s">
        <v>14</v>
      </c>
      <c r="F10173" s="133" t="s">
        <v>19</v>
      </c>
      <c r="G10173" s="134" t="n">
        <f aca="false">LEN('Saisie programme'!$I$380)+SUMIFS('Vols additionnels'!$E$7:$E$66,'Vols additionnels'!$C$7:$C$66,$E10173,'Vols additionnels'!$D$7:$D$66,$F10173,'Vols additionnels'!$B$7:$B$66,$D10173)</f>
        <v>0</v>
      </c>
      <c r="H10173" s="135" t="n">
        <f aca="false">$G10173*'Analyse capacite'!$F$8</f>
        <v>0</v>
      </c>
      <c r="I10173" s="135" t="n">
        <f aca="false">$G10173*'Analyse capacite'!$C$8</f>
        <v>0</v>
      </c>
      <c r="J10173" s="135" t="n">
        <f aca="false">$G10173*'Analyse capacite'!$D$8</f>
        <v>0</v>
      </c>
      <c r="K10173" s="135" t="n">
        <f aca="false">$G10173*'Analyse capacite'!$E$8</f>
        <v>0</v>
      </c>
    </row>
    <row r="10174" customFormat="false" ht="15" hidden="false" customHeight="false" outlineLevel="0" collapsed="false">
      <c r="B10174" s="130" t="n">
        <v>2028</v>
      </c>
      <c r="C10174" s="131" t="s">
        <v>255</v>
      </c>
      <c r="D10174" s="132" t="n">
        <v>46760</v>
      </c>
      <c r="E10174" s="131" t="s">
        <v>14</v>
      </c>
      <c r="F10174" s="133" t="s">
        <v>24</v>
      </c>
      <c r="G10174" s="134" t="n">
        <f aca="false">LEN('Saisie programme'!$I$381)+SUMIFS('Vols additionnels'!$E$7:$E$66,'Vols additionnels'!$C$7:$C$66,$E10174,'Vols additionnels'!$D$7:$D$66,$F10174,'Vols additionnels'!$B$7:$B$66,$D10174)</f>
        <v>1</v>
      </c>
      <c r="H10174" s="135" t="n">
        <f aca="false">$G10174*'Analyse capacite'!$F$9</f>
        <v>174</v>
      </c>
      <c r="I10174" s="135" t="n">
        <f aca="false">$G10174*'Analyse capacite'!$C$9</f>
        <v>0</v>
      </c>
      <c r="J10174" s="135" t="n">
        <f aca="false">$G10174*'Analyse capacite'!$D$9</f>
        <v>12</v>
      </c>
      <c r="K10174" s="135" t="n">
        <f aca="false">$G10174*'Analyse capacite'!$E$9</f>
        <v>162</v>
      </c>
    </row>
    <row r="10175" customFormat="false" ht="15" hidden="false" customHeight="false" outlineLevel="0" collapsed="false">
      <c r="B10175" s="130" t="n">
        <v>2028</v>
      </c>
      <c r="C10175" s="131" t="s">
        <v>255</v>
      </c>
      <c r="D10175" s="132" t="n">
        <v>46760</v>
      </c>
      <c r="E10175" s="131" t="s">
        <v>46</v>
      </c>
      <c r="F10175" s="133" t="s">
        <v>11</v>
      </c>
      <c r="G10175" s="134" t="n">
        <f aca="false">LEN('Saisie programme'!$I$382)+SUMIFS('Vols additionnels'!$E$7:$E$66,'Vols additionnels'!$C$7:$C$66,$E10175,'Vols additionnels'!$D$7:$D$66,$F10175,'Vols additionnels'!$B$7:$B$66,$D10175)</f>
        <v>0</v>
      </c>
      <c r="H10175" s="135" t="n">
        <f aca="false">$G10175*'Analyse capacite'!$F$7</f>
        <v>0</v>
      </c>
      <c r="I10175" s="135" t="n">
        <f aca="false">$G10175*'Analyse capacite'!$C$7</f>
        <v>0</v>
      </c>
      <c r="J10175" s="135" t="n">
        <f aca="false">$G10175*'Analyse capacite'!$D$7</f>
        <v>0</v>
      </c>
      <c r="K10175" s="135" t="n">
        <f aca="false">$G10175*'Analyse capacite'!$E$7</f>
        <v>0</v>
      </c>
    </row>
    <row r="10176" customFormat="false" ht="15" hidden="false" customHeight="false" outlineLevel="0" collapsed="false">
      <c r="B10176" s="130" t="n">
        <v>2028</v>
      </c>
      <c r="C10176" s="131" t="s">
        <v>255</v>
      </c>
      <c r="D10176" s="132" t="n">
        <v>46760</v>
      </c>
      <c r="E10176" s="131" t="s">
        <v>46</v>
      </c>
      <c r="F10176" s="133" t="s">
        <v>19</v>
      </c>
      <c r="G10176" s="134" t="n">
        <f aca="false">LEN('Saisie programme'!$I$383)+SUMIFS('Vols additionnels'!$E$7:$E$66,'Vols additionnels'!$C$7:$C$66,$E10176,'Vols additionnels'!$D$7:$D$66,$F10176,'Vols additionnels'!$B$7:$B$66,$D10176)</f>
        <v>0</v>
      </c>
      <c r="H10176" s="135" t="n">
        <f aca="false">$G10176*'Analyse capacite'!$F$8</f>
        <v>0</v>
      </c>
      <c r="I10176" s="135" t="n">
        <f aca="false">$G10176*'Analyse capacite'!$C$8</f>
        <v>0</v>
      </c>
      <c r="J10176" s="135" t="n">
        <f aca="false">$G10176*'Analyse capacite'!$D$8</f>
        <v>0</v>
      </c>
      <c r="K10176" s="135" t="n">
        <f aca="false">$G10176*'Analyse capacite'!$E$8</f>
        <v>0</v>
      </c>
    </row>
    <row r="10177" customFormat="false" ht="15" hidden="false" customHeight="false" outlineLevel="0" collapsed="false">
      <c r="B10177" s="130" t="n">
        <v>2028</v>
      </c>
      <c r="C10177" s="131" t="s">
        <v>255</v>
      </c>
      <c r="D10177" s="132" t="n">
        <v>46760</v>
      </c>
      <c r="E10177" s="131" t="s">
        <v>46</v>
      </c>
      <c r="F10177" s="133" t="s">
        <v>24</v>
      </c>
      <c r="G10177" s="134" t="n">
        <f aca="false">LEN('Saisie programme'!$I$384)+SUMIFS('Vols additionnels'!$E$7:$E$66,'Vols additionnels'!$C$7:$C$66,$E10177,'Vols additionnels'!$D$7:$D$66,$F10177,'Vols additionnels'!$B$7:$B$66,$D10177)</f>
        <v>1</v>
      </c>
      <c r="H10177" s="135" t="n">
        <f aca="false">$G10177*'Analyse capacite'!$F$9</f>
        <v>174</v>
      </c>
      <c r="I10177" s="135" t="n">
        <f aca="false">$G10177*'Analyse capacite'!$C$9</f>
        <v>0</v>
      </c>
      <c r="J10177" s="135" t="n">
        <f aca="false">$G10177*'Analyse capacite'!$D$9</f>
        <v>12</v>
      </c>
      <c r="K10177" s="135" t="n">
        <f aca="false">$G10177*'Analyse capacite'!$E$9</f>
        <v>162</v>
      </c>
    </row>
    <row r="10178" customFormat="false" ht="15" hidden="false" customHeight="false" outlineLevel="0" collapsed="false">
      <c r="B10178" s="130" t="n">
        <v>2028</v>
      </c>
      <c r="C10178" s="131" t="s">
        <v>255</v>
      </c>
      <c r="D10178" s="132" t="n">
        <v>46760</v>
      </c>
      <c r="E10178" s="131" t="s">
        <v>49</v>
      </c>
      <c r="F10178" s="133" t="s">
        <v>11</v>
      </c>
      <c r="G10178" s="134" t="n">
        <f aca="false">LEN('Saisie programme'!$I$385)+SUMIFS('Vols additionnels'!$E$7:$E$66,'Vols additionnels'!$C$7:$C$66,$E10178,'Vols additionnels'!$D$7:$D$66,$F10178,'Vols additionnels'!$B$7:$B$66,$D10178)</f>
        <v>0</v>
      </c>
      <c r="H10178" s="135" t="n">
        <f aca="false">$G10178*'Analyse capacite'!$F$7</f>
        <v>0</v>
      </c>
      <c r="I10178" s="135" t="n">
        <f aca="false">$G10178*'Analyse capacite'!$C$7</f>
        <v>0</v>
      </c>
      <c r="J10178" s="135" t="n">
        <f aca="false">$G10178*'Analyse capacite'!$D$7</f>
        <v>0</v>
      </c>
      <c r="K10178" s="135" t="n">
        <f aca="false">$G10178*'Analyse capacite'!$E$7</f>
        <v>0</v>
      </c>
    </row>
    <row r="10179" customFormat="false" ht="15" hidden="false" customHeight="false" outlineLevel="0" collapsed="false">
      <c r="B10179" s="130" t="n">
        <v>2028</v>
      </c>
      <c r="C10179" s="131" t="s">
        <v>255</v>
      </c>
      <c r="D10179" s="132" t="n">
        <v>46760</v>
      </c>
      <c r="E10179" s="131" t="s">
        <v>49</v>
      </c>
      <c r="F10179" s="133" t="s">
        <v>19</v>
      </c>
      <c r="G10179" s="134" t="n">
        <f aca="false">LEN('Saisie programme'!$I$386)+SUMIFS('Vols additionnels'!$E$7:$E$66,'Vols additionnels'!$C$7:$C$66,$E10179,'Vols additionnels'!$D$7:$D$66,$F10179,'Vols additionnels'!$B$7:$B$66,$D10179)</f>
        <v>0</v>
      </c>
      <c r="H10179" s="135" t="n">
        <f aca="false">$G10179*'Analyse capacite'!$F$8</f>
        <v>0</v>
      </c>
      <c r="I10179" s="135" t="n">
        <f aca="false">$G10179*'Analyse capacite'!$C$8</f>
        <v>0</v>
      </c>
      <c r="J10179" s="135" t="n">
        <f aca="false">$G10179*'Analyse capacite'!$D$8</f>
        <v>0</v>
      </c>
      <c r="K10179" s="135" t="n">
        <f aca="false">$G10179*'Analyse capacite'!$E$8</f>
        <v>0</v>
      </c>
    </row>
    <row r="10180" customFormat="false" ht="15" hidden="false" customHeight="false" outlineLevel="0" collapsed="false">
      <c r="B10180" s="130" t="n">
        <v>2028</v>
      </c>
      <c r="C10180" s="131" t="s">
        <v>255</v>
      </c>
      <c r="D10180" s="132" t="n">
        <v>46760</v>
      </c>
      <c r="E10180" s="131" t="s">
        <v>49</v>
      </c>
      <c r="F10180" s="133" t="s">
        <v>24</v>
      </c>
      <c r="G10180" s="134" t="n">
        <f aca="false">LEN('Saisie programme'!$I$387)+SUMIFS('Vols additionnels'!$E$7:$E$66,'Vols additionnels'!$C$7:$C$66,$E10180,'Vols additionnels'!$D$7:$D$66,$F10180,'Vols additionnels'!$B$7:$B$66,$D10180)</f>
        <v>0</v>
      </c>
      <c r="H10180" s="135" t="n">
        <f aca="false">$G10180*'Analyse capacite'!$F$9</f>
        <v>0</v>
      </c>
      <c r="I10180" s="135" t="n">
        <f aca="false">$G10180*'Analyse capacite'!$C$9</f>
        <v>0</v>
      </c>
      <c r="J10180" s="135" t="n">
        <f aca="false">$G10180*'Analyse capacite'!$D$9</f>
        <v>0</v>
      </c>
      <c r="K10180" s="135" t="n">
        <f aca="false">$G10180*'Analyse capacite'!$E$9</f>
        <v>0</v>
      </c>
    </row>
    <row r="10181" customFormat="false" ht="15" hidden="false" customHeight="false" outlineLevel="0" collapsed="false">
      <c r="B10181" s="130" t="n">
        <v>2028</v>
      </c>
      <c r="C10181" s="131" t="s">
        <v>255</v>
      </c>
      <c r="D10181" s="132" t="n">
        <v>46760</v>
      </c>
      <c r="E10181" s="131" t="s">
        <v>53</v>
      </c>
      <c r="F10181" s="133" t="s">
        <v>11</v>
      </c>
      <c r="G10181" s="134" t="n">
        <f aca="false">LEN('Saisie programme'!$I$388)+SUMIFS('Vols additionnels'!$E$7:$E$66,'Vols additionnels'!$C$7:$C$66,$E10181,'Vols additionnels'!$D$7:$D$66,$F10181,'Vols additionnels'!$B$7:$B$66,$D10181)</f>
        <v>0</v>
      </c>
      <c r="H10181" s="135" t="n">
        <f aca="false">$G10181*'Analyse capacite'!$F$7</f>
        <v>0</v>
      </c>
      <c r="I10181" s="135" t="n">
        <f aca="false">$G10181*'Analyse capacite'!$C$7</f>
        <v>0</v>
      </c>
      <c r="J10181" s="135" t="n">
        <f aca="false">$G10181*'Analyse capacite'!$D$7</f>
        <v>0</v>
      </c>
      <c r="K10181" s="135" t="n">
        <f aca="false">$G10181*'Analyse capacite'!$E$7</f>
        <v>0</v>
      </c>
    </row>
    <row r="10182" customFormat="false" ht="15" hidden="false" customHeight="false" outlineLevel="0" collapsed="false">
      <c r="B10182" s="130" t="n">
        <v>2028</v>
      </c>
      <c r="C10182" s="131" t="s">
        <v>255</v>
      </c>
      <c r="D10182" s="132" t="n">
        <v>46760</v>
      </c>
      <c r="E10182" s="131" t="s">
        <v>53</v>
      </c>
      <c r="F10182" s="133" t="s">
        <v>19</v>
      </c>
      <c r="G10182" s="134" t="n">
        <f aca="false">LEN('Saisie programme'!$I$389)+SUMIFS('Vols additionnels'!$E$7:$E$66,'Vols additionnels'!$C$7:$C$66,$E10182,'Vols additionnels'!$D$7:$D$66,$F10182,'Vols additionnels'!$B$7:$B$66,$D10182)</f>
        <v>0</v>
      </c>
      <c r="H10182" s="135" t="n">
        <f aca="false">$G10182*'Analyse capacite'!$F$8</f>
        <v>0</v>
      </c>
      <c r="I10182" s="135" t="n">
        <f aca="false">$G10182*'Analyse capacite'!$C$8</f>
        <v>0</v>
      </c>
      <c r="J10182" s="135" t="n">
        <f aca="false">$G10182*'Analyse capacite'!$D$8</f>
        <v>0</v>
      </c>
      <c r="K10182" s="135" t="n">
        <f aca="false">$G10182*'Analyse capacite'!$E$8</f>
        <v>0</v>
      </c>
    </row>
    <row r="10183" customFormat="false" ht="15" hidden="false" customHeight="false" outlineLevel="0" collapsed="false">
      <c r="B10183" s="130" t="n">
        <v>2028</v>
      </c>
      <c r="C10183" s="131" t="s">
        <v>255</v>
      </c>
      <c r="D10183" s="132" t="n">
        <v>46760</v>
      </c>
      <c r="E10183" s="131" t="s">
        <v>53</v>
      </c>
      <c r="F10183" s="133" t="s">
        <v>24</v>
      </c>
      <c r="G10183" s="134" t="n">
        <f aca="false">LEN('Saisie programme'!$I$390)+SUMIFS('Vols additionnels'!$E$7:$E$66,'Vols additionnels'!$C$7:$C$66,$E10183,'Vols additionnels'!$D$7:$D$66,$F10183,'Vols additionnels'!$B$7:$B$66,$D10183)</f>
        <v>0</v>
      </c>
      <c r="H10183" s="135" t="n">
        <f aca="false">$G10183*'Analyse capacite'!$F$9</f>
        <v>0</v>
      </c>
      <c r="I10183" s="135" t="n">
        <f aca="false">$G10183*'Analyse capacite'!$C$9</f>
        <v>0</v>
      </c>
      <c r="J10183" s="135" t="n">
        <f aca="false">$G10183*'Analyse capacite'!$D$9</f>
        <v>0</v>
      </c>
      <c r="K10183" s="135" t="n">
        <f aca="false">$G10183*'Analyse capacite'!$E$9</f>
        <v>0</v>
      </c>
    </row>
    <row r="10184" customFormat="false" ht="15" hidden="false" customHeight="false" outlineLevel="0" collapsed="false">
      <c r="B10184" s="130" t="n">
        <v>2028</v>
      </c>
      <c r="C10184" s="131" t="s">
        <v>255</v>
      </c>
      <c r="D10184" s="132" t="n">
        <v>46760</v>
      </c>
      <c r="E10184" s="131" t="s">
        <v>56</v>
      </c>
      <c r="F10184" s="133" t="s">
        <v>11</v>
      </c>
      <c r="G10184" s="134" t="n">
        <f aca="false">LEN('Saisie programme'!$I$391)+SUMIFS('Vols additionnels'!$E$7:$E$66,'Vols additionnels'!$C$7:$C$66,$E10184,'Vols additionnels'!$D$7:$D$66,$F10184,'Vols additionnels'!$B$7:$B$66,$D10184)</f>
        <v>0</v>
      </c>
      <c r="H10184" s="135" t="n">
        <f aca="false">$G10184*'Analyse capacite'!$F$7</f>
        <v>0</v>
      </c>
      <c r="I10184" s="135" t="n">
        <f aca="false">$G10184*'Analyse capacite'!$C$7</f>
        <v>0</v>
      </c>
      <c r="J10184" s="135" t="n">
        <f aca="false">$G10184*'Analyse capacite'!$D$7</f>
        <v>0</v>
      </c>
      <c r="K10184" s="135" t="n">
        <f aca="false">$G10184*'Analyse capacite'!$E$7</f>
        <v>0</v>
      </c>
    </row>
    <row r="10185" customFormat="false" ht="15" hidden="false" customHeight="false" outlineLevel="0" collapsed="false">
      <c r="B10185" s="130" t="n">
        <v>2028</v>
      </c>
      <c r="C10185" s="131" t="s">
        <v>255</v>
      </c>
      <c r="D10185" s="132" t="n">
        <v>46760</v>
      </c>
      <c r="E10185" s="131" t="s">
        <v>56</v>
      </c>
      <c r="F10185" s="133" t="s">
        <v>19</v>
      </c>
      <c r="G10185" s="134" t="n">
        <f aca="false">LEN('Saisie programme'!$I$392)+SUMIFS('Vols additionnels'!$E$7:$E$66,'Vols additionnels'!$C$7:$C$66,$E10185,'Vols additionnels'!$D$7:$D$66,$F10185,'Vols additionnels'!$B$7:$B$66,$D10185)</f>
        <v>0</v>
      </c>
      <c r="H10185" s="135" t="n">
        <f aca="false">$G10185*'Analyse capacite'!$F$8</f>
        <v>0</v>
      </c>
      <c r="I10185" s="135" t="n">
        <f aca="false">$G10185*'Analyse capacite'!$C$8</f>
        <v>0</v>
      </c>
      <c r="J10185" s="135" t="n">
        <f aca="false">$G10185*'Analyse capacite'!$D$8</f>
        <v>0</v>
      </c>
      <c r="K10185" s="135" t="n">
        <f aca="false">$G10185*'Analyse capacite'!$E$8</f>
        <v>0</v>
      </c>
    </row>
    <row r="10186" customFormat="false" ht="15" hidden="false" customHeight="false" outlineLevel="0" collapsed="false">
      <c r="B10186" s="130" t="n">
        <v>2028</v>
      </c>
      <c r="C10186" s="131" t="s">
        <v>255</v>
      </c>
      <c r="D10186" s="132" t="n">
        <v>46760</v>
      </c>
      <c r="E10186" s="131" t="s">
        <v>56</v>
      </c>
      <c r="F10186" s="133" t="s">
        <v>24</v>
      </c>
      <c r="G10186" s="134" t="n">
        <f aca="false">LEN('Saisie programme'!$I$393)+SUMIFS('Vols additionnels'!$E$7:$E$66,'Vols additionnels'!$C$7:$C$66,$E10186,'Vols additionnels'!$D$7:$D$66,$F10186,'Vols additionnels'!$B$7:$B$66,$D10186)</f>
        <v>1</v>
      </c>
      <c r="H10186" s="135" t="n">
        <f aca="false">$G10186*'Analyse capacite'!$F$9</f>
        <v>174</v>
      </c>
      <c r="I10186" s="135" t="n">
        <f aca="false">$G10186*'Analyse capacite'!$C$9</f>
        <v>0</v>
      </c>
      <c r="J10186" s="135" t="n">
        <f aca="false">$G10186*'Analyse capacite'!$D$9</f>
        <v>12</v>
      </c>
      <c r="K10186" s="135" t="n">
        <f aca="false">$G10186*'Analyse capacite'!$E$9</f>
        <v>162</v>
      </c>
    </row>
    <row r="10187" customFormat="false" ht="15" hidden="false" customHeight="false" outlineLevel="0" collapsed="false">
      <c r="B10187" s="130" t="n">
        <v>2028</v>
      </c>
      <c r="C10187" s="131" t="s">
        <v>255</v>
      </c>
      <c r="D10187" s="132" t="n">
        <v>46760</v>
      </c>
      <c r="E10187" s="131" t="s">
        <v>59</v>
      </c>
      <c r="F10187" s="133" t="s">
        <v>11</v>
      </c>
      <c r="G10187" s="134" t="n">
        <f aca="false">LEN('Saisie programme'!$I$394)+SUMIFS('Vols additionnels'!$E$7:$E$66,'Vols additionnels'!$C$7:$C$66,$E10187,'Vols additionnels'!$D$7:$D$66,$F10187,'Vols additionnels'!$B$7:$B$66,$D10187)</f>
        <v>0</v>
      </c>
      <c r="H10187" s="135" t="n">
        <f aca="false">$G10187*'Analyse capacite'!$F$7</f>
        <v>0</v>
      </c>
      <c r="I10187" s="135" t="n">
        <f aca="false">$G10187*'Analyse capacite'!$C$7</f>
        <v>0</v>
      </c>
      <c r="J10187" s="135" t="n">
        <f aca="false">$G10187*'Analyse capacite'!$D$7</f>
        <v>0</v>
      </c>
      <c r="K10187" s="135" t="n">
        <f aca="false">$G10187*'Analyse capacite'!$E$7</f>
        <v>0</v>
      </c>
    </row>
    <row r="10188" customFormat="false" ht="15" hidden="false" customHeight="false" outlineLevel="0" collapsed="false">
      <c r="B10188" s="130" t="n">
        <v>2028</v>
      </c>
      <c r="C10188" s="131" t="s">
        <v>255</v>
      </c>
      <c r="D10188" s="132" t="n">
        <v>46760</v>
      </c>
      <c r="E10188" s="131" t="s">
        <v>59</v>
      </c>
      <c r="F10188" s="133" t="s">
        <v>19</v>
      </c>
      <c r="G10188" s="134" t="n">
        <f aca="false">LEN('Saisie programme'!$I$395)+SUMIFS('Vols additionnels'!$E$7:$E$66,'Vols additionnels'!$C$7:$C$66,$E10188,'Vols additionnels'!$D$7:$D$66,$F10188,'Vols additionnels'!$B$7:$B$66,$D10188)</f>
        <v>0</v>
      </c>
      <c r="H10188" s="135" t="n">
        <f aca="false">$G10188*'Analyse capacite'!$F$8</f>
        <v>0</v>
      </c>
      <c r="I10188" s="135" t="n">
        <f aca="false">$G10188*'Analyse capacite'!$C$8</f>
        <v>0</v>
      </c>
      <c r="J10188" s="135" t="n">
        <f aca="false">$G10188*'Analyse capacite'!$D$8</f>
        <v>0</v>
      </c>
      <c r="K10188" s="135" t="n">
        <f aca="false">$G10188*'Analyse capacite'!$E$8</f>
        <v>0</v>
      </c>
    </row>
    <row r="10189" customFormat="false" ht="15" hidden="false" customHeight="false" outlineLevel="0" collapsed="false">
      <c r="B10189" s="130" t="n">
        <v>2028</v>
      </c>
      <c r="C10189" s="131" t="s">
        <v>255</v>
      </c>
      <c r="D10189" s="132" t="n">
        <v>46760</v>
      </c>
      <c r="E10189" s="131" t="s">
        <v>59</v>
      </c>
      <c r="F10189" s="133" t="s">
        <v>24</v>
      </c>
      <c r="G10189" s="134" t="n">
        <f aca="false">LEN('Saisie programme'!$I$396)+SUMIFS('Vols additionnels'!$E$7:$E$66,'Vols additionnels'!$C$7:$C$66,$E10189,'Vols additionnels'!$D$7:$D$66,$F10189,'Vols additionnels'!$B$7:$B$66,$D10189)</f>
        <v>1</v>
      </c>
      <c r="H10189" s="135" t="n">
        <f aca="false">$G10189*'Analyse capacite'!$F$9</f>
        <v>174</v>
      </c>
      <c r="I10189" s="135" t="n">
        <f aca="false">$G10189*'Analyse capacite'!$C$9</f>
        <v>0</v>
      </c>
      <c r="J10189" s="135" t="n">
        <f aca="false">$G10189*'Analyse capacite'!$D$9</f>
        <v>12</v>
      </c>
      <c r="K10189" s="135" t="n">
        <f aca="false">$G10189*'Analyse capacite'!$E$9</f>
        <v>162</v>
      </c>
    </row>
    <row r="10190" customFormat="false" ht="15" hidden="false" customHeight="false" outlineLevel="0" collapsed="false">
      <c r="B10190" s="130" t="n">
        <v>2028</v>
      </c>
      <c r="C10190" s="131" t="s">
        <v>255</v>
      </c>
      <c r="D10190" s="132" t="n">
        <v>46760</v>
      </c>
      <c r="E10190" s="131" t="s">
        <v>62</v>
      </c>
      <c r="F10190" s="133" t="s">
        <v>11</v>
      </c>
      <c r="G10190" s="134" t="n">
        <f aca="false">LEN('Saisie programme'!$I$397)+SUMIFS('Vols additionnels'!$E$7:$E$66,'Vols additionnels'!$C$7:$C$66,$E10190,'Vols additionnels'!$D$7:$D$66,$F10190,'Vols additionnels'!$B$7:$B$66,$D10190)</f>
        <v>0</v>
      </c>
      <c r="H10190" s="135" t="n">
        <f aca="false">$G10190*'Analyse capacite'!$F$7</f>
        <v>0</v>
      </c>
      <c r="I10190" s="135" t="n">
        <f aca="false">$G10190*'Analyse capacite'!$C$7</f>
        <v>0</v>
      </c>
      <c r="J10190" s="135" t="n">
        <f aca="false">$G10190*'Analyse capacite'!$D$7</f>
        <v>0</v>
      </c>
      <c r="K10190" s="135" t="n">
        <f aca="false">$G10190*'Analyse capacite'!$E$7</f>
        <v>0</v>
      </c>
    </row>
    <row r="10191" customFormat="false" ht="15" hidden="false" customHeight="false" outlineLevel="0" collapsed="false">
      <c r="B10191" s="130" t="n">
        <v>2028</v>
      </c>
      <c r="C10191" s="131" t="s">
        <v>255</v>
      </c>
      <c r="D10191" s="132" t="n">
        <v>46760</v>
      </c>
      <c r="E10191" s="131" t="s">
        <v>62</v>
      </c>
      <c r="F10191" s="133" t="s">
        <v>19</v>
      </c>
      <c r="G10191" s="134" t="n">
        <f aca="false">LEN('Saisie programme'!$I$398)+SUMIFS('Vols additionnels'!$E$7:$E$66,'Vols additionnels'!$C$7:$C$66,$E10191,'Vols additionnels'!$D$7:$D$66,$F10191,'Vols additionnels'!$B$7:$B$66,$D10191)</f>
        <v>0</v>
      </c>
      <c r="H10191" s="135" t="n">
        <f aca="false">$G10191*'Analyse capacite'!$F$8</f>
        <v>0</v>
      </c>
      <c r="I10191" s="135" t="n">
        <f aca="false">$G10191*'Analyse capacite'!$C$8</f>
        <v>0</v>
      </c>
      <c r="J10191" s="135" t="n">
        <f aca="false">$G10191*'Analyse capacite'!$D$8</f>
        <v>0</v>
      </c>
      <c r="K10191" s="135" t="n">
        <f aca="false">$G10191*'Analyse capacite'!$E$8</f>
        <v>0</v>
      </c>
    </row>
    <row r="10192" customFormat="false" ht="15" hidden="false" customHeight="false" outlineLevel="0" collapsed="false">
      <c r="B10192" s="130" t="n">
        <v>2028</v>
      </c>
      <c r="C10192" s="131" t="s">
        <v>255</v>
      </c>
      <c r="D10192" s="132" t="n">
        <v>46760</v>
      </c>
      <c r="E10192" s="131" t="s">
        <v>62</v>
      </c>
      <c r="F10192" s="133" t="s">
        <v>24</v>
      </c>
      <c r="G10192" s="134" t="n">
        <f aca="false">LEN('Saisie programme'!$I$399)+SUMIFS('Vols additionnels'!$E$7:$E$66,'Vols additionnels'!$C$7:$C$66,$E10192,'Vols additionnels'!$D$7:$D$66,$F10192,'Vols additionnels'!$B$7:$B$66,$D10192)</f>
        <v>0</v>
      </c>
      <c r="H10192" s="135" t="n">
        <f aca="false">$G10192*'Analyse capacite'!$F$9</f>
        <v>0</v>
      </c>
      <c r="I10192" s="135" t="n">
        <f aca="false">$G10192*'Analyse capacite'!$C$9</f>
        <v>0</v>
      </c>
      <c r="J10192" s="135" t="n">
        <f aca="false">$G10192*'Analyse capacite'!$D$9</f>
        <v>0</v>
      </c>
      <c r="K10192" s="135" t="n">
        <f aca="false">$G10192*'Analyse capacite'!$E$9</f>
        <v>0</v>
      </c>
    </row>
    <row r="10193" customFormat="false" ht="15" hidden="false" customHeight="false" outlineLevel="0" collapsed="false">
      <c r="B10193" s="130" t="n">
        <v>2028</v>
      </c>
      <c r="C10193" s="131" t="s">
        <v>255</v>
      </c>
      <c r="D10193" s="132" t="n">
        <v>46761</v>
      </c>
      <c r="E10193" s="131" t="s">
        <v>12</v>
      </c>
      <c r="F10193" s="133" t="s">
        <v>11</v>
      </c>
      <c r="G10193" s="134" t="n">
        <f aca="false">LEN('Saisie programme'!$J$364)+SUMIFS('Vols additionnels'!$E$7:$E$66,'Vols additionnels'!$C$7:$C$66,$E10193,'Vols additionnels'!$D$7:$D$66,$F10193,'Vols additionnels'!$B$7:$B$66,$D10193)</f>
        <v>1</v>
      </c>
      <c r="H10193" s="135" t="n">
        <f aca="false">$G10193*'Analyse capacite'!$F$7</f>
        <v>438</v>
      </c>
      <c r="I10193" s="135" t="n">
        <f aca="false">$G10193*'Analyse capacite'!$C$7</f>
        <v>14</v>
      </c>
      <c r="J10193" s="135" t="n">
        <f aca="false">$G10193*'Analyse capacite'!$D$7</f>
        <v>40</v>
      </c>
      <c r="K10193" s="135" t="n">
        <f aca="false">$G10193*'Analyse capacite'!$E$7</f>
        <v>384</v>
      </c>
    </row>
    <row r="10194" customFormat="false" ht="15" hidden="false" customHeight="false" outlineLevel="0" collapsed="false">
      <c r="B10194" s="130" t="n">
        <v>2028</v>
      </c>
      <c r="C10194" s="131" t="s">
        <v>255</v>
      </c>
      <c r="D10194" s="132" t="n">
        <v>46761</v>
      </c>
      <c r="E10194" s="131" t="s">
        <v>12</v>
      </c>
      <c r="F10194" s="133" t="s">
        <v>19</v>
      </c>
      <c r="G10194" s="134" t="n">
        <f aca="false">LEN('Saisie programme'!$J$365)+SUMIFS('Vols additionnels'!$E$7:$E$66,'Vols additionnels'!$C$7:$C$66,$E10194,'Vols additionnels'!$D$7:$D$66,$F10194,'Vols additionnels'!$B$7:$B$66,$D10194)</f>
        <v>0</v>
      </c>
      <c r="H10194" s="135" t="n">
        <f aca="false">$G10194*'Analyse capacite'!$F$8</f>
        <v>0</v>
      </c>
      <c r="I10194" s="135" t="n">
        <f aca="false">$G10194*'Analyse capacite'!$C$8</f>
        <v>0</v>
      </c>
      <c r="J10194" s="135" t="n">
        <f aca="false">$G10194*'Analyse capacite'!$D$8</f>
        <v>0</v>
      </c>
      <c r="K10194" s="135" t="n">
        <f aca="false">$G10194*'Analyse capacite'!$E$8</f>
        <v>0</v>
      </c>
    </row>
    <row r="10195" customFormat="false" ht="15" hidden="false" customHeight="false" outlineLevel="0" collapsed="false">
      <c r="B10195" s="130" t="n">
        <v>2028</v>
      </c>
      <c r="C10195" s="131" t="s">
        <v>255</v>
      </c>
      <c r="D10195" s="132" t="n">
        <v>46761</v>
      </c>
      <c r="E10195" s="131" t="s">
        <v>12</v>
      </c>
      <c r="F10195" s="133" t="s">
        <v>24</v>
      </c>
      <c r="G10195" s="134" t="n">
        <f aca="false">LEN('Saisie programme'!$J$366)+SUMIFS('Vols additionnels'!$E$7:$E$66,'Vols additionnels'!$C$7:$C$66,$E10195,'Vols additionnels'!$D$7:$D$66,$F10195,'Vols additionnels'!$B$7:$B$66,$D10195)</f>
        <v>0</v>
      </c>
      <c r="H10195" s="135" t="n">
        <f aca="false">$G10195*'Analyse capacite'!$F$9</f>
        <v>0</v>
      </c>
      <c r="I10195" s="135" t="n">
        <f aca="false">$G10195*'Analyse capacite'!$C$9</f>
        <v>0</v>
      </c>
      <c r="J10195" s="135" t="n">
        <f aca="false">$G10195*'Analyse capacite'!$D$9</f>
        <v>0</v>
      </c>
      <c r="K10195" s="135" t="n">
        <f aca="false">$G10195*'Analyse capacite'!$E$9</f>
        <v>0</v>
      </c>
    </row>
    <row r="10196" customFormat="false" ht="15" hidden="false" customHeight="false" outlineLevel="0" collapsed="false">
      <c r="B10196" s="130" t="n">
        <v>2028</v>
      </c>
      <c r="C10196" s="131" t="s">
        <v>255</v>
      </c>
      <c r="D10196" s="132" t="n">
        <v>46761</v>
      </c>
      <c r="E10196" s="131" t="s">
        <v>20</v>
      </c>
      <c r="F10196" s="133" t="s">
        <v>11</v>
      </c>
      <c r="G10196" s="134" t="n">
        <f aca="false">LEN('Saisie programme'!$J$367)+SUMIFS('Vols additionnels'!$E$7:$E$66,'Vols additionnels'!$C$7:$C$66,$E10196,'Vols additionnels'!$D$7:$D$66,$F10196,'Vols additionnels'!$B$7:$B$66,$D10196)</f>
        <v>1</v>
      </c>
      <c r="H10196" s="135" t="n">
        <f aca="false">$G10196*'Analyse capacite'!$F$7</f>
        <v>438</v>
      </c>
      <c r="I10196" s="135" t="n">
        <f aca="false">$G10196*'Analyse capacite'!$C$7</f>
        <v>14</v>
      </c>
      <c r="J10196" s="135" t="n">
        <f aca="false">$G10196*'Analyse capacite'!$D$7</f>
        <v>40</v>
      </c>
      <c r="K10196" s="135" t="n">
        <f aca="false">$G10196*'Analyse capacite'!$E$7</f>
        <v>384</v>
      </c>
    </row>
    <row r="10197" customFormat="false" ht="15" hidden="false" customHeight="false" outlineLevel="0" collapsed="false">
      <c r="B10197" s="130" t="n">
        <v>2028</v>
      </c>
      <c r="C10197" s="131" t="s">
        <v>255</v>
      </c>
      <c r="D10197" s="132" t="n">
        <v>46761</v>
      </c>
      <c r="E10197" s="131" t="s">
        <v>20</v>
      </c>
      <c r="F10197" s="133" t="s">
        <v>19</v>
      </c>
      <c r="G10197" s="134" t="n">
        <f aca="false">LEN('Saisie programme'!$J$368)+SUMIFS('Vols additionnels'!$E$7:$E$66,'Vols additionnels'!$C$7:$C$66,$E10197,'Vols additionnels'!$D$7:$D$66,$F10197,'Vols additionnels'!$B$7:$B$66,$D10197)</f>
        <v>0</v>
      </c>
      <c r="H10197" s="135" t="n">
        <f aca="false">$G10197*'Analyse capacite'!$F$8</f>
        <v>0</v>
      </c>
      <c r="I10197" s="135" t="n">
        <f aca="false">$G10197*'Analyse capacite'!$C$8</f>
        <v>0</v>
      </c>
      <c r="J10197" s="135" t="n">
        <f aca="false">$G10197*'Analyse capacite'!$D$8</f>
        <v>0</v>
      </c>
      <c r="K10197" s="135" t="n">
        <f aca="false">$G10197*'Analyse capacite'!$E$8</f>
        <v>0</v>
      </c>
    </row>
    <row r="10198" customFormat="false" ht="15" hidden="false" customHeight="false" outlineLevel="0" collapsed="false">
      <c r="B10198" s="130" t="n">
        <v>2028</v>
      </c>
      <c r="C10198" s="131" t="s">
        <v>255</v>
      </c>
      <c r="D10198" s="132" t="n">
        <v>46761</v>
      </c>
      <c r="E10198" s="131" t="s">
        <v>20</v>
      </c>
      <c r="F10198" s="133" t="s">
        <v>24</v>
      </c>
      <c r="G10198" s="134" t="n">
        <f aca="false">LEN('Saisie programme'!$J$369)+SUMIFS('Vols additionnels'!$E$7:$E$66,'Vols additionnels'!$C$7:$C$66,$E10198,'Vols additionnels'!$D$7:$D$66,$F10198,'Vols additionnels'!$B$7:$B$66,$D10198)</f>
        <v>0</v>
      </c>
      <c r="H10198" s="135" t="n">
        <f aca="false">$G10198*'Analyse capacite'!$F$9</f>
        <v>0</v>
      </c>
      <c r="I10198" s="135" t="n">
        <f aca="false">$G10198*'Analyse capacite'!$C$9</f>
        <v>0</v>
      </c>
      <c r="J10198" s="135" t="n">
        <f aca="false">$G10198*'Analyse capacite'!$D$9</f>
        <v>0</v>
      </c>
      <c r="K10198" s="135" t="n">
        <f aca="false">$G10198*'Analyse capacite'!$E$9</f>
        <v>0</v>
      </c>
    </row>
    <row r="10199" customFormat="false" ht="15" hidden="false" customHeight="false" outlineLevel="0" collapsed="false">
      <c r="B10199" s="130" t="n">
        <v>2028</v>
      </c>
      <c r="C10199" s="131" t="s">
        <v>255</v>
      </c>
      <c r="D10199" s="132" t="n">
        <v>46761</v>
      </c>
      <c r="E10199" s="131" t="s">
        <v>25</v>
      </c>
      <c r="F10199" s="133" t="s">
        <v>11</v>
      </c>
      <c r="G10199" s="134" t="n">
        <f aca="false">LEN('Saisie programme'!$J$370)+SUMIFS('Vols additionnels'!$E$7:$E$66,'Vols additionnels'!$C$7:$C$66,$E10199,'Vols additionnels'!$D$7:$D$66,$F10199,'Vols additionnels'!$B$7:$B$66,$D10199)</f>
        <v>0</v>
      </c>
      <c r="H10199" s="135" t="n">
        <f aca="false">$G10199*'Analyse capacite'!$F$7</f>
        <v>0</v>
      </c>
      <c r="I10199" s="135" t="n">
        <f aca="false">$G10199*'Analyse capacite'!$C$7</f>
        <v>0</v>
      </c>
      <c r="J10199" s="135" t="n">
        <f aca="false">$G10199*'Analyse capacite'!$D$7</f>
        <v>0</v>
      </c>
      <c r="K10199" s="135" t="n">
        <f aca="false">$G10199*'Analyse capacite'!$E$7</f>
        <v>0</v>
      </c>
    </row>
    <row r="10200" customFormat="false" ht="15" hidden="false" customHeight="false" outlineLevel="0" collapsed="false">
      <c r="B10200" s="130" t="n">
        <v>2028</v>
      </c>
      <c r="C10200" s="131" t="s">
        <v>255</v>
      </c>
      <c r="D10200" s="132" t="n">
        <v>46761</v>
      </c>
      <c r="E10200" s="131" t="s">
        <v>25</v>
      </c>
      <c r="F10200" s="133" t="s">
        <v>19</v>
      </c>
      <c r="G10200" s="134" t="n">
        <f aca="false">LEN('Saisie programme'!$J$371)+SUMIFS('Vols additionnels'!$E$7:$E$66,'Vols additionnels'!$C$7:$C$66,$E10200,'Vols additionnels'!$D$7:$D$66,$F10200,'Vols additionnels'!$B$7:$B$66,$D10200)</f>
        <v>0</v>
      </c>
      <c r="H10200" s="135" t="n">
        <f aca="false">$G10200*'Analyse capacite'!$F$8</f>
        <v>0</v>
      </c>
      <c r="I10200" s="135" t="n">
        <f aca="false">$G10200*'Analyse capacite'!$C$8</f>
        <v>0</v>
      </c>
      <c r="J10200" s="135" t="n">
        <f aca="false">$G10200*'Analyse capacite'!$D$8</f>
        <v>0</v>
      </c>
      <c r="K10200" s="135" t="n">
        <f aca="false">$G10200*'Analyse capacite'!$E$8</f>
        <v>0</v>
      </c>
    </row>
    <row r="10201" customFormat="false" ht="15" hidden="false" customHeight="false" outlineLevel="0" collapsed="false">
      <c r="B10201" s="130" t="n">
        <v>2028</v>
      </c>
      <c r="C10201" s="131" t="s">
        <v>255</v>
      </c>
      <c r="D10201" s="132" t="n">
        <v>46761</v>
      </c>
      <c r="E10201" s="131" t="s">
        <v>25</v>
      </c>
      <c r="F10201" s="133" t="s">
        <v>24</v>
      </c>
      <c r="G10201" s="134" t="n">
        <f aca="false">LEN('Saisie programme'!$J$372)+SUMIFS('Vols additionnels'!$E$7:$E$66,'Vols additionnels'!$C$7:$C$66,$E10201,'Vols additionnels'!$D$7:$D$66,$F10201,'Vols additionnels'!$B$7:$B$66,$D10201)</f>
        <v>0</v>
      </c>
      <c r="H10201" s="135" t="n">
        <f aca="false">$G10201*'Analyse capacite'!$F$9</f>
        <v>0</v>
      </c>
      <c r="I10201" s="135" t="n">
        <f aca="false">$G10201*'Analyse capacite'!$C$9</f>
        <v>0</v>
      </c>
      <c r="J10201" s="135" t="n">
        <f aca="false">$G10201*'Analyse capacite'!$D$9</f>
        <v>0</v>
      </c>
      <c r="K10201" s="135" t="n">
        <f aca="false">$G10201*'Analyse capacite'!$E$9</f>
        <v>0</v>
      </c>
    </row>
    <row r="10202" customFormat="false" ht="15" hidden="false" customHeight="false" outlineLevel="0" collapsed="false">
      <c r="B10202" s="130" t="n">
        <v>2028</v>
      </c>
      <c r="C10202" s="131" t="s">
        <v>255</v>
      </c>
      <c r="D10202" s="132" t="n">
        <v>46761</v>
      </c>
      <c r="E10202" s="131" t="s">
        <v>36</v>
      </c>
      <c r="F10202" s="133" t="s">
        <v>11</v>
      </c>
      <c r="G10202" s="134" t="n">
        <f aca="false">LEN('Saisie programme'!$J$373)+SUMIFS('Vols additionnels'!$E$7:$E$66,'Vols additionnels'!$C$7:$C$66,$E10202,'Vols additionnels'!$D$7:$D$66,$F10202,'Vols additionnels'!$B$7:$B$66,$D10202)</f>
        <v>0</v>
      </c>
      <c r="H10202" s="135" t="n">
        <f aca="false">$G10202*'Analyse capacite'!$F$7</f>
        <v>0</v>
      </c>
      <c r="I10202" s="135" t="n">
        <f aca="false">$G10202*'Analyse capacite'!$C$7</f>
        <v>0</v>
      </c>
      <c r="J10202" s="135" t="n">
        <f aca="false">$G10202*'Analyse capacite'!$D$7</f>
        <v>0</v>
      </c>
      <c r="K10202" s="135" t="n">
        <f aca="false">$G10202*'Analyse capacite'!$E$7</f>
        <v>0</v>
      </c>
    </row>
    <row r="10203" customFormat="false" ht="15" hidden="false" customHeight="false" outlineLevel="0" collapsed="false">
      <c r="B10203" s="130" t="n">
        <v>2028</v>
      </c>
      <c r="C10203" s="131" t="s">
        <v>255</v>
      </c>
      <c r="D10203" s="132" t="n">
        <v>46761</v>
      </c>
      <c r="E10203" s="131" t="s">
        <v>36</v>
      </c>
      <c r="F10203" s="133" t="s">
        <v>19</v>
      </c>
      <c r="G10203" s="134" t="n">
        <f aca="false">LEN('Saisie programme'!$J$374)+SUMIFS('Vols additionnels'!$E$7:$E$66,'Vols additionnels'!$C$7:$C$66,$E10203,'Vols additionnels'!$D$7:$D$66,$F10203,'Vols additionnels'!$B$7:$B$66,$D10203)</f>
        <v>0</v>
      </c>
      <c r="H10203" s="135" t="n">
        <f aca="false">$G10203*'Analyse capacite'!$F$8</f>
        <v>0</v>
      </c>
      <c r="I10203" s="135" t="n">
        <f aca="false">$G10203*'Analyse capacite'!$C$8</f>
        <v>0</v>
      </c>
      <c r="J10203" s="135" t="n">
        <f aca="false">$G10203*'Analyse capacite'!$D$8</f>
        <v>0</v>
      </c>
      <c r="K10203" s="135" t="n">
        <f aca="false">$G10203*'Analyse capacite'!$E$8</f>
        <v>0</v>
      </c>
    </row>
    <row r="10204" customFormat="false" ht="15" hidden="false" customHeight="false" outlineLevel="0" collapsed="false">
      <c r="B10204" s="130" t="n">
        <v>2028</v>
      </c>
      <c r="C10204" s="131" t="s">
        <v>255</v>
      </c>
      <c r="D10204" s="132" t="n">
        <v>46761</v>
      </c>
      <c r="E10204" s="131" t="s">
        <v>36</v>
      </c>
      <c r="F10204" s="133" t="s">
        <v>24</v>
      </c>
      <c r="G10204" s="134" t="n">
        <f aca="false">LEN('Saisie programme'!$J$375)+SUMIFS('Vols additionnels'!$E$7:$E$66,'Vols additionnels'!$C$7:$C$66,$E10204,'Vols additionnels'!$D$7:$D$66,$F10204,'Vols additionnels'!$B$7:$B$66,$D10204)</f>
        <v>0</v>
      </c>
      <c r="H10204" s="135" t="n">
        <f aca="false">$G10204*'Analyse capacite'!$F$9</f>
        <v>0</v>
      </c>
      <c r="I10204" s="135" t="n">
        <f aca="false">$G10204*'Analyse capacite'!$C$9</f>
        <v>0</v>
      </c>
      <c r="J10204" s="135" t="n">
        <f aca="false">$G10204*'Analyse capacite'!$D$9</f>
        <v>0</v>
      </c>
      <c r="K10204" s="135" t="n">
        <f aca="false">$G10204*'Analyse capacite'!$E$9</f>
        <v>0</v>
      </c>
    </row>
    <row r="10205" customFormat="false" ht="15" hidden="false" customHeight="false" outlineLevel="0" collapsed="false">
      <c r="B10205" s="130" t="n">
        <v>2028</v>
      </c>
      <c r="C10205" s="131" t="s">
        <v>255</v>
      </c>
      <c r="D10205" s="132" t="n">
        <v>46761</v>
      </c>
      <c r="E10205" s="131" t="s">
        <v>40</v>
      </c>
      <c r="F10205" s="133" t="s">
        <v>11</v>
      </c>
      <c r="G10205" s="134" t="n">
        <f aca="false">LEN('Saisie programme'!$J$376)+SUMIFS('Vols additionnels'!$E$7:$E$66,'Vols additionnels'!$C$7:$C$66,$E10205,'Vols additionnels'!$D$7:$D$66,$F10205,'Vols additionnels'!$B$7:$B$66,$D10205)</f>
        <v>0</v>
      </c>
      <c r="H10205" s="135" t="n">
        <f aca="false">$G10205*'Analyse capacite'!$F$7</f>
        <v>0</v>
      </c>
      <c r="I10205" s="135" t="n">
        <f aca="false">$G10205*'Analyse capacite'!$C$7</f>
        <v>0</v>
      </c>
      <c r="J10205" s="135" t="n">
        <f aca="false">$G10205*'Analyse capacite'!$D$7</f>
        <v>0</v>
      </c>
      <c r="K10205" s="135" t="n">
        <f aca="false">$G10205*'Analyse capacite'!$E$7</f>
        <v>0</v>
      </c>
    </row>
    <row r="10206" customFormat="false" ht="15" hidden="false" customHeight="false" outlineLevel="0" collapsed="false">
      <c r="B10206" s="130" t="n">
        <v>2028</v>
      </c>
      <c r="C10206" s="131" t="s">
        <v>255</v>
      </c>
      <c r="D10206" s="132" t="n">
        <v>46761</v>
      </c>
      <c r="E10206" s="131" t="s">
        <v>40</v>
      </c>
      <c r="F10206" s="133" t="s">
        <v>19</v>
      </c>
      <c r="G10206" s="134" t="n">
        <f aca="false">LEN('Saisie programme'!$J$377)+SUMIFS('Vols additionnels'!$E$7:$E$66,'Vols additionnels'!$C$7:$C$66,$E10206,'Vols additionnels'!$D$7:$D$66,$F10206,'Vols additionnels'!$B$7:$B$66,$D10206)</f>
        <v>0</v>
      </c>
      <c r="H10206" s="135" t="n">
        <f aca="false">$G10206*'Analyse capacite'!$F$8</f>
        <v>0</v>
      </c>
      <c r="I10206" s="135" t="n">
        <f aca="false">$G10206*'Analyse capacite'!$C$8</f>
        <v>0</v>
      </c>
      <c r="J10206" s="135" t="n">
        <f aca="false">$G10206*'Analyse capacite'!$D$8</f>
        <v>0</v>
      </c>
      <c r="K10206" s="135" t="n">
        <f aca="false">$G10206*'Analyse capacite'!$E$8</f>
        <v>0</v>
      </c>
    </row>
    <row r="10207" customFormat="false" ht="15" hidden="false" customHeight="false" outlineLevel="0" collapsed="false">
      <c r="B10207" s="130" t="n">
        <v>2028</v>
      </c>
      <c r="C10207" s="131" t="s">
        <v>255</v>
      </c>
      <c r="D10207" s="132" t="n">
        <v>46761</v>
      </c>
      <c r="E10207" s="131" t="s">
        <v>40</v>
      </c>
      <c r="F10207" s="133" t="s">
        <v>24</v>
      </c>
      <c r="G10207" s="134" t="n">
        <f aca="false">LEN('Saisie programme'!$J$378)+SUMIFS('Vols additionnels'!$E$7:$E$66,'Vols additionnels'!$C$7:$C$66,$E10207,'Vols additionnels'!$D$7:$D$66,$F10207,'Vols additionnels'!$B$7:$B$66,$D10207)</f>
        <v>1</v>
      </c>
      <c r="H10207" s="135" t="n">
        <f aca="false">$G10207*'Analyse capacite'!$F$9</f>
        <v>174</v>
      </c>
      <c r="I10207" s="135" t="n">
        <f aca="false">$G10207*'Analyse capacite'!$C$9</f>
        <v>0</v>
      </c>
      <c r="J10207" s="135" t="n">
        <f aca="false">$G10207*'Analyse capacite'!$D$9</f>
        <v>12</v>
      </c>
      <c r="K10207" s="135" t="n">
        <f aca="false">$G10207*'Analyse capacite'!$E$9</f>
        <v>162</v>
      </c>
    </row>
    <row r="10208" customFormat="false" ht="15" hidden="false" customHeight="false" outlineLevel="0" collapsed="false">
      <c r="B10208" s="130" t="n">
        <v>2028</v>
      </c>
      <c r="C10208" s="131" t="s">
        <v>255</v>
      </c>
      <c r="D10208" s="132" t="n">
        <v>46761</v>
      </c>
      <c r="E10208" s="131" t="s">
        <v>14</v>
      </c>
      <c r="F10208" s="133" t="s">
        <v>11</v>
      </c>
      <c r="G10208" s="134" t="n">
        <f aca="false">LEN('Saisie programme'!$J$379)+SUMIFS('Vols additionnels'!$E$7:$E$66,'Vols additionnels'!$C$7:$C$66,$E10208,'Vols additionnels'!$D$7:$D$66,$F10208,'Vols additionnels'!$B$7:$B$66,$D10208)</f>
        <v>0</v>
      </c>
      <c r="H10208" s="135" t="n">
        <f aca="false">$G10208*'Analyse capacite'!$F$7</f>
        <v>0</v>
      </c>
      <c r="I10208" s="135" t="n">
        <f aca="false">$G10208*'Analyse capacite'!$C$7</f>
        <v>0</v>
      </c>
      <c r="J10208" s="135" t="n">
        <f aca="false">$G10208*'Analyse capacite'!$D$7</f>
        <v>0</v>
      </c>
      <c r="K10208" s="135" t="n">
        <f aca="false">$G10208*'Analyse capacite'!$E$7</f>
        <v>0</v>
      </c>
    </row>
    <row r="10209" customFormat="false" ht="15" hidden="false" customHeight="false" outlineLevel="0" collapsed="false">
      <c r="B10209" s="130" t="n">
        <v>2028</v>
      </c>
      <c r="C10209" s="131" t="s">
        <v>255</v>
      </c>
      <c r="D10209" s="132" t="n">
        <v>46761</v>
      </c>
      <c r="E10209" s="131" t="s">
        <v>14</v>
      </c>
      <c r="F10209" s="133" t="s">
        <v>19</v>
      </c>
      <c r="G10209" s="134" t="n">
        <f aca="false">LEN('Saisie programme'!$J$380)+SUMIFS('Vols additionnels'!$E$7:$E$66,'Vols additionnels'!$C$7:$C$66,$E10209,'Vols additionnels'!$D$7:$D$66,$F10209,'Vols additionnels'!$B$7:$B$66,$D10209)</f>
        <v>0</v>
      </c>
      <c r="H10209" s="135" t="n">
        <f aca="false">$G10209*'Analyse capacite'!$F$8</f>
        <v>0</v>
      </c>
      <c r="I10209" s="135" t="n">
        <f aca="false">$G10209*'Analyse capacite'!$C$8</f>
        <v>0</v>
      </c>
      <c r="J10209" s="135" t="n">
        <f aca="false">$G10209*'Analyse capacite'!$D$8</f>
        <v>0</v>
      </c>
      <c r="K10209" s="135" t="n">
        <f aca="false">$G10209*'Analyse capacite'!$E$8</f>
        <v>0</v>
      </c>
    </row>
    <row r="10210" customFormat="false" ht="15" hidden="false" customHeight="false" outlineLevel="0" collapsed="false">
      <c r="B10210" s="130" t="n">
        <v>2028</v>
      </c>
      <c r="C10210" s="131" t="s">
        <v>255</v>
      </c>
      <c r="D10210" s="132" t="n">
        <v>46761</v>
      </c>
      <c r="E10210" s="131" t="s">
        <v>14</v>
      </c>
      <c r="F10210" s="133" t="s">
        <v>24</v>
      </c>
      <c r="G10210" s="134" t="n">
        <f aca="false">LEN('Saisie programme'!$J$381)+SUMIFS('Vols additionnels'!$E$7:$E$66,'Vols additionnels'!$C$7:$C$66,$E10210,'Vols additionnels'!$D$7:$D$66,$F10210,'Vols additionnels'!$B$7:$B$66,$D10210)</f>
        <v>0</v>
      </c>
      <c r="H10210" s="135" t="n">
        <f aca="false">$G10210*'Analyse capacite'!$F$9</f>
        <v>0</v>
      </c>
      <c r="I10210" s="135" t="n">
        <f aca="false">$G10210*'Analyse capacite'!$C$9</f>
        <v>0</v>
      </c>
      <c r="J10210" s="135" t="n">
        <f aca="false">$G10210*'Analyse capacite'!$D$9</f>
        <v>0</v>
      </c>
      <c r="K10210" s="135" t="n">
        <f aca="false">$G10210*'Analyse capacite'!$E$9</f>
        <v>0</v>
      </c>
    </row>
    <row r="10211" customFormat="false" ht="15" hidden="false" customHeight="false" outlineLevel="0" collapsed="false">
      <c r="B10211" s="130" t="n">
        <v>2028</v>
      </c>
      <c r="C10211" s="131" t="s">
        <v>255</v>
      </c>
      <c r="D10211" s="132" t="n">
        <v>46761</v>
      </c>
      <c r="E10211" s="131" t="s">
        <v>46</v>
      </c>
      <c r="F10211" s="133" t="s">
        <v>11</v>
      </c>
      <c r="G10211" s="134" t="n">
        <f aca="false">LEN('Saisie programme'!$J$382)+SUMIFS('Vols additionnels'!$E$7:$E$66,'Vols additionnels'!$C$7:$C$66,$E10211,'Vols additionnels'!$D$7:$D$66,$F10211,'Vols additionnels'!$B$7:$B$66,$D10211)</f>
        <v>0</v>
      </c>
      <c r="H10211" s="135" t="n">
        <f aca="false">$G10211*'Analyse capacite'!$F$7</f>
        <v>0</v>
      </c>
      <c r="I10211" s="135" t="n">
        <f aca="false">$G10211*'Analyse capacite'!$C$7</f>
        <v>0</v>
      </c>
      <c r="J10211" s="135" t="n">
        <f aca="false">$G10211*'Analyse capacite'!$D$7</f>
        <v>0</v>
      </c>
      <c r="K10211" s="135" t="n">
        <f aca="false">$G10211*'Analyse capacite'!$E$7</f>
        <v>0</v>
      </c>
    </row>
    <row r="10212" customFormat="false" ht="15" hidden="false" customHeight="false" outlineLevel="0" collapsed="false">
      <c r="B10212" s="130" t="n">
        <v>2028</v>
      </c>
      <c r="C10212" s="131" t="s">
        <v>255</v>
      </c>
      <c r="D10212" s="132" t="n">
        <v>46761</v>
      </c>
      <c r="E10212" s="131" t="s">
        <v>46</v>
      </c>
      <c r="F10212" s="133" t="s">
        <v>19</v>
      </c>
      <c r="G10212" s="134" t="n">
        <f aca="false">LEN('Saisie programme'!$J$383)+SUMIFS('Vols additionnels'!$E$7:$E$66,'Vols additionnels'!$C$7:$C$66,$E10212,'Vols additionnels'!$D$7:$D$66,$F10212,'Vols additionnels'!$B$7:$B$66,$D10212)</f>
        <v>0</v>
      </c>
      <c r="H10212" s="135" t="n">
        <f aca="false">$G10212*'Analyse capacite'!$F$8</f>
        <v>0</v>
      </c>
      <c r="I10212" s="135" t="n">
        <f aca="false">$G10212*'Analyse capacite'!$C$8</f>
        <v>0</v>
      </c>
      <c r="J10212" s="135" t="n">
        <f aca="false">$G10212*'Analyse capacite'!$D$8</f>
        <v>0</v>
      </c>
      <c r="K10212" s="135" t="n">
        <f aca="false">$G10212*'Analyse capacite'!$E$8</f>
        <v>0</v>
      </c>
    </row>
    <row r="10213" customFormat="false" ht="15" hidden="false" customHeight="false" outlineLevel="0" collapsed="false">
      <c r="B10213" s="130" t="n">
        <v>2028</v>
      </c>
      <c r="C10213" s="131" t="s">
        <v>255</v>
      </c>
      <c r="D10213" s="132" t="n">
        <v>46761</v>
      </c>
      <c r="E10213" s="131" t="s">
        <v>46</v>
      </c>
      <c r="F10213" s="133" t="s">
        <v>24</v>
      </c>
      <c r="G10213" s="134" t="n">
        <f aca="false">LEN('Saisie programme'!$J$384)+SUMIFS('Vols additionnels'!$E$7:$E$66,'Vols additionnels'!$C$7:$C$66,$E10213,'Vols additionnels'!$D$7:$D$66,$F10213,'Vols additionnels'!$B$7:$B$66,$D10213)</f>
        <v>0</v>
      </c>
      <c r="H10213" s="135" t="n">
        <f aca="false">$G10213*'Analyse capacite'!$F$9</f>
        <v>0</v>
      </c>
      <c r="I10213" s="135" t="n">
        <f aca="false">$G10213*'Analyse capacite'!$C$9</f>
        <v>0</v>
      </c>
      <c r="J10213" s="135" t="n">
        <f aca="false">$G10213*'Analyse capacite'!$D$9</f>
        <v>0</v>
      </c>
      <c r="K10213" s="135" t="n">
        <f aca="false">$G10213*'Analyse capacite'!$E$9</f>
        <v>0</v>
      </c>
    </row>
    <row r="10214" customFormat="false" ht="15" hidden="false" customHeight="false" outlineLevel="0" collapsed="false">
      <c r="B10214" s="130" t="n">
        <v>2028</v>
      </c>
      <c r="C10214" s="131" t="s">
        <v>255</v>
      </c>
      <c r="D10214" s="132" t="n">
        <v>46761</v>
      </c>
      <c r="E10214" s="131" t="s">
        <v>49</v>
      </c>
      <c r="F10214" s="133" t="s">
        <v>11</v>
      </c>
      <c r="G10214" s="134" t="n">
        <f aca="false">LEN('Saisie programme'!$J$385)+SUMIFS('Vols additionnels'!$E$7:$E$66,'Vols additionnels'!$C$7:$C$66,$E10214,'Vols additionnels'!$D$7:$D$66,$F10214,'Vols additionnels'!$B$7:$B$66,$D10214)</f>
        <v>0</v>
      </c>
      <c r="H10214" s="135" t="n">
        <f aca="false">$G10214*'Analyse capacite'!$F$7</f>
        <v>0</v>
      </c>
      <c r="I10214" s="135" t="n">
        <f aca="false">$G10214*'Analyse capacite'!$C$7</f>
        <v>0</v>
      </c>
      <c r="J10214" s="135" t="n">
        <f aca="false">$G10214*'Analyse capacite'!$D$7</f>
        <v>0</v>
      </c>
      <c r="K10214" s="135" t="n">
        <f aca="false">$G10214*'Analyse capacite'!$E$7</f>
        <v>0</v>
      </c>
    </row>
    <row r="10215" customFormat="false" ht="15" hidden="false" customHeight="false" outlineLevel="0" collapsed="false">
      <c r="B10215" s="130" t="n">
        <v>2028</v>
      </c>
      <c r="C10215" s="131" t="s">
        <v>255</v>
      </c>
      <c r="D10215" s="132" t="n">
        <v>46761</v>
      </c>
      <c r="E10215" s="131" t="s">
        <v>49</v>
      </c>
      <c r="F10215" s="133" t="s">
        <v>19</v>
      </c>
      <c r="G10215" s="134" t="n">
        <f aca="false">LEN('Saisie programme'!$J$386)+SUMIFS('Vols additionnels'!$E$7:$E$66,'Vols additionnels'!$C$7:$C$66,$E10215,'Vols additionnels'!$D$7:$D$66,$F10215,'Vols additionnels'!$B$7:$B$66,$D10215)</f>
        <v>0</v>
      </c>
      <c r="H10215" s="135" t="n">
        <f aca="false">$G10215*'Analyse capacite'!$F$8</f>
        <v>0</v>
      </c>
      <c r="I10215" s="135" t="n">
        <f aca="false">$G10215*'Analyse capacite'!$C$8</f>
        <v>0</v>
      </c>
      <c r="J10215" s="135" t="n">
        <f aca="false">$G10215*'Analyse capacite'!$D$8</f>
        <v>0</v>
      </c>
      <c r="K10215" s="135" t="n">
        <f aca="false">$G10215*'Analyse capacite'!$E$8</f>
        <v>0</v>
      </c>
    </row>
    <row r="10216" customFormat="false" ht="15" hidden="false" customHeight="false" outlineLevel="0" collapsed="false">
      <c r="B10216" s="130" t="n">
        <v>2028</v>
      </c>
      <c r="C10216" s="131" t="s">
        <v>255</v>
      </c>
      <c r="D10216" s="132" t="n">
        <v>46761</v>
      </c>
      <c r="E10216" s="131" t="s">
        <v>49</v>
      </c>
      <c r="F10216" s="133" t="s">
        <v>24</v>
      </c>
      <c r="G10216" s="134" t="n">
        <f aca="false">LEN('Saisie programme'!$J$387)+SUMIFS('Vols additionnels'!$E$7:$E$66,'Vols additionnels'!$C$7:$C$66,$E10216,'Vols additionnels'!$D$7:$D$66,$F10216,'Vols additionnels'!$B$7:$B$66,$D10216)</f>
        <v>0</v>
      </c>
      <c r="H10216" s="135" t="n">
        <f aca="false">$G10216*'Analyse capacite'!$F$9</f>
        <v>0</v>
      </c>
      <c r="I10216" s="135" t="n">
        <f aca="false">$G10216*'Analyse capacite'!$C$9</f>
        <v>0</v>
      </c>
      <c r="J10216" s="135" t="n">
        <f aca="false">$G10216*'Analyse capacite'!$D$9</f>
        <v>0</v>
      </c>
      <c r="K10216" s="135" t="n">
        <f aca="false">$G10216*'Analyse capacite'!$E$9</f>
        <v>0</v>
      </c>
    </row>
    <row r="10217" customFormat="false" ht="15" hidden="false" customHeight="false" outlineLevel="0" collapsed="false">
      <c r="B10217" s="130" t="n">
        <v>2028</v>
      </c>
      <c r="C10217" s="131" t="s">
        <v>255</v>
      </c>
      <c r="D10217" s="132" t="n">
        <v>46761</v>
      </c>
      <c r="E10217" s="131" t="s">
        <v>53</v>
      </c>
      <c r="F10217" s="133" t="s">
        <v>11</v>
      </c>
      <c r="G10217" s="134" t="n">
        <f aca="false">LEN('Saisie programme'!$J$388)+SUMIFS('Vols additionnels'!$E$7:$E$66,'Vols additionnels'!$C$7:$C$66,$E10217,'Vols additionnels'!$D$7:$D$66,$F10217,'Vols additionnels'!$B$7:$B$66,$D10217)</f>
        <v>0</v>
      </c>
      <c r="H10217" s="135" t="n">
        <f aca="false">$G10217*'Analyse capacite'!$F$7</f>
        <v>0</v>
      </c>
      <c r="I10217" s="135" t="n">
        <f aca="false">$G10217*'Analyse capacite'!$C$7</f>
        <v>0</v>
      </c>
      <c r="J10217" s="135" t="n">
        <f aca="false">$G10217*'Analyse capacite'!$D$7</f>
        <v>0</v>
      </c>
      <c r="K10217" s="135" t="n">
        <f aca="false">$G10217*'Analyse capacite'!$E$7</f>
        <v>0</v>
      </c>
    </row>
    <row r="10218" customFormat="false" ht="15" hidden="false" customHeight="false" outlineLevel="0" collapsed="false">
      <c r="B10218" s="130" t="n">
        <v>2028</v>
      </c>
      <c r="C10218" s="131" t="s">
        <v>255</v>
      </c>
      <c r="D10218" s="132" t="n">
        <v>46761</v>
      </c>
      <c r="E10218" s="131" t="s">
        <v>53</v>
      </c>
      <c r="F10218" s="133" t="s">
        <v>19</v>
      </c>
      <c r="G10218" s="134" t="n">
        <f aca="false">LEN('Saisie programme'!$J$389)+SUMIFS('Vols additionnels'!$E$7:$E$66,'Vols additionnels'!$C$7:$C$66,$E10218,'Vols additionnels'!$D$7:$D$66,$F10218,'Vols additionnels'!$B$7:$B$66,$D10218)</f>
        <v>0</v>
      </c>
      <c r="H10218" s="135" t="n">
        <f aca="false">$G10218*'Analyse capacite'!$F$8</f>
        <v>0</v>
      </c>
      <c r="I10218" s="135" t="n">
        <f aca="false">$G10218*'Analyse capacite'!$C$8</f>
        <v>0</v>
      </c>
      <c r="J10218" s="135" t="n">
        <f aca="false">$G10218*'Analyse capacite'!$D$8</f>
        <v>0</v>
      </c>
      <c r="K10218" s="135" t="n">
        <f aca="false">$G10218*'Analyse capacite'!$E$8</f>
        <v>0</v>
      </c>
    </row>
    <row r="10219" customFormat="false" ht="15" hidden="false" customHeight="false" outlineLevel="0" collapsed="false">
      <c r="B10219" s="130" t="n">
        <v>2028</v>
      </c>
      <c r="C10219" s="131" t="s">
        <v>255</v>
      </c>
      <c r="D10219" s="132" t="n">
        <v>46761</v>
      </c>
      <c r="E10219" s="131" t="s">
        <v>53</v>
      </c>
      <c r="F10219" s="133" t="s">
        <v>24</v>
      </c>
      <c r="G10219" s="134" t="n">
        <f aca="false">LEN('Saisie programme'!$J$390)+SUMIFS('Vols additionnels'!$E$7:$E$66,'Vols additionnels'!$C$7:$C$66,$E10219,'Vols additionnels'!$D$7:$D$66,$F10219,'Vols additionnels'!$B$7:$B$66,$D10219)</f>
        <v>0</v>
      </c>
      <c r="H10219" s="135" t="n">
        <f aca="false">$G10219*'Analyse capacite'!$F$9</f>
        <v>0</v>
      </c>
      <c r="I10219" s="135" t="n">
        <f aca="false">$G10219*'Analyse capacite'!$C$9</f>
        <v>0</v>
      </c>
      <c r="J10219" s="135" t="n">
        <f aca="false">$G10219*'Analyse capacite'!$D$9</f>
        <v>0</v>
      </c>
      <c r="K10219" s="135" t="n">
        <f aca="false">$G10219*'Analyse capacite'!$E$9</f>
        <v>0</v>
      </c>
    </row>
    <row r="10220" customFormat="false" ht="15" hidden="false" customHeight="false" outlineLevel="0" collapsed="false">
      <c r="B10220" s="130" t="n">
        <v>2028</v>
      </c>
      <c r="C10220" s="131" t="s">
        <v>255</v>
      </c>
      <c r="D10220" s="132" t="n">
        <v>46761</v>
      </c>
      <c r="E10220" s="131" t="s">
        <v>56</v>
      </c>
      <c r="F10220" s="133" t="s">
        <v>11</v>
      </c>
      <c r="G10220" s="134" t="n">
        <f aca="false">LEN('Saisie programme'!$J$391)+SUMIFS('Vols additionnels'!$E$7:$E$66,'Vols additionnels'!$C$7:$C$66,$E10220,'Vols additionnels'!$D$7:$D$66,$F10220,'Vols additionnels'!$B$7:$B$66,$D10220)</f>
        <v>0</v>
      </c>
      <c r="H10220" s="135" t="n">
        <f aca="false">$G10220*'Analyse capacite'!$F$7</f>
        <v>0</v>
      </c>
      <c r="I10220" s="135" t="n">
        <f aca="false">$G10220*'Analyse capacite'!$C$7</f>
        <v>0</v>
      </c>
      <c r="J10220" s="135" t="n">
        <f aca="false">$G10220*'Analyse capacite'!$D$7</f>
        <v>0</v>
      </c>
      <c r="K10220" s="135" t="n">
        <f aca="false">$G10220*'Analyse capacite'!$E$7</f>
        <v>0</v>
      </c>
    </row>
    <row r="10221" customFormat="false" ht="15" hidden="false" customHeight="false" outlineLevel="0" collapsed="false">
      <c r="B10221" s="130" t="n">
        <v>2028</v>
      </c>
      <c r="C10221" s="131" t="s">
        <v>255</v>
      </c>
      <c r="D10221" s="132" t="n">
        <v>46761</v>
      </c>
      <c r="E10221" s="131" t="s">
        <v>56</v>
      </c>
      <c r="F10221" s="133" t="s">
        <v>19</v>
      </c>
      <c r="G10221" s="134" t="n">
        <f aca="false">LEN('Saisie programme'!$J$392)+SUMIFS('Vols additionnels'!$E$7:$E$66,'Vols additionnels'!$C$7:$C$66,$E10221,'Vols additionnels'!$D$7:$D$66,$F10221,'Vols additionnels'!$B$7:$B$66,$D10221)</f>
        <v>0</v>
      </c>
      <c r="H10221" s="135" t="n">
        <f aca="false">$G10221*'Analyse capacite'!$F$8</f>
        <v>0</v>
      </c>
      <c r="I10221" s="135" t="n">
        <f aca="false">$G10221*'Analyse capacite'!$C$8</f>
        <v>0</v>
      </c>
      <c r="J10221" s="135" t="n">
        <f aca="false">$G10221*'Analyse capacite'!$D$8</f>
        <v>0</v>
      </c>
      <c r="K10221" s="135" t="n">
        <f aca="false">$G10221*'Analyse capacite'!$E$8</f>
        <v>0</v>
      </c>
    </row>
    <row r="10222" customFormat="false" ht="15" hidden="false" customHeight="false" outlineLevel="0" collapsed="false">
      <c r="B10222" s="130" t="n">
        <v>2028</v>
      </c>
      <c r="C10222" s="131" t="s">
        <v>255</v>
      </c>
      <c r="D10222" s="132" t="n">
        <v>46761</v>
      </c>
      <c r="E10222" s="131" t="s">
        <v>56</v>
      </c>
      <c r="F10222" s="133" t="s">
        <v>24</v>
      </c>
      <c r="G10222" s="134" t="n">
        <f aca="false">LEN('Saisie programme'!$J$393)+SUMIFS('Vols additionnels'!$E$7:$E$66,'Vols additionnels'!$C$7:$C$66,$E10222,'Vols additionnels'!$D$7:$D$66,$F10222,'Vols additionnels'!$B$7:$B$66,$D10222)</f>
        <v>0</v>
      </c>
      <c r="H10222" s="135" t="n">
        <f aca="false">$G10222*'Analyse capacite'!$F$9</f>
        <v>0</v>
      </c>
      <c r="I10222" s="135" t="n">
        <f aca="false">$G10222*'Analyse capacite'!$C$9</f>
        <v>0</v>
      </c>
      <c r="J10222" s="135" t="n">
        <f aca="false">$G10222*'Analyse capacite'!$D$9</f>
        <v>0</v>
      </c>
      <c r="K10222" s="135" t="n">
        <f aca="false">$G10222*'Analyse capacite'!$E$9</f>
        <v>0</v>
      </c>
    </row>
    <row r="10223" customFormat="false" ht="15" hidden="false" customHeight="false" outlineLevel="0" collapsed="false">
      <c r="B10223" s="130" t="n">
        <v>2028</v>
      </c>
      <c r="C10223" s="131" t="s">
        <v>255</v>
      </c>
      <c r="D10223" s="132" t="n">
        <v>46761</v>
      </c>
      <c r="E10223" s="131" t="s">
        <v>59</v>
      </c>
      <c r="F10223" s="133" t="s">
        <v>11</v>
      </c>
      <c r="G10223" s="134" t="n">
        <f aca="false">LEN('Saisie programme'!$J$394)+SUMIFS('Vols additionnels'!$E$7:$E$66,'Vols additionnels'!$C$7:$C$66,$E10223,'Vols additionnels'!$D$7:$D$66,$F10223,'Vols additionnels'!$B$7:$B$66,$D10223)</f>
        <v>0</v>
      </c>
      <c r="H10223" s="135" t="n">
        <f aca="false">$G10223*'Analyse capacite'!$F$7</f>
        <v>0</v>
      </c>
      <c r="I10223" s="135" t="n">
        <f aca="false">$G10223*'Analyse capacite'!$C$7</f>
        <v>0</v>
      </c>
      <c r="J10223" s="135" t="n">
        <f aca="false">$G10223*'Analyse capacite'!$D$7</f>
        <v>0</v>
      </c>
      <c r="K10223" s="135" t="n">
        <f aca="false">$G10223*'Analyse capacite'!$E$7</f>
        <v>0</v>
      </c>
    </row>
    <row r="10224" customFormat="false" ht="15" hidden="false" customHeight="false" outlineLevel="0" collapsed="false">
      <c r="B10224" s="130" t="n">
        <v>2028</v>
      </c>
      <c r="C10224" s="131" t="s">
        <v>255</v>
      </c>
      <c r="D10224" s="132" t="n">
        <v>46761</v>
      </c>
      <c r="E10224" s="131" t="s">
        <v>59</v>
      </c>
      <c r="F10224" s="133" t="s">
        <v>19</v>
      </c>
      <c r="G10224" s="134" t="n">
        <f aca="false">LEN('Saisie programme'!$J$395)+SUMIFS('Vols additionnels'!$E$7:$E$66,'Vols additionnels'!$C$7:$C$66,$E10224,'Vols additionnels'!$D$7:$D$66,$F10224,'Vols additionnels'!$B$7:$B$66,$D10224)</f>
        <v>0</v>
      </c>
      <c r="H10224" s="135" t="n">
        <f aca="false">$G10224*'Analyse capacite'!$F$8</f>
        <v>0</v>
      </c>
      <c r="I10224" s="135" t="n">
        <f aca="false">$G10224*'Analyse capacite'!$C$8</f>
        <v>0</v>
      </c>
      <c r="J10224" s="135" t="n">
        <f aca="false">$G10224*'Analyse capacite'!$D$8</f>
        <v>0</v>
      </c>
      <c r="K10224" s="135" t="n">
        <f aca="false">$G10224*'Analyse capacite'!$E$8</f>
        <v>0</v>
      </c>
    </row>
    <row r="10225" customFormat="false" ht="15" hidden="false" customHeight="false" outlineLevel="0" collapsed="false">
      <c r="B10225" s="130" t="n">
        <v>2028</v>
      </c>
      <c r="C10225" s="131" t="s">
        <v>255</v>
      </c>
      <c r="D10225" s="132" t="n">
        <v>46761</v>
      </c>
      <c r="E10225" s="131" t="s">
        <v>59</v>
      </c>
      <c r="F10225" s="133" t="s">
        <v>24</v>
      </c>
      <c r="G10225" s="134" t="n">
        <f aca="false">LEN('Saisie programme'!$J$396)+SUMIFS('Vols additionnels'!$E$7:$E$66,'Vols additionnels'!$C$7:$C$66,$E10225,'Vols additionnels'!$D$7:$D$66,$F10225,'Vols additionnels'!$B$7:$B$66,$D10225)</f>
        <v>0</v>
      </c>
      <c r="H10225" s="135" t="n">
        <f aca="false">$G10225*'Analyse capacite'!$F$9</f>
        <v>0</v>
      </c>
      <c r="I10225" s="135" t="n">
        <f aca="false">$G10225*'Analyse capacite'!$C$9</f>
        <v>0</v>
      </c>
      <c r="J10225" s="135" t="n">
        <f aca="false">$G10225*'Analyse capacite'!$D$9</f>
        <v>0</v>
      </c>
      <c r="K10225" s="135" t="n">
        <f aca="false">$G10225*'Analyse capacite'!$E$9</f>
        <v>0</v>
      </c>
    </row>
    <row r="10226" customFormat="false" ht="15" hidden="false" customHeight="false" outlineLevel="0" collapsed="false">
      <c r="B10226" s="130" t="n">
        <v>2028</v>
      </c>
      <c r="C10226" s="131" t="s">
        <v>255</v>
      </c>
      <c r="D10226" s="132" t="n">
        <v>46761</v>
      </c>
      <c r="E10226" s="131" t="s">
        <v>62</v>
      </c>
      <c r="F10226" s="133" t="s">
        <v>11</v>
      </c>
      <c r="G10226" s="134" t="n">
        <f aca="false">LEN('Saisie programme'!$J$397)+SUMIFS('Vols additionnels'!$E$7:$E$66,'Vols additionnels'!$C$7:$C$66,$E10226,'Vols additionnels'!$D$7:$D$66,$F10226,'Vols additionnels'!$B$7:$B$66,$D10226)</f>
        <v>0</v>
      </c>
      <c r="H10226" s="135" t="n">
        <f aca="false">$G10226*'Analyse capacite'!$F$7</f>
        <v>0</v>
      </c>
      <c r="I10226" s="135" t="n">
        <f aca="false">$G10226*'Analyse capacite'!$C$7</f>
        <v>0</v>
      </c>
      <c r="J10226" s="135" t="n">
        <f aca="false">$G10226*'Analyse capacite'!$D$7</f>
        <v>0</v>
      </c>
      <c r="K10226" s="135" t="n">
        <f aca="false">$G10226*'Analyse capacite'!$E$7</f>
        <v>0</v>
      </c>
    </row>
    <row r="10227" customFormat="false" ht="15" hidden="false" customHeight="false" outlineLevel="0" collapsed="false">
      <c r="B10227" s="130" t="n">
        <v>2028</v>
      </c>
      <c r="C10227" s="131" t="s">
        <v>255</v>
      </c>
      <c r="D10227" s="132" t="n">
        <v>46761</v>
      </c>
      <c r="E10227" s="131" t="s">
        <v>62</v>
      </c>
      <c r="F10227" s="133" t="s">
        <v>19</v>
      </c>
      <c r="G10227" s="134" t="n">
        <f aca="false">LEN('Saisie programme'!$J$398)+SUMIFS('Vols additionnels'!$E$7:$E$66,'Vols additionnels'!$C$7:$C$66,$E10227,'Vols additionnels'!$D$7:$D$66,$F10227,'Vols additionnels'!$B$7:$B$66,$D10227)</f>
        <v>0</v>
      </c>
      <c r="H10227" s="135" t="n">
        <f aca="false">$G10227*'Analyse capacite'!$F$8</f>
        <v>0</v>
      </c>
      <c r="I10227" s="135" t="n">
        <f aca="false">$G10227*'Analyse capacite'!$C$8</f>
        <v>0</v>
      </c>
      <c r="J10227" s="135" t="n">
        <f aca="false">$G10227*'Analyse capacite'!$D$8</f>
        <v>0</v>
      </c>
      <c r="K10227" s="135" t="n">
        <f aca="false">$G10227*'Analyse capacite'!$E$8</f>
        <v>0</v>
      </c>
    </row>
    <row r="10228" customFormat="false" ht="15" hidden="false" customHeight="false" outlineLevel="0" collapsed="false">
      <c r="B10228" s="130" t="n">
        <v>2028</v>
      </c>
      <c r="C10228" s="131" t="s">
        <v>255</v>
      </c>
      <c r="D10228" s="132" t="n">
        <v>46761</v>
      </c>
      <c r="E10228" s="131" t="s">
        <v>62</v>
      </c>
      <c r="F10228" s="133" t="s">
        <v>24</v>
      </c>
      <c r="G10228" s="134" t="n">
        <f aca="false">LEN('Saisie programme'!$J$399)+SUMIFS('Vols additionnels'!$E$7:$E$66,'Vols additionnels'!$C$7:$C$66,$E10228,'Vols additionnels'!$D$7:$D$66,$F10228,'Vols additionnels'!$B$7:$B$66,$D10228)</f>
        <v>1</v>
      </c>
      <c r="H10228" s="135" t="n">
        <f aca="false">$G10228*'Analyse capacite'!$F$9</f>
        <v>174</v>
      </c>
      <c r="I10228" s="135" t="n">
        <f aca="false">$G10228*'Analyse capacite'!$C$9</f>
        <v>0</v>
      </c>
      <c r="J10228" s="135" t="n">
        <f aca="false">$G10228*'Analyse capacite'!$D$9</f>
        <v>12</v>
      </c>
      <c r="K10228" s="135" t="n">
        <f aca="false">$G10228*'Analyse capacite'!$E$9</f>
        <v>162</v>
      </c>
    </row>
    <row r="10229" customFormat="false" ht="15" hidden="false" customHeight="false" outlineLevel="0" collapsed="false">
      <c r="B10229" s="130" t="n">
        <v>2028</v>
      </c>
      <c r="C10229" s="131" t="s">
        <v>255</v>
      </c>
      <c r="D10229" s="132" t="n">
        <v>46762</v>
      </c>
      <c r="E10229" s="131" t="s">
        <v>12</v>
      </c>
      <c r="F10229" s="133" t="s">
        <v>11</v>
      </c>
      <c r="G10229" s="134" t="n">
        <f aca="false">LEN('Saisie programme'!$D$364)+SUMIFS('Vols additionnels'!$E$7:$E$66,'Vols additionnels'!$C$7:$C$66,$E10229,'Vols additionnels'!$D$7:$D$66,$F10229,'Vols additionnels'!$B$7:$B$66,$D10229)</f>
        <v>1</v>
      </c>
      <c r="H10229" s="135" t="n">
        <f aca="false">$G10229*'Analyse capacite'!$F$7</f>
        <v>438</v>
      </c>
      <c r="I10229" s="135" t="n">
        <f aca="false">$G10229*'Analyse capacite'!$C$7</f>
        <v>14</v>
      </c>
      <c r="J10229" s="135" t="n">
        <f aca="false">$G10229*'Analyse capacite'!$D$7</f>
        <v>40</v>
      </c>
      <c r="K10229" s="135" t="n">
        <f aca="false">$G10229*'Analyse capacite'!$E$7</f>
        <v>384</v>
      </c>
    </row>
    <row r="10230" customFormat="false" ht="15" hidden="false" customHeight="false" outlineLevel="0" collapsed="false">
      <c r="B10230" s="130" t="n">
        <v>2028</v>
      </c>
      <c r="C10230" s="131" t="s">
        <v>255</v>
      </c>
      <c r="D10230" s="132" t="n">
        <v>46762</v>
      </c>
      <c r="E10230" s="131" t="s">
        <v>12</v>
      </c>
      <c r="F10230" s="133" t="s">
        <v>19</v>
      </c>
      <c r="G10230" s="134" t="n">
        <f aca="false">LEN('Saisie programme'!$D$365)+SUMIFS('Vols additionnels'!$E$7:$E$66,'Vols additionnels'!$C$7:$C$66,$E10230,'Vols additionnels'!$D$7:$D$66,$F10230,'Vols additionnels'!$B$7:$B$66,$D10230)</f>
        <v>1</v>
      </c>
      <c r="H10230" s="135" t="n">
        <f aca="false">$G10230*'Analyse capacite'!$F$8</f>
        <v>262</v>
      </c>
      <c r="I10230" s="135" t="n">
        <f aca="false">$G10230*'Analyse capacite'!$C$8</f>
        <v>18</v>
      </c>
      <c r="J10230" s="135" t="n">
        <f aca="false">$G10230*'Analyse capacite'!$D$8</f>
        <v>0</v>
      </c>
      <c r="K10230" s="135" t="n">
        <f aca="false">$G10230*'Analyse capacite'!$E$8</f>
        <v>244</v>
      </c>
    </row>
    <row r="10231" customFormat="false" ht="15" hidden="false" customHeight="false" outlineLevel="0" collapsed="false">
      <c r="B10231" s="130" t="n">
        <v>2028</v>
      </c>
      <c r="C10231" s="131" t="s">
        <v>255</v>
      </c>
      <c r="D10231" s="132" t="n">
        <v>46762</v>
      </c>
      <c r="E10231" s="131" t="s">
        <v>12</v>
      </c>
      <c r="F10231" s="133" t="s">
        <v>24</v>
      </c>
      <c r="G10231" s="134" t="n">
        <f aca="false">LEN('Saisie programme'!$D$366)+SUMIFS('Vols additionnels'!$E$7:$E$66,'Vols additionnels'!$C$7:$C$66,$E10231,'Vols additionnels'!$D$7:$D$66,$F10231,'Vols additionnels'!$B$7:$B$66,$D10231)</f>
        <v>2</v>
      </c>
      <c r="H10231" s="135" t="n">
        <f aca="false">$G10231*'Analyse capacite'!$F$9</f>
        <v>348</v>
      </c>
      <c r="I10231" s="135" t="n">
        <f aca="false">$G10231*'Analyse capacite'!$C$9</f>
        <v>0</v>
      </c>
      <c r="J10231" s="135" t="n">
        <f aca="false">$G10231*'Analyse capacite'!$D$9</f>
        <v>24</v>
      </c>
      <c r="K10231" s="135" t="n">
        <f aca="false">$G10231*'Analyse capacite'!$E$9</f>
        <v>324</v>
      </c>
    </row>
    <row r="10232" customFormat="false" ht="15" hidden="false" customHeight="false" outlineLevel="0" collapsed="false">
      <c r="B10232" s="130" t="n">
        <v>2028</v>
      </c>
      <c r="C10232" s="131" t="s">
        <v>255</v>
      </c>
      <c r="D10232" s="132" t="n">
        <v>46762</v>
      </c>
      <c r="E10232" s="131" t="s">
        <v>20</v>
      </c>
      <c r="F10232" s="133" t="s">
        <v>11</v>
      </c>
      <c r="G10232" s="134" t="n">
        <f aca="false">LEN('Saisie programme'!$D$367)+SUMIFS('Vols additionnels'!$E$7:$E$66,'Vols additionnels'!$C$7:$C$66,$E10232,'Vols additionnels'!$D$7:$D$66,$F10232,'Vols additionnels'!$B$7:$B$66,$D10232)</f>
        <v>0</v>
      </c>
      <c r="H10232" s="135" t="n">
        <f aca="false">$G10232*'Analyse capacite'!$F$7</f>
        <v>0</v>
      </c>
      <c r="I10232" s="135" t="n">
        <f aca="false">$G10232*'Analyse capacite'!$C$7</f>
        <v>0</v>
      </c>
      <c r="J10232" s="135" t="n">
        <f aca="false">$G10232*'Analyse capacite'!$D$7</f>
        <v>0</v>
      </c>
      <c r="K10232" s="135" t="n">
        <f aca="false">$G10232*'Analyse capacite'!$E$7</f>
        <v>0</v>
      </c>
    </row>
    <row r="10233" customFormat="false" ht="15" hidden="false" customHeight="false" outlineLevel="0" collapsed="false">
      <c r="B10233" s="130" t="n">
        <v>2028</v>
      </c>
      <c r="C10233" s="131" t="s">
        <v>255</v>
      </c>
      <c r="D10233" s="132" t="n">
        <v>46762</v>
      </c>
      <c r="E10233" s="131" t="s">
        <v>20</v>
      </c>
      <c r="F10233" s="133" t="s">
        <v>19</v>
      </c>
      <c r="G10233" s="134" t="n">
        <f aca="false">LEN('Saisie programme'!$D$368)+SUMIFS('Vols additionnels'!$E$7:$E$66,'Vols additionnels'!$C$7:$C$66,$E10233,'Vols additionnels'!$D$7:$D$66,$F10233,'Vols additionnels'!$B$7:$B$66,$D10233)</f>
        <v>0</v>
      </c>
      <c r="H10233" s="135" t="n">
        <f aca="false">$G10233*'Analyse capacite'!$F$8</f>
        <v>0</v>
      </c>
      <c r="I10233" s="135" t="n">
        <f aca="false">$G10233*'Analyse capacite'!$C$8</f>
        <v>0</v>
      </c>
      <c r="J10233" s="135" t="n">
        <f aca="false">$G10233*'Analyse capacite'!$D$8</f>
        <v>0</v>
      </c>
      <c r="K10233" s="135" t="n">
        <f aca="false">$G10233*'Analyse capacite'!$E$8</f>
        <v>0</v>
      </c>
    </row>
    <row r="10234" customFormat="false" ht="15" hidden="false" customHeight="false" outlineLevel="0" collapsed="false">
      <c r="B10234" s="130" t="n">
        <v>2028</v>
      </c>
      <c r="C10234" s="131" t="s">
        <v>255</v>
      </c>
      <c r="D10234" s="132" t="n">
        <v>46762</v>
      </c>
      <c r="E10234" s="131" t="s">
        <v>20</v>
      </c>
      <c r="F10234" s="133" t="s">
        <v>24</v>
      </c>
      <c r="G10234" s="134" t="n">
        <f aca="false">LEN('Saisie programme'!$D$369)+SUMIFS('Vols additionnels'!$E$7:$E$66,'Vols additionnels'!$C$7:$C$66,$E10234,'Vols additionnels'!$D$7:$D$66,$F10234,'Vols additionnels'!$B$7:$B$66,$D10234)</f>
        <v>0</v>
      </c>
      <c r="H10234" s="135" t="n">
        <f aca="false">$G10234*'Analyse capacite'!$F$9</f>
        <v>0</v>
      </c>
      <c r="I10234" s="135" t="n">
        <f aca="false">$G10234*'Analyse capacite'!$C$9</f>
        <v>0</v>
      </c>
      <c r="J10234" s="135" t="n">
        <f aca="false">$G10234*'Analyse capacite'!$D$9</f>
        <v>0</v>
      </c>
      <c r="K10234" s="135" t="n">
        <f aca="false">$G10234*'Analyse capacite'!$E$9</f>
        <v>0</v>
      </c>
    </row>
    <row r="10235" customFormat="false" ht="15" hidden="false" customHeight="false" outlineLevel="0" collapsed="false">
      <c r="B10235" s="130" t="n">
        <v>2028</v>
      </c>
      <c r="C10235" s="131" t="s">
        <v>255</v>
      </c>
      <c r="D10235" s="132" t="n">
        <v>46762</v>
      </c>
      <c r="E10235" s="131" t="s">
        <v>25</v>
      </c>
      <c r="F10235" s="133" t="s">
        <v>11</v>
      </c>
      <c r="G10235" s="134" t="n">
        <f aca="false">LEN('Saisie programme'!$D$370)+SUMIFS('Vols additionnels'!$E$7:$E$66,'Vols additionnels'!$C$7:$C$66,$E10235,'Vols additionnels'!$D$7:$D$66,$F10235,'Vols additionnels'!$B$7:$B$66,$D10235)</f>
        <v>0</v>
      </c>
      <c r="H10235" s="135" t="n">
        <f aca="false">$G10235*'Analyse capacite'!$F$7</f>
        <v>0</v>
      </c>
      <c r="I10235" s="135" t="n">
        <f aca="false">$G10235*'Analyse capacite'!$C$7</f>
        <v>0</v>
      </c>
      <c r="J10235" s="135" t="n">
        <f aca="false">$G10235*'Analyse capacite'!$D$7</f>
        <v>0</v>
      </c>
      <c r="K10235" s="135" t="n">
        <f aca="false">$G10235*'Analyse capacite'!$E$7</f>
        <v>0</v>
      </c>
    </row>
    <row r="10236" customFormat="false" ht="15" hidden="false" customHeight="false" outlineLevel="0" collapsed="false">
      <c r="B10236" s="130" t="n">
        <v>2028</v>
      </c>
      <c r="C10236" s="131" t="s">
        <v>255</v>
      </c>
      <c r="D10236" s="132" t="n">
        <v>46762</v>
      </c>
      <c r="E10236" s="131" t="s">
        <v>25</v>
      </c>
      <c r="F10236" s="133" t="s">
        <v>19</v>
      </c>
      <c r="G10236" s="134" t="n">
        <f aca="false">LEN('Saisie programme'!$D$371)+SUMIFS('Vols additionnels'!$E$7:$E$66,'Vols additionnels'!$C$7:$C$66,$E10236,'Vols additionnels'!$D$7:$D$66,$F10236,'Vols additionnels'!$B$7:$B$66,$D10236)</f>
        <v>0</v>
      </c>
      <c r="H10236" s="135" t="n">
        <f aca="false">$G10236*'Analyse capacite'!$F$8</f>
        <v>0</v>
      </c>
      <c r="I10236" s="135" t="n">
        <f aca="false">$G10236*'Analyse capacite'!$C$8</f>
        <v>0</v>
      </c>
      <c r="J10236" s="135" t="n">
        <f aca="false">$G10236*'Analyse capacite'!$D$8</f>
        <v>0</v>
      </c>
      <c r="K10236" s="135" t="n">
        <f aca="false">$G10236*'Analyse capacite'!$E$8</f>
        <v>0</v>
      </c>
    </row>
    <row r="10237" customFormat="false" ht="15" hidden="false" customHeight="false" outlineLevel="0" collapsed="false">
      <c r="B10237" s="130" t="n">
        <v>2028</v>
      </c>
      <c r="C10237" s="131" t="s">
        <v>255</v>
      </c>
      <c r="D10237" s="132" t="n">
        <v>46762</v>
      </c>
      <c r="E10237" s="131" t="s">
        <v>25</v>
      </c>
      <c r="F10237" s="133" t="s">
        <v>24</v>
      </c>
      <c r="G10237" s="134" t="n">
        <f aca="false">LEN('Saisie programme'!$D$372)+SUMIFS('Vols additionnels'!$E$7:$E$66,'Vols additionnels'!$C$7:$C$66,$E10237,'Vols additionnels'!$D$7:$D$66,$F10237,'Vols additionnels'!$B$7:$B$66,$D10237)</f>
        <v>0</v>
      </c>
      <c r="H10237" s="135" t="n">
        <f aca="false">$G10237*'Analyse capacite'!$F$9</f>
        <v>0</v>
      </c>
      <c r="I10237" s="135" t="n">
        <f aca="false">$G10237*'Analyse capacite'!$C$9</f>
        <v>0</v>
      </c>
      <c r="J10237" s="135" t="n">
        <f aca="false">$G10237*'Analyse capacite'!$D$9</f>
        <v>0</v>
      </c>
      <c r="K10237" s="135" t="n">
        <f aca="false">$G10237*'Analyse capacite'!$E$9</f>
        <v>0</v>
      </c>
    </row>
    <row r="10238" customFormat="false" ht="15" hidden="false" customHeight="false" outlineLevel="0" collapsed="false">
      <c r="B10238" s="130" t="n">
        <v>2028</v>
      </c>
      <c r="C10238" s="131" t="s">
        <v>255</v>
      </c>
      <c r="D10238" s="132" t="n">
        <v>46762</v>
      </c>
      <c r="E10238" s="131" t="s">
        <v>36</v>
      </c>
      <c r="F10238" s="133" t="s">
        <v>11</v>
      </c>
      <c r="G10238" s="134" t="n">
        <f aca="false">LEN('Saisie programme'!$D$373)+SUMIFS('Vols additionnels'!$E$7:$E$66,'Vols additionnels'!$C$7:$C$66,$E10238,'Vols additionnels'!$D$7:$D$66,$F10238,'Vols additionnels'!$B$7:$B$66,$D10238)</f>
        <v>0</v>
      </c>
      <c r="H10238" s="135" t="n">
        <f aca="false">$G10238*'Analyse capacite'!$F$7</f>
        <v>0</v>
      </c>
      <c r="I10238" s="135" t="n">
        <f aca="false">$G10238*'Analyse capacite'!$C$7</f>
        <v>0</v>
      </c>
      <c r="J10238" s="135" t="n">
        <f aca="false">$G10238*'Analyse capacite'!$D$7</f>
        <v>0</v>
      </c>
      <c r="K10238" s="135" t="n">
        <f aca="false">$G10238*'Analyse capacite'!$E$7</f>
        <v>0</v>
      </c>
    </row>
    <row r="10239" customFormat="false" ht="15" hidden="false" customHeight="false" outlineLevel="0" collapsed="false">
      <c r="B10239" s="130" t="n">
        <v>2028</v>
      </c>
      <c r="C10239" s="131" t="s">
        <v>255</v>
      </c>
      <c r="D10239" s="132" t="n">
        <v>46762</v>
      </c>
      <c r="E10239" s="131" t="s">
        <v>36</v>
      </c>
      <c r="F10239" s="133" t="s">
        <v>19</v>
      </c>
      <c r="G10239" s="134" t="n">
        <f aca="false">LEN('Saisie programme'!$D$374)+SUMIFS('Vols additionnels'!$E$7:$E$66,'Vols additionnels'!$C$7:$C$66,$E10239,'Vols additionnels'!$D$7:$D$66,$F10239,'Vols additionnels'!$B$7:$B$66,$D10239)</f>
        <v>0</v>
      </c>
      <c r="H10239" s="135" t="n">
        <f aca="false">$G10239*'Analyse capacite'!$F$8</f>
        <v>0</v>
      </c>
      <c r="I10239" s="135" t="n">
        <f aca="false">$G10239*'Analyse capacite'!$C$8</f>
        <v>0</v>
      </c>
      <c r="J10239" s="135" t="n">
        <f aca="false">$G10239*'Analyse capacite'!$D$8</f>
        <v>0</v>
      </c>
      <c r="K10239" s="135" t="n">
        <f aca="false">$G10239*'Analyse capacite'!$E$8</f>
        <v>0</v>
      </c>
    </row>
    <row r="10240" customFormat="false" ht="15" hidden="false" customHeight="false" outlineLevel="0" collapsed="false">
      <c r="B10240" s="130" t="n">
        <v>2028</v>
      </c>
      <c r="C10240" s="131" t="s">
        <v>255</v>
      </c>
      <c r="D10240" s="132" t="n">
        <v>46762</v>
      </c>
      <c r="E10240" s="131" t="s">
        <v>36</v>
      </c>
      <c r="F10240" s="133" t="s">
        <v>24</v>
      </c>
      <c r="G10240" s="134" t="n">
        <f aca="false">LEN('Saisie programme'!$D$375)+SUMIFS('Vols additionnels'!$E$7:$E$66,'Vols additionnels'!$C$7:$C$66,$E10240,'Vols additionnels'!$D$7:$D$66,$F10240,'Vols additionnels'!$B$7:$B$66,$D10240)</f>
        <v>1</v>
      </c>
      <c r="H10240" s="135" t="n">
        <f aca="false">$G10240*'Analyse capacite'!$F$9</f>
        <v>174</v>
      </c>
      <c r="I10240" s="135" t="n">
        <f aca="false">$G10240*'Analyse capacite'!$C$9</f>
        <v>0</v>
      </c>
      <c r="J10240" s="135" t="n">
        <f aca="false">$G10240*'Analyse capacite'!$D$9</f>
        <v>12</v>
      </c>
      <c r="K10240" s="135" t="n">
        <f aca="false">$G10240*'Analyse capacite'!$E$9</f>
        <v>162</v>
      </c>
    </row>
    <row r="10241" customFormat="false" ht="15" hidden="false" customHeight="false" outlineLevel="0" collapsed="false">
      <c r="B10241" s="130" t="n">
        <v>2028</v>
      </c>
      <c r="C10241" s="131" t="s">
        <v>255</v>
      </c>
      <c r="D10241" s="132" t="n">
        <v>46762</v>
      </c>
      <c r="E10241" s="131" t="s">
        <v>40</v>
      </c>
      <c r="F10241" s="133" t="s">
        <v>11</v>
      </c>
      <c r="G10241" s="134" t="n">
        <f aca="false">LEN('Saisie programme'!$D$376)+SUMIFS('Vols additionnels'!$E$7:$E$66,'Vols additionnels'!$C$7:$C$66,$E10241,'Vols additionnels'!$D$7:$D$66,$F10241,'Vols additionnels'!$B$7:$B$66,$D10241)</f>
        <v>0</v>
      </c>
      <c r="H10241" s="135" t="n">
        <f aca="false">$G10241*'Analyse capacite'!$F$7</f>
        <v>0</v>
      </c>
      <c r="I10241" s="135" t="n">
        <f aca="false">$G10241*'Analyse capacite'!$C$7</f>
        <v>0</v>
      </c>
      <c r="J10241" s="135" t="n">
        <f aca="false">$G10241*'Analyse capacite'!$D$7</f>
        <v>0</v>
      </c>
      <c r="K10241" s="135" t="n">
        <f aca="false">$G10241*'Analyse capacite'!$E$7</f>
        <v>0</v>
      </c>
    </row>
    <row r="10242" customFormat="false" ht="15" hidden="false" customHeight="false" outlineLevel="0" collapsed="false">
      <c r="B10242" s="130" t="n">
        <v>2028</v>
      </c>
      <c r="C10242" s="131" t="s">
        <v>255</v>
      </c>
      <c r="D10242" s="132" t="n">
        <v>46762</v>
      </c>
      <c r="E10242" s="131" t="s">
        <v>40</v>
      </c>
      <c r="F10242" s="133" t="s">
        <v>19</v>
      </c>
      <c r="G10242" s="134" t="n">
        <f aca="false">LEN('Saisie programme'!$D$377)+SUMIFS('Vols additionnels'!$E$7:$E$66,'Vols additionnels'!$C$7:$C$66,$E10242,'Vols additionnels'!$D$7:$D$66,$F10242,'Vols additionnels'!$B$7:$B$66,$D10242)</f>
        <v>0</v>
      </c>
      <c r="H10242" s="135" t="n">
        <f aca="false">$G10242*'Analyse capacite'!$F$8</f>
        <v>0</v>
      </c>
      <c r="I10242" s="135" t="n">
        <f aca="false">$G10242*'Analyse capacite'!$C$8</f>
        <v>0</v>
      </c>
      <c r="J10242" s="135" t="n">
        <f aca="false">$G10242*'Analyse capacite'!$D$8</f>
        <v>0</v>
      </c>
      <c r="K10242" s="135" t="n">
        <f aca="false">$G10242*'Analyse capacite'!$E$8</f>
        <v>0</v>
      </c>
    </row>
    <row r="10243" customFormat="false" ht="15" hidden="false" customHeight="false" outlineLevel="0" collapsed="false">
      <c r="B10243" s="130" t="n">
        <v>2028</v>
      </c>
      <c r="C10243" s="131" t="s">
        <v>255</v>
      </c>
      <c r="D10243" s="132" t="n">
        <v>46762</v>
      </c>
      <c r="E10243" s="131" t="s">
        <v>40</v>
      </c>
      <c r="F10243" s="133" t="s">
        <v>24</v>
      </c>
      <c r="G10243" s="134" t="n">
        <f aca="false">LEN('Saisie programme'!$D$378)+SUMIFS('Vols additionnels'!$E$7:$E$66,'Vols additionnels'!$C$7:$C$66,$E10243,'Vols additionnels'!$D$7:$D$66,$F10243,'Vols additionnels'!$B$7:$B$66,$D10243)</f>
        <v>1</v>
      </c>
      <c r="H10243" s="135" t="n">
        <f aca="false">$G10243*'Analyse capacite'!$F$9</f>
        <v>174</v>
      </c>
      <c r="I10243" s="135" t="n">
        <f aca="false">$G10243*'Analyse capacite'!$C$9</f>
        <v>0</v>
      </c>
      <c r="J10243" s="135" t="n">
        <f aca="false">$G10243*'Analyse capacite'!$D$9</f>
        <v>12</v>
      </c>
      <c r="K10243" s="135" t="n">
        <f aca="false">$G10243*'Analyse capacite'!$E$9</f>
        <v>162</v>
      </c>
    </row>
    <row r="10244" customFormat="false" ht="15" hidden="false" customHeight="false" outlineLevel="0" collapsed="false">
      <c r="B10244" s="130" t="n">
        <v>2028</v>
      </c>
      <c r="C10244" s="131" t="s">
        <v>255</v>
      </c>
      <c r="D10244" s="132" t="n">
        <v>46762</v>
      </c>
      <c r="E10244" s="131" t="s">
        <v>14</v>
      </c>
      <c r="F10244" s="133" t="s">
        <v>11</v>
      </c>
      <c r="G10244" s="134" t="n">
        <f aca="false">LEN('Saisie programme'!$D$379)+SUMIFS('Vols additionnels'!$E$7:$E$66,'Vols additionnels'!$C$7:$C$66,$E10244,'Vols additionnels'!$D$7:$D$66,$F10244,'Vols additionnels'!$B$7:$B$66,$D10244)</f>
        <v>0</v>
      </c>
      <c r="H10244" s="135" t="n">
        <f aca="false">$G10244*'Analyse capacite'!$F$7</f>
        <v>0</v>
      </c>
      <c r="I10244" s="135" t="n">
        <f aca="false">$G10244*'Analyse capacite'!$C$7</f>
        <v>0</v>
      </c>
      <c r="J10244" s="135" t="n">
        <f aca="false">$G10244*'Analyse capacite'!$D$7</f>
        <v>0</v>
      </c>
      <c r="K10244" s="135" t="n">
        <f aca="false">$G10244*'Analyse capacite'!$E$7</f>
        <v>0</v>
      </c>
    </row>
    <row r="10245" customFormat="false" ht="15" hidden="false" customHeight="false" outlineLevel="0" collapsed="false">
      <c r="B10245" s="130" t="n">
        <v>2028</v>
      </c>
      <c r="C10245" s="131" t="s">
        <v>255</v>
      </c>
      <c r="D10245" s="132" t="n">
        <v>46762</v>
      </c>
      <c r="E10245" s="131" t="s">
        <v>14</v>
      </c>
      <c r="F10245" s="133" t="s">
        <v>19</v>
      </c>
      <c r="G10245" s="134" t="n">
        <f aca="false">LEN('Saisie programme'!$D$380)+SUMIFS('Vols additionnels'!$E$7:$E$66,'Vols additionnels'!$C$7:$C$66,$E10245,'Vols additionnels'!$D$7:$D$66,$F10245,'Vols additionnels'!$B$7:$B$66,$D10245)</f>
        <v>0</v>
      </c>
      <c r="H10245" s="135" t="n">
        <f aca="false">$G10245*'Analyse capacite'!$F$8</f>
        <v>0</v>
      </c>
      <c r="I10245" s="135" t="n">
        <f aca="false">$G10245*'Analyse capacite'!$C$8</f>
        <v>0</v>
      </c>
      <c r="J10245" s="135" t="n">
        <f aca="false">$G10245*'Analyse capacite'!$D$8</f>
        <v>0</v>
      </c>
      <c r="K10245" s="135" t="n">
        <f aca="false">$G10245*'Analyse capacite'!$E$8</f>
        <v>0</v>
      </c>
    </row>
    <row r="10246" customFormat="false" ht="15" hidden="false" customHeight="false" outlineLevel="0" collapsed="false">
      <c r="B10246" s="130" t="n">
        <v>2028</v>
      </c>
      <c r="C10246" s="131" t="s">
        <v>255</v>
      </c>
      <c r="D10246" s="132" t="n">
        <v>46762</v>
      </c>
      <c r="E10246" s="131" t="s">
        <v>14</v>
      </c>
      <c r="F10246" s="133" t="s">
        <v>24</v>
      </c>
      <c r="G10246" s="134" t="n">
        <f aca="false">LEN('Saisie programme'!$D$381)+SUMIFS('Vols additionnels'!$E$7:$E$66,'Vols additionnels'!$C$7:$C$66,$E10246,'Vols additionnels'!$D$7:$D$66,$F10246,'Vols additionnels'!$B$7:$B$66,$D10246)</f>
        <v>1</v>
      </c>
      <c r="H10246" s="135" t="n">
        <f aca="false">$G10246*'Analyse capacite'!$F$9</f>
        <v>174</v>
      </c>
      <c r="I10246" s="135" t="n">
        <f aca="false">$G10246*'Analyse capacite'!$C$9</f>
        <v>0</v>
      </c>
      <c r="J10246" s="135" t="n">
        <f aca="false">$G10246*'Analyse capacite'!$D$9</f>
        <v>12</v>
      </c>
      <c r="K10246" s="135" t="n">
        <f aca="false">$G10246*'Analyse capacite'!$E$9</f>
        <v>162</v>
      </c>
    </row>
    <row r="10247" customFormat="false" ht="15" hidden="false" customHeight="false" outlineLevel="0" collapsed="false">
      <c r="B10247" s="130" t="n">
        <v>2028</v>
      </c>
      <c r="C10247" s="131" t="s">
        <v>255</v>
      </c>
      <c r="D10247" s="132" t="n">
        <v>46762</v>
      </c>
      <c r="E10247" s="131" t="s">
        <v>46</v>
      </c>
      <c r="F10247" s="133" t="s">
        <v>11</v>
      </c>
      <c r="G10247" s="134" t="n">
        <f aca="false">LEN('Saisie programme'!$D$382)+SUMIFS('Vols additionnels'!$E$7:$E$66,'Vols additionnels'!$C$7:$C$66,$E10247,'Vols additionnels'!$D$7:$D$66,$F10247,'Vols additionnels'!$B$7:$B$66,$D10247)</f>
        <v>0</v>
      </c>
      <c r="H10247" s="135" t="n">
        <f aca="false">$G10247*'Analyse capacite'!$F$7</f>
        <v>0</v>
      </c>
      <c r="I10247" s="135" t="n">
        <f aca="false">$G10247*'Analyse capacite'!$C$7</f>
        <v>0</v>
      </c>
      <c r="J10247" s="135" t="n">
        <f aca="false">$G10247*'Analyse capacite'!$D$7</f>
        <v>0</v>
      </c>
      <c r="K10247" s="135" t="n">
        <f aca="false">$G10247*'Analyse capacite'!$E$7</f>
        <v>0</v>
      </c>
    </row>
    <row r="10248" customFormat="false" ht="15" hidden="false" customHeight="false" outlineLevel="0" collapsed="false">
      <c r="B10248" s="130" t="n">
        <v>2028</v>
      </c>
      <c r="C10248" s="131" t="s">
        <v>255</v>
      </c>
      <c r="D10248" s="132" t="n">
        <v>46762</v>
      </c>
      <c r="E10248" s="131" t="s">
        <v>46</v>
      </c>
      <c r="F10248" s="133" t="s">
        <v>19</v>
      </c>
      <c r="G10248" s="134" t="n">
        <f aca="false">LEN('Saisie programme'!$D$383)+SUMIFS('Vols additionnels'!$E$7:$E$66,'Vols additionnels'!$C$7:$C$66,$E10248,'Vols additionnels'!$D$7:$D$66,$F10248,'Vols additionnels'!$B$7:$B$66,$D10248)</f>
        <v>0</v>
      </c>
      <c r="H10248" s="135" t="n">
        <f aca="false">$G10248*'Analyse capacite'!$F$8</f>
        <v>0</v>
      </c>
      <c r="I10248" s="135" t="n">
        <f aca="false">$G10248*'Analyse capacite'!$C$8</f>
        <v>0</v>
      </c>
      <c r="J10248" s="135" t="n">
        <f aca="false">$G10248*'Analyse capacite'!$D$8</f>
        <v>0</v>
      </c>
      <c r="K10248" s="135" t="n">
        <f aca="false">$G10248*'Analyse capacite'!$E$8</f>
        <v>0</v>
      </c>
    </row>
    <row r="10249" customFormat="false" ht="15" hidden="false" customHeight="false" outlineLevel="0" collapsed="false">
      <c r="B10249" s="130" t="n">
        <v>2028</v>
      </c>
      <c r="C10249" s="131" t="s">
        <v>255</v>
      </c>
      <c r="D10249" s="132" t="n">
        <v>46762</v>
      </c>
      <c r="E10249" s="131" t="s">
        <v>46</v>
      </c>
      <c r="F10249" s="133" t="s">
        <v>24</v>
      </c>
      <c r="G10249" s="134" t="n">
        <f aca="false">LEN('Saisie programme'!$D$384)+SUMIFS('Vols additionnels'!$E$7:$E$66,'Vols additionnels'!$C$7:$C$66,$E10249,'Vols additionnels'!$D$7:$D$66,$F10249,'Vols additionnels'!$B$7:$B$66,$D10249)</f>
        <v>0</v>
      </c>
      <c r="H10249" s="135" t="n">
        <f aca="false">$G10249*'Analyse capacite'!$F$9</f>
        <v>0</v>
      </c>
      <c r="I10249" s="135" t="n">
        <f aca="false">$G10249*'Analyse capacite'!$C$9</f>
        <v>0</v>
      </c>
      <c r="J10249" s="135" t="n">
        <f aca="false">$G10249*'Analyse capacite'!$D$9</f>
        <v>0</v>
      </c>
      <c r="K10249" s="135" t="n">
        <f aca="false">$G10249*'Analyse capacite'!$E$9</f>
        <v>0</v>
      </c>
    </row>
    <row r="10250" customFormat="false" ht="15" hidden="false" customHeight="false" outlineLevel="0" collapsed="false">
      <c r="B10250" s="130" t="n">
        <v>2028</v>
      </c>
      <c r="C10250" s="131" t="s">
        <v>255</v>
      </c>
      <c r="D10250" s="132" t="n">
        <v>46762</v>
      </c>
      <c r="E10250" s="131" t="s">
        <v>49</v>
      </c>
      <c r="F10250" s="133" t="s">
        <v>11</v>
      </c>
      <c r="G10250" s="134" t="n">
        <f aca="false">LEN('Saisie programme'!$D$385)+SUMIFS('Vols additionnels'!$E$7:$E$66,'Vols additionnels'!$C$7:$C$66,$E10250,'Vols additionnels'!$D$7:$D$66,$F10250,'Vols additionnels'!$B$7:$B$66,$D10250)</f>
        <v>0</v>
      </c>
      <c r="H10250" s="135" t="n">
        <f aca="false">$G10250*'Analyse capacite'!$F$7</f>
        <v>0</v>
      </c>
      <c r="I10250" s="135" t="n">
        <f aca="false">$G10250*'Analyse capacite'!$C$7</f>
        <v>0</v>
      </c>
      <c r="J10250" s="135" t="n">
        <f aca="false">$G10250*'Analyse capacite'!$D$7</f>
        <v>0</v>
      </c>
      <c r="K10250" s="135" t="n">
        <f aca="false">$G10250*'Analyse capacite'!$E$7</f>
        <v>0</v>
      </c>
    </row>
    <row r="10251" customFormat="false" ht="15" hidden="false" customHeight="false" outlineLevel="0" collapsed="false">
      <c r="B10251" s="130" t="n">
        <v>2028</v>
      </c>
      <c r="C10251" s="131" t="s">
        <v>255</v>
      </c>
      <c r="D10251" s="132" t="n">
        <v>46762</v>
      </c>
      <c r="E10251" s="131" t="s">
        <v>49</v>
      </c>
      <c r="F10251" s="133" t="s">
        <v>19</v>
      </c>
      <c r="G10251" s="134" t="n">
        <f aca="false">LEN('Saisie programme'!$D$386)+SUMIFS('Vols additionnels'!$E$7:$E$66,'Vols additionnels'!$C$7:$C$66,$E10251,'Vols additionnels'!$D$7:$D$66,$F10251,'Vols additionnels'!$B$7:$B$66,$D10251)</f>
        <v>1</v>
      </c>
      <c r="H10251" s="135" t="n">
        <f aca="false">$G10251*'Analyse capacite'!$F$8</f>
        <v>262</v>
      </c>
      <c r="I10251" s="135" t="n">
        <f aca="false">$G10251*'Analyse capacite'!$C$8</f>
        <v>18</v>
      </c>
      <c r="J10251" s="135" t="n">
        <f aca="false">$G10251*'Analyse capacite'!$D$8</f>
        <v>0</v>
      </c>
      <c r="K10251" s="135" t="n">
        <f aca="false">$G10251*'Analyse capacite'!$E$8</f>
        <v>244</v>
      </c>
    </row>
    <row r="10252" customFormat="false" ht="15" hidden="false" customHeight="false" outlineLevel="0" collapsed="false">
      <c r="B10252" s="130" t="n">
        <v>2028</v>
      </c>
      <c r="C10252" s="131" t="s">
        <v>255</v>
      </c>
      <c r="D10252" s="132" t="n">
        <v>46762</v>
      </c>
      <c r="E10252" s="131" t="s">
        <v>49</v>
      </c>
      <c r="F10252" s="133" t="s">
        <v>24</v>
      </c>
      <c r="G10252" s="134" t="n">
        <f aca="false">LEN('Saisie programme'!$D$387)+SUMIFS('Vols additionnels'!$E$7:$E$66,'Vols additionnels'!$C$7:$C$66,$E10252,'Vols additionnels'!$D$7:$D$66,$F10252,'Vols additionnels'!$B$7:$B$66,$D10252)</f>
        <v>0</v>
      </c>
      <c r="H10252" s="135" t="n">
        <f aca="false">$G10252*'Analyse capacite'!$F$9</f>
        <v>0</v>
      </c>
      <c r="I10252" s="135" t="n">
        <f aca="false">$G10252*'Analyse capacite'!$C$9</f>
        <v>0</v>
      </c>
      <c r="J10252" s="135" t="n">
        <f aca="false">$G10252*'Analyse capacite'!$D$9</f>
        <v>0</v>
      </c>
      <c r="K10252" s="135" t="n">
        <f aca="false">$G10252*'Analyse capacite'!$E$9</f>
        <v>0</v>
      </c>
    </row>
    <row r="10253" customFormat="false" ht="15" hidden="false" customHeight="false" outlineLevel="0" collapsed="false">
      <c r="B10253" s="130" t="n">
        <v>2028</v>
      </c>
      <c r="C10253" s="131" t="s">
        <v>255</v>
      </c>
      <c r="D10253" s="132" t="n">
        <v>46762</v>
      </c>
      <c r="E10253" s="131" t="s">
        <v>53</v>
      </c>
      <c r="F10253" s="133" t="s">
        <v>11</v>
      </c>
      <c r="G10253" s="134" t="n">
        <f aca="false">LEN('Saisie programme'!$D$388)+SUMIFS('Vols additionnels'!$E$7:$E$66,'Vols additionnels'!$C$7:$C$66,$E10253,'Vols additionnels'!$D$7:$D$66,$F10253,'Vols additionnels'!$B$7:$B$66,$D10253)</f>
        <v>0</v>
      </c>
      <c r="H10253" s="135" t="n">
        <f aca="false">$G10253*'Analyse capacite'!$F$7</f>
        <v>0</v>
      </c>
      <c r="I10253" s="135" t="n">
        <f aca="false">$G10253*'Analyse capacite'!$C$7</f>
        <v>0</v>
      </c>
      <c r="J10253" s="135" t="n">
        <f aca="false">$G10253*'Analyse capacite'!$D$7</f>
        <v>0</v>
      </c>
      <c r="K10253" s="135" t="n">
        <f aca="false">$G10253*'Analyse capacite'!$E$7</f>
        <v>0</v>
      </c>
    </row>
    <row r="10254" customFormat="false" ht="15" hidden="false" customHeight="false" outlineLevel="0" collapsed="false">
      <c r="B10254" s="130" t="n">
        <v>2028</v>
      </c>
      <c r="C10254" s="131" t="s">
        <v>255</v>
      </c>
      <c r="D10254" s="132" t="n">
        <v>46762</v>
      </c>
      <c r="E10254" s="131" t="s">
        <v>53</v>
      </c>
      <c r="F10254" s="133" t="s">
        <v>19</v>
      </c>
      <c r="G10254" s="134" t="n">
        <f aca="false">LEN('Saisie programme'!$D$389)+SUMIFS('Vols additionnels'!$E$7:$E$66,'Vols additionnels'!$C$7:$C$66,$E10254,'Vols additionnels'!$D$7:$D$66,$F10254,'Vols additionnels'!$B$7:$B$66,$D10254)</f>
        <v>0</v>
      </c>
      <c r="H10254" s="135" t="n">
        <f aca="false">$G10254*'Analyse capacite'!$F$8</f>
        <v>0</v>
      </c>
      <c r="I10254" s="135" t="n">
        <f aca="false">$G10254*'Analyse capacite'!$C$8</f>
        <v>0</v>
      </c>
      <c r="J10254" s="135" t="n">
        <f aca="false">$G10254*'Analyse capacite'!$D$8</f>
        <v>0</v>
      </c>
      <c r="K10254" s="135" t="n">
        <f aca="false">$G10254*'Analyse capacite'!$E$8</f>
        <v>0</v>
      </c>
    </row>
    <row r="10255" customFormat="false" ht="15" hidden="false" customHeight="false" outlineLevel="0" collapsed="false">
      <c r="B10255" s="130" t="n">
        <v>2028</v>
      </c>
      <c r="C10255" s="131" t="s">
        <v>255</v>
      </c>
      <c r="D10255" s="132" t="n">
        <v>46762</v>
      </c>
      <c r="E10255" s="131" t="s">
        <v>53</v>
      </c>
      <c r="F10255" s="133" t="s">
        <v>24</v>
      </c>
      <c r="G10255" s="134" t="n">
        <f aca="false">LEN('Saisie programme'!$D$390)+SUMIFS('Vols additionnels'!$E$7:$E$66,'Vols additionnels'!$C$7:$C$66,$E10255,'Vols additionnels'!$D$7:$D$66,$F10255,'Vols additionnels'!$B$7:$B$66,$D10255)</f>
        <v>0</v>
      </c>
      <c r="H10255" s="135" t="n">
        <f aca="false">$G10255*'Analyse capacite'!$F$9</f>
        <v>0</v>
      </c>
      <c r="I10255" s="135" t="n">
        <f aca="false">$G10255*'Analyse capacite'!$C$9</f>
        <v>0</v>
      </c>
      <c r="J10255" s="135" t="n">
        <f aca="false">$G10255*'Analyse capacite'!$D$9</f>
        <v>0</v>
      </c>
      <c r="K10255" s="135" t="n">
        <f aca="false">$G10255*'Analyse capacite'!$E$9</f>
        <v>0</v>
      </c>
    </row>
    <row r="10256" customFormat="false" ht="15" hidden="false" customHeight="false" outlineLevel="0" collapsed="false">
      <c r="B10256" s="130" t="n">
        <v>2028</v>
      </c>
      <c r="C10256" s="131" t="s">
        <v>255</v>
      </c>
      <c r="D10256" s="132" t="n">
        <v>46762</v>
      </c>
      <c r="E10256" s="131" t="s">
        <v>56</v>
      </c>
      <c r="F10256" s="133" t="s">
        <v>11</v>
      </c>
      <c r="G10256" s="134" t="n">
        <f aca="false">LEN('Saisie programme'!$D$391)+SUMIFS('Vols additionnels'!$E$7:$E$66,'Vols additionnels'!$C$7:$C$66,$E10256,'Vols additionnels'!$D$7:$D$66,$F10256,'Vols additionnels'!$B$7:$B$66,$D10256)</f>
        <v>0</v>
      </c>
      <c r="H10256" s="135" t="n">
        <f aca="false">$G10256*'Analyse capacite'!$F$7</f>
        <v>0</v>
      </c>
      <c r="I10256" s="135" t="n">
        <f aca="false">$G10256*'Analyse capacite'!$C$7</f>
        <v>0</v>
      </c>
      <c r="J10256" s="135" t="n">
        <f aca="false">$G10256*'Analyse capacite'!$D$7</f>
        <v>0</v>
      </c>
      <c r="K10256" s="135" t="n">
        <f aca="false">$G10256*'Analyse capacite'!$E$7</f>
        <v>0</v>
      </c>
    </row>
    <row r="10257" customFormat="false" ht="15" hidden="false" customHeight="false" outlineLevel="0" collapsed="false">
      <c r="B10257" s="130" t="n">
        <v>2028</v>
      </c>
      <c r="C10257" s="131" t="s">
        <v>255</v>
      </c>
      <c r="D10257" s="132" t="n">
        <v>46762</v>
      </c>
      <c r="E10257" s="131" t="s">
        <v>56</v>
      </c>
      <c r="F10257" s="133" t="s">
        <v>19</v>
      </c>
      <c r="G10257" s="134" t="n">
        <f aca="false">LEN('Saisie programme'!$D$392)+SUMIFS('Vols additionnels'!$E$7:$E$66,'Vols additionnels'!$C$7:$C$66,$E10257,'Vols additionnels'!$D$7:$D$66,$F10257,'Vols additionnels'!$B$7:$B$66,$D10257)</f>
        <v>0</v>
      </c>
      <c r="H10257" s="135" t="n">
        <f aca="false">$G10257*'Analyse capacite'!$F$8</f>
        <v>0</v>
      </c>
      <c r="I10257" s="135" t="n">
        <f aca="false">$G10257*'Analyse capacite'!$C$8</f>
        <v>0</v>
      </c>
      <c r="J10257" s="135" t="n">
        <f aca="false">$G10257*'Analyse capacite'!$D$8</f>
        <v>0</v>
      </c>
      <c r="K10257" s="135" t="n">
        <f aca="false">$G10257*'Analyse capacite'!$E$8</f>
        <v>0</v>
      </c>
    </row>
    <row r="10258" customFormat="false" ht="15" hidden="false" customHeight="false" outlineLevel="0" collapsed="false">
      <c r="B10258" s="130" t="n">
        <v>2028</v>
      </c>
      <c r="C10258" s="131" t="s">
        <v>255</v>
      </c>
      <c r="D10258" s="132" t="n">
        <v>46762</v>
      </c>
      <c r="E10258" s="131" t="s">
        <v>56</v>
      </c>
      <c r="F10258" s="133" t="s">
        <v>24</v>
      </c>
      <c r="G10258" s="134" t="n">
        <f aca="false">LEN('Saisie programme'!$D$393)+SUMIFS('Vols additionnels'!$E$7:$E$66,'Vols additionnels'!$C$7:$C$66,$E10258,'Vols additionnels'!$D$7:$D$66,$F10258,'Vols additionnels'!$B$7:$B$66,$D10258)</f>
        <v>0</v>
      </c>
      <c r="H10258" s="135" t="n">
        <f aca="false">$G10258*'Analyse capacite'!$F$9</f>
        <v>0</v>
      </c>
      <c r="I10258" s="135" t="n">
        <f aca="false">$G10258*'Analyse capacite'!$C$9</f>
        <v>0</v>
      </c>
      <c r="J10258" s="135" t="n">
        <f aca="false">$G10258*'Analyse capacite'!$D$9</f>
        <v>0</v>
      </c>
      <c r="K10258" s="135" t="n">
        <f aca="false">$G10258*'Analyse capacite'!$E$9</f>
        <v>0</v>
      </c>
    </row>
    <row r="10259" customFormat="false" ht="15" hidden="false" customHeight="false" outlineLevel="0" collapsed="false">
      <c r="B10259" s="130" t="n">
        <v>2028</v>
      </c>
      <c r="C10259" s="131" t="s">
        <v>255</v>
      </c>
      <c r="D10259" s="132" t="n">
        <v>46762</v>
      </c>
      <c r="E10259" s="131" t="s">
        <v>59</v>
      </c>
      <c r="F10259" s="133" t="s">
        <v>11</v>
      </c>
      <c r="G10259" s="134" t="n">
        <f aca="false">LEN('Saisie programme'!$D$394)+SUMIFS('Vols additionnels'!$E$7:$E$66,'Vols additionnels'!$C$7:$C$66,$E10259,'Vols additionnels'!$D$7:$D$66,$F10259,'Vols additionnels'!$B$7:$B$66,$D10259)</f>
        <v>0</v>
      </c>
      <c r="H10259" s="135" t="n">
        <f aca="false">$G10259*'Analyse capacite'!$F$7</f>
        <v>0</v>
      </c>
      <c r="I10259" s="135" t="n">
        <f aca="false">$G10259*'Analyse capacite'!$C$7</f>
        <v>0</v>
      </c>
      <c r="J10259" s="135" t="n">
        <f aca="false">$G10259*'Analyse capacite'!$D$7</f>
        <v>0</v>
      </c>
      <c r="K10259" s="135" t="n">
        <f aca="false">$G10259*'Analyse capacite'!$E$7</f>
        <v>0</v>
      </c>
    </row>
    <row r="10260" customFormat="false" ht="15" hidden="false" customHeight="false" outlineLevel="0" collapsed="false">
      <c r="B10260" s="130" t="n">
        <v>2028</v>
      </c>
      <c r="C10260" s="131" t="s">
        <v>255</v>
      </c>
      <c r="D10260" s="132" t="n">
        <v>46762</v>
      </c>
      <c r="E10260" s="131" t="s">
        <v>59</v>
      </c>
      <c r="F10260" s="133" t="s">
        <v>19</v>
      </c>
      <c r="G10260" s="134" t="n">
        <f aca="false">LEN('Saisie programme'!$D$395)+SUMIFS('Vols additionnels'!$E$7:$E$66,'Vols additionnels'!$C$7:$C$66,$E10260,'Vols additionnels'!$D$7:$D$66,$F10260,'Vols additionnels'!$B$7:$B$66,$D10260)</f>
        <v>0</v>
      </c>
      <c r="H10260" s="135" t="n">
        <f aca="false">$G10260*'Analyse capacite'!$F$8</f>
        <v>0</v>
      </c>
      <c r="I10260" s="135" t="n">
        <f aca="false">$G10260*'Analyse capacite'!$C$8</f>
        <v>0</v>
      </c>
      <c r="J10260" s="135" t="n">
        <f aca="false">$G10260*'Analyse capacite'!$D$8</f>
        <v>0</v>
      </c>
      <c r="K10260" s="135" t="n">
        <f aca="false">$G10260*'Analyse capacite'!$E$8</f>
        <v>0</v>
      </c>
    </row>
    <row r="10261" customFormat="false" ht="15" hidden="false" customHeight="false" outlineLevel="0" collapsed="false">
      <c r="B10261" s="130" t="n">
        <v>2028</v>
      </c>
      <c r="C10261" s="131" t="s">
        <v>255</v>
      </c>
      <c r="D10261" s="132" t="n">
        <v>46762</v>
      </c>
      <c r="E10261" s="131" t="s">
        <v>59</v>
      </c>
      <c r="F10261" s="133" t="s">
        <v>24</v>
      </c>
      <c r="G10261" s="134" t="n">
        <f aca="false">LEN('Saisie programme'!$D$396)+SUMIFS('Vols additionnels'!$E$7:$E$66,'Vols additionnels'!$C$7:$C$66,$E10261,'Vols additionnels'!$D$7:$D$66,$F10261,'Vols additionnels'!$B$7:$B$66,$D10261)</f>
        <v>1</v>
      </c>
      <c r="H10261" s="135" t="n">
        <f aca="false">$G10261*'Analyse capacite'!$F$9</f>
        <v>174</v>
      </c>
      <c r="I10261" s="135" t="n">
        <f aca="false">$G10261*'Analyse capacite'!$C$9</f>
        <v>0</v>
      </c>
      <c r="J10261" s="135" t="n">
        <f aca="false">$G10261*'Analyse capacite'!$D$9</f>
        <v>12</v>
      </c>
      <c r="K10261" s="135" t="n">
        <f aca="false">$G10261*'Analyse capacite'!$E$9</f>
        <v>162</v>
      </c>
    </row>
    <row r="10262" customFormat="false" ht="15" hidden="false" customHeight="false" outlineLevel="0" collapsed="false">
      <c r="B10262" s="130" t="n">
        <v>2028</v>
      </c>
      <c r="C10262" s="131" t="s">
        <v>255</v>
      </c>
      <c r="D10262" s="132" t="n">
        <v>46762</v>
      </c>
      <c r="E10262" s="131" t="s">
        <v>62</v>
      </c>
      <c r="F10262" s="133" t="s">
        <v>11</v>
      </c>
      <c r="G10262" s="134" t="n">
        <f aca="false">LEN('Saisie programme'!$D$397)+SUMIFS('Vols additionnels'!$E$7:$E$66,'Vols additionnels'!$C$7:$C$66,$E10262,'Vols additionnels'!$D$7:$D$66,$F10262,'Vols additionnels'!$B$7:$B$66,$D10262)</f>
        <v>0</v>
      </c>
      <c r="H10262" s="135" t="n">
        <f aca="false">$G10262*'Analyse capacite'!$F$7</f>
        <v>0</v>
      </c>
      <c r="I10262" s="135" t="n">
        <f aca="false">$G10262*'Analyse capacite'!$C$7</f>
        <v>0</v>
      </c>
      <c r="J10262" s="135" t="n">
        <f aca="false">$G10262*'Analyse capacite'!$D$7</f>
        <v>0</v>
      </c>
      <c r="K10262" s="135" t="n">
        <f aca="false">$G10262*'Analyse capacite'!$E$7</f>
        <v>0</v>
      </c>
    </row>
    <row r="10263" customFormat="false" ht="15" hidden="false" customHeight="false" outlineLevel="0" collapsed="false">
      <c r="B10263" s="130" t="n">
        <v>2028</v>
      </c>
      <c r="C10263" s="131" t="s">
        <v>255</v>
      </c>
      <c r="D10263" s="132" t="n">
        <v>46762</v>
      </c>
      <c r="E10263" s="131" t="s">
        <v>62</v>
      </c>
      <c r="F10263" s="133" t="s">
        <v>19</v>
      </c>
      <c r="G10263" s="134" t="n">
        <f aca="false">LEN('Saisie programme'!$D$398)+SUMIFS('Vols additionnels'!$E$7:$E$66,'Vols additionnels'!$C$7:$C$66,$E10263,'Vols additionnels'!$D$7:$D$66,$F10263,'Vols additionnels'!$B$7:$B$66,$D10263)</f>
        <v>0</v>
      </c>
      <c r="H10263" s="135" t="n">
        <f aca="false">$G10263*'Analyse capacite'!$F$8</f>
        <v>0</v>
      </c>
      <c r="I10263" s="135" t="n">
        <f aca="false">$G10263*'Analyse capacite'!$C$8</f>
        <v>0</v>
      </c>
      <c r="J10263" s="135" t="n">
        <f aca="false">$G10263*'Analyse capacite'!$D$8</f>
        <v>0</v>
      </c>
      <c r="K10263" s="135" t="n">
        <f aca="false">$G10263*'Analyse capacite'!$E$8</f>
        <v>0</v>
      </c>
    </row>
    <row r="10264" customFormat="false" ht="15" hidden="false" customHeight="false" outlineLevel="0" collapsed="false">
      <c r="B10264" s="130" t="n">
        <v>2028</v>
      </c>
      <c r="C10264" s="131" t="s">
        <v>255</v>
      </c>
      <c r="D10264" s="132" t="n">
        <v>46762</v>
      </c>
      <c r="E10264" s="131" t="s">
        <v>62</v>
      </c>
      <c r="F10264" s="133" t="s">
        <v>24</v>
      </c>
      <c r="G10264" s="134" t="n">
        <f aca="false">LEN('Saisie programme'!$D$399)+SUMIFS('Vols additionnels'!$E$7:$E$66,'Vols additionnels'!$C$7:$C$66,$E10264,'Vols additionnels'!$D$7:$D$66,$F10264,'Vols additionnels'!$B$7:$B$66,$D10264)</f>
        <v>0</v>
      </c>
      <c r="H10264" s="135" t="n">
        <f aca="false">$G10264*'Analyse capacite'!$F$9</f>
        <v>0</v>
      </c>
      <c r="I10264" s="135" t="n">
        <f aca="false">$G10264*'Analyse capacite'!$C$9</f>
        <v>0</v>
      </c>
      <c r="J10264" s="135" t="n">
        <f aca="false">$G10264*'Analyse capacite'!$D$9</f>
        <v>0</v>
      </c>
      <c r="K10264" s="135" t="n">
        <f aca="false">$G10264*'Analyse capacite'!$E$9</f>
        <v>0</v>
      </c>
    </row>
    <row r="10265" customFormat="false" ht="15" hidden="false" customHeight="false" outlineLevel="0" collapsed="false">
      <c r="B10265" s="130" t="n">
        <v>2028</v>
      </c>
      <c r="C10265" s="131" t="s">
        <v>255</v>
      </c>
      <c r="D10265" s="132" t="n">
        <v>46763</v>
      </c>
      <c r="E10265" s="131" t="s">
        <v>12</v>
      </c>
      <c r="F10265" s="133" t="s">
        <v>11</v>
      </c>
      <c r="G10265" s="134" t="n">
        <f aca="false">LEN('Saisie programme'!$E$364)+SUMIFS('Vols additionnels'!$E$7:$E$66,'Vols additionnels'!$C$7:$C$66,$E10265,'Vols additionnels'!$D$7:$D$66,$F10265,'Vols additionnels'!$B$7:$B$66,$D10265)</f>
        <v>1</v>
      </c>
      <c r="H10265" s="135" t="n">
        <f aca="false">$G10265*'Analyse capacite'!$F$7</f>
        <v>438</v>
      </c>
      <c r="I10265" s="135" t="n">
        <f aca="false">$G10265*'Analyse capacite'!$C$7</f>
        <v>14</v>
      </c>
      <c r="J10265" s="135" t="n">
        <f aca="false">$G10265*'Analyse capacite'!$D$7</f>
        <v>40</v>
      </c>
      <c r="K10265" s="135" t="n">
        <f aca="false">$G10265*'Analyse capacite'!$E$7</f>
        <v>384</v>
      </c>
    </row>
    <row r="10266" customFormat="false" ht="15" hidden="false" customHeight="false" outlineLevel="0" collapsed="false">
      <c r="B10266" s="130" t="n">
        <v>2028</v>
      </c>
      <c r="C10266" s="131" t="s">
        <v>255</v>
      </c>
      <c r="D10266" s="132" t="n">
        <v>46763</v>
      </c>
      <c r="E10266" s="131" t="s">
        <v>12</v>
      </c>
      <c r="F10266" s="133" t="s">
        <v>19</v>
      </c>
      <c r="G10266" s="134" t="n">
        <f aca="false">LEN('Saisie programme'!$E$365)+SUMIFS('Vols additionnels'!$E$7:$E$66,'Vols additionnels'!$C$7:$C$66,$E10266,'Vols additionnels'!$D$7:$D$66,$F10266,'Vols additionnels'!$B$7:$B$66,$D10266)</f>
        <v>0</v>
      </c>
      <c r="H10266" s="135" t="n">
        <f aca="false">$G10266*'Analyse capacite'!$F$8</f>
        <v>0</v>
      </c>
      <c r="I10266" s="135" t="n">
        <f aca="false">$G10266*'Analyse capacite'!$C$8</f>
        <v>0</v>
      </c>
      <c r="J10266" s="135" t="n">
        <f aca="false">$G10266*'Analyse capacite'!$D$8</f>
        <v>0</v>
      </c>
      <c r="K10266" s="135" t="n">
        <f aca="false">$G10266*'Analyse capacite'!$E$8</f>
        <v>0</v>
      </c>
    </row>
    <row r="10267" customFormat="false" ht="15" hidden="false" customHeight="false" outlineLevel="0" collapsed="false">
      <c r="B10267" s="130" t="n">
        <v>2028</v>
      </c>
      <c r="C10267" s="131" t="s">
        <v>255</v>
      </c>
      <c r="D10267" s="132" t="n">
        <v>46763</v>
      </c>
      <c r="E10267" s="131" t="s">
        <v>12</v>
      </c>
      <c r="F10267" s="133" t="s">
        <v>24</v>
      </c>
      <c r="G10267" s="134" t="n">
        <f aca="false">LEN('Saisie programme'!$E$366)+SUMIFS('Vols additionnels'!$E$7:$E$66,'Vols additionnels'!$C$7:$C$66,$E10267,'Vols additionnels'!$D$7:$D$66,$F10267,'Vols additionnels'!$B$7:$B$66,$D10267)</f>
        <v>0</v>
      </c>
      <c r="H10267" s="135" t="n">
        <f aca="false">$G10267*'Analyse capacite'!$F$9</f>
        <v>0</v>
      </c>
      <c r="I10267" s="135" t="n">
        <f aca="false">$G10267*'Analyse capacite'!$C$9</f>
        <v>0</v>
      </c>
      <c r="J10267" s="135" t="n">
        <f aca="false">$G10267*'Analyse capacite'!$D$9</f>
        <v>0</v>
      </c>
      <c r="K10267" s="135" t="n">
        <f aca="false">$G10267*'Analyse capacite'!$E$9</f>
        <v>0</v>
      </c>
    </row>
    <row r="10268" customFormat="false" ht="15" hidden="false" customHeight="false" outlineLevel="0" collapsed="false">
      <c r="B10268" s="130" t="n">
        <v>2028</v>
      </c>
      <c r="C10268" s="131" t="s">
        <v>255</v>
      </c>
      <c r="D10268" s="132" t="n">
        <v>46763</v>
      </c>
      <c r="E10268" s="131" t="s">
        <v>20</v>
      </c>
      <c r="F10268" s="133" t="s">
        <v>11</v>
      </c>
      <c r="G10268" s="134" t="n">
        <f aca="false">LEN('Saisie programme'!$E$367)+SUMIFS('Vols additionnels'!$E$7:$E$66,'Vols additionnels'!$C$7:$C$66,$E10268,'Vols additionnels'!$D$7:$D$66,$F10268,'Vols additionnels'!$B$7:$B$66,$D10268)</f>
        <v>0</v>
      </c>
      <c r="H10268" s="135" t="n">
        <f aca="false">$G10268*'Analyse capacite'!$F$7</f>
        <v>0</v>
      </c>
      <c r="I10268" s="135" t="n">
        <f aca="false">$G10268*'Analyse capacite'!$C$7</f>
        <v>0</v>
      </c>
      <c r="J10268" s="135" t="n">
        <f aca="false">$G10268*'Analyse capacite'!$D$7</f>
        <v>0</v>
      </c>
      <c r="K10268" s="135" t="n">
        <f aca="false">$G10268*'Analyse capacite'!$E$7</f>
        <v>0</v>
      </c>
    </row>
    <row r="10269" customFormat="false" ht="15" hidden="false" customHeight="false" outlineLevel="0" collapsed="false">
      <c r="B10269" s="130" t="n">
        <v>2028</v>
      </c>
      <c r="C10269" s="131" t="s">
        <v>255</v>
      </c>
      <c r="D10269" s="132" t="n">
        <v>46763</v>
      </c>
      <c r="E10269" s="131" t="s">
        <v>20</v>
      </c>
      <c r="F10269" s="133" t="s">
        <v>19</v>
      </c>
      <c r="G10269" s="134" t="n">
        <f aca="false">LEN('Saisie programme'!$E$368)+SUMIFS('Vols additionnels'!$E$7:$E$66,'Vols additionnels'!$C$7:$C$66,$E10269,'Vols additionnels'!$D$7:$D$66,$F10269,'Vols additionnels'!$B$7:$B$66,$D10269)</f>
        <v>1</v>
      </c>
      <c r="H10269" s="135" t="n">
        <f aca="false">$G10269*'Analyse capacite'!$F$8</f>
        <v>262</v>
      </c>
      <c r="I10269" s="135" t="n">
        <f aca="false">$G10269*'Analyse capacite'!$C$8</f>
        <v>18</v>
      </c>
      <c r="J10269" s="135" t="n">
        <f aca="false">$G10269*'Analyse capacite'!$D$8</f>
        <v>0</v>
      </c>
      <c r="K10269" s="135" t="n">
        <f aca="false">$G10269*'Analyse capacite'!$E$8</f>
        <v>244</v>
      </c>
    </row>
    <row r="10270" customFormat="false" ht="15" hidden="false" customHeight="false" outlineLevel="0" collapsed="false">
      <c r="B10270" s="130" t="n">
        <v>2028</v>
      </c>
      <c r="C10270" s="131" t="s">
        <v>255</v>
      </c>
      <c r="D10270" s="132" t="n">
        <v>46763</v>
      </c>
      <c r="E10270" s="131" t="s">
        <v>20</v>
      </c>
      <c r="F10270" s="133" t="s">
        <v>24</v>
      </c>
      <c r="G10270" s="134" t="n">
        <f aca="false">LEN('Saisie programme'!$E$369)+SUMIFS('Vols additionnels'!$E$7:$E$66,'Vols additionnels'!$C$7:$C$66,$E10270,'Vols additionnels'!$D$7:$D$66,$F10270,'Vols additionnels'!$B$7:$B$66,$D10270)</f>
        <v>0</v>
      </c>
      <c r="H10270" s="135" t="n">
        <f aca="false">$G10270*'Analyse capacite'!$F$9</f>
        <v>0</v>
      </c>
      <c r="I10270" s="135" t="n">
        <f aca="false">$G10270*'Analyse capacite'!$C$9</f>
        <v>0</v>
      </c>
      <c r="J10270" s="135" t="n">
        <f aca="false">$G10270*'Analyse capacite'!$D$9</f>
        <v>0</v>
      </c>
      <c r="K10270" s="135" t="n">
        <f aca="false">$G10270*'Analyse capacite'!$E$9</f>
        <v>0</v>
      </c>
    </row>
    <row r="10271" customFormat="false" ht="15" hidden="false" customHeight="false" outlineLevel="0" collapsed="false">
      <c r="B10271" s="130" t="n">
        <v>2028</v>
      </c>
      <c r="C10271" s="131" t="s">
        <v>255</v>
      </c>
      <c r="D10271" s="132" t="n">
        <v>46763</v>
      </c>
      <c r="E10271" s="131" t="s">
        <v>25</v>
      </c>
      <c r="F10271" s="133" t="s">
        <v>11</v>
      </c>
      <c r="G10271" s="134" t="n">
        <f aca="false">LEN('Saisie programme'!$E$370)+SUMIFS('Vols additionnels'!$E$7:$E$66,'Vols additionnels'!$C$7:$C$66,$E10271,'Vols additionnels'!$D$7:$D$66,$F10271,'Vols additionnels'!$B$7:$B$66,$D10271)</f>
        <v>0</v>
      </c>
      <c r="H10271" s="135" t="n">
        <f aca="false">$G10271*'Analyse capacite'!$F$7</f>
        <v>0</v>
      </c>
      <c r="I10271" s="135" t="n">
        <f aca="false">$G10271*'Analyse capacite'!$C$7</f>
        <v>0</v>
      </c>
      <c r="J10271" s="135" t="n">
        <f aca="false">$G10271*'Analyse capacite'!$D$7</f>
        <v>0</v>
      </c>
      <c r="K10271" s="135" t="n">
        <f aca="false">$G10271*'Analyse capacite'!$E$7</f>
        <v>0</v>
      </c>
    </row>
    <row r="10272" customFormat="false" ht="15" hidden="false" customHeight="false" outlineLevel="0" collapsed="false">
      <c r="B10272" s="130" t="n">
        <v>2028</v>
      </c>
      <c r="C10272" s="131" t="s">
        <v>255</v>
      </c>
      <c r="D10272" s="132" t="n">
        <v>46763</v>
      </c>
      <c r="E10272" s="131" t="s">
        <v>25</v>
      </c>
      <c r="F10272" s="133" t="s">
        <v>19</v>
      </c>
      <c r="G10272" s="134" t="n">
        <f aca="false">LEN('Saisie programme'!$E$371)+SUMIFS('Vols additionnels'!$E$7:$E$66,'Vols additionnels'!$C$7:$C$66,$E10272,'Vols additionnels'!$D$7:$D$66,$F10272,'Vols additionnels'!$B$7:$B$66,$D10272)</f>
        <v>0</v>
      </c>
      <c r="H10272" s="135" t="n">
        <f aca="false">$G10272*'Analyse capacite'!$F$8</f>
        <v>0</v>
      </c>
      <c r="I10272" s="135" t="n">
        <f aca="false">$G10272*'Analyse capacite'!$C$8</f>
        <v>0</v>
      </c>
      <c r="J10272" s="135" t="n">
        <f aca="false">$G10272*'Analyse capacite'!$D$8</f>
        <v>0</v>
      </c>
      <c r="K10272" s="135" t="n">
        <f aca="false">$G10272*'Analyse capacite'!$E$8</f>
        <v>0</v>
      </c>
    </row>
    <row r="10273" customFormat="false" ht="15" hidden="false" customHeight="false" outlineLevel="0" collapsed="false">
      <c r="B10273" s="130" t="n">
        <v>2028</v>
      </c>
      <c r="C10273" s="131" t="s">
        <v>255</v>
      </c>
      <c r="D10273" s="132" t="n">
        <v>46763</v>
      </c>
      <c r="E10273" s="131" t="s">
        <v>25</v>
      </c>
      <c r="F10273" s="133" t="s">
        <v>24</v>
      </c>
      <c r="G10273" s="134" t="n">
        <f aca="false">LEN('Saisie programme'!$E$372)+SUMIFS('Vols additionnels'!$E$7:$E$66,'Vols additionnels'!$C$7:$C$66,$E10273,'Vols additionnels'!$D$7:$D$66,$F10273,'Vols additionnels'!$B$7:$B$66,$D10273)</f>
        <v>0</v>
      </c>
      <c r="H10273" s="135" t="n">
        <f aca="false">$G10273*'Analyse capacite'!$F$9</f>
        <v>0</v>
      </c>
      <c r="I10273" s="135" t="n">
        <f aca="false">$G10273*'Analyse capacite'!$C$9</f>
        <v>0</v>
      </c>
      <c r="J10273" s="135" t="n">
        <f aca="false">$G10273*'Analyse capacite'!$D$9</f>
        <v>0</v>
      </c>
      <c r="K10273" s="135" t="n">
        <f aca="false">$G10273*'Analyse capacite'!$E$9</f>
        <v>0</v>
      </c>
    </row>
    <row r="10274" customFormat="false" ht="15" hidden="false" customHeight="false" outlineLevel="0" collapsed="false">
      <c r="B10274" s="130" t="n">
        <v>2028</v>
      </c>
      <c r="C10274" s="131" t="s">
        <v>255</v>
      </c>
      <c r="D10274" s="132" t="n">
        <v>46763</v>
      </c>
      <c r="E10274" s="131" t="s">
        <v>36</v>
      </c>
      <c r="F10274" s="133" t="s">
        <v>11</v>
      </c>
      <c r="G10274" s="134" t="n">
        <f aca="false">LEN('Saisie programme'!$E$373)+SUMIFS('Vols additionnels'!$E$7:$E$66,'Vols additionnels'!$C$7:$C$66,$E10274,'Vols additionnels'!$D$7:$D$66,$F10274,'Vols additionnels'!$B$7:$B$66,$D10274)</f>
        <v>0</v>
      </c>
      <c r="H10274" s="135" t="n">
        <f aca="false">$G10274*'Analyse capacite'!$F$7</f>
        <v>0</v>
      </c>
      <c r="I10274" s="135" t="n">
        <f aca="false">$G10274*'Analyse capacite'!$C$7</f>
        <v>0</v>
      </c>
      <c r="J10274" s="135" t="n">
        <f aca="false">$G10274*'Analyse capacite'!$D$7</f>
        <v>0</v>
      </c>
      <c r="K10274" s="135" t="n">
        <f aca="false">$G10274*'Analyse capacite'!$E$7</f>
        <v>0</v>
      </c>
    </row>
    <row r="10275" customFormat="false" ht="15" hidden="false" customHeight="false" outlineLevel="0" collapsed="false">
      <c r="B10275" s="130" t="n">
        <v>2028</v>
      </c>
      <c r="C10275" s="131" t="s">
        <v>255</v>
      </c>
      <c r="D10275" s="132" t="n">
        <v>46763</v>
      </c>
      <c r="E10275" s="131" t="s">
        <v>36</v>
      </c>
      <c r="F10275" s="133" t="s">
        <v>19</v>
      </c>
      <c r="G10275" s="134" t="n">
        <f aca="false">LEN('Saisie programme'!$E$374)+SUMIFS('Vols additionnels'!$E$7:$E$66,'Vols additionnels'!$C$7:$C$66,$E10275,'Vols additionnels'!$D$7:$D$66,$F10275,'Vols additionnels'!$B$7:$B$66,$D10275)</f>
        <v>0</v>
      </c>
      <c r="H10275" s="135" t="n">
        <f aca="false">$G10275*'Analyse capacite'!$F$8</f>
        <v>0</v>
      </c>
      <c r="I10275" s="135" t="n">
        <f aca="false">$G10275*'Analyse capacite'!$C$8</f>
        <v>0</v>
      </c>
      <c r="J10275" s="135" t="n">
        <f aca="false">$G10275*'Analyse capacite'!$D$8</f>
        <v>0</v>
      </c>
      <c r="K10275" s="135" t="n">
        <f aca="false">$G10275*'Analyse capacite'!$E$8</f>
        <v>0</v>
      </c>
    </row>
    <row r="10276" customFormat="false" ht="15" hidden="false" customHeight="false" outlineLevel="0" collapsed="false">
      <c r="B10276" s="130" t="n">
        <v>2028</v>
      </c>
      <c r="C10276" s="131" t="s">
        <v>255</v>
      </c>
      <c r="D10276" s="132" t="n">
        <v>46763</v>
      </c>
      <c r="E10276" s="131" t="s">
        <v>36</v>
      </c>
      <c r="F10276" s="133" t="s">
        <v>24</v>
      </c>
      <c r="G10276" s="134" t="n">
        <f aca="false">LEN('Saisie programme'!$E$375)+SUMIFS('Vols additionnels'!$E$7:$E$66,'Vols additionnels'!$C$7:$C$66,$E10276,'Vols additionnels'!$D$7:$D$66,$F10276,'Vols additionnels'!$B$7:$B$66,$D10276)</f>
        <v>1</v>
      </c>
      <c r="H10276" s="135" t="n">
        <f aca="false">$G10276*'Analyse capacite'!$F$9</f>
        <v>174</v>
      </c>
      <c r="I10276" s="135" t="n">
        <f aca="false">$G10276*'Analyse capacite'!$C$9</f>
        <v>0</v>
      </c>
      <c r="J10276" s="135" t="n">
        <f aca="false">$G10276*'Analyse capacite'!$D$9</f>
        <v>12</v>
      </c>
      <c r="K10276" s="135" t="n">
        <f aca="false">$G10276*'Analyse capacite'!$E$9</f>
        <v>162</v>
      </c>
    </row>
    <row r="10277" customFormat="false" ht="15" hidden="false" customHeight="false" outlineLevel="0" collapsed="false">
      <c r="B10277" s="130" t="n">
        <v>2028</v>
      </c>
      <c r="C10277" s="131" t="s">
        <v>255</v>
      </c>
      <c r="D10277" s="132" t="n">
        <v>46763</v>
      </c>
      <c r="E10277" s="131" t="s">
        <v>40</v>
      </c>
      <c r="F10277" s="133" t="s">
        <v>11</v>
      </c>
      <c r="G10277" s="134" t="n">
        <f aca="false">LEN('Saisie programme'!$E$376)+SUMIFS('Vols additionnels'!$E$7:$E$66,'Vols additionnels'!$C$7:$C$66,$E10277,'Vols additionnels'!$D$7:$D$66,$F10277,'Vols additionnels'!$B$7:$B$66,$D10277)</f>
        <v>0</v>
      </c>
      <c r="H10277" s="135" t="n">
        <f aca="false">$G10277*'Analyse capacite'!$F$7</f>
        <v>0</v>
      </c>
      <c r="I10277" s="135" t="n">
        <f aca="false">$G10277*'Analyse capacite'!$C$7</f>
        <v>0</v>
      </c>
      <c r="J10277" s="135" t="n">
        <f aca="false">$G10277*'Analyse capacite'!$D$7</f>
        <v>0</v>
      </c>
      <c r="K10277" s="135" t="n">
        <f aca="false">$G10277*'Analyse capacite'!$E$7</f>
        <v>0</v>
      </c>
    </row>
    <row r="10278" customFormat="false" ht="15" hidden="false" customHeight="false" outlineLevel="0" collapsed="false">
      <c r="B10278" s="130" t="n">
        <v>2028</v>
      </c>
      <c r="C10278" s="131" t="s">
        <v>255</v>
      </c>
      <c r="D10278" s="132" t="n">
        <v>46763</v>
      </c>
      <c r="E10278" s="131" t="s">
        <v>40</v>
      </c>
      <c r="F10278" s="133" t="s">
        <v>19</v>
      </c>
      <c r="G10278" s="134" t="n">
        <f aca="false">LEN('Saisie programme'!$E$377)+SUMIFS('Vols additionnels'!$E$7:$E$66,'Vols additionnels'!$C$7:$C$66,$E10278,'Vols additionnels'!$D$7:$D$66,$F10278,'Vols additionnels'!$B$7:$B$66,$D10278)</f>
        <v>0</v>
      </c>
      <c r="H10278" s="135" t="n">
        <f aca="false">$G10278*'Analyse capacite'!$F$8</f>
        <v>0</v>
      </c>
      <c r="I10278" s="135" t="n">
        <f aca="false">$G10278*'Analyse capacite'!$C$8</f>
        <v>0</v>
      </c>
      <c r="J10278" s="135" t="n">
        <f aca="false">$G10278*'Analyse capacite'!$D$8</f>
        <v>0</v>
      </c>
      <c r="K10278" s="135" t="n">
        <f aca="false">$G10278*'Analyse capacite'!$E$8</f>
        <v>0</v>
      </c>
    </row>
    <row r="10279" customFormat="false" ht="15" hidden="false" customHeight="false" outlineLevel="0" collapsed="false">
      <c r="B10279" s="130" t="n">
        <v>2028</v>
      </c>
      <c r="C10279" s="131" t="s">
        <v>255</v>
      </c>
      <c r="D10279" s="132" t="n">
        <v>46763</v>
      </c>
      <c r="E10279" s="131" t="s">
        <v>40</v>
      </c>
      <c r="F10279" s="133" t="s">
        <v>24</v>
      </c>
      <c r="G10279" s="134" t="n">
        <f aca="false">LEN('Saisie programme'!$E$378)+SUMIFS('Vols additionnels'!$E$7:$E$66,'Vols additionnels'!$C$7:$C$66,$E10279,'Vols additionnels'!$D$7:$D$66,$F10279,'Vols additionnels'!$B$7:$B$66,$D10279)</f>
        <v>0</v>
      </c>
      <c r="H10279" s="135" t="n">
        <f aca="false">$G10279*'Analyse capacite'!$F$9</f>
        <v>0</v>
      </c>
      <c r="I10279" s="135" t="n">
        <f aca="false">$G10279*'Analyse capacite'!$C$9</f>
        <v>0</v>
      </c>
      <c r="J10279" s="135" t="n">
        <f aca="false">$G10279*'Analyse capacite'!$D$9</f>
        <v>0</v>
      </c>
      <c r="K10279" s="135" t="n">
        <f aca="false">$G10279*'Analyse capacite'!$E$9</f>
        <v>0</v>
      </c>
    </row>
    <row r="10280" customFormat="false" ht="15" hidden="false" customHeight="false" outlineLevel="0" collapsed="false">
      <c r="B10280" s="130" t="n">
        <v>2028</v>
      </c>
      <c r="C10280" s="131" t="s">
        <v>255</v>
      </c>
      <c r="D10280" s="132" t="n">
        <v>46763</v>
      </c>
      <c r="E10280" s="131" t="s">
        <v>14</v>
      </c>
      <c r="F10280" s="133" t="s">
        <v>11</v>
      </c>
      <c r="G10280" s="134" t="n">
        <f aca="false">LEN('Saisie programme'!$E$379)+SUMIFS('Vols additionnels'!$E$7:$E$66,'Vols additionnels'!$C$7:$C$66,$E10280,'Vols additionnels'!$D$7:$D$66,$F10280,'Vols additionnels'!$B$7:$B$66,$D10280)</f>
        <v>0</v>
      </c>
      <c r="H10280" s="135" t="n">
        <f aca="false">$G10280*'Analyse capacite'!$F$7</f>
        <v>0</v>
      </c>
      <c r="I10280" s="135" t="n">
        <f aca="false">$G10280*'Analyse capacite'!$C$7</f>
        <v>0</v>
      </c>
      <c r="J10280" s="135" t="n">
        <f aca="false">$G10280*'Analyse capacite'!$D$7</f>
        <v>0</v>
      </c>
      <c r="K10280" s="135" t="n">
        <f aca="false">$G10280*'Analyse capacite'!$E$7</f>
        <v>0</v>
      </c>
    </row>
    <row r="10281" customFormat="false" ht="15" hidden="false" customHeight="false" outlineLevel="0" collapsed="false">
      <c r="B10281" s="130" t="n">
        <v>2028</v>
      </c>
      <c r="C10281" s="131" t="s">
        <v>255</v>
      </c>
      <c r="D10281" s="132" t="n">
        <v>46763</v>
      </c>
      <c r="E10281" s="131" t="s">
        <v>14</v>
      </c>
      <c r="F10281" s="133" t="s">
        <v>19</v>
      </c>
      <c r="G10281" s="134" t="n">
        <f aca="false">LEN('Saisie programme'!$E$380)+SUMIFS('Vols additionnels'!$E$7:$E$66,'Vols additionnels'!$C$7:$C$66,$E10281,'Vols additionnels'!$D$7:$D$66,$F10281,'Vols additionnels'!$B$7:$B$66,$D10281)</f>
        <v>0</v>
      </c>
      <c r="H10281" s="135" t="n">
        <f aca="false">$G10281*'Analyse capacite'!$F$8</f>
        <v>0</v>
      </c>
      <c r="I10281" s="135" t="n">
        <f aca="false">$G10281*'Analyse capacite'!$C$8</f>
        <v>0</v>
      </c>
      <c r="J10281" s="135" t="n">
        <f aca="false">$G10281*'Analyse capacite'!$D$8</f>
        <v>0</v>
      </c>
      <c r="K10281" s="135" t="n">
        <f aca="false">$G10281*'Analyse capacite'!$E$8</f>
        <v>0</v>
      </c>
    </row>
    <row r="10282" customFormat="false" ht="15" hidden="false" customHeight="false" outlineLevel="0" collapsed="false">
      <c r="B10282" s="130" t="n">
        <v>2028</v>
      </c>
      <c r="C10282" s="131" t="s">
        <v>255</v>
      </c>
      <c r="D10282" s="132" t="n">
        <v>46763</v>
      </c>
      <c r="E10282" s="131" t="s">
        <v>14</v>
      </c>
      <c r="F10282" s="133" t="s">
        <v>24</v>
      </c>
      <c r="G10282" s="134" t="n">
        <f aca="false">LEN('Saisie programme'!$E$381)+SUMIFS('Vols additionnels'!$E$7:$E$66,'Vols additionnels'!$C$7:$C$66,$E10282,'Vols additionnels'!$D$7:$D$66,$F10282,'Vols additionnels'!$B$7:$B$66,$D10282)</f>
        <v>0</v>
      </c>
      <c r="H10282" s="135" t="n">
        <f aca="false">$G10282*'Analyse capacite'!$F$9</f>
        <v>0</v>
      </c>
      <c r="I10282" s="135" t="n">
        <f aca="false">$G10282*'Analyse capacite'!$C$9</f>
        <v>0</v>
      </c>
      <c r="J10282" s="135" t="n">
        <f aca="false">$G10282*'Analyse capacite'!$D$9</f>
        <v>0</v>
      </c>
      <c r="K10282" s="135" t="n">
        <f aca="false">$G10282*'Analyse capacite'!$E$9</f>
        <v>0</v>
      </c>
    </row>
    <row r="10283" customFormat="false" ht="15" hidden="false" customHeight="false" outlineLevel="0" collapsed="false">
      <c r="B10283" s="130" t="n">
        <v>2028</v>
      </c>
      <c r="C10283" s="131" t="s">
        <v>255</v>
      </c>
      <c r="D10283" s="132" t="n">
        <v>46763</v>
      </c>
      <c r="E10283" s="131" t="s">
        <v>46</v>
      </c>
      <c r="F10283" s="133" t="s">
        <v>11</v>
      </c>
      <c r="G10283" s="134" t="n">
        <f aca="false">LEN('Saisie programme'!$E$382)+SUMIFS('Vols additionnels'!$E$7:$E$66,'Vols additionnels'!$C$7:$C$66,$E10283,'Vols additionnels'!$D$7:$D$66,$F10283,'Vols additionnels'!$B$7:$B$66,$D10283)</f>
        <v>0</v>
      </c>
      <c r="H10283" s="135" t="n">
        <f aca="false">$G10283*'Analyse capacite'!$F$7</f>
        <v>0</v>
      </c>
      <c r="I10283" s="135" t="n">
        <f aca="false">$G10283*'Analyse capacite'!$C$7</f>
        <v>0</v>
      </c>
      <c r="J10283" s="135" t="n">
        <f aca="false">$G10283*'Analyse capacite'!$D$7</f>
        <v>0</v>
      </c>
      <c r="K10283" s="135" t="n">
        <f aca="false">$G10283*'Analyse capacite'!$E$7</f>
        <v>0</v>
      </c>
    </row>
    <row r="10284" customFormat="false" ht="15" hidden="false" customHeight="false" outlineLevel="0" collapsed="false">
      <c r="B10284" s="130" t="n">
        <v>2028</v>
      </c>
      <c r="C10284" s="131" t="s">
        <v>255</v>
      </c>
      <c r="D10284" s="132" t="n">
        <v>46763</v>
      </c>
      <c r="E10284" s="131" t="s">
        <v>46</v>
      </c>
      <c r="F10284" s="133" t="s">
        <v>19</v>
      </c>
      <c r="G10284" s="134" t="n">
        <f aca="false">LEN('Saisie programme'!$E$383)+SUMIFS('Vols additionnels'!$E$7:$E$66,'Vols additionnels'!$C$7:$C$66,$E10284,'Vols additionnels'!$D$7:$D$66,$F10284,'Vols additionnels'!$B$7:$B$66,$D10284)</f>
        <v>0</v>
      </c>
      <c r="H10284" s="135" t="n">
        <f aca="false">$G10284*'Analyse capacite'!$F$8</f>
        <v>0</v>
      </c>
      <c r="I10284" s="135" t="n">
        <f aca="false">$G10284*'Analyse capacite'!$C$8</f>
        <v>0</v>
      </c>
      <c r="J10284" s="135" t="n">
        <f aca="false">$G10284*'Analyse capacite'!$D$8</f>
        <v>0</v>
      </c>
      <c r="K10284" s="135" t="n">
        <f aca="false">$G10284*'Analyse capacite'!$E$8</f>
        <v>0</v>
      </c>
    </row>
    <row r="10285" customFormat="false" ht="15" hidden="false" customHeight="false" outlineLevel="0" collapsed="false">
      <c r="B10285" s="130" t="n">
        <v>2028</v>
      </c>
      <c r="C10285" s="131" t="s">
        <v>255</v>
      </c>
      <c r="D10285" s="132" t="n">
        <v>46763</v>
      </c>
      <c r="E10285" s="131" t="s">
        <v>46</v>
      </c>
      <c r="F10285" s="133" t="s">
        <v>24</v>
      </c>
      <c r="G10285" s="134" t="n">
        <f aca="false">LEN('Saisie programme'!$E$384)+SUMIFS('Vols additionnels'!$E$7:$E$66,'Vols additionnels'!$C$7:$C$66,$E10285,'Vols additionnels'!$D$7:$D$66,$F10285,'Vols additionnels'!$B$7:$B$66,$D10285)</f>
        <v>1</v>
      </c>
      <c r="H10285" s="135" t="n">
        <f aca="false">$G10285*'Analyse capacite'!$F$9</f>
        <v>174</v>
      </c>
      <c r="I10285" s="135" t="n">
        <f aca="false">$G10285*'Analyse capacite'!$C$9</f>
        <v>0</v>
      </c>
      <c r="J10285" s="135" t="n">
        <f aca="false">$G10285*'Analyse capacite'!$D$9</f>
        <v>12</v>
      </c>
      <c r="K10285" s="135" t="n">
        <f aca="false">$G10285*'Analyse capacite'!$E$9</f>
        <v>162</v>
      </c>
    </row>
    <row r="10286" customFormat="false" ht="15" hidden="false" customHeight="false" outlineLevel="0" collapsed="false">
      <c r="B10286" s="130" t="n">
        <v>2028</v>
      </c>
      <c r="C10286" s="131" t="s">
        <v>255</v>
      </c>
      <c r="D10286" s="132" t="n">
        <v>46763</v>
      </c>
      <c r="E10286" s="131" t="s">
        <v>49</v>
      </c>
      <c r="F10286" s="133" t="s">
        <v>11</v>
      </c>
      <c r="G10286" s="134" t="n">
        <f aca="false">LEN('Saisie programme'!$E$385)+SUMIFS('Vols additionnels'!$E$7:$E$66,'Vols additionnels'!$C$7:$C$66,$E10286,'Vols additionnels'!$D$7:$D$66,$F10286,'Vols additionnels'!$B$7:$B$66,$D10286)</f>
        <v>0</v>
      </c>
      <c r="H10286" s="135" t="n">
        <f aca="false">$G10286*'Analyse capacite'!$F$7</f>
        <v>0</v>
      </c>
      <c r="I10286" s="135" t="n">
        <f aca="false">$G10286*'Analyse capacite'!$C$7</f>
        <v>0</v>
      </c>
      <c r="J10286" s="135" t="n">
        <f aca="false">$G10286*'Analyse capacite'!$D$7</f>
        <v>0</v>
      </c>
      <c r="K10286" s="135" t="n">
        <f aca="false">$G10286*'Analyse capacite'!$E$7</f>
        <v>0</v>
      </c>
    </row>
    <row r="10287" customFormat="false" ht="15" hidden="false" customHeight="false" outlineLevel="0" collapsed="false">
      <c r="B10287" s="130" t="n">
        <v>2028</v>
      </c>
      <c r="C10287" s="131" t="s">
        <v>255</v>
      </c>
      <c r="D10287" s="132" t="n">
        <v>46763</v>
      </c>
      <c r="E10287" s="131" t="s">
        <v>49</v>
      </c>
      <c r="F10287" s="133" t="s">
        <v>19</v>
      </c>
      <c r="G10287" s="134" t="n">
        <f aca="false">LEN('Saisie programme'!$E$386)+SUMIFS('Vols additionnels'!$E$7:$E$66,'Vols additionnels'!$C$7:$C$66,$E10287,'Vols additionnels'!$D$7:$D$66,$F10287,'Vols additionnels'!$B$7:$B$66,$D10287)</f>
        <v>0</v>
      </c>
      <c r="H10287" s="135" t="n">
        <f aca="false">$G10287*'Analyse capacite'!$F$8</f>
        <v>0</v>
      </c>
      <c r="I10287" s="135" t="n">
        <f aca="false">$G10287*'Analyse capacite'!$C$8</f>
        <v>0</v>
      </c>
      <c r="J10287" s="135" t="n">
        <f aca="false">$G10287*'Analyse capacite'!$D$8</f>
        <v>0</v>
      </c>
      <c r="K10287" s="135" t="n">
        <f aca="false">$G10287*'Analyse capacite'!$E$8</f>
        <v>0</v>
      </c>
    </row>
    <row r="10288" customFormat="false" ht="15" hidden="false" customHeight="false" outlineLevel="0" collapsed="false">
      <c r="B10288" s="130" t="n">
        <v>2028</v>
      </c>
      <c r="C10288" s="131" t="s">
        <v>255</v>
      </c>
      <c r="D10288" s="132" t="n">
        <v>46763</v>
      </c>
      <c r="E10288" s="131" t="s">
        <v>49</v>
      </c>
      <c r="F10288" s="133" t="s">
        <v>24</v>
      </c>
      <c r="G10288" s="134" t="n">
        <f aca="false">LEN('Saisie programme'!$E$387)+SUMIFS('Vols additionnels'!$E$7:$E$66,'Vols additionnels'!$C$7:$C$66,$E10288,'Vols additionnels'!$D$7:$D$66,$F10288,'Vols additionnels'!$B$7:$B$66,$D10288)</f>
        <v>0</v>
      </c>
      <c r="H10288" s="135" t="n">
        <f aca="false">$G10288*'Analyse capacite'!$F$9</f>
        <v>0</v>
      </c>
      <c r="I10288" s="135" t="n">
        <f aca="false">$G10288*'Analyse capacite'!$C$9</f>
        <v>0</v>
      </c>
      <c r="J10288" s="135" t="n">
        <f aca="false">$G10288*'Analyse capacite'!$D$9</f>
        <v>0</v>
      </c>
      <c r="K10288" s="135" t="n">
        <f aca="false">$G10288*'Analyse capacite'!$E$9</f>
        <v>0</v>
      </c>
    </row>
    <row r="10289" customFormat="false" ht="15" hidden="false" customHeight="false" outlineLevel="0" collapsed="false">
      <c r="B10289" s="130" t="n">
        <v>2028</v>
      </c>
      <c r="C10289" s="131" t="s">
        <v>255</v>
      </c>
      <c r="D10289" s="132" t="n">
        <v>46763</v>
      </c>
      <c r="E10289" s="131" t="s">
        <v>53</v>
      </c>
      <c r="F10289" s="133" t="s">
        <v>11</v>
      </c>
      <c r="G10289" s="134" t="n">
        <f aca="false">LEN('Saisie programme'!$E$388)+SUMIFS('Vols additionnels'!$E$7:$E$66,'Vols additionnels'!$C$7:$C$66,$E10289,'Vols additionnels'!$D$7:$D$66,$F10289,'Vols additionnels'!$B$7:$B$66,$D10289)</f>
        <v>0</v>
      </c>
      <c r="H10289" s="135" t="n">
        <f aca="false">$G10289*'Analyse capacite'!$F$7</f>
        <v>0</v>
      </c>
      <c r="I10289" s="135" t="n">
        <f aca="false">$G10289*'Analyse capacite'!$C$7</f>
        <v>0</v>
      </c>
      <c r="J10289" s="135" t="n">
        <f aca="false">$G10289*'Analyse capacite'!$D$7</f>
        <v>0</v>
      </c>
      <c r="K10289" s="135" t="n">
        <f aca="false">$G10289*'Analyse capacite'!$E$7</f>
        <v>0</v>
      </c>
    </row>
    <row r="10290" customFormat="false" ht="15" hidden="false" customHeight="false" outlineLevel="0" collapsed="false">
      <c r="B10290" s="130" t="n">
        <v>2028</v>
      </c>
      <c r="C10290" s="131" t="s">
        <v>255</v>
      </c>
      <c r="D10290" s="132" t="n">
        <v>46763</v>
      </c>
      <c r="E10290" s="131" t="s">
        <v>53</v>
      </c>
      <c r="F10290" s="133" t="s">
        <v>19</v>
      </c>
      <c r="G10290" s="134" t="n">
        <f aca="false">LEN('Saisie programme'!$E$389)+SUMIFS('Vols additionnels'!$E$7:$E$66,'Vols additionnels'!$C$7:$C$66,$E10290,'Vols additionnels'!$D$7:$D$66,$F10290,'Vols additionnels'!$B$7:$B$66,$D10290)</f>
        <v>0</v>
      </c>
      <c r="H10290" s="135" t="n">
        <f aca="false">$G10290*'Analyse capacite'!$F$8</f>
        <v>0</v>
      </c>
      <c r="I10290" s="135" t="n">
        <f aca="false">$G10290*'Analyse capacite'!$C$8</f>
        <v>0</v>
      </c>
      <c r="J10290" s="135" t="n">
        <f aca="false">$G10290*'Analyse capacite'!$D$8</f>
        <v>0</v>
      </c>
      <c r="K10290" s="135" t="n">
        <f aca="false">$G10290*'Analyse capacite'!$E$8</f>
        <v>0</v>
      </c>
    </row>
    <row r="10291" customFormat="false" ht="15" hidden="false" customHeight="false" outlineLevel="0" collapsed="false">
      <c r="B10291" s="130" t="n">
        <v>2028</v>
      </c>
      <c r="C10291" s="131" t="s">
        <v>255</v>
      </c>
      <c r="D10291" s="132" t="n">
        <v>46763</v>
      </c>
      <c r="E10291" s="131" t="s">
        <v>53</v>
      </c>
      <c r="F10291" s="133" t="s">
        <v>24</v>
      </c>
      <c r="G10291" s="134" t="n">
        <f aca="false">LEN('Saisie programme'!$E$390)+SUMIFS('Vols additionnels'!$E$7:$E$66,'Vols additionnels'!$C$7:$C$66,$E10291,'Vols additionnels'!$D$7:$D$66,$F10291,'Vols additionnels'!$B$7:$B$66,$D10291)</f>
        <v>0</v>
      </c>
      <c r="H10291" s="135" t="n">
        <f aca="false">$G10291*'Analyse capacite'!$F$9</f>
        <v>0</v>
      </c>
      <c r="I10291" s="135" t="n">
        <f aca="false">$G10291*'Analyse capacite'!$C$9</f>
        <v>0</v>
      </c>
      <c r="J10291" s="135" t="n">
        <f aca="false">$G10291*'Analyse capacite'!$D$9</f>
        <v>0</v>
      </c>
      <c r="K10291" s="135" t="n">
        <f aca="false">$G10291*'Analyse capacite'!$E$9</f>
        <v>0</v>
      </c>
    </row>
    <row r="10292" customFormat="false" ht="15" hidden="false" customHeight="false" outlineLevel="0" collapsed="false">
      <c r="B10292" s="130" t="n">
        <v>2028</v>
      </c>
      <c r="C10292" s="131" t="s">
        <v>255</v>
      </c>
      <c r="D10292" s="132" t="n">
        <v>46763</v>
      </c>
      <c r="E10292" s="131" t="s">
        <v>56</v>
      </c>
      <c r="F10292" s="133" t="s">
        <v>11</v>
      </c>
      <c r="G10292" s="134" t="n">
        <f aca="false">LEN('Saisie programme'!$E$391)+SUMIFS('Vols additionnels'!$E$7:$E$66,'Vols additionnels'!$C$7:$C$66,$E10292,'Vols additionnels'!$D$7:$D$66,$F10292,'Vols additionnels'!$B$7:$B$66,$D10292)</f>
        <v>0</v>
      </c>
      <c r="H10292" s="135" t="n">
        <f aca="false">$G10292*'Analyse capacite'!$F$7</f>
        <v>0</v>
      </c>
      <c r="I10292" s="135" t="n">
        <f aca="false">$G10292*'Analyse capacite'!$C$7</f>
        <v>0</v>
      </c>
      <c r="J10292" s="135" t="n">
        <f aca="false">$G10292*'Analyse capacite'!$D$7</f>
        <v>0</v>
      </c>
      <c r="K10292" s="135" t="n">
        <f aca="false">$G10292*'Analyse capacite'!$E$7</f>
        <v>0</v>
      </c>
    </row>
    <row r="10293" customFormat="false" ht="15" hidden="false" customHeight="false" outlineLevel="0" collapsed="false">
      <c r="B10293" s="130" t="n">
        <v>2028</v>
      </c>
      <c r="C10293" s="131" t="s">
        <v>255</v>
      </c>
      <c r="D10293" s="132" t="n">
        <v>46763</v>
      </c>
      <c r="E10293" s="131" t="s">
        <v>56</v>
      </c>
      <c r="F10293" s="133" t="s">
        <v>19</v>
      </c>
      <c r="G10293" s="134" t="n">
        <f aca="false">LEN('Saisie programme'!$E$392)+SUMIFS('Vols additionnels'!$E$7:$E$66,'Vols additionnels'!$C$7:$C$66,$E10293,'Vols additionnels'!$D$7:$D$66,$F10293,'Vols additionnels'!$B$7:$B$66,$D10293)</f>
        <v>0</v>
      </c>
      <c r="H10293" s="135" t="n">
        <f aca="false">$G10293*'Analyse capacite'!$F$8</f>
        <v>0</v>
      </c>
      <c r="I10293" s="135" t="n">
        <f aca="false">$G10293*'Analyse capacite'!$C$8</f>
        <v>0</v>
      </c>
      <c r="J10293" s="135" t="n">
        <f aca="false">$G10293*'Analyse capacite'!$D$8</f>
        <v>0</v>
      </c>
      <c r="K10293" s="135" t="n">
        <f aca="false">$G10293*'Analyse capacite'!$E$8</f>
        <v>0</v>
      </c>
    </row>
    <row r="10294" customFormat="false" ht="15" hidden="false" customHeight="false" outlineLevel="0" collapsed="false">
      <c r="B10294" s="130" t="n">
        <v>2028</v>
      </c>
      <c r="C10294" s="131" t="s">
        <v>255</v>
      </c>
      <c r="D10294" s="132" t="n">
        <v>46763</v>
      </c>
      <c r="E10294" s="131" t="s">
        <v>56</v>
      </c>
      <c r="F10294" s="133" t="s">
        <v>24</v>
      </c>
      <c r="G10294" s="134" t="n">
        <f aca="false">LEN('Saisie programme'!$E$393)+SUMIFS('Vols additionnels'!$E$7:$E$66,'Vols additionnels'!$C$7:$C$66,$E10294,'Vols additionnels'!$D$7:$D$66,$F10294,'Vols additionnels'!$B$7:$B$66,$D10294)</f>
        <v>1</v>
      </c>
      <c r="H10294" s="135" t="n">
        <f aca="false">$G10294*'Analyse capacite'!$F$9</f>
        <v>174</v>
      </c>
      <c r="I10294" s="135" t="n">
        <f aca="false">$G10294*'Analyse capacite'!$C$9</f>
        <v>0</v>
      </c>
      <c r="J10294" s="135" t="n">
        <f aca="false">$G10294*'Analyse capacite'!$D$9</f>
        <v>12</v>
      </c>
      <c r="K10294" s="135" t="n">
        <f aca="false">$G10294*'Analyse capacite'!$E$9</f>
        <v>162</v>
      </c>
    </row>
    <row r="10295" customFormat="false" ht="15" hidden="false" customHeight="false" outlineLevel="0" collapsed="false">
      <c r="B10295" s="130" t="n">
        <v>2028</v>
      </c>
      <c r="C10295" s="131" t="s">
        <v>255</v>
      </c>
      <c r="D10295" s="132" t="n">
        <v>46763</v>
      </c>
      <c r="E10295" s="131" t="s">
        <v>59</v>
      </c>
      <c r="F10295" s="133" t="s">
        <v>11</v>
      </c>
      <c r="G10295" s="134" t="n">
        <f aca="false">LEN('Saisie programme'!$E$394)+SUMIFS('Vols additionnels'!$E$7:$E$66,'Vols additionnels'!$C$7:$C$66,$E10295,'Vols additionnels'!$D$7:$D$66,$F10295,'Vols additionnels'!$B$7:$B$66,$D10295)</f>
        <v>0</v>
      </c>
      <c r="H10295" s="135" t="n">
        <f aca="false">$G10295*'Analyse capacite'!$F$7</f>
        <v>0</v>
      </c>
      <c r="I10295" s="135" t="n">
        <f aca="false">$G10295*'Analyse capacite'!$C$7</f>
        <v>0</v>
      </c>
      <c r="J10295" s="135" t="n">
        <f aca="false">$G10295*'Analyse capacite'!$D$7</f>
        <v>0</v>
      </c>
      <c r="K10295" s="135" t="n">
        <f aca="false">$G10295*'Analyse capacite'!$E$7</f>
        <v>0</v>
      </c>
    </row>
    <row r="10296" customFormat="false" ht="15" hidden="false" customHeight="false" outlineLevel="0" collapsed="false">
      <c r="B10296" s="130" t="n">
        <v>2028</v>
      </c>
      <c r="C10296" s="131" t="s">
        <v>255</v>
      </c>
      <c r="D10296" s="132" t="n">
        <v>46763</v>
      </c>
      <c r="E10296" s="131" t="s">
        <v>59</v>
      </c>
      <c r="F10296" s="133" t="s">
        <v>19</v>
      </c>
      <c r="G10296" s="134" t="n">
        <f aca="false">LEN('Saisie programme'!$E$395)+SUMIFS('Vols additionnels'!$E$7:$E$66,'Vols additionnels'!$C$7:$C$66,$E10296,'Vols additionnels'!$D$7:$D$66,$F10296,'Vols additionnels'!$B$7:$B$66,$D10296)</f>
        <v>0</v>
      </c>
      <c r="H10296" s="135" t="n">
        <f aca="false">$G10296*'Analyse capacite'!$F$8</f>
        <v>0</v>
      </c>
      <c r="I10296" s="135" t="n">
        <f aca="false">$G10296*'Analyse capacite'!$C$8</f>
        <v>0</v>
      </c>
      <c r="J10296" s="135" t="n">
        <f aca="false">$G10296*'Analyse capacite'!$D$8</f>
        <v>0</v>
      </c>
      <c r="K10296" s="135" t="n">
        <f aca="false">$G10296*'Analyse capacite'!$E$8</f>
        <v>0</v>
      </c>
    </row>
    <row r="10297" customFormat="false" ht="15" hidden="false" customHeight="false" outlineLevel="0" collapsed="false">
      <c r="B10297" s="130" t="n">
        <v>2028</v>
      </c>
      <c r="C10297" s="131" t="s">
        <v>255</v>
      </c>
      <c r="D10297" s="132" t="n">
        <v>46763</v>
      </c>
      <c r="E10297" s="131" t="s">
        <v>59</v>
      </c>
      <c r="F10297" s="133" t="s">
        <v>24</v>
      </c>
      <c r="G10297" s="134" t="n">
        <f aca="false">LEN('Saisie programme'!$E$396)+SUMIFS('Vols additionnels'!$E$7:$E$66,'Vols additionnels'!$C$7:$C$66,$E10297,'Vols additionnels'!$D$7:$D$66,$F10297,'Vols additionnels'!$B$7:$B$66,$D10297)</f>
        <v>1</v>
      </c>
      <c r="H10297" s="135" t="n">
        <f aca="false">$G10297*'Analyse capacite'!$F$9</f>
        <v>174</v>
      </c>
      <c r="I10297" s="135" t="n">
        <f aca="false">$G10297*'Analyse capacite'!$C$9</f>
        <v>0</v>
      </c>
      <c r="J10297" s="135" t="n">
        <f aca="false">$G10297*'Analyse capacite'!$D$9</f>
        <v>12</v>
      </c>
      <c r="K10297" s="135" t="n">
        <f aca="false">$G10297*'Analyse capacite'!$E$9</f>
        <v>162</v>
      </c>
    </row>
    <row r="10298" customFormat="false" ht="15" hidden="false" customHeight="false" outlineLevel="0" collapsed="false">
      <c r="B10298" s="130" t="n">
        <v>2028</v>
      </c>
      <c r="C10298" s="131" t="s">
        <v>255</v>
      </c>
      <c r="D10298" s="132" t="n">
        <v>46763</v>
      </c>
      <c r="E10298" s="131" t="s">
        <v>62</v>
      </c>
      <c r="F10298" s="133" t="s">
        <v>11</v>
      </c>
      <c r="G10298" s="134" t="n">
        <f aca="false">LEN('Saisie programme'!$E$397)+SUMIFS('Vols additionnels'!$E$7:$E$66,'Vols additionnels'!$C$7:$C$66,$E10298,'Vols additionnels'!$D$7:$D$66,$F10298,'Vols additionnels'!$B$7:$B$66,$D10298)</f>
        <v>0</v>
      </c>
      <c r="H10298" s="135" t="n">
        <f aca="false">$G10298*'Analyse capacite'!$F$7</f>
        <v>0</v>
      </c>
      <c r="I10298" s="135" t="n">
        <f aca="false">$G10298*'Analyse capacite'!$C$7</f>
        <v>0</v>
      </c>
      <c r="J10298" s="135" t="n">
        <f aca="false">$G10298*'Analyse capacite'!$D$7</f>
        <v>0</v>
      </c>
      <c r="K10298" s="135" t="n">
        <f aca="false">$G10298*'Analyse capacite'!$E$7</f>
        <v>0</v>
      </c>
    </row>
    <row r="10299" customFormat="false" ht="15" hidden="false" customHeight="false" outlineLevel="0" collapsed="false">
      <c r="B10299" s="130" t="n">
        <v>2028</v>
      </c>
      <c r="C10299" s="131" t="s">
        <v>255</v>
      </c>
      <c r="D10299" s="132" t="n">
        <v>46763</v>
      </c>
      <c r="E10299" s="131" t="s">
        <v>62</v>
      </c>
      <c r="F10299" s="133" t="s">
        <v>19</v>
      </c>
      <c r="G10299" s="134" t="n">
        <f aca="false">LEN('Saisie programme'!$E$398)+SUMIFS('Vols additionnels'!$E$7:$E$66,'Vols additionnels'!$C$7:$C$66,$E10299,'Vols additionnels'!$D$7:$D$66,$F10299,'Vols additionnels'!$B$7:$B$66,$D10299)</f>
        <v>0</v>
      </c>
      <c r="H10299" s="135" t="n">
        <f aca="false">$G10299*'Analyse capacite'!$F$8</f>
        <v>0</v>
      </c>
      <c r="I10299" s="135" t="n">
        <f aca="false">$G10299*'Analyse capacite'!$C$8</f>
        <v>0</v>
      </c>
      <c r="J10299" s="135" t="n">
        <f aca="false">$G10299*'Analyse capacite'!$D$8</f>
        <v>0</v>
      </c>
      <c r="K10299" s="135" t="n">
        <f aca="false">$G10299*'Analyse capacite'!$E$8</f>
        <v>0</v>
      </c>
    </row>
    <row r="10300" customFormat="false" ht="15" hidden="false" customHeight="false" outlineLevel="0" collapsed="false">
      <c r="B10300" s="130" t="n">
        <v>2028</v>
      </c>
      <c r="C10300" s="131" t="s">
        <v>255</v>
      </c>
      <c r="D10300" s="132" t="n">
        <v>46763</v>
      </c>
      <c r="E10300" s="131" t="s">
        <v>62</v>
      </c>
      <c r="F10300" s="133" t="s">
        <v>24</v>
      </c>
      <c r="G10300" s="134" t="n">
        <f aca="false">LEN('Saisie programme'!$E$399)+SUMIFS('Vols additionnels'!$E$7:$E$66,'Vols additionnels'!$C$7:$C$66,$E10300,'Vols additionnels'!$D$7:$D$66,$F10300,'Vols additionnels'!$B$7:$B$66,$D10300)</f>
        <v>0</v>
      </c>
      <c r="H10300" s="135" t="n">
        <f aca="false">$G10300*'Analyse capacite'!$F$9</f>
        <v>0</v>
      </c>
      <c r="I10300" s="135" t="n">
        <f aca="false">$G10300*'Analyse capacite'!$C$9</f>
        <v>0</v>
      </c>
      <c r="J10300" s="135" t="n">
        <f aca="false">$G10300*'Analyse capacite'!$D$9</f>
        <v>0</v>
      </c>
      <c r="K10300" s="135" t="n">
        <f aca="false">$G10300*'Analyse capacite'!$E$9</f>
        <v>0</v>
      </c>
    </row>
    <row r="10301" customFormat="false" ht="15" hidden="false" customHeight="false" outlineLevel="0" collapsed="false">
      <c r="B10301" s="130" t="n">
        <v>2028</v>
      </c>
      <c r="C10301" s="131" t="s">
        <v>255</v>
      </c>
      <c r="D10301" s="132" t="n">
        <v>46764</v>
      </c>
      <c r="E10301" s="131" t="s">
        <v>12</v>
      </c>
      <c r="F10301" s="133" t="s">
        <v>11</v>
      </c>
      <c r="G10301" s="134" t="n">
        <f aca="false">LEN('Saisie programme'!$F$364)+SUMIFS('Vols additionnels'!$E$7:$E$66,'Vols additionnels'!$C$7:$C$66,$E10301,'Vols additionnels'!$D$7:$D$66,$F10301,'Vols additionnels'!$B$7:$B$66,$D10301)</f>
        <v>1</v>
      </c>
      <c r="H10301" s="135" t="n">
        <f aca="false">$G10301*'Analyse capacite'!$F$7</f>
        <v>438</v>
      </c>
      <c r="I10301" s="135" t="n">
        <f aca="false">$G10301*'Analyse capacite'!$C$7</f>
        <v>14</v>
      </c>
      <c r="J10301" s="135" t="n">
        <f aca="false">$G10301*'Analyse capacite'!$D$7</f>
        <v>40</v>
      </c>
      <c r="K10301" s="135" t="n">
        <f aca="false">$G10301*'Analyse capacite'!$E$7</f>
        <v>384</v>
      </c>
    </row>
    <row r="10302" customFormat="false" ht="15" hidden="false" customHeight="false" outlineLevel="0" collapsed="false">
      <c r="B10302" s="130" t="n">
        <v>2028</v>
      </c>
      <c r="C10302" s="131" t="s">
        <v>255</v>
      </c>
      <c r="D10302" s="132" t="n">
        <v>46764</v>
      </c>
      <c r="E10302" s="131" t="s">
        <v>12</v>
      </c>
      <c r="F10302" s="133" t="s">
        <v>19</v>
      </c>
      <c r="G10302" s="134" t="n">
        <f aca="false">LEN('Saisie programme'!$F$365)+SUMIFS('Vols additionnels'!$E$7:$E$66,'Vols additionnels'!$C$7:$C$66,$E10302,'Vols additionnels'!$D$7:$D$66,$F10302,'Vols additionnels'!$B$7:$B$66,$D10302)</f>
        <v>0</v>
      </c>
      <c r="H10302" s="135" t="n">
        <f aca="false">$G10302*'Analyse capacite'!$F$8</f>
        <v>0</v>
      </c>
      <c r="I10302" s="135" t="n">
        <f aca="false">$G10302*'Analyse capacite'!$C$8</f>
        <v>0</v>
      </c>
      <c r="J10302" s="135" t="n">
        <f aca="false">$G10302*'Analyse capacite'!$D$8</f>
        <v>0</v>
      </c>
      <c r="K10302" s="135" t="n">
        <f aca="false">$G10302*'Analyse capacite'!$E$8</f>
        <v>0</v>
      </c>
    </row>
    <row r="10303" customFormat="false" ht="15" hidden="false" customHeight="false" outlineLevel="0" collapsed="false">
      <c r="B10303" s="130" t="n">
        <v>2028</v>
      </c>
      <c r="C10303" s="131" t="s">
        <v>255</v>
      </c>
      <c r="D10303" s="132" t="n">
        <v>46764</v>
      </c>
      <c r="E10303" s="131" t="s">
        <v>12</v>
      </c>
      <c r="F10303" s="133" t="s">
        <v>24</v>
      </c>
      <c r="G10303" s="134" t="n">
        <f aca="false">LEN('Saisie programme'!$F$366)+SUMIFS('Vols additionnels'!$E$7:$E$66,'Vols additionnels'!$C$7:$C$66,$E10303,'Vols additionnels'!$D$7:$D$66,$F10303,'Vols additionnels'!$B$7:$B$66,$D10303)</f>
        <v>0</v>
      </c>
      <c r="H10303" s="135" t="n">
        <f aca="false">$G10303*'Analyse capacite'!$F$9</f>
        <v>0</v>
      </c>
      <c r="I10303" s="135" t="n">
        <f aca="false">$G10303*'Analyse capacite'!$C$9</f>
        <v>0</v>
      </c>
      <c r="J10303" s="135" t="n">
        <f aca="false">$G10303*'Analyse capacite'!$D$9</f>
        <v>0</v>
      </c>
      <c r="K10303" s="135" t="n">
        <f aca="false">$G10303*'Analyse capacite'!$E$9</f>
        <v>0</v>
      </c>
    </row>
    <row r="10304" customFormat="false" ht="15" hidden="false" customHeight="false" outlineLevel="0" collapsed="false">
      <c r="B10304" s="130" t="n">
        <v>2028</v>
      </c>
      <c r="C10304" s="131" t="s">
        <v>255</v>
      </c>
      <c r="D10304" s="132" t="n">
        <v>46764</v>
      </c>
      <c r="E10304" s="131" t="s">
        <v>20</v>
      </c>
      <c r="F10304" s="133" t="s">
        <v>11</v>
      </c>
      <c r="G10304" s="134" t="n">
        <f aca="false">LEN('Saisie programme'!$F$367)+SUMIFS('Vols additionnels'!$E$7:$E$66,'Vols additionnels'!$C$7:$C$66,$E10304,'Vols additionnels'!$D$7:$D$66,$F10304,'Vols additionnels'!$B$7:$B$66,$D10304)</f>
        <v>0</v>
      </c>
      <c r="H10304" s="135" t="n">
        <f aca="false">$G10304*'Analyse capacite'!$F$7</f>
        <v>0</v>
      </c>
      <c r="I10304" s="135" t="n">
        <f aca="false">$G10304*'Analyse capacite'!$C$7</f>
        <v>0</v>
      </c>
      <c r="J10304" s="135" t="n">
        <f aca="false">$G10304*'Analyse capacite'!$D$7</f>
        <v>0</v>
      </c>
      <c r="K10304" s="135" t="n">
        <f aca="false">$G10304*'Analyse capacite'!$E$7</f>
        <v>0</v>
      </c>
    </row>
    <row r="10305" customFormat="false" ht="15" hidden="false" customHeight="false" outlineLevel="0" collapsed="false">
      <c r="B10305" s="130" t="n">
        <v>2028</v>
      </c>
      <c r="C10305" s="131" t="s">
        <v>255</v>
      </c>
      <c r="D10305" s="132" t="n">
        <v>46764</v>
      </c>
      <c r="E10305" s="131" t="s">
        <v>20</v>
      </c>
      <c r="F10305" s="133" t="s">
        <v>19</v>
      </c>
      <c r="G10305" s="134" t="n">
        <f aca="false">LEN('Saisie programme'!$F$368)+SUMIFS('Vols additionnels'!$E$7:$E$66,'Vols additionnels'!$C$7:$C$66,$E10305,'Vols additionnels'!$D$7:$D$66,$F10305,'Vols additionnels'!$B$7:$B$66,$D10305)</f>
        <v>0</v>
      </c>
      <c r="H10305" s="135" t="n">
        <f aca="false">$G10305*'Analyse capacite'!$F$8</f>
        <v>0</v>
      </c>
      <c r="I10305" s="135" t="n">
        <f aca="false">$G10305*'Analyse capacite'!$C$8</f>
        <v>0</v>
      </c>
      <c r="J10305" s="135" t="n">
        <f aca="false">$G10305*'Analyse capacite'!$D$8</f>
        <v>0</v>
      </c>
      <c r="K10305" s="135" t="n">
        <f aca="false">$G10305*'Analyse capacite'!$E$8</f>
        <v>0</v>
      </c>
    </row>
    <row r="10306" customFormat="false" ht="15" hidden="false" customHeight="false" outlineLevel="0" collapsed="false">
      <c r="B10306" s="130" t="n">
        <v>2028</v>
      </c>
      <c r="C10306" s="131" t="s">
        <v>255</v>
      </c>
      <c r="D10306" s="132" t="n">
        <v>46764</v>
      </c>
      <c r="E10306" s="131" t="s">
        <v>20</v>
      </c>
      <c r="F10306" s="133" t="s">
        <v>24</v>
      </c>
      <c r="G10306" s="134" t="n">
        <f aca="false">LEN('Saisie programme'!$F$369)+SUMIFS('Vols additionnels'!$E$7:$E$66,'Vols additionnels'!$C$7:$C$66,$E10306,'Vols additionnels'!$D$7:$D$66,$F10306,'Vols additionnels'!$B$7:$B$66,$D10306)</f>
        <v>0</v>
      </c>
      <c r="H10306" s="135" t="n">
        <f aca="false">$G10306*'Analyse capacite'!$F$9</f>
        <v>0</v>
      </c>
      <c r="I10306" s="135" t="n">
        <f aca="false">$G10306*'Analyse capacite'!$C$9</f>
        <v>0</v>
      </c>
      <c r="J10306" s="135" t="n">
        <f aca="false">$G10306*'Analyse capacite'!$D$9</f>
        <v>0</v>
      </c>
      <c r="K10306" s="135" t="n">
        <f aca="false">$G10306*'Analyse capacite'!$E$9</f>
        <v>0</v>
      </c>
    </row>
    <row r="10307" customFormat="false" ht="15" hidden="false" customHeight="false" outlineLevel="0" collapsed="false">
      <c r="B10307" s="130" t="n">
        <v>2028</v>
      </c>
      <c r="C10307" s="131" t="s">
        <v>255</v>
      </c>
      <c r="D10307" s="132" t="n">
        <v>46764</v>
      </c>
      <c r="E10307" s="131" t="s">
        <v>25</v>
      </c>
      <c r="F10307" s="133" t="s">
        <v>11</v>
      </c>
      <c r="G10307" s="134" t="n">
        <f aca="false">LEN('Saisie programme'!$F$370)+SUMIFS('Vols additionnels'!$E$7:$E$66,'Vols additionnels'!$C$7:$C$66,$E10307,'Vols additionnels'!$D$7:$D$66,$F10307,'Vols additionnels'!$B$7:$B$66,$D10307)</f>
        <v>0</v>
      </c>
      <c r="H10307" s="135" t="n">
        <f aca="false">$G10307*'Analyse capacite'!$F$7</f>
        <v>0</v>
      </c>
      <c r="I10307" s="135" t="n">
        <f aca="false">$G10307*'Analyse capacite'!$C$7</f>
        <v>0</v>
      </c>
      <c r="J10307" s="135" t="n">
        <f aca="false">$G10307*'Analyse capacite'!$D$7</f>
        <v>0</v>
      </c>
      <c r="K10307" s="135" t="n">
        <f aca="false">$G10307*'Analyse capacite'!$E$7</f>
        <v>0</v>
      </c>
    </row>
    <row r="10308" customFormat="false" ht="15" hidden="false" customHeight="false" outlineLevel="0" collapsed="false">
      <c r="B10308" s="130" t="n">
        <v>2028</v>
      </c>
      <c r="C10308" s="131" t="s">
        <v>255</v>
      </c>
      <c r="D10308" s="132" t="n">
        <v>46764</v>
      </c>
      <c r="E10308" s="131" t="s">
        <v>25</v>
      </c>
      <c r="F10308" s="133" t="s">
        <v>19</v>
      </c>
      <c r="G10308" s="134" t="n">
        <f aca="false">LEN('Saisie programme'!$F$371)+SUMIFS('Vols additionnels'!$E$7:$E$66,'Vols additionnels'!$C$7:$C$66,$E10308,'Vols additionnels'!$D$7:$D$66,$F10308,'Vols additionnels'!$B$7:$B$66,$D10308)</f>
        <v>1</v>
      </c>
      <c r="H10308" s="135" t="n">
        <f aca="false">$G10308*'Analyse capacite'!$F$8</f>
        <v>262</v>
      </c>
      <c r="I10308" s="135" t="n">
        <f aca="false">$G10308*'Analyse capacite'!$C$8</f>
        <v>18</v>
      </c>
      <c r="J10308" s="135" t="n">
        <f aca="false">$G10308*'Analyse capacite'!$D$8</f>
        <v>0</v>
      </c>
      <c r="K10308" s="135" t="n">
        <f aca="false">$G10308*'Analyse capacite'!$E$8</f>
        <v>244</v>
      </c>
    </row>
    <row r="10309" customFormat="false" ht="15" hidden="false" customHeight="false" outlineLevel="0" collapsed="false">
      <c r="B10309" s="130" t="n">
        <v>2028</v>
      </c>
      <c r="C10309" s="131" t="s">
        <v>255</v>
      </c>
      <c r="D10309" s="132" t="n">
        <v>46764</v>
      </c>
      <c r="E10309" s="131" t="s">
        <v>25</v>
      </c>
      <c r="F10309" s="133" t="s">
        <v>24</v>
      </c>
      <c r="G10309" s="134" t="n">
        <f aca="false">LEN('Saisie programme'!$F$372)+SUMIFS('Vols additionnels'!$E$7:$E$66,'Vols additionnels'!$C$7:$C$66,$E10309,'Vols additionnels'!$D$7:$D$66,$F10309,'Vols additionnels'!$B$7:$B$66,$D10309)</f>
        <v>0</v>
      </c>
      <c r="H10309" s="135" t="n">
        <f aca="false">$G10309*'Analyse capacite'!$F$9</f>
        <v>0</v>
      </c>
      <c r="I10309" s="135" t="n">
        <f aca="false">$G10309*'Analyse capacite'!$C$9</f>
        <v>0</v>
      </c>
      <c r="J10309" s="135" t="n">
        <f aca="false">$G10309*'Analyse capacite'!$D$9</f>
        <v>0</v>
      </c>
      <c r="K10309" s="135" t="n">
        <f aca="false">$G10309*'Analyse capacite'!$E$9</f>
        <v>0</v>
      </c>
    </row>
    <row r="10310" customFormat="false" ht="15" hidden="false" customHeight="false" outlineLevel="0" collapsed="false">
      <c r="B10310" s="130" t="n">
        <v>2028</v>
      </c>
      <c r="C10310" s="131" t="s">
        <v>255</v>
      </c>
      <c r="D10310" s="132" t="n">
        <v>46764</v>
      </c>
      <c r="E10310" s="131" t="s">
        <v>36</v>
      </c>
      <c r="F10310" s="133" t="s">
        <v>11</v>
      </c>
      <c r="G10310" s="134" t="n">
        <f aca="false">LEN('Saisie programme'!$F$373)+SUMIFS('Vols additionnels'!$E$7:$E$66,'Vols additionnels'!$C$7:$C$66,$E10310,'Vols additionnels'!$D$7:$D$66,$F10310,'Vols additionnels'!$B$7:$B$66,$D10310)</f>
        <v>0</v>
      </c>
      <c r="H10310" s="135" t="n">
        <f aca="false">$G10310*'Analyse capacite'!$F$7</f>
        <v>0</v>
      </c>
      <c r="I10310" s="135" t="n">
        <f aca="false">$G10310*'Analyse capacite'!$C$7</f>
        <v>0</v>
      </c>
      <c r="J10310" s="135" t="n">
        <f aca="false">$G10310*'Analyse capacite'!$D$7</f>
        <v>0</v>
      </c>
      <c r="K10310" s="135" t="n">
        <f aca="false">$G10310*'Analyse capacite'!$E$7</f>
        <v>0</v>
      </c>
    </row>
    <row r="10311" customFormat="false" ht="15" hidden="false" customHeight="false" outlineLevel="0" collapsed="false">
      <c r="B10311" s="130" t="n">
        <v>2028</v>
      </c>
      <c r="C10311" s="131" t="s">
        <v>255</v>
      </c>
      <c r="D10311" s="132" t="n">
        <v>46764</v>
      </c>
      <c r="E10311" s="131" t="s">
        <v>36</v>
      </c>
      <c r="F10311" s="133" t="s">
        <v>19</v>
      </c>
      <c r="G10311" s="134" t="n">
        <f aca="false">LEN('Saisie programme'!$F$374)+SUMIFS('Vols additionnels'!$E$7:$E$66,'Vols additionnels'!$C$7:$C$66,$E10311,'Vols additionnels'!$D$7:$D$66,$F10311,'Vols additionnels'!$B$7:$B$66,$D10311)</f>
        <v>1</v>
      </c>
      <c r="H10311" s="135" t="n">
        <f aca="false">$G10311*'Analyse capacite'!$F$8</f>
        <v>262</v>
      </c>
      <c r="I10311" s="135" t="n">
        <f aca="false">$G10311*'Analyse capacite'!$C$8</f>
        <v>18</v>
      </c>
      <c r="J10311" s="135" t="n">
        <f aca="false">$G10311*'Analyse capacite'!$D$8</f>
        <v>0</v>
      </c>
      <c r="K10311" s="135" t="n">
        <f aca="false">$G10311*'Analyse capacite'!$E$8</f>
        <v>244</v>
      </c>
    </row>
    <row r="10312" customFormat="false" ht="15" hidden="false" customHeight="false" outlineLevel="0" collapsed="false">
      <c r="B10312" s="130" t="n">
        <v>2028</v>
      </c>
      <c r="C10312" s="131" t="s">
        <v>255</v>
      </c>
      <c r="D10312" s="132" t="n">
        <v>46764</v>
      </c>
      <c r="E10312" s="131" t="s">
        <v>36</v>
      </c>
      <c r="F10312" s="133" t="s">
        <v>24</v>
      </c>
      <c r="G10312" s="134" t="n">
        <f aca="false">LEN('Saisie programme'!$F$375)+SUMIFS('Vols additionnels'!$E$7:$E$66,'Vols additionnels'!$C$7:$C$66,$E10312,'Vols additionnels'!$D$7:$D$66,$F10312,'Vols additionnels'!$B$7:$B$66,$D10312)</f>
        <v>1</v>
      </c>
      <c r="H10312" s="135" t="n">
        <f aca="false">$G10312*'Analyse capacite'!$F$9</f>
        <v>174</v>
      </c>
      <c r="I10312" s="135" t="n">
        <f aca="false">$G10312*'Analyse capacite'!$C$9</f>
        <v>0</v>
      </c>
      <c r="J10312" s="135" t="n">
        <f aca="false">$G10312*'Analyse capacite'!$D$9</f>
        <v>12</v>
      </c>
      <c r="K10312" s="135" t="n">
        <f aca="false">$G10312*'Analyse capacite'!$E$9</f>
        <v>162</v>
      </c>
    </row>
    <row r="10313" customFormat="false" ht="15" hidden="false" customHeight="false" outlineLevel="0" collapsed="false">
      <c r="B10313" s="130" t="n">
        <v>2028</v>
      </c>
      <c r="C10313" s="131" t="s">
        <v>255</v>
      </c>
      <c r="D10313" s="132" t="n">
        <v>46764</v>
      </c>
      <c r="E10313" s="131" t="s">
        <v>40</v>
      </c>
      <c r="F10313" s="133" t="s">
        <v>11</v>
      </c>
      <c r="G10313" s="134" t="n">
        <f aca="false">LEN('Saisie programme'!$F$376)+SUMIFS('Vols additionnels'!$E$7:$E$66,'Vols additionnels'!$C$7:$C$66,$E10313,'Vols additionnels'!$D$7:$D$66,$F10313,'Vols additionnels'!$B$7:$B$66,$D10313)</f>
        <v>0</v>
      </c>
      <c r="H10313" s="135" t="n">
        <f aca="false">$G10313*'Analyse capacite'!$F$7</f>
        <v>0</v>
      </c>
      <c r="I10313" s="135" t="n">
        <f aca="false">$G10313*'Analyse capacite'!$C$7</f>
        <v>0</v>
      </c>
      <c r="J10313" s="135" t="n">
        <f aca="false">$G10313*'Analyse capacite'!$D$7</f>
        <v>0</v>
      </c>
      <c r="K10313" s="135" t="n">
        <f aca="false">$G10313*'Analyse capacite'!$E$7</f>
        <v>0</v>
      </c>
    </row>
    <row r="10314" customFormat="false" ht="15" hidden="false" customHeight="false" outlineLevel="0" collapsed="false">
      <c r="B10314" s="130" t="n">
        <v>2028</v>
      </c>
      <c r="C10314" s="131" t="s">
        <v>255</v>
      </c>
      <c r="D10314" s="132" t="n">
        <v>46764</v>
      </c>
      <c r="E10314" s="131" t="s">
        <v>40</v>
      </c>
      <c r="F10314" s="133" t="s">
        <v>19</v>
      </c>
      <c r="G10314" s="134" t="n">
        <f aca="false">LEN('Saisie programme'!$F$377)+SUMIFS('Vols additionnels'!$E$7:$E$66,'Vols additionnels'!$C$7:$C$66,$E10314,'Vols additionnels'!$D$7:$D$66,$F10314,'Vols additionnels'!$B$7:$B$66,$D10314)</f>
        <v>0</v>
      </c>
      <c r="H10314" s="135" t="n">
        <f aca="false">$G10314*'Analyse capacite'!$F$8</f>
        <v>0</v>
      </c>
      <c r="I10314" s="135" t="n">
        <f aca="false">$G10314*'Analyse capacite'!$C$8</f>
        <v>0</v>
      </c>
      <c r="J10314" s="135" t="n">
        <f aca="false">$G10314*'Analyse capacite'!$D$8</f>
        <v>0</v>
      </c>
      <c r="K10314" s="135" t="n">
        <f aca="false">$G10314*'Analyse capacite'!$E$8</f>
        <v>0</v>
      </c>
    </row>
    <row r="10315" customFormat="false" ht="15" hidden="false" customHeight="false" outlineLevel="0" collapsed="false">
      <c r="B10315" s="130" t="n">
        <v>2028</v>
      </c>
      <c r="C10315" s="131" t="s">
        <v>255</v>
      </c>
      <c r="D10315" s="132" t="n">
        <v>46764</v>
      </c>
      <c r="E10315" s="131" t="s">
        <v>40</v>
      </c>
      <c r="F10315" s="133" t="s">
        <v>24</v>
      </c>
      <c r="G10315" s="134" t="n">
        <f aca="false">LEN('Saisie programme'!$F$378)+SUMIFS('Vols additionnels'!$E$7:$E$66,'Vols additionnels'!$C$7:$C$66,$E10315,'Vols additionnels'!$D$7:$D$66,$F10315,'Vols additionnels'!$B$7:$B$66,$D10315)</f>
        <v>1</v>
      </c>
      <c r="H10315" s="135" t="n">
        <f aca="false">$G10315*'Analyse capacite'!$F$9</f>
        <v>174</v>
      </c>
      <c r="I10315" s="135" t="n">
        <f aca="false">$G10315*'Analyse capacite'!$C$9</f>
        <v>0</v>
      </c>
      <c r="J10315" s="135" t="n">
        <f aca="false">$G10315*'Analyse capacite'!$D$9</f>
        <v>12</v>
      </c>
      <c r="K10315" s="135" t="n">
        <f aca="false">$G10315*'Analyse capacite'!$E$9</f>
        <v>162</v>
      </c>
    </row>
    <row r="10316" customFormat="false" ht="15" hidden="false" customHeight="false" outlineLevel="0" collapsed="false">
      <c r="B10316" s="130" t="n">
        <v>2028</v>
      </c>
      <c r="C10316" s="131" t="s">
        <v>255</v>
      </c>
      <c r="D10316" s="132" t="n">
        <v>46764</v>
      </c>
      <c r="E10316" s="131" t="s">
        <v>14</v>
      </c>
      <c r="F10316" s="133" t="s">
        <v>11</v>
      </c>
      <c r="G10316" s="134" t="n">
        <f aca="false">LEN('Saisie programme'!$F$379)+SUMIFS('Vols additionnels'!$E$7:$E$66,'Vols additionnels'!$C$7:$C$66,$E10316,'Vols additionnels'!$D$7:$D$66,$F10316,'Vols additionnels'!$B$7:$B$66,$D10316)</f>
        <v>0</v>
      </c>
      <c r="H10316" s="135" t="n">
        <f aca="false">$G10316*'Analyse capacite'!$F$7</f>
        <v>0</v>
      </c>
      <c r="I10316" s="135" t="n">
        <f aca="false">$G10316*'Analyse capacite'!$C$7</f>
        <v>0</v>
      </c>
      <c r="J10316" s="135" t="n">
        <f aca="false">$G10316*'Analyse capacite'!$D$7</f>
        <v>0</v>
      </c>
      <c r="K10316" s="135" t="n">
        <f aca="false">$G10316*'Analyse capacite'!$E$7</f>
        <v>0</v>
      </c>
    </row>
    <row r="10317" customFormat="false" ht="15" hidden="false" customHeight="false" outlineLevel="0" collapsed="false">
      <c r="B10317" s="130" t="n">
        <v>2028</v>
      </c>
      <c r="C10317" s="131" t="s">
        <v>255</v>
      </c>
      <c r="D10317" s="132" t="n">
        <v>46764</v>
      </c>
      <c r="E10317" s="131" t="s">
        <v>14</v>
      </c>
      <c r="F10317" s="133" t="s">
        <v>19</v>
      </c>
      <c r="G10317" s="134" t="n">
        <f aca="false">LEN('Saisie programme'!$F$380)+SUMIFS('Vols additionnels'!$E$7:$E$66,'Vols additionnels'!$C$7:$C$66,$E10317,'Vols additionnels'!$D$7:$D$66,$F10317,'Vols additionnels'!$B$7:$B$66,$D10317)</f>
        <v>0</v>
      </c>
      <c r="H10317" s="135" t="n">
        <f aca="false">$G10317*'Analyse capacite'!$F$8</f>
        <v>0</v>
      </c>
      <c r="I10317" s="135" t="n">
        <f aca="false">$G10317*'Analyse capacite'!$C$8</f>
        <v>0</v>
      </c>
      <c r="J10317" s="135" t="n">
        <f aca="false">$G10317*'Analyse capacite'!$D$8</f>
        <v>0</v>
      </c>
      <c r="K10317" s="135" t="n">
        <f aca="false">$G10317*'Analyse capacite'!$E$8</f>
        <v>0</v>
      </c>
    </row>
    <row r="10318" customFormat="false" ht="15" hidden="false" customHeight="false" outlineLevel="0" collapsed="false">
      <c r="B10318" s="130" t="n">
        <v>2028</v>
      </c>
      <c r="C10318" s="131" t="s">
        <v>255</v>
      </c>
      <c r="D10318" s="132" t="n">
        <v>46764</v>
      </c>
      <c r="E10318" s="131" t="s">
        <v>14</v>
      </c>
      <c r="F10318" s="133" t="s">
        <v>24</v>
      </c>
      <c r="G10318" s="134" t="n">
        <f aca="false">LEN('Saisie programme'!$F$381)+SUMIFS('Vols additionnels'!$E$7:$E$66,'Vols additionnels'!$C$7:$C$66,$E10318,'Vols additionnels'!$D$7:$D$66,$F10318,'Vols additionnels'!$B$7:$B$66,$D10318)</f>
        <v>0</v>
      </c>
      <c r="H10318" s="135" t="n">
        <f aca="false">$G10318*'Analyse capacite'!$F$9</f>
        <v>0</v>
      </c>
      <c r="I10318" s="135" t="n">
        <f aca="false">$G10318*'Analyse capacite'!$C$9</f>
        <v>0</v>
      </c>
      <c r="J10318" s="135" t="n">
        <f aca="false">$G10318*'Analyse capacite'!$D$9</f>
        <v>0</v>
      </c>
      <c r="K10318" s="135" t="n">
        <f aca="false">$G10318*'Analyse capacite'!$E$9</f>
        <v>0</v>
      </c>
    </row>
    <row r="10319" customFormat="false" ht="15" hidden="false" customHeight="false" outlineLevel="0" collapsed="false">
      <c r="B10319" s="130" t="n">
        <v>2028</v>
      </c>
      <c r="C10319" s="131" t="s">
        <v>255</v>
      </c>
      <c r="D10319" s="132" t="n">
        <v>46764</v>
      </c>
      <c r="E10319" s="131" t="s">
        <v>46</v>
      </c>
      <c r="F10319" s="133" t="s">
        <v>11</v>
      </c>
      <c r="G10319" s="134" t="n">
        <f aca="false">LEN('Saisie programme'!$F$382)+SUMIFS('Vols additionnels'!$E$7:$E$66,'Vols additionnels'!$C$7:$C$66,$E10319,'Vols additionnels'!$D$7:$D$66,$F10319,'Vols additionnels'!$B$7:$B$66,$D10319)</f>
        <v>0</v>
      </c>
      <c r="H10319" s="135" t="n">
        <f aca="false">$G10319*'Analyse capacite'!$F$7</f>
        <v>0</v>
      </c>
      <c r="I10319" s="135" t="n">
        <f aca="false">$G10319*'Analyse capacite'!$C$7</f>
        <v>0</v>
      </c>
      <c r="J10319" s="135" t="n">
        <f aca="false">$G10319*'Analyse capacite'!$D$7</f>
        <v>0</v>
      </c>
      <c r="K10319" s="135" t="n">
        <f aca="false">$G10319*'Analyse capacite'!$E$7</f>
        <v>0</v>
      </c>
    </row>
    <row r="10320" customFormat="false" ht="15" hidden="false" customHeight="false" outlineLevel="0" collapsed="false">
      <c r="B10320" s="130" t="n">
        <v>2028</v>
      </c>
      <c r="C10320" s="131" t="s">
        <v>255</v>
      </c>
      <c r="D10320" s="132" t="n">
        <v>46764</v>
      </c>
      <c r="E10320" s="131" t="s">
        <v>46</v>
      </c>
      <c r="F10320" s="133" t="s">
        <v>19</v>
      </c>
      <c r="G10320" s="134" t="n">
        <f aca="false">LEN('Saisie programme'!$F$383)+SUMIFS('Vols additionnels'!$E$7:$E$66,'Vols additionnels'!$C$7:$C$66,$E10320,'Vols additionnels'!$D$7:$D$66,$F10320,'Vols additionnels'!$B$7:$B$66,$D10320)</f>
        <v>0</v>
      </c>
      <c r="H10320" s="135" t="n">
        <f aca="false">$G10320*'Analyse capacite'!$F$8</f>
        <v>0</v>
      </c>
      <c r="I10320" s="135" t="n">
        <f aca="false">$G10320*'Analyse capacite'!$C$8</f>
        <v>0</v>
      </c>
      <c r="J10320" s="135" t="n">
        <f aca="false">$G10320*'Analyse capacite'!$D$8</f>
        <v>0</v>
      </c>
      <c r="K10320" s="135" t="n">
        <f aca="false">$G10320*'Analyse capacite'!$E$8</f>
        <v>0</v>
      </c>
    </row>
    <row r="10321" customFormat="false" ht="15" hidden="false" customHeight="false" outlineLevel="0" collapsed="false">
      <c r="B10321" s="130" t="n">
        <v>2028</v>
      </c>
      <c r="C10321" s="131" t="s">
        <v>255</v>
      </c>
      <c r="D10321" s="132" t="n">
        <v>46764</v>
      </c>
      <c r="E10321" s="131" t="s">
        <v>46</v>
      </c>
      <c r="F10321" s="133" t="s">
        <v>24</v>
      </c>
      <c r="G10321" s="134" t="n">
        <f aca="false">LEN('Saisie programme'!$F$384)+SUMIFS('Vols additionnels'!$E$7:$E$66,'Vols additionnels'!$C$7:$C$66,$E10321,'Vols additionnels'!$D$7:$D$66,$F10321,'Vols additionnels'!$B$7:$B$66,$D10321)</f>
        <v>0</v>
      </c>
      <c r="H10321" s="135" t="n">
        <f aca="false">$G10321*'Analyse capacite'!$F$9</f>
        <v>0</v>
      </c>
      <c r="I10321" s="135" t="n">
        <f aca="false">$G10321*'Analyse capacite'!$C$9</f>
        <v>0</v>
      </c>
      <c r="J10321" s="135" t="n">
        <f aca="false">$G10321*'Analyse capacite'!$D$9</f>
        <v>0</v>
      </c>
      <c r="K10321" s="135" t="n">
        <f aca="false">$G10321*'Analyse capacite'!$E$9</f>
        <v>0</v>
      </c>
    </row>
    <row r="10322" customFormat="false" ht="15" hidden="false" customHeight="false" outlineLevel="0" collapsed="false">
      <c r="B10322" s="130" t="n">
        <v>2028</v>
      </c>
      <c r="C10322" s="131" t="s">
        <v>255</v>
      </c>
      <c r="D10322" s="132" t="n">
        <v>46764</v>
      </c>
      <c r="E10322" s="131" t="s">
        <v>49</v>
      </c>
      <c r="F10322" s="133" t="s">
        <v>11</v>
      </c>
      <c r="G10322" s="134" t="n">
        <f aca="false">LEN('Saisie programme'!$F$385)+SUMIFS('Vols additionnels'!$E$7:$E$66,'Vols additionnels'!$C$7:$C$66,$E10322,'Vols additionnels'!$D$7:$D$66,$F10322,'Vols additionnels'!$B$7:$B$66,$D10322)</f>
        <v>0</v>
      </c>
      <c r="H10322" s="135" t="n">
        <f aca="false">$G10322*'Analyse capacite'!$F$7</f>
        <v>0</v>
      </c>
      <c r="I10322" s="135" t="n">
        <f aca="false">$G10322*'Analyse capacite'!$C$7</f>
        <v>0</v>
      </c>
      <c r="J10322" s="135" t="n">
        <f aca="false">$G10322*'Analyse capacite'!$D$7</f>
        <v>0</v>
      </c>
      <c r="K10322" s="135" t="n">
        <f aca="false">$G10322*'Analyse capacite'!$E$7</f>
        <v>0</v>
      </c>
    </row>
    <row r="10323" customFormat="false" ht="15" hidden="false" customHeight="false" outlineLevel="0" collapsed="false">
      <c r="B10323" s="130" t="n">
        <v>2028</v>
      </c>
      <c r="C10323" s="131" t="s">
        <v>255</v>
      </c>
      <c r="D10323" s="132" t="n">
        <v>46764</v>
      </c>
      <c r="E10323" s="131" t="s">
        <v>49</v>
      </c>
      <c r="F10323" s="133" t="s">
        <v>19</v>
      </c>
      <c r="G10323" s="134" t="n">
        <f aca="false">LEN('Saisie programme'!$F$386)+SUMIFS('Vols additionnels'!$E$7:$E$66,'Vols additionnels'!$C$7:$C$66,$E10323,'Vols additionnels'!$D$7:$D$66,$F10323,'Vols additionnels'!$B$7:$B$66,$D10323)</f>
        <v>0</v>
      </c>
      <c r="H10323" s="135" t="n">
        <f aca="false">$G10323*'Analyse capacite'!$F$8</f>
        <v>0</v>
      </c>
      <c r="I10323" s="135" t="n">
        <f aca="false">$G10323*'Analyse capacite'!$C$8</f>
        <v>0</v>
      </c>
      <c r="J10323" s="135" t="n">
        <f aca="false">$G10323*'Analyse capacite'!$D$8</f>
        <v>0</v>
      </c>
      <c r="K10323" s="135" t="n">
        <f aca="false">$G10323*'Analyse capacite'!$E$8</f>
        <v>0</v>
      </c>
    </row>
    <row r="10324" customFormat="false" ht="15" hidden="false" customHeight="false" outlineLevel="0" collapsed="false">
      <c r="B10324" s="130" t="n">
        <v>2028</v>
      </c>
      <c r="C10324" s="131" t="s">
        <v>255</v>
      </c>
      <c r="D10324" s="132" t="n">
        <v>46764</v>
      </c>
      <c r="E10324" s="131" t="s">
        <v>49</v>
      </c>
      <c r="F10324" s="133" t="s">
        <v>24</v>
      </c>
      <c r="G10324" s="134" t="n">
        <f aca="false">LEN('Saisie programme'!$F$387)+SUMIFS('Vols additionnels'!$E$7:$E$66,'Vols additionnels'!$C$7:$C$66,$E10324,'Vols additionnels'!$D$7:$D$66,$F10324,'Vols additionnels'!$B$7:$B$66,$D10324)</f>
        <v>0</v>
      </c>
      <c r="H10324" s="135" t="n">
        <f aca="false">$G10324*'Analyse capacite'!$F$9</f>
        <v>0</v>
      </c>
      <c r="I10324" s="135" t="n">
        <f aca="false">$G10324*'Analyse capacite'!$C$9</f>
        <v>0</v>
      </c>
      <c r="J10324" s="135" t="n">
        <f aca="false">$G10324*'Analyse capacite'!$D$9</f>
        <v>0</v>
      </c>
      <c r="K10324" s="135" t="n">
        <f aca="false">$G10324*'Analyse capacite'!$E$9</f>
        <v>0</v>
      </c>
    </row>
    <row r="10325" customFormat="false" ht="15" hidden="false" customHeight="false" outlineLevel="0" collapsed="false">
      <c r="B10325" s="130" t="n">
        <v>2028</v>
      </c>
      <c r="C10325" s="131" t="s">
        <v>255</v>
      </c>
      <c r="D10325" s="132" t="n">
        <v>46764</v>
      </c>
      <c r="E10325" s="131" t="s">
        <v>53</v>
      </c>
      <c r="F10325" s="133" t="s">
        <v>11</v>
      </c>
      <c r="G10325" s="134" t="n">
        <f aca="false">LEN('Saisie programme'!$F$388)+SUMIFS('Vols additionnels'!$E$7:$E$66,'Vols additionnels'!$C$7:$C$66,$E10325,'Vols additionnels'!$D$7:$D$66,$F10325,'Vols additionnels'!$B$7:$B$66,$D10325)</f>
        <v>0</v>
      </c>
      <c r="H10325" s="135" t="n">
        <f aca="false">$G10325*'Analyse capacite'!$F$7</f>
        <v>0</v>
      </c>
      <c r="I10325" s="135" t="n">
        <f aca="false">$G10325*'Analyse capacite'!$C$7</f>
        <v>0</v>
      </c>
      <c r="J10325" s="135" t="n">
        <f aca="false">$G10325*'Analyse capacite'!$D$7</f>
        <v>0</v>
      </c>
      <c r="K10325" s="135" t="n">
        <f aca="false">$G10325*'Analyse capacite'!$E$7</f>
        <v>0</v>
      </c>
    </row>
    <row r="10326" customFormat="false" ht="15" hidden="false" customHeight="false" outlineLevel="0" collapsed="false">
      <c r="B10326" s="130" t="n">
        <v>2028</v>
      </c>
      <c r="C10326" s="131" t="s">
        <v>255</v>
      </c>
      <c r="D10326" s="132" t="n">
        <v>46764</v>
      </c>
      <c r="E10326" s="131" t="s">
        <v>53</v>
      </c>
      <c r="F10326" s="133" t="s">
        <v>19</v>
      </c>
      <c r="G10326" s="134" t="n">
        <f aca="false">LEN('Saisie programme'!$F$389)+SUMIFS('Vols additionnels'!$E$7:$E$66,'Vols additionnels'!$C$7:$C$66,$E10326,'Vols additionnels'!$D$7:$D$66,$F10326,'Vols additionnels'!$B$7:$B$66,$D10326)</f>
        <v>0</v>
      </c>
      <c r="H10326" s="135" t="n">
        <f aca="false">$G10326*'Analyse capacite'!$F$8</f>
        <v>0</v>
      </c>
      <c r="I10326" s="135" t="n">
        <f aca="false">$G10326*'Analyse capacite'!$C$8</f>
        <v>0</v>
      </c>
      <c r="J10326" s="135" t="n">
        <f aca="false">$G10326*'Analyse capacite'!$D$8</f>
        <v>0</v>
      </c>
      <c r="K10326" s="135" t="n">
        <f aca="false">$G10326*'Analyse capacite'!$E$8</f>
        <v>0</v>
      </c>
    </row>
    <row r="10327" customFormat="false" ht="15" hidden="false" customHeight="false" outlineLevel="0" collapsed="false">
      <c r="B10327" s="130" t="n">
        <v>2028</v>
      </c>
      <c r="C10327" s="131" t="s">
        <v>255</v>
      </c>
      <c r="D10327" s="132" t="n">
        <v>46764</v>
      </c>
      <c r="E10327" s="131" t="s">
        <v>53</v>
      </c>
      <c r="F10327" s="133" t="s">
        <v>24</v>
      </c>
      <c r="G10327" s="134" t="n">
        <f aca="false">LEN('Saisie programme'!$F$390)+SUMIFS('Vols additionnels'!$E$7:$E$66,'Vols additionnels'!$C$7:$C$66,$E10327,'Vols additionnels'!$D$7:$D$66,$F10327,'Vols additionnels'!$B$7:$B$66,$D10327)</f>
        <v>0</v>
      </c>
      <c r="H10327" s="135" t="n">
        <f aca="false">$G10327*'Analyse capacite'!$F$9</f>
        <v>0</v>
      </c>
      <c r="I10327" s="135" t="n">
        <f aca="false">$G10327*'Analyse capacite'!$C$9</f>
        <v>0</v>
      </c>
      <c r="J10327" s="135" t="n">
        <f aca="false">$G10327*'Analyse capacite'!$D$9</f>
        <v>0</v>
      </c>
      <c r="K10327" s="135" t="n">
        <f aca="false">$G10327*'Analyse capacite'!$E$9</f>
        <v>0</v>
      </c>
    </row>
    <row r="10328" customFormat="false" ht="15" hidden="false" customHeight="false" outlineLevel="0" collapsed="false">
      <c r="B10328" s="130" t="n">
        <v>2028</v>
      </c>
      <c r="C10328" s="131" t="s">
        <v>255</v>
      </c>
      <c r="D10328" s="132" t="n">
        <v>46764</v>
      </c>
      <c r="E10328" s="131" t="s">
        <v>56</v>
      </c>
      <c r="F10328" s="133" t="s">
        <v>11</v>
      </c>
      <c r="G10328" s="134" t="n">
        <f aca="false">LEN('Saisie programme'!$F$391)+SUMIFS('Vols additionnels'!$E$7:$E$66,'Vols additionnels'!$C$7:$C$66,$E10328,'Vols additionnels'!$D$7:$D$66,$F10328,'Vols additionnels'!$B$7:$B$66,$D10328)</f>
        <v>0</v>
      </c>
      <c r="H10328" s="135" t="n">
        <f aca="false">$G10328*'Analyse capacite'!$F$7</f>
        <v>0</v>
      </c>
      <c r="I10328" s="135" t="n">
        <f aca="false">$G10328*'Analyse capacite'!$C$7</f>
        <v>0</v>
      </c>
      <c r="J10328" s="135" t="n">
        <f aca="false">$G10328*'Analyse capacite'!$D$7</f>
        <v>0</v>
      </c>
      <c r="K10328" s="135" t="n">
        <f aca="false">$G10328*'Analyse capacite'!$E$7</f>
        <v>0</v>
      </c>
    </row>
    <row r="10329" customFormat="false" ht="15" hidden="false" customHeight="false" outlineLevel="0" collapsed="false">
      <c r="B10329" s="130" t="n">
        <v>2028</v>
      </c>
      <c r="C10329" s="131" t="s">
        <v>255</v>
      </c>
      <c r="D10329" s="132" t="n">
        <v>46764</v>
      </c>
      <c r="E10329" s="131" t="s">
        <v>56</v>
      </c>
      <c r="F10329" s="133" t="s">
        <v>19</v>
      </c>
      <c r="G10329" s="134" t="n">
        <f aca="false">LEN('Saisie programme'!$F$392)+SUMIFS('Vols additionnels'!$E$7:$E$66,'Vols additionnels'!$C$7:$C$66,$E10329,'Vols additionnels'!$D$7:$D$66,$F10329,'Vols additionnels'!$B$7:$B$66,$D10329)</f>
        <v>0</v>
      </c>
      <c r="H10329" s="135" t="n">
        <f aca="false">$G10329*'Analyse capacite'!$F$8</f>
        <v>0</v>
      </c>
      <c r="I10329" s="135" t="n">
        <f aca="false">$G10329*'Analyse capacite'!$C$8</f>
        <v>0</v>
      </c>
      <c r="J10329" s="135" t="n">
        <f aca="false">$G10329*'Analyse capacite'!$D$8</f>
        <v>0</v>
      </c>
      <c r="K10329" s="135" t="n">
        <f aca="false">$G10329*'Analyse capacite'!$E$8</f>
        <v>0</v>
      </c>
    </row>
    <row r="10330" customFormat="false" ht="15" hidden="false" customHeight="false" outlineLevel="0" collapsed="false">
      <c r="B10330" s="130" t="n">
        <v>2028</v>
      </c>
      <c r="C10330" s="131" t="s">
        <v>255</v>
      </c>
      <c r="D10330" s="132" t="n">
        <v>46764</v>
      </c>
      <c r="E10330" s="131" t="s">
        <v>56</v>
      </c>
      <c r="F10330" s="133" t="s">
        <v>24</v>
      </c>
      <c r="G10330" s="134" t="n">
        <f aca="false">LEN('Saisie programme'!$F$393)+SUMIFS('Vols additionnels'!$E$7:$E$66,'Vols additionnels'!$C$7:$C$66,$E10330,'Vols additionnels'!$D$7:$D$66,$F10330,'Vols additionnels'!$B$7:$B$66,$D10330)</f>
        <v>0</v>
      </c>
      <c r="H10330" s="135" t="n">
        <f aca="false">$G10330*'Analyse capacite'!$F$9</f>
        <v>0</v>
      </c>
      <c r="I10330" s="135" t="n">
        <f aca="false">$G10330*'Analyse capacite'!$C$9</f>
        <v>0</v>
      </c>
      <c r="J10330" s="135" t="n">
        <f aca="false">$G10330*'Analyse capacite'!$D$9</f>
        <v>0</v>
      </c>
      <c r="K10330" s="135" t="n">
        <f aca="false">$G10330*'Analyse capacite'!$E$9</f>
        <v>0</v>
      </c>
    </row>
    <row r="10331" customFormat="false" ht="15" hidden="false" customHeight="false" outlineLevel="0" collapsed="false">
      <c r="B10331" s="130" t="n">
        <v>2028</v>
      </c>
      <c r="C10331" s="131" t="s">
        <v>255</v>
      </c>
      <c r="D10331" s="132" t="n">
        <v>46764</v>
      </c>
      <c r="E10331" s="131" t="s">
        <v>59</v>
      </c>
      <c r="F10331" s="133" t="s">
        <v>11</v>
      </c>
      <c r="G10331" s="134" t="n">
        <f aca="false">LEN('Saisie programme'!$F$394)+SUMIFS('Vols additionnels'!$E$7:$E$66,'Vols additionnels'!$C$7:$C$66,$E10331,'Vols additionnels'!$D$7:$D$66,$F10331,'Vols additionnels'!$B$7:$B$66,$D10331)</f>
        <v>0</v>
      </c>
      <c r="H10331" s="135" t="n">
        <f aca="false">$G10331*'Analyse capacite'!$F$7</f>
        <v>0</v>
      </c>
      <c r="I10331" s="135" t="n">
        <f aca="false">$G10331*'Analyse capacite'!$C$7</f>
        <v>0</v>
      </c>
      <c r="J10331" s="135" t="n">
        <f aca="false">$G10331*'Analyse capacite'!$D$7</f>
        <v>0</v>
      </c>
      <c r="K10331" s="135" t="n">
        <f aca="false">$G10331*'Analyse capacite'!$E$7</f>
        <v>0</v>
      </c>
    </row>
    <row r="10332" customFormat="false" ht="15" hidden="false" customHeight="false" outlineLevel="0" collapsed="false">
      <c r="B10332" s="130" t="n">
        <v>2028</v>
      </c>
      <c r="C10332" s="131" t="s">
        <v>255</v>
      </c>
      <c r="D10332" s="132" t="n">
        <v>46764</v>
      </c>
      <c r="E10332" s="131" t="s">
        <v>59</v>
      </c>
      <c r="F10332" s="133" t="s">
        <v>19</v>
      </c>
      <c r="G10332" s="134" t="n">
        <f aca="false">LEN('Saisie programme'!$F$395)+SUMIFS('Vols additionnels'!$E$7:$E$66,'Vols additionnels'!$C$7:$C$66,$E10332,'Vols additionnels'!$D$7:$D$66,$F10332,'Vols additionnels'!$B$7:$B$66,$D10332)</f>
        <v>0</v>
      </c>
      <c r="H10332" s="135" t="n">
        <f aca="false">$G10332*'Analyse capacite'!$F$8</f>
        <v>0</v>
      </c>
      <c r="I10332" s="135" t="n">
        <f aca="false">$G10332*'Analyse capacite'!$C$8</f>
        <v>0</v>
      </c>
      <c r="J10332" s="135" t="n">
        <f aca="false">$G10332*'Analyse capacite'!$D$8</f>
        <v>0</v>
      </c>
      <c r="K10332" s="135" t="n">
        <f aca="false">$G10332*'Analyse capacite'!$E$8</f>
        <v>0</v>
      </c>
    </row>
    <row r="10333" customFormat="false" ht="15" hidden="false" customHeight="false" outlineLevel="0" collapsed="false">
      <c r="B10333" s="130" t="n">
        <v>2028</v>
      </c>
      <c r="C10333" s="131" t="s">
        <v>255</v>
      </c>
      <c r="D10333" s="132" t="n">
        <v>46764</v>
      </c>
      <c r="E10333" s="131" t="s">
        <v>59</v>
      </c>
      <c r="F10333" s="133" t="s">
        <v>24</v>
      </c>
      <c r="G10333" s="134" t="n">
        <f aca="false">LEN('Saisie programme'!$F$396)+SUMIFS('Vols additionnels'!$E$7:$E$66,'Vols additionnels'!$C$7:$C$66,$E10333,'Vols additionnels'!$D$7:$D$66,$F10333,'Vols additionnels'!$B$7:$B$66,$D10333)</f>
        <v>1</v>
      </c>
      <c r="H10333" s="135" t="n">
        <f aca="false">$G10333*'Analyse capacite'!$F$9</f>
        <v>174</v>
      </c>
      <c r="I10333" s="135" t="n">
        <f aca="false">$G10333*'Analyse capacite'!$C$9</f>
        <v>0</v>
      </c>
      <c r="J10333" s="135" t="n">
        <f aca="false">$G10333*'Analyse capacite'!$D$9</f>
        <v>12</v>
      </c>
      <c r="K10333" s="135" t="n">
        <f aca="false">$G10333*'Analyse capacite'!$E$9</f>
        <v>162</v>
      </c>
    </row>
    <row r="10334" customFormat="false" ht="15" hidden="false" customHeight="false" outlineLevel="0" collapsed="false">
      <c r="B10334" s="130" t="n">
        <v>2028</v>
      </c>
      <c r="C10334" s="131" t="s">
        <v>255</v>
      </c>
      <c r="D10334" s="132" t="n">
        <v>46764</v>
      </c>
      <c r="E10334" s="131" t="s">
        <v>62</v>
      </c>
      <c r="F10334" s="133" t="s">
        <v>11</v>
      </c>
      <c r="G10334" s="134" t="n">
        <f aca="false">LEN('Saisie programme'!$F$397)+SUMIFS('Vols additionnels'!$E$7:$E$66,'Vols additionnels'!$C$7:$C$66,$E10334,'Vols additionnels'!$D$7:$D$66,$F10334,'Vols additionnels'!$B$7:$B$66,$D10334)</f>
        <v>0</v>
      </c>
      <c r="H10334" s="135" t="n">
        <f aca="false">$G10334*'Analyse capacite'!$F$7</f>
        <v>0</v>
      </c>
      <c r="I10334" s="135" t="n">
        <f aca="false">$G10334*'Analyse capacite'!$C$7</f>
        <v>0</v>
      </c>
      <c r="J10334" s="135" t="n">
        <f aca="false">$G10334*'Analyse capacite'!$D$7</f>
        <v>0</v>
      </c>
      <c r="K10334" s="135" t="n">
        <f aca="false">$G10334*'Analyse capacite'!$E$7</f>
        <v>0</v>
      </c>
    </row>
    <row r="10335" customFormat="false" ht="15" hidden="false" customHeight="false" outlineLevel="0" collapsed="false">
      <c r="B10335" s="130" t="n">
        <v>2028</v>
      </c>
      <c r="C10335" s="131" t="s">
        <v>255</v>
      </c>
      <c r="D10335" s="132" t="n">
        <v>46764</v>
      </c>
      <c r="E10335" s="131" t="s">
        <v>62</v>
      </c>
      <c r="F10335" s="133" t="s">
        <v>19</v>
      </c>
      <c r="G10335" s="134" t="n">
        <f aca="false">LEN('Saisie programme'!$F$398)+SUMIFS('Vols additionnels'!$E$7:$E$66,'Vols additionnels'!$C$7:$C$66,$E10335,'Vols additionnels'!$D$7:$D$66,$F10335,'Vols additionnels'!$B$7:$B$66,$D10335)</f>
        <v>0</v>
      </c>
      <c r="H10335" s="135" t="n">
        <f aca="false">$G10335*'Analyse capacite'!$F$8</f>
        <v>0</v>
      </c>
      <c r="I10335" s="135" t="n">
        <f aca="false">$G10335*'Analyse capacite'!$C$8</f>
        <v>0</v>
      </c>
      <c r="J10335" s="135" t="n">
        <f aca="false">$G10335*'Analyse capacite'!$D$8</f>
        <v>0</v>
      </c>
      <c r="K10335" s="135" t="n">
        <f aca="false">$G10335*'Analyse capacite'!$E$8</f>
        <v>0</v>
      </c>
    </row>
    <row r="10336" customFormat="false" ht="15" hidden="false" customHeight="false" outlineLevel="0" collapsed="false">
      <c r="B10336" s="130" t="n">
        <v>2028</v>
      </c>
      <c r="C10336" s="131" t="s">
        <v>255</v>
      </c>
      <c r="D10336" s="132" t="n">
        <v>46764</v>
      </c>
      <c r="E10336" s="131" t="s">
        <v>62</v>
      </c>
      <c r="F10336" s="133" t="s">
        <v>24</v>
      </c>
      <c r="G10336" s="134" t="n">
        <f aca="false">LEN('Saisie programme'!$F$399)+SUMIFS('Vols additionnels'!$E$7:$E$66,'Vols additionnels'!$C$7:$C$66,$E10336,'Vols additionnels'!$D$7:$D$66,$F10336,'Vols additionnels'!$B$7:$B$66,$D10336)</f>
        <v>1</v>
      </c>
      <c r="H10336" s="135" t="n">
        <f aca="false">$G10336*'Analyse capacite'!$F$9</f>
        <v>174</v>
      </c>
      <c r="I10336" s="135" t="n">
        <f aca="false">$G10336*'Analyse capacite'!$C$9</f>
        <v>0</v>
      </c>
      <c r="J10336" s="135" t="n">
        <f aca="false">$G10336*'Analyse capacite'!$D$9</f>
        <v>12</v>
      </c>
      <c r="K10336" s="135" t="n">
        <f aca="false">$G10336*'Analyse capacite'!$E$9</f>
        <v>162</v>
      </c>
    </row>
    <row r="10337" customFormat="false" ht="15" hidden="false" customHeight="false" outlineLevel="0" collapsed="false">
      <c r="B10337" s="130" t="n">
        <v>2028</v>
      </c>
      <c r="C10337" s="131" t="s">
        <v>255</v>
      </c>
      <c r="D10337" s="132" t="n">
        <v>46765</v>
      </c>
      <c r="E10337" s="131" t="s">
        <v>12</v>
      </c>
      <c r="F10337" s="133" t="s">
        <v>11</v>
      </c>
      <c r="G10337" s="134" t="n">
        <f aca="false">LEN('Saisie programme'!$G$364)+SUMIFS('Vols additionnels'!$E$7:$E$66,'Vols additionnels'!$C$7:$C$66,$E10337,'Vols additionnels'!$D$7:$D$66,$F10337,'Vols additionnels'!$B$7:$B$66,$D10337)</f>
        <v>1</v>
      </c>
      <c r="H10337" s="135" t="n">
        <f aca="false">$G10337*'Analyse capacite'!$F$7</f>
        <v>438</v>
      </c>
      <c r="I10337" s="135" t="n">
        <f aca="false">$G10337*'Analyse capacite'!$C$7</f>
        <v>14</v>
      </c>
      <c r="J10337" s="135" t="n">
        <f aca="false">$G10337*'Analyse capacite'!$D$7</f>
        <v>40</v>
      </c>
      <c r="K10337" s="135" t="n">
        <f aca="false">$G10337*'Analyse capacite'!$E$7</f>
        <v>384</v>
      </c>
    </row>
    <row r="10338" customFormat="false" ht="15" hidden="false" customHeight="false" outlineLevel="0" collapsed="false">
      <c r="B10338" s="130" t="n">
        <v>2028</v>
      </c>
      <c r="C10338" s="131" t="s">
        <v>255</v>
      </c>
      <c r="D10338" s="132" t="n">
        <v>46765</v>
      </c>
      <c r="E10338" s="131" t="s">
        <v>12</v>
      </c>
      <c r="F10338" s="133" t="s">
        <v>19</v>
      </c>
      <c r="G10338" s="134" t="n">
        <f aca="false">LEN('Saisie programme'!$G$365)+SUMIFS('Vols additionnels'!$E$7:$E$66,'Vols additionnels'!$C$7:$C$66,$E10338,'Vols additionnels'!$D$7:$D$66,$F10338,'Vols additionnels'!$B$7:$B$66,$D10338)</f>
        <v>0</v>
      </c>
      <c r="H10338" s="135" t="n">
        <f aca="false">$G10338*'Analyse capacite'!$F$8</f>
        <v>0</v>
      </c>
      <c r="I10338" s="135" t="n">
        <f aca="false">$G10338*'Analyse capacite'!$C$8</f>
        <v>0</v>
      </c>
      <c r="J10338" s="135" t="n">
        <f aca="false">$G10338*'Analyse capacite'!$D$8</f>
        <v>0</v>
      </c>
      <c r="K10338" s="135" t="n">
        <f aca="false">$G10338*'Analyse capacite'!$E$8</f>
        <v>0</v>
      </c>
    </row>
    <row r="10339" customFormat="false" ht="15" hidden="false" customHeight="false" outlineLevel="0" collapsed="false">
      <c r="B10339" s="130" t="n">
        <v>2028</v>
      </c>
      <c r="C10339" s="131" t="s">
        <v>255</v>
      </c>
      <c r="D10339" s="132" t="n">
        <v>46765</v>
      </c>
      <c r="E10339" s="131" t="s">
        <v>12</v>
      </c>
      <c r="F10339" s="133" t="s">
        <v>24</v>
      </c>
      <c r="G10339" s="134" t="n">
        <f aca="false">LEN('Saisie programme'!$G$366)+SUMIFS('Vols additionnels'!$E$7:$E$66,'Vols additionnels'!$C$7:$C$66,$E10339,'Vols additionnels'!$D$7:$D$66,$F10339,'Vols additionnels'!$B$7:$B$66,$D10339)</f>
        <v>0</v>
      </c>
      <c r="H10339" s="135" t="n">
        <f aca="false">$G10339*'Analyse capacite'!$F$9</f>
        <v>0</v>
      </c>
      <c r="I10339" s="135" t="n">
        <f aca="false">$G10339*'Analyse capacite'!$C$9</f>
        <v>0</v>
      </c>
      <c r="J10339" s="135" t="n">
        <f aca="false">$G10339*'Analyse capacite'!$D$9</f>
        <v>0</v>
      </c>
      <c r="K10339" s="135" t="n">
        <f aca="false">$G10339*'Analyse capacite'!$E$9</f>
        <v>0</v>
      </c>
    </row>
    <row r="10340" customFormat="false" ht="15" hidden="false" customHeight="false" outlineLevel="0" collapsed="false">
      <c r="B10340" s="130" t="n">
        <v>2028</v>
      </c>
      <c r="C10340" s="131" t="s">
        <v>255</v>
      </c>
      <c r="D10340" s="132" t="n">
        <v>46765</v>
      </c>
      <c r="E10340" s="131" t="s">
        <v>20</v>
      </c>
      <c r="F10340" s="133" t="s">
        <v>11</v>
      </c>
      <c r="G10340" s="134" t="n">
        <f aca="false">LEN('Saisie programme'!$G$367)+SUMIFS('Vols additionnels'!$E$7:$E$66,'Vols additionnels'!$C$7:$C$66,$E10340,'Vols additionnels'!$D$7:$D$66,$F10340,'Vols additionnels'!$B$7:$B$66,$D10340)</f>
        <v>0</v>
      </c>
      <c r="H10340" s="135" t="n">
        <f aca="false">$G10340*'Analyse capacite'!$F$7</f>
        <v>0</v>
      </c>
      <c r="I10340" s="135" t="n">
        <f aca="false">$G10340*'Analyse capacite'!$C$7</f>
        <v>0</v>
      </c>
      <c r="J10340" s="135" t="n">
        <f aca="false">$G10340*'Analyse capacite'!$D$7</f>
        <v>0</v>
      </c>
      <c r="K10340" s="135" t="n">
        <f aca="false">$G10340*'Analyse capacite'!$E$7</f>
        <v>0</v>
      </c>
    </row>
    <row r="10341" customFormat="false" ht="15" hidden="false" customHeight="false" outlineLevel="0" collapsed="false">
      <c r="B10341" s="130" t="n">
        <v>2028</v>
      </c>
      <c r="C10341" s="131" t="s">
        <v>255</v>
      </c>
      <c r="D10341" s="132" t="n">
        <v>46765</v>
      </c>
      <c r="E10341" s="131" t="s">
        <v>20</v>
      </c>
      <c r="F10341" s="133" t="s">
        <v>19</v>
      </c>
      <c r="G10341" s="134" t="n">
        <f aca="false">LEN('Saisie programme'!$G$368)+SUMIFS('Vols additionnels'!$E$7:$E$66,'Vols additionnels'!$C$7:$C$66,$E10341,'Vols additionnels'!$D$7:$D$66,$F10341,'Vols additionnels'!$B$7:$B$66,$D10341)</f>
        <v>0</v>
      </c>
      <c r="H10341" s="135" t="n">
        <f aca="false">$G10341*'Analyse capacite'!$F$8</f>
        <v>0</v>
      </c>
      <c r="I10341" s="135" t="n">
        <f aca="false">$G10341*'Analyse capacite'!$C$8</f>
        <v>0</v>
      </c>
      <c r="J10341" s="135" t="n">
        <f aca="false">$G10341*'Analyse capacite'!$D$8</f>
        <v>0</v>
      </c>
      <c r="K10341" s="135" t="n">
        <f aca="false">$G10341*'Analyse capacite'!$E$8</f>
        <v>0</v>
      </c>
    </row>
    <row r="10342" customFormat="false" ht="15" hidden="false" customHeight="false" outlineLevel="0" collapsed="false">
      <c r="B10342" s="130" t="n">
        <v>2028</v>
      </c>
      <c r="C10342" s="131" t="s">
        <v>255</v>
      </c>
      <c r="D10342" s="132" t="n">
        <v>46765</v>
      </c>
      <c r="E10342" s="131" t="s">
        <v>20</v>
      </c>
      <c r="F10342" s="133" t="s">
        <v>24</v>
      </c>
      <c r="G10342" s="134" t="n">
        <f aca="false">LEN('Saisie programme'!$G$369)+SUMIFS('Vols additionnels'!$E$7:$E$66,'Vols additionnels'!$C$7:$C$66,$E10342,'Vols additionnels'!$D$7:$D$66,$F10342,'Vols additionnels'!$B$7:$B$66,$D10342)</f>
        <v>0</v>
      </c>
      <c r="H10342" s="135" t="n">
        <f aca="false">$G10342*'Analyse capacite'!$F$9</f>
        <v>0</v>
      </c>
      <c r="I10342" s="135" t="n">
        <f aca="false">$G10342*'Analyse capacite'!$C$9</f>
        <v>0</v>
      </c>
      <c r="J10342" s="135" t="n">
        <f aca="false">$G10342*'Analyse capacite'!$D$9</f>
        <v>0</v>
      </c>
      <c r="K10342" s="135" t="n">
        <f aca="false">$G10342*'Analyse capacite'!$E$9</f>
        <v>0</v>
      </c>
    </row>
    <row r="10343" customFormat="false" ht="15" hidden="false" customHeight="false" outlineLevel="0" collapsed="false">
      <c r="B10343" s="130" t="n">
        <v>2028</v>
      </c>
      <c r="C10343" s="131" t="s">
        <v>255</v>
      </c>
      <c r="D10343" s="132" t="n">
        <v>46765</v>
      </c>
      <c r="E10343" s="131" t="s">
        <v>25</v>
      </c>
      <c r="F10343" s="133" t="s">
        <v>11</v>
      </c>
      <c r="G10343" s="134" t="n">
        <f aca="false">LEN('Saisie programme'!$G$370)+SUMIFS('Vols additionnels'!$E$7:$E$66,'Vols additionnels'!$C$7:$C$66,$E10343,'Vols additionnels'!$D$7:$D$66,$F10343,'Vols additionnels'!$B$7:$B$66,$D10343)</f>
        <v>0</v>
      </c>
      <c r="H10343" s="135" t="n">
        <f aca="false">$G10343*'Analyse capacite'!$F$7</f>
        <v>0</v>
      </c>
      <c r="I10343" s="135" t="n">
        <f aca="false">$G10343*'Analyse capacite'!$C$7</f>
        <v>0</v>
      </c>
      <c r="J10343" s="135" t="n">
        <f aca="false">$G10343*'Analyse capacite'!$D$7</f>
        <v>0</v>
      </c>
      <c r="K10343" s="135" t="n">
        <f aca="false">$G10343*'Analyse capacite'!$E$7</f>
        <v>0</v>
      </c>
    </row>
    <row r="10344" customFormat="false" ht="15" hidden="false" customHeight="false" outlineLevel="0" collapsed="false">
      <c r="B10344" s="130" t="n">
        <v>2028</v>
      </c>
      <c r="C10344" s="131" t="s">
        <v>255</v>
      </c>
      <c r="D10344" s="132" t="n">
        <v>46765</v>
      </c>
      <c r="E10344" s="131" t="s">
        <v>25</v>
      </c>
      <c r="F10344" s="133" t="s">
        <v>19</v>
      </c>
      <c r="G10344" s="134" t="n">
        <f aca="false">LEN('Saisie programme'!$G$371)+SUMIFS('Vols additionnels'!$E$7:$E$66,'Vols additionnels'!$C$7:$C$66,$E10344,'Vols additionnels'!$D$7:$D$66,$F10344,'Vols additionnels'!$B$7:$B$66,$D10344)</f>
        <v>0</v>
      </c>
      <c r="H10344" s="135" t="n">
        <f aca="false">$G10344*'Analyse capacite'!$F$8</f>
        <v>0</v>
      </c>
      <c r="I10344" s="135" t="n">
        <f aca="false">$G10344*'Analyse capacite'!$C$8</f>
        <v>0</v>
      </c>
      <c r="J10344" s="135" t="n">
        <f aca="false">$G10344*'Analyse capacite'!$D$8</f>
        <v>0</v>
      </c>
      <c r="K10344" s="135" t="n">
        <f aca="false">$G10344*'Analyse capacite'!$E$8</f>
        <v>0</v>
      </c>
    </row>
    <row r="10345" customFormat="false" ht="15" hidden="false" customHeight="false" outlineLevel="0" collapsed="false">
      <c r="B10345" s="130" t="n">
        <v>2028</v>
      </c>
      <c r="C10345" s="131" t="s">
        <v>255</v>
      </c>
      <c r="D10345" s="132" t="n">
        <v>46765</v>
      </c>
      <c r="E10345" s="131" t="s">
        <v>25</v>
      </c>
      <c r="F10345" s="133" t="s">
        <v>24</v>
      </c>
      <c r="G10345" s="134" t="n">
        <f aca="false">LEN('Saisie programme'!$G$372)+SUMIFS('Vols additionnels'!$E$7:$E$66,'Vols additionnels'!$C$7:$C$66,$E10345,'Vols additionnels'!$D$7:$D$66,$F10345,'Vols additionnels'!$B$7:$B$66,$D10345)</f>
        <v>0</v>
      </c>
      <c r="H10345" s="135" t="n">
        <f aca="false">$G10345*'Analyse capacite'!$F$9</f>
        <v>0</v>
      </c>
      <c r="I10345" s="135" t="n">
        <f aca="false">$G10345*'Analyse capacite'!$C$9</f>
        <v>0</v>
      </c>
      <c r="J10345" s="135" t="n">
        <f aca="false">$G10345*'Analyse capacite'!$D$9</f>
        <v>0</v>
      </c>
      <c r="K10345" s="135" t="n">
        <f aca="false">$G10345*'Analyse capacite'!$E$9</f>
        <v>0</v>
      </c>
    </row>
    <row r="10346" customFormat="false" ht="15" hidden="false" customHeight="false" outlineLevel="0" collapsed="false">
      <c r="B10346" s="130" t="n">
        <v>2028</v>
      </c>
      <c r="C10346" s="131" t="s">
        <v>255</v>
      </c>
      <c r="D10346" s="132" t="n">
        <v>46765</v>
      </c>
      <c r="E10346" s="131" t="s">
        <v>36</v>
      </c>
      <c r="F10346" s="133" t="s">
        <v>11</v>
      </c>
      <c r="G10346" s="134" t="n">
        <f aca="false">LEN('Saisie programme'!$G$373)+SUMIFS('Vols additionnels'!$E$7:$E$66,'Vols additionnels'!$C$7:$C$66,$E10346,'Vols additionnels'!$D$7:$D$66,$F10346,'Vols additionnels'!$B$7:$B$66,$D10346)</f>
        <v>0</v>
      </c>
      <c r="H10346" s="135" t="n">
        <f aca="false">$G10346*'Analyse capacite'!$F$7</f>
        <v>0</v>
      </c>
      <c r="I10346" s="135" t="n">
        <f aca="false">$G10346*'Analyse capacite'!$C$7</f>
        <v>0</v>
      </c>
      <c r="J10346" s="135" t="n">
        <f aca="false">$G10346*'Analyse capacite'!$D$7</f>
        <v>0</v>
      </c>
      <c r="K10346" s="135" t="n">
        <f aca="false">$G10346*'Analyse capacite'!$E$7</f>
        <v>0</v>
      </c>
    </row>
    <row r="10347" customFormat="false" ht="15" hidden="false" customHeight="false" outlineLevel="0" collapsed="false">
      <c r="B10347" s="130" t="n">
        <v>2028</v>
      </c>
      <c r="C10347" s="131" t="s">
        <v>255</v>
      </c>
      <c r="D10347" s="132" t="n">
        <v>46765</v>
      </c>
      <c r="E10347" s="131" t="s">
        <v>36</v>
      </c>
      <c r="F10347" s="133" t="s">
        <v>19</v>
      </c>
      <c r="G10347" s="134" t="n">
        <f aca="false">LEN('Saisie programme'!$G$374)+SUMIFS('Vols additionnels'!$E$7:$E$66,'Vols additionnels'!$C$7:$C$66,$E10347,'Vols additionnels'!$D$7:$D$66,$F10347,'Vols additionnels'!$B$7:$B$66,$D10347)</f>
        <v>0</v>
      </c>
      <c r="H10347" s="135" t="n">
        <f aca="false">$G10347*'Analyse capacite'!$F$8</f>
        <v>0</v>
      </c>
      <c r="I10347" s="135" t="n">
        <f aca="false">$G10347*'Analyse capacite'!$C$8</f>
        <v>0</v>
      </c>
      <c r="J10347" s="135" t="n">
        <f aca="false">$G10347*'Analyse capacite'!$D$8</f>
        <v>0</v>
      </c>
      <c r="K10347" s="135" t="n">
        <f aca="false">$G10347*'Analyse capacite'!$E$8</f>
        <v>0</v>
      </c>
    </row>
    <row r="10348" customFormat="false" ht="15" hidden="false" customHeight="false" outlineLevel="0" collapsed="false">
      <c r="B10348" s="130" t="n">
        <v>2028</v>
      </c>
      <c r="C10348" s="131" t="s">
        <v>255</v>
      </c>
      <c r="D10348" s="132" t="n">
        <v>46765</v>
      </c>
      <c r="E10348" s="131" t="s">
        <v>36</v>
      </c>
      <c r="F10348" s="133" t="s">
        <v>24</v>
      </c>
      <c r="G10348" s="134" t="n">
        <f aca="false">LEN('Saisie programme'!$G$375)+SUMIFS('Vols additionnels'!$E$7:$E$66,'Vols additionnels'!$C$7:$C$66,$E10348,'Vols additionnels'!$D$7:$D$66,$F10348,'Vols additionnels'!$B$7:$B$66,$D10348)</f>
        <v>1</v>
      </c>
      <c r="H10348" s="135" t="n">
        <f aca="false">$G10348*'Analyse capacite'!$F$9</f>
        <v>174</v>
      </c>
      <c r="I10348" s="135" t="n">
        <f aca="false">$G10348*'Analyse capacite'!$C$9</f>
        <v>0</v>
      </c>
      <c r="J10348" s="135" t="n">
        <f aca="false">$G10348*'Analyse capacite'!$D$9</f>
        <v>12</v>
      </c>
      <c r="K10348" s="135" t="n">
        <f aca="false">$G10348*'Analyse capacite'!$E$9</f>
        <v>162</v>
      </c>
    </row>
    <row r="10349" customFormat="false" ht="15" hidden="false" customHeight="false" outlineLevel="0" collapsed="false">
      <c r="B10349" s="130" t="n">
        <v>2028</v>
      </c>
      <c r="C10349" s="131" t="s">
        <v>255</v>
      </c>
      <c r="D10349" s="132" t="n">
        <v>46765</v>
      </c>
      <c r="E10349" s="131" t="s">
        <v>40</v>
      </c>
      <c r="F10349" s="133" t="s">
        <v>11</v>
      </c>
      <c r="G10349" s="134" t="n">
        <f aca="false">LEN('Saisie programme'!$G$376)+SUMIFS('Vols additionnels'!$E$7:$E$66,'Vols additionnels'!$C$7:$C$66,$E10349,'Vols additionnels'!$D$7:$D$66,$F10349,'Vols additionnels'!$B$7:$B$66,$D10349)</f>
        <v>0</v>
      </c>
      <c r="H10349" s="135" t="n">
        <f aca="false">$G10349*'Analyse capacite'!$F$7</f>
        <v>0</v>
      </c>
      <c r="I10349" s="135" t="n">
        <f aca="false">$G10349*'Analyse capacite'!$C$7</f>
        <v>0</v>
      </c>
      <c r="J10349" s="135" t="n">
        <f aca="false">$G10349*'Analyse capacite'!$D$7</f>
        <v>0</v>
      </c>
      <c r="K10349" s="135" t="n">
        <f aca="false">$G10349*'Analyse capacite'!$E$7</f>
        <v>0</v>
      </c>
    </row>
    <row r="10350" customFormat="false" ht="15" hidden="false" customHeight="false" outlineLevel="0" collapsed="false">
      <c r="B10350" s="130" t="n">
        <v>2028</v>
      </c>
      <c r="C10350" s="131" t="s">
        <v>255</v>
      </c>
      <c r="D10350" s="132" t="n">
        <v>46765</v>
      </c>
      <c r="E10350" s="131" t="s">
        <v>40</v>
      </c>
      <c r="F10350" s="133" t="s">
        <v>19</v>
      </c>
      <c r="G10350" s="134" t="n">
        <f aca="false">LEN('Saisie programme'!$G$377)+SUMIFS('Vols additionnels'!$E$7:$E$66,'Vols additionnels'!$C$7:$C$66,$E10350,'Vols additionnels'!$D$7:$D$66,$F10350,'Vols additionnels'!$B$7:$B$66,$D10350)</f>
        <v>0</v>
      </c>
      <c r="H10350" s="135" t="n">
        <f aca="false">$G10350*'Analyse capacite'!$F$8</f>
        <v>0</v>
      </c>
      <c r="I10350" s="135" t="n">
        <f aca="false">$G10350*'Analyse capacite'!$C$8</f>
        <v>0</v>
      </c>
      <c r="J10350" s="135" t="n">
        <f aca="false">$G10350*'Analyse capacite'!$D$8</f>
        <v>0</v>
      </c>
      <c r="K10350" s="135" t="n">
        <f aca="false">$G10350*'Analyse capacite'!$E$8</f>
        <v>0</v>
      </c>
    </row>
    <row r="10351" customFormat="false" ht="15" hidden="false" customHeight="false" outlineLevel="0" collapsed="false">
      <c r="B10351" s="130" t="n">
        <v>2028</v>
      </c>
      <c r="C10351" s="131" t="s">
        <v>255</v>
      </c>
      <c r="D10351" s="132" t="n">
        <v>46765</v>
      </c>
      <c r="E10351" s="131" t="s">
        <v>40</v>
      </c>
      <c r="F10351" s="133" t="s">
        <v>24</v>
      </c>
      <c r="G10351" s="134" t="n">
        <f aca="false">LEN('Saisie programme'!$G$378)+SUMIFS('Vols additionnels'!$E$7:$E$66,'Vols additionnels'!$C$7:$C$66,$E10351,'Vols additionnels'!$D$7:$D$66,$F10351,'Vols additionnels'!$B$7:$B$66,$D10351)</f>
        <v>0</v>
      </c>
      <c r="H10351" s="135" t="n">
        <f aca="false">$G10351*'Analyse capacite'!$F$9</f>
        <v>0</v>
      </c>
      <c r="I10351" s="135" t="n">
        <f aca="false">$G10351*'Analyse capacite'!$C$9</f>
        <v>0</v>
      </c>
      <c r="J10351" s="135" t="n">
        <f aca="false">$G10351*'Analyse capacite'!$D$9</f>
        <v>0</v>
      </c>
      <c r="K10351" s="135" t="n">
        <f aca="false">$G10351*'Analyse capacite'!$E$9</f>
        <v>0</v>
      </c>
    </row>
    <row r="10352" customFormat="false" ht="15" hidden="false" customHeight="false" outlineLevel="0" collapsed="false">
      <c r="B10352" s="130" t="n">
        <v>2028</v>
      </c>
      <c r="C10352" s="131" t="s">
        <v>255</v>
      </c>
      <c r="D10352" s="132" t="n">
        <v>46765</v>
      </c>
      <c r="E10352" s="131" t="s">
        <v>14</v>
      </c>
      <c r="F10352" s="133" t="s">
        <v>11</v>
      </c>
      <c r="G10352" s="134" t="n">
        <f aca="false">LEN('Saisie programme'!$G$379)+SUMIFS('Vols additionnels'!$E$7:$E$66,'Vols additionnels'!$C$7:$C$66,$E10352,'Vols additionnels'!$D$7:$D$66,$F10352,'Vols additionnels'!$B$7:$B$66,$D10352)</f>
        <v>0</v>
      </c>
      <c r="H10352" s="135" t="n">
        <f aca="false">$G10352*'Analyse capacite'!$F$7</f>
        <v>0</v>
      </c>
      <c r="I10352" s="135" t="n">
        <f aca="false">$G10352*'Analyse capacite'!$C$7</f>
        <v>0</v>
      </c>
      <c r="J10352" s="135" t="n">
        <f aca="false">$G10352*'Analyse capacite'!$D$7</f>
        <v>0</v>
      </c>
      <c r="K10352" s="135" t="n">
        <f aca="false">$G10352*'Analyse capacite'!$E$7</f>
        <v>0</v>
      </c>
    </row>
    <row r="10353" customFormat="false" ht="15" hidden="false" customHeight="false" outlineLevel="0" collapsed="false">
      <c r="B10353" s="130" t="n">
        <v>2028</v>
      </c>
      <c r="C10353" s="131" t="s">
        <v>255</v>
      </c>
      <c r="D10353" s="132" t="n">
        <v>46765</v>
      </c>
      <c r="E10353" s="131" t="s">
        <v>14</v>
      </c>
      <c r="F10353" s="133" t="s">
        <v>19</v>
      </c>
      <c r="G10353" s="134" t="n">
        <f aca="false">LEN('Saisie programme'!$G$380)+SUMIFS('Vols additionnels'!$E$7:$E$66,'Vols additionnels'!$C$7:$C$66,$E10353,'Vols additionnels'!$D$7:$D$66,$F10353,'Vols additionnels'!$B$7:$B$66,$D10353)</f>
        <v>0</v>
      </c>
      <c r="H10353" s="135" t="n">
        <f aca="false">$G10353*'Analyse capacite'!$F$8</f>
        <v>0</v>
      </c>
      <c r="I10353" s="135" t="n">
        <f aca="false">$G10353*'Analyse capacite'!$C$8</f>
        <v>0</v>
      </c>
      <c r="J10353" s="135" t="n">
        <f aca="false">$G10353*'Analyse capacite'!$D$8</f>
        <v>0</v>
      </c>
      <c r="K10353" s="135" t="n">
        <f aca="false">$G10353*'Analyse capacite'!$E$8</f>
        <v>0</v>
      </c>
    </row>
    <row r="10354" customFormat="false" ht="15" hidden="false" customHeight="false" outlineLevel="0" collapsed="false">
      <c r="B10354" s="130" t="n">
        <v>2028</v>
      </c>
      <c r="C10354" s="131" t="s">
        <v>255</v>
      </c>
      <c r="D10354" s="132" t="n">
        <v>46765</v>
      </c>
      <c r="E10354" s="131" t="s">
        <v>14</v>
      </c>
      <c r="F10354" s="133" t="s">
        <v>24</v>
      </c>
      <c r="G10354" s="134" t="n">
        <f aca="false">LEN('Saisie programme'!$G$381)+SUMIFS('Vols additionnels'!$E$7:$E$66,'Vols additionnels'!$C$7:$C$66,$E10354,'Vols additionnels'!$D$7:$D$66,$F10354,'Vols additionnels'!$B$7:$B$66,$D10354)</f>
        <v>1</v>
      </c>
      <c r="H10354" s="135" t="n">
        <f aca="false">$G10354*'Analyse capacite'!$F$9</f>
        <v>174</v>
      </c>
      <c r="I10354" s="135" t="n">
        <f aca="false">$G10354*'Analyse capacite'!$C$9</f>
        <v>0</v>
      </c>
      <c r="J10354" s="135" t="n">
        <f aca="false">$G10354*'Analyse capacite'!$D$9</f>
        <v>12</v>
      </c>
      <c r="K10354" s="135" t="n">
        <f aca="false">$G10354*'Analyse capacite'!$E$9</f>
        <v>162</v>
      </c>
    </row>
    <row r="10355" customFormat="false" ht="15" hidden="false" customHeight="false" outlineLevel="0" collapsed="false">
      <c r="B10355" s="130" t="n">
        <v>2028</v>
      </c>
      <c r="C10355" s="131" t="s">
        <v>255</v>
      </c>
      <c r="D10355" s="132" t="n">
        <v>46765</v>
      </c>
      <c r="E10355" s="131" t="s">
        <v>46</v>
      </c>
      <c r="F10355" s="133" t="s">
        <v>11</v>
      </c>
      <c r="G10355" s="134" t="n">
        <f aca="false">LEN('Saisie programme'!$G$382)+SUMIFS('Vols additionnels'!$E$7:$E$66,'Vols additionnels'!$C$7:$C$66,$E10355,'Vols additionnels'!$D$7:$D$66,$F10355,'Vols additionnels'!$B$7:$B$66,$D10355)</f>
        <v>0</v>
      </c>
      <c r="H10355" s="135" t="n">
        <f aca="false">$G10355*'Analyse capacite'!$F$7</f>
        <v>0</v>
      </c>
      <c r="I10355" s="135" t="n">
        <f aca="false">$G10355*'Analyse capacite'!$C$7</f>
        <v>0</v>
      </c>
      <c r="J10355" s="135" t="n">
        <f aca="false">$G10355*'Analyse capacite'!$D$7</f>
        <v>0</v>
      </c>
      <c r="K10355" s="135" t="n">
        <f aca="false">$G10355*'Analyse capacite'!$E$7</f>
        <v>0</v>
      </c>
    </row>
    <row r="10356" customFormat="false" ht="15" hidden="false" customHeight="false" outlineLevel="0" collapsed="false">
      <c r="B10356" s="130" t="n">
        <v>2028</v>
      </c>
      <c r="C10356" s="131" t="s">
        <v>255</v>
      </c>
      <c r="D10356" s="132" t="n">
        <v>46765</v>
      </c>
      <c r="E10356" s="131" t="s">
        <v>46</v>
      </c>
      <c r="F10356" s="133" t="s">
        <v>19</v>
      </c>
      <c r="G10356" s="134" t="n">
        <f aca="false">LEN('Saisie programme'!$G$383)+SUMIFS('Vols additionnels'!$E$7:$E$66,'Vols additionnels'!$C$7:$C$66,$E10356,'Vols additionnels'!$D$7:$D$66,$F10356,'Vols additionnels'!$B$7:$B$66,$D10356)</f>
        <v>0</v>
      </c>
      <c r="H10356" s="135" t="n">
        <f aca="false">$G10356*'Analyse capacite'!$F$8</f>
        <v>0</v>
      </c>
      <c r="I10356" s="135" t="n">
        <f aca="false">$G10356*'Analyse capacite'!$C$8</f>
        <v>0</v>
      </c>
      <c r="J10356" s="135" t="n">
        <f aca="false">$G10356*'Analyse capacite'!$D$8</f>
        <v>0</v>
      </c>
      <c r="K10356" s="135" t="n">
        <f aca="false">$G10356*'Analyse capacite'!$E$8</f>
        <v>0</v>
      </c>
    </row>
    <row r="10357" customFormat="false" ht="15" hidden="false" customHeight="false" outlineLevel="0" collapsed="false">
      <c r="B10357" s="130" t="n">
        <v>2028</v>
      </c>
      <c r="C10357" s="131" t="s">
        <v>255</v>
      </c>
      <c r="D10357" s="132" t="n">
        <v>46765</v>
      </c>
      <c r="E10357" s="131" t="s">
        <v>46</v>
      </c>
      <c r="F10357" s="133" t="s">
        <v>24</v>
      </c>
      <c r="G10357" s="134" t="n">
        <f aca="false">LEN('Saisie programme'!$G$384)+SUMIFS('Vols additionnels'!$E$7:$E$66,'Vols additionnels'!$C$7:$C$66,$E10357,'Vols additionnels'!$D$7:$D$66,$F10357,'Vols additionnels'!$B$7:$B$66,$D10357)</f>
        <v>1</v>
      </c>
      <c r="H10357" s="135" t="n">
        <f aca="false">$G10357*'Analyse capacite'!$F$9</f>
        <v>174</v>
      </c>
      <c r="I10357" s="135" t="n">
        <f aca="false">$G10357*'Analyse capacite'!$C$9</f>
        <v>0</v>
      </c>
      <c r="J10357" s="135" t="n">
        <f aca="false">$G10357*'Analyse capacite'!$D$9</f>
        <v>12</v>
      </c>
      <c r="K10357" s="135" t="n">
        <f aca="false">$G10357*'Analyse capacite'!$E$9</f>
        <v>162</v>
      </c>
    </row>
    <row r="10358" customFormat="false" ht="15" hidden="false" customHeight="false" outlineLevel="0" collapsed="false">
      <c r="B10358" s="130" t="n">
        <v>2028</v>
      </c>
      <c r="C10358" s="131" t="s">
        <v>255</v>
      </c>
      <c r="D10358" s="132" t="n">
        <v>46765</v>
      </c>
      <c r="E10358" s="131" t="s">
        <v>49</v>
      </c>
      <c r="F10358" s="133" t="s">
        <v>11</v>
      </c>
      <c r="G10358" s="134" t="n">
        <f aca="false">LEN('Saisie programme'!$G$385)+SUMIFS('Vols additionnels'!$E$7:$E$66,'Vols additionnels'!$C$7:$C$66,$E10358,'Vols additionnels'!$D$7:$D$66,$F10358,'Vols additionnels'!$B$7:$B$66,$D10358)</f>
        <v>0</v>
      </c>
      <c r="H10358" s="135" t="n">
        <f aca="false">$G10358*'Analyse capacite'!$F$7</f>
        <v>0</v>
      </c>
      <c r="I10358" s="135" t="n">
        <f aca="false">$G10358*'Analyse capacite'!$C$7</f>
        <v>0</v>
      </c>
      <c r="J10358" s="135" t="n">
        <f aca="false">$G10358*'Analyse capacite'!$D$7</f>
        <v>0</v>
      </c>
      <c r="K10358" s="135" t="n">
        <f aca="false">$G10358*'Analyse capacite'!$E$7</f>
        <v>0</v>
      </c>
    </row>
    <row r="10359" customFormat="false" ht="15" hidden="false" customHeight="false" outlineLevel="0" collapsed="false">
      <c r="B10359" s="130" t="n">
        <v>2028</v>
      </c>
      <c r="C10359" s="131" t="s">
        <v>255</v>
      </c>
      <c r="D10359" s="132" t="n">
        <v>46765</v>
      </c>
      <c r="E10359" s="131" t="s">
        <v>49</v>
      </c>
      <c r="F10359" s="133" t="s">
        <v>19</v>
      </c>
      <c r="G10359" s="134" t="n">
        <f aca="false">LEN('Saisie programme'!$G$386)+SUMIFS('Vols additionnels'!$E$7:$E$66,'Vols additionnels'!$C$7:$C$66,$E10359,'Vols additionnels'!$D$7:$D$66,$F10359,'Vols additionnels'!$B$7:$B$66,$D10359)</f>
        <v>0</v>
      </c>
      <c r="H10359" s="135" t="n">
        <f aca="false">$G10359*'Analyse capacite'!$F$8</f>
        <v>0</v>
      </c>
      <c r="I10359" s="135" t="n">
        <f aca="false">$G10359*'Analyse capacite'!$C$8</f>
        <v>0</v>
      </c>
      <c r="J10359" s="135" t="n">
        <f aca="false">$G10359*'Analyse capacite'!$D$8</f>
        <v>0</v>
      </c>
      <c r="K10359" s="135" t="n">
        <f aca="false">$G10359*'Analyse capacite'!$E$8</f>
        <v>0</v>
      </c>
    </row>
    <row r="10360" customFormat="false" ht="15" hidden="false" customHeight="false" outlineLevel="0" collapsed="false">
      <c r="B10360" s="130" t="n">
        <v>2028</v>
      </c>
      <c r="C10360" s="131" t="s">
        <v>255</v>
      </c>
      <c r="D10360" s="132" t="n">
        <v>46765</v>
      </c>
      <c r="E10360" s="131" t="s">
        <v>49</v>
      </c>
      <c r="F10360" s="133" t="s">
        <v>24</v>
      </c>
      <c r="G10360" s="134" t="n">
        <f aca="false">LEN('Saisie programme'!$G$387)+SUMIFS('Vols additionnels'!$E$7:$E$66,'Vols additionnels'!$C$7:$C$66,$E10360,'Vols additionnels'!$D$7:$D$66,$F10360,'Vols additionnels'!$B$7:$B$66,$D10360)</f>
        <v>0</v>
      </c>
      <c r="H10360" s="135" t="n">
        <f aca="false">$G10360*'Analyse capacite'!$F$9</f>
        <v>0</v>
      </c>
      <c r="I10360" s="135" t="n">
        <f aca="false">$G10360*'Analyse capacite'!$C$9</f>
        <v>0</v>
      </c>
      <c r="J10360" s="135" t="n">
        <f aca="false">$G10360*'Analyse capacite'!$D$9</f>
        <v>0</v>
      </c>
      <c r="K10360" s="135" t="n">
        <f aca="false">$G10360*'Analyse capacite'!$E$9</f>
        <v>0</v>
      </c>
    </row>
    <row r="10361" customFormat="false" ht="15" hidden="false" customHeight="false" outlineLevel="0" collapsed="false">
      <c r="B10361" s="130" t="n">
        <v>2028</v>
      </c>
      <c r="C10361" s="131" t="s">
        <v>255</v>
      </c>
      <c r="D10361" s="132" t="n">
        <v>46765</v>
      </c>
      <c r="E10361" s="131" t="s">
        <v>53</v>
      </c>
      <c r="F10361" s="133" t="s">
        <v>11</v>
      </c>
      <c r="G10361" s="134" t="n">
        <f aca="false">LEN('Saisie programme'!$G$388)+SUMIFS('Vols additionnels'!$E$7:$E$66,'Vols additionnels'!$C$7:$C$66,$E10361,'Vols additionnels'!$D$7:$D$66,$F10361,'Vols additionnels'!$B$7:$B$66,$D10361)</f>
        <v>0</v>
      </c>
      <c r="H10361" s="135" t="n">
        <f aca="false">$G10361*'Analyse capacite'!$F$7</f>
        <v>0</v>
      </c>
      <c r="I10361" s="135" t="n">
        <f aca="false">$G10361*'Analyse capacite'!$C$7</f>
        <v>0</v>
      </c>
      <c r="J10361" s="135" t="n">
        <f aca="false">$G10361*'Analyse capacite'!$D$7</f>
        <v>0</v>
      </c>
      <c r="K10361" s="135" t="n">
        <f aca="false">$G10361*'Analyse capacite'!$E$7</f>
        <v>0</v>
      </c>
    </row>
    <row r="10362" customFormat="false" ht="15" hidden="false" customHeight="false" outlineLevel="0" collapsed="false">
      <c r="B10362" s="130" t="n">
        <v>2028</v>
      </c>
      <c r="C10362" s="131" t="s">
        <v>255</v>
      </c>
      <c r="D10362" s="132" t="n">
        <v>46765</v>
      </c>
      <c r="E10362" s="131" t="s">
        <v>53</v>
      </c>
      <c r="F10362" s="133" t="s">
        <v>19</v>
      </c>
      <c r="G10362" s="134" t="n">
        <f aca="false">LEN('Saisie programme'!$G$389)+SUMIFS('Vols additionnels'!$E$7:$E$66,'Vols additionnels'!$C$7:$C$66,$E10362,'Vols additionnels'!$D$7:$D$66,$F10362,'Vols additionnels'!$B$7:$B$66,$D10362)</f>
        <v>1</v>
      </c>
      <c r="H10362" s="135" t="n">
        <f aca="false">$G10362*'Analyse capacite'!$F$8</f>
        <v>262</v>
      </c>
      <c r="I10362" s="135" t="n">
        <f aca="false">$G10362*'Analyse capacite'!$C$8</f>
        <v>18</v>
      </c>
      <c r="J10362" s="135" t="n">
        <f aca="false">$G10362*'Analyse capacite'!$D$8</f>
        <v>0</v>
      </c>
      <c r="K10362" s="135" t="n">
        <f aca="false">$G10362*'Analyse capacite'!$E$8</f>
        <v>244</v>
      </c>
    </row>
    <row r="10363" customFormat="false" ht="15" hidden="false" customHeight="false" outlineLevel="0" collapsed="false">
      <c r="B10363" s="130" t="n">
        <v>2028</v>
      </c>
      <c r="C10363" s="131" t="s">
        <v>255</v>
      </c>
      <c r="D10363" s="132" t="n">
        <v>46765</v>
      </c>
      <c r="E10363" s="131" t="s">
        <v>53</v>
      </c>
      <c r="F10363" s="133" t="s">
        <v>24</v>
      </c>
      <c r="G10363" s="134" t="n">
        <f aca="false">LEN('Saisie programme'!$G$390)+SUMIFS('Vols additionnels'!$E$7:$E$66,'Vols additionnels'!$C$7:$C$66,$E10363,'Vols additionnels'!$D$7:$D$66,$F10363,'Vols additionnels'!$B$7:$B$66,$D10363)</f>
        <v>0</v>
      </c>
      <c r="H10363" s="135" t="n">
        <f aca="false">$G10363*'Analyse capacite'!$F$9</f>
        <v>0</v>
      </c>
      <c r="I10363" s="135" t="n">
        <f aca="false">$G10363*'Analyse capacite'!$C$9</f>
        <v>0</v>
      </c>
      <c r="J10363" s="135" t="n">
        <f aca="false">$G10363*'Analyse capacite'!$D$9</f>
        <v>0</v>
      </c>
      <c r="K10363" s="135" t="n">
        <f aca="false">$G10363*'Analyse capacite'!$E$9</f>
        <v>0</v>
      </c>
    </row>
    <row r="10364" customFormat="false" ht="15" hidden="false" customHeight="false" outlineLevel="0" collapsed="false">
      <c r="B10364" s="130" t="n">
        <v>2028</v>
      </c>
      <c r="C10364" s="131" t="s">
        <v>255</v>
      </c>
      <c r="D10364" s="132" t="n">
        <v>46765</v>
      </c>
      <c r="E10364" s="131" t="s">
        <v>56</v>
      </c>
      <c r="F10364" s="133" t="s">
        <v>11</v>
      </c>
      <c r="G10364" s="134" t="n">
        <f aca="false">LEN('Saisie programme'!$G$391)+SUMIFS('Vols additionnels'!$E$7:$E$66,'Vols additionnels'!$C$7:$C$66,$E10364,'Vols additionnels'!$D$7:$D$66,$F10364,'Vols additionnels'!$B$7:$B$66,$D10364)</f>
        <v>0</v>
      </c>
      <c r="H10364" s="135" t="n">
        <f aca="false">$G10364*'Analyse capacite'!$F$7</f>
        <v>0</v>
      </c>
      <c r="I10364" s="135" t="n">
        <f aca="false">$G10364*'Analyse capacite'!$C$7</f>
        <v>0</v>
      </c>
      <c r="J10364" s="135" t="n">
        <f aca="false">$G10364*'Analyse capacite'!$D$7</f>
        <v>0</v>
      </c>
      <c r="K10364" s="135" t="n">
        <f aca="false">$G10364*'Analyse capacite'!$E$7</f>
        <v>0</v>
      </c>
    </row>
    <row r="10365" customFormat="false" ht="15" hidden="false" customHeight="false" outlineLevel="0" collapsed="false">
      <c r="B10365" s="130" t="n">
        <v>2028</v>
      </c>
      <c r="C10365" s="131" t="s">
        <v>255</v>
      </c>
      <c r="D10365" s="132" t="n">
        <v>46765</v>
      </c>
      <c r="E10365" s="131" t="s">
        <v>56</v>
      </c>
      <c r="F10365" s="133" t="s">
        <v>19</v>
      </c>
      <c r="G10365" s="134" t="n">
        <f aca="false">LEN('Saisie programme'!$G$392)+SUMIFS('Vols additionnels'!$E$7:$E$66,'Vols additionnels'!$C$7:$C$66,$E10365,'Vols additionnels'!$D$7:$D$66,$F10365,'Vols additionnels'!$B$7:$B$66,$D10365)</f>
        <v>0</v>
      </c>
      <c r="H10365" s="135" t="n">
        <f aca="false">$G10365*'Analyse capacite'!$F$8</f>
        <v>0</v>
      </c>
      <c r="I10365" s="135" t="n">
        <f aca="false">$G10365*'Analyse capacite'!$C$8</f>
        <v>0</v>
      </c>
      <c r="J10365" s="135" t="n">
        <f aca="false">$G10365*'Analyse capacite'!$D$8</f>
        <v>0</v>
      </c>
      <c r="K10365" s="135" t="n">
        <f aca="false">$G10365*'Analyse capacite'!$E$8</f>
        <v>0</v>
      </c>
    </row>
    <row r="10366" customFormat="false" ht="15" hidden="false" customHeight="false" outlineLevel="0" collapsed="false">
      <c r="B10366" s="130" t="n">
        <v>2028</v>
      </c>
      <c r="C10366" s="131" t="s">
        <v>255</v>
      </c>
      <c r="D10366" s="132" t="n">
        <v>46765</v>
      </c>
      <c r="E10366" s="131" t="s">
        <v>56</v>
      </c>
      <c r="F10366" s="133" t="s">
        <v>24</v>
      </c>
      <c r="G10366" s="134" t="n">
        <f aca="false">LEN('Saisie programme'!$G$393)+SUMIFS('Vols additionnels'!$E$7:$E$66,'Vols additionnels'!$C$7:$C$66,$E10366,'Vols additionnels'!$D$7:$D$66,$F10366,'Vols additionnels'!$B$7:$B$66,$D10366)</f>
        <v>0</v>
      </c>
      <c r="H10366" s="135" t="n">
        <f aca="false">$G10366*'Analyse capacite'!$F$9</f>
        <v>0</v>
      </c>
      <c r="I10366" s="135" t="n">
        <f aca="false">$G10366*'Analyse capacite'!$C$9</f>
        <v>0</v>
      </c>
      <c r="J10366" s="135" t="n">
        <f aca="false">$G10366*'Analyse capacite'!$D$9</f>
        <v>0</v>
      </c>
      <c r="K10366" s="135" t="n">
        <f aca="false">$G10366*'Analyse capacite'!$E$9</f>
        <v>0</v>
      </c>
    </row>
    <row r="10367" customFormat="false" ht="15" hidden="false" customHeight="false" outlineLevel="0" collapsed="false">
      <c r="B10367" s="130" t="n">
        <v>2028</v>
      </c>
      <c r="C10367" s="131" t="s">
        <v>255</v>
      </c>
      <c r="D10367" s="132" t="n">
        <v>46765</v>
      </c>
      <c r="E10367" s="131" t="s">
        <v>59</v>
      </c>
      <c r="F10367" s="133" t="s">
        <v>11</v>
      </c>
      <c r="G10367" s="134" t="n">
        <f aca="false">LEN('Saisie programme'!$G$394)+SUMIFS('Vols additionnels'!$E$7:$E$66,'Vols additionnels'!$C$7:$C$66,$E10367,'Vols additionnels'!$D$7:$D$66,$F10367,'Vols additionnels'!$B$7:$B$66,$D10367)</f>
        <v>0</v>
      </c>
      <c r="H10367" s="135" t="n">
        <f aca="false">$G10367*'Analyse capacite'!$F$7</f>
        <v>0</v>
      </c>
      <c r="I10367" s="135" t="n">
        <f aca="false">$G10367*'Analyse capacite'!$C$7</f>
        <v>0</v>
      </c>
      <c r="J10367" s="135" t="n">
        <f aca="false">$G10367*'Analyse capacite'!$D$7</f>
        <v>0</v>
      </c>
      <c r="K10367" s="135" t="n">
        <f aca="false">$G10367*'Analyse capacite'!$E$7</f>
        <v>0</v>
      </c>
    </row>
    <row r="10368" customFormat="false" ht="15" hidden="false" customHeight="false" outlineLevel="0" collapsed="false">
      <c r="B10368" s="130" t="n">
        <v>2028</v>
      </c>
      <c r="C10368" s="131" t="s">
        <v>255</v>
      </c>
      <c r="D10368" s="132" t="n">
        <v>46765</v>
      </c>
      <c r="E10368" s="131" t="s">
        <v>59</v>
      </c>
      <c r="F10368" s="133" t="s">
        <v>19</v>
      </c>
      <c r="G10368" s="134" t="n">
        <f aca="false">LEN('Saisie programme'!$G$395)+SUMIFS('Vols additionnels'!$E$7:$E$66,'Vols additionnels'!$C$7:$C$66,$E10368,'Vols additionnels'!$D$7:$D$66,$F10368,'Vols additionnels'!$B$7:$B$66,$D10368)</f>
        <v>0</v>
      </c>
      <c r="H10368" s="135" t="n">
        <f aca="false">$G10368*'Analyse capacite'!$F$8</f>
        <v>0</v>
      </c>
      <c r="I10368" s="135" t="n">
        <f aca="false">$G10368*'Analyse capacite'!$C$8</f>
        <v>0</v>
      </c>
      <c r="J10368" s="135" t="n">
        <f aca="false">$G10368*'Analyse capacite'!$D$8</f>
        <v>0</v>
      </c>
      <c r="K10368" s="135" t="n">
        <f aca="false">$G10368*'Analyse capacite'!$E$8</f>
        <v>0</v>
      </c>
    </row>
    <row r="10369" customFormat="false" ht="15" hidden="false" customHeight="false" outlineLevel="0" collapsed="false">
      <c r="B10369" s="130" t="n">
        <v>2028</v>
      </c>
      <c r="C10369" s="131" t="s">
        <v>255</v>
      </c>
      <c r="D10369" s="132" t="n">
        <v>46765</v>
      </c>
      <c r="E10369" s="131" t="s">
        <v>59</v>
      </c>
      <c r="F10369" s="133" t="s">
        <v>24</v>
      </c>
      <c r="G10369" s="134" t="n">
        <f aca="false">LEN('Saisie programme'!$G$396)+SUMIFS('Vols additionnels'!$E$7:$E$66,'Vols additionnels'!$C$7:$C$66,$E10369,'Vols additionnels'!$D$7:$D$66,$F10369,'Vols additionnels'!$B$7:$B$66,$D10369)</f>
        <v>2</v>
      </c>
      <c r="H10369" s="135" t="n">
        <f aca="false">$G10369*'Analyse capacite'!$F$9</f>
        <v>348</v>
      </c>
      <c r="I10369" s="135" t="n">
        <f aca="false">$G10369*'Analyse capacite'!$C$9</f>
        <v>0</v>
      </c>
      <c r="J10369" s="135" t="n">
        <f aca="false">$G10369*'Analyse capacite'!$D$9</f>
        <v>24</v>
      </c>
      <c r="K10369" s="135" t="n">
        <f aca="false">$G10369*'Analyse capacite'!$E$9</f>
        <v>324</v>
      </c>
    </row>
    <row r="10370" customFormat="false" ht="15" hidden="false" customHeight="false" outlineLevel="0" collapsed="false">
      <c r="B10370" s="130" t="n">
        <v>2028</v>
      </c>
      <c r="C10370" s="131" t="s">
        <v>255</v>
      </c>
      <c r="D10370" s="132" t="n">
        <v>46765</v>
      </c>
      <c r="E10370" s="131" t="s">
        <v>62</v>
      </c>
      <c r="F10370" s="133" t="s">
        <v>11</v>
      </c>
      <c r="G10370" s="134" t="n">
        <f aca="false">LEN('Saisie programme'!$G$397)+SUMIFS('Vols additionnels'!$E$7:$E$66,'Vols additionnels'!$C$7:$C$66,$E10370,'Vols additionnels'!$D$7:$D$66,$F10370,'Vols additionnels'!$B$7:$B$66,$D10370)</f>
        <v>0</v>
      </c>
      <c r="H10370" s="135" t="n">
        <f aca="false">$G10370*'Analyse capacite'!$F$7</f>
        <v>0</v>
      </c>
      <c r="I10370" s="135" t="n">
        <f aca="false">$G10370*'Analyse capacite'!$C$7</f>
        <v>0</v>
      </c>
      <c r="J10370" s="135" t="n">
        <f aca="false">$G10370*'Analyse capacite'!$D$7</f>
        <v>0</v>
      </c>
      <c r="K10370" s="135" t="n">
        <f aca="false">$G10370*'Analyse capacite'!$E$7</f>
        <v>0</v>
      </c>
    </row>
    <row r="10371" customFormat="false" ht="15" hidden="false" customHeight="false" outlineLevel="0" collapsed="false">
      <c r="B10371" s="130" t="n">
        <v>2028</v>
      </c>
      <c r="C10371" s="131" t="s">
        <v>255</v>
      </c>
      <c r="D10371" s="132" t="n">
        <v>46765</v>
      </c>
      <c r="E10371" s="131" t="s">
        <v>62</v>
      </c>
      <c r="F10371" s="133" t="s">
        <v>19</v>
      </c>
      <c r="G10371" s="134" t="n">
        <f aca="false">LEN('Saisie programme'!$G$398)+SUMIFS('Vols additionnels'!$E$7:$E$66,'Vols additionnels'!$C$7:$C$66,$E10371,'Vols additionnels'!$D$7:$D$66,$F10371,'Vols additionnels'!$B$7:$B$66,$D10371)</f>
        <v>0</v>
      </c>
      <c r="H10371" s="135" t="n">
        <f aca="false">$G10371*'Analyse capacite'!$F$8</f>
        <v>0</v>
      </c>
      <c r="I10371" s="135" t="n">
        <f aca="false">$G10371*'Analyse capacite'!$C$8</f>
        <v>0</v>
      </c>
      <c r="J10371" s="135" t="n">
        <f aca="false">$G10371*'Analyse capacite'!$D$8</f>
        <v>0</v>
      </c>
      <c r="K10371" s="135" t="n">
        <f aca="false">$G10371*'Analyse capacite'!$E$8</f>
        <v>0</v>
      </c>
    </row>
    <row r="10372" customFormat="false" ht="15" hidden="false" customHeight="false" outlineLevel="0" collapsed="false">
      <c r="B10372" s="130" t="n">
        <v>2028</v>
      </c>
      <c r="C10372" s="131" t="s">
        <v>255</v>
      </c>
      <c r="D10372" s="132" t="n">
        <v>46765</v>
      </c>
      <c r="E10372" s="131" t="s">
        <v>62</v>
      </c>
      <c r="F10372" s="133" t="s">
        <v>24</v>
      </c>
      <c r="G10372" s="134" t="n">
        <f aca="false">LEN('Saisie programme'!$G$399)+SUMIFS('Vols additionnels'!$E$7:$E$66,'Vols additionnels'!$C$7:$C$66,$E10372,'Vols additionnels'!$D$7:$D$66,$F10372,'Vols additionnels'!$B$7:$B$66,$D10372)</f>
        <v>0</v>
      </c>
      <c r="H10372" s="135" t="n">
        <f aca="false">$G10372*'Analyse capacite'!$F$9</f>
        <v>0</v>
      </c>
      <c r="I10372" s="135" t="n">
        <f aca="false">$G10372*'Analyse capacite'!$C$9</f>
        <v>0</v>
      </c>
      <c r="J10372" s="135" t="n">
        <f aca="false">$G10372*'Analyse capacite'!$D$9</f>
        <v>0</v>
      </c>
      <c r="K10372" s="135" t="n">
        <f aca="false">$G10372*'Analyse capacite'!$E$9</f>
        <v>0</v>
      </c>
    </row>
    <row r="10373" customFormat="false" ht="15" hidden="false" customHeight="false" outlineLevel="0" collapsed="false">
      <c r="B10373" s="130" t="n">
        <v>2028</v>
      </c>
      <c r="C10373" s="131" t="s">
        <v>255</v>
      </c>
      <c r="D10373" s="132" t="n">
        <v>46766</v>
      </c>
      <c r="E10373" s="131" t="s">
        <v>12</v>
      </c>
      <c r="F10373" s="133" t="s">
        <v>11</v>
      </c>
      <c r="G10373" s="134" t="n">
        <f aca="false">LEN('Saisie programme'!$H$364)+SUMIFS('Vols additionnels'!$E$7:$E$66,'Vols additionnels'!$C$7:$C$66,$E10373,'Vols additionnels'!$D$7:$D$66,$F10373,'Vols additionnels'!$B$7:$B$66,$D10373)</f>
        <v>1</v>
      </c>
      <c r="H10373" s="135" t="n">
        <f aca="false">$G10373*'Analyse capacite'!$F$7</f>
        <v>438</v>
      </c>
      <c r="I10373" s="135" t="n">
        <f aca="false">$G10373*'Analyse capacite'!$C$7</f>
        <v>14</v>
      </c>
      <c r="J10373" s="135" t="n">
        <f aca="false">$G10373*'Analyse capacite'!$D$7</f>
        <v>40</v>
      </c>
      <c r="K10373" s="135" t="n">
        <f aca="false">$G10373*'Analyse capacite'!$E$7</f>
        <v>384</v>
      </c>
    </row>
    <row r="10374" customFormat="false" ht="15" hidden="false" customHeight="false" outlineLevel="0" collapsed="false">
      <c r="B10374" s="130" t="n">
        <v>2028</v>
      </c>
      <c r="C10374" s="131" t="s">
        <v>255</v>
      </c>
      <c r="D10374" s="132" t="n">
        <v>46766</v>
      </c>
      <c r="E10374" s="131" t="s">
        <v>12</v>
      </c>
      <c r="F10374" s="133" t="s">
        <v>19</v>
      </c>
      <c r="G10374" s="134" t="n">
        <f aca="false">LEN('Saisie programme'!$H$365)+SUMIFS('Vols additionnels'!$E$7:$E$66,'Vols additionnels'!$C$7:$C$66,$E10374,'Vols additionnels'!$D$7:$D$66,$F10374,'Vols additionnels'!$B$7:$B$66,$D10374)</f>
        <v>1</v>
      </c>
      <c r="H10374" s="135" t="n">
        <f aca="false">$G10374*'Analyse capacite'!$F$8</f>
        <v>262</v>
      </c>
      <c r="I10374" s="135" t="n">
        <f aca="false">$G10374*'Analyse capacite'!$C$8</f>
        <v>18</v>
      </c>
      <c r="J10374" s="135" t="n">
        <f aca="false">$G10374*'Analyse capacite'!$D$8</f>
        <v>0</v>
      </c>
      <c r="K10374" s="135" t="n">
        <f aca="false">$G10374*'Analyse capacite'!$E$8</f>
        <v>244</v>
      </c>
    </row>
    <row r="10375" customFormat="false" ht="15" hidden="false" customHeight="false" outlineLevel="0" collapsed="false">
      <c r="B10375" s="130" t="n">
        <v>2028</v>
      </c>
      <c r="C10375" s="131" t="s">
        <v>255</v>
      </c>
      <c r="D10375" s="132" t="n">
        <v>46766</v>
      </c>
      <c r="E10375" s="131" t="s">
        <v>12</v>
      </c>
      <c r="F10375" s="133" t="s">
        <v>24</v>
      </c>
      <c r="G10375" s="134" t="n">
        <f aca="false">LEN('Saisie programme'!$H$366)+SUMIFS('Vols additionnels'!$E$7:$E$66,'Vols additionnels'!$C$7:$C$66,$E10375,'Vols additionnels'!$D$7:$D$66,$F10375,'Vols additionnels'!$B$7:$B$66,$D10375)</f>
        <v>0</v>
      </c>
      <c r="H10375" s="135" t="n">
        <f aca="false">$G10375*'Analyse capacite'!$F$9</f>
        <v>0</v>
      </c>
      <c r="I10375" s="135" t="n">
        <f aca="false">$G10375*'Analyse capacite'!$C$9</f>
        <v>0</v>
      </c>
      <c r="J10375" s="135" t="n">
        <f aca="false">$G10375*'Analyse capacite'!$D$9</f>
        <v>0</v>
      </c>
      <c r="K10375" s="135" t="n">
        <f aca="false">$G10375*'Analyse capacite'!$E$9</f>
        <v>0</v>
      </c>
    </row>
    <row r="10376" customFormat="false" ht="15" hidden="false" customHeight="false" outlineLevel="0" collapsed="false">
      <c r="B10376" s="130" t="n">
        <v>2028</v>
      </c>
      <c r="C10376" s="131" t="s">
        <v>255</v>
      </c>
      <c r="D10376" s="132" t="n">
        <v>46766</v>
      </c>
      <c r="E10376" s="131" t="s">
        <v>20</v>
      </c>
      <c r="F10376" s="133" t="s">
        <v>11</v>
      </c>
      <c r="G10376" s="134" t="n">
        <f aca="false">LEN('Saisie programme'!$H$367)+SUMIFS('Vols additionnels'!$E$7:$E$66,'Vols additionnels'!$C$7:$C$66,$E10376,'Vols additionnels'!$D$7:$D$66,$F10376,'Vols additionnels'!$B$7:$B$66,$D10376)</f>
        <v>0</v>
      </c>
      <c r="H10376" s="135" t="n">
        <f aca="false">$G10376*'Analyse capacite'!$F$7</f>
        <v>0</v>
      </c>
      <c r="I10376" s="135" t="n">
        <f aca="false">$G10376*'Analyse capacite'!$C$7</f>
        <v>0</v>
      </c>
      <c r="J10376" s="135" t="n">
        <f aca="false">$G10376*'Analyse capacite'!$D$7</f>
        <v>0</v>
      </c>
      <c r="K10376" s="135" t="n">
        <f aca="false">$G10376*'Analyse capacite'!$E$7</f>
        <v>0</v>
      </c>
    </row>
    <row r="10377" customFormat="false" ht="15" hidden="false" customHeight="false" outlineLevel="0" collapsed="false">
      <c r="B10377" s="130" t="n">
        <v>2028</v>
      </c>
      <c r="C10377" s="131" t="s">
        <v>255</v>
      </c>
      <c r="D10377" s="132" t="n">
        <v>46766</v>
      </c>
      <c r="E10377" s="131" t="s">
        <v>20</v>
      </c>
      <c r="F10377" s="133" t="s">
        <v>19</v>
      </c>
      <c r="G10377" s="134" t="n">
        <f aca="false">LEN('Saisie programme'!$H$368)+SUMIFS('Vols additionnels'!$E$7:$E$66,'Vols additionnels'!$C$7:$C$66,$E10377,'Vols additionnels'!$D$7:$D$66,$F10377,'Vols additionnels'!$B$7:$B$66,$D10377)</f>
        <v>1</v>
      </c>
      <c r="H10377" s="135" t="n">
        <f aca="false">$G10377*'Analyse capacite'!$F$8</f>
        <v>262</v>
      </c>
      <c r="I10377" s="135" t="n">
        <f aca="false">$G10377*'Analyse capacite'!$C$8</f>
        <v>18</v>
      </c>
      <c r="J10377" s="135" t="n">
        <f aca="false">$G10377*'Analyse capacite'!$D$8</f>
        <v>0</v>
      </c>
      <c r="K10377" s="135" t="n">
        <f aca="false">$G10377*'Analyse capacite'!$E$8</f>
        <v>244</v>
      </c>
    </row>
    <row r="10378" customFormat="false" ht="15" hidden="false" customHeight="false" outlineLevel="0" collapsed="false">
      <c r="B10378" s="130" t="n">
        <v>2028</v>
      </c>
      <c r="C10378" s="131" t="s">
        <v>255</v>
      </c>
      <c r="D10378" s="132" t="n">
        <v>46766</v>
      </c>
      <c r="E10378" s="131" t="s">
        <v>20</v>
      </c>
      <c r="F10378" s="133" t="s">
        <v>24</v>
      </c>
      <c r="G10378" s="134" t="n">
        <f aca="false">LEN('Saisie programme'!$H$369)+SUMIFS('Vols additionnels'!$E$7:$E$66,'Vols additionnels'!$C$7:$C$66,$E10378,'Vols additionnels'!$D$7:$D$66,$F10378,'Vols additionnels'!$B$7:$B$66,$D10378)</f>
        <v>0</v>
      </c>
      <c r="H10378" s="135" t="n">
        <f aca="false">$G10378*'Analyse capacite'!$F$9</f>
        <v>0</v>
      </c>
      <c r="I10378" s="135" t="n">
        <f aca="false">$G10378*'Analyse capacite'!$C$9</f>
        <v>0</v>
      </c>
      <c r="J10378" s="135" t="n">
        <f aca="false">$G10378*'Analyse capacite'!$D$9</f>
        <v>0</v>
      </c>
      <c r="K10378" s="135" t="n">
        <f aca="false">$G10378*'Analyse capacite'!$E$9</f>
        <v>0</v>
      </c>
    </row>
    <row r="10379" customFormat="false" ht="15" hidden="false" customHeight="false" outlineLevel="0" collapsed="false">
      <c r="B10379" s="130" t="n">
        <v>2028</v>
      </c>
      <c r="C10379" s="131" t="s">
        <v>255</v>
      </c>
      <c r="D10379" s="132" t="n">
        <v>46766</v>
      </c>
      <c r="E10379" s="131" t="s">
        <v>25</v>
      </c>
      <c r="F10379" s="133" t="s">
        <v>11</v>
      </c>
      <c r="G10379" s="134" t="n">
        <f aca="false">LEN('Saisie programme'!$H$370)+SUMIFS('Vols additionnels'!$E$7:$E$66,'Vols additionnels'!$C$7:$C$66,$E10379,'Vols additionnels'!$D$7:$D$66,$F10379,'Vols additionnels'!$B$7:$B$66,$D10379)</f>
        <v>0</v>
      </c>
      <c r="H10379" s="135" t="n">
        <f aca="false">$G10379*'Analyse capacite'!$F$7</f>
        <v>0</v>
      </c>
      <c r="I10379" s="135" t="n">
        <f aca="false">$G10379*'Analyse capacite'!$C$7</f>
        <v>0</v>
      </c>
      <c r="J10379" s="135" t="n">
        <f aca="false">$G10379*'Analyse capacite'!$D$7</f>
        <v>0</v>
      </c>
      <c r="K10379" s="135" t="n">
        <f aca="false">$G10379*'Analyse capacite'!$E$7</f>
        <v>0</v>
      </c>
    </row>
    <row r="10380" customFormat="false" ht="15" hidden="false" customHeight="false" outlineLevel="0" collapsed="false">
      <c r="B10380" s="130" t="n">
        <v>2028</v>
      </c>
      <c r="C10380" s="131" t="s">
        <v>255</v>
      </c>
      <c r="D10380" s="132" t="n">
        <v>46766</v>
      </c>
      <c r="E10380" s="131" t="s">
        <v>25</v>
      </c>
      <c r="F10380" s="133" t="s">
        <v>19</v>
      </c>
      <c r="G10380" s="134" t="n">
        <f aca="false">LEN('Saisie programme'!$H$371)+SUMIFS('Vols additionnels'!$E$7:$E$66,'Vols additionnels'!$C$7:$C$66,$E10380,'Vols additionnels'!$D$7:$D$66,$F10380,'Vols additionnels'!$B$7:$B$66,$D10380)</f>
        <v>0</v>
      </c>
      <c r="H10380" s="135" t="n">
        <f aca="false">$G10380*'Analyse capacite'!$F$8</f>
        <v>0</v>
      </c>
      <c r="I10380" s="135" t="n">
        <f aca="false">$G10380*'Analyse capacite'!$C$8</f>
        <v>0</v>
      </c>
      <c r="J10380" s="135" t="n">
        <f aca="false">$G10380*'Analyse capacite'!$D$8</f>
        <v>0</v>
      </c>
      <c r="K10380" s="135" t="n">
        <f aca="false">$G10380*'Analyse capacite'!$E$8</f>
        <v>0</v>
      </c>
    </row>
    <row r="10381" customFormat="false" ht="15" hidden="false" customHeight="false" outlineLevel="0" collapsed="false">
      <c r="B10381" s="130" t="n">
        <v>2028</v>
      </c>
      <c r="C10381" s="131" t="s">
        <v>255</v>
      </c>
      <c r="D10381" s="132" t="n">
        <v>46766</v>
      </c>
      <c r="E10381" s="131" t="s">
        <v>25</v>
      </c>
      <c r="F10381" s="133" t="s">
        <v>24</v>
      </c>
      <c r="G10381" s="134" t="n">
        <f aca="false">LEN('Saisie programme'!$H$372)+SUMIFS('Vols additionnels'!$E$7:$E$66,'Vols additionnels'!$C$7:$C$66,$E10381,'Vols additionnels'!$D$7:$D$66,$F10381,'Vols additionnels'!$B$7:$B$66,$D10381)</f>
        <v>0</v>
      </c>
      <c r="H10381" s="135" t="n">
        <f aca="false">$G10381*'Analyse capacite'!$F$9</f>
        <v>0</v>
      </c>
      <c r="I10381" s="135" t="n">
        <f aca="false">$G10381*'Analyse capacite'!$C$9</f>
        <v>0</v>
      </c>
      <c r="J10381" s="135" t="n">
        <f aca="false">$G10381*'Analyse capacite'!$D$9</f>
        <v>0</v>
      </c>
      <c r="K10381" s="135" t="n">
        <f aca="false">$G10381*'Analyse capacite'!$E$9</f>
        <v>0</v>
      </c>
    </row>
    <row r="10382" customFormat="false" ht="15" hidden="false" customHeight="false" outlineLevel="0" collapsed="false">
      <c r="B10382" s="130" t="n">
        <v>2028</v>
      </c>
      <c r="C10382" s="131" t="s">
        <v>255</v>
      </c>
      <c r="D10382" s="132" t="n">
        <v>46766</v>
      </c>
      <c r="E10382" s="131" t="s">
        <v>36</v>
      </c>
      <c r="F10382" s="133" t="s">
        <v>11</v>
      </c>
      <c r="G10382" s="134" t="n">
        <f aca="false">LEN('Saisie programme'!$H$373)+SUMIFS('Vols additionnels'!$E$7:$E$66,'Vols additionnels'!$C$7:$C$66,$E10382,'Vols additionnels'!$D$7:$D$66,$F10382,'Vols additionnels'!$B$7:$B$66,$D10382)</f>
        <v>0</v>
      </c>
      <c r="H10382" s="135" t="n">
        <f aca="false">$G10382*'Analyse capacite'!$F$7</f>
        <v>0</v>
      </c>
      <c r="I10382" s="135" t="n">
        <f aca="false">$G10382*'Analyse capacite'!$C$7</f>
        <v>0</v>
      </c>
      <c r="J10382" s="135" t="n">
        <f aca="false">$G10382*'Analyse capacite'!$D$7</f>
        <v>0</v>
      </c>
      <c r="K10382" s="135" t="n">
        <f aca="false">$G10382*'Analyse capacite'!$E$7</f>
        <v>0</v>
      </c>
    </row>
    <row r="10383" customFormat="false" ht="15" hidden="false" customHeight="false" outlineLevel="0" collapsed="false">
      <c r="B10383" s="130" t="n">
        <v>2028</v>
      </c>
      <c r="C10383" s="131" t="s">
        <v>255</v>
      </c>
      <c r="D10383" s="132" t="n">
        <v>46766</v>
      </c>
      <c r="E10383" s="131" t="s">
        <v>36</v>
      </c>
      <c r="F10383" s="133" t="s">
        <v>19</v>
      </c>
      <c r="G10383" s="134" t="n">
        <f aca="false">LEN('Saisie programme'!$H$374)+SUMIFS('Vols additionnels'!$E$7:$E$66,'Vols additionnels'!$C$7:$C$66,$E10383,'Vols additionnels'!$D$7:$D$66,$F10383,'Vols additionnels'!$B$7:$B$66,$D10383)</f>
        <v>0</v>
      </c>
      <c r="H10383" s="135" t="n">
        <f aca="false">$G10383*'Analyse capacite'!$F$8</f>
        <v>0</v>
      </c>
      <c r="I10383" s="135" t="n">
        <f aca="false">$G10383*'Analyse capacite'!$C$8</f>
        <v>0</v>
      </c>
      <c r="J10383" s="135" t="n">
        <f aca="false">$G10383*'Analyse capacite'!$D$8</f>
        <v>0</v>
      </c>
      <c r="K10383" s="135" t="n">
        <f aca="false">$G10383*'Analyse capacite'!$E$8</f>
        <v>0</v>
      </c>
    </row>
    <row r="10384" customFormat="false" ht="15" hidden="false" customHeight="false" outlineLevel="0" collapsed="false">
      <c r="B10384" s="130" t="n">
        <v>2028</v>
      </c>
      <c r="C10384" s="131" t="s">
        <v>255</v>
      </c>
      <c r="D10384" s="132" t="n">
        <v>46766</v>
      </c>
      <c r="E10384" s="131" t="s">
        <v>36</v>
      </c>
      <c r="F10384" s="133" t="s">
        <v>24</v>
      </c>
      <c r="G10384" s="134" t="n">
        <f aca="false">LEN('Saisie programme'!$H$375)+SUMIFS('Vols additionnels'!$E$7:$E$66,'Vols additionnels'!$C$7:$C$66,$E10384,'Vols additionnels'!$D$7:$D$66,$F10384,'Vols additionnels'!$B$7:$B$66,$D10384)</f>
        <v>1</v>
      </c>
      <c r="H10384" s="135" t="n">
        <f aca="false">$G10384*'Analyse capacite'!$F$9</f>
        <v>174</v>
      </c>
      <c r="I10384" s="135" t="n">
        <f aca="false">$G10384*'Analyse capacite'!$C$9</f>
        <v>0</v>
      </c>
      <c r="J10384" s="135" t="n">
        <f aca="false">$G10384*'Analyse capacite'!$D$9</f>
        <v>12</v>
      </c>
      <c r="K10384" s="135" t="n">
        <f aca="false">$G10384*'Analyse capacite'!$E$9</f>
        <v>162</v>
      </c>
    </row>
    <row r="10385" customFormat="false" ht="15" hidden="false" customHeight="false" outlineLevel="0" collapsed="false">
      <c r="B10385" s="130" t="n">
        <v>2028</v>
      </c>
      <c r="C10385" s="131" t="s">
        <v>255</v>
      </c>
      <c r="D10385" s="132" t="n">
        <v>46766</v>
      </c>
      <c r="E10385" s="131" t="s">
        <v>40</v>
      </c>
      <c r="F10385" s="133" t="s">
        <v>11</v>
      </c>
      <c r="G10385" s="134" t="n">
        <f aca="false">LEN('Saisie programme'!$H$376)+SUMIFS('Vols additionnels'!$E$7:$E$66,'Vols additionnels'!$C$7:$C$66,$E10385,'Vols additionnels'!$D$7:$D$66,$F10385,'Vols additionnels'!$B$7:$B$66,$D10385)</f>
        <v>0</v>
      </c>
      <c r="H10385" s="135" t="n">
        <f aca="false">$G10385*'Analyse capacite'!$F$7</f>
        <v>0</v>
      </c>
      <c r="I10385" s="135" t="n">
        <f aca="false">$G10385*'Analyse capacite'!$C$7</f>
        <v>0</v>
      </c>
      <c r="J10385" s="135" t="n">
        <f aca="false">$G10385*'Analyse capacite'!$D$7</f>
        <v>0</v>
      </c>
      <c r="K10385" s="135" t="n">
        <f aca="false">$G10385*'Analyse capacite'!$E$7</f>
        <v>0</v>
      </c>
    </row>
    <row r="10386" customFormat="false" ht="15" hidden="false" customHeight="false" outlineLevel="0" collapsed="false">
      <c r="B10386" s="130" t="n">
        <v>2028</v>
      </c>
      <c r="C10386" s="131" t="s">
        <v>255</v>
      </c>
      <c r="D10386" s="132" t="n">
        <v>46766</v>
      </c>
      <c r="E10386" s="131" t="s">
        <v>40</v>
      </c>
      <c r="F10386" s="133" t="s">
        <v>19</v>
      </c>
      <c r="G10386" s="134" t="n">
        <f aca="false">LEN('Saisie programme'!$H$377)+SUMIFS('Vols additionnels'!$E$7:$E$66,'Vols additionnels'!$C$7:$C$66,$E10386,'Vols additionnels'!$D$7:$D$66,$F10386,'Vols additionnels'!$B$7:$B$66,$D10386)</f>
        <v>0</v>
      </c>
      <c r="H10386" s="135" t="n">
        <f aca="false">$G10386*'Analyse capacite'!$F$8</f>
        <v>0</v>
      </c>
      <c r="I10386" s="135" t="n">
        <f aca="false">$G10386*'Analyse capacite'!$C$8</f>
        <v>0</v>
      </c>
      <c r="J10386" s="135" t="n">
        <f aca="false">$G10386*'Analyse capacite'!$D$8</f>
        <v>0</v>
      </c>
      <c r="K10386" s="135" t="n">
        <f aca="false">$G10386*'Analyse capacite'!$E$8</f>
        <v>0</v>
      </c>
    </row>
    <row r="10387" customFormat="false" ht="15" hidden="false" customHeight="false" outlineLevel="0" collapsed="false">
      <c r="B10387" s="130" t="n">
        <v>2028</v>
      </c>
      <c r="C10387" s="131" t="s">
        <v>255</v>
      </c>
      <c r="D10387" s="132" t="n">
        <v>46766</v>
      </c>
      <c r="E10387" s="131" t="s">
        <v>40</v>
      </c>
      <c r="F10387" s="133" t="s">
        <v>24</v>
      </c>
      <c r="G10387" s="134" t="n">
        <f aca="false">LEN('Saisie programme'!$H$378)+SUMIFS('Vols additionnels'!$E$7:$E$66,'Vols additionnels'!$C$7:$C$66,$E10387,'Vols additionnels'!$D$7:$D$66,$F10387,'Vols additionnels'!$B$7:$B$66,$D10387)</f>
        <v>1</v>
      </c>
      <c r="H10387" s="135" t="n">
        <f aca="false">$G10387*'Analyse capacite'!$F$9</f>
        <v>174</v>
      </c>
      <c r="I10387" s="135" t="n">
        <f aca="false">$G10387*'Analyse capacite'!$C$9</f>
        <v>0</v>
      </c>
      <c r="J10387" s="135" t="n">
        <f aca="false">$G10387*'Analyse capacite'!$D$9</f>
        <v>12</v>
      </c>
      <c r="K10387" s="135" t="n">
        <f aca="false">$G10387*'Analyse capacite'!$E$9</f>
        <v>162</v>
      </c>
    </row>
    <row r="10388" customFormat="false" ht="15" hidden="false" customHeight="false" outlineLevel="0" collapsed="false">
      <c r="B10388" s="130" t="n">
        <v>2028</v>
      </c>
      <c r="C10388" s="131" t="s">
        <v>255</v>
      </c>
      <c r="D10388" s="132" t="n">
        <v>46766</v>
      </c>
      <c r="E10388" s="131" t="s">
        <v>14</v>
      </c>
      <c r="F10388" s="133" t="s">
        <v>11</v>
      </c>
      <c r="G10388" s="134" t="n">
        <f aca="false">LEN('Saisie programme'!$H$379)+SUMIFS('Vols additionnels'!$E$7:$E$66,'Vols additionnels'!$C$7:$C$66,$E10388,'Vols additionnels'!$D$7:$D$66,$F10388,'Vols additionnels'!$B$7:$B$66,$D10388)</f>
        <v>0</v>
      </c>
      <c r="H10388" s="135" t="n">
        <f aca="false">$G10388*'Analyse capacite'!$F$7</f>
        <v>0</v>
      </c>
      <c r="I10388" s="135" t="n">
        <f aca="false">$G10388*'Analyse capacite'!$C$7</f>
        <v>0</v>
      </c>
      <c r="J10388" s="135" t="n">
        <f aca="false">$G10388*'Analyse capacite'!$D$7</f>
        <v>0</v>
      </c>
      <c r="K10388" s="135" t="n">
        <f aca="false">$G10388*'Analyse capacite'!$E$7</f>
        <v>0</v>
      </c>
    </row>
    <row r="10389" customFormat="false" ht="15" hidden="false" customHeight="false" outlineLevel="0" collapsed="false">
      <c r="B10389" s="130" t="n">
        <v>2028</v>
      </c>
      <c r="C10389" s="131" t="s">
        <v>255</v>
      </c>
      <c r="D10389" s="132" t="n">
        <v>46766</v>
      </c>
      <c r="E10389" s="131" t="s">
        <v>14</v>
      </c>
      <c r="F10389" s="133" t="s">
        <v>19</v>
      </c>
      <c r="G10389" s="134" t="n">
        <f aca="false">LEN('Saisie programme'!$H$380)+SUMIFS('Vols additionnels'!$E$7:$E$66,'Vols additionnels'!$C$7:$C$66,$E10389,'Vols additionnels'!$D$7:$D$66,$F10389,'Vols additionnels'!$B$7:$B$66,$D10389)</f>
        <v>0</v>
      </c>
      <c r="H10389" s="135" t="n">
        <f aca="false">$G10389*'Analyse capacite'!$F$8</f>
        <v>0</v>
      </c>
      <c r="I10389" s="135" t="n">
        <f aca="false">$G10389*'Analyse capacite'!$C$8</f>
        <v>0</v>
      </c>
      <c r="J10389" s="135" t="n">
        <f aca="false">$G10389*'Analyse capacite'!$D$8</f>
        <v>0</v>
      </c>
      <c r="K10389" s="135" t="n">
        <f aca="false">$G10389*'Analyse capacite'!$E$8</f>
        <v>0</v>
      </c>
    </row>
    <row r="10390" customFormat="false" ht="15" hidden="false" customHeight="false" outlineLevel="0" collapsed="false">
      <c r="B10390" s="130" t="n">
        <v>2028</v>
      </c>
      <c r="C10390" s="131" t="s">
        <v>255</v>
      </c>
      <c r="D10390" s="132" t="n">
        <v>46766</v>
      </c>
      <c r="E10390" s="131" t="s">
        <v>14</v>
      </c>
      <c r="F10390" s="133" t="s">
        <v>24</v>
      </c>
      <c r="G10390" s="134" t="n">
        <f aca="false">LEN('Saisie programme'!$H$381)+SUMIFS('Vols additionnels'!$E$7:$E$66,'Vols additionnels'!$C$7:$C$66,$E10390,'Vols additionnels'!$D$7:$D$66,$F10390,'Vols additionnels'!$B$7:$B$66,$D10390)</f>
        <v>0</v>
      </c>
      <c r="H10390" s="135" t="n">
        <f aca="false">$G10390*'Analyse capacite'!$F$9</f>
        <v>0</v>
      </c>
      <c r="I10390" s="135" t="n">
        <f aca="false">$G10390*'Analyse capacite'!$C$9</f>
        <v>0</v>
      </c>
      <c r="J10390" s="135" t="n">
        <f aca="false">$G10390*'Analyse capacite'!$D$9</f>
        <v>0</v>
      </c>
      <c r="K10390" s="135" t="n">
        <f aca="false">$G10390*'Analyse capacite'!$E$9</f>
        <v>0</v>
      </c>
    </row>
    <row r="10391" customFormat="false" ht="15" hidden="false" customHeight="false" outlineLevel="0" collapsed="false">
      <c r="B10391" s="130" t="n">
        <v>2028</v>
      </c>
      <c r="C10391" s="131" t="s">
        <v>255</v>
      </c>
      <c r="D10391" s="132" t="n">
        <v>46766</v>
      </c>
      <c r="E10391" s="131" t="s">
        <v>46</v>
      </c>
      <c r="F10391" s="133" t="s">
        <v>11</v>
      </c>
      <c r="G10391" s="134" t="n">
        <f aca="false">LEN('Saisie programme'!$H$382)+SUMIFS('Vols additionnels'!$E$7:$E$66,'Vols additionnels'!$C$7:$C$66,$E10391,'Vols additionnels'!$D$7:$D$66,$F10391,'Vols additionnels'!$B$7:$B$66,$D10391)</f>
        <v>0</v>
      </c>
      <c r="H10391" s="135" t="n">
        <f aca="false">$G10391*'Analyse capacite'!$F$7</f>
        <v>0</v>
      </c>
      <c r="I10391" s="135" t="n">
        <f aca="false">$G10391*'Analyse capacite'!$C$7</f>
        <v>0</v>
      </c>
      <c r="J10391" s="135" t="n">
        <f aca="false">$G10391*'Analyse capacite'!$D$7</f>
        <v>0</v>
      </c>
      <c r="K10391" s="135" t="n">
        <f aca="false">$G10391*'Analyse capacite'!$E$7</f>
        <v>0</v>
      </c>
    </row>
    <row r="10392" customFormat="false" ht="15" hidden="false" customHeight="false" outlineLevel="0" collapsed="false">
      <c r="B10392" s="130" t="n">
        <v>2028</v>
      </c>
      <c r="C10392" s="131" t="s">
        <v>255</v>
      </c>
      <c r="D10392" s="132" t="n">
        <v>46766</v>
      </c>
      <c r="E10392" s="131" t="s">
        <v>46</v>
      </c>
      <c r="F10392" s="133" t="s">
        <v>19</v>
      </c>
      <c r="G10392" s="134" t="n">
        <f aca="false">LEN('Saisie programme'!$H$383)+SUMIFS('Vols additionnels'!$E$7:$E$66,'Vols additionnels'!$C$7:$C$66,$E10392,'Vols additionnels'!$D$7:$D$66,$F10392,'Vols additionnels'!$B$7:$B$66,$D10392)</f>
        <v>0</v>
      </c>
      <c r="H10392" s="135" t="n">
        <f aca="false">$G10392*'Analyse capacite'!$F$8</f>
        <v>0</v>
      </c>
      <c r="I10392" s="135" t="n">
        <f aca="false">$G10392*'Analyse capacite'!$C$8</f>
        <v>0</v>
      </c>
      <c r="J10392" s="135" t="n">
        <f aca="false">$G10392*'Analyse capacite'!$D$8</f>
        <v>0</v>
      </c>
      <c r="K10392" s="135" t="n">
        <f aca="false">$G10392*'Analyse capacite'!$E$8</f>
        <v>0</v>
      </c>
    </row>
    <row r="10393" customFormat="false" ht="15" hidden="false" customHeight="false" outlineLevel="0" collapsed="false">
      <c r="B10393" s="130" t="n">
        <v>2028</v>
      </c>
      <c r="C10393" s="131" t="s">
        <v>255</v>
      </c>
      <c r="D10393" s="132" t="n">
        <v>46766</v>
      </c>
      <c r="E10393" s="131" t="s">
        <v>46</v>
      </c>
      <c r="F10393" s="133" t="s">
        <v>24</v>
      </c>
      <c r="G10393" s="134" t="n">
        <f aca="false">LEN('Saisie programme'!$H$384)+SUMIFS('Vols additionnels'!$E$7:$E$66,'Vols additionnels'!$C$7:$C$66,$E10393,'Vols additionnels'!$D$7:$D$66,$F10393,'Vols additionnels'!$B$7:$B$66,$D10393)</f>
        <v>0</v>
      </c>
      <c r="H10393" s="135" t="n">
        <f aca="false">$G10393*'Analyse capacite'!$F$9</f>
        <v>0</v>
      </c>
      <c r="I10393" s="135" t="n">
        <f aca="false">$G10393*'Analyse capacite'!$C$9</f>
        <v>0</v>
      </c>
      <c r="J10393" s="135" t="n">
        <f aca="false">$G10393*'Analyse capacite'!$D$9</f>
        <v>0</v>
      </c>
      <c r="K10393" s="135" t="n">
        <f aca="false">$G10393*'Analyse capacite'!$E$9</f>
        <v>0</v>
      </c>
    </row>
    <row r="10394" customFormat="false" ht="15" hidden="false" customHeight="false" outlineLevel="0" collapsed="false">
      <c r="B10394" s="130" t="n">
        <v>2028</v>
      </c>
      <c r="C10394" s="131" t="s">
        <v>255</v>
      </c>
      <c r="D10394" s="132" t="n">
        <v>46766</v>
      </c>
      <c r="E10394" s="131" t="s">
        <v>49</v>
      </c>
      <c r="F10394" s="133" t="s">
        <v>11</v>
      </c>
      <c r="G10394" s="134" t="n">
        <f aca="false">LEN('Saisie programme'!$H$385)+SUMIFS('Vols additionnels'!$E$7:$E$66,'Vols additionnels'!$C$7:$C$66,$E10394,'Vols additionnels'!$D$7:$D$66,$F10394,'Vols additionnels'!$B$7:$B$66,$D10394)</f>
        <v>0</v>
      </c>
      <c r="H10394" s="135" t="n">
        <f aca="false">$G10394*'Analyse capacite'!$F$7</f>
        <v>0</v>
      </c>
      <c r="I10394" s="135" t="n">
        <f aca="false">$G10394*'Analyse capacite'!$C$7</f>
        <v>0</v>
      </c>
      <c r="J10394" s="135" t="n">
        <f aca="false">$G10394*'Analyse capacite'!$D$7</f>
        <v>0</v>
      </c>
      <c r="K10394" s="135" t="n">
        <f aca="false">$G10394*'Analyse capacite'!$E$7</f>
        <v>0</v>
      </c>
    </row>
    <row r="10395" customFormat="false" ht="15" hidden="false" customHeight="false" outlineLevel="0" collapsed="false">
      <c r="B10395" s="130" t="n">
        <v>2028</v>
      </c>
      <c r="C10395" s="131" t="s">
        <v>255</v>
      </c>
      <c r="D10395" s="132" t="n">
        <v>46766</v>
      </c>
      <c r="E10395" s="131" t="s">
        <v>49</v>
      </c>
      <c r="F10395" s="133" t="s">
        <v>19</v>
      </c>
      <c r="G10395" s="134" t="n">
        <f aca="false">LEN('Saisie programme'!$H$386)+SUMIFS('Vols additionnels'!$E$7:$E$66,'Vols additionnels'!$C$7:$C$66,$E10395,'Vols additionnels'!$D$7:$D$66,$F10395,'Vols additionnels'!$B$7:$B$66,$D10395)</f>
        <v>1</v>
      </c>
      <c r="H10395" s="135" t="n">
        <f aca="false">$G10395*'Analyse capacite'!$F$8</f>
        <v>262</v>
      </c>
      <c r="I10395" s="135" t="n">
        <f aca="false">$G10395*'Analyse capacite'!$C$8</f>
        <v>18</v>
      </c>
      <c r="J10395" s="135" t="n">
        <f aca="false">$G10395*'Analyse capacite'!$D$8</f>
        <v>0</v>
      </c>
      <c r="K10395" s="135" t="n">
        <f aca="false">$G10395*'Analyse capacite'!$E$8</f>
        <v>244</v>
      </c>
    </row>
    <row r="10396" customFormat="false" ht="15" hidden="false" customHeight="false" outlineLevel="0" collapsed="false">
      <c r="B10396" s="130" t="n">
        <v>2028</v>
      </c>
      <c r="C10396" s="131" t="s">
        <v>255</v>
      </c>
      <c r="D10396" s="132" t="n">
        <v>46766</v>
      </c>
      <c r="E10396" s="131" t="s">
        <v>49</v>
      </c>
      <c r="F10396" s="133" t="s">
        <v>24</v>
      </c>
      <c r="G10396" s="134" t="n">
        <f aca="false">LEN('Saisie programme'!$H$387)+SUMIFS('Vols additionnels'!$E$7:$E$66,'Vols additionnels'!$C$7:$C$66,$E10396,'Vols additionnels'!$D$7:$D$66,$F10396,'Vols additionnels'!$B$7:$B$66,$D10396)</f>
        <v>0</v>
      </c>
      <c r="H10396" s="135" t="n">
        <f aca="false">$G10396*'Analyse capacite'!$F$9</f>
        <v>0</v>
      </c>
      <c r="I10396" s="135" t="n">
        <f aca="false">$G10396*'Analyse capacite'!$C$9</f>
        <v>0</v>
      </c>
      <c r="J10396" s="135" t="n">
        <f aca="false">$G10396*'Analyse capacite'!$D$9</f>
        <v>0</v>
      </c>
      <c r="K10396" s="135" t="n">
        <f aca="false">$G10396*'Analyse capacite'!$E$9</f>
        <v>0</v>
      </c>
    </row>
    <row r="10397" customFormat="false" ht="15" hidden="false" customHeight="false" outlineLevel="0" collapsed="false">
      <c r="B10397" s="130" t="n">
        <v>2028</v>
      </c>
      <c r="C10397" s="131" t="s">
        <v>255</v>
      </c>
      <c r="D10397" s="132" t="n">
        <v>46766</v>
      </c>
      <c r="E10397" s="131" t="s">
        <v>53</v>
      </c>
      <c r="F10397" s="133" t="s">
        <v>11</v>
      </c>
      <c r="G10397" s="134" t="n">
        <f aca="false">LEN('Saisie programme'!$H$388)+SUMIFS('Vols additionnels'!$E$7:$E$66,'Vols additionnels'!$C$7:$C$66,$E10397,'Vols additionnels'!$D$7:$D$66,$F10397,'Vols additionnels'!$B$7:$B$66,$D10397)</f>
        <v>0</v>
      </c>
      <c r="H10397" s="135" t="n">
        <f aca="false">$G10397*'Analyse capacite'!$F$7</f>
        <v>0</v>
      </c>
      <c r="I10397" s="135" t="n">
        <f aca="false">$G10397*'Analyse capacite'!$C$7</f>
        <v>0</v>
      </c>
      <c r="J10397" s="135" t="n">
        <f aca="false">$G10397*'Analyse capacite'!$D$7</f>
        <v>0</v>
      </c>
      <c r="K10397" s="135" t="n">
        <f aca="false">$G10397*'Analyse capacite'!$E$7</f>
        <v>0</v>
      </c>
    </row>
    <row r="10398" customFormat="false" ht="15" hidden="false" customHeight="false" outlineLevel="0" collapsed="false">
      <c r="B10398" s="130" t="n">
        <v>2028</v>
      </c>
      <c r="C10398" s="131" t="s">
        <v>255</v>
      </c>
      <c r="D10398" s="132" t="n">
        <v>46766</v>
      </c>
      <c r="E10398" s="131" t="s">
        <v>53</v>
      </c>
      <c r="F10398" s="133" t="s">
        <v>19</v>
      </c>
      <c r="G10398" s="134" t="n">
        <f aca="false">LEN('Saisie programme'!$H$389)+SUMIFS('Vols additionnels'!$E$7:$E$66,'Vols additionnels'!$C$7:$C$66,$E10398,'Vols additionnels'!$D$7:$D$66,$F10398,'Vols additionnels'!$B$7:$B$66,$D10398)</f>
        <v>0</v>
      </c>
      <c r="H10398" s="135" t="n">
        <f aca="false">$G10398*'Analyse capacite'!$F$8</f>
        <v>0</v>
      </c>
      <c r="I10398" s="135" t="n">
        <f aca="false">$G10398*'Analyse capacite'!$C$8</f>
        <v>0</v>
      </c>
      <c r="J10398" s="135" t="n">
        <f aca="false">$G10398*'Analyse capacite'!$D$8</f>
        <v>0</v>
      </c>
      <c r="K10398" s="135" t="n">
        <f aca="false">$G10398*'Analyse capacite'!$E$8</f>
        <v>0</v>
      </c>
    </row>
    <row r="10399" customFormat="false" ht="15" hidden="false" customHeight="false" outlineLevel="0" collapsed="false">
      <c r="B10399" s="130" t="n">
        <v>2028</v>
      </c>
      <c r="C10399" s="131" t="s">
        <v>255</v>
      </c>
      <c r="D10399" s="132" t="n">
        <v>46766</v>
      </c>
      <c r="E10399" s="131" t="s">
        <v>53</v>
      </c>
      <c r="F10399" s="133" t="s">
        <v>24</v>
      </c>
      <c r="G10399" s="134" t="n">
        <f aca="false">LEN('Saisie programme'!$H$390)+SUMIFS('Vols additionnels'!$E$7:$E$66,'Vols additionnels'!$C$7:$C$66,$E10399,'Vols additionnels'!$D$7:$D$66,$F10399,'Vols additionnels'!$B$7:$B$66,$D10399)</f>
        <v>0</v>
      </c>
      <c r="H10399" s="135" t="n">
        <f aca="false">$G10399*'Analyse capacite'!$F$9</f>
        <v>0</v>
      </c>
      <c r="I10399" s="135" t="n">
        <f aca="false">$G10399*'Analyse capacite'!$C$9</f>
        <v>0</v>
      </c>
      <c r="J10399" s="135" t="n">
        <f aca="false">$G10399*'Analyse capacite'!$D$9</f>
        <v>0</v>
      </c>
      <c r="K10399" s="135" t="n">
        <f aca="false">$G10399*'Analyse capacite'!$E$9</f>
        <v>0</v>
      </c>
    </row>
    <row r="10400" customFormat="false" ht="15" hidden="false" customHeight="false" outlineLevel="0" collapsed="false">
      <c r="B10400" s="130" t="n">
        <v>2028</v>
      </c>
      <c r="C10400" s="131" t="s">
        <v>255</v>
      </c>
      <c r="D10400" s="132" t="n">
        <v>46766</v>
      </c>
      <c r="E10400" s="131" t="s">
        <v>56</v>
      </c>
      <c r="F10400" s="133" t="s">
        <v>11</v>
      </c>
      <c r="G10400" s="134" t="n">
        <f aca="false">LEN('Saisie programme'!$H$391)+SUMIFS('Vols additionnels'!$E$7:$E$66,'Vols additionnels'!$C$7:$C$66,$E10400,'Vols additionnels'!$D$7:$D$66,$F10400,'Vols additionnels'!$B$7:$B$66,$D10400)</f>
        <v>0</v>
      </c>
      <c r="H10400" s="135" t="n">
        <f aca="false">$G10400*'Analyse capacite'!$F$7</f>
        <v>0</v>
      </c>
      <c r="I10400" s="135" t="n">
        <f aca="false">$G10400*'Analyse capacite'!$C$7</f>
        <v>0</v>
      </c>
      <c r="J10400" s="135" t="n">
        <f aca="false">$G10400*'Analyse capacite'!$D$7</f>
        <v>0</v>
      </c>
      <c r="K10400" s="135" t="n">
        <f aca="false">$G10400*'Analyse capacite'!$E$7</f>
        <v>0</v>
      </c>
    </row>
    <row r="10401" customFormat="false" ht="15" hidden="false" customHeight="false" outlineLevel="0" collapsed="false">
      <c r="B10401" s="130" t="n">
        <v>2028</v>
      </c>
      <c r="C10401" s="131" t="s">
        <v>255</v>
      </c>
      <c r="D10401" s="132" t="n">
        <v>46766</v>
      </c>
      <c r="E10401" s="131" t="s">
        <v>56</v>
      </c>
      <c r="F10401" s="133" t="s">
        <v>19</v>
      </c>
      <c r="G10401" s="134" t="n">
        <f aca="false">LEN('Saisie programme'!$H$392)+SUMIFS('Vols additionnels'!$E$7:$E$66,'Vols additionnels'!$C$7:$C$66,$E10401,'Vols additionnels'!$D$7:$D$66,$F10401,'Vols additionnels'!$B$7:$B$66,$D10401)</f>
        <v>0</v>
      </c>
      <c r="H10401" s="135" t="n">
        <f aca="false">$G10401*'Analyse capacite'!$F$8</f>
        <v>0</v>
      </c>
      <c r="I10401" s="135" t="n">
        <f aca="false">$G10401*'Analyse capacite'!$C$8</f>
        <v>0</v>
      </c>
      <c r="J10401" s="135" t="n">
        <f aca="false">$G10401*'Analyse capacite'!$D$8</f>
        <v>0</v>
      </c>
      <c r="K10401" s="135" t="n">
        <f aca="false">$G10401*'Analyse capacite'!$E$8</f>
        <v>0</v>
      </c>
    </row>
    <row r="10402" customFormat="false" ht="15" hidden="false" customHeight="false" outlineLevel="0" collapsed="false">
      <c r="B10402" s="130" t="n">
        <v>2028</v>
      </c>
      <c r="C10402" s="131" t="s">
        <v>255</v>
      </c>
      <c r="D10402" s="132" t="n">
        <v>46766</v>
      </c>
      <c r="E10402" s="131" t="s">
        <v>56</v>
      </c>
      <c r="F10402" s="133" t="s">
        <v>24</v>
      </c>
      <c r="G10402" s="134" t="n">
        <f aca="false">LEN('Saisie programme'!$H$393)+SUMIFS('Vols additionnels'!$E$7:$E$66,'Vols additionnels'!$C$7:$C$66,$E10402,'Vols additionnels'!$D$7:$D$66,$F10402,'Vols additionnels'!$B$7:$B$66,$D10402)</f>
        <v>0</v>
      </c>
      <c r="H10402" s="135" t="n">
        <f aca="false">$G10402*'Analyse capacite'!$F$9</f>
        <v>0</v>
      </c>
      <c r="I10402" s="135" t="n">
        <f aca="false">$G10402*'Analyse capacite'!$C$9</f>
        <v>0</v>
      </c>
      <c r="J10402" s="135" t="n">
        <f aca="false">$G10402*'Analyse capacite'!$D$9</f>
        <v>0</v>
      </c>
      <c r="K10402" s="135" t="n">
        <f aca="false">$G10402*'Analyse capacite'!$E$9</f>
        <v>0</v>
      </c>
    </row>
    <row r="10403" customFormat="false" ht="15" hidden="false" customHeight="false" outlineLevel="0" collapsed="false">
      <c r="B10403" s="130" t="n">
        <v>2028</v>
      </c>
      <c r="C10403" s="131" t="s">
        <v>255</v>
      </c>
      <c r="D10403" s="132" t="n">
        <v>46766</v>
      </c>
      <c r="E10403" s="131" t="s">
        <v>59</v>
      </c>
      <c r="F10403" s="133" t="s">
        <v>11</v>
      </c>
      <c r="G10403" s="134" t="n">
        <f aca="false">LEN('Saisie programme'!$H$394)+SUMIFS('Vols additionnels'!$E$7:$E$66,'Vols additionnels'!$C$7:$C$66,$E10403,'Vols additionnels'!$D$7:$D$66,$F10403,'Vols additionnels'!$B$7:$B$66,$D10403)</f>
        <v>0</v>
      </c>
      <c r="H10403" s="135" t="n">
        <f aca="false">$G10403*'Analyse capacite'!$F$7</f>
        <v>0</v>
      </c>
      <c r="I10403" s="135" t="n">
        <f aca="false">$G10403*'Analyse capacite'!$C$7</f>
        <v>0</v>
      </c>
      <c r="J10403" s="135" t="n">
        <f aca="false">$G10403*'Analyse capacite'!$D$7</f>
        <v>0</v>
      </c>
      <c r="K10403" s="135" t="n">
        <f aca="false">$G10403*'Analyse capacite'!$E$7</f>
        <v>0</v>
      </c>
    </row>
    <row r="10404" customFormat="false" ht="15" hidden="false" customHeight="false" outlineLevel="0" collapsed="false">
      <c r="B10404" s="130" t="n">
        <v>2028</v>
      </c>
      <c r="C10404" s="131" t="s">
        <v>255</v>
      </c>
      <c r="D10404" s="132" t="n">
        <v>46766</v>
      </c>
      <c r="E10404" s="131" t="s">
        <v>59</v>
      </c>
      <c r="F10404" s="133" t="s">
        <v>19</v>
      </c>
      <c r="G10404" s="134" t="n">
        <f aca="false">LEN('Saisie programme'!$H$395)+SUMIFS('Vols additionnels'!$E$7:$E$66,'Vols additionnels'!$C$7:$C$66,$E10404,'Vols additionnels'!$D$7:$D$66,$F10404,'Vols additionnels'!$B$7:$B$66,$D10404)</f>
        <v>0</v>
      </c>
      <c r="H10404" s="135" t="n">
        <f aca="false">$G10404*'Analyse capacite'!$F$8</f>
        <v>0</v>
      </c>
      <c r="I10404" s="135" t="n">
        <f aca="false">$G10404*'Analyse capacite'!$C$8</f>
        <v>0</v>
      </c>
      <c r="J10404" s="135" t="n">
        <f aca="false">$G10404*'Analyse capacite'!$D$8</f>
        <v>0</v>
      </c>
      <c r="K10404" s="135" t="n">
        <f aca="false">$G10404*'Analyse capacite'!$E$8</f>
        <v>0</v>
      </c>
    </row>
    <row r="10405" customFormat="false" ht="15" hidden="false" customHeight="false" outlineLevel="0" collapsed="false">
      <c r="B10405" s="130" t="n">
        <v>2028</v>
      </c>
      <c r="C10405" s="131" t="s">
        <v>255</v>
      </c>
      <c r="D10405" s="132" t="n">
        <v>46766</v>
      </c>
      <c r="E10405" s="131" t="s">
        <v>59</v>
      </c>
      <c r="F10405" s="133" t="s">
        <v>24</v>
      </c>
      <c r="G10405" s="134" t="n">
        <f aca="false">LEN('Saisie programme'!$H$396)+SUMIFS('Vols additionnels'!$E$7:$E$66,'Vols additionnels'!$C$7:$C$66,$E10405,'Vols additionnels'!$D$7:$D$66,$F10405,'Vols additionnels'!$B$7:$B$66,$D10405)</f>
        <v>1</v>
      </c>
      <c r="H10405" s="135" t="n">
        <f aca="false">$G10405*'Analyse capacite'!$F$9</f>
        <v>174</v>
      </c>
      <c r="I10405" s="135" t="n">
        <f aca="false">$G10405*'Analyse capacite'!$C$9</f>
        <v>0</v>
      </c>
      <c r="J10405" s="135" t="n">
        <f aca="false">$G10405*'Analyse capacite'!$D$9</f>
        <v>12</v>
      </c>
      <c r="K10405" s="135" t="n">
        <f aca="false">$G10405*'Analyse capacite'!$E$9</f>
        <v>162</v>
      </c>
    </row>
    <row r="10406" customFormat="false" ht="15" hidden="false" customHeight="false" outlineLevel="0" collapsed="false">
      <c r="B10406" s="130" t="n">
        <v>2028</v>
      </c>
      <c r="C10406" s="131" t="s">
        <v>255</v>
      </c>
      <c r="D10406" s="132" t="n">
        <v>46766</v>
      </c>
      <c r="E10406" s="131" t="s">
        <v>62</v>
      </c>
      <c r="F10406" s="133" t="s">
        <v>11</v>
      </c>
      <c r="G10406" s="134" t="n">
        <f aca="false">LEN('Saisie programme'!$H$397)+SUMIFS('Vols additionnels'!$E$7:$E$66,'Vols additionnels'!$C$7:$C$66,$E10406,'Vols additionnels'!$D$7:$D$66,$F10406,'Vols additionnels'!$B$7:$B$66,$D10406)</f>
        <v>0</v>
      </c>
      <c r="H10406" s="135" t="n">
        <f aca="false">$G10406*'Analyse capacite'!$F$7</f>
        <v>0</v>
      </c>
      <c r="I10406" s="135" t="n">
        <f aca="false">$G10406*'Analyse capacite'!$C$7</f>
        <v>0</v>
      </c>
      <c r="J10406" s="135" t="n">
        <f aca="false">$G10406*'Analyse capacite'!$D$7</f>
        <v>0</v>
      </c>
      <c r="K10406" s="135" t="n">
        <f aca="false">$G10406*'Analyse capacite'!$E$7</f>
        <v>0</v>
      </c>
    </row>
    <row r="10407" customFormat="false" ht="15" hidden="false" customHeight="false" outlineLevel="0" collapsed="false">
      <c r="B10407" s="130" t="n">
        <v>2028</v>
      </c>
      <c r="C10407" s="131" t="s">
        <v>255</v>
      </c>
      <c r="D10407" s="132" t="n">
        <v>46766</v>
      </c>
      <c r="E10407" s="131" t="s">
        <v>62</v>
      </c>
      <c r="F10407" s="133" t="s">
        <v>19</v>
      </c>
      <c r="G10407" s="134" t="n">
        <f aca="false">LEN('Saisie programme'!$H$398)+SUMIFS('Vols additionnels'!$E$7:$E$66,'Vols additionnels'!$C$7:$C$66,$E10407,'Vols additionnels'!$D$7:$D$66,$F10407,'Vols additionnels'!$B$7:$B$66,$D10407)</f>
        <v>0</v>
      </c>
      <c r="H10407" s="135" t="n">
        <f aca="false">$G10407*'Analyse capacite'!$F$8</f>
        <v>0</v>
      </c>
      <c r="I10407" s="135" t="n">
        <f aca="false">$G10407*'Analyse capacite'!$C$8</f>
        <v>0</v>
      </c>
      <c r="J10407" s="135" t="n">
        <f aca="false">$G10407*'Analyse capacite'!$D$8</f>
        <v>0</v>
      </c>
      <c r="K10407" s="135" t="n">
        <f aca="false">$G10407*'Analyse capacite'!$E$8</f>
        <v>0</v>
      </c>
    </row>
    <row r="10408" customFormat="false" ht="15" hidden="false" customHeight="false" outlineLevel="0" collapsed="false">
      <c r="B10408" s="130" t="n">
        <v>2028</v>
      </c>
      <c r="C10408" s="131" t="s">
        <v>255</v>
      </c>
      <c r="D10408" s="132" t="n">
        <v>46766</v>
      </c>
      <c r="E10408" s="131" t="s">
        <v>62</v>
      </c>
      <c r="F10408" s="133" t="s">
        <v>24</v>
      </c>
      <c r="G10408" s="134" t="n">
        <f aca="false">LEN('Saisie programme'!$H$399)+SUMIFS('Vols additionnels'!$E$7:$E$66,'Vols additionnels'!$C$7:$C$66,$E10408,'Vols additionnels'!$D$7:$D$66,$F10408,'Vols additionnels'!$B$7:$B$66,$D10408)</f>
        <v>0</v>
      </c>
      <c r="H10408" s="135" t="n">
        <f aca="false">$G10408*'Analyse capacite'!$F$9</f>
        <v>0</v>
      </c>
      <c r="I10408" s="135" t="n">
        <f aca="false">$G10408*'Analyse capacite'!$C$9</f>
        <v>0</v>
      </c>
      <c r="J10408" s="135" t="n">
        <f aca="false">$G10408*'Analyse capacite'!$D$9</f>
        <v>0</v>
      </c>
      <c r="K10408" s="135" t="n">
        <f aca="false">$G10408*'Analyse capacite'!$E$9</f>
        <v>0</v>
      </c>
    </row>
    <row r="10409" customFormat="false" ht="15" hidden="false" customHeight="false" outlineLevel="0" collapsed="false">
      <c r="B10409" s="130" t="n">
        <v>2028</v>
      </c>
      <c r="C10409" s="131" t="s">
        <v>255</v>
      </c>
      <c r="D10409" s="132" t="n">
        <v>46767</v>
      </c>
      <c r="E10409" s="131" t="s">
        <v>12</v>
      </c>
      <c r="F10409" s="133" t="s">
        <v>11</v>
      </c>
      <c r="G10409" s="134" t="n">
        <f aca="false">LEN('Saisie programme'!$I$364)+SUMIFS('Vols additionnels'!$E$7:$E$66,'Vols additionnels'!$C$7:$C$66,$E10409,'Vols additionnels'!$D$7:$D$66,$F10409,'Vols additionnels'!$B$7:$B$66,$D10409)</f>
        <v>1</v>
      </c>
      <c r="H10409" s="135" t="n">
        <f aca="false">$G10409*'Analyse capacite'!$F$7</f>
        <v>438</v>
      </c>
      <c r="I10409" s="135" t="n">
        <f aca="false">$G10409*'Analyse capacite'!$C$7</f>
        <v>14</v>
      </c>
      <c r="J10409" s="135" t="n">
        <f aca="false">$G10409*'Analyse capacite'!$D$7</f>
        <v>40</v>
      </c>
      <c r="K10409" s="135" t="n">
        <f aca="false">$G10409*'Analyse capacite'!$E$7</f>
        <v>384</v>
      </c>
    </row>
    <row r="10410" customFormat="false" ht="15" hidden="false" customHeight="false" outlineLevel="0" collapsed="false">
      <c r="B10410" s="130" t="n">
        <v>2028</v>
      </c>
      <c r="C10410" s="131" t="s">
        <v>255</v>
      </c>
      <c r="D10410" s="132" t="n">
        <v>46767</v>
      </c>
      <c r="E10410" s="131" t="s">
        <v>12</v>
      </c>
      <c r="F10410" s="133" t="s">
        <v>19</v>
      </c>
      <c r="G10410" s="134" t="n">
        <f aca="false">LEN('Saisie programme'!$I$365)+SUMIFS('Vols additionnels'!$E$7:$E$66,'Vols additionnels'!$C$7:$C$66,$E10410,'Vols additionnels'!$D$7:$D$66,$F10410,'Vols additionnels'!$B$7:$B$66,$D10410)</f>
        <v>0</v>
      </c>
      <c r="H10410" s="135" t="n">
        <f aca="false">$G10410*'Analyse capacite'!$F$8</f>
        <v>0</v>
      </c>
      <c r="I10410" s="135" t="n">
        <f aca="false">$G10410*'Analyse capacite'!$C$8</f>
        <v>0</v>
      </c>
      <c r="J10410" s="135" t="n">
        <f aca="false">$G10410*'Analyse capacite'!$D$8</f>
        <v>0</v>
      </c>
      <c r="K10410" s="135" t="n">
        <f aca="false">$G10410*'Analyse capacite'!$E$8</f>
        <v>0</v>
      </c>
    </row>
    <row r="10411" customFormat="false" ht="15" hidden="false" customHeight="false" outlineLevel="0" collapsed="false">
      <c r="B10411" s="130" t="n">
        <v>2028</v>
      </c>
      <c r="C10411" s="131" t="s">
        <v>255</v>
      </c>
      <c r="D10411" s="132" t="n">
        <v>46767</v>
      </c>
      <c r="E10411" s="131" t="s">
        <v>12</v>
      </c>
      <c r="F10411" s="133" t="s">
        <v>24</v>
      </c>
      <c r="G10411" s="134" t="n">
        <f aca="false">LEN('Saisie programme'!$I$366)+SUMIFS('Vols additionnels'!$E$7:$E$66,'Vols additionnels'!$C$7:$C$66,$E10411,'Vols additionnels'!$D$7:$D$66,$F10411,'Vols additionnels'!$B$7:$B$66,$D10411)</f>
        <v>0</v>
      </c>
      <c r="H10411" s="135" t="n">
        <f aca="false">$G10411*'Analyse capacite'!$F$9</f>
        <v>0</v>
      </c>
      <c r="I10411" s="135" t="n">
        <f aca="false">$G10411*'Analyse capacite'!$C$9</f>
        <v>0</v>
      </c>
      <c r="J10411" s="135" t="n">
        <f aca="false">$G10411*'Analyse capacite'!$D$9</f>
        <v>0</v>
      </c>
      <c r="K10411" s="135" t="n">
        <f aca="false">$G10411*'Analyse capacite'!$E$9</f>
        <v>0</v>
      </c>
    </row>
    <row r="10412" customFormat="false" ht="15" hidden="false" customHeight="false" outlineLevel="0" collapsed="false">
      <c r="B10412" s="130" t="n">
        <v>2028</v>
      </c>
      <c r="C10412" s="131" t="s">
        <v>255</v>
      </c>
      <c r="D10412" s="132" t="n">
        <v>46767</v>
      </c>
      <c r="E10412" s="131" t="s">
        <v>20</v>
      </c>
      <c r="F10412" s="133" t="s">
        <v>11</v>
      </c>
      <c r="G10412" s="134" t="n">
        <f aca="false">LEN('Saisie programme'!$I$367)+SUMIFS('Vols additionnels'!$E$7:$E$66,'Vols additionnels'!$C$7:$C$66,$E10412,'Vols additionnels'!$D$7:$D$66,$F10412,'Vols additionnels'!$B$7:$B$66,$D10412)</f>
        <v>0</v>
      </c>
      <c r="H10412" s="135" t="n">
        <f aca="false">$G10412*'Analyse capacite'!$F$7</f>
        <v>0</v>
      </c>
      <c r="I10412" s="135" t="n">
        <f aca="false">$G10412*'Analyse capacite'!$C$7</f>
        <v>0</v>
      </c>
      <c r="J10412" s="135" t="n">
        <f aca="false">$G10412*'Analyse capacite'!$D$7</f>
        <v>0</v>
      </c>
      <c r="K10412" s="135" t="n">
        <f aca="false">$G10412*'Analyse capacite'!$E$7</f>
        <v>0</v>
      </c>
    </row>
    <row r="10413" customFormat="false" ht="15" hidden="false" customHeight="false" outlineLevel="0" collapsed="false">
      <c r="B10413" s="130" t="n">
        <v>2028</v>
      </c>
      <c r="C10413" s="131" t="s">
        <v>255</v>
      </c>
      <c r="D10413" s="132" t="n">
        <v>46767</v>
      </c>
      <c r="E10413" s="131" t="s">
        <v>20</v>
      </c>
      <c r="F10413" s="133" t="s">
        <v>19</v>
      </c>
      <c r="G10413" s="134" t="n">
        <f aca="false">LEN('Saisie programme'!$I$368)+SUMIFS('Vols additionnels'!$E$7:$E$66,'Vols additionnels'!$C$7:$C$66,$E10413,'Vols additionnels'!$D$7:$D$66,$F10413,'Vols additionnels'!$B$7:$B$66,$D10413)</f>
        <v>0</v>
      </c>
      <c r="H10413" s="135" t="n">
        <f aca="false">$G10413*'Analyse capacite'!$F$8</f>
        <v>0</v>
      </c>
      <c r="I10413" s="135" t="n">
        <f aca="false">$G10413*'Analyse capacite'!$C$8</f>
        <v>0</v>
      </c>
      <c r="J10413" s="135" t="n">
        <f aca="false">$G10413*'Analyse capacite'!$D$8</f>
        <v>0</v>
      </c>
      <c r="K10413" s="135" t="n">
        <f aca="false">$G10413*'Analyse capacite'!$E$8</f>
        <v>0</v>
      </c>
    </row>
    <row r="10414" customFormat="false" ht="15" hidden="false" customHeight="false" outlineLevel="0" collapsed="false">
      <c r="B10414" s="130" t="n">
        <v>2028</v>
      </c>
      <c r="C10414" s="131" t="s">
        <v>255</v>
      </c>
      <c r="D10414" s="132" t="n">
        <v>46767</v>
      </c>
      <c r="E10414" s="131" t="s">
        <v>20</v>
      </c>
      <c r="F10414" s="133" t="s">
        <v>24</v>
      </c>
      <c r="G10414" s="134" t="n">
        <f aca="false">LEN('Saisie programme'!$I$369)+SUMIFS('Vols additionnels'!$E$7:$E$66,'Vols additionnels'!$C$7:$C$66,$E10414,'Vols additionnels'!$D$7:$D$66,$F10414,'Vols additionnels'!$B$7:$B$66,$D10414)</f>
        <v>0</v>
      </c>
      <c r="H10414" s="135" t="n">
        <f aca="false">$G10414*'Analyse capacite'!$F$9</f>
        <v>0</v>
      </c>
      <c r="I10414" s="135" t="n">
        <f aca="false">$G10414*'Analyse capacite'!$C$9</f>
        <v>0</v>
      </c>
      <c r="J10414" s="135" t="n">
        <f aca="false">$G10414*'Analyse capacite'!$D$9</f>
        <v>0</v>
      </c>
      <c r="K10414" s="135" t="n">
        <f aca="false">$G10414*'Analyse capacite'!$E$9</f>
        <v>0</v>
      </c>
    </row>
    <row r="10415" customFormat="false" ht="15" hidden="false" customHeight="false" outlineLevel="0" collapsed="false">
      <c r="B10415" s="130" t="n">
        <v>2028</v>
      </c>
      <c r="C10415" s="131" t="s">
        <v>255</v>
      </c>
      <c r="D10415" s="132" t="n">
        <v>46767</v>
      </c>
      <c r="E10415" s="131" t="s">
        <v>25</v>
      </c>
      <c r="F10415" s="133" t="s">
        <v>11</v>
      </c>
      <c r="G10415" s="134" t="n">
        <f aca="false">LEN('Saisie programme'!$I$370)+SUMIFS('Vols additionnels'!$E$7:$E$66,'Vols additionnels'!$C$7:$C$66,$E10415,'Vols additionnels'!$D$7:$D$66,$F10415,'Vols additionnels'!$B$7:$B$66,$D10415)</f>
        <v>0</v>
      </c>
      <c r="H10415" s="135" t="n">
        <f aca="false">$G10415*'Analyse capacite'!$F$7</f>
        <v>0</v>
      </c>
      <c r="I10415" s="135" t="n">
        <f aca="false">$G10415*'Analyse capacite'!$C$7</f>
        <v>0</v>
      </c>
      <c r="J10415" s="135" t="n">
        <f aca="false">$G10415*'Analyse capacite'!$D$7</f>
        <v>0</v>
      </c>
      <c r="K10415" s="135" t="n">
        <f aca="false">$G10415*'Analyse capacite'!$E$7</f>
        <v>0</v>
      </c>
    </row>
    <row r="10416" customFormat="false" ht="15" hidden="false" customHeight="false" outlineLevel="0" collapsed="false">
      <c r="B10416" s="130" t="n">
        <v>2028</v>
      </c>
      <c r="C10416" s="131" t="s">
        <v>255</v>
      </c>
      <c r="D10416" s="132" t="n">
        <v>46767</v>
      </c>
      <c r="E10416" s="131" t="s">
        <v>25</v>
      </c>
      <c r="F10416" s="133" t="s">
        <v>19</v>
      </c>
      <c r="G10416" s="134" t="n">
        <f aca="false">LEN('Saisie programme'!$I$371)+SUMIFS('Vols additionnels'!$E$7:$E$66,'Vols additionnels'!$C$7:$C$66,$E10416,'Vols additionnels'!$D$7:$D$66,$F10416,'Vols additionnels'!$B$7:$B$66,$D10416)</f>
        <v>1</v>
      </c>
      <c r="H10416" s="135" t="n">
        <f aca="false">$G10416*'Analyse capacite'!$F$8</f>
        <v>262</v>
      </c>
      <c r="I10416" s="135" t="n">
        <f aca="false">$G10416*'Analyse capacite'!$C$8</f>
        <v>18</v>
      </c>
      <c r="J10416" s="135" t="n">
        <f aca="false">$G10416*'Analyse capacite'!$D$8</f>
        <v>0</v>
      </c>
      <c r="K10416" s="135" t="n">
        <f aca="false">$G10416*'Analyse capacite'!$E$8</f>
        <v>244</v>
      </c>
    </row>
    <row r="10417" customFormat="false" ht="15" hidden="false" customHeight="false" outlineLevel="0" collapsed="false">
      <c r="B10417" s="130" t="n">
        <v>2028</v>
      </c>
      <c r="C10417" s="131" t="s">
        <v>255</v>
      </c>
      <c r="D10417" s="132" t="n">
        <v>46767</v>
      </c>
      <c r="E10417" s="131" t="s">
        <v>25</v>
      </c>
      <c r="F10417" s="133" t="s">
        <v>24</v>
      </c>
      <c r="G10417" s="134" t="n">
        <f aca="false">LEN('Saisie programme'!$I$372)+SUMIFS('Vols additionnels'!$E$7:$E$66,'Vols additionnels'!$C$7:$C$66,$E10417,'Vols additionnels'!$D$7:$D$66,$F10417,'Vols additionnels'!$B$7:$B$66,$D10417)</f>
        <v>0</v>
      </c>
      <c r="H10417" s="135" t="n">
        <f aca="false">$G10417*'Analyse capacite'!$F$9</f>
        <v>0</v>
      </c>
      <c r="I10417" s="135" t="n">
        <f aca="false">$G10417*'Analyse capacite'!$C$9</f>
        <v>0</v>
      </c>
      <c r="J10417" s="135" t="n">
        <f aca="false">$G10417*'Analyse capacite'!$D$9</f>
        <v>0</v>
      </c>
      <c r="K10417" s="135" t="n">
        <f aca="false">$G10417*'Analyse capacite'!$E$9</f>
        <v>0</v>
      </c>
    </row>
    <row r="10418" customFormat="false" ht="15" hidden="false" customHeight="false" outlineLevel="0" collapsed="false">
      <c r="B10418" s="130" t="n">
        <v>2028</v>
      </c>
      <c r="C10418" s="131" t="s">
        <v>255</v>
      </c>
      <c r="D10418" s="132" t="n">
        <v>46767</v>
      </c>
      <c r="E10418" s="131" t="s">
        <v>36</v>
      </c>
      <c r="F10418" s="133" t="s">
        <v>11</v>
      </c>
      <c r="G10418" s="134" t="n">
        <f aca="false">LEN('Saisie programme'!$I$373)+SUMIFS('Vols additionnels'!$E$7:$E$66,'Vols additionnels'!$C$7:$C$66,$E10418,'Vols additionnels'!$D$7:$D$66,$F10418,'Vols additionnels'!$B$7:$B$66,$D10418)</f>
        <v>0</v>
      </c>
      <c r="H10418" s="135" t="n">
        <f aca="false">$G10418*'Analyse capacite'!$F$7</f>
        <v>0</v>
      </c>
      <c r="I10418" s="135" t="n">
        <f aca="false">$G10418*'Analyse capacite'!$C$7</f>
        <v>0</v>
      </c>
      <c r="J10418" s="135" t="n">
        <f aca="false">$G10418*'Analyse capacite'!$D$7</f>
        <v>0</v>
      </c>
      <c r="K10418" s="135" t="n">
        <f aca="false">$G10418*'Analyse capacite'!$E$7</f>
        <v>0</v>
      </c>
    </row>
    <row r="10419" customFormat="false" ht="15" hidden="false" customHeight="false" outlineLevel="0" collapsed="false">
      <c r="B10419" s="130" t="n">
        <v>2028</v>
      </c>
      <c r="C10419" s="131" t="s">
        <v>255</v>
      </c>
      <c r="D10419" s="132" t="n">
        <v>46767</v>
      </c>
      <c r="E10419" s="131" t="s">
        <v>36</v>
      </c>
      <c r="F10419" s="133" t="s">
        <v>19</v>
      </c>
      <c r="G10419" s="134" t="n">
        <f aca="false">LEN('Saisie programme'!$I$374)+SUMIFS('Vols additionnels'!$E$7:$E$66,'Vols additionnels'!$C$7:$C$66,$E10419,'Vols additionnels'!$D$7:$D$66,$F10419,'Vols additionnels'!$B$7:$B$66,$D10419)</f>
        <v>0</v>
      </c>
      <c r="H10419" s="135" t="n">
        <f aca="false">$G10419*'Analyse capacite'!$F$8</f>
        <v>0</v>
      </c>
      <c r="I10419" s="135" t="n">
        <f aca="false">$G10419*'Analyse capacite'!$C$8</f>
        <v>0</v>
      </c>
      <c r="J10419" s="135" t="n">
        <f aca="false">$G10419*'Analyse capacite'!$D$8</f>
        <v>0</v>
      </c>
      <c r="K10419" s="135" t="n">
        <f aca="false">$G10419*'Analyse capacite'!$E$8</f>
        <v>0</v>
      </c>
    </row>
    <row r="10420" customFormat="false" ht="15" hidden="false" customHeight="false" outlineLevel="0" collapsed="false">
      <c r="B10420" s="130" t="n">
        <v>2028</v>
      </c>
      <c r="C10420" s="131" t="s">
        <v>255</v>
      </c>
      <c r="D10420" s="132" t="n">
        <v>46767</v>
      </c>
      <c r="E10420" s="131" t="s">
        <v>36</v>
      </c>
      <c r="F10420" s="133" t="s">
        <v>24</v>
      </c>
      <c r="G10420" s="134" t="n">
        <f aca="false">LEN('Saisie programme'!$I$375)+SUMIFS('Vols additionnels'!$E$7:$E$66,'Vols additionnels'!$C$7:$C$66,$E10420,'Vols additionnels'!$D$7:$D$66,$F10420,'Vols additionnels'!$B$7:$B$66,$D10420)</f>
        <v>0</v>
      </c>
      <c r="H10420" s="135" t="n">
        <f aca="false">$G10420*'Analyse capacite'!$F$9</f>
        <v>0</v>
      </c>
      <c r="I10420" s="135" t="n">
        <f aca="false">$G10420*'Analyse capacite'!$C$9</f>
        <v>0</v>
      </c>
      <c r="J10420" s="135" t="n">
        <f aca="false">$G10420*'Analyse capacite'!$D$9</f>
        <v>0</v>
      </c>
      <c r="K10420" s="135" t="n">
        <f aca="false">$G10420*'Analyse capacite'!$E$9</f>
        <v>0</v>
      </c>
    </row>
    <row r="10421" customFormat="false" ht="15" hidden="false" customHeight="false" outlineLevel="0" collapsed="false">
      <c r="B10421" s="130" t="n">
        <v>2028</v>
      </c>
      <c r="C10421" s="131" t="s">
        <v>255</v>
      </c>
      <c r="D10421" s="132" t="n">
        <v>46767</v>
      </c>
      <c r="E10421" s="131" t="s">
        <v>40</v>
      </c>
      <c r="F10421" s="133" t="s">
        <v>11</v>
      </c>
      <c r="G10421" s="134" t="n">
        <f aca="false">LEN('Saisie programme'!$I$376)+SUMIFS('Vols additionnels'!$E$7:$E$66,'Vols additionnels'!$C$7:$C$66,$E10421,'Vols additionnels'!$D$7:$D$66,$F10421,'Vols additionnels'!$B$7:$B$66,$D10421)</f>
        <v>0</v>
      </c>
      <c r="H10421" s="135" t="n">
        <f aca="false">$G10421*'Analyse capacite'!$F$7</f>
        <v>0</v>
      </c>
      <c r="I10421" s="135" t="n">
        <f aca="false">$G10421*'Analyse capacite'!$C$7</f>
        <v>0</v>
      </c>
      <c r="J10421" s="135" t="n">
        <f aca="false">$G10421*'Analyse capacite'!$D$7</f>
        <v>0</v>
      </c>
      <c r="K10421" s="135" t="n">
        <f aca="false">$G10421*'Analyse capacite'!$E$7</f>
        <v>0</v>
      </c>
    </row>
    <row r="10422" customFormat="false" ht="15" hidden="false" customHeight="false" outlineLevel="0" collapsed="false">
      <c r="B10422" s="130" t="n">
        <v>2028</v>
      </c>
      <c r="C10422" s="131" t="s">
        <v>255</v>
      </c>
      <c r="D10422" s="132" t="n">
        <v>46767</v>
      </c>
      <c r="E10422" s="131" t="s">
        <v>40</v>
      </c>
      <c r="F10422" s="133" t="s">
        <v>19</v>
      </c>
      <c r="G10422" s="134" t="n">
        <f aca="false">LEN('Saisie programme'!$I$377)+SUMIFS('Vols additionnels'!$E$7:$E$66,'Vols additionnels'!$C$7:$C$66,$E10422,'Vols additionnels'!$D$7:$D$66,$F10422,'Vols additionnels'!$B$7:$B$66,$D10422)</f>
        <v>0</v>
      </c>
      <c r="H10422" s="135" t="n">
        <f aca="false">$G10422*'Analyse capacite'!$F$8</f>
        <v>0</v>
      </c>
      <c r="I10422" s="135" t="n">
        <f aca="false">$G10422*'Analyse capacite'!$C$8</f>
        <v>0</v>
      </c>
      <c r="J10422" s="135" t="n">
        <f aca="false">$G10422*'Analyse capacite'!$D$8</f>
        <v>0</v>
      </c>
      <c r="K10422" s="135" t="n">
        <f aca="false">$G10422*'Analyse capacite'!$E$8</f>
        <v>0</v>
      </c>
    </row>
    <row r="10423" customFormat="false" ht="15" hidden="false" customHeight="false" outlineLevel="0" collapsed="false">
      <c r="B10423" s="130" t="n">
        <v>2028</v>
      </c>
      <c r="C10423" s="131" t="s">
        <v>255</v>
      </c>
      <c r="D10423" s="132" t="n">
        <v>46767</v>
      </c>
      <c r="E10423" s="131" t="s">
        <v>40</v>
      </c>
      <c r="F10423" s="133" t="s">
        <v>24</v>
      </c>
      <c r="G10423" s="134" t="n">
        <f aca="false">LEN('Saisie programme'!$I$378)+SUMIFS('Vols additionnels'!$E$7:$E$66,'Vols additionnels'!$C$7:$C$66,$E10423,'Vols additionnels'!$D$7:$D$66,$F10423,'Vols additionnels'!$B$7:$B$66,$D10423)</f>
        <v>0</v>
      </c>
      <c r="H10423" s="135" t="n">
        <f aca="false">$G10423*'Analyse capacite'!$F$9</f>
        <v>0</v>
      </c>
      <c r="I10423" s="135" t="n">
        <f aca="false">$G10423*'Analyse capacite'!$C$9</f>
        <v>0</v>
      </c>
      <c r="J10423" s="135" t="n">
        <f aca="false">$G10423*'Analyse capacite'!$D$9</f>
        <v>0</v>
      </c>
      <c r="K10423" s="135" t="n">
        <f aca="false">$G10423*'Analyse capacite'!$E$9</f>
        <v>0</v>
      </c>
    </row>
    <row r="10424" customFormat="false" ht="15" hidden="false" customHeight="false" outlineLevel="0" collapsed="false">
      <c r="B10424" s="130" t="n">
        <v>2028</v>
      </c>
      <c r="C10424" s="131" t="s">
        <v>255</v>
      </c>
      <c r="D10424" s="132" t="n">
        <v>46767</v>
      </c>
      <c r="E10424" s="131" t="s">
        <v>14</v>
      </c>
      <c r="F10424" s="133" t="s">
        <v>11</v>
      </c>
      <c r="G10424" s="134" t="n">
        <f aca="false">LEN('Saisie programme'!$I$379)+SUMIFS('Vols additionnels'!$E$7:$E$66,'Vols additionnels'!$C$7:$C$66,$E10424,'Vols additionnels'!$D$7:$D$66,$F10424,'Vols additionnels'!$B$7:$B$66,$D10424)</f>
        <v>0</v>
      </c>
      <c r="H10424" s="135" t="n">
        <f aca="false">$G10424*'Analyse capacite'!$F$7</f>
        <v>0</v>
      </c>
      <c r="I10424" s="135" t="n">
        <f aca="false">$G10424*'Analyse capacite'!$C$7</f>
        <v>0</v>
      </c>
      <c r="J10424" s="135" t="n">
        <f aca="false">$G10424*'Analyse capacite'!$D$7</f>
        <v>0</v>
      </c>
      <c r="K10424" s="135" t="n">
        <f aca="false">$G10424*'Analyse capacite'!$E$7</f>
        <v>0</v>
      </c>
    </row>
    <row r="10425" customFormat="false" ht="15" hidden="false" customHeight="false" outlineLevel="0" collapsed="false">
      <c r="B10425" s="130" t="n">
        <v>2028</v>
      </c>
      <c r="C10425" s="131" t="s">
        <v>255</v>
      </c>
      <c r="D10425" s="132" t="n">
        <v>46767</v>
      </c>
      <c r="E10425" s="131" t="s">
        <v>14</v>
      </c>
      <c r="F10425" s="133" t="s">
        <v>19</v>
      </c>
      <c r="G10425" s="134" t="n">
        <f aca="false">LEN('Saisie programme'!$I$380)+SUMIFS('Vols additionnels'!$E$7:$E$66,'Vols additionnels'!$C$7:$C$66,$E10425,'Vols additionnels'!$D$7:$D$66,$F10425,'Vols additionnels'!$B$7:$B$66,$D10425)</f>
        <v>0</v>
      </c>
      <c r="H10425" s="135" t="n">
        <f aca="false">$G10425*'Analyse capacite'!$F$8</f>
        <v>0</v>
      </c>
      <c r="I10425" s="135" t="n">
        <f aca="false">$G10425*'Analyse capacite'!$C$8</f>
        <v>0</v>
      </c>
      <c r="J10425" s="135" t="n">
        <f aca="false">$G10425*'Analyse capacite'!$D$8</f>
        <v>0</v>
      </c>
      <c r="K10425" s="135" t="n">
        <f aca="false">$G10425*'Analyse capacite'!$E$8</f>
        <v>0</v>
      </c>
    </row>
    <row r="10426" customFormat="false" ht="15" hidden="false" customHeight="false" outlineLevel="0" collapsed="false">
      <c r="B10426" s="130" t="n">
        <v>2028</v>
      </c>
      <c r="C10426" s="131" t="s">
        <v>255</v>
      </c>
      <c r="D10426" s="132" t="n">
        <v>46767</v>
      </c>
      <c r="E10426" s="131" t="s">
        <v>14</v>
      </c>
      <c r="F10426" s="133" t="s">
        <v>24</v>
      </c>
      <c r="G10426" s="134" t="n">
        <f aca="false">LEN('Saisie programme'!$I$381)+SUMIFS('Vols additionnels'!$E$7:$E$66,'Vols additionnels'!$C$7:$C$66,$E10426,'Vols additionnels'!$D$7:$D$66,$F10426,'Vols additionnels'!$B$7:$B$66,$D10426)</f>
        <v>1</v>
      </c>
      <c r="H10426" s="135" t="n">
        <f aca="false">$G10426*'Analyse capacite'!$F$9</f>
        <v>174</v>
      </c>
      <c r="I10426" s="135" t="n">
        <f aca="false">$G10426*'Analyse capacite'!$C$9</f>
        <v>0</v>
      </c>
      <c r="J10426" s="135" t="n">
        <f aca="false">$G10426*'Analyse capacite'!$D$9</f>
        <v>12</v>
      </c>
      <c r="K10426" s="135" t="n">
        <f aca="false">$G10426*'Analyse capacite'!$E$9</f>
        <v>162</v>
      </c>
    </row>
    <row r="10427" customFormat="false" ht="15" hidden="false" customHeight="false" outlineLevel="0" collapsed="false">
      <c r="B10427" s="130" t="n">
        <v>2028</v>
      </c>
      <c r="C10427" s="131" t="s">
        <v>255</v>
      </c>
      <c r="D10427" s="132" t="n">
        <v>46767</v>
      </c>
      <c r="E10427" s="131" t="s">
        <v>46</v>
      </c>
      <c r="F10427" s="133" t="s">
        <v>11</v>
      </c>
      <c r="G10427" s="134" t="n">
        <f aca="false">LEN('Saisie programme'!$I$382)+SUMIFS('Vols additionnels'!$E$7:$E$66,'Vols additionnels'!$C$7:$C$66,$E10427,'Vols additionnels'!$D$7:$D$66,$F10427,'Vols additionnels'!$B$7:$B$66,$D10427)</f>
        <v>0</v>
      </c>
      <c r="H10427" s="135" t="n">
        <f aca="false">$G10427*'Analyse capacite'!$F$7</f>
        <v>0</v>
      </c>
      <c r="I10427" s="135" t="n">
        <f aca="false">$G10427*'Analyse capacite'!$C$7</f>
        <v>0</v>
      </c>
      <c r="J10427" s="135" t="n">
        <f aca="false">$G10427*'Analyse capacite'!$D$7</f>
        <v>0</v>
      </c>
      <c r="K10427" s="135" t="n">
        <f aca="false">$G10427*'Analyse capacite'!$E$7</f>
        <v>0</v>
      </c>
    </row>
    <row r="10428" customFormat="false" ht="15" hidden="false" customHeight="false" outlineLevel="0" collapsed="false">
      <c r="B10428" s="130" t="n">
        <v>2028</v>
      </c>
      <c r="C10428" s="131" t="s">
        <v>255</v>
      </c>
      <c r="D10428" s="132" t="n">
        <v>46767</v>
      </c>
      <c r="E10428" s="131" t="s">
        <v>46</v>
      </c>
      <c r="F10428" s="133" t="s">
        <v>19</v>
      </c>
      <c r="G10428" s="134" t="n">
        <f aca="false">LEN('Saisie programme'!$I$383)+SUMIFS('Vols additionnels'!$E$7:$E$66,'Vols additionnels'!$C$7:$C$66,$E10428,'Vols additionnels'!$D$7:$D$66,$F10428,'Vols additionnels'!$B$7:$B$66,$D10428)</f>
        <v>0</v>
      </c>
      <c r="H10428" s="135" t="n">
        <f aca="false">$G10428*'Analyse capacite'!$F$8</f>
        <v>0</v>
      </c>
      <c r="I10428" s="135" t="n">
        <f aca="false">$G10428*'Analyse capacite'!$C$8</f>
        <v>0</v>
      </c>
      <c r="J10428" s="135" t="n">
        <f aca="false">$G10428*'Analyse capacite'!$D$8</f>
        <v>0</v>
      </c>
      <c r="K10428" s="135" t="n">
        <f aca="false">$G10428*'Analyse capacite'!$E$8</f>
        <v>0</v>
      </c>
    </row>
    <row r="10429" customFormat="false" ht="15" hidden="false" customHeight="false" outlineLevel="0" collapsed="false">
      <c r="B10429" s="130" t="n">
        <v>2028</v>
      </c>
      <c r="C10429" s="131" t="s">
        <v>255</v>
      </c>
      <c r="D10429" s="132" t="n">
        <v>46767</v>
      </c>
      <c r="E10429" s="131" t="s">
        <v>46</v>
      </c>
      <c r="F10429" s="133" t="s">
        <v>24</v>
      </c>
      <c r="G10429" s="134" t="n">
        <f aca="false">LEN('Saisie programme'!$I$384)+SUMIFS('Vols additionnels'!$E$7:$E$66,'Vols additionnels'!$C$7:$C$66,$E10429,'Vols additionnels'!$D$7:$D$66,$F10429,'Vols additionnels'!$B$7:$B$66,$D10429)</f>
        <v>1</v>
      </c>
      <c r="H10429" s="135" t="n">
        <f aca="false">$G10429*'Analyse capacite'!$F$9</f>
        <v>174</v>
      </c>
      <c r="I10429" s="135" t="n">
        <f aca="false">$G10429*'Analyse capacite'!$C$9</f>
        <v>0</v>
      </c>
      <c r="J10429" s="135" t="n">
        <f aca="false">$G10429*'Analyse capacite'!$D$9</f>
        <v>12</v>
      </c>
      <c r="K10429" s="135" t="n">
        <f aca="false">$G10429*'Analyse capacite'!$E$9</f>
        <v>162</v>
      </c>
    </row>
    <row r="10430" customFormat="false" ht="15" hidden="false" customHeight="false" outlineLevel="0" collapsed="false">
      <c r="B10430" s="130" t="n">
        <v>2028</v>
      </c>
      <c r="C10430" s="131" t="s">
        <v>255</v>
      </c>
      <c r="D10430" s="132" t="n">
        <v>46767</v>
      </c>
      <c r="E10430" s="131" t="s">
        <v>49</v>
      </c>
      <c r="F10430" s="133" t="s">
        <v>11</v>
      </c>
      <c r="G10430" s="134" t="n">
        <f aca="false">LEN('Saisie programme'!$I$385)+SUMIFS('Vols additionnels'!$E$7:$E$66,'Vols additionnels'!$C$7:$C$66,$E10430,'Vols additionnels'!$D$7:$D$66,$F10430,'Vols additionnels'!$B$7:$B$66,$D10430)</f>
        <v>0</v>
      </c>
      <c r="H10430" s="135" t="n">
        <f aca="false">$G10430*'Analyse capacite'!$F$7</f>
        <v>0</v>
      </c>
      <c r="I10430" s="135" t="n">
        <f aca="false">$G10430*'Analyse capacite'!$C$7</f>
        <v>0</v>
      </c>
      <c r="J10430" s="135" t="n">
        <f aca="false">$G10430*'Analyse capacite'!$D$7</f>
        <v>0</v>
      </c>
      <c r="K10430" s="135" t="n">
        <f aca="false">$G10430*'Analyse capacite'!$E$7</f>
        <v>0</v>
      </c>
    </row>
    <row r="10431" customFormat="false" ht="15" hidden="false" customHeight="false" outlineLevel="0" collapsed="false">
      <c r="B10431" s="130" t="n">
        <v>2028</v>
      </c>
      <c r="C10431" s="131" t="s">
        <v>255</v>
      </c>
      <c r="D10431" s="132" t="n">
        <v>46767</v>
      </c>
      <c r="E10431" s="131" t="s">
        <v>49</v>
      </c>
      <c r="F10431" s="133" t="s">
        <v>19</v>
      </c>
      <c r="G10431" s="134" t="n">
        <f aca="false">LEN('Saisie programme'!$I$386)+SUMIFS('Vols additionnels'!$E$7:$E$66,'Vols additionnels'!$C$7:$C$66,$E10431,'Vols additionnels'!$D$7:$D$66,$F10431,'Vols additionnels'!$B$7:$B$66,$D10431)</f>
        <v>0</v>
      </c>
      <c r="H10431" s="135" t="n">
        <f aca="false">$G10431*'Analyse capacite'!$F$8</f>
        <v>0</v>
      </c>
      <c r="I10431" s="135" t="n">
        <f aca="false">$G10431*'Analyse capacite'!$C$8</f>
        <v>0</v>
      </c>
      <c r="J10431" s="135" t="n">
        <f aca="false">$G10431*'Analyse capacite'!$D$8</f>
        <v>0</v>
      </c>
      <c r="K10431" s="135" t="n">
        <f aca="false">$G10431*'Analyse capacite'!$E$8</f>
        <v>0</v>
      </c>
    </row>
    <row r="10432" customFormat="false" ht="15" hidden="false" customHeight="false" outlineLevel="0" collapsed="false">
      <c r="B10432" s="130" t="n">
        <v>2028</v>
      </c>
      <c r="C10432" s="131" t="s">
        <v>255</v>
      </c>
      <c r="D10432" s="132" t="n">
        <v>46767</v>
      </c>
      <c r="E10432" s="131" t="s">
        <v>49</v>
      </c>
      <c r="F10432" s="133" t="s">
        <v>24</v>
      </c>
      <c r="G10432" s="134" t="n">
        <f aca="false">LEN('Saisie programme'!$I$387)+SUMIFS('Vols additionnels'!$E$7:$E$66,'Vols additionnels'!$C$7:$C$66,$E10432,'Vols additionnels'!$D$7:$D$66,$F10432,'Vols additionnels'!$B$7:$B$66,$D10432)</f>
        <v>0</v>
      </c>
      <c r="H10432" s="135" t="n">
        <f aca="false">$G10432*'Analyse capacite'!$F$9</f>
        <v>0</v>
      </c>
      <c r="I10432" s="135" t="n">
        <f aca="false">$G10432*'Analyse capacite'!$C$9</f>
        <v>0</v>
      </c>
      <c r="J10432" s="135" t="n">
        <f aca="false">$G10432*'Analyse capacite'!$D$9</f>
        <v>0</v>
      </c>
      <c r="K10432" s="135" t="n">
        <f aca="false">$G10432*'Analyse capacite'!$E$9</f>
        <v>0</v>
      </c>
    </row>
    <row r="10433" customFormat="false" ht="15" hidden="false" customHeight="false" outlineLevel="0" collapsed="false">
      <c r="B10433" s="130" t="n">
        <v>2028</v>
      </c>
      <c r="C10433" s="131" t="s">
        <v>255</v>
      </c>
      <c r="D10433" s="132" t="n">
        <v>46767</v>
      </c>
      <c r="E10433" s="131" t="s">
        <v>53</v>
      </c>
      <c r="F10433" s="133" t="s">
        <v>11</v>
      </c>
      <c r="G10433" s="134" t="n">
        <f aca="false">LEN('Saisie programme'!$I$388)+SUMIFS('Vols additionnels'!$E$7:$E$66,'Vols additionnels'!$C$7:$C$66,$E10433,'Vols additionnels'!$D$7:$D$66,$F10433,'Vols additionnels'!$B$7:$B$66,$D10433)</f>
        <v>0</v>
      </c>
      <c r="H10433" s="135" t="n">
        <f aca="false">$G10433*'Analyse capacite'!$F$7</f>
        <v>0</v>
      </c>
      <c r="I10433" s="135" t="n">
        <f aca="false">$G10433*'Analyse capacite'!$C$7</f>
        <v>0</v>
      </c>
      <c r="J10433" s="135" t="n">
        <f aca="false">$G10433*'Analyse capacite'!$D$7</f>
        <v>0</v>
      </c>
      <c r="K10433" s="135" t="n">
        <f aca="false">$G10433*'Analyse capacite'!$E$7</f>
        <v>0</v>
      </c>
    </row>
    <row r="10434" customFormat="false" ht="15" hidden="false" customHeight="false" outlineLevel="0" collapsed="false">
      <c r="B10434" s="130" t="n">
        <v>2028</v>
      </c>
      <c r="C10434" s="131" t="s">
        <v>255</v>
      </c>
      <c r="D10434" s="132" t="n">
        <v>46767</v>
      </c>
      <c r="E10434" s="131" t="s">
        <v>53</v>
      </c>
      <c r="F10434" s="133" t="s">
        <v>19</v>
      </c>
      <c r="G10434" s="134" t="n">
        <f aca="false">LEN('Saisie programme'!$I$389)+SUMIFS('Vols additionnels'!$E$7:$E$66,'Vols additionnels'!$C$7:$C$66,$E10434,'Vols additionnels'!$D$7:$D$66,$F10434,'Vols additionnels'!$B$7:$B$66,$D10434)</f>
        <v>0</v>
      </c>
      <c r="H10434" s="135" t="n">
        <f aca="false">$G10434*'Analyse capacite'!$F$8</f>
        <v>0</v>
      </c>
      <c r="I10434" s="135" t="n">
        <f aca="false">$G10434*'Analyse capacite'!$C$8</f>
        <v>0</v>
      </c>
      <c r="J10434" s="135" t="n">
        <f aca="false">$G10434*'Analyse capacite'!$D$8</f>
        <v>0</v>
      </c>
      <c r="K10434" s="135" t="n">
        <f aca="false">$G10434*'Analyse capacite'!$E$8</f>
        <v>0</v>
      </c>
    </row>
    <row r="10435" customFormat="false" ht="15" hidden="false" customHeight="false" outlineLevel="0" collapsed="false">
      <c r="B10435" s="130" t="n">
        <v>2028</v>
      </c>
      <c r="C10435" s="131" t="s">
        <v>255</v>
      </c>
      <c r="D10435" s="132" t="n">
        <v>46767</v>
      </c>
      <c r="E10435" s="131" t="s">
        <v>53</v>
      </c>
      <c r="F10435" s="133" t="s">
        <v>24</v>
      </c>
      <c r="G10435" s="134" t="n">
        <f aca="false">LEN('Saisie programme'!$I$390)+SUMIFS('Vols additionnels'!$E$7:$E$66,'Vols additionnels'!$C$7:$C$66,$E10435,'Vols additionnels'!$D$7:$D$66,$F10435,'Vols additionnels'!$B$7:$B$66,$D10435)</f>
        <v>0</v>
      </c>
      <c r="H10435" s="135" t="n">
        <f aca="false">$G10435*'Analyse capacite'!$F$9</f>
        <v>0</v>
      </c>
      <c r="I10435" s="135" t="n">
        <f aca="false">$G10435*'Analyse capacite'!$C$9</f>
        <v>0</v>
      </c>
      <c r="J10435" s="135" t="n">
        <f aca="false">$G10435*'Analyse capacite'!$D$9</f>
        <v>0</v>
      </c>
      <c r="K10435" s="135" t="n">
        <f aca="false">$G10435*'Analyse capacite'!$E$9</f>
        <v>0</v>
      </c>
    </row>
    <row r="10436" customFormat="false" ht="15" hidden="false" customHeight="false" outlineLevel="0" collapsed="false">
      <c r="B10436" s="130" t="n">
        <v>2028</v>
      </c>
      <c r="C10436" s="131" t="s">
        <v>255</v>
      </c>
      <c r="D10436" s="132" t="n">
        <v>46767</v>
      </c>
      <c r="E10436" s="131" t="s">
        <v>56</v>
      </c>
      <c r="F10436" s="133" t="s">
        <v>11</v>
      </c>
      <c r="G10436" s="134" t="n">
        <f aca="false">LEN('Saisie programme'!$I$391)+SUMIFS('Vols additionnels'!$E$7:$E$66,'Vols additionnels'!$C$7:$C$66,$E10436,'Vols additionnels'!$D$7:$D$66,$F10436,'Vols additionnels'!$B$7:$B$66,$D10436)</f>
        <v>0</v>
      </c>
      <c r="H10436" s="135" t="n">
        <f aca="false">$G10436*'Analyse capacite'!$F$7</f>
        <v>0</v>
      </c>
      <c r="I10436" s="135" t="n">
        <f aca="false">$G10436*'Analyse capacite'!$C$7</f>
        <v>0</v>
      </c>
      <c r="J10436" s="135" t="n">
        <f aca="false">$G10436*'Analyse capacite'!$D$7</f>
        <v>0</v>
      </c>
      <c r="K10436" s="135" t="n">
        <f aca="false">$G10436*'Analyse capacite'!$E$7</f>
        <v>0</v>
      </c>
    </row>
    <row r="10437" customFormat="false" ht="15" hidden="false" customHeight="false" outlineLevel="0" collapsed="false">
      <c r="B10437" s="130" t="n">
        <v>2028</v>
      </c>
      <c r="C10437" s="131" t="s">
        <v>255</v>
      </c>
      <c r="D10437" s="132" t="n">
        <v>46767</v>
      </c>
      <c r="E10437" s="131" t="s">
        <v>56</v>
      </c>
      <c r="F10437" s="133" t="s">
        <v>19</v>
      </c>
      <c r="G10437" s="134" t="n">
        <f aca="false">LEN('Saisie programme'!$I$392)+SUMIFS('Vols additionnels'!$E$7:$E$66,'Vols additionnels'!$C$7:$C$66,$E10437,'Vols additionnels'!$D$7:$D$66,$F10437,'Vols additionnels'!$B$7:$B$66,$D10437)</f>
        <v>0</v>
      </c>
      <c r="H10437" s="135" t="n">
        <f aca="false">$G10437*'Analyse capacite'!$F$8</f>
        <v>0</v>
      </c>
      <c r="I10437" s="135" t="n">
        <f aca="false">$G10437*'Analyse capacite'!$C$8</f>
        <v>0</v>
      </c>
      <c r="J10437" s="135" t="n">
        <f aca="false">$G10437*'Analyse capacite'!$D$8</f>
        <v>0</v>
      </c>
      <c r="K10437" s="135" t="n">
        <f aca="false">$G10437*'Analyse capacite'!$E$8</f>
        <v>0</v>
      </c>
    </row>
    <row r="10438" customFormat="false" ht="15" hidden="false" customHeight="false" outlineLevel="0" collapsed="false">
      <c r="B10438" s="130" t="n">
        <v>2028</v>
      </c>
      <c r="C10438" s="131" t="s">
        <v>255</v>
      </c>
      <c r="D10438" s="132" t="n">
        <v>46767</v>
      </c>
      <c r="E10438" s="131" t="s">
        <v>56</v>
      </c>
      <c r="F10438" s="133" t="s">
        <v>24</v>
      </c>
      <c r="G10438" s="134" t="n">
        <f aca="false">LEN('Saisie programme'!$I$393)+SUMIFS('Vols additionnels'!$E$7:$E$66,'Vols additionnels'!$C$7:$C$66,$E10438,'Vols additionnels'!$D$7:$D$66,$F10438,'Vols additionnels'!$B$7:$B$66,$D10438)</f>
        <v>1</v>
      </c>
      <c r="H10438" s="135" t="n">
        <f aca="false">$G10438*'Analyse capacite'!$F$9</f>
        <v>174</v>
      </c>
      <c r="I10438" s="135" t="n">
        <f aca="false">$G10438*'Analyse capacite'!$C$9</f>
        <v>0</v>
      </c>
      <c r="J10438" s="135" t="n">
        <f aca="false">$G10438*'Analyse capacite'!$D$9</f>
        <v>12</v>
      </c>
      <c r="K10438" s="135" t="n">
        <f aca="false">$G10438*'Analyse capacite'!$E$9</f>
        <v>162</v>
      </c>
    </row>
    <row r="10439" customFormat="false" ht="15" hidden="false" customHeight="false" outlineLevel="0" collapsed="false">
      <c r="B10439" s="130" t="n">
        <v>2028</v>
      </c>
      <c r="C10439" s="131" t="s">
        <v>255</v>
      </c>
      <c r="D10439" s="132" t="n">
        <v>46767</v>
      </c>
      <c r="E10439" s="131" t="s">
        <v>59</v>
      </c>
      <c r="F10439" s="133" t="s">
        <v>11</v>
      </c>
      <c r="G10439" s="134" t="n">
        <f aca="false">LEN('Saisie programme'!$I$394)+SUMIFS('Vols additionnels'!$E$7:$E$66,'Vols additionnels'!$C$7:$C$66,$E10439,'Vols additionnels'!$D$7:$D$66,$F10439,'Vols additionnels'!$B$7:$B$66,$D10439)</f>
        <v>0</v>
      </c>
      <c r="H10439" s="135" t="n">
        <f aca="false">$G10439*'Analyse capacite'!$F$7</f>
        <v>0</v>
      </c>
      <c r="I10439" s="135" t="n">
        <f aca="false">$G10439*'Analyse capacite'!$C$7</f>
        <v>0</v>
      </c>
      <c r="J10439" s="135" t="n">
        <f aca="false">$G10439*'Analyse capacite'!$D$7</f>
        <v>0</v>
      </c>
      <c r="K10439" s="135" t="n">
        <f aca="false">$G10439*'Analyse capacite'!$E$7</f>
        <v>0</v>
      </c>
    </row>
    <row r="10440" customFormat="false" ht="15" hidden="false" customHeight="false" outlineLevel="0" collapsed="false">
      <c r="B10440" s="130" t="n">
        <v>2028</v>
      </c>
      <c r="C10440" s="131" t="s">
        <v>255</v>
      </c>
      <c r="D10440" s="132" t="n">
        <v>46767</v>
      </c>
      <c r="E10440" s="131" t="s">
        <v>59</v>
      </c>
      <c r="F10440" s="133" t="s">
        <v>19</v>
      </c>
      <c r="G10440" s="134" t="n">
        <f aca="false">LEN('Saisie programme'!$I$395)+SUMIFS('Vols additionnels'!$E$7:$E$66,'Vols additionnels'!$C$7:$C$66,$E10440,'Vols additionnels'!$D$7:$D$66,$F10440,'Vols additionnels'!$B$7:$B$66,$D10440)</f>
        <v>0</v>
      </c>
      <c r="H10440" s="135" t="n">
        <f aca="false">$G10440*'Analyse capacite'!$F$8</f>
        <v>0</v>
      </c>
      <c r="I10440" s="135" t="n">
        <f aca="false">$G10440*'Analyse capacite'!$C$8</f>
        <v>0</v>
      </c>
      <c r="J10440" s="135" t="n">
        <f aca="false">$G10440*'Analyse capacite'!$D$8</f>
        <v>0</v>
      </c>
      <c r="K10440" s="135" t="n">
        <f aca="false">$G10440*'Analyse capacite'!$E$8</f>
        <v>0</v>
      </c>
    </row>
    <row r="10441" customFormat="false" ht="15" hidden="false" customHeight="false" outlineLevel="0" collapsed="false">
      <c r="B10441" s="130" t="n">
        <v>2028</v>
      </c>
      <c r="C10441" s="131" t="s">
        <v>255</v>
      </c>
      <c r="D10441" s="132" t="n">
        <v>46767</v>
      </c>
      <c r="E10441" s="131" t="s">
        <v>59</v>
      </c>
      <c r="F10441" s="133" t="s">
        <v>24</v>
      </c>
      <c r="G10441" s="134" t="n">
        <f aca="false">LEN('Saisie programme'!$I$396)+SUMIFS('Vols additionnels'!$E$7:$E$66,'Vols additionnels'!$C$7:$C$66,$E10441,'Vols additionnels'!$D$7:$D$66,$F10441,'Vols additionnels'!$B$7:$B$66,$D10441)</f>
        <v>1</v>
      </c>
      <c r="H10441" s="135" t="n">
        <f aca="false">$G10441*'Analyse capacite'!$F$9</f>
        <v>174</v>
      </c>
      <c r="I10441" s="135" t="n">
        <f aca="false">$G10441*'Analyse capacite'!$C$9</f>
        <v>0</v>
      </c>
      <c r="J10441" s="135" t="n">
        <f aca="false">$G10441*'Analyse capacite'!$D$9</f>
        <v>12</v>
      </c>
      <c r="K10441" s="135" t="n">
        <f aca="false">$G10441*'Analyse capacite'!$E$9</f>
        <v>162</v>
      </c>
    </row>
    <row r="10442" customFormat="false" ht="15" hidden="false" customHeight="false" outlineLevel="0" collapsed="false">
      <c r="B10442" s="130" t="n">
        <v>2028</v>
      </c>
      <c r="C10442" s="131" t="s">
        <v>255</v>
      </c>
      <c r="D10442" s="132" t="n">
        <v>46767</v>
      </c>
      <c r="E10442" s="131" t="s">
        <v>62</v>
      </c>
      <c r="F10442" s="133" t="s">
        <v>11</v>
      </c>
      <c r="G10442" s="134" t="n">
        <f aca="false">LEN('Saisie programme'!$I$397)+SUMIFS('Vols additionnels'!$E$7:$E$66,'Vols additionnels'!$C$7:$C$66,$E10442,'Vols additionnels'!$D$7:$D$66,$F10442,'Vols additionnels'!$B$7:$B$66,$D10442)</f>
        <v>0</v>
      </c>
      <c r="H10442" s="135" t="n">
        <f aca="false">$G10442*'Analyse capacite'!$F$7</f>
        <v>0</v>
      </c>
      <c r="I10442" s="135" t="n">
        <f aca="false">$G10442*'Analyse capacite'!$C$7</f>
        <v>0</v>
      </c>
      <c r="J10442" s="135" t="n">
        <f aca="false">$G10442*'Analyse capacite'!$D$7</f>
        <v>0</v>
      </c>
      <c r="K10442" s="135" t="n">
        <f aca="false">$G10442*'Analyse capacite'!$E$7</f>
        <v>0</v>
      </c>
    </row>
    <row r="10443" customFormat="false" ht="15" hidden="false" customHeight="false" outlineLevel="0" collapsed="false">
      <c r="B10443" s="130" t="n">
        <v>2028</v>
      </c>
      <c r="C10443" s="131" t="s">
        <v>255</v>
      </c>
      <c r="D10443" s="132" t="n">
        <v>46767</v>
      </c>
      <c r="E10443" s="131" t="s">
        <v>62</v>
      </c>
      <c r="F10443" s="133" t="s">
        <v>19</v>
      </c>
      <c r="G10443" s="134" t="n">
        <f aca="false">LEN('Saisie programme'!$I$398)+SUMIFS('Vols additionnels'!$E$7:$E$66,'Vols additionnels'!$C$7:$C$66,$E10443,'Vols additionnels'!$D$7:$D$66,$F10443,'Vols additionnels'!$B$7:$B$66,$D10443)</f>
        <v>0</v>
      </c>
      <c r="H10443" s="135" t="n">
        <f aca="false">$G10443*'Analyse capacite'!$F$8</f>
        <v>0</v>
      </c>
      <c r="I10443" s="135" t="n">
        <f aca="false">$G10443*'Analyse capacite'!$C$8</f>
        <v>0</v>
      </c>
      <c r="J10443" s="135" t="n">
        <f aca="false">$G10443*'Analyse capacite'!$D$8</f>
        <v>0</v>
      </c>
      <c r="K10443" s="135" t="n">
        <f aca="false">$G10443*'Analyse capacite'!$E$8</f>
        <v>0</v>
      </c>
    </row>
    <row r="10444" customFormat="false" ht="15" hidden="false" customHeight="false" outlineLevel="0" collapsed="false">
      <c r="B10444" s="130" t="n">
        <v>2028</v>
      </c>
      <c r="C10444" s="131" t="s">
        <v>255</v>
      </c>
      <c r="D10444" s="132" t="n">
        <v>46767</v>
      </c>
      <c r="E10444" s="131" t="s">
        <v>62</v>
      </c>
      <c r="F10444" s="133" t="s">
        <v>24</v>
      </c>
      <c r="G10444" s="134" t="n">
        <f aca="false">LEN('Saisie programme'!$I$399)+SUMIFS('Vols additionnels'!$E$7:$E$66,'Vols additionnels'!$C$7:$C$66,$E10444,'Vols additionnels'!$D$7:$D$66,$F10444,'Vols additionnels'!$B$7:$B$66,$D10444)</f>
        <v>0</v>
      </c>
      <c r="H10444" s="135" t="n">
        <f aca="false">$G10444*'Analyse capacite'!$F$9</f>
        <v>0</v>
      </c>
      <c r="I10444" s="135" t="n">
        <f aca="false">$G10444*'Analyse capacite'!$C$9</f>
        <v>0</v>
      </c>
      <c r="J10444" s="135" t="n">
        <f aca="false">$G10444*'Analyse capacite'!$D$9</f>
        <v>0</v>
      </c>
      <c r="K10444" s="135" t="n">
        <f aca="false">$G10444*'Analyse capacite'!$E$9</f>
        <v>0</v>
      </c>
    </row>
    <row r="10445" customFormat="false" ht="15" hidden="false" customHeight="false" outlineLevel="0" collapsed="false">
      <c r="B10445" s="130" t="n">
        <v>2028</v>
      </c>
      <c r="C10445" s="131" t="s">
        <v>255</v>
      </c>
      <c r="D10445" s="132" t="n">
        <v>46768</v>
      </c>
      <c r="E10445" s="131" t="s">
        <v>12</v>
      </c>
      <c r="F10445" s="133" t="s">
        <v>11</v>
      </c>
      <c r="G10445" s="134" t="n">
        <f aca="false">LEN('Saisie programme'!$J$364)+SUMIFS('Vols additionnels'!$E$7:$E$66,'Vols additionnels'!$C$7:$C$66,$E10445,'Vols additionnels'!$D$7:$D$66,$F10445,'Vols additionnels'!$B$7:$B$66,$D10445)</f>
        <v>1</v>
      </c>
      <c r="H10445" s="135" t="n">
        <f aca="false">$G10445*'Analyse capacite'!$F$7</f>
        <v>438</v>
      </c>
      <c r="I10445" s="135" t="n">
        <f aca="false">$G10445*'Analyse capacite'!$C$7</f>
        <v>14</v>
      </c>
      <c r="J10445" s="135" t="n">
        <f aca="false">$G10445*'Analyse capacite'!$D$7</f>
        <v>40</v>
      </c>
      <c r="K10445" s="135" t="n">
        <f aca="false">$G10445*'Analyse capacite'!$E$7</f>
        <v>384</v>
      </c>
    </row>
    <row r="10446" customFormat="false" ht="15" hidden="false" customHeight="false" outlineLevel="0" collapsed="false">
      <c r="B10446" s="130" t="n">
        <v>2028</v>
      </c>
      <c r="C10446" s="131" t="s">
        <v>255</v>
      </c>
      <c r="D10446" s="132" t="n">
        <v>46768</v>
      </c>
      <c r="E10446" s="131" t="s">
        <v>12</v>
      </c>
      <c r="F10446" s="133" t="s">
        <v>19</v>
      </c>
      <c r="G10446" s="134" t="n">
        <f aca="false">LEN('Saisie programme'!$J$365)+SUMIFS('Vols additionnels'!$E$7:$E$66,'Vols additionnels'!$C$7:$C$66,$E10446,'Vols additionnels'!$D$7:$D$66,$F10446,'Vols additionnels'!$B$7:$B$66,$D10446)</f>
        <v>0</v>
      </c>
      <c r="H10446" s="135" t="n">
        <f aca="false">$G10446*'Analyse capacite'!$F$8</f>
        <v>0</v>
      </c>
      <c r="I10446" s="135" t="n">
        <f aca="false">$G10446*'Analyse capacite'!$C$8</f>
        <v>0</v>
      </c>
      <c r="J10446" s="135" t="n">
        <f aca="false">$G10446*'Analyse capacite'!$D$8</f>
        <v>0</v>
      </c>
      <c r="K10446" s="135" t="n">
        <f aca="false">$G10446*'Analyse capacite'!$E$8</f>
        <v>0</v>
      </c>
    </row>
    <row r="10447" customFormat="false" ht="15" hidden="false" customHeight="false" outlineLevel="0" collapsed="false">
      <c r="B10447" s="130" t="n">
        <v>2028</v>
      </c>
      <c r="C10447" s="131" t="s">
        <v>255</v>
      </c>
      <c r="D10447" s="132" t="n">
        <v>46768</v>
      </c>
      <c r="E10447" s="131" t="s">
        <v>12</v>
      </c>
      <c r="F10447" s="133" t="s">
        <v>24</v>
      </c>
      <c r="G10447" s="134" t="n">
        <f aca="false">LEN('Saisie programme'!$J$366)+SUMIFS('Vols additionnels'!$E$7:$E$66,'Vols additionnels'!$C$7:$C$66,$E10447,'Vols additionnels'!$D$7:$D$66,$F10447,'Vols additionnels'!$B$7:$B$66,$D10447)</f>
        <v>0</v>
      </c>
      <c r="H10447" s="135" t="n">
        <f aca="false">$G10447*'Analyse capacite'!$F$9</f>
        <v>0</v>
      </c>
      <c r="I10447" s="135" t="n">
        <f aca="false">$G10447*'Analyse capacite'!$C$9</f>
        <v>0</v>
      </c>
      <c r="J10447" s="135" t="n">
        <f aca="false">$G10447*'Analyse capacite'!$D$9</f>
        <v>0</v>
      </c>
      <c r="K10447" s="135" t="n">
        <f aca="false">$G10447*'Analyse capacite'!$E$9</f>
        <v>0</v>
      </c>
    </row>
    <row r="10448" customFormat="false" ht="15" hidden="false" customHeight="false" outlineLevel="0" collapsed="false">
      <c r="B10448" s="130" t="n">
        <v>2028</v>
      </c>
      <c r="C10448" s="131" t="s">
        <v>255</v>
      </c>
      <c r="D10448" s="132" t="n">
        <v>46768</v>
      </c>
      <c r="E10448" s="131" t="s">
        <v>20</v>
      </c>
      <c r="F10448" s="133" t="s">
        <v>11</v>
      </c>
      <c r="G10448" s="134" t="n">
        <f aca="false">LEN('Saisie programme'!$J$367)+SUMIFS('Vols additionnels'!$E$7:$E$66,'Vols additionnels'!$C$7:$C$66,$E10448,'Vols additionnels'!$D$7:$D$66,$F10448,'Vols additionnels'!$B$7:$B$66,$D10448)</f>
        <v>1</v>
      </c>
      <c r="H10448" s="135" t="n">
        <f aca="false">$G10448*'Analyse capacite'!$F$7</f>
        <v>438</v>
      </c>
      <c r="I10448" s="135" t="n">
        <f aca="false">$G10448*'Analyse capacite'!$C$7</f>
        <v>14</v>
      </c>
      <c r="J10448" s="135" t="n">
        <f aca="false">$G10448*'Analyse capacite'!$D$7</f>
        <v>40</v>
      </c>
      <c r="K10448" s="135" t="n">
        <f aca="false">$G10448*'Analyse capacite'!$E$7</f>
        <v>384</v>
      </c>
    </row>
    <row r="10449" customFormat="false" ht="15" hidden="false" customHeight="false" outlineLevel="0" collapsed="false">
      <c r="B10449" s="130" t="n">
        <v>2028</v>
      </c>
      <c r="C10449" s="131" t="s">
        <v>255</v>
      </c>
      <c r="D10449" s="132" t="n">
        <v>46768</v>
      </c>
      <c r="E10449" s="131" t="s">
        <v>20</v>
      </c>
      <c r="F10449" s="133" t="s">
        <v>19</v>
      </c>
      <c r="G10449" s="134" t="n">
        <f aca="false">LEN('Saisie programme'!$J$368)+SUMIFS('Vols additionnels'!$E$7:$E$66,'Vols additionnels'!$C$7:$C$66,$E10449,'Vols additionnels'!$D$7:$D$66,$F10449,'Vols additionnels'!$B$7:$B$66,$D10449)</f>
        <v>0</v>
      </c>
      <c r="H10449" s="135" t="n">
        <f aca="false">$G10449*'Analyse capacite'!$F$8</f>
        <v>0</v>
      </c>
      <c r="I10449" s="135" t="n">
        <f aca="false">$G10449*'Analyse capacite'!$C$8</f>
        <v>0</v>
      </c>
      <c r="J10449" s="135" t="n">
        <f aca="false">$G10449*'Analyse capacite'!$D$8</f>
        <v>0</v>
      </c>
      <c r="K10449" s="135" t="n">
        <f aca="false">$G10449*'Analyse capacite'!$E$8</f>
        <v>0</v>
      </c>
    </row>
    <row r="10450" customFormat="false" ht="15" hidden="false" customHeight="false" outlineLevel="0" collapsed="false">
      <c r="B10450" s="130" t="n">
        <v>2028</v>
      </c>
      <c r="C10450" s="131" t="s">
        <v>255</v>
      </c>
      <c r="D10450" s="132" t="n">
        <v>46768</v>
      </c>
      <c r="E10450" s="131" t="s">
        <v>20</v>
      </c>
      <c r="F10450" s="133" t="s">
        <v>24</v>
      </c>
      <c r="G10450" s="134" t="n">
        <f aca="false">LEN('Saisie programme'!$J$369)+SUMIFS('Vols additionnels'!$E$7:$E$66,'Vols additionnels'!$C$7:$C$66,$E10450,'Vols additionnels'!$D$7:$D$66,$F10450,'Vols additionnels'!$B$7:$B$66,$D10450)</f>
        <v>0</v>
      </c>
      <c r="H10450" s="135" t="n">
        <f aca="false">$G10450*'Analyse capacite'!$F$9</f>
        <v>0</v>
      </c>
      <c r="I10450" s="135" t="n">
        <f aca="false">$G10450*'Analyse capacite'!$C$9</f>
        <v>0</v>
      </c>
      <c r="J10450" s="135" t="n">
        <f aca="false">$G10450*'Analyse capacite'!$D$9</f>
        <v>0</v>
      </c>
      <c r="K10450" s="135" t="n">
        <f aca="false">$G10450*'Analyse capacite'!$E$9</f>
        <v>0</v>
      </c>
    </row>
    <row r="10451" customFormat="false" ht="15" hidden="false" customHeight="false" outlineLevel="0" collapsed="false">
      <c r="B10451" s="130" t="n">
        <v>2028</v>
      </c>
      <c r="C10451" s="131" t="s">
        <v>255</v>
      </c>
      <c r="D10451" s="132" t="n">
        <v>46768</v>
      </c>
      <c r="E10451" s="131" t="s">
        <v>25</v>
      </c>
      <c r="F10451" s="133" t="s">
        <v>11</v>
      </c>
      <c r="G10451" s="134" t="n">
        <f aca="false">LEN('Saisie programme'!$J$370)+SUMIFS('Vols additionnels'!$E$7:$E$66,'Vols additionnels'!$C$7:$C$66,$E10451,'Vols additionnels'!$D$7:$D$66,$F10451,'Vols additionnels'!$B$7:$B$66,$D10451)</f>
        <v>0</v>
      </c>
      <c r="H10451" s="135" t="n">
        <f aca="false">$G10451*'Analyse capacite'!$F$7</f>
        <v>0</v>
      </c>
      <c r="I10451" s="135" t="n">
        <f aca="false">$G10451*'Analyse capacite'!$C$7</f>
        <v>0</v>
      </c>
      <c r="J10451" s="135" t="n">
        <f aca="false">$G10451*'Analyse capacite'!$D$7</f>
        <v>0</v>
      </c>
      <c r="K10451" s="135" t="n">
        <f aca="false">$G10451*'Analyse capacite'!$E$7</f>
        <v>0</v>
      </c>
    </row>
    <row r="10452" customFormat="false" ht="15" hidden="false" customHeight="false" outlineLevel="0" collapsed="false">
      <c r="B10452" s="130" t="n">
        <v>2028</v>
      </c>
      <c r="C10452" s="131" t="s">
        <v>255</v>
      </c>
      <c r="D10452" s="132" t="n">
        <v>46768</v>
      </c>
      <c r="E10452" s="131" t="s">
        <v>25</v>
      </c>
      <c r="F10452" s="133" t="s">
        <v>19</v>
      </c>
      <c r="G10452" s="134" t="n">
        <f aca="false">LEN('Saisie programme'!$J$371)+SUMIFS('Vols additionnels'!$E$7:$E$66,'Vols additionnels'!$C$7:$C$66,$E10452,'Vols additionnels'!$D$7:$D$66,$F10452,'Vols additionnels'!$B$7:$B$66,$D10452)</f>
        <v>0</v>
      </c>
      <c r="H10452" s="135" t="n">
        <f aca="false">$G10452*'Analyse capacite'!$F$8</f>
        <v>0</v>
      </c>
      <c r="I10452" s="135" t="n">
        <f aca="false">$G10452*'Analyse capacite'!$C$8</f>
        <v>0</v>
      </c>
      <c r="J10452" s="135" t="n">
        <f aca="false">$G10452*'Analyse capacite'!$D$8</f>
        <v>0</v>
      </c>
      <c r="K10452" s="135" t="n">
        <f aca="false">$G10452*'Analyse capacite'!$E$8</f>
        <v>0</v>
      </c>
    </row>
    <row r="10453" customFormat="false" ht="15" hidden="false" customHeight="false" outlineLevel="0" collapsed="false">
      <c r="B10453" s="130" t="n">
        <v>2028</v>
      </c>
      <c r="C10453" s="131" t="s">
        <v>255</v>
      </c>
      <c r="D10453" s="132" t="n">
        <v>46768</v>
      </c>
      <c r="E10453" s="131" t="s">
        <v>25</v>
      </c>
      <c r="F10453" s="133" t="s">
        <v>24</v>
      </c>
      <c r="G10453" s="134" t="n">
        <f aca="false">LEN('Saisie programme'!$J$372)+SUMIFS('Vols additionnels'!$E$7:$E$66,'Vols additionnels'!$C$7:$C$66,$E10453,'Vols additionnels'!$D$7:$D$66,$F10453,'Vols additionnels'!$B$7:$B$66,$D10453)</f>
        <v>0</v>
      </c>
      <c r="H10453" s="135" t="n">
        <f aca="false">$G10453*'Analyse capacite'!$F$9</f>
        <v>0</v>
      </c>
      <c r="I10453" s="135" t="n">
        <f aca="false">$G10453*'Analyse capacite'!$C$9</f>
        <v>0</v>
      </c>
      <c r="J10453" s="135" t="n">
        <f aca="false">$G10453*'Analyse capacite'!$D$9</f>
        <v>0</v>
      </c>
      <c r="K10453" s="135" t="n">
        <f aca="false">$G10453*'Analyse capacite'!$E$9</f>
        <v>0</v>
      </c>
    </row>
    <row r="10454" customFormat="false" ht="15" hidden="false" customHeight="false" outlineLevel="0" collapsed="false">
      <c r="B10454" s="130" t="n">
        <v>2028</v>
      </c>
      <c r="C10454" s="131" t="s">
        <v>255</v>
      </c>
      <c r="D10454" s="132" t="n">
        <v>46768</v>
      </c>
      <c r="E10454" s="131" t="s">
        <v>36</v>
      </c>
      <c r="F10454" s="133" t="s">
        <v>11</v>
      </c>
      <c r="G10454" s="134" t="n">
        <f aca="false">LEN('Saisie programme'!$J$373)+SUMIFS('Vols additionnels'!$E$7:$E$66,'Vols additionnels'!$C$7:$C$66,$E10454,'Vols additionnels'!$D$7:$D$66,$F10454,'Vols additionnels'!$B$7:$B$66,$D10454)</f>
        <v>0</v>
      </c>
      <c r="H10454" s="135" t="n">
        <f aca="false">$G10454*'Analyse capacite'!$F$7</f>
        <v>0</v>
      </c>
      <c r="I10454" s="135" t="n">
        <f aca="false">$G10454*'Analyse capacite'!$C$7</f>
        <v>0</v>
      </c>
      <c r="J10454" s="135" t="n">
        <f aca="false">$G10454*'Analyse capacite'!$D$7</f>
        <v>0</v>
      </c>
      <c r="K10454" s="135" t="n">
        <f aca="false">$G10454*'Analyse capacite'!$E$7</f>
        <v>0</v>
      </c>
    </row>
    <row r="10455" customFormat="false" ht="15" hidden="false" customHeight="false" outlineLevel="0" collapsed="false">
      <c r="B10455" s="130" t="n">
        <v>2028</v>
      </c>
      <c r="C10455" s="131" t="s">
        <v>255</v>
      </c>
      <c r="D10455" s="132" t="n">
        <v>46768</v>
      </c>
      <c r="E10455" s="131" t="s">
        <v>36</v>
      </c>
      <c r="F10455" s="133" t="s">
        <v>19</v>
      </c>
      <c r="G10455" s="134" t="n">
        <f aca="false">LEN('Saisie programme'!$J$374)+SUMIFS('Vols additionnels'!$E$7:$E$66,'Vols additionnels'!$C$7:$C$66,$E10455,'Vols additionnels'!$D$7:$D$66,$F10455,'Vols additionnels'!$B$7:$B$66,$D10455)</f>
        <v>0</v>
      </c>
      <c r="H10455" s="135" t="n">
        <f aca="false">$G10455*'Analyse capacite'!$F$8</f>
        <v>0</v>
      </c>
      <c r="I10455" s="135" t="n">
        <f aca="false">$G10455*'Analyse capacite'!$C$8</f>
        <v>0</v>
      </c>
      <c r="J10455" s="135" t="n">
        <f aca="false">$G10455*'Analyse capacite'!$D$8</f>
        <v>0</v>
      </c>
      <c r="K10455" s="135" t="n">
        <f aca="false">$G10455*'Analyse capacite'!$E$8</f>
        <v>0</v>
      </c>
    </row>
    <row r="10456" customFormat="false" ht="15" hidden="false" customHeight="false" outlineLevel="0" collapsed="false">
      <c r="B10456" s="130" t="n">
        <v>2028</v>
      </c>
      <c r="C10456" s="131" t="s">
        <v>255</v>
      </c>
      <c r="D10456" s="132" t="n">
        <v>46768</v>
      </c>
      <c r="E10456" s="131" t="s">
        <v>36</v>
      </c>
      <c r="F10456" s="133" t="s">
        <v>24</v>
      </c>
      <c r="G10456" s="134" t="n">
        <f aca="false">LEN('Saisie programme'!$J$375)+SUMIFS('Vols additionnels'!$E$7:$E$66,'Vols additionnels'!$C$7:$C$66,$E10456,'Vols additionnels'!$D$7:$D$66,$F10456,'Vols additionnels'!$B$7:$B$66,$D10456)</f>
        <v>0</v>
      </c>
      <c r="H10456" s="135" t="n">
        <f aca="false">$G10456*'Analyse capacite'!$F$9</f>
        <v>0</v>
      </c>
      <c r="I10456" s="135" t="n">
        <f aca="false">$G10456*'Analyse capacite'!$C$9</f>
        <v>0</v>
      </c>
      <c r="J10456" s="135" t="n">
        <f aca="false">$G10456*'Analyse capacite'!$D$9</f>
        <v>0</v>
      </c>
      <c r="K10456" s="135" t="n">
        <f aca="false">$G10456*'Analyse capacite'!$E$9</f>
        <v>0</v>
      </c>
    </row>
    <row r="10457" customFormat="false" ht="15" hidden="false" customHeight="false" outlineLevel="0" collapsed="false">
      <c r="B10457" s="130" t="n">
        <v>2028</v>
      </c>
      <c r="C10457" s="131" t="s">
        <v>255</v>
      </c>
      <c r="D10457" s="132" t="n">
        <v>46768</v>
      </c>
      <c r="E10457" s="131" t="s">
        <v>40</v>
      </c>
      <c r="F10457" s="133" t="s">
        <v>11</v>
      </c>
      <c r="G10457" s="134" t="n">
        <f aca="false">LEN('Saisie programme'!$J$376)+SUMIFS('Vols additionnels'!$E$7:$E$66,'Vols additionnels'!$C$7:$C$66,$E10457,'Vols additionnels'!$D$7:$D$66,$F10457,'Vols additionnels'!$B$7:$B$66,$D10457)</f>
        <v>0</v>
      </c>
      <c r="H10457" s="135" t="n">
        <f aca="false">$G10457*'Analyse capacite'!$F$7</f>
        <v>0</v>
      </c>
      <c r="I10457" s="135" t="n">
        <f aca="false">$G10457*'Analyse capacite'!$C$7</f>
        <v>0</v>
      </c>
      <c r="J10457" s="135" t="n">
        <f aca="false">$G10457*'Analyse capacite'!$D$7</f>
        <v>0</v>
      </c>
      <c r="K10457" s="135" t="n">
        <f aca="false">$G10457*'Analyse capacite'!$E$7</f>
        <v>0</v>
      </c>
    </row>
    <row r="10458" customFormat="false" ht="15" hidden="false" customHeight="false" outlineLevel="0" collapsed="false">
      <c r="B10458" s="130" t="n">
        <v>2028</v>
      </c>
      <c r="C10458" s="131" t="s">
        <v>255</v>
      </c>
      <c r="D10458" s="132" t="n">
        <v>46768</v>
      </c>
      <c r="E10458" s="131" t="s">
        <v>40</v>
      </c>
      <c r="F10458" s="133" t="s">
        <v>19</v>
      </c>
      <c r="G10458" s="134" t="n">
        <f aca="false">LEN('Saisie programme'!$J$377)+SUMIFS('Vols additionnels'!$E$7:$E$66,'Vols additionnels'!$C$7:$C$66,$E10458,'Vols additionnels'!$D$7:$D$66,$F10458,'Vols additionnels'!$B$7:$B$66,$D10458)</f>
        <v>0</v>
      </c>
      <c r="H10458" s="135" t="n">
        <f aca="false">$G10458*'Analyse capacite'!$F$8</f>
        <v>0</v>
      </c>
      <c r="I10458" s="135" t="n">
        <f aca="false">$G10458*'Analyse capacite'!$C$8</f>
        <v>0</v>
      </c>
      <c r="J10458" s="135" t="n">
        <f aca="false">$G10458*'Analyse capacite'!$D$8</f>
        <v>0</v>
      </c>
      <c r="K10458" s="135" t="n">
        <f aca="false">$G10458*'Analyse capacite'!$E$8</f>
        <v>0</v>
      </c>
    </row>
    <row r="10459" customFormat="false" ht="15" hidden="false" customHeight="false" outlineLevel="0" collapsed="false">
      <c r="B10459" s="130" t="n">
        <v>2028</v>
      </c>
      <c r="C10459" s="131" t="s">
        <v>255</v>
      </c>
      <c r="D10459" s="132" t="n">
        <v>46768</v>
      </c>
      <c r="E10459" s="131" t="s">
        <v>40</v>
      </c>
      <c r="F10459" s="133" t="s">
        <v>24</v>
      </c>
      <c r="G10459" s="134" t="n">
        <f aca="false">LEN('Saisie programme'!$J$378)+SUMIFS('Vols additionnels'!$E$7:$E$66,'Vols additionnels'!$C$7:$C$66,$E10459,'Vols additionnels'!$D$7:$D$66,$F10459,'Vols additionnels'!$B$7:$B$66,$D10459)</f>
        <v>1</v>
      </c>
      <c r="H10459" s="135" t="n">
        <f aca="false">$G10459*'Analyse capacite'!$F$9</f>
        <v>174</v>
      </c>
      <c r="I10459" s="135" t="n">
        <f aca="false">$G10459*'Analyse capacite'!$C$9</f>
        <v>0</v>
      </c>
      <c r="J10459" s="135" t="n">
        <f aca="false">$G10459*'Analyse capacite'!$D$9</f>
        <v>12</v>
      </c>
      <c r="K10459" s="135" t="n">
        <f aca="false">$G10459*'Analyse capacite'!$E$9</f>
        <v>162</v>
      </c>
    </row>
    <row r="10460" customFormat="false" ht="15" hidden="false" customHeight="false" outlineLevel="0" collapsed="false">
      <c r="B10460" s="130" t="n">
        <v>2028</v>
      </c>
      <c r="C10460" s="131" t="s">
        <v>255</v>
      </c>
      <c r="D10460" s="132" t="n">
        <v>46768</v>
      </c>
      <c r="E10460" s="131" t="s">
        <v>14</v>
      </c>
      <c r="F10460" s="133" t="s">
        <v>11</v>
      </c>
      <c r="G10460" s="134" t="n">
        <f aca="false">LEN('Saisie programme'!$J$379)+SUMIFS('Vols additionnels'!$E$7:$E$66,'Vols additionnels'!$C$7:$C$66,$E10460,'Vols additionnels'!$D$7:$D$66,$F10460,'Vols additionnels'!$B$7:$B$66,$D10460)</f>
        <v>0</v>
      </c>
      <c r="H10460" s="135" t="n">
        <f aca="false">$G10460*'Analyse capacite'!$F$7</f>
        <v>0</v>
      </c>
      <c r="I10460" s="135" t="n">
        <f aca="false">$G10460*'Analyse capacite'!$C$7</f>
        <v>0</v>
      </c>
      <c r="J10460" s="135" t="n">
        <f aca="false">$G10460*'Analyse capacite'!$D$7</f>
        <v>0</v>
      </c>
      <c r="K10460" s="135" t="n">
        <f aca="false">$G10460*'Analyse capacite'!$E$7</f>
        <v>0</v>
      </c>
    </row>
    <row r="10461" customFormat="false" ht="15" hidden="false" customHeight="false" outlineLevel="0" collapsed="false">
      <c r="B10461" s="130" t="n">
        <v>2028</v>
      </c>
      <c r="C10461" s="131" t="s">
        <v>255</v>
      </c>
      <c r="D10461" s="132" t="n">
        <v>46768</v>
      </c>
      <c r="E10461" s="131" t="s">
        <v>14</v>
      </c>
      <c r="F10461" s="133" t="s">
        <v>19</v>
      </c>
      <c r="G10461" s="134" t="n">
        <f aca="false">LEN('Saisie programme'!$J$380)+SUMIFS('Vols additionnels'!$E$7:$E$66,'Vols additionnels'!$C$7:$C$66,$E10461,'Vols additionnels'!$D$7:$D$66,$F10461,'Vols additionnels'!$B$7:$B$66,$D10461)</f>
        <v>0</v>
      </c>
      <c r="H10461" s="135" t="n">
        <f aca="false">$G10461*'Analyse capacite'!$F$8</f>
        <v>0</v>
      </c>
      <c r="I10461" s="135" t="n">
        <f aca="false">$G10461*'Analyse capacite'!$C$8</f>
        <v>0</v>
      </c>
      <c r="J10461" s="135" t="n">
        <f aca="false">$G10461*'Analyse capacite'!$D$8</f>
        <v>0</v>
      </c>
      <c r="K10461" s="135" t="n">
        <f aca="false">$G10461*'Analyse capacite'!$E$8</f>
        <v>0</v>
      </c>
    </row>
    <row r="10462" customFormat="false" ht="15" hidden="false" customHeight="false" outlineLevel="0" collapsed="false">
      <c r="B10462" s="130" t="n">
        <v>2028</v>
      </c>
      <c r="C10462" s="131" t="s">
        <v>255</v>
      </c>
      <c r="D10462" s="132" t="n">
        <v>46768</v>
      </c>
      <c r="E10462" s="131" t="s">
        <v>14</v>
      </c>
      <c r="F10462" s="133" t="s">
        <v>24</v>
      </c>
      <c r="G10462" s="134" t="n">
        <f aca="false">LEN('Saisie programme'!$J$381)+SUMIFS('Vols additionnels'!$E$7:$E$66,'Vols additionnels'!$C$7:$C$66,$E10462,'Vols additionnels'!$D$7:$D$66,$F10462,'Vols additionnels'!$B$7:$B$66,$D10462)</f>
        <v>0</v>
      </c>
      <c r="H10462" s="135" t="n">
        <f aca="false">$G10462*'Analyse capacite'!$F$9</f>
        <v>0</v>
      </c>
      <c r="I10462" s="135" t="n">
        <f aca="false">$G10462*'Analyse capacite'!$C$9</f>
        <v>0</v>
      </c>
      <c r="J10462" s="135" t="n">
        <f aca="false">$G10462*'Analyse capacite'!$D$9</f>
        <v>0</v>
      </c>
      <c r="K10462" s="135" t="n">
        <f aca="false">$G10462*'Analyse capacite'!$E$9</f>
        <v>0</v>
      </c>
    </row>
    <row r="10463" customFormat="false" ht="15" hidden="false" customHeight="false" outlineLevel="0" collapsed="false">
      <c r="B10463" s="130" t="n">
        <v>2028</v>
      </c>
      <c r="C10463" s="131" t="s">
        <v>255</v>
      </c>
      <c r="D10463" s="132" t="n">
        <v>46768</v>
      </c>
      <c r="E10463" s="131" t="s">
        <v>46</v>
      </c>
      <c r="F10463" s="133" t="s">
        <v>11</v>
      </c>
      <c r="G10463" s="134" t="n">
        <f aca="false">LEN('Saisie programme'!$J$382)+SUMIFS('Vols additionnels'!$E$7:$E$66,'Vols additionnels'!$C$7:$C$66,$E10463,'Vols additionnels'!$D$7:$D$66,$F10463,'Vols additionnels'!$B$7:$B$66,$D10463)</f>
        <v>0</v>
      </c>
      <c r="H10463" s="135" t="n">
        <f aca="false">$G10463*'Analyse capacite'!$F$7</f>
        <v>0</v>
      </c>
      <c r="I10463" s="135" t="n">
        <f aca="false">$G10463*'Analyse capacite'!$C$7</f>
        <v>0</v>
      </c>
      <c r="J10463" s="135" t="n">
        <f aca="false">$G10463*'Analyse capacite'!$D$7</f>
        <v>0</v>
      </c>
      <c r="K10463" s="135" t="n">
        <f aca="false">$G10463*'Analyse capacite'!$E$7</f>
        <v>0</v>
      </c>
    </row>
    <row r="10464" customFormat="false" ht="15" hidden="false" customHeight="false" outlineLevel="0" collapsed="false">
      <c r="B10464" s="130" t="n">
        <v>2028</v>
      </c>
      <c r="C10464" s="131" t="s">
        <v>255</v>
      </c>
      <c r="D10464" s="132" t="n">
        <v>46768</v>
      </c>
      <c r="E10464" s="131" t="s">
        <v>46</v>
      </c>
      <c r="F10464" s="133" t="s">
        <v>19</v>
      </c>
      <c r="G10464" s="134" t="n">
        <f aca="false">LEN('Saisie programme'!$J$383)+SUMIFS('Vols additionnels'!$E$7:$E$66,'Vols additionnels'!$C$7:$C$66,$E10464,'Vols additionnels'!$D$7:$D$66,$F10464,'Vols additionnels'!$B$7:$B$66,$D10464)</f>
        <v>0</v>
      </c>
      <c r="H10464" s="135" t="n">
        <f aca="false">$G10464*'Analyse capacite'!$F$8</f>
        <v>0</v>
      </c>
      <c r="I10464" s="135" t="n">
        <f aca="false">$G10464*'Analyse capacite'!$C$8</f>
        <v>0</v>
      </c>
      <c r="J10464" s="135" t="n">
        <f aca="false">$G10464*'Analyse capacite'!$D$8</f>
        <v>0</v>
      </c>
      <c r="K10464" s="135" t="n">
        <f aca="false">$G10464*'Analyse capacite'!$E$8</f>
        <v>0</v>
      </c>
    </row>
    <row r="10465" customFormat="false" ht="15" hidden="false" customHeight="false" outlineLevel="0" collapsed="false">
      <c r="B10465" s="130" t="n">
        <v>2028</v>
      </c>
      <c r="C10465" s="131" t="s">
        <v>255</v>
      </c>
      <c r="D10465" s="132" t="n">
        <v>46768</v>
      </c>
      <c r="E10465" s="131" t="s">
        <v>46</v>
      </c>
      <c r="F10465" s="133" t="s">
        <v>24</v>
      </c>
      <c r="G10465" s="134" t="n">
        <f aca="false">LEN('Saisie programme'!$J$384)+SUMIFS('Vols additionnels'!$E$7:$E$66,'Vols additionnels'!$C$7:$C$66,$E10465,'Vols additionnels'!$D$7:$D$66,$F10465,'Vols additionnels'!$B$7:$B$66,$D10465)</f>
        <v>0</v>
      </c>
      <c r="H10465" s="135" t="n">
        <f aca="false">$G10465*'Analyse capacite'!$F$9</f>
        <v>0</v>
      </c>
      <c r="I10465" s="135" t="n">
        <f aca="false">$G10465*'Analyse capacite'!$C$9</f>
        <v>0</v>
      </c>
      <c r="J10465" s="135" t="n">
        <f aca="false">$G10465*'Analyse capacite'!$D$9</f>
        <v>0</v>
      </c>
      <c r="K10465" s="135" t="n">
        <f aca="false">$G10465*'Analyse capacite'!$E$9</f>
        <v>0</v>
      </c>
    </row>
    <row r="10466" customFormat="false" ht="15" hidden="false" customHeight="false" outlineLevel="0" collapsed="false">
      <c r="B10466" s="130" t="n">
        <v>2028</v>
      </c>
      <c r="C10466" s="131" t="s">
        <v>255</v>
      </c>
      <c r="D10466" s="132" t="n">
        <v>46768</v>
      </c>
      <c r="E10466" s="131" t="s">
        <v>49</v>
      </c>
      <c r="F10466" s="133" t="s">
        <v>11</v>
      </c>
      <c r="G10466" s="134" t="n">
        <f aca="false">LEN('Saisie programme'!$J$385)+SUMIFS('Vols additionnels'!$E$7:$E$66,'Vols additionnels'!$C$7:$C$66,$E10466,'Vols additionnels'!$D$7:$D$66,$F10466,'Vols additionnels'!$B$7:$B$66,$D10466)</f>
        <v>0</v>
      </c>
      <c r="H10466" s="135" t="n">
        <f aca="false">$G10466*'Analyse capacite'!$F$7</f>
        <v>0</v>
      </c>
      <c r="I10466" s="135" t="n">
        <f aca="false">$G10466*'Analyse capacite'!$C$7</f>
        <v>0</v>
      </c>
      <c r="J10466" s="135" t="n">
        <f aca="false">$G10466*'Analyse capacite'!$D$7</f>
        <v>0</v>
      </c>
      <c r="K10466" s="135" t="n">
        <f aca="false">$G10466*'Analyse capacite'!$E$7</f>
        <v>0</v>
      </c>
    </row>
    <row r="10467" customFormat="false" ht="15" hidden="false" customHeight="false" outlineLevel="0" collapsed="false">
      <c r="B10467" s="130" t="n">
        <v>2028</v>
      </c>
      <c r="C10467" s="131" t="s">
        <v>255</v>
      </c>
      <c r="D10467" s="132" t="n">
        <v>46768</v>
      </c>
      <c r="E10467" s="131" t="s">
        <v>49</v>
      </c>
      <c r="F10467" s="133" t="s">
        <v>19</v>
      </c>
      <c r="G10467" s="134" t="n">
        <f aca="false">LEN('Saisie programme'!$J$386)+SUMIFS('Vols additionnels'!$E$7:$E$66,'Vols additionnels'!$C$7:$C$66,$E10467,'Vols additionnels'!$D$7:$D$66,$F10467,'Vols additionnels'!$B$7:$B$66,$D10467)</f>
        <v>0</v>
      </c>
      <c r="H10467" s="135" t="n">
        <f aca="false">$G10467*'Analyse capacite'!$F$8</f>
        <v>0</v>
      </c>
      <c r="I10467" s="135" t="n">
        <f aca="false">$G10467*'Analyse capacite'!$C$8</f>
        <v>0</v>
      </c>
      <c r="J10467" s="135" t="n">
        <f aca="false">$G10467*'Analyse capacite'!$D$8</f>
        <v>0</v>
      </c>
      <c r="K10467" s="135" t="n">
        <f aca="false">$G10467*'Analyse capacite'!$E$8</f>
        <v>0</v>
      </c>
    </row>
    <row r="10468" customFormat="false" ht="15" hidden="false" customHeight="false" outlineLevel="0" collapsed="false">
      <c r="B10468" s="130" t="n">
        <v>2028</v>
      </c>
      <c r="C10468" s="131" t="s">
        <v>255</v>
      </c>
      <c r="D10468" s="132" t="n">
        <v>46768</v>
      </c>
      <c r="E10468" s="131" t="s">
        <v>49</v>
      </c>
      <c r="F10468" s="133" t="s">
        <v>24</v>
      </c>
      <c r="G10468" s="134" t="n">
        <f aca="false">LEN('Saisie programme'!$J$387)+SUMIFS('Vols additionnels'!$E$7:$E$66,'Vols additionnels'!$C$7:$C$66,$E10468,'Vols additionnels'!$D$7:$D$66,$F10468,'Vols additionnels'!$B$7:$B$66,$D10468)</f>
        <v>0</v>
      </c>
      <c r="H10468" s="135" t="n">
        <f aca="false">$G10468*'Analyse capacite'!$F$9</f>
        <v>0</v>
      </c>
      <c r="I10468" s="135" t="n">
        <f aca="false">$G10468*'Analyse capacite'!$C$9</f>
        <v>0</v>
      </c>
      <c r="J10468" s="135" t="n">
        <f aca="false">$G10468*'Analyse capacite'!$D$9</f>
        <v>0</v>
      </c>
      <c r="K10468" s="135" t="n">
        <f aca="false">$G10468*'Analyse capacite'!$E$9</f>
        <v>0</v>
      </c>
    </row>
    <row r="10469" customFormat="false" ht="15" hidden="false" customHeight="false" outlineLevel="0" collapsed="false">
      <c r="B10469" s="130" t="n">
        <v>2028</v>
      </c>
      <c r="C10469" s="131" t="s">
        <v>255</v>
      </c>
      <c r="D10469" s="132" t="n">
        <v>46768</v>
      </c>
      <c r="E10469" s="131" t="s">
        <v>53</v>
      </c>
      <c r="F10469" s="133" t="s">
        <v>11</v>
      </c>
      <c r="G10469" s="134" t="n">
        <f aca="false">LEN('Saisie programme'!$J$388)+SUMIFS('Vols additionnels'!$E$7:$E$66,'Vols additionnels'!$C$7:$C$66,$E10469,'Vols additionnels'!$D$7:$D$66,$F10469,'Vols additionnels'!$B$7:$B$66,$D10469)</f>
        <v>0</v>
      </c>
      <c r="H10469" s="135" t="n">
        <f aca="false">$G10469*'Analyse capacite'!$F$7</f>
        <v>0</v>
      </c>
      <c r="I10469" s="135" t="n">
        <f aca="false">$G10469*'Analyse capacite'!$C$7</f>
        <v>0</v>
      </c>
      <c r="J10469" s="135" t="n">
        <f aca="false">$G10469*'Analyse capacite'!$D$7</f>
        <v>0</v>
      </c>
      <c r="K10469" s="135" t="n">
        <f aca="false">$G10469*'Analyse capacite'!$E$7</f>
        <v>0</v>
      </c>
    </row>
    <row r="10470" customFormat="false" ht="15" hidden="false" customHeight="false" outlineLevel="0" collapsed="false">
      <c r="B10470" s="130" t="n">
        <v>2028</v>
      </c>
      <c r="C10470" s="131" t="s">
        <v>255</v>
      </c>
      <c r="D10470" s="132" t="n">
        <v>46768</v>
      </c>
      <c r="E10470" s="131" t="s">
        <v>53</v>
      </c>
      <c r="F10470" s="133" t="s">
        <v>19</v>
      </c>
      <c r="G10470" s="134" t="n">
        <f aca="false">LEN('Saisie programme'!$J$389)+SUMIFS('Vols additionnels'!$E$7:$E$66,'Vols additionnels'!$C$7:$C$66,$E10470,'Vols additionnels'!$D$7:$D$66,$F10470,'Vols additionnels'!$B$7:$B$66,$D10470)</f>
        <v>0</v>
      </c>
      <c r="H10470" s="135" t="n">
        <f aca="false">$G10470*'Analyse capacite'!$F$8</f>
        <v>0</v>
      </c>
      <c r="I10470" s="135" t="n">
        <f aca="false">$G10470*'Analyse capacite'!$C$8</f>
        <v>0</v>
      </c>
      <c r="J10470" s="135" t="n">
        <f aca="false">$G10470*'Analyse capacite'!$D$8</f>
        <v>0</v>
      </c>
      <c r="K10470" s="135" t="n">
        <f aca="false">$G10470*'Analyse capacite'!$E$8</f>
        <v>0</v>
      </c>
    </row>
    <row r="10471" customFormat="false" ht="15" hidden="false" customHeight="false" outlineLevel="0" collapsed="false">
      <c r="B10471" s="130" t="n">
        <v>2028</v>
      </c>
      <c r="C10471" s="131" t="s">
        <v>255</v>
      </c>
      <c r="D10471" s="132" t="n">
        <v>46768</v>
      </c>
      <c r="E10471" s="131" t="s">
        <v>53</v>
      </c>
      <c r="F10471" s="133" t="s">
        <v>24</v>
      </c>
      <c r="G10471" s="134" t="n">
        <f aca="false">LEN('Saisie programme'!$J$390)+SUMIFS('Vols additionnels'!$E$7:$E$66,'Vols additionnels'!$C$7:$C$66,$E10471,'Vols additionnels'!$D$7:$D$66,$F10471,'Vols additionnels'!$B$7:$B$66,$D10471)</f>
        <v>0</v>
      </c>
      <c r="H10471" s="135" t="n">
        <f aca="false">$G10471*'Analyse capacite'!$F$9</f>
        <v>0</v>
      </c>
      <c r="I10471" s="135" t="n">
        <f aca="false">$G10471*'Analyse capacite'!$C$9</f>
        <v>0</v>
      </c>
      <c r="J10471" s="135" t="n">
        <f aca="false">$G10471*'Analyse capacite'!$D$9</f>
        <v>0</v>
      </c>
      <c r="K10471" s="135" t="n">
        <f aca="false">$G10471*'Analyse capacite'!$E$9</f>
        <v>0</v>
      </c>
    </row>
    <row r="10472" customFormat="false" ht="15" hidden="false" customHeight="false" outlineLevel="0" collapsed="false">
      <c r="B10472" s="130" t="n">
        <v>2028</v>
      </c>
      <c r="C10472" s="131" t="s">
        <v>255</v>
      </c>
      <c r="D10472" s="132" t="n">
        <v>46768</v>
      </c>
      <c r="E10472" s="131" t="s">
        <v>56</v>
      </c>
      <c r="F10472" s="133" t="s">
        <v>11</v>
      </c>
      <c r="G10472" s="134" t="n">
        <f aca="false">LEN('Saisie programme'!$J$391)+SUMIFS('Vols additionnels'!$E$7:$E$66,'Vols additionnels'!$C$7:$C$66,$E10472,'Vols additionnels'!$D$7:$D$66,$F10472,'Vols additionnels'!$B$7:$B$66,$D10472)</f>
        <v>0</v>
      </c>
      <c r="H10472" s="135" t="n">
        <f aca="false">$G10472*'Analyse capacite'!$F$7</f>
        <v>0</v>
      </c>
      <c r="I10472" s="135" t="n">
        <f aca="false">$G10472*'Analyse capacite'!$C$7</f>
        <v>0</v>
      </c>
      <c r="J10472" s="135" t="n">
        <f aca="false">$G10472*'Analyse capacite'!$D$7</f>
        <v>0</v>
      </c>
      <c r="K10472" s="135" t="n">
        <f aca="false">$G10472*'Analyse capacite'!$E$7</f>
        <v>0</v>
      </c>
    </row>
    <row r="10473" customFormat="false" ht="15" hidden="false" customHeight="false" outlineLevel="0" collapsed="false">
      <c r="B10473" s="130" t="n">
        <v>2028</v>
      </c>
      <c r="C10473" s="131" t="s">
        <v>255</v>
      </c>
      <c r="D10473" s="132" t="n">
        <v>46768</v>
      </c>
      <c r="E10473" s="131" t="s">
        <v>56</v>
      </c>
      <c r="F10473" s="133" t="s">
        <v>19</v>
      </c>
      <c r="G10473" s="134" t="n">
        <f aca="false">LEN('Saisie programme'!$J$392)+SUMIFS('Vols additionnels'!$E$7:$E$66,'Vols additionnels'!$C$7:$C$66,$E10473,'Vols additionnels'!$D$7:$D$66,$F10473,'Vols additionnels'!$B$7:$B$66,$D10473)</f>
        <v>0</v>
      </c>
      <c r="H10473" s="135" t="n">
        <f aca="false">$G10473*'Analyse capacite'!$F$8</f>
        <v>0</v>
      </c>
      <c r="I10473" s="135" t="n">
        <f aca="false">$G10473*'Analyse capacite'!$C$8</f>
        <v>0</v>
      </c>
      <c r="J10473" s="135" t="n">
        <f aca="false">$G10473*'Analyse capacite'!$D$8</f>
        <v>0</v>
      </c>
      <c r="K10473" s="135" t="n">
        <f aca="false">$G10473*'Analyse capacite'!$E$8</f>
        <v>0</v>
      </c>
    </row>
    <row r="10474" customFormat="false" ht="15" hidden="false" customHeight="false" outlineLevel="0" collapsed="false">
      <c r="B10474" s="130" t="n">
        <v>2028</v>
      </c>
      <c r="C10474" s="131" t="s">
        <v>255</v>
      </c>
      <c r="D10474" s="132" t="n">
        <v>46768</v>
      </c>
      <c r="E10474" s="131" t="s">
        <v>56</v>
      </c>
      <c r="F10474" s="133" t="s">
        <v>24</v>
      </c>
      <c r="G10474" s="134" t="n">
        <f aca="false">LEN('Saisie programme'!$J$393)+SUMIFS('Vols additionnels'!$E$7:$E$66,'Vols additionnels'!$C$7:$C$66,$E10474,'Vols additionnels'!$D$7:$D$66,$F10474,'Vols additionnels'!$B$7:$B$66,$D10474)</f>
        <v>0</v>
      </c>
      <c r="H10474" s="135" t="n">
        <f aca="false">$G10474*'Analyse capacite'!$F$9</f>
        <v>0</v>
      </c>
      <c r="I10474" s="135" t="n">
        <f aca="false">$G10474*'Analyse capacite'!$C$9</f>
        <v>0</v>
      </c>
      <c r="J10474" s="135" t="n">
        <f aca="false">$G10474*'Analyse capacite'!$D$9</f>
        <v>0</v>
      </c>
      <c r="K10474" s="135" t="n">
        <f aca="false">$G10474*'Analyse capacite'!$E$9</f>
        <v>0</v>
      </c>
    </row>
    <row r="10475" customFormat="false" ht="15" hidden="false" customHeight="false" outlineLevel="0" collapsed="false">
      <c r="B10475" s="130" t="n">
        <v>2028</v>
      </c>
      <c r="C10475" s="131" t="s">
        <v>255</v>
      </c>
      <c r="D10475" s="132" t="n">
        <v>46768</v>
      </c>
      <c r="E10475" s="131" t="s">
        <v>59</v>
      </c>
      <c r="F10475" s="133" t="s">
        <v>11</v>
      </c>
      <c r="G10475" s="134" t="n">
        <f aca="false">LEN('Saisie programme'!$J$394)+SUMIFS('Vols additionnels'!$E$7:$E$66,'Vols additionnels'!$C$7:$C$66,$E10475,'Vols additionnels'!$D$7:$D$66,$F10475,'Vols additionnels'!$B$7:$B$66,$D10475)</f>
        <v>0</v>
      </c>
      <c r="H10475" s="135" t="n">
        <f aca="false">$G10475*'Analyse capacite'!$F$7</f>
        <v>0</v>
      </c>
      <c r="I10475" s="135" t="n">
        <f aca="false">$G10475*'Analyse capacite'!$C$7</f>
        <v>0</v>
      </c>
      <c r="J10475" s="135" t="n">
        <f aca="false">$G10475*'Analyse capacite'!$D$7</f>
        <v>0</v>
      </c>
      <c r="K10475" s="135" t="n">
        <f aca="false">$G10475*'Analyse capacite'!$E$7</f>
        <v>0</v>
      </c>
    </row>
    <row r="10476" customFormat="false" ht="15" hidden="false" customHeight="false" outlineLevel="0" collapsed="false">
      <c r="B10476" s="130" t="n">
        <v>2028</v>
      </c>
      <c r="C10476" s="131" t="s">
        <v>255</v>
      </c>
      <c r="D10476" s="132" t="n">
        <v>46768</v>
      </c>
      <c r="E10476" s="131" t="s">
        <v>59</v>
      </c>
      <c r="F10476" s="133" t="s">
        <v>19</v>
      </c>
      <c r="G10476" s="134" t="n">
        <f aca="false">LEN('Saisie programme'!$J$395)+SUMIFS('Vols additionnels'!$E$7:$E$66,'Vols additionnels'!$C$7:$C$66,$E10476,'Vols additionnels'!$D$7:$D$66,$F10476,'Vols additionnels'!$B$7:$B$66,$D10476)</f>
        <v>0</v>
      </c>
      <c r="H10476" s="135" t="n">
        <f aca="false">$G10476*'Analyse capacite'!$F$8</f>
        <v>0</v>
      </c>
      <c r="I10476" s="135" t="n">
        <f aca="false">$G10476*'Analyse capacite'!$C$8</f>
        <v>0</v>
      </c>
      <c r="J10476" s="135" t="n">
        <f aca="false">$G10476*'Analyse capacite'!$D$8</f>
        <v>0</v>
      </c>
      <c r="K10476" s="135" t="n">
        <f aca="false">$G10476*'Analyse capacite'!$E$8</f>
        <v>0</v>
      </c>
    </row>
    <row r="10477" customFormat="false" ht="15" hidden="false" customHeight="false" outlineLevel="0" collapsed="false">
      <c r="B10477" s="130" t="n">
        <v>2028</v>
      </c>
      <c r="C10477" s="131" t="s">
        <v>255</v>
      </c>
      <c r="D10477" s="132" t="n">
        <v>46768</v>
      </c>
      <c r="E10477" s="131" t="s">
        <v>59</v>
      </c>
      <c r="F10477" s="133" t="s">
        <v>24</v>
      </c>
      <c r="G10477" s="134" t="n">
        <f aca="false">LEN('Saisie programme'!$J$396)+SUMIFS('Vols additionnels'!$E$7:$E$66,'Vols additionnels'!$C$7:$C$66,$E10477,'Vols additionnels'!$D$7:$D$66,$F10477,'Vols additionnels'!$B$7:$B$66,$D10477)</f>
        <v>0</v>
      </c>
      <c r="H10477" s="135" t="n">
        <f aca="false">$G10477*'Analyse capacite'!$F$9</f>
        <v>0</v>
      </c>
      <c r="I10477" s="135" t="n">
        <f aca="false">$G10477*'Analyse capacite'!$C$9</f>
        <v>0</v>
      </c>
      <c r="J10477" s="135" t="n">
        <f aca="false">$G10477*'Analyse capacite'!$D$9</f>
        <v>0</v>
      </c>
      <c r="K10477" s="135" t="n">
        <f aca="false">$G10477*'Analyse capacite'!$E$9</f>
        <v>0</v>
      </c>
    </row>
    <row r="10478" customFormat="false" ht="15" hidden="false" customHeight="false" outlineLevel="0" collapsed="false">
      <c r="B10478" s="130" t="n">
        <v>2028</v>
      </c>
      <c r="C10478" s="131" t="s">
        <v>255</v>
      </c>
      <c r="D10478" s="132" t="n">
        <v>46768</v>
      </c>
      <c r="E10478" s="131" t="s">
        <v>62</v>
      </c>
      <c r="F10478" s="133" t="s">
        <v>11</v>
      </c>
      <c r="G10478" s="134" t="n">
        <f aca="false">LEN('Saisie programme'!$J$397)+SUMIFS('Vols additionnels'!$E$7:$E$66,'Vols additionnels'!$C$7:$C$66,$E10478,'Vols additionnels'!$D$7:$D$66,$F10478,'Vols additionnels'!$B$7:$B$66,$D10478)</f>
        <v>0</v>
      </c>
      <c r="H10478" s="135" t="n">
        <f aca="false">$G10478*'Analyse capacite'!$F$7</f>
        <v>0</v>
      </c>
      <c r="I10478" s="135" t="n">
        <f aca="false">$G10478*'Analyse capacite'!$C$7</f>
        <v>0</v>
      </c>
      <c r="J10478" s="135" t="n">
        <f aca="false">$G10478*'Analyse capacite'!$D$7</f>
        <v>0</v>
      </c>
      <c r="K10478" s="135" t="n">
        <f aca="false">$G10478*'Analyse capacite'!$E$7</f>
        <v>0</v>
      </c>
    </row>
    <row r="10479" customFormat="false" ht="15" hidden="false" customHeight="false" outlineLevel="0" collapsed="false">
      <c r="B10479" s="130" t="n">
        <v>2028</v>
      </c>
      <c r="C10479" s="131" t="s">
        <v>255</v>
      </c>
      <c r="D10479" s="132" t="n">
        <v>46768</v>
      </c>
      <c r="E10479" s="131" t="s">
        <v>62</v>
      </c>
      <c r="F10479" s="133" t="s">
        <v>19</v>
      </c>
      <c r="G10479" s="134" t="n">
        <f aca="false">LEN('Saisie programme'!$J$398)+SUMIFS('Vols additionnels'!$E$7:$E$66,'Vols additionnels'!$C$7:$C$66,$E10479,'Vols additionnels'!$D$7:$D$66,$F10479,'Vols additionnels'!$B$7:$B$66,$D10479)</f>
        <v>0</v>
      </c>
      <c r="H10479" s="135" t="n">
        <f aca="false">$G10479*'Analyse capacite'!$F$8</f>
        <v>0</v>
      </c>
      <c r="I10479" s="135" t="n">
        <f aca="false">$G10479*'Analyse capacite'!$C$8</f>
        <v>0</v>
      </c>
      <c r="J10479" s="135" t="n">
        <f aca="false">$G10479*'Analyse capacite'!$D$8</f>
        <v>0</v>
      </c>
      <c r="K10479" s="135" t="n">
        <f aca="false">$G10479*'Analyse capacite'!$E$8</f>
        <v>0</v>
      </c>
    </row>
    <row r="10480" customFormat="false" ht="15" hidden="false" customHeight="false" outlineLevel="0" collapsed="false">
      <c r="B10480" s="130" t="n">
        <v>2028</v>
      </c>
      <c r="C10480" s="131" t="s">
        <v>255</v>
      </c>
      <c r="D10480" s="132" t="n">
        <v>46768</v>
      </c>
      <c r="E10480" s="131" t="s">
        <v>62</v>
      </c>
      <c r="F10480" s="133" t="s">
        <v>24</v>
      </c>
      <c r="G10480" s="134" t="n">
        <f aca="false">LEN('Saisie programme'!$J$399)+SUMIFS('Vols additionnels'!$E$7:$E$66,'Vols additionnels'!$C$7:$C$66,$E10480,'Vols additionnels'!$D$7:$D$66,$F10480,'Vols additionnels'!$B$7:$B$66,$D10480)</f>
        <v>1</v>
      </c>
      <c r="H10480" s="135" t="n">
        <f aca="false">$G10480*'Analyse capacite'!$F$9</f>
        <v>174</v>
      </c>
      <c r="I10480" s="135" t="n">
        <f aca="false">$G10480*'Analyse capacite'!$C$9</f>
        <v>0</v>
      </c>
      <c r="J10480" s="135" t="n">
        <f aca="false">$G10480*'Analyse capacite'!$D$9</f>
        <v>12</v>
      </c>
      <c r="K10480" s="135" t="n">
        <f aca="false">$G10480*'Analyse capacite'!$E$9</f>
        <v>162</v>
      </c>
    </row>
    <row r="10481" customFormat="false" ht="15" hidden="false" customHeight="false" outlineLevel="0" collapsed="false">
      <c r="B10481" s="130" t="n">
        <v>2028</v>
      </c>
      <c r="C10481" s="131" t="s">
        <v>255</v>
      </c>
      <c r="D10481" s="132" t="n">
        <v>46769</v>
      </c>
      <c r="E10481" s="131" t="s">
        <v>12</v>
      </c>
      <c r="F10481" s="133" t="s">
        <v>11</v>
      </c>
      <c r="G10481" s="134" t="n">
        <f aca="false">LEN('Saisie programme'!$D$364)+SUMIFS('Vols additionnels'!$E$7:$E$66,'Vols additionnels'!$C$7:$C$66,$E10481,'Vols additionnels'!$D$7:$D$66,$F10481,'Vols additionnels'!$B$7:$B$66,$D10481)</f>
        <v>1</v>
      </c>
      <c r="H10481" s="135" t="n">
        <f aca="false">$G10481*'Analyse capacite'!$F$7</f>
        <v>438</v>
      </c>
      <c r="I10481" s="135" t="n">
        <f aca="false">$G10481*'Analyse capacite'!$C$7</f>
        <v>14</v>
      </c>
      <c r="J10481" s="135" t="n">
        <f aca="false">$G10481*'Analyse capacite'!$D$7</f>
        <v>40</v>
      </c>
      <c r="K10481" s="135" t="n">
        <f aca="false">$G10481*'Analyse capacite'!$E$7</f>
        <v>384</v>
      </c>
    </row>
    <row r="10482" customFormat="false" ht="15" hidden="false" customHeight="false" outlineLevel="0" collapsed="false">
      <c r="B10482" s="130" t="n">
        <v>2028</v>
      </c>
      <c r="C10482" s="131" t="s">
        <v>255</v>
      </c>
      <c r="D10482" s="132" t="n">
        <v>46769</v>
      </c>
      <c r="E10482" s="131" t="s">
        <v>12</v>
      </c>
      <c r="F10482" s="133" t="s">
        <v>19</v>
      </c>
      <c r="G10482" s="134" t="n">
        <f aca="false">LEN('Saisie programme'!$D$365)+SUMIFS('Vols additionnels'!$E$7:$E$66,'Vols additionnels'!$C$7:$C$66,$E10482,'Vols additionnels'!$D$7:$D$66,$F10482,'Vols additionnels'!$B$7:$B$66,$D10482)</f>
        <v>1</v>
      </c>
      <c r="H10482" s="135" t="n">
        <f aca="false">$G10482*'Analyse capacite'!$F$8</f>
        <v>262</v>
      </c>
      <c r="I10482" s="135" t="n">
        <f aca="false">$G10482*'Analyse capacite'!$C$8</f>
        <v>18</v>
      </c>
      <c r="J10482" s="135" t="n">
        <f aca="false">$G10482*'Analyse capacite'!$D$8</f>
        <v>0</v>
      </c>
      <c r="K10482" s="135" t="n">
        <f aca="false">$G10482*'Analyse capacite'!$E$8</f>
        <v>244</v>
      </c>
    </row>
    <row r="10483" customFormat="false" ht="15" hidden="false" customHeight="false" outlineLevel="0" collapsed="false">
      <c r="B10483" s="130" t="n">
        <v>2028</v>
      </c>
      <c r="C10483" s="131" t="s">
        <v>255</v>
      </c>
      <c r="D10483" s="132" t="n">
        <v>46769</v>
      </c>
      <c r="E10483" s="131" t="s">
        <v>12</v>
      </c>
      <c r="F10483" s="133" t="s">
        <v>24</v>
      </c>
      <c r="G10483" s="134" t="n">
        <f aca="false">LEN('Saisie programme'!$D$366)+SUMIFS('Vols additionnels'!$E$7:$E$66,'Vols additionnels'!$C$7:$C$66,$E10483,'Vols additionnels'!$D$7:$D$66,$F10483,'Vols additionnels'!$B$7:$B$66,$D10483)</f>
        <v>2</v>
      </c>
      <c r="H10483" s="135" t="n">
        <f aca="false">$G10483*'Analyse capacite'!$F$9</f>
        <v>348</v>
      </c>
      <c r="I10483" s="135" t="n">
        <f aca="false">$G10483*'Analyse capacite'!$C$9</f>
        <v>0</v>
      </c>
      <c r="J10483" s="135" t="n">
        <f aca="false">$G10483*'Analyse capacite'!$D$9</f>
        <v>24</v>
      </c>
      <c r="K10483" s="135" t="n">
        <f aca="false">$G10483*'Analyse capacite'!$E$9</f>
        <v>324</v>
      </c>
    </row>
    <row r="10484" customFormat="false" ht="15" hidden="false" customHeight="false" outlineLevel="0" collapsed="false">
      <c r="B10484" s="130" t="n">
        <v>2028</v>
      </c>
      <c r="C10484" s="131" t="s">
        <v>255</v>
      </c>
      <c r="D10484" s="132" t="n">
        <v>46769</v>
      </c>
      <c r="E10484" s="131" t="s">
        <v>20</v>
      </c>
      <c r="F10484" s="133" t="s">
        <v>11</v>
      </c>
      <c r="G10484" s="134" t="n">
        <f aca="false">LEN('Saisie programme'!$D$367)+SUMIFS('Vols additionnels'!$E$7:$E$66,'Vols additionnels'!$C$7:$C$66,$E10484,'Vols additionnels'!$D$7:$D$66,$F10484,'Vols additionnels'!$B$7:$B$66,$D10484)</f>
        <v>0</v>
      </c>
      <c r="H10484" s="135" t="n">
        <f aca="false">$G10484*'Analyse capacite'!$F$7</f>
        <v>0</v>
      </c>
      <c r="I10484" s="135" t="n">
        <f aca="false">$G10484*'Analyse capacite'!$C$7</f>
        <v>0</v>
      </c>
      <c r="J10484" s="135" t="n">
        <f aca="false">$G10484*'Analyse capacite'!$D$7</f>
        <v>0</v>
      </c>
      <c r="K10484" s="135" t="n">
        <f aca="false">$G10484*'Analyse capacite'!$E$7</f>
        <v>0</v>
      </c>
    </row>
    <row r="10485" customFormat="false" ht="15" hidden="false" customHeight="false" outlineLevel="0" collapsed="false">
      <c r="B10485" s="130" t="n">
        <v>2028</v>
      </c>
      <c r="C10485" s="131" t="s">
        <v>255</v>
      </c>
      <c r="D10485" s="132" t="n">
        <v>46769</v>
      </c>
      <c r="E10485" s="131" t="s">
        <v>20</v>
      </c>
      <c r="F10485" s="133" t="s">
        <v>19</v>
      </c>
      <c r="G10485" s="134" t="n">
        <f aca="false">LEN('Saisie programme'!$D$368)+SUMIFS('Vols additionnels'!$E$7:$E$66,'Vols additionnels'!$C$7:$C$66,$E10485,'Vols additionnels'!$D$7:$D$66,$F10485,'Vols additionnels'!$B$7:$B$66,$D10485)</f>
        <v>0</v>
      </c>
      <c r="H10485" s="135" t="n">
        <f aca="false">$G10485*'Analyse capacite'!$F$8</f>
        <v>0</v>
      </c>
      <c r="I10485" s="135" t="n">
        <f aca="false">$G10485*'Analyse capacite'!$C$8</f>
        <v>0</v>
      </c>
      <c r="J10485" s="135" t="n">
        <f aca="false">$G10485*'Analyse capacite'!$D$8</f>
        <v>0</v>
      </c>
      <c r="K10485" s="135" t="n">
        <f aca="false">$G10485*'Analyse capacite'!$E$8</f>
        <v>0</v>
      </c>
    </row>
    <row r="10486" customFormat="false" ht="15" hidden="false" customHeight="false" outlineLevel="0" collapsed="false">
      <c r="B10486" s="130" t="n">
        <v>2028</v>
      </c>
      <c r="C10486" s="131" t="s">
        <v>255</v>
      </c>
      <c r="D10486" s="132" t="n">
        <v>46769</v>
      </c>
      <c r="E10486" s="131" t="s">
        <v>20</v>
      </c>
      <c r="F10486" s="133" t="s">
        <v>24</v>
      </c>
      <c r="G10486" s="134" t="n">
        <f aca="false">LEN('Saisie programme'!$D$369)+SUMIFS('Vols additionnels'!$E$7:$E$66,'Vols additionnels'!$C$7:$C$66,$E10486,'Vols additionnels'!$D$7:$D$66,$F10486,'Vols additionnels'!$B$7:$B$66,$D10486)</f>
        <v>0</v>
      </c>
      <c r="H10486" s="135" t="n">
        <f aca="false">$G10486*'Analyse capacite'!$F$9</f>
        <v>0</v>
      </c>
      <c r="I10486" s="135" t="n">
        <f aca="false">$G10486*'Analyse capacite'!$C$9</f>
        <v>0</v>
      </c>
      <c r="J10486" s="135" t="n">
        <f aca="false">$G10486*'Analyse capacite'!$D$9</f>
        <v>0</v>
      </c>
      <c r="K10486" s="135" t="n">
        <f aca="false">$G10486*'Analyse capacite'!$E$9</f>
        <v>0</v>
      </c>
    </row>
    <row r="10487" customFormat="false" ht="15" hidden="false" customHeight="false" outlineLevel="0" collapsed="false">
      <c r="B10487" s="130" t="n">
        <v>2028</v>
      </c>
      <c r="C10487" s="131" t="s">
        <v>255</v>
      </c>
      <c r="D10487" s="132" t="n">
        <v>46769</v>
      </c>
      <c r="E10487" s="131" t="s">
        <v>25</v>
      </c>
      <c r="F10487" s="133" t="s">
        <v>11</v>
      </c>
      <c r="G10487" s="134" t="n">
        <f aca="false">LEN('Saisie programme'!$D$370)+SUMIFS('Vols additionnels'!$E$7:$E$66,'Vols additionnels'!$C$7:$C$66,$E10487,'Vols additionnels'!$D$7:$D$66,$F10487,'Vols additionnels'!$B$7:$B$66,$D10487)</f>
        <v>0</v>
      </c>
      <c r="H10487" s="135" t="n">
        <f aca="false">$G10487*'Analyse capacite'!$F$7</f>
        <v>0</v>
      </c>
      <c r="I10487" s="135" t="n">
        <f aca="false">$G10487*'Analyse capacite'!$C$7</f>
        <v>0</v>
      </c>
      <c r="J10487" s="135" t="n">
        <f aca="false">$G10487*'Analyse capacite'!$D$7</f>
        <v>0</v>
      </c>
      <c r="K10487" s="135" t="n">
        <f aca="false">$G10487*'Analyse capacite'!$E$7</f>
        <v>0</v>
      </c>
    </row>
    <row r="10488" customFormat="false" ht="15" hidden="false" customHeight="false" outlineLevel="0" collapsed="false">
      <c r="B10488" s="130" t="n">
        <v>2028</v>
      </c>
      <c r="C10488" s="131" t="s">
        <v>255</v>
      </c>
      <c r="D10488" s="132" t="n">
        <v>46769</v>
      </c>
      <c r="E10488" s="131" t="s">
        <v>25</v>
      </c>
      <c r="F10488" s="133" t="s">
        <v>19</v>
      </c>
      <c r="G10488" s="134" t="n">
        <f aca="false">LEN('Saisie programme'!$D$371)+SUMIFS('Vols additionnels'!$E$7:$E$66,'Vols additionnels'!$C$7:$C$66,$E10488,'Vols additionnels'!$D$7:$D$66,$F10488,'Vols additionnels'!$B$7:$B$66,$D10488)</f>
        <v>0</v>
      </c>
      <c r="H10488" s="135" t="n">
        <f aca="false">$G10488*'Analyse capacite'!$F$8</f>
        <v>0</v>
      </c>
      <c r="I10488" s="135" t="n">
        <f aca="false">$G10488*'Analyse capacite'!$C$8</f>
        <v>0</v>
      </c>
      <c r="J10488" s="135" t="n">
        <f aca="false">$G10488*'Analyse capacite'!$D$8</f>
        <v>0</v>
      </c>
      <c r="K10488" s="135" t="n">
        <f aca="false">$G10488*'Analyse capacite'!$E$8</f>
        <v>0</v>
      </c>
    </row>
    <row r="10489" customFormat="false" ht="15" hidden="false" customHeight="false" outlineLevel="0" collapsed="false">
      <c r="B10489" s="130" t="n">
        <v>2028</v>
      </c>
      <c r="C10489" s="131" t="s">
        <v>255</v>
      </c>
      <c r="D10489" s="132" t="n">
        <v>46769</v>
      </c>
      <c r="E10489" s="131" t="s">
        <v>25</v>
      </c>
      <c r="F10489" s="133" t="s">
        <v>24</v>
      </c>
      <c r="G10489" s="134" t="n">
        <f aca="false">LEN('Saisie programme'!$D$372)+SUMIFS('Vols additionnels'!$E$7:$E$66,'Vols additionnels'!$C$7:$C$66,$E10489,'Vols additionnels'!$D$7:$D$66,$F10489,'Vols additionnels'!$B$7:$B$66,$D10489)</f>
        <v>0</v>
      </c>
      <c r="H10489" s="135" t="n">
        <f aca="false">$G10489*'Analyse capacite'!$F$9</f>
        <v>0</v>
      </c>
      <c r="I10489" s="135" t="n">
        <f aca="false">$G10489*'Analyse capacite'!$C$9</f>
        <v>0</v>
      </c>
      <c r="J10489" s="135" t="n">
        <f aca="false">$G10489*'Analyse capacite'!$D$9</f>
        <v>0</v>
      </c>
      <c r="K10489" s="135" t="n">
        <f aca="false">$G10489*'Analyse capacite'!$E$9</f>
        <v>0</v>
      </c>
    </row>
    <row r="10490" customFormat="false" ht="15" hidden="false" customHeight="false" outlineLevel="0" collapsed="false">
      <c r="B10490" s="130" t="n">
        <v>2028</v>
      </c>
      <c r="C10490" s="131" t="s">
        <v>255</v>
      </c>
      <c r="D10490" s="132" t="n">
        <v>46769</v>
      </c>
      <c r="E10490" s="131" t="s">
        <v>36</v>
      </c>
      <c r="F10490" s="133" t="s">
        <v>11</v>
      </c>
      <c r="G10490" s="134" t="n">
        <f aca="false">LEN('Saisie programme'!$D$373)+SUMIFS('Vols additionnels'!$E$7:$E$66,'Vols additionnels'!$C$7:$C$66,$E10490,'Vols additionnels'!$D$7:$D$66,$F10490,'Vols additionnels'!$B$7:$B$66,$D10490)</f>
        <v>0</v>
      </c>
      <c r="H10490" s="135" t="n">
        <f aca="false">$G10490*'Analyse capacite'!$F$7</f>
        <v>0</v>
      </c>
      <c r="I10490" s="135" t="n">
        <f aca="false">$G10490*'Analyse capacite'!$C$7</f>
        <v>0</v>
      </c>
      <c r="J10490" s="135" t="n">
        <f aca="false">$G10490*'Analyse capacite'!$D$7</f>
        <v>0</v>
      </c>
      <c r="K10490" s="135" t="n">
        <f aca="false">$G10490*'Analyse capacite'!$E$7</f>
        <v>0</v>
      </c>
    </row>
    <row r="10491" customFormat="false" ht="15" hidden="false" customHeight="false" outlineLevel="0" collapsed="false">
      <c r="B10491" s="130" t="n">
        <v>2028</v>
      </c>
      <c r="C10491" s="131" t="s">
        <v>255</v>
      </c>
      <c r="D10491" s="132" t="n">
        <v>46769</v>
      </c>
      <c r="E10491" s="131" t="s">
        <v>36</v>
      </c>
      <c r="F10491" s="133" t="s">
        <v>19</v>
      </c>
      <c r="G10491" s="134" t="n">
        <f aca="false">LEN('Saisie programme'!$D$374)+SUMIFS('Vols additionnels'!$E$7:$E$66,'Vols additionnels'!$C$7:$C$66,$E10491,'Vols additionnels'!$D$7:$D$66,$F10491,'Vols additionnels'!$B$7:$B$66,$D10491)</f>
        <v>0</v>
      </c>
      <c r="H10491" s="135" t="n">
        <f aca="false">$G10491*'Analyse capacite'!$F$8</f>
        <v>0</v>
      </c>
      <c r="I10491" s="135" t="n">
        <f aca="false">$G10491*'Analyse capacite'!$C$8</f>
        <v>0</v>
      </c>
      <c r="J10491" s="135" t="n">
        <f aca="false">$G10491*'Analyse capacite'!$D$8</f>
        <v>0</v>
      </c>
      <c r="K10491" s="135" t="n">
        <f aca="false">$G10491*'Analyse capacite'!$E$8</f>
        <v>0</v>
      </c>
    </row>
    <row r="10492" customFormat="false" ht="15" hidden="false" customHeight="false" outlineLevel="0" collapsed="false">
      <c r="B10492" s="130" t="n">
        <v>2028</v>
      </c>
      <c r="C10492" s="131" t="s">
        <v>255</v>
      </c>
      <c r="D10492" s="132" t="n">
        <v>46769</v>
      </c>
      <c r="E10492" s="131" t="s">
        <v>36</v>
      </c>
      <c r="F10492" s="133" t="s">
        <v>24</v>
      </c>
      <c r="G10492" s="134" t="n">
        <f aca="false">LEN('Saisie programme'!$D$375)+SUMIFS('Vols additionnels'!$E$7:$E$66,'Vols additionnels'!$C$7:$C$66,$E10492,'Vols additionnels'!$D$7:$D$66,$F10492,'Vols additionnels'!$B$7:$B$66,$D10492)</f>
        <v>1</v>
      </c>
      <c r="H10492" s="135" t="n">
        <f aca="false">$G10492*'Analyse capacite'!$F$9</f>
        <v>174</v>
      </c>
      <c r="I10492" s="135" t="n">
        <f aca="false">$G10492*'Analyse capacite'!$C$9</f>
        <v>0</v>
      </c>
      <c r="J10492" s="135" t="n">
        <f aca="false">$G10492*'Analyse capacite'!$D$9</f>
        <v>12</v>
      </c>
      <c r="K10492" s="135" t="n">
        <f aca="false">$G10492*'Analyse capacite'!$E$9</f>
        <v>162</v>
      </c>
    </row>
    <row r="10493" customFormat="false" ht="15" hidden="false" customHeight="false" outlineLevel="0" collapsed="false">
      <c r="B10493" s="130" t="n">
        <v>2028</v>
      </c>
      <c r="C10493" s="131" t="s">
        <v>255</v>
      </c>
      <c r="D10493" s="132" t="n">
        <v>46769</v>
      </c>
      <c r="E10493" s="131" t="s">
        <v>40</v>
      </c>
      <c r="F10493" s="133" t="s">
        <v>11</v>
      </c>
      <c r="G10493" s="134" t="n">
        <f aca="false">LEN('Saisie programme'!$D$376)+SUMIFS('Vols additionnels'!$E$7:$E$66,'Vols additionnels'!$C$7:$C$66,$E10493,'Vols additionnels'!$D$7:$D$66,$F10493,'Vols additionnels'!$B$7:$B$66,$D10493)</f>
        <v>0</v>
      </c>
      <c r="H10493" s="135" t="n">
        <f aca="false">$G10493*'Analyse capacite'!$F$7</f>
        <v>0</v>
      </c>
      <c r="I10493" s="135" t="n">
        <f aca="false">$G10493*'Analyse capacite'!$C$7</f>
        <v>0</v>
      </c>
      <c r="J10493" s="135" t="n">
        <f aca="false">$G10493*'Analyse capacite'!$D$7</f>
        <v>0</v>
      </c>
      <c r="K10493" s="135" t="n">
        <f aca="false">$G10493*'Analyse capacite'!$E$7</f>
        <v>0</v>
      </c>
    </row>
    <row r="10494" customFormat="false" ht="15" hidden="false" customHeight="false" outlineLevel="0" collapsed="false">
      <c r="B10494" s="130" t="n">
        <v>2028</v>
      </c>
      <c r="C10494" s="131" t="s">
        <v>255</v>
      </c>
      <c r="D10494" s="132" t="n">
        <v>46769</v>
      </c>
      <c r="E10494" s="131" t="s">
        <v>40</v>
      </c>
      <c r="F10494" s="133" t="s">
        <v>19</v>
      </c>
      <c r="G10494" s="134" t="n">
        <f aca="false">LEN('Saisie programme'!$D$377)+SUMIFS('Vols additionnels'!$E$7:$E$66,'Vols additionnels'!$C$7:$C$66,$E10494,'Vols additionnels'!$D$7:$D$66,$F10494,'Vols additionnels'!$B$7:$B$66,$D10494)</f>
        <v>0</v>
      </c>
      <c r="H10494" s="135" t="n">
        <f aca="false">$G10494*'Analyse capacite'!$F$8</f>
        <v>0</v>
      </c>
      <c r="I10494" s="135" t="n">
        <f aca="false">$G10494*'Analyse capacite'!$C$8</f>
        <v>0</v>
      </c>
      <c r="J10494" s="135" t="n">
        <f aca="false">$G10494*'Analyse capacite'!$D$8</f>
        <v>0</v>
      </c>
      <c r="K10494" s="135" t="n">
        <f aca="false">$G10494*'Analyse capacite'!$E$8</f>
        <v>0</v>
      </c>
    </row>
    <row r="10495" customFormat="false" ht="15" hidden="false" customHeight="false" outlineLevel="0" collapsed="false">
      <c r="B10495" s="130" t="n">
        <v>2028</v>
      </c>
      <c r="C10495" s="131" t="s">
        <v>255</v>
      </c>
      <c r="D10495" s="132" t="n">
        <v>46769</v>
      </c>
      <c r="E10495" s="131" t="s">
        <v>40</v>
      </c>
      <c r="F10495" s="133" t="s">
        <v>24</v>
      </c>
      <c r="G10495" s="134" t="n">
        <f aca="false">LEN('Saisie programme'!$D$378)+SUMIFS('Vols additionnels'!$E$7:$E$66,'Vols additionnels'!$C$7:$C$66,$E10495,'Vols additionnels'!$D$7:$D$66,$F10495,'Vols additionnels'!$B$7:$B$66,$D10495)</f>
        <v>1</v>
      </c>
      <c r="H10495" s="135" t="n">
        <f aca="false">$G10495*'Analyse capacite'!$F$9</f>
        <v>174</v>
      </c>
      <c r="I10495" s="135" t="n">
        <f aca="false">$G10495*'Analyse capacite'!$C$9</f>
        <v>0</v>
      </c>
      <c r="J10495" s="135" t="n">
        <f aca="false">$G10495*'Analyse capacite'!$D$9</f>
        <v>12</v>
      </c>
      <c r="K10495" s="135" t="n">
        <f aca="false">$G10495*'Analyse capacite'!$E$9</f>
        <v>162</v>
      </c>
    </row>
    <row r="10496" customFormat="false" ht="15" hidden="false" customHeight="false" outlineLevel="0" collapsed="false">
      <c r="B10496" s="130" t="n">
        <v>2028</v>
      </c>
      <c r="C10496" s="131" t="s">
        <v>255</v>
      </c>
      <c r="D10496" s="132" t="n">
        <v>46769</v>
      </c>
      <c r="E10496" s="131" t="s">
        <v>14</v>
      </c>
      <c r="F10496" s="133" t="s">
        <v>11</v>
      </c>
      <c r="G10496" s="134" t="n">
        <f aca="false">LEN('Saisie programme'!$D$379)+SUMIFS('Vols additionnels'!$E$7:$E$66,'Vols additionnels'!$C$7:$C$66,$E10496,'Vols additionnels'!$D$7:$D$66,$F10496,'Vols additionnels'!$B$7:$B$66,$D10496)</f>
        <v>0</v>
      </c>
      <c r="H10496" s="135" t="n">
        <f aca="false">$G10496*'Analyse capacite'!$F$7</f>
        <v>0</v>
      </c>
      <c r="I10496" s="135" t="n">
        <f aca="false">$G10496*'Analyse capacite'!$C$7</f>
        <v>0</v>
      </c>
      <c r="J10496" s="135" t="n">
        <f aca="false">$G10496*'Analyse capacite'!$D$7</f>
        <v>0</v>
      </c>
      <c r="K10496" s="135" t="n">
        <f aca="false">$G10496*'Analyse capacite'!$E$7</f>
        <v>0</v>
      </c>
    </row>
    <row r="10497" customFormat="false" ht="15" hidden="false" customHeight="false" outlineLevel="0" collapsed="false">
      <c r="B10497" s="130" t="n">
        <v>2028</v>
      </c>
      <c r="C10497" s="131" t="s">
        <v>255</v>
      </c>
      <c r="D10497" s="132" t="n">
        <v>46769</v>
      </c>
      <c r="E10497" s="131" t="s">
        <v>14</v>
      </c>
      <c r="F10497" s="133" t="s">
        <v>19</v>
      </c>
      <c r="G10497" s="134" t="n">
        <f aca="false">LEN('Saisie programme'!$D$380)+SUMIFS('Vols additionnels'!$E$7:$E$66,'Vols additionnels'!$C$7:$C$66,$E10497,'Vols additionnels'!$D$7:$D$66,$F10497,'Vols additionnels'!$B$7:$B$66,$D10497)</f>
        <v>0</v>
      </c>
      <c r="H10497" s="135" t="n">
        <f aca="false">$G10497*'Analyse capacite'!$F$8</f>
        <v>0</v>
      </c>
      <c r="I10497" s="135" t="n">
        <f aca="false">$G10497*'Analyse capacite'!$C$8</f>
        <v>0</v>
      </c>
      <c r="J10497" s="135" t="n">
        <f aca="false">$G10497*'Analyse capacite'!$D$8</f>
        <v>0</v>
      </c>
      <c r="K10497" s="135" t="n">
        <f aca="false">$G10497*'Analyse capacite'!$E$8</f>
        <v>0</v>
      </c>
    </row>
    <row r="10498" customFormat="false" ht="15" hidden="false" customHeight="false" outlineLevel="0" collapsed="false">
      <c r="B10498" s="130" t="n">
        <v>2028</v>
      </c>
      <c r="C10498" s="131" t="s">
        <v>255</v>
      </c>
      <c r="D10498" s="132" t="n">
        <v>46769</v>
      </c>
      <c r="E10498" s="131" t="s">
        <v>14</v>
      </c>
      <c r="F10498" s="133" t="s">
        <v>24</v>
      </c>
      <c r="G10498" s="134" t="n">
        <f aca="false">LEN('Saisie programme'!$D$381)+SUMIFS('Vols additionnels'!$E$7:$E$66,'Vols additionnels'!$C$7:$C$66,$E10498,'Vols additionnels'!$D$7:$D$66,$F10498,'Vols additionnels'!$B$7:$B$66,$D10498)</f>
        <v>1</v>
      </c>
      <c r="H10498" s="135" t="n">
        <f aca="false">$G10498*'Analyse capacite'!$F$9</f>
        <v>174</v>
      </c>
      <c r="I10498" s="135" t="n">
        <f aca="false">$G10498*'Analyse capacite'!$C$9</f>
        <v>0</v>
      </c>
      <c r="J10498" s="135" t="n">
        <f aca="false">$G10498*'Analyse capacite'!$D$9</f>
        <v>12</v>
      </c>
      <c r="K10498" s="135" t="n">
        <f aca="false">$G10498*'Analyse capacite'!$E$9</f>
        <v>162</v>
      </c>
    </row>
    <row r="10499" customFormat="false" ht="15" hidden="false" customHeight="false" outlineLevel="0" collapsed="false">
      <c r="B10499" s="130" t="n">
        <v>2028</v>
      </c>
      <c r="C10499" s="131" t="s">
        <v>255</v>
      </c>
      <c r="D10499" s="132" t="n">
        <v>46769</v>
      </c>
      <c r="E10499" s="131" t="s">
        <v>46</v>
      </c>
      <c r="F10499" s="133" t="s">
        <v>11</v>
      </c>
      <c r="G10499" s="134" t="n">
        <f aca="false">LEN('Saisie programme'!$D$382)+SUMIFS('Vols additionnels'!$E$7:$E$66,'Vols additionnels'!$C$7:$C$66,$E10499,'Vols additionnels'!$D$7:$D$66,$F10499,'Vols additionnels'!$B$7:$B$66,$D10499)</f>
        <v>0</v>
      </c>
      <c r="H10499" s="135" t="n">
        <f aca="false">$G10499*'Analyse capacite'!$F$7</f>
        <v>0</v>
      </c>
      <c r="I10499" s="135" t="n">
        <f aca="false">$G10499*'Analyse capacite'!$C$7</f>
        <v>0</v>
      </c>
      <c r="J10499" s="135" t="n">
        <f aca="false">$G10499*'Analyse capacite'!$D$7</f>
        <v>0</v>
      </c>
      <c r="K10499" s="135" t="n">
        <f aca="false">$G10499*'Analyse capacite'!$E$7</f>
        <v>0</v>
      </c>
    </row>
    <row r="10500" customFormat="false" ht="15" hidden="false" customHeight="false" outlineLevel="0" collapsed="false">
      <c r="B10500" s="130" t="n">
        <v>2028</v>
      </c>
      <c r="C10500" s="131" t="s">
        <v>255</v>
      </c>
      <c r="D10500" s="132" t="n">
        <v>46769</v>
      </c>
      <c r="E10500" s="131" t="s">
        <v>46</v>
      </c>
      <c r="F10500" s="133" t="s">
        <v>19</v>
      </c>
      <c r="G10500" s="134" t="n">
        <f aca="false">LEN('Saisie programme'!$D$383)+SUMIFS('Vols additionnels'!$E$7:$E$66,'Vols additionnels'!$C$7:$C$66,$E10500,'Vols additionnels'!$D$7:$D$66,$F10500,'Vols additionnels'!$B$7:$B$66,$D10500)</f>
        <v>0</v>
      </c>
      <c r="H10500" s="135" t="n">
        <f aca="false">$G10500*'Analyse capacite'!$F$8</f>
        <v>0</v>
      </c>
      <c r="I10500" s="135" t="n">
        <f aca="false">$G10500*'Analyse capacite'!$C$8</f>
        <v>0</v>
      </c>
      <c r="J10500" s="135" t="n">
        <f aca="false">$G10500*'Analyse capacite'!$D$8</f>
        <v>0</v>
      </c>
      <c r="K10500" s="135" t="n">
        <f aca="false">$G10500*'Analyse capacite'!$E$8</f>
        <v>0</v>
      </c>
    </row>
    <row r="10501" customFormat="false" ht="15" hidden="false" customHeight="false" outlineLevel="0" collapsed="false">
      <c r="B10501" s="130" t="n">
        <v>2028</v>
      </c>
      <c r="C10501" s="131" t="s">
        <v>255</v>
      </c>
      <c r="D10501" s="132" t="n">
        <v>46769</v>
      </c>
      <c r="E10501" s="131" t="s">
        <v>46</v>
      </c>
      <c r="F10501" s="133" t="s">
        <v>24</v>
      </c>
      <c r="G10501" s="134" t="n">
        <f aca="false">LEN('Saisie programme'!$D$384)+SUMIFS('Vols additionnels'!$E$7:$E$66,'Vols additionnels'!$C$7:$C$66,$E10501,'Vols additionnels'!$D$7:$D$66,$F10501,'Vols additionnels'!$B$7:$B$66,$D10501)</f>
        <v>0</v>
      </c>
      <c r="H10501" s="135" t="n">
        <f aca="false">$G10501*'Analyse capacite'!$F$9</f>
        <v>0</v>
      </c>
      <c r="I10501" s="135" t="n">
        <f aca="false">$G10501*'Analyse capacite'!$C$9</f>
        <v>0</v>
      </c>
      <c r="J10501" s="135" t="n">
        <f aca="false">$G10501*'Analyse capacite'!$D$9</f>
        <v>0</v>
      </c>
      <c r="K10501" s="135" t="n">
        <f aca="false">$G10501*'Analyse capacite'!$E$9</f>
        <v>0</v>
      </c>
    </row>
    <row r="10502" customFormat="false" ht="15" hidden="false" customHeight="false" outlineLevel="0" collapsed="false">
      <c r="B10502" s="130" t="n">
        <v>2028</v>
      </c>
      <c r="C10502" s="131" t="s">
        <v>255</v>
      </c>
      <c r="D10502" s="132" t="n">
        <v>46769</v>
      </c>
      <c r="E10502" s="131" t="s">
        <v>49</v>
      </c>
      <c r="F10502" s="133" t="s">
        <v>11</v>
      </c>
      <c r="G10502" s="134" t="n">
        <f aca="false">LEN('Saisie programme'!$D$385)+SUMIFS('Vols additionnels'!$E$7:$E$66,'Vols additionnels'!$C$7:$C$66,$E10502,'Vols additionnels'!$D$7:$D$66,$F10502,'Vols additionnels'!$B$7:$B$66,$D10502)</f>
        <v>0</v>
      </c>
      <c r="H10502" s="135" t="n">
        <f aca="false">$G10502*'Analyse capacite'!$F$7</f>
        <v>0</v>
      </c>
      <c r="I10502" s="135" t="n">
        <f aca="false">$G10502*'Analyse capacite'!$C$7</f>
        <v>0</v>
      </c>
      <c r="J10502" s="135" t="n">
        <f aca="false">$G10502*'Analyse capacite'!$D$7</f>
        <v>0</v>
      </c>
      <c r="K10502" s="135" t="n">
        <f aca="false">$G10502*'Analyse capacite'!$E$7</f>
        <v>0</v>
      </c>
    </row>
    <row r="10503" customFormat="false" ht="15" hidden="false" customHeight="false" outlineLevel="0" collapsed="false">
      <c r="B10503" s="130" t="n">
        <v>2028</v>
      </c>
      <c r="C10503" s="131" t="s">
        <v>255</v>
      </c>
      <c r="D10503" s="132" t="n">
        <v>46769</v>
      </c>
      <c r="E10503" s="131" t="s">
        <v>49</v>
      </c>
      <c r="F10503" s="133" t="s">
        <v>19</v>
      </c>
      <c r="G10503" s="134" t="n">
        <f aca="false">LEN('Saisie programme'!$D$386)+SUMIFS('Vols additionnels'!$E$7:$E$66,'Vols additionnels'!$C$7:$C$66,$E10503,'Vols additionnels'!$D$7:$D$66,$F10503,'Vols additionnels'!$B$7:$B$66,$D10503)</f>
        <v>1</v>
      </c>
      <c r="H10503" s="135" t="n">
        <f aca="false">$G10503*'Analyse capacite'!$F$8</f>
        <v>262</v>
      </c>
      <c r="I10503" s="135" t="n">
        <f aca="false">$G10503*'Analyse capacite'!$C$8</f>
        <v>18</v>
      </c>
      <c r="J10503" s="135" t="n">
        <f aca="false">$G10503*'Analyse capacite'!$D$8</f>
        <v>0</v>
      </c>
      <c r="K10503" s="135" t="n">
        <f aca="false">$G10503*'Analyse capacite'!$E$8</f>
        <v>244</v>
      </c>
    </row>
    <row r="10504" customFormat="false" ht="15" hidden="false" customHeight="false" outlineLevel="0" collapsed="false">
      <c r="B10504" s="130" t="n">
        <v>2028</v>
      </c>
      <c r="C10504" s="131" t="s">
        <v>255</v>
      </c>
      <c r="D10504" s="132" t="n">
        <v>46769</v>
      </c>
      <c r="E10504" s="131" t="s">
        <v>49</v>
      </c>
      <c r="F10504" s="133" t="s">
        <v>24</v>
      </c>
      <c r="G10504" s="134" t="n">
        <f aca="false">LEN('Saisie programme'!$D$387)+SUMIFS('Vols additionnels'!$E$7:$E$66,'Vols additionnels'!$C$7:$C$66,$E10504,'Vols additionnels'!$D$7:$D$66,$F10504,'Vols additionnels'!$B$7:$B$66,$D10504)</f>
        <v>0</v>
      </c>
      <c r="H10504" s="135" t="n">
        <f aca="false">$G10504*'Analyse capacite'!$F$9</f>
        <v>0</v>
      </c>
      <c r="I10504" s="135" t="n">
        <f aca="false">$G10504*'Analyse capacite'!$C$9</f>
        <v>0</v>
      </c>
      <c r="J10504" s="135" t="n">
        <f aca="false">$G10504*'Analyse capacite'!$D$9</f>
        <v>0</v>
      </c>
      <c r="K10504" s="135" t="n">
        <f aca="false">$G10504*'Analyse capacite'!$E$9</f>
        <v>0</v>
      </c>
    </row>
    <row r="10505" customFormat="false" ht="15" hidden="false" customHeight="false" outlineLevel="0" collapsed="false">
      <c r="B10505" s="130" t="n">
        <v>2028</v>
      </c>
      <c r="C10505" s="131" t="s">
        <v>255</v>
      </c>
      <c r="D10505" s="132" t="n">
        <v>46769</v>
      </c>
      <c r="E10505" s="131" t="s">
        <v>53</v>
      </c>
      <c r="F10505" s="133" t="s">
        <v>11</v>
      </c>
      <c r="G10505" s="134" t="n">
        <f aca="false">LEN('Saisie programme'!$D$388)+SUMIFS('Vols additionnels'!$E$7:$E$66,'Vols additionnels'!$C$7:$C$66,$E10505,'Vols additionnels'!$D$7:$D$66,$F10505,'Vols additionnels'!$B$7:$B$66,$D10505)</f>
        <v>0</v>
      </c>
      <c r="H10505" s="135" t="n">
        <f aca="false">$G10505*'Analyse capacite'!$F$7</f>
        <v>0</v>
      </c>
      <c r="I10505" s="135" t="n">
        <f aca="false">$G10505*'Analyse capacite'!$C$7</f>
        <v>0</v>
      </c>
      <c r="J10505" s="135" t="n">
        <f aca="false">$G10505*'Analyse capacite'!$D$7</f>
        <v>0</v>
      </c>
      <c r="K10505" s="135" t="n">
        <f aca="false">$G10505*'Analyse capacite'!$E$7</f>
        <v>0</v>
      </c>
    </row>
    <row r="10506" customFormat="false" ht="15" hidden="false" customHeight="false" outlineLevel="0" collapsed="false">
      <c r="B10506" s="130" t="n">
        <v>2028</v>
      </c>
      <c r="C10506" s="131" t="s">
        <v>255</v>
      </c>
      <c r="D10506" s="132" t="n">
        <v>46769</v>
      </c>
      <c r="E10506" s="131" t="s">
        <v>53</v>
      </c>
      <c r="F10506" s="133" t="s">
        <v>19</v>
      </c>
      <c r="G10506" s="134" t="n">
        <f aca="false">LEN('Saisie programme'!$D$389)+SUMIFS('Vols additionnels'!$E$7:$E$66,'Vols additionnels'!$C$7:$C$66,$E10506,'Vols additionnels'!$D$7:$D$66,$F10506,'Vols additionnels'!$B$7:$B$66,$D10506)</f>
        <v>0</v>
      </c>
      <c r="H10506" s="135" t="n">
        <f aca="false">$G10506*'Analyse capacite'!$F$8</f>
        <v>0</v>
      </c>
      <c r="I10506" s="135" t="n">
        <f aca="false">$G10506*'Analyse capacite'!$C$8</f>
        <v>0</v>
      </c>
      <c r="J10506" s="135" t="n">
        <f aca="false">$G10506*'Analyse capacite'!$D$8</f>
        <v>0</v>
      </c>
      <c r="K10506" s="135" t="n">
        <f aca="false">$G10506*'Analyse capacite'!$E$8</f>
        <v>0</v>
      </c>
    </row>
    <row r="10507" customFormat="false" ht="15" hidden="false" customHeight="false" outlineLevel="0" collapsed="false">
      <c r="B10507" s="130" t="n">
        <v>2028</v>
      </c>
      <c r="C10507" s="131" t="s">
        <v>255</v>
      </c>
      <c r="D10507" s="132" t="n">
        <v>46769</v>
      </c>
      <c r="E10507" s="131" t="s">
        <v>53</v>
      </c>
      <c r="F10507" s="133" t="s">
        <v>24</v>
      </c>
      <c r="G10507" s="134" t="n">
        <f aca="false">LEN('Saisie programme'!$D$390)+SUMIFS('Vols additionnels'!$E$7:$E$66,'Vols additionnels'!$C$7:$C$66,$E10507,'Vols additionnels'!$D$7:$D$66,$F10507,'Vols additionnels'!$B$7:$B$66,$D10507)</f>
        <v>0</v>
      </c>
      <c r="H10507" s="135" t="n">
        <f aca="false">$G10507*'Analyse capacite'!$F$9</f>
        <v>0</v>
      </c>
      <c r="I10507" s="135" t="n">
        <f aca="false">$G10507*'Analyse capacite'!$C$9</f>
        <v>0</v>
      </c>
      <c r="J10507" s="135" t="n">
        <f aca="false">$G10507*'Analyse capacite'!$D$9</f>
        <v>0</v>
      </c>
      <c r="K10507" s="135" t="n">
        <f aca="false">$G10507*'Analyse capacite'!$E$9</f>
        <v>0</v>
      </c>
    </row>
    <row r="10508" customFormat="false" ht="15" hidden="false" customHeight="false" outlineLevel="0" collapsed="false">
      <c r="B10508" s="130" t="n">
        <v>2028</v>
      </c>
      <c r="C10508" s="131" t="s">
        <v>255</v>
      </c>
      <c r="D10508" s="132" t="n">
        <v>46769</v>
      </c>
      <c r="E10508" s="131" t="s">
        <v>56</v>
      </c>
      <c r="F10508" s="133" t="s">
        <v>11</v>
      </c>
      <c r="G10508" s="134" t="n">
        <f aca="false">LEN('Saisie programme'!$D$391)+SUMIFS('Vols additionnels'!$E$7:$E$66,'Vols additionnels'!$C$7:$C$66,$E10508,'Vols additionnels'!$D$7:$D$66,$F10508,'Vols additionnels'!$B$7:$B$66,$D10508)</f>
        <v>0</v>
      </c>
      <c r="H10508" s="135" t="n">
        <f aca="false">$G10508*'Analyse capacite'!$F$7</f>
        <v>0</v>
      </c>
      <c r="I10508" s="135" t="n">
        <f aca="false">$G10508*'Analyse capacite'!$C$7</f>
        <v>0</v>
      </c>
      <c r="J10508" s="135" t="n">
        <f aca="false">$G10508*'Analyse capacite'!$D$7</f>
        <v>0</v>
      </c>
      <c r="K10508" s="135" t="n">
        <f aca="false">$G10508*'Analyse capacite'!$E$7</f>
        <v>0</v>
      </c>
    </row>
    <row r="10509" customFormat="false" ht="15" hidden="false" customHeight="false" outlineLevel="0" collapsed="false">
      <c r="B10509" s="130" t="n">
        <v>2028</v>
      </c>
      <c r="C10509" s="131" t="s">
        <v>255</v>
      </c>
      <c r="D10509" s="132" t="n">
        <v>46769</v>
      </c>
      <c r="E10509" s="131" t="s">
        <v>56</v>
      </c>
      <c r="F10509" s="133" t="s">
        <v>19</v>
      </c>
      <c r="G10509" s="134" t="n">
        <f aca="false">LEN('Saisie programme'!$D$392)+SUMIFS('Vols additionnels'!$E$7:$E$66,'Vols additionnels'!$C$7:$C$66,$E10509,'Vols additionnels'!$D$7:$D$66,$F10509,'Vols additionnels'!$B$7:$B$66,$D10509)</f>
        <v>0</v>
      </c>
      <c r="H10509" s="135" t="n">
        <f aca="false">$G10509*'Analyse capacite'!$F$8</f>
        <v>0</v>
      </c>
      <c r="I10509" s="135" t="n">
        <f aca="false">$G10509*'Analyse capacite'!$C$8</f>
        <v>0</v>
      </c>
      <c r="J10509" s="135" t="n">
        <f aca="false">$G10509*'Analyse capacite'!$D$8</f>
        <v>0</v>
      </c>
      <c r="K10509" s="135" t="n">
        <f aca="false">$G10509*'Analyse capacite'!$E$8</f>
        <v>0</v>
      </c>
    </row>
    <row r="10510" customFormat="false" ht="15" hidden="false" customHeight="false" outlineLevel="0" collapsed="false">
      <c r="B10510" s="130" t="n">
        <v>2028</v>
      </c>
      <c r="C10510" s="131" t="s">
        <v>255</v>
      </c>
      <c r="D10510" s="132" t="n">
        <v>46769</v>
      </c>
      <c r="E10510" s="131" t="s">
        <v>56</v>
      </c>
      <c r="F10510" s="133" t="s">
        <v>24</v>
      </c>
      <c r="G10510" s="134" t="n">
        <f aca="false">LEN('Saisie programme'!$D$393)+SUMIFS('Vols additionnels'!$E$7:$E$66,'Vols additionnels'!$C$7:$C$66,$E10510,'Vols additionnels'!$D$7:$D$66,$F10510,'Vols additionnels'!$B$7:$B$66,$D10510)</f>
        <v>0</v>
      </c>
      <c r="H10510" s="135" t="n">
        <f aca="false">$G10510*'Analyse capacite'!$F$9</f>
        <v>0</v>
      </c>
      <c r="I10510" s="135" t="n">
        <f aca="false">$G10510*'Analyse capacite'!$C$9</f>
        <v>0</v>
      </c>
      <c r="J10510" s="135" t="n">
        <f aca="false">$G10510*'Analyse capacite'!$D$9</f>
        <v>0</v>
      </c>
      <c r="K10510" s="135" t="n">
        <f aca="false">$G10510*'Analyse capacite'!$E$9</f>
        <v>0</v>
      </c>
    </row>
    <row r="10511" customFormat="false" ht="15" hidden="false" customHeight="false" outlineLevel="0" collapsed="false">
      <c r="B10511" s="130" t="n">
        <v>2028</v>
      </c>
      <c r="C10511" s="131" t="s">
        <v>255</v>
      </c>
      <c r="D10511" s="132" t="n">
        <v>46769</v>
      </c>
      <c r="E10511" s="131" t="s">
        <v>59</v>
      </c>
      <c r="F10511" s="133" t="s">
        <v>11</v>
      </c>
      <c r="G10511" s="134" t="n">
        <f aca="false">LEN('Saisie programme'!$D$394)+SUMIFS('Vols additionnels'!$E$7:$E$66,'Vols additionnels'!$C$7:$C$66,$E10511,'Vols additionnels'!$D$7:$D$66,$F10511,'Vols additionnels'!$B$7:$B$66,$D10511)</f>
        <v>0</v>
      </c>
      <c r="H10511" s="135" t="n">
        <f aca="false">$G10511*'Analyse capacite'!$F$7</f>
        <v>0</v>
      </c>
      <c r="I10511" s="135" t="n">
        <f aca="false">$G10511*'Analyse capacite'!$C$7</f>
        <v>0</v>
      </c>
      <c r="J10511" s="135" t="n">
        <f aca="false">$G10511*'Analyse capacite'!$D$7</f>
        <v>0</v>
      </c>
      <c r="K10511" s="135" t="n">
        <f aca="false">$G10511*'Analyse capacite'!$E$7</f>
        <v>0</v>
      </c>
    </row>
    <row r="10512" customFormat="false" ht="15" hidden="false" customHeight="false" outlineLevel="0" collapsed="false">
      <c r="B10512" s="130" t="n">
        <v>2028</v>
      </c>
      <c r="C10512" s="131" t="s">
        <v>255</v>
      </c>
      <c r="D10512" s="132" t="n">
        <v>46769</v>
      </c>
      <c r="E10512" s="131" t="s">
        <v>59</v>
      </c>
      <c r="F10512" s="133" t="s">
        <v>19</v>
      </c>
      <c r="G10512" s="134" t="n">
        <f aca="false">LEN('Saisie programme'!$D$395)+SUMIFS('Vols additionnels'!$E$7:$E$66,'Vols additionnels'!$C$7:$C$66,$E10512,'Vols additionnels'!$D$7:$D$66,$F10512,'Vols additionnels'!$B$7:$B$66,$D10512)</f>
        <v>0</v>
      </c>
      <c r="H10512" s="135" t="n">
        <f aca="false">$G10512*'Analyse capacite'!$F$8</f>
        <v>0</v>
      </c>
      <c r="I10512" s="135" t="n">
        <f aca="false">$G10512*'Analyse capacite'!$C$8</f>
        <v>0</v>
      </c>
      <c r="J10512" s="135" t="n">
        <f aca="false">$G10512*'Analyse capacite'!$D$8</f>
        <v>0</v>
      </c>
      <c r="K10512" s="135" t="n">
        <f aca="false">$G10512*'Analyse capacite'!$E$8</f>
        <v>0</v>
      </c>
    </row>
    <row r="10513" customFormat="false" ht="15" hidden="false" customHeight="false" outlineLevel="0" collapsed="false">
      <c r="B10513" s="130" t="n">
        <v>2028</v>
      </c>
      <c r="C10513" s="131" t="s">
        <v>255</v>
      </c>
      <c r="D10513" s="132" t="n">
        <v>46769</v>
      </c>
      <c r="E10513" s="131" t="s">
        <v>59</v>
      </c>
      <c r="F10513" s="133" t="s">
        <v>24</v>
      </c>
      <c r="G10513" s="134" t="n">
        <f aca="false">LEN('Saisie programme'!$D$396)+SUMIFS('Vols additionnels'!$E$7:$E$66,'Vols additionnels'!$C$7:$C$66,$E10513,'Vols additionnels'!$D$7:$D$66,$F10513,'Vols additionnels'!$B$7:$B$66,$D10513)</f>
        <v>1</v>
      </c>
      <c r="H10513" s="135" t="n">
        <f aca="false">$G10513*'Analyse capacite'!$F$9</f>
        <v>174</v>
      </c>
      <c r="I10513" s="135" t="n">
        <f aca="false">$G10513*'Analyse capacite'!$C$9</f>
        <v>0</v>
      </c>
      <c r="J10513" s="135" t="n">
        <f aca="false">$G10513*'Analyse capacite'!$D$9</f>
        <v>12</v>
      </c>
      <c r="K10513" s="135" t="n">
        <f aca="false">$G10513*'Analyse capacite'!$E$9</f>
        <v>162</v>
      </c>
    </row>
    <row r="10514" customFormat="false" ht="15" hidden="false" customHeight="false" outlineLevel="0" collapsed="false">
      <c r="B10514" s="130" t="n">
        <v>2028</v>
      </c>
      <c r="C10514" s="131" t="s">
        <v>255</v>
      </c>
      <c r="D10514" s="132" t="n">
        <v>46769</v>
      </c>
      <c r="E10514" s="131" t="s">
        <v>62</v>
      </c>
      <c r="F10514" s="133" t="s">
        <v>11</v>
      </c>
      <c r="G10514" s="134" t="n">
        <f aca="false">LEN('Saisie programme'!$D$397)+SUMIFS('Vols additionnels'!$E$7:$E$66,'Vols additionnels'!$C$7:$C$66,$E10514,'Vols additionnels'!$D$7:$D$66,$F10514,'Vols additionnels'!$B$7:$B$66,$D10514)</f>
        <v>0</v>
      </c>
      <c r="H10514" s="135" t="n">
        <f aca="false">$G10514*'Analyse capacite'!$F$7</f>
        <v>0</v>
      </c>
      <c r="I10514" s="135" t="n">
        <f aca="false">$G10514*'Analyse capacite'!$C$7</f>
        <v>0</v>
      </c>
      <c r="J10514" s="135" t="n">
        <f aca="false">$G10514*'Analyse capacite'!$D$7</f>
        <v>0</v>
      </c>
      <c r="K10514" s="135" t="n">
        <f aca="false">$G10514*'Analyse capacite'!$E$7</f>
        <v>0</v>
      </c>
    </row>
    <row r="10515" customFormat="false" ht="15" hidden="false" customHeight="false" outlineLevel="0" collapsed="false">
      <c r="B10515" s="130" t="n">
        <v>2028</v>
      </c>
      <c r="C10515" s="131" t="s">
        <v>255</v>
      </c>
      <c r="D10515" s="132" t="n">
        <v>46769</v>
      </c>
      <c r="E10515" s="131" t="s">
        <v>62</v>
      </c>
      <c r="F10515" s="133" t="s">
        <v>19</v>
      </c>
      <c r="G10515" s="134" t="n">
        <f aca="false">LEN('Saisie programme'!$D$398)+SUMIFS('Vols additionnels'!$E$7:$E$66,'Vols additionnels'!$C$7:$C$66,$E10515,'Vols additionnels'!$D$7:$D$66,$F10515,'Vols additionnels'!$B$7:$B$66,$D10515)</f>
        <v>0</v>
      </c>
      <c r="H10515" s="135" t="n">
        <f aca="false">$G10515*'Analyse capacite'!$F$8</f>
        <v>0</v>
      </c>
      <c r="I10515" s="135" t="n">
        <f aca="false">$G10515*'Analyse capacite'!$C$8</f>
        <v>0</v>
      </c>
      <c r="J10515" s="135" t="n">
        <f aca="false">$G10515*'Analyse capacite'!$D$8</f>
        <v>0</v>
      </c>
      <c r="K10515" s="135" t="n">
        <f aca="false">$G10515*'Analyse capacite'!$E$8</f>
        <v>0</v>
      </c>
    </row>
    <row r="10516" customFormat="false" ht="15" hidden="false" customHeight="false" outlineLevel="0" collapsed="false">
      <c r="B10516" s="130" t="n">
        <v>2028</v>
      </c>
      <c r="C10516" s="131" t="s">
        <v>255</v>
      </c>
      <c r="D10516" s="132" t="n">
        <v>46769</v>
      </c>
      <c r="E10516" s="131" t="s">
        <v>62</v>
      </c>
      <c r="F10516" s="133" t="s">
        <v>24</v>
      </c>
      <c r="G10516" s="134" t="n">
        <f aca="false">LEN('Saisie programme'!$D$399)+SUMIFS('Vols additionnels'!$E$7:$E$66,'Vols additionnels'!$C$7:$C$66,$E10516,'Vols additionnels'!$D$7:$D$66,$F10516,'Vols additionnels'!$B$7:$B$66,$D10516)</f>
        <v>0</v>
      </c>
      <c r="H10516" s="135" t="n">
        <f aca="false">$G10516*'Analyse capacite'!$F$9</f>
        <v>0</v>
      </c>
      <c r="I10516" s="135" t="n">
        <f aca="false">$G10516*'Analyse capacite'!$C$9</f>
        <v>0</v>
      </c>
      <c r="J10516" s="135" t="n">
        <f aca="false">$G10516*'Analyse capacite'!$D$9</f>
        <v>0</v>
      </c>
      <c r="K10516" s="135" t="n">
        <f aca="false">$G10516*'Analyse capacite'!$E$9</f>
        <v>0</v>
      </c>
    </row>
    <row r="10517" customFormat="false" ht="15" hidden="false" customHeight="false" outlineLevel="0" collapsed="false">
      <c r="B10517" s="130" t="n">
        <v>2028</v>
      </c>
      <c r="C10517" s="131" t="s">
        <v>255</v>
      </c>
      <c r="D10517" s="132" t="n">
        <v>46770</v>
      </c>
      <c r="E10517" s="131" t="s">
        <v>12</v>
      </c>
      <c r="F10517" s="133" t="s">
        <v>11</v>
      </c>
      <c r="G10517" s="134" t="n">
        <f aca="false">LEN('Saisie programme'!$E$364)+SUMIFS('Vols additionnels'!$E$7:$E$66,'Vols additionnels'!$C$7:$C$66,$E10517,'Vols additionnels'!$D$7:$D$66,$F10517,'Vols additionnels'!$B$7:$B$66,$D10517)</f>
        <v>1</v>
      </c>
      <c r="H10517" s="135" t="n">
        <f aca="false">$G10517*'Analyse capacite'!$F$7</f>
        <v>438</v>
      </c>
      <c r="I10517" s="135" t="n">
        <f aca="false">$G10517*'Analyse capacite'!$C$7</f>
        <v>14</v>
      </c>
      <c r="J10517" s="135" t="n">
        <f aca="false">$G10517*'Analyse capacite'!$D$7</f>
        <v>40</v>
      </c>
      <c r="K10517" s="135" t="n">
        <f aca="false">$G10517*'Analyse capacite'!$E$7</f>
        <v>384</v>
      </c>
    </row>
    <row r="10518" customFormat="false" ht="15" hidden="false" customHeight="false" outlineLevel="0" collapsed="false">
      <c r="B10518" s="130" t="n">
        <v>2028</v>
      </c>
      <c r="C10518" s="131" t="s">
        <v>255</v>
      </c>
      <c r="D10518" s="132" t="n">
        <v>46770</v>
      </c>
      <c r="E10518" s="131" t="s">
        <v>12</v>
      </c>
      <c r="F10518" s="133" t="s">
        <v>19</v>
      </c>
      <c r="G10518" s="134" t="n">
        <f aca="false">LEN('Saisie programme'!$E$365)+SUMIFS('Vols additionnels'!$E$7:$E$66,'Vols additionnels'!$C$7:$C$66,$E10518,'Vols additionnels'!$D$7:$D$66,$F10518,'Vols additionnels'!$B$7:$B$66,$D10518)</f>
        <v>0</v>
      </c>
      <c r="H10518" s="135" t="n">
        <f aca="false">$G10518*'Analyse capacite'!$F$8</f>
        <v>0</v>
      </c>
      <c r="I10518" s="135" t="n">
        <f aca="false">$G10518*'Analyse capacite'!$C$8</f>
        <v>0</v>
      </c>
      <c r="J10518" s="135" t="n">
        <f aca="false">$G10518*'Analyse capacite'!$D$8</f>
        <v>0</v>
      </c>
      <c r="K10518" s="135" t="n">
        <f aca="false">$G10518*'Analyse capacite'!$E$8</f>
        <v>0</v>
      </c>
    </row>
    <row r="10519" customFormat="false" ht="15" hidden="false" customHeight="false" outlineLevel="0" collapsed="false">
      <c r="B10519" s="130" t="n">
        <v>2028</v>
      </c>
      <c r="C10519" s="131" t="s">
        <v>255</v>
      </c>
      <c r="D10519" s="132" t="n">
        <v>46770</v>
      </c>
      <c r="E10519" s="131" t="s">
        <v>12</v>
      </c>
      <c r="F10519" s="133" t="s">
        <v>24</v>
      </c>
      <c r="G10519" s="134" t="n">
        <f aca="false">LEN('Saisie programme'!$E$366)+SUMIFS('Vols additionnels'!$E$7:$E$66,'Vols additionnels'!$C$7:$C$66,$E10519,'Vols additionnels'!$D$7:$D$66,$F10519,'Vols additionnels'!$B$7:$B$66,$D10519)</f>
        <v>0</v>
      </c>
      <c r="H10519" s="135" t="n">
        <f aca="false">$G10519*'Analyse capacite'!$F$9</f>
        <v>0</v>
      </c>
      <c r="I10519" s="135" t="n">
        <f aca="false">$G10519*'Analyse capacite'!$C$9</f>
        <v>0</v>
      </c>
      <c r="J10519" s="135" t="n">
        <f aca="false">$G10519*'Analyse capacite'!$D$9</f>
        <v>0</v>
      </c>
      <c r="K10519" s="135" t="n">
        <f aca="false">$G10519*'Analyse capacite'!$E$9</f>
        <v>0</v>
      </c>
    </row>
    <row r="10520" customFormat="false" ht="15" hidden="false" customHeight="false" outlineLevel="0" collapsed="false">
      <c r="B10520" s="130" t="n">
        <v>2028</v>
      </c>
      <c r="C10520" s="131" t="s">
        <v>255</v>
      </c>
      <c r="D10520" s="132" t="n">
        <v>46770</v>
      </c>
      <c r="E10520" s="131" t="s">
        <v>20</v>
      </c>
      <c r="F10520" s="133" t="s">
        <v>11</v>
      </c>
      <c r="G10520" s="134" t="n">
        <f aca="false">LEN('Saisie programme'!$E$367)+SUMIFS('Vols additionnels'!$E$7:$E$66,'Vols additionnels'!$C$7:$C$66,$E10520,'Vols additionnels'!$D$7:$D$66,$F10520,'Vols additionnels'!$B$7:$B$66,$D10520)</f>
        <v>0</v>
      </c>
      <c r="H10520" s="135" t="n">
        <f aca="false">$G10520*'Analyse capacite'!$F$7</f>
        <v>0</v>
      </c>
      <c r="I10520" s="135" t="n">
        <f aca="false">$G10520*'Analyse capacite'!$C$7</f>
        <v>0</v>
      </c>
      <c r="J10520" s="135" t="n">
        <f aca="false">$G10520*'Analyse capacite'!$D$7</f>
        <v>0</v>
      </c>
      <c r="K10520" s="135" t="n">
        <f aca="false">$G10520*'Analyse capacite'!$E$7</f>
        <v>0</v>
      </c>
    </row>
    <row r="10521" customFormat="false" ht="15" hidden="false" customHeight="false" outlineLevel="0" collapsed="false">
      <c r="B10521" s="130" t="n">
        <v>2028</v>
      </c>
      <c r="C10521" s="131" t="s">
        <v>255</v>
      </c>
      <c r="D10521" s="132" t="n">
        <v>46770</v>
      </c>
      <c r="E10521" s="131" t="s">
        <v>20</v>
      </c>
      <c r="F10521" s="133" t="s">
        <v>19</v>
      </c>
      <c r="G10521" s="134" t="n">
        <f aca="false">LEN('Saisie programme'!$E$368)+SUMIFS('Vols additionnels'!$E$7:$E$66,'Vols additionnels'!$C$7:$C$66,$E10521,'Vols additionnels'!$D$7:$D$66,$F10521,'Vols additionnels'!$B$7:$B$66,$D10521)</f>
        <v>1</v>
      </c>
      <c r="H10521" s="135" t="n">
        <f aca="false">$G10521*'Analyse capacite'!$F$8</f>
        <v>262</v>
      </c>
      <c r="I10521" s="135" t="n">
        <f aca="false">$G10521*'Analyse capacite'!$C$8</f>
        <v>18</v>
      </c>
      <c r="J10521" s="135" t="n">
        <f aca="false">$G10521*'Analyse capacite'!$D$8</f>
        <v>0</v>
      </c>
      <c r="K10521" s="135" t="n">
        <f aca="false">$G10521*'Analyse capacite'!$E$8</f>
        <v>244</v>
      </c>
    </row>
    <row r="10522" customFormat="false" ht="15" hidden="false" customHeight="false" outlineLevel="0" collapsed="false">
      <c r="B10522" s="130" t="n">
        <v>2028</v>
      </c>
      <c r="C10522" s="131" t="s">
        <v>255</v>
      </c>
      <c r="D10522" s="132" t="n">
        <v>46770</v>
      </c>
      <c r="E10522" s="131" t="s">
        <v>20</v>
      </c>
      <c r="F10522" s="133" t="s">
        <v>24</v>
      </c>
      <c r="G10522" s="134" t="n">
        <f aca="false">LEN('Saisie programme'!$E$369)+SUMIFS('Vols additionnels'!$E$7:$E$66,'Vols additionnels'!$C$7:$C$66,$E10522,'Vols additionnels'!$D$7:$D$66,$F10522,'Vols additionnels'!$B$7:$B$66,$D10522)</f>
        <v>0</v>
      </c>
      <c r="H10522" s="135" t="n">
        <f aca="false">$G10522*'Analyse capacite'!$F$9</f>
        <v>0</v>
      </c>
      <c r="I10522" s="135" t="n">
        <f aca="false">$G10522*'Analyse capacite'!$C$9</f>
        <v>0</v>
      </c>
      <c r="J10522" s="135" t="n">
        <f aca="false">$G10522*'Analyse capacite'!$D$9</f>
        <v>0</v>
      </c>
      <c r="K10522" s="135" t="n">
        <f aca="false">$G10522*'Analyse capacite'!$E$9</f>
        <v>0</v>
      </c>
    </row>
    <row r="10523" customFormat="false" ht="15" hidden="false" customHeight="false" outlineLevel="0" collapsed="false">
      <c r="B10523" s="130" t="n">
        <v>2028</v>
      </c>
      <c r="C10523" s="131" t="s">
        <v>255</v>
      </c>
      <c r="D10523" s="132" t="n">
        <v>46770</v>
      </c>
      <c r="E10523" s="131" t="s">
        <v>25</v>
      </c>
      <c r="F10523" s="133" t="s">
        <v>11</v>
      </c>
      <c r="G10523" s="134" t="n">
        <f aca="false">LEN('Saisie programme'!$E$370)+SUMIFS('Vols additionnels'!$E$7:$E$66,'Vols additionnels'!$C$7:$C$66,$E10523,'Vols additionnels'!$D$7:$D$66,$F10523,'Vols additionnels'!$B$7:$B$66,$D10523)</f>
        <v>0</v>
      </c>
      <c r="H10523" s="135" t="n">
        <f aca="false">$G10523*'Analyse capacite'!$F$7</f>
        <v>0</v>
      </c>
      <c r="I10523" s="135" t="n">
        <f aca="false">$G10523*'Analyse capacite'!$C$7</f>
        <v>0</v>
      </c>
      <c r="J10523" s="135" t="n">
        <f aca="false">$G10523*'Analyse capacite'!$D$7</f>
        <v>0</v>
      </c>
      <c r="K10523" s="135" t="n">
        <f aca="false">$G10523*'Analyse capacite'!$E$7</f>
        <v>0</v>
      </c>
    </row>
    <row r="10524" customFormat="false" ht="15" hidden="false" customHeight="false" outlineLevel="0" collapsed="false">
      <c r="B10524" s="130" t="n">
        <v>2028</v>
      </c>
      <c r="C10524" s="131" t="s">
        <v>255</v>
      </c>
      <c r="D10524" s="132" t="n">
        <v>46770</v>
      </c>
      <c r="E10524" s="131" t="s">
        <v>25</v>
      </c>
      <c r="F10524" s="133" t="s">
        <v>19</v>
      </c>
      <c r="G10524" s="134" t="n">
        <f aca="false">LEN('Saisie programme'!$E$371)+SUMIFS('Vols additionnels'!$E$7:$E$66,'Vols additionnels'!$C$7:$C$66,$E10524,'Vols additionnels'!$D$7:$D$66,$F10524,'Vols additionnels'!$B$7:$B$66,$D10524)</f>
        <v>0</v>
      </c>
      <c r="H10524" s="135" t="n">
        <f aca="false">$G10524*'Analyse capacite'!$F$8</f>
        <v>0</v>
      </c>
      <c r="I10524" s="135" t="n">
        <f aca="false">$G10524*'Analyse capacite'!$C$8</f>
        <v>0</v>
      </c>
      <c r="J10524" s="135" t="n">
        <f aca="false">$G10524*'Analyse capacite'!$D$8</f>
        <v>0</v>
      </c>
      <c r="K10524" s="135" t="n">
        <f aca="false">$G10524*'Analyse capacite'!$E$8</f>
        <v>0</v>
      </c>
    </row>
    <row r="10525" customFormat="false" ht="15" hidden="false" customHeight="false" outlineLevel="0" collapsed="false">
      <c r="B10525" s="130" t="n">
        <v>2028</v>
      </c>
      <c r="C10525" s="131" t="s">
        <v>255</v>
      </c>
      <c r="D10525" s="132" t="n">
        <v>46770</v>
      </c>
      <c r="E10525" s="131" t="s">
        <v>25</v>
      </c>
      <c r="F10525" s="133" t="s">
        <v>24</v>
      </c>
      <c r="G10525" s="134" t="n">
        <f aca="false">LEN('Saisie programme'!$E$372)+SUMIFS('Vols additionnels'!$E$7:$E$66,'Vols additionnels'!$C$7:$C$66,$E10525,'Vols additionnels'!$D$7:$D$66,$F10525,'Vols additionnels'!$B$7:$B$66,$D10525)</f>
        <v>0</v>
      </c>
      <c r="H10525" s="135" t="n">
        <f aca="false">$G10525*'Analyse capacite'!$F$9</f>
        <v>0</v>
      </c>
      <c r="I10525" s="135" t="n">
        <f aca="false">$G10525*'Analyse capacite'!$C$9</f>
        <v>0</v>
      </c>
      <c r="J10525" s="135" t="n">
        <f aca="false">$G10525*'Analyse capacite'!$D$9</f>
        <v>0</v>
      </c>
      <c r="K10525" s="135" t="n">
        <f aca="false">$G10525*'Analyse capacite'!$E$9</f>
        <v>0</v>
      </c>
    </row>
    <row r="10526" customFormat="false" ht="15" hidden="false" customHeight="false" outlineLevel="0" collapsed="false">
      <c r="B10526" s="130" t="n">
        <v>2028</v>
      </c>
      <c r="C10526" s="131" t="s">
        <v>255</v>
      </c>
      <c r="D10526" s="132" t="n">
        <v>46770</v>
      </c>
      <c r="E10526" s="131" t="s">
        <v>36</v>
      </c>
      <c r="F10526" s="133" t="s">
        <v>11</v>
      </c>
      <c r="G10526" s="134" t="n">
        <f aca="false">LEN('Saisie programme'!$E$373)+SUMIFS('Vols additionnels'!$E$7:$E$66,'Vols additionnels'!$C$7:$C$66,$E10526,'Vols additionnels'!$D$7:$D$66,$F10526,'Vols additionnels'!$B$7:$B$66,$D10526)</f>
        <v>0</v>
      </c>
      <c r="H10526" s="135" t="n">
        <f aca="false">$G10526*'Analyse capacite'!$F$7</f>
        <v>0</v>
      </c>
      <c r="I10526" s="135" t="n">
        <f aca="false">$G10526*'Analyse capacite'!$C$7</f>
        <v>0</v>
      </c>
      <c r="J10526" s="135" t="n">
        <f aca="false">$G10526*'Analyse capacite'!$D$7</f>
        <v>0</v>
      </c>
      <c r="K10526" s="135" t="n">
        <f aca="false">$G10526*'Analyse capacite'!$E$7</f>
        <v>0</v>
      </c>
    </row>
    <row r="10527" customFormat="false" ht="15" hidden="false" customHeight="false" outlineLevel="0" collapsed="false">
      <c r="B10527" s="130" t="n">
        <v>2028</v>
      </c>
      <c r="C10527" s="131" t="s">
        <v>255</v>
      </c>
      <c r="D10527" s="132" t="n">
        <v>46770</v>
      </c>
      <c r="E10527" s="131" t="s">
        <v>36</v>
      </c>
      <c r="F10527" s="133" t="s">
        <v>19</v>
      </c>
      <c r="G10527" s="134" t="n">
        <f aca="false">LEN('Saisie programme'!$E$374)+SUMIFS('Vols additionnels'!$E$7:$E$66,'Vols additionnels'!$C$7:$C$66,$E10527,'Vols additionnels'!$D$7:$D$66,$F10527,'Vols additionnels'!$B$7:$B$66,$D10527)</f>
        <v>0</v>
      </c>
      <c r="H10527" s="135" t="n">
        <f aca="false">$G10527*'Analyse capacite'!$F$8</f>
        <v>0</v>
      </c>
      <c r="I10527" s="135" t="n">
        <f aca="false">$G10527*'Analyse capacite'!$C$8</f>
        <v>0</v>
      </c>
      <c r="J10527" s="135" t="n">
        <f aca="false">$G10527*'Analyse capacite'!$D$8</f>
        <v>0</v>
      </c>
      <c r="K10527" s="135" t="n">
        <f aca="false">$G10527*'Analyse capacite'!$E$8</f>
        <v>0</v>
      </c>
    </row>
    <row r="10528" customFormat="false" ht="15" hidden="false" customHeight="false" outlineLevel="0" collapsed="false">
      <c r="B10528" s="130" t="n">
        <v>2028</v>
      </c>
      <c r="C10528" s="131" t="s">
        <v>255</v>
      </c>
      <c r="D10528" s="132" t="n">
        <v>46770</v>
      </c>
      <c r="E10528" s="131" t="s">
        <v>36</v>
      </c>
      <c r="F10528" s="133" t="s">
        <v>24</v>
      </c>
      <c r="G10528" s="134" t="n">
        <f aca="false">LEN('Saisie programme'!$E$375)+SUMIFS('Vols additionnels'!$E$7:$E$66,'Vols additionnels'!$C$7:$C$66,$E10528,'Vols additionnels'!$D$7:$D$66,$F10528,'Vols additionnels'!$B$7:$B$66,$D10528)</f>
        <v>1</v>
      </c>
      <c r="H10528" s="135" t="n">
        <f aca="false">$G10528*'Analyse capacite'!$F$9</f>
        <v>174</v>
      </c>
      <c r="I10528" s="135" t="n">
        <f aca="false">$G10528*'Analyse capacite'!$C$9</f>
        <v>0</v>
      </c>
      <c r="J10528" s="135" t="n">
        <f aca="false">$G10528*'Analyse capacite'!$D$9</f>
        <v>12</v>
      </c>
      <c r="K10528" s="135" t="n">
        <f aca="false">$G10528*'Analyse capacite'!$E$9</f>
        <v>162</v>
      </c>
    </row>
    <row r="10529" customFormat="false" ht="15" hidden="false" customHeight="false" outlineLevel="0" collapsed="false">
      <c r="B10529" s="130" t="n">
        <v>2028</v>
      </c>
      <c r="C10529" s="131" t="s">
        <v>255</v>
      </c>
      <c r="D10529" s="132" t="n">
        <v>46770</v>
      </c>
      <c r="E10529" s="131" t="s">
        <v>40</v>
      </c>
      <c r="F10529" s="133" t="s">
        <v>11</v>
      </c>
      <c r="G10529" s="134" t="n">
        <f aca="false">LEN('Saisie programme'!$E$376)+SUMIFS('Vols additionnels'!$E$7:$E$66,'Vols additionnels'!$C$7:$C$66,$E10529,'Vols additionnels'!$D$7:$D$66,$F10529,'Vols additionnels'!$B$7:$B$66,$D10529)</f>
        <v>0</v>
      </c>
      <c r="H10529" s="135" t="n">
        <f aca="false">$G10529*'Analyse capacite'!$F$7</f>
        <v>0</v>
      </c>
      <c r="I10529" s="135" t="n">
        <f aca="false">$G10529*'Analyse capacite'!$C$7</f>
        <v>0</v>
      </c>
      <c r="J10529" s="135" t="n">
        <f aca="false">$G10529*'Analyse capacite'!$D$7</f>
        <v>0</v>
      </c>
      <c r="K10529" s="135" t="n">
        <f aca="false">$G10529*'Analyse capacite'!$E$7</f>
        <v>0</v>
      </c>
    </row>
    <row r="10530" customFormat="false" ht="15" hidden="false" customHeight="false" outlineLevel="0" collapsed="false">
      <c r="B10530" s="130" t="n">
        <v>2028</v>
      </c>
      <c r="C10530" s="131" t="s">
        <v>255</v>
      </c>
      <c r="D10530" s="132" t="n">
        <v>46770</v>
      </c>
      <c r="E10530" s="131" t="s">
        <v>40</v>
      </c>
      <c r="F10530" s="133" t="s">
        <v>19</v>
      </c>
      <c r="G10530" s="134" t="n">
        <f aca="false">LEN('Saisie programme'!$E$377)+SUMIFS('Vols additionnels'!$E$7:$E$66,'Vols additionnels'!$C$7:$C$66,$E10530,'Vols additionnels'!$D$7:$D$66,$F10530,'Vols additionnels'!$B$7:$B$66,$D10530)</f>
        <v>0</v>
      </c>
      <c r="H10530" s="135" t="n">
        <f aca="false">$G10530*'Analyse capacite'!$F$8</f>
        <v>0</v>
      </c>
      <c r="I10530" s="135" t="n">
        <f aca="false">$G10530*'Analyse capacite'!$C$8</f>
        <v>0</v>
      </c>
      <c r="J10530" s="135" t="n">
        <f aca="false">$G10530*'Analyse capacite'!$D$8</f>
        <v>0</v>
      </c>
      <c r="K10530" s="135" t="n">
        <f aca="false">$G10530*'Analyse capacite'!$E$8</f>
        <v>0</v>
      </c>
    </row>
    <row r="10531" customFormat="false" ht="15" hidden="false" customHeight="false" outlineLevel="0" collapsed="false">
      <c r="B10531" s="130" t="n">
        <v>2028</v>
      </c>
      <c r="C10531" s="131" t="s">
        <v>255</v>
      </c>
      <c r="D10531" s="132" t="n">
        <v>46770</v>
      </c>
      <c r="E10531" s="131" t="s">
        <v>40</v>
      </c>
      <c r="F10531" s="133" t="s">
        <v>24</v>
      </c>
      <c r="G10531" s="134" t="n">
        <f aca="false">LEN('Saisie programme'!$E$378)+SUMIFS('Vols additionnels'!$E$7:$E$66,'Vols additionnels'!$C$7:$C$66,$E10531,'Vols additionnels'!$D$7:$D$66,$F10531,'Vols additionnels'!$B$7:$B$66,$D10531)</f>
        <v>0</v>
      </c>
      <c r="H10531" s="135" t="n">
        <f aca="false">$G10531*'Analyse capacite'!$F$9</f>
        <v>0</v>
      </c>
      <c r="I10531" s="135" t="n">
        <f aca="false">$G10531*'Analyse capacite'!$C$9</f>
        <v>0</v>
      </c>
      <c r="J10531" s="135" t="n">
        <f aca="false">$G10531*'Analyse capacite'!$D$9</f>
        <v>0</v>
      </c>
      <c r="K10531" s="135" t="n">
        <f aca="false">$G10531*'Analyse capacite'!$E$9</f>
        <v>0</v>
      </c>
    </row>
    <row r="10532" customFormat="false" ht="15" hidden="false" customHeight="false" outlineLevel="0" collapsed="false">
      <c r="B10532" s="130" t="n">
        <v>2028</v>
      </c>
      <c r="C10532" s="131" t="s">
        <v>255</v>
      </c>
      <c r="D10532" s="132" t="n">
        <v>46770</v>
      </c>
      <c r="E10532" s="131" t="s">
        <v>14</v>
      </c>
      <c r="F10532" s="133" t="s">
        <v>11</v>
      </c>
      <c r="G10532" s="134" t="n">
        <f aca="false">LEN('Saisie programme'!$E$379)+SUMIFS('Vols additionnels'!$E$7:$E$66,'Vols additionnels'!$C$7:$C$66,$E10532,'Vols additionnels'!$D$7:$D$66,$F10532,'Vols additionnels'!$B$7:$B$66,$D10532)</f>
        <v>0</v>
      </c>
      <c r="H10532" s="135" t="n">
        <f aca="false">$G10532*'Analyse capacite'!$F$7</f>
        <v>0</v>
      </c>
      <c r="I10532" s="135" t="n">
        <f aca="false">$G10532*'Analyse capacite'!$C$7</f>
        <v>0</v>
      </c>
      <c r="J10532" s="135" t="n">
        <f aca="false">$G10532*'Analyse capacite'!$D$7</f>
        <v>0</v>
      </c>
      <c r="K10532" s="135" t="n">
        <f aca="false">$G10532*'Analyse capacite'!$E$7</f>
        <v>0</v>
      </c>
    </row>
    <row r="10533" customFormat="false" ht="15" hidden="false" customHeight="false" outlineLevel="0" collapsed="false">
      <c r="B10533" s="130" t="n">
        <v>2028</v>
      </c>
      <c r="C10533" s="131" t="s">
        <v>255</v>
      </c>
      <c r="D10533" s="132" t="n">
        <v>46770</v>
      </c>
      <c r="E10533" s="131" t="s">
        <v>14</v>
      </c>
      <c r="F10533" s="133" t="s">
        <v>19</v>
      </c>
      <c r="G10533" s="134" t="n">
        <f aca="false">LEN('Saisie programme'!$E$380)+SUMIFS('Vols additionnels'!$E$7:$E$66,'Vols additionnels'!$C$7:$C$66,$E10533,'Vols additionnels'!$D$7:$D$66,$F10533,'Vols additionnels'!$B$7:$B$66,$D10533)</f>
        <v>0</v>
      </c>
      <c r="H10533" s="135" t="n">
        <f aca="false">$G10533*'Analyse capacite'!$F$8</f>
        <v>0</v>
      </c>
      <c r="I10533" s="135" t="n">
        <f aca="false">$G10533*'Analyse capacite'!$C$8</f>
        <v>0</v>
      </c>
      <c r="J10533" s="135" t="n">
        <f aca="false">$G10533*'Analyse capacite'!$D$8</f>
        <v>0</v>
      </c>
      <c r="K10533" s="135" t="n">
        <f aca="false">$G10533*'Analyse capacite'!$E$8</f>
        <v>0</v>
      </c>
    </row>
    <row r="10534" customFormat="false" ht="15" hidden="false" customHeight="false" outlineLevel="0" collapsed="false">
      <c r="B10534" s="130" t="n">
        <v>2028</v>
      </c>
      <c r="C10534" s="131" t="s">
        <v>255</v>
      </c>
      <c r="D10534" s="132" t="n">
        <v>46770</v>
      </c>
      <c r="E10534" s="131" t="s">
        <v>14</v>
      </c>
      <c r="F10534" s="133" t="s">
        <v>24</v>
      </c>
      <c r="G10534" s="134" t="n">
        <f aca="false">LEN('Saisie programme'!$E$381)+SUMIFS('Vols additionnels'!$E$7:$E$66,'Vols additionnels'!$C$7:$C$66,$E10534,'Vols additionnels'!$D$7:$D$66,$F10534,'Vols additionnels'!$B$7:$B$66,$D10534)</f>
        <v>0</v>
      </c>
      <c r="H10534" s="135" t="n">
        <f aca="false">$G10534*'Analyse capacite'!$F$9</f>
        <v>0</v>
      </c>
      <c r="I10534" s="135" t="n">
        <f aca="false">$G10534*'Analyse capacite'!$C$9</f>
        <v>0</v>
      </c>
      <c r="J10534" s="135" t="n">
        <f aca="false">$G10534*'Analyse capacite'!$D$9</f>
        <v>0</v>
      </c>
      <c r="K10534" s="135" t="n">
        <f aca="false">$G10534*'Analyse capacite'!$E$9</f>
        <v>0</v>
      </c>
    </row>
    <row r="10535" customFormat="false" ht="15" hidden="false" customHeight="false" outlineLevel="0" collapsed="false">
      <c r="B10535" s="130" t="n">
        <v>2028</v>
      </c>
      <c r="C10535" s="131" t="s">
        <v>255</v>
      </c>
      <c r="D10535" s="132" t="n">
        <v>46770</v>
      </c>
      <c r="E10535" s="131" t="s">
        <v>46</v>
      </c>
      <c r="F10535" s="133" t="s">
        <v>11</v>
      </c>
      <c r="G10535" s="134" t="n">
        <f aca="false">LEN('Saisie programme'!$E$382)+SUMIFS('Vols additionnels'!$E$7:$E$66,'Vols additionnels'!$C$7:$C$66,$E10535,'Vols additionnels'!$D$7:$D$66,$F10535,'Vols additionnels'!$B$7:$B$66,$D10535)</f>
        <v>0</v>
      </c>
      <c r="H10535" s="135" t="n">
        <f aca="false">$G10535*'Analyse capacite'!$F$7</f>
        <v>0</v>
      </c>
      <c r="I10535" s="135" t="n">
        <f aca="false">$G10535*'Analyse capacite'!$C$7</f>
        <v>0</v>
      </c>
      <c r="J10535" s="135" t="n">
        <f aca="false">$G10535*'Analyse capacite'!$D$7</f>
        <v>0</v>
      </c>
      <c r="K10535" s="135" t="n">
        <f aca="false">$G10535*'Analyse capacite'!$E$7</f>
        <v>0</v>
      </c>
    </row>
    <row r="10536" customFormat="false" ht="15" hidden="false" customHeight="false" outlineLevel="0" collapsed="false">
      <c r="B10536" s="130" t="n">
        <v>2028</v>
      </c>
      <c r="C10536" s="131" t="s">
        <v>255</v>
      </c>
      <c r="D10536" s="132" t="n">
        <v>46770</v>
      </c>
      <c r="E10536" s="131" t="s">
        <v>46</v>
      </c>
      <c r="F10536" s="133" t="s">
        <v>19</v>
      </c>
      <c r="G10536" s="134" t="n">
        <f aca="false">LEN('Saisie programme'!$E$383)+SUMIFS('Vols additionnels'!$E$7:$E$66,'Vols additionnels'!$C$7:$C$66,$E10536,'Vols additionnels'!$D$7:$D$66,$F10536,'Vols additionnels'!$B$7:$B$66,$D10536)</f>
        <v>0</v>
      </c>
      <c r="H10536" s="135" t="n">
        <f aca="false">$G10536*'Analyse capacite'!$F$8</f>
        <v>0</v>
      </c>
      <c r="I10536" s="135" t="n">
        <f aca="false">$G10536*'Analyse capacite'!$C$8</f>
        <v>0</v>
      </c>
      <c r="J10536" s="135" t="n">
        <f aca="false">$G10536*'Analyse capacite'!$D$8</f>
        <v>0</v>
      </c>
      <c r="K10536" s="135" t="n">
        <f aca="false">$G10536*'Analyse capacite'!$E$8</f>
        <v>0</v>
      </c>
    </row>
    <row r="10537" customFormat="false" ht="15" hidden="false" customHeight="false" outlineLevel="0" collapsed="false">
      <c r="B10537" s="130" t="n">
        <v>2028</v>
      </c>
      <c r="C10537" s="131" t="s">
        <v>255</v>
      </c>
      <c r="D10537" s="132" t="n">
        <v>46770</v>
      </c>
      <c r="E10537" s="131" t="s">
        <v>46</v>
      </c>
      <c r="F10537" s="133" t="s">
        <v>24</v>
      </c>
      <c r="G10537" s="134" t="n">
        <f aca="false">LEN('Saisie programme'!$E$384)+SUMIFS('Vols additionnels'!$E$7:$E$66,'Vols additionnels'!$C$7:$C$66,$E10537,'Vols additionnels'!$D$7:$D$66,$F10537,'Vols additionnels'!$B$7:$B$66,$D10537)</f>
        <v>1</v>
      </c>
      <c r="H10537" s="135" t="n">
        <f aca="false">$G10537*'Analyse capacite'!$F$9</f>
        <v>174</v>
      </c>
      <c r="I10537" s="135" t="n">
        <f aca="false">$G10537*'Analyse capacite'!$C$9</f>
        <v>0</v>
      </c>
      <c r="J10537" s="135" t="n">
        <f aca="false">$G10537*'Analyse capacite'!$D$9</f>
        <v>12</v>
      </c>
      <c r="K10537" s="135" t="n">
        <f aca="false">$G10537*'Analyse capacite'!$E$9</f>
        <v>162</v>
      </c>
    </row>
    <row r="10538" customFormat="false" ht="15" hidden="false" customHeight="false" outlineLevel="0" collapsed="false">
      <c r="B10538" s="130" t="n">
        <v>2028</v>
      </c>
      <c r="C10538" s="131" t="s">
        <v>255</v>
      </c>
      <c r="D10538" s="132" t="n">
        <v>46770</v>
      </c>
      <c r="E10538" s="131" t="s">
        <v>49</v>
      </c>
      <c r="F10538" s="133" t="s">
        <v>11</v>
      </c>
      <c r="G10538" s="134" t="n">
        <f aca="false">LEN('Saisie programme'!$E$385)+SUMIFS('Vols additionnels'!$E$7:$E$66,'Vols additionnels'!$C$7:$C$66,$E10538,'Vols additionnels'!$D$7:$D$66,$F10538,'Vols additionnels'!$B$7:$B$66,$D10538)</f>
        <v>0</v>
      </c>
      <c r="H10538" s="135" t="n">
        <f aca="false">$G10538*'Analyse capacite'!$F$7</f>
        <v>0</v>
      </c>
      <c r="I10538" s="135" t="n">
        <f aca="false">$G10538*'Analyse capacite'!$C$7</f>
        <v>0</v>
      </c>
      <c r="J10538" s="135" t="n">
        <f aca="false">$G10538*'Analyse capacite'!$D$7</f>
        <v>0</v>
      </c>
      <c r="K10538" s="135" t="n">
        <f aca="false">$G10538*'Analyse capacite'!$E$7</f>
        <v>0</v>
      </c>
    </row>
    <row r="10539" customFormat="false" ht="15" hidden="false" customHeight="false" outlineLevel="0" collapsed="false">
      <c r="B10539" s="130" t="n">
        <v>2028</v>
      </c>
      <c r="C10539" s="131" t="s">
        <v>255</v>
      </c>
      <c r="D10539" s="132" t="n">
        <v>46770</v>
      </c>
      <c r="E10539" s="131" t="s">
        <v>49</v>
      </c>
      <c r="F10539" s="133" t="s">
        <v>19</v>
      </c>
      <c r="G10539" s="134" t="n">
        <f aca="false">LEN('Saisie programme'!$E$386)+SUMIFS('Vols additionnels'!$E$7:$E$66,'Vols additionnels'!$C$7:$C$66,$E10539,'Vols additionnels'!$D$7:$D$66,$F10539,'Vols additionnels'!$B$7:$B$66,$D10539)</f>
        <v>0</v>
      </c>
      <c r="H10539" s="135" t="n">
        <f aca="false">$G10539*'Analyse capacite'!$F$8</f>
        <v>0</v>
      </c>
      <c r="I10539" s="135" t="n">
        <f aca="false">$G10539*'Analyse capacite'!$C$8</f>
        <v>0</v>
      </c>
      <c r="J10539" s="135" t="n">
        <f aca="false">$G10539*'Analyse capacite'!$D$8</f>
        <v>0</v>
      </c>
      <c r="K10539" s="135" t="n">
        <f aca="false">$G10539*'Analyse capacite'!$E$8</f>
        <v>0</v>
      </c>
    </row>
    <row r="10540" customFormat="false" ht="15" hidden="false" customHeight="false" outlineLevel="0" collapsed="false">
      <c r="B10540" s="130" t="n">
        <v>2028</v>
      </c>
      <c r="C10540" s="131" t="s">
        <v>255</v>
      </c>
      <c r="D10540" s="132" t="n">
        <v>46770</v>
      </c>
      <c r="E10540" s="131" t="s">
        <v>49</v>
      </c>
      <c r="F10540" s="133" t="s">
        <v>24</v>
      </c>
      <c r="G10540" s="134" t="n">
        <f aca="false">LEN('Saisie programme'!$E$387)+SUMIFS('Vols additionnels'!$E$7:$E$66,'Vols additionnels'!$C$7:$C$66,$E10540,'Vols additionnels'!$D$7:$D$66,$F10540,'Vols additionnels'!$B$7:$B$66,$D10540)</f>
        <v>0</v>
      </c>
      <c r="H10540" s="135" t="n">
        <f aca="false">$G10540*'Analyse capacite'!$F$9</f>
        <v>0</v>
      </c>
      <c r="I10540" s="135" t="n">
        <f aca="false">$G10540*'Analyse capacite'!$C$9</f>
        <v>0</v>
      </c>
      <c r="J10540" s="135" t="n">
        <f aca="false">$G10540*'Analyse capacite'!$D$9</f>
        <v>0</v>
      </c>
      <c r="K10540" s="135" t="n">
        <f aca="false">$G10540*'Analyse capacite'!$E$9</f>
        <v>0</v>
      </c>
    </row>
    <row r="10541" customFormat="false" ht="15" hidden="false" customHeight="false" outlineLevel="0" collapsed="false">
      <c r="B10541" s="130" t="n">
        <v>2028</v>
      </c>
      <c r="C10541" s="131" t="s">
        <v>255</v>
      </c>
      <c r="D10541" s="132" t="n">
        <v>46770</v>
      </c>
      <c r="E10541" s="131" t="s">
        <v>53</v>
      </c>
      <c r="F10541" s="133" t="s">
        <v>11</v>
      </c>
      <c r="G10541" s="134" t="n">
        <f aca="false">LEN('Saisie programme'!$E$388)+SUMIFS('Vols additionnels'!$E$7:$E$66,'Vols additionnels'!$C$7:$C$66,$E10541,'Vols additionnels'!$D$7:$D$66,$F10541,'Vols additionnels'!$B$7:$B$66,$D10541)</f>
        <v>0</v>
      </c>
      <c r="H10541" s="135" t="n">
        <f aca="false">$G10541*'Analyse capacite'!$F$7</f>
        <v>0</v>
      </c>
      <c r="I10541" s="135" t="n">
        <f aca="false">$G10541*'Analyse capacite'!$C$7</f>
        <v>0</v>
      </c>
      <c r="J10541" s="135" t="n">
        <f aca="false">$G10541*'Analyse capacite'!$D$7</f>
        <v>0</v>
      </c>
      <c r="K10541" s="135" t="n">
        <f aca="false">$G10541*'Analyse capacite'!$E$7</f>
        <v>0</v>
      </c>
    </row>
    <row r="10542" customFormat="false" ht="15" hidden="false" customHeight="false" outlineLevel="0" collapsed="false">
      <c r="B10542" s="130" t="n">
        <v>2028</v>
      </c>
      <c r="C10542" s="131" t="s">
        <v>255</v>
      </c>
      <c r="D10542" s="132" t="n">
        <v>46770</v>
      </c>
      <c r="E10542" s="131" t="s">
        <v>53</v>
      </c>
      <c r="F10542" s="133" t="s">
        <v>19</v>
      </c>
      <c r="G10542" s="134" t="n">
        <f aca="false">LEN('Saisie programme'!$E$389)+SUMIFS('Vols additionnels'!$E$7:$E$66,'Vols additionnels'!$C$7:$C$66,$E10542,'Vols additionnels'!$D$7:$D$66,$F10542,'Vols additionnels'!$B$7:$B$66,$D10542)</f>
        <v>0</v>
      </c>
      <c r="H10542" s="135" t="n">
        <f aca="false">$G10542*'Analyse capacite'!$F$8</f>
        <v>0</v>
      </c>
      <c r="I10542" s="135" t="n">
        <f aca="false">$G10542*'Analyse capacite'!$C$8</f>
        <v>0</v>
      </c>
      <c r="J10542" s="135" t="n">
        <f aca="false">$G10542*'Analyse capacite'!$D$8</f>
        <v>0</v>
      </c>
      <c r="K10542" s="135" t="n">
        <f aca="false">$G10542*'Analyse capacite'!$E$8</f>
        <v>0</v>
      </c>
    </row>
    <row r="10543" customFormat="false" ht="15" hidden="false" customHeight="false" outlineLevel="0" collapsed="false">
      <c r="B10543" s="130" t="n">
        <v>2028</v>
      </c>
      <c r="C10543" s="131" t="s">
        <v>255</v>
      </c>
      <c r="D10543" s="132" t="n">
        <v>46770</v>
      </c>
      <c r="E10543" s="131" t="s">
        <v>53</v>
      </c>
      <c r="F10543" s="133" t="s">
        <v>24</v>
      </c>
      <c r="G10543" s="134" t="n">
        <f aca="false">LEN('Saisie programme'!$E$390)+SUMIFS('Vols additionnels'!$E$7:$E$66,'Vols additionnels'!$C$7:$C$66,$E10543,'Vols additionnels'!$D$7:$D$66,$F10543,'Vols additionnels'!$B$7:$B$66,$D10543)</f>
        <v>0</v>
      </c>
      <c r="H10543" s="135" t="n">
        <f aca="false">$G10543*'Analyse capacite'!$F$9</f>
        <v>0</v>
      </c>
      <c r="I10543" s="135" t="n">
        <f aca="false">$G10543*'Analyse capacite'!$C$9</f>
        <v>0</v>
      </c>
      <c r="J10543" s="135" t="n">
        <f aca="false">$G10543*'Analyse capacite'!$D$9</f>
        <v>0</v>
      </c>
      <c r="K10543" s="135" t="n">
        <f aca="false">$G10543*'Analyse capacite'!$E$9</f>
        <v>0</v>
      </c>
    </row>
    <row r="10544" customFormat="false" ht="15" hidden="false" customHeight="false" outlineLevel="0" collapsed="false">
      <c r="B10544" s="130" t="n">
        <v>2028</v>
      </c>
      <c r="C10544" s="131" t="s">
        <v>255</v>
      </c>
      <c r="D10544" s="132" t="n">
        <v>46770</v>
      </c>
      <c r="E10544" s="131" t="s">
        <v>56</v>
      </c>
      <c r="F10544" s="133" t="s">
        <v>11</v>
      </c>
      <c r="G10544" s="134" t="n">
        <f aca="false">LEN('Saisie programme'!$E$391)+SUMIFS('Vols additionnels'!$E$7:$E$66,'Vols additionnels'!$C$7:$C$66,$E10544,'Vols additionnels'!$D$7:$D$66,$F10544,'Vols additionnels'!$B$7:$B$66,$D10544)</f>
        <v>0</v>
      </c>
      <c r="H10544" s="135" t="n">
        <f aca="false">$G10544*'Analyse capacite'!$F$7</f>
        <v>0</v>
      </c>
      <c r="I10544" s="135" t="n">
        <f aca="false">$G10544*'Analyse capacite'!$C$7</f>
        <v>0</v>
      </c>
      <c r="J10544" s="135" t="n">
        <f aca="false">$G10544*'Analyse capacite'!$D$7</f>
        <v>0</v>
      </c>
      <c r="K10544" s="135" t="n">
        <f aca="false">$G10544*'Analyse capacite'!$E$7</f>
        <v>0</v>
      </c>
    </row>
    <row r="10545" customFormat="false" ht="15" hidden="false" customHeight="false" outlineLevel="0" collapsed="false">
      <c r="B10545" s="130" t="n">
        <v>2028</v>
      </c>
      <c r="C10545" s="131" t="s">
        <v>255</v>
      </c>
      <c r="D10545" s="132" t="n">
        <v>46770</v>
      </c>
      <c r="E10545" s="131" t="s">
        <v>56</v>
      </c>
      <c r="F10545" s="133" t="s">
        <v>19</v>
      </c>
      <c r="G10545" s="134" t="n">
        <f aca="false">LEN('Saisie programme'!$E$392)+SUMIFS('Vols additionnels'!$E$7:$E$66,'Vols additionnels'!$C$7:$C$66,$E10545,'Vols additionnels'!$D$7:$D$66,$F10545,'Vols additionnels'!$B$7:$B$66,$D10545)</f>
        <v>0</v>
      </c>
      <c r="H10545" s="135" t="n">
        <f aca="false">$G10545*'Analyse capacite'!$F$8</f>
        <v>0</v>
      </c>
      <c r="I10545" s="135" t="n">
        <f aca="false">$G10545*'Analyse capacite'!$C$8</f>
        <v>0</v>
      </c>
      <c r="J10545" s="135" t="n">
        <f aca="false">$G10545*'Analyse capacite'!$D$8</f>
        <v>0</v>
      </c>
      <c r="K10545" s="135" t="n">
        <f aca="false">$G10545*'Analyse capacite'!$E$8</f>
        <v>0</v>
      </c>
    </row>
    <row r="10546" customFormat="false" ht="15" hidden="false" customHeight="false" outlineLevel="0" collapsed="false">
      <c r="B10546" s="130" t="n">
        <v>2028</v>
      </c>
      <c r="C10546" s="131" t="s">
        <v>255</v>
      </c>
      <c r="D10546" s="132" t="n">
        <v>46770</v>
      </c>
      <c r="E10546" s="131" t="s">
        <v>56</v>
      </c>
      <c r="F10546" s="133" t="s">
        <v>24</v>
      </c>
      <c r="G10546" s="134" t="n">
        <f aca="false">LEN('Saisie programme'!$E$393)+SUMIFS('Vols additionnels'!$E$7:$E$66,'Vols additionnels'!$C$7:$C$66,$E10546,'Vols additionnels'!$D$7:$D$66,$F10546,'Vols additionnels'!$B$7:$B$66,$D10546)</f>
        <v>1</v>
      </c>
      <c r="H10546" s="135" t="n">
        <f aca="false">$G10546*'Analyse capacite'!$F$9</f>
        <v>174</v>
      </c>
      <c r="I10546" s="135" t="n">
        <f aca="false">$G10546*'Analyse capacite'!$C$9</f>
        <v>0</v>
      </c>
      <c r="J10546" s="135" t="n">
        <f aca="false">$G10546*'Analyse capacite'!$D$9</f>
        <v>12</v>
      </c>
      <c r="K10546" s="135" t="n">
        <f aca="false">$G10546*'Analyse capacite'!$E$9</f>
        <v>162</v>
      </c>
    </row>
    <row r="10547" customFormat="false" ht="15" hidden="false" customHeight="false" outlineLevel="0" collapsed="false">
      <c r="B10547" s="130" t="n">
        <v>2028</v>
      </c>
      <c r="C10547" s="131" t="s">
        <v>255</v>
      </c>
      <c r="D10547" s="132" t="n">
        <v>46770</v>
      </c>
      <c r="E10547" s="131" t="s">
        <v>59</v>
      </c>
      <c r="F10547" s="133" t="s">
        <v>11</v>
      </c>
      <c r="G10547" s="134" t="n">
        <f aca="false">LEN('Saisie programme'!$E$394)+SUMIFS('Vols additionnels'!$E$7:$E$66,'Vols additionnels'!$C$7:$C$66,$E10547,'Vols additionnels'!$D$7:$D$66,$F10547,'Vols additionnels'!$B$7:$B$66,$D10547)</f>
        <v>0</v>
      </c>
      <c r="H10547" s="135" t="n">
        <f aca="false">$G10547*'Analyse capacite'!$F$7</f>
        <v>0</v>
      </c>
      <c r="I10547" s="135" t="n">
        <f aca="false">$G10547*'Analyse capacite'!$C$7</f>
        <v>0</v>
      </c>
      <c r="J10547" s="135" t="n">
        <f aca="false">$G10547*'Analyse capacite'!$D$7</f>
        <v>0</v>
      </c>
      <c r="K10547" s="135" t="n">
        <f aca="false">$G10547*'Analyse capacite'!$E$7</f>
        <v>0</v>
      </c>
    </row>
    <row r="10548" customFormat="false" ht="15" hidden="false" customHeight="false" outlineLevel="0" collapsed="false">
      <c r="B10548" s="130" t="n">
        <v>2028</v>
      </c>
      <c r="C10548" s="131" t="s">
        <v>255</v>
      </c>
      <c r="D10548" s="132" t="n">
        <v>46770</v>
      </c>
      <c r="E10548" s="131" t="s">
        <v>59</v>
      </c>
      <c r="F10548" s="133" t="s">
        <v>19</v>
      </c>
      <c r="G10548" s="134" t="n">
        <f aca="false">LEN('Saisie programme'!$E$395)+SUMIFS('Vols additionnels'!$E$7:$E$66,'Vols additionnels'!$C$7:$C$66,$E10548,'Vols additionnels'!$D$7:$D$66,$F10548,'Vols additionnels'!$B$7:$B$66,$D10548)</f>
        <v>0</v>
      </c>
      <c r="H10548" s="135" t="n">
        <f aca="false">$G10548*'Analyse capacite'!$F$8</f>
        <v>0</v>
      </c>
      <c r="I10548" s="135" t="n">
        <f aca="false">$G10548*'Analyse capacite'!$C$8</f>
        <v>0</v>
      </c>
      <c r="J10548" s="135" t="n">
        <f aca="false">$G10548*'Analyse capacite'!$D$8</f>
        <v>0</v>
      </c>
      <c r="K10548" s="135" t="n">
        <f aca="false">$G10548*'Analyse capacite'!$E$8</f>
        <v>0</v>
      </c>
    </row>
    <row r="10549" customFormat="false" ht="15" hidden="false" customHeight="false" outlineLevel="0" collapsed="false">
      <c r="B10549" s="130" t="n">
        <v>2028</v>
      </c>
      <c r="C10549" s="131" t="s">
        <v>255</v>
      </c>
      <c r="D10549" s="132" t="n">
        <v>46770</v>
      </c>
      <c r="E10549" s="131" t="s">
        <v>59</v>
      </c>
      <c r="F10549" s="133" t="s">
        <v>24</v>
      </c>
      <c r="G10549" s="134" t="n">
        <f aca="false">LEN('Saisie programme'!$E$396)+SUMIFS('Vols additionnels'!$E$7:$E$66,'Vols additionnels'!$C$7:$C$66,$E10549,'Vols additionnels'!$D$7:$D$66,$F10549,'Vols additionnels'!$B$7:$B$66,$D10549)</f>
        <v>1</v>
      </c>
      <c r="H10549" s="135" t="n">
        <f aca="false">$G10549*'Analyse capacite'!$F$9</f>
        <v>174</v>
      </c>
      <c r="I10549" s="135" t="n">
        <f aca="false">$G10549*'Analyse capacite'!$C$9</f>
        <v>0</v>
      </c>
      <c r="J10549" s="135" t="n">
        <f aca="false">$G10549*'Analyse capacite'!$D$9</f>
        <v>12</v>
      </c>
      <c r="K10549" s="135" t="n">
        <f aca="false">$G10549*'Analyse capacite'!$E$9</f>
        <v>162</v>
      </c>
    </row>
    <row r="10550" customFormat="false" ht="15" hidden="false" customHeight="false" outlineLevel="0" collapsed="false">
      <c r="B10550" s="130" t="n">
        <v>2028</v>
      </c>
      <c r="C10550" s="131" t="s">
        <v>255</v>
      </c>
      <c r="D10550" s="132" t="n">
        <v>46770</v>
      </c>
      <c r="E10550" s="131" t="s">
        <v>62</v>
      </c>
      <c r="F10550" s="133" t="s">
        <v>11</v>
      </c>
      <c r="G10550" s="134" t="n">
        <f aca="false">LEN('Saisie programme'!$E$397)+SUMIFS('Vols additionnels'!$E$7:$E$66,'Vols additionnels'!$C$7:$C$66,$E10550,'Vols additionnels'!$D$7:$D$66,$F10550,'Vols additionnels'!$B$7:$B$66,$D10550)</f>
        <v>0</v>
      </c>
      <c r="H10550" s="135" t="n">
        <f aca="false">$G10550*'Analyse capacite'!$F$7</f>
        <v>0</v>
      </c>
      <c r="I10550" s="135" t="n">
        <f aca="false">$G10550*'Analyse capacite'!$C$7</f>
        <v>0</v>
      </c>
      <c r="J10550" s="135" t="n">
        <f aca="false">$G10550*'Analyse capacite'!$D$7</f>
        <v>0</v>
      </c>
      <c r="K10550" s="135" t="n">
        <f aca="false">$G10550*'Analyse capacite'!$E$7</f>
        <v>0</v>
      </c>
    </row>
    <row r="10551" customFormat="false" ht="15" hidden="false" customHeight="false" outlineLevel="0" collapsed="false">
      <c r="B10551" s="130" t="n">
        <v>2028</v>
      </c>
      <c r="C10551" s="131" t="s">
        <v>255</v>
      </c>
      <c r="D10551" s="132" t="n">
        <v>46770</v>
      </c>
      <c r="E10551" s="131" t="s">
        <v>62</v>
      </c>
      <c r="F10551" s="133" t="s">
        <v>19</v>
      </c>
      <c r="G10551" s="134" t="n">
        <f aca="false">LEN('Saisie programme'!$E$398)+SUMIFS('Vols additionnels'!$E$7:$E$66,'Vols additionnels'!$C$7:$C$66,$E10551,'Vols additionnels'!$D$7:$D$66,$F10551,'Vols additionnels'!$B$7:$B$66,$D10551)</f>
        <v>0</v>
      </c>
      <c r="H10551" s="135" t="n">
        <f aca="false">$G10551*'Analyse capacite'!$F$8</f>
        <v>0</v>
      </c>
      <c r="I10551" s="135" t="n">
        <f aca="false">$G10551*'Analyse capacite'!$C$8</f>
        <v>0</v>
      </c>
      <c r="J10551" s="135" t="n">
        <f aca="false">$G10551*'Analyse capacite'!$D$8</f>
        <v>0</v>
      </c>
      <c r="K10551" s="135" t="n">
        <f aca="false">$G10551*'Analyse capacite'!$E$8</f>
        <v>0</v>
      </c>
    </row>
    <row r="10552" customFormat="false" ht="15" hidden="false" customHeight="false" outlineLevel="0" collapsed="false">
      <c r="B10552" s="130" t="n">
        <v>2028</v>
      </c>
      <c r="C10552" s="131" t="s">
        <v>255</v>
      </c>
      <c r="D10552" s="132" t="n">
        <v>46770</v>
      </c>
      <c r="E10552" s="131" t="s">
        <v>62</v>
      </c>
      <c r="F10552" s="133" t="s">
        <v>24</v>
      </c>
      <c r="G10552" s="134" t="n">
        <f aca="false">LEN('Saisie programme'!$E$399)+SUMIFS('Vols additionnels'!$E$7:$E$66,'Vols additionnels'!$C$7:$C$66,$E10552,'Vols additionnels'!$D$7:$D$66,$F10552,'Vols additionnels'!$B$7:$B$66,$D10552)</f>
        <v>0</v>
      </c>
      <c r="H10552" s="135" t="n">
        <f aca="false">$G10552*'Analyse capacite'!$F$9</f>
        <v>0</v>
      </c>
      <c r="I10552" s="135" t="n">
        <f aca="false">$G10552*'Analyse capacite'!$C$9</f>
        <v>0</v>
      </c>
      <c r="J10552" s="135" t="n">
        <f aca="false">$G10552*'Analyse capacite'!$D$9</f>
        <v>0</v>
      </c>
      <c r="K10552" s="135" t="n">
        <f aca="false">$G10552*'Analyse capacite'!$E$9</f>
        <v>0</v>
      </c>
    </row>
    <row r="10553" customFormat="false" ht="15" hidden="false" customHeight="false" outlineLevel="0" collapsed="false">
      <c r="B10553" s="130" t="n">
        <v>2028</v>
      </c>
      <c r="C10553" s="131" t="s">
        <v>255</v>
      </c>
      <c r="D10553" s="132" t="n">
        <v>46771</v>
      </c>
      <c r="E10553" s="131" t="s">
        <v>12</v>
      </c>
      <c r="F10553" s="133" t="s">
        <v>11</v>
      </c>
      <c r="G10553" s="134" t="n">
        <f aca="false">LEN('Saisie programme'!$F$364)+SUMIFS('Vols additionnels'!$E$7:$E$66,'Vols additionnels'!$C$7:$C$66,$E10553,'Vols additionnels'!$D$7:$D$66,$F10553,'Vols additionnels'!$B$7:$B$66,$D10553)</f>
        <v>1</v>
      </c>
      <c r="H10553" s="135" t="n">
        <f aca="false">$G10553*'Analyse capacite'!$F$7</f>
        <v>438</v>
      </c>
      <c r="I10553" s="135" t="n">
        <f aca="false">$G10553*'Analyse capacite'!$C$7</f>
        <v>14</v>
      </c>
      <c r="J10553" s="135" t="n">
        <f aca="false">$G10553*'Analyse capacite'!$D$7</f>
        <v>40</v>
      </c>
      <c r="K10553" s="135" t="n">
        <f aca="false">$G10553*'Analyse capacite'!$E$7</f>
        <v>384</v>
      </c>
    </row>
    <row r="10554" customFormat="false" ht="15" hidden="false" customHeight="false" outlineLevel="0" collapsed="false">
      <c r="B10554" s="130" t="n">
        <v>2028</v>
      </c>
      <c r="C10554" s="131" t="s">
        <v>255</v>
      </c>
      <c r="D10554" s="132" t="n">
        <v>46771</v>
      </c>
      <c r="E10554" s="131" t="s">
        <v>12</v>
      </c>
      <c r="F10554" s="133" t="s">
        <v>19</v>
      </c>
      <c r="G10554" s="134" t="n">
        <f aca="false">LEN('Saisie programme'!$F$365)+SUMIFS('Vols additionnels'!$E$7:$E$66,'Vols additionnels'!$C$7:$C$66,$E10554,'Vols additionnels'!$D$7:$D$66,$F10554,'Vols additionnels'!$B$7:$B$66,$D10554)</f>
        <v>0</v>
      </c>
      <c r="H10554" s="135" t="n">
        <f aca="false">$G10554*'Analyse capacite'!$F$8</f>
        <v>0</v>
      </c>
      <c r="I10554" s="135" t="n">
        <f aca="false">$G10554*'Analyse capacite'!$C$8</f>
        <v>0</v>
      </c>
      <c r="J10554" s="135" t="n">
        <f aca="false">$G10554*'Analyse capacite'!$D$8</f>
        <v>0</v>
      </c>
      <c r="K10554" s="135" t="n">
        <f aca="false">$G10554*'Analyse capacite'!$E$8</f>
        <v>0</v>
      </c>
    </row>
    <row r="10555" customFormat="false" ht="15" hidden="false" customHeight="false" outlineLevel="0" collapsed="false">
      <c r="B10555" s="130" t="n">
        <v>2028</v>
      </c>
      <c r="C10555" s="131" t="s">
        <v>255</v>
      </c>
      <c r="D10555" s="132" t="n">
        <v>46771</v>
      </c>
      <c r="E10555" s="131" t="s">
        <v>12</v>
      </c>
      <c r="F10555" s="133" t="s">
        <v>24</v>
      </c>
      <c r="G10555" s="134" t="n">
        <f aca="false">LEN('Saisie programme'!$F$366)+SUMIFS('Vols additionnels'!$E$7:$E$66,'Vols additionnels'!$C$7:$C$66,$E10555,'Vols additionnels'!$D$7:$D$66,$F10555,'Vols additionnels'!$B$7:$B$66,$D10555)</f>
        <v>0</v>
      </c>
      <c r="H10555" s="135" t="n">
        <f aca="false">$G10555*'Analyse capacite'!$F$9</f>
        <v>0</v>
      </c>
      <c r="I10555" s="135" t="n">
        <f aca="false">$G10555*'Analyse capacite'!$C$9</f>
        <v>0</v>
      </c>
      <c r="J10555" s="135" t="n">
        <f aca="false">$G10555*'Analyse capacite'!$D$9</f>
        <v>0</v>
      </c>
      <c r="K10555" s="135" t="n">
        <f aca="false">$G10555*'Analyse capacite'!$E$9</f>
        <v>0</v>
      </c>
    </row>
    <row r="10556" customFormat="false" ht="15" hidden="false" customHeight="false" outlineLevel="0" collapsed="false">
      <c r="B10556" s="130" t="n">
        <v>2028</v>
      </c>
      <c r="C10556" s="131" t="s">
        <v>255</v>
      </c>
      <c r="D10556" s="132" t="n">
        <v>46771</v>
      </c>
      <c r="E10556" s="131" t="s">
        <v>20</v>
      </c>
      <c r="F10556" s="133" t="s">
        <v>11</v>
      </c>
      <c r="G10556" s="134" t="n">
        <f aca="false">LEN('Saisie programme'!$F$367)+SUMIFS('Vols additionnels'!$E$7:$E$66,'Vols additionnels'!$C$7:$C$66,$E10556,'Vols additionnels'!$D$7:$D$66,$F10556,'Vols additionnels'!$B$7:$B$66,$D10556)</f>
        <v>0</v>
      </c>
      <c r="H10556" s="135" t="n">
        <f aca="false">$G10556*'Analyse capacite'!$F$7</f>
        <v>0</v>
      </c>
      <c r="I10556" s="135" t="n">
        <f aca="false">$G10556*'Analyse capacite'!$C$7</f>
        <v>0</v>
      </c>
      <c r="J10556" s="135" t="n">
        <f aca="false">$G10556*'Analyse capacite'!$D$7</f>
        <v>0</v>
      </c>
      <c r="K10556" s="135" t="n">
        <f aca="false">$G10556*'Analyse capacite'!$E$7</f>
        <v>0</v>
      </c>
    </row>
    <row r="10557" customFormat="false" ht="15" hidden="false" customHeight="false" outlineLevel="0" collapsed="false">
      <c r="B10557" s="130" t="n">
        <v>2028</v>
      </c>
      <c r="C10557" s="131" t="s">
        <v>255</v>
      </c>
      <c r="D10557" s="132" t="n">
        <v>46771</v>
      </c>
      <c r="E10557" s="131" t="s">
        <v>20</v>
      </c>
      <c r="F10557" s="133" t="s">
        <v>19</v>
      </c>
      <c r="G10557" s="134" t="n">
        <f aca="false">LEN('Saisie programme'!$F$368)+SUMIFS('Vols additionnels'!$E$7:$E$66,'Vols additionnels'!$C$7:$C$66,$E10557,'Vols additionnels'!$D$7:$D$66,$F10557,'Vols additionnels'!$B$7:$B$66,$D10557)</f>
        <v>0</v>
      </c>
      <c r="H10557" s="135" t="n">
        <f aca="false">$G10557*'Analyse capacite'!$F$8</f>
        <v>0</v>
      </c>
      <c r="I10557" s="135" t="n">
        <f aca="false">$G10557*'Analyse capacite'!$C$8</f>
        <v>0</v>
      </c>
      <c r="J10557" s="135" t="n">
        <f aca="false">$G10557*'Analyse capacite'!$D$8</f>
        <v>0</v>
      </c>
      <c r="K10557" s="135" t="n">
        <f aca="false">$G10557*'Analyse capacite'!$E$8</f>
        <v>0</v>
      </c>
    </row>
    <row r="10558" customFormat="false" ht="15" hidden="false" customHeight="false" outlineLevel="0" collapsed="false">
      <c r="B10558" s="130" t="n">
        <v>2028</v>
      </c>
      <c r="C10558" s="131" t="s">
        <v>255</v>
      </c>
      <c r="D10558" s="132" t="n">
        <v>46771</v>
      </c>
      <c r="E10558" s="131" t="s">
        <v>20</v>
      </c>
      <c r="F10558" s="133" t="s">
        <v>24</v>
      </c>
      <c r="G10558" s="134" t="n">
        <f aca="false">LEN('Saisie programme'!$F$369)+SUMIFS('Vols additionnels'!$E$7:$E$66,'Vols additionnels'!$C$7:$C$66,$E10558,'Vols additionnels'!$D$7:$D$66,$F10558,'Vols additionnels'!$B$7:$B$66,$D10558)</f>
        <v>0</v>
      </c>
      <c r="H10558" s="135" t="n">
        <f aca="false">$G10558*'Analyse capacite'!$F$9</f>
        <v>0</v>
      </c>
      <c r="I10558" s="135" t="n">
        <f aca="false">$G10558*'Analyse capacite'!$C$9</f>
        <v>0</v>
      </c>
      <c r="J10558" s="135" t="n">
        <f aca="false">$G10558*'Analyse capacite'!$D$9</f>
        <v>0</v>
      </c>
      <c r="K10558" s="135" t="n">
        <f aca="false">$G10558*'Analyse capacite'!$E$9</f>
        <v>0</v>
      </c>
    </row>
    <row r="10559" customFormat="false" ht="15" hidden="false" customHeight="false" outlineLevel="0" collapsed="false">
      <c r="B10559" s="130" t="n">
        <v>2028</v>
      </c>
      <c r="C10559" s="131" t="s">
        <v>255</v>
      </c>
      <c r="D10559" s="132" t="n">
        <v>46771</v>
      </c>
      <c r="E10559" s="131" t="s">
        <v>25</v>
      </c>
      <c r="F10559" s="133" t="s">
        <v>11</v>
      </c>
      <c r="G10559" s="134" t="n">
        <f aca="false">LEN('Saisie programme'!$F$370)+SUMIFS('Vols additionnels'!$E$7:$E$66,'Vols additionnels'!$C$7:$C$66,$E10559,'Vols additionnels'!$D$7:$D$66,$F10559,'Vols additionnels'!$B$7:$B$66,$D10559)</f>
        <v>0</v>
      </c>
      <c r="H10559" s="135" t="n">
        <f aca="false">$G10559*'Analyse capacite'!$F$7</f>
        <v>0</v>
      </c>
      <c r="I10559" s="135" t="n">
        <f aca="false">$G10559*'Analyse capacite'!$C$7</f>
        <v>0</v>
      </c>
      <c r="J10559" s="135" t="n">
        <f aca="false">$G10559*'Analyse capacite'!$D$7</f>
        <v>0</v>
      </c>
      <c r="K10559" s="135" t="n">
        <f aca="false">$G10559*'Analyse capacite'!$E$7</f>
        <v>0</v>
      </c>
    </row>
    <row r="10560" customFormat="false" ht="15" hidden="false" customHeight="false" outlineLevel="0" collapsed="false">
      <c r="B10560" s="130" t="n">
        <v>2028</v>
      </c>
      <c r="C10560" s="131" t="s">
        <v>255</v>
      </c>
      <c r="D10560" s="132" t="n">
        <v>46771</v>
      </c>
      <c r="E10560" s="131" t="s">
        <v>25</v>
      </c>
      <c r="F10560" s="133" t="s">
        <v>19</v>
      </c>
      <c r="G10560" s="134" t="n">
        <f aca="false">LEN('Saisie programme'!$F$371)+SUMIFS('Vols additionnels'!$E$7:$E$66,'Vols additionnels'!$C$7:$C$66,$E10560,'Vols additionnels'!$D$7:$D$66,$F10560,'Vols additionnels'!$B$7:$B$66,$D10560)</f>
        <v>1</v>
      </c>
      <c r="H10560" s="135" t="n">
        <f aca="false">$G10560*'Analyse capacite'!$F$8</f>
        <v>262</v>
      </c>
      <c r="I10560" s="135" t="n">
        <f aca="false">$G10560*'Analyse capacite'!$C$8</f>
        <v>18</v>
      </c>
      <c r="J10560" s="135" t="n">
        <f aca="false">$G10560*'Analyse capacite'!$D$8</f>
        <v>0</v>
      </c>
      <c r="K10560" s="135" t="n">
        <f aca="false">$G10560*'Analyse capacite'!$E$8</f>
        <v>244</v>
      </c>
    </row>
    <row r="10561" customFormat="false" ht="15" hidden="false" customHeight="false" outlineLevel="0" collapsed="false">
      <c r="B10561" s="130" t="n">
        <v>2028</v>
      </c>
      <c r="C10561" s="131" t="s">
        <v>255</v>
      </c>
      <c r="D10561" s="132" t="n">
        <v>46771</v>
      </c>
      <c r="E10561" s="131" t="s">
        <v>25</v>
      </c>
      <c r="F10561" s="133" t="s">
        <v>24</v>
      </c>
      <c r="G10561" s="134" t="n">
        <f aca="false">LEN('Saisie programme'!$F$372)+SUMIFS('Vols additionnels'!$E$7:$E$66,'Vols additionnels'!$C$7:$C$66,$E10561,'Vols additionnels'!$D$7:$D$66,$F10561,'Vols additionnels'!$B$7:$B$66,$D10561)</f>
        <v>0</v>
      </c>
      <c r="H10561" s="135" t="n">
        <f aca="false">$G10561*'Analyse capacite'!$F$9</f>
        <v>0</v>
      </c>
      <c r="I10561" s="135" t="n">
        <f aca="false">$G10561*'Analyse capacite'!$C$9</f>
        <v>0</v>
      </c>
      <c r="J10561" s="135" t="n">
        <f aca="false">$G10561*'Analyse capacite'!$D$9</f>
        <v>0</v>
      </c>
      <c r="K10561" s="135" t="n">
        <f aca="false">$G10561*'Analyse capacite'!$E$9</f>
        <v>0</v>
      </c>
    </row>
    <row r="10562" customFormat="false" ht="15" hidden="false" customHeight="false" outlineLevel="0" collapsed="false">
      <c r="B10562" s="130" t="n">
        <v>2028</v>
      </c>
      <c r="C10562" s="131" t="s">
        <v>255</v>
      </c>
      <c r="D10562" s="132" t="n">
        <v>46771</v>
      </c>
      <c r="E10562" s="131" t="s">
        <v>36</v>
      </c>
      <c r="F10562" s="133" t="s">
        <v>11</v>
      </c>
      <c r="G10562" s="134" t="n">
        <f aca="false">LEN('Saisie programme'!$F$373)+SUMIFS('Vols additionnels'!$E$7:$E$66,'Vols additionnels'!$C$7:$C$66,$E10562,'Vols additionnels'!$D$7:$D$66,$F10562,'Vols additionnels'!$B$7:$B$66,$D10562)</f>
        <v>0</v>
      </c>
      <c r="H10562" s="135" t="n">
        <f aca="false">$G10562*'Analyse capacite'!$F$7</f>
        <v>0</v>
      </c>
      <c r="I10562" s="135" t="n">
        <f aca="false">$G10562*'Analyse capacite'!$C$7</f>
        <v>0</v>
      </c>
      <c r="J10562" s="135" t="n">
        <f aca="false">$G10562*'Analyse capacite'!$D$7</f>
        <v>0</v>
      </c>
      <c r="K10562" s="135" t="n">
        <f aca="false">$G10562*'Analyse capacite'!$E$7</f>
        <v>0</v>
      </c>
    </row>
    <row r="10563" customFormat="false" ht="15" hidden="false" customHeight="false" outlineLevel="0" collapsed="false">
      <c r="B10563" s="130" t="n">
        <v>2028</v>
      </c>
      <c r="C10563" s="131" t="s">
        <v>255</v>
      </c>
      <c r="D10563" s="132" t="n">
        <v>46771</v>
      </c>
      <c r="E10563" s="131" t="s">
        <v>36</v>
      </c>
      <c r="F10563" s="133" t="s">
        <v>19</v>
      </c>
      <c r="G10563" s="134" t="n">
        <f aca="false">LEN('Saisie programme'!$F$374)+SUMIFS('Vols additionnels'!$E$7:$E$66,'Vols additionnels'!$C$7:$C$66,$E10563,'Vols additionnels'!$D$7:$D$66,$F10563,'Vols additionnels'!$B$7:$B$66,$D10563)</f>
        <v>1</v>
      </c>
      <c r="H10563" s="135" t="n">
        <f aca="false">$G10563*'Analyse capacite'!$F$8</f>
        <v>262</v>
      </c>
      <c r="I10563" s="135" t="n">
        <f aca="false">$G10563*'Analyse capacite'!$C$8</f>
        <v>18</v>
      </c>
      <c r="J10563" s="135" t="n">
        <f aca="false">$G10563*'Analyse capacite'!$D$8</f>
        <v>0</v>
      </c>
      <c r="K10563" s="135" t="n">
        <f aca="false">$G10563*'Analyse capacite'!$E$8</f>
        <v>244</v>
      </c>
    </row>
    <row r="10564" customFormat="false" ht="15" hidden="false" customHeight="false" outlineLevel="0" collapsed="false">
      <c r="B10564" s="130" t="n">
        <v>2028</v>
      </c>
      <c r="C10564" s="131" t="s">
        <v>255</v>
      </c>
      <c r="D10564" s="132" t="n">
        <v>46771</v>
      </c>
      <c r="E10564" s="131" t="s">
        <v>36</v>
      </c>
      <c r="F10564" s="133" t="s">
        <v>24</v>
      </c>
      <c r="G10564" s="134" t="n">
        <f aca="false">LEN('Saisie programme'!$F$375)+SUMIFS('Vols additionnels'!$E$7:$E$66,'Vols additionnels'!$C$7:$C$66,$E10564,'Vols additionnels'!$D$7:$D$66,$F10564,'Vols additionnels'!$B$7:$B$66,$D10564)</f>
        <v>1</v>
      </c>
      <c r="H10564" s="135" t="n">
        <f aca="false">$G10564*'Analyse capacite'!$F$9</f>
        <v>174</v>
      </c>
      <c r="I10564" s="135" t="n">
        <f aca="false">$G10564*'Analyse capacite'!$C$9</f>
        <v>0</v>
      </c>
      <c r="J10564" s="135" t="n">
        <f aca="false">$G10564*'Analyse capacite'!$D$9</f>
        <v>12</v>
      </c>
      <c r="K10564" s="135" t="n">
        <f aca="false">$G10564*'Analyse capacite'!$E$9</f>
        <v>162</v>
      </c>
    </row>
    <row r="10565" customFormat="false" ht="15" hidden="false" customHeight="false" outlineLevel="0" collapsed="false">
      <c r="B10565" s="130" t="n">
        <v>2028</v>
      </c>
      <c r="C10565" s="131" t="s">
        <v>255</v>
      </c>
      <c r="D10565" s="132" t="n">
        <v>46771</v>
      </c>
      <c r="E10565" s="131" t="s">
        <v>40</v>
      </c>
      <c r="F10565" s="133" t="s">
        <v>11</v>
      </c>
      <c r="G10565" s="134" t="n">
        <f aca="false">LEN('Saisie programme'!$F$376)+SUMIFS('Vols additionnels'!$E$7:$E$66,'Vols additionnels'!$C$7:$C$66,$E10565,'Vols additionnels'!$D$7:$D$66,$F10565,'Vols additionnels'!$B$7:$B$66,$D10565)</f>
        <v>0</v>
      </c>
      <c r="H10565" s="135" t="n">
        <f aca="false">$G10565*'Analyse capacite'!$F$7</f>
        <v>0</v>
      </c>
      <c r="I10565" s="135" t="n">
        <f aca="false">$G10565*'Analyse capacite'!$C$7</f>
        <v>0</v>
      </c>
      <c r="J10565" s="135" t="n">
        <f aca="false">$G10565*'Analyse capacite'!$D$7</f>
        <v>0</v>
      </c>
      <c r="K10565" s="135" t="n">
        <f aca="false">$G10565*'Analyse capacite'!$E$7</f>
        <v>0</v>
      </c>
    </row>
    <row r="10566" customFormat="false" ht="15" hidden="false" customHeight="false" outlineLevel="0" collapsed="false">
      <c r="B10566" s="130" t="n">
        <v>2028</v>
      </c>
      <c r="C10566" s="131" t="s">
        <v>255</v>
      </c>
      <c r="D10566" s="132" t="n">
        <v>46771</v>
      </c>
      <c r="E10566" s="131" t="s">
        <v>40</v>
      </c>
      <c r="F10566" s="133" t="s">
        <v>19</v>
      </c>
      <c r="G10566" s="134" t="n">
        <f aca="false">LEN('Saisie programme'!$F$377)+SUMIFS('Vols additionnels'!$E$7:$E$66,'Vols additionnels'!$C$7:$C$66,$E10566,'Vols additionnels'!$D$7:$D$66,$F10566,'Vols additionnels'!$B$7:$B$66,$D10566)</f>
        <v>0</v>
      </c>
      <c r="H10566" s="135" t="n">
        <f aca="false">$G10566*'Analyse capacite'!$F$8</f>
        <v>0</v>
      </c>
      <c r="I10566" s="135" t="n">
        <f aca="false">$G10566*'Analyse capacite'!$C$8</f>
        <v>0</v>
      </c>
      <c r="J10566" s="135" t="n">
        <f aca="false">$G10566*'Analyse capacite'!$D$8</f>
        <v>0</v>
      </c>
      <c r="K10566" s="135" t="n">
        <f aca="false">$G10566*'Analyse capacite'!$E$8</f>
        <v>0</v>
      </c>
    </row>
    <row r="10567" customFormat="false" ht="15" hidden="false" customHeight="false" outlineLevel="0" collapsed="false">
      <c r="B10567" s="130" t="n">
        <v>2028</v>
      </c>
      <c r="C10567" s="131" t="s">
        <v>255</v>
      </c>
      <c r="D10567" s="132" t="n">
        <v>46771</v>
      </c>
      <c r="E10567" s="131" t="s">
        <v>40</v>
      </c>
      <c r="F10567" s="133" t="s">
        <v>24</v>
      </c>
      <c r="G10567" s="134" t="n">
        <f aca="false">LEN('Saisie programme'!$F$378)+SUMIFS('Vols additionnels'!$E$7:$E$66,'Vols additionnels'!$C$7:$C$66,$E10567,'Vols additionnels'!$D$7:$D$66,$F10567,'Vols additionnels'!$B$7:$B$66,$D10567)</f>
        <v>1</v>
      </c>
      <c r="H10567" s="135" t="n">
        <f aca="false">$G10567*'Analyse capacite'!$F$9</f>
        <v>174</v>
      </c>
      <c r="I10567" s="135" t="n">
        <f aca="false">$G10567*'Analyse capacite'!$C$9</f>
        <v>0</v>
      </c>
      <c r="J10567" s="135" t="n">
        <f aca="false">$G10567*'Analyse capacite'!$D$9</f>
        <v>12</v>
      </c>
      <c r="K10567" s="135" t="n">
        <f aca="false">$G10567*'Analyse capacite'!$E$9</f>
        <v>162</v>
      </c>
    </row>
    <row r="10568" customFormat="false" ht="15" hidden="false" customHeight="false" outlineLevel="0" collapsed="false">
      <c r="B10568" s="130" t="n">
        <v>2028</v>
      </c>
      <c r="C10568" s="131" t="s">
        <v>255</v>
      </c>
      <c r="D10568" s="132" t="n">
        <v>46771</v>
      </c>
      <c r="E10568" s="131" t="s">
        <v>14</v>
      </c>
      <c r="F10568" s="133" t="s">
        <v>11</v>
      </c>
      <c r="G10568" s="134" t="n">
        <f aca="false">LEN('Saisie programme'!$F$379)+SUMIFS('Vols additionnels'!$E$7:$E$66,'Vols additionnels'!$C$7:$C$66,$E10568,'Vols additionnels'!$D$7:$D$66,$F10568,'Vols additionnels'!$B$7:$B$66,$D10568)</f>
        <v>0</v>
      </c>
      <c r="H10568" s="135" t="n">
        <f aca="false">$G10568*'Analyse capacite'!$F$7</f>
        <v>0</v>
      </c>
      <c r="I10568" s="135" t="n">
        <f aca="false">$G10568*'Analyse capacite'!$C$7</f>
        <v>0</v>
      </c>
      <c r="J10568" s="135" t="n">
        <f aca="false">$G10568*'Analyse capacite'!$D$7</f>
        <v>0</v>
      </c>
      <c r="K10568" s="135" t="n">
        <f aca="false">$G10568*'Analyse capacite'!$E$7</f>
        <v>0</v>
      </c>
    </row>
    <row r="10569" customFormat="false" ht="15" hidden="false" customHeight="false" outlineLevel="0" collapsed="false">
      <c r="B10569" s="130" t="n">
        <v>2028</v>
      </c>
      <c r="C10569" s="131" t="s">
        <v>255</v>
      </c>
      <c r="D10569" s="132" t="n">
        <v>46771</v>
      </c>
      <c r="E10569" s="131" t="s">
        <v>14</v>
      </c>
      <c r="F10569" s="133" t="s">
        <v>19</v>
      </c>
      <c r="G10569" s="134" t="n">
        <f aca="false">LEN('Saisie programme'!$F$380)+SUMIFS('Vols additionnels'!$E$7:$E$66,'Vols additionnels'!$C$7:$C$66,$E10569,'Vols additionnels'!$D$7:$D$66,$F10569,'Vols additionnels'!$B$7:$B$66,$D10569)</f>
        <v>0</v>
      </c>
      <c r="H10569" s="135" t="n">
        <f aca="false">$G10569*'Analyse capacite'!$F$8</f>
        <v>0</v>
      </c>
      <c r="I10569" s="135" t="n">
        <f aca="false">$G10569*'Analyse capacite'!$C$8</f>
        <v>0</v>
      </c>
      <c r="J10569" s="135" t="n">
        <f aca="false">$G10569*'Analyse capacite'!$D$8</f>
        <v>0</v>
      </c>
      <c r="K10569" s="135" t="n">
        <f aca="false">$G10569*'Analyse capacite'!$E$8</f>
        <v>0</v>
      </c>
    </row>
    <row r="10570" customFormat="false" ht="15" hidden="false" customHeight="false" outlineLevel="0" collapsed="false">
      <c r="B10570" s="130" t="n">
        <v>2028</v>
      </c>
      <c r="C10570" s="131" t="s">
        <v>255</v>
      </c>
      <c r="D10570" s="132" t="n">
        <v>46771</v>
      </c>
      <c r="E10570" s="131" t="s">
        <v>14</v>
      </c>
      <c r="F10570" s="133" t="s">
        <v>24</v>
      </c>
      <c r="G10570" s="134" t="n">
        <f aca="false">LEN('Saisie programme'!$F$381)+SUMIFS('Vols additionnels'!$E$7:$E$66,'Vols additionnels'!$C$7:$C$66,$E10570,'Vols additionnels'!$D$7:$D$66,$F10570,'Vols additionnels'!$B$7:$B$66,$D10570)</f>
        <v>0</v>
      </c>
      <c r="H10570" s="135" t="n">
        <f aca="false">$G10570*'Analyse capacite'!$F$9</f>
        <v>0</v>
      </c>
      <c r="I10570" s="135" t="n">
        <f aca="false">$G10570*'Analyse capacite'!$C$9</f>
        <v>0</v>
      </c>
      <c r="J10570" s="135" t="n">
        <f aca="false">$G10570*'Analyse capacite'!$D$9</f>
        <v>0</v>
      </c>
      <c r="K10570" s="135" t="n">
        <f aca="false">$G10570*'Analyse capacite'!$E$9</f>
        <v>0</v>
      </c>
    </row>
    <row r="10571" customFormat="false" ht="15" hidden="false" customHeight="false" outlineLevel="0" collapsed="false">
      <c r="B10571" s="130" t="n">
        <v>2028</v>
      </c>
      <c r="C10571" s="131" t="s">
        <v>255</v>
      </c>
      <c r="D10571" s="132" t="n">
        <v>46771</v>
      </c>
      <c r="E10571" s="131" t="s">
        <v>46</v>
      </c>
      <c r="F10571" s="133" t="s">
        <v>11</v>
      </c>
      <c r="G10571" s="134" t="n">
        <f aca="false">LEN('Saisie programme'!$F$382)+SUMIFS('Vols additionnels'!$E$7:$E$66,'Vols additionnels'!$C$7:$C$66,$E10571,'Vols additionnels'!$D$7:$D$66,$F10571,'Vols additionnels'!$B$7:$B$66,$D10571)</f>
        <v>0</v>
      </c>
      <c r="H10571" s="135" t="n">
        <f aca="false">$G10571*'Analyse capacite'!$F$7</f>
        <v>0</v>
      </c>
      <c r="I10571" s="135" t="n">
        <f aca="false">$G10571*'Analyse capacite'!$C$7</f>
        <v>0</v>
      </c>
      <c r="J10571" s="135" t="n">
        <f aca="false">$G10571*'Analyse capacite'!$D$7</f>
        <v>0</v>
      </c>
      <c r="K10571" s="135" t="n">
        <f aca="false">$G10571*'Analyse capacite'!$E$7</f>
        <v>0</v>
      </c>
    </row>
    <row r="10572" customFormat="false" ht="15" hidden="false" customHeight="false" outlineLevel="0" collapsed="false">
      <c r="B10572" s="130" t="n">
        <v>2028</v>
      </c>
      <c r="C10572" s="131" t="s">
        <v>255</v>
      </c>
      <c r="D10572" s="132" t="n">
        <v>46771</v>
      </c>
      <c r="E10572" s="131" t="s">
        <v>46</v>
      </c>
      <c r="F10572" s="133" t="s">
        <v>19</v>
      </c>
      <c r="G10572" s="134" t="n">
        <f aca="false">LEN('Saisie programme'!$F$383)+SUMIFS('Vols additionnels'!$E$7:$E$66,'Vols additionnels'!$C$7:$C$66,$E10572,'Vols additionnels'!$D$7:$D$66,$F10572,'Vols additionnels'!$B$7:$B$66,$D10572)</f>
        <v>0</v>
      </c>
      <c r="H10572" s="135" t="n">
        <f aca="false">$G10572*'Analyse capacite'!$F$8</f>
        <v>0</v>
      </c>
      <c r="I10572" s="135" t="n">
        <f aca="false">$G10572*'Analyse capacite'!$C$8</f>
        <v>0</v>
      </c>
      <c r="J10572" s="135" t="n">
        <f aca="false">$G10572*'Analyse capacite'!$D$8</f>
        <v>0</v>
      </c>
      <c r="K10572" s="135" t="n">
        <f aca="false">$G10572*'Analyse capacite'!$E$8</f>
        <v>0</v>
      </c>
    </row>
    <row r="10573" customFormat="false" ht="15" hidden="false" customHeight="false" outlineLevel="0" collapsed="false">
      <c r="B10573" s="130" t="n">
        <v>2028</v>
      </c>
      <c r="C10573" s="131" t="s">
        <v>255</v>
      </c>
      <c r="D10573" s="132" t="n">
        <v>46771</v>
      </c>
      <c r="E10573" s="131" t="s">
        <v>46</v>
      </c>
      <c r="F10573" s="133" t="s">
        <v>24</v>
      </c>
      <c r="G10573" s="134" t="n">
        <f aca="false">LEN('Saisie programme'!$F$384)+SUMIFS('Vols additionnels'!$E$7:$E$66,'Vols additionnels'!$C$7:$C$66,$E10573,'Vols additionnels'!$D$7:$D$66,$F10573,'Vols additionnels'!$B$7:$B$66,$D10573)</f>
        <v>0</v>
      </c>
      <c r="H10573" s="135" t="n">
        <f aca="false">$G10573*'Analyse capacite'!$F$9</f>
        <v>0</v>
      </c>
      <c r="I10573" s="135" t="n">
        <f aca="false">$G10573*'Analyse capacite'!$C$9</f>
        <v>0</v>
      </c>
      <c r="J10573" s="135" t="n">
        <f aca="false">$G10573*'Analyse capacite'!$D$9</f>
        <v>0</v>
      </c>
      <c r="K10573" s="135" t="n">
        <f aca="false">$G10573*'Analyse capacite'!$E$9</f>
        <v>0</v>
      </c>
    </row>
    <row r="10574" customFormat="false" ht="15" hidden="false" customHeight="false" outlineLevel="0" collapsed="false">
      <c r="B10574" s="130" t="n">
        <v>2028</v>
      </c>
      <c r="C10574" s="131" t="s">
        <v>255</v>
      </c>
      <c r="D10574" s="132" t="n">
        <v>46771</v>
      </c>
      <c r="E10574" s="131" t="s">
        <v>49</v>
      </c>
      <c r="F10574" s="133" t="s">
        <v>11</v>
      </c>
      <c r="G10574" s="134" t="n">
        <f aca="false">LEN('Saisie programme'!$F$385)+SUMIFS('Vols additionnels'!$E$7:$E$66,'Vols additionnels'!$C$7:$C$66,$E10574,'Vols additionnels'!$D$7:$D$66,$F10574,'Vols additionnels'!$B$7:$B$66,$D10574)</f>
        <v>0</v>
      </c>
      <c r="H10574" s="135" t="n">
        <f aca="false">$G10574*'Analyse capacite'!$F$7</f>
        <v>0</v>
      </c>
      <c r="I10574" s="135" t="n">
        <f aca="false">$G10574*'Analyse capacite'!$C$7</f>
        <v>0</v>
      </c>
      <c r="J10574" s="135" t="n">
        <f aca="false">$G10574*'Analyse capacite'!$D$7</f>
        <v>0</v>
      </c>
      <c r="K10574" s="135" t="n">
        <f aca="false">$G10574*'Analyse capacite'!$E$7</f>
        <v>0</v>
      </c>
    </row>
    <row r="10575" customFormat="false" ht="15" hidden="false" customHeight="false" outlineLevel="0" collapsed="false">
      <c r="B10575" s="130" t="n">
        <v>2028</v>
      </c>
      <c r="C10575" s="131" t="s">
        <v>255</v>
      </c>
      <c r="D10575" s="132" t="n">
        <v>46771</v>
      </c>
      <c r="E10575" s="131" t="s">
        <v>49</v>
      </c>
      <c r="F10575" s="133" t="s">
        <v>19</v>
      </c>
      <c r="G10575" s="134" t="n">
        <f aca="false">LEN('Saisie programme'!$F$386)+SUMIFS('Vols additionnels'!$E$7:$E$66,'Vols additionnels'!$C$7:$C$66,$E10575,'Vols additionnels'!$D$7:$D$66,$F10575,'Vols additionnels'!$B$7:$B$66,$D10575)</f>
        <v>0</v>
      </c>
      <c r="H10575" s="135" t="n">
        <f aca="false">$G10575*'Analyse capacite'!$F$8</f>
        <v>0</v>
      </c>
      <c r="I10575" s="135" t="n">
        <f aca="false">$G10575*'Analyse capacite'!$C$8</f>
        <v>0</v>
      </c>
      <c r="J10575" s="135" t="n">
        <f aca="false">$G10575*'Analyse capacite'!$D$8</f>
        <v>0</v>
      </c>
      <c r="K10575" s="135" t="n">
        <f aca="false">$G10575*'Analyse capacite'!$E$8</f>
        <v>0</v>
      </c>
    </row>
    <row r="10576" customFormat="false" ht="15" hidden="false" customHeight="false" outlineLevel="0" collapsed="false">
      <c r="B10576" s="130" t="n">
        <v>2028</v>
      </c>
      <c r="C10576" s="131" t="s">
        <v>255</v>
      </c>
      <c r="D10576" s="132" t="n">
        <v>46771</v>
      </c>
      <c r="E10576" s="131" t="s">
        <v>49</v>
      </c>
      <c r="F10576" s="133" t="s">
        <v>24</v>
      </c>
      <c r="G10576" s="134" t="n">
        <f aca="false">LEN('Saisie programme'!$F$387)+SUMIFS('Vols additionnels'!$E$7:$E$66,'Vols additionnels'!$C$7:$C$66,$E10576,'Vols additionnels'!$D$7:$D$66,$F10576,'Vols additionnels'!$B$7:$B$66,$D10576)</f>
        <v>0</v>
      </c>
      <c r="H10576" s="135" t="n">
        <f aca="false">$G10576*'Analyse capacite'!$F$9</f>
        <v>0</v>
      </c>
      <c r="I10576" s="135" t="n">
        <f aca="false">$G10576*'Analyse capacite'!$C$9</f>
        <v>0</v>
      </c>
      <c r="J10576" s="135" t="n">
        <f aca="false">$G10576*'Analyse capacite'!$D$9</f>
        <v>0</v>
      </c>
      <c r="K10576" s="135" t="n">
        <f aca="false">$G10576*'Analyse capacite'!$E$9</f>
        <v>0</v>
      </c>
    </row>
    <row r="10577" customFormat="false" ht="15" hidden="false" customHeight="false" outlineLevel="0" collapsed="false">
      <c r="B10577" s="130" t="n">
        <v>2028</v>
      </c>
      <c r="C10577" s="131" t="s">
        <v>255</v>
      </c>
      <c r="D10577" s="132" t="n">
        <v>46771</v>
      </c>
      <c r="E10577" s="131" t="s">
        <v>53</v>
      </c>
      <c r="F10577" s="133" t="s">
        <v>11</v>
      </c>
      <c r="G10577" s="134" t="n">
        <f aca="false">LEN('Saisie programme'!$F$388)+SUMIFS('Vols additionnels'!$E$7:$E$66,'Vols additionnels'!$C$7:$C$66,$E10577,'Vols additionnels'!$D$7:$D$66,$F10577,'Vols additionnels'!$B$7:$B$66,$D10577)</f>
        <v>0</v>
      </c>
      <c r="H10577" s="135" t="n">
        <f aca="false">$G10577*'Analyse capacite'!$F$7</f>
        <v>0</v>
      </c>
      <c r="I10577" s="135" t="n">
        <f aca="false">$G10577*'Analyse capacite'!$C$7</f>
        <v>0</v>
      </c>
      <c r="J10577" s="135" t="n">
        <f aca="false">$G10577*'Analyse capacite'!$D$7</f>
        <v>0</v>
      </c>
      <c r="K10577" s="135" t="n">
        <f aca="false">$G10577*'Analyse capacite'!$E$7</f>
        <v>0</v>
      </c>
    </row>
    <row r="10578" customFormat="false" ht="15" hidden="false" customHeight="false" outlineLevel="0" collapsed="false">
      <c r="B10578" s="130" t="n">
        <v>2028</v>
      </c>
      <c r="C10578" s="131" t="s">
        <v>255</v>
      </c>
      <c r="D10578" s="132" t="n">
        <v>46771</v>
      </c>
      <c r="E10578" s="131" t="s">
        <v>53</v>
      </c>
      <c r="F10578" s="133" t="s">
        <v>19</v>
      </c>
      <c r="G10578" s="134" t="n">
        <f aca="false">LEN('Saisie programme'!$F$389)+SUMIFS('Vols additionnels'!$E$7:$E$66,'Vols additionnels'!$C$7:$C$66,$E10578,'Vols additionnels'!$D$7:$D$66,$F10578,'Vols additionnels'!$B$7:$B$66,$D10578)</f>
        <v>0</v>
      </c>
      <c r="H10578" s="135" t="n">
        <f aca="false">$G10578*'Analyse capacite'!$F$8</f>
        <v>0</v>
      </c>
      <c r="I10578" s="135" t="n">
        <f aca="false">$G10578*'Analyse capacite'!$C$8</f>
        <v>0</v>
      </c>
      <c r="J10578" s="135" t="n">
        <f aca="false">$G10578*'Analyse capacite'!$D$8</f>
        <v>0</v>
      </c>
      <c r="K10578" s="135" t="n">
        <f aca="false">$G10578*'Analyse capacite'!$E$8</f>
        <v>0</v>
      </c>
    </row>
    <row r="10579" customFormat="false" ht="15" hidden="false" customHeight="false" outlineLevel="0" collapsed="false">
      <c r="B10579" s="130" t="n">
        <v>2028</v>
      </c>
      <c r="C10579" s="131" t="s">
        <v>255</v>
      </c>
      <c r="D10579" s="132" t="n">
        <v>46771</v>
      </c>
      <c r="E10579" s="131" t="s">
        <v>53</v>
      </c>
      <c r="F10579" s="133" t="s">
        <v>24</v>
      </c>
      <c r="G10579" s="134" t="n">
        <f aca="false">LEN('Saisie programme'!$F$390)+SUMIFS('Vols additionnels'!$E$7:$E$66,'Vols additionnels'!$C$7:$C$66,$E10579,'Vols additionnels'!$D$7:$D$66,$F10579,'Vols additionnels'!$B$7:$B$66,$D10579)</f>
        <v>0</v>
      </c>
      <c r="H10579" s="135" t="n">
        <f aca="false">$G10579*'Analyse capacite'!$F$9</f>
        <v>0</v>
      </c>
      <c r="I10579" s="135" t="n">
        <f aca="false">$G10579*'Analyse capacite'!$C$9</f>
        <v>0</v>
      </c>
      <c r="J10579" s="135" t="n">
        <f aca="false">$G10579*'Analyse capacite'!$D$9</f>
        <v>0</v>
      </c>
      <c r="K10579" s="135" t="n">
        <f aca="false">$G10579*'Analyse capacite'!$E$9</f>
        <v>0</v>
      </c>
    </row>
    <row r="10580" customFormat="false" ht="15" hidden="false" customHeight="false" outlineLevel="0" collapsed="false">
      <c r="B10580" s="130" t="n">
        <v>2028</v>
      </c>
      <c r="C10580" s="131" t="s">
        <v>255</v>
      </c>
      <c r="D10580" s="132" t="n">
        <v>46771</v>
      </c>
      <c r="E10580" s="131" t="s">
        <v>56</v>
      </c>
      <c r="F10580" s="133" t="s">
        <v>11</v>
      </c>
      <c r="G10580" s="134" t="n">
        <f aca="false">LEN('Saisie programme'!$F$391)+SUMIFS('Vols additionnels'!$E$7:$E$66,'Vols additionnels'!$C$7:$C$66,$E10580,'Vols additionnels'!$D$7:$D$66,$F10580,'Vols additionnels'!$B$7:$B$66,$D10580)</f>
        <v>0</v>
      </c>
      <c r="H10580" s="135" t="n">
        <f aca="false">$G10580*'Analyse capacite'!$F$7</f>
        <v>0</v>
      </c>
      <c r="I10580" s="135" t="n">
        <f aca="false">$G10580*'Analyse capacite'!$C$7</f>
        <v>0</v>
      </c>
      <c r="J10580" s="135" t="n">
        <f aca="false">$G10580*'Analyse capacite'!$D$7</f>
        <v>0</v>
      </c>
      <c r="K10580" s="135" t="n">
        <f aca="false">$G10580*'Analyse capacite'!$E$7</f>
        <v>0</v>
      </c>
    </row>
    <row r="10581" customFormat="false" ht="15" hidden="false" customHeight="false" outlineLevel="0" collapsed="false">
      <c r="B10581" s="130" t="n">
        <v>2028</v>
      </c>
      <c r="C10581" s="131" t="s">
        <v>255</v>
      </c>
      <c r="D10581" s="132" t="n">
        <v>46771</v>
      </c>
      <c r="E10581" s="131" t="s">
        <v>56</v>
      </c>
      <c r="F10581" s="133" t="s">
        <v>19</v>
      </c>
      <c r="G10581" s="134" t="n">
        <f aca="false">LEN('Saisie programme'!$F$392)+SUMIFS('Vols additionnels'!$E$7:$E$66,'Vols additionnels'!$C$7:$C$66,$E10581,'Vols additionnels'!$D$7:$D$66,$F10581,'Vols additionnels'!$B$7:$B$66,$D10581)</f>
        <v>0</v>
      </c>
      <c r="H10581" s="135" t="n">
        <f aca="false">$G10581*'Analyse capacite'!$F$8</f>
        <v>0</v>
      </c>
      <c r="I10581" s="135" t="n">
        <f aca="false">$G10581*'Analyse capacite'!$C$8</f>
        <v>0</v>
      </c>
      <c r="J10581" s="135" t="n">
        <f aca="false">$G10581*'Analyse capacite'!$D$8</f>
        <v>0</v>
      </c>
      <c r="K10581" s="135" t="n">
        <f aca="false">$G10581*'Analyse capacite'!$E$8</f>
        <v>0</v>
      </c>
    </row>
    <row r="10582" customFormat="false" ht="15" hidden="false" customHeight="false" outlineLevel="0" collapsed="false">
      <c r="B10582" s="130" t="n">
        <v>2028</v>
      </c>
      <c r="C10582" s="131" t="s">
        <v>255</v>
      </c>
      <c r="D10582" s="132" t="n">
        <v>46771</v>
      </c>
      <c r="E10582" s="131" t="s">
        <v>56</v>
      </c>
      <c r="F10582" s="133" t="s">
        <v>24</v>
      </c>
      <c r="G10582" s="134" t="n">
        <f aca="false">LEN('Saisie programme'!$F$393)+SUMIFS('Vols additionnels'!$E$7:$E$66,'Vols additionnels'!$C$7:$C$66,$E10582,'Vols additionnels'!$D$7:$D$66,$F10582,'Vols additionnels'!$B$7:$B$66,$D10582)</f>
        <v>0</v>
      </c>
      <c r="H10582" s="135" t="n">
        <f aca="false">$G10582*'Analyse capacite'!$F$9</f>
        <v>0</v>
      </c>
      <c r="I10582" s="135" t="n">
        <f aca="false">$G10582*'Analyse capacite'!$C$9</f>
        <v>0</v>
      </c>
      <c r="J10582" s="135" t="n">
        <f aca="false">$G10582*'Analyse capacite'!$D$9</f>
        <v>0</v>
      </c>
      <c r="K10582" s="135" t="n">
        <f aca="false">$G10582*'Analyse capacite'!$E$9</f>
        <v>0</v>
      </c>
    </row>
    <row r="10583" customFormat="false" ht="15" hidden="false" customHeight="false" outlineLevel="0" collapsed="false">
      <c r="B10583" s="130" t="n">
        <v>2028</v>
      </c>
      <c r="C10583" s="131" t="s">
        <v>255</v>
      </c>
      <c r="D10583" s="132" t="n">
        <v>46771</v>
      </c>
      <c r="E10583" s="131" t="s">
        <v>59</v>
      </c>
      <c r="F10583" s="133" t="s">
        <v>11</v>
      </c>
      <c r="G10583" s="134" t="n">
        <f aca="false">LEN('Saisie programme'!$F$394)+SUMIFS('Vols additionnels'!$E$7:$E$66,'Vols additionnels'!$C$7:$C$66,$E10583,'Vols additionnels'!$D$7:$D$66,$F10583,'Vols additionnels'!$B$7:$B$66,$D10583)</f>
        <v>0</v>
      </c>
      <c r="H10583" s="135" t="n">
        <f aca="false">$G10583*'Analyse capacite'!$F$7</f>
        <v>0</v>
      </c>
      <c r="I10583" s="135" t="n">
        <f aca="false">$G10583*'Analyse capacite'!$C$7</f>
        <v>0</v>
      </c>
      <c r="J10583" s="135" t="n">
        <f aca="false">$G10583*'Analyse capacite'!$D$7</f>
        <v>0</v>
      </c>
      <c r="K10583" s="135" t="n">
        <f aca="false">$G10583*'Analyse capacite'!$E$7</f>
        <v>0</v>
      </c>
    </row>
    <row r="10584" customFormat="false" ht="15" hidden="false" customHeight="false" outlineLevel="0" collapsed="false">
      <c r="B10584" s="130" t="n">
        <v>2028</v>
      </c>
      <c r="C10584" s="131" t="s">
        <v>255</v>
      </c>
      <c r="D10584" s="132" t="n">
        <v>46771</v>
      </c>
      <c r="E10584" s="131" t="s">
        <v>59</v>
      </c>
      <c r="F10584" s="133" t="s">
        <v>19</v>
      </c>
      <c r="G10584" s="134" t="n">
        <f aca="false">LEN('Saisie programme'!$F$395)+SUMIFS('Vols additionnels'!$E$7:$E$66,'Vols additionnels'!$C$7:$C$66,$E10584,'Vols additionnels'!$D$7:$D$66,$F10584,'Vols additionnels'!$B$7:$B$66,$D10584)</f>
        <v>0</v>
      </c>
      <c r="H10584" s="135" t="n">
        <f aca="false">$G10584*'Analyse capacite'!$F$8</f>
        <v>0</v>
      </c>
      <c r="I10584" s="135" t="n">
        <f aca="false">$G10584*'Analyse capacite'!$C$8</f>
        <v>0</v>
      </c>
      <c r="J10584" s="135" t="n">
        <f aca="false">$G10584*'Analyse capacite'!$D$8</f>
        <v>0</v>
      </c>
      <c r="K10584" s="135" t="n">
        <f aca="false">$G10584*'Analyse capacite'!$E$8</f>
        <v>0</v>
      </c>
    </row>
    <row r="10585" customFormat="false" ht="15" hidden="false" customHeight="false" outlineLevel="0" collapsed="false">
      <c r="B10585" s="130" t="n">
        <v>2028</v>
      </c>
      <c r="C10585" s="131" t="s">
        <v>255</v>
      </c>
      <c r="D10585" s="132" t="n">
        <v>46771</v>
      </c>
      <c r="E10585" s="131" t="s">
        <v>59</v>
      </c>
      <c r="F10585" s="133" t="s">
        <v>24</v>
      </c>
      <c r="G10585" s="134" t="n">
        <f aca="false">LEN('Saisie programme'!$F$396)+SUMIFS('Vols additionnels'!$E$7:$E$66,'Vols additionnels'!$C$7:$C$66,$E10585,'Vols additionnels'!$D$7:$D$66,$F10585,'Vols additionnels'!$B$7:$B$66,$D10585)</f>
        <v>1</v>
      </c>
      <c r="H10585" s="135" t="n">
        <f aca="false">$G10585*'Analyse capacite'!$F$9</f>
        <v>174</v>
      </c>
      <c r="I10585" s="135" t="n">
        <f aca="false">$G10585*'Analyse capacite'!$C$9</f>
        <v>0</v>
      </c>
      <c r="J10585" s="135" t="n">
        <f aca="false">$G10585*'Analyse capacite'!$D$9</f>
        <v>12</v>
      </c>
      <c r="K10585" s="135" t="n">
        <f aca="false">$G10585*'Analyse capacite'!$E$9</f>
        <v>162</v>
      </c>
    </row>
    <row r="10586" customFormat="false" ht="15" hidden="false" customHeight="false" outlineLevel="0" collapsed="false">
      <c r="B10586" s="130" t="n">
        <v>2028</v>
      </c>
      <c r="C10586" s="131" t="s">
        <v>255</v>
      </c>
      <c r="D10586" s="132" t="n">
        <v>46771</v>
      </c>
      <c r="E10586" s="131" t="s">
        <v>62</v>
      </c>
      <c r="F10586" s="133" t="s">
        <v>11</v>
      </c>
      <c r="G10586" s="134" t="n">
        <f aca="false">LEN('Saisie programme'!$F$397)+SUMIFS('Vols additionnels'!$E$7:$E$66,'Vols additionnels'!$C$7:$C$66,$E10586,'Vols additionnels'!$D$7:$D$66,$F10586,'Vols additionnels'!$B$7:$B$66,$D10586)</f>
        <v>0</v>
      </c>
      <c r="H10586" s="135" t="n">
        <f aca="false">$G10586*'Analyse capacite'!$F$7</f>
        <v>0</v>
      </c>
      <c r="I10586" s="135" t="n">
        <f aca="false">$G10586*'Analyse capacite'!$C$7</f>
        <v>0</v>
      </c>
      <c r="J10586" s="135" t="n">
        <f aca="false">$G10586*'Analyse capacite'!$D$7</f>
        <v>0</v>
      </c>
      <c r="K10586" s="135" t="n">
        <f aca="false">$G10586*'Analyse capacite'!$E$7</f>
        <v>0</v>
      </c>
    </row>
    <row r="10587" customFormat="false" ht="15" hidden="false" customHeight="false" outlineLevel="0" collapsed="false">
      <c r="B10587" s="130" t="n">
        <v>2028</v>
      </c>
      <c r="C10587" s="131" t="s">
        <v>255</v>
      </c>
      <c r="D10587" s="132" t="n">
        <v>46771</v>
      </c>
      <c r="E10587" s="131" t="s">
        <v>62</v>
      </c>
      <c r="F10587" s="133" t="s">
        <v>19</v>
      </c>
      <c r="G10587" s="134" t="n">
        <f aca="false">LEN('Saisie programme'!$F$398)+SUMIFS('Vols additionnels'!$E$7:$E$66,'Vols additionnels'!$C$7:$C$66,$E10587,'Vols additionnels'!$D$7:$D$66,$F10587,'Vols additionnels'!$B$7:$B$66,$D10587)</f>
        <v>0</v>
      </c>
      <c r="H10587" s="135" t="n">
        <f aca="false">$G10587*'Analyse capacite'!$F$8</f>
        <v>0</v>
      </c>
      <c r="I10587" s="135" t="n">
        <f aca="false">$G10587*'Analyse capacite'!$C$8</f>
        <v>0</v>
      </c>
      <c r="J10587" s="135" t="n">
        <f aca="false">$G10587*'Analyse capacite'!$D$8</f>
        <v>0</v>
      </c>
      <c r="K10587" s="135" t="n">
        <f aca="false">$G10587*'Analyse capacite'!$E$8</f>
        <v>0</v>
      </c>
    </row>
    <row r="10588" customFormat="false" ht="15" hidden="false" customHeight="false" outlineLevel="0" collapsed="false">
      <c r="B10588" s="130" t="n">
        <v>2028</v>
      </c>
      <c r="C10588" s="131" t="s">
        <v>255</v>
      </c>
      <c r="D10588" s="132" t="n">
        <v>46771</v>
      </c>
      <c r="E10588" s="131" t="s">
        <v>62</v>
      </c>
      <c r="F10588" s="133" t="s">
        <v>24</v>
      </c>
      <c r="G10588" s="134" t="n">
        <f aca="false">LEN('Saisie programme'!$F$399)+SUMIFS('Vols additionnels'!$E$7:$E$66,'Vols additionnels'!$C$7:$C$66,$E10588,'Vols additionnels'!$D$7:$D$66,$F10588,'Vols additionnels'!$B$7:$B$66,$D10588)</f>
        <v>1</v>
      </c>
      <c r="H10588" s="135" t="n">
        <f aca="false">$G10588*'Analyse capacite'!$F$9</f>
        <v>174</v>
      </c>
      <c r="I10588" s="135" t="n">
        <f aca="false">$G10588*'Analyse capacite'!$C$9</f>
        <v>0</v>
      </c>
      <c r="J10588" s="135" t="n">
        <f aca="false">$G10588*'Analyse capacite'!$D$9</f>
        <v>12</v>
      </c>
      <c r="K10588" s="135" t="n">
        <f aca="false">$G10588*'Analyse capacite'!$E$9</f>
        <v>162</v>
      </c>
    </row>
    <row r="10589" customFormat="false" ht="15" hidden="false" customHeight="false" outlineLevel="0" collapsed="false">
      <c r="B10589" s="130" t="n">
        <v>2028</v>
      </c>
      <c r="C10589" s="131" t="s">
        <v>255</v>
      </c>
      <c r="D10589" s="132" t="n">
        <v>46772</v>
      </c>
      <c r="E10589" s="131" t="s">
        <v>12</v>
      </c>
      <c r="F10589" s="133" t="s">
        <v>11</v>
      </c>
      <c r="G10589" s="134" t="n">
        <f aca="false">LEN('Saisie programme'!$G$364)+SUMIFS('Vols additionnels'!$E$7:$E$66,'Vols additionnels'!$C$7:$C$66,$E10589,'Vols additionnels'!$D$7:$D$66,$F10589,'Vols additionnels'!$B$7:$B$66,$D10589)</f>
        <v>1</v>
      </c>
      <c r="H10589" s="135" t="n">
        <f aca="false">$G10589*'Analyse capacite'!$F$7</f>
        <v>438</v>
      </c>
      <c r="I10589" s="135" t="n">
        <f aca="false">$G10589*'Analyse capacite'!$C$7</f>
        <v>14</v>
      </c>
      <c r="J10589" s="135" t="n">
        <f aca="false">$G10589*'Analyse capacite'!$D$7</f>
        <v>40</v>
      </c>
      <c r="K10589" s="135" t="n">
        <f aca="false">$G10589*'Analyse capacite'!$E$7</f>
        <v>384</v>
      </c>
    </row>
    <row r="10590" customFormat="false" ht="15" hidden="false" customHeight="false" outlineLevel="0" collapsed="false">
      <c r="B10590" s="130" t="n">
        <v>2028</v>
      </c>
      <c r="C10590" s="131" t="s">
        <v>255</v>
      </c>
      <c r="D10590" s="132" t="n">
        <v>46772</v>
      </c>
      <c r="E10590" s="131" t="s">
        <v>12</v>
      </c>
      <c r="F10590" s="133" t="s">
        <v>19</v>
      </c>
      <c r="G10590" s="134" t="n">
        <f aca="false">LEN('Saisie programme'!$G$365)+SUMIFS('Vols additionnels'!$E$7:$E$66,'Vols additionnels'!$C$7:$C$66,$E10590,'Vols additionnels'!$D$7:$D$66,$F10590,'Vols additionnels'!$B$7:$B$66,$D10590)</f>
        <v>0</v>
      </c>
      <c r="H10590" s="135" t="n">
        <f aca="false">$G10590*'Analyse capacite'!$F$8</f>
        <v>0</v>
      </c>
      <c r="I10590" s="135" t="n">
        <f aca="false">$G10590*'Analyse capacite'!$C$8</f>
        <v>0</v>
      </c>
      <c r="J10590" s="135" t="n">
        <f aca="false">$G10590*'Analyse capacite'!$D$8</f>
        <v>0</v>
      </c>
      <c r="K10590" s="135" t="n">
        <f aca="false">$G10590*'Analyse capacite'!$E$8</f>
        <v>0</v>
      </c>
    </row>
    <row r="10591" customFormat="false" ht="15" hidden="false" customHeight="false" outlineLevel="0" collapsed="false">
      <c r="B10591" s="130" t="n">
        <v>2028</v>
      </c>
      <c r="C10591" s="131" t="s">
        <v>255</v>
      </c>
      <c r="D10591" s="132" t="n">
        <v>46772</v>
      </c>
      <c r="E10591" s="131" t="s">
        <v>12</v>
      </c>
      <c r="F10591" s="133" t="s">
        <v>24</v>
      </c>
      <c r="G10591" s="134" t="n">
        <f aca="false">LEN('Saisie programme'!$G$366)+SUMIFS('Vols additionnels'!$E$7:$E$66,'Vols additionnels'!$C$7:$C$66,$E10591,'Vols additionnels'!$D$7:$D$66,$F10591,'Vols additionnels'!$B$7:$B$66,$D10591)</f>
        <v>0</v>
      </c>
      <c r="H10591" s="135" t="n">
        <f aca="false">$G10591*'Analyse capacite'!$F$9</f>
        <v>0</v>
      </c>
      <c r="I10591" s="135" t="n">
        <f aca="false">$G10591*'Analyse capacite'!$C$9</f>
        <v>0</v>
      </c>
      <c r="J10591" s="135" t="n">
        <f aca="false">$G10591*'Analyse capacite'!$D$9</f>
        <v>0</v>
      </c>
      <c r="K10591" s="135" t="n">
        <f aca="false">$G10591*'Analyse capacite'!$E$9</f>
        <v>0</v>
      </c>
    </row>
    <row r="10592" customFormat="false" ht="15" hidden="false" customHeight="false" outlineLevel="0" collapsed="false">
      <c r="B10592" s="130" t="n">
        <v>2028</v>
      </c>
      <c r="C10592" s="131" t="s">
        <v>255</v>
      </c>
      <c r="D10592" s="132" t="n">
        <v>46772</v>
      </c>
      <c r="E10592" s="131" t="s">
        <v>20</v>
      </c>
      <c r="F10592" s="133" t="s">
        <v>11</v>
      </c>
      <c r="G10592" s="134" t="n">
        <f aca="false">LEN('Saisie programme'!$G$367)+SUMIFS('Vols additionnels'!$E$7:$E$66,'Vols additionnels'!$C$7:$C$66,$E10592,'Vols additionnels'!$D$7:$D$66,$F10592,'Vols additionnels'!$B$7:$B$66,$D10592)</f>
        <v>0</v>
      </c>
      <c r="H10592" s="135" t="n">
        <f aca="false">$G10592*'Analyse capacite'!$F$7</f>
        <v>0</v>
      </c>
      <c r="I10592" s="135" t="n">
        <f aca="false">$G10592*'Analyse capacite'!$C$7</f>
        <v>0</v>
      </c>
      <c r="J10592" s="135" t="n">
        <f aca="false">$G10592*'Analyse capacite'!$D$7</f>
        <v>0</v>
      </c>
      <c r="K10592" s="135" t="n">
        <f aca="false">$G10592*'Analyse capacite'!$E$7</f>
        <v>0</v>
      </c>
    </row>
    <row r="10593" customFormat="false" ht="15" hidden="false" customHeight="false" outlineLevel="0" collapsed="false">
      <c r="B10593" s="130" t="n">
        <v>2028</v>
      </c>
      <c r="C10593" s="131" t="s">
        <v>255</v>
      </c>
      <c r="D10593" s="132" t="n">
        <v>46772</v>
      </c>
      <c r="E10593" s="131" t="s">
        <v>20</v>
      </c>
      <c r="F10593" s="133" t="s">
        <v>19</v>
      </c>
      <c r="G10593" s="134" t="n">
        <f aca="false">LEN('Saisie programme'!$G$368)+SUMIFS('Vols additionnels'!$E$7:$E$66,'Vols additionnels'!$C$7:$C$66,$E10593,'Vols additionnels'!$D$7:$D$66,$F10593,'Vols additionnels'!$B$7:$B$66,$D10593)</f>
        <v>0</v>
      </c>
      <c r="H10593" s="135" t="n">
        <f aca="false">$G10593*'Analyse capacite'!$F$8</f>
        <v>0</v>
      </c>
      <c r="I10593" s="135" t="n">
        <f aca="false">$G10593*'Analyse capacite'!$C$8</f>
        <v>0</v>
      </c>
      <c r="J10593" s="135" t="n">
        <f aca="false">$G10593*'Analyse capacite'!$D$8</f>
        <v>0</v>
      </c>
      <c r="K10593" s="135" t="n">
        <f aca="false">$G10593*'Analyse capacite'!$E$8</f>
        <v>0</v>
      </c>
    </row>
    <row r="10594" customFormat="false" ht="15" hidden="false" customHeight="false" outlineLevel="0" collapsed="false">
      <c r="B10594" s="130" t="n">
        <v>2028</v>
      </c>
      <c r="C10594" s="131" t="s">
        <v>255</v>
      </c>
      <c r="D10594" s="132" t="n">
        <v>46772</v>
      </c>
      <c r="E10594" s="131" t="s">
        <v>20</v>
      </c>
      <c r="F10594" s="133" t="s">
        <v>24</v>
      </c>
      <c r="G10594" s="134" t="n">
        <f aca="false">LEN('Saisie programme'!$G$369)+SUMIFS('Vols additionnels'!$E$7:$E$66,'Vols additionnels'!$C$7:$C$66,$E10594,'Vols additionnels'!$D$7:$D$66,$F10594,'Vols additionnels'!$B$7:$B$66,$D10594)</f>
        <v>0</v>
      </c>
      <c r="H10594" s="135" t="n">
        <f aca="false">$G10594*'Analyse capacite'!$F$9</f>
        <v>0</v>
      </c>
      <c r="I10594" s="135" t="n">
        <f aca="false">$G10594*'Analyse capacite'!$C$9</f>
        <v>0</v>
      </c>
      <c r="J10594" s="135" t="n">
        <f aca="false">$G10594*'Analyse capacite'!$D$9</f>
        <v>0</v>
      </c>
      <c r="K10594" s="135" t="n">
        <f aca="false">$G10594*'Analyse capacite'!$E$9</f>
        <v>0</v>
      </c>
    </row>
    <row r="10595" customFormat="false" ht="15" hidden="false" customHeight="false" outlineLevel="0" collapsed="false">
      <c r="B10595" s="130" t="n">
        <v>2028</v>
      </c>
      <c r="C10595" s="131" t="s">
        <v>255</v>
      </c>
      <c r="D10595" s="132" t="n">
        <v>46772</v>
      </c>
      <c r="E10595" s="131" t="s">
        <v>25</v>
      </c>
      <c r="F10595" s="133" t="s">
        <v>11</v>
      </c>
      <c r="G10595" s="134" t="n">
        <f aca="false">LEN('Saisie programme'!$G$370)+SUMIFS('Vols additionnels'!$E$7:$E$66,'Vols additionnels'!$C$7:$C$66,$E10595,'Vols additionnels'!$D$7:$D$66,$F10595,'Vols additionnels'!$B$7:$B$66,$D10595)</f>
        <v>0</v>
      </c>
      <c r="H10595" s="135" t="n">
        <f aca="false">$G10595*'Analyse capacite'!$F$7</f>
        <v>0</v>
      </c>
      <c r="I10595" s="135" t="n">
        <f aca="false">$G10595*'Analyse capacite'!$C$7</f>
        <v>0</v>
      </c>
      <c r="J10595" s="135" t="n">
        <f aca="false">$G10595*'Analyse capacite'!$D$7</f>
        <v>0</v>
      </c>
      <c r="K10595" s="135" t="n">
        <f aca="false">$G10595*'Analyse capacite'!$E$7</f>
        <v>0</v>
      </c>
    </row>
    <row r="10596" customFormat="false" ht="15" hidden="false" customHeight="false" outlineLevel="0" collapsed="false">
      <c r="B10596" s="130" t="n">
        <v>2028</v>
      </c>
      <c r="C10596" s="131" t="s">
        <v>255</v>
      </c>
      <c r="D10596" s="132" t="n">
        <v>46772</v>
      </c>
      <c r="E10596" s="131" t="s">
        <v>25</v>
      </c>
      <c r="F10596" s="133" t="s">
        <v>19</v>
      </c>
      <c r="G10596" s="134" t="n">
        <f aca="false">LEN('Saisie programme'!$G$371)+SUMIFS('Vols additionnels'!$E$7:$E$66,'Vols additionnels'!$C$7:$C$66,$E10596,'Vols additionnels'!$D$7:$D$66,$F10596,'Vols additionnels'!$B$7:$B$66,$D10596)</f>
        <v>0</v>
      </c>
      <c r="H10596" s="135" t="n">
        <f aca="false">$G10596*'Analyse capacite'!$F$8</f>
        <v>0</v>
      </c>
      <c r="I10596" s="135" t="n">
        <f aca="false">$G10596*'Analyse capacite'!$C$8</f>
        <v>0</v>
      </c>
      <c r="J10596" s="135" t="n">
        <f aca="false">$G10596*'Analyse capacite'!$D$8</f>
        <v>0</v>
      </c>
      <c r="K10596" s="135" t="n">
        <f aca="false">$G10596*'Analyse capacite'!$E$8</f>
        <v>0</v>
      </c>
    </row>
    <row r="10597" customFormat="false" ht="15" hidden="false" customHeight="false" outlineLevel="0" collapsed="false">
      <c r="B10597" s="130" t="n">
        <v>2028</v>
      </c>
      <c r="C10597" s="131" t="s">
        <v>255</v>
      </c>
      <c r="D10597" s="132" t="n">
        <v>46772</v>
      </c>
      <c r="E10597" s="131" t="s">
        <v>25</v>
      </c>
      <c r="F10597" s="133" t="s">
        <v>24</v>
      </c>
      <c r="G10597" s="134" t="n">
        <f aca="false">LEN('Saisie programme'!$G$372)+SUMIFS('Vols additionnels'!$E$7:$E$66,'Vols additionnels'!$C$7:$C$66,$E10597,'Vols additionnels'!$D$7:$D$66,$F10597,'Vols additionnels'!$B$7:$B$66,$D10597)</f>
        <v>0</v>
      </c>
      <c r="H10597" s="135" t="n">
        <f aca="false">$G10597*'Analyse capacite'!$F$9</f>
        <v>0</v>
      </c>
      <c r="I10597" s="135" t="n">
        <f aca="false">$G10597*'Analyse capacite'!$C$9</f>
        <v>0</v>
      </c>
      <c r="J10597" s="135" t="n">
        <f aca="false">$G10597*'Analyse capacite'!$D$9</f>
        <v>0</v>
      </c>
      <c r="K10597" s="135" t="n">
        <f aca="false">$G10597*'Analyse capacite'!$E$9</f>
        <v>0</v>
      </c>
    </row>
    <row r="10598" customFormat="false" ht="15" hidden="false" customHeight="false" outlineLevel="0" collapsed="false">
      <c r="B10598" s="130" t="n">
        <v>2028</v>
      </c>
      <c r="C10598" s="131" t="s">
        <v>255</v>
      </c>
      <c r="D10598" s="132" t="n">
        <v>46772</v>
      </c>
      <c r="E10598" s="131" t="s">
        <v>36</v>
      </c>
      <c r="F10598" s="133" t="s">
        <v>11</v>
      </c>
      <c r="G10598" s="134" t="n">
        <f aca="false">LEN('Saisie programme'!$G$373)+SUMIFS('Vols additionnels'!$E$7:$E$66,'Vols additionnels'!$C$7:$C$66,$E10598,'Vols additionnels'!$D$7:$D$66,$F10598,'Vols additionnels'!$B$7:$B$66,$D10598)</f>
        <v>0</v>
      </c>
      <c r="H10598" s="135" t="n">
        <f aca="false">$G10598*'Analyse capacite'!$F$7</f>
        <v>0</v>
      </c>
      <c r="I10598" s="135" t="n">
        <f aca="false">$G10598*'Analyse capacite'!$C$7</f>
        <v>0</v>
      </c>
      <c r="J10598" s="135" t="n">
        <f aca="false">$G10598*'Analyse capacite'!$D$7</f>
        <v>0</v>
      </c>
      <c r="K10598" s="135" t="n">
        <f aca="false">$G10598*'Analyse capacite'!$E$7</f>
        <v>0</v>
      </c>
    </row>
    <row r="10599" customFormat="false" ht="15" hidden="false" customHeight="false" outlineLevel="0" collapsed="false">
      <c r="B10599" s="130" t="n">
        <v>2028</v>
      </c>
      <c r="C10599" s="131" t="s">
        <v>255</v>
      </c>
      <c r="D10599" s="132" t="n">
        <v>46772</v>
      </c>
      <c r="E10599" s="131" t="s">
        <v>36</v>
      </c>
      <c r="F10599" s="133" t="s">
        <v>19</v>
      </c>
      <c r="G10599" s="134" t="n">
        <f aca="false">LEN('Saisie programme'!$G$374)+SUMIFS('Vols additionnels'!$E$7:$E$66,'Vols additionnels'!$C$7:$C$66,$E10599,'Vols additionnels'!$D$7:$D$66,$F10599,'Vols additionnels'!$B$7:$B$66,$D10599)</f>
        <v>0</v>
      </c>
      <c r="H10599" s="135" t="n">
        <f aca="false">$G10599*'Analyse capacite'!$F$8</f>
        <v>0</v>
      </c>
      <c r="I10599" s="135" t="n">
        <f aca="false">$G10599*'Analyse capacite'!$C$8</f>
        <v>0</v>
      </c>
      <c r="J10599" s="135" t="n">
        <f aca="false">$G10599*'Analyse capacite'!$D$8</f>
        <v>0</v>
      </c>
      <c r="K10599" s="135" t="n">
        <f aca="false">$G10599*'Analyse capacite'!$E$8</f>
        <v>0</v>
      </c>
    </row>
    <row r="10600" customFormat="false" ht="15" hidden="false" customHeight="false" outlineLevel="0" collapsed="false">
      <c r="B10600" s="130" t="n">
        <v>2028</v>
      </c>
      <c r="C10600" s="131" t="s">
        <v>255</v>
      </c>
      <c r="D10600" s="132" t="n">
        <v>46772</v>
      </c>
      <c r="E10600" s="131" t="s">
        <v>36</v>
      </c>
      <c r="F10600" s="133" t="s">
        <v>24</v>
      </c>
      <c r="G10600" s="134" t="n">
        <f aca="false">LEN('Saisie programme'!$G$375)+SUMIFS('Vols additionnels'!$E$7:$E$66,'Vols additionnels'!$C$7:$C$66,$E10600,'Vols additionnels'!$D$7:$D$66,$F10600,'Vols additionnels'!$B$7:$B$66,$D10600)</f>
        <v>1</v>
      </c>
      <c r="H10600" s="135" t="n">
        <f aca="false">$G10600*'Analyse capacite'!$F$9</f>
        <v>174</v>
      </c>
      <c r="I10600" s="135" t="n">
        <f aca="false">$G10600*'Analyse capacite'!$C$9</f>
        <v>0</v>
      </c>
      <c r="J10600" s="135" t="n">
        <f aca="false">$G10600*'Analyse capacite'!$D$9</f>
        <v>12</v>
      </c>
      <c r="K10600" s="135" t="n">
        <f aca="false">$G10600*'Analyse capacite'!$E$9</f>
        <v>162</v>
      </c>
    </row>
    <row r="10601" customFormat="false" ht="15" hidden="false" customHeight="false" outlineLevel="0" collapsed="false">
      <c r="B10601" s="130" t="n">
        <v>2028</v>
      </c>
      <c r="C10601" s="131" t="s">
        <v>255</v>
      </c>
      <c r="D10601" s="132" t="n">
        <v>46772</v>
      </c>
      <c r="E10601" s="131" t="s">
        <v>40</v>
      </c>
      <c r="F10601" s="133" t="s">
        <v>11</v>
      </c>
      <c r="G10601" s="134" t="n">
        <f aca="false">LEN('Saisie programme'!$G$376)+SUMIFS('Vols additionnels'!$E$7:$E$66,'Vols additionnels'!$C$7:$C$66,$E10601,'Vols additionnels'!$D$7:$D$66,$F10601,'Vols additionnels'!$B$7:$B$66,$D10601)</f>
        <v>0</v>
      </c>
      <c r="H10601" s="135" t="n">
        <f aca="false">$G10601*'Analyse capacite'!$F$7</f>
        <v>0</v>
      </c>
      <c r="I10601" s="135" t="n">
        <f aca="false">$G10601*'Analyse capacite'!$C$7</f>
        <v>0</v>
      </c>
      <c r="J10601" s="135" t="n">
        <f aca="false">$G10601*'Analyse capacite'!$D$7</f>
        <v>0</v>
      </c>
      <c r="K10601" s="135" t="n">
        <f aca="false">$G10601*'Analyse capacite'!$E$7</f>
        <v>0</v>
      </c>
    </row>
    <row r="10602" customFormat="false" ht="15" hidden="false" customHeight="false" outlineLevel="0" collapsed="false">
      <c r="B10602" s="130" t="n">
        <v>2028</v>
      </c>
      <c r="C10602" s="131" t="s">
        <v>255</v>
      </c>
      <c r="D10602" s="132" t="n">
        <v>46772</v>
      </c>
      <c r="E10602" s="131" t="s">
        <v>40</v>
      </c>
      <c r="F10602" s="133" t="s">
        <v>19</v>
      </c>
      <c r="G10602" s="134" t="n">
        <f aca="false">LEN('Saisie programme'!$G$377)+SUMIFS('Vols additionnels'!$E$7:$E$66,'Vols additionnels'!$C$7:$C$66,$E10602,'Vols additionnels'!$D$7:$D$66,$F10602,'Vols additionnels'!$B$7:$B$66,$D10602)</f>
        <v>0</v>
      </c>
      <c r="H10602" s="135" t="n">
        <f aca="false">$G10602*'Analyse capacite'!$F$8</f>
        <v>0</v>
      </c>
      <c r="I10602" s="135" t="n">
        <f aca="false">$G10602*'Analyse capacite'!$C$8</f>
        <v>0</v>
      </c>
      <c r="J10602" s="135" t="n">
        <f aca="false">$G10602*'Analyse capacite'!$D$8</f>
        <v>0</v>
      </c>
      <c r="K10602" s="135" t="n">
        <f aca="false">$G10602*'Analyse capacite'!$E$8</f>
        <v>0</v>
      </c>
    </row>
    <row r="10603" customFormat="false" ht="15" hidden="false" customHeight="false" outlineLevel="0" collapsed="false">
      <c r="B10603" s="130" t="n">
        <v>2028</v>
      </c>
      <c r="C10603" s="131" t="s">
        <v>255</v>
      </c>
      <c r="D10603" s="132" t="n">
        <v>46772</v>
      </c>
      <c r="E10603" s="131" t="s">
        <v>40</v>
      </c>
      <c r="F10603" s="133" t="s">
        <v>24</v>
      </c>
      <c r="G10603" s="134" t="n">
        <f aca="false">LEN('Saisie programme'!$G$378)+SUMIFS('Vols additionnels'!$E$7:$E$66,'Vols additionnels'!$C$7:$C$66,$E10603,'Vols additionnels'!$D$7:$D$66,$F10603,'Vols additionnels'!$B$7:$B$66,$D10603)</f>
        <v>0</v>
      </c>
      <c r="H10603" s="135" t="n">
        <f aca="false">$G10603*'Analyse capacite'!$F$9</f>
        <v>0</v>
      </c>
      <c r="I10603" s="135" t="n">
        <f aca="false">$G10603*'Analyse capacite'!$C$9</f>
        <v>0</v>
      </c>
      <c r="J10603" s="135" t="n">
        <f aca="false">$G10603*'Analyse capacite'!$D$9</f>
        <v>0</v>
      </c>
      <c r="K10603" s="135" t="n">
        <f aca="false">$G10603*'Analyse capacite'!$E$9</f>
        <v>0</v>
      </c>
    </row>
    <row r="10604" customFormat="false" ht="15" hidden="false" customHeight="false" outlineLevel="0" collapsed="false">
      <c r="B10604" s="130" t="n">
        <v>2028</v>
      </c>
      <c r="C10604" s="131" t="s">
        <v>255</v>
      </c>
      <c r="D10604" s="132" t="n">
        <v>46772</v>
      </c>
      <c r="E10604" s="131" t="s">
        <v>14</v>
      </c>
      <c r="F10604" s="133" t="s">
        <v>11</v>
      </c>
      <c r="G10604" s="134" t="n">
        <f aca="false">LEN('Saisie programme'!$G$379)+SUMIFS('Vols additionnels'!$E$7:$E$66,'Vols additionnels'!$C$7:$C$66,$E10604,'Vols additionnels'!$D$7:$D$66,$F10604,'Vols additionnels'!$B$7:$B$66,$D10604)</f>
        <v>0</v>
      </c>
      <c r="H10604" s="135" t="n">
        <f aca="false">$G10604*'Analyse capacite'!$F$7</f>
        <v>0</v>
      </c>
      <c r="I10604" s="135" t="n">
        <f aca="false">$G10604*'Analyse capacite'!$C$7</f>
        <v>0</v>
      </c>
      <c r="J10604" s="135" t="n">
        <f aca="false">$G10604*'Analyse capacite'!$D$7</f>
        <v>0</v>
      </c>
      <c r="K10604" s="135" t="n">
        <f aca="false">$G10604*'Analyse capacite'!$E$7</f>
        <v>0</v>
      </c>
    </row>
    <row r="10605" customFormat="false" ht="15" hidden="false" customHeight="false" outlineLevel="0" collapsed="false">
      <c r="B10605" s="130" t="n">
        <v>2028</v>
      </c>
      <c r="C10605" s="131" t="s">
        <v>255</v>
      </c>
      <c r="D10605" s="132" t="n">
        <v>46772</v>
      </c>
      <c r="E10605" s="131" t="s">
        <v>14</v>
      </c>
      <c r="F10605" s="133" t="s">
        <v>19</v>
      </c>
      <c r="G10605" s="134" t="n">
        <f aca="false">LEN('Saisie programme'!$G$380)+SUMIFS('Vols additionnels'!$E$7:$E$66,'Vols additionnels'!$C$7:$C$66,$E10605,'Vols additionnels'!$D$7:$D$66,$F10605,'Vols additionnels'!$B$7:$B$66,$D10605)</f>
        <v>0</v>
      </c>
      <c r="H10605" s="135" t="n">
        <f aca="false">$G10605*'Analyse capacite'!$F$8</f>
        <v>0</v>
      </c>
      <c r="I10605" s="135" t="n">
        <f aca="false">$G10605*'Analyse capacite'!$C$8</f>
        <v>0</v>
      </c>
      <c r="J10605" s="135" t="n">
        <f aca="false">$G10605*'Analyse capacite'!$D$8</f>
        <v>0</v>
      </c>
      <c r="K10605" s="135" t="n">
        <f aca="false">$G10605*'Analyse capacite'!$E$8</f>
        <v>0</v>
      </c>
    </row>
    <row r="10606" customFormat="false" ht="15" hidden="false" customHeight="false" outlineLevel="0" collapsed="false">
      <c r="B10606" s="130" t="n">
        <v>2028</v>
      </c>
      <c r="C10606" s="131" t="s">
        <v>255</v>
      </c>
      <c r="D10606" s="132" t="n">
        <v>46772</v>
      </c>
      <c r="E10606" s="131" t="s">
        <v>14</v>
      </c>
      <c r="F10606" s="133" t="s">
        <v>24</v>
      </c>
      <c r="G10606" s="134" t="n">
        <f aca="false">LEN('Saisie programme'!$G$381)+SUMIFS('Vols additionnels'!$E$7:$E$66,'Vols additionnels'!$C$7:$C$66,$E10606,'Vols additionnels'!$D$7:$D$66,$F10606,'Vols additionnels'!$B$7:$B$66,$D10606)</f>
        <v>1</v>
      </c>
      <c r="H10606" s="135" t="n">
        <f aca="false">$G10606*'Analyse capacite'!$F$9</f>
        <v>174</v>
      </c>
      <c r="I10606" s="135" t="n">
        <f aca="false">$G10606*'Analyse capacite'!$C$9</f>
        <v>0</v>
      </c>
      <c r="J10606" s="135" t="n">
        <f aca="false">$G10606*'Analyse capacite'!$D$9</f>
        <v>12</v>
      </c>
      <c r="K10606" s="135" t="n">
        <f aca="false">$G10606*'Analyse capacite'!$E$9</f>
        <v>162</v>
      </c>
    </row>
    <row r="10607" customFormat="false" ht="15" hidden="false" customHeight="false" outlineLevel="0" collapsed="false">
      <c r="B10607" s="130" t="n">
        <v>2028</v>
      </c>
      <c r="C10607" s="131" t="s">
        <v>255</v>
      </c>
      <c r="D10607" s="132" t="n">
        <v>46772</v>
      </c>
      <c r="E10607" s="131" t="s">
        <v>46</v>
      </c>
      <c r="F10607" s="133" t="s">
        <v>11</v>
      </c>
      <c r="G10607" s="134" t="n">
        <f aca="false">LEN('Saisie programme'!$G$382)+SUMIFS('Vols additionnels'!$E$7:$E$66,'Vols additionnels'!$C$7:$C$66,$E10607,'Vols additionnels'!$D$7:$D$66,$F10607,'Vols additionnels'!$B$7:$B$66,$D10607)</f>
        <v>0</v>
      </c>
      <c r="H10607" s="135" t="n">
        <f aca="false">$G10607*'Analyse capacite'!$F$7</f>
        <v>0</v>
      </c>
      <c r="I10607" s="135" t="n">
        <f aca="false">$G10607*'Analyse capacite'!$C$7</f>
        <v>0</v>
      </c>
      <c r="J10607" s="135" t="n">
        <f aca="false">$G10607*'Analyse capacite'!$D$7</f>
        <v>0</v>
      </c>
      <c r="K10607" s="135" t="n">
        <f aca="false">$G10607*'Analyse capacite'!$E$7</f>
        <v>0</v>
      </c>
    </row>
    <row r="10608" customFormat="false" ht="15" hidden="false" customHeight="false" outlineLevel="0" collapsed="false">
      <c r="B10608" s="130" t="n">
        <v>2028</v>
      </c>
      <c r="C10608" s="131" t="s">
        <v>255</v>
      </c>
      <c r="D10608" s="132" t="n">
        <v>46772</v>
      </c>
      <c r="E10608" s="131" t="s">
        <v>46</v>
      </c>
      <c r="F10608" s="133" t="s">
        <v>19</v>
      </c>
      <c r="G10608" s="134" t="n">
        <f aca="false">LEN('Saisie programme'!$G$383)+SUMIFS('Vols additionnels'!$E$7:$E$66,'Vols additionnels'!$C$7:$C$66,$E10608,'Vols additionnels'!$D$7:$D$66,$F10608,'Vols additionnels'!$B$7:$B$66,$D10608)</f>
        <v>0</v>
      </c>
      <c r="H10608" s="135" t="n">
        <f aca="false">$G10608*'Analyse capacite'!$F$8</f>
        <v>0</v>
      </c>
      <c r="I10608" s="135" t="n">
        <f aca="false">$G10608*'Analyse capacite'!$C$8</f>
        <v>0</v>
      </c>
      <c r="J10608" s="135" t="n">
        <f aca="false">$G10608*'Analyse capacite'!$D$8</f>
        <v>0</v>
      </c>
      <c r="K10608" s="135" t="n">
        <f aca="false">$G10608*'Analyse capacite'!$E$8</f>
        <v>0</v>
      </c>
    </row>
    <row r="10609" customFormat="false" ht="15" hidden="false" customHeight="false" outlineLevel="0" collapsed="false">
      <c r="B10609" s="130" t="n">
        <v>2028</v>
      </c>
      <c r="C10609" s="131" t="s">
        <v>255</v>
      </c>
      <c r="D10609" s="132" t="n">
        <v>46772</v>
      </c>
      <c r="E10609" s="131" t="s">
        <v>46</v>
      </c>
      <c r="F10609" s="133" t="s">
        <v>24</v>
      </c>
      <c r="G10609" s="134" t="n">
        <f aca="false">LEN('Saisie programme'!$G$384)+SUMIFS('Vols additionnels'!$E$7:$E$66,'Vols additionnels'!$C$7:$C$66,$E10609,'Vols additionnels'!$D$7:$D$66,$F10609,'Vols additionnels'!$B$7:$B$66,$D10609)</f>
        <v>1</v>
      </c>
      <c r="H10609" s="135" t="n">
        <f aca="false">$G10609*'Analyse capacite'!$F$9</f>
        <v>174</v>
      </c>
      <c r="I10609" s="135" t="n">
        <f aca="false">$G10609*'Analyse capacite'!$C$9</f>
        <v>0</v>
      </c>
      <c r="J10609" s="135" t="n">
        <f aca="false">$G10609*'Analyse capacite'!$D$9</f>
        <v>12</v>
      </c>
      <c r="K10609" s="135" t="n">
        <f aca="false">$G10609*'Analyse capacite'!$E$9</f>
        <v>162</v>
      </c>
    </row>
    <row r="10610" customFormat="false" ht="15" hidden="false" customHeight="false" outlineLevel="0" collapsed="false">
      <c r="B10610" s="130" t="n">
        <v>2028</v>
      </c>
      <c r="C10610" s="131" t="s">
        <v>255</v>
      </c>
      <c r="D10610" s="132" t="n">
        <v>46772</v>
      </c>
      <c r="E10610" s="131" t="s">
        <v>49</v>
      </c>
      <c r="F10610" s="133" t="s">
        <v>11</v>
      </c>
      <c r="G10610" s="134" t="n">
        <f aca="false">LEN('Saisie programme'!$G$385)+SUMIFS('Vols additionnels'!$E$7:$E$66,'Vols additionnels'!$C$7:$C$66,$E10610,'Vols additionnels'!$D$7:$D$66,$F10610,'Vols additionnels'!$B$7:$B$66,$D10610)</f>
        <v>0</v>
      </c>
      <c r="H10610" s="135" t="n">
        <f aca="false">$G10610*'Analyse capacite'!$F$7</f>
        <v>0</v>
      </c>
      <c r="I10610" s="135" t="n">
        <f aca="false">$G10610*'Analyse capacite'!$C$7</f>
        <v>0</v>
      </c>
      <c r="J10610" s="135" t="n">
        <f aca="false">$G10610*'Analyse capacite'!$D$7</f>
        <v>0</v>
      </c>
      <c r="K10610" s="135" t="n">
        <f aca="false">$G10610*'Analyse capacite'!$E$7</f>
        <v>0</v>
      </c>
    </row>
    <row r="10611" customFormat="false" ht="15" hidden="false" customHeight="false" outlineLevel="0" collapsed="false">
      <c r="B10611" s="130" t="n">
        <v>2028</v>
      </c>
      <c r="C10611" s="131" t="s">
        <v>255</v>
      </c>
      <c r="D10611" s="132" t="n">
        <v>46772</v>
      </c>
      <c r="E10611" s="131" t="s">
        <v>49</v>
      </c>
      <c r="F10611" s="133" t="s">
        <v>19</v>
      </c>
      <c r="G10611" s="134" t="n">
        <f aca="false">LEN('Saisie programme'!$G$386)+SUMIFS('Vols additionnels'!$E$7:$E$66,'Vols additionnels'!$C$7:$C$66,$E10611,'Vols additionnels'!$D$7:$D$66,$F10611,'Vols additionnels'!$B$7:$B$66,$D10611)</f>
        <v>0</v>
      </c>
      <c r="H10611" s="135" t="n">
        <f aca="false">$G10611*'Analyse capacite'!$F$8</f>
        <v>0</v>
      </c>
      <c r="I10611" s="135" t="n">
        <f aca="false">$G10611*'Analyse capacite'!$C$8</f>
        <v>0</v>
      </c>
      <c r="J10611" s="135" t="n">
        <f aca="false">$G10611*'Analyse capacite'!$D$8</f>
        <v>0</v>
      </c>
      <c r="K10611" s="135" t="n">
        <f aca="false">$G10611*'Analyse capacite'!$E$8</f>
        <v>0</v>
      </c>
    </row>
    <row r="10612" customFormat="false" ht="15" hidden="false" customHeight="false" outlineLevel="0" collapsed="false">
      <c r="B10612" s="130" t="n">
        <v>2028</v>
      </c>
      <c r="C10612" s="131" t="s">
        <v>255</v>
      </c>
      <c r="D10612" s="132" t="n">
        <v>46772</v>
      </c>
      <c r="E10612" s="131" t="s">
        <v>49</v>
      </c>
      <c r="F10612" s="133" t="s">
        <v>24</v>
      </c>
      <c r="G10612" s="134" t="n">
        <f aca="false">LEN('Saisie programme'!$G$387)+SUMIFS('Vols additionnels'!$E$7:$E$66,'Vols additionnels'!$C$7:$C$66,$E10612,'Vols additionnels'!$D$7:$D$66,$F10612,'Vols additionnels'!$B$7:$B$66,$D10612)</f>
        <v>0</v>
      </c>
      <c r="H10612" s="135" t="n">
        <f aca="false">$G10612*'Analyse capacite'!$F$9</f>
        <v>0</v>
      </c>
      <c r="I10612" s="135" t="n">
        <f aca="false">$G10612*'Analyse capacite'!$C$9</f>
        <v>0</v>
      </c>
      <c r="J10612" s="135" t="n">
        <f aca="false">$G10612*'Analyse capacite'!$D$9</f>
        <v>0</v>
      </c>
      <c r="K10612" s="135" t="n">
        <f aca="false">$G10612*'Analyse capacite'!$E$9</f>
        <v>0</v>
      </c>
    </row>
    <row r="10613" customFormat="false" ht="15" hidden="false" customHeight="false" outlineLevel="0" collapsed="false">
      <c r="B10613" s="130" t="n">
        <v>2028</v>
      </c>
      <c r="C10613" s="131" t="s">
        <v>255</v>
      </c>
      <c r="D10613" s="132" t="n">
        <v>46772</v>
      </c>
      <c r="E10613" s="131" t="s">
        <v>53</v>
      </c>
      <c r="F10613" s="133" t="s">
        <v>11</v>
      </c>
      <c r="G10613" s="134" t="n">
        <f aca="false">LEN('Saisie programme'!$G$388)+SUMIFS('Vols additionnels'!$E$7:$E$66,'Vols additionnels'!$C$7:$C$66,$E10613,'Vols additionnels'!$D$7:$D$66,$F10613,'Vols additionnels'!$B$7:$B$66,$D10613)</f>
        <v>0</v>
      </c>
      <c r="H10613" s="135" t="n">
        <f aca="false">$G10613*'Analyse capacite'!$F$7</f>
        <v>0</v>
      </c>
      <c r="I10613" s="135" t="n">
        <f aca="false">$G10613*'Analyse capacite'!$C$7</f>
        <v>0</v>
      </c>
      <c r="J10613" s="135" t="n">
        <f aca="false">$G10613*'Analyse capacite'!$D$7</f>
        <v>0</v>
      </c>
      <c r="K10613" s="135" t="n">
        <f aca="false">$G10613*'Analyse capacite'!$E$7</f>
        <v>0</v>
      </c>
    </row>
    <row r="10614" customFormat="false" ht="15" hidden="false" customHeight="false" outlineLevel="0" collapsed="false">
      <c r="B10614" s="130" t="n">
        <v>2028</v>
      </c>
      <c r="C10614" s="131" t="s">
        <v>255</v>
      </c>
      <c r="D10614" s="132" t="n">
        <v>46772</v>
      </c>
      <c r="E10614" s="131" t="s">
        <v>53</v>
      </c>
      <c r="F10614" s="133" t="s">
        <v>19</v>
      </c>
      <c r="G10614" s="134" t="n">
        <f aca="false">LEN('Saisie programme'!$G$389)+SUMIFS('Vols additionnels'!$E$7:$E$66,'Vols additionnels'!$C$7:$C$66,$E10614,'Vols additionnels'!$D$7:$D$66,$F10614,'Vols additionnels'!$B$7:$B$66,$D10614)</f>
        <v>1</v>
      </c>
      <c r="H10614" s="135" t="n">
        <f aca="false">$G10614*'Analyse capacite'!$F$8</f>
        <v>262</v>
      </c>
      <c r="I10614" s="135" t="n">
        <f aca="false">$G10614*'Analyse capacite'!$C$8</f>
        <v>18</v>
      </c>
      <c r="J10614" s="135" t="n">
        <f aca="false">$G10614*'Analyse capacite'!$D$8</f>
        <v>0</v>
      </c>
      <c r="K10614" s="135" t="n">
        <f aca="false">$G10614*'Analyse capacite'!$E$8</f>
        <v>244</v>
      </c>
    </row>
    <row r="10615" customFormat="false" ht="15" hidden="false" customHeight="false" outlineLevel="0" collapsed="false">
      <c r="B10615" s="130" t="n">
        <v>2028</v>
      </c>
      <c r="C10615" s="131" t="s">
        <v>255</v>
      </c>
      <c r="D10615" s="132" t="n">
        <v>46772</v>
      </c>
      <c r="E10615" s="131" t="s">
        <v>53</v>
      </c>
      <c r="F10615" s="133" t="s">
        <v>24</v>
      </c>
      <c r="G10615" s="134" t="n">
        <f aca="false">LEN('Saisie programme'!$G$390)+SUMIFS('Vols additionnels'!$E$7:$E$66,'Vols additionnels'!$C$7:$C$66,$E10615,'Vols additionnels'!$D$7:$D$66,$F10615,'Vols additionnels'!$B$7:$B$66,$D10615)</f>
        <v>0</v>
      </c>
      <c r="H10615" s="135" t="n">
        <f aca="false">$G10615*'Analyse capacite'!$F$9</f>
        <v>0</v>
      </c>
      <c r="I10615" s="135" t="n">
        <f aca="false">$G10615*'Analyse capacite'!$C$9</f>
        <v>0</v>
      </c>
      <c r="J10615" s="135" t="n">
        <f aca="false">$G10615*'Analyse capacite'!$D$9</f>
        <v>0</v>
      </c>
      <c r="K10615" s="135" t="n">
        <f aca="false">$G10615*'Analyse capacite'!$E$9</f>
        <v>0</v>
      </c>
    </row>
    <row r="10616" customFormat="false" ht="15" hidden="false" customHeight="false" outlineLevel="0" collapsed="false">
      <c r="B10616" s="130" t="n">
        <v>2028</v>
      </c>
      <c r="C10616" s="131" t="s">
        <v>255</v>
      </c>
      <c r="D10616" s="132" t="n">
        <v>46772</v>
      </c>
      <c r="E10616" s="131" t="s">
        <v>56</v>
      </c>
      <c r="F10616" s="133" t="s">
        <v>11</v>
      </c>
      <c r="G10616" s="134" t="n">
        <f aca="false">LEN('Saisie programme'!$G$391)+SUMIFS('Vols additionnels'!$E$7:$E$66,'Vols additionnels'!$C$7:$C$66,$E10616,'Vols additionnels'!$D$7:$D$66,$F10616,'Vols additionnels'!$B$7:$B$66,$D10616)</f>
        <v>0</v>
      </c>
      <c r="H10616" s="135" t="n">
        <f aca="false">$G10616*'Analyse capacite'!$F$7</f>
        <v>0</v>
      </c>
      <c r="I10616" s="135" t="n">
        <f aca="false">$G10616*'Analyse capacite'!$C$7</f>
        <v>0</v>
      </c>
      <c r="J10616" s="135" t="n">
        <f aca="false">$G10616*'Analyse capacite'!$D$7</f>
        <v>0</v>
      </c>
      <c r="K10616" s="135" t="n">
        <f aca="false">$G10616*'Analyse capacite'!$E$7</f>
        <v>0</v>
      </c>
    </row>
    <row r="10617" customFormat="false" ht="15" hidden="false" customHeight="false" outlineLevel="0" collapsed="false">
      <c r="B10617" s="130" t="n">
        <v>2028</v>
      </c>
      <c r="C10617" s="131" t="s">
        <v>255</v>
      </c>
      <c r="D10617" s="132" t="n">
        <v>46772</v>
      </c>
      <c r="E10617" s="131" t="s">
        <v>56</v>
      </c>
      <c r="F10617" s="133" t="s">
        <v>19</v>
      </c>
      <c r="G10617" s="134" t="n">
        <f aca="false">LEN('Saisie programme'!$G$392)+SUMIFS('Vols additionnels'!$E$7:$E$66,'Vols additionnels'!$C$7:$C$66,$E10617,'Vols additionnels'!$D$7:$D$66,$F10617,'Vols additionnels'!$B$7:$B$66,$D10617)</f>
        <v>0</v>
      </c>
      <c r="H10617" s="135" t="n">
        <f aca="false">$G10617*'Analyse capacite'!$F$8</f>
        <v>0</v>
      </c>
      <c r="I10617" s="135" t="n">
        <f aca="false">$G10617*'Analyse capacite'!$C$8</f>
        <v>0</v>
      </c>
      <c r="J10617" s="135" t="n">
        <f aca="false">$G10617*'Analyse capacite'!$D$8</f>
        <v>0</v>
      </c>
      <c r="K10617" s="135" t="n">
        <f aca="false">$G10617*'Analyse capacite'!$E$8</f>
        <v>0</v>
      </c>
    </row>
    <row r="10618" customFormat="false" ht="15" hidden="false" customHeight="false" outlineLevel="0" collapsed="false">
      <c r="B10618" s="130" t="n">
        <v>2028</v>
      </c>
      <c r="C10618" s="131" t="s">
        <v>255</v>
      </c>
      <c r="D10618" s="132" t="n">
        <v>46772</v>
      </c>
      <c r="E10618" s="131" t="s">
        <v>56</v>
      </c>
      <c r="F10618" s="133" t="s">
        <v>24</v>
      </c>
      <c r="G10618" s="134" t="n">
        <f aca="false">LEN('Saisie programme'!$G$393)+SUMIFS('Vols additionnels'!$E$7:$E$66,'Vols additionnels'!$C$7:$C$66,$E10618,'Vols additionnels'!$D$7:$D$66,$F10618,'Vols additionnels'!$B$7:$B$66,$D10618)</f>
        <v>0</v>
      </c>
      <c r="H10618" s="135" t="n">
        <f aca="false">$G10618*'Analyse capacite'!$F$9</f>
        <v>0</v>
      </c>
      <c r="I10618" s="135" t="n">
        <f aca="false">$G10618*'Analyse capacite'!$C$9</f>
        <v>0</v>
      </c>
      <c r="J10618" s="135" t="n">
        <f aca="false">$G10618*'Analyse capacite'!$D$9</f>
        <v>0</v>
      </c>
      <c r="K10618" s="135" t="n">
        <f aca="false">$G10618*'Analyse capacite'!$E$9</f>
        <v>0</v>
      </c>
    </row>
    <row r="10619" customFormat="false" ht="15" hidden="false" customHeight="false" outlineLevel="0" collapsed="false">
      <c r="B10619" s="130" t="n">
        <v>2028</v>
      </c>
      <c r="C10619" s="131" t="s">
        <v>255</v>
      </c>
      <c r="D10619" s="132" t="n">
        <v>46772</v>
      </c>
      <c r="E10619" s="131" t="s">
        <v>59</v>
      </c>
      <c r="F10619" s="133" t="s">
        <v>11</v>
      </c>
      <c r="G10619" s="134" t="n">
        <f aca="false">LEN('Saisie programme'!$G$394)+SUMIFS('Vols additionnels'!$E$7:$E$66,'Vols additionnels'!$C$7:$C$66,$E10619,'Vols additionnels'!$D$7:$D$66,$F10619,'Vols additionnels'!$B$7:$B$66,$D10619)</f>
        <v>0</v>
      </c>
      <c r="H10619" s="135" t="n">
        <f aca="false">$G10619*'Analyse capacite'!$F$7</f>
        <v>0</v>
      </c>
      <c r="I10619" s="135" t="n">
        <f aca="false">$G10619*'Analyse capacite'!$C$7</f>
        <v>0</v>
      </c>
      <c r="J10619" s="135" t="n">
        <f aca="false">$G10619*'Analyse capacite'!$D$7</f>
        <v>0</v>
      </c>
      <c r="K10619" s="135" t="n">
        <f aca="false">$G10619*'Analyse capacite'!$E$7</f>
        <v>0</v>
      </c>
    </row>
    <row r="10620" customFormat="false" ht="15" hidden="false" customHeight="false" outlineLevel="0" collapsed="false">
      <c r="B10620" s="130" t="n">
        <v>2028</v>
      </c>
      <c r="C10620" s="131" t="s">
        <v>255</v>
      </c>
      <c r="D10620" s="132" t="n">
        <v>46772</v>
      </c>
      <c r="E10620" s="131" t="s">
        <v>59</v>
      </c>
      <c r="F10620" s="133" t="s">
        <v>19</v>
      </c>
      <c r="G10620" s="134" t="n">
        <f aca="false">LEN('Saisie programme'!$G$395)+SUMIFS('Vols additionnels'!$E$7:$E$66,'Vols additionnels'!$C$7:$C$66,$E10620,'Vols additionnels'!$D$7:$D$66,$F10620,'Vols additionnels'!$B$7:$B$66,$D10620)</f>
        <v>0</v>
      </c>
      <c r="H10620" s="135" t="n">
        <f aca="false">$G10620*'Analyse capacite'!$F$8</f>
        <v>0</v>
      </c>
      <c r="I10620" s="135" t="n">
        <f aca="false">$G10620*'Analyse capacite'!$C$8</f>
        <v>0</v>
      </c>
      <c r="J10620" s="135" t="n">
        <f aca="false">$G10620*'Analyse capacite'!$D$8</f>
        <v>0</v>
      </c>
      <c r="K10620" s="135" t="n">
        <f aca="false">$G10620*'Analyse capacite'!$E$8</f>
        <v>0</v>
      </c>
    </row>
    <row r="10621" customFormat="false" ht="15" hidden="false" customHeight="false" outlineLevel="0" collapsed="false">
      <c r="B10621" s="130" t="n">
        <v>2028</v>
      </c>
      <c r="C10621" s="131" t="s">
        <v>255</v>
      </c>
      <c r="D10621" s="132" t="n">
        <v>46772</v>
      </c>
      <c r="E10621" s="131" t="s">
        <v>59</v>
      </c>
      <c r="F10621" s="133" t="s">
        <v>24</v>
      </c>
      <c r="G10621" s="134" t="n">
        <f aca="false">LEN('Saisie programme'!$G$396)+SUMIFS('Vols additionnels'!$E$7:$E$66,'Vols additionnels'!$C$7:$C$66,$E10621,'Vols additionnels'!$D$7:$D$66,$F10621,'Vols additionnels'!$B$7:$B$66,$D10621)</f>
        <v>2</v>
      </c>
      <c r="H10621" s="135" t="n">
        <f aca="false">$G10621*'Analyse capacite'!$F$9</f>
        <v>348</v>
      </c>
      <c r="I10621" s="135" t="n">
        <f aca="false">$G10621*'Analyse capacite'!$C$9</f>
        <v>0</v>
      </c>
      <c r="J10621" s="135" t="n">
        <f aca="false">$G10621*'Analyse capacite'!$D$9</f>
        <v>24</v>
      </c>
      <c r="K10621" s="135" t="n">
        <f aca="false">$G10621*'Analyse capacite'!$E$9</f>
        <v>324</v>
      </c>
    </row>
    <row r="10622" customFormat="false" ht="15" hidden="false" customHeight="false" outlineLevel="0" collapsed="false">
      <c r="B10622" s="130" t="n">
        <v>2028</v>
      </c>
      <c r="C10622" s="131" t="s">
        <v>255</v>
      </c>
      <c r="D10622" s="132" t="n">
        <v>46772</v>
      </c>
      <c r="E10622" s="131" t="s">
        <v>62</v>
      </c>
      <c r="F10622" s="133" t="s">
        <v>11</v>
      </c>
      <c r="G10622" s="134" t="n">
        <f aca="false">LEN('Saisie programme'!$G$397)+SUMIFS('Vols additionnels'!$E$7:$E$66,'Vols additionnels'!$C$7:$C$66,$E10622,'Vols additionnels'!$D$7:$D$66,$F10622,'Vols additionnels'!$B$7:$B$66,$D10622)</f>
        <v>0</v>
      </c>
      <c r="H10622" s="135" t="n">
        <f aca="false">$G10622*'Analyse capacite'!$F$7</f>
        <v>0</v>
      </c>
      <c r="I10622" s="135" t="n">
        <f aca="false">$G10622*'Analyse capacite'!$C$7</f>
        <v>0</v>
      </c>
      <c r="J10622" s="135" t="n">
        <f aca="false">$G10622*'Analyse capacite'!$D$7</f>
        <v>0</v>
      </c>
      <c r="K10622" s="135" t="n">
        <f aca="false">$G10622*'Analyse capacite'!$E$7</f>
        <v>0</v>
      </c>
    </row>
    <row r="10623" customFormat="false" ht="15" hidden="false" customHeight="false" outlineLevel="0" collapsed="false">
      <c r="B10623" s="130" t="n">
        <v>2028</v>
      </c>
      <c r="C10623" s="131" t="s">
        <v>255</v>
      </c>
      <c r="D10623" s="132" t="n">
        <v>46772</v>
      </c>
      <c r="E10623" s="131" t="s">
        <v>62</v>
      </c>
      <c r="F10623" s="133" t="s">
        <v>19</v>
      </c>
      <c r="G10623" s="134" t="n">
        <f aca="false">LEN('Saisie programme'!$G$398)+SUMIFS('Vols additionnels'!$E$7:$E$66,'Vols additionnels'!$C$7:$C$66,$E10623,'Vols additionnels'!$D$7:$D$66,$F10623,'Vols additionnels'!$B$7:$B$66,$D10623)</f>
        <v>0</v>
      </c>
      <c r="H10623" s="135" t="n">
        <f aca="false">$G10623*'Analyse capacite'!$F$8</f>
        <v>0</v>
      </c>
      <c r="I10623" s="135" t="n">
        <f aca="false">$G10623*'Analyse capacite'!$C$8</f>
        <v>0</v>
      </c>
      <c r="J10623" s="135" t="n">
        <f aca="false">$G10623*'Analyse capacite'!$D$8</f>
        <v>0</v>
      </c>
      <c r="K10623" s="135" t="n">
        <f aca="false">$G10623*'Analyse capacite'!$E$8</f>
        <v>0</v>
      </c>
    </row>
    <row r="10624" customFormat="false" ht="15" hidden="false" customHeight="false" outlineLevel="0" collapsed="false">
      <c r="B10624" s="130" t="n">
        <v>2028</v>
      </c>
      <c r="C10624" s="131" t="s">
        <v>255</v>
      </c>
      <c r="D10624" s="132" t="n">
        <v>46772</v>
      </c>
      <c r="E10624" s="131" t="s">
        <v>62</v>
      </c>
      <c r="F10624" s="133" t="s">
        <v>24</v>
      </c>
      <c r="G10624" s="134" t="n">
        <f aca="false">LEN('Saisie programme'!$G$399)+SUMIFS('Vols additionnels'!$E$7:$E$66,'Vols additionnels'!$C$7:$C$66,$E10624,'Vols additionnels'!$D$7:$D$66,$F10624,'Vols additionnels'!$B$7:$B$66,$D10624)</f>
        <v>0</v>
      </c>
      <c r="H10624" s="135" t="n">
        <f aca="false">$G10624*'Analyse capacite'!$F$9</f>
        <v>0</v>
      </c>
      <c r="I10624" s="135" t="n">
        <f aca="false">$G10624*'Analyse capacite'!$C$9</f>
        <v>0</v>
      </c>
      <c r="J10624" s="135" t="n">
        <f aca="false">$G10624*'Analyse capacite'!$D$9</f>
        <v>0</v>
      </c>
      <c r="K10624" s="135" t="n">
        <f aca="false">$G10624*'Analyse capacite'!$E$9</f>
        <v>0</v>
      </c>
    </row>
    <row r="10625" customFormat="false" ht="15" hidden="false" customHeight="false" outlineLevel="0" collapsed="false">
      <c r="B10625" s="130" t="n">
        <v>2028</v>
      </c>
      <c r="C10625" s="131" t="s">
        <v>255</v>
      </c>
      <c r="D10625" s="132" t="n">
        <v>46773</v>
      </c>
      <c r="E10625" s="131" t="s">
        <v>12</v>
      </c>
      <c r="F10625" s="133" t="s">
        <v>11</v>
      </c>
      <c r="G10625" s="134" t="n">
        <f aca="false">LEN('Saisie programme'!$H$364)+SUMIFS('Vols additionnels'!$E$7:$E$66,'Vols additionnels'!$C$7:$C$66,$E10625,'Vols additionnels'!$D$7:$D$66,$F10625,'Vols additionnels'!$B$7:$B$66,$D10625)</f>
        <v>1</v>
      </c>
      <c r="H10625" s="135" t="n">
        <f aca="false">$G10625*'Analyse capacite'!$F$7</f>
        <v>438</v>
      </c>
      <c r="I10625" s="135" t="n">
        <f aca="false">$G10625*'Analyse capacite'!$C$7</f>
        <v>14</v>
      </c>
      <c r="J10625" s="135" t="n">
        <f aca="false">$G10625*'Analyse capacite'!$D$7</f>
        <v>40</v>
      </c>
      <c r="K10625" s="135" t="n">
        <f aca="false">$G10625*'Analyse capacite'!$E$7</f>
        <v>384</v>
      </c>
    </row>
    <row r="10626" customFormat="false" ht="15" hidden="false" customHeight="false" outlineLevel="0" collapsed="false">
      <c r="B10626" s="130" t="n">
        <v>2028</v>
      </c>
      <c r="C10626" s="131" t="s">
        <v>255</v>
      </c>
      <c r="D10626" s="132" t="n">
        <v>46773</v>
      </c>
      <c r="E10626" s="131" t="s">
        <v>12</v>
      </c>
      <c r="F10626" s="133" t="s">
        <v>19</v>
      </c>
      <c r="G10626" s="134" t="n">
        <f aca="false">LEN('Saisie programme'!$H$365)+SUMIFS('Vols additionnels'!$E$7:$E$66,'Vols additionnels'!$C$7:$C$66,$E10626,'Vols additionnels'!$D$7:$D$66,$F10626,'Vols additionnels'!$B$7:$B$66,$D10626)</f>
        <v>1</v>
      </c>
      <c r="H10626" s="135" t="n">
        <f aca="false">$G10626*'Analyse capacite'!$F$8</f>
        <v>262</v>
      </c>
      <c r="I10626" s="135" t="n">
        <f aca="false">$G10626*'Analyse capacite'!$C$8</f>
        <v>18</v>
      </c>
      <c r="J10626" s="135" t="n">
        <f aca="false">$G10626*'Analyse capacite'!$D$8</f>
        <v>0</v>
      </c>
      <c r="K10626" s="135" t="n">
        <f aca="false">$G10626*'Analyse capacite'!$E$8</f>
        <v>244</v>
      </c>
    </row>
    <row r="10627" customFormat="false" ht="15" hidden="false" customHeight="false" outlineLevel="0" collapsed="false">
      <c r="B10627" s="130" t="n">
        <v>2028</v>
      </c>
      <c r="C10627" s="131" t="s">
        <v>255</v>
      </c>
      <c r="D10627" s="132" t="n">
        <v>46773</v>
      </c>
      <c r="E10627" s="131" t="s">
        <v>12</v>
      </c>
      <c r="F10627" s="133" t="s">
        <v>24</v>
      </c>
      <c r="G10627" s="134" t="n">
        <f aca="false">LEN('Saisie programme'!$H$366)+SUMIFS('Vols additionnels'!$E$7:$E$66,'Vols additionnels'!$C$7:$C$66,$E10627,'Vols additionnels'!$D$7:$D$66,$F10627,'Vols additionnels'!$B$7:$B$66,$D10627)</f>
        <v>0</v>
      </c>
      <c r="H10627" s="135" t="n">
        <f aca="false">$G10627*'Analyse capacite'!$F$9</f>
        <v>0</v>
      </c>
      <c r="I10627" s="135" t="n">
        <f aca="false">$G10627*'Analyse capacite'!$C$9</f>
        <v>0</v>
      </c>
      <c r="J10627" s="135" t="n">
        <f aca="false">$G10627*'Analyse capacite'!$D$9</f>
        <v>0</v>
      </c>
      <c r="K10627" s="135" t="n">
        <f aca="false">$G10627*'Analyse capacite'!$E$9</f>
        <v>0</v>
      </c>
    </row>
    <row r="10628" customFormat="false" ht="15" hidden="false" customHeight="false" outlineLevel="0" collapsed="false">
      <c r="B10628" s="130" t="n">
        <v>2028</v>
      </c>
      <c r="C10628" s="131" t="s">
        <v>255</v>
      </c>
      <c r="D10628" s="132" t="n">
        <v>46773</v>
      </c>
      <c r="E10628" s="131" t="s">
        <v>20</v>
      </c>
      <c r="F10628" s="133" t="s">
        <v>11</v>
      </c>
      <c r="G10628" s="134" t="n">
        <f aca="false">LEN('Saisie programme'!$H$367)+SUMIFS('Vols additionnels'!$E$7:$E$66,'Vols additionnels'!$C$7:$C$66,$E10628,'Vols additionnels'!$D$7:$D$66,$F10628,'Vols additionnels'!$B$7:$B$66,$D10628)</f>
        <v>0</v>
      </c>
      <c r="H10628" s="135" t="n">
        <f aca="false">$G10628*'Analyse capacite'!$F$7</f>
        <v>0</v>
      </c>
      <c r="I10628" s="135" t="n">
        <f aca="false">$G10628*'Analyse capacite'!$C$7</f>
        <v>0</v>
      </c>
      <c r="J10628" s="135" t="n">
        <f aca="false">$G10628*'Analyse capacite'!$D$7</f>
        <v>0</v>
      </c>
      <c r="K10628" s="135" t="n">
        <f aca="false">$G10628*'Analyse capacite'!$E$7</f>
        <v>0</v>
      </c>
    </row>
    <row r="10629" customFormat="false" ht="15" hidden="false" customHeight="false" outlineLevel="0" collapsed="false">
      <c r="B10629" s="130" t="n">
        <v>2028</v>
      </c>
      <c r="C10629" s="131" t="s">
        <v>255</v>
      </c>
      <c r="D10629" s="132" t="n">
        <v>46773</v>
      </c>
      <c r="E10629" s="131" t="s">
        <v>20</v>
      </c>
      <c r="F10629" s="133" t="s">
        <v>19</v>
      </c>
      <c r="G10629" s="134" t="n">
        <f aca="false">LEN('Saisie programme'!$H$368)+SUMIFS('Vols additionnels'!$E$7:$E$66,'Vols additionnels'!$C$7:$C$66,$E10629,'Vols additionnels'!$D$7:$D$66,$F10629,'Vols additionnels'!$B$7:$B$66,$D10629)</f>
        <v>1</v>
      </c>
      <c r="H10629" s="135" t="n">
        <f aca="false">$G10629*'Analyse capacite'!$F$8</f>
        <v>262</v>
      </c>
      <c r="I10629" s="135" t="n">
        <f aca="false">$G10629*'Analyse capacite'!$C$8</f>
        <v>18</v>
      </c>
      <c r="J10629" s="135" t="n">
        <f aca="false">$G10629*'Analyse capacite'!$D$8</f>
        <v>0</v>
      </c>
      <c r="K10629" s="135" t="n">
        <f aca="false">$G10629*'Analyse capacite'!$E$8</f>
        <v>244</v>
      </c>
    </row>
    <row r="10630" customFormat="false" ht="15" hidden="false" customHeight="false" outlineLevel="0" collapsed="false">
      <c r="B10630" s="130" t="n">
        <v>2028</v>
      </c>
      <c r="C10630" s="131" t="s">
        <v>255</v>
      </c>
      <c r="D10630" s="132" t="n">
        <v>46773</v>
      </c>
      <c r="E10630" s="131" t="s">
        <v>20</v>
      </c>
      <c r="F10630" s="133" t="s">
        <v>24</v>
      </c>
      <c r="G10630" s="134" t="n">
        <f aca="false">LEN('Saisie programme'!$H$369)+SUMIFS('Vols additionnels'!$E$7:$E$66,'Vols additionnels'!$C$7:$C$66,$E10630,'Vols additionnels'!$D$7:$D$66,$F10630,'Vols additionnels'!$B$7:$B$66,$D10630)</f>
        <v>0</v>
      </c>
      <c r="H10630" s="135" t="n">
        <f aca="false">$G10630*'Analyse capacite'!$F$9</f>
        <v>0</v>
      </c>
      <c r="I10630" s="135" t="n">
        <f aca="false">$G10630*'Analyse capacite'!$C$9</f>
        <v>0</v>
      </c>
      <c r="J10630" s="135" t="n">
        <f aca="false">$G10630*'Analyse capacite'!$D$9</f>
        <v>0</v>
      </c>
      <c r="K10630" s="135" t="n">
        <f aca="false">$G10630*'Analyse capacite'!$E$9</f>
        <v>0</v>
      </c>
    </row>
    <row r="10631" customFormat="false" ht="15" hidden="false" customHeight="false" outlineLevel="0" collapsed="false">
      <c r="B10631" s="130" t="n">
        <v>2028</v>
      </c>
      <c r="C10631" s="131" t="s">
        <v>255</v>
      </c>
      <c r="D10631" s="132" t="n">
        <v>46773</v>
      </c>
      <c r="E10631" s="131" t="s">
        <v>25</v>
      </c>
      <c r="F10631" s="133" t="s">
        <v>11</v>
      </c>
      <c r="G10631" s="134" t="n">
        <f aca="false">LEN('Saisie programme'!$H$370)+SUMIFS('Vols additionnels'!$E$7:$E$66,'Vols additionnels'!$C$7:$C$66,$E10631,'Vols additionnels'!$D$7:$D$66,$F10631,'Vols additionnels'!$B$7:$B$66,$D10631)</f>
        <v>0</v>
      </c>
      <c r="H10631" s="135" t="n">
        <f aca="false">$G10631*'Analyse capacite'!$F$7</f>
        <v>0</v>
      </c>
      <c r="I10631" s="135" t="n">
        <f aca="false">$G10631*'Analyse capacite'!$C$7</f>
        <v>0</v>
      </c>
      <c r="J10631" s="135" t="n">
        <f aca="false">$G10631*'Analyse capacite'!$D$7</f>
        <v>0</v>
      </c>
      <c r="K10631" s="135" t="n">
        <f aca="false">$G10631*'Analyse capacite'!$E$7</f>
        <v>0</v>
      </c>
    </row>
    <row r="10632" customFormat="false" ht="15" hidden="false" customHeight="false" outlineLevel="0" collapsed="false">
      <c r="B10632" s="130" t="n">
        <v>2028</v>
      </c>
      <c r="C10632" s="131" t="s">
        <v>255</v>
      </c>
      <c r="D10632" s="132" t="n">
        <v>46773</v>
      </c>
      <c r="E10632" s="131" t="s">
        <v>25</v>
      </c>
      <c r="F10632" s="133" t="s">
        <v>19</v>
      </c>
      <c r="G10632" s="134" t="n">
        <f aca="false">LEN('Saisie programme'!$H$371)+SUMIFS('Vols additionnels'!$E$7:$E$66,'Vols additionnels'!$C$7:$C$66,$E10632,'Vols additionnels'!$D$7:$D$66,$F10632,'Vols additionnels'!$B$7:$B$66,$D10632)</f>
        <v>0</v>
      </c>
      <c r="H10632" s="135" t="n">
        <f aca="false">$G10632*'Analyse capacite'!$F$8</f>
        <v>0</v>
      </c>
      <c r="I10632" s="135" t="n">
        <f aca="false">$G10632*'Analyse capacite'!$C$8</f>
        <v>0</v>
      </c>
      <c r="J10632" s="135" t="n">
        <f aca="false">$G10632*'Analyse capacite'!$D$8</f>
        <v>0</v>
      </c>
      <c r="K10632" s="135" t="n">
        <f aca="false">$G10632*'Analyse capacite'!$E$8</f>
        <v>0</v>
      </c>
    </row>
    <row r="10633" customFormat="false" ht="15" hidden="false" customHeight="false" outlineLevel="0" collapsed="false">
      <c r="B10633" s="130" t="n">
        <v>2028</v>
      </c>
      <c r="C10633" s="131" t="s">
        <v>255</v>
      </c>
      <c r="D10633" s="132" t="n">
        <v>46773</v>
      </c>
      <c r="E10633" s="131" t="s">
        <v>25</v>
      </c>
      <c r="F10633" s="133" t="s">
        <v>24</v>
      </c>
      <c r="G10633" s="134" t="n">
        <f aca="false">LEN('Saisie programme'!$H$372)+SUMIFS('Vols additionnels'!$E$7:$E$66,'Vols additionnels'!$C$7:$C$66,$E10633,'Vols additionnels'!$D$7:$D$66,$F10633,'Vols additionnels'!$B$7:$B$66,$D10633)</f>
        <v>0</v>
      </c>
      <c r="H10633" s="135" t="n">
        <f aca="false">$G10633*'Analyse capacite'!$F$9</f>
        <v>0</v>
      </c>
      <c r="I10633" s="135" t="n">
        <f aca="false">$G10633*'Analyse capacite'!$C$9</f>
        <v>0</v>
      </c>
      <c r="J10633" s="135" t="n">
        <f aca="false">$G10633*'Analyse capacite'!$D$9</f>
        <v>0</v>
      </c>
      <c r="K10633" s="135" t="n">
        <f aca="false">$G10633*'Analyse capacite'!$E$9</f>
        <v>0</v>
      </c>
    </row>
    <row r="10634" customFormat="false" ht="15" hidden="false" customHeight="false" outlineLevel="0" collapsed="false">
      <c r="B10634" s="130" t="n">
        <v>2028</v>
      </c>
      <c r="C10634" s="131" t="s">
        <v>255</v>
      </c>
      <c r="D10634" s="132" t="n">
        <v>46773</v>
      </c>
      <c r="E10634" s="131" t="s">
        <v>36</v>
      </c>
      <c r="F10634" s="133" t="s">
        <v>11</v>
      </c>
      <c r="G10634" s="134" t="n">
        <f aca="false">LEN('Saisie programme'!$H$373)+SUMIFS('Vols additionnels'!$E$7:$E$66,'Vols additionnels'!$C$7:$C$66,$E10634,'Vols additionnels'!$D$7:$D$66,$F10634,'Vols additionnels'!$B$7:$B$66,$D10634)</f>
        <v>0</v>
      </c>
      <c r="H10634" s="135" t="n">
        <f aca="false">$G10634*'Analyse capacite'!$F$7</f>
        <v>0</v>
      </c>
      <c r="I10634" s="135" t="n">
        <f aca="false">$G10634*'Analyse capacite'!$C$7</f>
        <v>0</v>
      </c>
      <c r="J10634" s="135" t="n">
        <f aca="false">$G10634*'Analyse capacite'!$D$7</f>
        <v>0</v>
      </c>
      <c r="K10634" s="135" t="n">
        <f aca="false">$G10634*'Analyse capacite'!$E$7</f>
        <v>0</v>
      </c>
    </row>
    <row r="10635" customFormat="false" ht="15" hidden="false" customHeight="false" outlineLevel="0" collapsed="false">
      <c r="B10635" s="130" t="n">
        <v>2028</v>
      </c>
      <c r="C10635" s="131" t="s">
        <v>255</v>
      </c>
      <c r="D10635" s="132" t="n">
        <v>46773</v>
      </c>
      <c r="E10635" s="131" t="s">
        <v>36</v>
      </c>
      <c r="F10635" s="133" t="s">
        <v>19</v>
      </c>
      <c r="G10635" s="134" t="n">
        <f aca="false">LEN('Saisie programme'!$H$374)+SUMIFS('Vols additionnels'!$E$7:$E$66,'Vols additionnels'!$C$7:$C$66,$E10635,'Vols additionnels'!$D$7:$D$66,$F10635,'Vols additionnels'!$B$7:$B$66,$D10635)</f>
        <v>0</v>
      </c>
      <c r="H10635" s="135" t="n">
        <f aca="false">$G10635*'Analyse capacite'!$F$8</f>
        <v>0</v>
      </c>
      <c r="I10635" s="135" t="n">
        <f aca="false">$G10635*'Analyse capacite'!$C$8</f>
        <v>0</v>
      </c>
      <c r="J10635" s="135" t="n">
        <f aca="false">$G10635*'Analyse capacite'!$D$8</f>
        <v>0</v>
      </c>
      <c r="K10635" s="135" t="n">
        <f aca="false">$G10635*'Analyse capacite'!$E$8</f>
        <v>0</v>
      </c>
    </row>
    <row r="10636" customFormat="false" ht="15" hidden="false" customHeight="false" outlineLevel="0" collapsed="false">
      <c r="B10636" s="130" t="n">
        <v>2028</v>
      </c>
      <c r="C10636" s="131" t="s">
        <v>255</v>
      </c>
      <c r="D10636" s="132" t="n">
        <v>46773</v>
      </c>
      <c r="E10636" s="131" t="s">
        <v>36</v>
      </c>
      <c r="F10636" s="133" t="s">
        <v>24</v>
      </c>
      <c r="G10636" s="134" t="n">
        <f aca="false">LEN('Saisie programme'!$H$375)+SUMIFS('Vols additionnels'!$E$7:$E$66,'Vols additionnels'!$C$7:$C$66,$E10636,'Vols additionnels'!$D$7:$D$66,$F10636,'Vols additionnels'!$B$7:$B$66,$D10636)</f>
        <v>1</v>
      </c>
      <c r="H10636" s="135" t="n">
        <f aca="false">$G10636*'Analyse capacite'!$F$9</f>
        <v>174</v>
      </c>
      <c r="I10636" s="135" t="n">
        <f aca="false">$G10636*'Analyse capacite'!$C$9</f>
        <v>0</v>
      </c>
      <c r="J10636" s="135" t="n">
        <f aca="false">$G10636*'Analyse capacite'!$D$9</f>
        <v>12</v>
      </c>
      <c r="K10636" s="135" t="n">
        <f aca="false">$G10636*'Analyse capacite'!$E$9</f>
        <v>162</v>
      </c>
    </row>
    <row r="10637" customFormat="false" ht="15" hidden="false" customHeight="false" outlineLevel="0" collapsed="false">
      <c r="B10637" s="130" t="n">
        <v>2028</v>
      </c>
      <c r="C10637" s="131" t="s">
        <v>255</v>
      </c>
      <c r="D10637" s="132" t="n">
        <v>46773</v>
      </c>
      <c r="E10637" s="131" t="s">
        <v>40</v>
      </c>
      <c r="F10637" s="133" t="s">
        <v>11</v>
      </c>
      <c r="G10637" s="134" t="n">
        <f aca="false">LEN('Saisie programme'!$H$376)+SUMIFS('Vols additionnels'!$E$7:$E$66,'Vols additionnels'!$C$7:$C$66,$E10637,'Vols additionnels'!$D$7:$D$66,$F10637,'Vols additionnels'!$B$7:$B$66,$D10637)</f>
        <v>0</v>
      </c>
      <c r="H10637" s="135" t="n">
        <f aca="false">$G10637*'Analyse capacite'!$F$7</f>
        <v>0</v>
      </c>
      <c r="I10637" s="135" t="n">
        <f aca="false">$G10637*'Analyse capacite'!$C$7</f>
        <v>0</v>
      </c>
      <c r="J10637" s="135" t="n">
        <f aca="false">$G10637*'Analyse capacite'!$D$7</f>
        <v>0</v>
      </c>
      <c r="K10637" s="135" t="n">
        <f aca="false">$G10637*'Analyse capacite'!$E$7</f>
        <v>0</v>
      </c>
    </row>
    <row r="10638" customFormat="false" ht="15" hidden="false" customHeight="false" outlineLevel="0" collapsed="false">
      <c r="B10638" s="130" t="n">
        <v>2028</v>
      </c>
      <c r="C10638" s="131" t="s">
        <v>255</v>
      </c>
      <c r="D10638" s="132" t="n">
        <v>46773</v>
      </c>
      <c r="E10638" s="131" t="s">
        <v>40</v>
      </c>
      <c r="F10638" s="133" t="s">
        <v>19</v>
      </c>
      <c r="G10638" s="134" t="n">
        <f aca="false">LEN('Saisie programme'!$H$377)+SUMIFS('Vols additionnels'!$E$7:$E$66,'Vols additionnels'!$C$7:$C$66,$E10638,'Vols additionnels'!$D$7:$D$66,$F10638,'Vols additionnels'!$B$7:$B$66,$D10638)</f>
        <v>0</v>
      </c>
      <c r="H10638" s="135" t="n">
        <f aca="false">$G10638*'Analyse capacite'!$F$8</f>
        <v>0</v>
      </c>
      <c r="I10638" s="135" t="n">
        <f aca="false">$G10638*'Analyse capacite'!$C$8</f>
        <v>0</v>
      </c>
      <c r="J10638" s="135" t="n">
        <f aca="false">$G10638*'Analyse capacite'!$D$8</f>
        <v>0</v>
      </c>
      <c r="K10638" s="135" t="n">
        <f aca="false">$G10638*'Analyse capacite'!$E$8</f>
        <v>0</v>
      </c>
    </row>
    <row r="10639" customFormat="false" ht="15" hidden="false" customHeight="false" outlineLevel="0" collapsed="false">
      <c r="B10639" s="130" t="n">
        <v>2028</v>
      </c>
      <c r="C10639" s="131" t="s">
        <v>255</v>
      </c>
      <c r="D10639" s="132" t="n">
        <v>46773</v>
      </c>
      <c r="E10639" s="131" t="s">
        <v>40</v>
      </c>
      <c r="F10639" s="133" t="s">
        <v>24</v>
      </c>
      <c r="G10639" s="134" t="n">
        <f aca="false">LEN('Saisie programme'!$H$378)+SUMIFS('Vols additionnels'!$E$7:$E$66,'Vols additionnels'!$C$7:$C$66,$E10639,'Vols additionnels'!$D$7:$D$66,$F10639,'Vols additionnels'!$B$7:$B$66,$D10639)</f>
        <v>1</v>
      </c>
      <c r="H10639" s="135" t="n">
        <f aca="false">$G10639*'Analyse capacite'!$F$9</f>
        <v>174</v>
      </c>
      <c r="I10639" s="135" t="n">
        <f aca="false">$G10639*'Analyse capacite'!$C$9</f>
        <v>0</v>
      </c>
      <c r="J10639" s="135" t="n">
        <f aca="false">$G10639*'Analyse capacite'!$D$9</f>
        <v>12</v>
      </c>
      <c r="K10639" s="135" t="n">
        <f aca="false">$G10639*'Analyse capacite'!$E$9</f>
        <v>162</v>
      </c>
    </row>
    <row r="10640" customFormat="false" ht="15" hidden="false" customHeight="false" outlineLevel="0" collapsed="false">
      <c r="B10640" s="130" t="n">
        <v>2028</v>
      </c>
      <c r="C10640" s="131" t="s">
        <v>255</v>
      </c>
      <c r="D10640" s="132" t="n">
        <v>46773</v>
      </c>
      <c r="E10640" s="131" t="s">
        <v>14</v>
      </c>
      <c r="F10640" s="133" t="s">
        <v>11</v>
      </c>
      <c r="G10640" s="134" t="n">
        <f aca="false">LEN('Saisie programme'!$H$379)+SUMIFS('Vols additionnels'!$E$7:$E$66,'Vols additionnels'!$C$7:$C$66,$E10640,'Vols additionnels'!$D$7:$D$66,$F10640,'Vols additionnels'!$B$7:$B$66,$D10640)</f>
        <v>0</v>
      </c>
      <c r="H10640" s="135" t="n">
        <f aca="false">$G10640*'Analyse capacite'!$F$7</f>
        <v>0</v>
      </c>
      <c r="I10640" s="135" t="n">
        <f aca="false">$G10640*'Analyse capacite'!$C$7</f>
        <v>0</v>
      </c>
      <c r="J10640" s="135" t="n">
        <f aca="false">$G10640*'Analyse capacite'!$D$7</f>
        <v>0</v>
      </c>
      <c r="K10640" s="135" t="n">
        <f aca="false">$G10640*'Analyse capacite'!$E$7</f>
        <v>0</v>
      </c>
    </row>
    <row r="10641" customFormat="false" ht="15" hidden="false" customHeight="false" outlineLevel="0" collapsed="false">
      <c r="B10641" s="130" t="n">
        <v>2028</v>
      </c>
      <c r="C10641" s="131" t="s">
        <v>255</v>
      </c>
      <c r="D10641" s="132" t="n">
        <v>46773</v>
      </c>
      <c r="E10641" s="131" t="s">
        <v>14</v>
      </c>
      <c r="F10641" s="133" t="s">
        <v>19</v>
      </c>
      <c r="G10641" s="134" t="n">
        <f aca="false">LEN('Saisie programme'!$H$380)+SUMIFS('Vols additionnels'!$E$7:$E$66,'Vols additionnels'!$C$7:$C$66,$E10641,'Vols additionnels'!$D$7:$D$66,$F10641,'Vols additionnels'!$B$7:$B$66,$D10641)</f>
        <v>0</v>
      </c>
      <c r="H10641" s="135" t="n">
        <f aca="false">$G10641*'Analyse capacite'!$F$8</f>
        <v>0</v>
      </c>
      <c r="I10641" s="135" t="n">
        <f aca="false">$G10641*'Analyse capacite'!$C$8</f>
        <v>0</v>
      </c>
      <c r="J10641" s="135" t="n">
        <f aca="false">$G10641*'Analyse capacite'!$D$8</f>
        <v>0</v>
      </c>
      <c r="K10641" s="135" t="n">
        <f aca="false">$G10641*'Analyse capacite'!$E$8</f>
        <v>0</v>
      </c>
    </row>
    <row r="10642" customFormat="false" ht="15" hidden="false" customHeight="false" outlineLevel="0" collapsed="false">
      <c r="B10642" s="130" t="n">
        <v>2028</v>
      </c>
      <c r="C10642" s="131" t="s">
        <v>255</v>
      </c>
      <c r="D10642" s="132" t="n">
        <v>46773</v>
      </c>
      <c r="E10642" s="131" t="s">
        <v>14</v>
      </c>
      <c r="F10642" s="133" t="s">
        <v>24</v>
      </c>
      <c r="G10642" s="134" t="n">
        <f aca="false">LEN('Saisie programme'!$H$381)+SUMIFS('Vols additionnels'!$E$7:$E$66,'Vols additionnels'!$C$7:$C$66,$E10642,'Vols additionnels'!$D$7:$D$66,$F10642,'Vols additionnels'!$B$7:$B$66,$D10642)</f>
        <v>0</v>
      </c>
      <c r="H10642" s="135" t="n">
        <f aca="false">$G10642*'Analyse capacite'!$F$9</f>
        <v>0</v>
      </c>
      <c r="I10642" s="135" t="n">
        <f aca="false">$G10642*'Analyse capacite'!$C$9</f>
        <v>0</v>
      </c>
      <c r="J10642" s="135" t="n">
        <f aca="false">$G10642*'Analyse capacite'!$D$9</f>
        <v>0</v>
      </c>
      <c r="K10642" s="135" t="n">
        <f aca="false">$G10642*'Analyse capacite'!$E$9</f>
        <v>0</v>
      </c>
    </row>
    <row r="10643" customFormat="false" ht="15" hidden="false" customHeight="false" outlineLevel="0" collapsed="false">
      <c r="B10643" s="130" t="n">
        <v>2028</v>
      </c>
      <c r="C10643" s="131" t="s">
        <v>255</v>
      </c>
      <c r="D10643" s="132" t="n">
        <v>46773</v>
      </c>
      <c r="E10643" s="131" t="s">
        <v>46</v>
      </c>
      <c r="F10643" s="133" t="s">
        <v>11</v>
      </c>
      <c r="G10643" s="134" t="n">
        <f aca="false">LEN('Saisie programme'!$H$382)+SUMIFS('Vols additionnels'!$E$7:$E$66,'Vols additionnels'!$C$7:$C$66,$E10643,'Vols additionnels'!$D$7:$D$66,$F10643,'Vols additionnels'!$B$7:$B$66,$D10643)</f>
        <v>0</v>
      </c>
      <c r="H10643" s="135" t="n">
        <f aca="false">$G10643*'Analyse capacite'!$F$7</f>
        <v>0</v>
      </c>
      <c r="I10643" s="135" t="n">
        <f aca="false">$G10643*'Analyse capacite'!$C$7</f>
        <v>0</v>
      </c>
      <c r="J10643" s="135" t="n">
        <f aca="false">$G10643*'Analyse capacite'!$D$7</f>
        <v>0</v>
      </c>
      <c r="K10643" s="135" t="n">
        <f aca="false">$G10643*'Analyse capacite'!$E$7</f>
        <v>0</v>
      </c>
    </row>
    <row r="10644" customFormat="false" ht="15" hidden="false" customHeight="false" outlineLevel="0" collapsed="false">
      <c r="B10644" s="130" t="n">
        <v>2028</v>
      </c>
      <c r="C10644" s="131" t="s">
        <v>255</v>
      </c>
      <c r="D10644" s="132" t="n">
        <v>46773</v>
      </c>
      <c r="E10644" s="131" t="s">
        <v>46</v>
      </c>
      <c r="F10644" s="133" t="s">
        <v>19</v>
      </c>
      <c r="G10644" s="134" t="n">
        <f aca="false">LEN('Saisie programme'!$H$383)+SUMIFS('Vols additionnels'!$E$7:$E$66,'Vols additionnels'!$C$7:$C$66,$E10644,'Vols additionnels'!$D$7:$D$66,$F10644,'Vols additionnels'!$B$7:$B$66,$D10644)</f>
        <v>0</v>
      </c>
      <c r="H10644" s="135" t="n">
        <f aca="false">$G10644*'Analyse capacite'!$F$8</f>
        <v>0</v>
      </c>
      <c r="I10644" s="135" t="n">
        <f aca="false">$G10644*'Analyse capacite'!$C$8</f>
        <v>0</v>
      </c>
      <c r="J10644" s="135" t="n">
        <f aca="false">$G10644*'Analyse capacite'!$D$8</f>
        <v>0</v>
      </c>
      <c r="K10644" s="135" t="n">
        <f aca="false">$G10644*'Analyse capacite'!$E$8</f>
        <v>0</v>
      </c>
    </row>
    <row r="10645" customFormat="false" ht="15" hidden="false" customHeight="false" outlineLevel="0" collapsed="false">
      <c r="B10645" s="130" t="n">
        <v>2028</v>
      </c>
      <c r="C10645" s="131" t="s">
        <v>255</v>
      </c>
      <c r="D10645" s="132" t="n">
        <v>46773</v>
      </c>
      <c r="E10645" s="131" t="s">
        <v>46</v>
      </c>
      <c r="F10645" s="133" t="s">
        <v>24</v>
      </c>
      <c r="G10645" s="134" t="n">
        <f aca="false">LEN('Saisie programme'!$H$384)+SUMIFS('Vols additionnels'!$E$7:$E$66,'Vols additionnels'!$C$7:$C$66,$E10645,'Vols additionnels'!$D$7:$D$66,$F10645,'Vols additionnels'!$B$7:$B$66,$D10645)</f>
        <v>0</v>
      </c>
      <c r="H10645" s="135" t="n">
        <f aca="false">$G10645*'Analyse capacite'!$F$9</f>
        <v>0</v>
      </c>
      <c r="I10645" s="135" t="n">
        <f aca="false">$G10645*'Analyse capacite'!$C$9</f>
        <v>0</v>
      </c>
      <c r="J10645" s="135" t="n">
        <f aca="false">$G10645*'Analyse capacite'!$D$9</f>
        <v>0</v>
      </c>
      <c r="K10645" s="135" t="n">
        <f aca="false">$G10645*'Analyse capacite'!$E$9</f>
        <v>0</v>
      </c>
    </row>
    <row r="10646" customFormat="false" ht="15" hidden="false" customHeight="false" outlineLevel="0" collapsed="false">
      <c r="B10646" s="130" t="n">
        <v>2028</v>
      </c>
      <c r="C10646" s="131" t="s">
        <v>255</v>
      </c>
      <c r="D10646" s="132" t="n">
        <v>46773</v>
      </c>
      <c r="E10646" s="131" t="s">
        <v>49</v>
      </c>
      <c r="F10646" s="133" t="s">
        <v>11</v>
      </c>
      <c r="G10646" s="134" t="n">
        <f aca="false">LEN('Saisie programme'!$H$385)+SUMIFS('Vols additionnels'!$E$7:$E$66,'Vols additionnels'!$C$7:$C$66,$E10646,'Vols additionnels'!$D$7:$D$66,$F10646,'Vols additionnels'!$B$7:$B$66,$D10646)</f>
        <v>0</v>
      </c>
      <c r="H10646" s="135" t="n">
        <f aca="false">$G10646*'Analyse capacite'!$F$7</f>
        <v>0</v>
      </c>
      <c r="I10646" s="135" t="n">
        <f aca="false">$G10646*'Analyse capacite'!$C$7</f>
        <v>0</v>
      </c>
      <c r="J10646" s="135" t="n">
        <f aca="false">$G10646*'Analyse capacite'!$D$7</f>
        <v>0</v>
      </c>
      <c r="K10646" s="135" t="n">
        <f aca="false">$G10646*'Analyse capacite'!$E$7</f>
        <v>0</v>
      </c>
    </row>
    <row r="10647" customFormat="false" ht="15" hidden="false" customHeight="false" outlineLevel="0" collapsed="false">
      <c r="B10647" s="130" t="n">
        <v>2028</v>
      </c>
      <c r="C10647" s="131" t="s">
        <v>255</v>
      </c>
      <c r="D10647" s="132" t="n">
        <v>46773</v>
      </c>
      <c r="E10647" s="131" t="s">
        <v>49</v>
      </c>
      <c r="F10647" s="133" t="s">
        <v>19</v>
      </c>
      <c r="G10647" s="134" t="n">
        <f aca="false">LEN('Saisie programme'!$H$386)+SUMIFS('Vols additionnels'!$E$7:$E$66,'Vols additionnels'!$C$7:$C$66,$E10647,'Vols additionnels'!$D$7:$D$66,$F10647,'Vols additionnels'!$B$7:$B$66,$D10647)</f>
        <v>1</v>
      </c>
      <c r="H10647" s="135" t="n">
        <f aca="false">$G10647*'Analyse capacite'!$F$8</f>
        <v>262</v>
      </c>
      <c r="I10647" s="135" t="n">
        <f aca="false">$G10647*'Analyse capacite'!$C$8</f>
        <v>18</v>
      </c>
      <c r="J10647" s="135" t="n">
        <f aca="false">$G10647*'Analyse capacite'!$D$8</f>
        <v>0</v>
      </c>
      <c r="K10647" s="135" t="n">
        <f aca="false">$G10647*'Analyse capacite'!$E$8</f>
        <v>244</v>
      </c>
    </row>
    <row r="10648" customFormat="false" ht="15" hidden="false" customHeight="false" outlineLevel="0" collapsed="false">
      <c r="B10648" s="130" t="n">
        <v>2028</v>
      </c>
      <c r="C10648" s="131" t="s">
        <v>255</v>
      </c>
      <c r="D10648" s="132" t="n">
        <v>46773</v>
      </c>
      <c r="E10648" s="131" t="s">
        <v>49</v>
      </c>
      <c r="F10648" s="133" t="s">
        <v>24</v>
      </c>
      <c r="G10648" s="134" t="n">
        <f aca="false">LEN('Saisie programme'!$H$387)+SUMIFS('Vols additionnels'!$E$7:$E$66,'Vols additionnels'!$C$7:$C$66,$E10648,'Vols additionnels'!$D$7:$D$66,$F10648,'Vols additionnels'!$B$7:$B$66,$D10648)</f>
        <v>0</v>
      </c>
      <c r="H10648" s="135" t="n">
        <f aca="false">$G10648*'Analyse capacite'!$F$9</f>
        <v>0</v>
      </c>
      <c r="I10648" s="135" t="n">
        <f aca="false">$G10648*'Analyse capacite'!$C$9</f>
        <v>0</v>
      </c>
      <c r="J10648" s="135" t="n">
        <f aca="false">$G10648*'Analyse capacite'!$D$9</f>
        <v>0</v>
      </c>
      <c r="K10648" s="135" t="n">
        <f aca="false">$G10648*'Analyse capacite'!$E$9</f>
        <v>0</v>
      </c>
    </row>
    <row r="10649" customFormat="false" ht="15" hidden="false" customHeight="false" outlineLevel="0" collapsed="false">
      <c r="B10649" s="130" t="n">
        <v>2028</v>
      </c>
      <c r="C10649" s="131" t="s">
        <v>255</v>
      </c>
      <c r="D10649" s="132" t="n">
        <v>46773</v>
      </c>
      <c r="E10649" s="131" t="s">
        <v>53</v>
      </c>
      <c r="F10649" s="133" t="s">
        <v>11</v>
      </c>
      <c r="G10649" s="134" t="n">
        <f aca="false">LEN('Saisie programme'!$H$388)+SUMIFS('Vols additionnels'!$E$7:$E$66,'Vols additionnels'!$C$7:$C$66,$E10649,'Vols additionnels'!$D$7:$D$66,$F10649,'Vols additionnels'!$B$7:$B$66,$D10649)</f>
        <v>0</v>
      </c>
      <c r="H10649" s="135" t="n">
        <f aca="false">$G10649*'Analyse capacite'!$F$7</f>
        <v>0</v>
      </c>
      <c r="I10649" s="135" t="n">
        <f aca="false">$G10649*'Analyse capacite'!$C$7</f>
        <v>0</v>
      </c>
      <c r="J10649" s="135" t="n">
        <f aca="false">$G10649*'Analyse capacite'!$D$7</f>
        <v>0</v>
      </c>
      <c r="K10649" s="135" t="n">
        <f aca="false">$G10649*'Analyse capacite'!$E$7</f>
        <v>0</v>
      </c>
    </row>
    <row r="10650" customFormat="false" ht="15" hidden="false" customHeight="false" outlineLevel="0" collapsed="false">
      <c r="B10650" s="130" t="n">
        <v>2028</v>
      </c>
      <c r="C10650" s="131" t="s">
        <v>255</v>
      </c>
      <c r="D10650" s="132" t="n">
        <v>46773</v>
      </c>
      <c r="E10650" s="131" t="s">
        <v>53</v>
      </c>
      <c r="F10650" s="133" t="s">
        <v>19</v>
      </c>
      <c r="G10650" s="134" t="n">
        <f aca="false">LEN('Saisie programme'!$H$389)+SUMIFS('Vols additionnels'!$E$7:$E$66,'Vols additionnels'!$C$7:$C$66,$E10650,'Vols additionnels'!$D$7:$D$66,$F10650,'Vols additionnels'!$B$7:$B$66,$D10650)</f>
        <v>0</v>
      </c>
      <c r="H10650" s="135" t="n">
        <f aca="false">$G10650*'Analyse capacite'!$F$8</f>
        <v>0</v>
      </c>
      <c r="I10650" s="135" t="n">
        <f aca="false">$G10650*'Analyse capacite'!$C$8</f>
        <v>0</v>
      </c>
      <c r="J10650" s="135" t="n">
        <f aca="false">$G10650*'Analyse capacite'!$D$8</f>
        <v>0</v>
      </c>
      <c r="K10650" s="135" t="n">
        <f aca="false">$G10650*'Analyse capacite'!$E$8</f>
        <v>0</v>
      </c>
    </row>
    <row r="10651" customFormat="false" ht="15" hidden="false" customHeight="false" outlineLevel="0" collapsed="false">
      <c r="B10651" s="130" t="n">
        <v>2028</v>
      </c>
      <c r="C10651" s="131" t="s">
        <v>255</v>
      </c>
      <c r="D10651" s="132" t="n">
        <v>46773</v>
      </c>
      <c r="E10651" s="131" t="s">
        <v>53</v>
      </c>
      <c r="F10651" s="133" t="s">
        <v>24</v>
      </c>
      <c r="G10651" s="134" t="n">
        <f aca="false">LEN('Saisie programme'!$H$390)+SUMIFS('Vols additionnels'!$E$7:$E$66,'Vols additionnels'!$C$7:$C$66,$E10651,'Vols additionnels'!$D$7:$D$66,$F10651,'Vols additionnels'!$B$7:$B$66,$D10651)</f>
        <v>0</v>
      </c>
      <c r="H10651" s="135" t="n">
        <f aca="false">$G10651*'Analyse capacite'!$F$9</f>
        <v>0</v>
      </c>
      <c r="I10651" s="135" t="n">
        <f aca="false">$G10651*'Analyse capacite'!$C$9</f>
        <v>0</v>
      </c>
      <c r="J10651" s="135" t="n">
        <f aca="false">$G10651*'Analyse capacite'!$D$9</f>
        <v>0</v>
      </c>
      <c r="K10651" s="135" t="n">
        <f aca="false">$G10651*'Analyse capacite'!$E$9</f>
        <v>0</v>
      </c>
    </row>
    <row r="10652" customFormat="false" ht="15" hidden="false" customHeight="false" outlineLevel="0" collapsed="false">
      <c r="B10652" s="130" t="n">
        <v>2028</v>
      </c>
      <c r="C10652" s="131" t="s">
        <v>255</v>
      </c>
      <c r="D10652" s="132" t="n">
        <v>46773</v>
      </c>
      <c r="E10652" s="131" t="s">
        <v>56</v>
      </c>
      <c r="F10652" s="133" t="s">
        <v>11</v>
      </c>
      <c r="G10652" s="134" t="n">
        <f aca="false">LEN('Saisie programme'!$H$391)+SUMIFS('Vols additionnels'!$E$7:$E$66,'Vols additionnels'!$C$7:$C$66,$E10652,'Vols additionnels'!$D$7:$D$66,$F10652,'Vols additionnels'!$B$7:$B$66,$D10652)</f>
        <v>0</v>
      </c>
      <c r="H10652" s="135" t="n">
        <f aca="false">$G10652*'Analyse capacite'!$F$7</f>
        <v>0</v>
      </c>
      <c r="I10652" s="135" t="n">
        <f aca="false">$G10652*'Analyse capacite'!$C$7</f>
        <v>0</v>
      </c>
      <c r="J10652" s="135" t="n">
        <f aca="false">$G10652*'Analyse capacite'!$D$7</f>
        <v>0</v>
      </c>
      <c r="K10652" s="135" t="n">
        <f aca="false">$G10652*'Analyse capacite'!$E$7</f>
        <v>0</v>
      </c>
    </row>
    <row r="10653" customFormat="false" ht="15" hidden="false" customHeight="false" outlineLevel="0" collapsed="false">
      <c r="B10653" s="130" t="n">
        <v>2028</v>
      </c>
      <c r="C10653" s="131" t="s">
        <v>255</v>
      </c>
      <c r="D10653" s="132" t="n">
        <v>46773</v>
      </c>
      <c r="E10653" s="131" t="s">
        <v>56</v>
      </c>
      <c r="F10653" s="133" t="s">
        <v>19</v>
      </c>
      <c r="G10653" s="134" t="n">
        <f aca="false">LEN('Saisie programme'!$H$392)+SUMIFS('Vols additionnels'!$E$7:$E$66,'Vols additionnels'!$C$7:$C$66,$E10653,'Vols additionnels'!$D$7:$D$66,$F10653,'Vols additionnels'!$B$7:$B$66,$D10653)</f>
        <v>0</v>
      </c>
      <c r="H10653" s="135" t="n">
        <f aca="false">$G10653*'Analyse capacite'!$F$8</f>
        <v>0</v>
      </c>
      <c r="I10653" s="135" t="n">
        <f aca="false">$G10653*'Analyse capacite'!$C$8</f>
        <v>0</v>
      </c>
      <c r="J10653" s="135" t="n">
        <f aca="false">$G10653*'Analyse capacite'!$D$8</f>
        <v>0</v>
      </c>
      <c r="K10653" s="135" t="n">
        <f aca="false">$G10653*'Analyse capacite'!$E$8</f>
        <v>0</v>
      </c>
    </row>
    <row r="10654" customFormat="false" ht="15" hidden="false" customHeight="false" outlineLevel="0" collapsed="false">
      <c r="B10654" s="130" t="n">
        <v>2028</v>
      </c>
      <c r="C10654" s="131" t="s">
        <v>255</v>
      </c>
      <c r="D10654" s="132" t="n">
        <v>46773</v>
      </c>
      <c r="E10654" s="131" t="s">
        <v>56</v>
      </c>
      <c r="F10654" s="133" t="s">
        <v>24</v>
      </c>
      <c r="G10654" s="134" t="n">
        <f aca="false">LEN('Saisie programme'!$H$393)+SUMIFS('Vols additionnels'!$E$7:$E$66,'Vols additionnels'!$C$7:$C$66,$E10654,'Vols additionnels'!$D$7:$D$66,$F10654,'Vols additionnels'!$B$7:$B$66,$D10654)</f>
        <v>0</v>
      </c>
      <c r="H10654" s="135" t="n">
        <f aca="false">$G10654*'Analyse capacite'!$F$9</f>
        <v>0</v>
      </c>
      <c r="I10654" s="135" t="n">
        <f aca="false">$G10654*'Analyse capacite'!$C$9</f>
        <v>0</v>
      </c>
      <c r="J10654" s="135" t="n">
        <f aca="false">$G10654*'Analyse capacite'!$D$9</f>
        <v>0</v>
      </c>
      <c r="K10654" s="135" t="n">
        <f aca="false">$G10654*'Analyse capacite'!$E$9</f>
        <v>0</v>
      </c>
    </row>
    <row r="10655" customFormat="false" ht="15" hidden="false" customHeight="false" outlineLevel="0" collapsed="false">
      <c r="B10655" s="130" t="n">
        <v>2028</v>
      </c>
      <c r="C10655" s="131" t="s">
        <v>255</v>
      </c>
      <c r="D10655" s="132" t="n">
        <v>46773</v>
      </c>
      <c r="E10655" s="131" t="s">
        <v>59</v>
      </c>
      <c r="F10655" s="133" t="s">
        <v>11</v>
      </c>
      <c r="G10655" s="134" t="n">
        <f aca="false">LEN('Saisie programme'!$H$394)+SUMIFS('Vols additionnels'!$E$7:$E$66,'Vols additionnels'!$C$7:$C$66,$E10655,'Vols additionnels'!$D$7:$D$66,$F10655,'Vols additionnels'!$B$7:$B$66,$D10655)</f>
        <v>0</v>
      </c>
      <c r="H10655" s="135" t="n">
        <f aca="false">$G10655*'Analyse capacite'!$F$7</f>
        <v>0</v>
      </c>
      <c r="I10655" s="135" t="n">
        <f aca="false">$G10655*'Analyse capacite'!$C$7</f>
        <v>0</v>
      </c>
      <c r="J10655" s="135" t="n">
        <f aca="false">$G10655*'Analyse capacite'!$D$7</f>
        <v>0</v>
      </c>
      <c r="K10655" s="135" t="n">
        <f aca="false">$G10655*'Analyse capacite'!$E$7</f>
        <v>0</v>
      </c>
    </row>
    <row r="10656" customFormat="false" ht="15" hidden="false" customHeight="false" outlineLevel="0" collapsed="false">
      <c r="B10656" s="130" t="n">
        <v>2028</v>
      </c>
      <c r="C10656" s="131" t="s">
        <v>255</v>
      </c>
      <c r="D10656" s="132" t="n">
        <v>46773</v>
      </c>
      <c r="E10656" s="131" t="s">
        <v>59</v>
      </c>
      <c r="F10656" s="133" t="s">
        <v>19</v>
      </c>
      <c r="G10656" s="134" t="n">
        <f aca="false">LEN('Saisie programme'!$H$395)+SUMIFS('Vols additionnels'!$E$7:$E$66,'Vols additionnels'!$C$7:$C$66,$E10656,'Vols additionnels'!$D$7:$D$66,$F10656,'Vols additionnels'!$B$7:$B$66,$D10656)</f>
        <v>0</v>
      </c>
      <c r="H10656" s="135" t="n">
        <f aca="false">$G10656*'Analyse capacite'!$F$8</f>
        <v>0</v>
      </c>
      <c r="I10656" s="135" t="n">
        <f aca="false">$G10656*'Analyse capacite'!$C$8</f>
        <v>0</v>
      </c>
      <c r="J10656" s="135" t="n">
        <f aca="false">$G10656*'Analyse capacite'!$D$8</f>
        <v>0</v>
      </c>
      <c r="K10656" s="135" t="n">
        <f aca="false">$G10656*'Analyse capacite'!$E$8</f>
        <v>0</v>
      </c>
    </row>
    <row r="10657" customFormat="false" ht="15" hidden="false" customHeight="false" outlineLevel="0" collapsed="false">
      <c r="B10657" s="130" t="n">
        <v>2028</v>
      </c>
      <c r="C10657" s="131" t="s">
        <v>255</v>
      </c>
      <c r="D10657" s="132" t="n">
        <v>46773</v>
      </c>
      <c r="E10657" s="131" t="s">
        <v>59</v>
      </c>
      <c r="F10657" s="133" t="s">
        <v>24</v>
      </c>
      <c r="G10657" s="134" t="n">
        <f aca="false">LEN('Saisie programme'!$H$396)+SUMIFS('Vols additionnels'!$E$7:$E$66,'Vols additionnels'!$C$7:$C$66,$E10657,'Vols additionnels'!$D$7:$D$66,$F10657,'Vols additionnels'!$B$7:$B$66,$D10657)</f>
        <v>1</v>
      </c>
      <c r="H10657" s="135" t="n">
        <f aca="false">$G10657*'Analyse capacite'!$F$9</f>
        <v>174</v>
      </c>
      <c r="I10657" s="135" t="n">
        <f aca="false">$G10657*'Analyse capacite'!$C$9</f>
        <v>0</v>
      </c>
      <c r="J10657" s="135" t="n">
        <f aca="false">$G10657*'Analyse capacite'!$D$9</f>
        <v>12</v>
      </c>
      <c r="K10657" s="135" t="n">
        <f aca="false">$G10657*'Analyse capacite'!$E$9</f>
        <v>162</v>
      </c>
    </row>
    <row r="10658" customFormat="false" ht="15" hidden="false" customHeight="false" outlineLevel="0" collapsed="false">
      <c r="B10658" s="130" t="n">
        <v>2028</v>
      </c>
      <c r="C10658" s="131" t="s">
        <v>255</v>
      </c>
      <c r="D10658" s="132" t="n">
        <v>46773</v>
      </c>
      <c r="E10658" s="131" t="s">
        <v>62</v>
      </c>
      <c r="F10658" s="133" t="s">
        <v>11</v>
      </c>
      <c r="G10658" s="134" t="n">
        <f aca="false">LEN('Saisie programme'!$H$397)+SUMIFS('Vols additionnels'!$E$7:$E$66,'Vols additionnels'!$C$7:$C$66,$E10658,'Vols additionnels'!$D$7:$D$66,$F10658,'Vols additionnels'!$B$7:$B$66,$D10658)</f>
        <v>0</v>
      </c>
      <c r="H10658" s="135" t="n">
        <f aca="false">$G10658*'Analyse capacite'!$F$7</f>
        <v>0</v>
      </c>
      <c r="I10658" s="135" t="n">
        <f aca="false">$G10658*'Analyse capacite'!$C$7</f>
        <v>0</v>
      </c>
      <c r="J10658" s="135" t="n">
        <f aca="false">$G10658*'Analyse capacite'!$D$7</f>
        <v>0</v>
      </c>
      <c r="K10658" s="135" t="n">
        <f aca="false">$G10658*'Analyse capacite'!$E$7</f>
        <v>0</v>
      </c>
    </row>
    <row r="10659" customFormat="false" ht="15" hidden="false" customHeight="false" outlineLevel="0" collapsed="false">
      <c r="B10659" s="130" t="n">
        <v>2028</v>
      </c>
      <c r="C10659" s="131" t="s">
        <v>255</v>
      </c>
      <c r="D10659" s="132" t="n">
        <v>46773</v>
      </c>
      <c r="E10659" s="131" t="s">
        <v>62</v>
      </c>
      <c r="F10659" s="133" t="s">
        <v>19</v>
      </c>
      <c r="G10659" s="134" t="n">
        <f aca="false">LEN('Saisie programme'!$H$398)+SUMIFS('Vols additionnels'!$E$7:$E$66,'Vols additionnels'!$C$7:$C$66,$E10659,'Vols additionnels'!$D$7:$D$66,$F10659,'Vols additionnels'!$B$7:$B$66,$D10659)</f>
        <v>0</v>
      </c>
      <c r="H10659" s="135" t="n">
        <f aca="false">$G10659*'Analyse capacite'!$F$8</f>
        <v>0</v>
      </c>
      <c r="I10659" s="135" t="n">
        <f aca="false">$G10659*'Analyse capacite'!$C$8</f>
        <v>0</v>
      </c>
      <c r="J10659" s="135" t="n">
        <f aca="false">$G10659*'Analyse capacite'!$D$8</f>
        <v>0</v>
      </c>
      <c r="K10659" s="135" t="n">
        <f aca="false">$G10659*'Analyse capacite'!$E$8</f>
        <v>0</v>
      </c>
    </row>
    <row r="10660" customFormat="false" ht="15" hidden="false" customHeight="false" outlineLevel="0" collapsed="false">
      <c r="B10660" s="130" t="n">
        <v>2028</v>
      </c>
      <c r="C10660" s="131" t="s">
        <v>255</v>
      </c>
      <c r="D10660" s="132" t="n">
        <v>46773</v>
      </c>
      <c r="E10660" s="131" t="s">
        <v>62</v>
      </c>
      <c r="F10660" s="133" t="s">
        <v>24</v>
      </c>
      <c r="G10660" s="134" t="n">
        <f aca="false">LEN('Saisie programme'!$H$399)+SUMIFS('Vols additionnels'!$E$7:$E$66,'Vols additionnels'!$C$7:$C$66,$E10660,'Vols additionnels'!$D$7:$D$66,$F10660,'Vols additionnels'!$B$7:$B$66,$D10660)</f>
        <v>0</v>
      </c>
      <c r="H10660" s="135" t="n">
        <f aca="false">$G10660*'Analyse capacite'!$F$9</f>
        <v>0</v>
      </c>
      <c r="I10660" s="135" t="n">
        <f aca="false">$G10660*'Analyse capacite'!$C$9</f>
        <v>0</v>
      </c>
      <c r="J10660" s="135" t="n">
        <f aca="false">$G10660*'Analyse capacite'!$D$9</f>
        <v>0</v>
      </c>
      <c r="K10660" s="135" t="n">
        <f aca="false">$G10660*'Analyse capacite'!$E$9</f>
        <v>0</v>
      </c>
    </row>
    <row r="10661" customFormat="false" ht="15" hidden="false" customHeight="false" outlineLevel="0" collapsed="false">
      <c r="B10661" s="130" t="n">
        <v>2028</v>
      </c>
      <c r="C10661" s="131" t="s">
        <v>255</v>
      </c>
      <c r="D10661" s="132" t="n">
        <v>46774</v>
      </c>
      <c r="E10661" s="131" t="s">
        <v>12</v>
      </c>
      <c r="F10661" s="133" t="s">
        <v>11</v>
      </c>
      <c r="G10661" s="134" t="n">
        <f aca="false">LEN('Saisie programme'!$I$364)+SUMIFS('Vols additionnels'!$E$7:$E$66,'Vols additionnels'!$C$7:$C$66,$E10661,'Vols additionnels'!$D$7:$D$66,$F10661,'Vols additionnels'!$B$7:$B$66,$D10661)</f>
        <v>1</v>
      </c>
      <c r="H10661" s="135" t="n">
        <f aca="false">$G10661*'Analyse capacite'!$F$7</f>
        <v>438</v>
      </c>
      <c r="I10661" s="135" t="n">
        <f aca="false">$G10661*'Analyse capacite'!$C$7</f>
        <v>14</v>
      </c>
      <c r="J10661" s="135" t="n">
        <f aca="false">$G10661*'Analyse capacite'!$D$7</f>
        <v>40</v>
      </c>
      <c r="K10661" s="135" t="n">
        <f aca="false">$G10661*'Analyse capacite'!$E$7</f>
        <v>384</v>
      </c>
    </row>
    <row r="10662" customFormat="false" ht="15" hidden="false" customHeight="false" outlineLevel="0" collapsed="false">
      <c r="B10662" s="130" t="n">
        <v>2028</v>
      </c>
      <c r="C10662" s="131" t="s">
        <v>255</v>
      </c>
      <c r="D10662" s="132" t="n">
        <v>46774</v>
      </c>
      <c r="E10662" s="131" t="s">
        <v>12</v>
      </c>
      <c r="F10662" s="133" t="s">
        <v>19</v>
      </c>
      <c r="G10662" s="134" t="n">
        <f aca="false">LEN('Saisie programme'!$I$365)+SUMIFS('Vols additionnels'!$E$7:$E$66,'Vols additionnels'!$C$7:$C$66,$E10662,'Vols additionnels'!$D$7:$D$66,$F10662,'Vols additionnels'!$B$7:$B$66,$D10662)</f>
        <v>0</v>
      </c>
      <c r="H10662" s="135" t="n">
        <f aca="false">$G10662*'Analyse capacite'!$F$8</f>
        <v>0</v>
      </c>
      <c r="I10662" s="135" t="n">
        <f aca="false">$G10662*'Analyse capacite'!$C$8</f>
        <v>0</v>
      </c>
      <c r="J10662" s="135" t="n">
        <f aca="false">$G10662*'Analyse capacite'!$D$8</f>
        <v>0</v>
      </c>
      <c r="K10662" s="135" t="n">
        <f aca="false">$G10662*'Analyse capacite'!$E$8</f>
        <v>0</v>
      </c>
    </row>
    <row r="10663" customFormat="false" ht="15" hidden="false" customHeight="false" outlineLevel="0" collapsed="false">
      <c r="B10663" s="130" t="n">
        <v>2028</v>
      </c>
      <c r="C10663" s="131" t="s">
        <v>255</v>
      </c>
      <c r="D10663" s="132" t="n">
        <v>46774</v>
      </c>
      <c r="E10663" s="131" t="s">
        <v>12</v>
      </c>
      <c r="F10663" s="133" t="s">
        <v>24</v>
      </c>
      <c r="G10663" s="134" t="n">
        <f aca="false">LEN('Saisie programme'!$I$366)+SUMIFS('Vols additionnels'!$E$7:$E$66,'Vols additionnels'!$C$7:$C$66,$E10663,'Vols additionnels'!$D$7:$D$66,$F10663,'Vols additionnels'!$B$7:$B$66,$D10663)</f>
        <v>0</v>
      </c>
      <c r="H10663" s="135" t="n">
        <f aca="false">$G10663*'Analyse capacite'!$F$9</f>
        <v>0</v>
      </c>
      <c r="I10663" s="135" t="n">
        <f aca="false">$G10663*'Analyse capacite'!$C$9</f>
        <v>0</v>
      </c>
      <c r="J10663" s="135" t="n">
        <f aca="false">$G10663*'Analyse capacite'!$D$9</f>
        <v>0</v>
      </c>
      <c r="K10663" s="135" t="n">
        <f aca="false">$G10663*'Analyse capacite'!$E$9</f>
        <v>0</v>
      </c>
    </row>
    <row r="10664" customFormat="false" ht="15" hidden="false" customHeight="false" outlineLevel="0" collapsed="false">
      <c r="B10664" s="130" t="n">
        <v>2028</v>
      </c>
      <c r="C10664" s="131" t="s">
        <v>255</v>
      </c>
      <c r="D10664" s="132" t="n">
        <v>46774</v>
      </c>
      <c r="E10664" s="131" t="s">
        <v>20</v>
      </c>
      <c r="F10664" s="133" t="s">
        <v>11</v>
      </c>
      <c r="G10664" s="134" t="n">
        <f aca="false">LEN('Saisie programme'!$I$367)+SUMIFS('Vols additionnels'!$E$7:$E$66,'Vols additionnels'!$C$7:$C$66,$E10664,'Vols additionnels'!$D$7:$D$66,$F10664,'Vols additionnels'!$B$7:$B$66,$D10664)</f>
        <v>0</v>
      </c>
      <c r="H10664" s="135" t="n">
        <f aca="false">$G10664*'Analyse capacite'!$F$7</f>
        <v>0</v>
      </c>
      <c r="I10664" s="135" t="n">
        <f aca="false">$G10664*'Analyse capacite'!$C$7</f>
        <v>0</v>
      </c>
      <c r="J10664" s="135" t="n">
        <f aca="false">$G10664*'Analyse capacite'!$D$7</f>
        <v>0</v>
      </c>
      <c r="K10664" s="135" t="n">
        <f aca="false">$G10664*'Analyse capacite'!$E$7</f>
        <v>0</v>
      </c>
    </row>
    <row r="10665" customFormat="false" ht="15" hidden="false" customHeight="false" outlineLevel="0" collapsed="false">
      <c r="B10665" s="130" t="n">
        <v>2028</v>
      </c>
      <c r="C10665" s="131" t="s">
        <v>255</v>
      </c>
      <c r="D10665" s="132" t="n">
        <v>46774</v>
      </c>
      <c r="E10665" s="131" t="s">
        <v>20</v>
      </c>
      <c r="F10665" s="133" t="s">
        <v>19</v>
      </c>
      <c r="G10665" s="134" t="n">
        <f aca="false">LEN('Saisie programme'!$I$368)+SUMIFS('Vols additionnels'!$E$7:$E$66,'Vols additionnels'!$C$7:$C$66,$E10665,'Vols additionnels'!$D$7:$D$66,$F10665,'Vols additionnels'!$B$7:$B$66,$D10665)</f>
        <v>0</v>
      </c>
      <c r="H10665" s="135" t="n">
        <f aca="false">$G10665*'Analyse capacite'!$F$8</f>
        <v>0</v>
      </c>
      <c r="I10665" s="135" t="n">
        <f aca="false">$G10665*'Analyse capacite'!$C$8</f>
        <v>0</v>
      </c>
      <c r="J10665" s="135" t="n">
        <f aca="false">$G10665*'Analyse capacite'!$D$8</f>
        <v>0</v>
      </c>
      <c r="K10665" s="135" t="n">
        <f aca="false">$G10665*'Analyse capacite'!$E$8</f>
        <v>0</v>
      </c>
    </row>
    <row r="10666" customFormat="false" ht="15" hidden="false" customHeight="false" outlineLevel="0" collapsed="false">
      <c r="B10666" s="130" t="n">
        <v>2028</v>
      </c>
      <c r="C10666" s="131" t="s">
        <v>255</v>
      </c>
      <c r="D10666" s="132" t="n">
        <v>46774</v>
      </c>
      <c r="E10666" s="131" t="s">
        <v>20</v>
      </c>
      <c r="F10666" s="133" t="s">
        <v>24</v>
      </c>
      <c r="G10666" s="134" t="n">
        <f aca="false">LEN('Saisie programme'!$I$369)+SUMIFS('Vols additionnels'!$E$7:$E$66,'Vols additionnels'!$C$7:$C$66,$E10666,'Vols additionnels'!$D$7:$D$66,$F10666,'Vols additionnels'!$B$7:$B$66,$D10666)</f>
        <v>0</v>
      </c>
      <c r="H10666" s="135" t="n">
        <f aca="false">$G10666*'Analyse capacite'!$F$9</f>
        <v>0</v>
      </c>
      <c r="I10666" s="135" t="n">
        <f aca="false">$G10666*'Analyse capacite'!$C$9</f>
        <v>0</v>
      </c>
      <c r="J10666" s="135" t="n">
        <f aca="false">$G10666*'Analyse capacite'!$D$9</f>
        <v>0</v>
      </c>
      <c r="K10666" s="135" t="n">
        <f aca="false">$G10666*'Analyse capacite'!$E$9</f>
        <v>0</v>
      </c>
    </row>
    <row r="10667" customFormat="false" ht="15" hidden="false" customHeight="false" outlineLevel="0" collapsed="false">
      <c r="B10667" s="130" t="n">
        <v>2028</v>
      </c>
      <c r="C10667" s="131" t="s">
        <v>255</v>
      </c>
      <c r="D10667" s="132" t="n">
        <v>46774</v>
      </c>
      <c r="E10667" s="131" t="s">
        <v>25</v>
      </c>
      <c r="F10667" s="133" t="s">
        <v>11</v>
      </c>
      <c r="G10667" s="134" t="n">
        <f aca="false">LEN('Saisie programme'!$I$370)+SUMIFS('Vols additionnels'!$E$7:$E$66,'Vols additionnels'!$C$7:$C$66,$E10667,'Vols additionnels'!$D$7:$D$66,$F10667,'Vols additionnels'!$B$7:$B$66,$D10667)</f>
        <v>0</v>
      </c>
      <c r="H10667" s="135" t="n">
        <f aca="false">$G10667*'Analyse capacite'!$F$7</f>
        <v>0</v>
      </c>
      <c r="I10667" s="135" t="n">
        <f aca="false">$G10667*'Analyse capacite'!$C$7</f>
        <v>0</v>
      </c>
      <c r="J10667" s="135" t="n">
        <f aca="false">$G10667*'Analyse capacite'!$D$7</f>
        <v>0</v>
      </c>
      <c r="K10667" s="135" t="n">
        <f aca="false">$G10667*'Analyse capacite'!$E$7</f>
        <v>0</v>
      </c>
    </row>
    <row r="10668" customFormat="false" ht="15" hidden="false" customHeight="false" outlineLevel="0" collapsed="false">
      <c r="B10668" s="130" t="n">
        <v>2028</v>
      </c>
      <c r="C10668" s="131" t="s">
        <v>255</v>
      </c>
      <c r="D10668" s="132" t="n">
        <v>46774</v>
      </c>
      <c r="E10668" s="131" t="s">
        <v>25</v>
      </c>
      <c r="F10668" s="133" t="s">
        <v>19</v>
      </c>
      <c r="G10668" s="134" t="n">
        <f aca="false">LEN('Saisie programme'!$I$371)+SUMIFS('Vols additionnels'!$E$7:$E$66,'Vols additionnels'!$C$7:$C$66,$E10668,'Vols additionnels'!$D$7:$D$66,$F10668,'Vols additionnels'!$B$7:$B$66,$D10668)</f>
        <v>1</v>
      </c>
      <c r="H10668" s="135" t="n">
        <f aca="false">$G10668*'Analyse capacite'!$F$8</f>
        <v>262</v>
      </c>
      <c r="I10668" s="135" t="n">
        <f aca="false">$G10668*'Analyse capacite'!$C$8</f>
        <v>18</v>
      </c>
      <c r="J10668" s="135" t="n">
        <f aca="false">$G10668*'Analyse capacite'!$D$8</f>
        <v>0</v>
      </c>
      <c r="K10668" s="135" t="n">
        <f aca="false">$G10668*'Analyse capacite'!$E$8</f>
        <v>244</v>
      </c>
    </row>
    <row r="10669" customFormat="false" ht="15" hidden="false" customHeight="false" outlineLevel="0" collapsed="false">
      <c r="B10669" s="130" t="n">
        <v>2028</v>
      </c>
      <c r="C10669" s="131" t="s">
        <v>255</v>
      </c>
      <c r="D10669" s="132" t="n">
        <v>46774</v>
      </c>
      <c r="E10669" s="131" t="s">
        <v>25</v>
      </c>
      <c r="F10669" s="133" t="s">
        <v>24</v>
      </c>
      <c r="G10669" s="134" t="n">
        <f aca="false">LEN('Saisie programme'!$I$372)+SUMIFS('Vols additionnels'!$E$7:$E$66,'Vols additionnels'!$C$7:$C$66,$E10669,'Vols additionnels'!$D$7:$D$66,$F10669,'Vols additionnels'!$B$7:$B$66,$D10669)</f>
        <v>0</v>
      </c>
      <c r="H10669" s="135" t="n">
        <f aca="false">$G10669*'Analyse capacite'!$F$9</f>
        <v>0</v>
      </c>
      <c r="I10669" s="135" t="n">
        <f aca="false">$G10669*'Analyse capacite'!$C$9</f>
        <v>0</v>
      </c>
      <c r="J10669" s="135" t="n">
        <f aca="false">$G10669*'Analyse capacite'!$D$9</f>
        <v>0</v>
      </c>
      <c r="K10669" s="135" t="n">
        <f aca="false">$G10669*'Analyse capacite'!$E$9</f>
        <v>0</v>
      </c>
    </row>
    <row r="10670" customFormat="false" ht="15" hidden="false" customHeight="false" outlineLevel="0" collapsed="false">
      <c r="B10670" s="130" t="n">
        <v>2028</v>
      </c>
      <c r="C10670" s="131" t="s">
        <v>255</v>
      </c>
      <c r="D10670" s="132" t="n">
        <v>46774</v>
      </c>
      <c r="E10670" s="131" t="s">
        <v>36</v>
      </c>
      <c r="F10670" s="133" t="s">
        <v>11</v>
      </c>
      <c r="G10670" s="134" t="n">
        <f aca="false">LEN('Saisie programme'!$I$373)+SUMIFS('Vols additionnels'!$E$7:$E$66,'Vols additionnels'!$C$7:$C$66,$E10670,'Vols additionnels'!$D$7:$D$66,$F10670,'Vols additionnels'!$B$7:$B$66,$D10670)</f>
        <v>0</v>
      </c>
      <c r="H10670" s="135" t="n">
        <f aca="false">$G10670*'Analyse capacite'!$F$7</f>
        <v>0</v>
      </c>
      <c r="I10670" s="135" t="n">
        <f aca="false">$G10670*'Analyse capacite'!$C$7</f>
        <v>0</v>
      </c>
      <c r="J10670" s="135" t="n">
        <f aca="false">$G10670*'Analyse capacite'!$D$7</f>
        <v>0</v>
      </c>
      <c r="K10670" s="135" t="n">
        <f aca="false">$G10670*'Analyse capacite'!$E$7</f>
        <v>0</v>
      </c>
    </row>
    <row r="10671" customFormat="false" ht="15" hidden="false" customHeight="false" outlineLevel="0" collapsed="false">
      <c r="B10671" s="130" t="n">
        <v>2028</v>
      </c>
      <c r="C10671" s="131" t="s">
        <v>255</v>
      </c>
      <c r="D10671" s="132" t="n">
        <v>46774</v>
      </c>
      <c r="E10671" s="131" t="s">
        <v>36</v>
      </c>
      <c r="F10671" s="133" t="s">
        <v>19</v>
      </c>
      <c r="G10671" s="134" t="n">
        <f aca="false">LEN('Saisie programme'!$I$374)+SUMIFS('Vols additionnels'!$E$7:$E$66,'Vols additionnels'!$C$7:$C$66,$E10671,'Vols additionnels'!$D$7:$D$66,$F10671,'Vols additionnels'!$B$7:$B$66,$D10671)</f>
        <v>0</v>
      </c>
      <c r="H10671" s="135" t="n">
        <f aca="false">$G10671*'Analyse capacite'!$F$8</f>
        <v>0</v>
      </c>
      <c r="I10671" s="135" t="n">
        <f aca="false">$G10671*'Analyse capacite'!$C$8</f>
        <v>0</v>
      </c>
      <c r="J10671" s="135" t="n">
        <f aca="false">$G10671*'Analyse capacite'!$D$8</f>
        <v>0</v>
      </c>
      <c r="K10671" s="135" t="n">
        <f aca="false">$G10671*'Analyse capacite'!$E$8</f>
        <v>0</v>
      </c>
    </row>
    <row r="10672" customFormat="false" ht="15" hidden="false" customHeight="false" outlineLevel="0" collapsed="false">
      <c r="B10672" s="130" t="n">
        <v>2028</v>
      </c>
      <c r="C10672" s="131" t="s">
        <v>255</v>
      </c>
      <c r="D10672" s="132" t="n">
        <v>46774</v>
      </c>
      <c r="E10672" s="131" t="s">
        <v>36</v>
      </c>
      <c r="F10672" s="133" t="s">
        <v>24</v>
      </c>
      <c r="G10672" s="134" t="n">
        <f aca="false">LEN('Saisie programme'!$I$375)+SUMIFS('Vols additionnels'!$E$7:$E$66,'Vols additionnels'!$C$7:$C$66,$E10672,'Vols additionnels'!$D$7:$D$66,$F10672,'Vols additionnels'!$B$7:$B$66,$D10672)</f>
        <v>0</v>
      </c>
      <c r="H10672" s="135" t="n">
        <f aca="false">$G10672*'Analyse capacite'!$F$9</f>
        <v>0</v>
      </c>
      <c r="I10672" s="135" t="n">
        <f aca="false">$G10672*'Analyse capacite'!$C$9</f>
        <v>0</v>
      </c>
      <c r="J10672" s="135" t="n">
        <f aca="false">$G10672*'Analyse capacite'!$D$9</f>
        <v>0</v>
      </c>
      <c r="K10672" s="135" t="n">
        <f aca="false">$G10672*'Analyse capacite'!$E$9</f>
        <v>0</v>
      </c>
    </row>
    <row r="10673" customFormat="false" ht="15" hidden="false" customHeight="false" outlineLevel="0" collapsed="false">
      <c r="B10673" s="130" t="n">
        <v>2028</v>
      </c>
      <c r="C10673" s="131" t="s">
        <v>255</v>
      </c>
      <c r="D10673" s="132" t="n">
        <v>46774</v>
      </c>
      <c r="E10673" s="131" t="s">
        <v>40</v>
      </c>
      <c r="F10673" s="133" t="s">
        <v>11</v>
      </c>
      <c r="G10673" s="134" t="n">
        <f aca="false">LEN('Saisie programme'!$I$376)+SUMIFS('Vols additionnels'!$E$7:$E$66,'Vols additionnels'!$C$7:$C$66,$E10673,'Vols additionnels'!$D$7:$D$66,$F10673,'Vols additionnels'!$B$7:$B$66,$D10673)</f>
        <v>0</v>
      </c>
      <c r="H10673" s="135" t="n">
        <f aca="false">$G10673*'Analyse capacite'!$F$7</f>
        <v>0</v>
      </c>
      <c r="I10673" s="135" t="n">
        <f aca="false">$G10673*'Analyse capacite'!$C$7</f>
        <v>0</v>
      </c>
      <c r="J10673" s="135" t="n">
        <f aca="false">$G10673*'Analyse capacite'!$D$7</f>
        <v>0</v>
      </c>
      <c r="K10673" s="135" t="n">
        <f aca="false">$G10673*'Analyse capacite'!$E$7</f>
        <v>0</v>
      </c>
    </row>
    <row r="10674" customFormat="false" ht="15" hidden="false" customHeight="false" outlineLevel="0" collapsed="false">
      <c r="B10674" s="130" t="n">
        <v>2028</v>
      </c>
      <c r="C10674" s="131" t="s">
        <v>255</v>
      </c>
      <c r="D10674" s="132" t="n">
        <v>46774</v>
      </c>
      <c r="E10674" s="131" t="s">
        <v>40</v>
      </c>
      <c r="F10674" s="133" t="s">
        <v>19</v>
      </c>
      <c r="G10674" s="134" t="n">
        <f aca="false">LEN('Saisie programme'!$I$377)+SUMIFS('Vols additionnels'!$E$7:$E$66,'Vols additionnels'!$C$7:$C$66,$E10674,'Vols additionnels'!$D$7:$D$66,$F10674,'Vols additionnels'!$B$7:$B$66,$D10674)</f>
        <v>0</v>
      </c>
      <c r="H10674" s="135" t="n">
        <f aca="false">$G10674*'Analyse capacite'!$F$8</f>
        <v>0</v>
      </c>
      <c r="I10674" s="135" t="n">
        <f aca="false">$G10674*'Analyse capacite'!$C$8</f>
        <v>0</v>
      </c>
      <c r="J10674" s="135" t="n">
        <f aca="false">$G10674*'Analyse capacite'!$D$8</f>
        <v>0</v>
      </c>
      <c r="K10674" s="135" t="n">
        <f aca="false">$G10674*'Analyse capacite'!$E$8</f>
        <v>0</v>
      </c>
    </row>
    <row r="10675" customFormat="false" ht="15" hidden="false" customHeight="false" outlineLevel="0" collapsed="false">
      <c r="B10675" s="130" t="n">
        <v>2028</v>
      </c>
      <c r="C10675" s="131" t="s">
        <v>255</v>
      </c>
      <c r="D10675" s="132" t="n">
        <v>46774</v>
      </c>
      <c r="E10675" s="131" t="s">
        <v>40</v>
      </c>
      <c r="F10675" s="133" t="s">
        <v>24</v>
      </c>
      <c r="G10675" s="134" t="n">
        <f aca="false">LEN('Saisie programme'!$I$378)+SUMIFS('Vols additionnels'!$E$7:$E$66,'Vols additionnels'!$C$7:$C$66,$E10675,'Vols additionnels'!$D$7:$D$66,$F10675,'Vols additionnels'!$B$7:$B$66,$D10675)</f>
        <v>0</v>
      </c>
      <c r="H10675" s="135" t="n">
        <f aca="false">$G10675*'Analyse capacite'!$F$9</f>
        <v>0</v>
      </c>
      <c r="I10675" s="135" t="n">
        <f aca="false">$G10675*'Analyse capacite'!$C$9</f>
        <v>0</v>
      </c>
      <c r="J10675" s="135" t="n">
        <f aca="false">$G10675*'Analyse capacite'!$D$9</f>
        <v>0</v>
      </c>
      <c r="K10675" s="135" t="n">
        <f aca="false">$G10675*'Analyse capacite'!$E$9</f>
        <v>0</v>
      </c>
    </row>
    <row r="10676" customFormat="false" ht="15" hidden="false" customHeight="false" outlineLevel="0" collapsed="false">
      <c r="B10676" s="130" t="n">
        <v>2028</v>
      </c>
      <c r="C10676" s="131" t="s">
        <v>255</v>
      </c>
      <c r="D10676" s="132" t="n">
        <v>46774</v>
      </c>
      <c r="E10676" s="131" t="s">
        <v>14</v>
      </c>
      <c r="F10676" s="133" t="s">
        <v>11</v>
      </c>
      <c r="G10676" s="134" t="n">
        <f aca="false">LEN('Saisie programme'!$I$379)+SUMIFS('Vols additionnels'!$E$7:$E$66,'Vols additionnels'!$C$7:$C$66,$E10676,'Vols additionnels'!$D$7:$D$66,$F10676,'Vols additionnels'!$B$7:$B$66,$D10676)</f>
        <v>0</v>
      </c>
      <c r="H10676" s="135" t="n">
        <f aca="false">$G10676*'Analyse capacite'!$F$7</f>
        <v>0</v>
      </c>
      <c r="I10676" s="135" t="n">
        <f aca="false">$G10676*'Analyse capacite'!$C$7</f>
        <v>0</v>
      </c>
      <c r="J10676" s="135" t="n">
        <f aca="false">$G10676*'Analyse capacite'!$D$7</f>
        <v>0</v>
      </c>
      <c r="K10676" s="135" t="n">
        <f aca="false">$G10676*'Analyse capacite'!$E$7</f>
        <v>0</v>
      </c>
    </row>
    <row r="10677" customFormat="false" ht="15" hidden="false" customHeight="false" outlineLevel="0" collapsed="false">
      <c r="B10677" s="130" t="n">
        <v>2028</v>
      </c>
      <c r="C10677" s="131" t="s">
        <v>255</v>
      </c>
      <c r="D10677" s="132" t="n">
        <v>46774</v>
      </c>
      <c r="E10677" s="131" t="s">
        <v>14</v>
      </c>
      <c r="F10677" s="133" t="s">
        <v>19</v>
      </c>
      <c r="G10677" s="134" t="n">
        <f aca="false">LEN('Saisie programme'!$I$380)+SUMIFS('Vols additionnels'!$E$7:$E$66,'Vols additionnels'!$C$7:$C$66,$E10677,'Vols additionnels'!$D$7:$D$66,$F10677,'Vols additionnels'!$B$7:$B$66,$D10677)</f>
        <v>0</v>
      </c>
      <c r="H10677" s="135" t="n">
        <f aca="false">$G10677*'Analyse capacite'!$F$8</f>
        <v>0</v>
      </c>
      <c r="I10677" s="135" t="n">
        <f aca="false">$G10677*'Analyse capacite'!$C$8</f>
        <v>0</v>
      </c>
      <c r="J10677" s="135" t="n">
        <f aca="false">$G10677*'Analyse capacite'!$D$8</f>
        <v>0</v>
      </c>
      <c r="K10677" s="135" t="n">
        <f aca="false">$G10677*'Analyse capacite'!$E$8</f>
        <v>0</v>
      </c>
    </row>
    <row r="10678" customFormat="false" ht="15" hidden="false" customHeight="false" outlineLevel="0" collapsed="false">
      <c r="B10678" s="130" t="n">
        <v>2028</v>
      </c>
      <c r="C10678" s="131" t="s">
        <v>255</v>
      </c>
      <c r="D10678" s="132" t="n">
        <v>46774</v>
      </c>
      <c r="E10678" s="131" t="s">
        <v>14</v>
      </c>
      <c r="F10678" s="133" t="s">
        <v>24</v>
      </c>
      <c r="G10678" s="134" t="n">
        <f aca="false">LEN('Saisie programme'!$I$381)+SUMIFS('Vols additionnels'!$E$7:$E$66,'Vols additionnels'!$C$7:$C$66,$E10678,'Vols additionnels'!$D$7:$D$66,$F10678,'Vols additionnels'!$B$7:$B$66,$D10678)</f>
        <v>1</v>
      </c>
      <c r="H10678" s="135" t="n">
        <f aca="false">$G10678*'Analyse capacite'!$F$9</f>
        <v>174</v>
      </c>
      <c r="I10678" s="135" t="n">
        <f aca="false">$G10678*'Analyse capacite'!$C$9</f>
        <v>0</v>
      </c>
      <c r="J10678" s="135" t="n">
        <f aca="false">$G10678*'Analyse capacite'!$D$9</f>
        <v>12</v>
      </c>
      <c r="K10678" s="135" t="n">
        <f aca="false">$G10678*'Analyse capacite'!$E$9</f>
        <v>162</v>
      </c>
    </row>
    <row r="10679" customFormat="false" ht="15" hidden="false" customHeight="false" outlineLevel="0" collapsed="false">
      <c r="B10679" s="130" t="n">
        <v>2028</v>
      </c>
      <c r="C10679" s="131" t="s">
        <v>255</v>
      </c>
      <c r="D10679" s="132" t="n">
        <v>46774</v>
      </c>
      <c r="E10679" s="131" t="s">
        <v>46</v>
      </c>
      <c r="F10679" s="133" t="s">
        <v>11</v>
      </c>
      <c r="G10679" s="134" t="n">
        <f aca="false">LEN('Saisie programme'!$I$382)+SUMIFS('Vols additionnels'!$E$7:$E$66,'Vols additionnels'!$C$7:$C$66,$E10679,'Vols additionnels'!$D$7:$D$66,$F10679,'Vols additionnels'!$B$7:$B$66,$D10679)</f>
        <v>0</v>
      </c>
      <c r="H10679" s="135" t="n">
        <f aca="false">$G10679*'Analyse capacite'!$F$7</f>
        <v>0</v>
      </c>
      <c r="I10679" s="135" t="n">
        <f aca="false">$G10679*'Analyse capacite'!$C$7</f>
        <v>0</v>
      </c>
      <c r="J10679" s="135" t="n">
        <f aca="false">$G10679*'Analyse capacite'!$D$7</f>
        <v>0</v>
      </c>
      <c r="K10679" s="135" t="n">
        <f aca="false">$G10679*'Analyse capacite'!$E$7</f>
        <v>0</v>
      </c>
    </row>
    <row r="10680" customFormat="false" ht="15" hidden="false" customHeight="false" outlineLevel="0" collapsed="false">
      <c r="B10680" s="130" t="n">
        <v>2028</v>
      </c>
      <c r="C10680" s="131" t="s">
        <v>255</v>
      </c>
      <c r="D10680" s="132" t="n">
        <v>46774</v>
      </c>
      <c r="E10680" s="131" t="s">
        <v>46</v>
      </c>
      <c r="F10680" s="133" t="s">
        <v>19</v>
      </c>
      <c r="G10680" s="134" t="n">
        <f aca="false">LEN('Saisie programme'!$I$383)+SUMIFS('Vols additionnels'!$E$7:$E$66,'Vols additionnels'!$C$7:$C$66,$E10680,'Vols additionnels'!$D$7:$D$66,$F10680,'Vols additionnels'!$B$7:$B$66,$D10680)</f>
        <v>0</v>
      </c>
      <c r="H10680" s="135" t="n">
        <f aca="false">$G10680*'Analyse capacite'!$F$8</f>
        <v>0</v>
      </c>
      <c r="I10680" s="135" t="n">
        <f aca="false">$G10680*'Analyse capacite'!$C$8</f>
        <v>0</v>
      </c>
      <c r="J10680" s="135" t="n">
        <f aca="false">$G10680*'Analyse capacite'!$D$8</f>
        <v>0</v>
      </c>
      <c r="K10680" s="135" t="n">
        <f aca="false">$G10680*'Analyse capacite'!$E$8</f>
        <v>0</v>
      </c>
    </row>
    <row r="10681" customFormat="false" ht="15" hidden="false" customHeight="false" outlineLevel="0" collapsed="false">
      <c r="B10681" s="130" t="n">
        <v>2028</v>
      </c>
      <c r="C10681" s="131" t="s">
        <v>255</v>
      </c>
      <c r="D10681" s="132" t="n">
        <v>46774</v>
      </c>
      <c r="E10681" s="131" t="s">
        <v>46</v>
      </c>
      <c r="F10681" s="133" t="s">
        <v>24</v>
      </c>
      <c r="G10681" s="134" t="n">
        <f aca="false">LEN('Saisie programme'!$I$384)+SUMIFS('Vols additionnels'!$E$7:$E$66,'Vols additionnels'!$C$7:$C$66,$E10681,'Vols additionnels'!$D$7:$D$66,$F10681,'Vols additionnels'!$B$7:$B$66,$D10681)</f>
        <v>1</v>
      </c>
      <c r="H10681" s="135" t="n">
        <f aca="false">$G10681*'Analyse capacite'!$F$9</f>
        <v>174</v>
      </c>
      <c r="I10681" s="135" t="n">
        <f aca="false">$G10681*'Analyse capacite'!$C$9</f>
        <v>0</v>
      </c>
      <c r="J10681" s="135" t="n">
        <f aca="false">$G10681*'Analyse capacite'!$D$9</f>
        <v>12</v>
      </c>
      <c r="K10681" s="135" t="n">
        <f aca="false">$G10681*'Analyse capacite'!$E$9</f>
        <v>162</v>
      </c>
    </row>
    <row r="10682" customFormat="false" ht="15" hidden="false" customHeight="false" outlineLevel="0" collapsed="false">
      <c r="B10682" s="130" t="n">
        <v>2028</v>
      </c>
      <c r="C10682" s="131" t="s">
        <v>255</v>
      </c>
      <c r="D10682" s="132" t="n">
        <v>46774</v>
      </c>
      <c r="E10682" s="131" t="s">
        <v>49</v>
      </c>
      <c r="F10682" s="133" t="s">
        <v>11</v>
      </c>
      <c r="G10682" s="134" t="n">
        <f aca="false">LEN('Saisie programme'!$I$385)+SUMIFS('Vols additionnels'!$E$7:$E$66,'Vols additionnels'!$C$7:$C$66,$E10682,'Vols additionnels'!$D$7:$D$66,$F10682,'Vols additionnels'!$B$7:$B$66,$D10682)</f>
        <v>0</v>
      </c>
      <c r="H10682" s="135" t="n">
        <f aca="false">$G10682*'Analyse capacite'!$F$7</f>
        <v>0</v>
      </c>
      <c r="I10682" s="135" t="n">
        <f aca="false">$G10682*'Analyse capacite'!$C$7</f>
        <v>0</v>
      </c>
      <c r="J10682" s="135" t="n">
        <f aca="false">$G10682*'Analyse capacite'!$D$7</f>
        <v>0</v>
      </c>
      <c r="K10682" s="135" t="n">
        <f aca="false">$G10682*'Analyse capacite'!$E$7</f>
        <v>0</v>
      </c>
    </row>
    <row r="10683" customFormat="false" ht="15" hidden="false" customHeight="false" outlineLevel="0" collapsed="false">
      <c r="B10683" s="130" t="n">
        <v>2028</v>
      </c>
      <c r="C10683" s="131" t="s">
        <v>255</v>
      </c>
      <c r="D10683" s="132" t="n">
        <v>46774</v>
      </c>
      <c r="E10683" s="131" t="s">
        <v>49</v>
      </c>
      <c r="F10683" s="133" t="s">
        <v>19</v>
      </c>
      <c r="G10683" s="134" t="n">
        <f aca="false">LEN('Saisie programme'!$I$386)+SUMIFS('Vols additionnels'!$E$7:$E$66,'Vols additionnels'!$C$7:$C$66,$E10683,'Vols additionnels'!$D$7:$D$66,$F10683,'Vols additionnels'!$B$7:$B$66,$D10683)</f>
        <v>0</v>
      </c>
      <c r="H10683" s="135" t="n">
        <f aca="false">$G10683*'Analyse capacite'!$F$8</f>
        <v>0</v>
      </c>
      <c r="I10683" s="135" t="n">
        <f aca="false">$G10683*'Analyse capacite'!$C$8</f>
        <v>0</v>
      </c>
      <c r="J10683" s="135" t="n">
        <f aca="false">$G10683*'Analyse capacite'!$D$8</f>
        <v>0</v>
      </c>
      <c r="K10683" s="135" t="n">
        <f aca="false">$G10683*'Analyse capacite'!$E$8</f>
        <v>0</v>
      </c>
    </row>
    <row r="10684" customFormat="false" ht="15" hidden="false" customHeight="false" outlineLevel="0" collapsed="false">
      <c r="B10684" s="130" t="n">
        <v>2028</v>
      </c>
      <c r="C10684" s="131" t="s">
        <v>255</v>
      </c>
      <c r="D10684" s="132" t="n">
        <v>46774</v>
      </c>
      <c r="E10684" s="131" t="s">
        <v>49</v>
      </c>
      <c r="F10684" s="133" t="s">
        <v>24</v>
      </c>
      <c r="G10684" s="134" t="n">
        <f aca="false">LEN('Saisie programme'!$I$387)+SUMIFS('Vols additionnels'!$E$7:$E$66,'Vols additionnels'!$C$7:$C$66,$E10684,'Vols additionnels'!$D$7:$D$66,$F10684,'Vols additionnels'!$B$7:$B$66,$D10684)</f>
        <v>0</v>
      </c>
      <c r="H10684" s="135" t="n">
        <f aca="false">$G10684*'Analyse capacite'!$F$9</f>
        <v>0</v>
      </c>
      <c r="I10684" s="135" t="n">
        <f aca="false">$G10684*'Analyse capacite'!$C$9</f>
        <v>0</v>
      </c>
      <c r="J10684" s="135" t="n">
        <f aca="false">$G10684*'Analyse capacite'!$D$9</f>
        <v>0</v>
      </c>
      <c r="K10684" s="135" t="n">
        <f aca="false">$G10684*'Analyse capacite'!$E$9</f>
        <v>0</v>
      </c>
    </row>
    <row r="10685" customFormat="false" ht="15" hidden="false" customHeight="false" outlineLevel="0" collapsed="false">
      <c r="B10685" s="130" t="n">
        <v>2028</v>
      </c>
      <c r="C10685" s="131" t="s">
        <v>255</v>
      </c>
      <c r="D10685" s="132" t="n">
        <v>46774</v>
      </c>
      <c r="E10685" s="131" t="s">
        <v>53</v>
      </c>
      <c r="F10685" s="133" t="s">
        <v>11</v>
      </c>
      <c r="G10685" s="134" t="n">
        <f aca="false">LEN('Saisie programme'!$I$388)+SUMIFS('Vols additionnels'!$E$7:$E$66,'Vols additionnels'!$C$7:$C$66,$E10685,'Vols additionnels'!$D$7:$D$66,$F10685,'Vols additionnels'!$B$7:$B$66,$D10685)</f>
        <v>0</v>
      </c>
      <c r="H10685" s="135" t="n">
        <f aca="false">$G10685*'Analyse capacite'!$F$7</f>
        <v>0</v>
      </c>
      <c r="I10685" s="135" t="n">
        <f aca="false">$G10685*'Analyse capacite'!$C$7</f>
        <v>0</v>
      </c>
      <c r="J10685" s="135" t="n">
        <f aca="false">$G10685*'Analyse capacite'!$D$7</f>
        <v>0</v>
      </c>
      <c r="K10685" s="135" t="n">
        <f aca="false">$G10685*'Analyse capacite'!$E$7</f>
        <v>0</v>
      </c>
    </row>
    <row r="10686" customFormat="false" ht="15" hidden="false" customHeight="false" outlineLevel="0" collapsed="false">
      <c r="B10686" s="130" t="n">
        <v>2028</v>
      </c>
      <c r="C10686" s="131" t="s">
        <v>255</v>
      </c>
      <c r="D10686" s="132" t="n">
        <v>46774</v>
      </c>
      <c r="E10686" s="131" t="s">
        <v>53</v>
      </c>
      <c r="F10686" s="133" t="s">
        <v>19</v>
      </c>
      <c r="G10686" s="134" t="n">
        <f aca="false">LEN('Saisie programme'!$I$389)+SUMIFS('Vols additionnels'!$E$7:$E$66,'Vols additionnels'!$C$7:$C$66,$E10686,'Vols additionnels'!$D$7:$D$66,$F10686,'Vols additionnels'!$B$7:$B$66,$D10686)</f>
        <v>0</v>
      </c>
      <c r="H10686" s="135" t="n">
        <f aca="false">$G10686*'Analyse capacite'!$F$8</f>
        <v>0</v>
      </c>
      <c r="I10686" s="135" t="n">
        <f aca="false">$G10686*'Analyse capacite'!$C$8</f>
        <v>0</v>
      </c>
      <c r="J10686" s="135" t="n">
        <f aca="false">$G10686*'Analyse capacite'!$D$8</f>
        <v>0</v>
      </c>
      <c r="K10686" s="135" t="n">
        <f aca="false">$G10686*'Analyse capacite'!$E$8</f>
        <v>0</v>
      </c>
    </row>
    <row r="10687" customFormat="false" ht="15" hidden="false" customHeight="false" outlineLevel="0" collapsed="false">
      <c r="B10687" s="130" t="n">
        <v>2028</v>
      </c>
      <c r="C10687" s="131" t="s">
        <v>255</v>
      </c>
      <c r="D10687" s="132" t="n">
        <v>46774</v>
      </c>
      <c r="E10687" s="131" t="s">
        <v>53</v>
      </c>
      <c r="F10687" s="133" t="s">
        <v>24</v>
      </c>
      <c r="G10687" s="134" t="n">
        <f aca="false">LEN('Saisie programme'!$I$390)+SUMIFS('Vols additionnels'!$E$7:$E$66,'Vols additionnels'!$C$7:$C$66,$E10687,'Vols additionnels'!$D$7:$D$66,$F10687,'Vols additionnels'!$B$7:$B$66,$D10687)</f>
        <v>0</v>
      </c>
      <c r="H10687" s="135" t="n">
        <f aca="false">$G10687*'Analyse capacite'!$F$9</f>
        <v>0</v>
      </c>
      <c r="I10687" s="135" t="n">
        <f aca="false">$G10687*'Analyse capacite'!$C$9</f>
        <v>0</v>
      </c>
      <c r="J10687" s="135" t="n">
        <f aca="false">$G10687*'Analyse capacite'!$D$9</f>
        <v>0</v>
      </c>
      <c r="K10687" s="135" t="n">
        <f aca="false">$G10687*'Analyse capacite'!$E$9</f>
        <v>0</v>
      </c>
    </row>
    <row r="10688" customFormat="false" ht="15" hidden="false" customHeight="false" outlineLevel="0" collapsed="false">
      <c r="B10688" s="130" t="n">
        <v>2028</v>
      </c>
      <c r="C10688" s="131" t="s">
        <v>255</v>
      </c>
      <c r="D10688" s="132" t="n">
        <v>46774</v>
      </c>
      <c r="E10688" s="131" t="s">
        <v>56</v>
      </c>
      <c r="F10688" s="133" t="s">
        <v>11</v>
      </c>
      <c r="G10688" s="134" t="n">
        <f aca="false">LEN('Saisie programme'!$I$391)+SUMIFS('Vols additionnels'!$E$7:$E$66,'Vols additionnels'!$C$7:$C$66,$E10688,'Vols additionnels'!$D$7:$D$66,$F10688,'Vols additionnels'!$B$7:$B$66,$D10688)</f>
        <v>0</v>
      </c>
      <c r="H10688" s="135" t="n">
        <f aca="false">$G10688*'Analyse capacite'!$F$7</f>
        <v>0</v>
      </c>
      <c r="I10688" s="135" t="n">
        <f aca="false">$G10688*'Analyse capacite'!$C$7</f>
        <v>0</v>
      </c>
      <c r="J10688" s="135" t="n">
        <f aca="false">$G10688*'Analyse capacite'!$D$7</f>
        <v>0</v>
      </c>
      <c r="K10688" s="135" t="n">
        <f aca="false">$G10688*'Analyse capacite'!$E$7</f>
        <v>0</v>
      </c>
    </row>
    <row r="10689" customFormat="false" ht="15" hidden="false" customHeight="false" outlineLevel="0" collapsed="false">
      <c r="B10689" s="130" t="n">
        <v>2028</v>
      </c>
      <c r="C10689" s="131" t="s">
        <v>255</v>
      </c>
      <c r="D10689" s="132" t="n">
        <v>46774</v>
      </c>
      <c r="E10689" s="131" t="s">
        <v>56</v>
      </c>
      <c r="F10689" s="133" t="s">
        <v>19</v>
      </c>
      <c r="G10689" s="134" t="n">
        <f aca="false">LEN('Saisie programme'!$I$392)+SUMIFS('Vols additionnels'!$E$7:$E$66,'Vols additionnels'!$C$7:$C$66,$E10689,'Vols additionnels'!$D$7:$D$66,$F10689,'Vols additionnels'!$B$7:$B$66,$D10689)</f>
        <v>0</v>
      </c>
      <c r="H10689" s="135" t="n">
        <f aca="false">$G10689*'Analyse capacite'!$F$8</f>
        <v>0</v>
      </c>
      <c r="I10689" s="135" t="n">
        <f aca="false">$G10689*'Analyse capacite'!$C$8</f>
        <v>0</v>
      </c>
      <c r="J10689" s="135" t="n">
        <f aca="false">$G10689*'Analyse capacite'!$D$8</f>
        <v>0</v>
      </c>
      <c r="K10689" s="135" t="n">
        <f aca="false">$G10689*'Analyse capacite'!$E$8</f>
        <v>0</v>
      </c>
    </row>
    <row r="10690" customFormat="false" ht="15" hidden="false" customHeight="false" outlineLevel="0" collapsed="false">
      <c r="B10690" s="130" t="n">
        <v>2028</v>
      </c>
      <c r="C10690" s="131" t="s">
        <v>255</v>
      </c>
      <c r="D10690" s="132" t="n">
        <v>46774</v>
      </c>
      <c r="E10690" s="131" t="s">
        <v>56</v>
      </c>
      <c r="F10690" s="133" t="s">
        <v>24</v>
      </c>
      <c r="G10690" s="134" t="n">
        <f aca="false">LEN('Saisie programme'!$I$393)+SUMIFS('Vols additionnels'!$E$7:$E$66,'Vols additionnels'!$C$7:$C$66,$E10690,'Vols additionnels'!$D$7:$D$66,$F10690,'Vols additionnels'!$B$7:$B$66,$D10690)</f>
        <v>1</v>
      </c>
      <c r="H10690" s="135" t="n">
        <f aca="false">$G10690*'Analyse capacite'!$F$9</f>
        <v>174</v>
      </c>
      <c r="I10690" s="135" t="n">
        <f aca="false">$G10690*'Analyse capacite'!$C$9</f>
        <v>0</v>
      </c>
      <c r="J10690" s="135" t="n">
        <f aca="false">$G10690*'Analyse capacite'!$D$9</f>
        <v>12</v>
      </c>
      <c r="K10690" s="135" t="n">
        <f aca="false">$G10690*'Analyse capacite'!$E$9</f>
        <v>162</v>
      </c>
    </row>
    <row r="10691" customFormat="false" ht="15" hidden="false" customHeight="false" outlineLevel="0" collapsed="false">
      <c r="B10691" s="130" t="n">
        <v>2028</v>
      </c>
      <c r="C10691" s="131" t="s">
        <v>255</v>
      </c>
      <c r="D10691" s="132" t="n">
        <v>46774</v>
      </c>
      <c r="E10691" s="131" t="s">
        <v>59</v>
      </c>
      <c r="F10691" s="133" t="s">
        <v>11</v>
      </c>
      <c r="G10691" s="134" t="n">
        <f aca="false">LEN('Saisie programme'!$I$394)+SUMIFS('Vols additionnels'!$E$7:$E$66,'Vols additionnels'!$C$7:$C$66,$E10691,'Vols additionnels'!$D$7:$D$66,$F10691,'Vols additionnels'!$B$7:$B$66,$D10691)</f>
        <v>0</v>
      </c>
      <c r="H10691" s="135" t="n">
        <f aca="false">$G10691*'Analyse capacite'!$F$7</f>
        <v>0</v>
      </c>
      <c r="I10691" s="135" t="n">
        <f aca="false">$G10691*'Analyse capacite'!$C$7</f>
        <v>0</v>
      </c>
      <c r="J10691" s="135" t="n">
        <f aca="false">$G10691*'Analyse capacite'!$D$7</f>
        <v>0</v>
      </c>
      <c r="K10691" s="135" t="n">
        <f aca="false">$G10691*'Analyse capacite'!$E$7</f>
        <v>0</v>
      </c>
    </row>
    <row r="10692" customFormat="false" ht="15" hidden="false" customHeight="false" outlineLevel="0" collapsed="false">
      <c r="B10692" s="130" t="n">
        <v>2028</v>
      </c>
      <c r="C10692" s="131" t="s">
        <v>255</v>
      </c>
      <c r="D10692" s="132" t="n">
        <v>46774</v>
      </c>
      <c r="E10692" s="131" t="s">
        <v>59</v>
      </c>
      <c r="F10692" s="133" t="s">
        <v>19</v>
      </c>
      <c r="G10692" s="134" t="n">
        <f aca="false">LEN('Saisie programme'!$I$395)+SUMIFS('Vols additionnels'!$E$7:$E$66,'Vols additionnels'!$C$7:$C$66,$E10692,'Vols additionnels'!$D$7:$D$66,$F10692,'Vols additionnels'!$B$7:$B$66,$D10692)</f>
        <v>0</v>
      </c>
      <c r="H10692" s="135" t="n">
        <f aca="false">$G10692*'Analyse capacite'!$F$8</f>
        <v>0</v>
      </c>
      <c r="I10692" s="135" t="n">
        <f aca="false">$G10692*'Analyse capacite'!$C$8</f>
        <v>0</v>
      </c>
      <c r="J10692" s="135" t="n">
        <f aca="false">$G10692*'Analyse capacite'!$D$8</f>
        <v>0</v>
      </c>
      <c r="K10692" s="135" t="n">
        <f aca="false">$G10692*'Analyse capacite'!$E$8</f>
        <v>0</v>
      </c>
    </row>
    <row r="10693" customFormat="false" ht="15" hidden="false" customHeight="false" outlineLevel="0" collapsed="false">
      <c r="B10693" s="130" t="n">
        <v>2028</v>
      </c>
      <c r="C10693" s="131" t="s">
        <v>255</v>
      </c>
      <c r="D10693" s="132" t="n">
        <v>46774</v>
      </c>
      <c r="E10693" s="131" t="s">
        <v>59</v>
      </c>
      <c r="F10693" s="133" t="s">
        <v>24</v>
      </c>
      <c r="G10693" s="134" t="n">
        <f aca="false">LEN('Saisie programme'!$I$396)+SUMIFS('Vols additionnels'!$E$7:$E$66,'Vols additionnels'!$C$7:$C$66,$E10693,'Vols additionnels'!$D$7:$D$66,$F10693,'Vols additionnels'!$B$7:$B$66,$D10693)</f>
        <v>1</v>
      </c>
      <c r="H10693" s="135" t="n">
        <f aca="false">$G10693*'Analyse capacite'!$F$9</f>
        <v>174</v>
      </c>
      <c r="I10693" s="135" t="n">
        <f aca="false">$G10693*'Analyse capacite'!$C$9</f>
        <v>0</v>
      </c>
      <c r="J10693" s="135" t="n">
        <f aca="false">$G10693*'Analyse capacite'!$D$9</f>
        <v>12</v>
      </c>
      <c r="K10693" s="135" t="n">
        <f aca="false">$G10693*'Analyse capacite'!$E$9</f>
        <v>162</v>
      </c>
    </row>
    <row r="10694" customFormat="false" ht="15" hidden="false" customHeight="false" outlineLevel="0" collapsed="false">
      <c r="B10694" s="130" t="n">
        <v>2028</v>
      </c>
      <c r="C10694" s="131" t="s">
        <v>255</v>
      </c>
      <c r="D10694" s="132" t="n">
        <v>46774</v>
      </c>
      <c r="E10694" s="131" t="s">
        <v>62</v>
      </c>
      <c r="F10694" s="133" t="s">
        <v>11</v>
      </c>
      <c r="G10694" s="134" t="n">
        <f aca="false">LEN('Saisie programme'!$I$397)+SUMIFS('Vols additionnels'!$E$7:$E$66,'Vols additionnels'!$C$7:$C$66,$E10694,'Vols additionnels'!$D$7:$D$66,$F10694,'Vols additionnels'!$B$7:$B$66,$D10694)</f>
        <v>0</v>
      </c>
      <c r="H10694" s="135" t="n">
        <f aca="false">$G10694*'Analyse capacite'!$F$7</f>
        <v>0</v>
      </c>
      <c r="I10694" s="135" t="n">
        <f aca="false">$G10694*'Analyse capacite'!$C$7</f>
        <v>0</v>
      </c>
      <c r="J10694" s="135" t="n">
        <f aca="false">$G10694*'Analyse capacite'!$D$7</f>
        <v>0</v>
      </c>
      <c r="K10694" s="135" t="n">
        <f aca="false">$G10694*'Analyse capacite'!$E$7</f>
        <v>0</v>
      </c>
    </row>
    <row r="10695" customFormat="false" ht="15" hidden="false" customHeight="false" outlineLevel="0" collapsed="false">
      <c r="B10695" s="130" t="n">
        <v>2028</v>
      </c>
      <c r="C10695" s="131" t="s">
        <v>255</v>
      </c>
      <c r="D10695" s="132" t="n">
        <v>46774</v>
      </c>
      <c r="E10695" s="131" t="s">
        <v>62</v>
      </c>
      <c r="F10695" s="133" t="s">
        <v>19</v>
      </c>
      <c r="G10695" s="134" t="n">
        <f aca="false">LEN('Saisie programme'!$I$398)+SUMIFS('Vols additionnels'!$E$7:$E$66,'Vols additionnels'!$C$7:$C$66,$E10695,'Vols additionnels'!$D$7:$D$66,$F10695,'Vols additionnels'!$B$7:$B$66,$D10695)</f>
        <v>0</v>
      </c>
      <c r="H10695" s="135" t="n">
        <f aca="false">$G10695*'Analyse capacite'!$F$8</f>
        <v>0</v>
      </c>
      <c r="I10695" s="135" t="n">
        <f aca="false">$G10695*'Analyse capacite'!$C$8</f>
        <v>0</v>
      </c>
      <c r="J10695" s="135" t="n">
        <f aca="false">$G10695*'Analyse capacite'!$D$8</f>
        <v>0</v>
      </c>
      <c r="K10695" s="135" t="n">
        <f aca="false">$G10695*'Analyse capacite'!$E$8</f>
        <v>0</v>
      </c>
    </row>
    <row r="10696" customFormat="false" ht="15" hidden="false" customHeight="false" outlineLevel="0" collapsed="false">
      <c r="B10696" s="130" t="n">
        <v>2028</v>
      </c>
      <c r="C10696" s="131" t="s">
        <v>255</v>
      </c>
      <c r="D10696" s="132" t="n">
        <v>46774</v>
      </c>
      <c r="E10696" s="131" t="s">
        <v>62</v>
      </c>
      <c r="F10696" s="133" t="s">
        <v>24</v>
      </c>
      <c r="G10696" s="134" t="n">
        <f aca="false">LEN('Saisie programme'!$I$399)+SUMIFS('Vols additionnels'!$E$7:$E$66,'Vols additionnels'!$C$7:$C$66,$E10696,'Vols additionnels'!$D$7:$D$66,$F10696,'Vols additionnels'!$B$7:$B$66,$D10696)</f>
        <v>0</v>
      </c>
      <c r="H10696" s="135" t="n">
        <f aca="false">$G10696*'Analyse capacite'!$F$9</f>
        <v>0</v>
      </c>
      <c r="I10696" s="135" t="n">
        <f aca="false">$G10696*'Analyse capacite'!$C$9</f>
        <v>0</v>
      </c>
      <c r="J10696" s="135" t="n">
        <f aca="false">$G10696*'Analyse capacite'!$D$9</f>
        <v>0</v>
      </c>
      <c r="K10696" s="135" t="n">
        <f aca="false">$G10696*'Analyse capacite'!$E$9</f>
        <v>0</v>
      </c>
    </row>
    <row r="10697" customFormat="false" ht="15" hidden="false" customHeight="false" outlineLevel="0" collapsed="false">
      <c r="B10697" s="130" t="n">
        <v>2028</v>
      </c>
      <c r="C10697" s="131" t="s">
        <v>255</v>
      </c>
      <c r="D10697" s="132" t="n">
        <v>46775</v>
      </c>
      <c r="E10697" s="131" t="s">
        <v>12</v>
      </c>
      <c r="F10697" s="133" t="s">
        <v>11</v>
      </c>
      <c r="G10697" s="134" t="n">
        <f aca="false">LEN('Saisie programme'!$J$364)+SUMIFS('Vols additionnels'!$E$7:$E$66,'Vols additionnels'!$C$7:$C$66,$E10697,'Vols additionnels'!$D$7:$D$66,$F10697,'Vols additionnels'!$B$7:$B$66,$D10697)</f>
        <v>1</v>
      </c>
      <c r="H10697" s="135" t="n">
        <f aca="false">$G10697*'Analyse capacite'!$F$7</f>
        <v>438</v>
      </c>
      <c r="I10697" s="135" t="n">
        <f aca="false">$G10697*'Analyse capacite'!$C$7</f>
        <v>14</v>
      </c>
      <c r="J10697" s="135" t="n">
        <f aca="false">$G10697*'Analyse capacite'!$D$7</f>
        <v>40</v>
      </c>
      <c r="K10697" s="135" t="n">
        <f aca="false">$G10697*'Analyse capacite'!$E$7</f>
        <v>384</v>
      </c>
    </row>
    <row r="10698" customFormat="false" ht="15" hidden="false" customHeight="false" outlineLevel="0" collapsed="false">
      <c r="B10698" s="130" t="n">
        <v>2028</v>
      </c>
      <c r="C10698" s="131" t="s">
        <v>255</v>
      </c>
      <c r="D10698" s="132" t="n">
        <v>46775</v>
      </c>
      <c r="E10698" s="131" t="s">
        <v>12</v>
      </c>
      <c r="F10698" s="133" t="s">
        <v>19</v>
      </c>
      <c r="G10698" s="134" t="n">
        <f aca="false">LEN('Saisie programme'!$J$365)+SUMIFS('Vols additionnels'!$E$7:$E$66,'Vols additionnels'!$C$7:$C$66,$E10698,'Vols additionnels'!$D$7:$D$66,$F10698,'Vols additionnels'!$B$7:$B$66,$D10698)</f>
        <v>0</v>
      </c>
      <c r="H10698" s="135" t="n">
        <f aca="false">$G10698*'Analyse capacite'!$F$8</f>
        <v>0</v>
      </c>
      <c r="I10698" s="135" t="n">
        <f aca="false">$G10698*'Analyse capacite'!$C$8</f>
        <v>0</v>
      </c>
      <c r="J10698" s="135" t="n">
        <f aca="false">$G10698*'Analyse capacite'!$D$8</f>
        <v>0</v>
      </c>
      <c r="K10698" s="135" t="n">
        <f aca="false">$G10698*'Analyse capacite'!$E$8</f>
        <v>0</v>
      </c>
    </row>
    <row r="10699" customFormat="false" ht="15" hidden="false" customHeight="false" outlineLevel="0" collapsed="false">
      <c r="B10699" s="130" t="n">
        <v>2028</v>
      </c>
      <c r="C10699" s="131" t="s">
        <v>255</v>
      </c>
      <c r="D10699" s="132" t="n">
        <v>46775</v>
      </c>
      <c r="E10699" s="131" t="s">
        <v>12</v>
      </c>
      <c r="F10699" s="133" t="s">
        <v>24</v>
      </c>
      <c r="G10699" s="134" t="n">
        <f aca="false">LEN('Saisie programme'!$J$366)+SUMIFS('Vols additionnels'!$E$7:$E$66,'Vols additionnels'!$C$7:$C$66,$E10699,'Vols additionnels'!$D$7:$D$66,$F10699,'Vols additionnels'!$B$7:$B$66,$D10699)</f>
        <v>0</v>
      </c>
      <c r="H10699" s="135" t="n">
        <f aca="false">$G10699*'Analyse capacite'!$F$9</f>
        <v>0</v>
      </c>
      <c r="I10699" s="135" t="n">
        <f aca="false">$G10699*'Analyse capacite'!$C$9</f>
        <v>0</v>
      </c>
      <c r="J10699" s="135" t="n">
        <f aca="false">$G10699*'Analyse capacite'!$D$9</f>
        <v>0</v>
      </c>
      <c r="K10699" s="135" t="n">
        <f aca="false">$G10699*'Analyse capacite'!$E$9</f>
        <v>0</v>
      </c>
    </row>
    <row r="10700" customFormat="false" ht="15" hidden="false" customHeight="false" outlineLevel="0" collapsed="false">
      <c r="B10700" s="130" t="n">
        <v>2028</v>
      </c>
      <c r="C10700" s="131" t="s">
        <v>255</v>
      </c>
      <c r="D10700" s="132" t="n">
        <v>46775</v>
      </c>
      <c r="E10700" s="131" t="s">
        <v>20</v>
      </c>
      <c r="F10700" s="133" t="s">
        <v>11</v>
      </c>
      <c r="G10700" s="134" t="n">
        <f aca="false">LEN('Saisie programme'!$J$367)+SUMIFS('Vols additionnels'!$E$7:$E$66,'Vols additionnels'!$C$7:$C$66,$E10700,'Vols additionnels'!$D$7:$D$66,$F10700,'Vols additionnels'!$B$7:$B$66,$D10700)</f>
        <v>1</v>
      </c>
      <c r="H10700" s="135" t="n">
        <f aca="false">$G10700*'Analyse capacite'!$F$7</f>
        <v>438</v>
      </c>
      <c r="I10700" s="135" t="n">
        <f aca="false">$G10700*'Analyse capacite'!$C$7</f>
        <v>14</v>
      </c>
      <c r="J10700" s="135" t="n">
        <f aca="false">$G10700*'Analyse capacite'!$D$7</f>
        <v>40</v>
      </c>
      <c r="K10700" s="135" t="n">
        <f aca="false">$G10700*'Analyse capacite'!$E$7</f>
        <v>384</v>
      </c>
    </row>
    <row r="10701" customFormat="false" ht="15" hidden="false" customHeight="false" outlineLevel="0" collapsed="false">
      <c r="B10701" s="130" t="n">
        <v>2028</v>
      </c>
      <c r="C10701" s="131" t="s">
        <v>255</v>
      </c>
      <c r="D10701" s="132" t="n">
        <v>46775</v>
      </c>
      <c r="E10701" s="131" t="s">
        <v>20</v>
      </c>
      <c r="F10701" s="133" t="s">
        <v>19</v>
      </c>
      <c r="G10701" s="134" t="n">
        <f aca="false">LEN('Saisie programme'!$J$368)+SUMIFS('Vols additionnels'!$E$7:$E$66,'Vols additionnels'!$C$7:$C$66,$E10701,'Vols additionnels'!$D$7:$D$66,$F10701,'Vols additionnels'!$B$7:$B$66,$D10701)</f>
        <v>0</v>
      </c>
      <c r="H10701" s="135" t="n">
        <f aca="false">$G10701*'Analyse capacite'!$F$8</f>
        <v>0</v>
      </c>
      <c r="I10701" s="135" t="n">
        <f aca="false">$G10701*'Analyse capacite'!$C$8</f>
        <v>0</v>
      </c>
      <c r="J10701" s="135" t="n">
        <f aca="false">$G10701*'Analyse capacite'!$D$8</f>
        <v>0</v>
      </c>
      <c r="K10701" s="135" t="n">
        <f aca="false">$G10701*'Analyse capacite'!$E$8</f>
        <v>0</v>
      </c>
    </row>
    <row r="10702" customFormat="false" ht="15" hidden="false" customHeight="false" outlineLevel="0" collapsed="false">
      <c r="B10702" s="130" t="n">
        <v>2028</v>
      </c>
      <c r="C10702" s="131" t="s">
        <v>255</v>
      </c>
      <c r="D10702" s="132" t="n">
        <v>46775</v>
      </c>
      <c r="E10702" s="131" t="s">
        <v>20</v>
      </c>
      <c r="F10702" s="133" t="s">
        <v>24</v>
      </c>
      <c r="G10702" s="134" t="n">
        <f aca="false">LEN('Saisie programme'!$J$369)+SUMIFS('Vols additionnels'!$E$7:$E$66,'Vols additionnels'!$C$7:$C$66,$E10702,'Vols additionnels'!$D$7:$D$66,$F10702,'Vols additionnels'!$B$7:$B$66,$D10702)</f>
        <v>0</v>
      </c>
      <c r="H10702" s="135" t="n">
        <f aca="false">$G10702*'Analyse capacite'!$F$9</f>
        <v>0</v>
      </c>
      <c r="I10702" s="135" t="n">
        <f aca="false">$G10702*'Analyse capacite'!$C$9</f>
        <v>0</v>
      </c>
      <c r="J10702" s="135" t="n">
        <f aca="false">$G10702*'Analyse capacite'!$D$9</f>
        <v>0</v>
      </c>
      <c r="K10702" s="135" t="n">
        <f aca="false">$G10702*'Analyse capacite'!$E$9</f>
        <v>0</v>
      </c>
    </row>
    <row r="10703" customFormat="false" ht="15" hidden="false" customHeight="false" outlineLevel="0" collapsed="false">
      <c r="B10703" s="130" t="n">
        <v>2028</v>
      </c>
      <c r="C10703" s="131" t="s">
        <v>255</v>
      </c>
      <c r="D10703" s="132" t="n">
        <v>46775</v>
      </c>
      <c r="E10703" s="131" t="s">
        <v>25</v>
      </c>
      <c r="F10703" s="133" t="s">
        <v>11</v>
      </c>
      <c r="G10703" s="134" t="n">
        <f aca="false">LEN('Saisie programme'!$J$370)+SUMIFS('Vols additionnels'!$E$7:$E$66,'Vols additionnels'!$C$7:$C$66,$E10703,'Vols additionnels'!$D$7:$D$66,$F10703,'Vols additionnels'!$B$7:$B$66,$D10703)</f>
        <v>0</v>
      </c>
      <c r="H10703" s="135" t="n">
        <f aca="false">$G10703*'Analyse capacite'!$F$7</f>
        <v>0</v>
      </c>
      <c r="I10703" s="135" t="n">
        <f aca="false">$G10703*'Analyse capacite'!$C$7</f>
        <v>0</v>
      </c>
      <c r="J10703" s="135" t="n">
        <f aca="false">$G10703*'Analyse capacite'!$D$7</f>
        <v>0</v>
      </c>
      <c r="K10703" s="135" t="n">
        <f aca="false">$G10703*'Analyse capacite'!$E$7</f>
        <v>0</v>
      </c>
    </row>
    <row r="10704" customFormat="false" ht="15" hidden="false" customHeight="false" outlineLevel="0" collapsed="false">
      <c r="B10704" s="130" t="n">
        <v>2028</v>
      </c>
      <c r="C10704" s="131" t="s">
        <v>255</v>
      </c>
      <c r="D10704" s="132" t="n">
        <v>46775</v>
      </c>
      <c r="E10704" s="131" t="s">
        <v>25</v>
      </c>
      <c r="F10704" s="133" t="s">
        <v>19</v>
      </c>
      <c r="G10704" s="134" t="n">
        <f aca="false">LEN('Saisie programme'!$J$371)+SUMIFS('Vols additionnels'!$E$7:$E$66,'Vols additionnels'!$C$7:$C$66,$E10704,'Vols additionnels'!$D$7:$D$66,$F10704,'Vols additionnels'!$B$7:$B$66,$D10704)</f>
        <v>0</v>
      </c>
      <c r="H10704" s="135" t="n">
        <f aca="false">$G10704*'Analyse capacite'!$F$8</f>
        <v>0</v>
      </c>
      <c r="I10704" s="135" t="n">
        <f aca="false">$G10704*'Analyse capacite'!$C$8</f>
        <v>0</v>
      </c>
      <c r="J10704" s="135" t="n">
        <f aca="false">$G10704*'Analyse capacite'!$D$8</f>
        <v>0</v>
      </c>
      <c r="K10704" s="135" t="n">
        <f aca="false">$G10704*'Analyse capacite'!$E$8</f>
        <v>0</v>
      </c>
    </row>
    <row r="10705" customFormat="false" ht="15" hidden="false" customHeight="false" outlineLevel="0" collapsed="false">
      <c r="B10705" s="130" t="n">
        <v>2028</v>
      </c>
      <c r="C10705" s="131" t="s">
        <v>255</v>
      </c>
      <c r="D10705" s="132" t="n">
        <v>46775</v>
      </c>
      <c r="E10705" s="131" t="s">
        <v>25</v>
      </c>
      <c r="F10705" s="133" t="s">
        <v>24</v>
      </c>
      <c r="G10705" s="134" t="n">
        <f aca="false">LEN('Saisie programme'!$J$372)+SUMIFS('Vols additionnels'!$E$7:$E$66,'Vols additionnels'!$C$7:$C$66,$E10705,'Vols additionnels'!$D$7:$D$66,$F10705,'Vols additionnels'!$B$7:$B$66,$D10705)</f>
        <v>0</v>
      </c>
      <c r="H10705" s="135" t="n">
        <f aca="false">$G10705*'Analyse capacite'!$F$9</f>
        <v>0</v>
      </c>
      <c r="I10705" s="135" t="n">
        <f aca="false">$G10705*'Analyse capacite'!$C$9</f>
        <v>0</v>
      </c>
      <c r="J10705" s="135" t="n">
        <f aca="false">$G10705*'Analyse capacite'!$D$9</f>
        <v>0</v>
      </c>
      <c r="K10705" s="135" t="n">
        <f aca="false">$G10705*'Analyse capacite'!$E$9</f>
        <v>0</v>
      </c>
    </row>
    <row r="10706" customFormat="false" ht="15" hidden="false" customHeight="false" outlineLevel="0" collapsed="false">
      <c r="B10706" s="130" t="n">
        <v>2028</v>
      </c>
      <c r="C10706" s="131" t="s">
        <v>255</v>
      </c>
      <c r="D10706" s="132" t="n">
        <v>46775</v>
      </c>
      <c r="E10706" s="131" t="s">
        <v>36</v>
      </c>
      <c r="F10706" s="133" t="s">
        <v>11</v>
      </c>
      <c r="G10706" s="134" t="n">
        <f aca="false">LEN('Saisie programme'!$J$373)+SUMIFS('Vols additionnels'!$E$7:$E$66,'Vols additionnels'!$C$7:$C$66,$E10706,'Vols additionnels'!$D$7:$D$66,$F10706,'Vols additionnels'!$B$7:$B$66,$D10706)</f>
        <v>0</v>
      </c>
      <c r="H10706" s="135" t="n">
        <f aca="false">$G10706*'Analyse capacite'!$F$7</f>
        <v>0</v>
      </c>
      <c r="I10706" s="135" t="n">
        <f aca="false">$G10706*'Analyse capacite'!$C$7</f>
        <v>0</v>
      </c>
      <c r="J10706" s="135" t="n">
        <f aca="false">$G10706*'Analyse capacite'!$D$7</f>
        <v>0</v>
      </c>
      <c r="K10706" s="135" t="n">
        <f aca="false">$G10706*'Analyse capacite'!$E$7</f>
        <v>0</v>
      </c>
    </row>
    <row r="10707" customFormat="false" ht="15" hidden="false" customHeight="false" outlineLevel="0" collapsed="false">
      <c r="B10707" s="130" t="n">
        <v>2028</v>
      </c>
      <c r="C10707" s="131" t="s">
        <v>255</v>
      </c>
      <c r="D10707" s="132" t="n">
        <v>46775</v>
      </c>
      <c r="E10707" s="131" t="s">
        <v>36</v>
      </c>
      <c r="F10707" s="133" t="s">
        <v>19</v>
      </c>
      <c r="G10707" s="134" t="n">
        <f aca="false">LEN('Saisie programme'!$J$374)+SUMIFS('Vols additionnels'!$E$7:$E$66,'Vols additionnels'!$C$7:$C$66,$E10707,'Vols additionnels'!$D$7:$D$66,$F10707,'Vols additionnels'!$B$7:$B$66,$D10707)</f>
        <v>0</v>
      </c>
      <c r="H10707" s="135" t="n">
        <f aca="false">$G10707*'Analyse capacite'!$F$8</f>
        <v>0</v>
      </c>
      <c r="I10707" s="135" t="n">
        <f aca="false">$G10707*'Analyse capacite'!$C$8</f>
        <v>0</v>
      </c>
      <c r="J10707" s="135" t="n">
        <f aca="false">$G10707*'Analyse capacite'!$D$8</f>
        <v>0</v>
      </c>
      <c r="K10707" s="135" t="n">
        <f aca="false">$G10707*'Analyse capacite'!$E$8</f>
        <v>0</v>
      </c>
    </row>
    <row r="10708" customFormat="false" ht="15" hidden="false" customHeight="false" outlineLevel="0" collapsed="false">
      <c r="B10708" s="130" t="n">
        <v>2028</v>
      </c>
      <c r="C10708" s="131" t="s">
        <v>255</v>
      </c>
      <c r="D10708" s="132" t="n">
        <v>46775</v>
      </c>
      <c r="E10708" s="131" t="s">
        <v>36</v>
      </c>
      <c r="F10708" s="133" t="s">
        <v>24</v>
      </c>
      <c r="G10708" s="134" t="n">
        <f aca="false">LEN('Saisie programme'!$J$375)+SUMIFS('Vols additionnels'!$E$7:$E$66,'Vols additionnels'!$C$7:$C$66,$E10708,'Vols additionnels'!$D$7:$D$66,$F10708,'Vols additionnels'!$B$7:$B$66,$D10708)</f>
        <v>0</v>
      </c>
      <c r="H10708" s="135" t="n">
        <f aca="false">$G10708*'Analyse capacite'!$F$9</f>
        <v>0</v>
      </c>
      <c r="I10708" s="135" t="n">
        <f aca="false">$G10708*'Analyse capacite'!$C$9</f>
        <v>0</v>
      </c>
      <c r="J10708" s="135" t="n">
        <f aca="false">$G10708*'Analyse capacite'!$D$9</f>
        <v>0</v>
      </c>
      <c r="K10708" s="135" t="n">
        <f aca="false">$G10708*'Analyse capacite'!$E$9</f>
        <v>0</v>
      </c>
    </row>
    <row r="10709" customFormat="false" ht="15" hidden="false" customHeight="false" outlineLevel="0" collapsed="false">
      <c r="B10709" s="130" t="n">
        <v>2028</v>
      </c>
      <c r="C10709" s="131" t="s">
        <v>255</v>
      </c>
      <c r="D10709" s="132" t="n">
        <v>46775</v>
      </c>
      <c r="E10709" s="131" t="s">
        <v>40</v>
      </c>
      <c r="F10709" s="133" t="s">
        <v>11</v>
      </c>
      <c r="G10709" s="134" t="n">
        <f aca="false">LEN('Saisie programme'!$J$376)+SUMIFS('Vols additionnels'!$E$7:$E$66,'Vols additionnels'!$C$7:$C$66,$E10709,'Vols additionnels'!$D$7:$D$66,$F10709,'Vols additionnels'!$B$7:$B$66,$D10709)</f>
        <v>0</v>
      </c>
      <c r="H10709" s="135" t="n">
        <f aca="false">$G10709*'Analyse capacite'!$F$7</f>
        <v>0</v>
      </c>
      <c r="I10709" s="135" t="n">
        <f aca="false">$G10709*'Analyse capacite'!$C$7</f>
        <v>0</v>
      </c>
      <c r="J10709" s="135" t="n">
        <f aca="false">$G10709*'Analyse capacite'!$D$7</f>
        <v>0</v>
      </c>
      <c r="K10709" s="135" t="n">
        <f aca="false">$G10709*'Analyse capacite'!$E$7</f>
        <v>0</v>
      </c>
    </row>
    <row r="10710" customFormat="false" ht="15" hidden="false" customHeight="false" outlineLevel="0" collapsed="false">
      <c r="B10710" s="130" t="n">
        <v>2028</v>
      </c>
      <c r="C10710" s="131" t="s">
        <v>255</v>
      </c>
      <c r="D10710" s="132" t="n">
        <v>46775</v>
      </c>
      <c r="E10710" s="131" t="s">
        <v>40</v>
      </c>
      <c r="F10710" s="133" t="s">
        <v>19</v>
      </c>
      <c r="G10710" s="134" t="n">
        <f aca="false">LEN('Saisie programme'!$J$377)+SUMIFS('Vols additionnels'!$E$7:$E$66,'Vols additionnels'!$C$7:$C$66,$E10710,'Vols additionnels'!$D$7:$D$66,$F10710,'Vols additionnels'!$B$7:$B$66,$D10710)</f>
        <v>0</v>
      </c>
      <c r="H10710" s="135" t="n">
        <f aca="false">$G10710*'Analyse capacite'!$F$8</f>
        <v>0</v>
      </c>
      <c r="I10710" s="135" t="n">
        <f aca="false">$G10710*'Analyse capacite'!$C$8</f>
        <v>0</v>
      </c>
      <c r="J10710" s="135" t="n">
        <f aca="false">$G10710*'Analyse capacite'!$D$8</f>
        <v>0</v>
      </c>
      <c r="K10710" s="135" t="n">
        <f aca="false">$G10710*'Analyse capacite'!$E$8</f>
        <v>0</v>
      </c>
    </row>
    <row r="10711" customFormat="false" ht="15" hidden="false" customHeight="false" outlineLevel="0" collapsed="false">
      <c r="B10711" s="130" t="n">
        <v>2028</v>
      </c>
      <c r="C10711" s="131" t="s">
        <v>255</v>
      </c>
      <c r="D10711" s="132" t="n">
        <v>46775</v>
      </c>
      <c r="E10711" s="131" t="s">
        <v>40</v>
      </c>
      <c r="F10711" s="133" t="s">
        <v>24</v>
      </c>
      <c r="G10711" s="134" t="n">
        <f aca="false">LEN('Saisie programme'!$J$378)+SUMIFS('Vols additionnels'!$E$7:$E$66,'Vols additionnels'!$C$7:$C$66,$E10711,'Vols additionnels'!$D$7:$D$66,$F10711,'Vols additionnels'!$B$7:$B$66,$D10711)</f>
        <v>1</v>
      </c>
      <c r="H10711" s="135" t="n">
        <f aca="false">$G10711*'Analyse capacite'!$F$9</f>
        <v>174</v>
      </c>
      <c r="I10711" s="135" t="n">
        <f aca="false">$G10711*'Analyse capacite'!$C$9</f>
        <v>0</v>
      </c>
      <c r="J10711" s="135" t="n">
        <f aca="false">$G10711*'Analyse capacite'!$D$9</f>
        <v>12</v>
      </c>
      <c r="K10711" s="135" t="n">
        <f aca="false">$G10711*'Analyse capacite'!$E$9</f>
        <v>162</v>
      </c>
    </row>
    <row r="10712" customFormat="false" ht="15" hidden="false" customHeight="false" outlineLevel="0" collapsed="false">
      <c r="B10712" s="130" t="n">
        <v>2028</v>
      </c>
      <c r="C10712" s="131" t="s">
        <v>255</v>
      </c>
      <c r="D10712" s="132" t="n">
        <v>46775</v>
      </c>
      <c r="E10712" s="131" t="s">
        <v>14</v>
      </c>
      <c r="F10712" s="133" t="s">
        <v>11</v>
      </c>
      <c r="G10712" s="134" t="n">
        <f aca="false">LEN('Saisie programme'!$J$379)+SUMIFS('Vols additionnels'!$E$7:$E$66,'Vols additionnels'!$C$7:$C$66,$E10712,'Vols additionnels'!$D$7:$D$66,$F10712,'Vols additionnels'!$B$7:$B$66,$D10712)</f>
        <v>0</v>
      </c>
      <c r="H10712" s="135" t="n">
        <f aca="false">$G10712*'Analyse capacite'!$F$7</f>
        <v>0</v>
      </c>
      <c r="I10712" s="135" t="n">
        <f aca="false">$G10712*'Analyse capacite'!$C$7</f>
        <v>0</v>
      </c>
      <c r="J10712" s="135" t="n">
        <f aca="false">$G10712*'Analyse capacite'!$D$7</f>
        <v>0</v>
      </c>
      <c r="K10712" s="135" t="n">
        <f aca="false">$G10712*'Analyse capacite'!$E$7</f>
        <v>0</v>
      </c>
    </row>
    <row r="10713" customFormat="false" ht="15" hidden="false" customHeight="false" outlineLevel="0" collapsed="false">
      <c r="B10713" s="130" t="n">
        <v>2028</v>
      </c>
      <c r="C10713" s="131" t="s">
        <v>255</v>
      </c>
      <c r="D10713" s="132" t="n">
        <v>46775</v>
      </c>
      <c r="E10713" s="131" t="s">
        <v>14</v>
      </c>
      <c r="F10713" s="133" t="s">
        <v>19</v>
      </c>
      <c r="G10713" s="134" t="n">
        <f aca="false">LEN('Saisie programme'!$J$380)+SUMIFS('Vols additionnels'!$E$7:$E$66,'Vols additionnels'!$C$7:$C$66,$E10713,'Vols additionnels'!$D$7:$D$66,$F10713,'Vols additionnels'!$B$7:$B$66,$D10713)</f>
        <v>0</v>
      </c>
      <c r="H10713" s="135" t="n">
        <f aca="false">$G10713*'Analyse capacite'!$F$8</f>
        <v>0</v>
      </c>
      <c r="I10713" s="135" t="n">
        <f aca="false">$G10713*'Analyse capacite'!$C$8</f>
        <v>0</v>
      </c>
      <c r="J10713" s="135" t="n">
        <f aca="false">$G10713*'Analyse capacite'!$D$8</f>
        <v>0</v>
      </c>
      <c r="K10713" s="135" t="n">
        <f aca="false">$G10713*'Analyse capacite'!$E$8</f>
        <v>0</v>
      </c>
    </row>
    <row r="10714" customFormat="false" ht="15" hidden="false" customHeight="false" outlineLevel="0" collapsed="false">
      <c r="B10714" s="130" t="n">
        <v>2028</v>
      </c>
      <c r="C10714" s="131" t="s">
        <v>255</v>
      </c>
      <c r="D10714" s="132" t="n">
        <v>46775</v>
      </c>
      <c r="E10714" s="131" t="s">
        <v>14</v>
      </c>
      <c r="F10714" s="133" t="s">
        <v>24</v>
      </c>
      <c r="G10714" s="134" t="n">
        <f aca="false">LEN('Saisie programme'!$J$381)+SUMIFS('Vols additionnels'!$E$7:$E$66,'Vols additionnels'!$C$7:$C$66,$E10714,'Vols additionnels'!$D$7:$D$66,$F10714,'Vols additionnels'!$B$7:$B$66,$D10714)</f>
        <v>0</v>
      </c>
      <c r="H10714" s="135" t="n">
        <f aca="false">$G10714*'Analyse capacite'!$F$9</f>
        <v>0</v>
      </c>
      <c r="I10714" s="135" t="n">
        <f aca="false">$G10714*'Analyse capacite'!$C$9</f>
        <v>0</v>
      </c>
      <c r="J10714" s="135" t="n">
        <f aca="false">$G10714*'Analyse capacite'!$D$9</f>
        <v>0</v>
      </c>
      <c r="K10714" s="135" t="n">
        <f aca="false">$G10714*'Analyse capacite'!$E$9</f>
        <v>0</v>
      </c>
    </row>
    <row r="10715" customFormat="false" ht="15" hidden="false" customHeight="false" outlineLevel="0" collapsed="false">
      <c r="B10715" s="130" t="n">
        <v>2028</v>
      </c>
      <c r="C10715" s="131" t="s">
        <v>255</v>
      </c>
      <c r="D10715" s="132" t="n">
        <v>46775</v>
      </c>
      <c r="E10715" s="131" t="s">
        <v>46</v>
      </c>
      <c r="F10715" s="133" t="s">
        <v>11</v>
      </c>
      <c r="G10715" s="134" t="n">
        <f aca="false">LEN('Saisie programme'!$J$382)+SUMIFS('Vols additionnels'!$E$7:$E$66,'Vols additionnels'!$C$7:$C$66,$E10715,'Vols additionnels'!$D$7:$D$66,$F10715,'Vols additionnels'!$B$7:$B$66,$D10715)</f>
        <v>0</v>
      </c>
      <c r="H10715" s="135" t="n">
        <f aca="false">$G10715*'Analyse capacite'!$F$7</f>
        <v>0</v>
      </c>
      <c r="I10715" s="135" t="n">
        <f aca="false">$G10715*'Analyse capacite'!$C$7</f>
        <v>0</v>
      </c>
      <c r="J10715" s="135" t="n">
        <f aca="false">$G10715*'Analyse capacite'!$D$7</f>
        <v>0</v>
      </c>
      <c r="K10715" s="135" t="n">
        <f aca="false">$G10715*'Analyse capacite'!$E$7</f>
        <v>0</v>
      </c>
    </row>
    <row r="10716" customFormat="false" ht="15" hidden="false" customHeight="false" outlineLevel="0" collapsed="false">
      <c r="B10716" s="130" t="n">
        <v>2028</v>
      </c>
      <c r="C10716" s="131" t="s">
        <v>255</v>
      </c>
      <c r="D10716" s="132" t="n">
        <v>46775</v>
      </c>
      <c r="E10716" s="131" t="s">
        <v>46</v>
      </c>
      <c r="F10716" s="133" t="s">
        <v>19</v>
      </c>
      <c r="G10716" s="134" t="n">
        <f aca="false">LEN('Saisie programme'!$J$383)+SUMIFS('Vols additionnels'!$E$7:$E$66,'Vols additionnels'!$C$7:$C$66,$E10716,'Vols additionnels'!$D$7:$D$66,$F10716,'Vols additionnels'!$B$7:$B$66,$D10716)</f>
        <v>0</v>
      </c>
      <c r="H10716" s="135" t="n">
        <f aca="false">$G10716*'Analyse capacite'!$F$8</f>
        <v>0</v>
      </c>
      <c r="I10716" s="135" t="n">
        <f aca="false">$G10716*'Analyse capacite'!$C$8</f>
        <v>0</v>
      </c>
      <c r="J10716" s="135" t="n">
        <f aca="false">$G10716*'Analyse capacite'!$D$8</f>
        <v>0</v>
      </c>
      <c r="K10716" s="135" t="n">
        <f aca="false">$G10716*'Analyse capacite'!$E$8</f>
        <v>0</v>
      </c>
    </row>
    <row r="10717" customFormat="false" ht="15" hidden="false" customHeight="false" outlineLevel="0" collapsed="false">
      <c r="B10717" s="130" t="n">
        <v>2028</v>
      </c>
      <c r="C10717" s="131" t="s">
        <v>255</v>
      </c>
      <c r="D10717" s="132" t="n">
        <v>46775</v>
      </c>
      <c r="E10717" s="131" t="s">
        <v>46</v>
      </c>
      <c r="F10717" s="133" t="s">
        <v>24</v>
      </c>
      <c r="G10717" s="134" t="n">
        <f aca="false">LEN('Saisie programme'!$J$384)+SUMIFS('Vols additionnels'!$E$7:$E$66,'Vols additionnels'!$C$7:$C$66,$E10717,'Vols additionnels'!$D$7:$D$66,$F10717,'Vols additionnels'!$B$7:$B$66,$D10717)</f>
        <v>0</v>
      </c>
      <c r="H10717" s="135" t="n">
        <f aca="false">$G10717*'Analyse capacite'!$F$9</f>
        <v>0</v>
      </c>
      <c r="I10717" s="135" t="n">
        <f aca="false">$G10717*'Analyse capacite'!$C$9</f>
        <v>0</v>
      </c>
      <c r="J10717" s="135" t="n">
        <f aca="false">$G10717*'Analyse capacite'!$D$9</f>
        <v>0</v>
      </c>
      <c r="K10717" s="135" t="n">
        <f aca="false">$G10717*'Analyse capacite'!$E$9</f>
        <v>0</v>
      </c>
    </row>
    <row r="10718" customFormat="false" ht="15" hidden="false" customHeight="false" outlineLevel="0" collapsed="false">
      <c r="B10718" s="130" t="n">
        <v>2028</v>
      </c>
      <c r="C10718" s="131" t="s">
        <v>255</v>
      </c>
      <c r="D10718" s="132" t="n">
        <v>46775</v>
      </c>
      <c r="E10718" s="131" t="s">
        <v>49</v>
      </c>
      <c r="F10718" s="133" t="s">
        <v>11</v>
      </c>
      <c r="G10718" s="134" t="n">
        <f aca="false">LEN('Saisie programme'!$J$385)+SUMIFS('Vols additionnels'!$E$7:$E$66,'Vols additionnels'!$C$7:$C$66,$E10718,'Vols additionnels'!$D$7:$D$66,$F10718,'Vols additionnels'!$B$7:$B$66,$D10718)</f>
        <v>0</v>
      </c>
      <c r="H10718" s="135" t="n">
        <f aca="false">$G10718*'Analyse capacite'!$F$7</f>
        <v>0</v>
      </c>
      <c r="I10718" s="135" t="n">
        <f aca="false">$G10718*'Analyse capacite'!$C$7</f>
        <v>0</v>
      </c>
      <c r="J10718" s="135" t="n">
        <f aca="false">$G10718*'Analyse capacite'!$D$7</f>
        <v>0</v>
      </c>
      <c r="K10718" s="135" t="n">
        <f aca="false">$G10718*'Analyse capacite'!$E$7</f>
        <v>0</v>
      </c>
    </row>
    <row r="10719" customFormat="false" ht="15" hidden="false" customHeight="false" outlineLevel="0" collapsed="false">
      <c r="B10719" s="130" t="n">
        <v>2028</v>
      </c>
      <c r="C10719" s="131" t="s">
        <v>255</v>
      </c>
      <c r="D10719" s="132" t="n">
        <v>46775</v>
      </c>
      <c r="E10719" s="131" t="s">
        <v>49</v>
      </c>
      <c r="F10719" s="133" t="s">
        <v>19</v>
      </c>
      <c r="G10719" s="134" t="n">
        <f aca="false">LEN('Saisie programme'!$J$386)+SUMIFS('Vols additionnels'!$E$7:$E$66,'Vols additionnels'!$C$7:$C$66,$E10719,'Vols additionnels'!$D$7:$D$66,$F10719,'Vols additionnels'!$B$7:$B$66,$D10719)</f>
        <v>0</v>
      </c>
      <c r="H10719" s="135" t="n">
        <f aca="false">$G10719*'Analyse capacite'!$F$8</f>
        <v>0</v>
      </c>
      <c r="I10719" s="135" t="n">
        <f aca="false">$G10719*'Analyse capacite'!$C$8</f>
        <v>0</v>
      </c>
      <c r="J10719" s="135" t="n">
        <f aca="false">$G10719*'Analyse capacite'!$D$8</f>
        <v>0</v>
      </c>
      <c r="K10719" s="135" t="n">
        <f aca="false">$G10719*'Analyse capacite'!$E$8</f>
        <v>0</v>
      </c>
    </row>
    <row r="10720" customFormat="false" ht="15" hidden="false" customHeight="false" outlineLevel="0" collapsed="false">
      <c r="B10720" s="130" t="n">
        <v>2028</v>
      </c>
      <c r="C10720" s="131" t="s">
        <v>255</v>
      </c>
      <c r="D10720" s="132" t="n">
        <v>46775</v>
      </c>
      <c r="E10720" s="131" t="s">
        <v>49</v>
      </c>
      <c r="F10720" s="133" t="s">
        <v>24</v>
      </c>
      <c r="G10720" s="134" t="n">
        <f aca="false">LEN('Saisie programme'!$J$387)+SUMIFS('Vols additionnels'!$E$7:$E$66,'Vols additionnels'!$C$7:$C$66,$E10720,'Vols additionnels'!$D$7:$D$66,$F10720,'Vols additionnels'!$B$7:$B$66,$D10720)</f>
        <v>0</v>
      </c>
      <c r="H10720" s="135" t="n">
        <f aca="false">$G10720*'Analyse capacite'!$F$9</f>
        <v>0</v>
      </c>
      <c r="I10720" s="135" t="n">
        <f aca="false">$G10720*'Analyse capacite'!$C$9</f>
        <v>0</v>
      </c>
      <c r="J10720" s="135" t="n">
        <f aca="false">$G10720*'Analyse capacite'!$D$9</f>
        <v>0</v>
      </c>
      <c r="K10720" s="135" t="n">
        <f aca="false">$G10720*'Analyse capacite'!$E$9</f>
        <v>0</v>
      </c>
    </row>
    <row r="10721" customFormat="false" ht="15" hidden="false" customHeight="false" outlineLevel="0" collapsed="false">
      <c r="B10721" s="130" t="n">
        <v>2028</v>
      </c>
      <c r="C10721" s="131" t="s">
        <v>255</v>
      </c>
      <c r="D10721" s="132" t="n">
        <v>46775</v>
      </c>
      <c r="E10721" s="131" t="s">
        <v>53</v>
      </c>
      <c r="F10721" s="133" t="s">
        <v>11</v>
      </c>
      <c r="G10721" s="134" t="n">
        <f aca="false">LEN('Saisie programme'!$J$388)+SUMIFS('Vols additionnels'!$E$7:$E$66,'Vols additionnels'!$C$7:$C$66,$E10721,'Vols additionnels'!$D$7:$D$66,$F10721,'Vols additionnels'!$B$7:$B$66,$D10721)</f>
        <v>0</v>
      </c>
      <c r="H10721" s="135" t="n">
        <f aca="false">$G10721*'Analyse capacite'!$F$7</f>
        <v>0</v>
      </c>
      <c r="I10721" s="135" t="n">
        <f aca="false">$G10721*'Analyse capacite'!$C$7</f>
        <v>0</v>
      </c>
      <c r="J10721" s="135" t="n">
        <f aca="false">$G10721*'Analyse capacite'!$D$7</f>
        <v>0</v>
      </c>
      <c r="K10721" s="135" t="n">
        <f aca="false">$G10721*'Analyse capacite'!$E$7</f>
        <v>0</v>
      </c>
    </row>
    <row r="10722" customFormat="false" ht="15" hidden="false" customHeight="false" outlineLevel="0" collapsed="false">
      <c r="B10722" s="130" t="n">
        <v>2028</v>
      </c>
      <c r="C10722" s="131" t="s">
        <v>255</v>
      </c>
      <c r="D10722" s="132" t="n">
        <v>46775</v>
      </c>
      <c r="E10722" s="131" t="s">
        <v>53</v>
      </c>
      <c r="F10722" s="133" t="s">
        <v>19</v>
      </c>
      <c r="G10722" s="134" t="n">
        <f aca="false">LEN('Saisie programme'!$J$389)+SUMIFS('Vols additionnels'!$E$7:$E$66,'Vols additionnels'!$C$7:$C$66,$E10722,'Vols additionnels'!$D$7:$D$66,$F10722,'Vols additionnels'!$B$7:$B$66,$D10722)</f>
        <v>0</v>
      </c>
      <c r="H10722" s="135" t="n">
        <f aca="false">$G10722*'Analyse capacite'!$F$8</f>
        <v>0</v>
      </c>
      <c r="I10722" s="135" t="n">
        <f aca="false">$G10722*'Analyse capacite'!$C$8</f>
        <v>0</v>
      </c>
      <c r="J10722" s="135" t="n">
        <f aca="false">$G10722*'Analyse capacite'!$D$8</f>
        <v>0</v>
      </c>
      <c r="K10722" s="135" t="n">
        <f aca="false">$G10722*'Analyse capacite'!$E$8</f>
        <v>0</v>
      </c>
    </row>
    <row r="10723" customFormat="false" ht="15" hidden="false" customHeight="false" outlineLevel="0" collapsed="false">
      <c r="B10723" s="130" t="n">
        <v>2028</v>
      </c>
      <c r="C10723" s="131" t="s">
        <v>255</v>
      </c>
      <c r="D10723" s="132" t="n">
        <v>46775</v>
      </c>
      <c r="E10723" s="131" t="s">
        <v>53</v>
      </c>
      <c r="F10723" s="133" t="s">
        <v>24</v>
      </c>
      <c r="G10723" s="134" t="n">
        <f aca="false">LEN('Saisie programme'!$J$390)+SUMIFS('Vols additionnels'!$E$7:$E$66,'Vols additionnels'!$C$7:$C$66,$E10723,'Vols additionnels'!$D$7:$D$66,$F10723,'Vols additionnels'!$B$7:$B$66,$D10723)</f>
        <v>0</v>
      </c>
      <c r="H10723" s="135" t="n">
        <f aca="false">$G10723*'Analyse capacite'!$F$9</f>
        <v>0</v>
      </c>
      <c r="I10723" s="135" t="n">
        <f aca="false">$G10723*'Analyse capacite'!$C$9</f>
        <v>0</v>
      </c>
      <c r="J10723" s="135" t="n">
        <f aca="false">$G10723*'Analyse capacite'!$D$9</f>
        <v>0</v>
      </c>
      <c r="K10723" s="135" t="n">
        <f aca="false">$G10723*'Analyse capacite'!$E$9</f>
        <v>0</v>
      </c>
    </row>
    <row r="10724" customFormat="false" ht="15" hidden="false" customHeight="false" outlineLevel="0" collapsed="false">
      <c r="B10724" s="130" t="n">
        <v>2028</v>
      </c>
      <c r="C10724" s="131" t="s">
        <v>255</v>
      </c>
      <c r="D10724" s="132" t="n">
        <v>46775</v>
      </c>
      <c r="E10724" s="131" t="s">
        <v>56</v>
      </c>
      <c r="F10724" s="133" t="s">
        <v>11</v>
      </c>
      <c r="G10724" s="134" t="n">
        <f aca="false">LEN('Saisie programme'!$J$391)+SUMIFS('Vols additionnels'!$E$7:$E$66,'Vols additionnels'!$C$7:$C$66,$E10724,'Vols additionnels'!$D$7:$D$66,$F10724,'Vols additionnels'!$B$7:$B$66,$D10724)</f>
        <v>0</v>
      </c>
      <c r="H10724" s="135" t="n">
        <f aca="false">$G10724*'Analyse capacite'!$F$7</f>
        <v>0</v>
      </c>
      <c r="I10724" s="135" t="n">
        <f aca="false">$G10724*'Analyse capacite'!$C$7</f>
        <v>0</v>
      </c>
      <c r="J10724" s="135" t="n">
        <f aca="false">$G10724*'Analyse capacite'!$D$7</f>
        <v>0</v>
      </c>
      <c r="K10724" s="135" t="n">
        <f aca="false">$G10724*'Analyse capacite'!$E$7</f>
        <v>0</v>
      </c>
    </row>
    <row r="10725" customFormat="false" ht="15" hidden="false" customHeight="false" outlineLevel="0" collapsed="false">
      <c r="B10725" s="130" t="n">
        <v>2028</v>
      </c>
      <c r="C10725" s="131" t="s">
        <v>255</v>
      </c>
      <c r="D10725" s="132" t="n">
        <v>46775</v>
      </c>
      <c r="E10725" s="131" t="s">
        <v>56</v>
      </c>
      <c r="F10725" s="133" t="s">
        <v>19</v>
      </c>
      <c r="G10725" s="134" t="n">
        <f aca="false">LEN('Saisie programme'!$J$392)+SUMIFS('Vols additionnels'!$E$7:$E$66,'Vols additionnels'!$C$7:$C$66,$E10725,'Vols additionnels'!$D$7:$D$66,$F10725,'Vols additionnels'!$B$7:$B$66,$D10725)</f>
        <v>0</v>
      </c>
      <c r="H10725" s="135" t="n">
        <f aca="false">$G10725*'Analyse capacite'!$F$8</f>
        <v>0</v>
      </c>
      <c r="I10725" s="135" t="n">
        <f aca="false">$G10725*'Analyse capacite'!$C$8</f>
        <v>0</v>
      </c>
      <c r="J10725" s="135" t="n">
        <f aca="false">$G10725*'Analyse capacite'!$D$8</f>
        <v>0</v>
      </c>
      <c r="K10725" s="135" t="n">
        <f aca="false">$G10725*'Analyse capacite'!$E$8</f>
        <v>0</v>
      </c>
    </row>
    <row r="10726" customFormat="false" ht="15" hidden="false" customHeight="false" outlineLevel="0" collapsed="false">
      <c r="B10726" s="130" t="n">
        <v>2028</v>
      </c>
      <c r="C10726" s="131" t="s">
        <v>255</v>
      </c>
      <c r="D10726" s="132" t="n">
        <v>46775</v>
      </c>
      <c r="E10726" s="131" t="s">
        <v>56</v>
      </c>
      <c r="F10726" s="133" t="s">
        <v>24</v>
      </c>
      <c r="G10726" s="134" t="n">
        <f aca="false">LEN('Saisie programme'!$J$393)+SUMIFS('Vols additionnels'!$E$7:$E$66,'Vols additionnels'!$C$7:$C$66,$E10726,'Vols additionnels'!$D$7:$D$66,$F10726,'Vols additionnels'!$B$7:$B$66,$D10726)</f>
        <v>0</v>
      </c>
      <c r="H10726" s="135" t="n">
        <f aca="false">$G10726*'Analyse capacite'!$F$9</f>
        <v>0</v>
      </c>
      <c r="I10726" s="135" t="n">
        <f aca="false">$G10726*'Analyse capacite'!$C$9</f>
        <v>0</v>
      </c>
      <c r="J10726" s="135" t="n">
        <f aca="false">$G10726*'Analyse capacite'!$D$9</f>
        <v>0</v>
      </c>
      <c r="K10726" s="135" t="n">
        <f aca="false">$G10726*'Analyse capacite'!$E$9</f>
        <v>0</v>
      </c>
    </row>
    <row r="10727" customFormat="false" ht="15" hidden="false" customHeight="false" outlineLevel="0" collapsed="false">
      <c r="B10727" s="130" t="n">
        <v>2028</v>
      </c>
      <c r="C10727" s="131" t="s">
        <v>255</v>
      </c>
      <c r="D10727" s="132" t="n">
        <v>46775</v>
      </c>
      <c r="E10727" s="131" t="s">
        <v>59</v>
      </c>
      <c r="F10727" s="133" t="s">
        <v>11</v>
      </c>
      <c r="G10727" s="134" t="n">
        <f aca="false">LEN('Saisie programme'!$J$394)+SUMIFS('Vols additionnels'!$E$7:$E$66,'Vols additionnels'!$C$7:$C$66,$E10727,'Vols additionnels'!$D$7:$D$66,$F10727,'Vols additionnels'!$B$7:$B$66,$D10727)</f>
        <v>0</v>
      </c>
      <c r="H10727" s="135" t="n">
        <f aca="false">$G10727*'Analyse capacite'!$F$7</f>
        <v>0</v>
      </c>
      <c r="I10727" s="135" t="n">
        <f aca="false">$G10727*'Analyse capacite'!$C$7</f>
        <v>0</v>
      </c>
      <c r="J10727" s="135" t="n">
        <f aca="false">$G10727*'Analyse capacite'!$D$7</f>
        <v>0</v>
      </c>
      <c r="K10727" s="135" t="n">
        <f aca="false">$G10727*'Analyse capacite'!$E$7</f>
        <v>0</v>
      </c>
    </row>
    <row r="10728" customFormat="false" ht="15" hidden="false" customHeight="false" outlineLevel="0" collapsed="false">
      <c r="B10728" s="130" t="n">
        <v>2028</v>
      </c>
      <c r="C10728" s="131" t="s">
        <v>255</v>
      </c>
      <c r="D10728" s="132" t="n">
        <v>46775</v>
      </c>
      <c r="E10728" s="131" t="s">
        <v>59</v>
      </c>
      <c r="F10728" s="133" t="s">
        <v>19</v>
      </c>
      <c r="G10728" s="134" t="n">
        <f aca="false">LEN('Saisie programme'!$J$395)+SUMIFS('Vols additionnels'!$E$7:$E$66,'Vols additionnels'!$C$7:$C$66,$E10728,'Vols additionnels'!$D$7:$D$66,$F10728,'Vols additionnels'!$B$7:$B$66,$D10728)</f>
        <v>0</v>
      </c>
      <c r="H10728" s="135" t="n">
        <f aca="false">$G10728*'Analyse capacite'!$F$8</f>
        <v>0</v>
      </c>
      <c r="I10728" s="135" t="n">
        <f aca="false">$G10728*'Analyse capacite'!$C$8</f>
        <v>0</v>
      </c>
      <c r="J10728" s="135" t="n">
        <f aca="false">$G10728*'Analyse capacite'!$D$8</f>
        <v>0</v>
      </c>
      <c r="K10728" s="135" t="n">
        <f aca="false">$G10728*'Analyse capacite'!$E$8</f>
        <v>0</v>
      </c>
    </row>
    <row r="10729" customFormat="false" ht="15" hidden="false" customHeight="false" outlineLevel="0" collapsed="false">
      <c r="B10729" s="130" t="n">
        <v>2028</v>
      </c>
      <c r="C10729" s="131" t="s">
        <v>255</v>
      </c>
      <c r="D10729" s="132" t="n">
        <v>46775</v>
      </c>
      <c r="E10729" s="131" t="s">
        <v>59</v>
      </c>
      <c r="F10729" s="133" t="s">
        <v>24</v>
      </c>
      <c r="G10729" s="134" t="n">
        <f aca="false">LEN('Saisie programme'!$J$396)+SUMIFS('Vols additionnels'!$E$7:$E$66,'Vols additionnels'!$C$7:$C$66,$E10729,'Vols additionnels'!$D$7:$D$66,$F10729,'Vols additionnels'!$B$7:$B$66,$D10729)</f>
        <v>0</v>
      </c>
      <c r="H10729" s="135" t="n">
        <f aca="false">$G10729*'Analyse capacite'!$F$9</f>
        <v>0</v>
      </c>
      <c r="I10729" s="135" t="n">
        <f aca="false">$G10729*'Analyse capacite'!$C$9</f>
        <v>0</v>
      </c>
      <c r="J10729" s="135" t="n">
        <f aca="false">$G10729*'Analyse capacite'!$D$9</f>
        <v>0</v>
      </c>
      <c r="K10729" s="135" t="n">
        <f aca="false">$G10729*'Analyse capacite'!$E$9</f>
        <v>0</v>
      </c>
    </row>
    <row r="10730" customFormat="false" ht="15" hidden="false" customHeight="false" outlineLevel="0" collapsed="false">
      <c r="B10730" s="130" t="n">
        <v>2028</v>
      </c>
      <c r="C10730" s="131" t="s">
        <v>255</v>
      </c>
      <c r="D10730" s="132" t="n">
        <v>46775</v>
      </c>
      <c r="E10730" s="131" t="s">
        <v>62</v>
      </c>
      <c r="F10730" s="133" t="s">
        <v>11</v>
      </c>
      <c r="G10730" s="134" t="n">
        <f aca="false">LEN('Saisie programme'!$J$397)+SUMIFS('Vols additionnels'!$E$7:$E$66,'Vols additionnels'!$C$7:$C$66,$E10730,'Vols additionnels'!$D$7:$D$66,$F10730,'Vols additionnels'!$B$7:$B$66,$D10730)</f>
        <v>0</v>
      </c>
      <c r="H10730" s="135" t="n">
        <f aca="false">$G10730*'Analyse capacite'!$F$7</f>
        <v>0</v>
      </c>
      <c r="I10730" s="135" t="n">
        <f aca="false">$G10730*'Analyse capacite'!$C$7</f>
        <v>0</v>
      </c>
      <c r="J10730" s="135" t="n">
        <f aca="false">$G10730*'Analyse capacite'!$D$7</f>
        <v>0</v>
      </c>
      <c r="K10730" s="135" t="n">
        <f aca="false">$G10730*'Analyse capacite'!$E$7</f>
        <v>0</v>
      </c>
    </row>
    <row r="10731" customFormat="false" ht="15" hidden="false" customHeight="false" outlineLevel="0" collapsed="false">
      <c r="B10731" s="130" t="n">
        <v>2028</v>
      </c>
      <c r="C10731" s="131" t="s">
        <v>255</v>
      </c>
      <c r="D10731" s="132" t="n">
        <v>46775</v>
      </c>
      <c r="E10731" s="131" t="s">
        <v>62</v>
      </c>
      <c r="F10731" s="133" t="s">
        <v>19</v>
      </c>
      <c r="G10731" s="134" t="n">
        <f aca="false">LEN('Saisie programme'!$J$398)+SUMIFS('Vols additionnels'!$E$7:$E$66,'Vols additionnels'!$C$7:$C$66,$E10731,'Vols additionnels'!$D$7:$D$66,$F10731,'Vols additionnels'!$B$7:$B$66,$D10731)</f>
        <v>0</v>
      </c>
      <c r="H10731" s="135" t="n">
        <f aca="false">$G10731*'Analyse capacite'!$F$8</f>
        <v>0</v>
      </c>
      <c r="I10731" s="135" t="n">
        <f aca="false">$G10731*'Analyse capacite'!$C$8</f>
        <v>0</v>
      </c>
      <c r="J10731" s="135" t="n">
        <f aca="false">$G10731*'Analyse capacite'!$D$8</f>
        <v>0</v>
      </c>
      <c r="K10731" s="135" t="n">
        <f aca="false">$G10731*'Analyse capacite'!$E$8</f>
        <v>0</v>
      </c>
    </row>
    <row r="10732" customFormat="false" ht="15" hidden="false" customHeight="false" outlineLevel="0" collapsed="false">
      <c r="B10732" s="130" t="n">
        <v>2028</v>
      </c>
      <c r="C10732" s="131" t="s">
        <v>255</v>
      </c>
      <c r="D10732" s="132" t="n">
        <v>46775</v>
      </c>
      <c r="E10732" s="131" t="s">
        <v>62</v>
      </c>
      <c r="F10732" s="133" t="s">
        <v>24</v>
      </c>
      <c r="G10732" s="134" t="n">
        <f aca="false">LEN('Saisie programme'!$J$399)+SUMIFS('Vols additionnels'!$E$7:$E$66,'Vols additionnels'!$C$7:$C$66,$E10732,'Vols additionnels'!$D$7:$D$66,$F10732,'Vols additionnels'!$B$7:$B$66,$D10732)</f>
        <v>1</v>
      </c>
      <c r="H10732" s="135" t="n">
        <f aca="false">$G10732*'Analyse capacite'!$F$9</f>
        <v>174</v>
      </c>
      <c r="I10732" s="135" t="n">
        <f aca="false">$G10732*'Analyse capacite'!$C$9</f>
        <v>0</v>
      </c>
      <c r="J10732" s="135" t="n">
        <f aca="false">$G10732*'Analyse capacite'!$D$9</f>
        <v>12</v>
      </c>
      <c r="K10732" s="135" t="n">
        <f aca="false">$G10732*'Analyse capacite'!$E$9</f>
        <v>162</v>
      </c>
    </row>
    <row r="10733" customFormat="false" ht="15" hidden="false" customHeight="false" outlineLevel="0" collapsed="false">
      <c r="B10733" s="130" t="n">
        <v>2028</v>
      </c>
      <c r="C10733" s="131" t="s">
        <v>255</v>
      </c>
      <c r="D10733" s="132" t="n">
        <v>46776</v>
      </c>
      <c r="E10733" s="131" t="s">
        <v>12</v>
      </c>
      <c r="F10733" s="133" t="s">
        <v>11</v>
      </c>
      <c r="G10733" s="134" t="n">
        <f aca="false">LEN('Saisie programme'!$D$364)+SUMIFS('Vols additionnels'!$E$7:$E$66,'Vols additionnels'!$C$7:$C$66,$E10733,'Vols additionnels'!$D$7:$D$66,$F10733,'Vols additionnels'!$B$7:$B$66,$D10733)</f>
        <v>1</v>
      </c>
      <c r="H10733" s="135" t="n">
        <f aca="false">$G10733*'Analyse capacite'!$F$7</f>
        <v>438</v>
      </c>
      <c r="I10733" s="135" t="n">
        <f aca="false">$G10733*'Analyse capacite'!$C$7</f>
        <v>14</v>
      </c>
      <c r="J10733" s="135" t="n">
        <f aca="false">$G10733*'Analyse capacite'!$D$7</f>
        <v>40</v>
      </c>
      <c r="K10733" s="135" t="n">
        <f aca="false">$G10733*'Analyse capacite'!$E$7</f>
        <v>384</v>
      </c>
    </row>
    <row r="10734" customFormat="false" ht="15" hidden="false" customHeight="false" outlineLevel="0" collapsed="false">
      <c r="B10734" s="130" t="n">
        <v>2028</v>
      </c>
      <c r="C10734" s="131" t="s">
        <v>255</v>
      </c>
      <c r="D10734" s="132" t="n">
        <v>46776</v>
      </c>
      <c r="E10734" s="131" t="s">
        <v>12</v>
      </c>
      <c r="F10734" s="133" t="s">
        <v>19</v>
      </c>
      <c r="G10734" s="134" t="n">
        <f aca="false">LEN('Saisie programme'!$D$365)+SUMIFS('Vols additionnels'!$E$7:$E$66,'Vols additionnels'!$C$7:$C$66,$E10734,'Vols additionnels'!$D$7:$D$66,$F10734,'Vols additionnels'!$B$7:$B$66,$D10734)</f>
        <v>1</v>
      </c>
      <c r="H10734" s="135" t="n">
        <f aca="false">$G10734*'Analyse capacite'!$F$8</f>
        <v>262</v>
      </c>
      <c r="I10734" s="135" t="n">
        <f aca="false">$G10734*'Analyse capacite'!$C$8</f>
        <v>18</v>
      </c>
      <c r="J10734" s="135" t="n">
        <f aca="false">$G10734*'Analyse capacite'!$D$8</f>
        <v>0</v>
      </c>
      <c r="K10734" s="135" t="n">
        <f aca="false">$G10734*'Analyse capacite'!$E$8</f>
        <v>244</v>
      </c>
    </row>
    <row r="10735" customFormat="false" ht="15" hidden="false" customHeight="false" outlineLevel="0" collapsed="false">
      <c r="B10735" s="130" t="n">
        <v>2028</v>
      </c>
      <c r="C10735" s="131" t="s">
        <v>255</v>
      </c>
      <c r="D10735" s="132" t="n">
        <v>46776</v>
      </c>
      <c r="E10735" s="131" t="s">
        <v>12</v>
      </c>
      <c r="F10735" s="133" t="s">
        <v>24</v>
      </c>
      <c r="G10735" s="134" t="n">
        <f aca="false">LEN('Saisie programme'!$D$366)+SUMIFS('Vols additionnels'!$E$7:$E$66,'Vols additionnels'!$C$7:$C$66,$E10735,'Vols additionnels'!$D$7:$D$66,$F10735,'Vols additionnels'!$B$7:$B$66,$D10735)</f>
        <v>2</v>
      </c>
      <c r="H10735" s="135" t="n">
        <f aca="false">$G10735*'Analyse capacite'!$F$9</f>
        <v>348</v>
      </c>
      <c r="I10735" s="135" t="n">
        <f aca="false">$G10735*'Analyse capacite'!$C$9</f>
        <v>0</v>
      </c>
      <c r="J10735" s="135" t="n">
        <f aca="false">$G10735*'Analyse capacite'!$D$9</f>
        <v>24</v>
      </c>
      <c r="K10735" s="135" t="n">
        <f aca="false">$G10735*'Analyse capacite'!$E$9</f>
        <v>324</v>
      </c>
    </row>
    <row r="10736" customFormat="false" ht="15" hidden="false" customHeight="false" outlineLevel="0" collapsed="false">
      <c r="B10736" s="130" t="n">
        <v>2028</v>
      </c>
      <c r="C10736" s="131" t="s">
        <v>255</v>
      </c>
      <c r="D10736" s="132" t="n">
        <v>46776</v>
      </c>
      <c r="E10736" s="131" t="s">
        <v>20</v>
      </c>
      <c r="F10736" s="133" t="s">
        <v>11</v>
      </c>
      <c r="G10736" s="134" t="n">
        <f aca="false">LEN('Saisie programme'!$D$367)+SUMIFS('Vols additionnels'!$E$7:$E$66,'Vols additionnels'!$C$7:$C$66,$E10736,'Vols additionnels'!$D$7:$D$66,$F10736,'Vols additionnels'!$B$7:$B$66,$D10736)</f>
        <v>0</v>
      </c>
      <c r="H10736" s="135" t="n">
        <f aca="false">$G10736*'Analyse capacite'!$F$7</f>
        <v>0</v>
      </c>
      <c r="I10736" s="135" t="n">
        <f aca="false">$G10736*'Analyse capacite'!$C$7</f>
        <v>0</v>
      </c>
      <c r="J10736" s="135" t="n">
        <f aca="false">$G10736*'Analyse capacite'!$D$7</f>
        <v>0</v>
      </c>
      <c r="K10736" s="135" t="n">
        <f aca="false">$G10736*'Analyse capacite'!$E$7</f>
        <v>0</v>
      </c>
    </row>
    <row r="10737" customFormat="false" ht="15" hidden="false" customHeight="false" outlineLevel="0" collapsed="false">
      <c r="B10737" s="130" t="n">
        <v>2028</v>
      </c>
      <c r="C10737" s="131" t="s">
        <v>255</v>
      </c>
      <c r="D10737" s="132" t="n">
        <v>46776</v>
      </c>
      <c r="E10737" s="131" t="s">
        <v>20</v>
      </c>
      <c r="F10737" s="133" t="s">
        <v>19</v>
      </c>
      <c r="G10737" s="134" t="n">
        <f aca="false">LEN('Saisie programme'!$D$368)+SUMIFS('Vols additionnels'!$E$7:$E$66,'Vols additionnels'!$C$7:$C$66,$E10737,'Vols additionnels'!$D$7:$D$66,$F10737,'Vols additionnels'!$B$7:$B$66,$D10737)</f>
        <v>0</v>
      </c>
      <c r="H10737" s="135" t="n">
        <f aca="false">$G10737*'Analyse capacite'!$F$8</f>
        <v>0</v>
      </c>
      <c r="I10737" s="135" t="n">
        <f aca="false">$G10737*'Analyse capacite'!$C$8</f>
        <v>0</v>
      </c>
      <c r="J10737" s="135" t="n">
        <f aca="false">$G10737*'Analyse capacite'!$D$8</f>
        <v>0</v>
      </c>
      <c r="K10737" s="135" t="n">
        <f aca="false">$G10737*'Analyse capacite'!$E$8</f>
        <v>0</v>
      </c>
    </row>
    <row r="10738" customFormat="false" ht="15" hidden="false" customHeight="false" outlineLevel="0" collapsed="false">
      <c r="B10738" s="130" t="n">
        <v>2028</v>
      </c>
      <c r="C10738" s="131" t="s">
        <v>255</v>
      </c>
      <c r="D10738" s="132" t="n">
        <v>46776</v>
      </c>
      <c r="E10738" s="131" t="s">
        <v>20</v>
      </c>
      <c r="F10738" s="133" t="s">
        <v>24</v>
      </c>
      <c r="G10738" s="134" t="n">
        <f aca="false">LEN('Saisie programme'!$D$369)+SUMIFS('Vols additionnels'!$E$7:$E$66,'Vols additionnels'!$C$7:$C$66,$E10738,'Vols additionnels'!$D$7:$D$66,$F10738,'Vols additionnels'!$B$7:$B$66,$D10738)</f>
        <v>0</v>
      </c>
      <c r="H10738" s="135" t="n">
        <f aca="false">$G10738*'Analyse capacite'!$F$9</f>
        <v>0</v>
      </c>
      <c r="I10738" s="135" t="n">
        <f aca="false">$G10738*'Analyse capacite'!$C$9</f>
        <v>0</v>
      </c>
      <c r="J10738" s="135" t="n">
        <f aca="false">$G10738*'Analyse capacite'!$D$9</f>
        <v>0</v>
      </c>
      <c r="K10738" s="135" t="n">
        <f aca="false">$G10738*'Analyse capacite'!$E$9</f>
        <v>0</v>
      </c>
    </row>
    <row r="10739" customFormat="false" ht="15" hidden="false" customHeight="false" outlineLevel="0" collapsed="false">
      <c r="B10739" s="130" t="n">
        <v>2028</v>
      </c>
      <c r="C10739" s="131" t="s">
        <v>255</v>
      </c>
      <c r="D10739" s="132" t="n">
        <v>46776</v>
      </c>
      <c r="E10739" s="131" t="s">
        <v>25</v>
      </c>
      <c r="F10739" s="133" t="s">
        <v>11</v>
      </c>
      <c r="G10739" s="134" t="n">
        <f aca="false">LEN('Saisie programme'!$D$370)+SUMIFS('Vols additionnels'!$E$7:$E$66,'Vols additionnels'!$C$7:$C$66,$E10739,'Vols additionnels'!$D$7:$D$66,$F10739,'Vols additionnels'!$B$7:$B$66,$D10739)</f>
        <v>0</v>
      </c>
      <c r="H10739" s="135" t="n">
        <f aca="false">$G10739*'Analyse capacite'!$F$7</f>
        <v>0</v>
      </c>
      <c r="I10739" s="135" t="n">
        <f aca="false">$G10739*'Analyse capacite'!$C$7</f>
        <v>0</v>
      </c>
      <c r="J10739" s="135" t="n">
        <f aca="false">$G10739*'Analyse capacite'!$D$7</f>
        <v>0</v>
      </c>
      <c r="K10739" s="135" t="n">
        <f aca="false">$G10739*'Analyse capacite'!$E$7</f>
        <v>0</v>
      </c>
    </row>
    <row r="10740" customFormat="false" ht="15" hidden="false" customHeight="false" outlineLevel="0" collapsed="false">
      <c r="B10740" s="130" t="n">
        <v>2028</v>
      </c>
      <c r="C10740" s="131" t="s">
        <v>255</v>
      </c>
      <c r="D10740" s="132" t="n">
        <v>46776</v>
      </c>
      <c r="E10740" s="131" t="s">
        <v>25</v>
      </c>
      <c r="F10740" s="133" t="s">
        <v>19</v>
      </c>
      <c r="G10740" s="134" t="n">
        <f aca="false">LEN('Saisie programme'!$D$371)+SUMIFS('Vols additionnels'!$E$7:$E$66,'Vols additionnels'!$C$7:$C$66,$E10740,'Vols additionnels'!$D$7:$D$66,$F10740,'Vols additionnels'!$B$7:$B$66,$D10740)</f>
        <v>0</v>
      </c>
      <c r="H10740" s="135" t="n">
        <f aca="false">$G10740*'Analyse capacite'!$F$8</f>
        <v>0</v>
      </c>
      <c r="I10740" s="135" t="n">
        <f aca="false">$G10740*'Analyse capacite'!$C$8</f>
        <v>0</v>
      </c>
      <c r="J10740" s="135" t="n">
        <f aca="false">$G10740*'Analyse capacite'!$D$8</f>
        <v>0</v>
      </c>
      <c r="K10740" s="135" t="n">
        <f aca="false">$G10740*'Analyse capacite'!$E$8</f>
        <v>0</v>
      </c>
    </row>
    <row r="10741" customFormat="false" ht="15" hidden="false" customHeight="false" outlineLevel="0" collapsed="false">
      <c r="B10741" s="130" t="n">
        <v>2028</v>
      </c>
      <c r="C10741" s="131" t="s">
        <v>255</v>
      </c>
      <c r="D10741" s="132" t="n">
        <v>46776</v>
      </c>
      <c r="E10741" s="131" t="s">
        <v>25</v>
      </c>
      <c r="F10741" s="133" t="s">
        <v>24</v>
      </c>
      <c r="G10741" s="134" t="n">
        <f aca="false">LEN('Saisie programme'!$D$372)+SUMIFS('Vols additionnels'!$E$7:$E$66,'Vols additionnels'!$C$7:$C$66,$E10741,'Vols additionnels'!$D$7:$D$66,$F10741,'Vols additionnels'!$B$7:$B$66,$D10741)</f>
        <v>0</v>
      </c>
      <c r="H10741" s="135" t="n">
        <f aca="false">$G10741*'Analyse capacite'!$F$9</f>
        <v>0</v>
      </c>
      <c r="I10741" s="135" t="n">
        <f aca="false">$G10741*'Analyse capacite'!$C$9</f>
        <v>0</v>
      </c>
      <c r="J10741" s="135" t="n">
        <f aca="false">$G10741*'Analyse capacite'!$D$9</f>
        <v>0</v>
      </c>
      <c r="K10741" s="135" t="n">
        <f aca="false">$G10741*'Analyse capacite'!$E$9</f>
        <v>0</v>
      </c>
    </row>
    <row r="10742" customFormat="false" ht="15" hidden="false" customHeight="false" outlineLevel="0" collapsed="false">
      <c r="B10742" s="130" t="n">
        <v>2028</v>
      </c>
      <c r="C10742" s="131" t="s">
        <v>255</v>
      </c>
      <c r="D10742" s="132" t="n">
        <v>46776</v>
      </c>
      <c r="E10742" s="131" t="s">
        <v>36</v>
      </c>
      <c r="F10742" s="133" t="s">
        <v>11</v>
      </c>
      <c r="G10742" s="134" t="n">
        <f aca="false">LEN('Saisie programme'!$D$373)+SUMIFS('Vols additionnels'!$E$7:$E$66,'Vols additionnels'!$C$7:$C$66,$E10742,'Vols additionnels'!$D$7:$D$66,$F10742,'Vols additionnels'!$B$7:$B$66,$D10742)</f>
        <v>0</v>
      </c>
      <c r="H10742" s="135" t="n">
        <f aca="false">$G10742*'Analyse capacite'!$F$7</f>
        <v>0</v>
      </c>
      <c r="I10742" s="135" t="n">
        <f aca="false">$G10742*'Analyse capacite'!$C$7</f>
        <v>0</v>
      </c>
      <c r="J10742" s="135" t="n">
        <f aca="false">$G10742*'Analyse capacite'!$D$7</f>
        <v>0</v>
      </c>
      <c r="K10742" s="135" t="n">
        <f aca="false">$G10742*'Analyse capacite'!$E$7</f>
        <v>0</v>
      </c>
    </row>
    <row r="10743" customFormat="false" ht="15" hidden="false" customHeight="false" outlineLevel="0" collapsed="false">
      <c r="B10743" s="130" t="n">
        <v>2028</v>
      </c>
      <c r="C10743" s="131" t="s">
        <v>255</v>
      </c>
      <c r="D10743" s="132" t="n">
        <v>46776</v>
      </c>
      <c r="E10743" s="131" t="s">
        <v>36</v>
      </c>
      <c r="F10743" s="133" t="s">
        <v>19</v>
      </c>
      <c r="G10743" s="134" t="n">
        <f aca="false">LEN('Saisie programme'!$D$374)+SUMIFS('Vols additionnels'!$E$7:$E$66,'Vols additionnels'!$C$7:$C$66,$E10743,'Vols additionnels'!$D$7:$D$66,$F10743,'Vols additionnels'!$B$7:$B$66,$D10743)</f>
        <v>0</v>
      </c>
      <c r="H10743" s="135" t="n">
        <f aca="false">$G10743*'Analyse capacite'!$F$8</f>
        <v>0</v>
      </c>
      <c r="I10743" s="135" t="n">
        <f aca="false">$G10743*'Analyse capacite'!$C$8</f>
        <v>0</v>
      </c>
      <c r="J10743" s="135" t="n">
        <f aca="false">$G10743*'Analyse capacite'!$D$8</f>
        <v>0</v>
      </c>
      <c r="K10743" s="135" t="n">
        <f aca="false">$G10743*'Analyse capacite'!$E$8</f>
        <v>0</v>
      </c>
    </row>
    <row r="10744" customFormat="false" ht="15" hidden="false" customHeight="false" outlineLevel="0" collapsed="false">
      <c r="B10744" s="130" t="n">
        <v>2028</v>
      </c>
      <c r="C10744" s="131" t="s">
        <v>255</v>
      </c>
      <c r="D10744" s="132" t="n">
        <v>46776</v>
      </c>
      <c r="E10744" s="131" t="s">
        <v>36</v>
      </c>
      <c r="F10744" s="133" t="s">
        <v>24</v>
      </c>
      <c r="G10744" s="134" t="n">
        <f aca="false">LEN('Saisie programme'!$D$375)+SUMIFS('Vols additionnels'!$E$7:$E$66,'Vols additionnels'!$C$7:$C$66,$E10744,'Vols additionnels'!$D$7:$D$66,$F10744,'Vols additionnels'!$B$7:$B$66,$D10744)</f>
        <v>1</v>
      </c>
      <c r="H10744" s="135" t="n">
        <f aca="false">$G10744*'Analyse capacite'!$F$9</f>
        <v>174</v>
      </c>
      <c r="I10744" s="135" t="n">
        <f aca="false">$G10744*'Analyse capacite'!$C$9</f>
        <v>0</v>
      </c>
      <c r="J10744" s="135" t="n">
        <f aca="false">$G10744*'Analyse capacite'!$D$9</f>
        <v>12</v>
      </c>
      <c r="K10744" s="135" t="n">
        <f aca="false">$G10744*'Analyse capacite'!$E$9</f>
        <v>162</v>
      </c>
    </row>
    <row r="10745" customFormat="false" ht="15" hidden="false" customHeight="false" outlineLevel="0" collapsed="false">
      <c r="B10745" s="130" t="n">
        <v>2028</v>
      </c>
      <c r="C10745" s="131" t="s">
        <v>255</v>
      </c>
      <c r="D10745" s="132" t="n">
        <v>46776</v>
      </c>
      <c r="E10745" s="131" t="s">
        <v>40</v>
      </c>
      <c r="F10745" s="133" t="s">
        <v>11</v>
      </c>
      <c r="G10745" s="134" t="n">
        <f aca="false">LEN('Saisie programme'!$D$376)+SUMIFS('Vols additionnels'!$E$7:$E$66,'Vols additionnels'!$C$7:$C$66,$E10745,'Vols additionnels'!$D$7:$D$66,$F10745,'Vols additionnels'!$B$7:$B$66,$D10745)</f>
        <v>0</v>
      </c>
      <c r="H10745" s="135" t="n">
        <f aca="false">$G10745*'Analyse capacite'!$F$7</f>
        <v>0</v>
      </c>
      <c r="I10745" s="135" t="n">
        <f aca="false">$G10745*'Analyse capacite'!$C$7</f>
        <v>0</v>
      </c>
      <c r="J10745" s="135" t="n">
        <f aca="false">$G10745*'Analyse capacite'!$D$7</f>
        <v>0</v>
      </c>
      <c r="K10745" s="135" t="n">
        <f aca="false">$G10745*'Analyse capacite'!$E$7</f>
        <v>0</v>
      </c>
    </row>
    <row r="10746" customFormat="false" ht="15" hidden="false" customHeight="false" outlineLevel="0" collapsed="false">
      <c r="B10746" s="130" t="n">
        <v>2028</v>
      </c>
      <c r="C10746" s="131" t="s">
        <v>255</v>
      </c>
      <c r="D10746" s="132" t="n">
        <v>46776</v>
      </c>
      <c r="E10746" s="131" t="s">
        <v>40</v>
      </c>
      <c r="F10746" s="133" t="s">
        <v>19</v>
      </c>
      <c r="G10746" s="134" t="n">
        <f aca="false">LEN('Saisie programme'!$D$377)+SUMIFS('Vols additionnels'!$E$7:$E$66,'Vols additionnels'!$C$7:$C$66,$E10746,'Vols additionnels'!$D$7:$D$66,$F10746,'Vols additionnels'!$B$7:$B$66,$D10746)</f>
        <v>0</v>
      </c>
      <c r="H10746" s="135" t="n">
        <f aca="false">$G10746*'Analyse capacite'!$F$8</f>
        <v>0</v>
      </c>
      <c r="I10746" s="135" t="n">
        <f aca="false">$G10746*'Analyse capacite'!$C$8</f>
        <v>0</v>
      </c>
      <c r="J10746" s="135" t="n">
        <f aca="false">$G10746*'Analyse capacite'!$D$8</f>
        <v>0</v>
      </c>
      <c r="K10746" s="135" t="n">
        <f aca="false">$G10746*'Analyse capacite'!$E$8</f>
        <v>0</v>
      </c>
    </row>
    <row r="10747" customFormat="false" ht="15" hidden="false" customHeight="false" outlineLevel="0" collapsed="false">
      <c r="B10747" s="130" t="n">
        <v>2028</v>
      </c>
      <c r="C10747" s="131" t="s">
        <v>255</v>
      </c>
      <c r="D10747" s="132" t="n">
        <v>46776</v>
      </c>
      <c r="E10747" s="131" t="s">
        <v>40</v>
      </c>
      <c r="F10747" s="133" t="s">
        <v>24</v>
      </c>
      <c r="G10747" s="134" t="n">
        <f aca="false">LEN('Saisie programme'!$D$378)+SUMIFS('Vols additionnels'!$E$7:$E$66,'Vols additionnels'!$C$7:$C$66,$E10747,'Vols additionnels'!$D$7:$D$66,$F10747,'Vols additionnels'!$B$7:$B$66,$D10747)</f>
        <v>1</v>
      </c>
      <c r="H10747" s="135" t="n">
        <f aca="false">$G10747*'Analyse capacite'!$F$9</f>
        <v>174</v>
      </c>
      <c r="I10747" s="135" t="n">
        <f aca="false">$G10747*'Analyse capacite'!$C$9</f>
        <v>0</v>
      </c>
      <c r="J10747" s="135" t="n">
        <f aca="false">$G10747*'Analyse capacite'!$D$9</f>
        <v>12</v>
      </c>
      <c r="K10747" s="135" t="n">
        <f aca="false">$G10747*'Analyse capacite'!$E$9</f>
        <v>162</v>
      </c>
    </row>
    <row r="10748" customFormat="false" ht="15" hidden="false" customHeight="false" outlineLevel="0" collapsed="false">
      <c r="B10748" s="130" t="n">
        <v>2028</v>
      </c>
      <c r="C10748" s="131" t="s">
        <v>255</v>
      </c>
      <c r="D10748" s="132" t="n">
        <v>46776</v>
      </c>
      <c r="E10748" s="131" t="s">
        <v>14</v>
      </c>
      <c r="F10748" s="133" t="s">
        <v>11</v>
      </c>
      <c r="G10748" s="134" t="n">
        <f aca="false">LEN('Saisie programme'!$D$379)+SUMIFS('Vols additionnels'!$E$7:$E$66,'Vols additionnels'!$C$7:$C$66,$E10748,'Vols additionnels'!$D$7:$D$66,$F10748,'Vols additionnels'!$B$7:$B$66,$D10748)</f>
        <v>0</v>
      </c>
      <c r="H10748" s="135" t="n">
        <f aca="false">$G10748*'Analyse capacite'!$F$7</f>
        <v>0</v>
      </c>
      <c r="I10748" s="135" t="n">
        <f aca="false">$G10748*'Analyse capacite'!$C$7</f>
        <v>0</v>
      </c>
      <c r="J10748" s="135" t="n">
        <f aca="false">$G10748*'Analyse capacite'!$D$7</f>
        <v>0</v>
      </c>
      <c r="K10748" s="135" t="n">
        <f aca="false">$G10748*'Analyse capacite'!$E$7</f>
        <v>0</v>
      </c>
    </row>
    <row r="10749" customFormat="false" ht="15" hidden="false" customHeight="false" outlineLevel="0" collapsed="false">
      <c r="B10749" s="130" t="n">
        <v>2028</v>
      </c>
      <c r="C10749" s="131" t="s">
        <v>255</v>
      </c>
      <c r="D10749" s="132" t="n">
        <v>46776</v>
      </c>
      <c r="E10749" s="131" t="s">
        <v>14</v>
      </c>
      <c r="F10749" s="133" t="s">
        <v>19</v>
      </c>
      <c r="G10749" s="134" t="n">
        <f aca="false">LEN('Saisie programme'!$D$380)+SUMIFS('Vols additionnels'!$E$7:$E$66,'Vols additionnels'!$C$7:$C$66,$E10749,'Vols additionnels'!$D$7:$D$66,$F10749,'Vols additionnels'!$B$7:$B$66,$D10749)</f>
        <v>0</v>
      </c>
      <c r="H10749" s="135" t="n">
        <f aca="false">$G10749*'Analyse capacite'!$F$8</f>
        <v>0</v>
      </c>
      <c r="I10749" s="135" t="n">
        <f aca="false">$G10749*'Analyse capacite'!$C$8</f>
        <v>0</v>
      </c>
      <c r="J10749" s="135" t="n">
        <f aca="false">$G10749*'Analyse capacite'!$D$8</f>
        <v>0</v>
      </c>
      <c r="K10749" s="135" t="n">
        <f aca="false">$G10749*'Analyse capacite'!$E$8</f>
        <v>0</v>
      </c>
    </row>
    <row r="10750" customFormat="false" ht="15" hidden="false" customHeight="false" outlineLevel="0" collapsed="false">
      <c r="B10750" s="130" t="n">
        <v>2028</v>
      </c>
      <c r="C10750" s="131" t="s">
        <v>255</v>
      </c>
      <c r="D10750" s="132" t="n">
        <v>46776</v>
      </c>
      <c r="E10750" s="131" t="s">
        <v>14</v>
      </c>
      <c r="F10750" s="133" t="s">
        <v>24</v>
      </c>
      <c r="G10750" s="134" t="n">
        <f aca="false">LEN('Saisie programme'!$D$381)+SUMIFS('Vols additionnels'!$E$7:$E$66,'Vols additionnels'!$C$7:$C$66,$E10750,'Vols additionnels'!$D$7:$D$66,$F10750,'Vols additionnels'!$B$7:$B$66,$D10750)</f>
        <v>1</v>
      </c>
      <c r="H10750" s="135" t="n">
        <f aca="false">$G10750*'Analyse capacite'!$F$9</f>
        <v>174</v>
      </c>
      <c r="I10750" s="135" t="n">
        <f aca="false">$G10750*'Analyse capacite'!$C$9</f>
        <v>0</v>
      </c>
      <c r="J10750" s="135" t="n">
        <f aca="false">$G10750*'Analyse capacite'!$D$9</f>
        <v>12</v>
      </c>
      <c r="K10750" s="135" t="n">
        <f aca="false">$G10750*'Analyse capacite'!$E$9</f>
        <v>162</v>
      </c>
    </row>
    <row r="10751" customFormat="false" ht="15" hidden="false" customHeight="false" outlineLevel="0" collapsed="false">
      <c r="B10751" s="130" t="n">
        <v>2028</v>
      </c>
      <c r="C10751" s="131" t="s">
        <v>255</v>
      </c>
      <c r="D10751" s="132" t="n">
        <v>46776</v>
      </c>
      <c r="E10751" s="131" t="s">
        <v>46</v>
      </c>
      <c r="F10751" s="133" t="s">
        <v>11</v>
      </c>
      <c r="G10751" s="134" t="n">
        <f aca="false">LEN('Saisie programme'!$D$382)+SUMIFS('Vols additionnels'!$E$7:$E$66,'Vols additionnels'!$C$7:$C$66,$E10751,'Vols additionnels'!$D$7:$D$66,$F10751,'Vols additionnels'!$B$7:$B$66,$D10751)</f>
        <v>0</v>
      </c>
      <c r="H10751" s="135" t="n">
        <f aca="false">$G10751*'Analyse capacite'!$F$7</f>
        <v>0</v>
      </c>
      <c r="I10751" s="135" t="n">
        <f aca="false">$G10751*'Analyse capacite'!$C$7</f>
        <v>0</v>
      </c>
      <c r="J10751" s="135" t="n">
        <f aca="false">$G10751*'Analyse capacite'!$D$7</f>
        <v>0</v>
      </c>
      <c r="K10751" s="135" t="n">
        <f aca="false">$G10751*'Analyse capacite'!$E$7</f>
        <v>0</v>
      </c>
    </row>
    <row r="10752" customFormat="false" ht="15" hidden="false" customHeight="false" outlineLevel="0" collapsed="false">
      <c r="B10752" s="130" t="n">
        <v>2028</v>
      </c>
      <c r="C10752" s="131" t="s">
        <v>255</v>
      </c>
      <c r="D10752" s="132" t="n">
        <v>46776</v>
      </c>
      <c r="E10752" s="131" t="s">
        <v>46</v>
      </c>
      <c r="F10752" s="133" t="s">
        <v>19</v>
      </c>
      <c r="G10752" s="134" t="n">
        <f aca="false">LEN('Saisie programme'!$D$383)+SUMIFS('Vols additionnels'!$E$7:$E$66,'Vols additionnels'!$C$7:$C$66,$E10752,'Vols additionnels'!$D$7:$D$66,$F10752,'Vols additionnels'!$B$7:$B$66,$D10752)</f>
        <v>0</v>
      </c>
      <c r="H10752" s="135" t="n">
        <f aca="false">$G10752*'Analyse capacite'!$F$8</f>
        <v>0</v>
      </c>
      <c r="I10752" s="135" t="n">
        <f aca="false">$G10752*'Analyse capacite'!$C$8</f>
        <v>0</v>
      </c>
      <c r="J10752" s="135" t="n">
        <f aca="false">$G10752*'Analyse capacite'!$D$8</f>
        <v>0</v>
      </c>
      <c r="K10752" s="135" t="n">
        <f aca="false">$G10752*'Analyse capacite'!$E$8</f>
        <v>0</v>
      </c>
    </row>
    <row r="10753" customFormat="false" ht="15" hidden="false" customHeight="false" outlineLevel="0" collapsed="false">
      <c r="B10753" s="130" t="n">
        <v>2028</v>
      </c>
      <c r="C10753" s="131" t="s">
        <v>255</v>
      </c>
      <c r="D10753" s="132" t="n">
        <v>46776</v>
      </c>
      <c r="E10753" s="131" t="s">
        <v>46</v>
      </c>
      <c r="F10753" s="133" t="s">
        <v>24</v>
      </c>
      <c r="G10753" s="134" t="n">
        <f aca="false">LEN('Saisie programme'!$D$384)+SUMIFS('Vols additionnels'!$E$7:$E$66,'Vols additionnels'!$C$7:$C$66,$E10753,'Vols additionnels'!$D$7:$D$66,$F10753,'Vols additionnels'!$B$7:$B$66,$D10753)</f>
        <v>0</v>
      </c>
      <c r="H10753" s="135" t="n">
        <f aca="false">$G10753*'Analyse capacite'!$F$9</f>
        <v>0</v>
      </c>
      <c r="I10753" s="135" t="n">
        <f aca="false">$G10753*'Analyse capacite'!$C$9</f>
        <v>0</v>
      </c>
      <c r="J10753" s="135" t="n">
        <f aca="false">$G10753*'Analyse capacite'!$D$9</f>
        <v>0</v>
      </c>
      <c r="K10753" s="135" t="n">
        <f aca="false">$G10753*'Analyse capacite'!$E$9</f>
        <v>0</v>
      </c>
    </row>
    <row r="10754" customFormat="false" ht="15" hidden="false" customHeight="false" outlineLevel="0" collapsed="false">
      <c r="B10754" s="130" t="n">
        <v>2028</v>
      </c>
      <c r="C10754" s="131" t="s">
        <v>255</v>
      </c>
      <c r="D10754" s="132" t="n">
        <v>46776</v>
      </c>
      <c r="E10754" s="131" t="s">
        <v>49</v>
      </c>
      <c r="F10754" s="133" t="s">
        <v>11</v>
      </c>
      <c r="G10754" s="134" t="n">
        <f aca="false">LEN('Saisie programme'!$D$385)+SUMIFS('Vols additionnels'!$E$7:$E$66,'Vols additionnels'!$C$7:$C$66,$E10754,'Vols additionnels'!$D$7:$D$66,$F10754,'Vols additionnels'!$B$7:$B$66,$D10754)</f>
        <v>0</v>
      </c>
      <c r="H10754" s="135" t="n">
        <f aca="false">$G10754*'Analyse capacite'!$F$7</f>
        <v>0</v>
      </c>
      <c r="I10754" s="135" t="n">
        <f aca="false">$G10754*'Analyse capacite'!$C$7</f>
        <v>0</v>
      </c>
      <c r="J10754" s="135" t="n">
        <f aca="false">$G10754*'Analyse capacite'!$D$7</f>
        <v>0</v>
      </c>
      <c r="K10754" s="135" t="n">
        <f aca="false">$G10754*'Analyse capacite'!$E$7</f>
        <v>0</v>
      </c>
    </row>
    <row r="10755" customFormat="false" ht="15" hidden="false" customHeight="false" outlineLevel="0" collapsed="false">
      <c r="B10755" s="130" t="n">
        <v>2028</v>
      </c>
      <c r="C10755" s="131" t="s">
        <v>255</v>
      </c>
      <c r="D10755" s="132" t="n">
        <v>46776</v>
      </c>
      <c r="E10755" s="131" t="s">
        <v>49</v>
      </c>
      <c r="F10755" s="133" t="s">
        <v>19</v>
      </c>
      <c r="G10755" s="134" t="n">
        <f aca="false">LEN('Saisie programme'!$D$386)+SUMIFS('Vols additionnels'!$E$7:$E$66,'Vols additionnels'!$C$7:$C$66,$E10755,'Vols additionnels'!$D$7:$D$66,$F10755,'Vols additionnels'!$B$7:$B$66,$D10755)</f>
        <v>1</v>
      </c>
      <c r="H10755" s="135" t="n">
        <f aca="false">$G10755*'Analyse capacite'!$F$8</f>
        <v>262</v>
      </c>
      <c r="I10755" s="135" t="n">
        <f aca="false">$G10755*'Analyse capacite'!$C$8</f>
        <v>18</v>
      </c>
      <c r="J10755" s="135" t="n">
        <f aca="false">$G10755*'Analyse capacite'!$D$8</f>
        <v>0</v>
      </c>
      <c r="K10755" s="135" t="n">
        <f aca="false">$G10755*'Analyse capacite'!$E$8</f>
        <v>244</v>
      </c>
    </row>
    <row r="10756" customFormat="false" ht="15" hidden="false" customHeight="false" outlineLevel="0" collapsed="false">
      <c r="B10756" s="130" t="n">
        <v>2028</v>
      </c>
      <c r="C10756" s="131" t="s">
        <v>255</v>
      </c>
      <c r="D10756" s="132" t="n">
        <v>46776</v>
      </c>
      <c r="E10756" s="131" t="s">
        <v>49</v>
      </c>
      <c r="F10756" s="133" t="s">
        <v>24</v>
      </c>
      <c r="G10756" s="134" t="n">
        <f aca="false">LEN('Saisie programme'!$D$387)+SUMIFS('Vols additionnels'!$E$7:$E$66,'Vols additionnels'!$C$7:$C$66,$E10756,'Vols additionnels'!$D$7:$D$66,$F10756,'Vols additionnels'!$B$7:$B$66,$D10756)</f>
        <v>0</v>
      </c>
      <c r="H10756" s="135" t="n">
        <f aca="false">$G10756*'Analyse capacite'!$F$9</f>
        <v>0</v>
      </c>
      <c r="I10756" s="135" t="n">
        <f aca="false">$G10756*'Analyse capacite'!$C$9</f>
        <v>0</v>
      </c>
      <c r="J10756" s="135" t="n">
        <f aca="false">$G10756*'Analyse capacite'!$D$9</f>
        <v>0</v>
      </c>
      <c r="K10756" s="135" t="n">
        <f aca="false">$G10756*'Analyse capacite'!$E$9</f>
        <v>0</v>
      </c>
    </row>
    <row r="10757" customFormat="false" ht="15" hidden="false" customHeight="false" outlineLevel="0" collapsed="false">
      <c r="B10757" s="130" t="n">
        <v>2028</v>
      </c>
      <c r="C10757" s="131" t="s">
        <v>255</v>
      </c>
      <c r="D10757" s="132" t="n">
        <v>46776</v>
      </c>
      <c r="E10757" s="131" t="s">
        <v>53</v>
      </c>
      <c r="F10757" s="133" t="s">
        <v>11</v>
      </c>
      <c r="G10757" s="134" t="n">
        <f aca="false">LEN('Saisie programme'!$D$388)+SUMIFS('Vols additionnels'!$E$7:$E$66,'Vols additionnels'!$C$7:$C$66,$E10757,'Vols additionnels'!$D$7:$D$66,$F10757,'Vols additionnels'!$B$7:$B$66,$D10757)</f>
        <v>0</v>
      </c>
      <c r="H10757" s="135" t="n">
        <f aca="false">$G10757*'Analyse capacite'!$F$7</f>
        <v>0</v>
      </c>
      <c r="I10757" s="135" t="n">
        <f aca="false">$G10757*'Analyse capacite'!$C$7</f>
        <v>0</v>
      </c>
      <c r="J10757" s="135" t="n">
        <f aca="false">$G10757*'Analyse capacite'!$D$7</f>
        <v>0</v>
      </c>
      <c r="K10757" s="135" t="n">
        <f aca="false">$G10757*'Analyse capacite'!$E$7</f>
        <v>0</v>
      </c>
    </row>
    <row r="10758" customFormat="false" ht="15" hidden="false" customHeight="false" outlineLevel="0" collapsed="false">
      <c r="B10758" s="130" t="n">
        <v>2028</v>
      </c>
      <c r="C10758" s="131" t="s">
        <v>255</v>
      </c>
      <c r="D10758" s="132" t="n">
        <v>46776</v>
      </c>
      <c r="E10758" s="131" t="s">
        <v>53</v>
      </c>
      <c r="F10758" s="133" t="s">
        <v>19</v>
      </c>
      <c r="G10758" s="134" t="n">
        <f aca="false">LEN('Saisie programme'!$D$389)+SUMIFS('Vols additionnels'!$E$7:$E$66,'Vols additionnels'!$C$7:$C$66,$E10758,'Vols additionnels'!$D$7:$D$66,$F10758,'Vols additionnels'!$B$7:$B$66,$D10758)</f>
        <v>0</v>
      </c>
      <c r="H10758" s="135" t="n">
        <f aca="false">$G10758*'Analyse capacite'!$F$8</f>
        <v>0</v>
      </c>
      <c r="I10758" s="135" t="n">
        <f aca="false">$G10758*'Analyse capacite'!$C$8</f>
        <v>0</v>
      </c>
      <c r="J10758" s="135" t="n">
        <f aca="false">$G10758*'Analyse capacite'!$D$8</f>
        <v>0</v>
      </c>
      <c r="K10758" s="135" t="n">
        <f aca="false">$G10758*'Analyse capacite'!$E$8</f>
        <v>0</v>
      </c>
    </row>
    <row r="10759" customFormat="false" ht="15" hidden="false" customHeight="false" outlineLevel="0" collapsed="false">
      <c r="B10759" s="130" t="n">
        <v>2028</v>
      </c>
      <c r="C10759" s="131" t="s">
        <v>255</v>
      </c>
      <c r="D10759" s="132" t="n">
        <v>46776</v>
      </c>
      <c r="E10759" s="131" t="s">
        <v>53</v>
      </c>
      <c r="F10759" s="133" t="s">
        <v>24</v>
      </c>
      <c r="G10759" s="134" t="n">
        <f aca="false">LEN('Saisie programme'!$D$390)+SUMIFS('Vols additionnels'!$E$7:$E$66,'Vols additionnels'!$C$7:$C$66,$E10759,'Vols additionnels'!$D$7:$D$66,$F10759,'Vols additionnels'!$B$7:$B$66,$D10759)</f>
        <v>0</v>
      </c>
      <c r="H10759" s="135" t="n">
        <f aca="false">$G10759*'Analyse capacite'!$F$9</f>
        <v>0</v>
      </c>
      <c r="I10759" s="135" t="n">
        <f aca="false">$G10759*'Analyse capacite'!$C$9</f>
        <v>0</v>
      </c>
      <c r="J10759" s="135" t="n">
        <f aca="false">$G10759*'Analyse capacite'!$D$9</f>
        <v>0</v>
      </c>
      <c r="K10759" s="135" t="n">
        <f aca="false">$G10759*'Analyse capacite'!$E$9</f>
        <v>0</v>
      </c>
    </row>
    <row r="10760" customFormat="false" ht="15" hidden="false" customHeight="false" outlineLevel="0" collapsed="false">
      <c r="B10760" s="130" t="n">
        <v>2028</v>
      </c>
      <c r="C10760" s="131" t="s">
        <v>255</v>
      </c>
      <c r="D10760" s="132" t="n">
        <v>46776</v>
      </c>
      <c r="E10760" s="131" t="s">
        <v>56</v>
      </c>
      <c r="F10760" s="133" t="s">
        <v>11</v>
      </c>
      <c r="G10760" s="134" t="n">
        <f aca="false">LEN('Saisie programme'!$D$391)+SUMIFS('Vols additionnels'!$E$7:$E$66,'Vols additionnels'!$C$7:$C$66,$E10760,'Vols additionnels'!$D$7:$D$66,$F10760,'Vols additionnels'!$B$7:$B$66,$D10760)</f>
        <v>0</v>
      </c>
      <c r="H10760" s="135" t="n">
        <f aca="false">$G10760*'Analyse capacite'!$F$7</f>
        <v>0</v>
      </c>
      <c r="I10760" s="135" t="n">
        <f aca="false">$G10760*'Analyse capacite'!$C$7</f>
        <v>0</v>
      </c>
      <c r="J10760" s="135" t="n">
        <f aca="false">$G10760*'Analyse capacite'!$D$7</f>
        <v>0</v>
      </c>
      <c r="K10760" s="135" t="n">
        <f aca="false">$G10760*'Analyse capacite'!$E$7</f>
        <v>0</v>
      </c>
    </row>
    <row r="10761" customFormat="false" ht="15" hidden="false" customHeight="false" outlineLevel="0" collapsed="false">
      <c r="B10761" s="130" t="n">
        <v>2028</v>
      </c>
      <c r="C10761" s="131" t="s">
        <v>255</v>
      </c>
      <c r="D10761" s="132" t="n">
        <v>46776</v>
      </c>
      <c r="E10761" s="131" t="s">
        <v>56</v>
      </c>
      <c r="F10761" s="133" t="s">
        <v>19</v>
      </c>
      <c r="G10761" s="134" t="n">
        <f aca="false">LEN('Saisie programme'!$D$392)+SUMIFS('Vols additionnels'!$E$7:$E$66,'Vols additionnels'!$C$7:$C$66,$E10761,'Vols additionnels'!$D$7:$D$66,$F10761,'Vols additionnels'!$B$7:$B$66,$D10761)</f>
        <v>0</v>
      </c>
      <c r="H10761" s="135" t="n">
        <f aca="false">$G10761*'Analyse capacite'!$F$8</f>
        <v>0</v>
      </c>
      <c r="I10761" s="135" t="n">
        <f aca="false">$G10761*'Analyse capacite'!$C$8</f>
        <v>0</v>
      </c>
      <c r="J10761" s="135" t="n">
        <f aca="false">$G10761*'Analyse capacite'!$D$8</f>
        <v>0</v>
      </c>
      <c r="K10761" s="135" t="n">
        <f aca="false">$G10761*'Analyse capacite'!$E$8</f>
        <v>0</v>
      </c>
    </row>
    <row r="10762" customFormat="false" ht="15" hidden="false" customHeight="false" outlineLevel="0" collapsed="false">
      <c r="B10762" s="130" t="n">
        <v>2028</v>
      </c>
      <c r="C10762" s="131" t="s">
        <v>255</v>
      </c>
      <c r="D10762" s="132" t="n">
        <v>46776</v>
      </c>
      <c r="E10762" s="131" t="s">
        <v>56</v>
      </c>
      <c r="F10762" s="133" t="s">
        <v>24</v>
      </c>
      <c r="G10762" s="134" t="n">
        <f aca="false">LEN('Saisie programme'!$D$393)+SUMIFS('Vols additionnels'!$E$7:$E$66,'Vols additionnels'!$C$7:$C$66,$E10762,'Vols additionnels'!$D$7:$D$66,$F10762,'Vols additionnels'!$B$7:$B$66,$D10762)</f>
        <v>0</v>
      </c>
      <c r="H10762" s="135" t="n">
        <f aca="false">$G10762*'Analyse capacite'!$F$9</f>
        <v>0</v>
      </c>
      <c r="I10762" s="135" t="n">
        <f aca="false">$G10762*'Analyse capacite'!$C$9</f>
        <v>0</v>
      </c>
      <c r="J10762" s="135" t="n">
        <f aca="false">$G10762*'Analyse capacite'!$D$9</f>
        <v>0</v>
      </c>
      <c r="K10762" s="135" t="n">
        <f aca="false">$G10762*'Analyse capacite'!$E$9</f>
        <v>0</v>
      </c>
    </row>
    <row r="10763" customFormat="false" ht="15" hidden="false" customHeight="false" outlineLevel="0" collapsed="false">
      <c r="B10763" s="130" t="n">
        <v>2028</v>
      </c>
      <c r="C10763" s="131" t="s">
        <v>255</v>
      </c>
      <c r="D10763" s="132" t="n">
        <v>46776</v>
      </c>
      <c r="E10763" s="131" t="s">
        <v>59</v>
      </c>
      <c r="F10763" s="133" t="s">
        <v>11</v>
      </c>
      <c r="G10763" s="134" t="n">
        <f aca="false">LEN('Saisie programme'!$D$394)+SUMIFS('Vols additionnels'!$E$7:$E$66,'Vols additionnels'!$C$7:$C$66,$E10763,'Vols additionnels'!$D$7:$D$66,$F10763,'Vols additionnels'!$B$7:$B$66,$D10763)</f>
        <v>0</v>
      </c>
      <c r="H10763" s="135" t="n">
        <f aca="false">$G10763*'Analyse capacite'!$F$7</f>
        <v>0</v>
      </c>
      <c r="I10763" s="135" t="n">
        <f aca="false">$G10763*'Analyse capacite'!$C$7</f>
        <v>0</v>
      </c>
      <c r="J10763" s="135" t="n">
        <f aca="false">$G10763*'Analyse capacite'!$D$7</f>
        <v>0</v>
      </c>
      <c r="K10763" s="135" t="n">
        <f aca="false">$G10763*'Analyse capacite'!$E$7</f>
        <v>0</v>
      </c>
    </row>
    <row r="10764" customFormat="false" ht="15" hidden="false" customHeight="false" outlineLevel="0" collapsed="false">
      <c r="B10764" s="130" t="n">
        <v>2028</v>
      </c>
      <c r="C10764" s="131" t="s">
        <v>255</v>
      </c>
      <c r="D10764" s="132" t="n">
        <v>46776</v>
      </c>
      <c r="E10764" s="131" t="s">
        <v>59</v>
      </c>
      <c r="F10764" s="133" t="s">
        <v>19</v>
      </c>
      <c r="G10764" s="134" t="n">
        <f aca="false">LEN('Saisie programme'!$D$395)+SUMIFS('Vols additionnels'!$E$7:$E$66,'Vols additionnels'!$C$7:$C$66,$E10764,'Vols additionnels'!$D$7:$D$66,$F10764,'Vols additionnels'!$B$7:$B$66,$D10764)</f>
        <v>0</v>
      </c>
      <c r="H10764" s="135" t="n">
        <f aca="false">$G10764*'Analyse capacite'!$F$8</f>
        <v>0</v>
      </c>
      <c r="I10764" s="135" t="n">
        <f aca="false">$G10764*'Analyse capacite'!$C$8</f>
        <v>0</v>
      </c>
      <c r="J10764" s="135" t="n">
        <f aca="false">$G10764*'Analyse capacite'!$D$8</f>
        <v>0</v>
      </c>
      <c r="K10764" s="135" t="n">
        <f aca="false">$G10764*'Analyse capacite'!$E$8</f>
        <v>0</v>
      </c>
    </row>
    <row r="10765" customFormat="false" ht="15" hidden="false" customHeight="false" outlineLevel="0" collapsed="false">
      <c r="B10765" s="130" t="n">
        <v>2028</v>
      </c>
      <c r="C10765" s="131" t="s">
        <v>255</v>
      </c>
      <c r="D10765" s="132" t="n">
        <v>46776</v>
      </c>
      <c r="E10765" s="131" t="s">
        <v>59</v>
      </c>
      <c r="F10765" s="133" t="s">
        <v>24</v>
      </c>
      <c r="G10765" s="134" t="n">
        <f aca="false">LEN('Saisie programme'!$D$396)+SUMIFS('Vols additionnels'!$E$7:$E$66,'Vols additionnels'!$C$7:$C$66,$E10765,'Vols additionnels'!$D$7:$D$66,$F10765,'Vols additionnels'!$B$7:$B$66,$D10765)</f>
        <v>1</v>
      </c>
      <c r="H10765" s="135" t="n">
        <f aca="false">$G10765*'Analyse capacite'!$F$9</f>
        <v>174</v>
      </c>
      <c r="I10765" s="135" t="n">
        <f aca="false">$G10765*'Analyse capacite'!$C$9</f>
        <v>0</v>
      </c>
      <c r="J10765" s="135" t="n">
        <f aca="false">$G10765*'Analyse capacite'!$D$9</f>
        <v>12</v>
      </c>
      <c r="K10765" s="135" t="n">
        <f aca="false">$G10765*'Analyse capacite'!$E$9</f>
        <v>162</v>
      </c>
    </row>
    <row r="10766" customFormat="false" ht="15" hidden="false" customHeight="false" outlineLevel="0" collapsed="false">
      <c r="B10766" s="130" t="n">
        <v>2028</v>
      </c>
      <c r="C10766" s="131" t="s">
        <v>255</v>
      </c>
      <c r="D10766" s="132" t="n">
        <v>46776</v>
      </c>
      <c r="E10766" s="131" t="s">
        <v>62</v>
      </c>
      <c r="F10766" s="133" t="s">
        <v>11</v>
      </c>
      <c r="G10766" s="134" t="n">
        <f aca="false">LEN('Saisie programme'!$D$397)+SUMIFS('Vols additionnels'!$E$7:$E$66,'Vols additionnels'!$C$7:$C$66,$E10766,'Vols additionnels'!$D$7:$D$66,$F10766,'Vols additionnels'!$B$7:$B$66,$D10766)</f>
        <v>0</v>
      </c>
      <c r="H10766" s="135" t="n">
        <f aca="false">$G10766*'Analyse capacite'!$F$7</f>
        <v>0</v>
      </c>
      <c r="I10766" s="135" t="n">
        <f aca="false">$G10766*'Analyse capacite'!$C$7</f>
        <v>0</v>
      </c>
      <c r="J10766" s="135" t="n">
        <f aca="false">$G10766*'Analyse capacite'!$D$7</f>
        <v>0</v>
      </c>
      <c r="K10766" s="135" t="n">
        <f aca="false">$G10766*'Analyse capacite'!$E$7</f>
        <v>0</v>
      </c>
    </row>
    <row r="10767" customFormat="false" ht="15" hidden="false" customHeight="false" outlineLevel="0" collapsed="false">
      <c r="B10767" s="130" t="n">
        <v>2028</v>
      </c>
      <c r="C10767" s="131" t="s">
        <v>255</v>
      </c>
      <c r="D10767" s="132" t="n">
        <v>46776</v>
      </c>
      <c r="E10767" s="131" t="s">
        <v>62</v>
      </c>
      <c r="F10767" s="133" t="s">
        <v>19</v>
      </c>
      <c r="G10767" s="134" t="n">
        <f aca="false">LEN('Saisie programme'!$D$398)+SUMIFS('Vols additionnels'!$E$7:$E$66,'Vols additionnels'!$C$7:$C$66,$E10767,'Vols additionnels'!$D$7:$D$66,$F10767,'Vols additionnels'!$B$7:$B$66,$D10767)</f>
        <v>0</v>
      </c>
      <c r="H10767" s="135" t="n">
        <f aca="false">$G10767*'Analyse capacite'!$F$8</f>
        <v>0</v>
      </c>
      <c r="I10767" s="135" t="n">
        <f aca="false">$G10767*'Analyse capacite'!$C$8</f>
        <v>0</v>
      </c>
      <c r="J10767" s="135" t="n">
        <f aca="false">$G10767*'Analyse capacite'!$D$8</f>
        <v>0</v>
      </c>
      <c r="K10767" s="135" t="n">
        <f aca="false">$G10767*'Analyse capacite'!$E$8</f>
        <v>0</v>
      </c>
    </row>
    <row r="10768" customFormat="false" ht="15" hidden="false" customHeight="false" outlineLevel="0" collapsed="false">
      <c r="B10768" s="130" t="n">
        <v>2028</v>
      </c>
      <c r="C10768" s="131" t="s">
        <v>255</v>
      </c>
      <c r="D10768" s="132" t="n">
        <v>46776</v>
      </c>
      <c r="E10768" s="131" t="s">
        <v>62</v>
      </c>
      <c r="F10768" s="133" t="s">
        <v>24</v>
      </c>
      <c r="G10768" s="134" t="n">
        <f aca="false">LEN('Saisie programme'!$D$399)+SUMIFS('Vols additionnels'!$E$7:$E$66,'Vols additionnels'!$C$7:$C$66,$E10768,'Vols additionnels'!$D$7:$D$66,$F10768,'Vols additionnels'!$B$7:$B$66,$D10768)</f>
        <v>0</v>
      </c>
      <c r="H10768" s="135" t="n">
        <f aca="false">$G10768*'Analyse capacite'!$F$9</f>
        <v>0</v>
      </c>
      <c r="I10768" s="135" t="n">
        <f aca="false">$G10768*'Analyse capacite'!$C$9</f>
        <v>0</v>
      </c>
      <c r="J10768" s="135" t="n">
        <f aca="false">$G10768*'Analyse capacite'!$D$9</f>
        <v>0</v>
      </c>
      <c r="K10768" s="135" t="n">
        <f aca="false">$G10768*'Analyse capacite'!$E$9</f>
        <v>0</v>
      </c>
    </row>
    <row r="10769" customFormat="false" ht="15" hidden="false" customHeight="false" outlineLevel="0" collapsed="false">
      <c r="B10769" s="130" t="n">
        <v>2028</v>
      </c>
      <c r="C10769" s="131" t="s">
        <v>255</v>
      </c>
      <c r="D10769" s="132" t="n">
        <v>46777</v>
      </c>
      <c r="E10769" s="131" t="s">
        <v>12</v>
      </c>
      <c r="F10769" s="133" t="s">
        <v>11</v>
      </c>
      <c r="G10769" s="134" t="n">
        <f aca="false">LEN('Saisie programme'!$E$364)+SUMIFS('Vols additionnels'!$E$7:$E$66,'Vols additionnels'!$C$7:$C$66,$E10769,'Vols additionnels'!$D$7:$D$66,$F10769,'Vols additionnels'!$B$7:$B$66,$D10769)</f>
        <v>1</v>
      </c>
      <c r="H10769" s="135" t="n">
        <f aca="false">$G10769*'Analyse capacite'!$F$7</f>
        <v>438</v>
      </c>
      <c r="I10769" s="135" t="n">
        <f aca="false">$G10769*'Analyse capacite'!$C$7</f>
        <v>14</v>
      </c>
      <c r="J10769" s="135" t="n">
        <f aca="false">$G10769*'Analyse capacite'!$D$7</f>
        <v>40</v>
      </c>
      <c r="K10769" s="135" t="n">
        <f aca="false">$G10769*'Analyse capacite'!$E$7</f>
        <v>384</v>
      </c>
    </row>
    <row r="10770" customFormat="false" ht="15" hidden="false" customHeight="false" outlineLevel="0" collapsed="false">
      <c r="B10770" s="130" t="n">
        <v>2028</v>
      </c>
      <c r="C10770" s="131" t="s">
        <v>255</v>
      </c>
      <c r="D10770" s="132" t="n">
        <v>46777</v>
      </c>
      <c r="E10770" s="131" t="s">
        <v>12</v>
      </c>
      <c r="F10770" s="133" t="s">
        <v>19</v>
      </c>
      <c r="G10770" s="134" t="n">
        <f aca="false">LEN('Saisie programme'!$E$365)+SUMIFS('Vols additionnels'!$E$7:$E$66,'Vols additionnels'!$C$7:$C$66,$E10770,'Vols additionnels'!$D$7:$D$66,$F10770,'Vols additionnels'!$B$7:$B$66,$D10770)</f>
        <v>0</v>
      </c>
      <c r="H10770" s="135" t="n">
        <f aca="false">$G10770*'Analyse capacite'!$F$8</f>
        <v>0</v>
      </c>
      <c r="I10770" s="135" t="n">
        <f aca="false">$G10770*'Analyse capacite'!$C$8</f>
        <v>0</v>
      </c>
      <c r="J10770" s="135" t="n">
        <f aca="false">$G10770*'Analyse capacite'!$D$8</f>
        <v>0</v>
      </c>
      <c r="K10770" s="135" t="n">
        <f aca="false">$G10770*'Analyse capacite'!$E$8</f>
        <v>0</v>
      </c>
    </row>
    <row r="10771" customFormat="false" ht="15" hidden="false" customHeight="false" outlineLevel="0" collapsed="false">
      <c r="B10771" s="130" t="n">
        <v>2028</v>
      </c>
      <c r="C10771" s="131" t="s">
        <v>255</v>
      </c>
      <c r="D10771" s="132" t="n">
        <v>46777</v>
      </c>
      <c r="E10771" s="131" t="s">
        <v>12</v>
      </c>
      <c r="F10771" s="133" t="s">
        <v>24</v>
      </c>
      <c r="G10771" s="134" t="n">
        <f aca="false">LEN('Saisie programme'!$E$366)+SUMIFS('Vols additionnels'!$E$7:$E$66,'Vols additionnels'!$C$7:$C$66,$E10771,'Vols additionnels'!$D$7:$D$66,$F10771,'Vols additionnels'!$B$7:$B$66,$D10771)</f>
        <v>0</v>
      </c>
      <c r="H10771" s="135" t="n">
        <f aca="false">$G10771*'Analyse capacite'!$F$9</f>
        <v>0</v>
      </c>
      <c r="I10771" s="135" t="n">
        <f aca="false">$G10771*'Analyse capacite'!$C$9</f>
        <v>0</v>
      </c>
      <c r="J10771" s="135" t="n">
        <f aca="false">$G10771*'Analyse capacite'!$D$9</f>
        <v>0</v>
      </c>
      <c r="K10771" s="135" t="n">
        <f aca="false">$G10771*'Analyse capacite'!$E$9</f>
        <v>0</v>
      </c>
    </row>
    <row r="10772" customFormat="false" ht="15" hidden="false" customHeight="false" outlineLevel="0" collapsed="false">
      <c r="B10772" s="130" t="n">
        <v>2028</v>
      </c>
      <c r="C10772" s="131" t="s">
        <v>255</v>
      </c>
      <c r="D10772" s="132" t="n">
        <v>46777</v>
      </c>
      <c r="E10772" s="131" t="s">
        <v>20</v>
      </c>
      <c r="F10772" s="133" t="s">
        <v>11</v>
      </c>
      <c r="G10772" s="134" t="n">
        <f aca="false">LEN('Saisie programme'!$E$367)+SUMIFS('Vols additionnels'!$E$7:$E$66,'Vols additionnels'!$C$7:$C$66,$E10772,'Vols additionnels'!$D$7:$D$66,$F10772,'Vols additionnels'!$B$7:$B$66,$D10772)</f>
        <v>0</v>
      </c>
      <c r="H10772" s="135" t="n">
        <f aca="false">$G10772*'Analyse capacite'!$F$7</f>
        <v>0</v>
      </c>
      <c r="I10772" s="135" t="n">
        <f aca="false">$G10772*'Analyse capacite'!$C$7</f>
        <v>0</v>
      </c>
      <c r="J10772" s="135" t="n">
        <f aca="false">$G10772*'Analyse capacite'!$D$7</f>
        <v>0</v>
      </c>
      <c r="K10772" s="135" t="n">
        <f aca="false">$G10772*'Analyse capacite'!$E$7</f>
        <v>0</v>
      </c>
    </row>
    <row r="10773" customFormat="false" ht="15" hidden="false" customHeight="false" outlineLevel="0" collapsed="false">
      <c r="B10773" s="130" t="n">
        <v>2028</v>
      </c>
      <c r="C10773" s="131" t="s">
        <v>255</v>
      </c>
      <c r="D10773" s="132" t="n">
        <v>46777</v>
      </c>
      <c r="E10773" s="131" t="s">
        <v>20</v>
      </c>
      <c r="F10773" s="133" t="s">
        <v>19</v>
      </c>
      <c r="G10773" s="134" t="n">
        <f aca="false">LEN('Saisie programme'!$E$368)+SUMIFS('Vols additionnels'!$E$7:$E$66,'Vols additionnels'!$C$7:$C$66,$E10773,'Vols additionnels'!$D$7:$D$66,$F10773,'Vols additionnels'!$B$7:$B$66,$D10773)</f>
        <v>1</v>
      </c>
      <c r="H10773" s="135" t="n">
        <f aca="false">$G10773*'Analyse capacite'!$F$8</f>
        <v>262</v>
      </c>
      <c r="I10773" s="135" t="n">
        <f aca="false">$G10773*'Analyse capacite'!$C$8</f>
        <v>18</v>
      </c>
      <c r="J10773" s="135" t="n">
        <f aca="false">$G10773*'Analyse capacite'!$D$8</f>
        <v>0</v>
      </c>
      <c r="K10773" s="135" t="n">
        <f aca="false">$G10773*'Analyse capacite'!$E$8</f>
        <v>244</v>
      </c>
    </row>
    <row r="10774" customFormat="false" ht="15" hidden="false" customHeight="false" outlineLevel="0" collapsed="false">
      <c r="B10774" s="130" t="n">
        <v>2028</v>
      </c>
      <c r="C10774" s="131" t="s">
        <v>255</v>
      </c>
      <c r="D10774" s="132" t="n">
        <v>46777</v>
      </c>
      <c r="E10774" s="131" t="s">
        <v>20</v>
      </c>
      <c r="F10774" s="133" t="s">
        <v>24</v>
      </c>
      <c r="G10774" s="134" t="n">
        <f aca="false">LEN('Saisie programme'!$E$369)+SUMIFS('Vols additionnels'!$E$7:$E$66,'Vols additionnels'!$C$7:$C$66,$E10774,'Vols additionnels'!$D$7:$D$66,$F10774,'Vols additionnels'!$B$7:$B$66,$D10774)</f>
        <v>0</v>
      </c>
      <c r="H10774" s="135" t="n">
        <f aca="false">$G10774*'Analyse capacite'!$F$9</f>
        <v>0</v>
      </c>
      <c r="I10774" s="135" t="n">
        <f aca="false">$G10774*'Analyse capacite'!$C$9</f>
        <v>0</v>
      </c>
      <c r="J10774" s="135" t="n">
        <f aca="false">$G10774*'Analyse capacite'!$D$9</f>
        <v>0</v>
      </c>
      <c r="K10774" s="135" t="n">
        <f aca="false">$G10774*'Analyse capacite'!$E$9</f>
        <v>0</v>
      </c>
    </row>
    <row r="10775" customFormat="false" ht="15" hidden="false" customHeight="false" outlineLevel="0" collapsed="false">
      <c r="B10775" s="130" t="n">
        <v>2028</v>
      </c>
      <c r="C10775" s="131" t="s">
        <v>255</v>
      </c>
      <c r="D10775" s="132" t="n">
        <v>46777</v>
      </c>
      <c r="E10775" s="131" t="s">
        <v>25</v>
      </c>
      <c r="F10775" s="133" t="s">
        <v>11</v>
      </c>
      <c r="G10775" s="134" t="n">
        <f aca="false">LEN('Saisie programme'!$E$370)+SUMIFS('Vols additionnels'!$E$7:$E$66,'Vols additionnels'!$C$7:$C$66,$E10775,'Vols additionnels'!$D$7:$D$66,$F10775,'Vols additionnels'!$B$7:$B$66,$D10775)</f>
        <v>0</v>
      </c>
      <c r="H10775" s="135" t="n">
        <f aca="false">$G10775*'Analyse capacite'!$F$7</f>
        <v>0</v>
      </c>
      <c r="I10775" s="135" t="n">
        <f aca="false">$G10775*'Analyse capacite'!$C$7</f>
        <v>0</v>
      </c>
      <c r="J10775" s="135" t="n">
        <f aca="false">$G10775*'Analyse capacite'!$D$7</f>
        <v>0</v>
      </c>
      <c r="K10775" s="135" t="n">
        <f aca="false">$G10775*'Analyse capacite'!$E$7</f>
        <v>0</v>
      </c>
    </row>
    <row r="10776" customFormat="false" ht="15" hidden="false" customHeight="false" outlineLevel="0" collapsed="false">
      <c r="B10776" s="130" t="n">
        <v>2028</v>
      </c>
      <c r="C10776" s="131" t="s">
        <v>255</v>
      </c>
      <c r="D10776" s="132" t="n">
        <v>46777</v>
      </c>
      <c r="E10776" s="131" t="s">
        <v>25</v>
      </c>
      <c r="F10776" s="133" t="s">
        <v>19</v>
      </c>
      <c r="G10776" s="134" t="n">
        <f aca="false">LEN('Saisie programme'!$E$371)+SUMIFS('Vols additionnels'!$E$7:$E$66,'Vols additionnels'!$C$7:$C$66,$E10776,'Vols additionnels'!$D$7:$D$66,$F10776,'Vols additionnels'!$B$7:$B$66,$D10776)</f>
        <v>0</v>
      </c>
      <c r="H10776" s="135" t="n">
        <f aca="false">$G10776*'Analyse capacite'!$F$8</f>
        <v>0</v>
      </c>
      <c r="I10776" s="135" t="n">
        <f aca="false">$G10776*'Analyse capacite'!$C$8</f>
        <v>0</v>
      </c>
      <c r="J10776" s="135" t="n">
        <f aca="false">$G10776*'Analyse capacite'!$D$8</f>
        <v>0</v>
      </c>
      <c r="K10776" s="135" t="n">
        <f aca="false">$G10776*'Analyse capacite'!$E$8</f>
        <v>0</v>
      </c>
    </row>
    <row r="10777" customFormat="false" ht="15" hidden="false" customHeight="false" outlineLevel="0" collapsed="false">
      <c r="B10777" s="130" t="n">
        <v>2028</v>
      </c>
      <c r="C10777" s="131" t="s">
        <v>255</v>
      </c>
      <c r="D10777" s="132" t="n">
        <v>46777</v>
      </c>
      <c r="E10777" s="131" t="s">
        <v>25</v>
      </c>
      <c r="F10777" s="133" t="s">
        <v>24</v>
      </c>
      <c r="G10777" s="134" t="n">
        <f aca="false">LEN('Saisie programme'!$E$372)+SUMIFS('Vols additionnels'!$E$7:$E$66,'Vols additionnels'!$C$7:$C$66,$E10777,'Vols additionnels'!$D$7:$D$66,$F10777,'Vols additionnels'!$B$7:$B$66,$D10777)</f>
        <v>0</v>
      </c>
      <c r="H10777" s="135" t="n">
        <f aca="false">$G10777*'Analyse capacite'!$F$9</f>
        <v>0</v>
      </c>
      <c r="I10777" s="135" t="n">
        <f aca="false">$G10777*'Analyse capacite'!$C$9</f>
        <v>0</v>
      </c>
      <c r="J10777" s="135" t="n">
        <f aca="false">$G10777*'Analyse capacite'!$D$9</f>
        <v>0</v>
      </c>
      <c r="K10777" s="135" t="n">
        <f aca="false">$G10777*'Analyse capacite'!$E$9</f>
        <v>0</v>
      </c>
    </row>
    <row r="10778" customFormat="false" ht="15" hidden="false" customHeight="false" outlineLevel="0" collapsed="false">
      <c r="B10778" s="130" t="n">
        <v>2028</v>
      </c>
      <c r="C10778" s="131" t="s">
        <v>255</v>
      </c>
      <c r="D10778" s="132" t="n">
        <v>46777</v>
      </c>
      <c r="E10778" s="131" t="s">
        <v>36</v>
      </c>
      <c r="F10778" s="133" t="s">
        <v>11</v>
      </c>
      <c r="G10778" s="134" t="n">
        <f aca="false">LEN('Saisie programme'!$E$373)+SUMIFS('Vols additionnels'!$E$7:$E$66,'Vols additionnels'!$C$7:$C$66,$E10778,'Vols additionnels'!$D$7:$D$66,$F10778,'Vols additionnels'!$B$7:$B$66,$D10778)</f>
        <v>0</v>
      </c>
      <c r="H10778" s="135" t="n">
        <f aca="false">$G10778*'Analyse capacite'!$F$7</f>
        <v>0</v>
      </c>
      <c r="I10778" s="135" t="n">
        <f aca="false">$G10778*'Analyse capacite'!$C$7</f>
        <v>0</v>
      </c>
      <c r="J10778" s="135" t="n">
        <f aca="false">$G10778*'Analyse capacite'!$D$7</f>
        <v>0</v>
      </c>
      <c r="K10778" s="135" t="n">
        <f aca="false">$G10778*'Analyse capacite'!$E$7</f>
        <v>0</v>
      </c>
    </row>
    <row r="10779" customFormat="false" ht="15" hidden="false" customHeight="false" outlineLevel="0" collapsed="false">
      <c r="B10779" s="130" t="n">
        <v>2028</v>
      </c>
      <c r="C10779" s="131" t="s">
        <v>255</v>
      </c>
      <c r="D10779" s="132" t="n">
        <v>46777</v>
      </c>
      <c r="E10779" s="131" t="s">
        <v>36</v>
      </c>
      <c r="F10779" s="133" t="s">
        <v>19</v>
      </c>
      <c r="G10779" s="134" t="n">
        <f aca="false">LEN('Saisie programme'!$E$374)+SUMIFS('Vols additionnels'!$E$7:$E$66,'Vols additionnels'!$C$7:$C$66,$E10779,'Vols additionnels'!$D$7:$D$66,$F10779,'Vols additionnels'!$B$7:$B$66,$D10779)</f>
        <v>0</v>
      </c>
      <c r="H10779" s="135" t="n">
        <f aca="false">$G10779*'Analyse capacite'!$F$8</f>
        <v>0</v>
      </c>
      <c r="I10779" s="135" t="n">
        <f aca="false">$G10779*'Analyse capacite'!$C$8</f>
        <v>0</v>
      </c>
      <c r="J10779" s="135" t="n">
        <f aca="false">$G10779*'Analyse capacite'!$D$8</f>
        <v>0</v>
      </c>
      <c r="K10779" s="135" t="n">
        <f aca="false">$G10779*'Analyse capacite'!$E$8</f>
        <v>0</v>
      </c>
    </row>
    <row r="10780" customFormat="false" ht="15" hidden="false" customHeight="false" outlineLevel="0" collapsed="false">
      <c r="B10780" s="130" t="n">
        <v>2028</v>
      </c>
      <c r="C10780" s="131" t="s">
        <v>255</v>
      </c>
      <c r="D10780" s="132" t="n">
        <v>46777</v>
      </c>
      <c r="E10780" s="131" t="s">
        <v>36</v>
      </c>
      <c r="F10780" s="133" t="s">
        <v>24</v>
      </c>
      <c r="G10780" s="134" t="n">
        <f aca="false">LEN('Saisie programme'!$E$375)+SUMIFS('Vols additionnels'!$E$7:$E$66,'Vols additionnels'!$C$7:$C$66,$E10780,'Vols additionnels'!$D$7:$D$66,$F10780,'Vols additionnels'!$B$7:$B$66,$D10780)</f>
        <v>1</v>
      </c>
      <c r="H10780" s="135" t="n">
        <f aca="false">$G10780*'Analyse capacite'!$F$9</f>
        <v>174</v>
      </c>
      <c r="I10780" s="135" t="n">
        <f aca="false">$G10780*'Analyse capacite'!$C$9</f>
        <v>0</v>
      </c>
      <c r="J10780" s="135" t="n">
        <f aca="false">$G10780*'Analyse capacite'!$D$9</f>
        <v>12</v>
      </c>
      <c r="K10780" s="135" t="n">
        <f aca="false">$G10780*'Analyse capacite'!$E$9</f>
        <v>162</v>
      </c>
    </row>
    <row r="10781" customFormat="false" ht="15" hidden="false" customHeight="false" outlineLevel="0" collapsed="false">
      <c r="B10781" s="130" t="n">
        <v>2028</v>
      </c>
      <c r="C10781" s="131" t="s">
        <v>255</v>
      </c>
      <c r="D10781" s="132" t="n">
        <v>46777</v>
      </c>
      <c r="E10781" s="131" t="s">
        <v>40</v>
      </c>
      <c r="F10781" s="133" t="s">
        <v>11</v>
      </c>
      <c r="G10781" s="134" t="n">
        <f aca="false">LEN('Saisie programme'!$E$376)+SUMIFS('Vols additionnels'!$E$7:$E$66,'Vols additionnels'!$C$7:$C$66,$E10781,'Vols additionnels'!$D$7:$D$66,$F10781,'Vols additionnels'!$B$7:$B$66,$D10781)</f>
        <v>0</v>
      </c>
      <c r="H10781" s="135" t="n">
        <f aca="false">$G10781*'Analyse capacite'!$F$7</f>
        <v>0</v>
      </c>
      <c r="I10781" s="135" t="n">
        <f aca="false">$G10781*'Analyse capacite'!$C$7</f>
        <v>0</v>
      </c>
      <c r="J10781" s="135" t="n">
        <f aca="false">$G10781*'Analyse capacite'!$D$7</f>
        <v>0</v>
      </c>
      <c r="K10781" s="135" t="n">
        <f aca="false">$G10781*'Analyse capacite'!$E$7</f>
        <v>0</v>
      </c>
    </row>
    <row r="10782" customFormat="false" ht="15" hidden="false" customHeight="false" outlineLevel="0" collapsed="false">
      <c r="B10782" s="130" t="n">
        <v>2028</v>
      </c>
      <c r="C10782" s="131" t="s">
        <v>255</v>
      </c>
      <c r="D10782" s="132" t="n">
        <v>46777</v>
      </c>
      <c r="E10782" s="131" t="s">
        <v>40</v>
      </c>
      <c r="F10782" s="133" t="s">
        <v>19</v>
      </c>
      <c r="G10782" s="134" t="n">
        <f aca="false">LEN('Saisie programme'!$E$377)+SUMIFS('Vols additionnels'!$E$7:$E$66,'Vols additionnels'!$C$7:$C$66,$E10782,'Vols additionnels'!$D$7:$D$66,$F10782,'Vols additionnels'!$B$7:$B$66,$D10782)</f>
        <v>0</v>
      </c>
      <c r="H10782" s="135" t="n">
        <f aca="false">$G10782*'Analyse capacite'!$F$8</f>
        <v>0</v>
      </c>
      <c r="I10782" s="135" t="n">
        <f aca="false">$G10782*'Analyse capacite'!$C$8</f>
        <v>0</v>
      </c>
      <c r="J10782" s="135" t="n">
        <f aca="false">$G10782*'Analyse capacite'!$D$8</f>
        <v>0</v>
      </c>
      <c r="K10782" s="135" t="n">
        <f aca="false">$G10782*'Analyse capacite'!$E$8</f>
        <v>0</v>
      </c>
    </row>
    <row r="10783" customFormat="false" ht="15" hidden="false" customHeight="false" outlineLevel="0" collapsed="false">
      <c r="B10783" s="130" t="n">
        <v>2028</v>
      </c>
      <c r="C10783" s="131" t="s">
        <v>255</v>
      </c>
      <c r="D10783" s="132" t="n">
        <v>46777</v>
      </c>
      <c r="E10783" s="131" t="s">
        <v>40</v>
      </c>
      <c r="F10783" s="133" t="s">
        <v>24</v>
      </c>
      <c r="G10783" s="134" t="n">
        <f aca="false">LEN('Saisie programme'!$E$378)+SUMIFS('Vols additionnels'!$E$7:$E$66,'Vols additionnels'!$C$7:$C$66,$E10783,'Vols additionnels'!$D$7:$D$66,$F10783,'Vols additionnels'!$B$7:$B$66,$D10783)</f>
        <v>0</v>
      </c>
      <c r="H10783" s="135" t="n">
        <f aca="false">$G10783*'Analyse capacite'!$F$9</f>
        <v>0</v>
      </c>
      <c r="I10783" s="135" t="n">
        <f aca="false">$G10783*'Analyse capacite'!$C$9</f>
        <v>0</v>
      </c>
      <c r="J10783" s="135" t="n">
        <f aca="false">$G10783*'Analyse capacite'!$D$9</f>
        <v>0</v>
      </c>
      <c r="K10783" s="135" t="n">
        <f aca="false">$G10783*'Analyse capacite'!$E$9</f>
        <v>0</v>
      </c>
    </row>
    <row r="10784" customFormat="false" ht="15" hidden="false" customHeight="false" outlineLevel="0" collapsed="false">
      <c r="B10784" s="130" t="n">
        <v>2028</v>
      </c>
      <c r="C10784" s="131" t="s">
        <v>255</v>
      </c>
      <c r="D10784" s="132" t="n">
        <v>46777</v>
      </c>
      <c r="E10784" s="131" t="s">
        <v>14</v>
      </c>
      <c r="F10784" s="133" t="s">
        <v>11</v>
      </c>
      <c r="G10784" s="134" t="n">
        <f aca="false">LEN('Saisie programme'!$E$379)+SUMIFS('Vols additionnels'!$E$7:$E$66,'Vols additionnels'!$C$7:$C$66,$E10784,'Vols additionnels'!$D$7:$D$66,$F10784,'Vols additionnels'!$B$7:$B$66,$D10784)</f>
        <v>0</v>
      </c>
      <c r="H10784" s="135" t="n">
        <f aca="false">$G10784*'Analyse capacite'!$F$7</f>
        <v>0</v>
      </c>
      <c r="I10784" s="135" t="n">
        <f aca="false">$G10784*'Analyse capacite'!$C$7</f>
        <v>0</v>
      </c>
      <c r="J10784" s="135" t="n">
        <f aca="false">$G10784*'Analyse capacite'!$D$7</f>
        <v>0</v>
      </c>
      <c r="K10784" s="135" t="n">
        <f aca="false">$G10784*'Analyse capacite'!$E$7</f>
        <v>0</v>
      </c>
    </row>
    <row r="10785" customFormat="false" ht="15" hidden="false" customHeight="false" outlineLevel="0" collapsed="false">
      <c r="B10785" s="130" t="n">
        <v>2028</v>
      </c>
      <c r="C10785" s="131" t="s">
        <v>255</v>
      </c>
      <c r="D10785" s="132" t="n">
        <v>46777</v>
      </c>
      <c r="E10785" s="131" t="s">
        <v>14</v>
      </c>
      <c r="F10785" s="133" t="s">
        <v>19</v>
      </c>
      <c r="G10785" s="134" t="n">
        <f aca="false">LEN('Saisie programme'!$E$380)+SUMIFS('Vols additionnels'!$E$7:$E$66,'Vols additionnels'!$C$7:$C$66,$E10785,'Vols additionnels'!$D$7:$D$66,$F10785,'Vols additionnels'!$B$7:$B$66,$D10785)</f>
        <v>0</v>
      </c>
      <c r="H10785" s="135" t="n">
        <f aca="false">$G10785*'Analyse capacite'!$F$8</f>
        <v>0</v>
      </c>
      <c r="I10785" s="135" t="n">
        <f aca="false">$G10785*'Analyse capacite'!$C$8</f>
        <v>0</v>
      </c>
      <c r="J10785" s="135" t="n">
        <f aca="false">$G10785*'Analyse capacite'!$D$8</f>
        <v>0</v>
      </c>
      <c r="K10785" s="135" t="n">
        <f aca="false">$G10785*'Analyse capacite'!$E$8</f>
        <v>0</v>
      </c>
    </row>
    <row r="10786" customFormat="false" ht="15" hidden="false" customHeight="false" outlineLevel="0" collapsed="false">
      <c r="B10786" s="130" t="n">
        <v>2028</v>
      </c>
      <c r="C10786" s="131" t="s">
        <v>255</v>
      </c>
      <c r="D10786" s="132" t="n">
        <v>46777</v>
      </c>
      <c r="E10786" s="131" t="s">
        <v>14</v>
      </c>
      <c r="F10786" s="133" t="s">
        <v>24</v>
      </c>
      <c r="G10786" s="134" t="n">
        <f aca="false">LEN('Saisie programme'!$E$381)+SUMIFS('Vols additionnels'!$E$7:$E$66,'Vols additionnels'!$C$7:$C$66,$E10786,'Vols additionnels'!$D$7:$D$66,$F10786,'Vols additionnels'!$B$7:$B$66,$D10786)</f>
        <v>0</v>
      </c>
      <c r="H10786" s="135" t="n">
        <f aca="false">$G10786*'Analyse capacite'!$F$9</f>
        <v>0</v>
      </c>
      <c r="I10786" s="135" t="n">
        <f aca="false">$G10786*'Analyse capacite'!$C$9</f>
        <v>0</v>
      </c>
      <c r="J10786" s="135" t="n">
        <f aca="false">$G10786*'Analyse capacite'!$D$9</f>
        <v>0</v>
      </c>
      <c r="K10786" s="135" t="n">
        <f aca="false">$G10786*'Analyse capacite'!$E$9</f>
        <v>0</v>
      </c>
    </row>
    <row r="10787" customFormat="false" ht="15" hidden="false" customHeight="false" outlineLevel="0" collapsed="false">
      <c r="B10787" s="130" t="n">
        <v>2028</v>
      </c>
      <c r="C10787" s="131" t="s">
        <v>255</v>
      </c>
      <c r="D10787" s="132" t="n">
        <v>46777</v>
      </c>
      <c r="E10787" s="131" t="s">
        <v>46</v>
      </c>
      <c r="F10787" s="133" t="s">
        <v>11</v>
      </c>
      <c r="G10787" s="134" t="n">
        <f aca="false">LEN('Saisie programme'!$E$382)+SUMIFS('Vols additionnels'!$E$7:$E$66,'Vols additionnels'!$C$7:$C$66,$E10787,'Vols additionnels'!$D$7:$D$66,$F10787,'Vols additionnels'!$B$7:$B$66,$D10787)</f>
        <v>0</v>
      </c>
      <c r="H10787" s="135" t="n">
        <f aca="false">$G10787*'Analyse capacite'!$F$7</f>
        <v>0</v>
      </c>
      <c r="I10787" s="135" t="n">
        <f aca="false">$G10787*'Analyse capacite'!$C$7</f>
        <v>0</v>
      </c>
      <c r="J10787" s="135" t="n">
        <f aca="false">$G10787*'Analyse capacite'!$D$7</f>
        <v>0</v>
      </c>
      <c r="K10787" s="135" t="n">
        <f aca="false">$G10787*'Analyse capacite'!$E$7</f>
        <v>0</v>
      </c>
    </row>
    <row r="10788" customFormat="false" ht="15" hidden="false" customHeight="false" outlineLevel="0" collapsed="false">
      <c r="B10788" s="130" t="n">
        <v>2028</v>
      </c>
      <c r="C10788" s="131" t="s">
        <v>255</v>
      </c>
      <c r="D10788" s="132" t="n">
        <v>46777</v>
      </c>
      <c r="E10788" s="131" t="s">
        <v>46</v>
      </c>
      <c r="F10788" s="133" t="s">
        <v>19</v>
      </c>
      <c r="G10788" s="134" t="n">
        <f aca="false">LEN('Saisie programme'!$E$383)+SUMIFS('Vols additionnels'!$E$7:$E$66,'Vols additionnels'!$C$7:$C$66,$E10788,'Vols additionnels'!$D$7:$D$66,$F10788,'Vols additionnels'!$B$7:$B$66,$D10788)</f>
        <v>0</v>
      </c>
      <c r="H10788" s="135" t="n">
        <f aca="false">$G10788*'Analyse capacite'!$F$8</f>
        <v>0</v>
      </c>
      <c r="I10788" s="135" t="n">
        <f aca="false">$G10788*'Analyse capacite'!$C$8</f>
        <v>0</v>
      </c>
      <c r="J10788" s="135" t="n">
        <f aca="false">$G10788*'Analyse capacite'!$D$8</f>
        <v>0</v>
      </c>
      <c r="K10788" s="135" t="n">
        <f aca="false">$G10788*'Analyse capacite'!$E$8</f>
        <v>0</v>
      </c>
    </row>
    <row r="10789" customFormat="false" ht="15" hidden="false" customHeight="false" outlineLevel="0" collapsed="false">
      <c r="B10789" s="130" t="n">
        <v>2028</v>
      </c>
      <c r="C10789" s="131" t="s">
        <v>255</v>
      </c>
      <c r="D10789" s="132" t="n">
        <v>46777</v>
      </c>
      <c r="E10789" s="131" t="s">
        <v>46</v>
      </c>
      <c r="F10789" s="133" t="s">
        <v>24</v>
      </c>
      <c r="G10789" s="134" t="n">
        <f aca="false">LEN('Saisie programme'!$E$384)+SUMIFS('Vols additionnels'!$E$7:$E$66,'Vols additionnels'!$C$7:$C$66,$E10789,'Vols additionnels'!$D$7:$D$66,$F10789,'Vols additionnels'!$B$7:$B$66,$D10789)</f>
        <v>1</v>
      </c>
      <c r="H10789" s="135" t="n">
        <f aca="false">$G10789*'Analyse capacite'!$F$9</f>
        <v>174</v>
      </c>
      <c r="I10789" s="135" t="n">
        <f aca="false">$G10789*'Analyse capacite'!$C$9</f>
        <v>0</v>
      </c>
      <c r="J10789" s="135" t="n">
        <f aca="false">$G10789*'Analyse capacite'!$D$9</f>
        <v>12</v>
      </c>
      <c r="K10789" s="135" t="n">
        <f aca="false">$G10789*'Analyse capacite'!$E$9</f>
        <v>162</v>
      </c>
    </row>
    <row r="10790" customFormat="false" ht="15" hidden="false" customHeight="false" outlineLevel="0" collapsed="false">
      <c r="B10790" s="130" t="n">
        <v>2028</v>
      </c>
      <c r="C10790" s="131" t="s">
        <v>255</v>
      </c>
      <c r="D10790" s="132" t="n">
        <v>46777</v>
      </c>
      <c r="E10790" s="131" t="s">
        <v>49</v>
      </c>
      <c r="F10790" s="133" t="s">
        <v>11</v>
      </c>
      <c r="G10790" s="134" t="n">
        <f aca="false">LEN('Saisie programme'!$E$385)+SUMIFS('Vols additionnels'!$E$7:$E$66,'Vols additionnels'!$C$7:$C$66,$E10790,'Vols additionnels'!$D$7:$D$66,$F10790,'Vols additionnels'!$B$7:$B$66,$D10790)</f>
        <v>0</v>
      </c>
      <c r="H10790" s="135" t="n">
        <f aca="false">$G10790*'Analyse capacite'!$F$7</f>
        <v>0</v>
      </c>
      <c r="I10790" s="135" t="n">
        <f aca="false">$G10790*'Analyse capacite'!$C$7</f>
        <v>0</v>
      </c>
      <c r="J10790" s="135" t="n">
        <f aca="false">$G10790*'Analyse capacite'!$D$7</f>
        <v>0</v>
      </c>
      <c r="K10790" s="135" t="n">
        <f aca="false">$G10790*'Analyse capacite'!$E$7</f>
        <v>0</v>
      </c>
    </row>
    <row r="10791" customFormat="false" ht="15" hidden="false" customHeight="false" outlineLevel="0" collapsed="false">
      <c r="B10791" s="130" t="n">
        <v>2028</v>
      </c>
      <c r="C10791" s="131" t="s">
        <v>255</v>
      </c>
      <c r="D10791" s="132" t="n">
        <v>46777</v>
      </c>
      <c r="E10791" s="131" t="s">
        <v>49</v>
      </c>
      <c r="F10791" s="133" t="s">
        <v>19</v>
      </c>
      <c r="G10791" s="134" t="n">
        <f aca="false">LEN('Saisie programme'!$E$386)+SUMIFS('Vols additionnels'!$E$7:$E$66,'Vols additionnels'!$C$7:$C$66,$E10791,'Vols additionnels'!$D$7:$D$66,$F10791,'Vols additionnels'!$B$7:$B$66,$D10791)</f>
        <v>0</v>
      </c>
      <c r="H10791" s="135" t="n">
        <f aca="false">$G10791*'Analyse capacite'!$F$8</f>
        <v>0</v>
      </c>
      <c r="I10791" s="135" t="n">
        <f aca="false">$G10791*'Analyse capacite'!$C$8</f>
        <v>0</v>
      </c>
      <c r="J10791" s="135" t="n">
        <f aca="false">$G10791*'Analyse capacite'!$D$8</f>
        <v>0</v>
      </c>
      <c r="K10791" s="135" t="n">
        <f aca="false">$G10791*'Analyse capacite'!$E$8</f>
        <v>0</v>
      </c>
    </row>
    <row r="10792" customFormat="false" ht="15" hidden="false" customHeight="false" outlineLevel="0" collapsed="false">
      <c r="B10792" s="130" t="n">
        <v>2028</v>
      </c>
      <c r="C10792" s="131" t="s">
        <v>255</v>
      </c>
      <c r="D10792" s="132" t="n">
        <v>46777</v>
      </c>
      <c r="E10792" s="131" t="s">
        <v>49</v>
      </c>
      <c r="F10792" s="133" t="s">
        <v>24</v>
      </c>
      <c r="G10792" s="134" t="n">
        <f aca="false">LEN('Saisie programme'!$E$387)+SUMIFS('Vols additionnels'!$E$7:$E$66,'Vols additionnels'!$C$7:$C$66,$E10792,'Vols additionnels'!$D$7:$D$66,$F10792,'Vols additionnels'!$B$7:$B$66,$D10792)</f>
        <v>0</v>
      </c>
      <c r="H10792" s="135" t="n">
        <f aca="false">$G10792*'Analyse capacite'!$F$9</f>
        <v>0</v>
      </c>
      <c r="I10792" s="135" t="n">
        <f aca="false">$G10792*'Analyse capacite'!$C$9</f>
        <v>0</v>
      </c>
      <c r="J10792" s="135" t="n">
        <f aca="false">$G10792*'Analyse capacite'!$D$9</f>
        <v>0</v>
      </c>
      <c r="K10792" s="135" t="n">
        <f aca="false">$G10792*'Analyse capacite'!$E$9</f>
        <v>0</v>
      </c>
    </row>
    <row r="10793" customFormat="false" ht="15" hidden="false" customHeight="false" outlineLevel="0" collapsed="false">
      <c r="B10793" s="130" t="n">
        <v>2028</v>
      </c>
      <c r="C10793" s="131" t="s">
        <v>255</v>
      </c>
      <c r="D10793" s="132" t="n">
        <v>46777</v>
      </c>
      <c r="E10793" s="131" t="s">
        <v>53</v>
      </c>
      <c r="F10793" s="133" t="s">
        <v>11</v>
      </c>
      <c r="G10793" s="134" t="n">
        <f aca="false">LEN('Saisie programme'!$E$388)+SUMIFS('Vols additionnels'!$E$7:$E$66,'Vols additionnels'!$C$7:$C$66,$E10793,'Vols additionnels'!$D$7:$D$66,$F10793,'Vols additionnels'!$B$7:$B$66,$D10793)</f>
        <v>0</v>
      </c>
      <c r="H10793" s="135" t="n">
        <f aca="false">$G10793*'Analyse capacite'!$F$7</f>
        <v>0</v>
      </c>
      <c r="I10793" s="135" t="n">
        <f aca="false">$G10793*'Analyse capacite'!$C$7</f>
        <v>0</v>
      </c>
      <c r="J10793" s="135" t="n">
        <f aca="false">$G10793*'Analyse capacite'!$D$7</f>
        <v>0</v>
      </c>
      <c r="K10793" s="135" t="n">
        <f aca="false">$G10793*'Analyse capacite'!$E$7</f>
        <v>0</v>
      </c>
    </row>
    <row r="10794" customFormat="false" ht="15" hidden="false" customHeight="false" outlineLevel="0" collapsed="false">
      <c r="B10794" s="130" t="n">
        <v>2028</v>
      </c>
      <c r="C10794" s="131" t="s">
        <v>255</v>
      </c>
      <c r="D10794" s="132" t="n">
        <v>46777</v>
      </c>
      <c r="E10794" s="131" t="s">
        <v>53</v>
      </c>
      <c r="F10794" s="133" t="s">
        <v>19</v>
      </c>
      <c r="G10794" s="134" t="n">
        <f aca="false">LEN('Saisie programme'!$E$389)+SUMIFS('Vols additionnels'!$E$7:$E$66,'Vols additionnels'!$C$7:$C$66,$E10794,'Vols additionnels'!$D$7:$D$66,$F10794,'Vols additionnels'!$B$7:$B$66,$D10794)</f>
        <v>0</v>
      </c>
      <c r="H10794" s="135" t="n">
        <f aca="false">$G10794*'Analyse capacite'!$F$8</f>
        <v>0</v>
      </c>
      <c r="I10794" s="135" t="n">
        <f aca="false">$G10794*'Analyse capacite'!$C$8</f>
        <v>0</v>
      </c>
      <c r="J10794" s="135" t="n">
        <f aca="false">$G10794*'Analyse capacite'!$D$8</f>
        <v>0</v>
      </c>
      <c r="K10794" s="135" t="n">
        <f aca="false">$G10794*'Analyse capacite'!$E$8</f>
        <v>0</v>
      </c>
    </row>
    <row r="10795" customFormat="false" ht="15" hidden="false" customHeight="false" outlineLevel="0" collapsed="false">
      <c r="B10795" s="130" t="n">
        <v>2028</v>
      </c>
      <c r="C10795" s="131" t="s">
        <v>255</v>
      </c>
      <c r="D10795" s="132" t="n">
        <v>46777</v>
      </c>
      <c r="E10795" s="131" t="s">
        <v>53</v>
      </c>
      <c r="F10795" s="133" t="s">
        <v>24</v>
      </c>
      <c r="G10795" s="134" t="n">
        <f aca="false">LEN('Saisie programme'!$E$390)+SUMIFS('Vols additionnels'!$E$7:$E$66,'Vols additionnels'!$C$7:$C$66,$E10795,'Vols additionnels'!$D$7:$D$66,$F10795,'Vols additionnels'!$B$7:$B$66,$D10795)</f>
        <v>0</v>
      </c>
      <c r="H10795" s="135" t="n">
        <f aca="false">$G10795*'Analyse capacite'!$F$9</f>
        <v>0</v>
      </c>
      <c r="I10795" s="135" t="n">
        <f aca="false">$G10795*'Analyse capacite'!$C$9</f>
        <v>0</v>
      </c>
      <c r="J10795" s="135" t="n">
        <f aca="false">$G10795*'Analyse capacite'!$D$9</f>
        <v>0</v>
      </c>
      <c r="K10795" s="135" t="n">
        <f aca="false">$G10795*'Analyse capacite'!$E$9</f>
        <v>0</v>
      </c>
    </row>
    <row r="10796" customFormat="false" ht="15" hidden="false" customHeight="false" outlineLevel="0" collapsed="false">
      <c r="B10796" s="130" t="n">
        <v>2028</v>
      </c>
      <c r="C10796" s="131" t="s">
        <v>255</v>
      </c>
      <c r="D10796" s="132" t="n">
        <v>46777</v>
      </c>
      <c r="E10796" s="131" t="s">
        <v>56</v>
      </c>
      <c r="F10796" s="133" t="s">
        <v>11</v>
      </c>
      <c r="G10796" s="134" t="n">
        <f aca="false">LEN('Saisie programme'!$E$391)+SUMIFS('Vols additionnels'!$E$7:$E$66,'Vols additionnels'!$C$7:$C$66,$E10796,'Vols additionnels'!$D$7:$D$66,$F10796,'Vols additionnels'!$B$7:$B$66,$D10796)</f>
        <v>0</v>
      </c>
      <c r="H10796" s="135" t="n">
        <f aca="false">$G10796*'Analyse capacite'!$F$7</f>
        <v>0</v>
      </c>
      <c r="I10796" s="135" t="n">
        <f aca="false">$G10796*'Analyse capacite'!$C$7</f>
        <v>0</v>
      </c>
      <c r="J10796" s="135" t="n">
        <f aca="false">$G10796*'Analyse capacite'!$D$7</f>
        <v>0</v>
      </c>
      <c r="K10796" s="135" t="n">
        <f aca="false">$G10796*'Analyse capacite'!$E$7</f>
        <v>0</v>
      </c>
    </row>
    <row r="10797" customFormat="false" ht="15" hidden="false" customHeight="false" outlineLevel="0" collapsed="false">
      <c r="B10797" s="130" t="n">
        <v>2028</v>
      </c>
      <c r="C10797" s="131" t="s">
        <v>255</v>
      </c>
      <c r="D10797" s="132" t="n">
        <v>46777</v>
      </c>
      <c r="E10797" s="131" t="s">
        <v>56</v>
      </c>
      <c r="F10797" s="133" t="s">
        <v>19</v>
      </c>
      <c r="G10797" s="134" t="n">
        <f aca="false">LEN('Saisie programme'!$E$392)+SUMIFS('Vols additionnels'!$E$7:$E$66,'Vols additionnels'!$C$7:$C$66,$E10797,'Vols additionnels'!$D$7:$D$66,$F10797,'Vols additionnels'!$B$7:$B$66,$D10797)</f>
        <v>0</v>
      </c>
      <c r="H10797" s="135" t="n">
        <f aca="false">$G10797*'Analyse capacite'!$F$8</f>
        <v>0</v>
      </c>
      <c r="I10797" s="135" t="n">
        <f aca="false">$G10797*'Analyse capacite'!$C$8</f>
        <v>0</v>
      </c>
      <c r="J10797" s="135" t="n">
        <f aca="false">$G10797*'Analyse capacite'!$D$8</f>
        <v>0</v>
      </c>
      <c r="K10797" s="135" t="n">
        <f aca="false">$G10797*'Analyse capacite'!$E$8</f>
        <v>0</v>
      </c>
    </row>
    <row r="10798" customFormat="false" ht="15" hidden="false" customHeight="false" outlineLevel="0" collapsed="false">
      <c r="B10798" s="130" t="n">
        <v>2028</v>
      </c>
      <c r="C10798" s="131" t="s">
        <v>255</v>
      </c>
      <c r="D10798" s="132" t="n">
        <v>46777</v>
      </c>
      <c r="E10798" s="131" t="s">
        <v>56</v>
      </c>
      <c r="F10798" s="133" t="s">
        <v>24</v>
      </c>
      <c r="G10798" s="134" t="n">
        <f aca="false">LEN('Saisie programme'!$E$393)+SUMIFS('Vols additionnels'!$E$7:$E$66,'Vols additionnels'!$C$7:$C$66,$E10798,'Vols additionnels'!$D$7:$D$66,$F10798,'Vols additionnels'!$B$7:$B$66,$D10798)</f>
        <v>1</v>
      </c>
      <c r="H10798" s="135" t="n">
        <f aca="false">$G10798*'Analyse capacite'!$F$9</f>
        <v>174</v>
      </c>
      <c r="I10798" s="135" t="n">
        <f aca="false">$G10798*'Analyse capacite'!$C$9</f>
        <v>0</v>
      </c>
      <c r="J10798" s="135" t="n">
        <f aca="false">$G10798*'Analyse capacite'!$D$9</f>
        <v>12</v>
      </c>
      <c r="K10798" s="135" t="n">
        <f aca="false">$G10798*'Analyse capacite'!$E$9</f>
        <v>162</v>
      </c>
    </row>
    <row r="10799" customFormat="false" ht="15" hidden="false" customHeight="false" outlineLevel="0" collapsed="false">
      <c r="B10799" s="130" t="n">
        <v>2028</v>
      </c>
      <c r="C10799" s="131" t="s">
        <v>255</v>
      </c>
      <c r="D10799" s="132" t="n">
        <v>46777</v>
      </c>
      <c r="E10799" s="131" t="s">
        <v>59</v>
      </c>
      <c r="F10799" s="133" t="s">
        <v>11</v>
      </c>
      <c r="G10799" s="134" t="n">
        <f aca="false">LEN('Saisie programme'!$E$394)+SUMIFS('Vols additionnels'!$E$7:$E$66,'Vols additionnels'!$C$7:$C$66,$E10799,'Vols additionnels'!$D$7:$D$66,$F10799,'Vols additionnels'!$B$7:$B$66,$D10799)</f>
        <v>0</v>
      </c>
      <c r="H10799" s="135" t="n">
        <f aca="false">$G10799*'Analyse capacite'!$F$7</f>
        <v>0</v>
      </c>
      <c r="I10799" s="135" t="n">
        <f aca="false">$G10799*'Analyse capacite'!$C$7</f>
        <v>0</v>
      </c>
      <c r="J10799" s="135" t="n">
        <f aca="false">$G10799*'Analyse capacite'!$D$7</f>
        <v>0</v>
      </c>
      <c r="K10799" s="135" t="n">
        <f aca="false">$G10799*'Analyse capacite'!$E$7</f>
        <v>0</v>
      </c>
    </row>
    <row r="10800" customFormat="false" ht="15" hidden="false" customHeight="false" outlineLevel="0" collapsed="false">
      <c r="B10800" s="130" t="n">
        <v>2028</v>
      </c>
      <c r="C10800" s="131" t="s">
        <v>255</v>
      </c>
      <c r="D10800" s="132" t="n">
        <v>46777</v>
      </c>
      <c r="E10800" s="131" t="s">
        <v>59</v>
      </c>
      <c r="F10800" s="133" t="s">
        <v>19</v>
      </c>
      <c r="G10800" s="134" t="n">
        <f aca="false">LEN('Saisie programme'!$E$395)+SUMIFS('Vols additionnels'!$E$7:$E$66,'Vols additionnels'!$C$7:$C$66,$E10800,'Vols additionnels'!$D$7:$D$66,$F10800,'Vols additionnels'!$B$7:$B$66,$D10800)</f>
        <v>0</v>
      </c>
      <c r="H10800" s="135" t="n">
        <f aca="false">$G10800*'Analyse capacite'!$F$8</f>
        <v>0</v>
      </c>
      <c r="I10800" s="135" t="n">
        <f aca="false">$G10800*'Analyse capacite'!$C$8</f>
        <v>0</v>
      </c>
      <c r="J10800" s="135" t="n">
        <f aca="false">$G10800*'Analyse capacite'!$D$8</f>
        <v>0</v>
      </c>
      <c r="K10800" s="135" t="n">
        <f aca="false">$G10800*'Analyse capacite'!$E$8</f>
        <v>0</v>
      </c>
    </row>
    <row r="10801" customFormat="false" ht="15" hidden="false" customHeight="false" outlineLevel="0" collapsed="false">
      <c r="B10801" s="130" t="n">
        <v>2028</v>
      </c>
      <c r="C10801" s="131" t="s">
        <v>255</v>
      </c>
      <c r="D10801" s="132" t="n">
        <v>46777</v>
      </c>
      <c r="E10801" s="131" t="s">
        <v>59</v>
      </c>
      <c r="F10801" s="133" t="s">
        <v>24</v>
      </c>
      <c r="G10801" s="134" t="n">
        <f aca="false">LEN('Saisie programme'!$E$396)+SUMIFS('Vols additionnels'!$E$7:$E$66,'Vols additionnels'!$C$7:$C$66,$E10801,'Vols additionnels'!$D$7:$D$66,$F10801,'Vols additionnels'!$B$7:$B$66,$D10801)</f>
        <v>1</v>
      </c>
      <c r="H10801" s="135" t="n">
        <f aca="false">$G10801*'Analyse capacite'!$F$9</f>
        <v>174</v>
      </c>
      <c r="I10801" s="135" t="n">
        <f aca="false">$G10801*'Analyse capacite'!$C$9</f>
        <v>0</v>
      </c>
      <c r="J10801" s="135" t="n">
        <f aca="false">$G10801*'Analyse capacite'!$D$9</f>
        <v>12</v>
      </c>
      <c r="K10801" s="135" t="n">
        <f aca="false">$G10801*'Analyse capacite'!$E$9</f>
        <v>162</v>
      </c>
    </row>
    <row r="10802" customFormat="false" ht="15" hidden="false" customHeight="false" outlineLevel="0" collapsed="false">
      <c r="B10802" s="130" t="n">
        <v>2028</v>
      </c>
      <c r="C10802" s="131" t="s">
        <v>255</v>
      </c>
      <c r="D10802" s="132" t="n">
        <v>46777</v>
      </c>
      <c r="E10802" s="131" t="s">
        <v>62</v>
      </c>
      <c r="F10802" s="133" t="s">
        <v>11</v>
      </c>
      <c r="G10802" s="134" t="n">
        <f aca="false">LEN('Saisie programme'!$E$397)+SUMIFS('Vols additionnels'!$E$7:$E$66,'Vols additionnels'!$C$7:$C$66,$E10802,'Vols additionnels'!$D$7:$D$66,$F10802,'Vols additionnels'!$B$7:$B$66,$D10802)</f>
        <v>0</v>
      </c>
      <c r="H10802" s="135" t="n">
        <f aca="false">$G10802*'Analyse capacite'!$F$7</f>
        <v>0</v>
      </c>
      <c r="I10802" s="135" t="n">
        <f aca="false">$G10802*'Analyse capacite'!$C$7</f>
        <v>0</v>
      </c>
      <c r="J10802" s="135" t="n">
        <f aca="false">$G10802*'Analyse capacite'!$D$7</f>
        <v>0</v>
      </c>
      <c r="K10802" s="135" t="n">
        <f aca="false">$G10802*'Analyse capacite'!$E$7</f>
        <v>0</v>
      </c>
    </row>
    <row r="10803" customFormat="false" ht="15" hidden="false" customHeight="false" outlineLevel="0" collapsed="false">
      <c r="B10803" s="130" t="n">
        <v>2028</v>
      </c>
      <c r="C10803" s="131" t="s">
        <v>255</v>
      </c>
      <c r="D10803" s="132" t="n">
        <v>46777</v>
      </c>
      <c r="E10803" s="131" t="s">
        <v>62</v>
      </c>
      <c r="F10803" s="133" t="s">
        <v>19</v>
      </c>
      <c r="G10803" s="134" t="n">
        <f aca="false">LEN('Saisie programme'!$E$398)+SUMIFS('Vols additionnels'!$E$7:$E$66,'Vols additionnels'!$C$7:$C$66,$E10803,'Vols additionnels'!$D$7:$D$66,$F10803,'Vols additionnels'!$B$7:$B$66,$D10803)</f>
        <v>0</v>
      </c>
      <c r="H10803" s="135" t="n">
        <f aca="false">$G10803*'Analyse capacite'!$F$8</f>
        <v>0</v>
      </c>
      <c r="I10803" s="135" t="n">
        <f aca="false">$G10803*'Analyse capacite'!$C$8</f>
        <v>0</v>
      </c>
      <c r="J10803" s="135" t="n">
        <f aca="false">$G10803*'Analyse capacite'!$D$8</f>
        <v>0</v>
      </c>
      <c r="K10803" s="135" t="n">
        <f aca="false">$G10803*'Analyse capacite'!$E$8</f>
        <v>0</v>
      </c>
    </row>
    <row r="10804" customFormat="false" ht="15" hidden="false" customHeight="false" outlineLevel="0" collapsed="false">
      <c r="B10804" s="130" t="n">
        <v>2028</v>
      </c>
      <c r="C10804" s="131" t="s">
        <v>255</v>
      </c>
      <c r="D10804" s="132" t="n">
        <v>46777</v>
      </c>
      <c r="E10804" s="131" t="s">
        <v>62</v>
      </c>
      <c r="F10804" s="133" t="s">
        <v>24</v>
      </c>
      <c r="G10804" s="134" t="n">
        <f aca="false">LEN('Saisie programme'!$E$399)+SUMIFS('Vols additionnels'!$E$7:$E$66,'Vols additionnels'!$C$7:$C$66,$E10804,'Vols additionnels'!$D$7:$D$66,$F10804,'Vols additionnels'!$B$7:$B$66,$D10804)</f>
        <v>0</v>
      </c>
      <c r="H10804" s="135" t="n">
        <f aca="false">$G10804*'Analyse capacite'!$F$9</f>
        <v>0</v>
      </c>
      <c r="I10804" s="135" t="n">
        <f aca="false">$G10804*'Analyse capacite'!$C$9</f>
        <v>0</v>
      </c>
      <c r="J10804" s="135" t="n">
        <f aca="false">$G10804*'Analyse capacite'!$D$9</f>
        <v>0</v>
      </c>
      <c r="K10804" s="135" t="n">
        <f aca="false">$G10804*'Analyse capacite'!$E$9</f>
        <v>0</v>
      </c>
    </row>
    <row r="10805" customFormat="false" ht="15" hidden="false" customHeight="false" outlineLevel="0" collapsed="false">
      <c r="B10805" s="130" t="n">
        <v>2028</v>
      </c>
      <c r="C10805" s="131" t="s">
        <v>255</v>
      </c>
      <c r="D10805" s="132" t="n">
        <v>46778</v>
      </c>
      <c r="E10805" s="131" t="s">
        <v>12</v>
      </c>
      <c r="F10805" s="133" t="s">
        <v>11</v>
      </c>
      <c r="G10805" s="134" t="n">
        <f aca="false">LEN('Saisie programme'!$F$364)+SUMIFS('Vols additionnels'!$E$7:$E$66,'Vols additionnels'!$C$7:$C$66,$E10805,'Vols additionnels'!$D$7:$D$66,$F10805,'Vols additionnels'!$B$7:$B$66,$D10805)</f>
        <v>1</v>
      </c>
      <c r="H10805" s="135" t="n">
        <f aca="false">$G10805*'Analyse capacite'!$F$7</f>
        <v>438</v>
      </c>
      <c r="I10805" s="135" t="n">
        <f aca="false">$G10805*'Analyse capacite'!$C$7</f>
        <v>14</v>
      </c>
      <c r="J10805" s="135" t="n">
        <f aca="false">$G10805*'Analyse capacite'!$D$7</f>
        <v>40</v>
      </c>
      <c r="K10805" s="135" t="n">
        <f aca="false">$G10805*'Analyse capacite'!$E$7</f>
        <v>384</v>
      </c>
    </row>
    <row r="10806" customFormat="false" ht="15" hidden="false" customHeight="false" outlineLevel="0" collapsed="false">
      <c r="B10806" s="130" t="n">
        <v>2028</v>
      </c>
      <c r="C10806" s="131" t="s">
        <v>255</v>
      </c>
      <c r="D10806" s="132" t="n">
        <v>46778</v>
      </c>
      <c r="E10806" s="131" t="s">
        <v>12</v>
      </c>
      <c r="F10806" s="133" t="s">
        <v>19</v>
      </c>
      <c r="G10806" s="134" t="n">
        <f aca="false">LEN('Saisie programme'!$F$365)+SUMIFS('Vols additionnels'!$E$7:$E$66,'Vols additionnels'!$C$7:$C$66,$E10806,'Vols additionnels'!$D$7:$D$66,$F10806,'Vols additionnels'!$B$7:$B$66,$D10806)</f>
        <v>0</v>
      </c>
      <c r="H10806" s="135" t="n">
        <f aca="false">$G10806*'Analyse capacite'!$F$8</f>
        <v>0</v>
      </c>
      <c r="I10806" s="135" t="n">
        <f aca="false">$G10806*'Analyse capacite'!$C$8</f>
        <v>0</v>
      </c>
      <c r="J10806" s="135" t="n">
        <f aca="false">$G10806*'Analyse capacite'!$D$8</f>
        <v>0</v>
      </c>
      <c r="K10806" s="135" t="n">
        <f aca="false">$G10806*'Analyse capacite'!$E$8</f>
        <v>0</v>
      </c>
    </row>
    <row r="10807" customFormat="false" ht="15" hidden="false" customHeight="false" outlineLevel="0" collapsed="false">
      <c r="B10807" s="130" t="n">
        <v>2028</v>
      </c>
      <c r="C10807" s="131" t="s">
        <v>255</v>
      </c>
      <c r="D10807" s="132" t="n">
        <v>46778</v>
      </c>
      <c r="E10807" s="131" t="s">
        <v>12</v>
      </c>
      <c r="F10807" s="133" t="s">
        <v>24</v>
      </c>
      <c r="G10807" s="134" t="n">
        <f aca="false">LEN('Saisie programme'!$F$366)+SUMIFS('Vols additionnels'!$E$7:$E$66,'Vols additionnels'!$C$7:$C$66,$E10807,'Vols additionnels'!$D$7:$D$66,$F10807,'Vols additionnels'!$B$7:$B$66,$D10807)</f>
        <v>0</v>
      </c>
      <c r="H10807" s="135" t="n">
        <f aca="false">$G10807*'Analyse capacite'!$F$9</f>
        <v>0</v>
      </c>
      <c r="I10807" s="135" t="n">
        <f aca="false">$G10807*'Analyse capacite'!$C$9</f>
        <v>0</v>
      </c>
      <c r="J10807" s="135" t="n">
        <f aca="false">$G10807*'Analyse capacite'!$D$9</f>
        <v>0</v>
      </c>
      <c r="K10807" s="135" t="n">
        <f aca="false">$G10807*'Analyse capacite'!$E$9</f>
        <v>0</v>
      </c>
    </row>
    <row r="10808" customFormat="false" ht="15" hidden="false" customHeight="false" outlineLevel="0" collapsed="false">
      <c r="B10808" s="130" t="n">
        <v>2028</v>
      </c>
      <c r="C10808" s="131" t="s">
        <v>255</v>
      </c>
      <c r="D10808" s="132" t="n">
        <v>46778</v>
      </c>
      <c r="E10808" s="131" t="s">
        <v>20</v>
      </c>
      <c r="F10808" s="133" t="s">
        <v>11</v>
      </c>
      <c r="G10808" s="134" t="n">
        <f aca="false">LEN('Saisie programme'!$F$367)+SUMIFS('Vols additionnels'!$E$7:$E$66,'Vols additionnels'!$C$7:$C$66,$E10808,'Vols additionnels'!$D$7:$D$66,$F10808,'Vols additionnels'!$B$7:$B$66,$D10808)</f>
        <v>0</v>
      </c>
      <c r="H10808" s="135" t="n">
        <f aca="false">$G10808*'Analyse capacite'!$F$7</f>
        <v>0</v>
      </c>
      <c r="I10808" s="135" t="n">
        <f aca="false">$G10808*'Analyse capacite'!$C$7</f>
        <v>0</v>
      </c>
      <c r="J10808" s="135" t="n">
        <f aca="false">$G10808*'Analyse capacite'!$D$7</f>
        <v>0</v>
      </c>
      <c r="K10808" s="135" t="n">
        <f aca="false">$G10808*'Analyse capacite'!$E$7</f>
        <v>0</v>
      </c>
    </row>
    <row r="10809" customFormat="false" ht="15" hidden="false" customHeight="false" outlineLevel="0" collapsed="false">
      <c r="B10809" s="130" t="n">
        <v>2028</v>
      </c>
      <c r="C10809" s="131" t="s">
        <v>255</v>
      </c>
      <c r="D10809" s="132" t="n">
        <v>46778</v>
      </c>
      <c r="E10809" s="131" t="s">
        <v>20</v>
      </c>
      <c r="F10809" s="133" t="s">
        <v>19</v>
      </c>
      <c r="G10809" s="134" t="n">
        <f aca="false">LEN('Saisie programme'!$F$368)+SUMIFS('Vols additionnels'!$E$7:$E$66,'Vols additionnels'!$C$7:$C$66,$E10809,'Vols additionnels'!$D$7:$D$66,$F10809,'Vols additionnels'!$B$7:$B$66,$D10809)</f>
        <v>0</v>
      </c>
      <c r="H10809" s="135" t="n">
        <f aca="false">$G10809*'Analyse capacite'!$F$8</f>
        <v>0</v>
      </c>
      <c r="I10809" s="135" t="n">
        <f aca="false">$G10809*'Analyse capacite'!$C$8</f>
        <v>0</v>
      </c>
      <c r="J10809" s="135" t="n">
        <f aca="false">$G10809*'Analyse capacite'!$D$8</f>
        <v>0</v>
      </c>
      <c r="K10809" s="135" t="n">
        <f aca="false">$G10809*'Analyse capacite'!$E$8</f>
        <v>0</v>
      </c>
    </row>
    <row r="10810" customFormat="false" ht="15" hidden="false" customHeight="false" outlineLevel="0" collapsed="false">
      <c r="B10810" s="130" t="n">
        <v>2028</v>
      </c>
      <c r="C10810" s="131" t="s">
        <v>255</v>
      </c>
      <c r="D10810" s="132" t="n">
        <v>46778</v>
      </c>
      <c r="E10810" s="131" t="s">
        <v>20</v>
      </c>
      <c r="F10810" s="133" t="s">
        <v>24</v>
      </c>
      <c r="G10810" s="134" t="n">
        <f aca="false">LEN('Saisie programme'!$F$369)+SUMIFS('Vols additionnels'!$E$7:$E$66,'Vols additionnels'!$C$7:$C$66,$E10810,'Vols additionnels'!$D$7:$D$66,$F10810,'Vols additionnels'!$B$7:$B$66,$D10810)</f>
        <v>0</v>
      </c>
      <c r="H10810" s="135" t="n">
        <f aca="false">$G10810*'Analyse capacite'!$F$9</f>
        <v>0</v>
      </c>
      <c r="I10810" s="135" t="n">
        <f aca="false">$G10810*'Analyse capacite'!$C$9</f>
        <v>0</v>
      </c>
      <c r="J10810" s="135" t="n">
        <f aca="false">$G10810*'Analyse capacite'!$D$9</f>
        <v>0</v>
      </c>
      <c r="K10810" s="135" t="n">
        <f aca="false">$G10810*'Analyse capacite'!$E$9</f>
        <v>0</v>
      </c>
    </row>
    <row r="10811" customFormat="false" ht="15" hidden="false" customHeight="false" outlineLevel="0" collapsed="false">
      <c r="B10811" s="130" t="n">
        <v>2028</v>
      </c>
      <c r="C10811" s="131" t="s">
        <v>255</v>
      </c>
      <c r="D10811" s="132" t="n">
        <v>46778</v>
      </c>
      <c r="E10811" s="131" t="s">
        <v>25</v>
      </c>
      <c r="F10811" s="133" t="s">
        <v>11</v>
      </c>
      <c r="G10811" s="134" t="n">
        <f aca="false">LEN('Saisie programme'!$F$370)+SUMIFS('Vols additionnels'!$E$7:$E$66,'Vols additionnels'!$C$7:$C$66,$E10811,'Vols additionnels'!$D$7:$D$66,$F10811,'Vols additionnels'!$B$7:$B$66,$D10811)</f>
        <v>0</v>
      </c>
      <c r="H10811" s="135" t="n">
        <f aca="false">$G10811*'Analyse capacite'!$F$7</f>
        <v>0</v>
      </c>
      <c r="I10811" s="135" t="n">
        <f aca="false">$G10811*'Analyse capacite'!$C$7</f>
        <v>0</v>
      </c>
      <c r="J10811" s="135" t="n">
        <f aca="false">$G10811*'Analyse capacite'!$D$7</f>
        <v>0</v>
      </c>
      <c r="K10811" s="135" t="n">
        <f aca="false">$G10811*'Analyse capacite'!$E$7</f>
        <v>0</v>
      </c>
    </row>
    <row r="10812" customFormat="false" ht="15" hidden="false" customHeight="false" outlineLevel="0" collapsed="false">
      <c r="B10812" s="130" t="n">
        <v>2028</v>
      </c>
      <c r="C10812" s="131" t="s">
        <v>255</v>
      </c>
      <c r="D10812" s="132" t="n">
        <v>46778</v>
      </c>
      <c r="E10812" s="131" t="s">
        <v>25</v>
      </c>
      <c r="F10812" s="133" t="s">
        <v>19</v>
      </c>
      <c r="G10812" s="134" t="n">
        <f aca="false">LEN('Saisie programme'!$F$371)+SUMIFS('Vols additionnels'!$E$7:$E$66,'Vols additionnels'!$C$7:$C$66,$E10812,'Vols additionnels'!$D$7:$D$66,$F10812,'Vols additionnels'!$B$7:$B$66,$D10812)</f>
        <v>1</v>
      </c>
      <c r="H10812" s="135" t="n">
        <f aca="false">$G10812*'Analyse capacite'!$F$8</f>
        <v>262</v>
      </c>
      <c r="I10812" s="135" t="n">
        <f aca="false">$G10812*'Analyse capacite'!$C$8</f>
        <v>18</v>
      </c>
      <c r="J10812" s="135" t="n">
        <f aca="false">$G10812*'Analyse capacite'!$D$8</f>
        <v>0</v>
      </c>
      <c r="K10812" s="135" t="n">
        <f aca="false">$G10812*'Analyse capacite'!$E$8</f>
        <v>244</v>
      </c>
    </row>
    <row r="10813" customFormat="false" ht="15" hidden="false" customHeight="false" outlineLevel="0" collapsed="false">
      <c r="B10813" s="130" t="n">
        <v>2028</v>
      </c>
      <c r="C10813" s="131" t="s">
        <v>255</v>
      </c>
      <c r="D10813" s="132" t="n">
        <v>46778</v>
      </c>
      <c r="E10813" s="131" t="s">
        <v>25</v>
      </c>
      <c r="F10813" s="133" t="s">
        <v>24</v>
      </c>
      <c r="G10813" s="134" t="n">
        <f aca="false">LEN('Saisie programme'!$F$372)+SUMIFS('Vols additionnels'!$E$7:$E$66,'Vols additionnels'!$C$7:$C$66,$E10813,'Vols additionnels'!$D$7:$D$66,$F10813,'Vols additionnels'!$B$7:$B$66,$D10813)</f>
        <v>0</v>
      </c>
      <c r="H10813" s="135" t="n">
        <f aca="false">$G10813*'Analyse capacite'!$F$9</f>
        <v>0</v>
      </c>
      <c r="I10813" s="135" t="n">
        <f aca="false">$G10813*'Analyse capacite'!$C$9</f>
        <v>0</v>
      </c>
      <c r="J10813" s="135" t="n">
        <f aca="false">$G10813*'Analyse capacite'!$D$9</f>
        <v>0</v>
      </c>
      <c r="K10813" s="135" t="n">
        <f aca="false">$G10813*'Analyse capacite'!$E$9</f>
        <v>0</v>
      </c>
    </row>
    <row r="10814" customFormat="false" ht="15" hidden="false" customHeight="false" outlineLevel="0" collapsed="false">
      <c r="B10814" s="130" t="n">
        <v>2028</v>
      </c>
      <c r="C10814" s="131" t="s">
        <v>255</v>
      </c>
      <c r="D10814" s="132" t="n">
        <v>46778</v>
      </c>
      <c r="E10814" s="131" t="s">
        <v>36</v>
      </c>
      <c r="F10814" s="133" t="s">
        <v>11</v>
      </c>
      <c r="G10814" s="134" t="n">
        <f aca="false">LEN('Saisie programme'!$F$373)+SUMIFS('Vols additionnels'!$E$7:$E$66,'Vols additionnels'!$C$7:$C$66,$E10814,'Vols additionnels'!$D$7:$D$66,$F10814,'Vols additionnels'!$B$7:$B$66,$D10814)</f>
        <v>0</v>
      </c>
      <c r="H10814" s="135" t="n">
        <f aca="false">$G10814*'Analyse capacite'!$F$7</f>
        <v>0</v>
      </c>
      <c r="I10814" s="135" t="n">
        <f aca="false">$G10814*'Analyse capacite'!$C$7</f>
        <v>0</v>
      </c>
      <c r="J10814" s="135" t="n">
        <f aca="false">$G10814*'Analyse capacite'!$D$7</f>
        <v>0</v>
      </c>
      <c r="K10814" s="135" t="n">
        <f aca="false">$G10814*'Analyse capacite'!$E$7</f>
        <v>0</v>
      </c>
    </row>
    <row r="10815" customFormat="false" ht="15" hidden="false" customHeight="false" outlineLevel="0" collapsed="false">
      <c r="B10815" s="130" t="n">
        <v>2028</v>
      </c>
      <c r="C10815" s="131" t="s">
        <v>255</v>
      </c>
      <c r="D10815" s="132" t="n">
        <v>46778</v>
      </c>
      <c r="E10815" s="131" t="s">
        <v>36</v>
      </c>
      <c r="F10815" s="133" t="s">
        <v>19</v>
      </c>
      <c r="G10815" s="134" t="n">
        <f aca="false">LEN('Saisie programme'!$F$374)+SUMIFS('Vols additionnels'!$E$7:$E$66,'Vols additionnels'!$C$7:$C$66,$E10815,'Vols additionnels'!$D$7:$D$66,$F10815,'Vols additionnels'!$B$7:$B$66,$D10815)</f>
        <v>1</v>
      </c>
      <c r="H10815" s="135" t="n">
        <f aca="false">$G10815*'Analyse capacite'!$F$8</f>
        <v>262</v>
      </c>
      <c r="I10815" s="135" t="n">
        <f aca="false">$G10815*'Analyse capacite'!$C$8</f>
        <v>18</v>
      </c>
      <c r="J10815" s="135" t="n">
        <f aca="false">$G10815*'Analyse capacite'!$D$8</f>
        <v>0</v>
      </c>
      <c r="K10815" s="135" t="n">
        <f aca="false">$G10815*'Analyse capacite'!$E$8</f>
        <v>244</v>
      </c>
    </row>
    <row r="10816" customFormat="false" ht="15" hidden="false" customHeight="false" outlineLevel="0" collapsed="false">
      <c r="B10816" s="130" t="n">
        <v>2028</v>
      </c>
      <c r="C10816" s="131" t="s">
        <v>255</v>
      </c>
      <c r="D10816" s="132" t="n">
        <v>46778</v>
      </c>
      <c r="E10816" s="131" t="s">
        <v>36</v>
      </c>
      <c r="F10816" s="133" t="s">
        <v>24</v>
      </c>
      <c r="G10816" s="134" t="n">
        <f aca="false">LEN('Saisie programme'!$F$375)+SUMIFS('Vols additionnels'!$E$7:$E$66,'Vols additionnels'!$C$7:$C$66,$E10816,'Vols additionnels'!$D$7:$D$66,$F10816,'Vols additionnels'!$B$7:$B$66,$D10816)</f>
        <v>1</v>
      </c>
      <c r="H10816" s="135" t="n">
        <f aca="false">$G10816*'Analyse capacite'!$F$9</f>
        <v>174</v>
      </c>
      <c r="I10816" s="135" t="n">
        <f aca="false">$G10816*'Analyse capacite'!$C$9</f>
        <v>0</v>
      </c>
      <c r="J10816" s="135" t="n">
        <f aca="false">$G10816*'Analyse capacite'!$D$9</f>
        <v>12</v>
      </c>
      <c r="K10816" s="135" t="n">
        <f aca="false">$G10816*'Analyse capacite'!$E$9</f>
        <v>162</v>
      </c>
    </row>
    <row r="10817" customFormat="false" ht="15" hidden="false" customHeight="false" outlineLevel="0" collapsed="false">
      <c r="B10817" s="130" t="n">
        <v>2028</v>
      </c>
      <c r="C10817" s="131" t="s">
        <v>255</v>
      </c>
      <c r="D10817" s="132" t="n">
        <v>46778</v>
      </c>
      <c r="E10817" s="131" t="s">
        <v>40</v>
      </c>
      <c r="F10817" s="133" t="s">
        <v>11</v>
      </c>
      <c r="G10817" s="134" t="n">
        <f aca="false">LEN('Saisie programme'!$F$376)+SUMIFS('Vols additionnels'!$E$7:$E$66,'Vols additionnels'!$C$7:$C$66,$E10817,'Vols additionnels'!$D$7:$D$66,$F10817,'Vols additionnels'!$B$7:$B$66,$D10817)</f>
        <v>0</v>
      </c>
      <c r="H10817" s="135" t="n">
        <f aca="false">$G10817*'Analyse capacite'!$F$7</f>
        <v>0</v>
      </c>
      <c r="I10817" s="135" t="n">
        <f aca="false">$G10817*'Analyse capacite'!$C$7</f>
        <v>0</v>
      </c>
      <c r="J10817" s="135" t="n">
        <f aca="false">$G10817*'Analyse capacite'!$D$7</f>
        <v>0</v>
      </c>
      <c r="K10817" s="135" t="n">
        <f aca="false">$G10817*'Analyse capacite'!$E$7</f>
        <v>0</v>
      </c>
    </row>
    <row r="10818" customFormat="false" ht="15" hidden="false" customHeight="false" outlineLevel="0" collapsed="false">
      <c r="B10818" s="130" t="n">
        <v>2028</v>
      </c>
      <c r="C10818" s="131" t="s">
        <v>255</v>
      </c>
      <c r="D10818" s="132" t="n">
        <v>46778</v>
      </c>
      <c r="E10818" s="131" t="s">
        <v>40</v>
      </c>
      <c r="F10818" s="133" t="s">
        <v>19</v>
      </c>
      <c r="G10818" s="134" t="n">
        <f aca="false">LEN('Saisie programme'!$F$377)+SUMIFS('Vols additionnels'!$E$7:$E$66,'Vols additionnels'!$C$7:$C$66,$E10818,'Vols additionnels'!$D$7:$D$66,$F10818,'Vols additionnels'!$B$7:$B$66,$D10818)</f>
        <v>0</v>
      </c>
      <c r="H10818" s="135" t="n">
        <f aca="false">$G10818*'Analyse capacite'!$F$8</f>
        <v>0</v>
      </c>
      <c r="I10818" s="135" t="n">
        <f aca="false">$G10818*'Analyse capacite'!$C$8</f>
        <v>0</v>
      </c>
      <c r="J10818" s="135" t="n">
        <f aca="false">$G10818*'Analyse capacite'!$D$8</f>
        <v>0</v>
      </c>
      <c r="K10818" s="135" t="n">
        <f aca="false">$G10818*'Analyse capacite'!$E$8</f>
        <v>0</v>
      </c>
    </row>
    <row r="10819" customFormat="false" ht="15" hidden="false" customHeight="false" outlineLevel="0" collapsed="false">
      <c r="B10819" s="130" t="n">
        <v>2028</v>
      </c>
      <c r="C10819" s="131" t="s">
        <v>255</v>
      </c>
      <c r="D10819" s="132" t="n">
        <v>46778</v>
      </c>
      <c r="E10819" s="131" t="s">
        <v>40</v>
      </c>
      <c r="F10819" s="133" t="s">
        <v>24</v>
      </c>
      <c r="G10819" s="134" t="n">
        <f aca="false">LEN('Saisie programme'!$F$378)+SUMIFS('Vols additionnels'!$E$7:$E$66,'Vols additionnels'!$C$7:$C$66,$E10819,'Vols additionnels'!$D$7:$D$66,$F10819,'Vols additionnels'!$B$7:$B$66,$D10819)</f>
        <v>1</v>
      </c>
      <c r="H10819" s="135" t="n">
        <f aca="false">$G10819*'Analyse capacite'!$F$9</f>
        <v>174</v>
      </c>
      <c r="I10819" s="135" t="n">
        <f aca="false">$G10819*'Analyse capacite'!$C$9</f>
        <v>0</v>
      </c>
      <c r="J10819" s="135" t="n">
        <f aca="false">$G10819*'Analyse capacite'!$D$9</f>
        <v>12</v>
      </c>
      <c r="K10819" s="135" t="n">
        <f aca="false">$G10819*'Analyse capacite'!$E$9</f>
        <v>162</v>
      </c>
    </row>
    <row r="10820" customFormat="false" ht="15" hidden="false" customHeight="false" outlineLevel="0" collapsed="false">
      <c r="B10820" s="130" t="n">
        <v>2028</v>
      </c>
      <c r="C10820" s="131" t="s">
        <v>255</v>
      </c>
      <c r="D10820" s="132" t="n">
        <v>46778</v>
      </c>
      <c r="E10820" s="131" t="s">
        <v>14</v>
      </c>
      <c r="F10820" s="133" t="s">
        <v>11</v>
      </c>
      <c r="G10820" s="134" t="n">
        <f aca="false">LEN('Saisie programme'!$F$379)+SUMIFS('Vols additionnels'!$E$7:$E$66,'Vols additionnels'!$C$7:$C$66,$E10820,'Vols additionnels'!$D$7:$D$66,$F10820,'Vols additionnels'!$B$7:$B$66,$D10820)</f>
        <v>0</v>
      </c>
      <c r="H10820" s="135" t="n">
        <f aca="false">$G10820*'Analyse capacite'!$F$7</f>
        <v>0</v>
      </c>
      <c r="I10820" s="135" t="n">
        <f aca="false">$G10820*'Analyse capacite'!$C$7</f>
        <v>0</v>
      </c>
      <c r="J10820" s="135" t="n">
        <f aca="false">$G10820*'Analyse capacite'!$D$7</f>
        <v>0</v>
      </c>
      <c r="K10820" s="135" t="n">
        <f aca="false">$G10820*'Analyse capacite'!$E$7</f>
        <v>0</v>
      </c>
    </row>
    <row r="10821" customFormat="false" ht="15" hidden="false" customHeight="false" outlineLevel="0" collapsed="false">
      <c r="B10821" s="130" t="n">
        <v>2028</v>
      </c>
      <c r="C10821" s="131" t="s">
        <v>255</v>
      </c>
      <c r="D10821" s="132" t="n">
        <v>46778</v>
      </c>
      <c r="E10821" s="131" t="s">
        <v>14</v>
      </c>
      <c r="F10821" s="133" t="s">
        <v>19</v>
      </c>
      <c r="G10821" s="134" t="n">
        <f aca="false">LEN('Saisie programme'!$F$380)+SUMIFS('Vols additionnels'!$E$7:$E$66,'Vols additionnels'!$C$7:$C$66,$E10821,'Vols additionnels'!$D$7:$D$66,$F10821,'Vols additionnels'!$B$7:$B$66,$D10821)</f>
        <v>0</v>
      </c>
      <c r="H10821" s="135" t="n">
        <f aca="false">$G10821*'Analyse capacite'!$F$8</f>
        <v>0</v>
      </c>
      <c r="I10821" s="135" t="n">
        <f aca="false">$G10821*'Analyse capacite'!$C$8</f>
        <v>0</v>
      </c>
      <c r="J10821" s="135" t="n">
        <f aca="false">$G10821*'Analyse capacite'!$D$8</f>
        <v>0</v>
      </c>
      <c r="K10821" s="135" t="n">
        <f aca="false">$G10821*'Analyse capacite'!$E$8</f>
        <v>0</v>
      </c>
    </row>
    <row r="10822" customFormat="false" ht="15" hidden="false" customHeight="false" outlineLevel="0" collapsed="false">
      <c r="B10822" s="130" t="n">
        <v>2028</v>
      </c>
      <c r="C10822" s="131" t="s">
        <v>255</v>
      </c>
      <c r="D10822" s="132" t="n">
        <v>46778</v>
      </c>
      <c r="E10822" s="131" t="s">
        <v>14</v>
      </c>
      <c r="F10822" s="133" t="s">
        <v>24</v>
      </c>
      <c r="G10822" s="134" t="n">
        <f aca="false">LEN('Saisie programme'!$F$381)+SUMIFS('Vols additionnels'!$E$7:$E$66,'Vols additionnels'!$C$7:$C$66,$E10822,'Vols additionnels'!$D$7:$D$66,$F10822,'Vols additionnels'!$B$7:$B$66,$D10822)</f>
        <v>0</v>
      </c>
      <c r="H10822" s="135" t="n">
        <f aca="false">$G10822*'Analyse capacite'!$F$9</f>
        <v>0</v>
      </c>
      <c r="I10822" s="135" t="n">
        <f aca="false">$G10822*'Analyse capacite'!$C$9</f>
        <v>0</v>
      </c>
      <c r="J10822" s="135" t="n">
        <f aca="false">$G10822*'Analyse capacite'!$D$9</f>
        <v>0</v>
      </c>
      <c r="K10822" s="135" t="n">
        <f aca="false">$G10822*'Analyse capacite'!$E$9</f>
        <v>0</v>
      </c>
    </row>
    <row r="10823" customFormat="false" ht="15" hidden="false" customHeight="false" outlineLevel="0" collapsed="false">
      <c r="B10823" s="130" t="n">
        <v>2028</v>
      </c>
      <c r="C10823" s="131" t="s">
        <v>255</v>
      </c>
      <c r="D10823" s="132" t="n">
        <v>46778</v>
      </c>
      <c r="E10823" s="131" t="s">
        <v>46</v>
      </c>
      <c r="F10823" s="133" t="s">
        <v>11</v>
      </c>
      <c r="G10823" s="134" t="n">
        <f aca="false">LEN('Saisie programme'!$F$382)+SUMIFS('Vols additionnels'!$E$7:$E$66,'Vols additionnels'!$C$7:$C$66,$E10823,'Vols additionnels'!$D$7:$D$66,$F10823,'Vols additionnels'!$B$7:$B$66,$D10823)</f>
        <v>0</v>
      </c>
      <c r="H10823" s="135" t="n">
        <f aca="false">$G10823*'Analyse capacite'!$F$7</f>
        <v>0</v>
      </c>
      <c r="I10823" s="135" t="n">
        <f aca="false">$G10823*'Analyse capacite'!$C$7</f>
        <v>0</v>
      </c>
      <c r="J10823" s="135" t="n">
        <f aca="false">$G10823*'Analyse capacite'!$D$7</f>
        <v>0</v>
      </c>
      <c r="K10823" s="135" t="n">
        <f aca="false">$G10823*'Analyse capacite'!$E$7</f>
        <v>0</v>
      </c>
    </row>
    <row r="10824" customFormat="false" ht="15" hidden="false" customHeight="false" outlineLevel="0" collapsed="false">
      <c r="B10824" s="130" t="n">
        <v>2028</v>
      </c>
      <c r="C10824" s="131" t="s">
        <v>255</v>
      </c>
      <c r="D10824" s="132" t="n">
        <v>46778</v>
      </c>
      <c r="E10824" s="131" t="s">
        <v>46</v>
      </c>
      <c r="F10824" s="133" t="s">
        <v>19</v>
      </c>
      <c r="G10824" s="134" t="n">
        <f aca="false">LEN('Saisie programme'!$F$383)+SUMIFS('Vols additionnels'!$E$7:$E$66,'Vols additionnels'!$C$7:$C$66,$E10824,'Vols additionnels'!$D$7:$D$66,$F10824,'Vols additionnels'!$B$7:$B$66,$D10824)</f>
        <v>0</v>
      </c>
      <c r="H10824" s="135" t="n">
        <f aca="false">$G10824*'Analyse capacite'!$F$8</f>
        <v>0</v>
      </c>
      <c r="I10824" s="135" t="n">
        <f aca="false">$G10824*'Analyse capacite'!$C$8</f>
        <v>0</v>
      </c>
      <c r="J10824" s="135" t="n">
        <f aca="false">$G10824*'Analyse capacite'!$D$8</f>
        <v>0</v>
      </c>
      <c r="K10824" s="135" t="n">
        <f aca="false">$G10824*'Analyse capacite'!$E$8</f>
        <v>0</v>
      </c>
    </row>
    <row r="10825" customFormat="false" ht="15" hidden="false" customHeight="false" outlineLevel="0" collapsed="false">
      <c r="B10825" s="130" t="n">
        <v>2028</v>
      </c>
      <c r="C10825" s="131" t="s">
        <v>255</v>
      </c>
      <c r="D10825" s="132" t="n">
        <v>46778</v>
      </c>
      <c r="E10825" s="131" t="s">
        <v>46</v>
      </c>
      <c r="F10825" s="133" t="s">
        <v>24</v>
      </c>
      <c r="G10825" s="134" t="n">
        <f aca="false">LEN('Saisie programme'!$F$384)+SUMIFS('Vols additionnels'!$E$7:$E$66,'Vols additionnels'!$C$7:$C$66,$E10825,'Vols additionnels'!$D$7:$D$66,$F10825,'Vols additionnels'!$B$7:$B$66,$D10825)</f>
        <v>0</v>
      </c>
      <c r="H10825" s="135" t="n">
        <f aca="false">$G10825*'Analyse capacite'!$F$9</f>
        <v>0</v>
      </c>
      <c r="I10825" s="135" t="n">
        <f aca="false">$G10825*'Analyse capacite'!$C$9</f>
        <v>0</v>
      </c>
      <c r="J10825" s="135" t="n">
        <f aca="false">$G10825*'Analyse capacite'!$D$9</f>
        <v>0</v>
      </c>
      <c r="K10825" s="135" t="n">
        <f aca="false">$G10825*'Analyse capacite'!$E$9</f>
        <v>0</v>
      </c>
    </row>
    <row r="10826" customFormat="false" ht="15" hidden="false" customHeight="false" outlineLevel="0" collapsed="false">
      <c r="B10826" s="130" t="n">
        <v>2028</v>
      </c>
      <c r="C10826" s="131" t="s">
        <v>255</v>
      </c>
      <c r="D10826" s="132" t="n">
        <v>46778</v>
      </c>
      <c r="E10826" s="131" t="s">
        <v>49</v>
      </c>
      <c r="F10826" s="133" t="s">
        <v>11</v>
      </c>
      <c r="G10826" s="134" t="n">
        <f aca="false">LEN('Saisie programme'!$F$385)+SUMIFS('Vols additionnels'!$E$7:$E$66,'Vols additionnels'!$C$7:$C$66,$E10826,'Vols additionnels'!$D$7:$D$66,$F10826,'Vols additionnels'!$B$7:$B$66,$D10826)</f>
        <v>0</v>
      </c>
      <c r="H10826" s="135" t="n">
        <f aca="false">$G10826*'Analyse capacite'!$F$7</f>
        <v>0</v>
      </c>
      <c r="I10826" s="135" t="n">
        <f aca="false">$G10826*'Analyse capacite'!$C$7</f>
        <v>0</v>
      </c>
      <c r="J10826" s="135" t="n">
        <f aca="false">$G10826*'Analyse capacite'!$D$7</f>
        <v>0</v>
      </c>
      <c r="K10826" s="135" t="n">
        <f aca="false">$G10826*'Analyse capacite'!$E$7</f>
        <v>0</v>
      </c>
    </row>
    <row r="10827" customFormat="false" ht="15" hidden="false" customHeight="false" outlineLevel="0" collapsed="false">
      <c r="B10827" s="130" t="n">
        <v>2028</v>
      </c>
      <c r="C10827" s="131" t="s">
        <v>255</v>
      </c>
      <c r="D10827" s="132" t="n">
        <v>46778</v>
      </c>
      <c r="E10827" s="131" t="s">
        <v>49</v>
      </c>
      <c r="F10827" s="133" t="s">
        <v>19</v>
      </c>
      <c r="G10827" s="134" t="n">
        <f aca="false">LEN('Saisie programme'!$F$386)+SUMIFS('Vols additionnels'!$E$7:$E$66,'Vols additionnels'!$C$7:$C$66,$E10827,'Vols additionnels'!$D$7:$D$66,$F10827,'Vols additionnels'!$B$7:$B$66,$D10827)</f>
        <v>0</v>
      </c>
      <c r="H10827" s="135" t="n">
        <f aca="false">$G10827*'Analyse capacite'!$F$8</f>
        <v>0</v>
      </c>
      <c r="I10827" s="135" t="n">
        <f aca="false">$G10827*'Analyse capacite'!$C$8</f>
        <v>0</v>
      </c>
      <c r="J10827" s="135" t="n">
        <f aca="false">$G10827*'Analyse capacite'!$D$8</f>
        <v>0</v>
      </c>
      <c r="K10827" s="135" t="n">
        <f aca="false">$G10827*'Analyse capacite'!$E$8</f>
        <v>0</v>
      </c>
    </row>
    <row r="10828" customFormat="false" ht="15" hidden="false" customHeight="false" outlineLevel="0" collapsed="false">
      <c r="B10828" s="130" t="n">
        <v>2028</v>
      </c>
      <c r="C10828" s="131" t="s">
        <v>255</v>
      </c>
      <c r="D10828" s="132" t="n">
        <v>46778</v>
      </c>
      <c r="E10828" s="131" t="s">
        <v>49</v>
      </c>
      <c r="F10828" s="133" t="s">
        <v>24</v>
      </c>
      <c r="G10828" s="134" t="n">
        <f aca="false">LEN('Saisie programme'!$F$387)+SUMIFS('Vols additionnels'!$E$7:$E$66,'Vols additionnels'!$C$7:$C$66,$E10828,'Vols additionnels'!$D$7:$D$66,$F10828,'Vols additionnels'!$B$7:$B$66,$D10828)</f>
        <v>0</v>
      </c>
      <c r="H10828" s="135" t="n">
        <f aca="false">$G10828*'Analyse capacite'!$F$9</f>
        <v>0</v>
      </c>
      <c r="I10828" s="135" t="n">
        <f aca="false">$G10828*'Analyse capacite'!$C$9</f>
        <v>0</v>
      </c>
      <c r="J10828" s="135" t="n">
        <f aca="false">$G10828*'Analyse capacite'!$D$9</f>
        <v>0</v>
      </c>
      <c r="K10828" s="135" t="n">
        <f aca="false">$G10828*'Analyse capacite'!$E$9</f>
        <v>0</v>
      </c>
    </row>
    <row r="10829" customFormat="false" ht="15" hidden="false" customHeight="false" outlineLevel="0" collapsed="false">
      <c r="B10829" s="130" t="n">
        <v>2028</v>
      </c>
      <c r="C10829" s="131" t="s">
        <v>255</v>
      </c>
      <c r="D10829" s="132" t="n">
        <v>46778</v>
      </c>
      <c r="E10829" s="131" t="s">
        <v>53</v>
      </c>
      <c r="F10829" s="133" t="s">
        <v>11</v>
      </c>
      <c r="G10829" s="134" t="n">
        <f aca="false">LEN('Saisie programme'!$F$388)+SUMIFS('Vols additionnels'!$E$7:$E$66,'Vols additionnels'!$C$7:$C$66,$E10829,'Vols additionnels'!$D$7:$D$66,$F10829,'Vols additionnels'!$B$7:$B$66,$D10829)</f>
        <v>0</v>
      </c>
      <c r="H10829" s="135" t="n">
        <f aca="false">$G10829*'Analyse capacite'!$F$7</f>
        <v>0</v>
      </c>
      <c r="I10829" s="135" t="n">
        <f aca="false">$G10829*'Analyse capacite'!$C$7</f>
        <v>0</v>
      </c>
      <c r="J10829" s="135" t="n">
        <f aca="false">$G10829*'Analyse capacite'!$D$7</f>
        <v>0</v>
      </c>
      <c r="K10829" s="135" t="n">
        <f aca="false">$G10829*'Analyse capacite'!$E$7</f>
        <v>0</v>
      </c>
    </row>
    <row r="10830" customFormat="false" ht="15" hidden="false" customHeight="false" outlineLevel="0" collapsed="false">
      <c r="B10830" s="130" t="n">
        <v>2028</v>
      </c>
      <c r="C10830" s="131" t="s">
        <v>255</v>
      </c>
      <c r="D10830" s="132" t="n">
        <v>46778</v>
      </c>
      <c r="E10830" s="131" t="s">
        <v>53</v>
      </c>
      <c r="F10830" s="133" t="s">
        <v>19</v>
      </c>
      <c r="G10830" s="134" t="n">
        <f aca="false">LEN('Saisie programme'!$F$389)+SUMIFS('Vols additionnels'!$E$7:$E$66,'Vols additionnels'!$C$7:$C$66,$E10830,'Vols additionnels'!$D$7:$D$66,$F10830,'Vols additionnels'!$B$7:$B$66,$D10830)</f>
        <v>0</v>
      </c>
      <c r="H10830" s="135" t="n">
        <f aca="false">$G10830*'Analyse capacite'!$F$8</f>
        <v>0</v>
      </c>
      <c r="I10830" s="135" t="n">
        <f aca="false">$G10830*'Analyse capacite'!$C$8</f>
        <v>0</v>
      </c>
      <c r="J10830" s="135" t="n">
        <f aca="false">$G10830*'Analyse capacite'!$D$8</f>
        <v>0</v>
      </c>
      <c r="K10830" s="135" t="n">
        <f aca="false">$G10830*'Analyse capacite'!$E$8</f>
        <v>0</v>
      </c>
    </row>
    <row r="10831" customFormat="false" ht="15" hidden="false" customHeight="false" outlineLevel="0" collapsed="false">
      <c r="B10831" s="130" t="n">
        <v>2028</v>
      </c>
      <c r="C10831" s="131" t="s">
        <v>255</v>
      </c>
      <c r="D10831" s="132" t="n">
        <v>46778</v>
      </c>
      <c r="E10831" s="131" t="s">
        <v>53</v>
      </c>
      <c r="F10831" s="133" t="s">
        <v>24</v>
      </c>
      <c r="G10831" s="134" t="n">
        <f aca="false">LEN('Saisie programme'!$F$390)+SUMIFS('Vols additionnels'!$E$7:$E$66,'Vols additionnels'!$C$7:$C$66,$E10831,'Vols additionnels'!$D$7:$D$66,$F10831,'Vols additionnels'!$B$7:$B$66,$D10831)</f>
        <v>0</v>
      </c>
      <c r="H10831" s="135" t="n">
        <f aca="false">$G10831*'Analyse capacite'!$F$9</f>
        <v>0</v>
      </c>
      <c r="I10831" s="135" t="n">
        <f aca="false">$G10831*'Analyse capacite'!$C$9</f>
        <v>0</v>
      </c>
      <c r="J10831" s="135" t="n">
        <f aca="false">$G10831*'Analyse capacite'!$D$9</f>
        <v>0</v>
      </c>
      <c r="K10831" s="135" t="n">
        <f aca="false">$G10831*'Analyse capacite'!$E$9</f>
        <v>0</v>
      </c>
    </row>
    <row r="10832" customFormat="false" ht="15" hidden="false" customHeight="false" outlineLevel="0" collapsed="false">
      <c r="B10832" s="130" t="n">
        <v>2028</v>
      </c>
      <c r="C10832" s="131" t="s">
        <v>255</v>
      </c>
      <c r="D10832" s="132" t="n">
        <v>46778</v>
      </c>
      <c r="E10832" s="131" t="s">
        <v>56</v>
      </c>
      <c r="F10832" s="133" t="s">
        <v>11</v>
      </c>
      <c r="G10832" s="134" t="n">
        <f aca="false">LEN('Saisie programme'!$F$391)+SUMIFS('Vols additionnels'!$E$7:$E$66,'Vols additionnels'!$C$7:$C$66,$E10832,'Vols additionnels'!$D$7:$D$66,$F10832,'Vols additionnels'!$B$7:$B$66,$D10832)</f>
        <v>0</v>
      </c>
      <c r="H10832" s="135" t="n">
        <f aca="false">$G10832*'Analyse capacite'!$F$7</f>
        <v>0</v>
      </c>
      <c r="I10832" s="135" t="n">
        <f aca="false">$G10832*'Analyse capacite'!$C$7</f>
        <v>0</v>
      </c>
      <c r="J10832" s="135" t="n">
        <f aca="false">$G10832*'Analyse capacite'!$D$7</f>
        <v>0</v>
      </c>
      <c r="K10832" s="135" t="n">
        <f aca="false">$G10832*'Analyse capacite'!$E$7</f>
        <v>0</v>
      </c>
    </row>
    <row r="10833" customFormat="false" ht="15" hidden="false" customHeight="false" outlineLevel="0" collapsed="false">
      <c r="B10833" s="130" t="n">
        <v>2028</v>
      </c>
      <c r="C10833" s="131" t="s">
        <v>255</v>
      </c>
      <c r="D10833" s="132" t="n">
        <v>46778</v>
      </c>
      <c r="E10833" s="131" t="s">
        <v>56</v>
      </c>
      <c r="F10833" s="133" t="s">
        <v>19</v>
      </c>
      <c r="G10833" s="134" t="n">
        <f aca="false">LEN('Saisie programme'!$F$392)+SUMIFS('Vols additionnels'!$E$7:$E$66,'Vols additionnels'!$C$7:$C$66,$E10833,'Vols additionnels'!$D$7:$D$66,$F10833,'Vols additionnels'!$B$7:$B$66,$D10833)</f>
        <v>0</v>
      </c>
      <c r="H10833" s="135" t="n">
        <f aca="false">$G10833*'Analyse capacite'!$F$8</f>
        <v>0</v>
      </c>
      <c r="I10833" s="135" t="n">
        <f aca="false">$G10833*'Analyse capacite'!$C$8</f>
        <v>0</v>
      </c>
      <c r="J10833" s="135" t="n">
        <f aca="false">$G10833*'Analyse capacite'!$D$8</f>
        <v>0</v>
      </c>
      <c r="K10833" s="135" t="n">
        <f aca="false">$G10833*'Analyse capacite'!$E$8</f>
        <v>0</v>
      </c>
    </row>
    <row r="10834" customFormat="false" ht="15" hidden="false" customHeight="false" outlineLevel="0" collapsed="false">
      <c r="B10834" s="130" t="n">
        <v>2028</v>
      </c>
      <c r="C10834" s="131" t="s">
        <v>255</v>
      </c>
      <c r="D10834" s="132" t="n">
        <v>46778</v>
      </c>
      <c r="E10834" s="131" t="s">
        <v>56</v>
      </c>
      <c r="F10834" s="133" t="s">
        <v>24</v>
      </c>
      <c r="G10834" s="134" t="n">
        <f aca="false">LEN('Saisie programme'!$F$393)+SUMIFS('Vols additionnels'!$E$7:$E$66,'Vols additionnels'!$C$7:$C$66,$E10834,'Vols additionnels'!$D$7:$D$66,$F10834,'Vols additionnels'!$B$7:$B$66,$D10834)</f>
        <v>0</v>
      </c>
      <c r="H10834" s="135" t="n">
        <f aca="false">$G10834*'Analyse capacite'!$F$9</f>
        <v>0</v>
      </c>
      <c r="I10834" s="135" t="n">
        <f aca="false">$G10834*'Analyse capacite'!$C$9</f>
        <v>0</v>
      </c>
      <c r="J10834" s="135" t="n">
        <f aca="false">$G10834*'Analyse capacite'!$D$9</f>
        <v>0</v>
      </c>
      <c r="K10834" s="135" t="n">
        <f aca="false">$G10834*'Analyse capacite'!$E$9</f>
        <v>0</v>
      </c>
    </row>
    <row r="10835" customFormat="false" ht="15" hidden="false" customHeight="false" outlineLevel="0" collapsed="false">
      <c r="B10835" s="130" t="n">
        <v>2028</v>
      </c>
      <c r="C10835" s="131" t="s">
        <v>255</v>
      </c>
      <c r="D10835" s="132" t="n">
        <v>46778</v>
      </c>
      <c r="E10835" s="131" t="s">
        <v>59</v>
      </c>
      <c r="F10835" s="133" t="s">
        <v>11</v>
      </c>
      <c r="G10835" s="134" t="n">
        <f aca="false">LEN('Saisie programme'!$F$394)+SUMIFS('Vols additionnels'!$E$7:$E$66,'Vols additionnels'!$C$7:$C$66,$E10835,'Vols additionnels'!$D$7:$D$66,$F10835,'Vols additionnels'!$B$7:$B$66,$D10835)</f>
        <v>0</v>
      </c>
      <c r="H10835" s="135" t="n">
        <f aca="false">$G10835*'Analyse capacite'!$F$7</f>
        <v>0</v>
      </c>
      <c r="I10835" s="135" t="n">
        <f aca="false">$G10835*'Analyse capacite'!$C$7</f>
        <v>0</v>
      </c>
      <c r="J10835" s="135" t="n">
        <f aca="false">$G10835*'Analyse capacite'!$D$7</f>
        <v>0</v>
      </c>
      <c r="K10835" s="135" t="n">
        <f aca="false">$G10835*'Analyse capacite'!$E$7</f>
        <v>0</v>
      </c>
    </row>
    <row r="10836" customFormat="false" ht="15" hidden="false" customHeight="false" outlineLevel="0" collapsed="false">
      <c r="B10836" s="130" t="n">
        <v>2028</v>
      </c>
      <c r="C10836" s="131" t="s">
        <v>255</v>
      </c>
      <c r="D10836" s="132" t="n">
        <v>46778</v>
      </c>
      <c r="E10836" s="131" t="s">
        <v>59</v>
      </c>
      <c r="F10836" s="133" t="s">
        <v>19</v>
      </c>
      <c r="G10836" s="134" t="n">
        <f aca="false">LEN('Saisie programme'!$F$395)+SUMIFS('Vols additionnels'!$E$7:$E$66,'Vols additionnels'!$C$7:$C$66,$E10836,'Vols additionnels'!$D$7:$D$66,$F10836,'Vols additionnels'!$B$7:$B$66,$D10836)</f>
        <v>0</v>
      </c>
      <c r="H10836" s="135" t="n">
        <f aca="false">$G10836*'Analyse capacite'!$F$8</f>
        <v>0</v>
      </c>
      <c r="I10836" s="135" t="n">
        <f aca="false">$G10836*'Analyse capacite'!$C$8</f>
        <v>0</v>
      </c>
      <c r="J10836" s="135" t="n">
        <f aca="false">$G10836*'Analyse capacite'!$D$8</f>
        <v>0</v>
      </c>
      <c r="K10836" s="135" t="n">
        <f aca="false">$G10836*'Analyse capacite'!$E$8</f>
        <v>0</v>
      </c>
    </row>
    <row r="10837" customFormat="false" ht="15" hidden="false" customHeight="false" outlineLevel="0" collapsed="false">
      <c r="B10837" s="130" t="n">
        <v>2028</v>
      </c>
      <c r="C10837" s="131" t="s">
        <v>255</v>
      </c>
      <c r="D10837" s="132" t="n">
        <v>46778</v>
      </c>
      <c r="E10837" s="131" t="s">
        <v>59</v>
      </c>
      <c r="F10837" s="133" t="s">
        <v>24</v>
      </c>
      <c r="G10837" s="134" t="n">
        <f aca="false">LEN('Saisie programme'!$F$396)+SUMIFS('Vols additionnels'!$E$7:$E$66,'Vols additionnels'!$C$7:$C$66,$E10837,'Vols additionnels'!$D$7:$D$66,$F10837,'Vols additionnels'!$B$7:$B$66,$D10837)</f>
        <v>1</v>
      </c>
      <c r="H10837" s="135" t="n">
        <f aca="false">$G10837*'Analyse capacite'!$F$9</f>
        <v>174</v>
      </c>
      <c r="I10837" s="135" t="n">
        <f aca="false">$G10837*'Analyse capacite'!$C$9</f>
        <v>0</v>
      </c>
      <c r="J10837" s="135" t="n">
        <f aca="false">$G10837*'Analyse capacite'!$D$9</f>
        <v>12</v>
      </c>
      <c r="K10837" s="135" t="n">
        <f aca="false">$G10837*'Analyse capacite'!$E$9</f>
        <v>162</v>
      </c>
    </row>
    <row r="10838" customFormat="false" ht="15" hidden="false" customHeight="false" outlineLevel="0" collapsed="false">
      <c r="B10838" s="130" t="n">
        <v>2028</v>
      </c>
      <c r="C10838" s="131" t="s">
        <v>255</v>
      </c>
      <c r="D10838" s="132" t="n">
        <v>46778</v>
      </c>
      <c r="E10838" s="131" t="s">
        <v>62</v>
      </c>
      <c r="F10838" s="133" t="s">
        <v>11</v>
      </c>
      <c r="G10838" s="134" t="n">
        <f aca="false">LEN('Saisie programme'!$F$397)+SUMIFS('Vols additionnels'!$E$7:$E$66,'Vols additionnels'!$C$7:$C$66,$E10838,'Vols additionnels'!$D$7:$D$66,$F10838,'Vols additionnels'!$B$7:$B$66,$D10838)</f>
        <v>0</v>
      </c>
      <c r="H10838" s="135" t="n">
        <f aca="false">$G10838*'Analyse capacite'!$F$7</f>
        <v>0</v>
      </c>
      <c r="I10838" s="135" t="n">
        <f aca="false">$G10838*'Analyse capacite'!$C$7</f>
        <v>0</v>
      </c>
      <c r="J10838" s="135" t="n">
        <f aca="false">$G10838*'Analyse capacite'!$D$7</f>
        <v>0</v>
      </c>
      <c r="K10838" s="135" t="n">
        <f aca="false">$G10838*'Analyse capacite'!$E$7</f>
        <v>0</v>
      </c>
    </row>
    <row r="10839" customFormat="false" ht="15" hidden="false" customHeight="false" outlineLevel="0" collapsed="false">
      <c r="B10839" s="130" t="n">
        <v>2028</v>
      </c>
      <c r="C10839" s="131" t="s">
        <v>255</v>
      </c>
      <c r="D10839" s="132" t="n">
        <v>46778</v>
      </c>
      <c r="E10839" s="131" t="s">
        <v>62</v>
      </c>
      <c r="F10839" s="133" t="s">
        <v>19</v>
      </c>
      <c r="G10839" s="134" t="n">
        <f aca="false">LEN('Saisie programme'!$F$398)+SUMIFS('Vols additionnels'!$E$7:$E$66,'Vols additionnels'!$C$7:$C$66,$E10839,'Vols additionnels'!$D$7:$D$66,$F10839,'Vols additionnels'!$B$7:$B$66,$D10839)</f>
        <v>0</v>
      </c>
      <c r="H10839" s="135" t="n">
        <f aca="false">$G10839*'Analyse capacite'!$F$8</f>
        <v>0</v>
      </c>
      <c r="I10839" s="135" t="n">
        <f aca="false">$G10839*'Analyse capacite'!$C$8</f>
        <v>0</v>
      </c>
      <c r="J10839" s="135" t="n">
        <f aca="false">$G10839*'Analyse capacite'!$D$8</f>
        <v>0</v>
      </c>
      <c r="K10839" s="135" t="n">
        <f aca="false">$G10839*'Analyse capacite'!$E$8</f>
        <v>0</v>
      </c>
    </row>
    <row r="10840" customFormat="false" ht="15" hidden="false" customHeight="false" outlineLevel="0" collapsed="false">
      <c r="B10840" s="130" t="n">
        <v>2028</v>
      </c>
      <c r="C10840" s="131" t="s">
        <v>255</v>
      </c>
      <c r="D10840" s="132" t="n">
        <v>46778</v>
      </c>
      <c r="E10840" s="131" t="s">
        <v>62</v>
      </c>
      <c r="F10840" s="133" t="s">
        <v>24</v>
      </c>
      <c r="G10840" s="134" t="n">
        <f aca="false">LEN('Saisie programme'!$F$399)+SUMIFS('Vols additionnels'!$E$7:$E$66,'Vols additionnels'!$C$7:$C$66,$E10840,'Vols additionnels'!$D$7:$D$66,$F10840,'Vols additionnels'!$B$7:$B$66,$D10840)</f>
        <v>1</v>
      </c>
      <c r="H10840" s="135" t="n">
        <f aca="false">$G10840*'Analyse capacite'!$F$9</f>
        <v>174</v>
      </c>
      <c r="I10840" s="135" t="n">
        <f aca="false">$G10840*'Analyse capacite'!$C$9</f>
        <v>0</v>
      </c>
      <c r="J10840" s="135" t="n">
        <f aca="false">$G10840*'Analyse capacite'!$D$9</f>
        <v>12</v>
      </c>
      <c r="K10840" s="135" t="n">
        <f aca="false">$G10840*'Analyse capacite'!$E$9</f>
        <v>162</v>
      </c>
    </row>
    <row r="10841" customFormat="false" ht="15" hidden="false" customHeight="false" outlineLevel="0" collapsed="false">
      <c r="B10841" s="130" t="n">
        <v>2028</v>
      </c>
      <c r="C10841" s="131" t="s">
        <v>255</v>
      </c>
      <c r="D10841" s="132" t="n">
        <v>46779</v>
      </c>
      <c r="E10841" s="131" t="s">
        <v>12</v>
      </c>
      <c r="F10841" s="133" t="s">
        <v>11</v>
      </c>
      <c r="G10841" s="134" t="n">
        <f aca="false">LEN('Saisie programme'!$G$364)+SUMIFS('Vols additionnels'!$E$7:$E$66,'Vols additionnels'!$C$7:$C$66,$E10841,'Vols additionnels'!$D$7:$D$66,$F10841,'Vols additionnels'!$B$7:$B$66,$D10841)</f>
        <v>1</v>
      </c>
      <c r="H10841" s="135" t="n">
        <f aca="false">$G10841*'Analyse capacite'!$F$7</f>
        <v>438</v>
      </c>
      <c r="I10841" s="135" t="n">
        <f aca="false">$G10841*'Analyse capacite'!$C$7</f>
        <v>14</v>
      </c>
      <c r="J10841" s="135" t="n">
        <f aca="false">$G10841*'Analyse capacite'!$D$7</f>
        <v>40</v>
      </c>
      <c r="K10841" s="135" t="n">
        <f aca="false">$G10841*'Analyse capacite'!$E$7</f>
        <v>384</v>
      </c>
    </row>
    <row r="10842" customFormat="false" ht="15" hidden="false" customHeight="false" outlineLevel="0" collapsed="false">
      <c r="B10842" s="130" t="n">
        <v>2028</v>
      </c>
      <c r="C10842" s="131" t="s">
        <v>255</v>
      </c>
      <c r="D10842" s="132" t="n">
        <v>46779</v>
      </c>
      <c r="E10842" s="131" t="s">
        <v>12</v>
      </c>
      <c r="F10842" s="133" t="s">
        <v>19</v>
      </c>
      <c r="G10842" s="134" t="n">
        <f aca="false">LEN('Saisie programme'!$G$365)+SUMIFS('Vols additionnels'!$E$7:$E$66,'Vols additionnels'!$C$7:$C$66,$E10842,'Vols additionnels'!$D$7:$D$66,$F10842,'Vols additionnels'!$B$7:$B$66,$D10842)</f>
        <v>0</v>
      </c>
      <c r="H10842" s="135" t="n">
        <f aca="false">$G10842*'Analyse capacite'!$F$8</f>
        <v>0</v>
      </c>
      <c r="I10842" s="135" t="n">
        <f aca="false">$G10842*'Analyse capacite'!$C$8</f>
        <v>0</v>
      </c>
      <c r="J10842" s="135" t="n">
        <f aca="false">$G10842*'Analyse capacite'!$D$8</f>
        <v>0</v>
      </c>
      <c r="K10842" s="135" t="n">
        <f aca="false">$G10842*'Analyse capacite'!$E$8</f>
        <v>0</v>
      </c>
    </row>
    <row r="10843" customFormat="false" ht="15" hidden="false" customHeight="false" outlineLevel="0" collapsed="false">
      <c r="B10843" s="130" t="n">
        <v>2028</v>
      </c>
      <c r="C10843" s="131" t="s">
        <v>255</v>
      </c>
      <c r="D10843" s="132" t="n">
        <v>46779</v>
      </c>
      <c r="E10843" s="131" t="s">
        <v>12</v>
      </c>
      <c r="F10843" s="133" t="s">
        <v>24</v>
      </c>
      <c r="G10843" s="134" t="n">
        <f aca="false">LEN('Saisie programme'!$G$366)+SUMIFS('Vols additionnels'!$E$7:$E$66,'Vols additionnels'!$C$7:$C$66,$E10843,'Vols additionnels'!$D$7:$D$66,$F10843,'Vols additionnels'!$B$7:$B$66,$D10843)</f>
        <v>0</v>
      </c>
      <c r="H10843" s="135" t="n">
        <f aca="false">$G10843*'Analyse capacite'!$F$9</f>
        <v>0</v>
      </c>
      <c r="I10843" s="135" t="n">
        <f aca="false">$G10843*'Analyse capacite'!$C$9</f>
        <v>0</v>
      </c>
      <c r="J10843" s="135" t="n">
        <f aca="false">$G10843*'Analyse capacite'!$D$9</f>
        <v>0</v>
      </c>
      <c r="K10843" s="135" t="n">
        <f aca="false">$G10843*'Analyse capacite'!$E$9</f>
        <v>0</v>
      </c>
    </row>
    <row r="10844" customFormat="false" ht="15" hidden="false" customHeight="false" outlineLevel="0" collapsed="false">
      <c r="B10844" s="130" t="n">
        <v>2028</v>
      </c>
      <c r="C10844" s="131" t="s">
        <v>255</v>
      </c>
      <c r="D10844" s="132" t="n">
        <v>46779</v>
      </c>
      <c r="E10844" s="131" t="s">
        <v>20</v>
      </c>
      <c r="F10844" s="133" t="s">
        <v>11</v>
      </c>
      <c r="G10844" s="134" t="n">
        <f aca="false">LEN('Saisie programme'!$G$367)+SUMIFS('Vols additionnels'!$E$7:$E$66,'Vols additionnels'!$C$7:$C$66,$E10844,'Vols additionnels'!$D$7:$D$66,$F10844,'Vols additionnels'!$B$7:$B$66,$D10844)</f>
        <v>0</v>
      </c>
      <c r="H10844" s="135" t="n">
        <f aca="false">$G10844*'Analyse capacite'!$F$7</f>
        <v>0</v>
      </c>
      <c r="I10844" s="135" t="n">
        <f aca="false">$G10844*'Analyse capacite'!$C$7</f>
        <v>0</v>
      </c>
      <c r="J10844" s="135" t="n">
        <f aca="false">$G10844*'Analyse capacite'!$D$7</f>
        <v>0</v>
      </c>
      <c r="K10844" s="135" t="n">
        <f aca="false">$G10844*'Analyse capacite'!$E$7</f>
        <v>0</v>
      </c>
    </row>
    <row r="10845" customFormat="false" ht="15" hidden="false" customHeight="false" outlineLevel="0" collapsed="false">
      <c r="B10845" s="130" t="n">
        <v>2028</v>
      </c>
      <c r="C10845" s="131" t="s">
        <v>255</v>
      </c>
      <c r="D10845" s="132" t="n">
        <v>46779</v>
      </c>
      <c r="E10845" s="131" t="s">
        <v>20</v>
      </c>
      <c r="F10845" s="133" t="s">
        <v>19</v>
      </c>
      <c r="G10845" s="134" t="n">
        <f aca="false">LEN('Saisie programme'!$G$368)+SUMIFS('Vols additionnels'!$E$7:$E$66,'Vols additionnels'!$C$7:$C$66,$E10845,'Vols additionnels'!$D$7:$D$66,$F10845,'Vols additionnels'!$B$7:$B$66,$D10845)</f>
        <v>0</v>
      </c>
      <c r="H10845" s="135" t="n">
        <f aca="false">$G10845*'Analyse capacite'!$F$8</f>
        <v>0</v>
      </c>
      <c r="I10845" s="135" t="n">
        <f aca="false">$G10845*'Analyse capacite'!$C$8</f>
        <v>0</v>
      </c>
      <c r="J10845" s="135" t="n">
        <f aca="false">$G10845*'Analyse capacite'!$D$8</f>
        <v>0</v>
      </c>
      <c r="K10845" s="135" t="n">
        <f aca="false">$G10845*'Analyse capacite'!$E$8</f>
        <v>0</v>
      </c>
    </row>
    <row r="10846" customFormat="false" ht="15" hidden="false" customHeight="false" outlineLevel="0" collapsed="false">
      <c r="B10846" s="130" t="n">
        <v>2028</v>
      </c>
      <c r="C10846" s="131" t="s">
        <v>255</v>
      </c>
      <c r="D10846" s="132" t="n">
        <v>46779</v>
      </c>
      <c r="E10846" s="131" t="s">
        <v>20</v>
      </c>
      <c r="F10846" s="133" t="s">
        <v>24</v>
      </c>
      <c r="G10846" s="134" t="n">
        <f aca="false">LEN('Saisie programme'!$G$369)+SUMIFS('Vols additionnels'!$E$7:$E$66,'Vols additionnels'!$C$7:$C$66,$E10846,'Vols additionnels'!$D$7:$D$66,$F10846,'Vols additionnels'!$B$7:$B$66,$D10846)</f>
        <v>0</v>
      </c>
      <c r="H10846" s="135" t="n">
        <f aca="false">$G10846*'Analyse capacite'!$F$9</f>
        <v>0</v>
      </c>
      <c r="I10846" s="135" t="n">
        <f aca="false">$G10846*'Analyse capacite'!$C$9</f>
        <v>0</v>
      </c>
      <c r="J10846" s="135" t="n">
        <f aca="false">$G10846*'Analyse capacite'!$D$9</f>
        <v>0</v>
      </c>
      <c r="K10846" s="135" t="n">
        <f aca="false">$G10846*'Analyse capacite'!$E$9</f>
        <v>0</v>
      </c>
    </row>
    <row r="10847" customFormat="false" ht="15" hidden="false" customHeight="false" outlineLevel="0" collapsed="false">
      <c r="B10847" s="130" t="n">
        <v>2028</v>
      </c>
      <c r="C10847" s="131" t="s">
        <v>255</v>
      </c>
      <c r="D10847" s="132" t="n">
        <v>46779</v>
      </c>
      <c r="E10847" s="131" t="s">
        <v>25</v>
      </c>
      <c r="F10847" s="133" t="s">
        <v>11</v>
      </c>
      <c r="G10847" s="134" t="n">
        <f aca="false">LEN('Saisie programme'!$G$370)+SUMIFS('Vols additionnels'!$E$7:$E$66,'Vols additionnels'!$C$7:$C$66,$E10847,'Vols additionnels'!$D$7:$D$66,$F10847,'Vols additionnels'!$B$7:$B$66,$D10847)</f>
        <v>0</v>
      </c>
      <c r="H10847" s="135" t="n">
        <f aca="false">$G10847*'Analyse capacite'!$F$7</f>
        <v>0</v>
      </c>
      <c r="I10847" s="135" t="n">
        <f aca="false">$G10847*'Analyse capacite'!$C$7</f>
        <v>0</v>
      </c>
      <c r="J10847" s="135" t="n">
        <f aca="false">$G10847*'Analyse capacite'!$D$7</f>
        <v>0</v>
      </c>
      <c r="K10847" s="135" t="n">
        <f aca="false">$G10847*'Analyse capacite'!$E$7</f>
        <v>0</v>
      </c>
    </row>
    <row r="10848" customFormat="false" ht="15" hidden="false" customHeight="false" outlineLevel="0" collapsed="false">
      <c r="B10848" s="130" t="n">
        <v>2028</v>
      </c>
      <c r="C10848" s="131" t="s">
        <v>255</v>
      </c>
      <c r="D10848" s="132" t="n">
        <v>46779</v>
      </c>
      <c r="E10848" s="131" t="s">
        <v>25</v>
      </c>
      <c r="F10848" s="133" t="s">
        <v>19</v>
      </c>
      <c r="G10848" s="134" t="n">
        <f aca="false">LEN('Saisie programme'!$G$371)+SUMIFS('Vols additionnels'!$E$7:$E$66,'Vols additionnels'!$C$7:$C$66,$E10848,'Vols additionnels'!$D$7:$D$66,$F10848,'Vols additionnels'!$B$7:$B$66,$D10848)</f>
        <v>0</v>
      </c>
      <c r="H10848" s="135" t="n">
        <f aca="false">$G10848*'Analyse capacite'!$F$8</f>
        <v>0</v>
      </c>
      <c r="I10848" s="135" t="n">
        <f aca="false">$G10848*'Analyse capacite'!$C$8</f>
        <v>0</v>
      </c>
      <c r="J10848" s="135" t="n">
        <f aca="false">$G10848*'Analyse capacite'!$D$8</f>
        <v>0</v>
      </c>
      <c r="K10848" s="135" t="n">
        <f aca="false">$G10848*'Analyse capacite'!$E$8</f>
        <v>0</v>
      </c>
    </row>
    <row r="10849" customFormat="false" ht="15" hidden="false" customHeight="false" outlineLevel="0" collapsed="false">
      <c r="B10849" s="130" t="n">
        <v>2028</v>
      </c>
      <c r="C10849" s="131" t="s">
        <v>255</v>
      </c>
      <c r="D10849" s="132" t="n">
        <v>46779</v>
      </c>
      <c r="E10849" s="131" t="s">
        <v>25</v>
      </c>
      <c r="F10849" s="133" t="s">
        <v>24</v>
      </c>
      <c r="G10849" s="134" t="n">
        <f aca="false">LEN('Saisie programme'!$G$372)+SUMIFS('Vols additionnels'!$E$7:$E$66,'Vols additionnels'!$C$7:$C$66,$E10849,'Vols additionnels'!$D$7:$D$66,$F10849,'Vols additionnels'!$B$7:$B$66,$D10849)</f>
        <v>0</v>
      </c>
      <c r="H10849" s="135" t="n">
        <f aca="false">$G10849*'Analyse capacite'!$F$9</f>
        <v>0</v>
      </c>
      <c r="I10849" s="135" t="n">
        <f aca="false">$G10849*'Analyse capacite'!$C$9</f>
        <v>0</v>
      </c>
      <c r="J10849" s="135" t="n">
        <f aca="false">$G10849*'Analyse capacite'!$D$9</f>
        <v>0</v>
      </c>
      <c r="K10849" s="135" t="n">
        <f aca="false">$G10849*'Analyse capacite'!$E$9</f>
        <v>0</v>
      </c>
    </row>
    <row r="10850" customFormat="false" ht="15" hidden="false" customHeight="false" outlineLevel="0" collapsed="false">
      <c r="B10850" s="130" t="n">
        <v>2028</v>
      </c>
      <c r="C10850" s="131" t="s">
        <v>255</v>
      </c>
      <c r="D10850" s="132" t="n">
        <v>46779</v>
      </c>
      <c r="E10850" s="131" t="s">
        <v>36</v>
      </c>
      <c r="F10850" s="133" t="s">
        <v>11</v>
      </c>
      <c r="G10850" s="134" t="n">
        <f aca="false">LEN('Saisie programme'!$G$373)+SUMIFS('Vols additionnels'!$E$7:$E$66,'Vols additionnels'!$C$7:$C$66,$E10850,'Vols additionnels'!$D$7:$D$66,$F10850,'Vols additionnels'!$B$7:$B$66,$D10850)</f>
        <v>0</v>
      </c>
      <c r="H10850" s="135" t="n">
        <f aca="false">$G10850*'Analyse capacite'!$F$7</f>
        <v>0</v>
      </c>
      <c r="I10850" s="135" t="n">
        <f aca="false">$G10850*'Analyse capacite'!$C$7</f>
        <v>0</v>
      </c>
      <c r="J10850" s="135" t="n">
        <f aca="false">$G10850*'Analyse capacite'!$D$7</f>
        <v>0</v>
      </c>
      <c r="K10850" s="135" t="n">
        <f aca="false">$G10850*'Analyse capacite'!$E$7</f>
        <v>0</v>
      </c>
    </row>
    <row r="10851" customFormat="false" ht="15" hidden="false" customHeight="false" outlineLevel="0" collapsed="false">
      <c r="B10851" s="130" t="n">
        <v>2028</v>
      </c>
      <c r="C10851" s="131" t="s">
        <v>255</v>
      </c>
      <c r="D10851" s="132" t="n">
        <v>46779</v>
      </c>
      <c r="E10851" s="131" t="s">
        <v>36</v>
      </c>
      <c r="F10851" s="133" t="s">
        <v>19</v>
      </c>
      <c r="G10851" s="134" t="n">
        <f aca="false">LEN('Saisie programme'!$G$374)+SUMIFS('Vols additionnels'!$E$7:$E$66,'Vols additionnels'!$C$7:$C$66,$E10851,'Vols additionnels'!$D$7:$D$66,$F10851,'Vols additionnels'!$B$7:$B$66,$D10851)</f>
        <v>0</v>
      </c>
      <c r="H10851" s="135" t="n">
        <f aca="false">$G10851*'Analyse capacite'!$F$8</f>
        <v>0</v>
      </c>
      <c r="I10851" s="135" t="n">
        <f aca="false">$G10851*'Analyse capacite'!$C$8</f>
        <v>0</v>
      </c>
      <c r="J10851" s="135" t="n">
        <f aca="false">$G10851*'Analyse capacite'!$D$8</f>
        <v>0</v>
      </c>
      <c r="K10851" s="135" t="n">
        <f aca="false">$G10851*'Analyse capacite'!$E$8</f>
        <v>0</v>
      </c>
    </row>
    <row r="10852" customFormat="false" ht="15" hidden="false" customHeight="false" outlineLevel="0" collapsed="false">
      <c r="B10852" s="130" t="n">
        <v>2028</v>
      </c>
      <c r="C10852" s="131" t="s">
        <v>255</v>
      </c>
      <c r="D10852" s="132" t="n">
        <v>46779</v>
      </c>
      <c r="E10852" s="131" t="s">
        <v>36</v>
      </c>
      <c r="F10852" s="133" t="s">
        <v>24</v>
      </c>
      <c r="G10852" s="134" t="n">
        <f aca="false">LEN('Saisie programme'!$G$375)+SUMIFS('Vols additionnels'!$E$7:$E$66,'Vols additionnels'!$C$7:$C$66,$E10852,'Vols additionnels'!$D$7:$D$66,$F10852,'Vols additionnels'!$B$7:$B$66,$D10852)</f>
        <v>1</v>
      </c>
      <c r="H10852" s="135" t="n">
        <f aca="false">$G10852*'Analyse capacite'!$F$9</f>
        <v>174</v>
      </c>
      <c r="I10852" s="135" t="n">
        <f aca="false">$G10852*'Analyse capacite'!$C$9</f>
        <v>0</v>
      </c>
      <c r="J10852" s="135" t="n">
        <f aca="false">$G10852*'Analyse capacite'!$D$9</f>
        <v>12</v>
      </c>
      <c r="K10852" s="135" t="n">
        <f aca="false">$G10852*'Analyse capacite'!$E$9</f>
        <v>162</v>
      </c>
    </row>
    <row r="10853" customFormat="false" ht="15" hidden="false" customHeight="false" outlineLevel="0" collapsed="false">
      <c r="B10853" s="130" t="n">
        <v>2028</v>
      </c>
      <c r="C10853" s="131" t="s">
        <v>255</v>
      </c>
      <c r="D10853" s="132" t="n">
        <v>46779</v>
      </c>
      <c r="E10853" s="131" t="s">
        <v>40</v>
      </c>
      <c r="F10853" s="133" t="s">
        <v>11</v>
      </c>
      <c r="G10853" s="134" t="n">
        <f aca="false">LEN('Saisie programme'!$G$376)+SUMIFS('Vols additionnels'!$E$7:$E$66,'Vols additionnels'!$C$7:$C$66,$E10853,'Vols additionnels'!$D$7:$D$66,$F10853,'Vols additionnels'!$B$7:$B$66,$D10853)</f>
        <v>0</v>
      </c>
      <c r="H10853" s="135" t="n">
        <f aca="false">$G10853*'Analyse capacite'!$F$7</f>
        <v>0</v>
      </c>
      <c r="I10853" s="135" t="n">
        <f aca="false">$G10853*'Analyse capacite'!$C$7</f>
        <v>0</v>
      </c>
      <c r="J10853" s="135" t="n">
        <f aca="false">$G10853*'Analyse capacite'!$D$7</f>
        <v>0</v>
      </c>
      <c r="K10853" s="135" t="n">
        <f aca="false">$G10853*'Analyse capacite'!$E$7</f>
        <v>0</v>
      </c>
    </row>
    <row r="10854" customFormat="false" ht="15" hidden="false" customHeight="false" outlineLevel="0" collapsed="false">
      <c r="B10854" s="130" t="n">
        <v>2028</v>
      </c>
      <c r="C10854" s="131" t="s">
        <v>255</v>
      </c>
      <c r="D10854" s="132" t="n">
        <v>46779</v>
      </c>
      <c r="E10854" s="131" t="s">
        <v>40</v>
      </c>
      <c r="F10854" s="133" t="s">
        <v>19</v>
      </c>
      <c r="G10854" s="134" t="n">
        <f aca="false">LEN('Saisie programme'!$G$377)+SUMIFS('Vols additionnels'!$E$7:$E$66,'Vols additionnels'!$C$7:$C$66,$E10854,'Vols additionnels'!$D$7:$D$66,$F10854,'Vols additionnels'!$B$7:$B$66,$D10854)</f>
        <v>0</v>
      </c>
      <c r="H10854" s="135" t="n">
        <f aca="false">$G10854*'Analyse capacite'!$F$8</f>
        <v>0</v>
      </c>
      <c r="I10854" s="135" t="n">
        <f aca="false">$G10854*'Analyse capacite'!$C$8</f>
        <v>0</v>
      </c>
      <c r="J10854" s="135" t="n">
        <f aca="false">$G10854*'Analyse capacite'!$D$8</f>
        <v>0</v>
      </c>
      <c r="K10854" s="135" t="n">
        <f aca="false">$G10854*'Analyse capacite'!$E$8</f>
        <v>0</v>
      </c>
    </row>
    <row r="10855" customFormat="false" ht="15" hidden="false" customHeight="false" outlineLevel="0" collapsed="false">
      <c r="B10855" s="130" t="n">
        <v>2028</v>
      </c>
      <c r="C10855" s="131" t="s">
        <v>255</v>
      </c>
      <c r="D10855" s="132" t="n">
        <v>46779</v>
      </c>
      <c r="E10855" s="131" t="s">
        <v>40</v>
      </c>
      <c r="F10855" s="133" t="s">
        <v>24</v>
      </c>
      <c r="G10855" s="134" t="n">
        <f aca="false">LEN('Saisie programme'!$G$378)+SUMIFS('Vols additionnels'!$E$7:$E$66,'Vols additionnels'!$C$7:$C$66,$E10855,'Vols additionnels'!$D$7:$D$66,$F10855,'Vols additionnels'!$B$7:$B$66,$D10855)</f>
        <v>0</v>
      </c>
      <c r="H10855" s="135" t="n">
        <f aca="false">$G10855*'Analyse capacite'!$F$9</f>
        <v>0</v>
      </c>
      <c r="I10855" s="135" t="n">
        <f aca="false">$G10855*'Analyse capacite'!$C$9</f>
        <v>0</v>
      </c>
      <c r="J10855" s="135" t="n">
        <f aca="false">$G10855*'Analyse capacite'!$D$9</f>
        <v>0</v>
      </c>
      <c r="K10855" s="135" t="n">
        <f aca="false">$G10855*'Analyse capacite'!$E$9</f>
        <v>0</v>
      </c>
    </row>
    <row r="10856" customFormat="false" ht="15" hidden="false" customHeight="false" outlineLevel="0" collapsed="false">
      <c r="B10856" s="130" t="n">
        <v>2028</v>
      </c>
      <c r="C10856" s="131" t="s">
        <v>255</v>
      </c>
      <c r="D10856" s="132" t="n">
        <v>46779</v>
      </c>
      <c r="E10856" s="131" t="s">
        <v>14</v>
      </c>
      <c r="F10856" s="133" t="s">
        <v>11</v>
      </c>
      <c r="G10856" s="134" t="n">
        <f aca="false">LEN('Saisie programme'!$G$379)+SUMIFS('Vols additionnels'!$E$7:$E$66,'Vols additionnels'!$C$7:$C$66,$E10856,'Vols additionnels'!$D$7:$D$66,$F10856,'Vols additionnels'!$B$7:$B$66,$D10856)</f>
        <v>0</v>
      </c>
      <c r="H10856" s="135" t="n">
        <f aca="false">$G10856*'Analyse capacite'!$F$7</f>
        <v>0</v>
      </c>
      <c r="I10856" s="135" t="n">
        <f aca="false">$G10856*'Analyse capacite'!$C$7</f>
        <v>0</v>
      </c>
      <c r="J10856" s="135" t="n">
        <f aca="false">$G10856*'Analyse capacite'!$D$7</f>
        <v>0</v>
      </c>
      <c r="K10856" s="135" t="n">
        <f aca="false">$G10856*'Analyse capacite'!$E$7</f>
        <v>0</v>
      </c>
    </row>
    <row r="10857" customFormat="false" ht="15" hidden="false" customHeight="false" outlineLevel="0" collapsed="false">
      <c r="B10857" s="130" t="n">
        <v>2028</v>
      </c>
      <c r="C10857" s="131" t="s">
        <v>255</v>
      </c>
      <c r="D10857" s="132" t="n">
        <v>46779</v>
      </c>
      <c r="E10857" s="131" t="s">
        <v>14</v>
      </c>
      <c r="F10857" s="133" t="s">
        <v>19</v>
      </c>
      <c r="G10857" s="134" t="n">
        <f aca="false">LEN('Saisie programme'!$G$380)+SUMIFS('Vols additionnels'!$E$7:$E$66,'Vols additionnels'!$C$7:$C$66,$E10857,'Vols additionnels'!$D$7:$D$66,$F10857,'Vols additionnels'!$B$7:$B$66,$D10857)</f>
        <v>0</v>
      </c>
      <c r="H10857" s="135" t="n">
        <f aca="false">$G10857*'Analyse capacite'!$F$8</f>
        <v>0</v>
      </c>
      <c r="I10857" s="135" t="n">
        <f aca="false">$G10857*'Analyse capacite'!$C$8</f>
        <v>0</v>
      </c>
      <c r="J10857" s="135" t="n">
        <f aca="false">$G10857*'Analyse capacite'!$D$8</f>
        <v>0</v>
      </c>
      <c r="K10857" s="135" t="n">
        <f aca="false">$G10857*'Analyse capacite'!$E$8</f>
        <v>0</v>
      </c>
    </row>
    <row r="10858" customFormat="false" ht="15" hidden="false" customHeight="false" outlineLevel="0" collapsed="false">
      <c r="B10858" s="130" t="n">
        <v>2028</v>
      </c>
      <c r="C10858" s="131" t="s">
        <v>255</v>
      </c>
      <c r="D10858" s="132" t="n">
        <v>46779</v>
      </c>
      <c r="E10858" s="131" t="s">
        <v>14</v>
      </c>
      <c r="F10858" s="133" t="s">
        <v>24</v>
      </c>
      <c r="G10858" s="134" t="n">
        <f aca="false">LEN('Saisie programme'!$G$381)+SUMIFS('Vols additionnels'!$E$7:$E$66,'Vols additionnels'!$C$7:$C$66,$E10858,'Vols additionnels'!$D$7:$D$66,$F10858,'Vols additionnels'!$B$7:$B$66,$D10858)</f>
        <v>1</v>
      </c>
      <c r="H10858" s="135" t="n">
        <f aca="false">$G10858*'Analyse capacite'!$F$9</f>
        <v>174</v>
      </c>
      <c r="I10858" s="135" t="n">
        <f aca="false">$G10858*'Analyse capacite'!$C$9</f>
        <v>0</v>
      </c>
      <c r="J10858" s="135" t="n">
        <f aca="false">$G10858*'Analyse capacite'!$D$9</f>
        <v>12</v>
      </c>
      <c r="K10858" s="135" t="n">
        <f aca="false">$G10858*'Analyse capacite'!$E$9</f>
        <v>162</v>
      </c>
    </row>
    <row r="10859" customFormat="false" ht="15" hidden="false" customHeight="false" outlineLevel="0" collapsed="false">
      <c r="B10859" s="130" t="n">
        <v>2028</v>
      </c>
      <c r="C10859" s="131" t="s">
        <v>255</v>
      </c>
      <c r="D10859" s="132" t="n">
        <v>46779</v>
      </c>
      <c r="E10859" s="131" t="s">
        <v>46</v>
      </c>
      <c r="F10859" s="133" t="s">
        <v>11</v>
      </c>
      <c r="G10859" s="134" t="n">
        <f aca="false">LEN('Saisie programme'!$G$382)+SUMIFS('Vols additionnels'!$E$7:$E$66,'Vols additionnels'!$C$7:$C$66,$E10859,'Vols additionnels'!$D$7:$D$66,$F10859,'Vols additionnels'!$B$7:$B$66,$D10859)</f>
        <v>0</v>
      </c>
      <c r="H10859" s="135" t="n">
        <f aca="false">$G10859*'Analyse capacite'!$F$7</f>
        <v>0</v>
      </c>
      <c r="I10859" s="135" t="n">
        <f aca="false">$G10859*'Analyse capacite'!$C$7</f>
        <v>0</v>
      </c>
      <c r="J10859" s="135" t="n">
        <f aca="false">$G10859*'Analyse capacite'!$D$7</f>
        <v>0</v>
      </c>
      <c r="K10859" s="135" t="n">
        <f aca="false">$G10859*'Analyse capacite'!$E$7</f>
        <v>0</v>
      </c>
    </row>
    <row r="10860" customFormat="false" ht="15" hidden="false" customHeight="false" outlineLevel="0" collapsed="false">
      <c r="B10860" s="130" t="n">
        <v>2028</v>
      </c>
      <c r="C10860" s="131" t="s">
        <v>255</v>
      </c>
      <c r="D10860" s="132" t="n">
        <v>46779</v>
      </c>
      <c r="E10860" s="131" t="s">
        <v>46</v>
      </c>
      <c r="F10860" s="133" t="s">
        <v>19</v>
      </c>
      <c r="G10860" s="134" t="n">
        <f aca="false">LEN('Saisie programme'!$G$383)+SUMIFS('Vols additionnels'!$E$7:$E$66,'Vols additionnels'!$C$7:$C$66,$E10860,'Vols additionnels'!$D$7:$D$66,$F10860,'Vols additionnels'!$B$7:$B$66,$D10860)</f>
        <v>0</v>
      </c>
      <c r="H10860" s="135" t="n">
        <f aca="false">$G10860*'Analyse capacite'!$F$8</f>
        <v>0</v>
      </c>
      <c r="I10860" s="135" t="n">
        <f aca="false">$G10860*'Analyse capacite'!$C$8</f>
        <v>0</v>
      </c>
      <c r="J10860" s="135" t="n">
        <f aca="false">$G10860*'Analyse capacite'!$D$8</f>
        <v>0</v>
      </c>
      <c r="K10860" s="135" t="n">
        <f aca="false">$G10860*'Analyse capacite'!$E$8</f>
        <v>0</v>
      </c>
    </row>
    <row r="10861" customFormat="false" ht="15" hidden="false" customHeight="false" outlineLevel="0" collapsed="false">
      <c r="B10861" s="130" t="n">
        <v>2028</v>
      </c>
      <c r="C10861" s="131" t="s">
        <v>255</v>
      </c>
      <c r="D10861" s="132" t="n">
        <v>46779</v>
      </c>
      <c r="E10861" s="131" t="s">
        <v>46</v>
      </c>
      <c r="F10861" s="133" t="s">
        <v>24</v>
      </c>
      <c r="G10861" s="134" t="n">
        <f aca="false">LEN('Saisie programme'!$G$384)+SUMIFS('Vols additionnels'!$E$7:$E$66,'Vols additionnels'!$C$7:$C$66,$E10861,'Vols additionnels'!$D$7:$D$66,$F10861,'Vols additionnels'!$B$7:$B$66,$D10861)</f>
        <v>1</v>
      </c>
      <c r="H10861" s="135" t="n">
        <f aca="false">$G10861*'Analyse capacite'!$F$9</f>
        <v>174</v>
      </c>
      <c r="I10861" s="135" t="n">
        <f aca="false">$G10861*'Analyse capacite'!$C$9</f>
        <v>0</v>
      </c>
      <c r="J10861" s="135" t="n">
        <f aca="false">$G10861*'Analyse capacite'!$D$9</f>
        <v>12</v>
      </c>
      <c r="K10861" s="135" t="n">
        <f aca="false">$G10861*'Analyse capacite'!$E$9</f>
        <v>162</v>
      </c>
    </row>
    <row r="10862" customFormat="false" ht="15" hidden="false" customHeight="false" outlineLevel="0" collapsed="false">
      <c r="B10862" s="130" t="n">
        <v>2028</v>
      </c>
      <c r="C10862" s="131" t="s">
        <v>255</v>
      </c>
      <c r="D10862" s="132" t="n">
        <v>46779</v>
      </c>
      <c r="E10862" s="131" t="s">
        <v>49</v>
      </c>
      <c r="F10862" s="133" t="s">
        <v>11</v>
      </c>
      <c r="G10862" s="134" t="n">
        <f aca="false">LEN('Saisie programme'!$G$385)+SUMIFS('Vols additionnels'!$E$7:$E$66,'Vols additionnels'!$C$7:$C$66,$E10862,'Vols additionnels'!$D$7:$D$66,$F10862,'Vols additionnels'!$B$7:$B$66,$D10862)</f>
        <v>0</v>
      </c>
      <c r="H10862" s="135" t="n">
        <f aca="false">$G10862*'Analyse capacite'!$F$7</f>
        <v>0</v>
      </c>
      <c r="I10862" s="135" t="n">
        <f aca="false">$G10862*'Analyse capacite'!$C$7</f>
        <v>0</v>
      </c>
      <c r="J10862" s="135" t="n">
        <f aca="false">$G10862*'Analyse capacite'!$D$7</f>
        <v>0</v>
      </c>
      <c r="K10862" s="135" t="n">
        <f aca="false">$G10862*'Analyse capacite'!$E$7</f>
        <v>0</v>
      </c>
    </row>
    <row r="10863" customFormat="false" ht="15" hidden="false" customHeight="false" outlineLevel="0" collapsed="false">
      <c r="B10863" s="130" t="n">
        <v>2028</v>
      </c>
      <c r="C10863" s="131" t="s">
        <v>255</v>
      </c>
      <c r="D10863" s="132" t="n">
        <v>46779</v>
      </c>
      <c r="E10863" s="131" t="s">
        <v>49</v>
      </c>
      <c r="F10863" s="133" t="s">
        <v>19</v>
      </c>
      <c r="G10863" s="134" t="n">
        <f aca="false">LEN('Saisie programme'!$G$386)+SUMIFS('Vols additionnels'!$E$7:$E$66,'Vols additionnels'!$C$7:$C$66,$E10863,'Vols additionnels'!$D$7:$D$66,$F10863,'Vols additionnels'!$B$7:$B$66,$D10863)</f>
        <v>0</v>
      </c>
      <c r="H10863" s="135" t="n">
        <f aca="false">$G10863*'Analyse capacite'!$F$8</f>
        <v>0</v>
      </c>
      <c r="I10863" s="135" t="n">
        <f aca="false">$G10863*'Analyse capacite'!$C$8</f>
        <v>0</v>
      </c>
      <c r="J10863" s="135" t="n">
        <f aca="false">$G10863*'Analyse capacite'!$D$8</f>
        <v>0</v>
      </c>
      <c r="K10863" s="135" t="n">
        <f aca="false">$G10863*'Analyse capacite'!$E$8</f>
        <v>0</v>
      </c>
    </row>
    <row r="10864" customFormat="false" ht="15" hidden="false" customHeight="false" outlineLevel="0" collapsed="false">
      <c r="B10864" s="130" t="n">
        <v>2028</v>
      </c>
      <c r="C10864" s="131" t="s">
        <v>255</v>
      </c>
      <c r="D10864" s="132" t="n">
        <v>46779</v>
      </c>
      <c r="E10864" s="131" t="s">
        <v>49</v>
      </c>
      <c r="F10864" s="133" t="s">
        <v>24</v>
      </c>
      <c r="G10864" s="134" t="n">
        <f aca="false">LEN('Saisie programme'!$G$387)+SUMIFS('Vols additionnels'!$E$7:$E$66,'Vols additionnels'!$C$7:$C$66,$E10864,'Vols additionnels'!$D$7:$D$66,$F10864,'Vols additionnels'!$B$7:$B$66,$D10864)</f>
        <v>0</v>
      </c>
      <c r="H10864" s="135" t="n">
        <f aca="false">$G10864*'Analyse capacite'!$F$9</f>
        <v>0</v>
      </c>
      <c r="I10864" s="135" t="n">
        <f aca="false">$G10864*'Analyse capacite'!$C$9</f>
        <v>0</v>
      </c>
      <c r="J10864" s="135" t="n">
        <f aca="false">$G10864*'Analyse capacite'!$D$9</f>
        <v>0</v>
      </c>
      <c r="K10864" s="135" t="n">
        <f aca="false">$G10864*'Analyse capacite'!$E$9</f>
        <v>0</v>
      </c>
    </row>
    <row r="10865" customFormat="false" ht="15" hidden="false" customHeight="false" outlineLevel="0" collapsed="false">
      <c r="B10865" s="130" t="n">
        <v>2028</v>
      </c>
      <c r="C10865" s="131" t="s">
        <v>255</v>
      </c>
      <c r="D10865" s="132" t="n">
        <v>46779</v>
      </c>
      <c r="E10865" s="131" t="s">
        <v>53</v>
      </c>
      <c r="F10865" s="133" t="s">
        <v>11</v>
      </c>
      <c r="G10865" s="134" t="n">
        <f aca="false">LEN('Saisie programme'!$G$388)+SUMIFS('Vols additionnels'!$E$7:$E$66,'Vols additionnels'!$C$7:$C$66,$E10865,'Vols additionnels'!$D$7:$D$66,$F10865,'Vols additionnels'!$B$7:$B$66,$D10865)</f>
        <v>0</v>
      </c>
      <c r="H10865" s="135" t="n">
        <f aca="false">$G10865*'Analyse capacite'!$F$7</f>
        <v>0</v>
      </c>
      <c r="I10865" s="135" t="n">
        <f aca="false">$G10865*'Analyse capacite'!$C$7</f>
        <v>0</v>
      </c>
      <c r="J10865" s="135" t="n">
        <f aca="false">$G10865*'Analyse capacite'!$D$7</f>
        <v>0</v>
      </c>
      <c r="K10865" s="135" t="n">
        <f aca="false">$G10865*'Analyse capacite'!$E$7</f>
        <v>0</v>
      </c>
    </row>
    <row r="10866" customFormat="false" ht="15" hidden="false" customHeight="false" outlineLevel="0" collapsed="false">
      <c r="B10866" s="130" t="n">
        <v>2028</v>
      </c>
      <c r="C10866" s="131" t="s">
        <v>255</v>
      </c>
      <c r="D10866" s="132" t="n">
        <v>46779</v>
      </c>
      <c r="E10866" s="131" t="s">
        <v>53</v>
      </c>
      <c r="F10866" s="133" t="s">
        <v>19</v>
      </c>
      <c r="G10866" s="134" t="n">
        <f aca="false">LEN('Saisie programme'!$G$389)+SUMIFS('Vols additionnels'!$E$7:$E$66,'Vols additionnels'!$C$7:$C$66,$E10866,'Vols additionnels'!$D$7:$D$66,$F10866,'Vols additionnels'!$B$7:$B$66,$D10866)</f>
        <v>1</v>
      </c>
      <c r="H10866" s="135" t="n">
        <f aca="false">$G10866*'Analyse capacite'!$F$8</f>
        <v>262</v>
      </c>
      <c r="I10866" s="135" t="n">
        <f aca="false">$G10866*'Analyse capacite'!$C$8</f>
        <v>18</v>
      </c>
      <c r="J10866" s="135" t="n">
        <f aca="false">$G10866*'Analyse capacite'!$D$8</f>
        <v>0</v>
      </c>
      <c r="K10866" s="135" t="n">
        <f aca="false">$G10866*'Analyse capacite'!$E$8</f>
        <v>244</v>
      </c>
    </row>
    <row r="10867" customFormat="false" ht="15" hidden="false" customHeight="false" outlineLevel="0" collapsed="false">
      <c r="B10867" s="130" t="n">
        <v>2028</v>
      </c>
      <c r="C10867" s="131" t="s">
        <v>255</v>
      </c>
      <c r="D10867" s="132" t="n">
        <v>46779</v>
      </c>
      <c r="E10867" s="131" t="s">
        <v>53</v>
      </c>
      <c r="F10867" s="133" t="s">
        <v>24</v>
      </c>
      <c r="G10867" s="134" t="n">
        <f aca="false">LEN('Saisie programme'!$G$390)+SUMIFS('Vols additionnels'!$E$7:$E$66,'Vols additionnels'!$C$7:$C$66,$E10867,'Vols additionnels'!$D$7:$D$66,$F10867,'Vols additionnels'!$B$7:$B$66,$D10867)</f>
        <v>0</v>
      </c>
      <c r="H10867" s="135" t="n">
        <f aca="false">$G10867*'Analyse capacite'!$F$9</f>
        <v>0</v>
      </c>
      <c r="I10867" s="135" t="n">
        <f aca="false">$G10867*'Analyse capacite'!$C$9</f>
        <v>0</v>
      </c>
      <c r="J10867" s="135" t="n">
        <f aca="false">$G10867*'Analyse capacite'!$D$9</f>
        <v>0</v>
      </c>
      <c r="K10867" s="135" t="n">
        <f aca="false">$G10867*'Analyse capacite'!$E$9</f>
        <v>0</v>
      </c>
    </row>
    <row r="10868" customFormat="false" ht="15" hidden="false" customHeight="false" outlineLevel="0" collapsed="false">
      <c r="B10868" s="130" t="n">
        <v>2028</v>
      </c>
      <c r="C10868" s="131" t="s">
        <v>255</v>
      </c>
      <c r="D10868" s="132" t="n">
        <v>46779</v>
      </c>
      <c r="E10868" s="131" t="s">
        <v>56</v>
      </c>
      <c r="F10868" s="133" t="s">
        <v>11</v>
      </c>
      <c r="G10868" s="134" t="n">
        <f aca="false">LEN('Saisie programme'!$G$391)+SUMIFS('Vols additionnels'!$E$7:$E$66,'Vols additionnels'!$C$7:$C$66,$E10868,'Vols additionnels'!$D$7:$D$66,$F10868,'Vols additionnels'!$B$7:$B$66,$D10868)</f>
        <v>0</v>
      </c>
      <c r="H10868" s="135" t="n">
        <f aca="false">$G10868*'Analyse capacite'!$F$7</f>
        <v>0</v>
      </c>
      <c r="I10868" s="135" t="n">
        <f aca="false">$G10868*'Analyse capacite'!$C$7</f>
        <v>0</v>
      </c>
      <c r="J10868" s="135" t="n">
        <f aca="false">$G10868*'Analyse capacite'!$D$7</f>
        <v>0</v>
      </c>
      <c r="K10868" s="135" t="n">
        <f aca="false">$G10868*'Analyse capacite'!$E$7</f>
        <v>0</v>
      </c>
    </row>
    <row r="10869" customFormat="false" ht="15" hidden="false" customHeight="false" outlineLevel="0" collapsed="false">
      <c r="B10869" s="130" t="n">
        <v>2028</v>
      </c>
      <c r="C10869" s="131" t="s">
        <v>255</v>
      </c>
      <c r="D10869" s="132" t="n">
        <v>46779</v>
      </c>
      <c r="E10869" s="131" t="s">
        <v>56</v>
      </c>
      <c r="F10869" s="133" t="s">
        <v>19</v>
      </c>
      <c r="G10869" s="134" t="n">
        <f aca="false">LEN('Saisie programme'!$G$392)+SUMIFS('Vols additionnels'!$E$7:$E$66,'Vols additionnels'!$C$7:$C$66,$E10869,'Vols additionnels'!$D$7:$D$66,$F10869,'Vols additionnels'!$B$7:$B$66,$D10869)</f>
        <v>0</v>
      </c>
      <c r="H10869" s="135" t="n">
        <f aca="false">$G10869*'Analyse capacite'!$F$8</f>
        <v>0</v>
      </c>
      <c r="I10869" s="135" t="n">
        <f aca="false">$G10869*'Analyse capacite'!$C$8</f>
        <v>0</v>
      </c>
      <c r="J10869" s="135" t="n">
        <f aca="false">$G10869*'Analyse capacite'!$D$8</f>
        <v>0</v>
      </c>
      <c r="K10869" s="135" t="n">
        <f aca="false">$G10869*'Analyse capacite'!$E$8</f>
        <v>0</v>
      </c>
    </row>
    <row r="10870" customFormat="false" ht="15" hidden="false" customHeight="false" outlineLevel="0" collapsed="false">
      <c r="B10870" s="130" t="n">
        <v>2028</v>
      </c>
      <c r="C10870" s="131" t="s">
        <v>255</v>
      </c>
      <c r="D10870" s="132" t="n">
        <v>46779</v>
      </c>
      <c r="E10870" s="131" t="s">
        <v>56</v>
      </c>
      <c r="F10870" s="133" t="s">
        <v>24</v>
      </c>
      <c r="G10870" s="134" t="n">
        <f aca="false">LEN('Saisie programme'!$G$393)+SUMIFS('Vols additionnels'!$E$7:$E$66,'Vols additionnels'!$C$7:$C$66,$E10870,'Vols additionnels'!$D$7:$D$66,$F10870,'Vols additionnels'!$B$7:$B$66,$D10870)</f>
        <v>0</v>
      </c>
      <c r="H10870" s="135" t="n">
        <f aca="false">$G10870*'Analyse capacite'!$F$9</f>
        <v>0</v>
      </c>
      <c r="I10870" s="135" t="n">
        <f aca="false">$G10870*'Analyse capacite'!$C$9</f>
        <v>0</v>
      </c>
      <c r="J10870" s="135" t="n">
        <f aca="false">$G10870*'Analyse capacite'!$D$9</f>
        <v>0</v>
      </c>
      <c r="K10870" s="135" t="n">
        <f aca="false">$G10870*'Analyse capacite'!$E$9</f>
        <v>0</v>
      </c>
    </row>
    <row r="10871" customFormat="false" ht="15" hidden="false" customHeight="false" outlineLevel="0" collapsed="false">
      <c r="B10871" s="130" t="n">
        <v>2028</v>
      </c>
      <c r="C10871" s="131" t="s">
        <v>255</v>
      </c>
      <c r="D10871" s="132" t="n">
        <v>46779</v>
      </c>
      <c r="E10871" s="131" t="s">
        <v>59</v>
      </c>
      <c r="F10871" s="133" t="s">
        <v>11</v>
      </c>
      <c r="G10871" s="134" t="n">
        <f aca="false">LEN('Saisie programme'!$G$394)+SUMIFS('Vols additionnels'!$E$7:$E$66,'Vols additionnels'!$C$7:$C$66,$E10871,'Vols additionnels'!$D$7:$D$66,$F10871,'Vols additionnels'!$B$7:$B$66,$D10871)</f>
        <v>0</v>
      </c>
      <c r="H10871" s="135" t="n">
        <f aca="false">$G10871*'Analyse capacite'!$F$7</f>
        <v>0</v>
      </c>
      <c r="I10871" s="135" t="n">
        <f aca="false">$G10871*'Analyse capacite'!$C$7</f>
        <v>0</v>
      </c>
      <c r="J10871" s="135" t="n">
        <f aca="false">$G10871*'Analyse capacite'!$D$7</f>
        <v>0</v>
      </c>
      <c r="K10871" s="135" t="n">
        <f aca="false">$G10871*'Analyse capacite'!$E$7</f>
        <v>0</v>
      </c>
    </row>
    <row r="10872" customFormat="false" ht="15" hidden="false" customHeight="false" outlineLevel="0" collapsed="false">
      <c r="B10872" s="130" t="n">
        <v>2028</v>
      </c>
      <c r="C10872" s="131" t="s">
        <v>255</v>
      </c>
      <c r="D10872" s="132" t="n">
        <v>46779</v>
      </c>
      <c r="E10872" s="131" t="s">
        <v>59</v>
      </c>
      <c r="F10872" s="133" t="s">
        <v>19</v>
      </c>
      <c r="G10872" s="134" t="n">
        <f aca="false">LEN('Saisie programme'!$G$395)+SUMIFS('Vols additionnels'!$E$7:$E$66,'Vols additionnels'!$C$7:$C$66,$E10872,'Vols additionnels'!$D$7:$D$66,$F10872,'Vols additionnels'!$B$7:$B$66,$D10872)</f>
        <v>0</v>
      </c>
      <c r="H10872" s="135" t="n">
        <f aca="false">$G10872*'Analyse capacite'!$F$8</f>
        <v>0</v>
      </c>
      <c r="I10872" s="135" t="n">
        <f aca="false">$G10872*'Analyse capacite'!$C$8</f>
        <v>0</v>
      </c>
      <c r="J10872" s="135" t="n">
        <f aca="false">$G10872*'Analyse capacite'!$D$8</f>
        <v>0</v>
      </c>
      <c r="K10872" s="135" t="n">
        <f aca="false">$G10872*'Analyse capacite'!$E$8</f>
        <v>0</v>
      </c>
    </row>
    <row r="10873" customFormat="false" ht="15" hidden="false" customHeight="false" outlineLevel="0" collapsed="false">
      <c r="B10873" s="130" t="n">
        <v>2028</v>
      </c>
      <c r="C10873" s="131" t="s">
        <v>255</v>
      </c>
      <c r="D10873" s="132" t="n">
        <v>46779</v>
      </c>
      <c r="E10873" s="131" t="s">
        <v>59</v>
      </c>
      <c r="F10873" s="133" t="s">
        <v>24</v>
      </c>
      <c r="G10873" s="134" t="n">
        <f aca="false">LEN('Saisie programme'!$G$396)+SUMIFS('Vols additionnels'!$E$7:$E$66,'Vols additionnels'!$C$7:$C$66,$E10873,'Vols additionnels'!$D$7:$D$66,$F10873,'Vols additionnels'!$B$7:$B$66,$D10873)</f>
        <v>2</v>
      </c>
      <c r="H10873" s="135" t="n">
        <f aca="false">$G10873*'Analyse capacite'!$F$9</f>
        <v>348</v>
      </c>
      <c r="I10873" s="135" t="n">
        <f aca="false">$G10873*'Analyse capacite'!$C$9</f>
        <v>0</v>
      </c>
      <c r="J10873" s="135" t="n">
        <f aca="false">$G10873*'Analyse capacite'!$D$9</f>
        <v>24</v>
      </c>
      <c r="K10873" s="135" t="n">
        <f aca="false">$G10873*'Analyse capacite'!$E$9</f>
        <v>324</v>
      </c>
    </row>
    <row r="10874" customFormat="false" ht="15" hidden="false" customHeight="false" outlineLevel="0" collapsed="false">
      <c r="B10874" s="130" t="n">
        <v>2028</v>
      </c>
      <c r="C10874" s="131" t="s">
        <v>255</v>
      </c>
      <c r="D10874" s="132" t="n">
        <v>46779</v>
      </c>
      <c r="E10874" s="131" t="s">
        <v>62</v>
      </c>
      <c r="F10874" s="133" t="s">
        <v>11</v>
      </c>
      <c r="G10874" s="134" t="n">
        <f aca="false">LEN('Saisie programme'!$G$397)+SUMIFS('Vols additionnels'!$E$7:$E$66,'Vols additionnels'!$C$7:$C$66,$E10874,'Vols additionnels'!$D$7:$D$66,$F10874,'Vols additionnels'!$B$7:$B$66,$D10874)</f>
        <v>0</v>
      </c>
      <c r="H10874" s="135" t="n">
        <f aca="false">$G10874*'Analyse capacite'!$F$7</f>
        <v>0</v>
      </c>
      <c r="I10874" s="135" t="n">
        <f aca="false">$G10874*'Analyse capacite'!$C$7</f>
        <v>0</v>
      </c>
      <c r="J10874" s="135" t="n">
        <f aca="false">$G10874*'Analyse capacite'!$D$7</f>
        <v>0</v>
      </c>
      <c r="K10874" s="135" t="n">
        <f aca="false">$G10874*'Analyse capacite'!$E$7</f>
        <v>0</v>
      </c>
    </row>
    <row r="10875" customFormat="false" ht="15" hidden="false" customHeight="false" outlineLevel="0" collapsed="false">
      <c r="B10875" s="130" t="n">
        <v>2028</v>
      </c>
      <c r="C10875" s="131" t="s">
        <v>255</v>
      </c>
      <c r="D10875" s="132" t="n">
        <v>46779</v>
      </c>
      <c r="E10875" s="131" t="s">
        <v>62</v>
      </c>
      <c r="F10875" s="133" t="s">
        <v>19</v>
      </c>
      <c r="G10875" s="134" t="n">
        <f aca="false">LEN('Saisie programme'!$G$398)+SUMIFS('Vols additionnels'!$E$7:$E$66,'Vols additionnels'!$C$7:$C$66,$E10875,'Vols additionnels'!$D$7:$D$66,$F10875,'Vols additionnels'!$B$7:$B$66,$D10875)</f>
        <v>0</v>
      </c>
      <c r="H10875" s="135" t="n">
        <f aca="false">$G10875*'Analyse capacite'!$F$8</f>
        <v>0</v>
      </c>
      <c r="I10875" s="135" t="n">
        <f aca="false">$G10875*'Analyse capacite'!$C$8</f>
        <v>0</v>
      </c>
      <c r="J10875" s="135" t="n">
        <f aca="false">$G10875*'Analyse capacite'!$D$8</f>
        <v>0</v>
      </c>
      <c r="K10875" s="135" t="n">
        <f aca="false">$G10875*'Analyse capacite'!$E$8</f>
        <v>0</v>
      </c>
    </row>
    <row r="10876" customFormat="false" ht="15" hidden="false" customHeight="false" outlineLevel="0" collapsed="false">
      <c r="B10876" s="130" t="n">
        <v>2028</v>
      </c>
      <c r="C10876" s="131" t="s">
        <v>255</v>
      </c>
      <c r="D10876" s="132" t="n">
        <v>46779</v>
      </c>
      <c r="E10876" s="131" t="s">
        <v>62</v>
      </c>
      <c r="F10876" s="133" t="s">
        <v>24</v>
      </c>
      <c r="G10876" s="134" t="n">
        <f aca="false">LEN('Saisie programme'!$G$399)+SUMIFS('Vols additionnels'!$E$7:$E$66,'Vols additionnels'!$C$7:$C$66,$E10876,'Vols additionnels'!$D$7:$D$66,$F10876,'Vols additionnels'!$B$7:$B$66,$D10876)</f>
        <v>0</v>
      </c>
      <c r="H10876" s="135" t="n">
        <f aca="false">$G10876*'Analyse capacite'!$F$9</f>
        <v>0</v>
      </c>
      <c r="I10876" s="135" t="n">
        <f aca="false">$G10876*'Analyse capacite'!$C$9</f>
        <v>0</v>
      </c>
      <c r="J10876" s="135" t="n">
        <f aca="false">$G10876*'Analyse capacite'!$D$9</f>
        <v>0</v>
      </c>
      <c r="K10876" s="135" t="n">
        <f aca="false">$G10876*'Analyse capacite'!$E$9</f>
        <v>0</v>
      </c>
    </row>
    <row r="10877" customFormat="false" ht="15" hidden="false" customHeight="false" outlineLevel="0" collapsed="false">
      <c r="B10877" s="130" t="n">
        <v>2028</v>
      </c>
      <c r="C10877" s="131" t="s">
        <v>255</v>
      </c>
      <c r="D10877" s="132" t="n">
        <v>46780</v>
      </c>
      <c r="E10877" s="131" t="s">
        <v>12</v>
      </c>
      <c r="F10877" s="133" t="s">
        <v>11</v>
      </c>
      <c r="G10877" s="134" t="n">
        <f aca="false">LEN('Saisie programme'!$H$364)+SUMIFS('Vols additionnels'!$E$7:$E$66,'Vols additionnels'!$C$7:$C$66,$E10877,'Vols additionnels'!$D$7:$D$66,$F10877,'Vols additionnels'!$B$7:$B$66,$D10877)</f>
        <v>1</v>
      </c>
      <c r="H10877" s="135" t="n">
        <f aca="false">$G10877*'Analyse capacite'!$F$7</f>
        <v>438</v>
      </c>
      <c r="I10877" s="135" t="n">
        <f aca="false">$G10877*'Analyse capacite'!$C$7</f>
        <v>14</v>
      </c>
      <c r="J10877" s="135" t="n">
        <f aca="false">$G10877*'Analyse capacite'!$D$7</f>
        <v>40</v>
      </c>
      <c r="K10877" s="135" t="n">
        <f aca="false">$G10877*'Analyse capacite'!$E$7</f>
        <v>384</v>
      </c>
    </row>
    <row r="10878" customFormat="false" ht="15" hidden="false" customHeight="false" outlineLevel="0" collapsed="false">
      <c r="B10878" s="130" t="n">
        <v>2028</v>
      </c>
      <c r="C10878" s="131" t="s">
        <v>255</v>
      </c>
      <c r="D10878" s="132" t="n">
        <v>46780</v>
      </c>
      <c r="E10878" s="131" t="s">
        <v>12</v>
      </c>
      <c r="F10878" s="133" t="s">
        <v>19</v>
      </c>
      <c r="G10878" s="134" t="n">
        <f aca="false">LEN('Saisie programme'!$H$365)+SUMIFS('Vols additionnels'!$E$7:$E$66,'Vols additionnels'!$C$7:$C$66,$E10878,'Vols additionnels'!$D$7:$D$66,$F10878,'Vols additionnels'!$B$7:$B$66,$D10878)</f>
        <v>1</v>
      </c>
      <c r="H10878" s="135" t="n">
        <f aca="false">$G10878*'Analyse capacite'!$F$8</f>
        <v>262</v>
      </c>
      <c r="I10878" s="135" t="n">
        <f aca="false">$G10878*'Analyse capacite'!$C$8</f>
        <v>18</v>
      </c>
      <c r="J10878" s="135" t="n">
        <f aca="false">$G10878*'Analyse capacite'!$D$8</f>
        <v>0</v>
      </c>
      <c r="K10878" s="135" t="n">
        <f aca="false">$G10878*'Analyse capacite'!$E$8</f>
        <v>244</v>
      </c>
    </row>
    <row r="10879" customFormat="false" ht="15" hidden="false" customHeight="false" outlineLevel="0" collapsed="false">
      <c r="B10879" s="130" t="n">
        <v>2028</v>
      </c>
      <c r="C10879" s="131" t="s">
        <v>255</v>
      </c>
      <c r="D10879" s="132" t="n">
        <v>46780</v>
      </c>
      <c r="E10879" s="131" t="s">
        <v>12</v>
      </c>
      <c r="F10879" s="133" t="s">
        <v>24</v>
      </c>
      <c r="G10879" s="134" t="n">
        <f aca="false">LEN('Saisie programme'!$H$366)+SUMIFS('Vols additionnels'!$E$7:$E$66,'Vols additionnels'!$C$7:$C$66,$E10879,'Vols additionnels'!$D$7:$D$66,$F10879,'Vols additionnels'!$B$7:$B$66,$D10879)</f>
        <v>0</v>
      </c>
      <c r="H10879" s="135" t="n">
        <f aca="false">$G10879*'Analyse capacite'!$F$9</f>
        <v>0</v>
      </c>
      <c r="I10879" s="135" t="n">
        <f aca="false">$G10879*'Analyse capacite'!$C$9</f>
        <v>0</v>
      </c>
      <c r="J10879" s="135" t="n">
        <f aca="false">$G10879*'Analyse capacite'!$D$9</f>
        <v>0</v>
      </c>
      <c r="K10879" s="135" t="n">
        <f aca="false">$G10879*'Analyse capacite'!$E$9</f>
        <v>0</v>
      </c>
    </row>
    <row r="10880" customFormat="false" ht="15" hidden="false" customHeight="false" outlineLevel="0" collapsed="false">
      <c r="B10880" s="130" t="n">
        <v>2028</v>
      </c>
      <c r="C10880" s="131" t="s">
        <v>255</v>
      </c>
      <c r="D10880" s="132" t="n">
        <v>46780</v>
      </c>
      <c r="E10880" s="131" t="s">
        <v>20</v>
      </c>
      <c r="F10880" s="133" t="s">
        <v>11</v>
      </c>
      <c r="G10880" s="134" t="n">
        <f aca="false">LEN('Saisie programme'!$H$367)+SUMIFS('Vols additionnels'!$E$7:$E$66,'Vols additionnels'!$C$7:$C$66,$E10880,'Vols additionnels'!$D$7:$D$66,$F10880,'Vols additionnels'!$B$7:$B$66,$D10880)</f>
        <v>0</v>
      </c>
      <c r="H10880" s="135" t="n">
        <f aca="false">$G10880*'Analyse capacite'!$F$7</f>
        <v>0</v>
      </c>
      <c r="I10880" s="135" t="n">
        <f aca="false">$G10880*'Analyse capacite'!$C$7</f>
        <v>0</v>
      </c>
      <c r="J10880" s="135" t="n">
        <f aca="false">$G10880*'Analyse capacite'!$D$7</f>
        <v>0</v>
      </c>
      <c r="K10880" s="135" t="n">
        <f aca="false">$G10880*'Analyse capacite'!$E$7</f>
        <v>0</v>
      </c>
    </row>
    <row r="10881" customFormat="false" ht="15" hidden="false" customHeight="false" outlineLevel="0" collapsed="false">
      <c r="B10881" s="130" t="n">
        <v>2028</v>
      </c>
      <c r="C10881" s="131" t="s">
        <v>255</v>
      </c>
      <c r="D10881" s="132" t="n">
        <v>46780</v>
      </c>
      <c r="E10881" s="131" t="s">
        <v>20</v>
      </c>
      <c r="F10881" s="133" t="s">
        <v>19</v>
      </c>
      <c r="G10881" s="134" t="n">
        <f aca="false">LEN('Saisie programme'!$H$368)+SUMIFS('Vols additionnels'!$E$7:$E$66,'Vols additionnels'!$C$7:$C$66,$E10881,'Vols additionnels'!$D$7:$D$66,$F10881,'Vols additionnels'!$B$7:$B$66,$D10881)</f>
        <v>1</v>
      </c>
      <c r="H10881" s="135" t="n">
        <f aca="false">$G10881*'Analyse capacite'!$F$8</f>
        <v>262</v>
      </c>
      <c r="I10881" s="135" t="n">
        <f aca="false">$G10881*'Analyse capacite'!$C$8</f>
        <v>18</v>
      </c>
      <c r="J10881" s="135" t="n">
        <f aca="false">$G10881*'Analyse capacite'!$D$8</f>
        <v>0</v>
      </c>
      <c r="K10881" s="135" t="n">
        <f aca="false">$G10881*'Analyse capacite'!$E$8</f>
        <v>244</v>
      </c>
    </row>
    <row r="10882" customFormat="false" ht="15" hidden="false" customHeight="false" outlineLevel="0" collapsed="false">
      <c r="B10882" s="130" t="n">
        <v>2028</v>
      </c>
      <c r="C10882" s="131" t="s">
        <v>255</v>
      </c>
      <c r="D10882" s="132" t="n">
        <v>46780</v>
      </c>
      <c r="E10882" s="131" t="s">
        <v>20</v>
      </c>
      <c r="F10882" s="133" t="s">
        <v>24</v>
      </c>
      <c r="G10882" s="134" t="n">
        <f aca="false">LEN('Saisie programme'!$H$369)+SUMIFS('Vols additionnels'!$E$7:$E$66,'Vols additionnels'!$C$7:$C$66,$E10882,'Vols additionnels'!$D$7:$D$66,$F10882,'Vols additionnels'!$B$7:$B$66,$D10882)</f>
        <v>0</v>
      </c>
      <c r="H10882" s="135" t="n">
        <f aca="false">$G10882*'Analyse capacite'!$F$9</f>
        <v>0</v>
      </c>
      <c r="I10882" s="135" t="n">
        <f aca="false">$G10882*'Analyse capacite'!$C$9</f>
        <v>0</v>
      </c>
      <c r="J10882" s="135" t="n">
        <f aca="false">$G10882*'Analyse capacite'!$D$9</f>
        <v>0</v>
      </c>
      <c r="K10882" s="135" t="n">
        <f aca="false">$G10882*'Analyse capacite'!$E$9</f>
        <v>0</v>
      </c>
    </row>
    <row r="10883" customFormat="false" ht="15" hidden="false" customHeight="false" outlineLevel="0" collapsed="false">
      <c r="B10883" s="130" t="n">
        <v>2028</v>
      </c>
      <c r="C10883" s="131" t="s">
        <v>255</v>
      </c>
      <c r="D10883" s="132" t="n">
        <v>46780</v>
      </c>
      <c r="E10883" s="131" t="s">
        <v>25</v>
      </c>
      <c r="F10883" s="133" t="s">
        <v>11</v>
      </c>
      <c r="G10883" s="134" t="n">
        <f aca="false">LEN('Saisie programme'!$H$370)+SUMIFS('Vols additionnels'!$E$7:$E$66,'Vols additionnels'!$C$7:$C$66,$E10883,'Vols additionnels'!$D$7:$D$66,$F10883,'Vols additionnels'!$B$7:$B$66,$D10883)</f>
        <v>0</v>
      </c>
      <c r="H10883" s="135" t="n">
        <f aca="false">$G10883*'Analyse capacite'!$F$7</f>
        <v>0</v>
      </c>
      <c r="I10883" s="135" t="n">
        <f aca="false">$G10883*'Analyse capacite'!$C$7</f>
        <v>0</v>
      </c>
      <c r="J10883" s="135" t="n">
        <f aca="false">$G10883*'Analyse capacite'!$D$7</f>
        <v>0</v>
      </c>
      <c r="K10883" s="135" t="n">
        <f aca="false">$G10883*'Analyse capacite'!$E$7</f>
        <v>0</v>
      </c>
    </row>
    <row r="10884" customFormat="false" ht="15" hidden="false" customHeight="false" outlineLevel="0" collapsed="false">
      <c r="B10884" s="130" t="n">
        <v>2028</v>
      </c>
      <c r="C10884" s="131" t="s">
        <v>255</v>
      </c>
      <c r="D10884" s="132" t="n">
        <v>46780</v>
      </c>
      <c r="E10884" s="131" t="s">
        <v>25</v>
      </c>
      <c r="F10884" s="133" t="s">
        <v>19</v>
      </c>
      <c r="G10884" s="134" t="n">
        <f aca="false">LEN('Saisie programme'!$H$371)+SUMIFS('Vols additionnels'!$E$7:$E$66,'Vols additionnels'!$C$7:$C$66,$E10884,'Vols additionnels'!$D$7:$D$66,$F10884,'Vols additionnels'!$B$7:$B$66,$D10884)</f>
        <v>0</v>
      </c>
      <c r="H10884" s="135" t="n">
        <f aca="false">$G10884*'Analyse capacite'!$F$8</f>
        <v>0</v>
      </c>
      <c r="I10884" s="135" t="n">
        <f aca="false">$G10884*'Analyse capacite'!$C$8</f>
        <v>0</v>
      </c>
      <c r="J10884" s="135" t="n">
        <f aca="false">$G10884*'Analyse capacite'!$D$8</f>
        <v>0</v>
      </c>
      <c r="K10884" s="135" t="n">
        <f aca="false">$G10884*'Analyse capacite'!$E$8</f>
        <v>0</v>
      </c>
    </row>
    <row r="10885" customFormat="false" ht="15" hidden="false" customHeight="false" outlineLevel="0" collapsed="false">
      <c r="B10885" s="130" t="n">
        <v>2028</v>
      </c>
      <c r="C10885" s="131" t="s">
        <v>255</v>
      </c>
      <c r="D10885" s="132" t="n">
        <v>46780</v>
      </c>
      <c r="E10885" s="131" t="s">
        <v>25</v>
      </c>
      <c r="F10885" s="133" t="s">
        <v>24</v>
      </c>
      <c r="G10885" s="134" t="n">
        <f aca="false">LEN('Saisie programme'!$H$372)+SUMIFS('Vols additionnels'!$E$7:$E$66,'Vols additionnels'!$C$7:$C$66,$E10885,'Vols additionnels'!$D$7:$D$66,$F10885,'Vols additionnels'!$B$7:$B$66,$D10885)</f>
        <v>0</v>
      </c>
      <c r="H10885" s="135" t="n">
        <f aca="false">$G10885*'Analyse capacite'!$F$9</f>
        <v>0</v>
      </c>
      <c r="I10885" s="135" t="n">
        <f aca="false">$G10885*'Analyse capacite'!$C$9</f>
        <v>0</v>
      </c>
      <c r="J10885" s="135" t="n">
        <f aca="false">$G10885*'Analyse capacite'!$D$9</f>
        <v>0</v>
      </c>
      <c r="K10885" s="135" t="n">
        <f aca="false">$G10885*'Analyse capacite'!$E$9</f>
        <v>0</v>
      </c>
    </row>
    <row r="10886" customFormat="false" ht="15" hidden="false" customHeight="false" outlineLevel="0" collapsed="false">
      <c r="B10886" s="130" t="n">
        <v>2028</v>
      </c>
      <c r="C10886" s="131" t="s">
        <v>255</v>
      </c>
      <c r="D10886" s="132" t="n">
        <v>46780</v>
      </c>
      <c r="E10886" s="131" t="s">
        <v>36</v>
      </c>
      <c r="F10886" s="133" t="s">
        <v>11</v>
      </c>
      <c r="G10886" s="134" t="n">
        <f aca="false">LEN('Saisie programme'!$H$373)+SUMIFS('Vols additionnels'!$E$7:$E$66,'Vols additionnels'!$C$7:$C$66,$E10886,'Vols additionnels'!$D$7:$D$66,$F10886,'Vols additionnels'!$B$7:$B$66,$D10886)</f>
        <v>0</v>
      </c>
      <c r="H10886" s="135" t="n">
        <f aca="false">$G10886*'Analyse capacite'!$F$7</f>
        <v>0</v>
      </c>
      <c r="I10886" s="135" t="n">
        <f aca="false">$G10886*'Analyse capacite'!$C$7</f>
        <v>0</v>
      </c>
      <c r="J10886" s="135" t="n">
        <f aca="false">$G10886*'Analyse capacite'!$D$7</f>
        <v>0</v>
      </c>
      <c r="K10886" s="135" t="n">
        <f aca="false">$G10886*'Analyse capacite'!$E$7</f>
        <v>0</v>
      </c>
    </row>
    <row r="10887" customFormat="false" ht="15" hidden="false" customHeight="false" outlineLevel="0" collapsed="false">
      <c r="B10887" s="130" t="n">
        <v>2028</v>
      </c>
      <c r="C10887" s="131" t="s">
        <v>255</v>
      </c>
      <c r="D10887" s="132" t="n">
        <v>46780</v>
      </c>
      <c r="E10887" s="131" t="s">
        <v>36</v>
      </c>
      <c r="F10887" s="133" t="s">
        <v>19</v>
      </c>
      <c r="G10887" s="134" t="n">
        <f aca="false">LEN('Saisie programme'!$H$374)+SUMIFS('Vols additionnels'!$E$7:$E$66,'Vols additionnels'!$C$7:$C$66,$E10887,'Vols additionnels'!$D$7:$D$66,$F10887,'Vols additionnels'!$B$7:$B$66,$D10887)</f>
        <v>0</v>
      </c>
      <c r="H10887" s="135" t="n">
        <f aca="false">$G10887*'Analyse capacite'!$F$8</f>
        <v>0</v>
      </c>
      <c r="I10887" s="135" t="n">
        <f aca="false">$G10887*'Analyse capacite'!$C$8</f>
        <v>0</v>
      </c>
      <c r="J10887" s="135" t="n">
        <f aca="false">$G10887*'Analyse capacite'!$D$8</f>
        <v>0</v>
      </c>
      <c r="K10887" s="135" t="n">
        <f aca="false">$G10887*'Analyse capacite'!$E$8</f>
        <v>0</v>
      </c>
    </row>
    <row r="10888" customFormat="false" ht="15" hidden="false" customHeight="false" outlineLevel="0" collapsed="false">
      <c r="B10888" s="130" t="n">
        <v>2028</v>
      </c>
      <c r="C10888" s="131" t="s">
        <v>255</v>
      </c>
      <c r="D10888" s="132" t="n">
        <v>46780</v>
      </c>
      <c r="E10888" s="131" t="s">
        <v>36</v>
      </c>
      <c r="F10888" s="133" t="s">
        <v>24</v>
      </c>
      <c r="G10888" s="134" t="n">
        <f aca="false">LEN('Saisie programme'!$H$375)+SUMIFS('Vols additionnels'!$E$7:$E$66,'Vols additionnels'!$C$7:$C$66,$E10888,'Vols additionnels'!$D$7:$D$66,$F10888,'Vols additionnels'!$B$7:$B$66,$D10888)</f>
        <v>1</v>
      </c>
      <c r="H10888" s="135" t="n">
        <f aca="false">$G10888*'Analyse capacite'!$F$9</f>
        <v>174</v>
      </c>
      <c r="I10888" s="135" t="n">
        <f aca="false">$G10888*'Analyse capacite'!$C$9</f>
        <v>0</v>
      </c>
      <c r="J10888" s="135" t="n">
        <f aca="false">$G10888*'Analyse capacite'!$D$9</f>
        <v>12</v>
      </c>
      <c r="K10888" s="135" t="n">
        <f aca="false">$G10888*'Analyse capacite'!$E$9</f>
        <v>162</v>
      </c>
    </row>
    <row r="10889" customFormat="false" ht="15" hidden="false" customHeight="false" outlineLevel="0" collapsed="false">
      <c r="B10889" s="130" t="n">
        <v>2028</v>
      </c>
      <c r="C10889" s="131" t="s">
        <v>255</v>
      </c>
      <c r="D10889" s="132" t="n">
        <v>46780</v>
      </c>
      <c r="E10889" s="131" t="s">
        <v>40</v>
      </c>
      <c r="F10889" s="133" t="s">
        <v>11</v>
      </c>
      <c r="G10889" s="134" t="n">
        <f aca="false">LEN('Saisie programme'!$H$376)+SUMIFS('Vols additionnels'!$E$7:$E$66,'Vols additionnels'!$C$7:$C$66,$E10889,'Vols additionnels'!$D$7:$D$66,$F10889,'Vols additionnels'!$B$7:$B$66,$D10889)</f>
        <v>0</v>
      </c>
      <c r="H10889" s="135" t="n">
        <f aca="false">$G10889*'Analyse capacite'!$F$7</f>
        <v>0</v>
      </c>
      <c r="I10889" s="135" t="n">
        <f aca="false">$G10889*'Analyse capacite'!$C$7</f>
        <v>0</v>
      </c>
      <c r="J10889" s="135" t="n">
        <f aca="false">$G10889*'Analyse capacite'!$D$7</f>
        <v>0</v>
      </c>
      <c r="K10889" s="135" t="n">
        <f aca="false">$G10889*'Analyse capacite'!$E$7</f>
        <v>0</v>
      </c>
    </row>
    <row r="10890" customFormat="false" ht="15" hidden="false" customHeight="false" outlineLevel="0" collapsed="false">
      <c r="B10890" s="130" t="n">
        <v>2028</v>
      </c>
      <c r="C10890" s="131" t="s">
        <v>255</v>
      </c>
      <c r="D10890" s="132" t="n">
        <v>46780</v>
      </c>
      <c r="E10890" s="131" t="s">
        <v>40</v>
      </c>
      <c r="F10890" s="133" t="s">
        <v>19</v>
      </c>
      <c r="G10890" s="134" t="n">
        <f aca="false">LEN('Saisie programme'!$H$377)+SUMIFS('Vols additionnels'!$E$7:$E$66,'Vols additionnels'!$C$7:$C$66,$E10890,'Vols additionnels'!$D$7:$D$66,$F10890,'Vols additionnels'!$B$7:$B$66,$D10890)</f>
        <v>0</v>
      </c>
      <c r="H10890" s="135" t="n">
        <f aca="false">$G10890*'Analyse capacite'!$F$8</f>
        <v>0</v>
      </c>
      <c r="I10890" s="135" t="n">
        <f aca="false">$G10890*'Analyse capacite'!$C$8</f>
        <v>0</v>
      </c>
      <c r="J10890" s="135" t="n">
        <f aca="false">$G10890*'Analyse capacite'!$D$8</f>
        <v>0</v>
      </c>
      <c r="K10890" s="135" t="n">
        <f aca="false">$G10890*'Analyse capacite'!$E$8</f>
        <v>0</v>
      </c>
    </row>
    <row r="10891" customFormat="false" ht="15" hidden="false" customHeight="false" outlineLevel="0" collapsed="false">
      <c r="B10891" s="130" t="n">
        <v>2028</v>
      </c>
      <c r="C10891" s="131" t="s">
        <v>255</v>
      </c>
      <c r="D10891" s="132" t="n">
        <v>46780</v>
      </c>
      <c r="E10891" s="131" t="s">
        <v>40</v>
      </c>
      <c r="F10891" s="133" t="s">
        <v>24</v>
      </c>
      <c r="G10891" s="134" t="n">
        <f aca="false">LEN('Saisie programme'!$H$378)+SUMIFS('Vols additionnels'!$E$7:$E$66,'Vols additionnels'!$C$7:$C$66,$E10891,'Vols additionnels'!$D$7:$D$66,$F10891,'Vols additionnels'!$B$7:$B$66,$D10891)</f>
        <v>1</v>
      </c>
      <c r="H10891" s="135" t="n">
        <f aca="false">$G10891*'Analyse capacite'!$F$9</f>
        <v>174</v>
      </c>
      <c r="I10891" s="135" t="n">
        <f aca="false">$G10891*'Analyse capacite'!$C$9</f>
        <v>0</v>
      </c>
      <c r="J10891" s="135" t="n">
        <f aca="false">$G10891*'Analyse capacite'!$D$9</f>
        <v>12</v>
      </c>
      <c r="K10891" s="135" t="n">
        <f aca="false">$G10891*'Analyse capacite'!$E$9</f>
        <v>162</v>
      </c>
    </row>
    <row r="10892" customFormat="false" ht="15" hidden="false" customHeight="false" outlineLevel="0" collapsed="false">
      <c r="B10892" s="130" t="n">
        <v>2028</v>
      </c>
      <c r="C10892" s="131" t="s">
        <v>255</v>
      </c>
      <c r="D10892" s="132" t="n">
        <v>46780</v>
      </c>
      <c r="E10892" s="131" t="s">
        <v>14</v>
      </c>
      <c r="F10892" s="133" t="s">
        <v>11</v>
      </c>
      <c r="G10892" s="134" t="n">
        <f aca="false">LEN('Saisie programme'!$H$379)+SUMIFS('Vols additionnels'!$E$7:$E$66,'Vols additionnels'!$C$7:$C$66,$E10892,'Vols additionnels'!$D$7:$D$66,$F10892,'Vols additionnels'!$B$7:$B$66,$D10892)</f>
        <v>0</v>
      </c>
      <c r="H10892" s="135" t="n">
        <f aca="false">$G10892*'Analyse capacite'!$F$7</f>
        <v>0</v>
      </c>
      <c r="I10892" s="135" t="n">
        <f aca="false">$G10892*'Analyse capacite'!$C$7</f>
        <v>0</v>
      </c>
      <c r="J10892" s="135" t="n">
        <f aca="false">$G10892*'Analyse capacite'!$D$7</f>
        <v>0</v>
      </c>
      <c r="K10892" s="135" t="n">
        <f aca="false">$G10892*'Analyse capacite'!$E$7</f>
        <v>0</v>
      </c>
    </row>
    <row r="10893" customFormat="false" ht="15" hidden="false" customHeight="false" outlineLevel="0" collapsed="false">
      <c r="B10893" s="130" t="n">
        <v>2028</v>
      </c>
      <c r="C10893" s="131" t="s">
        <v>255</v>
      </c>
      <c r="D10893" s="132" t="n">
        <v>46780</v>
      </c>
      <c r="E10893" s="131" t="s">
        <v>14</v>
      </c>
      <c r="F10893" s="133" t="s">
        <v>19</v>
      </c>
      <c r="G10893" s="134" t="n">
        <f aca="false">LEN('Saisie programme'!$H$380)+SUMIFS('Vols additionnels'!$E$7:$E$66,'Vols additionnels'!$C$7:$C$66,$E10893,'Vols additionnels'!$D$7:$D$66,$F10893,'Vols additionnels'!$B$7:$B$66,$D10893)</f>
        <v>0</v>
      </c>
      <c r="H10893" s="135" t="n">
        <f aca="false">$G10893*'Analyse capacite'!$F$8</f>
        <v>0</v>
      </c>
      <c r="I10893" s="135" t="n">
        <f aca="false">$G10893*'Analyse capacite'!$C$8</f>
        <v>0</v>
      </c>
      <c r="J10893" s="135" t="n">
        <f aca="false">$G10893*'Analyse capacite'!$D$8</f>
        <v>0</v>
      </c>
      <c r="K10893" s="135" t="n">
        <f aca="false">$G10893*'Analyse capacite'!$E$8</f>
        <v>0</v>
      </c>
    </row>
    <row r="10894" customFormat="false" ht="15" hidden="false" customHeight="false" outlineLevel="0" collapsed="false">
      <c r="B10894" s="130" t="n">
        <v>2028</v>
      </c>
      <c r="C10894" s="131" t="s">
        <v>255</v>
      </c>
      <c r="D10894" s="132" t="n">
        <v>46780</v>
      </c>
      <c r="E10894" s="131" t="s">
        <v>14</v>
      </c>
      <c r="F10894" s="133" t="s">
        <v>24</v>
      </c>
      <c r="G10894" s="134" t="n">
        <f aca="false">LEN('Saisie programme'!$H$381)+SUMIFS('Vols additionnels'!$E$7:$E$66,'Vols additionnels'!$C$7:$C$66,$E10894,'Vols additionnels'!$D$7:$D$66,$F10894,'Vols additionnels'!$B$7:$B$66,$D10894)</f>
        <v>0</v>
      </c>
      <c r="H10894" s="135" t="n">
        <f aca="false">$G10894*'Analyse capacite'!$F$9</f>
        <v>0</v>
      </c>
      <c r="I10894" s="135" t="n">
        <f aca="false">$G10894*'Analyse capacite'!$C$9</f>
        <v>0</v>
      </c>
      <c r="J10894" s="135" t="n">
        <f aca="false">$G10894*'Analyse capacite'!$D$9</f>
        <v>0</v>
      </c>
      <c r="K10894" s="135" t="n">
        <f aca="false">$G10894*'Analyse capacite'!$E$9</f>
        <v>0</v>
      </c>
    </row>
    <row r="10895" customFormat="false" ht="15" hidden="false" customHeight="false" outlineLevel="0" collapsed="false">
      <c r="B10895" s="130" t="n">
        <v>2028</v>
      </c>
      <c r="C10895" s="131" t="s">
        <v>255</v>
      </c>
      <c r="D10895" s="132" t="n">
        <v>46780</v>
      </c>
      <c r="E10895" s="131" t="s">
        <v>46</v>
      </c>
      <c r="F10895" s="133" t="s">
        <v>11</v>
      </c>
      <c r="G10895" s="134" t="n">
        <f aca="false">LEN('Saisie programme'!$H$382)+SUMIFS('Vols additionnels'!$E$7:$E$66,'Vols additionnels'!$C$7:$C$66,$E10895,'Vols additionnels'!$D$7:$D$66,$F10895,'Vols additionnels'!$B$7:$B$66,$D10895)</f>
        <v>0</v>
      </c>
      <c r="H10895" s="135" t="n">
        <f aca="false">$G10895*'Analyse capacite'!$F$7</f>
        <v>0</v>
      </c>
      <c r="I10895" s="135" t="n">
        <f aca="false">$G10895*'Analyse capacite'!$C$7</f>
        <v>0</v>
      </c>
      <c r="J10895" s="135" t="n">
        <f aca="false">$G10895*'Analyse capacite'!$D$7</f>
        <v>0</v>
      </c>
      <c r="K10895" s="135" t="n">
        <f aca="false">$G10895*'Analyse capacite'!$E$7</f>
        <v>0</v>
      </c>
    </row>
    <row r="10896" customFormat="false" ht="15" hidden="false" customHeight="false" outlineLevel="0" collapsed="false">
      <c r="B10896" s="130" t="n">
        <v>2028</v>
      </c>
      <c r="C10896" s="131" t="s">
        <v>255</v>
      </c>
      <c r="D10896" s="132" t="n">
        <v>46780</v>
      </c>
      <c r="E10896" s="131" t="s">
        <v>46</v>
      </c>
      <c r="F10896" s="133" t="s">
        <v>19</v>
      </c>
      <c r="G10896" s="134" t="n">
        <f aca="false">LEN('Saisie programme'!$H$383)+SUMIFS('Vols additionnels'!$E$7:$E$66,'Vols additionnels'!$C$7:$C$66,$E10896,'Vols additionnels'!$D$7:$D$66,$F10896,'Vols additionnels'!$B$7:$B$66,$D10896)</f>
        <v>0</v>
      </c>
      <c r="H10896" s="135" t="n">
        <f aca="false">$G10896*'Analyse capacite'!$F$8</f>
        <v>0</v>
      </c>
      <c r="I10896" s="135" t="n">
        <f aca="false">$G10896*'Analyse capacite'!$C$8</f>
        <v>0</v>
      </c>
      <c r="J10896" s="135" t="n">
        <f aca="false">$G10896*'Analyse capacite'!$D$8</f>
        <v>0</v>
      </c>
      <c r="K10896" s="135" t="n">
        <f aca="false">$G10896*'Analyse capacite'!$E$8</f>
        <v>0</v>
      </c>
    </row>
    <row r="10897" customFormat="false" ht="15" hidden="false" customHeight="false" outlineLevel="0" collapsed="false">
      <c r="B10897" s="130" t="n">
        <v>2028</v>
      </c>
      <c r="C10897" s="131" t="s">
        <v>255</v>
      </c>
      <c r="D10897" s="132" t="n">
        <v>46780</v>
      </c>
      <c r="E10897" s="131" t="s">
        <v>46</v>
      </c>
      <c r="F10897" s="133" t="s">
        <v>24</v>
      </c>
      <c r="G10897" s="134" t="n">
        <f aca="false">LEN('Saisie programme'!$H$384)+SUMIFS('Vols additionnels'!$E$7:$E$66,'Vols additionnels'!$C$7:$C$66,$E10897,'Vols additionnels'!$D$7:$D$66,$F10897,'Vols additionnels'!$B$7:$B$66,$D10897)</f>
        <v>0</v>
      </c>
      <c r="H10897" s="135" t="n">
        <f aca="false">$G10897*'Analyse capacite'!$F$9</f>
        <v>0</v>
      </c>
      <c r="I10897" s="135" t="n">
        <f aca="false">$G10897*'Analyse capacite'!$C$9</f>
        <v>0</v>
      </c>
      <c r="J10897" s="135" t="n">
        <f aca="false">$G10897*'Analyse capacite'!$D$9</f>
        <v>0</v>
      </c>
      <c r="K10897" s="135" t="n">
        <f aca="false">$G10897*'Analyse capacite'!$E$9</f>
        <v>0</v>
      </c>
    </row>
    <row r="10898" customFormat="false" ht="15" hidden="false" customHeight="false" outlineLevel="0" collapsed="false">
      <c r="B10898" s="130" t="n">
        <v>2028</v>
      </c>
      <c r="C10898" s="131" t="s">
        <v>255</v>
      </c>
      <c r="D10898" s="132" t="n">
        <v>46780</v>
      </c>
      <c r="E10898" s="131" t="s">
        <v>49</v>
      </c>
      <c r="F10898" s="133" t="s">
        <v>11</v>
      </c>
      <c r="G10898" s="134" t="n">
        <f aca="false">LEN('Saisie programme'!$H$385)+SUMIFS('Vols additionnels'!$E$7:$E$66,'Vols additionnels'!$C$7:$C$66,$E10898,'Vols additionnels'!$D$7:$D$66,$F10898,'Vols additionnels'!$B$7:$B$66,$D10898)</f>
        <v>0</v>
      </c>
      <c r="H10898" s="135" t="n">
        <f aca="false">$G10898*'Analyse capacite'!$F$7</f>
        <v>0</v>
      </c>
      <c r="I10898" s="135" t="n">
        <f aca="false">$G10898*'Analyse capacite'!$C$7</f>
        <v>0</v>
      </c>
      <c r="J10898" s="135" t="n">
        <f aca="false">$G10898*'Analyse capacite'!$D$7</f>
        <v>0</v>
      </c>
      <c r="K10898" s="135" t="n">
        <f aca="false">$G10898*'Analyse capacite'!$E$7</f>
        <v>0</v>
      </c>
    </row>
    <row r="10899" customFormat="false" ht="15" hidden="false" customHeight="false" outlineLevel="0" collapsed="false">
      <c r="B10899" s="130" t="n">
        <v>2028</v>
      </c>
      <c r="C10899" s="131" t="s">
        <v>255</v>
      </c>
      <c r="D10899" s="132" t="n">
        <v>46780</v>
      </c>
      <c r="E10899" s="131" t="s">
        <v>49</v>
      </c>
      <c r="F10899" s="133" t="s">
        <v>19</v>
      </c>
      <c r="G10899" s="134" t="n">
        <f aca="false">LEN('Saisie programme'!$H$386)+SUMIFS('Vols additionnels'!$E$7:$E$66,'Vols additionnels'!$C$7:$C$66,$E10899,'Vols additionnels'!$D$7:$D$66,$F10899,'Vols additionnels'!$B$7:$B$66,$D10899)</f>
        <v>1</v>
      </c>
      <c r="H10899" s="135" t="n">
        <f aca="false">$G10899*'Analyse capacite'!$F$8</f>
        <v>262</v>
      </c>
      <c r="I10899" s="135" t="n">
        <f aca="false">$G10899*'Analyse capacite'!$C$8</f>
        <v>18</v>
      </c>
      <c r="J10899" s="135" t="n">
        <f aca="false">$G10899*'Analyse capacite'!$D$8</f>
        <v>0</v>
      </c>
      <c r="K10899" s="135" t="n">
        <f aca="false">$G10899*'Analyse capacite'!$E$8</f>
        <v>244</v>
      </c>
    </row>
    <row r="10900" customFormat="false" ht="15" hidden="false" customHeight="false" outlineLevel="0" collapsed="false">
      <c r="B10900" s="130" t="n">
        <v>2028</v>
      </c>
      <c r="C10900" s="131" t="s">
        <v>255</v>
      </c>
      <c r="D10900" s="132" t="n">
        <v>46780</v>
      </c>
      <c r="E10900" s="131" t="s">
        <v>49</v>
      </c>
      <c r="F10900" s="133" t="s">
        <v>24</v>
      </c>
      <c r="G10900" s="134" t="n">
        <f aca="false">LEN('Saisie programme'!$H$387)+SUMIFS('Vols additionnels'!$E$7:$E$66,'Vols additionnels'!$C$7:$C$66,$E10900,'Vols additionnels'!$D$7:$D$66,$F10900,'Vols additionnels'!$B$7:$B$66,$D10900)</f>
        <v>0</v>
      </c>
      <c r="H10900" s="135" t="n">
        <f aca="false">$G10900*'Analyse capacite'!$F$9</f>
        <v>0</v>
      </c>
      <c r="I10900" s="135" t="n">
        <f aca="false">$G10900*'Analyse capacite'!$C$9</f>
        <v>0</v>
      </c>
      <c r="J10900" s="135" t="n">
        <f aca="false">$G10900*'Analyse capacite'!$D$9</f>
        <v>0</v>
      </c>
      <c r="K10900" s="135" t="n">
        <f aca="false">$G10900*'Analyse capacite'!$E$9</f>
        <v>0</v>
      </c>
    </row>
    <row r="10901" customFormat="false" ht="15" hidden="false" customHeight="false" outlineLevel="0" collapsed="false">
      <c r="B10901" s="130" t="n">
        <v>2028</v>
      </c>
      <c r="C10901" s="131" t="s">
        <v>255</v>
      </c>
      <c r="D10901" s="132" t="n">
        <v>46780</v>
      </c>
      <c r="E10901" s="131" t="s">
        <v>53</v>
      </c>
      <c r="F10901" s="133" t="s">
        <v>11</v>
      </c>
      <c r="G10901" s="134" t="n">
        <f aca="false">LEN('Saisie programme'!$H$388)+SUMIFS('Vols additionnels'!$E$7:$E$66,'Vols additionnels'!$C$7:$C$66,$E10901,'Vols additionnels'!$D$7:$D$66,$F10901,'Vols additionnels'!$B$7:$B$66,$D10901)</f>
        <v>0</v>
      </c>
      <c r="H10901" s="135" t="n">
        <f aca="false">$G10901*'Analyse capacite'!$F$7</f>
        <v>0</v>
      </c>
      <c r="I10901" s="135" t="n">
        <f aca="false">$G10901*'Analyse capacite'!$C$7</f>
        <v>0</v>
      </c>
      <c r="J10901" s="135" t="n">
        <f aca="false">$G10901*'Analyse capacite'!$D$7</f>
        <v>0</v>
      </c>
      <c r="K10901" s="135" t="n">
        <f aca="false">$G10901*'Analyse capacite'!$E$7</f>
        <v>0</v>
      </c>
    </row>
    <row r="10902" customFormat="false" ht="15" hidden="false" customHeight="false" outlineLevel="0" collapsed="false">
      <c r="B10902" s="130" t="n">
        <v>2028</v>
      </c>
      <c r="C10902" s="131" t="s">
        <v>255</v>
      </c>
      <c r="D10902" s="132" t="n">
        <v>46780</v>
      </c>
      <c r="E10902" s="131" t="s">
        <v>53</v>
      </c>
      <c r="F10902" s="133" t="s">
        <v>19</v>
      </c>
      <c r="G10902" s="134" t="n">
        <f aca="false">LEN('Saisie programme'!$H$389)+SUMIFS('Vols additionnels'!$E$7:$E$66,'Vols additionnels'!$C$7:$C$66,$E10902,'Vols additionnels'!$D$7:$D$66,$F10902,'Vols additionnels'!$B$7:$B$66,$D10902)</f>
        <v>0</v>
      </c>
      <c r="H10902" s="135" t="n">
        <f aca="false">$G10902*'Analyse capacite'!$F$8</f>
        <v>0</v>
      </c>
      <c r="I10902" s="135" t="n">
        <f aca="false">$G10902*'Analyse capacite'!$C$8</f>
        <v>0</v>
      </c>
      <c r="J10902" s="135" t="n">
        <f aca="false">$G10902*'Analyse capacite'!$D$8</f>
        <v>0</v>
      </c>
      <c r="K10902" s="135" t="n">
        <f aca="false">$G10902*'Analyse capacite'!$E$8</f>
        <v>0</v>
      </c>
    </row>
    <row r="10903" customFormat="false" ht="15" hidden="false" customHeight="false" outlineLevel="0" collapsed="false">
      <c r="B10903" s="130" t="n">
        <v>2028</v>
      </c>
      <c r="C10903" s="131" t="s">
        <v>255</v>
      </c>
      <c r="D10903" s="132" t="n">
        <v>46780</v>
      </c>
      <c r="E10903" s="131" t="s">
        <v>53</v>
      </c>
      <c r="F10903" s="133" t="s">
        <v>24</v>
      </c>
      <c r="G10903" s="134" t="n">
        <f aca="false">LEN('Saisie programme'!$H$390)+SUMIFS('Vols additionnels'!$E$7:$E$66,'Vols additionnels'!$C$7:$C$66,$E10903,'Vols additionnels'!$D$7:$D$66,$F10903,'Vols additionnels'!$B$7:$B$66,$D10903)</f>
        <v>0</v>
      </c>
      <c r="H10903" s="135" t="n">
        <f aca="false">$G10903*'Analyse capacite'!$F$9</f>
        <v>0</v>
      </c>
      <c r="I10903" s="135" t="n">
        <f aca="false">$G10903*'Analyse capacite'!$C$9</f>
        <v>0</v>
      </c>
      <c r="J10903" s="135" t="n">
        <f aca="false">$G10903*'Analyse capacite'!$D$9</f>
        <v>0</v>
      </c>
      <c r="K10903" s="135" t="n">
        <f aca="false">$G10903*'Analyse capacite'!$E$9</f>
        <v>0</v>
      </c>
    </row>
    <row r="10904" customFormat="false" ht="15" hidden="false" customHeight="false" outlineLevel="0" collapsed="false">
      <c r="B10904" s="130" t="n">
        <v>2028</v>
      </c>
      <c r="C10904" s="131" t="s">
        <v>255</v>
      </c>
      <c r="D10904" s="132" t="n">
        <v>46780</v>
      </c>
      <c r="E10904" s="131" t="s">
        <v>56</v>
      </c>
      <c r="F10904" s="133" t="s">
        <v>11</v>
      </c>
      <c r="G10904" s="134" t="n">
        <f aca="false">LEN('Saisie programme'!$H$391)+SUMIFS('Vols additionnels'!$E$7:$E$66,'Vols additionnels'!$C$7:$C$66,$E10904,'Vols additionnels'!$D$7:$D$66,$F10904,'Vols additionnels'!$B$7:$B$66,$D10904)</f>
        <v>0</v>
      </c>
      <c r="H10904" s="135" t="n">
        <f aca="false">$G10904*'Analyse capacite'!$F$7</f>
        <v>0</v>
      </c>
      <c r="I10904" s="135" t="n">
        <f aca="false">$G10904*'Analyse capacite'!$C$7</f>
        <v>0</v>
      </c>
      <c r="J10904" s="135" t="n">
        <f aca="false">$G10904*'Analyse capacite'!$D$7</f>
        <v>0</v>
      </c>
      <c r="K10904" s="135" t="n">
        <f aca="false">$G10904*'Analyse capacite'!$E$7</f>
        <v>0</v>
      </c>
    </row>
    <row r="10905" customFormat="false" ht="15" hidden="false" customHeight="false" outlineLevel="0" collapsed="false">
      <c r="B10905" s="130" t="n">
        <v>2028</v>
      </c>
      <c r="C10905" s="131" t="s">
        <v>255</v>
      </c>
      <c r="D10905" s="132" t="n">
        <v>46780</v>
      </c>
      <c r="E10905" s="131" t="s">
        <v>56</v>
      </c>
      <c r="F10905" s="133" t="s">
        <v>19</v>
      </c>
      <c r="G10905" s="134" t="n">
        <f aca="false">LEN('Saisie programme'!$H$392)+SUMIFS('Vols additionnels'!$E$7:$E$66,'Vols additionnels'!$C$7:$C$66,$E10905,'Vols additionnels'!$D$7:$D$66,$F10905,'Vols additionnels'!$B$7:$B$66,$D10905)</f>
        <v>0</v>
      </c>
      <c r="H10905" s="135" t="n">
        <f aca="false">$G10905*'Analyse capacite'!$F$8</f>
        <v>0</v>
      </c>
      <c r="I10905" s="135" t="n">
        <f aca="false">$G10905*'Analyse capacite'!$C$8</f>
        <v>0</v>
      </c>
      <c r="J10905" s="135" t="n">
        <f aca="false">$G10905*'Analyse capacite'!$D$8</f>
        <v>0</v>
      </c>
      <c r="K10905" s="135" t="n">
        <f aca="false">$G10905*'Analyse capacite'!$E$8</f>
        <v>0</v>
      </c>
    </row>
    <row r="10906" customFormat="false" ht="15" hidden="false" customHeight="false" outlineLevel="0" collapsed="false">
      <c r="B10906" s="130" t="n">
        <v>2028</v>
      </c>
      <c r="C10906" s="131" t="s">
        <v>255</v>
      </c>
      <c r="D10906" s="132" t="n">
        <v>46780</v>
      </c>
      <c r="E10906" s="131" t="s">
        <v>56</v>
      </c>
      <c r="F10906" s="133" t="s">
        <v>24</v>
      </c>
      <c r="G10906" s="134" t="n">
        <f aca="false">LEN('Saisie programme'!$H$393)+SUMIFS('Vols additionnels'!$E$7:$E$66,'Vols additionnels'!$C$7:$C$66,$E10906,'Vols additionnels'!$D$7:$D$66,$F10906,'Vols additionnels'!$B$7:$B$66,$D10906)</f>
        <v>0</v>
      </c>
      <c r="H10906" s="135" t="n">
        <f aca="false">$G10906*'Analyse capacite'!$F$9</f>
        <v>0</v>
      </c>
      <c r="I10906" s="135" t="n">
        <f aca="false">$G10906*'Analyse capacite'!$C$9</f>
        <v>0</v>
      </c>
      <c r="J10906" s="135" t="n">
        <f aca="false">$G10906*'Analyse capacite'!$D$9</f>
        <v>0</v>
      </c>
      <c r="K10906" s="135" t="n">
        <f aca="false">$G10906*'Analyse capacite'!$E$9</f>
        <v>0</v>
      </c>
    </row>
    <row r="10907" customFormat="false" ht="15" hidden="false" customHeight="false" outlineLevel="0" collapsed="false">
      <c r="B10907" s="130" t="n">
        <v>2028</v>
      </c>
      <c r="C10907" s="131" t="s">
        <v>255</v>
      </c>
      <c r="D10907" s="132" t="n">
        <v>46780</v>
      </c>
      <c r="E10907" s="131" t="s">
        <v>59</v>
      </c>
      <c r="F10907" s="133" t="s">
        <v>11</v>
      </c>
      <c r="G10907" s="134" t="n">
        <f aca="false">LEN('Saisie programme'!$H$394)+SUMIFS('Vols additionnels'!$E$7:$E$66,'Vols additionnels'!$C$7:$C$66,$E10907,'Vols additionnels'!$D$7:$D$66,$F10907,'Vols additionnels'!$B$7:$B$66,$D10907)</f>
        <v>0</v>
      </c>
      <c r="H10907" s="135" t="n">
        <f aca="false">$G10907*'Analyse capacite'!$F$7</f>
        <v>0</v>
      </c>
      <c r="I10907" s="135" t="n">
        <f aca="false">$G10907*'Analyse capacite'!$C$7</f>
        <v>0</v>
      </c>
      <c r="J10907" s="135" t="n">
        <f aca="false">$G10907*'Analyse capacite'!$D$7</f>
        <v>0</v>
      </c>
      <c r="K10907" s="135" t="n">
        <f aca="false">$G10907*'Analyse capacite'!$E$7</f>
        <v>0</v>
      </c>
    </row>
    <row r="10908" customFormat="false" ht="15" hidden="false" customHeight="false" outlineLevel="0" collapsed="false">
      <c r="B10908" s="130" t="n">
        <v>2028</v>
      </c>
      <c r="C10908" s="131" t="s">
        <v>255</v>
      </c>
      <c r="D10908" s="132" t="n">
        <v>46780</v>
      </c>
      <c r="E10908" s="131" t="s">
        <v>59</v>
      </c>
      <c r="F10908" s="133" t="s">
        <v>19</v>
      </c>
      <c r="G10908" s="134" t="n">
        <f aca="false">LEN('Saisie programme'!$H$395)+SUMIFS('Vols additionnels'!$E$7:$E$66,'Vols additionnels'!$C$7:$C$66,$E10908,'Vols additionnels'!$D$7:$D$66,$F10908,'Vols additionnels'!$B$7:$B$66,$D10908)</f>
        <v>0</v>
      </c>
      <c r="H10908" s="135" t="n">
        <f aca="false">$G10908*'Analyse capacite'!$F$8</f>
        <v>0</v>
      </c>
      <c r="I10908" s="135" t="n">
        <f aca="false">$G10908*'Analyse capacite'!$C$8</f>
        <v>0</v>
      </c>
      <c r="J10908" s="135" t="n">
        <f aca="false">$G10908*'Analyse capacite'!$D$8</f>
        <v>0</v>
      </c>
      <c r="K10908" s="135" t="n">
        <f aca="false">$G10908*'Analyse capacite'!$E$8</f>
        <v>0</v>
      </c>
    </row>
    <row r="10909" customFormat="false" ht="15" hidden="false" customHeight="false" outlineLevel="0" collapsed="false">
      <c r="B10909" s="130" t="n">
        <v>2028</v>
      </c>
      <c r="C10909" s="131" t="s">
        <v>255</v>
      </c>
      <c r="D10909" s="132" t="n">
        <v>46780</v>
      </c>
      <c r="E10909" s="131" t="s">
        <v>59</v>
      </c>
      <c r="F10909" s="133" t="s">
        <v>24</v>
      </c>
      <c r="G10909" s="134" t="n">
        <f aca="false">LEN('Saisie programme'!$H$396)+SUMIFS('Vols additionnels'!$E$7:$E$66,'Vols additionnels'!$C$7:$C$66,$E10909,'Vols additionnels'!$D$7:$D$66,$F10909,'Vols additionnels'!$B$7:$B$66,$D10909)</f>
        <v>1</v>
      </c>
      <c r="H10909" s="135" t="n">
        <f aca="false">$G10909*'Analyse capacite'!$F$9</f>
        <v>174</v>
      </c>
      <c r="I10909" s="135" t="n">
        <f aca="false">$G10909*'Analyse capacite'!$C$9</f>
        <v>0</v>
      </c>
      <c r="J10909" s="135" t="n">
        <f aca="false">$G10909*'Analyse capacite'!$D$9</f>
        <v>12</v>
      </c>
      <c r="K10909" s="135" t="n">
        <f aca="false">$G10909*'Analyse capacite'!$E$9</f>
        <v>162</v>
      </c>
    </row>
    <row r="10910" customFormat="false" ht="15" hidden="false" customHeight="false" outlineLevel="0" collapsed="false">
      <c r="B10910" s="130" t="n">
        <v>2028</v>
      </c>
      <c r="C10910" s="131" t="s">
        <v>255</v>
      </c>
      <c r="D10910" s="132" t="n">
        <v>46780</v>
      </c>
      <c r="E10910" s="131" t="s">
        <v>62</v>
      </c>
      <c r="F10910" s="133" t="s">
        <v>11</v>
      </c>
      <c r="G10910" s="134" t="n">
        <f aca="false">LEN('Saisie programme'!$H$397)+SUMIFS('Vols additionnels'!$E$7:$E$66,'Vols additionnels'!$C$7:$C$66,$E10910,'Vols additionnels'!$D$7:$D$66,$F10910,'Vols additionnels'!$B$7:$B$66,$D10910)</f>
        <v>0</v>
      </c>
      <c r="H10910" s="135" t="n">
        <f aca="false">$G10910*'Analyse capacite'!$F$7</f>
        <v>0</v>
      </c>
      <c r="I10910" s="135" t="n">
        <f aca="false">$G10910*'Analyse capacite'!$C$7</f>
        <v>0</v>
      </c>
      <c r="J10910" s="135" t="n">
        <f aca="false">$G10910*'Analyse capacite'!$D$7</f>
        <v>0</v>
      </c>
      <c r="K10910" s="135" t="n">
        <f aca="false">$G10910*'Analyse capacite'!$E$7</f>
        <v>0</v>
      </c>
    </row>
    <row r="10911" customFormat="false" ht="15" hidden="false" customHeight="false" outlineLevel="0" collapsed="false">
      <c r="B10911" s="130" t="n">
        <v>2028</v>
      </c>
      <c r="C10911" s="131" t="s">
        <v>255</v>
      </c>
      <c r="D10911" s="132" t="n">
        <v>46780</v>
      </c>
      <c r="E10911" s="131" t="s">
        <v>62</v>
      </c>
      <c r="F10911" s="133" t="s">
        <v>19</v>
      </c>
      <c r="G10911" s="134" t="n">
        <f aca="false">LEN('Saisie programme'!$H$398)+SUMIFS('Vols additionnels'!$E$7:$E$66,'Vols additionnels'!$C$7:$C$66,$E10911,'Vols additionnels'!$D$7:$D$66,$F10911,'Vols additionnels'!$B$7:$B$66,$D10911)</f>
        <v>0</v>
      </c>
      <c r="H10911" s="135" t="n">
        <f aca="false">$G10911*'Analyse capacite'!$F$8</f>
        <v>0</v>
      </c>
      <c r="I10911" s="135" t="n">
        <f aca="false">$G10911*'Analyse capacite'!$C$8</f>
        <v>0</v>
      </c>
      <c r="J10911" s="135" t="n">
        <f aca="false">$G10911*'Analyse capacite'!$D$8</f>
        <v>0</v>
      </c>
      <c r="K10911" s="135" t="n">
        <f aca="false">$G10911*'Analyse capacite'!$E$8</f>
        <v>0</v>
      </c>
    </row>
    <row r="10912" customFormat="false" ht="15" hidden="false" customHeight="false" outlineLevel="0" collapsed="false">
      <c r="B10912" s="130" t="n">
        <v>2028</v>
      </c>
      <c r="C10912" s="131" t="s">
        <v>255</v>
      </c>
      <c r="D10912" s="132" t="n">
        <v>46780</v>
      </c>
      <c r="E10912" s="131" t="s">
        <v>62</v>
      </c>
      <c r="F10912" s="133" t="s">
        <v>24</v>
      </c>
      <c r="G10912" s="134" t="n">
        <f aca="false">LEN('Saisie programme'!$H$399)+SUMIFS('Vols additionnels'!$E$7:$E$66,'Vols additionnels'!$C$7:$C$66,$E10912,'Vols additionnels'!$D$7:$D$66,$F10912,'Vols additionnels'!$B$7:$B$66,$D10912)</f>
        <v>0</v>
      </c>
      <c r="H10912" s="135" t="n">
        <f aca="false">$G10912*'Analyse capacite'!$F$9</f>
        <v>0</v>
      </c>
      <c r="I10912" s="135" t="n">
        <f aca="false">$G10912*'Analyse capacite'!$C$9</f>
        <v>0</v>
      </c>
      <c r="J10912" s="135" t="n">
        <f aca="false">$G10912*'Analyse capacite'!$D$9</f>
        <v>0</v>
      </c>
      <c r="K10912" s="135" t="n">
        <f aca="false">$G10912*'Analyse capacite'!$E$9</f>
        <v>0</v>
      </c>
    </row>
    <row r="10913" customFormat="false" ht="15" hidden="false" customHeight="false" outlineLevel="0" collapsed="false">
      <c r="B10913" s="130" t="n">
        <v>2028</v>
      </c>
      <c r="C10913" s="131" t="s">
        <v>255</v>
      </c>
      <c r="D10913" s="132" t="n">
        <v>46781</v>
      </c>
      <c r="E10913" s="131" t="s">
        <v>12</v>
      </c>
      <c r="F10913" s="133" t="s">
        <v>11</v>
      </c>
      <c r="G10913" s="134" t="n">
        <f aca="false">LEN('Saisie programme'!$I$364)+SUMIFS('Vols additionnels'!$E$7:$E$66,'Vols additionnels'!$C$7:$C$66,$E10913,'Vols additionnels'!$D$7:$D$66,$F10913,'Vols additionnels'!$B$7:$B$66,$D10913)</f>
        <v>1</v>
      </c>
      <c r="H10913" s="135" t="n">
        <f aca="false">$G10913*'Analyse capacite'!$F$7</f>
        <v>438</v>
      </c>
      <c r="I10913" s="135" t="n">
        <f aca="false">$G10913*'Analyse capacite'!$C$7</f>
        <v>14</v>
      </c>
      <c r="J10913" s="135" t="n">
        <f aca="false">$G10913*'Analyse capacite'!$D$7</f>
        <v>40</v>
      </c>
      <c r="K10913" s="135" t="n">
        <f aca="false">$G10913*'Analyse capacite'!$E$7</f>
        <v>384</v>
      </c>
    </row>
    <row r="10914" customFormat="false" ht="15" hidden="false" customHeight="false" outlineLevel="0" collapsed="false">
      <c r="B10914" s="130" t="n">
        <v>2028</v>
      </c>
      <c r="C10914" s="131" t="s">
        <v>255</v>
      </c>
      <c r="D10914" s="132" t="n">
        <v>46781</v>
      </c>
      <c r="E10914" s="131" t="s">
        <v>12</v>
      </c>
      <c r="F10914" s="133" t="s">
        <v>19</v>
      </c>
      <c r="G10914" s="134" t="n">
        <f aca="false">LEN('Saisie programme'!$I$365)+SUMIFS('Vols additionnels'!$E$7:$E$66,'Vols additionnels'!$C$7:$C$66,$E10914,'Vols additionnels'!$D$7:$D$66,$F10914,'Vols additionnels'!$B$7:$B$66,$D10914)</f>
        <v>0</v>
      </c>
      <c r="H10914" s="135" t="n">
        <f aca="false">$G10914*'Analyse capacite'!$F$8</f>
        <v>0</v>
      </c>
      <c r="I10914" s="135" t="n">
        <f aca="false">$G10914*'Analyse capacite'!$C$8</f>
        <v>0</v>
      </c>
      <c r="J10914" s="135" t="n">
        <f aca="false">$G10914*'Analyse capacite'!$D$8</f>
        <v>0</v>
      </c>
      <c r="K10914" s="135" t="n">
        <f aca="false">$G10914*'Analyse capacite'!$E$8</f>
        <v>0</v>
      </c>
    </row>
    <row r="10915" customFormat="false" ht="15" hidden="false" customHeight="false" outlineLevel="0" collapsed="false">
      <c r="B10915" s="130" t="n">
        <v>2028</v>
      </c>
      <c r="C10915" s="131" t="s">
        <v>255</v>
      </c>
      <c r="D10915" s="132" t="n">
        <v>46781</v>
      </c>
      <c r="E10915" s="131" t="s">
        <v>12</v>
      </c>
      <c r="F10915" s="133" t="s">
        <v>24</v>
      </c>
      <c r="G10915" s="134" t="n">
        <f aca="false">LEN('Saisie programme'!$I$366)+SUMIFS('Vols additionnels'!$E$7:$E$66,'Vols additionnels'!$C$7:$C$66,$E10915,'Vols additionnels'!$D$7:$D$66,$F10915,'Vols additionnels'!$B$7:$B$66,$D10915)</f>
        <v>0</v>
      </c>
      <c r="H10915" s="135" t="n">
        <f aca="false">$G10915*'Analyse capacite'!$F$9</f>
        <v>0</v>
      </c>
      <c r="I10915" s="135" t="n">
        <f aca="false">$G10915*'Analyse capacite'!$C$9</f>
        <v>0</v>
      </c>
      <c r="J10915" s="135" t="n">
        <f aca="false">$G10915*'Analyse capacite'!$D$9</f>
        <v>0</v>
      </c>
      <c r="K10915" s="135" t="n">
        <f aca="false">$G10915*'Analyse capacite'!$E$9</f>
        <v>0</v>
      </c>
    </row>
    <row r="10916" customFormat="false" ht="15" hidden="false" customHeight="false" outlineLevel="0" collapsed="false">
      <c r="B10916" s="130" t="n">
        <v>2028</v>
      </c>
      <c r="C10916" s="131" t="s">
        <v>255</v>
      </c>
      <c r="D10916" s="132" t="n">
        <v>46781</v>
      </c>
      <c r="E10916" s="131" t="s">
        <v>20</v>
      </c>
      <c r="F10916" s="133" t="s">
        <v>11</v>
      </c>
      <c r="G10916" s="134" t="n">
        <f aca="false">LEN('Saisie programme'!$I$367)+SUMIFS('Vols additionnels'!$E$7:$E$66,'Vols additionnels'!$C$7:$C$66,$E10916,'Vols additionnels'!$D$7:$D$66,$F10916,'Vols additionnels'!$B$7:$B$66,$D10916)</f>
        <v>0</v>
      </c>
      <c r="H10916" s="135" t="n">
        <f aca="false">$G10916*'Analyse capacite'!$F$7</f>
        <v>0</v>
      </c>
      <c r="I10916" s="135" t="n">
        <f aca="false">$G10916*'Analyse capacite'!$C$7</f>
        <v>0</v>
      </c>
      <c r="J10916" s="135" t="n">
        <f aca="false">$G10916*'Analyse capacite'!$D$7</f>
        <v>0</v>
      </c>
      <c r="K10916" s="135" t="n">
        <f aca="false">$G10916*'Analyse capacite'!$E$7</f>
        <v>0</v>
      </c>
    </row>
    <row r="10917" customFormat="false" ht="15" hidden="false" customHeight="false" outlineLevel="0" collapsed="false">
      <c r="B10917" s="130" t="n">
        <v>2028</v>
      </c>
      <c r="C10917" s="131" t="s">
        <v>255</v>
      </c>
      <c r="D10917" s="132" t="n">
        <v>46781</v>
      </c>
      <c r="E10917" s="131" t="s">
        <v>20</v>
      </c>
      <c r="F10917" s="133" t="s">
        <v>19</v>
      </c>
      <c r="G10917" s="134" t="n">
        <f aca="false">LEN('Saisie programme'!$I$368)+SUMIFS('Vols additionnels'!$E$7:$E$66,'Vols additionnels'!$C$7:$C$66,$E10917,'Vols additionnels'!$D$7:$D$66,$F10917,'Vols additionnels'!$B$7:$B$66,$D10917)</f>
        <v>0</v>
      </c>
      <c r="H10917" s="135" t="n">
        <f aca="false">$G10917*'Analyse capacite'!$F$8</f>
        <v>0</v>
      </c>
      <c r="I10917" s="135" t="n">
        <f aca="false">$G10917*'Analyse capacite'!$C$8</f>
        <v>0</v>
      </c>
      <c r="J10917" s="135" t="n">
        <f aca="false">$G10917*'Analyse capacite'!$D$8</f>
        <v>0</v>
      </c>
      <c r="K10917" s="135" t="n">
        <f aca="false">$G10917*'Analyse capacite'!$E$8</f>
        <v>0</v>
      </c>
    </row>
    <row r="10918" customFormat="false" ht="15" hidden="false" customHeight="false" outlineLevel="0" collapsed="false">
      <c r="B10918" s="130" t="n">
        <v>2028</v>
      </c>
      <c r="C10918" s="131" t="s">
        <v>255</v>
      </c>
      <c r="D10918" s="132" t="n">
        <v>46781</v>
      </c>
      <c r="E10918" s="131" t="s">
        <v>20</v>
      </c>
      <c r="F10918" s="133" t="s">
        <v>24</v>
      </c>
      <c r="G10918" s="134" t="n">
        <f aca="false">LEN('Saisie programme'!$I$369)+SUMIFS('Vols additionnels'!$E$7:$E$66,'Vols additionnels'!$C$7:$C$66,$E10918,'Vols additionnels'!$D$7:$D$66,$F10918,'Vols additionnels'!$B$7:$B$66,$D10918)</f>
        <v>0</v>
      </c>
      <c r="H10918" s="135" t="n">
        <f aca="false">$G10918*'Analyse capacite'!$F$9</f>
        <v>0</v>
      </c>
      <c r="I10918" s="135" t="n">
        <f aca="false">$G10918*'Analyse capacite'!$C$9</f>
        <v>0</v>
      </c>
      <c r="J10918" s="135" t="n">
        <f aca="false">$G10918*'Analyse capacite'!$D$9</f>
        <v>0</v>
      </c>
      <c r="K10918" s="135" t="n">
        <f aca="false">$G10918*'Analyse capacite'!$E$9</f>
        <v>0</v>
      </c>
    </row>
    <row r="10919" customFormat="false" ht="15" hidden="false" customHeight="false" outlineLevel="0" collapsed="false">
      <c r="B10919" s="130" t="n">
        <v>2028</v>
      </c>
      <c r="C10919" s="131" t="s">
        <v>255</v>
      </c>
      <c r="D10919" s="132" t="n">
        <v>46781</v>
      </c>
      <c r="E10919" s="131" t="s">
        <v>25</v>
      </c>
      <c r="F10919" s="133" t="s">
        <v>11</v>
      </c>
      <c r="G10919" s="134" t="n">
        <f aca="false">LEN('Saisie programme'!$I$370)+SUMIFS('Vols additionnels'!$E$7:$E$66,'Vols additionnels'!$C$7:$C$66,$E10919,'Vols additionnels'!$D$7:$D$66,$F10919,'Vols additionnels'!$B$7:$B$66,$D10919)</f>
        <v>0</v>
      </c>
      <c r="H10919" s="135" t="n">
        <f aca="false">$G10919*'Analyse capacite'!$F$7</f>
        <v>0</v>
      </c>
      <c r="I10919" s="135" t="n">
        <f aca="false">$G10919*'Analyse capacite'!$C$7</f>
        <v>0</v>
      </c>
      <c r="J10919" s="135" t="n">
        <f aca="false">$G10919*'Analyse capacite'!$D$7</f>
        <v>0</v>
      </c>
      <c r="K10919" s="135" t="n">
        <f aca="false">$G10919*'Analyse capacite'!$E$7</f>
        <v>0</v>
      </c>
    </row>
    <row r="10920" customFormat="false" ht="15" hidden="false" customHeight="false" outlineLevel="0" collapsed="false">
      <c r="B10920" s="130" t="n">
        <v>2028</v>
      </c>
      <c r="C10920" s="131" t="s">
        <v>255</v>
      </c>
      <c r="D10920" s="132" t="n">
        <v>46781</v>
      </c>
      <c r="E10920" s="131" t="s">
        <v>25</v>
      </c>
      <c r="F10920" s="133" t="s">
        <v>19</v>
      </c>
      <c r="G10920" s="134" t="n">
        <f aca="false">LEN('Saisie programme'!$I$371)+SUMIFS('Vols additionnels'!$E$7:$E$66,'Vols additionnels'!$C$7:$C$66,$E10920,'Vols additionnels'!$D$7:$D$66,$F10920,'Vols additionnels'!$B$7:$B$66,$D10920)</f>
        <v>1</v>
      </c>
      <c r="H10920" s="135" t="n">
        <f aca="false">$G10920*'Analyse capacite'!$F$8</f>
        <v>262</v>
      </c>
      <c r="I10920" s="135" t="n">
        <f aca="false">$G10920*'Analyse capacite'!$C$8</f>
        <v>18</v>
      </c>
      <c r="J10920" s="135" t="n">
        <f aca="false">$G10920*'Analyse capacite'!$D$8</f>
        <v>0</v>
      </c>
      <c r="K10920" s="135" t="n">
        <f aca="false">$G10920*'Analyse capacite'!$E$8</f>
        <v>244</v>
      </c>
    </row>
    <row r="10921" customFormat="false" ht="15" hidden="false" customHeight="false" outlineLevel="0" collapsed="false">
      <c r="B10921" s="130" t="n">
        <v>2028</v>
      </c>
      <c r="C10921" s="131" t="s">
        <v>255</v>
      </c>
      <c r="D10921" s="132" t="n">
        <v>46781</v>
      </c>
      <c r="E10921" s="131" t="s">
        <v>25</v>
      </c>
      <c r="F10921" s="133" t="s">
        <v>24</v>
      </c>
      <c r="G10921" s="134" t="n">
        <f aca="false">LEN('Saisie programme'!$I$372)+SUMIFS('Vols additionnels'!$E$7:$E$66,'Vols additionnels'!$C$7:$C$66,$E10921,'Vols additionnels'!$D$7:$D$66,$F10921,'Vols additionnels'!$B$7:$B$66,$D10921)</f>
        <v>0</v>
      </c>
      <c r="H10921" s="135" t="n">
        <f aca="false">$G10921*'Analyse capacite'!$F$9</f>
        <v>0</v>
      </c>
      <c r="I10921" s="135" t="n">
        <f aca="false">$G10921*'Analyse capacite'!$C$9</f>
        <v>0</v>
      </c>
      <c r="J10921" s="135" t="n">
        <f aca="false">$G10921*'Analyse capacite'!$D$9</f>
        <v>0</v>
      </c>
      <c r="K10921" s="135" t="n">
        <f aca="false">$G10921*'Analyse capacite'!$E$9</f>
        <v>0</v>
      </c>
    </row>
    <row r="10922" customFormat="false" ht="15" hidden="false" customHeight="false" outlineLevel="0" collapsed="false">
      <c r="B10922" s="130" t="n">
        <v>2028</v>
      </c>
      <c r="C10922" s="131" t="s">
        <v>255</v>
      </c>
      <c r="D10922" s="132" t="n">
        <v>46781</v>
      </c>
      <c r="E10922" s="131" t="s">
        <v>36</v>
      </c>
      <c r="F10922" s="133" t="s">
        <v>11</v>
      </c>
      <c r="G10922" s="134" t="n">
        <f aca="false">LEN('Saisie programme'!$I$373)+SUMIFS('Vols additionnels'!$E$7:$E$66,'Vols additionnels'!$C$7:$C$66,$E10922,'Vols additionnels'!$D$7:$D$66,$F10922,'Vols additionnels'!$B$7:$B$66,$D10922)</f>
        <v>0</v>
      </c>
      <c r="H10922" s="135" t="n">
        <f aca="false">$G10922*'Analyse capacite'!$F$7</f>
        <v>0</v>
      </c>
      <c r="I10922" s="135" t="n">
        <f aca="false">$G10922*'Analyse capacite'!$C$7</f>
        <v>0</v>
      </c>
      <c r="J10922" s="135" t="n">
        <f aca="false">$G10922*'Analyse capacite'!$D$7</f>
        <v>0</v>
      </c>
      <c r="K10922" s="135" t="n">
        <f aca="false">$G10922*'Analyse capacite'!$E$7</f>
        <v>0</v>
      </c>
    </row>
    <row r="10923" customFormat="false" ht="15" hidden="false" customHeight="false" outlineLevel="0" collapsed="false">
      <c r="B10923" s="130" t="n">
        <v>2028</v>
      </c>
      <c r="C10923" s="131" t="s">
        <v>255</v>
      </c>
      <c r="D10923" s="132" t="n">
        <v>46781</v>
      </c>
      <c r="E10923" s="131" t="s">
        <v>36</v>
      </c>
      <c r="F10923" s="133" t="s">
        <v>19</v>
      </c>
      <c r="G10923" s="134" t="n">
        <f aca="false">LEN('Saisie programme'!$I$374)+SUMIFS('Vols additionnels'!$E$7:$E$66,'Vols additionnels'!$C$7:$C$66,$E10923,'Vols additionnels'!$D$7:$D$66,$F10923,'Vols additionnels'!$B$7:$B$66,$D10923)</f>
        <v>0</v>
      </c>
      <c r="H10923" s="135" t="n">
        <f aca="false">$G10923*'Analyse capacite'!$F$8</f>
        <v>0</v>
      </c>
      <c r="I10923" s="135" t="n">
        <f aca="false">$G10923*'Analyse capacite'!$C$8</f>
        <v>0</v>
      </c>
      <c r="J10923" s="135" t="n">
        <f aca="false">$G10923*'Analyse capacite'!$D$8</f>
        <v>0</v>
      </c>
      <c r="K10923" s="135" t="n">
        <f aca="false">$G10923*'Analyse capacite'!$E$8</f>
        <v>0</v>
      </c>
    </row>
    <row r="10924" customFormat="false" ht="15" hidden="false" customHeight="false" outlineLevel="0" collapsed="false">
      <c r="B10924" s="130" t="n">
        <v>2028</v>
      </c>
      <c r="C10924" s="131" t="s">
        <v>255</v>
      </c>
      <c r="D10924" s="132" t="n">
        <v>46781</v>
      </c>
      <c r="E10924" s="131" t="s">
        <v>36</v>
      </c>
      <c r="F10924" s="133" t="s">
        <v>24</v>
      </c>
      <c r="G10924" s="134" t="n">
        <f aca="false">LEN('Saisie programme'!$I$375)+SUMIFS('Vols additionnels'!$E$7:$E$66,'Vols additionnels'!$C$7:$C$66,$E10924,'Vols additionnels'!$D$7:$D$66,$F10924,'Vols additionnels'!$B$7:$B$66,$D10924)</f>
        <v>0</v>
      </c>
      <c r="H10924" s="135" t="n">
        <f aca="false">$G10924*'Analyse capacite'!$F$9</f>
        <v>0</v>
      </c>
      <c r="I10924" s="135" t="n">
        <f aca="false">$G10924*'Analyse capacite'!$C$9</f>
        <v>0</v>
      </c>
      <c r="J10924" s="135" t="n">
        <f aca="false">$G10924*'Analyse capacite'!$D$9</f>
        <v>0</v>
      </c>
      <c r="K10924" s="135" t="n">
        <f aca="false">$G10924*'Analyse capacite'!$E$9</f>
        <v>0</v>
      </c>
    </row>
    <row r="10925" customFormat="false" ht="15" hidden="false" customHeight="false" outlineLevel="0" collapsed="false">
      <c r="B10925" s="130" t="n">
        <v>2028</v>
      </c>
      <c r="C10925" s="131" t="s">
        <v>255</v>
      </c>
      <c r="D10925" s="132" t="n">
        <v>46781</v>
      </c>
      <c r="E10925" s="131" t="s">
        <v>40</v>
      </c>
      <c r="F10925" s="133" t="s">
        <v>11</v>
      </c>
      <c r="G10925" s="134" t="n">
        <f aca="false">LEN('Saisie programme'!$I$376)+SUMIFS('Vols additionnels'!$E$7:$E$66,'Vols additionnels'!$C$7:$C$66,$E10925,'Vols additionnels'!$D$7:$D$66,$F10925,'Vols additionnels'!$B$7:$B$66,$D10925)</f>
        <v>0</v>
      </c>
      <c r="H10925" s="135" t="n">
        <f aca="false">$G10925*'Analyse capacite'!$F$7</f>
        <v>0</v>
      </c>
      <c r="I10925" s="135" t="n">
        <f aca="false">$G10925*'Analyse capacite'!$C$7</f>
        <v>0</v>
      </c>
      <c r="J10925" s="135" t="n">
        <f aca="false">$G10925*'Analyse capacite'!$D$7</f>
        <v>0</v>
      </c>
      <c r="K10925" s="135" t="n">
        <f aca="false">$G10925*'Analyse capacite'!$E$7</f>
        <v>0</v>
      </c>
    </row>
    <row r="10926" customFormat="false" ht="15" hidden="false" customHeight="false" outlineLevel="0" collapsed="false">
      <c r="B10926" s="130" t="n">
        <v>2028</v>
      </c>
      <c r="C10926" s="131" t="s">
        <v>255</v>
      </c>
      <c r="D10926" s="132" t="n">
        <v>46781</v>
      </c>
      <c r="E10926" s="131" t="s">
        <v>40</v>
      </c>
      <c r="F10926" s="133" t="s">
        <v>19</v>
      </c>
      <c r="G10926" s="134" t="n">
        <f aca="false">LEN('Saisie programme'!$I$377)+SUMIFS('Vols additionnels'!$E$7:$E$66,'Vols additionnels'!$C$7:$C$66,$E10926,'Vols additionnels'!$D$7:$D$66,$F10926,'Vols additionnels'!$B$7:$B$66,$D10926)</f>
        <v>0</v>
      </c>
      <c r="H10926" s="135" t="n">
        <f aca="false">$G10926*'Analyse capacite'!$F$8</f>
        <v>0</v>
      </c>
      <c r="I10926" s="135" t="n">
        <f aca="false">$G10926*'Analyse capacite'!$C$8</f>
        <v>0</v>
      </c>
      <c r="J10926" s="135" t="n">
        <f aca="false">$G10926*'Analyse capacite'!$D$8</f>
        <v>0</v>
      </c>
      <c r="K10926" s="135" t="n">
        <f aca="false">$G10926*'Analyse capacite'!$E$8</f>
        <v>0</v>
      </c>
    </row>
    <row r="10927" customFormat="false" ht="15" hidden="false" customHeight="false" outlineLevel="0" collapsed="false">
      <c r="B10927" s="130" t="n">
        <v>2028</v>
      </c>
      <c r="C10927" s="131" t="s">
        <v>255</v>
      </c>
      <c r="D10927" s="132" t="n">
        <v>46781</v>
      </c>
      <c r="E10927" s="131" t="s">
        <v>40</v>
      </c>
      <c r="F10927" s="133" t="s">
        <v>24</v>
      </c>
      <c r="G10927" s="134" t="n">
        <f aca="false">LEN('Saisie programme'!$I$378)+SUMIFS('Vols additionnels'!$E$7:$E$66,'Vols additionnels'!$C$7:$C$66,$E10927,'Vols additionnels'!$D$7:$D$66,$F10927,'Vols additionnels'!$B$7:$B$66,$D10927)</f>
        <v>0</v>
      </c>
      <c r="H10927" s="135" t="n">
        <f aca="false">$G10927*'Analyse capacite'!$F$9</f>
        <v>0</v>
      </c>
      <c r="I10927" s="135" t="n">
        <f aca="false">$G10927*'Analyse capacite'!$C$9</f>
        <v>0</v>
      </c>
      <c r="J10927" s="135" t="n">
        <f aca="false">$G10927*'Analyse capacite'!$D$9</f>
        <v>0</v>
      </c>
      <c r="K10927" s="135" t="n">
        <f aca="false">$G10927*'Analyse capacite'!$E$9</f>
        <v>0</v>
      </c>
    </row>
    <row r="10928" customFormat="false" ht="15" hidden="false" customHeight="false" outlineLevel="0" collapsed="false">
      <c r="B10928" s="130" t="n">
        <v>2028</v>
      </c>
      <c r="C10928" s="131" t="s">
        <v>255</v>
      </c>
      <c r="D10928" s="132" t="n">
        <v>46781</v>
      </c>
      <c r="E10928" s="131" t="s">
        <v>14</v>
      </c>
      <c r="F10928" s="133" t="s">
        <v>11</v>
      </c>
      <c r="G10928" s="134" t="n">
        <f aca="false">LEN('Saisie programme'!$I$379)+SUMIFS('Vols additionnels'!$E$7:$E$66,'Vols additionnels'!$C$7:$C$66,$E10928,'Vols additionnels'!$D$7:$D$66,$F10928,'Vols additionnels'!$B$7:$B$66,$D10928)</f>
        <v>0</v>
      </c>
      <c r="H10928" s="135" t="n">
        <f aca="false">$G10928*'Analyse capacite'!$F$7</f>
        <v>0</v>
      </c>
      <c r="I10928" s="135" t="n">
        <f aca="false">$G10928*'Analyse capacite'!$C$7</f>
        <v>0</v>
      </c>
      <c r="J10928" s="135" t="n">
        <f aca="false">$G10928*'Analyse capacite'!$D$7</f>
        <v>0</v>
      </c>
      <c r="K10928" s="135" t="n">
        <f aca="false">$G10928*'Analyse capacite'!$E$7</f>
        <v>0</v>
      </c>
    </row>
    <row r="10929" customFormat="false" ht="15" hidden="false" customHeight="false" outlineLevel="0" collapsed="false">
      <c r="B10929" s="130" t="n">
        <v>2028</v>
      </c>
      <c r="C10929" s="131" t="s">
        <v>255</v>
      </c>
      <c r="D10929" s="132" t="n">
        <v>46781</v>
      </c>
      <c r="E10929" s="131" t="s">
        <v>14</v>
      </c>
      <c r="F10929" s="133" t="s">
        <v>19</v>
      </c>
      <c r="G10929" s="134" t="n">
        <f aca="false">LEN('Saisie programme'!$I$380)+SUMIFS('Vols additionnels'!$E$7:$E$66,'Vols additionnels'!$C$7:$C$66,$E10929,'Vols additionnels'!$D$7:$D$66,$F10929,'Vols additionnels'!$B$7:$B$66,$D10929)</f>
        <v>0</v>
      </c>
      <c r="H10929" s="135" t="n">
        <f aca="false">$G10929*'Analyse capacite'!$F$8</f>
        <v>0</v>
      </c>
      <c r="I10929" s="135" t="n">
        <f aca="false">$G10929*'Analyse capacite'!$C$8</f>
        <v>0</v>
      </c>
      <c r="J10929" s="135" t="n">
        <f aca="false">$G10929*'Analyse capacite'!$D$8</f>
        <v>0</v>
      </c>
      <c r="K10929" s="135" t="n">
        <f aca="false">$G10929*'Analyse capacite'!$E$8</f>
        <v>0</v>
      </c>
    </row>
    <row r="10930" customFormat="false" ht="15" hidden="false" customHeight="false" outlineLevel="0" collapsed="false">
      <c r="B10930" s="130" t="n">
        <v>2028</v>
      </c>
      <c r="C10930" s="131" t="s">
        <v>255</v>
      </c>
      <c r="D10930" s="132" t="n">
        <v>46781</v>
      </c>
      <c r="E10930" s="131" t="s">
        <v>14</v>
      </c>
      <c r="F10930" s="133" t="s">
        <v>24</v>
      </c>
      <c r="G10930" s="134" t="n">
        <f aca="false">LEN('Saisie programme'!$I$381)+SUMIFS('Vols additionnels'!$E$7:$E$66,'Vols additionnels'!$C$7:$C$66,$E10930,'Vols additionnels'!$D$7:$D$66,$F10930,'Vols additionnels'!$B$7:$B$66,$D10930)</f>
        <v>1</v>
      </c>
      <c r="H10930" s="135" t="n">
        <f aca="false">$G10930*'Analyse capacite'!$F$9</f>
        <v>174</v>
      </c>
      <c r="I10930" s="135" t="n">
        <f aca="false">$G10930*'Analyse capacite'!$C$9</f>
        <v>0</v>
      </c>
      <c r="J10930" s="135" t="n">
        <f aca="false">$G10930*'Analyse capacite'!$D$9</f>
        <v>12</v>
      </c>
      <c r="K10930" s="135" t="n">
        <f aca="false">$G10930*'Analyse capacite'!$E$9</f>
        <v>162</v>
      </c>
    </row>
    <row r="10931" customFormat="false" ht="15" hidden="false" customHeight="false" outlineLevel="0" collapsed="false">
      <c r="B10931" s="130" t="n">
        <v>2028</v>
      </c>
      <c r="C10931" s="131" t="s">
        <v>255</v>
      </c>
      <c r="D10931" s="132" t="n">
        <v>46781</v>
      </c>
      <c r="E10931" s="131" t="s">
        <v>46</v>
      </c>
      <c r="F10931" s="133" t="s">
        <v>11</v>
      </c>
      <c r="G10931" s="134" t="n">
        <f aca="false">LEN('Saisie programme'!$I$382)+SUMIFS('Vols additionnels'!$E$7:$E$66,'Vols additionnels'!$C$7:$C$66,$E10931,'Vols additionnels'!$D$7:$D$66,$F10931,'Vols additionnels'!$B$7:$B$66,$D10931)</f>
        <v>0</v>
      </c>
      <c r="H10931" s="135" t="n">
        <f aca="false">$G10931*'Analyse capacite'!$F$7</f>
        <v>0</v>
      </c>
      <c r="I10931" s="135" t="n">
        <f aca="false">$G10931*'Analyse capacite'!$C$7</f>
        <v>0</v>
      </c>
      <c r="J10931" s="135" t="n">
        <f aca="false">$G10931*'Analyse capacite'!$D$7</f>
        <v>0</v>
      </c>
      <c r="K10931" s="135" t="n">
        <f aca="false">$G10931*'Analyse capacite'!$E$7</f>
        <v>0</v>
      </c>
    </row>
    <row r="10932" customFormat="false" ht="15" hidden="false" customHeight="false" outlineLevel="0" collapsed="false">
      <c r="B10932" s="130" t="n">
        <v>2028</v>
      </c>
      <c r="C10932" s="131" t="s">
        <v>255</v>
      </c>
      <c r="D10932" s="132" t="n">
        <v>46781</v>
      </c>
      <c r="E10932" s="131" t="s">
        <v>46</v>
      </c>
      <c r="F10932" s="133" t="s">
        <v>19</v>
      </c>
      <c r="G10932" s="134" t="n">
        <f aca="false">LEN('Saisie programme'!$I$383)+SUMIFS('Vols additionnels'!$E$7:$E$66,'Vols additionnels'!$C$7:$C$66,$E10932,'Vols additionnels'!$D$7:$D$66,$F10932,'Vols additionnels'!$B$7:$B$66,$D10932)</f>
        <v>0</v>
      </c>
      <c r="H10932" s="135" t="n">
        <f aca="false">$G10932*'Analyse capacite'!$F$8</f>
        <v>0</v>
      </c>
      <c r="I10932" s="135" t="n">
        <f aca="false">$G10932*'Analyse capacite'!$C$8</f>
        <v>0</v>
      </c>
      <c r="J10932" s="135" t="n">
        <f aca="false">$G10932*'Analyse capacite'!$D$8</f>
        <v>0</v>
      </c>
      <c r="K10932" s="135" t="n">
        <f aca="false">$G10932*'Analyse capacite'!$E$8</f>
        <v>0</v>
      </c>
    </row>
    <row r="10933" customFormat="false" ht="15" hidden="false" customHeight="false" outlineLevel="0" collapsed="false">
      <c r="B10933" s="130" t="n">
        <v>2028</v>
      </c>
      <c r="C10933" s="131" t="s">
        <v>255</v>
      </c>
      <c r="D10933" s="132" t="n">
        <v>46781</v>
      </c>
      <c r="E10933" s="131" t="s">
        <v>46</v>
      </c>
      <c r="F10933" s="133" t="s">
        <v>24</v>
      </c>
      <c r="G10933" s="134" t="n">
        <f aca="false">LEN('Saisie programme'!$I$384)+SUMIFS('Vols additionnels'!$E$7:$E$66,'Vols additionnels'!$C$7:$C$66,$E10933,'Vols additionnels'!$D$7:$D$66,$F10933,'Vols additionnels'!$B$7:$B$66,$D10933)</f>
        <v>1</v>
      </c>
      <c r="H10933" s="135" t="n">
        <f aca="false">$G10933*'Analyse capacite'!$F$9</f>
        <v>174</v>
      </c>
      <c r="I10933" s="135" t="n">
        <f aca="false">$G10933*'Analyse capacite'!$C$9</f>
        <v>0</v>
      </c>
      <c r="J10933" s="135" t="n">
        <f aca="false">$G10933*'Analyse capacite'!$D$9</f>
        <v>12</v>
      </c>
      <c r="K10933" s="135" t="n">
        <f aca="false">$G10933*'Analyse capacite'!$E$9</f>
        <v>162</v>
      </c>
    </row>
    <row r="10934" customFormat="false" ht="15" hidden="false" customHeight="false" outlineLevel="0" collapsed="false">
      <c r="B10934" s="130" t="n">
        <v>2028</v>
      </c>
      <c r="C10934" s="131" t="s">
        <v>255</v>
      </c>
      <c r="D10934" s="132" t="n">
        <v>46781</v>
      </c>
      <c r="E10934" s="131" t="s">
        <v>49</v>
      </c>
      <c r="F10934" s="133" t="s">
        <v>11</v>
      </c>
      <c r="G10934" s="134" t="n">
        <f aca="false">LEN('Saisie programme'!$I$385)+SUMIFS('Vols additionnels'!$E$7:$E$66,'Vols additionnels'!$C$7:$C$66,$E10934,'Vols additionnels'!$D$7:$D$66,$F10934,'Vols additionnels'!$B$7:$B$66,$D10934)</f>
        <v>0</v>
      </c>
      <c r="H10934" s="135" t="n">
        <f aca="false">$G10934*'Analyse capacite'!$F$7</f>
        <v>0</v>
      </c>
      <c r="I10934" s="135" t="n">
        <f aca="false">$G10934*'Analyse capacite'!$C$7</f>
        <v>0</v>
      </c>
      <c r="J10934" s="135" t="n">
        <f aca="false">$G10934*'Analyse capacite'!$D$7</f>
        <v>0</v>
      </c>
      <c r="K10934" s="135" t="n">
        <f aca="false">$G10934*'Analyse capacite'!$E$7</f>
        <v>0</v>
      </c>
    </row>
    <row r="10935" customFormat="false" ht="15" hidden="false" customHeight="false" outlineLevel="0" collapsed="false">
      <c r="B10935" s="130" t="n">
        <v>2028</v>
      </c>
      <c r="C10935" s="131" t="s">
        <v>255</v>
      </c>
      <c r="D10935" s="132" t="n">
        <v>46781</v>
      </c>
      <c r="E10935" s="131" t="s">
        <v>49</v>
      </c>
      <c r="F10935" s="133" t="s">
        <v>19</v>
      </c>
      <c r="G10935" s="134" t="n">
        <f aca="false">LEN('Saisie programme'!$I$386)+SUMIFS('Vols additionnels'!$E$7:$E$66,'Vols additionnels'!$C$7:$C$66,$E10935,'Vols additionnels'!$D$7:$D$66,$F10935,'Vols additionnels'!$B$7:$B$66,$D10935)</f>
        <v>0</v>
      </c>
      <c r="H10935" s="135" t="n">
        <f aca="false">$G10935*'Analyse capacite'!$F$8</f>
        <v>0</v>
      </c>
      <c r="I10935" s="135" t="n">
        <f aca="false">$G10935*'Analyse capacite'!$C$8</f>
        <v>0</v>
      </c>
      <c r="J10935" s="135" t="n">
        <f aca="false">$G10935*'Analyse capacite'!$D$8</f>
        <v>0</v>
      </c>
      <c r="K10935" s="135" t="n">
        <f aca="false">$G10935*'Analyse capacite'!$E$8</f>
        <v>0</v>
      </c>
    </row>
    <row r="10936" customFormat="false" ht="15" hidden="false" customHeight="false" outlineLevel="0" collapsed="false">
      <c r="B10936" s="130" t="n">
        <v>2028</v>
      </c>
      <c r="C10936" s="131" t="s">
        <v>255</v>
      </c>
      <c r="D10936" s="132" t="n">
        <v>46781</v>
      </c>
      <c r="E10936" s="131" t="s">
        <v>49</v>
      </c>
      <c r="F10936" s="133" t="s">
        <v>24</v>
      </c>
      <c r="G10936" s="134" t="n">
        <f aca="false">LEN('Saisie programme'!$I$387)+SUMIFS('Vols additionnels'!$E$7:$E$66,'Vols additionnels'!$C$7:$C$66,$E10936,'Vols additionnels'!$D$7:$D$66,$F10936,'Vols additionnels'!$B$7:$B$66,$D10936)</f>
        <v>0</v>
      </c>
      <c r="H10936" s="135" t="n">
        <f aca="false">$G10936*'Analyse capacite'!$F$9</f>
        <v>0</v>
      </c>
      <c r="I10936" s="135" t="n">
        <f aca="false">$G10936*'Analyse capacite'!$C$9</f>
        <v>0</v>
      </c>
      <c r="J10936" s="135" t="n">
        <f aca="false">$G10936*'Analyse capacite'!$D$9</f>
        <v>0</v>
      </c>
      <c r="K10936" s="135" t="n">
        <f aca="false">$G10936*'Analyse capacite'!$E$9</f>
        <v>0</v>
      </c>
    </row>
    <row r="10937" customFormat="false" ht="15" hidden="false" customHeight="false" outlineLevel="0" collapsed="false">
      <c r="B10937" s="130" t="n">
        <v>2028</v>
      </c>
      <c r="C10937" s="131" t="s">
        <v>255</v>
      </c>
      <c r="D10937" s="132" t="n">
        <v>46781</v>
      </c>
      <c r="E10937" s="131" t="s">
        <v>53</v>
      </c>
      <c r="F10937" s="133" t="s">
        <v>11</v>
      </c>
      <c r="G10937" s="134" t="n">
        <f aca="false">LEN('Saisie programme'!$I$388)+SUMIFS('Vols additionnels'!$E$7:$E$66,'Vols additionnels'!$C$7:$C$66,$E10937,'Vols additionnels'!$D$7:$D$66,$F10937,'Vols additionnels'!$B$7:$B$66,$D10937)</f>
        <v>0</v>
      </c>
      <c r="H10937" s="135" t="n">
        <f aca="false">$G10937*'Analyse capacite'!$F$7</f>
        <v>0</v>
      </c>
      <c r="I10937" s="135" t="n">
        <f aca="false">$G10937*'Analyse capacite'!$C$7</f>
        <v>0</v>
      </c>
      <c r="J10937" s="135" t="n">
        <f aca="false">$G10937*'Analyse capacite'!$D$7</f>
        <v>0</v>
      </c>
      <c r="K10937" s="135" t="n">
        <f aca="false">$G10937*'Analyse capacite'!$E$7</f>
        <v>0</v>
      </c>
    </row>
    <row r="10938" customFormat="false" ht="15" hidden="false" customHeight="false" outlineLevel="0" collapsed="false">
      <c r="B10938" s="130" t="n">
        <v>2028</v>
      </c>
      <c r="C10938" s="131" t="s">
        <v>255</v>
      </c>
      <c r="D10938" s="132" t="n">
        <v>46781</v>
      </c>
      <c r="E10938" s="131" t="s">
        <v>53</v>
      </c>
      <c r="F10938" s="133" t="s">
        <v>19</v>
      </c>
      <c r="G10938" s="134" t="n">
        <f aca="false">LEN('Saisie programme'!$I$389)+SUMIFS('Vols additionnels'!$E$7:$E$66,'Vols additionnels'!$C$7:$C$66,$E10938,'Vols additionnels'!$D$7:$D$66,$F10938,'Vols additionnels'!$B$7:$B$66,$D10938)</f>
        <v>0</v>
      </c>
      <c r="H10938" s="135" t="n">
        <f aca="false">$G10938*'Analyse capacite'!$F$8</f>
        <v>0</v>
      </c>
      <c r="I10938" s="135" t="n">
        <f aca="false">$G10938*'Analyse capacite'!$C$8</f>
        <v>0</v>
      </c>
      <c r="J10938" s="135" t="n">
        <f aca="false">$G10938*'Analyse capacite'!$D$8</f>
        <v>0</v>
      </c>
      <c r="K10938" s="135" t="n">
        <f aca="false">$G10938*'Analyse capacite'!$E$8</f>
        <v>0</v>
      </c>
    </row>
    <row r="10939" customFormat="false" ht="15" hidden="false" customHeight="false" outlineLevel="0" collapsed="false">
      <c r="B10939" s="130" t="n">
        <v>2028</v>
      </c>
      <c r="C10939" s="131" t="s">
        <v>255</v>
      </c>
      <c r="D10939" s="132" t="n">
        <v>46781</v>
      </c>
      <c r="E10939" s="131" t="s">
        <v>53</v>
      </c>
      <c r="F10939" s="133" t="s">
        <v>24</v>
      </c>
      <c r="G10939" s="134" t="n">
        <f aca="false">LEN('Saisie programme'!$I$390)+SUMIFS('Vols additionnels'!$E$7:$E$66,'Vols additionnels'!$C$7:$C$66,$E10939,'Vols additionnels'!$D$7:$D$66,$F10939,'Vols additionnels'!$B$7:$B$66,$D10939)</f>
        <v>0</v>
      </c>
      <c r="H10939" s="135" t="n">
        <f aca="false">$G10939*'Analyse capacite'!$F$9</f>
        <v>0</v>
      </c>
      <c r="I10939" s="135" t="n">
        <f aca="false">$G10939*'Analyse capacite'!$C$9</f>
        <v>0</v>
      </c>
      <c r="J10939" s="135" t="n">
        <f aca="false">$G10939*'Analyse capacite'!$D$9</f>
        <v>0</v>
      </c>
      <c r="K10939" s="135" t="n">
        <f aca="false">$G10939*'Analyse capacite'!$E$9</f>
        <v>0</v>
      </c>
    </row>
    <row r="10940" customFormat="false" ht="15" hidden="false" customHeight="false" outlineLevel="0" collapsed="false">
      <c r="B10940" s="130" t="n">
        <v>2028</v>
      </c>
      <c r="C10940" s="131" t="s">
        <v>255</v>
      </c>
      <c r="D10940" s="132" t="n">
        <v>46781</v>
      </c>
      <c r="E10940" s="131" t="s">
        <v>56</v>
      </c>
      <c r="F10940" s="133" t="s">
        <v>11</v>
      </c>
      <c r="G10940" s="134" t="n">
        <f aca="false">LEN('Saisie programme'!$I$391)+SUMIFS('Vols additionnels'!$E$7:$E$66,'Vols additionnels'!$C$7:$C$66,$E10940,'Vols additionnels'!$D$7:$D$66,$F10940,'Vols additionnels'!$B$7:$B$66,$D10940)</f>
        <v>0</v>
      </c>
      <c r="H10940" s="135" t="n">
        <f aca="false">$G10940*'Analyse capacite'!$F$7</f>
        <v>0</v>
      </c>
      <c r="I10940" s="135" t="n">
        <f aca="false">$G10940*'Analyse capacite'!$C$7</f>
        <v>0</v>
      </c>
      <c r="J10940" s="135" t="n">
        <f aca="false">$G10940*'Analyse capacite'!$D$7</f>
        <v>0</v>
      </c>
      <c r="K10940" s="135" t="n">
        <f aca="false">$G10940*'Analyse capacite'!$E$7</f>
        <v>0</v>
      </c>
    </row>
    <row r="10941" customFormat="false" ht="15" hidden="false" customHeight="false" outlineLevel="0" collapsed="false">
      <c r="B10941" s="130" t="n">
        <v>2028</v>
      </c>
      <c r="C10941" s="131" t="s">
        <v>255</v>
      </c>
      <c r="D10941" s="132" t="n">
        <v>46781</v>
      </c>
      <c r="E10941" s="131" t="s">
        <v>56</v>
      </c>
      <c r="F10941" s="133" t="s">
        <v>19</v>
      </c>
      <c r="G10941" s="134" t="n">
        <f aca="false">LEN('Saisie programme'!$I$392)+SUMIFS('Vols additionnels'!$E$7:$E$66,'Vols additionnels'!$C$7:$C$66,$E10941,'Vols additionnels'!$D$7:$D$66,$F10941,'Vols additionnels'!$B$7:$B$66,$D10941)</f>
        <v>0</v>
      </c>
      <c r="H10941" s="135" t="n">
        <f aca="false">$G10941*'Analyse capacite'!$F$8</f>
        <v>0</v>
      </c>
      <c r="I10941" s="135" t="n">
        <f aca="false">$G10941*'Analyse capacite'!$C$8</f>
        <v>0</v>
      </c>
      <c r="J10941" s="135" t="n">
        <f aca="false">$G10941*'Analyse capacite'!$D$8</f>
        <v>0</v>
      </c>
      <c r="K10941" s="135" t="n">
        <f aca="false">$G10941*'Analyse capacite'!$E$8</f>
        <v>0</v>
      </c>
    </row>
    <row r="10942" customFormat="false" ht="15" hidden="false" customHeight="false" outlineLevel="0" collapsed="false">
      <c r="B10942" s="130" t="n">
        <v>2028</v>
      </c>
      <c r="C10942" s="131" t="s">
        <v>255</v>
      </c>
      <c r="D10942" s="132" t="n">
        <v>46781</v>
      </c>
      <c r="E10942" s="131" t="s">
        <v>56</v>
      </c>
      <c r="F10942" s="133" t="s">
        <v>24</v>
      </c>
      <c r="G10942" s="134" t="n">
        <f aca="false">LEN('Saisie programme'!$I$393)+SUMIFS('Vols additionnels'!$E$7:$E$66,'Vols additionnels'!$C$7:$C$66,$E10942,'Vols additionnels'!$D$7:$D$66,$F10942,'Vols additionnels'!$B$7:$B$66,$D10942)</f>
        <v>1</v>
      </c>
      <c r="H10942" s="135" t="n">
        <f aca="false">$G10942*'Analyse capacite'!$F$9</f>
        <v>174</v>
      </c>
      <c r="I10942" s="135" t="n">
        <f aca="false">$G10942*'Analyse capacite'!$C$9</f>
        <v>0</v>
      </c>
      <c r="J10942" s="135" t="n">
        <f aca="false">$G10942*'Analyse capacite'!$D$9</f>
        <v>12</v>
      </c>
      <c r="K10942" s="135" t="n">
        <f aca="false">$G10942*'Analyse capacite'!$E$9</f>
        <v>162</v>
      </c>
    </row>
    <row r="10943" customFormat="false" ht="15" hidden="false" customHeight="false" outlineLevel="0" collapsed="false">
      <c r="B10943" s="130" t="n">
        <v>2028</v>
      </c>
      <c r="C10943" s="131" t="s">
        <v>255</v>
      </c>
      <c r="D10943" s="132" t="n">
        <v>46781</v>
      </c>
      <c r="E10943" s="131" t="s">
        <v>59</v>
      </c>
      <c r="F10943" s="133" t="s">
        <v>11</v>
      </c>
      <c r="G10943" s="134" t="n">
        <f aca="false">LEN('Saisie programme'!$I$394)+SUMIFS('Vols additionnels'!$E$7:$E$66,'Vols additionnels'!$C$7:$C$66,$E10943,'Vols additionnels'!$D$7:$D$66,$F10943,'Vols additionnels'!$B$7:$B$66,$D10943)</f>
        <v>0</v>
      </c>
      <c r="H10943" s="135" t="n">
        <f aca="false">$G10943*'Analyse capacite'!$F$7</f>
        <v>0</v>
      </c>
      <c r="I10943" s="135" t="n">
        <f aca="false">$G10943*'Analyse capacite'!$C$7</f>
        <v>0</v>
      </c>
      <c r="J10943" s="135" t="n">
        <f aca="false">$G10943*'Analyse capacite'!$D$7</f>
        <v>0</v>
      </c>
      <c r="K10943" s="135" t="n">
        <f aca="false">$G10943*'Analyse capacite'!$E$7</f>
        <v>0</v>
      </c>
    </row>
    <row r="10944" customFormat="false" ht="15" hidden="false" customHeight="false" outlineLevel="0" collapsed="false">
      <c r="B10944" s="130" t="n">
        <v>2028</v>
      </c>
      <c r="C10944" s="131" t="s">
        <v>255</v>
      </c>
      <c r="D10944" s="132" t="n">
        <v>46781</v>
      </c>
      <c r="E10944" s="131" t="s">
        <v>59</v>
      </c>
      <c r="F10944" s="133" t="s">
        <v>19</v>
      </c>
      <c r="G10944" s="134" t="n">
        <f aca="false">LEN('Saisie programme'!$I$395)+SUMIFS('Vols additionnels'!$E$7:$E$66,'Vols additionnels'!$C$7:$C$66,$E10944,'Vols additionnels'!$D$7:$D$66,$F10944,'Vols additionnels'!$B$7:$B$66,$D10944)</f>
        <v>0</v>
      </c>
      <c r="H10944" s="135" t="n">
        <f aca="false">$G10944*'Analyse capacite'!$F$8</f>
        <v>0</v>
      </c>
      <c r="I10944" s="135" t="n">
        <f aca="false">$G10944*'Analyse capacite'!$C$8</f>
        <v>0</v>
      </c>
      <c r="J10944" s="135" t="n">
        <f aca="false">$G10944*'Analyse capacite'!$D$8</f>
        <v>0</v>
      </c>
      <c r="K10944" s="135" t="n">
        <f aca="false">$G10944*'Analyse capacite'!$E$8</f>
        <v>0</v>
      </c>
    </row>
    <row r="10945" customFormat="false" ht="15" hidden="false" customHeight="false" outlineLevel="0" collapsed="false">
      <c r="B10945" s="130" t="n">
        <v>2028</v>
      </c>
      <c r="C10945" s="131" t="s">
        <v>255</v>
      </c>
      <c r="D10945" s="132" t="n">
        <v>46781</v>
      </c>
      <c r="E10945" s="131" t="s">
        <v>59</v>
      </c>
      <c r="F10945" s="133" t="s">
        <v>24</v>
      </c>
      <c r="G10945" s="134" t="n">
        <f aca="false">LEN('Saisie programme'!$I$396)+SUMIFS('Vols additionnels'!$E$7:$E$66,'Vols additionnels'!$C$7:$C$66,$E10945,'Vols additionnels'!$D$7:$D$66,$F10945,'Vols additionnels'!$B$7:$B$66,$D10945)</f>
        <v>1</v>
      </c>
      <c r="H10945" s="135" t="n">
        <f aca="false">$G10945*'Analyse capacite'!$F$9</f>
        <v>174</v>
      </c>
      <c r="I10945" s="135" t="n">
        <f aca="false">$G10945*'Analyse capacite'!$C$9</f>
        <v>0</v>
      </c>
      <c r="J10945" s="135" t="n">
        <f aca="false">$G10945*'Analyse capacite'!$D$9</f>
        <v>12</v>
      </c>
      <c r="K10945" s="135" t="n">
        <f aca="false">$G10945*'Analyse capacite'!$E$9</f>
        <v>162</v>
      </c>
    </row>
    <row r="10946" customFormat="false" ht="15" hidden="false" customHeight="false" outlineLevel="0" collapsed="false">
      <c r="B10946" s="130" t="n">
        <v>2028</v>
      </c>
      <c r="C10946" s="131" t="s">
        <v>255</v>
      </c>
      <c r="D10946" s="132" t="n">
        <v>46781</v>
      </c>
      <c r="E10946" s="131" t="s">
        <v>62</v>
      </c>
      <c r="F10946" s="133" t="s">
        <v>11</v>
      </c>
      <c r="G10946" s="134" t="n">
        <f aca="false">LEN('Saisie programme'!$I$397)+SUMIFS('Vols additionnels'!$E$7:$E$66,'Vols additionnels'!$C$7:$C$66,$E10946,'Vols additionnels'!$D$7:$D$66,$F10946,'Vols additionnels'!$B$7:$B$66,$D10946)</f>
        <v>0</v>
      </c>
      <c r="H10946" s="135" t="n">
        <f aca="false">$G10946*'Analyse capacite'!$F$7</f>
        <v>0</v>
      </c>
      <c r="I10946" s="135" t="n">
        <f aca="false">$G10946*'Analyse capacite'!$C$7</f>
        <v>0</v>
      </c>
      <c r="J10946" s="135" t="n">
        <f aca="false">$G10946*'Analyse capacite'!$D$7</f>
        <v>0</v>
      </c>
      <c r="K10946" s="135" t="n">
        <f aca="false">$G10946*'Analyse capacite'!$E$7</f>
        <v>0</v>
      </c>
    </row>
    <row r="10947" customFormat="false" ht="15" hidden="false" customHeight="false" outlineLevel="0" collapsed="false">
      <c r="B10947" s="130" t="n">
        <v>2028</v>
      </c>
      <c r="C10947" s="131" t="s">
        <v>255</v>
      </c>
      <c r="D10947" s="132" t="n">
        <v>46781</v>
      </c>
      <c r="E10947" s="131" t="s">
        <v>62</v>
      </c>
      <c r="F10947" s="133" t="s">
        <v>19</v>
      </c>
      <c r="G10947" s="134" t="n">
        <f aca="false">LEN('Saisie programme'!$I$398)+SUMIFS('Vols additionnels'!$E$7:$E$66,'Vols additionnels'!$C$7:$C$66,$E10947,'Vols additionnels'!$D$7:$D$66,$F10947,'Vols additionnels'!$B$7:$B$66,$D10947)</f>
        <v>0</v>
      </c>
      <c r="H10947" s="135" t="n">
        <f aca="false">$G10947*'Analyse capacite'!$F$8</f>
        <v>0</v>
      </c>
      <c r="I10947" s="135" t="n">
        <f aca="false">$G10947*'Analyse capacite'!$C$8</f>
        <v>0</v>
      </c>
      <c r="J10947" s="135" t="n">
        <f aca="false">$G10947*'Analyse capacite'!$D$8</f>
        <v>0</v>
      </c>
      <c r="K10947" s="135" t="n">
        <f aca="false">$G10947*'Analyse capacite'!$E$8</f>
        <v>0</v>
      </c>
    </row>
    <row r="10948" customFormat="false" ht="15" hidden="false" customHeight="false" outlineLevel="0" collapsed="false">
      <c r="B10948" s="130" t="n">
        <v>2028</v>
      </c>
      <c r="C10948" s="131" t="s">
        <v>255</v>
      </c>
      <c r="D10948" s="132" t="n">
        <v>46781</v>
      </c>
      <c r="E10948" s="131" t="s">
        <v>62</v>
      </c>
      <c r="F10948" s="133" t="s">
        <v>24</v>
      </c>
      <c r="G10948" s="134" t="n">
        <f aca="false">LEN('Saisie programme'!$I$399)+SUMIFS('Vols additionnels'!$E$7:$E$66,'Vols additionnels'!$C$7:$C$66,$E10948,'Vols additionnels'!$D$7:$D$66,$F10948,'Vols additionnels'!$B$7:$B$66,$D10948)</f>
        <v>0</v>
      </c>
      <c r="H10948" s="135" t="n">
        <f aca="false">$G10948*'Analyse capacite'!$F$9</f>
        <v>0</v>
      </c>
      <c r="I10948" s="135" t="n">
        <f aca="false">$G10948*'Analyse capacite'!$C$9</f>
        <v>0</v>
      </c>
      <c r="J10948" s="135" t="n">
        <f aca="false">$G10948*'Analyse capacite'!$D$9</f>
        <v>0</v>
      </c>
      <c r="K10948" s="135" t="n">
        <f aca="false">$G10948*'Analyse capacite'!$E$9</f>
        <v>0</v>
      </c>
    </row>
    <row r="10949" customFormat="false" ht="15" hidden="false" customHeight="false" outlineLevel="0" collapsed="false">
      <c r="B10949" s="130" t="n">
        <v>2028</v>
      </c>
      <c r="C10949" s="131" t="s">
        <v>255</v>
      </c>
      <c r="D10949" s="132" t="n">
        <v>46782</v>
      </c>
      <c r="E10949" s="131" t="s">
        <v>12</v>
      </c>
      <c r="F10949" s="133" t="s">
        <v>11</v>
      </c>
      <c r="G10949" s="134" t="n">
        <f aca="false">LEN('Saisie programme'!$J$364)+SUMIFS('Vols additionnels'!$E$7:$E$66,'Vols additionnels'!$C$7:$C$66,$E10949,'Vols additionnels'!$D$7:$D$66,$F10949,'Vols additionnels'!$B$7:$B$66,$D10949)</f>
        <v>1</v>
      </c>
      <c r="H10949" s="135" t="n">
        <f aca="false">$G10949*'Analyse capacite'!$F$7</f>
        <v>438</v>
      </c>
      <c r="I10949" s="135" t="n">
        <f aca="false">$G10949*'Analyse capacite'!$C$7</f>
        <v>14</v>
      </c>
      <c r="J10949" s="135" t="n">
        <f aca="false">$G10949*'Analyse capacite'!$D$7</f>
        <v>40</v>
      </c>
      <c r="K10949" s="135" t="n">
        <f aca="false">$G10949*'Analyse capacite'!$E$7</f>
        <v>384</v>
      </c>
    </row>
    <row r="10950" customFormat="false" ht="15" hidden="false" customHeight="false" outlineLevel="0" collapsed="false">
      <c r="B10950" s="130" t="n">
        <v>2028</v>
      </c>
      <c r="C10950" s="131" t="s">
        <v>255</v>
      </c>
      <c r="D10950" s="132" t="n">
        <v>46782</v>
      </c>
      <c r="E10950" s="131" t="s">
        <v>12</v>
      </c>
      <c r="F10950" s="133" t="s">
        <v>19</v>
      </c>
      <c r="G10950" s="134" t="n">
        <f aca="false">LEN('Saisie programme'!$J$365)+SUMIFS('Vols additionnels'!$E$7:$E$66,'Vols additionnels'!$C$7:$C$66,$E10950,'Vols additionnels'!$D$7:$D$66,$F10950,'Vols additionnels'!$B$7:$B$66,$D10950)</f>
        <v>0</v>
      </c>
      <c r="H10950" s="135" t="n">
        <f aca="false">$G10950*'Analyse capacite'!$F$8</f>
        <v>0</v>
      </c>
      <c r="I10950" s="135" t="n">
        <f aca="false">$G10950*'Analyse capacite'!$C$8</f>
        <v>0</v>
      </c>
      <c r="J10950" s="135" t="n">
        <f aca="false">$G10950*'Analyse capacite'!$D$8</f>
        <v>0</v>
      </c>
      <c r="K10950" s="135" t="n">
        <f aca="false">$G10950*'Analyse capacite'!$E$8</f>
        <v>0</v>
      </c>
    </row>
    <row r="10951" customFormat="false" ht="15" hidden="false" customHeight="false" outlineLevel="0" collapsed="false">
      <c r="B10951" s="130" t="n">
        <v>2028</v>
      </c>
      <c r="C10951" s="131" t="s">
        <v>255</v>
      </c>
      <c r="D10951" s="132" t="n">
        <v>46782</v>
      </c>
      <c r="E10951" s="131" t="s">
        <v>12</v>
      </c>
      <c r="F10951" s="133" t="s">
        <v>24</v>
      </c>
      <c r="G10951" s="134" t="n">
        <f aca="false">LEN('Saisie programme'!$J$366)+SUMIFS('Vols additionnels'!$E$7:$E$66,'Vols additionnels'!$C$7:$C$66,$E10951,'Vols additionnels'!$D$7:$D$66,$F10951,'Vols additionnels'!$B$7:$B$66,$D10951)</f>
        <v>0</v>
      </c>
      <c r="H10951" s="135" t="n">
        <f aca="false">$G10951*'Analyse capacite'!$F$9</f>
        <v>0</v>
      </c>
      <c r="I10951" s="135" t="n">
        <f aca="false">$G10951*'Analyse capacite'!$C$9</f>
        <v>0</v>
      </c>
      <c r="J10951" s="135" t="n">
        <f aca="false">$G10951*'Analyse capacite'!$D$9</f>
        <v>0</v>
      </c>
      <c r="K10951" s="135" t="n">
        <f aca="false">$G10951*'Analyse capacite'!$E$9</f>
        <v>0</v>
      </c>
    </row>
    <row r="10952" customFormat="false" ht="15" hidden="false" customHeight="false" outlineLevel="0" collapsed="false">
      <c r="B10952" s="130" t="n">
        <v>2028</v>
      </c>
      <c r="C10952" s="131" t="s">
        <v>255</v>
      </c>
      <c r="D10952" s="132" t="n">
        <v>46782</v>
      </c>
      <c r="E10952" s="131" t="s">
        <v>20</v>
      </c>
      <c r="F10952" s="133" t="s">
        <v>11</v>
      </c>
      <c r="G10952" s="134" t="n">
        <f aca="false">LEN('Saisie programme'!$J$367)+SUMIFS('Vols additionnels'!$E$7:$E$66,'Vols additionnels'!$C$7:$C$66,$E10952,'Vols additionnels'!$D$7:$D$66,$F10952,'Vols additionnels'!$B$7:$B$66,$D10952)</f>
        <v>1</v>
      </c>
      <c r="H10952" s="135" t="n">
        <f aca="false">$G10952*'Analyse capacite'!$F$7</f>
        <v>438</v>
      </c>
      <c r="I10952" s="135" t="n">
        <f aca="false">$G10952*'Analyse capacite'!$C$7</f>
        <v>14</v>
      </c>
      <c r="J10952" s="135" t="n">
        <f aca="false">$G10952*'Analyse capacite'!$D$7</f>
        <v>40</v>
      </c>
      <c r="K10952" s="135" t="n">
        <f aca="false">$G10952*'Analyse capacite'!$E$7</f>
        <v>384</v>
      </c>
    </row>
    <row r="10953" customFormat="false" ht="15" hidden="false" customHeight="false" outlineLevel="0" collapsed="false">
      <c r="B10953" s="130" t="n">
        <v>2028</v>
      </c>
      <c r="C10953" s="131" t="s">
        <v>255</v>
      </c>
      <c r="D10953" s="132" t="n">
        <v>46782</v>
      </c>
      <c r="E10953" s="131" t="s">
        <v>20</v>
      </c>
      <c r="F10953" s="133" t="s">
        <v>19</v>
      </c>
      <c r="G10953" s="134" t="n">
        <f aca="false">LEN('Saisie programme'!$J$368)+SUMIFS('Vols additionnels'!$E$7:$E$66,'Vols additionnels'!$C$7:$C$66,$E10953,'Vols additionnels'!$D$7:$D$66,$F10953,'Vols additionnels'!$B$7:$B$66,$D10953)</f>
        <v>0</v>
      </c>
      <c r="H10953" s="135" t="n">
        <f aca="false">$G10953*'Analyse capacite'!$F$8</f>
        <v>0</v>
      </c>
      <c r="I10953" s="135" t="n">
        <f aca="false">$G10953*'Analyse capacite'!$C$8</f>
        <v>0</v>
      </c>
      <c r="J10953" s="135" t="n">
        <f aca="false">$G10953*'Analyse capacite'!$D$8</f>
        <v>0</v>
      </c>
      <c r="K10953" s="135" t="n">
        <f aca="false">$G10953*'Analyse capacite'!$E$8</f>
        <v>0</v>
      </c>
    </row>
    <row r="10954" customFormat="false" ht="15" hidden="false" customHeight="false" outlineLevel="0" collapsed="false">
      <c r="B10954" s="130" t="n">
        <v>2028</v>
      </c>
      <c r="C10954" s="131" t="s">
        <v>255</v>
      </c>
      <c r="D10954" s="132" t="n">
        <v>46782</v>
      </c>
      <c r="E10954" s="131" t="s">
        <v>20</v>
      </c>
      <c r="F10954" s="133" t="s">
        <v>24</v>
      </c>
      <c r="G10954" s="134" t="n">
        <f aca="false">LEN('Saisie programme'!$J$369)+SUMIFS('Vols additionnels'!$E$7:$E$66,'Vols additionnels'!$C$7:$C$66,$E10954,'Vols additionnels'!$D$7:$D$66,$F10954,'Vols additionnels'!$B$7:$B$66,$D10954)</f>
        <v>0</v>
      </c>
      <c r="H10954" s="135" t="n">
        <f aca="false">$G10954*'Analyse capacite'!$F$9</f>
        <v>0</v>
      </c>
      <c r="I10954" s="135" t="n">
        <f aca="false">$G10954*'Analyse capacite'!$C$9</f>
        <v>0</v>
      </c>
      <c r="J10954" s="135" t="n">
        <f aca="false">$G10954*'Analyse capacite'!$D$9</f>
        <v>0</v>
      </c>
      <c r="K10954" s="135" t="n">
        <f aca="false">$G10954*'Analyse capacite'!$E$9</f>
        <v>0</v>
      </c>
    </row>
    <row r="10955" customFormat="false" ht="15" hidden="false" customHeight="false" outlineLevel="0" collapsed="false">
      <c r="B10955" s="130" t="n">
        <v>2028</v>
      </c>
      <c r="C10955" s="131" t="s">
        <v>255</v>
      </c>
      <c r="D10955" s="132" t="n">
        <v>46782</v>
      </c>
      <c r="E10955" s="131" t="s">
        <v>25</v>
      </c>
      <c r="F10955" s="133" t="s">
        <v>11</v>
      </c>
      <c r="G10955" s="134" t="n">
        <f aca="false">LEN('Saisie programme'!$J$370)+SUMIFS('Vols additionnels'!$E$7:$E$66,'Vols additionnels'!$C$7:$C$66,$E10955,'Vols additionnels'!$D$7:$D$66,$F10955,'Vols additionnels'!$B$7:$B$66,$D10955)</f>
        <v>0</v>
      </c>
      <c r="H10955" s="135" t="n">
        <f aca="false">$G10955*'Analyse capacite'!$F$7</f>
        <v>0</v>
      </c>
      <c r="I10955" s="135" t="n">
        <f aca="false">$G10955*'Analyse capacite'!$C$7</f>
        <v>0</v>
      </c>
      <c r="J10955" s="135" t="n">
        <f aca="false">$G10955*'Analyse capacite'!$D$7</f>
        <v>0</v>
      </c>
      <c r="K10955" s="135" t="n">
        <f aca="false">$G10955*'Analyse capacite'!$E$7</f>
        <v>0</v>
      </c>
    </row>
    <row r="10956" customFormat="false" ht="15" hidden="false" customHeight="false" outlineLevel="0" collapsed="false">
      <c r="B10956" s="130" t="n">
        <v>2028</v>
      </c>
      <c r="C10956" s="131" t="s">
        <v>255</v>
      </c>
      <c r="D10956" s="132" t="n">
        <v>46782</v>
      </c>
      <c r="E10956" s="131" t="s">
        <v>25</v>
      </c>
      <c r="F10956" s="133" t="s">
        <v>19</v>
      </c>
      <c r="G10956" s="134" t="n">
        <f aca="false">LEN('Saisie programme'!$J$371)+SUMIFS('Vols additionnels'!$E$7:$E$66,'Vols additionnels'!$C$7:$C$66,$E10956,'Vols additionnels'!$D$7:$D$66,$F10956,'Vols additionnels'!$B$7:$B$66,$D10956)</f>
        <v>0</v>
      </c>
      <c r="H10956" s="135" t="n">
        <f aca="false">$G10956*'Analyse capacite'!$F$8</f>
        <v>0</v>
      </c>
      <c r="I10956" s="135" t="n">
        <f aca="false">$G10956*'Analyse capacite'!$C$8</f>
        <v>0</v>
      </c>
      <c r="J10956" s="135" t="n">
        <f aca="false">$G10956*'Analyse capacite'!$D$8</f>
        <v>0</v>
      </c>
      <c r="K10956" s="135" t="n">
        <f aca="false">$G10956*'Analyse capacite'!$E$8</f>
        <v>0</v>
      </c>
    </row>
    <row r="10957" customFormat="false" ht="15" hidden="false" customHeight="false" outlineLevel="0" collapsed="false">
      <c r="B10957" s="130" t="n">
        <v>2028</v>
      </c>
      <c r="C10957" s="131" t="s">
        <v>255</v>
      </c>
      <c r="D10957" s="132" t="n">
        <v>46782</v>
      </c>
      <c r="E10957" s="131" t="s">
        <v>25</v>
      </c>
      <c r="F10957" s="133" t="s">
        <v>24</v>
      </c>
      <c r="G10957" s="134" t="n">
        <f aca="false">LEN('Saisie programme'!$J$372)+SUMIFS('Vols additionnels'!$E$7:$E$66,'Vols additionnels'!$C$7:$C$66,$E10957,'Vols additionnels'!$D$7:$D$66,$F10957,'Vols additionnels'!$B$7:$B$66,$D10957)</f>
        <v>0</v>
      </c>
      <c r="H10957" s="135" t="n">
        <f aca="false">$G10957*'Analyse capacite'!$F$9</f>
        <v>0</v>
      </c>
      <c r="I10957" s="135" t="n">
        <f aca="false">$G10957*'Analyse capacite'!$C$9</f>
        <v>0</v>
      </c>
      <c r="J10957" s="135" t="n">
        <f aca="false">$G10957*'Analyse capacite'!$D$9</f>
        <v>0</v>
      </c>
      <c r="K10957" s="135" t="n">
        <f aca="false">$G10957*'Analyse capacite'!$E$9</f>
        <v>0</v>
      </c>
    </row>
    <row r="10958" customFormat="false" ht="15" hidden="false" customHeight="false" outlineLevel="0" collapsed="false">
      <c r="B10958" s="130" t="n">
        <v>2028</v>
      </c>
      <c r="C10958" s="131" t="s">
        <v>255</v>
      </c>
      <c r="D10958" s="132" t="n">
        <v>46782</v>
      </c>
      <c r="E10958" s="131" t="s">
        <v>36</v>
      </c>
      <c r="F10958" s="133" t="s">
        <v>11</v>
      </c>
      <c r="G10958" s="134" t="n">
        <f aca="false">LEN('Saisie programme'!$J$373)+SUMIFS('Vols additionnels'!$E$7:$E$66,'Vols additionnels'!$C$7:$C$66,$E10958,'Vols additionnels'!$D$7:$D$66,$F10958,'Vols additionnels'!$B$7:$B$66,$D10958)</f>
        <v>0</v>
      </c>
      <c r="H10958" s="135" t="n">
        <f aca="false">$G10958*'Analyse capacite'!$F$7</f>
        <v>0</v>
      </c>
      <c r="I10958" s="135" t="n">
        <f aca="false">$G10958*'Analyse capacite'!$C$7</f>
        <v>0</v>
      </c>
      <c r="J10958" s="135" t="n">
        <f aca="false">$G10958*'Analyse capacite'!$D$7</f>
        <v>0</v>
      </c>
      <c r="K10958" s="135" t="n">
        <f aca="false">$G10958*'Analyse capacite'!$E$7</f>
        <v>0</v>
      </c>
    </row>
    <row r="10959" customFormat="false" ht="15" hidden="false" customHeight="false" outlineLevel="0" collapsed="false">
      <c r="B10959" s="130" t="n">
        <v>2028</v>
      </c>
      <c r="C10959" s="131" t="s">
        <v>255</v>
      </c>
      <c r="D10959" s="132" t="n">
        <v>46782</v>
      </c>
      <c r="E10959" s="131" t="s">
        <v>36</v>
      </c>
      <c r="F10959" s="133" t="s">
        <v>19</v>
      </c>
      <c r="G10959" s="134" t="n">
        <f aca="false">LEN('Saisie programme'!$J$374)+SUMIFS('Vols additionnels'!$E$7:$E$66,'Vols additionnels'!$C$7:$C$66,$E10959,'Vols additionnels'!$D$7:$D$66,$F10959,'Vols additionnels'!$B$7:$B$66,$D10959)</f>
        <v>0</v>
      </c>
      <c r="H10959" s="135" t="n">
        <f aca="false">$G10959*'Analyse capacite'!$F$8</f>
        <v>0</v>
      </c>
      <c r="I10959" s="135" t="n">
        <f aca="false">$G10959*'Analyse capacite'!$C$8</f>
        <v>0</v>
      </c>
      <c r="J10959" s="135" t="n">
        <f aca="false">$G10959*'Analyse capacite'!$D$8</f>
        <v>0</v>
      </c>
      <c r="K10959" s="135" t="n">
        <f aca="false">$G10959*'Analyse capacite'!$E$8</f>
        <v>0</v>
      </c>
    </row>
    <row r="10960" customFormat="false" ht="15" hidden="false" customHeight="false" outlineLevel="0" collapsed="false">
      <c r="B10960" s="130" t="n">
        <v>2028</v>
      </c>
      <c r="C10960" s="131" t="s">
        <v>255</v>
      </c>
      <c r="D10960" s="132" t="n">
        <v>46782</v>
      </c>
      <c r="E10960" s="131" t="s">
        <v>36</v>
      </c>
      <c r="F10960" s="133" t="s">
        <v>24</v>
      </c>
      <c r="G10960" s="134" t="n">
        <f aca="false">LEN('Saisie programme'!$J$375)+SUMIFS('Vols additionnels'!$E$7:$E$66,'Vols additionnels'!$C$7:$C$66,$E10960,'Vols additionnels'!$D$7:$D$66,$F10960,'Vols additionnels'!$B$7:$B$66,$D10960)</f>
        <v>0</v>
      </c>
      <c r="H10960" s="135" t="n">
        <f aca="false">$G10960*'Analyse capacite'!$F$9</f>
        <v>0</v>
      </c>
      <c r="I10960" s="135" t="n">
        <f aca="false">$G10960*'Analyse capacite'!$C$9</f>
        <v>0</v>
      </c>
      <c r="J10960" s="135" t="n">
        <f aca="false">$G10960*'Analyse capacite'!$D$9</f>
        <v>0</v>
      </c>
      <c r="K10960" s="135" t="n">
        <f aca="false">$G10960*'Analyse capacite'!$E$9</f>
        <v>0</v>
      </c>
    </row>
    <row r="10961" customFormat="false" ht="15" hidden="false" customHeight="false" outlineLevel="0" collapsed="false">
      <c r="B10961" s="130" t="n">
        <v>2028</v>
      </c>
      <c r="C10961" s="131" t="s">
        <v>255</v>
      </c>
      <c r="D10961" s="132" t="n">
        <v>46782</v>
      </c>
      <c r="E10961" s="131" t="s">
        <v>40</v>
      </c>
      <c r="F10961" s="133" t="s">
        <v>11</v>
      </c>
      <c r="G10961" s="134" t="n">
        <f aca="false">LEN('Saisie programme'!$J$376)+SUMIFS('Vols additionnels'!$E$7:$E$66,'Vols additionnels'!$C$7:$C$66,$E10961,'Vols additionnels'!$D$7:$D$66,$F10961,'Vols additionnels'!$B$7:$B$66,$D10961)</f>
        <v>0</v>
      </c>
      <c r="H10961" s="135" t="n">
        <f aca="false">$G10961*'Analyse capacite'!$F$7</f>
        <v>0</v>
      </c>
      <c r="I10961" s="135" t="n">
        <f aca="false">$G10961*'Analyse capacite'!$C$7</f>
        <v>0</v>
      </c>
      <c r="J10961" s="135" t="n">
        <f aca="false">$G10961*'Analyse capacite'!$D$7</f>
        <v>0</v>
      </c>
      <c r="K10961" s="135" t="n">
        <f aca="false">$G10961*'Analyse capacite'!$E$7</f>
        <v>0</v>
      </c>
    </row>
    <row r="10962" customFormat="false" ht="15" hidden="false" customHeight="false" outlineLevel="0" collapsed="false">
      <c r="B10962" s="130" t="n">
        <v>2028</v>
      </c>
      <c r="C10962" s="131" t="s">
        <v>255</v>
      </c>
      <c r="D10962" s="132" t="n">
        <v>46782</v>
      </c>
      <c r="E10962" s="131" t="s">
        <v>40</v>
      </c>
      <c r="F10962" s="133" t="s">
        <v>19</v>
      </c>
      <c r="G10962" s="134" t="n">
        <f aca="false">LEN('Saisie programme'!$J$377)+SUMIFS('Vols additionnels'!$E$7:$E$66,'Vols additionnels'!$C$7:$C$66,$E10962,'Vols additionnels'!$D$7:$D$66,$F10962,'Vols additionnels'!$B$7:$B$66,$D10962)</f>
        <v>0</v>
      </c>
      <c r="H10962" s="135" t="n">
        <f aca="false">$G10962*'Analyse capacite'!$F$8</f>
        <v>0</v>
      </c>
      <c r="I10962" s="135" t="n">
        <f aca="false">$G10962*'Analyse capacite'!$C$8</f>
        <v>0</v>
      </c>
      <c r="J10962" s="135" t="n">
        <f aca="false">$G10962*'Analyse capacite'!$D$8</f>
        <v>0</v>
      </c>
      <c r="K10962" s="135" t="n">
        <f aca="false">$G10962*'Analyse capacite'!$E$8</f>
        <v>0</v>
      </c>
    </row>
    <row r="10963" customFormat="false" ht="15" hidden="false" customHeight="false" outlineLevel="0" collapsed="false">
      <c r="B10963" s="130" t="n">
        <v>2028</v>
      </c>
      <c r="C10963" s="131" t="s">
        <v>255</v>
      </c>
      <c r="D10963" s="132" t="n">
        <v>46782</v>
      </c>
      <c r="E10963" s="131" t="s">
        <v>40</v>
      </c>
      <c r="F10963" s="133" t="s">
        <v>24</v>
      </c>
      <c r="G10963" s="134" t="n">
        <f aca="false">LEN('Saisie programme'!$J$378)+SUMIFS('Vols additionnels'!$E$7:$E$66,'Vols additionnels'!$C$7:$C$66,$E10963,'Vols additionnels'!$D$7:$D$66,$F10963,'Vols additionnels'!$B$7:$B$66,$D10963)</f>
        <v>1</v>
      </c>
      <c r="H10963" s="135" t="n">
        <f aca="false">$G10963*'Analyse capacite'!$F$9</f>
        <v>174</v>
      </c>
      <c r="I10963" s="135" t="n">
        <f aca="false">$G10963*'Analyse capacite'!$C$9</f>
        <v>0</v>
      </c>
      <c r="J10963" s="135" t="n">
        <f aca="false">$G10963*'Analyse capacite'!$D$9</f>
        <v>12</v>
      </c>
      <c r="K10963" s="135" t="n">
        <f aca="false">$G10963*'Analyse capacite'!$E$9</f>
        <v>162</v>
      </c>
    </row>
    <row r="10964" customFormat="false" ht="15" hidden="false" customHeight="false" outlineLevel="0" collapsed="false">
      <c r="B10964" s="130" t="n">
        <v>2028</v>
      </c>
      <c r="C10964" s="131" t="s">
        <v>255</v>
      </c>
      <c r="D10964" s="132" t="n">
        <v>46782</v>
      </c>
      <c r="E10964" s="131" t="s">
        <v>14</v>
      </c>
      <c r="F10964" s="133" t="s">
        <v>11</v>
      </c>
      <c r="G10964" s="134" t="n">
        <f aca="false">LEN('Saisie programme'!$J$379)+SUMIFS('Vols additionnels'!$E$7:$E$66,'Vols additionnels'!$C$7:$C$66,$E10964,'Vols additionnels'!$D$7:$D$66,$F10964,'Vols additionnels'!$B$7:$B$66,$D10964)</f>
        <v>0</v>
      </c>
      <c r="H10964" s="135" t="n">
        <f aca="false">$G10964*'Analyse capacite'!$F$7</f>
        <v>0</v>
      </c>
      <c r="I10964" s="135" t="n">
        <f aca="false">$G10964*'Analyse capacite'!$C$7</f>
        <v>0</v>
      </c>
      <c r="J10964" s="135" t="n">
        <f aca="false">$G10964*'Analyse capacite'!$D$7</f>
        <v>0</v>
      </c>
      <c r="K10964" s="135" t="n">
        <f aca="false">$G10964*'Analyse capacite'!$E$7</f>
        <v>0</v>
      </c>
    </row>
    <row r="10965" customFormat="false" ht="15" hidden="false" customHeight="false" outlineLevel="0" collapsed="false">
      <c r="B10965" s="130" t="n">
        <v>2028</v>
      </c>
      <c r="C10965" s="131" t="s">
        <v>255</v>
      </c>
      <c r="D10965" s="132" t="n">
        <v>46782</v>
      </c>
      <c r="E10965" s="131" t="s">
        <v>14</v>
      </c>
      <c r="F10965" s="133" t="s">
        <v>19</v>
      </c>
      <c r="G10965" s="134" t="n">
        <f aca="false">LEN('Saisie programme'!$J$380)+SUMIFS('Vols additionnels'!$E$7:$E$66,'Vols additionnels'!$C$7:$C$66,$E10965,'Vols additionnels'!$D$7:$D$66,$F10965,'Vols additionnels'!$B$7:$B$66,$D10965)</f>
        <v>0</v>
      </c>
      <c r="H10965" s="135" t="n">
        <f aca="false">$G10965*'Analyse capacite'!$F$8</f>
        <v>0</v>
      </c>
      <c r="I10965" s="135" t="n">
        <f aca="false">$G10965*'Analyse capacite'!$C$8</f>
        <v>0</v>
      </c>
      <c r="J10965" s="135" t="n">
        <f aca="false">$G10965*'Analyse capacite'!$D$8</f>
        <v>0</v>
      </c>
      <c r="K10965" s="135" t="n">
        <f aca="false">$G10965*'Analyse capacite'!$E$8</f>
        <v>0</v>
      </c>
    </row>
    <row r="10966" customFormat="false" ht="15" hidden="false" customHeight="false" outlineLevel="0" collapsed="false">
      <c r="B10966" s="130" t="n">
        <v>2028</v>
      </c>
      <c r="C10966" s="131" t="s">
        <v>255</v>
      </c>
      <c r="D10966" s="132" t="n">
        <v>46782</v>
      </c>
      <c r="E10966" s="131" t="s">
        <v>14</v>
      </c>
      <c r="F10966" s="133" t="s">
        <v>24</v>
      </c>
      <c r="G10966" s="134" t="n">
        <f aca="false">LEN('Saisie programme'!$J$381)+SUMIFS('Vols additionnels'!$E$7:$E$66,'Vols additionnels'!$C$7:$C$66,$E10966,'Vols additionnels'!$D$7:$D$66,$F10966,'Vols additionnels'!$B$7:$B$66,$D10966)</f>
        <v>0</v>
      </c>
      <c r="H10966" s="135" t="n">
        <f aca="false">$G10966*'Analyse capacite'!$F$9</f>
        <v>0</v>
      </c>
      <c r="I10966" s="135" t="n">
        <f aca="false">$G10966*'Analyse capacite'!$C$9</f>
        <v>0</v>
      </c>
      <c r="J10966" s="135" t="n">
        <f aca="false">$G10966*'Analyse capacite'!$D$9</f>
        <v>0</v>
      </c>
      <c r="K10966" s="135" t="n">
        <f aca="false">$G10966*'Analyse capacite'!$E$9</f>
        <v>0</v>
      </c>
    </row>
    <row r="10967" customFormat="false" ht="15" hidden="false" customHeight="false" outlineLevel="0" collapsed="false">
      <c r="B10967" s="130" t="n">
        <v>2028</v>
      </c>
      <c r="C10967" s="131" t="s">
        <v>255</v>
      </c>
      <c r="D10967" s="132" t="n">
        <v>46782</v>
      </c>
      <c r="E10967" s="131" t="s">
        <v>46</v>
      </c>
      <c r="F10967" s="133" t="s">
        <v>11</v>
      </c>
      <c r="G10967" s="134" t="n">
        <f aca="false">LEN('Saisie programme'!$J$382)+SUMIFS('Vols additionnels'!$E$7:$E$66,'Vols additionnels'!$C$7:$C$66,$E10967,'Vols additionnels'!$D$7:$D$66,$F10967,'Vols additionnels'!$B$7:$B$66,$D10967)</f>
        <v>0</v>
      </c>
      <c r="H10967" s="135" t="n">
        <f aca="false">$G10967*'Analyse capacite'!$F$7</f>
        <v>0</v>
      </c>
      <c r="I10967" s="135" t="n">
        <f aca="false">$G10967*'Analyse capacite'!$C$7</f>
        <v>0</v>
      </c>
      <c r="J10967" s="135" t="n">
        <f aca="false">$G10967*'Analyse capacite'!$D$7</f>
        <v>0</v>
      </c>
      <c r="K10967" s="135" t="n">
        <f aca="false">$G10967*'Analyse capacite'!$E$7</f>
        <v>0</v>
      </c>
    </row>
    <row r="10968" customFormat="false" ht="15" hidden="false" customHeight="false" outlineLevel="0" collapsed="false">
      <c r="B10968" s="130" t="n">
        <v>2028</v>
      </c>
      <c r="C10968" s="131" t="s">
        <v>255</v>
      </c>
      <c r="D10968" s="132" t="n">
        <v>46782</v>
      </c>
      <c r="E10968" s="131" t="s">
        <v>46</v>
      </c>
      <c r="F10968" s="133" t="s">
        <v>19</v>
      </c>
      <c r="G10968" s="134" t="n">
        <f aca="false">LEN('Saisie programme'!$J$383)+SUMIFS('Vols additionnels'!$E$7:$E$66,'Vols additionnels'!$C$7:$C$66,$E10968,'Vols additionnels'!$D$7:$D$66,$F10968,'Vols additionnels'!$B$7:$B$66,$D10968)</f>
        <v>0</v>
      </c>
      <c r="H10968" s="135" t="n">
        <f aca="false">$G10968*'Analyse capacite'!$F$8</f>
        <v>0</v>
      </c>
      <c r="I10968" s="135" t="n">
        <f aca="false">$G10968*'Analyse capacite'!$C$8</f>
        <v>0</v>
      </c>
      <c r="J10968" s="135" t="n">
        <f aca="false">$G10968*'Analyse capacite'!$D$8</f>
        <v>0</v>
      </c>
      <c r="K10968" s="135" t="n">
        <f aca="false">$G10968*'Analyse capacite'!$E$8</f>
        <v>0</v>
      </c>
    </row>
    <row r="10969" customFormat="false" ht="15" hidden="false" customHeight="false" outlineLevel="0" collapsed="false">
      <c r="B10969" s="130" t="n">
        <v>2028</v>
      </c>
      <c r="C10969" s="131" t="s">
        <v>255</v>
      </c>
      <c r="D10969" s="132" t="n">
        <v>46782</v>
      </c>
      <c r="E10969" s="131" t="s">
        <v>46</v>
      </c>
      <c r="F10969" s="133" t="s">
        <v>24</v>
      </c>
      <c r="G10969" s="134" t="n">
        <f aca="false">LEN('Saisie programme'!$J$384)+SUMIFS('Vols additionnels'!$E$7:$E$66,'Vols additionnels'!$C$7:$C$66,$E10969,'Vols additionnels'!$D$7:$D$66,$F10969,'Vols additionnels'!$B$7:$B$66,$D10969)</f>
        <v>0</v>
      </c>
      <c r="H10969" s="135" t="n">
        <f aca="false">$G10969*'Analyse capacite'!$F$9</f>
        <v>0</v>
      </c>
      <c r="I10969" s="135" t="n">
        <f aca="false">$G10969*'Analyse capacite'!$C$9</f>
        <v>0</v>
      </c>
      <c r="J10969" s="135" t="n">
        <f aca="false">$G10969*'Analyse capacite'!$D$9</f>
        <v>0</v>
      </c>
      <c r="K10969" s="135" t="n">
        <f aca="false">$G10969*'Analyse capacite'!$E$9</f>
        <v>0</v>
      </c>
    </row>
    <row r="10970" customFormat="false" ht="15" hidden="false" customHeight="false" outlineLevel="0" collapsed="false">
      <c r="B10970" s="130" t="n">
        <v>2028</v>
      </c>
      <c r="C10970" s="131" t="s">
        <v>255</v>
      </c>
      <c r="D10970" s="132" t="n">
        <v>46782</v>
      </c>
      <c r="E10970" s="131" t="s">
        <v>49</v>
      </c>
      <c r="F10970" s="133" t="s">
        <v>11</v>
      </c>
      <c r="G10970" s="134" t="n">
        <f aca="false">LEN('Saisie programme'!$J$385)+SUMIFS('Vols additionnels'!$E$7:$E$66,'Vols additionnels'!$C$7:$C$66,$E10970,'Vols additionnels'!$D$7:$D$66,$F10970,'Vols additionnels'!$B$7:$B$66,$D10970)</f>
        <v>0</v>
      </c>
      <c r="H10970" s="135" t="n">
        <f aca="false">$G10970*'Analyse capacite'!$F$7</f>
        <v>0</v>
      </c>
      <c r="I10970" s="135" t="n">
        <f aca="false">$G10970*'Analyse capacite'!$C$7</f>
        <v>0</v>
      </c>
      <c r="J10970" s="135" t="n">
        <f aca="false">$G10970*'Analyse capacite'!$D$7</f>
        <v>0</v>
      </c>
      <c r="K10970" s="135" t="n">
        <f aca="false">$G10970*'Analyse capacite'!$E$7</f>
        <v>0</v>
      </c>
    </row>
    <row r="10971" customFormat="false" ht="15" hidden="false" customHeight="false" outlineLevel="0" collapsed="false">
      <c r="B10971" s="130" t="n">
        <v>2028</v>
      </c>
      <c r="C10971" s="131" t="s">
        <v>255</v>
      </c>
      <c r="D10971" s="132" t="n">
        <v>46782</v>
      </c>
      <c r="E10971" s="131" t="s">
        <v>49</v>
      </c>
      <c r="F10971" s="133" t="s">
        <v>19</v>
      </c>
      <c r="G10971" s="134" t="n">
        <f aca="false">LEN('Saisie programme'!$J$386)+SUMIFS('Vols additionnels'!$E$7:$E$66,'Vols additionnels'!$C$7:$C$66,$E10971,'Vols additionnels'!$D$7:$D$66,$F10971,'Vols additionnels'!$B$7:$B$66,$D10971)</f>
        <v>0</v>
      </c>
      <c r="H10971" s="135" t="n">
        <f aca="false">$G10971*'Analyse capacite'!$F$8</f>
        <v>0</v>
      </c>
      <c r="I10971" s="135" t="n">
        <f aca="false">$G10971*'Analyse capacite'!$C$8</f>
        <v>0</v>
      </c>
      <c r="J10971" s="135" t="n">
        <f aca="false">$G10971*'Analyse capacite'!$D$8</f>
        <v>0</v>
      </c>
      <c r="K10971" s="135" t="n">
        <f aca="false">$G10971*'Analyse capacite'!$E$8</f>
        <v>0</v>
      </c>
    </row>
    <row r="10972" customFormat="false" ht="15" hidden="false" customHeight="false" outlineLevel="0" collapsed="false">
      <c r="B10972" s="130" t="n">
        <v>2028</v>
      </c>
      <c r="C10972" s="131" t="s">
        <v>255</v>
      </c>
      <c r="D10972" s="132" t="n">
        <v>46782</v>
      </c>
      <c r="E10972" s="131" t="s">
        <v>49</v>
      </c>
      <c r="F10972" s="133" t="s">
        <v>24</v>
      </c>
      <c r="G10972" s="134" t="n">
        <f aca="false">LEN('Saisie programme'!$J$387)+SUMIFS('Vols additionnels'!$E$7:$E$66,'Vols additionnels'!$C$7:$C$66,$E10972,'Vols additionnels'!$D$7:$D$66,$F10972,'Vols additionnels'!$B$7:$B$66,$D10972)</f>
        <v>0</v>
      </c>
      <c r="H10972" s="135" t="n">
        <f aca="false">$G10972*'Analyse capacite'!$F$9</f>
        <v>0</v>
      </c>
      <c r="I10972" s="135" t="n">
        <f aca="false">$G10972*'Analyse capacite'!$C$9</f>
        <v>0</v>
      </c>
      <c r="J10972" s="135" t="n">
        <f aca="false">$G10972*'Analyse capacite'!$D$9</f>
        <v>0</v>
      </c>
      <c r="K10972" s="135" t="n">
        <f aca="false">$G10972*'Analyse capacite'!$E$9</f>
        <v>0</v>
      </c>
    </row>
    <row r="10973" customFormat="false" ht="15" hidden="false" customHeight="false" outlineLevel="0" collapsed="false">
      <c r="B10973" s="130" t="n">
        <v>2028</v>
      </c>
      <c r="C10973" s="131" t="s">
        <v>255</v>
      </c>
      <c r="D10973" s="132" t="n">
        <v>46782</v>
      </c>
      <c r="E10973" s="131" t="s">
        <v>53</v>
      </c>
      <c r="F10973" s="133" t="s">
        <v>11</v>
      </c>
      <c r="G10973" s="134" t="n">
        <f aca="false">LEN('Saisie programme'!$J$388)+SUMIFS('Vols additionnels'!$E$7:$E$66,'Vols additionnels'!$C$7:$C$66,$E10973,'Vols additionnels'!$D$7:$D$66,$F10973,'Vols additionnels'!$B$7:$B$66,$D10973)</f>
        <v>0</v>
      </c>
      <c r="H10973" s="135" t="n">
        <f aca="false">$G10973*'Analyse capacite'!$F$7</f>
        <v>0</v>
      </c>
      <c r="I10973" s="135" t="n">
        <f aca="false">$G10973*'Analyse capacite'!$C$7</f>
        <v>0</v>
      </c>
      <c r="J10973" s="135" t="n">
        <f aca="false">$G10973*'Analyse capacite'!$D$7</f>
        <v>0</v>
      </c>
      <c r="K10973" s="135" t="n">
        <f aca="false">$G10973*'Analyse capacite'!$E$7</f>
        <v>0</v>
      </c>
    </row>
    <row r="10974" customFormat="false" ht="15" hidden="false" customHeight="false" outlineLevel="0" collapsed="false">
      <c r="B10974" s="130" t="n">
        <v>2028</v>
      </c>
      <c r="C10974" s="131" t="s">
        <v>255</v>
      </c>
      <c r="D10974" s="132" t="n">
        <v>46782</v>
      </c>
      <c r="E10974" s="131" t="s">
        <v>53</v>
      </c>
      <c r="F10974" s="133" t="s">
        <v>19</v>
      </c>
      <c r="G10974" s="134" t="n">
        <f aca="false">LEN('Saisie programme'!$J$389)+SUMIFS('Vols additionnels'!$E$7:$E$66,'Vols additionnels'!$C$7:$C$66,$E10974,'Vols additionnels'!$D$7:$D$66,$F10974,'Vols additionnels'!$B$7:$B$66,$D10974)</f>
        <v>0</v>
      </c>
      <c r="H10974" s="135" t="n">
        <f aca="false">$G10974*'Analyse capacite'!$F$8</f>
        <v>0</v>
      </c>
      <c r="I10974" s="135" t="n">
        <f aca="false">$G10974*'Analyse capacite'!$C$8</f>
        <v>0</v>
      </c>
      <c r="J10974" s="135" t="n">
        <f aca="false">$G10974*'Analyse capacite'!$D$8</f>
        <v>0</v>
      </c>
      <c r="K10974" s="135" t="n">
        <f aca="false">$G10974*'Analyse capacite'!$E$8</f>
        <v>0</v>
      </c>
    </row>
    <row r="10975" customFormat="false" ht="15" hidden="false" customHeight="false" outlineLevel="0" collapsed="false">
      <c r="B10975" s="130" t="n">
        <v>2028</v>
      </c>
      <c r="C10975" s="131" t="s">
        <v>255</v>
      </c>
      <c r="D10975" s="132" t="n">
        <v>46782</v>
      </c>
      <c r="E10975" s="131" t="s">
        <v>53</v>
      </c>
      <c r="F10975" s="133" t="s">
        <v>24</v>
      </c>
      <c r="G10975" s="134" t="n">
        <f aca="false">LEN('Saisie programme'!$J$390)+SUMIFS('Vols additionnels'!$E$7:$E$66,'Vols additionnels'!$C$7:$C$66,$E10975,'Vols additionnels'!$D$7:$D$66,$F10975,'Vols additionnels'!$B$7:$B$66,$D10975)</f>
        <v>0</v>
      </c>
      <c r="H10975" s="135" t="n">
        <f aca="false">$G10975*'Analyse capacite'!$F$9</f>
        <v>0</v>
      </c>
      <c r="I10975" s="135" t="n">
        <f aca="false">$G10975*'Analyse capacite'!$C$9</f>
        <v>0</v>
      </c>
      <c r="J10975" s="135" t="n">
        <f aca="false">$G10975*'Analyse capacite'!$D$9</f>
        <v>0</v>
      </c>
      <c r="K10975" s="135" t="n">
        <f aca="false">$G10975*'Analyse capacite'!$E$9</f>
        <v>0</v>
      </c>
    </row>
    <row r="10976" customFormat="false" ht="15" hidden="false" customHeight="false" outlineLevel="0" collapsed="false">
      <c r="B10976" s="130" t="n">
        <v>2028</v>
      </c>
      <c r="C10976" s="131" t="s">
        <v>255</v>
      </c>
      <c r="D10976" s="132" t="n">
        <v>46782</v>
      </c>
      <c r="E10976" s="131" t="s">
        <v>56</v>
      </c>
      <c r="F10976" s="133" t="s">
        <v>11</v>
      </c>
      <c r="G10976" s="134" t="n">
        <f aca="false">LEN('Saisie programme'!$J$391)+SUMIFS('Vols additionnels'!$E$7:$E$66,'Vols additionnels'!$C$7:$C$66,$E10976,'Vols additionnels'!$D$7:$D$66,$F10976,'Vols additionnels'!$B$7:$B$66,$D10976)</f>
        <v>0</v>
      </c>
      <c r="H10976" s="135" t="n">
        <f aca="false">$G10976*'Analyse capacite'!$F$7</f>
        <v>0</v>
      </c>
      <c r="I10976" s="135" t="n">
        <f aca="false">$G10976*'Analyse capacite'!$C$7</f>
        <v>0</v>
      </c>
      <c r="J10976" s="135" t="n">
        <f aca="false">$G10976*'Analyse capacite'!$D$7</f>
        <v>0</v>
      </c>
      <c r="K10976" s="135" t="n">
        <f aca="false">$G10976*'Analyse capacite'!$E$7</f>
        <v>0</v>
      </c>
    </row>
    <row r="10977" customFormat="false" ht="15" hidden="false" customHeight="false" outlineLevel="0" collapsed="false">
      <c r="B10977" s="130" t="n">
        <v>2028</v>
      </c>
      <c r="C10977" s="131" t="s">
        <v>255</v>
      </c>
      <c r="D10977" s="132" t="n">
        <v>46782</v>
      </c>
      <c r="E10977" s="131" t="s">
        <v>56</v>
      </c>
      <c r="F10977" s="133" t="s">
        <v>19</v>
      </c>
      <c r="G10977" s="134" t="n">
        <f aca="false">LEN('Saisie programme'!$J$392)+SUMIFS('Vols additionnels'!$E$7:$E$66,'Vols additionnels'!$C$7:$C$66,$E10977,'Vols additionnels'!$D$7:$D$66,$F10977,'Vols additionnels'!$B$7:$B$66,$D10977)</f>
        <v>0</v>
      </c>
      <c r="H10977" s="135" t="n">
        <f aca="false">$G10977*'Analyse capacite'!$F$8</f>
        <v>0</v>
      </c>
      <c r="I10977" s="135" t="n">
        <f aca="false">$G10977*'Analyse capacite'!$C$8</f>
        <v>0</v>
      </c>
      <c r="J10977" s="135" t="n">
        <f aca="false">$G10977*'Analyse capacite'!$D$8</f>
        <v>0</v>
      </c>
      <c r="K10977" s="135" t="n">
        <f aca="false">$G10977*'Analyse capacite'!$E$8</f>
        <v>0</v>
      </c>
    </row>
    <row r="10978" customFormat="false" ht="15" hidden="false" customHeight="false" outlineLevel="0" collapsed="false">
      <c r="B10978" s="130" t="n">
        <v>2028</v>
      </c>
      <c r="C10978" s="131" t="s">
        <v>255</v>
      </c>
      <c r="D10978" s="132" t="n">
        <v>46782</v>
      </c>
      <c r="E10978" s="131" t="s">
        <v>56</v>
      </c>
      <c r="F10978" s="133" t="s">
        <v>24</v>
      </c>
      <c r="G10978" s="134" t="n">
        <f aca="false">LEN('Saisie programme'!$J$393)+SUMIFS('Vols additionnels'!$E$7:$E$66,'Vols additionnels'!$C$7:$C$66,$E10978,'Vols additionnels'!$D$7:$D$66,$F10978,'Vols additionnels'!$B$7:$B$66,$D10978)</f>
        <v>0</v>
      </c>
      <c r="H10978" s="135" t="n">
        <f aca="false">$G10978*'Analyse capacite'!$F$9</f>
        <v>0</v>
      </c>
      <c r="I10978" s="135" t="n">
        <f aca="false">$G10978*'Analyse capacite'!$C$9</f>
        <v>0</v>
      </c>
      <c r="J10978" s="135" t="n">
        <f aca="false">$G10978*'Analyse capacite'!$D$9</f>
        <v>0</v>
      </c>
      <c r="K10978" s="135" t="n">
        <f aca="false">$G10978*'Analyse capacite'!$E$9</f>
        <v>0</v>
      </c>
    </row>
    <row r="10979" customFormat="false" ht="15" hidden="false" customHeight="false" outlineLevel="0" collapsed="false">
      <c r="B10979" s="130" t="n">
        <v>2028</v>
      </c>
      <c r="C10979" s="131" t="s">
        <v>255</v>
      </c>
      <c r="D10979" s="132" t="n">
        <v>46782</v>
      </c>
      <c r="E10979" s="131" t="s">
        <v>59</v>
      </c>
      <c r="F10979" s="133" t="s">
        <v>11</v>
      </c>
      <c r="G10979" s="134" t="n">
        <f aca="false">LEN('Saisie programme'!$J$394)+SUMIFS('Vols additionnels'!$E$7:$E$66,'Vols additionnels'!$C$7:$C$66,$E10979,'Vols additionnels'!$D$7:$D$66,$F10979,'Vols additionnels'!$B$7:$B$66,$D10979)</f>
        <v>0</v>
      </c>
      <c r="H10979" s="135" t="n">
        <f aca="false">$G10979*'Analyse capacite'!$F$7</f>
        <v>0</v>
      </c>
      <c r="I10979" s="135" t="n">
        <f aca="false">$G10979*'Analyse capacite'!$C$7</f>
        <v>0</v>
      </c>
      <c r="J10979" s="135" t="n">
        <f aca="false">$G10979*'Analyse capacite'!$D$7</f>
        <v>0</v>
      </c>
      <c r="K10979" s="135" t="n">
        <f aca="false">$G10979*'Analyse capacite'!$E$7</f>
        <v>0</v>
      </c>
    </row>
    <row r="10980" customFormat="false" ht="15" hidden="false" customHeight="false" outlineLevel="0" collapsed="false">
      <c r="B10980" s="130" t="n">
        <v>2028</v>
      </c>
      <c r="C10980" s="131" t="s">
        <v>255</v>
      </c>
      <c r="D10980" s="132" t="n">
        <v>46782</v>
      </c>
      <c r="E10980" s="131" t="s">
        <v>59</v>
      </c>
      <c r="F10980" s="133" t="s">
        <v>19</v>
      </c>
      <c r="G10980" s="134" t="n">
        <f aca="false">LEN('Saisie programme'!$J$395)+SUMIFS('Vols additionnels'!$E$7:$E$66,'Vols additionnels'!$C$7:$C$66,$E10980,'Vols additionnels'!$D$7:$D$66,$F10980,'Vols additionnels'!$B$7:$B$66,$D10980)</f>
        <v>0</v>
      </c>
      <c r="H10980" s="135" t="n">
        <f aca="false">$G10980*'Analyse capacite'!$F$8</f>
        <v>0</v>
      </c>
      <c r="I10980" s="135" t="n">
        <f aca="false">$G10980*'Analyse capacite'!$C$8</f>
        <v>0</v>
      </c>
      <c r="J10980" s="135" t="n">
        <f aca="false">$G10980*'Analyse capacite'!$D$8</f>
        <v>0</v>
      </c>
      <c r="K10980" s="135" t="n">
        <f aca="false">$G10980*'Analyse capacite'!$E$8</f>
        <v>0</v>
      </c>
    </row>
    <row r="10981" customFormat="false" ht="15" hidden="false" customHeight="false" outlineLevel="0" collapsed="false">
      <c r="B10981" s="130" t="n">
        <v>2028</v>
      </c>
      <c r="C10981" s="131" t="s">
        <v>255</v>
      </c>
      <c r="D10981" s="132" t="n">
        <v>46782</v>
      </c>
      <c r="E10981" s="131" t="s">
        <v>59</v>
      </c>
      <c r="F10981" s="133" t="s">
        <v>24</v>
      </c>
      <c r="G10981" s="134" t="n">
        <f aca="false">LEN('Saisie programme'!$J$396)+SUMIFS('Vols additionnels'!$E$7:$E$66,'Vols additionnels'!$C$7:$C$66,$E10981,'Vols additionnels'!$D$7:$D$66,$F10981,'Vols additionnels'!$B$7:$B$66,$D10981)</f>
        <v>0</v>
      </c>
      <c r="H10981" s="135" t="n">
        <f aca="false">$G10981*'Analyse capacite'!$F$9</f>
        <v>0</v>
      </c>
      <c r="I10981" s="135" t="n">
        <f aca="false">$G10981*'Analyse capacite'!$C$9</f>
        <v>0</v>
      </c>
      <c r="J10981" s="135" t="n">
        <f aca="false">$G10981*'Analyse capacite'!$D$9</f>
        <v>0</v>
      </c>
      <c r="K10981" s="135" t="n">
        <f aca="false">$G10981*'Analyse capacite'!$E$9</f>
        <v>0</v>
      </c>
    </row>
    <row r="10982" customFormat="false" ht="15" hidden="false" customHeight="false" outlineLevel="0" collapsed="false">
      <c r="B10982" s="130" t="n">
        <v>2028</v>
      </c>
      <c r="C10982" s="131" t="s">
        <v>255</v>
      </c>
      <c r="D10982" s="132" t="n">
        <v>46782</v>
      </c>
      <c r="E10982" s="131" t="s">
        <v>62</v>
      </c>
      <c r="F10982" s="133" t="s">
        <v>11</v>
      </c>
      <c r="G10982" s="134" t="n">
        <f aca="false">LEN('Saisie programme'!$J$397)+SUMIFS('Vols additionnels'!$E$7:$E$66,'Vols additionnels'!$C$7:$C$66,$E10982,'Vols additionnels'!$D$7:$D$66,$F10982,'Vols additionnels'!$B$7:$B$66,$D10982)</f>
        <v>0</v>
      </c>
      <c r="H10982" s="135" t="n">
        <f aca="false">$G10982*'Analyse capacite'!$F$7</f>
        <v>0</v>
      </c>
      <c r="I10982" s="135" t="n">
        <f aca="false">$G10982*'Analyse capacite'!$C$7</f>
        <v>0</v>
      </c>
      <c r="J10982" s="135" t="n">
        <f aca="false">$G10982*'Analyse capacite'!$D$7</f>
        <v>0</v>
      </c>
      <c r="K10982" s="135" t="n">
        <f aca="false">$G10982*'Analyse capacite'!$E$7</f>
        <v>0</v>
      </c>
    </row>
    <row r="10983" customFormat="false" ht="15" hidden="false" customHeight="false" outlineLevel="0" collapsed="false">
      <c r="B10983" s="130" t="n">
        <v>2028</v>
      </c>
      <c r="C10983" s="131" t="s">
        <v>255</v>
      </c>
      <c r="D10983" s="132" t="n">
        <v>46782</v>
      </c>
      <c r="E10983" s="131" t="s">
        <v>62</v>
      </c>
      <c r="F10983" s="133" t="s">
        <v>19</v>
      </c>
      <c r="G10983" s="134" t="n">
        <f aca="false">LEN('Saisie programme'!$J$398)+SUMIFS('Vols additionnels'!$E$7:$E$66,'Vols additionnels'!$C$7:$C$66,$E10983,'Vols additionnels'!$D$7:$D$66,$F10983,'Vols additionnels'!$B$7:$B$66,$D10983)</f>
        <v>0</v>
      </c>
      <c r="H10983" s="135" t="n">
        <f aca="false">$G10983*'Analyse capacite'!$F$8</f>
        <v>0</v>
      </c>
      <c r="I10983" s="135" t="n">
        <f aca="false">$G10983*'Analyse capacite'!$C$8</f>
        <v>0</v>
      </c>
      <c r="J10983" s="135" t="n">
        <f aca="false">$G10983*'Analyse capacite'!$D$8</f>
        <v>0</v>
      </c>
      <c r="K10983" s="135" t="n">
        <f aca="false">$G10983*'Analyse capacite'!$E$8</f>
        <v>0</v>
      </c>
    </row>
    <row r="10984" customFormat="false" ht="15" hidden="false" customHeight="false" outlineLevel="0" collapsed="false">
      <c r="B10984" s="130" t="n">
        <v>2028</v>
      </c>
      <c r="C10984" s="131" t="s">
        <v>255</v>
      </c>
      <c r="D10984" s="132" t="n">
        <v>46782</v>
      </c>
      <c r="E10984" s="131" t="s">
        <v>62</v>
      </c>
      <c r="F10984" s="133" t="s">
        <v>24</v>
      </c>
      <c r="G10984" s="134" t="n">
        <f aca="false">LEN('Saisie programme'!$J$399)+SUMIFS('Vols additionnels'!$E$7:$E$66,'Vols additionnels'!$C$7:$C$66,$E10984,'Vols additionnels'!$D$7:$D$66,$F10984,'Vols additionnels'!$B$7:$B$66,$D10984)</f>
        <v>1</v>
      </c>
      <c r="H10984" s="135" t="n">
        <f aca="false">$G10984*'Analyse capacite'!$F$9</f>
        <v>174</v>
      </c>
      <c r="I10984" s="135" t="n">
        <f aca="false">$G10984*'Analyse capacite'!$C$9</f>
        <v>0</v>
      </c>
      <c r="J10984" s="135" t="n">
        <f aca="false">$G10984*'Analyse capacite'!$D$9</f>
        <v>12</v>
      </c>
      <c r="K10984" s="135" t="n">
        <f aca="false">$G10984*'Analyse capacite'!$E$9</f>
        <v>162</v>
      </c>
    </row>
    <row r="10985" customFormat="false" ht="15" hidden="false" customHeight="false" outlineLevel="0" collapsed="false">
      <c r="B10985" s="130" t="n">
        <v>2028</v>
      </c>
      <c r="C10985" s="131" t="s">
        <v>255</v>
      </c>
      <c r="D10985" s="132" t="n">
        <v>46783</v>
      </c>
      <c r="E10985" s="131" t="s">
        <v>12</v>
      </c>
      <c r="F10985" s="133" t="s">
        <v>11</v>
      </c>
      <c r="G10985" s="134" t="n">
        <f aca="false">LEN('Saisie programme'!$D$364)+SUMIFS('Vols additionnels'!$E$7:$E$66,'Vols additionnels'!$C$7:$C$66,$E10985,'Vols additionnels'!$D$7:$D$66,$F10985,'Vols additionnels'!$B$7:$B$66,$D10985)</f>
        <v>1</v>
      </c>
      <c r="H10985" s="135" t="n">
        <f aca="false">$G10985*'Analyse capacite'!$F$7</f>
        <v>438</v>
      </c>
      <c r="I10985" s="135" t="n">
        <f aca="false">$G10985*'Analyse capacite'!$C$7</f>
        <v>14</v>
      </c>
      <c r="J10985" s="135" t="n">
        <f aca="false">$G10985*'Analyse capacite'!$D$7</f>
        <v>40</v>
      </c>
      <c r="K10985" s="135" t="n">
        <f aca="false">$G10985*'Analyse capacite'!$E$7</f>
        <v>384</v>
      </c>
    </row>
    <row r="10986" customFormat="false" ht="15" hidden="false" customHeight="false" outlineLevel="0" collapsed="false">
      <c r="B10986" s="130" t="n">
        <v>2028</v>
      </c>
      <c r="C10986" s="131" t="s">
        <v>255</v>
      </c>
      <c r="D10986" s="132" t="n">
        <v>46783</v>
      </c>
      <c r="E10986" s="131" t="s">
        <v>12</v>
      </c>
      <c r="F10986" s="133" t="s">
        <v>19</v>
      </c>
      <c r="G10986" s="134" t="n">
        <f aca="false">LEN('Saisie programme'!$D$365)+SUMIFS('Vols additionnels'!$E$7:$E$66,'Vols additionnels'!$C$7:$C$66,$E10986,'Vols additionnels'!$D$7:$D$66,$F10986,'Vols additionnels'!$B$7:$B$66,$D10986)</f>
        <v>1</v>
      </c>
      <c r="H10986" s="135" t="n">
        <f aca="false">$G10986*'Analyse capacite'!$F$8</f>
        <v>262</v>
      </c>
      <c r="I10986" s="135" t="n">
        <f aca="false">$G10986*'Analyse capacite'!$C$8</f>
        <v>18</v>
      </c>
      <c r="J10986" s="135" t="n">
        <f aca="false">$G10986*'Analyse capacite'!$D$8</f>
        <v>0</v>
      </c>
      <c r="K10986" s="135" t="n">
        <f aca="false">$G10986*'Analyse capacite'!$E$8</f>
        <v>244</v>
      </c>
    </row>
    <row r="10987" customFormat="false" ht="15" hidden="false" customHeight="false" outlineLevel="0" collapsed="false">
      <c r="B10987" s="130" t="n">
        <v>2028</v>
      </c>
      <c r="C10987" s="131" t="s">
        <v>255</v>
      </c>
      <c r="D10987" s="132" t="n">
        <v>46783</v>
      </c>
      <c r="E10987" s="131" t="s">
        <v>12</v>
      </c>
      <c r="F10987" s="133" t="s">
        <v>24</v>
      </c>
      <c r="G10987" s="134" t="n">
        <f aca="false">LEN('Saisie programme'!$D$366)+SUMIFS('Vols additionnels'!$E$7:$E$66,'Vols additionnels'!$C$7:$C$66,$E10987,'Vols additionnels'!$D$7:$D$66,$F10987,'Vols additionnels'!$B$7:$B$66,$D10987)</f>
        <v>2</v>
      </c>
      <c r="H10987" s="135" t="n">
        <f aca="false">$G10987*'Analyse capacite'!$F$9</f>
        <v>348</v>
      </c>
      <c r="I10987" s="135" t="n">
        <f aca="false">$G10987*'Analyse capacite'!$C$9</f>
        <v>0</v>
      </c>
      <c r="J10987" s="135" t="n">
        <f aca="false">$G10987*'Analyse capacite'!$D$9</f>
        <v>24</v>
      </c>
      <c r="K10987" s="135" t="n">
        <f aca="false">$G10987*'Analyse capacite'!$E$9</f>
        <v>324</v>
      </c>
    </row>
    <row r="10988" customFormat="false" ht="15" hidden="false" customHeight="false" outlineLevel="0" collapsed="false">
      <c r="B10988" s="130" t="n">
        <v>2028</v>
      </c>
      <c r="C10988" s="131" t="s">
        <v>255</v>
      </c>
      <c r="D10988" s="132" t="n">
        <v>46783</v>
      </c>
      <c r="E10988" s="131" t="s">
        <v>20</v>
      </c>
      <c r="F10988" s="133" t="s">
        <v>11</v>
      </c>
      <c r="G10988" s="134" t="n">
        <f aca="false">LEN('Saisie programme'!$D$367)+SUMIFS('Vols additionnels'!$E$7:$E$66,'Vols additionnels'!$C$7:$C$66,$E10988,'Vols additionnels'!$D$7:$D$66,$F10988,'Vols additionnels'!$B$7:$B$66,$D10988)</f>
        <v>0</v>
      </c>
      <c r="H10988" s="135" t="n">
        <f aca="false">$G10988*'Analyse capacite'!$F$7</f>
        <v>0</v>
      </c>
      <c r="I10988" s="135" t="n">
        <f aca="false">$G10988*'Analyse capacite'!$C$7</f>
        <v>0</v>
      </c>
      <c r="J10988" s="135" t="n">
        <f aca="false">$G10988*'Analyse capacite'!$D$7</f>
        <v>0</v>
      </c>
      <c r="K10988" s="135" t="n">
        <f aca="false">$G10988*'Analyse capacite'!$E$7</f>
        <v>0</v>
      </c>
    </row>
    <row r="10989" customFormat="false" ht="15" hidden="false" customHeight="false" outlineLevel="0" collapsed="false">
      <c r="B10989" s="130" t="n">
        <v>2028</v>
      </c>
      <c r="C10989" s="131" t="s">
        <v>255</v>
      </c>
      <c r="D10989" s="132" t="n">
        <v>46783</v>
      </c>
      <c r="E10989" s="131" t="s">
        <v>20</v>
      </c>
      <c r="F10989" s="133" t="s">
        <v>19</v>
      </c>
      <c r="G10989" s="134" t="n">
        <f aca="false">LEN('Saisie programme'!$D$368)+SUMIFS('Vols additionnels'!$E$7:$E$66,'Vols additionnels'!$C$7:$C$66,$E10989,'Vols additionnels'!$D$7:$D$66,$F10989,'Vols additionnels'!$B$7:$B$66,$D10989)</f>
        <v>0</v>
      </c>
      <c r="H10989" s="135" t="n">
        <f aca="false">$G10989*'Analyse capacite'!$F$8</f>
        <v>0</v>
      </c>
      <c r="I10989" s="135" t="n">
        <f aca="false">$G10989*'Analyse capacite'!$C$8</f>
        <v>0</v>
      </c>
      <c r="J10989" s="135" t="n">
        <f aca="false">$G10989*'Analyse capacite'!$D$8</f>
        <v>0</v>
      </c>
      <c r="K10989" s="135" t="n">
        <f aca="false">$G10989*'Analyse capacite'!$E$8</f>
        <v>0</v>
      </c>
    </row>
    <row r="10990" customFormat="false" ht="15" hidden="false" customHeight="false" outlineLevel="0" collapsed="false">
      <c r="B10990" s="130" t="n">
        <v>2028</v>
      </c>
      <c r="C10990" s="131" t="s">
        <v>255</v>
      </c>
      <c r="D10990" s="132" t="n">
        <v>46783</v>
      </c>
      <c r="E10990" s="131" t="s">
        <v>20</v>
      </c>
      <c r="F10990" s="133" t="s">
        <v>24</v>
      </c>
      <c r="G10990" s="134" t="n">
        <f aca="false">LEN('Saisie programme'!$D$369)+SUMIFS('Vols additionnels'!$E$7:$E$66,'Vols additionnels'!$C$7:$C$66,$E10990,'Vols additionnels'!$D$7:$D$66,$F10990,'Vols additionnels'!$B$7:$B$66,$D10990)</f>
        <v>0</v>
      </c>
      <c r="H10990" s="135" t="n">
        <f aca="false">$G10990*'Analyse capacite'!$F$9</f>
        <v>0</v>
      </c>
      <c r="I10990" s="135" t="n">
        <f aca="false">$G10990*'Analyse capacite'!$C$9</f>
        <v>0</v>
      </c>
      <c r="J10990" s="135" t="n">
        <f aca="false">$G10990*'Analyse capacite'!$D$9</f>
        <v>0</v>
      </c>
      <c r="K10990" s="135" t="n">
        <f aca="false">$G10990*'Analyse capacite'!$E$9</f>
        <v>0</v>
      </c>
    </row>
    <row r="10991" customFormat="false" ht="15" hidden="false" customHeight="false" outlineLevel="0" collapsed="false">
      <c r="B10991" s="130" t="n">
        <v>2028</v>
      </c>
      <c r="C10991" s="131" t="s">
        <v>255</v>
      </c>
      <c r="D10991" s="132" t="n">
        <v>46783</v>
      </c>
      <c r="E10991" s="131" t="s">
        <v>25</v>
      </c>
      <c r="F10991" s="133" t="s">
        <v>11</v>
      </c>
      <c r="G10991" s="134" t="n">
        <f aca="false">LEN('Saisie programme'!$D$370)+SUMIFS('Vols additionnels'!$E$7:$E$66,'Vols additionnels'!$C$7:$C$66,$E10991,'Vols additionnels'!$D$7:$D$66,$F10991,'Vols additionnels'!$B$7:$B$66,$D10991)</f>
        <v>0</v>
      </c>
      <c r="H10991" s="135" t="n">
        <f aca="false">$G10991*'Analyse capacite'!$F$7</f>
        <v>0</v>
      </c>
      <c r="I10991" s="135" t="n">
        <f aca="false">$G10991*'Analyse capacite'!$C$7</f>
        <v>0</v>
      </c>
      <c r="J10991" s="135" t="n">
        <f aca="false">$G10991*'Analyse capacite'!$D$7</f>
        <v>0</v>
      </c>
      <c r="K10991" s="135" t="n">
        <f aca="false">$G10991*'Analyse capacite'!$E$7</f>
        <v>0</v>
      </c>
    </row>
    <row r="10992" customFormat="false" ht="15" hidden="false" customHeight="false" outlineLevel="0" collapsed="false">
      <c r="B10992" s="130" t="n">
        <v>2028</v>
      </c>
      <c r="C10992" s="131" t="s">
        <v>255</v>
      </c>
      <c r="D10992" s="132" t="n">
        <v>46783</v>
      </c>
      <c r="E10992" s="131" t="s">
        <v>25</v>
      </c>
      <c r="F10992" s="133" t="s">
        <v>19</v>
      </c>
      <c r="G10992" s="134" t="n">
        <f aca="false">LEN('Saisie programme'!$D$371)+SUMIFS('Vols additionnels'!$E$7:$E$66,'Vols additionnels'!$C$7:$C$66,$E10992,'Vols additionnels'!$D$7:$D$66,$F10992,'Vols additionnels'!$B$7:$B$66,$D10992)</f>
        <v>0</v>
      </c>
      <c r="H10992" s="135" t="n">
        <f aca="false">$G10992*'Analyse capacite'!$F$8</f>
        <v>0</v>
      </c>
      <c r="I10992" s="135" t="n">
        <f aca="false">$G10992*'Analyse capacite'!$C$8</f>
        <v>0</v>
      </c>
      <c r="J10992" s="135" t="n">
        <f aca="false">$G10992*'Analyse capacite'!$D$8</f>
        <v>0</v>
      </c>
      <c r="K10992" s="135" t="n">
        <f aca="false">$G10992*'Analyse capacite'!$E$8</f>
        <v>0</v>
      </c>
    </row>
    <row r="10993" customFormat="false" ht="15" hidden="false" customHeight="false" outlineLevel="0" collapsed="false">
      <c r="B10993" s="130" t="n">
        <v>2028</v>
      </c>
      <c r="C10993" s="131" t="s">
        <v>255</v>
      </c>
      <c r="D10993" s="132" t="n">
        <v>46783</v>
      </c>
      <c r="E10993" s="131" t="s">
        <v>25</v>
      </c>
      <c r="F10993" s="133" t="s">
        <v>24</v>
      </c>
      <c r="G10993" s="134" t="n">
        <f aca="false">LEN('Saisie programme'!$D$372)+SUMIFS('Vols additionnels'!$E$7:$E$66,'Vols additionnels'!$C$7:$C$66,$E10993,'Vols additionnels'!$D$7:$D$66,$F10993,'Vols additionnels'!$B$7:$B$66,$D10993)</f>
        <v>0</v>
      </c>
      <c r="H10993" s="135" t="n">
        <f aca="false">$G10993*'Analyse capacite'!$F$9</f>
        <v>0</v>
      </c>
      <c r="I10993" s="135" t="n">
        <f aca="false">$G10993*'Analyse capacite'!$C$9</f>
        <v>0</v>
      </c>
      <c r="J10993" s="135" t="n">
        <f aca="false">$G10993*'Analyse capacite'!$D$9</f>
        <v>0</v>
      </c>
      <c r="K10993" s="135" t="n">
        <f aca="false">$G10993*'Analyse capacite'!$E$9</f>
        <v>0</v>
      </c>
    </row>
    <row r="10994" customFormat="false" ht="15" hidden="false" customHeight="false" outlineLevel="0" collapsed="false">
      <c r="B10994" s="130" t="n">
        <v>2028</v>
      </c>
      <c r="C10994" s="131" t="s">
        <v>255</v>
      </c>
      <c r="D10994" s="132" t="n">
        <v>46783</v>
      </c>
      <c r="E10994" s="131" t="s">
        <v>36</v>
      </c>
      <c r="F10994" s="133" t="s">
        <v>11</v>
      </c>
      <c r="G10994" s="134" t="n">
        <f aca="false">LEN('Saisie programme'!$D$373)+SUMIFS('Vols additionnels'!$E$7:$E$66,'Vols additionnels'!$C$7:$C$66,$E10994,'Vols additionnels'!$D$7:$D$66,$F10994,'Vols additionnels'!$B$7:$B$66,$D10994)</f>
        <v>0</v>
      </c>
      <c r="H10994" s="135" t="n">
        <f aca="false">$G10994*'Analyse capacite'!$F$7</f>
        <v>0</v>
      </c>
      <c r="I10994" s="135" t="n">
        <f aca="false">$G10994*'Analyse capacite'!$C$7</f>
        <v>0</v>
      </c>
      <c r="J10994" s="135" t="n">
        <f aca="false">$G10994*'Analyse capacite'!$D$7</f>
        <v>0</v>
      </c>
      <c r="K10994" s="135" t="n">
        <f aca="false">$G10994*'Analyse capacite'!$E$7</f>
        <v>0</v>
      </c>
    </row>
    <row r="10995" customFormat="false" ht="15" hidden="false" customHeight="false" outlineLevel="0" collapsed="false">
      <c r="B10995" s="130" t="n">
        <v>2028</v>
      </c>
      <c r="C10995" s="131" t="s">
        <v>255</v>
      </c>
      <c r="D10995" s="132" t="n">
        <v>46783</v>
      </c>
      <c r="E10995" s="131" t="s">
        <v>36</v>
      </c>
      <c r="F10995" s="133" t="s">
        <v>19</v>
      </c>
      <c r="G10995" s="134" t="n">
        <f aca="false">LEN('Saisie programme'!$D$374)+SUMIFS('Vols additionnels'!$E$7:$E$66,'Vols additionnels'!$C$7:$C$66,$E10995,'Vols additionnels'!$D$7:$D$66,$F10995,'Vols additionnels'!$B$7:$B$66,$D10995)</f>
        <v>0</v>
      </c>
      <c r="H10995" s="135" t="n">
        <f aca="false">$G10995*'Analyse capacite'!$F$8</f>
        <v>0</v>
      </c>
      <c r="I10995" s="135" t="n">
        <f aca="false">$G10995*'Analyse capacite'!$C$8</f>
        <v>0</v>
      </c>
      <c r="J10995" s="135" t="n">
        <f aca="false">$G10995*'Analyse capacite'!$D$8</f>
        <v>0</v>
      </c>
      <c r="K10995" s="135" t="n">
        <f aca="false">$G10995*'Analyse capacite'!$E$8</f>
        <v>0</v>
      </c>
    </row>
    <row r="10996" customFormat="false" ht="15" hidden="false" customHeight="false" outlineLevel="0" collapsed="false">
      <c r="B10996" s="130" t="n">
        <v>2028</v>
      </c>
      <c r="C10996" s="131" t="s">
        <v>255</v>
      </c>
      <c r="D10996" s="132" t="n">
        <v>46783</v>
      </c>
      <c r="E10996" s="131" t="s">
        <v>36</v>
      </c>
      <c r="F10996" s="133" t="s">
        <v>24</v>
      </c>
      <c r="G10996" s="134" t="n">
        <f aca="false">LEN('Saisie programme'!$D$375)+SUMIFS('Vols additionnels'!$E$7:$E$66,'Vols additionnels'!$C$7:$C$66,$E10996,'Vols additionnels'!$D$7:$D$66,$F10996,'Vols additionnels'!$B$7:$B$66,$D10996)</f>
        <v>1</v>
      </c>
      <c r="H10996" s="135" t="n">
        <f aca="false">$G10996*'Analyse capacite'!$F$9</f>
        <v>174</v>
      </c>
      <c r="I10996" s="135" t="n">
        <f aca="false">$G10996*'Analyse capacite'!$C$9</f>
        <v>0</v>
      </c>
      <c r="J10996" s="135" t="n">
        <f aca="false">$G10996*'Analyse capacite'!$D$9</f>
        <v>12</v>
      </c>
      <c r="K10996" s="135" t="n">
        <f aca="false">$G10996*'Analyse capacite'!$E$9</f>
        <v>162</v>
      </c>
    </row>
    <row r="10997" customFormat="false" ht="15" hidden="false" customHeight="false" outlineLevel="0" collapsed="false">
      <c r="B10997" s="130" t="n">
        <v>2028</v>
      </c>
      <c r="C10997" s="131" t="s">
        <v>255</v>
      </c>
      <c r="D10997" s="132" t="n">
        <v>46783</v>
      </c>
      <c r="E10997" s="131" t="s">
        <v>40</v>
      </c>
      <c r="F10997" s="133" t="s">
        <v>11</v>
      </c>
      <c r="G10997" s="134" t="n">
        <f aca="false">LEN('Saisie programme'!$D$376)+SUMIFS('Vols additionnels'!$E$7:$E$66,'Vols additionnels'!$C$7:$C$66,$E10997,'Vols additionnels'!$D$7:$D$66,$F10997,'Vols additionnels'!$B$7:$B$66,$D10997)</f>
        <v>0</v>
      </c>
      <c r="H10997" s="135" t="n">
        <f aca="false">$G10997*'Analyse capacite'!$F$7</f>
        <v>0</v>
      </c>
      <c r="I10997" s="135" t="n">
        <f aca="false">$G10997*'Analyse capacite'!$C$7</f>
        <v>0</v>
      </c>
      <c r="J10997" s="135" t="n">
        <f aca="false">$G10997*'Analyse capacite'!$D$7</f>
        <v>0</v>
      </c>
      <c r="K10997" s="135" t="n">
        <f aca="false">$G10997*'Analyse capacite'!$E$7</f>
        <v>0</v>
      </c>
    </row>
    <row r="10998" customFormat="false" ht="15" hidden="false" customHeight="false" outlineLevel="0" collapsed="false">
      <c r="B10998" s="130" t="n">
        <v>2028</v>
      </c>
      <c r="C10998" s="131" t="s">
        <v>255</v>
      </c>
      <c r="D10998" s="132" t="n">
        <v>46783</v>
      </c>
      <c r="E10998" s="131" t="s">
        <v>40</v>
      </c>
      <c r="F10998" s="133" t="s">
        <v>19</v>
      </c>
      <c r="G10998" s="134" t="n">
        <f aca="false">LEN('Saisie programme'!$D$377)+SUMIFS('Vols additionnels'!$E$7:$E$66,'Vols additionnels'!$C$7:$C$66,$E10998,'Vols additionnels'!$D$7:$D$66,$F10998,'Vols additionnels'!$B$7:$B$66,$D10998)</f>
        <v>0</v>
      </c>
      <c r="H10998" s="135" t="n">
        <f aca="false">$G10998*'Analyse capacite'!$F$8</f>
        <v>0</v>
      </c>
      <c r="I10998" s="135" t="n">
        <f aca="false">$G10998*'Analyse capacite'!$C$8</f>
        <v>0</v>
      </c>
      <c r="J10998" s="135" t="n">
        <f aca="false">$G10998*'Analyse capacite'!$D$8</f>
        <v>0</v>
      </c>
      <c r="K10998" s="135" t="n">
        <f aca="false">$G10998*'Analyse capacite'!$E$8</f>
        <v>0</v>
      </c>
    </row>
    <row r="10999" customFormat="false" ht="15" hidden="false" customHeight="false" outlineLevel="0" collapsed="false">
      <c r="B10999" s="130" t="n">
        <v>2028</v>
      </c>
      <c r="C10999" s="131" t="s">
        <v>255</v>
      </c>
      <c r="D10999" s="132" t="n">
        <v>46783</v>
      </c>
      <c r="E10999" s="131" t="s">
        <v>40</v>
      </c>
      <c r="F10999" s="133" t="s">
        <v>24</v>
      </c>
      <c r="G10999" s="134" t="n">
        <f aca="false">LEN('Saisie programme'!$D$378)+SUMIFS('Vols additionnels'!$E$7:$E$66,'Vols additionnels'!$C$7:$C$66,$E10999,'Vols additionnels'!$D$7:$D$66,$F10999,'Vols additionnels'!$B$7:$B$66,$D10999)</f>
        <v>1</v>
      </c>
      <c r="H10999" s="135" t="n">
        <f aca="false">$G10999*'Analyse capacite'!$F$9</f>
        <v>174</v>
      </c>
      <c r="I10999" s="135" t="n">
        <f aca="false">$G10999*'Analyse capacite'!$C$9</f>
        <v>0</v>
      </c>
      <c r="J10999" s="135" t="n">
        <f aca="false">$G10999*'Analyse capacite'!$D$9</f>
        <v>12</v>
      </c>
      <c r="K10999" s="135" t="n">
        <f aca="false">$G10999*'Analyse capacite'!$E$9</f>
        <v>162</v>
      </c>
    </row>
    <row r="11000" customFormat="false" ht="15" hidden="false" customHeight="false" outlineLevel="0" collapsed="false">
      <c r="B11000" s="130" t="n">
        <v>2028</v>
      </c>
      <c r="C11000" s="131" t="s">
        <v>255</v>
      </c>
      <c r="D11000" s="132" t="n">
        <v>46783</v>
      </c>
      <c r="E11000" s="131" t="s">
        <v>14</v>
      </c>
      <c r="F11000" s="133" t="s">
        <v>11</v>
      </c>
      <c r="G11000" s="134" t="n">
        <f aca="false">LEN('Saisie programme'!$D$379)+SUMIFS('Vols additionnels'!$E$7:$E$66,'Vols additionnels'!$C$7:$C$66,$E11000,'Vols additionnels'!$D$7:$D$66,$F11000,'Vols additionnels'!$B$7:$B$66,$D11000)</f>
        <v>0</v>
      </c>
      <c r="H11000" s="135" t="n">
        <f aca="false">$G11000*'Analyse capacite'!$F$7</f>
        <v>0</v>
      </c>
      <c r="I11000" s="135" t="n">
        <f aca="false">$G11000*'Analyse capacite'!$C$7</f>
        <v>0</v>
      </c>
      <c r="J11000" s="135" t="n">
        <f aca="false">$G11000*'Analyse capacite'!$D$7</f>
        <v>0</v>
      </c>
      <c r="K11000" s="135" t="n">
        <f aca="false">$G11000*'Analyse capacite'!$E$7</f>
        <v>0</v>
      </c>
    </row>
    <row r="11001" customFormat="false" ht="15" hidden="false" customHeight="false" outlineLevel="0" collapsed="false">
      <c r="B11001" s="130" t="n">
        <v>2028</v>
      </c>
      <c r="C11001" s="131" t="s">
        <v>255</v>
      </c>
      <c r="D11001" s="132" t="n">
        <v>46783</v>
      </c>
      <c r="E11001" s="131" t="s">
        <v>14</v>
      </c>
      <c r="F11001" s="133" t="s">
        <v>19</v>
      </c>
      <c r="G11001" s="134" t="n">
        <f aca="false">LEN('Saisie programme'!$D$380)+SUMIFS('Vols additionnels'!$E$7:$E$66,'Vols additionnels'!$C$7:$C$66,$E11001,'Vols additionnels'!$D$7:$D$66,$F11001,'Vols additionnels'!$B$7:$B$66,$D11001)</f>
        <v>0</v>
      </c>
      <c r="H11001" s="135" t="n">
        <f aca="false">$G11001*'Analyse capacite'!$F$8</f>
        <v>0</v>
      </c>
      <c r="I11001" s="135" t="n">
        <f aca="false">$G11001*'Analyse capacite'!$C$8</f>
        <v>0</v>
      </c>
      <c r="J11001" s="135" t="n">
        <f aca="false">$G11001*'Analyse capacite'!$D$8</f>
        <v>0</v>
      </c>
      <c r="K11001" s="135" t="n">
        <f aca="false">$G11001*'Analyse capacite'!$E$8</f>
        <v>0</v>
      </c>
    </row>
    <row r="11002" customFormat="false" ht="15" hidden="false" customHeight="false" outlineLevel="0" collapsed="false">
      <c r="B11002" s="130" t="n">
        <v>2028</v>
      </c>
      <c r="C11002" s="131" t="s">
        <v>255</v>
      </c>
      <c r="D11002" s="132" t="n">
        <v>46783</v>
      </c>
      <c r="E11002" s="131" t="s">
        <v>14</v>
      </c>
      <c r="F11002" s="133" t="s">
        <v>24</v>
      </c>
      <c r="G11002" s="134" t="n">
        <f aca="false">LEN('Saisie programme'!$D$381)+SUMIFS('Vols additionnels'!$E$7:$E$66,'Vols additionnels'!$C$7:$C$66,$E11002,'Vols additionnels'!$D$7:$D$66,$F11002,'Vols additionnels'!$B$7:$B$66,$D11002)</f>
        <v>1</v>
      </c>
      <c r="H11002" s="135" t="n">
        <f aca="false">$G11002*'Analyse capacite'!$F$9</f>
        <v>174</v>
      </c>
      <c r="I11002" s="135" t="n">
        <f aca="false">$G11002*'Analyse capacite'!$C$9</f>
        <v>0</v>
      </c>
      <c r="J11002" s="135" t="n">
        <f aca="false">$G11002*'Analyse capacite'!$D$9</f>
        <v>12</v>
      </c>
      <c r="K11002" s="135" t="n">
        <f aca="false">$G11002*'Analyse capacite'!$E$9</f>
        <v>162</v>
      </c>
    </row>
    <row r="11003" customFormat="false" ht="15" hidden="false" customHeight="false" outlineLevel="0" collapsed="false">
      <c r="B11003" s="130" t="n">
        <v>2028</v>
      </c>
      <c r="C11003" s="131" t="s">
        <v>255</v>
      </c>
      <c r="D11003" s="132" t="n">
        <v>46783</v>
      </c>
      <c r="E11003" s="131" t="s">
        <v>46</v>
      </c>
      <c r="F11003" s="133" t="s">
        <v>11</v>
      </c>
      <c r="G11003" s="134" t="n">
        <f aca="false">LEN('Saisie programme'!$D$382)+SUMIFS('Vols additionnels'!$E$7:$E$66,'Vols additionnels'!$C$7:$C$66,$E11003,'Vols additionnels'!$D$7:$D$66,$F11003,'Vols additionnels'!$B$7:$B$66,$D11003)</f>
        <v>0</v>
      </c>
      <c r="H11003" s="135" t="n">
        <f aca="false">$G11003*'Analyse capacite'!$F$7</f>
        <v>0</v>
      </c>
      <c r="I11003" s="135" t="n">
        <f aca="false">$G11003*'Analyse capacite'!$C$7</f>
        <v>0</v>
      </c>
      <c r="J11003" s="135" t="n">
        <f aca="false">$G11003*'Analyse capacite'!$D$7</f>
        <v>0</v>
      </c>
      <c r="K11003" s="135" t="n">
        <f aca="false">$G11003*'Analyse capacite'!$E$7</f>
        <v>0</v>
      </c>
    </row>
    <row r="11004" customFormat="false" ht="15" hidden="false" customHeight="false" outlineLevel="0" collapsed="false">
      <c r="B11004" s="130" t="n">
        <v>2028</v>
      </c>
      <c r="C11004" s="131" t="s">
        <v>255</v>
      </c>
      <c r="D11004" s="132" t="n">
        <v>46783</v>
      </c>
      <c r="E11004" s="131" t="s">
        <v>46</v>
      </c>
      <c r="F11004" s="133" t="s">
        <v>19</v>
      </c>
      <c r="G11004" s="134" t="n">
        <f aca="false">LEN('Saisie programme'!$D$383)+SUMIFS('Vols additionnels'!$E$7:$E$66,'Vols additionnels'!$C$7:$C$66,$E11004,'Vols additionnels'!$D$7:$D$66,$F11004,'Vols additionnels'!$B$7:$B$66,$D11004)</f>
        <v>0</v>
      </c>
      <c r="H11004" s="135" t="n">
        <f aca="false">$G11004*'Analyse capacite'!$F$8</f>
        <v>0</v>
      </c>
      <c r="I11004" s="135" t="n">
        <f aca="false">$G11004*'Analyse capacite'!$C$8</f>
        <v>0</v>
      </c>
      <c r="J11004" s="135" t="n">
        <f aca="false">$G11004*'Analyse capacite'!$D$8</f>
        <v>0</v>
      </c>
      <c r="K11004" s="135" t="n">
        <f aca="false">$G11004*'Analyse capacite'!$E$8</f>
        <v>0</v>
      </c>
    </row>
    <row r="11005" customFormat="false" ht="15" hidden="false" customHeight="false" outlineLevel="0" collapsed="false">
      <c r="B11005" s="130" t="n">
        <v>2028</v>
      </c>
      <c r="C11005" s="131" t="s">
        <v>255</v>
      </c>
      <c r="D11005" s="132" t="n">
        <v>46783</v>
      </c>
      <c r="E11005" s="131" t="s">
        <v>46</v>
      </c>
      <c r="F11005" s="133" t="s">
        <v>24</v>
      </c>
      <c r="G11005" s="134" t="n">
        <f aca="false">LEN('Saisie programme'!$D$384)+SUMIFS('Vols additionnels'!$E$7:$E$66,'Vols additionnels'!$C$7:$C$66,$E11005,'Vols additionnels'!$D$7:$D$66,$F11005,'Vols additionnels'!$B$7:$B$66,$D11005)</f>
        <v>0</v>
      </c>
      <c r="H11005" s="135" t="n">
        <f aca="false">$G11005*'Analyse capacite'!$F$9</f>
        <v>0</v>
      </c>
      <c r="I11005" s="135" t="n">
        <f aca="false">$G11005*'Analyse capacite'!$C$9</f>
        <v>0</v>
      </c>
      <c r="J11005" s="135" t="n">
        <f aca="false">$G11005*'Analyse capacite'!$D$9</f>
        <v>0</v>
      </c>
      <c r="K11005" s="135" t="n">
        <f aca="false">$G11005*'Analyse capacite'!$E$9</f>
        <v>0</v>
      </c>
    </row>
    <row r="11006" customFormat="false" ht="15" hidden="false" customHeight="false" outlineLevel="0" collapsed="false">
      <c r="B11006" s="130" t="n">
        <v>2028</v>
      </c>
      <c r="C11006" s="131" t="s">
        <v>255</v>
      </c>
      <c r="D11006" s="132" t="n">
        <v>46783</v>
      </c>
      <c r="E11006" s="131" t="s">
        <v>49</v>
      </c>
      <c r="F11006" s="133" t="s">
        <v>11</v>
      </c>
      <c r="G11006" s="134" t="n">
        <f aca="false">LEN('Saisie programme'!$D$385)+SUMIFS('Vols additionnels'!$E$7:$E$66,'Vols additionnels'!$C$7:$C$66,$E11006,'Vols additionnels'!$D$7:$D$66,$F11006,'Vols additionnels'!$B$7:$B$66,$D11006)</f>
        <v>0</v>
      </c>
      <c r="H11006" s="135" t="n">
        <f aca="false">$G11006*'Analyse capacite'!$F$7</f>
        <v>0</v>
      </c>
      <c r="I11006" s="135" t="n">
        <f aca="false">$G11006*'Analyse capacite'!$C$7</f>
        <v>0</v>
      </c>
      <c r="J11006" s="135" t="n">
        <f aca="false">$G11006*'Analyse capacite'!$D$7</f>
        <v>0</v>
      </c>
      <c r="K11006" s="135" t="n">
        <f aca="false">$G11006*'Analyse capacite'!$E$7</f>
        <v>0</v>
      </c>
    </row>
    <row r="11007" customFormat="false" ht="15" hidden="false" customHeight="false" outlineLevel="0" collapsed="false">
      <c r="B11007" s="130" t="n">
        <v>2028</v>
      </c>
      <c r="C11007" s="131" t="s">
        <v>255</v>
      </c>
      <c r="D11007" s="132" t="n">
        <v>46783</v>
      </c>
      <c r="E11007" s="131" t="s">
        <v>49</v>
      </c>
      <c r="F11007" s="133" t="s">
        <v>19</v>
      </c>
      <c r="G11007" s="134" t="n">
        <f aca="false">LEN('Saisie programme'!$D$386)+SUMIFS('Vols additionnels'!$E$7:$E$66,'Vols additionnels'!$C$7:$C$66,$E11007,'Vols additionnels'!$D$7:$D$66,$F11007,'Vols additionnels'!$B$7:$B$66,$D11007)</f>
        <v>1</v>
      </c>
      <c r="H11007" s="135" t="n">
        <f aca="false">$G11007*'Analyse capacite'!$F$8</f>
        <v>262</v>
      </c>
      <c r="I11007" s="135" t="n">
        <f aca="false">$G11007*'Analyse capacite'!$C$8</f>
        <v>18</v>
      </c>
      <c r="J11007" s="135" t="n">
        <f aca="false">$G11007*'Analyse capacite'!$D$8</f>
        <v>0</v>
      </c>
      <c r="K11007" s="135" t="n">
        <f aca="false">$G11007*'Analyse capacite'!$E$8</f>
        <v>244</v>
      </c>
    </row>
    <row r="11008" customFormat="false" ht="15" hidden="false" customHeight="false" outlineLevel="0" collapsed="false">
      <c r="B11008" s="130" t="n">
        <v>2028</v>
      </c>
      <c r="C11008" s="131" t="s">
        <v>255</v>
      </c>
      <c r="D11008" s="132" t="n">
        <v>46783</v>
      </c>
      <c r="E11008" s="131" t="s">
        <v>49</v>
      </c>
      <c r="F11008" s="133" t="s">
        <v>24</v>
      </c>
      <c r="G11008" s="134" t="n">
        <f aca="false">LEN('Saisie programme'!$D$387)+SUMIFS('Vols additionnels'!$E$7:$E$66,'Vols additionnels'!$C$7:$C$66,$E11008,'Vols additionnels'!$D$7:$D$66,$F11008,'Vols additionnels'!$B$7:$B$66,$D11008)</f>
        <v>0</v>
      </c>
      <c r="H11008" s="135" t="n">
        <f aca="false">$G11008*'Analyse capacite'!$F$9</f>
        <v>0</v>
      </c>
      <c r="I11008" s="135" t="n">
        <f aca="false">$G11008*'Analyse capacite'!$C$9</f>
        <v>0</v>
      </c>
      <c r="J11008" s="135" t="n">
        <f aca="false">$G11008*'Analyse capacite'!$D$9</f>
        <v>0</v>
      </c>
      <c r="K11008" s="135" t="n">
        <f aca="false">$G11008*'Analyse capacite'!$E$9</f>
        <v>0</v>
      </c>
    </row>
    <row r="11009" customFormat="false" ht="15" hidden="false" customHeight="false" outlineLevel="0" collapsed="false">
      <c r="B11009" s="130" t="n">
        <v>2028</v>
      </c>
      <c r="C11009" s="131" t="s">
        <v>255</v>
      </c>
      <c r="D11009" s="132" t="n">
        <v>46783</v>
      </c>
      <c r="E11009" s="131" t="s">
        <v>53</v>
      </c>
      <c r="F11009" s="133" t="s">
        <v>11</v>
      </c>
      <c r="G11009" s="134" t="n">
        <f aca="false">LEN('Saisie programme'!$D$388)+SUMIFS('Vols additionnels'!$E$7:$E$66,'Vols additionnels'!$C$7:$C$66,$E11009,'Vols additionnels'!$D$7:$D$66,$F11009,'Vols additionnels'!$B$7:$B$66,$D11009)</f>
        <v>0</v>
      </c>
      <c r="H11009" s="135" t="n">
        <f aca="false">$G11009*'Analyse capacite'!$F$7</f>
        <v>0</v>
      </c>
      <c r="I11009" s="135" t="n">
        <f aca="false">$G11009*'Analyse capacite'!$C$7</f>
        <v>0</v>
      </c>
      <c r="J11009" s="135" t="n">
        <f aca="false">$G11009*'Analyse capacite'!$D$7</f>
        <v>0</v>
      </c>
      <c r="K11009" s="135" t="n">
        <f aca="false">$G11009*'Analyse capacite'!$E$7</f>
        <v>0</v>
      </c>
    </row>
    <row r="11010" customFormat="false" ht="15" hidden="false" customHeight="false" outlineLevel="0" collapsed="false">
      <c r="B11010" s="130" t="n">
        <v>2028</v>
      </c>
      <c r="C11010" s="131" t="s">
        <v>255</v>
      </c>
      <c r="D11010" s="132" t="n">
        <v>46783</v>
      </c>
      <c r="E11010" s="131" t="s">
        <v>53</v>
      </c>
      <c r="F11010" s="133" t="s">
        <v>19</v>
      </c>
      <c r="G11010" s="134" t="n">
        <f aca="false">LEN('Saisie programme'!$D$389)+SUMIFS('Vols additionnels'!$E$7:$E$66,'Vols additionnels'!$C$7:$C$66,$E11010,'Vols additionnels'!$D$7:$D$66,$F11010,'Vols additionnels'!$B$7:$B$66,$D11010)</f>
        <v>0</v>
      </c>
      <c r="H11010" s="135" t="n">
        <f aca="false">$G11010*'Analyse capacite'!$F$8</f>
        <v>0</v>
      </c>
      <c r="I11010" s="135" t="n">
        <f aca="false">$G11010*'Analyse capacite'!$C$8</f>
        <v>0</v>
      </c>
      <c r="J11010" s="135" t="n">
        <f aca="false">$G11010*'Analyse capacite'!$D$8</f>
        <v>0</v>
      </c>
      <c r="K11010" s="135" t="n">
        <f aca="false">$G11010*'Analyse capacite'!$E$8</f>
        <v>0</v>
      </c>
    </row>
    <row r="11011" customFormat="false" ht="15" hidden="false" customHeight="false" outlineLevel="0" collapsed="false">
      <c r="B11011" s="130" t="n">
        <v>2028</v>
      </c>
      <c r="C11011" s="131" t="s">
        <v>255</v>
      </c>
      <c r="D11011" s="132" t="n">
        <v>46783</v>
      </c>
      <c r="E11011" s="131" t="s">
        <v>53</v>
      </c>
      <c r="F11011" s="133" t="s">
        <v>24</v>
      </c>
      <c r="G11011" s="134" t="n">
        <f aca="false">LEN('Saisie programme'!$D$390)+SUMIFS('Vols additionnels'!$E$7:$E$66,'Vols additionnels'!$C$7:$C$66,$E11011,'Vols additionnels'!$D$7:$D$66,$F11011,'Vols additionnels'!$B$7:$B$66,$D11011)</f>
        <v>0</v>
      </c>
      <c r="H11011" s="135" t="n">
        <f aca="false">$G11011*'Analyse capacite'!$F$9</f>
        <v>0</v>
      </c>
      <c r="I11011" s="135" t="n">
        <f aca="false">$G11011*'Analyse capacite'!$C$9</f>
        <v>0</v>
      </c>
      <c r="J11011" s="135" t="n">
        <f aca="false">$G11011*'Analyse capacite'!$D$9</f>
        <v>0</v>
      </c>
      <c r="K11011" s="135" t="n">
        <f aca="false">$G11011*'Analyse capacite'!$E$9</f>
        <v>0</v>
      </c>
    </row>
    <row r="11012" customFormat="false" ht="15" hidden="false" customHeight="false" outlineLevel="0" collapsed="false">
      <c r="B11012" s="130" t="n">
        <v>2028</v>
      </c>
      <c r="C11012" s="131" t="s">
        <v>255</v>
      </c>
      <c r="D11012" s="132" t="n">
        <v>46783</v>
      </c>
      <c r="E11012" s="131" t="s">
        <v>56</v>
      </c>
      <c r="F11012" s="133" t="s">
        <v>11</v>
      </c>
      <c r="G11012" s="134" t="n">
        <f aca="false">LEN('Saisie programme'!$D$391)+SUMIFS('Vols additionnels'!$E$7:$E$66,'Vols additionnels'!$C$7:$C$66,$E11012,'Vols additionnels'!$D$7:$D$66,$F11012,'Vols additionnels'!$B$7:$B$66,$D11012)</f>
        <v>0</v>
      </c>
      <c r="H11012" s="135" t="n">
        <f aca="false">$G11012*'Analyse capacite'!$F$7</f>
        <v>0</v>
      </c>
      <c r="I11012" s="135" t="n">
        <f aca="false">$G11012*'Analyse capacite'!$C$7</f>
        <v>0</v>
      </c>
      <c r="J11012" s="135" t="n">
        <f aca="false">$G11012*'Analyse capacite'!$D$7</f>
        <v>0</v>
      </c>
      <c r="K11012" s="135" t="n">
        <f aca="false">$G11012*'Analyse capacite'!$E$7</f>
        <v>0</v>
      </c>
    </row>
    <row r="11013" customFormat="false" ht="15" hidden="false" customHeight="false" outlineLevel="0" collapsed="false">
      <c r="B11013" s="130" t="n">
        <v>2028</v>
      </c>
      <c r="C11013" s="131" t="s">
        <v>255</v>
      </c>
      <c r="D11013" s="132" t="n">
        <v>46783</v>
      </c>
      <c r="E11013" s="131" t="s">
        <v>56</v>
      </c>
      <c r="F11013" s="133" t="s">
        <v>19</v>
      </c>
      <c r="G11013" s="134" t="n">
        <f aca="false">LEN('Saisie programme'!$D$392)+SUMIFS('Vols additionnels'!$E$7:$E$66,'Vols additionnels'!$C$7:$C$66,$E11013,'Vols additionnels'!$D$7:$D$66,$F11013,'Vols additionnels'!$B$7:$B$66,$D11013)</f>
        <v>0</v>
      </c>
      <c r="H11013" s="135" t="n">
        <f aca="false">$G11013*'Analyse capacite'!$F$8</f>
        <v>0</v>
      </c>
      <c r="I11013" s="135" t="n">
        <f aca="false">$G11013*'Analyse capacite'!$C$8</f>
        <v>0</v>
      </c>
      <c r="J11013" s="135" t="n">
        <f aca="false">$G11013*'Analyse capacite'!$D$8</f>
        <v>0</v>
      </c>
      <c r="K11013" s="135" t="n">
        <f aca="false">$G11013*'Analyse capacite'!$E$8</f>
        <v>0</v>
      </c>
    </row>
    <row r="11014" customFormat="false" ht="15" hidden="false" customHeight="false" outlineLevel="0" collapsed="false">
      <c r="B11014" s="130" t="n">
        <v>2028</v>
      </c>
      <c r="C11014" s="131" t="s">
        <v>255</v>
      </c>
      <c r="D11014" s="132" t="n">
        <v>46783</v>
      </c>
      <c r="E11014" s="131" t="s">
        <v>56</v>
      </c>
      <c r="F11014" s="133" t="s">
        <v>24</v>
      </c>
      <c r="G11014" s="134" t="n">
        <f aca="false">LEN('Saisie programme'!$D$393)+SUMIFS('Vols additionnels'!$E$7:$E$66,'Vols additionnels'!$C$7:$C$66,$E11014,'Vols additionnels'!$D$7:$D$66,$F11014,'Vols additionnels'!$B$7:$B$66,$D11014)</f>
        <v>0</v>
      </c>
      <c r="H11014" s="135" t="n">
        <f aca="false">$G11014*'Analyse capacite'!$F$9</f>
        <v>0</v>
      </c>
      <c r="I11014" s="135" t="n">
        <f aca="false">$G11014*'Analyse capacite'!$C$9</f>
        <v>0</v>
      </c>
      <c r="J11014" s="135" t="n">
        <f aca="false">$G11014*'Analyse capacite'!$D$9</f>
        <v>0</v>
      </c>
      <c r="K11014" s="135" t="n">
        <f aca="false">$G11014*'Analyse capacite'!$E$9</f>
        <v>0</v>
      </c>
    </row>
    <row r="11015" customFormat="false" ht="15" hidden="false" customHeight="false" outlineLevel="0" collapsed="false">
      <c r="B11015" s="130" t="n">
        <v>2028</v>
      </c>
      <c r="C11015" s="131" t="s">
        <v>255</v>
      </c>
      <c r="D11015" s="132" t="n">
        <v>46783</v>
      </c>
      <c r="E11015" s="131" t="s">
        <v>59</v>
      </c>
      <c r="F11015" s="133" t="s">
        <v>11</v>
      </c>
      <c r="G11015" s="134" t="n">
        <f aca="false">LEN('Saisie programme'!$D$394)+SUMIFS('Vols additionnels'!$E$7:$E$66,'Vols additionnels'!$C$7:$C$66,$E11015,'Vols additionnels'!$D$7:$D$66,$F11015,'Vols additionnels'!$B$7:$B$66,$D11015)</f>
        <v>0</v>
      </c>
      <c r="H11015" s="135" t="n">
        <f aca="false">$G11015*'Analyse capacite'!$F$7</f>
        <v>0</v>
      </c>
      <c r="I11015" s="135" t="n">
        <f aca="false">$G11015*'Analyse capacite'!$C$7</f>
        <v>0</v>
      </c>
      <c r="J11015" s="135" t="n">
        <f aca="false">$G11015*'Analyse capacite'!$D$7</f>
        <v>0</v>
      </c>
      <c r="K11015" s="135" t="n">
        <f aca="false">$G11015*'Analyse capacite'!$E$7</f>
        <v>0</v>
      </c>
    </row>
    <row r="11016" customFormat="false" ht="15" hidden="false" customHeight="false" outlineLevel="0" collapsed="false">
      <c r="B11016" s="130" t="n">
        <v>2028</v>
      </c>
      <c r="C11016" s="131" t="s">
        <v>255</v>
      </c>
      <c r="D11016" s="132" t="n">
        <v>46783</v>
      </c>
      <c r="E11016" s="131" t="s">
        <v>59</v>
      </c>
      <c r="F11016" s="133" t="s">
        <v>19</v>
      </c>
      <c r="G11016" s="134" t="n">
        <f aca="false">LEN('Saisie programme'!$D$395)+SUMIFS('Vols additionnels'!$E$7:$E$66,'Vols additionnels'!$C$7:$C$66,$E11016,'Vols additionnels'!$D$7:$D$66,$F11016,'Vols additionnels'!$B$7:$B$66,$D11016)</f>
        <v>0</v>
      </c>
      <c r="H11016" s="135" t="n">
        <f aca="false">$G11016*'Analyse capacite'!$F$8</f>
        <v>0</v>
      </c>
      <c r="I11016" s="135" t="n">
        <f aca="false">$G11016*'Analyse capacite'!$C$8</f>
        <v>0</v>
      </c>
      <c r="J11016" s="135" t="n">
        <f aca="false">$G11016*'Analyse capacite'!$D$8</f>
        <v>0</v>
      </c>
      <c r="K11016" s="135" t="n">
        <f aca="false">$G11016*'Analyse capacite'!$E$8</f>
        <v>0</v>
      </c>
    </row>
    <row r="11017" customFormat="false" ht="15" hidden="false" customHeight="false" outlineLevel="0" collapsed="false">
      <c r="B11017" s="130" t="n">
        <v>2028</v>
      </c>
      <c r="C11017" s="131" t="s">
        <v>255</v>
      </c>
      <c r="D11017" s="132" t="n">
        <v>46783</v>
      </c>
      <c r="E11017" s="131" t="s">
        <v>59</v>
      </c>
      <c r="F11017" s="133" t="s">
        <v>24</v>
      </c>
      <c r="G11017" s="134" t="n">
        <f aca="false">LEN('Saisie programme'!$D$396)+SUMIFS('Vols additionnels'!$E$7:$E$66,'Vols additionnels'!$C$7:$C$66,$E11017,'Vols additionnels'!$D$7:$D$66,$F11017,'Vols additionnels'!$B$7:$B$66,$D11017)</f>
        <v>1</v>
      </c>
      <c r="H11017" s="135" t="n">
        <f aca="false">$G11017*'Analyse capacite'!$F$9</f>
        <v>174</v>
      </c>
      <c r="I11017" s="135" t="n">
        <f aca="false">$G11017*'Analyse capacite'!$C$9</f>
        <v>0</v>
      </c>
      <c r="J11017" s="135" t="n">
        <f aca="false">$G11017*'Analyse capacite'!$D$9</f>
        <v>12</v>
      </c>
      <c r="K11017" s="135" t="n">
        <f aca="false">$G11017*'Analyse capacite'!$E$9</f>
        <v>162</v>
      </c>
    </row>
    <row r="11018" customFormat="false" ht="15" hidden="false" customHeight="false" outlineLevel="0" collapsed="false">
      <c r="B11018" s="130" t="n">
        <v>2028</v>
      </c>
      <c r="C11018" s="131" t="s">
        <v>255</v>
      </c>
      <c r="D11018" s="132" t="n">
        <v>46783</v>
      </c>
      <c r="E11018" s="131" t="s">
        <v>62</v>
      </c>
      <c r="F11018" s="133" t="s">
        <v>11</v>
      </c>
      <c r="G11018" s="134" t="n">
        <f aca="false">LEN('Saisie programme'!$D$397)+SUMIFS('Vols additionnels'!$E$7:$E$66,'Vols additionnels'!$C$7:$C$66,$E11018,'Vols additionnels'!$D$7:$D$66,$F11018,'Vols additionnels'!$B$7:$B$66,$D11018)</f>
        <v>0</v>
      </c>
      <c r="H11018" s="135" t="n">
        <f aca="false">$G11018*'Analyse capacite'!$F$7</f>
        <v>0</v>
      </c>
      <c r="I11018" s="135" t="n">
        <f aca="false">$G11018*'Analyse capacite'!$C$7</f>
        <v>0</v>
      </c>
      <c r="J11018" s="135" t="n">
        <f aca="false">$G11018*'Analyse capacite'!$D$7</f>
        <v>0</v>
      </c>
      <c r="K11018" s="135" t="n">
        <f aca="false">$G11018*'Analyse capacite'!$E$7</f>
        <v>0</v>
      </c>
    </row>
    <row r="11019" customFormat="false" ht="15" hidden="false" customHeight="false" outlineLevel="0" collapsed="false">
      <c r="B11019" s="130" t="n">
        <v>2028</v>
      </c>
      <c r="C11019" s="131" t="s">
        <v>255</v>
      </c>
      <c r="D11019" s="132" t="n">
        <v>46783</v>
      </c>
      <c r="E11019" s="131" t="s">
        <v>62</v>
      </c>
      <c r="F11019" s="133" t="s">
        <v>19</v>
      </c>
      <c r="G11019" s="134" t="n">
        <f aca="false">LEN('Saisie programme'!$D$398)+SUMIFS('Vols additionnels'!$E$7:$E$66,'Vols additionnels'!$C$7:$C$66,$E11019,'Vols additionnels'!$D$7:$D$66,$F11019,'Vols additionnels'!$B$7:$B$66,$D11019)</f>
        <v>0</v>
      </c>
      <c r="H11019" s="135" t="n">
        <f aca="false">$G11019*'Analyse capacite'!$F$8</f>
        <v>0</v>
      </c>
      <c r="I11019" s="135" t="n">
        <f aca="false">$G11019*'Analyse capacite'!$C$8</f>
        <v>0</v>
      </c>
      <c r="J11019" s="135" t="n">
        <f aca="false">$G11019*'Analyse capacite'!$D$8</f>
        <v>0</v>
      </c>
      <c r="K11019" s="135" t="n">
        <f aca="false">$G11019*'Analyse capacite'!$E$8</f>
        <v>0</v>
      </c>
    </row>
    <row r="11020" customFormat="false" ht="15" hidden="false" customHeight="false" outlineLevel="0" collapsed="false">
      <c r="B11020" s="130" t="n">
        <v>2028</v>
      </c>
      <c r="C11020" s="131" t="s">
        <v>255</v>
      </c>
      <c r="D11020" s="132" t="n">
        <v>46783</v>
      </c>
      <c r="E11020" s="131" t="s">
        <v>62</v>
      </c>
      <c r="F11020" s="133" t="s">
        <v>24</v>
      </c>
      <c r="G11020" s="134" t="n">
        <f aca="false">LEN('Saisie programme'!$D$399)+SUMIFS('Vols additionnels'!$E$7:$E$66,'Vols additionnels'!$C$7:$C$66,$E11020,'Vols additionnels'!$D$7:$D$66,$F11020,'Vols additionnels'!$B$7:$B$66,$D11020)</f>
        <v>0</v>
      </c>
      <c r="H11020" s="135" t="n">
        <f aca="false">$G11020*'Analyse capacite'!$F$9</f>
        <v>0</v>
      </c>
      <c r="I11020" s="135" t="n">
        <f aca="false">$G11020*'Analyse capacite'!$C$9</f>
        <v>0</v>
      </c>
      <c r="J11020" s="135" t="n">
        <f aca="false">$G11020*'Analyse capacite'!$D$9</f>
        <v>0</v>
      </c>
      <c r="K11020" s="135" t="n">
        <f aca="false">$G11020*'Analyse capacite'!$E$9</f>
        <v>0</v>
      </c>
    </row>
    <row r="11021" customFormat="false" ht="15" hidden="false" customHeight="false" outlineLevel="0" collapsed="false">
      <c r="B11021" s="130" t="n">
        <v>2028</v>
      </c>
      <c r="C11021" s="131" t="s">
        <v>256</v>
      </c>
      <c r="D11021" s="132" t="n">
        <v>46784</v>
      </c>
      <c r="E11021" s="131" t="s">
        <v>12</v>
      </c>
      <c r="F11021" s="133" t="s">
        <v>11</v>
      </c>
      <c r="G11021" s="134" t="n">
        <f aca="false">LEN('Saisie programme'!$E$403)+SUMIFS('Vols additionnels'!$E$7:$E$66,'Vols additionnels'!$C$7:$C$66,$E11021,'Vols additionnels'!$D$7:$D$66,$F11021,'Vols additionnels'!$B$7:$B$66,$D11021)</f>
        <v>1</v>
      </c>
      <c r="H11021" s="135" t="n">
        <f aca="false">$G11021*'Analyse capacite'!$F$7</f>
        <v>438</v>
      </c>
      <c r="I11021" s="135" t="n">
        <f aca="false">$G11021*'Analyse capacite'!$C$7</f>
        <v>14</v>
      </c>
      <c r="J11021" s="135" t="n">
        <f aca="false">$G11021*'Analyse capacite'!$D$7</f>
        <v>40</v>
      </c>
      <c r="K11021" s="135" t="n">
        <f aca="false">$G11021*'Analyse capacite'!$E$7</f>
        <v>384</v>
      </c>
    </row>
    <row r="11022" customFormat="false" ht="15" hidden="false" customHeight="false" outlineLevel="0" collapsed="false">
      <c r="B11022" s="130" t="n">
        <v>2028</v>
      </c>
      <c r="C11022" s="131" t="s">
        <v>256</v>
      </c>
      <c r="D11022" s="132" t="n">
        <v>46784</v>
      </c>
      <c r="E11022" s="131" t="s">
        <v>12</v>
      </c>
      <c r="F11022" s="133" t="s">
        <v>19</v>
      </c>
      <c r="G11022" s="134" t="n">
        <f aca="false">LEN('Saisie programme'!$E$404)+SUMIFS('Vols additionnels'!$E$7:$E$66,'Vols additionnels'!$C$7:$C$66,$E11022,'Vols additionnels'!$D$7:$D$66,$F11022,'Vols additionnels'!$B$7:$B$66,$D11022)</f>
        <v>0</v>
      </c>
      <c r="H11022" s="135" t="n">
        <f aca="false">$G11022*'Analyse capacite'!$F$8</f>
        <v>0</v>
      </c>
      <c r="I11022" s="135" t="n">
        <f aca="false">$G11022*'Analyse capacite'!$C$8</f>
        <v>0</v>
      </c>
      <c r="J11022" s="135" t="n">
        <f aca="false">$G11022*'Analyse capacite'!$D$8</f>
        <v>0</v>
      </c>
      <c r="K11022" s="135" t="n">
        <f aca="false">$G11022*'Analyse capacite'!$E$8</f>
        <v>0</v>
      </c>
    </row>
    <row r="11023" customFormat="false" ht="15" hidden="false" customHeight="false" outlineLevel="0" collapsed="false">
      <c r="B11023" s="130" t="n">
        <v>2028</v>
      </c>
      <c r="C11023" s="131" t="s">
        <v>256</v>
      </c>
      <c r="D11023" s="132" t="n">
        <v>46784</v>
      </c>
      <c r="E11023" s="131" t="s">
        <v>12</v>
      </c>
      <c r="F11023" s="133" t="s">
        <v>24</v>
      </c>
      <c r="G11023" s="134" t="n">
        <f aca="false">LEN('Saisie programme'!$E$405)+SUMIFS('Vols additionnels'!$E$7:$E$66,'Vols additionnels'!$C$7:$C$66,$E11023,'Vols additionnels'!$D$7:$D$66,$F11023,'Vols additionnels'!$B$7:$B$66,$D11023)</f>
        <v>0</v>
      </c>
      <c r="H11023" s="135" t="n">
        <f aca="false">$G11023*'Analyse capacite'!$F$9</f>
        <v>0</v>
      </c>
      <c r="I11023" s="135" t="n">
        <f aca="false">$G11023*'Analyse capacite'!$C$9</f>
        <v>0</v>
      </c>
      <c r="J11023" s="135" t="n">
        <f aca="false">$G11023*'Analyse capacite'!$D$9</f>
        <v>0</v>
      </c>
      <c r="K11023" s="135" t="n">
        <f aca="false">$G11023*'Analyse capacite'!$E$9</f>
        <v>0</v>
      </c>
    </row>
    <row r="11024" customFormat="false" ht="15" hidden="false" customHeight="false" outlineLevel="0" collapsed="false">
      <c r="B11024" s="130" t="n">
        <v>2028</v>
      </c>
      <c r="C11024" s="131" t="s">
        <v>256</v>
      </c>
      <c r="D11024" s="132" t="n">
        <v>46784</v>
      </c>
      <c r="E11024" s="131" t="s">
        <v>20</v>
      </c>
      <c r="F11024" s="133" t="s">
        <v>11</v>
      </c>
      <c r="G11024" s="134" t="n">
        <f aca="false">LEN('Saisie programme'!$E$406)+SUMIFS('Vols additionnels'!$E$7:$E$66,'Vols additionnels'!$C$7:$C$66,$E11024,'Vols additionnels'!$D$7:$D$66,$F11024,'Vols additionnels'!$B$7:$B$66,$D11024)</f>
        <v>0</v>
      </c>
      <c r="H11024" s="135" t="n">
        <f aca="false">$G11024*'Analyse capacite'!$F$7</f>
        <v>0</v>
      </c>
      <c r="I11024" s="135" t="n">
        <f aca="false">$G11024*'Analyse capacite'!$C$7</f>
        <v>0</v>
      </c>
      <c r="J11024" s="135" t="n">
        <f aca="false">$G11024*'Analyse capacite'!$D$7</f>
        <v>0</v>
      </c>
      <c r="K11024" s="135" t="n">
        <f aca="false">$G11024*'Analyse capacite'!$E$7</f>
        <v>0</v>
      </c>
    </row>
    <row r="11025" customFormat="false" ht="15" hidden="false" customHeight="false" outlineLevel="0" collapsed="false">
      <c r="B11025" s="130" t="n">
        <v>2028</v>
      </c>
      <c r="C11025" s="131" t="s">
        <v>256</v>
      </c>
      <c r="D11025" s="132" t="n">
        <v>46784</v>
      </c>
      <c r="E11025" s="131" t="s">
        <v>20</v>
      </c>
      <c r="F11025" s="133" t="s">
        <v>19</v>
      </c>
      <c r="G11025" s="134" t="n">
        <f aca="false">LEN('Saisie programme'!$E$407)+SUMIFS('Vols additionnels'!$E$7:$E$66,'Vols additionnels'!$C$7:$C$66,$E11025,'Vols additionnels'!$D$7:$D$66,$F11025,'Vols additionnels'!$B$7:$B$66,$D11025)</f>
        <v>1</v>
      </c>
      <c r="H11025" s="135" t="n">
        <f aca="false">$G11025*'Analyse capacite'!$F$8</f>
        <v>262</v>
      </c>
      <c r="I11025" s="135" t="n">
        <f aca="false">$G11025*'Analyse capacite'!$C$8</f>
        <v>18</v>
      </c>
      <c r="J11025" s="135" t="n">
        <f aca="false">$G11025*'Analyse capacite'!$D$8</f>
        <v>0</v>
      </c>
      <c r="K11025" s="135" t="n">
        <f aca="false">$G11025*'Analyse capacite'!$E$8</f>
        <v>244</v>
      </c>
    </row>
    <row r="11026" customFormat="false" ht="15" hidden="false" customHeight="false" outlineLevel="0" collapsed="false">
      <c r="B11026" s="130" t="n">
        <v>2028</v>
      </c>
      <c r="C11026" s="131" t="s">
        <v>256</v>
      </c>
      <c r="D11026" s="132" t="n">
        <v>46784</v>
      </c>
      <c r="E11026" s="131" t="s">
        <v>20</v>
      </c>
      <c r="F11026" s="133" t="s">
        <v>24</v>
      </c>
      <c r="G11026" s="134" t="n">
        <f aca="false">LEN('Saisie programme'!$E$408)+SUMIFS('Vols additionnels'!$E$7:$E$66,'Vols additionnels'!$C$7:$C$66,$E11026,'Vols additionnels'!$D$7:$D$66,$F11026,'Vols additionnels'!$B$7:$B$66,$D11026)</f>
        <v>0</v>
      </c>
      <c r="H11026" s="135" t="n">
        <f aca="false">$G11026*'Analyse capacite'!$F$9</f>
        <v>0</v>
      </c>
      <c r="I11026" s="135" t="n">
        <f aca="false">$G11026*'Analyse capacite'!$C$9</f>
        <v>0</v>
      </c>
      <c r="J11026" s="135" t="n">
        <f aca="false">$G11026*'Analyse capacite'!$D$9</f>
        <v>0</v>
      </c>
      <c r="K11026" s="135" t="n">
        <f aca="false">$G11026*'Analyse capacite'!$E$9</f>
        <v>0</v>
      </c>
    </row>
    <row r="11027" customFormat="false" ht="15" hidden="false" customHeight="false" outlineLevel="0" collapsed="false">
      <c r="B11027" s="130" t="n">
        <v>2028</v>
      </c>
      <c r="C11027" s="131" t="s">
        <v>256</v>
      </c>
      <c r="D11027" s="132" t="n">
        <v>46784</v>
      </c>
      <c r="E11027" s="131" t="s">
        <v>25</v>
      </c>
      <c r="F11027" s="133" t="s">
        <v>11</v>
      </c>
      <c r="G11027" s="134" t="n">
        <f aca="false">LEN('Saisie programme'!$E$409)+SUMIFS('Vols additionnels'!$E$7:$E$66,'Vols additionnels'!$C$7:$C$66,$E11027,'Vols additionnels'!$D$7:$D$66,$F11027,'Vols additionnels'!$B$7:$B$66,$D11027)</f>
        <v>0</v>
      </c>
      <c r="H11027" s="135" t="n">
        <f aca="false">$G11027*'Analyse capacite'!$F$7</f>
        <v>0</v>
      </c>
      <c r="I11027" s="135" t="n">
        <f aca="false">$G11027*'Analyse capacite'!$C$7</f>
        <v>0</v>
      </c>
      <c r="J11027" s="135" t="n">
        <f aca="false">$G11027*'Analyse capacite'!$D$7</f>
        <v>0</v>
      </c>
      <c r="K11027" s="135" t="n">
        <f aca="false">$G11027*'Analyse capacite'!$E$7</f>
        <v>0</v>
      </c>
    </row>
    <row r="11028" customFormat="false" ht="15" hidden="false" customHeight="false" outlineLevel="0" collapsed="false">
      <c r="B11028" s="130" t="n">
        <v>2028</v>
      </c>
      <c r="C11028" s="131" t="s">
        <v>256</v>
      </c>
      <c r="D11028" s="132" t="n">
        <v>46784</v>
      </c>
      <c r="E11028" s="131" t="s">
        <v>25</v>
      </c>
      <c r="F11028" s="133" t="s">
        <v>19</v>
      </c>
      <c r="G11028" s="134" t="n">
        <f aca="false">LEN('Saisie programme'!$E$410)+SUMIFS('Vols additionnels'!$E$7:$E$66,'Vols additionnels'!$C$7:$C$66,$E11028,'Vols additionnels'!$D$7:$D$66,$F11028,'Vols additionnels'!$B$7:$B$66,$D11028)</f>
        <v>0</v>
      </c>
      <c r="H11028" s="135" t="n">
        <f aca="false">$G11028*'Analyse capacite'!$F$8</f>
        <v>0</v>
      </c>
      <c r="I11028" s="135" t="n">
        <f aca="false">$G11028*'Analyse capacite'!$C$8</f>
        <v>0</v>
      </c>
      <c r="J11028" s="135" t="n">
        <f aca="false">$G11028*'Analyse capacite'!$D$8</f>
        <v>0</v>
      </c>
      <c r="K11028" s="135" t="n">
        <f aca="false">$G11028*'Analyse capacite'!$E$8</f>
        <v>0</v>
      </c>
    </row>
    <row r="11029" customFormat="false" ht="15" hidden="false" customHeight="false" outlineLevel="0" collapsed="false">
      <c r="B11029" s="130" t="n">
        <v>2028</v>
      </c>
      <c r="C11029" s="131" t="s">
        <v>256</v>
      </c>
      <c r="D11029" s="132" t="n">
        <v>46784</v>
      </c>
      <c r="E11029" s="131" t="s">
        <v>25</v>
      </c>
      <c r="F11029" s="133" t="s">
        <v>24</v>
      </c>
      <c r="G11029" s="134" t="n">
        <f aca="false">LEN('Saisie programme'!$E$411)+SUMIFS('Vols additionnels'!$E$7:$E$66,'Vols additionnels'!$C$7:$C$66,$E11029,'Vols additionnels'!$D$7:$D$66,$F11029,'Vols additionnels'!$B$7:$B$66,$D11029)</f>
        <v>0</v>
      </c>
      <c r="H11029" s="135" t="n">
        <f aca="false">$G11029*'Analyse capacite'!$F$9</f>
        <v>0</v>
      </c>
      <c r="I11029" s="135" t="n">
        <f aca="false">$G11029*'Analyse capacite'!$C$9</f>
        <v>0</v>
      </c>
      <c r="J11029" s="135" t="n">
        <f aca="false">$G11029*'Analyse capacite'!$D$9</f>
        <v>0</v>
      </c>
      <c r="K11029" s="135" t="n">
        <f aca="false">$G11029*'Analyse capacite'!$E$9</f>
        <v>0</v>
      </c>
    </row>
    <row r="11030" customFormat="false" ht="15" hidden="false" customHeight="false" outlineLevel="0" collapsed="false">
      <c r="B11030" s="130" t="n">
        <v>2028</v>
      </c>
      <c r="C11030" s="131" t="s">
        <v>256</v>
      </c>
      <c r="D11030" s="132" t="n">
        <v>46784</v>
      </c>
      <c r="E11030" s="131" t="s">
        <v>36</v>
      </c>
      <c r="F11030" s="133" t="s">
        <v>11</v>
      </c>
      <c r="G11030" s="134" t="n">
        <f aca="false">LEN('Saisie programme'!$E$412)+SUMIFS('Vols additionnels'!$E$7:$E$66,'Vols additionnels'!$C$7:$C$66,$E11030,'Vols additionnels'!$D$7:$D$66,$F11030,'Vols additionnels'!$B$7:$B$66,$D11030)</f>
        <v>0</v>
      </c>
      <c r="H11030" s="135" t="n">
        <f aca="false">$G11030*'Analyse capacite'!$F$7</f>
        <v>0</v>
      </c>
      <c r="I11030" s="135" t="n">
        <f aca="false">$G11030*'Analyse capacite'!$C$7</f>
        <v>0</v>
      </c>
      <c r="J11030" s="135" t="n">
        <f aca="false">$G11030*'Analyse capacite'!$D$7</f>
        <v>0</v>
      </c>
      <c r="K11030" s="135" t="n">
        <f aca="false">$G11030*'Analyse capacite'!$E$7</f>
        <v>0</v>
      </c>
    </row>
    <row r="11031" customFormat="false" ht="15" hidden="false" customHeight="false" outlineLevel="0" collapsed="false">
      <c r="B11031" s="130" t="n">
        <v>2028</v>
      </c>
      <c r="C11031" s="131" t="s">
        <v>256</v>
      </c>
      <c r="D11031" s="132" t="n">
        <v>46784</v>
      </c>
      <c r="E11031" s="131" t="s">
        <v>36</v>
      </c>
      <c r="F11031" s="133" t="s">
        <v>19</v>
      </c>
      <c r="G11031" s="134" t="n">
        <f aca="false">LEN('Saisie programme'!$E$413)+SUMIFS('Vols additionnels'!$E$7:$E$66,'Vols additionnels'!$C$7:$C$66,$E11031,'Vols additionnels'!$D$7:$D$66,$F11031,'Vols additionnels'!$B$7:$B$66,$D11031)</f>
        <v>0</v>
      </c>
      <c r="H11031" s="135" t="n">
        <f aca="false">$G11031*'Analyse capacite'!$F$8</f>
        <v>0</v>
      </c>
      <c r="I11031" s="135" t="n">
        <f aca="false">$G11031*'Analyse capacite'!$C$8</f>
        <v>0</v>
      </c>
      <c r="J11031" s="135" t="n">
        <f aca="false">$G11031*'Analyse capacite'!$D$8</f>
        <v>0</v>
      </c>
      <c r="K11031" s="135" t="n">
        <f aca="false">$G11031*'Analyse capacite'!$E$8</f>
        <v>0</v>
      </c>
    </row>
    <row r="11032" customFormat="false" ht="15" hidden="false" customHeight="false" outlineLevel="0" collapsed="false">
      <c r="B11032" s="130" t="n">
        <v>2028</v>
      </c>
      <c r="C11032" s="131" t="s">
        <v>256</v>
      </c>
      <c r="D11032" s="132" t="n">
        <v>46784</v>
      </c>
      <c r="E11032" s="131" t="s">
        <v>36</v>
      </c>
      <c r="F11032" s="133" t="s">
        <v>24</v>
      </c>
      <c r="G11032" s="134" t="n">
        <f aca="false">LEN('Saisie programme'!$E$414)+SUMIFS('Vols additionnels'!$E$7:$E$66,'Vols additionnels'!$C$7:$C$66,$E11032,'Vols additionnels'!$D$7:$D$66,$F11032,'Vols additionnels'!$B$7:$B$66,$D11032)</f>
        <v>1</v>
      </c>
      <c r="H11032" s="135" t="n">
        <f aca="false">$G11032*'Analyse capacite'!$F$9</f>
        <v>174</v>
      </c>
      <c r="I11032" s="135" t="n">
        <f aca="false">$G11032*'Analyse capacite'!$C$9</f>
        <v>0</v>
      </c>
      <c r="J11032" s="135" t="n">
        <f aca="false">$G11032*'Analyse capacite'!$D$9</f>
        <v>12</v>
      </c>
      <c r="K11032" s="135" t="n">
        <f aca="false">$G11032*'Analyse capacite'!$E$9</f>
        <v>162</v>
      </c>
    </row>
    <row r="11033" customFormat="false" ht="15" hidden="false" customHeight="false" outlineLevel="0" collapsed="false">
      <c r="B11033" s="130" t="n">
        <v>2028</v>
      </c>
      <c r="C11033" s="131" t="s">
        <v>256</v>
      </c>
      <c r="D11033" s="132" t="n">
        <v>46784</v>
      </c>
      <c r="E11033" s="131" t="s">
        <v>40</v>
      </c>
      <c r="F11033" s="133" t="s">
        <v>11</v>
      </c>
      <c r="G11033" s="134" t="n">
        <f aca="false">LEN('Saisie programme'!$E$415)+SUMIFS('Vols additionnels'!$E$7:$E$66,'Vols additionnels'!$C$7:$C$66,$E11033,'Vols additionnels'!$D$7:$D$66,$F11033,'Vols additionnels'!$B$7:$B$66,$D11033)</f>
        <v>0</v>
      </c>
      <c r="H11033" s="135" t="n">
        <f aca="false">$G11033*'Analyse capacite'!$F$7</f>
        <v>0</v>
      </c>
      <c r="I11033" s="135" t="n">
        <f aca="false">$G11033*'Analyse capacite'!$C$7</f>
        <v>0</v>
      </c>
      <c r="J11033" s="135" t="n">
        <f aca="false">$G11033*'Analyse capacite'!$D$7</f>
        <v>0</v>
      </c>
      <c r="K11033" s="135" t="n">
        <f aca="false">$G11033*'Analyse capacite'!$E$7</f>
        <v>0</v>
      </c>
    </row>
    <row r="11034" customFormat="false" ht="15" hidden="false" customHeight="false" outlineLevel="0" collapsed="false">
      <c r="B11034" s="130" t="n">
        <v>2028</v>
      </c>
      <c r="C11034" s="131" t="s">
        <v>256</v>
      </c>
      <c r="D11034" s="132" t="n">
        <v>46784</v>
      </c>
      <c r="E11034" s="131" t="s">
        <v>40</v>
      </c>
      <c r="F11034" s="133" t="s">
        <v>19</v>
      </c>
      <c r="G11034" s="134" t="n">
        <f aca="false">LEN('Saisie programme'!$E$416)+SUMIFS('Vols additionnels'!$E$7:$E$66,'Vols additionnels'!$C$7:$C$66,$E11034,'Vols additionnels'!$D$7:$D$66,$F11034,'Vols additionnels'!$B$7:$B$66,$D11034)</f>
        <v>0</v>
      </c>
      <c r="H11034" s="135" t="n">
        <f aca="false">$G11034*'Analyse capacite'!$F$8</f>
        <v>0</v>
      </c>
      <c r="I11034" s="135" t="n">
        <f aca="false">$G11034*'Analyse capacite'!$C$8</f>
        <v>0</v>
      </c>
      <c r="J11034" s="135" t="n">
        <f aca="false">$G11034*'Analyse capacite'!$D$8</f>
        <v>0</v>
      </c>
      <c r="K11034" s="135" t="n">
        <f aca="false">$G11034*'Analyse capacite'!$E$8</f>
        <v>0</v>
      </c>
    </row>
    <row r="11035" customFormat="false" ht="15" hidden="false" customHeight="false" outlineLevel="0" collapsed="false">
      <c r="B11035" s="130" t="n">
        <v>2028</v>
      </c>
      <c r="C11035" s="131" t="s">
        <v>256</v>
      </c>
      <c r="D11035" s="132" t="n">
        <v>46784</v>
      </c>
      <c r="E11035" s="131" t="s">
        <v>40</v>
      </c>
      <c r="F11035" s="133" t="s">
        <v>24</v>
      </c>
      <c r="G11035" s="134" t="n">
        <f aca="false">LEN('Saisie programme'!$E$417)+SUMIFS('Vols additionnels'!$E$7:$E$66,'Vols additionnels'!$C$7:$C$66,$E11035,'Vols additionnels'!$D$7:$D$66,$F11035,'Vols additionnels'!$B$7:$B$66,$D11035)</f>
        <v>0</v>
      </c>
      <c r="H11035" s="135" t="n">
        <f aca="false">$G11035*'Analyse capacite'!$F$9</f>
        <v>0</v>
      </c>
      <c r="I11035" s="135" t="n">
        <f aca="false">$G11035*'Analyse capacite'!$C$9</f>
        <v>0</v>
      </c>
      <c r="J11035" s="135" t="n">
        <f aca="false">$G11035*'Analyse capacite'!$D$9</f>
        <v>0</v>
      </c>
      <c r="K11035" s="135" t="n">
        <f aca="false">$G11035*'Analyse capacite'!$E$9</f>
        <v>0</v>
      </c>
    </row>
    <row r="11036" customFormat="false" ht="15" hidden="false" customHeight="false" outlineLevel="0" collapsed="false">
      <c r="B11036" s="130" t="n">
        <v>2028</v>
      </c>
      <c r="C11036" s="131" t="s">
        <v>256</v>
      </c>
      <c r="D11036" s="132" t="n">
        <v>46784</v>
      </c>
      <c r="E11036" s="131" t="s">
        <v>14</v>
      </c>
      <c r="F11036" s="133" t="s">
        <v>11</v>
      </c>
      <c r="G11036" s="134" t="n">
        <f aca="false">LEN('Saisie programme'!$E$418)+SUMIFS('Vols additionnels'!$E$7:$E$66,'Vols additionnels'!$C$7:$C$66,$E11036,'Vols additionnels'!$D$7:$D$66,$F11036,'Vols additionnels'!$B$7:$B$66,$D11036)</f>
        <v>0</v>
      </c>
      <c r="H11036" s="135" t="n">
        <f aca="false">$G11036*'Analyse capacite'!$F$7</f>
        <v>0</v>
      </c>
      <c r="I11036" s="135" t="n">
        <f aca="false">$G11036*'Analyse capacite'!$C$7</f>
        <v>0</v>
      </c>
      <c r="J11036" s="135" t="n">
        <f aca="false">$G11036*'Analyse capacite'!$D$7</f>
        <v>0</v>
      </c>
      <c r="K11036" s="135" t="n">
        <f aca="false">$G11036*'Analyse capacite'!$E$7</f>
        <v>0</v>
      </c>
    </row>
    <row r="11037" customFormat="false" ht="15" hidden="false" customHeight="false" outlineLevel="0" collapsed="false">
      <c r="B11037" s="130" t="n">
        <v>2028</v>
      </c>
      <c r="C11037" s="131" t="s">
        <v>256</v>
      </c>
      <c r="D11037" s="132" t="n">
        <v>46784</v>
      </c>
      <c r="E11037" s="131" t="s">
        <v>14</v>
      </c>
      <c r="F11037" s="133" t="s">
        <v>19</v>
      </c>
      <c r="G11037" s="134" t="n">
        <f aca="false">LEN('Saisie programme'!$E$419)+SUMIFS('Vols additionnels'!$E$7:$E$66,'Vols additionnels'!$C$7:$C$66,$E11037,'Vols additionnels'!$D$7:$D$66,$F11037,'Vols additionnels'!$B$7:$B$66,$D11037)</f>
        <v>0</v>
      </c>
      <c r="H11037" s="135" t="n">
        <f aca="false">$G11037*'Analyse capacite'!$F$8</f>
        <v>0</v>
      </c>
      <c r="I11037" s="135" t="n">
        <f aca="false">$G11037*'Analyse capacite'!$C$8</f>
        <v>0</v>
      </c>
      <c r="J11037" s="135" t="n">
        <f aca="false">$G11037*'Analyse capacite'!$D$8</f>
        <v>0</v>
      </c>
      <c r="K11037" s="135" t="n">
        <f aca="false">$G11037*'Analyse capacite'!$E$8</f>
        <v>0</v>
      </c>
    </row>
    <row r="11038" customFormat="false" ht="15" hidden="false" customHeight="false" outlineLevel="0" collapsed="false">
      <c r="B11038" s="130" t="n">
        <v>2028</v>
      </c>
      <c r="C11038" s="131" t="s">
        <v>256</v>
      </c>
      <c r="D11038" s="132" t="n">
        <v>46784</v>
      </c>
      <c r="E11038" s="131" t="s">
        <v>14</v>
      </c>
      <c r="F11038" s="133" t="s">
        <v>24</v>
      </c>
      <c r="G11038" s="134" t="n">
        <f aca="false">LEN('Saisie programme'!$E$420)+SUMIFS('Vols additionnels'!$E$7:$E$66,'Vols additionnels'!$C$7:$C$66,$E11038,'Vols additionnels'!$D$7:$D$66,$F11038,'Vols additionnels'!$B$7:$B$66,$D11038)</f>
        <v>0</v>
      </c>
      <c r="H11038" s="135" t="n">
        <f aca="false">$G11038*'Analyse capacite'!$F$9</f>
        <v>0</v>
      </c>
      <c r="I11038" s="135" t="n">
        <f aca="false">$G11038*'Analyse capacite'!$C$9</f>
        <v>0</v>
      </c>
      <c r="J11038" s="135" t="n">
        <f aca="false">$G11038*'Analyse capacite'!$D$9</f>
        <v>0</v>
      </c>
      <c r="K11038" s="135" t="n">
        <f aca="false">$G11038*'Analyse capacite'!$E$9</f>
        <v>0</v>
      </c>
    </row>
    <row r="11039" customFormat="false" ht="15" hidden="false" customHeight="false" outlineLevel="0" collapsed="false">
      <c r="B11039" s="130" t="n">
        <v>2028</v>
      </c>
      <c r="C11039" s="131" t="s">
        <v>256</v>
      </c>
      <c r="D11039" s="132" t="n">
        <v>46784</v>
      </c>
      <c r="E11039" s="131" t="s">
        <v>46</v>
      </c>
      <c r="F11039" s="133" t="s">
        <v>11</v>
      </c>
      <c r="G11039" s="134" t="n">
        <f aca="false">LEN('Saisie programme'!$E$421)+SUMIFS('Vols additionnels'!$E$7:$E$66,'Vols additionnels'!$C$7:$C$66,$E11039,'Vols additionnels'!$D$7:$D$66,$F11039,'Vols additionnels'!$B$7:$B$66,$D11039)</f>
        <v>0</v>
      </c>
      <c r="H11039" s="135" t="n">
        <f aca="false">$G11039*'Analyse capacite'!$F$7</f>
        <v>0</v>
      </c>
      <c r="I11039" s="135" t="n">
        <f aca="false">$G11039*'Analyse capacite'!$C$7</f>
        <v>0</v>
      </c>
      <c r="J11039" s="135" t="n">
        <f aca="false">$G11039*'Analyse capacite'!$D$7</f>
        <v>0</v>
      </c>
      <c r="K11039" s="135" t="n">
        <f aca="false">$G11039*'Analyse capacite'!$E$7</f>
        <v>0</v>
      </c>
    </row>
    <row r="11040" customFormat="false" ht="15" hidden="false" customHeight="false" outlineLevel="0" collapsed="false">
      <c r="B11040" s="130" t="n">
        <v>2028</v>
      </c>
      <c r="C11040" s="131" t="s">
        <v>256</v>
      </c>
      <c r="D11040" s="132" t="n">
        <v>46784</v>
      </c>
      <c r="E11040" s="131" t="s">
        <v>46</v>
      </c>
      <c r="F11040" s="133" t="s">
        <v>19</v>
      </c>
      <c r="G11040" s="134" t="n">
        <f aca="false">LEN('Saisie programme'!$E$422)+SUMIFS('Vols additionnels'!$E$7:$E$66,'Vols additionnels'!$C$7:$C$66,$E11040,'Vols additionnels'!$D$7:$D$66,$F11040,'Vols additionnels'!$B$7:$B$66,$D11040)</f>
        <v>0</v>
      </c>
      <c r="H11040" s="135" t="n">
        <f aca="false">$G11040*'Analyse capacite'!$F$8</f>
        <v>0</v>
      </c>
      <c r="I11040" s="135" t="n">
        <f aca="false">$G11040*'Analyse capacite'!$C$8</f>
        <v>0</v>
      </c>
      <c r="J11040" s="135" t="n">
        <f aca="false">$G11040*'Analyse capacite'!$D$8</f>
        <v>0</v>
      </c>
      <c r="K11040" s="135" t="n">
        <f aca="false">$G11040*'Analyse capacite'!$E$8</f>
        <v>0</v>
      </c>
    </row>
    <row r="11041" customFormat="false" ht="15" hidden="false" customHeight="false" outlineLevel="0" collapsed="false">
      <c r="B11041" s="130" t="n">
        <v>2028</v>
      </c>
      <c r="C11041" s="131" t="s">
        <v>256</v>
      </c>
      <c r="D11041" s="132" t="n">
        <v>46784</v>
      </c>
      <c r="E11041" s="131" t="s">
        <v>46</v>
      </c>
      <c r="F11041" s="133" t="s">
        <v>24</v>
      </c>
      <c r="G11041" s="134" t="n">
        <f aca="false">LEN('Saisie programme'!$E$423)+SUMIFS('Vols additionnels'!$E$7:$E$66,'Vols additionnels'!$C$7:$C$66,$E11041,'Vols additionnels'!$D$7:$D$66,$F11041,'Vols additionnels'!$B$7:$B$66,$D11041)</f>
        <v>1</v>
      </c>
      <c r="H11041" s="135" t="n">
        <f aca="false">$G11041*'Analyse capacite'!$F$9</f>
        <v>174</v>
      </c>
      <c r="I11041" s="135" t="n">
        <f aca="false">$G11041*'Analyse capacite'!$C$9</f>
        <v>0</v>
      </c>
      <c r="J11041" s="135" t="n">
        <f aca="false">$G11041*'Analyse capacite'!$D$9</f>
        <v>12</v>
      </c>
      <c r="K11041" s="135" t="n">
        <f aca="false">$G11041*'Analyse capacite'!$E$9</f>
        <v>162</v>
      </c>
    </row>
    <row r="11042" customFormat="false" ht="15" hidden="false" customHeight="false" outlineLevel="0" collapsed="false">
      <c r="B11042" s="130" t="n">
        <v>2028</v>
      </c>
      <c r="C11042" s="131" t="s">
        <v>256</v>
      </c>
      <c r="D11042" s="132" t="n">
        <v>46784</v>
      </c>
      <c r="E11042" s="131" t="s">
        <v>49</v>
      </c>
      <c r="F11042" s="133" t="s">
        <v>11</v>
      </c>
      <c r="G11042" s="134" t="n">
        <f aca="false">LEN('Saisie programme'!$E$424)+SUMIFS('Vols additionnels'!$E$7:$E$66,'Vols additionnels'!$C$7:$C$66,$E11042,'Vols additionnels'!$D$7:$D$66,$F11042,'Vols additionnels'!$B$7:$B$66,$D11042)</f>
        <v>0</v>
      </c>
      <c r="H11042" s="135" t="n">
        <f aca="false">$G11042*'Analyse capacite'!$F$7</f>
        <v>0</v>
      </c>
      <c r="I11042" s="135" t="n">
        <f aca="false">$G11042*'Analyse capacite'!$C$7</f>
        <v>0</v>
      </c>
      <c r="J11042" s="135" t="n">
        <f aca="false">$G11042*'Analyse capacite'!$D$7</f>
        <v>0</v>
      </c>
      <c r="K11042" s="135" t="n">
        <f aca="false">$G11042*'Analyse capacite'!$E$7</f>
        <v>0</v>
      </c>
    </row>
    <row r="11043" customFormat="false" ht="15" hidden="false" customHeight="false" outlineLevel="0" collapsed="false">
      <c r="B11043" s="130" t="n">
        <v>2028</v>
      </c>
      <c r="C11043" s="131" t="s">
        <v>256</v>
      </c>
      <c r="D11043" s="132" t="n">
        <v>46784</v>
      </c>
      <c r="E11043" s="131" t="s">
        <v>49</v>
      </c>
      <c r="F11043" s="133" t="s">
        <v>19</v>
      </c>
      <c r="G11043" s="134" t="n">
        <f aca="false">LEN('Saisie programme'!$E$425)+SUMIFS('Vols additionnels'!$E$7:$E$66,'Vols additionnels'!$C$7:$C$66,$E11043,'Vols additionnels'!$D$7:$D$66,$F11043,'Vols additionnels'!$B$7:$B$66,$D11043)</f>
        <v>0</v>
      </c>
      <c r="H11043" s="135" t="n">
        <f aca="false">$G11043*'Analyse capacite'!$F$8</f>
        <v>0</v>
      </c>
      <c r="I11043" s="135" t="n">
        <f aca="false">$G11043*'Analyse capacite'!$C$8</f>
        <v>0</v>
      </c>
      <c r="J11043" s="135" t="n">
        <f aca="false">$G11043*'Analyse capacite'!$D$8</f>
        <v>0</v>
      </c>
      <c r="K11043" s="135" t="n">
        <f aca="false">$G11043*'Analyse capacite'!$E$8</f>
        <v>0</v>
      </c>
    </row>
    <row r="11044" customFormat="false" ht="15" hidden="false" customHeight="false" outlineLevel="0" collapsed="false">
      <c r="B11044" s="130" t="n">
        <v>2028</v>
      </c>
      <c r="C11044" s="131" t="s">
        <v>256</v>
      </c>
      <c r="D11044" s="132" t="n">
        <v>46784</v>
      </c>
      <c r="E11044" s="131" t="s">
        <v>49</v>
      </c>
      <c r="F11044" s="133" t="s">
        <v>24</v>
      </c>
      <c r="G11044" s="134" t="n">
        <f aca="false">LEN('Saisie programme'!$E$426)+SUMIFS('Vols additionnels'!$E$7:$E$66,'Vols additionnels'!$C$7:$C$66,$E11044,'Vols additionnels'!$D$7:$D$66,$F11044,'Vols additionnels'!$B$7:$B$66,$D11044)</f>
        <v>0</v>
      </c>
      <c r="H11044" s="135" t="n">
        <f aca="false">$G11044*'Analyse capacite'!$F$9</f>
        <v>0</v>
      </c>
      <c r="I11044" s="135" t="n">
        <f aca="false">$G11044*'Analyse capacite'!$C$9</f>
        <v>0</v>
      </c>
      <c r="J11044" s="135" t="n">
        <f aca="false">$G11044*'Analyse capacite'!$D$9</f>
        <v>0</v>
      </c>
      <c r="K11044" s="135" t="n">
        <f aca="false">$G11044*'Analyse capacite'!$E$9</f>
        <v>0</v>
      </c>
    </row>
    <row r="11045" customFormat="false" ht="15" hidden="false" customHeight="false" outlineLevel="0" collapsed="false">
      <c r="B11045" s="130" t="n">
        <v>2028</v>
      </c>
      <c r="C11045" s="131" t="s">
        <v>256</v>
      </c>
      <c r="D11045" s="132" t="n">
        <v>46784</v>
      </c>
      <c r="E11045" s="131" t="s">
        <v>53</v>
      </c>
      <c r="F11045" s="133" t="s">
        <v>11</v>
      </c>
      <c r="G11045" s="134" t="n">
        <f aca="false">LEN('Saisie programme'!$E$427)+SUMIFS('Vols additionnels'!$E$7:$E$66,'Vols additionnels'!$C$7:$C$66,$E11045,'Vols additionnels'!$D$7:$D$66,$F11045,'Vols additionnels'!$B$7:$B$66,$D11045)</f>
        <v>0</v>
      </c>
      <c r="H11045" s="135" t="n">
        <f aca="false">$G11045*'Analyse capacite'!$F$7</f>
        <v>0</v>
      </c>
      <c r="I11045" s="135" t="n">
        <f aca="false">$G11045*'Analyse capacite'!$C$7</f>
        <v>0</v>
      </c>
      <c r="J11045" s="135" t="n">
        <f aca="false">$G11045*'Analyse capacite'!$D$7</f>
        <v>0</v>
      </c>
      <c r="K11045" s="135" t="n">
        <f aca="false">$G11045*'Analyse capacite'!$E$7</f>
        <v>0</v>
      </c>
    </row>
    <row r="11046" customFormat="false" ht="15" hidden="false" customHeight="false" outlineLevel="0" collapsed="false">
      <c r="B11046" s="130" t="n">
        <v>2028</v>
      </c>
      <c r="C11046" s="131" t="s">
        <v>256</v>
      </c>
      <c r="D11046" s="132" t="n">
        <v>46784</v>
      </c>
      <c r="E11046" s="131" t="s">
        <v>53</v>
      </c>
      <c r="F11046" s="133" t="s">
        <v>19</v>
      </c>
      <c r="G11046" s="134" t="n">
        <f aca="false">LEN('Saisie programme'!$E$428)+SUMIFS('Vols additionnels'!$E$7:$E$66,'Vols additionnels'!$C$7:$C$66,$E11046,'Vols additionnels'!$D$7:$D$66,$F11046,'Vols additionnels'!$B$7:$B$66,$D11046)</f>
        <v>0</v>
      </c>
      <c r="H11046" s="135" t="n">
        <f aca="false">$G11046*'Analyse capacite'!$F$8</f>
        <v>0</v>
      </c>
      <c r="I11046" s="135" t="n">
        <f aca="false">$G11046*'Analyse capacite'!$C$8</f>
        <v>0</v>
      </c>
      <c r="J11046" s="135" t="n">
        <f aca="false">$G11046*'Analyse capacite'!$D$8</f>
        <v>0</v>
      </c>
      <c r="K11046" s="135" t="n">
        <f aca="false">$G11046*'Analyse capacite'!$E$8</f>
        <v>0</v>
      </c>
    </row>
    <row r="11047" customFormat="false" ht="15" hidden="false" customHeight="false" outlineLevel="0" collapsed="false">
      <c r="B11047" s="130" t="n">
        <v>2028</v>
      </c>
      <c r="C11047" s="131" t="s">
        <v>256</v>
      </c>
      <c r="D11047" s="132" t="n">
        <v>46784</v>
      </c>
      <c r="E11047" s="131" t="s">
        <v>53</v>
      </c>
      <c r="F11047" s="133" t="s">
        <v>24</v>
      </c>
      <c r="G11047" s="134" t="n">
        <f aca="false">LEN('Saisie programme'!$E$429)+SUMIFS('Vols additionnels'!$E$7:$E$66,'Vols additionnels'!$C$7:$C$66,$E11047,'Vols additionnels'!$D$7:$D$66,$F11047,'Vols additionnels'!$B$7:$B$66,$D11047)</f>
        <v>0</v>
      </c>
      <c r="H11047" s="135" t="n">
        <f aca="false">$G11047*'Analyse capacite'!$F$9</f>
        <v>0</v>
      </c>
      <c r="I11047" s="135" t="n">
        <f aca="false">$G11047*'Analyse capacite'!$C$9</f>
        <v>0</v>
      </c>
      <c r="J11047" s="135" t="n">
        <f aca="false">$G11047*'Analyse capacite'!$D$9</f>
        <v>0</v>
      </c>
      <c r="K11047" s="135" t="n">
        <f aca="false">$G11047*'Analyse capacite'!$E$9</f>
        <v>0</v>
      </c>
    </row>
    <row r="11048" customFormat="false" ht="15" hidden="false" customHeight="false" outlineLevel="0" collapsed="false">
      <c r="B11048" s="130" t="n">
        <v>2028</v>
      </c>
      <c r="C11048" s="131" t="s">
        <v>256</v>
      </c>
      <c r="D11048" s="132" t="n">
        <v>46784</v>
      </c>
      <c r="E11048" s="131" t="s">
        <v>56</v>
      </c>
      <c r="F11048" s="133" t="s">
        <v>11</v>
      </c>
      <c r="G11048" s="134" t="n">
        <f aca="false">LEN('Saisie programme'!$E$430)+SUMIFS('Vols additionnels'!$E$7:$E$66,'Vols additionnels'!$C$7:$C$66,$E11048,'Vols additionnels'!$D$7:$D$66,$F11048,'Vols additionnels'!$B$7:$B$66,$D11048)</f>
        <v>0</v>
      </c>
      <c r="H11048" s="135" t="n">
        <f aca="false">$G11048*'Analyse capacite'!$F$7</f>
        <v>0</v>
      </c>
      <c r="I11048" s="135" t="n">
        <f aca="false">$G11048*'Analyse capacite'!$C$7</f>
        <v>0</v>
      </c>
      <c r="J11048" s="135" t="n">
        <f aca="false">$G11048*'Analyse capacite'!$D$7</f>
        <v>0</v>
      </c>
      <c r="K11048" s="135" t="n">
        <f aca="false">$G11048*'Analyse capacite'!$E$7</f>
        <v>0</v>
      </c>
    </row>
    <row r="11049" customFormat="false" ht="15" hidden="false" customHeight="false" outlineLevel="0" collapsed="false">
      <c r="B11049" s="130" t="n">
        <v>2028</v>
      </c>
      <c r="C11049" s="131" t="s">
        <v>256</v>
      </c>
      <c r="D11049" s="132" t="n">
        <v>46784</v>
      </c>
      <c r="E11049" s="131" t="s">
        <v>56</v>
      </c>
      <c r="F11049" s="133" t="s">
        <v>19</v>
      </c>
      <c r="G11049" s="134" t="n">
        <f aca="false">LEN('Saisie programme'!$E$431)+SUMIFS('Vols additionnels'!$E$7:$E$66,'Vols additionnels'!$C$7:$C$66,$E11049,'Vols additionnels'!$D$7:$D$66,$F11049,'Vols additionnels'!$B$7:$B$66,$D11049)</f>
        <v>0</v>
      </c>
      <c r="H11049" s="135" t="n">
        <f aca="false">$G11049*'Analyse capacite'!$F$8</f>
        <v>0</v>
      </c>
      <c r="I11049" s="135" t="n">
        <f aca="false">$G11049*'Analyse capacite'!$C$8</f>
        <v>0</v>
      </c>
      <c r="J11049" s="135" t="n">
        <f aca="false">$G11049*'Analyse capacite'!$D$8</f>
        <v>0</v>
      </c>
      <c r="K11049" s="135" t="n">
        <f aca="false">$G11049*'Analyse capacite'!$E$8</f>
        <v>0</v>
      </c>
    </row>
    <row r="11050" customFormat="false" ht="15" hidden="false" customHeight="false" outlineLevel="0" collapsed="false">
      <c r="B11050" s="130" t="n">
        <v>2028</v>
      </c>
      <c r="C11050" s="131" t="s">
        <v>256</v>
      </c>
      <c r="D11050" s="132" t="n">
        <v>46784</v>
      </c>
      <c r="E11050" s="131" t="s">
        <v>56</v>
      </c>
      <c r="F11050" s="133" t="s">
        <v>24</v>
      </c>
      <c r="G11050" s="134" t="n">
        <f aca="false">LEN('Saisie programme'!$E$432)+SUMIFS('Vols additionnels'!$E$7:$E$66,'Vols additionnels'!$C$7:$C$66,$E11050,'Vols additionnels'!$D$7:$D$66,$F11050,'Vols additionnels'!$B$7:$B$66,$D11050)</f>
        <v>1</v>
      </c>
      <c r="H11050" s="135" t="n">
        <f aca="false">$G11050*'Analyse capacite'!$F$9</f>
        <v>174</v>
      </c>
      <c r="I11050" s="135" t="n">
        <f aca="false">$G11050*'Analyse capacite'!$C$9</f>
        <v>0</v>
      </c>
      <c r="J11050" s="135" t="n">
        <f aca="false">$G11050*'Analyse capacite'!$D$9</f>
        <v>12</v>
      </c>
      <c r="K11050" s="135" t="n">
        <f aca="false">$G11050*'Analyse capacite'!$E$9</f>
        <v>162</v>
      </c>
    </row>
    <row r="11051" customFormat="false" ht="15" hidden="false" customHeight="false" outlineLevel="0" collapsed="false">
      <c r="B11051" s="130" t="n">
        <v>2028</v>
      </c>
      <c r="C11051" s="131" t="s">
        <v>256</v>
      </c>
      <c r="D11051" s="132" t="n">
        <v>46784</v>
      </c>
      <c r="E11051" s="131" t="s">
        <v>59</v>
      </c>
      <c r="F11051" s="133" t="s">
        <v>11</v>
      </c>
      <c r="G11051" s="134" t="n">
        <f aca="false">LEN('Saisie programme'!$E$433)+SUMIFS('Vols additionnels'!$E$7:$E$66,'Vols additionnels'!$C$7:$C$66,$E11051,'Vols additionnels'!$D$7:$D$66,$F11051,'Vols additionnels'!$B$7:$B$66,$D11051)</f>
        <v>0</v>
      </c>
      <c r="H11051" s="135" t="n">
        <f aca="false">$G11051*'Analyse capacite'!$F$7</f>
        <v>0</v>
      </c>
      <c r="I11051" s="135" t="n">
        <f aca="false">$G11051*'Analyse capacite'!$C$7</f>
        <v>0</v>
      </c>
      <c r="J11051" s="135" t="n">
        <f aca="false">$G11051*'Analyse capacite'!$D$7</f>
        <v>0</v>
      </c>
      <c r="K11051" s="135" t="n">
        <f aca="false">$G11051*'Analyse capacite'!$E$7</f>
        <v>0</v>
      </c>
    </row>
    <row r="11052" customFormat="false" ht="15" hidden="false" customHeight="false" outlineLevel="0" collapsed="false">
      <c r="B11052" s="130" t="n">
        <v>2028</v>
      </c>
      <c r="C11052" s="131" t="s">
        <v>256</v>
      </c>
      <c r="D11052" s="132" t="n">
        <v>46784</v>
      </c>
      <c r="E11052" s="131" t="s">
        <v>59</v>
      </c>
      <c r="F11052" s="133" t="s">
        <v>19</v>
      </c>
      <c r="G11052" s="134" t="n">
        <f aca="false">LEN('Saisie programme'!$E$434)+SUMIFS('Vols additionnels'!$E$7:$E$66,'Vols additionnels'!$C$7:$C$66,$E11052,'Vols additionnels'!$D$7:$D$66,$F11052,'Vols additionnels'!$B$7:$B$66,$D11052)</f>
        <v>0</v>
      </c>
      <c r="H11052" s="135" t="n">
        <f aca="false">$G11052*'Analyse capacite'!$F$8</f>
        <v>0</v>
      </c>
      <c r="I11052" s="135" t="n">
        <f aca="false">$G11052*'Analyse capacite'!$C$8</f>
        <v>0</v>
      </c>
      <c r="J11052" s="135" t="n">
        <f aca="false">$G11052*'Analyse capacite'!$D$8</f>
        <v>0</v>
      </c>
      <c r="K11052" s="135" t="n">
        <f aca="false">$G11052*'Analyse capacite'!$E$8</f>
        <v>0</v>
      </c>
    </row>
    <row r="11053" customFormat="false" ht="15" hidden="false" customHeight="false" outlineLevel="0" collapsed="false">
      <c r="B11053" s="130" t="n">
        <v>2028</v>
      </c>
      <c r="C11053" s="131" t="s">
        <v>256</v>
      </c>
      <c r="D11053" s="132" t="n">
        <v>46784</v>
      </c>
      <c r="E11053" s="131" t="s">
        <v>59</v>
      </c>
      <c r="F11053" s="133" t="s">
        <v>24</v>
      </c>
      <c r="G11053" s="134" t="n">
        <f aca="false">LEN('Saisie programme'!$E$435)+SUMIFS('Vols additionnels'!$E$7:$E$66,'Vols additionnels'!$C$7:$C$66,$E11053,'Vols additionnels'!$D$7:$D$66,$F11053,'Vols additionnels'!$B$7:$B$66,$D11053)</f>
        <v>1</v>
      </c>
      <c r="H11053" s="135" t="n">
        <f aca="false">$G11053*'Analyse capacite'!$F$9</f>
        <v>174</v>
      </c>
      <c r="I11053" s="135" t="n">
        <f aca="false">$G11053*'Analyse capacite'!$C$9</f>
        <v>0</v>
      </c>
      <c r="J11053" s="135" t="n">
        <f aca="false">$G11053*'Analyse capacite'!$D$9</f>
        <v>12</v>
      </c>
      <c r="K11053" s="135" t="n">
        <f aca="false">$G11053*'Analyse capacite'!$E$9</f>
        <v>162</v>
      </c>
    </row>
    <row r="11054" customFormat="false" ht="15" hidden="false" customHeight="false" outlineLevel="0" collapsed="false">
      <c r="B11054" s="130" t="n">
        <v>2028</v>
      </c>
      <c r="C11054" s="131" t="s">
        <v>256</v>
      </c>
      <c r="D11054" s="132" t="n">
        <v>46784</v>
      </c>
      <c r="E11054" s="131" t="s">
        <v>62</v>
      </c>
      <c r="F11054" s="133" t="s">
        <v>11</v>
      </c>
      <c r="G11054" s="134" t="n">
        <f aca="false">LEN('Saisie programme'!$E$436)+SUMIFS('Vols additionnels'!$E$7:$E$66,'Vols additionnels'!$C$7:$C$66,$E11054,'Vols additionnels'!$D$7:$D$66,$F11054,'Vols additionnels'!$B$7:$B$66,$D11054)</f>
        <v>0</v>
      </c>
      <c r="H11054" s="135" t="n">
        <f aca="false">$G11054*'Analyse capacite'!$F$7</f>
        <v>0</v>
      </c>
      <c r="I11054" s="135" t="n">
        <f aca="false">$G11054*'Analyse capacite'!$C$7</f>
        <v>0</v>
      </c>
      <c r="J11054" s="135" t="n">
        <f aca="false">$G11054*'Analyse capacite'!$D$7</f>
        <v>0</v>
      </c>
      <c r="K11054" s="135" t="n">
        <f aca="false">$G11054*'Analyse capacite'!$E$7</f>
        <v>0</v>
      </c>
    </row>
    <row r="11055" customFormat="false" ht="15" hidden="false" customHeight="false" outlineLevel="0" collapsed="false">
      <c r="B11055" s="130" t="n">
        <v>2028</v>
      </c>
      <c r="C11055" s="131" t="s">
        <v>256</v>
      </c>
      <c r="D11055" s="132" t="n">
        <v>46784</v>
      </c>
      <c r="E11055" s="131" t="s">
        <v>62</v>
      </c>
      <c r="F11055" s="133" t="s">
        <v>19</v>
      </c>
      <c r="G11055" s="134" t="n">
        <f aca="false">LEN('Saisie programme'!$E$437)+SUMIFS('Vols additionnels'!$E$7:$E$66,'Vols additionnels'!$C$7:$C$66,$E11055,'Vols additionnels'!$D$7:$D$66,$F11055,'Vols additionnels'!$B$7:$B$66,$D11055)</f>
        <v>0</v>
      </c>
      <c r="H11055" s="135" t="n">
        <f aca="false">$G11055*'Analyse capacite'!$F$8</f>
        <v>0</v>
      </c>
      <c r="I11055" s="135" t="n">
        <f aca="false">$G11055*'Analyse capacite'!$C$8</f>
        <v>0</v>
      </c>
      <c r="J11055" s="135" t="n">
        <f aca="false">$G11055*'Analyse capacite'!$D$8</f>
        <v>0</v>
      </c>
      <c r="K11055" s="135" t="n">
        <f aca="false">$G11055*'Analyse capacite'!$E$8</f>
        <v>0</v>
      </c>
    </row>
    <row r="11056" customFormat="false" ht="15" hidden="false" customHeight="false" outlineLevel="0" collapsed="false">
      <c r="B11056" s="130" t="n">
        <v>2028</v>
      </c>
      <c r="C11056" s="131" t="s">
        <v>256</v>
      </c>
      <c r="D11056" s="132" t="n">
        <v>46784</v>
      </c>
      <c r="E11056" s="131" t="s">
        <v>62</v>
      </c>
      <c r="F11056" s="133" t="s">
        <v>24</v>
      </c>
      <c r="G11056" s="134" t="n">
        <f aca="false">LEN('Saisie programme'!$E$438)+SUMIFS('Vols additionnels'!$E$7:$E$66,'Vols additionnels'!$C$7:$C$66,$E11056,'Vols additionnels'!$D$7:$D$66,$F11056,'Vols additionnels'!$B$7:$B$66,$D11056)</f>
        <v>0</v>
      </c>
      <c r="H11056" s="135" t="n">
        <f aca="false">$G11056*'Analyse capacite'!$F$9</f>
        <v>0</v>
      </c>
      <c r="I11056" s="135" t="n">
        <f aca="false">$G11056*'Analyse capacite'!$C$9</f>
        <v>0</v>
      </c>
      <c r="J11056" s="135" t="n">
        <f aca="false">$G11056*'Analyse capacite'!$D$9</f>
        <v>0</v>
      </c>
      <c r="K11056" s="135" t="n">
        <f aca="false">$G11056*'Analyse capacite'!$E$9</f>
        <v>0</v>
      </c>
    </row>
    <row r="11057" customFormat="false" ht="15" hidden="false" customHeight="false" outlineLevel="0" collapsed="false">
      <c r="B11057" s="130" t="n">
        <v>2028</v>
      </c>
      <c r="C11057" s="131" t="s">
        <v>256</v>
      </c>
      <c r="D11057" s="132" t="n">
        <v>46785</v>
      </c>
      <c r="E11057" s="131" t="s">
        <v>12</v>
      </c>
      <c r="F11057" s="133" t="s">
        <v>11</v>
      </c>
      <c r="G11057" s="134" t="n">
        <f aca="false">LEN('Saisie programme'!$F$403)+SUMIFS('Vols additionnels'!$E$7:$E$66,'Vols additionnels'!$C$7:$C$66,$E11057,'Vols additionnels'!$D$7:$D$66,$F11057,'Vols additionnels'!$B$7:$B$66,$D11057)</f>
        <v>1</v>
      </c>
      <c r="H11057" s="135" t="n">
        <f aca="false">$G11057*'Analyse capacite'!$F$7</f>
        <v>438</v>
      </c>
      <c r="I11057" s="135" t="n">
        <f aca="false">$G11057*'Analyse capacite'!$C$7</f>
        <v>14</v>
      </c>
      <c r="J11057" s="135" t="n">
        <f aca="false">$G11057*'Analyse capacite'!$D$7</f>
        <v>40</v>
      </c>
      <c r="K11057" s="135" t="n">
        <f aca="false">$G11057*'Analyse capacite'!$E$7</f>
        <v>384</v>
      </c>
    </row>
    <row r="11058" customFormat="false" ht="15" hidden="false" customHeight="false" outlineLevel="0" collapsed="false">
      <c r="B11058" s="130" t="n">
        <v>2028</v>
      </c>
      <c r="C11058" s="131" t="s">
        <v>256</v>
      </c>
      <c r="D11058" s="132" t="n">
        <v>46785</v>
      </c>
      <c r="E11058" s="131" t="s">
        <v>12</v>
      </c>
      <c r="F11058" s="133" t="s">
        <v>19</v>
      </c>
      <c r="G11058" s="134" t="n">
        <f aca="false">LEN('Saisie programme'!$F$404)+SUMIFS('Vols additionnels'!$E$7:$E$66,'Vols additionnels'!$C$7:$C$66,$E11058,'Vols additionnels'!$D$7:$D$66,$F11058,'Vols additionnels'!$B$7:$B$66,$D11058)</f>
        <v>0</v>
      </c>
      <c r="H11058" s="135" t="n">
        <f aca="false">$G11058*'Analyse capacite'!$F$8</f>
        <v>0</v>
      </c>
      <c r="I11058" s="135" t="n">
        <f aca="false">$G11058*'Analyse capacite'!$C$8</f>
        <v>0</v>
      </c>
      <c r="J11058" s="135" t="n">
        <f aca="false">$G11058*'Analyse capacite'!$D$8</f>
        <v>0</v>
      </c>
      <c r="K11058" s="135" t="n">
        <f aca="false">$G11058*'Analyse capacite'!$E$8</f>
        <v>0</v>
      </c>
    </row>
    <row r="11059" customFormat="false" ht="15" hidden="false" customHeight="false" outlineLevel="0" collapsed="false">
      <c r="B11059" s="130" t="n">
        <v>2028</v>
      </c>
      <c r="C11059" s="131" t="s">
        <v>256</v>
      </c>
      <c r="D11059" s="132" t="n">
        <v>46785</v>
      </c>
      <c r="E11059" s="131" t="s">
        <v>12</v>
      </c>
      <c r="F11059" s="133" t="s">
        <v>24</v>
      </c>
      <c r="G11059" s="134" t="n">
        <f aca="false">LEN('Saisie programme'!$F$405)+SUMIFS('Vols additionnels'!$E$7:$E$66,'Vols additionnels'!$C$7:$C$66,$E11059,'Vols additionnels'!$D$7:$D$66,$F11059,'Vols additionnels'!$B$7:$B$66,$D11059)</f>
        <v>0</v>
      </c>
      <c r="H11059" s="135" t="n">
        <f aca="false">$G11059*'Analyse capacite'!$F$9</f>
        <v>0</v>
      </c>
      <c r="I11059" s="135" t="n">
        <f aca="false">$G11059*'Analyse capacite'!$C$9</f>
        <v>0</v>
      </c>
      <c r="J11059" s="135" t="n">
        <f aca="false">$G11059*'Analyse capacite'!$D$9</f>
        <v>0</v>
      </c>
      <c r="K11059" s="135" t="n">
        <f aca="false">$G11059*'Analyse capacite'!$E$9</f>
        <v>0</v>
      </c>
    </row>
    <row r="11060" customFormat="false" ht="15" hidden="false" customHeight="false" outlineLevel="0" collapsed="false">
      <c r="B11060" s="130" t="n">
        <v>2028</v>
      </c>
      <c r="C11060" s="131" t="s">
        <v>256</v>
      </c>
      <c r="D11060" s="132" t="n">
        <v>46785</v>
      </c>
      <c r="E11060" s="131" t="s">
        <v>20</v>
      </c>
      <c r="F11060" s="133" t="s">
        <v>11</v>
      </c>
      <c r="G11060" s="134" t="n">
        <f aca="false">LEN('Saisie programme'!$F$406)+SUMIFS('Vols additionnels'!$E$7:$E$66,'Vols additionnels'!$C$7:$C$66,$E11060,'Vols additionnels'!$D$7:$D$66,$F11060,'Vols additionnels'!$B$7:$B$66,$D11060)</f>
        <v>0</v>
      </c>
      <c r="H11060" s="135" t="n">
        <f aca="false">$G11060*'Analyse capacite'!$F$7</f>
        <v>0</v>
      </c>
      <c r="I11060" s="135" t="n">
        <f aca="false">$G11060*'Analyse capacite'!$C$7</f>
        <v>0</v>
      </c>
      <c r="J11060" s="135" t="n">
        <f aca="false">$G11060*'Analyse capacite'!$D$7</f>
        <v>0</v>
      </c>
      <c r="K11060" s="135" t="n">
        <f aca="false">$G11060*'Analyse capacite'!$E$7</f>
        <v>0</v>
      </c>
    </row>
    <row r="11061" customFormat="false" ht="15" hidden="false" customHeight="false" outlineLevel="0" collapsed="false">
      <c r="B11061" s="130" t="n">
        <v>2028</v>
      </c>
      <c r="C11061" s="131" t="s">
        <v>256</v>
      </c>
      <c r="D11061" s="132" t="n">
        <v>46785</v>
      </c>
      <c r="E11061" s="131" t="s">
        <v>20</v>
      </c>
      <c r="F11061" s="133" t="s">
        <v>19</v>
      </c>
      <c r="G11061" s="134" t="n">
        <f aca="false">LEN('Saisie programme'!$F$407)+SUMIFS('Vols additionnels'!$E$7:$E$66,'Vols additionnels'!$C$7:$C$66,$E11061,'Vols additionnels'!$D$7:$D$66,$F11061,'Vols additionnels'!$B$7:$B$66,$D11061)</f>
        <v>0</v>
      </c>
      <c r="H11061" s="135" t="n">
        <f aca="false">$G11061*'Analyse capacite'!$F$8</f>
        <v>0</v>
      </c>
      <c r="I11061" s="135" t="n">
        <f aca="false">$G11061*'Analyse capacite'!$C$8</f>
        <v>0</v>
      </c>
      <c r="J11061" s="135" t="n">
        <f aca="false">$G11061*'Analyse capacite'!$D$8</f>
        <v>0</v>
      </c>
      <c r="K11061" s="135" t="n">
        <f aca="false">$G11061*'Analyse capacite'!$E$8</f>
        <v>0</v>
      </c>
    </row>
    <row r="11062" customFormat="false" ht="15" hidden="false" customHeight="false" outlineLevel="0" collapsed="false">
      <c r="B11062" s="130" t="n">
        <v>2028</v>
      </c>
      <c r="C11062" s="131" t="s">
        <v>256</v>
      </c>
      <c r="D11062" s="132" t="n">
        <v>46785</v>
      </c>
      <c r="E11062" s="131" t="s">
        <v>20</v>
      </c>
      <c r="F11062" s="133" t="s">
        <v>24</v>
      </c>
      <c r="G11062" s="134" t="n">
        <f aca="false">LEN('Saisie programme'!$F$408)+SUMIFS('Vols additionnels'!$E$7:$E$66,'Vols additionnels'!$C$7:$C$66,$E11062,'Vols additionnels'!$D$7:$D$66,$F11062,'Vols additionnels'!$B$7:$B$66,$D11062)</f>
        <v>0</v>
      </c>
      <c r="H11062" s="135" t="n">
        <f aca="false">$G11062*'Analyse capacite'!$F$9</f>
        <v>0</v>
      </c>
      <c r="I11062" s="135" t="n">
        <f aca="false">$G11062*'Analyse capacite'!$C$9</f>
        <v>0</v>
      </c>
      <c r="J11062" s="135" t="n">
        <f aca="false">$G11062*'Analyse capacite'!$D$9</f>
        <v>0</v>
      </c>
      <c r="K11062" s="135" t="n">
        <f aca="false">$G11062*'Analyse capacite'!$E$9</f>
        <v>0</v>
      </c>
    </row>
    <row r="11063" customFormat="false" ht="15" hidden="false" customHeight="false" outlineLevel="0" collapsed="false">
      <c r="B11063" s="130" t="n">
        <v>2028</v>
      </c>
      <c r="C11063" s="131" t="s">
        <v>256</v>
      </c>
      <c r="D11063" s="132" t="n">
        <v>46785</v>
      </c>
      <c r="E11063" s="131" t="s">
        <v>25</v>
      </c>
      <c r="F11063" s="133" t="s">
        <v>11</v>
      </c>
      <c r="G11063" s="134" t="n">
        <f aca="false">LEN('Saisie programme'!$F$409)+SUMIFS('Vols additionnels'!$E$7:$E$66,'Vols additionnels'!$C$7:$C$66,$E11063,'Vols additionnels'!$D$7:$D$66,$F11063,'Vols additionnels'!$B$7:$B$66,$D11063)</f>
        <v>0</v>
      </c>
      <c r="H11063" s="135" t="n">
        <f aca="false">$G11063*'Analyse capacite'!$F$7</f>
        <v>0</v>
      </c>
      <c r="I11063" s="135" t="n">
        <f aca="false">$G11063*'Analyse capacite'!$C$7</f>
        <v>0</v>
      </c>
      <c r="J11063" s="135" t="n">
        <f aca="false">$G11063*'Analyse capacite'!$D$7</f>
        <v>0</v>
      </c>
      <c r="K11063" s="135" t="n">
        <f aca="false">$G11063*'Analyse capacite'!$E$7</f>
        <v>0</v>
      </c>
    </row>
    <row r="11064" customFormat="false" ht="15" hidden="false" customHeight="false" outlineLevel="0" collapsed="false">
      <c r="B11064" s="130" t="n">
        <v>2028</v>
      </c>
      <c r="C11064" s="131" t="s">
        <v>256</v>
      </c>
      <c r="D11064" s="132" t="n">
        <v>46785</v>
      </c>
      <c r="E11064" s="131" t="s">
        <v>25</v>
      </c>
      <c r="F11064" s="133" t="s">
        <v>19</v>
      </c>
      <c r="G11064" s="134" t="n">
        <f aca="false">LEN('Saisie programme'!$F$410)+SUMIFS('Vols additionnels'!$E$7:$E$66,'Vols additionnels'!$C$7:$C$66,$E11064,'Vols additionnels'!$D$7:$D$66,$F11064,'Vols additionnels'!$B$7:$B$66,$D11064)</f>
        <v>1</v>
      </c>
      <c r="H11064" s="135" t="n">
        <f aca="false">$G11064*'Analyse capacite'!$F$8</f>
        <v>262</v>
      </c>
      <c r="I11064" s="135" t="n">
        <f aca="false">$G11064*'Analyse capacite'!$C$8</f>
        <v>18</v>
      </c>
      <c r="J11064" s="135" t="n">
        <f aca="false">$G11064*'Analyse capacite'!$D$8</f>
        <v>0</v>
      </c>
      <c r="K11064" s="135" t="n">
        <f aca="false">$G11064*'Analyse capacite'!$E$8</f>
        <v>244</v>
      </c>
    </row>
    <row r="11065" customFormat="false" ht="15" hidden="false" customHeight="false" outlineLevel="0" collapsed="false">
      <c r="B11065" s="130" t="n">
        <v>2028</v>
      </c>
      <c r="C11065" s="131" t="s">
        <v>256</v>
      </c>
      <c r="D11065" s="132" t="n">
        <v>46785</v>
      </c>
      <c r="E11065" s="131" t="s">
        <v>25</v>
      </c>
      <c r="F11065" s="133" t="s">
        <v>24</v>
      </c>
      <c r="G11065" s="134" t="n">
        <f aca="false">LEN('Saisie programme'!$F$411)+SUMIFS('Vols additionnels'!$E$7:$E$66,'Vols additionnels'!$C$7:$C$66,$E11065,'Vols additionnels'!$D$7:$D$66,$F11065,'Vols additionnels'!$B$7:$B$66,$D11065)</f>
        <v>0</v>
      </c>
      <c r="H11065" s="135" t="n">
        <f aca="false">$G11065*'Analyse capacite'!$F$9</f>
        <v>0</v>
      </c>
      <c r="I11065" s="135" t="n">
        <f aca="false">$G11065*'Analyse capacite'!$C$9</f>
        <v>0</v>
      </c>
      <c r="J11065" s="135" t="n">
        <f aca="false">$G11065*'Analyse capacite'!$D$9</f>
        <v>0</v>
      </c>
      <c r="K11065" s="135" t="n">
        <f aca="false">$G11065*'Analyse capacite'!$E$9</f>
        <v>0</v>
      </c>
    </row>
    <row r="11066" customFormat="false" ht="15" hidden="false" customHeight="false" outlineLevel="0" collapsed="false">
      <c r="B11066" s="130" t="n">
        <v>2028</v>
      </c>
      <c r="C11066" s="131" t="s">
        <v>256</v>
      </c>
      <c r="D11066" s="132" t="n">
        <v>46785</v>
      </c>
      <c r="E11066" s="131" t="s">
        <v>36</v>
      </c>
      <c r="F11066" s="133" t="s">
        <v>11</v>
      </c>
      <c r="G11066" s="134" t="n">
        <f aca="false">LEN('Saisie programme'!$F$412)+SUMIFS('Vols additionnels'!$E$7:$E$66,'Vols additionnels'!$C$7:$C$66,$E11066,'Vols additionnels'!$D$7:$D$66,$F11066,'Vols additionnels'!$B$7:$B$66,$D11066)</f>
        <v>0</v>
      </c>
      <c r="H11066" s="135" t="n">
        <f aca="false">$G11066*'Analyse capacite'!$F$7</f>
        <v>0</v>
      </c>
      <c r="I11066" s="135" t="n">
        <f aca="false">$G11066*'Analyse capacite'!$C$7</f>
        <v>0</v>
      </c>
      <c r="J11066" s="135" t="n">
        <f aca="false">$G11066*'Analyse capacite'!$D$7</f>
        <v>0</v>
      </c>
      <c r="K11066" s="135" t="n">
        <f aca="false">$G11066*'Analyse capacite'!$E$7</f>
        <v>0</v>
      </c>
    </row>
    <row r="11067" customFormat="false" ht="15" hidden="false" customHeight="false" outlineLevel="0" collapsed="false">
      <c r="B11067" s="130" t="n">
        <v>2028</v>
      </c>
      <c r="C11067" s="131" t="s">
        <v>256</v>
      </c>
      <c r="D11067" s="132" t="n">
        <v>46785</v>
      </c>
      <c r="E11067" s="131" t="s">
        <v>36</v>
      </c>
      <c r="F11067" s="133" t="s">
        <v>19</v>
      </c>
      <c r="G11067" s="134" t="n">
        <f aca="false">LEN('Saisie programme'!$F$413)+SUMIFS('Vols additionnels'!$E$7:$E$66,'Vols additionnels'!$C$7:$C$66,$E11067,'Vols additionnels'!$D$7:$D$66,$F11067,'Vols additionnels'!$B$7:$B$66,$D11067)</f>
        <v>1</v>
      </c>
      <c r="H11067" s="135" t="n">
        <f aca="false">$G11067*'Analyse capacite'!$F$8</f>
        <v>262</v>
      </c>
      <c r="I11067" s="135" t="n">
        <f aca="false">$G11067*'Analyse capacite'!$C$8</f>
        <v>18</v>
      </c>
      <c r="J11067" s="135" t="n">
        <f aca="false">$G11067*'Analyse capacite'!$D$8</f>
        <v>0</v>
      </c>
      <c r="K11067" s="135" t="n">
        <f aca="false">$G11067*'Analyse capacite'!$E$8</f>
        <v>244</v>
      </c>
    </row>
    <row r="11068" customFormat="false" ht="15" hidden="false" customHeight="false" outlineLevel="0" collapsed="false">
      <c r="B11068" s="130" t="n">
        <v>2028</v>
      </c>
      <c r="C11068" s="131" t="s">
        <v>256</v>
      </c>
      <c r="D11068" s="132" t="n">
        <v>46785</v>
      </c>
      <c r="E11068" s="131" t="s">
        <v>36</v>
      </c>
      <c r="F11068" s="133" t="s">
        <v>24</v>
      </c>
      <c r="G11068" s="134" t="n">
        <f aca="false">LEN('Saisie programme'!$F$414)+SUMIFS('Vols additionnels'!$E$7:$E$66,'Vols additionnels'!$C$7:$C$66,$E11068,'Vols additionnels'!$D$7:$D$66,$F11068,'Vols additionnels'!$B$7:$B$66,$D11068)</f>
        <v>1</v>
      </c>
      <c r="H11068" s="135" t="n">
        <f aca="false">$G11068*'Analyse capacite'!$F$9</f>
        <v>174</v>
      </c>
      <c r="I11068" s="135" t="n">
        <f aca="false">$G11068*'Analyse capacite'!$C$9</f>
        <v>0</v>
      </c>
      <c r="J11068" s="135" t="n">
        <f aca="false">$G11068*'Analyse capacite'!$D$9</f>
        <v>12</v>
      </c>
      <c r="K11068" s="135" t="n">
        <f aca="false">$G11068*'Analyse capacite'!$E$9</f>
        <v>162</v>
      </c>
    </row>
    <row r="11069" customFormat="false" ht="15" hidden="false" customHeight="false" outlineLevel="0" collapsed="false">
      <c r="B11069" s="130" t="n">
        <v>2028</v>
      </c>
      <c r="C11069" s="131" t="s">
        <v>256</v>
      </c>
      <c r="D11069" s="132" t="n">
        <v>46785</v>
      </c>
      <c r="E11069" s="131" t="s">
        <v>40</v>
      </c>
      <c r="F11069" s="133" t="s">
        <v>11</v>
      </c>
      <c r="G11069" s="134" t="n">
        <f aca="false">LEN('Saisie programme'!$F$415)+SUMIFS('Vols additionnels'!$E$7:$E$66,'Vols additionnels'!$C$7:$C$66,$E11069,'Vols additionnels'!$D$7:$D$66,$F11069,'Vols additionnels'!$B$7:$B$66,$D11069)</f>
        <v>0</v>
      </c>
      <c r="H11069" s="135" t="n">
        <f aca="false">$G11069*'Analyse capacite'!$F$7</f>
        <v>0</v>
      </c>
      <c r="I11069" s="135" t="n">
        <f aca="false">$G11069*'Analyse capacite'!$C$7</f>
        <v>0</v>
      </c>
      <c r="J11069" s="135" t="n">
        <f aca="false">$G11069*'Analyse capacite'!$D$7</f>
        <v>0</v>
      </c>
      <c r="K11069" s="135" t="n">
        <f aca="false">$G11069*'Analyse capacite'!$E$7</f>
        <v>0</v>
      </c>
    </row>
    <row r="11070" customFormat="false" ht="15" hidden="false" customHeight="false" outlineLevel="0" collapsed="false">
      <c r="B11070" s="130" t="n">
        <v>2028</v>
      </c>
      <c r="C11070" s="131" t="s">
        <v>256</v>
      </c>
      <c r="D11070" s="132" t="n">
        <v>46785</v>
      </c>
      <c r="E11070" s="131" t="s">
        <v>40</v>
      </c>
      <c r="F11070" s="133" t="s">
        <v>19</v>
      </c>
      <c r="G11070" s="134" t="n">
        <f aca="false">LEN('Saisie programme'!$F$416)+SUMIFS('Vols additionnels'!$E$7:$E$66,'Vols additionnels'!$C$7:$C$66,$E11070,'Vols additionnels'!$D$7:$D$66,$F11070,'Vols additionnels'!$B$7:$B$66,$D11070)</f>
        <v>0</v>
      </c>
      <c r="H11070" s="135" t="n">
        <f aca="false">$G11070*'Analyse capacite'!$F$8</f>
        <v>0</v>
      </c>
      <c r="I11070" s="135" t="n">
        <f aca="false">$G11070*'Analyse capacite'!$C$8</f>
        <v>0</v>
      </c>
      <c r="J11070" s="135" t="n">
        <f aca="false">$G11070*'Analyse capacite'!$D$8</f>
        <v>0</v>
      </c>
      <c r="K11070" s="135" t="n">
        <f aca="false">$G11070*'Analyse capacite'!$E$8</f>
        <v>0</v>
      </c>
    </row>
    <row r="11071" customFormat="false" ht="15" hidden="false" customHeight="false" outlineLevel="0" collapsed="false">
      <c r="B11071" s="130" t="n">
        <v>2028</v>
      </c>
      <c r="C11071" s="131" t="s">
        <v>256</v>
      </c>
      <c r="D11071" s="132" t="n">
        <v>46785</v>
      </c>
      <c r="E11071" s="131" t="s">
        <v>40</v>
      </c>
      <c r="F11071" s="133" t="s">
        <v>24</v>
      </c>
      <c r="G11071" s="134" t="n">
        <f aca="false">LEN('Saisie programme'!$F$417)+SUMIFS('Vols additionnels'!$E$7:$E$66,'Vols additionnels'!$C$7:$C$66,$E11071,'Vols additionnels'!$D$7:$D$66,$F11071,'Vols additionnels'!$B$7:$B$66,$D11071)</f>
        <v>1</v>
      </c>
      <c r="H11071" s="135" t="n">
        <f aca="false">$G11071*'Analyse capacite'!$F$9</f>
        <v>174</v>
      </c>
      <c r="I11071" s="135" t="n">
        <f aca="false">$G11071*'Analyse capacite'!$C$9</f>
        <v>0</v>
      </c>
      <c r="J11071" s="135" t="n">
        <f aca="false">$G11071*'Analyse capacite'!$D$9</f>
        <v>12</v>
      </c>
      <c r="K11071" s="135" t="n">
        <f aca="false">$G11071*'Analyse capacite'!$E$9</f>
        <v>162</v>
      </c>
    </row>
    <row r="11072" customFormat="false" ht="15" hidden="false" customHeight="false" outlineLevel="0" collapsed="false">
      <c r="B11072" s="130" t="n">
        <v>2028</v>
      </c>
      <c r="C11072" s="131" t="s">
        <v>256</v>
      </c>
      <c r="D11072" s="132" t="n">
        <v>46785</v>
      </c>
      <c r="E11072" s="131" t="s">
        <v>14</v>
      </c>
      <c r="F11072" s="133" t="s">
        <v>11</v>
      </c>
      <c r="G11072" s="134" t="n">
        <f aca="false">LEN('Saisie programme'!$F$418)+SUMIFS('Vols additionnels'!$E$7:$E$66,'Vols additionnels'!$C$7:$C$66,$E11072,'Vols additionnels'!$D$7:$D$66,$F11072,'Vols additionnels'!$B$7:$B$66,$D11072)</f>
        <v>0</v>
      </c>
      <c r="H11072" s="135" t="n">
        <f aca="false">$G11072*'Analyse capacite'!$F$7</f>
        <v>0</v>
      </c>
      <c r="I11072" s="135" t="n">
        <f aca="false">$G11072*'Analyse capacite'!$C$7</f>
        <v>0</v>
      </c>
      <c r="J11072" s="135" t="n">
        <f aca="false">$G11072*'Analyse capacite'!$D$7</f>
        <v>0</v>
      </c>
      <c r="K11072" s="135" t="n">
        <f aca="false">$G11072*'Analyse capacite'!$E$7</f>
        <v>0</v>
      </c>
    </row>
    <row r="11073" customFormat="false" ht="15" hidden="false" customHeight="false" outlineLevel="0" collapsed="false">
      <c r="B11073" s="130" t="n">
        <v>2028</v>
      </c>
      <c r="C11073" s="131" t="s">
        <v>256</v>
      </c>
      <c r="D11073" s="132" t="n">
        <v>46785</v>
      </c>
      <c r="E11073" s="131" t="s">
        <v>14</v>
      </c>
      <c r="F11073" s="133" t="s">
        <v>19</v>
      </c>
      <c r="G11073" s="134" t="n">
        <f aca="false">LEN('Saisie programme'!$F$419)+SUMIFS('Vols additionnels'!$E$7:$E$66,'Vols additionnels'!$C$7:$C$66,$E11073,'Vols additionnels'!$D$7:$D$66,$F11073,'Vols additionnels'!$B$7:$B$66,$D11073)</f>
        <v>0</v>
      </c>
      <c r="H11073" s="135" t="n">
        <f aca="false">$G11073*'Analyse capacite'!$F$8</f>
        <v>0</v>
      </c>
      <c r="I11073" s="135" t="n">
        <f aca="false">$G11073*'Analyse capacite'!$C$8</f>
        <v>0</v>
      </c>
      <c r="J11073" s="135" t="n">
        <f aca="false">$G11073*'Analyse capacite'!$D$8</f>
        <v>0</v>
      </c>
      <c r="K11073" s="135" t="n">
        <f aca="false">$G11073*'Analyse capacite'!$E$8</f>
        <v>0</v>
      </c>
    </row>
    <row r="11074" customFormat="false" ht="15" hidden="false" customHeight="false" outlineLevel="0" collapsed="false">
      <c r="B11074" s="130" t="n">
        <v>2028</v>
      </c>
      <c r="C11074" s="131" t="s">
        <v>256</v>
      </c>
      <c r="D11074" s="132" t="n">
        <v>46785</v>
      </c>
      <c r="E11074" s="131" t="s">
        <v>14</v>
      </c>
      <c r="F11074" s="133" t="s">
        <v>24</v>
      </c>
      <c r="G11074" s="134" t="n">
        <f aca="false">LEN('Saisie programme'!$F$420)+SUMIFS('Vols additionnels'!$E$7:$E$66,'Vols additionnels'!$C$7:$C$66,$E11074,'Vols additionnels'!$D$7:$D$66,$F11074,'Vols additionnels'!$B$7:$B$66,$D11074)</f>
        <v>0</v>
      </c>
      <c r="H11074" s="135" t="n">
        <f aca="false">$G11074*'Analyse capacite'!$F$9</f>
        <v>0</v>
      </c>
      <c r="I11074" s="135" t="n">
        <f aca="false">$G11074*'Analyse capacite'!$C$9</f>
        <v>0</v>
      </c>
      <c r="J11074" s="135" t="n">
        <f aca="false">$G11074*'Analyse capacite'!$D$9</f>
        <v>0</v>
      </c>
      <c r="K11074" s="135" t="n">
        <f aca="false">$G11074*'Analyse capacite'!$E$9</f>
        <v>0</v>
      </c>
    </row>
    <row r="11075" customFormat="false" ht="15" hidden="false" customHeight="false" outlineLevel="0" collapsed="false">
      <c r="B11075" s="130" t="n">
        <v>2028</v>
      </c>
      <c r="C11075" s="131" t="s">
        <v>256</v>
      </c>
      <c r="D11075" s="132" t="n">
        <v>46785</v>
      </c>
      <c r="E11075" s="131" t="s">
        <v>46</v>
      </c>
      <c r="F11075" s="133" t="s">
        <v>11</v>
      </c>
      <c r="G11075" s="134" t="n">
        <f aca="false">LEN('Saisie programme'!$F$421)+SUMIFS('Vols additionnels'!$E$7:$E$66,'Vols additionnels'!$C$7:$C$66,$E11075,'Vols additionnels'!$D$7:$D$66,$F11075,'Vols additionnels'!$B$7:$B$66,$D11075)</f>
        <v>0</v>
      </c>
      <c r="H11075" s="135" t="n">
        <f aca="false">$G11075*'Analyse capacite'!$F$7</f>
        <v>0</v>
      </c>
      <c r="I11075" s="135" t="n">
        <f aca="false">$G11075*'Analyse capacite'!$C$7</f>
        <v>0</v>
      </c>
      <c r="J11075" s="135" t="n">
        <f aca="false">$G11075*'Analyse capacite'!$D$7</f>
        <v>0</v>
      </c>
      <c r="K11075" s="135" t="n">
        <f aca="false">$G11075*'Analyse capacite'!$E$7</f>
        <v>0</v>
      </c>
    </row>
    <row r="11076" customFormat="false" ht="15" hidden="false" customHeight="false" outlineLevel="0" collapsed="false">
      <c r="B11076" s="130" t="n">
        <v>2028</v>
      </c>
      <c r="C11076" s="131" t="s">
        <v>256</v>
      </c>
      <c r="D11076" s="132" t="n">
        <v>46785</v>
      </c>
      <c r="E11076" s="131" t="s">
        <v>46</v>
      </c>
      <c r="F11076" s="133" t="s">
        <v>19</v>
      </c>
      <c r="G11076" s="134" t="n">
        <f aca="false">LEN('Saisie programme'!$F$422)+SUMIFS('Vols additionnels'!$E$7:$E$66,'Vols additionnels'!$C$7:$C$66,$E11076,'Vols additionnels'!$D$7:$D$66,$F11076,'Vols additionnels'!$B$7:$B$66,$D11076)</f>
        <v>0</v>
      </c>
      <c r="H11076" s="135" t="n">
        <f aca="false">$G11076*'Analyse capacite'!$F$8</f>
        <v>0</v>
      </c>
      <c r="I11076" s="135" t="n">
        <f aca="false">$G11076*'Analyse capacite'!$C$8</f>
        <v>0</v>
      </c>
      <c r="J11076" s="135" t="n">
        <f aca="false">$G11076*'Analyse capacite'!$D$8</f>
        <v>0</v>
      </c>
      <c r="K11076" s="135" t="n">
        <f aca="false">$G11076*'Analyse capacite'!$E$8</f>
        <v>0</v>
      </c>
    </row>
    <row r="11077" customFormat="false" ht="15" hidden="false" customHeight="false" outlineLevel="0" collapsed="false">
      <c r="B11077" s="130" t="n">
        <v>2028</v>
      </c>
      <c r="C11077" s="131" t="s">
        <v>256</v>
      </c>
      <c r="D11077" s="132" t="n">
        <v>46785</v>
      </c>
      <c r="E11077" s="131" t="s">
        <v>46</v>
      </c>
      <c r="F11077" s="133" t="s">
        <v>24</v>
      </c>
      <c r="G11077" s="134" t="n">
        <f aca="false">LEN('Saisie programme'!$F$423)+SUMIFS('Vols additionnels'!$E$7:$E$66,'Vols additionnels'!$C$7:$C$66,$E11077,'Vols additionnels'!$D$7:$D$66,$F11077,'Vols additionnels'!$B$7:$B$66,$D11077)</f>
        <v>0</v>
      </c>
      <c r="H11077" s="135" t="n">
        <f aca="false">$G11077*'Analyse capacite'!$F$9</f>
        <v>0</v>
      </c>
      <c r="I11077" s="135" t="n">
        <f aca="false">$G11077*'Analyse capacite'!$C$9</f>
        <v>0</v>
      </c>
      <c r="J11077" s="135" t="n">
        <f aca="false">$G11077*'Analyse capacite'!$D$9</f>
        <v>0</v>
      </c>
      <c r="K11077" s="135" t="n">
        <f aca="false">$G11077*'Analyse capacite'!$E$9</f>
        <v>0</v>
      </c>
    </row>
    <row r="11078" customFormat="false" ht="15" hidden="false" customHeight="false" outlineLevel="0" collapsed="false">
      <c r="B11078" s="130" t="n">
        <v>2028</v>
      </c>
      <c r="C11078" s="131" t="s">
        <v>256</v>
      </c>
      <c r="D11078" s="132" t="n">
        <v>46785</v>
      </c>
      <c r="E11078" s="131" t="s">
        <v>49</v>
      </c>
      <c r="F11078" s="133" t="s">
        <v>11</v>
      </c>
      <c r="G11078" s="134" t="n">
        <f aca="false">LEN('Saisie programme'!$F$424)+SUMIFS('Vols additionnels'!$E$7:$E$66,'Vols additionnels'!$C$7:$C$66,$E11078,'Vols additionnels'!$D$7:$D$66,$F11078,'Vols additionnels'!$B$7:$B$66,$D11078)</f>
        <v>0</v>
      </c>
      <c r="H11078" s="135" t="n">
        <f aca="false">$G11078*'Analyse capacite'!$F$7</f>
        <v>0</v>
      </c>
      <c r="I11078" s="135" t="n">
        <f aca="false">$G11078*'Analyse capacite'!$C$7</f>
        <v>0</v>
      </c>
      <c r="J11078" s="135" t="n">
        <f aca="false">$G11078*'Analyse capacite'!$D$7</f>
        <v>0</v>
      </c>
      <c r="K11078" s="135" t="n">
        <f aca="false">$G11078*'Analyse capacite'!$E$7</f>
        <v>0</v>
      </c>
    </row>
    <row r="11079" customFormat="false" ht="15" hidden="false" customHeight="false" outlineLevel="0" collapsed="false">
      <c r="B11079" s="130" t="n">
        <v>2028</v>
      </c>
      <c r="C11079" s="131" t="s">
        <v>256</v>
      </c>
      <c r="D11079" s="132" t="n">
        <v>46785</v>
      </c>
      <c r="E11079" s="131" t="s">
        <v>49</v>
      </c>
      <c r="F11079" s="133" t="s">
        <v>19</v>
      </c>
      <c r="G11079" s="134" t="n">
        <f aca="false">LEN('Saisie programme'!$F$425)+SUMIFS('Vols additionnels'!$E$7:$E$66,'Vols additionnels'!$C$7:$C$66,$E11079,'Vols additionnels'!$D$7:$D$66,$F11079,'Vols additionnels'!$B$7:$B$66,$D11079)</f>
        <v>0</v>
      </c>
      <c r="H11079" s="135" t="n">
        <f aca="false">$G11079*'Analyse capacite'!$F$8</f>
        <v>0</v>
      </c>
      <c r="I11079" s="135" t="n">
        <f aca="false">$G11079*'Analyse capacite'!$C$8</f>
        <v>0</v>
      </c>
      <c r="J11079" s="135" t="n">
        <f aca="false">$G11079*'Analyse capacite'!$D$8</f>
        <v>0</v>
      </c>
      <c r="K11079" s="135" t="n">
        <f aca="false">$G11079*'Analyse capacite'!$E$8</f>
        <v>0</v>
      </c>
    </row>
    <row r="11080" customFormat="false" ht="15" hidden="false" customHeight="false" outlineLevel="0" collapsed="false">
      <c r="B11080" s="130" t="n">
        <v>2028</v>
      </c>
      <c r="C11080" s="131" t="s">
        <v>256</v>
      </c>
      <c r="D11080" s="132" t="n">
        <v>46785</v>
      </c>
      <c r="E11080" s="131" t="s">
        <v>49</v>
      </c>
      <c r="F11080" s="133" t="s">
        <v>24</v>
      </c>
      <c r="G11080" s="134" t="n">
        <f aca="false">LEN('Saisie programme'!$F$426)+SUMIFS('Vols additionnels'!$E$7:$E$66,'Vols additionnels'!$C$7:$C$66,$E11080,'Vols additionnels'!$D$7:$D$66,$F11080,'Vols additionnels'!$B$7:$B$66,$D11080)</f>
        <v>0</v>
      </c>
      <c r="H11080" s="135" t="n">
        <f aca="false">$G11080*'Analyse capacite'!$F$9</f>
        <v>0</v>
      </c>
      <c r="I11080" s="135" t="n">
        <f aca="false">$G11080*'Analyse capacite'!$C$9</f>
        <v>0</v>
      </c>
      <c r="J11080" s="135" t="n">
        <f aca="false">$G11080*'Analyse capacite'!$D$9</f>
        <v>0</v>
      </c>
      <c r="K11080" s="135" t="n">
        <f aca="false">$G11080*'Analyse capacite'!$E$9</f>
        <v>0</v>
      </c>
    </row>
    <row r="11081" customFormat="false" ht="15" hidden="false" customHeight="false" outlineLevel="0" collapsed="false">
      <c r="B11081" s="130" t="n">
        <v>2028</v>
      </c>
      <c r="C11081" s="131" t="s">
        <v>256</v>
      </c>
      <c r="D11081" s="132" t="n">
        <v>46785</v>
      </c>
      <c r="E11081" s="131" t="s">
        <v>53</v>
      </c>
      <c r="F11081" s="133" t="s">
        <v>11</v>
      </c>
      <c r="G11081" s="134" t="n">
        <f aca="false">LEN('Saisie programme'!$F$427)+SUMIFS('Vols additionnels'!$E$7:$E$66,'Vols additionnels'!$C$7:$C$66,$E11081,'Vols additionnels'!$D$7:$D$66,$F11081,'Vols additionnels'!$B$7:$B$66,$D11081)</f>
        <v>0</v>
      </c>
      <c r="H11081" s="135" t="n">
        <f aca="false">$G11081*'Analyse capacite'!$F$7</f>
        <v>0</v>
      </c>
      <c r="I11081" s="135" t="n">
        <f aca="false">$G11081*'Analyse capacite'!$C$7</f>
        <v>0</v>
      </c>
      <c r="J11081" s="135" t="n">
        <f aca="false">$G11081*'Analyse capacite'!$D$7</f>
        <v>0</v>
      </c>
      <c r="K11081" s="135" t="n">
        <f aca="false">$G11081*'Analyse capacite'!$E$7</f>
        <v>0</v>
      </c>
    </row>
    <row r="11082" customFormat="false" ht="15" hidden="false" customHeight="false" outlineLevel="0" collapsed="false">
      <c r="B11082" s="130" t="n">
        <v>2028</v>
      </c>
      <c r="C11082" s="131" t="s">
        <v>256</v>
      </c>
      <c r="D11082" s="132" t="n">
        <v>46785</v>
      </c>
      <c r="E11082" s="131" t="s">
        <v>53</v>
      </c>
      <c r="F11082" s="133" t="s">
        <v>19</v>
      </c>
      <c r="G11082" s="134" t="n">
        <f aca="false">LEN('Saisie programme'!$F$428)+SUMIFS('Vols additionnels'!$E$7:$E$66,'Vols additionnels'!$C$7:$C$66,$E11082,'Vols additionnels'!$D$7:$D$66,$F11082,'Vols additionnels'!$B$7:$B$66,$D11082)</f>
        <v>0</v>
      </c>
      <c r="H11082" s="135" t="n">
        <f aca="false">$G11082*'Analyse capacite'!$F$8</f>
        <v>0</v>
      </c>
      <c r="I11082" s="135" t="n">
        <f aca="false">$G11082*'Analyse capacite'!$C$8</f>
        <v>0</v>
      </c>
      <c r="J11082" s="135" t="n">
        <f aca="false">$G11082*'Analyse capacite'!$D$8</f>
        <v>0</v>
      </c>
      <c r="K11082" s="135" t="n">
        <f aca="false">$G11082*'Analyse capacite'!$E$8</f>
        <v>0</v>
      </c>
    </row>
    <row r="11083" customFormat="false" ht="15" hidden="false" customHeight="false" outlineLevel="0" collapsed="false">
      <c r="B11083" s="130" t="n">
        <v>2028</v>
      </c>
      <c r="C11083" s="131" t="s">
        <v>256</v>
      </c>
      <c r="D11083" s="132" t="n">
        <v>46785</v>
      </c>
      <c r="E11083" s="131" t="s">
        <v>53</v>
      </c>
      <c r="F11083" s="133" t="s">
        <v>24</v>
      </c>
      <c r="G11083" s="134" t="n">
        <f aca="false">LEN('Saisie programme'!$F$429)+SUMIFS('Vols additionnels'!$E$7:$E$66,'Vols additionnels'!$C$7:$C$66,$E11083,'Vols additionnels'!$D$7:$D$66,$F11083,'Vols additionnels'!$B$7:$B$66,$D11083)</f>
        <v>0</v>
      </c>
      <c r="H11083" s="135" t="n">
        <f aca="false">$G11083*'Analyse capacite'!$F$9</f>
        <v>0</v>
      </c>
      <c r="I11083" s="135" t="n">
        <f aca="false">$G11083*'Analyse capacite'!$C$9</f>
        <v>0</v>
      </c>
      <c r="J11083" s="135" t="n">
        <f aca="false">$G11083*'Analyse capacite'!$D$9</f>
        <v>0</v>
      </c>
      <c r="K11083" s="135" t="n">
        <f aca="false">$G11083*'Analyse capacite'!$E$9</f>
        <v>0</v>
      </c>
    </row>
    <row r="11084" customFormat="false" ht="15" hidden="false" customHeight="false" outlineLevel="0" collapsed="false">
      <c r="B11084" s="130" t="n">
        <v>2028</v>
      </c>
      <c r="C11084" s="131" t="s">
        <v>256</v>
      </c>
      <c r="D11084" s="132" t="n">
        <v>46785</v>
      </c>
      <c r="E11084" s="131" t="s">
        <v>56</v>
      </c>
      <c r="F11084" s="133" t="s">
        <v>11</v>
      </c>
      <c r="G11084" s="134" t="n">
        <f aca="false">LEN('Saisie programme'!$F$430)+SUMIFS('Vols additionnels'!$E$7:$E$66,'Vols additionnels'!$C$7:$C$66,$E11084,'Vols additionnels'!$D$7:$D$66,$F11084,'Vols additionnels'!$B$7:$B$66,$D11084)</f>
        <v>0</v>
      </c>
      <c r="H11084" s="135" t="n">
        <f aca="false">$G11084*'Analyse capacite'!$F$7</f>
        <v>0</v>
      </c>
      <c r="I11084" s="135" t="n">
        <f aca="false">$G11084*'Analyse capacite'!$C$7</f>
        <v>0</v>
      </c>
      <c r="J11084" s="135" t="n">
        <f aca="false">$G11084*'Analyse capacite'!$D$7</f>
        <v>0</v>
      </c>
      <c r="K11084" s="135" t="n">
        <f aca="false">$G11084*'Analyse capacite'!$E$7</f>
        <v>0</v>
      </c>
    </row>
    <row r="11085" customFormat="false" ht="15" hidden="false" customHeight="false" outlineLevel="0" collapsed="false">
      <c r="B11085" s="130" t="n">
        <v>2028</v>
      </c>
      <c r="C11085" s="131" t="s">
        <v>256</v>
      </c>
      <c r="D11085" s="132" t="n">
        <v>46785</v>
      </c>
      <c r="E11085" s="131" t="s">
        <v>56</v>
      </c>
      <c r="F11085" s="133" t="s">
        <v>19</v>
      </c>
      <c r="G11085" s="134" t="n">
        <f aca="false">LEN('Saisie programme'!$F$431)+SUMIFS('Vols additionnels'!$E$7:$E$66,'Vols additionnels'!$C$7:$C$66,$E11085,'Vols additionnels'!$D$7:$D$66,$F11085,'Vols additionnels'!$B$7:$B$66,$D11085)</f>
        <v>0</v>
      </c>
      <c r="H11085" s="135" t="n">
        <f aca="false">$G11085*'Analyse capacite'!$F$8</f>
        <v>0</v>
      </c>
      <c r="I11085" s="135" t="n">
        <f aca="false">$G11085*'Analyse capacite'!$C$8</f>
        <v>0</v>
      </c>
      <c r="J11085" s="135" t="n">
        <f aca="false">$G11085*'Analyse capacite'!$D$8</f>
        <v>0</v>
      </c>
      <c r="K11085" s="135" t="n">
        <f aca="false">$G11085*'Analyse capacite'!$E$8</f>
        <v>0</v>
      </c>
    </row>
    <row r="11086" customFormat="false" ht="15" hidden="false" customHeight="false" outlineLevel="0" collapsed="false">
      <c r="B11086" s="130" t="n">
        <v>2028</v>
      </c>
      <c r="C11086" s="131" t="s">
        <v>256</v>
      </c>
      <c r="D11086" s="132" t="n">
        <v>46785</v>
      </c>
      <c r="E11086" s="131" t="s">
        <v>56</v>
      </c>
      <c r="F11086" s="133" t="s">
        <v>24</v>
      </c>
      <c r="G11086" s="134" t="n">
        <f aca="false">LEN('Saisie programme'!$F$432)+SUMIFS('Vols additionnels'!$E$7:$E$66,'Vols additionnels'!$C$7:$C$66,$E11086,'Vols additionnels'!$D$7:$D$66,$F11086,'Vols additionnels'!$B$7:$B$66,$D11086)</f>
        <v>0</v>
      </c>
      <c r="H11086" s="135" t="n">
        <f aca="false">$G11086*'Analyse capacite'!$F$9</f>
        <v>0</v>
      </c>
      <c r="I11086" s="135" t="n">
        <f aca="false">$G11086*'Analyse capacite'!$C$9</f>
        <v>0</v>
      </c>
      <c r="J11086" s="135" t="n">
        <f aca="false">$G11086*'Analyse capacite'!$D$9</f>
        <v>0</v>
      </c>
      <c r="K11086" s="135" t="n">
        <f aca="false">$G11086*'Analyse capacite'!$E$9</f>
        <v>0</v>
      </c>
    </row>
    <row r="11087" customFormat="false" ht="15" hidden="false" customHeight="false" outlineLevel="0" collapsed="false">
      <c r="B11087" s="130" t="n">
        <v>2028</v>
      </c>
      <c r="C11087" s="131" t="s">
        <v>256</v>
      </c>
      <c r="D11087" s="132" t="n">
        <v>46785</v>
      </c>
      <c r="E11087" s="131" t="s">
        <v>59</v>
      </c>
      <c r="F11087" s="133" t="s">
        <v>11</v>
      </c>
      <c r="G11087" s="134" t="n">
        <f aca="false">LEN('Saisie programme'!$F$433)+SUMIFS('Vols additionnels'!$E$7:$E$66,'Vols additionnels'!$C$7:$C$66,$E11087,'Vols additionnels'!$D$7:$D$66,$F11087,'Vols additionnels'!$B$7:$B$66,$D11087)</f>
        <v>0</v>
      </c>
      <c r="H11087" s="135" t="n">
        <f aca="false">$G11087*'Analyse capacite'!$F$7</f>
        <v>0</v>
      </c>
      <c r="I11087" s="135" t="n">
        <f aca="false">$G11087*'Analyse capacite'!$C$7</f>
        <v>0</v>
      </c>
      <c r="J11087" s="135" t="n">
        <f aca="false">$G11087*'Analyse capacite'!$D$7</f>
        <v>0</v>
      </c>
      <c r="K11087" s="135" t="n">
        <f aca="false">$G11087*'Analyse capacite'!$E$7</f>
        <v>0</v>
      </c>
    </row>
    <row r="11088" customFormat="false" ht="15" hidden="false" customHeight="false" outlineLevel="0" collapsed="false">
      <c r="B11088" s="130" t="n">
        <v>2028</v>
      </c>
      <c r="C11088" s="131" t="s">
        <v>256</v>
      </c>
      <c r="D11088" s="132" t="n">
        <v>46785</v>
      </c>
      <c r="E11088" s="131" t="s">
        <v>59</v>
      </c>
      <c r="F11088" s="133" t="s">
        <v>19</v>
      </c>
      <c r="G11088" s="134" t="n">
        <f aca="false">LEN('Saisie programme'!$F$434)+SUMIFS('Vols additionnels'!$E$7:$E$66,'Vols additionnels'!$C$7:$C$66,$E11088,'Vols additionnels'!$D$7:$D$66,$F11088,'Vols additionnels'!$B$7:$B$66,$D11088)</f>
        <v>0</v>
      </c>
      <c r="H11088" s="135" t="n">
        <f aca="false">$G11088*'Analyse capacite'!$F$8</f>
        <v>0</v>
      </c>
      <c r="I11088" s="135" t="n">
        <f aca="false">$G11088*'Analyse capacite'!$C$8</f>
        <v>0</v>
      </c>
      <c r="J11088" s="135" t="n">
        <f aca="false">$G11088*'Analyse capacite'!$D$8</f>
        <v>0</v>
      </c>
      <c r="K11088" s="135" t="n">
        <f aca="false">$G11088*'Analyse capacite'!$E$8</f>
        <v>0</v>
      </c>
    </row>
    <row r="11089" customFormat="false" ht="15" hidden="false" customHeight="false" outlineLevel="0" collapsed="false">
      <c r="B11089" s="130" t="n">
        <v>2028</v>
      </c>
      <c r="C11089" s="131" t="s">
        <v>256</v>
      </c>
      <c r="D11089" s="132" t="n">
        <v>46785</v>
      </c>
      <c r="E11089" s="131" t="s">
        <v>59</v>
      </c>
      <c r="F11089" s="133" t="s">
        <v>24</v>
      </c>
      <c r="G11089" s="134" t="n">
        <f aca="false">LEN('Saisie programme'!$F$435)+SUMIFS('Vols additionnels'!$E$7:$E$66,'Vols additionnels'!$C$7:$C$66,$E11089,'Vols additionnels'!$D$7:$D$66,$F11089,'Vols additionnels'!$B$7:$B$66,$D11089)</f>
        <v>1</v>
      </c>
      <c r="H11089" s="135" t="n">
        <f aca="false">$G11089*'Analyse capacite'!$F$9</f>
        <v>174</v>
      </c>
      <c r="I11089" s="135" t="n">
        <f aca="false">$G11089*'Analyse capacite'!$C$9</f>
        <v>0</v>
      </c>
      <c r="J11089" s="135" t="n">
        <f aca="false">$G11089*'Analyse capacite'!$D$9</f>
        <v>12</v>
      </c>
      <c r="K11089" s="135" t="n">
        <f aca="false">$G11089*'Analyse capacite'!$E$9</f>
        <v>162</v>
      </c>
    </row>
    <row r="11090" customFormat="false" ht="15" hidden="false" customHeight="false" outlineLevel="0" collapsed="false">
      <c r="B11090" s="130" t="n">
        <v>2028</v>
      </c>
      <c r="C11090" s="131" t="s">
        <v>256</v>
      </c>
      <c r="D11090" s="132" t="n">
        <v>46785</v>
      </c>
      <c r="E11090" s="131" t="s">
        <v>62</v>
      </c>
      <c r="F11090" s="133" t="s">
        <v>11</v>
      </c>
      <c r="G11090" s="134" t="n">
        <f aca="false">LEN('Saisie programme'!$F$436)+SUMIFS('Vols additionnels'!$E$7:$E$66,'Vols additionnels'!$C$7:$C$66,$E11090,'Vols additionnels'!$D$7:$D$66,$F11090,'Vols additionnels'!$B$7:$B$66,$D11090)</f>
        <v>0</v>
      </c>
      <c r="H11090" s="135" t="n">
        <f aca="false">$G11090*'Analyse capacite'!$F$7</f>
        <v>0</v>
      </c>
      <c r="I11090" s="135" t="n">
        <f aca="false">$G11090*'Analyse capacite'!$C$7</f>
        <v>0</v>
      </c>
      <c r="J11090" s="135" t="n">
        <f aca="false">$G11090*'Analyse capacite'!$D$7</f>
        <v>0</v>
      </c>
      <c r="K11090" s="135" t="n">
        <f aca="false">$G11090*'Analyse capacite'!$E$7</f>
        <v>0</v>
      </c>
    </row>
    <row r="11091" customFormat="false" ht="15" hidden="false" customHeight="false" outlineLevel="0" collapsed="false">
      <c r="B11091" s="130" t="n">
        <v>2028</v>
      </c>
      <c r="C11091" s="131" t="s">
        <v>256</v>
      </c>
      <c r="D11091" s="132" t="n">
        <v>46785</v>
      </c>
      <c r="E11091" s="131" t="s">
        <v>62</v>
      </c>
      <c r="F11091" s="133" t="s">
        <v>19</v>
      </c>
      <c r="G11091" s="134" t="n">
        <f aca="false">LEN('Saisie programme'!$F$437)+SUMIFS('Vols additionnels'!$E$7:$E$66,'Vols additionnels'!$C$7:$C$66,$E11091,'Vols additionnels'!$D$7:$D$66,$F11091,'Vols additionnels'!$B$7:$B$66,$D11091)</f>
        <v>0</v>
      </c>
      <c r="H11091" s="135" t="n">
        <f aca="false">$G11091*'Analyse capacite'!$F$8</f>
        <v>0</v>
      </c>
      <c r="I11091" s="135" t="n">
        <f aca="false">$G11091*'Analyse capacite'!$C$8</f>
        <v>0</v>
      </c>
      <c r="J11091" s="135" t="n">
        <f aca="false">$G11091*'Analyse capacite'!$D$8</f>
        <v>0</v>
      </c>
      <c r="K11091" s="135" t="n">
        <f aca="false">$G11091*'Analyse capacite'!$E$8</f>
        <v>0</v>
      </c>
    </row>
    <row r="11092" customFormat="false" ht="15" hidden="false" customHeight="false" outlineLevel="0" collapsed="false">
      <c r="B11092" s="130" t="n">
        <v>2028</v>
      </c>
      <c r="C11092" s="131" t="s">
        <v>256</v>
      </c>
      <c r="D11092" s="132" t="n">
        <v>46785</v>
      </c>
      <c r="E11092" s="131" t="s">
        <v>62</v>
      </c>
      <c r="F11092" s="133" t="s">
        <v>24</v>
      </c>
      <c r="G11092" s="134" t="n">
        <f aca="false">LEN('Saisie programme'!$F$438)+SUMIFS('Vols additionnels'!$E$7:$E$66,'Vols additionnels'!$C$7:$C$66,$E11092,'Vols additionnels'!$D$7:$D$66,$F11092,'Vols additionnels'!$B$7:$B$66,$D11092)</f>
        <v>1</v>
      </c>
      <c r="H11092" s="135" t="n">
        <f aca="false">$G11092*'Analyse capacite'!$F$9</f>
        <v>174</v>
      </c>
      <c r="I11092" s="135" t="n">
        <f aca="false">$G11092*'Analyse capacite'!$C$9</f>
        <v>0</v>
      </c>
      <c r="J11092" s="135" t="n">
        <f aca="false">$G11092*'Analyse capacite'!$D$9</f>
        <v>12</v>
      </c>
      <c r="K11092" s="135" t="n">
        <f aca="false">$G11092*'Analyse capacite'!$E$9</f>
        <v>162</v>
      </c>
    </row>
    <row r="11093" customFormat="false" ht="15" hidden="false" customHeight="false" outlineLevel="0" collapsed="false">
      <c r="B11093" s="130" t="n">
        <v>2028</v>
      </c>
      <c r="C11093" s="131" t="s">
        <v>256</v>
      </c>
      <c r="D11093" s="132" t="n">
        <v>46786</v>
      </c>
      <c r="E11093" s="131" t="s">
        <v>12</v>
      </c>
      <c r="F11093" s="133" t="s">
        <v>11</v>
      </c>
      <c r="G11093" s="134" t="n">
        <f aca="false">LEN('Saisie programme'!$G$403)+SUMIFS('Vols additionnels'!$E$7:$E$66,'Vols additionnels'!$C$7:$C$66,$E11093,'Vols additionnels'!$D$7:$D$66,$F11093,'Vols additionnels'!$B$7:$B$66,$D11093)</f>
        <v>1</v>
      </c>
      <c r="H11093" s="135" t="n">
        <f aca="false">$G11093*'Analyse capacite'!$F$7</f>
        <v>438</v>
      </c>
      <c r="I11093" s="135" t="n">
        <f aca="false">$G11093*'Analyse capacite'!$C$7</f>
        <v>14</v>
      </c>
      <c r="J11093" s="135" t="n">
        <f aca="false">$G11093*'Analyse capacite'!$D$7</f>
        <v>40</v>
      </c>
      <c r="K11093" s="135" t="n">
        <f aca="false">$G11093*'Analyse capacite'!$E$7</f>
        <v>384</v>
      </c>
    </row>
    <row r="11094" customFormat="false" ht="15" hidden="false" customHeight="false" outlineLevel="0" collapsed="false">
      <c r="B11094" s="130" t="n">
        <v>2028</v>
      </c>
      <c r="C11094" s="131" t="s">
        <v>256</v>
      </c>
      <c r="D11094" s="132" t="n">
        <v>46786</v>
      </c>
      <c r="E11094" s="131" t="s">
        <v>12</v>
      </c>
      <c r="F11094" s="133" t="s">
        <v>19</v>
      </c>
      <c r="G11094" s="134" t="n">
        <f aca="false">LEN('Saisie programme'!$G$404)+SUMIFS('Vols additionnels'!$E$7:$E$66,'Vols additionnels'!$C$7:$C$66,$E11094,'Vols additionnels'!$D$7:$D$66,$F11094,'Vols additionnels'!$B$7:$B$66,$D11094)</f>
        <v>0</v>
      </c>
      <c r="H11094" s="135" t="n">
        <f aca="false">$G11094*'Analyse capacite'!$F$8</f>
        <v>0</v>
      </c>
      <c r="I11094" s="135" t="n">
        <f aca="false">$G11094*'Analyse capacite'!$C$8</f>
        <v>0</v>
      </c>
      <c r="J11094" s="135" t="n">
        <f aca="false">$G11094*'Analyse capacite'!$D$8</f>
        <v>0</v>
      </c>
      <c r="K11094" s="135" t="n">
        <f aca="false">$G11094*'Analyse capacite'!$E$8</f>
        <v>0</v>
      </c>
    </row>
    <row r="11095" customFormat="false" ht="15" hidden="false" customHeight="false" outlineLevel="0" collapsed="false">
      <c r="B11095" s="130" t="n">
        <v>2028</v>
      </c>
      <c r="C11095" s="131" t="s">
        <v>256</v>
      </c>
      <c r="D11095" s="132" t="n">
        <v>46786</v>
      </c>
      <c r="E11095" s="131" t="s">
        <v>12</v>
      </c>
      <c r="F11095" s="133" t="s">
        <v>24</v>
      </c>
      <c r="G11095" s="134" t="n">
        <f aca="false">LEN('Saisie programme'!$G$405)+SUMIFS('Vols additionnels'!$E$7:$E$66,'Vols additionnels'!$C$7:$C$66,$E11095,'Vols additionnels'!$D$7:$D$66,$F11095,'Vols additionnels'!$B$7:$B$66,$D11095)</f>
        <v>0</v>
      </c>
      <c r="H11095" s="135" t="n">
        <f aca="false">$G11095*'Analyse capacite'!$F$9</f>
        <v>0</v>
      </c>
      <c r="I11095" s="135" t="n">
        <f aca="false">$G11095*'Analyse capacite'!$C$9</f>
        <v>0</v>
      </c>
      <c r="J11095" s="135" t="n">
        <f aca="false">$G11095*'Analyse capacite'!$D$9</f>
        <v>0</v>
      </c>
      <c r="K11095" s="135" t="n">
        <f aca="false">$G11095*'Analyse capacite'!$E$9</f>
        <v>0</v>
      </c>
    </row>
    <row r="11096" customFormat="false" ht="15" hidden="false" customHeight="false" outlineLevel="0" collapsed="false">
      <c r="B11096" s="130" t="n">
        <v>2028</v>
      </c>
      <c r="C11096" s="131" t="s">
        <v>256</v>
      </c>
      <c r="D11096" s="132" t="n">
        <v>46786</v>
      </c>
      <c r="E11096" s="131" t="s">
        <v>20</v>
      </c>
      <c r="F11096" s="133" t="s">
        <v>11</v>
      </c>
      <c r="G11096" s="134" t="n">
        <f aca="false">LEN('Saisie programme'!$G$406)+SUMIFS('Vols additionnels'!$E$7:$E$66,'Vols additionnels'!$C$7:$C$66,$E11096,'Vols additionnels'!$D$7:$D$66,$F11096,'Vols additionnels'!$B$7:$B$66,$D11096)</f>
        <v>0</v>
      </c>
      <c r="H11096" s="135" t="n">
        <f aca="false">$G11096*'Analyse capacite'!$F$7</f>
        <v>0</v>
      </c>
      <c r="I11096" s="135" t="n">
        <f aca="false">$G11096*'Analyse capacite'!$C$7</f>
        <v>0</v>
      </c>
      <c r="J11096" s="135" t="n">
        <f aca="false">$G11096*'Analyse capacite'!$D$7</f>
        <v>0</v>
      </c>
      <c r="K11096" s="135" t="n">
        <f aca="false">$G11096*'Analyse capacite'!$E$7</f>
        <v>0</v>
      </c>
    </row>
    <row r="11097" customFormat="false" ht="15" hidden="false" customHeight="false" outlineLevel="0" collapsed="false">
      <c r="B11097" s="130" t="n">
        <v>2028</v>
      </c>
      <c r="C11097" s="131" t="s">
        <v>256</v>
      </c>
      <c r="D11097" s="132" t="n">
        <v>46786</v>
      </c>
      <c r="E11097" s="131" t="s">
        <v>20</v>
      </c>
      <c r="F11097" s="133" t="s">
        <v>19</v>
      </c>
      <c r="G11097" s="134" t="n">
        <f aca="false">LEN('Saisie programme'!$G$407)+SUMIFS('Vols additionnels'!$E$7:$E$66,'Vols additionnels'!$C$7:$C$66,$E11097,'Vols additionnels'!$D$7:$D$66,$F11097,'Vols additionnels'!$B$7:$B$66,$D11097)</f>
        <v>0</v>
      </c>
      <c r="H11097" s="135" t="n">
        <f aca="false">$G11097*'Analyse capacite'!$F$8</f>
        <v>0</v>
      </c>
      <c r="I11097" s="135" t="n">
        <f aca="false">$G11097*'Analyse capacite'!$C$8</f>
        <v>0</v>
      </c>
      <c r="J11097" s="135" t="n">
        <f aca="false">$G11097*'Analyse capacite'!$D$8</f>
        <v>0</v>
      </c>
      <c r="K11097" s="135" t="n">
        <f aca="false">$G11097*'Analyse capacite'!$E$8</f>
        <v>0</v>
      </c>
    </row>
    <row r="11098" customFormat="false" ht="15" hidden="false" customHeight="false" outlineLevel="0" collapsed="false">
      <c r="B11098" s="130" t="n">
        <v>2028</v>
      </c>
      <c r="C11098" s="131" t="s">
        <v>256</v>
      </c>
      <c r="D11098" s="132" t="n">
        <v>46786</v>
      </c>
      <c r="E11098" s="131" t="s">
        <v>20</v>
      </c>
      <c r="F11098" s="133" t="s">
        <v>24</v>
      </c>
      <c r="G11098" s="134" t="n">
        <f aca="false">LEN('Saisie programme'!$G$408)+SUMIFS('Vols additionnels'!$E$7:$E$66,'Vols additionnels'!$C$7:$C$66,$E11098,'Vols additionnels'!$D$7:$D$66,$F11098,'Vols additionnels'!$B$7:$B$66,$D11098)</f>
        <v>0</v>
      </c>
      <c r="H11098" s="135" t="n">
        <f aca="false">$G11098*'Analyse capacite'!$F$9</f>
        <v>0</v>
      </c>
      <c r="I11098" s="135" t="n">
        <f aca="false">$G11098*'Analyse capacite'!$C$9</f>
        <v>0</v>
      </c>
      <c r="J11098" s="135" t="n">
        <f aca="false">$G11098*'Analyse capacite'!$D$9</f>
        <v>0</v>
      </c>
      <c r="K11098" s="135" t="n">
        <f aca="false">$G11098*'Analyse capacite'!$E$9</f>
        <v>0</v>
      </c>
    </row>
    <row r="11099" customFormat="false" ht="15" hidden="false" customHeight="false" outlineLevel="0" collapsed="false">
      <c r="B11099" s="130" t="n">
        <v>2028</v>
      </c>
      <c r="C11099" s="131" t="s">
        <v>256</v>
      </c>
      <c r="D11099" s="132" t="n">
        <v>46786</v>
      </c>
      <c r="E11099" s="131" t="s">
        <v>25</v>
      </c>
      <c r="F11099" s="133" t="s">
        <v>11</v>
      </c>
      <c r="G11099" s="134" t="n">
        <f aca="false">LEN('Saisie programme'!$G$409)+SUMIFS('Vols additionnels'!$E$7:$E$66,'Vols additionnels'!$C$7:$C$66,$E11099,'Vols additionnels'!$D$7:$D$66,$F11099,'Vols additionnels'!$B$7:$B$66,$D11099)</f>
        <v>0</v>
      </c>
      <c r="H11099" s="135" t="n">
        <f aca="false">$G11099*'Analyse capacite'!$F$7</f>
        <v>0</v>
      </c>
      <c r="I11099" s="135" t="n">
        <f aca="false">$G11099*'Analyse capacite'!$C$7</f>
        <v>0</v>
      </c>
      <c r="J11099" s="135" t="n">
        <f aca="false">$G11099*'Analyse capacite'!$D$7</f>
        <v>0</v>
      </c>
      <c r="K11099" s="135" t="n">
        <f aca="false">$G11099*'Analyse capacite'!$E$7</f>
        <v>0</v>
      </c>
    </row>
    <row r="11100" customFormat="false" ht="15" hidden="false" customHeight="false" outlineLevel="0" collapsed="false">
      <c r="B11100" s="130" t="n">
        <v>2028</v>
      </c>
      <c r="C11100" s="131" t="s">
        <v>256</v>
      </c>
      <c r="D11100" s="132" t="n">
        <v>46786</v>
      </c>
      <c r="E11100" s="131" t="s">
        <v>25</v>
      </c>
      <c r="F11100" s="133" t="s">
        <v>19</v>
      </c>
      <c r="G11100" s="134" t="n">
        <f aca="false">LEN('Saisie programme'!$G$410)+SUMIFS('Vols additionnels'!$E$7:$E$66,'Vols additionnels'!$C$7:$C$66,$E11100,'Vols additionnels'!$D$7:$D$66,$F11100,'Vols additionnels'!$B$7:$B$66,$D11100)</f>
        <v>0</v>
      </c>
      <c r="H11100" s="135" t="n">
        <f aca="false">$G11100*'Analyse capacite'!$F$8</f>
        <v>0</v>
      </c>
      <c r="I11100" s="135" t="n">
        <f aca="false">$G11100*'Analyse capacite'!$C$8</f>
        <v>0</v>
      </c>
      <c r="J11100" s="135" t="n">
        <f aca="false">$G11100*'Analyse capacite'!$D$8</f>
        <v>0</v>
      </c>
      <c r="K11100" s="135" t="n">
        <f aca="false">$G11100*'Analyse capacite'!$E$8</f>
        <v>0</v>
      </c>
    </row>
    <row r="11101" customFormat="false" ht="15" hidden="false" customHeight="false" outlineLevel="0" collapsed="false">
      <c r="B11101" s="130" t="n">
        <v>2028</v>
      </c>
      <c r="C11101" s="131" t="s">
        <v>256</v>
      </c>
      <c r="D11101" s="132" t="n">
        <v>46786</v>
      </c>
      <c r="E11101" s="131" t="s">
        <v>25</v>
      </c>
      <c r="F11101" s="133" t="s">
        <v>24</v>
      </c>
      <c r="G11101" s="134" t="n">
        <f aca="false">LEN('Saisie programme'!$G$411)+SUMIFS('Vols additionnels'!$E$7:$E$66,'Vols additionnels'!$C$7:$C$66,$E11101,'Vols additionnels'!$D$7:$D$66,$F11101,'Vols additionnels'!$B$7:$B$66,$D11101)</f>
        <v>0</v>
      </c>
      <c r="H11101" s="135" t="n">
        <f aca="false">$G11101*'Analyse capacite'!$F$9</f>
        <v>0</v>
      </c>
      <c r="I11101" s="135" t="n">
        <f aca="false">$G11101*'Analyse capacite'!$C$9</f>
        <v>0</v>
      </c>
      <c r="J11101" s="135" t="n">
        <f aca="false">$G11101*'Analyse capacite'!$D$9</f>
        <v>0</v>
      </c>
      <c r="K11101" s="135" t="n">
        <f aca="false">$G11101*'Analyse capacite'!$E$9</f>
        <v>0</v>
      </c>
    </row>
    <row r="11102" customFormat="false" ht="15" hidden="false" customHeight="false" outlineLevel="0" collapsed="false">
      <c r="B11102" s="130" t="n">
        <v>2028</v>
      </c>
      <c r="C11102" s="131" t="s">
        <v>256</v>
      </c>
      <c r="D11102" s="132" t="n">
        <v>46786</v>
      </c>
      <c r="E11102" s="131" t="s">
        <v>36</v>
      </c>
      <c r="F11102" s="133" t="s">
        <v>11</v>
      </c>
      <c r="G11102" s="134" t="n">
        <f aca="false">LEN('Saisie programme'!$G$412)+SUMIFS('Vols additionnels'!$E$7:$E$66,'Vols additionnels'!$C$7:$C$66,$E11102,'Vols additionnels'!$D$7:$D$66,$F11102,'Vols additionnels'!$B$7:$B$66,$D11102)</f>
        <v>0</v>
      </c>
      <c r="H11102" s="135" t="n">
        <f aca="false">$G11102*'Analyse capacite'!$F$7</f>
        <v>0</v>
      </c>
      <c r="I11102" s="135" t="n">
        <f aca="false">$G11102*'Analyse capacite'!$C$7</f>
        <v>0</v>
      </c>
      <c r="J11102" s="135" t="n">
        <f aca="false">$G11102*'Analyse capacite'!$D$7</f>
        <v>0</v>
      </c>
      <c r="K11102" s="135" t="n">
        <f aca="false">$G11102*'Analyse capacite'!$E$7</f>
        <v>0</v>
      </c>
    </row>
    <row r="11103" customFormat="false" ht="15" hidden="false" customHeight="false" outlineLevel="0" collapsed="false">
      <c r="B11103" s="130" t="n">
        <v>2028</v>
      </c>
      <c r="C11103" s="131" t="s">
        <v>256</v>
      </c>
      <c r="D11103" s="132" t="n">
        <v>46786</v>
      </c>
      <c r="E11103" s="131" t="s">
        <v>36</v>
      </c>
      <c r="F11103" s="133" t="s">
        <v>19</v>
      </c>
      <c r="G11103" s="134" t="n">
        <f aca="false">LEN('Saisie programme'!$G$413)+SUMIFS('Vols additionnels'!$E$7:$E$66,'Vols additionnels'!$C$7:$C$66,$E11103,'Vols additionnels'!$D$7:$D$66,$F11103,'Vols additionnels'!$B$7:$B$66,$D11103)</f>
        <v>0</v>
      </c>
      <c r="H11103" s="135" t="n">
        <f aca="false">$G11103*'Analyse capacite'!$F$8</f>
        <v>0</v>
      </c>
      <c r="I11103" s="135" t="n">
        <f aca="false">$G11103*'Analyse capacite'!$C$8</f>
        <v>0</v>
      </c>
      <c r="J11103" s="135" t="n">
        <f aca="false">$G11103*'Analyse capacite'!$D$8</f>
        <v>0</v>
      </c>
      <c r="K11103" s="135" t="n">
        <f aca="false">$G11103*'Analyse capacite'!$E$8</f>
        <v>0</v>
      </c>
    </row>
    <row r="11104" customFormat="false" ht="15" hidden="false" customHeight="false" outlineLevel="0" collapsed="false">
      <c r="B11104" s="130" t="n">
        <v>2028</v>
      </c>
      <c r="C11104" s="131" t="s">
        <v>256</v>
      </c>
      <c r="D11104" s="132" t="n">
        <v>46786</v>
      </c>
      <c r="E11104" s="131" t="s">
        <v>36</v>
      </c>
      <c r="F11104" s="133" t="s">
        <v>24</v>
      </c>
      <c r="G11104" s="134" t="n">
        <f aca="false">LEN('Saisie programme'!$G$414)+SUMIFS('Vols additionnels'!$E$7:$E$66,'Vols additionnels'!$C$7:$C$66,$E11104,'Vols additionnels'!$D$7:$D$66,$F11104,'Vols additionnels'!$B$7:$B$66,$D11104)</f>
        <v>1</v>
      </c>
      <c r="H11104" s="135" t="n">
        <f aca="false">$G11104*'Analyse capacite'!$F$9</f>
        <v>174</v>
      </c>
      <c r="I11104" s="135" t="n">
        <f aca="false">$G11104*'Analyse capacite'!$C$9</f>
        <v>0</v>
      </c>
      <c r="J11104" s="135" t="n">
        <f aca="false">$G11104*'Analyse capacite'!$D$9</f>
        <v>12</v>
      </c>
      <c r="K11104" s="135" t="n">
        <f aca="false">$G11104*'Analyse capacite'!$E$9</f>
        <v>162</v>
      </c>
    </row>
    <row r="11105" customFormat="false" ht="15" hidden="false" customHeight="false" outlineLevel="0" collapsed="false">
      <c r="B11105" s="130" t="n">
        <v>2028</v>
      </c>
      <c r="C11105" s="131" t="s">
        <v>256</v>
      </c>
      <c r="D11105" s="132" t="n">
        <v>46786</v>
      </c>
      <c r="E11105" s="131" t="s">
        <v>40</v>
      </c>
      <c r="F11105" s="133" t="s">
        <v>11</v>
      </c>
      <c r="G11105" s="134" t="n">
        <f aca="false">LEN('Saisie programme'!$G$415)+SUMIFS('Vols additionnels'!$E$7:$E$66,'Vols additionnels'!$C$7:$C$66,$E11105,'Vols additionnels'!$D$7:$D$66,$F11105,'Vols additionnels'!$B$7:$B$66,$D11105)</f>
        <v>0</v>
      </c>
      <c r="H11105" s="135" t="n">
        <f aca="false">$G11105*'Analyse capacite'!$F$7</f>
        <v>0</v>
      </c>
      <c r="I11105" s="135" t="n">
        <f aca="false">$G11105*'Analyse capacite'!$C$7</f>
        <v>0</v>
      </c>
      <c r="J11105" s="135" t="n">
        <f aca="false">$G11105*'Analyse capacite'!$D$7</f>
        <v>0</v>
      </c>
      <c r="K11105" s="135" t="n">
        <f aca="false">$G11105*'Analyse capacite'!$E$7</f>
        <v>0</v>
      </c>
    </row>
    <row r="11106" customFormat="false" ht="15" hidden="false" customHeight="false" outlineLevel="0" collapsed="false">
      <c r="B11106" s="130" t="n">
        <v>2028</v>
      </c>
      <c r="C11106" s="131" t="s">
        <v>256</v>
      </c>
      <c r="D11106" s="132" t="n">
        <v>46786</v>
      </c>
      <c r="E11106" s="131" t="s">
        <v>40</v>
      </c>
      <c r="F11106" s="133" t="s">
        <v>19</v>
      </c>
      <c r="G11106" s="134" t="n">
        <f aca="false">LEN('Saisie programme'!$G$416)+SUMIFS('Vols additionnels'!$E$7:$E$66,'Vols additionnels'!$C$7:$C$66,$E11106,'Vols additionnels'!$D$7:$D$66,$F11106,'Vols additionnels'!$B$7:$B$66,$D11106)</f>
        <v>0</v>
      </c>
      <c r="H11106" s="135" t="n">
        <f aca="false">$G11106*'Analyse capacite'!$F$8</f>
        <v>0</v>
      </c>
      <c r="I11106" s="135" t="n">
        <f aca="false">$G11106*'Analyse capacite'!$C$8</f>
        <v>0</v>
      </c>
      <c r="J11106" s="135" t="n">
        <f aca="false">$G11106*'Analyse capacite'!$D$8</f>
        <v>0</v>
      </c>
      <c r="K11106" s="135" t="n">
        <f aca="false">$G11106*'Analyse capacite'!$E$8</f>
        <v>0</v>
      </c>
    </row>
    <row r="11107" customFormat="false" ht="15" hidden="false" customHeight="false" outlineLevel="0" collapsed="false">
      <c r="B11107" s="130" t="n">
        <v>2028</v>
      </c>
      <c r="C11107" s="131" t="s">
        <v>256</v>
      </c>
      <c r="D11107" s="132" t="n">
        <v>46786</v>
      </c>
      <c r="E11107" s="131" t="s">
        <v>40</v>
      </c>
      <c r="F11107" s="133" t="s">
        <v>24</v>
      </c>
      <c r="G11107" s="134" t="n">
        <f aca="false">LEN('Saisie programme'!$G$417)+SUMIFS('Vols additionnels'!$E$7:$E$66,'Vols additionnels'!$C$7:$C$66,$E11107,'Vols additionnels'!$D$7:$D$66,$F11107,'Vols additionnels'!$B$7:$B$66,$D11107)</f>
        <v>0</v>
      </c>
      <c r="H11107" s="135" t="n">
        <f aca="false">$G11107*'Analyse capacite'!$F$9</f>
        <v>0</v>
      </c>
      <c r="I11107" s="135" t="n">
        <f aca="false">$G11107*'Analyse capacite'!$C$9</f>
        <v>0</v>
      </c>
      <c r="J11107" s="135" t="n">
        <f aca="false">$G11107*'Analyse capacite'!$D$9</f>
        <v>0</v>
      </c>
      <c r="K11107" s="135" t="n">
        <f aca="false">$G11107*'Analyse capacite'!$E$9</f>
        <v>0</v>
      </c>
    </row>
    <row r="11108" customFormat="false" ht="15" hidden="false" customHeight="false" outlineLevel="0" collapsed="false">
      <c r="B11108" s="130" t="n">
        <v>2028</v>
      </c>
      <c r="C11108" s="131" t="s">
        <v>256</v>
      </c>
      <c r="D11108" s="132" t="n">
        <v>46786</v>
      </c>
      <c r="E11108" s="131" t="s">
        <v>14</v>
      </c>
      <c r="F11108" s="133" t="s">
        <v>11</v>
      </c>
      <c r="G11108" s="134" t="n">
        <f aca="false">LEN('Saisie programme'!$G$418)+SUMIFS('Vols additionnels'!$E$7:$E$66,'Vols additionnels'!$C$7:$C$66,$E11108,'Vols additionnels'!$D$7:$D$66,$F11108,'Vols additionnels'!$B$7:$B$66,$D11108)</f>
        <v>0</v>
      </c>
      <c r="H11108" s="135" t="n">
        <f aca="false">$G11108*'Analyse capacite'!$F$7</f>
        <v>0</v>
      </c>
      <c r="I11108" s="135" t="n">
        <f aca="false">$G11108*'Analyse capacite'!$C$7</f>
        <v>0</v>
      </c>
      <c r="J11108" s="135" t="n">
        <f aca="false">$G11108*'Analyse capacite'!$D$7</f>
        <v>0</v>
      </c>
      <c r="K11108" s="135" t="n">
        <f aca="false">$G11108*'Analyse capacite'!$E$7</f>
        <v>0</v>
      </c>
    </row>
    <row r="11109" customFormat="false" ht="15" hidden="false" customHeight="false" outlineLevel="0" collapsed="false">
      <c r="B11109" s="130" t="n">
        <v>2028</v>
      </c>
      <c r="C11109" s="131" t="s">
        <v>256</v>
      </c>
      <c r="D11109" s="132" t="n">
        <v>46786</v>
      </c>
      <c r="E11109" s="131" t="s">
        <v>14</v>
      </c>
      <c r="F11109" s="133" t="s">
        <v>19</v>
      </c>
      <c r="G11109" s="134" t="n">
        <f aca="false">LEN('Saisie programme'!$G$419)+SUMIFS('Vols additionnels'!$E$7:$E$66,'Vols additionnels'!$C$7:$C$66,$E11109,'Vols additionnels'!$D$7:$D$66,$F11109,'Vols additionnels'!$B$7:$B$66,$D11109)</f>
        <v>0</v>
      </c>
      <c r="H11109" s="135" t="n">
        <f aca="false">$G11109*'Analyse capacite'!$F$8</f>
        <v>0</v>
      </c>
      <c r="I11109" s="135" t="n">
        <f aca="false">$G11109*'Analyse capacite'!$C$8</f>
        <v>0</v>
      </c>
      <c r="J11109" s="135" t="n">
        <f aca="false">$G11109*'Analyse capacite'!$D$8</f>
        <v>0</v>
      </c>
      <c r="K11109" s="135" t="n">
        <f aca="false">$G11109*'Analyse capacite'!$E$8</f>
        <v>0</v>
      </c>
    </row>
    <row r="11110" customFormat="false" ht="15" hidden="false" customHeight="false" outlineLevel="0" collapsed="false">
      <c r="B11110" s="130" t="n">
        <v>2028</v>
      </c>
      <c r="C11110" s="131" t="s">
        <v>256</v>
      </c>
      <c r="D11110" s="132" t="n">
        <v>46786</v>
      </c>
      <c r="E11110" s="131" t="s">
        <v>14</v>
      </c>
      <c r="F11110" s="133" t="s">
        <v>24</v>
      </c>
      <c r="G11110" s="134" t="n">
        <f aca="false">LEN('Saisie programme'!$G$420)+SUMIFS('Vols additionnels'!$E$7:$E$66,'Vols additionnels'!$C$7:$C$66,$E11110,'Vols additionnels'!$D$7:$D$66,$F11110,'Vols additionnels'!$B$7:$B$66,$D11110)</f>
        <v>1</v>
      </c>
      <c r="H11110" s="135" t="n">
        <f aca="false">$G11110*'Analyse capacite'!$F$9</f>
        <v>174</v>
      </c>
      <c r="I11110" s="135" t="n">
        <f aca="false">$G11110*'Analyse capacite'!$C$9</f>
        <v>0</v>
      </c>
      <c r="J11110" s="135" t="n">
        <f aca="false">$G11110*'Analyse capacite'!$D$9</f>
        <v>12</v>
      </c>
      <c r="K11110" s="135" t="n">
        <f aca="false">$G11110*'Analyse capacite'!$E$9</f>
        <v>162</v>
      </c>
    </row>
    <row r="11111" customFormat="false" ht="15" hidden="false" customHeight="false" outlineLevel="0" collapsed="false">
      <c r="B11111" s="130" t="n">
        <v>2028</v>
      </c>
      <c r="C11111" s="131" t="s">
        <v>256</v>
      </c>
      <c r="D11111" s="132" t="n">
        <v>46786</v>
      </c>
      <c r="E11111" s="131" t="s">
        <v>46</v>
      </c>
      <c r="F11111" s="133" t="s">
        <v>11</v>
      </c>
      <c r="G11111" s="134" t="n">
        <f aca="false">LEN('Saisie programme'!$G$421)+SUMIFS('Vols additionnels'!$E$7:$E$66,'Vols additionnels'!$C$7:$C$66,$E11111,'Vols additionnels'!$D$7:$D$66,$F11111,'Vols additionnels'!$B$7:$B$66,$D11111)</f>
        <v>0</v>
      </c>
      <c r="H11111" s="135" t="n">
        <f aca="false">$G11111*'Analyse capacite'!$F$7</f>
        <v>0</v>
      </c>
      <c r="I11111" s="135" t="n">
        <f aca="false">$G11111*'Analyse capacite'!$C$7</f>
        <v>0</v>
      </c>
      <c r="J11111" s="135" t="n">
        <f aca="false">$G11111*'Analyse capacite'!$D$7</f>
        <v>0</v>
      </c>
      <c r="K11111" s="135" t="n">
        <f aca="false">$G11111*'Analyse capacite'!$E$7</f>
        <v>0</v>
      </c>
    </row>
    <row r="11112" customFormat="false" ht="15" hidden="false" customHeight="false" outlineLevel="0" collapsed="false">
      <c r="B11112" s="130" t="n">
        <v>2028</v>
      </c>
      <c r="C11112" s="131" t="s">
        <v>256</v>
      </c>
      <c r="D11112" s="132" t="n">
        <v>46786</v>
      </c>
      <c r="E11112" s="131" t="s">
        <v>46</v>
      </c>
      <c r="F11112" s="133" t="s">
        <v>19</v>
      </c>
      <c r="G11112" s="134" t="n">
        <f aca="false">LEN('Saisie programme'!$G$422)+SUMIFS('Vols additionnels'!$E$7:$E$66,'Vols additionnels'!$C$7:$C$66,$E11112,'Vols additionnels'!$D$7:$D$66,$F11112,'Vols additionnels'!$B$7:$B$66,$D11112)</f>
        <v>0</v>
      </c>
      <c r="H11112" s="135" t="n">
        <f aca="false">$G11112*'Analyse capacite'!$F$8</f>
        <v>0</v>
      </c>
      <c r="I11112" s="135" t="n">
        <f aca="false">$G11112*'Analyse capacite'!$C$8</f>
        <v>0</v>
      </c>
      <c r="J11112" s="135" t="n">
        <f aca="false">$G11112*'Analyse capacite'!$D$8</f>
        <v>0</v>
      </c>
      <c r="K11112" s="135" t="n">
        <f aca="false">$G11112*'Analyse capacite'!$E$8</f>
        <v>0</v>
      </c>
    </row>
    <row r="11113" customFormat="false" ht="15" hidden="false" customHeight="false" outlineLevel="0" collapsed="false">
      <c r="B11113" s="130" t="n">
        <v>2028</v>
      </c>
      <c r="C11113" s="131" t="s">
        <v>256</v>
      </c>
      <c r="D11113" s="132" t="n">
        <v>46786</v>
      </c>
      <c r="E11113" s="131" t="s">
        <v>46</v>
      </c>
      <c r="F11113" s="133" t="s">
        <v>24</v>
      </c>
      <c r="G11113" s="134" t="n">
        <f aca="false">LEN('Saisie programme'!$G$423)+SUMIFS('Vols additionnels'!$E$7:$E$66,'Vols additionnels'!$C$7:$C$66,$E11113,'Vols additionnels'!$D$7:$D$66,$F11113,'Vols additionnels'!$B$7:$B$66,$D11113)</f>
        <v>1</v>
      </c>
      <c r="H11113" s="135" t="n">
        <f aca="false">$G11113*'Analyse capacite'!$F$9</f>
        <v>174</v>
      </c>
      <c r="I11113" s="135" t="n">
        <f aca="false">$G11113*'Analyse capacite'!$C$9</f>
        <v>0</v>
      </c>
      <c r="J11113" s="135" t="n">
        <f aca="false">$G11113*'Analyse capacite'!$D$9</f>
        <v>12</v>
      </c>
      <c r="K11113" s="135" t="n">
        <f aca="false">$G11113*'Analyse capacite'!$E$9</f>
        <v>162</v>
      </c>
    </row>
    <row r="11114" customFormat="false" ht="15" hidden="false" customHeight="false" outlineLevel="0" collapsed="false">
      <c r="B11114" s="130" t="n">
        <v>2028</v>
      </c>
      <c r="C11114" s="131" t="s">
        <v>256</v>
      </c>
      <c r="D11114" s="132" t="n">
        <v>46786</v>
      </c>
      <c r="E11114" s="131" t="s">
        <v>49</v>
      </c>
      <c r="F11114" s="133" t="s">
        <v>11</v>
      </c>
      <c r="G11114" s="134" t="n">
        <f aca="false">LEN('Saisie programme'!$G$424)+SUMIFS('Vols additionnels'!$E$7:$E$66,'Vols additionnels'!$C$7:$C$66,$E11114,'Vols additionnels'!$D$7:$D$66,$F11114,'Vols additionnels'!$B$7:$B$66,$D11114)</f>
        <v>0</v>
      </c>
      <c r="H11114" s="135" t="n">
        <f aca="false">$G11114*'Analyse capacite'!$F$7</f>
        <v>0</v>
      </c>
      <c r="I11114" s="135" t="n">
        <f aca="false">$G11114*'Analyse capacite'!$C$7</f>
        <v>0</v>
      </c>
      <c r="J11114" s="135" t="n">
        <f aca="false">$G11114*'Analyse capacite'!$D$7</f>
        <v>0</v>
      </c>
      <c r="K11114" s="135" t="n">
        <f aca="false">$G11114*'Analyse capacite'!$E$7</f>
        <v>0</v>
      </c>
    </row>
    <row r="11115" customFormat="false" ht="15" hidden="false" customHeight="false" outlineLevel="0" collapsed="false">
      <c r="B11115" s="130" t="n">
        <v>2028</v>
      </c>
      <c r="C11115" s="131" t="s">
        <v>256</v>
      </c>
      <c r="D11115" s="132" t="n">
        <v>46786</v>
      </c>
      <c r="E11115" s="131" t="s">
        <v>49</v>
      </c>
      <c r="F11115" s="133" t="s">
        <v>19</v>
      </c>
      <c r="G11115" s="134" t="n">
        <f aca="false">LEN('Saisie programme'!$G$425)+SUMIFS('Vols additionnels'!$E$7:$E$66,'Vols additionnels'!$C$7:$C$66,$E11115,'Vols additionnels'!$D$7:$D$66,$F11115,'Vols additionnels'!$B$7:$B$66,$D11115)</f>
        <v>0</v>
      </c>
      <c r="H11115" s="135" t="n">
        <f aca="false">$G11115*'Analyse capacite'!$F$8</f>
        <v>0</v>
      </c>
      <c r="I11115" s="135" t="n">
        <f aca="false">$G11115*'Analyse capacite'!$C$8</f>
        <v>0</v>
      </c>
      <c r="J11115" s="135" t="n">
        <f aca="false">$G11115*'Analyse capacite'!$D$8</f>
        <v>0</v>
      </c>
      <c r="K11115" s="135" t="n">
        <f aca="false">$G11115*'Analyse capacite'!$E$8</f>
        <v>0</v>
      </c>
    </row>
    <row r="11116" customFormat="false" ht="15" hidden="false" customHeight="false" outlineLevel="0" collapsed="false">
      <c r="B11116" s="130" t="n">
        <v>2028</v>
      </c>
      <c r="C11116" s="131" t="s">
        <v>256</v>
      </c>
      <c r="D11116" s="132" t="n">
        <v>46786</v>
      </c>
      <c r="E11116" s="131" t="s">
        <v>49</v>
      </c>
      <c r="F11116" s="133" t="s">
        <v>24</v>
      </c>
      <c r="G11116" s="134" t="n">
        <f aca="false">LEN('Saisie programme'!$G$426)+SUMIFS('Vols additionnels'!$E$7:$E$66,'Vols additionnels'!$C$7:$C$66,$E11116,'Vols additionnels'!$D$7:$D$66,$F11116,'Vols additionnels'!$B$7:$B$66,$D11116)</f>
        <v>0</v>
      </c>
      <c r="H11116" s="135" t="n">
        <f aca="false">$G11116*'Analyse capacite'!$F$9</f>
        <v>0</v>
      </c>
      <c r="I11116" s="135" t="n">
        <f aca="false">$G11116*'Analyse capacite'!$C$9</f>
        <v>0</v>
      </c>
      <c r="J11116" s="135" t="n">
        <f aca="false">$G11116*'Analyse capacite'!$D$9</f>
        <v>0</v>
      </c>
      <c r="K11116" s="135" t="n">
        <f aca="false">$G11116*'Analyse capacite'!$E$9</f>
        <v>0</v>
      </c>
    </row>
    <row r="11117" customFormat="false" ht="15" hidden="false" customHeight="false" outlineLevel="0" collapsed="false">
      <c r="B11117" s="130" t="n">
        <v>2028</v>
      </c>
      <c r="C11117" s="131" t="s">
        <v>256</v>
      </c>
      <c r="D11117" s="132" t="n">
        <v>46786</v>
      </c>
      <c r="E11117" s="131" t="s">
        <v>53</v>
      </c>
      <c r="F11117" s="133" t="s">
        <v>11</v>
      </c>
      <c r="G11117" s="134" t="n">
        <f aca="false">LEN('Saisie programme'!$G$427)+SUMIFS('Vols additionnels'!$E$7:$E$66,'Vols additionnels'!$C$7:$C$66,$E11117,'Vols additionnels'!$D$7:$D$66,$F11117,'Vols additionnels'!$B$7:$B$66,$D11117)</f>
        <v>0</v>
      </c>
      <c r="H11117" s="135" t="n">
        <f aca="false">$G11117*'Analyse capacite'!$F$7</f>
        <v>0</v>
      </c>
      <c r="I11117" s="135" t="n">
        <f aca="false">$G11117*'Analyse capacite'!$C$7</f>
        <v>0</v>
      </c>
      <c r="J11117" s="135" t="n">
        <f aca="false">$G11117*'Analyse capacite'!$D$7</f>
        <v>0</v>
      </c>
      <c r="K11117" s="135" t="n">
        <f aca="false">$G11117*'Analyse capacite'!$E$7</f>
        <v>0</v>
      </c>
    </row>
    <row r="11118" customFormat="false" ht="15" hidden="false" customHeight="false" outlineLevel="0" collapsed="false">
      <c r="B11118" s="130" t="n">
        <v>2028</v>
      </c>
      <c r="C11118" s="131" t="s">
        <v>256</v>
      </c>
      <c r="D11118" s="132" t="n">
        <v>46786</v>
      </c>
      <c r="E11118" s="131" t="s">
        <v>53</v>
      </c>
      <c r="F11118" s="133" t="s">
        <v>19</v>
      </c>
      <c r="G11118" s="134" t="n">
        <f aca="false">LEN('Saisie programme'!$G$428)+SUMIFS('Vols additionnels'!$E$7:$E$66,'Vols additionnels'!$C$7:$C$66,$E11118,'Vols additionnels'!$D$7:$D$66,$F11118,'Vols additionnels'!$B$7:$B$66,$D11118)</f>
        <v>1</v>
      </c>
      <c r="H11118" s="135" t="n">
        <f aca="false">$G11118*'Analyse capacite'!$F$8</f>
        <v>262</v>
      </c>
      <c r="I11118" s="135" t="n">
        <f aca="false">$G11118*'Analyse capacite'!$C$8</f>
        <v>18</v>
      </c>
      <c r="J11118" s="135" t="n">
        <f aca="false">$G11118*'Analyse capacite'!$D$8</f>
        <v>0</v>
      </c>
      <c r="K11118" s="135" t="n">
        <f aca="false">$G11118*'Analyse capacite'!$E$8</f>
        <v>244</v>
      </c>
    </row>
    <row r="11119" customFormat="false" ht="15" hidden="false" customHeight="false" outlineLevel="0" collapsed="false">
      <c r="B11119" s="130" t="n">
        <v>2028</v>
      </c>
      <c r="C11119" s="131" t="s">
        <v>256</v>
      </c>
      <c r="D11119" s="132" t="n">
        <v>46786</v>
      </c>
      <c r="E11119" s="131" t="s">
        <v>53</v>
      </c>
      <c r="F11119" s="133" t="s">
        <v>24</v>
      </c>
      <c r="G11119" s="134" t="n">
        <f aca="false">LEN('Saisie programme'!$G$429)+SUMIFS('Vols additionnels'!$E$7:$E$66,'Vols additionnels'!$C$7:$C$66,$E11119,'Vols additionnels'!$D$7:$D$66,$F11119,'Vols additionnels'!$B$7:$B$66,$D11119)</f>
        <v>0</v>
      </c>
      <c r="H11119" s="135" t="n">
        <f aca="false">$G11119*'Analyse capacite'!$F$9</f>
        <v>0</v>
      </c>
      <c r="I11119" s="135" t="n">
        <f aca="false">$G11119*'Analyse capacite'!$C$9</f>
        <v>0</v>
      </c>
      <c r="J11119" s="135" t="n">
        <f aca="false">$G11119*'Analyse capacite'!$D$9</f>
        <v>0</v>
      </c>
      <c r="K11119" s="135" t="n">
        <f aca="false">$G11119*'Analyse capacite'!$E$9</f>
        <v>0</v>
      </c>
    </row>
    <row r="11120" customFormat="false" ht="15" hidden="false" customHeight="false" outlineLevel="0" collapsed="false">
      <c r="B11120" s="130" t="n">
        <v>2028</v>
      </c>
      <c r="C11120" s="131" t="s">
        <v>256</v>
      </c>
      <c r="D11120" s="132" t="n">
        <v>46786</v>
      </c>
      <c r="E11120" s="131" t="s">
        <v>56</v>
      </c>
      <c r="F11120" s="133" t="s">
        <v>11</v>
      </c>
      <c r="G11120" s="134" t="n">
        <f aca="false">LEN('Saisie programme'!$G$430)+SUMIFS('Vols additionnels'!$E$7:$E$66,'Vols additionnels'!$C$7:$C$66,$E11120,'Vols additionnels'!$D$7:$D$66,$F11120,'Vols additionnels'!$B$7:$B$66,$D11120)</f>
        <v>0</v>
      </c>
      <c r="H11120" s="135" t="n">
        <f aca="false">$G11120*'Analyse capacite'!$F$7</f>
        <v>0</v>
      </c>
      <c r="I11120" s="135" t="n">
        <f aca="false">$G11120*'Analyse capacite'!$C$7</f>
        <v>0</v>
      </c>
      <c r="J11120" s="135" t="n">
        <f aca="false">$G11120*'Analyse capacite'!$D$7</f>
        <v>0</v>
      </c>
      <c r="K11120" s="135" t="n">
        <f aca="false">$G11120*'Analyse capacite'!$E$7</f>
        <v>0</v>
      </c>
    </row>
    <row r="11121" customFormat="false" ht="15" hidden="false" customHeight="false" outlineLevel="0" collapsed="false">
      <c r="B11121" s="130" t="n">
        <v>2028</v>
      </c>
      <c r="C11121" s="131" t="s">
        <v>256</v>
      </c>
      <c r="D11121" s="132" t="n">
        <v>46786</v>
      </c>
      <c r="E11121" s="131" t="s">
        <v>56</v>
      </c>
      <c r="F11121" s="133" t="s">
        <v>19</v>
      </c>
      <c r="G11121" s="134" t="n">
        <f aca="false">LEN('Saisie programme'!$G$431)+SUMIFS('Vols additionnels'!$E$7:$E$66,'Vols additionnels'!$C$7:$C$66,$E11121,'Vols additionnels'!$D$7:$D$66,$F11121,'Vols additionnels'!$B$7:$B$66,$D11121)</f>
        <v>0</v>
      </c>
      <c r="H11121" s="135" t="n">
        <f aca="false">$G11121*'Analyse capacite'!$F$8</f>
        <v>0</v>
      </c>
      <c r="I11121" s="135" t="n">
        <f aca="false">$G11121*'Analyse capacite'!$C$8</f>
        <v>0</v>
      </c>
      <c r="J11121" s="135" t="n">
        <f aca="false">$G11121*'Analyse capacite'!$D$8</f>
        <v>0</v>
      </c>
      <c r="K11121" s="135" t="n">
        <f aca="false">$G11121*'Analyse capacite'!$E$8</f>
        <v>0</v>
      </c>
    </row>
    <row r="11122" customFormat="false" ht="15" hidden="false" customHeight="false" outlineLevel="0" collapsed="false">
      <c r="B11122" s="130" t="n">
        <v>2028</v>
      </c>
      <c r="C11122" s="131" t="s">
        <v>256</v>
      </c>
      <c r="D11122" s="132" t="n">
        <v>46786</v>
      </c>
      <c r="E11122" s="131" t="s">
        <v>56</v>
      </c>
      <c r="F11122" s="133" t="s">
        <v>24</v>
      </c>
      <c r="G11122" s="134" t="n">
        <f aca="false">LEN('Saisie programme'!$G$432)+SUMIFS('Vols additionnels'!$E$7:$E$66,'Vols additionnels'!$C$7:$C$66,$E11122,'Vols additionnels'!$D$7:$D$66,$F11122,'Vols additionnels'!$B$7:$B$66,$D11122)</f>
        <v>0</v>
      </c>
      <c r="H11122" s="135" t="n">
        <f aca="false">$G11122*'Analyse capacite'!$F$9</f>
        <v>0</v>
      </c>
      <c r="I11122" s="135" t="n">
        <f aca="false">$G11122*'Analyse capacite'!$C$9</f>
        <v>0</v>
      </c>
      <c r="J11122" s="135" t="n">
        <f aca="false">$G11122*'Analyse capacite'!$D$9</f>
        <v>0</v>
      </c>
      <c r="K11122" s="135" t="n">
        <f aca="false">$G11122*'Analyse capacite'!$E$9</f>
        <v>0</v>
      </c>
    </row>
    <row r="11123" customFormat="false" ht="15" hidden="false" customHeight="false" outlineLevel="0" collapsed="false">
      <c r="B11123" s="130" t="n">
        <v>2028</v>
      </c>
      <c r="C11123" s="131" t="s">
        <v>256</v>
      </c>
      <c r="D11123" s="132" t="n">
        <v>46786</v>
      </c>
      <c r="E11123" s="131" t="s">
        <v>59</v>
      </c>
      <c r="F11123" s="133" t="s">
        <v>11</v>
      </c>
      <c r="G11123" s="134" t="n">
        <f aca="false">LEN('Saisie programme'!$G$433)+SUMIFS('Vols additionnels'!$E$7:$E$66,'Vols additionnels'!$C$7:$C$66,$E11123,'Vols additionnels'!$D$7:$D$66,$F11123,'Vols additionnels'!$B$7:$B$66,$D11123)</f>
        <v>0</v>
      </c>
      <c r="H11123" s="135" t="n">
        <f aca="false">$G11123*'Analyse capacite'!$F$7</f>
        <v>0</v>
      </c>
      <c r="I11123" s="135" t="n">
        <f aca="false">$G11123*'Analyse capacite'!$C$7</f>
        <v>0</v>
      </c>
      <c r="J11123" s="135" t="n">
        <f aca="false">$G11123*'Analyse capacite'!$D$7</f>
        <v>0</v>
      </c>
      <c r="K11123" s="135" t="n">
        <f aca="false">$G11123*'Analyse capacite'!$E$7</f>
        <v>0</v>
      </c>
    </row>
    <row r="11124" customFormat="false" ht="15" hidden="false" customHeight="false" outlineLevel="0" collapsed="false">
      <c r="B11124" s="130" t="n">
        <v>2028</v>
      </c>
      <c r="C11124" s="131" t="s">
        <v>256</v>
      </c>
      <c r="D11124" s="132" t="n">
        <v>46786</v>
      </c>
      <c r="E11124" s="131" t="s">
        <v>59</v>
      </c>
      <c r="F11124" s="133" t="s">
        <v>19</v>
      </c>
      <c r="G11124" s="134" t="n">
        <f aca="false">LEN('Saisie programme'!$G$434)+SUMIFS('Vols additionnels'!$E$7:$E$66,'Vols additionnels'!$C$7:$C$66,$E11124,'Vols additionnels'!$D$7:$D$66,$F11124,'Vols additionnels'!$B$7:$B$66,$D11124)</f>
        <v>0</v>
      </c>
      <c r="H11124" s="135" t="n">
        <f aca="false">$G11124*'Analyse capacite'!$F$8</f>
        <v>0</v>
      </c>
      <c r="I11124" s="135" t="n">
        <f aca="false">$G11124*'Analyse capacite'!$C$8</f>
        <v>0</v>
      </c>
      <c r="J11124" s="135" t="n">
        <f aca="false">$G11124*'Analyse capacite'!$D$8</f>
        <v>0</v>
      </c>
      <c r="K11124" s="135" t="n">
        <f aca="false">$G11124*'Analyse capacite'!$E$8</f>
        <v>0</v>
      </c>
    </row>
    <row r="11125" customFormat="false" ht="15" hidden="false" customHeight="false" outlineLevel="0" collapsed="false">
      <c r="B11125" s="130" t="n">
        <v>2028</v>
      </c>
      <c r="C11125" s="131" t="s">
        <v>256</v>
      </c>
      <c r="D11125" s="132" t="n">
        <v>46786</v>
      </c>
      <c r="E11125" s="131" t="s">
        <v>59</v>
      </c>
      <c r="F11125" s="133" t="s">
        <v>24</v>
      </c>
      <c r="G11125" s="134" t="n">
        <f aca="false">LEN('Saisie programme'!$G$435)+SUMIFS('Vols additionnels'!$E$7:$E$66,'Vols additionnels'!$C$7:$C$66,$E11125,'Vols additionnels'!$D$7:$D$66,$F11125,'Vols additionnels'!$B$7:$B$66,$D11125)</f>
        <v>2</v>
      </c>
      <c r="H11125" s="135" t="n">
        <f aca="false">$G11125*'Analyse capacite'!$F$9</f>
        <v>348</v>
      </c>
      <c r="I11125" s="135" t="n">
        <f aca="false">$G11125*'Analyse capacite'!$C$9</f>
        <v>0</v>
      </c>
      <c r="J11125" s="135" t="n">
        <f aca="false">$G11125*'Analyse capacite'!$D$9</f>
        <v>24</v>
      </c>
      <c r="K11125" s="135" t="n">
        <f aca="false">$G11125*'Analyse capacite'!$E$9</f>
        <v>324</v>
      </c>
    </row>
    <row r="11126" customFormat="false" ht="15" hidden="false" customHeight="false" outlineLevel="0" collapsed="false">
      <c r="B11126" s="130" t="n">
        <v>2028</v>
      </c>
      <c r="C11126" s="131" t="s">
        <v>256</v>
      </c>
      <c r="D11126" s="132" t="n">
        <v>46786</v>
      </c>
      <c r="E11126" s="131" t="s">
        <v>62</v>
      </c>
      <c r="F11126" s="133" t="s">
        <v>11</v>
      </c>
      <c r="G11126" s="134" t="n">
        <f aca="false">LEN('Saisie programme'!$G$436)+SUMIFS('Vols additionnels'!$E$7:$E$66,'Vols additionnels'!$C$7:$C$66,$E11126,'Vols additionnels'!$D$7:$D$66,$F11126,'Vols additionnels'!$B$7:$B$66,$D11126)</f>
        <v>0</v>
      </c>
      <c r="H11126" s="135" t="n">
        <f aca="false">$G11126*'Analyse capacite'!$F$7</f>
        <v>0</v>
      </c>
      <c r="I11126" s="135" t="n">
        <f aca="false">$G11126*'Analyse capacite'!$C$7</f>
        <v>0</v>
      </c>
      <c r="J11126" s="135" t="n">
        <f aca="false">$G11126*'Analyse capacite'!$D$7</f>
        <v>0</v>
      </c>
      <c r="K11126" s="135" t="n">
        <f aca="false">$G11126*'Analyse capacite'!$E$7</f>
        <v>0</v>
      </c>
    </row>
    <row r="11127" customFormat="false" ht="15" hidden="false" customHeight="false" outlineLevel="0" collapsed="false">
      <c r="B11127" s="130" t="n">
        <v>2028</v>
      </c>
      <c r="C11127" s="131" t="s">
        <v>256</v>
      </c>
      <c r="D11127" s="132" t="n">
        <v>46786</v>
      </c>
      <c r="E11127" s="131" t="s">
        <v>62</v>
      </c>
      <c r="F11127" s="133" t="s">
        <v>19</v>
      </c>
      <c r="G11127" s="134" t="n">
        <f aca="false">LEN('Saisie programme'!$G$437)+SUMIFS('Vols additionnels'!$E$7:$E$66,'Vols additionnels'!$C$7:$C$66,$E11127,'Vols additionnels'!$D$7:$D$66,$F11127,'Vols additionnels'!$B$7:$B$66,$D11127)</f>
        <v>0</v>
      </c>
      <c r="H11127" s="135" t="n">
        <f aca="false">$G11127*'Analyse capacite'!$F$8</f>
        <v>0</v>
      </c>
      <c r="I11127" s="135" t="n">
        <f aca="false">$G11127*'Analyse capacite'!$C$8</f>
        <v>0</v>
      </c>
      <c r="J11127" s="135" t="n">
        <f aca="false">$G11127*'Analyse capacite'!$D$8</f>
        <v>0</v>
      </c>
      <c r="K11127" s="135" t="n">
        <f aca="false">$G11127*'Analyse capacite'!$E$8</f>
        <v>0</v>
      </c>
    </row>
    <row r="11128" customFormat="false" ht="15" hidden="false" customHeight="false" outlineLevel="0" collapsed="false">
      <c r="B11128" s="130" t="n">
        <v>2028</v>
      </c>
      <c r="C11128" s="131" t="s">
        <v>256</v>
      </c>
      <c r="D11128" s="132" t="n">
        <v>46786</v>
      </c>
      <c r="E11128" s="131" t="s">
        <v>62</v>
      </c>
      <c r="F11128" s="133" t="s">
        <v>24</v>
      </c>
      <c r="G11128" s="134" t="n">
        <f aca="false">LEN('Saisie programme'!$G$438)+SUMIFS('Vols additionnels'!$E$7:$E$66,'Vols additionnels'!$C$7:$C$66,$E11128,'Vols additionnels'!$D$7:$D$66,$F11128,'Vols additionnels'!$B$7:$B$66,$D11128)</f>
        <v>0</v>
      </c>
      <c r="H11128" s="135" t="n">
        <f aca="false">$G11128*'Analyse capacite'!$F$9</f>
        <v>0</v>
      </c>
      <c r="I11128" s="135" t="n">
        <f aca="false">$G11128*'Analyse capacite'!$C$9</f>
        <v>0</v>
      </c>
      <c r="J11128" s="135" t="n">
        <f aca="false">$G11128*'Analyse capacite'!$D$9</f>
        <v>0</v>
      </c>
      <c r="K11128" s="135" t="n">
        <f aca="false">$G11128*'Analyse capacite'!$E$9</f>
        <v>0</v>
      </c>
    </row>
    <row r="11129" customFormat="false" ht="15" hidden="false" customHeight="false" outlineLevel="0" collapsed="false">
      <c r="B11129" s="130" t="n">
        <v>2028</v>
      </c>
      <c r="C11129" s="131" t="s">
        <v>256</v>
      </c>
      <c r="D11129" s="132" t="n">
        <v>46787</v>
      </c>
      <c r="E11129" s="131" t="s">
        <v>12</v>
      </c>
      <c r="F11129" s="133" t="s">
        <v>11</v>
      </c>
      <c r="G11129" s="134" t="n">
        <f aca="false">LEN('Saisie programme'!$H$403)+SUMIFS('Vols additionnels'!$E$7:$E$66,'Vols additionnels'!$C$7:$C$66,$E11129,'Vols additionnels'!$D$7:$D$66,$F11129,'Vols additionnels'!$B$7:$B$66,$D11129)</f>
        <v>1</v>
      </c>
      <c r="H11129" s="135" t="n">
        <f aca="false">$G11129*'Analyse capacite'!$F$7</f>
        <v>438</v>
      </c>
      <c r="I11129" s="135" t="n">
        <f aca="false">$G11129*'Analyse capacite'!$C$7</f>
        <v>14</v>
      </c>
      <c r="J11129" s="135" t="n">
        <f aca="false">$G11129*'Analyse capacite'!$D$7</f>
        <v>40</v>
      </c>
      <c r="K11129" s="135" t="n">
        <f aca="false">$G11129*'Analyse capacite'!$E$7</f>
        <v>384</v>
      </c>
    </row>
    <row r="11130" customFormat="false" ht="15" hidden="false" customHeight="false" outlineLevel="0" collapsed="false">
      <c r="B11130" s="130" t="n">
        <v>2028</v>
      </c>
      <c r="C11130" s="131" t="s">
        <v>256</v>
      </c>
      <c r="D11130" s="132" t="n">
        <v>46787</v>
      </c>
      <c r="E11130" s="131" t="s">
        <v>12</v>
      </c>
      <c r="F11130" s="133" t="s">
        <v>19</v>
      </c>
      <c r="G11130" s="134" t="n">
        <f aca="false">LEN('Saisie programme'!$H$404)+SUMIFS('Vols additionnels'!$E$7:$E$66,'Vols additionnels'!$C$7:$C$66,$E11130,'Vols additionnels'!$D$7:$D$66,$F11130,'Vols additionnels'!$B$7:$B$66,$D11130)</f>
        <v>1</v>
      </c>
      <c r="H11130" s="135" t="n">
        <f aca="false">$G11130*'Analyse capacite'!$F$8</f>
        <v>262</v>
      </c>
      <c r="I11130" s="135" t="n">
        <f aca="false">$G11130*'Analyse capacite'!$C$8</f>
        <v>18</v>
      </c>
      <c r="J11130" s="135" t="n">
        <f aca="false">$G11130*'Analyse capacite'!$D$8</f>
        <v>0</v>
      </c>
      <c r="K11130" s="135" t="n">
        <f aca="false">$G11130*'Analyse capacite'!$E$8</f>
        <v>244</v>
      </c>
    </row>
    <row r="11131" customFormat="false" ht="15" hidden="false" customHeight="false" outlineLevel="0" collapsed="false">
      <c r="B11131" s="130" t="n">
        <v>2028</v>
      </c>
      <c r="C11131" s="131" t="s">
        <v>256</v>
      </c>
      <c r="D11131" s="132" t="n">
        <v>46787</v>
      </c>
      <c r="E11131" s="131" t="s">
        <v>12</v>
      </c>
      <c r="F11131" s="133" t="s">
        <v>24</v>
      </c>
      <c r="G11131" s="134" t="n">
        <f aca="false">LEN('Saisie programme'!$H$405)+SUMIFS('Vols additionnels'!$E$7:$E$66,'Vols additionnels'!$C$7:$C$66,$E11131,'Vols additionnels'!$D$7:$D$66,$F11131,'Vols additionnels'!$B$7:$B$66,$D11131)</f>
        <v>0</v>
      </c>
      <c r="H11131" s="135" t="n">
        <f aca="false">$G11131*'Analyse capacite'!$F$9</f>
        <v>0</v>
      </c>
      <c r="I11131" s="135" t="n">
        <f aca="false">$G11131*'Analyse capacite'!$C$9</f>
        <v>0</v>
      </c>
      <c r="J11131" s="135" t="n">
        <f aca="false">$G11131*'Analyse capacite'!$D$9</f>
        <v>0</v>
      </c>
      <c r="K11131" s="135" t="n">
        <f aca="false">$G11131*'Analyse capacite'!$E$9</f>
        <v>0</v>
      </c>
    </row>
    <row r="11132" customFormat="false" ht="15" hidden="false" customHeight="false" outlineLevel="0" collapsed="false">
      <c r="B11132" s="130" t="n">
        <v>2028</v>
      </c>
      <c r="C11132" s="131" t="s">
        <v>256</v>
      </c>
      <c r="D11132" s="132" t="n">
        <v>46787</v>
      </c>
      <c r="E11132" s="131" t="s">
        <v>20</v>
      </c>
      <c r="F11132" s="133" t="s">
        <v>11</v>
      </c>
      <c r="G11132" s="134" t="n">
        <f aca="false">LEN('Saisie programme'!$H$406)+SUMIFS('Vols additionnels'!$E$7:$E$66,'Vols additionnels'!$C$7:$C$66,$E11132,'Vols additionnels'!$D$7:$D$66,$F11132,'Vols additionnels'!$B$7:$B$66,$D11132)</f>
        <v>0</v>
      </c>
      <c r="H11132" s="135" t="n">
        <f aca="false">$G11132*'Analyse capacite'!$F$7</f>
        <v>0</v>
      </c>
      <c r="I11132" s="135" t="n">
        <f aca="false">$G11132*'Analyse capacite'!$C$7</f>
        <v>0</v>
      </c>
      <c r="J11132" s="135" t="n">
        <f aca="false">$G11132*'Analyse capacite'!$D$7</f>
        <v>0</v>
      </c>
      <c r="K11132" s="135" t="n">
        <f aca="false">$G11132*'Analyse capacite'!$E$7</f>
        <v>0</v>
      </c>
    </row>
    <row r="11133" customFormat="false" ht="15" hidden="false" customHeight="false" outlineLevel="0" collapsed="false">
      <c r="B11133" s="130" t="n">
        <v>2028</v>
      </c>
      <c r="C11133" s="131" t="s">
        <v>256</v>
      </c>
      <c r="D11133" s="132" t="n">
        <v>46787</v>
      </c>
      <c r="E11133" s="131" t="s">
        <v>20</v>
      </c>
      <c r="F11133" s="133" t="s">
        <v>19</v>
      </c>
      <c r="G11133" s="134" t="n">
        <f aca="false">LEN('Saisie programme'!$H$407)+SUMIFS('Vols additionnels'!$E$7:$E$66,'Vols additionnels'!$C$7:$C$66,$E11133,'Vols additionnels'!$D$7:$D$66,$F11133,'Vols additionnels'!$B$7:$B$66,$D11133)</f>
        <v>1</v>
      </c>
      <c r="H11133" s="135" t="n">
        <f aca="false">$G11133*'Analyse capacite'!$F$8</f>
        <v>262</v>
      </c>
      <c r="I11133" s="135" t="n">
        <f aca="false">$G11133*'Analyse capacite'!$C$8</f>
        <v>18</v>
      </c>
      <c r="J11133" s="135" t="n">
        <f aca="false">$G11133*'Analyse capacite'!$D$8</f>
        <v>0</v>
      </c>
      <c r="K11133" s="135" t="n">
        <f aca="false">$G11133*'Analyse capacite'!$E$8</f>
        <v>244</v>
      </c>
    </row>
    <row r="11134" customFormat="false" ht="15" hidden="false" customHeight="false" outlineLevel="0" collapsed="false">
      <c r="B11134" s="130" t="n">
        <v>2028</v>
      </c>
      <c r="C11134" s="131" t="s">
        <v>256</v>
      </c>
      <c r="D11134" s="132" t="n">
        <v>46787</v>
      </c>
      <c r="E11134" s="131" t="s">
        <v>20</v>
      </c>
      <c r="F11134" s="133" t="s">
        <v>24</v>
      </c>
      <c r="G11134" s="134" t="n">
        <f aca="false">LEN('Saisie programme'!$H$408)+SUMIFS('Vols additionnels'!$E$7:$E$66,'Vols additionnels'!$C$7:$C$66,$E11134,'Vols additionnels'!$D$7:$D$66,$F11134,'Vols additionnels'!$B$7:$B$66,$D11134)</f>
        <v>0</v>
      </c>
      <c r="H11134" s="135" t="n">
        <f aca="false">$G11134*'Analyse capacite'!$F$9</f>
        <v>0</v>
      </c>
      <c r="I11134" s="135" t="n">
        <f aca="false">$G11134*'Analyse capacite'!$C$9</f>
        <v>0</v>
      </c>
      <c r="J11134" s="135" t="n">
        <f aca="false">$G11134*'Analyse capacite'!$D$9</f>
        <v>0</v>
      </c>
      <c r="K11134" s="135" t="n">
        <f aca="false">$G11134*'Analyse capacite'!$E$9</f>
        <v>0</v>
      </c>
    </row>
    <row r="11135" customFormat="false" ht="15" hidden="false" customHeight="false" outlineLevel="0" collapsed="false">
      <c r="B11135" s="130" t="n">
        <v>2028</v>
      </c>
      <c r="C11135" s="131" t="s">
        <v>256</v>
      </c>
      <c r="D11135" s="132" t="n">
        <v>46787</v>
      </c>
      <c r="E11135" s="131" t="s">
        <v>25</v>
      </c>
      <c r="F11135" s="133" t="s">
        <v>11</v>
      </c>
      <c r="G11135" s="134" t="n">
        <f aca="false">LEN('Saisie programme'!$H$409)+SUMIFS('Vols additionnels'!$E$7:$E$66,'Vols additionnels'!$C$7:$C$66,$E11135,'Vols additionnels'!$D$7:$D$66,$F11135,'Vols additionnels'!$B$7:$B$66,$D11135)</f>
        <v>0</v>
      </c>
      <c r="H11135" s="135" t="n">
        <f aca="false">$G11135*'Analyse capacite'!$F$7</f>
        <v>0</v>
      </c>
      <c r="I11135" s="135" t="n">
        <f aca="false">$G11135*'Analyse capacite'!$C$7</f>
        <v>0</v>
      </c>
      <c r="J11135" s="135" t="n">
        <f aca="false">$G11135*'Analyse capacite'!$D$7</f>
        <v>0</v>
      </c>
      <c r="K11135" s="135" t="n">
        <f aca="false">$G11135*'Analyse capacite'!$E$7</f>
        <v>0</v>
      </c>
    </row>
    <row r="11136" customFormat="false" ht="15" hidden="false" customHeight="false" outlineLevel="0" collapsed="false">
      <c r="B11136" s="130" t="n">
        <v>2028</v>
      </c>
      <c r="C11136" s="131" t="s">
        <v>256</v>
      </c>
      <c r="D11136" s="132" t="n">
        <v>46787</v>
      </c>
      <c r="E11136" s="131" t="s">
        <v>25</v>
      </c>
      <c r="F11136" s="133" t="s">
        <v>19</v>
      </c>
      <c r="G11136" s="134" t="n">
        <f aca="false">LEN('Saisie programme'!$H$410)+SUMIFS('Vols additionnels'!$E$7:$E$66,'Vols additionnels'!$C$7:$C$66,$E11136,'Vols additionnels'!$D$7:$D$66,$F11136,'Vols additionnels'!$B$7:$B$66,$D11136)</f>
        <v>0</v>
      </c>
      <c r="H11136" s="135" t="n">
        <f aca="false">$G11136*'Analyse capacite'!$F$8</f>
        <v>0</v>
      </c>
      <c r="I11136" s="135" t="n">
        <f aca="false">$G11136*'Analyse capacite'!$C$8</f>
        <v>0</v>
      </c>
      <c r="J11136" s="135" t="n">
        <f aca="false">$G11136*'Analyse capacite'!$D$8</f>
        <v>0</v>
      </c>
      <c r="K11136" s="135" t="n">
        <f aca="false">$G11136*'Analyse capacite'!$E$8</f>
        <v>0</v>
      </c>
    </row>
    <row r="11137" customFormat="false" ht="15" hidden="false" customHeight="false" outlineLevel="0" collapsed="false">
      <c r="B11137" s="130" t="n">
        <v>2028</v>
      </c>
      <c r="C11137" s="131" t="s">
        <v>256</v>
      </c>
      <c r="D11137" s="132" t="n">
        <v>46787</v>
      </c>
      <c r="E11137" s="131" t="s">
        <v>25</v>
      </c>
      <c r="F11137" s="133" t="s">
        <v>24</v>
      </c>
      <c r="G11137" s="134" t="n">
        <f aca="false">LEN('Saisie programme'!$H$411)+SUMIFS('Vols additionnels'!$E$7:$E$66,'Vols additionnels'!$C$7:$C$66,$E11137,'Vols additionnels'!$D$7:$D$66,$F11137,'Vols additionnels'!$B$7:$B$66,$D11137)</f>
        <v>0</v>
      </c>
      <c r="H11137" s="135" t="n">
        <f aca="false">$G11137*'Analyse capacite'!$F$9</f>
        <v>0</v>
      </c>
      <c r="I11137" s="135" t="n">
        <f aca="false">$G11137*'Analyse capacite'!$C$9</f>
        <v>0</v>
      </c>
      <c r="J11137" s="135" t="n">
        <f aca="false">$G11137*'Analyse capacite'!$D$9</f>
        <v>0</v>
      </c>
      <c r="K11137" s="135" t="n">
        <f aca="false">$G11137*'Analyse capacite'!$E$9</f>
        <v>0</v>
      </c>
    </row>
    <row r="11138" customFormat="false" ht="15" hidden="false" customHeight="false" outlineLevel="0" collapsed="false">
      <c r="B11138" s="130" t="n">
        <v>2028</v>
      </c>
      <c r="C11138" s="131" t="s">
        <v>256</v>
      </c>
      <c r="D11138" s="132" t="n">
        <v>46787</v>
      </c>
      <c r="E11138" s="131" t="s">
        <v>36</v>
      </c>
      <c r="F11138" s="133" t="s">
        <v>11</v>
      </c>
      <c r="G11138" s="134" t="n">
        <f aca="false">LEN('Saisie programme'!$H$412)+SUMIFS('Vols additionnels'!$E$7:$E$66,'Vols additionnels'!$C$7:$C$66,$E11138,'Vols additionnels'!$D$7:$D$66,$F11138,'Vols additionnels'!$B$7:$B$66,$D11138)</f>
        <v>0</v>
      </c>
      <c r="H11138" s="135" t="n">
        <f aca="false">$G11138*'Analyse capacite'!$F$7</f>
        <v>0</v>
      </c>
      <c r="I11138" s="135" t="n">
        <f aca="false">$G11138*'Analyse capacite'!$C$7</f>
        <v>0</v>
      </c>
      <c r="J11138" s="135" t="n">
        <f aca="false">$G11138*'Analyse capacite'!$D$7</f>
        <v>0</v>
      </c>
      <c r="K11138" s="135" t="n">
        <f aca="false">$G11138*'Analyse capacite'!$E$7</f>
        <v>0</v>
      </c>
    </row>
    <row r="11139" customFormat="false" ht="15" hidden="false" customHeight="false" outlineLevel="0" collapsed="false">
      <c r="B11139" s="130" t="n">
        <v>2028</v>
      </c>
      <c r="C11139" s="131" t="s">
        <v>256</v>
      </c>
      <c r="D11139" s="132" t="n">
        <v>46787</v>
      </c>
      <c r="E11139" s="131" t="s">
        <v>36</v>
      </c>
      <c r="F11139" s="133" t="s">
        <v>19</v>
      </c>
      <c r="G11139" s="134" t="n">
        <f aca="false">LEN('Saisie programme'!$H$413)+SUMIFS('Vols additionnels'!$E$7:$E$66,'Vols additionnels'!$C$7:$C$66,$E11139,'Vols additionnels'!$D$7:$D$66,$F11139,'Vols additionnels'!$B$7:$B$66,$D11139)</f>
        <v>0</v>
      </c>
      <c r="H11139" s="135" t="n">
        <f aca="false">$G11139*'Analyse capacite'!$F$8</f>
        <v>0</v>
      </c>
      <c r="I11139" s="135" t="n">
        <f aca="false">$G11139*'Analyse capacite'!$C$8</f>
        <v>0</v>
      </c>
      <c r="J11139" s="135" t="n">
        <f aca="false">$G11139*'Analyse capacite'!$D$8</f>
        <v>0</v>
      </c>
      <c r="K11139" s="135" t="n">
        <f aca="false">$G11139*'Analyse capacite'!$E$8</f>
        <v>0</v>
      </c>
    </row>
    <row r="11140" customFormat="false" ht="15" hidden="false" customHeight="false" outlineLevel="0" collapsed="false">
      <c r="B11140" s="130" t="n">
        <v>2028</v>
      </c>
      <c r="C11140" s="131" t="s">
        <v>256</v>
      </c>
      <c r="D11140" s="132" t="n">
        <v>46787</v>
      </c>
      <c r="E11140" s="131" t="s">
        <v>36</v>
      </c>
      <c r="F11140" s="133" t="s">
        <v>24</v>
      </c>
      <c r="G11140" s="134" t="n">
        <f aca="false">LEN('Saisie programme'!$H$414)+SUMIFS('Vols additionnels'!$E$7:$E$66,'Vols additionnels'!$C$7:$C$66,$E11140,'Vols additionnels'!$D$7:$D$66,$F11140,'Vols additionnels'!$B$7:$B$66,$D11140)</f>
        <v>1</v>
      </c>
      <c r="H11140" s="135" t="n">
        <f aca="false">$G11140*'Analyse capacite'!$F$9</f>
        <v>174</v>
      </c>
      <c r="I11140" s="135" t="n">
        <f aca="false">$G11140*'Analyse capacite'!$C$9</f>
        <v>0</v>
      </c>
      <c r="J11140" s="135" t="n">
        <f aca="false">$G11140*'Analyse capacite'!$D$9</f>
        <v>12</v>
      </c>
      <c r="K11140" s="135" t="n">
        <f aca="false">$G11140*'Analyse capacite'!$E$9</f>
        <v>162</v>
      </c>
    </row>
    <row r="11141" customFormat="false" ht="15" hidden="false" customHeight="false" outlineLevel="0" collapsed="false">
      <c r="B11141" s="130" t="n">
        <v>2028</v>
      </c>
      <c r="C11141" s="131" t="s">
        <v>256</v>
      </c>
      <c r="D11141" s="132" t="n">
        <v>46787</v>
      </c>
      <c r="E11141" s="131" t="s">
        <v>40</v>
      </c>
      <c r="F11141" s="133" t="s">
        <v>11</v>
      </c>
      <c r="G11141" s="134" t="n">
        <f aca="false">LEN('Saisie programme'!$H$415)+SUMIFS('Vols additionnels'!$E$7:$E$66,'Vols additionnels'!$C$7:$C$66,$E11141,'Vols additionnels'!$D$7:$D$66,$F11141,'Vols additionnels'!$B$7:$B$66,$D11141)</f>
        <v>0</v>
      </c>
      <c r="H11141" s="135" t="n">
        <f aca="false">$G11141*'Analyse capacite'!$F$7</f>
        <v>0</v>
      </c>
      <c r="I11141" s="135" t="n">
        <f aca="false">$G11141*'Analyse capacite'!$C$7</f>
        <v>0</v>
      </c>
      <c r="J11141" s="135" t="n">
        <f aca="false">$G11141*'Analyse capacite'!$D$7</f>
        <v>0</v>
      </c>
      <c r="K11141" s="135" t="n">
        <f aca="false">$G11141*'Analyse capacite'!$E$7</f>
        <v>0</v>
      </c>
    </row>
    <row r="11142" customFormat="false" ht="15" hidden="false" customHeight="false" outlineLevel="0" collapsed="false">
      <c r="B11142" s="130" t="n">
        <v>2028</v>
      </c>
      <c r="C11142" s="131" t="s">
        <v>256</v>
      </c>
      <c r="D11142" s="132" t="n">
        <v>46787</v>
      </c>
      <c r="E11142" s="131" t="s">
        <v>40</v>
      </c>
      <c r="F11142" s="133" t="s">
        <v>19</v>
      </c>
      <c r="G11142" s="134" t="n">
        <f aca="false">LEN('Saisie programme'!$H$416)+SUMIFS('Vols additionnels'!$E$7:$E$66,'Vols additionnels'!$C$7:$C$66,$E11142,'Vols additionnels'!$D$7:$D$66,$F11142,'Vols additionnels'!$B$7:$B$66,$D11142)</f>
        <v>0</v>
      </c>
      <c r="H11142" s="135" t="n">
        <f aca="false">$G11142*'Analyse capacite'!$F$8</f>
        <v>0</v>
      </c>
      <c r="I11142" s="135" t="n">
        <f aca="false">$G11142*'Analyse capacite'!$C$8</f>
        <v>0</v>
      </c>
      <c r="J11142" s="135" t="n">
        <f aca="false">$G11142*'Analyse capacite'!$D$8</f>
        <v>0</v>
      </c>
      <c r="K11142" s="135" t="n">
        <f aca="false">$G11142*'Analyse capacite'!$E$8</f>
        <v>0</v>
      </c>
    </row>
    <row r="11143" customFormat="false" ht="15" hidden="false" customHeight="false" outlineLevel="0" collapsed="false">
      <c r="B11143" s="130" t="n">
        <v>2028</v>
      </c>
      <c r="C11143" s="131" t="s">
        <v>256</v>
      </c>
      <c r="D11143" s="132" t="n">
        <v>46787</v>
      </c>
      <c r="E11143" s="131" t="s">
        <v>40</v>
      </c>
      <c r="F11143" s="133" t="s">
        <v>24</v>
      </c>
      <c r="G11143" s="134" t="n">
        <f aca="false">LEN('Saisie programme'!$H$417)+SUMIFS('Vols additionnels'!$E$7:$E$66,'Vols additionnels'!$C$7:$C$66,$E11143,'Vols additionnels'!$D$7:$D$66,$F11143,'Vols additionnels'!$B$7:$B$66,$D11143)</f>
        <v>1</v>
      </c>
      <c r="H11143" s="135" t="n">
        <f aca="false">$G11143*'Analyse capacite'!$F$9</f>
        <v>174</v>
      </c>
      <c r="I11143" s="135" t="n">
        <f aca="false">$G11143*'Analyse capacite'!$C$9</f>
        <v>0</v>
      </c>
      <c r="J11143" s="135" t="n">
        <f aca="false">$G11143*'Analyse capacite'!$D$9</f>
        <v>12</v>
      </c>
      <c r="K11143" s="135" t="n">
        <f aca="false">$G11143*'Analyse capacite'!$E$9</f>
        <v>162</v>
      </c>
    </row>
    <row r="11144" customFormat="false" ht="15" hidden="false" customHeight="false" outlineLevel="0" collapsed="false">
      <c r="B11144" s="130" t="n">
        <v>2028</v>
      </c>
      <c r="C11144" s="131" t="s">
        <v>256</v>
      </c>
      <c r="D11144" s="132" t="n">
        <v>46787</v>
      </c>
      <c r="E11144" s="131" t="s">
        <v>14</v>
      </c>
      <c r="F11144" s="133" t="s">
        <v>11</v>
      </c>
      <c r="G11144" s="134" t="n">
        <f aca="false">LEN('Saisie programme'!$H$418)+SUMIFS('Vols additionnels'!$E$7:$E$66,'Vols additionnels'!$C$7:$C$66,$E11144,'Vols additionnels'!$D$7:$D$66,$F11144,'Vols additionnels'!$B$7:$B$66,$D11144)</f>
        <v>0</v>
      </c>
      <c r="H11144" s="135" t="n">
        <f aca="false">$G11144*'Analyse capacite'!$F$7</f>
        <v>0</v>
      </c>
      <c r="I11144" s="135" t="n">
        <f aca="false">$G11144*'Analyse capacite'!$C$7</f>
        <v>0</v>
      </c>
      <c r="J11144" s="135" t="n">
        <f aca="false">$G11144*'Analyse capacite'!$D$7</f>
        <v>0</v>
      </c>
      <c r="K11144" s="135" t="n">
        <f aca="false">$G11144*'Analyse capacite'!$E$7</f>
        <v>0</v>
      </c>
    </row>
    <row r="11145" customFormat="false" ht="15" hidden="false" customHeight="false" outlineLevel="0" collapsed="false">
      <c r="B11145" s="130" t="n">
        <v>2028</v>
      </c>
      <c r="C11145" s="131" t="s">
        <v>256</v>
      </c>
      <c r="D11145" s="132" t="n">
        <v>46787</v>
      </c>
      <c r="E11145" s="131" t="s">
        <v>14</v>
      </c>
      <c r="F11145" s="133" t="s">
        <v>19</v>
      </c>
      <c r="G11145" s="134" t="n">
        <f aca="false">LEN('Saisie programme'!$H$419)+SUMIFS('Vols additionnels'!$E$7:$E$66,'Vols additionnels'!$C$7:$C$66,$E11145,'Vols additionnels'!$D$7:$D$66,$F11145,'Vols additionnels'!$B$7:$B$66,$D11145)</f>
        <v>0</v>
      </c>
      <c r="H11145" s="135" t="n">
        <f aca="false">$G11145*'Analyse capacite'!$F$8</f>
        <v>0</v>
      </c>
      <c r="I11145" s="135" t="n">
        <f aca="false">$G11145*'Analyse capacite'!$C$8</f>
        <v>0</v>
      </c>
      <c r="J11145" s="135" t="n">
        <f aca="false">$G11145*'Analyse capacite'!$D$8</f>
        <v>0</v>
      </c>
      <c r="K11145" s="135" t="n">
        <f aca="false">$G11145*'Analyse capacite'!$E$8</f>
        <v>0</v>
      </c>
    </row>
    <row r="11146" customFormat="false" ht="15" hidden="false" customHeight="false" outlineLevel="0" collapsed="false">
      <c r="B11146" s="130" t="n">
        <v>2028</v>
      </c>
      <c r="C11146" s="131" t="s">
        <v>256</v>
      </c>
      <c r="D11146" s="132" t="n">
        <v>46787</v>
      </c>
      <c r="E11146" s="131" t="s">
        <v>14</v>
      </c>
      <c r="F11146" s="133" t="s">
        <v>24</v>
      </c>
      <c r="G11146" s="134" t="n">
        <f aca="false">LEN('Saisie programme'!$H$420)+SUMIFS('Vols additionnels'!$E$7:$E$66,'Vols additionnels'!$C$7:$C$66,$E11146,'Vols additionnels'!$D$7:$D$66,$F11146,'Vols additionnels'!$B$7:$B$66,$D11146)</f>
        <v>0</v>
      </c>
      <c r="H11146" s="135" t="n">
        <f aca="false">$G11146*'Analyse capacite'!$F$9</f>
        <v>0</v>
      </c>
      <c r="I11146" s="135" t="n">
        <f aca="false">$G11146*'Analyse capacite'!$C$9</f>
        <v>0</v>
      </c>
      <c r="J11146" s="135" t="n">
        <f aca="false">$G11146*'Analyse capacite'!$D$9</f>
        <v>0</v>
      </c>
      <c r="K11146" s="135" t="n">
        <f aca="false">$G11146*'Analyse capacite'!$E$9</f>
        <v>0</v>
      </c>
    </row>
    <row r="11147" customFormat="false" ht="15" hidden="false" customHeight="false" outlineLevel="0" collapsed="false">
      <c r="B11147" s="130" t="n">
        <v>2028</v>
      </c>
      <c r="C11147" s="131" t="s">
        <v>256</v>
      </c>
      <c r="D11147" s="132" t="n">
        <v>46787</v>
      </c>
      <c r="E11147" s="131" t="s">
        <v>46</v>
      </c>
      <c r="F11147" s="133" t="s">
        <v>11</v>
      </c>
      <c r="G11147" s="134" t="n">
        <f aca="false">LEN('Saisie programme'!$H$421)+SUMIFS('Vols additionnels'!$E$7:$E$66,'Vols additionnels'!$C$7:$C$66,$E11147,'Vols additionnels'!$D$7:$D$66,$F11147,'Vols additionnels'!$B$7:$B$66,$D11147)</f>
        <v>0</v>
      </c>
      <c r="H11147" s="135" t="n">
        <f aca="false">$G11147*'Analyse capacite'!$F$7</f>
        <v>0</v>
      </c>
      <c r="I11147" s="135" t="n">
        <f aca="false">$G11147*'Analyse capacite'!$C$7</f>
        <v>0</v>
      </c>
      <c r="J11147" s="135" t="n">
        <f aca="false">$G11147*'Analyse capacite'!$D$7</f>
        <v>0</v>
      </c>
      <c r="K11147" s="135" t="n">
        <f aca="false">$G11147*'Analyse capacite'!$E$7</f>
        <v>0</v>
      </c>
    </row>
    <row r="11148" customFormat="false" ht="15" hidden="false" customHeight="false" outlineLevel="0" collapsed="false">
      <c r="B11148" s="130" t="n">
        <v>2028</v>
      </c>
      <c r="C11148" s="131" t="s">
        <v>256</v>
      </c>
      <c r="D11148" s="132" t="n">
        <v>46787</v>
      </c>
      <c r="E11148" s="131" t="s">
        <v>46</v>
      </c>
      <c r="F11148" s="133" t="s">
        <v>19</v>
      </c>
      <c r="G11148" s="134" t="n">
        <f aca="false">LEN('Saisie programme'!$H$422)+SUMIFS('Vols additionnels'!$E$7:$E$66,'Vols additionnels'!$C$7:$C$66,$E11148,'Vols additionnels'!$D$7:$D$66,$F11148,'Vols additionnels'!$B$7:$B$66,$D11148)</f>
        <v>0</v>
      </c>
      <c r="H11148" s="135" t="n">
        <f aca="false">$G11148*'Analyse capacite'!$F$8</f>
        <v>0</v>
      </c>
      <c r="I11148" s="135" t="n">
        <f aca="false">$G11148*'Analyse capacite'!$C$8</f>
        <v>0</v>
      </c>
      <c r="J11148" s="135" t="n">
        <f aca="false">$G11148*'Analyse capacite'!$D$8</f>
        <v>0</v>
      </c>
      <c r="K11148" s="135" t="n">
        <f aca="false">$G11148*'Analyse capacite'!$E$8</f>
        <v>0</v>
      </c>
    </row>
    <row r="11149" customFormat="false" ht="15" hidden="false" customHeight="false" outlineLevel="0" collapsed="false">
      <c r="B11149" s="130" t="n">
        <v>2028</v>
      </c>
      <c r="C11149" s="131" t="s">
        <v>256</v>
      </c>
      <c r="D11149" s="132" t="n">
        <v>46787</v>
      </c>
      <c r="E11149" s="131" t="s">
        <v>46</v>
      </c>
      <c r="F11149" s="133" t="s">
        <v>24</v>
      </c>
      <c r="G11149" s="134" t="n">
        <f aca="false">LEN('Saisie programme'!$H$423)+SUMIFS('Vols additionnels'!$E$7:$E$66,'Vols additionnels'!$C$7:$C$66,$E11149,'Vols additionnels'!$D$7:$D$66,$F11149,'Vols additionnels'!$B$7:$B$66,$D11149)</f>
        <v>0</v>
      </c>
      <c r="H11149" s="135" t="n">
        <f aca="false">$G11149*'Analyse capacite'!$F$9</f>
        <v>0</v>
      </c>
      <c r="I11149" s="135" t="n">
        <f aca="false">$G11149*'Analyse capacite'!$C$9</f>
        <v>0</v>
      </c>
      <c r="J11149" s="135" t="n">
        <f aca="false">$G11149*'Analyse capacite'!$D$9</f>
        <v>0</v>
      </c>
      <c r="K11149" s="135" t="n">
        <f aca="false">$G11149*'Analyse capacite'!$E$9</f>
        <v>0</v>
      </c>
    </row>
    <row r="11150" customFormat="false" ht="15" hidden="false" customHeight="false" outlineLevel="0" collapsed="false">
      <c r="B11150" s="130" t="n">
        <v>2028</v>
      </c>
      <c r="C11150" s="131" t="s">
        <v>256</v>
      </c>
      <c r="D11150" s="132" t="n">
        <v>46787</v>
      </c>
      <c r="E11150" s="131" t="s">
        <v>49</v>
      </c>
      <c r="F11150" s="133" t="s">
        <v>11</v>
      </c>
      <c r="G11150" s="134" t="n">
        <f aca="false">LEN('Saisie programme'!$H$424)+SUMIFS('Vols additionnels'!$E$7:$E$66,'Vols additionnels'!$C$7:$C$66,$E11150,'Vols additionnels'!$D$7:$D$66,$F11150,'Vols additionnels'!$B$7:$B$66,$D11150)</f>
        <v>0</v>
      </c>
      <c r="H11150" s="135" t="n">
        <f aca="false">$G11150*'Analyse capacite'!$F$7</f>
        <v>0</v>
      </c>
      <c r="I11150" s="135" t="n">
        <f aca="false">$G11150*'Analyse capacite'!$C$7</f>
        <v>0</v>
      </c>
      <c r="J11150" s="135" t="n">
        <f aca="false">$G11150*'Analyse capacite'!$D$7</f>
        <v>0</v>
      </c>
      <c r="K11150" s="135" t="n">
        <f aca="false">$G11150*'Analyse capacite'!$E$7</f>
        <v>0</v>
      </c>
    </row>
    <row r="11151" customFormat="false" ht="15" hidden="false" customHeight="false" outlineLevel="0" collapsed="false">
      <c r="B11151" s="130" t="n">
        <v>2028</v>
      </c>
      <c r="C11151" s="131" t="s">
        <v>256</v>
      </c>
      <c r="D11151" s="132" t="n">
        <v>46787</v>
      </c>
      <c r="E11151" s="131" t="s">
        <v>49</v>
      </c>
      <c r="F11151" s="133" t="s">
        <v>19</v>
      </c>
      <c r="G11151" s="134" t="n">
        <f aca="false">LEN('Saisie programme'!$H$425)+SUMIFS('Vols additionnels'!$E$7:$E$66,'Vols additionnels'!$C$7:$C$66,$E11151,'Vols additionnels'!$D$7:$D$66,$F11151,'Vols additionnels'!$B$7:$B$66,$D11151)</f>
        <v>1</v>
      </c>
      <c r="H11151" s="135" t="n">
        <f aca="false">$G11151*'Analyse capacite'!$F$8</f>
        <v>262</v>
      </c>
      <c r="I11151" s="135" t="n">
        <f aca="false">$G11151*'Analyse capacite'!$C$8</f>
        <v>18</v>
      </c>
      <c r="J11151" s="135" t="n">
        <f aca="false">$G11151*'Analyse capacite'!$D$8</f>
        <v>0</v>
      </c>
      <c r="K11151" s="135" t="n">
        <f aca="false">$G11151*'Analyse capacite'!$E$8</f>
        <v>244</v>
      </c>
    </row>
    <row r="11152" customFormat="false" ht="15" hidden="false" customHeight="false" outlineLevel="0" collapsed="false">
      <c r="B11152" s="130" t="n">
        <v>2028</v>
      </c>
      <c r="C11152" s="131" t="s">
        <v>256</v>
      </c>
      <c r="D11152" s="132" t="n">
        <v>46787</v>
      </c>
      <c r="E11152" s="131" t="s">
        <v>49</v>
      </c>
      <c r="F11152" s="133" t="s">
        <v>24</v>
      </c>
      <c r="G11152" s="134" t="n">
        <f aca="false">LEN('Saisie programme'!$H$426)+SUMIFS('Vols additionnels'!$E$7:$E$66,'Vols additionnels'!$C$7:$C$66,$E11152,'Vols additionnels'!$D$7:$D$66,$F11152,'Vols additionnels'!$B$7:$B$66,$D11152)</f>
        <v>0</v>
      </c>
      <c r="H11152" s="135" t="n">
        <f aca="false">$G11152*'Analyse capacite'!$F$9</f>
        <v>0</v>
      </c>
      <c r="I11152" s="135" t="n">
        <f aca="false">$G11152*'Analyse capacite'!$C$9</f>
        <v>0</v>
      </c>
      <c r="J11152" s="135" t="n">
        <f aca="false">$G11152*'Analyse capacite'!$D$9</f>
        <v>0</v>
      </c>
      <c r="K11152" s="135" t="n">
        <f aca="false">$G11152*'Analyse capacite'!$E$9</f>
        <v>0</v>
      </c>
    </row>
    <row r="11153" customFormat="false" ht="15" hidden="false" customHeight="false" outlineLevel="0" collapsed="false">
      <c r="B11153" s="130" t="n">
        <v>2028</v>
      </c>
      <c r="C11153" s="131" t="s">
        <v>256</v>
      </c>
      <c r="D11153" s="132" t="n">
        <v>46787</v>
      </c>
      <c r="E11153" s="131" t="s">
        <v>53</v>
      </c>
      <c r="F11153" s="133" t="s">
        <v>11</v>
      </c>
      <c r="G11153" s="134" t="n">
        <f aca="false">LEN('Saisie programme'!$H$427)+SUMIFS('Vols additionnels'!$E$7:$E$66,'Vols additionnels'!$C$7:$C$66,$E11153,'Vols additionnels'!$D$7:$D$66,$F11153,'Vols additionnels'!$B$7:$B$66,$D11153)</f>
        <v>0</v>
      </c>
      <c r="H11153" s="135" t="n">
        <f aca="false">$G11153*'Analyse capacite'!$F$7</f>
        <v>0</v>
      </c>
      <c r="I11153" s="135" t="n">
        <f aca="false">$G11153*'Analyse capacite'!$C$7</f>
        <v>0</v>
      </c>
      <c r="J11153" s="135" t="n">
        <f aca="false">$G11153*'Analyse capacite'!$D$7</f>
        <v>0</v>
      </c>
      <c r="K11153" s="135" t="n">
        <f aca="false">$G11153*'Analyse capacite'!$E$7</f>
        <v>0</v>
      </c>
    </row>
    <row r="11154" customFormat="false" ht="15" hidden="false" customHeight="false" outlineLevel="0" collapsed="false">
      <c r="B11154" s="130" t="n">
        <v>2028</v>
      </c>
      <c r="C11154" s="131" t="s">
        <v>256</v>
      </c>
      <c r="D11154" s="132" t="n">
        <v>46787</v>
      </c>
      <c r="E11154" s="131" t="s">
        <v>53</v>
      </c>
      <c r="F11154" s="133" t="s">
        <v>19</v>
      </c>
      <c r="G11154" s="134" t="n">
        <f aca="false">LEN('Saisie programme'!$H$428)+SUMIFS('Vols additionnels'!$E$7:$E$66,'Vols additionnels'!$C$7:$C$66,$E11154,'Vols additionnels'!$D$7:$D$66,$F11154,'Vols additionnels'!$B$7:$B$66,$D11154)</f>
        <v>0</v>
      </c>
      <c r="H11154" s="135" t="n">
        <f aca="false">$G11154*'Analyse capacite'!$F$8</f>
        <v>0</v>
      </c>
      <c r="I11154" s="135" t="n">
        <f aca="false">$G11154*'Analyse capacite'!$C$8</f>
        <v>0</v>
      </c>
      <c r="J11154" s="135" t="n">
        <f aca="false">$G11154*'Analyse capacite'!$D$8</f>
        <v>0</v>
      </c>
      <c r="K11154" s="135" t="n">
        <f aca="false">$G11154*'Analyse capacite'!$E$8</f>
        <v>0</v>
      </c>
    </row>
    <row r="11155" customFormat="false" ht="15" hidden="false" customHeight="false" outlineLevel="0" collapsed="false">
      <c r="B11155" s="130" t="n">
        <v>2028</v>
      </c>
      <c r="C11155" s="131" t="s">
        <v>256</v>
      </c>
      <c r="D11155" s="132" t="n">
        <v>46787</v>
      </c>
      <c r="E11155" s="131" t="s">
        <v>53</v>
      </c>
      <c r="F11155" s="133" t="s">
        <v>24</v>
      </c>
      <c r="G11155" s="134" t="n">
        <f aca="false">LEN('Saisie programme'!$H$429)+SUMIFS('Vols additionnels'!$E$7:$E$66,'Vols additionnels'!$C$7:$C$66,$E11155,'Vols additionnels'!$D$7:$D$66,$F11155,'Vols additionnels'!$B$7:$B$66,$D11155)</f>
        <v>0</v>
      </c>
      <c r="H11155" s="135" t="n">
        <f aca="false">$G11155*'Analyse capacite'!$F$9</f>
        <v>0</v>
      </c>
      <c r="I11155" s="135" t="n">
        <f aca="false">$G11155*'Analyse capacite'!$C$9</f>
        <v>0</v>
      </c>
      <c r="J11155" s="135" t="n">
        <f aca="false">$G11155*'Analyse capacite'!$D$9</f>
        <v>0</v>
      </c>
      <c r="K11155" s="135" t="n">
        <f aca="false">$G11155*'Analyse capacite'!$E$9</f>
        <v>0</v>
      </c>
    </row>
    <row r="11156" customFormat="false" ht="15" hidden="false" customHeight="false" outlineLevel="0" collapsed="false">
      <c r="B11156" s="130" t="n">
        <v>2028</v>
      </c>
      <c r="C11156" s="131" t="s">
        <v>256</v>
      </c>
      <c r="D11156" s="132" t="n">
        <v>46787</v>
      </c>
      <c r="E11156" s="131" t="s">
        <v>56</v>
      </c>
      <c r="F11156" s="133" t="s">
        <v>11</v>
      </c>
      <c r="G11156" s="134" t="n">
        <f aca="false">LEN('Saisie programme'!$H$430)+SUMIFS('Vols additionnels'!$E$7:$E$66,'Vols additionnels'!$C$7:$C$66,$E11156,'Vols additionnels'!$D$7:$D$66,$F11156,'Vols additionnels'!$B$7:$B$66,$D11156)</f>
        <v>0</v>
      </c>
      <c r="H11156" s="135" t="n">
        <f aca="false">$G11156*'Analyse capacite'!$F$7</f>
        <v>0</v>
      </c>
      <c r="I11156" s="135" t="n">
        <f aca="false">$G11156*'Analyse capacite'!$C$7</f>
        <v>0</v>
      </c>
      <c r="J11156" s="135" t="n">
        <f aca="false">$G11156*'Analyse capacite'!$D$7</f>
        <v>0</v>
      </c>
      <c r="K11156" s="135" t="n">
        <f aca="false">$G11156*'Analyse capacite'!$E$7</f>
        <v>0</v>
      </c>
    </row>
    <row r="11157" customFormat="false" ht="15" hidden="false" customHeight="false" outlineLevel="0" collapsed="false">
      <c r="B11157" s="130" t="n">
        <v>2028</v>
      </c>
      <c r="C11157" s="131" t="s">
        <v>256</v>
      </c>
      <c r="D11157" s="132" t="n">
        <v>46787</v>
      </c>
      <c r="E11157" s="131" t="s">
        <v>56</v>
      </c>
      <c r="F11157" s="133" t="s">
        <v>19</v>
      </c>
      <c r="G11157" s="134" t="n">
        <f aca="false">LEN('Saisie programme'!$H$431)+SUMIFS('Vols additionnels'!$E$7:$E$66,'Vols additionnels'!$C$7:$C$66,$E11157,'Vols additionnels'!$D$7:$D$66,$F11157,'Vols additionnels'!$B$7:$B$66,$D11157)</f>
        <v>0</v>
      </c>
      <c r="H11157" s="135" t="n">
        <f aca="false">$G11157*'Analyse capacite'!$F$8</f>
        <v>0</v>
      </c>
      <c r="I11157" s="135" t="n">
        <f aca="false">$G11157*'Analyse capacite'!$C$8</f>
        <v>0</v>
      </c>
      <c r="J11157" s="135" t="n">
        <f aca="false">$G11157*'Analyse capacite'!$D$8</f>
        <v>0</v>
      </c>
      <c r="K11157" s="135" t="n">
        <f aca="false">$G11157*'Analyse capacite'!$E$8</f>
        <v>0</v>
      </c>
    </row>
    <row r="11158" customFormat="false" ht="15" hidden="false" customHeight="false" outlineLevel="0" collapsed="false">
      <c r="B11158" s="130" t="n">
        <v>2028</v>
      </c>
      <c r="C11158" s="131" t="s">
        <v>256</v>
      </c>
      <c r="D11158" s="132" t="n">
        <v>46787</v>
      </c>
      <c r="E11158" s="131" t="s">
        <v>56</v>
      </c>
      <c r="F11158" s="133" t="s">
        <v>24</v>
      </c>
      <c r="G11158" s="134" t="n">
        <f aca="false">LEN('Saisie programme'!$H$432)+SUMIFS('Vols additionnels'!$E$7:$E$66,'Vols additionnels'!$C$7:$C$66,$E11158,'Vols additionnels'!$D$7:$D$66,$F11158,'Vols additionnels'!$B$7:$B$66,$D11158)</f>
        <v>0</v>
      </c>
      <c r="H11158" s="135" t="n">
        <f aca="false">$G11158*'Analyse capacite'!$F$9</f>
        <v>0</v>
      </c>
      <c r="I11158" s="135" t="n">
        <f aca="false">$G11158*'Analyse capacite'!$C$9</f>
        <v>0</v>
      </c>
      <c r="J11158" s="135" t="n">
        <f aca="false">$G11158*'Analyse capacite'!$D$9</f>
        <v>0</v>
      </c>
      <c r="K11158" s="135" t="n">
        <f aca="false">$G11158*'Analyse capacite'!$E$9</f>
        <v>0</v>
      </c>
    </row>
    <row r="11159" customFormat="false" ht="15" hidden="false" customHeight="false" outlineLevel="0" collapsed="false">
      <c r="B11159" s="130" t="n">
        <v>2028</v>
      </c>
      <c r="C11159" s="131" t="s">
        <v>256</v>
      </c>
      <c r="D11159" s="132" t="n">
        <v>46787</v>
      </c>
      <c r="E11159" s="131" t="s">
        <v>59</v>
      </c>
      <c r="F11159" s="133" t="s">
        <v>11</v>
      </c>
      <c r="G11159" s="134" t="n">
        <f aca="false">LEN('Saisie programme'!$H$433)+SUMIFS('Vols additionnels'!$E$7:$E$66,'Vols additionnels'!$C$7:$C$66,$E11159,'Vols additionnels'!$D$7:$D$66,$F11159,'Vols additionnels'!$B$7:$B$66,$D11159)</f>
        <v>0</v>
      </c>
      <c r="H11159" s="135" t="n">
        <f aca="false">$G11159*'Analyse capacite'!$F$7</f>
        <v>0</v>
      </c>
      <c r="I11159" s="135" t="n">
        <f aca="false">$G11159*'Analyse capacite'!$C$7</f>
        <v>0</v>
      </c>
      <c r="J11159" s="135" t="n">
        <f aca="false">$G11159*'Analyse capacite'!$D$7</f>
        <v>0</v>
      </c>
      <c r="K11159" s="135" t="n">
        <f aca="false">$G11159*'Analyse capacite'!$E$7</f>
        <v>0</v>
      </c>
    </row>
    <row r="11160" customFormat="false" ht="15" hidden="false" customHeight="false" outlineLevel="0" collapsed="false">
      <c r="B11160" s="130" t="n">
        <v>2028</v>
      </c>
      <c r="C11160" s="131" t="s">
        <v>256</v>
      </c>
      <c r="D11160" s="132" t="n">
        <v>46787</v>
      </c>
      <c r="E11160" s="131" t="s">
        <v>59</v>
      </c>
      <c r="F11160" s="133" t="s">
        <v>19</v>
      </c>
      <c r="G11160" s="134" t="n">
        <f aca="false">LEN('Saisie programme'!$H$434)+SUMIFS('Vols additionnels'!$E$7:$E$66,'Vols additionnels'!$C$7:$C$66,$E11160,'Vols additionnels'!$D$7:$D$66,$F11160,'Vols additionnels'!$B$7:$B$66,$D11160)</f>
        <v>0</v>
      </c>
      <c r="H11160" s="135" t="n">
        <f aca="false">$G11160*'Analyse capacite'!$F$8</f>
        <v>0</v>
      </c>
      <c r="I11160" s="135" t="n">
        <f aca="false">$G11160*'Analyse capacite'!$C$8</f>
        <v>0</v>
      </c>
      <c r="J11160" s="135" t="n">
        <f aca="false">$G11160*'Analyse capacite'!$D$8</f>
        <v>0</v>
      </c>
      <c r="K11160" s="135" t="n">
        <f aca="false">$G11160*'Analyse capacite'!$E$8</f>
        <v>0</v>
      </c>
    </row>
    <row r="11161" customFormat="false" ht="15" hidden="false" customHeight="false" outlineLevel="0" collapsed="false">
      <c r="B11161" s="130" t="n">
        <v>2028</v>
      </c>
      <c r="C11161" s="131" t="s">
        <v>256</v>
      </c>
      <c r="D11161" s="132" t="n">
        <v>46787</v>
      </c>
      <c r="E11161" s="131" t="s">
        <v>59</v>
      </c>
      <c r="F11161" s="133" t="s">
        <v>24</v>
      </c>
      <c r="G11161" s="134" t="n">
        <f aca="false">LEN('Saisie programme'!$H$435)+SUMIFS('Vols additionnels'!$E$7:$E$66,'Vols additionnels'!$C$7:$C$66,$E11161,'Vols additionnels'!$D$7:$D$66,$F11161,'Vols additionnels'!$B$7:$B$66,$D11161)</f>
        <v>1</v>
      </c>
      <c r="H11161" s="135" t="n">
        <f aca="false">$G11161*'Analyse capacite'!$F$9</f>
        <v>174</v>
      </c>
      <c r="I11161" s="135" t="n">
        <f aca="false">$G11161*'Analyse capacite'!$C$9</f>
        <v>0</v>
      </c>
      <c r="J11161" s="135" t="n">
        <f aca="false">$G11161*'Analyse capacite'!$D$9</f>
        <v>12</v>
      </c>
      <c r="K11161" s="135" t="n">
        <f aca="false">$G11161*'Analyse capacite'!$E$9</f>
        <v>162</v>
      </c>
    </row>
    <row r="11162" customFormat="false" ht="15" hidden="false" customHeight="false" outlineLevel="0" collapsed="false">
      <c r="B11162" s="130" t="n">
        <v>2028</v>
      </c>
      <c r="C11162" s="131" t="s">
        <v>256</v>
      </c>
      <c r="D11162" s="132" t="n">
        <v>46787</v>
      </c>
      <c r="E11162" s="131" t="s">
        <v>62</v>
      </c>
      <c r="F11162" s="133" t="s">
        <v>11</v>
      </c>
      <c r="G11162" s="134" t="n">
        <f aca="false">LEN('Saisie programme'!$H$436)+SUMIFS('Vols additionnels'!$E$7:$E$66,'Vols additionnels'!$C$7:$C$66,$E11162,'Vols additionnels'!$D$7:$D$66,$F11162,'Vols additionnels'!$B$7:$B$66,$D11162)</f>
        <v>0</v>
      </c>
      <c r="H11162" s="135" t="n">
        <f aca="false">$G11162*'Analyse capacite'!$F$7</f>
        <v>0</v>
      </c>
      <c r="I11162" s="135" t="n">
        <f aca="false">$G11162*'Analyse capacite'!$C$7</f>
        <v>0</v>
      </c>
      <c r="J11162" s="135" t="n">
        <f aca="false">$G11162*'Analyse capacite'!$D$7</f>
        <v>0</v>
      </c>
      <c r="K11162" s="135" t="n">
        <f aca="false">$G11162*'Analyse capacite'!$E$7</f>
        <v>0</v>
      </c>
    </row>
    <row r="11163" customFormat="false" ht="15" hidden="false" customHeight="false" outlineLevel="0" collapsed="false">
      <c r="B11163" s="130" t="n">
        <v>2028</v>
      </c>
      <c r="C11163" s="131" t="s">
        <v>256</v>
      </c>
      <c r="D11163" s="132" t="n">
        <v>46787</v>
      </c>
      <c r="E11163" s="131" t="s">
        <v>62</v>
      </c>
      <c r="F11163" s="133" t="s">
        <v>19</v>
      </c>
      <c r="G11163" s="134" t="n">
        <f aca="false">LEN('Saisie programme'!$H$437)+SUMIFS('Vols additionnels'!$E$7:$E$66,'Vols additionnels'!$C$7:$C$66,$E11163,'Vols additionnels'!$D$7:$D$66,$F11163,'Vols additionnels'!$B$7:$B$66,$D11163)</f>
        <v>0</v>
      </c>
      <c r="H11163" s="135" t="n">
        <f aca="false">$G11163*'Analyse capacite'!$F$8</f>
        <v>0</v>
      </c>
      <c r="I11163" s="135" t="n">
        <f aca="false">$G11163*'Analyse capacite'!$C$8</f>
        <v>0</v>
      </c>
      <c r="J11163" s="135" t="n">
        <f aca="false">$G11163*'Analyse capacite'!$D$8</f>
        <v>0</v>
      </c>
      <c r="K11163" s="135" t="n">
        <f aca="false">$G11163*'Analyse capacite'!$E$8</f>
        <v>0</v>
      </c>
    </row>
    <row r="11164" customFormat="false" ht="15" hidden="false" customHeight="false" outlineLevel="0" collapsed="false">
      <c r="B11164" s="130" t="n">
        <v>2028</v>
      </c>
      <c r="C11164" s="131" t="s">
        <v>256</v>
      </c>
      <c r="D11164" s="132" t="n">
        <v>46787</v>
      </c>
      <c r="E11164" s="131" t="s">
        <v>62</v>
      </c>
      <c r="F11164" s="133" t="s">
        <v>24</v>
      </c>
      <c r="G11164" s="134" t="n">
        <f aca="false">LEN('Saisie programme'!$H$438)+SUMIFS('Vols additionnels'!$E$7:$E$66,'Vols additionnels'!$C$7:$C$66,$E11164,'Vols additionnels'!$D$7:$D$66,$F11164,'Vols additionnels'!$B$7:$B$66,$D11164)</f>
        <v>0</v>
      </c>
      <c r="H11164" s="135" t="n">
        <f aca="false">$G11164*'Analyse capacite'!$F$9</f>
        <v>0</v>
      </c>
      <c r="I11164" s="135" t="n">
        <f aca="false">$G11164*'Analyse capacite'!$C$9</f>
        <v>0</v>
      </c>
      <c r="J11164" s="135" t="n">
        <f aca="false">$G11164*'Analyse capacite'!$D$9</f>
        <v>0</v>
      </c>
      <c r="K11164" s="135" t="n">
        <f aca="false">$G11164*'Analyse capacite'!$E$9</f>
        <v>0</v>
      </c>
    </row>
    <row r="11165" customFormat="false" ht="15" hidden="false" customHeight="false" outlineLevel="0" collapsed="false">
      <c r="B11165" s="130" t="n">
        <v>2028</v>
      </c>
      <c r="C11165" s="131" t="s">
        <v>256</v>
      </c>
      <c r="D11165" s="132" t="n">
        <v>46788</v>
      </c>
      <c r="E11165" s="131" t="s">
        <v>12</v>
      </c>
      <c r="F11165" s="133" t="s">
        <v>11</v>
      </c>
      <c r="G11165" s="134" t="n">
        <f aca="false">LEN('Saisie programme'!$I$403)+SUMIFS('Vols additionnels'!$E$7:$E$66,'Vols additionnels'!$C$7:$C$66,$E11165,'Vols additionnels'!$D$7:$D$66,$F11165,'Vols additionnels'!$B$7:$B$66,$D11165)</f>
        <v>1</v>
      </c>
      <c r="H11165" s="135" t="n">
        <f aca="false">$G11165*'Analyse capacite'!$F$7</f>
        <v>438</v>
      </c>
      <c r="I11165" s="135" t="n">
        <f aca="false">$G11165*'Analyse capacite'!$C$7</f>
        <v>14</v>
      </c>
      <c r="J11165" s="135" t="n">
        <f aca="false">$G11165*'Analyse capacite'!$D$7</f>
        <v>40</v>
      </c>
      <c r="K11165" s="135" t="n">
        <f aca="false">$G11165*'Analyse capacite'!$E$7</f>
        <v>384</v>
      </c>
    </row>
    <row r="11166" customFormat="false" ht="15" hidden="false" customHeight="false" outlineLevel="0" collapsed="false">
      <c r="B11166" s="130" t="n">
        <v>2028</v>
      </c>
      <c r="C11166" s="131" t="s">
        <v>256</v>
      </c>
      <c r="D11166" s="132" t="n">
        <v>46788</v>
      </c>
      <c r="E11166" s="131" t="s">
        <v>12</v>
      </c>
      <c r="F11166" s="133" t="s">
        <v>19</v>
      </c>
      <c r="G11166" s="134" t="n">
        <f aca="false">LEN('Saisie programme'!$I$404)+SUMIFS('Vols additionnels'!$E$7:$E$66,'Vols additionnels'!$C$7:$C$66,$E11166,'Vols additionnels'!$D$7:$D$66,$F11166,'Vols additionnels'!$B$7:$B$66,$D11166)</f>
        <v>0</v>
      </c>
      <c r="H11166" s="135" t="n">
        <f aca="false">$G11166*'Analyse capacite'!$F$8</f>
        <v>0</v>
      </c>
      <c r="I11166" s="135" t="n">
        <f aca="false">$G11166*'Analyse capacite'!$C$8</f>
        <v>0</v>
      </c>
      <c r="J11166" s="135" t="n">
        <f aca="false">$G11166*'Analyse capacite'!$D$8</f>
        <v>0</v>
      </c>
      <c r="K11166" s="135" t="n">
        <f aca="false">$G11166*'Analyse capacite'!$E$8</f>
        <v>0</v>
      </c>
    </row>
    <row r="11167" customFormat="false" ht="15" hidden="false" customHeight="false" outlineLevel="0" collapsed="false">
      <c r="B11167" s="130" t="n">
        <v>2028</v>
      </c>
      <c r="C11167" s="131" t="s">
        <v>256</v>
      </c>
      <c r="D11167" s="132" t="n">
        <v>46788</v>
      </c>
      <c r="E11167" s="131" t="s">
        <v>12</v>
      </c>
      <c r="F11167" s="133" t="s">
        <v>24</v>
      </c>
      <c r="G11167" s="134" t="n">
        <f aca="false">LEN('Saisie programme'!$I$405)+SUMIFS('Vols additionnels'!$E$7:$E$66,'Vols additionnels'!$C$7:$C$66,$E11167,'Vols additionnels'!$D$7:$D$66,$F11167,'Vols additionnels'!$B$7:$B$66,$D11167)</f>
        <v>0</v>
      </c>
      <c r="H11167" s="135" t="n">
        <f aca="false">$G11167*'Analyse capacite'!$F$9</f>
        <v>0</v>
      </c>
      <c r="I11167" s="135" t="n">
        <f aca="false">$G11167*'Analyse capacite'!$C$9</f>
        <v>0</v>
      </c>
      <c r="J11167" s="135" t="n">
        <f aca="false">$G11167*'Analyse capacite'!$D$9</f>
        <v>0</v>
      </c>
      <c r="K11167" s="135" t="n">
        <f aca="false">$G11167*'Analyse capacite'!$E$9</f>
        <v>0</v>
      </c>
    </row>
    <row r="11168" customFormat="false" ht="15" hidden="false" customHeight="false" outlineLevel="0" collapsed="false">
      <c r="B11168" s="130" t="n">
        <v>2028</v>
      </c>
      <c r="C11168" s="131" t="s">
        <v>256</v>
      </c>
      <c r="D11168" s="132" t="n">
        <v>46788</v>
      </c>
      <c r="E11168" s="131" t="s">
        <v>20</v>
      </c>
      <c r="F11168" s="133" t="s">
        <v>11</v>
      </c>
      <c r="G11168" s="134" t="n">
        <f aca="false">LEN('Saisie programme'!$I$406)+SUMIFS('Vols additionnels'!$E$7:$E$66,'Vols additionnels'!$C$7:$C$66,$E11168,'Vols additionnels'!$D$7:$D$66,$F11168,'Vols additionnels'!$B$7:$B$66,$D11168)</f>
        <v>0</v>
      </c>
      <c r="H11168" s="135" t="n">
        <f aca="false">$G11168*'Analyse capacite'!$F$7</f>
        <v>0</v>
      </c>
      <c r="I11168" s="135" t="n">
        <f aca="false">$G11168*'Analyse capacite'!$C$7</f>
        <v>0</v>
      </c>
      <c r="J11168" s="135" t="n">
        <f aca="false">$G11168*'Analyse capacite'!$D$7</f>
        <v>0</v>
      </c>
      <c r="K11168" s="135" t="n">
        <f aca="false">$G11168*'Analyse capacite'!$E$7</f>
        <v>0</v>
      </c>
    </row>
    <row r="11169" customFormat="false" ht="15" hidden="false" customHeight="false" outlineLevel="0" collapsed="false">
      <c r="B11169" s="130" t="n">
        <v>2028</v>
      </c>
      <c r="C11169" s="131" t="s">
        <v>256</v>
      </c>
      <c r="D11169" s="132" t="n">
        <v>46788</v>
      </c>
      <c r="E11169" s="131" t="s">
        <v>20</v>
      </c>
      <c r="F11169" s="133" t="s">
        <v>19</v>
      </c>
      <c r="G11169" s="134" t="n">
        <f aca="false">LEN('Saisie programme'!$I$407)+SUMIFS('Vols additionnels'!$E$7:$E$66,'Vols additionnels'!$C$7:$C$66,$E11169,'Vols additionnels'!$D$7:$D$66,$F11169,'Vols additionnels'!$B$7:$B$66,$D11169)</f>
        <v>0</v>
      </c>
      <c r="H11169" s="135" t="n">
        <f aca="false">$G11169*'Analyse capacite'!$F$8</f>
        <v>0</v>
      </c>
      <c r="I11169" s="135" t="n">
        <f aca="false">$G11169*'Analyse capacite'!$C$8</f>
        <v>0</v>
      </c>
      <c r="J11169" s="135" t="n">
        <f aca="false">$G11169*'Analyse capacite'!$D$8</f>
        <v>0</v>
      </c>
      <c r="K11169" s="135" t="n">
        <f aca="false">$G11169*'Analyse capacite'!$E$8</f>
        <v>0</v>
      </c>
    </row>
    <row r="11170" customFormat="false" ht="15" hidden="false" customHeight="false" outlineLevel="0" collapsed="false">
      <c r="B11170" s="130" t="n">
        <v>2028</v>
      </c>
      <c r="C11170" s="131" t="s">
        <v>256</v>
      </c>
      <c r="D11170" s="132" t="n">
        <v>46788</v>
      </c>
      <c r="E11170" s="131" t="s">
        <v>20</v>
      </c>
      <c r="F11170" s="133" t="s">
        <v>24</v>
      </c>
      <c r="G11170" s="134" t="n">
        <f aca="false">LEN('Saisie programme'!$I$408)+SUMIFS('Vols additionnels'!$E$7:$E$66,'Vols additionnels'!$C$7:$C$66,$E11170,'Vols additionnels'!$D$7:$D$66,$F11170,'Vols additionnels'!$B$7:$B$66,$D11170)</f>
        <v>0</v>
      </c>
      <c r="H11170" s="135" t="n">
        <f aca="false">$G11170*'Analyse capacite'!$F$9</f>
        <v>0</v>
      </c>
      <c r="I11170" s="135" t="n">
        <f aca="false">$G11170*'Analyse capacite'!$C$9</f>
        <v>0</v>
      </c>
      <c r="J11170" s="135" t="n">
        <f aca="false">$G11170*'Analyse capacite'!$D$9</f>
        <v>0</v>
      </c>
      <c r="K11170" s="135" t="n">
        <f aca="false">$G11170*'Analyse capacite'!$E$9</f>
        <v>0</v>
      </c>
    </row>
    <row r="11171" customFormat="false" ht="15" hidden="false" customHeight="false" outlineLevel="0" collapsed="false">
      <c r="B11171" s="130" t="n">
        <v>2028</v>
      </c>
      <c r="C11171" s="131" t="s">
        <v>256</v>
      </c>
      <c r="D11171" s="132" t="n">
        <v>46788</v>
      </c>
      <c r="E11171" s="131" t="s">
        <v>25</v>
      </c>
      <c r="F11171" s="133" t="s">
        <v>11</v>
      </c>
      <c r="G11171" s="134" t="n">
        <f aca="false">LEN('Saisie programme'!$I$409)+SUMIFS('Vols additionnels'!$E$7:$E$66,'Vols additionnels'!$C$7:$C$66,$E11171,'Vols additionnels'!$D$7:$D$66,$F11171,'Vols additionnels'!$B$7:$B$66,$D11171)</f>
        <v>0</v>
      </c>
      <c r="H11171" s="135" t="n">
        <f aca="false">$G11171*'Analyse capacite'!$F$7</f>
        <v>0</v>
      </c>
      <c r="I11171" s="135" t="n">
        <f aca="false">$G11171*'Analyse capacite'!$C$7</f>
        <v>0</v>
      </c>
      <c r="J11171" s="135" t="n">
        <f aca="false">$G11171*'Analyse capacite'!$D$7</f>
        <v>0</v>
      </c>
      <c r="K11171" s="135" t="n">
        <f aca="false">$G11171*'Analyse capacite'!$E$7</f>
        <v>0</v>
      </c>
    </row>
    <row r="11172" customFormat="false" ht="15" hidden="false" customHeight="false" outlineLevel="0" collapsed="false">
      <c r="B11172" s="130" t="n">
        <v>2028</v>
      </c>
      <c r="C11172" s="131" t="s">
        <v>256</v>
      </c>
      <c r="D11172" s="132" t="n">
        <v>46788</v>
      </c>
      <c r="E11172" s="131" t="s">
        <v>25</v>
      </c>
      <c r="F11172" s="133" t="s">
        <v>19</v>
      </c>
      <c r="G11172" s="134" t="n">
        <f aca="false">LEN('Saisie programme'!$I$410)+SUMIFS('Vols additionnels'!$E$7:$E$66,'Vols additionnels'!$C$7:$C$66,$E11172,'Vols additionnels'!$D$7:$D$66,$F11172,'Vols additionnels'!$B$7:$B$66,$D11172)</f>
        <v>1</v>
      </c>
      <c r="H11172" s="135" t="n">
        <f aca="false">$G11172*'Analyse capacite'!$F$8</f>
        <v>262</v>
      </c>
      <c r="I11172" s="135" t="n">
        <f aca="false">$G11172*'Analyse capacite'!$C$8</f>
        <v>18</v>
      </c>
      <c r="J11172" s="135" t="n">
        <f aca="false">$G11172*'Analyse capacite'!$D$8</f>
        <v>0</v>
      </c>
      <c r="K11172" s="135" t="n">
        <f aca="false">$G11172*'Analyse capacite'!$E$8</f>
        <v>244</v>
      </c>
    </row>
    <row r="11173" customFormat="false" ht="15" hidden="false" customHeight="false" outlineLevel="0" collapsed="false">
      <c r="B11173" s="130" t="n">
        <v>2028</v>
      </c>
      <c r="C11173" s="131" t="s">
        <v>256</v>
      </c>
      <c r="D11173" s="132" t="n">
        <v>46788</v>
      </c>
      <c r="E11173" s="131" t="s">
        <v>25</v>
      </c>
      <c r="F11173" s="133" t="s">
        <v>24</v>
      </c>
      <c r="G11173" s="134" t="n">
        <f aca="false">LEN('Saisie programme'!$I$411)+SUMIFS('Vols additionnels'!$E$7:$E$66,'Vols additionnels'!$C$7:$C$66,$E11173,'Vols additionnels'!$D$7:$D$66,$F11173,'Vols additionnels'!$B$7:$B$66,$D11173)</f>
        <v>0</v>
      </c>
      <c r="H11173" s="135" t="n">
        <f aca="false">$G11173*'Analyse capacite'!$F$9</f>
        <v>0</v>
      </c>
      <c r="I11173" s="135" t="n">
        <f aca="false">$G11173*'Analyse capacite'!$C$9</f>
        <v>0</v>
      </c>
      <c r="J11173" s="135" t="n">
        <f aca="false">$G11173*'Analyse capacite'!$D$9</f>
        <v>0</v>
      </c>
      <c r="K11173" s="135" t="n">
        <f aca="false">$G11173*'Analyse capacite'!$E$9</f>
        <v>0</v>
      </c>
    </row>
    <row r="11174" customFormat="false" ht="15" hidden="false" customHeight="false" outlineLevel="0" collapsed="false">
      <c r="B11174" s="130" t="n">
        <v>2028</v>
      </c>
      <c r="C11174" s="131" t="s">
        <v>256</v>
      </c>
      <c r="D11174" s="132" t="n">
        <v>46788</v>
      </c>
      <c r="E11174" s="131" t="s">
        <v>36</v>
      </c>
      <c r="F11174" s="133" t="s">
        <v>11</v>
      </c>
      <c r="G11174" s="134" t="n">
        <f aca="false">LEN('Saisie programme'!$I$412)+SUMIFS('Vols additionnels'!$E$7:$E$66,'Vols additionnels'!$C$7:$C$66,$E11174,'Vols additionnels'!$D$7:$D$66,$F11174,'Vols additionnels'!$B$7:$B$66,$D11174)</f>
        <v>0</v>
      </c>
      <c r="H11174" s="135" t="n">
        <f aca="false">$G11174*'Analyse capacite'!$F$7</f>
        <v>0</v>
      </c>
      <c r="I11174" s="135" t="n">
        <f aca="false">$G11174*'Analyse capacite'!$C$7</f>
        <v>0</v>
      </c>
      <c r="J11174" s="135" t="n">
        <f aca="false">$G11174*'Analyse capacite'!$D$7</f>
        <v>0</v>
      </c>
      <c r="K11174" s="135" t="n">
        <f aca="false">$G11174*'Analyse capacite'!$E$7</f>
        <v>0</v>
      </c>
    </row>
    <row r="11175" customFormat="false" ht="15" hidden="false" customHeight="false" outlineLevel="0" collapsed="false">
      <c r="B11175" s="130" t="n">
        <v>2028</v>
      </c>
      <c r="C11175" s="131" t="s">
        <v>256</v>
      </c>
      <c r="D11175" s="132" t="n">
        <v>46788</v>
      </c>
      <c r="E11175" s="131" t="s">
        <v>36</v>
      </c>
      <c r="F11175" s="133" t="s">
        <v>19</v>
      </c>
      <c r="G11175" s="134" t="n">
        <f aca="false">LEN('Saisie programme'!$I$413)+SUMIFS('Vols additionnels'!$E$7:$E$66,'Vols additionnels'!$C$7:$C$66,$E11175,'Vols additionnels'!$D$7:$D$66,$F11175,'Vols additionnels'!$B$7:$B$66,$D11175)</f>
        <v>0</v>
      </c>
      <c r="H11175" s="135" t="n">
        <f aca="false">$G11175*'Analyse capacite'!$F$8</f>
        <v>0</v>
      </c>
      <c r="I11175" s="135" t="n">
        <f aca="false">$G11175*'Analyse capacite'!$C$8</f>
        <v>0</v>
      </c>
      <c r="J11175" s="135" t="n">
        <f aca="false">$G11175*'Analyse capacite'!$D$8</f>
        <v>0</v>
      </c>
      <c r="K11175" s="135" t="n">
        <f aca="false">$G11175*'Analyse capacite'!$E$8</f>
        <v>0</v>
      </c>
    </row>
    <row r="11176" customFormat="false" ht="15" hidden="false" customHeight="false" outlineLevel="0" collapsed="false">
      <c r="B11176" s="130" t="n">
        <v>2028</v>
      </c>
      <c r="C11176" s="131" t="s">
        <v>256</v>
      </c>
      <c r="D11176" s="132" t="n">
        <v>46788</v>
      </c>
      <c r="E11176" s="131" t="s">
        <v>36</v>
      </c>
      <c r="F11176" s="133" t="s">
        <v>24</v>
      </c>
      <c r="G11176" s="134" t="n">
        <f aca="false">LEN('Saisie programme'!$I$414)+SUMIFS('Vols additionnels'!$E$7:$E$66,'Vols additionnels'!$C$7:$C$66,$E11176,'Vols additionnels'!$D$7:$D$66,$F11176,'Vols additionnels'!$B$7:$B$66,$D11176)</f>
        <v>0</v>
      </c>
      <c r="H11176" s="135" t="n">
        <f aca="false">$G11176*'Analyse capacite'!$F$9</f>
        <v>0</v>
      </c>
      <c r="I11176" s="135" t="n">
        <f aca="false">$G11176*'Analyse capacite'!$C$9</f>
        <v>0</v>
      </c>
      <c r="J11176" s="135" t="n">
        <f aca="false">$G11176*'Analyse capacite'!$D$9</f>
        <v>0</v>
      </c>
      <c r="K11176" s="135" t="n">
        <f aca="false">$G11176*'Analyse capacite'!$E$9</f>
        <v>0</v>
      </c>
    </row>
    <row r="11177" customFormat="false" ht="15" hidden="false" customHeight="false" outlineLevel="0" collapsed="false">
      <c r="B11177" s="130" t="n">
        <v>2028</v>
      </c>
      <c r="C11177" s="131" t="s">
        <v>256</v>
      </c>
      <c r="D11177" s="132" t="n">
        <v>46788</v>
      </c>
      <c r="E11177" s="131" t="s">
        <v>40</v>
      </c>
      <c r="F11177" s="133" t="s">
        <v>11</v>
      </c>
      <c r="G11177" s="134" t="n">
        <f aca="false">LEN('Saisie programme'!$I$415)+SUMIFS('Vols additionnels'!$E$7:$E$66,'Vols additionnels'!$C$7:$C$66,$E11177,'Vols additionnels'!$D$7:$D$66,$F11177,'Vols additionnels'!$B$7:$B$66,$D11177)</f>
        <v>0</v>
      </c>
      <c r="H11177" s="135" t="n">
        <f aca="false">$G11177*'Analyse capacite'!$F$7</f>
        <v>0</v>
      </c>
      <c r="I11177" s="135" t="n">
        <f aca="false">$G11177*'Analyse capacite'!$C$7</f>
        <v>0</v>
      </c>
      <c r="J11177" s="135" t="n">
        <f aca="false">$G11177*'Analyse capacite'!$D$7</f>
        <v>0</v>
      </c>
      <c r="K11177" s="135" t="n">
        <f aca="false">$G11177*'Analyse capacite'!$E$7</f>
        <v>0</v>
      </c>
    </row>
    <row r="11178" customFormat="false" ht="15" hidden="false" customHeight="false" outlineLevel="0" collapsed="false">
      <c r="B11178" s="130" t="n">
        <v>2028</v>
      </c>
      <c r="C11178" s="131" t="s">
        <v>256</v>
      </c>
      <c r="D11178" s="132" t="n">
        <v>46788</v>
      </c>
      <c r="E11178" s="131" t="s">
        <v>40</v>
      </c>
      <c r="F11178" s="133" t="s">
        <v>19</v>
      </c>
      <c r="G11178" s="134" t="n">
        <f aca="false">LEN('Saisie programme'!$I$416)+SUMIFS('Vols additionnels'!$E$7:$E$66,'Vols additionnels'!$C$7:$C$66,$E11178,'Vols additionnels'!$D$7:$D$66,$F11178,'Vols additionnels'!$B$7:$B$66,$D11178)</f>
        <v>0</v>
      </c>
      <c r="H11178" s="135" t="n">
        <f aca="false">$G11178*'Analyse capacite'!$F$8</f>
        <v>0</v>
      </c>
      <c r="I11178" s="135" t="n">
        <f aca="false">$G11178*'Analyse capacite'!$C$8</f>
        <v>0</v>
      </c>
      <c r="J11178" s="135" t="n">
        <f aca="false">$G11178*'Analyse capacite'!$D$8</f>
        <v>0</v>
      </c>
      <c r="K11178" s="135" t="n">
        <f aca="false">$G11178*'Analyse capacite'!$E$8</f>
        <v>0</v>
      </c>
    </row>
    <row r="11179" customFormat="false" ht="15" hidden="false" customHeight="false" outlineLevel="0" collapsed="false">
      <c r="B11179" s="130" t="n">
        <v>2028</v>
      </c>
      <c r="C11179" s="131" t="s">
        <v>256</v>
      </c>
      <c r="D11179" s="132" t="n">
        <v>46788</v>
      </c>
      <c r="E11179" s="131" t="s">
        <v>40</v>
      </c>
      <c r="F11179" s="133" t="s">
        <v>24</v>
      </c>
      <c r="G11179" s="134" t="n">
        <f aca="false">LEN('Saisie programme'!$I$417)+SUMIFS('Vols additionnels'!$E$7:$E$66,'Vols additionnels'!$C$7:$C$66,$E11179,'Vols additionnels'!$D$7:$D$66,$F11179,'Vols additionnels'!$B$7:$B$66,$D11179)</f>
        <v>0</v>
      </c>
      <c r="H11179" s="135" t="n">
        <f aca="false">$G11179*'Analyse capacite'!$F$9</f>
        <v>0</v>
      </c>
      <c r="I11179" s="135" t="n">
        <f aca="false">$G11179*'Analyse capacite'!$C$9</f>
        <v>0</v>
      </c>
      <c r="J11179" s="135" t="n">
        <f aca="false">$G11179*'Analyse capacite'!$D$9</f>
        <v>0</v>
      </c>
      <c r="K11179" s="135" t="n">
        <f aca="false">$G11179*'Analyse capacite'!$E$9</f>
        <v>0</v>
      </c>
    </row>
    <row r="11180" customFormat="false" ht="15" hidden="false" customHeight="false" outlineLevel="0" collapsed="false">
      <c r="B11180" s="130" t="n">
        <v>2028</v>
      </c>
      <c r="C11180" s="131" t="s">
        <v>256</v>
      </c>
      <c r="D11180" s="132" t="n">
        <v>46788</v>
      </c>
      <c r="E11180" s="131" t="s">
        <v>14</v>
      </c>
      <c r="F11180" s="133" t="s">
        <v>11</v>
      </c>
      <c r="G11180" s="134" t="n">
        <f aca="false">LEN('Saisie programme'!$I$418)+SUMIFS('Vols additionnels'!$E$7:$E$66,'Vols additionnels'!$C$7:$C$66,$E11180,'Vols additionnels'!$D$7:$D$66,$F11180,'Vols additionnels'!$B$7:$B$66,$D11180)</f>
        <v>0</v>
      </c>
      <c r="H11180" s="135" t="n">
        <f aca="false">$G11180*'Analyse capacite'!$F$7</f>
        <v>0</v>
      </c>
      <c r="I11180" s="135" t="n">
        <f aca="false">$G11180*'Analyse capacite'!$C$7</f>
        <v>0</v>
      </c>
      <c r="J11180" s="135" t="n">
        <f aca="false">$G11180*'Analyse capacite'!$D$7</f>
        <v>0</v>
      </c>
      <c r="K11180" s="135" t="n">
        <f aca="false">$G11180*'Analyse capacite'!$E$7</f>
        <v>0</v>
      </c>
    </row>
    <row r="11181" customFormat="false" ht="15" hidden="false" customHeight="false" outlineLevel="0" collapsed="false">
      <c r="B11181" s="130" t="n">
        <v>2028</v>
      </c>
      <c r="C11181" s="131" t="s">
        <v>256</v>
      </c>
      <c r="D11181" s="132" t="n">
        <v>46788</v>
      </c>
      <c r="E11181" s="131" t="s">
        <v>14</v>
      </c>
      <c r="F11181" s="133" t="s">
        <v>19</v>
      </c>
      <c r="G11181" s="134" t="n">
        <f aca="false">LEN('Saisie programme'!$I$419)+SUMIFS('Vols additionnels'!$E$7:$E$66,'Vols additionnels'!$C$7:$C$66,$E11181,'Vols additionnels'!$D$7:$D$66,$F11181,'Vols additionnels'!$B$7:$B$66,$D11181)</f>
        <v>0</v>
      </c>
      <c r="H11181" s="135" t="n">
        <f aca="false">$G11181*'Analyse capacite'!$F$8</f>
        <v>0</v>
      </c>
      <c r="I11181" s="135" t="n">
        <f aca="false">$G11181*'Analyse capacite'!$C$8</f>
        <v>0</v>
      </c>
      <c r="J11181" s="135" t="n">
        <f aca="false">$G11181*'Analyse capacite'!$D$8</f>
        <v>0</v>
      </c>
      <c r="K11181" s="135" t="n">
        <f aca="false">$G11181*'Analyse capacite'!$E$8</f>
        <v>0</v>
      </c>
    </row>
    <row r="11182" customFormat="false" ht="15" hidden="false" customHeight="false" outlineLevel="0" collapsed="false">
      <c r="B11182" s="130" t="n">
        <v>2028</v>
      </c>
      <c r="C11182" s="131" t="s">
        <v>256</v>
      </c>
      <c r="D11182" s="132" t="n">
        <v>46788</v>
      </c>
      <c r="E11182" s="131" t="s">
        <v>14</v>
      </c>
      <c r="F11182" s="133" t="s">
        <v>24</v>
      </c>
      <c r="G11182" s="134" t="n">
        <f aca="false">LEN('Saisie programme'!$I$420)+SUMIFS('Vols additionnels'!$E$7:$E$66,'Vols additionnels'!$C$7:$C$66,$E11182,'Vols additionnels'!$D$7:$D$66,$F11182,'Vols additionnels'!$B$7:$B$66,$D11182)</f>
        <v>1</v>
      </c>
      <c r="H11182" s="135" t="n">
        <f aca="false">$G11182*'Analyse capacite'!$F$9</f>
        <v>174</v>
      </c>
      <c r="I11182" s="135" t="n">
        <f aca="false">$G11182*'Analyse capacite'!$C$9</f>
        <v>0</v>
      </c>
      <c r="J11182" s="135" t="n">
        <f aca="false">$G11182*'Analyse capacite'!$D$9</f>
        <v>12</v>
      </c>
      <c r="K11182" s="135" t="n">
        <f aca="false">$G11182*'Analyse capacite'!$E$9</f>
        <v>162</v>
      </c>
    </row>
    <row r="11183" customFormat="false" ht="15" hidden="false" customHeight="false" outlineLevel="0" collapsed="false">
      <c r="B11183" s="130" t="n">
        <v>2028</v>
      </c>
      <c r="C11183" s="131" t="s">
        <v>256</v>
      </c>
      <c r="D11183" s="132" t="n">
        <v>46788</v>
      </c>
      <c r="E11183" s="131" t="s">
        <v>46</v>
      </c>
      <c r="F11183" s="133" t="s">
        <v>11</v>
      </c>
      <c r="G11183" s="134" t="n">
        <f aca="false">LEN('Saisie programme'!$I$421)+SUMIFS('Vols additionnels'!$E$7:$E$66,'Vols additionnels'!$C$7:$C$66,$E11183,'Vols additionnels'!$D$7:$D$66,$F11183,'Vols additionnels'!$B$7:$B$66,$D11183)</f>
        <v>0</v>
      </c>
      <c r="H11183" s="135" t="n">
        <f aca="false">$G11183*'Analyse capacite'!$F$7</f>
        <v>0</v>
      </c>
      <c r="I11183" s="135" t="n">
        <f aca="false">$G11183*'Analyse capacite'!$C$7</f>
        <v>0</v>
      </c>
      <c r="J11183" s="135" t="n">
        <f aca="false">$G11183*'Analyse capacite'!$D$7</f>
        <v>0</v>
      </c>
      <c r="K11183" s="135" t="n">
        <f aca="false">$G11183*'Analyse capacite'!$E$7</f>
        <v>0</v>
      </c>
    </row>
    <row r="11184" customFormat="false" ht="15" hidden="false" customHeight="false" outlineLevel="0" collapsed="false">
      <c r="B11184" s="130" t="n">
        <v>2028</v>
      </c>
      <c r="C11184" s="131" t="s">
        <v>256</v>
      </c>
      <c r="D11184" s="132" t="n">
        <v>46788</v>
      </c>
      <c r="E11184" s="131" t="s">
        <v>46</v>
      </c>
      <c r="F11184" s="133" t="s">
        <v>19</v>
      </c>
      <c r="G11184" s="134" t="n">
        <f aca="false">LEN('Saisie programme'!$I$422)+SUMIFS('Vols additionnels'!$E$7:$E$66,'Vols additionnels'!$C$7:$C$66,$E11184,'Vols additionnels'!$D$7:$D$66,$F11184,'Vols additionnels'!$B$7:$B$66,$D11184)</f>
        <v>0</v>
      </c>
      <c r="H11184" s="135" t="n">
        <f aca="false">$G11184*'Analyse capacite'!$F$8</f>
        <v>0</v>
      </c>
      <c r="I11184" s="135" t="n">
        <f aca="false">$G11184*'Analyse capacite'!$C$8</f>
        <v>0</v>
      </c>
      <c r="J11184" s="135" t="n">
        <f aca="false">$G11184*'Analyse capacite'!$D$8</f>
        <v>0</v>
      </c>
      <c r="K11184" s="135" t="n">
        <f aca="false">$G11184*'Analyse capacite'!$E$8</f>
        <v>0</v>
      </c>
    </row>
    <row r="11185" customFormat="false" ht="15" hidden="false" customHeight="false" outlineLevel="0" collapsed="false">
      <c r="B11185" s="130" t="n">
        <v>2028</v>
      </c>
      <c r="C11185" s="131" t="s">
        <v>256</v>
      </c>
      <c r="D11185" s="132" t="n">
        <v>46788</v>
      </c>
      <c r="E11185" s="131" t="s">
        <v>46</v>
      </c>
      <c r="F11185" s="133" t="s">
        <v>24</v>
      </c>
      <c r="G11185" s="134" t="n">
        <f aca="false">LEN('Saisie programme'!$I$423)+SUMIFS('Vols additionnels'!$E$7:$E$66,'Vols additionnels'!$C$7:$C$66,$E11185,'Vols additionnels'!$D$7:$D$66,$F11185,'Vols additionnels'!$B$7:$B$66,$D11185)</f>
        <v>1</v>
      </c>
      <c r="H11185" s="135" t="n">
        <f aca="false">$G11185*'Analyse capacite'!$F$9</f>
        <v>174</v>
      </c>
      <c r="I11185" s="135" t="n">
        <f aca="false">$G11185*'Analyse capacite'!$C$9</f>
        <v>0</v>
      </c>
      <c r="J11185" s="135" t="n">
        <f aca="false">$G11185*'Analyse capacite'!$D$9</f>
        <v>12</v>
      </c>
      <c r="K11185" s="135" t="n">
        <f aca="false">$G11185*'Analyse capacite'!$E$9</f>
        <v>162</v>
      </c>
    </row>
    <row r="11186" customFormat="false" ht="15" hidden="false" customHeight="false" outlineLevel="0" collapsed="false">
      <c r="B11186" s="130" t="n">
        <v>2028</v>
      </c>
      <c r="C11186" s="131" t="s">
        <v>256</v>
      </c>
      <c r="D11186" s="132" t="n">
        <v>46788</v>
      </c>
      <c r="E11186" s="131" t="s">
        <v>49</v>
      </c>
      <c r="F11186" s="133" t="s">
        <v>11</v>
      </c>
      <c r="G11186" s="134" t="n">
        <f aca="false">LEN('Saisie programme'!$I$424)+SUMIFS('Vols additionnels'!$E$7:$E$66,'Vols additionnels'!$C$7:$C$66,$E11186,'Vols additionnels'!$D$7:$D$66,$F11186,'Vols additionnels'!$B$7:$B$66,$D11186)</f>
        <v>0</v>
      </c>
      <c r="H11186" s="135" t="n">
        <f aca="false">$G11186*'Analyse capacite'!$F$7</f>
        <v>0</v>
      </c>
      <c r="I11186" s="135" t="n">
        <f aca="false">$G11186*'Analyse capacite'!$C$7</f>
        <v>0</v>
      </c>
      <c r="J11186" s="135" t="n">
        <f aca="false">$G11186*'Analyse capacite'!$D$7</f>
        <v>0</v>
      </c>
      <c r="K11186" s="135" t="n">
        <f aca="false">$G11186*'Analyse capacite'!$E$7</f>
        <v>0</v>
      </c>
    </row>
    <row r="11187" customFormat="false" ht="15" hidden="false" customHeight="false" outlineLevel="0" collapsed="false">
      <c r="B11187" s="130" t="n">
        <v>2028</v>
      </c>
      <c r="C11187" s="131" t="s">
        <v>256</v>
      </c>
      <c r="D11187" s="132" t="n">
        <v>46788</v>
      </c>
      <c r="E11187" s="131" t="s">
        <v>49</v>
      </c>
      <c r="F11187" s="133" t="s">
        <v>19</v>
      </c>
      <c r="G11187" s="134" t="n">
        <f aca="false">LEN('Saisie programme'!$I$425)+SUMIFS('Vols additionnels'!$E$7:$E$66,'Vols additionnels'!$C$7:$C$66,$E11187,'Vols additionnels'!$D$7:$D$66,$F11187,'Vols additionnels'!$B$7:$B$66,$D11187)</f>
        <v>0</v>
      </c>
      <c r="H11187" s="135" t="n">
        <f aca="false">$G11187*'Analyse capacite'!$F$8</f>
        <v>0</v>
      </c>
      <c r="I11187" s="135" t="n">
        <f aca="false">$G11187*'Analyse capacite'!$C$8</f>
        <v>0</v>
      </c>
      <c r="J11187" s="135" t="n">
        <f aca="false">$G11187*'Analyse capacite'!$D$8</f>
        <v>0</v>
      </c>
      <c r="K11187" s="135" t="n">
        <f aca="false">$G11187*'Analyse capacite'!$E$8</f>
        <v>0</v>
      </c>
    </row>
    <row r="11188" customFormat="false" ht="15" hidden="false" customHeight="false" outlineLevel="0" collapsed="false">
      <c r="B11188" s="130" t="n">
        <v>2028</v>
      </c>
      <c r="C11188" s="131" t="s">
        <v>256</v>
      </c>
      <c r="D11188" s="132" t="n">
        <v>46788</v>
      </c>
      <c r="E11188" s="131" t="s">
        <v>49</v>
      </c>
      <c r="F11188" s="133" t="s">
        <v>24</v>
      </c>
      <c r="G11188" s="134" t="n">
        <f aca="false">LEN('Saisie programme'!$I$426)+SUMIFS('Vols additionnels'!$E$7:$E$66,'Vols additionnels'!$C$7:$C$66,$E11188,'Vols additionnels'!$D$7:$D$66,$F11188,'Vols additionnels'!$B$7:$B$66,$D11188)</f>
        <v>0</v>
      </c>
      <c r="H11188" s="135" t="n">
        <f aca="false">$G11188*'Analyse capacite'!$F$9</f>
        <v>0</v>
      </c>
      <c r="I11188" s="135" t="n">
        <f aca="false">$G11188*'Analyse capacite'!$C$9</f>
        <v>0</v>
      </c>
      <c r="J11188" s="135" t="n">
        <f aca="false">$G11188*'Analyse capacite'!$D$9</f>
        <v>0</v>
      </c>
      <c r="K11188" s="135" t="n">
        <f aca="false">$G11188*'Analyse capacite'!$E$9</f>
        <v>0</v>
      </c>
    </row>
    <row r="11189" customFormat="false" ht="15" hidden="false" customHeight="false" outlineLevel="0" collapsed="false">
      <c r="B11189" s="130" t="n">
        <v>2028</v>
      </c>
      <c r="C11189" s="131" t="s">
        <v>256</v>
      </c>
      <c r="D11189" s="132" t="n">
        <v>46788</v>
      </c>
      <c r="E11189" s="131" t="s">
        <v>53</v>
      </c>
      <c r="F11189" s="133" t="s">
        <v>11</v>
      </c>
      <c r="G11189" s="134" t="n">
        <f aca="false">LEN('Saisie programme'!$I$427)+SUMIFS('Vols additionnels'!$E$7:$E$66,'Vols additionnels'!$C$7:$C$66,$E11189,'Vols additionnels'!$D$7:$D$66,$F11189,'Vols additionnels'!$B$7:$B$66,$D11189)</f>
        <v>0</v>
      </c>
      <c r="H11189" s="135" t="n">
        <f aca="false">$G11189*'Analyse capacite'!$F$7</f>
        <v>0</v>
      </c>
      <c r="I11189" s="135" t="n">
        <f aca="false">$G11189*'Analyse capacite'!$C$7</f>
        <v>0</v>
      </c>
      <c r="J11189" s="135" t="n">
        <f aca="false">$G11189*'Analyse capacite'!$D$7</f>
        <v>0</v>
      </c>
      <c r="K11189" s="135" t="n">
        <f aca="false">$G11189*'Analyse capacite'!$E$7</f>
        <v>0</v>
      </c>
    </row>
    <row r="11190" customFormat="false" ht="15" hidden="false" customHeight="false" outlineLevel="0" collapsed="false">
      <c r="B11190" s="130" t="n">
        <v>2028</v>
      </c>
      <c r="C11190" s="131" t="s">
        <v>256</v>
      </c>
      <c r="D11190" s="132" t="n">
        <v>46788</v>
      </c>
      <c r="E11190" s="131" t="s">
        <v>53</v>
      </c>
      <c r="F11190" s="133" t="s">
        <v>19</v>
      </c>
      <c r="G11190" s="134" t="n">
        <f aca="false">LEN('Saisie programme'!$I$428)+SUMIFS('Vols additionnels'!$E$7:$E$66,'Vols additionnels'!$C$7:$C$66,$E11190,'Vols additionnels'!$D$7:$D$66,$F11190,'Vols additionnels'!$B$7:$B$66,$D11190)</f>
        <v>0</v>
      </c>
      <c r="H11190" s="135" t="n">
        <f aca="false">$G11190*'Analyse capacite'!$F$8</f>
        <v>0</v>
      </c>
      <c r="I11190" s="135" t="n">
        <f aca="false">$G11190*'Analyse capacite'!$C$8</f>
        <v>0</v>
      </c>
      <c r="J11190" s="135" t="n">
        <f aca="false">$G11190*'Analyse capacite'!$D$8</f>
        <v>0</v>
      </c>
      <c r="K11190" s="135" t="n">
        <f aca="false">$G11190*'Analyse capacite'!$E$8</f>
        <v>0</v>
      </c>
    </row>
    <row r="11191" customFormat="false" ht="15" hidden="false" customHeight="false" outlineLevel="0" collapsed="false">
      <c r="B11191" s="130" t="n">
        <v>2028</v>
      </c>
      <c r="C11191" s="131" t="s">
        <v>256</v>
      </c>
      <c r="D11191" s="132" t="n">
        <v>46788</v>
      </c>
      <c r="E11191" s="131" t="s">
        <v>53</v>
      </c>
      <c r="F11191" s="133" t="s">
        <v>24</v>
      </c>
      <c r="G11191" s="134" t="n">
        <f aca="false">LEN('Saisie programme'!$I$429)+SUMIFS('Vols additionnels'!$E$7:$E$66,'Vols additionnels'!$C$7:$C$66,$E11191,'Vols additionnels'!$D$7:$D$66,$F11191,'Vols additionnels'!$B$7:$B$66,$D11191)</f>
        <v>0</v>
      </c>
      <c r="H11191" s="135" t="n">
        <f aca="false">$G11191*'Analyse capacite'!$F$9</f>
        <v>0</v>
      </c>
      <c r="I11191" s="135" t="n">
        <f aca="false">$G11191*'Analyse capacite'!$C$9</f>
        <v>0</v>
      </c>
      <c r="J11191" s="135" t="n">
        <f aca="false">$G11191*'Analyse capacite'!$D$9</f>
        <v>0</v>
      </c>
      <c r="K11191" s="135" t="n">
        <f aca="false">$G11191*'Analyse capacite'!$E$9</f>
        <v>0</v>
      </c>
    </row>
    <row r="11192" customFormat="false" ht="15" hidden="false" customHeight="false" outlineLevel="0" collapsed="false">
      <c r="B11192" s="130" t="n">
        <v>2028</v>
      </c>
      <c r="C11192" s="131" t="s">
        <v>256</v>
      </c>
      <c r="D11192" s="132" t="n">
        <v>46788</v>
      </c>
      <c r="E11192" s="131" t="s">
        <v>56</v>
      </c>
      <c r="F11192" s="133" t="s">
        <v>11</v>
      </c>
      <c r="G11192" s="134" t="n">
        <f aca="false">LEN('Saisie programme'!$I$430)+SUMIFS('Vols additionnels'!$E$7:$E$66,'Vols additionnels'!$C$7:$C$66,$E11192,'Vols additionnels'!$D$7:$D$66,$F11192,'Vols additionnels'!$B$7:$B$66,$D11192)</f>
        <v>0</v>
      </c>
      <c r="H11192" s="135" t="n">
        <f aca="false">$G11192*'Analyse capacite'!$F$7</f>
        <v>0</v>
      </c>
      <c r="I11192" s="135" t="n">
        <f aca="false">$G11192*'Analyse capacite'!$C$7</f>
        <v>0</v>
      </c>
      <c r="J11192" s="135" t="n">
        <f aca="false">$G11192*'Analyse capacite'!$D$7</f>
        <v>0</v>
      </c>
      <c r="K11192" s="135" t="n">
        <f aca="false">$G11192*'Analyse capacite'!$E$7</f>
        <v>0</v>
      </c>
    </row>
    <row r="11193" customFormat="false" ht="15" hidden="false" customHeight="false" outlineLevel="0" collapsed="false">
      <c r="B11193" s="130" t="n">
        <v>2028</v>
      </c>
      <c r="C11193" s="131" t="s">
        <v>256</v>
      </c>
      <c r="D11193" s="132" t="n">
        <v>46788</v>
      </c>
      <c r="E11193" s="131" t="s">
        <v>56</v>
      </c>
      <c r="F11193" s="133" t="s">
        <v>19</v>
      </c>
      <c r="G11193" s="134" t="n">
        <f aca="false">LEN('Saisie programme'!$I$431)+SUMIFS('Vols additionnels'!$E$7:$E$66,'Vols additionnels'!$C$7:$C$66,$E11193,'Vols additionnels'!$D$7:$D$66,$F11193,'Vols additionnels'!$B$7:$B$66,$D11193)</f>
        <v>0</v>
      </c>
      <c r="H11193" s="135" t="n">
        <f aca="false">$G11193*'Analyse capacite'!$F$8</f>
        <v>0</v>
      </c>
      <c r="I11193" s="135" t="n">
        <f aca="false">$G11193*'Analyse capacite'!$C$8</f>
        <v>0</v>
      </c>
      <c r="J11193" s="135" t="n">
        <f aca="false">$G11193*'Analyse capacite'!$D$8</f>
        <v>0</v>
      </c>
      <c r="K11193" s="135" t="n">
        <f aca="false">$G11193*'Analyse capacite'!$E$8</f>
        <v>0</v>
      </c>
    </row>
    <row r="11194" customFormat="false" ht="15" hidden="false" customHeight="false" outlineLevel="0" collapsed="false">
      <c r="B11194" s="130" t="n">
        <v>2028</v>
      </c>
      <c r="C11194" s="131" t="s">
        <v>256</v>
      </c>
      <c r="D11194" s="132" t="n">
        <v>46788</v>
      </c>
      <c r="E11194" s="131" t="s">
        <v>56</v>
      </c>
      <c r="F11194" s="133" t="s">
        <v>24</v>
      </c>
      <c r="G11194" s="134" t="n">
        <f aca="false">LEN('Saisie programme'!$I$432)+SUMIFS('Vols additionnels'!$E$7:$E$66,'Vols additionnels'!$C$7:$C$66,$E11194,'Vols additionnels'!$D$7:$D$66,$F11194,'Vols additionnels'!$B$7:$B$66,$D11194)</f>
        <v>1</v>
      </c>
      <c r="H11194" s="135" t="n">
        <f aca="false">$G11194*'Analyse capacite'!$F$9</f>
        <v>174</v>
      </c>
      <c r="I11194" s="135" t="n">
        <f aca="false">$G11194*'Analyse capacite'!$C$9</f>
        <v>0</v>
      </c>
      <c r="J11194" s="135" t="n">
        <f aca="false">$G11194*'Analyse capacite'!$D$9</f>
        <v>12</v>
      </c>
      <c r="K11194" s="135" t="n">
        <f aca="false">$G11194*'Analyse capacite'!$E$9</f>
        <v>162</v>
      </c>
    </row>
    <row r="11195" customFormat="false" ht="15" hidden="false" customHeight="false" outlineLevel="0" collapsed="false">
      <c r="B11195" s="130" t="n">
        <v>2028</v>
      </c>
      <c r="C11195" s="131" t="s">
        <v>256</v>
      </c>
      <c r="D11195" s="132" t="n">
        <v>46788</v>
      </c>
      <c r="E11195" s="131" t="s">
        <v>59</v>
      </c>
      <c r="F11195" s="133" t="s">
        <v>11</v>
      </c>
      <c r="G11195" s="134" t="n">
        <f aca="false">LEN('Saisie programme'!$I$433)+SUMIFS('Vols additionnels'!$E$7:$E$66,'Vols additionnels'!$C$7:$C$66,$E11195,'Vols additionnels'!$D$7:$D$66,$F11195,'Vols additionnels'!$B$7:$B$66,$D11195)</f>
        <v>0</v>
      </c>
      <c r="H11195" s="135" t="n">
        <f aca="false">$G11195*'Analyse capacite'!$F$7</f>
        <v>0</v>
      </c>
      <c r="I11195" s="135" t="n">
        <f aca="false">$G11195*'Analyse capacite'!$C$7</f>
        <v>0</v>
      </c>
      <c r="J11195" s="135" t="n">
        <f aca="false">$G11195*'Analyse capacite'!$D$7</f>
        <v>0</v>
      </c>
      <c r="K11195" s="135" t="n">
        <f aca="false">$G11195*'Analyse capacite'!$E$7</f>
        <v>0</v>
      </c>
    </row>
    <row r="11196" customFormat="false" ht="15" hidden="false" customHeight="false" outlineLevel="0" collapsed="false">
      <c r="B11196" s="130" t="n">
        <v>2028</v>
      </c>
      <c r="C11196" s="131" t="s">
        <v>256</v>
      </c>
      <c r="D11196" s="132" t="n">
        <v>46788</v>
      </c>
      <c r="E11196" s="131" t="s">
        <v>59</v>
      </c>
      <c r="F11196" s="133" t="s">
        <v>19</v>
      </c>
      <c r="G11196" s="134" t="n">
        <f aca="false">LEN('Saisie programme'!$I$434)+SUMIFS('Vols additionnels'!$E$7:$E$66,'Vols additionnels'!$C$7:$C$66,$E11196,'Vols additionnels'!$D$7:$D$66,$F11196,'Vols additionnels'!$B$7:$B$66,$D11196)</f>
        <v>0</v>
      </c>
      <c r="H11196" s="135" t="n">
        <f aca="false">$G11196*'Analyse capacite'!$F$8</f>
        <v>0</v>
      </c>
      <c r="I11196" s="135" t="n">
        <f aca="false">$G11196*'Analyse capacite'!$C$8</f>
        <v>0</v>
      </c>
      <c r="J11196" s="135" t="n">
        <f aca="false">$G11196*'Analyse capacite'!$D$8</f>
        <v>0</v>
      </c>
      <c r="K11196" s="135" t="n">
        <f aca="false">$G11196*'Analyse capacite'!$E$8</f>
        <v>0</v>
      </c>
    </row>
    <row r="11197" customFormat="false" ht="15" hidden="false" customHeight="false" outlineLevel="0" collapsed="false">
      <c r="B11197" s="130" t="n">
        <v>2028</v>
      </c>
      <c r="C11197" s="131" t="s">
        <v>256</v>
      </c>
      <c r="D11197" s="132" t="n">
        <v>46788</v>
      </c>
      <c r="E11197" s="131" t="s">
        <v>59</v>
      </c>
      <c r="F11197" s="133" t="s">
        <v>24</v>
      </c>
      <c r="G11197" s="134" t="n">
        <f aca="false">LEN('Saisie programme'!$I$435)+SUMIFS('Vols additionnels'!$E$7:$E$66,'Vols additionnels'!$C$7:$C$66,$E11197,'Vols additionnels'!$D$7:$D$66,$F11197,'Vols additionnels'!$B$7:$B$66,$D11197)</f>
        <v>1</v>
      </c>
      <c r="H11197" s="135" t="n">
        <f aca="false">$G11197*'Analyse capacite'!$F$9</f>
        <v>174</v>
      </c>
      <c r="I11197" s="135" t="n">
        <f aca="false">$G11197*'Analyse capacite'!$C$9</f>
        <v>0</v>
      </c>
      <c r="J11197" s="135" t="n">
        <f aca="false">$G11197*'Analyse capacite'!$D$9</f>
        <v>12</v>
      </c>
      <c r="K11197" s="135" t="n">
        <f aca="false">$G11197*'Analyse capacite'!$E$9</f>
        <v>162</v>
      </c>
    </row>
    <row r="11198" customFormat="false" ht="15" hidden="false" customHeight="false" outlineLevel="0" collapsed="false">
      <c r="B11198" s="130" t="n">
        <v>2028</v>
      </c>
      <c r="C11198" s="131" t="s">
        <v>256</v>
      </c>
      <c r="D11198" s="132" t="n">
        <v>46788</v>
      </c>
      <c r="E11198" s="131" t="s">
        <v>62</v>
      </c>
      <c r="F11198" s="133" t="s">
        <v>11</v>
      </c>
      <c r="G11198" s="134" t="n">
        <f aca="false">LEN('Saisie programme'!$I$436)+SUMIFS('Vols additionnels'!$E$7:$E$66,'Vols additionnels'!$C$7:$C$66,$E11198,'Vols additionnels'!$D$7:$D$66,$F11198,'Vols additionnels'!$B$7:$B$66,$D11198)</f>
        <v>0</v>
      </c>
      <c r="H11198" s="135" t="n">
        <f aca="false">$G11198*'Analyse capacite'!$F$7</f>
        <v>0</v>
      </c>
      <c r="I11198" s="135" t="n">
        <f aca="false">$G11198*'Analyse capacite'!$C$7</f>
        <v>0</v>
      </c>
      <c r="J11198" s="135" t="n">
        <f aca="false">$G11198*'Analyse capacite'!$D$7</f>
        <v>0</v>
      </c>
      <c r="K11198" s="135" t="n">
        <f aca="false">$G11198*'Analyse capacite'!$E$7</f>
        <v>0</v>
      </c>
    </row>
    <row r="11199" customFormat="false" ht="15" hidden="false" customHeight="false" outlineLevel="0" collapsed="false">
      <c r="B11199" s="130" t="n">
        <v>2028</v>
      </c>
      <c r="C11199" s="131" t="s">
        <v>256</v>
      </c>
      <c r="D11199" s="132" t="n">
        <v>46788</v>
      </c>
      <c r="E11199" s="131" t="s">
        <v>62</v>
      </c>
      <c r="F11199" s="133" t="s">
        <v>19</v>
      </c>
      <c r="G11199" s="134" t="n">
        <f aca="false">LEN('Saisie programme'!$I$437)+SUMIFS('Vols additionnels'!$E$7:$E$66,'Vols additionnels'!$C$7:$C$66,$E11199,'Vols additionnels'!$D$7:$D$66,$F11199,'Vols additionnels'!$B$7:$B$66,$D11199)</f>
        <v>0</v>
      </c>
      <c r="H11199" s="135" t="n">
        <f aca="false">$G11199*'Analyse capacite'!$F$8</f>
        <v>0</v>
      </c>
      <c r="I11199" s="135" t="n">
        <f aca="false">$G11199*'Analyse capacite'!$C$8</f>
        <v>0</v>
      </c>
      <c r="J11199" s="135" t="n">
        <f aca="false">$G11199*'Analyse capacite'!$D$8</f>
        <v>0</v>
      </c>
      <c r="K11199" s="135" t="n">
        <f aca="false">$G11199*'Analyse capacite'!$E$8</f>
        <v>0</v>
      </c>
    </row>
    <row r="11200" customFormat="false" ht="15" hidden="false" customHeight="false" outlineLevel="0" collapsed="false">
      <c r="B11200" s="130" t="n">
        <v>2028</v>
      </c>
      <c r="C11200" s="131" t="s">
        <v>256</v>
      </c>
      <c r="D11200" s="132" t="n">
        <v>46788</v>
      </c>
      <c r="E11200" s="131" t="s">
        <v>62</v>
      </c>
      <c r="F11200" s="133" t="s">
        <v>24</v>
      </c>
      <c r="G11200" s="134" t="n">
        <f aca="false">LEN('Saisie programme'!$I$438)+SUMIFS('Vols additionnels'!$E$7:$E$66,'Vols additionnels'!$C$7:$C$66,$E11200,'Vols additionnels'!$D$7:$D$66,$F11200,'Vols additionnels'!$B$7:$B$66,$D11200)</f>
        <v>0</v>
      </c>
      <c r="H11200" s="135" t="n">
        <f aca="false">$G11200*'Analyse capacite'!$F$9</f>
        <v>0</v>
      </c>
      <c r="I11200" s="135" t="n">
        <f aca="false">$G11200*'Analyse capacite'!$C$9</f>
        <v>0</v>
      </c>
      <c r="J11200" s="135" t="n">
        <f aca="false">$G11200*'Analyse capacite'!$D$9</f>
        <v>0</v>
      </c>
      <c r="K11200" s="135" t="n">
        <f aca="false">$G11200*'Analyse capacite'!$E$9</f>
        <v>0</v>
      </c>
    </row>
    <row r="11201" customFormat="false" ht="15" hidden="false" customHeight="false" outlineLevel="0" collapsed="false">
      <c r="B11201" s="130" t="n">
        <v>2028</v>
      </c>
      <c r="C11201" s="131" t="s">
        <v>256</v>
      </c>
      <c r="D11201" s="132" t="n">
        <v>46789</v>
      </c>
      <c r="E11201" s="131" t="s">
        <v>12</v>
      </c>
      <c r="F11201" s="133" t="s">
        <v>11</v>
      </c>
      <c r="G11201" s="134" t="n">
        <f aca="false">LEN('Saisie programme'!$J$403)+SUMIFS('Vols additionnels'!$E$7:$E$66,'Vols additionnels'!$C$7:$C$66,$E11201,'Vols additionnels'!$D$7:$D$66,$F11201,'Vols additionnels'!$B$7:$B$66,$D11201)</f>
        <v>1</v>
      </c>
      <c r="H11201" s="135" t="n">
        <f aca="false">$G11201*'Analyse capacite'!$F$7</f>
        <v>438</v>
      </c>
      <c r="I11201" s="135" t="n">
        <f aca="false">$G11201*'Analyse capacite'!$C$7</f>
        <v>14</v>
      </c>
      <c r="J11201" s="135" t="n">
        <f aca="false">$G11201*'Analyse capacite'!$D$7</f>
        <v>40</v>
      </c>
      <c r="K11201" s="135" t="n">
        <f aca="false">$G11201*'Analyse capacite'!$E$7</f>
        <v>384</v>
      </c>
    </row>
    <row r="11202" customFormat="false" ht="15" hidden="false" customHeight="false" outlineLevel="0" collapsed="false">
      <c r="B11202" s="130" t="n">
        <v>2028</v>
      </c>
      <c r="C11202" s="131" t="s">
        <v>256</v>
      </c>
      <c r="D11202" s="132" t="n">
        <v>46789</v>
      </c>
      <c r="E11202" s="131" t="s">
        <v>12</v>
      </c>
      <c r="F11202" s="133" t="s">
        <v>19</v>
      </c>
      <c r="G11202" s="134" t="n">
        <f aca="false">LEN('Saisie programme'!$J$404)+SUMIFS('Vols additionnels'!$E$7:$E$66,'Vols additionnels'!$C$7:$C$66,$E11202,'Vols additionnels'!$D$7:$D$66,$F11202,'Vols additionnels'!$B$7:$B$66,$D11202)</f>
        <v>0</v>
      </c>
      <c r="H11202" s="135" t="n">
        <f aca="false">$G11202*'Analyse capacite'!$F$8</f>
        <v>0</v>
      </c>
      <c r="I11202" s="135" t="n">
        <f aca="false">$G11202*'Analyse capacite'!$C$8</f>
        <v>0</v>
      </c>
      <c r="J11202" s="135" t="n">
        <f aca="false">$G11202*'Analyse capacite'!$D$8</f>
        <v>0</v>
      </c>
      <c r="K11202" s="135" t="n">
        <f aca="false">$G11202*'Analyse capacite'!$E$8</f>
        <v>0</v>
      </c>
    </row>
    <row r="11203" customFormat="false" ht="15" hidden="false" customHeight="false" outlineLevel="0" collapsed="false">
      <c r="B11203" s="130" t="n">
        <v>2028</v>
      </c>
      <c r="C11203" s="131" t="s">
        <v>256</v>
      </c>
      <c r="D11203" s="132" t="n">
        <v>46789</v>
      </c>
      <c r="E11203" s="131" t="s">
        <v>12</v>
      </c>
      <c r="F11203" s="133" t="s">
        <v>24</v>
      </c>
      <c r="G11203" s="134" t="n">
        <f aca="false">LEN('Saisie programme'!$J$405)+SUMIFS('Vols additionnels'!$E$7:$E$66,'Vols additionnels'!$C$7:$C$66,$E11203,'Vols additionnels'!$D$7:$D$66,$F11203,'Vols additionnels'!$B$7:$B$66,$D11203)</f>
        <v>0</v>
      </c>
      <c r="H11203" s="135" t="n">
        <f aca="false">$G11203*'Analyse capacite'!$F$9</f>
        <v>0</v>
      </c>
      <c r="I11203" s="135" t="n">
        <f aca="false">$G11203*'Analyse capacite'!$C$9</f>
        <v>0</v>
      </c>
      <c r="J11203" s="135" t="n">
        <f aca="false">$G11203*'Analyse capacite'!$D$9</f>
        <v>0</v>
      </c>
      <c r="K11203" s="135" t="n">
        <f aca="false">$G11203*'Analyse capacite'!$E$9</f>
        <v>0</v>
      </c>
    </row>
    <row r="11204" customFormat="false" ht="15" hidden="false" customHeight="false" outlineLevel="0" collapsed="false">
      <c r="B11204" s="130" t="n">
        <v>2028</v>
      </c>
      <c r="C11204" s="131" t="s">
        <v>256</v>
      </c>
      <c r="D11204" s="132" t="n">
        <v>46789</v>
      </c>
      <c r="E11204" s="131" t="s">
        <v>20</v>
      </c>
      <c r="F11204" s="133" t="s">
        <v>11</v>
      </c>
      <c r="G11204" s="134" t="n">
        <f aca="false">LEN('Saisie programme'!$J$406)+SUMIFS('Vols additionnels'!$E$7:$E$66,'Vols additionnels'!$C$7:$C$66,$E11204,'Vols additionnels'!$D$7:$D$66,$F11204,'Vols additionnels'!$B$7:$B$66,$D11204)</f>
        <v>1</v>
      </c>
      <c r="H11204" s="135" t="n">
        <f aca="false">$G11204*'Analyse capacite'!$F$7</f>
        <v>438</v>
      </c>
      <c r="I11204" s="135" t="n">
        <f aca="false">$G11204*'Analyse capacite'!$C$7</f>
        <v>14</v>
      </c>
      <c r="J11204" s="135" t="n">
        <f aca="false">$G11204*'Analyse capacite'!$D$7</f>
        <v>40</v>
      </c>
      <c r="K11204" s="135" t="n">
        <f aca="false">$G11204*'Analyse capacite'!$E$7</f>
        <v>384</v>
      </c>
    </row>
    <row r="11205" customFormat="false" ht="15" hidden="false" customHeight="false" outlineLevel="0" collapsed="false">
      <c r="B11205" s="130" t="n">
        <v>2028</v>
      </c>
      <c r="C11205" s="131" t="s">
        <v>256</v>
      </c>
      <c r="D11205" s="132" t="n">
        <v>46789</v>
      </c>
      <c r="E11205" s="131" t="s">
        <v>20</v>
      </c>
      <c r="F11205" s="133" t="s">
        <v>19</v>
      </c>
      <c r="G11205" s="134" t="n">
        <f aca="false">LEN('Saisie programme'!$J$407)+SUMIFS('Vols additionnels'!$E$7:$E$66,'Vols additionnels'!$C$7:$C$66,$E11205,'Vols additionnels'!$D$7:$D$66,$F11205,'Vols additionnels'!$B$7:$B$66,$D11205)</f>
        <v>0</v>
      </c>
      <c r="H11205" s="135" t="n">
        <f aca="false">$G11205*'Analyse capacite'!$F$8</f>
        <v>0</v>
      </c>
      <c r="I11205" s="135" t="n">
        <f aca="false">$G11205*'Analyse capacite'!$C$8</f>
        <v>0</v>
      </c>
      <c r="J11205" s="135" t="n">
        <f aca="false">$G11205*'Analyse capacite'!$D$8</f>
        <v>0</v>
      </c>
      <c r="K11205" s="135" t="n">
        <f aca="false">$G11205*'Analyse capacite'!$E$8</f>
        <v>0</v>
      </c>
    </row>
    <row r="11206" customFormat="false" ht="15" hidden="false" customHeight="false" outlineLevel="0" collapsed="false">
      <c r="B11206" s="130" t="n">
        <v>2028</v>
      </c>
      <c r="C11206" s="131" t="s">
        <v>256</v>
      </c>
      <c r="D11206" s="132" t="n">
        <v>46789</v>
      </c>
      <c r="E11206" s="131" t="s">
        <v>20</v>
      </c>
      <c r="F11206" s="133" t="s">
        <v>24</v>
      </c>
      <c r="G11206" s="134" t="n">
        <f aca="false">LEN('Saisie programme'!$J$408)+SUMIFS('Vols additionnels'!$E$7:$E$66,'Vols additionnels'!$C$7:$C$66,$E11206,'Vols additionnels'!$D$7:$D$66,$F11206,'Vols additionnels'!$B$7:$B$66,$D11206)</f>
        <v>0</v>
      </c>
      <c r="H11206" s="135" t="n">
        <f aca="false">$G11206*'Analyse capacite'!$F$9</f>
        <v>0</v>
      </c>
      <c r="I11206" s="135" t="n">
        <f aca="false">$G11206*'Analyse capacite'!$C$9</f>
        <v>0</v>
      </c>
      <c r="J11206" s="135" t="n">
        <f aca="false">$G11206*'Analyse capacite'!$D$9</f>
        <v>0</v>
      </c>
      <c r="K11206" s="135" t="n">
        <f aca="false">$G11206*'Analyse capacite'!$E$9</f>
        <v>0</v>
      </c>
    </row>
    <row r="11207" customFormat="false" ht="15" hidden="false" customHeight="false" outlineLevel="0" collapsed="false">
      <c r="B11207" s="130" t="n">
        <v>2028</v>
      </c>
      <c r="C11207" s="131" t="s">
        <v>256</v>
      </c>
      <c r="D11207" s="132" t="n">
        <v>46789</v>
      </c>
      <c r="E11207" s="131" t="s">
        <v>25</v>
      </c>
      <c r="F11207" s="133" t="s">
        <v>11</v>
      </c>
      <c r="G11207" s="134" t="n">
        <f aca="false">LEN('Saisie programme'!$J$409)+SUMIFS('Vols additionnels'!$E$7:$E$66,'Vols additionnels'!$C$7:$C$66,$E11207,'Vols additionnels'!$D$7:$D$66,$F11207,'Vols additionnels'!$B$7:$B$66,$D11207)</f>
        <v>0</v>
      </c>
      <c r="H11207" s="135" t="n">
        <f aca="false">$G11207*'Analyse capacite'!$F$7</f>
        <v>0</v>
      </c>
      <c r="I11207" s="135" t="n">
        <f aca="false">$G11207*'Analyse capacite'!$C$7</f>
        <v>0</v>
      </c>
      <c r="J11207" s="135" t="n">
        <f aca="false">$G11207*'Analyse capacite'!$D$7</f>
        <v>0</v>
      </c>
      <c r="K11207" s="135" t="n">
        <f aca="false">$G11207*'Analyse capacite'!$E$7</f>
        <v>0</v>
      </c>
    </row>
    <row r="11208" customFormat="false" ht="15" hidden="false" customHeight="false" outlineLevel="0" collapsed="false">
      <c r="B11208" s="130" t="n">
        <v>2028</v>
      </c>
      <c r="C11208" s="131" t="s">
        <v>256</v>
      </c>
      <c r="D11208" s="132" t="n">
        <v>46789</v>
      </c>
      <c r="E11208" s="131" t="s">
        <v>25</v>
      </c>
      <c r="F11208" s="133" t="s">
        <v>19</v>
      </c>
      <c r="G11208" s="134" t="n">
        <f aca="false">LEN('Saisie programme'!$J$410)+SUMIFS('Vols additionnels'!$E$7:$E$66,'Vols additionnels'!$C$7:$C$66,$E11208,'Vols additionnels'!$D$7:$D$66,$F11208,'Vols additionnels'!$B$7:$B$66,$D11208)</f>
        <v>0</v>
      </c>
      <c r="H11208" s="135" t="n">
        <f aca="false">$G11208*'Analyse capacite'!$F$8</f>
        <v>0</v>
      </c>
      <c r="I11208" s="135" t="n">
        <f aca="false">$G11208*'Analyse capacite'!$C$8</f>
        <v>0</v>
      </c>
      <c r="J11208" s="135" t="n">
        <f aca="false">$G11208*'Analyse capacite'!$D$8</f>
        <v>0</v>
      </c>
      <c r="K11208" s="135" t="n">
        <f aca="false">$G11208*'Analyse capacite'!$E$8</f>
        <v>0</v>
      </c>
    </row>
    <row r="11209" customFormat="false" ht="15" hidden="false" customHeight="false" outlineLevel="0" collapsed="false">
      <c r="B11209" s="130" t="n">
        <v>2028</v>
      </c>
      <c r="C11209" s="131" t="s">
        <v>256</v>
      </c>
      <c r="D11209" s="132" t="n">
        <v>46789</v>
      </c>
      <c r="E11209" s="131" t="s">
        <v>25</v>
      </c>
      <c r="F11209" s="133" t="s">
        <v>24</v>
      </c>
      <c r="G11209" s="134" t="n">
        <f aca="false">LEN('Saisie programme'!$J$411)+SUMIFS('Vols additionnels'!$E$7:$E$66,'Vols additionnels'!$C$7:$C$66,$E11209,'Vols additionnels'!$D$7:$D$66,$F11209,'Vols additionnels'!$B$7:$B$66,$D11209)</f>
        <v>0</v>
      </c>
      <c r="H11209" s="135" t="n">
        <f aca="false">$G11209*'Analyse capacite'!$F$9</f>
        <v>0</v>
      </c>
      <c r="I11209" s="135" t="n">
        <f aca="false">$G11209*'Analyse capacite'!$C$9</f>
        <v>0</v>
      </c>
      <c r="J11209" s="135" t="n">
        <f aca="false">$G11209*'Analyse capacite'!$D$9</f>
        <v>0</v>
      </c>
      <c r="K11209" s="135" t="n">
        <f aca="false">$G11209*'Analyse capacite'!$E$9</f>
        <v>0</v>
      </c>
    </row>
    <row r="11210" customFormat="false" ht="15" hidden="false" customHeight="false" outlineLevel="0" collapsed="false">
      <c r="B11210" s="130" t="n">
        <v>2028</v>
      </c>
      <c r="C11210" s="131" t="s">
        <v>256</v>
      </c>
      <c r="D11210" s="132" t="n">
        <v>46789</v>
      </c>
      <c r="E11210" s="131" t="s">
        <v>36</v>
      </c>
      <c r="F11210" s="133" t="s">
        <v>11</v>
      </c>
      <c r="G11210" s="134" t="n">
        <f aca="false">LEN('Saisie programme'!$J$412)+SUMIFS('Vols additionnels'!$E$7:$E$66,'Vols additionnels'!$C$7:$C$66,$E11210,'Vols additionnels'!$D$7:$D$66,$F11210,'Vols additionnels'!$B$7:$B$66,$D11210)</f>
        <v>0</v>
      </c>
      <c r="H11210" s="135" t="n">
        <f aca="false">$G11210*'Analyse capacite'!$F$7</f>
        <v>0</v>
      </c>
      <c r="I11210" s="135" t="n">
        <f aca="false">$G11210*'Analyse capacite'!$C$7</f>
        <v>0</v>
      </c>
      <c r="J11210" s="135" t="n">
        <f aca="false">$G11210*'Analyse capacite'!$D$7</f>
        <v>0</v>
      </c>
      <c r="K11210" s="135" t="n">
        <f aca="false">$G11210*'Analyse capacite'!$E$7</f>
        <v>0</v>
      </c>
    </row>
    <row r="11211" customFormat="false" ht="15" hidden="false" customHeight="false" outlineLevel="0" collapsed="false">
      <c r="B11211" s="130" t="n">
        <v>2028</v>
      </c>
      <c r="C11211" s="131" t="s">
        <v>256</v>
      </c>
      <c r="D11211" s="132" t="n">
        <v>46789</v>
      </c>
      <c r="E11211" s="131" t="s">
        <v>36</v>
      </c>
      <c r="F11211" s="133" t="s">
        <v>19</v>
      </c>
      <c r="G11211" s="134" t="n">
        <f aca="false">LEN('Saisie programme'!$J$413)+SUMIFS('Vols additionnels'!$E$7:$E$66,'Vols additionnels'!$C$7:$C$66,$E11211,'Vols additionnels'!$D$7:$D$66,$F11211,'Vols additionnels'!$B$7:$B$66,$D11211)</f>
        <v>0</v>
      </c>
      <c r="H11211" s="135" t="n">
        <f aca="false">$G11211*'Analyse capacite'!$F$8</f>
        <v>0</v>
      </c>
      <c r="I11211" s="135" t="n">
        <f aca="false">$G11211*'Analyse capacite'!$C$8</f>
        <v>0</v>
      </c>
      <c r="J11211" s="135" t="n">
        <f aca="false">$G11211*'Analyse capacite'!$D$8</f>
        <v>0</v>
      </c>
      <c r="K11211" s="135" t="n">
        <f aca="false">$G11211*'Analyse capacite'!$E$8</f>
        <v>0</v>
      </c>
    </row>
    <row r="11212" customFormat="false" ht="15" hidden="false" customHeight="false" outlineLevel="0" collapsed="false">
      <c r="B11212" s="130" t="n">
        <v>2028</v>
      </c>
      <c r="C11212" s="131" t="s">
        <v>256</v>
      </c>
      <c r="D11212" s="132" t="n">
        <v>46789</v>
      </c>
      <c r="E11212" s="131" t="s">
        <v>36</v>
      </c>
      <c r="F11212" s="133" t="s">
        <v>24</v>
      </c>
      <c r="G11212" s="134" t="n">
        <f aca="false">LEN('Saisie programme'!$J$414)+SUMIFS('Vols additionnels'!$E$7:$E$66,'Vols additionnels'!$C$7:$C$66,$E11212,'Vols additionnels'!$D$7:$D$66,$F11212,'Vols additionnels'!$B$7:$B$66,$D11212)</f>
        <v>0</v>
      </c>
      <c r="H11212" s="135" t="n">
        <f aca="false">$G11212*'Analyse capacite'!$F$9</f>
        <v>0</v>
      </c>
      <c r="I11212" s="135" t="n">
        <f aca="false">$G11212*'Analyse capacite'!$C$9</f>
        <v>0</v>
      </c>
      <c r="J11212" s="135" t="n">
        <f aca="false">$G11212*'Analyse capacite'!$D$9</f>
        <v>0</v>
      </c>
      <c r="K11212" s="135" t="n">
        <f aca="false">$G11212*'Analyse capacite'!$E$9</f>
        <v>0</v>
      </c>
    </row>
    <row r="11213" customFormat="false" ht="15" hidden="false" customHeight="false" outlineLevel="0" collapsed="false">
      <c r="B11213" s="130" t="n">
        <v>2028</v>
      </c>
      <c r="C11213" s="131" t="s">
        <v>256</v>
      </c>
      <c r="D11213" s="132" t="n">
        <v>46789</v>
      </c>
      <c r="E11213" s="131" t="s">
        <v>40</v>
      </c>
      <c r="F11213" s="133" t="s">
        <v>11</v>
      </c>
      <c r="G11213" s="134" t="n">
        <f aca="false">LEN('Saisie programme'!$J$415)+SUMIFS('Vols additionnels'!$E$7:$E$66,'Vols additionnels'!$C$7:$C$66,$E11213,'Vols additionnels'!$D$7:$D$66,$F11213,'Vols additionnels'!$B$7:$B$66,$D11213)</f>
        <v>0</v>
      </c>
      <c r="H11213" s="135" t="n">
        <f aca="false">$G11213*'Analyse capacite'!$F$7</f>
        <v>0</v>
      </c>
      <c r="I11213" s="135" t="n">
        <f aca="false">$G11213*'Analyse capacite'!$C$7</f>
        <v>0</v>
      </c>
      <c r="J11213" s="135" t="n">
        <f aca="false">$G11213*'Analyse capacite'!$D$7</f>
        <v>0</v>
      </c>
      <c r="K11213" s="135" t="n">
        <f aca="false">$G11213*'Analyse capacite'!$E$7</f>
        <v>0</v>
      </c>
    </row>
    <row r="11214" customFormat="false" ht="15" hidden="false" customHeight="false" outlineLevel="0" collapsed="false">
      <c r="B11214" s="130" t="n">
        <v>2028</v>
      </c>
      <c r="C11214" s="131" t="s">
        <v>256</v>
      </c>
      <c r="D11214" s="132" t="n">
        <v>46789</v>
      </c>
      <c r="E11214" s="131" t="s">
        <v>40</v>
      </c>
      <c r="F11214" s="133" t="s">
        <v>19</v>
      </c>
      <c r="G11214" s="134" t="n">
        <f aca="false">LEN('Saisie programme'!$J$416)+SUMIFS('Vols additionnels'!$E$7:$E$66,'Vols additionnels'!$C$7:$C$66,$E11214,'Vols additionnels'!$D$7:$D$66,$F11214,'Vols additionnels'!$B$7:$B$66,$D11214)</f>
        <v>0</v>
      </c>
      <c r="H11214" s="135" t="n">
        <f aca="false">$G11214*'Analyse capacite'!$F$8</f>
        <v>0</v>
      </c>
      <c r="I11214" s="135" t="n">
        <f aca="false">$G11214*'Analyse capacite'!$C$8</f>
        <v>0</v>
      </c>
      <c r="J11214" s="135" t="n">
        <f aca="false">$G11214*'Analyse capacite'!$D$8</f>
        <v>0</v>
      </c>
      <c r="K11214" s="135" t="n">
        <f aca="false">$G11214*'Analyse capacite'!$E$8</f>
        <v>0</v>
      </c>
    </row>
    <row r="11215" customFormat="false" ht="15" hidden="false" customHeight="false" outlineLevel="0" collapsed="false">
      <c r="B11215" s="130" t="n">
        <v>2028</v>
      </c>
      <c r="C11215" s="131" t="s">
        <v>256</v>
      </c>
      <c r="D11215" s="132" t="n">
        <v>46789</v>
      </c>
      <c r="E11215" s="131" t="s">
        <v>40</v>
      </c>
      <c r="F11215" s="133" t="s">
        <v>24</v>
      </c>
      <c r="G11215" s="134" t="n">
        <f aca="false">LEN('Saisie programme'!$J$417)+SUMIFS('Vols additionnels'!$E$7:$E$66,'Vols additionnels'!$C$7:$C$66,$E11215,'Vols additionnels'!$D$7:$D$66,$F11215,'Vols additionnels'!$B$7:$B$66,$D11215)</f>
        <v>1</v>
      </c>
      <c r="H11215" s="135" t="n">
        <f aca="false">$G11215*'Analyse capacite'!$F$9</f>
        <v>174</v>
      </c>
      <c r="I11215" s="135" t="n">
        <f aca="false">$G11215*'Analyse capacite'!$C$9</f>
        <v>0</v>
      </c>
      <c r="J11215" s="135" t="n">
        <f aca="false">$G11215*'Analyse capacite'!$D$9</f>
        <v>12</v>
      </c>
      <c r="K11215" s="135" t="n">
        <f aca="false">$G11215*'Analyse capacite'!$E$9</f>
        <v>162</v>
      </c>
    </row>
    <row r="11216" customFormat="false" ht="15" hidden="false" customHeight="false" outlineLevel="0" collapsed="false">
      <c r="B11216" s="130" t="n">
        <v>2028</v>
      </c>
      <c r="C11216" s="131" t="s">
        <v>256</v>
      </c>
      <c r="D11216" s="132" t="n">
        <v>46789</v>
      </c>
      <c r="E11216" s="131" t="s">
        <v>14</v>
      </c>
      <c r="F11216" s="133" t="s">
        <v>11</v>
      </c>
      <c r="G11216" s="134" t="n">
        <f aca="false">LEN('Saisie programme'!$J$418)+SUMIFS('Vols additionnels'!$E$7:$E$66,'Vols additionnels'!$C$7:$C$66,$E11216,'Vols additionnels'!$D$7:$D$66,$F11216,'Vols additionnels'!$B$7:$B$66,$D11216)</f>
        <v>0</v>
      </c>
      <c r="H11216" s="135" t="n">
        <f aca="false">$G11216*'Analyse capacite'!$F$7</f>
        <v>0</v>
      </c>
      <c r="I11216" s="135" t="n">
        <f aca="false">$G11216*'Analyse capacite'!$C$7</f>
        <v>0</v>
      </c>
      <c r="J11216" s="135" t="n">
        <f aca="false">$G11216*'Analyse capacite'!$D$7</f>
        <v>0</v>
      </c>
      <c r="K11216" s="135" t="n">
        <f aca="false">$G11216*'Analyse capacite'!$E$7</f>
        <v>0</v>
      </c>
    </row>
    <row r="11217" customFormat="false" ht="15" hidden="false" customHeight="false" outlineLevel="0" collapsed="false">
      <c r="B11217" s="130" t="n">
        <v>2028</v>
      </c>
      <c r="C11217" s="131" t="s">
        <v>256</v>
      </c>
      <c r="D11217" s="132" t="n">
        <v>46789</v>
      </c>
      <c r="E11217" s="131" t="s">
        <v>14</v>
      </c>
      <c r="F11217" s="133" t="s">
        <v>19</v>
      </c>
      <c r="G11217" s="134" t="n">
        <f aca="false">LEN('Saisie programme'!$J$419)+SUMIFS('Vols additionnels'!$E$7:$E$66,'Vols additionnels'!$C$7:$C$66,$E11217,'Vols additionnels'!$D$7:$D$66,$F11217,'Vols additionnels'!$B$7:$B$66,$D11217)</f>
        <v>0</v>
      </c>
      <c r="H11217" s="135" t="n">
        <f aca="false">$G11217*'Analyse capacite'!$F$8</f>
        <v>0</v>
      </c>
      <c r="I11217" s="135" t="n">
        <f aca="false">$G11217*'Analyse capacite'!$C$8</f>
        <v>0</v>
      </c>
      <c r="J11217" s="135" t="n">
        <f aca="false">$G11217*'Analyse capacite'!$D$8</f>
        <v>0</v>
      </c>
      <c r="K11217" s="135" t="n">
        <f aca="false">$G11217*'Analyse capacite'!$E$8</f>
        <v>0</v>
      </c>
    </row>
    <row r="11218" customFormat="false" ht="15" hidden="false" customHeight="false" outlineLevel="0" collapsed="false">
      <c r="B11218" s="130" t="n">
        <v>2028</v>
      </c>
      <c r="C11218" s="131" t="s">
        <v>256</v>
      </c>
      <c r="D11218" s="132" t="n">
        <v>46789</v>
      </c>
      <c r="E11218" s="131" t="s">
        <v>14</v>
      </c>
      <c r="F11218" s="133" t="s">
        <v>24</v>
      </c>
      <c r="G11218" s="134" t="n">
        <f aca="false">LEN('Saisie programme'!$J$420)+SUMIFS('Vols additionnels'!$E$7:$E$66,'Vols additionnels'!$C$7:$C$66,$E11218,'Vols additionnels'!$D$7:$D$66,$F11218,'Vols additionnels'!$B$7:$B$66,$D11218)</f>
        <v>0</v>
      </c>
      <c r="H11218" s="135" t="n">
        <f aca="false">$G11218*'Analyse capacite'!$F$9</f>
        <v>0</v>
      </c>
      <c r="I11218" s="135" t="n">
        <f aca="false">$G11218*'Analyse capacite'!$C$9</f>
        <v>0</v>
      </c>
      <c r="J11218" s="135" t="n">
        <f aca="false">$G11218*'Analyse capacite'!$D$9</f>
        <v>0</v>
      </c>
      <c r="K11218" s="135" t="n">
        <f aca="false">$G11218*'Analyse capacite'!$E$9</f>
        <v>0</v>
      </c>
    </row>
    <row r="11219" customFormat="false" ht="15" hidden="false" customHeight="false" outlineLevel="0" collapsed="false">
      <c r="B11219" s="130" t="n">
        <v>2028</v>
      </c>
      <c r="C11219" s="131" t="s">
        <v>256</v>
      </c>
      <c r="D11219" s="132" t="n">
        <v>46789</v>
      </c>
      <c r="E11219" s="131" t="s">
        <v>46</v>
      </c>
      <c r="F11219" s="133" t="s">
        <v>11</v>
      </c>
      <c r="G11219" s="134" t="n">
        <f aca="false">LEN('Saisie programme'!$J$421)+SUMIFS('Vols additionnels'!$E$7:$E$66,'Vols additionnels'!$C$7:$C$66,$E11219,'Vols additionnels'!$D$7:$D$66,$F11219,'Vols additionnels'!$B$7:$B$66,$D11219)</f>
        <v>0</v>
      </c>
      <c r="H11219" s="135" t="n">
        <f aca="false">$G11219*'Analyse capacite'!$F$7</f>
        <v>0</v>
      </c>
      <c r="I11219" s="135" t="n">
        <f aca="false">$G11219*'Analyse capacite'!$C$7</f>
        <v>0</v>
      </c>
      <c r="J11219" s="135" t="n">
        <f aca="false">$G11219*'Analyse capacite'!$D$7</f>
        <v>0</v>
      </c>
      <c r="K11219" s="135" t="n">
        <f aca="false">$G11219*'Analyse capacite'!$E$7</f>
        <v>0</v>
      </c>
    </row>
    <row r="11220" customFormat="false" ht="15" hidden="false" customHeight="false" outlineLevel="0" collapsed="false">
      <c r="B11220" s="130" t="n">
        <v>2028</v>
      </c>
      <c r="C11220" s="131" t="s">
        <v>256</v>
      </c>
      <c r="D11220" s="132" t="n">
        <v>46789</v>
      </c>
      <c r="E11220" s="131" t="s">
        <v>46</v>
      </c>
      <c r="F11220" s="133" t="s">
        <v>19</v>
      </c>
      <c r="G11220" s="134" t="n">
        <f aca="false">LEN('Saisie programme'!$J$422)+SUMIFS('Vols additionnels'!$E$7:$E$66,'Vols additionnels'!$C$7:$C$66,$E11220,'Vols additionnels'!$D$7:$D$66,$F11220,'Vols additionnels'!$B$7:$B$66,$D11220)</f>
        <v>0</v>
      </c>
      <c r="H11220" s="135" t="n">
        <f aca="false">$G11220*'Analyse capacite'!$F$8</f>
        <v>0</v>
      </c>
      <c r="I11220" s="135" t="n">
        <f aca="false">$G11220*'Analyse capacite'!$C$8</f>
        <v>0</v>
      </c>
      <c r="J11220" s="135" t="n">
        <f aca="false">$G11220*'Analyse capacite'!$D$8</f>
        <v>0</v>
      </c>
      <c r="K11220" s="135" t="n">
        <f aca="false">$G11220*'Analyse capacite'!$E$8</f>
        <v>0</v>
      </c>
    </row>
    <row r="11221" customFormat="false" ht="15" hidden="false" customHeight="false" outlineLevel="0" collapsed="false">
      <c r="B11221" s="130" t="n">
        <v>2028</v>
      </c>
      <c r="C11221" s="131" t="s">
        <v>256</v>
      </c>
      <c r="D11221" s="132" t="n">
        <v>46789</v>
      </c>
      <c r="E11221" s="131" t="s">
        <v>46</v>
      </c>
      <c r="F11221" s="133" t="s">
        <v>24</v>
      </c>
      <c r="G11221" s="134" t="n">
        <f aca="false">LEN('Saisie programme'!$J$423)+SUMIFS('Vols additionnels'!$E$7:$E$66,'Vols additionnels'!$C$7:$C$66,$E11221,'Vols additionnels'!$D$7:$D$66,$F11221,'Vols additionnels'!$B$7:$B$66,$D11221)</f>
        <v>0</v>
      </c>
      <c r="H11221" s="135" t="n">
        <f aca="false">$G11221*'Analyse capacite'!$F$9</f>
        <v>0</v>
      </c>
      <c r="I11221" s="135" t="n">
        <f aca="false">$G11221*'Analyse capacite'!$C$9</f>
        <v>0</v>
      </c>
      <c r="J11221" s="135" t="n">
        <f aca="false">$G11221*'Analyse capacite'!$D$9</f>
        <v>0</v>
      </c>
      <c r="K11221" s="135" t="n">
        <f aca="false">$G11221*'Analyse capacite'!$E$9</f>
        <v>0</v>
      </c>
    </row>
    <row r="11222" customFormat="false" ht="15" hidden="false" customHeight="false" outlineLevel="0" collapsed="false">
      <c r="B11222" s="130" t="n">
        <v>2028</v>
      </c>
      <c r="C11222" s="131" t="s">
        <v>256</v>
      </c>
      <c r="D11222" s="132" t="n">
        <v>46789</v>
      </c>
      <c r="E11222" s="131" t="s">
        <v>49</v>
      </c>
      <c r="F11222" s="133" t="s">
        <v>11</v>
      </c>
      <c r="G11222" s="134" t="n">
        <f aca="false">LEN('Saisie programme'!$J$424)+SUMIFS('Vols additionnels'!$E$7:$E$66,'Vols additionnels'!$C$7:$C$66,$E11222,'Vols additionnels'!$D$7:$D$66,$F11222,'Vols additionnels'!$B$7:$B$66,$D11222)</f>
        <v>0</v>
      </c>
      <c r="H11222" s="135" t="n">
        <f aca="false">$G11222*'Analyse capacite'!$F$7</f>
        <v>0</v>
      </c>
      <c r="I11222" s="135" t="n">
        <f aca="false">$G11222*'Analyse capacite'!$C$7</f>
        <v>0</v>
      </c>
      <c r="J11222" s="135" t="n">
        <f aca="false">$G11222*'Analyse capacite'!$D$7</f>
        <v>0</v>
      </c>
      <c r="K11222" s="135" t="n">
        <f aca="false">$G11222*'Analyse capacite'!$E$7</f>
        <v>0</v>
      </c>
    </row>
    <row r="11223" customFormat="false" ht="15" hidden="false" customHeight="false" outlineLevel="0" collapsed="false">
      <c r="B11223" s="130" t="n">
        <v>2028</v>
      </c>
      <c r="C11223" s="131" t="s">
        <v>256</v>
      </c>
      <c r="D11223" s="132" t="n">
        <v>46789</v>
      </c>
      <c r="E11223" s="131" t="s">
        <v>49</v>
      </c>
      <c r="F11223" s="133" t="s">
        <v>19</v>
      </c>
      <c r="G11223" s="134" t="n">
        <f aca="false">LEN('Saisie programme'!$J$425)+SUMIFS('Vols additionnels'!$E$7:$E$66,'Vols additionnels'!$C$7:$C$66,$E11223,'Vols additionnels'!$D$7:$D$66,$F11223,'Vols additionnels'!$B$7:$B$66,$D11223)</f>
        <v>0</v>
      </c>
      <c r="H11223" s="135" t="n">
        <f aca="false">$G11223*'Analyse capacite'!$F$8</f>
        <v>0</v>
      </c>
      <c r="I11223" s="135" t="n">
        <f aca="false">$G11223*'Analyse capacite'!$C$8</f>
        <v>0</v>
      </c>
      <c r="J11223" s="135" t="n">
        <f aca="false">$G11223*'Analyse capacite'!$D$8</f>
        <v>0</v>
      </c>
      <c r="K11223" s="135" t="n">
        <f aca="false">$G11223*'Analyse capacite'!$E$8</f>
        <v>0</v>
      </c>
    </row>
    <row r="11224" customFormat="false" ht="15" hidden="false" customHeight="false" outlineLevel="0" collapsed="false">
      <c r="B11224" s="130" t="n">
        <v>2028</v>
      </c>
      <c r="C11224" s="131" t="s">
        <v>256</v>
      </c>
      <c r="D11224" s="132" t="n">
        <v>46789</v>
      </c>
      <c r="E11224" s="131" t="s">
        <v>49</v>
      </c>
      <c r="F11224" s="133" t="s">
        <v>24</v>
      </c>
      <c r="G11224" s="134" t="n">
        <f aca="false">LEN('Saisie programme'!$J$426)+SUMIFS('Vols additionnels'!$E$7:$E$66,'Vols additionnels'!$C$7:$C$66,$E11224,'Vols additionnels'!$D$7:$D$66,$F11224,'Vols additionnels'!$B$7:$B$66,$D11224)</f>
        <v>0</v>
      </c>
      <c r="H11224" s="135" t="n">
        <f aca="false">$G11224*'Analyse capacite'!$F$9</f>
        <v>0</v>
      </c>
      <c r="I11224" s="135" t="n">
        <f aca="false">$G11224*'Analyse capacite'!$C$9</f>
        <v>0</v>
      </c>
      <c r="J11224" s="135" t="n">
        <f aca="false">$G11224*'Analyse capacite'!$D$9</f>
        <v>0</v>
      </c>
      <c r="K11224" s="135" t="n">
        <f aca="false">$G11224*'Analyse capacite'!$E$9</f>
        <v>0</v>
      </c>
    </row>
    <row r="11225" customFormat="false" ht="15" hidden="false" customHeight="false" outlineLevel="0" collapsed="false">
      <c r="B11225" s="130" t="n">
        <v>2028</v>
      </c>
      <c r="C11225" s="131" t="s">
        <v>256</v>
      </c>
      <c r="D11225" s="132" t="n">
        <v>46789</v>
      </c>
      <c r="E11225" s="131" t="s">
        <v>53</v>
      </c>
      <c r="F11225" s="133" t="s">
        <v>11</v>
      </c>
      <c r="G11225" s="134" t="n">
        <f aca="false">LEN('Saisie programme'!$J$427)+SUMIFS('Vols additionnels'!$E$7:$E$66,'Vols additionnels'!$C$7:$C$66,$E11225,'Vols additionnels'!$D$7:$D$66,$F11225,'Vols additionnels'!$B$7:$B$66,$D11225)</f>
        <v>0</v>
      </c>
      <c r="H11225" s="135" t="n">
        <f aca="false">$G11225*'Analyse capacite'!$F$7</f>
        <v>0</v>
      </c>
      <c r="I11225" s="135" t="n">
        <f aca="false">$G11225*'Analyse capacite'!$C$7</f>
        <v>0</v>
      </c>
      <c r="J11225" s="135" t="n">
        <f aca="false">$G11225*'Analyse capacite'!$D$7</f>
        <v>0</v>
      </c>
      <c r="K11225" s="135" t="n">
        <f aca="false">$G11225*'Analyse capacite'!$E$7</f>
        <v>0</v>
      </c>
    </row>
    <row r="11226" customFormat="false" ht="15" hidden="false" customHeight="false" outlineLevel="0" collapsed="false">
      <c r="B11226" s="130" t="n">
        <v>2028</v>
      </c>
      <c r="C11226" s="131" t="s">
        <v>256</v>
      </c>
      <c r="D11226" s="132" t="n">
        <v>46789</v>
      </c>
      <c r="E11226" s="131" t="s">
        <v>53</v>
      </c>
      <c r="F11226" s="133" t="s">
        <v>19</v>
      </c>
      <c r="G11226" s="134" t="n">
        <f aca="false">LEN('Saisie programme'!$J$428)+SUMIFS('Vols additionnels'!$E$7:$E$66,'Vols additionnels'!$C$7:$C$66,$E11226,'Vols additionnels'!$D$7:$D$66,$F11226,'Vols additionnels'!$B$7:$B$66,$D11226)</f>
        <v>0</v>
      </c>
      <c r="H11226" s="135" t="n">
        <f aca="false">$G11226*'Analyse capacite'!$F$8</f>
        <v>0</v>
      </c>
      <c r="I11226" s="135" t="n">
        <f aca="false">$G11226*'Analyse capacite'!$C$8</f>
        <v>0</v>
      </c>
      <c r="J11226" s="135" t="n">
        <f aca="false">$G11226*'Analyse capacite'!$D$8</f>
        <v>0</v>
      </c>
      <c r="K11226" s="135" t="n">
        <f aca="false">$G11226*'Analyse capacite'!$E$8</f>
        <v>0</v>
      </c>
    </row>
    <row r="11227" customFormat="false" ht="15" hidden="false" customHeight="false" outlineLevel="0" collapsed="false">
      <c r="B11227" s="130" t="n">
        <v>2028</v>
      </c>
      <c r="C11227" s="131" t="s">
        <v>256</v>
      </c>
      <c r="D11227" s="132" t="n">
        <v>46789</v>
      </c>
      <c r="E11227" s="131" t="s">
        <v>53</v>
      </c>
      <c r="F11227" s="133" t="s">
        <v>24</v>
      </c>
      <c r="G11227" s="134" t="n">
        <f aca="false">LEN('Saisie programme'!$J$429)+SUMIFS('Vols additionnels'!$E$7:$E$66,'Vols additionnels'!$C$7:$C$66,$E11227,'Vols additionnels'!$D$7:$D$66,$F11227,'Vols additionnels'!$B$7:$B$66,$D11227)</f>
        <v>0</v>
      </c>
      <c r="H11227" s="135" t="n">
        <f aca="false">$G11227*'Analyse capacite'!$F$9</f>
        <v>0</v>
      </c>
      <c r="I11227" s="135" t="n">
        <f aca="false">$G11227*'Analyse capacite'!$C$9</f>
        <v>0</v>
      </c>
      <c r="J11227" s="135" t="n">
        <f aca="false">$G11227*'Analyse capacite'!$D$9</f>
        <v>0</v>
      </c>
      <c r="K11227" s="135" t="n">
        <f aca="false">$G11227*'Analyse capacite'!$E$9</f>
        <v>0</v>
      </c>
    </row>
    <row r="11228" customFormat="false" ht="15" hidden="false" customHeight="false" outlineLevel="0" collapsed="false">
      <c r="B11228" s="130" t="n">
        <v>2028</v>
      </c>
      <c r="C11228" s="131" t="s">
        <v>256</v>
      </c>
      <c r="D11228" s="132" t="n">
        <v>46789</v>
      </c>
      <c r="E11228" s="131" t="s">
        <v>56</v>
      </c>
      <c r="F11228" s="133" t="s">
        <v>11</v>
      </c>
      <c r="G11228" s="134" t="n">
        <f aca="false">LEN('Saisie programme'!$J$430)+SUMIFS('Vols additionnels'!$E$7:$E$66,'Vols additionnels'!$C$7:$C$66,$E11228,'Vols additionnels'!$D$7:$D$66,$F11228,'Vols additionnels'!$B$7:$B$66,$D11228)</f>
        <v>0</v>
      </c>
      <c r="H11228" s="135" t="n">
        <f aca="false">$G11228*'Analyse capacite'!$F$7</f>
        <v>0</v>
      </c>
      <c r="I11228" s="135" t="n">
        <f aca="false">$G11228*'Analyse capacite'!$C$7</f>
        <v>0</v>
      </c>
      <c r="J11228" s="135" t="n">
        <f aca="false">$G11228*'Analyse capacite'!$D$7</f>
        <v>0</v>
      </c>
      <c r="K11228" s="135" t="n">
        <f aca="false">$G11228*'Analyse capacite'!$E$7</f>
        <v>0</v>
      </c>
    </row>
    <row r="11229" customFormat="false" ht="15" hidden="false" customHeight="false" outlineLevel="0" collapsed="false">
      <c r="B11229" s="130" t="n">
        <v>2028</v>
      </c>
      <c r="C11229" s="131" t="s">
        <v>256</v>
      </c>
      <c r="D11229" s="132" t="n">
        <v>46789</v>
      </c>
      <c r="E11229" s="131" t="s">
        <v>56</v>
      </c>
      <c r="F11229" s="133" t="s">
        <v>19</v>
      </c>
      <c r="G11229" s="134" t="n">
        <f aca="false">LEN('Saisie programme'!$J$431)+SUMIFS('Vols additionnels'!$E$7:$E$66,'Vols additionnels'!$C$7:$C$66,$E11229,'Vols additionnels'!$D$7:$D$66,$F11229,'Vols additionnels'!$B$7:$B$66,$D11229)</f>
        <v>0</v>
      </c>
      <c r="H11229" s="135" t="n">
        <f aca="false">$G11229*'Analyse capacite'!$F$8</f>
        <v>0</v>
      </c>
      <c r="I11229" s="135" t="n">
        <f aca="false">$G11229*'Analyse capacite'!$C$8</f>
        <v>0</v>
      </c>
      <c r="J11229" s="135" t="n">
        <f aca="false">$G11229*'Analyse capacite'!$D$8</f>
        <v>0</v>
      </c>
      <c r="K11229" s="135" t="n">
        <f aca="false">$G11229*'Analyse capacite'!$E$8</f>
        <v>0</v>
      </c>
    </row>
    <row r="11230" customFormat="false" ht="15" hidden="false" customHeight="false" outlineLevel="0" collapsed="false">
      <c r="B11230" s="130" t="n">
        <v>2028</v>
      </c>
      <c r="C11230" s="131" t="s">
        <v>256</v>
      </c>
      <c r="D11230" s="132" t="n">
        <v>46789</v>
      </c>
      <c r="E11230" s="131" t="s">
        <v>56</v>
      </c>
      <c r="F11230" s="133" t="s">
        <v>24</v>
      </c>
      <c r="G11230" s="134" t="n">
        <f aca="false">LEN('Saisie programme'!$J$432)+SUMIFS('Vols additionnels'!$E$7:$E$66,'Vols additionnels'!$C$7:$C$66,$E11230,'Vols additionnels'!$D$7:$D$66,$F11230,'Vols additionnels'!$B$7:$B$66,$D11230)</f>
        <v>0</v>
      </c>
      <c r="H11230" s="135" t="n">
        <f aca="false">$G11230*'Analyse capacite'!$F$9</f>
        <v>0</v>
      </c>
      <c r="I11230" s="135" t="n">
        <f aca="false">$G11230*'Analyse capacite'!$C$9</f>
        <v>0</v>
      </c>
      <c r="J11230" s="135" t="n">
        <f aca="false">$G11230*'Analyse capacite'!$D$9</f>
        <v>0</v>
      </c>
      <c r="K11230" s="135" t="n">
        <f aca="false">$G11230*'Analyse capacite'!$E$9</f>
        <v>0</v>
      </c>
    </row>
    <row r="11231" customFormat="false" ht="15" hidden="false" customHeight="false" outlineLevel="0" collapsed="false">
      <c r="B11231" s="130" t="n">
        <v>2028</v>
      </c>
      <c r="C11231" s="131" t="s">
        <v>256</v>
      </c>
      <c r="D11231" s="132" t="n">
        <v>46789</v>
      </c>
      <c r="E11231" s="131" t="s">
        <v>59</v>
      </c>
      <c r="F11231" s="133" t="s">
        <v>11</v>
      </c>
      <c r="G11231" s="134" t="n">
        <f aca="false">LEN('Saisie programme'!$J$433)+SUMIFS('Vols additionnels'!$E$7:$E$66,'Vols additionnels'!$C$7:$C$66,$E11231,'Vols additionnels'!$D$7:$D$66,$F11231,'Vols additionnels'!$B$7:$B$66,$D11231)</f>
        <v>0</v>
      </c>
      <c r="H11231" s="135" t="n">
        <f aca="false">$G11231*'Analyse capacite'!$F$7</f>
        <v>0</v>
      </c>
      <c r="I11231" s="135" t="n">
        <f aca="false">$G11231*'Analyse capacite'!$C$7</f>
        <v>0</v>
      </c>
      <c r="J11231" s="135" t="n">
        <f aca="false">$G11231*'Analyse capacite'!$D$7</f>
        <v>0</v>
      </c>
      <c r="K11231" s="135" t="n">
        <f aca="false">$G11231*'Analyse capacite'!$E$7</f>
        <v>0</v>
      </c>
    </row>
    <row r="11232" customFormat="false" ht="15" hidden="false" customHeight="false" outlineLevel="0" collapsed="false">
      <c r="B11232" s="130" t="n">
        <v>2028</v>
      </c>
      <c r="C11232" s="131" t="s">
        <v>256</v>
      </c>
      <c r="D11232" s="132" t="n">
        <v>46789</v>
      </c>
      <c r="E11232" s="131" t="s">
        <v>59</v>
      </c>
      <c r="F11232" s="133" t="s">
        <v>19</v>
      </c>
      <c r="G11232" s="134" t="n">
        <f aca="false">LEN('Saisie programme'!$J$434)+SUMIFS('Vols additionnels'!$E$7:$E$66,'Vols additionnels'!$C$7:$C$66,$E11232,'Vols additionnels'!$D$7:$D$66,$F11232,'Vols additionnels'!$B$7:$B$66,$D11232)</f>
        <v>0</v>
      </c>
      <c r="H11232" s="135" t="n">
        <f aca="false">$G11232*'Analyse capacite'!$F$8</f>
        <v>0</v>
      </c>
      <c r="I11232" s="135" t="n">
        <f aca="false">$G11232*'Analyse capacite'!$C$8</f>
        <v>0</v>
      </c>
      <c r="J11232" s="135" t="n">
        <f aca="false">$G11232*'Analyse capacite'!$D$8</f>
        <v>0</v>
      </c>
      <c r="K11232" s="135" t="n">
        <f aca="false">$G11232*'Analyse capacite'!$E$8</f>
        <v>0</v>
      </c>
    </row>
    <row r="11233" customFormat="false" ht="15" hidden="false" customHeight="false" outlineLevel="0" collapsed="false">
      <c r="B11233" s="130" t="n">
        <v>2028</v>
      </c>
      <c r="C11233" s="131" t="s">
        <v>256</v>
      </c>
      <c r="D11233" s="132" t="n">
        <v>46789</v>
      </c>
      <c r="E11233" s="131" t="s">
        <v>59</v>
      </c>
      <c r="F11233" s="133" t="s">
        <v>24</v>
      </c>
      <c r="G11233" s="134" t="n">
        <f aca="false">LEN('Saisie programme'!$J$435)+SUMIFS('Vols additionnels'!$E$7:$E$66,'Vols additionnels'!$C$7:$C$66,$E11233,'Vols additionnels'!$D$7:$D$66,$F11233,'Vols additionnels'!$B$7:$B$66,$D11233)</f>
        <v>0</v>
      </c>
      <c r="H11233" s="135" t="n">
        <f aca="false">$G11233*'Analyse capacite'!$F$9</f>
        <v>0</v>
      </c>
      <c r="I11233" s="135" t="n">
        <f aca="false">$G11233*'Analyse capacite'!$C$9</f>
        <v>0</v>
      </c>
      <c r="J11233" s="135" t="n">
        <f aca="false">$G11233*'Analyse capacite'!$D$9</f>
        <v>0</v>
      </c>
      <c r="K11233" s="135" t="n">
        <f aca="false">$G11233*'Analyse capacite'!$E$9</f>
        <v>0</v>
      </c>
    </row>
    <row r="11234" customFormat="false" ht="15" hidden="false" customHeight="false" outlineLevel="0" collapsed="false">
      <c r="B11234" s="130" t="n">
        <v>2028</v>
      </c>
      <c r="C11234" s="131" t="s">
        <v>256</v>
      </c>
      <c r="D11234" s="132" t="n">
        <v>46789</v>
      </c>
      <c r="E11234" s="131" t="s">
        <v>62</v>
      </c>
      <c r="F11234" s="133" t="s">
        <v>11</v>
      </c>
      <c r="G11234" s="134" t="n">
        <f aca="false">LEN('Saisie programme'!$J$436)+SUMIFS('Vols additionnels'!$E$7:$E$66,'Vols additionnels'!$C$7:$C$66,$E11234,'Vols additionnels'!$D$7:$D$66,$F11234,'Vols additionnels'!$B$7:$B$66,$D11234)</f>
        <v>0</v>
      </c>
      <c r="H11234" s="135" t="n">
        <f aca="false">$G11234*'Analyse capacite'!$F$7</f>
        <v>0</v>
      </c>
      <c r="I11234" s="135" t="n">
        <f aca="false">$G11234*'Analyse capacite'!$C$7</f>
        <v>0</v>
      </c>
      <c r="J11234" s="135" t="n">
        <f aca="false">$G11234*'Analyse capacite'!$D$7</f>
        <v>0</v>
      </c>
      <c r="K11234" s="135" t="n">
        <f aca="false">$G11234*'Analyse capacite'!$E$7</f>
        <v>0</v>
      </c>
    </row>
    <row r="11235" customFormat="false" ht="15" hidden="false" customHeight="false" outlineLevel="0" collapsed="false">
      <c r="B11235" s="130" t="n">
        <v>2028</v>
      </c>
      <c r="C11235" s="131" t="s">
        <v>256</v>
      </c>
      <c r="D11235" s="132" t="n">
        <v>46789</v>
      </c>
      <c r="E11235" s="131" t="s">
        <v>62</v>
      </c>
      <c r="F11235" s="133" t="s">
        <v>19</v>
      </c>
      <c r="G11235" s="134" t="n">
        <f aca="false">LEN('Saisie programme'!$J$437)+SUMIFS('Vols additionnels'!$E$7:$E$66,'Vols additionnels'!$C$7:$C$66,$E11235,'Vols additionnels'!$D$7:$D$66,$F11235,'Vols additionnels'!$B$7:$B$66,$D11235)</f>
        <v>0</v>
      </c>
      <c r="H11235" s="135" t="n">
        <f aca="false">$G11235*'Analyse capacite'!$F$8</f>
        <v>0</v>
      </c>
      <c r="I11235" s="135" t="n">
        <f aca="false">$G11235*'Analyse capacite'!$C$8</f>
        <v>0</v>
      </c>
      <c r="J11235" s="135" t="n">
        <f aca="false">$G11235*'Analyse capacite'!$D$8</f>
        <v>0</v>
      </c>
      <c r="K11235" s="135" t="n">
        <f aca="false">$G11235*'Analyse capacite'!$E$8</f>
        <v>0</v>
      </c>
    </row>
    <row r="11236" customFormat="false" ht="15" hidden="false" customHeight="false" outlineLevel="0" collapsed="false">
      <c r="B11236" s="130" t="n">
        <v>2028</v>
      </c>
      <c r="C11236" s="131" t="s">
        <v>256</v>
      </c>
      <c r="D11236" s="132" t="n">
        <v>46789</v>
      </c>
      <c r="E11236" s="131" t="s">
        <v>62</v>
      </c>
      <c r="F11236" s="133" t="s">
        <v>24</v>
      </c>
      <c r="G11236" s="134" t="n">
        <f aca="false">LEN('Saisie programme'!$J$438)+SUMIFS('Vols additionnels'!$E$7:$E$66,'Vols additionnels'!$C$7:$C$66,$E11236,'Vols additionnels'!$D$7:$D$66,$F11236,'Vols additionnels'!$B$7:$B$66,$D11236)</f>
        <v>1</v>
      </c>
      <c r="H11236" s="135" t="n">
        <f aca="false">$G11236*'Analyse capacite'!$F$9</f>
        <v>174</v>
      </c>
      <c r="I11236" s="135" t="n">
        <f aca="false">$G11236*'Analyse capacite'!$C$9</f>
        <v>0</v>
      </c>
      <c r="J11236" s="135" t="n">
        <f aca="false">$G11236*'Analyse capacite'!$D$9</f>
        <v>12</v>
      </c>
      <c r="K11236" s="135" t="n">
        <f aca="false">$G11236*'Analyse capacite'!$E$9</f>
        <v>162</v>
      </c>
    </row>
    <row r="11237" customFormat="false" ht="15" hidden="false" customHeight="false" outlineLevel="0" collapsed="false">
      <c r="B11237" s="130" t="n">
        <v>2028</v>
      </c>
      <c r="C11237" s="131" t="s">
        <v>256</v>
      </c>
      <c r="D11237" s="132" t="n">
        <v>46790</v>
      </c>
      <c r="E11237" s="131" t="s">
        <v>12</v>
      </c>
      <c r="F11237" s="133" t="s">
        <v>11</v>
      </c>
      <c r="G11237" s="134" t="n">
        <f aca="false">LEN('Saisie programme'!$D$403)+SUMIFS('Vols additionnels'!$E$7:$E$66,'Vols additionnels'!$C$7:$C$66,$E11237,'Vols additionnels'!$D$7:$D$66,$F11237,'Vols additionnels'!$B$7:$B$66,$D11237)</f>
        <v>1</v>
      </c>
      <c r="H11237" s="135" t="n">
        <f aca="false">$G11237*'Analyse capacite'!$F$7</f>
        <v>438</v>
      </c>
      <c r="I11237" s="135" t="n">
        <f aca="false">$G11237*'Analyse capacite'!$C$7</f>
        <v>14</v>
      </c>
      <c r="J11237" s="135" t="n">
        <f aca="false">$G11237*'Analyse capacite'!$D$7</f>
        <v>40</v>
      </c>
      <c r="K11237" s="135" t="n">
        <f aca="false">$G11237*'Analyse capacite'!$E$7</f>
        <v>384</v>
      </c>
    </row>
    <row r="11238" customFormat="false" ht="15" hidden="false" customHeight="false" outlineLevel="0" collapsed="false">
      <c r="B11238" s="130" t="n">
        <v>2028</v>
      </c>
      <c r="C11238" s="131" t="s">
        <v>256</v>
      </c>
      <c r="D11238" s="132" t="n">
        <v>46790</v>
      </c>
      <c r="E11238" s="131" t="s">
        <v>12</v>
      </c>
      <c r="F11238" s="133" t="s">
        <v>19</v>
      </c>
      <c r="G11238" s="134" t="n">
        <f aca="false">LEN('Saisie programme'!$D$404)+SUMIFS('Vols additionnels'!$E$7:$E$66,'Vols additionnels'!$C$7:$C$66,$E11238,'Vols additionnels'!$D$7:$D$66,$F11238,'Vols additionnels'!$B$7:$B$66,$D11238)</f>
        <v>1</v>
      </c>
      <c r="H11238" s="135" t="n">
        <f aca="false">$G11238*'Analyse capacite'!$F$8</f>
        <v>262</v>
      </c>
      <c r="I11238" s="135" t="n">
        <f aca="false">$G11238*'Analyse capacite'!$C$8</f>
        <v>18</v>
      </c>
      <c r="J11238" s="135" t="n">
        <f aca="false">$G11238*'Analyse capacite'!$D$8</f>
        <v>0</v>
      </c>
      <c r="K11238" s="135" t="n">
        <f aca="false">$G11238*'Analyse capacite'!$E$8</f>
        <v>244</v>
      </c>
    </row>
    <row r="11239" customFormat="false" ht="15" hidden="false" customHeight="false" outlineLevel="0" collapsed="false">
      <c r="B11239" s="130" t="n">
        <v>2028</v>
      </c>
      <c r="C11239" s="131" t="s">
        <v>256</v>
      </c>
      <c r="D11239" s="132" t="n">
        <v>46790</v>
      </c>
      <c r="E11239" s="131" t="s">
        <v>12</v>
      </c>
      <c r="F11239" s="133" t="s">
        <v>24</v>
      </c>
      <c r="G11239" s="134" t="n">
        <f aca="false">LEN('Saisie programme'!$D$405)+SUMIFS('Vols additionnels'!$E$7:$E$66,'Vols additionnels'!$C$7:$C$66,$E11239,'Vols additionnels'!$D$7:$D$66,$F11239,'Vols additionnels'!$B$7:$B$66,$D11239)</f>
        <v>2</v>
      </c>
      <c r="H11239" s="135" t="n">
        <f aca="false">$G11239*'Analyse capacite'!$F$9</f>
        <v>348</v>
      </c>
      <c r="I11239" s="135" t="n">
        <f aca="false">$G11239*'Analyse capacite'!$C$9</f>
        <v>0</v>
      </c>
      <c r="J11239" s="135" t="n">
        <f aca="false">$G11239*'Analyse capacite'!$D$9</f>
        <v>24</v>
      </c>
      <c r="K11239" s="135" t="n">
        <f aca="false">$G11239*'Analyse capacite'!$E$9</f>
        <v>324</v>
      </c>
    </row>
    <row r="11240" customFormat="false" ht="15" hidden="false" customHeight="false" outlineLevel="0" collapsed="false">
      <c r="B11240" s="130" t="n">
        <v>2028</v>
      </c>
      <c r="C11240" s="131" t="s">
        <v>256</v>
      </c>
      <c r="D11240" s="132" t="n">
        <v>46790</v>
      </c>
      <c r="E11240" s="131" t="s">
        <v>20</v>
      </c>
      <c r="F11240" s="133" t="s">
        <v>11</v>
      </c>
      <c r="G11240" s="134" t="n">
        <f aca="false">LEN('Saisie programme'!$D$406)+SUMIFS('Vols additionnels'!$E$7:$E$66,'Vols additionnels'!$C$7:$C$66,$E11240,'Vols additionnels'!$D$7:$D$66,$F11240,'Vols additionnels'!$B$7:$B$66,$D11240)</f>
        <v>0</v>
      </c>
      <c r="H11240" s="135" t="n">
        <f aca="false">$G11240*'Analyse capacite'!$F$7</f>
        <v>0</v>
      </c>
      <c r="I11240" s="135" t="n">
        <f aca="false">$G11240*'Analyse capacite'!$C$7</f>
        <v>0</v>
      </c>
      <c r="J11240" s="135" t="n">
        <f aca="false">$G11240*'Analyse capacite'!$D$7</f>
        <v>0</v>
      </c>
      <c r="K11240" s="135" t="n">
        <f aca="false">$G11240*'Analyse capacite'!$E$7</f>
        <v>0</v>
      </c>
    </row>
    <row r="11241" customFormat="false" ht="15" hidden="false" customHeight="false" outlineLevel="0" collapsed="false">
      <c r="B11241" s="130" t="n">
        <v>2028</v>
      </c>
      <c r="C11241" s="131" t="s">
        <v>256</v>
      </c>
      <c r="D11241" s="132" t="n">
        <v>46790</v>
      </c>
      <c r="E11241" s="131" t="s">
        <v>20</v>
      </c>
      <c r="F11241" s="133" t="s">
        <v>19</v>
      </c>
      <c r="G11241" s="134" t="n">
        <f aca="false">LEN('Saisie programme'!$D$407)+SUMIFS('Vols additionnels'!$E$7:$E$66,'Vols additionnels'!$C$7:$C$66,$E11241,'Vols additionnels'!$D$7:$D$66,$F11241,'Vols additionnels'!$B$7:$B$66,$D11241)</f>
        <v>0</v>
      </c>
      <c r="H11241" s="135" t="n">
        <f aca="false">$G11241*'Analyse capacite'!$F$8</f>
        <v>0</v>
      </c>
      <c r="I11241" s="135" t="n">
        <f aca="false">$G11241*'Analyse capacite'!$C$8</f>
        <v>0</v>
      </c>
      <c r="J11241" s="135" t="n">
        <f aca="false">$G11241*'Analyse capacite'!$D$8</f>
        <v>0</v>
      </c>
      <c r="K11241" s="135" t="n">
        <f aca="false">$G11241*'Analyse capacite'!$E$8</f>
        <v>0</v>
      </c>
    </row>
    <row r="11242" customFormat="false" ht="15" hidden="false" customHeight="false" outlineLevel="0" collapsed="false">
      <c r="B11242" s="130" t="n">
        <v>2028</v>
      </c>
      <c r="C11242" s="131" t="s">
        <v>256</v>
      </c>
      <c r="D11242" s="132" t="n">
        <v>46790</v>
      </c>
      <c r="E11242" s="131" t="s">
        <v>20</v>
      </c>
      <c r="F11242" s="133" t="s">
        <v>24</v>
      </c>
      <c r="G11242" s="134" t="n">
        <f aca="false">LEN('Saisie programme'!$D$408)+SUMIFS('Vols additionnels'!$E$7:$E$66,'Vols additionnels'!$C$7:$C$66,$E11242,'Vols additionnels'!$D$7:$D$66,$F11242,'Vols additionnels'!$B$7:$B$66,$D11242)</f>
        <v>0</v>
      </c>
      <c r="H11242" s="135" t="n">
        <f aca="false">$G11242*'Analyse capacite'!$F$9</f>
        <v>0</v>
      </c>
      <c r="I11242" s="135" t="n">
        <f aca="false">$G11242*'Analyse capacite'!$C$9</f>
        <v>0</v>
      </c>
      <c r="J11242" s="135" t="n">
        <f aca="false">$G11242*'Analyse capacite'!$D$9</f>
        <v>0</v>
      </c>
      <c r="K11242" s="135" t="n">
        <f aca="false">$G11242*'Analyse capacite'!$E$9</f>
        <v>0</v>
      </c>
    </row>
    <row r="11243" customFormat="false" ht="15" hidden="false" customHeight="false" outlineLevel="0" collapsed="false">
      <c r="B11243" s="130" t="n">
        <v>2028</v>
      </c>
      <c r="C11243" s="131" t="s">
        <v>256</v>
      </c>
      <c r="D11243" s="132" t="n">
        <v>46790</v>
      </c>
      <c r="E11243" s="131" t="s">
        <v>25</v>
      </c>
      <c r="F11243" s="133" t="s">
        <v>11</v>
      </c>
      <c r="G11243" s="134" t="n">
        <f aca="false">LEN('Saisie programme'!$D$409)+SUMIFS('Vols additionnels'!$E$7:$E$66,'Vols additionnels'!$C$7:$C$66,$E11243,'Vols additionnels'!$D$7:$D$66,$F11243,'Vols additionnels'!$B$7:$B$66,$D11243)</f>
        <v>0</v>
      </c>
      <c r="H11243" s="135" t="n">
        <f aca="false">$G11243*'Analyse capacite'!$F$7</f>
        <v>0</v>
      </c>
      <c r="I11243" s="135" t="n">
        <f aca="false">$G11243*'Analyse capacite'!$C$7</f>
        <v>0</v>
      </c>
      <c r="J11243" s="135" t="n">
        <f aca="false">$G11243*'Analyse capacite'!$D$7</f>
        <v>0</v>
      </c>
      <c r="K11243" s="135" t="n">
        <f aca="false">$G11243*'Analyse capacite'!$E$7</f>
        <v>0</v>
      </c>
    </row>
    <row r="11244" customFormat="false" ht="15" hidden="false" customHeight="false" outlineLevel="0" collapsed="false">
      <c r="B11244" s="130" t="n">
        <v>2028</v>
      </c>
      <c r="C11244" s="131" t="s">
        <v>256</v>
      </c>
      <c r="D11244" s="132" t="n">
        <v>46790</v>
      </c>
      <c r="E11244" s="131" t="s">
        <v>25</v>
      </c>
      <c r="F11244" s="133" t="s">
        <v>19</v>
      </c>
      <c r="G11244" s="134" t="n">
        <f aca="false">LEN('Saisie programme'!$D$410)+SUMIFS('Vols additionnels'!$E$7:$E$66,'Vols additionnels'!$C$7:$C$66,$E11244,'Vols additionnels'!$D$7:$D$66,$F11244,'Vols additionnels'!$B$7:$B$66,$D11244)</f>
        <v>0</v>
      </c>
      <c r="H11244" s="135" t="n">
        <f aca="false">$G11244*'Analyse capacite'!$F$8</f>
        <v>0</v>
      </c>
      <c r="I11244" s="135" t="n">
        <f aca="false">$G11244*'Analyse capacite'!$C$8</f>
        <v>0</v>
      </c>
      <c r="J11244" s="135" t="n">
        <f aca="false">$G11244*'Analyse capacite'!$D$8</f>
        <v>0</v>
      </c>
      <c r="K11244" s="135" t="n">
        <f aca="false">$G11244*'Analyse capacite'!$E$8</f>
        <v>0</v>
      </c>
    </row>
    <row r="11245" customFormat="false" ht="15" hidden="false" customHeight="false" outlineLevel="0" collapsed="false">
      <c r="B11245" s="130" t="n">
        <v>2028</v>
      </c>
      <c r="C11245" s="131" t="s">
        <v>256</v>
      </c>
      <c r="D11245" s="132" t="n">
        <v>46790</v>
      </c>
      <c r="E11245" s="131" t="s">
        <v>25</v>
      </c>
      <c r="F11245" s="133" t="s">
        <v>24</v>
      </c>
      <c r="G11245" s="134" t="n">
        <f aca="false">LEN('Saisie programme'!$D$411)+SUMIFS('Vols additionnels'!$E$7:$E$66,'Vols additionnels'!$C$7:$C$66,$E11245,'Vols additionnels'!$D$7:$D$66,$F11245,'Vols additionnels'!$B$7:$B$66,$D11245)</f>
        <v>0</v>
      </c>
      <c r="H11245" s="135" t="n">
        <f aca="false">$G11245*'Analyse capacite'!$F$9</f>
        <v>0</v>
      </c>
      <c r="I11245" s="135" t="n">
        <f aca="false">$G11245*'Analyse capacite'!$C$9</f>
        <v>0</v>
      </c>
      <c r="J11245" s="135" t="n">
        <f aca="false">$G11245*'Analyse capacite'!$D$9</f>
        <v>0</v>
      </c>
      <c r="K11245" s="135" t="n">
        <f aca="false">$G11245*'Analyse capacite'!$E$9</f>
        <v>0</v>
      </c>
    </row>
    <row r="11246" customFormat="false" ht="15" hidden="false" customHeight="false" outlineLevel="0" collapsed="false">
      <c r="B11246" s="130" t="n">
        <v>2028</v>
      </c>
      <c r="C11246" s="131" t="s">
        <v>256</v>
      </c>
      <c r="D11246" s="132" t="n">
        <v>46790</v>
      </c>
      <c r="E11246" s="131" t="s">
        <v>36</v>
      </c>
      <c r="F11246" s="133" t="s">
        <v>11</v>
      </c>
      <c r="G11246" s="134" t="n">
        <f aca="false">LEN('Saisie programme'!$D$412)+SUMIFS('Vols additionnels'!$E$7:$E$66,'Vols additionnels'!$C$7:$C$66,$E11246,'Vols additionnels'!$D$7:$D$66,$F11246,'Vols additionnels'!$B$7:$B$66,$D11246)</f>
        <v>0</v>
      </c>
      <c r="H11246" s="135" t="n">
        <f aca="false">$G11246*'Analyse capacite'!$F$7</f>
        <v>0</v>
      </c>
      <c r="I11246" s="135" t="n">
        <f aca="false">$G11246*'Analyse capacite'!$C$7</f>
        <v>0</v>
      </c>
      <c r="J11246" s="135" t="n">
        <f aca="false">$G11246*'Analyse capacite'!$D$7</f>
        <v>0</v>
      </c>
      <c r="K11246" s="135" t="n">
        <f aca="false">$G11246*'Analyse capacite'!$E$7</f>
        <v>0</v>
      </c>
    </row>
    <row r="11247" customFormat="false" ht="15" hidden="false" customHeight="false" outlineLevel="0" collapsed="false">
      <c r="B11247" s="130" t="n">
        <v>2028</v>
      </c>
      <c r="C11247" s="131" t="s">
        <v>256</v>
      </c>
      <c r="D11247" s="132" t="n">
        <v>46790</v>
      </c>
      <c r="E11247" s="131" t="s">
        <v>36</v>
      </c>
      <c r="F11247" s="133" t="s">
        <v>19</v>
      </c>
      <c r="G11247" s="134" t="n">
        <f aca="false">LEN('Saisie programme'!$D$413)+SUMIFS('Vols additionnels'!$E$7:$E$66,'Vols additionnels'!$C$7:$C$66,$E11247,'Vols additionnels'!$D$7:$D$66,$F11247,'Vols additionnels'!$B$7:$B$66,$D11247)</f>
        <v>0</v>
      </c>
      <c r="H11247" s="135" t="n">
        <f aca="false">$G11247*'Analyse capacite'!$F$8</f>
        <v>0</v>
      </c>
      <c r="I11247" s="135" t="n">
        <f aca="false">$G11247*'Analyse capacite'!$C$8</f>
        <v>0</v>
      </c>
      <c r="J11247" s="135" t="n">
        <f aca="false">$G11247*'Analyse capacite'!$D$8</f>
        <v>0</v>
      </c>
      <c r="K11247" s="135" t="n">
        <f aca="false">$G11247*'Analyse capacite'!$E$8</f>
        <v>0</v>
      </c>
    </row>
    <row r="11248" customFormat="false" ht="15" hidden="false" customHeight="false" outlineLevel="0" collapsed="false">
      <c r="B11248" s="130" t="n">
        <v>2028</v>
      </c>
      <c r="C11248" s="131" t="s">
        <v>256</v>
      </c>
      <c r="D11248" s="132" t="n">
        <v>46790</v>
      </c>
      <c r="E11248" s="131" t="s">
        <v>36</v>
      </c>
      <c r="F11248" s="133" t="s">
        <v>24</v>
      </c>
      <c r="G11248" s="134" t="n">
        <f aca="false">LEN('Saisie programme'!$D$414)+SUMIFS('Vols additionnels'!$E$7:$E$66,'Vols additionnels'!$C$7:$C$66,$E11248,'Vols additionnels'!$D$7:$D$66,$F11248,'Vols additionnels'!$B$7:$B$66,$D11248)</f>
        <v>1</v>
      </c>
      <c r="H11248" s="135" t="n">
        <f aca="false">$G11248*'Analyse capacite'!$F$9</f>
        <v>174</v>
      </c>
      <c r="I11248" s="135" t="n">
        <f aca="false">$G11248*'Analyse capacite'!$C$9</f>
        <v>0</v>
      </c>
      <c r="J11248" s="135" t="n">
        <f aca="false">$G11248*'Analyse capacite'!$D$9</f>
        <v>12</v>
      </c>
      <c r="K11248" s="135" t="n">
        <f aca="false">$G11248*'Analyse capacite'!$E$9</f>
        <v>162</v>
      </c>
    </row>
    <row r="11249" customFormat="false" ht="15" hidden="false" customHeight="false" outlineLevel="0" collapsed="false">
      <c r="B11249" s="130" t="n">
        <v>2028</v>
      </c>
      <c r="C11249" s="131" t="s">
        <v>256</v>
      </c>
      <c r="D11249" s="132" t="n">
        <v>46790</v>
      </c>
      <c r="E11249" s="131" t="s">
        <v>40</v>
      </c>
      <c r="F11249" s="133" t="s">
        <v>11</v>
      </c>
      <c r="G11249" s="134" t="n">
        <f aca="false">LEN('Saisie programme'!$D$415)+SUMIFS('Vols additionnels'!$E$7:$E$66,'Vols additionnels'!$C$7:$C$66,$E11249,'Vols additionnels'!$D$7:$D$66,$F11249,'Vols additionnels'!$B$7:$B$66,$D11249)</f>
        <v>0</v>
      </c>
      <c r="H11249" s="135" t="n">
        <f aca="false">$G11249*'Analyse capacite'!$F$7</f>
        <v>0</v>
      </c>
      <c r="I11249" s="135" t="n">
        <f aca="false">$G11249*'Analyse capacite'!$C$7</f>
        <v>0</v>
      </c>
      <c r="J11249" s="135" t="n">
        <f aca="false">$G11249*'Analyse capacite'!$D$7</f>
        <v>0</v>
      </c>
      <c r="K11249" s="135" t="n">
        <f aca="false">$G11249*'Analyse capacite'!$E$7</f>
        <v>0</v>
      </c>
    </row>
    <row r="11250" customFormat="false" ht="15" hidden="false" customHeight="false" outlineLevel="0" collapsed="false">
      <c r="B11250" s="130" t="n">
        <v>2028</v>
      </c>
      <c r="C11250" s="131" t="s">
        <v>256</v>
      </c>
      <c r="D11250" s="132" t="n">
        <v>46790</v>
      </c>
      <c r="E11250" s="131" t="s">
        <v>40</v>
      </c>
      <c r="F11250" s="133" t="s">
        <v>19</v>
      </c>
      <c r="G11250" s="134" t="n">
        <f aca="false">LEN('Saisie programme'!$D$416)+SUMIFS('Vols additionnels'!$E$7:$E$66,'Vols additionnels'!$C$7:$C$66,$E11250,'Vols additionnels'!$D$7:$D$66,$F11250,'Vols additionnels'!$B$7:$B$66,$D11250)</f>
        <v>0</v>
      </c>
      <c r="H11250" s="135" t="n">
        <f aca="false">$G11250*'Analyse capacite'!$F$8</f>
        <v>0</v>
      </c>
      <c r="I11250" s="135" t="n">
        <f aca="false">$G11250*'Analyse capacite'!$C$8</f>
        <v>0</v>
      </c>
      <c r="J11250" s="135" t="n">
        <f aca="false">$G11250*'Analyse capacite'!$D$8</f>
        <v>0</v>
      </c>
      <c r="K11250" s="135" t="n">
        <f aca="false">$G11250*'Analyse capacite'!$E$8</f>
        <v>0</v>
      </c>
    </row>
    <row r="11251" customFormat="false" ht="15" hidden="false" customHeight="false" outlineLevel="0" collapsed="false">
      <c r="B11251" s="130" t="n">
        <v>2028</v>
      </c>
      <c r="C11251" s="131" t="s">
        <v>256</v>
      </c>
      <c r="D11251" s="132" t="n">
        <v>46790</v>
      </c>
      <c r="E11251" s="131" t="s">
        <v>40</v>
      </c>
      <c r="F11251" s="133" t="s">
        <v>24</v>
      </c>
      <c r="G11251" s="134" t="n">
        <f aca="false">LEN('Saisie programme'!$D$417)+SUMIFS('Vols additionnels'!$E$7:$E$66,'Vols additionnels'!$C$7:$C$66,$E11251,'Vols additionnels'!$D$7:$D$66,$F11251,'Vols additionnels'!$B$7:$B$66,$D11251)</f>
        <v>1</v>
      </c>
      <c r="H11251" s="135" t="n">
        <f aca="false">$G11251*'Analyse capacite'!$F$9</f>
        <v>174</v>
      </c>
      <c r="I11251" s="135" t="n">
        <f aca="false">$G11251*'Analyse capacite'!$C$9</f>
        <v>0</v>
      </c>
      <c r="J11251" s="135" t="n">
        <f aca="false">$G11251*'Analyse capacite'!$D$9</f>
        <v>12</v>
      </c>
      <c r="K11251" s="135" t="n">
        <f aca="false">$G11251*'Analyse capacite'!$E$9</f>
        <v>162</v>
      </c>
    </row>
    <row r="11252" customFormat="false" ht="15" hidden="false" customHeight="false" outlineLevel="0" collapsed="false">
      <c r="B11252" s="130" t="n">
        <v>2028</v>
      </c>
      <c r="C11252" s="131" t="s">
        <v>256</v>
      </c>
      <c r="D11252" s="132" t="n">
        <v>46790</v>
      </c>
      <c r="E11252" s="131" t="s">
        <v>14</v>
      </c>
      <c r="F11252" s="133" t="s">
        <v>11</v>
      </c>
      <c r="G11252" s="134" t="n">
        <f aca="false">LEN('Saisie programme'!$D$418)+SUMIFS('Vols additionnels'!$E$7:$E$66,'Vols additionnels'!$C$7:$C$66,$E11252,'Vols additionnels'!$D$7:$D$66,$F11252,'Vols additionnels'!$B$7:$B$66,$D11252)</f>
        <v>0</v>
      </c>
      <c r="H11252" s="135" t="n">
        <f aca="false">$G11252*'Analyse capacite'!$F$7</f>
        <v>0</v>
      </c>
      <c r="I11252" s="135" t="n">
        <f aca="false">$G11252*'Analyse capacite'!$C$7</f>
        <v>0</v>
      </c>
      <c r="J11252" s="135" t="n">
        <f aca="false">$G11252*'Analyse capacite'!$D$7</f>
        <v>0</v>
      </c>
      <c r="K11252" s="135" t="n">
        <f aca="false">$G11252*'Analyse capacite'!$E$7</f>
        <v>0</v>
      </c>
    </row>
    <row r="11253" customFormat="false" ht="15" hidden="false" customHeight="false" outlineLevel="0" collapsed="false">
      <c r="B11253" s="130" t="n">
        <v>2028</v>
      </c>
      <c r="C11253" s="131" t="s">
        <v>256</v>
      </c>
      <c r="D11253" s="132" t="n">
        <v>46790</v>
      </c>
      <c r="E11253" s="131" t="s">
        <v>14</v>
      </c>
      <c r="F11253" s="133" t="s">
        <v>19</v>
      </c>
      <c r="G11253" s="134" t="n">
        <f aca="false">LEN('Saisie programme'!$D$419)+SUMIFS('Vols additionnels'!$E$7:$E$66,'Vols additionnels'!$C$7:$C$66,$E11253,'Vols additionnels'!$D$7:$D$66,$F11253,'Vols additionnels'!$B$7:$B$66,$D11253)</f>
        <v>0</v>
      </c>
      <c r="H11253" s="135" t="n">
        <f aca="false">$G11253*'Analyse capacite'!$F$8</f>
        <v>0</v>
      </c>
      <c r="I11253" s="135" t="n">
        <f aca="false">$G11253*'Analyse capacite'!$C$8</f>
        <v>0</v>
      </c>
      <c r="J11253" s="135" t="n">
        <f aca="false">$G11253*'Analyse capacite'!$D$8</f>
        <v>0</v>
      </c>
      <c r="K11253" s="135" t="n">
        <f aca="false">$G11253*'Analyse capacite'!$E$8</f>
        <v>0</v>
      </c>
    </row>
    <row r="11254" customFormat="false" ht="15" hidden="false" customHeight="false" outlineLevel="0" collapsed="false">
      <c r="B11254" s="130" t="n">
        <v>2028</v>
      </c>
      <c r="C11254" s="131" t="s">
        <v>256</v>
      </c>
      <c r="D11254" s="132" t="n">
        <v>46790</v>
      </c>
      <c r="E11254" s="131" t="s">
        <v>14</v>
      </c>
      <c r="F11254" s="133" t="s">
        <v>24</v>
      </c>
      <c r="G11254" s="134" t="n">
        <f aca="false">LEN('Saisie programme'!$D$420)+SUMIFS('Vols additionnels'!$E$7:$E$66,'Vols additionnels'!$C$7:$C$66,$E11254,'Vols additionnels'!$D$7:$D$66,$F11254,'Vols additionnels'!$B$7:$B$66,$D11254)</f>
        <v>1</v>
      </c>
      <c r="H11254" s="135" t="n">
        <f aca="false">$G11254*'Analyse capacite'!$F$9</f>
        <v>174</v>
      </c>
      <c r="I11254" s="135" t="n">
        <f aca="false">$G11254*'Analyse capacite'!$C$9</f>
        <v>0</v>
      </c>
      <c r="J11254" s="135" t="n">
        <f aca="false">$G11254*'Analyse capacite'!$D$9</f>
        <v>12</v>
      </c>
      <c r="K11254" s="135" t="n">
        <f aca="false">$G11254*'Analyse capacite'!$E$9</f>
        <v>162</v>
      </c>
    </row>
    <row r="11255" customFormat="false" ht="15" hidden="false" customHeight="false" outlineLevel="0" collapsed="false">
      <c r="B11255" s="130" t="n">
        <v>2028</v>
      </c>
      <c r="C11255" s="131" t="s">
        <v>256</v>
      </c>
      <c r="D11255" s="132" t="n">
        <v>46790</v>
      </c>
      <c r="E11255" s="131" t="s">
        <v>46</v>
      </c>
      <c r="F11255" s="133" t="s">
        <v>11</v>
      </c>
      <c r="G11255" s="134" t="n">
        <f aca="false">LEN('Saisie programme'!$D$421)+SUMIFS('Vols additionnels'!$E$7:$E$66,'Vols additionnels'!$C$7:$C$66,$E11255,'Vols additionnels'!$D$7:$D$66,$F11255,'Vols additionnels'!$B$7:$B$66,$D11255)</f>
        <v>0</v>
      </c>
      <c r="H11255" s="135" t="n">
        <f aca="false">$G11255*'Analyse capacite'!$F$7</f>
        <v>0</v>
      </c>
      <c r="I11255" s="135" t="n">
        <f aca="false">$G11255*'Analyse capacite'!$C$7</f>
        <v>0</v>
      </c>
      <c r="J11255" s="135" t="n">
        <f aca="false">$G11255*'Analyse capacite'!$D$7</f>
        <v>0</v>
      </c>
      <c r="K11255" s="135" t="n">
        <f aca="false">$G11255*'Analyse capacite'!$E$7</f>
        <v>0</v>
      </c>
    </row>
    <row r="11256" customFormat="false" ht="15" hidden="false" customHeight="false" outlineLevel="0" collapsed="false">
      <c r="B11256" s="130" t="n">
        <v>2028</v>
      </c>
      <c r="C11256" s="131" t="s">
        <v>256</v>
      </c>
      <c r="D11256" s="132" t="n">
        <v>46790</v>
      </c>
      <c r="E11256" s="131" t="s">
        <v>46</v>
      </c>
      <c r="F11256" s="133" t="s">
        <v>19</v>
      </c>
      <c r="G11256" s="134" t="n">
        <f aca="false">LEN('Saisie programme'!$D$422)+SUMIFS('Vols additionnels'!$E$7:$E$66,'Vols additionnels'!$C$7:$C$66,$E11256,'Vols additionnels'!$D$7:$D$66,$F11256,'Vols additionnels'!$B$7:$B$66,$D11256)</f>
        <v>0</v>
      </c>
      <c r="H11256" s="135" t="n">
        <f aca="false">$G11256*'Analyse capacite'!$F$8</f>
        <v>0</v>
      </c>
      <c r="I11256" s="135" t="n">
        <f aca="false">$G11256*'Analyse capacite'!$C$8</f>
        <v>0</v>
      </c>
      <c r="J11256" s="135" t="n">
        <f aca="false">$G11256*'Analyse capacite'!$D$8</f>
        <v>0</v>
      </c>
      <c r="K11256" s="135" t="n">
        <f aca="false">$G11256*'Analyse capacite'!$E$8</f>
        <v>0</v>
      </c>
    </row>
    <row r="11257" customFormat="false" ht="15" hidden="false" customHeight="false" outlineLevel="0" collapsed="false">
      <c r="B11257" s="130" t="n">
        <v>2028</v>
      </c>
      <c r="C11257" s="131" t="s">
        <v>256</v>
      </c>
      <c r="D11257" s="132" t="n">
        <v>46790</v>
      </c>
      <c r="E11257" s="131" t="s">
        <v>46</v>
      </c>
      <c r="F11257" s="133" t="s">
        <v>24</v>
      </c>
      <c r="G11257" s="134" t="n">
        <f aca="false">LEN('Saisie programme'!$D$423)+SUMIFS('Vols additionnels'!$E$7:$E$66,'Vols additionnels'!$C$7:$C$66,$E11257,'Vols additionnels'!$D$7:$D$66,$F11257,'Vols additionnels'!$B$7:$B$66,$D11257)</f>
        <v>0</v>
      </c>
      <c r="H11257" s="135" t="n">
        <f aca="false">$G11257*'Analyse capacite'!$F$9</f>
        <v>0</v>
      </c>
      <c r="I11257" s="135" t="n">
        <f aca="false">$G11257*'Analyse capacite'!$C$9</f>
        <v>0</v>
      </c>
      <c r="J11257" s="135" t="n">
        <f aca="false">$G11257*'Analyse capacite'!$D$9</f>
        <v>0</v>
      </c>
      <c r="K11257" s="135" t="n">
        <f aca="false">$G11257*'Analyse capacite'!$E$9</f>
        <v>0</v>
      </c>
    </row>
    <row r="11258" customFormat="false" ht="15" hidden="false" customHeight="false" outlineLevel="0" collapsed="false">
      <c r="B11258" s="130" t="n">
        <v>2028</v>
      </c>
      <c r="C11258" s="131" t="s">
        <v>256</v>
      </c>
      <c r="D11258" s="132" t="n">
        <v>46790</v>
      </c>
      <c r="E11258" s="131" t="s">
        <v>49</v>
      </c>
      <c r="F11258" s="133" t="s">
        <v>11</v>
      </c>
      <c r="G11258" s="134" t="n">
        <f aca="false">LEN('Saisie programme'!$D$424)+SUMIFS('Vols additionnels'!$E$7:$E$66,'Vols additionnels'!$C$7:$C$66,$E11258,'Vols additionnels'!$D$7:$D$66,$F11258,'Vols additionnels'!$B$7:$B$66,$D11258)</f>
        <v>0</v>
      </c>
      <c r="H11258" s="135" t="n">
        <f aca="false">$G11258*'Analyse capacite'!$F$7</f>
        <v>0</v>
      </c>
      <c r="I11258" s="135" t="n">
        <f aca="false">$G11258*'Analyse capacite'!$C$7</f>
        <v>0</v>
      </c>
      <c r="J11258" s="135" t="n">
        <f aca="false">$G11258*'Analyse capacite'!$D$7</f>
        <v>0</v>
      </c>
      <c r="K11258" s="135" t="n">
        <f aca="false">$G11258*'Analyse capacite'!$E$7</f>
        <v>0</v>
      </c>
    </row>
    <row r="11259" customFormat="false" ht="15" hidden="false" customHeight="false" outlineLevel="0" collapsed="false">
      <c r="B11259" s="130" t="n">
        <v>2028</v>
      </c>
      <c r="C11259" s="131" t="s">
        <v>256</v>
      </c>
      <c r="D11259" s="132" t="n">
        <v>46790</v>
      </c>
      <c r="E11259" s="131" t="s">
        <v>49</v>
      </c>
      <c r="F11259" s="133" t="s">
        <v>19</v>
      </c>
      <c r="G11259" s="134" t="n">
        <f aca="false">LEN('Saisie programme'!$D$425)+SUMIFS('Vols additionnels'!$E$7:$E$66,'Vols additionnels'!$C$7:$C$66,$E11259,'Vols additionnels'!$D$7:$D$66,$F11259,'Vols additionnels'!$B$7:$B$66,$D11259)</f>
        <v>1</v>
      </c>
      <c r="H11259" s="135" t="n">
        <f aca="false">$G11259*'Analyse capacite'!$F$8</f>
        <v>262</v>
      </c>
      <c r="I11259" s="135" t="n">
        <f aca="false">$G11259*'Analyse capacite'!$C$8</f>
        <v>18</v>
      </c>
      <c r="J11259" s="135" t="n">
        <f aca="false">$G11259*'Analyse capacite'!$D$8</f>
        <v>0</v>
      </c>
      <c r="K11259" s="135" t="n">
        <f aca="false">$G11259*'Analyse capacite'!$E$8</f>
        <v>244</v>
      </c>
    </row>
    <row r="11260" customFormat="false" ht="15" hidden="false" customHeight="false" outlineLevel="0" collapsed="false">
      <c r="B11260" s="130" t="n">
        <v>2028</v>
      </c>
      <c r="C11260" s="131" t="s">
        <v>256</v>
      </c>
      <c r="D11260" s="132" t="n">
        <v>46790</v>
      </c>
      <c r="E11260" s="131" t="s">
        <v>49</v>
      </c>
      <c r="F11260" s="133" t="s">
        <v>24</v>
      </c>
      <c r="G11260" s="134" t="n">
        <f aca="false">LEN('Saisie programme'!$D$426)+SUMIFS('Vols additionnels'!$E$7:$E$66,'Vols additionnels'!$C$7:$C$66,$E11260,'Vols additionnels'!$D$7:$D$66,$F11260,'Vols additionnels'!$B$7:$B$66,$D11260)</f>
        <v>0</v>
      </c>
      <c r="H11260" s="135" t="n">
        <f aca="false">$G11260*'Analyse capacite'!$F$9</f>
        <v>0</v>
      </c>
      <c r="I11260" s="135" t="n">
        <f aca="false">$G11260*'Analyse capacite'!$C$9</f>
        <v>0</v>
      </c>
      <c r="J11260" s="135" t="n">
        <f aca="false">$G11260*'Analyse capacite'!$D$9</f>
        <v>0</v>
      </c>
      <c r="K11260" s="135" t="n">
        <f aca="false">$G11260*'Analyse capacite'!$E$9</f>
        <v>0</v>
      </c>
    </row>
    <row r="11261" customFormat="false" ht="15" hidden="false" customHeight="false" outlineLevel="0" collapsed="false">
      <c r="B11261" s="130" t="n">
        <v>2028</v>
      </c>
      <c r="C11261" s="131" t="s">
        <v>256</v>
      </c>
      <c r="D11261" s="132" t="n">
        <v>46790</v>
      </c>
      <c r="E11261" s="131" t="s">
        <v>53</v>
      </c>
      <c r="F11261" s="133" t="s">
        <v>11</v>
      </c>
      <c r="G11261" s="134" t="n">
        <f aca="false">LEN('Saisie programme'!$D$427)+SUMIFS('Vols additionnels'!$E$7:$E$66,'Vols additionnels'!$C$7:$C$66,$E11261,'Vols additionnels'!$D$7:$D$66,$F11261,'Vols additionnels'!$B$7:$B$66,$D11261)</f>
        <v>0</v>
      </c>
      <c r="H11261" s="135" t="n">
        <f aca="false">$G11261*'Analyse capacite'!$F$7</f>
        <v>0</v>
      </c>
      <c r="I11261" s="135" t="n">
        <f aca="false">$G11261*'Analyse capacite'!$C$7</f>
        <v>0</v>
      </c>
      <c r="J11261" s="135" t="n">
        <f aca="false">$G11261*'Analyse capacite'!$D$7</f>
        <v>0</v>
      </c>
      <c r="K11261" s="135" t="n">
        <f aca="false">$G11261*'Analyse capacite'!$E$7</f>
        <v>0</v>
      </c>
    </row>
    <row r="11262" customFormat="false" ht="15" hidden="false" customHeight="false" outlineLevel="0" collapsed="false">
      <c r="B11262" s="130" t="n">
        <v>2028</v>
      </c>
      <c r="C11262" s="131" t="s">
        <v>256</v>
      </c>
      <c r="D11262" s="132" t="n">
        <v>46790</v>
      </c>
      <c r="E11262" s="131" t="s">
        <v>53</v>
      </c>
      <c r="F11262" s="133" t="s">
        <v>19</v>
      </c>
      <c r="G11262" s="134" t="n">
        <f aca="false">LEN('Saisie programme'!$D$428)+SUMIFS('Vols additionnels'!$E$7:$E$66,'Vols additionnels'!$C$7:$C$66,$E11262,'Vols additionnels'!$D$7:$D$66,$F11262,'Vols additionnels'!$B$7:$B$66,$D11262)</f>
        <v>0</v>
      </c>
      <c r="H11262" s="135" t="n">
        <f aca="false">$G11262*'Analyse capacite'!$F$8</f>
        <v>0</v>
      </c>
      <c r="I11262" s="135" t="n">
        <f aca="false">$G11262*'Analyse capacite'!$C$8</f>
        <v>0</v>
      </c>
      <c r="J11262" s="135" t="n">
        <f aca="false">$G11262*'Analyse capacite'!$D$8</f>
        <v>0</v>
      </c>
      <c r="K11262" s="135" t="n">
        <f aca="false">$G11262*'Analyse capacite'!$E$8</f>
        <v>0</v>
      </c>
    </row>
    <row r="11263" customFormat="false" ht="15" hidden="false" customHeight="false" outlineLevel="0" collapsed="false">
      <c r="B11263" s="130" t="n">
        <v>2028</v>
      </c>
      <c r="C11263" s="131" t="s">
        <v>256</v>
      </c>
      <c r="D11263" s="132" t="n">
        <v>46790</v>
      </c>
      <c r="E11263" s="131" t="s">
        <v>53</v>
      </c>
      <c r="F11263" s="133" t="s">
        <v>24</v>
      </c>
      <c r="G11263" s="134" t="n">
        <f aca="false">LEN('Saisie programme'!$D$429)+SUMIFS('Vols additionnels'!$E$7:$E$66,'Vols additionnels'!$C$7:$C$66,$E11263,'Vols additionnels'!$D$7:$D$66,$F11263,'Vols additionnels'!$B$7:$B$66,$D11263)</f>
        <v>0</v>
      </c>
      <c r="H11263" s="135" t="n">
        <f aca="false">$G11263*'Analyse capacite'!$F$9</f>
        <v>0</v>
      </c>
      <c r="I11263" s="135" t="n">
        <f aca="false">$G11263*'Analyse capacite'!$C$9</f>
        <v>0</v>
      </c>
      <c r="J11263" s="135" t="n">
        <f aca="false">$G11263*'Analyse capacite'!$D$9</f>
        <v>0</v>
      </c>
      <c r="K11263" s="135" t="n">
        <f aca="false">$G11263*'Analyse capacite'!$E$9</f>
        <v>0</v>
      </c>
    </row>
    <row r="11264" customFormat="false" ht="15" hidden="false" customHeight="false" outlineLevel="0" collapsed="false">
      <c r="B11264" s="130" t="n">
        <v>2028</v>
      </c>
      <c r="C11264" s="131" t="s">
        <v>256</v>
      </c>
      <c r="D11264" s="132" t="n">
        <v>46790</v>
      </c>
      <c r="E11264" s="131" t="s">
        <v>56</v>
      </c>
      <c r="F11264" s="133" t="s">
        <v>11</v>
      </c>
      <c r="G11264" s="134" t="n">
        <f aca="false">LEN('Saisie programme'!$D$430)+SUMIFS('Vols additionnels'!$E$7:$E$66,'Vols additionnels'!$C$7:$C$66,$E11264,'Vols additionnels'!$D$7:$D$66,$F11264,'Vols additionnels'!$B$7:$B$66,$D11264)</f>
        <v>0</v>
      </c>
      <c r="H11264" s="135" t="n">
        <f aca="false">$G11264*'Analyse capacite'!$F$7</f>
        <v>0</v>
      </c>
      <c r="I11264" s="135" t="n">
        <f aca="false">$G11264*'Analyse capacite'!$C$7</f>
        <v>0</v>
      </c>
      <c r="J11264" s="135" t="n">
        <f aca="false">$G11264*'Analyse capacite'!$D$7</f>
        <v>0</v>
      </c>
      <c r="K11264" s="135" t="n">
        <f aca="false">$G11264*'Analyse capacite'!$E$7</f>
        <v>0</v>
      </c>
    </row>
    <row r="11265" customFormat="false" ht="15" hidden="false" customHeight="false" outlineLevel="0" collapsed="false">
      <c r="B11265" s="130" t="n">
        <v>2028</v>
      </c>
      <c r="C11265" s="131" t="s">
        <v>256</v>
      </c>
      <c r="D11265" s="132" t="n">
        <v>46790</v>
      </c>
      <c r="E11265" s="131" t="s">
        <v>56</v>
      </c>
      <c r="F11265" s="133" t="s">
        <v>19</v>
      </c>
      <c r="G11265" s="134" t="n">
        <f aca="false">LEN('Saisie programme'!$D$431)+SUMIFS('Vols additionnels'!$E$7:$E$66,'Vols additionnels'!$C$7:$C$66,$E11265,'Vols additionnels'!$D$7:$D$66,$F11265,'Vols additionnels'!$B$7:$B$66,$D11265)</f>
        <v>0</v>
      </c>
      <c r="H11265" s="135" t="n">
        <f aca="false">$G11265*'Analyse capacite'!$F$8</f>
        <v>0</v>
      </c>
      <c r="I11265" s="135" t="n">
        <f aca="false">$G11265*'Analyse capacite'!$C$8</f>
        <v>0</v>
      </c>
      <c r="J11265" s="135" t="n">
        <f aca="false">$G11265*'Analyse capacite'!$D$8</f>
        <v>0</v>
      </c>
      <c r="K11265" s="135" t="n">
        <f aca="false">$G11265*'Analyse capacite'!$E$8</f>
        <v>0</v>
      </c>
    </row>
    <row r="11266" customFormat="false" ht="15" hidden="false" customHeight="false" outlineLevel="0" collapsed="false">
      <c r="B11266" s="130" t="n">
        <v>2028</v>
      </c>
      <c r="C11266" s="131" t="s">
        <v>256</v>
      </c>
      <c r="D11266" s="132" t="n">
        <v>46790</v>
      </c>
      <c r="E11266" s="131" t="s">
        <v>56</v>
      </c>
      <c r="F11266" s="133" t="s">
        <v>24</v>
      </c>
      <c r="G11266" s="134" t="n">
        <f aca="false">LEN('Saisie programme'!$D$432)+SUMIFS('Vols additionnels'!$E$7:$E$66,'Vols additionnels'!$C$7:$C$66,$E11266,'Vols additionnels'!$D$7:$D$66,$F11266,'Vols additionnels'!$B$7:$B$66,$D11266)</f>
        <v>0</v>
      </c>
      <c r="H11266" s="135" t="n">
        <f aca="false">$G11266*'Analyse capacite'!$F$9</f>
        <v>0</v>
      </c>
      <c r="I11266" s="135" t="n">
        <f aca="false">$G11266*'Analyse capacite'!$C$9</f>
        <v>0</v>
      </c>
      <c r="J11266" s="135" t="n">
        <f aca="false">$G11266*'Analyse capacite'!$D$9</f>
        <v>0</v>
      </c>
      <c r="K11266" s="135" t="n">
        <f aca="false">$G11266*'Analyse capacite'!$E$9</f>
        <v>0</v>
      </c>
    </row>
    <row r="11267" customFormat="false" ht="15" hidden="false" customHeight="false" outlineLevel="0" collapsed="false">
      <c r="B11267" s="130" t="n">
        <v>2028</v>
      </c>
      <c r="C11267" s="131" t="s">
        <v>256</v>
      </c>
      <c r="D11267" s="132" t="n">
        <v>46790</v>
      </c>
      <c r="E11267" s="131" t="s">
        <v>59</v>
      </c>
      <c r="F11267" s="133" t="s">
        <v>11</v>
      </c>
      <c r="G11267" s="134" t="n">
        <f aca="false">LEN('Saisie programme'!$D$433)+SUMIFS('Vols additionnels'!$E$7:$E$66,'Vols additionnels'!$C$7:$C$66,$E11267,'Vols additionnels'!$D$7:$D$66,$F11267,'Vols additionnels'!$B$7:$B$66,$D11267)</f>
        <v>0</v>
      </c>
      <c r="H11267" s="135" t="n">
        <f aca="false">$G11267*'Analyse capacite'!$F$7</f>
        <v>0</v>
      </c>
      <c r="I11267" s="135" t="n">
        <f aca="false">$G11267*'Analyse capacite'!$C$7</f>
        <v>0</v>
      </c>
      <c r="J11267" s="135" t="n">
        <f aca="false">$G11267*'Analyse capacite'!$D$7</f>
        <v>0</v>
      </c>
      <c r="K11267" s="135" t="n">
        <f aca="false">$G11267*'Analyse capacite'!$E$7</f>
        <v>0</v>
      </c>
    </row>
    <row r="11268" customFormat="false" ht="15" hidden="false" customHeight="false" outlineLevel="0" collapsed="false">
      <c r="B11268" s="130" t="n">
        <v>2028</v>
      </c>
      <c r="C11268" s="131" t="s">
        <v>256</v>
      </c>
      <c r="D11268" s="132" t="n">
        <v>46790</v>
      </c>
      <c r="E11268" s="131" t="s">
        <v>59</v>
      </c>
      <c r="F11268" s="133" t="s">
        <v>19</v>
      </c>
      <c r="G11268" s="134" t="n">
        <f aca="false">LEN('Saisie programme'!$D$434)+SUMIFS('Vols additionnels'!$E$7:$E$66,'Vols additionnels'!$C$7:$C$66,$E11268,'Vols additionnels'!$D$7:$D$66,$F11268,'Vols additionnels'!$B$7:$B$66,$D11268)</f>
        <v>0</v>
      </c>
      <c r="H11268" s="135" t="n">
        <f aca="false">$G11268*'Analyse capacite'!$F$8</f>
        <v>0</v>
      </c>
      <c r="I11268" s="135" t="n">
        <f aca="false">$G11268*'Analyse capacite'!$C$8</f>
        <v>0</v>
      </c>
      <c r="J11268" s="135" t="n">
        <f aca="false">$G11268*'Analyse capacite'!$D$8</f>
        <v>0</v>
      </c>
      <c r="K11268" s="135" t="n">
        <f aca="false">$G11268*'Analyse capacite'!$E$8</f>
        <v>0</v>
      </c>
    </row>
    <row r="11269" customFormat="false" ht="15" hidden="false" customHeight="false" outlineLevel="0" collapsed="false">
      <c r="B11269" s="130" t="n">
        <v>2028</v>
      </c>
      <c r="C11269" s="131" t="s">
        <v>256</v>
      </c>
      <c r="D11269" s="132" t="n">
        <v>46790</v>
      </c>
      <c r="E11269" s="131" t="s">
        <v>59</v>
      </c>
      <c r="F11269" s="133" t="s">
        <v>24</v>
      </c>
      <c r="G11269" s="134" t="n">
        <f aca="false">LEN('Saisie programme'!$D$435)+SUMIFS('Vols additionnels'!$E$7:$E$66,'Vols additionnels'!$C$7:$C$66,$E11269,'Vols additionnels'!$D$7:$D$66,$F11269,'Vols additionnels'!$B$7:$B$66,$D11269)</f>
        <v>1</v>
      </c>
      <c r="H11269" s="135" t="n">
        <f aca="false">$G11269*'Analyse capacite'!$F$9</f>
        <v>174</v>
      </c>
      <c r="I11269" s="135" t="n">
        <f aca="false">$G11269*'Analyse capacite'!$C$9</f>
        <v>0</v>
      </c>
      <c r="J11269" s="135" t="n">
        <f aca="false">$G11269*'Analyse capacite'!$D$9</f>
        <v>12</v>
      </c>
      <c r="K11269" s="135" t="n">
        <f aca="false">$G11269*'Analyse capacite'!$E$9</f>
        <v>162</v>
      </c>
    </row>
    <row r="11270" customFormat="false" ht="15" hidden="false" customHeight="false" outlineLevel="0" collapsed="false">
      <c r="B11270" s="130" t="n">
        <v>2028</v>
      </c>
      <c r="C11270" s="131" t="s">
        <v>256</v>
      </c>
      <c r="D11270" s="132" t="n">
        <v>46790</v>
      </c>
      <c r="E11270" s="131" t="s">
        <v>62</v>
      </c>
      <c r="F11270" s="133" t="s">
        <v>11</v>
      </c>
      <c r="G11270" s="134" t="n">
        <f aca="false">LEN('Saisie programme'!$D$436)+SUMIFS('Vols additionnels'!$E$7:$E$66,'Vols additionnels'!$C$7:$C$66,$E11270,'Vols additionnels'!$D$7:$D$66,$F11270,'Vols additionnels'!$B$7:$B$66,$D11270)</f>
        <v>0</v>
      </c>
      <c r="H11270" s="135" t="n">
        <f aca="false">$G11270*'Analyse capacite'!$F$7</f>
        <v>0</v>
      </c>
      <c r="I11270" s="135" t="n">
        <f aca="false">$G11270*'Analyse capacite'!$C$7</f>
        <v>0</v>
      </c>
      <c r="J11270" s="135" t="n">
        <f aca="false">$G11270*'Analyse capacite'!$D$7</f>
        <v>0</v>
      </c>
      <c r="K11270" s="135" t="n">
        <f aca="false">$G11270*'Analyse capacite'!$E$7</f>
        <v>0</v>
      </c>
    </row>
    <row r="11271" customFormat="false" ht="15" hidden="false" customHeight="false" outlineLevel="0" collapsed="false">
      <c r="B11271" s="130" t="n">
        <v>2028</v>
      </c>
      <c r="C11271" s="131" t="s">
        <v>256</v>
      </c>
      <c r="D11271" s="132" t="n">
        <v>46790</v>
      </c>
      <c r="E11271" s="131" t="s">
        <v>62</v>
      </c>
      <c r="F11271" s="133" t="s">
        <v>19</v>
      </c>
      <c r="G11271" s="134" t="n">
        <f aca="false">LEN('Saisie programme'!$D$437)+SUMIFS('Vols additionnels'!$E$7:$E$66,'Vols additionnels'!$C$7:$C$66,$E11271,'Vols additionnels'!$D$7:$D$66,$F11271,'Vols additionnels'!$B$7:$B$66,$D11271)</f>
        <v>0</v>
      </c>
      <c r="H11271" s="135" t="n">
        <f aca="false">$G11271*'Analyse capacite'!$F$8</f>
        <v>0</v>
      </c>
      <c r="I11271" s="135" t="n">
        <f aca="false">$G11271*'Analyse capacite'!$C$8</f>
        <v>0</v>
      </c>
      <c r="J11271" s="135" t="n">
        <f aca="false">$G11271*'Analyse capacite'!$D$8</f>
        <v>0</v>
      </c>
      <c r="K11271" s="135" t="n">
        <f aca="false">$G11271*'Analyse capacite'!$E$8</f>
        <v>0</v>
      </c>
    </row>
    <row r="11272" customFormat="false" ht="15" hidden="false" customHeight="false" outlineLevel="0" collapsed="false">
      <c r="B11272" s="130" t="n">
        <v>2028</v>
      </c>
      <c r="C11272" s="131" t="s">
        <v>256</v>
      </c>
      <c r="D11272" s="132" t="n">
        <v>46790</v>
      </c>
      <c r="E11272" s="131" t="s">
        <v>62</v>
      </c>
      <c r="F11272" s="133" t="s">
        <v>24</v>
      </c>
      <c r="G11272" s="134" t="n">
        <f aca="false">LEN('Saisie programme'!$D$438)+SUMIFS('Vols additionnels'!$E$7:$E$66,'Vols additionnels'!$C$7:$C$66,$E11272,'Vols additionnels'!$D$7:$D$66,$F11272,'Vols additionnels'!$B$7:$B$66,$D11272)</f>
        <v>0</v>
      </c>
      <c r="H11272" s="135" t="n">
        <f aca="false">$G11272*'Analyse capacite'!$F$9</f>
        <v>0</v>
      </c>
      <c r="I11272" s="135" t="n">
        <f aca="false">$G11272*'Analyse capacite'!$C$9</f>
        <v>0</v>
      </c>
      <c r="J11272" s="135" t="n">
        <f aca="false">$G11272*'Analyse capacite'!$D$9</f>
        <v>0</v>
      </c>
      <c r="K11272" s="135" t="n">
        <f aca="false">$G11272*'Analyse capacite'!$E$9</f>
        <v>0</v>
      </c>
    </row>
    <row r="11273" customFormat="false" ht="15" hidden="false" customHeight="false" outlineLevel="0" collapsed="false">
      <c r="B11273" s="130" t="n">
        <v>2028</v>
      </c>
      <c r="C11273" s="131" t="s">
        <v>256</v>
      </c>
      <c r="D11273" s="132" t="n">
        <v>46791</v>
      </c>
      <c r="E11273" s="131" t="s">
        <v>12</v>
      </c>
      <c r="F11273" s="133" t="s">
        <v>11</v>
      </c>
      <c r="G11273" s="134" t="n">
        <f aca="false">LEN('Saisie programme'!$E$403)+SUMIFS('Vols additionnels'!$E$7:$E$66,'Vols additionnels'!$C$7:$C$66,$E11273,'Vols additionnels'!$D$7:$D$66,$F11273,'Vols additionnels'!$B$7:$B$66,$D11273)</f>
        <v>1</v>
      </c>
      <c r="H11273" s="135" t="n">
        <f aca="false">$G11273*'Analyse capacite'!$F$7</f>
        <v>438</v>
      </c>
      <c r="I11273" s="135" t="n">
        <f aca="false">$G11273*'Analyse capacite'!$C$7</f>
        <v>14</v>
      </c>
      <c r="J11273" s="135" t="n">
        <f aca="false">$G11273*'Analyse capacite'!$D$7</f>
        <v>40</v>
      </c>
      <c r="K11273" s="135" t="n">
        <f aca="false">$G11273*'Analyse capacite'!$E$7</f>
        <v>384</v>
      </c>
    </row>
    <row r="11274" customFormat="false" ht="15" hidden="false" customHeight="false" outlineLevel="0" collapsed="false">
      <c r="B11274" s="130" t="n">
        <v>2028</v>
      </c>
      <c r="C11274" s="131" t="s">
        <v>256</v>
      </c>
      <c r="D11274" s="132" t="n">
        <v>46791</v>
      </c>
      <c r="E11274" s="131" t="s">
        <v>12</v>
      </c>
      <c r="F11274" s="133" t="s">
        <v>19</v>
      </c>
      <c r="G11274" s="134" t="n">
        <f aca="false">LEN('Saisie programme'!$E$404)+SUMIFS('Vols additionnels'!$E$7:$E$66,'Vols additionnels'!$C$7:$C$66,$E11274,'Vols additionnels'!$D$7:$D$66,$F11274,'Vols additionnels'!$B$7:$B$66,$D11274)</f>
        <v>0</v>
      </c>
      <c r="H11274" s="135" t="n">
        <f aca="false">$G11274*'Analyse capacite'!$F$8</f>
        <v>0</v>
      </c>
      <c r="I11274" s="135" t="n">
        <f aca="false">$G11274*'Analyse capacite'!$C$8</f>
        <v>0</v>
      </c>
      <c r="J11274" s="135" t="n">
        <f aca="false">$G11274*'Analyse capacite'!$D$8</f>
        <v>0</v>
      </c>
      <c r="K11274" s="135" t="n">
        <f aca="false">$G11274*'Analyse capacite'!$E$8</f>
        <v>0</v>
      </c>
    </row>
    <row r="11275" customFormat="false" ht="15" hidden="false" customHeight="false" outlineLevel="0" collapsed="false">
      <c r="B11275" s="130" t="n">
        <v>2028</v>
      </c>
      <c r="C11275" s="131" t="s">
        <v>256</v>
      </c>
      <c r="D11275" s="132" t="n">
        <v>46791</v>
      </c>
      <c r="E11275" s="131" t="s">
        <v>12</v>
      </c>
      <c r="F11275" s="133" t="s">
        <v>24</v>
      </c>
      <c r="G11275" s="134" t="n">
        <f aca="false">LEN('Saisie programme'!$E$405)+SUMIFS('Vols additionnels'!$E$7:$E$66,'Vols additionnels'!$C$7:$C$66,$E11275,'Vols additionnels'!$D$7:$D$66,$F11275,'Vols additionnels'!$B$7:$B$66,$D11275)</f>
        <v>0</v>
      </c>
      <c r="H11275" s="135" t="n">
        <f aca="false">$G11275*'Analyse capacite'!$F$9</f>
        <v>0</v>
      </c>
      <c r="I11275" s="135" t="n">
        <f aca="false">$G11275*'Analyse capacite'!$C$9</f>
        <v>0</v>
      </c>
      <c r="J11275" s="135" t="n">
        <f aca="false">$G11275*'Analyse capacite'!$D$9</f>
        <v>0</v>
      </c>
      <c r="K11275" s="135" t="n">
        <f aca="false">$G11275*'Analyse capacite'!$E$9</f>
        <v>0</v>
      </c>
    </row>
    <row r="11276" customFormat="false" ht="15" hidden="false" customHeight="false" outlineLevel="0" collapsed="false">
      <c r="B11276" s="130" t="n">
        <v>2028</v>
      </c>
      <c r="C11276" s="131" t="s">
        <v>256</v>
      </c>
      <c r="D11276" s="132" t="n">
        <v>46791</v>
      </c>
      <c r="E11276" s="131" t="s">
        <v>20</v>
      </c>
      <c r="F11276" s="133" t="s">
        <v>11</v>
      </c>
      <c r="G11276" s="134" t="n">
        <f aca="false">LEN('Saisie programme'!$E$406)+SUMIFS('Vols additionnels'!$E$7:$E$66,'Vols additionnels'!$C$7:$C$66,$E11276,'Vols additionnels'!$D$7:$D$66,$F11276,'Vols additionnels'!$B$7:$B$66,$D11276)</f>
        <v>0</v>
      </c>
      <c r="H11276" s="135" t="n">
        <f aca="false">$G11276*'Analyse capacite'!$F$7</f>
        <v>0</v>
      </c>
      <c r="I11276" s="135" t="n">
        <f aca="false">$G11276*'Analyse capacite'!$C$7</f>
        <v>0</v>
      </c>
      <c r="J11276" s="135" t="n">
        <f aca="false">$G11276*'Analyse capacite'!$D$7</f>
        <v>0</v>
      </c>
      <c r="K11276" s="135" t="n">
        <f aca="false">$G11276*'Analyse capacite'!$E$7</f>
        <v>0</v>
      </c>
    </row>
    <row r="11277" customFormat="false" ht="15" hidden="false" customHeight="false" outlineLevel="0" collapsed="false">
      <c r="B11277" s="130" t="n">
        <v>2028</v>
      </c>
      <c r="C11277" s="131" t="s">
        <v>256</v>
      </c>
      <c r="D11277" s="132" t="n">
        <v>46791</v>
      </c>
      <c r="E11277" s="131" t="s">
        <v>20</v>
      </c>
      <c r="F11277" s="133" t="s">
        <v>19</v>
      </c>
      <c r="G11277" s="134" t="n">
        <f aca="false">LEN('Saisie programme'!$E$407)+SUMIFS('Vols additionnels'!$E$7:$E$66,'Vols additionnels'!$C$7:$C$66,$E11277,'Vols additionnels'!$D$7:$D$66,$F11277,'Vols additionnels'!$B$7:$B$66,$D11277)</f>
        <v>1</v>
      </c>
      <c r="H11277" s="135" t="n">
        <f aca="false">$G11277*'Analyse capacite'!$F$8</f>
        <v>262</v>
      </c>
      <c r="I11277" s="135" t="n">
        <f aca="false">$G11277*'Analyse capacite'!$C$8</f>
        <v>18</v>
      </c>
      <c r="J11277" s="135" t="n">
        <f aca="false">$G11277*'Analyse capacite'!$D$8</f>
        <v>0</v>
      </c>
      <c r="K11277" s="135" t="n">
        <f aca="false">$G11277*'Analyse capacite'!$E$8</f>
        <v>244</v>
      </c>
    </row>
    <row r="11278" customFormat="false" ht="15" hidden="false" customHeight="false" outlineLevel="0" collapsed="false">
      <c r="B11278" s="130" t="n">
        <v>2028</v>
      </c>
      <c r="C11278" s="131" t="s">
        <v>256</v>
      </c>
      <c r="D11278" s="132" t="n">
        <v>46791</v>
      </c>
      <c r="E11278" s="131" t="s">
        <v>20</v>
      </c>
      <c r="F11278" s="133" t="s">
        <v>24</v>
      </c>
      <c r="G11278" s="134" t="n">
        <f aca="false">LEN('Saisie programme'!$E$408)+SUMIFS('Vols additionnels'!$E$7:$E$66,'Vols additionnels'!$C$7:$C$66,$E11278,'Vols additionnels'!$D$7:$D$66,$F11278,'Vols additionnels'!$B$7:$B$66,$D11278)</f>
        <v>0</v>
      </c>
      <c r="H11278" s="135" t="n">
        <f aca="false">$G11278*'Analyse capacite'!$F$9</f>
        <v>0</v>
      </c>
      <c r="I11278" s="135" t="n">
        <f aca="false">$G11278*'Analyse capacite'!$C$9</f>
        <v>0</v>
      </c>
      <c r="J11278" s="135" t="n">
        <f aca="false">$G11278*'Analyse capacite'!$D$9</f>
        <v>0</v>
      </c>
      <c r="K11278" s="135" t="n">
        <f aca="false">$G11278*'Analyse capacite'!$E$9</f>
        <v>0</v>
      </c>
    </row>
    <row r="11279" customFormat="false" ht="15" hidden="false" customHeight="false" outlineLevel="0" collapsed="false">
      <c r="B11279" s="130" t="n">
        <v>2028</v>
      </c>
      <c r="C11279" s="131" t="s">
        <v>256</v>
      </c>
      <c r="D11279" s="132" t="n">
        <v>46791</v>
      </c>
      <c r="E11279" s="131" t="s">
        <v>25</v>
      </c>
      <c r="F11279" s="133" t="s">
        <v>11</v>
      </c>
      <c r="G11279" s="134" t="n">
        <f aca="false">LEN('Saisie programme'!$E$409)+SUMIFS('Vols additionnels'!$E$7:$E$66,'Vols additionnels'!$C$7:$C$66,$E11279,'Vols additionnels'!$D$7:$D$66,$F11279,'Vols additionnels'!$B$7:$B$66,$D11279)</f>
        <v>0</v>
      </c>
      <c r="H11279" s="135" t="n">
        <f aca="false">$G11279*'Analyse capacite'!$F$7</f>
        <v>0</v>
      </c>
      <c r="I11279" s="135" t="n">
        <f aca="false">$G11279*'Analyse capacite'!$C$7</f>
        <v>0</v>
      </c>
      <c r="J11279" s="135" t="n">
        <f aca="false">$G11279*'Analyse capacite'!$D$7</f>
        <v>0</v>
      </c>
      <c r="K11279" s="135" t="n">
        <f aca="false">$G11279*'Analyse capacite'!$E$7</f>
        <v>0</v>
      </c>
    </row>
    <row r="11280" customFormat="false" ht="15" hidden="false" customHeight="false" outlineLevel="0" collapsed="false">
      <c r="B11280" s="130" t="n">
        <v>2028</v>
      </c>
      <c r="C11280" s="131" t="s">
        <v>256</v>
      </c>
      <c r="D11280" s="132" t="n">
        <v>46791</v>
      </c>
      <c r="E11280" s="131" t="s">
        <v>25</v>
      </c>
      <c r="F11280" s="133" t="s">
        <v>19</v>
      </c>
      <c r="G11280" s="134" t="n">
        <f aca="false">LEN('Saisie programme'!$E$410)+SUMIFS('Vols additionnels'!$E$7:$E$66,'Vols additionnels'!$C$7:$C$66,$E11280,'Vols additionnels'!$D$7:$D$66,$F11280,'Vols additionnels'!$B$7:$B$66,$D11280)</f>
        <v>0</v>
      </c>
      <c r="H11280" s="135" t="n">
        <f aca="false">$G11280*'Analyse capacite'!$F$8</f>
        <v>0</v>
      </c>
      <c r="I11280" s="135" t="n">
        <f aca="false">$G11280*'Analyse capacite'!$C$8</f>
        <v>0</v>
      </c>
      <c r="J11280" s="135" t="n">
        <f aca="false">$G11280*'Analyse capacite'!$D$8</f>
        <v>0</v>
      </c>
      <c r="K11280" s="135" t="n">
        <f aca="false">$G11280*'Analyse capacite'!$E$8</f>
        <v>0</v>
      </c>
    </row>
    <row r="11281" customFormat="false" ht="15" hidden="false" customHeight="false" outlineLevel="0" collapsed="false">
      <c r="B11281" s="130" t="n">
        <v>2028</v>
      </c>
      <c r="C11281" s="131" t="s">
        <v>256</v>
      </c>
      <c r="D11281" s="132" t="n">
        <v>46791</v>
      </c>
      <c r="E11281" s="131" t="s">
        <v>25</v>
      </c>
      <c r="F11281" s="133" t="s">
        <v>24</v>
      </c>
      <c r="G11281" s="134" t="n">
        <f aca="false">LEN('Saisie programme'!$E$411)+SUMIFS('Vols additionnels'!$E$7:$E$66,'Vols additionnels'!$C$7:$C$66,$E11281,'Vols additionnels'!$D$7:$D$66,$F11281,'Vols additionnels'!$B$7:$B$66,$D11281)</f>
        <v>0</v>
      </c>
      <c r="H11281" s="135" t="n">
        <f aca="false">$G11281*'Analyse capacite'!$F$9</f>
        <v>0</v>
      </c>
      <c r="I11281" s="135" t="n">
        <f aca="false">$G11281*'Analyse capacite'!$C$9</f>
        <v>0</v>
      </c>
      <c r="J11281" s="135" t="n">
        <f aca="false">$G11281*'Analyse capacite'!$D$9</f>
        <v>0</v>
      </c>
      <c r="K11281" s="135" t="n">
        <f aca="false">$G11281*'Analyse capacite'!$E$9</f>
        <v>0</v>
      </c>
    </row>
    <row r="11282" customFormat="false" ht="15" hidden="false" customHeight="false" outlineLevel="0" collapsed="false">
      <c r="B11282" s="130" t="n">
        <v>2028</v>
      </c>
      <c r="C11282" s="131" t="s">
        <v>256</v>
      </c>
      <c r="D11282" s="132" t="n">
        <v>46791</v>
      </c>
      <c r="E11282" s="131" t="s">
        <v>36</v>
      </c>
      <c r="F11282" s="133" t="s">
        <v>11</v>
      </c>
      <c r="G11282" s="134" t="n">
        <f aca="false">LEN('Saisie programme'!$E$412)+SUMIFS('Vols additionnels'!$E$7:$E$66,'Vols additionnels'!$C$7:$C$66,$E11282,'Vols additionnels'!$D$7:$D$66,$F11282,'Vols additionnels'!$B$7:$B$66,$D11282)</f>
        <v>0</v>
      </c>
      <c r="H11282" s="135" t="n">
        <f aca="false">$G11282*'Analyse capacite'!$F$7</f>
        <v>0</v>
      </c>
      <c r="I11282" s="135" t="n">
        <f aca="false">$G11282*'Analyse capacite'!$C$7</f>
        <v>0</v>
      </c>
      <c r="J11282" s="135" t="n">
        <f aca="false">$G11282*'Analyse capacite'!$D$7</f>
        <v>0</v>
      </c>
      <c r="K11282" s="135" t="n">
        <f aca="false">$G11282*'Analyse capacite'!$E$7</f>
        <v>0</v>
      </c>
    </row>
    <row r="11283" customFormat="false" ht="15" hidden="false" customHeight="false" outlineLevel="0" collapsed="false">
      <c r="B11283" s="130" t="n">
        <v>2028</v>
      </c>
      <c r="C11283" s="131" t="s">
        <v>256</v>
      </c>
      <c r="D11283" s="132" t="n">
        <v>46791</v>
      </c>
      <c r="E11283" s="131" t="s">
        <v>36</v>
      </c>
      <c r="F11283" s="133" t="s">
        <v>19</v>
      </c>
      <c r="G11283" s="134" t="n">
        <f aca="false">LEN('Saisie programme'!$E$413)+SUMIFS('Vols additionnels'!$E$7:$E$66,'Vols additionnels'!$C$7:$C$66,$E11283,'Vols additionnels'!$D$7:$D$66,$F11283,'Vols additionnels'!$B$7:$B$66,$D11283)</f>
        <v>0</v>
      </c>
      <c r="H11283" s="135" t="n">
        <f aca="false">$G11283*'Analyse capacite'!$F$8</f>
        <v>0</v>
      </c>
      <c r="I11283" s="135" t="n">
        <f aca="false">$G11283*'Analyse capacite'!$C$8</f>
        <v>0</v>
      </c>
      <c r="J11283" s="135" t="n">
        <f aca="false">$G11283*'Analyse capacite'!$D$8</f>
        <v>0</v>
      </c>
      <c r="K11283" s="135" t="n">
        <f aca="false">$G11283*'Analyse capacite'!$E$8</f>
        <v>0</v>
      </c>
    </row>
    <row r="11284" customFormat="false" ht="15" hidden="false" customHeight="false" outlineLevel="0" collapsed="false">
      <c r="B11284" s="130" t="n">
        <v>2028</v>
      </c>
      <c r="C11284" s="131" t="s">
        <v>256</v>
      </c>
      <c r="D11284" s="132" t="n">
        <v>46791</v>
      </c>
      <c r="E11284" s="131" t="s">
        <v>36</v>
      </c>
      <c r="F11284" s="133" t="s">
        <v>24</v>
      </c>
      <c r="G11284" s="134" t="n">
        <f aca="false">LEN('Saisie programme'!$E$414)+SUMIFS('Vols additionnels'!$E$7:$E$66,'Vols additionnels'!$C$7:$C$66,$E11284,'Vols additionnels'!$D$7:$D$66,$F11284,'Vols additionnels'!$B$7:$B$66,$D11284)</f>
        <v>1</v>
      </c>
      <c r="H11284" s="135" t="n">
        <f aca="false">$G11284*'Analyse capacite'!$F$9</f>
        <v>174</v>
      </c>
      <c r="I11284" s="135" t="n">
        <f aca="false">$G11284*'Analyse capacite'!$C$9</f>
        <v>0</v>
      </c>
      <c r="J11284" s="135" t="n">
        <f aca="false">$G11284*'Analyse capacite'!$D$9</f>
        <v>12</v>
      </c>
      <c r="K11284" s="135" t="n">
        <f aca="false">$G11284*'Analyse capacite'!$E$9</f>
        <v>162</v>
      </c>
    </row>
    <row r="11285" customFormat="false" ht="15" hidden="false" customHeight="false" outlineLevel="0" collapsed="false">
      <c r="B11285" s="130" t="n">
        <v>2028</v>
      </c>
      <c r="C11285" s="131" t="s">
        <v>256</v>
      </c>
      <c r="D11285" s="132" t="n">
        <v>46791</v>
      </c>
      <c r="E11285" s="131" t="s">
        <v>40</v>
      </c>
      <c r="F11285" s="133" t="s">
        <v>11</v>
      </c>
      <c r="G11285" s="134" t="n">
        <f aca="false">LEN('Saisie programme'!$E$415)+SUMIFS('Vols additionnels'!$E$7:$E$66,'Vols additionnels'!$C$7:$C$66,$E11285,'Vols additionnels'!$D$7:$D$66,$F11285,'Vols additionnels'!$B$7:$B$66,$D11285)</f>
        <v>0</v>
      </c>
      <c r="H11285" s="135" t="n">
        <f aca="false">$G11285*'Analyse capacite'!$F$7</f>
        <v>0</v>
      </c>
      <c r="I11285" s="135" t="n">
        <f aca="false">$G11285*'Analyse capacite'!$C$7</f>
        <v>0</v>
      </c>
      <c r="J11285" s="135" t="n">
        <f aca="false">$G11285*'Analyse capacite'!$D$7</f>
        <v>0</v>
      </c>
      <c r="K11285" s="135" t="n">
        <f aca="false">$G11285*'Analyse capacite'!$E$7</f>
        <v>0</v>
      </c>
    </row>
    <row r="11286" customFormat="false" ht="15" hidden="false" customHeight="false" outlineLevel="0" collapsed="false">
      <c r="B11286" s="130" t="n">
        <v>2028</v>
      </c>
      <c r="C11286" s="131" t="s">
        <v>256</v>
      </c>
      <c r="D11286" s="132" t="n">
        <v>46791</v>
      </c>
      <c r="E11286" s="131" t="s">
        <v>40</v>
      </c>
      <c r="F11286" s="133" t="s">
        <v>19</v>
      </c>
      <c r="G11286" s="134" t="n">
        <f aca="false">LEN('Saisie programme'!$E$416)+SUMIFS('Vols additionnels'!$E$7:$E$66,'Vols additionnels'!$C$7:$C$66,$E11286,'Vols additionnels'!$D$7:$D$66,$F11286,'Vols additionnels'!$B$7:$B$66,$D11286)</f>
        <v>0</v>
      </c>
      <c r="H11286" s="135" t="n">
        <f aca="false">$G11286*'Analyse capacite'!$F$8</f>
        <v>0</v>
      </c>
      <c r="I11286" s="135" t="n">
        <f aca="false">$G11286*'Analyse capacite'!$C$8</f>
        <v>0</v>
      </c>
      <c r="J11286" s="135" t="n">
        <f aca="false">$G11286*'Analyse capacite'!$D$8</f>
        <v>0</v>
      </c>
      <c r="K11286" s="135" t="n">
        <f aca="false">$G11286*'Analyse capacite'!$E$8</f>
        <v>0</v>
      </c>
    </row>
    <row r="11287" customFormat="false" ht="15" hidden="false" customHeight="false" outlineLevel="0" collapsed="false">
      <c r="B11287" s="130" t="n">
        <v>2028</v>
      </c>
      <c r="C11287" s="131" t="s">
        <v>256</v>
      </c>
      <c r="D11287" s="132" t="n">
        <v>46791</v>
      </c>
      <c r="E11287" s="131" t="s">
        <v>40</v>
      </c>
      <c r="F11287" s="133" t="s">
        <v>24</v>
      </c>
      <c r="G11287" s="134" t="n">
        <f aca="false">LEN('Saisie programme'!$E$417)+SUMIFS('Vols additionnels'!$E$7:$E$66,'Vols additionnels'!$C$7:$C$66,$E11287,'Vols additionnels'!$D$7:$D$66,$F11287,'Vols additionnels'!$B$7:$B$66,$D11287)</f>
        <v>0</v>
      </c>
      <c r="H11287" s="135" t="n">
        <f aca="false">$G11287*'Analyse capacite'!$F$9</f>
        <v>0</v>
      </c>
      <c r="I11287" s="135" t="n">
        <f aca="false">$G11287*'Analyse capacite'!$C$9</f>
        <v>0</v>
      </c>
      <c r="J11287" s="135" t="n">
        <f aca="false">$G11287*'Analyse capacite'!$D$9</f>
        <v>0</v>
      </c>
      <c r="K11287" s="135" t="n">
        <f aca="false">$G11287*'Analyse capacite'!$E$9</f>
        <v>0</v>
      </c>
    </row>
    <row r="11288" customFormat="false" ht="15" hidden="false" customHeight="false" outlineLevel="0" collapsed="false">
      <c r="B11288" s="130" t="n">
        <v>2028</v>
      </c>
      <c r="C11288" s="131" t="s">
        <v>256</v>
      </c>
      <c r="D11288" s="132" t="n">
        <v>46791</v>
      </c>
      <c r="E11288" s="131" t="s">
        <v>14</v>
      </c>
      <c r="F11288" s="133" t="s">
        <v>11</v>
      </c>
      <c r="G11288" s="134" t="n">
        <f aca="false">LEN('Saisie programme'!$E$418)+SUMIFS('Vols additionnels'!$E$7:$E$66,'Vols additionnels'!$C$7:$C$66,$E11288,'Vols additionnels'!$D$7:$D$66,$F11288,'Vols additionnels'!$B$7:$B$66,$D11288)</f>
        <v>0</v>
      </c>
      <c r="H11288" s="135" t="n">
        <f aca="false">$G11288*'Analyse capacite'!$F$7</f>
        <v>0</v>
      </c>
      <c r="I11288" s="135" t="n">
        <f aca="false">$G11288*'Analyse capacite'!$C$7</f>
        <v>0</v>
      </c>
      <c r="J11288" s="135" t="n">
        <f aca="false">$G11288*'Analyse capacite'!$D$7</f>
        <v>0</v>
      </c>
      <c r="K11288" s="135" t="n">
        <f aca="false">$G11288*'Analyse capacite'!$E$7</f>
        <v>0</v>
      </c>
    </row>
    <row r="11289" customFormat="false" ht="15" hidden="false" customHeight="false" outlineLevel="0" collapsed="false">
      <c r="B11289" s="130" t="n">
        <v>2028</v>
      </c>
      <c r="C11289" s="131" t="s">
        <v>256</v>
      </c>
      <c r="D11289" s="132" t="n">
        <v>46791</v>
      </c>
      <c r="E11289" s="131" t="s">
        <v>14</v>
      </c>
      <c r="F11289" s="133" t="s">
        <v>19</v>
      </c>
      <c r="G11289" s="134" t="n">
        <f aca="false">LEN('Saisie programme'!$E$419)+SUMIFS('Vols additionnels'!$E$7:$E$66,'Vols additionnels'!$C$7:$C$66,$E11289,'Vols additionnels'!$D$7:$D$66,$F11289,'Vols additionnels'!$B$7:$B$66,$D11289)</f>
        <v>0</v>
      </c>
      <c r="H11289" s="135" t="n">
        <f aca="false">$G11289*'Analyse capacite'!$F$8</f>
        <v>0</v>
      </c>
      <c r="I11289" s="135" t="n">
        <f aca="false">$G11289*'Analyse capacite'!$C$8</f>
        <v>0</v>
      </c>
      <c r="J11289" s="135" t="n">
        <f aca="false">$G11289*'Analyse capacite'!$D$8</f>
        <v>0</v>
      </c>
      <c r="K11289" s="135" t="n">
        <f aca="false">$G11289*'Analyse capacite'!$E$8</f>
        <v>0</v>
      </c>
    </row>
    <row r="11290" customFormat="false" ht="15" hidden="false" customHeight="false" outlineLevel="0" collapsed="false">
      <c r="B11290" s="130" t="n">
        <v>2028</v>
      </c>
      <c r="C11290" s="131" t="s">
        <v>256</v>
      </c>
      <c r="D11290" s="132" t="n">
        <v>46791</v>
      </c>
      <c r="E11290" s="131" t="s">
        <v>14</v>
      </c>
      <c r="F11290" s="133" t="s">
        <v>24</v>
      </c>
      <c r="G11290" s="134" t="n">
        <f aca="false">LEN('Saisie programme'!$E$420)+SUMIFS('Vols additionnels'!$E$7:$E$66,'Vols additionnels'!$C$7:$C$66,$E11290,'Vols additionnels'!$D$7:$D$66,$F11290,'Vols additionnels'!$B$7:$B$66,$D11290)</f>
        <v>0</v>
      </c>
      <c r="H11290" s="135" t="n">
        <f aca="false">$G11290*'Analyse capacite'!$F$9</f>
        <v>0</v>
      </c>
      <c r="I11290" s="135" t="n">
        <f aca="false">$G11290*'Analyse capacite'!$C$9</f>
        <v>0</v>
      </c>
      <c r="J11290" s="135" t="n">
        <f aca="false">$G11290*'Analyse capacite'!$D$9</f>
        <v>0</v>
      </c>
      <c r="K11290" s="135" t="n">
        <f aca="false">$G11290*'Analyse capacite'!$E$9</f>
        <v>0</v>
      </c>
    </row>
    <row r="11291" customFormat="false" ht="15" hidden="false" customHeight="false" outlineLevel="0" collapsed="false">
      <c r="B11291" s="130" t="n">
        <v>2028</v>
      </c>
      <c r="C11291" s="131" t="s">
        <v>256</v>
      </c>
      <c r="D11291" s="132" t="n">
        <v>46791</v>
      </c>
      <c r="E11291" s="131" t="s">
        <v>46</v>
      </c>
      <c r="F11291" s="133" t="s">
        <v>11</v>
      </c>
      <c r="G11291" s="134" t="n">
        <f aca="false">LEN('Saisie programme'!$E$421)+SUMIFS('Vols additionnels'!$E$7:$E$66,'Vols additionnels'!$C$7:$C$66,$E11291,'Vols additionnels'!$D$7:$D$66,$F11291,'Vols additionnels'!$B$7:$B$66,$D11291)</f>
        <v>0</v>
      </c>
      <c r="H11291" s="135" t="n">
        <f aca="false">$G11291*'Analyse capacite'!$F$7</f>
        <v>0</v>
      </c>
      <c r="I11291" s="135" t="n">
        <f aca="false">$G11291*'Analyse capacite'!$C$7</f>
        <v>0</v>
      </c>
      <c r="J11291" s="135" t="n">
        <f aca="false">$G11291*'Analyse capacite'!$D$7</f>
        <v>0</v>
      </c>
      <c r="K11291" s="135" t="n">
        <f aca="false">$G11291*'Analyse capacite'!$E$7</f>
        <v>0</v>
      </c>
    </row>
    <row r="11292" customFormat="false" ht="15" hidden="false" customHeight="false" outlineLevel="0" collapsed="false">
      <c r="B11292" s="130" t="n">
        <v>2028</v>
      </c>
      <c r="C11292" s="131" t="s">
        <v>256</v>
      </c>
      <c r="D11292" s="132" t="n">
        <v>46791</v>
      </c>
      <c r="E11292" s="131" t="s">
        <v>46</v>
      </c>
      <c r="F11292" s="133" t="s">
        <v>19</v>
      </c>
      <c r="G11292" s="134" t="n">
        <f aca="false">LEN('Saisie programme'!$E$422)+SUMIFS('Vols additionnels'!$E$7:$E$66,'Vols additionnels'!$C$7:$C$66,$E11292,'Vols additionnels'!$D$7:$D$66,$F11292,'Vols additionnels'!$B$7:$B$66,$D11292)</f>
        <v>0</v>
      </c>
      <c r="H11292" s="135" t="n">
        <f aca="false">$G11292*'Analyse capacite'!$F$8</f>
        <v>0</v>
      </c>
      <c r="I11292" s="135" t="n">
        <f aca="false">$G11292*'Analyse capacite'!$C$8</f>
        <v>0</v>
      </c>
      <c r="J11292" s="135" t="n">
        <f aca="false">$G11292*'Analyse capacite'!$D$8</f>
        <v>0</v>
      </c>
      <c r="K11292" s="135" t="n">
        <f aca="false">$G11292*'Analyse capacite'!$E$8</f>
        <v>0</v>
      </c>
    </row>
    <row r="11293" customFormat="false" ht="15" hidden="false" customHeight="false" outlineLevel="0" collapsed="false">
      <c r="B11293" s="130" t="n">
        <v>2028</v>
      </c>
      <c r="C11293" s="131" t="s">
        <v>256</v>
      </c>
      <c r="D11293" s="132" t="n">
        <v>46791</v>
      </c>
      <c r="E11293" s="131" t="s">
        <v>46</v>
      </c>
      <c r="F11293" s="133" t="s">
        <v>24</v>
      </c>
      <c r="G11293" s="134" t="n">
        <f aca="false">LEN('Saisie programme'!$E$423)+SUMIFS('Vols additionnels'!$E$7:$E$66,'Vols additionnels'!$C$7:$C$66,$E11293,'Vols additionnels'!$D$7:$D$66,$F11293,'Vols additionnels'!$B$7:$B$66,$D11293)</f>
        <v>1</v>
      </c>
      <c r="H11293" s="135" t="n">
        <f aca="false">$G11293*'Analyse capacite'!$F$9</f>
        <v>174</v>
      </c>
      <c r="I11293" s="135" t="n">
        <f aca="false">$G11293*'Analyse capacite'!$C$9</f>
        <v>0</v>
      </c>
      <c r="J11293" s="135" t="n">
        <f aca="false">$G11293*'Analyse capacite'!$D$9</f>
        <v>12</v>
      </c>
      <c r="K11293" s="135" t="n">
        <f aca="false">$G11293*'Analyse capacite'!$E$9</f>
        <v>162</v>
      </c>
    </row>
    <row r="11294" customFormat="false" ht="15" hidden="false" customHeight="false" outlineLevel="0" collapsed="false">
      <c r="B11294" s="130" t="n">
        <v>2028</v>
      </c>
      <c r="C11294" s="131" t="s">
        <v>256</v>
      </c>
      <c r="D11294" s="132" t="n">
        <v>46791</v>
      </c>
      <c r="E11294" s="131" t="s">
        <v>49</v>
      </c>
      <c r="F11294" s="133" t="s">
        <v>11</v>
      </c>
      <c r="G11294" s="134" t="n">
        <f aca="false">LEN('Saisie programme'!$E$424)+SUMIFS('Vols additionnels'!$E$7:$E$66,'Vols additionnels'!$C$7:$C$66,$E11294,'Vols additionnels'!$D$7:$D$66,$F11294,'Vols additionnels'!$B$7:$B$66,$D11294)</f>
        <v>0</v>
      </c>
      <c r="H11294" s="135" t="n">
        <f aca="false">$G11294*'Analyse capacite'!$F$7</f>
        <v>0</v>
      </c>
      <c r="I11294" s="135" t="n">
        <f aca="false">$G11294*'Analyse capacite'!$C$7</f>
        <v>0</v>
      </c>
      <c r="J11294" s="135" t="n">
        <f aca="false">$G11294*'Analyse capacite'!$D$7</f>
        <v>0</v>
      </c>
      <c r="K11294" s="135" t="n">
        <f aca="false">$G11294*'Analyse capacite'!$E$7</f>
        <v>0</v>
      </c>
    </row>
    <row r="11295" customFormat="false" ht="15" hidden="false" customHeight="false" outlineLevel="0" collapsed="false">
      <c r="B11295" s="130" t="n">
        <v>2028</v>
      </c>
      <c r="C11295" s="131" t="s">
        <v>256</v>
      </c>
      <c r="D11295" s="132" t="n">
        <v>46791</v>
      </c>
      <c r="E11295" s="131" t="s">
        <v>49</v>
      </c>
      <c r="F11295" s="133" t="s">
        <v>19</v>
      </c>
      <c r="G11295" s="134" t="n">
        <f aca="false">LEN('Saisie programme'!$E$425)+SUMIFS('Vols additionnels'!$E$7:$E$66,'Vols additionnels'!$C$7:$C$66,$E11295,'Vols additionnels'!$D$7:$D$66,$F11295,'Vols additionnels'!$B$7:$B$66,$D11295)</f>
        <v>0</v>
      </c>
      <c r="H11295" s="135" t="n">
        <f aca="false">$G11295*'Analyse capacite'!$F$8</f>
        <v>0</v>
      </c>
      <c r="I11295" s="135" t="n">
        <f aca="false">$G11295*'Analyse capacite'!$C$8</f>
        <v>0</v>
      </c>
      <c r="J11295" s="135" t="n">
        <f aca="false">$G11295*'Analyse capacite'!$D$8</f>
        <v>0</v>
      </c>
      <c r="K11295" s="135" t="n">
        <f aca="false">$G11295*'Analyse capacite'!$E$8</f>
        <v>0</v>
      </c>
    </row>
    <row r="11296" customFormat="false" ht="15" hidden="false" customHeight="false" outlineLevel="0" collapsed="false">
      <c r="B11296" s="130" t="n">
        <v>2028</v>
      </c>
      <c r="C11296" s="131" t="s">
        <v>256</v>
      </c>
      <c r="D11296" s="132" t="n">
        <v>46791</v>
      </c>
      <c r="E11296" s="131" t="s">
        <v>49</v>
      </c>
      <c r="F11296" s="133" t="s">
        <v>24</v>
      </c>
      <c r="G11296" s="134" t="n">
        <f aca="false">LEN('Saisie programme'!$E$426)+SUMIFS('Vols additionnels'!$E$7:$E$66,'Vols additionnels'!$C$7:$C$66,$E11296,'Vols additionnels'!$D$7:$D$66,$F11296,'Vols additionnels'!$B$7:$B$66,$D11296)</f>
        <v>0</v>
      </c>
      <c r="H11296" s="135" t="n">
        <f aca="false">$G11296*'Analyse capacite'!$F$9</f>
        <v>0</v>
      </c>
      <c r="I11296" s="135" t="n">
        <f aca="false">$G11296*'Analyse capacite'!$C$9</f>
        <v>0</v>
      </c>
      <c r="J11296" s="135" t="n">
        <f aca="false">$G11296*'Analyse capacite'!$D$9</f>
        <v>0</v>
      </c>
      <c r="K11296" s="135" t="n">
        <f aca="false">$G11296*'Analyse capacite'!$E$9</f>
        <v>0</v>
      </c>
    </row>
    <row r="11297" customFormat="false" ht="15" hidden="false" customHeight="false" outlineLevel="0" collapsed="false">
      <c r="B11297" s="130" t="n">
        <v>2028</v>
      </c>
      <c r="C11297" s="131" t="s">
        <v>256</v>
      </c>
      <c r="D11297" s="132" t="n">
        <v>46791</v>
      </c>
      <c r="E11297" s="131" t="s">
        <v>53</v>
      </c>
      <c r="F11297" s="133" t="s">
        <v>11</v>
      </c>
      <c r="G11297" s="134" t="n">
        <f aca="false">LEN('Saisie programme'!$E$427)+SUMIFS('Vols additionnels'!$E$7:$E$66,'Vols additionnels'!$C$7:$C$66,$E11297,'Vols additionnels'!$D$7:$D$66,$F11297,'Vols additionnels'!$B$7:$B$66,$D11297)</f>
        <v>0</v>
      </c>
      <c r="H11297" s="135" t="n">
        <f aca="false">$G11297*'Analyse capacite'!$F$7</f>
        <v>0</v>
      </c>
      <c r="I11297" s="135" t="n">
        <f aca="false">$G11297*'Analyse capacite'!$C$7</f>
        <v>0</v>
      </c>
      <c r="J11297" s="135" t="n">
        <f aca="false">$G11297*'Analyse capacite'!$D$7</f>
        <v>0</v>
      </c>
      <c r="K11297" s="135" t="n">
        <f aca="false">$G11297*'Analyse capacite'!$E$7</f>
        <v>0</v>
      </c>
    </row>
    <row r="11298" customFormat="false" ht="15" hidden="false" customHeight="false" outlineLevel="0" collapsed="false">
      <c r="B11298" s="130" t="n">
        <v>2028</v>
      </c>
      <c r="C11298" s="131" t="s">
        <v>256</v>
      </c>
      <c r="D11298" s="132" t="n">
        <v>46791</v>
      </c>
      <c r="E11298" s="131" t="s">
        <v>53</v>
      </c>
      <c r="F11298" s="133" t="s">
        <v>19</v>
      </c>
      <c r="G11298" s="134" t="n">
        <f aca="false">LEN('Saisie programme'!$E$428)+SUMIFS('Vols additionnels'!$E$7:$E$66,'Vols additionnels'!$C$7:$C$66,$E11298,'Vols additionnels'!$D$7:$D$66,$F11298,'Vols additionnels'!$B$7:$B$66,$D11298)</f>
        <v>0</v>
      </c>
      <c r="H11298" s="135" t="n">
        <f aca="false">$G11298*'Analyse capacite'!$F$8</f>
        <v>0</v>
      </c>
      <c r="I11298" s="135" t="n">
        <f aca="false">$G11298*'Analyse capacite'!$C$8</f>
        <v>0</v>
      </c>
      <c r="J11298" s="135" t="n">
        <f aca="false">$G11298*'Analyse capacite'!$D$8</f>
        <v>0</v>
      </c>
      <c r="K11298" s="135" t="n">
        <f aca="false">$G11298*'Analyse capacite'!$E$8</f>
        <v>0</v>
      </c>
    </row>
    <row r="11299" customFormat="false" ht="15" hidden="false" customHeight="false" outlineLevel="0" collapsed="false">
      <c r="B11299" s="130" t="n">
        <v>2028</v>
      </c>
      <c r="C11299" s="131" t="s">
        <v>256</v>
      </c>
      <c r="D11299" s="132" t="n">
        <v>46791</v>
      </c>
      <c r="E11299" s="131" t="s">
        <v>53</v>
      </c>
      <c r="F11299" s="133" t="s">
        <v>24</v>
      </c>
      <c r="G11299" s="134" t="n">
        <f aca="false">LEN('Saisie programme'!$E$429)+SUMIFS('Vols additionnels'!$E$7:$E$66,'Vols additionnels'!$C$7:$C$66,$E11299,'Vols additionnels'!$D$7:$D$66,$F11299,'Vols additionnels'!$B$7:$B$66,$D11299)</f>
        <v>0</v>
      </c>
      <c r="H11299" s="135" t="n">
        <f aca="false">$G11299*'Analyse capacite'!$F$9</f>
        <v>0</v>
      </c>
      <c r="I11299" s="135" t="n">
        <f aca="false">$G11299*'Analyse capacite'!$C$9</f>
        <v>0</v>
      </c>
      <c r="J11299" s="135" t="n">
        <f aca="false">$G11299*'Analyse capacite'!$D$9</f>
        <v>0</v>
      </c>
      <c r="K11299" s="135" t="n">
        <f aca="false">$G11299*'Analyse capacite'!$E$9</f>
        <v>0</v>
      </c>
    </row>
    <row r="11300" customFormat="false" ht="15" hidden="false" customHeight="false" outlineLevel="0" collapsed="false">
      <c r="B11300" s="130" t="n">
        <v>2028</v>
      </c>
      <c r="C11300" s="131" t="s">
        <v>256</v>
      </c>
      <c r="D11300" s="132" t="n">
        <v>46791</v>
      </c>
      <c r="E11300" s="131" t="s">
        <v>56</v>
      </c>
      <c r="F11300" s="133" t="s">
        <v>11</v>
      </c>
      <c r="G11300" s="134" t="n">
        <f aca="false">LEN('Saisie programme'!$E$430)+SUMIFS('Vols additionnels'!$E$7:$E$66,'Vols additionnels'!$C$7:$C$66,$E11300,'Vols additionnels'!$D$7:$D$66,$F11300,'Vols additionnels'!$B$7:$B$66,$D11300)</f>
        <v>0</v>
      </c>
      <c r="H11300" s="135" t="n">
        <f aca="false">$G11300*'Analyse capacite'!$F$7</f>
        <v>0</v>
      </c>
      <c r="I11300" s="135" t="n">
        <f aca="false">$G11300*'Analyse capacite'!$C$7</f>
        <v>0</v>
      </c>
      <c r="J11300" s="135" t="n">
        <f aca="false">$G11300*'Analyse capacite'!$D$7</f>
        <v>0</v>
      </c>
      <c r="K11300" s="135" t="n">
        <f aca="false">$G11300*'Analyse capacite'!$E$7</f>
        <v>0</v>
      </c>
    </row>
    <row r="11301" customFormat="false" ht="15" hidden="false" customHeight="false" outlineLevel="0" collapsed="false">
      <c r="B11301" s="130" t="n">
        <v>2028</v>
      </c>
      <c r="C11301" s="131" t="s">
        <v>256</v>
      </c>
      <c r="D11301" s="132" t="n">
        <v>46791</v>
      </c>
      <c r="E11301" s="131" t="s">
        <v>56</v>
      </c>
      <c r="F11301" s="133" t="s">
        <v>19</v>
      </c>
      <c r="G11301" s="134" t="n">
        <f aca="false">LEN('Saisie programme'!$E$431)+SUMIFS('Vols additionnels'!$E$7:$E$66,'Vols additionnels'!$C$7:$C$66,$E11301,'Vols additionnels'!$D$7:$D$66,$F11301,'Vols additionnels'!$B$7:$B$66,$D11301)</f>
        <v>0</v>
      </c>
      <c r="H11301" s="135" t="n">
        <f aca="false">$G11301*'Analyse capacite'!$F$8</f>
        <v>0</v>
      </c>
      <c r="I11301" s="135" t="n">
        <f aca="false">$G11301*'Analyse capacite'!$C$8</f>
        <v>0</v>
      </c>
      <c r="J11301" s="135" t="n">
        <f aca="false">$G11301*'Analyse capacite'!$D$8</f>
        <v>0</v>
      </c>
      <c r="K11301" s="135" t="n">
        <f aca="false">$G11301*'Analyse capacite'!$E$8</f>
        <v>0</v>
      </c>
    </row>
    <row r="11302" customFormat="false" ht="15" hidden="false" customHeight="false" outlineLevel="0" collapsed="false">
      <c r="B11302" s="130" t="n">
        <v>2028</v>
      </c>
      <c r="C11302" s="131" t="s">
        <v>256</v>
      </c>
      <c r="D11302" s="132" t="n">
        <v>46791</v>
      </c>
      <c r="E11302" s="131" t="s">
        <v>56</v>
      </c>
      <c r="F11302" s="133" t="s">
        <v>24</v>
      </c>
      <c r="G11302" s="134" t="n">
        <f aca="false">LEN('Saisie programme'!$E$432)+SUMIFS('Vols additionnels'!$E$7:$E$66,'Vols additionnels'!$C$7:$C$66,$E11302,'Vols additionnels'!$D$7:$D$66,$F11302,'Vols additionnels'!$B$7:$B$66,$D11302)</f>
        <v>1</v>
      </c>
      <c r="H11302" s="135" t="n">
        <f aca="false">$G11302*'Analyse capacite'!$F$9</f>
        <v>174</v>
      </c>
      <c r="I11302" s="135" t="n">
        <f aca="false">$G11302*'Analyse capacite'!$C$9</f>
        <v>0</v>
      </c>
      <c r="J11302" s="135" t="n">
        <f aca="false">$G11302*'Analyse capacite'!$D$9</f>
        <v>12</v>
      </c>
      <c r="K11302" s="135" t="n">
        <f aca="false">$G11302*'Analyse capacite'!$E$9</f>
        <v>162</v>
      </c>
    </row>
    <row r="11303" customFormat="false" ht="15" hidden="false" customHeight="false" outlineLevel="0" collapsed="false">
      <c r="B11303" s="130" t="n">
        <v>2028</v>
      </c>
      <c r="C11303" s="131" t="s">
        <v>256</v>
      </c>
      <c r="D11303" s="132" t="n">
        <v>46791</v>
      </c>
      <c r="E11303" s="131" t="s">
        <v>59</v>
      </c>
      <c r="F11303" s="133" t="s">
        <v>11</v>
      </c>
      <c r="G11303" s="134" t="n">
        <f aca="false">LEN('Saisie programme'!$E$433)+SUMIFS('Vols additionnels'!$E$7:$E$66,'Vols additionnels'!$C$7:$C$66,$E11303,'Vols additionnels'!$D$7:$D$66,$F11303,'Vols additionnels'!$B$7:$B$66,$D11303)</f>
        <v>0</v>
      </c>
      <c r="H11303" s="135" t="n">
        <f aca="false">$G11303*'Analyse capacite'!$F$7</f>
        <v>0</v>
      </c>
      <c r="I11303" s="135" t="n">
        <f aca="false">$G11303*'Analyse capacite'!$C$7</f>
        <v>0</v>
      </c>
      <c r="J11303" s="135" t="n">
        <f aca="false">$G11303*'Analyse capacite'!$D$7</f>
        <v>0</v>
      </c>
      <c r="K11303" s="135" t="n">
        <f aca="false">$G11303*'Analyse capacite'!$E$7</f>
        <v>0</v>
      </c>
    </row>
    <row r="11304" customFormat="false" ht="15" hidden="false" customHeight="false" outlineLevel="0" collapsed="false">
      <c r="B11304" s="130" t="n">
        <v>2028</v>
      </c>
      <c r="C11304" s="131" t="s">
        <v>256</v>
      </c>
      <c r="D11304" s="132" t="n">
        <v>46791</v>
      </c>
      <c r="E11304" s="131" t="s">
        <v>59</v>
      </c>
      <c r="F11304" s="133" t="s">
        <v>19</v>
      </c>
      <c r="G11304" s="134" t="n">
        <f aca="false">LEN('Saisie programme'!$E$434)+SUMIFS('Vols additionnels'!$E$7:$E$66,'Vols additionnels'!$C$7:$C$66,$E11304,'Vols additionnels'!$D$7:$D$66,$F11304,'Vols additionnels'!$B$7:$B$66,$D11304)</f>
        <v>0</v>
      </c>
      <c r="H11304" s="135" t="n">
        <f aca="false">$G11304*'Analyse capacite'!$F$8</f>
        <v>0</v>
      </c>
      <c r="I11304" s="135" t="n">
        <f aca="false">$G11304*'Analyse capacite'!$C$8</f>
        <v>0</v>
      </c>
      <c r="J11304" s="135" t="n">
        <f aca="false">$G11304*'Analyse capacite'!$D$8</f>
        <v>0</v>
      </c>
      <c r="K11304" s="135" t="n">
        <f aca="false">$G11304*'Analyse capacite'!$E$8</f>
        <v>0</v>
      </c>
    </row>
    <row r="11305" customFormat="false" ht="15" hidden="false" customHeight="false" outlineLevel="0" collapsed="false">
      <c r="B11305" s="130" t="n">
        <v>2028</v>
      </c>
      <c r="C11305" s="131" t="s">
        <v>256</v>
      </c>
      <c r="D11305" s="132" t="n">
        <v>46791</v>
      </c>
      <c r="E11305" s="131" t="s">
        <v>59</v>
      </c>
      <c r="F11305" s="133" t="s">
        <v>24</v>
      </c>
      <c r="G11305" s="134" t="n">
        <f aca="false">LEN('Saisie programme'!$E$435)+SUMIFS('Vols additionnels'!$E$7:$E$66,'Vols additionnels'!$C$7:$C$66,$E11305,'Vols additionnels'!$D$7:$D$66,$F11305,'Vols additionnels'!$B$7:$B$66,$D11305)</f>
        <v>1</v>
      </c>
      <c r="H11305" s="135" t="n">
        <f aca="false">$G11305*'Analyse capacite'!$F$9</f>
        <v>174</v>
      </c>
      <c r="I11305" s="135" t="n">
        <f aca="false">$G11305*'Analyse capacite'!$C$9</f>
        <v>0</v>
      </c>
      <c r="J11305" s="135" t="n">
        <f aca="false">$G11305*'Analyse capacite'!$D$9</f>
        <v>12</v>
      </c>
      <c r="K11305" s="135" t="n">
        <f aca="false">$G11305*'Analyse capacite'!$E$9</f>
        <v>162</v>
      </c>
    </row>
    <row r="11306" customFormat="false" ht="15" hidden="false" customHeight="false" outlineLevel="0" collapsed="false">
      <c r="B11306" s="130" t="n">
        <v>2028</v>
      </c>
      <c r="C11306" s="131" t="s">
        <v>256</v>
      </c>
      <c r="D11306" s="132" t="n">
        <v>46791</v>
      </c>
      <c r="E11306" s="131" t="s">
        <v>62</v>
      </c>
      <c r="F11306" s="133" t="s">
        <v>11</v>
      </c>
      <c r="G11306" s="134" t="n">
        <f aca="false">LEN('Saisie programme'!$E$436)+SUMIFS('Vols additionnels'!$E$7:$E$66,'Vols additionnels'!$C$7:$C$66,$E11306,'Vols additionnels'!$D$7:$D$66,$F11306,'Vols additionnels'!$B$7:$B$66,$D11306)</f>
        <v>0</v>
      </c>
      <c r="H11306" s="135" t="n">
        <f aca="false">$G11306*'Analyse capacite'!$F$7</f>
        <v>0</v>
      </c>
      <c r="I11306" s="135" t="n">
        <f aca="false">$G11306*'Analyse capacite'!$C$7</f>
        <v>0</v>
      </c>
      <c r="J11306" s="135" t="n">
        <f aca="false">$G11306*'Analyse capacite'!$D$7</f>
        <v>0</v>
      </c>
      <c r="K11306" s="135" t="n">
        <f aca="false">$G11306*'Analyse capacite'!$E$7</f>
        <v>0</v>
      </c>
    </row>
    <row r="11307" customFormat="false" ht="15" hidden="false" customHeight="false" outlineLevel="0" collapsed="false">
      <c r="B11307" s="130" t="n">
        <v>2028</v>
      </c>
      <c r="C11307" s="131" t="s">
        <v>256</v>
      </c>
      <c r="D11307" s="132" t="n">
        <v>46791</v>
      </c>
      <c r="E11307" s="131" t="s">
        <v>62</v>
      </c>
      <c r="F11307" s="133" t="s">
        <v>19</v>
      </c>
      <c r="G11307" s="134" t="n">
        <f aca="false">LEN('Saisie programme'!$E$437)+SUMIFS('Vols additionnels'!$E$7:$E$66,'Vols additionnels'!$C$7:$C$66,$E11307,'Vols additionnels'!$D$7:$D$66,$F11307,'Vols additionnels'!$B$7:$B$66,$D11307)</f>
        <v>0</v>
      </c>
      <c r="H11307" s="135" t="n">
        <f aca="false">$G11307*'Analyse capacite'!$F$8</f>
        <v>0</v>
      </c>
      <c r="I11307" s="135" t="n">
        <f aca="false">$G11307*'Analyse capacite'!$C$8</f>
        <v>0</v>
      </c>
      <c r="J11307" s="135" t="n">
        <f aca="false">$G11307*'Analyse capacite'!$D$8</f>
        <v>0</v>
      </c>
      <c r="K11307" s="135" t="n">
        <f aca="false">$G11307*'Analyse capacite'!$E$8</f>
        <v>0</v>
      </c>
    </row>
    <row r="11308" customFormat="false" ht="15" hidden="false" customHeight="false" outlineLevel="0" collapsed="false">
      <c r="B11308" s="130" t="n">
        <v>2028</v>
      </c>
      <c r="C11308" s="131" t="s">
        <v>256</v>
      </c>
      <c r="D11308" s="132" t="n">
        <v>46791</v>
      </c>
      <c r="E11308" s="131" t="s">
        <v>62</v>
      </c>
      <c r="F11308" s="133" t="s">
        <v>24</v>
      </c>
      <c r="G11308" s="134" t="n">
        <f aca="false">LEN('Saisie programme'!$E$438)+SUMIFS('Vols additionnels'!$E$7:$E$66,'Vols additionnels'!$C$7:$C$66,$E11308,'Vols additionnels'!$D$7:$D$66,$F11308,'Vols additionnels'!$B$7:$B$66,$D11308)</f>
        <v>0</v>
      </c>
      <c r="H11308" s="135" t="n">
        <f aca="false">$G11308*'Analyse capacite'!$F$9</f>
        <v>0</v>
      </c>
      <c r="I11308" s="135" t="n">
        <f aca="false">$G11308*'Analyse capacite'!$C$9</f>
        <v>0</v>
      </c>
      <c r="J11308" s="135" t="n">
        <f aca="false">$G11308*'Analyse capacite'!$D$9</f>
        <v>0</v>
      </c>
      <c r="K11308" s="135" t="n">
        <f aca="false">$G11308*'Analyse capacite'!$E$9</f>
        <v>0</v>
      </c>
    </row>
    <row r="11309" customFormat="false" ht="15" hidden="false" customHeight="false" outlineLevel="0" collapsed="false">
      <c r="B11309" s="130" t="n">
        <v>2028</v>
      </c>
      <c r="C11309" s="131" t="s">
        <v>256</v>
      </c>
      <c r="D11309" s="132" t="n">
        <v>46792</v>
      </c>
      <c r="E11309" s="131" t="s">
        <v>12</v>
      </c>
      <c r="F11309" s="133" t="s">
        <v>11</v>
      </c>
      <c r="G11309" s="134" t="n">
        <f aca="false">LEN('Saisie programme'!$F$403)+SUMIFS('Vols additionnels'!$E$7:$E$66,'Vols additionnels'!$C$7:$C$66,$E11309,'Vols additionnels'!$D$7:$D$66,$F11309,'Vols additionnels'!$B$7:$B$66,$D11309)</f>
        <v>1</v>
      </c>
      <c r="H11309" s="135" t="n">
        <f aca="false">$G11309*'Analyse capacite'!$F$7</f>
        <v>438</v>
      </c>
      <c r="I11309" s="135" t="n">
        <f aca="false">$G11309*'Analyse capacite'!$C$7</f>
        <v>14</v>
      </c>
      <c r="J11309" s="135" t="n">
        <f aca="false">$G11309*'Analyse capacite'!$D$7</f>
        <v>40</v>
      </c>
      <c r="K11309" s="135" t="n">
        <f aca="false">$G11309*'Analyse capacite'!$E$7</f>
        <v>384</v>
      </c>
    </row>
    <row r="11310" customFormat="false" ht="15" hidden="false" customHeight="false" outlineLevel="0" collapsed="false">
      <c r="B11310" s="130" t="n">
        <v>2028</v>
      </c>
      <c r="C11310" s="131" t="s">
        <v>256</v>
      </c>
      <c r="D11310" s="132" t="n">
        <v>46792</v>
      </c>
      <c r="E11310" s="131" t="s">
        <v>12</v>
      </c>
      <c r="F11310" s="133" t="s">
        <v>19</v>
      </c>
      <c r="G11310" s="134" t="n">
        <f aca="false">LEN('Saisie programme'!$F$404)+SUMIFS('Vols additionnels'!$E$7:$E$66,'Vols additionnels'!$C$7:$C$66,$E11310,'Vols additionnels'!$D$7:$D$66,$F11310,'Vols additionnels'!$B$7:$B$66,$D11310)</f>
        <v>0</v>
      </c>
      <c r="H11310" s="135" t="n">
        <f aca="false">$G11310*'Analyse capacite'!$F$8</f>
        <v>0</v>
      </c>
      <c r="I11310" s="135" t="n">
        <f aca="false">$G11310*'Analyse capacite'!$C$8</f>
        <v>0</v>
      </c>
      <c r="J11310" s="135" t="n">
        <f aca="false">$G11310*'Analyse capacite'!$D$8</f>
        <v>0</v>
      </c>
      <c r="K11310" s="135" t="n">
        <f aca="false">$G11310*'Analyse capacite'!$E$8</f>
        <v>0</v>
      </c>
    </row>
    <row r="11311" customFormat="false" ht="15" hidden="false" customHeight="false" outlineLevel="0" collapsed="false">
      <c r="B11311" s="130" t="n">
        <v>2028</v>
      </c>
      <c r="C11311" s="131" t="s">
        <v>256</v>
      </c>
      <c r="D11311" s="132" t="n">
        <v>46792</v>
      </c>
      <c r="E11311" s="131" t="s">
        <v>12</v>
      </c>
      <c r="F11311" s="133" t="s">
        <v>24</v>
      </c>
      <c r="G11311" s="134" t="n">
        <f aca="false">LEN('Saisie programme'!$F$405)+SUMIFS('Vols additionnels'!$E$7:$E$66,'Vols additionnels'!$C$7:$C$66,$E11311,'Vols additionnels'!$D$7:$D$66,$F11311,'Vols additionnels'!$B$7:$B$66,$D11311)</f>
        <v>0</v>
      </c>
      <c r="H11311" s="135" t="n">
        <f aca="false">$G11311*'Analyse capacite'!$F$9</f>
        <v>0</v>
      </c>
      <c r="I11311" s="135" t="n">
        <f aca="false">$G11311*'Analyse capacite'!$C$9</f>
        <v>0</v>
      </c>
      <c r="J11311" s="135" t="n">
        <f aca="false">$G11311*'Analyse capacite'!$D$9</f>
        <v>0</v>
      </c>
      <c r="K11311" s="135" t="n">
        <f aca="false">$G11311*'Analyse capacite'!$E$9</f>
        <v>0</v>
      </c>
    </row>
    <row r="11312" customFormat="false" ht="15" hidden="false" customHeight="false" outlineLevel="0" collapsed="false">
      <c r="B11312" s="130" t="n">
        <v>2028</v>
      </c>
      <c r="C11312" s="131" t="s">
        <v>256</v>
      </c>
      <c r="D11312" s="132" t="n">
        <v>46792</v>
      </c>
      <c r="E11312" s="131" t="s">
        <v>20</v>
      </c>
      <c r="F11312" s="133" t="s">
        <v>11</v>
      </c>
      <c r="G11312" s="134" t="n">
        <f aca="false">LEN('Saisie programme'!$F$406)+SUMIFS('Vols additionnels'!$E$7:$E$66,'Vols additionnels'!$C$7:$C$66,$E11312,'Vols additionnels'!$D$7:$D$66,$F11312,'Vols additionnels'!$B$7:$B$66,$D11312)</f>
        <v>0</v>
      </c>
      <c r="H11312" s="135" t="n">
        <f aca="false">$G11312*'Analyse capacite'!$F$7</f>
        <v>0</v>
      </c>
      <c r="I11312" s="135" t="n">
        <f aca="false">$G11312*'Analyse capacite'!$C$7</f>
        <v>0</v>
      </c>
      <c r="J11312" s="135" t="n">
        <f aca="false">$G11312*'Analyse capacite'!$D$7</f>
        <v>0</v>
      </c>
      <c r="K11312" s="135" t="n">
        <f aca="false">$G11312*'Analyse capacite'!$E$7</f>
        <v>0</v>
      </c>
    </row>
    <row r="11313" customFormat="false" ht="15" hidden="false" customHeight="false" outlineLevel="0" collapsed="false">
      <c r="B11313" s="130" t="n">
        <v>2028</v>
      </c>
      <c r="C11313" s="131" t="s">
        <v>256</v>
      </c>
      <c r="D11313" s="132" t="n">
        <v>46792</v>
      </c>
      <c r="E11313" s="131" t="s">
        <v>20</v>
      </c>
      <c r="F11313" s="133" t="s">
        <v>19</v>
      </c>
      <c r="G11313" s="134" t="n">
        <f aca="false">LEN('Saisie programme'!$F$407)+SUMIFS('Vols additionnels'!$E$7:$E$66,'Vols additionnels'!$C$7:$C$66,$E11313,'Vols additionnels'!$D$7:$D$66,$F11313,'Vols additionnels'!$B$7:$B$66,$D11313)</f>
        <v>0</v>
      </c>
      <c r="H11313" s="135" t="n">
        <f aca="false">$G11313*'Analyse capacite'!$F$8</f>
        <v>0</v>
      </c>
      <c r="I11313" s="135" t="n">
        <f aca="false">$G11313*'Analyse capacite'!$C$8</f>
        <v>0</v>
      </c>
      <c r="J11313" s="135" t="n">
        <f aca="false">$G11313*'Analyse capacite'!$D$8</f>
        <v>0</v>
      </c>
      <c r="K11313" s="135" t="n">
        <f aca="false">$G11313*'Analyse capacite'!$E$8</f>
        <v>0</v>
      </c>
    </row>
    <row r="11314" customFormat="false" ht="15" hidden="false" customHeight="false" outlineLevel="0" collapsed="false">
      <c r="B11314" s="130" t="n">
        <v>2028</v>
      </c>
      <c r="C11314" s="131" t="s">
        <v>256</v>
      </c>
      <c r="D11314" s="132" t="n">
        <v>46792</v>
      </c>
      <c r="E11314" s="131" t="s">
        <v>20</v>
      </c>
      <c r="F11314" s="133" t="s">
        <v>24</v>
      </c>
      <c r="G11314" s="134" t="n">
        <f aca="false">LEN('Saisie programme'!$F$408)+SUMIFS('Vols additionnels'!$E$7:$E$66,'Vols additionnels'!$C$7:$C$66,$E11314,'Vols additionnels'!$D$7:$D$66,$F11314,'Vols additionnels'!$B$7:$B$66,$D11314)</f>
        <v>0</v>
      </c>
      <c r="H11314" s="135" t="n">
        <f aca="false">$G11314*'Analyse capacite'!$F$9</f>
        <v>0</v>
      </c>
      <c r="I11314" s="135" t="n">
        <f aca="false">$G11314*'Analyse capacite'!$C$9</f>
        <v>0</v>
      </c>
      <c r="J11314" s="135" t="n">
        <f aca="false">$G11314*'Analyse capacite'!$D$9</f>
        <v>0</v>
      </c>
      <c r="K11314" s="135" t="n">
        <f aca="false">$G11314*'Analyse capacite'!$E$9</f>
        <v>0</v>
      </c>
    </row>
    <row r="11315" customFormat="false" ht="15" hidden="false" customHeight="false" outlineLevel="0" collapsed="false">
      <c r="B11315" s="130" t="n">
        <v>2028</v>
      </c>
      <c r="C11315" s="131" t="s">
        <v>256</v>
      </c>
      <c r="D11315" s="132" t="n">
        <v>46792</v>
      </c>
      <c r="E11315" s="131" t="s">
        <v>25</v>
      </c>
      <c r="F11315" s="133" t="s">
        <v>11</v>
      </c>
      <c r="G11315" s="134" t="n">
        <f aca="false">LEN('Saisie programme'!$F$409)+SUMIFS('Vols additionnels'!$E$7:$E$66,'Vols additionnels'!$C$7:$C$66,$E11315,'Vols additionnels'!$D$7:$D$66,$F11315,'Vols additionnels'!$B$7:$B$66,$D11315)</f>
        <v>0</v>
      </c>
      <c r="H11315" s="135" t="n">
        <f aca="false">$G11315*'Analyse capacite'!$F$7</f>
        <v>0</v>
      </c>
      <c r="I11315" s="135" t="n">
        <f aca="false">$G11315*'Analyse capacite'!$C$7</f>
        <v>0</v>
      </c>
      <c r="J11315" s="135" t="n">
        <f aca="false">$G11315*'Analyse capacite'!$D$7</f>
        <v>0</v>
      </c>
      <c r="K11315" s="135" t="n">
        <f aca="false">$G11315*'Analyse capacite'!$E$7</f>
        <v>0</v>
      </c>
    </row>
    <row r="11316" customFormat="false" ht="15" hidden="false" customHeight="false" outlineLevel="0" collapsed="false">
      <c r="B11316" s="130" t="n">
        <v>2028</v>
      </c>
      <c r="C11316" s="131" t="s">
        <v>256</v>
      </c>
      <c r="D11316" s="132" t="n">
        <v>46792</v>
      </c>
      <c r="E11316" s="131" t="s">
        <v>25</v>
      </c>
      <c r="F11316" s="133" t="s">
        <v>19</v>
      </c>
      <c r="G11316" s="134" t="n">
        <f aca="false">LEN('Saisie programme'!$F$410)+SUMIFS('Vols additionnels'!$E$7:$E$66,'Vols additionnels'!$C$7:$C$66,$E11316,'Vols additionnels'!$D$7:$D$66,$F11316,'Vols additionnels'!$B$7:$B$66,$D11316)</f>
        <v>1</v>
      </c>
      <c r="H11316" s="135" t="n">
        <f aca="false">$G11316*'Analyse capacite'!$F$8</f>
        <v>262</v>
      </c>
      <c r="I11316" s="135" t="n">
        <f aca="false">$G11316*'Analyse capacite'!$C$8</f>
        <v>18</v>
      </c>
      <c r="J11316" s="135" t="n">
        <f aca="false">$G11316*'Analyse capacite'!$D$8</f>
        <v>0</v>
      </c>
      <c r="K11316" s="135" t="n">
        <f aca="false">$G11316*'Analyse capacite'!$E$8</f>
        <v>244</v>
      </c>
    </row>
    <row r="11317" customFormat="false" ht="15" hidden="false" customHeight="false" outlineLevel="0" collapsed="false">
      <c r="B11317" s="130" t="n">
        <v>2028</v>
      </c>
      <c r="C11317" s="131" t="s">
        <v>256</v>
      </c>
      <c r="D11317" s="132" t="n">
        <v>46792</v>
      </c>
      <c r="E11317" s="131" t="s">
        <v>25</v>
      </c>
      <c r="F11317" s="133" t="s">
        <v>24</v>
      </c>
      <c r="G11317" s="134" t="n">
        <f aca="false">LEN('Saisie programme'!$F$411)+SUMIFS('Vols additionnels'!$E$7:$E$66,'Vols additionnels'!$C$7:$C$66,$E11317,'Vols additionnels'!$D$7:$D$66,$F11317,'Vols additionnels'!$B$7:$B$66,$D11317)</f>
        <v>0</v>
      </c>
      <c r="H11317" s="135" t="n">
        <f aca="false">$G11317*'Analyse capacite'!$F$9</f>
        <v>0</v>
      </c>
      <c r="I11317" s="135" t="n">
        <f aca="false">$G11317*'Analyse capacite'!$C$9</f>
        <v>0</v>
      </c>
      <c r="J11317" s="135" t="n">
        <f aca="false">$G11317*'Analyse capacite'!$D$9</f>
        <v>0</v>
      </c>
      <c r="K11317" s="135" t="n">
        <f aca="false">$G11317*'Analyse capacite'!$E$9</f>
        <v>0</v>
      </c>
    </row>
    <row r="11318" customFormat="false" ht="15" hidden="false" customHeight="false" outlineLevel="0" collapsed="false">
      <c r="B11318" s="130" t="n">
        <v>2028</v>
      </c>
      <c r="C11318" s="131" t="s">
        <v>256</v>
      </c>
      <c r="D11318" s="132" t="n">
        <v>46792</v>
      </c>
      <c r="E11318" s="131" t="s">
        <v>36</v>
      </c>
      <c r="F11318" s="133" t="s">
        <v>11</v>
      </c>
      <c r="G11318" s="134" t="n">
        <f aca="false">LEN('Saisie programme'!$F$412)+SUMIFS('Vols additionnels'!$E$7:$E$66,'Vols additionnels'!$C$7:$C$66,$E11318,'Vols additionnels'!$D$7:$D$66,$F11318,'Vols additionnels'!$B$7:$B$66,$D11318)</f>
        <v>0</v>
      </c>
      <c r="H11318" s="135" t="n">
        <f aca="false">$G11318*'Analyse capacite'!$F$7</f>
        <v>0</v>
      </c>
      <c r="I11318" s="135" t="n">
        <f aca="false">$G11318*'Analyse capacite'!$C$7</f>
        <v>0</v>
      </c>
      <c r="J11318" s="135" t="n">
        <f aca="false">$G11318*'Analyse capacite'!$D$7</f>
        <v>0</v>
      </c>
      <c r="K11318" s="135" t="n">
        <f aca="false">$G11318*'Analyse capacite'!$E$7</f>
        <v>0</v>
      </c>
    </row>
    <row r="11319" customFormat="false" ht="15" hidden="false" customHeight="false" outlineLevel="0" collapsed="false">
      <c r="B11319" s="130" t="n">
        <v>2028</v>
      </c>
      <c r="C11319" s="131" t="s">
        <v>256</v>
      </c>
      <c r="D11319" s="132" t="n">
        <v>46792</v>
      </c>
      <c r="E11319" s="131" t="s">
        <v>36</v>
      </c>
      <c r="F11319" s="133" t="s">
        <v>19</v>
      </c>
      <c r="G11319" s="134" t="n">
        <f aca="false">LEN('Saisie programme'!$F$413)+SUMIFS('Vols additionnels'!$E$7:$E$66,'Vols additionnels'!$C$7:$C$66,$E11319,'Vols additionnels'!$D$7:$D$66,$F11319,'Vols additionnels'!$B$7:$B$66,$D11319)</f>
        <v>1</v>
      </c>
      <c r="H11319" s="135" t="n">
        <f aca="false">$G11319*'Analyse capacite'!$F$8</f>
        <v>262</v>
      </c>
      <c r="I11319" s="135" t="n">
        <f aca="false">$G11319*'Analyse capacite'!$C$8</f>
        <v>18</v>
      </c>
      <c r="J11319" s="135" t="n">
        <f aca="false">$G11319*'Analyse capacite'!$D$8</f>
        <v>0</v>
      </c>
      <c r="K11319" s="135" t="n">
        <f aca="false">$G11319*'Analyse capacite'!$E$8</f>
        <v>244</v>
      </c>
    </row>
    <row r="11320" customFormat="false" ht="15" hidden="false" customHeight="false" outlineLevel="0" collapsed="false">
      <c r="B11320" s="130" t="n">
        <v>2028</v>
      </c>
      <c r="C11320" s="131" t="s">
        <v>256</v>
      </c>
      <c r="D11320" s="132" t="n">
        <v>46792</v>
      </c>
      <c r="E11320" s="131" t="s">
        <v>36</v>
      </c>
      <c r="F11320" s="133" t="s">
        <v>24</v>
      </c>
      <c r="G11320" s="134" t="n">
        <f aca="false">LEN('Saisie programme'!$F$414)+SUMIFS('Vols additionnels'!$E$7:$E$66,'Vols additionnels'!$C$7:$C$66,$E11320,'Vols additionnels'!$D$7:$D$66,$F11320,'Vols additionnels'!$B$7:$B$66,$D11320)</f>
        <v>1</v>
      </c>
      <c r="H11320" s="135" t="n">
        <f aca="false">$G11320*'Analyse capacite'!$F$9</f>
        <v>174</v>
      </c>
      <c r="I11320" s="135" t="n">
        <f aca="false">$G11320*'Analyse capacite'!$C$9</f>
        <v>0</v>
      </c>
      <c r="J11320" s="135" t="n">
        <f aca="false">$G11320*'Analyse capacite'!$D$9</f>
        <v>12</v>
      </c>
      <c r="K11320" s="135" t="n">
        <f aca="false">$G11320*'Analyse capacite'!$E$9</f>
        <v>162</v>
      </c>
    </row>
    <row r="11321" customFormat="false" ht="15" hidden="false" customHeight="false" outlineLevel="0" collapsed="false">
      <c r="B11321" s="130" t="n">
        <v>2028</v>
      </c>
      <c r="C11321" s="131" t="s">
        <v>256</v>
      </c>
      <c r="D11321" s="132" t="n">
        <v>46792</v>
      </c>
      <c r="E11321" s="131" t="s">
        <v>40</v>
      </c>
      <c r="F11321" s="133" t="s">
        <v>11</v>
      </c>
      <c r="G11321" s="134" t="n">
        <f aca="false">LEN('Saisie programme'!$F$415)+SUMIFS('Vols additionnels'!$E$7:$E$66,'Vols additionnels'!$C$7:$C$66,$E11321,'Vols additionnels'!$D$7:$D$66,$F11321,'Vols additionnels'!$B$7:$B$66,$D11321)</f>
        <v>0</v>
      </c>
      <c r="H11321" s="135" t="n">
        <f aca="false">$G11321*'Analyse capacite'!$F$7</f>
        <v>0</v>
      </c>
      <c r="I11321" s="135" t="n">
        <f aca="false">$G11321*'Analyse capacite'!$C$7</f>
        <v>0</v>
      </c>
      <c r="J11321" s="135" t="n">
        <f aca="false">$G11321*'Analyse capacite'!$D$7</f>
        <v>0</v>
      </c>
      <c r="K11321" s="135" t="n">
        <f aca="false">$G11321*'Analyse capacite'!$E$7</f>
        <v>0</v>
      </c>
    </row>
    <row r="11322" customFormat="false" ht="15" hidden="false" customHeight="false" outlineLevel="0" collapsed="false">
      <c r="B11322" s="130" t="n">
        <v>2028</v>
      </c>
      <c r="C11322" s="131" t="s">
        <v>256</v>
      </c>
      <c r="D11322" s="132" t="n">
        <v>46792</v>
      </c>
      <c r="E11322" s="131" t="s">
        <v>40</v>
      </c>
      <c r="F11322" s="133" t="s">
        <v>19</v>
      </c>
      <c r="G11322" s="134" t="n">
        <f aca="false">LEN('Saisie programme'!$F$416)+SUMIFS('Vols additionnels'!$E$7:$E$66,'Vols additionnels'!$C$7:$C$66,$E11322,'Vols additionnels'!$D$7:$D$66,$F11322,'Vols additionnels'!$B$7:$B$66,$D11322)</f>
        <v>0</v>
      </c>
      <c r="H11322" s="135" t="n">
        <f aca="false">$G11322*'Analyse capacite'!$F$8</f>
        <v>0</v>
      </c>
      <c r="I11322" s="135" t="n">
        <f aca="false">$G11322*'Analyse capacite'!$C$8</f>
        <v>0</v>
      </c>
      <c r="J11322" s="135" t="n">
        <f aca="false">$G11322*'Analyse capacite'!$D$8</f>
        <v>0</v>
      </c>
      <c r="K11322" s="135" t="n">
        <f aca="false">$G11322*'Analyse capacite'!$E$8</f>
        <v>0</v>
      </c>
    </row>
    <row r="11323" customFormat="false" ht="15" hidden="false" customHeight="false" outlineLevel="0" collapsed="false">
      <c r="B11323" s="130" t="n">
        <v>2028</v>
      </c>
      <c r="C11323" s="131" t="s">
        <v>256</v>
      </c>
      <c r="D11323" s="132" t="n">
        <v>46792</v>
      </c>
      <c r="E11323" s="131" t="s">
        <v>40</v>
      </c>
      <c r="F11323" s="133" t="s">
        <v>24</v>
      </c>
      <c r="G11323" s="134" t="n">
        <f aca="false">LEN('Saisie programme'!$F$417)+SUMIFS('Vols additionnels'!$E$7:$E$66,'Vols additionnels'!$C$7:$C$66,$E11323,'Vols additionnels'!$D$7:$D$66,$F11323,'Vols additionnels'!$B$7:$B$66,$D11323)</f>
        <v>1</v>
      </c>
      <c r="H11323" s="135" t="n">
        <f aca="false">$G11323*'Analyse capacite'!$F$9</f>
        <v>174</v>
      </c>
      <c r="I11323" s="135" t="n">
        <f aca="false">$G11323*'Analyse capacite'!$C$9</f>
        <v>0</v>
      </c>
      <c r="J11323" s="135" t="n">
        <f aca="false">$G11323*'Analyse capacite'!$D$9</f>
        <v>12</v>
      </c>
      <c r="K11323" s="135" t="n">
        <f aca="false">$G11323*'Analyse capacite'!$E$9</f>
        <v>162</v>
      </c>
    </row>
    <row r="11324" customFormat="false" ht="15" hidden="false" customHeight="false" outlineLevel="0" collapsed="false">
      <c r="B11324" s="130" t="n">
        <v>2028</v>
      </c>
      <c r="C11324" s="131" t="s">
        <v>256</v>
      </c>
      <c r="D11324" s="132" t="n">
        <v>46792</v>
      </c>
      <c r="E11324" s="131" t="s">
        <v>14</v>
      </c>
      <c r="F11324" s="133" t="s">
        <v>11</v>
      </c>
      <c r="G11324" s="134" t="n">
        <f aca="false">LEN('Saisie programme'!$F$418)+SUMIFS('Vols additionnels'!$E$7:$E$66,'Vols additionnels'!$C$7:$C$66,$E11324,'Vols additionnels'!$D$7:$D$66,$F11324,'Vols additionnels'!$B$7:$B$66,$D11324)</f>
        <v>0</v>
      </c>
      <c r="H11324" s="135" t="n">
        <f aca="false">$G11324*'Analyse capacite'!$F$7</f>
        <v>0</v>
      </c>
      <c r="I11324" s="135" t="n">
        <f aca="false">$G11324*'Analyse capacite'!$C$7</f>
        <v>0</v>
      </c>
      <c r="J11324" s="135" t="n">
        <f aca="false">$G11324*'Analyse capacite'!$D$7</f>
        <v>0</v>
      </c>
      <c r="K11324" s="135" t="n">
        <f aca="false">$G11324*'Analyse capacite'!$E$7</f>
        <v>0</v>
      </c>
    </row>
    <row r="11325" customFormat="false" ht="15" hidden="false" customHeight="false" outlineLevel="0" collapsed="false">
      <c r="B11325" s="130" t="n">
        <v>2028</v>
      </c>
      <c r="C11325" s="131" t="s">
        <v>256</v>
      </c>
      <c r="D11325" s="132" t="n">
        <v>46792</v>
      </c>
      <c r="E11325" s="131" t="s">
        <v>14</v>
      </c>
      <c r="F11325" s="133" t="s">
        <v>19</v>
      </c>
      <c r="G11325" s="134" t="n">
        <f aca="false">LEN('Saisie programme'!$F$419)+SUMIFS('Vols additionnels'!$E$7:$E$66,'Vols additionnels'!$C$7:$C$66,$E11325,'Vols additionnels'!$D$7:$D$66,$F11325,'Vols additionnels'!$B$7:$B$66,$D11325)</f>
        <v>0</v>
      </c>
      <c r="H11325" s="135" t="n">
        <f aca="false">$G11325*'Analyse capacite'!$F$8</f>
        <v>0</v>
      </c>
      <c r="I11325" s="135" t="n">
        <f aca="false">$G11325*'Analyse capacite'!$C$8</f>
        <v>0</v>
      </c>
      <c r="J11325" s="135" t="n">
        <f aca="false">$G11325*'Analyse capacite'!$D$8</f>
        <v>0</v>
      </c>
      <c r="K11325" s="135" t="n">
        <f aca="false">$G11325*'Analyse capacite'!$E$8</f>
        <v>0</v>
      </c>
    </row>
    <row r="11326" customFormat="false" ht="15" hidden="false" customHeight="false" outlineLevel="0" collapsed="false">
      <c r="B11326" s="130" t="n">
        <v>2028</v>
      </c>
      <c r="C11326" s="131" t="s">
        <v>256</v>
      </c>
      <c r="D11326" s="132" t="n">
        <v>46792</v>
      </c>
      <c r="E11326" s="131" t="s">
        <v>14</v>
      </c>
      <c r="F11326" s="133" t="s">
        <v>24</v>
      </c>
      <c r="G11326" s="134" t="n">
        <f aca="false">LEN('Saisie programme'!$F$420)+SUMIFS('Vols additionnels'!$E$7:$E$66,'Vols additionnels'!$C$7:$C$66,$E11326,'Vols additionnels'!$D$7:$D$66,$F11326,'Vols additionnels'!$B$7:$B$66,$D11326)</f>
        <v>0</v>
      </c>
      <c r="H11326" s="135" t="n">
        <f aca="false">$G11326*'Analyse capacite'!$F$9</f>
        <v>0</v>
      </c>
      <c r="I11326" s="135" t="n">
        <f aca="false">$G11326*'Analyse capacite'!$C$9</f>
        <v>0</v>
      </c>
      <c r="J11326" s="135" t="n">
        <f aca="false">$G11326*'Analyse capacite'!$D$9</f>
        <v>0</v>
      </c>
      <c r="K11326" s="135" t="n">
        <f aca="false">$G11326*'Analyse capacite'!$E$9</f>
        <v>0</v>
      </c>
    </row>
    <row r="11327" customFormat="false" ht="15" hidden="false" customHeight="false" outlineLevel="0" collapsed="false">
      <c r="B11327" s="130" t="n">
        <v>2028</v>
      </c>
      <c r="C11327" s="131" t="s">
        <v>256</v>
      </c>
      <c r="D11327" s="132" t="n">
        <v>46792</v>
      </c>
      <c r="E11327" s="131" t="s">
        <v>46</v>
      </c>
      <c r="F11327" s="133" t="s">
        <v>11</v>
      </c>
      <c r="G11327" s="134" t="n">
        <f aca="false">LEN('Saisie programme'!$F$421)+SUMIFS('Vols additionnels'!$E$7:$E$66,'Vols additionnels'!$C$7:$C$66,$E11327,'Vols additionnels'!$D$7:$D$66,$F11327,'Vols additionnels'!$B$7:$B$66,$D11327)</f>
        <v>0</v>
      </c>
      <c r="H11327" s="135" t="n">
        <f aca="false">$G11327*'Analyse capacite'!$F$7</f>
        <v>0</v>
      </c>
      <c r="I11327" s="135" t="n">
        <f aca="false">$G11327*'Analyse capacite'!$C$7</f>
        <v>0</v>
      </c>
      <c r="J11327" s="135" t="n">
        <f aca="false">$G11327*'Analyse capacite'!$D$7</f>
        <v>0</v>
      </c>
      <c r="K11327" s="135" t="n">
        <f aca="false">$G11327*'Analyse capacite'!$E$7</f>
        <v>0</v>
      </c>
    </row>
    <row r="11328" customFormat="false" ht="15" hidden="false" customHeight="false" outlineLevel="0" collapsed="false">
      <c r="B11328" s="130" t="n">
        <v>2028</v>
      </c>
      <c r="C11328" s="131" t="s">
        <v>256</v>
      </c>
      <c r="D11328" s="132" t="n">
        <v>46792</v>
      </c>
      <c r="E11328" s="131" t="s">
        <v>46</v>
      </c>
      <c r="F11328" s="133" t="s">
        <v>19</v>
      </c>
      <c r="G11328" s="134" t="n">
        <f aca="false">LEN('Saisie programme'!$F$422)+SUMIFS('Vols additionnels'!$E$7:$E$66,'Vols additionnels'!$C$7:$C$66,$E11328,'Vols additionnels'!$D$7:$D$66,$F11328,'Vols additionnels'!$B$7:$B$66,$D11328)</f>
        <v>0</v>
      </c>
      <c r="H11328" s="135" t="n">
        <f aca="false">$G11328*'Analyse capacite'!$F$8</f>
        <v>0</v>
      </c>
      <c r="I11328" s="135" t="n">
        <f aca="false">$G11328*'Analyse capacite'!$C$8</f>
        <v>0</v>
      </c>
      <c r="J11328" s="135" t="n">
        <f aca="false">$G11328*'Analyse capacite'!$D$8</f>
        <v>0</v>
      </c>
      <c r="K11328" s="135" t="n">
        <f aca="false">$G11328*'Analyse capacite'!$E$8</f>
        <v>0</v>
      </c>
    </row>
    <row r="11329" customFormat="false" ht="15" hidden="false" customHeight="false" outlineLevel="0" collapsed="false">
      <c r="B11329" s="130" t="n">
        <v>2028</v>
      </c>
      <c r="C11329" s="131" t="s">
        <v>256</v>
      </c>
      <c r="D11329" s="132" t="n">
        <v>46792</v>
      </c>
      <c r="E11329" s="131" t="s">
        <v>46</v>
      </c>
      <c r="F11329" s="133" t="s">
        <v>24</v>
      </c>
      <c r="G11329" s="134" t="n">
        <f aca="false">LEN('Saisie programme'!$F$423)+SUMIFS('Vols additionnels'!$E$7:$E$66,'Vols additionnels'!$C$7:$C$66,$E11329,'Vols additionnels'!$D$7:$D$66,$F11329,'Vols additionnels'!$B$7:$B$66,$D11329)</f>
        <v>0</v>
      </c>
      <c r="H11329" s="135" t="n">
        <f aca="false">$G11329*'Analyse capacite'!$F$9</f>
        <v>0</v>
      </c>
      <c r="I11329" s="135" t="n">
        <f aca="false">$G11329*'Analyse capacite'!$C$9</f>
        <v>0</v>
      </c>
      <c r="J11329" s="135" t="n">
        <f aca="false">$G11329*'Analyse capacite'!$D$9</f>
        <v>0</v>
      </c>
      <c r="K11329" s="135" t="n">
        <f aca="false">$G11329*'Analyse capacite'!$E$9</f>
        <v>0</v>
      </c>
    </row>
    <row r="11330" customFormat="false" ht="15" hidden="false" customHeight="false" outlineLevel="0" collapsed="false">
      <c r="B11330" s="130" t="n">
        <v>2028</v>
      </c>
      <c r="C11330" s="131" t="s">
        <v>256</v>
      </c>
      <c r="D11330" s="132" t="n">
        <v>46792</v>
      </c>
      <c r="E11330" s="131" t="s">
        <v>49</v>
      </c>
      <c r="F11330" s="133" t="s">
        <v>11</v>
      </c>
      <c r="G11330" s="134" t="n">
        <f aca="false">LEN('Saisie programme'!$F$424)+SUMIFS('Vols additionnels'!$E$7:$E$66,'Vols additionnels'!$C$7:$C$66,$E11330,'Vols additionnels'!$D$7:$D$66,$F11330,'Vols additionnels'!$B$7:$B$66,$D11330)</f>
        <v>0</v>
      </c>
      <c r="H11330" s="135" t="n">
        <f aca="false">$G11330*'Analyse capacite'!$F$7</f>
        <v>0</v>
      </c>
      <c r="I11330" s="135" t="n">
        <f aca="false">$G11330*'Analyse capacite'!$C$7</f>
        <v>0</v>
      </c>
      <c r="J11330" s="135" t="n">
        <f aca="false">$G11330*'Analyse capacite'!$D$7</f>
        <v>0</v>
      </c>
      <c r="K11330" s="135" t="n">
        <f aca="false">$G11330*'Analyse capacite'!$E$7</f>
        <v>0</v>
      </c>
    </row>
    <row r="11331" customFormat="false" ht="15" hidden="false" customHeight="false" outlineLevel="0" collapsed="false">
      <c r="B11331" s="130" t="n">
        <v>2028</v>
      </c>
      <c r="C11331" s="131" t="s">
        <v>256</v>
      </c>
      <c r="D11331" s="132" t="n">
        <v>46792</v>
      </c>
      <c r="E11331" s="131" t="s">
        <v>49</v>
      </c>
      <c r="F11331" s="133" t="s">
        <v>19</v>
      </c>
      <c r="G11331" s="134" t="n">
        <f aca="false">LEN('Saisie programme'!$F$425)+SUMIFS('Vols additionnels'!$E$7:$E$66,'Vols additionnels'!$C$7:$C$66,$E11331,'Vols additionnels'!$D$7:$D$66,$F11331,'Vols additionnels'!$B$7:$B$66,$D11331)</f>
        <v>0</v>
      </c>
      <c r="H11331" s="135" t="n">
        <f aca="false">$G11331*'Analyse capacite'!$F$8</f>
        <v>0</v>
      </c>
      <c r="I11331" s="135" t="n">
        <f aca="false">$G11331*'Analyse capacite'!$C$8</f>
        <v>0</v>
      </c>
      <c r="J11331" s="135" t="n">
        <f aca="false">$G11331*'Analyse capacite'!$D$8</f>
        <v>0</v>
      </c>
      <c r="K11331" s="135" t="n">
        <f aca="false">$G11331*'Analyse capacite'!$E$8</f>
        <v>0</v>
      </c>
    </row>
    <row r="11332" customFormat="false" ht="15" hidden="false" customHeight="false" outlineLevel="0" collapsed="false">
      <c r="B11332" s="130" t="n">
        <v>2028</v>
      </c>
      <c r="C11332" s="131" t="s">
        <v>256</v>
      </c>
      <c r="D11332" s="132" t="n">
        <v>46792</v>
      </c>
      <c r="E11332" s="131" t="s">
        <v>49</v>
      </c>
      <c r="F11332" s="133" t="s">
        <v>24</v>
      </c>
      <c r="G11332" s="134" t="n">
        <f aca="false">LEN('Saisie programme'!$F$426)+SUMIFS('Vols additionnels'!$E$7:$E$66,'Vols additionnels'!$C$7:$C$66,$E11332,'Vols additionnels'!$D$7:$D$66,$F11332,'Vols additionnels'!$B$7:$B$66,$D11332)</f>
        <v>0</v>
      </c>
      <c r="H11332" s="135" t="n">
        <f aca="false">$G11332*'Analyse capacite'!$F$9</f>
        <v>0</v>
      </c>
      <c r="I11332" s="135" t="n">
        <f aca="false">$G11332*'Analyse capacite'!$C$9</f>
        <v>0</v>
      </c>
      <c r="J11332" s="135" t="n">
        <f aca="false">$G11332*'Analyse capacite'!$D$9</f>
        <v>0</v>
      </c>
      <c r="K11332" s="135" t="n">
        <f aca="false">$G11332*'Analyse capacite'!$E$9</f>
        <v>0</v>
      </c>
    </row>
    <row r="11333" customFormat="false" ht="15" hidden="false" customHeight="false" outlineLevel="0" collapsed="false">
      <c r="B11333" s="130" t="n">
        <v>2028</v>
      </c>
      <c r="C11333" s="131" t="s">
        <v>256</v>
      </c>
      <c r="D11333" s="132" t="n">
        <v>46792</v>
      </c>
      <c r="E11333" s="131" t="s">
        <v>53</v>
      </c>
      <c r="F11333" s="133" t="s">
        <v>11</v>
      </c>
      <c r="G11333" s="134" t="n">
        <f aca="false">LEN('Saisie programme'!$F$427)+SUMIFS('Vols additionnels'!$E$7:$E$66,'Vols additionnels'!$C$7:$C$66,$E11333,'Vols additionnels'!$D$7:$D$66,$F11333,'Vols additionnels'!$B$7:$B$66,$D11333)</f>
        <v>0</v>
      </c>
      <c r="H11333" s="135" t="n">
        <f aca="false">$G11333*'Analyse capacite'!$F$7</f>
        <v>0</v>
      </c>
      <c r="I11333" s="135" t="n">
        <f aca="false">$G11333*'Analyse capacite'!$C$7</f>
        <v>0</v>
      </c>
      <c r="J11333" s="135" t="n">
        <f aca="false">$G11333*'Analyse capacite'!$D$7</f>
        <v>0</v>
      </c>
      <c r="K11333" s="135" t="n">
        <f aca="false">$G11333*'Analyse capacite'!$E$7</f>
        <v>0</v>
      </c>
    </row>
    <row r="11334" customFormat="false" ht="15" hidden="false" customHeight="false" outlineLevel="0" collapsed="false">
      <c r="B11334" s="130" t="n">
        <v>2028</v>
      </c>
      <c r="C11334" s="131" t="s">
        <v>256</v>
      </c>
      <c r="D11334" s="132" t="n">
        <v>46792</v>
      </c>
      <c r="E11334" s="131" t="s">
        <v>53</v>
      </c>
      <c r="F11334" s="133" t="s">
        <v>19</v>
      </c>
      <c r="G11334" s="134" t="n">
        <f aca="false">LEN('Saisie programme'!$F$428)+SUMIFS('Vols additionnels'!$E$7:$E$66,'Vols additionnels'!$C$7:$C$66,$E11334,'Vols additionnels'!$D$7:$D$66,$F11334,'Vols additionnels'!$B$7:$B$66,$D11334)</f>
        <v>0</v>
      </c>
      <c r="H11334" s="135" t="n">
        <f aca="false">$G11334*'Analyse capacite'!$F$8</f>
        <v>0</v>
      </c>
      <c r="I11334" s="135" t="n">
        <f aca="false">$G11334*'Analyse capacite'!$C$8</f>
        <v>0</v>
      </c>
      <c r="J11334" s="135" t="n">
        <f aca="false">$G11334*'Analyse capacite'!$D$8</f>
        <v>0</v>
      </c>
      <c r="K11334" s="135" t="n">
        <f aca="false">$G11334*'Analyse capacite'!$E$8</f>
        <v>0</v>
      </c>
    </row>
    <row r="11335" customFormat="false" ht="15" hidden="false" customHeight="false" outlineLevel="0" collapsed="false">
      <c r="B11335" s="130" t="n">
        <v>2028</v>
      </c>
      <c r="C11335" s="131" t="s">
        <v>256</v>
      </c>
      <c r="D11335" s="132" t="n">
        <v>46792</v>
      </c>
      <c r="E11335" s="131" t="s">
        <v>53</v>
      </c>
      <c r="F11335" s="133" t="s">
        <v>24</v>
      </c>
      <c r="G11335" s="134" t="n">
        <f aca="false">LEN('Saisie programme'!$F$429)+SUMIFS('Vols additionnels'!$E$7:$E$66,'Vols additionnels'!$C$7:$C$66,$E11335,'Vols additionnels'!$D$7:$D$66,$F11335,'Vols additionnels'!$B$7:$B$66,$D11335)</f>
        <v>0</v>
      </c>
      <c r="H11335" s="135" t="n">
        <f aca="false">$G11335*'Analyse capacite'!$F$9</f>
        <v>0</v>
      </c>
      <c r="I11335" s="135" t="n">
        <f aca="false">$G11335*'Analyse capacite'!$C$9</f>
        <v>0</v>
      </c>
      <c r="J11335" s="135" t="n">
        <f aca="false">$G11335*'Analyse capacite'!$D$9</f>
        <v>0</v>
      </c>
      <c r="K11335" s="135" t="n">
        <f aca="false">$G11335*'Analyse capacite'!$E$9</f>
        <v>0</v>
      </c>
    </row>
    <row r="11336" customFormat="false" ht="15" hidden="false" customHeight="false" outlineLevel="0" collapsed="false">
      <c r="B11336" s="130" t="n">
        <v>2028</v>
      </c>
      <c r="C11336" s="131" t="s">
        <v>256</v>
      </c>
      <c r="D11336" s="132" t="n">
        <v>46792</v>
      </c>
      <c r="E11336" s="131" t="s">
        <v>56</v>
      </c>
      <c r="F11336" s="133" t="s">
        <v>11</v>
      </c>
      <c r="G11336" s="134" t="n">
        <f aca="false">LEN('Saisie programme'!$F$430)+SUMIFS('Vols additionnels'!$E$7:$E$66,'Vols additionnels'!$C$7:$C$66,$E11336,'Vols additionnels'!$D$7:$D$66,$F11336,'Vols additionnels'!$B$7:$B$66,$D11336)</f>
        <v>0</v>
      </c>
      <c r="H11336" s="135" t="n">
        <f aca="false">$G11336*'Analyse capacite'!$F$7</f>
        <v>0</v>
      </c>
      <c r="I11336" s="135" t="n">
        <f aca="false">$G11336*'Analyse capacite'!$C$7</f>
        <v>0</v>
      </c>
      <c r="J11336" s="135" t="n">
        <f aca="false">$G11336*'Analyse capacite'!$D$7</f>
        <v>0</v>
      </c>
      <c r="K11336" s="135" t="n">
        <f aca="false">$G11336*'Analyse capacite'!$E$7</f>
        <v>0</v>
      </c>
    </row>
    <row r="11337" customFormat="false" ht="15" hidden="false" customHeight="false" outlineLevel="0" collapsed="false">
      <c r="B11337" s="130" t="n">
        <v>2028</v>
      </c>
      <c r="C11337" s="131" t="s">
        <v>256</v>
      </c>
      <c r="D11337" s="132" t="n">
        <v>46792</v>
      </c>
      <c r="E11337" s="131" t="s">
        <v>56</v>
      </c>
      <c r="F11337" s="133" t="s">
        <v>19</v>
      </c>
      <c r="G11337" s="134" t="n">
        <f aca="false">LEN('Saisie programme'!$F$431)+SUMIFS('Vols additionnels'!$E$7:$E$66,'Vols additionnels'!$C$7:$C$66,$E11337,'Vols additionnels'!$D$7:$D$66,$F11337,'Vols additionnels'!$B$7:$B$66,$D11337)</f>
        <v>0</v>
      </c>
      <c r="H11337" s="135" t="n">
        <f aca="false">$G11337*'Analyse capacite'!$F$8</f>
        <v>0</v>
      </c>
      <c r="I11337" s="135" t="n">
        <f aca="false">$G11337*'Analyse capacite'!$C$8</f>
        <v>0</v>
      </c>
      <c r="J11337" s="135" t="n">
        <f aca="false">$G11337*'Analyse capacite'!$D$8</f>
        <v>0</v>
      </c>
      <c r="K11337" s="135" t="n">
        <f aca="false">$G11337*'Analyse capacite'!$E$8</f>
        <v>0</v>
      </c>
    </row>
    <row r="11338" customFormat="false" ht="15" hidden="false" customHeight="false" outlineLevel="0" collapsed="false">
      <c r="B11338" s="130" t="n">
        <v>2028</v>
      </c>
      <c r="C11338" s="131" t="s">
        <v>256</v>
      </c>
      <c r="D11338" s="132" t="n">
        <v>46792</v>
      </c>
      <c r="E11338" s="131" t="s">
        <v>56</v>
      </c>
      <c r="F11338" s="133" t="s">
        <v>24</v>
      </c>
      <c r="G11338" s="134" t="n">
        <f aca="false">LEN('Saisie programme'!$F$432)+SUMIFS('Vols additionnels'!$E$7:$E$66,'Vols additionnels'!$C$7:$C$66,$E11338,'Vols additionnels'!$D$7:$D$66,$F11338,'Vols additionnels'!$B$7:$B$66,$D11338)</f>
        <v>0</v>
      </c>
      <c r="H11338" s="135" t="n">
        <f aca="false">$G11338*'Analyse capacite'!$F$9</f>
        <v>0</v>
      </c>
      <c r="I11338" s="135" t="n">
        <f aca="false">$G11338*'Analyse capacite'!$C$9</f>
        <v>0</v>
      </c>
      <c r="J11338" s="135" t="n">
        <f aca="false">$G11338*'Analyse capacite'!$D$9</f>
        <v>0</v>
      </c>
      <c r="K11338" s="135" t="n">
        <f aca="false">$G11338*'Analyse capacite'!$E$9</f>
        <v>0</v>
      </c>
    </row>
    <row r="11339" customFormat="false" ht="15" hidden="false" customHeight="false" outlineLevel="0" collapsed="false">
      <c r="B11339" s="130" t="n">
        <v>2028</v>
      </c>
      <c r="C11339" s="131" t="s">
        <v>256</v>
      </c>
      <c r="D11339" s="132" t="n">
        <v>46792</v>
      </c>
      <c r="E11339" s="131" t="s">
        <v>59</v>
      </c>
      <c r="F11339" s="133" t="s">
        <v>11</v>
      </c>
      <c r="G11339" s="134" t="n">
        <f aca="false">LEN('Saisie programme'!$F$433)+SUMIFS('Vols additionnels'!$E$7:$E$66,'Vols additionnels'!$C$7:$C$66,$E11339,'Vols additionnels'!$D$7:$D$66,$F11339,'Vols additionnels'!$B$7:$B$66,$D11339)</f>
        <v>0</v>
      </c>
      <c r="H11339" s="135" t="n">
        <f aca="false">$G11339*'Analyse capacite'!$F$7</f>
        <v>0</v>
      </c>
      <c r="I11339" s="135" t="n">
        <f aca="false">$G11339*'Analyse capacite'!$C$7</f>
        <v>0</v>
      </c>
      <c r="J11339" s="135" t="n">
        <f aca="false">$G11339*'Analyse capacite'!$D$7</f>
        <v>0</v>
      </c>
      <c r="K11339" s="135" t="n">
        <f aca="false">$G11339*'Analyse capacite'!$E$7</f>
        <v>0</v>
      </c>
    </row>
    <row r="11340" customFormat="false" ht="15" hidden="false" customHeight="false" outlineLevel="0" collapsed="false">
      <c r="B11340" s="130" t="n">
        <v>2028</v>
      </c>
      <c r="C11340" s="131" t="s">
        <v>256</v>
      </c>
      <c r="D11340" s="132" t="n">
        <v>46792</v>
      </c>
      <c r="E11340" s="131" t="s">
        <v>59</v>
      </c>
      <c r="F11340" s="133" t="s">
        <v>19</v>
      </c>
      <c r="G11340" s="134" t="n">
        <f aca="false">LEN('Saisie programme'!$F$434)+SUMIFS('Vols additionnels'!$E$7:$E$66,'Vols additionnels'!$C$7:$C$66,$E11340,'Vols additionnels'!$D$7:$D$66,$F11340,'Vols additionnels'!$B$7:$B$66,$D11340)</f>
        <v>0</v>
      </c>
      <c r="H11340" s="135" t="n">
        <f aca="false">$G11340*'Analyse capacite'!$F$8</f>
        <v>0</v>
      </c>
      <c r="I11340" s="135" t="n">
        <f aca="false">$G11340*'Analyse capacite'!$C$8</f>
        <v>0</v>
      </c>
      <c r="J11340" s="135" t="n">
        <f aca="false">$G11340*'Analyse capacite'!$D$8</f>
        <v>0</v>
      </c>
      <c r="K11340" s="135" t="n">
        <f aca="false">$G11340*'Analyse capacite'!$E$8</f>
        <v>0</v>
      </c>
    </row>
    <row r="11341" customFormat="false" ht="15" hidden="false" customHeight="false" outlineLevel="0" collapsed="false">
      <c r="B11341" s="130" t="n">
        <v>2028</v>
      </c>
      <c r="C11341" s="131" t="s">
        <v>256</v>
      </c>
      <c r="D11341" s="132" t="n">
        <v>46792</v>
      </c>
      <c r="E11341" s="131" t="s">
        <v>59</v>
      </c>
      <c r="F11341" s="133" t="s">
        <v>24</v>
      </c>
      <c r="G11341" s="134" t="n">
        <f aca="false">LEN('Saisie programme'!$F$435)+SUMIFS('Vols additionnels'!$E$7:$E$66,'Vols additionnels'!$C$7:$C$66,$E11341,'Vols additionnels'!$D$7:$D$66,$F11341,'Vols additionnels'!$B$7:$B$66,$D11341)</f>
        <v>1</v>
      </c>
      <c r="H11341" s="135" t="n">
        <f aca="false">$G11341*'Analyse capacite'!$F$9</f>
        <v>174</v>
      </c>
      <c r="I11341" s="135" t="n">
        <f aca="false">$G11341*'Analyse capacite'!$C$9</f>
        <v>0</v>
      </c>
      <c r="J11341" s="135" t="n">
        <f aca="false">$G11341*'Analyse capacite'!$D$9</f>
        <v>12</v>
      </c>
      <c r="K11341" s="135" t="n">
        <f aca="false">$G11341*'Analyse capacite'!$E$9</f>
        <v>162</v>
      </c>
    </row>
    <row r="11342" customFormat="false" ht="15" hidden="false" customHeight="false" outlineLevel="0" collapsed="false">
      <c r="B11342" s="130" t="n">
        <v>2028</v>
      </c>
      <c r="C11342" s="131" t="s">
        <v>256</v>
      </c>
      <c r="D11342" s="132" t="n">
        <v>46792</v>
      </c>
      <c r="E11342" s="131" t="s">
        <v>62</v>
      </c>
      <c r="F11342" s="133" t="s">
        <v>11</v>
      </c>
      <c r="G11342" s="134" t="n">
        <f aca="false">LEN('Saisie programme'!$F$436)+SUMIFS('Vols additionnels'!$E$7:$E$66,'Vols additionnels'!$C$7:$C$66,$E11342,'Vols additionnels'!$D$7:$D$66,$F11342,'Vols additionnels'!$B$7:$B$66,$D11342)</f>
        <v>0</v>
      </c>
      <c r="H11342" s="135" t="n">
        <f aca="false">$G11342*'Analyse capacite'!$F$7</f>
        <v>0</v>
      </c>
      <c r="I11342" s="135" t="n">
        <f aca="false">$G11342*'Analyse capacite'!$C$7</f>
        <v>0</v>
      </c>
      <c r="J11342" s="135" t="n">
        <f aca="false">$G11342*'Analyse capacite'!$D$7</f>
        <v>0</v>
      </c>
      <c r="K11342" s="135" t="n">
        <f aca="false">$G11342*'Analyse capacite'!$E$7</f>
        <v>0</v>
      </c>
    </row>
    <row r="11343" customFormat="false" ht="15" hidden="false" customHeight="false" outlineLevel="0" collapsed="false">
      <c r="B11343" s="130" t="n">
        <v>2028</v>
      </c>
      <c r="C11343" s="131" t="s">
        <v>256</v>
      </c>
      <c r="D11343" s="132" t="n">
        <v>46792</v>
      </c>
      <c r="E11343" s="131" t="s">
        <v>62</v>
      </c>
      <c r="F11343" s="133" t="s">
        <v>19</v>
      </c>
      <c r="G11343" s="134" t="n">
        <f aca="false">LEN('Saisie programme'!$F$437)+SUMIFS('Vols additionnels'!$E$7:$E$66,'Vols additionnels'!$C$7:$C$66,$E11343,'Vols additionnels'!$D$7:$D$66,$F11343,'Vols additionnels'!$B$7:$B$66,$D11343)</f>
        <v>0</v>
      </c>
      <c r="H11343" s="135" t="n">
        <f aca="false">$G11343*'Analyse capacite'!$F$8</f>
        <v>0</v>
      </c>
      <c r="I11343" s="135" t="n">
        <f aca="false">$G11343*'Analyse capacite'!$C$8</f>
        <v>0</v>
      </c>
      <c r="J11343" s="135" t="n">
        <f aca="false">$G11343*'Analyse capacite'!$D$8</f>
        <v>0</v>
      </c>
      <c r="K11343" s="135" t="n">
        <f aca="false">$G11343*'Analyse capacite'!$E$8</f>
        <v>0</v>
      </c>
    </row>
    <row r="11344" customFormat="false" ht="15" hidden="false" customHeight="false" outlineLevel="0" collapsed="false">
      <c r="B11344" s="130" t="n">
        <v>2028</v>
      </c>
      <c r="C11344" s="131" t="s">
        <v>256</v>
      </c>
      <c r="D11344" s="132" t="n">
        <v>46792</v>
      </c>
      <c r="E11344" s="131" t="s">
        <v>62</v>
      </c>
      <c r="F11344" s="133" t="s">
        <v>24</v>
      </c>
      <c r="G11344" s="134" t="n">
        <f aca="false">LEN('Saisie programme'!$F$438)+SUMIFS('Vols additionnels'!$E$7:$E$66,'Vols additionnels'!$C$7:$C$66,$E11344,'Vols additionnels'!$D$7:$D$66,$F11344,'Vols additionnels'!$B$7:$B$66,$D11344)</f>
        <v>1</v>
      </c>
      <c r="H11344" s="135" t="n">
        <f aca="false">$G11344*'Analyse capacite'!$F$9</f>
        <v>174</v>
      </c>
      <c r="I11344" s="135" t="n">
        <f aca="false">$G11344*'Analyse capacite'!$C$9</f>
        <v>0</v>
      </c>
      <c r="J11344" s="135" t="n">
        <f aca="false">$G11344*'Analyse capacite'!$D$9</f>
        <v>12</v>
      </c>
      <c r="K11344" s="135" t="n">
        <f aca="false">$G11344*'Analyse capacite'!$E$9</f>
        <v>162</v>
      </c>
    </row>
    <row r="11345" customFormat="false" ht="15" hidden="false" customHeight="false" outlineLevel="0" collapsed="false">
      <c r="B11345" s="130" t="n">
        <v>2028</v>
      </c>
      <c r="C11345" s="131" t="s">
        <v>256</v>
      </c>
      <c r="D11345" s="132" t="n">
        <v>46793</v>
      </c>
      <c r="E11345" s="131" t="s">
        <v>12</v>
      </c>
      <c r="F11345" s="133" t="s">
        <v>11</v>
      </c>
      <c r="G11345" s="134" t="n">
        <f aca="false">LEN('Saisie programme'!$G$403)+SUMIFS('Vols additionnels'!$E$7:$E$66,'Vols additionnels'!$C$7:$C$66,$E11345,'Vols additionnels'!$D$7:$D$66,$F11345,'Vols additionnels'!$B$7:$B$66,$D11345)</f>
        <v>1</v>
      </c>
      <c r="H11345" s="135" t="n">
        <f aca="false">$G11345*'Analyse capacite'!$F$7</f>
        <v>438</v>
      </c>
      <c r="I11345" s="135" t="n">
        <f aca="false">$G11345*'Analyse capacite'!$C$7</f>
        <v>14</v>
      </c>
      <c r="J11345" s="135" t="n">
        <f aca="false">$G11345*'Analyse capacite'!$D$7</f>
        <v>40</v>
      </c>
      <c r="K11345" s="135" t="n">
        <f aca="false">$G11345*'Analyse capacite'!$E$7</f>
        <v>384</v>
      </c>
    </row>
    <row r="11346" customFormat="false" ht="15" hidden="false" customHeight="false" outlineLevel="0" collapsed="false">
      <c r="B11346" s="130" t="n">
        <v>2028</v>
      </c>
      <c r="C11346" s="131" t="s">
        <v>256</v>
      </c>
      <c r="D11346" s="132" t="n">
        <v>46793</v>
      </c>
      <c r="E11346" s="131" t="s">
        <v>12</v>
      </c>
      <c r="F11346" s="133" t="s">
        <v>19</v>
      </c>
      <c r="G11346" s="134" t="n">
        <f aca="false">LEN('Saisie programme'!$G$404)+SUMIFS('Vols additionnels'!$E$7:$E$66,'Vols additionnels'!$C$7:$C$66,$E11346,'Vols additionnels'!$D$7:$D$66,$F11346,'Vols additionnels'!$B$7:$B$66,$D11346)</f>
        <v>0</v>
      </c>
      <c r="H11346" s="135" t="n">
        <f aca="false">$G11346*'Analyse capacite'!$F$8</f>
        <v>0</v>
      </c>
      <c r="I11346" s="135" t="n">
        <f aca="false">$G11346*'Analyse capacite'!$C$8</f>
        <v>0</v>
      </c>
      <c r="J11346" s="135" t="n">
        <f aca="false">$G11346*'Analyse capacite'!$D$8</f>
        <v>0</v>
      </c>
      <c r="K11346" s="135" t="n">
        <f aca="false">$G11346*'Analyse capacite'!$E$8</f>
        <v>0</v>
      </c>
    </row>
    <row r="11347" customFormat="false" ht="15" hidden="false" customHeight="false" outlineLevel="0" collapsed="false">
      <c r="B11347" s="130" t="n">
        <v>2028</v>
      </c>
      <c r="C11347" s="131" t="s">
        <v>256</v>
      </c>
      <c r="D11347" s="132" t="n">
        <v>46793</v>
      </c>
      <c r="E11347" s="131" t="s">
        <v>12</v>
      </c>
      <c r="F11347" s="133" t="s">
        <v>24</v>
      </c>
      <c r="G11347" s="134" t="n">
        <f aca="false">LEN('Saisie programme'!$G$405)+SUMIFS('Vols additionnels'!$E$7:$E$66,'Vols additionnels'!$C$7:$C$66,$E11347,'Vols additionnels'!$D$7:$D$66,$F11347,'Vols additionnels'!$B$7:$B$66,$D11347)</f>
        <v>0</v>
      </c>
      <c r="H11347" s="135" t="n">
        <f aca="false">$G11347*'Analyse capacite'!$F$9</f>
        <v>0</v>
      </c>
      <c r="I11347" s="135" t="n">
        <f aca="false">$G11347*'Analyse capacite'!$C$9</f>
        <v>0</v>
      </c>
      <c r="J11347" s="135" t="n">
        <f aca="false">$G11347*'Analyse capacite'!$D$9</f>
        <v>0</v>
      </c>
      <c r="K11347" s="135" t="n">
        <f aca="false">$G11347*'Analyse capacite'!$E$9</f>
        <v>0</v>
      </c>
    </row>
    <row r="11348" customFormat="false" ht="15" hidden="false" customHeight="false" outlineLevel="0" collapsed="false">
      <c r="B11348" s="130" t="n">
        <v>2028</v>
      </c>
      <c r="C11348" s="131" t="s">
        <v>256</v>
      </c>
      <c r="D11348" s="132" t="n">
        <v>46793</v>
      </c>
      <c r="E11348" s="131" t="s">
        <v>20</v>
      </c>
      <c r="F11348" s="133" t="s">
        <v>11</v>
      </c>
      <c r="G11348" s="134" t="n">
        <f aca="false">LEN('Saisie programme'!$G$406)+SUMIFS('Vols additionnels'!$E$7:$E$66,'Vols additionnels'!$C$7:$C$66,$E11348,'Vols additionnels'!$D$7:$D$66,$F11348,'Vols additionnels'!$B$7:$B$66,$D11348)</f>
        <v>0</v>
      </c>
      <c r="H11348" s="135" t="n">
        <f aca="false">$G11348*'Analyse capacite'!$F$7</f>
        <v>0</v>
      </c>
      <c r="I11348" s="135" t="n">
        <f aca="false">$G11348*'Analyse capacite'!$C$7</f>
        <v>0</v>
      </c>
      <c r="J11348" s="135" t="n">
        <f aca="false">$G11348*'Analyse capacite'!$D$7</f>
        <v>0</v>
      </c>
      <c r="K11348" s="135" t="n">
        <f aca="false">$G11348*'Analyse capacite'!$E$7</f>
        <v>0</v>
      </c>
    </row>
    <row r="11349" customFormat="false" ht="15" hidden="false" customHeight="false" outlineLevel="0" collapsed="false">
      <c r="B11349" s="130" t="n">
        <v>2028</v>
      </c>
      <c r="C11349" s="131" t="s">
        <v>256</v>
      </c>
      <c r="D11349" s="132" t="n">
        <v>46793</v>
      </c>
      <c r="E11349" s="131" t="s">
        <v>20</v>
      </c>
      <c r="F11349" s="133" t="s">
        <v>19</v>
      </c>
      <c r="G11349" s="134" t="n">
        <f aca="false">LEN('Saisie programme'!$G$407)+SUMIFS('Vols additionnels'!$E$7:$E$66,'Vols additionnels'!$C$7:$C$66,$E11349,'Vols additionnels'!$D$7:$D$66,$F11349,'Vols additionnels'!$B$7:$B$66,$D11349)</f>
        <v>0</v>
      </c>
      <c r="H11349" s="135" t="n">
        <f aca="false">$G11349*'Analyse capacite'!$F$8</f>
        <v>0</v>
      </c>
      <c r="I11349" s="135" t="n">
        <f aca="false">$G11349*'Analyse capacite'!$C$8</f>
        <v>0</v>
      </c>
      <c r="J11349" s="135" t="n">
        <f aca="false">$G11349*'Analyse capacite'!$D$8</f>
        <v>0</v>
      </c>
      <c r="K11349" s="135" t="n">
        <f aca="false">$G11349*'Analyse capacite'!$E$8</f>
        <v>0</v>
      </c>
    </row>
    <row r="11350" customFormat="false" ht="15" hidden="false" customHeight="false" outlineLevel="0" collapsed="false">
      <c r="B11350" s="130" t="n">
        <v>2028</v>
      </c>
      <c r="C11350" s="131" t="s">
        <v>256</v>
      </c>
      <c r="D11350" s="132" t="n">
        <v>46793</v>
      </c>
      <c r="E11350" s="131" t="s">
        <v>20</v>
      </c>
      <c r="F11350" s="133" t="s">
        <v>24</v>
      </c>
      <c r="G11350" s="134" t="n">
        <f aca="false">LEN('Saisie programme'!$G$408)+SUMIFS('Vols additionnels'!$E$7:$E$66,'Vols additionnels'!$C$7:$C$66,$E11350,'Vols additionnels'!$D$7:$D$66,$F11350,'Vols additionnels'!$B$7:$B$66,$D11350)</f>
        <v>0</v>
      </c>
      <c r="H11350" s="135" t="n">
        <f aca="false">$G11350*'Analyse capacite'!$F$9</f>
        <v>0</v>
      </c>
      <c r="I11350" s="135" t="n">
        <f aca="false">$G11350*'Analyse capacite'!$C$9</f>
        <v>0</v>
      </c>
      <c r="J11350" s="135" t="n">
        <f aca="false">$G11350*'Analyse capacite'!$D$9</f>
        <v>0</v>
      </c>
      <c r="K11350" s="135" t="n">
        <f aca="false">$G11350*'Analyse capacite'!$E$9</f>
        <v>0</v>
      </c>
    </row>
    <row r="11351" customFormat="false" ht="15" hidden="false" customHeight="false" outlineLevel="0" collapsed="false">
      <c r="B11351" s="130" t="n">
        <v>2028</v>
      </c>
      <c r="C11351" s="131" t="s">
        <v>256</v>
      </c>
      <c r="D11351" s="132" t="n">
        <v>46793</v>
      </c>
      <c r="E11351" s="131" t="s">
        <v>25</v>
      </c>
      <c r="F11351" s="133" t="s">
        <v>11</v>
      </c>
      <c r="G11351" s="134" t="n">
        <f aca="false">LEN('Saisie programme'!$G$409)+SUMIFS('Vols additionnels'!$E$7:$E$66,'Vols additionnels'!$C$7:$C$66,$E11351,'Vols additionnels'!$D$7:$D$66,$F11351,'Vols additionnels'!$B$7:$B$66,$D11351)</f>
        <v>0</v>
      </c>
      <c r="H11351" s="135" t="n">
        <f aca="false">$G11351*'Analyse capacite'!$F$7</f>
        <v>0</v>
      </c>
      <c r="I11351" s="135" t="n">
        <f aca="false">$G11351*'Analyse capacite'!$C$7</f>
        <v>0</v>
      </c>
      <c r="J11351" s="135" t="n">
        <f aca="false">$G11351*'Analyse capacite'!$D$7</f>
        <v>0</v>
      </c>
      <c r="K11351" s="135" t="n">
        <f aca="false">$G11351*'Analyse capacite'!$E$7</f>
        <v>0</v>
      </c>
    </row>
    <row r="11352" customFormat="false" ht="15" hidden="false" customHeight="false" outlineLevel="0" collapsed="false">
      <c r="B11352" s="130" t="n">
        <v>2028</v>
      </c>
      <c r="C11352" s="131" t="s">
        <v>256</v>
      </c>
      <c r="D11352" s="132" t="n">
        <v>46793</v>
      </c>
      <c r="E11352" s="131" t="s">
        <v>25</v>
      </c>
      <c r="F11352" s="133" t="s">
        <v>19</v>
      </c>
      <c r="G11352" s="134" t="n">
        <f aca="false">LEN('Saisie programme'!$G$410)+SUMIFS('Vols additionnels'!$E$7:$E$66,'Vols additionnels'!$C$7:$C$66,$E11352,'Vols additionnels'!$D$7:$D$66,$F11352,'Vols additionnels'!$B$7:$B$66,$D11352)</f>
        <v>0</v>
      </c>
      <c r="H11352" s="135" t="n">
        <f aca="false">$G11352*'Analyse capacite'!$F$8</f>
        <v>0</v>
      </c>
      <c r="I11352" s="135" t="n">
        <f aca="false">$G11352*'Analyse capacite'!$C$8</f>
        <v>0</v>
      </c>
      <c r="J11352" s="135" t="n">
        <f aca="false">$G11352*'Analyse capacite'!$D$8</f>
        <v>0</v>
      </c>
      <c r="K11352" s="135" t="n">
        <f aca="false">$G11352*'Analyse capacite'!$E$8</f>
        <v>0</v>
      </c>
    </row>
    <row r="11353" customFormat="false" ht="15" hidden="false" customHeight="false" outlineLevel="0" collapsed="false">
      <c r="B11353" s="130" t="n">
        <v>2028</v>
      </c>
      <c r="C11353" s="131" t="s">
        <v>256</v>
      </c>
      <c r="D11353" s="132" t="n">
        <v>46793</v>
      </c>
      <c r="E11353" s="131" t="s">
        <v>25</v>
      </c>
      <c r="F11353" s="133" t="s">
        <v>24</v>
      </c>
      <c r="G11353" s="134" t="n">
        <f aca="false">LEN('Saisie programme'!$G$411)+SUMIFS('Vols additionnels'!$E$7:$E$66,'Vols additionnels'!$C$7:$C$66,$E11353,'Vols additionnels'!$D$7:$D$66,$F11353,'Vols additionnels'!$B$7:$B$66,$D11353)</f>
        <v>0</v>
      </c>
      <c r="H11353" s="135" t="n">
        <f aca="false">$G11353*'Analyse capacite'!$F$9</f>
        <v>0</v>
      </c>
      <c r="I11353" s="135" t="n">
        <f aca="false">$G11353*'Analyse capacite'!$C$9</f>
        <v>0</v>
      </c>
      <c r="J11353" s="135" t="n">
        <f aca="false">$G11353*'Analyse capacite'!$D$9</f>
        <v>0</v>
      </c>
      <c r="K11353" s="135" t="n">
        <f aca="false">$G11353*'Analyse capacite'!$E$9</f>
        <v>0</v>
      </c>
    </row>
    <row r="11354" customFormat="false" ht="15" hidden="false" customHeight="false" outlineLevel="0" collapsed="false">
      <c r="B11354" s="130" t="n">
        <v>2028</v>
      </c>
      <c r="C11354" s="131" t="s">
        <v>256</v>
      </c>
      <c r="D11354" s="132" t="n">
        <v>46793</v>
      </c>
      <c r="E11354" s="131" t="s">
        <v>36</v>
      </c>
      <c r="F11354" s="133" t="s">
        <v>11</v>
      </c>
      <c r="G11354" s="134" t="n">
        <f aca="false">LEN('Saisie programme'!$G$412)+SUMIFS('Vols additionnels'!$E$7:$E$66,'Vols additionnels'!$C$7:$C$66,$E11354,'Vols additionnels'!$D$7:$D$66,$F11354,'Vols additionnels'!$B$7:$B$66,$D11354)</f>
        <v>0</v>
      </c>
      <c r="H11354" s="135" t="n">
        <f aca="false">$G11354*'Analyse capacite'!$F$7</f>
        <v>0</v>
      </c>
      <c r="I11354" s="135" t="n">
        <f aca="false">$G11354*'Analyse capacite'!$C$7</f>
        <v>0</v>
      </c>
      <c r="J11354" s="135" t="n">
        <f aca="false">$G11354*'Analyse capacite'!$D$7</f>
        <v>0</v>
      </c>
      <c r="K11354" s="135" t="n">
        <f aca="false">$G11354*'Analyse capacite'!$E$7</f>
        <v>0</v>
      </c>
    </row>
    <row r="11355" customFormat="false" ht="15" hidden="false" customHeight="false" outlineLevel="0" collapsed="false">
      <c r="B11355" s="130" t="n">
        <v>2028</v>
      </c>
      <c r="C11355" s="131" t="s">
        <v>256</v>
      </c>
      <c r="D11355" s="132" t="n">
        <v>46793</v>
      </c>
      <c r="E11355" s="131" t="s">
        <v>36</v>
      </c>
      <c r="F11355" s="133" t="s">
        <v>19</v>
      </c>
      <c r="G11355" s="134" t="n">
        <f aca="false">LEN('Saisie programme'!$G$413)+SUMIFS('Vols additionnels'!$E$7:$E$66,'Vols additionnels'!$C$7:$C$66,$E11355,'Vols additionnels'!$D$7:$D$66,$F11355,'Vols additionnels'!$B$7:$B$66,$D11355)</f>
        <v>0</v>
      </c>
      <c r="H11355" s="135" t="n">
        <f aca="false">$G11355*'Analyse capacite'!$F$8</f>
        <v>0</v>
      </c>
      <c r="I11355" s="135" t="n">
        <f aca="false">$G11355*'Analyse capacite'!$C$8</f>
        <v>0</v>
      </c>
      <c r="J11355" s="135" t="n">
        <f aca="false">$G11355*'Analyse capacite'!$D$8</f>
        <v>0</v>
      </c>
      <c r="K11355" s="135" t="n">
        <f aca="false">$G11355*'Analyse capacite'!$E$8</f>
        <v>0</v>
      </c>
    </row>
    <row r="11356" customFormat="false" ht="15" hidden="false" customHeight="false" outlineLevel="0" collapsed="false">
      <c r="B11356" s="130" t="n">
        <v>2028</v>
      </c>
      <c r="C11356" s="131" t="s">
        <v>256</v>
      </c>
      <c r="D11356" s="132" t="n">
        <v>46793</v>
      </c>
      <c r="E11356" s="131" t="s">
        <v>36</v>
      </c>
      <c r="F11356" s="133" t="s">
        <v>24</v>
      </c>
      <c r="G11356" s="134" t="n">
        <f aca="false">LEN('Saisie programme'!$G$414)+SUMIFS('Vols additionnels'!$E$7:$E$66,'Vols additionnels'!$C$7:$C$66,$E11356,'Vols additionnels'!$D$7:$D$66,$F11356,'Vols additionnels'!$B$7:$B$66,$D11356)</f>
        <v>1</v>
      </c>
      <c r="H11356" s="135" t="n">
        <f aca="false">$G11356*'Analyse capacite'!$F$9</f>
        <v>174</v>
      </c>
      <c r="I11356" s="135" t="n">
        <f aca="false">$G11356*'Analyse capacite'!$C$9</f>
        <v>0</v>
      </c>
      <c r="J11356" s="135" t="n">
        <f aca="false">$G11356*'Analyse capacite'!$D$9</f>
        <v>12</v>
      </c>
      <c r="K11356" s="135" t="n">
        <f aca="false">$G11356*'Analyse capacite'!$E$9</f>
        <v>162</v>
      </c>
    </row>
    <row r="11357" customFormat="false" ht="15" hidden="false" customHeight="false" outlineLevel="0" collapsed="false">
      <c r="B11357" s="130" t="n">
        <v>2028</v>
      </c>
      <c r="C11357" s="131" t="s">
        <v>256</v>
      </c>
      <c r="D11357" s="132" t="n">
        <v>46793</v>
      </c>
      <c r="E11357" s="131" t="s">
        <v>40</v>
      </c>
      <c r="F11357" s="133" t="s">
        <v>11</v>
      </c>
      <c r="G11357" s="134" t="n">
        <f aca="false">LEN('Saisie programme'!$G$415)+SUMIFS('Vols additionnels'!$E$7:$E$66,'Vols additionnels'!$C$7:$C$66,$E11357,'Vols additionnels'!$D$7:$D$66,$F11357,'Vols additionnels'!$B$7:$B$66,$D11357)</f>
        <v>0</v>
      </c>
      <c r="H11357" s="135" t="n">
        <f aca="false">$G11357*'Analyse capacite'!$F$7</f>
        <v>0</v>
      </c>
      <c r="I11357" s="135" t="n">
        <f aca="false">$G11357*'Analyse capacite'!$C$7</f>
        <v>0</v>
      </c>
      <c r="J11357" s="135" t="n">
        <f aca="false">$G11357*'Analyse capacite'!$D$7</f>
        <v>0</v>
      </c>
      <c r="K11357" s="135" t="n">
        <f aca="false">$G11357*'Analyse capacite'!$E$7</f>
        <v>0</v>
      </c>
    </row>
    <row r="11358" customFormat="false" ht="15" hidden="false" customHeight="false" outlineLevel="0" collapsed="false">
      <c r="B11358" s="130" t="n">
        <v>2028</v>
      </c>
      <c r="C11358" s="131" t="s">
        <v>256</v>
      </c>
      <c r="D11358" s="132" t="n">
        <v>46793</v>
      </c>
      <c r="E11358" s="131" t="s">
        <v>40</v>
      </c>
      <c r="F11358" s="133" t="s">
        <v>19</v>
      </c>
      <c r="G11358" s="134" t="n">
        <f aca="false">LEN('Saisie programme'!$G$416)+SUMIFS('Vols additionnels'!$E$7:$E$66,'Vols additionnels'!$C$7:$C$66,$E11358,'Vols additionnels'!$D$7:$D$66,$F11358,'Vols additionnels'!$B$7:$B$66,$D11358)</f>
        <v>0</v>
      </c>
      <c r="H11358" s="135" t="n">
        <f aca="false">$G11358*'Analyse capacite'!$F$8</f>
        <v>0</v>
      </c>
      <c r="I11358" s="135" t="n">
        <f aca="false">$G11358*'Analyse capacite'!$C$8</f>
        <v>0</v>
      </c>
      <c r="J11358" s="135" t="n">
        <f aca="false">$G11358*'Analyse capacite'!$D$8</f>
        <v>0</v>
      </c>
      <c r="K11358" s="135" t="n">
        <f aca="false">$G11358*'Analyse capacite'!$E$8</f>
        <v>0</v>
      </c>
    </row>
    <row r="11359" customFormat="false" ht="15" hidden="false" customHeight="false" outlineLevel="0" collapsed="false">
      <c r="B11359" s="130" t="n">
        <v>2028</v>
      </c>
      <c r="C11359" s="131" t="s">
        <v>256</v>
      </c>
      <c r="D11359" s="132" t="n">
        <v>46793</v>
      </c>
      <c r="E11359" s="131" t="s">
        <v>40</v>
      </c>
      <c r="F11359" s="133" t="s">
        <v>24</v>
      </c>
      <c r="G11359" s="134" t="n">
        <f aca="false">LEN('Saisie programme'!$G$417)+SUMIFS('Vols additionnels'!$E$7:$E$66,'Vols additionnels'!$C$7:$C$66,$E11359,'Vols additionnels'!$D$7:$D$66,$F11359,'Vols additionnels'!$B$7:$B$66,$D11359)</f>
        <v>0</v>
      </c>
      <c r="H11359" s="135" t="n">
        <f aca="false">$G11359*'Analyse capacite'!$F$9</f>
        <v>0</v>
      </c>
      <c r="I11359" s="135" t="n">
        <f aca="false">$G11359*'Analyse capacite'!$C$9</f>
        <v>0</v>
      </c>
      <c r="J11359" s="135" t="n">
        <f aca="false">$G11359*'Analyse capacite'!$D$9</f>
        <v>0</v>
      </c>
      <c r="K11359" s="135" t="n">
        <f aca="false">$G11359*'Analyse capacite'!$E$9</f>
        <v>0</v>
      </c>
    </row>
    <row r="11360" customFormat="false" ht="15" hidden="false" customHeight="false" outlineLevel="0" collapsed="false">
      <c r="B11360" s="130" t="n">
        <v>2028</v>
      </c>
      <c r="C11360" s="131" t="s">
        <v>256</v>
      </c>
      <c r="D11360" s="132" t="n">
        <v>46793</v>
      </c>
      <c r="E11360" s="131" t="s">
        <v>14</v>
      </c>
      <c r="F11360" s="133" t="s">
        <v>11</v>
      </c>
      <c r="G11360" s="134" t="n">
        <f aca="false">LEN('Saisie programme'!$G$418)+SUMIFS('Vols additionnels'!$E$7:$E$66,'Vols additionnels'!$C$7:$C$66,$E11360,'Vols additionnels'!$D$7:$D$66,$F11360,'Vols additionnels'!$B$7:$B$66,$D11360)</f>
        <v>0</v>
      </c>
      <c r="H11360" s="135" t="n">
        <f aca="false">$G11360*'Analyse capacite'!$F$7</f>
        <v>0</v>
      </c>
      <c r="I11360" s="135" t="n">
        <f aca="false">$G11360*'Analyse capacite'!$C$7</f>
        <v>0</v>
      </c>
      <c r="J11360" s="135" t="n">
        <f aca="false">$G11360*'Analyse capacite'!$D$7</f>
        <v>0</v>
      </c>
      <c r="K11360" s="135" t="n">
        <f aca="false">$G11360*'Analyse capacite'!$E$7</f>
        <v>0</v>
      </c>
    </row>
    <row r="11361" customFormat="false" ht="15" hidden="false" customHeight="false" outlineLevel="0" collapsed="false">
      <c r="B11361" s="130" t="n">
        <v>2028</v>
      </c>
      <c r="C11361" s="131" t="s">
        <v>256</v>
      </c>
      <c r="D11361" s="132" t="n">
        <v>46793</v>
      </c>
      <c r="E11361" s="131" t="s">
        <v>14</v>
      </c>
      <c r="F11361" s="133" t="s">
        <v>19</v>
      </c>
      <c r="G11361" s="134" t="n">
        <f aca="false">LEN('Saisie programme'!$G$419)+SUMIFS('Vols additionnels'!$E$7:$E$66,'Vols additionnels'!$C$7:$C$66,$E11361,'Vols additionnels'!$D$7:$D$66,$F11361,'Vols additionnels'!$B$7:$B$66,$D11361)</f>
        <v>0</v>
      </c>
      <c r="H11361" s="135" t="n">
        <f aca="false">$G11361*'Analyse capacite'!$F$8</f>
        <v>0</v>
      </c>
      <c r="I11361" s="135" t="n">
        <f aca="false">$G11361*'Analyse capacite'!$C$8</f>
        <v>0</v>
      </c>
      <c r="J11361" s="135" t="n">
        <f aca="false">$G11361*'Analyse capacite'!$D$8</f>
        <v>0</v>
      </c>
      <c r="K11361" s="135" t="n">
        <f aca="false">$G11361*'Analyse capacite'!$E$8</f>
        <v>0</v>
      </c>
    </row>
    <row r="11362" customFormat="false" ht="15" hidden="false" customHeight="false" outlineLevel="0" collapsed="false">
      <c r="B11362" s="130" t="n">
        <v>2028</v>
      </c>
      <c r="C11362" s="131" t="s">
        <v>256</v>
      </c>
      <c r="D11362" s="132" t="n">
        <v>46793</v>
      </c>
      <c r="E11362" s="131" t="s">
        <v>14</v>
      </c>
      <c r="F11362" s="133" t="s">
        <v>24</v>
      </c>
      <c r="G11362" s="134" t="n">
        <f aca="false">LEN('Saisie programme'!$G$420)+SUMIFS('Vols additionnels'!$E$7:$E$66,'Vols additionnels'!$C$7:$C$66,$E11362,'Vols additionnels'!$D$7:$D$66,$F11362,'Vols additionnels'!$B$7:$B$66,$D11362)</f>
        <v>1</v>
      </c>
      <c r="H11362" s="135" t="n">
        <f aca="false">$G11362*'Analyse capacite'!$F$9</f>
        <v>174</v>
      </c>
      <c r="I11362" s="135" t="n">
        <f aca="false">$G11362*'Analyse capacite'!$C$9</f>
        <v>0</v>
      </c>
      <c r="J11362" s="135" t="n">
        <f aca="false">$G11362*'Analyse capacite'!$D$9</f>
        <v>12</v>
      </c>
      <c r="K11362" s="135" t="n">
        <f aca="false">$G11362*'Analyse capacite'!$E$9</f>
        <v>162</v>
      </c>
    </row>
    <row r="11363" customFormat="false" ht="15" hidden="false" customHeight="false" outlineLevel="0" collapsed="false">
      <c r="B11363" s="130" t="n">
        <v>2028</v>
      </c>
      <c r="C11363" s="131" t="s">
        <v>256</v>
      </c>
      <c r="D11363" s="132" t="n">
        <v>46793</v>
      </c>
      <c r="E11363" s="131" t="s">
        <v>46</v>
      </c>
      <c r="F11363" s="133" t="s">
        <v>11</v>
      </c>
      <c r="G11363" s="134" t="n">
        <f aca="false">LEN('Saisie programme'!$G$421)+SUMIFS('Vols additionnels'!$E$7:$E$66,'Vols additionnels'!$C$7:$C$66,$E11363,'Vols additionnels'!$D$7:$D$66,$F11363,'Vols additionnels'!$B$7:$B$66,$D11363)</f>
        <v>0</v>
      </c>
      <c r="H11363" s="135" t="n">
        <f aca="false">$G11363*'Analyse capacite'!$F$7</f>
        <v>0</v>
      </c>
      <c r="I11363" s="135" t="n">
        <f aca="false">$G11363*'Analyse capacite'!$C$7</f>
        <v>0</v>
      </c>
      <c r="J11363" s="135" t="n">
        <f aca="false">$G11363*'Analyse capacite'!$D$7</f>
        <v>0</v>
      </c>
      <c r="K11363" s="135" t="n">
        <f aca="false">$G11363*'Analyse capacite'!$E$7</f>
        <v>0</v>
      </c>
    </row>
    <row r="11364" customFormat="false" ht="15" hidden="false" customHeight="false" outlineLevel="0" collapsed="false">
      <c r="B11364" s="130" t="n">
        <v>2028</v>
      </c>
      <c r="C11364" s="131" t="s">
        <v>256</v>
      </c>
      <c r="D11364" s="132" t="n">
        <v>46793</v>
      </c>
      <c r="E11364" s="131" t="s">
        <v>46</v>
      </c>
      <c r="F11364" s="133" t="s">
        <v>19</v>
      </c>
      <c r="G11364" s="134" t="n">
        <f aca="false">LEN('Saisie programme'!$G$422)+SUMIFS('Vols additionnels'!$E$7:$E$66,'Vols additionnels'!$C$7:$C$66,$E11364,'Vols additionnels'!$D$7:$D$66,$F11364,'Vols additionnels'!$B$7:$B$66,$D11364)</f>
        <v>0</v>
      </c>
      <c r="H11364" s="135" t="n">
        <f aca="false">$G11364*'Analyse capacite'!$F$8</f>
        <v>0</v>
      </c>
      <c r="I11364" s="135" t="n">
        <f aca="false">$G11364*'Analyse capacite'!$C$8</f>
        <v>0</v>
      </c>
      <c r="J11364" s="135" t="n">
        <f aca="false">$G11364*'Analyse capacite'!$D$8</f>
        <v>0</v>
      </c>
      <c r="K11364" s="135" t="n">
        <f aca="false">$G11364*'Analyse capacite'!$E$8</f>
        <v>0</v>
      </c>
    </row>
    <row r="11365" customFormat="false" ht="15" hidden="false" customHeight="false" outlineLevel="0" collapsed="false">
      <c r="B11365" s="130" t="n">
        <v>2028</v>
      </c>
      <c r="C11365" s="131" t="s">
        <v>256</v>
      </c>
      <c r="D11365" s="132" t="n">
        <v>46793</v>
      </c>
      <c r="E11365" s="131" t="s">
        <v>46</v>
      </c>
      <c r="F11365" s="133" t="s">
        <v>24</v>
      </c>
      <c r="G11365" s="134" t="n">
        <f aca="false">LEN('Saisie programme'!$G$423)+SUMIFS('Vols additionnels'!$E$7:$E$66,'Vols additionnels'!$C$7:$C$66,$E11365,'Vols additionnels'!$D$7:$D$66,$F11365,'Vols additionnels'!$B$7:$B$66,$D11365)</f>
        <v>1</v>
      </c>
      <c r="H11365" s="135" t="n">
        <f aca="false">$G11365*'Analyse capacite'!$F$9</f>
        <v>174</v>
      </c>
      <c r="I11365" s="135" t="n">
        <f aca="false">$G11365*'Analyse capacite'!$C$9</f>
        <v>0</v>
      </c>
      <c r="J11365" s="135" t="n">
        <f aca="false">$G11365*'Analyse capacite'!$D$9</f>
        <v>12</v>
      </c>
      <c r="K11365" s="135" t="n">
        <f aca="false">$G11365*'Analyse capacite'!$E$9</f>
        <v>162</v>
      </c>
    </row>
    <row r="11366" customFormat="false" ht="15" hidden="false" customHeight="false" outlineLevel="0" collapsed="false">
      <c r="B11366" s="130" t="n">
        <v>2028</v>
      </c>
      <c r="C11366" s="131" t="s">
        <v>256</v>
      </c>
      <c r="D11366" s="132" t="n">
        <v>46793</v>
      </c>
      <c r="E11366" s="131" t="s">
        <v>49</v>
      </c>
      <c r="F11366" s="133" t="s">
        <v>11</v>
      </c>
      <c r="G11366" s="134" t="n">
        <f aca="false">LEN('Saisie programme'!$G$424)+SUMIFS('Vols additionnels'!$E$7:$E$66,'Vols additionnels'!$C$7:$C$66,$E11366,'Vols additionnels'!$D$7:$D$66,$F11366,'Vols additionnels'!$B$7:$B$66,$D11366)</f>
        <v>0</v>
      </c>
      <c r="H11366" s="135" t="n">
        <f aca="false">$G11366*'Analyse capacite'!$F$7</f>
        <v>0</v>
      </c>
      <c r="I11366" s="135" t="n">
        <f aca="false">$G11366*'Analyse capacite'!$C$7</f>
        <v>0</v>
      </c>
      <c r="J11366" s="135" t="n">
        <f aca="false">$G11366*'Analyse capacite'!$D$7</f>
        <v>0</v>
      </c>
      <c r="K11366" s="135" t="n">
        <f aca="false">$G11366*'Analyse capacite'!$E$7</f>
        <v>0</v>
      </c>
    </row>
    <row r="11367" customFormat="false" ht="15" hidden="false" customHeight="false" outlineLevel="0" collapsed="false">
      <c r="B11367" s="130" t="n">
        <v>2028</v>
      </c>
      <c r="C11367" s="131" t="s">
        <v>256</v>
      </c>
      <c r="D11367" s="132" t="n">
        <v>46793</v>
      </c>
      <c r="E11367" s="131" t="s">
        <v>49</v>
      </c>
      <c r="F11367" s="133" t="s">
        <v>19</v>
      </c>
      <c r="G11367" s="134" t="n">
        <f aca="false">LEN('Saisie programme'!$G$425)+SUMIFS('Vols additionnels'!$E$7:$E$66,'Vols additionnels'!$C$7:$C$66,$E11367,'Vols additionnels'!$D$7:$D$66,$F11367,'Vols additionnels'!$B$7:$B$66,$D11367)</f>
        <v>0</v>
      </c>
      <c r="H11367" s="135" t="n">
        <f aca="false">$G11367*'Analyse capacite'!$F$8</f>
        <v>0</v>
      </c>
      <c r="I11367" s="135" t="n">
        <f aca="false">$G11367*'Analyse capacite'!$C$8</f>
        <v>0</v>
      </c>
      <c r="J11367" s="135" t="n">
        <f aca="false">$G11367*'Analyse capacite'!$D$8</f>
        <v>0</v>
      </c>
      <c r="K11367" s="135" t="n">
        <f aca="false">$G11367*'Analyse capacite'!$E$8</f>
        <v>0</v>
      </c>
    </row>
    <row r="11368" customFormat="false" ht="15" hidden="false" customHeight="false" outlineLevel="0" collapsed="false">
      <c r="B11368" s="130" t="n">
        <v>2028</v>
      </c>
      <c r="C11368" s="131" t="s">
        <v>256</v>
      </c>
      <c r="D11368" s="132" t="n">
        <v>46793</v>
      </c>
      <c r="E11368" s="131" t="s">
        <v>49</v>
      </c>
      <c r="F11368" s="133" t="s">
        <v>24</v>
      </c>
      <c r="G11368" s="134" t="n">
        <f aca="false">LEN('Saisie programme'!$G$426)+SUMIFS('Vols additionnels'!$E$7:$E$66,'Vols additionnels'!$C$7:$C$66,$E11368,'Vols additionnels'!$D$7:$D$66,$F11368,'Vols additionnels'!$B$7:$B$66,$D11368)</f>
        <v>0</v>
      </c>
      <c r="H11368" s="135" t="n">
        <f aca="false">$G11368*'Analyse capacite'!$F$9</f>
        <v>0</v>
      </c>
      <c r="I11368" s="135" t="n">
        <f aca="false">$G11368*'Analyse capacite'!$C$9</f>
        <v>0</v>
      </c>
      <c r="J11368" s="135" t="n">
        <f aca="false">$G11368*'Analyse capacite'!$D$9</f>
        <v>0</v>
      </c>
      <c r="K11368" s="135" t="n">
        <f aca="false">$G11368*'Analyse capacite'!$E$9</f>
        <v>0</v>
      </c>
    </row>
    <row r="11369" customFormat="false" ht="15" hidden="false" customHeight="false" outlineLevel="0" collapsed="false">
      <c r="B11369" s="130" t="n">
        <v>2028</v>
      </c>
      <c r="C11369" s="131" t="s">
        <v>256</v>
      </c>
      <c r="D11369" s="132" t="n">
        <v>46793</v>
      </c>
      <c r="E11369" s="131" t="s">
        <v>53</v>
      </c>
      <c r="F11369" s="133" t="s">
        <v>11</v>
      </c>
      <c r="G11369" s="134" t="n">
        <f aca="false">LEN('Saisie programme'!$G$427)+SUMIFS('Vols additionnels'!$E$7:$E$66,'Vols additionnels'!$C$7:$C$66,$E11369,'Vols additionnels'!$D$7:$D$66,$F11369,'Vols additionnels'!$B$7:$B$66,$D11369)</f>
        <v>0</v>
      </c>
      <c r="H11369" s="135" t="n">
        <f aca="false">$G11369*'Analyse capacite'!$F$7</f>
        <v>0</v>
      </c>
      <c r="I11369" s="135" t="n">
        <f aca="false">$G11369*'Analyse capacite'!$C$7</f>
        <v>0</v>
      </c>
      <c r="J11369" s="135" t="n">
        <f aca="false">$G11369*'Analyse capacite'!$D$7</f>
        <v>0</v>
      </c>
      <c r="K11369" s="135" t="n">
        <f aca="false">$G11369*'Analyse capacite'!$E$7</f>
        <v>0</v>
      </c>
    </row>
    <row r="11370" customFormat="false" ht="15" hidden="false" customHeight="false" outlineLevel="0" collapsed="false">
      <c r="B11370" s="130" t="n">
        <v>2028</v>
      </c>
      <c r="C11370" s="131" t="s">
        <v>256</v>
      </c>
      <c r="D11370" s="132" t="n">
        <v>46793</v>
      </c>
      <c r="E11370" s="131" t="s">
        <v>53</v>
      </c>
      <c r="F11370" s="133" t="s">
        <v>19</v>
      </c>
      <c r="G11370" s="134" t="n">
        <f aca="false">LEN('Saisie programme'!$G$428)+SUMIFS('Vols additionnels'!$E$7:$E$66,'Vols additionnels'!$C$7:$C$66,$E11370,'Vols additionnels'!$D$7:$D$66,$F11370,'Vols additionnels'!$B$7:$B$66,$D11370)</f>
        <v>1</v>
      </c>
      <c r="H11370" s="135" t="n">
        <f aca="false">$G11370*'Analyse capacite'!$F$8</f>
        <v>262</v>
      </c>
      <c r="I11370" s="135" t="n">
        <f aca="false">$G11370*'Analyse capacite'!$C$8</f>
        <v>18</v>
      </c>
      <c r="J11370" s="135" t="n">
        <f aca="false">$G11370*'Analyse capacite'!$D$8</f>
        <v>0</v>
      </c>
      <c r="K11370" s="135" t="n">
        <f aca="false">$G11370*'Analyse capacite'!$E$8</f>
        <v>244</v>
      </c>
    </row>
    <row r="11371" customFormat="false" ht="15" hidden="false" customHeight="false" outlineLevel="0" collapsed="false">
      <c r="B11371" s="130" t="n">
        <v>2028</v>
      </c>
      <c r="C11371" s="131" t="s">
        <v>256</v>
      </c>
      <c r="D11371" s="132" t="n">
        <v>46793</v>
      </c>
      <c r="E11371" s="131" t="s">
        <v>53</v>
      </c>
      <c r="F11371" s="133" t="s">
        <v>24</v>
      </c>
      <c r="G11371" s="134" t="n">
        <f aca="false">LEN('Saisie programme'!$G$429)+SUMIFS('Vols additionnels'!$E$7:$E$66,'Vols additionnels'!$C$7:$C$66,$E11371,'Vols additionnels'!$D$7:$D$66,$F11371,'Vols additionnels'!$B$7:$B$66,$D11371)</f>
        <v>0</v>
      </c>
      <c r="H11371" s="135" t="n">
        <f aca="false">$G11371*'Analyse capacite'!$F$9</f>
        <v>0</v>
      </c>
      <c r="I11371" s="135" t="n">
        <f aca="false">$G11371*'Analyse capacite'!$C$9</f>
        <v>0</v>
      </c>
      <c r="J11371" s="135" t="n">
        <f aca="false">$G11371*'Analyse capacite'!$D$9</f>
        <v>0</v>
      </c>
      <c r="K11371" s="135" t="n">
        <f aca="false">$G11371*'Analyse capacite'!$E$9</f>
        <v>0</v>
      </c>
    </row>
    <row r="11372" customFormat="false" ht="15" hidden="false" customHeight="false" outlineLevel="0" collapsed="false">
      <c r="B11372" s="130" t="n">
        <v>2028</v>
      </c>
      <c r="C11372" s="131" t="s">
        <v>256</v>
      </c>
      <c r="D11372" s="132" t="n">
        <v>46793</v>
      </c>
      <c r="E11372" s="131" t="s">
        <v>56</v>
      </c>
      <c r="F11372" s="133" t="s">
        <v>11</v>
      </c>
      <c r="G11372" s="134" t="n">
        <f aca="false">LEN('Saisie programme'!$G$430)+SUMIFS('Vols additionnels'!$E$7:$E$66,'Vols additionnels'!$C$7:$C$66,$E11372,'Vols additionnels'!$D$7:$D$66,$F11372,'Vols additionnels'!$B$7:$B$66,$D11372)</f>
        <v>0</v>
      </c>
      <c r="H11372" s="135" t="n">
        <f aca="false">$G11372*'Analyse capacite'!$F$7</f>
        <v>0</v>
      </c>
      <c r="I11372" s="135" t="n">
        <f aca="false">$G11372*'Analyse capacite'!$C$7</f>
        <v>0</v>
      </c>
      <c r="J11372" s="135" t="n">
        <f aca="false">$G11372*'Analyse capacite'!$D$7</f>
        <v>0</v>
      </c>
      <c r="K11372" s="135" t="n">
        <f aca="false">$G11372*'Analyse capacite'!$E$7</f>
        <v>0</v>
      </c>
    </row>
    <row r="11373" customFormat="false" ht="15" hidden="false" customHeight="false" outlineLevel="0" collapsed="false">
      <c r="B11373" s="130" t="n">
        <v>2028</v>
      </c>
      <c r="C11373" s="131" t="s">
        <v>256</v>
      </c>
      <c r="D11373" s="132" t="n">
        <v>46793</v>
      </c>
      <c r="E11373" s="131" t="s">
        <v>56</v>
      </c>
      <c r="F11373" s="133" t="s">
        <v>19</v>
      </c>
      <c r="G11373" s="134" t="n">
        <f aca="false">LEN('Saisie programme'!$G$431)+SUMIFS('Vols additionnels'!$E$7:$E$66,'Vols additionnels'!$C$7:$C$66,$E11373,'Vols additionnels'!$D$7:$D$66,$F11373,'Vols additionnels'!$B$7:$B$66,$D11373)</f>
        <v>0</v>
      </c>
      <c r="H11373" s="135" t="n">
        <f aca="false">$G11373*'Analyse capacite'!$F$8</f>
        <v>0</v>
      </c>
      <c r="I11373" s="135" t="n">
        <f aca="false">$G11373*'Analyse capacite'!$C$8</f>
        <v>0</v>
      </c>
      <c r="J11373" s="135" t="n">
        <f aca="false">$G11373*'Analyse capacite'!$D$8</f>
        <v>0</v>
      </c>
      <c r="K11373" s="135" t="n">
        <f aca="false">$G11373*'Analyse capacite'!$E$8</f>
        <v>0</v>
      </c>
    </row>
    <row r="11374" customFormat="false" ht="15" hidden="false" customHeight="false" outlineLevel="0" collapsed="false">
      <c r="B11374" s="130" t="n">
        <v>2028</v>
      </c>
      <c r="C11374" s="131" t="s">
        <v>256</v>
      </c>
      <c r="D11374" s="132" t="n">
        <v>46793</v>
      </c>
      <c r="E11374" s="131" t="s">
        <v>56</v>
      </c>
      <c r="F11374" s="133" t="s">
        <v>24</v>
      </c>
      <c r="G11374" s="134" t="n">
        <f aca="false">LEN('Saisie programme'!$G$432)+SUMIFS('Vols additionnels'!$E$7:$E$66,'Vols additionnels'!$C$7:$C$66,$E11374,'Vols additionnels'!$D$7:$D$66,$F11374,'Vols additionnels'!$B$7:$B$66,$D11374)</f>
        <v>0</v>
      </c>
      <c r="H11374" s="135" t="n">
        <f aca="false">$G11374*'Analyse capacite'!$F$9</f>
        <v>0</v>
      </c>
      <c r="I11374" s="135" t="n">
        <f aca="false">$G11374*'Analyse capacite'!$C$9</f>
        <v>0</v>
      </c>
      <c r="J11374" s="135" t="n">
        <f aca="false">$G11374*'Analyse capacite'!$D$9</f>
        <v>0</v>
      </c>
      <c r="K11374" s="135" t="n">
        <f aca="false">$G11374*'Analyse capacite'!$E$9</f>
        <v>0</v>
      </c>
    </row>
    <row r="11375" customFormat="false" ht="15" hidden="false" customHeight="false" outlineLevel="0" collapsed="false">
      <c r="B11375" s="130" t="n">
        <v>2028</v>
      </c>
      <c r="C11375" s="131" t="s">
        <v>256</v>
      </c>
      <c r="D11375" s="132" t="n">
        <v>46793</v>
      </c>
      <c r="E11375" s="131" t="s">
        <v>59</v>
      </c>
      <c r="F11375" s="133" t="s">
        <v>11</v>
      </c>
      <c r="G11375" s="134" t="n">
        <f aca="false">LEN('Saisie programme'!$G$433)+SUMIFS('Vols additionnels'!$E$7:$E$66,'Vols additionnels'!$C$7:$C$66,$E11375,'Vols additionnels'!$D$7:$D$66,$F11375,'Vols additionnels'!$B$7:$B$66,$D11375)</f>
        <v>0</v>
      </c>
      <c r="H11375" s="135" t="n">
        <f aca="false">$G11375*'Analyse capacite'!$F$7</f>
        <v>0</v>
      </c>
      <c r="I11375" s="135" t="n">
        <f aca="false">$G11375*'Analyse capacite'!$C$7</f>
        <v>0</v>
      </c>
      <c r="J11375" s="135" t="n">
        <f aca="false">$G11375*'Analyse capacite'!$D$7</f>
        <v>0</v>
      </c>
      <c r="K11375" s="135" t="n">
        <f aca="false">$G11375*'Analyse capacite'!$E$7</f>
        <v>0</v>
      </c>
    </row>
    <row r="11376" customFormat="false" ht="15" hidden="false" customHeight="false" outlineLevel="0" collapsed="false">
      <c r="B11376" s="130" t="n">
        <v>2028</v>
      </c>
      <c r="C11376" s="131" t="s">
        <v>256</v>
      </c>
      <c r="D11376" s="132" t="n">
        <v>46793</v>
      </c>
      <c r="E11376" s="131" t="s">
        <v>59</v>
      </c>
      <c r="F11376" s="133" t="s">
        <v>19</v>
      </c>
      <c r="G11376" s="134" t="n">
        <f aca="false">LEN('Saisie programme'!$G$434)+SUMIFS('Vols additionnels'!$E$7:$E$66,'Vols additionnels'!$C$7:$C$66,$E11376,'Vols additionnels'!$D$7:$D$66,$F11376,'Vols additionnels'!$B$7:$B$66,$D11376)</f>
        <v>0</v>
      </c>
      <c r="H11376" s="135" t="n">
        <f aca="false">$G11376*'Analyse capacite'!$F$8</f>
        <v>0</v>
      </c>
      <c r="I11376" s="135" t="n">
        <f aca="false">$G11376*'Analyse capacite'!$C$8</f>
        <v>0</v>
      </c>
      <c r="J11376" s="135" t="n">
        <f aca="false">$G11376*'Analyse capacite'!$D$8</f>
        <v>0</v>
      </c>
      <c r="K11376" s="135" t="n">
        <f aca="false">$G11376*'Analyse capacite'!$E$8</f>
        <v>0</v>
      </c>
    </row>
    <row r="11377" customFormat="false" ht="15" hidden="false" customHeight="false" outlineLevel="0" collapsed="false">
      <c r="B11377" s="130" t="n">
        <v>2028</v>
      </c>
      <c r="C11377" s="131" t="s">
        <v>256</v>
      </c>
      <c r="D11377" s="132" t="n">
        <v>46793</v>
      </c>
      <c r="E11377" s="131" t="s">
        <v>59</v>
      </c>
      <c r="F11377" s="133" t="s">
        <v>24</v>
      </c>
      <c r="G11377" s="134" t="n">
        <f aca="false">LEN('Saisie programme'!$G$435)+SUMIFS('Vols additionnels'!$E$7:$E$66,'Vols additionnels'!$C$7:$C$66,$E11377,'Vols additionnels'!$D$7:$D$66,$F11377,'Vols additionnels'!$B$7:$B$66,$D11377)</f>
        <v>2</v>
      </c>
      <c r="H11377" s="135" t="n">
        <f aca="false">$G11377*'Analyse capacite'!$F$9</f>
        <v>348</v>
      </c>
      <c r="I11377" s="135" t="n">
        <f aca="false">$G11377*'Analyse capacite'!$C$9</f>
        <v>0</v>
      </c>
      <c r="J11377" s="135" t="n">
        <f aca="false">$G11377*'Analyse capacite'!$D$9</f>
        <v>24</v>
      </c>
      <c r="K11377" s="135" t="n">
        <f aca="false">$G11377*'Analyse capacite'!$E$9</f>
        <v>324</v>
      </c>
    </row>
    <row r="11378" customFormat="false" ht="15" hidden="false" customHeight="false" outlineLevel="0" collapsed="false">
      <c r="B11378" s="130" t="n">
        <v>2028</v>
      </c>
      <c r="C11378" s="131" t="s">
        <v>256</v>
      </c>
      <c r="D11378" s="132" t="n">
        <v>46793</v>
      </c>
      <c r="E11378" s="131" t="s">
        <v>62</v>
      </c>
      <c r="F11378" s="133" t="s">
        <v>11</v>
      </c>
      <c r="G11378" s="134" t="n">
        <f aca="false">LEN('Saisie programme'!$G$436)+SUMIFS('Vols additionnels'!$E$7:$E$66,'Vols additionnels'!$C$7:$C$66,$E11378,'Vols additionnels'!$D$7:$D$66,$F11378,'Vols additionnels'!$B$7:$B$66,$D11378)</f>
        <v>0</v>
      </c>
      <c r="H11378" s="135" t="n">
        <f aca="false">$G11378*'Analyse capacite'!$F$7</f>
        <v>0</v>
      </c>
      <c r="I11378" s="135" t="n">
        <f aca="false">$G11378*'Analyse capacite'!$C$7</f>
        <v>0</v>
      </c>
      <c r="J11378" s="135" t="n">
        <f aca="false">$G11378*'Analyse capacite'!$D$7</f>
        <v>0</v>
      </c>
      <c r="K11378" s="135" t="n">
        <f aca="false">$G11378*'Analyse capacite'!$E$7</f>
        <v>0</v>
      </c>
    </row>
    <row r="11379" customFormat="false" ht="15" hidden="false" customHeight="false" outlineLevel="0" collapsed="false">
      <c r="B11379" s="130" t="n">
        <v>2028</v>
      </c>
      <c r="C11379" s="131" t="s">
        <v>256</v>
      </c>
      <c r="D11379" s="132" t="n">
        <v>46793</v>
      </c>
      <c r="E11379" s="131" t="s">
        <v>62</v>
      </c>
      <c r="F11379" s="133" t="s">
        <v>19</v>
      </c>
      <c r="G11379" s="134" t="n">
        <f aca="false">LEN('Saisie programme'!$G$437)+SUMIFS('Vols additionnels'!$E$7:$E$66,'Vols additionnels'!$C$7:$C$66,$E11379,'Vols additionnels'!$D$7:$D$66,$F11379,'Vols additionnels'!$B$7:$B$66,$D11379)</f>
        <v>0</v>
      </c>
      <c r="H11379" s="135" t="n">
        <f aca="false">$G11379*'Analyse capacite'!$F$8</f>
        <v>0</v>
      </c>
      <c r="I11379" s="135" t="n">
        <f aca="false">$G11379*'Analyse capacite'!$C$8</f>
        <v>0</v>
      </c>
      <c r="J11379" s="135" t="n">
        <f aca="false">$G11379*'Analyse capacite'!$D$8</f>
        <v>0</v>
      </c>
      <c r="K11379" s="135" t="n">
        <f aca="false">$G11379*'Analyse capacite'!$E$8</f>
        <v>0</v>
      </c>
    </row>
    <row r="11380" customFormat="false" ht="15" hidden="false" customHeight="false" outlineLevel="0" collapsed="false">
      <c r="B11380" s="130" t="n">
        <v>2028</v>
      </c>
      <c r="C11380" s="131" t="s">
        <v>256</v>
      </c>
      <c r="D11380" s="132" t="n">
        <v>46793</v>
      </c>
      <c r="E11380" s="131" t="s">
        <v>62</v>
      </c>
      <c r="F11380" s="133" t="s">
        <v>24</v>
      </c>
      <c r="G11380" s="134" t="n">
        <f aca="false">LEN('Saisie programme'!$G$438)+SUMIFS('Vols additionnels'!$E$7:$E$66,'Vols additionnels'!$C$7:$C$66,$E11380,'Vols additionnels'!$D$7:$D$66,$F11380,'Vols additionnels'!$B$7:$B$66,$D11380)</f>
        <v>0</v>
      </c>
      <c r="H11380" s="135" t="n">
        <f aca="false">$G11380*'Analyse capacite'!$F$9</f>
        <v>0</v>
      </c>
      <c r="I11380" s="135" t="n">
        <f aca="false">$G11380*'Analyse capacite'!$C$9</f>
        <v>0</v>
      </c>
      <c r="J11380" s="135" t="n">
        <f aca="false">$G11380*'Analyse capacite'!$D$9</f>
        <v>0</v>
      </c>
      <c r="K11380" s="135" t="n">
        <f aca="false">$G11380*'Analyse capacite'!$E$9</f>
        <v>0</v>
      </c>
    </row>
    <row r="11381" customFormat="false" ht="15" hidden="false" customHeight="false" outlineLevel="0" collapsed="false">
      <c r="B11381" s="130" t="n">
        <v>2028</v>
      </c>
      <c r="C11381" s="131" t="s">
        <v>256</v>
      </c>
      <c r="D11381" s="132" t="n">
        <v>46794</v>
      </c>
      <c r="E11381" s="131" t="s">
        <v>12</v>
      </c>
      <c r="F11381" s="133" t="s">
        <v>11</v>
      </c>
      <c r="G11381" s="134" t="n">
        <f aca="false">LEN('Saisie programme'!$H$403)+SUMIFS('Vols additionnels'!$E$7:$E$66,'Vols additionnels'!$C$7:$C$66,$E11381,'Vols additionnels'!$D$7:$D$66,$F11381,'Vols additionnels'!$B$7:$B$66,$D11381)</f>
        <v>1</v>
      </c>
      <c r="H11381" s="135" t="n">
        <f aca="false">$G11381*'Analyse capacite'!$F$7</f>
        <v>438</v>
      </c>
      <c r="I11381" s="135" t="n">
        <f aca="false">$G11381*'Analyse capacite'!$C$7</f>
        <v>14</v>
      </c>
      <c r="J11381" s="135" t="n">
        <f aca="false">$G11381*'Analyse capacite'!$D$7</f>
        <v>40</v>
      </c>
      <c r="K11381" s="135" t="n">
        <f aca="false">$G11381*'Analyse capacite'!$E$7</f>
        <v>384</v>
      </c>
    </row>
    <row r="11382" customFormat="false" ht="15" hidden="false" customHeight="false" outlineLevel="0" collapsed="false">
      <c r="B11382" s="130" t="n">
        <v>2028</v>
      </c>
      <c r="C11382" s="131" t="s">
        <v>256</v>
      </c>
      <c r="D11382" s="132" t="n">
        <v>46794</v>
      </c>
      <c r="E11382" s="131" t="s">
        <v>12</v>
      </c>
      <c r="F11382" s="133" t="s">
        <v>19</v>
      </c>
      <c r="G11382" s="134" t="n">
        <f aca="false">LEN('Saisie programme'!$H$404)+SUMIFS('Vols additionnels'!$E$7:$E$66,'Vols additionnels'!$C$7:$C$66,$E11382,'Vols additionnels'!$D$7:$D$66,$F11382,'Vols additionnels'!$B$7:$B$66,$D11382)</f>
        <v>1</v>
      </c>
      <c r="H11382" s="135" t="n">
        <f aca="false">$G11382*'Analyse capacite'!$F$8</f>
        <v>262</v>
      </c>
      <c r="I11382" s="135" t="n">
        <f aca="false">$G11382*'Analyse capacite'!$C$8</f>
        <v>18</v>
      </c>
      <c r="J11382" s="135" t="n">
        <f aca="false">$G11382*'Analyse capacite'!$D$8</f>
        <v>0</v>
      </c>
      <c r="K11382" s="135" t="n">
        <f aca="false">$G11382*'Analyse capacite'!$E$8</f>
        <v>244</v>
      </c>
    </row>
    <row r="11383" customFormat="false" ht="15" hidden="false" customHeight="false" outlineLevel="0" collapsed="false">
      <c r="B11383" s="130" t="n">
        <v>2028</v>
      </c>
      <c r="C11383" s="131" t="s">
        <v>256</v>
      </c>
      <c r="D11383" s="132" t="n">
        <v>46794</v>
      </c>
      <c r="E11383" s="131" t="s">
        <v>12</v>
      </c>
      <c r="F11383" s="133" t="s">
        <v>24</v>
      </c>
      <c r="G11383" s="134" t="n">
        <f aca="false">LEN('Saisie programme'!$H$405)+SUMIFS('Vols additionnels'!$E$7:$E$66,'Vols additionnels'!$C$7:$C$66,$E11383,'Vols additionnels'!$D$7:$D$66,$F11383,'Vols additionnels'!$B$7:$B$66,$D11383)</f>
        <v>0</v>
      </c>
      <c r="H11383" s="135" t="n">
        <f aca="false">$G11383*'Analyse capacite'!$F$9</f>
        <v>0</v>
      </c>
      <c r="I11383" s="135" t="n">
        <f aca="false">$G11383*'Analyse capacite'!$C$9</f>
        <v>0</v>
      </c>
      <c r="J11383" s="135" t="n">
        <f aca="false">$G11383*'Analyse capacite'!$D$9</f>
        <v>0</v>
      </c>
      <c r="K11383" s="135" t="n">
        <f aca="false">$G11383*'Analyse capacite'!$E$9</f>
        <v>0</v>
      </c>
    </row>
    <row r="11384" customFormat="false" ht="15" hidden="false" customHeight="false" outlineLevel="0" collapsed="false">
      <c r="B11384" s="130" t="n">
        <v>2028</v>
      </c>
      <c r="C11384" s="131" t="s">
        <v>256</v>
      </c>
      <c r="D11384" s="132" t="n">
        <v>46794</v>
      </c>
      <c r="E11384" s="131" t="s">
        <v>20</v>
      </c>
      <c r="F11384" s="133" t="s">
        <v>11</v>
      </c>
      <c r="G11384" s="134" t="n">
        <f aca="false">LEN('Saisie programme'!$H$406)+SUMIFS('Vols additionnels'!$E$7:$E$66,'Vols additionnels'!$C$7:$C$66,$E11384,'Vols additionnels'!$D$7:$D$66,$F11384,'Vols additionnels'!$B$7:$B$66,$D11384)</f>
        <v>0</v>
      </c>
      <c r="H11384" s="135" t="n">
        <f aca="false">$G11384*'Analyse capacite'!$F$7</f>
        <v>0</v>
      </c>
      <c r="I11384" s="135" t="n">
        <f aca="false">$G11384*'Analyse capacite'!$C$7</f>
        <v>0</v>
      </c>
      <c r="J11384" s="135" t="n">
        <f aca="false">$G11384*'Analyse capacite'!$D$7</f>
        <v>0</v>
      </c>
      <c r="K11384" s="135" t="n">
        <f aca="false">$G11384*'Analyse capacite'!$E$7</f>
        <v>0</v>
      </c>
    </row>
    <row r="11385" customFormat="false" ht="15" hidden="false" customHeight="false" outlineLevel="0" collapsed="false">
      <c r="B11385" s="130" t="n">
        <v>2028</v>
      </c>
      <c r="C11385" s="131" t="s">
        <v>256</v>
      </c>
      <c r="D11385" s="132" t="n">
        <v>46794</v>
      </c>
      <c r="E11385" s="131" t="s">
        <v>20</v>
      </c>
      <c r="F11385" s="133" t="s">
        <v>19</v>
      </c>
      <c r="G11385" s="134" t="n">
        <f aca="false">LEN('Saisie programme'!$H$407)+SUMIFS('Vols additionnels'!$E$7:$E$66,'Vols additionnels'!$C$7:$C$66,$E11385,'Vols additionnels'!$D$7:$D$66,$F11385,'Vols additionnels'!$B$7:$B$66,$D11385)</f>
        <v>1</v>
      </c>
      <c r="H11385" s="135" t="n">
        <f aca="false">$G11385*'Analyse capacite'!$F$8</f>
        <v>262</v>
      </c>
      <c r="I11385" s="135" t="n">
        <f aca="false">$G11385*'Analyse capacite'!$C$8</f>
        <v>18</v>
      </c>
      <c r="J11385" s="135" t="n">
        <f aca="false">$G11385*'Analyse capacite'!$D$8</f>
        <v>0</v>
      </c>
      <c r="K11385" s="135" t="n">
        <f aca="false">$G11385*'Analyse capacite'!$E$8</f>
        <v>244</v>
      </c>
    </row>
    <row r="11386" customFormat="false" ht="15" hidden="false" customHeight="false" outlineLevel="0" collapsed="false">
      <c r="B11386" s="130" t="n">
        <v>2028</v>
      </c>
      <c r="C11386" s="131" t="s">
        <v>256</v>
      </c>
      <c r="D11386" s="132" t="n">
        <v>46794</v>
      </c>
      <c r="E11386" s="131" t="s">
        <v>20</v>
      </c>
      <c r="F11386" s="133" t="s">
        <v>24</v>
      </c>
      <c r="G11386" s="134" t="n">
        <f aca="false">LEN('Saisie programme'!$H$408)+SUMIFS('Vols additionnels'!$E$7:$E$66,'Vols additionnels'!$C$7:$C$66,$E11386,'Vols additionnels'!$D$7:$D$66,$F11386,'Vols additionnels'!$B$7:$B$66,$D11386)</f>
        <v>0</v>
      </c>
      <c r="H11386" s="135" t="n">
        <f aca="false">$G11386*'Analyse capacite'!$F$9</f>
        <v>0</v>
      </c>
      <c r="I11386" s="135" t="n">
        <f aca="false">$G11386*'Analyse capacite'!$C$9</f>
        <v>0</v>
      </c>
      <c r="J11386" s="135" t="n">
        <f aca="false">$G11386*'Analyse capacite'!$D$9</f>
        <v>0</v>
      </c>
      <c r="K11386" s="135" t="n">
        <f aca="false">$G11386*'Analyse capacite'!$E$9</f>
        <v>0</v>
      </c>
    </row>
    <row r="11387" customFormat="false" ht="15" hidden="false" customHeight="false" outlineLevel="0" collapsed="false">
      <c r="B11387" s="130" t="n">
        <v>2028</v>
      </c>
      <c r="C11387" s="131" t="s">
        <v>256</v>
      </c>
      <c r="D11387" s="132" t="n">
        <v>46794</v>
      </c>
      <c r="E11387" s="131" t="s">
        <v>25</v>
      </c>
      <c r="F11387" s="133" t="s">
        <v>11</v>
      </c>
      <c r="G11387" s="134" t="n">
        <f aca="false">LEN('Saisie programme'!$H$409)+SUMIFS('Vols additionnels'!$E$7:$E$66,'Vols additionnels'!$C$7:$C$66,$E11387,'Vols additionnels'!$D$7:$D$66,$F11387,'Vols additionnels'!$B$7:$B$66,$D11387)</f>
        <v>0</v>
      </c>
      <c r="H11387" s="135" t="n">
        <f aca="false">$G11387*'Analyse capacite'!$F$7</f>
        <v>0</v>
      </c>
      <c r="I11387" s="135" t="n">
        <f aca="false">$G11387*'Analyse capacite'!$C$7</f>
        <v>0</v>
      </c>
      <c r="J11387" s="135" t="n">
        <f aca="false">$G11387*'Analyse capacite'!$D$7</f>
        <v>0</v>
      </c>
      <c r="K11387" s="135" t="n">
        <f aca="false">$G11387*'Analyse capacite'!$E$7</f>
        <v>0</v>
      </c>
    </row>
    <row r="11388" customFormat="false" ht="15" hidden="false" customHeight="false" outlineLevel="0" collapsed="false">
      <c r="B11388" s="130" t="n">
        <v>2028</v>
      </c>
      <c r="C11388" s="131" t="s">
        <v>256</v>
      </c>
      <c r="D11388" s="132" t="n">
        <v>46794</v>
      </c>
      <c r="E11388" s="131" t="s">
        <v>25</v>
      </c>
      <c r="F11388" s="133" t="s">
        <v>19</v>
      </c>
      <c r="G11388" s="134" t="n">
        <f aca="false">LEN('Saisie programme'!$H$410)+SUMIFS('Vols additionnels'!$E$7:$E$66,'Vols additionnels'!$C$7:$C$66,$E11388,'Vols additionnels'!$D$7:$D$66,$F11388,'Vols additionnels'!$B$7:$B$66,$D11388)</f>
        <v>0</v>
      </c>
      <c r="H11388" s="135" t="n">
        <f aca="false">$G11388*'Analyse capacite'!$F$8</f>
        <v>0</v>
      </c>
      <c r="I11388" s="135" t="n">
        <f aca="false">$G11388*'Analyse capacite'!$C$8</f>
        <v>0</v>
      </c>
      <c r="J11388" s="135" t="n">
        <f aca="false">$G11388*'Analyse capacite'!$D$8</f>
        <v>0</v>
      </c>
      <c r="K11388" s="135" t="n">
        <f aca="false">$G11388*'Analyse capacite'!$E$8</f>
        <v>0</v>
      </c>
    </row>
    <row r="11389" customFormat="false" ht="15" hidden="false" customHeight="false" outlineLevel="0" collapsed="false">
      <c r="B11389" s="130" t="n">
        <v>2028</v>
      </c>
      <c r="C11389" s="131" t="s">
        <v>256</v>
      </c>
      <c r="D11389" s="132" t="n">
        <v>46794</v>
      </c>
      <c r="E11389" s="131" t="s">
        <v>25</v>
      </c>
      <c r="F11389" s="133" t="s">
        <v>24</v>
      </c>
      <c r="G11389" s="134" t="n">
        <f aca="false">LEN('Saisie programme'!$H$411)+SUMIFS('Vols additionnels'!$E$7:$E$66,'Vols additionnels'!$C$7:$C$66,$E11389,'Vols additionnels'!$D$7:$D$66,$F11389,'Vols additionnels'!$B$7:$B$66,$D11389)</f>
        <v>0</v>
      </c>
      <c r="H11389" s="135" t="n">
        <f aca="false">$G11389*'Analyse capacite'!$F$9</f>
        <v>0</v>
      </c>
      <c r="I11389" s="135" t="n">
        <f aca="false">$G11389*'Analyse capacite'!$C$9</f>
        <v>0</v>
      </c>
      <c r="J11389" s="135" t="n">
        <f aca="false">$G11389*'Analyse capacite'!$D$9</f>
        <v>0</v>
      </c>
      <c r="K11389" s="135" t="n">
        <f aca="false">$G11389*'Analyse capacite'!$E$9</f>
        <v>0</v>
      </c>
    </row>
    <row r="11390" customFormat="false" ht="15" hidden="false" customHeight="false" outlineLevel="0" collapsed="false">
      <c r="B11390" s="130" t="n">
        <v>2028</v>
      </c>
      <c r="C11390" s="131" t="s">
        <v>256</v>
      </c>
      <c r="D11390" s="132" t="n">
        <v>46794</v>
      </c>
      <c r="E11390" s="131" t="s">
        <v>36</v>
      </c>
      <c r="F11390" s="133" t="s">
        <v>11</v>
      </c>
      <c r="G11390" s="134" t="n">
        <f aca="false">LEN('Saisie programme'!$H$412)+SUMIFS('Vols additionnels'!$E$7:$E$66,'Vols additionnels'!$C$7:$C$66,$E11390,'Vols additionnels'!$D$7:$D$66,$F11390,'Vols additionnels'!$B$7:$B$66,$D11390)</f>
        <v>0</v>
      </c>
      <c r="H11390" s="135" t="n">
        <f aca="false">$G11390*'Analyse capacite'!$F$7</f>
        <v>0</v>
      </c>
      <c r="I11390" s="135" t="n">
        <f aca="false">$G11390*'Analyse capacite'!$C$7</f>
        <v>0</v>
      </c>
      <c r="J11390" s="135" t="n">
        <f aca="false">$G11390*'Analyse capacite'!$D$7</f>
        <v>0</v>
      </c>
      <c r="K11390" s="135" t="n">
        <f aca="false">$G11390*'Analyse capacite'!$E$7</f>
        <v>0</v>
      </c>
    </row>
    <row r="11391" customFormat="false" ht="15" hidden="false" customHeight="false" outlineLevel="0" collapsed="false">
      <c r="B11391" s="130" t="n">
        <v>2028</v>
      </c>
      <c r="C11391" s="131" t="s">
        <v>256</v>
      </c>
      <c r="D11391" s="132" t="n">
        <v>46794</v>
      </c>
      <c r="E11391" s="131" t="s">
        <v>36</v>
      </c>
      <c r="F11391" s="133" t="s">
        <v>19</v>
      </c>
      <c r="G11391" s="134" t="n">
        <f aca="false">LEN('Saisie programme'!$H$413)+SUMIFS('Vols additionnels'!$E$7:$E$66,'Vols additionnels'!$C$7:$C$66,$E11391,'Vols additionnels'!$D$7:$D$66,$F11391,'Vols additionnels'!$B$7:$B$66,$D11391)</f>
        <v>0</v>
      </c>
      <c r="H11391" s="135" t="n">
        <f aca="false">$G11391*'Analyse capacite'!$F$8</f>
        <v>0</v>
      </c>
      <c r="I11391" s="135" t="n">
        <f aca="false">$G11391*'Analyse capacite'!$C$8</f>
        <v>0</v>
      </c>
      <c r="J11391" s="135" t="n">
        <f aca="false">$G11391*'Analyse capacite'!$D$8</f>
        <v>0</v>
      </c>
      <c r="K11391" s="135" t="n">
        <f aca="false">$G11391*'Analyse capacite'!$E$8</f>
        <v>0</v>
      </c>
    </row>
    <row r="11392" customFormat="false" ht="15" hidden="false" customHeight="false" outlineLevel="0" collapsed="false">
      <c r="B11392" s="130" t="n">
        <v>2028</v>
      </c>
      <c r="C11392" s="131" t="s">
        <v>256</v>
      </c>
      <c r="D11392" s="132" t="n">
        <v>46794</v>
      </c>
      <c r="E11392" s="131" t="s">
        <v>36</v>
      </c>
      <c r="F11392" s="133" t="s">
        <v>24</v>
      </c>
      <c r="G11392" s="134" t="n">
        <f aca="false">LEN('Saisie programme'!$H$414)+SUMIFS('Vols additionnels'!$E$7:$E$66,'Vols additionnels'!$C$7:$C$66,$E11392,'Vols additionnels'!$D$7:$D$66,$F11392,'Vols additionnels'!$B$7:$B$66,$D11392)</f>
        <v>1</v>
      </c>
      <c r="H11392" s="135" t="n">
        <f aca="false">$G11392*'Analyse capacite'!$F$9</f>
        <v>174</v>
      </c>
      <c r="I11392" s="135" t="n">
        <f aca="false">$G11392*'Analyse capacite'!$C$9</f>
        <v>0</v>
      </c>
      <c r="J11392" s="135" t="n">
        <f aca="false">$G11392*'Analyse capacite'!$D$9</f>
        <v>12</v>
      </c>
      <c r="K11392" s="135" t="n">
        <f aca="false">$G11392*'Analyse capacite'!$E$9</f>
        <v>162</v>
      </c>
    </row>
    <row r="11393" customFormat="false" ht="15" hidden="false" customHeight="false" outlineLevel="0" collapsed="false">
      <c r="B11393" s="130" t="n">
        <v>2028</v>
      </c>
      <c r="C11393" s="131" t="s">
        <v>256</v>
      </c>
      <c r="D11393" s="132" t="n">
        <v>46794</v>
      </c>
      <c r="E11393" s="131" t="s">
        <v>40</v>
      </c>
      <c r="F11393" s="133" t="s">
        <v>11</v>
      </c>
      <c r="G11393" s="134" t="n">
        <f aca="false">LEN('Saisie programme'!$H$415)+SUMIFS('Vols additionnels'!$E$7:$E$66,'Vols additionnels'!$C$7:$C$66,$E11393,'Vols additionnels'!$D$7:$D$66,$F11393,'Vols additionnels'!$B$7:$B$66,$D11393)</f>
        <v>0</v>
      </c>
      <c r="H11393" s="135" t="n">
        <f aca="false">$G11393*'Analyse capacite'!$F$7</f>
        <v>0</v>
      </c>
      <c r="I11393" s="135" t="n">
        <f aca="false">$G11393*'Analyse capacite'!$C$7</f>
        <v>0</v>
      </c>
      <c r="J11393" s="135" t="n">
        <f aca="false">$G11393*'Analyse capacite'!$D$7</f>
        <v>0</v>
      </c>
      <c r="K11393" s="135" t="n">
        <f aca="false">$G11393*'Analyse capacite'!$E$7</f>
        <v>0</v>
      </c>
    </row>
    <row r="11394" customFormat="false" ht="15" hidden="false" customHeight="false" outlineLevel="0" collapsed="false">
      <c r="B11394" s="130" t="n">
        <v>2028</v>
      </c>
      <c r="C11394" s="131" t="s">
        <v>256</v>
      </c>
      <c r="D11394" s="132" t="n">
        <v>46794</v>
      </c>
      <c r="E11394" s="131" t="s">
        <v>40</v>
      </c>
      <c r="F11394" s="133" t="s">
        <v>19</v>
      </c>
      <c r="G11394" s="134" t="n">
        <f aca="false">LEN('Saisie programme'!$H$416)+SUMIFS('Vols additionnels'!$E$7:$E$66,'Vols additionnels'!$C$7:$C$66,$E11394,'Vols additionnels'!$D$7:$D$66,$F11394,'Vols additionnels'!$B$7:$B$66,$D11394)</f>
        <v>0</v>
      </c>
      <c r="H11394" s="135" t="n">
        <f aca="false">$G11394*'Analyse capacite'!$F$8</f>
        <v>0</v>
      </c>
      <c r="I11394" s="135" t="n">
        <f aca="false">$G11394*'Analyse capacite'!$C$8</f>
        <v>0</v>
      </c>
      <c r="J11394" s="135" t="n">
        <f aca="false">$G11394*'Analyse capacite'!$D$8</f>
        <v>0</v>
      </c>
      <c r="K11394" s="135" t="n">
        <f aca="false">$G11394*'Analyse capacite'!$E$8</f>
        <v>0</v>
      </c>
    </row>
    <row r="11395" customFormat="false" ht="15" hidden="false" customHeight="false" outlineLevel="0" collapsed="false">
      <c r="B11395" s="130" t="n">
        <v>2028</v>
      </c>
      <c r="C11395" s="131" t="s">
        <v>256</v>
      </c>
      <c r="D11395" s="132" t="n">
        <v>46794</v>
      </c>
      <c r="E11395" s="131" t="s">
        <v>40</v>
      </c>
      <c r="F11395" s="133" t="s">
        <v>24</v>
      </c>
      <c r="G11395" s="134" t="n">
        <f aca="false">LEN('Saisie programme'!$H$417)+SUMIFS('Vols additionnels'!$E$7:$E$66,'Vols additionnels'!$C$7:$C$66,$E11395,'Vols additionnels'!$D$7:$D$66,$F11395,'Vols additionnels'!$B$7:$B$66,$D11395)</f>
        <v>1</v>
      </c>
      <c r="H11395" s="135" t="n">
        <f aca="false">$G11395*'Analyse capacite'!$F$9</f>
        <v>174</v>
      </c>
      <c r="I11395" s="135" t="n">
        <f aca="false">$G11395*'Analyse capacite'!$C$9</f>
        <v>0</v>
      </c>
      <c r="J11395" s="135" t="n">
        <f aca="false">$G11395*'Analyse capacite'!$D$9</f>
        <v>12</v>
      </c>
      <c r="K11395" s="135" t="n">
        <f aca="false">$G11395*'Analyse capacite'!$E$9</f>
        <v>162</v>
      </c>
    </row>
    <row r="11396" customFormat="false" ht="15" hidden="false" customHeight="false" outlineLevel="0" collapsed="false">
      <c r="B11396" s="130" t="n">
        <v>2028</v>
      </c>
      <c r="C11396" s="131" t="s">
        <v>256</v>
      </c>
      <c r="D11396" s="132" t="n">
        <v>46794</v>
      </c>
      <c r="E11396" s="131" t="s">
        <v>14</v>
      </c>
      <c r="F11396" s="133" t="s">
        <v>11</v>
      </c>
      <c r="G11396" s="134" t="n">
        <f aca="false">LEN('Saisie programme'!$H$418)+SUMIFS('Vols additionnels'!$E$7:$E$66,'Vols additionnels'!$C$7:$C$66,$E11396,'Vols additionnels'!$D$7:$D$66,$F11396,'Vols additionnels'!$B$7:$B$66,$D11396)</f>
        <v>0</v>
      </c>
      <c r="H11396" s="135" t="n">
        <f aca="false">$G11396*'Analyse capacite'!$F$7</f>
        <v>0</v>
      </c>
      <c r="I11396" s="135" t="n">
        <f aca="false">$G11396*'Analyse capacite'!$C$7</f>
        <v>0</v>
      </c>
      <c r="J11396" s="135" t="n">
        <f aca="false">$G11396*'Analyse capacite'!$D$7</f>
        <v>0</v>
      </c>
      <c r="K11396" s="135" t="n">
        <f aca="false">$G11396*'Analyse capacite'!$E$7</f>
        <v>0</v>
      </c>
    </row>
    <row r="11397" customFormat="false" ht="15" hidden="false" customHeight="false" outlineLevel="0" collapsed="false">
      <c r="B11397" s="130" t="n">
        <v>2028</v>
      </c>
      <c r="C11397" s="131" t="s">
        <v>256</v>
      </c>
      <c r="D11397" s="132" t="n">
        <v>46794</v>
      </c>
      <c r="E11397" s="131" t="s">
        <v>14</v>
      </c>
      <c r="F11397" s="133" t="s">
        <v>19</v>
      </c>
      <c r="G11397" s="134" t="n">
        <f aca="false">LEN('Saisie programme'!$H$419)+SUMIFS('Vols additionnels'!$E$7:$E$66,'Vols additionnels'!$C$7:$C$66,$E11397,'Vols additionnels'!$D$7:$D$66,$F11397,'Vols additionnels'!$B$7:$B$66,$D11397)</f>
        <v>0</v>
      </c>
      <c r="H11397" s="135" t="n">
        <f aca="false">$G11397*'Analyse capacite'!$F$8</f>
        <v>0</v>
      </c>
      <c r="I11397" s="135" t="n">
        <f aca="false">$G11397*'Analyse capacite'!$C$8</f>
        <v>0</v>
      </c>
      <c r="J11397" s="135" t="n">
        <f aca="false">$G11397*'Analyse capacite'!$D$8</f>
        <v>0</v>
      </c>
      <c r="K11397" s="135" t="n">
        <f aca="false">$G11397*'Analyse capacite'!$E$8</f>
        <v>0</v>
      </c>
    </row>
    <row r="11398" customFormat="false" ht="15" hidden="false" customHeight="false" outlineLevel="0" collapsed="false">
      <c r="B11398" s="130" t="n">
        <v>2028</v>
      </c>
      <c r="C11398" s="131" t="s">
        <v>256</v>
      </c>
      <c r="D11398" s="132" t="n">
        <v>46794</v>
      </c>
      <c r="E11398" s="131" t="s">
        <v>14</v>
      </c>
      <c r="F11398" s="133" t="s">
        <v>24</v>
      </c>
      <c r="G11398" s="134" t="n">
        <f aca="false">LEN('Saisie programme'!$H$420)+SUMIFS('Vols additionnels'!$E$7:$E$66,'Vols additionnels'!$C$7:$C$66,$E11398,'Vols additionnels'!$D$7:$D$66,$F11398,'Vols additionnels'!$B$7:$B$66,$D11398)</f>
        <v>0</v>
      </c>
      <c r="H11398" s="135" t="n">
        <f aca="false">$G11398*'Analyse capacite'!$F$9</f>
        <v>0</v>
      </c>
      <c r="I11398" s="135" t="n">
        <f aca="false">$G11398*'Analyse capacite'!$C$9</f>
        <v>0</v>
      </c>
      <c r="J11398" s="135" t="n">
        <f aca="false">$G11398*'Analyse capacite'!$D$9</f>
        <v>0</v>
      </c>
      <c r="K11398" s="135" t="n">
        <f aca="false">$G11398*'Analyse capacite'!$E$9</f>
        <v>0</v>
      </c>
    </row>
    <row r="11399" customFormat="false" ht="15" hidden="false" customHeight="false" outlineLevel="0" collapsed="false">
      <c r="B11399" s="130" t="n">
        <v>2028</v>
      </c>
      <c r="C11399" s="131" t="s">
        <v>256</v>
      </c>
      <c r="D11399" s="132" t="n">
        <v>46794</v>
      </c>
      <c r="E11399" s="131" t="s">
        <v>46</v>
      </c>
      <c r="F11399" s="133" t="s">
        <v>11</v>
      </c>
      <c r="G11399" s="134" t="n">
        <f aca="false">LEN('Saisie programme'!$H$421)+SUMIFS('Vols additionnels'!$E$7:$E$66,'Vols additionnels'!$C$7:$C$66,$E11399,'Vols additionnels'!$D$7:$D$66,$F11399,'Vols additionnels'!$B$7:$B$66,$D11399)</f>
        <v>0</v>
      </c>
      <c r="H11399" s="135" t="n">
        <f aca="false">$G11399*'Analyse capacite'!$F$7</f>
        <v>0</v>
      </c>
      <c r="I11399" s="135" t="n">
        <f aca="false">$G11399*'Analyse capacite'!$C$7</f>
        <v>0</v>
      </c>
      <c r="J11399" s="135" t="n">
        <f aca="false">$G11399*'Analyse capacite'!$D$7</f>
        <v>0</v>
      </c>
      <c r="K11399" s="135" t="n">
        <f aca="false">$G11399*'Analyse capacite'!$E$7</f>
        <v>0</v>
      </c>
    </row>
    <row r="11400" customFormat="false" ht="15" hidden="false" customHeight="false" outlineLevel="0" collapsed="false">
      <c r="B11400" s="130" t="n">
        <v>2028</v>
      </c>
      <c r="C11400" s="131" t="s">
        <v>256</v>
      </c>
      <c r="D11400" s="132" t="n">
        <v>46794</v>
      </c>
      <c r="E11400" s="131" t="s">
        <v>46</v>
      </c>
      <c r="F11400" s="133" t="s">
        <v>19</v>
      </c>
      <c r="G11400" s="134" t="n">
        <f aca="false">LEN('Saisie programme'!$H$422)+SUMIFS('Vols additionnels'!$E$7:$E$66,'Vols additionnels'!$C$7:$C$66,$E11400,'Vols additionnels'!$D$7:$D$66,$F11400,'Vols additionnels'!$B$7:$B$66,$D11400)</f>
        <v>0</v>
      </c>
      <c r="H11400" s="135" t="n">
        <f aca="false">$G11400*'Analyse capacite'!$F$8</f>
        <v>0</v>
      </c>
      <c r="I11400" s="135" t="n">
        <f aca="false">$G11400*'Analyse capacite'!$C$8</f>
        <v>0</v>
      </c>
      <c r="J11400" s="135" t="n">
        <f aca="false">$G11400*'Analyse capacite'!$D$8</f>
        <v>0</v>
      </c>
      <c r="K11400" s="135" t="n">
        <f aca="false">$G11400*'Analyse capacite'!$E$8</f>
        <v>0</v>
      </c>
    </row>
    <row r="11401" customFormat="false" ht="15" hidden="false" customHeight="false" outlineLevel="0" collapsed="false">
      <c r="B11401" s="130" t="n">
        <v>2028</v>
      </c>
      <c r="C11401" s="131" t="s">
        <v>256</v>
      </c>
      <c r="D11401" s="132" t="n">
        <v>46794</v>
      </c>
      <c r="E11401" s="131" t="s">
        <v>46</v>
      </c>
      <c r="F11401" s="133" t="s">
        <v>24</v>
      </c>
      <c r="G11401" s="134" t="n">
        <f aca="false">LEN('Saisie programme'!$H$423)+SUMIFS('Vols additionnels'!$E$7:$E$66,'Vols additionnels'!$C$7:$C$66,$E11401,'Vols additionnels'!$D$7:$D$66,$F11401,'Vols additionnels'!$B$7:$B$66,$D11401)</f>
        <v>0</v>
      </c>
      <c r="H11401" s="135" t="n">
        <f aca="false">$G11401*'Analyse capacite'!$F$9</f>
        <v>0</v>
      </c>
      <c r="I11401" s="135" t="n">
        <f aca="false">$G11401*'Analyse capacite'!$C$9</f>
        <v>0</v>
      </c>
      <c r="J11401" s="135" t="n">
        <f aca="false">$G11401*'Analyse capacite'!$D$9</f>
        <v>0</v>
      </c>
      <c r="K11401" s="135" t="n">
        <f aca="false">$G11401*'Analyse capacite'!$E$9</f>
        <v>0</v>
      </c>
    </row>
    <row r="11402" customFormat="false" ht="15" hidden="false" customHeight="false" outlineLevel="0" collapsed="false">
      <c r="B11402" s="130" t="n">
        <v>2028</v>
      </c>
      <c r="C11402" s="131" t="s">
        <v>256</v>
      </c>
      <c r="D11402" s="132" t="n">
        <v>46794</v>
      </c>
      <c r="E11402" s="131" t="s">
        <v>49</v>
      </c>
      <c r="F11402" s="133" t="s">
        <v>11</v>
      </c>
      <c r="G11402" s="134" t="n">
        <f aca="false">LEN('Saisie programme'!$H$424)+SUMIFS('Vols additionnels'!$E$7:$E$66,'Vols additionnels'!$C$7:$C$66,$E11402,'Vols additionnels'!$D$7:$D$66,$F11402,'Vols additionnels'!$B$7:$B$66,$D11402)</f>
        <v>0</v>
      </c>
      <c r="H11402" s="135" t="n">
        <f aca="false">$G11402*'Analyse capacite'!$F$7</f>
        <v>0</v>
      </c>
      <c r="I11402" s="135" t="n">
        <f aca="false">$G11402*'Analyse capacite'!$C$7</f>
        <v>0</v>
      </c>
      <c r="J11402" s="135" t="n">
        <f aca="false">$G11402*'Analyse capacite'!$D$7</f>
        <v>0</v>
      </c>
      <c r="K11402" s="135" t="n">
        <f aca="false">$G11402*'Analyse capacite'!$E$7</f>
        <v>0</v>
      </c>
    </row>
    <row r="11403" customFormat="false" ht="15" hidden="false" customHeight="false" outlineLevel="0" collapsed="false">
      <c r="B11403" s="130" t="n">
        <v>2028</v>
      </c>
      <c r="C11403" s="131" t="s">
        <v>256</v>
      </c>
      <c r="D11403" s="132" t="n">
        <v>46794</v>
      </c>
      <c r="E11403" s="131" t="s">
        <v>49</v>
      </c>
      <c r="F11403" s="133" t="s">
        <v>19</v>
      </c>
      <c r="G11403" s="134" t="n">
        <f aca="false">LEN('Saisie programme'!$H$425)+SUMIFS('Vols additionnels'!$E$7:$E$66,'Vols additionnels'!$C$7:$C$66,$E11403,'Vols additionnels'!$D$7:$D$66,$F11403,'Vols additionnels'!$B$7:$B$66,$D11403)</f>
        <v>1</v>
      </c>
      <c r="H11403" s="135" t="n">
        <f aca="false">$G11403*'Analyse capacite'!$F$8</f>
        <v>262</v>
      </c>
      <c r="I11403" s="135" t="n">
        <f aca="false">$G11403*'Analyse capacite'!$C$8</f>
        <v>18</v>
      </c>
      <c r="J11403" s="135" t="n">
        <f aca="false">$G11403*'Analyse capacite'!$D$8</f>
        <v>0</v>
      </c>
      <c r="K11403" s="135" t="n">
        <f aca="false">$G11403*'Analyse capacite'!$E$8</f>
        <v>244</v>
      </c>
    </row>
    <row r="11404" customFormat="false" ht="15" hidden="false" customHeight="false" outlineLevel="0" collapsed="false">
      <c r="B11404" s="130" t="n">
        <v>2028</v>
      </c>
      <c r="C11404" s="131" t="s">
        <v>256</v>
      </c>
      <c r="D11404" s="132" t="n">
        <v>46794</v>
      </c>
      <c r="E11404" s="131" t="s">
        <v>49</v>
      </c>
      <c r="F11404" s="133" t="s">
        <v>24</v>
      </c>
      <c r="G11404" s="134" t="n">
        <f aca="false">LEN('Saisie programme'!$H$426)+SUMIFS('Vols additionnels'!$E$7:$E$66,'Vols additionnels'!$C$7:$C$66,$E11404,'Vols additionnels'!$D$7:$D$66,$F11404,'Vols additionnels'!$B$7:$B$66,$D11404)</f>
        <v>0</v>
      </c>
      <c r="H11404" s="135" t="n">
        <f aca="false">$G11404*'Analyse capacite'!$F$9</f>
        <v>0</v>
      </c>
      <c r="I11404" s="135" t="n">
        <f aca="false">$G11404*'Analyse capacite'!$C$9</f>
        <v>0</v>
      </c>
      <c r="J11404" s="135" t="n">
        <f aca="false">$G11404*'Analyse capacite'!$D$9</f>
        <v>0</v>
      </c>
      <c r="K11404" s="135" t="n">
        <f aca="false">$G11404*'Analyse capacite'!$E$9</f>
        <v>0</v>
      </c>
    </row>
    <row r="11405" customFormat="false" ht="15" hidden="false" customHeight="false" outlineLevel="0" collapsed="false">
      <c r="B11405" s="130" t="n">
        <v>2028</v>
      </c>
      <c r="C11405" s="131" t="s">
        <v>256</v>
      </c>
      <c r="D11405" s="132" t="n">
        <v>46794</v>
      </c>
      <c r="E11405" s="131" t="s">
        <v>53</v>
      </c>
      <c r="F11405" s="133" t="s">
        <v>11</v>
      </c>
      <c r="G11405" s="134" t="n">
        <f aca="false">LEN('Saisie programme'!$H$427)+SUMIFS('Vols additionnels'!$E$7:$E$66,'Vols additionnels'!$C$7:$C$66,$E11405,'Vols additionnels'!$D$7:$D$66,$F11405,'Vols additionnels'!$B$7:$B$66,$D11405)</f>
        <v>0</v>
      </c>
      <c r="H11405" s="135" t="n">
        <f aca="false">$G11405*'Analyse capacite'!$F$7</f>
        <v>0</v>
      </c>
      <c r="I11405" s="135" t="n">
        <f aca="false">$G11405*'Analyse capacite'!$C$7</f>
        <v>0</v>
      </c>
      <c r="J11405" s="135" t="n">
        <f aca="false">$G11405*'Analyse capacite'!$D$7</f>
        <v>0</v>
      </c>
      <c r="K11405" s="135" t="n">
        <f aca="false">$G11405*'Analyse capacite'!$E$7</f>
        <v>0</v>
      </c>
    </row>
    <row r="11406" customFormat="false" ht="15" hidden="false" customHeight="false" outlineLevel="0" collapsed="false">
      <c r="B11406" s="130" t="n">
        <v>2028</v>
      </c>
      <c r="C11406" s="131" t="s">
        <v>256</v>
      </c>
      <c r="D11406" s="132" t="n">
        <v>46794</v>
      </c>
      <c r="E11406" s="131" t="s">
        <v>53</v>
      </c>
      <c r="F11406" s="133" t="s">
        <v>19</v>
      </c>
      <c r="G11406" s="134" t="n">
        <f aca="false">LEN('Saisie programme'!$H$428)+SUMIFS('Vols additionnels'!$E$7:$E$66,'Vols additionnels'!$C$7:$C$66,$E11406,'Vols additionnels'!$D$7:$D$66,$F11406,'Vols additionnels'!$B$7:$B$66,$D11406)</f>
        <v>0</v>
      </c>
      <c r="H11406" s="135" t="n">
        <f aca="false">$G11406*'Analyse capacite'!$F$8</f>
        <v>0</v>
      </c>
      <c r="I11406" s="135" t="n">
        <f aca="false">$G11406*'Analyse capacite'!$C$8</f>
        <v>0</v>
      </c>
      <c r="J11406" s="135" t="n">
        <f aca="false">$G11406*'Analyse capacite'!$D$8</f>
        <v>0</v>
      </c>
      <c r="K11406" s="135" t="n">
        <f aca="false">$G11406*'Analyse capacite'!$E$8</f>
        <v>0</v>
      </c>
    </row>
    <row r="11407" customFormat="false" ht="15" hidden="false" customHeight="false" outlineLevel="0" collapsed="false">
      <c r="B11407" s="130" t="n">
        <v>2028</v>
      </c>
      <c r="C11407" s="131" t="s">
        <v>256</v>
      </c>
      <c r="D11407" s="132" t="n">
        <v>46794</v>
      </c>
      <c r="E11407" s="131" t="s">
        <v>53</v>
      </c>
      <c r="F11407" s="133" t="s">
        <v>24</v>
      </c>
      <c r="G11407" s="134" t="n">
        <f aca="false">LEN('Saisie programme'!$H$429)+SUMIFS('Vols additionnels'!$E$7:$E$66,'Vols additionnels'!$C$7:$C$66,$E11407,'Vols additionnels'!$D$7:$D$66,$F11407,'Vols additionnels'!$B$7:$B$66,$D11407)</f>
        <v>0</v>
      </c>
      <c r="H11407" s="135" t="n">
        <f aca="false">$G11407*'Analyse capacite'!$F$9</f>
        <v>0</v>
      </c>
      <c r="I11407" s="135" t="n">
        <f aca="false">$G11407*'Analyse capacite'!$C$9</f>
        <v>0</v>
      </c>
      <c r="J11407" s="135" t="n">
        <f aca="false">$G11407*'Analyse capacite'!$D$9</f>
        <v>0</v>
      </c>
      <c r="K11407" s="135" t="n">
        <f aca="false">$G11407*'Analyse capacite'!$E$9</f>
        <v>0</v>
      </c>
    </row>
    <row r="11408" customFormat="false" ht="15" hidden="false" customHeight="false" outlineLevel="0" collapsed="false">
      <c r="B11408" s="130" t="n">
        <v>2028</v>
      </c>
      <c r="C11408" s="131" t="s">
        <v>256</v>
      </c>
      <c r="D11408" s="132" t="n">
        <v>46794</v>
      </c>
      <c r="E11408" s="131" t="s">
        <v>56</v>
      </c>
      <c r="F11408" s="133" t="s">
        <v>11</v>
      </c>
      <c r="G11408" s="134" t="n">
        <f aca="false">LEN('Saisie programme'!$H$430)+SUMIFS('Vols additionnels'!$E$7:$E$66,'Vols additionnels'!$C$7:$C$66,$E11408,'Vols additionnels'!$D$7:$D$66,$F11408,'Vols additionnels'!$B$7:$B$66,$D11408)</f>
        <v>0</v>
      </c>
      <c r="H11408" s="135" t="n">
        <f aca="false">$G11408*'Analyse capacite'!$F$7</f>
        <v>0</v>
      </c>
      <c r="I11408" s="135" t="n">
        <f aca="false">$G11408*'Analyse capacite'!$C$7</f>
        <v>0</v>
      </c>
      <c r="J11408" s="135" t="n">
        <f aca="false">$G11408*'Analyse capacite'!$D$7</f>
        <v>0</v>
      </c>
      <c r="K11408" s="135" t="n">
        <f aca="false">$G11408*'Analyse capacite'!$E$7</f>
        <v>0</v>
      </c>
    </row>
    <row r="11409" customFormat="false" ht="15" hidden="false" customHeight="false" outlineLevel="0" collapsed="false">
      <c r="B11409" s="130" t="n">
        <v>2028</v>
      </c>
      <c r="C11409" s="131" t="s">
        <v>256</v>
      </c>
      <c r="D11409" s="132" t="n">
        <v>46794</v>
      </c>
      <c r="E11409" s="131" t="s">
        <v>56</v>
      </c>
      <c r="F11409" s="133" t="s">
        <v>19</v>
      </c>
      <c r="G11409" s="134" t="n">
        <f aca="false">LEN('Saisie programme'!$H$431)+SUMIFS('Vols additionnels'!$E$7:$E$66,'Vols additionnels'!$C$7:$C$66,$E11409,'Vols additionnels'!$D$7:$D$66,$F11409,'Vols additionnels'!$B$7:$B$66,$D11409)</f>
        <v>0</v>
      </c>
      <c r="H11409" s="135" t="n">
        <f aca="false">$G11409*'Analyse capacite'!$F$8</f>
        <v>0</v>
      </c>
      <c r="I11409" s="135" t="n">
        <f aca="false">$G11409*'Analyse capacite'!$C$8</f>
        <v>0</v>
      </c>
      <c r="J11409" s="135" t="n">
        <f aca="false">$G11409*'Analyse capacite'!$D$8</f>
        <v>0</v>
      </c>
      <c r="K11409" s="135" t="n">
        <f aca="false">$G11409*'Analyse capacite'!$E$8</f>
        <v>0</v>
      </c>
    </row>
    <row r="11410" customFormat="false" ht="15" hidden="false" customHeight="false" outlineLevel="0" collapsed="false">
      <c r="B11410" s="130" t="n">
        <v>2028</v>
      </c>
      <c r="C11410" s="131" t="s">
        <v>256</v>
      </c>
      <c r="D11410" s="132" t="n">
        <v>46794</v>
      </c>
      <c r="E11410" s="131" t="s">
        <v>56</v>
      </c>
      <c r="F11410" s="133" t="s">
        <v>24</v>
      </c>
      <c r="G11410" s="134" t="n">
        <f aca="false">LEN('Saisie programme'!$H$432)+SUMIFS('Vols additionnels'!$E$7:$E$66,'Vols additionnels'!$C$7:$C$66,$E11410,'Vols additionnels'!$D$7:$D$66,$F11410,'Vols additionnels'!$B$7:$B$66,$D11410)</f>
        <v>0</v>
      </c>
      <c r="H11410" s="135" t="n">
        <f aca="false">$G11410*'Analyse capacite'!$F$9</f>
        <v>0</v>
      </c>
      <c r="I11410" s="135" t="n">
        <f aca="false">$G11410*'Analyse capacite'!$C$9</f>
        <v>0</v>
      </c>
      <c r="J11410" s="135" t="n">
        <f aca="false">$G11410*'Analyse capacite'!$D$9</f>
        <v>0</v>
      </c>
      <c r="K11410" s="135" t="n">
        <f aca="false">$G11410*'Analyse capacite'!$E$9</f>
        <v>0</v>
      </c>
    </row>
    <row r="11411" customFormat="false" ht="15" hidden="false" customHeight="false" outlineLevel="0" collapsed="false">
      <c r="B11411" s="130" t="n">
        <v>2028</v>
      </c>
      <c r="C11411" s="131" t="s">
        <v>256</v>
      </c>
      <c r="D11411" s="132" t="n">
        <v>46794</v>
      </c>
      <c r="E11411" s="131" t="s">
        <v>59</v>
      </c>
      <c r="F11411" s="133" t="s">
        <v>11</v>
      </c>
      <c r="G11411" s="134" t="n">
        <f aca="false">LEN('Saisie programme'!$H$433)+SUMIFS('Vols additionnels'!$E$7:$E$66,'Vols additionnels'!$C$7:$C$66,$E11411,'Vols additionnels'!$D$7:$D$66,$F11411,'Vols additionnels'!$B$7:$B$66,$D11411)</f>
        <v>0</v>
      </c>
      <c r="H11411" s="135" t="n">
        <f aca="false">$G11411*'Analyse capacite'!$F$7</f>
        <v>0</v>
      </c>
      <c r="I11411" s="135" t="n">
        <f aca="false">$G11411*'Analyse capacite'!$C$7</f>
        <v>0</v>
      </c>
      <c r="J11411" s="135" t="n">
        <f aca="false">$G11411*'Analyse capacite'!$D$7</f>
        <v>0</v>
      </c>
      <c r="K11411" s="135" t="n">
        <f aca="false">$G11411*'Analyse capacite'!$E$7</f>
        <v>0</v>
      </c>
    </row>
    <row r="11412" customFormat="false" ht="15" hidden="false" customHeight="false" outlineLevel="0" collapsed="false">
      <c r="B11412" s="130" t="n">
        <v>2028</v>
      </c>
      <c r="C11412" s="131" t="s">
        <v>256</v>
      </c>
      <c r="D11412" s="132" t="n">
        <v>46794</v>
      </c>
      <c r="E11412" s="131" t="s">
        <v>59</v>
      </c>
      <c r="F11412" s="133" t="s">
        <v>19</v>
      </c>
      <c r="G11412" s="134" t="n">
        <f aca="false">LEN('Saisie programme'!$H$434)+SUMIFS('Vols additionnels'!$E$7:$E$66,'Vols additionnels'!$C$7:$C$66,$E11412,'Vols additionnels'!$D$7:$D$66,$F11412,'Vols additionnels'!$B$7:$B$66,$D11412)</f>
        <v>0</v>
      </c>
      <c r="H11412" s="135" t="n">
        <f aca="false">$G11412*'Analyse capacite'!$F$8</f>
        <v>0</v>
      </c>
      <c r="I11412" s="135" t="n">
        <f aca="false">$G11412*'Analyse capacite'!$C$8</f>
        <v>0</v>
      </c>
      <c r="J11412" s="135" t="n">
        <f aca="false">$G11412*'Analyse capacite'!$D$8</f>
        <v>0</v>
      </c>
      <c r="K11412" s="135" t="n">
        <f aca="false">$G11412*'Analyse capacite'!$E$8</f>
        <v>0</v>
      </c>
    </row>
    <row r="11413" customFormat="false" ht="15" hidden="false" customHeight="false" outlineLevel="0" collapsed="false">
      <c r="B11413" s="130" t="n">
        <v>2028</v>
      </c>
      <c r="C11413" s="131" t="s">
        <v>256</v>
      </c>
      <c r="D11413" s="132" t="n">
        <v>46794</v>
      </c>
      <c r="E11413" s="131" t="s">
        <v>59</v>
      </c>
      <c r="F11413" s="133" t="s">
        <v>24</v>
      </c>
      <c r="G11413" s="134" t="n">
        <f aca="false">LEN('Saisie programme'!$H$435)+SUMIFS('Vols additionnels'!$E$7:$E$66,'Vols additionnels'!$C$7:$C$66,$E11413,'Vols additionnels'!$D$7:$D$66,$F11413,'Vols additionnels'!$B$7:$B$66,$D11413)</f>
        <v>1</v>
      </c>
      <c r="H11413" s="135" t="n">
        <f aca="false">$G11413*'Analyse capacite'!$F$9</f>
        <v>174</v>
      </c>
      <c r="I11413" s="135" t="n">
        <f aca="false">$G11413*'Analyse capacite'!$C$9</f>
        <v>0</v>
      </c>
      <c r="J11413" s="135" t="n">
        <f aca="false">$G11413*'Analyse capacite'!$D$9</f>
        <v>12</v>
      </c>
      <c r="K11413" s="135" t="n">
        <f aca="false">$G11413*'Analyse capacite'!$E$9</f>
        <v>162</v>
      </c>
    </row>
    <row r="11414" customFormat="false" ht="15" hidden="false" customHeight="false" outlineLevel="0" collapsed="false">
      <c r="B11414" s="130" t="n">
        <v>2028</v>
      </c>
      <c r="C11414" s="131" t="s">
        <v>256</v>
      </c>
      <c r="D11414" s="132" t="n">
        <v>46794</v>
      </c>
      <c r="E11414" s="131" t="s">
        <v>62</v>
      </c>
      <c r="F11414" s="133" t="s">
        <v>11</v>
      </c>
      <c r="G11414" s="134" t="n">
        <f aca="false">LEN('Saisie programme'!$H$436)+SUMIFS('Vols additionnels'!$E$7:$E$66,'Vols additionnels'!$C$7:$C$66,$E11414,'Vols additionnels'!$D$7:$D$66,$F11414,'Vols additionnels'!$B$7:$B$66,$D11414)</f>
        <v>0</v>
      </c>
      <c r="H11414" s="135" t="n">
        <f aca="false">$G11414*'Analyse capacite'!$F$7</f>
        <v>0</v>
      </c>
      <c r="I11414" s="135" t="n">
        <f aca="false">$G11414*'Analyse capacite'!$C$7</f>
        <v>0</v>
      </c>
      <c r="J11414" s="135" t="n">
        <f aca="false">$G11414*'Analyse capacite'!$D$7</f>
        <v>0</v>
      </c>
      <c r="K11414" s="135" t="n">
        <f aca="false">$G11414*'Analyse capacite'!$E$7</f>
        <v>0</v>
      </c>
    </row>
    <row r="11415" customFormat="false" ht="15" hidden="false" customHeight="false" outlineLevel="0" collapsed="false">
      <c r="B11415" s="130" t="n">
        <v>2028</v>
      </c>
      <c r="C11415" s="131" t="s">
        <v>256</v>
      </c>
      <c r="D11415" s="132" t="n">
        <v>46794</v>
      </c>
      <c r="E11415" s="131" t="s">
        <v>62</v>
      </c>
      <c r="F11415" s="133" t="s">
        <v>19</v>
      </c>
      <c r="G11415" s="134" t="n">
        <f aca="false">LEN('Saisie programme'!$H$437)+SUMIFS('Vols additionnels'!$E$7:$E$66,'Vols additionnels'!$C$7:$C$66,$E11415,'Vols additionnels'!$D$7:$D$66,$F11415,'Vols additionnels'!$B$7:$B$66,$D11415)</f>
        <v>0</v>
      </c>
      <c r="H11415" s="135" t="n">
        <f aca="false">$G11415*'Analyse capacite'!$F$8</f>
        <v>0</v>
      </c>
      <c r="I11415" s="135" t="n">
        <f aca="false">$G11415*'Analyse capacite'!$C$8</f>
        <v>0</v>
      </c>
      <c r="J11415" s="135" t="n">
        <f aca="false">$G11415*'Analyse capacite'!$D$8</f>
        <v>0</v>
      </c>
      <c r="K11415" s="135" t="n">
        <f aca="false">$G11415*'Analyse capacite'!$E$8</f>
        <v>0</v>
      </c>
    </row>
    <row r="11416" customFormat="false" ht="15" hidden="false" customHeight="false" outlineLevel="0" collapsed="false">
      <c r="B11416" s="130" t="n">
        <v>2028</v>
      </c>
      <c r="C11416" s="131" t="s">
        <v>256</v>
      </c>
      <c r="D11416" s="132" t="n">
        <v>46794</v>
      </c>
      <c r="E11416" s="131" t="s">
        <v>62</v>
      </c>
      <c r="F11416" s="133" t="s">
        <v>24</v>
      </c>
      <c r="G11416" s="134" t="n">
        <f aca="false">LEN('Saisie programme'!$H$438)+SUMIFS('Vols additionnels'!$E$7:$E$66,'Vols additionnels'!$C$7:$C$66,$E11416,'Vols additionnels'!$D$7:$D$66,$F11416,'Vols additionnels'!$B$7:$B$66,$D11416)</f>
        <v>0</v>
      </c>
      <c r="H11416" s="135" t="n">
        <f aca="false">$G11416*'Analyse capacite'!$F$9</f>
        <v>0</v>
      </c>
      <c r="I11416" s="135" t="n">
        <f aca="false">$G11416*'Analyse capacite'!$C$9</f>
        <v>0</v>
      </c>
      <c r="J11416" s="135" t="n">
        <f aca="false">$G11416*'Analyse capacite'!$D$9</f>
        <v>0</v>
      </c>
      <c r="K11416" s="135" t="n">
        <f aca="false">$G11416*'Analyse capacite'!$E$9</f>
        <v>0</v>
      </c>
    </row>
    <row r="11417" customFormat="false" ht="15" hidden="false" customHeight="false" outlineLevel="0" collapsed="false">
      <c r="B11417" s="130" t="n">
        <v>2028</v>
      </c>
      <c r="C11417" s="131" t="s">
        <v>256</v>
      </c>
      <c r="D11417" s="132" t="n">
        <v>46795</v>
      </c>
      <c r="E11417" s="131" t="s">
        <v>12</v>
      </c>
      <c r="F11417" s="133" t="s">
        <v>11</v>
      </c>
      <c r="G11417" s="134" t="n">
        <f aca="false">LEN('Saisie programme'!$I$403)+SUMIFS('Vols additionnels'!$E$7:$E$66,'Vols additionnels'!$C$7:$C$66,$E11417,'Vols additionnels'!$D$7:$D$66,$F11417,'Vols additionnels'!$B$7:$B$66,$D11417)</f>
        <v>1</v>
      </c>
      <c r="H11417" s="135" t="n">
        <f aca="false">$G11417*'Analyse capacite'!$F$7</f>
        <v>438</v>
      </c>
      <c r="I11417" s="135" t="n">
        <f aca="false">$G11417*'Analyse capacite'!$C$7</f>
        <v>14</v>
      </c>
      <c r="J11417" s="135" t="n">
        <f aca="false">$G11417*'Analyse capacite'!$D$7</f>
        <v>40</v>
      </c>
      <c r="K11417" s="135" t="n">
        <f aca="false">$G11417*'Analyse capacite'!$E$7</f>
        <v>384</v>
      </c>
    </row>
    <row r="11418" customFormat="false" ht="15" hidden="false" customHeight="false" outlineLevel="0" collapsed="false">
      <c r="B11418" s="130" t="n">
        <v>2028</v>
      </c>
      <c r="C11418" s="131" t="s">
        <v>256</v>
      </c>
      <c r="D11418" s="132" t="n">
        <v>46795</v>
      </c>
      <c r="E11418" s="131" t="s">
        <v>12</v>
      </c>
      <c r="F11418" s="133" t="s">
        <v>19</v>
      </c>
      <c r="G11418" s="134" t="n">
        <f aca="false">LEN('Saisie programme'!$I$404)+SUMIFS('Vols additionnels'!$E$7:$E$66,'Vols additionnels'!$C$7:$C$66,$E11418,'Vols additionnels'!$D$7:$D$66,$F11418,'Vols additionnels'!$B$7:$B$66,$D11418)</f>
        <v>0</v>
      </c>
      <c r="H11418" s="135" t="n">
        <f aca="false">$G11418*'Analyse capacite'!$F$8</f>
        <v>0</v>
      </c>
      <c r="I11418" s="135" t="n">
        <f aca="false">$G11418*'Analyse capacite'!$C$8</f>
        <v>0</v>
      </c>
      <c r="J11418" s="135" t="n">
        <f aca="false">$G11418*'Analyse capacite'!$D$8</f>
        <v>0</v>
      </c>
      <c r="K11418" s="135" t="n">
        <f aca="false">$G11418*'Analyse capacite'!$E$8</f>
        <v>0</v>
      </c>
    </row>
    <row r="11419" customFormat="false" ht="15" hidden="false" customHeight="false" outlineLevel="0" collapsed="false">
      <c r="B11419" s="130" t="n">
        <v>2028</v>
      </c>
      <c r="C11419" s="131" t="s">
        <v>256</v>
      </c>
      <c r="D11419" s="132" t="n">
        <v>46795</v>
      </c>
      <c r="E11419" s="131" t="s">
        <v>12</v>
      </c>
      <c r="F11419" s="133" t="s">
        <v>24</v>
      </c>
      <c r="G11419" s="134" t="n">
        <f aca="false">LEN('Saisie programme'!$I$405)+SUMIFS('Vols additionnels'!$E$7:$E$66,'Vols additionnels'!$C$7:$C$66,$E11419,'Vols additionnels'!$D$7:$D$66,$F11419,'Vols additionnels'!$B$7:$B$66,$D11419)</f>
        <v>0</v>
      </c>
      <c r="H11419" s="135" t="n">
        <f aca="false">$G11419*'Analyse capacite'!$F$9</f>
        <v>0</v>
      </c>
      <c r="I11419" s="135" t="n">
        <f aca="false">$G11419*'Analyse capacite'!$C$9</f>
        <v>0</v>
      </c>
      <c r="J11419" s="135" t="n">
        <f aca="false">$G11419*'Analyse capacite'!$D$9</f>
        <v>0</v>
      </c>
      <c r="K11419" s="135" t="n">
        <f aca="false">$G11419*'Analyse capacite'!$E$9</f>
        <v>0</v>
      </c>
    </row>
    <row r="11420" customFormat="false" ht="15" hidden="false" customHeight="false" outlineLevel="0" collapsed="false">
      <c r="B11420" s="130" t="n">
        <v>2028</v>
      </c>
      <c r="C11420" s="131" t="s">
        <v>256</v>
      </c>
      <c r="D11420" s="132" t="n">
        <v>46795</v>
      </c>
      <c r="E11420" s="131" t="s">
        <v>20</v>
      </c>
      <c r="F11420" s="133" t="s">
        <v>11</v>
      </c>
      <c r="G11420" s="134" t="n">
        <f aca="false">LEN('Saisie programme'!$I$406)+SUMIFS('Vols additionnels'!$E$7:$E$66,'Vols additionnels'!$C$7:$C$66,$E11420,'Vols additionnels'!$D$7:$D$66,$F11420,'Vols additionnels'!$B$7:$B$66,$D11420)</f>
        <v>0</v>
      </c>
      <c r="H11420" s="135" t="n">
        <f aca="false">$G11420*'Analyse capacite'!$F$7</f>
        <v>0</v>
      </c>
      <c r="I11420" s="135" t="n">
        <f aca="false">$G11420*'Analyse capacite'!$C$7</f>
        <v>0</v>
      </c>
      <c r="J11420" s="135" t="n">
        <f aca="false">$G11420*'Analyse capacite'!$D$7</f>
        <v>0</v>
      </c>
      <c r="K11420" s="135" t="n">
        <f aca="false">$G11420*'Analyse capacite'!$E$7</f>
        <v>0</v>
      </c>
    </row>
    <row r="11421" customFormat="false" ht="15" hidden="false" customHeight="false" outlineLevel="0" collapsed="false">
      <c r="B11421" s="130" t="n">
        <v>2028</v>
      </c>
      <c r="C11421" s="131" t="s">
        <v>256</v>
      </c>
      <c r="D11421" s="132" t="n">
        <v>46795</v>
      </c>
      <c r="E11421" s="131" t="s">
        <v>20</v>
      </c>
      <c r="F11421" s="133" t="s">
        <v>19</v>
      </c>
      <c r="G11421" s="134" t="n">
        <f aca="false">LEN('Saisie programme'!$I$407)+SUMIFS('Vols additionnels'!$E$7:$E$66,'Vols additionnels'!$C$7:$C$66,$E11421,'Vols additionnels'!$D$7:$D$66,$F11421,'Vols additionnels'!$B$7:$B$66,$D11421)</f>
        <v>0</v>
      </c>
      <c r="H11421" s="135" t="n">
        <f aca="false">$G11421*'Analyse capacite'!$F$8</f>
        <v>0</v>
      </c>
      <c r="I11421" s="135" t="n">
        <f aca="false">$G11421*'Analyse capacite'!$C$8</f>
        <v>0</v>
      </c>
      <c r="J11421" s="135" t="n">
        <f aca="false">$G11421*'Analyse capacite'!$D$8</f>
        <v>0</v>
      </c>
      <c r="K11421" s="135" t="n">
        <f aca="false">$G11421*'Analyse capacite'!$E$8</f>
        <v>0</v>
      </c>
    </row>
    <row r="11422" customFormat="false" ht="15" hidden="false" customHeight="false" outlineLevel="0" collapsed="false">
      <c r="B11422" s="130" t="n">
        <v>2028</v>
      </c>
      <c r="C11422" s="131" t="s">
        <v>256</v>
      </c>
      <c r="D11422" s="132" t="n">
        <v>46795</v>
      </c>
      <c r="E11422" s="131" t="s">
        <v>20</v>
      </c>
      <c r="F11422" s="133" t="s">
        <v>24</v>
      </c>
      <c r="G11422" s="134" t="n">
        <f aca="false">LEN('Saisie programme'!$I$408)+SUMIFS('Vols additionnels'!$E$7:$E$66,'Vols additionnels'!$C$7:$C$66,$E11422,'Vols additionnels'!$D$7:$D$66,$F11422,'Vols additionnels'!$B$7:$B$66,$D11422)</f>
        <v>0</v>
      </c>
      <c r="H11422" s="135" t="n">
        <f aca="false">$G11422*'Analyse capacite'!$F$9</f>
        <v>0</v>
      </c>
      <c r="I11422" s="135" t="n">
        <f aca="false">$G11422*'Analyse capacite'!$C$9</f>
        <v>0</v>
      </c>
      <c r="J11422" s="135" t="n">
        <f aca="false">$G11422*'Analyse capacite'!$D$9</f>
        <v>0</v>
      </c>
      <c r="K11422" s="135" t="n">
        <f aca="false">$G11422*'Analyse capacite'!$E$9</f>
        <v>0</v>
      </c>
    </row>
    <row r="11423" customFormat="false" ht="15" hidden="false" customHeight="false" outlineLevel="0" collapsed="false">
      <c r="B11423" s="130" t="n">
        <v>2028</v>
      </c>
      <c r="C11423" s="131" t="s">
        <v>256</v>
      </c>
      <c r="D11423" s="132" t="n">
        <v>46795</v>
      </c>
      <c r="E11423" s="131" t="s">
        <v>25</v>
      </c>
      <c r="F11423" s="133" t="s">
        <v>11</v>
      </c>
      <c r="G11423" s="134" t="n">
        <f aca="false">LEN('Saisie programme'!$I$409)+SUMIFS('Vols additionnels'!$E$7:$E$66,'Vols additionnels'!$C$7:$C$66,$E11423,'Vols additionnels'!$D$7:$D$66,$F11423,'Vols additionnels'!$B$7:$B$66,$D11423)</f>
        <v>0</v>
      </c>
      <c r="H11423" s="135" t="n">
        <f aca="false">$G11423*'Analyse capacite'!$F$7</f>
        <v>0</v>
      </c>
      <c r="I11423" s="135" t="n">
        <f aca="false">$G11423*'Analyse capacite'!$C$7</f>
        <v>0</v>
      </c>
      <c r="J11423" s="135" t="n">
        <f aca="false">$G11423*'Analyse capacite'!$D$7</f>
        <v>0</v>
      </c>
      <c r="K11423" s="135" t="n">
        <f aca="false">$G11423*'Analyse capacite'!$E$7</f>
        <v>0</v>
      </c>
    </row>
    <row r="11424" customFormat="false" ht="15" hidden="false" customHeight="false" outlineLevel="0" collapsed="false">
      <c r="B11424" s="130" t="n">
        <v>2028</v>
      </c>
      <c r="C11424" s="131" t="s">
        <v>256</v>
      </c>
      <c r="D11424" s="132" t="n">
        <v>46795</v>
      </c>
      <c r="E11424" s="131" t="s">
        <v>25</v>
      </c>
      <c r="F11424" s="133" t="s">
        <v>19</v>
      </c>
      <c r="G11424" s="134" t="n">
        <f aca="false">LEN('Saisie programme'!$I$410)+SUMIFS('Vols additionnels'!$E$7:$E$66,'Vols additionnels'!$C$7:$C$66,$E11424,'Vols additionnels'!$D$7:$D$66,$F11424,'Vols additionnels'!$B$7:$B$66,$D11424)</f>
        <v>1</v>
      </c>
      <c r="H11424" s="135" t="n">
        <f aca="false">$G11424*'Analyse capacite'!$F$8</f>
        <v>262</v>
      </c>
      <c r="I11424" s="135" t="n">
        <f aca="false">$G11424*'Analyse capacite'!$C$8</f>
        <v>18</v>
      </c>
      <c r="J11424" s="135" t="n">
        <f aca="false">$G11424*'Analyse capacite'!$D$8</f>
        <v>0</v>
      </c>
      <c r="K11424" s="135" t="n">
        <f aca="false">$G11424*'Analyse capacite'!$E$8</f>
        <v>244</v>
      </c>
    </row>
    <row r="11425" customFormat="false" ht="15" hidden="false" customHeight="false" outlineLevel="0" collapsed="false">
      <c r="B11425" s="130" t="n">
        <v>2028</v>
      </c>
      <c r="C11425" s="131" t="s">
        <v>256</v>
      </c>
      <c r="D11425" s="132" t="n">
        <v>46795</v>
      </c>
      <c r="E11425" s="131" t="s">
        <v>25</v>
      </c>
      <c r="F11425" s="133" t="s">
        <v>24</v>
      </c>
      <c r="G11425" s="134" t="n">
        <f aca="false">LEN('Saisie programme'!$I$411)+SUMIFS('Vols additionnels'!$E$7:$E$66,'Vols additionnels'!$C$7:$C$66,$E11425,'Vols additionnels'!$D$7:$D$66,$F11425,'Vols additionnels'!$B$7:$B$66,$D11425)</f>
        <v>0</v>
      </c>
      <c r="H11425" s="135" t="n">
        <f aca="false">$G11425*'Analyse capacite'!$F$9</f>
        <v>0</v>
      </c>
      <c r="I11425" s="135" t="n">
        <f aca="false">$G11425*'Analyse capacite'!$C$9</f>
        <v>0</v>
      </c>
      <c r="J11425" s="135" t="n">
        <f aca="false">$G11425*'Analyse capacite'!$D$9</f>
        <v>0</v>
      </c>
      <c r="K11425" s="135" t="n">
        <f aca="false">$G11425*'Analyse capacite'!$E$9</f>
        <v>0</v>
      </c>
    </row>
    <row r="11426" customFormat="false" ht="15" hidden="false" customHeight="false" outlineLevel="0" collapsed="false">
      <c r="B11426" s="130" t="n">
        <v>2028</v>
      </c>
      <c r="C11426" s="131" t="s">
        <v>256</v>
      </c>
      <c r="D11426" s="132" t="n">
        <v>46795</v>
      </c>
      <c r="E11426" s="131" t="s">
        <v>36</v>
      </c>
      <c r="F11426" s="133" t="s">
        <v>11</v>
      </c>
      <c r="G11426" s="134" t="n">
        <f aca="false">LEN('Saisie programme'!$I$412)+SUMIFS('Vols additionnels'!$E$7:$E$66,'Vols additionnels'!$C$7:$C$66,$E11426,'Vols additionnels'!$D$7:$D$66,$F11426,'Vols additionnels'!$B$7:$B$66,$D11426)</f>
        <v>0</v>
      </c>
      <c r="H11426" s="135" t="n">
        <f aca="false">$G11426*'Analyse capacite'!$F$7</f>
        <v>0</v>
      </c>
      <c r="I11426" s="135" t="n">
        <f aca="false">$G11426*'Analyse capacite'!$C$7</f>
        <v>0</v>
      </c>
      <c r="J11426" s="135" t="n">
        <f aca="false">$G11426*'Analyse capacite'!$D$7</f>
        <v>0</v>
      </c>
      <c r="K11426" s="135" t="n">
        <f aca="false">$G11426*'Analyse capacite'!$E$7</f>
        <v>0</v>
      </c>
    </row>
    <row r="11427" customFormat="false" ht="15" hidden="false" customHeight="false" outlineLevel="0" collapsed="false">
      <c r="B11427" s="130" t="n">
        <v>2028</v>
      </c>
      <c r="C11427" s="131" t="s">
        <v>256</v>
      </c>
      <c r="D11427" s="132" t="n">
        <v>46795</v>
      </c>
      <c r="E11427" s="131" t="s">
        <v>36</v>
      </c>
      <c r="F11427" s="133" t="s">
        <v>19</v>
      </c>
      <c r="G11427" s="134" t="n">
        <f aca="false">LEN('Saisie programme'!$I$413)+SUMIFS('Vols additionnels'!$E$7:$E$66,'Vols additionnels'!$C$7:$C$66,$E11427,'Vols additionnels'!$D$7:$D$66,$F11427,'Vols additionnels'!$B$7:$B$66,$D11427)</f>
        <v>0</v>
      </c>
      <c r="H11427" s="135" t="n">
        <f aca="false">$G11427*'Analyse capacite'!$F$8</f>
        <v>0</v>
      </c>
      <c r="I11427" s="135" t="n">
        <f aca="false">$G11427*'Analyse capacite'!$C$8</f>
        <v>0</v>
      </c>
      <c r="J11427" s="135" t="n">
        <f aca="false">$G11427*'Analyse capacite'!$D$8</f>
        <v>0</v>
      </c>
      <c r="K11427" s="135" t="n">
        <f aca="false">$G11427*'Analyse capacite'!$E$8</f>
        <v>0</v>
      </c>
    </row>
    <row r="11428" customFormat="false" ht="15" hidden="false" customHeight="false" outlineLevel="0" collapsed="false">
      <c r="B11428" s="130" t="n">
        <v>2028</v>
      </c>
      <c r="C11428" s="131" t="s">
        <v>256</v>
      </c>
      <c r="D11428" s="132" t="n">
        <v>46795</v>
      </c>
      <c r="E11428" s="131" t="s">
        <v>36</v>
      </c>
      <c r="F11428" s="133" t="s">
        <v>24</v>
      </c>
      <c r="G11428" s="134" t="n">
        <f aca="false">LEN('Saisie programme'!$I$414)+SUMIFS('Vols additionnels'!$E$7:$E$66,'Vols additionnels'!$C$7:$C$66,$E11428,'Vols additionnels'!$D$7:$D$66,$F11428,'Vols additionnels'!$B$7:$B$66,$D11428)</f>
        <v>0</v>
      </c>
      <c r="H11428" s="135" t="n">
        <f aca="false">$G11428*'Analyse capacite'!$F$9</f>
        <v>0</v>
      </c>
      <c r="I11428" s="135" t="n">
        <f aca="false">$G11428*'Analyse capacite'!$C$9</f>
        <v>0</v>
      </c>
      <c r="J11428" s="135" t="n">
        <f aca="false">$G11428*'Analyse capacite'!$D$9</f>
        <v>0</v>
      </c>
      <c r="K11428" s="135" t="n">
        <f aca="false">$G11428*'Analyse capacite'!$E$9</f>
        <v>0</v>
      </c>
    </row>
    <row r="11429" customFormat="false" ht="15" hidden="false" customHeight="false" outlineLevel="0" collapsed="false">
      <c r="B11429" s="130" t="n">
        <v>2028</v>
      </c>
      <c r="C11429" s="131" t="s">
        <v>256</v>
      </c>
      <c r="D11429" s="132" t="n">
        <v>46795</v>
      </c>
      <c r="E11429" s="131" t="s">
        <v>40</v>
      </c>
      <c r="F11429" s="133" t="s">
        <v>11</v>
      </c>
      <c r="G11429" s="134" t="n">
        <f aca="false">LEN('Saisie programme'!$I$415)+SUMIFS('Vols additionnels'!$E$7:$E$66,'Vols additionnels'!$C$7:$C$66,$E11429,'Vols additionnels'!$D$7:$D$66,$F11429,'Vols additionnels'!$B$7:$B$66,$D11429)</f>
        <v>0</v>
      </c>
      <c r="H11429" s="135" t="n">
        <f aca="false">$G11429*'Analyse capacite'!$F$7</f>
        <v>0</v>
      </c>
      <c r="I11429" s="135" t="n">
        <f aca="false">$G11429*'Analyse capacite'!$C$7</f>
        <v>0</v>
      </c>
      <c r="J11429" s="135" t="n">
        <f aca="false">$G11429*'Analyse capacite'!$D$7</f>
        <v>0</v>
      </c>
      <c r="K11429" s="135" t="n">
        <f aca="false">$G11429*'Analyse capacite'!$E$7</f>
        <v>0</v>
      </c>
    </row>
    <row r="11430" customFormat="false" ht="15" hidden="false" customHeight="false" outlineLevel="0" collapsed="false">
      <c r="B11430" s="130" t="n">
        <v>2028</v>
      </c>
      <c r="C11430" s="131" t="s">
        <v>256</v>
      </c>
      <c r="D11430" s="132" t="n">
        <v>46795</v>
      </c>
      <c r="E11430" s="131" t="s">
        <v>40</v>
      </c>
      <c r="F11430" s="133" t="s">
        <v>19</v>
      </c>
      <c r="G11430" s="134" t="n">
        <f aca="false">LEN('Saisie programme'!$I$416)+SUMIFS('Vols additionnels'!$E$7:$E$66,'Vols additionnels'!$C$7:$C$66,$E11430,'Vols additionnels'!$D$7:$D$66,$F11430,'Vols additionnels'!$B$7:$B$66,$D11430)</f>
        <v>0</v>
      </c>
      <c r="H11430" s="135" t="n">
        <f aca="false">$G11430*'Analyse capacite'!$F$8</f>
        <v>0</v>
      </c>
      <c r="I11430" s="135" t="n">
        <f aca="false">$G11430*'Analyse capacite'!$C$8</f>
        <v>0</v>
      </c>
      <c r="J11430" s="135" t="n">
        <f aca="false">$G11430*'Analyse capacite'!$D$8</f>
        <v>0</v>
      </c>
      <c r="K11430" s="135" t="n">
        <f aca="false">$G11430*'Analyse capacite'!$E$8</f>
        <v>0</v>
      </c>
    </row>
    <row r="11431" customFormat="false" ht="15" hidden="false" customHeight="false" outlineLevel="0" collapsed="false">
      <c r="B11431" s="130" t="n">
        <v>2028</v>
      </c>
      <c r="C11431" s="131" t="s">
        <v>256</v>
      </c>
      <c r="D11431" s="132" t="n">
        <v>46795</v>
      </c>
      <c r="E11431" s="131" t="s">
        <v>40</v>
      </c>
      <c r="F11431" s="133" t="s">
        <v>24</v>
      </c>
      <c r="G11431" s="134" t="n">
        <f aca="false">LEN('Saisie programme'!$I$417)+SUMIFS('Vols additionnels'!$E$7:$E$66,'Vols additionnels'!$C$7:$C$66,$E11431,'Vols additionnels'!$D$7:$D$66,$F11431,'Vols additionnels'!$B$7:$B$66,$D11431)</f>
        <v>0</v>
      </c>
      <c r="H11431" s="135" t="n">
        <f aca="false">$G11431*'Analyse capacite'!$F$9</f>
        <v>0</v>
      </c>
      <c r="I11431" s="135" t="n">
        <f aca="false">$G11431*'Analyse capacite'!$C$9</f>
        <v>0</v>
      </c>
      <c r="J11431" s="135" t="n">
        <f aca="false">$G11431*'Analyse capacite'!$D$9</f>
        <v>0</v>
      </c>
      <c r="K11431" s="135" t="n">
        <f aca="false">$G11431*'Analyse capacite'!$E$9</f>
        <v>0</v>
      </c>
    </row>
    <row r="11432" customFormat="false" ht="15" hidden="false" customHeight="false" outlineLevel="0" collapsed="false">
      <c r="B11432" s="130" t="n">
        <v>2028</v>
      </c>
      <c r="C11432" s="131" t="s">
        <v>256</v>
      </c>
      <c r="D11432" s="132" t="n">
        <v>46795</v>
      </c>
      <c r="E11432" s="131" t="s">
        <v>14</v>
      </c>
      <c r="F11432" s="133" t="s">
        <v>11</v>
      </c>
      <c r="G11432" s="134" t="n">
        <f aca="false">LEN('Saisie programme'!$I$418)+SUMIFS('Vols additionnels'!$E$7:$E$66,'Vols additionnels'!$C$7:$C$66,$E11432,'Vols additionnels'!$D$7:$D$66,$F11432,'Vols additionnels'!$B$7:$B$66,$D11432)</f>
        <v>0</v>
      </c>
      <c r="H11432" s="135" t="n">
        <f aca="false">$G11432*'Analyse capacite'!$F$7</f>
        <v>0</v>
      </c>
      <c r="I11432" s="135" t="n">
        <f aca="false">$G11432*'Analyse capacite'!$C$7</f>
        <v>0</v>
      </c>
      <c r="J11432" s="135" t="n">
        <f aca="false">$G11432*'Analyse capacite'!$D$7</f>
        <v>0</v>
      </c>
      <c r="K11432" s="135" t="n">
        <f aca="false">$G11432*'Analyse capacite'!$E$7</f>
        <v>0</v>
      </c>
    </row>
    <row r="11433" customFormat="false" ht="15" hidden="false" customHeight="false" outlineLevel="0" collapsed="false">
      <c r="B11433" s="130" t="n">
        <v>2028</v>
      </c>
      <c r="C11433" s="131" t="s">
        <v>256</v>
      </c>
      <c r="D11433" s="132" t="n">
        <v>46795</v>
      </c>
      <c r="E11433" s="131" t="s">
        <v>14</v>
      </c>
      <c r="F11433" s="133" t="s">
        <v>19</v>
      </c>
      <c r="G11433" s="134" t="n">
        <f aca="false">LEN('Saisie programme'!$I$419)+SUMIFS('Vols additionnels'!$E$7:$E$66,'Vols additionnels'!$C$7:$C$66,$E11433,'Vols additionnels'!$D$7:$D$66,$F11433,'Vols additionnels'!$B$7:$B$66,$D11433)</f>
        <v>0</v>
      </c>
      <c r="H11433" s="135" t="n">
        <f aca="false">$G11433*'Analyse capacite'!$F$8</f>
        <v>0</v>
      </c>
      <c r="I11433" s="135" t="n">
        <f aca="false">$G11433*'Analyse capacite'!$C$8</f>
        <v>0</v>
      </c>
      <c r="J11433" s="135" t="n">
        <f aca="false">$G11433*'Analyse capacite'!$D$8</f>
        <v>0</v>
      </c>
      <c r="K11433" s="135" t="n">
        <f aca="false">$G11433*'Analyse capacite'!$E$8</f>
        <v>0</v>
      </c>
    </row>
    <row r="11434" customFormat="false" ht="15" hidden="false" customHeight="false" outlineLevel="0" collapsed="false">
      <c r="B11434" s="130" t="n">
        <v>2028</v>
      </c>
      <c r="C11434" s="131" t="s">
        <v>256</v>
      </c>
      <c r="D11434" s="132" t="n">
        <v>46795</v>
      </c>
      <c r="E11434" s="131" t="s">
        <v>14</v>
      </c>
      <c r="F11434" s="133" t="s">
        <v>24</v>
      </c>
      <c r="G11434" s="134" t="n">
        <f aca="false">LEN('Saisie programme'!$I$420)+SUMIFS('Vols additionnels'!$E$7:$E$66,'Vols additionnels'!$C$7:$C$66,$E11434,'Vols additionnels'!$D$7:$D$66,$F11434,'Vols additionnels'!$B$7:$B$66,$D11434)</f>
        <v>1</v>
      </c>
      <c r="H11434" s="135" t="n">
        <f aca="false">$G11434*'Analyse capacite'!$F$9</f>
        <v>174</v>
      </c>
      <c r="I11434" s="135" t="n">
        <f aca="false">$G11434*'Analyse capacite'!$C$9</f>
        <v>0</v>
      </c>
      <c r="J11434" s="135" t="n">
        <f aca="false">$G11434*'Analyse capacite'!$D$9</f>
        <v>12</v>
      </c>
      <c r="K11434" s="135" t="n">
        <f aca="false">$G11434*'Analyse capacite'!$E$9</f>
        <v>162</v>
      </c>
    </row>
    <row r="11435" customFormat="false" ht="15" hidden="false" customHeight="false" outlineLevel="0" collapsed="false">
      <c r="B11435" s="130" t="n">
        <v>2028</v>
      </c>
      <c r="C11435" s="131" t="s">
        <v>256</v>
      </c>
      <c r="D11435" s="132" t="n">
        <v>46795</v>
      </c>
      <c r="E11435" s="131" t="s">
        <v>46</v>
      </c>
      <c r="F11435" s="133" t="s">
        <v>11</v>
      </c>
      <c r="G11435" s="134" t="n">
        <f aca="false">LEN('Saisie programme'!$I$421)+SUMIFS('Vols additionnels'!$E$7:$E$66,'Vols additionnels'!$C$7:$C$66,$E11435,'Vols additionnels'!$D$7:$D$66,$F11435,'Vols additionnels'!$B$7:$B$66,$D11435)</f>
        <v>0</v>
      </c>
      <c r="H11435" s="135" t="n">
        <f aca="false">$G11435*'Analyse capacite'!$F$7</f>
        <v>0</v>
      </c>
      <c r="I11435" s="135" t="n">
        <f aca="false">$G11435*'Analyse capacite'!$C$7</f>
        <v>0</v>
      </c>
      <c r="J11435" s="135" t="n">
        <f aca="false">$G11435*'Analyse capacite'!$D$7</f>
        <v>0</v>
      </c>
      <c r="K11435" s="135" t="n">
        <f aca="false">$G11435*'Analyse capacite'!$E$7</f>
        <v>0</v>
      </c>
    </row>
    <row r="11436" customFormat="false" ht="15" hidden="false" customHeight="false" outlineLevel="0" collapsed="false">
      <c r="B11436" s="130" t="n">
        <v>2028</v>
      </c>
      <c r="C11436" s="131" t="s">
        <v>256</v>
      </c>
      <c r="D11436" s="132" t="n">
        <v>46795</v>
      </c>
      <c r="E11436" s="131" t="s">
        <v>46</v>
      </c>
      <c r="F11436" s="133" t="s">
        <v>19</v>
      </c>
      <c r="G11436" s="134" t="n">
        <f aca="false">LEN('Saisie programme'!$I$422)+SUMIFS('Vols additionnels'!$E$7:$E$66,'Vols additionnels'!$C$7:$C$66,$E11436,'Vols additionnels'!$D$7:$D$66,$F11436,'Vols additionnels'!$B$7:$B$66,$D11436)</f>
        <v>0</v>
      </c>
      <c r="H11436" s="135" t="n">
        <f aca="false">$G11436*'Analyse capacite'!$F$8</f>
        <v>0</v>
      </c>
      <c r="I11436" s="135" t="n">
        <f aca="false">$G11436*'Analyse capacite'!$C$8</f>
        <v>0</v>
      </c>
      <c r="J11436" s="135" t="n">
        <f aca="false">$G11436*'Analyse capacite'!$D$8</f>
        <v>0</v>
      </c>
      <c r="K11436" s="135" t="n">
        <f aca="false">$G11436*'Analyse capacite'!$E$8</f>
        <v>0</v>
      </c>
    </row>
    <row r="11437" customFormat="false" ht="15" hidden="false" customHeight="false" outlineLevel="0" collapsed="false">
      <c r="B11437" s="130" t="n">
        <v>2028</v>
      </c>
      <c r="C11437" s="131" t="s">
        <v>256</v>
      </c>
      <c r="D11437" s="132" t="n">
        <v>46795</v>
      </c>
      <c r="E11437" s="131" t="s">
        <v>46</v>
      </c>
      <c r="F11437" s="133" t="s">
        <v>24</v>
      </c>
      <c r="G11437" s="134" t="n">
        <f aca="false">LEN('Saisie programme'!$I$423)+SUMIFS('Vols additionnels'!$E$7:$E$66,'Vols additionnels'!$C$7:$C$66,$E11437,'Vols additionnels'!$D$7:$D$66,$F11437,'Vols additionnels'!$B$7:$B$66,$D11437)</f>
        <v>1</v>
      </c>
      <c r="H11437" s="135" t="n">
        <f aca="false">$G11437*'Analyse capacite'!$F$9</f>
        <v>174</v>
      </c>
      <c r="I11437" s="135" t="n">
        <f aca="false">$G11437*'Analyse capacite'!$C$9</f>
        <v>0</v>
      </c>
      <c r="J11437" s="135" t="n">
        <f aca="false">$G11437*'Analyse capacite'!$D$9</f>
        <v>12</v>
      </c>
      <c r="K11437" s="135" t="n">
        <f aca="false">$G11437*'Analyse capacite'!$E$9</f>
        <v>162</v>
      </c>
    </row>
    <row r="11438" customFormat="false" ht="15" hidden="false" customHeight="false" outlineLevel="0" collapsed="false">
      <c r="B11438" s="130" t="n">
        <v>2028</v>
      </c>
      <c r="C11438" s="131" t="s">
        <v>256</v>
      </c>
      <c r="D11438" s="132" t="n">
        <v>46795</v>
      </c>
      <c r="E11438" s="131" t="s">
        <v>49</v>
      </c>
      <c r="F11438" s="133" t="s">
        <v>11</v>
      </c>
      <c r="G11438" s="134" t="n">
        <f aca="false">LEN('Saisie programme'!$I$424)+SUMIFS('Vols additionnels'!$E$7:$E$66,'Vols additionnels'!$C$7:$C$66,$E11438,'Vols additionnels'!$D$7:$D$66,$F11438,'Vols additionnels'!$B$7:$B$66,$D11438)</f>
        <v>0</v>
      </c>
      <c r="H11438" s="135" t="n">
        <f aca="false">$G11438*'Analyse capacite'!$F$7</f>
        <v>0</v>
      </c>
      <c r="I11438" s="135" t="n">
        <f aca="false">$G11438*'Analyse capacite'!$C$7</f>
        <v>0</v>
      </c>
      <c r="J11438" s="135" t="n">
        <f aca="false">$G11438*'Analyse capacite'!$D$7</f>
        <v>0</v>
      </c>
      <c r="K11438" s="135" t="n">
        <f aca="false">$G11438*'Analyse capacite'!$E$7</f>
        <v>0</v>
      </c>
    </row>
    <row r="11439" customFormat="false" ht="15" hidden="false" customHeight="false" outlineLevel="0" collapsed="false">
      <c r="B11439" s="130" t="n">
        <v>2028</v>
      </c>
      <c r="C11439" s="131" t="s">
        <v>256</v>
      </c>
      <c r="D11439" s="132" t="n">
        <v>46795</v>
      </c>
      <c r="E11439" s="131" t="s">
        <v>49</v>
      </c>
      <c r="F11439" s="133" t="s">
        <v>19</v>
      </c>
      <c r="G11439" s="134" t="n">
        <f aca="false">LEN('Saisie programme'!$I$425)+SUMIFS('Vols additionnels'!$E$7:$E$66,'Vols additionnels'!$C$7:$C$66,$E11439,'Vols additionnels'!$D$7:$D$66,$F11439,'Vols additionnels'!$B$7:$B$66,$D11439)</f>
        <v>0</v>
      </c>
      <c r="H11439" s="135" t="n">
        <f aca="false">$G11439*'Analyse capacite'!$F$8</f>
        <v>0</v>
      </c>
      <c r="I11439" s="135" t="n">
        <f aca="false">$G11439*'Analyse capacite'!$C$8</f>
        <v>0</v>
      </c>
      <c r="J11439" s="135" t="n">
        <f aca="false">$G11439*'Analyse capacite'!$D$8</f>
        <v>0</v>
      </c>
      <c r="K11439" s="135" t="n">
        <f aca="false">$G11439*'Analyse capacite'!$E$8</f>
        <v>0</v>
      </c>
    </row>
    <row r="11440" customFormat="false" ht="15" hidden="false" customHeight="false" outlineLevel="0" collapsed="false">
      <c r="B11440" s="130" t="n">
        <v>2028</v>
      </c>
      <c r="C11440" s="131" t="s">
        <v>256</v>
      </c>
      <c r="D11440" s="132" t="n">
        <v>46795</v>
      </c>
      <c r="E11440" s="131" t="s">
        <v>49</v>
      </c>
      <c r="F11440" s="133" t="s">
        <v>24</v>
      </c>
      <c r="G11440" s="134" t="n">
        <f aca="false">LEN('Saisie programme'!$I$426)+SUMIFS('Vols additionnels'!$E$7:$E$66,'Vols additionnels'!$C$7:$C$66,$E11440,'Vols additionnels'!$D$7:$D$66,$F11440,'Vols additionnels'!$B$7:$B$66,$D11440)</f>
        <v>0</v>
      </c>
      <c r="H11440" s="135" t="n">
        <f aca="false">$G11440*'Analyse capacite'!$F$9</f>
        <v>0</v>
      </c>
      <c r="I11440" s="135" t="n">
        <f aca="false">$G11440*'Analyse capacite'!$C$9</f>
        <v>0</v>
      </c>
      <c r="J11440" s="135" t="n">
        <f aca="false">$G11440*'Analyse capacite'!$D$9</f>
        <v>0</v>
      </c>
      <c r="K11440" s="135" t="n">
        <f aca="false">$G11440*'Analyse capacite'!$E$9</f>
        <v>0</v>
      </c>
    </row>
    <row r="11441" customFormat="false" ht="15" hidden="false" customHeight="false" outlineLevel="0" collapsed="false">
      <c r="B11441" s="130" t="n">
        <v>2028</v>
      </c>
      <c r="C11441" s="131" t="s">
        <v>256</v>
      </c>
      <c r="D11441" s="132" t="n">
        <v>46795</v>
      </c>
      <c r="E11441" s="131" t="s">
        <v>53</v>
      </c>
      <c r="F11441" s="133" t="s">
        <v>11</v>
      </c>
      <c r="G11441" s="134" t="n">
        <f aca="false">LEN('Saisie programme'!$I$427)+SUMIFS('Vols additionnels'!$E$7:$E$66,'Vols additionnels'!$C$7:$C$66,$E11441,'Vols additionnels'!$D$7:$D$66,$F11441,'Vols additionnels'!$B$7:$B$66,$D11441)</f>
        <v>0</v>
      </c>
      <c r="H11441" s="135" t="n">
        <f aca="false">$G11441*'Analyse capacite'!$F$7</f>
        <v>0</v>
      </c>
      <c r="I11441" s="135" t="n">
        <f aca="false">$G11441*'Analyse capacite'!$C$7</f>
        <v>0</v>
      </c>
      <c r="J11441" s="135" t="n">
        <f aca="false">$G11441*'Analyse capacite'!$D$7</f>
        <v>0</v>
      </c>
      <c r="K11441" s="135" t="n">
        <f aca="false">$G11441*'Analyse capacite'!$E$7</f>
        <v>0</v>
      </c>
    </row>
    <row r="11442" customFormat="false" ht="15" hidden="false" customHeight="false" outlineLevel="0" collapsed="false">
      <c r="B11442" s="130" t="n">
        <v>2028</v>
      </c>
      <c r="C11442" s="131" t="s">
        <v>256</v>
      </c>
      <c r="D11442" s="132" t="n">
        <v>46795</v>
      </c>
      <c r="E11442" s="131" t="s">
        <v>53</v>
      </c>
      <c r="F11442" s="133" t="s">
        <v>19</v>
      </c>
      <c r="G11442" s="134" t="n">
        <f aca="false">LEN('Saisie programme'!$I$428)+SUMIFS('Vols additionnels'!$E$7:$E$66,'Vols additionnels'!$C$7:$C$66,$E11442,'Vols additionnels'!$D$7:$D$66,$F11442,'Vols additionnels'!$B$7:$B$66,$D11442)</f>
        <v>0</v>
      </c>
      <c r="H11442" s="135" t="n">
        <f aca="false">$G11442*'Analyse capacite'!$F$8</f>
        <v>0</v>
      </c>
      <c r="I11442" s="135" t="n">
        <f aca="false">$G11442*'Analyse capacite'!$C$8</f>
        <v>0</v>
      </c>
      <c r="J11442" s="135" t="n">
        <f aca="false">$G11442*'Analyse capacite'!$D$8</f>
        <v>0</v>
      </c>
      <c r="K11442" s="135" t="n">
        <f aca="false">$G11442*'Analyse capacite'!$E$8</f>
        <v>0</v>
      </c>
    </row>
    <row r="11443" customFormat="false" ht="15" hidden="false" customHeight="false" outlineLevel="0" collapsed="false">
      <c r="B11443" s="130" t="n">
        <v>2028</v>
      </c>
      <c r="C11443" s="131" t="s">
        <v>256</v>
      </c>
      <c r="D11443" s="132" t="n">
        <v>46795</v>
      </c>
      <c r="E11443" s="131" t="s">
        <v>53</v>
      </c>
      <c r="F11443" s="133" t="s">
        <v>24</v>
      </c>
      <c r="G11443" s="134" t="n">
        <f aca="false">LEN('Saisie programme'!$I$429)+SUMIFS('Vols additionnels'!$E$7:$E$66,'Vols additionnels'!$C$7:$C$66,$E11443,'Vols additionnels'!$D$7:$D$66,$F11443,'Vols additionnels'!$B$7:$B$66,$D11443)</f>
        <v>0</v>
      </c>
      <c r="H11443" s="135" t="n">
        <f aca="false">$G11443*'Analyse capacite'!$F$9</f>
        <v>0</v>
      </c>
      <c r="I11443" s="135" t="n">
        <f aca="false">$G11443*'Analyse capacite'!$C$9</f>
        <v>0</v>
      </c>
      <c r="J11443" s="135" t="n">
        <f aca="false">$G11443*'Analyse capacite'!$D$9</f>
        <v>0</v>
      </c>
      <c r="K11443" s="135" t="n">
        <f aca="false">$G11443*'Analyse capacite'!$E$9</f>
        <v>0</v>
      </c>
    </row>
    <row r="11444" customFormat="false" ht="15" hidden="false" customHeight="false" outlineLevel="0" collapsed="false">
      <c r="B11444" s="130" t="n">
        <v>2028</v>
      </c>
      <c r="C11444" s="131" t="s">
        <v>256</v>
      </c>
      <c r="D11444" s="132" t="n">
        <v>46795</v>
      </c>
      <c r="E11444" s="131" t="s">
        <v>56</v>
      </c>
      <c r="F11444" s="133" t="s">
        <v>11</v>
      </c>
      <c r="G11444" s="134" t="n">
        <f aca="false">LEN('Saisie programme'!$I$430)+SUMIFS('Vols additionnels'!$E$7:$E$66,'Vols additionnels'!$C$7:$C$66,$E11444,'Vols additionnels'!$D$7:$D$66,$F11444,'Vols additionnels'!$B$7:$B$66,$D11444)</f>
        <v>0</v>
      </c>
      <c r="H11444" s="135" t="n">
        <f aca="false">$G11444*'Analyse capacite'!$F$7</f>
        <v>0</v>
      </c>
      <c r="I11444" s="135" t="n">
        <f aca="false">$G11444*'Analyse capacite'!$C$7</f>
        <v>0</v>
      </c>
      <c r="J11444" s="135" t="n">
        <f aca="false">$G11444*'Analyse capacite'!$D$7</f>
        <v>0</v>
      </c>
      <c r="K11444" s="135" t="n">
        <f aca="false">$G11444*'Analyse capacite'!$E$7</f>
        <v>0</v>
      </c>
    </row>
    <row r="11445" customFormat="false" ht="15" hidden="false" customHeight="false" outlineLevel="0" collapsed="false">
      <c r="B11445" s="130" t="n">
        <v>2028</v>
      </c>
      <c r="C11445" s="131" t="s">
        <v>256</v>
      </c>
      <c r="D11445" s="132" t="n">
        <v>46795</v>
      </c>
      <c r="E11445" s="131" t="s">
        <v>56</v>
      </c>
      <c r="F11445" s="133" t="s">
        <v>19</v>
      </c>
      <c r="G11445" s="134" t="n">
        <f aca="false">LEN('Saisie programme'!$I$431)+SUMIFS('Vols additionnels'!$E$7:$E$66,'Vols additionnels'!$C$7:$C$66,$E11445,'Vols additionnels'!$D$7:$D$66,$F11445,'Vols additionnels'!$B$7:$B$66,$D11445)</f>
        <v>0</v>
      </c>
      <c r="H11445" s="135" t="n">
        <f aca="false">$G11445*'Analyse capacite'!$F$8</f>
        <v>0</v>
      </c>
      <c r="I11445" s="135" t="n">
        <f aca="false">$G11445*'Analyse capacite'!$C$8</f>
        <v>0</v>
      </c>
      <c r="J11445" s="135" t="n">
        <f aca="false">$G11445*'Analyse capacite'!$D$8</f>
        <v>0</v>
      </c>
      <c r="K11445" s="135" t="n">
        <f aca="false">$G11445*'Analyse capacite'!$E$8</f>
        <v>0</v>
      </c>
    </row>
    <row r="11446" customFormat="false" ht="15" hidden="false" customHeight="false" outlineLevel="0" collapsed="false">
      <c r="B11446" s="130" t="n">
        <v>2028</v>
      </c>
      <c r="C11446" s="131" t="s">
        <v>256</v>
      </c>
      <c r="D11446" s="132" t="n">
        <v>46795</v>
      </c>
      <c r="E11446" s="131" t="s">
        <v>56</v>
      </c>
      <c r="F11446" s="133" t="s">
        <v>24</v>
      </c>
      <c r="G11446" s="134" t="n">
        <f aca="false">LEN('Saisie programme'!$I$432)+SUMIFS('Vols additionnels'!$E$7:$E$66,'Vols additionnels'!$C$7:$C$66,$E11446,'Vols additionnels'!$D$7:$D$66,$F11446,'Vols additionnels'!$B$7:$B$66,$D11446)</f>
        <v>1</v>
      </c>
      <c r="H11446" s="135" t="n">
        <f aca="false">$G11446*'Analyse capacite'!$F$9</f>
        <v>174</v>
      </c>
      <c r="I11446" s="135" t="n">
        <f aca="false">$G11446*'Analyse capacite'!$C$9</f>
        <v>0</v>
      </c>
      <c r="J11446" s="135" t="n">
        <f aca="false">$G11446*'Analyse capacite'!$D$9</f>
        <v>12</v>
      </c>
      <c r="K11446" s="135" t="n">
        <f aca="false">$G11446*'Analyse capacite'!$E$9</f>
        <v>162</v>
      </c>
    </row>
    <row r="11447" customFormat="false" ht="15" hidden="false" customHeight="false" outlineLevel="0" collapsed="false">
      <c r="B11447" s="130" t="n">
        <v>2028</v>
      </c>
      <c r="C11447" s="131" t="s">
        <v>256</v>
      </c>
      <c r="D11447" s="132" t="n">
        <v>46795</v>
      </c>
      <c r="E11447" s="131" t="s">
        <v>59</v>
      </c>
      <c r="F11447" s="133" t="s">
        <v>11</v>
      </c>
      <c r="G11447" s="134" t="n">
        <f aca="false">LEN('Saisie programme'!$I$433)+SUMIFS('Vols additionnels'!$E$7:$E$66,'Vols additionnels'!$C$7:$C$66,$E11447,'Vols additionnels'!$D$7:$D$66,$F11447,'Vols additionnels'!$B$7:$B$66,$D11447)</f>
        <v>0</v>
      </c>
      <c r="H11447" s="135" t="n">
        <f aca="false">$G11447*'Analyse capacite'!$F$7</f>
        <v>0</v>
      </c>
      <c r="I11447" s="135" t="n">
        <f aca="false">$G11447*'Analyse capacite'!$C$7</f>
        <v>0</v>
      </c>
      <c r="J11447" s="135" t="n">
        <f aca="false">$G11447*'Analyse capacite'!$D$7</f>
        <v>0</v>
      </c>
      <c r="K11447" s="135" t="n">
        <f aca="false">$G11447*'Analyse capacite'!$E$7</f>
        <v>0</v>
      </c>
    </row>
    <row r="11448" customFormat="false" ht="15" hidden="false" customHeight="false" outlineLevel="0" collapsed="false">
      <c r="B11448" s="130" t="n">
        <v>2028</v>
      </c>
      <c r="C11448" s="131" t="s">
        <v>256</v>
      </c>
      <c r="D11448" s="132" t="n">
        <v>46795</v>
      </c>
      <c r="E11448" s="131" t="s">
        <v>59</v>
      </c>
      <c r="F11448" s="133" t="s">
        <v>19</v>
      </c>
      <c r="G11448" s="134" t="n">
        <f aca="false">LEN('Saisie programme'!$I$434)+SUMIFS('Vols additionnels'!$E$7:$E$66,'Vols additionnels'!$C$7:$C$66,$E11448,'Vols additionnels'!$D$7:$D$66,$F11448,'Vols additionnels'!$B$7:$B$66,$D11448)</f>
        <v>0</v>
      </c>
      <c r="H11448" s="135" t="n">
        <f aca="false">$G11448*'Analyse capacite'!$F$8</f>
        <v>0</v>
      </c>
      <c r="I11448" s="135" t="n">
        <f aca="false">$G11448*'Analyse capacite'!$C$8</f>
        <v>0</v>
      </c>
      <c r="J11448" s="135" t="n">
        <f aca="false">$G11448*'Analyse capacite'!$D$8</f>
        <v>0</v>
      </c>
      <c r="K11448" s="135" t="n">
        <f aca="false">$G11448*'Analyse capacite'!$E$8</f>
        <v>0</v>
      </c>
    </row>
    <row r="11449" customFormat="false" ht="15" hidden="false" customHeight="false" outlineLevel="0" collapsed="false">
      <c r="B11449" s="130" t="n">
        <v>2028</v>
      </c>
      <c r="C11449" s="131" t="s">
        <v>256</v>
      </c>
      <c r="D11449" s="132" t="n">
        <v>46795</v>
      </c>
      <c r="E11449" s="131" t="s">
        <v>59</v>
      </c>
      <c r="F11449" s="133" t="s">
        <v>24</v>
      </c>
      <c r="G11449" s="134" t="n">
        <f aca="false">LEN('Saisie programme'!$I$435)+SUMIFS('Vols additionnels'!$E$7:$E$66,'Vols additionnels'!$C$7:$C$66,$E11449,'Vols additionnels'!$D$7:$D$66,$F11449,'Vols additionnels'!$B$7:$B$66,$D11449)</f>
        <v>1</v>
      </c>
      <c r="H11449" s="135" t="n">
        <f aca="false">$G11449*'Analyse capacite'!$F$9</f>
        <v>174</v>
      </c>
      <c r="I11449" s="135" t="n">
        <f aca="false">$G11449*'Analyse capacite'!$C$9</f>
        <v>0</v>
      </c>
      <c r="J11449" s="135" t="n">
        <f aca="false">$G11449*'Analyse capacite'!$D$9</f>
        <v>12</v>
      </c>
      <c r="K11449" s="135" t="n">
        <f aca="false">$G11449*'Analyse capacite'!$E$9</f>
        <v>162</v>
      </c>
    </row>
    <row r="11450" customFormat="false" ht="15" hidden="false" customHeight="false" outlineLevel="0" collapsed="false">
      <c r="B11450" s="130" t="n">
        <v>2028</v>
      </c>
      <c r="C11450" s="131" t="s">
        <v>256</v>
      </c>
      <c r="D11450" s="132" t="n">
        <v>46795</v>
      </c>
      <c r="E11450" s="131" t="s">
        <v>62</v>
      </c>
      <c r="F11450" s="133" t="s">
        <v>11</v>
      </c>
      <c r="G11450" s="134" t="n">
        <f aca="false">LEN('Saisie programme'!$I$436)+SUMIFS('Vols additionnels'!$E$7:$E$66,'Vols additionnels'!$C$7:$C$66,$E11450,'Vols additionnels'!$D$7:$D$66,$F11450,'Vols additionnels'!$B$7:$B$66,$D11450)</f>
        <v>0</v>
      </c>
      <c r="H11450" s="135" t="n">
        <f aca="false">$G11450*'Analyse capacite'!$F$7</f>
        <v>0</v>
      </c>
      <c r="I11450" s="135" t="n">
        <f aca="false">$G11450*'Analyse capacite'!$C$7</f>
        <v>0</v>
      </c>
      <c r="J11450" s="135" t="n">
        <f aca="false">$G11450*'Analyse capacite'!$D$7</f>
        <v>0</v>
      </c>
      <c r="K11450" s="135" t="n">
        <f aca="false">$G11450*'Analyse capacite'!$E$7</f>
        <v>0</v>
      </c>
    </row>
    <row r="11451" customFormat="false" ht="15" hidden="false" customHeight="false" outlineLevel="0" collapsed="false">
      <c r="B11451" s="130" t="n">
        <v>2028</v>
      </c>
      <c r="C11451" s="131" t="s">
        <v>256</v>
      </c>
      <c r="D11451" s="132" t="n">
        <v>46795</v>
      </c>
      <c r="E11451" s="131" t="s">
        <v>62</v>
      </c>
      <c r="F11451" s="133" t="s">
        <v>19</v>
      </c>
      <c r="G11451" s="134" t="n">
        <f aca="false">LEN('Saisie programme'!$I$437)+SUMIFS('Vols additionnels'!$E$7:$E$66,'Vols additionnels'!$C$7:$C$66,$E11451,'Vols additionnels'!$D$7:$D$66,$F11451,'Vols additionnels'!$B$7:$B$66,$D11451)</f>
        <v>0</v>
      </c>
      <c r="H11451" s="135" t="n">
        <f aca="false">$G11451*'Analyse capacite'!$F$8</f>
        <v>0</v>
      </c>
      <c r="I11451" s="135" t="n">
        <f aca="false">$G11451*'Analyse capacite'!$C$8</f>
        <v>0</v>
      </c>
      <c r="J11451" s="135" t="n">
        <f aca="false">$G11451*'Analyse capacite'!$D$8</f>
        <v>0</v>
      </c>
      <c r="K11451" s="135" t="n">
        <f aca="false">$G11451*'Analyse capacite'!$E$8</f>
        <v>0</v>
      </c>
    </row>
    <row r="11452" customFormat="false" ht="15" hidden="false" customHeight="false" outlineLevel="0" collapsed="false">
      <c r="B11452" s="130" t="n">
        <v>2028</v>
      </c>
      <c r="C11452" s="131" t="s">
        <v>256</v>
      </c>
      <c r="D11452" s="132" t="n">
        <v>46795</v>
      </c>
      <c r="E11452" s="131" t="s">
        <v>62</v>
      </c>
      <c r="F11452" s="133" t="s">
        <v>24</v>
      </c>
      <c r="G11452" s="134" t="n">
        <f aca="false">LEN('Saisie programme'!$I$438)+SUMIFS('Vols additionnels'!$E$7:$E$66,'Vols additionnels'!$C$7:$C$66,$E11452,'Vols additionnels'!$D$7:$D$66,$F11452,'Vols additionnels'!$B$7:$B$66,$D11452)</f>
        <v>0</v>
      </c>
      <c r="H11452" s="135" t="n">
        <f aca="false">$G11452*'Analyse capacite'!$F$9</f>
        <v>0</v>
      </c>
      <c r="I11452" s="135" t="n">
        <f aca="false">$G11452*'Analyse capacite'!$C$9</f>
        <v>0</v>
      </c>
      <c r="J11452" s="135" t="n">
        <f aca="false">$G11452*'Analyse capacite'!$D$9</f>
        <v>0</v>
      </c>
      <c r="K11452" s="135" t="n">
        <f aca="false">$G11452*'Analyse capacite'!$E$9</f>
        <v>0</v>
      </c>
    </row>
    <row r="11453" customFormat="false" ht="15" hidden="false" customHeight="false" outlineLevel="0" collapsed="false">
      <c r="B11453" s="130" t="n">
        <v>2028</v>
      </c>
      <c r="C11453" s="131" t="s">
        <v>256</v>
      </c>
      <c r="D11453" s="132" t="n">
        <v>46796</v>
      </c>
      <c r="E11453" s="131" t="s">
        <v>12</v>
      </c>
      <c r="F11453" s="133" t="s">
        <v>11</v>
      </c>
      <c r="G11453" s="134" t="n">
        <f aca="false">LEN('Saisie programme'!$J$403)+SUMIFS('Vols additionnels'!$E$7:$E$66,'Vols additionnels'!$C$7:$C$66,$E11453,'Vols additionnels'!$D$7:$D$66,$F11453,'Vols additionnels'!$B$7:$B$66,$D11453)</f>
        <v>1</v>
      </c>
      <c r="H11453" s="135" t="n">
        <f aca="false">$G11453*'Analyse capacite'!$F$7</f>
        <v>438</v>
      </c>
      <c r="I11453" s="135" t="n">
        <f aca="false">$G11453*'Analyse capacite'!$C$7</f>
        <v>14</v>
      </c>
      <c r="J11453" s="135" t="n">
        <f aca="false">$G11453*'Analyse capacite'!$D$7</f>
        <v>40</v>
      </c>
      <c r="K11453" s="135" t="n">
        <f aca="false">$G11453*'Analyse capacite'!$E$7</f>
        <v>384</v>
      </c>
    </row>
    <row r="11454" customFormat="false" ht="15" hidden="false" customHeight="false" outlineLevel="0" collapsed="false">
      <c r="B11454" s="130" t="n">
        <v>2028</v>
      </c>
      <c r="C11454" s="131" t="s">
        <v>256</v>
      </c>
      <c r="D11454" s="132" t="n">
        <v>46796</v>
      </c>
      <c r="E11454" s="131" t="s">
        <v>12</v>
      </c>
      <c r="F11454" s="133" t="s">
        <v>19</v>
      </c>
      <c r="G11454" s="134" t="n">
        <f aca="false">LEN('Saisie programme'!$J$404)+SUMIFS('Vols additionnels'!$E$7:$E$66,'Vols additionnels'!$C$7:$C$66,$E11454,'Vols additionnels'!$D$7:$D$66,$F11454,'Vols additionnels'!$B$7:$B$66,$D11454)</f>
        <v>0</v>
      </c>
      <c r="H11454" s="135" t="n">
        <f aca="false">$G11454*'Analyse capacite'!$F$8</f>
        <v>0</v>
      </c>
      <c r="I11454" s="135" t="n">
        <f aca="false">$G11454*'Analyse capacite'!$C$8</f>
        <v>0</v>
      </c>
      <c r="J11454" s="135" t="n">
        <f aca="false">$G11454*'Analyse capacite'!$D$8</f>
        <v>0</v>
      </c>
      <c r="K11454" s="135" t="n">
        <f aca="false">$G11454*'Analyse capacite'!$E$8</f>
        <v>0</v>
      </c>
    </row>
    <row r="11455" customFormat="false" ht="15" hidden="false" customHeight="false" outlineLevel="0" collapsed="false">
      <c r="B11455" s="130" t="n">
        <v>2028</v>
      </c>
      <c r="C11455" s="131" t="s">
        <v>256</v>
      </c>
      <c r="D11455" s="132" t="n">
        <v>46796</v>
      </c>
      <c r="E11455" s="131" t="s">
        <v>12</v>
      </c>
      <c r="F11455" s="133" t="s">
        <v>24</v>
      </c>
      <c r="G11455" s="134" t="n">
        <f aca="false">LEN('Saisie programme'!$J$405)+SUMIFS('Vols additionnels'!$E$7:$E$66,'Vols additionnels'!$C$7:$C$66,$E11455,'Vols additionnels'!$D$7:$D$66,$F11455,'Vols additionnels'!$B$7:$B$66,$D11455)</f>
        <v>0</v>
      </c>
      <c r="H11455" s="135" t="n">
        <f aca="false">$G11455*'Analyse capacite'!$F$9</f>
        <v>0</v>
      </c>
      <c r="I11455" s="135" t="n">
        <f aca="false">$G11455*'Analyse capacite'!$C$9</f>
        <v>0</v>
      </c>
      <c r="J11455" s="135" t="n">
        <f aca="false">$G11455*'Analyse capacite'!$D$9</f>
        <v>0</v>
      </c>
      <c r="K11455" s="135" t="n">
        <f aca="false">$G11455*'Analyse capacite'!$E$9</f>
        <v>0</v>
      </c>
    </row>
    <row r="11456" customFormat="false" ht="15" hidden="false" customHeight="false" outlineLevel="0" collapsed="false">
      <c r="B11456" s="130" t="n">
        <v>2028</v>
      </c>
      <c r="C11456" s="131" t="s">
        <v>256</v>
      </c>
      <c r="D11456" s="132" t="n">
        <v>46796</v>
      </c>
      <c r="E11456" s="131" t="s">
        <v>20</v>
      </c>
      <c r="F11456" s="133" t="s">
        <v>11</v>
      </c>
      <c r="G11456" s="134" t="n">
        <f aca="false">LEN('Saisie programme'!$J$406)+SUMIFS('Vols additionnels'!$E$7:$E$66,'Vols additionnels'!$C$7:$C$66,$E11456,'Vols additionnels'!$D$7:$D$66,$F11456,'Vols additionnels'!$B$7:$B$66,$D11456)</f>
        <v>1</v>
      </c>
      <c r="H11456" s="135" t="n">
        <f aca="false">$G11456*'Analyse capacite'!$F$7</f>
        <v>438</v>
      </c>
      <c r="I11456" s="135" t="n">
        <f aca="false">$G11456*'Analyse capacite'!$C$7</f>
        <v>14</v>
      </c>
      <c r="J11456" s="135" t="n">
        <f aca="false">$G11456*'Analyse capacite'!$D$7</f>
        <v>40</v>
      </c>
      <c r="K11456" s="135" t="n">
        <f aca="false">$G11456*'Analyse capacite'!$E$7</f>
        <v>384</v>
      </c>
    </row>
    <row r="11457" customFormat="false" ht="15" hidden="false" customHeight="false" outlineLevel="0" collapsed="false">
      <c r="B11457" s="130" t="n">
        <v>2028</v>
      </c>
      <c r="C11457" s="131" t="s">
        <v>256</v>
      </c>
      <c r="D11457" s="132" t="n">
        <v>46796</v>
      </c>
      <c r="E11457" s="131" t="s">
        <v>20</v>
      </c>
      <c r="F11457" s="133" t="s">
        <v>19</v>
      </c>
      <c r="G11457" s="134" t="n">
        <f aca="false">LEN('Saisie programme'!$J$407)+SUMIFS('Vols additionnels'!$E$7:$E$66,'Vols additionnels'!$C$7:$C$66,$E11457,'Vols additionnels'!$D$7:$D$66,$F11457,'Vols additionnels'!$B$7:$B$66,$D11457)</f>
        <v>0</v>
      </c>
      <c r="H11457" s="135" t="n">
        <f aca="false">$G11457*'Analyse capacite'!$F$8</f>
        <v>0</v>
      </c>
      <c r="I11457" s="135" t="n">
        <f aca="false">$G11457*'Analyse capacite'!$C$8</f>
        <v>0</v>
      </c>
      <c r="J11457" s="135" t="n">
        <f aca="false">$G11457*'Analyse capacite'!$D$8</f>
        <v>0</v>
      </c>
      <c r="K11457" s="135" t="n">
        <f aca="false">$G11457*'Analyse capacite'!$E$8</f>
        <v>0</v>
      </c>
    </row>
    <row r="11458" customFormat="false" ht="15" hidden="false" customHeight="false" outlineLevel="0" collapsed="false">
      <c r="B11458" s="130" t="n">
        <v>2028</v>
      </c>
      <c r="C11458" s="131" t="s">
        <v>256</v>
      </c>
      <c r="D11458" s="132" t="n">
        <v>46796</v>
      </c>
      <c r="E11458" s="131" t="s">
        <v>20</v>
      </c>
      <c r="F11458" s="133" t="s">
        <v>24</v>
      </c>
      <c r="G11458" s="134" t="n">
        <f aca="false">LEN('Saisie programme'!$J$408)+SUMIFS('Vols additionnels'!$E$7:$E$66,'Vols additionnels'!$C$7:$C$66,$E11458,'Vols additionnels'!$D$7:$D$66,$F11458,'Vols additionnels'!$B$7:$B$66,$D11458)</f>
        <v>0</v>
      </c>
      <c r="H11458" s="135" t="n">
        <f aca="false">$G11458*'Analyse capacite'!$F$9</f>
        <v>0</v>
      </c>
      <c r="I11458" s="135" t="n">
        <f aca="false">$G11458*'Analyse capacite'!$C$9</f>
        <v>0</v>
      </c>
      <c r="J11458" s="135" t="n">
        <f aca="false">$G11458*'Analyse capacite'!$D$9</f>
        <v>0</v>
      </c>
      <c r="K11458" s="135" t="n">
        <f aca="false">$G11458*'Analyse capacite'!$E$9</f>
        <v>0</v>
      </c>
    </row>
    <row r="11459" customFormat="false" ht="15" hidden="false" customHeight="false" outlineLevel="0" collapsed="false">
      <c r="B11459" s="130" t="n">
        <v>2028</v>
      </c>
      <c r="C11459" s="131" t="s">
        <v>256</v>
      </c>
      <c r="D11459" s="132" t="n">
        <v>46796</v>
      </c>
      <c r="E11459" s="131" t="s">
        <v>25</v>
      </c>
      <c r="F11459" s="133" t="s">
        <v>11</v>
      </c>
      <c r="G11459" s="134" t="n">
        <f aca="false">LEN('Saisie programme'!$J$409)+SUMIFS('Vols additionnels'!$E$7:$E$66,'Vols additionnels'!$C$7:$C$66,$E11459,'Vols additionnels'!$D$7:$D$66,$F11459,'Vols additionnels'!$B$7:$B$66,$D11459)</f>
        <v>0</v>
      </c>
      <c r="H11459" s="135" t="n">
        <f aca="false">$G11459*'Analyse capacite'!$F$7</f>
        <v>0</v>
      </c>
      <c r="I11459" s="135" t="n">
        <f aca="false">$G11459*'Analyse capacite'!$C$7</f>
        <v>0</v>
      </c>
      <c r="J11459" s="135" t="n">
        <f aca="false">$G11459*'Analyse capacite'!$D$7</f>
        <v>0</v>
      </c>
      <c r="K11459" s="135" t="n">
        <f aca="false">$G11459*'Analyse capacite'!$E$7</f>
        <v>0</v>
      </c>
    </row>
    <row r="11460" customFormat="false" ht="15" hidden="false" customHeight="false" outlineLevel="0" collapsed="false">
      <c r="B11460" s="130" t="n">
        <v>2028</v>
      </c>
      <c r="C11460" s="131" t="s">
        <v>256</v>
      </c>
      <c r="D11460" s="132" t="n">
        <v>46796</v>
      </c>
      <c r="E11460" s="131" t="s">
        <v>25</v>
      </c>
      <c r="F11460" s="133" t="s">
        <v>19</v>
      </c>
      <c r="G11460" s="134" t="n">
        <f aca="false">LEN('Saisie programme'!$J$410)+SUMIFS('Vols additionnels'!$E$7:$E$66,'Vols additionnels'!$C$7:$C$66,$E11460,'Vols additionnels'!$D$7:$D$66,$F11460,'Vols additionnels'!$B$7:$B$66,$D11460)</f>
        <v>0</v>
      </c>
      <c r="H11460" s="135" t="n">
        <f aca="false">$G11460*'Analyse capacite'!$F$8</f>
        <v>0</v>
      </c>
      <c r="I11460" s="135" t="n">
        <f aca="false">$G11460*'Analyse capacite'!$C$8</f>
        <v>0</v>
      </c>
      <c r="J11460" s="135" t="n">
        <f aca="false">$G11460*'Analyse capacite'!$D$8</f>
        <v>0</v>
      </c>
      <c r="K11460" s="135" t="n">
        <f aca="false">$G11460*'Analyse capacite'!$E$8</f>
        <v>0</v>
      </c>
    </row>
    <row r="11461" customFormat="false" ht="15" hidden="false" customHeight="false" outlineLevel="0" collapsed="false">
      <c r="B11461" s="130" t="n">
        <v>2028</v>
      </c>
      <c r="C11461" s="131" t="s">
        <v>256</v>
      </c>
      <c r="D11461" s="132" t="n">
        <v>46796</v>
      </c>
      <c r="E11461" s="131" t="s">
        <v>25</v>
      </c>
      <c r="F11461" s="133" t="s">
        <v>24</v>
      </c>
      <c r="G11461" s="134" t="n">
        <f aca="false">LEN('Saisie programme'!$J$411)+SUMIFS('Vols additionnels'!$E$7:$E$66,'Vols additionnels'!$C$7:$C$66,$E11461,'Vols additionnels'!$D$7:$D$66,$F11461,'Vols additionnels'!$B$7:$B$66,$D11461)</f>
        <v>0</v>
      </c>
      <c r="H11461" s="135" t="n">
        <f aca="false">$G11461*'Analyse capacite'!$F$9</f>
        <v>0</v>
      </c>
      <c r="I11461" s="135" t="n">
        <f aca="false">$G11461*'Analyse capacite'!$C$9</f>
        <v>0</v>
      </c>
      <c r="J11461" s="135" t="n">
        <f aca="false">$G11461*'Analyse capacite'!$D$9</f>
        <v>0</v>
      </c>
      <c r="K11461" s="135" t="n">
        <f aca="false">$G11461*'Analyse capacite'!$E$9</f>
        <v>0</v>
      </c>
    </row>
    <row r="11462" customFormat="false" ht="15" hidden="false" customHeight="false" outlineLevel="0" collapsed="false">
      <c r="B11462" s="130" t="n">
        <v>2028</v>
      </c>
      <c r="C11462" s="131" t="s">
        <v>256</v>
      </c>
      <c r="D11462" s="132" t="n">
        <v>46796</v>
      </c>
      <c r="E11462" s="131" t="s">
        <v>36</v>
      </c>
      <c r="F11462" s="133" t="s">
        <v>11</v>
      </c>
      <c r="G11462" s="134" t="n">
        <f aca="false">LEN('Saisie programme'!$J$412)+SUMIFS('Vols additionnels'!$E$7:$E$66,'Vols additionnels'!$C$7:$C$66,$E11462,'Vols additionnels'!$D$7:$D$66,$F11462,'Vols additionnels'!$B$7:$B$66,$D11462)</f>
        <v>0</v>
      </c>
      <c r="H11462" s="135" t="n">
        <f aca="false">$G11462*'Analyse capacite'!$F$7</f>
        <v>0</v>
      </c>
      <c r="I11462" s="135" t="n">
        <f aca="false">$G11462*'Analyse capacite'!$C$7</f>
        <v>0</v>
      </c>
      <c r="J11462" s="135" t="n">
        <f aca="false">$G11462*'Analyse capacite'!$D$7</f>
        <v>0</v>
      </c>
      <c r="K11462" s="135" t="n">
        <f aca="false">$G11462*'Analyse capacite'!$E$7</f>
        <v>0</v>
      </c>
    </row>
    <row r="11463" customFormat="false" ht="15" hidden="false" customHeight="false" outlineLevel="0" collapsed="false">
      <c r="B11463" s="130" t="n">
        <v>2028</v>
      </c>
      <c r="C11463" s="131" t="s">
        <v>256</v>
      </c>
      <c r="D11463" s="132" t="n">
        <v>46796</v>
      </c>
      <c r="E11463" s="131" t="s">
        <v>36</v>
      </c>
      <c r="F11463" s="133" t="s">
        <v>19</v>
      </c>
      <c r="G11463" s="134" t="n">
        <f aca="false">LEN('Saisie programme'!$J$413)+SUMIFS('Vols additionnels'!$E$7:$E$66,'Vols additionnels'!$C$7:$C$66,$E11463,'Vols additionnels'!$D$7:$D$66,$F11463,'Vols additionnels'!$B$7:$B$66,$D11463)</f>
        <v>0</v>
      </c>
      <c r="H11463" s="135" t="n">
        <f aca="false">$G11463*'Analyse capacite'!$F$8</f>
        <v>0</v>
      </c>
      <c r="I11463" s="135" t="n">
        <f aca="false">$G11463*'Analyse capacite'!$C$8</f>
        <v>0</v>
      </c>
      <c r="J11463" s="135" t="n">
        <f aca="false">$G11463*'Analyse capacite'!$D$8</f>
        <v>0</v>
      </c>
      <c r="K11463" s="135" t="n">
        <f aca="false">$G11463*'Analyse capacite'!$E$8</f>
        <v>0</v>
      </c>
    </row>
    <row r="11464" customFormat="false" ht="15" hidden="false" customHeight="false" outlineLevel="0" collapsed="false">
      <c r="B11464" s="130" t="n">
        <v>2028</v>
      </c>
      <c r="C11464" s="131" t="s">
        <v>256</v>
      </c>
      <c r="D11464" s="132" t="n">
        <v>46796</v>
      </c>
      <c r="E11464" s="131" t="s">
        <v>36</v>
      </c>
      <c r="F11464" s="133" t="s">
        <v>24</v>
      </c>
      <c r="G11464" s="134" t="n">
        <f aca="false">LEN('Saisie programme'!$J$414)+SUMIFS('Vols additionnels'!$E$7:$E$66,'Vols additionnels'!$C$7:$C$66,$E11464,'Vols additionnels'!$D$7:$D$66,$F11464,'Vols additionnels'!$B$7:$B$66,$D11464)</f>
        <v>0</v>
      </c>
      <c r="H11464" s="135" t="n">
        <f aca="false">$G11464*'Analyse capacite'!$F$9</f>
        <v>0</v>
      </c>
      <c r="I11464" s="135" t="n">
        <f aca="false">$G11464*'Analyse capacite'!$C$9</f>
        <v>0</v>
      </c>
      <c r="J11464" s="135" t="n">
        <f aca="false">$G11464*'Analyse capacite'!$D$9</f>
        <v>0</v>
      </c>
      <c r="K11464" s="135" t="n">
        <f aca="false">$G11464*'Analyse capacite'!$E$9</f>
        <v>0</v>
      </c>
    </row>
    <row r="11465" customFormat="false" ht="15" hidden="false" customHeight="false" outlineLevel="0" collapsed="false">
      <c r="B11465" s="130" t="n">
        <v>2028</v>
      </c>
      <c r="C11465" s="131" t="s">
        <v>256</v>
      </c>
      <c r="D11465" s="132" t="n">
        <v>46796</v>
      </c>
      <c r="E11465" s="131" t="s">
        <v>40</v>
      </c>
      <c r="F11465" s="133" t="s">
        <v>11</v>
      </c>
      <c r="G11465" s="134" t="n">
        <f aca="false">LEN('Saisie programme'!$J$415)+SUMIFS('Vols additionnels'!$E$7:$E$66,'Vols additionnels'!$C$7:$C$66,$E11465,'Vols additionnels'!$D$7:$D$66,$F11465,'Vols additionnels'!$B$7:$B$66,$D11465)</f>
        <v>0</v>
      </c>
      <c r="H11465" s="135" t="n">
        <f aca="false">$G11465*'Analyse capacite'!$F$7</f>
        <v>0</v>
      </c>
      <c r="I11465" s="135" t="n">
        <f aca="false">$G11465*'Analyse capacite'!$C$7</f>
        <v>0</v>
      </c>
      <c r="J11465" s="135" t="n">
        <f aca="false">$G11465*'Analyse capacite'!$D$7</f>
        <v>0</v>
      </c>
      <c r="K11465" s="135" t="n">
        <f aca="false">$G11465*'Analyse capacite'!$E$7</f>
        <v>0</v>
      </c>
    </row>
    <row r="11466" customFormat="false" ht="15" hidden="false" customHeight="false" outlineLevel="0" collapsed="false">
      <c r="B11466" s="130" t="n">
        <v>2028</v>
      </c>
      <c r="C11466" s="131" t="s">
        <v>256</v>
      </c>
      <c r="D11466" s="132" t="n">
        <v>46796</v>
      </c>
      <c r="E11466" s="131" t="s">
        <v>40</v>
      </c>
      <c r="F11466" s="133" t="s">
        <v>19</v>
      </c>
      <c r="G11466" s="134" t="n">
        <f aca="false">LEN('Saisie programme'!$J$416)+SUMIFS('Vols additionnels'!$E$7:$E$66,'Vols additionnels'!$C$7:$C$66,$E11466,'Vols additionnels'!$D$7:$D$66,$F11466,'Vols additionnels'!$B$7:$B$66,$D11466)</f>
        <v>0</v>
      </c>
      <c r="H11466" s="135" t="n">
        <f aca="false">$G11466*'Analyse capacite'!$F$8</f>
        <v>0</v>
      </c>
      <c r="I11466" s="135" t="n">
        <f aca="false">$G11466*'Analyse capacite'!$C$8</f>
        <v>0</v>
      </c>
      <c r="J11466" s="135" t="n">
        <f aca="false">$G11466*'Analyse capacite'!$D$8</f>
        <v>0</v>
      </c>
      <c r="K11466" s="135" t="n">
        <f aca="false">$G11466*'Analyse capacite'!$E$8</f>
        <v>0</v>
      </c>
    </row>
    <row r="11467" customFormat="false" ht="15" hidden="false" customHeight="false" outlineLevel="0" collapsed="false">
      <c r="B11467" s="130" t="n">
        <v>2028</v>
      </c>
      <c r="C11467" s="131" t="s">
        <v>256</v>
      </c>
      <c r="D11467" s="132" t="n">
        <v>46796</v>
      </c>
      <c r="E11467" s="131" t="s">
        <v>40</v>
      </c>
      <c r="F11467" s="133" t="s">
        <v>24</v>
      </c>
      <c r="G11467" s="134" t="n">
        <f aca="false">LEN('Saisie programme'!$J$417)+SUMIFS('Vols additionnels'!$E$7:$E$66,'Vols additionnels'!$C$7:$C$66,$E11467,'Vols additionnels'!$D$7:$D$66,$F11467,'Vols additionnels'!$B$7:$B$66,$D11467)</f>
        <v>1</v>
      </c>
      <c r="H11467" s="135" t="n">
        <f aca="false">$G11467*'Analyse capacite'!$F$9</f>
        <v>174</v>
      </c>
      <c r="I11467" s="135" t="n">
        <f aca="false">$G11467*'Analyse capacite'!$C$9</f>
        <v>0</v>
      </c>
      <c r="J11467" s="135" t="n">
        <f aca="false">$G11467*'Analyse capacite'!$D$9</f>
        <v>12</v>
      </c>
      <c r="K11467" s="135" t="n">
        <f aca="false">$G11467*'Analyse capacite'!$E$9</f>
        <v>162</v>
      </c>
    </row>
    <row r="11468" customFormat="false" ht="15" hidden="false" customHeight="false" outlineLevel="0" collapsed="false">
      <c r="B11468" s="130" t="n">
        <v>2028</v>
      </c>
      <c r="C11468" s="131" t="s">
        <v>256</v>
      </c>
      <c r="D11468" s="132" t="n">
        <v>46796</v>
      </c>
      <c r="E11468" s="131" t="s">
        <v>14</v>
      </c>
      <c r="F11468" s="133" t="s">
        <v>11</v>
      </c>
      <c r="G11468" s="134" t="n">
        <f aca="false">LEN('Saisie programme'!$J$418)+SUMIFS('Vols additionnels'!$E$7:$E$66,'Vols additionnels'!$C$7:$C$66,$E11468,'Vols additionnels'!$D$7:$D$66,$F11468,'Vols additionnels'!$B$7:$B$66,$D11468)</f>
        <v>0</v>
      </c>
      <c r="H11468" s="135" t="n">
        <f aca="false">$G11468*'Analyse capacite'!$F$7</f>
        <v>0</v>
      </c>
      <c r="I11468" s="135" t="n">
        <f aca="false">$G11468*'Analyse capacite'!$C$7</f>
        <v>0</v>
      </c>
      <c r="J11468" s="135" t="n">
        <f aca="false">$G11468*'Analyse capacite'!$D$7</f>
        <v>0</v>
      </c>
      <c r="K11468" s="135" t="n">
        <f aca="false">$G11468*'Analyse capacite'!$E$7</f>
        <v>0</v>
      </c>
    </row>
    <row r="11469" customFormat="false" ht="15" hidden="false" customHeight="false" outlineLevel="0" collapsed="false">
      <c r="B11469" s="130" t="n">
        <v>2028</v>
      </c>
      <c r="C11469" s="131" t="s">
        <v>256</v>
      </c>
      <c r="D11469" s="132" t="n">
        <v>46796</v>
      </c>
      <c r="E11469" s="131" t="s">
        <v>14</v>
      </c>
      <c r="F11469" s="133" t="s">
        <v>19</v>
      </c>
      <c r="G11469" s="134" t="n">
        <f aca="false">LEN('Saisie programme'!$J$419)+SUMIFS('Vols additionnels'!$E$7:$E$66,'Vols additionnels'!$C$7:$C$66,$E11469,'Vols additionnels'!$D$7:$D$66,$F11469,'Vols additionnels'!$B$7:$B$66,$D11469)</f>
        <v>0</v>
      </c>
      <c r="H11469" s="135" t="n">
        <f aca="false">$G11469*'Analyse capacite'!$F$8</f>
        <v>0</v>
      </c>
      <c r="I11469" s="135" t="n">
        <f aca="false">$G11469*'Analyse capacite'!$C$8</f>
        <v>0</v>
      </c>
      <c r="J11469" s="135" t="n">
        <f aca="false">$G11469*'Analyse capacite'!$D$8</f>
        <v>0</v>
      </c>
      <c r="K11469" s="135" t="n">
        <f aca="false">$G11469*'Analyse capacite'!$E$8</f>
        <v>0</v>
      </c>
    </row>
    <row r="11470" customFormat="false" ht="15" hidden="false" customHeight="false" outlineLevel="0" collapsed="false">
      <c r="B11470" s="130" t="n">
        <v>2028</v>
      </c>
      <c r="C11470" s="131" t="s">
        <v>256</v>
      </c>
      <c r="D11470" s="132" t="n">
        <v>46796</v>
      </c>
      <c r="E11470" s="131" t="s">
        <v>14</v>
      </c>
      <c r="F11470" s="133" t="s">
        <v>24</v>
      </c>
      <c r="G11470" s="134" t="n">
        <f aca="false">LEN('Saisie programme'!$J$420)+SUMIFS('Vols additionnels'!$E$7:$E$66,'Vols additionnels'!$C$7:$C$66,$E11470,'Vols additionnels'!$D$7:$D$66,$F11470,'Vols additionnels'!$B$7:$B$66,$D11470)</f>
        <v>0</v>
      </c>
      <c r="H11470" s="135" t="n">
        <f aca="false">$G11470*'Analyse capacite'!$F$9</f>
        <v>0</v>
      </c>
      <c r="I11470" s="135" t="n">
        <f aca="false">$G11470*'Analyse capacite'!$C$9</f>
        <v>0</v>
      </c>
      <c r="J11470" s="135" t="n">
        <f aca="false">$G11470*'Analyse capacite'!$D$9</f>
        <v>0</v>
      </c>
      <c r="K11470" s="135" t="n">
        <f aca="false">$G11470*'Analyse capacite'!$E$9</f>
        <v>0</v>
      </c>
    </row>
    <row r="11471" customFormat="false" ht="15" hidden="false" customHeight="false" outlineLevel="0" collapsed="false">
      <c r="B11471" s="130" t="n">
        <v>2028</v>
      </c>
      <c r="C11471" s="131" t="s">
        <v>256</v>
      </c>
      <c r="D11471" s="132" t="n">
        <v>46796</v>
      </c>
      <c r="E11471" s="131" t="s">
        <v>46</v>
      </c>
      <c r="F11471" s="133" t="s">
        <v>11</v>
      </c>
      <c r="G11471" s="134" t="n">
        <f aca="false">LEN('Saisie programme'!$J$421)+SUMIFS('Vols additionnels'!$E$7:$E$66,'Vols additionnels'!$C$7:$C$66,$E11471,'Vols additionnels'!$D$7:$D$66,$F11471,'Vols additionnels'!$B$7:$B$66,$D11471)</f>
        <v>0</v>
      </c>
      <c r="H11471" s="135" t="n">
        <f aca="false">$G11471*'Analyse capacite'!$F$7</f>
        <v>0</v>
      </c>
      <c r="I11471" s="135" t="n">
        <f aca="false">$G11471*'Analyse capacite'!$C$7</f>
        <v>0</v>
      </c>
      <c r="J11471" s="135" t="n">
        <f aca="false">$G11471*'Analyse capacite'!$D$7</f>
        <v>0</v>
      </c>
      <c r="K11471" s="135" t="n">
        <f aca="false">$G11471*'Analyse capacite'!$E$7</f>
        <v>0</v>
      </c>
    </row>
    <row r="11472" customFormat="false" ht="15" hidden="false" customHeight="false" outlineLevel="0" collapsed="false">
      <c r="B11472" s="130" t="n">
        <v>2028</v>
      </c>
      <c r="C11472" s="131" t="s">
        <v>256</v>
      </c>
      <c r="D11472" s="132" t="n">
        <v>46796</v>
      </c>
      <c r="E11472" s="131" t="s">
        <v>46</v>
      </c>
      <c r="F11472" s="133" t="s">
        <v>19</v>
      </c>
      <c r="G11472" s="134" t="n">
        <f aca="false">LEN('Saisie programme'!$J$422)+SUMIFS('Vols additionnels'!$E$7:$E$66,'Vols additionnels'!$C$7:$C$66,$E11472,'Vols additionnels'!$D$7:$D$66,$F11472,'Vols additionnels'!$B$7:$B$66,$D11472)</f>
        <v>0</v>
      </c>
      <c r="H11472" s="135" t="n">
        <f aca="false">$G11472*'Analyse capacite'!$F$8</f>
        <v>0</v>
      </c>
      <c r="I11472" s="135" t="n">
        <f aca="false">$G11472*'Analyse capacite'!$C$8</f>
        <v>0</v>
      </c>
      <c r="J11472" s="135" t="n">
        <f aca="false">$G11472*'Analyse capacite'!$D$8</f>
        <v>0</v>
      </c>
      <c r="K11472" s="135" t="n">
        <f aca="false">$G11472*'Analyse capacite'!$E$8</f>
        <v>0</v>
      </c>
    </row>
    <row r="11473" customFormat="false" ht="15" hidden="false" customHeight="false" outlineLevel="0" collapsed="false">
      <c r="B11473" s="130" t="n">
        <v>2028</v>
      </c>
      <c r="C11473" s="131" t="s">
        <v>256</v>
      </c>
      <c r="D11473" s="132" t="n">
        <v>46796</v>
      </c>
      <c r="E11473" s="131" t="s">
        <v>46</v>
      </c>
      <c r="F11473" s="133" t="s">
        <v>24</v>
      </c>
      <c r="G11473" s="134" t="n">
        <f aca="false">LEN('Saisie programme'!$J$423)+SUMIFS('Vols additionnels'!$E$7:$E$66,'Vols additionnels'!$C$7:$C$66,$E11473,'Vols additionnels'!$D$7:$D$66,$F11473,'Vols additionnels'!$B$7:$B$66,$D11473)</f>
        <v>0</v>
      </c>
      <c r="H11473" s="135" t="n">
        <f aca="false">$G11473*'Analyse capacite'!$F$9</f>
        <v>0</v>
      </c>
      <c r="I11473" s="135" t="n">
        <f aca="false">$G11473*'Analyse capacite'!$C$9</f>
        <v>0</v>
      </c>
      <c r="J11473" s="135" t="n">
        <f aca="false">$G11473*'Analyse capacite'!$D$9</f>
        <v>0</v>
      </c>
      <c r="K11473" s="135" t="n">
        <f aca="false">$G11473*'Analyse capacite'!$E$9</f>
        <v>0</v>
      </c>
    </row>
    <row r="11474" customFormat="false" ht="15" hidden="false" customHeight="false" outlineLevel="0" collapsed="false">
      <c r="B11474" s="130" t="n">
        <v>2028</v>
      </c>
      <c r="C11474" s="131" t="s">
        <v>256</v>
      </c>
      <c r="D11474" s="132" t="n">
        <v>46796</v>
      </c>
      <c r="E11474" s="131" t="s">
        <v>49</v>
      </c>
      <c r="F11474" s="133" t="s">
        <v>11</v>
      </c>
      <c r="G11474" s="134" t="n">
        <f aca="false">LEN('Saisie programme'!$J$424)+SUMIFS('Vols additionnels'!$E$7:$E$66,'Vols additionnels'!$C$7:$C$66,$E11474,'Vols additionnels'!$D$7:$D$66,$F11474,'Vols additionnels'!$B$7:$B$66,$D11474)</f>
        <v>0</v>
      </c>
      <c r="H11474" s="135" t="n">
        <f aca="false">$G11474*'Analyse capacite'!$F$7</f>
        <v>0</v>
      </c>
      <c r="I11474" s="135" t="n">
        <f aca="false">$G11474*'Analyse capacite'!$C$7</f>
        <v>0</v>
      </c>
      <c r="J11474" s="135" t="n">
        <f aca="false">$G11474*'Analyse capacite'!$D$7</f>
        <v>0</v>
      </c>
      <c r="K11474" s="135" t="n">
        <f aca="false">$G11474*'Analyse capacite'!$E$7</f>
        <v>0</v>
      </c>
    </row>
    <row r="11475" customFormat="false" ht="15" hidden="false" customHeight="false" outlineLevel="0" collapsed="false">
      <c r="B11475" s="130" t="n">
        <v>2028</v>
      </c>
      <c r="C11475" s="131" t="s">
        <v>256</v>
      </c>
      <c r="D11475" s="132" t="n">
        <v>46796</v>
      </c>
      <c r="E11475" s="131" t="s">
        <v>49</v>
      </c>
      <c r="F11475" s="133" t="s">
        <v>19</v>
      </c>
      <c r="G11475" s="134" t="n">
        <f aca="false">LEN('Saisie programme'!$J$425)+SUMIFS('Vols additionnels'!$E$7:$E$66,'Vols additionnels'!$C$7:$C$66,$E11475,'Vols additionnels'!$D$7:$D$66,$F11475,'Vols additionnels'!$B$7:$B$66,$D11475)</f>
        <v>0</v>
      </c>
      <c r="H11475" s="135" t="n">
        <f aca="false">$G11475*'Analyse capacite'!$F$8</f>
        <v>0</v>
      </c>
      <c r="I11475" s="135" t="n">
        <f aca="false">$G11475*'Analyse capacite'!$C$8</f>
        <v>0</v>
      </c>
      <c r="J11475" s="135" t="n">
        <f aca="false">$G11475*'Analyse capacite'!$D$8</f>
        <v>0</v>
      </c>
      <c r="K11475" s="135" t="n">
        <f aca="false">$G11475*'Analyse capacite'!$E$8</f>
        <v>0</v>
      </c>
    </row>
    <row r="11476" customFormat="false" ht="15" hidden="false" customHeight="false" outlineLevel="0" collapsed="false">
      <c r="B11476" s="130" t="n">
        <v>2028</v>
      </c>
      <c r="C11476" s="131" t="s">
        <v>256</v>
      </c>
      <c r="D11476" s="132" t="n">
        <v>46796</v>
      </c>
      <c r="E11476" s="131" t="s">
        <v>49</v>
      </c>
      <c r="F11476" s="133" t="s">
        <v>24</v>
      </c>
      <c r="G11476" s="134" t="n">
        <f aca="false">LEN('Saisie programme'!$J$426)+SUMIFS('Vols additionnels'!$E$7:$E$66,'Vols additionnels'!$C$7:$C$66,$E11476,'Vols additionnels'!$D$7:$D$66,$F11476,'Vols additionnels'!$B$7:$B$66,$D11476)</f>
        <v>0</v>
      </c>
      <c r="H11476" s="135" t="n">
        <f aca="false">$G11476*'Analyse capacite'!$F$9</f>
        <v>0</v>
      </c>
      <c r="I11476" s="135" t="n">
        <f aca="false">$G11476*'Analyse capacite'!$C$9</f>
        <v>0</v>
      </c>
      <c r="J11476" s="135" t="n">
        <f aca="false">$G11476*'Analyse capacite'!$D$9</f>
        <v>0</v>
      </c>
      <c r="K11476" s="135" t="n">
        <f aca="false">$G11476*'Analyse capacite'!$E$9</f>
        <v>0</v>
      </c>
    </row>
    <row r="11477" customFormat="false" ht="15" hidden="false" customHeight="false" outlineLevel="0" collapsed="false">
      <c r="B11477" s="130" t="n">
        <v>2028</v>
      </c>
      <c r="C11477" s="131" t="s">
        <v>256</v>
      </c>
      <c r="D11477" s="132" t="n">
        <v>46796</v>
      </c>
      <c r="E11477" s="131" t="s">
        <v>53</v>
      </c>
      <c r="F11477" s="133" t="s">
        <v>11</v>
      </c>
      <c r="G11477" s="134" t="n">
        <f aca="false">LEN('Saisie programme'!$J$427)+SUMIFS('Vols additionnels'!$E$7:$E$66,'Vols additionnels'!$C$7:$C$66,$E11477,'Vols additionnels'!$D$7:$D$66,$F11477,'Vols additionnels'!$B$7:$B$66,$D11477)</f>
        <v>0</v>
      </c>
      <c r="H11477" s="135" t="n">
        <f aca="false">$G11477*'Analyse capacite'!$F$7</f>
        <v>0</v>
      </c>
      <c r="I11477" s="135" t="n">
        <f aca="false">$G11477*'Analyse capacite'!$C$7</f>
        <v>0</v>
      </c>
      <c r="J11477" s="135" t="n">
        <f aca="false">$G11477*'Analyse capacite'!$D$7</f>
        <v>0</v>
      </c>
      <c r="K11477" s="135" t="n">
        <f aca="false">$G11477*'Analyse capacite'!$E$7</f>
        <v>0</v>
      </c>
    </row>
    <row r="11478" customFormat="false" ht="15" hidden="false" customHeight="false" outlineLevel="0" collapsed="false">
      <c r="B11478" s="130" t="n">
        <v>2028</v>
      </c>
      <c r="C11478" s="131" t="s">
        <v>256</v>
      </c>
      <c r="D11478" s="132" t="n">
        <v>46796</v>
      </c>
      <c r="E11478" s="131" t="s">
        <v>53</v>
      </c>
      <c r="F11478" s="133" t="s">
        <v>19</v>
      </c>
      <c r="G11478" s="134" t="n">
        <f aca="false">LEN('Saisie programme'!$J$428)+SUMIFS('Vols additionnels'!$E$7:$E$66,'Vols additionnels'!$C$7:$C$66,$E11478,'Vols additionnels'!$D$7:$D$66,$F11478,'Vols additionnels'!$B$7:$B$66,$D11478)</f>
        <v>0</v>
      </c>
      <c r="H11478" s="135" t="n">
        <f aca="false">$G11478*'Analyse capacite'!$F$8</f>
        <v>0</v>
      </c>
      <c r="I11478" s="135" t="n">
        <f aca="false">$G11478*'Analyse capacite'!$C$8</f>
        <v>0</v>
      </c>
      <c r="J11478" s="135" t="n">
        <f aca="false">$G11478*'Analyse capacite'!$D$8</f>
        <v>0</v>
      </c>
      <c r="K11478" s="135" t="n">
        <f aca="false">$G11478*'Analyse capacite'!$E$8</f>
        <v>0</v>
      </c>
    </row>
    <row r="11479" customFormat="false" ht="15" hidden="false" customHeight="false" outlineLevel="0" collapsed="false">
      <c r="B11479" s="130" t="n">
        <v>2028</v>
      </c>
      <c r="C11479" s="131" t="s">
        <v>256</v>
      </c>
      <c r="D11479" s="132" t="n">
        <v>46796</v>
      </c>
      <c r="E11479" s="131" t="s">
        <v>53</v>
      </c>
      <c r="F11479" s="133" t="s">
        <v>24</v>
      </c>
      <c r="G11479" s="134" t="n">
        <f aca="false">LEN('Saisie programme'!$J$429)+SUMIFS('Vols additionnels'!$E$7:$E$66,'Vols additionnels'!$C$7:$C$66,$E11479,'Vols additionnels'!$D$7:$D$66,$F11479,'Vols additionnels'!$B$7:$B$66,$D11479)</f>
        <v>0</v>
      </c>
      <c r="H11479" s="135" t="n">
        <f aca="false">$G11479*'Analyse capacite'!$F$9</f>
        <v>0</v>
      </c>
      <c r="I11479" s="135" t="n">
        <f aca="false">$G11479*'Analyse capacite'!$C$9</f>
        <v>0</v>
      </c>
      <c r="J11479" s="135" t="n">
        <f aca="false">$G11479*'Analyse capacite'!$D$9</f>
        <v>0</v>
      </c>
      <c r="K11479" s="135" t="n">
        <f aca="false">$G11479*'Analyse capacite'!$E$9</f>
        <v>0</v>
      </c>
    </row>
    <row r="11480" customFormat="false" ht="15" hidden="false" customHeight="false" outlineLevel="0" collapsed="false">
      <c r="B11480" s="130" t="n">
        <v>2028</v>
      </c>
      <c r="C11480" s="131" t="s">
        <v>256</v>
      </c>
      <c r="D11480" s="132" t="n">
        <v>46796</v>
      </c>
      <c r="E11480" s="131" t="s">
        <v>56</v>
      </c>
      <c r="F11480" s="133" t="s">
        <v>11</v>
      </c>
      <c r="G11480" s="134" t="n">
        <f aca="false">LEN('Saisie programme'!$J$430)+SUMIFS('Vols additionnels'!$E$7:$E$66,'Vols additionnels'!$C$7:$C$66,$E11480,'Vols additionnels'!$D$7:$D$66,$F11480,'Vols additionnels'!$B$7:$B$66,$D11480)</f>
        <v>0</v>
      </c>
      <c r="H11480" s="135" t="n">
        <f aca="false">$G11480*'Analyse capacite'!$F$7</f>
        <v>0</v>
      </c>
      <c r="I11480" s="135" t="n">
        <f aca="false">$G11480*'Analyse capacite'!$C$7</f>
        <v>0</v>
      </c>
      <c r="J11480" s="135" t="n">
        <f aca="false">$G11480*'Analyse capacite'!$D$7</f>
        <v>0</v>
      </c>
      <c r="K11480" s="135" t="n">
        <f aca="false">$G11480*'Analyse capacite'!$E$7</f>
        <v>0</v>
      </c>
    </row>
    <row r="11481" customFormat="false" ht="15" hidden="false" customHeight="false" outlineLevel="0" collapsed="false">
      <c r="B11481" s="130" t="n">
        <v>2028</v>
      </c>
      <c r="C11481" s="131" t="s">
        <v>256</v>
      </c>
      <c r="D11481" s="132" t="n">
        <v>46796</v>
      </c>
      <c r="E11481" s="131" t="s">
        <v>56</v>
      </c>
      <c r="F11481" s="133" t="s">
        <v>19</v>
      </c>
      <c r="G11481" s="134" t="n">
        <f aca="false">LEN('Saisie programme'!$J$431)+SUMIFS('Vols additionnels'!$E$7:$E$66,'Vols additionnels'!$C$7:$C$66,$E11481,'Vols additionnels'!$D$7:$D$66,$F11481,'Vols additionnels'!$B$7:$B$66,$D11481)</f>
        <v>0</v>
      </c>
      <c r="H11481" s="135" t="n">
        <f aca="false">$G11481*'Analyse capacite'!$F$8</f>
        <v>0</v>
      </c>
      <c r="I11481" s="135" t="n">
        <f aca="false">$G11481*'Analyse capacite'!$C$8</f>
        <v>0</v>
      </c>
      <c r="J11481" s="135" t="n">
        <f aca="false">$G11481*'Analyse capacite'!$D$8</f>
        <v>0</v>
      </c>
      <c r="K11481" s="135" t="n">
        <f aca="false">$G11481*'Analyse capacite'!$E$8</f>
        <v>0</v>
      </c>
    </row>
    <row r="11482" customFormat="false" ht="15" hidden="false" customHeight="false" outlineLevel="0" collapsed="false">
      <c r="B11482" s="130" t="n">
        <v>2028</v>
      </c>
      <c r="C11482" s="131" t="s">
        <v>256</v>
      </c>
      <c r="D11482" s="132" t="n">
        <v>46796</v>
      </c>
      <c r="E11482" s="131" t="s">
        <v>56</v>
      </c>
      <c r="F11482" s="133" t="s">
        <v>24</v>
      </c>
      <c r="G11482" s="134" t="n">
        <f aca="false">LEN('Saisie programme'!$J$432)+SUMIFS('Vols additionnels'!$E$7:$E$66,'Vols additionnels'!$C$7:$C$66,$E11482,'Vols additionnels'!$D$7:$D$66,$F11482,'Vols additionnels'!$B$7:$B$66,$D11482)</f>
        <v>0</v>
      </c>
      <c r="H11482" s="135" t="n">
        <f aca="false">$G11482*'Analyse capacite'!$F$9</f>
        <v>0</v>
      </c>
      <c r="I11482" s="135" t="n">
        <f aca="false">$G11482*'Analyse capacite'!$C$9</f>
        <v>0</v>
      </c>
      <c r="J11482" s="135" t="n">
        <f aca="false">$G11482*'Analyse capacite'!$D$9</f>
        <v>0</v>
      </c>
      <c r="K11482" s="135" t="n">
        <f aca="false">$G11482*'Analyse capacite'!$E$9</f>
        <v>0</v>
      </c>
    </row>
    <row r="11483" customFormat="false" ht="15" hidden="false" customHeight="false" outlineLevel="0" collapsed="false">
      <c r="B11483" s="130" t="n">
        <v>2028</v>
      </c>
      <c r="C11483" s="131" t="s">
        <v>256</v>
      </c>
      <c r="D11483" s="132" t="n">
        <v>46796</v>
      </c>
      <c r="E11483" s="131" t="s">
        <v>59</v>
      </c>
      <c r="F11483" s="133" t="s">
        <v>11</v>
      </c>
      <c r="G11483" s="134" t="n">
        <f aca="false">LEN('Saisie programme'!$J$433)+SUMIFS('Vols additionnels'!$E$7:$E$66,'Vols additionnels'!$C$7:$C$66,$E11483,'Vols additionnels'!$D$7:$D$66,$F11483,'Vols additionnels'!$B$7:$B$66,$D11483)</f>
        <v>0</v>
      </c>
      <c r="H11483" s="135" t="n">
        <f aca="false">$G11483*'Analyse capacite'!$F$7</f>
        <v>0</v>
      </c>
      <c r="I11483" s="135" t="n">
        <f aca="false">$G11483*'Analyse capacite'!$C$7</f>
        <v>0</v>
      </c>
      <c r="J11483" s="135" t="n">
        <f aca="false">$G11483*'Analyse capacite'!$D$7</f>
        <v>0</v>
      </c>
      <c r="K11483" s="135" t="n">
        <f aca="false">$G11483*'Analyse capacite'!$E$7</f>
        <v>0</v>
      </c>
    </row>
    <row r="11484" customFormat="false" ht="15" hidden="false" customHeight="false" outlineLevel="0" collapsed="false">
      <c r="B11484" s="130" t="n">
        <v>2028</v>
      </c>
      <c r="C11484" s="131" t="s">
        <v>256</v>
      </c>
      <c r="D11484" s="132" t="n">
        <v>46796</v>
      </c>
      <c r="E11484" s="131" t="s">
        <v>59</v>
      </c>
      <c r="F11484" s="133" t="s">
        <v>19</v>
      </c>
      <c r="G11484" s="134" t="n">
        <f aca="false">LEN('Saisie programme'!$J$434)+SUMIFS('Vols additionnels'!$E$7:$E$66,'Vols additionnels'!$C$7:$C$66,$E11484,'Vols additionnels'!$D$7:$D$66,$F11484,'Vols additionnels'!$B$7:$B$66,$D11484)</f>
        <v>0</v>
      </c>
      <c r="H11484" s="135" t="n">
        <f aca="false">$G11484*'Analyse capacite'!$F$8</f>
        <v>0</v>
      </c>
      <c r="I11484" s="135" t="n">
        <f aca="false">$G11484*'Analyse capacite'!$C$8</f>
        <v>0</v>
      </c>
      <c r="J11484" s="135" t="n">
        <f aca="false">$G11484*'Analyse capacite'!$D$8</f>
        <v>0</v>
      </c>
      <c r="K11484" s="135" t="n">
        <f aca="false">$G11484*'Analyse capacite'!$E$8</f>
        <v>0</v>
      </c>
    </row>
    <row r="11485" customFormat="false" ht="15" hidden="false" customHeight="false" outlineLevel="0" collapsed="false">
      <c r="B11485" s="130" t="n">
        <v>2028</v>
      </c>
      <c r="C11485" s="131" t="s">
        <v>256</v>
      </c>
      <c r="D11485" s="132" t="n">
        <v>46796</v>
      </c>
      <c r="E11485" s="131" t="s">
        <v>59</v>
      </c>
      <c r="F11485" s="133" t="s">
        <v>24</v>
      </c>
      <c r="G11485" s="134" t="n">
        <f aca="false">LEN('Saisie programme'!$J$435)+SUMIFS('Vols additionnels'!$E$7:$E$66,'Vols additionnels'!$C$7:$C$66,$E11485,'Vols additionnels'!$D$7:$D$66,$F11485,'Vols additionnels'!$B$7:$B$66,$D11485)</f>
        <v>0</v>
      </c>
      <c r="H11485" s="135" t="n">
        <f aca="false">$G11485*'Analyse capacite'!$F$9</f>
        <v>0</v>
      </c>
      <c r="I11485" s="135" t="n">
        <f aca="false">$G11485*'Analyse capacite'!$C$9</f>
        <v>0</v>
      </c>
      <c r="J11485" s="135" t="n">
        <f aca="false">$G11485*'Analyse capacite'!$D$9</f>
        <v>0</v>
      </c>
      <c r="K11485" s="135" t="n">
        <f aca="false">$G11485*'Analyse capacite'!$E$9</f>
        <v>0</v>
      </c>
    </row>
    <row r="11486" customFormat="false" ht="15" hidden="false" customHeight="false" outlineLevel="0" collapsed="false">
      <c r="B11486" s="130" t="n">
        <v>2028</v>
      </c>
      <c r="C11486" s="131" t="s">
        <v>256</v>
      </c>
      <c r="D11486" s="132" t="n">
        <v>46796</v>
      </c>
      <c r="E11486" s="131" t="s">
        <v>62</v>
      </c>
      <c r="F11486" s="133" t="s">
        <v>11</v>
      </c>
      <c r="G11486" s="134" t="n">
        <f aca="false">LEN('Saisie programme'!$J$436)+SUMIFS('Vols additionnels'!$E$7:$E$66,'Vols additionnels'!$C$7:$C$66,$E11486,'Vols additionnels'!$D$7:$D$66,$F11486,'Vols additionnels'!$B$7:$B$66,$D11486)</f>
        <v>0</v>
      </c>
      <c r="H11486" s="135" t="n">
        <f aca="false">$G11486*'Analyse capacite'!$F$7</f>
        <v>0</v>
      </c>
      <c r="I11486" s="135" t="n">
        <f aca="false">$G11486*'Analyse capacite'!$C$7</f>
        <v>0</v>
      </c>
      <c r="J11486" s="135" t="n">
        <f aca="false">$G11486*'Analyse capacite'!$D$7</f>
        <v>0</v>
      </c>
      <c r="K11486" s="135" t="n">
        <f aca="false">$G11486*'Analyse capacite'!$E$7</f>
        <v>0</v>
      </c>
    </row>
    <row r="11487" customFormat="false" ht="15" hidden="false" customHeight="false" outlineLevel="0" collapsed="false">
      <c r="B11487" s="130" t="n">
        <v>2028</v>
      </c>
      <c r="C11487" s="131" t="s">
        <v>256</v>
      </c>
      <c r="D11487" s="132" t="n">
        <v>46796</v>
      </c>
      <c r="E11487" s="131" t="s">
        <v>62</v>
      </c>
      <c r="F11487" s="133" t="s">
        <v>19</v>
      </c>
      <c r="G11487" s="134" t="n">
        <f aca="false">LEN('Saisie programme'!$J$437)+SUMIFS('Vols additionnels'!$E$7:$E$66,'Vols additionnels'!$C$7:$C$66,$E11487,'Vols additionnels'!$D$7:$D$66,$F11487,'Vols additionnels'!$B$7:$B$66,$D11487)</f>
        <v>0</v>
      </c>
      <c r="H11487" s="135" t="n">
        <f aca="false">$G11487*'Analyse capacite'!$F$8</f>
        <v>0</v>
      </c>
      <c r="I11487" s="135" t="n">
        <f aca="false">$G11487*'Analyse capacite'!$C$8</f>
        <v>0</v>
      </c>
      <c r="J11487" s="135" t="n">
        <f aca="false">$G11487*'Analyse capacite'!$D$8</f>
        <v>0</v>
      </c>
      <c r="K11487" s="135" t="n">
        <f aca="false">$G11487*'Analyse capacite'!$E$8</f>
        <v>0</v>
      </c>
    </row>
    <row r="11488" customFormat="false" ht="15" hidden="false" customHeight="false" outlineLevel="0" collapsed="false">
      <c r="B11488" s="130" t="n">
        <v>2028</v>
      </c>
      <c r="C11488" s="131" t="s">
        <v>256</v>
      </c>
      <c r="D11488" s="132" t="n">
        <v>46796</v>
      </c>
      <c r="E11488" s="131" t="s">
        <v>62</v>
      </c>
      <c r="F11488" s="133" t="s">
        <v>24</v>
      </c>
      <c r="G11488" s="134" t="n">
        <f aca="false">LEN('Saisie programme'!$J$438)+SUMIFS('Vols additionnels'!$E$7:$E$66,'Vols additionnels'!$C$7:$C$66,$E11488,'Vols additionnels'!$D$7:$D$66,$F11488,'Vols additionnels'!$B$7:$B$66,$D11488)</f>
        <v>1</v>
      </c>
      <c r="H11488" s="135" t="n">
        <f aca="false">$G11488*'Analyse capacite'!$F$9</f>
        <v>174</v>
      </c>
      <c r="I11488" s="135" t="n">
        <f aca="false">$G11488*'Analyse capacite'!$C$9</f>
        <v>0</v>
      </c>
      <c r="J11488" s="135" t="n">
        <f aca="false">$G11488*'Analyse capacite'!$D$9</f>
        <v>12</v>
      </c>
      <c r="K11488" s="135" t="n">
        <f aca="false">$G11488*'Analyse capacite'!$E$9</f>
        <v>162</v>
      </c>
    </row>
    <row r="11489" customFormat="false" ht="15" hidden="false" customHeight="false" outlineLevel="0" collapsed="false">
      <c r="B11489" s="130" t="n">
        <v>2028</v>
      </c>
      <c r="C11489" s="131" t="s">
        <v>256</v>
      </c>
      <c r="D11489" s="132" t="n">
        <v>46797</v>
      </c>
      <c r="E11489" s="131" t="s">
        <v>12</v>
      </c>
      <c r="F11489" s="133" t="s">
        <v>11</v>
      </c>
      <c r="G11489" s="134" t="n">
        <f aca="false">LEN('Saisie programme'!$D$403)+SUMIFS('Vols additionnels'!$E$7:$E$66,'Vols additionnels'!$C$7:$C$66,$E11489,'Vols additionnels'!$D$7:$D$66,$F11489,'Vols additionnels'!$B$7:$B$66,$D11489)</f>
        <v>1</v>
      </c>
      <c r="H11489" s="135" t="n">
        <f aca="false">$G11489*'Analyse capacite'!$F$7</f>
        <v>438</v>
      </c>
      <c r="I11489" s="135" t="n">
        <f aca="false">$G11489*'Analyse capacite'!$C$7</f>
        <v>14</v>
      </c>
      <c r="J11489" s="135" t="n">
        <f aca="false">$G11489*'Analyse capacite'!$D$7</f>
        <v>40</v>
      </c>
      <c r="K11489" s="135" t="n">
        <f aca="false">$G11489*'Analyse capacite'!$E$7</f>
        <v>384</v>
      </c>
    </row>
    <row r="11490" customFormat="false" ht="15" hidden="false" customHeight="false" outlineLevel="0" collapsed="false">
      <c r="B11490" s="130" t="n">
        <v>2028</v>
      </c>
      <c r="C11490" s="131" t="s">
        <v>256</v>
      </c>
      <c r="D11490" s="132" t="n">
        <v>46797</v>
      </c>
      <c r="E11490" s="131" t="s">
        <v>12</v>
      </c>
      <c r="F11490" s="133" t="s">
        <v>19</v>
      </c>
      <c r="G11490" s="134" t="n">
        <f aca="false">LEN('Saisie programme'!$D$404)+SUMIFS('Vols additionnels'!$E$7:$E$66,'Vols additionnels'!$C$7:$C$66,$E11490,'Vols additionnels'!$D$7:$D$66,$F11490,'Vols additionnels'!$B$7:$B$66,$D11490)</f>
        <v>1</v>
      </c>
      <c r="H11490" s="135" t="n">
        <f aca="false">$G11490*'Analyse capacite'!$F$8</f>
        <v>262</v>
      </c>
      <c r="I11490" s="135" t="n">
        <f aca="false">$G11490*'Analyse capacite'!$C$8</f>
        <v>18</v>
      </c>
      <c r="J11490" s="135" t="n">
        <f aca="false">$G11490*'Analyse capacite'!$D$8</f>
        <v>0</v>
      </c>
      <c r="K11490" s="135" t="n">
        <f aca="false">$G11490*'Analyse capacite'!$E$8</f>
        <v>244</v>
      </c>
    </row>
    <row r="11491" customFormat="false" ht="15" hidden="false" customHeight="false" outlineLevel="0" collapsed="false">
      <c r="B11491" s="130" t="n">
        <v>2028</v>
      </c>
      <c r="C11491" s="131" t="s">
        <v>256</v>
      </c>
      <c r="D11491" s="132" t="n">
        <v>46797</v>
      </c>
      <c r="E11491" s="131" t="s">
        <v>12</v>
      </c>
      <c r="F11491" s="133" t="s">
        <v>24</v>
      </c>
      <c r="G11491" s="134" t="n">
        <f aca="false">LEN('Saisie programme'!$D$405)+SUMIFS('Vols additionnels'!$E$7:$E$66,'Vols additionnels'!$C$7:$C$66,$E11491,'Vols additionnels'!$D$7:$D$66,$F11491,'Vols additionnels'!$B$7:$B$66,$D11491)</f>
        <v>2</v>
      </c>
      <c r="H11491" s="135" t="n">
        <f aca="false">$G11491*'Analyse capacite'!$F$9</f>
        <v>348</v>
      </c>
      <c r="I11491" s="135" t="n">
        <f aca="false">$G11491*'Analyse capacite'!$C$9</f>
        <v>0</v>
      </c>
      <c r="J11491" s="135" t="n">
        <f aca="false">$G11491*'Analyse capacite'!$D$9</f>
        <v>24</v>
      </c>
      <c r="K11491" s="135" t="n">
        <f aca="false">$G11491*'Analyse capacite'!$E$9</f>
        <v>324</v>
      </c>
    </row>
    <row r="11492" customFormat="false" ht="15" hidden="false" customHeight="false" outlineLevel="0" collapsed="false">
      <c r="B11492" s="130" t="n">
        <v>2028</v>
      </c>
      <c r="C11492" s="131" t="s">
        <v>256</v>
      </c>
      <c r="D11492" s="132" t="n">
        <v>46797</v>
      </c>
      <c r="E11492" s="131" t="s">
        <v>20</v>
      </c>
      <c r="F11492" s="133" t="s">
        <v>11</v>
      </c>
      <c r="G11492" s="134" t="n">
        <f aca="false">LEN('Saisie programme'!$D$406)+SUMIFS('Vols additionnels'!$E$7:$E$66,'Vols additionnels'!$C$7:$C$66,$E11492,'Vols additionnels'!$D$7:$D$66,$F11492,'Vols additionnels'!$B$7:$B$66,$D11492)</f>
        <v>0</v>
      </c>
      <c r="H11492" s="135" t="n">
        <f aca="false">$G11492*'Analyse capacite'!$F$7</f>
        <v>0</v>
      </c>
      <c r="I11492" s="135" t="n">
        <f aca="false">$G11492*'Analyse capacite'!$C$7</f>
        <v>0</v>
      </c>
      <c r="J11492" s="135" t="n">
        <f aca="false">$G11492*'Analyse capacite'!$D$7</f>
        <v>0</v>
      </c>
      <c r="K11492" s="135" t="n">
        <f aca="false">$G11492*'Analyse capacite'!$E$7</f>
        <v>0</v>
      </c>
    </row>
    <row r="11493" customFormat="false" ht="15" hidden="false" customHeight="false" outlineLevel="0" collapsed="false">
      <c r="B11493" s="130" t="n">
        <v>2028</v>
      </c>
      <c r="C11493" s="131" t="s">
        <v>256</v>
      </c>
      <c r="D11493" s="132" t="n">
        <v>46797</v>
      </c>
      <c r="E11493" s="131" t="s">
        <v>20</v>
      </c>
      <c r="F11493" s="133" t="s">
        <v>19</v>
      </c>
      <c r="G11493" s="134" t="n">
        <f aca="false">LEN('Saisie programme'!$D$407)+SUMIFS('Vols additionnels'!$E$7:$E$66,'Vols additionnels'!$C$7:$C$66,$E11493,'Vols additionnels'!$D$7:$D$66,$F11493,'Vols additionnels'!$B$7:$B$66,$D11493)</f>
        <v>0</v>
      </c>
      <c r="H11493" s="135" t="n">
        <f aca="false">$G11493*'Analyse capacite'!$F$8</f>
        <v>0</v>
      </c>
      <c r="I11493" s="135" t="n">
        <f aca="false">$G11493*'Analyse capacite'!$C$8</f>
        <v>0</v>
      </c>
      <c r="J11493" s="135" t="n">
        <f aca="false">$G11493*'Analyse capacite'!$D$8</f>
        <v>0</v>
      </c>
      <c r="K11493" s="135" t="n">
        <f aca="false">$G11493*'Analyse capacite'!$E$8</f>
        <v>0</v>
      </c>
    </row>
    <row r="11494" customFormat="false" ht="15" hidden="false" customHeight="false" outlineLevel="0" collapsed="false">
      <c r="B11494" s="130" t="n">
        <v>2028</v>
      </c>
      <c r="C11494" s="131" t="s">
        <v>256</v>
      </c>
      <c r="D11494" s="132" t="n">
        <v>46797</v>
      </c>
      <c r="E11494" s="131" t="s">
        <v>20</v>
      </c>
      <c r="F11494" s="133" t="s">
        <v>24</v>
      </c>
      <c r="G11494" s="134" t="n">
        <f aca="false">LEN('Saisie programme'!$D$408)+SUMIFS('Vols additionnels'!$E$7:$E$66,'Vols additionnels'!$C$7:$C$66,$E11494,'Vols additionnels'!$D$7:$D$66,$F11494,'Vols additionnels'!$B$7:$B$66,$D11494)</f>
        <v>0</v>
      </c>
      <c r="H11494" s="135" t="n">
        <f aca="false">$G11494*'Analyse capacite'!$F$9</f>
        <v>0</v>
      </c>
      <c r="I11494" s="135" t="n">
        <f aca="false">$G11494*'Analyse capacite'!$C$9</f>
        <v>0</v>
      </c>
      <c r="J11494" s="135" t="n">
        <f aca="false">$G11494*'Analyse capacite'!$D$9</f>
        <v>0</v>
      </c>
      <c r="K11494" s="135" t="n">
        <f aca="false">$G11494*'Analyse capacite'!$E$9</f>
        <v>0</v>
      </c>
    </row>
    <row r="11495" customFormat="false" ht="15" hidden="false" customHeight="false" outlineLevel="0" collapsed="false">
      <c r="B11495" s="130" t="n">
        <v>2028</v>
      </c>
      <c r="C11495" s="131" t="s">
        <v>256</v>
      </c>
      <c r="D11495" s="132" t="n">
        <v>46797</v>
      </c>
      <c r="E11495" s="131" t="s">
        <v>25</v>
      </c>
      <c r="F11495" s="133" t="s">
        <v>11</v>
      </c>
      <c r="G11495" s="134" t="n">
        <f aca="false">LEN('Saisie programme'!$D$409)+SUMIFS('Vols additionnels'!$E$7:$E$66,'Vols additionnels'!$C$7:$C$66,$E11495,'Vols additionnels'!$D$7:$D$66,$F11495,'Vols additionnels'!$B$7:$B$66,$D11495)</f>
        <v>0</v>
      </c>
      <c r="H11495" s="135" t="n">
        <f aca="false">$G11495*'Analyse capacite'!$F$7</f>
        <v>0</v>
      </c>
      <c r="I11495" s="135" t="n">
        <f aca="false">$G11495*'Analyse capacite'!$C$7</f>
        <v>0</v>
      </c>
      <c r="J11495" s="135" t="n">
        <f aca="false">$G11495*'Analyse capacite'!$D$7</f>
        <v>0</v>
      </c>
      <c r="K11495" s="135" t="n">
        <f aca="false">$G11495*'Analyse capacite'!$E$7</f>
        <v>0</v>
      </c>
    </row>
    <row r="11496" customFormat="false" ht="15" hidden="false" customHeight="false" outlineLevel="0" collapsed="false">
      <c r="B11496" s="130" t="n">
        <v>2028</v>
      </c>
      <c r="C11496" s="131" t="s">
        <v>256</v>
      </c>
      <c r="D11496" s="132" t="n">
        <v>46797</v>
      </c>
      <c r="E11496" s="131" t="s">
        <v>25</v>
      </c>
      <c r="F11496" s="133" t="s">
        <v>19</v>
      </c>
      <c r="G11496" s="134" t="n">
        <f aca="false">LEN('Saisie programme'!$D$410)+SUMIFS('Vols additionnels'!$E$7:$E$66,'Vols additionnels'!$C$7:$C$66,$E11496,'Vols additionnels'!$D$7:$D$66,$F11496,'Vols additionnels'!$B$7:$B$66,$D11496)</f>
        <v>0</v>
      </c>
      <c r="H11496" s="135" t="n">
        <f aca="false">$G11496*'Analyse capacite'!$F$8</f>
        <v>0</v>
      </c>
      <c r="I11496" s="135" t="n">
        <f aca="false">$G11496*'Analyse capacite'!$C$8</f>
        <v>0</v>
      </c>
      <c r="J11496" s="135" t="n">
        <f aca="false">$G11496*'Analyse capacite'!$D$8</f>
        <v>0</v>
      </c>
      <c r="K11496" s="135" t="n">
        <f aca="false">$G11496*'Analyse capacite'!$E$8</f>
        <v>0</v>
      </c>
    </row>
    <row r="11497" customFormat="false" ht="15" hidden="false" customHeight="false" outlineLevel="0" collapsed="false">
      <c r="B11497" s="130" t="n">
        <v>2028</v>
      </c>
      <c r="C11497" s="131" t="s">
        <v>256</v>
      </c>
      <c r="D11497" s="132" t="n">
        <v>46797</v>
      </c>
      <c r="E11497" s="131" t="s">
        <v>25</v>
      </c>
      <c r="F11497" s="133" t="s">
        <v>24</v>
      </c>
      <c r="G11497" s="134" t="n">
        <f aca="false">LEN('Saisie programme'!$D$411)+SUMIFS('Vols additionnels'!$E$7:$E$66,'Vols additionnels'!$C$7:$C$66,$E11497,'Vols additionnels'!$D$7:$D$66,$F11497,'Vols additionnels'!$B$7:$B$66,$D11497)</f>
        <v>0</v>
      </c>
      <c r="H11497" s="135" t="n">
        <f aca="false">$G11497*'Analyse capacite'!$F$9</f>
        <v>0</v>
      </c>
      <c r="I11497" s="135" t="n">
        <f aca="false">$G11497*'Analyse capacite'!$C$9</f>
        <v>0</v>
      </c>
      <c r="J11497" s="135" t="n">
        <f aca="false">$G11497*'Analyse capacite'!$D$9</f>
        <v>0</v>
      </c>
      <c r="K11497" s="135" t="n">
        <f aca="false">$G11497*'Analyse capacite'!$E$9</f>
        <v>0</v>
      </c>
    </row>
    <row r="11498" customFormat="false" ht="15" hidden="false" customHeight="false" outlineLevel="0" collapsed="false">
      <c r="B11498" s="130" t="n">
        <v>2028</v>
      </c>
      <c r="C11498" s="131" t="s">
        <v>256</v>
      </c>
      <c r="D11498" s="132" t="n">
        <v>46797</v>
      </c>
      <c r="E11498" s="131" t="s">
        <v>36</v>
      </c>
      <c r="F11498" s="133" t="s">
        <v>11</v>
      </c>
      <c r="G11498" s="134" t="n">
        <f aca="false">LEN('Saisie programme'!$D$412)+SUMIFS('Vols additionnels'!$E$7:$E$66,'Vols additionnels'!$C$7:$C$66,$E11498,'Vols additionnels'!$D$7:$D$66,$F11498,'Vols additionnels'!$B$7:$B$66,$D11498)</f>
        <v>0</v>
      </c>
      <c r="H11498" s="135" t="n">
        <f aca="false">$G11498*'Analyse capacite'!$F$7</f>
        <v>0</v>
      </c>
      <c r="I11498" s="135" t="n">
        <f aca="false">$G11498*'Analyse capacite'!$C$7</f>
        <v>0</v>
      </c>
      <c r="J11498" s="135" t="n">
        <f aca="false">$G11498*'Analyse capacite'!$D$7</f>
        <v>0</v>
      </c>
      <c r="K11498" s="135" t="n">
        <f aca="false">$G11498*'Analyse capacite'!$E$7</f>
        <v>0</v>
      </c>
    </row>
    <row r="11499" customFormat="false" ht="15" hidden="false" customHeight="false" outlineLevel="0" collapsed="false">
      <c r="B11499" s="130" t="n">
        <v>2028</v>
      </c>
      <c r="C11499" s="131" t="s">
        <v>256</v>
      </c>
      <c r="D11499" s="132" t="n">
        <v>46797</v>
      </c>
      <c r="E11499" s="131" t="s">
        <v>36</v>
      </c>
      <c r="F11499" s="133" t="s">
        <v>19</v>
      </c>
      <c r="G11499" s="134" t="n">
        <f aca="false">LEN('Saisie programme'!$D$413)+SUMIFS('Vols additionnels'!$E$7:$E$66,'Vols additionnels'!$C$7:$C$66,$E11499,'Vols additionnels'!$D$7:$D$66,$F11499,'Vols additionnels'!$B$7:$B$66,$D11499)</f>
        <v>0</v>
      </c>
      <c r="H11499" s="135" t="n">
        <f aca="false">$G11499*'Analyse capacite'!$F$8</f>
        <v>0</v>
      </c>
      <c r="I11499" s="135" t="n">
        <f aca="false">$G11499*'Analyse capacite'!$C$8</f>
        <v>0</v>
      </c>
      <c r="J11499" s="135" t="n">
        <f aca="false">$G11499*'Analyse capacite'!$D$8</f>
        <v>0</v>
      </c>
      <c r="K11499" s="135" t="n">
        <f aca="false">$G11499*'Analyse capacite'!$E$8</f>
        <v>0</v>
      </c>
    </row>
    <row r="11500" customFormat="false" ht="15" hidden="false" customHeight="false" outlineLevel="0" collapsed="false">
      <c r="B11500" s="130" t="n">
        <v>2028</v>
      </c>
      <c r="C11500" s="131" t="s">
        <v>256</v>
      </c>
      <c r="D11500" s="132" t="n">
        <v>46797</v>
      </c>
      <c r="E11500" s="131" t="s">
        <v>36</v>
      </c>
      <c r="F11500" s="133" t="s">
        <v>24</v>
      </c>
      <c r="G11500" s="134" t="n">
        <f aca="false">LEN('Saisie programme'!$D$414)+SUMIFS('Vols additionnels'!$E$7:$E$66,'Vols additionnels'!$C$7:$C$66,$E11500,'Vols additionnels'!$D$7:$D$66,$F11500,'Vols additionnels'!$B$7:$B$66,$D11500)</f>
        <v>1</v>
      </c>
      <c r="H11500" s="135" t="n">
        <f aca="false">$G11500*'Analyse capacite'!$F$9</f>
        <v>174</v>
      </c>
      <c r="I11500" s="135" t="n">
        <f aca="false">$G11500*'Analyse capacite'!$C$9</f>
        <v>0</v>
      </c>
      <c r="J11500" s="135" t="n">
        <f aca="false">$G11500*'Analyse capacite'!$D$9</f>
        <v>12</v>
      </c>
      <c r="K11500" s="135" t="n">
        <f aca="false">$G11500*'Analyse capacite'!$E$9</f>
        <v>162</v>
      </c>
    </row>
    <row r="11501" customFormat="false" ht="15" hidden="false" customHeight="false" outlineLevel="0" collapsed="false">
      <c r="B11501" s="130" t="n">
        <v>2028</v>
      </c>
      <c r="C11501" s="131" t="s">
        <v>256</v>
      </c>
      <c r="D11501" s="132" t="n">
        <v>46797</v>
      </c>
      <c r="E11501" s="131" t="s">
        <v>40</v>
      </c>
      <c r="F11501" s="133" t="s">
        <v>11</v>
      </c>
      <c r="G11501" s="134" t="n">
        <f aca="false">LEN('Saisie programme'!$D$415)+SUMIFS('Vols additionnels'!$E$7:$E$66,'Vols additionnels'!$C$7:$C$66,$E11501,'Vols additionnels'!$D$7:$D$66,$F11501,'Vols additionnels'!$B$7:$B$66,$D11501)</f>
        <v>0</v>
      </c>
      <c r="H11501" s="135" t="n">
        <f aca="false">$G11501*'Analyse capacite'!$F$7</f>
        <v>0</v>
      </c>
      <c r="I11501" s="135" t="n">
        <f aca="false">$G11501*'Analyse capacite'!$C$7</f>
        <v>0</v>
      </c>
      <c r="J11501" s="135" t="n">
        <f aca="false">$G11501*'Analyse capacite'!$D$7</f>
        <v>0</v>
      </c>
      <c r="K11501" s="135" t="n">
        <f aca="false">$G11501*'Analyse capacite'!$E$7</f>
        <v>0</v>
      </c>
    </row>
    <row r="11502" customFormat="false" ht="15" hidden="false" customHeight="false" outlineLevel="0" collapsed="false">
      <c r="B11502" s="130" t="n">
        <v>2028</v>
      </c>
      <c r="C11502" s="131" t="s">
        <v>256</v>
      </c>
      <c r="D11502" s="132" t="n">
        <v>46797</v>
      </c>
      <c r="E11502" s="131" t="s">
        <v>40</v>
      </c>
      <c r="F11502" s="133" t="s">
        <v>19</v>
      </c>
      <c r="G11502" s="134" t="n">
        <f aca="false">LEN('Saisie programme'!$D$416)+SUMIFS('Vols additionnels'!$E$7:$E$66,'Vols additionnels'!$C$7:$C$66,$E11502,'Vols additionnels'!$D$7:$D$66,$F11502,'Vols additionnels'!$B$7:$B$66,$D11502)</f>
        <v>0</v>
      </c>
      <c r="H11502" s="135" t="n">
        <f aca="false">$G11502*'Analyse capacite'!$F$8</f>
        <v>0</v>
      </c>
      <c r="I11502" s="135" t="n">
        <f aca="false">$G11502*'Analyse capacite'!$C$8</f>
        <v>0</v>
      </c>
      <c r="J11502" s="135" t="n">
        <f aca="false">$G11502*'Analyse capacite'!$D$8</f>
        <v>0</v>
      </c>
      <c r="K11502" s="135" t="n">
        <f aca="false">$G11502*'Analyse capacite'!$E$8</f>
        <v>0</v>
      </c>
    </row>
    <row r="11503" customFormat="false" ht="15" hidden="false" customHeight="false" outlineLevel="0" collapsed="false">
      <c r="B11503" s="130" t="n">
        <v>2028</v>
      </c>
      <c r="C11503" s="131" t="s">
        <v>256</v>
      </c>
      <c r="D11503" s="132" t="n">
        <v>46797</v>
      </c>
      <c r="E11503" s="131" t="s">
        <v>40</v>
      </c>
      <c r="F11503" s="133" t="s">
        <v>24</v>
      </c>
      <c r="G11503" s="134" t="n">
        <f aca="false">LEN('Saisie programme'!$D$417)+SUMIFS('Vols additionnels'!$E$7:$E$66,'Vols additionnels'!$C$7:$C$66,$E11503,'Vols additionnels'!$D$7:$D$66,$F11503,'Vols additionnels'!$B$7:$B$66,$D11503)</f>
        <v>1</v>
      </c>
      <c r="H11503" s="135" t="n">
        <f aca="false">$G11503*'Analyse capacite'!$F$9</f>
        <v>174</v>
      </c>
      <c r="I11503" s="135" t="n">
        <f aca="false">$G11503*'Analyse capacite'!$C$9</f>
        <v>0</v>
      </c>
      <c r="J11503" s="135" t="n">
        <f aca="false">$G11503*'Analyse capacite'!$D$9</f>
        <v>12</v>
      </c>
      <c r="K11503" s="135" t="n">
        <f aca="false">$G11503*'Analyse capacite'!$E$9</f>
        <v>162</v>
      </c>
    </row>
    <row r="11504" customFormat="false" ht="15" hidden="false" customHeight="false" outlineLevel="0" collapsed="false">
      <c r="B11504" s="130" t="n">
        <v>2028</v>
      </c>
      <c r="C11504" s="131" t="s">
        <v>256</v>
      </c>
      <c r="D11504" s="132" t="n">
        <v>46797</v>
      </c>
      <c r="E11504" s="131" t="s">
        <v>14</v>
      </c>
      <c r="F11504" s="133" t="s">
        <v>11</v>
      </c>
      <c r="G11504" s="134" t="n">
        <f aca="false">LEN('Saisie programme'!$D$418)+SUMIFS('Vols additionnels'!$E$7:$E$66,'Vols additionnels'!$C$7:$C$66,$E11504,'Vols additionnels'!$D$7:$D$66,$F11504,'Vols additionnels'!$B$7:$B$66,$D11504)</f>
        <v>0</v>
      </c>
      <c r="H11504" s="135" t="n">
        <f aca="false">$G11504*'Analyse capacite'!$F$7</f>
        <v>0</v>
      </c>
      <c r="I11504" s="135" t="n">
        <f aca="false">$G11504*'Analyse capacite'!$C$7</f>
        <v>0</v>
      </c>
      <c r="J11504" s="135" t="n">
        <f aca="false">$G11504*'Analyse capacite'!$D$7</f>
        <v>0</v>
      </c>
      <c r="K11504" s="135" t="n">
        <f aca="false">$G11504*'Analyse capacite'!$E$7</f>
        <v>0</v>
      </c>
    </row>
    <row r="11505" customFormat="false" ht="15" hidden="false" customHeight="false" outlineLevel="0" collapsed="false">
      <c r="B11505" s="130" t="n">
        <v>2028</v>
      </c>
      <c r="C11505" s="131" t="s">
        <v>256</v>
      </c>
      <c r="D11505" s="132" t="n">
        <v>46797</v>
      </c>
      <c r="E11505" s="131" t="s">
        <v>14</v>
      </c>
      <c r="F11505" s="133" t="s">
        <v>19</v>
      </c>
      <c r="G11505" s="134" t="n">
        <f aca="false">LEN('Saisie programme'!$D$419)+SUMIFS('Vols additionnels'!$E$7:$E$66,'Vols additionnels'!$C$7:$C$66,$E11505,'Vols additionnels'!$D$7:$D$66,$F11505,'Vols additionnels'!$B$7:$B$66,$D11505)</f>
        <v>0</v>
      </c>
      <c r="H11505" s="135" t="n">
        <f aca="false">$G11505*'Analyse capacite'!$F$8</f>
        <v>0</v>
      </c>
      <c r="I11505" s="135" t="n">
        <f aca="false">$G11505*'Analyse capacite'!$C$8</f>
        <v>0</v>
      </c>
      <c r="J11505" s="135" t="n">
        <f aca="false">$G11505*'Analyse capacite'!$D$8</f>
        <v>0</v>
      </c>
      <c r="K11505" s="135" t="n">
        <f aca="false">$G11505*'Analyse capacite'!$E$8</f>
        <v>0</v>
      </c>
    </row>
    <row r="11506" customFormat="false" ht="15" hidden="false" customHeight="false" outlineLevel="0" collapsed="false">
      <c r="B11506" s="130" t="n">
        <v>2028</v>
      </c>
      <c r="C11506" s="131" t="s">
        <v>256</v>
      </c>
      <c r="D11506" s="132" t="n">
        <v>46797</v>
      </c>
      <c r="E11506" s="131" t="s">
        <v>14</v>
      </c>
      <c r="F11506" s="133" t="s">
        <v>24</v>
      </c>
      <c r="G11506" s="134" t="n">
        <f aca="false">LEN('Saisie programme'!$D$420)+SUMIFS('Vols additionnels'!$E$7:$E$66,'Vols additionnels'!$C$7:$C$66,$E11506,'Vols additionnels'!$D$7:$D$66,$F11506,'Vols additionnels'!$B$7:$B$66,$D11506)</f>
        <v>1</v>
      </c>
      <c r="H11506" s="135" t="n">
        <f aca="false">$G11506*'Analyse capacite'!$F$9</f>
        <v>174</v>
      </c>
      <c r="I11506" s="135" t="n">
        <f aca="false">$G11506*'Analyse capacite'!$C$9</f>
        <v>0</v>
      </c>
      <c r="J11506" s="135" t="n">
        <f aca="false">$G11506*'Analyse capacite'!$D$9</f>
        <v>12</v>
      </c>
      <c r="K11506" s="135" t="n">
        <f aca="false">$G11506*'Analyse capacite'!$E$9</f>
        <v>162</v>
      </c>
    </row>
    <row r="11507" customFormat="false" ht="15" hidden="false" customHeight="false" outlineLevel="0" collapsed="false">
      <c r="B11507" s="130" t="n">
        <v>2028</v>
      </c>
      <c r="C11507" s="131" t="s">
        <v>256</v>
      </c>
      <c r="D11507" s="132" t="n">
        <v>46797</v>
      </c>
      <c r="E11507" s="131" t="s">
        <v>46</v>
      </c>
      <c r="F11507" s="133" t="s">
        <v>11</v>
      </c>
      <c r="G11507" s="134" t="n">
        <f aca="false">LEN('Saisie programme'!$D$421)+SUMIFS('Vols additionnels'!$E$7:$E$66,'Vols additionnels'!$C$7:$C$66,$E11507,'Vols additionnels'!$D$7:$D$66,$F11507,'Vols additionnels'!$B$7:$B$66,$D11507)</f>
        <v>0</v>
      </c>
      <c r="H11507" s="135" t="n">
        <f aca="false">$G11507*'Analyse capacite'!$F$7</f>
        <v>0</v>
      </c>
      <c r="I11507" s="135" t="n">
        <f aca="false">$G11507*'Analyse capacite'!$C$7</f>
        <v>0</v>
      </c>
      <c r="J11507" s="135" t="n">
        <f aca="false">$G11507*'Analyse capacite'!$D$7</f>
        <v>0</v>
      </c>
      <c r="K11507" s="135" t="n">
        <f aca="false">$G11507*'Analyse capacite'!$E$7</f>
        <v>0</v>
      </c>
    </row>
    <row r="11508" customFormat="false" ht="15" hidden="false" customHeight="false" outlineLevel="0" collapsed="false">
      <c r="B11508" s="130" t="n">
        <v>2028</v>
      </c>
      <c r="C11508" s="131" t="s">
        <v>256</v>
      </c>
      <c r="D11508" s="132" t="n">
        <v>46797</v>
      </c>
      <c r="E11508" s="131" t="s">
        <v>46</v>
      </c>
      <c r="F11508" s="133" t="s">
        <v>19</v>
      </c>
      <c r="G11508" s="134" t="n">
        <f aca="false">LEN('Saisie programme'!$D$422)+SUMIFS('Vols additionnels'!$E$7:$E$66,'Vols additionnels'!$C$7:$C$66,$E11508,'Vols additionnels'!$D$7:$D$66,$F11508,'Vols additionnels'!$B$7:$B$66,$D11508)</f>
        <v>0</v>
      </c>
      <c r="H11508" s="135" t="n">
        <f aca="false">$G11508*'Analyse capacite'!$F$8</f>
        <v>0</v>
      </c>
      <c r="I11508" s="135" t="n">
        <f aca="false">$G11508*'Analyse capacite'!$C$8</f>
        <v>0</v>
      </c>
      <c r="J11508" s="135" t="n">
        <f aca="false">$G11508*'Analyse capacite'!$D$8</f>
        <v>0</v>
      </c>
      <c r="K11508" s="135" t="n">
        <f aca="false">$G11508*'Analyse capacite'!$E$8</f>
        <v>0</v>
      </c>
    </row>
    <row r="11509" customFormat="false" ht="15" hidden="false" customHeight="false" outlineLevel="0" collapsed="false">
      <c r="B11509" s="130" t="n">
        <v>2028</v>
      </c>
      <c r="C11509" s="131" t="s">
        <v>256</v>
      </c>
      <c r="D11509" s="132" t="n">
        <v>46797</v>
      </c>
      <c r="E11509" s="131" t="s">
        <v>46</v>
      </c>
      <c r="F11509" s="133" t="s">
        <v>24</v>
      </c>
      <c r="G11509" s="134" t="n">
        <f aca="false">LEN('Saisie programme'!$D$423)+SUMIFS('Vols additionnels'!$E$7:$E$66,'Vols additionnels'!$C$7:$C$66,$E11509,'Vols additionnels'!$D$7:$D$66,$F11509,'Vols additionnels'!$B$7:$B$66,$D11509)</f>
        <v>0</v>
      </c>
      <c r="H11509" s="135" t="n">
        <f aca="false">$G11509*'Analyse capacite'!$F$9</f>
        <v>0</v>
      </c>
      <c r="I11509" s="135" t="n">
        <f aca="false">$G11509*'Analyse capacite'!$C$9</f>
        <v>0</v>
      </c>
      <c r="J11509" s="135" t="n">
        <f aca="false">$G11509*'Analyse capacite'!$D$9</f>
        <v>0</v>
      </c>
      <c r="K11509" s="135" t="n">
        <f aca="false">$G11509*'Analyse capacite'!$E$9</f>
        <v>0</v>
      </c>
    </row>
    <row r="11510" customFormat="false" ht="15" hidden="false" customHeight="false" outlineLevel="0" collapsed="false">
      <c r="B11510" s="130" t="n">
        <v>2028</v>
      </c>
      <c r="C11510" s="131" t="s">
        <v>256</v>
      </c>
      <c r="D11510" s="132" t="n">
        <v>46797</v>
      </c>
      <c r="E11510" s="131" t="s">
        <v>49</v>
      </c>
      <c r="F11510" s="133" t="s">
        <v>11</v>
      </c>
      <c r="G11510" s="134" t="n">
        <f aca="false">LEN('Saisie programme'!$D$424)+SUMIFS('Vols additionnels'!$E$7:$E$66,'Vols additionnels'!$C$7:$C$66,$E11510,'Vols additionnels'!$D$7:$D$66,$F11510,'Vols additionnels'!$B$7:$B$66,$D11510)</f>
        <v>0</v>
      </c>
      <c r="H11510" s="135" t="n">
        <f aca="false">$G11510*'Analyse capacite'!$F$7</f>
        <v>0</v>
      </c>
      <c r="I11510" s="135" t="n">
        <f aca="false">$G11510*'Analyse capacite'!$C$7</f>
        <v>0</v>
      </c>
      <c r="J11510" s="135" t="n">
        <f aca="false">$G11510*'Analyse capacite'!$D$7</f>
        <v>0</v>
      </c>
      <c r="K11510" s="135" t="n">
        <f aca="false">$G11510*'Analyse capacite'!$E$7</f>
        <v>0</v>
      </c>
    </row>
    <row r="11511" customFormat="false" ht="15" hidden="false" customHeight="false" outlineLevel="0" collapsed="false">
      <c r="B11511" s="130" t="n">
        <v>2028</v>
      </c>
      <c r="C11511" s="131" t="s">
        <v>256</v>
      </c>
      <c r="D11511" s="132" t="n">
        <v>46797</v>
      </c>
      <c r="E11511" s="131" t="s">
        <v>49</v>
      </c>
      <c r="F11511" s="133" t="s">
        <v>19</v>
      </c>
      <c r="G11511" s="134" t="n">
        <f aca="false">LEN('Saisie programme'!$D$425)+SUMIFS('Vols additionnels'!$E$7:$E$66,'Vols additionnels'!$C$7:$C$66,$E11511,'Vols additionnels'!$D$7:$D$66,$F11511,'Vols additionnels'!$B$7:$B$66,$D11511)</f>
        <v>1</v>
      </c>
      <c r="H11511" s="135" t="n">
        <f aca="false">$G11511*'Analyse capacite'!$F$8</f>
        <v>262</v>
      </c>
      <c r="I11511" s="135" t="n">
        <f aca="false">$G11511*'Analyse capacite'!$C$8</f>
        <v>18</v>
      </c>
      <c r="J11511" s="135" t="n">
        <f aca="false">$G11511*'Analyse capacite'!$D$8</f>
        <v>0</v>
      </c>
      <c r="K11511" s="135" t="n">
        <f aca="false">$G11511*'Analyse capacite'!$E$8</f>
        <v>244</v>
      </c>
    </row>
    <row r="11512" customFormat="false" ht="15" hidden="false" customHeight="false" outlineLevel="0" collapsed="false">
      <c r="B11512" s="130" t="n">
        <v>2028</v>
      </c>
      <c r="C11512" s="131" t="s">
        <v>256</v>
      </c>
      <c r="D11512" s="132" t="n">
        <v>46797</v>
      </c>
      <c r="E11512" s="131" t="s">
        <v>49</v>
      </c>
      <c r="F11512" s="133" t="s">
        <v>24</v>
      </c>
      <c r="G11512" s="134" t="n">
        <f aca="false">LEN('Saisie programme'!$D$426)+SUMIFS('Vols additionnels'!$E$7:$E$66,'Vols additionnels'!$C$7:$C$66,$E11512,'Vols additionnels'!$D$7:$D$66,$F11512,'Vols additionnels'!$B$7:$B$66,$D11512)</f>
        <v>0</v>
      </c>
      <c r="H11512" s="135" t="n">
        <f aca="false">$G11512*'Analyse capacite'!$F$9</f>
        <v>0</v>
      </c>
      <c r="I11512" s="135" t="n">
        <f aca="false">$G11512*'Analyse capacite'!$C$9</f>
        <v>0</v>
      </c>
      <c r="J11512" s="135" t="n">
        <f aca="false">$G11512*'Analyse capacite'!$D$9</f>
        <v>0</v>
      </c>
      <c r="K11512" s="135" t="n">
        <f aca="false">$G11512*'Analyse capacite'!$E$9</f>
        <v>0</v>
      </c>
    </row>
    <row r="11513" customFormat="false" ht="15" hidden="false" customHeight="false" outlineLevel="0" collapsed="false">
      <c r="B11513" s="130" t="n">
        <v>2028</v>
      </c>
      <c r="C11513" s="131" t="s">
        <v>256</v>
      </c>
      <c r="D11513" s="132" t="n">
        <v>46797</v>
      </c>
      <c r="E11513" s="131" t="s">
        <v>53</v>
      </c>
      <c r="F11513" s="133" t="s">
        <v>11</v>
      </c>
      <c r="G11513" s="134" t="n">
        <f aca="false">LEN('Saisie programme'!$D$427)+SUMIFS('Vols additionnels'!$E$7:$E$66,'Vols additionnels'!$C$7:$C$66,$E11513,'Vols additionnels'!$D$7:$D$66,$F11513,'Vols additionnels'!$B$7:$B$66,$D11513)</f>
        <v>0</v>
      </c>
      <c r="H11513" s="135" t="n">
        <f aca="false">$G11513*'Analyse capacite'!$F$7</f>
        <v>0</v>
      </c>
      <c r="I11513" s="135" t="n">
        <f aca="false">$G11513*'Analyse capacite'!$C$7</f>
        <v>0</v>
      </c>
      <c r="J11513" s="135" t="n">
        <f aca="false">$G11513*'Analyse capacite'!$D$7</f>
        <v>0</v>
      </c>
      <c r="K11513" s="135" t="n">
        <f aca="false">$G11513*'Analyse capacite'!$E$7</f>
        <v>0</v>
      </c>
    </row>
    <row r="11514" customFormat="false" ht="15" hidden="false" customHeight="false" outlineLevel="0" collapsed="false">
      <c r="B11514" s="130" t="n">
        <v>2028</v>
      </c>
      <c r="C11514" s="131" t="s">
        <v>256</v>
      </c>
      <c r="D11514" s="132" t="n">
        <v>46797</v>
      </c>
      <c r="E11514" s="131" t="s">
        <v>53</v>
      </c>
      <c r="F11514" s="133" t="s">
        <v>19</v>
      </c>
      <c r="G11514" s="134" t="n">
        <f aca="false">LEN('Saisie programme'!$D$428)+SUMIFS('Vols additionnels'!$E$7:$E$66,'Vols additionnels'!$C$7:$C$66,$E11514,'Vols additionnels'!$D$7:$D$66,$F11514,'Vols additionnels'!$B$7:$B$66,$D11514)</f>
        <v>0</v>
      </c>
      <c r="H11514" s="135" t="n">
        <f aca="false">$G11514*'Analyse capacite'!$F$8</f>
        <v>0</v>
      </c>
      <c r="I11514" s="135" t="n">
        <f aca="false">$G11514*'Analyse capacite'!$C$8</f>
        <v>0</v>
      </c>
      <c r="J11514" s="135" t="n">
        <f aca="false">$G11514*'Analyse capacite'!$D$8</f>
        <v>0</v>
      </c>
      <c r="K11514" s="135" t="n">
        <f aca="false">$G11514*'Analyse capacite'!$E$8</f>
        <v>0</v>
      </c>
    </row>
    <row r="11515" customFormat="false" ht="15" hidden="false" customHeight="false" outlineLevel="0" collapsed="false">
      <c r="B11515" s="130" t="n">
        <v>2028</v>
      </c>
      <c r="C11515" s="131" t="s">
        <v>256</v>
      </c>
      <c r="D11515" s="132" t="n">
        <v>46797</v>
      </c>
      <c r="E11515" s="131" t="s">
        <v>53</v>
      </c>
      <c r="F11515" s="133" t="s">
        <v>24</v>
      </c>
      <c r="G11515" s="134" t="n">
        <f aca="false">LEN('Saisie programme'!$D$429)+SUMIFS('Vols additionnels'!$E$7:$E$66,'Vols additionnels'!$C$7:$C$66,$E11515,'Vols additionnels'!$D$7:$D$66,$F11515,'Vols additionnels'!$B$7:$B$66,$D11515)</f>
        <v>0</v>
      </c>
      <c r="H11515" s="135" t="n">
        <f aca="false">$G11515*'Analyse capacite'!$F$9</f>
        <v>0</v>
      </c>
      <c r="I11515" s="135" t="n">
        <f aca="false">$G11515*'Analyse capacite'!$C$9</f>
        <v>0</v>
      </c>
      <c r="J11515" s="135" t="n">
        <f aca="false">$G11515*'Analyse capacite'!$D$9</f>
        <v>0</v>
      </c>
      <c r="K11515" s="135" t="n">
        <f aca="false">$G11515*'Analyse capacite'!$E$9</f>
        <v>0</v>
      </c>
    </row>
    <row r="11516" customFormat="false" ht="15" hidden="false" customHeight="false" outlineLevel="0" collapsed="false">
      <c r="B11516" s="130" t="n">
        <v>2028</v>
      </c>
      <c r="C11516" s="131" t="s">
        <v>256</v>
      </c>
      <c r="D11516" s="132" t="n">
        <v>46797</v>
      </c>
      <c r="E11516" s="131" t="s">
        <v>56</v>
      </c>
      <c r="F11516" s="133" t="s">
        <v>11</v>
      </c>
      <c r="G11516" s="134" t="n">
        <f aca="false">LEN('Saisie programme'!$D$430)+SUMIFS('Vols additionnels'!$E$7:$E$66,'Vols additionnels'!$C$7:$C$66,$E11516,'Vols additionnels'!$D$7:$D$66,$F11516,'Vols additionnels'!$B$7:$B$66,$D11516)</f>
        <v>0</v>
      </c>
      <c r="H11516" s="135" t="n">
        <f aca="false">$G11516*'Analyse capacite'!$F$7</f>
        <v>0</v>
      </c>
      <c r="I11516" s="135" t="n">
        <f aca="false">$G11516*'Analyse capacite'!$C$7</f>
        <v>0</v>
      </c>
      <c r="J11516" s="135" t="n">
        <f aca="false">$G11516*'Analyse capacite'!$D$7</f>
        <v>0</v>
      </c>
      <c r="K11516" s="135" t="n">
        <f aca="false">$G11516*'Analyse capacite'!$E$7</f>
        <v>0</v>
      </c>
    </row>
    <row r="11517" customFormat="false" ht="15" hidden="false" customHeight="false" outlineLevel="0" collapsed="false">
      <c r="B11517" s="130" t="n">
        <v>2028</v>
      </c>
      <c r="C11517" s="131" t="s">
        <v>256</v>
      </c>
      <c r="D11517" s="132" t="n">
        <v>46797</v>
      </c>
      <c r="E11517" s="131" t="s">
        <v>56</v>
      </c>
      <c r="F11517" s="133" t="s">
        <v>19</v>
      </c>
      <c r="G11517" s="134" t="n">
        <f aca="false">LEN('Saisie programme'!$D$431)+SUMIFS('Vols additionnels'!$E$7:$E$66,'Vols additionnels'!$C$7:$C$66,$E11517,'Vols additionnels'!$D$7:$D$66,$F11517,'Vols additionnels'!$B$7:$B$66,$D11517)</f>
        <v>0</v>
      </c>
      <c r="H11517" s="135" t="n">
        <f aca="false">$G11517*'Analyse capacite'!$F$8</f>
        <v>0</v>
      </c>
      <c r="I11517" s="135" t="n">
        <f aca="false">$G11517*'Analyse capacite'!$C$8</f>
        <v>0</v>
      </c>
      <c r="J11517" s="135" t="n">
        <f aca="false">$G11517*'Analyse capacite'!$D$8</f>
        <v>0</v>
      </c>
      <c r="K11517" s="135" t="n">
        <f aca="false">$G11517*'Analyse capacite'!$E$8</f>
        <v>0</v>
      </c>
    </row>
    <row r="11518" customFormat="false" ht="15" hidden="false" customHeight="false" outlineLevel="0" collapsed="false">
      <c r="B11518" s="130" t="n">
        <v>2028</v>
      </c>
      <c r="C11518" s="131" t="s">
        <v>256</v>
      </c>
      <c r="D11518" s="132" t="n">
        <v>46797</v>
      </c>
      <c r="E11518" s="131" t="s">
        <v>56</v>
      </c>
      <c r="F11518" s="133" t="s">
        <v>24</v>
      </c>
      <c r="G11518" s="134" t="n">
        <f aca="false">LEN('Saisie programme'!$D$432)+SUMIFS('Vols additionnels'!$E$7:$E$66,'Vols additionnels'!$C$7:$C$66,$E11518,'Vols additionnels'!$D$7:$D$66,$F11518,'Vols additionnels'!$B$7:$B$66,$D11518)</f>
        <v>0</v>
      </c>
      <c r="H11518" s="135" t="n">
        <f aca="false">$G11518*'Analyse capacite'!$F$9</f>
        <v>0</v>
      </c>
      <c r="I11518" s="135" t="n">
        <f aca="false">$G11518*'Analyse capacite'!$C$9</f>
        <v>0</v>
      </c>
      <c r="J11518" s="135" t="n">
        <f aca="false">$G11518*'Analyse capacite'!$D$9</f>
        <v>0</v>
      </c>
      <c r="K11518" s="135" t="n">
        <f aca="false">$G11518*'Analyse capacite'!$E$9</f>
        <v>0</v>
      </c>
    </row>
    <row r="11519" customFormat="false" ht="15" hidden="false" customHeight="false" outlineLevel="0" collapsed="false">
      <c r="B11519" s="130" t="n">
        <v>2028</v>
      </c>
      <c r="C11519" s="131" t="s">
        <v>256</v>
      </c>
      <c r="D11519" s="132" t="n">
        <v>46797</v>
      </c>
      <c r="E11519" s="131" t="s">
        <v>59</v>
      </c>
      <c r="F11519" s="133" t="s">
        <v>11</v>
      </c>
      <c r="G11519" s="134" t="n">
        <f aca="false">LEN('Saisie programme'!$D$433)+SUMIFS('Vols additionnels'!$E$7:$E$66,'Vols additionnels'!$C$7:$C$66,$E11519,'Vols additionnels'!$D$7:$D$66,$F11519,'Vols additionnels'!$B$7:$B$66,$D11519)</f>
        <v>0</v>
      </c>
      <c r="H11519" s="135" t="n">
        <f aca="false">$G11519*'Analyse capacite'!$F$7</f>
        <v>0</v>
      </c>
      <c r="I11519" s="135" t="n">
        <f aca="false">$G11519*'Analyse capacite'!$C$7</f>
        <v>0</v>
      </c>
      <c r="J11519" s="135" t="n">
        <f aca="false">$G11519*'Analyse capacite'!$D$7</f>
        <v>0</v>
      </c>
      <c r="K11519" s="135" t="n">
        <f aca="false">$G11519*'Analyse capacite'!$E$7</f>
        <v>0</v>
      </c>
    </row>
    <row r="11520" customFormat="false" ht="15" hidden="false" customHeight="false" outlineLevel="0" collapsed="false">
      <c r="B11520" s="130" t="n">
        <v>2028</v>
      </c>
      <c r="C11520" s="131" t="s">
        <v>256</v>
      </c>
      <c r="D11520" s="132" t="n">
        <v>46797</v>
      </c>
      <c r="E11520" s="131" t="s">
        <v>59</v>
      </c>
      <c r="F11520" s="133" t="s">
        <v>19</v>
      </c>
      <c r="G11520" s="134" t="n">
        <f aca="false">LEN('Saisie programme'!$D$434)+SUMIFS('Vols additionnels'!$E$7:$E$66,'Vols additionnels'!$C$7:$C$66,$E11520,'Vols additionnels'!$D$7:$D$66,$F11520,'Vols additionnels'!$B$7:$B$66,$D11520)</f>
        <v>0</v>
      </c>
      <c r="H11520" s="135" t="n">
        <f aca="false">$G11520*'Analyse capacite'!$F$8</f>
        <v>0</v>
      </c>
      <c r="I11520" s="135" t="n">
        <f aca="false">$G11520*'Analyse capacite'!$C$8</f>
        <v>0</v>
      </c>
      <c r="J11520" s="135" t="n">
        <f aca="false">$G11520*'Analyse capacite'!$D$8</f>
        <v>0</v>
      </c>
      <c r="K11520" s="135" t="n">
        <f aca="false">$G11520*'Analyse capacite'!$E$8</f>
        <v>0</v>
      </c>
    </row>
    <row r="11521" customFormat="false" ht="15" hidden="false" customHeight="false" outlineLevel="0" collapsed="false">
      <c r="B11521" s="130" t="n">
        <v>2028</v>
      </c>
      <c r="C11521" s="131" t="s">
        <v>256</v>
      </c>
      <c r="D11521" s="132" t="n">
        <v>46797</v>
      </c>
      <c r="E11521" s="131" t="s">
        <v>59</v>
      </c>
      <c r="F11521" s="133" t="s">
        <v>24</v>
      </c>
      <c r="G11521" s="134" t="n">
        <f aca="false">LEN('Saisie programme'!$D$435)+SUMIFS('Vols additionnels'!$E$7:$E$66,'Vols additionnels'!$C$7:$C$66,$E11521,'Vols additionnels'!$D$7:$D$66,$F11521,'Vols additionnels'!$B$7:$B$66,$D11521)</f>
        <v>1</v>
      </c>
      <c r="H11521" s="135" t="n">
        <f aca="false">$G11521*'Analyse capacite'!$F$9</f>
        <v>174</v>
      </c>
      <c r="I11521" s="135" t="n">
        <f aca="false">$G11521*'Analyse capacite'!$C$9</f>
        <v>0</v>
      </c>
      <c r="J11521" s="135" t="n">
        <f aca="false">$G11521*'Analyse capacite'!$D$9</f>
        <v>12</v>
      </c>
      <c r="K11521" s="135" t="n">
        <f aca="false">$G11521*'Analyse capacite'!$E$9</f>
        <v>162</v>
      </c>
    </row>
    <row r="11522" customFormat="false" ht="15" hidden="false" customHeight="false" outlineLevel="0" collapsed="false">
      <c r="B11522" s="130" t="n">
        <v>2028</v>
      </c>
      <c r="C11522" s="131" t="s">
        <v>256</v>
      </c>
      <c r="D11522" s="132" t="n">
        <v>46797</v>
      </c>
      <c r="E11522" s="131" t="s">
        <v>62</v>
      </c>
      <c r="F11522" s="133" t="s">
        <v>11</v>
      </c>
      <c r="G11522" s="134" t="n">
        <f aca="false">LEN('Saisie programme'!$D$436)+SUMIFS('Vols additionnels'!$E$7:$E$66,'Vols additionnels'!$C$7:$C$66,$E11522,'Vols additionnels'!$D$7:$D$66,$F11522,'Vols additionnels'!$B$7:$B$66,$D11522)</f>
        <v>0</v>
      </c>
      <c r="H11522" s="135" t="n">
        <f aca="false">$G11522*'Analyse capacite'!$F$7</f>
        <v>0</v>
      </c>
      <c r="I11522" s="135" t="n">
        <f aca="false">$G11522*'Analyse capacite'!$C$7</f>
        <v>0</v>
      </c>
      <c r="J11522" s="135" t="n">
        <f aca="false">$G11522*'Analyse capacite'!$D$7</f>
        <v>0</v>
      </c>
      <c r="K11522" s="135" t="n">
        <f aca="false">$G11522*'Analyse capacite'!$E$7</f>
        <v>0</v>
      </c>
    </row>
    <row r="11523" customFormat="false" ht="15" hidden="false" customHeight="false" outlineLevel="0" collapsed="false">
      <c r="B11523" s="130" t="n">
        <v>2028</v>
      </c>
      <c r="C11523" s="131" t="s">
        <v>256</v>
      </c>
      <c r="D11523" s="132" t="n">
        <v>46797</v>
      </c>
      <c r="E11523" s="131" t="s">
        <v>62</v>
      </c>
      <c r="F11523" s="133" t="s">
        <v>19</v>
      </c>
      <c r="G11523" s="134" t="n">
        <f aca="false">LEN('Saisie programme'!$D$437)+SUMIFS('Vols additionnels'!$E$7:$E$66,'Vols additionnels'!$C$7:$C$66,$E11523,'Vols additionnels'!$D$7:$D$66,$F11523,'Vols additionnels'!$B$7:$B$66,$D11523)</f>
        <v>0</v>
      </c>
      <c r="H11523" s="135" t="n">
        <f aca="false">$G11523*'Analyse capacite'!$F$8</f>
        <v>0</v>
      </c>
      <c r="I11523" s="135" t="n">
        <f aca="false">$G11523*'Analyse capacite'!$C$8</f>
        <v>0</v>
      </c>
      <c r="J11523" s="135" t="n">
        <f aca="false">$G11523*'Analyse capacite'!$D$8</f>
        <v>0</v>
      </c>
      <c r="K11523" s="135" t="n">
        <f aca="false">$G11523*'Analyse capacite'!$E$8</f>
        <v>0</v>
      </c>
    </row>
    <row r="11524" customFormat="false" ht="15" hidden="false" customHeight="false" outlineLevel="0" collapsed="false">
      <c r="B11524" s="130" t="n">
        <v>2028</v>
      </c>
      <c r="C11524" s="131" t="s">
        <v>256</v>
      </c>
      <c r="D11524" s="132" t="n">
        <v>46797</v>
      </c>
      <c r="E11524" s="131" t="s">
        <v>62</v>
      </c>
      <c r="F11524" s="133" t="s">
        <v>24</v>
      </c>
      <c r="G11524" s="134" t="n">
        <f aca="false">LEN('Saisie programme'!$D$438)+SUMIFS('Vols additionnels'!$E$7:$E$66,'Vols additionnels'!$C$7:$C$66,$E11524,'Vols additionnels'!$D$7:$D$66,$F11524,'Vols additionnels'!$B$7:$B$66,$D11524)</f>
        <v>0</v>
      </c>
      <c r="H11524" s="135" t="n">
        <f aca="false">$G11524*'Analyse capacite'!$F$9</f>
        <v>0</v>
      </c>
      <c r="I11524" s="135" t="n">
        <f aca="false">$G11524*'Analyse capacite'!$C$9</f>
        <v>0</v>
      </c>
      <c r="J11524" s="135" t="n">
        <f aca="false">$G11524*'Analyse capacite'!$D$9</f>
        <v>0</v>
      </c>
      <c r="K11524" s="135" t="n">
        <f aca="false">$G11524*'Analyse capacite'!$E$9</f>
        <v>0</v>
      </c>
    </row>
    <row r="11525" customFormat="false" ht="15" hidden="false" customHeight="false" outlineLevel="0" collapsed="false">
      <c r="B11525" s="130" t="n">
        <v>2028</v>
      </c>
      <c r="C11525" s="131" t="s">
        <v>256</v>
      </c>
      <c r="D11525" s="132" t="n">
        <v>46798</v>
      </c>
      <c r="E11525" s="131" t="s">
        <v>12</v>
      </c>
      <c r="F11525" s="133" t="s">
        <v>11</v>
      </c>
      <c r="G11525" s="134" t="n">
        <f aca="false">LEN('Saisie programme'!$E$403)+SUMIFS('Vols additionnels'!$E$7:$E$66,'Vols additionnels'!$C$7:$C$66,$E11525,'Vols additionnels'!$D$7:$D$66,$F11525,'Vols additionnels'!$B$7:$B$66,$D11525)</f>
        <v>1</v>
      </c>
      <c r="H11525" s="135" t="n">
        <f aca="false">$G11525*'Analyse capacite'!$F$7</f>
        <v>438</v>
      </c>
      <c r="I11525" s="135" t="n">
        <f aca="false">$G11525*'Analyse capacite'!$C$7</f>
        <v>14</v>
      </c>
      <c r="J11525" s="135" t="n">
        <f aca="false">$G11525*'Analyse capacite'!$D$7</f>
        <v>40</v>
      </c>
      <c r="K11525" s="135" t="n">
        <f aca="false">$G11525*'Analyse capacite'!$E$7</f>
        <v>384</v>
      </c>
    </row>
    <row r="11526" customFormat="false" ht="15" hidden="false" customHeight="false" outlineLevel="0" collapsed="false">
      <c r="B11526" s="130" t="n">
        <v>2028</v>
      </c>
      <c r="C11526" s="131" t="s">
        <v>256</v>
      </c>
      <c r="D11526" s="132" t="n">
        <v>46798</v>
      </c>
      <c r="E11526" s="131" t="s">
        <v>12</v>
      </c>
      <c r="F11526" s="133" t="s">
        <v>19</v>
      </c>
      <c r="G11526" s="134" t="n">
        <f aca="false">LEN('Saisie programme'!$E$404)+SUMIFS('Vols additionnels'!$E$7:$E$66,'Vols additionnels'!$C$7:$C$66,$E11526,'Vols additionnels'!$D$7:$D$66,$F11526,'Vols additionnels'!$B$7:$B$66,$D11526)</f>
        <v>0</v>
      </c>
      <c r="H11526" s="135" t="n">
        <f aca="false">$G11526*'Analyse capacite'!$F$8</f>
        <v>0</v>
      </c>
      <c r="I11526" s="135" t="n">
        <f aca="false">$G11526*'Analyse capacite'!$C$8</f>
        <v>0</v>
      </c>
      <c r="J11526" s="135" t="n">
        <f aca="false">$G11526*'Analyse capacite'!$D$8</f>
        <v>0</v>
      </c>
      <c r="K11526" s="135" t="n">
        <f aca="false">$G11526*'Analyse capacite'!$E$8</f>
        <v>0</v>
      </c>
    </row>
    <row r="11527" customFormat="false" ht="15" hidden="false" customHeight="false" outlineLevel="0" collapsed="false">
      <c r="B11527" s="130" t="n">
        <v>2028</v>
      </c>
      <c r="C11527" s="131" t="s">
        <v>256</v>
      </c>
      <c r="D11527" s="132" t="n">
        <v>46798</v>
      </c>
      <c r="E11527" s="131" t="s">
        <v>12</v>
      </c>
      <c r="F11527" s="133" t="s">
        <v>24</v>
      </c>
      <c r="G11527" s="134" t="n">
        <f aca="false">LEN('Saisie programme'!$E$405)+SUMIFS('Vols additionnels'!$E$7:$E$66,'Vols additionnels'!$C$7:$C$66,$E11527,'Vols additionnels'!$D$7:$D$66,$F11527,'Vols additionnels'!$B$7:$B$66,$D11527)</f>
        <v>0</v>
      </c>
      <c r="H11527" s="135" t="n">
        <f aca="false">$G11527*'Analyse capacite'!$F$9</f>
        <v>0</v>
      </c>
      <c r="I11527" s="135" t="n">
        <f aca="false">$G11527*'Analyse capacite'!$C$9</f>
        <v>0</v>
      </c>
      <c r="J11527" s="135" t="n">
        <f aca="false">$G11527*'Analyse capacite'!$D$9</f>
        <v>0</v>
      </c>
      <c r="K11527" s="135" t="n">
        <f aca="false">$G11527*'Analyse capacite'!$E$9</f>
        <v>0</v>
      </c>
    </row>
    <row r="11528" customFormat="false" ht="15" hidden="false" customHeight="false" outlineLevel="0" collapsed="false">
      <c r="B11528" s="130" t="n">
        <v>2028</v>
      </c>
      <c r="C11528" s="131" t="s">
        <v>256</v>
      </c>
      <c r="D11528" s="132" t="n">
        <v>46798</v>
      </c>
      <c r="E11528" s="131" t="s">
        <v>20</v>
      </c>
      <c r="F11528" s="133" t="s">
        <v>11</v>
      </c>
      <c r="G11528" s="134" t="n">
        <f aca="false">LEN('Saisie programme'!$E$406)+SUMIFS('Vols additionnels'!$E$7:$E$66,'Vols additionnels'!$C$7:$C$66,$E11528,'Vols additionnels'!$D$7:$D$66,$F11528,'Vols additionnels'!$B$7:$B$66,$D11528)</f>
        <v>0</v>
      </c>
      <c r="H11528" s="135" t="n">
        <f aca="false">$G11528*'Analyse capacite'!$F$7</f>
        <v>0</v>
      </c>
      <c r="I11528" s="135" t="n">
        <f aca="false">$G11528*'Analyse capacite'!$C$7</f>
        <v>0</v>
      </c>
      <c r="J11528" s="135" t="n">
        <f aca="false">$G11528*'Analyse capacite'!$D$7</f>
        <v>0</v>
      </c>
      <c r="K11528" s="135" t="n">
        <f aca="false">$G11528*'Analyse capacite'!$E$7</f>
        <v>0</v>
      </c>
    </row>
    <row r="11529" customFormat="false" ht="15" hidden="false" customHeight="false" outlineLevel="0" collapsed="false">
      <c r="B11529" s="130" t="n">
        <v>2028</v>
      </c>
      <c r="C11529" s="131" t="s">
        <v>256</v>
      </c>
      <c r="D11529" s="132" t="n">
        <v>46798</v>
      </c>
      <c r="E11529" s="131" t="s">
        <v>20</v>
      </c>
      <c r="F11529" s="133" t="s">
        <v>19</v>
      </c>
      <c r="G11529" s="134" t="n">
        <f aca="false">LEN('Saisie programme'!$E$407)+SUMIFS('Vols additionnels'!$E$7:$E$66,'Vols additionnels'!$C$7:$C$66,$E11529,'Vols additionnels'!$D$7:$D$66,$F11529,'Vols additionnels'!$B$7:$B$66,$D11529)</f>
        <v>1</v>
      </c>
      <c r="H11529" s="135" t="n">
        <f aca="false">$G11529*'Analyse capacite'!$F$8</f>
        <v>262</v>
      </c>
      <c r="I11529" s="135" t="n">
        <f aca="false">$G11529*'Analyse capacite'!$C$8</f>
        <v>18</v>
      </c>
      <c r="J11529" s="135" t="n">
        <f aca="false">$G11529*'Analyse capacite'!$D$8</f>
        <v>0</v>
      </c>
      <c r="K11529" s="135" t="n">
        <f aca="false">$G11529*'Analyse capacite'!$E$8</f>
        <v>244</v>
      </c>
    </row>
    <row r="11530" customFormat="false" ht="15" hidden="false" customHeight="false" outlineLevel="0" collapsed="false">
      <c r="B11530" s="130" t="n">
        <v>2028</v>
      </c>
      <c r="C11530" s="131" t="s">
        <v>256</v>
      </c>
      <c r="D11530" s="132" t="n">
        <v>46798</v>
      </c>
      <c r="E11530" s="131" t="s">
        <v>20</v>
      </c>
      <c r="F11530" s="133" t="s">
        <v>24</v>
      </c>
      <c r="G11530" s="134" t="n">
        <f aca="false">LEN('Saisie programme'!$E$408)+SUMIFS('Vols additionnels'!$E$7:$E$66,'Vols additionnels'!$C$7:$C$66,$E11530,'Vols additionnels'!$D$7:$D$66,$F11530,'Vols additionnels'!$B$7:$B$66,$D11530)</f>
        <v>0</v>
      </c>
      <c r="H11530" s="135" t="n">
        <f aca="false">$G11530*'Analyse capacite'!$F$9</f>
        <v>0</v>
      </c>
      <c r="I11530" s="135" t="n">
        <f aca="false">$G11530*'Analyse capacite'!$C$9</f>
        <v>0</v>
      </c>
      <c r="J11530" s="135" t="n">
        <f aca="false">$G11530*'Analyse capacite'!$D$9</f>
        <v>0</v>
      </c>
      <c r="K11530" s="135" t="n">
        <f aca="false">$G11530*'Analyse capacite'!$E$9</f>
        <v>0</v>
      </c>
    </row>
    <row r="11531" customFormat="false" ht="15" hidden="false" customHeight="false" outlineLevel="0" collapsed="false">
      <c r="B11531" s="130" t="n">
        <v>2028</v>
      </c>
      <c r="C11531" s="131" t="s">
        <v>256</v>
      </c>
      <c r="D11531" s="132" t="n">
        <v>46798</v>
      </c>
      <c r="E11531" s="131" t="s">
        <v>25</v>
      </c>
      <c r="F11531" s="133" t="s">
        <v>11</v>
      </c>
      <c r="G11531" s="134" t="n">
        <f aca="false">LEN('Saisie programme'!$E$409)+SUMIFS('Vols additionnels'!$E$7:$E$66,'Vols additionnels'!$C$7:$C$66,$E11531,'Vols additionnels'!$D$7:$D$66,$F11531,'Vols additionnels'!$B$7:$B$66,$D11531)</f>
        <v>0</v>
      </c>
      <c r="H11531" s="135" t="n">
        <f aca="false">$G11531*'Analyse capacite'!$F$7</f>
        <v>0</v>
      </c>
      <c r="I11531" s="135" t="n">
        <f aca="false">$G11531*'Analyse capacite'!$C$7</f>
        <v>0</v>
      </c>
      <c r="J11531" s="135" t="n">
        <f aca="false">$G11531*'Analyse capacite'!$D$7</f>
        <v>0</v>
      </c>
      <c r="K11531" s="135" t="n">
        <f aca="false">$G11531*'Analyse capacite'!$E$7</f>
        <v>0</v>
      </c>
    </row>
    <row r="11532" customFormat="false" ht="15" hidden="false" customHeight="false" outlineLevel="0" collapsed="false">
      <c r="B11532" s="130" t="n">
        <v>2028</v>
      </c>
      <c r="C11532" s="131" t="s">
        <v>256</v>
      </c>
      <c r="D11532" s="132" t="n">
        <v>46798</v>
      </c>
      <c r="E11532" s="131" t="s">
        <v>25</v>
      </c>
      <c r="F11532" s="133" t="s">
        <v>19</v>
      </c>
      <c r="G11532" s="134" t="n">
        <f aca="false">LEN('Saisie programme'!$E$410)+SUMIFS('Vols additionnels'!$E$7:$E$66,'Vols additionnels'!$C$7:$C$66,$E11532,'Vols additionnels'!$D$7:$D$66,$F11532,'Vols additionnels'!$B$7:$B$66,$D11532)</f>
        <v>0</v>
      </c>
      <c r="H11532" s="135" t="n">
        <f aca="false">$G11532*'Analyse capacite'!$F$8</f>
        <v>0</v>
      </c>
      <c r="I11532" s="135" t="n">
        <f aca="false">$G11532*'Analyse capacite'!$C$8</f>
        <v>0</v>
      </c>
      <c r="J11532" s="135" t="n">
        <f aca="false">$G11532*'Analyse capacite'!$D$8</f>
        <v>0</v>
      </c>
      <c r="K11532" s="135" t="n">
        <f aca="false">$G11532*'Analyse capacite'!$E$8</f>
        <v>0</v>
      </c>
    </row>
    <row r="11533" customFormat="false" ht="15" hidden="false" customHeight="false" outlineLevel="0" collapsed="false">
      <c r="B11533" s="130" t="n">
        <v>2028</v>
      </c>
      <c r="C11533" s="131" t="s">
        <v>256</v>
      </c>
      <c r="D11533" s="132" t="n">
        <v>46798</v>
      </c>
      <c r="E11533" s="131" t="s">
        <v>25</v>
      </c>
      <c r="F11533" s="133" t="s">
        <v>24</v>
      </c>
      <c r="G11533" s="134" t="n">
        <f aca="false">LEN('Saisie programme'!$E$411)+SUMIFS('Vols additionnels'!$E$7:$E$66,'Vols additionnels'!$C$7:$C$66,$E11533,'Vols additionnels'!$D$7:$D$66,$F11533,'Vols additionnels'!$B$7:$B$66,$D11533)</f>
        <v>0</v>
      </c>
      <c r="H11533" s="135" t="n">
        <f aca="false">$G11533*'Analyse capacite'!$F$9</f>
        <v>0</v>
      </c>
      <c r="I11533" s="135" t="n">
        <f aca="false">$G11533*'Analyse capacite'!$C$9</f>
        <v>0</v>
      </c>
      <c r="J11533" s="135" t="n">
        <f aca="false">$G11533*'Analyse capacite'!$D$9</f>
        <v>0</v>
      </c>
      <c r="K11533" s="135" t="n">
        <f aca="false">$G11533*'Analyse capacite'!$E$9</f>
        <v>0</v>
      </c>
    </row>
    <row r="11534" customFormat="false" ht="15" hidden="false" customHeight="false" outlineLevel="0" collapsed="false">
      <c r="B11534" s="130" t="n">
        <v>2028</v>
      </c>
      <c r="C11534" s="131" t="s">
        <v>256</v>
      </c>
      <c r="D11534" s="132" t="n">
        <v>46798</v>
      </c>
      <c r="E11534" s="131" t="s">
        <v>36</v>
      </c>
      <c r="F11534" s="133" t="s">
        <v>11</v>
      </c>
      <c r="G11534" s="134" t="n">
        <f aca="false">LEN('Saisie programme'!$E$412)+SUMIFS('Vols additionnels'!$E$7:$E$66,'Vols additionnels'!$C$7:$C$66,$E11534,'Vols additionnels'!$D$7:$D$66,$F11534,'Vols additionnels'!$B$7:$B$66,$D11534)</f>
        <v>0</v>
      </c>
      <c r="H11534" s="135" t="n">
        <f aca="false">$G11534*'Analyse capacite'!$F$7</f>
        <v>0</v>
      </c>
      <c r="I11534" s="135" t="n">
        <f aca="false">$G11534*'Analyse capacite'!$C$7</f>
        <v>0</v>
      </c>
      <c r="J11534" s="135" t="n">
        <f aca="false">$G11534*'Analyse capacite'!$D$7</f>
        <v>0</v>
      </c>
      <c r="K11534" s="135" t="n">
        <f aca="false">$G11534*'Analyse capacite'!$E$7</f>
        <v>0</v>
      </c>
    </row>
    <row r="11535" customFormat="false" ht="15" hidden="false" customHeight="false" outlineLevel="0" collapsed="false">
      <c r="B11535" s="130" t="n">
        <v>2028</v>
      </c>
      <c r="C11535" s="131" t="s">
        <v>256</v>
      </c>
      <c r="D11535" s="132" t="n">
        <v>46798</v>
      </c>
      <c r="E11535" s="131" t="s">
        <v>36</v>
      </c>
      <c r="F11535" s="133" t="s">
        <v>19</v>
      </c>
      <c r="G11535" s="134" t="n">
        <f aca="false">LEN('Saisie programme'!$E$413)+SUMIFS('Vols additionnels'!$E$7:$E$66,'Vols additionnels'!$C$7:$C$66,$E11535,'Vols additionnels'!$D$7:$D$66,$F11535,'Vols additionnels'!$B$7:$B$66,$D11535)</f>
        <v>0</v>
      </c>
      <c r="H11535" s="135" t="n">
        <f aca="false">$G11535*'Analyse capacite'!$F$8</f>
        <v>0</v>
      </c>
      <c r="I11535" s="135" t="n">
        <f aca="false">$G11535*'Analyse capacite'!$C$8</f>
        <v>0</v>
      </c>
      <c r="J11535" s="135" t="n">
        <f aca="false">$G11535*'Analyse capacite'!$D$8</f>
        <v>0</v>
      </c>
      <c r="K11535" s="135" t="n">
        <f aca="false">$G11535*'Analyse capacite'!$E$8</f>
        <v>0</v>
      </c>
    </row>
    <row r="11536" customFormat="false" ht="15" hidden="false" customHeight="false" outlineLevel="0" collapsed="false">
      <c r="B11536" s="130" t="n">
        <v>2028</v>
      </c>
      <c r="C11536" s="131" t="s">
        <v>256</v>
      </c>
      <c r="D11536" s="132" t="n">
        <v>46798</v>
      </c>
      <c r="E11536" s="131" t="s">
        <v>36</v>
      </c>
      <c r="F11536" s="133" t="s">
        <v>24</v>
      </c>
      <c r="G11536" s="134" t="n">
        <f aca="false">LEN('Saisie programme'!$E$414)+SUMIFS('Vols additionnels'!$E$7:$E$66,'Vols additionnels'!$C$7:$C$66,$E11536,'Vols additionnels'!$D$7:$D$66,$F11536,'Vols additionnels'!$B$7:$B$66,$D11536)</f>
        <v>1</v>
      </c>
      <c r="H11536" s="135" t="n">
        <f aca="false">$G11536*'Analyse capacite'!$F$9</f>
        <v>174</v>
      </c>
      <c r="I11536" s="135" t="n">
        <f aca="false">$G11536*'Analyse capacite'!$C$9</f>
        <v>0</v>
      </c>
      <c r="J11536" s="135" t="n">
        <f aca="false">$G11536*'Analyse capacite'!$D$9</f>
        <v>12</v>
      </c>
      <c r="K11536" s="135" t="n">
        <f aca="false">$G11536*'Analyse capacite'!$E$9</f>
        <v>162</v>
      </c>
    </row>
    <row r="11537" customFormat="false" ht="15" hidden="false" customHeight="false" outlineLevel="0" collapsed="false">
      <c r="B11537" s="130" t="n">
        <v>2028</v>
      </c>
      <c r="C11537" s="131" t="s">
        <v>256</v>
      </c>
      <c r="D11537" s="132" t="n">
        <v>46798</v>
      </c>
      <c r="E11537" s="131" t="s">
        <v>40</v>
      </c>
      <c r="F11537" s="133" t="s">
        <v>11</v>
      </c>
      <c r="G11537" s="134" t="n">
        <f aca="false">LEN('Saisie programme'!$E$415)+SUMIFS('Vols additionnels'!$E$7:$E$66,'Vols additionnels'!$C$7:$C$66,$E11537,'Vols additionnels'!$D$7:$D$66,$F11537,'Vols additionnels'!$B$7:$B$66,$D11537)</f>
        <v>0</v>
      </c>
      <c r="H11537" s="135" t="n">
        <f aca="false">$G11537*'Analyse capacite'!$F$7</f>
        <v>0</v>
      </c>
      <c r="I11537" s="135" t="n">
        <f aca="false">$G11537*'Analyse capacite'!$C$7</f>
        <v>0</v>
      </c>
      <c r="J11537" s="135" t="n">
        <f aca="false">$G11537*'Analyse capacite'!$D$7</f>
        <v>0</v>
      </c>
      <c r="K11537" s="135" t="n">
        <f aca="false">$G11537*'Analyse capacite'!$E$7</f>
        <v>0</v>
      </c>
    </row>
    <row r="11538" customFormat="false" ht="15" hidden="false" customHeight="false" outlineLevel="0" collapsed="false">
      <c r="B11538" s="130" t="n">
        <v>2028</v>
      </c>
      <c r="C11538" s="131" t="s">
        <v>256</v>
      </c>
      <c r="D11538" s="132" t="n">
        <v>46798</v>
      </c>
      <c r="E11538" s="131" t="s">
        <v>40</v>
      </c>
      <c r="F11538" s="133" t="s">
        <v>19</v>
      </c>
      <c r="G11538" s="134" t="n">
        <f aca="false">LEN('Saisie programme'!$E$416)+SUMIFS('Vols additionnels'!$E$7:$E$66,'Vols additionnels'!$C$7:$C$66,$E11538,'Vols additionnels'!$D$7:$D$66,$F11538,'Vols additionnels'!$B$7:$B$66,$D11538)</f>
        <v>0</v>
      </c>
      <c r="H11538" s="135" t="n">
        <f aca="false">$G11538*'Analyse capacite'!$F$8</f>
        <v>0</v>
      </c>
      <c r="I11538" s="135" t="n">
        <f aca="false">$G11538*'Analyse capacite'!$C$8</f>
        <v>0</v>
      </c>
      <c r="J11538" s="135" t="n">
        <f aca="false">$G11538*'Analyse capacite'!$D$8</f>
        <v>0</v>
      </c>
      <c r="K11538" s="135" t="n">
        <f aca="false">$G11538*'Analyse capacite'!$E$8</f>
        <v>0</v>
      </c>
    </row>
    <row r="11539" customFormat="false" ht="15" hidden="false" customHeight="false" outlineLevel="0" collapsed="false">
      <c r="B11539" s="130" t="n">
        <v>2028</v>
      </c>
      <c r="C11539" s="131" t="s">
        <v>256</v>
      </c>
      <c r="D11539" s="132" t="n">
        <v>46798</v>
      </c>
      <c r="E11539" s="131" t="s">
        <v>40</v>
      </c>
      <c r="F11539" s="133" t="s">
        <v>24</v>
      </c>
      <c r="G11539" s="134" t="n">
        <f aca="false">LEN('Saisie programme'!$E$417)+SUMIFS('Vols additionnels'!$E$7:$E$66,'Vols additionnels'!$C$7:$C$66,$E11539,'Vols additionnels'!$D$7:$D$66,$F11539,'Vols additionnels'!$B$7:$B$66,$D11539)</f>
        <v>0</v>
      </c>
      <c r="H11539" s="135" t="n">
        <f aca="false">$G11539*'Analyse capacite'!$F$9</f>
        <v>0</v>
      </c>
      <c r="I11539" s="135" t="n">
        <f aca="false">$G11539*'Analyse capacite'!$C$9</f>
        <v>0</v>
      </c>
      <c r="J11539" s="135" t="n">
        <f aca="false">$G11539*'Analyse capacite'!$D$9</f>
        <v>0</v>
      </c>
      <c r="K11539" s="135" t="n">
        <f aca="false">$G11539*'Analyse capacite'!$E$9</f>
        <v>0</v>
      </c>
    </row>
    <row r="11540" customFormat="false" ht="15" hidden="false" customHeight="false" outlineLevel="0" collapsed="false">
      <c r="B11540" s="130" t="n">
        <v>2028</v>
      </c>
      <c r="C11540" s="131" t="s">
        <v>256</v>
      </c>
      <c r="D11540" s="132" t="n">
        <v>46798</v>
      </c>
      <c r="E11540" s="131" t="s">
        <v>14</v>
      </c>
      <c r="F11540" s="133" t="s">
        <v>11</v>
      </c>
      <c r="G11540" s="134" t="n">
        <f aca="false">LEN('Saisie programme'!$E$418)+SUMIFS('Vols additionnels'!$E$7:$E$66,'Vols additionnels'!$C$7:$C$66,$E11540,'Vols additionnels'!$D$7:$D$66,$F11540,'Vols additionnels'!$B$7:$B$66,$D11540)</f>
        <v>0</v>
      </c>
      <c r="H11540" s="135" t="n">
        <f aca="false">$G11540*'Analyse capacite'!$F$7</f>
        <v>0</v>
      </c>
      <c r="I11540" s="135" t="n">
        <f aca="false">$G11540*'Analyse capacite'!$C$7</f>
        <v>0</v>
      </c>
      <c r="J11540" s="135" t="n">
        <f aca="false">$G11540*'Analyse capacite'!$D$7</f>
        <v>0</v>
      </c>
      <c r="K11540" s="135" t="n">
        <f aca="false">$G11540*'Analyse capacite'!$E$7</f>
        <v>0</v>
      </c>
    </row>
    <row r="11541" customFormat="false" ht="15" hidden="false" customHeight="false" outlineLevel="0" collapsed="false">
      <c r="B11541" s="130" t="n">
        <v>2028</v>
      </c>
      <c r="C11541" s="131" t="s">
        <v>256</v>
      </c>
      <c r="D11541" s="132" t="n">
        <v>46798</v>
      </c>
      <c r="E11541" s="131" t="s">
        <v>14</v>
      </c>
      <c r="F11541" s="133" t="s">
        <v>19</v>
      </c>
      <c r="G11541" s="134" t="n">
        <f aca="false">LEN('Saisie programme'!$E$419)+SUMIFS('Vols additionnels'!$E$7:$E$66,'Vols additionnels'!$C$7:$C$66,$E11541,'Vols additionnels'!$D$7:$D$66,$F11541,'Vols additionnels'!$B$7:$B$66,$D11541)</f>
        <v>0</v>
      </c>
      <c r="H11541" s="135" t="n">
        <f aca="false">$G11541*'Analyse capacite'!$F$8</f>
        <v>0</v>
      </c>
      <c r="I11541" s="135" t="n">
        <f aca="false">$G11541*'Analyse capacite'!$C$8</f>
        <v>0</v>
      </c>
      <c r="J11541" s="135" t="n">
        <f aca="false">$G11541*'Analyse capacite'!$D$8</f>
        <v>0</v>
      </c>
      <c r="K11541" s="135" t="n">
        <f aca="false">$G11541*'Analyse capacite'!$E$8</f>
        <v>0</v>
      </c>
    </row>
    <row r="11542" customFormat="false" ht="15" hidden="false" customHeight="false" outlineLevel="0" collapsed="false">
      <c r="B11542" s="130" t="n">
        <v>2028</v>
      </c>
      <c r="C11542" s="131" t="s">
        <v>256</v>
      </c>
      <c r="D11542" s="132" t="n">
        <v>46798</v>
      </c>
      <c r="E11542" s="131" t="s">
        <v>14</v>
      </c>
      <c r="F11542" s="133" t="s">
        <v>24</v>
      </c>
      <c r="G11542" s="134" t="n">
        <f aca="false">LEN('Saisie programme'!$E$420)+SUMIFS('Vols additionnels'!$E$7:$E$66,'Vols additionnels'!$C$7:$C$66,$E11542,'Vols additionnels'!$D$7:$D$66,$F11542,'Vols additionnels'!$B$7:$B$66,$D11542)</f>
        <v>0</v>
      </c>
      <c r="H11542" s="135" t="n">
        <f aca="false">$G11542*'Analyse capacite'!$F$9</f>
        <v>0</v>
      </c>
      <c r="I11542" s="135" t="n">
        <f aca="false">$G11542*'Analyse capacite'!$C$9</f>
        <v>0</v>
      </c>
      <c r="J11542" s="135" t="n">
        <f aca="false">$G11542*'Analyse capacite'!$D$9</f>
        <v>0</v>
      </c>
      <c r="K11542" s="135" t="n">
        <f aca="false">$G11542*'Analyse capacite'!$E$9</f>
        <v>0</v>
      </c>
    </row>
    <row r="11543" customFormat="false" ht="15" hidden="false" customHeight="false" outlineLevel="0" collapsed="false">
      <c r="B11543" s="130" t="n">
        <v>2028</v>
      </c>
      <c r="C11543" s="131" t="s">
        <v>256</v>
      </c>
      <c r="D11543" s="132" t="n">
        <v>46798</v>
      </c>
      <c r="E11543" s="131" t="s">
        <v>46</v>
      </c>
      <c r="F11543" s="133" t="s">
        <v>11</v>
      </c>
      <c r="G11543" s="134" t="n">
        <f aca="false">LEN('Saisie programme'!$E$421)+SUMIFS('Vols additionnels'!$E$7:$E$66,'Vols additionnels'!$C$7:$C$66,$E11543,'Vols additionnels'!$D$7:$D$66,$F11543,'Vols additionnels'!$B$7:$B$66,$D11543)</f>
        <v>0</v>
      </c>
      <c r="H11543" s="135" t="n">
        <f aca="false">$G11543*'Analyse capacite'!$F$7</f>
        <v>0</v>
      </c>
      <c r="I11543" s="135" t="n">
        <f aca="false">$G11543*'Analyse capacite'!$C$7</f>
        <v>0</v>
      </c>
      <c r="J11543" s="135" t="n">
        <f aca="false">$G11543*'Analyse capacite'!$D$7</f>
        <v>0</v>
      </c>
      <c r="K11543" s="135" t="n">
        <f aca="false">$G11543*'Analyse capacite'!$E$7</f>
        <v>0</v>
      </c>
    </row>
    <row r="11544" customFormat="false" ht="15" hidden="false" customHeight="false" outlineLevel="0" collapsed="false">
      <c r="B11544" s="130" t="n">
        <v>2028</v>
      </c>
      <c r="C11544" s="131" t="s">
        <v>256</v>
      </c>
      <c r="D11544" s="132" t="n">
        <v>46798</v>
      </c>
      <c r="E11544" s="131" t="s">
        <v>46</v>
      </c>
      <c r="F11544" s="133" t="s">
        <v>19</v>
      </c>
      <c r="G11544" s="134" t="n">
        <f aca="false">LEN('Saisie programme'!$E$422)+SUMIFS('Vols additionnels'!$E$7:$E$66,'Vols additionnels'!$C$7:$C$66,$E11544,'Vols additionnels'!$D$7:$D$66,$F11544,'Vols additionnels'!$B$7:$B$66,$D11544)</f>
        <v>0</v>
      </c>
      <c r="H11544" s="135" t="n">
        <f aca="false">$G11544*'Analyse capacite'!$F$8</f>
        <v>0</v>
      </c>
      <c r="I11544" s="135" t="n">
        <f aca="false">$G11544*'Analyse capacite'!$C$8</f>
        <v>0</v>
      </c>
      <c r="J11544" s="135" t="n">
        <f aca="false">$G11544*'Analyse capacite'!$D$8</f>
        <v>0</v>
      </c>
      <c r="K11544" s="135" t="n">
        <f aca="false">$G11544*'Analyse capacite'!$E$8</f>
        <v>0</v>
      </c>
    </row>
    <row r="11545" customFormat="false" ht="15" hidden="false" customHeight="false" outlineLevel="0" collapsed="false">
      <c r="B11545" s="130" t="n">
        <v>2028</v>
      </c>
      <c r="C11545" s="131" t="s">
        <v>256</v>
      </c>
      <c r="D11545" s="132" t="n">
        <v>46798</v>
      </c>
      <c r="E11545" s="131" t="s">
        <v>46</v>
      </c>
      <c r="F11545" s="133" t="s">
        <v>24</v>
      </c>
      <c r="G11545" s="134" t="n">
        <f aca="false">LEN('Saisie programme'!$E$423)+SUMIFS('Vols additionnels'!$E$7:$E$66,'Vols additionnels'!$C$7:$C$66,$E11545,'Vols additionnels'!$D$7:$D$66,$F11545,'Vols additionnels'!$B$7:$B$66,$D11545)</f>
        <v>1</v>
      </c>
      <c r="H11545" s="135" t="n">
        <f aca="false">$G11545*'Analyse capacite'!$F$9</f>
        <v>174</v>
      </c>
      <c r="I11545" s="135" t="n">
        <f aca="false">$G11545*'Analyse capacite'!$C$9</f>
        <v>0</v>
      </c>
      <c r="J11545" s="135" t="n">
        <f aca="false">$G11545*'Analyse capacite'!$D$9</f>
        <v>12</v>
      </c>
      <c r="K11545" s="135" t="n">
        <f aca="false">$G11545*'Analyse capacite'!$E$9</f>
        <v>162</v>
      </c>
    </row>
    <row r="11546" customFormat="false" ht="15" hidden="false" customHeight="false" outlineLevel="0" collapsed="false">
      <c r="B11546" s="130" t="n">
        <v>2028</v>
      </c>
      <c r="C11546" s="131" t="s">
        <v>256</v>
      </c>
      <c r="D11546" s="132" t="n">
        <v>46798</v>
      </c>
      <c r="E11546" s="131" t="s">
        <v>49</v>
      </c>
      <c r="F11546" s="133" t="s">
        <v>11</v>
      </c>
      <c r="G11546" s="134" t="n">
        <f aca="false">LEN('Saisie programme'!$E$424)+SUMIFS('Vols additionnels'!$E$7:$E$66,'Vols additionnels'!$C$7:$C$66,$E11546,'Vols additionnels'!$D$7:$D$66,$F11546,'Vols additionnels'!$B$7:$B$66,$D11546)</f>
        <v>0</v>
      </c>
      <c r="H11546" s="135" t="n">
        <f aca="false">$G11546*'Analyse capacite'!$F$7</f>
        <v>0</v>
      </c>
      <c r="I11546" s="135" t="n">
        <f aca="false">$G11546*'Analyse capacite'!$C$7</f>
        <v>0</v>
      </c>
      <c r="J11546" s="135" t="n">
        <f aca="false">$G11546*'Analyse capacite'!$D$7</f>
        <v>0</v>
      </c>
      <c r="K11546" s="135" t="n">
        <f aca="false">$G11546*'Analyse capacite'!$E$7</f>
        <v>0</v>
      </c>
    </row>
    <row r="11547" customFormat="false" ht="15" hidden="false" customHeight="false" outlineLevel="0" collapsed="false">
      <c r="B11547" s="130" t="n">
        <v>2028</v>
      </c>
      <c r="C11547" s="131" t="s">
        <v>256</v>
      </c>
      <c r="D11547" s="132" t="n">
        <v>46798</v>
      </c>
      <c r="E11547" s="131" t="s">
        <v>49</v>
      </c>
      <c r="F11547" s="133" t="s">
        <v>19</v>
      </c>
      <c r="G11547" s="134" t="n">
        <f aca="false">LEN('Saisie programme'!$E$425)+SUMIFS('Vols additionnels'!$E$7:$E$66,'Vols additionnels'!$C$7:$C$66,$E11547,'Vols additionnels'!$D$7:$D$66,$F11547,'Vols additionnels'!$B$7:$B$66,$D11547)</f>
        <v>0</v>
      </c>
      <c r="H11547" s="135" t="n">
        <f aca="false">$G11547*'Analyse capacite'!$F$8</f>
        <v>0</v>
      </c>
      <c r="I11547" s="135" t="n">
        <f aca="false">$G11547*'Analyse capacite'!$C$8</f>
        <v>0</v>
      </c>
      <c r="J11547" s="135" t="n">
        <f aca="false">$G11547*'Analyse capacite'!$D$8</f>
        <v>0</v>
      </c>
      <c r="K11547" s="135" t="n">
        <f aca="false">$G11547*'Analyse capacite'!$E$8</f>
        <v>0</v>
      </c>
    </row>
    <row r="11548" customFormat="false" ht="15" hidden="false" customHeight="false" outlineLevel="0" collapsed="false">
      <c r="B11548" s="130" t="n">
        <v>2028</v>
      </c>
      <c r="C11548" s="131" t="s">
        <v>256</v>
      </c>
      <c r="D11548" s="132" t="n">
        <v>46798</v>
      </c>
      <c r="E11548" s="131" t="s">
        <v>49</v>
      </c>
      <c r="F11548" s="133" t="s">
        <v>24</v>
      </c>
      <c r="G11548" s="134" t="n">
        <f aca="false">LEN('Saisie programme'!$E$426)+SUMIFS('Vols additionnels'!$E$7:$E$66,'Vols additionnels'!$C$7:$C$66,$E11548,'Vols additionnels'!$D$7:$D$66,$F11548,'Vols additionnels'!$B$7:$B$66,$D11548)</f>
        <v>0</v>
      </c>
      <c r="H11548" s="135" t="n">
        <f aca="false">$G11548*'Analyse capacite'!$F$9</f>
        <v>0</v>
      </c>
      <c r="I11548" s="135" t="n">
        <f aca="false">$G11548*'Analyse capacite'!$C$9</f>
        <v>0</v>
      </c>
      <c r="J11548" s="135" t="n">
        <f aca="false">$G11548*'Analyse capacite'!$D$9</f>
        <v>0</v>
      </c>
      <c r="K11548" s="135" t="n">
        <f aca="false">$G11548*'Analyse capacite'!$E$9</f>
        <v>0</v>
      </c>
    </row>
    <row r="11549" customFormat="false" ht="15" hidden="false" customHeight="false" outlineLevel="0" collapsed="false">
      <c r="B11549" s="130" t="n">
        <v>2028</v>
      </c>
      <c r="C11549" s="131" t="s">
        <v>256</v>
      </c>
      <c r="D11549" s="132" t="n">
        <v>46798</v>
      </c>
      <c r="E11549" s="131" t="s">
        <v>53</v>
      </c>
      <c r="F11549" s="133" t="s">
        <v>11</v>
      </c>
      <c r="G11549" s="134" t="n">
        <f aca="false">LEN('Saisie programme'!$E$427)+SUMIFS('Vols additionnels'!$E$7:$E$66,'Vols additionnels'!$C$7:$C$66,$E11549,'Vols additionnels'!$D$7:$D$66,$F11549,'Vols additionnels'!$B$7:$B$66,$D11549)</f>
        <v>0</v>
      </c>
      <c r="H11549" s="135" t="n">
        <f aca="false">$G11549*'Analyse capacite'!$F$7</f>
        <v>0</v>
      </c>
      <c r="I11549" s="135" t="n">
        <f aca="false">$G11549*'Analyse capacite'!$C$7</f>
        <v>0</v>
      </c>
      <c r="J11549" s="135" t="n">
        <f aca="false">$G11549*'Analyse capacite'!$D$7</f>
        <v>0</v>
      </c>
      <c r="K11549" s="135" t="n">
        <f aca="false">$G11549*'Analyse capacite'!$E$7</f>
        <v>0</v>
      </c>
    </row>
    <row r="11550" customFormat="false" ht="15" hidden="false" customHeight="false" outlineLevel="0" collapsed="false">
      <c r="B11550" s="130" t="n">
        <v>2028</v>
      </c>
      <c r="C11550" s="131" t="s">
        <v>256</v>
      </c>
      <c r="D11550" s="132" t="n">
        <v>46798</v>
      </c>
      <c r="E11550" s="131" t="s">
        <v>53</v>
      </c>
      <c r="F11550" s="133" t="s">
        <v>19</v>
      </c>
      <c r="G11550" s="134" t="n">
        <f aca="false">LEN('Saisie programme'!$E$428)+SUMIFS('Vols additionnels'!$E$7:$E$66,'Vols additionnels'!$C$7:$C$66,$E11550,'Vols additionnels'!$D$7:$D$66,$F11550,'Vols additionnels'!$B$7:$B$66,$D11550)</f>
        <v>0</v>
      </c>
      <c r="H11550" s="135" t="n">
        <f aca="false">$G11550*'Analyse capacite'!$F$8</f>
        <v>0</v>
      </c>
      <c r="I11550" s="135" t="n">
        <f aca="false">$G11550*'Analyse capacite'!$C$8</f>
        <v>0</v>
      </c>
      <c r="J11550" s="135" t="n">
        <f aca="false">$G11550*'Analyse capacite'!$D$8</f>
        <v>0</v>
      </c>
      <c r="K11550" s="135" t="n">
        <f aca="false">$G11550*'Analyse capacite'!$E$8</f>
        <v>0</v>
      </c>
    </row>
    <row r="11551" customFormat="false" ht="15" hidden="false" customHeight="false" outlineLevel="0" collapsed="false">
      <c r="B11551" s="130" t="n">
        <v>2028</v>
      </c>
      <c r="C11551" s="131" t="s">
        <v>256</v>
      </c>
      <c r="D11551" s="132" t="n">
        <v>46798</v>
      </c>
      <c r="E11551" s="131" t="s">
        <v>53</v>
      </c>
      <c r="F11551" s="133" t="s">
        <v>24</v>
      </c>
      <c r="G11551" s="134" t="n">
        <f aca="false">LEN('Saisie programme'!$E$429)+SUMIFS('Vols additionnels'!$E$7:$E$66,'Vols additionnels'!$C$7:$C$66,$E11551,'Vols additionnels'!$D$7:$D$66,$F11551,'Vols additionnels'!$B$7:$B$66,$D11551)</f>
        <v>0</v>
      </c>
      <c r="H11551" s="135" t="n">
        <f aca="false">$G11551*'Analyse capacite'!$F$9</f>
        <v>0</v>
      </c>
      <c r="I11551" s="135" t="n">
        <f aca="false">$G11551*'Analyse capacite'!$C$9</f>
        <v>0</v>
      </c>
      <c r="J11551" s="135" t="n">
        <f aca="false">$G11551*'Analyse capacite'!$D$9</f>
        <v>0</v>
      </c>
      <c r="K11551" s="135" t="n">
        <f aca="false">$G11551*'Analyse capacite'!$E$9</f>
        <v>0</v>
      </c>
    </row>
    <row r="11552" customFormat="false" ht="15" hidden="false" customHeight="false" outlineLevel="0" collapsed="false">
      <c r="B11552" s="130" t="n">
        <v>2028</v>
      </c>
      <c r="C11552" s="131" t="s">
        <v>256</v>
      </c>
      <c r="D11552" s="132" t="n">
        <v>46798</v>
      </c>
      <c r="E11552" s="131" t="s">
        <v>56</v>
      </c>
      <c r="F11552" s="133" t="s">
        <v>11</v>
      </c>
      <c r="G11552" s="134" t="n">
        <f aca="false">LEN('Saisie programme'!$E$430)+SUMIFS('Vols additionnels'!$E$7:$E$66,'Vols additionnels'!$C$7:$C$66,$E11552,'Vols additionnels'!$D$7:$D$66,$F11552,'Vols additionnels'!$B$7:$B$66,$D11552)</f>
        <v>0</v>
      </c>
      <c r="H11552" s="135" t="n">
        <f aca="false">$G11552*'Analyse capacite'!$F$7</f>
        <v>0</v>
      </c>
      <c r="I11552" s="135" t="n">
        <f aca="false">$G11552*'Analyse capacite'!$C$7</f>
        <v>0</v>
      </c>
      <c r="J11552" s="135" t="n">
        <f aca="false">$G11552*'Analyse capacite'!$D$7</f>
        <v>0</v>
      </c>
      <c r="K11552" s="135" t="n">
        <f aca="false">$G11552*'Analyse capacite'!$E$7</f>
        <v>0</v>
      </c>
    </row>
    <row r="11553" customFormat="false" ht="15" hidden="false" customHeight="false" outlineLevel="0" collapsed="false">
      <c r="B11553" s="130" t="n">
        <v>2028</v>
      </c>
      <c r="C11553" s="131" t="s">
        <v>256</v>
      </c>
      <c r="D11553" s="132" t="n">
        <v>46798</v>
      </c>
      <c r="E11553" s="131" t="s">
        <v>56</v>
      </c>
      <c r="F11553" s="133" t="s">
        <v>19</v>
      </c>
      <c r="G11553" s="134" t="n">
        <f aca="false">LEN('Saisie programme'!$E$431)+SUMIFS('Vols additionnels'!$E$7:$E$66,'Vols additionnels'!$C$7:$C$66,$E11553,'Vols additionnels'!$D$7:$D$66,$F11553,'Vols additionnels'!$B$7:$B$66,$D11553)</f>
        <v>0</v>
      </c>
      <c r="H11553" s="135" t="n">
        <f aca="false">$G11553*'Analyse capacite'!$F$8</f>
        <v>0</v>
      </c>
      <c r="I11553" s="135" t="n">
        <f aca="false">$G11553*'Analyse capacite'!$C$8</f>
        <v>0</v>
      </c>
      <c r="J11553" s="135" t="n">
        <f aca="false">$G11553*'Analyse capacite'!$D$8</f>
        <v>0</v>
      </c>
      <c r="K11553" s="135" t="n">
        <f aca="false">$G11553*'Analyse capacite'!$E$8</f>
        <v>0</v>
      </c>
    </row>
    <row r="11554" customFormat="false" ht="15" hidden="false" customHeight="false" outlineLevel="0" collapsed="false">
      <c r="B11554" s="130" t="n">
        <v>2028</v>
      </c>
      <c r="C11554" s="131" t="s">
        <v>256</v>
      </c>
      <c r="D11554" s="132" t="n">
        <v>46798</v>
      </c>
      <c r="E11554" s="131" t="s">
        <v>56</v>
      </c>
      <c r="F11554" s="133" t="s">
        <v>24</v>
      </c>
      <c r="G11554" s="134" t="n">
        <f aca="false">LEN('Saisie programme'!$E$432)+SUMIFS('Vols additionnels'!$E$7:$E$66,'Vols additionnels'!$C$7:$C$66,$E11554,'Vols additionnels'!$D$7:$D$66,$F11554,'Vols additionnels'!$B$7:$B$66,$D11554)</f>
        <v>1</v>
      </c>
      <c r="H11554" s="135" t="n">
        <f aca="false">$G11554*'Analyse capacite'!$F$9</f>
        <v>174</v>
      </c>
      <c r="I11554" s="135" t="n">
        <f aca="false">$G11554*'Analyse capacite'!$C$9</f>
        <v>0</v>
      </c>
      <c r="J11554" s="135" t="n">
        <f aca="false">$G11554*'Analyse capacite'!$D$9</f>
        <v>12</v>
      </c>
      <c r="K11554" s="135" t="n">
        <f aca="false">$G11554*'Analyse capacite'!$E$9</f>
        <v>162</v>
      </c>
    </row>
    <row r="11555" customFormat="false" ht="15" hidden="false" customHeight="false" outlineLevel="0" collapsed="false">
      <c r="B11555" s="130" t="n">
        <v>2028</v>
      </c>
      <c r="C11555" s="131" t="s">
        <v>256</v>
      </c>
      <c r="D11555" s="132" t="n">
        <v>46798</v>
      </c>
      <c r="E11555" s="131" t="s">
        <v>59</v>
      </c>
      <c r="F11555" s="133" t="s">
        <v>11</v>
      </c>
      <c r="G11555" s="134" t="n">
        <f aca="false">LEN('Saisie programme'!$E$433)+SUMIFS('Vols additionnels'!$E$7:$E$66,'Vols additionnels'!$C$7:$C$66,$E11555,'Vols additionnels'!$D$7:$D$66,$F11555,'Vols additionnels'!$B$7:$B$66,$D11555)</f>
        <v>0</v>
      </c>
      <c r="H11555" s="135" t="n">
        <f aca="false">$G11555*'Analyse capacite'!$F$7</f>
        <v>0</v>
      </c>
      <c r="I11555" s="135" t="n">
        <f aca="false">$G11555*'Analyse capacite'!$C$7</f>
        <v>0</v>
      </c>
      <c r="J11555" s="135" t="n">
        <f aca="false">$G11555*'Analyse capacite'!$D$7</f>
        <v>0</v>
      </c>
      <c r="K11555" s="135" t="n">
        <f aca="false">$G11555*'Analyse capacite'!$E$7</f>
        <v>0</v>
      </c>
    </row>
    <row r="11556" customFormat="false" ht="15" hidden="false" customHeight="false" outlineLevel="0" collapsed="false">
      <c r="B11556" s="130" t="n">
        <v>2028</v>
      </c>
      <c r="C11556" s="131" t="s">
        <v>256</v>
      </c>
      <c r="D11556" s="132" t="n">
        <v>46798</v>
      </c>
      <c r="E11556" s="131" t="s">
        <v>59</v>
      </c>
      <c r="F11556" s="133" t="s">
        <v>19</v>
      </c>
      <c r="G11556" s="134" t="n">
        <f aca="false">LEN('Saisie programme'!$E$434)+SUMIFS('Vols additionnels'!$E$7:$E$66,'Vols additionnels'!$C$7:$C$66,$E11556,'Vols additionnels'!$D$7:$D$66,$F11556,'Vols additionnels'!$B$7:$B$66,$D11556)</f>
        <v>0</v>
      </c>
      <c r="H11556" s="135" t="n">
        <f aca="false">$G11556*'Analyse capacite'!$F$8</f>
        <v>0</v>
      </c>
      <c r="I11556" s="135" t="n">
        <f aca="false">$G11556*'Analyse capacite'!$C$8</f>
        <v>0</v>
      </c>
      <c r="J11556" s="135" t="n">
        <f aca="false">$G11556*'Analyse capacite'!$D$8</f>
        <v>0</v>
      </c>
      <c r="K11556" s="135" t="n">
        <f aca="false">$G11556*'Analyse capacite'!$E$8</f>
        <v>0</v>
      </c>
    </row>
    <row r="11557" customFormat="false" ht="15" hidden="false" customHeight="false" outlineLevel="0" collapsed="false">
      <c r="B11557" s="130" t="n">
        <v>2028</v>
      </c>
      <c r="C11557" s="131" t="s">
        <v>256</v>
      </c>
      <c r="D11557" s="132" t="n">
        <v>46798</v>
      </c>
      <c r="E11557" s="131" t="s">
        <v>59</v>
      </c>
      <c r="F11557" s="133" t="s">
        <v>24</v>
      </c>
      <c r="G11557" s="134" t="n">
        <f aca="false">LEN('Saisie programme'!$E$435)+SUMIFS('Vols additionnels'!$E$7:$E$66,'Vols additionnels'!$C$7:$C$66,$E11557,'Vols additionnels'!$D$7:$D$66,$F11557,'Vols additionnels'!$B$7:$B$66,$D11557)</f>
        <v>1</v>
      </c>
      <c r="H11557" s="135" t="n">
        <f aca="false">$G11557*'Analyse capacite'!$F$9</f>
        <v>174</v>
      </c>
      <c r="I11557" s="135" t="n">
        <f aca="false">$G11557*'Analyse capacite'!$C$9</f>
        <v>0</v>
      </c>
      <c r="J11557" s="135" t="n">
        <f aca="false">$G11557*'Analyse capacite'!$D$9</f>
        <v>12</v>
      </c>
      <c r="K11557" s="135" t="n">
        <f aca="false">$G11557*'Analyse capacite'!$E$9</f>
        <v>162</v>
      </c>
    </row>
    <row r="11558" customFormat="false" ht="15" hidden="false" customHeight="false" outlineLevel="0" collapsed="false">
      <c r="B11558" s="130" t="n">
        <v>2028</v>
      </c>
      <c r="C11558" s="131" t="s">
        <v>256</v>
      </c>
      <c r="D11558" s="132" t="n">
        <v>46798</v>
      </c>
      <c r="E11558" s="131" t="s">
        <v>62</v>
      </c>
      <c r="F11558" s="133" t="s">
        <v>11</v>
      </c>
      <c r="G11558" s="134" t="n">
        <f aca="false">LEN('Saisie programme'!$E$436)+SUMIFS('Vols additionnels'!$E$7:$E$66,'Vols additionnels'!$C$7:$C$66,$E11558,'Vols additionnels'!$D$7:$D$66,$F11558,'Vols additionnels'!$B$7:$B$66,$D11558)</f>
        <v>0</v>
      </c>
      <c r="H11558" s="135" t="n">
        <f aca="false">$G11558*'Analyse capacite'!$F$7</f>
        <v>0</v>
      </c>
      <c r="I11558" s="135" t="n">
        <f aca="false">$G11558*'Analyse capacite'!$C$7</f>
        <v>0</v>
      </c>
      <c r="J11558" s="135" t="n">
        <f aca="false">$G11558*'Analyse capacite'!$D$7</f>
        <v>0</v>
      </c>
      <c r="K11558" s="135" t="n">
        <f aca="false">$G11558*'Analyse capacite'!$E$7</f>
        <v>0</v>
      </c>
    </row>
    <row r="11559" customFormat="false" ht="15" hidden="false" customHeight="false" outlineLevel="0" collapsed="false">
      <c r="B11559" s="130" t="n">
        <v>2028</v>
      </c>
      <c r="C11559" s="131" t="s">
        <v>256</v>
      </c>
      <c r="D11559" s="132" t="n">
        <v>46798</v>
      </c>
      <c r="E11559" s="131" t="s">
        <v>62</v>
      </c>
      <c r="F11559" s="133" t="s">
        <v>19</v>
      </c>
      <c r="G11559" s="134" t="n">
        <f aca="false">LEN('Saisie programme'!$E$437)+SUMIFS('Vols additionnels'!$E$7:$E$66,'Vols additionnels'!$C$7:$C$66,$E11559,'Vols additionnels'!$D$7:$D$66,$F11559,'Vols additionnels'!$B$7:$B$66,$D11559)</f>
        <v>0</v>
      </c>
      <c r="H11559" s="135" t="n">
        <f aca="false">$G11559*'Analyse capacite'!$F$8</f>
        <v>0</v>
      </c>
      <c r="I11559" s="135" t="n">
        <f aca="false">$G11559*'Analyse capacite'!$C$8</f>
        <v>0</v>
      </c>
      <c r="J11559" s="135" t="n">
        <f aca="false">$G11559*'Analyse capacite'!$D$8</f>
        <v>0</v>
      </c>
      <c r="K11559" s="135" t="n">
        <f aca="false">$G11559*'Analyse capacite'!$E$8</f>
        <v>0</v>
      </c>
    </row>
    <row r="11560" customFormat="false" ht="15" hidden="false" customHeight="false" outlineLevel="0" collapsed="false">
      <c r="B11560" s="130" t="n">
        <v>2028</v>
      </c>
      <c r="C11560" s="131" t="s">
        <v>256</v>
      </c>
      <c r="D11560" s="132" t="n">
        <v>46798</v>
      </c>
      <c r="E11560" s="131" t="s">
        <v>62</v>
      </c>
      <c r="F11560" s="133" t="s">
        <v>24</v>
      </c>
      <c r="G11560" s="134" t="n">
        <f aca="false">LEN('Saisie programme'!$E$438)+SUMIFS('Vols additionnels'!$E$7:$E$66,'Vols additionnels'!$C$7:$C$66,$E11560,'Vols additionnels'!$D$7:$D$66,$F11560,'Vols additionnels'!$B$7:$B$66,$D11560)</f>
        <v>0</v>
      </c>
      <c r="H11560" s="135" t="n">
        <f aca="false">$G11560*'Analyse capacite'!$F$9</f>
        <v>0</v>
      </c>
      <c r="I11560" s="135" t="n">
        <f aca="false">$G11560*'Analyse capacite'!$C$9</f>
        <v>0</v>
      </c>
      <c r="J11560" s="135" t="n">
        <f aca="false">$G11560*'Analyse capacite'!$D$9</f>
        <v>0</v>
      </c>
      <c r="K11560" s="135" t="n">
        <f aca="false">$G11560*'Analyse capacite'!$E$9</f>
        <v>0</v>
      </c>
    </row>
    <row r="11561" customFormat="false" ht="15" hidden="false" customHeight="false" outlineLevel="0" collapsed="false">
      <c r="B11561" s="130" t="n">
        <v>2028</v>
      </c>
      <c r="C11561" s="131" t="s">
        <v>256</v>
      </c>
      <c r="D11561" s="132" t="n">
        <v>46799</v>
      </c>
      <c r="E11561" s="131" t="s">
        <v>12</v>
      </c>
      <c r="F11561" s="133" t="s">
        <v>11</v>
      </c>
      <c r="G11561" s="134" t="n">
        <f aca="false">LEN('Saisie programme'!$F$403)+SUMIFS('Vols additionnels'!$E$7:$E$66,'Vols additionnels'!$C$7:$C$66,$E11561,'Vols additionnels'!$D$7:$D$66,$F11561,'Vols additionnels'!$B$7:$B$66,$D11561)</f>
        <v>1</v>
      </c>
      <c r="H11561" s="135" t="n">
        <f aca="false">$G11561*'Analyse capacite'!$F$7</f>
        <v>438</v>
      </c>
      <c r="I11561" s="135" t="n">
        <f aca="false">$G11561*'Analyse capacite'!$C$7</f>
        <v>14</v>
      </c>
      <c r="J11561" s="135" t="n">
        <f aca="false">$G11561*'Analyse capacite'!$D$7</f>
        <v>40</v>
      </c>
      <c r="K11561" s="135" t="n">
        <f aca="false">$G11561*'Analyse capacite'!$E$7</f>
        <v>384</v>
      </c>
    </row>
    <row r="11562" customFormat="false" ht="15" hidden="false" customHeight="false" outlineLevel="0" collapsed="false">
      <c r="B11562" s="130" t="n">
        <v>2028</v>
      </c>
      <c r="C11562" s="131" t="s">
        <v>256</v>
      </c>
      <c r="D11562" s="132" t="n">
        <v>46799</v>
      </c>
      <c r="E11562" s="131" t="s">
        <v>12</v>
      </c>
      <c r="F11562" s="133" t="s">
        <v>19</v>
      </c>
      <c r="G11562" s="134" t="n">
        <f aca="false">LEN('Saisie programme'!$F$404)+SUMIFS('Vols additionnels'!$E$7:$E$66,'Vols additionnels'!$C$7:$C$66,$E11562,'Vols additionnels'!$D$7:$D$66,$F11562,'Vols additionnels'!$B$7:$B$66,$D11562)</f>
        <v>0</v>
      </c>
      <c r="H11562" s="135" t="n">
        <f aca="false">$G11562*'Analyse capacite'!$F$8</f>
        <v>0</v>
      </c>
      <c r="I11562" s="135" t="n">
        <f aca="false">$G11562*'Analyse capacite'!$C$8</f>
        <v>0</v>
      </c>
      <c r="J11562" s="135" t="n">
        <f aca="false">$G11562*'Analyse capacite'!$D$8</f>
        <v>0</v>
      </c>
      <c r="K11562" s="135" t="n">
        <f aca="false">$G11562*'Analyse capacite'!$E$8</f>
        <v>0</v>
      </c>
    </row>
    <row r="11563" customFormat="false" ht="15" hidden="false" customHeight="false" outlineLevel="0" collapsed="false">
      <c r="B11563" s="130" t="n">
        <v>2028</v>
      </c>
      <c r="C11563" s="131" t="s">
        <v>256</v>
      </c>
      <c r="D11563" s="132" t="n">
        <v>46799</v>
      </c>
      <c r="E11563" s="131" t="s">
        <v>12</v>
      </c>
      <c r="F11563" s="133" t="s">
        <v>24</v>
      </c>
      <c r="G11563" s="134" t="n">
        <f aca="false">LEN('Saisie programme'!$F$405)+SUMIFS('Vols additionnels'!$E$7:$E$66,'Vols additionnels'!$C$7:$C$66,$E11563,'Vols additionnels'!$D$7:$D$66,$F11563,'Vols additionnels'!$B$7:$B$66,$D11563)</f>
        <v>0</v>
      </c>
      <c r="H11563" s="135" t="n">
        <f aca="false">$G11563*'Analyse capacite'!$F$9</f>
        <v>0</v>
      </c>
      <c r="I11563" s="135" t="n">
        <f aca="false">$G11563*'Analyse capacite'!$C$9</f>
        <v>0</v>
      </c>
      <c r="J11563" s="135" t="n">
        <f aca="false">$G11563*'Analyse capacite'!$D$9</f>
        <v>0</v>
      </c>
      <c r="K11563" s="135" t="n">
        <f aca="false">$G11563*'Analyse capacite'!$E$9</f>
        <v>0</v>
      </c>
    </row>
    <row r="11564" customFormat="false" ht="15" hidden="false" customHeight="false" outlineLevel="0" collapsed="false">
      <c r="B11564" s="130" t="n">
        <v>2028</v>
      </c>
      <c r="C11564" s="131" t="s">
        <v>256</v>
      </c>
      <c r="D11564" s="132" t="n">
        <v>46799</v>
      </c>
      <c r="E11564" s="131" t="s">
        <v>20</v>
      </c>
      <c r="F11564" s="133" t="s">
        <v>11</v>
      </c>
      <c r="G11564" s="134" t="n">
        <f aca="false">LEN('Saisie programme'!$F$406)+SUMIFS('Vols additionnels'!$E$7:$E$66,'Vols additionnels'!$C$7:$C$66,$E11564,'Vols additionnels'!$D$7:$D$66,$F11564,'Vols additionnels'!$B$7:$B$66,$D11564)</f>
        <v>0</v>
      </c>
      <c r="H11564" s="135" t="n">
        <f aca="false">$G11564*'Analyse capacite'!$F$7</f>
        <v>0</v>
      </c>
      <c r="I11564" s="135" t="n">
        <f aca="false">$G11564*'Analyse capacite'!$C$7</f>
        <v>0</v>
      </c>
      <c r="J11564" s="135" t="n">
        <f aca="false">$G11564*'Analyse capacite'!$D$7</f>
        <v>0</v>
      </c>
      <c r="K11564" s="135" t="n">
        <f aca="false">$G11564*'Analyse capacite'!$E$7</f>
        <v>0</v>
      </c>
    </row>
    <row r="11565" customFormat="false" ht="15" hidden="false" customHeight="false" outlineLevel="0" collapsed="false">
      <c r="B11565" s="130" t="n">
        <v>2028</v>
      </c>
      <c r="C11565" s="131" t="s">
        <v>256</v>
      </c>
      <c r="D11565" s="132" t="n">
        <v>46799</v>
      </c>
      <c r="E11565" s="131" t="s">
        <v>20</v>
      </c>
      <c r="F11565" s="133" t="s">
        <v>19</v>
      </c>
      <c r="G11565" s="134" t="n">
        <f aca="false">LEN('Saisie programme'!$F$407)+SUMIFS('Vols additionnels'!$E$7:$E$66,'Vols additionnels'!$C$7:$C$66,$E11565,'Vols additionnels'!$D$7:$D$66,$F11565,'Vols additionnels'!$B$7:$B$66,$D11565)</f>
        <v>0</v>
      </c>
      <c r="H11565" s="135" t="n">
        <f aca="false">$G11565*'Analyse capacite'!$F$8</f>
        <v>0</v>
      </c>
      <c r="I11565" s="135" t="n">
        <f aca="false">$G11565*'Analyse capacite'!$C$8</f>
        <v>0</v>
      </c>
      <c r="J11565" s="135" t="n">
        <f aca="false">$G11565*'Analyse capacite'!$D$8</f>
        <v>0</v>
      </c>
      <c r="K11565" s="135" t="n">
        <f aca="false">$G11565*'Analyse capacite'!$E$8</f>
        <v>0</v>
      </c>
    </row>
    <row r="11566" customFormat="false" ht="15" hidden="false" customHeight="false" outlineLevel="0" collapsed="false">
      <c r="B11566" s="130" t="n">
        <v>2028</v>
      </c>
      <c r="C11566" s="131" t="s">
        <v>256</v>
      </c>
      <c r="D11566" s="132" t="n">
        <v>46799</v>
      </c>
      <c r="E11566" s="131" t="s">
        <v>20</v>
      </c>
      <c r="F11566" s="133" t="s">
        <v>24</v>
      </c>
      <c r="G11566" s="134" t="n">
        <f aca="false">LEN('Saisie programme'!$F$408)+SUMIFS('Vols additionnels'!$E$7:$E$66,'Vols additionnels'!$C$7:$C$66,$E11566,'Vols additionnels'!$D$7:$D$66,$F11566,'Vols additionnels'!$B$7:$B$66,$D11566)</f>
        <v>0</v>
      </c>
      <c r="H11566" s="135" t="n">
        <f aca="false">$G11566*'Analyse capacite'!$F$9</f>
        <v>0</v>
      </c>
      <c r="I11566" s="135" t="n">
        <f aca="false">$G11566*'Analyse capacite'!$C$9</f>
        <v>0</v>
      </c>
      <c r="J11566" s="135" t="n">
        <f aca="false">$G11566*'Analyse capacite'!$D$9</f>
        <v>0</v>
      </c>
      <c r="K11566" s="135" t="n">
        <f aca="false">$G11566*'Analyse capacite'!$E$9</f>
        <v>0</v>
      </c>
    </row>
    <row r="11567" customFormat="false" ht="15" hidden="false" customHeight="false" outlineLevel="0" collapsed="false">
      <c r="B11567" s="130" t="n">
        <v>2028</v>
      </c>
      <c r="C11567" s="131" t="s">
        <v>256</v>
      </c>
      <c r="D11567" s="132" t="n">
        <v>46799</v>
      </c>
      <c r="E11567" s="131" t="s">
        <v>25</v>
      </c>
      <c r="F11567" s="133" t="s">
        <v>11</v>
      </c>
      <c r="G11567" s="134" t="n">
        <f aca="false">LEN('Saisie programme'!$F$409)+SUMIFS('Vols additionnels'!$E$7:$E$66,'Vols additionnels'!$C$7:$C$66,$E11567,'Vols additionnels'!$D$7:$D$66,$F11567,'Vols additionnels'!$B$7:$B$66,$D11567)</f>
        <v>0</v>
      </c>
      <c r="H11567" s="135" t="n">
        <f aca="false">$G11567*'Analyse capacite'!$F$7</f>
        <v>0</v>
      </c>
      <c r="I11567" s="135" t="n">
        <f aca="false">$G11567*'Analyse capacite'!$C$7</f>
        <v>0</v>
      </c>
      <c r="J11567" s="135" t="n">
        <f aca="false">$G11567*'Analyse capacite'!$D$7</f>
        <v>0</v>
      </c>
      <c r="K11567" s="135" t="n">
        <f aca="false">$G11567*'Analyse capacite'!$E$7</f>
        <v>0</v>
      </c>
    </row>
    <row r="11568" customFormat="false" ht="15" hidden="false" customHeight="false" outlineLevel="0" collapsed="false">
      <c r="B11568" s="130" t="n">
        <v>2028</v>
      </c>
      <c r="C11568" s="131" t="s">
        <v>256</v>
      </c>
      <c r="D11568" s="132" t="n">
        <v>46799</v>
      </c>
      <c r="E11568" s="131" t="s">
        <v>25</v>
      </c>
      <c r="F11568" s="133" t="s">
        <v>19</v>
      </c>
      <c r="G11568" s="134" t="n">
        <f aca="false">LEN('Saisie programme'!$F$410)+SUMIFS('Vols additionnels'!$E$7:$E$66,'Vols additionnels'!$C$7:$C$66,$E11568,'Vols additionnels'!$D$7:$D$66,$F11568,'Vols additionnels'!$B$7:$B$66,$D11568)</f>
        <v>1</v>
      </c>
      <c r="H11568" s="135" t="n">
        <f aca="false">$G11568*'Analyse capacite'!$F$8</f>
        <v>262</v>
      </c>
      <c r="I11568" s="135" t="n">
        <f aca="false">$G11568*'Analyse capacite'!$C$8</f>
        <v>18</v>
      </c>
      <c r="J11568" s="135" t="n">
        <f aca="false">$G11568*'Analyse capacite'!$D$8</f>
        <v>0</v>
      </c>
      <c r="K11568" s="135" t="n">
        <f aca="false">$G11568*'Analyse capacite'!$E$8</f>
        <v>244</v>
      </c>
    </row>
    <row r="11569" customFormat="false" ht="15" hidden="false" customHeight="false" outlineLevel="0" collapsed="false">
      <c r="B11569" s="130" t="n">
        <v>2028</v>
      </c>
      <c r="C11569" s="131" t="s">
        <v>256</v>
      </c>
      <c r="D11569" s="132" t="n">
        <v>46799</v>
      </c>
      <c r="E11569" s="131" t="s">
        <v>25</v>
      </c>
      <c r="F11569" s="133" t="s">
        <v>24</v>
      </c>
      <c r="G11569" s="134" t="n">
        <f aca="false">LEN('Saisie programme'!$F$411)+SUMIFS('Vols additionnels'!$E$7:$E$66,'Vols additionnels'!$C$7:$C$66,$E11569,'Vols additionnels'!$D$7:$D$66,$F11569,'Vols additionnels'!$B$7:$B$66,$D11569)</f>
        <v>0</v>
      </c>
      <c r="H11569" s="135" t="n">
        <f aca="false">$G11569*'Analyse capacite'!$F$9</f>
        <v>0</v>
      </c>
      <c r="I11569" s="135" t="n">
        <f aca="false">$G11569*'Analyse capacite'!$C$9</f>
        <v>0</v>
      </c>
      <c r="J11569" s="135" t="n">
        <f aca="false">$G11569*'Analyse capacite'!$D$9</f>
        <v>0</v>
      </c>
      <c r="K11569" s="135" t="n">
        <f aca="false">$G11569*'Analyse capacite'!$E$9</f>
        <v>0</v>
      </c>
    </row>
    <row r="11570" customFormat="false" ht="15" hidden="false" customHeight="false" outlineLevel="0" collapsed="false">
      <c r="B11570" s="130" t="n">
        <v>2028</v>
      </c>
      <c r="C11570" s="131" t="s">
        <v>256</v>
      </c>
      <c r="D11570" s="132" t="n">
        <v>46799</v>
      </c>
      <c r="E11570" s="131" t="s">
        <v>36</v>
      </c>
      <c r="F11570" s="133" t="s">
        <v>11</v>
      </c>
      <c r="G11570" s="134" t="n">
        <f aca="false">LEN('Saisie programme'!$F$412)+SUMIFS('Vols additionnels'!$E$7:$E$66,'Vols additionnels'!$C$7:$C$66,$E11570,'Vols additionnels'!$D$7:$D$66,$F11570,'Vols additionnels'!$B$7:$B$66,$D11570)</f>
        <v>0</v>
      </c>
      <c r="H11570" s="135" t="n">
        <f aca="false">$G11570*'Analyse capacite'!$F$7</f>
        <v>0</v>
      </c>
      <c r="I11570" s="135" t="n">
        <f aca="false">$G11570*'Analyse capacite'!$C$7</f>
        <v>0</v>
      </c>
      <c r="J11570" s="135" t="n">
        <f aca="false">$G11570*'Analyse capacite'!$D$7</f>
        <v>0</v>
      </c>
      <c r="K11570" s="135" t="n">
        <f aca="false">$G11570*'Analyse capacite'!$E$7</f>
        <v>0</v>
      </c>
    </row>
    <row r="11571" customFormat="false" ht="15" hidden="false" customHeight="false" outlineLevel="0" collapsed="false">
      <c r="B11571" s="130" t="n">
        <v>2028</v>
      </c>
      <c r="C11571" s="131" t="s">
        <v>256</v>
      </c>
      <c r="D11571" s="132" t="n">
        <v>46799</v>
      </c>
      <c r="E11571" s="131" t="s">
        <v>36</v>
      </c>
      <c r="F11571" s="133" t="s">
        <v>19</v>
      </c>
      <c r="G11571" s="134" t="n">
        <f aca="false">LEN('Saisie programme'!$F$413)+SUMIFS('Vols additionnels'!$E$7:$E$66,'Vols additionnels'!$C$7:$C$66,$E11571,'Vols additionnels'!$D$7:$D$66,$F11571,'Vols additionnels'!$B$7:$B$66,$D11571)</f>
        <v>1</v>
      </c>
      <c r="H11571" s="135" t="n">
        <f aca="false">$G11571*'Analyse capacite'!$F$8</f>
        <v>262</v>
      </c>
      <c r="I11571" s="135" t="n">
        <f aca="false">$G11571*'Analyse capacite'!$C$8</f>
        <v>18</v>
      </c>
      <c r="J11571" s="135" t="n">
        <f aca="false">$G11571*'Analyse capacite'!$D$8</f>
        <v>0</v>
      </c>
      <c r="K11571" s="135" t="n">
        <f aca="false">$G11571*'Analyse capacite'!$E$8</f>
        <v>244</v>
      </c>
    </row>
    <row r="11572" customFormat="false" ht="15" hidden="false" customHeight="false" outlineLevel="0" collapsed="false">
      <c r="B11572" s="130" t="n">
        <v>2028</v>
      </c>
      <c r="C11572" s="131" t="s">
        <v>256</v>
      </c>
      <c r="D11572" s="132" t="n">
        <v>46799</v>
      </c>
      <c r="E11572" s="131" t="s">
        <v>36</v>
      </c>
      <c r="F11572" s="133" t="s">
        <v>24</v>
      </c>
      <c r="G11572" s="134" t="n">
        <f aca="false">LEN('Saisie programme'!$F$414)+SUMIFS('Vols additionnels'!$E$7:$E$66,'Vols additionnels'!$C$7:$C$66,$E11572,'Vols additionnels'!$D$7:$D$66,$F11572,'Vols additionnels'!$B$7:$B$66,$D11572)</f>
        <v>1</v>
      </c>
      <c r="H11572" s="135" t="n">
        <f aca="false">$G11572*'Analyse capacite'!$F$9</f>
        <v>174</v>
      </c>
      <c r="I11572" s="135" t="n">
        <f aca="false">$G11572*'Analyse capacite'!$C$9</f>
        <v>0</v>
      </c>
      <c r="J11572" s="135" t="n">
        <f aca="false">$G11572*'Analyse capacite'!$D$9</f>
        <v>12</v>
      </c>
      <c r="K11572" s="135" t="n">
        <f aca="false">$G11572*'Analyse capacite'!$E$9</f>
        <v>162</v>
      </c>
    </row>
    <row r="11573" customFormat="false" ht="15" hidden="false" customHeight="false" outlineLevel="0" collapsed="false">
      <c r="B11573" s="130" t="n">
        <v>2028</v>
      </c>
      <c r="C11573" s="131" t="s">
        <v>256</v>
      </c>
      <c r="D11573" s="132" t="n">
        <v>46799</v>
      </c>
      <c r="E11573" s="131" t="s">
        <v>40</v>
      </c>
      <c r="F11573" s="133" t="s">
        <v>11</v>
      </c>
      <c r="G11573" s="134" t="n">
        <f aca="false">LEN('Saisie programme'!$F$415)+SUMIFS('Vols additionnels'!$E$7:$E$66,'Vols additionnels'!$C$7:$C$66,$E11573,'Vols additionnels'!$D$7:$D$66,$F11573,'Vols additionnels'!$B$7:$B$66,$D11573)</f>
        <v>0</v>
      </c>
      <c r="H11573" s="135" t="n">
        <f aca="false">$G11573*'Analyse capacite'!$F$7</f>
        <v>0</v>
      </c>
      <c r="I11573" s="135" t="n">
        <f aca="false">$G11573*'Analyse capacite'!$C$7</f>
        <v>0</v>
      </c>
      <c r="J11573" s="135" t="n">
        <f aca="false">$G11573*'Analyse capacite'!$D$7</f>
        <v>0</v>
      </c>
      <c r="K11573" s="135" t="n">
        <f aca="false">$G11573*'Analyse capacite'!$E$7</f>
        <v>0</v>
      </c>
    </row>
    <row r="11574" customFormat="false" ht="15" hidden="false" customHeight="false" outlineLevel="0" collapsed="false">
      <c r="B11574" s="130" t="n">
        <v>2028</v>
      </c>
      <c r="C11574" s="131" t="s">
        <v>256</v>
      </c>
      <c r="D11574" s="132" t="n">
        <v>46799</v>
      </c>
      <c r="E11574" s="131" t="s">
        <v>40</v>
      </c>
      <c r="F11574" s="133" t="s">
        <v>19</v>
      </c>
      <c r="G11574" s="134" t="n">
        <f aca="false">LEN('Saisie programme'!$F$416)+SUMIFS('Vols additionnels'!$E$7:$E$66,'Vols additionnels'!$C$7:$C$66,$E11574,'Vols additionnels'!$D$7:$D$66,$F11574,'Vols additionnels'!$B$7:$B$66,$D11574)</f>
        <v>0</v>
      </c>
      <c r="H11574" s="135" t="n">
        <f aca="false">$G11574*'Analyse capacite'!$F$8</f>
        <v>0</v>
      </c>
      <c r="I11574" s="135" t="n">
        <f aca="false">$G11574*'Analyse capacite'!$C$8</f>
        <v>0</v>
      </c>
      <c r="J11574" s="135" t="n">
        <f aca="false">$G11574*'Analyse capacite'!$D$8</f>
        <v>0</v>
      </c>
      <c r="K11574" s="135" t="n">
        <f aca="false">$G11574*'Analyse capacite'!$E$8</f>
        <v>0</v>
      </c>
    </row>
    <row r="11575" customFormat="false" ht="15" hidden="false" customHeight="false" outlineLevel="0" collapsed="false">
      <c r="B11575" s="130" t="n">
        <v>2028</v>
      </c>
      <c r="C11575" s="131" t="s">
        <v>256</v>
      </c>
      <c r="D11575" s="132" t="n">
        <v>46799</v>
      </c>
      <c r="E11575" s="131" t="s">
        <v>40</v>
      </c>
      <c r="F11575" s="133" t="s">
        <v>24</v>
      </c>
      <c r="G11575" s="134" t="n">
        <f aca="false">LEN('Saisie programme'!$F$417)+SUMIFS('Vols additionnels'!$E$7:$E$66,'Vols additionnels'!$C$7:$C$66,$E11575,'Vols additionnels'!$D$7:$D$66,$F11575,'Vols additionnels'!$B$7:$B$66,$D11575)</f>
        <v>1</v>
      </c>
      <c r="H11575" s="135" t="n">
        <f aca="false">$G11575*'Analyse capacite'!$F$9</f>
        <v>174</v>
      </c>
      <c r="I11575" s="135" t="n">
        <f aca="false">$G11575*'Analyse capacite'!$C$9</f>
        <v>0</v>
      </c>
      <c r="J11575" s="135" t="n">
        <f aca="false">$G11575*'Analyse capacite'!$D$9</f>
        <v>12</v>
      </c>
      <c r="K11575" s="135" t="n">
        <f aca="false">$G11575*'Analyse capacite'!$E$9</f>
        <v>162</v>
      </c>
    </row>
    <row r="11576" customFormat="false" ht="15" hidden="false" customHeight="false" outlineLevel="0" collapsed="false">
      <c r="B11576" s="130" t="n">
        <v>2028</v>
      </c>
      <c r="C11576" s="131" t="s">
        <v>256</v>
      </c>
      <c r="D11576" s="132" t="n">
        <v>46799</v>
      </c>
      <c r="E11576" s="131" t="s">
        <v>14</v>
      </c>
      <c r="F11576" s="133" t="s">
        <v>11</v>
      </c>
      <c r="G11576" s="134" t="n">
        <f aca="false">LEN('Saisie programme'!$F$418)+SUMIFS('Vols additionnels'!$E$7:$E$66,'Vols additionnels'!$C$7:$C$66,$E11576,'Vols additionnels'!$D$7:$D$66,$F11576,'Vols additionnels'!$B$7:$B$66,$D11576)</f>
        <v>0</v>
      </c>
      <c r="H11576" s="135" t="n">
        <f aca="false">$G11576*'Analyse capacite'!$F$7</f>
        <v>0</v>
      </c>
      <c r="I11576" s="135" t="n">
        <f aca="false">$G11576*'Analyse capacite'!$C$7</f>
        <v>0</v>
      </c>
      <c r="J11576" s="135" t="n">
        <f aca="false">$G11576*'Analyse capacite'!$D$7</f>
        <v>0</v>
      </c>
      <c r="K11576" s="135" t="n">
        <f aca="false">$G11576*'Analyse capacite'!$E$7</f>
        <v>0</v>
      </c>
    </row>
    <row r="11577" customFormat="false" ht="15" hidden="false" customHeight="false" outlineLevel="0" collapsed="false">
      <c r="B11577" s="130" t="n">
        <v>2028</v>
      </c>
      <c r="C11577" s="131" t="s">
        <v>256</v>
      </c>
      <c r="D11577" s="132" t="n">
        <v>46799</v>
      </c>
      <c r="E11577" s="131" t="s">
        <v>14</v>
      </c>
      <c r="F11577" s="133" t="s">
        <v>19</v>
      </c>
      <c r="G11577" s="134" t="n">
        <f aca="false">LEN('Saisie programme'!$F$419)+SUMIFS('Vols additionnels'!$E$7:$E$66,'Vols additionnels'!$C$7:$C$66,$E11577,'Vols additionnels'!$D$7:$D$66,$F11577,'Vols additionnels'!$B$7:$B$66,$D11577)</f>
        <v>0</v>
      </c>
      <c r="H11577" s="135" t="n">
        <f aca="false">$G11577*'Analyse capacite'!$F$8</f>
        <v>0</v>
      </c>
      <c r="I11577" s="135" t="n">
        <f aca="false">$G11577*'Analyse capacite'!$C$8</f>
        <v>0</v>
      </c>
      <c r="J11577" s="135" t="n">
        <f aca="false">$G11577*'Analyse capacite'!$D$8</f>
        <v>0</v>
      </c>
      <c r="K11577" s="135" t="n">
        <f aca="false">$G11577*'Analyse capacite'!$E$8</f>
        <v>0</v>
      </c>
    </row>
    <row r="11578" customFormat="false" ht="15" hidden="false" customHeight="false" outlineLevel="0" collapsed="false">
      <c r="B11578" s="130" t="n">
        <v>2028</v>
      </c>
      <c r="C11578" s="131" t="s">
        <v>256</v>
      </c>
      <c r="D11578" s="132" t="n">
        <v>46799</v>
      </c>
      <c r="E11578" s="131" t="s">
        <v>14</v>
      </c>
      <c r="F11578" s="133" t="s">
        <v>24</v>
      </c>
      <c r="G11578" s="134" t="n">
        <f aca="false">LEN('Saisie programme'!$F$420)+SUMIFS('Vols additionnels'!$E$7:$E$66,'Vols additionnels'!$C$7:$C$66,$E11578,'Vols additionnels'!$D$7:$D$66,$F11578,'Vols additionnels'!$B$7:$B$66,$D11578)</f>
        <v>0</v>
      </c>
      <c r="H11578" s="135" t="n">
        <f aca="false">$G11578*'Analyse capacite'!$F$9</f>
        <v>0</v>
      </c>
      <c r="I11578" s="135" t="n">
        <f aca="false">$G11578*'Analyse capacite'!$C$9</f>
        <v>0</v>
      </c>
      <c r="J11578" s="135" t="n">
        <f aca="false">$G11578*'Analyse capacite'!$D$9</f>
        <v>0</v>
      </c>
      <c r="K11578" s="135" t="n">
        <f aca="false">$G11578*'Analyse capacite'!$E$9</f>
        <v>0</v>
      </c>
    </row>
    <row r="11579" customFormat="false" ht="15" hidden="false" customHeight="false" outlineLevel="0" collapsed="false">
      <c r="B11579" s="130" t="n">
        <v>2028</v>
      </c>
      <c r="C11579" s="131" t="s">
        <v>256</v>
      </c>
      <c r="D11579" s="132" t="n">
        <v>46799</v>
      </c>
      <c r="E11579" s="131" t="s">
        <v>46</v>
      </c>
      <c r="F11579" s="133" t="s">
        <v>11</v>
      </c>
      <c r="G11579" s="134" t="n">
        <f aca="false">LEN('Saisie programme'!$F$421)+SUMIFS('Vols additionnels'!$E$7:$E$66,'Vols additionnels'!$C$7:$C$66,$E11579,'Vols additionnels'!$D$7:$D$66,$F11579,'Vols additionnels'!$B$7:$B$66,$D11579)</f>
        <v>0</v>
      </c>
      <c r="H11579" s="135" t="n">
        <f aca="false">$G11579*'Analyse capacite'!$F$7</f>
        <v>0</v>
      </c>
      <c r="I11579" s="135" t="n">
        <f aca="false">$G11579*'Analyse capacite'!$C$7</f>
        <v>0</v>
      </c>
      <c r="J11579" s="135" t="n">
        <f aca="false">$G11579*'Analyse capacite'!$D$7</f>
        <v>0</v>
      </c>
      <c r="K11579" s="135" t="n">
        <f aca="false">$G11579*'Analyse capacite'!$E$7</f>
        <v>0</v>
      </c>
    </row>
    <row r="11580" customFormat="false" ht="15" hidden="false" customHeight="false" outlineLevel="0" collapsed="false">
      <c r="B11580" s="130" t="n">
        <v>2028</v>
      </c>
      <c r="C11580" s="131" t="s">
        <v>256</v>
      </c>
      <c r="D11580" s="132" t="n">
        <v>46799</v>
      </c>
      <c r="E11580" s="131" t="s">
        <v>46</v>
      </c>
      <c r="F11580" s="133" t="s">
        <v>19</v>
      </c>
      <c r="G11580" s="134" t="n">
        <f aca="false">LEN('Saisie programme'!$F$422)+SUMIFS('Vols additionnels'!$E$7:$E$66,'Vols additionnels'!$C$7:$C$66,$E11580,'Vols additionnels'!$D$7:$D$66,$F11580,'Vols additionnels'!$B$7:$B$66,$D11580)</f>
        <v>0</v>
      </c>
      <c r="H11580" s="135" t="n">
        <f aca="false">$G11580*'Analyse capacite'!$F$8</f>
        <v>0</v>
      </c>
      <c r="I11580" s="135" t="n">
        <f aca="false">$G11580*'Analyse capacite'!$C$8</f>
        <v>0</v>
      </c>
      <c r="J11580" s="135" t="n">
        <f aca="false">$G11580*'Analyse capacite'!$D$8</f>
        <v>0</v>
      </c>
      <c r="K11580" s="135" t="n">
        <f aca="false">$G11580*'Analyse capacite'!$E$8</f>
        <v>0</v>
      </c>
    </row>
    <row r="11581" customFormat="false" ht="15" hidden="false" customHeight="false" outlineLevel="0" collapsed="false">
      <c r="B11581" s="130" t="n">
        <v>2028</v>
      </c>
      <c r="C11581" s="131" t="s">
        <v>256</v>
      </c>
      <c r="D11581" s="132" t="n">
        <v>46799</v>
      </c>
      <c r="E11581" s="131" t="s">
        <v>46</v>
      </c>
      <c r="F11581" s="133" t="s">
        <v>24</v>
      </c>
      <c r="G11581" s="134" t="n">
        <f aca="false">LEN('Saisie programme'!$F$423)+SUMIFS('Vols additionnels'!$E$7:$E$66,'Vols additionnels'!$C$7:$C$66,$E11581,'Vols additionnels'!$D$7:$D$66,$F11581,'Vols additionnels'!$B$7:$B$66,$D11581)</f>
        <v>0</v>
      </c>
      <c r="H11581" s="135" t="n">
        <f aca="false">$G11581*'Analyse capacite'!$F$9</f>
        <v>0</v>
      </c>
      <c r="I11581" s="135" t="n">
        <f aca="false">$G11581*'Analyse capacite'!$C$9</f>
        <v>0</v>
      </c>
      <c r="J11581" s="135" t="n">
        <f aca="false">$G11581*'Analyse capacite'!$D$9</f>
        <v>0</v>
      </c>
      <c r="K11581" s="135" t="n">
        <f aca="false">$G11581*'Analyse capacite'!$E$9</f>
        <v>0</v>
      </c>
    </row>
    <row r="11582" customFormat="false" ht="15" hidden="false" customHeight="false" outlineLevel="0" collapsed="false">
      <c r="B11582" s="130" t="n">
        <v>2028</v>
      </c>
      <c r="C11582" s="131" t="s">
        <v>256</v>
      </c>
      <c r="D11582" s="132" t="n">
        <v>46799</v>
      </c>
      <c r="E11582" s="131" t="s">
        <v>49</v>
      </c>
      <c r="F11582" s="133" t="s">
        <v>11</v>
      </c>
      <c r="G11582" s="134" t="n">
        <f aca="false">LEN('Saisie programme'!$F$424)+SUMIFS('Vols additionnels'!$E$7:$E$66,'Vols additionnels'!$C$7:$C$66,$E11582,'Vols additionnels'!$D$7:$D$66,$F11582,'Vols additionnels'!$B$7:$B$66,$D11582)</f>
        <v>0</v>
      </c>
      <c r="H11582" s="135" t="n">
        <f aca="false">$G11582*'Analyse capacite'!$F$7</f>
        <v>0</v>
      </c>
      <c r="I11582" s="135" t="n">
        <f aca="false">$G11582*'Analyse capacite'!$C$7</f>
        <v>0</v>
      </c>
      <c r="J11582" s="135" t="n">
        <f aca="false">$G11582*'Analyse capacite'!$D$7</f>
        <v>0</v>
      </c>
      <c r="K11582" s="135" t="n">
        <f aca="false">$G11582*'Analyse capacite'!$E$7</f>
        <v>0</v>
      </c>
    </row>
    <row r="11583" customFormat="false" ht="15" hidden="false" customHeight="false" outlineLevel="0" collapsed="false">
      <c r="B11583" s="130" t="n">
        <v>2028</v>
      </c>
      <c r="C11583" s="131" t="s">
        <v>256</v>
      </c>
      <c r="D11583" s="132" t="n">
        <v>46799</v>
      </c>
      <c r="E11583" s="131" t="s">
        <v>49</v>
      </c>
      <c r="F11583" s="133" t="s">
        <v>19</v>
      </c>
      <c r="G11583" s="134" t="n">
        <f aca="false">LEN('Saisie programme'!$F$425)+SUMIFS('Vols additionnels'!$E$7:$E$66,'Vols additionnels'!$C$7:$C$66,$E11583,'Vols additionnels'!$D$7:$D$66,$F11583,'Vols additionnels'!$B$7:$B$66,$D11583)</f>
        <v>0</v>
      </c>
      <c r="H11583" s="135" t="n">
        <f aca="false">$G11583*'Analyse capacite'!$F$8</f>
        <v>0</v>
      </c>
      <c r="I11583" s="135" t="n">
        <f aca="false">$G11583*'Analyse capacite'!$C$8</f>
        <v>0</v>
      </c>
      <c r="J11583" s="135" t="n">
        <f aca="false">$G11583*'Analyse capacite'!$D$8</f>
        <v>0</v>
      </c>
      <c r="K11583" s="135" t="n">
        <f aca="false">$G11583*'Analyse capacite'!$E$8</f>
        <v>0</v>
      </c>
    </row>
    <row r="11584" customFormat="false" ht="15" hidden="false" customHeight="false" outlineLevel="0" collapsed="false">
      <c r="B11584" s="130" t="n">
        <v>2028</v>
      </c>
      <c r="C11584" s="131" t="s">
        <v>256</v>
      </c>
      <c r="D11584" s="132" t="n">
        <v>46799</v>
      </c>
      <c r="E11584" s="131" t="s">
        <v>49</v>
      </c>
      <c r="F11584" s="133" t="s">
        <v>24</v>
      </c>
      <c r="G11584" s="134" t="n">
        <f aca="false">LEN('Saisie programme'!$F$426)+SUMIFS('Vols additionnels'!$E$7:$E$66,'Vols additionnels'!$C$7:$C$66,$E11584,'Vols additionnels'!$D$7:$D$66,$F11584,'Vols additionnels'!$B$7:$B$66,$D11584)</f>
        <v>0</v>
      </c>
      <c r="H11584" s="135" t="n">
        <f aca="false">$G11584*'Analyse capacite'!$F$9</f>
        <v>0</v>
      </c>
      <c r="I11584" s="135" t="n">
        <f aca="false">$G11584*'Analyse capacite'!$C$9</f>
        <v>0</v>
      </c>
      <c r="J11584" s="135" t="n">
        <f aca="false">$G11584*'Analyse capacite'!$D$9</f>
        <v>0</v>
      </c>
      <c r="K11584" s="135" t="n">
        <f aca="false">$G11584*'Analyse capacite'!$E$9</f>
        <v>0</v>
      </c>
    </row>
    <row r="11585" customFormat="false" ht="15" hidden="false" customHeight="false" outlineLevel="0" collapsed="false">
      <c r="B11585" s="130" t="n">
        <v>2028</v>
      </c>
      <c r="C11585" s="131" t="s">
        <v>256</v>
      </c>
      <c r="D11585" s="132" t="n">
        <v>46799</v>
      </c>
      <c r="E11585" s="131" t="s">
        <v>53</v>
      </c>
      <c r="F11585" s="133" t="s">
        <v>11</v>
      </c>
      <c r="G11585" s="134" t="n">
        <f aca="false">LEN('Saisie programme'!$F$427)+SUMIFS('Vols additionnels'!$E$7:$E$66,'Vols additionnels'!$C$7:$C$66,$E11585,'Vols additionnels'!$D$7:$D$66,$F11585,'Vols additionnels'!$B$7:$B$66,$D11585)</f>
        <v>0</v>
      </c>
      <c r="H11585" s="135" t="n">
        <f aca="false">$G11585*'Analyse capacite'!$F$7</f>
        <v>0</v>
      </c>
      <c r="I11585" s="135" t="n">
        <f aca="false">$G11585*'Analyse capacite'!$C$7</f>
        <v>0</v>
      </c>
      <c r="J11585" s="135" t="n">
        <f aca="false">$G11585*'Analyse capacite'!$D$7</f>
        <v>0</v>
      </c>
      <c r="K11585" s="135" t="n">
        <f aca="false">$G11585*'Analyse capacite'!$E$7</f>
        <v>0</v>
      </c>
    </row>
    <row r="11586" customFormat="false" ht="15" hidden="false" customHeight="false" outlineLevel="0" collapsed="false">
      <c r="B11586" s="130" t="n">
        <v>2028</v>
      </c>
      <c r="C11586" s="131" t="s">
        <v>256</v>
      </c>
      <c r="D11586" s="132" t="n">
        <v>46799</v>
      </c>
      <c r="E11586" s="131" t="s">
        <v>53</v>
      </c>
      <c r="F11586" s="133" t="s">
        <v>19</v>
      </c>
      <c r="G11586" s="134" t="n">
        <f aca="false">LEN('Saisie programme'!$F$428)+SUMIFS('Vols additionnels'!$E$7:$E$66,'Vols additionnels'!$C$7:$C$66,$E11586,'Vols additionnels'!$D$7:$D$66,$F11586,'Vols additionnels'!$B$7:$B$66,$D11586)</f>
        <v>0</v>
      </c>
      <c r="H11586" s="135" t="n">
        <f aca="false">$G11586*'Analyse capacite'!$F$8</f>
        <v>0</v>
      </c>
      <c r="I11586" s="135" t="n">
        <f aca="false">$G11586*'Analyse capacite'!$C$8</f>
        <v>0</v>
      </c>
      <c r="J11586" s="135" t="n">
        <f aca="false">$G11586*'Analyse capacite'!$D$8</f>
        <v>0</v>
      </c>
      <c r="K11586" s="135" t="n">
        <f aca="false">$G11586*'Analyse capacite'!$E$8</f>
        <v>0</v>
      </c>
    </row>
    <row r="11587" customFormat="false" ht="15" hidden="false" customHeight="false" outlineLevel="0" collapsed="false">
      <c r="B11587" s="130" t="n">
        <v>2028</v>
      </c>
      <c r="C11587" s="131" t="s">
        <v>256</v>
      </c>
      <c r="D11587" s="132" t="n">
        <v>46799</v>
      </c>
      <c r="E11587" s="131" t="s">
        <v>53</v>
      </c>
      <c r="F11587" s="133" t="s">
        <v>24</v>
      </c>
      <c r="G11587" s="134" t="n">
        <f aca="false">LEN('Saisie programme'!$F$429)+SUMIFS('Vols additionnels'!$E$7:$E$66,'Vols additionnels'!$C$7:$C$66,$E11587,'Vols additionnels'!$D$7:$D$66,$F11587,'Vols additionnels'!$B$7:$B$66,$D11587)</f>
        <v>0</v>
      </c>
      <c r="H11587" s="135" t="n">
        <f aca="false">$G11587*'Analyse capacite'!$F$9</f>
        <v>0</v>
      </c>
      <c r="I11587" s="135" t="n">
        <f aca="false">$G11587*'Analyse capacite'!$C$9</f>
        <v>0</v>
      </c>
      <c r="J11587" s="135" t="n">
        <f aca="false">$G11587*'Analyse capacite'!$D$9</f>
        <v>0</v>
      </c>
      <c r="K11587" s="135" t="n">
        <f aca="false">$G11587*'Analyse capacite'!$E$9</f>
        <v>0</v>
      </c>
    </row>
    <row r="11588" customFormat="false" ht="15" hidden="false" customHeight="false" outlineLevel="0" collapsed="false">
      <c r="B11588" s="130" t="n">
        <v>2028</v>
      </c>
      <c r="C11588" s="131" t="s">
        <v>256</v>
      </c>
      <c r="D11588" s="132" t="n">
        <v>46799</v>
      </c>
      <c r="E11588" s="131" t="s">
        <v>56</v>
      </c>
      <c r="F11588" s="133" t="s">
        <v>11</v>
      </c>
      <c r="G11588" s="134" t="n">
        <f aca="false">LEN('Saisie programme'!$F$430)+SUMIFS('Vols additionnels'!$E$7:$E$66,'Vols additionnels'!$C$7:$C$66,$E11588,'Vols additionnels'!$D$7:$D$66,$F11588,'Vols additionnels'!$B$7:$B$66,$D11588)</f>
        <v>0</v>
      </c>
      <c r="H11588" s="135" t="n">
        <f aca="false">$G11588*'Analyse capacite'!$F$7</f>
        <v>0</v>
      </c>
      <c r="I11588" s="135" t="n">
        <f aca="false">$G11588*'Analyse capacite'!$C$7</f>
        <v>0</v>
      </c>
      <c r="J11588" s="135" t="n">
        <f aca="false">$G11588*'Analyse capacite'!$D$7</f>
        <v>0</v>
      </c>
      <c r="K11588" s="135" t="n">
        <f aca="false">$G11588*'Analyse capacite'!$E$7</f>
        <v>0</v>
      </c>
    </row>
    <row r="11589" customFormat="false" ht="15" hidden="false" customHeight="false" outlineLevel="0" collapsed="false">
      <c r="B11589" s="130" t="n">
        <v>2028</v>
      </c>
      <c r="C11589" s="131" t="s">
        <v>256</v>
      </c>
      <c r="D11589" s="132" t="n">
        <v>46799</v>
      </c>
      <c r="E11589" s="131" t="s">
        <v>56</v>
      </c>
      <c r="F11589" s="133" t="s">
        <v>19</v>
      </c>
      <c r="G11589" s="134" t="n">
        <f aca="false">LEN('Saisie programme'!$F$431)+SUMIFS('Vols additionnels'!$E$7:$E$66,'Vols additionnels'!$C$7:$C$66,$E11589,'Vols additionnels'!$D$7:$D$66,$F11589,'Vols additionnels'!$B$7:$B$66,$D11589)</f>
        <v>0</v>
      </c>
      <c r="H11589" s="135" t="n">
        <f aca="false">$G11589*'Analyse capacite'!$F$8</f>
        <v>0</v>
      </c>
      <c r="I11589" s="135" t="n">
        <f aca="false">$G11589*'Analyse capacite'!$C$8</f>
        <v>0</v>
      </c>
      <c r="J11589" s="135" t="n">
        <f aca="false">$G11589*'Analyse capacite'!$D$8</f>
        <v>0</v>
      </c>
      <c r="K11589" s="135" t="n">
        <f aca="false">$G11589*'Analyse capacite'!$E$8</f>
        <v>0</v>
      </c>
    </row>
    <row r="11590" customFormat="false" ht="15" hidden="false" customHeight="false" outlineLevel="0" collapsed="false">
      <c r="B11590" s="130" t="n">
        <v>2028</v>
      </c>
      <c r="C11590" s="131" t="s">
        <v>256</v>
      </c>
      <c r="D11590" s="132" t="n">
        <v>46799</v>
      </c>
      <c r="E11590" s="131" t="s">
        <v>56</v>
      </c>
      <c r="F11590" s="133" t="s">
        <v>24</v>
      </c>
      <c r="G11590" s="134" t="n">
        <f aca="false">LEN('Saisie programme'!$F$432)+SUMIFS('Vols additionnels'!$E$7:$E$66,'Vols additionnels'!$C$7:$C$66,$E11590,'Vols additionnels'!$D$7:$D$66,$F11590,'Vols additionnels'!$B$7:$B$66,$D11590)</f>
        <v>0</v>
      </c>
      <c r="H11590" s="135" t="n">
        <f aca="false">$G11590*'Analyse capacite'!$F$9</f>
        <v>0</v>
      </c>
      <c r="I11590" s="135" t="n">
        <f aca="false">$G11590*'Analyse capacite'!$C$9</f>
        <v>0</v>
      </c>
      <c r="J11590" s="135" t="n">
        <f aca="false">$G11590*'Analyse capacite'!$D$9</f>
        <v>0</v>
      </c>
      <c r="K11590" s="135" t="n">
        <f aca="false">$G11590*'Analyse capacite'!$E$9</f>
        <v>0</v>
      </c>
    </row>
    <row r="11591" customFormat="false" ht="15" hidden="false" customHeight="false" outlineLevel="0" collapsed="false">
      <c r="B11591" s="130" t="n">
        <v>2028</v>
      </c>
      <c r="C11591" s="131" t="s">
        <v>256</v>
      </c>
      <c r="D11591" s="132" t="n">
        <v>46799</v>
      </c>
      <c r="E11591" s="131" t="s">
        <v>59</v>
      </c>
      <c r="F11591" s="133" t="s">
        <v>11</v>
      </c>
      <c r="G11591" s="134" t="n">
        <f aca="false">LEN('Saisie programme'!$F$433)+SUMIFS('Vols additionnels'!$E$7:$E$66,'Vols additionnels'!$C$7:$C$66,$E11591,'Vols additionnels'!$D$7:$D$66,$F11591,'Vols additionnels'!$B$7:$B$66,$D11591)</f>
        <v>0</v>
      </c>
      <c r="H11591" s="135" t="n">
        <f aca="false">$G11591*'Analyse capacite'!$F$7</f>
        <v>0</v>
      </c>
      <c r="I11591" s="135" t="n">
        <f aca="false">$G11591*'Analyse capacite'!$C$7</f>
        <v>0</v>
      </c>
      <c r="J11591" s="135" t="n">
        <f aca="false">$G11591*'Analyse capacite'!$D$7</f>
        <v>0</v>
      </c>
      <c r="K11591" s="135" t="n">
        <f aca="false">$G11591*'Analyse capacite'!$E$7</f>
        <v>0</v>
      </c>
    </row>
    <row r="11592" customFormat="false" ht="15" hidden="false" customHeight="false" outlineLevel="0" collapsed="false">
      <c r="B11592" s="130" t="n">
        <v>2028</v>
      </c>
      <c r="C11592" s="131" t="s">
        <v>256</v>
      </c>
      <c r="D11592" s="132" t="n">
        <v>46799</v>
      </c>
      <c r="E11592" s="131" t="s">
        <v>59</v>
      </c>
      <c r="F11592" s="133" t="s">
        <v>19</v>
      </c>
      <c r="G11592" s="134" t="n">
        <f aca="false">LEN('Saisie programme'!$F$434)+SUMIFS('Vols additionnels'!$E$7:$E$66,'Vols additionnels'!$C$7:$C$66,$E11592,'Vols additionnels'!$D$7:$D$66,$F11592,'Vols additionnels'!$B$7:$B$66,$D11592)</f>
        <v>0</v>
      </c>
      <c r="H11592" s="135" t="n">
        <f aca="false">$G11592*'Analyse capacite'!$F$8</f>
        <v>0</v>
      </c>
      <c r="I11592" s="135" t="n">
        <f aca="false">$G11592*'Analyse capacite'!$C$8</f>
        <v>0</v>
      </c>
      <c r="J11592" s="135" t="n">
        <f aca="false">$G11592*'Analyse capacite'!$D$8</f>
        <v>0</v>
      </c>
      <c r="K11592" s="135" t="n">
        <f aca="false">$G11592*'Analyse capacite'!$E$8</f>
        <v>0</v>
      </c>
    </row>
    <row r="11593" customFormat="false" ht="15" hidden="false" customHeight="false" outlineLevel="0" collapsed="false">
      <c r="B11593" s="130" t="n">
        <v>2028</v>
      </c>
      <c r="C11593" s="131" t="s">
        <v>256</v>
      </c>
      <c r="D11593" s="132" t="n">
        <v>46799</v>
      </c>
      <c r="E11593" s="131" t="s">
        <v>59</v>
      </c>
      <c r="F11593" s="133" t="s">
        <v>24</v>
      </c>
      <c r="G11593" s="134" t="n">
        <f aca="false">LEN('Saisie programme'!$F$435)+SUMIFS('Vols additionnels'!$E$7:$E$66,'Vols additionnels'!$C$7:$C$66,$E11593,'Vols additionnels'!$D$7:$D$66,$F11593,'Vols additionnels'!$B$7:$B$66,$D11593)</f>
        <v>1</v>
      </c>
      <c r="H11593" s="135" t="n">
        <f aca="false">$G11593*'Analyse capacite'!$F$9</f>
        <v>174</v>
      </c>
      <c r="I11593" s="135" t="n">
        <f aca="false">$G11593*'Analyse capacite'!$C$9</f>
        <v>0</v>
      </c>
      <c r="J11593" s="135" t="n">
        <f aca="false">$G11593*'Analyse capacite'!$D$9</f>
        <v>12</v>
      </c>
      <c r="K11593" s="135" t="n">
        <f aca="false">$G11593*'Analyse capacite'!$E$9</f>
        <v>162</v>
      </c>
    </row>
    <row r="11594" customFormat="false" ht="15" hidden="false" customHeight="false" outlineLevel="0" collapsed="false">
      <c r="B11594" s="130" t="n">
        <v>2028</v>
      </c>
      <c r="C11594" s="131" t="s">
        <v>256</v>
      </c>
      <c r="D11594" s="132" t="n">
        <v>46799</v>
      </c>
      <c r="E11594" s="131" t="s">
        <v>62</v>
      </c>
      <c r="F11594" s="133" t="s">
        <v>11</v>
      </c>
      <c r="G11594" s="134" t="n">
        <f aca="false">LEN('Saisie programme'!$F$436)+SUMIFS('Vols additionnels'!$E$7:$E$66,'Vols additionnels'!$C$7:$C$66,$E11594,'Vols additionnels'!$D$7:$D$66,$F11594,'Vols additionnels'!$B$7:$B$66,$D11594)</f>
        <v>0</v>
      </c>
      <c r="H11594" s="135" t="n">
        <f aca="false">$G11594*'Analyse capacite'!$F$7</f>
        <v>0</v>
      </c>
      <c r="I11594" s="135" t="n">
        <f aca="false">$G11594*'Analyse capacite'!$C$7</f>
        <v>0</v>
      </c>
      <c r="J11594" s="135" t="n">
        <f aca="false">$G11594*'Analyse capacite'!$D$7</f>
        <v>0</v>
      </c>
      <c r="K11594" s="135" t="n">
        <f aca="false">$G11594*'Analyse capacite'!$E$7</f>
        <v>0</v>
      </c>
    </row>
    <row r="11595" customFormat="false" ht="15" hidden="false" customHeight="false" outlineLevel="0" collapsed="false">
      <c r="B11595" s="130" t="n">
        <v>2028</v>
      </c>
      <c r="C11595" s="131" t="s">
        <v>256</v>
      </c>
      <c r="D11595" s="132" t="n">
        <v>46799</v>
      </c>
      <c r="E11595" s="131" t="s">
        <v>62</v>
      </c>
      <c r="F11595" s="133" t="s">
        <v>19</v>
      </c>
      <c r="G11595" s="134" t="n">
        <f aca="false">LEN('Saisie programme'!$F$437)+SUMIFS('Vols additionnels'!$E$7:$E$66,'Vols additionnels'!$C$7:$C$66,$E11595,'Vols additionnels'!$D$7:$D$66,$F11595,'Vols additionnels'!$B$7:$B$66,$D11595)</f>
        <v>0</v>
      </c>
      <c r="H11595" s="135" t="n">
        <f aca="false">$G11595*'Analyse capacite'!$F$8</f>
        <v>0</v>
      </c>
      <c r="I11595" s="135" t="n">
        <f aca="false">$G11595*'Analyse capacite'!$C$8</f>
        <v>0</v>
      </c>
      <c r="J11595" s="135" t="n">
        <f aca="false">$G11595*'Analyse capacite'!$D$8</f>
        <v>0</v>
      </c>
      <c r="K11595" s="135" t="n">
        <f aca="false">$G11595*'Analyse capacite'!$E$8</f>
        <v>0</v>
      </c>
    </row>
    <row r="11596" customFormat="false" ht="15" hidden="false" customHeight="false" outlineLevel="0" collapsed="false">
      <c r="B11596" s="130" t="n">
        <v>2028</v>
      </c>
      <c r="C11596" s="131" t="s">
        <v>256</v>
      </c>
      <c r="D11596" s="132" t="n">
        <v>46799</v>
      </c>
      <c r="E11596" s="131" t="s">
        <v>62</v>
      </c>
      <c r="F11596" s="133" t="s">
        <v>24</v>
      </c>
      <c r="G11596" s="134" t="n">
        <f aca="false">LEN('Saisie programme'!$F$438)+SUMIFS('Vols additionnels'!$E$7:$E$66,'Vols additionnels'!$C$7:$C$66,$E11596,'Vols additionnels'!$D$7:$D$66,$F11596,'Vols additionnels'!$B$7:$B$66,$D11596)</f>
        <v>1</v>
      </c>
      <c r="H11596" s="135" t="n">
        <f aca="false">$G11596*'Analyse capacite'!$F$9</f>
        <v>174</v>
      </c>
      <c r="I11596" s="135" t="n">
        <f aca="false">$G11596*'Analyse capacite'!$C$9</f>
        <v>0</v>
      </c>
      <c r="J11596" s="135" t="n">
        <f aca="false">$G11596*'Analyse capacite'!$D$9</f>
        <v>12</v>
      </c>
      <c r="K11596" s="135" t="n">
        <f aca="false">$G11596*'Analyse capacite'!$E$9</f>
        <v>162</v>
      </c>
    </row>
    <row r="11597" customFormat="false" ht="15" hidden="false" customHeight="false" outlineLevel="0" collapsed="false">
      <c r="B11597" s="130" t="n">
        <v>2028</v>
      </c>
      <c r="C11597" s="131" t="s">
        <v>256</v>
      </c>
      <c r="D11597" s="132" t="n">
        <v>46800</v>
      </c>
      <c r="E11597" s="131" t="s">
        <v>12</v>
      </c>
      <c r="F11597" s="133" t="s">
        <v>11</v>
      </c>
      <c r="G11597" s="134" t="n">
        <f aca="false">LEN('Saisie programme'!$G$403)+SUMIFS('Vols additionnels'!$E$7:$E$66,'Vols additionnels'!$C$7:$C$66,$E11597,'Vols additionnels'!$D$7:$D$66,$F11597,'Vols additionnels'!$B$7:$B$66,$D11597)</f>
        <v>1</v>
      </c>
      <c r="H11597" s="135" t="n">
        <f aca="false">$G11597*'Analyse capacite'!$F$7</f>
        <v>438</v>
      </c>
      <c r="I11597" s="135" t="n">
        <f aca="false">$G11597*'Analyse capacite'!$C$7</f>
        <v>14</v>
      </c>
      <c r="J11597" s="135" t="n">
        <f aca="false">$G11597*'Analyse capacite'!$D$7</f>
        <v>40</v>
      </c>
      <c r="K11597" s="135" t="n">
        <f aca="false">$G11597*'Analyse capacite'!$E$7</f>
        <v>384</v>
      </c>
    </row>
    <row r="11598" customFormat="false" ht="15" hidden="false" customHeight="false" outlineLevel="0" collapsed="false">
      <c r="B11598" s="130" t="n">
        <v>2028</v>
      </c>
      <c r="C11598" s="131" t="s">
        <v>256</v>
      </c>
      <c r="D11598" s="132" t="n">
        <v>46800</v>
      </c>
      <c r="E11598" s="131" t="s">
        <v>12</v>
      </c>
      <c r="F11598" s="133" t="s">
        <v>19</v>
      </c>
      <c r="G11598" s="134" t="n">
        <f aca="false">LEN('Saisie programme'!$G$404)+SUMIFS('Vols additionnels'!$E$7:$E$66,'Vols additionnels'!$C$7:$C$66,$E11598,'Vols additionnels'!$D$7:$D$66,$F11598,'Vols additionnels'!$B$7:$B$66,$D11598)</f>
        <v>0</v>
      </c>
      <c r="H11598" s="135" t="n">
        <f aca="false">$G11598*'Analyse capacite'!$F$8</f>
        <v>0</v>
      </c>
      <c r="I11598" s="135" t="n">
        <f aca="false">$G11598*'Analyse capacite'!$C$8</f>
        <v>0</v>
      </c>
      <c r="J11598" s="135" t="n">
        <f aca="false">$G11598*'Analyse capacite'!$D$8</f>
        <v>0</v>
      </c>
      <c r="K11598" s="135" t="n">
        <f aca="false">$G11598*'Analyse capacite'!$E$8</f>
        <v>0</v>
      </c>
    </row>
    <row r="11599" customFormat="false" ht="15" hidden="false" customHeight="false" outlineLevel="0" collapsed="false">
      <c r="B11599" s="130" t="n">
        <v>2028</v>
      </c>
      <c r="C11599" s="131" t="s">
        <v>256</v>
      </c>
      <c r="D11599" s="132" t="n">
        <v>46800</v>
      </c>
      <c r="E11599" s="131" t="s">
        <v>12</v>
      </c>
      <c r="F11599" s="133" t="s">
        <v>24</v>
      </c>
      <c r="G11599" s="134" t="n">
        <f aca="false">LEN('Saisie programme'!$G$405)+SUMIFS('Vols additionnels'!$E$7:$E$66,'Vols additionnels'!$C$7:$C$66,$E11599,'Vols additionnels'!$D$7:$D$66,$F11599,'Vols additionnels'!$B$7:$B$66,$D11599)</f>
        <v>0</v>
      </c>
      <c r="H11599" s="135" t="n">
        <f aca="false">$G11599*'Analyse capacite'!$F$9</f>
        <v>0</v>
      </c>
      <c r="I11599" s="135" t="n">
        <f aca="false">$G11599*'Analyse capacite'!$C$9</f>
        <v>0</v>
      </c>
      <c r="J11599" s="135" t="n">
        <f aca="false">$G11599*'Analyse capacite'!$D$9</f>
        <v>0</v>
      </c>
      <c r="K11599" s="135" t="n">
        <f aca="false">$G11599*'Analyse capacite'!$E$9</f>
        <v>0</v>
      </c>
    </row>
    <row r="11600" customFormat="false" ht="15" hidden="false" customHeight="false" outlineLevel="0" collapsed="false">
      <c r="B11600" s="130" t="n">
        <v>2028</v>
      </c>
      <c r="C11600" s="131" t="s">
        <v>256</v>
      </c>
      <c r="D11600" s="132" t="n">
        <v>46800</v>
      </c>
      <c r="E11600" s="131" t="s">
        <v>20</v>
      </c>
      <c r="F11600" s="133" t="s">
        <v>11</v>
      </c>
      <c r="G11600" s="134" t="n">
        <f aca="false">LEN('Saisie programme'!$G$406)+SUMIFS('Vols additionnels'!$E$7:$E$66,'Vols additionnels'!$C$7:$C$66,$E11600,'Vols additionnels'!$D$7:$D$66,$F11600,'Vols additionnels'!$B$7:$B$66,$D11600)</f>
        <v>0</v>
      </c>
      <c r="H11600" s="135" t="n">
        <f aca="false">$G11600*'Analyse capacite'!$F$7</f>
        <v>0</v>
      </c>
      <c r="I11600" s="135" t="n">
        <f aca="false">$G11600*'Analyse capacite'!$C$7</f>
        <v>0</v>
      </c>
      <c r="J11600" s="135" t="n">
        <f aca="false">$G11600*'Analyse capacite'!$D$7</f>
        <v>0</v>
      </c>
      <c r="K11600" s="135" t="n">
        <f aca="false">$G11600*'Analyse capacite'!$E$7</f>
        <v>0</v>
      </c>
    </row>
    <row r="11601" customFormat="false" ht="15" hidden="false" customHeight="false" outlineLevel="0" collapsed="false">
      <c r="B11601" s="130" t="n">
        <v>2028</v>
      </c>
      <c r="C11601" s="131" t="s">
        <v>256</v>
      </c>
      <c r="D11601" s="132" t="n">
        <v>46800</v>
      </c>
      <c r="E11601" s="131" t="s">
        <v>20</v>
      </c>
      <c r="F11601" s="133" t="s">
        <v>19</v>
      </c>
      <c r="G11601" s="134" t="n">
        <f aca="false">LEN('Saisie programme'!$G$407)+SUMIFS('Vols additionnels'!$E$7:$E$66,'Vols additionnels'!$C$7:$C$66,$E11601,'Vols additionnels'!$D$7:$D$66,$F11601,'Vols additionnels'!$B$7:$B$66,$D11601)</f>
        <v>0</v>
      </c>
      <c r="H11601" s="135" t="n">
        <f aca="false">$G11601*'Analyse capacite'!$F$8</f>
        <v>0</v>
      </c>
      <c r="I11601" s="135" t="n">
        <f aca="false">$G11601*'Analyse capacite'!$C$8</f>
        <v>0</v>
      </c>
      <c r="J11601" s="135" t="n">
        <f aca="false">$G11601*'Analyse capacite'!$D$8</f>
        <v>0</v>
      </c>
      <c r="K11601" s="135" t="n">
        <f aca="false">$G11601*'Analyse capacite'!$E$8</f>
        <v>0</v>
      </c>
    </row>
    <row r="11602" customFormat="false" ht="15" hidden="false" customHeight="false" outlineLevel="0" collapsed="false">
      <c r="B11602" s="130" t="n">
        <v>2028</v>
      </c>
      <c r="C11602" s="131" t="s">
        <v>256</v>
      </c>
      <c r="D11602" s="132" t="n">
        <v>46800</v>
      </c>
      <c r="E11602" s="131" t="s">
        <v>20</v>
      </c>
      <c r="F11602" s="133" t="s">
        <v>24</v>
      </c>
      <c r="G11602" s="134" t="n">
        <f aca="false">LEN('Saisie programme'!$G$408)+SUMIFS('Vols additionnels'!$E$7:$E$66,'Vols additionnels'!$C$7:$C$66,$E11602,'Vols additionnels'!$D$7:$D$66,$F11602,'Vols additionnels'!$B$7:$B$66,$D11602)</f>
        <v>0</v>
      </c>
      <c r="H11602" s="135" t="n">
        <f aca="false">$G11602*'Analyse capacite'!$F$9</f>
        <v>0</v>
      </c>
      <c r="I11602" s="135" t="n">
        <f aca="false">$G11602*'Analyse capacite'!$C$9</f>
        <v>0</v>
      </c>
      <c r="J11602" s="135" t="n">
        <f aca="false">$G11602*'Analyse capacite'!$D$9</f>
        <v>0</v>
      </c>
      <c r="K11602" s="135" t="n">
        <f aca="false">$G11602*'Analyse capacite'!$E$9</f>
        <v>0</v>
      </c>
    </row>
    <row r="11603" customFormat="false" ht="15" hidden="false" customHeight="false" outlineLevel="0" collapsed="false">
      <c r="B11603" s="130" t="n">
        <v>2028</v>
      </c>
      <c r="C11603" s="131" t="s">
        <v>256</v>
      </c>
      <c r="D11603" s="132" t="n">
        <v>46800</v>
      </c>
      <c r="E11603" s="131" t="s">
        <v>25</v>
      </c>
      <c r="F11603" s="133" t="s">
        <v>11</v>
      </c>
      <c r="G11603" s="134" t="n">
        <f aca="false">LEN('Saisie programme'!$G$409)+SUMIFS('Vols additionnels'!$E$7:$E$66,'Vols additionnels'!$C$7:$C$66,$E11603,'Vols additionnels'!$D$7:$D$66,$F11603,'Vols additionnels'!$B$7:$B$66,$D11603)</f>
        <v>0</v>
      </c>
      <c r="H11603" s="135" t="n">
        <f aca="false">$G11603*'Analyse capacite'!$F$7</f>
        <v>0</v>
      </c>
      <c r="I11603" s="135" t="n">
        <f aca="false">$G11603*'Analyse capacite'!$C$7</f>
        <v>0</v>
      </c>
      <c r="J11603" s="135" t="n">
        <f aca="false">$G11603*'Analyse capacite'!$D$7</f>
        <v>0</v>
      </c>
      <c r="K11603" s="135" t="n">
        <f aca="false">$G11603*'Analyse capacite'!$E$7</f>
        <v>0</v>
      </c>
    </row>
    <row r="11604" customFormat="false" ht="15" hidden="false" customHeight="false" outlineLevel="0" collapsed="false">
      <c r="B11604" s="130" t="n">
        <v>2028</v>
      </c>
      <c r="C11604" s="131" t="s">
        <v>256</v>
      </c>
      <c r="D11604" s="132" t="n">
        <v>46800</v>
      </c>
      <c r="E11604" s="131" t="s">
        <v>25</v>
      </c>
      <c r="F11604" s="133" t="s">
        <v>19</v>
      </c>
      <c r="G11604" s="134" t="n">
        <f aca="false">LEN('Saisie programme'!$G$410)+SUMIFS('Vols additionnels'!$E$7:$E$66,'Vols additionnels'!$C$7:$C$66,$E11604,'Vols additionnels'!$D$7:$D$66,$F11604,'Vols additionnels'!$B$7:$B$66,$D11604)</f>
        <v>0</v>
      </c>
      <c r="H11604" s="135" t="n">
        <f aca="false">$G11604*'Analyse capacite'!$F$8</f>
        <v>0</v>
      </c>
      <c r="I11604" s="135" t="n">
        <f aca="false">$G11604*'Analyse capacite'!$C$8</f>
        <v>0</v>
      </c>
      <c r="J11604" s="135" t="n">
        <f aca="false">$G11604*'Analyse capacite'!$D$8</f>
        <v>0</v>
      </c>
      <c r="K11604" s="135" t="n">
        <f aca="false">$G11604*'Analyse capacite'!$E$8</f>
        <v>0</v>
      </c>
    </row>
    <row r="11605" customFormat="false" ht="15" hidden="false" customHeight="false" outlineLevel="0" collapsed="false">
      <c r="B11605" s="130" t="n">
        <v>2028</v>
      </c>
      <c r="C11605" s="131" t="s">
        <v>256</v>
      </c>
      <c r="D11605" s="132" t="n">
        <v>46800</v>
      </c>
      <c r="E11605" s="131" t="s">
        <v>25</v>
      </c>
      <c r="F11605" s="133" t="s">
        <v>24</v>
      </c>
      <c r="G11605" s="134" t="n">
        <f aca="false">LEN('Saisie programme'!$G$411)+SUMIFS('Vols additionnels'!$E$7:$E$66,'Vols additionnels'!$C$7:$C$66,$E11605,'Vols additionnels'!$D$7:$D$66,$F11605,'Vols additionnels'!$B$7:$B$66,$D11605)</f>
        <v>0</v>
      </c>
      <c r="H11605" s="135" t="n">
        <f aca="false">$G11605*'Analyse capacite'!$F$9</f>
        <v>0</v>
      </c>
      <c r="I11605" s="135" t="n">
        <f aca="false">$G11605*'Analyse capacite'!$C$9</f>
        <v>0</v>
      </c>
      <c r="J11605" s="135" t="n">
        <f aca="false">$G11605*'Analyse capacite'!$D$9</f>
        <v>0</v>
      </c>
      <c r="K11605" s="135" t="n">
        <f aca="false">$G11605*'Analyse capacite'!$E$9</f>
        <v>0</v>
      </c>
    </row>
    <row r="11606" customFormat="false" ht="15" hidden="false" customHeight="false" outlineLevel="0" collapsed="false">
      <c r="B11606" s="130" t="n">
        <v>2028</v>
      </c>
      <c r="C11606" s="131" t="s">
        <v>256</v>
      </c>
      <c r="D11606" s="132" t="n">
        <v>46800</v>
      </c>
      <c r="E11606" s="131" t="s">
        <v>36</v>
      </c>
      <c r="F11606" s="133" t="s">
        <v>11</v>
      </c>
      <c r="G11606" s="134" t="n">
        <f aca="false">LEN('Saisie programme'!$G$412)+SUMIFS('Vols additionnels'!$E$7:$E$66,'Vols additionnels'!$C$7:$C$66,$E11606,'Vols additionnels'!$D$7:$D$66,$F11606,'Vols additionnels'!$B$7:$B$66,$D11606)</f>
        <v>0</v>
      </c>
      <c r="H11606" s="135" t="n">
        <f aca="false">$G11606*'Analyse capacite'!$F$7</f>
        <v>0</v>
      </c>
      <c r="I11606" s="135" t="n">
        <f aca="false">$G11606*'Analyse capacite'!$C$7</f>
        <v>0</v>
      </c>
      <c r="J11606" s="135" t="n">
        <f aca="false">$G11606*'Analyse capacite'!$D$7</f>
        <v>0</v>
      </c>
      <c r="K11606" s="135" t="n">
        <f aca="false">$G11606*'Analyse capacite'!$E$7</f>
        <v>0</v>
      </c>
    </row>
    <row r="11607" customFormat="false" ht="15" hidden="false" customHeight="false" outlineLevel="0" collapsed="false">
      <c r="B11607" s="130" t="n">
        <v>2028</v>
      </c>
      <c r="C11607" s="131" t="s">
        <v>256</v>
      </c>
      <c r="D11607" s="132" t="n">
        <v>46800</v>
      </c>
      <c r="E11607" s="131" t="s">
        <v>36</v>
      </c>
      <c r="F11607" s="133" t="s">
        <v>19</v>
      </c>
      <c r="G11607" s="134" t="n">
        <f aca="false">LEN('Saisie programme'!$G$413)+SUMIFS('Vols additionnels'!$E$7:$E$66,'Vols additionnels'!$C$7:$C$66,$E11607,'Vols additionnels'!$D$7:$D$66,$F11607,'Vols additionnels'!$B$7:$B$66,$D11607)</f>
        <v>0</v>
      </c>
      <c r="H11607" s="135" t="n">
        <f aca="false">$G11607*'Analyse capacite'!$F$8</f>
        <v>0</v>
      </c>
      <c r="I11607" s="135" t="n">
        <f aca="false">$G11607*'Analyse capacite'!$C$8</f>
        <v>0</v>
      </c>
      <c r="J11607" s="135" t="n">
        <f aca="false">$G11607*'Analyse capacite'!$D$8</f>
        <v>0</v>
      </c>
      <c r="K11607" s="135" t="n">
        <f aca="false">$G11607*'Analyse capacite'!$E$8</f>
        <v>0</v>
      </c>
    </row>
    <row r="11608" customFormat="false" ht="15" hidden="false" customHeight="false" outlineLevel="0" collapsed="false">
      <c r="B11608" s="130" t="n">
        <v>2028</v>
      </c>
      <c r="C11608" s="131" t="s">
        <v>256</v>
      </c>
      <c r="D11608" s="132" t="n">
        <v>46800</v>
      </c>
      <c r="E11608" s="131" t="s">
        <v>36</v>
      </c>
      <c r="F11608" s="133" t="s">
        <v>24</v>
      </c>
      <c r="G11608" s="134" t="n">
        <f aca="false">LEN('Saisie programme'!$G$414)+SUMIFS('Vols additionnels'!$E$7:$E$66,'Vols additionnels'!$C$7:$C$66,$E11608,'Vols additionnels'!$D$7:$D$66,$F11608,'Vols additionnels'!$B$7:$B$66,$D11608)</f>
        <v>1</v>
      </c>
      <c r="H11608" s="135" t="n">
        <f aca="false">$G11608*'Analyse capacite'!$F$9</f>
        <v>174</v>
      </c>
      <c r="I11608" s="135" t="n">
        <f aca="false">$G11608*'Analyse capacite'!$C$9</f>
        <v>0</v>
      </c>
      <c r="J11608" s="135" t="n">
        <f aca="false">$G11608*'Analyse capacite'!$D$9</f>
        <v>12</v>
      </c>
      <c r="K11608" s="135" t="n">
        <f aca="false">$G11608*'Analyse capacite'!$E$9</f>
        <v>162</v>
      </c>
    </row>
    <row r="11609" customFormat="false" ht="15" hidden="false" customHeight="false" outlineLevel="0" collapsed="false">
      <c r="B11609" s="130" t="n">
        <v>2028</v>
      </c>
      <c r="C11609" s="131" t="s">
        <v>256</v>
      </c>
      <c r="D11609" s="132" t="n">
        <v>46800</v>
      </c>
      <c r="E11609" s="131" t="s">
        <v>40</v>
      </c>
      <c r="F11609" s="133" t="s">
        <v>11</v>
      </c>
      <c r="G11609" s="134" t="n">
        <f aca="false">LEN('Saisie programme'!$G$415)+SUMIFS('Vols additionnels'!$E$7:$E$66,'Vols additionnels'!$C$7:$C$66,$E11609,'Vols additionnels'!$D$7:$D$66,$F11609,'Vols additionnels'!$B$7:$B$66,$D11609)</f>
        <v>0</v>
      </c>
      <c r="H11609" s="135" t="n">
        <f aca="false">$G11609*'Analyse capacite'!$F$7</f>
        <v>0</v>
      </c>
      <c r="I11609" s="135" t="n">
        <f aca="false">$G11609*'Analyse capacite'!$C$7</f>
        <v>0</v>
      </c>
      <c r="J11609" s="135" t="n">
        <f aca="false">$G11609*'Analyse capacite'!$D$7</f>
        <v>0</v>
      </c>
      <c r="K11609" s="135" t="n">
        <f aca="false">$G11609*'Analyse capacite'!$E$7</f>
        <v>0</v>
      </c>
    </row>
    <row r="11610" customFormat="false" ht="15" hidden="false" customHeight="false" outlineLevel="0" collapsed="false">
      <c r="B11610" s="130" t="n">
        <v>2028</v>
      </c>
      <c r="C11610" s="131" t="s">
        <v>256</v>
      </c>
      <c r="D11610" s="132" t="n">
        <v>46800</v>
      </c>
      <c r="E11610" s="131" t="s">
        <v>40</v>
      </c>
      <c r="F11610" s="133" t="s">
        <v>19</v>
      </c>
      <c r="G11610" s="134" t="n">
        <f aca="false">LEN('Saisie programme'!$G$416)+SUMIFS('Vols additionnels'!$E$7:$E$66,'Vols additionnels'!$C$7:$C$66,$E11610,'Vols additionnels'!$D$7:$D$66,$F11610,'Vols additionnels'!$B$7:$B$66,$D11610)</f>
        <v>0</v>
      </c>
      <c r="H11610" s="135" t="n">
        <f aca="false">$G11610*'Analyse capacite'!$F$8</f>
        <v>0</v>
      </c>
      <c r="I11610" s="135" t="n">
        <f aca="false">$G11610*'Analyse capacite'!$C$8</f>
        <v>0</v>
      </c>
      <c r="J11610" s="135" t="n">
        <f aca="false">$G11610*'Analyse capacite'!$D$8</f>
        <v>0</v>
      </c>
      <c r="K11610" s="135" t="n">
        <f aca="false">$G11610*'Analyse capacite'!$E$8</f>
        <v>0</v>
      </c>
    </row>
    <row r="11611" customFormat="false" ht="15" hidden="false" customHeight="false" outlineLevel="0" collapsed="false">
      <c r="B11611" s="130" t="n">
        <v>2028</v>
      </c>
      <c r="C11611" s="131" t="s">
        <v>256</v>
      </c>
      <c r="D11611" s="132" t="n">
        <v>46800</v>
      </c>
      <c r="E11611" s="131" t="s">
        <v>40</v>
      </c>
      <c r="F11611" s="133" t="s">
        <v>24</v>
      </c>
      <c r="G11611" s="134" t="n">
        <f aca="false">LEN('Saisie programme'!$G$417)+SUMIFS('Vols additionnels'!$E$7:$E$66,'Vols additionnels'!$C$7:$C$66,$E11611,'Vols additionnels'!$D$7:$D$66,$F11611,'Vols additionnels'!$B$7:$B$66,$D11611)</f>
        <v>0</v>
      </c>
      <c r="H11611" s="135" t="n">
        <f aca="false">$G11611*'Analyse capacite'!$F$9</f>
        <v>0</v>
      </c>
      <c r="I11611" s="135" t="n">
        <f aca="false">$G11611*'Analyse capacite'!$C$9</f>
        <v>0</v>
      </c>
      <c r="J11611" s="135" t="n">
        <f aca="false">$G11611*'Analyse capacite'!$D$9</f>
        <v>0</v>
      </c>
      <c r="K11611" s="135" t="n">
        <f aca="false">$G11611*'Analyse capacite'!$E$9</f>
        <v>0</v>
      </c>
    </row>
    <row r="11612" customFormat="false" ht="15" hidden="false" customHeight="false" outlineLevel="0" collapsed="false">
      <c r="B11612" s="130" t="n">
        <v>2028</v>
      </c>
      <c r="C11612" s="131" t="s">
        <v>256</v>
      </c>
      <c r="D11612" s="132" t="n">
        <v>46800</v>
      </c>
      <c r="E11612" s="131" t="s">
        <v>14</v>
      </c>
      <c r="F11612" s="133" t="s">
        <v>11</v>
      </c>
      <c r="G11612" s="134" t="n">
        <f aca="false">LEN('Saisie programme'!$G$418)+SUMIFS('Vols additionnels'!$E$7:$E$66,'Vols additionnels'!$C$7:$C$66,$E11612,'Vols additionnels'!$D$7:$D$66,$F11612,'Vols additionnels'!$B$7:$B$66,$D11612)</f>
        <v>0</v>
      </c>
      <c r="H11612" s="135" t="n">
        <f aca="false">$G11612*'Analyse capacite'!$F$7</f>
        <v>0</v>
      </c>
      <c r="I11612" s="135" t="n">
        <f aca="false">$G11612*'Analyse capacite'!$C$7</f>
        <v>0</v>
      </c>
      <c r="J11612" s="135" t="n">
        <f aca="false">$G11612*'Analyse capacite'!$D$7</f>
        <v>0</v>
      </c>
      <c r="K11612" s="135" t="n">
        <f aca="false">$G11612*'Analyse capacite'!$E$7</f>
        <v>0</v>
      </c>
    </row>
    <row r="11613" customFormat="false" ht="15" hidden="false" customHeight="false" outlineLevel="0" collapsed="false">
      <c r="B11613" s="130" t="n">
        <v>2028</v>
      </c>
      <c r="C11613" s="131" t="s">
        <v>256</v>
      </c>
      <c r="D11613" s="132" t="n">
        <v>46800</v>
      </c>
      <c r="E11613" s="131" t="s">
        <v>14</v>
      </c>
      <c r="F11613" s="133" t="s">
        <v>19</v>
      </c>
      <c r="G11613" s="134" t="n">
        <f aca="false">LEN('Saisie programme'!$G$419)+SUMIFS('Vols additionnels'!$E$7:$E$66,'Vols additionnels'!$C$7:$C$66,$E11613,'Vols additionnels'!$D$7:$D$66,$F11613,'Vols additionnels'!$B$7:$B$66,$D11613)</f>
        <v>0</v>
      </c>
      <c r="H11613" s="135" t="n">
        <f aca="false">$G11613*'Analyse capacite'!$F$8</f>
        <v>0</v>
      </c>
      <c r="I11613" s="135" t="n">
        <f aca="false">$G11613*'Analyse capacite'!$C$8</f>
        <v>0</v>
      </c>
      <c r="J11613" s="135" t="n">
        <f aca="false">$G11613*'Analyse capacite'!$D$8</f>
        <v>0</v>
      </c>
      <c r="K11613" s="135" t="n">
        <f aca="false">$G11613*'Analyse capacite'!$E$8</f>
        <v>0</v>
      </c>
    </row>
    <row r="11614" customFormat="false" ht="15" hidden="false" customHeight="false" outlineLevel="0" collapsed="false">
      <c r="B11614" s="130" t="n">
        <v>2028</v>
      </c>
      <c r="C11614" s="131" t="s">
        <v>256</v>
      </c>
      <c r="D11614" s="132" t="n">
        <v>46800</v>
      </c>
      <c r="E11614" s="131" t="s">
        <v>14</v>
      </c>
      <c r="F11614" s="133" t="s">
        <v>24</v>
      </c>
      <c r="G11614" s="134" t="n">
        <f aca="false">LEN('Saisie programme'!$G$420)+SUMIFS('Vols additionnels'!$E$7:$E$66,'Vols additionnels'!$C$7:$C$66,$E11614,'Vols additionnels'!$D$7:$D$66,$F11614,'Vols additionnels'!$B$7:$B$66,$D11614)</f>
        <v>1</v>
      </c>
      <c r="H11614" s="135" t="n">
        <f aca="false">$G11614*'Analyse capacite'!$F$9</f>
        <v>174</v>
      </c>
      <c r="I11614" s="135" t="n">
        <f aca="false">$G11614*'Analyse capacite'!$C$9</f>
        <v>0</v>
      </c>
      <c r="J11614" s="135" t="n">
        <f aca="false">$G11614*'Analyse capacite'!$D$9</f>
        <v>12</v>
      </c>
      <c r="K11614" s="135" t="n">
        <f aca="false">$G11614*'Analyse capacite'!$E$9</f>
        <v>162</v>
      </c>
    </row>
    <row r="11615" customFormat="false" ht="15" hidden="false" customHeight="false" outlineLevel="0" collapsed="false">
      <c r="B11615" s="130" t="n">
        <v>2028</v>
      </c>
      <c r="C11615" s="131" t="s">
        <v>256</v>
      </c>
      <c r="D11615" s="132" t="n">
        <v>46800</v>
      </c>
      <c r="E11615" s="131" t="s">
        <v>46</v>
      </c>
      <c r="F11615" s="133" t="s">
        <v>11</v>
      </c>
      <c r="G11615" s="134" t="n">
        <f aca="false">LEN('Saisie programme'!$G$421)+SUMIFS('Vols additionnels'!$E$7:$E$66,'Vols additionnels'!$C$7:$C$66,$E11615,'Vols additionnels'!$D$7:$D$66,$F11615,'Vols additionnels'!$B$7:$B$66,$D11615)</f>
        <v>0</v>
      </c>
      <c r="H11615" s="135" t="n">
        <f aca="false">$G11615*'Analyse capacite'!$F$7</f>
        <v>0</v>
      </c>
      <c r="I11615" s="135" t="n">
        <f aca="false">$G11615*'Analyse capacite'!$C$7</f>
        <v>0</v>
      </c>
      <c r="J11615" s="135" t="n">
        <f aca="false">$G11615*'Analyse capacite'!$D$7</f>
        <v>0</v>
      </c>
      <c r="K11615" s="135" t="n">
        <f aca="false">$G11615*'Analyse capacite'!$E$7</f>
        <v>0</v>
      </c>
    </row>
    <row r="11616" customFormat="false" ht="15" hidden="false" customHeight="false" outlineLevel="0" collapsed="false">
      <c r="B11616" s="130" t="n">
        <v>2028</v>
      </c>
      <c r="C11616" s="131" t="s">
        <v>256</v>
      </c>
      <c r="D11616" s="132" t="n">
        <v>46800</v>
      </c>
      <c r="E11616" s="131" t="s">
        <v>46</v>
      </c>
      <c r="F11616" s="133" t="s">
        <v>19</v>
      </c>
      <c r="G11616" s="134" t="n">
        <f aca="false">LEN('Saisie programme'!$G$422)+SUMIFS('Vols additionnels'!$E$7:$E$66,'Vols additionnels'!$C$7:$C$66,$E11616,'Vols additionnels'!$D$7:$D$66,$F11616,'Vols additionnels'!$B$7:$B$66,$D11616)</f>
        <v>0</v>
      </c>
      <c r="H11616" s="135" t="n">
        <f aca="false">$G11616*'Analyse capacite'!$F$8</f>
        <v>0</v>
      </c>
      <c r="I11616" s="135" t="n">
        <f aca="false">$G11616*'Analyse capacite'!$C$8</f>
        <v>0</v>
      </c>
      <c r="J11616" s="135" t="n">
        <f aca="false">$G11616*'Analyse capacite'!$D$8</f>
        <v>0</v>
      </c>
      <c r="K11616" s="135" t="n">
        <f aca="false">$G11616*'Analyse capacite'!$E$8</f>
        <v>0</v>
      </c>
    </row>
    <row r="11617" customFormat="false" ht="15" hidden="false" customHeight="false" outlineLevel="0" collapsed="false">
      <c r="B11617" s="130" t="n">
        <v>2028</v>
      </c>
      <c r="C11617" s="131" t="s">
        <v>256</v>
      </c>
      <c r="D11617" s="132" t="n">
        <v>46800</v>
      </c>
      <c r="E11617" s="131" t="s">
        <v>46</v>
      </c>
      <c r="F11617" s="133" t="s">
        <v>24</v>
      </c>
      <c r="G11617" s="134" t="n">
        <f aca="false">LEN('Saisie programme'!$G$423)+SUMIFS('Vols additionnels'!$E$7:$E$66,'Vols additionnels'!$C$7:$C$66,$E11617,'Vols additionnels'!$D$7:$D$66,$F11617,'Vols additionnels'!$B$7:$B$66,$D11617)</f>
        <v>1</v>
      </c>
      <c r="H11617" s="135" t="n">
        <f aca="false">$G11617*'Analyse capacite'!$F$9</f>
        <v>174</v>
      </c>
      <c r="I11617" s="135" t="n">
        <f aca="false">$G11617*'Analyse capacite'!$C$9</f>
        <v>0</v>
      </c>
      <c r="J11617" s="135" t="n">
        <f aca="false">$G11617*'Analyse capacite'!$D$9</f>
        <v>12</v>
      </c>
      <c r="K11617" s="135" t="n">
        <f aca="false">$G11617*'Analyse capacite'!$E$9</f>
        <v>162</v>
      </c>
    </row>
    <row r="11618" customFormat="false" ht="15" hidden="false" customHeight="false" outlineLevel="0" collapsed="false">
      <c r="B11618" s="130" t="n">
        <v>2028</v>
      </c>
      <c r="C11618" s="131" t="s">
        <v>256</v>
      </c>
      <c r="D11618" s="132" t="n">
        <v>46800</v>
      </c>
      <c r="E11618" s="131" t="s">
        <v>49</v>
      </c>
      <c r="F11618" s="133" t="s">
        <v>11</v>
      </c>
      <c r="G11618" s="134" t="n">
        <f aca="false">LEN('Saisie programme'!$G$424)+SUMIFS('Vols additionnels'!$E$7:$E$66,'Vols additionnels'!$C$7:$C$66,$E11618,'Vols additionnels'!$D$7:$D$66,$F11618,'Vols additionnels'!$B$7:$B$66,$D11618)</f>
        <v>0</v>
      </c>
      <c r="H11618" s="135" t="n">
        <f aca="false">$G11618*'Analyse capacite'!$F$7</f>
        <v>0</v>
      </c>
      <c r="I11618" s="135" t="n">
        <f aca="false">$G11618*'Analyse capacite'!$C$7</f>
        <v>0</v>
      </c>
      <c r="J11618" s="135" t="n">
        <f aca="false">$G11618*'Analyse capacite'!$D$7</f>
        <v>0</v>
      </c>
      <c r="K11618" s="135" t="n">
        <f aca="false">$G11618*'Analyse capacite'!$E$7</f>
        <v>0</v>
      </c>
    </row>
    <row r="11619" customFormat="false" ht="15" hidden="false" customHeight="false" outlineLevel="0" collapsed="false">
      <c r="B11619" s="130" t="n">
        <v>2028</v>
      </c>
      <c r="C11619" s="131" t="s">
        <v>256</v>
      </c>
      <c r="D11619" s="132" t="n">
        <v>46800</v>
      </c>
      <c r="E11619" s="131" t="s">
        <v>49</v>
      </c>
      <c r="F11619" s="133" t="s">
        <v>19</v>
      </c>
      <c r="G11619" s="134" t="n">
        <f aca="false">LEN('Saisie programme'!$G$425)+SUMIFS('Vols additionnels'!$E$7:$E$66,'Vols additionnels'!$C$7:$C$66,$E11619,'Vols additionnels'!$D$7:$D$66,$F11619,'Vols additionnels'!$B$7:$B$66,$D11619)</f>
        <v>0</v>
      </c>
      <c r="H11619" s="135" t="n">
        <f aca="false">$G11619*'Analyse capacite'!$F$8</f>
        <v>0</v>
      </c>
      <c r="I11619" s="135" t="n">
        <f aca="false">$G11619*'Analyse capacite'!$C$8</f>
        <v>0</v>
      </c>
      <c r="J11619" s="135" t="n">
        <f aca="false">$G11619*'Analyse capacite'!$D$8</f>
        <v>0</v>
      </c>
      <c r="K11619" s="135" t="n">
        <f aca="false">$G11619*'Analyse capacite'!$E$8</f>
        <v>0</v>
      </c>
    </row>
    <row r="11620" customFormat="false" ht="15" hidden="false" customHeight="false" outlineLevel="0" collapsed="false">
      <c r="B11620" s="130" t="n">
        <v>2028</v>
      </c>
      <c r="C11620" s="131" t="s">
        <v>256</v>
      </c>
      <c r="D11620" s="132" t="n">
        <v>46800</v>
      </c>
      <c r="E11620" s="131" t="s">
        <v>49</v>
      </c>
      <c r="F11620" s="133" t="s">
        <v>24</v>
      </c>
      <c r="G11620" s="134" t="n">
        <f aca="false">LEN('Saisie programme'!$G$426)+SUMIFS('Vols additionnels'!$E$7:$E$66,'Vols additionnels'!$C$7:$C$66,$E11620,'Vols additionnels'!$D$7:$D$66,$F11620,'Vols additionnels'!$B$7:$B$66,$D11620)</f>
        <v>0</v>
      </c>
      <c r="H11620" s="135" t="n">
        <f aca="false">$G11620*'Analyse capacite'!$F$9</f>
        <v>0</v>
      </c>
      <c r="I11620" s="135" t="n">
        <f aca="false">$G11620*'Analyse capacite'!$C$9</f>
        <v>0</v>
      </c>
      <c r="J11620" s="135" t="n">
        <f aca="false">$G11620*'Analyse capacite'!$D$9</f>
        <v>0</v>
      </c>
      <c r="K11620" s="135" t="n">
        <f aca="false">$G11620*'Analyse capacite'!$E$9</f>
        <v>0</v>
      </c>
    </row>
    <row r="11621" customFormat="false" ht="15" hidden="false" customHeight="false" outlineLevel="0" collapsed="false">
      <c r="B11621" s="130" t="n">
        <v>2028</v>
      </c>
      <c r="C11621" s="131" t="s">
        <v>256</v>
      </c>
      <c r="D11621" s="132" t="n">
        <v>46800</v>
      </c>
      <c r="E11621" s="131" t="s">
        <v>53</v>
      </c>
      <c r="F11621" s="133" t="s">
        <v>11</v>
      </c>
      <c r="G11621" s="134" t="n">
        <f aca="false">LEN('Saisie programme'!$G$427)+SUMIFS('Vols additionnels'!$E$7:$E$66,'Vols additionnels'!$C$7:$C$66,$E11621,'Vols additionnels'!$D$7:$D$66,$F11621,'Vols additionnels'!$B$7:$B$66,$D11621)</f>
        <v>0</v>
      </c>
      <c r="H11621" s="135" t="n">
        <f aca="false">$G11621*'Analyse capacite'!$F$7</f>
        <v>0</v>
      </c>
      <c r="I11621" s="135" t="n">
        <f aca="false">$G11621*'Analyse capacite'!$C$7</f>
        <v>0</v>
      </c>
      <c r="J11621" s="135" t="n">
        <f aca="false">$G11621*'Analyse capacite'!$D$7</f>
        <v>0</v>
      </c>
      <c r="K11621" s="135" t="n">
        <f aca="false">$G11621*'Analyse capacite'!$E$7</f>
        <v>0</v>
      </c>
    </row>
    <row r="11622" customFormat="false" ht="15" hidden="false" customHeight="false" outlineLevel="0" collapsed="false">
      <c r="B11622" s="130" t="n">
        <v>2028</v>
      </c>
      <c r="C11622" s="131" t="s">
        <v>256</v>
      </c>
      <c r="D11622" s="132" t="n">
        <v>46800</v>
      </c>
      <c r="E11622" s="131" t="s">
        <v>53</v>
      </c>
      <c r="F11622" s="133" t="s">
        <v>19</v>
      </c>
      <c r="G11622" s="134" t="n">
        <f aca="false">LEN('Saisie programme'!$G$428)+SUMIFS('Vols additionnels'!$E$7:$E$66,'Vols additionnels'!$C$7:$C$66,$E11622,'Vols additionnels'!$D$7:$D$66,$F11622,'Vols additionnels'!$B$7:$B$66,$D11622)</f>
        <v>1</v>
      </c>
      <c r="H11622" s="135" t="n">
        <f aca="false">$G11622*'Analyse capacite'!$F$8</f>
        <v>262</v>
      </c>
      <c r="I11622" s="135" t="n">
        <f aca="false">$G11622*'Analyse capacite'!$C$8</f>
        <v>18</v>
      </c>
      <c r="J11622" s="135" t="n">
        <f aca="false">$G11622*'Analyse capacite'!$D$8</f>
        <v>0</v>
      </c>
      <c r="K11622" s="135" t="n">
        <f aca="false">$G11622*'Analyse capacite'!$E$8</f>
        <v>244</v>
      </c>
    </row>
    <row r="11623" customFormat="false" ht="15" hidden="false" customHeight="false" outlineLevel="0" collapsed="false">
      <c r="B11623" s="130" t="n">
        <v>2028</v>
      </c>
      <c r="C11623" s="131" t="s">
        <v>256</v>
      </c>
      <c r="D11623" s="132" t="n">
        <v>46800</v>
      </c>
      <c r="E11623" s="131" t="s">
        <v>53</v>
      </c>
      <c r="F11623" s="133" t="s">
        <v>24</v>
      </c>
      <c r="G11623" s="134" t="n">
        <f aca="false">LEN('Saisie programme'!$G$429)+SUMIFS('Vols additionnels'!$E$7:$E$66,'Vols additionnels'!$C$7:$C$66,$E11623,'Vols additionnels'!$D$7:$D$66,$F11623,'Vols additionnels'!$B$7:$B$66,$D11623)</f>
        <v>0</v>
      </c>
      <c r="H11623" s="135" t="n">
        <f aca="false">$G11623*'Analyse capacite'!$F$9</f>
        <v>0</v>
      </c>
      <c r="I11623" s="135" t="n">
        <f aca="false">$G11623*'Analyse capacite'!$C$9</f>
        <v>0</v>
      </c>
      <c r="J11623" s="135" t="n">
        <f aca="false">$G11623*'Analyse capacite'!$D$9</f>
        <v>0</v>
      </c>
      <c r="K11623" s="135" t="n">
        <f aca="false">$G11623*'Analyse capacite'!$E$9</f>
        <v>0</v>
      </c>
    </row>
    <row r="11624" customFormat="false" ht="15" hidden="false" customHeight="false" outlineLevel="0" collapsed="false">
      <c r="B11624" s="130" t="n">
        <v>2028</v>
      </c>
      <c r="C11624" s="131" t="s">
        <v>256</v>
      </c>
      <c r="D11624" s="132" t="n">
        <v>46800</v>
      </c>
      <c r="E11624" s="131" t="s">
        <v>56</v>
      </c>
      <c r="F11624" s="133" t="s">
        <v>11</v>
      </c>
      <c r="G11624" s="134" t="n">
        <f aca="false">LEN('Saisie programme'!$G$430)+SUMIFS('Vols additionnels'!$E$7:$E$66,'Vols additionnels'!$C$7:$C$66,$E11624,'Vols additionnels'!$D$7:$D$66,$F11624,'Vols additionnels'!$B$7:$B$66,$D11624)</f>
        <v>0</v>
      </c>
      <c r="H11624" s="135" t="n">
        <f aca="false">$G11624*'Analyse capacite'!$F$7</f>
        <v>0</v>
      </c>
      <c r="I11624" s="135" t="n">
        <f aca="false">$G11624*'Analyse capacite'!$C$7</f>
        <v>0</v>
      </c>
      <c r="J11624" s="135" t="n">
        <f aca="false">$G11624*'Analyse capacite'!$D$7</f>
        <v>0</v>
      </c>
      <c r="K11624" s="135" t="n">
        <f aca="false">$G11624*'Analyse capacite'!$E$7</f>
        <v>0</v>
      </c>
    </row>
    <row r="11625" customFormat="false" ht="15" hidden="false" customHeight="false" outlineLevel="0" collapsed="false">
      <c r="B11625" s="130" t="n">
        <v>2028</v>
      </c>
      <c r="C11625" s="131" t="s">
        <v>256</v>
      </c>
      <c r="D11625" s="132" t="n">
        <v>46800</v>
      </c>
      <c r="E11625" s="131" t="s">
        <v>56</v>
      </c>
      <c r="F11625" s="133" t="s">
        <v>19</v>
      </c>
      <c r="G11625" s="134" t="n">
        <f aca="false">LEN('Saisie programme'!$G$431)+SUMIFS('Vols additionnels'!$E$7:$E$66,'Vols additionnels'!$C$7:$C$66,$E11625,'Vols additionnels'!$D$7:$D$66,$F11625,'Vols additionnels'!$B$7:$B$66,$D11625)</f>
        <v>0</v>
      </c>
      <c r="H11625" s="135" t="n">
        <f aca="false">$G11625*'Analyse capacite'!$F$8</f>
        <v>0</v>
      </c>
      <c r="I11625" s="135" t="n">
        <f aca="false">$G11625*'Analyse capacite'!$C$8</f>
        <v>0</v>
      </c>
      <c r="J11625" s="135" t="n">
        <f aca="false">$G11625*'Analyse capacite'!$D$8</f>
        <v>0</v>
      </c>
      <c r="K11625" s="135" t="n">
        <f aca="false">$G11625*'Analyse capacite'!$E$8</f>
        <v>0</v>
      </c>
    </row>
    <row r="11626" customFormat="false" ht="15" hidden="false" customHeight="false" outlineLevel="0" collapsed="false">
      <c r="B11626" s="130" t="n">
        <v>2028</v>
      </c>
      <c r="C11626" s="131" t="s">
        <v>256</v>
      </c>
      <c r="D11626" s="132" t="n">
        <v>46800</v>
      </c>
      <c r="E11626" s="131" t="s">
        <v>56</v>
      </c>
      <c r="F11626" s="133" t="s">
        <v>24</v>
      </c>
      <c r="G11626" s="134" t="n">
        <f aca="false">LEN('Saisie programme'!$G$432)+SUMIFS('Vols additionnels'!$E$7:$E$66,'Vols additionnels'!$C$7:$C$66,$E11626,'Vols additionnels'!$D$7:$D$66,$F11626,'Vols additionnels'!$B$7:$B$66,$D11626)</f>
        <v>0</v>
      </c>
      <c r="H11626" s="135" t="n">
        <f aca="false">$G11626*'Analyse capacite'!$F$9</f>
        <v>0</v>
      </c>
      <c r="I11626" s="135" t="n">
        <f aca="false">$G11626*'Analyse capacite'!$C$9</f>
        <v>0</v>
      </c>
      <c r="J11626" s="135" t="n">
        <f aca="false">$G11626*'Analyse capacite'!$D$9</f>
        <v>0</v>
      </c>
      <c r="K11626" s="135" t="n">
        <f aca="false">$G11626*'Analyse capacite'!$E$9</f>
        <v>0</v>
      </c>
    </row>
    <row r="11627" customFormat="false" ht="15" hidden="false" customHeight="false" outlineLevel="0" collapsed="false">
      <c r="B11627" s="130" t="n">
        <v>2028</v>
      </c>
      <c r="C11627" s="131" t="s">
        <v>256</v>
      </c>
      <c r="D11627" s="132" t="n">
        <v>46800</v>
      </c>
      <c r="E11627" s="131" t="s">
        <v>59</v>
      </c>
      <c r="F11627" s="133" t="s">
        <v>11</v>
      </c>
      <c r="G11627" s="134" t="n">
        <f aca="false">LEN('Saisie programme'!$G$433)+SUMIFS('Vols additionnels'!$E$7:$E$66,'Vols additionnels'!$C$7:$C$66,$E11627,'Vols additionnels'!$D$7:$D$66,$F11627,'Vols additionnels'!$B$7:$B$66,$D11627)</f>
        <v>0</v>
      </c>
      <c r="H11627" s="135" t="n">
        <f aca="false">$G11627*'Analyse capacite'!$F$7</f>
        <v>0</v>
      </c>
      <c r="I11627" s="135" t="n">
        <f aca="false">$G11627*'Analyse capacite'!$C$7</f>
        <v>0</v>
      </c>
      <c r="J11627" s="135" t="n">
        <f aca="false">$G11627*'Analyse capacite'!$D$7</f>
        <v>0</v>
      </c>
      <c r="K11627" s="135" t="n">
        <f aca="false">$G11627*'Analyse capacite'!$E$7</f>
        <v>0</v>
      </c>
    </row>
    <row r="11628" customFormat="false" ht="15" hidden="false" customHeight="false" outlineLevel="0" collapsed="false">
      <c r="B11628" s="130" t="n">
        <v>2028</v>
      </c>
      <c r="C11628" s="131" t="s">
        <v>256</v>
      </c>
      <c r="D11628" s="132" t="n">
        <v>46800</v>
      </c>
      <c r="E11628" s="131" t="s">
        <v>59</v>
      </c>
      <c r="F11628" s="133" t="s">
        <v>19</v>
      </c>
      <c r="G11628" s="134" t="n">
        <f aca="false">LEN('Saisie programme'!$G$434)+SUMIFS('Vols additionnels'!$E$7:$E$66,'Vols additionnels'!$C$7:$C$66,$E11628,'Vols additionnels'!$D$7:$D$66,$F11628,'Vols additionnels'!$B$7:$B$66,$D11628)</f>
        <v>0</v>
      </c>
      <c r="H11628" s="135" t="n">
        <f aca="false">$G11628*'Analyse capacite'!$F$8</f>
        <v>0</v>
      </c>
      <c r="I11628" s="135" t="n">
        <f aca="false">$G11628*'Analyse capacite'!$C$8</f>
        <v>0</v>
      </c>
      <c r="J11628" s="135" t="n">
        <f aca="false">$G11628*'Analyse capacite'!$D$8</f>
        <v>0</v>
      </c>
      <c r="K11628" s="135" t="n">
        <f aca="false">$G11628*'Analyse capacite'!$E$8</f>
        <v>0</v>
      </c>
    </row>
    <row r="11629" customFormat="false" ht="15" hidden="false" customHeight="false" outlineLevel="0" collapsed="false">
      <c r="B11629" s="130" t="n">
        <v>2028</v>
      </c>
      <c r="C11629" s="131" t="s">
        <v>256</v>
      </c>
      <c r="D11629" s="132" t="n">
        <v>46800</v>
      </c>
      <c r="E11629" s="131" t="s">
        <v>59</v>
      </c>
      <c r="F11629" s="133" t="s">
        <v>24</v>
      </c>
      <c r="G11629" s="134" t="n">
        <f aca="false">LEN('Saisie programme'!$G$435)+SUMIFS('Vols additionnels'!$E$7:$E$66,'Vols additionnels'!$C$7:$C$66,$E11629,'Vols additionnels'!$D$7:$D$66,$F11629,'Vols additionnels'!$B$7:$B$66,$D11629)</f>
        <v>2</v>
      </c>
      <c r="H11629" s="135" t="n">
        <f aca="false">$G11629*'Analyse capacite'!$F$9</f>
        <v>348</v>
      </c>
      <c r="I11629" s="135" t="n">
        <f aca="false">$G11629*'Analyse capacite'!$C$9</f>
        <v>0</v>
      </c>
      <c r="J11629" s="135" t="n">
        <f aca="false">$G11629*'Analyse capacite'!$D$9</f>
        <v>24</v>
      </c>
      <c r="K11629" s="135" t="n">
        <f aca="false">$G11629*'Analyse capacite'!$E$9</f>
        <v>324</v>
      </c>
    </row>
    <row r="11630" customFormat="false" ht="15" hidden="false" customHeight="false" outlineLevel="0" collapsed="false">
      <c r="B11630" s="130" t="n">
        <v>2028</v>
      </c>
      <c r="C11630" s="131" t="s">
        <v>256</v>
      </c>
      <c r="D11630" s="132" t="n">
        <v>46800</v>
      </c>
      <c r="E11630" s="131" t="s">
        <v>62</v>
      </c>
      <c r="F11630" s="133" t="s">
        <v>11</v>
      </c>
      <c r="G11630" s="134" t="n">
        <f aca="false">LEN('Saisie programme'!$G$436)+SUMIFS('Vols additionnels'!$E$7:$E$66,'Vols additionnels'!$C$7:$C$66,$E11630,'Vols additionnels'!$D$7:$D$66,$F11630,'Vols additionnels'!$B$7:$B$66,$D11630)</f>
        <v>0</v>
      </c>
      <c r="H11630" s="135" t="n">
        <f aca="false">$G11630*'Analyse capacite'!$F$7</f>
        <v>0</v>
      </c>
      <c r="I11630" s="135" t="n">
        <f aca="false">$G11630*'Analyse capacite'!$C$7</f>
        <v>0</v>
      </c>
      <c r="J11630" s="135" t="n">
        <f aca="false">$G11630*'Analyse capacite'!$D$7</f>
        <v>0</v>
      </c>
      <c r="K11630" s="135" t="n">
        <f aca="false">$G11630*'Analyse capacite'!$E$7</f>
        <v>0</v>
      </c>
    </row>
    <row r="11631" customFormat="false" ht="15" hidden="false" customHeight="false" outlineLevel="0" collapsed="false">
      <c r="B11631" s="130" t="n">
        <v>2028</v>
      </c>
      <c r="C11631" s="131" t="s">
        <v>256</v>
      </c>
      <c r="D11631" s="132" t="n">
        <v>46800</v>
      </c>
      <c r="E11631" s="131" t="s">
        <v>62</v>
      </c>
      <c r="F11631" s="133" t="s">
        <v>19</v>
      </c>
      <c r="G11631" s="134" t="n">
        <f aca="false">LEN('Saisie programme'!$G$437)+SUMIFS('Vols additionnels'!$E$7:$E$66,'Vols additionnels'!$C$7:$C$66,$E11631,'Vols additionnels'!$D$7:$D$66,$F11631,'Vols additionnels'!$B$7:$B$66,$D11631)</f>
        <v>0</v>
      </c>
      <c r="H11631" s="135" t="n">
        <f aca="false">$G11631*'Analyse capacite'!$F$8</f>
        <v>0</v>
      </c>
      <c r="I11631" s="135" t="n">
        <f aca="false">$G11631*'Analyse capacite'!$C$8</f>
        <v>0</v>
      </c>
      <c r="J11631" s="135" t="n">
        <f aca="false">$G11631*'Analyse capacite'!$D$8</f>
        <v>0</v>
      </c>
      <c r="K11631" s="135" t="n">
        <f aca="false">$G11631*'Analyse capacite'!$E$8</f>
        <v>0</v>
      </c>
    </row>
    <row r="11632" customFormat="false" ht="15" hidden="false" customHeight="false" outlineLevel="0" collapsed="false">
      <c r="B11632" s="130" t="n">
        <v>2028</v>
      </c>
      <c r="C11632" s="131" t="s">
        <v>256</v>
      </c>
      <c r="D11632" s="132" t="n">
        <v>46800</v>
      </c>
      <c r="E11632" s="131" t="s">
        <v>62</v>
      </c>
      <c r="F11632" s="133" t="s">
        <v>24</v>
      </c>
      <c r="G11632" s="134" t="n">
        <f aca="false">LEN('Saisie programme'!$G$438)+SUMIFS('Vols additionnels'!$E$7:$E$66,'Vols additionnels'!$C$7:$C$66,$E11632,'Vols additionnels'!$D$7:$D$66,$F11632,'Vols additionnels'!$B$7:$B$66,$D11632)</f>
        <v>0</v>
      </c>
      <c r="H11632" s="135" t="n">
        <f aca="false">$G11632*'Analyse capacite'!$F$9</f>
        <v>0</v>
      </c>
      <c r="I11632" s="135" t="n">
        <f aca="false">$G11632*'Analyse capacite'!$C$9</f>
        <v>0</v>
      </c>
      <c r="J11632" s="135" t="n">
        <f aca="false">$G11632*'Analyse capacite'!$D$9</f>
        <v>0</v>
      </c>
      <c r="K11632" s="135" t="n">
        <f aca="false">$G11632*'Analyse capacite'!$E$9</f>
        <v>0</v>
      </c>
    </row>
    <row r="11633" customFormat="false" ht="15" hidden="false" customHeight="false" outlineLevel="0" collapsed="false">
      <c r="B11633" s="130" t="n">
        <v>2028</v>
      </c>
      <c r="C11633" s="131" t="s">
        <v>256</v>
      </c>
      <c r="D11633" s="132" t="n">
        <v>46801</v>
      </c>
      <c r="E11633" s="131" t="s">
        <v>12</v>
      </c>
      <c r="F11633" s="133" t="s">
        <v>11</v>
      </c>
      <c r="G11633" s="134" t="n">
        <f aca="false">LEN('Saisie programme'!$H$403)+SUMIFS('Vols additionnels'!$E$7:$E$66,'Vols additionnels'!$C$7:$C$66,$E11633,'Vols additionnels'!$D$7:$D$66,$F11633,'Vols additionnels'!$B$7:$B$66,$D11633)</f>
        <v>1</v>
      </c>
      <c r="H11633" s="135" t="n">
        <f aca="false">$G11633*'Analyse capacite'!$F$7</f>
        <v>438</v>
      </c>
      <c r="I11633" s="135" t="n">
        <f aca="false">$G11633*'Analyse capacite'!$C$7</f>
        <v>14</v>
      </c>
      <c r="J11633" s="135" t="n">
        <f aca="false">$G11633*'Analyse capacite'!$D$7</f>
        <v>40</v>
      </c>
      <c r="K11633" s="135" t="n">
        <f aca="false">$G11633*'Analyse capacite'!$E$7</f>
        <v>384</v>
      </c>
    </row>
    <row r="11634" customFormat="false" ht="15" hidden="false" customHeight="false" outlineLevel="0" collapsed="false">
      <c r="B11634" s="130" t="n">
        <v>2028</v>
      </c>
      <c r="C11634" s="131" t="s">
        <v>256</v>
      </c>
      <c r="D11634" s="132" t="n">
        <v>46801</v>
      </c>
      <c r="E11634" s="131" t="s">
        <v>12</v>
      </c>
      <c r="F11634" s="133" t="s">
        <v>19</v>
      </c>
      <c r="G11634" s="134" t="n">
        <f aca="false">LEN('Saisie programme'!$H$404)+SUMIFS('Vols additionnels'!$E$7:$E$66,'Vols additionnels'!$C$7:$C$66,$E11634,'Vols additionnels'!$D$7:$D$66,$F11634,'Vols additionnels'!$B$7:$B$66,$D11634)</f>
        <v>1</v>
      </c>
      <c r="H11634" s="135" t="n">
        <f aca="false">$G11634*'Analyse capacite'!$F$8</f>
        <v>262</v>
      </c>
      <c r="I11634" s="135" t="n">
        <f aca="false">$G11634*'Analyse capacite'!$C$8</f>
        <v>18</v>
      </c>
      <c r="J11634" s="135" t="n">
        <f aca="false">$G11634*'Analyse capacite'!$D$8</f>
        <v>0</v>
      </c>
      <c r="K11634" s="135" t="n">
        <f aca="false">$G11634*'Analyse capacite'!$E$8</f>
        <v>244</v>
      </c>
    </row>
    <row r="11635" customFormat="false" ht="15" hidden="false" customHeight="false" outlineLevel="0" collapsed="false">
      <c r="B11635" s="130" t="n">
        <v>2028</v>
      </c>
      <c r="C11635" s="131" t="s">
        <v>256</v>
      </c>
      <c r="D11635" s="132" t="n">
        <v>46801</v>
      </c>
      <c r="E11635" s="131" t="s">
        <v>12</v>
      </c>
      <c r="F11635" s="133" t="s">
        <v>24</v>
      </c>
      <c r="G11635" s="134" t="n">
        <f aca="false">LEN('Saisie programme'!$H$405)+SUMIFS('Vols additionnels'!$E$7:$E$66,'Vols additionnels'!$C$7:$C$66,$E11635,'Vols additionnels'!$D$7:$D$66,$F11635,'Vols additionnels'!$B$7:$B$66,$D11635)</f>
        <v>0</v>
      </c>
      <c r="H11635" s="135" t="n">
        <f aca="false">$G11635*'Analyse capacite'!$F$9</f>
        <v>0</v>
      </c>
      <c r="I11635" s="135" t="n">
        <f aca="false">$G11635*'Analyse capacite'!$C$9</f>
        <v>0</v>
      </c>
      <c r="J11635" s="135" t="n">
        <f aca="false">$G11635*'Analyse capacite'!$D$9</f>
        <v>0</v>
      </c>
      <c r="K11635" s="135" t="n">
        <f aca="false">$G11635*'Analyse capacite'!$E$9</f>
        <v>0</v>
      </c>
    </row>
    <row r="11636" customFormat="false" ht="15" hidden="false" customHeight="false" outlineLevel="0" collapsed="false">
      <c r="B11636" s="130" t="n">
        <v>2028</v>
      </c>
      <c r="C11636" s="131" t="s">
        <v>256</v>
      </c>
      <c r="D11636" s="132" t="n">
        <v>46801</v>
      </c>
      <c r="E11636" s="131" t="s">
        <v>20</v>
      </c>
      <c r="F11636" s="133" t="s">
        <v>11</v>
      </c>
      <c r="G11636" s="134" t="n">
        <f aca="false">LEN('Saisie programme'!$H$406)+SUMIFS('Vols additionnels'!$E$7:$E$66,'Vols additionnels'!$C$7:$C$66,$E11636,'Vols additionnels'!$D$7:$D$66,$F11636,'Vols additionnels'!$B$7:$B$66,$D11636)</f>
        <v>0</v>
      </c>
      <c r="H11636" s="135" t="n">
        <f aca="false">$G11636*'Analyse capacite'!$F$7</f>
        <v>0</v>
      </c>
      <c r="I11636" s="135" t="n">
        <f aca="false">$G11636*'Analyse capacite'!$C$7</f>
        <v>0</v>
      </c>
      <c r="J11636" s="135" t="n">
        <f aca="false">$G11636*'Analyse capacite'!$D$7</f>
        <v>0</v>
      </c>
      <c r="K11636" s="135" t="n">
        <f aca="false">$G11636*'Analyse capacite'!$E$7</f>
        <v>0</v>
      </c>
    </row>
    <row r="11637" customFormat="false" ht="15" hidden="false" customHeight="false" outlineLevel="0" collapsed="false">
      <c r="B11637" s="130" t="n">
        <v>2028</v>
      </c>
      <c r="C11637" s="131" t="s">
        <v>256</v>
      </c>
      <c r="D11637" s="132" t="n">
        <v>46801</v>
      </c>
      <c r="E11637" s="131" t="s">
        <v>20</v>
      </c>
      <c r="F11637" s="133" t="s">
        <v>19</v>
      </c>
      <c r="G11637" s="134" t="n">
        <f aca="false">LEN('Saisie programme'!$H$407)+SUMIFS('Vols additionnels'!$E$7:$E$66,'Vols additionnels'!$C$7:$C$66,$E11637,'Vols additionnels'!$D$7:$D$66,$F11637,'Vols additionnels'!$B$7:$B$66,$D11637)</f>
        <v>1</v>
      </c>
      <c r="H11637" s="135" t="n">
        <f aca="false">$G11637*'Analyse capacite'!$F$8</f>
        <v>262</v>
      </c>
      <c r="I11637" s="135" t="n">
        <f aca="false">$G11637*'Analyse capacite'!$C$8</f>
        <v>18</v>
      </c>
      <c r="J11637" s="135" t="n">
        <f aca="false">$G11637*'Analyse capacite'!$D$8</f>
        <v>0</v>
      </c>
      <c r="K11637" s="135" t="n">
        <f aca="false">$G11637*'Analyse capacite'!$E$8</f>
        <v>244</v>
      </c>
    </row>
    <row r="11638" customFormat="false" ht="15" hidden="false" customHeight="false" outlineLevel="0" collapsed="false">
      <c r="B11638" s="130" t="n">
        <v>2028</v>
      </c>
      <c r="C11638" s="131" t="s">
        <v>256</v>
      </c>
      <c r="D11638" s="132" t="n">
        <v>46801</v>
      </c>
      <c r="E11638" s="131" t="s">
        <v>20</v>
      </c>
      <c r="F11638" s="133" t="s">
        <v>24</v>
      </c>
      <c r="G11638" s="134" t="n">
        <f aca="false">LEN('Saisie programme'!$H$408)+SUMIFS('Vols additionnels'!$E$7:$E$66,'Vols additionnels'!$C$7:$C$66,$E11638,'Vols additionnels'!$D$7:$D$66,$F11638,'Vols additionnels'!$B$7:$B$66,$D11638)</f>
        <v>0</v>
      </c>
      <c r="H11638" s="135" t="n">
        <f aca="false">$G11638*'Analyse capacite'!$F$9</f>
        <v>0</v>
      </c>
      <c r="I11638" s="135" t="n">
        <f aca="false">$G11638*'Analyse capacite'!$C$9</f>
        <v>0</v>
      </c>
      <c r="J11638" s="135" t="n">
        <f aca="false">$G11638*'Analyse capacite'!$D$9</f>
        <v>0</v>
      </c>
      <c r="K11638" s="135" t="n">
        <f aca="false">$G11638*'Analyse capacite'!$E$9</f>
        <v>0</v>
      </c>
    </row>
    <row r="11639" customFormat="false" ht="15" hidden="false" customHeight="false" outlineLevel="0" collapsed="false">
      <c r="B11639" s="130" t="n">
        <v>2028</v>
      </c>
      <c r="C11639" s="131" t="s">
        <v>256</v>
      </c>
      <c r="D11639" s="132" t="n">
        <v>46801</v>
      </c>
      <c r="E11639" s="131" t="s">
        <v>25</v>
      </c>
      <c r="F11639" s="133" t="s">
        <v>11</v>
      </c>
      <c r="G11639" s="134" t="n">
        <f aca="false">LEN('Saisie programme'!$H$409)+SUMIFS('Vols additionnels'!$E$7:$E$66,'Vols additionnels'!$C$7:$C$66,$E11639,'Vols additionnels'!$D$7:$D$66,$F11639,'Vols additionnels'!$B$7:$B$66,$D11639)</f>
        <v>0</v>
      </c>
      <c r="H11639" s="135" t="n">
        <f aca="false">$G11639*'Analyse capacite'!$F$7</f>
        <v>0</v>
      </c>
      <c r="I11639" s="135" t="n">
        <f aca="false">$G11639*'Analyse capacite'!$C$7</f>
        <v>0</v>
      </c>
      <c r="J11639" s="135" t="n">
        <f aca="false">$G11639*'Analyse capacite'!$D$7</f>
        <v>0</v>
      </c>
      <c r="K11639" s="135" t="n">
        <f aca="false">$G11639*'Analyse capacite'!$E$7</f>
        <v>0</v>
      </c>
    </row>
    <row r="11640" customFormat="false" ht="15" hidden="false" customHeight="false" outlineLevel="0" collapsed="false">
      <c r="B11640" s="130" t="n">
        <v>2028</v>
      </c>
      <c r="C11640" s="131" t="s">
        <v>256</v>
      </c>
      <c r="D11640" s="132" t="n">
        <v>46801</v>
      </c>
      <c r="E11640" s="131" t="s">
        <v>25</v>
      </c>
      <c r="F11640" s="133" t="s">
        <v>19</v>
      </c>
      <c r="G11640" s="134" t="n">
        <f aca="false">LEN('Saisie programme'!$H$410)+SUMIFS('Vols additionnels'!$E$7:$E$66,'Vols additionnels'!$C$7:$C$66,$E11640,'Vols additionnels'!$D$7:$D$66,$F11640,'Vols additionnels'!$B$7:$B$66,$D11640)</f>
        <v>0</v>
      </c>
      <c r="H11640" s="135" t="n">
        <f aca="false">$G11640*'Analyse capacite'!$F$8</f>
        <v>0</v>
      </c>
      <c r="I11640" s="135" t="n">
        <f aca="false">$G11640*'Analyse capacite'!$C$8</f>
        <v>0</v>
      </c>
      <c r="J11640" s="135" t="n">
        <f aca="false">$G11640*'Analyse capacite'!$D$8</f>
        <v>0</v>
      </c>
      <c r="K11640" s="135" t="n">
        <f aca="false">$G11640*'Analyse capacite'!$E$8</f>
        <v>0</v>
      </c>
    </row>
    <row r="11641" customFormat="false" ht="15" hidden="false" customHeight="false" outlineLevel="0" collapsed="false">
      <c r="B11641" s="130" t="n">
        <v>2028</v>
      </c>
      <c r="C11641" s="131" t="s">
        <v>256</v>
      </c>
      <c r="D11641" s="132" t="n">
        <v>46801</v>
      </c>
      <c r="E11641" s="131" t="s">
        <v>25</v>
      </c>
      <c r="F11641" s="133" t="s">
        <v>24</v>
      </c>
      <c r="G11641" s="134" t="n">
        <f aca="false">LEN('Saisie programme'!$H$411)+SUMIFS('Vols additionnels'!$E$7:$E$66,'Vols additionnels'!$C$7:$C$66,$E11641,'Vols additionnels'!$D$7:$D$66,$F11641,'Vols additionnels'!$B$7:$B$66,$D11641)</f>
        <v>0</v>
      </c>
      <c r="H11641" s="135" t="n">
        <f aca="false">$G11641*'Analyse capacite'!$F$9</f>
        <v>0</v>
      </c>
      <c r="I11641" s="135" t="n">
        <f aca="false">$G11641*'Analyse capacite'!$C$9</f>
        <v>0</v>
      </c>
      <c r="J11641" s="135" t="n">
        <f aca="false">$G11641*'Analyse capacite'!$D$9</f>
        <v>0</v>
      </c>
      <c r="K11641" s="135" t="n">
        <f aca="false">$G11641*'Analyse capacite'!$E$9</f>
        <v>0</v>
      </c>
    </row>
    <row r="11642" customFormat="false" ht="15" hidden="false" customHeight="false" outlineLevel="0" collapsed="false">
      <c r="B11642" s="130" t="n">
        <v>2028</v>
      </c>
      <c r="C11642" s="131" t="s">
        <v>256</v>
      </c>
      <c r="D11642" s="132" t="n">
        <v>46801</v>
      </c>
      <c r="E11642" s="131" t="s">
        <v>36</v>
      </c>
      <c r="F11642" s="133" t="s">
        <v>11</v>
      </c>
      <c r="G11642" s="134" t="n">
        <f aca="false">LEN('Saisie programme'!$H$412)+SUMIFS('Vols additionnels'!$E$7:$E$66,'Vols additionnels'!$C$7:$C$66,$E11642,'Vols additionnels'!$D$7:$D$66,$F11642,'Vols additionnels'!$B$7:$B$66,$D11642)</f>
        <v>0</v>
      </c>
      <c r="H11642" s="135" t="n">
        <f aca="false">$G11642*'Analyse capacite'!$F$7</f>
        <v>0</v>
      </c>
      <c r="I11642" s="135" t="n">
        <f aca="false">$G11642*'Analyse capacite'!$C$7</f>
        <v>0</v>
      </c>
      <c r="J11642" s="135" t="n">
        <f aca="false">$G11642*'Analyse capacite'!$D$7</f>
        <v>0</v>
      </c>
      <c r="K11642" s="135" t="n">
        <f aca="false">$G11642*'Analyse capacite'!$E$7</f>
        <v>0</v>
      </c>
    </row>
    <row r="11643" customFormat="false" ht="15" hidden="false" customHeight="false" outlineLevel="0" collapsed="false">
      <c r="B11643" s="130" t="n">
        <v>2028</v>
      </c>
      <c r="C11643" s="131" t="s">
        <v>256</v>
      </c>
      <c r="D11643" s="132" t="n">
        <v>46801</v>
      </c>
      <c r="E11643" s="131" t="s">
        <v>36</v>
      </c>
      <c r="F11643" s="133" t="s">
        <v>19</v>
      </c>
      <c r="G11643" s="134" t="n">
        <f aca="false">LEN('Saisie programme'!$H$413)+SUMIFS('Vols additionnels'!$E$7:$E$66,'Vols additionnels'!$C$7:$C$66,$E11643,'Vols additionnels'!$D$7:$D$66,$F11643,'Vols additionnels'!$B$7:$B$66,$D11643)</f>
        <v>0</v>
      </c>
      <c r="H11643" s="135" t="n">
        <f aca="false">$G11643*'Analyse capacite'!$F$8</f>
        <v>0</v>
      </c>
      <c r="I11643" s="135" t="n">
        <f aca="false">$G11643*'Analyse capacite'!$C$8</f>
        <v>0</v>
      </c>
      <c r="J11643" s="135" t="n">
        <f aca="false">$G11643*'Analyse capacite'!$D$8</f>
        <v>0</v>
      </c>
      <c r="K11643" s="135" t="n">
        <f aca="false">$G11643*'Analyse capacite'!$E$8</f>
        <v>0</v>
      </c>
    </row>
    <row r="11644" customFormat="false" ht="15" hidden="false" customHeight="false" outlineLevel="0" collapsed="false">
      <c r="B11644" s="130" t="n">
        <v>2028</v>
      </c>
      <c r="C11644" s="131" t="s">
        <v>256</v>
      </c>
      <c r="D11644" s="132" t="n">
        <v>46801</v>
      </c>
      <c r="E11644" s="131" t="s">
        <v>36</v>
      </c>
      <c r="F11644" s="133" t="s">
        <v>24</v>
      </c>
      <c r="G11644" s="134" t="n">
        <f aca="false">LEN('Saisie programme'!$H$414)+SUMIFS('Vols additionnels'!$E$7:$E$66,'Vols additionnels'!$C$7:$C$66,$E11644,'Vols additionnels'!$D$7:$D$66,$F11644,'Vols additionnels'!$B$7:$B$66,$D11644)</f>
        <v>1</v>
      </c>
      <c r="H11644" s="135" t="n">
        <f aca="false">$G11644*'Analyse capacite'!$F$9</f>
        <v>174</v>
      </c>
      <c r="I11644" s="135" t="n">
        <f aca="false">$G11644*'Analyse capacite'!$C$9</f>
        <v>0</v>
      </c>
      <c r="J11644" s="135" t="n">
        <f aca="false">$G11644*'Analyse capacite'!$D$9</f>
        <v>12</v>
      </c>
      <c r="K11644" s="135" t="n">
        <f aca="false">$G11644*'Analyse capacite'!$E$9</f>
        <v>162</v>
      </c>
    </row>
    <row r="11645" customFormat="false" ht="15" hidden="false" customHeight="false" outlineLevel="0" collapsed="false">
      <c r="B11645" s="130" t="n">
        <v>2028</v>
      </c>
      <c r="C11645" s="131" t="s">
        <v>256</v>
      </c>
      <c r="D11645" s="132" t="n">
        <v>46801</v>
      </c>
      <c r="E11645" s="131" t="s">
        <v>40</v>
      </c>
      <c r="F11645" s="133" t="s">
        <v>11</v>
      </c>
      <c r="G11645" s="134" t="n">
        <f aca="false">LEN('Saisie programme'!$H$415)+SUMIFS('Vols additionnels'!$E$7:$E$66,'Vols additionnels'!$C$7:$C$66,$E11645,'Vols additionnels'!$D$7:$D$66,$F11645,'Vols additionnels'!$B$7:$B$66,$D11645)</f>
        <v>0</v>
      </c>
      <c r="H11645" s="135" t="n">
        <f aca="false">$G11645*'Analyse capacite'!$F$7</f>
        <v>0</v>
      </c>
      <c r="I11645" s="135" t="n">
        <f aca="false">$G11645*'Analyse capacite'!$C$7</f>
        <v>0</v>
      </c>
      <c r="J11645" s="135" t="n">
        <f aca="false">$G11645*'Analyse capacite'!$D$7</f>
        <v>0</v>
      </c>
      <c r="K11645" s="135" t="n">
        <f aca="false">$G11645*'Analyse capacite'!$E$7</f>
        <v>0</v>
      </c>
    </row>
    <row r="11646" customFormat="false" ht="15" hidden="false" customHeight="false" outlineLevel="0" collapsed="false">
      <c r="B11646" s="130" t="n">
        <v>2028</v>
      </c>
      <c r="C11646" s="131" t="s">
        <v>256</v>
      </c>
      <c r="D11646" s="132" t="n">
        <v>46801</v>
      </c>
      <c r="E11646" s="131" t="s">
        <v>40</v>
      </c>
      <c r="F11646" s="133" t="s">
        <v>19</v>
      </c>
      <c r="G11646" s="134" t="n">
        <f aca="false">LEN('Saisie programme'!$H$416)+SUMIFS('Vols additionnels'!$E$7:$E$66,'Vols additionnels'!$C$7:$C$66,$E11646,'Vols additionnels'!$D$7:$D$66,$F11646,'Vols additionnels'!$B$7:$B$66,$D11646)</f>
        <v>0</v>
      </c>
      <c r="H11646" s="135" t="n">
        <f aca="false">$G11646*'Analyse capacite'!$F$8</f>
        <v>0</v>
      </c>
      <c r="I11646" s="135" t="n">
        <f aca="false">$G11646*'Analyse capacite'!$C$8</f>
        <v>0</v>
      </c>
      <c r="J11646" s="135" t="n">
        <f aca="false">$G11646*'Analyse capacite'!$D$8</f>
        <v>0</v>
      </c>
      <c r="K11646" s="135" t="n">
        <f aca="false">$G11646*'Analyse capacite'!$E$8</f>
        <v>0</v>
      </c>
    </row>
    <row r="11647" customFormat="false" ht="15" hidden="false" customHeight="false" outlineLevel="0" collapsed="false">
      <c r="B11647" s="130" t="n">
        <v>2028</v>
      </c>
      <c r="C11647" s="131" t="s">
        <v>256</v>
      </c>
      <c r="D11647" s="132" t="n">
        <v>46801</v>
      </c>
      <c r="E11647" s="131" t="s">
        <v>40</v>
      </c>
      <c r="F11647" s="133" t="s">
        <v>24</v>
      </c>
      <c r="G11647" s="134" t="n">
        <f aca="false">LEN('Saisie programme'!$H$417)+SUMIFS('Vols additionnels'!$E$7:$E$66,'Vols additionnels'!$C$7:$C$66,$E11647,'Vols additionnels'!$D$7:$D$66,$F11647,'Vols additionnels'!$B$7:$B$66,$D11647)</f>
        <v>1</v>
      </c>
      <c r="H11647" s="135" t="n">
        <f aca="false">$G11647*'Analyse capacite'!$F$9</f>
        <v>174</v>
      </c>
      <c r="I11647" s="135" t="n">
        <f aca="false">$G11647*'Analyse capacite'!$C$9</f>
        <v>0</v>
      </c>
      <c r="J11647" s="135" t="n">
        <f aca="false">$G11647*'Analyse capacite'!$D$9</f>
        <v>12</v>
      </c>
      <c r="K11647" s="135" t="n">
        <f aca="false">$G11647*'Analyse capacite'!$E$9</f>
        <v>162</v>
      </c>
    </row>
    <row r="11648" customFormat="false" ht="15" hidden="false" customHeight="false" outlineLevel="0" collapsed="false">
      <c r="B11648" s="130" t="n">
        <v>2028</v>
      </c>
      <c r="C11648" s="131" t="s">
        <v>256</v>
      </c>
      <c r="D11648" s="132" t="n">
        <v>46801</v>
      </c>
      <c r="E11648" s="131" t="s">
        <v>14</v>
      </c>
      <c r="F11648" s="133" t="s">
        <v>11</v>
      </c>
      <c r="G11648" s="134" t="n">
        <f aca="false">LEN('Saisie programme'!$H$418)+SUMIFS('Vols additionnels'!$E$7:$E$66,'Vols additionnels'!$C$7:$C$66,$E11648,'Vols additionnels'!$D$7:$D$66,$F11648,'Vols additionnels'!$B$7:$B$66,$D11648)</f>
        <v>0</v>
      </c>
      <c r="H11648" s="135" t="n">
        <f aca="false">$G11648*'Analyse capacite'!$F$7</f>
        <v>0</v>
      </c>
      <c r="I11648" s="135" t="n">
        <f aca="false">$G11648*'Analyse capacite'!$C$7</f>
        <v>0</v>
      </c>
      <c r="J11648" s="135" t="n">
        <f aca="false">$G11648*'Analyse capacite'!$D$7</f>
        <v>0</v>
      </c>
      <c r="K11648" s="135" t="n">
        <f aca="false">$G11648*'Analyse capacite'!$E$7</f>
        <v>0</v>
      </c>
    </row>
    <row r="11649" customFormat="false" ht="15" hidden="false" customHeight="false" outlineLevel="0" collapsed="false">
      <c r="B11649" s="130" t="n">
        <v>2028</v>
      </c>
      <c r="C11649" s="131" t="s">
        <v>256</v>
      </c>
      <c r="D11649" s="132" t="n">
        <v>46801</v>
      </c>
      <c r="E11649" s="131" t="s">
        <v>14</v>
      </c>
      <c r="F11649" s="133" t="s">
        <v>19</v>
      </c>
      <c r="G11649" s="134" t="n">
        <f aca="false">LEN('Saisie programme'!$H$419)+SUMIFS('Vols additionnels'!$E$7:$E$66,'Vols additionnels'!$C$7:$C$66,$E11649,'Vols additionnels'!$D$7:$D$66,$F11649,'Vols additionnels'!$B$7:$B$66,$D11649)</f>
        <v>0</v>
      </c>
      <c r="H11649" s="135" t="n">
        <f aca="false">$G11649*'Analyse capacite'!$F$8</f>
        <v>0</v>
      </c>
      <c r="I11649" s="135" t="n">
        <f aca="false">$G11649*'Analyse capacite'!$C$8</f>
        <v>0</v>
      </c>
      <c r="J11649" s="135" t="n">
        <f aca="false">$G11649*'Analyse capacite'!$D$8</f>
        <v>0</v>
      </c>
      <c r="K11649" s="135" t="n">
        <f aca="false">$G11649*'Analyse capacite'!$E$8</f>
        <v>0</v>
      </c>
    </row>
    <row r="11650" customFormat="false" ht="15" hidden="false" customHeight="false" outlineLevel="0" collapsed="false">
      <c r="B11650" s="130" t="n">
        <v>2028</v>
      </c>
      <c r="C11650" s="131" t="s">
        <v>256</v>
      </c>
      <c r="D11650" s="132" t="n">
        <v>46801</v>
      </c>
      <c r="E11650" s="131" t="s">
        <v>14</v>
      </c>
      <c r="F11650" s="133" t="s">
        <v>24</v>
      </c>
      <c r="G11650" s="134" t="n">
        <f aca="false">LEN('Saisie programme'!$H$420)+SUMIFS('Vols additionnels'!$E$7:$E$66,'Vols additionnels'!$C$7:$C$66,$E11650,'Vols additionnels'!$D$7:$D$66,$F11650,'Vols additionnels'!$B$7:$B$66,$D11650)</f>
        <v>0</v>
      </c>
      <c r="H11650" s="135" t="n">
        <f aca="false">$G11650*'Analyse capacite'!$F$9</f>
        <v>0</v>
      </c>
      <c r="I11650" s="135" t="n">
        <f aca="false">$G11650*'Analyse capacite'!$C$9</f>
        <v>0</v>
      </c>
      <c r="J11650" s="135" t="n">
        <f aca="false">$G11650*'Analyse capacite'!$D$9</f>
        <v>0</v>
      </c>
      <c r="K11650" s="135" t="n">
        <f aca="false">$G11650*'Analyse capacite'!$E$9</f>
        <v>0</v>
      </c>
    </row>
    <row r="11651" customFormat="false" ht="15" hidden="false" customHeight="false" outlineLevel="0" collapsed="false">
      <c r="B11651" s="130" t="n">
        <v>2028</v>
      </c>
      <c r="C11651" s="131" t="s">
        <v>256</v>
      </c>
      <c r="D11651" s="132" t="n">
        <v>46801</v>
      </c>
      <c r="E11651" s="131" t="s">
        <v>46</v>
      </c>
      <c r="F11651" s="133" t="s">
        <v>11</v>
      </c>
      <c r="G11651" s="134" t="n">
        <f aca="false">LEN('Saisie programme'!$H$421)+SUMIFS('Vols additionnels'!$E$7:$E$66,'Vols additionnels'!$C$7:$C$66,$E11651,'Vols additionnels'!$D$7:$D$66,$F11651,'Vols additionnels'!$B$7:$B$66,$D11651)</f>
        <v>0</v>
      </c>
      <c r="H11651" s="135" t="n">
        <f aca="false">$G11651*'Analyse capacite'!$F$7</f>
        <v>0</v>
      </c>
      <c r="I11651" s="135" t="n">
        <f aca="false">$G11651*'Analyse capacite'!$C$7</f>
        <v>0</v>
      </c>
      <c r="J11651" s="135" t="n">
        <f aca="false">$G11651*'Analyse capacite'!$D$7</f>
        <v>0</v>
      </c>
      <c r="K11651" s="135" t="n">
        <f aca="false">$G11651*'Analyse capacite'!$E$7</f>
        <v>0</v>
      </c>
    </row>
    <row r="11652" customFormat="false" ht="15" hidden="false" customHeight="false" outlineLevel="0" collapsed="false">
      <c r="B11652" s="130" t="n">
        <v>2028</v>
      </c>
      <c r="C11652" s="131" t="s">
        <v>256</v>
      </c>
      <c r="D11652" s="132" t="n">
        <v>46801</v>
      </c>
      <c r="E11652" s="131" t="s">
        <v>46</v>
      </c>
      <c r="F11652" s="133" t="s">
        <v>19</v>
      </c>
      <c r="G11652" s="134" t="n">
        <f aca="false">LEN('Saisie programme'!$H$422)+SUMIFS('Vols additionnels'!$E$7:$E$66,'Vols additionnels'!$C$7:$C$66,$E11652,'Vols additionnels'!$D$7:$D$66,$F11652,'Vols additionnels'!$B$7:$B$66,$D11652)</f>
        <v>0</v>
      </c>
      <c r="H11652" s="135" t="n">
        <f aca="false">$G11652*'Analyse capacite'!$F$8</f>
        <v>0</v>
      </c>
      <c r="I11652" s="135" t="n">
        <f aca="false">$G11652*'Analyse capacite'!$C$8</f>
        <v>0</v>
      </c>
      <c r="J11652" s="135" t="n">
        <f aca="false">$G11652*'Analyse capacite'!$D$8</f>
        <v>0</v>
      </c>
      <c r="K11652" s="135" t="n">
        <f aca="false">$G11652*'Analyse capacite'!$E$8</f>
        <v>0</v>
      </c>
    </row>
    <row r="11653" customFormat="false" ht="15" hidden="false" customHeight="false" outlineLevel="0" collapsed="false">
      <c r="B11653" s="130" t="n">
        <v>2028</v>
      </c>
      <c r="C11653" s="131" t="s">
        <v>256</v>
      </c>
      <c r="D11653" s="132" t="n">
        <v>46801</v>
      </c>
      <c r="E11653" s="131" t="s">
        <v>46</v>
      </c>
      <c r="F11653" s="133" t="s">
        <v>24</v>
      </c>
      <c r="G11653" s="134" t="n">
        <f aca="false">LEN('Saisie programme'!$H$423)+SUMIFS('Vols additionnels'!$E$7:$E$66,'Vols additionnels'!$C$7:$C$66,$E11653,'Vols additionnels'!$D$7:$D$66,$F11653,'Vols additionnels'!$B$7:$B$66,$D11653)</f>
        <v>0</v>
      </c>
      <c r="H11653" s="135" t="n">
        <f aca="false">$G11653*'Analyse capacite'!$F$9</f>
        <v>0</v>
      </c>
      <c r="I11653" s="135" t="n">
        <f aca="false">$G11653*'Analyse capacite'!$C$9</f>
        <v>0</v>
      </c>
      <c r="J11653" s="135" t="n">
        <f aca="false">$G11653*'Analyse capacite'!$D$9</f>
        <v>0</v>
      </c>
      <c r="K11653" s="135" t="n">
        <f aca="false">$G11653*'Analyse capacite'!$E$9</f>
        <v>0</v>
      </c>
    </row>
    <row r="11654" customFormat="false" ht="15" hidden="false" customHeight="false" outlineLevel="0" collapsed="false">
      <c r="B11654" s="130" t="n">
        <v>2028</v>
      </c>
      <c r="C11654" s="131" t="s">
        <v>256</v>
      </c>
      <c r="D11654" s="132" t="n">
        <v>46801</v>
      </c>
      <c r="E11654" s="131" t="s">
        <v>49</v>
      </c>
      <c r="F11654" s="133" t="s">
        <v>11</v>
      </c>
      <c r="G11654" s="134" t="n">
        <f aca="false">LEN('Saisie programme'!$H$424)+SUMIFS('Vols additionnels'!$E$7:$E$66,'Vols additionnels'!$C$7:$C$66,$E11654,'Vols additionnels'!$D$7:$D$66,$F11654,'Vols additionnels'!$B$7:$B$66,$D11654)</f>
        <v>0</v>
      </c>
      <c r="H11654" s="135" t="n">
        <f aca="false">$G11654*'Analyse capacite'!$F$7</f>
        <v>0</v>
      </c>
      <c r="I11654" s="135" t="n">
        <f aca="false">$G11654*'Analyse capacite'!$C$7</f>
        <v>0</v>
      </c>
      <c r="J11654" s="135" t="n">
        <f aca="false">$G11654*'Analyse capacite'!$D$7</f>
        <v>0</v>
      </c>
      <c r="K11654" s="135" t="n">
        <f aca="false">$G11654*'Analyse capacite'!$E$7</f>
        <v>0</v>
      </c>
    </row>
    <row r="11655" customFormat="false" ht="15" hidden="false" customHeight="false" outlineLevel="0" collapsed="false">
      <c r="B11655" s="130" t="n">
        <v>2028</v>
      </c>
      <c r="C11655" s="131" t="s">
        <v>256</v>
      </c>
      <c r="D11655" s="132" t="n">
        <v>46801</v>
      </c>
      <c r="E11655" s="131" t="s">
        <v>49</v>
      </c>
      <c r="F11655" s="133" t="s">
        <v>19</v>
      </c>
      <c r="G11655" s="134" t="n">
        <f aca="false">LEN('Saisie programme'!$H$425)+SUMIFS('Vols additionnels'!$E$7:$E$66,'Vols additionnels'!$C$7:$C$66,$E11655,'Vols additionnels'!$D$7:$D$66,$F11655,'Vols additionnels'!$B$7:$B$66,$D11655)</f>
        <v>1</v>
      </c>
      <c r="H11655" s="135" t="n">
        <f aca="false">$G11655*'Analyse capacite'!$F$8</f>
        <v>262</v>
      </c>
      <c r="I11655" s="135" t="n">
        <f aca="false">$G11655*'Analyse capacite'!$C$8</f>
        <v>18</v>
      </c>
      <c r="J11655" s="135" t="n">
        <f aca="false">$G11655*'Analyse capacite'!$D$8</f>
        <v>0</v>
      </c>
      <c r="K11655" s="135" t="n">
        <f aca="false">$G11655*'Analyse capacite'!$E$8</f>
        <v>244</v>
      </c>
    </row>
    <row r="11656" customFormat="false" ht="15" hidden="false" customHeight="false" outlineLevel="0" collapsed="false">
      <c r="B11656" s="130" t="n">
        <v>2028</v>
      </c>
      <c r="C11656" s="131" t="s">
        <v>256</v>
      </c>
      <c r="D11656" s="132" t="n">
        <v>46801</v>
      </c>
      <c r="E11656" s="131" t="s">
        <v>49</v>
      </c>
      <c r="F11656" s="133" t="s">
        <v>24</v>
      </c>
      <c r="G11656" s="134" t="n">
        <f aca="false">LEN('Saisie programme'!$H$426)+SUMIFS('Vols additionnels'!$E$7:$E$66,'Vols additionnels'!$C$7:$C$66,$E11656,'Vols additionnels'!$D$7:$D$66,$F11656,'Vols additionnels'!$B$7:$B$66,$D11656)</f>
        <v>0</v>
      </c>
      <c r="H11656" s="135" t="n">
        <f aca="false">$G11656*'Analyse capacite'!$F$9</f>
        <v>0</v>
      </c>
      <c r="I11656" s="135" t="n">
        <f aca="false">$G11656*'Analyse capacite'!$C$9</f>
        <v>0</v>
      </c>
      <c r="J11656" s="135" t="n">
        <f aca="false">$G11656*'Analyse capacite'!$D$9</f>
        <v>0</v>
      </c>
      <c r="K11656" s="135" t="n">
        <f aca="false">$G11656*'Analyse capacite'!$E$9</f>
        <v>0</v>
      </c>
    </row>
    <row r="11657" customFormat="false" ht="15" hidden="false" customHeight="false" outlineLevel="0" collapsed="false">
      <c r="B11657" s="130" t="n">
        <v>2028</v>
      </c>
      <c r="C11657" s="131" t="s">
        <v>256</v>
      </c>
      <c r="D11657" s="132" t="n">
        <v>46801</v>
      </c>
      <c r="E11657" s="131" t="s">
        <v>53</v>
      </c>
      <c r="F11657" s="133" t="s">
        <v>11</v>
      </c>
      <c r="G11657" s="134" t="n">
        <f aca="false">LEN('Saisie programme'!$H$427)+SUMIFS('Vols additionnels'!$E$7:$E$66,'Vols additionnels'!$C$7:$C$66,$E11657,'Vols additionnels'!$D$7:$D$66,$F11657,'Vols additionnels'!$B$7:$B$66,$D11657)</f>
        <v>0</v>
      </c>
      <c r="H11657" s="135" t="n">
        <f aca="false">$G11657*'Analyse capacite'!$F$7</f>
        <v>0</v>
      </c>
      <c r="I11657" s="135" t="n">
        <f aca="false">$G11657*'Analyse capacite'!$C$7</f>
        <v>0</v>
      </c>
      <c r="J11657" s="135" t="n">
        <f aca="false">$G11657*'Analyse capacite'!$D$7</f>
        <v>0</v>
      </c>
      <c r="K11657" s="135" t="n">
        <f aca="false">$G11657*'Analyse capacite'!$E$7</f>
        <v>0</v>
      </c>
    </row>
    <row r="11658" customFormat="false" ht="15" hidden="false" customHeight="false" outlineLevel="0" collapsed="false">
      <c r="B11658" s="130" t="n">
        <v>2028</v>
      </c>
      <c r="C11658" s="131" t="s">
        <v>256</v>
      </c>
      <c r="D11658" s="132" t="n">
        <v>46801</v>
      </c>
      <c r="E11658" s="131" t="s">
        <v>53</v>
      </c>
      <c r="F11658" s="133" t="s">
        <v>19</v>
      </c>
      <c r="G11658" s="134" t="n">
        <f aca="false">LEN('Saisie programme'!$H$428)+SUMIFS('Vols additionnels'!$E$7:$E$66,'Vols additionnels'!$C$7:$C$66,$E11658,'Vols additionnels'!$D$7:$D$66,$F11658,'Vols additionnels'!$B$7:$B$66,$D11658)</f>
        <v>0</v>
      </c>
      <c r="H11658" s="135" t="n">
        <f aca="false">$G11658*'Analyse capacite'!$F$8</f>
        <v>0</v>
      </c>
      <c r="I11658" s="135" t="n">
        <f aca="false">$G11658*'Analyse capacite'!$C$8</f>
        <v>0</v>
      </c>
      <c r="J11658" s="135" t="n">
        <f aca="false">$G11658*'Analyse capacite'!$D$8</f>
        <v>0</v>
      </c>
      <c r="K11658" s="135" t="n">
        <f aca="false">$G11658*'Analyse capacite'!$E$8</f>
        <v>0</v>
      </c>
    </row>
    <row r="11659" customFormat="false" ht="15" hidden="false" customHeight="false" outlineLevel="0" collapsed="false">
      <c r="B11659" s="130" t="n">
        <v>2028</v>
      </c>
      <c r="C11659" s="131" t="s">
        <v>256</v>
      </c>
      <c r="D11659" s="132" t="n">
        <v>46801</v>
      </c>
      <c r="E11659" s="131" t="s">
        <v>53</v>
      </c>
      <c r="F11659" s="133" t="s">
        <v>24</v>
      </c>
      <c r="G11659" s="134" t="n">
        <f aca="false">LEN('Saisie programme'!$H$429)+SUMIFS('Vols additionnels'!$E$7:$E$66,'Vols additionnels'!$C$7:$C$66,$E11659,'Vols additionnels'!$D$7:$D$66,$F11659,'Vols additionnels'!$B$7:$B$66,$D11659)</f>
        <v>0</v>
      </c>
      <c r="H11659" s="135" t="n">
        <f aca="false">$G11659*'Analyse capacite'!$F$9</f>
        <v>0</v>
      </c>
      <c r="I11659" s="135" t="n">
        <f aca="false">$G11659*'Analyse capacite'!$C$9</f>
        <v>0</v>
      </c>
      <c r="J11659" s="135" t="n">
        <f aca="false">$G11659*'Analyse capacite'!$D$9</f>
        <v>0</v>
      </c>
      <c r="K11659" s="135" t="n">
        <f aca="false">$G11659*'Analyse capacite'!$E$9</f>
        <v>0</v>
      </c>
    </row>
    <row r="11660" customFormat="false" ht="15" hidden="false" customHeight="false" outlineLevel="0" collapsed="false">
      <c r="B11660" s="130" t="n">
        <v>2028</v>
      </c>
      <c r="C11660" s="131" t="s">
        <v>256</v>
      </c>
      <c r="D11660" s="132" t="n">
        <v>46801</v>
      </c>
      <c r="E11660" s="131" t="s">
        <v>56</v>
      </c>
      <c r="F11660" s="133" t="s">
        <v>11</v>
      </c>
      <c r="G11660" s="134" t="n">
        <f aca="false">LEN('Saisie programme'!$H$430)+SUMIFS('Vols additionnels'!$E$7:$E$66,'Vols additionnels'!$C$7:$C$66,$E11660,'Vols additionnels'!$D$7:$D$66,$F11660,'Vols additionnels'!$B$7:$B$66,$D11660)</f>
        <v>0</v>
      </c>
      <c r="H11660" s="135" t="n">
        <f aca="false">$G11660*'Analyse capacite'!$F$7</f>
        <v>0</v>
      </c>
      <c r="I11660" s="135" t="n">
        <f aca="false">$G11660*'Analyse capacite'!$C$7</f>
        <v>0</v>
      </c>
      <c r="J11660" s="135" t="n">
        <f aca="false">$G11660*'Analyse capacite'!$D$7</f>
        <v>0</v>
      </c>
      <c r="K11660" s="135" t="n">
        <f aca="false">$G11660*'Analyse capacite'!$E$7</f>
        <v>0</v>
      </c>
    </row>
    <row r="11661" customFormat="false" ht="15" hidden="false" customHeight="false" outlineLevel="0" collapsed="false">
      <c r="B11661" s="130" t="n">
        <v>2028</v>
      </c>
      <c r="C11661" s="131" t="s">
        <v>256</v>
      </c>
      <c r="D11661" s="132" t="n">
        <v>46801</v>
      </c>
      <c r="E11661" s="131" t="s">
        <v>56</v>
      </c>
      <c r="F11661" s="133" t="s">
        <v>19</v>
      </c>
      <c r="G11661" s="134" t="n">
        <f aca="false">LEN('Saisie programme'!$H$431)+SUMIFS('Vols additionnels'!$E$7:$E$66,'Vols additionnels'!$C$7:$C$66,$E11661,'Vols additionnels'!$D$7:$D$66,$F11661,'Vols additionnels'!$B$7:$B$66,$D11661)</f>
        <v>0</v>
      </c>
      <c r="H11661" s="135" t="n">
        <f aca="false">$G11661*'Analyse capacite'!$F$8</f>
        <v>0</v>
      </c>
      <c r="I11661" s="135" t="n">
        <f aca="false">$G11661*'Analyse capacite'!$C$8</f>
        <v>0</v>
      </c>
      <c r="J11661" s="135" t="n">
        <f aca="false">$G11661*'Analyse capacite'!$D$8</f>
        <v>0</v>
      </c>
      <c r="K11661" s="135" t="n">
        <f aca="false">$G11661*'Analyse capacite'!$E$8</f>
        <v>0</v>
      </c>
    </row>
    <row r="11662" customFormat="false" ht="15" hidden="false" customHeight="false" outlineLevel="0" collapsed="false">
      <c r="B11662" s="130" t="n">
        <v>2028</v>
      </c>
      <c r="C11662" s="131" t="s">
        <v>256</v>
      </c>
      <c r="D11662" s="132" t="n">
        <v>46801</v>
      </c>
      <c r="E11662" s="131" t="s">
        <v>56</v>
      </c>
      <c r="F11662" s="133" t="s">
        <v>24</v>
      </c>
      <c r="G11662" s="134" t="n">
        <f aca="false">LEN('Saisie programme'!$H$432)+SUMIFS('Vols additionnels'!$E$7:$E$66,'Vols additionnels'!$C$7:$C$66,$E11662,'Vols additionnels'!$D$7:$D$66,$F11662,'Vols additionnels'!$B$7:$B$66,$D11662)</f>
        <v>0</v>
      </c>
      <c r="H11662" s="135" t="n">
        <f aca="false">$G11662*'Analyse capacite'!$F$9</f>
        <v>0</v>
      </c>
      <c r="I11662" s="135" t="n">
        <f aca="false">$G11662*'Analyse capacite'!$C$9</f>
        <v>0</v>
      </c>
      <c r="J11662" s="135" t="n">
        <f aca="false">$G11662*'Analyse capacite'!$D$9</f>
        <v>0</v>
      </c>
      <c r="K11662" s="135" t="n">
        <f aca="false">$G11662*'Analyse capacite'!$E$9</f>
        <v>0</v>
      </c>
    </row>
    <row r="11663" customFormat="false" ht="15" hidden="false" customHeight="false" outlineLevel="0" collapsed="false">
      <c r="B11663" s="130" t="n">
        <v>2028</v>
      </c>
      <c r="C11663" s="131" t="s">
        <v>256</v>
      </c>
      <c r="D11663" s="132" t="n">
        <v>46801</v>
      </c>
      <c r="E11663" s="131" t="s">
        <v>59</v>
      </c>
      <c r="F11663" s="133" t="s">
        <v>11</v>
      </c>
      <c r="G11663" s="134" t="n">
        <f aca="false">LEN('Saisie programme'!$H$433)+SUMIFS('Vols additionnels'!$E$7:$E$66,'Vols additionnels'!$C$7:$C$66,$E11663,'Vols additionnels'!$D$7:$D$66,$F11663,'Vols additionnels'!$B$7:$B$66,$D11663)</f>
        <v>0</v>
      </c>
      <c r="H11663" s="135" t="n">
        <f aca="false">$G11663*'Analyse capacite'!$F$7</f>
        <v>0</v>
      </c>
      <c r="I11663" s="135" t="n">
        <f aca="false">$G11663*'Analyse capacite'!$C$7</f>
        <v>0</v>
      </c>
      <c r="J11663" s="135" t="n">
        <f aca="false">$G11663*'Analyse capacite'!$D$7</f>
        <v>0</v>
      </c>
      <c r="K11663" s="135" t="n">
        <f aca="false">$G11663*'Analyse capacite'!$E$7</f>
        <v>0</v>
      </c>
    </row>
    <row r="11664" customFormat="false" ht="15" hidden="false" customHeight="false" outlineLevel="0" collapsed="false">
      <c r="B11664" s="130" t="n">
        <v>2028</v>
      </c>
      <c r="C11664" s="131" t="s">
        <v>256</v>
      </c>
      <c r="D11664" s="132" t="n">
        <v>46801</v>
      </c>
      <c r="E11664" s="131" t="s">
        <v>59</v>
      </c>
      <c r="F11664" s="133" t="s">
        <v>19</v>
      </c>
      <c r="G11664" s="134" t="n">
        <f aca="false">LEN('Saisie programme'!$H$434)+SUMIFS('Vols additionnels'!$E$7:$E$66,'Vols additionnels'!$C$7:$C$66,$E11664,'Vols additionnels'!$D$7:$D$66,$F11664,'Vols additionnels'!$B$7:$B$66,$D11664)</f>
        <v>0</v>
      </c>
      <c r="H11664" s="135" t="n">
        <f aca="false">$G11664*'Analyse capacite'!$F$8</f>
        <v>0</v>
      </c>
      <c r="I11664" s="135" t="n">
        <f aca="false">$G11664*'Analyse capacite'!$C$8</f>
        <v>0</v>
      </c>
      <c r="J11664" s="135" t="n">
        <f aca="false">$G11664*'Analyse capacite'!$D$8</f>
        <v>0</v>
      </c>
      <c r="K11664" s="135" t="n">
        <f aca="false">$G11664*'Analyse capacite'!$E$8</f>
        <v>0</v>
      </c>
    </row>
    <row r="11665" customFormat="false" ht="15" hidden="false" customHeight="false" outlineLevel="0" collapsed="false">
      <c r="B11665" s="130" t="n">
        <v>2028</v>
      </c>
      <c r="C11665" s="131" t="s">
        <v>256</v>
      </c>
      <c r="D11665" s="132" t="n">
        <v>46801</v>
      </c>
      <c r="E11665" s="131" t="s">
        <v>59</v>
      </c>
      <c r="F11665" s="133" t="s">
        <v>24</v>
      </c>
      <c r="G11665" s="134" t="n">
        <f aca="false">LEN('Saisie programme'!$H$435)+SUMIFS('Vols additionnels'!$E$7:$E$66,'Vols additionnels'!$C$7:$C$66,$E11665,'Vols additionnels'!$D$7:$D$66,$F11665,'Vols additionnels'!$B$7:$B$66,$D11665)</f>
        <v>1</v>
      </c>
      <c r="H11665" s="135" t="n">
        <f aca="false">$G11665*'Analyse capacite'!$F$9</f>
        <v>174</v>
      </c>
      <c r="I11665" s="135" t="n">
        <f aca="false">$G11665*'Analyse capacite'!$C$9</f>
        <v>0</v>
      </c>
      <c r="J11665" s="135" t="n">
        <f aca="false">$G11665*'Analyse capacite'!$D$9</f>
        <v>12</v>
      </c>
      <c r="K11665" s="135" t="n">
        <f aca="false">$G11665*'Analyse capacite'!$E$9</f>
        <v>162</v>
      </c>
    </row>
    <row r="11666" customFormat="false" ht="15" hidden="false" customHeight="false" outlineLevel="0" collapsed="false">
      <c r="B11666" s="130" t="n">
        <v>2028</v>
      </c>
      <c r="C11666" s="131" t="s">
        <v>256</v>
      </c>
      <c r="D11666" s="132" t="n">
        <v>46801</v>
      </c>
      <c r="E11666" s="131" t="s">
        <v>62</v>
      </c>
      <c r="F11666" s="133" t="s">
        <v>11</v>
      </c>
      <c r="G11666" s="134" t="n">
        <f aca="false">LEN('Saisie programme'!$H$436)+SUMIFS('Vols additionnels'!$E$7:$E$66,'Vols additionnels'!$C$7:$C$66,$E11666,'Vols additionnels'!$D$7:$D$66,$F11666,'Vols additionnels'!$B$7:$B$66,$D11666)</f>
        <v>0</v>
      </c>
      <c r="H11666" s="135" t="n">
        <f aca="false">$G11666*'Analyse capacite'!$F$7</f>
        <v>0</v>
      </c>
      <c r="I11666" s="135" t="n">
        <f aca="false">$G11666*'Analyse capacite'!$C$7</f>
        <v>0</v>
      </c>
      <c r="J11666" s="135" t="n">
        <f aca="false">$G11666*'Analyse capacite'!$D$7</f>
        <v>0</v>
      </c>
      <c r="K11666" s="135" t="n">
        <f aca="false">$G11666*'Analyse capacite'!$E$7</f>
        <v>0</v>
      </c>
    </row>
    <row r="11667" customFormat="false" ht="15" hidden="false" customHeight="false" outlineLevel="0" collapsed="false">
      <c r="B11667" s="130" t="n">
        <v>2028</v>
      </c>
      <c r="C11667" s="131" t="s">
        <v>256</v>
      </c>
      <c r="D11667" s="132" t="n">
        <v>46801</v>
      </c>
      <c r="E11667" s="131" t="s">
        <v>62</v>
      </c>
      <c r="F11667" s="133" t="s">
        <v>19</v>
      </c>
      <c r="G11667" s="134" t="n">
        <f aca="false">LEN('Saisie programme'!$H$437)+SUMIFS('Vols additionnels'!$E$7:$E$66,'Vols additionnels'!$C$7:$C$66,$E11667,'Vols additionnels'!$D$7:$D$66,$F11667,'Vols additionnels'!$B$7:$B$66,$D11667)</f>
        <v>0</v>
      </c>
      <c r="H11667" s="135" t="n">
        <f aca="false">$G11667*'Analyse capacite'!$F$8</f>
        <v>0</v>
      </c>
      <c r="I11667" s="135" t="n">
        <f aca="false">$G11667*'Analyse capacite'!$C$8</f>
        <v>0</v>
      </c>
      <c r="J11667" s="135" t="n">
        <f aca="false">$G11667*'Analyse capacite'!$D$8</f>
        <v>0</v>
      </c>
      <c r="K11667" s="135" t="n">
        <f aca="false">$G11667*'Analyse capacite'!$E$8</f>
        <v>0</v>
      </c>
    </row>
    <row r="11668" customFormat="false" ht="15" hidden="false" customHeight="false" outlineLevel="0" collapsed="false">
      <c r="B11668" s="130" t="n">
        <v>2028</v>
      </c>
      <c r="C11668" s="131" t="s">
        <v>256</v>
      </c>
      <c r="D11668" s="132" t="n">
        <v>46801</v>
      </c>
      <c r="E11668" s="131" t="s">
        <v>62</v>
      </c>
      <c r="F11668" s="133" t="s">
        <v>24</v>
      </c>
      <c r="G11668" s="134" t="n">
        <f aca="false">LEN('Saisie programme'!$H$438)+SUMIFS('Vols additionnels'!$E$7:$E$66,'Vols additionnels'!$C$7:$C$66,$E11668,'Vols additionnels'!$D$7:$D$66,$F11668,'Vols additionnels'!$B$7:$B$66,$D11668)</f>
        <v>0</v>
      </c>
      <c r="H11668" s="135" t="n">
        <f aca="false">$G11668*'Analyse capacite'!$F$9</f>
        <v>0</v>
      </c>
      <c r="I11668" s="135" t="n">
        <f aca="false">$G11668*'Analyse capacite'!$C$9</f>
        <v>0</v>
      </c>
      <c r="J11668" s="135" t="n">
        <f aca="false">$G11668*'Analyse capacite'!$D$9</f>
        <v>0</v>
      </c>
      <c r="K11668" s="135" t="n">
        <f aca="false">$G11668*'Analyse capacite'!$E$9</f>
        <v>0</v>
      </c>
    </row>
    <row r="11669" customFormat="false" ht="15" hidden="false" customHeight="false" outlineLevel="0" collapsed="false">
      <c r="B11669" s="130" t="n">
        <v>2028</v>
      </c>
      <c r="C11669" s="131" t="s">
        <v>256</v>
      </c>
      <c r="D11669" s="132" t="n">
        <v>46802</v>
      </c>
      <c r="E11669" s="131" t="s">
        <v>12</v>
      </c>
      <c r="F11669" s="133" t="s">
        <v>11</v>
      </c>
      <c r="G11669" s="134" t="n">
        <f aca="false">LEN('Saisie programme'!$I$403)+SUMIFS('Vols additionnels'!$E$7:$E$66,'Vols additionnels'!$C$7:$C$66,$E11669,'Vols additionnels'!$D$7:$D$66,$F11669,'Vols additionnels'!$B$7:$B$66,$D11669)</f>
        <v>1</v>
      </c>
      <c r="H11669" s="135" t="n">
        <f aca="false">$G11669*'Analyse capacite'!$F$7</f>
        <v>438</v>
      </c>
      <c r="I11669" s="135" t="n">
        <f aca="false">$G11669*'Analyse capacite'!$C$7</f>
        <v>14</v>
      </c>
      <c r="J11669" s="135" t="n">
        <f aca="false">$G11669*'Analyse capacite'!$D$7</f>
        <v>40</v>
      </c>
      <c r="K11669" s="135" t="n">
        <f aca="false">$G11669*'Analyse capacite'!$E$7</f>
        <v>384</v>
      </c>
    </row>
    <row r="11670" customFormat="false" ht="15" hidden="false" customHeight="false" outlineLevel="0" collapsed="false">
      <c r="B11670" s="130" t="n">
        <v>2028</v>
      </c>
      <c r="C11670" s="131" t="s">
        <v>256</v>
      </c>
      <c r="D11670" s="132" t="n">
        <v>46802</v>
      </c>
      <c r="E11670" s="131" t="s">
        <v>12</v>
      </c>
      <c r="F11670" s="133" t="s">
        <v>19</v>
      </c>
      <c r="G11670" s="134" t="n">
        <f aca="false">LEN('Saisie programme'!$I$404)+SUMIFS('Vols additionnels'!$E$7:$E$66,'Vols additionnels'!$C$7:$C$66,$E11670,'Vols additionnels'!$D$7:$D$66,$F11670,'Vols additionnels'!$B$7:$B$66,$D11670)</f>
        <v>0</v>
      </c>
      <c r="H11670" s="135" t="n">
        <f aca="false">$G11670*'Analyse capacite'!$F$8</f>
        <v>0</v>
      </c>
      <c r="I11670" s="135" t="n">
        <f aca="false">$G11670*'Analyse capacite'!$C$8</f>
        <v>0</v>
      </c>
      <c r="J11670" s="135" t="n">
        <f aca="false">$G11670*'Analyse capacite'!$D$8</f>
        <v>0</v>
      </c>
      <c r="K11670" s="135" t="n">
        <f aca="false">$G11670*'Analyse capacite'!$E$8</f>
        <v>0</v>
      </c>
    </row>
    <row r="11671" customFormat="false" ht="15" hidden="false" customHeight="false" outlineLevel="0" collapsed="false">
      <c r="B11671" s="130" t="n">
        <v>2028</v>
      </c>
      <c r="C11671" s="131" t="s">
        <v>256</v>
      </c>
      <c r="D11671" s="132" t="n">
        <v>46802</v>
      </c>
      <c r="E11671" s="131" t="s">
        <v>12</v>
      </c>
      <c r="F11671" s="133" t="s">
        <v>24</v>
      </c>
      <c r="G11671" s="134" t="n">
        <f aca="false">LEN('Saisie programme'!$I$405)+SUMIFS('Vols additionnels'!$E$7:$E$66,'Vols additionnels'!$C$7:$C$66,$E11671,'Vols additionnels'!$D$7:$D$66,$F11671,'Vols additionnels'!$B$7:$B$66,$D11671)</f>
        <v>0</v>
      </c>
      <c r="H11671" s="135" t="n">
        <f aca="false">$G11671*'Analyse capacite'!$F$9</f>
        <v>0</v>
      </c>
      <c r="I11671" s="135" t="n">
        <f aca="false">$G11671*'Analyse capacite'!$C$9</f>
        <v>0</v>
      </c>
      <c r="J11671" s="135" t="n">
        <f aca="false">$G11671*'Analyse capacite'!$D$9</f>
        <v>0</v>
      </c>
      <c r="K11671" s="135" t="n">
        <f aca="false">$G11671*'Analyse capacite'!$E$9</f>
        <v>0</v>
      </c>
    </row>
    <row r="11672" customFormat="false" ht="15" hidden="false" customHeight="false" outlineLevel="0" collapsed="false">
      <c r="B11672" s="130" t="n">
        <v>2028</v>
      </c>
      <c r="C11672" s="131" t="s">
        <v>256</v>
      </c>
      <c r="D11672" s="132" t="n">
        <v>46802</v>
      </c>
      <c r="E11672" s="131" t="s">
        <v>20</v>
      </c>
      <c r="F11672" s="133" t="s">
        <v>11</v>
      </c>
      <c r="G11672" s="134" t="n">
        <f aca="false">LEN('Saisie programme'!$I$406)+SUMIFS('Vols additionnels'!$E$7:$E$66,'Vols additionnels'!$C$7:$C$66,$E11672,'Vols additionnels'!$D$7:$D$66,$F11672,'Vols additionnels'!$B$7:$B$66,$D11672)</f>
        <v>0</v>
      </c>
      <c r="H11672" s="135" t="n">
        <f aca="false">$G11672*'Analyse capacite'!$F$7</f>
        <v>0</v>
      </c>
      <c r="I11672" s="135" t="n">
        <f aca="false">$G11672*'Analyse capacite'!$C$7</f>
        <v>0</v>
      </c>
      <c r="J11672" s="135" t="n">
        <f aca="false">$G11672*'Analyse capacite'!$D$7</f>
        <v>0</v>
      </c>
      <c r="K11672" s="135" t="n">
        <f aca="false">$G11672*'Analyse capacite'!$E$7</f>
        <v>0</v>
      </c>
    </row>
    <row r="11673" customFormat="false" ht="15" hidden="false" customHeight="false" outlineLevel="0" collapsed="false">
      <c r="B11673" s="130" t="n">
        <v>2028</v>
      </c>
      <c r="C11673" s="131" t="s">
        <v>256</v>
      </c>
      <c r="D11673" s="132" t="n">
        <v>46802</v>
      </c>
      <c r="E11673" s="131" t="s">
        <v>20</v>
      </c>
      <c r="F11673" s="133" t="s">
        <v>19</v>
      </c>
      <c r="G11673" s="134" t="n">
        <f aca="false">LEN('Saisie programme'!$I$407)+SUMIFS('Vols additionnels'!$E$7:$E$66,'Vols additionnels'!$C$7:$C$66,$E11673,'Vols additionnels'!$D$7:$D$66,$F11673,'Vols additionnels'!$B$7:$B$66,$D11673)</f>
        <v>0</v>
      </c>
      <c r="H11673" s="135" t="n">
        <f aca="false">$G11673*'Analyse capacite'!$F$8</f>
        <v>0</v>
      </c>
      <c r="I11673" s="135" t="n">
        <f aca="false">$G11673*'Analyse capacite'!$C$8</f>
        <v>0</v>
      </c>
      <c r="J11673" s="135" t="n">
        <f aca="false">$G11673*'Analyse capacite'!$D$8</f>
        <v>0</v>
      </c>
      <c r="K11673" s="135" t="n">
        <f aca="false">$G11673*'Analyse capacite'!$E$8</f>
        <v>0</v>
      </c>
    </row>
    <row r="11674" customFormat="false" ht="15" hidden="false" customHeight="false" outlineLevel="0" collapsed="false">
      <c r="B11674" s="130" t="n">
        <v>2028</v>
      </c>
      <c r="C11674" s="131" t="s">
        <v>256</v>
      </c>
      <c r="D11674" s="132" t="n">
        <v>46802</v>
      </c>
      <c r="E11674" s="131" t="s">
        <v>20</v>
      </c>
      <c r="F11674" s="133" t="s">
        <v>24</v>
      </c>
      <c r="G11674" s="134" t="n">
        <f aca="false">LEN('Saisie programme'!$I$408)+SUMIFS('Vols additionnels'!$E$7:$E$66,'Vols additionnels'!$C$7:$C$66,$E11674,'Vols additionnels'!$D$7:$D$66,$F11674,'Vols additionnels'!$B$7:$B$66,$D11674)</f>
        <v>0</v>
      </c>
      <c r="H11674" s="135" t="n">
        <f aca="false">$G11674*'Analyse capacite'!$F$9</f>
        <v>0</v>
      </c>
      <c r="I11674" s="135" t="n">
        <f aca="false">$G11674*'Analyse capacite'!$C$9</f>
        <v>0</v>
      </c>
      <c r="J11674" s="135" t="n">
        <f aca="false">$G11674*'Analyse capacite'!$D$9</f>
        <v>0</v>
      </c>
      <c r="K11674" s="135" t="n">
        <f aca="false">$G11674*'Analyse capacite'!$E$9</f>
        <v>0</v>
      </c>
    </row>
    <row r="11675" customFormat="false" ht="15" hidden="false" customHeight="false" outlineLevel="0" collapsed="false">
      <c r="B11675" s="130" t="n">
        <v>2028</v>
      </c>
      <c r="C11675" s="131" t="s">
        <v>256</v>
      </c>
      <c r="D11675" s="132" t="n">
        <v>46802</v>
      </c>
      <c r="E11675" s="131" t="s">
        <v>25</v>
      </c>
      <c r="F11675" s="133" t="s">
        <v>11</v>
      </c>
      <c r="G11675" s="134" t="n">
        <f aca="false">LEN('Saisie programme'!$I$409)+SUMIFS('Vols additionnels'!$E$7:$E$66,'Vols additionnels'!$C$7:$C$66,$E11675,'Vols additionnels'!$D$7:$D$66,$F11675,'Vols additionnels'!$B$7:$B$66,$D11675)</f>
        <v>0</v>
      </c>
      <c r="H11675" s="135" t="n">
        <f aca="false">$G11675*'Analyse capacite'!$F$7</f>
        <v>0</v>
      </c>
      <c r="I11675" s="135" t="n">
        <f aca="false">$G11675*'Analyse capacite'!$C$7</f>
        <v>0</v>
      </c>
      <c r="J11675" s="135" t="n">
        <f aca="false">$G11675*'Analyse capacite'!$D$7</f>
        <v>0</v>
      </c>
      <c r="K11675" s="135" t="n">
        <f aca="false">$G11675*'Analyse capacite'!$E$7</f>
        <v>0</v>
      </c>
    </row>
    <row r="11676" customFormat="false" ht="15" hidden="false" customHeight="false" outlineLevel="0" collapsed="false">
      <c r="B11676" s="130" t="n">
        <v>2028</v>
      </c>
      <c r="C11676" s="131" t="s">
        <v>256</v>
      </c>
      <c r="D11676" s="132" t="n">
        <v>46802</v>
      </c>
      <c r="E11676" s="131" t="s">
        <v>25</v>
      </c>
      <c r="F11676" s="133" t="s">
        <v>19</v>
      </c>
      <c r="G11676" s="134" t="n">
        <f aca="false">LEN('Saisie programme'!$I$410)+SUMIFS('Vols additionnels'!$E$7:$E$66,'Vols additionnels'!$C$7:$C$66,$E11676,'Vols additionnels'!$D$7:$D$66,$F11676,'Vols additionnels'!$B$7:$B$66,$D11676)</f>
        <v>1</v>
      </c>
      <c r="H11676" s="135" t="n">
        <f aca="false">$G11676*'Analyse capacite'!$F$8</f>
        <v>262</v>
      </c>
      <c r="I11676" s="135" t="n">
        <f aca="false">$G11676*'Analyse capacite'!$C$8</f>
        <v>18</v>
      </c>
      <c r="J11676" s="135" t="n">
        <f aca="false">$G11676*'Analyse capacite'!$D$8</f>
        <v>0</v>
      </c>
      <c r="K11676" s="135" t="n">
        <f aca="false">$G11676*'Analyse capacite'!$E$8</f>
        <v>244</v>
      </c>
    </row>
    <row r="11677" customFormat="false" ht="15" hidden="false" customHeight="false" outlineLevel="0" collapsed="false">
      <c r="B11677" s="130" t="n">
        <v>2028</v>
      </c>
      <c r="C11677" s="131" t="s">
        <v>256</v>
      </c>
      <c r="D11677" s="132" t="n">
        <v>46802</v>
      </c>
      <c r="E11677" s="131" t="s">
        <v>25</v>
      </c>
      <c r="F11677" s="133" t="s">
        <v>24</v>
      </c>
      <c r="G11677" s="134" t="n">
        <f aca="false">LEN('Saisie programme'!$I$411)+SUMIFS('Vols additionnels'!$E$7:$E$66,'Vols additionnels'!$C$7:$C$66,$E11677,'Vols additionnels'!$D$7:$D$66,$F11677,'Vols additionnels'!$B$7:$B$66,$D11677)</f>
        <v>0</v>
      </c>
      <c r="H11677" s="135" t="n">
        <f aca="false">$G11677*'Analyse capacite'!$F$9</f>
        <v>0</v>
      </c>
      <c r="I11677" s="135" t="n">
        <f aca="false">$G11677*'Analyse capacite'!$C$9</f>
        <v>0</v>
      </c>
      <c r="J11677" s="135" t="n">
        <f aca="false">$G11677*'Analyse capacite'!$D$9</f>
        <v>0</v>
      </c>
      <c r="K11677" s="135" t="n">
        <f aca="false">$G11677*'Analyse capacite'!$E$9</f>
        <v>0</v>
      </c>
    </row>
    <row r="11678" customFormat="false" ht="15" hidden="false" customHeight="false" outlineLevel="0" collapsed="false">
      <c r="B11678" s="130" t="n">
        <v>2028</v>
      </c>
      <c r="C11678" s="131" t="s">
        <v>256</v>
      </c>
      <c r="D11678" s="132" t="n">
        <v>46802</v>
      </c>
      <c r="E11678" s="131" t="s">
        <v>36</v>
      </c>
      <c r="F11678" s="133" t="s">
        <v>11</v>
      </c>
      <c r="G11678" s="134" t="n">
        <f aca="false">LEN('Saisie programme'!$I$412)+SUMIFS('Vols additionnels'!$E$7:$E$66,'Vols additionnels'!$C$7:$C$66,$E11678,'Vols additionnels'!$D$7:$D$66,$F11678,'Vols additionnels'!$B$7:$B$66,$D11678)</f>
        <v>0</v>
      </c>
      <c r="H11678" s="135" t="n">
        <f aca="false">$G11678*'Analyse capacite'!$F$7</f>
        <v>0</v>
      </c>
      <c r="I11678" s="135" t="n">
        <f aca="false">$G11678*'Analyse capacite'!$C$7</f>
        <v>0</v>
      </c>
      <c r="J11678" s="135" t="n">
        <f aca="false">$G11678*'Analyse capacite'!$D$7</f>
        <v>0</v>
      </c>
      <c r="K11678" s="135" t="n">
        <f aca="false">$G11678*'Analyse capacite'!$E$7</f>
        <v>0</v>
      </c>
    </row>
    <row r="11679" customFormat="false" ht="15" hidden="false" customHeight="false" outlineLevel="0" collapsed="false">
      <c r="B11679" s="130" t="n">
        <v>2028</v>
      </c>
      <c r="C11679" s="131" t="s">
        <v>256</v>
      </c>
      <c r="D11679" s="132" t="n">
        <v>46802</v>
      </c>
      <c r="E11679" s="131" t="s">
        <v>36</v>
      </c>
      <c r="F11679" s="133" t="s">
        <v>19</v>
      </c>
      <c r="G11679" s="134" t="n">
        <f aca="false">LEN('Saisie programme'!$I$413)+SUMIFS('Vols additionnels'!$E$7:$E$66,'Vols additionnels'!$C$7:$C$66,$E11679,'Vols additionnels'!$D$7:$D$66,$F11679,'Vols additionnels'!$B$7:$B$66,$D11679)</f>
        <v>0</v>
      </c>
      <c r="H11679" s="135" t="n">
        <f aca="false">$G11679*'Analyse capacite'!$F$8</f>
        <v>0</v>
      </c>
      <c r="I11679" s="135" t="n">
        <f aca="false">$G11679*'Analyse capacite'!$C$8</f>
        <v>0</v>
      </c>
      <c r="J11679" s="135" t="n">
        <f aca="false">$G11679*'Analyse capacite'!$D$8</f>
        <v>0</v>
      </c>
      <c r="K11679" s="135" t="n">
        <f aca="false">$G11679*'Analyse capacite'!$E$8</f>
        <v>0</v>
      </c>
    </row>
    <row r="11680" customFormat="false" ht="15" hidden="false" customHeight="false" outlineLevel="0" collapsed="false">
      <c r="B11680" s="130" t="n">
        <v>2028</v>
      </c>
      <c r="C11680" s="131" t="s">
        <v>256</v>
      </c>
      <c r="D11680" s="132" t="n">
        <v>46802</v>
      </c>
      <c r="E11680" s="131" t="s">
        <v>36</v>
      </c>
      <c r="F11680" s="133" t="s">
        <v>24</v>
      </c>
      <c r="G11680" s="134" t="n">
        <f aca="false">LEN('Saisie programme'!$I$414)+SUMIFS('Vols additionnels'!$E$7:$E$66,'Vols additionnels'!$C$7:$C$66,$E11680,'Vols additionnels'!$D$7:$D$66,$F11680,'Vols additionnels'!$B$7:$B$66,$D11680)</f>
        <v>0</v>
      </c>
      <c r="H11680" s="135" t="n">
        <f aca="false">$G11680*'Analyse capacite'!$F$9</f>
        <v>0</v>
      </c>
      <c r="I11680" s="135" t="n">
        <f aca="false">$G11680*'Analyse capacite'!$C$9</f>
        <v>0</v>
      </c>
      <c r="J11680" s="135" t="n">
        <f aca="false">$G11680*'Analyse capacite'!$D$9</f>
        <v>0</v>
      </c>
      <c r="K11680" s="135" t="n">
        <f aca="false">$G11680*'Analyse capacite'!$E$9</f>
        <v>0</v>
      </c>
    </row>
    <row r="11681" customFormat="false" ht="15" hidden="false" customHeight="false" outlineLevel="0" collapsed="false">
      <c r="B11681" s="130" t="n">
        <v>2028</v>
      </c>
      <c r="C11681" s="131" t="s">
        <v>256</v>
      </c>
      <c r="D11681" s="132" t="n">
        <v>46802</v>
      </c>
      <c r="E11681" s="131" t="s">
        <v>40</v>
      </c>
      <c r="F11681" s="133" t="s">
        <v>11</v>
      </c>
      <c r="G11681" s="134" t="n">
        <f aca="false">LEN('Saisie programme'!$I$415)+SUMIFS('Vols additionnels'!$E$7:$E$66,'Vols additionnels'!$C$7:$C$66,$E11681,'Vols additionnels'!$D$7:$D$66,$F11681,'Vols additionnels'!$B$7:$B$66,$D11681)</f>
        <v>0</v>
      </c>
      <c r="H11681" s="135" t="n">
        <f aca="false">$G11681*'Analyse capacite'!$F$7</f>
        <v>0</v>
      </c>
      <c r="I11681" s="135" t="n">
        <f aca="false">$G11681*'Analyse capacite'!$C$7</f>
        <v>0</v>
      </c>
      <c r="J11681" s="135" t="n">
        <f aca="false">$G11681*'Analyse capacite'!$D$7</f>
        <v>0</v>
      </c>
      <c r="K11681" s="135" t="n">
        <f aca="false">$G11681*'Analyse capacite'!$E$7</f>
        <v>0</v>
      </c>
    </row>
    <row r="11682" customFormat="false" ht="15" hidden="false" customHeight="false" outlineLevel="0" collapsed="false">
      <c r="B11682" s="130" t="n">
        <v>2028</v>
      </c>
      <c r="C11682" s="131" t="s">
        <v>256</v>
      </c>
      <c r="D11682" s="132" t="n">
        <v>46802</v>
      </c>
      <c r="E11682" s="131" t="s">
        <v>40</v>
      </c>
      <c r="F11682" s="133" t="s">
        <v>19</v>
      </c>
      <c r="G11682" s="134" t="n">
        <f aca="false">LEN('Saisie programme'!$I$416)+SUMIFS('Vols additionnels'!$E$7:$E$66,'Vols additionnels'!$C$7:$C$66,$E11682,'Vols additionnels'!$D$7:$D$66,$F11682,'Vols additionnels'!$B$7:$B$66,$D11682)</f>
        <v>0</v>
      </c>
      <c r="H11682" s="135" t="n">
        <f aca="false">$G11682*'Analyse capacite'!$F$8</f>
        <v>0</v>
      </c>
      <c r="I11682" s="135" t="n">
        <f aca="false">$G11682*'Analyse capacite'!$C$8</f>
        <v>0</v>
      </c>
      <c r="J11682" s="135" t="n">
        <f aca="false">$G11682*'Analyse capacite'!$D$8</f>
        <v>0</v>
      </c>
      <c r="K11682" s="135" t="n">
        <f aca="false">$G11682*'Analyse capacite'!$E$8</f>
        <v>0</v>
      </c>
    </row>
    <row r="11683" customFormat="false" ht="15" hidden="false" customHeight="false" outlineLevel="0" collapsed="false">
      <c r="B11683" s="130" t="n">
        <v>2028</v>
      </c>
      <c r="C11683" s="131" t="s">
        <v>256</v>
      </c>
      <c r="D11683" s="132" t="n">
        <v>46802</v>
      </c>
      <c r="E11683" s="131" t="s">
        <v>40</v>
      </c>
      <c r="F11683" s="133" t="s">
        <v>24</v>
      </c>
      <c r="G11683" s="134" t="n">
        <f aca="false">LEN('Saisie programme'!$I$417)+SUMIFS('Vols additionnels'!$E$7:$E$66,'Vols additionnels'!$C$7:$C$66,$E11683,'Vols additionnels'!$D$7:$D$66,$F11683,'Vols additionnels'!$B$7:$B$66,$D11683)</f>
        <v>0</v>
      </c>
      <c r="H11683" s="135" t="n">
        <f aca="false">$G11683*'Analyse capacite'!$F$9</f>
        <v>0</v>
      </c>
      <c r="I11683" s="135" t="n">
        <f aca="false">$G11683*'Analyse capacite'!$C$9</f>
        <v>0</v>
      </c>
      <c r="J11683" s="135" t="n">
        <f aca="false">$G11683*'Analyse capacite'!$D$9</f>
        <v>0</v>
      </c>
      <c r="K11683" s="135" t="n">
        <f aca="false">$G11683*'Analyse capacite'!$E$9</f>
        <v>0</v>
      </c>
    </row>
    <row r="11684" customFormat="false" ht="15" hidden="false" customHeight="false" outlineLevel="0" collapsed="false">
      <c r="B11684" s="130" t="n">
        <v>2028</v>
      </c>
      <c r="C11684" s="131" t="s">
        <v>256</v>
      </c>
      <c r="D11684" s="132" t="n">
        <v>46802</v>
      </c>
      <c r="E11684" s="131" t="s">
        <v>14</v>
      </c>
      <c r="F11684" s="133" t="s">
        <v>11</v>
      </c>
      <c r="G11684" s="134" t="n">
        <f aca="false">LEN('Saisie programme'!$I$418)+SUMIFS('Vols additionnels'!$E$7:$E$66,'Vols additionnels'!$C$7:$C$66,$E11684,'Vols additionnels'!$D$7:$D$66,$F11684,'Vols additionnels'!$B$7:$B$66,$D11684)</f>
        <v>0</v>
      </c>
      <c r="H11684" s="135" t="n">
        <f aca="false">$G11684*'Analyse capacite'!$F$7</f>
        <v>0</v>
      </c>
      <c r="I11684" s="135" t="n">
        <f aca="false">$G11684*'Analyse capacite'!$C$7</f>
        <v>0</v>
      </c>
      <c r="J11684" s="135" t="n">
        <f aca="false">$G11684*'Analyse capacite'!$D$7</f>
        <v>0</v>
      </c>
      <c r="K11684" s="135" t="n">
        <f aca="false">$G11684*'Analyse capacite'!$E$7</f>
        <v>0</v>
      </c>
    </row>
    <row r="11685" customFormat="false" ht="15" hidden="false" customHeight="false" outlineLevel="0" collapsed="false">
      <c r="B11685" s="130" t="n">
        <v>2028</v>
      </c>
      <c r="C11685" s="131" t="s">
        <v>256</v>
      </c>
      <c r="D11685" s="132" t="n">
        <v>46802</v>
      </c>
      <c r="E11685" s="131" t="s">
        <v>14</v>
      </c>
      <c r="F11685" s="133" t="s">
        <v>19</v>
      </c>
      <c r="G11685" s="134" t="n">
        <f aca="false">LEN('Saisie programme'!$I$419)+SUMIFS('Vols additionnels'!$E$7:$E$66,'Vols additionnels'!$C$7:$C$66,$E11685,'Vols additionnels'!$D$7:$D$66,$F11685,'Vols additionnels'!$B$7:$B$66,$D11685)</f>
        <v>0</v>
      </c>
      <c r="H11685" s="135" t="n">
        <f aca="false">$G11685*'Analyse capacite'!$F$8</f>
        <v>0</v>
      </c>
      <c r="I11685" s="135" t="n">
        <f aca="false">$G11685*'Analyse capacite'!$C$8</f>
        <v>0</v>
      </c>
      <c r="J11685" s="135" t="n">
        <f aca="false">$G11685*'Analyse capacite'!$D$8</f>
        <v>0</v>
      </c>
      <c r="K11685" s="135" t="n">
        <f aca="false">$G11685*'Analyse capacite'!$E$8</f>
        <v>0</v>
      </c>
    </row>
    <row r="11686" customFormat="false" ht="15" hidden="false" customHeight="false" outlineLevel="0" collapsed="false">
      <c r="B11686" s="130" t="n">
        <v>2028</v>
      </c>
      <c r="C11686" s="131" t="s">
        <v>256</v>
      </c>
      <c r="D11686" s="132" t="n">
        <v>46802</v>
      </c>
      <c r="E11686" s="131" t="s">
        <v>14</v>
      </c>
      <c r="F11686" s="133" t="s">
        <v>24</v>
      </c>
      <c r="G11686" s="134" t="n">
        <f aca="false">LEN('Saisie programme'!$I$420)+SUMIFS('Vols additionnels'!$E$7:$E$66,'Vols additionnels'!$C$7:$C$66,$E11686,'Vols additionnels'!$D$7:$D$66,$F11686,'Vols additionnels'!$B$7:$B$66,$D11686)</f>
        <v>1</v>
      </c>
      <c r="H11686" s="135" t="n">
        <f aca="false">$G11686*'Analyse capacite'!$F$9</f>
        <v>174</v>
      </c>
      <c r="I11686" s="135" t="n">
        <f aca="false">$G11686*'Analyse capacite'!$C$9</f>
        <v>0</v>
      </c>
      <c r="J11686" s="135" t="n">
        <f aca="false">$G11686*'Analyse capacite'!$D$9</f>
        <v>12</v>
      </c>
      <c r="K11686" s="135" t="n">
        <f aca="false">$G11686*'Analyse capacite'!$E$9</f>
        <v>162</v>
      </c>
    </row>
    <row r="11687" customFormat="false" ht="15" hidden="false" customHeight="false" outlineLevel="0" collapsed="false">
      <c r="B11687" s="130" t="n">
        <v>2028</v>
      </c>
      <c r="C11687" s="131" t="s">
        <v>256</v>
      </c>
      <c r="D11687" s="132" t="n">
        <v>46802</v>
      </c>
      <c r="E11687" s="131" t="s">
        <v>46</v>
      </c>
      <c r="F11687" s="133" t="s">
        <v>11</v>
      </c>
      <c r="G11687" s="134" t="n">
        <f aca="false">LEN('Saisie programme'!$I$421)+SUMIFS('Vols additionnels'!$E$7:$E$66,'Vols additionnels'!$C$7:$C$66,$E11687,'Vols additionnels'!$D$7:$D$66,$F11687,'Vols additionnels'!$B$7:$B$66,$D11687)</f>
        <v>0</v>
      </c>
      <c r="H11687" s="135" t="n">
        <f aca="false">$G11687*'Analyse capacite'!$F$7</f>
        <v>0</v>
      </c>
      <c r="I11687" s="135" t="n">
        <f aca="false">$G11687*'Analyse capacite'!$C$7</f>
        <v>0</v>
      </c>
      <c r="J11687" s="135" t="n">
        <f aca="false">$G11687*'Analyse capacite'!$D$7</f>
        <v>0</v>
      </c>
      <c r="K11687" s="135" t="n">
        <f aca="false">$G11687*'Analyse capacite'!$E$7</f>
        <v>0</v>
      </c>
    </row>
    <row r="11688" customFormat="false" ht="15" hidden="false" customHeight="false" outlineLevel="0" collapsed="false">
      <c r="B11688" s="130" t="n">
        <v>2028</v>
      </c>
      <c r="C11688" s="131" t="s">
        <v>256</v>
      </c>
      <c r="D11688" s="132" t="n">
        <v>46802</v>
      </c>
      <c r="E11688" s="131" t="s">
        <v>46</v>
      </c>
      <c r="F11688" s="133" t="s">
        <v>19</v>
      </c>
      <c r="G11688" s="134" t="n">
        <f aca="false">LEN('Saisie programme'!$I$422)+SUMIFS('Vols additionnels'!$E$7:$E$66,'Vols additionnels'!$C$7:$C$66,$E11688,'Vols additionnels'!$D$7:$D$66,$F11688,'Vols additionnels'!$B$7:$B$66,$D11688)</f>
        <v>0</v>
      </c>
      <c r="H11688" s="135" t="n">
        <f aca="false">$G11688*'Analyse capacite'!$F$8</f>
        <v>0</v>
      </c>
      <c r="I11688" s="135" t="n">
        <f aca="false">$G11688*'Analyse capacite'!$C$8</f>
        <v>0</v>
      </c>
      <c r="J11688" s="135" t="n">
        <f aca="false">$G11688*'Analyse capacite'!$D$8</f>
        <v>0</v>
      </c>
      <c r="K11688" s="135" t="n">
        <f aca="false">$G11688*'Analyse capacite'!$E$8</f>
        <v>0</v>
      </c>
    </row>
    <row r="11689" customFormat="false" ht="15" hidden="false" customHeight="false" outlineLevel="0" collapsed="false">
      <c r="B11689" s="130" t="n">
        <v>2028</v>
      </c>
      <c r="C11689" s="131" t="s">
        <v>256</v>
      </c>
      <c r="D11689" s="132" t="n">
        <v>46802</v>
      </c>
      <c r="E11689" s="131" t="s">
        <v>46</v>
      </c>
      <c r="F11689" s="133" t="s">
        <v>24</v>
      </c>
      <c r="G11689" s="134" t="n">
        <f aca="false">LEN('Saisie programme'!$I$423)+SUMIFS('Vols additionnels'!$E$7:$E$66,'Vols additionnels'!$C$7:$C$66,$E11689,'Vols additionnels'!$D$7:$D$66,$F11689,'Vols additionnels'!$B$7:$B$66,$D11689)</f>
        <v>1</v>
      </c>
      <c r="H11689" s="135" t="n">
        <f aca="false">$G11689*'Analyse capacite'!$F$9</f>
        <v>174</v>
      </c>
      <c r="I11689" s="135" t="n">
        <f aca="false">$G11689*'Analyse capacite'!$C$9</f>
        <v>0</v>
      </c>
      <c r="J11689" s="135" t="n">
        <f aca="false">$G11689*'Analyse capacite'!$D$9</f>
        <v>12</v>
      </c>
      <c r="K11689" s="135" t="n">
        <f aca="false">$G11689*'Analyse capacite'!$E$9</f>
        <v>162</v>
      </c>
    </row>
    <row r="11690" customFormat="false" ht="15" hidden="false" customHeight="false" outlineLevel="0" collapsed="false">
      <c r="B11690" s="130" t="n">
        <v>2028</v>
      </c>
      <c r="C11690" s="131" t="s">
        <v>256</v>
      </c>
      <c r="D11690" s="132" t="n">
        <v>46802</v>
      </c>
      <c r="E11690" s="131" t="s">
        <v>49</v>
      </c>
      <c r="F11690" s="133" t="s">
        <v>11</v>
      </c>
      <c r="G11690" s="134" t="n">
        <f aca="false">LEN('Saisie programme'!$I$424)+SUMIFS('Vols additionnels'!$E$7:$E$66,'Vols additionnels'!$C$7:$C$66,$E11690,'Vols additionnels'!$D$7:$D$66,$F11690,'Vols additionnels'!$B$7:$B$66,$D11690)</f>
        <v>0</v>
      </c>
      <c r="H11690" s="135" t="n">
        <f aca="false">$G11690*'Analyse capacite'!$F$7</f>
        <v>0</v>
      </c>
      <c r="I11690" s="135" t="n">
        <f aca="false">$G11690*'Analyse capacite'!$C$7</f>
        <v>0</v>
      </c>
      <c r="J11690" s="135" t="n">
        <f aca="false">$G11690*'Analyse capacite'!$D$7</f>
        <v>0</v>
      </c>
      <c r="K11690" s="135" t="n">
        <f aca="false">$G11690*'Analyse capacite'!$E$7</f>
        <v>0</v>
      </c>
    </row>
    <row r="11691" customFormat="false" ht="15" hidden="false" customHeight="false" outlineLevel="0" collapsed="false">
      <c r="B11691" s="130" t="n">
        <v>2028</v>
      </c>
      <c r="C11691" s="131" t="s">
        <v>256</v>
      </c>
      <c r="D11691" s="132" t="n">
        <v>46802</v>
      </c>
      <c r="E11691" s="131" t="s">
        <v>49</v>
      </c>
      <c r="F11691" s="133" t="s">
        <v>19</v>
      </c>
      <c r="G11691" s="134" t="n">
        <f aca="false">LEN('Saisie programme'!$I$425)+SUMIFS('Vols additionnels'!$E$7:$E$66,'Vols additionnels'!$C$7:$C$66,$E11691,'Vols additionnels'!$D$7:$D$66,$F11691,'Vols additionnels'!$B$7:$B$66,$D11691)</f>
        <v>0</v>
      </c>
      <c r="H11691" s="135" t="n">
        <f aca="false">$G11691*'Analyse capacite'!$F$8</f>
        <v>0</v>
      </c>
      <c r="I11691" s="135" t="n">
        <f aca="false">$G11691*'Analyse capacite'!$C$8</f>
        <v>0</v>
      </c>
      <c r="J11691" s="135" t="n">
        <f aca="false">$G11691*'Analyse capacite'!$D$8</f>
        <v>0</v>
      </c>
      <c r="K11691" s="135" t="n">
        <f aca="false">$G11691*'Analyse capacite'!$E$8</f>
        <v>0</v>
      </c>
    </row>
    <row r="11692" customFormat="false" ht="15" hidden="false" customHeight="false" outlineLevel="0" collapsed="false">
      <c r="B11692" s="130" t="n">
        <v>2028</v>
      </c>
      <c r="C11692" s="131" t="s">
        <v>256</v>
      </c>
      <c r="D11692" s="132" t="n">
        <v>46802</v>
      </c>
      <c r="E11692" s="131" t="s">
        <v>49</v>
      </c>
      <c r="F11692" s="133" t="s">
        <v>24</v>
      </c>
      <c r="G11692" s="134" t="n">
        <f aca="false">LEN('Saisie programme'!$I$426)+SUMIFS('Vols additionnels'!$E$7:$E$66,'Vols additionnels'!$C$7:$C$66,$E11692,'Vols additionnels'!$D$7:$D$66,$F11692,'Vols additionnels'!$B$7:$B$66,$D11692)</f>
        <v>0</v>
      </c>
      <c r="H11692" s="135" t="n">
        <f aca="false">$G11692*'Analyse capacite'!$F$9</f>
        <v>0</v>
      </c>
      <c r="I11692" s="135" t="n">
        <f aca="false">$G11692*'Analyse capacite'!$C$9</f>
        <v>0</v>
      </c>
      <c r="J11692" s="135" t="n">
        <f aca="false">$G11692*'Analyse capacite'!$D$9</f>
        <v>0</v>
      </c>
      <c r="K11692" s="135" t="n">
        <f aca="false">$G11692*'Analyse capacite'!$E$9</f>
        <v>0</v>
      </c>
    </row>
    <row r="11693" customFormat="false" ht="15" hidden="false" customHeight="false" outlineLevel="0" collapsed="false">
      <c r="B11693" s="130" t="n">
        <v>2028</v>
      </c>
      <c r="C11693" s="131" t="s">
        <v>256</v>
      </c>
      <c r="D11693" s="132" t="n">
        <v>46802</v>
      </c>
      <c r="E11693" s="131" t="s">
        <v>53</v>
      </c>
      <c r="F11693" s="133" t="s">
        <v>11</v>
      </c>
      <c r="G11693" s="134" t="n">
        <f aca="false">LEN('Saisie programme'!$I$427)+SUMIFS('Vols additionnels'!$E$7:$E$66,'Vols additionnels'!$C$7:$C$66,$E11693,'Vols additionnels'!$D$7:$D$66,$F11693,'Vols additionnels'!$B$7:$B$66,$D11693)</f>
        <v>0</v>
      </c>
      <c r="H11693" s="135" t="n">
        <f aca="false">$G11693*'Analyse capacite'!$F$7</f>
        <v>0</v>
      </c>
      <c r="I11693" s="135" t="n">
        <f aca="false">$G11693*'Analyse capacite'!$C$7</f>
        <v>0</v>
      </c>
      <c r="J11693" s="135" t="n">
        <f aca="false">$G11693*'Analyse capacite'!$D$7</f>
        <v>0</v>
      </c>
      <c r="K11693" s="135" t="n">
        <f aca="false">$G11693*'Analyse capacite'!$E$7</f>
        <v>0</v>
      </c>
    </row>
    <row r="11694" customFormat="false" ht="15" hidden="false" customHeight="false" outlineLevel="0" collapsed="false">
      <c r="B11694" s="130" t="n">
        <v>2028</v>
      </c>
      <c r="C11694" s="131" t="s">
        <v>256</v>
      </c>
      <c r="D11694" s="132" t="n">
        <v>46802</v>
      </c>
      <c r="E11694" s="131" t="s">
        <v>53</v>
      </c>
      <c r="F11694" s="133" t="s">
        <v>19</v>
      </c>
      <c r="G11694" s="134" t="n">
        <f aca="false">LEN('Saisie programme'!$I$428)+SUMIFS('Vols additionnels'!$E$7:$E$66,'Vols additionnels'!$C$7:$C$66,$E11694,'Vols additionnels'!$D$7:$D$66,$F11694,'Vols additionnels'!$B$7:$B$66,$D11694)</f>
        <v>0</v>
      </c>
      <c r="H11694" s="135" t="n">
        <f aca="false">$G11694*'Analyse capacite'!$F$8</f>
        <v>0</v>
      </c>
      <c r="I11694" s="135" t="n">
        <f aca="false">$G11694*'Analyse capacite'!$C$8</f>
        <v>0</v>
      </c>
      <c r="J11694" s="135" t="n">
        <f aca="false">$G11694*'Analyse capacite'!$D$8</f>
        <v>0</v>
      </c>
      <c r="K11694" s="135" t="n">
        <f aca="false">$G11694*'Analyse capacite'!$E$8</f>
        <v>0</v>
      </c>
    </row>
    <row r="11695" customFormat="false" ht="15" hidden="false" customHeight="false" outlineLevel="0" collapsed="false">
      <c r="B11695" s="130" t="n">
        <v>2028</v>
      </c>
      <c r="C11695" s="131" t="s">
        <v>256</v>
      </c>
      <c r="D11695" s="132" t="n">
        <v>46802</v>
      </c>
      <c r="E11695" s="131" t="s">
        <v>53</v>
      </c>
      <c r="F11695" s="133" t="s">
        <v>24</v>
      </c>
      <c r="G11695" s="134" t="n">
        <f aca="false">LEN('Saisie programme'!$I$429)+SUMIFS('Vols additionnels'!$E$7:$E$66,'Vols additionnels'!$C$7:$C$66,$E11695,'Vols additionnels'!$D$7:$D$66,$F11695,'Vols additionnels'!$B$7:$B$66,$D11695)</f>
        <v>0</v>
      </c>
      <c r="H11695" s="135" t="n">
        <f aca="false">$G11695*'Analyse capacite'!$F$9</f>
        <v>0</v>
      </c>
      <c r="I11695" s="135" t="n">
        <f aca="false">$G11695*'Analyse capacite'!$C$9</f>
        <v>0</v>
      </c>
      <c r="J11695" s="135" t="n">
        <f aca="false">$G11695*'Analyse capacite'!$D$9</f>
        <v>0</v>
      </c>
      <c r="K11695" s="135" t="n">
        <f aca="false">$G11695*'Analyse capacite'!$E$9</f>
        <v>0</v>
      </c>
    </row>
    <row r="11696" customFormat="false" ht="15" hidden="false" customHeight="false" outlineLevel="0" collapsed="false">
      <c r="B11696" s="130" t="n">
        <v>2028</v>
      </c>
      <c r="C11696" s="131" t="s">
        <v>256</v>
      </c>
      <c r="D11696" s="132" t="n">
        <v>46802</v>
      </c>
      <c r="E11696" s="131" t="s">
        <v>56</v>
      </c>
      <c r="F11696" s="133" t="s">
        <v>11</v>
      </c>
      <c r="G11696" s="134" t="n">
        <f aca="false">LEN('Saisie programme'!$I$430)+SUMIFS('Vols additionnels'!$E$7:$E$66,'Vols additionnels'!$C$7:$C$66,$E11696,'Vols additionnels'!$D$7:$D$66,$F11696,'Vols additionnels'!$B$7:$B$66,$D11696)</f>
        <v>0</v>
      </c>
      <c r="H11696" s="135" t="n">
        <f aca="false">$G11696*'Analyse capacite'!$F$7</f>
        <v>0</v>
      </c>
      <c r="I11696" s="135" t="n">
        <f aca="false">$G11696*'Analyse capacite'!$C$7</f>
        <v>0</v>
      </c>
      <c r="J11696" s="135" t="n">
        <f aca="false">$G11696*'Analyse capacite'!$D$7</f>
        <v>0</v>
      </c>
      <c r="K11696" s="135" t="n">
        <f aca="false">$G11696*'Analyse capacite'!$E$7</f>
        <v>0</v>
      </c>
    </row>
    <row r="11697" customFormat="false" ht="15" hidden="false" customHeight="false" outlineLevel="0" collapsed="false">
      <c r="B11697" s="130" t="n">
        <v>2028</v>
      </c>
      <c r="C11697" s="131" t="s">
        <v>256</v>
      </c>
      <c r="D11697" s="132" t="n">
        <v>46802</v>
      </c>
      <c r="E11697" s="131" t="s">
        <v>56</v>
      </c>
      <c r="F11697" s="133" t="s">
        <v>19</v>
      </c>
      <c r="G11697" s="134" t="n">
        <f aca="false">LEN('Saisie programme'!$I$431)+SUMIFS('Vols additionnels'!$E$7:$E$66,'Vols additionnels'!$C$7:$C$66,$E11697,'Vols additionnels'!$D$7:$D$66,$F11697,'Vols additionnels'!$B$7:$B$66,$D11697)</f>
        <v>0</v>
      </c>
      <c r="H11697" s="135" t="n">
        <f aca="false">$G11697*'Analyse capacite'!$F$8</f>
        <v>0</v>
      </c>
      <c r="I11697" s="135" t="n">
        <f aca="false">$G11697*'Analyse capacite'!$C$8</f>
        <v>0</v>
      </c>
      <c r="J11697" s="135" t="n">
        <f aca="false">$G11697*'Analyse capacite'!$D$8</f>
        <v>0</v>
      </c>
      <c r="K11697" s="135" t="n">
        <f aca="false">$G11697*'Analyse capacite'!$E$8</f>
        <v>0</v>
      </c>
    </row>
    <row r="11698" customFormat="false" ht="15" hidden="false" customHeight="false" outlineLevel="0" collapsed="false">
      <c r="B11698" s="130" t="n">
        <v>2028</v>
      </c>
      <c r="C11698" s="131" t="s">
        <v>256</v>
      </c>
      <c r="D11698" s="132" t="n">
        <v>46802</v>
      </c>
      <c r="E11698" s="131" t="s">
        <v>56</v>
      </c>
      <c r="F11698" s="133" t="s">
        <v>24</v>
      </c>
      <c r="G11698" s="134" t="n">
        <f aca="false">LEN('Saisie programme'!$I$432)+SUMIFS('Vols additionnels'!$E$7:$E$66,'Vols additionnels'!$C$7:$C$66,$E11698,'Vols additionnels'!$D$7:$D$66,$F11698,'Vols additionnels'!$B$7:$B$66,$D11698)</f>
        <v>1</v>
      </c>
      <c r="H11698" s="135" t="n">
        <f aca="false">$G11698*'Analyse capacite'!$F$9</f>
        <v>174</v>
      </c>
      <c r="I11698" s="135" t="n">
        <f aca="false">$G11698*'Analyse capacite'!$C$9</f>
        <v>0</v>
      </c>
      <c r="J11698" s="135" t="n">
        <f aca="false">$G11698*'Analyse capacite'!$D$9</f>
        <v>12</v>
      </c>
      <c r="K11698" s="135" t="n">
        <f aca="false">$G11698*'Analyse capacite'!$E$9</f>
        <v>162</v>
      </c>
    </row>
    <row r="11699" customFormat="false" ht="15" hidden="false" customHeight="false" outlineLevel="0" collapsed="false">
      <c r="B11699" s="130" t="n">
        <v>2028</v>
      </c>
      <c r="C11699" s="131" t="s">
        <v>256</v>
      </c>
      <c r="D11699" s="132" t="n">
        <v>46802</v>
      </c>
      <c r="E11699" s="131" t="s">
        <v>59</v>
      </c>
      <c r="F11699" s="133" t="s">
        <v>11</v>
      </c>
      <c r="G11699" s="134" t="n">
        <f aca="false">LEN('Saisie programme'!$I$433)+SUMIFS('Vols additionnels'!$E$7:$E$66,'Vols additionnels'!$C$7:$C$66,$E11699,'Vols additionnels'!$D$7:$D$66,$F11699,'Vols additionnels'!$B$7:$B$66,$D11699)</f>
        <v>0</v>
      </c>
      <c r="H11699" s="135" t="n">
        <f aca="false">$G11699*'Analyse capacite'!$F$7</f>
        <v>0</v>
      </c>
      <c r="I11699" s="135" t="n">
        <f aca="false">$G11699*'Analyse capacite'!$C$7</f>
        <v>0</v>
      </c>
      <c r="J11699" s="135" t="n">
        <f aca="false">$G11699*'Analyse capacite'!$D$7</f>
        <v>0</v>
      </c>
      <c r="K11699" s="135" t="n">
        <f aca="false">$G11699*'Analyse capacite'!$E$7</f>
        <v>0</v>
      </c>
    </row>
    <row r="11700" customFormat="false" ht="15" hidden="false" customHeight="false" outlineLevel="0" collapsed="false">
      <c r="B11700" s="130" t="n">
        <v>2028</v>
      </c>
      <c r="C11700" s="131" t="s">
        <v>256</v>
      </c>
      <c r="D11700" s="132" t="n">
        <v>46802</v>
      </c>
      <c r="E11700" s="131" t="s">
        <v>59</v>
      </c>
      <c r="F11700" s="133" t="s">
        <v>19</v>
      </c>
      <c r="G11700" s="134" t="n">
        <f aca="false">LEN('Saisie programme'!$I$434)+SUMIFS('Vols additionnels'!$E$7:$E$66,'Vols additionnels'!$C$7:$C$66,$E11700,'Vols additionnels'!$D$7:$D$66,$F11700,'Vols additionnels'!$B$7:$B$66,$D11700)</f>
        <v>0</v>
      </c>
      <c r="H11700" s="135" t="n">
        <f aca="false">$G11700*'Analyse capacite'!$F$8</f>
        <v>0</v>
      </c>
      <c r="I11700" s="135" t="n">
        <f aca="false">$G11700*'Analyse capacite'!$C$8</f>
        <v>0</v>
      </c>
      <c r="J11700" s="135" t="n">
        <f aca="false">$G11700*'Analyse capacite'!$D$8</f>
        <v>0</v>
      </c>
      <c r="K11700" s="135" t="n">
        <f aca="false">$G11700*'Analyse capacite'!$E$8</f>
        <v>0</v>
      </c>
    </row>
    <row r="11701" customFormat="false" ht="15" hidden="false" customHeight="false" outlineLevel="0" collapsed="false">
      <c r="B11701" s="130" t="n">
        <v>2028</v>
      </c>
      <c r="C11701" s="131" t="s">
        <v>256</v>
      </c>
      <c r="D11701" s="132" t="n">
        <v>46802</v>
      </c>
      <c r="E11701" s="131" t="s">
        <v>59</v>
      </c>
      <c r="F11701" s="133" t="s">
        <v>24</v>
      </c>
      <c r="G11701" s="134" t="n">
        <f aca="false">LEN('Saisie programme'!$I$435)+SUMIFS('Vols additionnels'!$E$7:$E$66,'Vols additionnels'!$C$7:$C$66,$E11701,'Vols additionnels'!$D$7:$D$66,$F11701,'Vols additionnels'!$B$7:$B$66,$D11701)</f>
        <v>1</v>
      </c>
      <c r="H11701" s="135" t="n">
        <f aca="false">$G11701*'Analyse capacite'!$F$9</f>
        <v>174</v>
      </c>
      <c r="I11701" s="135" t="n">
        <f aca="false">$G11701*'Analyse capacite'!$C$9</f>
        <v>0</v>
      </c>
      <c r="J11701" s="135" t="n">
        <f aca="false">$G11701*'Analyse capacite'!$D$9</f>
        <v>12</v>
      </c>
      <c r="K11701" s="135" t="n">
        <f aca="false">$G11701*'Analyse capacite'!$E$9</f>
        <v>162</v>
      </c>
    </row>
    <row r="11702" customFormat="false" ht="15" hidden="false" customHeight="false" outlineLevel="0" collapsed="false">
      <c r="B11702" s="130" t="n">
        <v>2028</v>
      </c>
      <c r="C11702" s="131" t="s">
        <v>256</v>
      </c>
      <c r="D11702" s="132" t="n">
        <v>46802</v>
      </c>
      <c r="E11702" s="131" t="s">
        <v>62</v>
      </c>
      <c r="F11702" s="133" t="s">
        <v>11</v>
      </c>
      <c r="G11702" s="134" t="n">
        <f aca="false">LEN('Saisie programme'!$I$436)+SUMIFS('Vols additionnels'!$E$7:$E$66,'Vols additionnels'!$C$7:$C$66,$E11702,'Vols additionnels'!$D$7:$D$66,$F11702,'Vols additionnels'!$B$7:$B$66,$D11702)</f>
        <v>0</v>
      </c>
      <c r="H11702" s="135" t="n">
        <f aca="false">$G11702*'Analyse capacite'!$F$7</f>
        <v>0</v>
      </c>
      <c r="I11702" s="135" t="n">
        <f aca="false">$G11702*'Analyse capacite'!$C$7</f>
        <v>0</v>
      </c>
      <c r="J11702" s="135" t="n">
        <f aca="false">$G11702*'Analyse capacite'!$D$7</f>
        <v>0</v>
      </c>
      <c r="K11702" s="135" t="n">
        <f aca="false">$G11702*'Analyse capacite'!$E$7</f>
        <v>0</v>
      </c>
    </row>
    <row r="11703" customFormat="false" ht="15" hidden="false" customHeight="false" outlineLevel="0" collapsed="false">
      <c r="B11703" s="130" t="n">
        <v>2028</v>
      </c>
      <c r="C11703" s="131" t="s">
        <v>256</v>
      </c>
      <c r="D11703" s="132" t="n">
        <v>46802</v>
      </c>
      <c r="E11703" s="131" t="s">
        <v>62</v>
      </c>
      <c r="F11703" s="133" t="s">
        <v>19</v>
      </c>
      <c r="G11703" s="134" t="n">
        <f aca="false">LEN('Saisie programme'!$I$437)+SUMIFS('Vols additionnels'!$E$7:$E$66,'Vols additionnels'!$C$7:$C$66,$E11703,'Vols additionnels'!$D$7:$D$66,$F11703,'Vols additionnels'!$B$7:$B$66,$D11703)</f>
        <v>0</v>
      </c>
      <c r="H11703" s="135" t="n">
        <f aca="false">$G11703*'Analyse capacite'!$F$8</f>
        <v>0</v>
      </c>
      <c r="I11703" s="135" t="n">
        <f aca="false">$G11703*'Analyse capacite'!$C$8</f>
        <v>0</v>
      </c>
      <c r="J11703" s="135" t="n">
        <f aca="false">$G11703*'Analyse capacite'!$D$8</f>
        <v>0</v>
      </c>
      <c r="K11703" s="135" t="n">
        <f aca="false">$G11703*'Analyse capacite'!$E$8</f>
        <v>0</v>
      </c>
    </row>
    <row r="11704" customFormat="false" ht="15" hidden="false" customHeight="false" outlineLevel="0" collapsed="false">
      <c r="B11704" s="130" t="n">
        <v>2028</v>
      </c>
      <c r="C11704" s="131" t="s">
        <v>256</v>
      </c>
      <c r="D11704" s="132" t="n">
        <v>46802</v>
      </c>
      <c r="E11704" s="131" t="s">
        <v>62</v>
      </c>
      <c r="F11704" s="133" t="s">
        <v>24</v>
      </c>
      <c r="G11704" s="134" t="n">
        <f aca="false">LEN('Saisie programme'!$I$438)+SUMIFS('Vols additionnels'!$E$7:$E$66,'Vols additionnels'!$C$7:$C$66,$E11704,'Vols additionnels'!$D$7:$D$66,$F11704,'Vols additionnels'!$B$7:$B$66,$D11704)</f>
        <v>0</v>
      </c>
      <c r="H11704" s="135" t="n">
        <f aca="false">$G11704*'Analyse capacite'!$F$9</f>
        <v>0</v>
      </c>
      <c r="I11704" s="135" t="n">
        <f aca="false">$G11704*'Analyse capacite'!$C$9</f>
        <v>0</v>
      </c>
      <c r="J11704" s="135" t="n">
        <f aca="false">$G11704*'Analyse capacite'!$D$9</f>
        <v>0</v>
      </c>
      <c r="K11704" s="135" t="n">
        <f aca="false">$G11704*'Analyse capacite'!$E$9</f>
        <v>0</v>
      </c>
    </row>
    <row r="11705" customFormat="false" ht="15" hidden="false" customHeight="false" outlineLevel="0" collapsed="false">
      <c r="B11705" s="130" t="n">
        <v>2028</v>
      </c>
      <c r="C11705" s="131" t="s">
        <v>256</v>
      </c>
      <c r="D11705" s="132" t="n">
        <v>46803</v>
      </c>
      <c r="E11705" s="131" t="s">
        <v>12</v>
      </c>
      <c r="F11705" s="133" t="s">
        <v>11</v>
      </c>
      <c r="G11705" s="134" t="n">
        <f aca="false">LEN('Saisie programme'!$J$403)+SUMIFS('Vols additionnels'!$E$7:$E$66,'Vols additionnels'!$C$7:$C$66,$E11705,'Vols additionnels'!$D$7:$D$66,$F11705,'Vols additionnels'!$B$7:$B$66,$D11705)</f>
        <v>1</v>
      </c>
      <c r="H11705" s="135" t="n">
        <f aca="false">$G11705*'Analyse capacite'!$F$7</f>
        <v>438</v>
      </c>
      <c r="I11705" s="135" t="n">
        <f aca="false">$G11705*'Analyse capacite'!$C$7</f>
        <v>14</v>
      </c>
      <c r="J11705" s="135" t="n">
        <f aca="false">$G11705*'Analyse capacite'!$D$7</f>
        <v>40</v>
      </c>
      <c r="K11705" s="135" t="n">
        <f aca="false">$G11705*'Analyse capacite'!$E$7</f>
        <v>384</v>
      </c>
    </row>
    <row r="11706" customFormat="false" ht="15" hidden="false" customHeight="false" outlineLevel="0" collapsed="false">
      <c r="B11706" s="130" t="n">
        <v>2028</v>
      </c>
      <c r="C11706" s="131" t="s">
        <v>256</v>
      </c>
      <c r="D11706" s="132" t="n">
        <v>46803</v>
      </c>
      <c r="E11706" s="131" t="s">
        <v>12</v>
      </c>
      <c r="F11706" s="133" t="s">
        <v>19</v>
      </c>
      <c r="G11706" s="134" t="n">
        <f aca="false">LEN('Saisie programme'!$J$404)+SUMIFS('Vols additionnels'!$E$7:$E$66,'Vols additionnels'!$C$7:$C$66,$E11706,'Vols additionnels'!$D$7:$D$66,$F11706,'Vols additionnels'!$B$7:$B$66,$D11706)</f>
        <v>0</v>
      </c>
      <c r="H11706" s="135" t="n">
        <f aca="false">$G11706*'Analyse capacite'!$F$8</f>
        <v>0</v>
      </c>
      <c r="I11706" s="135" t="n">
        <f aca="false">$G11706*'Analyse capacite'!$C$8</f>
        <v>0</v>
      </c>
      <c r="J11706" s="135" t="n">
        <f aca="false">$G11706*'Analyse capacite'!$D$8</f>
        <v>0</v>
      </c>
      <c r="K11706" s="135" t="n">
        <f aca="false">$G11706*'Analyse capacite'!$E$8</f>
        <v>0</v>
      </c>
    </row>
    <row r="11707" customFormat="false" ht="15" hidden="false" customHeight="false" outlineLevel="0" collapsed="false">
      <c r="B11707" s="130" t="n">
        <v>2028</v>
      </c>
      <c r="C11707" s="131" t="s">
        <v>256</v>
      </c>
      <c r="D11707" s="132" t="n">
        <v>46803</v>
      </c>
      <c r="E11707" s="131" t="s">
        <v>12</v>
      </c>
      <c r="F11707" s="133" t="s">
        <v>24</v>
      </c>
      <c r="G11707" s="134" t="n">
        <f aca="false">LEN('Saisie programme'!$J$405)+SUMIFS('Vols additionnels'!$E$7:$E$66,'Vols additionnels'!$C$7:$C$66,$E11707,'Vols additionnels'!$D$7:$D$66,$F11707,'Vols additionnels'!$B$7:$B$66,$D11707)</f>
        <v>0</v>
      </c>
      <c r="H11707" s="135" t="n">
        <f aca="false">$G11707*'Analyse capacite'!$F$9</f>
        <v>0</v>
      </c>
      <c r="I11707" s="135" t="n">
        <f aca="false">$G11707*'Analyse capacite'!$C$9</f>
        <v>0</v>
      </c>
      <c r="J11707" s="135" t="n">
        <f aca="false">$G11707*'Analyse capacite'!$D$9</f>
        <v>0</v>
      </c>
      <c r="K11707" s="135" t="n">
        <f aca="false">$G11707*'Analyse capacite'!$E$9</f>
        <v>0</v>
      </c>
    </row>
    <row r="11708" customFormat="false" ht="15" hidden="false" customHeight="false" outlineLevel="0" collapsed="false">
      <c r="B11708" s="130" t="n">
        <v>2028</v>
      </c>
      <c r="C11708" s="131" t="s">
        <v>256</v>
      </c>
      <c r="D11708" s="132" t="n">
        <v>46803</v>
      </c>
      <c r="E11708" s="131" t="s">
        <v>20</v>
      </c>
      <c r="F11708" s="133" t="s">
        <v>11</v>
      </c>
      <c r="G11708" s="134" t="n">
        <f aca="false">LEN('Saisie programme'!$J$406)+SUMIFS('Vols additionnels'!$E$7:$E$66,'Vols additionnels'!$C$7:$C$66,$E11708,'Vols additionnels'!$D$7:$D$66,$F11708,'Vols additionnels'!$B$7:$B$66,$D11708)</f>
        <v>1</v>
      </c>
      <c r="H11708" s="135" t="n">
        <f aca="false">$G11708*'Analyse capacite'!$F$7</f>
        <v>438</v>
      </c>
      <c r="I11708" s="135" t="n">
        <f aca="false">$G11708*'Analyse capacite'!$C$7</f>
        <v>14</v>
      </c>
      <c r="J11708" s="135" t="n">
        <f aca="false">$G11708*'Analyse capacite'!$D$7</f>
        <v>40</v>
      </c>
      <c r="K11708" s="135" t="n">
        <f aca="false">$G11708*'Analyse capacite'!$E$7</f>
        <v>384</v>
      </c>
    </row>
    <row r="11709" customFormat="false" ht="15" hidden="false" customHeight="false" outlineLevel="0" collapsed="false">
      <c r="B11709" s="130" t="n">
        <v>2028</v>
      </c>
      <c r="C11709" s="131" t="s">
        <v>256</v>
      </c>
      <c r="D11709" s="132" t="n">
        <v>46803</v>
      </c>
      <c r="E11709" s="131" t="s">
        <v>20</v>
      </c>
      <c r="F11709" s="133" t="s">
        <v>19</v>
      </c>
      <c r="G11709" s="134" t="n">
        <f aca="false">LEN('Saisie programme'!$J$407)+SUMIFS('Vols additionnels'!$E$7:$E$66,'Vols additionnels'!$C$7:$C$66,$E11709,'Vols additionnels'!$D$7:$D$66,$F11709,'Vols additionnels'!$B$7:$B$66,$D11709)</f>
        <v>0</v>
      </c>
      <c r="H11709" s="135" t="n">
        <f aca="false">$G11709*'Analyse capacite'!$F$8</f>
        <v>0</v>
      </c>
      <c r="I11709" s="135" t="n">
        <f aca="false">$G11709*'Analyse capacite'!$C$8</f>
        <v>0</v>
      </c>
      <c r="J11709" s="135" t="n">
        <f aca="false">$G11709*'Analyse capacite'!$D$8</f>
        <v>0</v>
      </c>
      <c r="K11709" s="135" t="n">
        <f aca="false">$G11709*'Analyse capacite'!$E$8</f>
        <v>0</v>
      </c>
    </row>
    <row r="11710" customFormat="false" ht="15" hidden="false" customHeight="false" outlineLevel="0" collapsed="false">
      <c r="B11710" s="130" t="n">
        <v>2028</v>
      </c>
      <c r="C11710" s="131" t="s">
        <v>256</v>
      </c>
      <c r="D11710" s="132" t="n">
        <v>46803</v>
      </c>
      <c r="E11710" s="131" t="s">
        <v>20</v>
      </c>
      <c r="F11710" s="133" t="s">
        <v>24</v>
      </c>
      <c r="G11710" s="134" t="n">
        <f aca="false">LEN('Saisie programme'!$J$408)+SUMIFS('Vols additionnels'!$E$7:$E$66,'Vols additionnels'!$C$7:$C$66,$E11710,'Vols additionnels'!$D$7:$D$66,$F11710,'Vols additionnels'!$B$7:$B$66,$D11710)</f>
        <v>0</v>
      </c>
      <c r="H11710" s="135" t="n">
        <f aca="false">$G11710*'Analyse capacite'!$F$9</f>
        <v>0</v>
      </c>
      <c r="I11710" s="135" t="n">
        <f aca="false">$G11710*'Analyse capacite'!$C$9</f>
        <v>0</v>
      </c>
      <c r="J11710" s="135" t="n">
        <f aca="false">$G11710*'Analyse capacite'!$D$9</f>
        <v>0</v>
      </c>
      <c r="K11710" s="135" t="n">
        <f aca="false">$G11710*'Analyse capacite'!$E$9</f>
        <v>0</v>
      </c>
    </row>
    <row r="11711" customFormat="false" ht="15" hidden="false" customHeight="false" outlineLevel="0" collapsed="false">
      <c r="B11711" s="130" t="n">
        <v>2028</v>
      </c>
      <c r="C11711" s="131" t="s">
        <v>256</v>
      </c>
      <c r="D11711" s="132" t="n">
        <v>46803</v>
      </c>
      <c r="E11711" s="131" t="s">
        <v>25</v>
      </c>
      <c r="F11711" s="133" t="s">
        <v>11</v>
      </c>
      <c r="G11711" s="134" t="n">
        <f aca="false">LEN('Saisie programme'!$J$409)+SUMIFS('Vols additionnels'!$E$7:$E$66,'Vols additionnels'!$C$7:$C$66,$E11711,'Vols additionnels'!$D$7:$D$66,$F11711,'Vols additionnels'!$B$7:$B$66,$D11711)</f>
        <v>0</v>
      </c>
      <c r="H11711" s="135" t="n">
        <f aca="false">$G11711*'Analyse capacite'!$F$7</f>
        <v>0</v>
      </c>
      <c r="I11711" s="135" t="n">
        <f aca="false">$G11711*'Analyse capacite'!$C$7</f>
        <v>0</v>
      </c>
      <c r="J11711" s="135" t="n">
        <f aca="false">$G11711*'Analyse capacite'!$D$7</f>
        <v>0</v>
      </c>
      <c r="K11711" s="135" t="n">
        <f aca="false">$G11711*'Analyse capacite'!$E$7</f>
        <v>0</v>
      </c>
    </row>
    <row r="11712" customFormat="false" ht="15" hidden="false" customHeight="false" outlineLevel="0" collapsed="false">
      <c r="B11712" s="130" t="n">
        <v>2028</v>
      </c>
      <c r="C11712" s="131" t="s">
        <v>256</v>
      </c>
      <c r="D11712" s="132" t="n">
        <v>46803</v>
      </c>
      <c r="E11712" s="131" t="s">
        <v>25</v>
      </c>
      <c r="F11712" s="133" t="s">
        <v>19</v>
      </c>
      <c r="G11712" s="134" t="n">
        <f aca="false">LEN('Saisie programme'!$J$410)+SUMIFS('Vols additionnels'!$E$7:$E$66,'Vols additionnels'!$C$7:$C$66,$E11712,'Vols additionnels'!$D$7:$D$66,$F11712,'Vols additionnels'!$B$7:$B$66,$D11712)</f>
        <v>0</v>
      </c>
      <c r="H11712" s="135" t="n">
        <f aca="false">$G11712*'Analyse capacite'!$F$8</f>
        <v>0</v>
      </c>
      <c r="I11712" s="135" t="n">
        <f aca="false">$G11712*'Analyse capacite'!$C$8</f>
        <v>0</v>
      </c>
      <c r="J11712" s="135" t="n">
        <f aca="false">$G11712*'Analyse capacite'!$D$8</f>
        <v>0</v>
      </c>
      <c r="K11712" s="135" t="n">
        <f aca="false">$G11712*'Analyse capacite'!$E$8</f>
        <v>0</v>
      </c>
    </row>
    <row r="11713" customFormat="false" ht="15" hidden="false" customHeight="false" outlineLevel="0" collapsed="false">
      <c r="B11713" s="130" t="n">
        <v>2028</v>
      </c>
      <c r="C11713" s="131" t="s">
        <v>256</v>
      </c>
      <c r="D11713" s="132" t="n">
        <v>46803</v>
      </c>
      <c r="E11713" s="131" t="s">
        <v>25</v>
      </c>
      <c r="F11713" s="133" t="s">
        <v>24</v>
      </c>
      <c r="G11713" s="134" t="n">
        <f aca="false">LEN('Saisie programme'!$J$411)+SUMIFS('Vols additionnels'!$E$7:$E$66,'Vols additionnels'!$C$7:$C$66,$E11713,'Vols additionnels'!$D$7:$D$66,$F11713,'Vols additionnels'!$B$7:$B$66,$D11713)</f>
        <v>0</v>
      </c>
      <c r="H11713" s="135" t="n">
        <f aca="false">$G11713*'Analyse capacite'!$F$9</f>
        <v>0</v>
      </c>
      <c r="I11713" s="135" t="n">
        <f aca="false">$G11713*'Analyse capacite'!$C$9</f>
        <v>0</v>
      </c>
      <c r="J11713" s="135" t="n">
        <f aca="false">$G11713*'Analyse capacite'!$D$9</f>
        <v>0</v>
      </c>
      <c r="K11713" s="135" t="n">
        <f aca="false">$G11713*'Analyse capacite'!$E$9</f>
        <v>0</v>
      </c>
    </row>
    <row r="11714" customFormat="false" ht="15" hidden="false" customHeight="false" outlineLevel="0" collapsed="false">
      <c r="B11714" s="130" t="n">
        <v>2028</v>
      </c>
      <c r="C11714" s="131" t="s">
        <v>256</v>
      </c>
      <c r="D11714" s="132" t="n">
        <v>46803</v>
      </c>
      <c r="E11714" s="131" t="s">
        <v>36</v>
      </c>
      <c r="F11714" s="133" t="s">
        <v>11</v>
      </c>
      <c r="G11714" s="134" t="n">
        <f aca="false">LEN('Saisie programme'!$J$412)+SUMIFS('Vols additionnels'!$E$7:$E$66,'Vols additionnels'!$C$7:$C$66,$E11714,'Vols additionnels'!$D$7:$D$66,$F11714,'Vols additionnels'!$B$7:$B$66,$D11714)</f>
        <v>0</v>
      </c>
      <c r="H11714" s="135" t="n">
        <f aca="false">$G11714*'Analyse capacite'!$F$7</f>
        <v>0</v>
      </c>
      <c r="I11714" s="135" t="n">
        <f aca="false">$G11714*'Analyse capacite'!$C$7</f>
        <v>0</v>
      </c>
      <c r="J11714" s="135" t="n">
        <f aca="false">$G11714*'Analyse capacite'!$D$7</f>
        <v>0</v>
      </c>
      <c r="K11714" s="135" t="n">
        <f aca="false">$G11714*'Analyse capacite'!$E$7</f>
        <v>0</v>
      </c>
    </row>
    <row r="11715" customFormat="false" ht="15" hidden="false" customHeight="false" outlineLevel="0" collapsed="false">
      <c r="B11715" s="130" t="n">
        <v>2028</v>
      </c>
      <c r="C11715" s="131" t="s">
        <v>256</v>
      </c>
      <c r="D11715" s="132" t="n">
        <v>46803</v>
      </c>
      <c r="E11715" s="131" t="s">
        <v>36</v>
      </c>
      <c r="F11715" s="133" t="s">
        <v>19</v>
      </c>
      <c r="G11715" s="134" t="n">
        <f aca="false">LEN('Saisie programme'!$J$413)+SUMIFS('Vols additionnels'!$E$7:$E$66,'Vols additionnels'!$C$7:$C$66,$E11715,'Vols additionnels'!$D$7:$D$66,$F11715,'Vols additionnels'!$B$7:$B$66,$D11715)</f>
        <v>0</v>
      </c>
      <c r="H11715" s="135" t="n">
        <f aca="false">$G11715*'Analyse capacite'!$F$8</f>
        <v>0</v>
      </c>
      <c r="I11715" s="135" t="n">
        <f aca="false">$G11715*'Analyse capacite'!$C$8</f>
        <v>0</v>
      </c>
      <c r="J11715" s="135" t="n">
        <f aca="false">$G11715*'Analyse capacite'!$D$8</f>
        <v>0</v>
      </c>
      <c r="K11715" s="135" t="n">
        <f aca="false">$G11715*'Analyse capacite'!$E$8</f>
        <v>0</v>
      </c>
    </row>
    <row r="11716" customFormat="false" ht="15" hidden="false" customHeight="false" outlineLevel="0" collapsed="false">
      <c r="B11716" s="130" t="n">
        <v>2028</v>
      </c>
      <c r="C11716" s="131" t="s">
        <v>256</v>
      </c>
      <c r="D11716" s="132" t="n">
        <v>46803</v>
      </c>
      <c r="E11716" s="131" t="s">
        <v>36</v>
      </c>
      <c r="F11716" s="133" t="s">
        <v>24</v>
      </c>
      <c r="G11716" s="134" t="n">
        <f aca="false">LEN('Saisie programme'!$J$414)+SUMIFS('Vols additionnels'!$E$7:$E$66,'Vols additionnels'!$C$7:$C$66,$E11716,'Vols additionnels'!$D$7:$D$66,$F11716,'Vols additionnels'!$B$7:$B$66,$D11716)</f>
        <v>0</v>
      </c>
      <c r="H11716" s="135" t="n">
        <f aca="false">$G11716*'Analyse capacite'!$F$9</f>
        <v>0</v>
      </c>
      <c r="I11716" s="135" t="n">
        <f aca="false">$G11716*'Analyse capacite'!$C$9</f>
        <v>0</v>
      </c>
      <c r="J11716" s="135" t="n">
        <f aca="false">$G11716*'Analyse capacite'!$D$9</f>
        <v>0</v>
      </c>
      <c r="K11716" s="135" t="n">
        <f aca="false">$G11716*'Analyse capacite'!$E$9</f>
        <v>0</v>
      </c>
    </row>
    <row r="11717" customFormat="false" ht="15" hidden="false" customHeight="false" outlineLevel="0" collapsed="false">
      <c r="B11717" s="130" t="n">
        <v>2028</v>
      </c>
      <c r="C11717" s="131" t="s">
        <v>256</v>
      </c>
      <c r="D11717" s="132" t="n">
        <v>46803</v>
      </c>
      <c r="E11717" s="131" t="s">
        <v>40</v>
      </c>
      <c r="F11717" s="133" t="s">
        <v>11</v>
      </c>
      <c r="G11717" s="134" t="n">
        <f aca="false">LEN('Saisie programme'!$J$415)+SUMIFS('Vols additionnels'!$E$7:$E$66,'Vols additionnels'!$C$7:$C$66,$E11717,'Vols additionnels'!$D$7:$D$66,$F11717,'Vols additionnels'!$B$7:$B$66,$D11717)</f>
        <v>0</v>
      </c>
      <c r="H11717" s="135" t="n">
        <f aca="false">$G11717*'Analyse capacite'!$F$7</f>
        <v>0</v>
      </c>
      <c r="I11717" s="135" t="n">
        <f aca="false">$G11717*'Analyse capacite'!$C$7</f>
        <v>0</v>
      </c>
      <c r="J11717" s="135" t="n">
        <f aca="false">$G11717*'Analyse capacite'!$D$7</f>
        <v>0</v>
      </c>
      <c r="K11717" s="135" t="n">
        <f aca="false">$G11717*'Analyse capacite'!$E$7</f>
        <v>0</v>
      </c>
    </row>
    <row r="11718" customFormat="false" ht="15" hidden="false" customHeight="false" outlineLevel="0" collapsed="false">
      <c r="B11718" s="130" t="n">
        <v>2028</v>
      </c>
      <c r="C11718" s="131" t="s">
        <v>256</v>
      </c>
      <c r="D11718" s="132" t="n">
        <v>46803</v>
      </c>
      <c r="E11718" s="131" t="s">
        <v>40</v>
      </c>
      <c r="F11718" s="133" t="s">
        <v>19</v>
      </c>
      <c r="G11718" s="134" t="n">
        <f aca="false">LEN('Saisie programme'!$J$416)+SUMIFS('Vols additionnels'!$E$7:$E$66,'Vols additionnels'!$C$7:$C$66,$E11718,'Vols additionnels'!$D$7:$D$66,$F11718,'Vols additionnels'!$B$7:$B$66,$D11718)</f>
        <v>0</v>
      </c>
      <c r="H11718" s="135" t="n">
        <f aca="false">$G11718*'Analyse capacite'!$F$8</f>
        <v>0</v>
      </c>
      <c r="I11718" s="135" t="n">
        <f aca="false">$G11718*'Analyse capacite'!$C$8</f>
        <v>0</v>
      </c>
      <c r="J11718" s="135" t="n">
        <f aca="false">$G11718*'Analyse capacite'!$D$8</f>
        <v>0</v>
      </c>
      <c r="K11718" s="135" t="n">
        <f aca="false">$G11718*'Analyse capacite'!$E$8</f>
        <v>0</v>
      </c>
    </row>
    <row r="11719" customFormat="false" ht="15" hidden="false" customHeight="false" outlineLevel="0" collapsed="false">
      <c r="B11719" s="130" t="n">
        <v>2028</v>
      </c>
      <c r="C11719" s="131" t="s">
        <v>256</v>
      </c>
      <c r="D11719" s="132" t="n">
        <v>46803</v>
      </c>
      <c r="E11719" s="131" t="s">
        <v>40</v>
      </c>
      <c r="F11719" s="133" t="s">
        <v>24</v>
      </c>
      <c r="G11719" s="134" t="n">
        <f aca="false">LEN('Saisie programme'!$J$417)+SUMIFS('Vols additionnels'!$E$7:$E$66,'Vols additionnels'!$C$7:$C$66,$E11719,'Vols additionnels'!$D$7:$D$66,$F11719,'Vols additionnels'!$B$7:$B$66,$D11719)</f>
        <v>1</v>
      </c>
      <c r="H11719" s="135" t="n">
        <f aca="false">$G11719*'Analyse capacite'!$F$9</f>
        <v>174</v>
      </c>
      <c r="I11719" s="135" t="n">
        <f aca="false">$G11719*'Analyse capacite'!$C$9</f>
        <v>0</v>
      </c>
      <c r="J11719" s="135" t="n">
        <f aca="false">$G11719*'Analyse capacite'!$D$9</f>
        <v>12</v>
      </c>
      <c r="K11719" s="135" t="n">
        <f aca="false">$G11719*'Analyse capacite'!$E$9</f>
        <v>162</v>
      </c>
    </row>
    <row r="11720" customFormat="false" ht="15" hidden="false" customHeight="false" outlineLevel="0" collapsed="false">
      <c r="B11720" s="130" t="n">
        <v>2028</v>
      </c>
      <c r="C11720" s="131" t="s">
        <v>256</v>
      </c>
      <c r="D11720" s="132" t="n">
        <v>46803</v>
      </c>
      <c r="E11720" s="131" t="s">
        <v>14</v>
      </c>
      <c r="F11720" s="133" t="s">
        <v>11</v>
      </c>
      <c r="G11720" s="134" t="n">
        <f aca="false">LEN('Saisie programme'!$J$418)+SUMIFS('Vols additionnels'!$E$7:$E$66,'Vols additionnels'!$C$7:$C$66,$E11720,'Vols additionnels'!$D$7:$D$66,$F11720,'Vols additionnels'!$B$7:$B$66,$D11720)</f>
        <v>0</v>
      </c>
      <c r="H11720" s="135" t="n">
        <f aca="false">$G11720*'Analyse capacite'!$F$7</f>
        <v>0</v>
      </c>
      <c r="I11720" s="135" t="n">
        <f aca="false">$G11720*'Analyse capacite'!$C$7</f>
        <v>0</v>
      </c>
      <c r="J11720" s="135" t="n">
        <f aca="false">$G11720*'Analyse capacite'!$D$7</f>
        <v>0</v>
      </c>
      <c r="K11720" s="135" t="n">
        <f aca="false">$G11720*'Analyse capacite'!$E$7</f>
        <v>0</v>
      </c>
    </row>
    <row r="11721" customFormat="false" ht="15" hidden="false" customHeight="false" outlineLevel="0" collapsed="false">
      <c r="B11721" s="130" t="n">
        <v>2028</v>
      </c>
      <c r="C11721" s="131" t="s">
        <v>256</v>
      </c>
      <c r="D11721" s="132" t="n">
        <v>46803</v>
      </c>
      <c r="E11721" s="131" t="s">
        <v>14</v>
      </c>
      <c r="F11721" s="133" t="s">
        <v>19</v>
      </c>
      <c r="G11721" s="134" t="n">
        <f aca="false">LEN('Saisie programme'!$J$419)+SUMIFS('Vols additionnels'!$E$7:$E$66,'Vols additionnels'!$C$7:$C$66,$E11721,'Vols additionnels'!$D$7:$D$66,$F11721,'Vols additionnels'!$B$7:$B$66,$D11721)</f>
        <v>0</v>
      </c>
      <c r="H11721" s="135" t="n">
        <f aca="false">$G11721*'Analyse capacite'!$F$8</f>
        <v>0</v>
      </c>
      <c r="I11721" s="135" t="n">
        <f aca="false">$G11721*'Analyse capacite'!$C$8</f>
        <v>0</v>
      </c>
      <c r="J11721" s="135" t="n">
        <f aca="false">$G11721*'Analyse capacite'!$D$8</f>
        <v>0</v>
      </c>
      <c r="K11721" s="135" t="n">
        <f aca="false">$G11721*'Analyse capacite'!$E$8</f>
        <v>0</v>
      </c>
    </row>
    <row r="11722" customFormat="false" ht="15" hidden="false" customHeight="false" outlineLevel="0" collapsed="false">
      <c r="B11722" s="130" t="n">
        <v>2028</v>
      </c>
      <c r="C11722" s="131" t="s">
        <v>256</v>
      </c>
      <c r="D11722" s="132" t="n">
        <v>46803</v>
      </c>
      <c r="E11722" s="131" t="s">
        <v>14</v>
      </c>
      <c r="F11722" s="133" t="s">
        <v>24</v>
      </c>
      <c r="G11722" s="134" t="n">
        <f aca="false">LEN('Saisie programme'!$J$420)+SUMIFS('Vols additionnels'!$E$7:$E$66,'Vols additionnels'!$C$7:$C$66,$E11722,'Vols additionnels'!$D$7:$D$66,$F11722,'Vols additionnels'!$B$7:$B$66,$D11722)</f>
        <v>0</v>
      </c>
      <c r="H11722" s="135" t="n">
        <f aca="false">$G11722*'Analyse capacite'!$F$9</f>
        <v>0</v>
      </c>
      <c r="I11722" s="135" t="n">
        <f aca="false">$G11722*'Analyse capacite'!$C$9</f>
        <v>0</v>
      </c>
      <c r="J11722" s="135" t="n">
        <f aca="false">$G11722*'Analyse capacite'!$D$9</f>
        <v>0</v>
      </c>
      <c r="K11722" s="135" t="n">
        <f aca="false">$G11722*'Analyse capacite'!$E$9</f>
        <v>0</v>
      </c>
    </row>
    <row r="11723" customFormat="false" ht="15" hidden="false" customHeight="false" outlineLevel="0" collapsed="false">
      <c r="B11723" s="130" t="n">
        <v>2028</v>
      </c>
      <c r="C11723" s="131" t="s">
        <v>256</v>
      </c>
      <c r="D11723" s="132" t="n">
        <v>46803</v>
      </c>
      <c r="E11723" s="131" t="s">
        <v>46</v>
      </c>
      <c r="F11723" s="133" t="s">
        <v>11</v>
      </c>
      <c r="G11723" s="134" t="n">
        <f aca="false">LEN('Saisie programme'!$J$421)+SUMIFS('Vols additionnels'!$E$7:$E$66,'Vols additionnels'!$C$7:$C$66,$E11723,'Vols additionnels'!$D$7:$D$66,$F11723,'Vols additionnels'!$B$7:$B$66,$D11723)</f>
        <v>0</v>
      </c>
      <c r="H11723" s="135" t="n">
        <f aca="false">$G11723*'Analyse capacite'!$F$7</f>
        <v>0</v>
      </c>
      <c r="I11723" s="135" t="n">
        <f aca="false">$G11723*'Analyse capacite'!$C$7</f>
        <v>0</v>
      </c>
      <c r="J11723" s="135" t="n">
        <f aca="false">$G11723*'Analyse capacite'!$D$7</f>
        <v>0</v>
      </c>
      <c r="K11723" s="135" t="n">
        <f aca="false">$G11723*'Analyse capacite'!$E$7</f>
        <v>0</v>
      </c>
    </row>
    <row r="11724" customFormat="false" ht="15" hidden="false" customHeight="false" outlineLevel="0" collapsed="false">
      <c r="B11724" s="130" t="n">
        <v>2028</v>
      </c>
      <c r="C11724" s="131" t="s">
        <v>256</v>
      </c>
      <c r="D11724" s="132" t="n">
        <v>46803</v>
      </c>
      <c r="E11724" s="131" t="s">
        <v>46</v>
      </c>
      <c r="F11724" s="133" t="s">
        <v>19</v>
      </c>
      <c r="G11724" s="134" t="n">
        <f aca="false">LEN('Saisie programme'!$J$422)+SUMIFS('Vols additionnels'!$E$7:$E$66,'Vols additionnels'!$C$7:$C$66,$E11724,'Vols additionnels'!$D$7:$D$66,$F11724,'Vols additionnels'!$B$7:$B$66,$D11724)</f>
        <v>0</v>
      </c>
      <c r="H11724" s="135" t="n">
        <f aca="false">$G11724*'Analyse capacite'!$F$8</f>
        <v>0</v>
      </c>
      <c r="I11724" s="135" t="n">
        <f aca="false">$G11724*'Analyse capacite'!$C$8</f>
        <v>0</v>
      </c>
      <c r="J11724" s="135" t="n">
        <f aca="false">$G11724*'Analyse capacite'!$D$8</f>
        <v>0</v>
      </c>
      <c r="K11724" s="135" t="n">
        <f aca="false">$G11724*'Analyse capacite'!$E$8</f>
        <v>0</v>
      </c>
    </row>
    <row r="11725" customFormat="false" ht="15" hidden="false" customHeight="false" outlineLevel="0" collapsed="false">
      <c r="B11725" s="130" t="n">
        <v>2028</v>
      </c>
      <c r="C11725" s="131" t="s">
        <v>256</v>
      </c>
      <c r="D11725" s="132" t="n">
        <v>46803</v>
      </c>
      <c r="E11725" s="131" t="s">
        <v>46</v>
      </c>
      <c r="F11725" s="133" t="s">
        <v>24</v>
      </c>
      <c r="G11725" s="134" t="n">
        <f aca="false">LEN('Saisie programme'!$J$423)+SUMIFS('Vols additionnels'!$E$7:$E$66,'Vols additionnels'!$C$7:$C$66,$E11725,'Vols additionnels'!$D$7:$D$66,$F11725,'Vols additionnels'!$B$7:$B$66,$D11725)</f>
        <v>0</v>
      </c>
      <c r="H11725" s="135" t="n">
        <f aca="false">$G11725*'Analyse capacite'!$F$9</f>
        <v>0</v>
      </c>
      <c r="I11725" s="135" t="n">
        <f aca="false">$G11725*'Analyse capacite'!$C$9</f>
        <v>0</v>
      </c>
      <c r="J11725" s="135" t="n">
        <f aca="false">$G11725*'Analyse capacite'!$D$9</f>
        <v>0</v>
      </c>
      <c r="K11725" s="135" t="n">
        <f aca="false">$G11725*'Analyse capacite'!$E$9</f>
        <v>0</v>
      </c>
    </row>
    <row r="11726" customFormat="false" ht="15" hidden="false" customHeight="false" outlineLevel="0" collapsed="false">
      <c r="B11726" s="130" t="n">
        <v>2028</v>
      </c>
      <c r="C11726" s="131" t="s">
        <v>256</v>
      </c>
      <c r="D11726" s="132" t="n">
        <v>46803</v>
      </c>
      <c r="E11726" s="131" t="s">
        <v>49</v>
      </c>
      <c r="F11726" s="133" t="s">
        <v>11</v>
      </c>
      <c r="G11726" s="134" t="n">
        <f aca="false">LEN('Saisie programme'!$J$424)+SUMIFS('Vols additionnels'!$E$7:$E$66,'Vols additionnels'!$C$7:$C$66,$E11726,'Vols additionnels'!$D$7:$D$66,$F11726,'Vols additionnels'!$B$7:$B$66,$D11726)</f>
        <v>0</v>
      </c>
      <c r="H11726" s="135" t="n">
        <f aca="false">$G11726*'Analyse capacite'!$F$7</f>
        <v>0</v>
      </c>
      <c r="I11726" s="135" t="n">
        <f aca="false">$G11726*'Analyse capacite'!$C$7</f>
        <v>0</v>
      </c>
      <c r="J11726" s="135" t="n">
        <f aca="false">$G11726*'Analyse capacite'!$D$7</f>
        <v>0</v>
      </c>
      <c r="K11726" s="135" t="n">
        <f aca="false">$G11726*'Analyse capacite'!$E$7</f>
        <v>0</v>
      </c>
    </row>
    <row r="11727" customFormat="false" ht="15" hidden="false" customHeight="false" outlineLevel="0" collapsed="false">
      <c r="B11727" s="130" t="n">
        <v>2028</v>
      </c>
      <c r="C11727" s="131" t="s">
        <v>256</v>
      </c>
      <c r="D11727" s="132" t="n">
        <v>46803</v>
      </c>
      <c r="E11727" s="131" t="s">
        <v>49</v>
      </c>
      <c r="F11727" s="133" t="s">
        <v>19</v>
      </c>
      <c r="G11727" s="134" t="n">
        <f aca="false">LEN('Saisie programme'!$J$425)+SUMIFS('Vols additionnels'!$E$7:$E$66,'Vols additionnels'!$C$7:$C$66,$E11727,'Vols additionnels'!$D$7:$D$66,$F11727,'Vols additionnels'!$B$7:$B$66,$D11727)</f>
        <v>0</v>
      </c>
      <c r="H11727" s="135" t="n">
        <f aca="false">$G11727*'Analyse capacite'!$F$8</f>
        <v>0</v>
      </c>
      <c r="I11727" s="135" t="n">
        <f aca="false">$G11727*'Analyse capacite'!$C$8</f>
        <v>0</v>
      </c>
      <c r="J11727" s="135" t="n">
        <f aca="false">$G11727*'Analyse capacite'!$D$8</f>
        <v>0</v>
      </c>
      <c r="K11727" s="135" t="n">
        <f aca="false">$G11727*'Analyse capacite'!$E$8</f>
        <v>0</v>
      </c>
    </row>
    <row r="11728" customFormat="false" ht="15" hidden="false" customHeight="false" outlineLevel="0" collapsed="false">
      <c r="B11728" s="130" t="n">
        <v>2028</v>
      </c>
      <c r="C11728" s="131" t="s">
        <v>256</v>
      </c>
      <c r="D11728" s="132" t="n">
        <v>46803</v>
      </c>
      <c r="E11728" s="131" t="s">
        <v>49</v>
      </c>
      <c r="F11728" s="133" t="s">
        <v>24</v>
      </c>
      <c r="G11728" s="134" t="n">
        <f aca="false">LEN('Saisie programme'!$J$426)+SUMIFS('Vols additionnels'!$E$7:$E$66,'Vols additionnels'!$C$7:$C$66,$E11728,'Vols additionnels'!$D$7:$D$66,$F11728,'Vols additionnels'!$B$7:$B$66,$D11728)</f>
        <v>0</v>
      </c>
      <c r="H11728" s="135" t="n">
        <f aca="false">$G11728*'Analyse capacite'!$F$9</f>
        <v>0</v>
      </c>
      <c r="I11728" s="135" t="n">
        <f aca="false">$G11728*'Analyse capacite'!$C$9</f>
        <v>0</v>
      </c>
      <c r="J11728" s="135" t="n">
        <f aca="false">$G11728*'Analyse capacite'!$D$9</f>
        <v>0</v>
      </c>
      <c r="K11728" s="135" t="n">
        <f aca="false">$G11728*'Analyse capacite'!$E$9</f>
        <v>0</v>
      </c>
    </row>
    <row r="11729" customFormat="false" ht="15" hidden="false" customHeight="false" outlineLevel="0" collapsed="false">
      <c r="B11729" s="130" t="n">
        <v>2028</v>
      </c>
      <c r="C11729" s="131" t="s">
        <v>256</v>
      </c>
      <c r="D11729" s="132" t="n">
        <v>46803</v>
      </c>
      <c r="E11729" s="131" t="s">
        <v>53</v>
      </c>
      <c r="F11729" s="133" t="s">
        <v>11</v>
      </c>
      <c r="G11729" s="134" t="n">
        <f aca="false">LEN('Saisie programme'!$J$427)+SUMIFS('Vols additionnels'!$E$7:$E$66,'Vols additionnels'!$C$7:$C$66,$E11729,'Vols additionnels'!$D$7:$D$66,$F11729,'Vols additionnels'!$B$7:$B$66,$D11729)</f>
        <v>0</v>
      </c>
      <c r="H11729" s="135" t="n">
        <f aca="false">$G11729*'Analyse capacite'!$F$7</f>
        <v>0</v>
      </c>
      <c r="I11729" s="135" t="n">
        <f aca="false">$G11729*'Analyse capacite'!$C$7</f>
        <v>0</v>
      </c>
      <c r="J11729" s="135" t="n">
        <f aca="false">$G11729*'Analyse capacite'!$D$7</f>
        <v>0</v>
      </c>
      <c r="K11729" s="135" t="n">
        <f aca="false">$G11729*'Analyse capacite'!$E$7</f>
        <v>0</v>
      </c>
    </row>
    <row r="11730" customFormat="false" ht="15" hidden="false" customHeight="false" outlineLevel="0" collapsed="false">
      <c r="B11730" s="130" t="n">
        <v>2028</v>
      </c>
      <c r="C11730" s="131" t="s">
        <v>256</v>
      </c>
      <c r="D11730" s="132" t="n">
        <v>46803</v>
      </c>
      <c r="E11730" s="131" t="s">
        <v>53</v>
      </c>
      <c r="F11730" s="133" t="s">
        <v>19</v>
      </c>
      <c r="G11730" s="134" t="n">
        <f aca="false">LEN('Saisie programme'!$J$428)+SUMIFS('Vols additionnels'!$E$7:$E$66,'Vols additionnels'!$C$7:$C$66,$E11730,'Vols additionnels'!$D$7:$D$66,$F11730,'Vols additionnels'!$B$7:$B$66,$D11730)</f>
        <v>0</v>
      </c>
      <c r="H11730" s="135" t="n">
        <f aca="false">$G11730*'Analyse capacite'!$F$8</f>
        <v>0</v>
      </c>
      <c r="I11730" s="135" t="n">
        <f aca="false">$G11730*'Analyse capacite'!$C$8</f>
        <v>0</v>
      </c>
      <c r="J11730" s="135" t="n">
        <f aca="false">$G11730*'Analyse capacite'!$D$8</f>
        <v>0</v>
      </c>
      <c r="K11730" s="135" t="n">
        <f aca="false">$G11730*'Analyse capacite'!$E$8</f>
        <v>0</v>
      </c>
    </row>
    <row r="11731" customFormat="false" ht="15" hidden="false" customHeight="false" outlineLevel="0" collapsed="false">
      <c r="B11731" s="130" t="n">
        <v>2028</v>
      </c>
      <c r="C11731" s="131" t="s">
        <v>256</v>
      </c>
      <c r="D11731" s="132" t="n">
        <v>46803</v>
      </c>
      <c r="E11731" s="131" t="s">
        <v>53</v>
      </c>
      <c r="F11731" s="133" t="s">
        <v>24</v>
      </c>
      <c r="G11731" s="134" t="n">
        <f aca="false">LEN('Saisie programme'!$J$429)+SUMIFS('Vols additionnels'!$E$7:$E$66,'Vols additionnels'!$C$7:$C$66,$E11731,'Vols additionnels'!$D$7:$D$66,$F11731,'Vols additionnels'!$B$7:$B$66,$D11731)</f>
        <v>0</v>
      </c>
      <c r="H11731" s="135" t="n">
        <f aca="false">$G11731*'Analyse capacite'!$F$9</f>
        <v>0</v>
      </c>
      <c r="I11731" s="135" t="n">
        <f aca="false">$G11731*'Analyse capacite'!$C$9</f>
        <v>0</v>
      </c>
      <c r="J11731" s="135" t="n">
        <f aca="false">$G11731*'Analyse capacite'!$D$9</f>
        <v>0</v>
      </c>
      <c r="K11731" s="135" t="n">
        <f aca="false">$G11731*'Analyse capacite'!$E$9</f>
        <v>0</v>
      </c>
    </row>
    <row r="11732" customFormat="false" ht="15" hidden="false" customHeight="false" outlineLevel="0" collapsed="false">
      <c r="B11732" s="130" t="n">
        <v>2028</v>
      </c>
      <c r="C11732" s="131" t="s">
        <v>256</v>
      </c>
      <c r="D11732" s="132" t="n">
        <v>46803</v>
      </c>
      <c r="E11732" s="131" t="s">
        <v>56</v>
      </c>
      <c r="F11732" s="133" t="s">
        <v>11</v>
      </c>
      <c r="G11732" s="134" t="n">
        <f aca="false">LEN('Saisie programme'!$J$430)+SUMIFS('Vols additionnels'!$E$7:$E$66,'Vols additionnels'!$C$7:$C$66,$E11732,'Vols additionnels'!$D$7:$D$66,$F11732,'Vols additionnels'!$B$7:$B$66,$D11732)</f>
        <v>0</v>
      </c>
      <c r="H11732" s="135" t="n">
        <f aca="false">$G11732*'Analyse capacite'!$F$7</f>
        <v>0</v>
      </c>
      <c r="I11732" s="135" t="n">
        <f aca="false">$G11732*'Analyse capacite'!$C$7</f>
        <v>0</v>
      </c>
      <c r="J11732" s="135" t="n">
        <f aca="false">$G11732*'Analyse capacite'!$D$7</f>
        <v>0</v>
      </c>
      <c r="K11732" s="135" t="n">
        <f aca="false">$G11732*'Analyse capacite'!$E$7</f>
        <v>0</v>
      </c>
    </row>
    <row r="11733" customFormat="false" ht="15" hidden="false" customHeight="false" outlineLevel="0" collapsed="false">
      <c r="B11733" s="130" t="n">
        <v>2028</v>
      </c>
      <c r="C11733" s="131" t="s">
        <v>256</v>
      </c>
      <c r="D11733" s="132" t="n">
        <v>46803</v>
      </c>
      <c r="E11733" s="131" t="s">
        <v>56</v>
      </c>
      <c r="F11733" s="133" t="s">
        <v>19</v>
      </c>
      <c r="G11733" s="134" t="n">
        <f aca="false">LEN('Saisie programme'!$J$431)+SUMIFS('Vols additionnels'!$E$7:$E$66,'Vols additionnels'!$C$7:$C$66,$E11733,'Vols additionnels'!$D$7:$D$66,$F11733,'Vols additionnels'!$B$7:$B$66,$D11733)</f>
        <v>0</v>
      </c>
      <c r="H11733" s="135" t="n">
        <f aca="false">$G11733*'Analyse capacite'!$F$8</f>
        <v>0</v>
      </c>
      <c r="I11733" s="135" t="n">
        <f aca="false">$G11733*'Analyse capacite'!$C$8</f>
        <v>0</v>
      </c>
      <c r="J11733" s="135" t="n">
        <f aca="false">$G11733*'Analyse capacite'!$D$8</f>
        <v>0</v>
      </c>
      <c r="K11733" s="135" t="n">
        <f aca="false">$G11733*'Analyse capacite'!$E$8</f>
        <v>0</v>
      </c>
    </row>
    <row r="11734" customFormat="false" ht="15" hidden="false" customHeight="false" outlineLevel="0" collapsed="false">
      <c r="B11734" s="130" t="n">
        <v>2028</v>
      </c>
      <c r="C11734" s="131" t="s">
        <v>256</v>
      </c>
      <c r="D11734" s="132" t="n">
        <v>46803</v>
      </c>
      <c r="E11734" s="131" t="s">
        <v>56</v>
      </c>
      <c r="F11734" s="133" t="s">
        <v>24</v>
      </c>
      <c r="G11734" s="134" t="n">
        <f aca="false">LEN('Saisie programme'!$J$432)+SUMIFS('Vols additionnels'!$E$7:$E$66,'Vols additionnels'!$C$7:$C$66,$E11734,'Vols additionnels'!$D$7:$D$66,$F11734,'Vols additionnels'!$B$7:$B$66,$D11734)</f>
        <v>0</v>
      </c>
      <c r="H11734" s="135" t="n">
        <f aca="false">$G11734*'Analyse capacite'!$F$9</f>
        <v>0</v>
      </c>
      <c r="I11734" s="135" t="n">
        <f aca="false">$G11734*'Analyse capacite'!$C$9</f>
        <v>0</v>
      </c>
      <c r="J11734" s="135" t="n">
        <f aca="false">$G11734*'Analyse capacite'!$D$9</f>
        <v>0</v>
      </c>
      <c r="K11734" s="135" t="n">
        <f aca="false">$G11734*'Analyse capacite'!$E$9</f>
        <v>0</v>
      </c>
    </row>
    <row r="11735" customFormat="false" ht="15" hidden="false" customHeight="false" outlineLevel="0" collapsed="false">
      <c r="B11735" s="130" t="n">
        <v>2028</v>
      </c>
      <c r="C11735" s="131" t="s">
        <v>256</v>
      </c>
      <c r="D11735" s="132" t="n">
        <v>46803</v>
      </c>
      <c r="E11735" s="131" t="s">
        <v>59</v>
      </c>
      <c r="F11735" s="133" t="s">
        <v>11</v>
      </c>
      <c r="G11735" s="134" t="n">
        <f aca="false">LEN('Saisie programme'!$J$433)+SUMIFS('Vols additionnels'!$E$7:$E$66,'Vols additionnels'!$C$7:$C$66,$E11735,'Vols additionnels'!$D$7:$D$66,$F11735,'Vols additionnels'!$B$7:$B$66,$D11735)</f>
        <v>0</v>
      </c>
      <c r="H11735" s="135" t="n">
        <f aca="false">$G11735*'Analyse capacite'!$F$7</f>
        <v>0</v>
      </c>
      <c r="I11735" s="135" t="n">
        <f aca="false">$G11735*'Analyse capacite'!$C$7</f>
        <v>0</v>
      </c>
      <c r="J11735" s="135" t="n">
        <f aca="false">$G11735*'Analyse capacite'!$D$7</f>
        <v>0</v>
      </c>
      <c r="K11735" s="135" t="n">
        <f aca="false">$G11735*'Analyse capacite'!$E$7</f>
        <v>0</v>
      </c>
    </row>
    <row r="11736" customFormat="false" ht="15" hidden="false" customHeight="false" outlineLevel="0" collapsed="false">
      <c r="B11736" s="130" t="n">
        <v>2028</v>
      </c>
      <c r="C11736" s="131" t="s">
        <v>256</v>
      </c>
      <c r="D11736" s="132" t="n">
        <v>46803</v>
      </c>
      <c r="E11736" s="131" t="s">
        <v>59</v>
      </c>
      <c r="F11736" s="133" t="s">
        <v>19</v>
      </c>
      <c r="G11736" s="134" t="n">
        <f aca="false">LEN('Saisie programme'!$J$434)+SUMIFS('Vols additionnels'!$E$7:$E$66,'Vols additionnels'!$C$7:$C$66,$E11736,'Vols additionnels'!$D$7:$D$66,$F11736,'Vols additionnels'!$B$7:$B$66,$D11736)</f>
        <v>0</v>
      </c>
      <c r="H11736" s="135" t="n">
        <f aca="false">$G11736*'Analyse capacite'!$F$8</f>
        <v>0</v>
      </c>
      <c r="I11736" s="135" t="n">
        <f aca="false">$G11736*'Analyse capacite'!$C$8</f>
        <v>0</v>
      </c>
      <c r="J11736" s="135" t="n">
        <f aca="false">$G11736*'Analyse capacite'!$D$8</f>
        <v>0</v>
      </c>
      <c r="K11736" s="135" t="n">
        <f aca="false">$G11736*'Analyse capacite'!$E$8</f>
        <v>0</v>
      </c>
    </row>
    <row r="11737" customFormat="false" ht="15" hidden="false" customHeight="false" outlineLevel="0" collapsed="false">
      <c r="B11737" s="130" t="n">
        <v>2028</v>
      </c>
      <c r="C11737" s="131" t="s">
        <v>256</v>
      </c>
      <c r="D11737" s="132" t="n">
        <v>46803</v>
      </c>
      <c r="E11737" s="131" t="s">
        <v>59</v>
      </c>
      <c r="F11737" s="133" t="s">
        <v>24</v>
      </c>
      <c r="G11737" s="134" t="n">
        <f aca="false">LEN('Saisie programme'!$J$435)+SUMIFS('Vols additionnels'!$E$7:$E$66,'Vols additionnels'!$C$7:$C$66,$E11737,'Vols additionnels'!$D$7:$D$66,$F11737,'Vols additionnels'!$B$7:$B$66,$D11737)</f>
        <v>0</v>
      </c>
      <c r="H11737" s="135" t="n">
        <f aca="false">$G11737*'Analyse capacite'!$F$9</f>
        <v>0</v>
      </c>
      <c r="I11737" s="135" t="n">
        <f aca="false">$G11737*'Analyse capacite'!$C$9</f>
        <v>0</v>
      </c>
      <c r="J11737" s="135" t="n">
        <f aca="false">$G11737*'Analyse capacite'!$D$9</f>
        <v>0</v>
      </c>
      <c r="K11737" s="135" t="n">
        <f aca="false">$G11737*'Analyse capacite'!$E$9</f>
        <v>0</v>
      </c>
    </row>
    <row r="11738" customFormat="false" ht="15" hidden="false" customHeight="false" outlineLevel="0" collapsed="false">
      <c r="B11738" s="130" t="n">
        <v>2028</v>
      </c>
      <c r="C11738" s="131" t="s">
        <v>256</v>
      </c>
      <c r="D11738" s="132" t="n">
        <v>46803</v>
      </c>
      <c r="E11738" s="131" t="s">
        <v>62</v>
      </c>
      <c r="F11738" s="133" t="s">
        <v>11</v>
      </c>
      <c r="G11738" s="134" t="n">
        <f aca="false">LEN('Saisie programme'!$J$436)+SUMIFS('Vols additionnels'!$E$7:$E$66,'Vols additionnels'!$C$7:$C$66,$E11738,'Vols additionnels'!$D$7:$D$66,$F11738,'Vols additionnels'!$B$7:$B$66,$D11738)</f>
        <v>0</v>
      </c>
      <c r="H11738" s="135" t="n">
        <f aca="false">$G11738*'Analyse capacite'!$F$7</f>
        <v>0</v>
      </c>
      <c r="I11738" s="135" t="n">
        <f aca="false">$G11738*'Analyse capacite'!$C$7</f>
        <v>0</v>
      </c>
      <c r="J11738" s="135" t="n">
        <f aca="false">$G11738*'Analyse capacite'!$D$7</f>
        <v>0</v>
      </c>
      <c r="K11738" s="135" t="n">
        <f aca="false">$G11738*'Analyse capacite'!$E$7</f>
        <v>0</v>
      </c>
    </row>
    <row r="11739" customFormat="false" ht="15" hidden="false" customHeight="false" outlineLevel="0" collapsed="false">
      <c r="B11739" s="130" t="n">
        <v>2028</v>
      </c>
      <c r="C11739" s="131" t="s">
        <v>256</v>
      </c>
      <c r="D11739" s="132" t="n">
        <v>46803</v>
      </c>
      <c r="E11739" s="131" t="s">
        <v>62</v>
      </c>
      <c r="F11739" s="133" t="s">
        <v>19</v>
      </c>
      <c r="G11739" s="134" t="n">
        <f aca="false">LEN('Saisie programme'!$J$437)+SUMIFS('Vols additionnels'!$E$7:$E$66,'Vols additionnels'!$C$7:$C$66,$E11739,'Vols additionnels'!$D$7:$D$66,$F11739,'Vols additionnels'!$B$7:$B$66,$D11739)</f>
        <v>0</v>
      </c>
      <c r="H11739" s="135" t="n">
        <f aca="false">$G11739*'Analyse capacite'!$F$8</f>
        <v>0</v>
      </c>
      <c r="I11739" s="135" t="n">
        <f aca="false">$G11739*'Analyse capacite'!$C$8</f>
        <v>0</v>
      </c>
      <c r="J11739" s="135" t="n">
        <f aca="false">$G11739*'Analyse capacite'!$D$8</f>
        <v>0</v>
      </c>
      <c r="K11739" s="135" t="n">
        <f aca="false">$G11739*'Analyse capacite'!$E$8</f>
        <v>0</v>
      </c>
    </row>
    <row r="11740" customFormat="false" ht="15" hidden="false" customHeight="false" outlineLevel="0" collapsed="false">
      <c r="B11740" s="130" t="n">
        <v>2028</v>
      </c>
      <c r="C11740" s="131" t="s">
        <v>256</v>
      </c>
      <c r="D11740" s="132" t="n">
        <v>46803</v>
      </c>
      <c r="E11740" s="131" t="s">
        <v>62</v>
      </c>
      <c r="F11740" s="133" t="s">
        <v>24</v>
      </c>
      <c r="G11740" s="134" t="n">
        <f aca="false">LEN('Saisie programme'!$J$438)+SUMIFS('Vols additionnels'!$E$7:$E$66,'Vols additionnels'!$C$7:$C$66,$E11740,'Vols additionnels'!$D$7:$D$66,$F11740,'Vols additionnels'!$B$7:$B$66,$D11740)</f>
        <v>1</v>
      </c>
      <c r="H11740" s="135" t="n">
        <f aca="false">$G11740*'Analyse capacite'!$F$9</f>
        <v>174</v>
      </c>
      <c r="I11740" s="135" t="n">
        <f aca="false">$G11740*'Analyse capacite'!$C$9</f>
        <v>0</v>
      </c>
      <c r="J11740" s="135" t="n">
        <f aca="false">$G11740*'Analyse capacite'!$D$9</f>
        <v>12</v>
      </c>
      <c r="K11740" s="135" t="n">
        <f aca="false">$G11740*'Analyse capacite'!$E$9</f>
        <v>162</v>
      </c>
    </row>
    <row r="11741" customFormat="false" ht="15" hidden="false" customHeight="false" outlineLevel="0" collapsed="false">
      <c r="B11741" s="130" t="n">
        <v>2028</v>
      </c>
      <c r="C11741" s="131" t="s">
        <v>256</v>
      </c>
      <c r="D11741" s="132" t="n">
        <v>46804</v>
      </c>
      <c r="E11741" s="131" t="s">
        <v>12</v>
      </c>
      <c r="F11741" s="133" t="s">
        <v>11</v>
      </c>
      <c r="G11741" s="134" t="n">
        <f aca="false">LEN('Saisie programme'!$D$403)+SUMIFS('Vols additionnels'!$E$7:$E$66,'Vols additionnels'!$C$7:$C$66,$E11741,'Vols additionnels'!$D$7:$D$66,$F11741,'Vols additionnels'!$B$7:$B$66,$D11741)</f>
        <v>1</v>
      </c>
      <c r="H11741" s="135" t="n">
        <f aca="false">$G11741*'Analyse capacite'!$F$7</f>
        <v>438</v>
      </c>
      <c r="I11741" s="135" t="n">
        <f aca="false">$G11741*'Analyse capacite'!$C$7</f>
        <v>14</v>
      </c>
      <c r="J11741" s="135" t="n">
        <f aca="false">$G11741*'Analyse capacite'!$D$7</f>
        <v>40</v>
      </c>
      <c r="K11741" s="135" t="n">
        <f aca="false">$G11741*'Analyse capacite'!$E$7</f>
        <v>384</v>
      </c>
    </row>
    <row r="11742" customFormat="false" ht="15" hidden="false" customHeight="false" outlineLevel="0" collapsed="false">
      <c r="B11742" s="130" t="n">
        <v>2028</v>
      </c>
      <c r="C11742" s="131" t="s">
        <v>256</v>
      </c>
      <c r="D11742" s="132" t="n">
        <v>46804</v>
      </c>
      <c r="E11742" s="131" t="s">
        <v>12</v>
      </c>
      <c r="F11742" s="133" t="s">
        <v>19</v>
      </c>
      <c r="G11742" s="134" t="n">
        <f aca="false">LEN('Saisie programme'!$D$404)+SUMIFS('Vols additionnels'!$E$7:$E$66,'Vols additionnels'!$C$7:$C$66,$E11742,'Vols additionnels'!$D$7:$D$66,$F11742,'Vols additionnels'!$B$7:$B$66,$D11742)</f>
        <v>1</v>
      </c>
      <c r="H11742" s="135" t="n">
        <f aca="false">$G11742*'Analyse capacite'!$F$8</f>
        <v>262</v>
      </c>
      <c r="I11742" s="135" t="n">
        <f aca="false">$G11742*'Analyse capacite'!$C$8</f>
        <v>18</v>
      </c>
      <c r="J11742" s="135" t="n">
        <f aca="false">$G11742*'Analyse capacite'!$D$8</f>
        <v>0</v>
      </c>
      <c r="K11742" s="135" t="n">
        <f aca="false">$G11742*'Analyse capacite'!$E$8</f>
        <v>244</v>
      </c>
    </row>
    <row r="11743" customFormat="false" ht="15" hidden="false" customHeight="false" outlineLevel="0" collapsed="false">
      <c r="B11743" s="130" t="n">
        <v>2028</v>
      </c>
      <c r="C11743" s="131" t="s">
        <v>256</v>
      </c>
      <c r="D11743" s="132" t="n">
        <v>46804</v>
      </c>
      <c r="E11743" s="131" t="s">
        <v>12</v>
      </c>
      <c r="F11743" s="133" t="s">
        <v>24</v>
      </c>
      <c r="G11743" s="134" t="n">
        <f aca="false">LEN('Saisie programme'!$D$405)+SUMIFS('Vols additionnels'!$E$7:$E$66,'Vols additionnels'!$C$7:$C$66,$E11743,'Vols additionnels'!$D$7:$D$66,$F11743,'Vols additionnels'!$B$7:$B$66,$D11743)</f>
        <v>2</v>
      </c>
      <c r="H11743" s="135" t="n">
        <f aca="false">$G11743*'Analyse capacite'!$F$9</f>
        <v>348</v>
      </c>
      <c r="I11743" s="135" t="n">
        <f aca="false">$G11743*'Analyse capacite'!$C$9</f>
        <v>0</v>
      </c>
      <c r="J11743" s="135" t="n">
        <f aca="false">$G11743*'Analyse capacite'!$D$9</f>
        <v>24</v>
      </c>
      <c r="K11743" s="135" t="n">
        <f aca="false">$G11743*'Analyse capacite'!$E$9</f>
        <v>324</v>
      </c>
    </row>
    <row r="11744" customFormat="false" ht="15" hidden="false" customHeight="false" outlineLevel="0" collapsed="false">
      <c r="B11744" s="130" t="n">
        <v>2028</v>
      </c>
      <c r="C11744" s="131" t="s">
        <v>256</v>
      </c>
      <c r="D11744" s="132" t="n">
        <v>46804</v>
      </c>
      <c r="E11744" s="131" t="s">
        <v>20</v>
      </c>
      <c r="F11744" s="133" t="s">
        <v>11</v>
      </c>
      <c r="G11744" s="134" t="n">
        <f aca="false">LEN('Saisie programme'!$D$406)+SUMIFS('Vols additionnels'!$E$7:$E$66,'Vols additionnels'!$C$7:$C$66,$E11744,'Vols additionnels'!$D$7:$D$66,$F11744,'Vols additionnels'!$B$7:$B$66,$D11744)</f>
        <v>0</v>
      </c>
      <c r="H11744" s="135" t="n">
        <f aca="false">$G11744*'Analyse capacite'!$F$7</f>
        <v>0</v>
      </c>
      <c r="I11744" s="135" t="n">
        <f aca="false">$G11744*'Analyse capacite'!$C$7</f>
        <v>0</v>
      </c>
      <c r="J11744" s="135" t="n">
        <f aca="false">$G11744*'Analyse capacite'!$D$7</f>
        <v>0</v>
      </c>
      <c r="K11744" s="135" t="n">
        <f aca="false">$G11744*'Analyse capacite'!$E$7</f>
        <v>0</v>
      </c>
    </row>
    <row r="11745" customFormat="false" ht="15" hidden="false" customHeight="false" outlineLevel="0" collapsed="false">
      <c r="B11745" s="130" t="n">
        <v>2028</v>
      </c>
      <c r="C11745" s="131" t="s">
        <v>256</v>
      </c>
      <c r="D11745" s="132" t="n">
        <v>46804</v>
      </c>
      <c r="E11745" s="131" t="s">
        <v>20</v>
      </c>
      <c r="F11745" s="133" t="s">
        <v>19</v>
      </c>
      <c r="G11745" s="134" t="n">
        <f aca="false">LEN('Saisie programme'!$D$407)+SUMIFS('Vols additionnels'!$E$7:$E$66,'Vols additionnels'!$C$7:$C$66,$E11745,'Vols additionnels'!$D$7:$D$66,$F11745,'Vols additionnels'!$B$7:$B$66,$D11745)</f>
        <v>0</v>
      </c>
      <c r="H11745" s="135" t="n">
        <f aca="false">$G11745*'Analyse capacite'!$F$8</f>
        <v>0</v>
      </c>
      <c r="I11745" s="135" t="n">
        <f aca="false">$G11745*'Analyse capacite'!$C$8</f>
        <v>0</v>
      </c>
      <c r="J11745" s="135" t="n">
        <f aca="false">$G11745*'Analyse capacite'!$D$8</f>
        <v>0</v>
      </c>
      <c r="K11745" s="135" t="n">
        <f aca="false">$G11745*'Analyse capacite'!$E$8</f>
        <v>0</v>
      </c>
    </row>
    <row r="11746" customFormat="false" ht="15" hidden="false" customHeight="false" outlineLevel="0" collapsed="false">
      <c r="B11746" s="130" t="n">
        <v>2028</v>
      </c>
      <c r="C11746" s="131" t="s">
        <v>256</v>
      </c>
      <c r="D11746" s="132" t="n">
        <v>46804</v>
      </c>
      <c r="E11746" s="131" t="s">
        <v>20</v>
      </c>
      <c r="F11746" s="133" t="s">
        <v>24</v>
      </c>
      <c r="G11746" s="134" t="n">
        <f aca="false">LEN('Saisie programme'!$D$408)+SUMIFS('Vols additionnels'!$E$7:$E$66,'Vols additionnels'!$C$7:$C$66,$E11746,'Vols additionnels'!$D$7:$D$66,$F11746,'Vols additionnels'!$B$7:$B$66,$D11746)</f>
        <v>0</v>
      </c>
      <c r="H11746" s="135" t="n">
        <f aca="false">$G11746*'Analyse capacite'!$F$9</f>
        <v>0</v>
      </c>
      <c r="I11746" s="135" t="n">
        <f aca="false">$G11746*'Analyse capacite'!$C$9</f>
        <v>0</v>
      </c>
      <c r="J11746" s="135" t="n">
        <f aca="false">$G11746*'Analyse capacite'!$D$9</f>
        <v>0</v>
      </c>
      <c r="K11746" s="135" t="n">
        <f aca="false">$G11746*'Analyse capacite'!$E$9</f>
        <v>0</v>
      </c>
    </row>
    <row r="11747" customFormat="false" ht="15" hidden="false" customHeight="false" outlineLevel="0" collapsed="false">
      <c r="B11747" s="130" t="n">
        <v>2028</v>
      </c>
      <c r="C11747" s="131" t="s">
        <v>256</v>
      </c>
      <c r="D11747" s="132" t="n">
        <v>46804</v>
      </c>
      <c r="E11747" s="131" t="s">
        <v>25</v>
      </c>
      <c r="F11747" s="133" t="s">
        <v>11</v>
      </c>
      <c r="G11747" s="134" t="n">
        <f aca="false">LEN('Saisie programme'!$D$409)+SUMIFS('Vols additionnels'!$E$7:$E$66,'Vols additionnels'!$C$7:$C$66,$E11747,'Vols additionnels'!$D$7:$D$66,$F11747,'Vols additionnels'!$B$7:$B$66,$D11747)</f>
        <v>0</v>
      </c>
      <c r="H11747" s="135" t="n">
        <f aca="false">$G11747*'Analyse capacite'!$F$7</f>
        <v>0</v>
      </c>
      <c r="I11747" s="135" t="n">
        <f aca="false">$G11747*'Analyse capacite'!$C$7</f>
        <v>0</v>
      </c>
      <c r="J11747" s="135" t="n">
        <f aca="false">$G11747*'Analyse capacite'!$D$7</f>
        <v>0</v>
      </c>
      <c r="K11747" s="135" t="n">
        <f aca="false">$G11747*'Analyse capacite'!$E$7</f>
        <v>0</v>
      </c>
    </row>
    <row r="11748" customFormat="false" ht="15" hidden="false" customHeight="false" outlineLevel="0" collapsed="false">
      <c r="B11748" s="130" t="n">
        <v>2028</v>
      </c>
      <c r="C11748" s="131" t="s">
        <v>256</v>
      </c>
      <c r="D11748" s="132" t="n">
        <v>46804</v>
      </c>
      <c r="E11748" s="131" t="s">
        <v>25</v>
      </c>
      <c r="F11748" s="133" t="s">
        <v>19</v>
      </c>
      <c r="G11748" s="134" t="n">
        <f aca="false">LEN('Saisie programme'!$D$410)+SUMIFS('Vols additionnels'!$E$7:$E$66,'Vols additionnels'!$C$7:$C$66,$E11748,'Vols additionnels'!$D$7:$D$66,$F11748,'Vols additionnels'!$B$7:$B$66,$D11748)</f>
        <v>0</v>
      </c>
      <c r="H11748" s="135" t="n">
        <f aca="false">$G11748*'Analyse capacite'!$F$8</f>
        <v>0</v>
      </c>
      <c r="I11748" s="135" t="n">
        <f aca="false">$G11748*'Analyse capacite'!$C$8</f>
        <v>0</v>
      </c>
      <c r="J11748" s="135" t="n">
        <f aca="false">$G11748*'Analyse capacite'!$D$8</f>
        <v>0</v>
      </c>
      <c r="K11748" s="135" t="n">
        <f aca="false">$G11748*'Analyse capacite'!$E$8</f>
        <v>0</v>
      </c>
    </row>
    <row r="11749" customFormat="false" ht="15" hidden="false" customHeight="false" outlineLevel="0" collapsed="false">
      <c r="B11749" s="130" t="n">
        <v>2028</v>
      </c>
      <c r="C11749" s="131" t="s">
        <v>256</v>
      </c>
      <c r="D11749" s="132" t="n">
        <v>46804</v>
      </c>
      <c r="E11749" s="131" t="s">
        <v>25</v>
      </c>
      <c r="F11749" s="133" t="s">
        <v>24</v>
      </c>
      <c r="G11749" s="134" t="n">
        <f aca="false">LEN('Saisie programme'!$D$411)+SUMIFS('Vols additionnels'!$E$7:$E$66,'Vols additionnels'!$C$7:$C$66,$E11749,'Vols additionnels'!$D$7:$D$66,$F11749,'Vols additionnels'!$B$7:$B$66,$D11749)</f>
        <v>0</v>
      </c>
      <c r="H11749" s="135" t="n">
        <f aca="false">$G11749*'Analyse capacite'!$F$9</f>
        <v>0</v>
      </c>
      <c r="I11749" s="135" t="n">
        <f aca="false">$G11749*'Analyse capacite'!$C$9</f>
        <v>0</v>
      </c>
      <c r="J11749" s="135" t="n">
        <f aca="false">$G11749*'Analyse capacite'!$D$9</f>
        <v>0</v>
      </c>
      <c r="K11749" s="135" t="n">
        <f aca="false">$G11749*'Analyse capacite'!$E$9</f>
        <v>0</v>
      </c>
    </row>
    <row r="11750" customFormat="false" ht="15" hidden="false" customHeight="false" outlineLevel="0" collapsed="false">
      <c r="B11750" s="130" t="n">
        <v>2028</v>
      </c>
      <c r="C11750" s="131" t="s">
        <v>256</v>
      </c>
      <c r="D11750" s="132" t="n">
        <v>46804</v>
      </c>
      <c r="E11750" s="131" t="s">
        <v>36</v>
      </c>
      <c r="F11750" s="133" t="s">
        <v>11</v>
      </c>
      <c r="G11750" s="134" t="n">
        <f aca="false">LEN('Saisie programme'!$D$412)+SUMIFS('Vols additionnels'!$E$7:$E$66,'Vols additionnels'!$C$7:$C$66,$E11750,'Vols additionnels'!$D$7:$D$66,$F11750,'Vols additionnels'!$B$7:$B$66,$D11750)</f>
        <v>0</v>
      </c>
      <c r="H11750" s="135" t="n">
        <f aca="false">$G11750*'Analyse capacite'!$F$7</f>
        <v>0</v>
      </c>
      <c r="I11750" s="135" t="n">
        <f aca="false">$G11750*'Analyse capacite'!$C$7</f>
        <v>0</v>
      </c>
      <c r="J11750" s="135" t="n">
        <f aca="false">$G11750*'Analyse capacite'!$D$7</f>
        <v>0</v>
      </c>
      <c r="K11750" s="135" t="n">
        <f aca="false">$G11750*'Analyse capacite'!$E$7</f>
        <v>0</v>
      </c>
    </row>
    <row r="11751" customFormat="false" ht="15" hidden="false" customHeight="false" outlineLevel="0" collapsed="false">
      <c r="B11751" s="130" t="n">
        <v>2028</v>
      </c>
      <c r="C11751" s="131" t="s">
        <v>256</v>
      </c>
      <c r="D11751" s="132" t="n">
        <v>46804</v>
      </c>
      <c r="E11751" s="131" t="s">
        <v>36</v>
      </c>
      <c r="F11751" s="133" t="s">
        <v>19</v>
      </c>
      <c r="G11751" s="134" t="n">
        <f aca="false">LEN('Saisie programme'!$D$413)+SUMIFS('Vols additionnels'!$E$7:$E$66,'Vols additionnels'!$C$7:$C$66,$E11751,'Vols additionnels'!$D$7:$D$66,$F11751,'Vols additionnels'!$B$7:$B$66,$D11751)</f>
        <v>0</v>
      </c>
      <c r="H11751" s="135" t="n">
        <f aca="false">$G11751*'Analyse capacite'!$F$8</f>
        <v>0</v>
      </c>
      <c r="I11751" s="135" t="n">
        <f aca="false">$G11751*'Analyse capacite'!$C$8</f>
        <v>0</v>
      </c>
      <c r="J11751" s="135" t="n">
        <f aca="false">$G11751*'Analyse capacite'!$D$8</f>
        <v>0</v>
      </c>
      <c r="K11751" s="135" t="n">
        <f aca="false">$G11751*'Analyse capacite'!$E$8</f>
        <v>0</v>
      </c>
    </row>
    <row r="11752" customFormat="false" ht="15" hidden="false" customHeight="false" outlineLevel="0" collapsed="false">
      <c r="B11752" s="130" t="n">
        <v>2028</v>
      </c>
      <c r="C11752" s="131" t="s">
        <v>256</v>
      </c>
      <c r="D11752" s="132" t="n">
        <v>46804</v>
      </c>
      <c r="E11752" s="131" t="s">
        <v>36</v>
      </c>
      <c r="F11752" s="133" t="s">
        <v>24</v>
      </c>
      <c r="G11752" s="134" t="n">
        <f aca="false">LEN('Saisie programme'!$D$414)+SUMIFS('Vols additionnels'!$E$7:$E$66,'Vols additionnels'!$C$7:$C$66,$E11752,'Vols additionnels'!$D$7:$D$66,$F11752,'Vols additionnels'!$B$7:$B$66,$D11752)</f>
        <v>1</v>
      </c>
      <c r="H11752" s="135" t="n">
        <f aca="false">$G11752*'Analyse capacite'!$F$9</f>
        <v>174</v>
      </c>
      <c r="I11752" s="135" t="n">
        <f aca="false">$G11752*'Analyse capacite'!$C$9</f>
        <v>0</v>
      </c>
      <c r="J11752" s="135" t="n">
        <f aca="false">$G11752*'Analyse capacite'!$D$9</f>
        <v>12</v>
      </c>
      <c r="K11752" s="135" t="n">
        <f aca="false">$G11752*'Analyse capacite'!$E$9</f>
        <v>162</v>
      </c>
    </row>
    <row r="11753" customFormat="false" ht="15" hidden="false" customHeight="false" outlineLevel="0" collapsed="false">
      <c r="B11753" s="130" t="n">
        <v>2028</v>
      </c>
      <c r="C11753" s="131" t="s">
        <v>256</v>
      </c>
      <c r="D11753" s="132" t="n">
        <v>46804</v>
      </c>
      <c r="E11753" s="131" t="s">
        <v>40</v>
      </c>
      <c r="F11753" s="133" t="s">
        <v>11</v>
      </c>
      <c r="G11753" s="134" t="n">
        <f aca="false">LEN('Saisie programme'!$D$415)+SUMIFS('Vols additionnels'!$E$7:$E$66,'Vols additionnels'!$C$7:$C$66,$E11753,'Vols additionnels'!$D$7:$D$66,$F11753,'Vols additionnels'!$B$7:$B$66,$D11753)</f>
        <v>0</v>
      </c>
      <c r="H11753" s="135" t="n">
        <f aca="false">$G11753*'Analyse capacite'!$F$7</f>
        <v>0</v>
      </c>
      <c r="I11753" s="135" t="n">
        <f aca="false">$G11753*'Analyse capacite'!$C$7</f>
        <v>0</v>
      </c>
      <c r="J11753" s="135" t="n">
        <f aca="false">$G11753*'Analyse capacite'!$D$7</f>
        <v>0</v>
      </c>
      <c r="K11753" s="135" t="n">
        <f aca="false">$G11753*'Analyse capacite'!$E$7</f>
        <v>0</v>
      </c>
    </row>
    <row r="11754" customFormat="false" ht="15" hidden="false" customHeight="false" outlineLevel="0" collapsed="false">
      <c r="B11754" s="130" t="n">
        <v>2028</v>
      </c>
      <c r="C11754" s="131" t="s">
        <v>256</v>
      </c>
      <c r="D11754" s="132" t="n">
        <v>46804</v>
      </c>
      <c r="E11754" s="131" t="s">
        <v>40</v>
      </c>
      <c r="F11754" s="133" t="s">
        <v>19</v>
      </c>
      <c r="G11754" s="134" t="n">
        <f aca="false">LEN('Saisie programme'!$D$416)+SUMIFS('Vols additionnels'!$E$7:$E$66,'Vols additionnels'!$C$7:$C$66,$E11754,'Vols additionnels'!$D$7:$D$66,$F11754,'Vols additionnels'!$B$7:$B$66,$D11754)</f>
        <v>0</v>
      </c>
      <c r="H11754" s="135" t="n">
        <f aca="false">$G11754*'Analyse capacite'!$F$8</f>
        <v>0</v>
      </c>
      <c r="I11754" s="135" t="n">
        <f aca="false">$G11754*'Analyse capacite'!$C$8</f>
        <v>0</v>
      </c>
      <c r="J11754" s="135" t="n">
        <f aca="false">$G11754*'Analyse capacite'!$D$8</f>
        <v>0</v>
      </c>
      <c r="K11754" s="135" t="n">
        <f aca="false">$G11754*'Analyse capacite'!$E$8</f>
        <v>0</v>
      </c>
    </row>
    <row r="11755" customFormat="false" ht="15" hidden="false" customHeight="false" outlineLevel="0" collapsed="false">
      <c r="B11755" s="130" t="n">
        <v>2028</v>
      </c>
      <c r="C11755" s="131" t="s">
        <v>256</v>
      </c>
      <c r="D11755" s="132" t="n">
        <v>46804</v>
      </c>
      <c r="E11755" s="131" t="s">
        <v>40</v>
      </c>
      <c r="F11755" s="133" t="s">
        <v>24</v>
      </c>
      <c r="G11755" s="134" t="n">
        <f aca="false">LEN('Saisie programme'!$D$417)+SUMIFS('Vols additionnels'!$E$7:$E$66,'Vols additionnels'!$C$7:$C$66,$E11755,'Vols additionnels'!$D$7:$D$66,$F11755,'Vols additionnels'!$B$7:$B$66,$D11755)</f>
        <v>1</v>
      </c>
      <c r="H11755" s="135" t="n">
        <f aca="false">$G11755*'Analyse capacite'!$F$9</f>
        <v>174</v>
      </c>
      <c r="I11755" s="135" t="n">
        <f aca="false">$G11755*'Analyse capacite'!$C$9</f>
        <v>0</v>
      </c>
      <c r="J11755" s="135" t="n">
        <f aca="false">$G11755*'Analyse capacite'!$D$9</f>
        <v>12</v>
      </c>
      <c r="K11755" s="135" t="n">
        <f aca="false">$G11755*'Analyse capacite'!$E$9</f>
        <v>162</v>
      </c>
    </row>
    <row r="11756" customFormat="false" ht="15" hidden="false" customHeight="false" outlineLevel="0" collapsed="false">
      <c r="B11756" s="130" t="n">
        <v>2028</v>
      </c>
      <c r="C11756" s="131" t="s">
        <v>256</v>
      </c>
      <c r="D11756" s="132" t="n">
        <v>46804</v>
      </c>
      <c r="E11756" s="131" t="s">
        <v>14</v>
      </c>
      <c r="F11756" s="133" t="s">
        <v>11</v>
      </c>
      <c r="G11756" s="134" t="n">
        <f aca="false">LEN('Saisie programme'!$D$418)+SUMIFS('Vols additionnels'!$E$7:$E$66,'Vols additionnels'!$C$7:$C$66,$E11756,'Vols additionnels'!$D$7:$D$66,$F11756,'Vols additionnels'!$B$7:$B$66,$D11756)</f>
        <v>0</v>
      </c>
      <c r="H11756" s="135" t="n">
        <f aca="false">$G11756*'Analyse capacite'!$F$7</f>
        <v>0</v>
      </c>
      <c r="I11756" s="135" t="n">
        <f aca="false">$G11756*'Analyse capacite'!$C$7</f>
        <v>0</v>
      </c>
      <c r="J11756" s="135" t="n">
        <f aca="false">$G11756*'Analyse capacite'!$D$7</f>
        <v>0</v>
      </c>
      <c r="K11756" s="135" t="n">
        <f aca="false">$G11756*'Analyse capacite'!$E$7</f>
        <v>0</v>
      </c>
    </row>
    <row r="11757" customFormat="false" ht="15" hidden="false" customHeight="false" outlineLevel="0" collapsed="false">
      <c r="B11757" s="130" t="n">
        <v>2028</v>
      </c>
      <c r="C11757" s="131" t="s">
        <v>256</v>
      </c>
      <c r="D11757" s="132" t="n">
        <v>46804</v>
      </c>
      <c r="E11757" s="131" t="s">
        <v>14</v>
      </c>
      <c r="F11757" s="133" t="s">
        <v>19</v>
      </c>
      <c r="G11757" s="134" t="n">
        <f aca="false">LEN('Saisie programme'!$D$419)+SUMIFS('Vols additionnels'!$E$7:$E$66,'Vols additionnels'!$C$7:$C$66,$E11757,'Vols additionnels'!$D$7:$D$66,$F11757,'Vols additionnels'!$B$7:$B$66,$D11757)</f>
        <v>0</v>
      </c>
      <c r="H11757" s="135" t="n">
        <f aca="false">$G11757*'Analyse capacite'!$F$8</f>
        <v>0</v>
      </c>
      <c r="I11757" s="135" t="n">
        <f aca="false">$G11757*'Analyse capacite'!$C$8</f>
        <v>0</v>
      </c>
      <c r="J11757" s="135" t="n">
        <f aca="false">$G11757*'Analyse capacite'!$D$8</f>
        <v>0</v>
      </c>
      <c r="K11757" s="135" t="n">
        <f aca="false">$G11757*'Analyse capacite'!$E$8</f>
        <v>0</v>
      </c>
    </row>
    <row r="11758" customFormat="false" ht="15" hidden="false" customHeight="false" outlineLevel="0" collapsed="false">
      <c r="B11758" s="130" t="n">
        <v>2028</v>
      </c>
      <c r="C11758" s="131" t="s">
        <v>256</v>
      </c>
      <c r="D11758" s="132" t="n">
        <v>46804</v>
      </c>
      <c r="E11758" s="131" t="s">
        <v>14</v>
      </c>
      <c r="F11758" s="133" t="s">
        <v>24</v>
      </c>
      <c r="G11758" s="134" t="n">
        <f aca="false">LEN('Saisie programme'!$D$420)+SUMIFS('Vols additionnels'!$E$7:$E$66,'Vols additionnels'!$C$7:$C$66,$E11758,'Vols additionnels'!$D$7:$D$66,$F11758,'Vols additionnels'!$B$7:$B$66,$D11758)</f>
        <v>1</v>
      </c>
      <c r="H11758" s="135" t="n">
        <f aca="false">$G11758*'Analyse capacite'!$F$9</f>
        <v>174</v>
      </c>
      <c r="I11758" s="135" t="n">
        <f aca="false">$G11758*'Analyse capacite'!$C$9</f>
        <v>0</v>
      </c>
      <c r="J11758" s="135" t="n">
        <f aca="false">$G11758*'Analyse capacite'!$D$9</f>
        <v>12</v>
      </c>
      <c r="K11758" s="135" t="n">
        <f aca="false">$G11758*'Analyse capacite'!$E$9</f>
        <v>162</v>
      </c>
    </row>
    <row r="11759" customFormat="false" ht="15" hidden="false" customHeight="false" outlineLevel="0" collapsed="false">
      <c r="B11759" s="130" t="n">
        <v>2028</v>
      </c>
      <c r="C11759" s="131" t="s">
        <v>256</v>
      </c>
      <c r="D11759" s="132" t="n">
        <v>46804</v>
      </c>
      <c r="E11759" s="131" t="s">
        <v>46</v>
      </c>
      <c r="F11759" s="133" t="s">
        <v>11</v>
      </c>
      <c r="G11759" s="134" t="n">
        <f aca="false">LEN('Saisie programme'!$D$421)+SUMIFS('Vols additionnels'!$E$7:$E$66,'Vols additionnels'!$C$7:$C$66,$E11759,'Vols additionnels'!$D$7:$D$66,$F11759,'Vols additionnels'!$B$7:$B$66,$D11759)</f>
        <v>0</v>
      </c>
      <c r="H11759" s="135" t="n">
        <f aca="false">$G11759*'Analyse capacite'!$F$7</f>
        <v>0</v>
      </c>
      <c r="I11759" s="135" t="n">
        <f aca="false">$G11759*'Analyse capacite'!$C$7</f>
        <v>0</v>
      </c>
      <c r="J11759" s="135" t="n">
        <f aca="false">$G11759*'Analyse capacite'!$D$7</f>
        <v>0</v>
      </c>
      <c r="K11759" s="135" t="n">
        <f aca="false">$G11759*'Analyse capacite'!$E$7</f>
        <v>0</v>
      </c>
    </row>
    <row r="11760" customFormat="false" ht="15" hidden="false" customHeight="false" outlineLevel="0" collapsed="false">
      <c r="B11760" s="130" t="n">
        <v>2028</v>
      </c>
      <c r="C11760" s="131" t="s">
        <v>256</v>
      </c>
      <c r="D11760" s="132" t="n">
        <v>46804</v>
      </c>
      <c r="E11760" s="131" t="s">
        <v>46</v>
      </c>
      <c r="F11760" s="133" t="s">
        <v>19</v>
      </c>
      <c r="G11760" s="134" t="n">
        <f aca="false">LEN('Saisie programme'!$D$422)+SUMIFS('Vols additionnels'!$E$7:$E$66,'Vols additionnels'!$C$7:$C$66,$E11760,'Vols additionnels'!$D$7:$D$66,$F11760,'Vols additionnels'!$B$7:$B$66,$D11760)</f>
        <v>0</v>
      </c>
      <c r="H11760" s="135" t="n">
        <f aca="false">$G11760*'Analyse capacite'!$F$8</f>
        <v>0</v>
      </c>
      <c r="I11760" s="135" t="n">
        <f aca="false">$G11760*'Analyse capacite'!$C$8</f>
        <v>0</v>
      </c>
      <c r="J11760" s="135" t="n">
        <f aca="false">$G11760*'Analyse capacite'!$D$8</f>
        <v>0</v>
      </c>
      <c r="K11760" s="135" t="n">
        <f aca="false">$G11760*'Analyse capacite'!$E$8</f>
        <v>0</v>
      </c>
    </row>
    <row r="11761" customFormat="false" ht="15" hidden="false" customHeight="false" outlineLevel="0" collapsed="false">
      <c r="B11761" s="130" t="n">
        <v>2028</v>
      </c>
      <c r="C11761" s="131" t="s">
        <v>256</v>
      </c>
      <c r="D11761" s="132" t="n">
        <v>46804</v>
      </c>
      <c r="E11761" s="131" t="s">
        <v>46</v>
      </c>
      <c r="F11761" s="133" t="s">
        <v>24</v>
      </c>
      <c r="G11761" s="134" t="n">
        <f aca="false">LEN('Saisie programme'!$D$423)+SUMIFS('Vols additionnels'!$E$7:$E$66,'Vols additionnels'!$C$7:$C$66,$E11761,'Vols additionnels'!$D$7:$D$66,$F11761,'Vols additionnels'!$B$7:$B$66,$D11761)</f>
        <v>0</v>
      </c>
      <c r="H11761" s="135" t="n">
        <f aca="false">$G11761*'Analyse capacite'!$F$9</f>
        <v>0</v>
      </c>
      <c r="I11761" s="135" t="n">
        <f aca="false">$G11761*'Analyse capacite'!$C$9</f>
        <v>0</v>
      </c>
      <c r="J11761" s="135" t="n">
        <f aca="false">$G11761*'Analyse capacite'!$D$9</f>
        <v>0</v>
      </c>
      <c r="K11761" s="135" t="n">
        <f aca="false">$G11761*'Analyse capacite'!$E$9</f>
        <v>0</v>
      </c>
    </row>
    <row r="11762" customFormat="false" ht="15" hidden="false" customHeight="false" outlineLevel="0" collapsed="false">
      <c r="B11762" s="130" t="n">
        <v>2028</v>
      </c>
      <c r="C11762" s="131" t="s">
        <v>256</v>
      </c>
      <c r="D11762" s="132" t="n">
        <v>46804</v>
      </c>
      <c r="E11762" s="131" t="s">
        <v>49</v>
      </c>
      <c r="F11762" s="133" t="s">
        <v>11</v>
      </c>
      <c r="G11762" s="134" t="n">
        <f aca="false">LEN('Saisie programme'!$D$424)+SUMIFS('Vols additionnels'!$E$7:$E$66,'Vols additionnels'!$C$7:$C$66,$E11762,'Vols additionnels'!$D$7:$D$66,$F11762,'Vols additionnels'!$B$7:$B$66,$D11762)</f>
        <v>0</v>
      </c>
      <c r="H11762" s="135" t="n">
        <f aca="false">$G11762*'Analyse capacite'!$F$7</f>
        <v>0</v>
      </c>
      <c r="I11762" s="135" t="n">
        <f aca="false">$G11762*'Analyse capacite'!$C$7</f>
        <v>0</v>
      </c>
      <c r="J11762" s="135" t="n">
        <f aca="false">$G11762*'Analyse capacite'!$D$7</f>
        <v>0</v>
      </c>
      <c r="K11762" s="135" t="n">
        <f aca="false">$G11762*'Analyse capacite'!$E$7</f>
        <v>0</v>
      </c>
    </row>
    <row r="11763" customFormat="false" ht="15" hidden="false" customHeight="false" outlineLevel="0" collapsed="false">
      <c r="B11763" s="130" t="n">
        <v>2028</v>
      </c>
      <c r="C11763" s="131" t="s">
        <v>256</v>
      </c>
      <c r="D11763" s="132" t="n">
        <v>46804</v>
      </c>
      <c r="E11763" s="131" t="s">
        <v>49</v>
      </c>
      <c r="F11763" s="133" t="s">
        <v>19</v>
      </c>
      <c r="G11763" s="134" t="n">
        <f aca="false">LEN('Saisie programme'!$D$425)+SUMIFS('Vols additionnels'!$E$7:$E$66,'Vols additionnels'!$C$7:$C$66,$E11763,'Vols additionnels'!$D$7:$D$66,$F11763,'Vols additionnels'!$B$7:$B$66,$D11763)</f>
        <v>1</v>
      </c>
      <c r="H11763" s="135" t="n">
        <f aca="false">$G11763*'Analyse capacite'!$F$8</f>
        <v>262</v>
      </c>
      <c r="I11763" s="135" t="n">
        <f aca="false">$G11763*'Analyse capacite'!$C$8</f>
        <v>18</v>
      </c>
      <c r="J11763" s="135" t="n">
        <f aca="false">$G11763*'Analyse capacite'!$D$8</f>
        <v>0</v>
      </c>
      <c r="K11763" s="135" t="n">
        <f aca="false">$G11763*'Analyse capacite'!$E$8</f>
        <v>244</v>
      </c>
    </row>
    <row r="11764" customFormat="false" ht="15" hidden="false" customHeight="false" outlineLevel="0" collapsed="false">
      <c r="B11764" s="130" t="n">
        <v>2028</v>
      </c>
      <c r="C11764" s="131" t="s">
        <v>256</v>
      </c>
      <c r="D11764" s="132" t="n">
        <v>46804</v>
      </c>
      <c r="E11764" s="131" t="s">
        <v>49</v>
      </c>
      <c r="F11764" s="133" t="s">
        <v>24</v>
      </c>
      <c r="G11764" s="134" t="n">
        <f aca="false">LEN('Saisie programme'!$D$426)+SUMIFS('Vols additionnels'!$E$7:$E$66,'Vols additionnels'!$C$7:$C$66,$E11764,'Vols additionnels'!$D$7:$D$66,$F11764,'Vols additionnels'!$B$7:$B$66,$D11764)</f>
        <v>0</v>
      </c>
      <c r="H11764" s="135" t="n">
        <f aca="false">$G11764*'Analyse capacite'!$F$9</f>
        <v>0</v>
      </c>
      <c r="I11764" s="135" t="n">
        <f aca="false">$G11764*'Analyse capacite'!$C$9</f>
        <v>0</v>
      </c>
      <c r="J11764" s="135" t="n">
        <f aca="false">$G11764*'Analyse capacite'!$D$9</f>
        <v>0</v>
      </c>
      <c r="K11764" s="135" t="n">
        <f aca="false">$G11764*'Analyse capacite'!$E$9</f>
        <v>0</v>
      </c>
    </row>
    <row r="11765" customFormat="false" ht="15" hidden="false" customHeight="false" outlineLevel="0" collapsed="false">
      <c r="B11765" s="130" t="n">
        <v>2028</v>
      </c>
      <c r="C11765" s="131" t="s">
        <v>256</v>
      </c>
      <c r="D11765" s="132" t="n">
        <v>46804</v>
      </c>
      <c r="E11765" s="131" t="s">
        <v>53</v>
      </c>
      <c r="F11765" s="133" t="s">
        <v>11</v>
      </c>
      <c r="G11765" s="134" t="n">
        <f aca="false">LEN('Saisie programme'!$D$427)+SUMIFS('Vols additionnels'!$E$7:$E$66,'Vols additionnels'!$C$7:$C$66,$E11765,'Vols additionnels'!$D$7:$D$66,$F11765,'Vols additionnels'!$B$7:$B$66,$D11765)</f>
        <v>0</v>
      </c>
      <c r="H11765" s="135" t="n">
        <f aca="false">$G11765*'Analyse capacite'!$F$7</f>
        <v>0</v>
      </c>
      <c r="I11765" s="135" t="n">
        <f aca="false">$G11765*'Analyse capacite'!$C$7</f>
        <v>0</v>
      </c>
      <c r="J11765" s="135" t="n">
        <f aca="false">$G11765*'Analyse capacite'!$D$7</f>
        <v>0</v>
      </c>
      <c r="K11765" s="135" t="n">
        <f aca="false">$G11765*'Analyse capacite'!$E$7</f>
        <v>0</v>
      </c>
    </row>
    <row r="11766" customFormat="false" ht="15" hidden="false" customHeight="false" outlineLevel="0" collapsed="false">
      <c r="B11766" s="130" t="n">
        <v>2028</v>
      </c>
      <c r="C11766" s="131" t="s">
        <v>256</v>
      </c>
      <c r="D11766" s="132" t="n">
        <v>46804</v>
      </c>
      <c r="E11766" s="131" t="s">
        <v>53</v>
      </c>
      <c r="F11766" s="133" t="s">
        <v>19</v>
      </c>
      <c r="G11766" s="134" t="n">
        <f aca="false">LEN('Saisie programme'!$D$428)+SUMIFS('Vols additionnels'!$E$7:$E$66,'Vols additionnels'!$C$7:$C$66,$E11766,'Vols additionnels'!$D$7:$D$66,$F11766,'Vols additionnels'!$B$7:$B$66,$D11766)</f>
        <v>0</v>
      </c>
      <c r="H11766" s="135" t="n">
        <f aca="false">$G11766*'Analyse capacite'!$F$8</f>
        <v>0</v>
      </c>
      <c r="I11766" s="135" t="n">
        <f aca="false">$G11766*'Analyse capacite'!$C$8</f>
        <v>0</v>
      </c>
      <c r="J11766" s="135" t="n">
        <f aca="false">$G11766*'Analyse capacite'!$D$8</f>
        <v>0</v>
      </c>
      <c r="K11766" s="135" t="n">
        <f aca="false">$G11766*'Analyse capacite'!$E$8</f>
        <v>0</v>
      </c>
    </row>
    <row r="11767" customFormat="false" ht="15" hidden="false" customHeight="false" outlineLevel="0" collapsed="false">
      <c r="B11767" s="130" t="n">
        <v>2028</v>
      </c>
      <c r="C11767" s="131" t="s">
        <v>256</v>
      </c>
      <c r="D11767" s="132" t="n">
        <v>46804</v>
      </c>
      <c r="E11767" s="131" t="s">
        <v>53</v>
      </c>
      <c r="F11767" s="133" t="s">
        <v>24</v>
      </c>
      <c r="G11767" s="134" t="n">
        <f aca="false">LEN('Saisie programme'!$D$429)+SUMIFS('Vols additionnels'!$E$7:$E$66,'Vols additionnels'!$C$7:$C$66,$E11767,'Vols additionnels'!$D$7:$D$66,$F11767,'Vols additionnels'!$B$7:$B$66,$D11767)</f>
        <v>0</v>
      </c>
      <c r="H11767" s="135" t="n">
        <f aca="false">$G11767*'Analyse capacite'!$F$9</f>
        <v>0</v>
      </c>
      <c r="I11767" s="135" t="n">
        <f aca="false">$G11767*'Analyse capacite'!$C$9</f>
        <v>0</v>
      </c>
      <c r="J11767" s="135" t="n">
        <f aca="false">$G11767*'Analyse capacite'!$D$9</f>
        <v>0</v>
      </c>
      <c r="K11767" s="135" t="n">
        <f aca="false">$G11767*'Analyse capacite'!$E$9</f>
        <v>0</v>
      </c>
    </row>
    <row r="11768" customFormat="false" ht="15" hidden="false" customHeight="false" outlineLevel="0" collapsed="false">
      <c r="B11768" s="130" t="n">
        <v>2028</v>
      </c>
      <c r="C11768" s="131" t="s">
        <v>256</v>
      </c>
      <c r="D11768" s="132" t="n">
        <v>46804</v>
      </c>
      <c r="E11768" s="131" t="s">
        <v>56</v>
      </c>
      <c r="F11768" s="133" t="s">
        <v>11</v>
      </c>
      <c r="G11768" s="134" t="n">
        <f aca="false">LEN('Saisie programme'!$D$430)+SUMIFS('Vols additionnels'!$E$7:$E$66,'Vols additionnels'!$C$7:$C$66,$E11768,'Vols additionnels'!$D$7:$D$66,$F11768,'Vols additionnels'!$B$7:$B$66,$D11768)</f>
        <v>0</v>
      </c>
      <c r="H11768" s="135" t="n">
        <f aca="false">$G11768*'Analyse capacite'!$F$7</f>
        <v>0</v>
      </c>
      <c r="I11768" s="135" t="n">
        <f aca="false">$G11768*'Analyse capacite'!$C$7</f>
        <v>0</v>
      </c>
      <c r="J11768" s="135" t="n">
        <f aca="false">$G11768*'Analyse capacite'!$D$7</f>
        <v>0</v>
      </c>
      <c r="K11768" s="135" t="n">
        <f aca="false">$G11768*'Analyse capacite'!$E$7</f>
        <v>0</v>
      </c>
    </row>
    <row r="11769" customFormat="false" ht="15" hidden="false" customHeight="false" outlineLevel="0" collapsed="false">
      <c r="B11769" s="130" t="n">
        <v>2028</v>
      </c>
      <c r="C11769" s="131" t="s">
        <v>256</v>
      </c>
      <c r="D11769" s="132" t="n">
        <v>46804</v>
      </c>
      <c r="E11769" s="131" t="s">
        <v>56</v>
      </c>
      <c r="F11769" s="133" t="s">
        <v>19</v>
      </c>
      <c r="G11769" s="134" t="n">
        <f aca="false">LEN('Saisie programme'!$D$431)+SUMIFS('Vols additionnels'!$E$7:$E$66,'Vols additionnels'!$C$7:$C$66,$E11769,'Vols additionnels'!$D$7:$D$66,$F11769,'Vols additionnels'!$B$7:$B$66,$D11769)</f>
        <v>0</v>
      </c>
      <c r="H11769" s="135" t="n">
        <f aca="false">$G11769*'Analyse capacite'!$F$8</f>
        <v>0</v>
      </c>
      <c r="I11769" s="135" t="n">
        <f aca="false">$G11769*'Analyse capacite'!$C$8</f>
        <v>0</v>
      </c>
      <c r="J11769" s="135" t="n">
        <f aca="false">$G11769*'Analyse capacite'!$D$8</f>
        <v>0</v>
      </c>
      <c r="K11769" s="135" t="n">
        <f aca="false">$G11769*'Analyse capacite'!$E$8</f>
        <v>0</v>
      </c>
    </row>
    <row r="11770" customFormat="false" ht="15" hidden="false" customHeight="false" outlineLevel="0" collapsed="false">
      <c r="B11770" s="130" t="n">
        <v>2028</v>
      </c>
      <c r="C11770" s="131" t="s">
        <v>256</v>
      </c>
      <c r="D11770" s="132" t="n">
        <v>46804</v>
      </c>
      <c r="E11770" s="131" t="s">
        <v>56</v>
      </c>
      <c r="F11770" s="133" t="s">
        <v>24</v>
      </c>
      <c r="G11770" s="134" t="n">
        <f aca="false">LEN('Saisie programme'!$D$432)+SUMIFS('Vols additionnels'!$E$7:$E$66,'Vols additionnels'!$C$7:$C$66,$E11770,'Vols additionnels'!$D$7:$D$66,$F11770,'Vols additionnels'!$B$7:$B$66,$D11770)</f>
        <v>0</v>
      </c>
      <c r="H11770" s="135" t="n">
        <f aca="false">$G11770*'Analyse capacite'!$F$9</f>
        <v>0</v>
      </c>
      <c r="I11770" s="135" t="n">
        <f aca="false">$G11770*'Analyse capacite'!$C$9</f>
        <v>0</v>
      </c>
      <c r="J11770" s="135" t="n">
        <f aca="false">$G11770*'Analyse capacite'!$D$9</f>
        <v>0</v>
      </c>
      <c r="K11770" s="135" t="n">
        <f aca="false">$G11770*'Analyse capacite'!$E$9</f>
        <v>0</v>
      </c>
    </row>
    <row r="11771" customFormat="false" ht="15" hidden="false" customHeight="false" outlineLevel="0" collapsed="false">
      <c r="B11771" s="130" t="n">
        <v>2028</v>
      </c>
      <c r="C11771" s="131" t="s">
        <v>256</v>
      </c>
      <c r="D11771" s="132" t="n">
        <v>46804</v>
      </c>
      <c r="E11771" s="131" t="s">
        <v>59</v>
      </c>
      <c r="F11771" s="133" t="s">
        <v>11</v>
      </c>
      <c r="G11771" s="134" t="n">
        <f aca="false">LEN('Saisie programme'!$D$433)+SUMIFS('Vols additionnels'!$E$7:$E$66,'Vols additionnels'!$C$7:$C$66,$E11771,'Vols additionnels'!$D$7:$D$66,$F11771,'Vols additionnels'!$B$7:$B$66,$D11771)</f>
        <v>0</v>
      </c>
      <c r="H11771" s="135" t="n">
        <f aca="false">$G11771*'Analyse capacite'!$F$7</f>
        <v>0</v>
      </c>
      <c r="I11771" s="135" t="n">
        <f aca="false">$G11771*'Analyse capacite'!$C$7</f>
        <v>0</v>
      </c>
      <c r="J11771" s="135" t="n">
        <f aca="false">$G11771*'Analyse capacite'!$D$7</f>
        <v>0</v>
      </c>
      <c r="K11771" s="135" t="n">
        <f aca="false">$G11771*'Analyse capacite'!$E$7</f>
        <v>0</v>
      </c>
    </row>
    <row r="11772" customFormat="false" ht="15" hidden="false" customHeight="false" outlineLevel="0" collapsed="false">
      <c r="B11772" s="130" t="n">
        <v>2028</v>
      </c>
      <c r="C11772" s="131" t="s">
        <v>256</v>
      </c>
      <c r="D11772" s="132" t="n">
        <v>46804</v>
      </c>
      <c r="E11772" s="131" t="s">
        <v>59</v>
      </c>
      <c r="F11772" s="133" t="s">
        <v>19</v>
      </c>
      <c r="G11772" s="134" t="n">
        <f aca="false">LEN('Saisie programme'!$D$434)+SUMIFS('Vols additionnels'!$E$7:$E$66,'Vols additionnels'!$C$7:$C$66,$E11772,'Vols additionnels'!$D$7:$D$66,$F11772,'Vols additionnels'!$B$7:$B$66,$D11772)</f>
        <v>0</v>
      </c>
      <c r="H11772" s="135" t="n">
        <f aca="false">$G11772*'Analyse capacite'!$F$8</f>
        <v>0</v>
      </c>
      <c r="I11772" s="135" t="n">
        <f aca="false">$G11772*'Analyse capacite'!$C$8</f>
        <v>0</v>
      </c>
      <c r="J11772" s="135" t="n">
        <f aca="false">$G11772*'Analyse capacite'!$D$8</f>
        <v>0</v>
      </c>
      <c r="K11772" s="135" t="n">
        <f aca="false">$G11772*'Analyse capacite'!$E$8</f>
        <v>0</v>
      </c>
    </row>
    <row r="11773" customFormat="false" ht="15" hidden="false" customHeight="false" outlineLevel="0" collapsed="false">
      <c r="B11773" s="130" t="n">
        <v>2028</v>
      </c>
      <c r="C11773" s="131" t="s">
        <v>256</v>
      </c>
      <c r="D11773" s="132" t="n">
        <v>46804</v>
      </c>
      <c r="E11773" s="131" t="s">
        <v>59</v>
      </c>
      <c r="F11773" s="133" t="s">
        <v>24</v>
      </c>
      <c r="G11773" s="134" t="n">
        <f aca="false">LEN('Saisie programme'!$D$435)+SUMIFS('Vols additionnels'!$E$7:$E$66,'Vols additionnels'!$C$7:$C$66,$E11773,'Vols additionnels'!$D$7:$D$66,$F11773,'Vols additionnels'!$B$7:$B$66,$D11773)</f>
        <v>1</v>
      </c>
      <c r="H11773" s="135" t="n">
        <f aca="false">$G11773*'Analyse capacite'!$F$9</f>
        <v>174</v>
      </c>
      <c r="I11773" s="135" t="n">
        <f aca="false">$G11773*'Analyse capacite'!$C$9</f>
        <v>0</v>
      </c>
      <c r="J11773" s="135" t="n">
        <f aca="false">$G11773*'Analyse capacite'!$D$9</f>
        <v>12</v>
      </c>
      <c r="K11773" s="135" t="n">
        <f aca="false">$G11773*'Analyse capacite'!$E$9</f>
        <v>162</v>
      </c>
    </row>
    <row r="11774" customFormat="false" ht="15" hidden="false" customHeight="false" outlineLevel="0" collapsed="false">
      <c r="B11774" s="130" t="n">
        <v>2028</v>
      </c>
      <c r="C11774" s="131" t="s">
        <v>256</v>
      </c>
      <c r="D11774" s="132" t="n">
        <v>46804</v>
      </c>
      <c r="E11774" s="131" t="s">
        <v>62</v>
      </c>
      <c r="F11774" s="133" t="s">
        <v>11</v>
      </c>
      <c r="G11774" s="134" t="n">
        <f aca="false">LEN('Saisie programme'!$D$436)+SUMIFS('Vols additionnels'!$E$7:$E$66,'Vols additionnels'!$C$7:$C$66,$E11774,'Vols additionnels'!$D$7:$D$66,$F11774,'Vols additionnels'!$B$7:$B$66,$D11774)</f>
        <v>0</v>
      </c>
      <c r="H11774" s="135" t="n">
        <f aca="false">$G11774*'Analyse capacite'!$F$7</f>
        <v>0</v>
      </c>
      <c r="I11774" s="135" t="n">
        <f aca="false">$G11774*'Analyse capacite'!$C$7</f>
        <v>0</v>
      </c>
      <c r="J11774" s="135" t="n">
        <f aca="false">$G11774*'Analyse capacite'!$D$7</f>
        <v>0</v>
      </c>
      <c r="K11774" s="135" t="n">
        <f aca="false">$G11774*'Analyse capacite'!$E$7</f>
        <v>0</v>
      </c>
    </row>
    <row r="11775" customFormat="false" ht="15" hidden="false" customHeight="false" outlineLevel="0" collapsed="false">
      <c r="B11775" s="130" t="n">
        <v>2028</v>
      </c>
      <c r="C11775" s="131" t="s">
        <v>256</v>
      </c>
      <c r="D11775" s="132" t="n">
        <v>46804</v>
      </c>
      <c r="E11775" s="131" t="s">
        <v>62</v>
      </c>
      <c r="F11775" s="133" t="s">
        <v>19</v>
      </c>
      <c r="G11775" s="134" t="n">
        <f aca="false">LEN('Saisie programme'!$D$437)+SUMIFS('Vols additionnels'!$E$7:$E$66,'Vols additionnels'!$C$7:$C$66,$E11775,'Vols additionnels'!$D$7:$D$66,$F11775,'Vols additionnels'!$B$7:$B$66,$D11775)</f>
        <v>0</v>
      </c>
      <c r="H11775" s="135" t="n">
        <f aca="false">$G11775*'Analyse capacite'!$F$8</f>
        <v>0</v>
      </c>
      <c r="I11775" s="135" t="n">
        <f aca="false">$G11775*'Analyse capacite'!$C$8</f>
        <v>0</v>
      </c>
      <c r="J11775" s="135" t="n">
        <f aca="false">$G11775*'Analyse capacite'!$D$8</f>
        <v>0</v>
      </c>
      <c r="K11775" s="135" t="n">
        <f aca="false">$G11775*'Analyse capacite'!$E$8</f>
        <v>0</v>
      </c>
    </row>
    <row r="11776" customFormat="false" ht="15" hidden="false" customHeight="false" outlineLevel="0" collapsed="false">
      <c r="B11776" s="130" t="n">
        <v>2028</v>
      </c>
      <c r="C11776" s="131" t="s">
        <v>256</v>
      </c>
      <c r="D11776" s="132" t="n">
        <v>46804</v>
      </c>
      <c r="E11776" s="131" t="s">
        <v>62</v>
      </c>
      <c r="F11776" s="133" t="s">
        <v>24</v>
      </c>
      <c r="G11776" s="134" t="n">
        <f aca="false">LEN('Saisie programme'!$D$438)+SUMIFS('Vols additionnels'!$E$7:$E$66,'Vols additionnels'!$C$7:$C$66,$E11776,'Vols additionnels'!$D$7:$D$66,$F11776,'Vols additionnels'!$B$7:$B$66,$D11776)</f>
        <v>0</v>
      </c>
      <c r="H11776" s="135" t="n">
        <f aca="false">$G11776*'Analyse capacite'!$F$9</f>
        <v>0</v>
      </c>
      <c r="I11776" s="135" t="n">
        <f aca="false">$G11776*'Analyse capacite'!$C$9</f>
        <v>0</v>
      </c>
      <c r="J11776" s="135" t="n">
        <f aca="false">$G11776*'Analyse capacite'!$D$9</f>
        <v>0</v>
      </c>
      <c r="K11776" s="135" t="n">
        <f aca="false">$G11776*'Analyse capacite'!$E$9</f>
        <v>0</v>
      </c>
    </row>
    <row r="11777" customFormat="false" ht="15" hidden="false" customHeight="false" outlineLevel="0" collapsed="false">
      <c r="B11777" s="130" t="n">
        <v>2028</v>
      </c>
      <c r="C11777" s="131" t="s">
        <v>256</v>
      </c>
      <c r="D11777" s="132" t="n">
        <v>46805</v>
      </c>
      <c r="E11777" s="131" t="s">
        <v>12</v>
      </c>
      <c r="F11777" s="133" t="s">
        <v>11</v>
      </c>
      <c r="G11777" s="134" t="n">
        <f aca="false">LEN('Saisie programme'!$E$403)+SUMIFS('Vols additionnels'!$E$7:$E$66,'Vols additionnels'!$C$7:$C$66,$E11777,'Vols additionnels'!$D$7:$D$66,$F11777,'Vols additionnels'!$B$7:$B$66,$D11777)</f>
        <v>1</v>
      </c>
      <c r="H11777" s="135" t="n">
        <f aca="false">$G11777*'Analyse capacite'!$F$7</f>
        <v>438</v>
      </c>
      <c r="I11777" s="135" t="n">
        <f aca="false">$G11777*'Analyse capacite'!$C$7</f>
        <v>14</v>
      </c>
      <c r="J11777" s="135" t="n">
        <f aca="false">$G11777*'Analyse capacite'!$D$7</f>
        <v>40</v>
      </c>
      <c r="K11777" s="135" t="n">
        <f aca="false">$G11777*'Analyse capacite'!$E$7</f>
        <v>384</v>
      </c>
    </row>
    <row r="11778" customFormat="false" ht="15" hidden="false" customHeight="false" outlineLevel="0" collapsed="false">
      <c r="B11778" s="130" t="n">
        <v>2028</v>
      </c>
      <c r="C11778" s="131" t="s">
        <v>256</v>
      </c>
      <c r="D11778" s="132" t="n">
        <v>46805</v>
      </c>
      <c r="E11778" s="131" t="s">
        <v>12</v>
      </c>
      <c r="F11778" s="133" t="s">
        <v>19</v>
      </c>
      <c r="G11778" s="134" t="n">
        <f aca="false">LEN('Saisie programme'!$E$404)+SUMIFS('Vols additionnels'!$E$7:$E$66,'Vols additionnels'!$C$7:$C$66,$E11778,'Vols additionnels'!$D$7:$D$66,$F11778,'Vols additionnels'!$B$7:$B$66,$D11778)</f>
        <v>0</v>
      </c>
      <c r="H11778" s="135" t="n">
        <f aca="false">$G11778*'Analyse capacite'!$F$8</f>
        <v>0</v>
      </c>
      <c r="I11778" s="135" t="n">
        <f aca="false">$G11778*'Analyse capacite'!$C$8</f>
        <v>0</v>
      </c>
      <c r="J11778" s="135" t="n">
        <f aca="false">$G11778*'Analyse capacite'!$D$8</f>
        <v>0</v>
      </c>
      <c r="K11778" s="135" t="n">
        <f aca="false">$G11778*'Analyse capacite'!$E$8</f>
        <v>0</v>
      </c>
    </row>
    <row r="11779" customFormat="false" ht="15" hidden="false" customHeight="false" outlineLevel="0" collapsed="false">
      <c r="B11779" s="130" t="n">
        <v>2028</v>
      </c>
      <c r="C11779" s="131" t="s">
        <v>256</v>
      </c>
      <c r="D11779" s="132" t="n">
        <v>46805</v>
      </c>
      <c r="E11779" s="131" t="s">
        <v>12</v>
      </c>
      <c r="F11779" s="133" t="s">
        <v>24</v>
      </c>
      <c r="G11779" s="134" t="n">
        <f aca="false">LEN('Saisie programme'!$E$405)+SUMIFS('Vols additionnels'!$E$7:$E$66,'Vols additionnels'!$C$7:$C$66,$E11779,'Vols additionnels'!$D$7:$D$66,$F11779,'Vols additionnels'!$B$7:$B$66,$D11779)</f>
        <v>0</v>
      </c>
      <c r="H11779" s="135" t="n">
        <f aca="false">$G11779*'Analyse capacite'!$F$9</f>
        <v>0</v>
      </c>
      <c r="I11779" s="135" t="n">
        <f aca="false">$G11779*'Analyse capacite'!$C$9</f>
        <v>0</v>
      </c>
      <c r="J11779" s="135" t="n">
        <f aca="false">$G11779*'Analyse capacite'!$D$9</f>
        <v>0</v>
      </c>
      <c r="K11779" s="135" t="n">
        <f aca="false">$G11779*'Analyse capacite'!$E$9</f>
        <v>0</v>
      </c>
    </row>
    <row r="11780" customFormat="false" ht="15" hidden="false" customHeight="false" outlineLevel="0" collapsed="false">
      <c r="B11780" s="130" t="n">
        <v>2028</v>
      </c>
      <c r="C11780" s="131" t="s">
        <v>256</v>
      </c>
      <c r="D11780" s="132" t="n">
        <v>46805</v>
      </c>
      <c r="E11780" s="131" t="s">
        <v>20</v>
      </c>
      <c r="F11780" s="133" t="s">
        <v>11</v>
      </c>
      <c r="G11780" s="134" t="n">
        <f aca="false">LEN('Saisie programme'!$E$406)+SUMIFS('Vols additionnels'!$E$7:$E$66,'Vols additionnels'!$C$7:$C$66,$E11780,'Vols additionnels'!$D$7:$D$66,$F11780,'Vols additionnels'!$B$7:$B$66,$D11780)</f>
        <v>0</v>
      </c>
      <c r="H11780" s="135" t="n">
        <f aca="false">$G11780*'Analyse capacite'!$F$7</f>
        <v>0</v>
      </c>
      <c r="I11780" s="135" t="n">
        <f aca="false">$G11780*'Analyse capacite'!$C$7</f>
        <v>0</v>
      </c>
      <c r="J11780" s="135" t="n">
        <f aca="false">$G11780*'Analyse capacite'!$D$7</f>
        <v>0</v>
      </c>
      <c r="K11780" s="135" t="n">
        <f aca="false">$G11780*'Analyse capacite'!$E$7</f>
        <v>0</v>
      </c>
    </row>
    <row r="11781" customFormat="false" ht="15" hidden="false" customHeight="false" outlineLevel="0" collapsed="false">
      <c r="B11781" s="130" t="n">
        <v>2028</v>
      </c>
      <c r="C11781" s="131" t="s">
        <v>256</v>
      </c>
      <c r="D11781" s="132" t="n">
        <v>46805</v>
      </c>
      <c r="E11781" s="131" t="s">
        <v>20</v>
      </c>
      <c r="F11781" s="133" t="s">
        <v>19</v>
      </c>
      <c r="G11781" s="134" t="n">
        <f aca="false">LEN('Saisie programme'!$E$407)+SUMIFS('Vols additionnels'!$E$7:$E$66,'Vols additionnels'!$C$7:$C$66,$E11781,'Vols additionnels'!$D$7:$D$66,$F11781,'Vols additionnels'!$B$7:$B$66,$D11781)</f>
        <v>1</v>
      </c>
      <c r="H11781" s="135" t="n">
        <f aca="false">$G11781*'Analyse capacite'!$F$8</f>
        <v>262</v>
      </c>
      <c r="I11781" s="135" t="n">
        <f aca="false">$G11781*'Analyse capacite'!$C$8</f>
        <v>18</v>
      </c>
      <c r="J11781" s="135" t="n">
        <f aca="false">$G11781*'Analyse capacite'!$D$8</f>
        <v>0</v>
      </c>
      <c r="K11781" s="135" t="n">
        <f aca="false">$G11781*'Analyse capacite'!$E$8</f>
        <v>244</v>
      </c>
    </row>
    <row r="11782" customFormat="false" ht="15" hidden="false" customHeight="false" outlineLevel="0" collapsed="false">
      <c r="B11782" s="130" t="n">
        <v>2028</v>
      </c>
      <c r="C11782" s="131" t="s">
        <v>256</v>
      </c>
      <c r="D11782" s="132" t="n">
        <v>46805</v>
      </c>
      <c r="E11782" s="131" t="s">
        <v>20</v>
      </c>
      <c r="F11782" s="133" t="s">
        <v>24</v>
      </c>
      <c r="G11782" s="134" t="n">
        <f aca="false">LEN('Saisie programme'!$E$408)+SUMIFS('Vols additionnels'!$E$7:$E$66,'Vols additionnels'!$C$7:$C$66,$E11782,'Vols additionnels'!$D$7:$D$66,$F11782,'Vols additionnels'!$B$7:$B$66,$D11782)</f>
        <v>0</v>
      </c>
      <c r="H11782" s="135" t="n">
        <f aca="false">$G11782*'Analyse capacite'!$F$9</f>
        <v>0</v>
      </c>
      <c r="I11782" s="135" t="n">
        <f aca="false">$G11782*'Analyse capacite'!$C$9</f>
        <v>0</v>
      </c>
      <c r="J11782" s="135" t="n">
        <f aca="false">$G11782*'Analyse capacite'!$D$9</f>
        <v>0</v>
      </c>
      <c r="K11782" s="135" t="n">
        <f aca="false">$G11782*'Analyse capacite'!$E$9</f>
        <v>0</v>
      </c>
    </row>
    <row r="11783" customFormat="false" ht="15" hidden="false" customHeight="false" outlineLevel="0" collapsed="false">
      <c r="B11783" s="130" t="n">
        <v>2028</v>
      </c>
      <c r="C11783" s="131" t="s">
        <v>256</v>
      </c>
      <c r="D11783" s="132" t="n">
        <v>46805</v>
      </c>
      <c r="E11783" s="131" t="s">
        <v>25</v>
      </c>
      <c r="F11783" s="133" t="s">
        <v>11</v>
      </c>
      <c r="G11783" s="134" t="n">
        <f aca="false">LEN('Saisie programme'!$E$409)+SUMIFS('Vols additionnels'!$E$7:$E$66,'Vols additionnels'!$C$7:$C$66,$E11783,'Vols additionnels'!$D$7:$D$66,$F11783,'Vols additionnels'!$B$7:$B$66,$D11783)</f>
        <v>0</v>
      </c>
      <c r="H11783" s="135" t="n">
        <f aca="false">$G11783*'Analyse capacite'!$F$7</f>
        <v>0</v>
      </c>
      <c r="I11783" s="135" t="n">
        <f aca="false">$G11783*'Analyse capacite'!$C$7</f>
        <v>0</v>
      </c>
      <c r="J11783" s="135" t="n">
        <f aca="false">$G11783*'Analyse capacite'!$D$7</f>
        <v>0</v>
      </c>
      <c r="K11783" s="135" t="n">
        <f aca="false">$G11783*'Analyse capacite'!$E$7</f>
        <v>0</v>
      </c>
    </row>
    <row r="11784" customFormat="false" ht="15" hidden="false" customHeight="false" outlineLevel="0" collapsed="false">
      <c r="B11784" s="130" t="n">
        <v>2028</v>
      </c>
      <c r="C11784" s="131" t="s">
        <v>256</v>
      </c>
      <c r="D11784" s="132" t="n">
        <v>46805</v>
      </c>
      <c r="E11784" s="131" t="s">
        <v>25</v>
      </c>
      <c r="F11784" s="133" t="s">
        <v>19</v>
      </c>
      <c r="G11784" s="134" t="n">
        <f aca="false">LEN('Saisie programme'!$E$410)+SUMIFS('Vols additionnels'!$E$7:$E$66,'Vols additionnels'!$C$7:$C$66,$E11784,'Vols additionnels'!$D$7:$D$66,$F11784,'Vols additionnels'!$B$7:$B$66,$D11784)</f>
        <v>0</v>
      </c>
      <c r="H11784" s="135" t="n">
        <f aca="false">$G11784*'Analyse capacite'!$F$8</f>
        <v>0</v>
      </c>
      <c r="I11784" s="135" t="n">
        <f aca="false">$G11784*'Analyse capacite'!$C$8</f>
        <v>0</v>
      </c>
      <c r="J11784" s="135" t="n">
        <f aca="false">$G11784*'Analyse capacite'!$D$8</f>
        <v>0</v>
      </c>
      <c r="K11784" s="135" t="n">
        <f aca="false">$G11784*'Analyse capacite'!$E$8</f>
        <v>0</v>
      </c>
    </row>
    <row r="11785" customFormat="false" ht="15" hidden="false" customHeight="false" outlineLevel="0" collapsed="false">
      <c r="B11785" s="130" t="n">
        <v>2028</v>
      </c>
      <c r="C11785" s="131" t="s">
        <v>256</v>
      </c>
      <c r="D11785" s="132" t="n">
        <v>46805</v>
      </c>
      <c r="E11785" s="131" t="s">
        <v>25</v>
      </c>
      <c r="F11785" s="133" t="s">
        <v>24</v>
      </c>
      <c r="G11785" s="134" t="n">
        <f aca="false">LEN('Saisie programme'!$E$411)+SUMIFS('Vols additionnels'!$E$7:$E$66,'Vols additionnels'!$C$7:$C$66,$E11785,'Vols additionnels'!$D$7:$D$66,$F11785,'Vols additionnels'!$B$7:$B$66,$D11785)</f>
        <v>0</v>
      </c>
      <c r="H11785" s="135" t="n">
        <f aca="false">$G11785*'Analyse capacite'!$F$9</f>
        <v>0</v>
      </c>
      <c r="I11785" s="135" t="n">
        <f aca="false">$G11785*'Analyse capacite'!$C$9</f>
        <v>0</v>
      </c>
      <c r="J11785" s="135" t="n">
        <f aca="false">$G11785*'Analyse capacite'!$D$9</f>
        <v>0</v>
      </c>
      <c r="K11785" s="135" t="n">
        <f aca="false">$G11785*'Analyse capacite'!$E$9</f>
        <v>0</v>
      </c>
    </row>
    <row r="11786" customFormat="false" ht="15" hidden="false" customHeight="false" outlineLevel="0" collapsed="false">
      <c r="B11786" s="130" t="n">
        <v>2028</v>
      </c>
      <c r="C11786" s="131" t="s">
        <v>256</v>
      </c>
      <c r="D11786" s="132" t="n">
        <v>46805</v>
      </c>
      <c r="E11786" s="131" t="s">
        <v>36</v>
      </c>
      <c r="F11786" s="133" t="s">
        <v>11</v>
      </c>
      <c r="G11786" s="134" t="n">
        <f aca="false">LEN('Saisie programme'!$E$412)+SUMIFS('Vols additionnels'!$E$7:$E$66,'Vols additionnels'!$C$7:$C$66,$E11786,'Vols additionnels'!$D$7:$D$66,$F11786,'Vols additionnels'!$B$7:$B$66,$D11786)</f>
        <v>0</v>
      </c>
      <c r="H11786" s="135" t="n">
        <f aca="false">$G11786*'Analyse capacite'!$F$7</f>
        <v>0</v>
      </c>
      <c r="I11786" s="135" t="n">
        <f aca="false">$G11786*'Analyse capacite'!$C$7</f>
        <v>0</v>
      </c>
      <c r="J11786" s="135" t="n">
        <f aca="false">$G11786*'Analyse capacite'!$D$7</f>
        <v>0</v>
      </c>
      <c r="K11786" s="135" t="n">
        <f aca="false">$G11786*'Analyse capacite'!$E$7</f>
        <v>0</v>
      </c>
    </row>
    <row r="11787" customFormat="false" ht="15" hidden="false" customHeight="false" outlineLevel="0" collapsed="false">
      <c r="B11787" s="130" t="n">
        <v>2028</v>
      </c>
      <c r="C11787" s="131" t="s">
        <v>256</v>
      </c>
      <c r="D11787" s="132" t="n">
        <v>46805</v>
      </c>
      <c r="E11787" s="131" t="s">
        <v>36</v>
      </c>
      <c r="F11787" s="133" t="s">
        <v>19</v>
      </c>
      <c r="G11787" s="134" t="n">
        <f aca="false">LEN('Saisie programme'!$E$413)+SUMIFS('Vols additionnels'!$E$7:$E$66,'Vols additionnels'!$C$7:$C$66,$E11787,'Vols additionnels'!$D$7:$D$66,$F11787,'Vols additionnels'!$B$7:$B$66,$D11787)</f>
        <v>0</v>
      </c>
      <c r="H11787" s="135" t="n">
        <f aca="false">$G11787*'Analyse capacite'!$F$8</f>
        <v>0</v>
      </c>
      <c r="I11787" s="135" t="n">
        <f aca="false">$G11787*'Analyse capacite'!$C$8</f>
        <v>0</v>
      </c>
      <c r="J11787" s="135" t="n">
        <f aca="false">$G11787*'Analyse capacite'!$D$8</f>
        <v>0</v>
      </c>
      <c r="K11787" s="135" t="n">
        <f aca="false">$G11787*'Analyse capacite'!$E$8</f>
        <v>0</v>
      </c>
    </row>
    <row r="11788" customFormat="false" ht="15" hidden="false" customHeight="false" outlineLevel="0" collapsed="false">
      <c r="B11788" s="130" t="n">
        <v>2028</v>
      </c>
      <c r="C11788" s="131" t="s">
        <v>256</v>
      </c>
      <c r="D11788" s="132" t="n">
        <v>46805</v>
      </c>
      <c r="E11788" s="131" t="s">
        <v>36</v>
      </c>
      <c r="F11788" s="133" t="s">
        <v>24</v>
      </c>
      <c r="G11788" s="134" t="n">
        <f aca="false">LEN('Saisie programme'!$E$414)+SUMIFS('Vols additionnels'!$E$7:$E$66,'Vols additionnels'!$C$7:$C$66,$E11788,'Vols additionnels'!$D$7:$D$66,$F11788,'Vols additionnels'!$B$7:$B$66,$D11788)</f>
        <v>1</v>
      </c>
      <c r="H11788" s="135" t="n">
        <f aca="false">$G11788*'Analyse capacite'!$F$9</f>
        <v>174</v>
      </c>
      <c r="I11788" s="135" t="n">
        <f aca="false">$G11788*'Analyse capacite'!$C$9</f>
        <v>0</v>
      </c>
      <c r="J11788" s="135" t="n">
        <f aca="false">$G11788*'Analyse capacite'!$D$9</f>
        <v>12</v>
      </c>
      <c r="K11788" s="135" t="n">
        <f aca="false">$G11788*'Analyse capacite'!$E$9</f>
        <v>162</v>
      </c>
    </row>
    <row r="11789" customFormat="false" ht="15" hidden="false" customHeight="false" outlineLevel="0" collapsed="false">
      <c r="B11789" s="130" t="n">
        <v>2028</v>
      </c>
      <c r="C11789" s="131" t="s">
        <v>256</v>
      </c>
      <c r="D11789" s="132" t="n">
        <v>46805</v>
      </c>
      <c r="E11789" s="131" t="s">
        <v>40</v>
      </c>
      <c r="F11789" s="133" t="s">
        <v>11</v>
      </c>
      <c r="G11789" s="134" t="n">
        <f aca="false">LEN('Saisie programme'!$E$415)+SUMIFS('Vols additionnels'!$E$7:$E$66,'Vols additionnels'!$C$7:$C$66,$E11789,'Vols additionnels'!$D$7:$D$66,$F11789,'Vols additionnels'!$B$7:$B$66,$D11789)</f>
        <v>0</v>
      </c>
      <c r="H11789" s="135" t="n">
        <f aca="false">$G11789*'Analyse capacite'!$F$7</f>
        <v>0</v>
      </c>
      <c r="I11789" s="135" t="n">
        <f aca="false">$G11789*'Analyse capacite'!$C$7</f>
        <v>0</v>
      </c>
      <c r="J11789" s="135" t="n">
        <f aca="false">$G11789*'Analyse capacite'!$D$7</f>
        <v>0</v>
      </c>
      <c r="K11789" s="135" t="n">
        <f aca="false">$G11789*'Analyse capacite'!$E$7</f>
        <v>0</v>
      </c>
    </row>
    <row r="11790" customFormat="false" ht="15" hidden="false" customHeight="false" outlineLevel="0" collapsed="false">
      <c r="B11790" s="130" t="n">
        <v>2028</v>
      </c>
      <c r="C11790" s="131" t="s">
        <v>256</v>
      </c>
      <c r="D11790" s="132" t="n">
        <v>46805</v>
      </c>
      <c r="E11790" s="131" t="s">
        <v>40</v>
      </c>
      <c r="F11790" s="133" t="s">
        <v>19</v>
      </c>
      <c r="G11790" s="134" t="n">
        <f aca="false">LEN('Saisie programme'!$E$416)+SUMIFS('Vols additionnels'!$E$7:$E$66,'Vols additionnels'!$C$7:$C$66,$E11790,'Vols additionnels'!$D$7:$D$66,$F11790,'Vols additionnels'!$B$7:$B$66,$D11790)</f>
        <v>0</v>
      </c>
      <c r="H11790" s="135" t="n">
        <f aca="false">$G11790*'Analyse capacite'!$F$8</f>
        <v>0</v>
      </c>
      <c r="I11790" s="135" t="n">
        <f aca="false">$G11790*'Analyse capacite'!$C$8</f>
        <v>0</v>
      </c>
      <c r="J11790" s="135" t="n">
        <f aca="false">$G11790*'Analyse capacite'!$D$8</f>
        <v>0</v>
      </c>
      <c r="K11790" s="135" t="n">
        <f aca="false">$G11790*'Analyse capacite'!$E$8</f>
        <v>0</v>
      </c>
    </row>
    <row r="11791" customFormat="false" ht="15" hidden="false" customHeight="false" outlineLevel="0" collapsed="false">
      <c r="B11791" s="130" t="n">
        <v>2028</v>
      </c>
      <c r="C11791" s="131" t="s">
        <v>256</v>
      </c>
      <c r="D11791" s="132" t="n">
        <v>46805</v>
      </c>
      <c r="E11791" s="131" t="s">
        <v>40</v>
      </c>
      <c r="F11791" s="133" t="s">
        <v>24</v>
      </c>
      <c r="G11791" s="134" t="n">
        <f aca="false">LEN('Saisie programme'!$E$417)+SUMIFS('Vols additionnels'!$E$7:$E$66,'Vols additionnels'!$C$7:$C$66,$E11791,'Vols additionnels'!$D$7:$D$66,$F11791,'Vols additionnels'!$B$7:$B$66,$D11791)</f>
        <v>0</v>
      </c>
      <c r="H11791" s="135" t="n">
        <f aca="false">$G11791*'Analyse capacite'!$F$9</f>
        <v>0</v>
      </c>
      <c r="I11791" s="135" t="n">
        <f aca="false">$G11791*'Analyse capacite'!$C$9</f>
        <v>0</v>
      </c>
      <c r="J11791" s="135" t="n">
        <f aca="false">$G11791*'Analyse capacite'!$D$9</f>
        <v>0</v>
      </c>
      <c r="K11791" s="135" t="n">
        <f aca="false">$G11791*'Analyse capacite'!$E$9</f>
        <v>0</v>
      </c>
    </row>
    <row r="11792" customFormat="false" ht="15" hidden="false" customHeight="false" outlineLevel="0" collapsed="false">
      <c r="B11792" s="130" t="n">
        <v>2028</v>
      </c>
      <c r="C11792" s="131" t="s">
        <v>256</v>
      </c>
      <c r="D11792" s="132" t="n">
        <v>46805</v>
      </c>
      <c r="E11792" s="131" t="s">
        <v>14</v>
      </c>
      <c r="F11792" s="133" t="s">
        <v>11</v>
      </c>
      <c r="G11792" s="134" t="n">
        <f aca="false">LEN('Saisie programme'!$E$418)+SUMIFS('Vols additionnels'!$E$7:$E$66,'Vols additionnels'!$C$7:$C$66,$E11792,'Vols additionnels'!$D$7:$D$66,$F11792,'Vols additionnels'!$B$7:$B$66,$D11792)</f>
        <v>0</v>
      </c>
      <c r="H11792" s="135" t="n">
        <f aca="false">$G11792*'Analyse capacite'!$F$7</f>
        <v>0</v>
      </c>
      <c r="I11792" s="135" t="n">
        <f aca="false">$G11792*'Analyse capacite'!$C$7</f>
        <v>0</v>
      </c>
      <c r="J11792" s="135" t="n">
        <f aca="false">$G11792*'Analyse capacite'!$D$7</f>
        <v>0</v>
      </c>
      <c r="K11792" s="135" t="n">
        <f aca="false">$G11792*'Analyse capacite'!$E$7</f>
        <v>0</v>
      </c>
    </row>
    <row r="11793" customFormat="false" ht="15" hidden="false" customHeight="false" outlineLevel="0" collapsed="false">
      <c r="B11793" s="130" t="n">
        <v>2028</v>
      </c>
      <c r="C11793" s="131" t="s">
        <v>256</v>
      </c>
      <c r="D11793" s="132" t="n">
        <v>46805</v>
      </c>
      <c r="E11793" s="131" t="s">
        <v>14</v>
      </c>
      <c r="F11793" s="133" t="s">
        <v>19</v>
      </c>
      <c r="G11793" s="134" t="n">
        <f aca="false">LEN('Saisie programme'!$E$419)+SUMIFS('Vols additionnels'!$E$7:$E$66,'Vols additionnels'!$C$7:$C$66,$E11793,'Vols additionnels'!$D$7:$D$66,$F11793,'Vols additionnels'!$B$7:$B$66,$D11793)</f>
        <v>0</v>
      </c>
      <c r="H11793" s="135" t="n">
        <f aca="false">$G11793*'Analyse capacite'!$F$8</f>
        <v>0</v>
      </c>
      <c r="I11793" s="135" t="n">
        <f aca="false">$G11793*'Analyse capacite'!$C$8</f>
        <v>0</v>
      </c>
      <c r="J11793" s="135" t="n">
        <f aca="false">$G11793*'Analyse capacite'!$D$8</f>
        <v>0</v>
      </c>
      <c r="K11793" s="135" t="n">
        <f aca="false">$G11793*'Analyse capacite'!$E$8</f>
        <v>0</v>
      </c>
    </row>
    <row r="11794" customFormat="false" ht="15" hidden="false" customHeight="false" outlineLevel="0" collapsed="false">
      <c r="B11794" s="130" t="n">
        <v>2028</v>
      </c>
      <c r="C11794" s="131" t="s">
        <v>256</v>
      </c>
      <c r="D11794" s="132" t="n">
        <v>46805</v>
      </c>
      <c r="E11794" s="131" t="s">
        <v>14</v>
      </c>
      <c r="F11794" s="133" t="s">
        <v>24</v>
      </c>
      <c r="G11794" s="134" t="n">
        <f aca="false">LEN('Saisie programme'!$E$420)+SUMIFS('Vols additionnels'!$E$7:$E$66,'Vols additionnels'!$C$7:$C$66,$E11794,'Vols additionnels'!$D$7:$D$66,$F11794,'Vols additionnels'!$B$7:$B$66,$D11794)</f>
        <v>0</v>
      </c>
      <c r="H11794" s="135" t="n">
        <f aca="false">$G11794*'Analyse capacite'!$F$9</f>
        <v>0</v>
      </c>
      <c r="I11794" s="135" t="n">
        <f aca="false">$G11794*'Analyse capacite'!$C$9</f>
        <v>0</v>
      </c>
      <c r="J11794" s="135" t="n">
        <f aca="false">$G11794*'Analyse capacite'!$D$9</f>
        <v>0</v>
      </c>
      <c r="K11794" s="135" t="n">
        <f aca="false">$G11794*'Analyse capacite'!$E$9</f>
        <v>0</v>
      </c>
    </row>
    <row r="11795" customFormat="false" ht="15" hidden="false" customHeight="false" outlineLevel="0" collapsed="false">
      <c r="B11795" s="130" t="n">
        <v>2028</v>
      </c>
      <c r="C11795" s="131" t="s">
        <v>256</v>
      </c>
      <c r="D11795" s="132" t="n">
        <v>46805</v>
      </c>
      <c r="E11795" s="131" t="s">
        <v>46</v>
      </c>
      <c r="F11795" s="133" t="s">
        <v>11</v>
      </c>
      <c r="G11795" s="134" t="n">
        <f aca="false">LEN('Saisie programme'!$E$421)+SUMIFS('Vols additionnels'!$E$7:$E$66,'Vols additionnels'!$C$7:$C$66,$E11795,'Vols additionnels'!$D$7:$D$66,$F11795,'Vols additionnels'!$B$7:$B$66,$D11795)</f>
        <v>0</v>
      </c>
      <c r="H11795" s="135" t="n">
        <f aca="false">$G11795*'Analyse capacite'!$F$7</f>
        <v>0</v>
      </c>
      <c r="I11795" s="135" t="n">
        <f aca="false">$G11795*'Analyse capacite'!$C$7</f>
        <v>0</v>
      </c>
      <c r="J11795" s="135" t="n">
        <f aca="false">$G11795*'Analyse capacite'!$D$7</f>
        <v>0</v>
      </c>
      <c r="K11795" s="135" t="n">
        <f aca="false">$G11795*'Analyse capacite'!$E$7</f>
        <v>0</v>
      </c>
    </row>
    <row r="11796" customFormat="false" ht="15" hidden="false" customHeight="false" outlineLevel="0" collapsed="false">
      <c r="B11796" s="130" t="n">
        <v>2028</v>
      </c>
      <c r="C11796" s="131" t="s">
        <v>256</v>
      </c>
      <c r="D11796" s="132" t="n">
        <v>46805</v>
      </c>
      <c r="E11796" s="131" t="s">
        <v>46</v>
      </c>
      <c r="F11796" s="133" t="s">
        <v>19</v>
      </c>
      <c r="G11796" s="134" t="n">
        <f aca="false">LEN('Saisie programme'!$E$422)+SUMIFS('Vols additionnels'!$E$7:$E$66,'Vols additionnels'!$C$7:$C$66,$E11796,'Vols additionnels'!$D$7:$D$66,$F11796,'Vols additionnels'!$B$7:$B$66,$D11796)</f>
        <v>0</v>
      </c>
      <c r="H11796" s="135" t="n">
        <f aca="false">$G11796*'Analyse capacite'!$F$8</f>
        <v>0</v>
      </c>
      <c r="I11796" s="135" t="n">
        <f aca="false">$G11796*'Analyse capacite'!$C$8</f>
        <v>0</v>
      </c>
      <c r="J11796" s="135" t="n">
        <f aca="false">$G11796*'Analyse capacite'!$D$8</f>
        <v>0</v>
      </c>
      <c r="K11796" s="135" t="n">
        <f aca="false">$G11796*'Analyse capacite'!$E$8</f>
        <v>0</v>
      </c>
    </row>
    <row r="11797" customFormat="false" ht="15" hidden="false" customHeight="false" outlineLevel="0" collapsed="false">
      <c r="B11797" s="130" t="n">
        <v>2028</v>
      </c>
      <c r="C11797" s="131" t="s">
        <v>256</v>
      </c>
      <c r="D11797" s="132" t="n">
        <v>46805</v>
      </c>
      <c r="E11797" s="131" t="s">
        <v>46</v>
      </c>
      <c r="F11797" s="133" t="s">
        <v>24</v>
      </c>
      <c r="G11797" s="134" t="n">
        <f aca="false">LEN('Saisie programme'!$E$423)+SUMIFS('Vols additionnels'!$E$7:$E$66,'Vols additionnels'!$C$7:$C$66,$E11797,'Vols additionnels'!$D$7:$D$66,$F11797,'Vols additionnels'!$B$7:$B$66,$D11797)</f>
        <v>1</v>
      </c>
      <c r="H11797" s="135" t="n">
        <f aca="false">$G11797*'Analyse capacite'!$F$9</f>
        <v>174</v>
      </c>
      <c r="I11797" s="135" t="n">
        <f aca="false">$G11797*'Analyse capacite'!$C$9</f>
        <v>0</v>
      </c>
      <c r="J11797" s="135" t="n">
        <f aca="false">$G11797*'Analyse capacite'!$D$9</f>
        <v>12</v>
      </c>
      <c r="K11797" s="135" t="n">
        <f aca="false">$G11797*'Analyse capacite'!$E$9</f>
        <v>162</v>
      </c>
    </row>
    <row r="11798" customFormat="false" ht="15" hidden="false" customHeight="false" outlineLevel="0" collapsed="false">
      <c r="B11798" s="130" t="n">
        <v>2028</v>
      </c>
      <c r="C11798" s="131" t="s">
        <v>256</v>
      </c>
      <c r="D11798" s="132" t="n">
        <v>46805</v>
      </c>
      <c r="E11798" s="131" t="s">
        <v>49</v>
      </c>
      <c r="F11798" s="133" t="s">
        <v>11</v>
      </c>
      <c r="G11798" s="134" t="n">
        <f aca="false">LEN('Saisie programme'!$E$424)+SUMIFS('Vols additionnels'!$E$7:$E$66,'Vols additionnels'!$C$7:$C$66,$E11798,'Vols additionnels'!$D$7:$D$66,$F11798,'Vols additionnels'!$B$7:$B$66,$D11798)</f>
        <v>0</v>
      </c>
      <c r="H11798" s="135" t="n">
        <f aca="false">$G11798*'Analyse capacite'!$F$7</f>
        <v>0</v>
      </c>
      <c r="I11798" s="135" t="n">
        <f aca="false">$G11798*'Analyse capacite'!$C$7</f>
        <v>0</v>
      </c>
      <c r="J11798" s="135" t="n">
        <f aca="false">$G11798*'Analyse capacite'!$D$7</f>
        <v>0</v>
      </c>
      <c r="K11798" s="135" t="n">
        <f aca="false">$G11798*'Analyse capacite'!$E$7</f>
        <v>0</v>
      </c>
    </row>
    <row r="11799" customFormat="false" ht="15" hidden="false" customHeight="false" outlineLevel="0" collapsed="false">
      <c r="B11799" s="130" t="n">
        <v>2028</v>
      </c>
      <c r="C11799" s="131" t="s">
        <v>256</v>
      </c>
      <c r="D11799" s="132" t="n">
        <v>46805</v>
      </c>
      <c r="E11799" s="131" t="s">
        <v>49</v>
      </c>
      <c r="F11799" s="133" t="s">
        <v>19</v>
      </c>
      <c r="G11799" s="134" t="n">
        <f aca="false">LEN('Saisie programme'!$E$425)+SUMIFS('Vols additionnels'!$E$7:$E$66,'Vols additionnels'!$C$7:$C$66,$E11799,'Vols additionnels'!$D$7:$D$66,$F11799,'Vols additionnels'!$B$7:$B$66,$D11799)</f>
        <v>0</v>
      </c>
      <c r="H11799" s="135" t="n">
        <f aca="false">$G11799*'Analyse capacite'!$F$8</f>
        <v>0</v>
      </c>
      <c r="I11799" s="135" t="n">
        <f aca="false">$G11799*'Analyse capacite'!$C$8</f>
        <v>0</v>
      </c>
      <c r="J11799" s="135" t="n">
        <f aca="false">$G11799*'Analyse capacite'!$D$8</f>
        <v>0</v>
      </c>
      <c r="K11799" s="135" t="n">
        <f aca="false">$G11799*'Analyse capacite'!$E$8</f>
        <v>0</v>
      </c>
    </row>
    <row r="11800" customFormat="false" ht="15" hidden="false" customHeight="false" outlineLevel="0" collapsed="false">
      <c r="B11800" s="130" t="n">
        <v>2028</v>
      </c>
      <c r="C11800" s="131" t="s">
        <v>256</v>
      </c>
      <c r="D11800" s="132" t="n">
        <v>46805</v>
      </c>
      <c r="E11800" s="131" t="s">
        <v>49</v>
      </c>
      <c r="F11800" s="133" t="s">
        <v>24</v>
      </c>
      <c r="G11800" s="134" t="n">
        <f aca="false">LEN('Saisie programme'!$E$426)+SUMIFS('Vols additionnels'!$E$7:$E$66,'Vols additionnels'!$C$7:$C$66,$E11800,'Vols additionnels'!$D$7:$D$66,$F11800,'Vols additionnels'!$B$7:$B$66,$D11800)</f>
        <v>0</v>
      </c>
      <c r="H11800" s="135" t="n">
        <f aca="false">$G11800*'Analyse capacite'!$F$9</f>
        <v>0</v>
      </c>
      <c r="I11800" s="135" t="n">
        <f aca="false">$G11800*'Analyse capacite'!$C$9</f>
        <v>0</v>
      </c>
      <c r="J11800" s="135" t="n">
        <f aca="false">$G11800*'Analyse capacite'!$D$9</f>
        <v>0</v>
      </c>
      <c r="K11800" s="135" t="n">
        <f aca="false">$G11800*'Analyse capacite'!$E$9</f>
        <v>0</v>
      </c>
    </row>
    <row r="11801" customFormat="false" ht="15" hidden="false" customHeight="false" outlineLevel="0" collapsed="false">
      <c r="B11801" s="130" t="n">
        <v>2028</v>
      </c>
      <c r="C11801" s="131" t="s">
        <v>256</v>
      </c>
      <c r="D11801" s="132" t="n">
        <v>46805</v>
      </c>
      <c r="E11801" s="131" t="s">
        <v>53</v>
      </c>
      <c r="F11801" s="133" t="s">
        <v>11</v>
      </c>
      <c r="G11801" s="134" t="n">
        <f aca="false">LEN('Saisie programme'!$E$427)+SUMIFS('Vols additionnels'!$E$7:$E$66,'Vols additionnels'!$C$7:$C$66,$E11801,'Vols additionnels'!$D$7:$D$66,$F11801,'Vols additionnels'!$B$7:$B$66,$D11801)</f>
        <v>0</v>
      </c>
      <c r="H11801" s="135" t="n">
        <f aca="false">$G11801*'Analyse capacite'!$F$7</f>
        <v>0</v>
      </c>
      <c r="I11801" s="135" t="n">
        <f aca="false">$G11801*'Analyse capacite'!$C$7</f>
        <v>0</v>
      </c>
      <c r="J11801" s="135" t="n">
        <f aca="false">$G11801*'Analyse capacite'!$D$7</f>
        <v>0</v>
      </c>
      <c r="K11801" s="135" t="n">
        <f aca="false">$G11801*'Analyse capacite'!$E$7</f>
        <v>0</v>
      </c>
    </row>
    <row r="11802" customFormat="false" ht="15" hidden="false" customHeight="false" outlineLevel="0" collapsed="false">
      <c r="B11802" s="130" t="n">
        <v>2028</v>
      </c>
      <c r="C11802" s="131" t="s">
        <v>256</v>
      </c>
      <c r="D11802" s="132" t="n">
        <v>46805</v>
      </c>
      <c r="E11802" s="131" t="s">
        <v>53</v>
      </c>
      <c r="F11802" s="133" t="s">
        <v>19</v>
      </c>
      <c r="G11802" s="134" t="n">
        <f aca="false">LEN('Saisie programme'!$E$428)+SUMIFS('Vols additionnels'!$E$7:$E$66,'Vols additionnels'!$C$7:$C$66,$E11802,'Vols additionnels'!$D$7:$D$66,$F11802,'Vols additionnels'!$B$7:$B$66,$D11802)</f>
        <v>0</v>
      </c>
      <c r="H11802" s="135" t="n">
        <f aca="false">$G11802*'Analyse capacite'!$F$8</f>
        <v>0</v>
      </c>
      <c r="I11802" s="135" t="n">
        <f aca="false">$G11802*'Analyse capacite'!$C$8</f>
        <v>0</v>
      </c>
      <c r="J11802" s="135" t="n">
        <f aca="false">$G11802*'Analyse capacite'!$D$8</f>
        <v>0</v>
      </c>
      <c r="K11802" s="135" t="n">
        <f aca="false">$G11802*'Analyse capacite'!$E$8</f>
        <v>0</v>
      </c>
    </row>
    <row r="11803" customFormat="false" ht="15" hidden="false" customHeight="false" outlineLevel="0" collapsed="false">
      <c r="B11803" s="130" t="n">
        <v>2028</v>
      </c>
      <c r="C11803" s="131" t="s">
        <v>256</v>
      </c>
      <c r="D11803" s="132" t="n">
        <v>46805</v>
      </c>
      <c r="E11803" s="131" t="s">
        <v>53</v>
      </c>
      <c r="F11803" s="133" t="s">
        <v>24</v>
      </c>
      <c r="G11803" s="134" t="n">
        <f aca="false">LEN('Saisie programme'!$E$429)+SUMIFS('Vols additionnels'!$E$7:$E$66,'Vols additionnels'!$C$7:$C$66,$E11803,'Vols additionnels'!$D$7:$D$66,$F11803,'Vols additionnels'!$B$7:$B$66,$D11803)</f>
        <v>0</v>
      </c>
      <c r="H11803" s="135" t="n">
        <f aca="false">$G11803*'Analyse capacite'!$F$9</f>
        <v>0</v>
      </c>
      <c r="I11803" s="135" t="n">
        <f aca="false">$G11803*'Analyse capacite'!$C$9</f>
        <v>0</v>
      </c>
      <c r="J11803" s="135" t="n">
        <f aca="false">$G11803*'Analyse capacite'!$D$9</f>
        <v>0</v>
      </c>
      <c r="K11803" s="135" t="n">
        <f aca="false">$G11803*'Analyse capacite'!$E$9</f>
        <v>0</v>
      </c>
    </row>
    <row r="11804" customFormat="false" ht="15" hidden="false" customHeight="false" outlineLevel="0" collapsed="false">
      <c r="B11804" s="130" t="n">
        <v>2028</v>
      </c>
      <c r="C11804" s="131" t="s">
        <v>256</v>
      </c>
      <c r="D11804" s="132" t="n">
        <v>46805</v>
      </c>
      <c r="E11804" s="131" t="s">
        <v>56</v>
      </c>
      <c r="F11804" s="133" t="s">
        <v>11</v>
      </c>
      <c r="G11804" s="134" t="n">
        <f aca="false">LEN('Saisie programme'!$E$430)+SUMIFS('Vols additionnels'!$E$7:$E$66,'Vols additionnels'!$C$7:$C$66,$E11804,'Vols additionnels'!$D$7:$D$66,$F11804,'Vols additionnels'!$B$7:$B$66,$D11804)</f>
        <v>0</v>
      </c>
      <c r="H11804" s="135" t="n">
        <f aca="false">$G11804*'Analyse capacite'!$F$7</f>
        <v>0</v>
      </c>
      <c r="I11804" s="135" t="n">
        <f aca="false">$G11804*'Analyse capacite'!$C$7</f>
        <v>0</v>
      </c>
      <c r="J11804" s="135" t="n">
        <f aca="false">$G11804*'Analyse capacite'!$D$7</f>
        <v>0</v>
      </c>
      <c r="K11804" s="135" t="n">
        <f aca="false">$G11804*'Analyse capacite'!$E$7</f>
        <v>0</v>
      </c>
    </row>
    <row r="11805" customFormat="false" ht="15" hidden="false" customHeight="false" outlineLevel="0" collapsed="false">
      <c r="B11805" s="130" t="n">
        <v>2028</v>
      </c>
      <c r="C11805" s="131" t="s">
        <v>256</v>
      </c>
      <c r="D11805" s="132" t="n">
        <v>46805</v>
      </c>
      <c r="E11805" s="131" t="s">
        <v>56</v>
      </c>
      <c r="F11805" s="133" t="s">
        <v>19</v>
      </c>
      <c r="G11805" s="134" t="n">
        <f aca="false">LEN('Saisie programme'!$E$431)+SUMIFS('Vols additionnels'!$E$7:$E$66,'Vols additionnels'!$C$7:$C$66,$E11805,'Vols additionnels'!$D$7:$D$66,$F11805,'Vols additionnels'!$B$7:$B$66,$D11805)</f>
        <v>0</v>
      </c>
      <c r="H11805" s="135" t="n">
        <f aca="false">$G11805*'Analyse capacite'!$F$8</f>
        <v>0</v>
      </c>
      <c r="I11805" s="135" t="n">
        <f aca="false">$G11805*'Analyse capacite'!$C$8</f>
        <v>0</v>
      </c>
      <c r="J11805" s="135" t="n">
        <f aca="false">$G11805*'Analyse capacite'!$D$8</f>
        <v>0</v>
      </c>
      <c r="K11805" s="135" t="n">
        <f aca="false">$G11805*'Analyse capacite'!$E$8</f>
        <v>0</v>
      </c>
    </row>
    <row r="11806" customFormat="false" ht="15" hidden="false" customHeight="false" outlineLevel="0" collapsed="false">
      <c r="B11806" s="130" t="n">
        <v>2028</v>
      </c>
      <c r="C11806" s="131" t="s">
        <v>256</v>
      </c>
      <c r="D11806" s="132" t="n">
        <v>46805</v>
      </c>
      <c r="E11806" s="131" t="s">
        <v>56</v>
      </c>
      <c r="F11806" s="133" t="s">
        <v>24</v>
      </c>
      <c r="G11806" s="134" t="n">
        <f aca="false">LEN('Saisie programme'!$E$432)+SUMIFS('Vols additionnels'!$E$7:$E$66,'Vols additionnels'!$C$7:$C$66,$E11806,'Vols additionnels'!$D$7:$D$66,$F11806,'Vols additionnels'!$B$7:$B$66,$D11806)</f>
        <v>1</v>
      </c>
      <c r="H11806" s="135" t="n">
        <f aca="false">$G11806*'Analyse capacite'!$F$9</f>
        <v>174</v>
      </c>
      <c r="I11806" s="135" t="n">
        <f aca="false">$G11806*'Analyse capacite'!$C$9</f>
        <v>0</v>
      </c>
      <c r="J11806" s="135" t="n">
        <f aca="false">$G11806*'Analyse capacite'!$D$9</f>
        <v>12</v>
      </c>
      <c r="K11806" s="135" t="n">
        <f aca="false">$G11806*'Analyse capacite'!$E$9</f>
        <v>162</v>
      </c>
    </row>
    <row r="11807" customFormat="false" ht="15" hidden="false" customHeight="false" outlineLevel="0" collapsed="false">
      <c r="B11807" s="130" t="n">
        <v>2028</v>
      </c>
      <c r="C11807" s="131" t="s">
        <v>256</v>
      </c>
      <c r="D11807" s="132" t="n">
        <v>46805</v>
      </c>
      <c r="E11807" s="131" t="s">
        <v>59</v>
      </c>
      <c r="F11807" s="133" t="s">
        <v>11</v>
      </c>
      <c r="G11807" s="134" t="n">
        <f aca="false">LEN('Saisie programme'!$E$433)+SUMIFS('Vols additionnels'!$E$7:$E$66,'Vols additionnels'!$C$7:$C$66,$E11807,'Vols additionnels'!$D$7:$D$66,$F11807,'Vols additionnels'!$B$7:$B$66,$D11807)</f>
        <v>0</v>
      </c>
      <c r="H11807" s="135" t="n">
        <f aca="false">$G11807*'Analyse capacite'!$F$7</f>
        <v>0</v>
      </c>
      <c r="I11807" s="135" t="n">
        <f aca="false">$G11807*'Analyse capacite'!$C$7</f>
        <v>0</v>
      </c>
      <c r="J11807" s="135" t="n">
        <f aca="false">$G11807*'Analyse capacite'!$D$7</f>
        <v>0</v>
      </c>
      <c r="K11807" s="135" t="n">
        <f aca="false">$G11807*'Analyse capacite'!$E$7</f>
        <v>0</v>
      </c>
    </row>
    <row r="11808" customFormat="false" ht="15" hidden="false" customHeight="false" outlineLevel="0" collapsed="false">
      <c r="B11808" s="130" t="n">
        <v>2028</v>
      </c>
      <c r="C11808" s="131" t="s">
        <v>256</v>
      </c>
      <c r="D11808" s="132" t="n">
        <v>46805</v>
      </c>
      <c r="E11808" s="131" t="s">
        <v>59</v>
      </c>
      <c r="F11808" s="133" t="s">
        <v>19</v>
      </c>
      <c r="G11808" s="134" t="n">
        <f aca="false">LEN('Saisie programme'!$E$434)+SUMIFS('Vols additionnels'!$E$7:$E$66,'Vols additionnels'!$C$7:$C$66,$E11808,'Vols additionnels'!$D$7:$D$66,$F11808,'Vols additionnels'!$B$7:$B$66,$D11808)</f>
        <v>0</v>
      </c>
      <c r="H11808" s="135" t="n">
        <f aca="false">$G11808*'Analyse capacite'!$F$8</f>
        <v>0</v>
      </c>
      <c r="I11808" s="135" t="n">
        <f aca="false">$G11808*'Analyse capacite'!$C$8</f>
        <v>0</v>
      </c>
      <c r="J11808" s="135" t="n">
        <f aca="false">$G11808*'Analyse capacite'!$D$8</f>
        <v>0</v>
      </c>
      <c r="K11808" s="135" t="n">
        <f aca="false">$G11808*'Analyse capacite'!$E$8</f>
        <v>0</v>
      </c>
    </row>
    <row r="11809" customFormat="false" ht="15" hidden="false" customHeight="false" outlineLevel="0" collapsed="false">
      <c r="B11809" s="130" t="n">
        <v>2028</v>
      </c>
      <c r="C11809" s="131" t="s">
        <v>256</v>
      </c>
      <c r="D11809" s="132" t="n">
        <v>46805</v>
      </c>
      <c r="E11809" s="131" t="s">
        <v>59</v>
      </c>
      <c r="F11809" s="133" t="s">
        <v>24</v>
      </c>
      <c r="G11809" s="134" t="n">
        <f aca="false">LEN('Saisie programme'!$E$435)+SUMIFS('Vols additionnels'!$E$7:$E$66,'Vols additionnels'!$C$7:$C$66,$E11809,'Vols additionnels'!$D$7:$D$66,$F11809,'Vols additionnels'!$B$7:$B$66,$D11809)</f>
        <v>1</v>
      </c>
      <c r="H11809" s="135" t="n">
        <f aca="false">$G11809*'Analyse capacite'!$F$9</f>
        <v>174</v>
      </c>
      <c r="I11809" s="135" t="n">
        <f aca="false">$G11809*'Analyse capacite'!$C$9</f>
        <v>0</v>
      </c>
      <c r="J11809" s="135" t="n">
        <f aca="false">$G11809*'Analyse capacite'!$D$9</f>
        <v>12</v>
      </c>
      <c r="K11809" s="135" t="n">
        <f aca="false">$G11809*'Analyse capacite'!$E$9</f>
        <v>162</v>
      </c>
    </row>
    <row r="11810" customFormat="false" ht="15" hidden="false" customHeight="false" outlineLevel="0" collapsed="false">
      <c r="B11810" s="130" t="n">
        <v>2028</v>
      </c>
      <c r="C11810" s="131" t="s">
        <v>256</v>
      </c>
      <c r="D11810" s="132" t="n">
        <v>46805</v>
      </c>
      <c r="E11810" s="131" t="s">
        <v>62</v>
      </c>
      <c r="F11810" s="133" t="s">
        <v>11</v>
      </c>
      <c r="G11810" s="134" t="n">
        <f aca="false">LEN('Saisie programme'!$E$436)+SUMIFS('Vols additionnels'!$E$7:$E$66,'Vols additionnels'!$C$7:$C$66,$E11810,'Vols additionnels'!$D$7:$D$66,$F11810,'Vols additionnels'!$B$7:$B$66,$D11810)</f>
        <v>0</v>
      </c>
      <c r="H11810" s="135" t="n">
        <f aca="false">$G11810*'Analyse capacite'!$F$7</f>
        <v>0</v>
      </c>
      <c r="I11810" s="135" t="n">
        <f aca="false">$G11810*'Analyse capacite'!$C$7</f>
        <v>0</v>
      </c>
      <c r="J11810" s="135" t="n">
        <f aca="false">$G11810*'Analyse capacite'!$D$7</f>
        <v>0</v>
      </c>
      <c r="K11810" s="135" t="n">
        <f aca="false">$G11810*'Analyse capacite'!$E$7</f>
        <v>0</v>
      </c>
    </row>
    <row r="11811" customFormat="false" ht="15" hidden="false" customHeight="false" outlineLevel="0" collapsed="false">
      <c r="B11811" s="130" t="n">
        <v>2028</v>
      </c>
      <c r="C11811" s="131" t="s">
        <v>256</v>
      </c>
      <c r="D11811" s="132" t="n">
        <v>46805</v>
      </c>
      <c r="E11811" s="131" t="s">
        <v>62</v>
      </c>
      <c r="F11811" s="133" t="s">
        <v>19</v>
      </c>
      <c r="G11811" s="134" t="n">
        <f aca="false">LEN('Saisie programme'!$E$437)+SUMIFS('Vols additionnels'!$E$7:$E$66,'Vols additionnels'!$C$7:$C$66,$E11811,'Vols additionnels'!$D$7:$D$66,$F11811,'Vols additionnels'!$B$7:$B$66,$D11811)</f>
        <v>0</v>
      </c>
      <c r="H11811" s="135" t="n">
        <f aca="false">$G11811*'Analyse capacite'!$F$8</f>
        <v>0</v>
      </c>
      <c r="I11811" s="135" t="n">
        <f aca="false">$G11811*'Analyse capacite'!$C$8</f>
        <v>0</v>
      </c>
      <c r="J11811" s="135" t="n">
        <f aca="false">$G11811*'Analyse capacite'!$D$8</f>
        <v>0</v>
      </c>
      <c r="K11811" s="135" t="n">
        <f aca="false">$G11811*'Analyse capacite'!$E$8</f>
        <v>0</v>
      </c>
    </row>
    <row r="11812" customFormat="false" ht="15" hidden="false" customHeight="false" outlineLevel="0" collapsed="false">
      <c r="B11812" s="130" t="n">
        <v>2028</v>
      </c>
      <c r="C11812" s="131" t="s">
        <v>256</v>
      </c>
      <c r="D11812" s="132" t="n">
        <v>46805</v>
      </c>
      <c r="E11812" s="131" t="s">
        <v>62</v>
      </c>
      <c r="F11812" s="133" t="s">
        <v>24</v>
      </c>
      <c r="G11812" s="134" t="n">
        <f aca="false">LEN('Saisie programme'!$E$438)+SUMIFS('Vols additionnels'!$E$7:$E$66,'Vols additionnels'!$C$7:$C$66,$E11812,'Vols additionnels'!$D$7:$D$66,$F11812,'Vols additionnels'!$B$7:$B$66,$D11812)</f>
        <v>0</v>
      </c>
      <c r="H11812" s="135" t="n">
        <f aca="false">$G11812*'Analyse capacite'!$F$9</f>
        <v>0</v>
      </c>
      <c r="I11812" s="135" t="n">
        <f aca="false">$G11812*'Analyse capacite'!$C$9</f>
        <v>0</v>
      </c>
      <c r="J11812" s="135" t="n">
        <f aca="false">$G11812*'Analyse capacite'!$D$9</f>
        <v>0</v>
      </c>
      <c r="K11812" s="135" t="n">
        <f aca="false">$G11812*'Analyse capacite'!$E$9</f>
        <v>0</v>
      </c>
    </row>
    <row r="11813" customFormat="false" ht="15" hidden="false" customHeight="false" outlineLevel="0" collapsed="false">
      <c r="B11813" s="130" t="n">
        <v>2028</v>
      </c>
      <c r="C11813" s="131" t="s">
        <v>256</v>
      </c>
      <c r="D11813" s="132" t="n">
        <v>46806</v>
      </c>
      <c r="E11813" s="131" t="s">
        <v>12</v>
      </c>
      <c r="F11813" s="133" t="s">
        <v>11</v>
      </c>
      <c r="G11813" s="134" t="n">
        <f aca="false">LEN('Saisie programme'!$F$403)+SUMIFS('Vols additionnels'!$E$7:$E$66,'Vols additionnels'!$C$7:$C$66,$E11813,'Vols additionnels'!$D$7:$D$66,$F11813,'Vols additionnels'!$B$7:$B$66,$D11813)</f>
        <v>1</v>
      </c>
      <c r="H11813" s="135" t="n">
        <f aca="false">$G11813*'Analyse capacite'!$F$7</f>
        <v>438</v>
      </c>
      <c r="I11813" s="135" t="n">
        <f aca="false">$G11813*'Analyse capacite'!$C$7</f>
        <v>14</v>
      </c>
      <c r="J11813" s="135" t="n">
        <f aca="false">$G11813*'Analyse capacite'!$D$7</f>
        <v>40</v>
      </c>
      <c r="K11813" s="135" t="n">
        <f aca="false">$G11813*'Analyse capacite'!$E$7</f>
        <v>384</v>
      </c>
    </row>
    <row r="11814" customFormat="false" ht="15" hidden="false" customHeight="false" outlineLevel="0" collapsed="false">
      <c r="B11814" s="130" t="n">
        <v>2028</v>
      </c>
      <c r="C11814" s="131" t="s">
        <v>256</v>
      </c>
      <c r="D11814" s="132" t="n">
        <v>46806</v>
      </c>
      <c r="E11814" s="131" t="s">
        <v>12</v>
      </c>
      <c r="F11814" s="133" t="s">
        <v>19</v>
      </c>
      <c r="G11814" s="134" t="n">
        <f aca="false">LEN('Saisie programme'!$F$404)+SUMIFS('Vols additionnels'!$E$7:$E$66,'Vols additionnels'!$C$7:$C$66,$E11814,'Vols additionnels'!$D$7:$D$66,$F11814,'Vols additionnels'!$B$7:$B$66,$D11814)</f>
        <v>0</v>
      </c>
      <c r="H11814" s="135" t="n">
        <f aca="false">$G11814*'Analyse capacite'!$F$8</f>
        <v>0</v>
      </c>
      <c r="I11814" s="135" t="n">
        <f aca="false">$G11814*'Analyse capacite'!$C$8</f>
        <v>0</v>
      </c>
      <c r="J11814" s="135" t="n">
        <f aca="false">$G11814*'Analyse capacite'!$D$8</f>
        <v>0</v>
      </c>
      <c r="K11814" s="135" t="n">
        <f aca="false">$G11814*'Analyse capacite'!$E$8</f>
        <v>0</v>
      </c>
    </row>
    <row r="11815" customFormat="false" ht="15" hidden="false" customHeight="false" outlineLevel="0" collapsed="false">
      <c r="B11815" s="130" t="n">
        <v>2028</v>
      </c>
      <c r="C11815" s="131" t="s">
        <v>256</v>
      </c>
      <c r="D11815" s="132" t="n">
        <v>46806</v>
      </c>
      <c r="E11815" s="131" t="s">
        <v>12</v>
      </c>
      <c r="F11815" s="133" t="s">
        <v>24</v>
      </c>
      <c r="G11815" s="134" t="n">
        <f aca="false">LEN('Saisie programme'!$F$405)+SUMIFS('Vols additionnels'!$E$7:$E$66,'Vols additionnels'!$C$7:$C$66,$E11815,'Vols additionnels'!$D$7:$D$66,$F11815,'Vols additionnels'!$B$7:$B$66,$D11815)</f>
        <v>0</v>
      </c>
      <c r="H11815" s="135" t="n">
        <f aca="false">$G11815*'Analyse capacite'!$F$9</f>
        <v>0</v>
      </c>
      <c r="I11815" s="135" t="n">
        <f aca="false">$G11815*'Analyse capacite'!$C$9</f>
        <v>0</v>
      </c>
      <c r="J11815" s="135" t="n">
        <f aca="false">$G11815*'Analyse capacite'!$D$9</f>
        <v>0</v>
      </c>
      <c r="K11815" s="135" t="n">
        <f aca="false">$G11815*'Analyse capacite'!$E$9</f>
        <v>0</v>
      </c>
    </row>
    <row r="11816" customFormat="false" ht="15" hidden="false" customHeight="false" outlineLevel="0" collapsed="false">
      <c r="B11816" s="130" t="n">
        <v>2028</v>
      </c>
      <c r="C11816" s="131" t="s">
        <v>256</v>
      </c>
      <c r="D11816" s="132" t="n">
        <v>46806</v>
      </c>
      <c r="E11816" s="131" t="s">
        <v>20</v>
      </c>
      <c r="F11816" s="133" t="s">
        <v>11</v>
      </c>
      <c r="G11816" s="134" t="n">
        <f aca="false">LEN('Saisie programme'!$F$406)+SUMIFS('Vols additionnels'!$E$7:$E$66,'Vols additionnels'!$C$7:$C$66,$E11816,'Vols additionnels'!$D$7:$D$66,$F11816,'Vols additionnels'!$B$7:$B$66,$D11816)</f>
        <v>0</v>
      </c>
      <c r="H11816" s="135" t="n">
        <f aca="false">$G11816*'Analyse capacite'!$F$7</f>
        <v>0</v>
      </c>
      <c r="I11816" s="135" t="n">
        <f aca="false">$G11816*'Analyse capacite'!$C$7</f>
        <v>0</v>
      </c>
      <c r="J11816" s="135" t="n">
        <f aca="false">$G11816*'Analyse capacite'!$D$7</f>
        <v>0</v>
      </c>
      <c r="K11816" s="135" t="n">
        <f aca="false">$G11816*'Analyse capacite'!$E$7</f>
        <v>0</v>
      </c>
    </row>
    <row r="11817" customFormat="false" ht="15" hidden="false" customHeight="false" outlineLevel="0" collapsed="false">
      <c r="B11817" s="130" t="n">
        <v>2028</v>
      </c>
      <c r="C11817" s="131" t="s">
        <v>256</v>
      </c>
      <c r="D11817" s="132" t="n">
        <v>46806</v>
      </c>
      <c r="E11817" s="131" t="s">
        <v>20</v>
      </c>
      <c r="F11817" s="133" t="s">
        <v>19</v>
      </c>
      <c r="G11817" s="134" t="n">
        <f aca="false">LEN('Saisie programme'!$F$407)+SUMIFS('Vols additionnels'!$E$7:$E$66,'Vols additionnels'!$C$7:$C$66,$E11817,'Vols additionnels'!$D$7:$D$66,$F11817,'Vols additionnels'!$B$7:$B$66,$D11817)</f>
        <v>0</v>
      </c>
      <c r="H11817" s="135" t="n">
        <f aca="false">$G11817*'Analyse capacite'!$F$8</f>
        <v>0</v>
      </c>
      <c r="I11817" s="135" t="n">
        <f aca="false">$G11817*'Analyse capacite'!$C$8</f>
        <v>0</v>
      </c>
      <c r="J11817" s="135" t="n">
        <f aca="false">$G11817*'Analyse capacite'!$D$8</f>
        <v>0</v>
      </c>
      <c r="K11817" s="135" t="n">
        <f aca="false">$G11817*'Analyse capacite'!$E$8</f>
        <v>0</v>
      </c>
    </row>
    <row r="11818" customFormat="false" ht="15" hidden="false" customHeight="false" outlineLevel="0" collapsed="false">
      <c r="B11818" s="130" t="n">
        <v>2028</v>
      </c>
      <c r="C11818" s="131" t="s">
        <v>256</v>
      </c>
      <c r="D11818" s="132" t="n">
        <v>46806</v>
      </c>
      <c r="E11818" s="131" t="s">
        <v>20</v>
      </c>
      <c r="F11818" s="133" t="s">
        <v>24</v>
      </c>
      <c r="G11818" s="134" t="n">
        <f aca="false">LEN('Saisie programme'!$F$408)+SUMIFS('Vols additionnels'!$E$7:$E$66,'Vols additionnels'!$C$7:$C$66,$E11818,'Vols additionnels'!$D$7:$D$66,$F11818,'Vols additionnels'!$B$7:$B$66,$D11818)</f>
        <v>0</v>
      </c>
      <c r="H11818" s="135" t="n">
        <f aca="false">$G11818*'Analyse capacite'!$F$9</f>
        <v>0</v>
      </c>
      <c r="I11818" s="135" t="n">
        <f aca="false">$G11818*'Analyse capacite'!$C$9</f>
        <v>0</v>
      </c>
      <c r="J11818" s="135" t="n">
        <f aca="false">$G11818*'Analyse capacite'!$D$9</f>
        <v>0</v>
      </c>
      <c r="K11818" s="135" t="n">
        <f aca="false">$G11818*'Analyse capacite'!$E$9</f>
        <v>0</v>
      </c>
    </row>
    <row r="11819" customFormat="false" ht="15" hidden="false" customHeight="false" outlineLevel="0" collapsed="false">
      <c r="B11819" s="130" t="n">
        <v>2028</v>
      </c>
      <c r="C11819" s="131" t="s">
        <v>256</v>
      </c>
      <c r="D11819" s="132" t="n">
        <v>46806</v>
      </c>
      <c r="E11819" s="131" t="s">
        <v>25</v>
      </c>
      <c r="F11819" s="133" t="s">
        <v>11</v>
      </c>
      <c r="G11819" s="134" t="n">
        <f aca="false">LEN('Saisie programme'!$F$409)+SUMIFS('Vols additionnels'!$E$7:$E$66,'Vols additionnels'!$C$7:$C$66,$E11819,'Vols additionnels'!$D$7:$D$66,$F11819,'Vols additionnels'!$B$7:$B$66,$D11819)</f>
        <v>0</v>
      </c>
      <c r="H11819" s="135" t="n">
        <f aca="false">$G11819*'Analyse capacite'!$F$7</f>
        <v>0</v>
      </c>
      <c r="I11819" s="135" t="n">
        <f aca="false">$G11819*'Analyse capacite'!$C$7</f>
        <v>0</v>
      </c>
      <c r="J11819" s="135" t="n">
        <f aca="false">$G11819*'Analyse capacite'!$D$7</f>
        <v>0</v>
      </c>
      <c r="K11819" s="135" t="n">
        <f aca="false">$G11819*'Analyse capacite'!$E$7</f>
        <v>0</v>
      </c>
    </row>
    <row r="11820" customFormat="false" ht="15" hidden="false" customHeight="false" outlineLevel="0" collapsed="false">
      <c r="B11820" s="130" t="n">
        <v>2028</v>
      </c>
      <c r="C11820" s="131" t="s">
        <v>256</v>
      </c>
      <c r="D11820" s="132" t="n">
        <v>46806</v>
      </c>
      <c r="E11820" s="131" t="s">
        <v>25</v>
      </c>
      <c r="F11820" s="133" t="s">
        <v>19</v>
      </c>
      <c r="G11820" s="134" t="n">
        <f aca="false">LEN('Saisie programme'!$F$410)+SUMIFS('Vols additionnels'!$E$7:$E$66,'Vols additionnels'!$C$7:$C$66,$E11820,'Vols additionnels'!$D$7:$D$66,$F11820,'Vols additionnels'!$B$7:$B$66,$D11820)</f>
        <v>1</v>
      </c>
      <c r="H11820" s="135" t="n">
        <f aca="false">$G11820*'Analyse capacite'!$F$8</f>
        <v>262</v>
      </c>
      <c r="I11820" s="135" t="n">
        <f aca="false">$G11820*'Analyse capacite'!$C$8</f>
        <v>18</v>
      </c>
      <c r="J11820" s="135" t="n">
        <f aca="false">$G11820*'Analyse capacite'!$D$8</f>
        <v>0</v>
      </c>
      <c r="K11820" s="135" t="n">
        <f aca="false">$G11820*'Analyse capacite'!$E$8</f>
        <v>244</v>
      </c>
    </row>
    <row r="11821" customFormat="false" ht="15" hidden="false" customHeight="false" outlineLevel="0" collapsed="false">
      <c r="B11821" s="130" t="n">
        <v>2028</v>
      </c>
      <c r="C11821" s="131" t="s">
        <v>256</v>
      </c>
      <c r="D11821" s="132" t="n">
        <v>46806</v>
      </c>
      <c r="E11821" s="131" t="s">
        <v>25</v>
      </c>
      <c r="F11821" s="133" t="s">
        <v>24</v>
      </c>
      <c r="G11821" s="134" t="n">
        <f aca="false">LEN('Saisie programme'!$F$411)+SUMIFS('Vols additionnels'!$E$7:$E$66,'Vols additionnels'!$C$7:$C$66,$E11821,'Vols additionnels'!$D$7:$D$66,$F11821,'Vols additionnels'!$B$7:$B$66,$D11821)</f>
        <v>0</v>
      </c>
      <c r="H11821" s="135" t="n">
        <f aca="false">$G11821*'Analyse capacite'!$F$9</f>
        <v>0</v>
      </c>
      <c r="I11821" s="135" t="n">
        <f aca="false">$G11821*'Analyse capacite'!$C$9</f>
        <v>0</v>
      </c>
      <c r="J11821" s="135" t="n">
        <f aca="false">$G11821*'Analyse capacite'!$D$9</f>
        <v>0</v>
      </c>
      <c r="K11821" s="135" t="n">
        <f aca="false">$G11821*'Analyse capacite'!$E$9</f>
        <v>0</v>
      </c>
    </row>
    <row r="11822" customFormat="false" ht="15" hidden="false" customHeight="false" outlineLevel="0" collapsed="false">
      <c r="B11822" s="130" t="n">
        <v>2028</v>
      </c>
      <c r="C11822" s="131" t="s">
        <v>256</v>
      </c>
      <c r="D11822" s="132" t="n">
        <v>46806</v>
      </c>
      <c r="E11822" s="131" t="s">
        <v>36</v>
      </c>
      <c r="F11822" s="133" t="s">
        <v>11</v>
      </c>
      <c r="G11822" s="134" t="n">
        <f aca="false">LEN('Saisie programme'!$F$412)+SUMIFS('Vols additionnels'!$E$7:$E$66,'Vols additionnels'!$C$7:$C$66,$E11822,'Vols additionnels'!$D$7:$D$66,$F11822,'Vols additionnels'!$B$7:$B$66,$D11822)</f>
        <v>0</v>
      </c>
      <c r="H11822" s="135" t="n">
        <f aca="false">$G11822*'Analyse capacite'!$F$7</f>
        <v>0</v>
      </c>
      <c r="I11822" s="135" t="n">
        <f aca="false">$G11822*'Analyse capacite'!$C$7</f>
        <v>0</v>
      </c>
      <c r="J11822" s="135" t="n">
        <f aca="false">$G11822*'Analyse capacite'!$D$7</f>
        <v>0</v>
      </c>
      <c r="K11822" s="135" t="n">
        <f aca="false">$G11822*'Analyse capacite'!$E$7</f>
        <v>0</v>
      </c>
    </row>
    <row r="11823" customFormat="false" ht="15" hidden="false" customHeight="false" outlineLevel="0" collapsed="false">
      <c r="B11823" s="130" t="n">
        <v>2028</v>
      </c>
      <c r="C11823" s="131" t="s">
        <v>256</v>
      </c>
      <c r="D11823" s="132" t="n">
        <v>46806</v>
      </c>
      <c r="E11823" s="131" t="s">
        <v>36</v>
      </c>
      <c r="F11823" s="133" t="s">
        <v>19</v>
      </c>
      <c r="G11823" s="134" t="n">
        <f aca="false">LEN('Saisie programme'!$F$413)+SUMIFS('Vols additionnels'!$E$7:$E$66,'Vols additionnels'!$C$7:$C$66,$E11823,'Vols additionnels'!$D$7:$D$66,$F11823,'Vols additionnels'!$B$7:$B$66,$D11823)</f>
        <v>1</v>
      </c>
      <c r="H11823" s="135" t="n">
        <f aca="false">$G11823*'Analyse capacite'!$F$8</f>
        <v>262</v>
      </c>
      <c r="I11823" s="135" t="n">
        <f aca="false">$G11823*'Analyse capacite'!$C$8</f>
        <v>18</v>
      </c>
      <c r="J11823" s="135" t="n">
        <f aca="false">$G11823*'Analyse capacite'!$D$8</f>
        <v>0</v>
      </c>
      <c r="K11823" s="135" t="n">
        <f aca="false">$G11823*'Analyse capacite'!$E$8</f>
        <v>244</v>
      </c>
    </row>
    <row r="11824" customFormat="false" ht="15" hidden="false" customHeight="false" outlineLevel="0" collapsed="false">
      <c r="B11824" s="130" t="n">
        <v>2028</v>
      </c>
      <c r="C11824" s="131" t="s">
        <v>256</v>
      </c>
      <c r="D11824" s="132" t="n">
        <v>46806</v>
      </c>
      <c r="E11824" s="131" t="s">
        <v>36</v>
      </c>
      <c r="F11824" s="133" t="s">
        <v>24</v>
      </c>
      <c r="G11824" s="134" t="n">
        <f aca="false">LEN('Saisie programme'!$F$414)+SUMIFS('Vols additionnels'!$E$7:$E$66,'Vols additionnels'!$C$7:$C$66,$E11824,'Vols additionnels'!$D$7:$D$66,$F11824,'Vols additionnels'!$B$7:$B$66,$D11824)</f>
        <v>1</v>
      </c>
      <c r="H11824" s="135" t="n">
        <f aca="false">$G11824*'Analyse capacite'!$F$9</f>
        <v>174</v>
      </c>
      <c r="I11824" s="135" t="n">
        <f aca="false">$G11824*'Analyse capacite'!$C$9</f>
        <v>0</v>
      </c>
      <c r="J11824" s="135" t="n">
        <f aca="false">$G11824*'Analyse capacite'!$D$9</f>
        <v>12</v>
      </c>
      <c r="K11824" s="135" t="n">
        <f aca="false">$G11824*'Analyse capacite'!$E$9</f>
        <v>162</v>
      </c>
    </row>
    <row r="11825" customFormat="false" ht="15" hidden="false" customHeight="false" outlineLevel="0" collapsed="false">
      <c r="B11825" s="130" t="n">
        <v>2028</v>
      </c>
      <c r="C11825" s="131" t="s">
        <v>256</v>
      </c>
      <c r="D11825" s="132" t="n">
        <v>46806</v>
      </c>
      <c r="E11825" s="131" t="s">
        <v>40</v>
      </c>
      <c r="F11825" s="133" t="s">
        <v>11</v>
      </c>
      <c r="G11825" s="134" t="n">
        <f aca="false">LEN('Saisie programme'!$F$415)+SUMIFS('Vols additionnels'!$E$7:$E$66,'Vols additionnels'!$C$7:$C$66,$E11825,'Vols additionnels'!$D$7:$D$66,$F11825,'Vols additionnels'!$B$7:$B$66,$D11825)</f>
        <v>0</v>
      </c>
      <c r="H11825" s="135" t="n">
        <f aca="false">$G11825*'Analyse capacite'!$F$7</f>
        <v>0</v>
      </c>
      <c r="I11825" s="135" t="n">
        <f aca="false">$G11825*'Analyse capacite'!$C$7</f>
        <v>0</v>
      </c>
      <c r="J11825" s="135" t="n">
        <f aca="false">$G11825*'Analyse capacite'!$D$7</f>
        <v>0</v>
      </c>
      <c r="K11825" s="135" t="n">
        <f aca="false">$G11825*'Analyse capacite'!$E$7</f>
        <v>0</v>
      </c>
    </row>
    <row r="11826" customFormat="false" ht="15" hidden="false" customHeight="false" outlineLevel="0" collapsed="false">
      <c r="B11826" s="130" t="n">
        <v>2028</v>
      </c>
      <c r="C11826" s="131" t="s">
        <v>256</v>
      </c>
      <c r="D11826" s="132" t="n">
        <v>46806</v>
      </c>
      <c r="E11826" s="131" t="s">
        <v>40</v>
      </c>
      <c r="F11826" s="133" t="s">
        <v>19</v>
      </c>
      <c r="G11826" s="134" t="n">
        <f aca="false">LEN('Saisie programme'!$F$416)+SUMIFS('Vols additionnels'!$E$7:$E$66,'Vols additionnels'!$C$7:$C$66,$E11826,'Vols additionnels'!$D$7:$D$66,$F11826,'Vols additionnels'!$B$7:$B$66,$D11826)</f>
        <v>0</v>
      </c>
      <c r="H11826" s="135" t="n">
        <f aca="false">$G11826*'Analyse capacite'!$F$8</f>
        <v>0</v>
      </c>
      <c r="I11826" s="135" t="n">
        <f aca="false">$G11826*'Analyse capacite'!$C$8</f>
        <v>0</v>
      </c>
      <c r="J11826" s="135" t="n">
        <f aca="false">$G11826*'Analyse capacite'!$D$8</f>
        <v>0</v>
      </c>
      <c r="K11826" s="135" t="n">
        <f aca="false">$G11826*'Analyse capacite'!$E$8</f>
        <v>0</v>
      </c>
    </row>
    <row r="11827" customFormat="false" ht="15" hidden="false" customHeight="false" outlineLevel="0" collapsed="false">
      <c r="B11827" s="130" t="n">
        <v>2028</v>
      </c>
      <c r="C11827" s="131" t="s">
        <v>256</v>
      </c>
      <c r="D11827" s="132" t="n">
        <v>46806</v>
      </c>
      <c r="E11827" s="131" t="s">
        <v>40</v>
      </c>
      <c r="F11827" s="133" t="s">
        <v>24</v>
      </c>
      <c r="G11827" s="134" t="n">
        <f aca="false">LEN('Saisie programme'!$F$417)+SUMIFS('Vols additionnels'!$E$7:$E$66,'Vols additionnels'!$C$7:$C$66,$E11827,'Vols additionnels'!$D$7:$D$66,$F11827,'Vols additionnels'!$B$7:$B$66,$D11827)</f>
        <v>1</v>
      </c>
      <c r="H11827" s="135" t="n">
        <f aca="false">$G11827*'Analyse capacite'!$F$9</f>
        <v>174</v>
      </c>
      <c r="I11827" s="135" t="n">
        <f aca="false">$G11827*'Analyse capacite'!$C$9</f>
        <v>0</v>
      </c>
      <c r="J11827" s="135" t="n">
        <f aca="false">$G11827*'Analyse capacite'!$D$9</f>
        <v>12</v>
      </c>
      <c r="K11827" s="135" t="n">
        <f aca="false">$G11827*'Analyse capacite'!$E$9</f>
        <v>162</v>
      </c>
    </row>
    <row r="11828" customFormat="false" ht="15" hidden="false" customHeight="false" outlineLevel="0" collapsed="false">
      <c r="B11828" s="130" t="n">
        <v>2028</v>
      </c>
      <c r="C11828" s="131" t="s">
        <v>256</v>
      </c>
      <c r="D11828" s="132" t="n">
        <v>46806</v>
      </c>
      <c r="E11828" s="131" t="s">
        <v>14</v>
      </c>
      <c r="F11828" s="133" t="s">
        <v>11</v>
      </c>
      <c r="G11828" s="134" t="n">
        <f aca="false">LEN('Saisie programme'!$F$418)+SUMIFS('Vols additionnels'!$E$7:$E$66,'Vols additionnels'!$C$7:$C$66,$E11828,'Vols additionnels'!$D$7:$D$66,$F11828,'Vols additionnels'!$B$7:$B$66,$D11828)</f>
        <v>0</v>
      </c>
      <c r="H11828" s="135" t="n">
        <f aca="false">$G11828*'Analyse capacite'!$F$7</f>
        <v>0</v>
      </c>
      <c r="I11828" s="135" t="n">
        <f aca="false">$G11828*'Analyse capacite'!$C$7</f>
        <v>0</v>
      </c>
      <c r="J11828" s="135" t="n">
        <f aca="false">$G11828*'Analyse capacite'!$D$7</f>
        <v>0</v>
      </c>
      <c r="K11828" s="135" t="n">
        <f aca="false">$G11828*'Analyse capacite'!$E$7</f>
        <v>0</v>
      </c>
    </row>
    <row r="11829" customFormat="false" ht="15" hidden="false" customHeight="false" outlineLevel="0" collapsed="false">
      <c r="B11829" s="130" t="n">
        <v>2028</v>
      </c>
      <c r="C11829" s="131" t="s">
        <v>256</v>
      </c>
      <c r="D11829" s="132" t="n">
        <v>46806</v>
      </c>
      <c r="E11829" s="131" t="s">
        <v>14</v>
      </c>
      <c r="F11829" s="133" t="s">
        <v>19</v>
      </c>
      <c r="G11829" s="134" t="n">
        <f aca="false">LEN('Saisie programme'!$F$419)+SUMIFS('Vols additionnels'!$E$7:$E$66,'Vols additionnels'!$C$7:$C$66,$E11829,'Vols additionnels'!$D$7:$D$66,$F11829,'Vols additionnels'!$B$7:$B$66,$D11829)</f>
        <v>0</v>
      </c>
      <c r="H11829" s="135" t="n">
        <f aca="false">$G11829*'Analyse capacite'!$F$8</f>
        <v>0</v>
      </c>
      <c r="I11829" s="135" t="n">
        <f aca="false">$G11829*'Analyse capacite'!$C$8</f>
        <v>0</v>
      </c>
      <c r="J11829" s="135" t="n">
        <f aca="false">$G11829*'Analyse capacite'!$D$8</f>
        <v>0</v>
      </c>
      <c r="K11829" s="135" t="n">
        <f aca="false">$G11829*'Analyse capacite'!$E$8</f>
        <v>0</v>
      </c>
    </row>
    <row r="11830" customFormat="false" ht="15" hidden="false" customHeight="false" outlineLevel="0" collapsed="false">
      <c r="B11830" s="130" t="n">
        <v>2028</v>
      </c>
      <c r="C11830" s="131" t="s">
        <v>256</v>
      </c>
      <c r="D11830" s="132" t="n">
        <v>46806</v>
      </c>
      <c r="E11830" s="131" t="s">
        <v>14</v>
      </c>
      <c r="F11830" s="133" t="s">
        <v>24</v>
      </c>
      <c r="G11830" s="134" t="n">
        <f aca="false">LEN('Saisie programme'!$F$420)+SUMIFS('Vols additionnels'!$E$7:$E$66,'Vols additionnels'!$C$7:$C$66,$E11830,'Vols additionnels'!$D$7:$D$66,$F11830,'Vols additionnels'!$B$7:$B$66,$D11830)</f>
        <v>0</v>
      </c>
      <c r="H11830" s="135" t="n">
        <f aca="false">$G11830*'Analyse capacite'!$F$9</f>
        <v>0</v>
      </c>
      <c r="I11830" s="135" t="n">
        <f aca="false">$G11830*'Analyse capacite'!$C$9</f>
        <v>0</v>
      </c>
      <c r="J11830" s="135" t="n">
        <f aca="false">$G11830*'Analyse capacite'!$D$9</f>
        <v>0</v>
      </c>
      <c r="K11830" s="135" t="n">
        <f aca="false">$G11830*'Analyse capacite'!$E$9</f>
        <v>0</v>
      </c>
    </row>
    <row r="11831" customFormat="false" ht="15" hidden="false" customHeight="false" outlineLevel="0" collapsed="false">
      <c r="B11831" s="130" t="n">
        <v>2028</v>
      </c>
      <c r="C11831" s="131" t="s">
        <v>256</v>
      </c>
      <c r="D11831" s="132" t="n">
        <v>46806</v>
      </c>
      <c r="E11831" s="131" t="s">
        <v>46</v>
      </c>
      <c r="F11831" s="133" t="s">
        <v>11</v>
      </c>
      <c r="G11831" s="134" t="n">
        <f aca="false">LEN('Saisie programme'!$F$421)+SUMIFS('Vols additionnels'!$E$7:$E$66,'Vols additionnels'!$C$7:$C$66,$E11831,'Vols additionnels'!$D$7:$D$66,$F11831,'Vols additionnels'!$B$7:$B$66,$D11831)</f>
        <v>0</v>
      </c>
      <c r="H11831" s="135" t="n">
        <f aca="false">$G11831*'Analyse capacite'!$F$7</f>
        <v>0</v>
      </c>
      <c r="I11831" s="135" t="n">
        <f aca="false">$G11831*'Analyse capacite'!$C$7</f>
        <v>0</v>
      </c>
      <c r="J11831" s="135" t="n">
        <f aca="false">$G11831*'Analyse capacite'!$D$7</f>
        <v>0</v>
      </c>
      <c r="K11831" s="135" t="n">
        <f aca="false">$G11831*'Analyse capacite'!$E$7</f>
        <v>0</v>
      </c>
    </row>
    <row r="11832" customFormat="false" ht="15" hidden="false" customHeight="false" outlineLevel="0" collapsed="false">
      <c r="B11832" s="130" t="n">
        <v>2028</v>
      </c>
      <c r="C11832" s="131" t="s">
        <v>256</v>
      </c>
      <c r="D11832" s="132" t="n">
        <v>46806</v>
      </c>
      <c r="E11832" s="131" t="s">
        <v>46</v>
      </c>
      <c r="F11832" s="133" t="s">
        <v>19</v>
      </c>
      <c r="G11832" s="134" t="n">
        <f aca="false">LEN('Saisie programme'!$F$422)+SUMIFS('Vols additionnels'!$E$7:$E$66,'Vols additionnels'!$C$7:$C$66,$E11832,'Vols additionnels'!$D$7:$D$66,$F11832,'Vols additionnels'!$B$7:$B$66,$D11832)</f>
        <v>0</v>
      </c>
      <c r="H11832" s="135" t="n">
        <f aca="false">$G11832*'Analyse capacite'!$F$8</f>
        <v>0</v>
      </c>
      <c r="I11832" s="135" t="n">
        <f aca="false">$G11832*'Analyse capacite'!$C$8</f>
        <v>0</v>
      </c>
      <c r="J11832" s="135" t="n">
        <f aca="false">$G11832*'Analyse capacite'!$D$8</f>
        <v>0</v>
      </c>
      <c r="K11832" s="135" t="n">
        <f aca="false">$G11832*'Analyse capacite'!$E$8</f>
        <v>0</v>
      </c>
    </row>
    <row r="11833" customFormat="false" ht="15" hidden="false" customHeight="false" outlineLevel="0" collapsed="false">
      <c r="B11833" s="130" t="n">
        <v>2028</v>
      </c>
      <c r="C11833" s="131" t="s">
        <v>256</v>
      </c>
      <c r="D11833" s="132" t="n">
        <v>46806</v>
      </c>
      <c r="E11833" s="131" t="s">
        <v>46</v>
      </c>
      <c r="F11833" s="133" t="s">
        <v>24</v>
      </c>
      <c r="G11833" s="134" t="n">
        <f aca="false">LEN('Saisie programme'!$F$423)+SUMIFS('Vols additionnels'!$E$7:$E$66,'Vols additionnels'!$C$7:$C$66,$E11833,'Vols additionnels'!$D$7:$D$66,$F11833,'Vols additionnels'!$B$7:$B$66,$D11833)</f>
        <v>0</v>
      </c>
      <c r="H11833" s="135" t="n">
        <f aca="false">$G11833*'Analyse capacite'!$F$9</f>
        <v>0</v>
      </c>
      <c r="I11833" s="135" t="n">
        <f aca="false">$G11833*'Analyse capacite'!$C$9</f>
        <v>0</v>
      </c>
      <c r="J11833" s="135" t="n">
        <f aca="false">$G11833*'Analyse capacite'!$D$9</f>
        <v>0</v>
      </c>
      <c r="K11833" s="135" t="n">
        <f aca="false">$G11833*'Analyse capacite'!$E$9</f>
        <v>0</v>
      </c>
    </row>
    <row r="11834" customFormat="false" ht="15" hidden="false" customHeight="false" outlineLevel="0" collapsed="false">
      <c r="B11834" s="130" t="n">
        <v>2028</v>
      </c>
      <c r="C11834" s="131" t="s">
        <v>256</v>
      </c>
      <c r="D11834" s="132" t="n">
        <v>46806</v>
      </c>
      <c r="E11834" s="131" t="s">
        <v>49</v>
      </c>
      <c r="F11834" s="133" t="s">
        <v>11</v>
      </c>
      <c r="G11834" s="134" t="n">
        <f aca="false">LEN('Saisie programme'!$F$424)+SUMIFS('Vols additionnels'!$E$7:$E$66,'Vols additionnels'!$C$7:$C$66,$E11834,'Vols additionnels'!$D$7:$D$66,$F11834,'Vols additionnels'!$B$7:$B$66,$D11834)</f>
        <v>0</v>
      </c>
      <c r="H11834" s="135" t="n">
        <f aca="false">$G11834*'Analyse capacite'!$F$7</f>
        <v>0</v>
      </c>
      <c r="I11834" s="135" t="n">
        <f aca="false">$G11834*'Analyse capacite'!$C$7</f>
        <v>0</v>
      </c>
      <c r="J11834" s="135" t="n">
        <f aca="false">$G11834*'Analyse capacite'!$D$7</f>
        <v>0</v>
      </c>
      <c r="K11834" s="135" t="n">
        <f aca="false">$G11834*'Analyse capacite'!$E$7</f>
        <v>0</v>
      </c>
    </row>
    <row r="11835" customFormat="false" ht="15" hidden="false" customHeight="false" outlineLevel="0" collapsed="false">
      <c r="B11835" s="130" t="n">
        <v>2028</v>
      </c>
      <c r="C11835" s="131" t="s">
        <v>256</v>
      </c>
      <c r="D11835" s="132" t="n">
        <v>46806</v>
      </c>
      <c r="E11835" s="131" t="s">
        <v>49</v>
      </c>
      <c r="F11835" s="133" t="s">
        <v>19</v>
      </c>
      <c r="G11835" s="134" t="n">
        <f aca="false">LEN('Saisie programme'!$F$425)+SUMIFS('Vols additionnels'!$E$7:$E$66,'Vols additionnels'!$C$7:$C$66,$E11835,'Vols additionnels'!$D$7:$D$66,$F11835,'Vols additionnels'!$B$7:$B$66,$D11835)</f>
        <v>0</v>
      </c>
      <c r="H11835" s="135" t="n">
        <f aca="false">$G11835*'Analyse capacite'!$F$8</f>
        <v>0</v>
      </c>
      <c r="I11835" s="135" t="n">
        <f aca="false">$G11835*'Analyse capacite'!$C$8</f>
        <v>0</v>
      </c>
      <c r="J11835" s="135" t="n">
        <f aca="false">$G11835*'Analyse capacite'!$D$8</f>
        <v>0</v>
      </c>
      <c r="K11835" s="135" t="n">
        <f aca="false">$G11835*'Analyse capacite'!$E$8</f>
        <v>0</v>
      </c>
    </row>
    <row r="11836" customFormat="false" ht="15" hidden="false" customHeight="false" outlineLevel="0" collapsed="false">
      <c r="B11836" s="130" t="n">
        <v>2028</v>
      </c>
      <c r="C11836" s="131" t="s">
        <v>256</v>
      </c>
      <c r="D11836" s="132" t="n">
        <v>46806</v>
      </c>
      <c r="E11836" s="131" t="s">
        <v>49</v>
      </c>
      <c r="F11836" s="133" t="s">
        <v>24</v>
      </c>
      <c r="G11836" s="134" t="n">
        <f aca="false">LEN('Saisie programme'!$F$426)+SUMIFS('Vols additionnels'!$E$7:$E$66,'Vols additionnels'!$C$7:$C$66,$E11836,'Vols additionnels'!$D$7:$D$66,$F11836,'Vols additionnels'!$B$7:$B$66,$D11836)</f>
        <v>0</v>
      </c>
      <c r="H11836" s="135" t="n">
        <f aca="false">$G11836*'Analyse capacite'!$F$9</f>
        <v>0</v>
      </c>
      <c r="I11836" s="135" t="n">
        <f aca="false">$G11836*'Analyse capacite'!$C$9</f>
        <v>0</v>
      </c>
      <c r="J11836" s="135" t="n">
        <f aca="false">$G11836*'Analyse capacite'!$D$9</f>
        <v>0</v>
      </c>
      <c r="K11836" s="135" t="n">
        <f aca="false">$G11836*'Analyse capacite'!$E$9</f>
        <v>0</v>
      </c>
    </row>
    <row r="11837" customFormat="false" ht="15" hidden="false" customHeight="false" outlineLevel="0" collapsed="false">
      <c r="B11837" s="130" t="n">
        <v>2028</v>
      </c>
      <c r="C11837" s="131" t="s">
        <v>256</v>
      </c>
      <c r="D11837" s="132" t="n">
        <v>46806</v>
      </c>
      <c r="E11837" s="131" t="s">
        <v>53</v>
      </c>
      <c r="F11837" s="133" t="s">
        <v>11</v>
      </c>
      <c r="G11837" s="134" t="n">
        <f aca="false">LEN('Saisie programme'!$F$427)+SUMIFS('Vols additionnels'!$E$7:$E$66,'Vols additionnels'!$C$7:$C$66,$E11837,'Vols additionnels'!$D$7:$D$66,$F11837,'Vols additionnels'!$B$7:$B$66,$D11837)</f>
        <v>0</v>
      </c>
      <c r="H11837" s="135" t="n">
        <f aca="false">$G11837*'Analyse capacite'!$F$7</f>
        <v>0</v>
      </c>
      <c r="I11837" s="135" t="n">
        <f aca="false">$G11837*'Analyse capacite'!$C$7</f>
        <v>0</v>
      </c>
      <c r="J11837" s="135" t="n">
        <f aca="false">$G11837*'Analyse capacite'!$D$7</f>
        <v>0</v>
      </c>
      <c r="K11837" s="135" t="n">
        <f aca="false">$G11837*'Analyse capacite'!$E$7</f>
        <v>0</v>
      </c>
    </row>
    <row r="11838" customFormat="false" ht="15" hidden="false" customHeight="false" outlineLevel="0" collapsed="false">
      <c r="B11838" s="130" t="n">
        <v>2028</v>
      </c>
      <c r="C11838" s="131" t="s">
        <v>256</v>
      </c>
      <c r="D11838" s="132" t="n">
        <v>46806</v>
      </c>
      <c r="E11838" s="131" t="s">
        <v>53</v>
      </c>
      <c r="F11838" s="133" t="s">
        <v>19</v>
      </c>
      <c r="G11838" s="134" t="n">
        <f aca="false">LEN('Saisie programme'!$F$428)+SUMIFS('Vols additionnels'!$E$7:$E$66,'Vols additionnels'!$C$7:$C$66,$E11838,'Vols additionnels'!$D$7:$D$66,$F11838,'Vols additionnels'!$B$7:$B$66,$D11838)</f>
        <v>0</v>
      </c>
      <c r="H11838" s="135" t="n">
        <f aca="false">$G11838*'Analyse capacite'!$F$8</f>
        <v>0</v>
      </c>
      <c r="I11838" s="135" t="n">
        <f aca="false">$G11838*'Analyse capacite'!$C$8</f>
        <v>0</v>
      </c>
      <c r="J11838" s="135" t="n">
        <f aca="false">$G11838*'Analyse capacite'!$D$8</f>
        <v>0</v>
      </c>
      <c r="K11838" s="135" t="n">
        <f aca="false">$G11838*'Analyse capacite'!$E$8</f>
        <v>0</v>
      </c>
    </row>
    <row r="11839" customFormat="false" ht="15" hidden="false" customHeight="false" outlineLevel="0" collapsed="false">
      <c r="B11839" s="130" t="n">
        <v>2028</v>
      </c>
      <c r="C11839" s="131" t="s">
        <v>256</v>
      </c>
      <c r="D11839" s="132" t="n">
        <v>46806</v>
      </c>
      <c r="E11839" s="131" t="s">
        <v>53</v>
      </c>
      <c r="F11839" s="133" t="s">
        <v>24</v>
      </c>
      <c r="G11839" s="134" t="n">
        <f aca="false">LEN('Saisie programme'!$F$429)+SUMIFS('Vols additionnels'!$E$7:$E$66,'Vols additionnels'!$C$7:$C$66,$E11839,'Vols additionnels'!$D$7:$D$66,$F11839,'Vols additionnels'!$B$7:$B$66,$D11839)</f>
        <v>0</v>
      </c>
      <c r="H11839" s="135" t="n">
        <f aca="false">$G11839*'Analyse capacite'!$F$9</f>
        <v>0</v>
      </c>
      <c r="I11839" s="135" t="n">
        <f aca="false">$G11839*'Analyse capacite'!$C$9</f>
        <v>0</v>
      </c>
      <c r="J11839" s="135" t="n">
        <f aca="false">$G11839*'Analyse capacite'!$D$9</f>
        <v>0</v>
      </c>
      <c r="K11839" s="135" t="n">
        <f aca="false">$G11839*'Analyse capacite'!$E$9</f>
        <v>0</v>
      </c>
    </row>
    <row r="11840" customFormat="false" ht="15" hidden="false" customHeight="false" outlineLevel="0" collapsed="false">
      <c r="B11840" s="130" t="n">
        <v>2028</v>
      </c>
      <c r="C11840" s="131" t="s">
        <v>256</v>
      </c>
      <c r="D11840" s="132" t="n">
        <v>46806</v>
      </c>
      <c r="E11840" s="131" t="s">
        <v>56</v>
      </c>
      <c r="F11840" s="133" t="s">
        <v>11</v>
      </c>
      <c r="G11840" s="134" t="n">
        <f aca="false">LEN('Saisie programme'!$F$430)+SUMIFS('Vols additionnels'!$E$7:$E$66,'Vols additionnels'!$C$7:$C$66,$E11840,'Vols additionnels'!$D$7:$D$66,$F11840,'Vols additionnels'!$B$7:$B$66,$D11840)</f>
        <v>0</v>
      </c>
      <c r="H11840" s="135" t="n">
        <f aca="false">$G11840*'Analyse capacite'!$F$7</f>
        <v>0</v>
      </c>
      <c r="I11840" s="135" t="n">
        <f aca="false">$G11840*'Analyse capacite'!$C$7</f>
        <v>0</v>
      </c>
      <c r="J11840" s="135" t="n">
        <f aca="false">$G11840*'Analyse capacite'!$D$7</f>
        <v>0</v>
      </c>
      <c r="K11840" s="135" t="n">
        <f aca="false">$G11840*'Analyse capacite'!$E$7</f>
        <v>0</v>
      </c>
    </row>
    <row r="11841" customFormat="false" ht="15" hidden="false" customHeight="false" outlineLevel="0" collapsed="false">
      <c r="B11841" s="130" t="n">
        <v>2028</v>
      </c>
      <c r="C11841" s="131" t="s">
        <v>256</v>
      </c>
      <c r="D11841" s="132" t="n">
        <v>46806</v>
      </c>
      <c r="E11841" s="131" t="s">
        <v>56</v>
      </c>
      <c r="F11841" s="133" t="s">
        <v>19</v>
      </c>
      <c r="G11841" s="134" t="n">
        <f aca="false">LEN('Saisie programme'!$F$431)+SUMIFS('Vols additionnels'!$E$7:$E$66,'Vols additionnels'!$C$7:$C$66,$E11841,'Vols additionnels'!$D$7:$D$66,$F11841,'Vols additionnels'!$B$7:$B$66,$D11841)</f>
        <v>0</v>
      </c>
      <c r="H11841" s="135" t="n">
        <f aca="false">$G11841*'Analyse capacite'!$F$8</f>
        <v>0</v>
      </c>
      <c r="I11841" s="135" t="n">
        <f aca="false">$G11841*'Analyse capacite'!$C$8</f>
        <v>0</v>
      </c>
      <c r="J11841" s="135" t="n">
        <f aca="false">$G11841*'Analyse capacite'!$D$8</f>
        <v>0</v>
      </c>
      <c r="K11841" s="135" t="n">
        <f aca="false">$G11841*'Analyse capacite'!$E$8</f>
        <v>0</v>
      </c>
    </row>
    <row r="11842" customFormat="false" ht="15" hidden="false" customHeight="false" outlineLevel="0" collapsed="false">
      <c r="B11842" s="130" t="n">
        <v>2028</v>
      </c>
      <c r="C11842" s="131" t="s">
        <v>256</v>
      </c>
      <c r="D11842" s="132" t="n">
        <v>46806</v>
      </c>
      <c r="E11842" s="131" t="s">
        <v>56</v>
      </c>
      <c r="F11842" s="133" t="s">
        <v>24</v>
      </c>
      <c r="G11842" s="134" t="n">
        <f aca="false">LEN('Saisie programme'!$F$432)+SUMIFS('Vols additionnels'!$E$7:$E$66,'Vols additionnels'!$C$7:$C$66,$E11842,'Vols additionnels'!$D$7:$D$66,$F11842,'Vols additionnels'!$B$7:$B$66,$D11842)</f>
        <v>0</v>
      </c>
      <c r="H11842" s="135" t="n">
        <f aca="false">$G11842*'Analyse capacite'!$F$9</f>
        <v>0</v>
      </c>
      <c r="I11842" s="135" t="n">
        <f aca="false">$G11842*'Analyse capacite'!$C$9</f>
        <v>0</v>
      </c>
      <c r="J11842" s="135" t="n">
        <f aca="false">$G11842*'Analyse capacite'!$D$9</f>
        <v>0</v>
      </c>
      <c r="K11842" s="135" t="n">
        <f aca="false">$G11842*'Analyse capacite'!$E$9</f>
        <v>0</v>
      </c>
    </row>
    <row r="11843" customFormat="false" ht="15" hidden="false" customHeight="false" outlineLevel="0" collapsed="false">
      <c r="B11843" s="130" t="n">
        <v>2028</v>
      </c>
      <c r="C11843" s="131" t="s">
        <v>256</v>
      </c>
      <c r="D11843" s="132" t="n">
        <v>46806</v>
      </c>
      <c r="E11843" s="131" t="s">
        <v>59</v>
      </c>
      <c r="F11843" s="133" t="s">
        <v>11</v>
      </c>
      <c r="G11843" s="134" t="n">
        <f aca="false">LEN('Saisie programme'!$F$433)+SUMIFS('Vols additionnels'!$E$7:$E$66,'Vols additionnels'!$C$7:$C$66,$E11843,'Vols additionnels'!$D$7:$D$66,$F11843,'Vols additionnels'!$B$7:$B$66,$D11843)</f>
        <v>0</v>
      </c>
      <c r="H11843" s="135" t="n">
        <f aca="false">$G11843*'Analyse capacite'!$F$7</f>
        <v>0</v>
      </c>
      <c r="I11843" s="135" t="n">
        <f aca="false">$G11843*'Analyse capacite'!$C$7</f>
        <v>0</v>
      </c>
      <c r="J11843" s="135" t="n">
        <f aca="false">$G11843*'Analyse capacite'!$D$7</f>
        <v>0</v>
      </c>
      <c r="K11843" s="135" t="n">
        <f aca="false">$G11843*'Analyse capacite'!$E$7</f>
        <v>0</v>
      </c>
    </row>
    <row r="11844" customFormat="false" ht="15" hidden="false" customHeight="false" outlineLevel="0" collapsed="false">
      <c r="B11844" s="130" t="n">
        <v>2028</v>
      </c>
      <c r="C11844" s="131" t="s">
        <v>256</v>
      </c>
      <c r="D11844" s="132" t="n">
        <v>46806</v>
      </c>
      <c r="E11844" s="131" t="s">
        <v>59</v>
      </c>
      <c r="F11844" s="133" t="s">
        <v>19</v>
      </c>
      <c r="G11844" s="134" t="n">
        <f aca="false">LEN('Saisie programme'!$F$434)+SUMIFS('Vols additionnels'!$E$7:$E$66,'Vols additionnels'!$C$7:$C$66,$E11844,'Vols additionnels'!$D$7:$D$66,$F11844,'Vols additionnels'!$B$7:$B$66,$D11844)</f>
        <v>0</v>
      </c>
      <c r="H11844" s="135" t="n">
        <f aca="false">$G11844*'Analyse capacite'!$F$8</f>
        <v>0</v>
      </c>
      <c r="I11844" s="135" t="n">
        <f aca="false">$G11844*'Analyse capacite'!$C$8</f>
        <v>0</v>
      </c>
      <c r="J11844" s="135" t="n">
        <f aca="false">$G11844*'Analyse capacite'!$D$8</f>
        <v>0</v>
      </c>
      <c r="K11844" s="135" t="n">
        <f aca="false">$G11844*'Analyse capacite'!$E$8</f>
        <v>0</v>
      </c>
    </row>
    <row r="11845" customFormat="false" ht="15" hidden="false" customHeight="false" outlineLevel="0" collapsed="false">
      <c r="B11845" s="130" t="n">
        <v>2028</v>
      </c>
      <c r="C11845" s="131" t="s">
        <v>256</v>
      </c>
      <c r="D11845" s="132" t="n">
        <v>46806</v>
      </c>
      <c r="E11845" s="131" t="s">
        <v>59</v>
      </c>
      <c r="F11845" s="133" t="s">
        <v>24</v>
      </c>
      <c r="G11845" s="134" t="n">
        <f aca="false">LEN('Saisie programme'!$F$435)+SUMIFS('Vols additionnels'!$E$7:$E$66,'Vols additionnels'!$C$7:$C$66,$E11845,'Vols additionnels'!$D$7:$D$66,$F11845,'Vols additionnels'!$B$7:$B$66,$D11845)</f>
        <v>1</v>
      </c>
      <c r="H11845" s="135" t="n">
        <f aca="false">$G11845*'Analyse capacite'!$F$9</f>
        <v>174</v>
      </c>
      <c r="I11845" s="135" t="n">
        <f aca="false">$G11845*'Analyse capacite'!$C$9</f>
        <v>0</v>
      </c>
      <c r="J11845" s="135" t="n">
        <f aca="false">$G11845*'Analyse capacite'!$D$9</f>
        <v>12</v>
      </c>
      <c r="K11845" s="135" t="n">
        <f aca="false">$G11845*'Analyse capacite'!$E$9</f>
        <v>162</v>
      </c>
    </row>
    <row r="11846" customFormat="false" ht="15" hidden="false" customHeight="false" outlineLevel="0" collapsed="false">
      <c r="B11846" s="130" t="n">
        <v>2028</v>
      </c>
      <c r="C11846" s="131" t="s">
        <v>256</v>
      </c>
      <c r="D11846" s="132" t="n">
        <v>46806</v>
      </c>
      <c r="E11846" s="131" t="s">
        <v>62</v>
      </c>
      <c r="F11846" s="133" t="s">
        <v>11</v>
      </c>
      <c r="G11846" s="134" t="n">
        <f aca="false">LEN('Saisie programme'!$F$436)+SUMIFS('Vols additionnels'!$E$7:$E$66,'Vols additionnels'!$C$7:$C$66,$E11846,'Vols additionnels'!$D$7:$D$66,$F11846,'Vols additionnels'!$B$7:$B$66,$D11846)</f>
        <v>0</v>
      </c>
      <c r="H11846" s="135" t="n">
        <f aca="false">$G11846*'Analyse capacite'!$F$7</f>
        <v>0</v>
      </c>
      <c r="I11846" s="135" t="n">
        <f aca="false">$G11846*'Analyse capacite'!$C$7</f>
        <v>0</v>
      </c>
      <c r="J11846" s="135" t="n">
        <f aca="false">$G11846*'Analyse capacite'!$D$7</f>
        <v>0</v>
      </c>
      <c r="K11846" s="135" t="n">
        <f aca="false">$G11846*'Analyse capacite'!$E$7</f>
        <v>0</v>
      </c>
    </row>
    <row r="11847" customFormat="false" ht="15" hidden="false" customHeight="false" outlineLevel="0" collapsed="false">
      <c r="B11847" s="130" t="n">
        <v>2028</v>
      </c>
      <c r="C11847" s="131" t="s">
        <v>256</v>
      </c>
      <c r="D11847" s="132" t="n">
        <v>46806</v>
      </c>
      <c r="E11847" s="131" t="s">
        <v>62</v>
      </c>
      <c r="F11847" s="133" t="s">
        <v>19</v>
      </c>
      <c r="G11847" s="134" t="n">
        <f aca="false">LEN('Saisie programme'!$F$437)+SUMIFS('Vols additionnels'!$E$7:$E$66,'Vols additionnels'!$C$7:$C$66,$E11847,'Vols additionnels'!$D$7:$D$66,$F11847,'Vols additionnels'!$B$7:$B$66,$D11847)</f>
        <v>0</v>
      </c>
      <c r="H11847" s="135" t="n">
        <f aca="false">$G11847*'Analyse capacite'!$F$8</f>
        <v>0</v>
      </c>
      <c r="I11847" s="135" t="n">
        <f aca="false">$G11847*'Analyse capacite'!$C$8</f>
        <v>0</v>
      </c>
      <c r="J11847" s="135" t="n">
        <f aca="false">$G11847*'Analyse capacite'!$D$8</f>
        <v>0</v>
      </c>
      <c r="K11847" s="135" t="n">
        <f aca="false">$G11847*'Analyse capacite'!$E$8</f>
        <v>0</v>
      </c>
    </row>
    <row r="11848" customFormat="false" ht="15" hidden="false" customHeight="false" outlineLevel="0" collapsed="false">
      <c r="B11848" s="130" t="n">
        <v>2028</v>
      </c>
      <c r="C11848" s="131" t="s">
        <v>256</v>
      </c>
      <c r="D11848" s="132" t="n">
        <v>46806</v>
      </c>
      <c r="E11848" s="131" t="s">
        <v>62</v>
      </c>
      <c r="F11848" s="133" t="s">
        <v>24</v>
      </c>
      <c r="G11848" s="134" t="n">
        <f aca="false">LEN('Saisie programme'!$F$438)+SUMIFS('Vols additionnels'!$E$7:$E$66,'Vols additionnels'!$C$7:$C$66,$E11848,'Vols additionnels'!$D$7:$D$66,$F11848,'Vols additionnels'!$B$7:$B$66,$D11848)</f>
        <v>1</v>
      </c>
      <c r="H11848" s="135" t="n">
        <f aca="false">$G11848*'Analyse capacite'!$F$9</f>
        <v>174</v>
      </c>
      <c r="I11848" s="135" t="n">
        <f aca="false">$G11848*'Analyse capacite'!$C$9</f>
        <v>0</v>
      </c>
      <c r="J11848" s="135" t="n">
        <f aca="false">$G11848*'Analyse capacite'!$D$9</f>
        <v>12</v>
      </c>
      <c r="K11848" s="135" t="n">
        <f aca="false">$G11848*'Analyse capacite'!$E$9</f>
        <v>162</v>
      </c>
    </row>
    <row r="11849" customFormat="false" ht="15" hidden="false" customHeight="false" outlineLevel="0" collapsed="false">
      <c r="B11849" s="130" t="n">
        <v>2028</v>
      </c>
      <c r="C11849" s="131" t="s">
        <v>256</v>
      </c>
      <c r="D11849" s="132" t="n">
        <v>46807</v>
      </c>
      <c r="E11849" s="131" t="s">
        <v>12</v>
      </c>
      <c r="F11849" s="133" t="s">
        <v>11</v>
      </c>
      <c r="G11849" s="134" t="n">
        <f aca="false">LEN('Saisie programme'!$G$403)+SUMIFS('Vols additionnels'!$E$7:$E$66,'Vols additionnels'!$C$7:$C$66,$E11849,'Vols additionnels'!$D$7:$D$66,$F11849,'Vols additionnels'!$B$7:$B$66,$D11849)</f>
        <v>1</v>
      </c>
      <c r="H11849" s="135" t="n">
        <f aca="false">$G11849*'Analyse capacite'!$F$7</f>
        <v>438</v>
      </c>
      <c r="I11849" s="135" t="n">
        <f aca="false">$G11849*'Analyse capacite'!$C$7</f>
        <v>14</v>
      </c>
      <c r="J11849" s="135" t="n">
        <f aca="false">$G11849*'Analyse capacite'!$D$7</f>
        <v>40</v>
      </c>
      <c r="K11849" s="135" t="n">
        <f aca="false">$G11849*'Analyse capacite'!$E$7</f>
        <v>384</v>
      </c>
    </row>
    <row r="11850" customFormat="false" ht="15" hidden="false" customHeight="false" outlineLevel="0" collapsed="false">
      <c r="B11850" s="130" t="n">
        <v>2028</v>
      </c>
      <c r="C11850" s="131" t="s">
        <v>256</v>
      </c>
      <c r="D11850" s="132" t="n">
        <v>46807</v>
      </c>
      <c r="E11850" s="131" t="s">
        <v>12</v>
      </c>
      <c r="F11850" s="133" t="s">
        <v>19</v>
      </c>
      <c r="G11850" s="134" t="n">
        <f aca="false">LEN('Saisie programme'!$G$404)+SUMIFS('Vols additionnels'!$E$7:$E$66,'Vols additionnels'!$C$7:$C$66,$E11850,'Vols additionnels'!$D$7:$D$66,$F11850,'Vols additionnels'!$B$7:$B$66,$D11850)</f>
        <v>0</v>
      </c>
      <c r="H11850" s="135" t="n">
        <f aca="false">$G11850*'Analyse capacite'!$F$8</f>
        <v>0</v>
      </c>
      <c r="I11850" s="135" t="n">
        <f aca="false">$G11850*'Analyse capacite'!$C$8</f>
        <v>0</v>
      </c>
      <c r="J11850" s="135" t="n">
        <f aca="false">$G11850*'Analyse capacite'!$D$8</f>
        <v>0</v>
      </c>
      <c r="K11850" s="135" t="n">
        <f aca="false">$G11850*'Analyse capacite'!$E$8</f>
        <v>0</v>
      </c>
    </row>
    <row r="11851" customFormat="false" ht="15" hidden="false" customHeight="false" outlineLevel="0" collapsed="false">
      <c r="B11851" s="130" t="n">
        <v>2028</v>
      </c>
      <c r="C11851" s="131" t="s">
        <v>256</v>
      </c>
      <c r="D11851" s="132" t="n">
        <v>46807</v>
      </c>
      <c r="E11851" s="131" t="s">
        <v>12</v>
      </c>
      <c r="F11851" s="133" t="s">
        <v>24</v>
      </c>
      <c r="G11851" s="134" t="n">
        <f aca="false">LEN('Saisie programme'!$G$405)+SUMIFS('Vols additionnels'!$E$7:$E$66,'Vols additionnels'!$C$7:$C$66,$E11851,'Vols additionnels'!$D$7:$D$66,$F11851,'Vols additionnels'!$B$7:$B$66,$D11851)</f>
        <v>0</v>
      </c>
      <c r="H11851" s="135" t="n">
        <f aca="false">$G11851*'Analyse capacite'!$F$9</f>
        <v>0</v>
      </c>
      <c r="I11851" s="135" t="n">
        <f aca="false">$G11851*'Analyse capacite'!$C$9</f>
        <v>0</v>
      </c>
      <c r="J11851" s="135" t="n">
        <f aca="false">$G11851*'Analyse capacite'!$D$9</f>
        <v>0</v>
      </c>
      <c r="K11851" s="135" t="n">
        <f aca="false">$G11851*'Analyse capacite'!$E$9</f>
        <v>0</v>
      </c>
    </row>
    <row r="11852" customFormat="false" ht="15" hidden="false" customHeight="false" outlineLevel="0" collapsed="false">
      <c r="B11852" s="130" t="n">
        <v>2028</v>
      </c>
      <c r="C11852" s="131" t="s">
        <v>256</v>
      </c>
      <c r="D11852" s="132" t="n">
        <v>46807</v>
      </c>
      <c r="E11852" s="131" t="s">
        <v>20</v>
      </c>
      <c r="F11852" s="133" t="s">
        <v>11</v>
      </c>
      <c r="G11852" s="134" t="n">
        <f aca="false">LEN('Saisie programme'!$G$406)+SUMIFS('Vols additionnels'!$E$7:$E$66,'Vols additionnels'!$C$7:$C$66,$E11852,'Vols additionnels'!$D$7:$D$66,$F11852,'Vols additionnels'!$B$7:$B$66,$D11852)</f>
        <v>0</v>
      </c>
      <c r="H11852" s="135" t="n">
        <f aca="false">$G11852*'Analyse capacite'!$F$7</f>
        <v>0</v>
      </c>
      <c r="I11852" s="135" t="n">
        <f aca="false">$G11852*'Analyse capacite'!$C$7</f>
        <v>0</v>
      </c>
      <c r="J11852" s="135" t="n">
        <f aca="false">$G11852*'Analyse capacite'!$D$7</f>
        <v>0</v>
      </c>
      <c r="K11852" s="135" t="n">
        <f aca="false">$G11852*'Analyse capacite'!$E$7</f>
        <v>0</v>
      </c>
    </row>
    <row r="11853" customFormat="false" ht="15" hidden="false" customHeight="false" outlineLevel="0" collapsed="false">
      <c r="B11853" s="130" t="n">
        <v>2028</v>
      </c>
      <c r="C11853" s="131" t="s">
        <v>256</v>
      </c>
      <c r="D11853" s="132" t="n">
        <v>46807</v>
      </c>
      <c r="E11853" s="131" t="s">
        <v>20</v>
      </c>
      <c r="F11853" s="133" t="s">
        <v>19</v>
      </c>
      <c r="G11853" s="134" t="n">
        <f aca="false">LEN('Saisie programme'!$G$407)+SUMIFS('Vols additionnels'!$E$7:$E$66,'Vols additionnels'!$C$7:$C$66,$E11853,'Vols additionnels'!$D$7:$D$66,$F11853,'Vols additionnels'!$B$7:$B$66,$D11853)</f>
        <v>0</v>
      </c>
      <c r="H11853" s="135" t="n">
        <f aca="false">$G11853*'Analyse capacite'!$F$8</f>
        <v>0</v>
      </c>
      <c r="I11853" s="135" t="n">
        <f aca="false">$G11853*'Analyse capacite'!$C$8</f>
        <v>0</v>
      </c>
      <c r="J11853" s="135" t="n">
        <f aca="false">$G11853*'Analyse capacite'!$D$8</f>
        <v>0</v>
      </c>
      <c r="K11853" s="135" t="n">
        <f aca="false">$G11853*'Analyse capacite'!$E$8</f>
        <v>0</v>
      </c>
    </row>
    <row r="11854" customFormat="false" ht="15" hidden="false" customHeight="false" outlineLevel="0" collapsed="false">
      <c r="B11854" s="130" t="n">
        <v>2028</v>
      </c>
      <c r="C11854" s="131" t="s">
        <v>256</v>
      </c>
      <c r="D11854" s="132" t="n">
        <v>46807</v>
      </c>
      <c r="E11854" s="131" t="s">
        <v>20</v>
      </c>
      <c r="F11854" s="133" t="s">
        <v>24</v>
      </c>
      <c r="G11854" s="134" t="n">
        <f aca="false">LEN('Saisie programme'!$G$408)+SUMIFS('Vols additionnels'!$E$7:$E$66,'Vols additionnels'!$C$7:$C$66,$E11854,'Vols additionnels'!$D$7:$D$66,$F11854,'Vols additionnels'!$B$7:$B$66,$D11854)</f>
        <v>0</v>
      </c>
      <c r="H11854" s="135" t="n">
        <f aca="false">$G11854*'Analyse capacite'!$F$9</f>
        <v>0</v>
      </c>
      <c r="I11854" s="135" t="n">
        <f aca="false">$G11854*'Analyse capacite'!$C$9</f>
        <v>0</v>
      </c>
      <c r="J11854" s="135" t="n">
        <f aca="false">$G11854*'Analyse capacite'!$D$9</f>
        <v>0</v>
      </c>
      <c r="K11854" s="135" t="n">
        <f aca="false">$G11854*'Analyse capacite'!$E$9</f>
        <v>0</v>
      </c>
    </row>
    <row r="11855" customFormat="false" ht="15" hidden="false" customHeight="false" outlineLevel="0" collapsed="false">
      <c r="B11855" s="130" t="n">
        <v>2028</v>
      </c>
      <c r="C11855" s="131" t="s">
        <v>256</v>
      </c>
      <c r="D11855" s="132" t="n">
        <v>46807</v>
      </c>
      <c r="E11855" s="131" t="s">
        <v>25</v>
      </c>
      <c r="F11855" s="133" t="s">
        <v>11</v>
      </c>
      <c r="G11855" s="134" t="n">
        <f aca="false">LEN('Saisie programme'!$G$409)+SUMIFS('Vols additionnels'!$E$7:$E$66,'Vols additionnels'!$C$7:$C$66,$E11855,'Vols additionnels'!$D$7:$D$66,$F11855,'Vols additionnels'!$B$7:$B$66,$D11855)</f>
        <v>0</v>
      </c>
      <c r="H11855" s="135" t="n">
        <f aca="false">$G11855*'Analyse capacite'!$F$7</f>
        <v>0</v>
      </c>
      <c r="I11855" s="135" t="n">
        <f aca="false">$G11855*'Analyse capacite'!$C$7</f>
        <v>0</v>
      </c>
      <c r="J11855" s="135" t="n">
        <f aca="false">$G11855*'Analyse capacite'!$D$7</f>
        <v>0</v>
      </c>
      <c r="K11855" s="135" t="n">
        <f aca="false">$G11855*'Analyse capacite'!$E$7</f>
        <v>0</v>
      </c>
    </row>
    <row r="11856" customFormat="false" ht="15" hidden="false" customHeight="false" outlineLevel="0" collapsed="false">
      <c r="B11856" s="130" t="n">
        <v>2028</v>
      </c>
      <c r="C11856" s="131" t="s">
        <v>256</v>
      </c>
      <c r="D11856" s="132" t="n">
        <v>46807</v>
      </c>
      <c r="E11856" s="131" t="s">
        <v>25</v>
      </c>
      <c r="F11856" s="133" t="s">
        <v>19</v>
      </c>
      <c r="G11856" s="134" t="n">
        <f aca="false">LEN('Saisie programme'!$G$410)+SUMIFS('Vols additionnels'!$E$7:$E$66,'Vols additionnels'!$C$7:$C$66,$E11856,'Vols additionnels'!$D$7:$D$66,$F11856,'Vols additionnels'!$B$7:$B$66,$D11856)</f>
        <v>0</v>
      </c>
      <c r="H11856" s="135" t="n">
        <f aca="false">$G11856*'Analyse capacite'!$F$8</f>
        <v>0</v>
      </c>
      <c r="I11856" s="135" t="n">
        <f aca="false">$G11856*'Analyse capacite'!$C$8</f>
        <v>0</v>
      </c>
      <c r="J11856" s="135" t="n">
        <f aca="false">$G11856*'Analyse capacite'!$D$8</f>
        <v>0</v>
      </c>
      <c r="K11856" s="135" t="n">
        <f aca="false">$G11856*'Analyse capacite'!$E$8</f>
        <v>0</v>
      </c>
    </row>
    <row r="11857" customFormat="false" ht="15" hidden="false" customHeight="false" outlineLevel="0" collapsed="false">
      <c r="B11857" s="130" t="n">
        <v>2028</v>
      </c>
      <c r="C11857" s="131" t="s">
        <v>256</v>
      </c>
      <c r="D11857" s="132" t="n">
        <v>46807</v>
      </c>
      <c r="E11857" s="131" t="s">
        <v>25</v>
      </c>
      <c r="F11857" s="133" t="s">
        <v>24</v>
      </c>
      <c r="G11857" s="134" t="n">
        <f aca="false">LEN('Saisie programme'!$G$411)+SUMIFS('Vols additionnels'!$E$7:$E$66,'Vols additionnels'!$C$7:$C$66,$E11857,'Vols additionnels'!$D$7:$D$66,$F11857,'Vols additionnels'!$B$7:$B$66,$D11857)</f>
        <v>0</v>
      </c>
      <c r="H11857" s="135" t="n">
        <f aca="false">$G11857*'Analyse capacite'!$F$9</f>
        <v>0</v>
      </c>
      <c r="I11857" s="135" t="n">
        <f aca="false">$G11857*'Analyse capacite'!$C$9</f>
        <v>0</v>
      </c>
      <c r="J11857" s="135" t="n">
        <f aca="false">$G11857*'Analyse capacite'!$D$9</f>
        <v>0</v>
      </c>
      <c r="K11857" s="135" t="n">
        <f aca="false">$G11857*'Analyse capacite'!$E$9</f>
        <v>0</v>
      </c>
    </row>
    <row r="11858" customFormat="false" ht="15" hidden="false" customHeight="false" outlineLevel="0" collapsed="false">
      <c r="B11858" s="130" t="n">
        <v>2028</v>
      </c>
      <c r="C11858" s="131" t="s">
        <v>256</v>
      </c>
      <c r="D11858" s="132" t="n">
        <v>46807</v>
      </c>
      <c r="E11858" s="131" t="s">
        <v>36</v>
      </c>
      <c r="F11858" s="133" t="s">
        <v>11</v>
      </c>
      <c r="G11858" s="134" t="n">
        <f aca="false">LEN('Saisie programme'!$G$412)+SUMIFS('Vols additionnels'!$E$7:$E$66,'Vols additionnels'!$C$7:$C$66,$E11858,'Vols additionnels'!$D$7:$D$66,$F11858,'Vols additionnels'!$B$7:$B$66,$D11858)</f>
        <v>0</v>
      </c>
      <c r="H11858" s="135" t="n">
        <f aca="false">$G11858*'Analyse capacite'!$F$7</f>
        <v>0</v>
      </c>
      <c r="I11858" s="135" t="n">
        <f aca="false">$G11858*'Analyse capacite'!$C$7</f>
        <v>0</v>
      </c>
      <c r="J11858" s="135" t="n">
        <f aca="false">$G11858*'Analyse capacite'!$D$7</f>
        <v>0</v>
      </c>
      <c r="K11858" s="135" t="n">
        <f aca="false">$G11858*'Analyse capacite'!$E$7</f>
        <v>0</v>
      </c>
    </row>
    <row r="11859" customFormat="false" ht="15" hidden="false" customHeight="false" outlineLevel="0" collapsed="false">
      <c r="B11859" s="130" t="n">
        <v>2028</v>
      </c>
      <c r="C11859" s="131" t="s">
        <v>256</v>
      </c>
      <c r="D11859" s="132" t="n">
        <v>46807</v>
      </c>
      <c r="E11859" s="131" t="s">
        <v>36</v>
      </c>
      <c r="F11859" s="133" t="s">
        <v>19</v>
      </c>
      <c r="G11859" s="134" t="n">
        <f aca="false">LEN('Saisie programme'!$G$413)+SUMIFS('Vols additionnels'!$E$7:$E$66,'Vols additionnels'!$C$7:$C$66,$E11859,'Vols additionnels'!$D$7:$D$66,$F11859,'Vols additionnels'!$B$7:$B$66,$D11859)</f>
        <v>0</v>
      </c>
      <c r="H11859" s="135" t="n">
        <f aca="false">$G11859*'Analyse capacite'!$F$8</f>
        <v>0</v>
      </c>
      <c r="I11859" s="135" t="n">
        <f aca="false">$G11859*'Analyse capacite'!$C$8</f>
        <v>0</v>
      </c>
      <c r="J11859" s="135" t="n">
        <f aca="false">$G11859*'Analyse capacite'!$D$8</f>
        <v>0</v>
      </c>
      <c r="K11859" s="135" t="n">
        <f aca="false">$G11859*'Analyse capacite'!$E$8</f>
        <v>0</v>
      </c>
    </row>
    <row r="11860" customFormat="false" ht="15" hidden="false" customHeight="false" outlineLevel="0" collapsed="false">
      <c r="B11860" s="130" t="n">
        <v>2028</v>
      </c>
      <c r="C11860" s="131" t="s">
        <v>256</v>
      </c>
      <c r="D11860" s="132" t="n">
        <v>46807</v>
      </c>
      <c r="E11860" s="131" t="s">
        <v>36</v>
      </c>
      <c r="F11860" s="133" t="s">
        <v>24</v>
      </c>
      <c r="G11860" s="134" t="n">
        <f aca="false">LEN('Saisie programme'!$G$414)+SUMIFS('Vols additionnels'!$E$7:$E$66,'Vols additionnels'!$C$7:$C$66,$E11860,'Vols additionnels'!$D$7:$D$66,$F11860,'Vols additionnels'!$B$7:$B$66,$D11860)</f>
        <v>1</v>
      </c>
      <c r="H11860" s="135" t="n">
        <f aca="false">$G11860*'Analyse capacite'!$F$9</f>
        <v>174</v>
      </c>
      <c r="I11860" s="135" t="n">
        <f aca="false">$G11860*'Analyse capacite'!$C$9</f>
        <v>0</v>
      </c>
      <c r="J11860" s="135" t="n">
        <f aca="false">$G11860*'Analyse capacite'!$D$9</f>
        <v>12</v>
      </c>
      <c r="K11860" s="135" t="n">
        <f aca="false">$G11860*'Analyse capacite'!$E$9</f>
        <v>162</v>
      </c>
    </row>
    <row r="11861" customFormat="false" ht="15" hidden="false" customHeight="false" outlineLevel="0" collapsed="false">
      <c r="B11861" s="130" t="n">
        <v>2028</v>
      </c>
      <c r="C11861" s="131" t="s">
        <v>256</v>
      </c>
      <c r="D11861" s="132" t="n">
        <v>46807</v>
      </c>
      <c r="E11861" s="131" t="s">
        <v>40</v>
      </c>
      <c r="F11861" s="133" t="s">
        <v>11</v>
      </c>
      <c r="G11861" s="134" t="n">
        <f aca="false">LEN('Saisie programme'!$G$415)+SUMIFS('Vols additionnels'!$E$7:$E$66,'Vols additionnels'!$C$7:$C$66,$E11861,'Vols additionnels'!$D$7:$D$66,$F11861,'Vols additionnels'!$B$7:$B$66,$D11861)</f>
        <v>0</v>
      </c>
      <c r="H11861" s="135" t="n">
        <f aca="false">$G11861*'Analyse capacite'!$F$7</f>
        <v>0</v>
      </c>
      <c r="I11861" s="135" t="n">
        <f aca="false">$G11861*'Analyse capacite'!$C$7</f>
        <v>0</v>
      </c>
      <c r="J11861" s="135" t="n">
        <f aca="false">$G11861*'Analyse capacite'!$D$7</f>
        <v>0</v>
      </c>
      <c r="K11861" s="135" t="n">
        <f aca="false">$G11861*'Analyse capacite'!$E$7</f>
        <v>0</v>
      </c>
    </row>
    <row r="11862" customFormat="false" ht="15" hidden="false" customHeight="false" outlineLevel="0" collapsed="false">
      <c r="B11862" s="130" t="n">
        <v>2028</v>
      </c>
      <c r="C11862" s="131" t="s">
        <v>256</v>
      </c>
      <c r="D11862" s="132" t="n">
        <v>46807</v>
      </c>
      <c r="E11862" s="131" t="s">
        <v>40</v>
      </c>
      <c r="F11862" s="133" t="s">
        <v>19</v>
      </c>
      <c r="G11862" s="134" t="n">
        <f aca="false">LEN('Saisie programme'!$G$416)+SUMIFS('Vols additionnels'!$E$7:$E$66,'Vols additionnels'!$C$7:$C$66,$E11862,'Vols additionnels'!$D$7:$D$66,$F11862,'Vols additionnels'!$B$7:$B$66,$D11862)</f>
        <v>0</v>
      </c>
      <c r="H11862" s="135" t="n">
        <f aca="false">$G11862*'Analyse capacite'!$F$8</f>
        <v>0</v>
      </c>
      <c r="I11862" s="135" t="n">
        <f aca="false">$G11862*'Analyse capacite'!$C$8</f>
        <v>0</v>
      </c>
      <c r="J11862" s="135" t="n">
        <f aca="false">$G11862*'Analyse capacite'!$D$8</f>
        <v>0</v>
      </c>
      <c r="K11862" s="135" t="n">
        <f aca="false">$G11862*'Analyse capacite'!$E$8</f>
        <v>0</v>
      </c>
    </row>
    <row r="11863" customFormat="false" ht="15" hidden="false" customHeight="false" outlineLevel="0" collapsed="false">
      <c r="B11863" s="130" t="n">
        <v>2028</v>
      </c>
      <c r="C11863" s="131" t="s">
        <v>256</v>
      </c>
      <c r="D11863" s="132" t="n">
        <v>46807</v>
      </c>
      <c r="E11863" s="131" t="s">
        <v>40</v>
      </c>
      <c r="F11863" s="133" t="s">
        <v>24</v>
      </c>
      <c r="G11863" s="134" t="n">
        <f aca="false">LEN('Saisie programme'!$G$417)+SUMIFS('Vols additionnels'!$E$7:$E$66,'Vols additionnels'!$C$7:$C$66,$E11863,'Vols additionnels'!$D$7:$D$66,$F11863,'Vols additionnels'!$B$7:$B$66,$D11863)</f>
        <v>0</v>
      </c>
      <c r="H11863" s="135" t="n">
        <f aca="false">$G11863*'Analyse capacite'!$F$9</f>
        <v>0</v>
      </c>
      <c r="I11863" s="135" t="n">
        <f aca="false">$G11863*'Analyse capacite'!$C$9</f>
        <v>0</v>
      </c>
      <c r="J11863" s="135" t="n">
        <f aca="false">$G11863*'Analyse capacite'!$D$9</f>
        <v>0</v>
      </c>
      <c r="K11863" s="135" t="n">
        <f aca="false">$G11863*'Analyse capacite'!$E$9</f>
        <v>0</v>
      </c>
    </row>
    <row r="11864" customFormat="false" ht="15" hidden="false" customHeight="false" outlineLevel="0" collapsed="false">
      <c r="B11864" s="130" t="n">
        <v>2028</v>
      </c>
      <c r="C11864" s="131" t="s">
        <v>256</v>
      </c>
      <c r="D11864" s="132" t="n">
        <v>46807</v>
      </c>
      <c r="E11864" s="131" t="s">
        <v>14</v>
      </c>
      <c r="F11864" s="133" t="s">
        <v>11</v>
      </c>
      <c r="G11864" s="134" t="n">
        <f aca="false">LEN('Saisie programme'!$G$418)+SUMIFS('Vols additionnels'!$E$7:$E$66,'Vols additionnels'!$C$7:$C$66,$E11864,'Vols additionnels'!$D$7:$D$66,$F11864,'Vols additionnels'!$B$7:$B$66,$D11864)</f>
        <v>0</v>
      </c>
      <c r="H11864" s="135" t="n">
        <f aca="false">$G11864*'Analyse capacite'!$F$7</f>
        <v>0</v>
      </c>
      <c r="I11864" s="135" t="n">
        <f aca="false">$G11864*'Analyse capacite'!$C$7</f>
        <v>0</v>
      </c>
      <c r="J11864" s="135" t="n">
        <f aca="false">$G11864*'Analyse capacite'!$D$7</f>
        <v>0</v>
      </c>
      <c r="K11864" s="135" t="n">
        <f aca="false">$G11864*'Analyse capacite'!$E$7</f>
        <v>0</v>
      </c>
    </row>
    <row r="11865" customFormat="false" ht="15" hidden="false" customHeight="false" outlineLevel="0" collapsed="false">
      <c r="B11865" s="130" t="n">
        <v>2028</v>
      </c>
      <c r="C11865" s="131" t="s">
        <v>256</v>
      </c>
      <c r="D11865" s="132" t="n">
        <v>46807</v>
      </c>
      <c r="E11865" s="131" t="s">
        <v>14</v>
      </c>
      <c r="F11865" s="133" t="s">
        <v>19</v>
      </c>
      <c r="G11865" s="134" t="n">
        <f aca="false">LEN('Saisie programme'!$G$419)+SUMIFS('Vols additionnels'!$E$7:$E$66,'Vols additionnels'!$C$7:$C$66,$E11865,'Vols additionnels'!$D$7:$D$66,$F11865,'Vols additionnels'!$B$7:$B$66,$D11865)</f>
        <v>0</v>
      </c>
      <c r="H11865" s="135" t="n">
        <f aca="false">$G11865*'Analyse capacite'!$F$8</f>
        <v>0</v>
      </c>
      <c r="I11865" s="135" t="n">
        <f aca="false">$G11865*'Analyse capacite'!$C$8</f>
        <v>0</v>
      </c>
      <c r="J11865" s="135" t="n">
        <f aca="false">$G11865*'Analyse capacite'!$D$8</f>
        <v>0</v>
      </c>
      <c r="K11865" s="135" t="n">
        <f aca="false">$G11865*'Analyse capacite'!$E$8</f>
        <v>0</v>
      </c>
    </row>
    <row r="11866" customFormat="false" ht="15" hidden="false" customHeight="false" outlineLevel="0" collapsed="false">
      <c r="B11866" s="130" t="n">
        <v>2028</v>
      </c>
      <c r="C11866" s="131" t="s">
        <v>256</v>
      </c>
      <c r="D11866" s="132" t="n">
        <v>46807</v>
      </c>
      <c r="E11866" s="131" t="s">
        <v>14</v>
      </c>
      <c r="F11866" s="133" t="s">
        <v>24</v>
      </c>
      <c r="G11866" s="134" t="n">
        <f aca="false">LEN('Saisie programme'!$G$420)+SUMIFS('Vols additionnels'!$E$7:$E$66,'Vols additionnels'!$C$7:$C$66,$E11866,'Vols additionnels'!$D$7:$D$66,$F11866,'Vols additionnels'!$B$7:$B$66,$D11866)</f>
        <v>1</v>
      </c>
      <c r="H11866" s="135" t="n">
        <f aca="false">$G11866*'Analyse capacite'!$F$9</f>
        <v>174</v>
      </c>
      <c r="I11866" s="135" t="n">
        <f aca="false">$G11866*'Analyse capacite'!$C$9</f>
        <v>0</v>
      </c>
      <c r="J11866" s="135" t="n">
        <f aca="false">$G11866*'Analyse capacite'!$D$9</f>
        <v>12</v>
      </c>
      <c r="K11866" s="135" t="n">
        <f aca="false">$G11866*'Analyse capacite'!$E$9</f>
        <v>162</v>
      </c>
    </row>
    <row r="11867" customFormat="false" ht="15" hidden="false" customHeight="false" outlineLevel="0" collapsed="false">
      <c r="B11867" s="130" t="n">
        <v>2028</v>
      </c>
      <c r="C11867" s="131" t="s">
        <v>256</v>
      </c>
      <c r="D11867" s="132" t="n">
        <v>46807</v>
      </c>
      <c r="E11867" s="131" t="s">
        <v>46</v>
      </c>
      <c r="F11867" s="133" t="s">
        <v>11</v>
      </c>
      <c r="G11867" s="134" t="n">
        <f aca="false">LEN('Saisie programme'!$G$421)+SUMIFS('Vols additionnels'!$E$7:$E$66,'Vols additionnels'!$C$7:$C$66,$E11867,'Vols additionnels'!$D$7:$D$66,$F11867,'Vols additionnels'!$B$7:$B$66,$D11867)</f>
        <v>0</v>
      </c>
      <c r="H11867" s="135" t="n">
        <f aca="false">$G11867*'Analyse capacite'!$F$7</f>
        <v>0</v>
      </c>
      <c r="I11867" s="135" t="n">
        <f aca="false">$G11867*'Analyse capacite'!$C$7</f>
        <v>0</v>
      </c>
      <c r="J11867" s="135" t="n">
        <f aca="false">$G11867*'Analyse capacite'!$D$7</f>
        <v>0</v>
      </c>
      <c r="K11867" s="135" t="n">
        <f aca="false">$G11867*'Analyse capacite'!$E$7</f>
        <v>0</v>
      </c>
    </row>
    <row r="11868" customFormat="false" ht="15" hidden="false" customHeight="false" outlineLevel="0" collapsed="false">
      <c r="B11868" s="130" t="n">
        <v>2028</v>
      </c>
      <c r="C11868" s="131" t="s">
        <v>256</v>
      </c>
      <c r="D11868" s="132" t="n">
        <v>46807</v>
      </c>
      <c r="E11868" s="131" t="s">
        <v>46</v>
      </c>
      <c r="F11868" s="133" t="s">
        <v>19</v>
      </c>
      <c r="G11868" s="134" t="n">
        <f aca="false">LEN('Saisie programme'!$G$422)+SUMIFS('Vols additionnels'!$E$7:$E$66,'Vols additionnels'!$C$7:$C$66,$E11868,'Vols additionnels'!$D$7:$D$66,$F11868,'Vols additionnels'!$B$7:$B$66,$D11868)</f>
        <v>0</v>
      </c>
      <c r="H11868" s="135" t="n">
        <f aca="false">$G11868*'Analyse capacite'!$F$8</f>
        <v>0</v>
      </c>
      <c r="I11868" s="135" t="n">
        <f aca="false">$G11868*'Analyse capacite'!$C$8</f>
        <v>0</v>
      </c>
      <c r="J11868" s="135" t="n">
        <f aca="false">$G11868*'Analyse capacite'!$D$8</f>
        <v>0</v>
      </c>
      <c r="K11868" s="135" t="n">
        <f aca="false">$G11868*'Analyse capacite'!$E$8</f>
        <v>0</v>
      </c>
    </row>
    <row r="11869" customFormat="false" ht="15" hidden="false" customHeight="false" outlineLevel="0" collapsed="false">
      <c r="B11869" s="130" t="n">
        <v>2028</v>
      </c>
      <c r="C11869" s="131" t="s">
        <v>256</v>
      </c>
      <c r="D11869" s="132" t="n">
        <v>46807</v>
      </c>
      <c r="E11869" s="131" t="s">
        <v>46</v>
      </c>
      <c r="F11869" s="133" t="s">
        <v>24</v>
      </c>
      <c r="G11869" s="134" t="n">
        <f aca="false">LEN('Saisie programme'!$G$423)+SUMIFS('Vols additionnels'!$E$7:$E$66,'Vols additionnels'!$C$7:$C$66,$E11869,'Vols additionnels'!$D$7:$D$66,$F11869,'Vols additionnels'!$B$7:$B$66,$D11869)</f>
        <v>1</v>
      </c>
      <c r="H11869" s="135" t="n">
        <f aca="false">$G11869*'Analyse capacite'!$F$9</f>
        <v>174</v>
      </c>
      <c r="I11869" s="135" t="n">
        <f aca="false">$G11869*'Analyse capacite'!$C$9</f>
        <v>0</v>
      </c>
      <c r="J11869" s="135" t="n">
        <f aca="false">$G11869*'Analyse capacite'!$D$9</f>
        <v>12</v>
      </c>
      <c r="K11869" s="135" t="n">
        <f aca="false">$G11869*'Analyse capacite'!$E$9</f>
        <v>162</v>
      </c>
    </row>
    <row r="11870" customFormat="false" ht="15" hidden="false" customHeight="false" outlineLevel="0" collapsed="false">
      <c r="B11870" s="130" t="n">
        <v>2028</v>
      </c>
      <c r="C11870" s="131" t="s">
        <v>256</v>
      </c>
      <c r="D11870" s="132" t="n">
        <v>46807</v>
      </c>
      <c r="E11870" s="131" t="s">
        <v>49</v>
      </c>
      <c r="F11870" s="133" t="s">
        <v>11</v>
      </c>
      <c r="G11870" s="134" t="n">
        <f aca="false">LEN('Saisie programme'!$G$424)+SUMIFS('Vols additionnels'!$E$7:$E$66,'Vols additionnels'!$C$7:$C$66,$E11870,'Vols additionnels'!$D$7:$D$66,$F11870,'Vols additionnels'!$B$7:$B$66,$D11870)</f>
        <v>0</v>
      </c>
      <c r="H11870" s="135" t="n">
        <f aca="false">$G11870*'Analyse capacite'!$F$7</f>
        <v>0</v>
      </c>
      <c r="I11870" s="135" t="n">
        <f aca="false">$G11870*'Analyse capacite'!$C$7</f>
        <v>0</v>
      </c>
      <c r="J11870" s="135" t="n">
        <f aca="false">$G11870*'Analyse capacite'!$D$7</f>
        <v>0</v>
      </c>
      <c r="K11870" s="135" t="n">
        <f aca="false">$G11870*'Analyse capacite'!$E$7</f>
        <v>0</v>
      </c>
    </row>
    <row r="11871" customFormat="false" ht="15" hidden="false" customHeight="false" outlineLevel="0" collapsed="false">
      <c r="B11871" s="130" t="n">
        <v>2028</v>
      </c>
      <c r="C11871" s="131" t="s">
        <v>256</v>
      </c>
      <c r="D11871" s="132" t="n">
        <v>46807</v>
      </c>
      <c r="E11871" s="131" t="s">
        <v>49</v>
      </c>
      <c r="F11871" s="133" t="s">
        <v>19</v>
      </c>
      <c r="G11871" s="134" t="n">
        <f aca="false">LEN('Saisie programme'!$G$425)+SUMIFS('Vols additionnels'!$E$7:$E$66,'Vols additionnels'!$C$7:$C$66,$E11871,'Vols additionnels'!$D$7:$D$66,$F11871,'Vols additionnels'!$B$7:$B$66,$D11871)</f>
        <v>0</v>
      </c>
      <c r="H11871" s="135" t="n">
        <f aca="false">$G11871*'Analyse capacite'!$F$8</f>
        <v>0</v>
      </c>
      <c r="I11871" s="135" t="n">
        <f aca="false">$G11871*'Analyse capacite'!$C$8</f>
        <v>0</v>
      </c>
      <c r="J11871" s="135" t="n">
        <f aca="false">$G11871*'Analyse capacite'!$D$8</f>
        <v>0</v>
      </c>
      <c r="K11871" s="135" t="n">
        <f aca="false">$G11871*'Analyse capacite'!$E$8</f>
        <v>0</v>
      </c>
    </row>
    <row r="11872" customFormat="false" ht="15" hidden="false" customHeight="false" outlineLevel="0" collapsed="false">
      <c r="B11872" s="130" t="n">
        <v>2028</v>
      </c>
      <c r="C11872" s="131" t="s">
        <v>256</v>
      </c>
      <c r="D11872" s="132" t="n">
        <v>46807</v>
      </c>
      <c r="E11872" s="131" t="s">
        <v>49</v>
      </c>
      <c r="F11872" s="133" t="s">
        <v>24</v>
      </c>
      <c r="G11872" s="134" t="n">
        <f aca="false">LEN('Saisie programme'!$G$426)+SUMIFS('Vols additionnels'!$E$7:$E$66,'Vols additionnels'!$C$7:$C$66,$E11872,'Vols additionnels'!$D$7:$D$66,$F11872,'Vols additionnels'!$B$7:$B$66,$D11872)</f>
        <v>0</v>
      </c>
      <c r="H11872" s="135" t="n">
        <f aca="false">$G11872*'Analyse capacite'!$F$9</f>
        <v>0</v>
      </c>
      <c r="I11872" s="135" t="n">
        <f aca="false">$G11872*'Analyse capacite'!$C$9</f>
        <v>0</v>
      </c>
      <c r="J11872" s="135" t="n">
        <f aca="false">$G11872*'Analyse capacite'!$D$9</f>
        <v>0</v>
      </c>
      <c r="K11872" s="135" t="n">
        <f aca="false">$G11872*'Analyse capacite'!$E$9</f>
        <v>0</v>
      </c>
    </row>
    <row r="11873" customFormat="false" ht="15" hidden="false" customHeight="false" outlineLevel="0" collapsed="false">
      <c r="B11873" s="130" t="n">
        <v>2028</v>
      </c>
      <c r="C11873" s="131" t="s">
        <v>256</v>
      </c>
      <c r="D11873" s="132" t="n">
        <v>46807</v>
      </c>
      <c r="E11873" s="131" t="s">
        <v>53</v>
      </c>
      <c r="F11873" s="133" t="s">
        <v>11</v>
      </c>
      <c r="G11873" s="134" t="n">
        <f aca="false">LEN('Saisie programme'!$G$427)+SUMIFS('Vols additionnels'!$E$7:$E$66,'Vols additionnels'!$C$7:$C$66,$E11873,'Vols additionnels'!$D$7:$D$66,$F11873,'Vols additionnels'!$B$7:$B$66,$D11873)</f>
        <v>0</v>
      </c>
      <c r="H11873" s="135" t="n">
        <f aca="false">$G11873*'Analyse capacite'!$F$7</f>
        <v>0</v>
      </c>
      <c r="I11873" s="135" t="n">
        <f aca="false">$G11873*'Analyse capacite'!$C$7</f>
        <v>0</v>
      </c>
      <c r="J11873" s="135" t="n">
        <f aca="false">$G11873*'Analyse capacite'!$D$7</f>
        <v>0</v>
      </c>
      <c r="K11873" s="135" t="n">
        <f aca="false">$G11873*'Analyse capacite'!$E$7</f>
        <v>0</v>
      </c>
    </row>
    <row r="11874" customFormat="false" ht="15" hidden="false" customHeight="false" outlineLevel="0" collapsed="false">
      <c r="B11874" s="130" t="n">
        <v>2028</v>
      </c>
      <c r="C11874" s="131" t="s">
        <v>256</v>
      </c>
      <c r="D11874" s="132" t="n">
        <v>46807</v>
      </c>
      <c r="E11874" s="131" t="s">
        <v>53</v>
      </c>
      <c r="F11874" s="133" t="s">
        <v>19</v>
      </c>
      <c r="G11874" s="134" t="n">
        <f aca="false">LEN('Saisie programme'!$G$428)+SUMIFS('Vols additionnels'!$E$7:$E$66,'Vols additionnels'!$C$7:$C$66,$E11874,'Vols additionnels'!$D$7:$D$66,$F11874,'Vols additionnels'!$B$7:$B$66,$D11874)</f>
        <v>1</v>
      </c>
      <c r="H11874" s="135" t="n">
        <f aca="false">$G11874*'Analyse capacite'!$F$8</f>
        <v>262</v>
      </c>
      <c r="I11874" s="135" t="n">
        <f aca="false">$G11874*'Analyse capacite'!$C$8</f>
        <v>18</v>
      </c>
      <c r="J11874" s="135" t="n">
        <f aca="false">$G11874*'Analyse capacite'!$D$8</f>
        <v>0</v>
      </c>
      <c r="K11874" s="135" t="n">
        <f aca="false">$G11874*'Analyse capacite'!$E$8</f>
        <v>244</v>
      </c>
    </row>
    <row r="11875" customFormat="false" ht="15" hidden="false" customHeight="false" outlineLevel="0" collapsed="false">
      <c r="B11875" s="130" t="n">
        <v>2028</v>
      </c>
      <c r="C11875" s="131" t="s">
        <v>256</v>
      </c>
      <c r="D11875" s="132" t="n">
        <v>46807</v>
      </c>
      <c r="E11875" s="131" t="s">
        <v>53</v>
      </c>
      <c r="F11875" s="133" t="s">
        <v>24</v>
      </c>
      <c r="G11875" s="134" t="n">
        <f aca="false">LEN('Saisie programme'!$G$429)+SUMIFS('Vols additionnels'!$E$7:$E$66,'Vols additionnels'!$C$7:$C$66,$E11875,'Vols additionnels'!$D$7:$D$66,$F11875,'Vols additionnels'!$B$7:$B$66,$D11875)</f>
        <v>0</v>
      </c>
      <c r="H11875" s="135" t="n">
        <f aca="false">$G11875*'Analyse capacite'!$F$9</f>
        <v>0</v>
      </c>
      <c r="I11875" s="135" t="n">
        <f aca="false">$G11875*'Analyse capacite'!$C$9</f>
        <v>0</v>
      </c>
      <c r="J11875" s="135" t="n">
        <f aca="false">$G11875*'Analyse capacite'!$D$9</f>
        <v>0</v>
      </c>
      <c r="K11875" s="135" t="n">
        <f aca="false">$G11875*'Analyse capacite'!$E$9</f>
        <v>0</v>
      </c>
    </row>
    <row r="11876" customFormat="false" ht="15" hidden="false" customHeight="false" outlineLevel="0" collapsed="false">
      <c r="B11876" s="130" t="n">
        <v>2028</v>
      </c>
      <c r="C11876" s="131" t="s">
        <v>256</v>
      </c>
      <c r="D11876" s="132" t="n">
        <v>46807</v>
      </c>
      <c r="E11876" s="131" t="s">
        <v>56</v>
      </c>
      <c r="F11876" s="133" t="s">
        <v>11</v>
      </c>
      <c r="G11876" s="134" t="n">
        <f aca="false">LEN('Saisie programme'!$G$430)+SUMIFS('Vols additionnels'!$E$7:$E$66,'Vols additionnels'!$C$7:$C$66,$E11876,'Vols additionnels'!$D$7:$D$66,$F11876,'Vols additionnels'!$B$7:$B$66,$D11876)</f>
        <v>0</v>
      </c>
      <c r="H11876" s="135" t="n">
        <f aca="false">$G11876*'Analyse capacite'!$F$7</f>
        <v>0</v>
      </c>
      <c r="I11876" s="135" t="n">
        <f aca="false">$G11876*'Analyse capacite'!$C$7</f>
        <v>0</v>
      </c>
      <c r="J11876" s="135" t="n">
        <f aca="false">$G11876*'Analyse capacite'!$D$7</f>
        <v>0</v>
      </c>
      <c r="K11876" s="135" t="n">
        <f aca="false">$G11876*'Analyse capacite'!$E$7</f>
        <v>0</v>
      </c>
    </row>
    <row r="11877" customFormat="false" ht="15" hidden="false" customHeight="false" outlineLevel="0" collapsed="false">
      <c r="B11877" s="130" t="n">
        <v>2028</v>
      </c>
      <c r="C11877" s="131" t="s">
        <v>256</v>
      </c>
      <c r="D11877" s="132" t="n">
        <v>46807</v>
      </c>
      <c r="E11877" s="131" t="s">
        <v>56</v>
      </c>
      <c r="F11877" s="133" t="s">
        <v>19</v>
      </c>
      <c r="G11877" s="134" t="n">
        <f aca="false">LEN('Saisie programme'!$G$431)+SUMIFS('Vols additionnels'!$E$7:$E$66,'Vols additionnels'!$C$7:$C$66,$E11877,'Vols additionnels'!$D$7:$D$66,$F11877,'Vols additionnels'!$B$7:$B$66,$D11877)</f>
        <v>0</v>
      </c>
      <c r="H11877" s="135" t="n">
        <f aca="false">$G11877*'Analyse capacite'!$F$8</f>
        <v>0</v>
      </c>
      <c r="I11877" s="135" t="n">
        <f aca="false">$G11877*'Analyse capacite'!$C$8</f>
        <v>0</v>
      </c>
      <c r="J11877" s="135" t="n">
        <f aca="false">$G11877*'Analyse capacite'!$D$8</f>
        <v>0</v>
      </c>
      <c r="K11877" s="135" t="n">
        <f aca="false">$G11877*'Analyse capacite'!$E$8</f>
        <v>0</v>
      </c>
    </row>
    <row r="11878" customFormat="false" ht="15" hidden="false" customHeight="false" outlineLevel="0" collapsed="false">
      <c r="B11878" s="130" t="n">
        <v>2028</v>
      </c>
      <c r="C11878" s="131" t="s">
        <v>256</v>
      </c>
      <c r="D11878" s="132" t="n">
        <v>46807</v>
      </c>
      <c r="E11878" s="131" t="s">
        <v>56</v>
      </c>
      <c r="F11878" s="133" t="s">
        <v>24</v>
      </c>
      <c r="G11878" s="134" t="n">
        <f aca="false">LEN('Saisie programme'!$G$432)+SUMIFS('Vols additionnels'!$E$7:$E$66,'Vols additionnels'!$C$7:$C$66,$E11878,'Vols additionnels'!$D$7:$D$66,$F11878,'Vols additionnels'!$B$7:$B$66,$D11878)</f>
        <v>0</v>
      </c>
      <c r="H11878" s="135" t="n">
        <f aca="false">$G11878*'Analyse capacite'!$F$9</f>
        <v>0</v>
      </c>
      <c r="I11878" s="135" t="n">
        <f aca="false">$G11878*'Analyse capacite'!$C$9</f>
        <v>0</v>
      </c>
      <c r="J11878" s="135" t="n">
        <f aca="false">$G11878*'Analyse capacite'!$D$9</f>
        <v>0</v>
      </c>
      <c r="K11878" s="135" t="n">
        <f aca="false">$G11878*'Analyse capacite'!$E$9</f>
        <v>0</v>
      </c>
    </row>
    <row r="11879" customFormat="false" ht="15" hidden="false" customHeight="false" outlineLevel="0" collapsed="false">
      <c r="B11879" s="130" t="n">
        <v>2028</v>
      </c>
      <c r="C11879" s="131" t="s">
        <v>256</v>
      </c>
      <c r="D11879" s="132" t="n">
        <v>46807</v>
      </c>
      <c r="E11879" s="131" t="s">
        <v>59</v>
      </c>
      <c r="F11879" s="133" t="s">
        <v>11</v>
      </c>
      <c r="G11879" s="134" t="n">
        <f aca="false">LEN('Saisie programme'!$G$433)+SUMIFS('Vols additionnels'!$E$7:$E$66,'Vols additionnels'!$C$7:$C$66,$E11879,'Vols additionnels'!$D$7:$D$66,$F11879,'Vols additionnels'!$B$7:$B$66,$D11879)</f>
        <v>0</v>
      </c>
      <c r="H11879" s="135" t="n">
        <f aca="false">$G11879*'Analyse capacite'!$F$7</f>
        <v>0</v>
      </c>
      <c r="I11879" s="135" t="n">
        <f aca="false">$G11879*'Analyse capacite'!$C$7</f>
        <v>0</v>
      </c>
      <c r="J11879" s="135" t="n">
        <f aca="false">$G11879*'Analyse capacite'!$D$7</f>
        <v>0</v>
      </c>
      <c r="K11879" s="135" t="n">
        <f aca="false">$G11879*'Analyse capacite'!$E$7</f>
        <v>0</v>
      </c>
    </row>
    <row r="11880" customFormat="false" ht="15" hidden="false" customHeight="false" outlineLevel="0" collapsed="false">
      <c r="B11880" s="130" t="n">
        <v>2028</v>
      </c>
      <c r="C11880" s="131" t="s">
        <v>256</v>
      </c>
      <c r="D11880" s="132" t="n">
        <v>46807</v>
      </c>
      <c r="E11880" s="131" t="s">
        <v>59</v>
      </c>
      <c r="F11880" s="133" t="s">
        <v>19</v>
      </c>
      <c r="G11880" s="134" t="n">
        <f aca="false">LEN('Saisie programme'!$G$434)+SUMIFS('Vols additionnels'!$E$7:$E$66,'Vols additionnels'!$C$7:$C$66,$E11880,'Vols additionnels'!$D$7:$D$66,$F11880,'Vols additionnels'!$B$7:$B$66,$D11880)</f>
        <v>0</v>
      </c>
      <c r="H11880" s="135" t="n">
        <f aca="false">$G11880*'Analyse capacite'!$F$8</f>
        <v>0</v>
      </c>
      <c r="I11880" s="135" t="n">
        <f aca="false">$G11880*'Analyse capacite'!$C$8</f>
        <v>0</v>
      </c>
      <c r="J11880" s="135" t="n">
        <f aca="false">$G11880*'Analyse capacite'!$D$8</f>
        <v>0</v>
      </c>
      <c r="K11880" s="135" t="n">
        <f aca="false">$G11880*'Analyse capacite'!$E$8</f>
        <v>0</v>
      </c>
    </row>
    <row r="11881" customFormat="false" ht="15" hidden="false" customHeight="false" outlineLevel="0" collapsed="false">
      <c r="B11881" s="130" t="n">
        <v>2028</v>
      </c>
      <c r="C11881" s="131" t="s">
        <v>256</v>
      </c>
      <c r="D11881" s="132" t="n">
        <v>46807</v>
      </c>
      <c r="E11881" s="131" t="s">
        <v>59</v>
      </c>
      <c r="F11881" s="133" t="s">
        <v>24</v>
      </c>
      <c r="G11881" s="134" t="n">
        <f aca="false">LEN('Saisie programme'!$G$435)+SUMIFS('Vols additionnels'!$E$7:$E$66,'Vols additionnels'!$C$7:$C$66,$E11881,'Vols additionnels'!$D$7:$D$66,$F11881,'Vols additionnels'!$B$7:$B$66,$D11881)</f>
        <v>2</v>
      </c>
      <c r="H11881" s="135" t="n">
        <f aca="false">$G11881*'Analyse capacite'!$F$9</f>
        <v>348</v>
      </c>
      <c r="I11881" s="135" t="n">
        <f aca="false">$G11881*'Analyse capacite'!$C$9</f>
        <v>0</v>
      </c>
      <c r="J11881" s="135" t="n">
        <f aca="false">$G11881*'Analyse capacite'!$D$9</f>
        <v>24</v>
      </c>
      <c r="K11881" s="135" t="n">
        <f aca="false">$G11881*'Analyse capacite'!$E$9</f>
        <v>324</v>
      </c>
    </row>
    <row r="11882" customFormat="false" ht="15" hidden="false" customHeight="false" outlineLevel="0" collapsed="false">
      <c r="B11882" s="130" t="n">
        <v>2028</v>
      </c>
      <c r="C11882" s="131" t="s">
        <v>256</v>
      </c>
      <c r="D11882" s="132" t="n">
        <v>46807</v>
      </c>
      <c r="E11882" s="131" t="s">
        <v>62</v>
      </c>
      <c r="F11882" s="133" t="s">
        <v>11</v>
      </c>
      <c r="G11882" s="134" t="n">
        <f aca="false">LEN('Saisie programme'!$G$436)+SUMIFS('Vols additionnels'!$E$7:$E$66,'Vols additionnels'!$C$7:$C$66,$E11882,'Vols additionnels'!$D$7:$D$66,$F11882,'Vols additionnels'!$B$7:$B$66,$D11882)</f>
        <v>0</v>
      </c>
      <c r="H11882" s="135" t="n">
        <f aca="false">$G11882*'Analyse capacite'!$F$7</f>
        <v>0</v>
      </c>
      <c r="I11882" s="135" t="n">
        <f aca="false">$G11882*'Analyse capacite'!$C$7</f>
        <v>0</v>
      </c>
      <c r="J11882" s="135" t="n">
        <f aca="false">$G11882*'Analyse capacite'!$D$7</f>
        <v>0</v>
      </c>
      <c r="K11882" s="135" t="n">
        <f aca="false">$G11882*'Analyse capacite'!$E$7</f>
        <v>0</v>
      </c>
    </row>
    <row r="11883" customFormat="false" ht="15" hidden="false" customHeight="false" outlineLevel="0" collapsed="false">
      <c r="B11883" s="130" t="n">
        <v>2028</v>
      </c>
      <c r="C11883" s="131" t="s">
        <v>256</v>
      </c>
      <c r="D11883" s="132" t="n">
        <v>46807</v>
      </c>
      <c r="E11883" s="131" t="s">
        <v>62</v>
      </c>
      <c r="F11883" s="133" t="s">
        <v>19</v>
      </c>
      <c r="G11883" s="134" t="n">
        <f aca="false">LEN('Saisie programme'!$G$437)+SUMIFS('Vols additionnels'!$E$7:$E$66,'Vols additionnels'!$C$7:$C$66,$E11883,'Vols additionnels'!$D$7:$D$66,$F11883,'Vols additionnels'!$B$7:$B$66,$D11883)</f>
        <v>0</v>
      </c>
      <c r="H11883" s="135" t="n">
        <f aca="false">$G11883*'Analyse capacite'!$F$8</f>
        <v>0</v>
      </c>
      <c r="I11883" s="135" t="n">
        <f aca="false">$G11883*'Analyse capacite'!$C$8</f>
        <v>0</v>
      </c>
      <c r="J11883" s="135" t="n">
        <f aca="false">$G11883*'Analyse capacite'!$D$8</f>
        <v>0</v>
      </c>
      <c r="K11883" s="135" t="n">
        <f aca="false">$G11883*'Analyse capacite'!$E$8</f>
        <v>0</v>
      </c>
    </row>
    <row r="11884" customFormat="false" ht="15" hidden="false" customHeight="false" outlineLevel="0" collapsed="false">
      <c r="B11884" s="130" t="n">
        <v>2028</v>
      </c>
      <c r="C11884" s="131" t="s">
        <v>256</v>
      </c>
      <c r="D11884" s="132" t="n">
        <v>46807</v>
      </c>
      <c r="E11884" s="131" t="s">
        <v>62</v>
      </c>
      <c r="F11884" s="133" t="s">
        <v>24</v>
      </c>
      <c r="G11884" s="134" t="n">
        <f aca="false">LEN('Saisie programme'!$G$438)+SUMIFS('Vols additionnels'!$E$7:$E$66,'Vols additionnels'!$C$7:$C$66,$E11884,'Vols additionnels'!$D$7:$D$66,$F11884,'Vols additionnels'!$B$7:$B$66,$D11884)</f>
        <v>0</v>
      </c>
      <c r="H11884" s="135" t="n">
        <f aca="false">$G11884*'Analyse capacite'!$F$9</f>
        <v>0</v>
      </c>
      <c r="I11884" s="135" t="n">
        <f aca="false">$G11884*'Analyse capacite'!$C$9</f>
        <v>0</v>
      </c>
      <c r="J11884" s="135" t="n">
        <f aca="false">$G11884*'Analyse capacite'!$D$9</f>
        <v>0</v>
      </c>
      <c r="K11884" s="135" t="n">
        <f aca="false">$G11884*'Analyse capacite'!$E$9</f>
        <v>0</v>
      </c>
    </row>
    <row r="11885" customFormat="false" ht="15" hidden="false" customHeight="false" outlineLevel="0" collapsed="false">
      <c r="B11885" s="130" t="n">
        <v>2028</v>
      </c>
      <c r="C11885" s="131" t="s">
        <v>256</v>
      </c>
      <c r="D11885" s="132" t="n">
        <v>46808</v>
      </c>
      <c r="E11885" s="131" t="s">
        <v>12</v>
      </c>
      <c r="F11885" s="133" t="s">
        <v>11</v>
      </c>
      <c r="G11885" s="134" t="n">
        <f aca="false">LEN('Saisie programme'!$H$403)+SUMIFS('Vols additionnels'!$E$7:$E$66,'Vols additionnels'!$C$7:$C$66,$E11885,'Vols additionnels'!$D$7:$D$66,$F11885,'Vols additionnels'!$B$7:$B$66,$D11885)</f>
        <v>1</v>
      </c>
      <c r="H11885" s="135" t="n">
        <f aca="false">$G11885*'Analyse capacite'!$F$7</f>
        <v>438</v>
      </c>
      <c r="I11885" s="135" t="n">
        <f aca="false">$G11885*'Analyse capacite'!$C$7</f>
        <v>14</v>
      </c>
      <c r="J11885" s="135" t="n">
        <f aca="false">$G11885*'Analyse capacite'!$D$7</f>
        <v>40</v>
      </c>
      <c r="K11885" s="135" t="n">
        <f aca="false">$G11885*'Analyse capacite'!$E$7</f>
        <v>384</v>
      </c>
    </row>
    <row r="11886" customFormat="false" ht="15" hidden="false" customHeight="false" outlineLevel="0" collapsed="false">
      <c r="B11886" s="130" t="n">
        <v>2028</v>
      </c>
      <c r="C11886" s="131" t="s">
        <v>256</v>
      </c>
      <c r="D11886" s="132" t="n">
        <v>46808</v>
      </c>
      <c r="E11886" s="131" t="s">
        <v>12</v>
      </c>
      <c r="F11886" s="133" t="s">
        <v>19</v>
      </c>
      <c r="G11886" s="134" t="n">
        <f aca="false">LEN('Saisie programme'!$H$404)+SUMIFS('Vols additionnels'!$E$7:$E$66,'Vols additionnels'!$C$7:$C$66,$E11886,'Vols additionnels'!$D$7:$D$66,$F11886,'Vols additionnels'!$B$7:$B$66,$D11886)</f>
        <v>1</v>
      </c>
      <c r="H11886" s="135" t="n">
        <f aca="false">$G11886*'Analyse capacite'!$F$8</f>
        <v>262</v>
      </c>
      <c r="I11886" s="135" t="n">
        <f aca="false">$G11886*'Analyse capacite'!$C$8</f>
        <v>18</v>
      </c>
      <c r="J11886" s="135" t="n">
        <f aca="false">$G11886*'Analyse capacite'!$D$8</f>
        <v>0</v>
      </c>
      <c r="K11886" s="135" t="n">
        <f aca="false">$G11886*'Analyse capacite'!$E$8</f>
        <v>244</v>
      </c>
    </row>
    <row r="11887" customFormat="false" ht="15" hidden="false" customHeight="false" outlineLevel="0" collapsed="false">
      <c r="B11887" s="130" t="n">
        <v>2028</v>
      </c>
      <c r="C11887" s="131" t="s">
        <v>256</v>
      </c>
      <c r="D11887" s="132" t="n">
        <v>46808</v>
      </c>
      <c r="E11887" s="131" t="s">
        <v>12</v>
      </c>
      <c r="F11887" s="133" t="s">
        <v>24</v>
      </c>
      <c r="G11887" s="134" t="n">
        <f aca="false">LEN('Saisie programme'!$H$405)+SUMIFS('Vols additionnels'!$E$7:$E$66,'Vols additionnels'!$C$7:$C$66,$E11887,'Vols additionnels'!$D$7:$D$66,$F11887,'Vols additionnels'!$B$7:$B$66,$D11887)</f>
        <v>0</v>
      </c>
      <c r="H11887" s="135" t="n">
        <f aca="false">$G11887*'Analyse capacite'!$F$9</f>
        <v>0</v>
      </c>
      <c r="I11887" s="135" t="n">
        <f aca="false">$G11887*'Analyse capacite'!$C$9</f>
        <v>0</v>
      </c>
      <c r="J11887" s="135" t="n">
        <f aca="false">$G11887*'Analyse capacite'!$D$9</f>
        <v>0</v>
      </c>
      <c r="K11887" s="135" t="n">
        <f aca="false">$G11887*'Analyse capacite'!$E$9</f>
        <v>0</v>
      </c>
    </row>
    <row r="11888" customFormat="false" ht="15" hidden="false" customHeight="false" outlineLevel="0" collapsed="false">
      <c r="B11888" s="130" t="n">
        <v>2028</v>
      </c>
      <c r="C11888" s="131" t="s">
        <v>256</v>
      </c>
      <c r="D11888" s="132" t="n">
        <v>46808</v>
      </c>
      <c r="E11888" s="131" t="s">
        <v>20</v>
      </c>
      <c r="F11888" s="133" t="s">
        <v>11</v>
      </c>
      <c r="G11888" s="134" t="n">
        <f aca="false">LEN('Saisie programme'!$H$406)+SUMIFS('Vols additionnels'!$E$7:$E$66,'Vols additionnels'!$C$7:$C$66,$E11888,'Vols additionnels'!$D$7:$D$66,$F11888,'Vols additionnels'!$B$7:$B$66,$D11888)</f>
        <v>0</v>
      </c>
      <c r="H11888" s="135" t="n">
        <f aca="false">$G11888*'Analyse capacite'!$F$7</f>
        <v>0</v>
      </c>
      <c r="I11888" s="135" t="n">
        <f aca="false">$G11888*'Analyse capacite'!$C$7</f>
        <v>0</v>
      </c>
      <c r="J11888" s="135" t="n">
        <f aca="false">$G11888*'Analyse capacite'!$D$7</f>
        <v>0</v>
      </c>
      <c r="K11888" s="135" t="n">
        <f aca="false">$G11888*'Analyse capacite'!$E$7</f>
        <v>0</v>
      </c>
    </row>
    <row r="11889" customFormat="false" ht="15" hidden="false" customHeight="false" outlineLevel="0" collapsed="false">
      <c r="B11889" s="130" t="n">
        <v>2028</v>
      </c>
      <c r="C11889" s="131" t="s">
        <v>256</v>
      </c>
      <c r="D11889" s="132" t="n">
        <v>46808</v>
      </c>
      <c r="E11889" s="131" t="s">
        <v>20</v>
      </c>
      <c r="F11889" s="133" t="s">
        <v>19</v>
      </c>
      <c r="G11889" s="134" t="n">
        <f aca="false">LEN('Saisie programme'!$H$407)+SUMIFS('Vols additionnels'!$E$7:$E$66,'Vols additionnels'!$C$7:$C$66,$E11889,'Vols additionnels'!$D$7:$D$66,$F11889,'Vols additionnels'!$B$7:$B$66,$D11889)</f>
        <v>1</v>
      </c>
      <c r="H11889" s="135" t="n">
        <f aca="false">$G11889*'Analyse capacite'!$F$8</f>
        <v>262</v>
      </c>
      <c r="I11889" s="135" t="n">
        <f aca="false">$G11889*'Analyse capacite'!$C$8</f>
        <v>18</v>
      </c>
      <c r="J11889" s="135" t="n">
        <f aca="false">$G11889*'Analyse capacite'!$D$8</f>
        <v>0</v>
      </c>
      <c r="K11889" s="135" t="n">
        <f aca="false">$G11889*'Analyse capacite'!$E$8</f>
        <v>244</v>
      </c>
    </row>
    <row r="11890" customFormat="false" ht="15" hidden="false" customHeight="false" outlineLevel="0" collapsed="false">
      <c r="B11890" s="130" t="n">
        <v>2028</v>
      </c>
      <c r="C11890" s="131" t="s">
        <v>256</v>
      </c>
      <c r="D11890" s="132" t="n">
        <v>46808</v>
      </c>
      <c r="E11890" s="131" t="s">
        <v>20</v>
      </c>
      <c r="F11890" s="133" t="s">
        <v>24</v>
      </c>
      <c r="G11890" s="134" t="n">
        <f aca="false">LEN('Saisie programme'!$H$408)+SUMIFS('Vols additionnels'!$E$7:$E$66,'Vols additionnels'!$C$7:$C$66,$E11890,'Vols additionnels'!$D$7:$D$66,$F11890,'Vols additionnels'!$B$7:$B$66,$D11890)</f>
        <v>0</v>
      </c>
      <c r="H11890" s="135" t="n">
        <f aca="false">$G11890*'Analyse capacite'!$F$9</f>
        <v>0</v>
      </c>
      <c r="I11890" s="135" t="n">
        <f aca="false">$G11890*'Analyse capacite'!$C$9</f>
        <v>0</v>
      </c>
      <c r="J11890" s="135" t="n">
        <f aca="false">$G11890*'Analyse capacite'!$D$9</f>
        <v>0</v>
      </c>
      <c r="K11890" s="135" t="n">
        <f aca="false">$G11890*'Analyse capacite'!$E$9</f>
        <v>0</v>
      </c>
    </row>
    <row r="11891" customFormat="false" ht="15" hidden="false" customHeight="false" outlineLevel="0" collapsed="false">
      <c r="B11891" s="130" t="n">
        <v>2028</v>
      </c>
      <c r="C11891" s="131" t="s">
        <v>256</v>
      </c>
      <c r="D11891" s="132" t="n">
        <v>46808</v>
      </c>
      <c r="E11891" s="131" t="s">
        <v>25</v>
      </c>
      <c r="F11891" s="133" t="s">
        <v>11</v>
      </c>
      <c r="G11891" s="134" t="n">
        <f aca="false">LEN('Saisie programme'!$H$409)+SUMIFS('Vols additionnels'!$E$7:$E$66,'Vols additionnels'!$C$7:$C$66,$E11891,'Vols additionnels'!$D$7:$D$66,$F11891,'Vols additionnels'!$B$7:$B$66,$D11891)</f>
        <v>0</v>
      </c>
      <c r="H11891" s="135" t="n">
        <f aca="false">$G11891*'Analyse capacite'!$F$7</f>
        <v>0</v>
      </c>
      <c r="I11891" s="135" t="n">
        <f aca="false">$G11891*'Analyse capacite'!$C$7</f>
        <v>0</v>
      </c>
      <c r="J11891" s="135" t="n">
        <f aca="false">$G11891*'Analyse capacite'!$D$7</f>
        <v>0</v>
      </c>
      <c r="K11891" s="135" t="n">
        <f aca="false">$G11891*'Analyse capacite'!$E$7</f>
        <v>0</v>
      </c>
    </row>
    <row r="11892" customFormat="false" ht="15" hidden="false" customHeight="false" outlineLevel="0" collapsed="false">
      <c r="B11892" s="130" t="n">
        <v>2028</v>
      </c>
      <c r="C11892" s="131" t="s">
        <v>256</v>
      </c>
      <c r="D11892" s="132" t="n">
        <v>46808</v>
      </c>
      <c r="E11892" s="131" t="s">
        <v>25</v>
      </c>
      <c r="F11892" s="133" t="s">
        <v>19</v>
      </c>
      <c r="G11892" s="134" t="n">
        <f aca="false">LEN('Saisie programme'!$H$410)+SUMIFS('Vols additionnels'!$E$7:$E$66,'Vols additionnels'!$C$7:$C$66,$E11892,'Vols additionnels'!$D$7:$D$66,$F11892,'Vols additionnels'!$B$7:$B$66,$D11892)</f>
        <v>0</v>
      </c>
      <c r="H11892" s="135" t="n">
        <f aca="false">$G11892*'Analyse capacite'!$F$8</f>
        <v>0</v>
      </c>
      <c r="I11892" s="135" t="n">
        <f aca="false">$G11892*'Analyse capacite'!$C$8</f>
        <v>0</v>
      </c>
      <c r="J11892" s="135" t="n">
        <f aca="false">$G11892*'Analyse capacite'!$D$8</f>
        <v>0</v>
      </c>
      <c r="K11892" s="135" t="n">
        <f aca="false">$G11892*'Analyse capacite'!$E$8</f>
        <v>0</v>
      </c>
    </row>
    <row r="11893" customFormat="false" ht="15" hidden="false" customHeight="false" outlineLevel="0" collapsed="false">
      <c r="B11893" s="130" t="n">
        <v>2028</v>
      </c>
      <c r="C11893" s="131" t="s">
        <v>256</v>
      </c>
      <c r="D11893" s="132" t="n">
        <v>46808</v>
      </c>
      <c r="E11893" s="131" t="s">
        <v>25</v>
      </c>
      <c r="F11893" s="133" t="s">
        <v>24</v>
      </c>
      <c r="G11893" s="134" t="n">
        <f aca="false">LEN('Saisie programme'!$H$411)+SUMIFS('Vols additionnels'!$E$7:$E$66,'Vols additionnels'!$C$7:$C$66,$E11893,'Vols additionnels'!$D$7:$D$66,$F11893,'Vols additionnels'!$B$7:$B$66,$D11893)</f>
        <v>0</v>
      </c>
      <c r="H11893" s="135" t="n">
        <f aca="false">$G11893*'Analyse capacite'!$F$9</f>
        <v>0</v>
      </c>
      <c r="I11893" s="135" t="n">
        <f aca="false">$G11893*'Analyse capacite'!$C$9</f>
        <v>0</v>
      </c>
      <c r="J11893" s="135" t="n">
        <f aca="false">$G11893*'Analyse capacite'!$D$9</f>
        <v>0</v>
      </c>
      <c r="K11893" s="135" t="n">
        <f aca="false">$G11893*'Analyse capacite'!$E$9</f>
        <v>0</v>
      </c>
    </row>
    <row r="11894" customFormat="false" ht="15" hidden="false" customHeight="false" outlineLevel="0" collapsed="false">
      <c r="B11894" s="130" t="n">
        <v>2028</v>
      </c>
      <c r="C11894" s="131" t="s">
        <v>256</v>
      </c>
      <c r="D11894" s="132" t="n">
        <v>46808</v>
      </c>
      <c r="E11894" s="131" t="s">
        <v>36</v>
      </c>
      <c r="F11894" s="133" t="s">
        <v>11</v>
      </c>
      <c r="G11894" s="134" t="n">
        <f aca="false">LEN('Saisie programme'!$H$412)+SUMIFS('Vols additionnels'!$E$7:$E$66,'Vols additionnels'!$C$7:$C$66,$E11894,'Vols additionnels'!$D$7:$D$66,$F11894,'Vols additionnels'!$B$7:$B$66,$D11894)</f>
        <v>0</v>
      </c>
      <c r="H11894" s="135" t="n">
        <f aca="false">$G11894*'Analyse capacite'!$F$7</f>
        <v>0</v>
      </c>
      <c r="I11894" s="135" t="n">
        <f aca="false">$G11894*'Analyse capacite'!$C$7</f>
        <v>0</v>
      </c>
      <c r="J11894" s="135" t="n">
        <f aca="false">$G11894*'Analyse capacite'!$D$7</f>
        <v>0</v>
      </c>
      <c r="K11894" s="135" t="n">
        <f aca="false">$G11894*'Analyse capacite'!$E$7</f>
        <v>0</v>
      </c>
    </row>
    <row r="11895" customFormat="false" ht="15" hidden="false" customHeight="false" outlineLevel="0" collapsed="false">
      <c r="B11895" s="130" t="n">
        <v>2028</v>
      </c>
      <c r="C11895" s="131" t="s">
        <v>256</v>
      </c>
      <c r="D11895" s="132" t="n">
        <v>46808</v>
      </c>
      <c r="E11895" s="131" t="s">
        <v>36</v>
      </c>
      <c r="F11895" s="133" t="s">
        <v>19</v>
      </c>
      <c r="G11895" s="134" t="n">
        <f aca="false">LEN('Saisie programme'!$H$413)+SUMIFS('Vols additionnels'!$E$7:$E$66,'Vols additionnels'!$C$7:$C$66,$E11895,'Vols additionnels'!$D$7:$D$66,$F11895,'Vols additionnels'!$B$7:$B$66,$D11895)</f>
        <v>0</v>
      </c>
      <c r="H11895" s="135" t="n">
        <f aca="false">$G11895*'Analyse capacite'!$F$8</f>
        <v>0</v>
      </c>
      <c r="I11895" s="135" t="n">
        <f aca="false">$G11895*'Analyse capacite'!$C$8</f>
        <v>0</v>
      </c>
      <c r="J11895" s="135" t="n">
        <f aca="false">$G11895*'Analyse capacite'!$D$8</f>
        <v>0</v>
      </c>
      <c r="K11895" s="135" t="n">
        <f aca="false">$G11895*'Analyse capacite'!$E$8</f>
        <v>0</v>
      </c>
    </row>
    <row r="11896" customFormat="false" ht="15" hidden="false" customHeight="false" outlineLevel="0" collapsed="false">
      <c r="B11896" s="130" t="n">
        <v>2028</v>
      </c>
      <c r="C11896" s="131" t="s">
        <v>256</v>
      </c>
      <c r="D11896" s="132" t="n">
        <v>46808</v>
      </c>
      <c r="E11896" s="131" t="s">
        <v>36</v>
      </c>
      <c r="F11896" s="133" t="s">
        <v>24</v>
      </c>
      <c r="G11896" s="134" t="n">
        <f aca="false">LEN('Saisie programme'!$H$414)+SUMIFS('Vols additionnels'!$E$7:$E$66,'Vols additionnels'!$C$7:$C$66,$E11896,'Vols additionnels'!$D$7:$D$66,$F11896,'Vols additionnels'!$B$7:$B$66,$D11896)</f>
        <v>1</v>
      </c>
      <c r="H11896" s="135" t="n">
        <f aca="false">$G11896*'Analyse capacite'!$F$9</f>
        <v>174</v>
      </c>
      <c r="I11896" s="135" t="n">
        <f aca="false">$G11896*'Analyse capacite'!$C$9</f>
        <v>0</v>
      </c>
      <c r="J11896" s="135" t="n">
        <f aca="false">$G11896*'Analyse capacite'!$D$9</f>
        <v>12</v>
      </c>
      <c r="K11896" s="135" t="n">
        <f aca="false">$G11896*'Analyse capacite'!$E$9</f>
        <v>162</v>
      </c>
    </row>
    <row r="11897" customFormat="false" ht="15" hidden="false" customHeight="false" outlineLevel="0" collapsed="false">
      <c r="B11897" s="130" t="n">
        <v>2028</v>
      </c>
      <c r="C11897" s="131" t="s">
        <v>256</v>
      </c>
      <c r="D11897" s="132" t="n">
        <v>46808</v>
      </c>
      <c r="E11897" s="131" t="s">
        <v>40</v>
      </c>
      <c r="F11897" s="133" t="s">
        <v>11</v>
      </c>
      <c r="G11897" s="134" t="n">
        <f aca="false">LEN('Saisie programme'!$H$415)+SUMIFS('Vols additionnels'!$E$7:$E$66,'Vols additionnels'!$C$7:$C$66,$E11897,'Vols additionnels'!$D$7:$D$66,$F11897,'Vols additionnels'!$B$7:$B$66,$D11897)</f>
        <v>0</v>
      </c>
      <c r="H11897" s="135" t="n">
        <f aca="false">$G11897*'Analyse capacite'!$F$7</f>
        <v>0</v>
      </c>
      <c r="I11897" s="135" t="n">
        <f aca="false">$G11897*'Analyse capacite'!$C$7</f>
        <v>0</v>
      </c>
      <c r="J11897" s="135" t="n">
        <f aca="false">$G11897*'Analyse capacite'!$D$7</f>
        <v>0</v>
      </c>
      <c r="K11897" s="135" t="n">
        <f aca="false">$G11897*'Analyse capacite'!$E$7</f>
        <v>0</v>
      </c>
    </row>
    <row r="11898" customFormat="false" ht="15" hidden="false" customHeight="false" outlineLevel="0" collapsed="false">
      <c r="B11898" s="130" t="n">
        <v>2028</v>
      </c>
      <c r="C11898" s="131" t="s">
        <v>256</v>
      </c>
      <c r="D11898" s="132" t="n">
        <v>46808</v>
      </c>
      <c r="E11898" s="131" t="s">
        <v>40</v>
      </c>
      <c r="F11898" s="133" t="s">
        <v>19</v>
      </c>
      <c r="G11898" s="134" t="n">
        <f aca="false">LEN('Saisie programme'!$H$416)+SUMIFS('Vols additionnels'!$E$7:$E$66,'Vols additionnels'!$C$7:$C$66,$E11898,'Vols additionnels'!$D$7:$D$66,$F11898,'Vols additionnels'!$B$7:$B$66,$D11898)</f>
        <v>0</v>
      </c>
      <c r="H11898" s="135" t="n">
        <f aca="false">$G11898*'Analyse capacite'!$F$8</f>
        <v>0</v>
      </c>
      <c r="I11898" s="135" t="n">
        <f aca="false">$G11898*'Analyse capacite'!$C$8</f>
        <v>0</v>
      </c>
      <c r="J11898" s="135" t="n">
        <f aca="false">$G11898*'Analyse capacite'!$D$8</f>
        <v>0</v>
      </c>
      <c r="K11898" s="135" t="n">
        <f aca="false">$G11898*'Analyse capacite'!$E$8</f>
        <v>0</v>
      </c>
    </row>
    <row r="11899" customFormat="false" ht="15" hidden="false" customHeight="false" outlineLevel="0" collapsed="false">
      <c r="B11899" s="130" t="n">
        <v>2028</v>
      </c>
      <c r="C11899" s="131" t="s">
        <v>256</v>
      </c>
      <c r="D11899" s="132" t="n">
        <v>46808</v>
      </c>
      <c r="E11899" s="131" t="s">
        <v>40</v>
      </c>
      <c r="F11899" s="133" t="s">
        <v>24</v>
      </c>
      <c r="G11899" s="134" t="n">
        <f aca="false">LEN('Saisie programme'!$H$417)+SUMIFS('Vols additionnels'!$E$7:$E$66,'Vols additionnels'!$C$7:$C$66,$E11899,'Vols additionnels'!$D$7:$D$66,$F11899,'Vols additionnels'!$B$7:$B$66,$D11899)</f>
        <v>1</v>
      </c>
      <c r="H11899" s="135" t="n">
        <f aca="false">$G11899*'Analyse capacite'!$F$9</f>
        <v>174</v>
      </c>
      <c r="I11899" s="135" t="n">
        <f aca="false">$G11899*'Analyse capacite'!$C$9</f>
        <v>0</v>
      </c>
      <c r="J11899" s="135" t="n">
        <f aca="false">$G11899*'Analyse capacite'!$D$9</f>
        <v>12</v>
      </c>
      <c r="K11899" s="135" t="n">
        <f aca="false">$G11899*'Analyse capacite'!$E$9</f>
        <v>162</v>
      </c>
    </row>
    <row r="11900" customFormat="false" ht="15" hidden="false" customHeight="false" outlineLevel="0" collapsed="false">
      <c r="B11900" s="130" t="n">
        <v>2028</v>
      </c>
      <c r="C11900" s="131" t="s">
        <v>256</v>
      </c>
      <c r="D11900" s="132" t="n">
        <v>46808</v>
      </c>
      <c r="E11900" s="131" t="s">
        <v>14</v>
      </c>
      <c r="F11900" s="133" t="s">
        <v>11</v>
      </c>
      <c r="G11900" s="134" t="n">
        <f aca="false">LEN('Saisie programme'!$H$418)+SUMIFS('Vols additionnels'!$E$7:$E$66,'Vols additionnels'!$C$7:$C$66,$E11900,'Vols additionnels'!$D$7:$D$66,$F11900,'Vols additionnels'!$B$7:$B$66,$D11900)</f>
        <v>0</v>
      </c>
      <c r="H11900" s="135" t="n">
        <f aca="false">$G11900*'Analyse capacite'!$F$7</f>
        <v>0</v>
      </c>
      <c r="I11900" s="135" t="n">
        <f aca="false">$G11900*'Analyse capacite'!$C$7</f>
        <v>0</v>
      </c>
      <c r="J11900" s="135" t="n">
        <f aca="false">$G11900*'Analyse capacite'!$D$7</f>
        <v>0</v>
      </c>
      <c r="K11900" s="135" t="n">
        <f aca="false">$G11900*'Analyse capacite'!$E$7</f>
        <v>0</v>
      </c>
    </row>
    <row r="11901" customFormat="false" ht="15" hidden="false" customHeight="false" outlineLevel="0" collapsed="false">
      <c r="B11901" s="130" t="n">
        <v>2028</v>
      </c>
      <c r="C11901" s="131" t="s">
        <v>256</v>
      </c>
      <c r="D11901" s="132" t="n">
        <v>46808</v>
      </c>
      <c r="E11901" s="131" t="s">
        <v>14</v>
      </c>
      <c r="F11901" s="133" t="s">
        <v>19</v>
      </c>
      <c r="G11901" s="134" t="n">
        <f aca="false">LEN('Saisie programme'!$H$419)+SUMIFS('Vols additionnels'!$E$7:$E$66,'Vols additionnels'!$C$7:$C$66,$E11901,'Vols additionnels'!$D$7:$D$66,$F11901,'Vols additionnels'!$B$7:$B$66,$D11901)</f>
        <v>0</v>
      </c>
      <c r="H11901" s="135" t="n">
        <f aca="false">$G11901*'Analyse capacite'!$F$8</f>
        <v>0</v>
      </c>
      <c r="I11901" s="135" t="n">
        <f aca="false">$G11901*'Analyse capacite'!$C$8</f>
        <v>0</v>
      </c>
      <c r="J11901" s="135" t="n">
        <f aca="false">$G11901*'Analyse capacite'!$D$8</f>
        <v>0</v>
      </c>
      <c r="K11901" s="135" t="n">
        <f aca="false">$G11901*'Analyse capacite'!$E$8</f>
        <v>0</v>
      </c>
    </row>
    <row r="11902" customFormat="false" ht="15" hidden="false" customHeight="false" outlineLevel="0" collapsed="false">
      <c r="B11902" s="130" t="n">
        <v>2028</v>
      </c>
      <c r="C11902" s="131" t="s">
        <v>256</v>
      </c>
      <c r="D11902" s="132" t="n">
        <v>46808</v>
      </c>
      <c r="E11902" s="131" t="s">
        <v>14</v>
      </c>
      <c r="F11902" s="133" t="s">
        <v>24</v>
      </c>
      <c r="G11902" s="134" t="n">
        <f aca="false">LEN('Saisie programme'!$H$420)+SUMIFS('Vols additionnels'!$E$7:$E$66,'Vols additionnels'!$C$7:$C$66,$E11902,'Vols additionnels'!$D$7:$D$66,$F11902,'Vols additionnels'!$B$7:$B$66,$D11902)</f>
        <v>0</v>
      </c>
      <c r="H11902" s="135" t="n">
        <f aca="false">$G11902*'Analyse capacite'!$F$9</f>
        <v>0</v>
      </c>
      <c r="I11902" s="135" t="n">
        <f aca="false">$G11902*'Analyse capacite'!$C$9</f>
        <v>0</v>
      </c>
      <c r="J11902" s="135" t="n">
        <f aca="false">$G11902*'Analyse capacite'!$D$9</f>
        <v>0</v>
      </c>
      <c r="K11902" s="135" t="n">
        <f aca="false">$G11902*'Analyse capacite'!$E$9</f>
        <v>0</v>
      </c>
    </row>
    <row r="11903" customFormat="false" ht="15" hidden="false" customHeight="false" outlineLevel="0" collapsed="false">
      <c r="B11903" s="130" t="n">
        <v>2028</v>
      </c>
      <c r="C11903" s="131" t="s">
        <v>256</v>
      </c>
      <c r="D11903" s="132" t="n">
        <v>46808</v>
      </c>
      <c r="E11903" s="131" t="s">
        <v>46</v>
      </c>
      <c r="F11903" s="133" t="s">
        <v>11</v>
      </c>
      <c r="G11903" s="134" t="n">
        <f aca="false">LEN('Saisie programme'!$H$421)+SUMIFS('Vols additionnels'!$E$7:$E$66,'Vols additionnels'!$C$7:$C$66,$E11903,'Vols additionnels'!$D$7:$D$66,$F11903,'Vols additionnels'!$B$7:$B$66,$D11903)</f>
        <v>0</v>
      </c>
      <c r="H11903" s="135" t="n">
        <f aca="false">$G11903*'Analyse capacite'!$F$7</f>
        <v>0</v>
      </c>
      <c r="I11903" s="135" t="n">
        <f aca="false">$G11903*'Analyse capacite'!$C$7</f>
        <v>0</v>
      </c>
      <c r="J11903" s="135" t="n">
        <f aca="false">$G11903*'Analyse capacite'!$D$7</f>
        <v>0</v>
      </c>
      <c r="K11903" s="135" t="n">
        <f aca="false">$G11903*'Analyse capacite'!$E$7</f>
        <v>0</v>
      </c>
    </row>
    <row r="11904" customFormat="false" ht="15" hidden="false" customHeight="false" outlineLevel="0" collapsed="false">
      <c r="B11904" s="130" t="n">
        <v>2028</v>
      </c>
      <c r="C11904" s="131" t="s">
        <v>256</v>
      </c>
      <c r="D11904" s="132" t="n">
        <v>46808</v>
      </c>
      <c r="E11904" s="131" t="s">
        <v>46</v>
      </c>
      <c r="F11904" s="133" t="s">
        <v>19</v>
      </c>
      <c r="G11904" s="134" t="n">
        <f aca="false">LEN('Saisie programme'!$H$422)+SUMIFS('Vols additionnels'!$E$7:$E$66,'Vols additionnels'!$C$7:$C$66,$E11904,'Vols additionnels'!$D$7:$D$66,$F11904,'Vols additionnels'!$B$7:$B$66,$D11904)</f>
        <v>0</v>
      </c>
      <c r="H11904" s="135" t="n">
        <f aca="false">$G11904*'Analyse capacite'!$F$8</f>
        <v>0</v>
      </c>
      <c r="I11904" s="135" t="n">
        <f aca="false">$G11904*'Analyse capacite'!$C$8</f>
        <v>0</v>
      </c>
      <c r="J11904" s="135" t="n">
        <f aca="false">$G11904*'Analyse capacite'!$D$8</f>
        <v>0</v>
      </c>
      <c r="K11904" s="135" t="n">
        <f aca="false">$G11904*'Analyse capacite'!$E$8</f>
        <v>0</v>
      </c>
    </row>
    <row r="11905" customFormat="false" ht="15" hidden="false" customHeight="false" outlineLevel="0" collapsed="false">
      <c r="B11905" s="130" t="n">
        <v>2028</v>
      </c>
      <c r="C11905" s="131" t="s">
        <v>256</v>
      </c>
      <c r="D11905" s="132" t="n">
        <v>46808</v>
      </c>
      <c r="E11905" s="131" t="s">
        <v>46</v>
      </c>
      <c r="F11905" s="133" t="s">
        <v>24</v>
      </c>
      <c r="G11905" s="134" t="n">
        <f aca="false">LEN('Saisie programme'!$H$423)+SUMIFS('Vols additionnels'!$E$7:$E$66,'Vols additionnels'!$C$7:$C$66,$E11905,'Vols additionnels'!$D$7:$D$66,$F11905,'Vols additionnels'!$B$7:$B$66,$D11905)</f>
        <v>0</v>
      </c>
      <c r="H11905" s="135" t="n">
        <f aca="false">$G11905*'Analyse capacite'!$F$9</f>
        <v>0</v>
      </c>
      <c r="I11905" s="135" t="n">
        <f aca="false">$G11905*'Analyse capacite'!$C$9</f>
        <v>0</v>
      </c>
      <c r="J11905" s="135" t="n">
        <f aca="false">$G11905*'Analyse capacite'!$D$9</f>
        <v>0</v>
      </c>
      <c r="K11905" s="135" t="n">
        <f aca="false">$G11905*'Analyse capacite'!$E$9</f>
        <v>0</v>
      </c>
    </row>
    <row r="11906" customFormat="false" ht="15" hidden="false" customHeight="false" outlineLevel="0" collapsed="false">
      <c r="B11906" s="130" t="n">
        <v>2028</v>
      </c>
      <c r="C11906" s="131" t="s">
        <v>256</v>
      </c>
      <c r="D11906" s="132" t="n">
        <v>46808</v>
      </c>
      <c r="E11906" s="131" t="s">
        <v>49</v>
      </c>
      <c r="F11906" s="133" t="s">
        <v>11</v>
      </c>
      <c r="G11906" s="134" t="n">
        <f aca="false">LEN('Saisie programme'!$H$424)+SUMIFS('Vols additionnels'!$E$7:$E$66,'Vols additionnels'!$C$7:$C$66,$E11906,'Vols additionnels'!$D$7:$D$66,$F11906,'Vols additionnels'!$B$7:$B$66,$D11906)</f>
        <v>0</v>
      </c>
      <c r="H11906" s="135" t="n">
        <f aca="false">$G11906*'Analyse capacite'!$F$7</f>
        <v>0</v>
      </c>
      <c r="I11906" s="135" t="n">
        <f aca="false">$G11906*'Analyse capacite'!$C$7</f>
        <v>0</v>
      </c>
      <c r="J11906" s="135" t="n">
        <f aca="false">$G11906*'Analyse capacite'!$D$7</f>
        <v>0</v>
      </c>
      <c r="K11906" s="135" t="n">
        <f aca="false">$G11906*'Analyse capacite'!$E$7</f>
        <v>0</v>
      </c>
    </row>
    <row r="11907" customFormat="false" ht="15" hidden="false" customHeight="false" outlineLevel="0" collapsed="false">
      <c r="B11907" s="130" t="n">
        <v>2028</v>
      </c>
      <c r="C11907" s="131" t="s">
        <v>256</v>
      </c>
      <c r="D11907" s="132" t="n">
        <v>46808</v>
      </c>
      <c r="E11907" s="131" t="s">
        <v>49</v>
      </c>
      <c r="F11907" s="133" t="s">
        <v>19</v>
      </c>
      <c r="G11907" s="134" t="n">
        <f aca="false">LEN('Saisie programme'!$H$425)+SUMIFS('Vols additionnels'!$E$7:$E$66,'Vols additionnels'!$C$7:$C$66,$E11907,'Vols additionnels'!$D$7:$D$66,$F11907,'Vols additionnels'!$B$7:$B$66,$D11907)</f>
        <v>1</v>
      </c>
      <c r="H11907" s="135" t="n">
        <f aca="false">$G11907*'Analyse capacite'!$F$8</f>
        <v>262</v>
      </c>
      <c r="I11907" s="135" t="n">
        <f aca="false">$G11907*'Analyse capacite'!$C$8</f>
        <v>18</v>
      </c>
      <c r="J11907" s="135" t="n">
        <f aca="false">$G11907*'Analyse capacite'!$D$8</f>
        <v>0</v>
      </c>
      <c r="K11907" s="135" t="n">
        <f aca="false">$G11907*'Analyse capacite'!$E$8</f>
        <v>244</v>
      </c>
    </row>
    <row r="11908" customFormat="false" ht="15" hidden="false" customHeight="false" outlineLevel="0" collapsed="false">
      <c r="B11908" s="130" t="n">
        <v>2028</v>
      </c>
      <c r="C11908" s="131" t="s">
        <v>256</v>
      </c>
      <c r="D11908" s="132" t="n">
        <v>46808</v>
      </c>
      <c r="E11908" s="131" t="s">
        <v>49</v>
      </c>
      <c r="F11908" s="133" t="s">
        <v>24</v>
      </c>
      <c r="G11908" s="134" t="n">
        <f aca="false">LEN('Saisie programme'!$H$426)+SUMIFS('Vols additionnels'!$E$7:$E$66,'Vols additionnels'!$C$7:$C$66,$E11908,'Vols additionnels'!$D$7:$D$66,$F11908,'Vols additionnels'!$B$7:$B$66,$D11908)</f>
        <v>0</v>
      </c>
      <c r="H11908" s="135" t="n">
        <f aca="false">$G11908*'Analyse capacite'!$F$9</f>
        <v>0</v>
      </c>
      <c r="I11908" s="135" t="n">
        <f aca="false">$G11908*'Analyse capacite'!$C$9</f>
        <v>0</v>
      </c>
      <c r="J11908" s="135" t="n">
        <f aca="false">$G11908*'Analyse capacite'!$D$9</f>
        <v>0</v>
      </c>
      <c r="K11908" s="135" t="n">
        <f aca="false">$G11908*'Analyse capacite'!$E$9</f>
        <v>0</v>
      </c>
    </row>
    <row r="11909" customFormat="false" ht="15" hidden="false" customHeight="false" outlineLevel="0" collapsed="false">
      <c r="B11909" s="130" t="n">
        <v>2028</v>
      </c>
      <c r="C11909" s="131" t="s">
        <v>256</v>
      </c>
      <c r="D11909" s="132" t="n">
        <v>46808</v>
      </c>
      <c r="E11909" s="131" t="s">
        <v>53</v>
      </c>
      <c r="F11909" s="133" t="s">
        <v>11</v>
      </c>
      <c r="G11909" s="134" t="n">
        <f aca="false">LEN('Saisie programme'!$H$427)+SUMIFS('Vols additionnels'!$E$7:$E$66,'Vols additionnels'!$C$7:$C$66,$E11909,'Vols additionnels'!$D$7:$D$66,$F11909,'Vols additionnels'!$B$7:$B$66,$D11909)</f>
        <v>0</v>
      </c>
      <c r="H11909" s="135" t="n">
        <f aca="false">$G11909*'Analyse capacite'!$F$7</f>
        <v>0</v>
      </c>
      <c r="I11909" s="135" t="n">
        <f aca="false">$G11909*'Analyse capacite'!$C$7</f>
        <v>0</v>
      </c>
      <c r="J11909" s="135" t="n">
        <f aca="false">$G11909*'Analyse capacite'!$D$7</f>
        <v>0</v>
      </c>
      <c r="K11909" s="135" t="n">
        <f aca="false">$G11909*'Analyse capacite'!$E$7</f>
        <v>0</v>
      </c>
    </row>
    <row r="11910" customFormat="false" ht="15" hidden="false" customHeight="false" outlineLevel="0" collapsed="false">
      <c r="B11910" s="130" t="n">
        <v>2028</v>
      </c>
      <c r="C11910" s="131" t="s">
        <v>256</v>
      </c>
      <c r="D11910" s="132" t="n">
        <v>46808</v>
      </c>
      <c r="E11910" s="131" t="s">
        <v>53</v>
      </c>
      <c r="F11910" s="133" t="s">
        <v>19</v>
      </c>
      <c r="G11910" s="134" t="n">
        <f aca="false">LEN('Saisie programme'!$H$428)+SUMIFS('Vols additionnels'!$E$7:$E$66,'Vols additionnels'!$C$7:$C$66,$E11910,'Vols additionnels'!$D$7:$D$66,$F11910,'Vols additionnels'!$B$7:$B$66,$D11910)</f>
        <v>0</v>
      </c>
      <c r="H11910" s="135" t="n">
        <f aca="false">$G11910*'Analyse capacite'!$F$8</f>
        <v>0</v>
      </c>
      <c r="I11910" s="135" t="n">
        <f aca="false">$G11910*'Analyse capacite'!$C$8</f>
        <v>0</v>
      </c>
      <c r="J11910" s="135" t="n">
        <f aca="false">$G11910*'Analyse capacite'!$D$8</f>
        <v>0</v>
      </c>
      <c r="K11910" s="135" t="n">
        <f aca="false">$G11910*'Analyse capacite'!$E$8</f>
        <v>0</v>
      </c>
    </row>
    <row r="11911" customFormat="false" ht="15" hidden="false" customHeight="false" outlineLevel="0" collapsed="false">
      <c r="B11911" s="130" t="n">
        <v>2028</v>
      </c>
      <c r="C11911" s="131" t="s">
        <v>256</v>
      </c>
      <c r="D11911" s="132" t="n">
        <v>46808</v>
      </c>
      <c r="E11911" s="131" t="s">
        <v>53</v>
      </c>
      <c r="F11911" s="133" t="s">
        <v>24</v>
      </c>
      <c r="G11911" s="134" t="n">
        <f aca="false">LEN('Saisie programme'!$H$429)+SUMIFS('Vols additionnels'!$E$7:$E$66,'Vols additionnels'!$C$7:$C$66,$E11911,'Vols additionnels'!$D$7:$D$66,$F11911,'Vols additionnels'!$B$7:$B$66,$D11911)</f>
        <v>0</v>
      </c>
      <c r="H11911" s="135" t="n">
        <f aca="false">$G11911*'Analyse capacite'!$F$9</f>
        <v>0</v>
      </c>
      <c r="I11911" s="135" t="n">
        <f aca="false">$G11911*'Analyse capacite'!$C$9</f>
        <v>0</v>
      </c>
      <c r="J11911" s="135" t="n">
        <f aca="false">$G11911*'Analyse capacite'!$D$9</f>
        <v>0</v>
      </c>
      <c r="K11911" s="135" t="n">
        <f aca="false">$G11911*'Analyse capacite'!$E$9</f>
        <v>0</v>
      </c>
    </row>
    <row r="11912" customFormat="false" ht="15" hidden="false" customHeight="false" outlineLevel="0" collapsed="false">
      <c r="B11912" s="130" t="n">
        <v>2028</v>
      </c>
      <c r="C11912" s="131" t="s">
        <v>256</v>
      </c>
      <c r="D11912" s="132" t="n">
        <v>46808</v>
      </c>
      <c r="E11912" s="131" t="s">
        <v>56</v>
      </c>
      <c r="F11912" s="133" t="s">
        <v>11</v>
      </c>
      <c r="G11912" s="134" t="n">
        <f aca="false">LEN('Saisie programme'!$H$430)+SUMIFS('Vols additionnels'!$E$7:$E$66,'Vols additionnels'!$C$7:$C$66,$E11912,'Vols additionnels'!$D$7:$D$66,$F11912,'Vols additionnels'!$B$7:$B$66,$D11912)</f>
        <v>0</v>
      </c>
      <c r="H11912" s="135" t="n">
        <f aca="false">$G11912*'Analyse capacite'!$F$7</f>
        <v>0</v>
      </c>
      <c r="I11912" s="135" t="n">
        <f aca="false">$G11912*'Analyse capacite'!$C$7</f>
        <v>0</v>
      </c>
      <c r="J11912" s="135" t="n">
        <f aca="false">$G11912*'Analyse capacite'!$D$7</f>
        <v>0</v>
      </c>
      <c r="K11912" s="135" t="n">
        <f aca="false">$G11912*'Analyse capacite'!$E$7</f>
        <v>0</v>
      </c>
    </row>
    <row r="11913" customFormat="false" ht="15" hidden="false" customHeight="false" outlineLevel="0" collapsed="false">
      <c r="B11913" s="130" t="n">
        <v>2028</v>
      </c>
      <c r="C11913" s="131" t="s">
        <v>256</v>
      </c>
      <c r="D11913" s="132" t="n">
        <v>46808</v>
      </c>
      <c r="E11913" s="131" t="s">
        <v>56</v>
      </c>
      <c r="F11913" s="133" t="s">
        <v>19</v>
      </c>
      <c r="G11913" s="134" t="n">
        <f aca="false">LEN('Saisie programme'!$H$431)+SUMIFS('Vols additionnels'!$E$7:$E$66,'Vols additionnels'!$C$7:$C$66,$E11913,'Vols additionnels'!$D$7:$D$66,$F11913,'Vols additionnels'!$B$7:$B$66,$D11913)</f>
        <v>0</v>
      </c>
      <c r="H11913" s="135" t="n">
        <f aca="false">$G11913*'Analyse capacite'!$F$8</f>
        <v>0</v>
      </c>
      <c r="I11913" s="135" t="n">
        <f aca="false">$G11913*'Analyse capacite'!$C$8</f>
        <v>0</v>
      </c>
      <c r="J11913" s="135" t="n">
        <f aca="false">$G11913*'Analyse capacite'!$D$8</f>
        <v>0</v>
      </c>
      <c r="K11913" s="135" t="n">
        <f aca="false">$G11913*'Analyse capacite'!$E$8</f>
        <v>0</v>
      </c>
    </row>
    <row r="11914" customFormat="false" ht="15" hidden="false" customHeight="false" outlineLevel="0" collapsed="false">
      <c r="B11914" s="130" t="n">
        <v>2028</v>
      </c>
      <c r="C11914" s="131" t="s">
        <v>256</v>
      </c>
      <c r="D11914" s="132" t="n">
        <v>46808</v>
      </c>
      <c r="E11914" s="131" t="s">
        <v>56</v>
      </c>
      <c r="F11914" s="133" t="s">
        <v>24</v>
      </c>
      <c r="G11914" s="134" t="n">
        <f aca="false">LEN('Saisie programme'!$H$432)+SUMIFS('Vols additionnels'!$E$7:$E$66,'Vols additionnels'!$C$7:$C$66,$E11914,'Vols additionnels'!$D$7:$D$66,$F11914,'Vols additionnels'!$B$7:$B$66,$D11914)</f>
        <v>0</v>
      </c>
      <c r="H11914" s="135" t="n">
        <f aca="false">$G11914*'Analyse capacite'!$F$9</f>
        <v>0</v>
      </c>
      <c r="I11914" s="135" t="n">
        <f aca="false">$G11914*'Analyse capacite'!$C$9</f>
        <v>0</v>
      </c>
      <c r="J11914" s="135" t="n">
        <f aca="false">$G11914*'Analyse capacite'!$D$9</f>
        <v>0</v>
      </c>
      <c r="K11914" s="135" t="n">
        <f aca="false">$G11914*'Analyse capacite'!$E$9</f>
        <v>0</v>
      </c>
    </row>
    <row r="11915" customFormat="false" ht="15" hidden="false" customHeight="false" outlineLevel="0" collapsed="false">
      <c r="B11915" s="130" t="n">
        <v>2028</v>
      </c>
      <c r="C11915" s="131" t="s">
        <v>256</v>
      </c>
      <c r="D11915" s="132" t="n">
        <v>46808</v>
      </c>
      <c r="E11915" s="131" t="s">
        <v>59</v>
      </c>
      <c r="F11915" s="133" t="s">
        <v>11</v>
      </c>
      <c r="G11915" s="134" t="n">
        <f aca="false">LEN('Saisie programme'!$H$433)+SUMIFS('Vols additionnels'!$E$7:$E$66,'Vols additionnels'!$C$7:$C$66,$E11915,'Vols additionnels'!$D$7:$D$66,$F11915,'Vols additionnels'!$B$7:$B$66,$D11915)</f>
        <v>0</v>
      </c>
      <c r="H11915" s="135" t="n">
        <f aca="false">$G11915*'Analyse capacite'!$F$7</f>
        <v>0</v>
      </c>
      <c r="I11915" s="135" t="n">
        <f aca="false">$G11915*'Analyse capacite'!$C$7</f>
        <v>0</v>
      </c>
      <c r="J11915" s="135" t="n">
        <f aca="false">$G11915*'Analyse capacite'!$D$7</f>
        <v>0</v>
      </c>
      <c r="K11915" s="135" t="n">
        <f aca="false">$G11915*'Analyse capacite'!$E$7</f>
        <v>0</v>
      </c>
    </row>
    <row r="11916" customFormat="false" ht="15" hidden="false" customHeight="false" outlineLevel="0" collapsed="false">
      <c r="B11916" s="130" t="n">
        <v>2028</v>
      </c>
      <c r="C11916" s="131" t="s">
        <v>256</v>
      </c>
      <c r="D11916" s="132" t="n">
        <v>46808</v>
      </c>
      <c r="E11916" s="131" t="s">
        <v>59</v>
      </c>
      <c r="F11916" s="133" t="s">
        <v>19</v>
      </c>
      <c r="G11916" s="134" t="n">
        <f aca="false">LEN('Saisie programme'!$H$434)+SUMIFS('Vols additionnels'!$E$7:$E$66,'Vols additionnels'!$C$7:$C$66,$E11916,'Vols additionnels'!$D$7:$D$66,$F11916,'Vols additionnels'!$B$7:$B$66,$D11916)</f>
        <v>0</v>
      </c>
      <c r="H11916" s="135" t="n">
        <f aca="false">$G11916*'Analyse capacite'!$F$8</f>
        <v>0</v>
      </c>
      <c r="I11916" s="135" t="n">
        <f aca="false">$G11916*'Analyse capacite'!$C$8</f>
        <v>0</v>
      </c>
      <c r="J11916" s="135" t="n">
        <f aca="false">$G11916*'Analyse capacite'!$D$8</f>
        <v>0</v>
      </c>
      <c r="K11916" s="135" t="n">
        <f aca="false">$G11916*'Analyse capacite'!$E$8</f>
        <v>0</v>
      </c>
    </row>
    <row r="11917" customFormat="false" ht="15" hidden="false" customHeight="false" outlineLevel="0" collapsed="false">
      <c r="B11917" s="130" t="n">
        <v>2028</v>
      </c>
      <c r="C11917" s="131" t="s">
        <v>256</v>
      </c>
      <c r="D11917" s="132" t="n">
        <v>46808</v>
      </c>
      <c r="E11917" s="131" t="s">
        <v>59</v>
      </c>
      <c r="F11917" s="133" t="s">
        <v>24</v>
      </c>
      <c r="G11917" s="134" t="n">
        <f aca="false">LEN('Saisie programme'!$H$435)+SUMIFS('Vols additionnels'!$E$7:$E$66,'Vols additionnels'!$C$7:$C$66,$E11917,'Vols additionnels'!$D$7:$D$66,$F11917,'Vols additionnels'!$B$7:$B$66,$D11917)</f>
        <v>1</v>
      </c>
      <c r="H11917" s="135" t="n">
        <f aca="false">$G11917*'Analyse capacite'!$F$9</f>
        <v>174</v>
      </c>
      <c r="I11917" s="135" t="n">
        <f aca="false">$G11917*'Analyse capacite'!$C$9</f>
        <v>0</v>
      </c>
      <c r="J11917" s="135" t="n">
        <f aca="false">$G11917*'Analyse capacite'!$D$9</f>
        <v>12</v>
      </c>
      <c r="K11917" s="135" t="n">
        <f aca="false">$G11917*'Analyse capacite'!$E$9</f>
        <v>162</v>
      </c>
    </row>
    <row r="11918" customFormat="false" ht="15" hidden="false" customHeight="false" outlineLevel="0" collapsed="false">
      <c r="B11918" s="130" t="n">
        <v>2028</v>
      </c>
      <c r="C11918" s="131" t="s">
        <v>256</v>
      </c>
      <c r="D11918" s="132" t="n">
        <v>46808</v>
      </c>
      <c r="E11918" s="131" t="s">
        <v>62</v>
      </c>
      <c r="F11918" s="133" t="s">
        <v>11</v>
      </c>
      <c r="G11918" s="134" t="n">
        <f aca="false">LEN('Saisie programme'!$H$436)+SUMIFS('Vols additionnels'!$E$7:$E$66,'Vols additionnels'!$C$7:$C$66,$E11918,'Vols additionnels'!$D$7:$D$66,$F11918,'Vols additionnels'!$B$7:$B$66,$D11918)</f>
        <v>0</v>
      </c>
      <c r="H11918" s="135" t="n">
        <f aca="false">$G11918*'Analyse capacite'!$F$7</f>
        <v>0</v>
      </c>
      <c r="I11918" s="135" t="n">
        <f aca="false">$G11918*'Analyse capacite'!$C$7</f>
        <v>0</v>
      </c>
      <c r="J11918" s="135" t="n">
        <f aca="false">$G11918*'Analyse capacite'!$D$7</f>
        <v>0</v>
      </c>
      <c r="K11918" s="135" t="n">
        <f aca="false">$G11918*'Analyse capacite'!$E$7</f>
        <v>0</v>
      </c>
    </row>
    <row r="11919" customFormat="false" ht="15" hidden="false" customHeight="false" outlineLevel="0" collapsed="false">
      <c r="B11919" s="130" t="n">
        <v>2028</v>
      </c>
      <c r="C11919" s="131" t="s">
        <v>256</v>
      </c>
      <c r="D11919" s="132" t="n">
        <v>46808</v>
      </c>
      <c r="E11919" s="131" t="s">
        <v>62</v>
      </c>
      <c r="F11919" s="133" t="s">
        <v>19</v>
      </c>
      <c r="G11919" s="134" t="n">
        <f aca="false">LEN('Saisie programme'!$H$437)+SUMIFS('Vols additionnels'!$E$7:$E$66,'Vols additionnels'!$C$7:$C$66,$E11919,'Vols additionnels'!$D$7:$D$66,$F11919,'Vols additionnels'!$B$7:$B$66,$D11919)</f>
        <v>0</v>
      </c>
      <c r="H11919" s="135" t="n">
        <f aca="false">$G11919*'Analyse capacite'!$F$8</f>
        <v>0</v>
      </c>
      <c r="I11919" s="135" t="n">
        <f aca="false">$G11919*'Analyse capacite'!$C$8</f>
        <v>0</v>
      </c>
      <c r="J11919" s="135" t="n">
        <f aca="false">$G11919*'Analyse capacite'!$D$8</f>
        <v>0</v>
      </c>
      <c r="K11919" s="135" t="n">
        <f aca="false">$G11919*'Analyse capacite'!$E$8</f>
        <v>0</v>
      </c>
    </row>
    <row r="11920" customFormat="false" ht="15" hidden="false" customHeight="false" outlineLevel="0" collapsed="false">
      <c r="B11920" s="130" t="n">
        <v>2028</v>
      </c>
      <c r="C11920" s="131" t="s">
        <v>256</v>
      </c>
      <c r="D11920" s="132" t="n">
        <v>46808</v>
      </c>
      <c r="E11920" s="131" t="s">
        <v>62</v>
      </c>
      <c r="F11920" s="133" t="s">
        <v>24</v>
      </c>
      <c r="G11920" s="134" t="n">
        <f aca="false">LEN('Saisie programme'!$H$438)+SUMIFS('Vols additionnels'!$E$7:$E$66,'Vols additionnels'!$C$7:$C$66,$E11920,'Vols additionnels'!$D$7:$D$66,$F11920,'Vols additionnels'!$B$7:$B$66,$D11920)</f>
        <v>0</v>
      </c>
      <c r="H11920" s="135" t="n">
        <f aca="false">$G11920*'Analyse capacite'!$F$9</f>
        <v>0</v>
      </c>
      <c r="I11920" s="135" t="n">
        <f aca="false">$G11920*'Analyse capacite'!$C$9</f>
        <v>0</v>
      </c>
      <c r="J11920" s="135" t="n">
        <f aca="false">$G11920*'Analyse capacite'!$D$9</f>
        <v>0</v>
      </c>
      <c r="K11920" s="135" t="n">
        <f aca="false">$G11920*'Analyse capacite'!$E$9</f>
        <v>0</v>
      </c>
    </row>
    <row r="11921" customFormat="false" ht="15" hidden="false" customHeight="false" outlineLevel="0" collapsed="false">
      <c r="B11921" s="130" t="n">
        <v>2028</v>
      </c>
      <c r="C11921" s="131" t="s">
        <v>256</v>
      </c>
      <c r="D11921" s="132" t="n">
        <v>46809</v>
      </c>
      <c r="E11921" s="131" t="s">
        <v>12</v>
      </c>
      <c r="F11921" s="133" t="s">
        <v>11</v>
      </c>
      <c r="G11921" s="134" t="n">
        <f aca="false">LEN('Saisie programme'!$I$403)+SUMIFS('Vols additionnels'!$E$7:$E$66,'Vols additionnels'!$C$7:$C$66,$E11921,'Vols additionnels'!$D$7:$D$66,$F11921,'Vols additionnels'!$B$7:$B$66,$D11921)</f>
        <v>1</v>
      </c>
      <c r="H11921" s="135" t="n">
        <f aca="false">$G11921*'Analyse capacite'!$F$7</f>
        <v>438</v>
      </c>
      <c r="I11921" s="135" t="n">
        <f aca="false">$G11921*'Analyse capacite'!$C$7</f>
        <v>14</v>
      </c>
      <c r="J11921" s="135" t="n">
        <f aca="false">$G11921*'Analyse capacite'!$D$7</f>
        <v>40</v>
      </c>
      <c r="K11921" s="135" t="n">
        <f aca="false">$G11921*'Analyse capacite'!$E$7</f>
        <v>384</v>
      </c>
    </row>
    <row r="11922" customFormat="false" ht="15" hidden="false" customHeight="false" outlineLevel="0" collapsed="false">
      <c r="B11922" s="130" t="n">
        <v>2028</v>
      </c>
      <c r="C11922" s="131" t="s">
        <v>256</v>
      </c>
      <c r="D11922" s="132" t="n">
        <v>46809</v>
      </c>
      <c r="E11922" s="131" t="s">
        <v>12</v>
      </c>
      <c r="F11922" s="133" t="s">
        <v>19</v>
      </c>
      <c r="G11922" s="134" t="n">
        <f aca="false">LEN('Saisie programme'!$I$404)+SUMIFS('Vols additionnels'!$E$7:$E$66,'Vols additionnels'!$C$7:$C$66,$E11922,'Vols additionnels'!$D$7:$D$66,$F11922,'Vols additionnels'!$B$7:$B$66,$D11922)</f>
        <v>0</v>
      </c>
      <c r="H11922" s="135" t="n">
        <f aca="false">$G11922*'Analyse capacite'!$F$8</f>
        <v>0</v>
      </c>
      <c r="I11922" s="135" t="n">
        <f aca="false">$G11922*'Analyse capacite'!$C$8</f>
        <v>0</v>
      </c>
      <c r="J11922" s="135" t="n">
        <f aca="false">$G11922*'Analyse capacite'!$D$8</f>
        <v>0</v>
      </c>
      <c r="K11922" s="135" t="n">
        <f aca="false">$G11922*'Analyse capacite'!$E$8</f>
        <v>0</v>
      </c>
    </row>
    <row r="11923" customFormat="false" ht="15" hidden="false" customHeight="false" outlineLevel="0" collapsed="false">
      <c r="B11923" s="130" t="n">
        <v>2028</v>
      </c>
      <c r="C11923" s="131" t="s">
        <v>256</v>
      </c>
      <c r="D11923" s="132" t="n">
        <v>46809</v>
      </c>
      <c r="E11923" s="131" t="s">
        <v>12</v>
      </c>
      <c r="F11923" s="133" t="s">
        <v>24</v>
      </c>
      <c r="G11923" s="134" t="n">
        <f aca="false">LEN('Saisie programme'!$I$405)+SUMIFS('Vols additionnels'!$E$7:$E$66,'Vols additionnels'!$C$7:$C$66,$E11923,'Vols additionnels'!$D$7:$D$66,$F11923,'Vols additionnels'!$B$7:$B$66,$D11923)</f>
        <v>0</v>
      </c>
      <c r="H11923" s="135" t="n">
        <f aca="false">$G11923*'Analyse capacite'!$F$9</f>
        <v>0</v>
      </c>
      <c r="I11923" s="135" t="n">
        <f aca="false">$G11923*'Analyse capacite'!$C$9</f>
        <v>0</v>
      </c>
      <c r="J11923" s="135" t="n">
        <f aca="false">$G11923*'Analyse capacite'!$D$9</f>
        <v>0</v>
      </c>
      <c r="K11923" s="135" t="n">
        <f aca="false">$G11923*'Analyse capacite'!$E$9</f>
        <v>0</v>
      </c>
    </row>
    <row r="11924" customFormat="false" ht="15" hidden="false" customHeight="false" outlineLevel="0" collapsed="false">
      <c r="B11924" s="130" t="n">
        <v>2028</v>
      </c>
      <c r="C11924" s="131" t="s">
        <v>256</v>
      </c>
      <c r="D11924" s="132" t="n">
        <v>46809</v>
      </c>
      <c r="E11924" s="131" t="s">
        <v>20</v>
      </c>
      <c r="F11924" s="133" t="s">
        <v>11</v>
      </c>
      <c r="G11924" s="134" t="n">
        <f aca="false">LEN('Saisie programme'!$I$406)+SUMIFS('Vols additionnels'!$E$7:$E$66,'Vols additionnels'!$C$7:$C$66,$E11924,'Vols additionnels'!$D$7:$D$66,$F11924,'Vols additionnels'!$B$7:$B$66,$D11924)</f>
        <v>0</v>
      </c>
      <c r="H11924" s="135" t="n">
        <f aca="false">$G11924*'Analyse capacite'!$F$7</f>
        <v>0</v>
      </c>
      <c r="I11924" s="135" t="n">
        <f aca="false">$G11924*'Analyse capacite'!$C$7</f>
        <v>0</v>
      </c>
      <c r="J11924" s="135" t="n">
        <f aca="false">$G11924*'Analyse capacite'!$D$7</f>
        <v>0</v>
      </c>
      <c r="K11924" s="135" t="n">
        <f aca="false">$G11924*'Analyse capacite'!$E$7</f>
        <v>0</v>
      </c>
    </row>
    <row r="11925" customFormat="false" ht="15" hidden="false" customHeight="false" outlineLevel="0" collapsed="false">
      <c r="B11925" s="130" t="n">
        <v>2028</v>
      </c>
      <c r="C11925" s="131" t="s">
        <v>256</v>
      </c>
      <c r="D11925" s="132" t="n">
        <v>46809</v>
      </c>
      <c r="E11925" s="131" t="s">
        <v>20</v>
      </c>
      <c r="F11925" s="133" t="s">
        <v>19</v>
      </c>
      <c r="G11925" s="134" t="n">
        <f aca="false">LEN('Saisie programme'!$I$407)+SUMIFS('Vols additionnels'!$E$7:$E$66,'Vols additionnels'!$C$7:$C$66,$E11925,'Vols additionnels'!$D$7:$D$66,$F11925,'Vols additionnels'!$B$7:$B$66,$D11925)</f>
        <v>0</v>
      </c>
      <c r="H11925" s="135" t="n">
        <f aca="false">$G11925*'Analyse capacite'!$F$8</f>
        <v>0</v>
      </c>
      <c r="I11925" s="135" t="n">
        <f aca="false">$G11925*'Analyse capacite'!$C$8</f>
        <v>0</v>
      </c>
      <c r="J11925" s="135" t="n">
        <f aca="false">$G11925*'Analyse capacite'!$D$8</f>
        <v>0</v>
      </c>
      <c r="K11925" s="135" t="n">
        <f aca="false">$G11925*'Analyse capacite'!$E$8</f>
        <v>0</v>
      </c>
    </row>
    <row r="11926" customFormat="false" ht="15" hidden="false" customHeight="false" outlineLevel="0" collapsed="false">
      <c r="B11926" s="130" t="n">
        <v>2028</v>
      </c>
      <c r="C11926" s="131" t="s">
        <v>256</v>
      </c>
      <c r="D11926" s="132" t="n">
        <v>46809</v>
      </c>
      <c r="E11926" s="131" t="s">
        <v>20</v>
      </c>
      <c r="F11926" s="133" t="s">
        <v>24</v>
      </c>
      <c r="G11926" s="134" t="n">
        <f aca="false">LEN('Saisie programme'!$I$408)+SUMIFS('Vols additionnels'!$E$7:$E$66,'Vols additionnels'!$C$7:$C$66,$E11926,'Vols additionnels'!$D$7:$D$66,$F11926,'Vols additionnels'!$B$7:$B$66,$D11926)</f>
        <v>0</v>
      </c>
      <c r="H11926" s="135" t="n">
        <f aca="false">$G11926*'Analyse capacite'!$F$9</f>
        <v>0</v>
      </c>
      <c r="I11926" s="135" t="n">
        <f aca="false">$G11926*'Analyse capacite'!$C$9</f>
        <v>0</v>
      </c>
      <c r="J11926" s="135" t="n">
        <f aca="false">$G11926*'Analyse capacite'!$D$9</f>
        <v>0</v>
      </c>
      <c r="K11926" s="135" t="n">
        <f aca="false">$G11926*'Analyse capacite'!$E$9</f>
        <v>0</v>
      </c>
    </row>
    <row r="11927" customFormat="false" ht="15" hidden="false" customHeight="false" outlineLevel="0" collapsed="false">
      <c r="B11927" s="130" t="n">
        <v>2028</v>
      </c>
      <c r="C11927" s="131" t="s">
        <v>256</v>
      </c>
      <c r="D11927" s="132" t="n">
        <v>46809</v>
      </c>
      <c r="E11927" s="131" t="s">
        <v>25</v>
      </c>
      <c r="F11927" s="133" t="s">
        <v>11</v>
      </c>
      <c r="G11927" s="134" t="n">
        <f aca="false">LEN('Saisie programme'!$I$409)+SUMIFS('Vols additionnels'!$E$7:$E$66,'Vols additionnels'!$C$7:$C$66,$E11927,'Vols additionnels'!$D$7:$D$66,$F11927,'Vols additionnels'!$B$7:$B$66,$D11927)</f>
        <v>0</v>
      </c>
      <c r="H11927" s="135" t="n">
        <f aca="false">$G11927*'Analyse capacite'!$F$7</f>
        <v>0</v>
      </c>
      <c r="I11927" s="135" t="n">
        <f aca="false">$G11927*'Analyse capacite'!$C$7</f>
        <v>0</v>
      </c>
      <c r="J11927" s="135" t="n">
        <f aca="false">$G11927*'Analyse capacite'!$D$7</f>
        <v>0</v>
      </c>
      <c r="K11927" s="135" t="n">
        <f aca="false">$G11927*'Analyse capacite'!$E$7</f>
        <v>0</v>
      </c>
    </row>
    <row r="11928" customFormat="false" ht="15" hidden="false" customHeight="false" outlineLevel="0" collapsed="false">
      <c r="B11928" s="130" t="n">
        <v>2028</v>
      </c>
      <c r="C11928" s="131" t="s">
        <v>256</v>
      </c>
      <c r="D11928" s="132" t="n">
        <v>46809</v>
      </c>
      <c r="E11928" s="131" t="s">
        <v>25</v>
      </c>
      <c r="F11928" s="133" t="s">
        <v>19</v>
      </c>
      <c r="G11928" s="134" t="n">
        <f aca="false">LEN('Saisie programme'!$I$410)+SUMIFS('Vols additionnels'!$E$7:$E$66,'Vols additionnels'!$C$7:$C$66,$E11928,'Vols additionnels'!$D$7:$D$66,$F11928,'Vols additionnels'!$B$7:$B$66,$D11928)</f>
        <v>1</v>
      </c>
      <c r="H11928" s="135" t="n">
        <f aca="false">$G11928*'Analyse capacite'!$F$8</f>
        <v>262</v>
      </c>
      <c r="I11928" s="135" t="n">
        <f aca="false">$G11928*'Analyse capacite'!$C$8</f>
        <v>18</v>
      </c>
      <c r="J11928" s="135" t="n">
        <f aca="false">$G11928*'Analyse capacite'!$D$8</f>
        <v>0</v>
      </c>
      <c r="K11928" s="135" t="n">
        <f aca="false">$G11928*'Analyse capacite'!$E$8</f>
        <v>244</v>
      </c>
    </row>
    <row r="11929" customFormat="false" ht="15" hidden="false" customHeight="false" outlineLevel="0" collapsed="false">
      <c r="B11929" s="130" t="n">
        <v>2028</v>
      </c>
      <c r="C11929" s="131" t="s">
        <v>256</v>
      </c>
      <c r="D11929" s="132" t="n">
        <v>46809</v>
      </c>
      <c r="E11929" s="131" t="s">
        <v>25</v>
      </c>
      <c r="F11929" s="133" t="s">
        <v>24</v>
      </c>
      <c r="G11929" s="134" t="n">
        <f aca="false">LEN('Saisie programme'!$I$411)+SUMIFS('Vols additionnels'!$E$7:$E$66,'Vols additionnels'!$C$7:$C$66,$E11929,'Vols additionnels'!$D$7:$D$66,$F11929,'Vols additionnels'!$B$7:$B$66,$D11929)</f>
        <v>0</v>
      </c>
      <c r="H11929" s="135" t="n">
        <f aca="false">$G11929*'Analyse capacite'!$F$9</f>
        <v>0</v>
      </c>
      <c r="I11929" s="135" t="n">
        <f aca="false">$G11929*'Analyse capacite'!$C$9</f>
        <v>0</v>
      </c>
      <c r="J11929" s="135" t="n">
        <f aca="false">$G11929*'Analyse capacite'!$D$9</f>
        <v>0</v>
      </c>
      <c r="K11929" s="135" t="n">
        <f aca="false">$G11929*'Analyse capacite'!$E$9</f>
        <v>0</v>
      </c>
    </row>
    <row r="11930" customFormat="false" ht="15" hidden="false" customHeight="false" outlineLevel="0" collapsed="false">
      <c r="B11930" s="130" t="n">
        <v>2028</v>
      </c>
      <c r="C11930" s="131" t="s">
        <v>256</v>
      </c>
      <c r="D11930" s="132" t="n">
        <v>46809</v>
      </c>
      <c r="E11930" s="131" t="s">
        <v>36</v>
      </c>
      <c r="F11930" s="133" t="s">
        <v>11</v>
      </c>
      <c r="G11930" s="134" t="n">
        <f aca="false">LEN('Saisie programme'!$I$412)+SUMIFS('Vols additionnels'!$E$7:$E$66,'Vols additionnels'!$C$7:$C$66,$E11930,'Vols additionnels'!$D$7:$D$66,$F11930,'Vols additionnels'!$B$7:$B$66,$D11930)</f>
        <v>0</v>
      </c>
      <c r="H11930" s="135" t="n">
        <f aca="false">$G11930*'Analyse capacite'!$F$7</f>
        <v>0</v>
      </c>
      <c r="I11930" s="135" t="n">
        <f aca="false">$G11930*'Analyse capacite'!$C$7</f>
        <v>0</v>
      </c>
      <c r="J11930" s="135" t="n">
        <f aca="false">$G11930*'Analyse capacite'!$D$7</f>
        <v>0</v>
      </c>
      <c r="K11930" s="135" t="n">
        <f aca="false">$G11930*'Analyse capacite'!$E$7</f>
        <v>0</v>
      </c>
    </row>
    <row r="11931" customFormat="false" ht="15" hidden="false" customHeight="false" outlineLevel="0" collapsed="false">
      <c r="B11931" s="130" t="n">
        <v>2028</v>
      </c>
      <c r="C11931" s="131" t="s">
        <v>256</v>
      </c>
      <c r="D11931" s="132" t="n">
        <v>46809</v>
      </c>
      <c r="E11931" s="131" t="s">
        <v>36</v>
      </c>
      <c r="F11931" s="133" t="s">
        <v>19</v>
      </c>
      <c r="G11931" s="134" t="n">
        <f aca="false">LEN('Saisie programme'!$I$413)+SUMIFS('Vols additionnels'!$E$7:$E$66,'Vols additionnels'!$C$7:$C$66,$E11931,'Vols additionnels'!$D$7:$D$66,$F11931,'Vols additionnels'!$B$7:$B$66,$D11931)</f>
        <v>0</v>
      </c>
      <c r="H11931" s="135" t="n">
        <f aca="false">$G11931*'Analyse capacite'!$F$8</f>
        <v>0</v>
      </c>
      <c r="I11931" s="135" t="n">
        <f aca="false">$G11931*'Analyse capacite'!$C$8</f>
        <v>0</v>
      </c>
      <c r="J11931" s="135" t="n">
        <f aca="false">$G11931*'Analyse capacite'!$D$8</f>
        <v>0</v>
      </c>
      <c r="K11931" s="135" t="n">
        <f aca="false">$G11931*'Analyse capacite'!$E$8</f>
        <v>0</v>
      </c>
    </row>
    <row r="11932" customFormat="false" ht="15" hidden="false" customHeight="false" outlineLevel="0" collapsed="false">
      <c r="B11932" s="130" t="n">
        <v>2028</v>
      </c>
      <c r="C11932" s="131" t="s">
        <v>256</v>
      </c>
      <c r="D11932" s="132" t="n">
        <v>46809</v>
      </c>
      <c r="E11932" s="131" t="s">
        <v>36</v>
      </c>
      <c r="F11932" s="133" t="s">
        <v>24</v>
      </c>
      <c r="G11932" s="134" t="n">
        <f aca="false">LEN('Saisie programme'!$I$414)+SUMIFS('Vols additionnels'!$E$7:$E$66,'Vols additionnels'!$C$7:$C$66,$E11932,'Vols additionnels'!$D$7:$D$66,$F11932,'Vols additionnels'!$B$7:$B$66,$D11932)</f>
        <v>0</v>
      </c>
      <c r="H11932" s="135" t="n">
        <f aca="false">$G11932*'Analyse capacite'!$F$9</f>
        <v>0</v>
      </c>
      <c r="I11932" s="135" t="n">
        <f aca="false">$G11932*'Analyse capacite'!$C$9</f>
        <v>0</v>
      </c>
      <c r="J11932" s="135" t="n">
        <f aca="false">$G11932*'Analyse capacite'!$D$9</f>
        <v>0</v>
      </c>
      <c r="K11932" s="135" t="n">
        <f aca="false">$G11932*'Analyse capacite'!$E$9</f>
        <v>0</v>
      </c>
    </row>
    <row r="11933" customFormat="false" ht="15" hidden="false" customHeight="false" outlineLevel="0" collapsed="false">
      <c r="B11933" s="130" t="n">
        <v>2028</v>
      </c>
      <c r="C11933" s="131" t="s">
        <v>256</v>
      </c>
      <c r="D11933" s="132" t="n">
        <v>46809</v>
      </c>
      <c r="E11933" s="131" t="s">
        <v>40</v>
      </c>
      <c r="F11933" s="133" t="s">
        <v>11</v>
      </c>
      <c r="G11933" s="134" t="n">
        <f aca="false">LEN('Saisie programme'!$I$415)+SUMIFS('Vols additionnels'!$E$7:$E$66,'Vols additionnels'!$C$7:$C$66,$E11933,'Vols additionnels'!$D$7:$D$66,$F11933,'Vols additionnels'!$B$7:$B$66,$D11933)</f>
        <v>0</v>
      </c>
      <c r="H11933" s="135" t="n">
        <f aca="false">$G11933*'Analyse capacite'!$F$7</f>
        <v>0</v>
      </c>
      <c r="I11933" s="135" t="n">
        <f aca="false">$G11933*'Analyse capacite'!$C$7</f>
        <v>0</v>
      </c>
      <c r="J11933" s="135" t="n">
        <f aca="false">$G11933*'Analyse capacite'!$D$7</f>
        <v>0</v>
      </c>
      <c r="K11933" s="135" t="n">
        <f aca="false">$G11933*'Analyse capacite'!$E$7</f>
        <v>0</v>
      </c>
    </row>
    <row r="11934" customFormat="false" ht="15" hidden="false" customHeight="false" outlineLevel="0" collapsed="false">
      <c r="B11934" s="130" t="n">
        <v>2028</v>
      </c>
      <c r="C11934" s="131" t="s">
        <v>256</v>
      </c>
      <c r="D11934" s="132" t="n">
        <v>46809</v>
      </c>
      <c r="E11934" s="131" t="s">
        <v>40</v>
      </c>
      <c r="F11934" s="133" t="s">
        <v>19</v>
      </c>
      <c r="G11934" s="134" t="n">
        <f aca="false">LEN('Saisie programme'!$I$416)+SUMIFS('Vols additionnels'!$E$7:$E$66,'Vols additionnels'!$C$7:$C$66,$E11934,'Vols additionnels'!$D$7:$D$66,$F11934,'Vols additionnels'!$B$7:$B$66,$D11934)</f>
        <v>0</v>
      </c>
      <c r="H11934" s="135" t="n">
        <f aca="false">$G11934*'Analyse capacite'!$F$8</f>
        <v>0</v>
      </c>
      <c r="I11934" s="135" t="n">
        <f aca="false">$G11934*'Analyse capacite'!$C$8</f>
        <v>0</v>
      </c>
      <c r="J11934" s="135" t="n">
        <f aca="false">$G11934*'Analyse capacite'!$D$8</f>
        <v>0</v>
      </c>
      <c r="K11934" s="135" t="n">
        <f aca="false">$G11934*'Analyse capacite'!$E$8</f>
        <v>0</v>
      </c>
    </row>
    <row r="11935" customFormat="false" ht="15" hidden="false" customHeight="false" outlineLevel="0" collapsed="false">
      <c r="B11935" s="130" t="n">
        <v>2028</v>
      </c>
      <c r="C11935" s="131" t="s">
        <v>256</v>
      </c>
      <c r="D11935" s="132" t="n">
        <v>46809</v>
      </c>
      <c r="E11935" s="131" t="s">
        <v>40</v>
      </c>
      <c r="F11935" s="133" t="s">
        <v>24</v>
      </c>
      <c r="G11935" s="134" t="n">
        <f aca="false">LEN('Saisie programme'!$I$417)+SUMIFS('Vols additionnels'!$E$7:$E$66,'Vols additionnels'!$C$7:$C$66,$E11935,'Vols additionnels'!$D$7:$D$66,$F11935,'Vols additionnels'!$B$7:$B$66,$D11935)</f>
        <v>0</v>
      </c>
      <c r="H11935" s="135" t="n">
        <f aca="false">$G11935*'Analyse capacite'!$F$9</f>
        <v>0</v>
      </c>
      <c r="I11935" s="135" t="n">
        <f aca="false">$G11935*'Analyse capacite'!$C$9</f>
        <v>0</v>
      </c>
      <c r="J11935" s="135" t="n">
        <f aca="false">$G11935*'Analyse capacite'!$D$9</f>
        <v>0</v>
      </c>
      <c r="K11935" s="135" t="n">
        <f aca="false">$G11935*'Analyse capacite'!$E$9</f>
        <v>0</v>
      </c>
    </row>
    <row r="11936" customFormat="false" ht="15" hidden="false" customHeight="false" outlineLevel="0" collapsed="false">
      <c r="B11936" s="130" t="n">
        <v>2028</v>
      </c>
      <c r="C11936" s="131" t="s">
        <v>256</v>
      </c>
      <c r="D11936" s="132" t="n">
        <v>46809</v>
      </c>
      <c r="E11936" s="131" t="s">
        <v>14</v>
      </c>
      <c r="F11936" s="133" t="s">
        <v>11</v>
      </c>
      <c r="G11936" s="134" t="n">
        <f aca="false">LEN('Saisie programme'!$I$418)+SUMIFS('Vols additionnels'!$E$7:$E$66,'Vols additionnels'!$C$7:$C$66,$E11936,'Vols additionnels'!$D$7:$D$66,$F11936,'Vols additionnels'!$B$7:$B$66,$D11936)</f>
        <v>0</v>
      </c>
      <c r="H11936" s="135" t="n">
        <f aca="false">$G11936*'Analyse capacite'!$F$7</f>
        <v>0</v>
      </c>
      <c r="I11936" s="135" t="n">
        <f aca="false">$G11936*'Analyse capacite'!$C$7</f>
        <v>0</v>
      </c>
      <c r="J11936" s="135" t="n">
        <f aca="false">$G11936*'Analyse capacite'!$D$7</f>
        <v>0</v>
      </c>
      <c r="K11936" s="135" t="n">
        <f aca="false">$G11936*'Analyse capacite'!$E$7</f>
        <v>0</v>
      </c>
    </row>
    <row r="11937" customFormat="false" ht="15" hidden="false" customHeight="false" outlineLevel="0" collapsed="false">
      <c r="B11937" s="130" t="n">
        <v>2028</v>
      </c>
      <c r="C11937" s="131" t="s">
        <v>256</v>
      </c>
      <c r="D11937" s="132" t="n">
        <v>46809</v>
      </c>
      <c r="E11937" s="131" t="s">
        <v>14</v>
      </c>
      <c r="F11937" s="133" t="s">
        <v>19</v>
      </c>
      <c r="G11937" s="134" t="n">
        <f aca="false">LEN('Saisie programme'!$I$419)+SUMIFS('Vols additionnels'!$E$7:$E$66,'Vols additionnels'!$C$7:$C$66,$E11937,'Vols additionnels'!$D$7:$D$66,$F11937,'Vols additionnels'!$B$7:$B$66,$D11937)</f>
        <v>0</v>
      </c>
      <c r="H11937" s="135" t="n">
        <f aca="false">$G11937*'Analyse capacite'!$F$8</f>
        <v>0</v>
      </c>
      <c r="I11937" s="135" t="n">
        <f aca="false">$G11937*'Analyse capacite'!$C$8</f>
        <v>0</v>
      </c>
      <c r="J11937" s="135" t="n">
        <f aca="false">$G11937*'Analyse capacite'!$D$8</f>
        <v>0</v>
      </c>
      <c r="K11937" s="135" t="n">
        <f aca="false">$G11937*'Analyse capacite'!$E$8</f>
        <v>0</v>
      </c>
    </row>
    <row r="11938" customFormat="false" ht="15" hidden="false" customHeight="false" outlineLevel="0" collapsed="false">
      <c r="B11938" s="130" t="n">
        <v>2028</v>
      </c>
      <c r="C11938" s="131" t="s">
        <v>256</v>
      </c>
      <c r="D11938" s="132" t="n">
        <v>46809</v>
      </c>
      <c r="E11938" s="131" t="s">
        <v>14</v>
      </c>
      <c r="F11938" s="133" t="s">
        <v>24</v>
      </c>
      <c r="G11938" s="134" t="n">
        <f aca="false">LEN('Saisie programme'!$I$420)+SUMIFS('Vols additionnels'!$E$7:$E$66,'Vols additionnels'!$C$7:$C$66,$E11938,'Vols additionnels'!$D$7:$D$66,$F11938,'Vols additionnels'!$B$7:$B$66,$D11938)</f>
        <v>1</v>
      </c>
      <c r="H11938" s="135" t="n">
        <f aca="false">$G11938*'Analyse capacite'!$F$9</f>
        <v>174</v>
      </c>
      <c r="I11938" s="135" t="n">
        <f aca="false">$G11938*'Analyse capacite'!$C$9</f>
        <v>0</v>
      </c>
      <c r="J11938" s="135" t="n">
        <f aca="false">$G11938*'Analyse capacite'!$D$9</f>
        <v>12</v>
      </c>
      <c r="K11938" s="135" t="n">
        <f aca="false">$G11938*'Analyse capacite'!$E$9</f>
        <v>162</v>
      </c>
    </row>
    <row r="11939" customFormat="false" ht="15" hidden="false" customHeight="false" outlineLevel="0" collapsed="false">
      <c r="B11939" s="130" t="n">
        <v>2028</v>
      </c>
      <c r="C11939" s="131" t="s">
        <v>256</v>
      </c>
      <c r="D11939" s="132" t="n">
        <v>46809</v>
      </c>
      <c r="E11939" s="131" t="s">
        <v>46</v>
      </c>
      <c r="F11939" s="133" t="s">
        <v>11</v>
      </c>
      <c r="G11939" s="134" t="n">
        <f aca="false">LEN('Saisie programme'!$I$421)+SUMIFS('Vols additionnels'!$E$7:$E$66,'Vols additionnels'!$C$7:$C$66,$E11939,'Vols additionnels'!$D$7:$D$66,$F11939,'Vols additionnels'!$B$7:$B$66,$D11939)</f>
        <v>0</v>
      </c>
      <c r="H11939" s="135" t="n">
        <f aca="false">$G11939*'Analyse capacite'!$F$7</f>
        <v>0</v>
      </c>
      <c r="I11939" s="135" t="n">
        <f aca="false">$G11939*'Analyse capacite'!$C$7</f>
        <v>0</v>
      </c>
      <c r="J11939" s="135" t="n">
        <f aca="false">$G11939*'Analyse capacite'!$D$7</f>
        <v>0</v>
      </c>
      <c r="K11939" s="135" t="n">
        <f aca="false">$G11939*'Analyse capacite'!$E$7</f>
        <v>0</v>
      </c>
    </row>
    <row r="11940" customFormat="false" ht="15" hidden="false" customHeight="false" outlineLevel="0" collapsed="false">
      <c r="B11940" s="130" t="n">
        <v>2028</v>
      </c>
      <c r="C11940" s="131" t="s">
        <v>256</v>
      </c>
      <c r="D11940" s="132" t="n">
        <v>46809</v>
      </c>
      <c r="E11940" s="131" t="s">
        <v>46</v>
      </c>
      <c r="F11940" s="133" t="s">
        <v>19</v>
      </c>
      <c r="G11940" s="134" t="n">
        <f aca="false">LEN('Saisie programme'!$I$422)+SUMIFS('Vols additionnels'!$E$7:$E$66,'Vols additionnels'!$C$7:$C$66,$E11940,'Vols additionnels'!$D$7:$D$66,$F11940,'Vols additionnels'!$B$7:$B$66,$D11940)</f>
        <v>0</v>
      </c>
      <c r="H11940" s="135" t="n">
        <f aca="false">$G11940*'Analyse capacite'!$F$8</f>
        <v>0</v>
      </c>
      <c r="I11940" s="135" t="n">
        <f aca="false">$G11940*'Analyse capacite'!$C$8</f>
        <v>0</v>
      </c>
      <c r="J11940" s="135" t="n">
        <f aca="false">$G11940*'Analyse capacite'!$D$8</f>
        <v>0</v>
      </c>
      <c r="K11940" s="135" t="n">
        <f aca="false">$G11940*'Analyse capacite'!$E$8</f>
        <v>0</v>
      </c>
    </row>
    <row r="11941" customFormat="false" ht="15" hidden="false" customHeight="false" outlineLevel="0" collapsed="false">
      <c r="B11941" s="130" t="n">
        <v>2028</v>
      </c>
      <c r="C11941" s="131" t="s">
        <v>256</v>
      </c>
      <c r="D11941" s="132" t="n">
        <v>46809</v>
      </c>
      <c r="E11941" s="131" t="s">
        <v>46</v>
      </c>
      <c r="F11941" s="133" t="s">
        <v>24</v>
      </c>
      <c r="G11941" s="134" t="n">
        <f aca="false">LEN('Saisie programme'!$I$423)+SUMIFS('Vols additionnels'!$E$7:$E$66,'Vols additionnels'!$C$7:$C$66,$E11941,'Vols additionnels'!$D$7:$D$66,$F11941,'Vols additionnels'!$B$7:$B$66,$D11941)</f>
        <v>1</v>
      </c>
      <c r="H11941" s="135" t="n">
        <f aca="false">$G11941*'Analyse capacite'!$F$9</f>
        <v>174</v>
      </c>
      <c r="I11941" s="135" t="n">
        <f aca="false">$G11941*'Analyse capacite'!$C$9</f>
        <v>0</v>
      </c>
      <c r="J11941" s="135" t="n">
        <f aca="false">$G11941*'Analyse capacite'!$D$9</f>
        <v>12</v>
      </c>
      <c r="K11941" s="135" t="n">
        <f aca="false">$G11941*'Analyse capacite'!$E$9</f>
        <v>162</v>
      </c>
    </row>
    <row r="11942" customFormat="false" ht="15" hidden="false" customHeight="false" outlineLevel="0" collapsed="false">
      <c r="B11942" s="130" t="n">
        <v>2028</v>
      </c>
      <c r="C11942" s="131" t="s">
        <v>256</v>
      </c>
      <c r="D11942" s="132" t="n">
        <v>46809</v>
      </c>
      <c r="E11942" s="131" t="s">
        <v>49</v>
      </c>
      <c r="F11942" s="133" t="s">
        <v>11</v>
      </c>
      <c r="G11942" s="134" t="n">
        <f aca="false">LEN('Saisie programme'!$I$424)+SUMIFS('Vols additionnels'!$E$7:$E$66,'Vols additionnels'!$C$7:$C$66,$E11942,'Vols additionnels'!$D$7:$D$66,$F11942,'Vols additionnels'!$B$7:$B$66,$D11942)</f>
        <v>0</v>
      </c>
      <c r="H11942" s="135" t="n">
        <f aca="false">$G11942*'Analyse capacite'!$F$7</f>
        <v>0</v>
      </c>
      <c r="I11942" s="135" t="n">
        <f aca="false">$G11942*'Analyse capacite'!$C$7</f>
        <v>0</v>
      </c>
      <c r="J11942" s="135" t="n">
        <f aca="false">$G11942*'Analyse capacite'!$D$7</f>
        <v>0</v>
      </c>
      <c r="K11942" s="135" t="n">
        <f aca="false">$G11942*'Analyse capacite'!$E$7</f>
        <v>0</v>
      </c>
    </row>
    <row r="11943" customFormat="false" ht="15" hidden="false" customHeight="false" outlineLevel="0" collapsed="false">
      <c r="B11943" s="130" t="n">
        <v>2028</v>
      </c>
      <c r="C11943" s="131" t="s">
        <v>256</v>
      </c>
      <c r="D11943" s="132" t="n">
        <v>46809</v>
      </c>
      <c r="E11943" s="131" t="s">
        <v>49</v>
      </c>
      <c r="F11943" s="133" t="s">
        <v>19</v>
      </c>
      <c r="G11943" s="134" t="n">
        <f aca="false">LEN('Saisie programme'!$I$425)+SUMIFS('Vols additionnels'!$E$7:$E$66,'Vols additionnels'!$C$7:$C$66,$E11943,'Vols additionnels'!$D$7:$D$66,$F11943,'Vols additionnels'!$B$7:$B$66,$D11943)</f>
        <v>0</v>
      </c>
      <c r="H11943" s="135" t="n">
        <f aca="false">$G11943*'Analyse capacite'!$F$8</f>
        <v>0</v>
      </c>
      <c r="I11943" s="135" t="n">
        <f aca="false">$G11943*'Analyse capacite'!$C$8</f>
        <v>0</v>
      </c>
      <c r="J11943" s="135" t="n">
        <f aca="false">$G11943*'Analyse capacite'!$D$8</f>
        <v>0</v>
      </c>
      <c r="K11943" s="135" t="n">
        <f aca="false">$G11943*'Analyse capacite'!$E$8</f>
        <v>0</v>
      </c>
    </row>
    <row r="11944" customFormat="false" ht="15" hidden="false" customHeight="false" outlineLevel="0" collapsed="false">
      <c r="B11944" s="130" t="n">
        <v>2028</v>
      </c>
      <c r="C11944" s="131" t="s">
        <v>256</v>
      </c>
      <c r="D11944" s="132" t="n">
        <v>46809</v>
      </c>
      <c r="E11944" s="131" t="s">
        <v>49</v>
      </c>
      <c r="F11944" s="133" t="s">
        <v>24</v>
      </c>
      <c r="G11944" s="134" t="n">
        <f aca="false">LEN('Saisie programme'!$I$426)+SUMIFS('Vols additionnels'!$E$7:$E$66,'Vols additionnels'!$C$7:$C$66,$E11944,'Vols additionnels'!$D$7:$D$66,$F11944,'Vols additionnels'!$B$7:$B$66,$D11944)</f>
        <v>0</v>
      </c>
      <c r="H11944" s="135" t="n">
        <f aca="false">$G11944*'Analyse capacite'!$F$9</f>
        <v>0</v>
      </c>
      <c r="I11944" s="135" t="n">
        <f aca="false">$G11944*'Analyse capacite'!$C$9</f>
        <v>0</v>
      </c>
      <c r="J11944" s="135" t="n">
        <f aca="false">$G11944*'Analyse capacite'!$D$9</f>
        <v>0</v>
      </c>
      <c r="K11944" s="135" t="n">
        <f aca="false">$G11944*'Analyse capacite'!$E$9</f>
        <v>0</v>
      </c>
    </row>
    <row r="11945" customFormat="false" ht="15" hidden="false" customHeight="false" outlineLevel="0" collapsed="false">
      <c r="B11945" s="130" t="n">
        <v>2028</v>
      </c>
      <c r="C11945" s="131" t="s">
        <v>256</v>
      </c>
      <c r="D11945" s="132" t="n">
        <v>46809</v>
      </c>
      <c r="E11945" s="131" t="s">
        <v>53</v>
      </c>
      <c r="F11945" s="133" t="s">
        <v>11</v>
      </c>
      <c r="G11945" s="134" t="n">
        <f aca="false">LEN('Saisie programme'!$I$427)+SUMIFS('Vols additionnels'!$E$7:$E$66,'Vols additionnels'!$C$7:$C$66,$E11945,'Vols additionnels'!$D$7:$D$66,$F11945,'Vols additionnels'!$B$7:$B$66,$D11945)</f>
        <v>0</v>
      </c>
      <c r="H11945" s="135" t="n">
        <f aca="false">$G11945*'Analyse capacite'!$F$7</f>
        <v>0</v>
      </c>
      <c r="I11945" s="135" t="n">
        <f aca="false">$G11945*'Analyse capacite'!$C$7</f>
        <v>0</v>
      </c>
      <c r="J11945" s="135" t="n">
        <f aca="false">$G11945*'Analyse capacite'!$D$7</f>
        <v>0</v>
      </c>
      <c r="K11945" s="135" t="n">
        <f aca="false">$G11945*'Analyse capacite'!$E$7</f>
        <v>0</v>
      </c>
    </row>
    <row r="11946" customFormat="false" ht="15" hidden="false" customHeight="false" outlineLevel="0" collapsed="false">
      <c r="B11946" s="130" t="n">
        <v>2028</v>
      </c>
      <c r="C11946" s="131" t="s">
        <v>256</v>
      </c>
      <c r="D11946" s="132" t="n">
        <v>46809</v>
      </c>
      <c r="E11946" s="131" t="s">
        <v>53</v>
      </c>
      <c r="F11946" s="133" t="s">
        <v>19</v>
      </c>
      <c r="G11946" s="134" t="n">
        <f aca="false">LEN('Saisie programme'!$I$428)+SUMIFS('Vols additionnels'!$E$7:$E$66,'Vols additionnels'!$C$7:$C$66,$E11946,'Vols additionnels'!$D$7:$D$66,$F11946,'Vols additionnels'!$B$7:$B$66,$D11946)</f>
        <v>0</v>
      </c>
      <c r="H11946" s="135" t="n">
        <f aca="false">$G11946*'Analyse capacite'!$F$8</f>
        <v>0</v>
      </c>
      <c r="I11946" s="135" t="n">
        <f aca="false">$G11946*'Analyse capacite'!$C$8</f>
        <v>0</v>
      </c>
      <c r="J11946" s="135" t="n">
        <f aca="false">$G11946*'Analyse capacite'!$D$8</f>
        <v>0</v>
      </c>
      <c r="K11946" s="135" t="n">
        <f aca="false">$G11946*'Analyse capacite'!$E$8</f>
        <v>0</v>
      </c>
    </row>
    <row r="11947" customFormat="false" ht="15" hidden="false" customHeight="false" outlineLevel="0" collapsed="false">
      <c r="B11947" s="130" t="n">
        <v>2028</v>
      </c>
      <c r="C11947" s="131" t="s">
        <v>256</v>
      </c>
      <c r="D11947" s="132" t="n">
        <v>46809</v>
      </c>
      <c r="E11947" s="131" t="s">
        <v>53</v>
      </c>
      <c r="F11947" s="133" t="s">
        <v>24</v>
      </c>
      <c r="G11947" s="134" t="n">
        <f aca="false">LEN('Saisie programme'!$I$429)+SUMIFS('Vols additionnels'!$E$7:$E$66,'Vols additionnels'!$C$7:$C$66,$E11947,'Vols additionnels'!$D$7:$D$66,$F11947,'Vols additionnels'!$B$7:$B$66,$D11947)</f>
        <v>0</v>
      </c>
      <c r="H11947" s="135" t="n">
        <f aca="false">$G11947*'Analyse capacite'!$F$9</f>
        <v>0</v>
      </c>
      <c r="I11947" s="135" t="n">
        <f aca="false">$G11947*'Analyse capacite'!$C$9</f>
        <v>0</v>
      </c>
      <c r="J11947" s="135" t="n">
        <f aca="false">$G11947*'Analyse capacite'!$D$9</f>
        <v>0</v>
      </c>
      <c r="K11947" s="135" t="n">
        <f aca="false">$G11947*'Analyse capacite'!$E$9</f>
        <v>0</v>
      </c>
    </row>
    <row r="11948" customFormat="false" ht="15" hidden="false" customHeight="false" outlineLevel="0" collapsed="false">
      <c r="B11948" s="130" t="n">
        <v>2028</v>
      </c>
      <c r="C11948" s="131" t="s">
        <v>256</v>
      </c>
      <c r="D11948" s="132" t="n">
        <v>46809</v>
      </c>
      <c r="E11948" s="131" t="s">
        <v>56</v>
      </c>
      <c r="F11948" s="133" t="s">
        <v>11</v>
      </c>
      <c r="G11948" s="134" t="n">
        <f aca="false">LEN('Saisie programme'!$I$430)+SUMIFS('Vols additionnels'!$E$7:$E$66,'Vols additionnels'!$C$7:$C$66,$E11948,'Vols additionnels'!$D$7:$D$66,$F11948,'Vols additionnels'!$B$7:$B$66,$D11948)</f>
        <v>0</v>
      </c>
      <c r="H11948" s="135" t="n">
        <f aca="false">$G11948*'Analyse capacite'!$F$7</f>
        <v>0</v>
      </c>
      <c r="I11948" s="135" t="n">
        <f aca="false">$G11948*'Analyse capacite'!$C$7</f>
        <v>0</v>
      </c>
      <c r="J11948" s="135" t="n">
        <f aca="false">$G11948*'Analyse capacite'!$D$7</f>
        <v>0</v>
      </c>
      <c r="K11948" s="135" t="n">
        <f aca="false">$G11948*'Analyse capacite'!$E$7</f>
        <v>0</v>
      </c>
    </row>
    <row r="11949" customFormat="false" ht="15" hidden="false" customHeight="false" outlineLevel="0" collapsed="false">
      <c r="B11949" s="130" t="n">
        <v>2028</v>
      </c>
      <c r="C11949" s="131" t="s">
        <v>256</v>
      </c>
      <c r="D11949" s="132" t="n">
        <v>46809</v>
      </c>
      <c r="E11949" s="131" t="s">
        <v>56</v>
      </c>
      <c r="F11949" s="133" t="s">
        <v>19</v>
      </c>
      <c r="G11949" s="134" t="n">
        <f aca="false">LEN('Saisie programme'!$I$431)+SUMIFS('Vols additionnels'!$E$7:$E$66,'Vols additionnels'!$C$7:$C$66,$E11949,'Vols additionnels'!$D$7:$D$66,$F11949,'Vols additionnels'!$B$7:$B$66,$D11949)</f>
        <v>0</v>
      </c>
      <c r="H11949" s="135" t="n">
        <f aca="false">$G11949*'Analyse capacite'!$F$8</f>
        <v>0</v>
      </c>
      <c r="I11949" s="135" t="n">
        <f aca="false">$G11949*'Analyse capacite'!$C$8</f>
        <v>0</v>
      </c>
      <c r="J11949" s="135" t="n">
        <f aca="false">$G11949*'Analyse capacite'!$D$8</f>
        <v>0</v>
      </c>
      <c r="K11949" s="135" t="n">
        <f aca="false">$G11949*'Analyse capacite'!$E$8</f>
        <v>0</v>
      </c>
    </row>
    <row r="11950" customFormat="false" ht="15" hidden="false" customHeight="false" outlineLevel="0" collapsed="false">
      <c r="B11950" s="130" t="n">
        <v>2028</v>
      </c>
      <c r="C11950" s="131" t="s">
        <v>256</v>
      </c>
      <c r="D11950" s="132" t="n">
        <v>46809</v>
      </c>
      <c r="E11950" s="131" t="s">
        <v>56</v>
      </c>
      <c r="F11950" s="133" t="s">
        <v>24</v>
      </c>
      <c r="G11950" s="134" t="n">
        <f aca="false">LEN('Saisie programme'!$I$432)+SUMIFS('Vols additionnels'!$E$7:$E$66,'Vols additionnels'!$C$7:$C$66,$E11950,'Vols additionnels'!$D$7:$D$66,$F11950,'Vols additionnels'!$B$7:$B$66,$D11950)</f>
        <v>1</v>
      </c>
      <c r="H11950" s="135" t="n">
        <f aca="false">$G11950*'Analyse capacite'!$F$9</f>
        <v>174</v>
      </c>
      <c r="I11950" s="135" t="n">
        <f aca="false">$G11950*'Analyse capacite'!$C$9</f>
        <v>0</v>
      </c>
      <c r="J11950" s="135" t="n">
        <f aca="false">$G11950*'Analyse capacite'!$D$9</f>
        <v>12</v>
      </c>
      <c r="K11950" s="135" t="n">
        <f aca="false">$G11950*'Analyse capacite'!$E$9</f>
        <v>162</v>
      </c>
    </row>
    <row r="11951" customFormat="false" ht="15" hidden="false" customHeight="false" outlineLevel="0" collapsed="false">
      <c r="B11951" s="130" t="n">
        <v>2028</v>
      </c>
      <c r="C11951" s="131" t="s">
        <v>256</v>
      </c>
      <c r="D11951" s="132" t="n">
        <v>46809</v>
      </c>
      <c r="E11951" s="131" t="s">
        <v>59</v>
      </c>
      <c r="F11951" s="133" t="s">
        <v>11</v>
      </c>
      <c r="G11951" s="134" t="n">
        <f aca="false">LEN('Saisie programme'!$I$433)+SUMIFS('Vols additionnels'!$E$7:$E$66,'Vols additionnels'!$C$7:$C$66,$E11951,'Vols additionnels'!$D$7:$D$66,$F11951,'Vols additionnels'!$B$7:$B$66,$D11951)</f>
        <v>0</v>
      </c>
      <c r="H11951" s="135" t="n">
        <f aca="false">$G11951*'Analyse capacite'!$F$7</f>
        <v>0</v>
      </c>
      <c r="I11951" s="135" t="n">
        <f aca="false">$G11951*'Analyse capacite'!$C$7</f>
        <v>0</v>
      </c>
      <c r="J11951" s="135" t="n">
        <f aca="false">$G11951*'Analyse capacite'!$D$7</f>
        <v>0</v>
      </c>
      <c r="K11951" s="135" t="n">
        <f aca="false">$G11951*'Analyse capacite'!$E$7</f>
        <v>0</v>
      </c>
    </row>
    <row r="11952" customFormat="false" ht="15" hidden="false" customHeight="false" outlineLevel="0" collapsed="false">
      <c r="B11952" s="130" t="n">
        <v>2028</v>
      </c>
      <c r="C11952" s="131" t="s">
        <v>256</v>
      </c>
      <c r="D11952" s="132" t="n">
        <v>46809</v>
      </c>
      <c r="E11952" s="131" t="s">
        <v>59</v>
      </c>
      <c r="F11952" s="133" t="s">
        <v>19</v>
      </c>
      <c r="G11952" s="134" t="n">
        <f aca="false">LEN('Saisie programme'!$I$434)+SUMIFS('Vols additionnels'!$E$7:$E$66,'Vols additionnels'!$C$7:$C$66,$E11952,'Vols additionnels'!$D$7:$D$66,$F11952,'Vols additionnels'!$B$7:$B$66,$D11952)</f>
        <v>0</v>
      </c>
      <c r="H11952" s="135" t="n">
        <f aca="false">$G11952*'Analyse capacite'!$F$8</f>
        <v>0</v>
      </c>
      <c r="I11952" s="135" t="n">
        <f aca="false">$G11952*'Analyse capacite'!$C$8</f>
        <v>0</v>
      </c>
      <c r="J11952" s="135" t="n">
        <f aca="false">$G11952*'Analyse capacite'!$D$8</f>
        <v>0</v>
      </c>
      <c r="K11952" s="135" t="n">
        <f aca="false">$G11952*'Analyse capacite'!$E$8</f>
        <v>0</v>
      </c>
    </row>
    <row r="11953" customFormat="false" ht="15" hidden="false" customHeight="false" outlineLevel="0" collapsed="false">
      <c r="B11953" s="130" t="n">
        <v>2028</v>
      </c>
      <c r="C11953" s="131" t="s">
        <v>256</v>
      </c>
      <c r="D11953" s="132" t="n">
        <v>46809</v>
      </c>
      <c r="E11953" s="131" t="s">
        <v>59</v>
      </c>
      <c r="F11953" s="133" t="s">
        <v>24</v>
      </c>
      <c r="G11953" s="134" t="n">
        <f aca="false">LEN('Saisie programme'!$I$435)+SUMIFS('Vols additionnels'!$E$7:$E$66,'Vols additionnels'!$C$7:$C$66,$E11953,'Vols additionnels'!$D$7:$D$66,$F11953,'Vols additionnels'!$B$7:$B$66,$D11953)</f>
        <v>1</v>
      </c>
      <c r="H11953" s="135" t="n">
        <f aca="false">$G11953*'Analyse capacite'!$F$9</f>
        <v>174</v>
      </c>
      <c r="I11953" s="135" t="n">
        <f aca="false">$G11953*'Analyse capacite'!$C$9</f>
        <v>0</v>
      </c>
      <c r="J11953" s="135" t="n">
        <f aca="false">$G11953*'Analyse capacite'!$D$9</f>
        <v>12</v>
      </c>
      <c r="K11953" s="135" t="n">
        <f aca="false">$G11953*'Analyse capacite'!$E$9</f>
        <v>162</v>
      </c>
    </row>
    <row r="11954" customFormat="false" ht="15" hidden="false" customHeight="false" outlineLevel="0" collapsed="false">
      <c r="B11954" s="130" t="n">
        <v>2028</v>
      </c>
      <c r="C11954" s="131" t="s">
        <v>256</v>
      </c>
      <c r="D11954" s="132" t="n">
        <v>46809</v>
      </c>
      <c r="E11954" s="131" t="s">
        <v>62</v>
      </c>
      <c r="F11954" s="133" t="s">
        <v>11</v>
      </c>
      <c r="G11954" s="134" t="n">
        <f aca="false">LEN('Saisie programme'!$I$436)+SUMIFS('Vols additionnels'!$E$7:$E$66,'Vols additionnels'!$C$7:$C$66,$E11954,'Vols additionnels'!$D$7:$D$66,$F11954,'Vols additionnels'!$B$7:$B$66,$D11954)</f>
        <v>0</v>
      </c>
      <c r="H11954" s="135" t="n">
        <f aca="false">$G11954*'Analyse capacite'!$F$7</f>
        <v>0</v>
      </c>
      <c r="I11954" s="135" t="n">
        <f aca="false">$G11954*'Analyse capacite'!$C$7</f>
        <v>0</v>
      </c>
      <c r="J11954" s="135" t="n">
        <f aca="false">$G11954*'Analyse capacite'!$D$7</f>
        <v>0</v>
      </c>
      <c r="K11954" s="135" t="n">
        <f aca="false">$G11954*'Analyse capacite'!$E$7</f>
        <v>0</v>
      </c>
    </row>
    <row r="11955" customFormat="false" ht="15" hidden="false" customHeight="false" outlineLevel="0" collapsed="false">
      <c r="B11955" s="130" t="n">
        <v>2028</v>
      </c>
      <c r="C11955" s="131" t="s">
        <v>256</v>
      </c>
      <c r="D11955" s="132" t="n">
        <v>46809</v>
      </c>
      <c r="E11955" s="131" t="s">
        <v>62</v>
      </c>
      <c r="F11955" s="133" t="s">
        <v>19</v>
      </c>
      <c r="G11955" s="134" t="n">
        <f aca="false">LEN('Saisie programme'!$I$437)+SUMIFS('Vols additionnels'!$E$7:$E$66,'Vols additionnels'!$C$7:$C$66,$E11955,'Vols additionnels'!$D$7:$D$66,$F11955,'Vols additionnels'!$B$7:$B$66,$D11955)</f>
        <v>0</v>
      </c>
      <c r="H11955" s="135" t="n">
        <f aca="false">$G11955*'Analyse capacite'!$F$8</f>
        <v>0</v>
      </c>
      <c r="I11955" s="135" t="n">
        <f aca="false">$G11955*'Analyse capacite'!$C$8</f>
        <v>0</v>
      </c>
      <c r="J11955" s="135" t="n">
        <f aca="false">$G11955*'Analyse capacite'!$D$8</f>
        <v>0</v>
      </c>
      <c r="K11955" s="135" t="n">
        <f aca="false">$G11955*'Analyse capacite'!$E$8</f>
        <v>0</v>
      </c>
    </row>
    <row r="11956" customFormat="false" ht="15" hidden="false" customHeight="false" outlineLevel="0" collapsed="false">
      <c r="B11956" s="130" t="n">
        <v>2028</v>
      </c>
      <c r="C11956" s="131" t="s">
        <v>256</v>
      </c>
      <c r="D11956" s="132" t="n">
        <v>46809</v>
      </c>
      <c r="E11956" s="131" t="s">
        <v>62</v>
      </c>
      <c r="F11956" s="133" t="s">
        <v>24</v>
      </c>
      <c r="G11956" s="134" t="n">
        <f aca="false">LEN('Saisie programme'!$I$438)+SUMIFS('Vols additionnels'!$E$7:$E$66,'Vols additionnels'!$C$7:$C$66,$E11956,'Vols additionnels'!$D$7:$D$66,$F11956,'Vols additionnels'!$B$7:$B$66,$D11956)</f>
        <v>0</v>
      </c>
      <c r="H11956" s="135" t="n">
        <f aca="false">$G11956*'Analyse capacite'!$F$9</f>
        <v>0</v>
      </c>
      <c r="I11956" s="135" t="n">
        <f aca="false">$G11956*'Analyse capacite'!$C$9</f>
        <v>0</v>
      </c>
      <c r="J11956" s="135" t="n">
        <f aca="false">$G11956*'Analyse capacite'!$D$9</f>
        <v>0</v>
      </c>
      <c r="K11956" s="135" t="n">
        <f aca="false">$G11956*'Analyse capacite'!$E$9</f>
        <v>0</v>
      </c>
    </row>
    <row r="11957" customFormat="false" ht="15" hidden="false" customHeight="false" outlineLevel="0" collapsed="false">
      <c r="B11957" s="130" t="n">
        <v>2028</v>
      </c>
      <c r="C11957" s="131" t="s">
        <v>256</v>
      </c>
      <c r="D11957" s="132" t="n">
        <v>46810</v>
      </c>
      <c r="E11957" s="131" t="s">
        <v>12</v>
      </c>
      <c r="F11957" s="133" t="s">
        <v>11</v>
      </c>
      <c r="G11957" s="134" t="n">
        <f aca="false">LEN('Saisie programme'!$J$403)+SUMIFS('Vols additionnels'!$E$7:$E$66,'Vols additionnels'!$C$7:$C$66,$E11957,'Vols additionnels'!$D$7:$D$66,$F11957,'Vols additionnels'!$B$7:$B$66,$D11957)</f>
        <v>1</v>
      </c>
      <c r="H11957" s="135" t="n">
        <f aca="false">$G11957*'Analyse capacite'!$F$7</f>
        <v>438</v>
      </c>
      <c r="I11957" s="135" t="n">
        <f aca="false">$G11957*'Analyse capacite'!$C$7</f>
        <v>14</v>
      </c>
      <c r="J11957" s="135" t="n">
        <f aca="false">$G11957*'Analyse capacite'!$D$7</f>
        <v>40</v>
      </c>
      <c r="K11957" s="135" t="n">
        <f aca="false">$G11957*'Analyse capacite'!$E$7</f>
        <v>384</v>
      </c>
    </row>
    <row r="11958" customFormat="false" ht="15" hidden="false" customHeight="false" outlineLevel="0" collapsed="false">
      <c r="B11958" s="130" t="n">
        <v>2028</v>
      </c>
      <c r="C11958" s="131" t="s">
        <v>256</v>
      </c>
      <c r="D11958" s="132" t="n">
        <v>46810</v>
      </c>
      <c r="E11958" s="131" t="s">
        <v>12</v>
      </c>
      <c r="F11958" s="133" t="s">
        <v>19</v>
      </c>
      <c r="G11958" s="134" t="n">
        <f aca="false">LEN('Saisie programme'!$J$404)+SUMIFS('Vols additionnels'!$E$7:$E$66,'Vols additionnels'!$C$7:$C$66,$E11958,'Vols additionnels'!$D$7:$D$66,$F11958,'Vols additionnels'!$B$7:$B$66,$D11958)</f>
        <v>0</v>
      </c>
      <c r="H11958" s="135" t="n">
        <f aca="false">$G11958*'Analyse capacite'!$F$8</f>
        <v>0</v>
      </c>
      <c r="I11958" s="135" t="n">
        <f aca="false">$G11958*'Analyse capacite'!$C$8</f>
        <v>0</v>
      </c>
      <c r="J11958" s="135" t="n">
        <f aca="false">$G11958*'Analyse capacite'!$D$8</f>
        <v>0</v>
      </c>
      <c r="K11958" s="135" t="n">
        <f aca="false">$G11958*'Analyse capacite'!$E$8</f>
        <v>0</v>
      </c>
    </row>
    <row r="11959" customFormat="false" ht="15" hidden="false" customHeight="false" outlineLevel="0" collapsed="false">
      <c r="B11959" s="130" t="n">
        <v>2028</v>
      </c>
      <c r="C11959" s="131" t="s">
        <v>256</v>
      </c>
      <c r="D11959" s="132" t="n">
        <v>46810</v>
      </c>
      <c r="E11959" s="131" t="s">
        <v>12</v>
      </c>
      <c r="F11959" s="133" t="s">
        <v>24</v>
      </c>
      <c r="G11959" s="134" t="n">
        <f aca="false">LEN('Saisie programme'!$J$405)+SUMIFS('Vols additionnels'!$E$7:$E$66,'Vols additionnels'!$C$7:$C$66,$E11959,'Vols additionnels'!$D$7:$D$66,$F11959,'Vols additionnels'!$B$7:$B$66,$D11959)</f>
        <v>0</v>
      </c>
      <c r="H11959" s="135" t="n">
        <f aca="false">$G11959*'Analyse capacite'!$F$9</f>
        <v>0</v>
      </c>
      <c r="I11959" s="135" t="n">
        <f aca="false">$G11959*'Analyse capacite'!$C$9</f>
        <v>0</v>
      </c>
      <c r="J11959" s="135" t="n">
        <f aca="false">$G11959*'Analyse capacite'!$D$9</f>
        <v>0</v>
      </c>
      <c r="K11959" s="135" t="n">
        <f aca="false">$G11959*'Analyse capacite'!$E$9</f>
        <v>0</v>
      </c>
    </row>
    <row r="11960" customFormat="false" ht="15" hidden="false" customHeight="false" outlineLevel="0" collapsed="false">
      <c r="B11960" s="130" t="n">
        <v>2028</v>
      </c>
      <c r="C11960" s="131" t="s">
        <v>256</v>
      </c>
      <c r="D11960" s="132" t="n">
        <v>46810</v>
      </c>
      <c r="E11960" s="131" t="s">
        <v>20</v>
      </c>
      <c r="F11960" s="133" t="s">
        <v>11</v>
      </c>
      <c r="G11960" s="134" t="n">
        <f aca="false">LEN('Saisie programme'!$J$406)+SUMIFS('Vols additionnels'!$E$7:$E$66,'Vols additionnels'!$C$7:$C$66,$E11960,'Vols additionnels'!$D$7:$D$66,$F11960,'Vols additionnels'!$B$7:$B$66,$D11960)</f>
        <v>1</v>
      </c>
      <c r="H11960" s="135" t="n">
        <f aca="false">$G11960*'Analyse capacite'!$F$7</f>
        <v>438</v>
      </c>
      <c r="I11960" s="135" t="n">
        <f aca="false">$G11960*'Analyse capacite'!$C$7</f>
        <v>14</v>
      </c>
      <c r="J11960" s="135" t="n">
        <f aca="false">$G11960*'Analyse capacite'!$D$7</f>
        <v>40</v>
      </c>
      <c r="K11960" s="135" t="n">
        <f aca="false">$G11960*'Analyse capacite'!$E$7</f>
        <v>384</v>
      </c>
    </row>
    <row r="11961" customFormat="false" ht="15" hidden="false" customHeight="false" outlineLevel="0" collapsed="false">
      <c r="B11961" s="130" t="n">
        <v>2028</v>
      </c>
      <c r="C11961" s="131" t="s">
        <v>256</v>
      </c>
      <c r="D11961" s="132" t="n">
        <v>46810</v>
      </c>
      <c r="E11961" s="131" t="s">
        <v>20</v>
      </c>
      <c r="F11961" s="133" t="s">
        <v>19</v>
      </c>
      <c r="G11961" s="134" t="n">
        <f aca="false">LEN('Saisie programme'!$J$407)+SUMIFS('Vols additionnels'!$E$7:$E$66,'Vols additionnels'!$C$7:$C$66,$E11961,'Vols additionnels'!$D$7:$D$66,$F11961,'Vols additionnels'!$B$7:$B$66,$D11961)</f>
        <v>0</v>
      </c>
      <c r="H11961" s="135" t="n">
        <f aca="false">$G11961*'Analyse capacite'!$F$8</f>
        <v>0</v>
      </c>
      <c r="I11961" s="135" t="n">
        <f aca="false">$G11961*'Analyse capacite'!$C$8</f>
        <v>0</v>
      </c>
      <c r="J11961" s="135" t="n">
        <f aca="false">$G11961*'Analyse capacite'!$D$8</f>
        <v>0</v>
      </c>
      <c r="K11961" s="135" t="n">
        <f aca="false">$G11961*'Analyse capacite'!$E$8</f>
        <v>0</v>
      </c>
    </row>
    <row r="11962" customFormat="false" ht="15" hidden="false" customHeight="false" outlineLevel="0" collapsed="false">
      <c r="B11962" s="130" t="n">
        <v>2028</v>
      </c>
      <c r="C11962" s="131" t="s">
        <v>256</v>
      </c>
      <c r="D11962" s="132" t="n">
        <v>46810</v>
      </c>
      <c r="E11962" s="131" t="s">
        <v>20</v>
      </c>
      <c r="F11962" s="133" t="s">
        <v>24</v>
      </c>
      <c r="G11962" s="134" t="n">
        <f aca="false">LEN('Saisie programme'!$J$408)+SUMIFS('Vols additionnels'!$E$7:$E$66,'Vols additionnels'!$C$7:$C$66,$E11962,'Vols additionnels'!$D$7:$D$66,$F11962,'Vols additionnels'!$B$7:$B$66,$D11962)</f>
        <v>0</v>
      </c>
      <c r="H11962" s="135" t="n">
        <f aca="false">$G11962*'Analyse capacite'!$F$9</f>
        <v>0</v>
      </c>
      <c r="I11962" s="135" t="n">
        <f aca="false">$G11962*'Analyse capacite'!$C$9</f>
        <v>0</v>
      </c>
      <c r="J11962" s="135" t="n">
        <f aca="false">$G11962*'Analyse capacite'!$D$9</f>
        <v>0</v>
      </c>
      <c r="K11962" s="135" t="n">
        <f aca="false">$G11962*'Analyse capacite'!$E$9</f>
        <v>0</v>
      </c>
    </row>
    <row r="11963" customFormat="false" ht="15" hidden="false" customHeight="false" outlineLevel="0" collapsed="false">
      <c r="B11963" s="130" t="n">
        <v>2028</v>
      </c>
      <c r="C11963" s="131" t="s">
        <v>256</v>
      </c>
      <c r="D11963" s="132" t="n">
        <v>46810</v>
      </c>
      <c r="E11963" s="131" t="s">
        <v>25</v>
      </c>
      <c r="F11963" s="133" t="s">
        <v>11</v>
      </c>
      <c r="G11963" s="134" t="n">
        <f aca="false">LEN('Saisie programme'!$J$409)+SUMIFS('Vols additionnels'!$E$7:$E$66,'Vols additionnels'!$C$7:$C$66,$E11963,'Vols additionnels'!$D$7:$D$66,$F11963,'Vols additionnels'!$B$7:$B$66,$D11963)</f>
        <v>0</v>
      </c>
      <c r="H11963" s="135" t="n">
        <f aca="false">$G11963*'Analyse capacite'!$F$7</f>
        <v>0</v>
      </c>
      <c r="I11963" s="135" t="n">
        <f aca="false">$G11963*'Analyse capacite'!$C$7</f>
        <v>0</v>
      </c>
      <c r="J11963" s="135" t="n">
        <f aca="false">$G11963*'Analyse capacite'!$D$7</f>
        <v>0</v>
      </c>
      <c r="K11963" s="135" t="n">
        <f aca="false">$G11963*'Analyse capacite'!$E$7</f>
        <v>0</v>
      </c>
    </row>
    <row r="11964" customFormat="false" ht="15" hidden="false" customHeight="false" outlineLevel="0" collapsed="false">
      <c r="B11964" s="130" t="n">
        <v>2028</v>
      </c>
      <c r="C11964" s="131" t="s">
        <v>256</v>
      </c>
      <c r="D11964" s="132" t="n">
        <v>46810</v>
      </c>
      <c r="E11964" s="131" t="s">
        <v>25</v>
      </c>
      <c r="F11964" s="133" t="s">
        <v>19</v>
      </c>
      <c r="G11964" s="134" t="n">
        <f aca="false">LEN('Saisie programme'!$J$410)+SUMIFS('Vols additionnels'!$E$7:$E$66,'Vols additionnels'!$C$7:$C$66,$E11964,'Vols additionnels'!$D$7:$D$66,$F11964,'Vols additionnels'!$B$7:$B$66,$D11964)</f>
        <v>0</v>
      </c>
      <c r="H11964" s="135" t="n">
        <f aca="false">$G11964*'Analyse capacite'!$F$8</f>
        <v>0</v>
      </c>
      <c r="I11964" s="135" t="n">
        <f aca="false">$G11964*'Analyse capacite'!$C$8</f>
        <v>0</v>
      </c>
      <c r="J11964" s="135" t="n">
        <f aca="false">$G11964*'Analyse capacite'!$D$8</f>
        <v>0</v>
      </c>
      <c r="K11964" s="135" t="n">
        <f aca="false">$G11964*'Analyse capacite'!$E$8</f>
        <v>0</v>
      </c>
    </row>
    <row r="11965" customFormat="false" ht="15" hidden="false" customHeight="false" outlineLevel="0" collapsed="false">
      <c r="B11965" s="130" t="n">
        <v>2028</v>
      </c>
      <c r="C11965" s="131" t="s">
        <v>256</v>
      </c>
      <c r="D11965" s="132" t="n">
        <v>46810</v>
      </c>
      <c r="E11965" s="131" t="s">
        <v>25</v>
      </c>
      <c r="F11965" s="133" t="s">
        <v>24</v>
      </c>
      <c r="G11965" s="134" t="n">
        <f aca="false">LEN('Saisie programme'!$J$411)+SUMIFS('Vols additionnels'!$E$7:$E$66,'Vols additionnels'!$C$7:$C$66,$E11965,'Vols additionnels'!$D$7:$D$66,$F11965,'Vols additionnels'!$B$7:$B$66,$D11965)</f>
        <v>0</v>
      </c>
      <c r="H11965" s="135" t="n">
        <f aca="false">$G11965*'Analyse capacite'!$F$9</f>
        <v>0</v>
      </c>
      <c r="I11965" s="135" t="n">
        <f aca="false">$G11965*'Analyse capacite'!$C$9</f>
        <v>0</v>
      </c>
      <c r="J11965" s="135" t="n">
        <f aca="false">$G11965*'Analyse capacite'!$D$9</f>
        <v>0</v>
      </c>
      <c r="K11965" s="135" t="n">
        <f aca="false">$G11965*'Analyse capacite'!$E$9</f>
        <v>0</v>
      </c>
    </row>
    <row r="11966" customFormat="false" ht="15" hidden="false" customHeight="false" outlineLevel="0" collapsed="false">
      <c r="B11966" s="130" t="n">
        <v>2028</v>
      </c>
      <c r="C11966" s="131" t="s">
        <v>256</v>
      </c>
      <c r="D11966" s="132" t="n">
        <v>46810</v>
      </c>
      <c r="E11966" s="131" t="s">
        <v>36</v>
      </c>
      <c r="F11966" s="133" t="s">
        <v>11</v>
      </c>
      <c r="G11966" s="134" t="n">
        <f aca="false">LEN('Saisie programme'!$J$412)+SUMIFS('Vols additionnels'!$E$7:$E$66,'Vols additionnels'!$C$7:$C$66,$E11966,'Vols additionnels'!$D$7:$D$66,$F11966,'Vols additionnels'!$B$7:$B$66,$D11966)</f>
        <v>0</v>
      </c>
      <c r="H11966" s="135" t="n">
        <f aca="false">$G11966*'Analyse capacite'!$F$7</f>
        <v>0</v>
      </c>
      <c r="I11966" s="135" t="n">
        <f aca="false">$G11966*'Analyse capacite'!$C$7</f>
        <v>0</v>
      </c>
      <c r="J11966" s="135" t="n">
        <f aca="false">$G11966*'Analyse capacite'!$D$7</f>
        <v>0</v>
      </c>
      <c r="K11966" s="135" t="n">
        <f aca="false">$G11966*'Analyse capacite'!$E$7</f>
        <v>0</v>
      </c>
    </row>
    <row r="11967" customFormat="false" ht="15" hidden="false" customHeight="false" outlineLevel="0" collapsed="false">
      <c r="B11967" s="130" t="n">
        <v>2028</v>
      </c>
      <c r="C11967" s="131" t="s">
        <v>256</v>
      </c>
      <c r="D11967" s="132" t="n">
        <v>46810</v>
      </c>
      <c r="E11967" s="131" t="s">
        <v>36</v>
      </c>
      <c r="F11967" s="133" t="s">
        <v>19</v>
      </c>
      <c r="G11967" s="134" t="n">
        <f aca="false">LEN('Saisie programme'!$J$413)+SUMIFS('Vols additionnels'!$E$7:$E$66,'Vols additionnels'!$C$7:$C$66,$E11967,'Vols additionnels'!$D$7:$D$66,$F11967,'Vols additionnels'!$B$7:$B$66,$D11967)</f>
        <v>0</v>
      </c>
      <c r="H11967" s="135" t="n">
        <f aca="false">$G11967*'Analyse capacite'!$F$8</f>
        <v>0</v>
      </c>
      <c r="I11967" s="135" t="n">
        <f aca="false">$G11967*'Analyse capacite'!$C$8</f>
        <v>0</v>
      </c>
      <c r="J11967" s="135" t="n">
        <f aca="false">$G11967*'Analyse capacite'!$D$8</f>
        <v>0</v>
      </c>
      <c r="K11967" s="135" t="n">
        <f aca="false">$G11967*'Analyse capacite'!$E$8</f>
        <v>0</v>
      </c>
    </row>
    <row r="11968" customFormat="false" ht="15" hidden="false" customHeight="false" outlineLevel="0" collapsed="false">
      <c r="B11968" s="130" t="n">
        <v>2028</v>
      </c>
      <c r="C11968" s="131" t="s">
        <v>256</v>
      </c>
      <c r="D11968" s="132" t="n">
        <v>46810</v>
      </c>
      <c r="E11968" s="131" t="s">
        <v>36</v>
      </c>
      <c r="F11968" s="133" t="s">
        <v>24</v>
      </c>
      <c r="G11968" s="134" t="n">
        <f aca="false">LEN('Saisie programme'!$J$414)+SUMIFS('Vols additionnels'!$E$7:$E$66,'Vols additionnels'!$C$7:$C$66,$E11968,'Vols additionnels'!$D$7:$D$66,$F11968,'Vols additionnels'!$B$7:$B$66,$D11968)</f>
        <v>0</v>
      </c>
      <c r="H11968" s="135" t="n">
        <f aca="false">$G11968*'Analyse capacite'!$F$9</f>
        <v>0</v>
      </c>
      <c r="I11968" s="135" t="n">
        <f aca="false">$G11968*'Analyse capacite'!$C$9</f>
        <v>0</v>
      </c>
      <c r="J11968" s="135" t="n">
        <f aca="false">$G11968*'Analyse capacite'!$D$9</f>
        <v>0</v>
      </c>
      <c r="K11968" s="135" t="n">
        <f aca="false">$G11968*'Analyse capacite'!$E$9</f>
        <v>0</v>
      </c>
    </row>
    <row r="11969" customFormat="false" ht="15" hidden="false" customHeight="false" outlineLevel="0" collapsed="false">
      <c r="B11969" s="130" t="n">
        <v>2028</v>
      </c>
      <c r="C11969" s="131" t="s">
        <v>256</v>
      </c>
      <c r="D11969" s="132" t="n">
        <v>46810</v>
      </c>
      <c r="E11969" s="131" t="s">
        <v>40</v>
      </c>
      <c r="F11969" s="133" t="s">
        <v>11</v>
      </c>
      <c r="G11969" s="134" t="n">
        <f aca="false">LEN('Saisie programme'!$J$415)+SUMIFS('Vols additionnels'!$E$7:$E$66,'Vols additionnels'!$C$7:$C$66,$E11969,'Vols additionnels'!$D$7:$D$66,$F11969,'Vols additionnels'!$B$7:$B$66,$D11969)</f>
        <v>0</v>
      </c>
      <c r="H11969" s="135" t="n">
        <f aca="false">$G11969*'Analyse capacite'!$F$7</f>
        <v>0</v>
      </c>
      <c r="I11969" s="135" t="n">
        <f aca="false">$G11969*'Analyse capacite'!$C$7</f>
        <v>0</v>
      </c>
      <c r="J11969" s="135" t="n">
        <f aca="false">$G11969*'Analyse capacite'!$D$7</f>
        <v>0</v>
      </c>
      <c r="K11969" s="135" t="n">
        <f aca="false">$G11969*'Analyse capacite'!$E$7</f>
        <v>0</v>
      </c>
    </row>
    <row r="11970" customFormat="false" ht="15" hidden="false" customHeight="false" outlineLevel="0" collapsed="false">
      <c r="B11970" s="130" t="n">
        <v>2028</v>
      </c>
      <c r="C11970" s="131" t="s">
        <v>256</v>
      </c>
      <c r="D11970" s="132" t="n">
        <v>46810</v>
      </c>
      <c r="E11970" s="131" t="s">
        <v>40</v>
      </c>
      <c r="F11970" s="133" t="s">
        <v>19</v>
      </c>
      <c r="G11970" s="134" t="n">
        <f aca="false">LEN('Saisie programme'!$J$416)+SUMIFS('Vols additionnels'!$E$7:$E$66,'Vols additionnels'!$C$7:$C$66,$E11970,'Vols additionnels'!$D$7:$D$66,$F11970,'Vols additionnels'!$B$7:$B$66,$D11970)</f>
        <v>0</v>
      </c>
      <c r="H11970" s="135" t="n">
        <f aca="false">$G11970*'Analyse capacite'!$F$8</f>
        <v>0</v>
      </c>
      <c r="I11970" s="135" t="n">
        <f aca="false">$G11970*'Analyse capacite'!$C$8</f>
        <v>0</v>
      </c>
      <c r="J11970" s="135" t="n">
        <f aca="false">$G11970*'Analyse capacite'!$D$8</f>
        <v>0</v>
      </c>
      <c r="K11970" s="135" t="n">
        <f aca="false">$G11970*'Analyse capacite'!$E$8</f>
        <v>0</v>
      </c>
    </row>
    <row r="11971" customFormat="false" ht="15" hidden="false" customHeight="false" outlineLevel="0" collapsed="false">
      <c r="B11971" s="130" t="n">
        <v>2028</v>
      </c>
      <c r="C11971" s="131" t="s">
        <v>256</v>
      </c>
      <c r="D11971" s="132" t="n">
        <v>46810</v>
      </c>
      <c r="E11971" s="131" t="s">
        <v>40</v>
      </c>
      <c r="F11971" s="133" t="s">
        <v>24</v>
      </c>
      <c r="G11971" s="134" t="n">
        <f aca="false">LEN('Saisie programme'!$J$417)+SUMIFS('Vols additionnels'!$E$7:$E$66,'Vols additionnels'!$C$7:$C$66,$E11971,'Vols additionnels'!$D$7:$D$66,$F11971,'Vols additionnels'!$B$7:$B$66,$D11971)</f>
        <v>1</v>
      </c>
      <c r="H11971" s="135" t="n">
        <f aca="false">$G11971*'Analyse capacite'!$F$9</f>
        <v>174</v>
      </c>
      <c r="I11971" s="135" t="n">
        <f aca="false">$G11971*'Analyse capacite'!$C$9</f>
        <v>0</v>
      </c>
      <c r="J11971" s="135" t="n">
        <f aca="false">$G11971*'Analyse capacite'!$D$9</f>
        <v>12</v>
      </c>
      <c r="K11971" s="135" t="n">
        <f aca="false">$G11971*'Analyse capacite'!$E$9</f>
        <v>162</v>
      </c>
    </row>
    <row r="11972" customFormat="false" ht="15" hidden="false" customHeight="false" outlineLevel="0" collapsed="false">
      <c r="B11972" s="130" t="n">
        <v>2028</v>
      </c>
      <c r="C11972" s="131" t="s">
        <v>256</v>
      </c>
      <c r="D11972" s="132" t="n">
        <v>46810</v>
      </c>
      <c r="E11972" s="131" t="s">
        <v>14</v>
      </c>
      <c r="F11972" s="133" t="s">
        <v>11</v>
      </c>
      <c r="G11972" s="134" t="n">
        <f aca="false">LEN('Saisie programme'!$J$418)+SUMIFS('Vols additionnels'!$E$7:$E$66,'Vols additionnels'!$C$7:$C$66,$E11972,'Vols additionnels'!$D$7:$D$66,$F11972,'Vols additionnels'!$B$7:$B$66,$D11972)</f>
        <v>0</v>
      </c>
      <c r="H11972" s="135" t="n">
        <f aca="false">$G11972*'Analyse capacite'!$F$7</f>
        <v>0</v>
      </c>
      <c r="I11972" s="135" t="n">
        <f aca="false">$G11972*'Analyse capacite'!$C$7</f>
        <v>0</v>
      </c>
      <c r="J11972" s="135" t="n">
        <f aca="false">$G11972*'Analyse capacite'!$D$7</f>
        <v>0</v>
      </c>
      <c r="K11972" s="135" t="n">
        <f aca="false">$G11972*'Analyse capacite'!$E$7</f>
        <v>0</v>
      </c>
    </row>
    <row r="11973" customFormat="false" ht="15" hidden="false" customHeight="false" outlineLevel="0" collapsed="false">
      <c r="B11973" s="130" t="n">
        <v>2028</v>
      </c>
      <c r="C11973" s="131" t="s">
        <v>256</v>
      </c>
      <c r="D11973" s="132" t="n">
        <v>46810</v>
      </c>
      <c r="E11973" s="131" t="s">
        <v>14</v>
      </c>
      <c r="F11973" s="133" t="s">
        <v>19</v>
      </c>
      <c r="G11973" s="134" t="n">
        <f aca="false">LEN('Saisie programme'!$J$419)+SUMIFS('Vols additionnels'!$E$7:$E$66,'Vols additionnels'!$C$7:$C$66,$E11973,'Vols additionnels'!$D$7:$D$66,$F11973,'Vols additionnels'!$B$7:$B$66,$D11973)</f>
        <v>0</v>
      </c>
      <c r="H11973" s="135" t="n">
        <f aca="false">$G11973*'Analyse capacite'!$F$8</f>
        <v>0</v>
      </c>
      <c r="I11973" s="135" t="n">
        <f aca="false">$G11973*'Analyse capacite'!$C$8</f>
        <v>0</v>
      </c>
      <c r="J11973" s="135" t="n">
        <f aca="false">$G11973*'Analyse capacite'!$D$8</f>
        <v>0</v>
      </c>
      <c r="K11973" s="135" t="n">
        <f aca="false">$G11973*'Analyse capacite'!$E$8</f>
        <v>0</v>
      </c>
    </row>
    <row r="11974" customFormat="false" ht="15" hidden="false" customHeight="false" outlineLevel="0" collapsed="false">
      <c r="B11974" s="130" t="n">
        <v>2028</v>
      </c>
      <c r="C11974" s="131" t="s">
        <v>256</v>
      </c>
      <c r="D11974" s="132" t="n">
        <v>46810</v>
      </c>
      <c r="E11974" s="131" t="s">
        <v>14</v>
      </c>
      <c r="F11974" s="133" t="s">
        <v>24</v>
      </c>
      <c r="G11974" s="134" t="n">
        <f aca="false">LEN('Saisie programme'!$J$420)+SUMIFS('Vols additionnels'!$E$7:$E$66,'Vols additionnels'!$C$7:$C$66,$E11974,'Vols additionnels'!$D$7:$D$66,$F11974,'Vols additionnels'!$B$7:$B$66,$D11974)</f>
        <v>0</v>
      </c>
      <c r="H11974" s="135" t="n">
        <f aca="false">$G11974*'Analyse capacite'!$F$9</f>
        <v>0</v>
      </c>
      <c r="I11974" s="135" t="n">
        <f aca="false">$G11974*'Analyse capacite'!$C$9</f>
        <v>0</v>
      </c>
      <c r="J11974" s="135" t="n">
        <f aca="false">$G11974*'Analyse capacite'!$D$9</f>
        <v>0</v>
      </c>
      <c r="K11974" s="135" t="n">
        <f aca="false">$G11974*'Analyse capacite'!$E$9</f>
        <v>0</v>
      </c>
    </row>
    <row r="11975" customFormat="false" ht="15" hidden="false" customHeight="false" outlineLevel="0" collapsed="false">
      <c r="B11975" s="130" t="n">
        <v>2028</v>
      </c>
      <c r="C11975" s="131" t="s">
        <v>256</v>
      </c>
      <c r="D11975" s="132" t="n">
        <v>46810</v>
      </c>
      <c r="E11975" s="131" t="s">
        <v>46</v>
      </c>
      <c r="F11975" s="133" t="s">
        <v>11</v>
      </c>
      <c r="G11975" s="134" t="n">
        <f aca="false">LEN('Saisie programme'!$J$421)+SUMIFS('Vols additionnels'!$E$7:$E$66,'Vols additionnels'!$C$7:$C$66,$E11975,'Vols additionnels'!$D$7:$D$66,$F11975,'Vols additionnels'!$B$7:$B$66,$D11975)</f>
        <v>0</v>
      </c>
      <c r="H11975" s="135" t="n">
        <f aca="false">$G11975*'Analyse capacite'!$F$7</f>
        <v>0</v>
      </c>
      <c r="I11975" s="135" t="n">
        <f aca="false">$G11975*'Analyse capacite'!$C$7</f>
        <v>0</v>
      </c>
      <c r="J11975" s="135" t="n">
        <f aca="false">$G11975*'Analyse capacite'!$D$7</f>
        <v>0</v>
      </c>
      <c r="K11975" s="135" t="n">
        <f aca="false">$G11975*'Analyse capacite'!$E$7</f>
        <v>0</v>
      </c>
    </row>
    <row r="11976" customFormat="false" ht="15" hidden="false" customHeight="false" outlineLevel="0" collapsed="false">
      <c r="B11976" s="130" t="n">
        <v>2028</v>
      </c>
      <c r="C11976" s="131" t="s">
        <v>256</v>
      </c>
      <c r="D11976" s="132" t="n">
        <v>46810</v>
      </c>
      <c r="E11976" s="131" t="s">
        <v>46</v>
      </c>
      <c r="F11976" s="133" t="s">
        <v>19</v>
      </c>
      <c r="G11976" s="134" t="n">
        <f aca="false">LEN('Saisie programme'!$J$422)+SUMIFS('Vols additionnels'!$E$7:$E$66,'Vols additionnels'!$C$7:$C$66,$E11976,'Vols additionnels'!$D$7:$D$66,$F11976,'Vols additionnels'!$B$7:$B$66,$D11976)</f>
        <v>0</v>
      </c>
      <c r="H11976" s="135" t="n">
        <f aca="false">$G11976*'Analyse capacite'!$F$8</f>
        <v>0</v>
      </c>
      <c r="I11976" s="135" t="n">
        <f aca="false">$G11976*'Analyse capacite'!$C$8</f>
        <v>0</v>
      </c>
      <c r="J11976" s="135" t="n">
        <f aca="false">$G11976*'Analyse capacite'!$D$8</f>
        <v>0</v>
      </c>
      <c r="K11976" s="135" t="n">
        <f aca="false">$G11976*'Analyse capacite'!$E$8</f>
        <v>0</v>
      </c>
    </row>
    <row r="11977" customFormat="false" ht="15" hidden="false" customHeight="false" outlineLevel="0" collapsed="false">
      <c r="B11977" s="130" t="n">
        <v>2028</v>
      </c>
      <c r="C11977" s="131" t="s">
        <v>256</v>
      </c>
      <c r="D11977" s="132" t="n">
        <v>46810</v>
      </c>
      <c r="E11977" s="131" t="s">
        <v>46</v>
      </c>
      <c r="F11977" s="133" t="s">
        <v>24</v>
      </c>
      <c r="G11977" s="134" t="n">
        <f aca="false">LEN('Saisie programme'!$J$423)+SUMIFS('Vols additionnels'!$E$7:$E$66,'Vols additionnels'!$C$7:$C$66,$E11977,'Vols additionnels'!$D$7:$D$66,$F11977,'Vols additionnels'!$B$7:$B$66,$D11977)</f>
        <v>0</v>
      </c>
      <c r="H11977" s="135" t="n">
        <f aca="false">$G11977*'Analyse capacite'!$F$9</f>
        <v>0</v>
      </c>
      <c r="I11977" s="135" t="n">
        <f aca="false">$G11977*'Analyse capacite'!$C$9</f>
        <v>0</v>
      </c>
      <c r="J11977" s="135" t="n">
        <f aca="false">$G11977*'Analyse capacite'!$D$9</f>
        <v>0</v>
      </c>
      <c r="K11977" s="135" t="n">
        <f aca="false">$G11977*'Analyse capacite'!$E$9</f>
        <v>0</v>
      </c>
    </row>
    <row r="11978" customFormat="false" ht="15" hidden="false" customHeight="false" outlineLevel="0" collapsed="false">
      <c r="B11978" s="130" t="n">
        <v>2028</v>
      </c>
      <c r="C11978" s="131" t="s">
        <v>256</v>
      </c>
      <c r="D11978" s="132" t="n">
        <v>46810</v>
      </c>
      <c r="E11978" s="131" t="s">
        <v>49</v>
      </c>
      <c r="F11978" s="133" t="s">
        <v>11</v>
      </c>
      <c r="G11978" s="134" t="n">
        <f aca="false">LEN('Saisie programme'!$J$424)+SUMIFS('Vols additionnels'!$E$7:$E$66,'Vols additionnels'!$C$7:$C$66,$E11978,'Vols additionnels'!$D$7:$D$66,$F11978,'Vols additionnels'!$B$7:$B$66,$D11978)</f>
        <v>0</v>
      </c>
      <c r="H11978" s="135" t="n">
        <f aca="false">$G11978*'Analyse capacite'!$F$7</f>
        <v>0</v>
      </c>
      <c r="I11978" s="135" t="n">
        <f aca="false">$G11978*'Analyse capacite'!$C$7</f>
        <v>0</v>
      </c>
      <c r="J11978" s="135" t="n">
        <f aca="false">$G11978*'Analyse capacite'!$D$7</f>
        <v>0</v>
      </c>
      <c r="K11978" s="135" t="n">
        <f aca="false">$G11978*'Analyse capacite'!$E$7</f>
        <v>0</v>
      </c>
    </row>
    <row r="11979" customFormat="false" ht="15" hidden="false" customHeight="false" outlineLevel="0" collapsed="false">
      <c r="B11979" s="130" t="n">
        <v>2028</v>
      </c>
      <c r="C11979" s="131" t="s">
        <v>256</v>
      </c>
      <c r="D11979" s="132" t="n">
        <v>46810</v>
      </c>
      <c r="E11979" s="131" t="s">
        <v>49</v>
      </c>
      <c r="F11979" s="133" t="s">
        <v>19</v>
      </c>
      <c r="G11979" s="134" t="n">
        <f aca="false">LEN('Saisie programme'!$J$425)+SUMIFS('Vols additionnels'!$E$7:$E$66,'Vols additionnels'!$C$7:$C$66,$E11979,'Vols additionnels'!$D$7:$D$66,$F11979,'Vols additionnels'!$B$7:$B$66,$D11979)</f>
        <v>0</v>
      </c>
      <c r="H11979" s="135" t="n">
        <f aca="false">$G11979*'Analyse capacite'!$F$8</f>
        <v>0</v>
      </c>
      <c r="I11979" s="135" t="n">
        <f aca="false">$G11979*'Analyse capacite'!$C$8</f>
        <v>0</v>
      </c>
      <c r="J11979" s="135" t="n">
        <f aca="false">$G11979*'Analyse capacite'!$D$8</f>
        <v>0</v>
      </c>
      <c r="K11979" s="135" t="n">
        <f aca="false">$G11979*'Analyse capacite'!$E$8</f>
        <v>0</v>
      </c>
    </row>
    <row r="11980" customFormat="false" ht="15" hidden="false" customHeight="false" outlineLevel="0" collapsed="false">
      <c r="B11980" s="130" t="n">
        <v>2028</v>
      </c>
      <c r="C11980" s="131" t="s">
        <v>256</v>
      </c>
      <c r="D11980" s="132" t="n">
        <v>46810</v>
      </c>
      <c r="E11980" s="131" t="s">
        <v>49</v>
      </c>
      <c r="F11980" s="133" t="s">
        <v>24</v>
      </c>
      <c r="G11980" s="134" t="n">
        <f aca="false">LEN('Saisie programme'!$J$426)+SUMIFS('Vols additionnels'!$E$7:$E$66,'Vols additionnels'!$C$7:$C$66,$E11980,'Vols additionnels'!$D$7:$D$66,$F11980,'Vols additionnels'!$B$7:$B$66,$D11980)</f>
        <v>0</v>
      </c>
      <c r="H11980" s="135" t="n">
        <f aca="false">$G11980*'Analyse capacite'!$F$9</f>
        <v>0</v>
      </c>
      <c r="I11980" s="135" t="n">
        <f aca="false">$G11980*'Analyse capacite'!$C$9</f>
        <v>0</v>
      </c>
      <c r="J11980" s="135" t="n">
        <f aca="false">$G11980*'Analyse capacite'!$D$9</f>
        <v>0</v>
      </c>
      <c r="K11980" s="135" t="n">
        <f aca="false">$G11980*'Analyse capacite'!$E$9</f>
        <v>0</v>
      </c>
    </row>
    <row r="11981" customFormat="false" ht="15" hidden="false" customHeight="false" outlineLevel="0" collapsed="false">
      <c r="B11981" s="130" t="n">
        <v>2028</v>
      </c>
      <c r="C11981" s="131" t="s">
        <v>256</v>
      </c>
      <c r="D11981" s="132" t="n">
        <v>46810</v>
      </c>
      <c r="E11981" s="131" t="s">
        <v>53</v>
      </c>
      <c r="F11981" s="133" t="s">
        <v>11</v>
      </c>
      <c r="G11981" s="134" t="n">
        <f aca="false">LEN('Saisie programme'!$J$427)+SUMIFS('Vols additionnels'!$E$7:$E$66,'Vols additionnels'!$C$7:$C$66,$E11981,'Vols additionnels'!$D$7:$D$66,$F11981,'Vols additionnels'!$B$7:$B$66,$D11981)</f>
        <v>0</v>
      </c>
      <c r="H11981" s="135" t="n">
        <f aca="false">$G11981*'Analyse capacite'!$F$7</f>
        <v>0</v>
      </c>
      <c r="I11981" s="135" t="n">
        <f aca="false">$G11981*'Analyse capacite'!$C$7</f>
        <v>0</v>
      </c>
      <c r="J11981" s="135" t="n">
        <f aca="false">$G11981*'Analyse capacite'!$D$7</f>
        <v>0</v>
      </c>
      <c r="K11981" s="135" t="n">
        <f aca="false">$G11981*'Analyse capacite'!$E$7</f>
        <v>0</v>
      </c>
    </row>
    <row r="11982" customFormat="false" ht="15" hidden="false" customHeight="false" outlineLevel="0" collapsed="false">
      <c r="B11982" s="130" t="n">
        <v>2028</v>
      </c>
      <c r="C11982" s="131" t="s">
        <v>256</v>
      </c>
      <c r="D11982" s="132" t="n">
        <v>46810</v>
      </c>
      <c r="E11982" s="131" t="s">
        <v>53</v>
      </c>
      <c r="F11982" s="133" t="s">
        <v>19</v>
      </c>
      <c r="G11982" s="134" t="n">
        <f aca="false">LEN('Saisie programme'!$J$428)+SUMIFS('Vols additionnels'!$E$7:$E$66,'Vols additionnels'!$C$7:$C$66,$E11982,'Vols additionnels'!$D$7:$D$66,$F11982,'Vols additionnels'!$B$7:$B$66,$D11982)</f>
        <v>0</v>
      </c>
      <c r="H11982" s="135" t="n">
        <f aca="false">$G11982*'Analyse capacite'!$F$8</f>
        <v>0</v>
      </c>
      <c r="I11982" s="135" t="n">
        <f aca="false">$G11982*'Analyse capacite'!$C$8</f>
        <v>0</v>
      </c>
      <c r="J11982" s="135" t="n">
        <f aca="false">$G11982*'Analyse capacite'!$D$8</f>
        <v>0</v>
      </c>
      <c r="K11982" s="135" t="n">
        <f aca="false">$G11982*'Analyse capacite'!$E$8</f>
        <v>0</v>
      </c>
    </row>
    <row r="11983" customFormat="false" ht="15" hidden="false" customHeight="false" outlineLevel="0" collapsed="false">
      <c r="B11983" s="130" t="n">
        <v>2028</v>
      </c>
      <c r="C11983" s="131" t="s">
        <v>256</v>
      </c>
      <c r="D11983" s="132" t="n">
        <v>46810</v>
      </c>
      <c r="E11983" s="131" t="s">
        <v>53</v>
      </c>
      <c r="F11983" s="133" t="s">
        <v>24</v>
      </c>
      <c r="G11983" s="134" t="n">
        <f aca="false">LEN('Saisie programme'!$J$429)+SUMIFS('Vols additionnels'!$E$7:$E$66,'Vols additionnels'!$C$7:$C$66,$E11983,'Vols additionnels'!$D$7:$D$66,$F11983,'Vols additionnels'!$B$7:$B$66,$D11983)</f>
        <v>0</v>
      </c>
      <c r="H11983" s="135" t="n">
        <f aca="false">$G11983*'Analyse capacite'!$F$9</f>
        <v>0</v>
      </c>
      <c r="I11983" s="135" t="n">
        <f aca="false">$G11983*'Analyse capacite'!$C$9</f>
        <v>0</v>
      </c>
      <c r="J11983" s="135" t="n">
        <f aca="false">$G11983*'Analyse capacite'!$D$9</f>
        <v>0</v>
      </c>
      <c r="K11983" s="135" t="n">
        <f aca="false">$G11983*'Analyse capacite'!$E$9</f>
        <v>0</v>
      </c>
    </row>
    <row r="11984" customFormat="false" ht="15" hidden="false" customHeight="false" outlineLevel="0" collapsed="false">
      <c r="B11984" s="130" t="n">
        <v>2028</v>
      </c>
      <c r="C11984" s="131" t="s">
        <v>256</v>
      </c>
      <c r="D11984" s="132" t="n">
        <v>46810</v>
      </c>
      <c r="E11984" s="131" t="s">
        <v>56</v>
      </c>
      <c r="F11984" s="133" t="s">
        <v>11</v>
      </c>
      <c r="G11984" s="134" t="n">
        <f aca="false">LEN('Saisie programme'!$J$430)+SUMIFS('Vols additionnels'!$E$7:$E$66,'Vols additionnels'!$C$7:$C$66,$E11984,'Vols additionnels'!$D$7:$D$66,$F11984,'Vols additionnels'!$B$7:$B$66,$D11984)</f>
        <v>0</v>
      </c>
      <c r="H11984" s="135" t="n">
        <f aca="false">$G11984*'Analyse capacite'!$F$7</f>
        <v>0</v>
      </c>
      <c r="I11984" s="135" t="n">
        <f aca="false">$G11984*'Analyse capacite'!$C$7</f>
        <v>0</v>
      </c>
      <c r="J11984" s="135" t="n">
        <f aca="false">$G11984*'Analyse capacite'!$D$7</f>
        <v>0</v>
      </c>
      <c r="K11984" s="135" t="n">
        <f aca="false">$G11984*'Analyse capacite'!$E$7</f>
        <v>0</v>
      </c>
    </row>
    <row r="11985" customFormat="false" ht="15" hidden="false" customHeight="false" outlineLevel="0" collapsed="false">
      <c r="B11985" s="130" t="n">
        <v>2028</v>
      </c>
      <c r="C11985" s="131" t="s">
        <v>256</v>
      </c>
      <c r="D11985" s="132" t="n">
        <v>46810</v>
      </c>
      <c r="E11985" s="131" t="s">
        <v>56</v>
      </c>
      <c r="F11985" s="133" t="s">
        <v>19</v>
      </c>
      <c r="G11985" s="134" t="n">
        <f aca="false">LEN('Saisie programme'!$J$431)+SUMIFS('Vols additionnels'!$E$7:$E$66,'Vols additionnels'!$C$7:$C$66,$E11985,'Vols additionnels'!$D$7:$D$66,$F11985,'Vols additionnels'!$B$7:$B$66,$D11985)</f>
        <v>0</v>
      </c>
      <c r="H11985" s="135" t="n">
        <f aca="false">$G11985*'Analyse capacite'!$F$8</f>
        <v>0</v>
      </c>
      <c r="I11985" s="135" t="n">
        <f aca="false">$G11985*'Analyse capacite'!$C$8</f>
        <v>0</v>
      </c>
      <c r="J11985" s="135" t="n">
        <f aca="false">$G11985*'Analyse capacite'!$D$8</f>
        <v>0</v>
      </c>
      <c r="K11985" s="135" t="n">
        <f aca="false">$G11985*'Analyse capacite'!$E$8</f>
        <v>0</v>
      </c>
    </row>
    <row r="11986" customFormat="false" ht="15" hidden="false" customHeight="false" outlineLevel="0" collapsed="false">
      <c r="B11986" s="130" t="n">
        <v>2028</v>
      </c>
      <c r="C11986" s="131" t="s">
        <v>256</v>
      </c>
      <c r="D11986" s="132" t="n">
        <v>46810</v>
      </c>
      <c r="E11986" s="131" t="s">
        <v>56</v>
      </c>
      <c r="F11986" s="133" t="s">
        <v>24</v>
      </c>
      <c r="G11986" s="134" t="n">
        <f aca="false">LEN('Saisie programme'!$J$432)+SUMIFS('Vols additionnels'!$E$7:$E$66,'Vols additionnels'!$C$7:$C$66,$E11986,'Vols additionnels'!$D$7:$D$66,$F11986,'Vols additionnels'!$B$7:$B$66,$D11986)</f>
        <v>0</v>
      </c>
      <c r="H11986" s="135" t="n">
        <f aca="false">$G11986*'Analyse capacite'!$F$9</f>
        <v>0</v>
      </c>
      <c r="I11986" s="135" t="n">
        <f aca="false">$G11986*'Analyse capacite'!$C$9</f>
        <v>0</v>
      </c>
      <c r="J11986" s="135" t="n">
        <f aca="false">$G11986*'Analyse capacite'!$D$9</f>
        <v>0</v>
      </c>
      <c r="K11986" s="135" t="n">
        <f aca="false">$G11986*'Analyse capacite'!$E$9</f>
        <v>0</v>
      </c>
    </row>
    <row r="11987" customFormat="false" ht="15" hidden="false" customHeight="false" outlineLevel="0" collapsed="false">
      <c r="B11987" s="130" t="n">
        <v>2028</v>
      </c>
      <c r="C11987" s="131" t="s">
        <v>256</v>
      </c>
      <c r="D11987" s="132" t="n">
        <v>46810</v>
      </c>
      <c r="E11987" s="131" t="s">
        <v>59</v>
      </c>
      <c r="F11987" s="133" t="s">
        <v>11</v>
      </c>
      <c r="G11987" s="134" t="n">
        <f aca="false">LEN('Saisie programme'!$J$433)+SUMIFS('Vols additionnels'!$E$7:$E$66,'Vols additionnels'!$C$7:$C$66,$E11987,'Vols additionnels'!$D$7:$D$66,$F11987,'Vols additionnels'!$B$7:$B$66,$D11987)</f>
        <v>0</v>
      </c>
      <c r="H11987" s="135" t="n">
        <f aca="false">$G11987*'Analyse capacite'!$F$7</f>
        <v>0</v>
      </c>
      <c r="I11987" s="135" t="n">
        <f aca="false">$G11987*'Analyse capacite'!$C$7</f>
        <v>0</v>
      </c>
      <c r="J11987" s="135" t="n">
        <f aca="false">$G11987*'Analyse capacite'!$D$7</f>
        <v>0</v>
      </c>
      <c r="K11987" s="135" t="n">
        <f aca="false">$G11987*'Analyse capacite'!$E$7</f>
        <v>0</v>
      </c>
    </row>
    <row r="11988" customFormat="false" ht="15" hidden="false" customHeight="false" outlineLevel="0" collapsed="false">
      <c r="B11988" s="130" t="n">
        <v>2028</v>
      </c>
      <c r="C11988" s="131" t="s">
        <v>256</v>
      </c>
      <c r="D11988" s="132" t="n">
        <v>46810</v>
      </c>
      <c r="E11988" s="131" t="s">
        <v>59</v>
      </c>
      <c r="F11988" s="133" t="s">
        <v>19</v>
      </c>
      <c r="G11988" s="134" t="n">
        <f aca="false">LEN('Saisie programme'!$J$434)+SUMIFS('Vols additionnels'!$E$7:$E$66,'Vols additionnels'!$C$7:$C$66,$E11988,'Vols additionnels'!$D$7:$D$66,$F11988,'Vols additionnels'!$B$7:$B$66,$D11988)</f>
        <v>0</v>
      </c>
      <c r="H11988" s="135" t="n">
        <f aca="false">$G11988*'Analyse capacite'!$F$8</f>
        <v>0</v>
      </c>
      <c r="I11988" s="135" t="n">
        <f aca="false">$G11988*'Analyse capacite'!$C$8</f>
        <v>0</v>
      </c>
      <c r="J11988" s="135" t="n">
        <f aca="false">$G11988*'Analyse capacite'!$D$8</f>
        <v>0</v>
      </c>
      <c r="K11988" s="135" t="n">
        <f aca="false">$G11988*'Analyse capacite'!$E$8</f>
        <v>0</v>
      </c>
    </row>
    <row r="11989" customFormat="false" ht="15" hidden="false" customHeight="false" outlineLevel="0" collapsed="false">
      <c r="B11989" s="130" t="n">
        <v>2028</v>
      </c>
      <c r="C11989" s="131" t="s">
        <v>256</v>
      </c>
      <c r="D11989" s="132" t="n">
        <v>46810</v>
      </c>
      <c r="E11989" s="131" t="s">
        <v>59</v>
      </c>
      <c r="F11989" s="133" t="s">
        <v>24</v>
      </c>
      <c r="G11989" s="134" t="n">
        <f aca="false">LEN('Saisie programme'!$J$435)+SUMIFS('Vols additionnels'!$E$7:$E$66,'Vols additionnels'!$C$7:$C$66,$E11989,'Vols additionnels'!$D$7:$D$66,$F11989,'Vols additionnels'!$B$7:$B$66,$D11989)</f>
        <v>0</v>
      </c>
      <c r="H11989" s="135" t="n">
        <f aca="false">$G11989*'Analyse capacite'!$F$9</f>
        <v>0</v>
      </c>
      <c r="I11989" s="135" t="n">
        <f aca="false">$G11989*'Analyse capacite'!$C$9</f>
        <v>0</v>
      </c>
      <c r="J11989" s="135" t="n">
        <f aca="false">$G11989*'Analyse capacite'!$D$9</f>
        <v>0</v>
      </c>
      <c r="K11989" s="135" t="n">
        <f aca="false">$G11989*'Analyse capacite'!$E$9</f>
        <v>0</v>
      </c>
    </row>
    <row r="11990" customFormat="false" ht="15" hidden="false" customHeight="false" outlineLevel="0" collapsed="false">
      <c r="B11990" s="130" t="n">
        <v>2028</v>
      </c>
      <c r="C11990" s="131" t="s">
        <v>256</v>
      </c>
      <c r="D11990" s="132" t="n">
        <v>46810</v>
      </c>
      <c r="E11990" s="131" t="s">
        <v>62</v>
      </c>
      <c r="F11990" s="133" t="s">
        <v>11</v>
      </c>
      <c r="G11990" s="134" t="n">
        <f aca="false">LEN('Saisie programme'!$J$436)+SUMIFS('Vols additionnels'!$E$7:$E$66,'Vols additionnels'!$C$7:$C$66,$E11990,'Vols additionnels'!$D$7:$D$66,$F11990,'Vols additionnels'!$B$7:$B$66,$D11990)</f>
        <v>0</v>
      </c>
      <c r="H11990" s="135" t="n">
        <f aca="false">$G11990*'Analyse capacite'!$F$7</f>
        <v>0</v>
      </c>
      <c r="I11990" s="135" t="n">
        <f aca="false">$G11990*'Analyse capacite'!$C$7</f>
        <v>0</v>
      </c>
      <c r="J11990" s="135" t="n">
        <f aca="false">$G11990*'Analyse capacite'!$D$7</f>
        <v>0</v>
      </c>
      <c r="K11990" s="135" t="n">
        <f aca="false">$G11990*'Analyse capacite'!$E$7</f>
        <v>0</v>
      </c>
    </row>
    <row r="11991" customFormat="false" ht="15" hidden="false" customHeight="false" outlineLevel="0" collapsed="false">
      <c r="B11991" s="130" t="n">
        <v>2028</v>
      </c>
      <c r="C11991" s="131" t="s">
        <v>256</v>
      </c>
      <c r="D11991" s="132" t="n">
        <v>46810</v>
      </c>
      <c r="E11991" s="131" t="s">
        <v>62</v>
      </c>
      <c r="F11991" s="133" t="s">
        <v>19</v>
      </c>
      <c r="G11991" s="134" t="n">
        <f aca="false">LEN('Saisie programme'!$J$437)+SUMIFS('Vols additionnels'!$E$7:$E$66,'Vols additionnels'!$C$7:$C$66,$E11991,'Vols additionnels'!$D$7:$D$66,$F11991,'Vols additionnels'!$B$7:$B$66,$D11991)</f>
        <v>0</v>
      </c>
      <c r="H11991" s="135" t="n">
        <f aca="false">$G11991*'Analyse capacite'!$F$8</f>
        <v>0</v>
      </c>
      <c r="I11991" s="135" t="n">
        <f aca="false">$G11991*'Analyse capacite'!$C$8</f>
        <v>0</v>
      </c>
      <c r="J11991" s="135" t="n">
        <f aca="false">$G11991*'Analyse capacite'!$D$8</f>
        <v>0</v>
      </c>
      <c r="K11991" s="135" t="n">
        <f aca="false">$G11991*'Analyse capacite'!$E$8</f>
        <v>0</v>
      </c>
    </row>
    <row r="11992" customFormat="false" ht="15" hidden="false" customHeight="false" outlineLevel="0" collapsed="false">
      <c r="B11992" s="130" t="n">
        <v>2028</v>
      </c>
      <c r="C11992" s="131" t="s">
        <v>256</v>
      </c>
      <c r="D11992" s="132" t="n">
        <v>46810</v>
      </c>
      <c r="E11992" s="131" t="s">
        <v>62</v>
      </c>
      <c r="F11992" s="133" t="s">
        <v>24</v>
      </c>
      <c r="G11992" s="134" t="n">
        <f aca="false">LEN('Saisie programme'!$J$438)+SUMIFS('Vols additionnels'!$E$7:$E$66,'Vols additionnels'!$C$7:$C$66,$E11992,'Vols additionnels'!$D$7:$D$66,$F11992,'Vols additionnels'!$B$7:$B$66,$D11992)</f>
        <v>1</v>
      </c>
      <c r="H11992" s="135" t="n">
        <f aca="false">$G11992*'Analyse capacite'!$F$9</f>
        <v>174</v>
      </c>
      <c r="I11992" s="135" t="n">
        <f aca="false">$G11992*'Analyse capacite'!$C$9</f>
        <v>0</v>
      </c>
      <c r="J11992" s="135" t="n">
        <f aca="false">$G11992*'Analyse capacite'!$D$9</f>
        <v>12</v>
      </c>
      <c r="K11992" s="135" t="n">
        <f aca="false">$G11992*'Analyse capacite'!$E$9</f>
        <v>162</v>
      </c>
    </row>
    <row r="11993" customFormat="false" ht="15" hidden="false" customHeight="false" outlineLevel="0" collapsed="false">
      <c r="B11993" s="130" t="n">
        <v>2028</v>
      </c>
      <c r="C11993" s="131" t="s">
        <v>256</v>
      </c>
      <c r="D11993" s="132" t="n">
        <v>46811</v>
      </c>
      <c r="E11993" s="131" t="s">
        <v>12</v>
      </c>
      <c r="F11993" s="133" t="s">
        <v>11</v>
      </c>
      <c r="G11993" s="134" t="n">
        <f aca="false">LEN('Saisie programme'!$D$403)+SUMIFS('Vols additionnels'!$E$7:$E$66,'Vols additionnels'!$C$7:$C$66,$E11993,'Vols additionnels'!$D$7:$D$66,$F11993,'Vols additionnels'!$B$7:$B$66,$D11993)</f>
        <v>1</v>
      </c>
      <c r="H11993" s="135" t="n">
        <f aca="false">$G11993*'Analyse capacite'!$F$7</f>
        <v>438</v>
      </c>
      <c r="I11993" s="135" t="n">
        <f aca="false">$G11993*'Analyse capacite'!$C$7</f>
        <v>14</v>
      </c>
      <c r="J11993" s="135" t="n">
        <f aca="false">$G11993*'Analyse capacite'!$D$7</f>
        <v>40</v>
      </c>
      <c r="K11993" s="135" t="n">
        <f aca="false">$G11993*'Analyse capacite'!$E$7</f>
        <v>384</v>
      </c>
    </row>
    <row r="11994" customFormat="false" ht="15" hidden="false" customHeight="false" outlineLevel="0" collapsed="false">
      <c r="B11994" s="130" t="n">
        <v>2028</v>
      </c>
      <c r="C11994" s="131" t="s">
        <v>256</v>
      </c>
      <c r="D11994" s="132" t="n">
        <v>46811</v>
      </c>
      <c r="E11994" s="131" t="s">
        <v>12</v>
      </c>
      <c r="F11994" s="133" t="s">
        <v>19</v>
      </c>
      <c r="G11994" s="134" t="n">
        <f aca="false">LEN('Saisie programme'!$D$404)+SUMIFS('Vols additionnels'!$E$7:$E$66,'Vols additionnels'!$C$7:$C$66,$E11994,'Vols additionnels'!$D$7:$D$66,$F11994,'Vols additionnels'!$B$7:$B$66,$D11994)</f>
        <v>1</v>
      </c>
      <c r="H11994" s="135" t="n">
        <f aca="false">$G11994*'Analyse capacite'!$F$8</f>
        <v>262</v>
      </c>
      <c r="I11994" s="135" t="n">
        <f aca="false">$G11994*'Analyse capacite'!$C$8</f>
        <v>18</v>
      </c>
      <c r="J11994" s="135" t="n">
        <f aca="false">$G11994*'Analyse capacite'!$D$8</f>
        <v>0</v>
      </c>
      <c r="K11994" s="135" t="n">
        <f aca="false">$G11994*'Analyse capacite'!$E$8</f>
        <v>244</v>
      </c>
    </row>
    <row r="11995" customFormat="false" ht="15" hidden="false" customHeight="false" outlineLevel="0" collapsed="false">
      <c r="B11995" s="130" t="n">
        <v>2028</v>
      </c>
      <c r="C11995" s="131" t="s">
        <v>256</v>
      </c>
      <c r="D11995" s="132" t="n">
        <v>46811</v>
      </c>
      <c r="E11995" s="131" t="s">
        <v>12</v>
      </c>
      <c r="F11995" s="133" t="s">
        <v>24</v>
      </c>
      <c r="G11995" s="134" t="n">
        <f aca="false">LEN('Saisie programme'!$D$405)+SUMIFS('Vols additionnels'!$E$7:$E$66,'Vols additionnels'!$C$7:$C$66,$E11995,'Vols additionnels'!$D$7:$D$66,$F11995,'Vols additionnels'!$B$7:$B$66,$D11995)</f>
        <v>2</v>
      </c>
      <c r="H11995" s="135" t="n">
        <f aca="false">$G11995*'Analyse capacite'!$F$9</f>
        <v>348</v>
      </c>
      <c r="I11995" s="135" t="n">
        <f aca="false">$G11995*'Analyse capacite'!$C$9</f>
        <v>0</v>
      </c>
      <c r="J11995" s="135" t="n">
        <f aca="false">$G11995*'Analyse capacite'!$D$9</f>
        <v>24</v>
      </c>
      <c r="K11995" s="135" t="n">
        <f aca="false">$G11995*'Analyse capacite'!$E$9</f>
        <v>324</v>
      </c>
    </row>
    <row r="11996" customFormat="false" ht="15" hidden="false" customHeight="false" outlineLevel="0" collapsed="false">
      <c r="B11996" s="130" t="n">
        <v>2028</v>
      </c>
      <c r="C11996" s="131" t="s">
        <v>256</v>
      </c>
      <c r="D11996" s="132" t="n">
        <v>46811</v>
      </c>
      <c r="E11996" s="131" t="s">
        <v>20</v>
      </c>
      <c r="F11996" s="133" t="s">
        <v>11</v>
      </c>
      <c r="G11996" s="134" t="n">
        <f aca="false">LEN('Saisie programme'!$D$406)+SUMIFS('Vols additionnels'!$E$7:$E$66,'Vols additionnels'!$C$7:$C$66,$E11996,'Vols additionnels'!$D$7:$D$66,$F11996,'Vols additionnels'!$B$7:$B$66,$D11996)</f>
        <v>0</v>
      </c>
      <c r="H11996" s="135" t="n">
        <f aca="false">$G11996*'Analyse capacite'!$F$7</f>
        <v>0</v>
      </c>
      <c r="I11996" s="135" t="n">
        <f aca="false">$G11996*'Analyse capacite'!$C$7</f>
        <v>0</v>
      </c>
      <c r="J11996" s="135" t="n">
        <f aca="false">$G11996*'Analyse capacite'!$D$7</f>
        <v>0</v>
      </c>
      <c r="K11996" s="135" t="n">
        <f aca="false">$G11996*'Analyse capacite'!$E$7</f>
        <v>0</v>
      </c>
    </row>
    <row r="11997" customFormat="false" ht="15" hidden="false" customHeight="false" outlineLevel="0" collapsed="false">
      <c r="B11997" s="130" t="n">
        <v>2028</v>
      </c>
      <c r="C11997" s="131" t="s">
        <v>256</v>
      </c>
      <c r="D11997" s="132" t="n">
        <v>46811</v>
      </c>
      <c r="E11997" s="131" t="s">
        <v>20</v>
      </c>
      <c r="F11997" s="133" t="s">
        <v>19</v>
      </c>
      <c r="G11997" s="134" t="n">
        <f aca="false">LEN('Saisie programme'!$D$407)+SUMIFS('Vols additionnels'!$E$7:$E$66,'Vols additionnels'!$C$7:$C$66,$E11997,'Vols additionnels'!$D$7:$D$66,$F11997,'Vols additionnels'!$B$7:$B$66,$D11997)</f>
        <v>0</v>
      </c>
      <c r="H11997" s="135" t="n">
        <f aca="false">$G11997*'Analyse capacite'!$F$8</f>
        <v>0</v>
      </c>
      <c r="I11997" s="135" t="n">
        <f aca="false">$G11997*'Analyse capacite'!$C$8</f>
        <v>0</v>
      </c>
      <c r="J11997" s="135" t="n">
        <f aca="false">$G11997*'Analyse capacite'!$D$8</f>
        <v>0</v>
      </c>
      <c r="K11997" s="135" t="n">
        <f aca="false">$G11997*'Analyse capacite'!$E$8</f>
        <v>0</v>
      </c>
    </row>
    <row r="11998" customFormat="false" ht="15" hidden="false" customHeight="false" outlineLevel="0" collapsed="false">
      <c r="B11998" s="130" t="n">
        <v>2028</v>
      </c>
      <c r="C11998" s="131" t="s">
        <v>256</v>
      </c>
      <c r="D11998" s="132" t="n">
        <v>46811</v>
      </c>
      <c r="E11998" s="131" t="s">
        <v>20</v>
      </c>
      <c r="F11998" s="133" t="s">
        <v>24</v>
      </c>
      <c r="G11998" s="134" t="n">
        <f aca="false">LEN('Saisie programme'!$D$408)+SUMIFS('Vols additionnels'!$E$7:$E$66,'Vols additionnels'!$C$7:$C$66,$E11998,'Vols additionnels'!$D$7:$D$66,$F11998,'Vols additionnels'!$B$7:$B$66,$D11998)</f>
        <v>0</v>
      </c>
      <c r="H11998" s="135" t="n">
        <f aca="false">$G11998*'Analyse capacite'!$F$9</f>
        <v>0</v>
      </c>
      <c r="I11998" s="135" t="n">
        <f aca="false">$G11998*'Analyse capacite'!$C$9</f>
        <v>0</v>
      </c>
      <c r="J11998" s="135" t="n">
        <f aca="false">$G11998*'Analyse capacite'!$D$9</f>
        <v>0</v>
      </c>
      <c r="K11998" s="135" t="n">
        <f aca="false">$G11998*'Analyse capacite'!$E$9</f>
        <v>0</v>
      </c>
    </row>
    <row r="11999" customFormat="false" ht="15" hidden="false" customHeight="false" outlineLevel="0" collapsed="false">
      <c r="B11999" s="130" t="n">
        <v>2028</v>
      </c>
      <c r="C11999" s="131" t="s">
        <v>256</v>
      </c>
      <c r="D11999" s="132" t="n">
        <v>46811</v>
      </c>
      <c r="E11999" s="131" t="s">
        <v>25</v>
      </c>
      <c r="F11999" s="133" t="s">
        <v>11</v>
      </c>
      <c r="G11999" s="134" t="n">
        <f aca="false">LEN('Saisie programme'!$D$409)+SUMIFS('Vols additionnels'!$E$7:$E$66,'Vols additionnels'!$C$7:$C$66,$E11999,'Vols additionnels'!$D$7:$D$66,$F11999,'Vols additionnels'!$B$7:$B$66,$D11999)</f>
        <v>0</v>
      </c>
      <c r="H11999" s="135" t="n">
        <f aca="false">$G11999*'Analyse capacite'!$F$7</f>
        <v>0</v>
      </c>
      <c r="I11999" s="135" t="n">
        <f aca="false">$G11999*'Analyse capacite'!$C$7</f>
        <v>0</v>
      </c>
      <c r="J11999" s="135" t="n">
        <f aca="false">$G11999*'Analyse capacite'!$D$7</f>
        <v>0</v>
      </c>
      <c r="K11999" s="135" t="n">
        <f aca="false">$G11999*'Analyse capacite'!$E$7</f>
        <v>0</v>
      </c>
    </row>
    <row r="12000" customFormat="false" ht="15" hidden="false" customHeight="false" outlineLevel="0" collapsed="false">
      <c r="B12000" s="130" t="n">
        <v>2028</v>
      </c>
      <c r="C12000" s="131" t="s">
        <v>256</v>
      </c>
      <c r="D12000" s="132" t="n">
        <v>46811</v>
      </c>
      <c r="E12000" s="131" t="s">
        <v>25</v>
      </c>
      <c r="F12000" s="133" t="s">
        <v>19</v>
      </c>
      <c r="G12000" s="134" t="n">
        <f aca="false">LEN('Saisie programme'!$D$410)+SUMIFS('Vols additionnels'!$E$7:$E$66,'Vols additionnels'!$C$7:$C$66,$E12000,'Vols additionnels'!$D$7:$D$66,$F12000,'Vols additionnels'!$B$7:$B$66,$D12000)</f>
        <v>0</v>
      </c>
      <c r="H12000" s="135" t="n">
        <f aca="false">$G12000*'Analyse capacite'!$F$8</f>
        <v>0</v>
      </c>
      <c r="I12000" s="135" t="n">
        <f aca="false">$G12000*'Analyse capacite'!$C$8</f>
        <v>0</v>
      </c>
      <c r="J12000" s="135" t="n">
        <f aca="false">$G12000*'Analyse capacite'!$D$8</f>
        <v>0</v>
      </c>
      <c r="K12000" s="135" t="n">
        <f aca="false">$G12000*'Analyse capacite'!$E$8</f>
        <v>0</v>
      </c>
    </row>
    <row r="12001" customFormat="false" ht="15" hidden="false" customHeight="false" outlineLevel="0" collapsed="false">
      <c r="B12001" s="130" t="n">
        <v>2028</v>
      </c>
      <c r="C12001" s="131" t="s">
        <v>256</v>
      </c>
      <c r="D12001" s="132" t="n">
        <v>46811</v>
      </c>
      <c r="E12001" s="131" t="s">
        <v>25</v>
      </c>
      <c r="F12001" s="133" t="s">
        <v>24</v>
      </c>
      <c r="G12001" s="134" t="n">
        <f aca="false">LEN('Saisie programme'!$D$411)+SUMIFS('Vols additionnels'!$E$7:$E$66,'Vols additionnels'!$C$7:$C$66,$E12001,'Vols additionnels'!$D$7:$D$66,$F12001,'Vols additionnels'!$B$7:$B$66,$D12001)</f>
        <v>0</v>
      </c>
      <c r="H12001" s="135" t="n">
        <f aca="false">$G12001*'Analyse capacite'!$F$9</f>
        <v>0</v>
      </c>
      <c r="I12001" s="135" t="n">
        <f aca="false">$G12001*'Analyse capacite'!$C$9</f>
        <v>0</v>
      </c>
      <c r="J12001" s="135" t="n">
        <f aca="false">$G12001*'Analyse capacite'!$D$9</f>
        <v>0</v>
      </c>
      <c r="K12001" s="135" t="n">
        <f aca="false">$G12001*'Analyse capacite'!$E$9</f>
        <v>0</v>
      </c>
    </row>
    <row r="12002" customFormat="false" ht="15" hidden="false" customHeight="false" outlineLevel="0" collapsed="false">
      <c r="B12002" s="130" t="n">
        <v>2028</v>
      </c>
      <c r="C12002" s="131" t="s">
        <v>256</v>
      </c>
      <c r="D12002" s="132" t="n">
        <v>46811</v>
      </c>
      <c r="E12002" s="131" t="s">
        <v>36</v>
      </c>
      <c r="F12002" s="133" t="s">
        <v>11</v>
      </c>
      <c r="G12002" s="134" t="n">
        <f aca="false">LEN('Saisie programme'!$D$412)+SUMIFS('Vols additionnels'!$E$7:$E$66,'Vols additionnels'!$C$7:$C$66,$E12002,'Vols additionnels'!$D$7:$D$66,$F12002,'Vols additionnels'!$B$7:$B$66,$D12002)</f>
        <v>0</v>
      </c>
      <c r="H12002" s="135" t="n">
        <f aca="false">$G12002*'Analyse capacite'!$F$7</f>
        <v>0</v>
      </c>
      <c r="I12002" s="135" t="n">
        <f aca="false">$G12002*'Analyse capacite'!$C$7</f>
        <v>0</v>
      </c>
      <c r="J12002" s="135" t="n">
        <f aca="false">$G12002*'Analyse capacite'!$D$7</f>
        <v>0</v>
      </c>
      <c r="K12002" s="135" t="n">
        <f aca="false">$G12002*'Analyse capacite'!$E$7</f>
        <v>0</v>
      </c>
    </row>
    <row r="12003" customFormat="false" ht="15" hidden="false" customHeight="false" outlineLevel="0" collapsed="false">
      <c r="B12003" s="130" t="n">
        <v>2028</v>
      </c>
      <c r="C12003" s="131" t="s">
        <v>256</v>
      </c>
      <c r="D12003" s="132" t="n">
        <v>46811</v>
      </c>
      <c r="E12003" s="131" t="s">
        <v>36</v>
      </c>
      <c r="F12003" s="133" t="s">
        <v>19</v>
      </c>
      <c r="G12003" s="134" t="n">
        <f aca="false">LEN('Saisie programme'!$D$413)+SUMIFS('Vols additionnels'!$E$7:$E$66,'Vols additionnels'!$C$7:$C$66,$E12003,'Vols additionnels'!$D$7:$D$66,$F12003,'Vols additionnels'!$B$7:$B$66,$D12003)</f>
        <v>0</v>
      </c>
      <c r="H12003" s="135" t="n">
        <f aca="false">$G12003*'Analyse capacite'!$F$8</f>
        <v>0</v>
      </c>
      <c r="I12003" s="135" t="n">
        <f aca="false">$G12003*'Analyse capacite'!$C$8</f>
        <v>0</v>
      </c>
      <c r="J12003" s="135" t="n">
        <f aca="false">$G12003*'Analyse capacite'!$D$8</f>
        <v>0</v>
      </c>
      <c r="K12003" s="135" t="n">
        <f aca="false">$G12003*'Analyse capacite'!$E$8</f>
        <v>0</v>
      </c>
    </row>
    <row r="12004" customFormat="false" ht="15" hidden="false" customHeight="false" outlineLevel="0" collapsed="false">
      <c r="B12004" s="130" t="n">
        <v>2028</v>
      </c>
      <c r="C12004" s="131" t="s">
        <v>256</v>
      </c>
      <c r="D12004" s="132" t="n">
        <v>46811</v>
      </c>
      <c r="E12004" s="131" t="s">
        <v>36</v>
      </c>
      <c r="F12004" s="133" t="s">
        <v>24</v>
      </c>
      <c r="G12004" s="134" t="n">
        <f aca="false">LEN('Saisie programme'!$D$414)+SUMIFS('Vols additionnels'!$E$7:$E$66,'Vols additionnels'!$C$7:$C$66,$E12004,'Vols additionnels'!$D$7:$D$66,$F12004,'Vols additionnels'!$B$7:$B$66,$D12004)</f>
        <v>1</v>
      </c>
      <c r="H12004" s="135" t="n">
        <f aca="false">$G12004*'Analyse capacite'!$F$9</f>
        <v>174</v>
      </c>
      <c r="I12004" s="135" t="n">
        <f aca="false">$G12004*'Analyse capacite'!$C$9</f>
        <v>0</v>
      </c>
      <c r="J12004" s="135" t="n">
        <f aca="false">$G12004*'Analyse capacite'!$D$9</f>
        <v>12</v>
      </c>
      <c r="K12004" s="135" t="n">
        <f aca="false">$G12004*'Analyse capacite'!$E$9</f>
        <v>162</v>
      </c>
    </row>
    <row r="12005" customFormat="false" ht="15" hidden="false" customHeight="false" outlineLevel="0" collapsed="false">
      <c r="B12005" s="130" t="n">
        <v>2028</v>
      </c>
      <c r="C12005" s="131" t="s">
        <v>256</v>
      </c>
      <c r="D12005" s="132" t="n">
        <v>46811</v>
      </c>
      <c r="E12005" s="131" t="s">
        <v>40</v>
      </c>
      <c r="F12005" s="133" t="s">
        <v>11</v>
      </c>
      <c r="G12005" s="134" t="n">
        <f aca="false">LEN('Saisie programme'!$D$415)+SUMIFS('Vols additionnels'!$E$7:$E$66,'Vols additionnels'!$C$7:$C$66,$E12005,'Vols additionnels'!$D$7:$D$66,$F12005,'Vols additionnels'!$B$7:$B$66,$D12005)</f>
        <v>0</v>
      </c>
      <c r="H12005" s="135" t="n">
        <f aca="false">$G12005*'Analyse capacite'!$F$7</f>
        <v>0</v>
      </c>
      <c r="I12005" s="135" t="n">
        <f aca="false">$G12005*'Analyse capacite'!$C$7</f>
        <v>0</v>
      </c>
      <c r="J12005" s="135" t="n">
        <f aca="false">$G12005*'Analyse capacite'!$D$7</f>
        <v>0</v>
      </c>
      <c r="K12005" s="135" t="n">
        <f aca="false">$G12005*'Analyse capacite'!$E$7</f>
        <v>0</v>
      </c>
    </row>
    <row r="12006" customFormat="false" ht="15" hidden="false" customHeight="false" outlineLevel="0" collapsed="false">
      <c r="B12006" s="130" t="n">
        <v>2028</v>
      </c>
      <c r="C12006" s="131" t="s">
        <v>256</v>
      </c>
      <c r="D12006" s="132" t="n">
        <v>46811</v>
      </c>
      <c r="E12006" s="131" t="s">
        <v>40</v>
      </c>
      <c r="F12006" s="133" t="s">
        <v>19</v>
      </c>
      <c r="G12006" s="134" t="n">
        <f aca="false">LEN('Saisie programme'!$D$416)+SUMIFS('Vols additionnels'!$E$7:$E$66,'Vols additionnels'!$C$7:$C$66,$E12006,'Vols additionnels'!$D$7:$D$66,$F12006,'Vols additionnels'!$B$7:$B$66,$D12006)</f>
        <v>0</v>
      </c>
      <c r="H12006" s="135" t="n">
        <f aca="false">$G12006*'Analyse capacite'!$F$8</f>
        <v>0</v>
      </c>
      <c r="I12006" s="135" t="n">
        <f aca="false">$G12006*'Analyse capacite'!$C$8</f>
        <v>0</v>
      </c>
      <c r="J12006" s="135" t="n">
        <f aca="false">$G12006*'Analyse capacite'!$D$8</f>
        <v>0</v>
      </c>
      <c r="K12006" s="135" t="n">
        <f aca="false">$G12006*'Analyse capacite'!$E$8</f>
        <v>0</v>
      </c>
    </row>
    <row r="12007" customFormat="false" ht="15" hidden="false" customHeight="false" outlineLevel="0" collapsed="false">
      <c r="B12007" s="130" t="n">
        <v>2028</v>
      </c>
      <c r="C12007" s="131" t="s">
        <v>256</v>
      </c>
      <c r="D12007" s="132" t="n">
        <v>46811</v>
      </c>
      <c r="E12007" s="131" t="s">
        <v>40</v>
      </c>
      <c r="F12007" s="133" t="s">
        <v>24</v>
      </c>
      <c r="G12007" s="134" t="n">
        <f aca="false">LEN('Saisie programme'!$D$417)+SUMIFS('Vols additionnels'!$E$7:$E$66,'Vols additionnels'!$C$7:$C$66,$E12007,'Vols additionnels'!$D$7:$D$66,$F12007,'Vols additionnels'!$B$7:$B$66,$D12007)</f>
        <v>1</v>
      </c>
      <c r="H12007" s="135" t="n">
        <f aca="false">$G12007*'Analyse capacite'!$F$9</f>
        <v>174</v>
      </c>
      <c r="I12007" s="135" t="n">
        <f aca="false">$G12007*'Analyse capacite'!$C$9</f>
        <v>0</v>
      </c>
      <c r="J12007" s="135" t="n">
        <f aca="false">$G12007*'Analyse capacite'!$D$9</f>
        <v>12</v>
      </c>
      <c r="K12007" s="135" t="n">
        <f aca="false">$G12007*'Analyse capacite'!$E$9</f>
        <v>162</v>
      </c>
    </row>
    <row r="12008" customFormat="false" ht="15" hidden="false" customHeight="false" outlineLevel="0" collapsed="false">
      <c r="B12008" s="130" t="n">
        <v>2028</v>
      </c>
      <c r="C12008" s="131" t="s">
        <v>256</v>
      </c>
      <c r="D12008" s="132" t="n">
        <v>46811</v>
      </c>
      <c r="E12008" s="131" t="s">
        <v>14</v>
      </c>
      <c r="F12008" s="133" t="s">
        <v>11</v>
      </c>
      <c r="G12008" s="134" t="n">
        <f aca="false">LEN('Saisie programme'!$D$418)+SUMIFS('Vols additionnels'!$E$7:$E$66,'Vols additionnels'!$C$7:$C$66,$E12008,'Vols additionnels'!$D$7:$D$66,$F12008,'Vols additionnels'!$B$7:$B$66,$D12008)</f>
        <v>0</v>
      </c>
      <c r="H12008" s="135" t="n">
        <f aca="false">$G12008*'Analyse capacite'!$F$7</f>
        <v>0</v>
      </c>
      <c r="I12008" s="135" t="n">
        <f aca="false">$G12008*'Analyse capacite'!$C$7</f>
        <v>0</v>
      </c>
      <c r="J12008" s="135" t="n">
        <f aca="false">$G12008*'Analyse capacite'!$D$7</f>
        <v>0</v>
      </c>
      <c r="K12008" s="135" t="n">
        <f aca="false">$G12008*'Analyse capacite'!$E$7</f>
        <v>0</v>
      </c>
    </row>
    <row r="12009" customFormat="false" ht="15" hidden="false" customHeight="false" outlineLevel="0" collapsed="false">
      <c r="B12009" s="130" t="n">
        <v>2028</v>
      </c>
      <c r="C12009" s="131" t="s">
        <v>256</v>
      </c>
      <c r="D12009" s="132" t="n">
        <v>46811</v>
      </c>
      <c r="E12009" s="131" t="s">
        <v>14</v>
      </c>
      <c r="F12009" s="133" t="s">
        <v>19</v>
      </c>
      <c r="G12009" s="134" t="n">
        <f aca="false">LEN('Saisie programme'!$D$419)+SUMIFS('Vols additionnels'!$E$7:$E$66,'Vols additionnels'!$C$7:$C$66,$E12009,'Vols additionnels'!$D$7:$D$66,$F12009,'Vols additionnels'!$B$7:$B$66,$D12009)</f>
        <v>0</v>
      </c>
      <c r="H12009" s="135" t="n">
        <f aca="false">$G12009*'Analyse capacite'!$F$8</f>
        <v>0</v>
      </c>
      <c r="I12009" s="135" t="n">
        <f aca="false">$G12009*'Analyse capacite'!$C$8</f>
        <v>0</v>
      </c>
      <c r="J12009" s="135" t="n">
        <f aca="false">$G12009*'Analyse capacite'!$D$8</f>
        <v>0</v>
      </c>
      <c r="K12009" s="135" t="n">
        <f aca="false">$G12009*'Analyse capacite'!$E$8</f>
        <v>0</v>
      </c>
    </row>
    <row r="12010" customFormat="false" ht="15" hidden="false" customHeight="false" outlineLevel="0" collapsed="false">
      <c r="B12010" s="130" t="n">
        <v>2028</v>
      </c>
      <c r="C12010" s="131" t="s">
        <v>256</v>
      </c>
      <c r="D12010" s="132" t="n">
        <v>46811</v>
      </c>
      <c r="E12010" s="131" t="s">
        <v>14</v>
      </c>
      <c r="F12010" s="133" t="s">
        <v>24</v>
      </c>
      <c r="G12010" s="134" t="n">
        <f aca="false">LEN('Saisie programme'!$D$420)+SUMIFS('Vols additionnels'!$E$7:$E$66,'Vols additionnels'!$C$7:$C$66,$E12010,'Vols additionnels'!$D$7:$D$66,$F12010,'Vols additionnels'!$B$7:$B$66,$D12010)</f>
        <v>1</v>
      </c>
      <c r="H12010" s="135" t="n">
        <f aca="false">$G12010*'Analyse capacite'!$F$9</f>
        <v>174</v>
      </c>
      <c r="I12010" s="135" t="n">
        <f aca="false">$G12010*'Analyse capacite'!$C$9</f>
        <v>0</v>
      </c>
      <c r="J12010" s="135" t="n">
        <f aca="false">$G12010*'Analyse capacite'!$D$9</f>
        <v>12</v>
      </c>
      <c r="K12010" s="135" t="n">
        <f aca="false">$G12010*'Analyse capacite'!$E$9</f>
        <v>162</v>
      </c>
    </row>
    <row r="12011" customFormat="false" ht="15" hidden="false" customHeight="false" outlineLevel="0" collapsed="false">
      <c r="B12011" s="130" t="n">
        <v>2028</v>
      </c>
      <c r="C12011" s="131" t="s">
        <v>256</v>
      </c>
      <c r="D12011" s="132" t="n">
        <v>46811</v>
      </c>
      <c r="E12011" s="131" t="s">
        <v>46</v>
      </c>
      <c r="F12011" s="133" t="s">
        <v>11</v>
      </c>
      <c r="G12011" s="134" t="n">
        <f aca="false">LEN('Saisie programme'!$D$421)+SUMIFS('Vols additionnels'!$E$7:$E$66,'Vols additionnels'!$C$7:$C$66,$E12011,'Vols additionnels'!$D$7:$D$66,$F12011,'Vols additionnels'!$B$7:$B$66,$D12011)</f>
        <v>0</v>
      </c>
      <c r="H12011" s="135" t="n">
        <f aca="false">$G12011*'Analyse capacite'!$F$7</f>
        <v>0</v>
      </c>
      <c r="I12011" s="135" t="n">
        <f aca="false">$G12011*'Analyse capacite'!$C$7</f>
        <v>0</v>
      </c>
      <c r="J12011" s="135" t="n">
        <f aca="false">$G12011*'Analyse capacite'!$D$7</f>
        <v>0</v>
      </c>
      <c r="K12011" s="135" t="n">
        <f aca="false">$G12011*'Analyse capacite'!$E$7</f>
        <v>0</v>
      </c>
    </row>
    <row r="12012" customFormat="false" ht="15" hidden="false" customHeight="false" outlineLevel="0" collapsed="false">
      <c r="B12012" s="130" t="n">
        <v>2028</v>
      </c>
      <c r="C12012" s="131" t="s">
        <v>256</v>
      </c>
      <c r="D12012" s="132" t="n">
        <v>46811</v>
      </c>
      <c r="E12012" s="131" t="s">
        <v>46</v>
      </c>
      <c r="F12012" s="133" t="s">
        <v>19</v>
      </c>
      <c r="G12012" s="134" t="n">
        <f aca="false">LEN('Saisie programme'!$D$422)+SUMIFS('Vols additionnels'!$E$7:$E$66,'Vols additionnels'!$C$7:$C$66,$E12012,'Vols additionnels'!$D$7:$D$66,$F12012,'Vols additionnels'!$B$7:$B$66,$D12012)</f>
        <v>0</v>
      </c>
      <c r="H12012" s="135" t="n">
        <f aca="false">$G12012*'Analyse capacite'!$F$8</f>
        <v>0</v>
      </c>
      <c r="I12012" s="135" t="n">
        <f aca="false">$G12012*'Analyse capacite'!$C$8</f>
        <v>0</v>
      </c>
      <c r="J12012" s="135" t="n">
        <f aca="false">$G12012*'Analyse capacite'!$D$8</f>
        <v>0</v>
      </c>
      <c r="K12012" s="135" t="n">
        <f aca="false">$G12012*'Analyse capacite'!$E$8</f>
        <v>0</v>
      </c>
    </row>
    <row r="12013" customFormat="false" ht="15" hidden="false" customHeight="false" outlineLevel="0" collapsed="false">
      <c r="B12013" s="130" t="n">
        <v>2028</v>
      </c>
      <c r="C12013" s="131" t="s">
        <v>256</v>
      </c>
      <c r="D12013" s="132" t="n">
        <v>46811</v>
      </c>
      <c r="E12013" s="131" t="s">
        <v>46</v>
      </c>
      <c r="F12013" s="133" t="s">
        <v>24</v>
      </c>
      <c r="G12013" s="134" t="n">
        <f aca="false">LEN('Saisie programme'!$D$423)+SUMIFS('Vols additionnels'!$E$7:$E$66,'Vols additionnels'!$C$7:$C$66,$E12013,'Vols additionnels'!$D$7:$D$66,$F12013,'Vols additionnels'!$B$7:$B$66,$D12013)</f>
        <v>0</v>
      </c>
      <c r="H12013" s="135" t="n">
        <f aca="false">$G12013*'Analyse capacite'!$F$9</f>
        <v>0</v>
      </c>
      <c r="I12013" s="135" t="n">
        <f aca="false">$G12013*'Analyse capacite'!$C$9</f>
        <v>0</v>
      </c>
      <c r="J12013" s="135" t="n">
        <f aca="false">$G12013*'Analyse capacite'!$D$9</f>
        <v>0</v>
      </c>
      <c r="K12013" s="135" t="n">
        <f aca="false">$G12013*'Analyse capacite'!$E$9</f>
        <v>0</v>
      </c>
    </row>
    <row r="12014" customFormat="false" ht="15" hidden="false" customHeight="false" outlineLevel="0" collapsed="false">
      <c r="B12014" s="130" t="n">
        <v>2028</v>
      </c>
      <c r="C12014" s="131" t="s">
        <v>256</v>
      </c>
      <c r="D12014" s="132" t="n">
        <v>46811</v>
      </c>
      <c r="E12014" s="131" t="s">
        <v>49</v>
      </c>
      <c r="F12014" s="133" t="s">
        <v>11</v>
      </c>
      <c r="G12014" s="134" t="n">
        <f aca="false">LEN('Saisie programme'!$D$424)+SUMIFS('Vols additionnels'!$E$7:$E$66,'Vols additionnels'!$C$7:$C$66,$E12014,'Vols additionnels'!$D$7:$D$66,$F12014,'Vols additionnels'!$B$7:$B$66,$D12014)</f>
        <v>0</v>
      </c>
      <c r="H12014" s="135" t="n">
        <f aca="false">$G12014*'Analyse capacite'!$F$7</f>
        <v>0</v>
      </c>
      <c r="I12014" s="135" t="n">
        <f aca="false">$G12014*'Analyse capacite'!$C$7</f>
        <v>0</v>
      </c>
      <c r="J12014" s="135" t="n">
        <f aca="false">$G12014*'Analyse capacite'!$D$7</f>
        <v>0</v>
      </c>
      <c r="K12014" s="135" t="n">
        <f aca="false">$G12014*'Analyse capacite'!$E$7</f>
        <v>0</v>
      </c>
    </row>
    <row r="12015" customFormat="false" ht="15" hidden="false" customHeight="false" outlineLevel="0" collapsed="false">
      <c r="B12015" s="130" t="n">
        <v>2028</v>
      </c>
      <c r="C12015" s="131" t="s">
        <v>256</v>
      </c>
      <c r="D12015" s="132" t="n">
        <v>46811</v>
      </c>
      <c r="E12015" s="131" t="s">
        <v>49</v>
      </c>
      <c r="F12015" s="133" t="s">
        <v>19</v>
      </c>
      <c r="G12015" s="134" t="n">
        <f aca="false">LEN('Saisie programme'!$D$425)+SUMIFS('Vols additionnels'!$E$7:$E$66,'Vols additionnels'!$C$7:$C$66,$E12015,'Vols additionnels'!$D$7:$D$66,$F12015,'Vols additionnels'!$B$7:$B$66,$D12015)</f>
        <v>1</v>
      </c>
      <c r="H12015" s="135" t="n">
        <f aca="false">$G12015*'Analyse capacite'!$F$8</f>
        <v>262</v>
      </c>
      <c r="I12015" s="135" t="n">
        <f aca="false">$G12015*'Analyse capacite'!$C$8</f>
        <v>18</v>
      </c>
      <c r="J12015" s="135" t="n">
        <f aca="false">$G12015*'Analyse capacite'!$D$8</f>
        <v>0</v>
      </c>
      <c r="K12015" s="135" t="n">
        <f aca="false">$G12015*'Analyse capacite'!$E$8</f>
        <v>244</v>
      </c>
    </row>
    <row r="12016" customFormat="false" ht="15" hidden="false" customHeight="false" outlineLevel="0" collapsed="false">
      <c r="B12016" s="130" t="n">
        <v>2028</v>
      </c>
      <c r="C12016" s="131" t="s">
        <v>256</v>
      </c>
      <c r="D12016" s="132" t="n">
        <v>46811</v>
      </c>
      <c r="E12016" s="131" t="s">
        <v>49</v>
      </c>
      <c r="F12016" s="133" t="s">
        <v>24</v>
      </c>
      <c r="G12016" s="134" t="n">
        <f aca="false">LEN('Saisie programme'!$D$426)+SUMIFS('Vols additionnels'!$E$7:$E$66,'Vols additionnels'!$C$7:$C$66,$E12016,'Vols additionnels'!$D$7:$D$66,$F12016,'Vols additionnels'!$B$7:$B$66,$D12016)</f>
        <v>0</v>
      </c>
      <c r="H12016" s="135" t="n">
        <f aca="false">$G12016*'Analyse capacite'!$F$9</f>
        <v>0</v>
      </c>
      <c r="I12016" s="135" t="n">
        <f aca="false">$G12016*'Analyse capacite'!$C$9</f>
        <v>0</v>
      </c>
      <c r="J12016" s="135" t="n">
        <f aca="false">$G12016*'Analyse capacite'!$D$9</f>
        <v>0</v>
      </c>
      <c r="K12016" s="135" t="n">
        <f aca="false">$G12016*'Analyse capacite'!$E$9</f>
        <v>0</v>
      </c>
    </row>
    <row r="12017" customFormat="false" ht="15" hidden="false" customHeight="false" outlineLevel="0" collapsed="false">
      <c r="B12017" s="130" t="n">
        <v>2028</v>
      </c>
      <c r="C12017" s="131" t="s">
        <v>256</v>
      </c>
      <c r="D12017" s="132" t="n">
        <v>46811</v>
      </c>
      <c r="E12017" s="131" t="s">
        <v>53</v>
      </c>
      <c r="F12017" s="133" t="s">
        <v>11</v>
      </c>
      <c r="G12017" s="134" t="n">
        <f aca="false">LEN('Saisie programme'!$D$427)+SUMIFS('Vols additionnels'!$E$7:$E$66,'Vols additionnels'!$C$7:$C$66,$E12017,'Vols additionnels'!$D$7:$D$66,$F12017,'Vols additionnels'!$B$7:$B$66,$D12017)</f>
        <v>0</v>
      </c>
      <c r="H12017" s="135" t="n">
        <f aca="false">$G12017*'Analyse capacite'!$F$7</f>
        <v>0</v>
      </c>
      <c r="I12017" s="135" t="n">
        <f aca="false">$G12017*'Analyse capacite'!$C$7</f>
        <v>0</v>
      </c>
      <c r="J12017" s="135" t="n">
        <f aca="false">$G12017*'Analyse capacite'!$D$7</f>
        <v>0</v>
      </c>
      <c r="K12017" s="135" t="n">
        <f aca="false">$G12017*'Analyse capacite'!$E$7</f>
        <v>0</v>
      </c>
    </row>
    <row r="12018" customFormat="false" ht="15" hidden="false" customHeight="false" outlineLevel="0" collapsed="false">
      <c r="B12018" s="130" t="n">
        <v>2028</v>
      </c>
      <c r="C12018" s="131" t="s">
        <v>256</v>
      </c>
      <c r="D12018" s="132" t="n">
        <v>46811</v>
      </c>
      <c r="E12018" s="131" t="s">
        <v>53</v>
      </c>
      <c r="F12018" s="133" t="s">
        <v>19</v>
      </c>
      <c r="G12018" s="134" t="n">
        <f aca="false">LEN('Saisie programme'!$D$428)+SUMIFS('Vols additionnels'!$E$7:$E$66,'Vols additionnels'!$C$7:$C$66,$E12018,'Vols additionnels'!$D$7:$D$66,$F12018,'Vols additionnels'!$B$7:$B$66,$D12018)</f>
        <v>0</v>
      </c>
      <c r="H12018" s="135" t="n">
        <f aca="false">$G12018*'Analyse capacite'!$F$8</f>
        <v>0</v>
      </c>
      <c r="I12018" s="135" t="n">
        <f aca="false">$G12018*'Analyse capacite'!$C$8</f>
        <v>0</v>
      </c>
      <c r="J12018" s="135" t="n">
        <f aca="false">$G12018*'Analyse capacite'!$D$8</f>
        <v>0</v>
      </c>
      <c r="K12018" s="135" t="n">
        <f aca="false">$G12018*'Analyse capacite'!$E$8</f>
        <v>0</v>
      </c>
    </row>
    <row r="12019" customFormat="false" ht="15" hidden="false" customHeight="false" outlineLevel="0" collapsed="false">
      <c r="B12019" s="130" t="n">
        <v>2028</v>
      </c>
      <c r="C12019" s="131" t="s">
        <v>256</v>
      </c>
      <c r="D12019" s="132" t="n">
        <v>46811</v>
      </c>
      <c r="E12019" s="131" t="s">
        <v>53</v>
      </c>
      <c r="F12019" s="133" t="s">
        <v>24</v>
      </c>
      <c r="G12019" s="134" t="n">
        <f aca="false">LEN('Saisie programme'!$D$429)+SUMIFS('Vols additionnels'!$E$7:$E$66,'Vols additionnels'!$C$7:$C$66,$E12019,'Vols additionnels'!$D$7:$D$66,$F12019,'Vols additionnels'!$B$7:$B$66,$D12019)</f>
        <v>0</v>
      </c>
      <c r="H12019" s="135" t="n">
        <f aca="false">$G12019*'Analyse capacite'!$F$9</f>
        <v>0</v>
      </c>
      <c r="I12019" s="135" t="n">
        <f aca="false">$G12019*'Analyse capacite'!$C$9</f>
        <v>0</v>
      </c>
      <c r="J12019" s="135" t="n">
        <f aca="false">$G12019*'Analyse capacite'!$D$9</f>
        <v>0</v>
      </c>
      <c r="K12019" s="135" t="n">
        <f aca="false">$G12019*'Analyse capacite'!$E$9</f>
        <v>0</v>
      </c>
    </row>
    <row r="12020" customFormat="false" ht="15" hidden="false" customHeight="false" outlineLevel="0" collapsed="false">
      <c r="B12020" s="130" t="n">
        <v>2028</v>
      </c>
      <c r="C12020" s="131" t="s">
        <v>256</v>
      </c>
      <c r="D12020" s="132" t="n">
        <v>46811</v>
      </c>
      <c r="E12020" s="131" t="s">
        <v>56</v>
      </c>
      <c r="F12020" s="133" t="s">
        <v>11</v>
      </c>
      <c r="G12020" s="134" t="n">
        <f aca="false">LEN('Saisie programme'!$D$430)+SUMIFS('Vols additionnels'!$E$7:$E$66,'Vols additionnels'!$C$7:$C$66,$E12020,'Vols additionnels'!$D$7:$D$66,$F12020,'Vols additionnels'!$B$7:$B$66,$D12020)</f>
        <v>0</v>
      </c>
      <c r="H12020" s="135" t="n">
        <f aca="false">$G12020*'Analyse capacite'!$F$7</f>
        <v>0</v>
      </c>
      <c r="I12020" s="135" t="n">
        <f aca="false">$G12020*'Analyse capacite'!$C$7</f>
        <v>0</v>
      </c>
      <c r="J12020" s="135" t="n">
        <f aca="false">$G12020*'Analyse capacite'!$D$7</f>
        <v>0</v>
      </c>
      <c r="K12020" s="135" t="n">
        <f aca="false">$G12020*'Analyse capacite'!$E$7</f>
        <v>0</v>
      </c>
    </row>
    <row r="12021" customFormat="false" ht="15" hidden="false" customHeight="false" outlineLevel="0" collapsed="false">
      <c r="B12021" s="130" t="n">
        <v>2028</v>
      </c>
      <c r="C12021" s="131" t="s">
        <v>256</v>
      </c>
      <c r="D12021" s="132" t="n">
        <v>46811</v>
      </c>
      <c r="E12021" s="131" t="s">
        <v>56</v>
      </c>
      <c r="F12021" s="133" t="s">
        <v>19</v>
      </c>
      <c r="G12021" s="134" t="n">
        <f aca="false">LEN('Saisie programme'!$D$431)+SUMIFS('Vols additionnels'!$E$7:$E$66,'Vols additionnels'!$C$7:$C$66,$E12021,'Vols additionnels'!$D$7:$D$66,$F12021,'Vols additionnels'!$B$7:$B$66,$D12021)</f>
        <v>0</v>
      </c>
      <c r="H12021" s="135" t="n">
        <f aca="false">$G12021*'Analyse capacite'!$F$8</f>
        <v>0</v>
      </c>
      <c r="I12021" s="135" t="n">
        <f aca="false">$G12021*'Analyse capacite'!$C$8</f>
        <v>0</v>
      </c>
      <c r="J12021" s="135" t="n">
        <f aca="false">$G12021*'Analyse capacite'!$D$8</f>
        <v>0</v>
      </c>
      <c r="K12021" s="135" t="n">
        <f aca="false">$G12021*'Analyse capacite'!$E$8</f>
        <v>0</v>
      </c>
    </row>
    <row r="12022" customFormat="false" ht="15" hidden="false" customHeight="false" outlineLevel="0" collapsed="false">
      <c r="B12022" s="130" t="n">
        <v>2028</v>
      </c>
      <c r="C12022" s="131" t="s">
        <v>256</v>
      </c>
      <c r="D12022" s="132" t="n">
        <v>46811</v>
      </c>
      <c r="E12022" s="131" t="s">
        <v>56</v>
      </c>
      <c r="F12022" s="133" t="s">
        <v>24</v>
      </c>
      <c r="G12022" s="134" t="n">
        <f aca="false">LEN('Saisie programme'!$D$432)+SUMIFS('Vols additionnels'!$E$7:$E$66,'Vols additionnels'!$C$7:$C$66,$E12022,'Vols additionnels'!$D$7:$D$66,$F12022,'Vols additionnels'!$B$7:$B$66,$D12022)</f>
        <v>0</v>
      </c>
      <c r="H12022" s="135" t="n">
        <f aca="false">$G12022*'Analyse capacite'!$F$9</f>
        <v>0</v>
      </c>
      <c r="I12022" s="135" t="n">
        <f aca="false">$G12022*'Analyse capacite'!$C$9</f>
        <v>0</v>
      </c>
      <c r="J12022" s="135" t="n">
        <f aca="false">$G12022*'Analyse capacite'!$D$9</f>
        <v>0</v>
      </c>
      <c r="K12022" s="135" t="n">
        <f aca="false">$G12022*'Analyse capacite'!$E$9</f>
        <v>0</v>
      </c>
    </row>
    <row r="12023" customFormat="false" ht="15" hidden="false" customHeight="false" outlineLevel="0" collapsed="false">
      <c r="B12023" s="130" t="n">
        <v>2028</v>
      </c>
      <c r="C12023" s="131" t="s">
        <v>256</v>
      </c>
      <c r="D12023" s="132" t="n">
        <v>46811</v>
      </c>
      <c r="E12023" s="131" t="s">
        <v>59</v>
      </c>
      <c r="F12023" s="133" t="s">
        <v>11</v>
      </c>
      <c r="G12023" s="134" t="n">
        <f aca="false">LEN('Saisie programme'!$D$433)+SUMIFS('Vols additionnels'!$E$7:$E$66,'Vols additionnels'!$C$7:$C$66,$E12023,'Vols additionnels'!$D$7:$D$66,$F12023,'Vols additionnels'!$B$7:$B$66,$D12023)</f>
        <v>0</v>
      </c>
      <c r="H12023" s="135" t="n">
        <f aca="false">$G12023*'Analyse capacite'!$F$7</f>
        <v>0</v>
      </c>
      <c r="I12023" s="135" t="n">
        <f aca="false">$G12023*'Analyse capacite'!$C$7</f>
        <v>0</v>
      </c>
      <c r="J12023" s="135" t="n">
        <f aca="false">$G12023*'Analyse capacite'!$D$7</f>
        <v>0</v>
      </c>
      <c r="K12023" s="135" t="n">
        <f aca="false">$G12023*'Analyse capacite'!$E$7</f>
        <v>0</v>
      </c>
    </row>
    <row r="12024" customFormat="false" ht="15" hidden="false" customHeight="false" outlineLevel="0" collapsed="false">
      <c r="B12024" s="130" t="n">
        <v>2028</v>
      </c>
      <c r="C12024" s="131" t="s">
        <v>256</v>
      </c>
      <c r="D12024" s="132" t="n">
        <v>46811</v>
      </c>
      <c r="E12024" s="131" t="s">
        <v>59</v>
      </c>
      <c r="F12024" s="133" t="s">
        <v>19</v>
      </c>
      <c r="G12024" s="134" t="n">
        <f aca="false">LEN('Saisie programme'!$D$434)+SUMIFS('Vols additionnels'!$E$7:$E$66,'Vols additionnels'!$C$7:$C$66,$E12024,'Vols additionnels'!$D$7:$D$66,$F12024,'Vols additionnels'!$B$7:$B$66,$D12024)</f>
        <v>0</v>
      </c>
      <c r="H12024" s="135" t="n">
        <f aca="false">$G12024*'Analyse capacite'!$F$8</f>
        <v>0</v>
      </c>
      <c r="I12024" s="135" t="n">
        <f aca="false">$G12024*'Analyse capacite'!$C$8</f>
        <v>0</v>
      </c>
      <c r="J12024" s="135" t="n">
        <f aca="false">$G12024*'Analyse capacite'!$D$8</f>
        <v>0</v>
      </c>
      <c r="K12024" s="135" t="n">
        <f aca="false">$G12024*'Analyse capacite'!$E$8</f>
        <v>0</v>
      </c>
    </row>
    <row r="12025" customFormat="false" ht="15" hidden="false" customHeight="false" outlineLevel="0" collapsed="false">
      <c r="B12025" s="130" t="n">
        <v>2028</v>
      </c>
      <c r="C12025" s="131" t="s">
        <v>256</v>
      </c>
      <c r="D12025" s="132" t="n">
        <v>46811</v>
      </c>
      <c r="E12025" s="131" t="s">
        <v>59</v>
      </c>
      <c r="F12025" s="133" t="s">
        <v>24</v>
      </c>
      <c r="G12025" s="134" t="n">
        <f aca="false">LEN('Saisie programme'!$D$435)+SUMIFS('Vols additionnels'!$E$7:$E$66,'Vols additionnels'!$C$7:$C$66,$E12025,'Vols additionnels'!$D$7:$D$66,$F12025,'Vols additionnels'!$B$7:$B$66,$D12025)</f>
        <v>1</v>
      </c>
      <c r="H12025" s="135" t="n">
        <f aca="false">$G12025*'Analyse capacite'!$F$9</f>
        <v>174</v>
      </c>
      <c r="I12025" s="135" t="n">
        <f aca="false">$G12025*'Analyse capacite'!$C$9</f>
        <v>0</v>
      </c>
      <c r="J12025" s="135" t="n">
        <f aca="false">$G12025*'Analyse capacite'!$D$9</f>
        <v>12</v>
      </c>
      <c r="K12025" s="135" t="n">
        <f aca="false">$G12025*'Analyse capacite'!$E$9</f>
        <v>162</v>
      </c>
    </row>
    <row r="12026" customFormat="false" ht="15" hidden="false" customHeight="false" outlineLevel="0" collapsed="false">
      <c r="B12026" s="130" t="n">
        <v>2028</v>
      </c>
      <c r="C12026" s="131" t="s">
        <v>256</v>
      </c>
      <c r="D12026" s="132" t="n">
        <v>46811</v>
      </c>
      <c r="E12026" s="131" t="s">
        <v>62</v>
      </c>
      <c r="F12026" s="133" t="s">
        <v>11</v>
      </c>
      <c r="G12026" s="134" t="n">
        <f aca="false">LEN('Saisie programme'!$D$436)+SUMIFS('Vols additionnels'!$E$7:$E$66,'Vols additionnels'!$C$7:$C$66,$E12026,'Vols additionnels'!$D$7:$D$66,$F12026,'Vols additionnels'!$B$7:$B$66,$D12026)</f>
        <v>0</v>
      </c>
      <c r="H12026" s="135" t="n">
        <f aca="false">$G12026*'Analyse capacite'!$F$7</f>
        <v>0</v>
      </c>
      <c r="I12026" s="135" t="n">
        <f aca="false">$G12026*'Analyse capacite'!$C$7</f>
        <v>0</v>
      </c>
      <c r="J12026" s="135" t="n">
        <f aca="false">$G12026*'Analyse capacite'!$D$7</f>
        <v>0</v>
      </c>
      <c r="K12026" s="135" t="n">
        <f aca="false">$G12026*'Analyse capacite'!$E$7</f>
        <v>0</v>
      </c>
    </row>
    <row r="12027" customFormat="false" ht="15" hidden="false" customHeight="false" outlineLevel="0" collapsed="false">
      <c r="B12027" s="130" t="n">
        <v>2028</v>
      </c>
      <c r="C12027" s="131" t="s">
        <v>256</v>
      </c>
      <c r="D12027" s="132" t="n">
        <v>46811</v>
      </c>
      <c r="E12027" s="131" t="s">
        <v>62</v>
      </c>
      <c r="F12027" s="133" t="s">
        <v>19</v>
      </c>
      <c r="G12027" s="134" t="n">
        <f aca="false">LEN('Saisie programme'!$D$437)+SUMIFS('Vols additionnels'!$E$7:$E$66,'Vols additionnels'!$C$7:$C$66,$E12027,'Vols additionnels'!$D$7:$D$66,$F12027,'Vols additionnels'!$B$7:$B$66,$D12027)</f>
        <v>0</v>
      </c>
      <c r="H12027" s="135" t="n">
        <f aca="false">$G12027*'Analyse capacite'!$F$8</f>
        <v>0</v>
      </c>
      <c r="I12027" s="135" t="n">
        <f aca="false">$G12027*'Analyse capacite'!$C$8</f>
        <v>0</v>
      </c>
      <c r="J12027" s="135" t="n">
        <f aca="false">$G12027*'Analyse capacite'!$D$8</f>
        <v>0</v>
      </c>
      <c r="K12027" s="135" t="n">
        <f aca="false">$G12027*'Analyse capacite'!$E$8</f>
        <v>0</v>
      </c>
    </row>
    <row r="12028" customFormat="false" ht="15" hidden="false" customHeight="false" outlineLevel="0" collapsed="false">
      <c r="B12028" s="130" t="n">
        <v>2028</v>
      </c>
      <c r="C12028" s="131" t="s">
        <v>256</v>
      </c>
      <c r="D12028" s="132" t="n">
        <v>46811</v>
      </c>
      <c r="E12028" s="131" t="s">
        <v>62</v>
      </c>
      <c r="F12028" s="133" t="s">
        <v>24</v>
      </c>
      <c r="G12028" s="134" t="n">
        <f aca="false">LEN('Saisie programme'!$D$438)+SUMIFS('Vols additionnels'!$E$7:$E$66,'Vols additionnels'!$C$7:$C$66,$E12028,'Vols additionnels'!$D$7:$D$66,$F12028,'Vols additionnels'!$B$7:$B$66,$D12028)</f>
        <v>0</v>
      </c>
      <c r="H12028" s="135" t="n">
        <f aca="false">$G12028*'Analyse capacite'!$F$9</f>
        <v>0</v>
      </c>
      <c r="I12028" s="135" t="n">
        <f aca="false">$G12028*'Analyse capacite'!$C$9</f>
        <v>0</v>
      </c>
      <c r="J12028" s="135" t="n">
        <f aca="false">$G12028*'Analyse capacite'!$D$9</f>
        <v>0</v>
      </c>
      <c r="K12028" s="135" t="n">
        <f aca="false">$G12028*'Analyse capacite'!$E$9</f>
        <v>0</v>
      </c>
    </row>
    <row r="12029" customFormat="false" ht="15" hidden="false" customHeight="false" outlineLevel="0" collapsed="false">
      <c r="B12029" s="130" t="n">
        <v>2028</v>
      </c>
      <c r="C12029" s="131" t="s">
        <v>256</v>
      </c>
      <c r="D12029" s="132" t="n">
        <v>46812</v>
      </c>
      <c r="E12029" s="131" t="s">
        <v>12</v>
      </c>
      <c r="F12029" s="133" t="s">
        <v>11</v>
      </c>
      <c r="G12029" s="134" t="n">
        <f aca="false">LEN('Saisie programme'!$E$403)+SUMIFS('Vols additionnels'!$E$7:$E$66,'Vols additionnels'!$C$7:$C$66,$E12029,'Vols additionnels'!$D$7:$D$66,$F12029,'Vols additionnels'!$B$7:$B$66,$D12029)</f>
        <v>1</v>
      </c>
      <c r="H12029" s="135" t="n">
        <f aca="false">$G12029*'Analyse capacite'!$F$7</f>
        <v>438</v>
      </c>
      <c r="I12029" s="135" t="n">
        <f aca="false">$G12029*'Analyse capacite'!$C$7</f>
        <v>14</v>
      </c>
      <c r="J12029" s="135" t="n">
        <f aca="false">$G12029*'Analyse capacite'!$D$7</f>
        <v>40</v>
      </c>
      <c r="K12029" s="135" t="n">
        <f aca="false">$G12029*'Analyse capacite'!$E$7</f>
        <v>384</v>
      </c>
    </row>
    <row r="12030" customFormat="false" ht="15" hidden="false" customHeight="false" outlineLevel="0" collapsed="false">
      <c r="B12030" s="130" t="n">
        <v>2028</v>
      </c>
      <c r="C12030" s="131" t="s">
        <v>256</v>
      </c>
      <c r="D12030" s="132" t="n">
        <v>46812</v>
      </c>
      <c r="E12030" s="131" t="s">
        <v>12</v>
      </c>
      <c r="F12030" s="133" t="s">
        <v>19</v>
      </c>
      <c r="G12030" s="134" t="n">
        <f aca="false">LEN('Saisie programme'!$E$404)+SUMIFS('Vols additionnels'!$E$7:$E$66,'Vols additionnels'!$C$7:$C$66,$E12030,'Vols additionnels'!$D$7:$D$66,$F12030,'Vols additionnels'!$B$7:$B$66,$D12030)</f>
        <v>0</v>
      </c>
      <c r="H12030" s="135" t="n">
        <f aca="false">$G12030*'Analyse capacite'!$F$8</f>
        <v>0</v>
      </c>
      <c r="I12030" s="135" t="n">
        <f aca="false">$G12030*'Analyse capacite'!$C$8</f>
        <v>0</v>
      </c>
      <c r="J12030" s="135" t="n">
        <f aca="false">$G12030*'Analyse capacite'!$D$8</f>
        <v>0</v>
      </c>
      <c r="K12030" s="135" t="n">
        <f aca="false">$G12030*'Analyse capacite'!$E$8</f>
        <v>0</v>
      </c>
    </row>
    <row r="12031" customFormat="false" ht="15" hidden="false" customHeight="false" outlineLevel="0" collapsed="false">
      <c r="B12031" s="130" t="n">
        <v>2028</v>
      </c>
      <c r="C12031" s="131" t="s">
        <v>256</v>
      </c>
      <c r="D12031" s="132" t="n">
        <v>46812</v>
      </c>
      <c r="E12031" s="131" t="s">
        <v>12</v>
      </c>
      <c r="F12031" s="133" t="s">
        <v>24</v>
      </c>
      <c r="G12031" s="134" t="n">
        <f aca="false">LEN('Saisie programme'!$E$405)+SUMIFS('Vols additionnels'!$E$7:$E$66,'Vols additionnels'!$C$7:$C$66,$E12031,'Vols additionnels'!$D$7:$D$66,$F12031,'Vols additionnels'!$B$7:$B$66,$D12031)</f>
        <v>0</v>
      </c>
      <c r="H12031" s="135" t="n">
        <f aca="false">$G12031*'Analyse capacite'!$F$9</f>
        <v>0</v>
      </c>
      <c r="I12031" s="135" t="n">
        <f aca="false">$G12031*'Analyse capacite'!$C$9</f>
        <v>0</v>
      </c>
      <c r="J12031" s="135" t="n">
        <f aca="false">$G12031*'Analyse capacite'!$D$9</f>
        <v>0</v>
      </c>
      <c r="K12031" s="135" t="n">
        <f aca="false">$G12031*'Analyse capacite'!$E$9</f>
        <v>0</v>
      </c>
    </row>
    <row r="12032" customFormat="false" ht="15" hidden="false" customHeight="false" outlineLevel="0" collapsed="false">
      <c r="B12032" s="130" t="n">
        <v>2028</v>
      </c>
      <c r="C12032" s="131" t="s">
        <v>256</v>
      </c>
      <c r="D12032" s="132" t="n">
        <v>46812</v>
      </c>
      <c r="E12032" s="131" t="s">
        <v>20</v>
      </c>
      <c r="F12032" s="133" t="s">
        <v>11</v>
      </c>
      <c r="G12032" s="134" t="n">
        <f aca="false">LEN('Saisie programme'!$E$406)+SUMIFS('Vols additionnels'!$E$7:$E$66,'Vols additionnels'!$C$7:$C$66,$E12032,'Vols additionnels'!$D$7:$D$66,$F12032,'Vols additionnels'!$B$7:$B$66,$D12032)</f>
        <v>0</v>
      </c>
      <c r="H12032" s="135" t="n">
        <f aca="false">$G12032*'Analyse capacite'!$F$7</f>
        <v>0</v>
      </c>
      <c r="I12032" s="135" t="n">
        <f aca="false">$G12032*'Analyse capacite'!$C$7</f>
        <v>0</v>
      </c>
      <c r="J12032" s="135" t="n">
        <f aca="false">$G12032*'Analyse capacite'!$D$7</f>
        <v>0</v>
      </c>
      <c r="K12032" s="135" t="n">
        <f aca="false">$G12032*'Analyse capacite'!$E$7</f>
        <v>0</v>
      </c>
    </row>
    <row r="12033" customFormat="false" ht="15" hidden="false" customHeight="false" outlineLevel="0" collapsed="false">
      <c r="B12033" s="130" t="n">
        <v>2028</v>
      </c>
      <c r="C12033" s="131" t="s">
        <v>256</v>
      </c>
      <c r="D12033" s="132" t="n">
        <v>46812</v>
      </c>
      <c r="E12033" s="131" t="s">
        <v>20</v>
      </c>
      <c r="F12033" s="133" t="s">
        <v>19</v>
      </c>
      <c r="G12033" s="134" t="n">
        <f aca="false">LEN('Saisie programme'!$E$407)+SUMIFS('Vols additionnels'!$E$7:$E$66,'Vols additionnels'!$C$7:$C$66,$E12033,'Vols additionnels'!$D$7:$D$66,$F12033,'Vols additionnels'!$B$7:$B$66,$D12033)</f>
        <v>1</v>
      </c>
      <c r="H12033" s="135" t="n">
        <f aca="false">$G12033*'Analyse capacite'!$F$8</f>
        <v>262</v>
      </c>
      <c r="I12033" s="135" t="n">
        <f aca="false">$G12033*'Analyse capacite'!$C$8</f>
        <v>18</v>
      </c>
      <c r="J12033" s="135" t="n">
        <f aca="false">$G12033*'Analyse capacite'!$D$8</f>
        <v>0</v>
      </c>
      <c r="K12033" s="135" t="n">
        <f aca="false">$G12033*'Analyse capacite'!$E$8</f>
        <v>244</v>
      </c>
    </row>
    <row r="12034" customFormat="false" ht="15" hidden="false" customHeight="false" outlineLevel="0" collapsed="false">
      <c r="B12034" s="130" t="n">
        <v>2028</v>
      </c>
      <c r="C12034" s="131" t="s">
        <v>256</v>
      </c>
      <c r="D12034" s="132" t="n">
        <v>46812</v>
      </c>
      <c r="E12034" s="131" t="s">
        <v>20</v>
      </c>
      <c r="F12034" s="133" t="s">
        <v>24</v>
      </c>
      <c r="G12034" s="134" t="n">
        <f aca="false">LEN('Saisie programme'!$E$408)+SUMIFS('Vols additionnels'!$E$7:$E$66,'Vols additionnels'!$C$7:$C$66,$E12034,'Vols additionnels'!$D$7:$D$66,$F12034,'Vols additionnels'!$B$7:$B$66,$D12034)</f>
        <v>0</v>
      </c>
      <c r="H12034" s="135" t="n">
        <f aca="false">$G12034*'Analyse capacite'!$F$9</f>
        <v>0</v>
      </c>
      <c r="I12034" s="135" t="n">
        <f aca="false">$G12034*'Analyse capacite'!$C$9</f>
        <v>0</v>
      </c>
      <c r="J12034" s="135" t="n">
        <f aca="false">$G12034*'Analyse capacite'!$D$9</f>
        <v>0</v>
      </c>
      <c r="K12034" s="135" t="n">
        <f aca="false">$G12034*'Analyse capacite'!$E$9</f>
        <v>0</v>
      </c>
    </row>
    <row r="12035" customFormat="false" ht="15" hidden="false" customHeight="false" outlineLevel="0" collapsed="false">
      <c r="B12035" s="130" t="n">
        <v>2028</v>
      </c>
      <c r="C12035" s="131" t="s">
        <v>256</v>
      </c>
      <c r="D12035" s="132" t="n">
        <v>46812</v>
      </c>
      <c r="E12035" s="131" t="s">
        <v>25</v>
      </c>
      <c r="F12035" s="133" t="s">
        <v>11</v>
      </c>
      <c r="G12035" s="134" t="n">
        <f aca="false">LEN('Saisie programme'!$E$409)+SUMIFS('Vols additionnels'!$E$7:$E$66,'Vols additionnels'!$C$7:$C$66,$E12035,'Vols additionnels'!$D$7:$D$66,$F12035,'Vols additionnels'!$B$7:$B$66,$D12035)</f>
        <v>0</v>
      </c>
      <c r="H12035" s="135" t="n">
        <f aca="false">$G12035*'Analyse capacite'!$F$7</f>
        <v>0</v>
      </c>
      <c r="I12035" s="135" t="n">
        <f aca="false">$G12035*'Analyse capacite'!$C$7</f>
        <v>0</v>
      </c>
      <c r="J12035" s="135" t="n">
        <f aca="false">$G12035*'Analyse capacite'!$D$7</f>
        <v>0</v>
      </c>
      <c r="K12035" s="135" t="n">
        <f aca="false">$G12035*'Analyse capacite'!$E$7</f>
        <v>0</v>
      </c>
    </row>
    <row r="12036" customFormat="false" ht="15" hidden="false" customHeight="false" outlineLevel="0" collapsed="false">
      <c r="B12036" s="130" t="n">
        <v>2028</v>
      </c>
      <c r="C12036" s="131" t="s">
        <v>256</v>
      </c>
      <c r="D12036" s="132" t="n">
        <v>46812</v>
      </c>
      <c r="E12036" s="131" t="s">
        <v>25</v>
      </c>
      <c r="F12036" s="133" t="s">
        <v>19</v>
      </c>
      <c r="G12036" s="134" t="n">
        <f aca="false">LEN('Saisie programme'!$E$410)+SUMIFS('Vols additionnels'!$E$7:$E$66,'Vols additionnels'!$C$7:$C$66,$E12036,'Vols additionnels'!$D$7:$D$66,$F12036,'Vols additionnels'!$B$7:$B$66,$D12036)</f>
        <v>0</v>
      </c>
      <c r="H12036" s="135" t="n">
        <f aca="false">$G12036*'Analyse capacite'!$F$8</f>
        <v>0</v>
      </c>
      <c r="I12036" s="135" t="n">
        <f aca="false">$G12036*'Analyse capacite'!$C$8</f>
        <v>0</v>
      </c>
      <c r="J12036" s="135" t="n">
        <f aca="false">$G12036*'Analyse capacite'!$D$8</f>
        <v>0</v>
      </c>
      <c r="K12036" s="135" t="n">
        <f aca="false">$G12036*'Analyse capacite'!$E$8</f>
        <v>0</v>
      </c>
    </row>
    <row r="12037" customFormat="false" ht="15" hidden="false" customHeight="false" outlineLevel="0" collapsed="false">
      <c r="B12037" s="130" t="n">
        <v>2028</v>
      </c>
      <c r="C12037" s="131" t="s">
        <v>256</v>
      </c>
      <c r="D12037" s="132" t="n">
        <v>46812</v>
      </c>
      <c r="E12037" s="131" t="s">
        <v>25</v>
      </c>
      <c r="F12037" s="133" t="s">
        <v>24</v>
      </c>
      <c r="G12037" s="134" t="n">
        <f aca="false">LEN('Saisie programme'!$E$411)+SUMIFS('Vols additionnels'!$E$7:$E$66,'Vols additionnels'!$C$7:$C$66,$E12037,'Vols additionnels'!$D$7:$D$66,$F12037,'Vols additionnels'!$B$7:$B$66,$D12037)</f>
        <v>0</v>
      </c>
      <c r="H12037" s="135" t="n">
        <f aca="false">$G12037*'Analyse capacite'!$F$9</f>
        <v>0</v>
      </c>
      <c r="I12037" s="135" t="n">
        <f aca="false">$G12037*'Analyse capacite'!$C$9</f>
        <v>0</v>
      </c>
      <c r="J12037" s="135" t="n">
        <f aca="false">$G12037*'Analyse capacite'!$D$9</f>
        <v>0</v>
      </c>
      <c r="K12037" s="135" t="n">
        <f aca="false">$G12037*'Analyse capacite'!$E$9</f>
        <v>0</v>
      </c>
    </row>
    <row r="12038" customFormat="false" ht="15" hidden="false" customHeight="false" outlineLevel="0" collapsed="false">
      <c r="B12038" s="130" t="n">
        <v>2028</v>
      </c>
      <c r="C12038" s="131" t="s">
        <v>256</v>
      </c>
      <c r="D12038" s="132" t="n">
        <v>46812</v>
      </c>
      <c r="E12038" s="131" t="s">
        <v>36</v>
      </c>
      <c r="F12038" s="133" t="s">
        <v>11</v>
      </c>
      <c r="G12038" s="134" t="n">
        <f aca="false">LEN('Saisie programme'!$E$412)+SUMIFS('Vols additionnels'!$E$7:$E$66,'Vols additionnels'!$C$7:$C$66,$E12038,'Vols additionnels'!$D$7:$D$66,$F12038,'Vols additionnels'!$B$7:$B$66,$D12038)</f>
        <v>0</v>
      </c>
      <c r="H12038" s="135" t="n">
        <f aca="false">$G12038*'Analyse capacite'!$F$7</f>
        <v>0</v>
      </c>
      <c r="I12038" s="135" t="n">
        <f aca="false">$G12038*'Analyse capacite'!$C$7</f>
        <v>0</v>
      </c>
      <c r="J12038" s="135" t="n">
        <f aca="false">$G12038*'Analyse capacite'!$D$7</f>
        <v>0</v>
      </c>
      <c r="K12038" s="135" t="n">
        <f aca="false">$G12038*'Analyse capacite'!$E$7</f>
        <v>0</v>
      </c>
    </row>
    <row r="12039" customFormat="false" ht="15" hidden="false" customHeight="false" outlineLevel="0" collapsed="false">
      <c r="B12039" s="130" t="n">
        <v>2028</v>
      </c>
      <c r="C12039" s="131" t="s">
        <v>256</v>
      </c>
      <c r="D12039" s="132" t="n">
        <v>46812</v>
      </c>
      <c r="E12039" s="131" t="s">
        <v>36</v>
      </c>
      <c r="F12039" s="133" t="s">
        <v>19</v>
      </c>
      <c r="G12039" s="134" t="n">
        <f aca="false">LEN('Saisie programme'!$E$413)+SUMIFS('Vols additionnels'!$E$7:$E$66,'Vols additionnels'!$C$7:$C$66,$E12039,'Vols additionnels'!$D$7:$D$66,$F12039,'Vols additionnels'!$B$7:$B$66,$D12039)</f>
        <v>0</v>
      </c>
      <c r="H12039" s="135" t="n">
        <f aca="false">$G12039*'Analyse capacite'!$F$8</f>
        <v>0</v>
      </c>
      <c r="I12039" s="135" t="n">
        <f aca="false">$G12039*'Analyse capacite'!$C$8</f>
        <v>0</v>
      </c>
      <c r="J12039" s="135" t="n">
        <f aca="false">$G12039*'Analyse capacite'!$D$8</f>
        <v>0</v>
      </c>
      <c r="K12039" s="135" t="n">
        <f aca="false">$G12039*'Analyse capacite'!$E$8</f>
        <v>0</v>
      </c>
    </row>
    <row r="12040" customFormat="false" ht="15" hidden="false" customHeight="false" outlineLevel="0" collapsed="false">
      <c r="B12040" s="130" t="n">
        <v>2028</v>
      </c>
      <c r="C12040" s="131" t="s">
        <v>256</v>
      </c>
      <c r="D12040" s="132" t="n">
        <v>46812</v>
      </c>
      <c r="E12040" s="131" t="s">
        <v>36</v>
      </c>
      <c r="F12040" s="133" t="s">
        <v>24</v>
      </c>
      <c r="G12040" s="134" t="n">
        <f aca="false">LEN('Saisie programme'!$E$414)+SUMIFS('Vols additionnels'!$E$7:$E$66,'Vols additionnels'!$C$7:$C$66,$E12040,'Vols additionnels'!$D$7:$D$66,$F12040,'Vols additionnels'!$B$7:$B$66,$D12040)</f>
        <v>1</v>
      </c>
      <c r="H12040" s="135" t="n">
        <f aca="false">$G12040*'Analyse capacite'!$F$9</f>
        <v>174</v>
      </c>
      <c r="I12040" s="135" t="n">
        <f aca="false">$G12040*'Analyse capacite'!$C$9</f>
        <v>0</v>
      </c>
      <c r="J12040" s="135" t="n">
        <f aca="false">$G12040*'Analyse capacite'!$D$9</f>
        <v>12</v>
      </c>
      <c r="K12040" s="135" t="n">
        <f aca="false">$G12040*'Analyse capacite'!$E$9</f>
        <v>162</v>
      </c>
    </row>
    <row r="12041" customFormat="false" ht="15" hidden="false" customHeight="false" outlineLevel="0" collapsed="false">
      <c r="B12041" s="130" t="n">
        <v>2028</v>
      </c>
      <c r="C12041" s="131" t="s">
        <v>256</v>
      </c>
      <c r="D12041" s="132" t="n">
        <v>46812</v>
      </c>
      <c r="E12041" s="131" t="s">
        <v>40</v>
      </c>
      <c r="F12041" s="133" t="s">
        <v>11</v>
      </c>
      <c r="G12041" s="134" t="n">
        <f aca="false">LEN('Saisie programme'!$E$415)+SUMIFS('Vols additionnels'!$E$7:$E$66,'Vols additionnels'!$C$7:$C$66,$E12041,'Vols additionnels'!$D$7:$D$66,$F12041,'Vols additionnels'!$B$7:$B$66,$D12041)</f>
        <v>0</v>
      </c>
      <c r="H12041" s="135" t="n">
        <f aca="false">$G12041*'Analyse capacite'!$F$7</f>
        <v>0</v>
      </c>
      <c r="I12041" s="135" t="n">
        <f aca="false">$G12041*'Analyse capacite'!$C$7</f>
        <v>0</v>
      </c>
      <c r="J12041" s="135" t="n">
        <f aca="false">$G12041*'Analyse capacite'!$D$7</f>
        <v>0</v>
      </c>
      <c r="K12041" s="135" t="n">
        <f aca="false">$G12041*'Analyse capacite'!$E$7</f>
        <v>0</v>
      </c>
    </row>
    <row r="12042" customFormat="false" ht="15" hidden="false" customHeight="false" outlineLevel="0" collapsed="false">
      <c r="B12042" s="130" t="n">
        <v>2028</v>
      </c>
      <c r="C12042" s="131" t="s">
        <v>256</v>
      </c>
      <c r="D12042" s="132" t="n">
        <v>46812</v>
      </c>
      <c r="E12042" s="131" t="s">
        <v>40</v>
      </c>
      <c r="F12042" s="133" t="s">
        <v>19</v>
      </c>
      <c r="G12042" s="134" t="n">
        <f aca="false">LEN('Saisie programme'!$E$416)+SUMIFS('Vols additionnels'!$E$7:$E$66,'Vols additionnels'!$C$7:$C$66,$E12042,'Vols additionnels'!$D$7:$D$66,$F12042,'Vols additionnels'!$B$7:$B$66,$D12042)</f>
        <v>0</v>
      </c>
      <c r="H12042" s="135" t="n">
        <f aca="false">$G12042*'Analyse capacite'!$F$8</f>
        <v>0</v>
      </c>
      <c r="I12042" s="135" t="n">
        <f aca="false">$G12042*'Analyse capacite'!$C$8</f>
        <v>0</v>
      </c>
      <c r="J12042" s="135" t="n">
        <f aca="false">$G12042*'Analyse capacite'!$D$8</f>
        <v>0</v>
      </c>
      <c r="K12042" s="135" t="n">
        <f aca="false">$G12042*'Analyse capacite'!$E$8</f>
        <v>0</v>
      </c>
    </row>
    <row r="12043" customFormat="false" ht="15" hidden="false" customHeight="false" outlineLevel="0" collapsed="false">
      <c r="B12043" s="130" t="n">
        <v>2028</v>
      </c>
      <c r="C12043" s="131" t="s">
        <v>256</v>
      </c>
      <c r="D12043" s="132" t="n">
        <v>46812</v>
      </c>
      <c r="E12043" s="131" t="s">
        <v>40</v>
      </c>
      <c r="F12043" s="133" t="s">
        <v>24</v>
      </c>
      <c r="G12043" s="134" t="n">
        <f aca="false">LEN('Saisie programme'!$E$417)+SUMIFS('Vols additionnels'!$E$7:$E$66,'Vols additionnels'!$C$7:$C$66,$E12043,'Vols additionnels'!$D$7:$D$66,$F12043,'Vols additionnels'!$B$7:$B$66,$D12043)</f>
        <v>0</v>
      </c>
      <c r="H12043" s="135" t="n">
        <f aca="false">$G12043*'Analyse capacite'!$F$9</f>
        <v>0</v>
      </c>
      <c r="I12043" s="135" t="n">
        <f aca="false">$G12043*'Analyse capacite'!$C$9</f>
        <v>0</v>
      </c>
      <c r="J12043" s="135" t="n">
        <f aca="false">$G12043*'Analyse capacite'!$D$9</f>
        <v>0</v>
      </c>
      <c r="K12043" s="135" t="n">
        <f aca="false">$G12043*'Analyse capacite'!$E$9</f>
        <v>0</v>
      </c>
    </row>
    <row r="12044" customFormat="false" ht="15" hidden="false" customHeight="false" outlineLevel="0" collapsed="false">
      <c r="B12044" s="130" t="n">
        <v>2028</v>
      </c>
      <c r="C12044" s="131" t="s">
        <v>256</v>
      </c>
      <c r="D12044" s="132" t="n">
        <v>46812</v>
      </c>
      <c r="E12044" s="131" t="s">
        <v>14</v>
      </c>
      <c r="F12044" s="133" t="s">
        <v>11</v>
      </c>
      <c r="G12044" s="134" t="n">
        <f aca="false">LEN('Saisie programme'!$E$418)+SUMIFS('Vols additionnels'!$E$7:$E$66,'Vols additionnels'!$C$7:$C$66,$E12044,'Vols additionnels'!$D$7:$D$66,$F12044,'Vols additionnels'!$B$7:$B$66,$D12044)</f>
        <v>0</v>
      </c>
      <c r="H12044" s="135" t="n">
        <f aca="false">$G12044*'Analyse capacite'!$F$7</f>
        <v>0</v>
      </c>
      <c r="I12044" s="135" t="n">
        <f aca="false">$G12044*'Analyse capacite'!$C$7</f>
        <v>0</v>
      </c>
      <c r="J12044" s="135" t="n">
        <f aca="false">$G12044*'Analyse capacite'!$D$7</f>
        <v>0</v>
      </c>
      <c r="K12044" s="135" t="n">
        <f aca="false">$G12044*'Analyse capacite'!$E$7</f>
        <v>0</v>
      </c>
    </row>
    <row r="12045" customFormat="false" ht="15" hidden="false" customHeight="false" outlineLevel="0" collapsed="false">
      <c r="B12045" s="130" t="n">
        <v>2028</v>
      </c>
      <c r="C12045" s="131" t="s">
        <v>256</v>
      </c>
      <c r="D12045" s="132" t="n">
        <v>46812</v>
      </c>
      <c r="E12045" s="131" t="s">
        <v>14</v>
      </c>
      <c r="F12045" s="133" t="s">
        <v>19</v>
      </c>
      <c r="G12045" s="134" t="n">
        <f aca="false">LEN('Saisie programme'!$E$419)+SUMIFS('Vols additionnels'!$E$7:$E$66,'Vols additionnels'!$C$7:$C$66,$E12045,'Vols additionnels'!$D$7:$D$66,$F12045,'Vols additionnels'!$B$7:$B$66,$D12045)</f>
        <v>0</v>
      </c>
      <c r="H12045" s="135" t="n">
        <f aca="false">$G12045*'Analyse capacite'!$F$8</f>
        <v>0</v>
      </c>
      <c r="I12045" s="135" t="n">
        <f aca="false">$G12045*'Analyse capacite'!$C$8</f>
        <v>0</v>
      </c>
      <c r="J12045" s="135" t="n">
        <f aca="false">$G12045*'Analyse capacite'!$D$8</f>
        <v>0</v>
      </c>
      <c r="K12045" s="135" t="n">
        <f aca="false">$G12045*'Analyse capacite'!$E$8</f>
        <v>0</v>
      </c>
    </row>
    <row r="12046" customFormat="false" ht="15" hidden="false" customHeight="false" outlineLevel="0" collapsed="false">
      <c r="B12046" s="130" t="n">
        <v>2028</v>
      </c>
      <c r="C12046" s="131" t="s">
        <v>256</v>
      </c>
      <c r="D12046" s="132" t="n">
        <v>46812</v>
      </c>
      <c r="E12046" s="131" t="s">
        <v>14</v>
      </c>
      <c r="F12046" s="133" t="s">
        <v>24</v>
      </c>
      <c r="G12046" s="134" t="n">
        <f aca="false">LEN('Saisie programme'!$E$420)+SUMIFS('Vols additionnels'!$E$7:$E$66,'Vols additionnels'!$C$7:$C$66,$E12046,'Vols additionnels'!$D$7:$D$66,$F12046,'Vols additionnels'!$B$7:$B$66,$D12046)</f>
        <v>0</v>
      </c>
      <c r="H12046" s="135" t="n">
        <f aca="false">$G12046*'Analyse capacite'!$F$9</f>
        <v>0</v>
      </c>
      <c r="I12046" s="135" t="n">
        <f aca="false">$G12046*'Analyse capacite'!$C$9</f>
        <v>0</v>
      </c>
      <c r="J12046" s="135" t="n">
        <f aca="false">$G12046*'Analyse capacite'!$D$9</f>
        <v>0</v>
      </c>
      <c r="K12046" s="135" t="n">
        <f aca="false">$G12046*'Analyse capacite'!$E$9</f>
        <v>0</v>
      </c>
    </row>
    <row r="12047" customFormat="false" ht="15" hidden="false" customHeight="false" outlineLevel="0" collapsed="false">
      <c r="B12047" s="130" t="n">
        <v>2028</v>
      </c>
      <c r="C12047" s="131" t="s">
        <v>256</v>
      </c>
      <c r="D12047" s="132" t="n">
        <v>46812</v>
      </c>
      <c r="E12047" s="131" t="s">
        <v>46</v>
      </c>
      <c r="F12047" s="133" t="s">
        <v>11</v>
      </c>
      <c r="G12047" s="134" t="n">
        <f aca="false">LEN('Saisie programme'!$E$421)+SUMIFS('Vols additionnels'!$E$7:$E$66,'Vols additionnels'!$C$7:$C$66,$E12047,'Vols additionnels'!$D$7:$D$66,$F12047,'Vols additionnels'!$B$7:$B$66,$D12047)</f>
        <v>0</v>
      </c>
      <c r="H12047" s="135" t="n">
        <f aca="false">$G12047*'Analyse capacite'!$F$7</f>
        <v>0</v>
      </c>
      <c r="I12047" s="135" t="n">
        <f aca="false">$G12047*'Analyse capacite'!$C$7</f>
        <v>0</v>
      </c>
      <c r="J12047" s="135" t="n">
        <f aca="false">$G12047*'Analyse capacite'!$D$7</f>
        <v>0</v>
      </c>
      <c r="K12047" s="135" t="n">
        <f aca="false">$G12047*'Analyse capacite'!$E$7</f>
        <v>0</v>
      </c>
    </row>
    <row r="12048" customFormat="false" ht="15" hidden="false" customHeight="false" outlineLevel="0" collapsed="false">
      <c r="B12048" s="130" t="n">
        <v>2028</v>
      </c>
      <c r="C12048" s="131" t="s">
        <v>256</v>
      </c>
      <c r="D12048" s="132" t="n">
        <v>46812</v>
      </c>
      <c r="E12048" s="131" t="s">
        <v>46</v>
      </c>
      <c r="F12048" s="133" t="s">
        <v>19</v>
      </c>
      <c r="G12048" s="134" t="n">
        <f aca="false">LEN('Saisie programme'!$E$422)+SUMIFS('Vols additionnels'!$E$7:$E$66,'Vols additionnels'!$C$7:$C$66,$E12048,'Vols additionnels'!$D$7:$D$66,$F12048,'Vols additionnels'!$B$7:$B$66,$D12048)</f>
        <v>0</v>
      </c>
      <c r="H12048" s="135" t="n">
        <f aca="false">$G12048*'Analyse capacite'!$F$8</f>
        <v>0</v>
      </c>
      <c r="I12048" s="135" t="n">
        <f aca="false">$G12048*'Analyse capacite'!$C$8</f>
        <v>0</v>
      </c>
      <c r="J12048" s="135" t="n">
        <f aca="false">$G12048*'Analyse capacite'!$D$8</f>
        <v>0</v>
      </c>
      <c r="K12048" s="135" t="n">
        <f aca="false">$G12048*'Analyse capacite'!$E$8</f>
        <v>0</v>
      </c>
    </row>
    <row r="12049" customFormat="false" ht="15" hidden="false" customHeight="false" outlineLevel="0" collapsed="false">
      <c r="B12049" s="130" t="n">
        <v>2028</v>
      </c>
      <c r="C12049" s="131" t="s">
        <v>256</v>
      </c>
      <c r="D12049" s="132" t="n">
        <v>46812</v>
      </c>
      <c r="E12049" s="131" t="s">
        <v>46</v>
      </c>
      <c r="F12049" s="133" t="s">
        <v>24</v>
      </c>
      <c r="G12049" s="134" t="n">
        <f aca="false">LEN('Saisie programme'!$E$423)+SUMIFS('Vols additionnels'!$E$7:$E$66,'Vols additionnels'!$C$7:$C$66,$E12049,'Vols additionnels'!$D$7:$D$66,$F12049,'Vols additionnels'!$B$7:$B$66,$D12049)</f>
        <v>1</v>
      </c>
      <c r="H12049" s="135" t="n">
        <f aca="false">$G12049*'Analyse capacite'!$F$9</f>
        <v>174</v>
      </c>
      <c r="I12049" s="135" t="n">
        <f aca="false">$G12049*'Analyse capacite'!$C$9</f>
        <v>0</v>
      </c>
      <c r="J12049" s="135" t="n">
        <f aca="false">$G12049*'Analyse capacite'!$D$9</f>
        <v>12</v>
      </c>
      <c r="K12049" s="135" t="n">
        <f aca="false">$G12049*'Analyse capacite'!$E$9</f>
        <v>162</v>
      </c>
    </row>
    <row r="12050" customFormat="false" ht="15" hidden="false" customHeight="false" outlineLevel="0" collapsed="false">
      <c r="B12050" s="130" t="n">
        <v>2028</v>
      </c>
      <c r="C12050" s="131" t="s">
        <v>256</v>
      </c>
      <c r="D12050" s="132" t="n">
        <v>46812</v>
      </c>
      <c r="E12050" s="131" t="s">
        <v>49</v>
      </c>
      <c r="F12050" s="133" t="s">
        <v>11</v>
      </c>
      <c r="G12050" s="134" t="n">
        <f aca="false">LEN('Saisie programme'!$E$424)+SUMIFS('Vols additionnels'!$E$7:$E$66,'Vols additionnels'!$C$7:$C$66,$E12050,'Vols additionnels'!$D$7:$D$66,$F12050,'Vols additionnels'!$B$7:$B$66,$D12050)</f>
        <v>0</v>
      </c>
      <c r="H12050" s="135" t="n">
        <f aca="false">$G12050*'Analyse capacite'!$F$7</f>
        <v>0</v>
      </c>
      <c r="I12050" s="135" t="n">
        <f aca="false">$G12050*'Analyse capacite'!$C$7</f>
        <v>0</v>
      </c>
      <c r="J12050" s="135" t="n">
        <f aca="false">$G12050*'Analyse capacite'!$D$7</f>
        <v>0</v>
      </c>
      <c r="K12050" s="135" t="n">
        <f aca="false">$G12050*'Analyse capacite'!$E$7</f>
        <v>0</v>
      </c>
    </row>
    <row r="12051" customFormat="false" ht="15" hidden="false" customHeight="false" outlineLevel="0" collapsed="false">
      <c r="B12051" s="130" t="n">
        <v>2028</v>
      </c>
      <c r="C12051" s="131" t="s">
        <v>256</v>
      </c>
      <c r="D12051" s="132" t="n">
        <v>46812</v>
      </c>
      <c r="E12051" s="131" t="s">
        <v>49</v>
      </c>
      <c r="F12051" s="133" t="s">
        <v>19</v>
      </c>
      <c r="G12051" s="134" t="n">
        <f aca="false">LEN('Saisie programme'!$E$425)+SUMIFS('Vols additionnels'!$E$7:$E$66,'Vols additionnels'!$C$7:$C$66,$E12051,'Vols additionnels'!$D$7:$D$66,$F12051,'Vols additionnels'!$B$7:$B$66,$D12051)</f>
        <v>0</v>
      </c>
      <c r="H12051" s="135" t="n">
        <f aca="false">$G12051*'Analyse capacite'!$F$8</f>
        <v>0</v>
      </c>
      <c r="I12051" s="135" t="n">
        <f aca="false">$G12051*'Analyse capacite'!$C$8</f>
        <v>0</v>
      </c>
      <c r="J12051" s="135" t="n">
        <f aca="false">$G12051*'Analyse capacite'!$D$8</f>
        <v>0</v>
      </c>
      <c r="K12051" s="135" t="n">
        <f aca="false">$G12051*'Analyse capacite'!$E$8</f>
        <v>0</v>
      </c>
    </row>
    <row r="12052" customFormat="false" ht="15" hidden="false" customHeight="false" outlineLevel="0" collapsed="false">
      <c r="B12052" s="130" t="n">
        <v>2028</v>
      </c>
      <c r="C12052" s="131" t="s">
        <v>256</v>
      </c>
      <c r="D12052" s="132" t="n">
        <v>46812</v>
      </c>
      <c r="E12052" s="131" t="s">
        <v>49</v>
      </c>
      <c r="F12052" s="133" t="s">
        <v>24</v>
      </c>
      <c r="G12052" s="134" t="n">
        <f aca="false">LEN('Saisie programme'!$E$426)+SUMIFS('Vols additionnels'!$E$7:$E$66,'Vols additionnels'!$C$7:$C$66,$E12052,'Vols additionnels'!$D$7:$D$66,$F12052,'Vols additionnels'!$B$7:$B$66,$D12052)</f>
        <v>0</v>
      </c>
      <c r="H12052" s="135" t="n">
        <f aca="false">$G12052*'Analyse capacite'!$F$9</f>
        <v>0</v>
      </c>
      <c r="I12052" s="135" t="n">
        <f aca="false">$G12052*'Analyse capacite'!$C$9</f>
        <v>0</v>
      </c>
      <c r="J12052" s="135" t="n">
        <f aca="false">$G12052*'Analyse capacite'!$D$9</f>
        <v>0</v>
      </c>
      <c r="K12052" s="135" t="n">
        <f aca="false">$G12052*'Analyse capacite'!$E$9</f>
        <v>0</v>
      </c>
    </row>
    <row r="12053" customFormat="false" ht="15" hidden="false" customHeight="false" outlineLevel="0" collapsed="false">
      <c r="B12053" s="130" t="n">
        <v>2028</v>
      </c>
      <c r="C12053" s="131" t="s">
        <v>256</v>
      </c>
      <c r="D12053" s="132" t="n">
        <v>46812</v>
      </c>
      <c r="E12053" s="131" t="s">
        <v>53</v>
      </c>
      <c r="F12053" s="133" t="s">
        <v>11</v>
      </c>
      <c r="G12053" s="134" t="n">
        <f aca="false">LEN('Saisie programme'!$E$427)+SUMIFS('Vols additionnels'!$E$7:$E$66,'Vols additionnels'!$C$7:$C$66,$E12053,'Vols additionnels'!$D$7:$D$66,$F12053,'Vols additionnels'!$B$7:$B$66,$D12053)</f>
        <v>0</v>
      </c>
      <c r="H12053" s="135" t="n">
        <f aca="false">$G12053*'Analyse capacite'!$F$7</f>
        <v>0</v>
      </c>
      <c r="I12053" s="135" t="n">
        <f aca="false">$G12053*'Analyse capacite'!$C$7</f>
        <v>0</v>
      </c>
      <c r="J12053" s="135" t="n">
        <f aca="false">$G12053*'Analyse capacite'!$D$7</f>
        <v>0</v>
      </c>
      <c r="K12053" s="135" t="n">
        <f aca="false">$G12053*'Analyse capacite'!$E$7</f>
        <v>0</v>
      </c>
    </row>
    <row r="12054" customFormat="false" ht="15" hidden="false" customHeight="false" outlineLevel="0" collapsed="false">
      <c r="B12054" s="130" t="n">
        <v>2028</v>
      </c>
      <c r="C12054" s="131" t="s">
        <v>256</v>
      </c>
      <c r="D12054" s="132" t="n">
        <v>46812</v>
      </c>
      <c r="E12054" s="131" t="s">
        <v>53</v>
      </c>
      <c r="F12054" s="133" t="s">
        <v>19</v>
      </c>
      <c r="G12054" s="134" t="n">
        <f aca="false">LEN('Saisie programme'!$E$428)+SUMIFS('Vols additionnels'!$E$7:$E$66,'Vols additionnels'!$C$7:$C$66,$E12054,'Vols additionnels'!$D$7:$D$66,$F12054,'Vols additionnels'!$B$7:$B$66,$D12054)</f>
        <v>0</v>
      </c>
      <c r="H12054" s="135" t="n">
        <f aca="false">$G12054*'Analyse capacite'!$F$8</f>
        <v>0</v>
      </c>
      <c r="I12054" s="135" t="n">
        <f aca="false">$G12054*'Analyse capacite'!$C$8</f>
        <v>0</v>
      </c>
      <c r="J12054" s="135" t="n">
        <f aca="false">$G12054*'Analyse capacite'!$D$8</f>
        <v>0</v>
      </c>
      <c r="K12054" s="135" t="n">
        <f aca="false">$G12054*'Analyse capacite'!$E$8</f>
        <v>0</v>
      </c>
    </row>
    <row r="12055" customFormat="false" ht="15" hidden="false" customHeight="false" outlineLevel="0" collapsed="false">
      <c r="B12055" s="130" t="n">
        <v>2028</v>
      </c>
      <c r="C12055" s="131" t="s">
        <v>256</v>
      </c>
      <c r="D12055" s="132" t="n">
        <v>46812</v>
      </c>
      <c r="E12055" s="131" t="s">
        <v>53</v>
      </c>
      <c r="F12055" s="133" t="s">
        <v>24</v>
      </c>
      <c r="G12055" s="134" t="n">
        <f aca="false">LEN('Saisie programme'!$E$429)+SUMIFS('Vols additionnels'!$E$7:$E$66,'Vols additionnels'!$C$7:$C$66,$E12055,'Vols additionnels'!$D$7:$D$66,$F12055,'Vols additionnels'!$B$7:$B$66,$D12055)</f>
        <v>0</v>
      </c>
      <c r="H12055" s="135" t="n">
        <f aca="false">$G12055*'Analyse capacite'!$F$9</f>
        <v>0</v>
      </c>
      <c r="I12055" s="135" t="n">
        <f aca="false">$G12055*'Analyse capacite'!$C$9</f>
        <v>0</v>
      </c>
      <c r="J12055" s="135" t="n">
        <f aca="false">$G12055*'Analyse capacite'!$D$9</f>
        <v>0</v>
      </c>
      <c r="K12055" s="135" t="n">
        <f aca="false">$G12055*'Analyse capacite'!$E$9</f>
        <v>0</v>
      </c>
    </row>
    <row r="12056" customFormat="false" ht="15" hidden="false" customHeight="false" outlineLevel="0" collapsed="false">
      <c r="B12056" s="130" t="n">
        <v>2028</v>
      </c>
      <c r="C12056" s="131" t="s">
        <v>256</v>
      </c>
      <c r="D12056" s="132" t="n">
        <v>46812</v>
      </c>
      <c r="E12056" s="131" t="s">
        <v>56</v>
      </c>
      <c r="F12056" s="133" t="s">
        <v>11</v>
      </c>
      <c r="G12056" s="134" t="n">
        <f aca="false">LEN('Saisie programme'!$E$430)+SUMIFS('Vols additionnels'!$E$7:$E$66,'Vols additionnels'!$C$7:$C$66,$E12056,'Vols additionnels'!$D$7:$D$66,$F12056,'Vols additionnels'!$B$7:$B$66,$D12056)</f>
        <v>0</v>
      </c>
      <c r="H12056" s="135" t="n">
        <f aca="false">$G12056*'Analyse capacite'!$F$7</f>
        <v>0</v>
      </c>
      <c r="I12056" s="135" t="n">
        <f aca="false">$G12056*'Analyse capacite'!$C$7</f>
        <v>0</v>
      </c>
      <c r="J12056" s="135" t="n">
        <f aca="false">$G12056*'Analyse capacite'!$D$7</f>
        <v>0</v>
      </c>
      <c r="K12056" s="135" t="n">
        <f aca="false">$G12056*'Analyse capacite'!$E$7</f>
        <v>0</v>
      </c>
    </row>
    <row r="12057" customFormat="false" ht="15" hidden="false" customHeight="false" outlineLevel="0" collapsed="false">
      <c r="B12057" s="130" t="n">
        <v>2028</v>
      </c>
      <c r="C12057" s="131" t="s">
        <v>256</v>
      </c>
      <c r="D12057" s="132" t="n">
        <v>46812</v>
      </c>
      <c r="E12057" s="131" t="s">
        <v>56</v>
      </c>
      <c r="F12057" s="133" t="s">
        <v>19</v>
      </c>
      <c r="G12057" s="134" t="n">
        <f aca="false">LEN('Saisie programme'!$E$431)+SUMIFS('Vols additionnels'!$E$7:$E$66,'Vols additionnels'!$C$7:$C$66,$E12057,'Vols additionnels'!$D$7:$D$66,$F12057,'Vols additionnels'!$B$7:$B$66,$D12057)</f>
        <v>0</v>
      </c>
      <c r="H12057" s="135" t="n">
        <f aca="false">$G12057*'Analyse capacite'!$F$8</f>
        <v>0</v>
      </c>
      <c r="I12057" s="135" t="n">
        <f aca="false">$G12057*'Analyse capacite'!$C$8</f>
        <v>0</v>
      </c>
      <c r="J12057" s="135" t="n">
        <f aca="false">$G12057*'Analyse capacite'!$D$8</f>
        <v>0</v>
      </c>
      <c r="K12057" s="135" t="n">
        <f aca="false">$G12057*'Analyse capacite'!$E$8</f>
        <v>0</v>
      </c>
    </row>
    <row r="12058" customFormat="false" ht="15" hidden="false" customHeight="false" outlineLevel="0" collapsed="false">
      <c r="B12058" s="130" t="n">
        <v>2028</v>
      </c>
      <c r="C12058" s="131" t="s">
        <v>256</v>
      </c>
      <c r="D12058" s="132" t="n">
        <v>46812</v>
      </c>
      <c r="E12058" s="131" t="s">
        <v>56</v>
      </c>
      <c r="F12058" s="133" t="s">
        <v>24</v>
      </c>
      <c r="G12058" s="134" t="n">
        <f aca="false">LEN('Saisie programme'!$E$432)+SUMIFS('Vols additionnels'!$E$7:$E$66,'Vols additionnels'!$C$7:$C$66,$E12058,'Vols additionnels'!$D$7:$D$66,$F12058,'Vols additionnels'!$B$7:$B$66,$D12058)</f>
        <v>1</v>
      </c>
      <c r="H12058" s="135" t="n">
        <f aca="false">$G12058*'Analyse capacite'!$F$9</f>
        <v>174</v>
      </c>
      <c r="I12058" s="135" t="n">
        <f aca="false">$G12058*'Analyse capacite'!$C$9</f>
        <v>0</v>
      </c>
      <c r="J12058" s="135" t="n">
        <f aca="false">$G12058*'Analyse capacite'!$D$9</f>
        <v>12</v>
      </c>
      <c r="K12058" s="135" t="n">
        <f aca="false">$G12058*'Analyse capacite'!$E$9</f>
        <v>162</v>
      </c>
    </row>
    <row r="12059" customFormat="false" ht="15" hidden="false" customHeight="false" outlineLevel="0" collapsed="false">
      <c r="B12059" s="130" t="n">
        <v>2028</v>
      </c>
      <c r="C12059" s="131" t="s">
        <v>256</v>
      </c>
      <c r="D12059" s="132" t="n">
        <v>46812</v>
      </c>
      <c r="E12059" s="131" t="s">
        <v>59</v>
      </c>
      <c r="F12059" s="133" t="s">
        <v>11</v>
      </c>
      <c r="G12059" s="134" t="n">
        <f aca="false">LEN('Saisie programme'!$E$433)+SUMIFS('Vols additionnels'!$E$7:$E$66,'Vols additionnels'!$C$7:$C$66,$E12059,'Vols additionnels'!$D$7:$D$66,$F12059,'Vols additionnels'!$B$7:$B$66,$D12059)</f>
        <v>0</v>
      </c>
      <c r="H12059" s="135" t="n">
        <f aca="false">$G12059*'Analyse capacite'!$F$7</f>
        <v>0</v>
      </c>
      <c r="I12059" s="135" t="n">
        <f aca="false">$G12059*'Analyse capacite'!$C$7</f>
        <v>0</v>
      </c>
      <c r="J12059" s="135" t="n">
        <f aca="false">$G12059*'Analyse capacite'!$D$7</f>
        <v>0</v>
      </c>
      <c r="K12059" s="135" t="n">
        <f aca="false">$G12059*'Analyse capacite'!$E$7</f>
        <v>0</v>
      </c>
    </row>
    <row r="12060" customFormat="false" ht="15" hidden="false" customHeight="false" outlineLevel="0" collapsed="false">
      <c r="B12060" s="130" t="n">
        <v>2028</v>
      </c>
      <c r="C12060" s="131" t="s">
        <v>256</v>
      </c>
      <c r="D12060" s="132" t="n">
        <v>46812</v>
      </c>
      <c r="E12060" s="131" t="s">
        <v>59</v>
      </c>
      <c r="F12060" s="133" t="s">
        <v>19</v>
      </c>
      <c r="G12060" s="134" t="n">
        <f aca="false">LEN('Saisie programme'!$E$434)+SUMIFS('Vols additionnels'!$E$7:$E$66,'Vols additionnels'!$C$7:$C$66,$E12060,'Vols additionnels'!$D$7:$D$66,$F12060,'Vols additionnels'!$B$7:$B$66,$D12060)</f>
        <v>0</v>
      </c>
      <c r="H12060" s="135" t="n">
        <f aca="false">$G12060*'Analyse capacite'!$F$8</f>
        <v>0</v>
      </c>
      <c r="I12060" s="135" t="n">
        <f aca="false">$G12060*'Analyse capacite'!$C$8</f>
        <v>0</v>
      </c>
      <c r="J12060" s="135" t="n">
        <f aca="false">$G12060*'Analyse capacite'!$D$8</f>
        <v>0</v>
      </c>
      <c r="K12060" s="135" t="n">
        <f aca="false">$G12060*'Analyse capacite'!$E$8</f>
        <v>0</v>
      </c>
    </row>
    <row r="12061" customFormat="false" ht="15" hidden="false" customHeight="false" outlineLevel="0" collapsed="false">
      <c r="B12061" s="130" t="n">
        <v>2028</v>
      </c>
      <c r="C12061" s="131" t="s">
        <v>256</v>
      </c>
      <c r="D12061" s="132" t="n">
        <v>46812</v>
      </c>
      <c r="E12061" s="131" t="s">
        <v>59</v>
      </c>
      <c r="F12061" s="133" t="s">
        <v>24</v>
      </c>
      <c r="G12061" s="134" t="n">
        <f aca="false">LEN('Saisie programme'!$E$435)+SUMIFS('Vols additionnels'!$E$7:$E$66,'Vols additionnels'!$C$7:$C$66,$E12061,'Vols additionnels'!$D$7:$D$66,$F12061,'Vols additionnels'!$B$7:$B$66,$D12061)</f>
        <v>1</v>
      </c>
      <c r="H12061" s="135" t="n">
        <f aca="false">$G12061*'Analyse capacite'!$F$9</f>
        <v>174</v>
      </c>
      <c r="I12061" s="135" t="n">
        <f aca="false">$G12061*'Analyse capacite'!$C$9</f>
        <v>0</v>
      </c>
      <c r="J12061" s="135" t="n">
        <f aca="false">$G12061*'Analyse capacite'!$D$9</f>
        <v>12</v>
      </c>
      <c r="K12061" s="135" t="n">
        <f aca="false">$G12061*'Analyse capacite'!$E$9</f>
        <v>162</v>
      </c>
    </row>
    <row r="12062" customFormat="false" ht="15" hidden="false" customHeight="false" outlineLevel="0" collapsed="false">
      <c r="B12062" s="130" t="n">
        <v>2028</v>
      </c>
      <c r="C12062" s="131" t="s">
        <v>256</v>
      </c>
      <c r="D12062" s="132" t="n">
        <v>46812</v>
      </c>
      <c r="E12062" s="131" t="s">
        <v>62</v>
      </c>
      <c r="F12062" s="133" t="s">
        <v>11</v>
      </c>
      <c r="G12062" s="134" t="n">
        <f aca="false">LEN('Saisie programme'!$E$436)+SUMIFS('Vols additionnels'!$E$7:$E$66,'Vols additionnels'!$C$7:$C$66,$E12062,'Vols additionnels'!$D$7:$D$66,$F12062,'Vols additionnels'!$B$7:$B$66,$D12062)</f>
        <v>0</v>
      </c>
      <c r="H12062" s="135" t="n">
        <f aca="false">$G12062*'Analyse capacite'!$F$7</f>
        <v>0</v>
      </c>
      <c r="I12062" s="135" t="n">
        <f aca="false">$G12062*'Analyse capacite'!$C$7</f>
        <v>0</v>
      </c>
      <c r="J12062" s="135" t="n">
        <f aca="false">$G12062*'Analyse capacite'!$D$7</f>
        <v>0</v>
      </c>
      <c r="K12062" s="135" t="n">
        <f aca="false">$G12062*'Analyse capacite'!$E$7</f>
        <v>0</v>
      </c>
    </row>
    <row r="12063" customFormat="false" ht="15" hidden="false" customHeight="false" outlineLevel="0" collapsed="false">
      <c r="B12063" s="130" t="n">
        <v>2028</v>
      </c>
      <c r="C12063" s="131" t="s">
        <v>256</v>
      </c>
      <c r="D12063" s="132" t="n">
        <v>46812</v>
      </c>
      <c r="E12063" s="131" t="s">
        <v>62</v>
      </c>
      <c r="F12063" s="133" t="s">
        <v>19</v>
      </c>
      <c r="G12063" s="134" t="n">
        <f aca="false">LEN('Saisie programme'!$E$437)+SUMIFS('Vols additionnels'!$E$7:$E$66,'Vols additionnels'!$C$7:$C$66,$E12063,'Vols additionnels'!$D$7:$D$66,$F12063,'Vols additionnels'!$B$7:$B$66,$D12063)</f>
        <v>0</v>
      </c>
      <c r="H12063" s="135" t="n">
        <f aca="false">$G12063*'Analyse capacite'!$F$8</f>
        <v>0</v>
      </c>
      <c r="I12063" s="135" t="n">
        <f aca="false">$G12063*'Analyse capacite'!$C$8</f>
        <v>0</v>
      </c>
      <c r="J12063" s="135" t="n">
        <f aca="false">$G12063*'Analyse capacite'!$D$8</f>
        <v>0</v>
      </c>
      <c r="K12063" s="135" t="n">
        <f aca="false">$G12063*'Analyse capacite'!$E$8</f>
        <v>0</v>
      </c>
    </row>
    <row r="12064" customFormat="false" ht="15" hidden="false" customHeight="false" outlineLevel="0" collapsed="false">
      <c r="B12064" s="130" t="n">
        <v>2028</v>
      </c>
      <c r="C12064" s="131" t="s">
        <v>256</v>
      </c>
      <c r="D12064" s="132" t="n">
        <v>46812</v>
      </c>
      <c r="E12064" s="131" t="s">
        <v>62</v>
      </c>
      <c r="F12064" s="133" t="s">
        <v>24</v>
      </c>
      <c r="G12064" s="134" t="n">
        <f aca="false">LEN('Saisie programme'!$E$438)+SUMIFS('Vols additionnels'!$E$7:$E$66,'Vols additionnels'!$C$7:$C$66,$E12064,'Vols additionnels'!$D$7:$D$66,$F12064,'Vols additionnels'!$B$7:$B$66,$D12064)</f>
        <v>0</v>
      </c>
      <c r="H12064" s="135" t="n">
        <f aca="false">$G12064*'Analyse capacite'!$F$9</f>
        <v>0</v>
      </c>
      <c r="I12064" s="135" t="n">
        <f aca="false">$G12064*'Analyse capacite'!$C$9</f>
        <v>0</v>
      </c>
      <c r="J12064" s="135" t="n">
        <f aca="false">$G12064*'Analyse capacite'!$D$9</f>
        <v>0</v>
      </c>
      <c r="K12064" s="135" t="n">
        <f aca="false">$G12064*'Analyse capacite'!$E$9</f>
        <v>0</v>
      </c>
    </row>
    <row r="12065" customFormat="false" ht="15" hidden="false" customHeight="false" outlineLevel="0" collapsed="false">
      <c r="B12065" s="130" t="n">
        <v>2028</v>
      </c>
      <c r="C12065" s="131" t="s">
        <v>257</v>
      </c>
      <c r="D12065" s="132" t="n">
        <v>46813</v>
      </c>
      <c r="E12065" s="131" t="s">
        <v>12</v>
      </c>
      <c r="F12065" s="133" t="s">
        <v>11</v>
      </c>
      <c r="G12065" s="134" t="n">
        <f aca="false">LEN('Saisie programme'!$F$442)+SUMIFS('Vols additionnels'!$E$7:$E$66,'Vols additionnels'!$C$7:$C$66,$E12065,'Vols additionnels'!$D$7:$D$66,$F12065,'Vols additionnels'!$B$7:$B$66,$D12065)</f>
        <v>1</v>
      </c>
      <c r="H12065" s="135" t="n">
        <f aca="false">$G12065*'Analyse capacite'!$F$7</f>
        <v>438</v>
      </c>
      <c r="I12065" s="135" t="n">
        <f aca="false">$G12065*'Analyse capacite'!$C$7</f>
        <v>14</v>
      </c>
      <c r="J12065" s="135" t="n">
        <f aca="false">$G12065*'Analyse capacite'!$D$7</f>
        <v>40</v>
      </c>
      <c r="K12065" s="135" t="n">
        <f aca="false">$G12065*'Analyse capacite'!$E$7</f>
        <v>384</v>
      </c>
    </row>
    <row r="12066" customFormat="false" ht="15" hidden="false" customHeight="false" outlineLevel="0" collapsed="false">
      <c r="B12066" s="130" t="n">
        <v>2028</v>
      </c>
      <c r="C12066" s="131" t="s">
        <v>257</v>
      </c>
      <c r="D12066" s="132" t="n">
        <v>46813</v>
      </c>
      <c r="E12066" s="131" t="s">
        <v>12</v>
      </c>
      <c r="F12066" s="133" t="s">
        <v>19</v>
      </c>
      <c r="G12066" s="134" t="n">
        <f aca="false">LEN('Saisie programme'!$F$443)+SUMIFS('Vols additionnels'!$E$7:$E$66,'Vols additionnels'!$C$7:$C$66,$E12066,'Vols additionnels'!$D$7:$D$66,$F12066,'Vols additionnels'!$B$7:$B$66,$D12066)</f>
        <v>0</v>
      </c>
      <c r="H12066" s="135" t="n">
        <f aca="false">$G12066*'Analyse capacite'!$F$8</f>
        <v>0</v>
      </c>
      <c r="I12066" s="135" t="n">
        <f aca="false">$G12066*'Analyse capacite'!$C$8</f>
        <v>0</v>
      </c>
      <c r="J12066" s="135" t="n">
        <f aca="false">$G12066*'Analyse capacite'!$D$8</f>
        <v>0</v>
      </c>
      <c r="K12066" s="135" t="n">
        <f aca="false">$G12066*'Analyse capacite'!$E$8</f>
        <v>0</v>
      </c>
    </row>
    <row r="12067" customFormat="false" ht="15" hidden="false" customHeight="false" outlineLevel="0" collapsed="false">
      <c r="B12067" s="130" t="n">
        <v>2028</v>
      </c>
      <c r="C12067" s="131" t="s">
        <v>257</v>
      </c>
      <c r="D12067" s="132" t="n">
        <v>46813</v>
      </c>
      <c r="E12067" s="131" t="s">
        <v>12</v>
      </c>
      <c r="F12067" s="133" t="s">
        <v>24</v>
      </c>
      <c r="G12067" s="134" t="n">
        <f aca="false">LEN('Saisie programme'!$F$444)+SUMIFS('Vols additionnels'!$E$7:$E$66,'Vols additionnels'!$C$7:$C$66,$E12067,'Vols additionnels'!$D$7:$D$66,$F12067,'Vols additionnels'!$B$7:$B$66,$D12067)</f>
        <v>0</v>
      </c>
      <c r="H12067" s="135" t="n">
        <f aca="false">$G12067*'Analyse capacite'!$F$9</f>
        <v>0</v>
      </c>
      <c r="I12067" s="135" t="n">
        <f aca="false">$G12067*'Analyse capacite'!$C$9</f>
        <v>0</v>
      </c>
      <c r="J12067" s="135" t="n">
        <f aca="false">$G12067*'Analyse capacite'!$D$9</f>
        <v>0</v>
      </c>
      <c r="K12067" s="135" t="n">
        <f aca="false">$G12067*'Analyse capacite'!$E$9</f>
        <v>0</v>
      </c>
    </row>
    <row r="12068" customFormat="false" ht="15" hidden="false" customHeight="false" outlineLevel="0" collapsed="false">
      <c r="B12068" s="130" t="n">
        <v>2028</v>
      </c>
      <c r="C12068" s="131" t="s">
        <v>257</v>
      </c>
      <c r="D12068" s="132" t="n">
        <v>46813</v>
      </c>
      <c r="E12068" s="131" t="s">
        <v>20</v>
      </c>
      <c r="F12068" s="133" t="s">
        <v>11</v>
      </c>
      <c r="G12068" s="134" t="n">
        <f aca="false">LEN('Saisie programme'!$F$445)+SUMIFS('Vols additionnels'!$E$7:$E$66,'Vols additionnels'!$C$7:$C$66,$E12068,'Vols additionnels'!$D$7:$D$66,$F12068,'Vols additionnels'!$B$7:$B$66,$D12068)</f>
        <v>0</v>
      </c>
      <c r="H12068" s="135" t="n">
        <f aca="false">$G12068*'Analyse capacite'!$F$7</f>
        <v>0</v>
      </c>
      <c r="I12068" s="135" t="n">
        <f aca="false">$G12068*'Analyse capacite'!$C$7</f>
        <v>0</v>
      </c>
      <c r="J12068" s="135" t="n">
        <f aca="false">$G12068*'Analyse capacite'!$D$7</f>
        <v>0</v>
      </c>
      <c r="K12068" s="135" t="n">
        <f aca="false">$G12068*'Analyse capacite'!$E$7</f>
        <v>0</v>
      </c>
    </row>
    <row r="12069" customFormat="false" ht="15" hidden="false" customHeight="false" outlineLevel="0" collapsed="false">
      <c r="B12069" s="130" t="n">
        <v>2028</v>
      </c>
      <c r="C12069" s="131" t="s">
        <v>257</v>
      </c>
      <c r="D12069" s="132" t="n">
        <v>46813</v>
      </c>
      <c r="E12069" s="131" t="s">
        <v>20</v>
      </c>
      <c r="F12069" s="133" t="s">
        <v>19</v>
      </c>
      <c r="G12069" s="134" t="n">
        <f aca="false">LEN('Saisie programme'!$F$446)+SUMIFS('Vols additionnels'!$E$7:$E$66,'Vols additionnels'!$C$7:$C$66,$E12069,'Vols additionnels'!$D$7:$D$66,$F12069,'Vols additionnels'!$B$7:$B$66,$D12069)</f>
        <v>0</v>
      </c>
      <c r="H12069" s="135" t="n">
        <f aca="false">$G12069*'Analyse capacite'!$F$8</f>
        <v>0</v>
      </c>
      <c r="I12069" s="135" t="n">
        <f aca="false">$G12069*'Analyse capacite'!$C$8</f>
        <v>0</v>
      </c>
      <c r="J12069" s="135" t="n">
        <f aca="false">$G12069*'Analyse capacite'!$D$8</f>
        <v>0</v>
      </c>
      <c r="K12069" s="135" t="n">
        <f aca="false">$G12069*'Analyse capacite'!$E$8</f>
        <v>0</v>
      </c>
    </row>
    <row r="12070" customFormat="false" ht="15" hidden="false" customHeight="false" outlineLevel="0" collapsed="false">
      <c r="B12070" s="130" t="n">
        <v>2028</v>
      </c>
      <c r="C12070" s="131" t="s">
        <v>257</v>
      </c>
      <c r="D12070" s="132" t="n">
        <v>46813</v>
      </c>
      <c r="E12070" s="131" t="s">
        <v>20</v>
      </c>
      <c r="F12070" s="133" t="s">
        <v>24</v>
      </c>
      <c r="G12070" s="134" t="n">
        <f aca="false">LEN('Saisie programme'!$F$447)+SUMIFS('Vols additionnels'!$E$7:$E$66,'Vols additionnels'!$C$7:$C$66,$E12070,'Vols additionnels'!$D$7:$D$66,$F12070,'Vols additionnels'!$B$7:$B$66,$D12070)</f>
        <v>0</v>
      </c>
      <c r="H12070" s="135" t="n">
        <f aca="false">$G12070*'Analyse capacite'!$F$9</f>
        <v>0</v>
      </c>
      <c r="I12070" s="135" t="n">
        <f aca="false">$G12070*'Analyse capacite'!$C$9</f>
        <v>0</v>
      </c>
      <c r="J12070" s="135" t="n">
        <f aca="false">$G12070*'Analyse capacite'!$D$9</f>
        <v>0</v>
      </c>
      <c r="K12070" s="135" t="n">
        <f aca="false">$G12070*'Analyse capacite'!$E$9</f>
        <v>0</v>
      </c>
    </row>
    <row r="12071" customFormat="false" ht="15" hidden="false" customHeight="false" outlineLevel="0" collapsed="false">
      <c r="B12071" s="130" t="n">
        <v>2028</v>
      </c>
      <c r="C12071" s="131" t="s">
        <v>257</v>
      </c>
      <c r="D12071" s="132" t="n">
        <v>46813</v>
      </c>
      <c r="E12071" s="131" t="s">
        <v>25</v>
      </c>
      <c r="F12071" s="133" t="s">
        <v>11</v>
      </c>
      <c r="G12071" s="134" t="n">
        <f aca="false">LEN('Saisie programme'!$F$448)+SUMIFS('Vols additionnels'!$E$7:$E$66,'Vols additionnels'!$C$7:$C$66,$E12071,'Vols additionnels'!$D$7:$D$66,$F12071,'Vols additionnels'!$B$7:$B$66,$D12071)</f>
        <v>0</v>
      </c>
      <c r="H12071" s="135" t="n">
        <f aca="false">$G12071*'Analyse capacite'!$F$7</f>
        <v>0</v>
      </c>
      <c r="I12071" s="135" t="n">
        <f aca="false">$G12071*'Analyse capacite'!$C$7</f>
        <v>0</v>
      </c>
      <c r="J12071" s="135" t="n">
        <f aca="false">$G12071*'Analyse capacite'!$D$7</f>
        <v>0</v>
      </c>
      <c r="K12071" s="135" t="n">
        <f aca="false">$G12071*'Analyse capacite'!$E$7</f>
        <v>0</v>
      </c>
    </row>
    <row r="12072" customFormat="false" ht="15" hidden="false" customHeight="false" outlineLevel="0" collapsed="false">
      <c r="B12072" s="130" t="n">
        <v>2028</v>
      </c>
      <c r="C12072" s="131" t="s">
        <v>257</v>
      </c>
      <c r="D12072" s="132" t="n">
        <v>46813</v>
      </c>
      <c r="E12072" s="131" t="s">
        <v>25</v>
      </c>
      <c r="F12072" s="133" t="s">
        <v>19</v>
      </c>
      <c r="G12072" s="134" t="n">
        <f aca="false">LEN('Saisie programme'!$F$449)+SUMIFS('Vols additionnels'!$E$7:$E$66,'Vols additionnels'!$C$7:$C$66,$E12072,'Vols additionnels'!$D$7:$D$66,$F12072,'Vols additionnels'!$B$7:$B$66,$D12072)</f>
        <v>1</v>
      </c>
      <c r="H12072" s="135" t="n">
        <f aca="false">$G12072*'Analyse capacite'!$F$8</f>
        <v>262</v>
      </c>
      <c r="I12072" s="135" t="n">
        <f aca="false">$G12072*'Analyse capacite'!$C$8</f>
        <v>18</v>
      </c>
      <c r="J12072" s="135" t="n">
        <f aca="false">$G12072*'Analyse capacite'!$D$8</f>
        <v>0</v>
      </c>
      <c r="K12072" s="135" t="n">
        <f aca="false">$G12072*'Analyse capacite'!$E$8</f>
        <v>244</v>
      </c>
    </row>
    <row r="12073" customFormat="false" ht="15" hidden="false" customHeight="false" outlineLevel="0" collapsed="false">
      <c r="B12073" s="130" t="n">
        <v>2028</v>
      </c>
      <c r="C12073" s="131" t="s">
        <v>257</v>
      </c>
      <c r="D12073" s="132" t="n">
        <v>46813</v>
      </c>
      <c r="E12073" s="131" t="s">
        <v>25</v>
      </c>
      <c r="F12073" s="133" t="s">
        <v>24</v>
      </c>
      <c r="G12073" s="134" t="n">
        <f aca="false">LEN('Saisie programme'!$F$450)+SUMIFS('Vols additionnels'!$E$7:$E$66,'Vols additionnels'!$C$7:$C$66,$E12073,'Vols additionnels'!$D$7:$D$66,$F12073,'Vols additionnels'!$B$7:$B$66,$D12073)</f>
        <v>0</v>
      </c>
      <c r="H12073" s="135" t="n">
        <f aca="false">$G12073*'Analyse capacite'!$F$9</f>
        <v>0</v>
      </c>
      <c r="I12073" s="135" t="n">
        <f aca="false">$G12073*'Analyse capacite'!$C$9</f>
        <v>0</v>
      </c>
      <c r="J12073" s="135" t="n">
        <f aca="false">$G12073*'Analyse capacite'!$D$9</f>
        <v>0</v>
      </c>
      <c r="K12073" s="135" t="n">
        <f aca="false">$G12073*'Analyse capacite'!$E$9</f>
        <v>0</v>
      </c>
    </row>
    <row r="12074" customFormat="false" ht="15" hidden="false" customHeight="false" outlineLevel="0" collapsed="false">
      <c r="B12074" s="130" t="n">
        <v>2028</v>
      </c>
      <c r="C12074" s="131" t="s">
        <v>257</v>
      </c>
      <c r="D12074" s="132" t="n">
        <v>46813</v>
      </c>
      <c r="E12074" s="131" t="s">
        <v>36</v>
      </c>
      <c r="F12074" s="133" t="s">
        <v>11</v>
      </c>
      <c r="G12074" s="134" t="n">
        <f aca="false">LEN('Saisie programme'!$F$451)+SUMIFS('Vols additionnels'!$E$7:$E$66,'Vols additionnels'!$C$7:$C$66,$E12074,'Vols additionnels'!$D$7:$D$66,$F12074,'Vols additionnels'!$B$7:$B$66,$D12074)</f>
        <v>0</v>
      </c>
      <c r="H12074" s="135" t="n">
        <f aca="false">$G12074*'Analyse capacite'!$F$7</f>
        <v>0</v>
      </c>
      <c r="I12074" s="135" t="n">
        <f aca="false">$G12074*'Analyse capacite'!$C$7</f>
        <v>0</v>
      </c>
      <c r="J12074" s="135" t="n">
        <f aca="false">$G12074*'Analyse capacite'!$D$7</f>
        <v>0</v>
      </c>
      <c r="K12074" s="135" t="n">
        <f aca="false">$G12074*'Analyse capacite'!$E$7</f>
        <v>0</v>
      </c>
    </row>
    <row r="12075" customFormat="false" ht="15" hidden="false" customHeight="false" outlineLevel="0" collapsed="false">
      <c r="B12075" s="130" t="n">
        <v>2028</v>
      </c>
      <c r="C12075" s="131" t="s">
        <v>257</v>
      </c>
      <c r="D12075" s="132" t="n">
        <v>46813</v>
      </c>
      <c r="E12075" s="131" t="s">
        <v>36</v>
      </c>
      <c r="F12075" s="133" t="s">
        <v>19</v>
      </c>
      <c r="G12075" s="134" t="n">
        <f aca="false">LEN('Saisie programme'!$F$452)+SUMIFS('Vols additionnels'!$E$7:$E$66,'Vols additionnels'!$C$7:$C$66,$E12075,'Vols additionnels'!$D$7:$D$66,$F12075,'Vols additionnels'!$B$7:$B$66,$D12075)</f>
        <v>1</v>
      </c>
      <c r="H12075" s="135" t="n">
        <f aca="false">$G12075*'Analyse capacite'!$F$8</f>
        <v>262</v>
      </c>
      <c r="I12075" s="135" t="n">
        <f aca="false">$G12075*'Analyse capacite'!$C$8</f>
        <v>18</v>
      </c>
      <c r="J12075" s="135" t="n">
        <f aca="false">$G12075*'Analyse capacite'!$D$8</f>
        <v>0</v>
      </c>
      <c r="K12075" s="135" t="n">
        <f aca="false">$G12075*'Analyse capacite'!$E$8</f>
        <v>244</v>
      </c>
    </row>
    <row r="12076" customFormat="false" ht="15" hidden="false" customHeight="false" outlineLevel="0" collapsed="false">
      <c r="B12076" s="130" t="n">
        <v>2028</v>
      </c>
      <c r="C12076" s="131" t="s">
        <v>257</v>
      </c>
      <c r="D12076" s="132" t="n">
        <v>46813</v>
      </c>
      <c r="E12076" s="131" t="s">
        <v>36</v>
      </c>
      <c r="F12076" s="133" t="s">
        <v>24</v>
      </c>
      <c r="G12076" s="134" t="n">
        <f aca="false">LEN('Saisie programme'!$F$453)+SUMIFS('Vols additionnels'!$E$7:$E$66,'Vols additionnels'!$C$7:$C$66,$E12076,'Vols additionnels'!$D$7:$D$66,$F12076,'Vols additionnels'!$B$7:$B$66,$D12076)</f>
        <v>1</v>
      </c>
      <c r="H12076" s="135" t="n">
        <f aca="false">$G12076*'Analyse capacite'!$F$9</f>
        <v>174</v>
      </c>
      <c r="I12076" s="135" t="n">
        <f aca="false">$G12076*'Analyse capacite'!$C$9</f>
        <v>0</v>
      </c>
      <c r="J12076" s="135" t="n">
        <f aca="false">$G12076*'Analyse capacite'!$D$9</f>
        <v>12</v>
      </c>
      <c r="K12076" s="135" t="n">
        <f aca="false">$G12076*'Analyse capacite'!$E$9</f>
        <v>162</v>
      </c>
    </row>
    <row r="12077" customFormat="false" ht="15" hidden="false" customHeight="false" outlineLevel="0" collapsed="false">
      <c r="B12077" s="130" t="n">
        <v>2028</v>
      </c>
      <c r="C12077" s="131" t="s">
        <v>257</v>
      </c>
      <c r="D12077" s="132" t="n">
        <v>46813</v>
      </c>
      <c r="E12077" s="131" t="s">
        <v>40</v>
      </c>
      <c r="F12077" s="133" t="s">
        <v>11</v>
      </c>
      <c r="G12077" s="134" t="n">
        <f aca="false">LEN('Saisie programme'!$F$454)+SUMIFS('Vols additionnels'!$E$7:$E$66,'Vols additionnels'!$C$7:$C$66,$E12077,'Vols additionnels'!$D$7:$D$66,$F12077,'Vols additionnels'!$B$7:$B$66,$D12077)</f>
        <v>0</v>
      </c>
      <c r="H12077" s="135" t="n">
        <f aca="false">$G12077*'Analyse capacite'!$F$7</f>
        <v>0</v>
      </c>
      <c r="I12077" s="135" t="n">
        <f aca="false">$G12077*'Analyse capacite'!$C$7</f>
        <v>0</v>
      </c>
      <c r="J12077" s="135" t="n">
        <f aca="false">$G12077*'Analyse capacite'!$D$7</f>
        <v>0</v>
      </c>
      <c r="K12077" s="135" t="n">
        <f aca="false">$G12077*'Analyse capacite'!$E$7</f>
        <v>0</v>
      </c>
    </row>
    <row r="12078" customFormat="false" ht="15" hidden="false" customHeight="false" outlineLevel="0" collapsed="false">
      <c r="B12078" s="130" t="n">
        <v>2028</v>
      </c>
      <c r="C12078" s="131" t="s">
        <v>257</v>
      </c>
      <c r="D12078" s="132" t="n">
        <v>46813</v>
      </c>
      <c r="E12078" s="131" t="s">
        <v>40</v>
      </c>
      <c r="F12078" s="133" t="s">
        <v>19</v>
      </c>
      <c r="G12078" s="134" t="n">
        <f aca="false">LEN('Saisie programme'!$F$455)+SUMIFS('Vols additionnels'!$E$7:$E$66,'Vols additionnels'!$C$7:$C$66,$E12078,'Vols additionnels'!$D$7:$D$66,$F12078,'Vols additionnels'!$B$7:$B$66,$D12078)</f>
        <v>0</v>
      </c>
      <c r="H12078" s="135" t="n">
        <f aca="false">$G12078*'Analyse capacite'!$F$8</f>
        <v>0</v>
      </c>
      <c r="I12078" s="135" t="n">
        <f aca="false">$G12078*'Analyse capacite'!$C$8</f>
        <v>0</v>
      </c>
      <c r="J12078" s="135" t="n">
        <f aca="false">$G12078*'Analyse capacite'!$D$8</f>
        <v>0</v>
      </c>
      <c r="K12078" s="135" t="n">
        <f aca="false">$G12078*'Analyse capacite'!$E$8</f>
        <v>0</v>
      </c>
    </row>
    <row r="12079" customFormat="false" ht="15" hidden="false" customHeight="false" outlineLevel="0" collapsed="false">
      <c r="B12079" s="130" t="n">
        <v>2028</v>
      </c>
      <c r="C12079" s="131" t="s">
        <v>257</v>
      </c>
      <c r="D12079" s="132" t="n">
        <v>46813</v>
      </c>
      <c r="E12079" s="131" t="s">
        <v>40</v>
      </c>
      <c r="F12079" s="133" t="s">
        <v>24</v>
      </c>
      <c r="G12079" s="134" t="n">
        <f aca="false">LEN('Saisie programme'!$F$456)+SUMIFS('Vols additionnels'!$E$7:$E$66,'Vols additionnels'!$C$7:$C$66,$E12079,'Vols additionnels'!$D$7:$D$66,$F12079,'Vols additionnels'!$B$7:$B$66,$D12079)</f>
        <v>1</v>
      </c>
      <c r="H12079" s="135" t="n">
        <f aca="false">$G12079*'Analyse capacite'!$F$9</f>
        <v>174</v>
      </c>
      <c r="I12079" s="135" t="n">
        <f aca="false">$G12079*'Analyse capacite'!$C$9</f>
        <v>0</v>
      </c>
      <c r="J12079" s="135" t="n">
        <f aca="false">$G12079*'Analyse capacite'!$D$9</f>
        <v>12</v>
      </c>
      <c r="K12079" s="135" t="n">
        <f aca="false">$G12079*'Analyse capacite'!$E$9</f>
        <v>162</v>
      </c>
    </row>
    <row r="12080" customFormat="false" ht="15" hidden="false" customHeight="false" outlineLevel="0" collapsed="false">
      <c r="B12080" s="130" t="n">
        <v>2028</v>
      </c>
      <c r="C12080" s="131" t="s">
        <v>257</v>
      </c>
      <c r="D12080" s="132" t="n">
        <v>46813</v>
      </c>
      <c r="E12080" s="131" t="s">
        <v>14</v>
      </c>
      <c r="F12080" s="133" t="s">
        <v>11</v>
      </c>
      <c r="G12080" s="134" t="n">
        <f aca="false">LEN('Saisie programme'!$F$457)+SUMIFS('Vols additionnels'!$E$7:$E$66,'Vols additionnels'!$C$7:$C$66,$E12080,'Vols additionnels'!$D$7:$D$66,$F12080,'Vols additionnels'!$B$7:$B$66,$D12080)</f>
        <v>0</v>
      </c>
      <c r="H12080" s="135" t="n">
        <f aca="false">$G12080*'Analyse capacite'!$F$7</f>
        <v>0</v>
      </c>
      <c r="I12080" s="135" t="n">
        <f aca="false">$G12080*'Analyse capacite'!$C$7</f>
        <v>0</v>
      </c>
      <c r="J12080" s="135" t="n">
        <f aca="false">$G12080*'Analyse capacite'!$D$7</f>
        <v>0</v>
      </c>
      <c r="K12080" s="135" t="n">
        <f aca="false">$G12080*'Analyse capacite'!$E$7</f>
        <v>0</v>
      </c>
    </row>
    <row r="12081" customFormat="false" ht="15" hidden="false" customHeight="false" outlineLevel="0" collapsed="false">
      <c r="B12081" s="130" t="n">
        <v>2028</v>
      </c>
      <c r="C12081" s="131" t="s">
        <v>257</v>
      </c>
      <c r="D12081" s="132" t="n">
        <v>46813</v>
      </c>
      <c r="E12081" s="131" t="s">
        <v>14</v>
      </c>
      <c r="F12081" s="133" t="s">
        <v>19</v>
      </c>
      <c r="G12081" s="134" t="n">
        <f aca="false">LEN('Saisie programme'!$F$458)+SUMIFS('Vols additionnels'!$E$7:$E$66,'Vols additionnels'!$C$7:$C$66,$E12081,'Vols additionnels'!$D$7:$D$66,$F12081,'Vols additionnels'!$B$7:$B$66,$D12081)</f>
        <v>0</v>
      </c>
      <c r="H12081" s="135" t="n">
        <f aca="false">$G12081*'Analyse capacite'!$F$8</f>
        <v>0</v>
      </c>
      <c r="I12081" s="135" t="n">
        <f aca="false">$G12081*'Analyse capacite'!$C$8</f>
        <v>0</v>
      </c>
      <c r="J12081" s="135" t="n">
        <f aca="false">$G12081*'Analyse capacite'!$D$8</f>
        <v>0</v>
      </c>
      <c r="K12081" s="135" t="n">
        <f aca="false">$G12081*'Analyse capacite'!$E$8</f>
        <v>0</v>
      </c>
    </row>
    <row r="12082" customFormat="false" ht="15" hidden="false" customHeight="false" outlineLevel="0" collapsed="false">
      <c r="B12082" s="130" t="n">
        <v>2028</v>
      </c>
      <c r="C12082" s="131" t="s">
        <v>257</v>
      </c>
      <c r="D12082" s="132" t="n">
        <v>46813</v>
      </c>
      <c r="E12082" s="131" t="s">
        <v>14</v>
      </c>
      <c r="F12082" s="133" t="s">
        <v>24</v>
      </c>
      <c r="G12082" s="134" t="n">
        <f aca="false">LEN('Saisie programme'!$F$459)+SUMIFS('Vols additionnels'!$E$7:$E$66,'Vols additionnels'!$C$7:$C$66,$E12082,'Vols additionnels'!$D$7:$D$66,$F12082,'Vols additionnels'!$B$7:$B$66,$D12082)</f>
        <v>0</v>
      </c>
      <c r="H12082" s="135" t="n">
        <f aca="false">$G12082*'Analyse capacite'!$F$9</f>
        <v>0</v>
      </c>
      <c r="I12082" s="135" t="n">
        <f aca="false">$G12082*'Analyse capacite'!$C$9</f>
        <v>0</v>
      </c>
      <c r="J12082" s="135" t="n">
        <f aca="false">$G12082*'Analyse capacite'!$D$9</f>
        <v>0</v>
      </c>
      <c r="K12082" s="135" t="n">
        <f aca="false">$G12082*'Analyse capacite'!$E$9</f>
        <v>0</v>
      </c>
    </row>
    <row r="12083" customFormat="false" ht="15" hidden="false" customHeight="false" outlineLevel="0" collapsed="false">
      <c r="B12083" s="130" t="n">
        <v>2028</v>
      </c>
      <c r="C12083" s="131" t="s">
        <v>257</v>
      </c>
      <c r="D12083" s="132" t="n">
        <v>46813</v>
      </c>
      <c r="E12083" s="131" t="s">
        <v>46</v>
      </c>
      <c r="F12083" s="133" t="s">
        <v>11</v>
      </c>
      <c r="G12083" s="134" t="n">
        <f aca="false">LEN('Saisie programme'!$F$460)+SUMIFS('Vols additionnels'!$E$7:$E$66,'Vols additionnels'!$C$7:$C$66,$E12083,'Vols additionnels'!$D$7:$D$66,$F12083,'Vols additionnels'!$B$7:$B$66,$D12083)</f>
        <v>0</v>
      </c>
      <c r="H12083" s="135" t="n">
        <f aca="false">$G12083*'Analyse capacite'!$F$7</f>
        <v>0</v>
      </c>
      <c r="I12083" s="135" t="n">
        <f aca="false">$G12083*'Analyse capacite'!$C$7</f>
        <v>0</v>
      </c>
      <c r="J12083" s="135" t="n">
        <f aca="false">$G12083*'Analyse capacite'!$D$7</f>
        <v>0</v>
      </c>
      <c r="K12083" s="135" t="n">
        <f aca="false">$G12083*'Analyse capacite'!$E$7</f>
        <v>0</v>
      </c>
    </row>
    <row r="12084" customFormat="false" ht="15" hidden="false" customHeight="false" outlineLevel="0" collapsed="false">
      <c r="B12084" s="130" t="n">
        <v>2028</v>
      </c>
      <c r="C12084" s="131" t="s">
        <v>257</v>
      </c>
      <c r="D12084" s="132" t="n">
        <v>46813</v>
      </c>
      <c r="E12084" s="131" t="s">
        <v>46</v>
      </c>
      <c r="F12084" s="133" t="s">
        <v>19</v>
      </c>
      <c r="G12084" s="134" t="n">
        <f aca="false">LEN('Saisie programme'!$F$461)+SUMIFS('Vols additionnels'!$E$7:$E$66,'Vols additionnels'!$C$7:$C$66,$E12084,'Vols additionnels'!$D$7:$D$66,$F12084,'Vols additionnels'!$B$7:$B$66,$D12084)</f>
        <v>0</v>
      </c>
      <c r="H12084" s="135" t="n">
        <f aca="false">$G12084*'Analyse capacite'!$F$8</f>
        <v>0</v>
      </c>
      <c r="I12084" s="135" t="n">
        <f aca="false">$G12084*'Analyse capacite'!$C$8</f>
        <v>0</v>
      </c>
      <c r="J12084" s="135" t="n">
        <f aca="false">$G12084*'Analyse capacite'!$D$8</f>
        <v>0</v>
      </c>
      <c r="K12084" s="135" t="n">
        <f aca="false">$G12084*'Analyse capacite'!$E$8</f>
        <v>0</v>
      </c>
    </row>
    <row r="12085" customFormat="false" ht="15" hidden="false" customHeight="false" outlineLevel="0" collapsed="false">
      <c r="B12085" s="130" t="n">
        <v>2028</v>
      </c>
      <c r="C12085" s="131" t="s">
        <v>257</v>
      </c>
      <c r="D12085" s="132" t="n">
        <v>46813</v>
      </c>
      <c r="E12085" s="131" t="s">
        <v>46</v>
      </c>
      <c r="F12085" s="133" t="s">
        <v>24</v>
      </c>
      <c r="G12085" s="134" t="n">
        <f aca="false">LEN('Saisie programme'!$F$462)+SUMIFS('Vols additionnels'!$E$7:$E$66,'Vols additionnels'!$C$7:$C$66,$E12085,'Vols additionnels'!$D$7:$D$66,$F12085,'Vols additionnels'!$B$7:$B$66,$D12085)</f>
        <v>0</v>
      </c>
      <c r="H12085" s="135" t="n">
        <f aca="false">$G12085*'Analyse capacite'!$F$9</f>
        <v>0</v>
      </c>
      <c r="I12085" s="135" t="n">
        <f aca="false">$G12085*'Analyse capacite'!$C$9</f>
        <v>0</v>
      </c>
      <c r="J12085" s="135" t="n">
        <f aca="false">$G12085*'Analyse capacite'!$D$9</f>
        <v>0</v>
      </c>
      <c r="K12085" s="135" t="n">
        <f aca="false">$G12085*'Analyse capacite'!$E$9</f>
        <v>0</v>
      </c>
    </row>
    <row r="12086" customFormat="false" ht="15" hidden="false" customHeight="false" outlineLevel="0" collapsed="false">
      <c r="B12086" s="130" t="n">
        <v>2028</v>
      </c>
      <c r="C12086" s="131" t="s">
        <v>257</v>
      </c>
      <c r="D12086" s="132" t="n">
        <v>46813</v>
      </c>
      <c r="E12086" s="131" t="s">
        <v>49</v>
      </c>
      <c r="F12086" s="133" t="s">
        <v>11</v>
      </c>
      <c r="G12086" s="134" t="n">
        <f aca="false">LEN('Saisie programme'!$F$463)+SUMIFS('Vols additionnels'!$E$7:$E$66,'Vols additionnels'!$C$7:$C$66,$E12086,'Vols additionnels'!$D$7:$D$66,$F12086,'Vols additionnels'!$B$7:$B$66,$D12086)</f>
        <v>0</v>
      </c>
      <c r="H12086" s="135" t="n">
        <f aca="false">$G12086*'Analyse capacite'!$F$7</f>
        <v>0</v>
      </c>
      <c r="I12086" s="135" t="n">
        <f aca="false">$G12086*'Analyse capacite'!$C$7</f>
        <v>0</v>
      </c>
      <c r="J12086" s="135" t="n">
        <f aca="false">$G12086*'Analyse capacite'!$D$7</f>
        <v>0</v>
      </c>
      <c r="K12086" s="135" t="n">
        <f aca="false">$G12086*'Analyse capacite'!$E$7</f>
        <v>0</v>
      </c>
    </row>
    <row r="12087" customFormat="false" ht="15" hidden="false" customHeight="false" outlineLevel="0" collapsed="false">
      <c r="B12087" s="130" t="n">
        <v>2028</v>
      </c>
      <c r="C12087" s="131" t="s">
        <v>257</v>
      </c>
      <c r="D12087" s="132" t="n">
        <v>46813</v>
      </c>
      <c r="E12087" s="131" t="s">
        <v>49</v>
      </c>
      <c r="F12087" s="133" t="s">
        <v>19</v>
      </c>
      <c r="G12087" s="134" t="n">
        <f aca="false">LEN('Saisie programme'!$F$464)+SUMIFS('Vols additionnels'!$E$7:$E$66,'Vols additionnels'!$C$7:$C$66,$E12087,'Vols additionnels'!$D$7:$D$66,$F12087,'Vols additionnels'!$B$7:$B$66,$D12087)</f>
        <v>0</v>
      </c>
      <c r="H12087" s="135" t="n">
        <f aca="false">$G12087*'Analyse capacite'!$F$8</f>
        <v>0</v>
      </c>
      <c r="I12087" s="135" t="n">
        <f aca="false">$G12087*'Analyse capacite'!$C$8</f>
        <v>0</v>
      </c>
      <c r="J12087" s="135" t="n">
        <f aca="false">$G12087*'Analyse capacite'!$D$8</f>
        <v>0</v>
      </c>
      <c r="K12087" s="135" t="n">
        <f aca="false">$G12087*'Analyse capacite'!$E$8</f>
        <v>0</v>
      </c>
    </row>
    <row r="12088" customFormat="false" ht="15" hidden="false" customHeight="false" outlineLevel="0" collapsed="false">
      <c r="B12088" s="130" t="n">
        <v>2028</v>
      </c>
      <c r="C12088" s="131" t="s">
        <v>257</v>
      </c>
      <c r="D12088" s="132" t="n">
        <v>46813</v>
      </c>
      <c r="E12088" s="131" t="s">
        <v>49</v>
      </c>
      <c r="F12088" s="133" t="s">
        <v>24</v>
      </c>
      <c r="G12088" s="134" t="n">
        <f aca="false">LEN('Saisie programme'!$F$465)+SUMIFS('Vols additionnels'!$E$7:$E$66,'Vols additionnels'!$C$7:$C$66,$E12088,'Vols additionnels'!$D$7:$D$66,$F12088,'Vols additionnels'!$B$7:$B$66,$D12088)</f>
        <v>0</v>
      </c>
      <c r="H12088" s="135" t="n">
        <f aca="false">$G12088*'Analyse capacite'!$F$9</f>
        <v>0</v>
      </c>
      <c r="I12088" s="135" t="n">
        <f aca="false">$G12088*'Analyse capacite'!$C$9</f>
        <v>0</v>
      </c>
      <c r="J12088" s="135" t="n">
        <f aca="false">$G12088*'Analyse capacite'!$D$9</f>
        <v>0</v>
      </c>
      <c r="K12088" s="135" t="n">
        <f aca="false">$G12088*'Analyse capacite'!$E$9</f>
        <v>0</v>
      </c>
    </row>
    <row r="12089" customFormat="false" ht="15" hidden="false" customHeight="false" outlineLevel="0" collapsed="false">
      <c r="B12089" s="130" t="n">
        <v>2028</v>
      </c>
      <c r="C12089" s="131" t="s">
        <v>257</v>
      </c>
      <c r="D12089" s="132" t="n">
        <v>46813</v>
      </c>
      <c r="E12089" s="131" t="s">
        <v>53</v>
      </c>
      <c r="F12089" s="133" t="s">
        <v>11</v>
      </c>
      <c r="G12089" s="134" t="n">
        <f aca="false">LEN('Saisie programme'!$F$466)+SUMIFS('Vols additionnels'!$E$7:$E$66,'Vols additionnels'!$C$7:$C$66,$E12089,'Vols additionnels'!$D$7:$D$66,$F12089,'Vols additionnels'!$B$7:$B$66,$D12089)</f>
        <v>0</v>
      </c>
      <c r="H12089" s="135" t="n">
        <f aca="false">$G12089*'Analyse capacite'!$F$7</f>
        <v>0</v>
      </c>
      <c r="I12089" s="135" t="n">
        <f aca="false">$G12089*'Analyse capacite'!$C$7</f>
        <v>0</v>
      </c>
      <c r="J12089" s="135" t="n">
        <f aca="false">$G12089*'Analyse capacite'!$D$7</f>
        <v>0</v>
      </c>
      <c r="K12089" s="135" t="n">
        <f aca="false">$G12089*'Analyse capacite'!$E$7</f>
        <v>0</v>
      </c>
    </row>
    <row r="12090" customFormat="false" ht="15" hidden="false" customHeight="false" outlineLevel="0" collapsed="false">
      <c r="B12090" s="130" t="n">
        <v>2028</v>
      </c>
      <c r="C12090" s="131" t="s">
        <v>257</v>
      </c>
      <c r="D12090" s="132" t="n">
        <v>46813</v>
      </c>
      <c r="E12090" s="131" t="s">
        <v>53</v>
      </c>
      <c r="F12090" s="133" t="s">
        <v>19</v>
      </c>
      <c r="G12090" s="134" t="n">
        <f aca="false">LEN('Saisie programme'!$F$467)+SUMIFS('Vols additionnels'!$E$7:$E$66,'Vols additionnels'!$C$7:$C$66,$E12090,'Vols additionnels'!$D$7:$D$66,$F12090,'Vols additionnels'!$B$7:$B$66,$D12090)</f>
        <v>0</v>
      </c>
      <c r="H12090" s="135" t="n">
        <f aca="false">$G12090*'Analyse capacite'!$F$8</f>
        <v>0</v>
      </c>
      <c r="I12090" s="135" t="n">
        <f aca="false">$G12090*'Analyse capacite'!$C$8</f>
        <v>0</v>
      </c>
      <c r="J12090" s="135" t="n">
        <f aca="false">$G12090*'Analyse capacite'!$D$8</f>
        <v>0</v>
      </c>
      <c r="K12090" s="135" t="n">
        <f aca="false">$G12090*'Analyse capacite'!$E$8</f>
        <v>0</v>
      </c>
    </row>
    <row r="12091" customFormat="false" ht="15" hidden="false" customHeight="false" outlineLevel="0" collapsed="false">
      <c r="B12091" s="130" t="n">
        <v>2028</v>
      </c>
      <c r="C12091" s="131" t="s">
        <v>257</v>
      </c>
      <c r="D12091" s="132" t="n">
        <v>46813</v>
      </c>
      <c r="E12091" s="131" t="s">
        <v>53</v>
      </c>
      <c r="F12091" s="133" t="s">
        <v>24</v>
      </c>
      <c r="G12091" s="134" t="n">
        <f aca="false">LEN('Saisie programme'!$F$468)+SUMIFS('Vols additionnels'!$E$7:$E$66,'Vols additionnels'!$C$7:$C$66,$E12091,'Vols additionnels'!$D$7:$D$66,$F12091,'Vols additionnels'!$B$7:$B$66,$D12091)</f>
        <v>0</v>
      </c>
      <c r="H12091" s="135" t="n">
        <f aca="false">$G12091*'Analyse capacite'!$F$9</f>
        <v>0</v>
      </c>
      <c r="I12091" s="135" t="n">
        <f aca="false">$G12091*'Analyse capacite'!$C$9</f>
        <v>0</v>
      </c>
      <c r="J12091" s="135" t="n">
        <f aca="false">$G12091*'Analyse capacite'!$D$9</f>
        <v>0</v>
      </c>
      <c r="K12091" s="135" t="n">
        <f aca="false">$G12091*'Analyse capacite'!$E$9</f>
        <v>0</v>
      </c>
    </row>
    <row r="12092" customFormat="false" ht="15" hidden="false" customHeight="false" outlineLevel="0" collapsed="false">
      <c r="B12092" s="130" t="n">
        <v>2028</v>
      </c>
      <c r="C12092" s="131" t="s">
        <v>257</v>
      </c>
      <c r="D12092" s="132" t="n">
        <v>46813</v>
      </c>
      <c r="E12092" s="131" t="s">
        <v>56</v>
      </c>
      <c r="F12092" s="133" t="s">
        <v>11</v>
      </c>
      <c r="G12092" s="134" t="n">
        <f aca="false">LEN('Saisie programme'!$F$469)+SUMIFS('Vols additionnels'!$E$7:$E$66,'Vols additionnels'!$C$7:$C$66,$E12092,'Vols additionnels'!$D$7:$D$66,$F12092,'Vols additionnels'!$B$7:$B$66,$D12092)</f>
        <v>0</v>
      </c>
      <c r="H12092" s="135" t="n">
        <f aca="false">$G12092*'Analyse capacite'!$F$7</f>
        <v>0</v>
      </c>
      <c r="I12092" s="135" t="n">
        <f aca="false">$G12092*'Analyse capacite'!$C$7</f>
        <v>0</v>
      </c>
      <c r="J12092" s="135" t="n">
        <f aca="false">$G12092*'Analyse capacite'!$D$7</f>
        <v>0</v>
      </c>
      <c r="K12092" s="135" t="n">
        <f aca="false">$G12092*'Analyse capacite'!$E$7</f>
        <v>0</v>
      </c>
    </row>
    <row r="12093" customFormat="false" ht="15" hidden="false" customHeight="false" outlineLevel="0" collapsed="false">
      <c r="B12093" s="130" t="n">
        <v>2028</v>
      </c>
      <c r="C12093" s="131" t="s">
        <v>257</v>
      </c>
      <c r="D12093" s="132" t="n">
        <v>46813</v>
      </c>
      <c r="E12093" s="131" t="s">
        <v>56</v>
      </c>
      <c r="F12093" s="133" t="s">
        <v>19</v>
      </c>
      <c r="G12093" s="134" t="n">
        <f aca="false">LEN('Saisie programme'!$F$470)+SUMIFS('Vols additionnels'!$E$7:$E$66,'Vols additionnels'!$C$7:$C$66,$E12093,'Vols additionnels'!$D$7:$D$66,$F12093,'Vols additionnels'!$B$7:$B$66,$D12093)</f>
        <v>0</v>
      </c>
      <c r="H12093" s="135" t="n">
        <f aca="false">$G12093*'Analyse capacite'!$F$8</f>
        <v>0</v>
      </c>
      <c r="I12093" s="135" t="n">
        <f aca="false">$G12093*'Analyse capacite'!$C$8</f>
        <v>0</v>
      </c>
      <c r="J12093" s="135" t="n">
        <f aca="false">$G12093*'Analyse capacite'!$D$8</f>
        <v>0</v>
      </c>
      <c r="K12093" s="135" t="n">
        <f aca="false">$G12093*'Analyse capacite'!$E$8</f>
        <v>0</v>
      </c>
    </row>
    <row r="12094" customFormat="false" ht="15" hidden="false" customHeight="false" outlineLevel="0" collapsed="false">
      <c r="B12094" s="130" t="n">
        <v>2028</v>
      </c>
      <c r="C12094" s="131" t="s">
        <v>257</v>
      </c>
      <c r="D12094" s="132" t="n">
        <v>46813</v>
      </c>
      <c r="E12094" s="131" t="s">
        <v>56</v>
      </c>
      <c r="F12094" s="133" t="s">
        <v>24</v>
      </c>
      <c r="G12094" s="134" t="n">
        <f aca="false">LEN('Saisie programme'!$F$471)+SUMIFS('Vols additionnels'!$E$7:$E$66,'Vols additionnels'!$C$7:$C$66,$E12094,'Vols additionnels'!$D$7:$D$66,$F12094,'Vols additionnels'!$B$7:$B$66,$D12094)</f>
        <v>0</v>
      </c>
      <c r="H12094" s="135" t="n">
        <f aca="false">$G12094*'Analyse capacite'!$F$9</f>
        <v>0</v>
      </c>
      <c r="I12094" s="135" t="n">
        <f aca="false">$G12094*'Analyse capacite'!$C$9</f>
        <v>0</v>
      </c>
      <c r="J12094" s="135" t="n">
        <f aca="false">$G12094*'Analyse capacite'!$D$9</f>
        <v>0</v>
      </c>
      <c r="K12094" s="135" t="n">
        <f aca="false">$G12094*'Analyse capacite'!$E$9</f>
        <v>0</v>
      </c>
    </row>
    <row r="12095" customFormat="false" ht="15" hidden="false" customHeight="false" outlineLevel="0" collapsed="false">
      <c r="B12095" s="130" t="n">
        <v>2028</v>
      </c>
      <c r="C12095" s="131" t="s">
        <v>257</v>
      </c>
      <c r="D12095" s="132" t="n">
        <v>46813</v>
      </c>
      <c r="E12095" s="131" t="s">
        <v>59</v>
      </c>
      <c r="F12095" s="133" t="s">
        <v>11</v>
      </c>
      <c r="G12095" s="134" t="n">
        <f aca="false">LEN('Saisie programme'!$F$472)+SUMIFS('Vols additionnels'!$E$7:$E$66,'Vols additionnels'!$C$7:$C$66,$E12095,'Vols additionnels'!$D$7:$D$66,$F12095,'Vols additionnels'!$B$7:$B$66,$D12095)</f>
        <v>0</v>
      </c>
      <c r="H12095" s="135" t="n">
        <f aca="false">$G12095*'Analyse capacite'!$F$7</f>
        <v>0</v>
      </c>
      <c r="I12095" s="135" t="n">
        <f aca="false">$G12095*'Analyse capacite'!$C$7</f>
        <v>0</v>
      </c>
      <c r="J12095" s="135" t="n">
        <f aca="false">$G12095*'Analyse capacite'!$D$7</f>
        <v>0</v>
      </c>
      <c r="K12095" s="135" t="n">
        <f aca="false">$G12095*'Analyse capacite'!$E$7</f>
        <v>0</v>
      </c>
    </row>
    <row r="12096" customFormat="false" ht="15" hidden="false" customHeight="false" outlineLevel="0" collapsed="false">
      <c r="B12096" s="130" t="n">
        <v>2028</v>
      </c>
      <c r="C12096" s="131" t="s">
        <v>257</v>
      </c>
      <c r="D12096" s="132" t="n">
        <v>46813</v>
      </c>
      <c r="E12096" s="131" t="s">
        <v>59</v>
      </c>
      <c r="F12096" s="133" t="s">
        <v>19</v>
      </c>
      <c r="G12096" s="134" t="n">
        <f aca="false">LEN('Saisie programme'!$F$473)+SUMIFS('Vols additionnels'!$E$7:$E$66,'Vols additionnels'!$C$7:$C$66,$E12096,'Vols additionnels'!$D$7:$D$66,$F12096,'Vols additionnels'!$B$7:$B$66,$D12096)</f>
        <v>0</v>
      </c>
      <c r="H12096" s="135" t="n">
        <f aca="false">$G12096*'Analyse capacite'!$F$8</f>
        <v>0</v>
      </c>
      <c r="I12096" s="135" t="n">
        <f aca="false">$G12096*'Analyse capacite'!$C$8</f>
        <v>0</v>
      </c>
      <c r="J12096" s="135" t="n">
        <f aca="false">$G12096*'Analyse capacite'!$D$8</f>
        <v>0</v>
      </c>
      <c r="K12096" s="135" t="n">
        <f aca="false">$G12096*'Analyse capacite'!$E$8</f>
        <v>0</v>
      </c>
    </row>
    <row r="12097" customFormat="false" ht="15" hidden="false" customHeight="false" outlineLevel="0" collapsed="false">
      <c r="B12097" s="130" t="n">
        <v>2028</v>
      </c>
      <c r="C12097" s="131" t="s">
        <v>257</v>
      </c>
      <c r="D12097" s="132" t="n">
        <v>46813</v>
      </c>
      <c r="E12097" s="131" t="s">
        <v>59</v>
      </c>
      <c r="F12097" s="133" t="s">
        <v>24</v>
      </c>
      <c r="G12097" s="134" t="n">
        <f aca="false">LEN('Saisie programme'!$F$474)+SUMIFS('Vols additionnels'!$E$7:$E$66,'Vols additionnels'!$C$7:$C$66,$E12097,'Vols additionnels'!$D$7:$D$66,$F12097,'Vols additionnels'!$B$7:$B$66,$D12097)</f>
        <v>1</v>
      </c>
      <c r="H12097" s="135" t="n">
        <f aca="false">$G12097*'Analyse capacite'!$F$9</f>
        <v>174</v>
      </c>
      <c r="I12097" s="135" t="n">
        <f aca="false">$G12097*'Analyse capacite'!$C$9</f>
        <v>0</v>
      </c>
      <c r="J12097" s="135" t="n">
        <f aca="false">$G12097*'Analyse capacite'!$D$9</f>
        <v>12</v>
      </c>
      <c r="K12097" s="135" t="n">
        <f aca="false">$G12097*'Analyse capacite'!$E$9</f>
        <v>162</v>
      </c>
    </row>
    <row r="12098" customFormat="false" ht="15" hidden="false" customHeight="false" outlineLevel="0" collapsed="false">
      <c r="B12098" s="130" t="n">
        <v>2028</v>
      </c>
      <c r="C12098" s="131" t="s">
        <v>257</v>
      </c>
      <c r="D12098" s="132" t="n">
        <v>46813</v>
      </c>
      <c r="E12098" s="131" t="s">
        <v>62</v>
      </c>
      <c r="F12098" s="133" t="s">
        <v>11</v>
      </c>
      <c r="G12098" s="134" t="n">
        <f aca="false">LEN('Saisie programme'!$F$475)+SUMIFS('Vols additionnels'!$E$7:$E$66,'Vols additionnels'!$C$7:$C$66,$E12098,'Vols additionnels'!$D$7:$D$66,$F12098,'Vols additionnels'!$B$7:$B$66,$D12098)</f>
        <v>0</v>
      </c>
      <c r="H12098" s="135" t="n">
        <f aca="false">$G12098*'Analyse capacite'!$F$7</f>
        <v>0</v>
      </c>
      <c r="I12098" s="135" t="n">
        <f aca="false">$G12098*'Analyse capacite'!$C$7</f>
        <v>0</v>
      </c>
      <c r="J12098" s="135" t="n">
        <f aca="false">$G12098*'Analyse capacite'!$D$7</f>
        <v>0</v>
      </c>
      <c r="K12098" s="135" t="n">
        <f aca="false">$G12098*'Analyse capacite'!$E$7</f>
        <v>0</v>
      </c>
    </row>
    <row r="12099" customFormat="false" ht="15" hidden="false" customHeight="false" outlineLevel="0" collapsed="false">
      <c r="B12099" s="130" t="n">
        <v>2028</v>
      </c>
      <c r="C12099" s="131" t="s">
        <v>257</v>
      </c>
      <c r="D12099" s="132" t="n">
        <v>46813</v>
      </c>
      <c r="E12099" s="131" t="s">
        <v>62</v>
      </c>
      <c r="F12099" s="133" t="s">
        <v>19</v>
      </c>
      <c r="G12099" s="134" t="n">
        <f aca="false">LEN('Saisie programme'!$F$476)+SUMIFS('Vols additionnels'!$E$7:$E$66,'Vols additionnels'!$C$7:$C$66,$E12099,'Vols additionnels'!$D$7:$D$66,$F12099,'Vols additionnels'!$B$7:$B$66,$D12099)</f>
        <v>0</v>
      </c>
      <c r="H12099" s="135" t="n">
        <f aca="false">$G12099*'Analyse capacite'!$F$8</f>
        <v>0</v>
      </c>
      <c r="I12099" s="135" t="n">
        <f aca="false">$G12099*'Analyse capacite'!$C$8</f>
        <v>0</v>
      </c>
      <c r="J12099" s="135" t="n">
        <f aca="false">$G12099*'Analyse capacite'!$D$8</f>
        <v>0</v>
      </c>
      <c r="K12099" s="135" t="n">
        <f aca="false">$G12099*'Analyse capacite'!$E$8</f>
        <v>0</v>
      </c>
    </row>
    <row r="12100" customFormat="false" ht="15" hidden="false" customHeight="false" outlineLevel="0" collapsed="false">
      <c r="B12100" s="130" t="n">
        <v>2028</v>
      </c>
      <c r="C12100" s="131" t="s">
        <v>257</v>
      </c>
      <c r="D12100" s="132" t="n">
        <v>46813</v>
      </c>
      <c r="E12100" s="131" t="s">
        <v>62</v>
      </c>
      <c r="F12100" s="133" t="s">
        <v>24</v>
      </c>
      <c r="G12100" s="134" t="n">
        <f aca="false">LEN('Saisie programme'!$F$477)+SUMIFS('Vols additionnels'!$E$7:$E$66,'Vols additionnels'!$C$7:$C$66,$E12100,'Vols additionnels'!$D$7:$D$66,$F12100,'Vols additionnels'!$B$7:$B$66,$D12100)</f>
        <v>1</v>
      </c>
      <c r="H12100" s="135" t="n">
        <f aca="false">$G12100*'Analyse capacite'!$F$9</f>
        <v>174</v>
      </c>
      <c r="I12100" s="135" t="n">
        <f aca="false">$G12100*'Analyse capacite'!$C$9</f>
        <v>0</v>
      </c>
      <c r="J12100" s="135" t="n">
        <f aca="false">$G12100*'Analyse capacite'!$D$9</f>
        <v>12</v>
      </c>
      <c r="K12100" s="135" t="n">
        <f aca="false">$G12100*'Analyse capacite'!$E$9</f>
        <v>162</v>
      </c>
    </row>
    <row r="12101" customFormat="false" ht="15" hidden="false" customHeight="false" outlineLevel="0" collapsed="false">
      <c r="B12101" s="130" t="n">
        <v>2028</v>
      </c>
      <c r="C12101" s="131" t="s">
        <v>257</v>
      </c>
      <c r="D12101" s="132" t="n">
        <v>46814</v>
      </c>
      <c r="E12101" s="131" t="s">
        <v>12</v>
      </c>
      <c r="F12101" s="133" t="s">
        <v>11</v>
      </c>
      <c r="G12101" s="134" t="n">
        <f aca="false">LEN('Saisie programme'!$G$442)+SUMIFS('Vols additionnels'!$E$7:$E$66,'Vols additionnels'!$C$7:$C$66,$E12101,'Vols additionnels'!$D$7:$D$66,$F12101,'Vols additionnels'!$B$7:$B$66,$D12101)</f>
        <v>1</v>
      </c>
      <c r="H12101" s="135" t="n">
        <f aca="false">$G12101*'Analyse capacite'!$F$7</f>
        <v>438</v>
      </c>
      <c r="I12101" s="135" t="n">
        <f aca="false">$G12101*'Analyse capacite'!$C$7</f>
        <v>14</v>
      </c>
      <c r="J12101" s="135" t="n">
        <f aca="false">$G12101*'Analyse capacite'!$D$7</f>
        <v>40</v>
      </c>
      <c r="K12101" s="135" t="n">
        <f aca="false">$G12101*'Analyse capacite'!$E$7</f>
        <v>384</v>
      </c>
    </row>
    <row r="12102" customFormat="false" ht="15" hidden="false" customHeight="false" outlineLevel="0" collapsed="false">
      <c r="B12102" s="130" t="n">
        <v>2028</v>
      </c>
      <c r="C12102" s="131" t="s">
        <v>257</v>
      </c>
      <c r="D12102" s="132" t="n">
        <v>46814</v>
      </c>
      <c r="E12102" s="131" t="s">
        <v>12</v>
      </c>
      <c r="F12102" s="133" t="s">
        <v>19</v>
      </c>
      <c r="G12102" s="134" t="n">
        <f aca="false">LEN('Saisie programme'!$G$443)+SUMIFS('Vols additionnels'!$E$7:$E$66,'Vols additionnels'!$C$7:$C$66,$E12102,'Vols additionnels'!$D$7:$D$66,$F12102,'Vols additionnels'!$B$7:$B$66,$D12102)</f>
        <v>0</v>
      </c>
      <c r="H12102" s="135" t="n">
        <f aca="false">$G12102*'Analyse capacite'!$F$8</f>
        <v>0</v>
      </c>
      <c r="I12102" s="135" t="n">
        <f aca="false">$G12102*'Analyse capacite'!$C$8</f>
        <v>0</v>
      </c>
      <c r="J12102" s="135" t="n">
        <f aca="false">$G12102*'Analyse capacite'!$D$8</f>
        <v>0</v>
      </c>
      <c r="K12102" s="135" t="n">
        <f aca="false">$G12102*'Analyse capacite'!$E$8</f>
        <v>0</v>
      </c>
    </row>
    <row r="12103" customFormat="false" ht="15" hidden="false" customHeight="false" outlineLevel="0" collapsed="false">
      <c r="B12103" s="130" t="n">
        <v>2028</v>
      </c>
      <c r="C12103" s="131" t="s">
        <v>257</v>
      </c>
      <c r="D12103" s="132" t="n">
        <v>46814</v>
      </c>
      <c r="E12103" s="131" t="s">
        <v>12</v>
      </c>
      <c r="F12103" s="133" t="s">
        <v>24</v>
      </c>
      <c r="G12103" s="134" t="n">
        <f aca="false">LEN('Saisie programme'!$G$444)+SUMIFS('Vols additionnels'!$E$7:$E$66,'Vols additionnels'!$C$7:$C$66,$E12103,'Vols additionnels'!$D$7:$D$66,$F12103,'Vols additionnels'!$B$7:$B$66,$D12103)</f>
        <v>0</v>
      </c>
      <c r="H12103" s="135" t="n">
        <f aca="false">$G12103*'Analyse capacite'!$F$9</f>
        <v>0</v>
      </c>
      <c r="I12103" s="135" t="n">
        <f aca="false">$G12103*'Analyse capacite'!$C$9</f>
        <v>0</v>
      </c>
      <c r="J12103" s="135" t="n">
        <f aca="false">$G12103*'Analyse capacite'!$D$9</f>
        <v>0</v>
      </c>
      <c r="K12103" s="135" t="n">
        <f aca="false">$G12103*'Analyse capacite'!$E$9</f>
        <v>0</v>
      </c>
    </row>
    <row r="12104" customFormat="false" ht="15" hidden="false" customHeight="false" outlineLevel="0" collapsed="false">
      <c r="B12104" s="130" t="n">
        <v>2028</v>
      </c>
      <c r="C12104" s="131" t="s">
        <v>257</v>
      </c>
      <c r="D12104" s="132" t="n">
        <v>46814</v>
      </c>
      <c r="E12104" s="131" t="s">
        <v>20</v>
      </c>
      <c r="F12104" s="133" t="s">
        <v>11</v>
      </c>
      <c r="G12104" s="134" t="n">
        <f aca="false">LEN('Saisie programme'!$G$445)+SUMIFS('Vols additionnels'!$E$7:$E$66,'Vols additionnels'!$C$7:$C$66,$E12104,'Vols additionnels'!$D$7:$D$66,$F12104,'Vols additionnels'!$B$7:$B$66,$D12104)</f>
        <v>0</v>
      </c>
      <c r="H12104" s="135" t="n">
        <f aca="false">$G12104*'Analyse capacite'!$F$7</f>
        <v>0</v>
      </c>
      <c r="I12104" s="135" t="n">
        <f aca="false">$G12104*'Analyse capacite'!$C$7</f>
        <v>0</v>
      </c>
      <c r="J12104" s="135" t="n">
        <f aca="false">$G12104*'Analyse capacite'!$D$7</f>
        <v>0</v>
      </c>
      <c r="K12104" s="135" t="n">
        <f aca="false">$G12104*'Analyse capacite'!$E$7</f>
        <v>0</v>
      </c>
    </row>
    <row r="12105" customFormat="false" ht="15" hidden="false" customHeight="false" outlineLevel="0" collapsed="false">
      <c r="B12105" s="130" t="n">
        <v>2028</v>
      </c>
      <c r="C12105" s="131" t="s">
        <v>257</v>
      </c>
      <c r="D12105" s="132" t="n">
        <v>46814</v>
      </c>
      <c r="E12105" s="131" t="s">
        <v>20</v>
      </c>
      <c r="F12105" s="133" t="s">
        <v>19</v>
      </c>
      <c r="G12105" s="134" t="n">
        <f aca="false">LEN('Saisie programme'!$G$446)+SUMIFS('Vols additionnels'!$E$7:$E$66,'Vols additionnels'!$C$7:$C$66,$E12105,'Vols additionnels'!$D$7:$D$66,$F12105,'Vols additionnels'!$B$7:$B$66,$D12105)</f>
        <v>0</v>
      </c>
      <c r="H12105" s="135" t="n">
        <f aca="false">$G12105*'Analyse capacite'!$F$8</f>
        <v>0</v>
      </c>
      <c r="I12105" s="135" t="n">
        <f aca="false">$G12105*'Analyse capacite'!$C$8</f>
        <v>0</v>
      </c>
      <c r="J12105" s="135" t="n">
        <f aca="false">$G12105*'Analyse capacite'!$D$8</f>
        <v>0</v>
      </c>
      <c r="K12105" s="135" t="n">
        <f aca="false">$G12105*'Analyse capacite'!$E$8</f>
        <v>0</v>
      </c>
    </row>
    <row r="12106" customFormat="false" ht="15" hidden="false" customHeight="false" outlineLevel="0" collapsed="false">
      <c r="B12106" s="130" t="n">
        <v>2028</v>
      </c>
      <c r="C12106" s="131" t="s">
        <v>257</v>
      </c>
      <c r="D12106" s="132" t="n">
        <v>46814</v>
      </c>
      <c r="E12106" s="131" t="s">
        <v>20</v>
      </c>
      <c r="F12106" s="133" t="s">
        <v>24</v>
      </c>
      <c r="G12106" s="134" t="n">
        <f aca="false">LEN('Saisie programme'!$G$447)+SUMIFS('Vols additionnels'!$E$7:$E$66,'Vols additionnels'!$C$7:$C$66,$E12106,'Vols additionnels'!$D$7:$D$66,$F12106,'Vols additionnels'!$B$7:$B$66,$D12106)</f>
        <v>0</v>
      </c>
      <c r="H12106" s="135" t="n">
        <f aca="false">$G12106*'Analyse capacite'!$F$9</f>
        <v>0</v>
      </c>
      <c r="I12106" s="135" t="n">
        <f aca="false">$G12106*'Analyse capacite'!$C$9</f>
        <v>0</v>
      </c>
      <c r="J12106" s="135" t="n">
        <f aca="false">$G12106*'Analyse capacite'!$D$9</f>
        <v>0</v>
      </c>
      <c r="K12106" s="135" t="n">
        <f aca="false">$G12106*'Analyse capacite'!$E$9</f>
        <v>0</v>
      </c>
    </row>
    <row r="12107" customFormat="false" ht="15" hidden="false" customHeight="false" outlineLevel="0" collapsed="false">
      <c r="B12107" s="130" t="n">
        <v>2028</v>
      </c>
      <c r="C12107" s="131" t="s">
        <v>257</v>
      </c>
      <c r="D12107" s="132" t="n">
        <v>46814</v>
      </c>
      <c r="E12107" s="131" t="s">
        <v>25</v>
      </c>
      <c r="F12107" s="133" t="s">
        <v>11</v>
      </c>
      <c r="G12107" s="134" t="n">
        <f aca="false">LEN('Saisie programme'!$G$448)+SUMIFS('Vols additionnels'!$E$7:$E$66,'Vols additionnels'!$C$7:$C$66,$E12107,'Vols additionnels'!$D$7:$D$66,$F12107,'Vols additionnels'!$B$7:$B$66,$D12107)</f>
        <v>0</v>
      </c>
      <c r="H12107" s="135" t="n">
        <f aca="false">$G12107*'Analyse capacite'!$F$7</f>
        <v>0</v>
      </c>
      <c r="I12107" s="135" t="n">
        <f aca="false">$G12107*'Analyse capacite'!$C$7</f>
        <v>0</v>
      </c>
      <c r="J12107" s="135" t="n">
        <f aca="false">$G12107*'Analyse capacite'!$D$7</f>
        <v>0</v>
      </c>
      <c r="K12107" s="135" t="n">
        <f aca="false">$G12107*'Analyse capacite'!$E$7</f>
        <v>0</v>
      </c>
    </row>
    <row r="12108" customFormat="false" ht="15" hidden="false" customHeight="false" outlineLevel="0" collapsed="false">
      <c r="B12108" s="130" t="n">
        <v>2028</v>
      </c>
      <c r="C12108" s="131" t="s">
        <v>257</v>
      </c>
      <c r="D12108" s="132" t="n">
        <v>46814</v>
      </c>
      <c r="E12108" s="131" t="s">
        <v>25</v>
      </c>
      <c r="F12108" s="133" t="s">
        <v>19</v>
      </c>
      <c r="G12108" s="134" t="n">
        <f aca="false">LEN('Saisie programme'!$G$449)+SUMIFS('Vols additionnels'!$E$7:$E$66,'Vols additionnels'!$C$7:$C$66,$E12108,'Vols additionnels'!$D$7:$D$66,$F12108,'Vols additionnels'!$B$7:$B$66,$D12108)</f>
        <v>0</v>
      </c>
      <c r="H12108" s="135" t="n">
        <f aca="false">$G12108*'Analyse capacite'!$F$8</f>
        <v>0</v>
      </c>
      <c r="I12108" s="135" t="n">
        <f aca="false">$G12108*'Analyse capacite'!$C$8</f>
        <v>0</v>
      </c>
      <c r="J12108" s="135" t="n">
        <f aca="false">$G12108*'Analyse capacite'!$D$8</f>
        <v>0</v>
      </c>
      <c r="K12108" s="135" t="n">
        <f aca="false">$G12108*'Analyse capacite'!$E$8</f>
        <v>0</v>
      </c>
    </row>
    <row r="12109" customFormat="false" ht="15" hidden="false" customHeight="false" outlineLevel="0" collapsed="false">
      <c r="B12109" s="130" t="n">
        <v>2028</v>
      </c>
      <c r="C12109" s="131" t="s">
        <v>257</v>
      </c>
      <c r="D12109" s="132" t="n">
        <v>46814</v>
      </c>
      <c r="E12109" s="131" t="s">
        <v>25</v>
      </c>
      <c r="F12109" s="133" t="s">
        <v>24</v>
      </c>
      <c r="G12109" s="134" t="n">
        <f aca="false">LEN('Saisie programme'!$G$450)+SUMIFS('Vols additionnels'!$E$7:$E$66,'Vols additionnels'!$C$7:$C$66,$E12109,'Vols additionnels'!$D$7:$D$66,$F12109,'Vols additionnels'!$B$7:$B$66,$D12109)</f>
        <v>0</v>
      </c>
      <c r="H12109" s="135" t="n">
        <f aca="false">$G12109*'Analyse capacite'!$F$9</f>
        <v>0</v>
      </c>
      <c r="I12109" s="135" t="n">
        <f aca="false">$G12109*'Analyse capacite'!$C$9</f>
        <v>0</v>
      </c>
      <c r="J12109" s="135" t="n">
        <f aca="false">$G12109*'Analyse capacite'!$D$9</f>
        <v>0</v>
      </c>
      <c r="K12109" s="135" t="n">
        <f aca="false">$G12109*'Analyse capacite'!$E$9</f>
        <v>0</v>
      </c>
    </row>
    <row r="12110" customFormat="false" ht="15" hidden="false" customHeight="false" outlineLevel="0" collapsed="false">
      <c r="B12110" s="130" t="n">
        <v>2028</v>
      </c>
      <c r="C12110" s="131" t="s">
        <v>257</v>
      </c>
      <c r="D12110" s="132" t="n">
        <v>46814</v>
      </c>
      <c r="E12110" s="131" t="s">
        <v>36</v>
      </c>
      <c r="F12110" s="133" t="s">
        <v>11</v>
      </c>
      <c r="G12110" s="134" t="n">
        <f aca="false">LEN('Saisie programme'!$G$451)+SUMIFS('Vols additionnels'!$E$7:$E$66,'Vols additionnels'!$C$7:$C$66,$E12110,'Vols additionnels'!$D$7:$D$66,$F12110,'Vols additionnels'!$B$7:$B$66,$D12110)</f>
        <v>0</v>
      </c>
      <c r="H12110" s="135" t="n">
        <f aca="false">$G12110*'Analyse capacite'!$F$7</f>
        <v>0</v>
      </c>
      <c r="I12110" s="135" t="n">
        <f aca="false">$G12110*'Analyse capacite'!$C$7</f>
        <v>0</v>
      </c>
      <c r="J12110" s="135" t="n">
        <f aca="false">$G12110*'Analyse capacite'!$D$7</f>
        <v>0</v>
      </c>
      <c r="K12110" s="135" t="n">
        <f aca="false">$G12110*'Analyse capacite'!$E$7</f>
        <v>0</v>
      </c>
    </row>
    <row r="12111" customFormat="false" ht="15" hidden="false" customHeight="false" outlineLevel="0" collapsed="false">
      <c r="B12111" s="130" t="n">
        <v>2028</v>
      </c>
      <c r="C12111" s="131" t="s">
        <v>257</v>
      </c>
      <c r="D12111" s="132" t="n">
        <v>46814</v>
      </c>
      <c r="E12111" s="131" t="s">
        <v>36</v>
      </c>
      <c r="F12111" s="133" t="s">
        <v>19</v>
      </c>
      <c r="G12111" s="134" t="n">
        <f aca="false">LEN('Saisie programme'!$G$452)+SUMIFS('Vols additionnels'!$E$7:$E$66,'Vols additionnels'!$C$7:$C$66,$E12111,'Vols additionnels'!$D$7:$D$66,$F12111,'Vols additionnels'!$B$7:$B$66,$D12111)</f>
        <v>0</v>
      </c>
      <c r="H12111" s="135" t="n">
        <f aca="false">$G12111*'Analyse capacite'!$F$8</f>
        <v>0</v>
      </c>
      <c r="I12111" s="135" t="n">
        <f aca="false">$G12111*'Analyse capacite'!$C$8</f>
        <v>0</v>
      </c>
      <c r="J12111" s="135" t="n">
        <f aca="false">$G12111*'Analyse capacite'!$D$8</f>
        <v>0</v>
      </c>
      <c r="K12111" s="135" t="n">
        <f aca="false">$G12111*'Analyse capacite'!$E$8</f>
        <v>0</v>
      </c>
    </row>
    <row r="12112" customFormat="false" ht="15" hidden="false" customHeight="false" outlineLevel="0" collapsed="false">
      <c r="B12112" s="130" t="n">
        <v>2028</v>
      </c>
      <c r="C12112" s="131" t="s">
        <v>257</v>
      </c>
      <c r="D12112" s="132" t="n">
        <v>46814</v>
      </c>
      <c r="E12112" s="131" t="s">
        <v>36</v>
      </c>
      <c r="F12112" s="133" t="s">
        <v>24</v>
      </c>
      <c r="G12112" s="134" t="n">
        <f aca="false">LEN('Saisie programme'!$G$453)+SUMIFS('Vols additionnels'!$E$7:$E$66,'Vols additionnels'!$C$7:$C$66,$E12112,'Vols additionnels'!$D$7:$D$66,$F12112,'Vols additionnels'!$B$7:$B$66,$D12112)</f>
        <v>1</v>
      </c>
      <c r="H12112" s="135" t="n">
        <f aca="false">$G12112*'Analyse capacite'!$F$9</f>
        <v>174</v>
      </c>
      <c r="I12112" s="135" t="n">
        <f aca="false">$G12112*'Analyse capacite'!$C$9</f>
        <v>0</v>
      </c>
      <c r="J12112" s="135" t="n">
        <f aca="false">$G12112*'Analyse capacite'!$D$9</f>
        <v>12</v>
      </c>
      <c r="K12112" s="135" t="n">
        <f aca="false">$G12112*'Analyse capacite'!$E$9</f>
        <v>162</v>
      </c>
    </row>
    <row r="12113" customFormat="false" ht="15" hidden="false" customHeight="false" outlineLevel="0" collapsed="false">
      <c r="B12113" s="130" t="n">
        <v>2028</v>
      </c>
      <c r="C12113" s="131" t="s">
        <v>257</v>
      </c>
      <c r="D12113" s="132" t="n">
        <v>46814</v>
      </c>
      <c r="E12113" s="131" t="s">
        <v>40</v>
      </c>
      <c r="F12113" s="133" t="s">
        <v>11</v>
      </c>
      <c r="G12113" s="134" t="n">
        <f aca="false">LEN('Saisie programme'!$G$454)+SUMIFS('Vols additionnels'!$E$7:$E$66,'Vols additionnels'!$C$7:$C$66,$E12113,'Vols additionnels'!$D$7:$D$66,$F12113,'Vols additionnels'!$B$7:$B$66,$D12113)</f>
        <v>0</v>
      </c>
      <c r="H12113" s="135" t="n">
        <f aca="false">$G12113*'Analyse capacite'!$F$7</f>
        <v>0</v>
      </c>
      <c r="I12113" s="135" t="n">
        <f aca="false">$G12113*'Analyse capacite'!$C$7</f>
        <v>0</v>
      </c>
      <c r="J12113" s="135" t="n">
        <f aca="false">$G12113*'Analyse capacite'!$D$7</f>
        <v>0</v>
      </c>
      <c r="K12113" s="135" t="n">
        <f aca="false">$G12113*'Analyse capacite'!$E$7</f>
        <v>0</v>
      </c>
    </row>
    <row r="12114" customFormat="false" ht="15" hidden="false" customHeight="false" outlineLevel="0" collapsed="false">
      <c r="B12114" s="130" t="n">
        <v>2028</v>
      </c>
      <c r="C12114" s="131" t="s">
        <v>257</v>
      </c>
      <c r="D12114" s="132" t="n">
        <v>46814</v>
      </c>
      <c r="E12114" s="131" t="s">
        <v>40</v>
      </c>
      <c r="F12114" s="133" t="s">
        <v>19</v>
      </c>
      <c r="G12114" s="134" t="n">
        <f aca="false">LEN('Saisie programme'!$G$455)+SUMIFS('Vols additionnels'!$E$7:$E$66,'Vols additionnels'!$C$7:$C$66,$E12114,'Vols additionnels'!$D$7:$D$66,$F12114,'Vols additionnels'!$B$7:$B$66,$D12114)</f>
        <v>0</v>
      </c>
      <c r="H12114" s="135" t="n">
        <f aca="false">$G12114*'Analyse capacite'!$F$8</f>
        <v>0</v>
      </c>
      <c r="I12114" s="135" t="n">
        <f aca="false">$G12114*'Analyse capacite'!$C$8</f>
        <v>0</v>
      </c>
      <c r="J12114" s="135" t="n">
        <f aca="false">$G12114*'Analyse capacite'!$D$8</f>
        <v>0</v>
      </c>
      <c r="K12114" s="135" t="n">
        <f aca="false">$G12114*'Analyse capacite'!$E$8</f>
        <v>0</v>
      </c>
    </row>
    <row r="12115" customFormat="false" ht="15" hidden="false" customHeight="false" outlineLevel="0" collapsed="false">
      <c r="B12115" s="130" t="n">
        <v>2028</v>
      </c>
      <c r="C12115" s="131" t="s">
        <v>257</v>
      </c>
      <c r="D12115" s="132" t="n">
        <v>46814</v>
      </c>
      <c r="E12115" s="131" t="s">
        <v>40</v>
      </c>
      <c r="F12115" s="133" t="s">
        <v>24</v>
      </c>
      <c r="G12115" s="134" t="n">
        <f aca="false">LEN('Saisie programme'!$G$456)+SUMIFS('Vols additionnels'!$E$7:$E$66,'Vols additionnels'!$C$7:$C$66,$E12115,'Vols additionnels'!$D$7:$D$66,$F12115,'Vols additionnels'!$B$7:$B$66,$D12115)</f>
        <v>0</v>
      </c>
      <c r="H12115" s="135" t="n">
        <f aca="false">$G12115*'Analyse capacite'!$F$9</f>
        <v>0</v>
      </c>
      <c r="I12115" s="135" t="n">
        <f aca="false">$G12115*'Analyse capacite'!$C$9</f>
        <v>0</v>
      </c>
      <c r="J12115" s="135" t="n">
        <f aca="false">$G12115*'Analyse capacite'!$D$9</f>
        <v>0</v>
      </c>
      <c r="K12115" s="135" t="n">
        <f aca="false">$G12115*'Analyse capacite'!$E$9</f>
        <v>0</v>
      </c>
    </row>
    <row r="12116" customFormat="false" ht="15" hidden="false" customHeight="false" outlineLevel="0" collapsed="false">
      <c r="B12116" s="130" t="n">
        <v>2028</v>
      </c>
      <c r="C12116" s="131" t="s">
        <v>257</v>
      </c>
      <c r="D12116" s="132" t="n">
        <v>46814</v>
      </c>
      <c r="E12116" s="131" t="s">
        <v>14</v>
      </c>
      <c r="F12116" s="133" t="s">
        <v>11</v>
      </c>
      <c r="G12116" s="134" t="n">
        <f aca="false">LEN('Saisie programme'!$G$457)+SUMIFS('Vols additionnels'!$E$7:$E$66,'Vols additionnels'!$C$7:$C$66,$E12116,'Vols additionnels'!$D$7:$D$66,$F12116,'Vols additionnels'!$B$7:$B$66,$D12116)</f>
        <v>0</v>
      </c>
      <c r="H12116" s="135" t="n">
        <f aca="false">$G12116*'Analyse capacite'!$F$7</f>
        <v>0</v>
      </c>
      <c r="I12116" s="135" t="n">
        <f aca="false">$G12116*'Analyse capacite'!$C$7</f>
        <v>0</v>
      </c>
      <c r="J12116" s="135" t="n">
        <f aca="false">$G12116*'Analyse capacite'!$D$7</f>
        <v>0</v>
      </c>
      <c r="K12116" s="135" t="n">
        <f aca="false">$G12116*'Analyse capacite'!$E$7</f>
        <v>0</v>
      </c>
    </row>
    <row r="12117" customFormat="false" ht="15" hidden="false" customHeight="false" outlineLevel="0" collapsed="false">
      <c r="B12117" s="130" t="n">
        <v>2028</v>
      </c>
      <c r="C12117" s="131" t="s">
        <v>257</v>
      </c>
      <c r="D12117" s="132" t="n">
        <v>46814</v>
      </c>
      <c r="E12117" s="131" t="s">
        <v>14</v>
      </c>
      <c r="F12117" s="133" t="s">
        <v>19</v>
      </c>
      <c r="G12117" s="134" t="n">
        <f aca="false">LEN('Saisie programme'!$G$458)+SUMIFS('Vols additionnels'!$E$7:$E$66,'Vols additionnels'!$C$7:$C$66,$E12117,'Vols additionnels'!$D$7:$D$66,$F12117,'Vols additionnels'!$B$7:$B$66,$D12117)</f>
        <v>0</v>
      </c>
      <c r="H12117" s="135" t="n">
        <f aca="false">$G12117*'Analyse capacite'!$F$8</f>
        <v>0</v>
      </c>
      <c r="I12117" s="135" t="n">
        <f aca="false">$G12117*'Analyse capacite'!$C$8</f>
        <v>0</v>
      </c>
      <c r="J12117" s="135" t="n">
        <f aca="false">$G12117*'Analyse capacite'!$D$8</f>
        <v>0</v>
      </c>
      <c r="K12117" s="135" t="n">
        <f aca="false">$G12117*'Analyse capacite'!$E$8</f>
        <v>0</v>
      </c>
    </row>
    <row r="12118" customFormat="false" ht="15" hidden="false" customHeight="false" outlineLevel="0" collapsed="false">
      <c r="B12118" s="130" t="n">
        <v>2028</v>
      </c>
      <c r="C12118" s="131" t="s">
        <v>257</v>
      </c>
      <c r="D12118" s="132" t="n">
        <v>46814</v>
      </c>
      <c r="E12118" s="131" t="s">
        <v>14</v>
      </c>
      <c r="F12118" s="133" t="s">
        <v>24</v>
      </c>
      <c r="G12118" s="134" t="n">
        <f aca="false">LEN('Saisie programme'!$G$459)+SUMIFS('Vols additionnels'!$E$7:$E$66,'Vols additionnels'!$C$7:$C$66,$E12118,'Vols additionnels'!$D$7:$D$66,$F12118,'Vols additionnels'!$B$7:$B$66,$D12118)</f>
        <v>1</v>
      </c>
      <c r="H12118" s="135" t="n">
        <f aca="false">$G12118*'Analyse capacite'!$F$9</f>
        <v>174</v>
      </c>
      <c r="I12118" s="135" t="n">
        <f aca="false">$G12118*'Analyse capacite'!$C$9</f>
        <v>0</v>
      </c>
      <c r="J12118" s="135" t="n">
        <f aca="false">$G12118*'Analyse capacite'!$D$9</f>
        <v>12</v>
      </c>
      <c r="K12118" s="135" t="n">
        <f aca="false">$G12118*'Analyse capacite'!$E$9</f>
        <v>162</v>
      </c>
    </row>
    <row r="12119" customFormat="false" ht="15" hidden="false" customHeight="false" outlineLevel="0" collapsed="false">
      <c r="B12119" s="130" t="n">
        <v>2028</v>
      </c>
      <c r="C12119" s="131" t="s">
        <v>257</v>
      </c>
      <c r="D12119" s="132" t="n">
        <v>46814</v>
      </c>
      <c r="E12119" s="131" t="s">
        <v>46</v>
      </c>
      <c r="F12119" s="133" t="s">
        <v>11</v>
      </c>
      <c r="G12119" s="134" t="n">
        <f aca="false">LEN('Saisie programme'!$G$460)+SUMIFS('Vols additionnels'!$E$7:$E$66,'Vols additionnels'!$C$7:$C$66,$E12119,'Vols additionnels'!$D$7:$D$66,$F12119,'Vols additionnels'!$B$7:$B$66,$D12119)</f>
        <v>0</v>
      </c>
      <c r="H12119" s="135" t="n">
        <f aca="false">$G12119*'Analyse capacite'!$F$7</f>
        <v>0</v>
      </c>
      <c r="I12119" s="135" t="n">
        <f aca="false">$G12119*'Analyse capacite'!$C$7</f>
        <v>0</v>
      </c>
      <c r="J12119" s="135" t="n">
        <f aca="false">$G12119*'Analyse capacite'!$D$7</f>
        <v>0</v>
      </c>
      <c r="K12119" s="135" t="n">
        <f aca="false">$G12119*'Analyse capacite'!$E$7</f>
        <v>0</v>
      </c>
    </row>
    <row r="12120" customFormat="false" ht="15" hidden="false" customHeight="false" outlineLevel="0" collapsed="false">
      <c r="B12120" s="130" t="n">
        <v>2028</v>
      </c>
      <c r="C12120" s="131" t="s">
        <v>257</v>
      </c>
      <c r="D12120" s="132" t="n">
        <v>46814</v>
      </c>
      <c r="E12120" s="131" t="s">
        <v>46</v>
      </c>
      <c r="F12120" s="133" t="s">
        <v>19</v>
      </c>
      <c r="G12120" s="134" t="n">
        <f aca="false">LEN('Saisie programme'!$G$461)+SUMIFS('Vols additionnels'!$E$7:$E$66,'Vols additionnels'!$C$7:$C$66,$E12120,'Vols additionnels'!$D$7:$D$66,$F12120,'Vols additionnels'!$B$7:$B$66,$D12120)</f>
        <v>0</v>
      </c>
      <c r="H12120" s="135" t="n">
        <f aca="false">$G12120*'Analyse capacite'!$F$8</f>
        <v>0</v>
      </c>
      <c r="I12120" s="135" t="n">
        <f aca="false">$G12120*'Analyse capacite'!$C$8</f>
        <v>0</v>
      </c>
      <c r="J12120" s="135" t="n">
        <f aca="false">$G12120*'Analyse capacite'!$D$8</f>
        <v>0</v>
      </c>
      <c r="K12120" s="135" t="n">
        <f aca="false">$G12120*'Analyse capacite'!$E$8</f>
        <v>0</v>
      </c>
    </row>
    <row r="12121" customFormat="false" ht="15" hidden="false" customHeight="false" outlineLevel="0" collapsed="false">
      <c r="B12121" s="130" t="n">
        <v>2028</v>
      </c>
      <c r="C12121" s="131" t="s">
        <v>257</v>
      </c>
      <c r="D12121" s="132" t="n">
        <v>46814</v>
      </c>
      <c r="E12121" s="131" t="s">
        <v>46</v>
      </c>
      <c r="F12121" s="133" t="s">
        <v>24</v>
      </c>
      <c r="G12121" s="134" t="n">
        <f aca="false">LEN('Saisie programme'!$G$462)+SUMIFS('Vols additionnels'!$E$7:$E$66,'Vols additionnels'!$C$7:$C$66,$E12121,'Vols additionnels'!$D$7:$D$66,$F12121,'Vols additionnels'!$B$7:$B$66,$D12121)</f>
        <v>1</v>
      </c>
      <c r="H12121" s="135" t="n">
        <f aca="false">$G12121*'Analyse capacite'!$F$9</f>
        <v>174</v>
      </c>
      <c r="I12121" s="135" t="n">
        <f aca="false">$G12121*'Analyse capacite'!$C$9</f>
        <v>0</v>
      </c>
      <c r="J12121" s="135" t="n">
        <f aca="false">$G12121*'Analyse capacite'!$D$9</f>
        <v>12</v>
      </c>
      <c r="K12121" s="135" t="n">
        <f aca="false">$G12121*'Analyse capacite'!$E$9</f>
        <v>162</v>
      </c>
    </row>
    <row r="12122" customFormat="false" ht="15" hidden="false" customHeight="false" outlineLevel="0" collapsed="false">
      <c r="B12122" s="130" t="n">
        <v>2028</v>
      </c>
      <c r="C12122" s="131" t="s">
        <v>257</v>
      </c>
      <c r="D12122" s="132" t="n">
        <v>46814</v>
      </c>
      <c r="E12122" s="131" t="s">
        <v>49</v>
      </c>
      <c r="F12122" s="133" t="s">
        <v>11</v>
      </c>
      <c r="G12122" s="134" t="n">
        <f aca="false">LEN('Saisie programme'!$G$463)+SUMIFS('Vols additionnels'!$E$7:$E$66,'Vols additionnels'!$C$7:$C$66,$E12122,'Vols additionnels'!$D$7:$D$66,$F12122,'Vols additionnels'!$B$7:$B$66,$D12122)</f>
        <v>0</v>
      </c>
      <c r="H12122" s="135" t="n">
        <f aca="false">$G12122*'Analyse capacite'!$F$7</f>
        <v>0</v>
      </c>
      <c r="I12122" s="135" t="n">
        <f aca="false">$G12122*'Analyse capacite'!$C$7</f>
        <v>0</v>
      </c>
      <c r="J12122" s="135" t="n">
        <f aca="false">$G12122*'Analyse capacite'!$D$7</f>
        <v>0</v>
      </c>
      <c r="K12122" s="135" t="n">
        <f aca="false">$G12122*'Analyse capacite'!$E$7</f>
        <v>0</v>
      </c>
    </row>
    <row r="12123" customFormat="false" ht="15" hidden="false" customHeight="false" outlineLevel="0" collapsed="false">
      <c r="B12123" s="130" t="n">
        <v>2028</v>
      </c>
      <c r="C12123" s="131" t="s">
        <v>257</v>
      </c>
      <c r="D12123" s="132" t="n">
        <v>46814</v>
      </c>
      <c r="E12123" s="131" t="s">
        <v>49</v>
      </c>
      <c r="F12123" s="133" t="s">
        <v>19</v>
      </c>
      <c r="G12123" s="134" t="n">
        <f aca="false">LEN('Saisie programme'!$G$464)+SUMIFS('Vols additionnels'!$E$7:$E$66,'Vols additionnels'!$C$7:$C$66,$E12123,'Vols additionnels'!$D$7:$D$66,$F12123,'Vols additionnels'!$B$7:$B$66,$D12123)</f>
        <v>0</v>
      </c>
      <c r="H12123" s="135" t="n">
        <f aca="false">$G12123*'Analyse capacite'!$F$8</f>
        <v>0</v>
      </c>
      <c r="I12123" s="135" t="n">
        <f aca="false">$G12123*'Analyse capacite'!$C$8</f>
        <v>0</v>
      </c>
      <c r="J12123" s="135" t="n">
        <f aca="false">$G12123*'Analyse capacite'!$D$8</f>
        <v>0</v>
      </c>
      <c r="K12123" s="135" t="n">
        <f aca="false">$G12123*'Analyse capacite'!$E$8</f>
        <v>0</v>
      </c>
    </row>
    <row r="12124" customFormat="false" ht="15" hidden="false" customHeight="false" outlineLevel="0" collapsed="false">
      <c r="B12124" s="130" t="n">
        <v>2028</v>
      </c>
      <c r="C12124" s="131" t="s">
        <v>257</v>
      </c>
      <c r="D12124" s="132" t="n">
        <v>46814</v>
      </c>
      <c r="E12124" s="131" t="s">
        <v>49</v>
      </c>
      <c r="F12124" s="133" t="s">
        <v>24</v>
      </c>
      <c r="G12124" s="134" t="n">
        <f aca="false">LEN('Saisie programme'!$G$465)+SUMIFS('Vols additionnels'!$E$7:$E$66,'Vols additionnels'!$C$7:$C$66,$E12124,'Vols additionnels'!$D$7:$D$66,$F12124,'Vols additionnels'!$B$7:$B$66,$D12124)</f>
        <v>0</v>
      </c>
      <c r="H12124" s="135" t="n">
        <f aca="false">$G12124*'Analyse capacite'!$F$9</f>
        <v>0</v>
      </c>
      <c r="I12124" s="135" t="n">
        <f aca="false">$G12124*'Analyse capacite'!$C$9</f>
        <v>0</v>
      </c>
      <c r="J12124" s="135" t="n">
        <f aca="false">$G12124*'Analyse capacite'!$D$9</f>
        <v>0</v>
      </c>
      <c r="K12124" s="135" t="n">
        <f aca="false">$G12124*'Analyse capacite'!$E$9</f>
        <v>0</v>
      </c>
    </row>
    <row r="12125" customFormat="false" ht="15" hidden="false" customHeight="false" outlineLevel="0" collapsed="false">
      <c r="B12125" s="130" t="n">
        <v>2028</v>
      </c>
      <c r="C12125" s="131" t="s">
        <v>257</v>
      </c>
      <c r="D12125" s="132" t="n">
        <v>46814</v>
      </c>
      <c r="E12125" s="131" t="s">
        <v>53</v>
      </c>
      <c r="F12125" s="133" t="s">
        <v>11</v>
      </c>
      <c r="G12125" s="134" t="n">
        <f aca="false">LEN('Saisie programme'!$G$466)+SUMIFS('Vols additionnels'!$E$7:$E$66,'Vols additionnels'!$C$7:$C$66,$E12125,'Vols additionnels'!$D$7:$D$66,$F12125,'Vols additionnels'!$B$7:$B$66,$D12125)</f>
        <v>0</v>
      </c>
      <c r="H12125" s="135" t="n">
        <f aca="false">$G12125*'Analyse capacite'!$F$7</f>
        <v>0</v>
      </c>
      <c r="I12125" s="135" t="n">
        <f aca="false">$G12125*'Analyse capacite'!$C$7</f>
        <v>0</v>
      </c>
      <c r="J12125" s="135" t="n">
        <f aca="false">$G12125*'Analyse capacite'!$D$7</f>
        <v>0</v>
      </c>
      <c r="K12125" s="135" t="n">
        <f aca="false">$G12125*'Analyse capacite'!$E$7</f>
        <v>0</v>
      </c>
    </row>
    <row r="12126" customFormat="false" ht="15" hidden="false" customHeight="false" outlineLevel="0" collapsed="false">
      <c r="B12126" s="130" t="n">
        <v>2028</v>
      </c>
      <c r="C12126" s="131" t="s">
        <v>257</v>
      </c>
      <c r="D12126" s="132" t="n">
        <v>46814</v>
      </c>
      <c r="E12126" s="131" t="s">
        <v>53</v>
      </c>
      <c r="F12126" s="133" t="s">
        <v>19</v>
      </c>
      <c r="G12126" s="134" t="n">
        <f aca="false">LEN('Saisie programme'!$G$467)+SUMIFS('Vols additionnels'!$E$7:$E$66,'Vols additionnels'!$C$7:$C$66,$E12126,'Vols additionnels'!$D$7:$D$66,$F12126,'Vols additionnels'!$B$7:$B$66,$D12126)</f>
        <v>1</v>
      </c>
      <c r="H12126" s="135" t="n">
        <f aca="false">$G12126*'Analyse capacite'!$F$8</f>
        <v>262</v>
      </c>
      <c r="I12126" s="135" t="n">
        <f aca="false">$G12126*'Analyse capacite'!$C$8</f>
        <v>18</v>
      </c>
      <c r="J12126" s="135" t="n">
        <f aca="false">$G12126*'Analyse capacite'!$D$8</f>
        <v>0</v>
      </c>
      <c r="K12126" s="135" t="n">
        <f aca="false">$G12126*'Analyse capacite'!$E$8</f>
        <v>244</v>
      </c>
    </row>
    <row r="12127" customFormat="false" ht="15" hidden="false" customHeight="false" outlineLevel="0" collapsed="false">
      <c r="B12127" s="130" t="n">
        <v>2028</v>
      </c>
      <c r="C12127" s="131" t="s">
        <v>257</v>
      </c>
      <c r="D12127" s="132" t="n">
        <v>46814</v>
      </c>
      <c r="E12127" s="131" t="s">
        <v>53</v>
      </c>
      <c r="F12127" s="133" t="s">
        <v>24</v>
      </c>
      <c r="G12127" s="134" t="n">
        <f aca="false">LEN('Saisie programme'!$G$468)+SUMIFS('Vols additionnels'!$E$7:$E$66,'Vols additionnels'!$C$7:$C$66,$E12127,'Vols additionnels'!$D$7:$D$66,$F12127,'Vols additionnels'!$B$7:$B$66,$D12127)</f>
        <v>0</v>
      </c>
      <c r="H12127" s="135" t="n">
        <f aca="false">$G12127*'Analyse capacite'!$F$9</f>
        <v>0</v>
      </c>
      <c r="I12127" s="135" t="n">
        <f aca="false">$G12127*'Analyse capacite'!$C$9</f>
        <v>0</v>
      </c>
      <c r="J12127" s="135" t="n">
        <f aca="false">$G12127*'Analyse capacite'!$D$9</f>
        <v>0</v>
      </c>
      <c r="K12127" s="135" t="n">
        <f aca="false">$G12127*'Analyse capacite'!$E$9</f>
        <v>0</v>
      </c>
    </row>
    <row r="12128" customFormat="false" ht="15" hidden="false" customHeight="false" outlineLevel="0" collapsed="false">
      <c r="B12128" s="130" t="n">
        <v>2028</v>
      </c>
      <c r="C12128" s="131" t="s">
        <v>257</v>
      </c>
      <c r="D12128" s="132" t="n">
        <v>46814</v>
      </c>
      <c r="E12128" s="131" t="s">
        <v>56</v>
      </c>
      <c r="F12128" s="133" t="s">
        <v>11</v>
      </c>
      <c r="G12128" s="134" t="n">
        <f aca="false">LEN('Saisie programme'!$G$469)+SUMIFS('Vols additionnels'!$E$7:$E$66,'Vols additionnels'!$C$7:$C$66,$E12128,'Vols additionnels'!$D$7:$D$66,$F12128,'Vols additionnels'!$B$7:$B$66,$D12128)</f>
        <v>0</v>
      </c>
      <c r="H12128" s="135" t="n">
        <f aca="false">$G12128*'Analyse capacite'!$F$7</f>
        <v>0</v>
      </c>
      <c r="I12128" s="135" t="n">
        <f aca="false">$G12128*'Analyse capacite'!$C$7</f>
        <v>0</v>
      </c>
      <c r="J12128" s="135" t="n">
        <f aca="false">$G12128*'Analyse capacite'!$D$7</f>
        <v>0</v>
      </c>
      <c r="K12128" s="135" t="n">
        <f aca="false">$G12128*'Analyse capacite'!$E$7</f>
        <v>0</v>
      </c>
    </row>
    <row r="12129" customFormat="false" ht="15" hidden="false" customHeight="false" outlineLevel="0" collapsed="false">
      <c r="B12129" s="130" t="n">
        <v>2028</v>
      </c>
      <c r="C12129" s="131" t="s">
        <v>257</v>
      </c>
      <c r="D12129" s="132" t="n">
        <v>46814</v>
      </c>
      <c r="E12129" s="131" t="s">
        <v>56</v>
      </c>
      <c r="F12129" s="133" t="s">
        <v>19</v>
      </c>
      <c r="G12129" s="134" t="n">
        <f aca="false">LEN('Saisie programme'!$G$470)+SUMIFS('Vols additionnels'!$E$7:$E$66,'Vols additionnels'!$C$7:$C$66,$E12129,'Vols additionnels'!$D$7:$D$66,$F12129,'Vols additionnels'!$B$7:$B$66,$D12129)</f>
        <v>0</v>
      </c>
      <c r="H12129" s="135" t="n">
        <f aca="false">$G12129*'Analyse capacite'!$F$8</f>
        <v>0</v>
      </c>
      <c r="I12129" s="135" t="n">
        <f aca="false">$G12129*'Analyse capacite'!$C$8</f>
        <v>0</v>
      </c>
      <c r="J12129" s="135" t="n">
        <f aca="false">$G12129*'Analyse capacite'!$D$8</f>
        <v>0</v>
      </c>
      <c r="K12129" s="135" t="n">
        <f aca="false">$G12129*'Analyse capacite'!$E$8</f>
        <v>0</v>
      </c>
    </row>
    <row r="12130" customFormat="false" ht="15" hidden="false" customHeight="false" outlineLevel="0" collapsed="false">
      <c r="B12130" s="130" t="n">
        <v>2028</v>
      </c>
      <c r="C12130" s="131" t="s">
        <v>257</v>
      </c>
      <c r="D12130" s="132" t="n">
        <v>46814</v>
      </c>
      <c r="E12130" s="131" t="s">
        <v>56</v>
      </c>
      <c r="F12130" s="133" t="s">
        <v>24</v>
      </c>
      <c r="G12130" s="134" t="n">
        <f aca="false">LEN('Saisie programme'!$G$471)+SUMIFS('Vols additionnels'!$E$7:$E$66,'Vols additionnels'!$C$7:$C$66,$E12130,'Vols additionnels'!$D$7:$D$66,$F12130,'Vols additionnels'!$B$7:$B$66,$D12130)</f>
        <v>0</v>
      </c>
      <c r="H12130" s="135" t="n">
        <f aca="false">$G12130*'Analyse capacite'!$F$9</f>
        <v>0</v>
      </c>
      <c r="I12130" s="135" t="n">
        <f aca="false">$G12130*'Analyse capacite'!$C$9</f>
        <v>0</v>
      </c>
      <c r="J12130" s="135" t="n">
        <f aca="false">$G12130*'Analyse capacite'!$D$9</f>
        <v>0</v>
      </c>
      <c r="K12130" s="135" t="n">
        <f aca="false">$G12130*'Analyse capacite'!$E$9</f>
        <v>0</v>
      </c>
    </row>
    <row r="12131" customFormat="false" ht="15" hidden="false" customHeight="false" outlineLevel="0" collapsed="false">
      <c r="B12131" s="130" t="n">
        <v>2028</v>
      </c>
      <c r="C12131" s="131" t="s">
        <v>257</v>
      </c>
      <c r="D12131" s="132" t="n">
        <v>46814</v>
      </c>
      <c r="E12131" s="131" t="s">
        <v>59</v>
      </c>
      <c r="F12131" s="133" t="s">
        <v>11</v>
      </c>
      <c r="G12131" s="134" t="n">
        <f aca="false">LEN('Saisie programme'!$G$472)+SUMIFS('Vols additionnels'!$E$7:$E$66,'Vols additionnels'!$C$7:$C$66,$E12131,'Vols additionnels'!$D$7:$D$66,$F12131,'Vols additionnels'!$B$7:$B$66,$D12131)</f>
        <v>0</v>
      </c>
      <c r="H12131" s="135" t="n">
        <f aca="false">$G12131*'Analyse capacite'!$F$7</f>
        <v>0</v>
      </c>
      <c r="I12131" s="135" t="n">
        <f aca="false">$G12131*'Analyse capacite'!$C$7</f>
        <v>0</v>
      </c>
      <c r="J12131" s="135" t="n">
        <f aca="false">$G12131*'Analyse capacite'!$D$7</f>
        <v>0</v>
      </c>
      <c r="K12131" s="135" t="n">
        <f aca="false">$G12131*'Analyse capacite'!$E$7</f>
        <v>0</v>
      </c>
    </row>
    <row r="12132" customFormat="false" ht="15" hidden="false" customHeight="false" outlineLevel="0" collapsed="false">
      <c r="B12132" s="130" t="n">
        <v>2028</v>
      </c>
      <c r="C12132" s="131" t="s">
        <v>257</v>
      </c>
      <c r="D12132" s="132" t="n">
        <v>46814</v>
      </c>
      <c r="E12132" s="131" t="s">
        <v>59</v>
      </c>
      <c r="F12132" s="133" t="s">
        <v>19</v>
      </c>
      <c r="G12132" s="134" t="n">
        <f aca="false">LEN('Saisie programme'!$G$473)+SUMIFS('Vols additionnels'!$E$7:$E$66,'Vols additionnels'!$C$7:$C$66,$E12132,'Vols additionnels'!$D$7:$D$66,$F12132,'Vols additionnels'!$B$7:$B$66,$D12132)</f>
        <v>0</v>
      </c>
      <c r="H12132" s="135" t="n">
        <f aca="false">$G12132*'Analyse capacite'!$F$8</f>
        <v>0</v>
      </c>
      <c r="I12132" s="135" t="n">
        <f aca="false">$G12132*'Analyse capacite'!$C$8</f>
        <v>0</v>
      </c>
      <c r="J12132" s="135" t="n">
        <f aca="false">$G12132*'Analyse capacite'!$D$8</f>
        <v>0</v>
      </c>
      <c r="K12132" s="135" t="n">
        <f aca="false">$G12132*'Analyse capacite'!$E$8</f>
        <v>0</v>
      </c>
    </row>
    <row r="12133" customFormat="false" ht="15" hidden="false" customHeight="false" outlineLevel="0" collapsed="false">
      <c r="B12133" s="130" t="n">
        <v>2028</v>
      </c>
      <c r="C12133" s="131" t="s">
        <v>257</v>
      </c>
      <c r="D12133" s="132" t="n">
        <v>46814</v>
      </c>
      <c r="E12133" s="131" t="s">
        <v>59</v>
      </c>
      <c r="F12133" s="133" t="s">
        <v>24</v>
      </c>
      <c r="G12133" s="134" t="n">
        <f aca="false">LEN('Saisie programme'!$G$474)+SUMIFS('Vols additionnels'!$E$7:$E$66,'Vols additionnels'!$C$7:$C$66,$E12133,'Vols additionnels'!$D$7:$D$66,$F12133,'Vols additionnels'!$B$7:$B$66,$D12133)</f>
        <v>2</v>
      </c>
      <c r="H12133" s="135" t="n">
        <f aca="false">$G12133*'Analyse capacite'!$F$9</f>
        <v>348</v>
      </c>
      <c r="I12133" s="135" t="n">
        <f aca="false">$G12133*'Analyse capacite'!$C$9</f>
        <v>0</v>
      </c>
      <c r="J12133" s="135" t="n">
        <f aca="false">$G12133*'Analyse capacite'!$D$9</f>
        <v>24</v>
      </c>
      <c r="K12133" s="135" t="n">
        <f aca="false">$G12133*'Analyse capacite'!$E$9</f>
        <v>324</v>
      </c>
    </row>
    <row r="12134" customFormat="false" ht="15" hidden="false" customHeight="false" outlineLevel="0" collapsed="false">
      <c r="B12134" s="130" t="n">
        <v>2028</v>
      </c>
      <c r="C12134" s="131" t="s">
        <v>257</v>
      </c>
      <c r="D12134" s="132" t="n">
        <v>46814</v>
      </c>
      <c r="E12134" s="131" t="s">
        <v>62</v>
      </c>
      <c r="F12134" s="133" t="s">
        <v>11</v>
      </c>
      <c r="G12134" s="134" t="n">
        <f aca="false">LEN('Saisie programme'!$G$475)+SUMIFS('Vols additionnels'!$E$7:$E$66,'Vols additionnels'!$C$7:$C$66,$E12134,'Vols additionnels'!$D$7:$D$66,$F12134,'Vols additionnels'!$B$7:$B$66,$D12134)</f>
        <v>0</v>
      </c>
      <c r="H12134" s="135" t="n">
        <f aca="false">$G12134*'Analyse capacite'!$F$7</f>
        <v>0</v>
      </c>
      <c r="I12134" s="135" t="n">
        <f aca="false">$G12134*'Analyse capacite'!$C$7</f>
        <v>0</v>
      </c>
      <c r="J12134" s="135" t="n">
        <f aca="false">$G12134*'Analyse capacite'!$D$7</f>
        <v>0</v>
      </c>
      <c r="K12134" s="135" t="n">
        <f aca="false">$G12134*'Analyse capacite'!$E$7</f>
        <v>0</v>
      </c>
    </row>
    <row r="12135" customFormat="false" ht="15" hidden="false" customHeight="false" outlineLevel="0" collapsed="false">
      <c r="B12135" s="130" t="n">
        <v>2028</v>
      </c>
      <c r="C12135" s="131" t="s">
        <v>257</v>
      </c>
      <c r="D12135" s="132" t="n">
        <v>46814</v>
      </c>
      <c r="E12135" s="131" t="s">
        <v>62</v>
      </c>
      <c r="F12135" s="133" t="s">
        <v>19</v>
      </c>
      <c r="G12135" s="134" t="n">
        <f aca="false">LEN('Saisie programme'!$G$476)+SUMIFS('Vols additionnels'!$E$7:$E$66,'Vols additionnels'!$C$7:$C$66,$E12135,'Vols additionnels'!$D$7:$D$66,$F12135,'Vols additionnels'!$B$7:$B$66,$D12135)</f>
        <v>0</v>
      </c>
      <c r="H12135" s="135" t="n">
        <f aca="false">$G12135*'Analyse capacite'!$F$8</f>
        <v>0</v>
      </c>
      <c r="I12135" s="135" t="n">
        <f aca="false">$G12135*'Analyse capacite'!$C$8</f>
        <v>0</v>
      </c>
      <c r="J12135" s="135" t="n">
        <f aca="false">$G12135*'Analyse capacite'!$D$8</f>
        <v>0</v>
      </c>
      <c r="K12135" s="135" t="n">
        <f aca="false">$G12135*'Analyse capacite'!$E$8</f>
        <v>0</v>
      </c>
    </row>
    <row r="12136" customFormat="false" ht="15" hidden="false" customHeight="false" outlineLevel="0" collapsed="false">
      <c r="B12136" s="130" t="n">
        <v>2028</v>
      </c>
      <c r="C12136" s="131" t="s">
        <v>257</v>
      </c>
      <c r="D12136" s="132" t="n">
        <v>46814</v>
      </c>
      <c r="E12136" s="131" t="s">
        <v>62</v>
      </c>
      <c r="F12136" s="133" t="s">
        <v>24</v>
      </c>
      <c r="G12136" s="134" t="n">
        <f aca="false">LEN('Saisie programme'!$G$477)+SUMIFS('Vols additionnels'!$E$7:$E$66,'Vols additionnels'!$C$7:$C$66,$E12136,'Vols additionnels'!$D$7:$D$66,$F12136,'Vols additionnels'!$B$7:$B$66,$D12136)</f>
        <v>0</v>
      </c>
      <c r="H12136" s="135" t="n">
        <f aca="false">$G12136*'Analyse capacite'!$F$9</f>
        <v>0</v>
      </c>
      <c r="I12136" s="135" t="n">
        <f aca="false">$G12136*'Analyse capacite'!$C$9</f>
        <v>0</v>
      </c>
      <c r="J12136" s="135" t="n">
        <f aca="false">$G12136*'Analyse capacite'!$D$9</f>
        <v>0</v>
      </c>
      <c r="K12136" s="135" t="n">
        <f aca="false">$G12136*'Analyse capacite'!$E$9</f>
        <v>0</v>
      </c>
    </row>
    <row r="12137" customFormat="false" ht="15" hidden="false" customHeight="false" outlineLevel="0" collapsed="false">
      <c r="B12137" s="130" t="n">
        <v>2028</v>
      </c>
      <c r="C12137" s="131" t="s">
        <v>257</v>
      </c>
      <c r="D12137" s="132" t="n">
        <v>46815</v>
      </c>
      <c r="E12137" s="131" t="s">
        <v>12</v>
      </c>
      <c r="F12137" s="133" t="s">
        <v>11</v>
      </c>
      <c r="G12137" s="134" t="n">
        <f aca="false">LEN('Saisie programme'!$H$442)+SUMIFS('Vols additionnels'!$E$7:$E$66,'Vols additionnels'!$C$7:$C$66,$E12137,'Vols additionnels'!$D$7:$D$66,$F12137,'Vols additionnels'!$B$7:$B$66,$D12137)</f>
        <v>1</v>
      </c>
      <c r="H12137" s="135" t="n">
        <f aca="false">$G12137*'Analyse capacite'!$F$7</f>
        <v>438</v>
      </c>
      <c r="I12137" s="135" t="n">
        <f aca="false">$G12137*'Analyse capacite'!$C$7</f>
        <v>14</v>
      </c>
      <c r="J12137" s="135" t="n">
        <f aca="false">$G12137*'Analyse capacite'!$D$7</f>
        <v>40</v>
      </c>
      <c r="K12137" s="135" t="n">
        <f aca="false">$G12137*'Analyse capacite'!$E$7</f>
        <v>384</v>
      </c>
    </row>
    <row r="12138" customFormat="false" ht="15" hidden="false" customHeight="false" outlineLevel="0" collapsed="false">
      <c r="B12138" s="130" t="n">
        <v>2028</v>
      </c>
      <c r="C12138" s="131" t="s">
        <v>257</v>
      </c>
      <c r="D12138" s="132" t="n">
        <v>46815</v>
      </c>
      <c r="E12138" s="131" t="s">
        <v>12</v>
      </c>
      <c r="F12138" s="133" t="s">
        <v>19</v>
      </c>
      <c r="G12138" s="134" t="n">
        <f aca="false">LEN('Saisie programme'!$H$443)+SUMIFS('Vols additionnels'!$E$7:$E$66,'Vols additionnels'!$C$7:$C$66,$E12138,'Vols additionnels'!$D$7:$D$66,$F12138,'Vols additionnels'!$B$7:$B$66,$D12138)</f>
        <v>1</v>
      </c>
      <c r="H12138" s="135" t="n">
        <f aca="false">$G12138*'Analyse capacite'!$F$8</f>
        <v>262</v>
      </c>
      <c r="I12138" s="135" t="n">
        <f aca="false">$G12138*'Analyse capacite'!$C$8</f>
        <v>18</v>
      </c>
      <c r="J12138" s="135" t="n">
        <f aca="false">$G12138*'Analyse capacite'!$D$8</f>
        <v>0</v>
      </c>
      <c r="K12138" s="135" t="n">
        <f aca="false">$G12138*'Analyse capacite'!$E$8</f>
        <v>244</v>
      </c>
    </row>
    <row r="12139" customFormat="false" ht="15" hidden="false" customHeight="false" outlineLevel="0" collapsed="false">
      <c r="B12139" s="130" t="n">
        <v>2028</v>
      </c>
      <c r="C12139" s="131" t="s">
        <v>257</v>
      </c>
      <c r="D12139" s="132" t="n">
        <v>46815</v>
      </c>
      <c r="E12139" s="131" t="s">
        <v>12</v>
      </c>
      <c r="F12139" s="133" t="s">
        <v>24</v>
      </c>
      <c r="G12139" s="134" t="n">
        <f aca="false">LEN('Saisie programme'!$H$444)+SUMIFS('Vols additionnels'!$E$7:$E$66,'Vols additionnels'!$C$7:$C$66,$E12139,'Vols additionnels'!$D$7:$D$66,$F12139,'Vols additionnels'!$B$7:$B$66,$D12139)</f>
        <v>0</v>
      </c>
      <c r="H12139" s="135" t="n">
        <f aca="false">$G12139*'Analyse capacite'!$F$9</f>
        <v>0</v>
      </c>
      <c r="I12139" s="135" t="n">
        <f aca="false">$G12139*'Analyse capacite'!$C$9</f>
        <v>0</v>
      </c>
      <c r="J12139" s="135" t="n">
        <f aca="false">$G12139*'Analyse capacite'!$D$9</f>
        <v>0</v>
      </c>
      <c r="K12139" s="135" t="n">
        <f aca="false">$G12139*'Analyse capacite'!$E$9</f>
        <v>0</v>
      </c>
    </row>
    <row r="12140" customFormat="false" ht="15" hidden="false" customHeight="false" outlineLevel="0" collapsed="false">
      <c r="B12140" s="130" t="n">
        <v>2028</v>
      </c>
      <c r="C12140" s="131" t="s">
        <v>257</v>
      </c>
      <c r="D12140" s="132" t="n">
        <v>46815</v>
      </c>
      <c r="E12140" s="131" t="s">
        <v>20</v>
      </c>
      <c r="F12140" s="133" t="s">
        <v>11</v>
      </c>
      <c r="G12140" s="134" t="n">
        <f aca="false">LEN('Saisie programme'!$H$445)+SUMIFS('Vols additionnels'!$E$7:$E$66,'Vols additionnels'!$C$7:$C$66,$E12140,'Vols additionnels'!$D$7:$D$66,$F12140,'Vols additionnels'!$B$7:$B$66,$D12140)</f>
        <v>0</v>
      </c>
      <c r="H12140" s="135" t="n">
        <f aca="false">$G12140*'Analyse capacite'!$F$7</f>
        <v>0</v>
      </c>
      <c r="I12140" s="135" t="n">
        <f aca="false">$G12140*'Analyse capacite'!$C$7</f>
        <v>0</v>
      </c>
      <c r="J12140" s="135" t="n">
        <f aca="false">$G12140*'Analyse capacite'!$D$7</f>
        <v>0</v>
      </c>
      <c r="K12140" s="135" t="n">
        <f aca="false">$G12140*'Analyse capacite'!$E$7</f>
        <v>0</v>
      </c>
    </row>
    <row r="12141" customFormat="false" ht="15" hidden="false" customHeight="false" outlineLevel="0" collapsed="false">
      <c r="B12141" s="130" t="n">
        <v>2028</v>
      </c>
      <c r="C12141" s="131" t="s">
        <v>257</v>
      </c>
      <c r="D12141" s="132" t="n">
        <v>46815</v>
      </c>
      <c r="E12141" s="131" t="s">
        <v>20</v>
      </c>
      <c r="F12141" s="133" t="s">
        <v>19</v>
      </c>
      <c r="G12141" s="134" t="n">
        <f aca="false">LEN('Saisie programme'!$H$446)+SUMIFS('Vols additionnels'!$E$7:$E$66,'Vols additionnels'!$C$7:$C$66,$E12141,'Vols additionnels'!$D$7:$D$66,$F12141,'Vols additionnels'!$B$7:$B$66,$D12141)</f>
        <v>1</v>
      </c>
      <c r="H12141" s="135" t="n">
        <f aca="false">$G12141*'Analyse capacite'!$F$8</f>
        <v>262</v>
      </c>
      <c r="I12141" s="135" t="n">
        <f aca="false">$G12141*'Analyse capacite'!$C$8</f>
        <v>18</v>
      </c>
      <c r="J12141" s="135" t="n">
        <f aca="false">$G12141*'Analyse capacite'!$D$8</f>
        <v>0</v>
      </c>
      <c r="K12141" s="135" t="n">
        <f aca="false">$G12141*'Analyse capacite'!$E$8</f>
        <v>244</v>
      </c>
    </row>
    <row r="12142" customFormat="false" ht="15" hidden="false" customHeight="false" outlineLevel="0" collapsed="false">
      <c r="B12142" s="130" t="n">
        <v>2028</v>
      </c>
      <c r="C12142" s="131" t="s">
        <v>257</v>
      </c>
      <c r="D12142" s="132" t="n">
        <v>46815</v>
      </c>
      <c r="E12142" s="131" t="s">
        <v>20</v>
      </c>
      <c r="F12142" s="133" t="s">
        <v>24</v>
      </c>
      <c r="G12142" s="134" t="n">
        <f aca="false">LEN('Saisie programme'!$H$447)+SUMIFS('Vols additionnels'!$E$7:$E$66,'Vols additionnels'!$C$7:$C$66,$E12142,'Vols additionnels'!$D$7:$D$66,$F12142,'Vols additionnels'!$B$7:$B$66,$D12142)</f>
        <v>0</v>
      </c>
      <c r="H12142" s="135" t="n">
        <f aca="false">$G12142*'Analyse capacite'!$F$9</f>
        <v>0</v>
      </c>
      <c r="I12142" s="135" t="n">
        <f aca="false">$G12142*'Analyse capacite'!$C$9</f>
        <v>0</v>
      </c>
      <c r="J12142" s="135" t="n">
        <f aca="false">$G12142*'Analyse capacite'!$D$9</f>
        <v>0</v>
      </c>
      <c r="K12142" s="135" t="n">
        <f aca="false">$G12142*'Analyse capacite'!$E$9</f>
        <v>0</v>
      </c>
    </row>
    <row r="12143" customFormat="false" ht="15" hidden="false" customHeight="false" outlineLevel="0" collapsed="false">
      <c r="B12143" s="130" t="n">
        <v>2028</v>
      </c>
      <c r="C12143" s="131" t="s">
        <v>257</v>
      </c>
      <c r="D12143" s="132" t="n">
        <v>46815</v>
      </c>
      <c r="E12143" s="131" t="s">
        <v>25</v>
      </c>
      <c r="F12143" s="133" t="s">
        <v>11</v>
      </c>
      <c r="G12143" s="134" t="n">
        <f aca="false">LEN('Saisie programme'!$H$448)+SUMIFS('Vols additionnels'!$E$7:$E$66,'Vols additionnels'!$C$7:$C$66,$E12143,'Vols additionnels'!$D$7:$D$66,$F12143,'Vols additionnels'!$B$7:$B$66,$D12143)</f>
        <v>0</v>
      </c>
      <c r="H12143" s="135" t="n">
        <f aca="false">$G12143*'Analyse capacite'!$F$7</f>
        <v>0</v>
      </c>
      <c r="I12143" s="135" t="n">
        <f aca="false">$G12143*'Analyse capacite'!$C$7</f>
        <v>0</v>
      </c>
      <c r="J12143" s="135" t="n">
        <f aca="false">$G12143*'Analyse capacite'!$D$7</f>
        <v>0</v>
      </c>
      <c r="K12143" s="135" t="n">
        <f aca="false">$G12143*'Analyse capacite'!$E$7</f>
        <v>0</v>
      </c>
    </row>
    <row r="12144" customFormat="false" ht="15" hidden="false" customHeight="false" outlineLevel="0" collapsed="false">
      <c r="B12144" s="130" t="n">
        <v>2028</v>
      </c>
      <c r="C12144" s="131" t="s">
        <v>257</v>
      </c>
      <c r="D12144" s="132" t="n">
        <v>46815</v>
      </c>
      <c r="E12144" s="131" t="s">
        <v>25</v>
      </c>
      <c r="F12144" s="133" t="s">
        <v>19</v>
      </c>
      <c r="G12144" s="134" t="n">
        <f aca="false">LEN('Saisie programme'!$H$449)+SUMIFS('Vols additionnels'!$E$7:$E$66,'Vols additionnels'!$C$7:$C$66,$E12144,'Vols additionnels'!$D$7:$D$66,$F12144,'Vols additionnels'!$B$7:$B$66,$D12144)</f>
        <v>0</v>
      </c>
      <c r="H12144" s="135" t="n">
        <f aca="false">$G12144*'Analyse capacite'!$F$8</f>
        <v>0</v>
      </c>
      <c r="I12144" s="135" t="n">
        <f aca="false">$G12144*'Analyse capacite'!$C$8</f>
        <v>0</v>
      </c>
      <c r="J12144" s="135" t="n">
        <f aca="false">$G12144*'Analyse capacite'!$D$8</f>
        <v>0</v>
      </c>
      <c r="K12144" s="135" t="n">
        <f aca="false">$G12144*'Analyse capacite'!$E$8</f>
        <v>0</v>
      </c>
    </row>
    <row r="12145" customFormat="false" ht="15" hidden="false" customHeight="false" outlineLevel="0" collapsed="false">
      <c r="B12145" s="130" t="n">
        <v>2028</v>
      </c>
      <c r="C12145" s="131" t="s">
        <v>257</v>
      </c>
      <c r="D12145" s="132" t="n">
        <v>46815</v>
      </c>
      <c r="E12145" s="131" t="s">
        <v>25</v>
      </c>
      <c r="F12145" s="133" t="s">
        <v>24</v>
      </c>
      <c r="G12145" s="134" t="n">
        <f aca="false">LEN('Saisie programme'!$H$450)+SUMIFS('Vols additionnels'!$E$7:$E$66,'Vols additionnels'!$C$7:$C$66,$E12145,'Vols additionnels'!$D$7:$D$66,$F12145,'Vols additionnels'!$B$7:$B$66,$D12145)</f>
        <v>0</v>
      </c>
      <c r="H12145" s="135" t="n">
        <f aca="false">$G12145*'Analyse capacite'!$F$9</f>
        <v>0</v>
      </c>
      <c r="I12145" s="135" t="n">
        <f aca="false">$G12145*'Analyse capacite'!$C$9</f>
        <v>0</v>
      </c>
      <c r="J12145" s="135" t="n">
        <f aca="false">$G12145*'Analyse capacite'!$D$9</f>
        <v>0</v>
      </c>
      <c r="K12145" s="135" t="n">
        <f aca="false">$G12145*'Analyse capacite'!$E$9</f>
        <v>0</v>
      </c>
    </row>
    <row r="12146" customFormat="false" ht="15" hidden="false" customHeight="false" outlineLevel="0" collapsed="false">
      <c r="B12146" s="130" t="n">
        <v>2028</v>
      </c>
      <c r="C12146" s="131" t="s">
        <v>257</v>
      </c>
      <c r="D12146" s="132" t="n">
        <v>46815</v>
      </c>
      <c r="E12146" s="131" t="s">
        <v>36</v>
      </c>
      <c r="F12146" s="133" t="s">
        <v>11</v>
      </c>
      <c r="G12146" s="134" t="n">
        <f aca="false">LEN('Saisie programme'!$H$451)+SUMIFS('Vols additionnels'!$E$7:$E$66,'Vols additionnels'!$C$7:$C$66,$E12146,'Vols additionnels'!$D$7:$D$66,$F12146,'Vols additionnels'!$B$7:$B$66,$D12146)</f>
        <v>0</v>
      </c>
      <c r="H12146" s="135" t="n">
        <f aca="false">$G12146*'Analyse capacite'!$F$7</f>
        <v>0</v>
      </c>
      <c r="I12146" s="135" t="n">
        <f aca="false">$G12146*'Analyse capacite'!$C$7</f>
        <v>0</v>
      </c>
      <c r="J12146" s="135" t="n">
        <f aca="false">$G12146*'Analyse capacite'!$D$7</f>
        <v>0</v>
      </c>
      <c r="K12146" s="135" t="n">
        <f aca="false">$G12146*'Analyse capacite'!$E$7</f>
        <v>0</v>
      </c>
    </row>
    <row r="12147" customFormat="false" ht="15" hidden="false" customHeight="false" outlineLevel="0" collapsed="false">
      <c r="B12147" s="130" t="n">
        <v>2028</v>
      </c>
      <c r="C12147" s="131" t="s">
        <v>257</v>
      </c>
      <c r="D12147" s="132" t="n">
        <v>46815</v>
      </c>
      <c r="E12147" s="131" t="s">
        <v>36</v>
      </c>
      <c r="F12147" s="133" t="s">
        <v>19</v>
      </c>
      <c r="G12147" s="134" t="n">
        <f aca="false">LEN('Saisie programme'!$H$452)+SUMIFS('Vols additionnels'!$E$7:$E$66,'Vols additionnels'!$C$7:$C$66,$E12147,'Vols additionnels'!$D$7:$D$66,$F12147,'Vols additionnels'!$B$7:$B$66,$D12147)</f>
        <v>0</v>
      </c>
      <c r="H12147" s="135" t="n">
        <f aca="false">$G12147*'Analyse capacite'!$F$8</f>
        <v>0</v>
      </c>
      <c r="I12147" s="135" t="n">
        <f aca="false">$G12147*'Analyse capacite'!$C$8</f>
        <v>0</v>
      </c>
      <c r="J12147" s="135" t="n">
        <f aca="false">$G12147*'Analyse capacite'!$D$8</f>
        <v>0</v>
      </c>
      <c r="K12147" s="135" t="n">
        <f aca="false">$G12147*'Analyse capacite'!$E$8</f>
        <v>0</v>
      </c>
    </row>
    <row r="12148" customFormat="false" ht="15" hidden="false" customHeight="false" outlineLevel="0" collapsed="false">
      <c r="B12148" s="130" t="n">
        <v>2028</v>
      </c>
      <c r="C12148" s="131" t="s">
        <v>257</v>
      </c>
      <c r="D12148" s="132" t="n">
        <v>46815</v>
      </c>
      <c r="E12148" s="131" t="s">
        <v>36</v>
      </c>
      <c r="F12148" s="133" t="s">
        <v>24</v>
      </c>
      <c r="G12148" s="134" t="n">
        <f aca="false">LEN('Saisie programme'!$H$453)+SUMIFS('Vols additionnels'!$E$7:$E$66,'Vols additionnels'!$C$7:$C$66,$E12148,'Vols additionnels'!$D$7:$D$66,$F12148,'Vols additionnels'!$B$7:$B$66,$D12148)</f>
        <v>1</v>
      </c>
      <c r="H12148" s="135" t="n">
        <f aca="false">$G12148*'Analyse capacite'!$F$9</f>
        <v>174</v>
      </c>
      <c r="I12148" s="135" t="n">
        <f aca="false">$G12148*'Analyse capacite'!$C$9</f>
        <v>0</v>
      </c>
      <c r="J12148" s="135" t="n">
        <f aca="false">$G12148*'Analyse capacite'!$D$9</f>
        <v>12</v>
      </c>
      <c r="K12148" s="135" t="n">
        <f aca="false">$G12148*'Analyse capacite'!$E$9</f>
        <v>162</v>
      </c>
    </row>
    <row r="12149" customFormat="false" ht="15" hidden="false" customHeight="false" outlineLevel="0" collapsed="false">
      <c r="B12149" s="130" t="n">
        <v>2028</v>
      </c>
      <c r="C12149" s="131" t="s">
        <v>257</v>
      </c>
      <c r="D12149" s="132" t="n">
        <v>46815</v>
      </c>
      <c r="E12149" s="131" t="s">
        <v>40</v>
      </c>
      <c r="F12149" s="133" t="s">
        <v>11</v>
      </c>
      <c r="G12149" s="134" t="n">
        <f aca="false">LEN('Saisie programme'!$H$454)+SUMIFS('Vols additionnels'!$E$7:$E$66,'Vols additionnels'!$C$7:$C$66,$E12149,'Vols additionnels'!$D$7:$D$66,$F12149,'Vols additionnels'!$B$7:$B$66,$D12149)</f>
        <v>0</v>
      </c>
      <c r="H12149" s="135" t="n">
        <f aca="false">$G12149*'Analyse capacite'!$F$7</f>
        <v>0</v>
      </c>
      <c r="I12149" s="135" t="n">
        <f aca="false">$G12149*'Analyse capacite'!$C$7</f>
        <v>0</v>
      </c>
      <c r="J12149" s="135" t="n">
        <f aca="false">$G12149*'Analyse capacite'!$D$7</f>
        <v>0</v>
      </c>
      <c r="K12149" s="135" t="n">
        <f aca="false">$G12149*'Analyse capacite'!$E$7</f>
        <v>0</v>
      </c>
    </row>
    <row r="12150" customFormat="false" ht="15" hidden="false" customHeight="false" outlineLevel="0" collapsed="false">
      <c r="B12150" s="130" t="n">
        <v>2028</v>
      </c>
      <c r="C12150" s="131" t="s">
        <v>257</v>
      </c>
      <c r="D12150" s="132" t="n">
        <v>46815</v>
      </c>
      <c r="E12150" s="131" t="s">
        <v>40</v>
      </c>
      <c r="F12150" s="133" t="s">
        <v>19</v>
      </c>
      <c r="G12150" s="134" t="n">
        <f aca="false">LEN('Saisie programme'!$H$455)+SUMIFS('Vols additionnels'!$E$7:$E$66,'Vols additionnels'!$C$7:$C$66,$E12150,'Vols additionnels'!$D$7:$D$66,$F12150,'Vols additionnels'!$B$7:$B$66,$D12150)</f>
        <v>0</v>
      </c>
      <c r="H12150" s="135" t="n">
        <f aca="false">$G12150*'Analyse capacite'!$F$8</f>
        <v>0</v>
      </c>
      <c r="I12150" s="135" t="n">
        <f aca="false">$G12150*'Analyse capacite'!$C$8</f>
        <v>0</v>
      </c>
      <c r="J12150" s="135" t="n">
        <f aca="false">$G12150*'Analyse capacite'!$D$8</f>
        <v>0</v>
      </c>
      <c r="K12150" s="135" t="n">
        <f aca="false">$G12150*'Analyse capacite'!$E$8</f>
        <v>0</v>
      </c>
    </row>
    <row r="12151" customFormat="false" ht="15" hidden="false" customHeight="false" outlineLevel="0" collapsed="false">
      <c r="B12151" s="130" t="n">
        <v>2028</v>
      </c>
      <c r="C12151" s="131" t="s">
        <v>257</v>
      </c>
      <c r="D12151" s="132" t="n">
        <v>46815</v>
      </c>
      <c r="E12151" s="131" t="s">
        <v>40</v>
      </c>
      <c r="F12151" s="133" t="s">
        <v>24</v>
      </c>
      <c r="G12151" s="134" t="n">
        <f aca="false">LEN('Saisie programme'!$H$456)+SUMIFS('Vols additionnels'!$E$7:$E$66,'Vols additionnels'!$C$7:$C$66,$E12151,'Vols additionnels'!$D$7:$D$66,$F12151,'Vols additionnels'!$B$7:$B$66,$D12151)</f>
        <v>1</v>
      </c>
      <c r="H12151" s="135" t="n">
        <f aca="false">$G12151*'Analyse capacite'!$F$9</f>
        <v>174</v>
      </c>
      <c r="I12151" s="135" t="n">
        <f aca="false">$G12151*'Analyse capacite'!$C$9</f>
        <v>0</v>
      </c>
      <c r="J12151" s="135" t="n">
        <f aca="false">$G12151*'Analyse capacite'!$D$9</f>
        <v>12</v>
      </c>
      <c r="K12151" s="135" t="n">
        <f aca="false">$G12151*'Analyse capacite'!$E$9</f>
        <v>162</v>
      </c>
    </row>
    <row r="12152" customFormat="false" ht="15" hidden="false" customHeight="false" outlineLevel="0" collapsed="false">
      <c r="B12152" s="130" t="n">
        <v>2028</v>
      </c>
      <c r="C12152" s="131" t="s">
        <v>257</v>
      </c>
      <c r="D12152" s="132" t="n">
        <v>46815</v>
      </c>
      <c r="E12152" s="131" t="s">
        <v>14</v>
      </c>
      <c r="F12152" s="133" t="s">
        <v>11</v>
      </c>
      <c r="G12152" s="134" t="n">
        <f aca="false">LEN('Saisie programme'!$H$457)+SUMIFS('Vols additionnels'!$E$7:$E$66,'Vols additionnels'!$C$7:$C$66,$E12152,'Vols additionnels'!$D$7:$D$66,$F12152,'Vols additionnels'!$B$7:$B$66,$D12152)</f>
        <v>0</v>
      </c>
      <c r="H12152" s="135" t="n">
        <f aca="false">$G12152*'Analyse capacite'!$F$7</f>
        <v>0</v>
      </c>
      <c r="I12152" s="135" t="n">
        <f aca="false">$G12152*'Analyse capacite'!$C$7</f>
        <v>0</v>
      </c>
      <c r="J12152" s="135" t="n">
        <f aca="false">$G12152*'Analyse capacite'!$D$7</f>
        <v>0</v>
      </c>
      <c r="K12152" s="135" t="n">
        <f aca="false">$G12152*'Analyse capacite'!$E$7</f>
        <v>0</v>
      </c>
    </row>
    <row r="12153" customFormat="false" ht="15" hidden="false" customHeight="false" outlineLevel="0" collapsed="false">
      <c r="B12153" s="130" t="n">
        <v>2028</v>
      </c>
      <c r="C12153" s="131" t="s">
        <v>257</v>
      </c>
      <c r="D12153" s="132" t="n">
        <v>46815</v>
      </c>
      <c r="E12153" s="131" t="s">
        <v>14</v>
      </c>
      <c r="F12153" s="133" t="s">
        <v>19</v>
      </c>
      <c r="G12153" s="134" t="n">
        <f aca="false">LEN('Saisie programme'!$H$458)+SUMIFS('Vols additionnels'!$E$7:$E$66,'Vols additionnels'!$C$7:$C$66,$E12153,'Vols additionnels'!$D$7:$D$66,$F12153,'Vols additionnels'!$B$7:$B$66,$D12153)</f>
        <v>0</v>
      </c>
      <c r="H12153" s="135" t="n">
        <f aca="false">$G12153*'Analyse capacite'!$F$8</f>
        <v>0</v>
      </c>
      <c r="I12153" s="135" t="n">
        <f aca="false">$G12153*'Analyse capacite'!$C$8</f>
        <v>0</v>
      </c>
      <c r="J12153" s="135" t="n">
        <f aca="false">$G12153*'Analyse capacite'!$D$8</f>
        <v>0</v>
      </c>
      <c r="K12153" s="135" t="n">
        <f aca="false">$G12153*'Analyse capacite'!$E$8</f>
        <v>0</v>
      </c>
    </row>
    <row r="12154" customFormat="false" ht="15" hidden="false" customHeight="false" outlineLevel="0" collapsed="false">
      <c r="B12154" s="130" t="n">
        <v>2028</v>
      </c>
      <c r="C12154" s="131" t="s">
        <v>257</v>
      </c>
      <c r="D12154" s="132" t="n">
        <v>46815</v>
      </c>
      <c r="E12154" s="131" t="s">
        <v>14</v>
      </c>
      <c r="F12154" s="133" t="s">
        <v>24</v>
      </c>
      <c r="G12154" s="134" t="n">
        <f aca="false">LEN('Saisie programme'!$H$459)+SUMIFS('Vols additionnels'!$E$7:$E$66,'Vols additionnels'!$C$7:$C$66,$E12154,'Vols additionnels'!$D$7:$D$66,$F12154,'Vols additionnels'!$B$7:$B$66,$D12154)</f>
        <v>0</v>
      </c>
      <c r="H12154" s="135" t="n">
        <f aca="false">$G12154*'Analyse capacite'!$F$9</f>
        <v>0</v>
      </c>
      <c r="I12154" s="135" t="n">
        <f aca="false">$G12154*'Analyse capacite'!$C$9</f>
        <v>0</v>
      </c>
      <c r="J12154" s="135" t="n">
        <f aca="false">$G12154*'Analyse capacite'!$D$9</f>
        <v>0</v>
      </c>
      <c r="K12154" s="135" t="n">
        <f aca="false">$G12154*'Analyse capacite'!$E$9</f>
        <v>0</v>
      </c>
    </row>
    <row r="12155" customFormat="false" ht="15" hidden="false" customHeight="false" outlineLevel="0" collapsed="false">
      <c r="B12155" s="130" t="n">
        <v>2028</v>
      </c>
      <c r="C12155" s="131" t="s">
        <v>257</v>
      </c>
      <c r="D12155" s="132" t="n">
        <v>46815</v>
      </c>
      <c r="E12155" s="131" t="s">
        <v>46</v>
      </c>
      <c r="F12155" s="133" t="s">
        <v>11</v>
      </c>
      <c r="G12155" s="134" t="n">
        <f aca="false">LEN('Saisie programme'!$H$460)+SUMIFS('Vols additionnels'!$E$7:$E$66,'Vols additionnels'!$C$7:$C$66,$E12155,'Vols additionnels'!$D$7:$D$66,$F12155,'Vols additionnels'!$B$7:$B$66,$D12155)</f>
        <v>0</v>
      </c>
      <c r="H12155" s="135" t="n">
        <f aca="false">$G12155*'Analyse capacite'!$F$7</f>
        <v>0</v>
      </c>
      <c r="I12155" s="135" t="n">
        <f aca="false">$G12155*'Analyse capacite'!$C$7</f>
        <v>0</v>
      </c>
      <c r="J12155" s="135" t="n">
        <f aca="false">$G12155*'Analyse capacite'!$D$7</f>
        <v>0</v>
      </c>
      <c r="K12155" s="135" t="n">
        <f aca="false">$G12155*'Analyse capacite'!$E$7</f>
        <v>0</v>
      </c>
    </row>
    <row r="12156" customFormat="false" ht="15" hidden="false" customHeight="false" outlineLevel="0" collapsed="false">
      <c r="B12156" s="130" t="n">
        <v>2028</v>
      </c>
      <c r="C12156" s="131" t="s">
        <v>257</v>
      </c>
      <c r="D12156" s="132" t="n">
        <v>46815</v>
      </c>
      <c r="E12156" s="131" t="s">
        <v>46</v>
      </c>
      <c r="F12156" s="133" t="s">
        <v>19</v>
      </c>
      <c r="G12156" s="134" t="n">
        <f aca="false">LEN('Saisie programme'!$H$461)+SUMIFS('Vols additionnels'!$E$7:$E$66,'Vols additionnels'!$C$7:$C$66,$E12156,'Vols additionnels'!$D$7:$D$66,$F12156,'Vols additionnels'!$B$7:$B$66,$D12156)</f>
        <v>0</v>
      </c>
      <c r="H12156" s="135" t="n">
        <f aca="false">$G12156*'Analyse capacite'!$F$8</f>
        <v>0</v>
      </c>
      <c r="I12156" s="135" t="n">
        <f aca="false">$G12156*'Analyse capacite'!$C$8</f>
        <v>0</v>
      </c>
      <c r="J12156" s="135" t="n">
        <f aca="false">$G12156*'Analyse capacite'!$D$8</f>
        <v>0</v>
      </c>
      <c r="K12156" s="135" t="n">
        <f aca="false">$G12156*'Analyse capacite'!$E$8</f>
        <v>0</v>
      </c>
    </row>
    <row r="12157" customFormat="false" ht="15" hidden="false" customHeight="false" outlineLevel="0" collapsed="false">
      <c r="B12157" s="130" t="n">
        <v>2028</v>
      </c>
      <c r="C12157" s="131" t="s">
        <v>257</v>
      </c>
      <c r="D12157" s="132" t="n">
        <v>46815</v>
      </c>
      <c r="E12157" s="131" t="s">
        <v>46</v>
      </c>
      <c r="F12157" s="133" t="s">
        <v>24</v>
      </c>
      <c r="G12157" s="134" t="n">
        <f aca="false">LEN('Saisie programme'!$H$462)+SUMIFS('Vols additionnels'!$E$7:$E$66,'Vols additionnels'!$C$7:$C$66,$E12157,'Vols additionnels'!$D$7:$D$66,$F12157,'Vols additionnels'!$B$7:$B$66,$D12157)</f>
        <v>0</v>
      </c>
      <c r="H12157" s="135" t="n">
        <f aca="false">$G12157*'Analyse capacite'!$F$9</f>
        <v>0</v>
      </c>
      <c r="I12157" s="135" t="n">
        <f aca="false">$G12157*'Analyse capacite'!$C$9</f>
        <v>0</v>
      </c>
      <c r="J12157" s="135" t="n">
        <f aca="false">$G12157*'Analyse capacite'!$D$9</f>
        <v>0</v>
      </c>
      <c r="K12157" s="135" t="n">
        <f aca="false">$G12157*'Analyse capacite'!$E$9</f>
        <v>0</v>
      </c>
    </row>
    <row r="12158" customFormat="false" ht="15" hidden="false" customHeight="false" outlineLevel="0" collapsed="false">
      <c r="B12158" s="130" t="n">
        <v>2028</v>
      </c>
      <c r="C12158" s="131" t="s">
        <v>257</v>
      </c>
      <c r="D12158" s="132" t="n">
        <v>46815</v>
      </c>
      <c r="E12158" s="131" t="s">
        <v>49</v>
      </c>
      <c r="F12158" s="133" t="s">
        <v>11</v>
      </c>
      <c r="G12158" s="134" t="n">
        <f aca="false">LEN('Saisie programme'!$H$463)+SUMIFS('Vols additionnels'!$E$7:$E$66,'Vols additionnels'!$C$7:$C$66,$E12158,'Vols additionnels'!$D$7:$D$66,$F12158,'Vols additionnels'!$B$7:$B$66,$D12158)</f>
        <v>0</v>
      </c>
      <c r="H12158" s="135" t="n">
        <f aca="false">$G12158*'Analyse capacite'!$F$7</f>
        <v>0</v>
      </c>
      <c r="I12158" s="135" t="n">
        <f aca="false">$G12158*'Analyse capacite'!$C$7</f>
        <v>0</v>
      </c>
      <c r="J12158" s="135" t="n">
        <f aca="false">$G12158*'Analyse capacite'!$D$7</f>
        <v>0</v>
      </c>
      <c r="K12158" s="135" t="n">
        <f aca="false">$G12158*'Analyse capacite'!$E$7</f>
        <v>0</v>
      </c>
    </row>
    <row r="12159" customFormat="false" ht="15" hidden="false" customHeight="false" outlineLevel="0" collapsed="false">
      <c r="B12159" s="130" t="n">
        <v>2028</v>
      </c>
      <c r="C12159" s="131" t="s">
        <v>257</v>
      </c>
      <c r="D12159" s="132" t="n">
        <v>46815</v>
      </c>
      <c r="E12159" s="131" t="s">
        <v>49</v>
      </c>
      <c r="F12159" s="133" t="s">
        <v>19</v>
      </c>
      <c r="G12159" s="134" t="n">
        <f aca="false">LEN('Saisie programme'!$H$464)+SUMIFS('Vols additionnels'!$E$7:$E$66,'Vols additionnels'!$C$7:$C$66,$E12159,'Vols additionnels'!$D$7:$D$66,$F12159,'Vols additionnels'!$B$7:$B$66,$D12159)</f>
        <v>1</v>
      </c>
      <c r="H12159" s="135" t="n">
        <f aca="false">$G12159*'Analyse capacite'!$F$8</f>
        <v>262</v>
      </c>
      <c r="I12159" s="135" t="n">
        <f aca="false">$G12159*'Analyse capacite'!$C$8</f>
        <v>18</v>
      </c>
      <c r="J12159" s="135" t="n">
        <f aca="false">$G12159*'Analyse capacite'!$D$8</f>
        <v>0</v>
      </c>
      <c r="K12159" s="135" t="n">
        <f aca="false">$G12159*'Analyse capacite'!$E$8</f>
        <v>244</v>
      </c>
    </row>
    <row r="12160" customFormat="false" ht="15" hidden="false" customHeight="false" outlineLevel="0" collapsed="false">
      <c r="B12160" s="130" t="n">
        <v>2028</v>
      </c>
      <c r="C12160" s="131" t="s">
        <v>257</v>
      </c>
      <c r="D12160" s="132" t="n">
        <v>46815</v>
      </c>
      <c r="E12160" s="131" t="s">
        <v>49</v>
      </c>
      <c r="F12160" s="133" t="s">
        <v>24</v>
      </c>
      <c r="G12160" s="134" t="n">
        <f aca="false">LEN('Saisie programme'!$H$465)+SUMIFS('Vols additionnels'!$E$7:$E$66,'Vols additionnels'!$C$7:$C$66,$E12160,'Vols additionnels'!$D$7:$D$66,$F12160,'Vols additionnels'!$B$7:$B$66,$D12160)</f>
        <v>0</v>
      </c>
      <c r="H12160" s="135" t="n">
        <f aca="false">$G12160*'Analyse capacite'!$F$9</f>
        <v>0</v>
      </c>
      <c r="I12160" s="135" t="n">
        <f aca="false">$G12160*'Analyse capacite'!$C$9</f>
        <v>0</v>
      </c>
      <c r="J12160" s="135" t="n">
        <f aca="false">$G12160*'Analyse capacite'!$D$9</f>
        <v>0</v>
      </c>
      <c r="K12160" s="135" t="n">
        <f aca="false">$G12160*'Analyse capacite'!$E$9</f>
        <v>0</v>
      </c>
    </row>
    <row r="12161" customFormat="false" ht="15" hidden="false" customHeight="false" outlineLevel="0" collapsed="false">
      <c r="B12161" s="130" t="n">
        <v>2028</v>
      </c>
      <c r="C12161" s="131" t="s">
        <v>257</v>
      </c>
      <c r="D12161" s="132" t="n">
        <v>46815</v>
      </c>
      <c r="E12161" s="131" t="s">
        <v>53</v>
      </c>
      <c r="F12161" s="133" t="s">
        <v>11</v>
      </c>
      <c r="G12161" s="134" t="n">
        <f aca="false">LEN('Saisie programme'!$H$466)+SUMIFS('Vols additionnels'!$E$7:$E$66,'Vols additionnels'!$C$7:$C$66,$E12161,'Vols additionnels'!$D$7:$D$66,$F12161,'Vols additionnels'!$B$7:$B$66,$D12161)</f>
        <v>0</v>
      </c>
      <c r="H12161" s="135" t="n">
        <f aca="false">$G12161*'Analyse capacite'!$F$7</f>
        <v>0</v>
      </c>
      <c r="I12161" s="135" t="n">
        <f aca="false">$G12161*'Analyse capacite'!$C$7</f>
        <v>0</v>
      </c>
      <c r="J12161" s="135" t="n">
        <f aca="false">$G12161*'Analyse capacite'!$D$7</f>
        <v>0</v>
      </c>
      <c r="K12161" s="135" t="n">
        <f aca="false">$G12161*'Analyse capacite'!$E$7</f>
        <v>0</v>
      </c>
    </row>
    <row r="12162" customFormat="false" ht="15" hidden="false" customHeight="false" outlineLevel="0" collapsed="false">
      <c r="B12162" s="130" t="n">
        <v>2028</v>
      </c>
      <c r="C12162" s="131" t="s">
        <v>257</v>
      </c>
      <c r="D12162" s="132" t="n">
        <v>46815</v>
      </c>
      <c r="E12162" s="131" t="s">
        <v>53</v>
      </c>
      <c r="F12162" s="133" t="s">
        <v>19</v>
      </c>
      <c r="G12162" s="134" t="n">
        <f aca="false">LEN('Saisie programme'!$H$467)+SUMIFS('Vols additionnels'!$E$7:$E$66,'Vols additionnels'!$C$7:$C$66,$E12162,'Vols additionnels'!$D$7:$D$66,$F12162,'Vols additionnels'!$B$7:$B$66,$D12162)</f>
        <v>0</v>
      </c>
      <c r="H12162" s="135" t="n">
        <f aca="false">$G12162*'Analyse capacite'!$F$8</f>
        <v>0</v>
      </c>
      <c r="I12162" s="135" t="n">
        <f aca="false">$G12162*'Analyse capacite'!$C$8</f>
        <v>0</v>
      </c>
      <c r="J12162" s="135" t="n">
        <f aca="false">$G12162*'Analyse capacite'!$D$8</f>
        <v>0</v>
      </c>
      <c r="K12162" s="135" t="n">
        <f aca="false">$G12162*'Analyse capacite'!$E$8</f>
        <v>0</v>
      </c>
    </row>
    <row r="12163" customFormat="false" ht="15" hidden="false" customHeight="false" outlineLevel="0" collapsed="false">
      <c r="B12163" s="130" t="n">
        <v>2028</v>
      </c>
      <c r="C12163" s="131" t="s">
        <v>257</v>
      </c>
      <c r="D12163" s="132" t="n">
        <v>46815</v>
      </c>
      <c r="E12163" s="131" t="s">
        <v>53</v>
      </c>
      <c r="F12163" s="133" t="s">
        <v>24</v>
      </c>
      <c r="G12163" s="134" t="n">
        <f aca="false">LEN('Saisie programme'!$H$468)+SUMIFS('Vols additionnels'!$E$7:$E$66,'Vols additionnels'!$C$7:$C$66,$E12163,'Vols additionnels'!$D$7:$D$66,$F12163,'Vols additionnels'!$B$7:$B$66,$D12163)</f>
        <v>0</v>
      </c>
      <c r="H12163" s="135" t="n">
        <f aca="false">$G12163*'Analyse capacite'!$F$9</f>
        <v>0</v>
      </c>
      <c r="I12163" s="135" t="n">
        <f aca="false">$G12163*'Analyse capacite'!$C$9</f>
        <v>0</v>
      </c>
      <c r="J12163" s="135" t="n">
        <f aca="false">$G12163*'Analyse capacite'!$D$9</f>
        <v>0</v>
      </c>
      <c r="K12163" s="135" t="n">
        <f aca="false">$G12163*'Analyse capacite'!$E$9</f>
        <v>0</v>
      </c>
    </row>
    <row r="12164" customFormat="false" ht="15" hidden="false" customHeight="false" outlineLevel="0" collapsed="false">
      <c r="B12164" s="130" t="n">
        <v>2028</v>
      </c>
      <c r="C12164" s="131" t="s">
        <v>257</v>
      </c>
      <c r="D12164" s="132" t="n">
        <v>46815</v>
      </c>
      <c r="E12164" s="131" t="s">
        <v>56</v>
      </c>
      <c r="F12164" s="133" t="s">
        <v>11</v>
      </c>
      <c r="G12164" s="134" t="n">
        <f aca="false">LEN('Saisie programme'!$H$469)+SUMIFS('Vols additionnels'!$E$7:$E$66,'Vols additionnels'!$C$7:$C$66,$E12164,'Vols additionnels'!$D$7:$D$66,$F12164,'Vols additionnels'!$B$7:$B$66,$D12164)</f>
        <v>0</v>
      </c>
      <c r="H12164" s="135" t="n">
        <f aca="false">$G12164*'Analyse capacite'!$F$7</f>
        <v>0</v>
      </c>
      <c r="I12164" s="135" t="n">
        <f aca="false">$G12164*'Analyse capacite'!$C$7</f>
        <v>0</v>
      </c>
      <c r="J12164" s="135" t="n">
        <f aca="false">$G12164*'Analyse capacite'!$D$7</f>
        <v>0</v>
      </c>
      <c r="K12164" s="135" t="n">
        <f aca="false">$G12164*'Analyse capacite'!$E$7</f>
        <v>0</v>
      </c>
    </row>
    <row r="12165" customFormat="false" ht="15" hidden="false" customHeight="false" outlineLevel="0" collapsed="false">
      <c r="B12165" s="130" t="n">
        <v>2028</v>
      </c>
      <c r="C12165" s="131" t="s">
        <v>257</v>
      </c>
      <c r="D12165" s="132" t="n">
        <v>46815</v>
      </c>
      <c r="E12165" s="131" t="s">
        <v>56</v>
      </c>
      <c r="F12165" s="133" t="s">
        <v>19</v>
      </c>
      <c r="G12165" s="134" t="n">
        <f aca="false">LEN('Saisie programme'!$H$470)+SUMIFS('Vols additionnels'!$E$7:$E$66,'Vols additionnels'!$C$7:$C$66,$E12165,'Vols additionnels'!$D$7:$D$66,$F12165,'Vols additionnels'!$B$7:$B$66,$D12165)</f>
        <v>0</v>
      </c>
      <c r="H12165" s="135" t="n">
        <f aca="false">$G12165*'Analyse capacite'!$F$8</f>
        <v>0</v>
      </c>
      <c r="I12165" s="135" t="n">
        <f aca="false">$G12165*'Analyse capacite'!$C$8</f>
        <v>0</v>
      </c>
      <c r="J12165" s="135" t="n">
        <f aca="false">$G12165*'Analyse capacite'!$D$8</f>
        <v>0</v>
      </c>
      <c r="K12165" s="135" t="n">
        <f aca="false">$G12165*'Analyse capacite'!$E$8</f>
        <v>0</v>
      </c>
    </row>
    <row r="12166" customFormat="false" ht="15" hidden="false" customHeight="false" outlineLevel="0" collapsed="false">
      <c r="B12166" s="130" t="n">
        <v>2028</v>
      </c>
      <c r="C12166" s="131" t="s">
        <v>257</v>
      </c>
      <c r="D12166" s="132" t="n">
        <v>46815</v>
      </c>
      <c r="E12166" s="131" t="s">
        <v>56</v>
      </c>
      <c r="F12166" s="133" t="s">
        <v>24</v>
      </c>
      <c r="G12166" s="134" t="n">
        <f aca="false">LEN('Saisie programme'!$H$471)+SUMIFS('Vols additionnels'!$E$7:$E$66,'Vols additionnels'!$C$7:$C$66,$E12166,'Vols additionnels'!$D$7:$D$66,$F12166,'Vols additionnels'!$B$7:$B$66,$D12166)</f>
        <v>0</v>
      </c>
      <c r="H12166" s="135" t="n">
        <f aca="false">$G12166*'Analyse capacite'!$F$9</f>
        <v>0</v>
      </c>
      <c r="I12166" s="135" t="n">
        <f aca="false">$G12166*'Analyse capacite'!$C$9</f>
        <v>0</v>
      </c>
      <c r="J12166" s="135" t="n">
        <f aca="false">$G12166*'Analyse capacite'!$D$9</f>
        <v>0</v>
      </c>
      <c r="K12166" s="135" t="n">
        <f aca="false">$G12166*'Analyse capacite'!$E$9</f>
        <v>0</v>
      </c>
    </row>
    <row r="12167" customFormat="false" ht="15" hidden="false" customHeight="false" outlineLevel="0" collapsed="false">
      <c r="B12167" s="130" t="n">
        <v>2028</v>
      </c>
      <c r="C12167" s="131" t="s">
        <v>257</v>
      </c>
      <c r="D12167" s="132" t="n">
        <v>46815</v>
      </c>
      <c r="E12167" s="131" t="s">
        <v>59</v>
      </c>
      <c r="F12167" s="133" t="s">
        <v>11</v>
      </c>
      <c r="G12167" s="134" t="n">
        <f aca="false">LEN('Saisie programme'!$H$472)+SUMIFS('Vols additionnels'!$E$7:$E$66,'Vols additionnels'!$C$7:$C$66,$E12167,'Vols additionnels'!$D$7:$D$66,$F12167,'Vols additionnels'!$B$7:$B$66,$D12167)</f>
        <v>0</v>
      </c>
      <c r="H12167" s="135" t="n">
        <f aca="false">$G12167*'Analyse capacite'!$F$7</f>
        <v>0</v>
      </c>
      <c r="I12167" s="135" t="n">
        <f aca="false">$G12167*'Analyse capacite'!$C$7</f>
        <v>0</v>
      </c>
      <c r="J12167" s="135" t="n">
        <f aca="false">$G12167*'Analyse capacite'!$D$7</f>
        <v>0</v>
      </c>
      <c r="K12167" s="135" t="n">
        <f aca="false">$G12167*'Analyse capacite'!$E$7</f>
        <v>0</v>
      </c>
    </row>
    <row r="12168" customFormat="false" ht="15" hidden="false" customHeight="false" outlineLevel="0" collapsed="false">
      <c r="B12168" s="130" t="n">
        <v>2028</v>
      </c>
      <c r="C12168" s="131" t="s">
        <v>257</v>
      </c>
      <c r="D12168" s="132" t="n">
        <v>46815</v>
      </c>
      <c r="E12168" s="131" t="s">
        <v>59</v>
      </c>
      <c r="F12168" s="133" t="s">
        <v>19</v>
      </c>
      <c r="G12168" s="134" t="n">
        <f aca="false">LEN('Saisie programme'!$H$473)+SUMIFS('Vols additionnels'!$E$7:$E$66,'Vols additionnels'!$C$7:$C$66,$E12168,'Vols additionnels'!$D$7:$D$66,$F12168,'Vols additionnels'!$B$7:$B$66,$D12168)</f>
        <v>0</v>
      </c>
      <c r="H12168" s="135" t="n">
        <f aca="false">$G12168*'Analyse capacite'!$F$8</f>
        <v>0</v>
      </c>
      <c r="I12168" s="135" t="n">
        <f aca="false">$G12168*'Analyse capacite'!$C$8</f>
        <v>0</v>
      </c>
      <c r="J12168" s="135" t="n">
        <f aca="false">$G12168*'Analyse capacite'!$D$8</f>
        <v>0</v>
      </c>
      <c r="K12168" s="135" t="n">
        <f aca="false">$G12168*'Analyse capacite'!$E$8</f>
        <v>0</v>
      </c>
    </row>
    <row r="12169" customFormat="false" ht="15" hidden="false" customHeight="false" outlineLevel="0" collapsed="false">
      <c r="B12169" s="130" t="n">
        <v>2028</v>
      </c>
      <c r="C12169" s="131" t="s">
        <v>257</v>
      </c>
      <c r="D12169" s="132" t="n">
        <v>46815</v>
      </c>
      <c r="E12169" s="131" t="s">
        <v>59</v>
      </c>
      <c r="F12169" s="133" t="s">
        <v>24</v>
      </c>
      <c r="G12169" s="134" t="n">
        <f aca="false">LEN('Saisie programme'!$H$474)+SUMIFS('Vols additionnels'!$E$7:$E$66,'Vols additionnels'!$C$7:$C$66,$E12169,'Vols additionnels'!$D$7:$D$66,$F12169,'Vols additionnels'!$B$7:$B$66,$D12169)</f>
        <v>1</v>
      </c>
      <c r="H12169" s="135" t="n">
        <f aca="false">$G12169*'Analyse capacite'!$F$9</f>
        <v>174</v>
      </c>
      <c r="I12169" s="135" t="n">
        <f aca="false">$G12169*'Analyse capacite'!$C$9</f>
        <v>0</v>
      </c>
      <c r="J12169" s="135" t="n">
        <f aca="false">$G12169*'Analyse capacite'!$D$9</f>
        <v>12</v>
      </c>
      <c r="K12169" s="135" t="n">
        <f aca="false">$G12169*'Analyse capacite'!$E$9</f>
        <v>162</v>
      </c>
    </row>
    <row r="12170" customFormat="false" ht="15" hidden="false" customHeight="false" outlineLevel="0" collapsed="false">
      <c r="B12170" s="130" t="n">
        <v>2028</v>
      </c>
      <c r="C12170" s="131" t="s">
        <v>257</v>
      </c>
      <c r="D12170" s="132" t="n">
        <v>46815</v>
      </c>
      <c r="E12170" s="131" t="s">
        <v>62</v>
      </c>
      <c r="F12170" s="133" t="s">
        <v>11</v>
      </c>
      <c r="G12170" s="134" t="n">
        <f aca="false">LEN('Saisie programme'!$H$475)+SUMIFS('Vols additionnels'!$E$7:$E$66,'Vols additionnels'!$C$7:$C$66,$E12170,'Vols additionnels'!$D$7:$D$66,$F12170,'Vols additionnels'!$B$7:$B$66,$D12170)</f>
        <v>0</v>
      </c>
      <c r="H12170" s="135" t="n">
        <f aca="false">$G12170*'Analyse capacite'!$F$7</f>
        <v>0</v>
      </c>
      <c r="I12170" s="135" t="n">
        <f aca="false">$G12170*'Analyse capacite'!$C$7</f>
        <v>0</v>
      </c>
      <c r="J12170" s="135" t="n">
        <f aca="false">$G12170*'Analyse capacite'!$D$7</f>
        <v>0</v>
      </c>
      <c r="K12170" s="135" t="n">
        <f aca="false">$G12170*'Analyse capacite'!$E$7</f>
        <v>0</v>
      </c>
    </row>
    <row r="12171" customFormat="false" ht="15" hidden="false" customHeight="false" outlineLevel="0" collapsed="false">
      <c r="B12171" s="130" t="n">
        <v>2028</v>
      </c>
      <c r="C12171" s="131" t="s">
        <v>257</v>
      </c>
      <c r="D12171" s="132" t="n">
        <v>46815</v>
      </c>
      <c r="E12171" s="131" t="s">
        <v>62</v>
      </c>
      <c r="F12171" s="133" t="s">
        <v>19</v>
      </c>
      <c r="G12171" s="134" t="n">
        <f aca="false">LEN('Saisie programme'!$H$476)+SUMIFS('Vols additionnels'!$E$7:$E$66,'Vols additionnels'!$C$7:$C$66,$E12171,'Vols additionnels'!$D$7:$D$66,$F12171,'Vols additionnels'!$B$7:$B$66,$D12171)</f>
        <v>0</v>
      </c>
      <c r="H12171" s="135" t="n">
        <f aca="false">$G12171*'Analyse capacite'!$F$8</f>
        <v>0</v>
      </c>
      <c r="I12171" s="135" t="n">
        <f aca="false">$G12171*'Analyse capacite'!$C$8</f>
        <v>0</v>
      </c>
      <c r="J12171" s="135" t="n">
        <f aca="false">$G12171*'Analyse capacite'!$D$8</f>
        <v>0</v>
      </c>
      <c r="K12171" s="135" t="n">
        <f aca="false">$G12171*'Analyse capacite'!$E$8</f>
        <v>0</v>
      </c>
    </row>
    <row r="12172" customFormat="false" ht="15" hidden="false" customHeight="false" outlineLevel="0" collapsed="false">
      <c r="B12172" s="130" t="n">
        <v>2028</v>
      </c>
      <c r="C12172" s="131" t="s">
        <v>257</v>
      </c>
      <c r="D12172" s="132" t="n">
        <v>46815</v>
      </c>
      <c r="E12172" s="131" t="s">
        <v>62</v>
      </c>
      <c r="F12172" s="133" t="s">
        <v>24</v>
      </c>
      <c r="G12172" s="134" t="n">
        <f aca="false">LEN('Saisie programme'!$H$477)+SUMIFS('Vols additionnels'!$E$7:$E$66,'Vols additionnels'!$C$7:$C$66,$E12172,'Vols additionnels'!$D$7:$D$66,$F12172,'Vols additionnels'!$B$7:$B$66,$D12172)</f>
        <v>0</v>
      </c>
      <c r="H12172" s="135" t="n">
        <f aca="false">$G12172*'Analyse capacite'!$F$9</f>
        <v>0</v>
      </c>
      <c r="I12172" s="135" t="n">
        <f aca="false">$G12172*'Analyse capacite'!$C$9</f>
        <v>0</v>
      </c>
      <c r="J12172" s="135" t="n">
        <f aca="false">$G12172*'Analyse capacite'!$D$9</f>
        <v>0</v>
      </c>
      <c r="K12172" s="135" t="n">
        <f aca="false">$G12172*'Analyse capacite'!$E$9</f>
        <v>0</v>
      </c>
    </row>
    <row r="12173" customFormat="false" ht="15" hidden="false" customHeight="false" outlineLevel="0" collapsed="false">
      <c r="B12173" s="130" t="n">
        <v>2028</v>
      </c>
      <c r="C12173" s="131" t="s">
        <v>257</v>
      </c>
      <c r="D12173" s="132" t="n">
        <v>46816</v>
      </c>
      <c r="E12173" s="131" t="s">
        <v>12</v>
      </c>
      <c r="F12173" s="133" t="s">
        <v>11</v>
      </c>
      <c r="G12173" s="134" t="n">
        <f aca="false">LEN('Saisie programme'!$I$442)+SUMIFS('Vols additionnels'!$E$7:$E$66,'Vols additionnels'!$C$7:$C$66,$E12173,'Vols additionnels'!$D$7:$D$66,$F12173,'Vols additionnels'!$B$7:$B$66,$D12173)</f>
        <v>1</v>
      </c>
      <c r="H12173" s="135" t="n">
        <f aca="false">$G12173*'Analyse capacite'!$F$7</f>
        <v>438</v>
      </c>
      <c r="I12173" s="135" t="n">
        <f aca="false">$G12173*'Analyse capacite'!$C$7</f>
        <v>14</v>
      </c>
      <c r="J12173" s="135" t="n">
        <f aca="false">$G12173*'Analyse capacite'!$D$7</f>
        <v>40</v>
      </c>
      <c r="K12173" s="135" t="n">
        <f aca="false">$G12173*'Analyse capacite'!$E$7</f>
        <v>384</v>
      </c>
    </row>
    <row r="12174" customFormat="false" ht="15" hidden="false" customHeight="false" outlineLevel="0" collapsed="false">
      <c r="B12174" s="130" t="n">
        <v>2028</v>
      </c>
      <c r="C12174" s="131" t="s">
        <v>257</v>
      </c>
      <c r="D12174" s="132" t="n">
        <v>46816</v>
      </c>
      <c r="E12174" s="131" t="s">
        <v>12</v>
      </c>
      <c r="F12174" s="133" t="s">
        <v>19</v>
      </c>
      <c r="G12174" s="134" t="n">
        <f aca="false">LEN('Saisie programme'!$I$443)+SUMIFS('Vols additionnels'!$E$7:$E$66,'Vols additionnels'!$C$7:$C$66,$E12174,'Vols additionnels'!$D$7:$D$66,$F12174,'Vols additionnels'!$B$7:$B$66,$D12174)</f>
        <v>0</v>
      </c>
      <c r="H12174" s="135" t="n">
        <f aca="false">$G12174*'Analyse capacite'!$F$8</f>
        <v>0</v>
      </c>
      <c r="I12174" s="135" t="n">
        <f aca="false">$G12174*'Analyse capacite'!$C$8</f>
        <v>0</v>
      </c>
      <c r="J12174" s="135" t="n">
        <f aca="false">$G12174*'Analyse capacite'!$D$8</f>
        <v>0</v>
      </c>
      <c r="K12174" s="135" t="n">
        <f aca="false">$G12174*'Analyse capacite'!$E$8</f>
        <v>0</v>
      </c>
    </row>
    <row r="12175" customFormat="false" ht="15" hidden="false" customHeight="false" outlineLevel="0" collapsed="false">
      <c r="B12175" s="130" t="n">
        <v>2028</v>
      </c>
      <c r="C12175" s="131" t="s">
        <v>257</v>
      </c>
      <c r="D12175" s="132" t="n">
        <v>46816</v>
      </c>
      <c r="E12175" s="131" t="s">
        <v>12</v>
      </c>
      <c r="F12175" s="133" t="s">
        <v>24</v>
      </c>
      <c r="G12175" s="134" t="n">
        <f aca="false">LEN('Saisie programme'!$I$444)+SUMIFS('Vols additionnels'!$E$7:$E$66,'Vols additionnels'!$C$7:$C$66,$E12175,'Vols additionnels'!$D$7:$D$66,$F12175,'Vols additionnels'!$B$7:$B$66,$D12175)</f>
        <v>0</v>
      </c>
      <c r="H12175" s="135" t="n">
        <f aca="false">$G12175*'Analyse capacite'!$F$9</f>
        <v>0</v>
      </c>
      <c r="I12175" s="135" t="n">
        <f aca="false">$G12175*'Analyse capacite'!$C$9</f>
        <v>0</v>
      </c>
      <c r="J12175" s="135" t="n">
        <f aca="false">$G12175*'Analyse capacite'!$D$9</f>
        <v>0</v>
      </c>
      <c r="K12175" s="135" t="n">
        <f aca="false">$G12175*'Analyse capacite'!$E$9</f>
        <v>0</v>
      </c>
    </row>
    <row r="12176" customFormat="false" ht="15" hidden="false" customHeight="false" outlineLevel="0" collapsed="false">
      <c r="B12176" s="130" t="n">
        <v>2028</v>
      </c>
      <c r="C12176" s="131" t="s">
        <v>257</v>
      </c>
      <c r="D12176" s="132" t="n">
        <v>46816</v>
      </c>
      <c r="E12176" s="131" t="s">
        <v>20</v>
      </c>
      <c r="F12176" s="133" t="s">
        <v>11</v>
      </c>
      <c r="G12176" s="134" t="n">
        <f aca="false">LEN('Saisie programme'!$I$445)+SUMIFS('Vols additionnels'!$E$7:$E$66,'Vols additionnels'!$C$7:$C$66,$E12176,'Vols additionnels'!$D$7:$D$66,$F12176,'Vols additionnels'!$B$7:$B$66,$D12176)</f>
        <v>0</v>
      </c>
      <c r="H12176" s="135" t="n">
        <f aca="false">$G12176*'Analyse capacite'!$F$7</f>
        <v>0</v>
      </c>
      <c r="I12176" s="135" t="n">
        <f aca="false">$G12176*'Analyse capacite'!$C$7</f>
        <v>0</v>
      </c>
      <c r="J12176" s="135" t="n">
        <f aca="false">$G12176*'Analyse capacite'!$D$7</f>
        <v>0</v>
      </c>
      <c r="K12176" s="135" t="n">
        <f aca="false">$G12176*'Analyse capacite'!$E$7</f>
        <v>0</v>
      </c>
    </row>
    <row r="12177" customFormat="false" ht="15" hidden="false" customHeight="false" outlineLevel="0" collapsed="false">
      <c r="B12177" s="130" t="n">
        <v>2028</v>
      </c>
      <c r="C12177" s="131" t="s">
        <v>257</v>
      </c>
      <c r="D12177" s="132" t="n">
        <v>46816</v>
      </c>
      <c r="E12177" s="131" t="s">
        <v>20</v>
      </c>
      <c r="F12177" s="133" t="s">
        <v>19</v>
      </c>
      <c r="G12177" s="134" t="n">
        <f aca="false">LEN('Saisie programme'!$I$446)+SUMIFS('Vols additionnels'!$E$7:$E$66,'Vols additionnels'!$C$7:$C$66,$E12177,'Vols additionnels'!$D$7:$D$66,$F12177,'Vols additionnels'!$B$7:$B$66,$D12177)</f>
        <v>0</v>
      </c>
      <c r="H12177" s="135" t="n">
        <f aca="false">$G12177*'Analyse capacite'!$F$8</f>
        <v>0</v>
      </c>
      <c r="I12177" s="135" t="n">
        <f aca="false">$G12177*'Analyse capacite'!$C$8</f>
        <v>0</v>
      </c>
      <c r="J12177" s="135" t="n">
        <f aca="false">$G12177*'Analyse capacite'!$D$8</f>
        <v>0</v>
      </c>
      <c r="K12177" s="135" t="n">
        <f aca="false">$G12177*'Analyse capacite'!$E$8</f>
        <v>0</v>
      </c>
    </row>
    <row r="12178" customFormat="false" ht="15" hidden="false" customHeight="false" outlineLevel="0" collapsed="false">
      <c r="B12178" s="130" t="n">
        <v>2028</v>
      </c>
      <c r="C12178" s="131" t="s">
        <v>257</v>
      </c>
      <c r="D12178" s="132" t="n">
        <v>46816</v>
      </c>
      <c r="E12178" s="131" t="s">
        <v>20</v>
      </c>
      <c r="F12178" s="133" t="s">
        <v>24</v>
      </c>
      <c r="G12178" s="134" t="n">
        <f aca="false">LEN('Saisie programme'!$I$447)+SUMIFS('Vols additionnels'!$E$7:$E$66,'Vols additionnels'!$C$7:$C$66,$E12178,'Vols additionnels'!$D$7:$D$66,$F12178,'Vols additionnels'!$B$7:$B$66,$D12178)</f>
        <v>0</v>
      </c>
      <c r="H12178" s="135" t="n">
        <f aca="false">$G12178*'Analyse capacite'!$F$9</f>
        <v>0</v>
      </c>
      <c r="I12178" s="135" t="n">
        <f aca="false">$G12178*'Analyse capacite'!$C$9</f>
        <v>0</v>
      </c>
      <c r="J12178" s="135" t="n">
        <f aca="false">$G12178*'Analyse capacite'!$D$9</f>
        <v>0</v>
      </c>
      <c r="K12178" s="135" t="n">
        <f aca="false">$G12178*'Analyse capacite'!$E$9</f>
        <v>0</v>
      </c>
    </row>
    <row r="12179" customFormat="false" ht="15" hidden="false" customHeight="false" outlineLevel="0" collapsed="false">
      <c r="B12179" s="130" t="n">
        <v>2028</v>
      </c>
      <c r="C12179" s="131" t="s">
        <v>257</v>
      </c>
      <c r="D12179" s="132" t="n">
        <v>46816</v>
      </c>
      <c r="E12179" s="131" t="s">
        <v>25</v>
      </c>
      <c r="F12179" s="133" t="s">
        <v>11</v>
      </c>
      <c r="G12179" s="134" t="n">
        <f aca="false">LEN('Saisie programme'!$I$448)+SUMIFS('Vols additionnels'!$E$7:$E$66,'Vols additionnels'!$C$7:$C$66,$E12179,'Vols additionnels'!$D$7:$D$66,$F12179,'Vols additionnels'!$B$7:$B$66,$D12179)</f>
        <v>0</v>
      </c>
      <c r="H12179" s="135" t="n">
        <f aca="false">$G12179*'Analyse capacite'!$F$7</f>
        <v>0</v>
      </c>
      <c r="I12179" s="135" t="n">
        <f aca="false">$G12179*'Analyse capacite'!$C$7</f>
        <v>0</v>
      </c>
      <c r="J12179" s="135" t="n">
        <f aca="false">$G12179*'Analyse capacite'!$D$7</f>
        <v>0</v>
      </c>
      <c r="K12179" s="135" t="n">
        <f aca="false">$G12179*'Analyse capacite'!$E$7</f>
        <v>0</v>
      </c>
    </row>
    <row r="12180" customFormat="false" ht="15" hidden="false" customHeight="false" outlineLevel="0" collapsed="false">
      <c r="B12180" s="130" t="n">
        <v>2028</v>
      </c>
      <c r="C12180" s="131" t="s">
        <v>257</v>
      </c>
      <c r="D12180" s="132" t="n">
        <v>46816</v>
      </c>
      <c r="E12180" s="131" t="s">
        <v>25</v>
      </c>
      <c r="F12180" s="133" t="s">
        <v>19</v>
      </c>
      <c r="G12180" s="134" t="n">
        <f aca="false">LEN('Saisie programme'!$I$449)+SUMIFS('Vols additionnels'!$E$7:$E$66,'Vols additionnels'!$C$7:$C$66,$E12180,'Vols additionnels'!$D$7:$D$66,$F12180,'Vols additionnels'!$B$7:$B$66,$D12180)</f>
        <v>1</v>
      </c>
      <c r="H12180" s="135" t="n">
        <f aca="false">$G12180*'Analyse capacite'!$F$8</f>
        <v>262</v>
      </c>
      <c r="I12180" s="135" t="n">
        <f aca="false">$G12180*'Analyse capacite'!$C$8</f>
        <v>18</v>
      </c>
      <c r="J12180" s="135" t="n">
        <f aca="false">$G12180*'Analyse capacite'!$D$8</f>
        <v>0</v>
      </c>
      <c r="K12180" s="135" t="n">
        <f aca="false">$G12180*'Analyse capacite'!$E$8</f>
        <v>244</v>
      </c>
    </row>
    <row r="12181" customFormat="false" ht="15" hidden="false" customHeight="false" outlineLevel="0" collapsed="false">
      <c r="B12181" s="130" t="n">
        <v>2028</v>
      </c>
      <c r="C12181" s="131" t="s">
        <v>257</v>
      </c>
      <c r="D12181" s="132" t="n">
        <v>46816</v>
      </c>
      <c r="E12181" s="131" t="s">
        <v>25</v>
      </c>
      <c r="F12181" s="133" t="s">
        <v>24</v>
      </c>
      <c r="G12181" s="134" t="n">
        <f aca="false">LEN('Saisie programme'!$I$450)+SUMIFS('Vols additionnels'!$E$7:$E$66,'Vols additionnels'!$C$7:$C$66,$E12181,'Vols additionnels'!$D$7:$D$66,$F12181,'Vols additionnels'!$B$7:$B$66,$D12181)</f>
        <v>0</v>
      </c>
      <c r="H12181" s="135" t="n">
        <f aca="false">$G12181*'Analyse capacite'!$F$9</f>
        <v>0</v>
      </c>
      <c r="I12181" s="135" t="n">
        <f aca="false">$G12181*'Analyse capacite'!$C$9</f>
        <v>0</v>
      </c>
      <c r="J12181" s="135" t="n">
        <f aca="false">$G12181*'Analyse capacite'!$D$9</f>
        <v>0</v>
      </c>
      <c r="K12181" s="135" t="n">
        <f aca="false">$G12181*'Analyse capacite'!$E$9</f>
        <v>0</v>
      </c>
    </row>
    <row r="12182" customFormat="false" ht="15" hidden="false" customHeight="false" outlineLevel="0" collapsed="false">
      <c r="B12182" s="130" t="n">
        <v>2028</v>
      </c>
      <c r="C12182" s="131" t="s">
        <v>257</v>
      </c>
      <c r="D12182" s="132" t="n">
        <v>46816</v>
      </c>
      <c r="E12182" s="131" t="s">
        <v>36</v>
      </c>
      <c r="F12182" s="133" t="s">
        <v>11</v>
      </c>
      <c r="G12182" s="134" t="n">
        <f aca="false">LEN('Saisie programme'!$I$451)+SUMIFS('Vols additionnels'!$E$7:$E$66,'Vols additionnels'!$C$7:$C$66,$E12182,'Vols additionnels'!$D$7:$D$66,$F12182,'Vols additionnels'!$B$7:$B$66,$D12182)</f>
        <v>0</v>
      </c>
      <c r="H12182" s="135" t="n">
        <f aca="false">$G12182*'Analyse capacite'!$F$7</f>
        <v>0</v>
      </c>
      <c r="I12182" s="135" t="n">
        <f aca="false">$G12182*'Analyse capacite'!$C$7</f>
        <v>0</v>
      </c>
      <c r="J12182" s="135" t="n">
        <f aca="false">$G12182*'Analyse capacite'!$D$7</f>
        <v>0</v>
      </c>
      <c r="K12182" s="135" t="n">
        <f aca="false">$G12182*'Analyse capacite'!$E$7</f>
        <v>0</v>
      </c>
    </row>
    <row r="12183" customFormat="false" ht="15" hidden="false" customHeight="false" outlineLevel="0" collapsed="false">
      <c r="B12183" s="130" t="n">
        <v>2028</v>
      </c>
      <c r="C12183" s="131" t="s">
        <v>257</v>
      </c>
      <c r="D12183" s="132" t="n">
        <v>46816</v>
      </c>
      <c r="E12183" s="131" t="s">
        <v>36</v>
      </c>
      <c r="F12183" s="133" t="s">
        <v>19</v>
      </c>
      <c r="G12183" s="134" t="n">
        <f aca="false">LEN('Saisie programme'!$I$452)+SUMIFS('Vols additionnels'!$E$7:$E$66,'Vols additionnels'!$C$7:$C$66,$E12183,'Vols additionnels'!$D$7:$D$66,$F12183,'Vols additionnels'!$B$7:$B$66,$D12183)</f>
        <v>0</v>
      </c>
      <c r="H12183" s="135" t="n">
        <f aca="false">$G12183*'Analyse capacite'!$F$8</f>
        <v>0</v>
      </c>
      <c r="I12183" s="135" t="n">
        <f aca="false">$G12183*'Analyse capacite'!$C$8</f>
        <v>0</v>
      </c>
      <c r="J12183" s="135" t="n">
        <f aca="false">$G12183*'Analyse capacite'!$D$8</f>
        <v>0</v>
      </c>
      <c r="K12183" s="135" t="n">
        <f aca="false">$G12183*'Analyse capacite'!$E$8</f>
        <v>0</v>
      </c>
    </row>
    <row r="12184" customFormat="false" ht="15" hidden="false" customHeight="false" outlineLevel="0" collapsed="false">
      <c r="B12184" s="130" t="n">
        <v>2028</v>
      </c>
      <c r="C12184" s="131" t="s">
        <v>257</v>
      </c>
      <c r="D12184" s="132" t="n">
        <v>46816</v>
      </c>
      <c r="E12184" s="131" t="s">
        <v>36</v>
      </c>
      <c r="F12184" s="133" t="s">
        <v>24</v>
      </c>
      <c r="G12184" s="134" t="n">
        <f aca="false">LEN('Saisie programme'!$I$453)+SUMIFS('Vols additionnels'!$E$7:$E$66,'Vols additionnels'!$C$7:$C$66,$E12184,'Vols additionnels'!$D$7:$D$66,$F12184,'Vols additionnels'!$B$7:$B$66,$D12184)</f>
        <v>0</v>
      </c>
      <c r="H12184" s="135" t="n">
        <f aca="false">$G12184*'Analyse capacite'!$F$9</f>
        <v>0</v>
      </c>
      <c r="I12184" s="135" t="n">
        <f aca="false">$G12184*'Analyse capacite'!$C$9</f>
        <v>0</v>
      </c>
      <c r="J12184" s="135" t="n">
        <f aca="false">$G12184*'Analyse capacite'!$D$9</f>
        <v>0</v>
      </c>
      <c r="K12184" s="135" t="n">
        <f aca="false">$G12184*'Analyse capacite'!$E$9</f>
        <v>0</v>
      </c>
    </row>
    <row r="12185" customFormat="false" ht="15" hidden="false" customHeight="false" outlineLevel="0" collapsed="false">
      <c r="B12185" s="130" t="n">
        <v>2028</v>
      </c>
      <c r="C12185" s="131" t="s">
        <v>257</v>
      </c>
      <c r="D12185" s="132" t="n">
        <v>46816</v>
      </c>
      <c r="E12185" s="131" t="s">
        <v>40</v>
      </c>
      <c r="F12185" s="133" t="s">
        <v>11</v>
      </c>
      <c r="G12185" s="134" t="n">
        <f aca="false">LEN('Saisie programme'!$I$454)+SUMIFS('Vols additionnels'!$E$7:$E$66,'Vols additionnels'!$C$7:$C$66,$E12185,'Vols additionnels'!$D$7:$D$66,$F12185,'Vols additionnels'!$B$7:$B$66,$D12185)</f>
        <v>0</v>
      </c>
      <c r="H12185" s="135" t="n">
        <f aca="false">$G12185*'Analyse capacite'!$F$7</f>
        <v>0</v>
      </c>
      <c r="I12185" s="135" t="n">
        <f aca="false">$G12185*'Analyse capacite'!$C$7</f>
        <v>0</v>
      </c>
      <c r="J12185" s="135" t="n">
        <f aca="false">$G12185*'Analyse capacite'!$D$7</f>
        <v>0</v>
      </c>
      <c r="K12185" s="135" t="n">
        <f aca="false">$G12185*'Analyse capacite'!$E$7</f>
        <v>0</v>
      </c>
    </row>
    <row r="12186" customFormat="false" ht="15" hidden="false" customHeight="false" outlineLevel="0" collapsed="false">
      <c r="B12186" s="130" t="n">
        <v>2028</v>
      </c>
      <c r="C12186" s="131" t="s">
        <v>257</v>
      </c>
      <c r="D12186" s="132" t="n">
        <v>46816</v>
      </c>
      <c r="E12186" s="131" t="s">
        <v>40</v>
      </c>
      <c r="F12186" s="133" t="s">
        <v>19</v>
      </c>
      <c r="G12186" s="134" t="n">
        <f aca="false">LEN('Saisie programme'!$I$455)+SUMIFS('Vols additionnels'!$E$7:$E$66,'Vols additionnels'!$C$7:$C$66,$E12186,'Vols additionnels'!$D$7:$D$66,$F12186,'Vols additionnels'!$B$7:$B$66,$D12186)</f>
        <v>0</v>
      </c>
      <c r="H12186" s="135" t="n">
        <f aca="false">$G12186*'Analyse capacite'!$F$8</f>
        <v>0</v>
      </c>
      <c r="I12186" s="135" t="n">
        <f aca="false">$G12186*'Analyse capacite'!$C$8</f>
        <v>0</v>
      </c>
      <c r="J12186" s="135" t="n">
        <f aca="false">$G12186*'Analyse capacite'!$D$8</f>
        <v>0</v>
      </c>
      <c r="K12186" s="135" t="n">
        <f aca="false">$G12186*'Analyse capacite'!$E$8</f>
        <v>0</v>
      </c>
    </row>
    <row r="12187" customFormat="false" ht="15" hidden="false" customHeight="false" outlineLevel="0" collapsed="false">
      <c r="B12187" s="130" t="n">
        <v>2028</v>
      </c>
      <c r="C12187" s="131" t="s">
        <v>257</v>
      </c>
      <c r="D12187" s="132" t="n">
        <v>46816</v>
      </c>
      <c r="E12187" s="131" t="s">
        <v>40</v>
      </c>
      <c r="F12187" s="133" t="s">
        <v>24</v>
      </c>
      <c r="G12187" s="134" t="n">
        <f aca="false">LEN('Saisie programme'!$I$456)+SUMIFS('Vols additionnels'!$E$7:$E$66,'Vols additionnels'!$C$7:$C$66,$E12187,'Vols additionnels'!$D$7:$D$66,$F12187,'Vols additionnels'!$B$7:$B$66,$D12187)</f>
        <v>0</v>
      </c>
      <c r="H12187" s="135" t="n">
        <f aca="false">$G12187*'Analyse capacite'!$F$9</f>
        <v>0</v>
      </c>
      <c r="I12187" s="135" t="n">
        <f aca="false">$G12187*'Analyse capacite'!$C$9</f>
        <v>0</v>
      </c>
      <c r="J12187" s="135" t="n">
        <f aca="false">$G12187*'Analyse capacite'!$D$9</f>
        <v>0</v>
      </c>
      <c r="K12187" s="135" t="n">
        <f aca="false">$G12187*'Analyse capacite'!$E$9</f>
        <v>0</v>
      </c>
    </row>
    <row r="12188" customFormat="false" ht="15" hidden="false" customHeight="false" outlineLevel="0" collapsed="false">
      <c r="B12188" s="130" t="n">
        <v>2028</v>
      </c>
      <c r="C12188" s="131" t="s">
        <v>257</v>
      </c>
      <c r="D12188" s="132" t="n">
        <v>46816</v>
      </c>
      <c r="E12188" s="131" t="s">
        <v>14</v>
      </c>
      <c r="F12188" s="133" t="s">
        <v>11</v>
      </c>
      <c r="G12188" s="134" t="n">
        <f aca="false">LEN('Saisie programme'!$I$457)+SUMIFS('Vols additionnels'!$E$7:$E$66,'Vols additionnels'!$C$7:$C$66,$E12188,'Vols additionnels'!$D$7:$D$66,$F12188,'Vols additionnels'!$B$7:$B$66,$D12188)</f>
        <v>0</v>
      </c>
      <c r="H12188" s="135" t="n">
        <f aca="false">$G12188*'Analyse capacite'!$F$7</f>
        <v>0</v>
      </c>
      <c r="I12188" s="135" t="n">
        <f aca="false">$G12188*'Analyse capacite'!$C$7</f>
        <v>0</v>
      </c>
      <c r="J12188" s="135" t="n">
        <f aca="false">$G12188*'Analyse capacite'!$D$7</f>
        <v>0</v>
      </c>
      <c r="K12188" s="135" t="n">
        <f aca="false">$G12188*'Analyse capacite'!$E$7</f>
        <v>0</v>
      </c>
    </row>
    <row r="12189" customFormat="false" ht="15" hidden="false" customHeight="false" outlineLevel="0" collapsed="false">
      <c r="B12189" s="130" t="n">
        <v>2028</v>
      </c>
      <c r="C12189" s="131" t="s">
        <v>257</v>
      </c>
      <c r="D12189" s="132" t="n">
        <v>46816</v>
      </c>
      <c r="E12189" s="131" t="s">
        <v>14</v>
      </c>
      <c r="F12189" s="133" t="s">
        <v>19</v>
      </c>
      <c r="G12189" s="134" t="n">
        <f aca="false">LEN('Saisie programme'!$I$458)+SUMIFS('Vols additionnels'!$E$7:$E$66,'Vols additionnels'!$C$7:$C$66,$E12189,'Vols additionnels'!$D$7:$D$66,$F12189,'Vols additionnels'!$B$7:$B$66,$D12189)</f>
        <v>0</v>
      </c>
      <c r="H12189" s="135" t="n">
        <f aca="false">$G12189*'Analyse capacite'!$F$8</f>
        <v>0</v>
      </c>
      <c r="I12189" s="135" t="n">
        <f aca="false">$G12189*'Analyse capacite'!$C$8</f>
        <v>0</v>
      </c>
      <c r="J12189" s="135" t="n">
        <f aca="false">$G12189*'Analyse capacite'!$D$8</f>
        <v>0</v>
      </c>
      <c r="K12189" s="135" t="n">
        <f aca="false">$G12189*'Analyse capacite'!$E$8</f>
        <v>0</v>
      </c>
    </row>
    <row r="12190" customFormat="false" ht="15" hidden="false" customHeight="false" outlineLevel="0" collapsed="false">
      <c r="B12190" s="130" t="n">
        <v>2028</v>
      </c>
      <c r="C12190" s="131" t="s">
        <v>257</v>
      </c>
      <c r="D12190" s="132" t="n">
        <v>46816</v>
      </c>
      <c r="E12190" s="131" t="s">
        <v>14</v>
      </c>
      <c r="F12190" s="133" t="s">
        <v>24</v>
      </c>
      <c r="G12190" s="134" t="n">
        <f aca="false">LEN('Saisie programme'!$I$459)+SUMIFS('Vols additionnels'!$E$7:$E$66,'Vols additionnels'!$C$7:$C$66,$E12190,'Vols additionnels'!$D$7:$D$66,$F12190,'Vols additionnels'!$B$7:$B$66,$D12190)</f>
        <v>1</v>
      </c>
      <c r="H12190" s="135" t="n">
        <f aca="false">$G12190*'Analyse capacite'!$F$9</f>
        <v>174</v>
      </c>
      <c r="I12190" s="135" t="n">
        <f aca="false">$G12190*'Analyse capacite'!$C$9</f>
        <v>0</v>
      </c>
      <c r="J12190" s="135" t="n">
        <f aca="false">$G12190*'Analyse capacite'!$D$9</f>
        <v>12</v>
      </c>
      <c r="K12190" s="135" t="n">
        <f aca="false">$G12190*'Analyse capacite'!$E$9</f>
        <v>162</v>
      </c>
    </row>
    <row r="12191" customFormat="false" ht="15" hidden="false" customHeight="false" outlineLevel="0" collapsed="false">
      <c r="B12191" s="130" t="n">
        <v>2028</v>
      </c>
      <c r="C12191" s="131" t="s">
        <v>257</v>
      </c>
      <c r="D12191" s="132" t="n">
        <v>46816</v>
      </c>
      <c r="E12191" s="131" t="s">
        <v>46</v>
      </c>
      <c r="F12191" s="133" t="s">
        <v>11</v>
      </c>
      <c r="G12191" s="134" t="n">
        <f aca="false">LEN('Saisie programme'!$I$460)+SUMIFS('Vols additionnels'!$E$7:$E$66,'Vols additionnels'!$C$7:$C$66,$E12191,'Vols additionnels'!$D$7:$D$66,$F12191,'Vols additionnels'!$B$7:$B$66,$D12191)</f>
        <v>0</v>
      </c>
      <c r="H12191" s="135" t="n">
        <f aca="false">$G12191*'Analyse capacite'!$F$7</f>
        <v>0</v>
      </c>
      <c r="I12191" s="135" t="n">
        <f aca="false">$G12191*'Analyse capacite'!$C$7</f>
        <v>0</v>
      </c>
      <c r="J12191" s="135" t="n">
        <f aca="false">$G12191*'Analyse capacite'!$D$7</f>
        <v>0</v>
      </c>
      <c r="K12191" s="135" t="n">
        <f aca="false">$G12191*'Analyse capacite'!$E$7</f>
        <v>0</v>
      </c>
    </row>
    <row r="12192" customFormat="false" ht="15" hidden="false" customHeight="false" outlineLevel="0" collapsed="false">
      <c r="B12192" s="130" t="n">
        <v>2028</v>
      </c>
      <c r="C12192" s="131" t="s">
        <v>257</v>
      </c>
      <c r="D12192" s="132" t="n">
        <v>46816</v>
      </c>
      <c r="E12192" s="131" t="s">
        <v>46</v>
      </c>
      <c r="F12192" s="133" t="s">
        <v>19</v>
      </c>
      <c r="G12192" s="134" t="n">
        <f aca="false">LEN('Saisie programme'!$I$461)+SUMIFS('Vols additionnels'!$E$7:$E$66,'Vols additionnels'!$C$7:$C$66,$E12192,'Vols additionnels'!$D$7:$D$66,$F12192,'Vols additionnels'!$B$7:$B$66,$D12192)</f>
        <v>0</v>
      </c>
      <c r="H12192" s="135" t="n">
        <f aca="false">$G12192*'Analyse capacite'!$F$8</f>
        <v>0</v>
      </c>
      <c r="I12192" s="135" t="n">
        <f aca="false">$G12192*'Analyse capacite'!$C$8</f>
        <v>0</v>
      </c>
      <c r="J12192" s="135" t="n">
        <f aca="false">$G12192*'Analyse capacite'!$D$8</f>
        <v>0</v>
      </c>
      <c r="K12192" s="135" t="n">
        <f aca="false">$G12192*'Analyse capacite'!$E$8</f>
        <v>0</v>
      </c>
    </row>
    <row r="12193" customFormat="false" ht="15" hidden="false" customHeight="false" outlineLevel="0" collapsed="false">
      <c r="B12193" s="130" t="n">
        <v>2028</v>
      </c>
      <c r="C12193" s="131" t="s">
        <v>257</v>
      </c>
      <c r="D12193" s="132" t="n">
        <v>46816</v>
      </c>
      <c r="E12193" s="131" t="s">
        <v>46</v>
      </c>
      <c r="F12193" s="133" t="s">
        <v>24</v>
      </c>
      <c r="G12193" s="134" t="n">
        <f aca="false">LEN('Saisie programme'!$I$462)+SUMIFS('Vols additionnels'!$E$7:$E$66,'Vols additionnels'!$C$7:$C$66,$E12193,'Vols additionnels'!$D$7:$D$66,$F12193,'Vols additionnels'!$B$7:$B$66,$D12193)</f>
        <v>1</v>
      </c>
      <c r="H12193" s="135" t="n">
        <f aca="false">$G12193*'Analyse capacite'!$F$9</f>
        <v>174</v>
      </c>
      <c r="I12193" s="135" t="n">
        <f aca="false">$G12193*'Analyse capacite'!$C$9</f>
        <v>0</v>
      </c>
      <c r="J12193" s="135" t="n">
        <f aca="false">$G12193*'Analyse capacite'!$D$9</f>
        <v>12</v>
      </c>
      <c r="K12193" s="135" t="n">
        <f aca="false">$G12193*'Analyse capacite'!$E$9</f>
        <v>162</v>
      </c>
    </row>
    <row r="12194" customFormat="false" ht="15" hidden="false" customHeight="false" outlineLevel="0" collapsed="false">
      <c r="B12194" s="130" t="n">
        <v>2028</v>
      </c>
      <c r="C12194" s="131" t="s">
        <v>257</v>
      </c>
      <c r="D12194" s="132" t="n">
        <v>46816</v>
      </c>
      <c r="E12194" s="131" t="s">
        <v>49</v>
      </c>
      <c r="F12194" s="133" t="s">
        <v>11</v>
      </c>
      <c r="G12194" s="134" t="n">
        <f aca="false">LEN('Saisie programme'!$I$463)+SUMIFS('Vols additionnels'!$E$7:$E$66,'Vols additionnels'!$C$7:$C$66,$E12194,'Vols additionnels'!$D$7:$D$66,$F12194,'Vols additionnels'!$B$7:$B$66,$D12194)</f>
        <v>0</v>
      </c>
      <c r="H12194" s="135" t="n">
        <f aca="false">$G12194*'Analyse capacite'!$F$7</f>
        <v>0</v>
      </c>
      <c r="I12194" s="135" t="n">
        <f aca="false">$G12194*'Analyse capacite'!$C$7</f>
        <v>0</v>
      </c>
      <c r="J12194" s="135" t="n">
        <f aca="false">$G12194*'Analyse capacite'!$D$7</f>
        <v>0</v>
      </c>
      <c r="K12194" s="135" t="n">
        <f aca="false">$G12194*'Analyse capacite'!$E$7</f>
        <v>0</v>
      </c>
    </row>
    <row r="12195" customFormat="false" ht="15" hidden="false" customHeight="false" outlineLevel="0" collapsed="false">
      <c r="B12195" s="130" t="n">
        <v>2028</v>
      </c>
      <c r="C12195" s="131" t="s">
        <v>257</v>
      </c>
      <c r="D12195" s="132" t="n">
        <v>46816</v>
      </c>
      <c r="E12195" s="131" t="s">
        <v>49</v>
      </c>
      <c r="F12195" s="133" t="s">
        <v>19</v>
      </c>
      <c r="G12195" s="134" t="n">
        <f aca="false">LEN('Saisie programme'!$I$464)+SUMIFS('Vols additionnels'!$E$7:$E$66,'Vols additionnels'!$C$7:$C$66,$E12195,'Vols additionnels'!$D$7:$D$66,$F12195,'Vols additionnels'!$B$7:$B$66,$D12195)</f>
        <v>0</v>
      </c>
      <c r="H12195" s="135" t="n">
        <f aca="false">$G12195*'Analyse capacite'!$F$8</f>
        <v>0</v>
      </c>
      <c r="I12195" s="135" t="n">
        <f aca="false">$G12195*'Analyse capacite'!$C$8</f>
        <v>0</v>
      </c>
      <c r="J12195" s="135" t="n">
        <f aca="false">$G12195*'Analyse capacite'!$D$8</f>
        <v>0</v>
      </c>
      <c r="K12195" s="135" t="n">
        <f aca="false">$G12195*'Analyse capacite'!$E$8</f>
        <v>0</v>
      </c>
    </row>
    <row r="12196" customFormat="false" ht="15" hidden="false" customHeight="false" outlineLevel="0" collapsed="false">
      <c r="B12196" s="130" t="n">
        <v>2028</v>
      </c>
      <c r="C12196" s="131" t="s">
        <v>257</v>
      </c>
      <c r="D12196" s="132" t="n">
        <v>46816</v>
      </c>
      <c r="E12196" s="131" t="s">
        <v>49</v>
      </c>
      <c r="F12196" s="133" t="s">
        <v>24</v>
      </c>
      <c r="G12196" s="134" t="n">
        <f aca="false">LEN('Saisie programme'!$I$465)+SUMIFS('Vols additionnels'!$E$7:$E$66,'Vols additionnels'!$C$7:$C$66,$E12196,'Vols additionnels'!$D$7:$D$66,$F12196,'Vols additionnels'!$B$7:$B$66,$D12196)</f>
        <v>0</v>
      </c>
      <c r="H12196" s="135" t="n">
        <f aca="false">$G12196*'Analyse capacite'!$F$9</f>
        <v>0</v>
      </c>
      <c r="I12196" s="135" t="n">
        <f aca="false">$G12196*'Analyse capacite'!$C$9</f>
        <v>0</v>
      </c>
      <c r="J12196" s="135" t="n">
        <f aca="false">$G12196*'Analyse capacite'!$D$9</f>
        <v>0</v>
      </c>
      <c r="K12196" s="135" t="n">
        <f aca="false">$G12196*'Analyse capacite'!$E$9</f>
        <v>0</v>
      </c>
    </row>
    <row r="12197" customFormat="false" ht="15" hidden="false" customHeight="false" outlineLevel="0" collapsed="false">
      <c r="B12197" s="130" t="n">
        <v>2028</v>
      </c>
      <c r="C12197" s="131" t="s">
        <v>257</v>
      </c>
      <c r="D12197" s="132" t="n">
        <v>46816</v>
      </c>
      <c r="E12197" s="131" t="s">
        <v>53</v>
      </c>
      <c r="F12197" s="133" t="s">
        <v>11</v>
      </c>
      <c r="G12197" s="134" t="n">
        <f aca="false">LEN('Saisie programme'!$I$466)+SUMIFS('Vols additionnels'!$E$7:$E$66,'Vols additionnels'!$C$7:$C$66,$E12197,'Vols additionnels'!$D$7:$D$66,$F12197,'Vols additionnels'!$B$7:$B$66,$D12197)</f>
        <v>0</v>
      </c>
      <c r="H12197" s="135" t="n">
        <f aca="false">$G12197*'Analyse capacite'!$F$7</f>
        <v>0</v>
      </c>
      <c r="I12197" s="135" t="n">
        <f aca="false">$G12197*'Analyse capacite'!$C$7</f>
        <v>0</v>
      </c>
      <c r="J12197" s="135" t="n">
        <f aca="false">$G12197*'Analyse capacite'!$D$7</f>
        <v>0</v>
      </c>
      <c r="K12197" s="135" t="n">
        <f aca="false">$G12197*'Analyse capacite'!$E$7</f>
        <v>0</v>
      </c>
    </row>
    <row r="12198" customFormat="false" ht="15" hidden="false" customHeight="false" outlineLevel="0" collapsed="false">
      <c r="B12198" s="130" t="n">
        <v>2028</v>
      </c>
      <c r="C12198" s="131" t="s">
        <v>257</v>
      </c>
      <c r="D12198" s="132" t="n">
        <v>46816</v>
      </c>
      <c r="E12198" s="131" t="s">
        <v>53</v>
      </c>
      <c r="F12198" s="133" t="s">
        <v>19</v>
      </c>
      <c r="G12198" s="134" t="n">
        <f aca="false">LEN('Saisie programme'!$I$467)+SUMIFS('Vols additionnels'!$E$7:$E$66,'Vols additionnels'!$C$7:$C$66,$E12198,'Vols additionnels'!$D$7:$D$66,$F12198,'Vols additionnels'!$B$7:$B$66,$D12198)</f>
        <v>0</v>
      </c>
      <c r="H12198" s="135" t="n">
        <f aca="false">$G12198*'Analyse capacite'!$F$8</f>
        <v>0</v>
      </c>
      <c r="I12198" s="135" t="n">
        <f aca="false">$G12198*'Analyse capacite'!$C$8</f>
        <v>0</v>
      </c>
      <c r="J12198" s="135" t="n">
        <f aca="false">$G12198*'Analyse capacite'!$D$8</f>
        <v>0</v>
      </c>
      <c r="K12198" s="135" t="n">
        <f aca="false">$G12198*'Analyse capacite'!$E$8</f>
        <v>0</v>
      </c>
    </row>
    <row r="12199" customFormat="false" ht="15" hidden="false" customHeight="false" outlineLevel="0" collapsed="false">
      <c r="B12199" s="130" t="n">
        <v>2028</v>
      </c>
      <c r="C12199" s="131" t="s">
        <v>257</v>
      </c>
      <c r="D12199" s="132" t="n">
        <v>46816</v>
      </c>
      <c r="E12199" s="131" t="s">
        <v>53</v>
      </c>
      <c r="F12199" s="133" t="s">
        <v>24</v>
      </c>
      <c r="G12199" s="134" t="n">
        <f aca="false">LEN('Saisie programme'!$I$468)+SUMIFS('Vols additionnels'!$E$7:$E$66,'Vols additionnels'!$C$7:$C$66,$E12199,'Vols additionnels'!$D$7:$D$66,$F12199,'Vols additionnels'!$B$7:$B$66,$D12199)</f>
        <v>0</v>
      </c>
      <c r="H12199" s="135" t="n">
        <f aca="false">$G12199*'Analyse capacite'!$F$9</f>
        <v>0</v>
      </c>
      <c r="I12199" s="135" t="n">
        <f aca="false">$G12199*'Analyse capacite'!$C$9</f>
        <v>0</v>
      </c>
      <c r="J12199" s="135" t="n">
        <f aca="false">$G12199*'Analyse capacite'!$D$9</f>
        <v>0</v>
      </c>
      <c r="K12199" s="135" t="n">
        <f aca="false">$G12199*'Analyse capacite'!$E$9</f>
        <v>0</v>
      </c>
    </row>
    <row r="12200" customFormat="false" ht="15" hidden="false" customHeight="false" outlineLevel="0" collapsed="false">
      <c r="B12200" s="130" t="n">
        <v>2028</v>
      </c>
      <c r="C12200" s="131" t="s">
        <v>257</v>
      </c>
      <c r="D12200" s="132" t="n">
        <v>46816</v>
      </c>
      <c r="E12200" s="131" t="s">
        <v>56</v>
      </c>
      <c r="F12200" s="133" t="s">
        <v>11</v>
      </c>
      <c r="G12200" s="134" t="n">
        <f aca="false">LEN('Saisie programme'!$I$469)+SUMIFS('Vols additionnels'!$E$7:$E$66,'Vols additionnels'!$C$7:$C$66,$E12200,'Vols additionnels'!$D$7:$D$66,$F12200,'Vols additionnels'!$B$7:$B$66,$D12200)</f>
        <v>0</v>
      </c>
      <c r="H12200" s="135" t="n">
        <f aca="false">$G12200*'Analyse capacite'!$F$7</f>
        <v>0</v>
      </c>
      <c r="I12200" s="135" t="n">
        <f aca="false">$G12200*'Analyse capacite'!$C$7</f>
        <v>0</v>
      </c>
      <c r="J12200" s="135" t="n">
        <f aca="false">$G12200*'Analyse capacite'!$D$7</f>
        <v>0</v>
      </c>
      <c r="K12200" s="135" t="n">
        <f aca="false">$G12200*'Analyse capacite'!$E$7</f>
        <v>0</v>
      </c>
    </row>
    <row r="12201" customFormat="false" ht="15" hidden="false" customHeight="false" outlineLevel="0" collapsed="false">
      <c r="B12201" s="130" t="n">
        <v>2028</v>
      </c>
      <c r="C12201" s="131" t="s">
        <v>257</v>
      </c>
      <c r="D12201" s="132" t="n">
        <v>46816</v>
      </c>
      <c r="E12201" s="131" t="s">
        <v>56</v>
      </c>
      <c r="F12201" s="133" t="s">
        <v>19</v>
      </c>
      <c r="G12201" s="134" t="n">
        <f aca="false">LEN('Saisie programme'!$I$470)+SUMIFS('Vols additionnels'!$E$7:$E$66,'Vols additionnels'!$C$7:$C$66,$E12201,'Vols additionnels'!$D$7:$D$66,$F12201,'Vols additionnels'!$B$7:$B$66,$D12201)</f>
        <v>0</v>
      </c>
      <c r="H12201" s="135" t="n">
        <f aca="false">$G12201*'Analyse capacite'!$F$8</f>
        <v>0</v>
      </c>
      <c r="I12201" s="135" t="n">
        <f aca="false">$G12201*'Analyse capacite'!$C$8</f>
        <v>0</v>
      </c>
      <c r="J12201" s="135" t="n">
        <f aca="false">$G12201*'Analyse capacite'!$D$8</f>
        <v>0</v>
      </c>
      <c r="K12201" s="135" t="n">
        <f aca="false">$G12201*'Analyse capacite'!$E$8</f>
        <v>0</v>
      </c>
    </row>
    <row r="12202" customFormat="false" ht="15" hidden="false" customHeight="false" outlineLevel="0" collapsed="false">
      <c r="B12202" s="130" t="n">
        <v>2028</v>
      </c>
      <c r="C12202" s="131" t="s">
        <v>257</v>
      </c>
      <c r="D12202" s="132" t="n">
        <v>46816</v>
      </c>
      <c r="E12202" s="131" t="s">
        <v>56</v>
      </c>
      <c r="F12202" s="133" t="s">
        <v>24</v>
      </c>
      <c r="G12202" s="134" t="n">
        <f aca="false">LEN('Saisie programme'!$I$471)+SUMIFS('Vols additionnels'!$E$7:$E$66,'Vols additionnels'!$C$7:$C$66,$E12202,'Vols additionnels'!$D$7:$D$66,$F12202,'Vols additionnels'!$B$7:$B$66,$D12202)</f>
        <v>1</v>
      </c>
      <c r="H12202" s="135" t="n">
        <f aca="false">$G12202*'Analyse capacite'!$F$9</f>
        <v>174</v>
      </c>
      <c r="I12202" s="135" t="n">
        <f aca="false">$G12202*'Analyse capacite'!$C$9</f>
        <v>0</v>
      </c>
      <c r="J12202" s="135" t="n">
        <f aca="false">$G12202*'Analyse capacite'!$D$9</f>
        <v>12</v>
      </c>
      <c r="K12202" s="135" t="n">
        <f aca="false">$G12202*'Analyse capacite'!$E$9</f>
        <v>162</v>
      </c>
    </row>
    <row r="12203" customFormat="false" ht="15" hidden="false" customHeight="false" outlineLevel="0" collapsed="false">
      <c r="B12203" s="130" t="n">
        <v>2028</v>
      </c>
      <c r="C12203" s="131" t="s">
        <v>257</v>
      </c>
      <c r="D12203" s="132" t="n">
        <v>46816</v>
      </c>
      <c r="E12203" s="131" t="s">
        <v>59</v>
      </c>
      <c r="F12203" s="133" t="s">
        <v>11</v>
      </c>
      <c r="G12203" s="134" t="n">
        <f aca="false">LEN('Saisie programme'!$I$472)+SUMIFS('Vols additionnels'!$E$7:$E$66,'Vols additionnels'!$C$7:$C$66,$E12203,'Vols additionnels'!$D$7:$D$66,$F12203,'Vols additionnels'!$B$7:$B$66,$D12203)</f>
        <v>0</v>
      </c>
      <c r="H12203" s="135" t="n">
        <f aca="false">$G12203*'Analyse capacite'!$F$7</f>
        <v>0</v>
      </c>
      <c r="I12203" s="135" t="n">
        <f aca="false">$G12203*'Analyse capacite'!$C$7</f>
        <v>0</v>
      </c>
      <c r="J12203" s="135" t="n">
        <f aca="false">$G12203*'Analyse capacite'!$D$7</f>
        <v>0</v>
      </c>
      <c r="K12203" s="135" t="n">
        <f aca="false">$G12203*'Analyse capacite'!$E$7</f>
        <v>0</v>
      </c>
    </row>
    <row r="12204" customFormat="false" ht="15" hidden="false" customHeight="false" outlineLevel="0" collapsed="false">
      <c r="B12204" s="130" t="n">
        <v>2028</v>
      </c>
      <c r="C12204" s="131" t="s">
        <v>257</v>
      </c>
      <c r="D12204" s="132" t="n">
        <v>46816</v>
      </c>
      <c r="E12204" s="131" t="s">
        <v>59</v>
      </c>
      <c r="F12204" s="133" t="s">
        <v>19</v>
      </c>
      <c r="G12204" s="134" t="n">
        <f aca="false">LEN('Saisie programme'!$I$473)+SUMIFS('Vols additionnels'!$E$7:$E$66,'Vols additionnels'!$C$7:$C$66,$E12204,'Vols additionnels'!$D$7:$D$66,$F12204,'Vols additionnels'!$B$7:$B$66,$D12204)</f>
        <v>0</v>
      </c>
      <c r="H12204" s="135" t="n">
        <f aca="false">$G12204*'Analyse capacite'!$F$8</f>
        <v>0</v>
      </c>
      <c r="I12204" s="135" t="n">
        <f aca="false">$G12204*'Analyse capacite'!$C$8</f>
        <v>0</v>
      </c>
      <c r="J12204" s="135" t="n">
        <f aca="false">$G12204*'Analyse capacite'!$D$8</f>
        <v>0</v>
      </c>
      <c r="K12204" s="135" t="n">
        <f aca="false">$G12204*'Analyse capacite'!$E$8</f>
        <v>0</v>
      </c>
    </row>
    <row r="12205" customFormat="false" ht="15" hidden="false" customHeight="false" outlineLevel="0" collapsed="false">
      <c r="B12205" s="130" t="n">
        <v>2028</v>
      </c>
      <c r="C12205" s="131" t="s">
        <v>257</v>
      </c>
      <c r="D12205" s="132" t="n">
        <v>46816</v>
      </c>
      <c r="E12205" s="131" t="s">
        <v>59</v>
      </c>
      <c r="F12205" s="133" t="s">
        <v>24</v>
      </c>
      <c r="G12205" s="134" t="n">
        <f aca="false">LEN('Saisie programme'!$I$474)+SUMIFS('Vols additionnels'!$E$7:$E$66,'Vols additionnels'!$C$7:$C$66,$E12205,'Vols additionnels'!$D$7:$D$66,$F12205,'Vols additionnels'!$B$7:$B$66,$D12205)</f>
        <v>1</v>
      </c>
      <c r="H12205" s="135" t="n">
        <f aca="false">$G12205*'Analyse capacite'!$F$9</f>
        <v>174</v>
      </c>
      <c r="I12205" s="135" t="n">
        <f aca="false">$G12205*'Analyse capacite'!$C$9</f>
        <v>0</v>
      </c>
      <c r="J12205" s="135" t="n">
        <f aca="false">$G12205*'Analyse capacite'!$D$9</f>
        <v>12</v>
      </c>
      <c r="K12205" s="135" t="n">
        <f aca="false">$G12205*'Analyse capacite'!$E$9</f>
        <v>162</v>
      </c>
    </row>
    <row r="12206" customFormat="false" ht="15" hidden="false" customHeight="false" outlineLevel="0" collapsed="false">
      <c r="B12206" s="130" t="n">
        <v>2028</v>
      </c>
      <c r="C12206" s="131" t="s">
        <v>257</v>
      </c>
      <c r="D12206" s="132" t="n">
        <v>46816</v>
      </c>
      <c r="E12206" s="131" t="s">
        <v>62</v>
      </c>
      <c r="F12206" s="133" t="s">
        <v>11</v>
      </c>
      <c r="G12206" s="134" t="n">
        <f aca="false">LEN('Saisie programme'!$I$475)+SUMIFS('Vols additionnels'!$E$7:$E$66,'Vols additionnels'!$C$7:$C$66,$E12206,'Vols additionnels'!$D$7:$D$66,$F12206,'Vols additionnels'!$B$7:$B$66,$D12206)</f>
        <v>0</v>
      </c>
      <c r="H12206" s="135" t="n">
        <f aca="false">$G12206*'Analyse capacite'!$F$7</f>
        <v>0</v>
      </c>
      <c r="I12206" s="135" t="n">
        <f aca="false">$G12206*'Analyse capacite'!$C$7</f>
        <v>0</v>
      </c>
      <c r="J12206" s="135" t="n">
        <f aca="false">$G12206*'Analyse capacite'!$D$7</f>
        <v>0</v>
      </c>
      <c r="K12206" s="135" t="n">
        <f aca="false">$G12206*'Analyse capacite'!$E$7</f>
        <v>0</v>
      </c>
    </row>
    <row r="12207" customFormat="false" ht="15" hidden="false" customHeight="false" outlineLevel="0" collapsed="false">
      <c r="B12207" s="130" t="n">
        <v>2028</v>
      </c>
      <c r="C12207" s="131" t="s">
        <v>257</v>
      </c>
      <c r="D12207" s="132" t="n">
        <v>46816</v>
      </c>
      <c r="E12207" s="131" t="s">
        <v>62</v>
      </c>
      <c r="F12207" s="133" t="s">
        <v>19</v>
      </c>
      <c r="G12207" s="134" t="n">
        <f aca="false">LEN('Saisie programme'!$I$476)+SUMIFS('Vols additionnels'!$E$7:$E$66,'Vols additionnels'!$C$7:$C$66,$E12207,'Vols additionnels'!$D$7:$D$66,$F12207,'Vols additionnels'!$B$7:$B$66,$D12207)</f>
        <v>0</v>
      </c>
      <c r="H12207" s="135" t="n">
        <f aca="false">$G12207*'Analyse capacite'!$F$8</f>
        <v>0</v>
      </c>
      <c r="I12207" s="135" t="n">
        <f aca="false">$G12207*'Analyse capacite'!$C$8</f>
        <v>0</v>
      </c>
      <c r="J12207" s="135" t="n">
        <f aca="false">$G12207*'Analyse capacite'!$D$8</f>
        <v>0</v>
      </c>
      <c r="K12207" s="135" t="n">
        <f aca="false">$G12207*'Analyse capacite'!$E$8</f>
        <v>0</v>
      </c>
    </row>
    <row r="12208" customFormat="false" ht="15" hidden="false" customHeight="false" outlineLevel="0" collapsed="false">
      <c r="B12208" s="130" t="n">
        <v>2028</v>
      </c>
      <c r="C12208" s="131" t="s">
        <v>257</v>
      </c>
      <c r="D12208" s="132" t="n">
        <v>46816</v>
      </c>
      <c r="E12208" s="131" t="s">
        <v>62</v>
      </c>
      <c r="F12208" s="133" t="s">
        <v>24</v>
      </c>
      <c r="G12208" s="134" t="n">
        <f aca="false">LEN('Saisie programme'!$I$477)+SUMIFS('Vols additionnels'!$E$7:$E$66,'Vols additionnels'!$C$7:$C$66,$E12208,'Vols additionnels'!$D$7:$D$66,$F12208,'Vols additionnels'!$B$7:$B$66,$D12208)</f>
        <v>0</v>
      </c>
      <c r="H12208" s="135" t="n">
        <f aca="false">$G12208*'Analyse capacite'!$F$9</f>
        <v>0</v>
      </c>
      <c r="I12208" s="135" t="n">
        <f aca="false">$G12208*'Analyse capacite'!$C$9</f>
        <v>0</v>
      </c>
      <c r="J12208" s="135" t="n">
        <f aca="false">$G12208*'Analyse capacite'!$D$9</f>
        <v>0</v>
      </c>
      <c r="K12208" s="135" t="n">
        <f aca="false">$G12208*'Analyse capacite'!$E$9</f>
        <v>0</v>
      </c>
    </row>
    <row r="12209" customFormat="false" ht="15" hidden="false" customHeight="false" outlineLevel="0" collapsed="false">
      <c r="B12209" s="130" t="n">
        <v>2028</v>
      </c>
      <c r="C12209" s="131" t="s">
        <v>257</v>
      </c>
      <c r="D12209" s="132" t="n">
        <v>46817</v>
      </c>
      <c r="E12209" s="131" t="s">
        <v>12</v>
      </c>
      <c r="F12209" s="133" t="s">
        <v>11</v>
      </c>
      <c r="G12209" s="134" t="n">
        <f aca="false">LEN('Saisie programme'!$J$442)+SUMIFS('Vols additionnels'!$E$7:$E$66,'Vols additionnels'!$C$7:$C$66,$E12209,'Vols additionnels'!$D$7:$D$66,$F12209,'Vols additionnels'!$B$7:$B$66,$D12209)</f>
        <v>1</v>
      </c>
      <c r="H12209" s="135" t="n">
        <f aca="false">$G12209*'Analyse capacite'!$F$7</f>
        <v>438</v>
      </c>
      <c r="I12209" s="135" t="n">
        <f aca="false">$G12209*'Analyse capacite'!$C$7</f>
        <v>14</v>
      </c>
      <c r="J12209" s="135" t="n">
        <f aca="false">$G12209*'Analyse capacite'!$D$7</f>
        <v>40</v>
      </c>
      <c r="K12209" s="135" t="n">
        <f aca="false">$G12209*'Analyse capacite'!$E$7</f>
        <v>384</v>
      </c>
    </row>
    <row r="12210" customFormat="false" ht="15" hidden="false" customHeight="false" outlineLevel="0" collapsed="false">
      <c r="B12210" s="130" t="n">
        <v>2028</v>
      </c>
      <c r="C12210" s="131" t="s">
        <v>257</v>
      </c>
      <c r="D12210" s="132" t="n">
        <v>46817</v>
      </c>
      <c r="E12210" s="131" t="s">
        <v>12</v>
      </c>
      <c r="F12210" s="133" t="s">
        <v>19</v>
      </c>
      <c r="G12210" s="134" t="n">
        <f aca="false">LEN('Saisie programme'!$J$443)+SUMIFS('Vols additionnels'!$E$7:$E$66,'Vols additionnels'!$C$7:$C$66,$E12210,'Vols additionnels'!$D$7:$D$66,$F12210,'Vols additionnels'!$B$7:$B$66,$D12210)</f>
        <v>0</v>
      </c>
      <c r="H12210" s="135" t="n">
        <f aca="false">$G12210*'Analyse capacite'!$F$8</f>
        <v>0</v>
      </c>
      <c r="I12210" s="135" t="n">
        <f aca="false">$G12210*'Analyse capacite'!$C$8</f>
        <v>0</v>
      </c>
      <c r="J12210" s="135" t="n">
        <f aca="false">$G12210*'Analyse capacite'!$D$8</f>
        <v>0</v>
      </c>
      <c r="K12210" s="135" t="n">
        <f aca="false">$G12210*'Analyse capacite'!$E$8</f>
        <v>0</v>
      </c>
    </row>
    <row r="12211" customFormat="false" ht="15" hidden="false" customHeight="false" outlineLevel="0" collapsed="false">
      <c r="B12211" s="130" t="n">
        <v>2028</v>
      </c>
      <c r="C12211" s="131" t="s">
        <v>257</v>
      </c>
      <c r="D12211" s="132" t="n">
        <v>46817</v>
      </c>
      <c r="E12211" s="131" t="s">
        <v>12</v>
      </c>
      <c r="F12211" s="133" t="s">
        <v>24</v>
      </c>
      <c r="G12211" s="134" t="n">
        <f aca="false">LEN('Saisie programme'!$J$444)+SUMIFS('Vols additionnels'!$E$7:$E$66,'Vols additionnels'!$C$7:$C$66,$E12211,'Vols additionnels'!$D$7:$D$66,$F12211,'Vols additionnels'!$B$7:$B$66,$D12211)</f>
        <v>0</v>
      </c>
      <c r="H12211" s="135" t="n">
        <f aca="false">$G12211*'Analyse capacite'!$F$9</f>
        <v>0</v>
      </c>
      <c r="I12211" s="135" t="n">
        <f aca="false">$G12211*'Analyse capacite'!$C$9</f>
        <v>0</v>
      </c>
      <c r="J12211" s="135" t="n">
        <f aca="false">$G12211*'Analyse capacite'!$D$9</f>
        <v>0</v>
      </c>
      <c r="K12211" s="135" t="n">
        <f aca="false">$G12211*'Analyse capacite'!$E$9</f>
        <v>0</v>
      </c>
    </row>
    <row r="12212" customFormat="false" ht="15" hidden="false" customHeight="false" outlineLevel="0" collapsed="false">
      <c r="B12212" s="130" t="n">
        <v>2028</v>
      </c>
      <c r="C12212" s="131" t="s">
        <v>257</v>
      </c>
      <c r="D12212" s="132" t="n">
        <v>46817</v>
      </c>
      <c r="E12212" s="131" t="s">
        <v>20</v>
      </c>
      <c r="F12212" s="133" t="s">
        <v>11</v>
      </c>
      <c r="G12212" s="134" t="n">
        <f aca="false">LEN('Saisie programme'!$J$445)+SUMIFS('Vols additionnels'!$E$7:$E$66,'Vols additionnels'!$C$7:$C$66,$E12212,'Vols additionnels'!$D$7:$D$66,$F12212,'Vols additionnels'!$B$7:$B$66,$D12212)</f>
        <v>1</v>
      </c>
      <c r="H12212" s="135" t="n">
        <f aca="false">$G12212*'Analyse capacite'!$F$7</f>
        <v>438</v>
      </c>
      <c r="I12212" s="135" t="n">
        <f aca="false">$G12212*'Analyse capacite'!$C$7</f>
        <v>14</v>
      </c>
      <c r="J12212" s="135" t="n">
        <f aca="false">$G12212*'Analyse capacite'!$D$7</f>
        <v>40</v>
      </c>
      <c r="K12212" s="135" t="n">
        <f aca="false">$G12212*'Analyse capacite'!$E$7</f>
        <v>384</v>
      </c>
    </row>
    <row r="12213" customFormat="false" ht="15" hidden="false" customHeight="false" outlineLevel="0" collapsed="false">
      <c r="B12213" s="130" t="n">
        <v>2028</v>
      </c>
      <c r="C12213" s="131" t="s">
        <v>257</v>
      </c>
      <c r="D12213" s="132" t="n">
        <v>46817</v>
      </c>
      <c r="E12213" s="131" t="s">
        <v>20</v>
      </c>
      <c r="F12213" s="133" t="s">
        <v>19</v>
      </c>
      <c r="G12213" s="134" t="n">
        <f aca="false">LEN('Saisie programme'!$J$446)+SUMIFS('Vols additionnels'!$E$7:$E$66,'Vols additionnels'!$C$7:$C$66,$E12213,'Vols additionnels'!$D$7:$D$66,$F12213,'Vols additionnels'!$B$7:$B$66,$D12213)</f>
        <v>0</v>
      </c>
      <c r="H12213" s="135" t="n">
        <f aca="false">$G12213*'Analyse capacite'!$F$8</f>
        <v>0</v>
      </c>
      <c r="I12213" s="135" t="n">
        <f aca="false">$G12213*'Analyse capacite'!$C$8</f>
        <v>0</v>
      </c>
      <c r="J12213" s="135" t="n">
        <f aca="false">$G12213*'Analyse capacite'!$D$8</f>
        <v>0</v>
      </c>
      <c r="K12213" s="135" t="n">
        <f aca="false">$G12213*'Analyse capacite'!$E$8</f>
        <v>0</v>
      </c>
    </row>
    <row r="12214" customFormat="false" ht="15" hidden="false" customHeight="false" outlineLevel="0" collapsed="false">
      <c r="B12214" s="130" t="n">
        <v>2028</v>
      </c>
      <c r="C12214" s="131" t="s">
        <v>257</v>
      </c>
      <c r="D12214" s="132" t="n">
        <v>46817</v>
      </c>
      <c r="E12214" s="131" t="s">
        <v>20</v>
      </c>
      <c r="F12214" s="133" t="s">
        <v>24</v>
      </c>
      <c r="G12214" s="134" t="n">
        <f aca="false">LEN('Saisie programme'!$J$447)+SUMIFS('Vols additionnels'!$E$7:$E$66,'Vols additionnels'!$C$7:$C$66,$E12214,'Vols additionnels'!$D$7:$D$66,$F12214,'Vols additionnels'!$B$7:$B$66,$D12214)</f>
        <v>0</v>
      </c>
      <c r="H12214" s="135" t="n">
        <f aca="false">$G12214*'Analyse capacite'!$F$9</f>
        <v>0</v>
      </c>
      <c r="I12214" s="135" t="n">
        <f aca="false">$G12214*'Analyse capacite'!$C$9</f>
        <v>0</v>
      </c>
      <c r="J12214" s="135" t="n">
        <f aca="false">$G12214*'Analyse capacite'!$D$9</f>
        <v>0</v>
      </c>
      <c r="K12214" s="135" t="n">
        <f aca="false">$G12214*'Analyse capacite'!$E$9</f>
        <v>0</v>
      </c>
    </row>
    <row r="12215" customFormat="false" ht="15" hidden="false" customHeight="false" outlineLevel="0" collapsed="false">
      <c r="B12215" s="130" t="n">
        <v>2028</v>
      </c>
      <c r="C12215" s="131" t="s">
        <v>257</v>
      </c>
      <c r="D12215" s="132" t="n">
        <v>46817</v>
      </c>
      <c r="E12215" s="131" t="s">
        <v>25</v>
      </c>
      <c r="F12215" s="133" t="s">
        <v>11</v>
      </c>
      <c r="G12215" s="134" t="n">
        <f aca="false">LEN('Saisie programme'!$J$448)+SUMIFS('Vols additionnels'!$E$7:$E$66,'Vols additionnels'!$C$7:$C$66,$E12215,'Vols additionnels'!$D$7:$D$66,$F12215,'Vols additionnels'!$B$7:$B$66,$D12215)</f>
        <v>0</v>
      </c>
      <c r="H12215" s="135" t="n">
        <f aca="false">$G12215*'Analyse capacite'!$F$7</f>
        <v>0</v>
      </c>
      <c r="I12215" s="135" t="n">
        <f aca="false">$G12215*'Analyse capacite'!$C$7</f>
        <v>0</v>
      </c>
      <c r="J12215" s="135" t="n">
        <f aca="false">$G12215*'Analyse capacite'!$D$7</f>
        <v>0</v>
      </c>
      <c r="K12215" s="135" t="n">
        <f aca="false">$G12215*'Analyse capacite'!$E$7</f>
        <v>0</v>
      </c>
    </row>
    <row r="12216" customFormat="false" ht="15" hidden="false" customHeight="false" outlineLevel="0" collapsed="false">
      <c r="B12216" s="130" t="n">
        <v>2028</v>
      </c>
      <c r="C12216" s="131" t="s">
        <v>257</v>
      </c>
      <c r="D12216" s="132" t="n">
        <v>46817</v>
      </c>
      <c r="E12216" s="131" t="s">
        <v>25</v>
      </c>
      <c r="F12216" s="133" t="s">
        <v>19</v>
      </c>
      <c r="G12216" s="134" t="n">
        <f aca="false">LEN('Saisie programme'!$J$449)+SUMIFS('Vols additionnels'!$E$7:$E$66,'Vols additionnels'!$C$7:$C$66,$E12216,'Vols additionnels'!$D$7:$D$66,$F12216,'Vols additionnels'!$B$7:$B$66,$D12216)</f>
        <v>0</v>
      </c>
      <c r="H12216" s="135" t="n">
        <f aca="false">$G12216*'Analyse capacite'!$F$8</f>
        <v>0</v>
      </c>
      <c r="I12216" s="135" t="n">
        <f aca="false">$G12216*'Analyse capacite'!$C$8</f>
        <v>0</v>
      </c>
      <c r="J12216" s="135" t="n">
        <f aca="false">$G12216*'Analyse capacite'!$D$8</f>
        <v>0</v>
      </c>
      <c r="K12216" s="135" t="n">
        <f aca="false">$G12216*'Analyse capacite'!$E$8</f>
        <v>0</v>
      </c>
    </row>
    <row r="12217" customFormat="false" ht="15" hidden="false" customHeight="false" outlineLevel="0" collapsed="false">
      <c r="B12217" s="130" t="n">
        <v>2028</v>
      </c>
      <c r="C12217" s="131" t="s">
        <v>257</v>
      </c>
      <c r="D12217" s="132" t="n">
        <v>46817</v>
      </c>
      <c r="E12217" s="131" t="s">
        <v>25</v>
      </c>
      <c r="F12217" s="133" t="s">
        <v>24</v>
      </c>
      <c r="G12217" s="134" t="n">
        <f aca="false">LEN('Saisie programme'!$J$450)+SUMIFS('Vols additionnels'!$E$7:$E$66,'Vols additionnels'!$C$7:$C$66,$E12217,'Vols additionnels'!$D$7:$D$66,$F12217,'Vols additionnels'!$B$7:$B$66,$D12217)</f>
        <v>0</v>
      </c>
      <c r="H12217" s="135" t="n">
        <f aca="false">$G12217*'Analyse capacite'!$F$9</f>
        <v>0</v>
      </c>
      <c r="I12217" s="135" t="n">
        <f aca="false">$G12217*'Analyse capacite'!$C$9</f>
        <v>0</v>
      </c>
      <c r="J12217" s="135" t="n">
        <f aca="false">$G12217*'Analyse capacite'!$D$9</f>
        <v>0</v>
      </c>
      <c r="K12217" s="135" t="n">
        <f aca="false">$G12217*'Analyse capacite'!$E$9</f>
        <v>0</v>
      </c>
    </row>
    <row r="12218" customFormat="false" ht="15" hidden="false" customHeight="false" outlineLevel="0" collapsed="false">
      <c r="B12218" s="130" t="n">
        <v>2028</v>
      </c>
      <c r="C12218" s="131" t="s">
        <v>257</v>
      </c>
      <c r="D12218" s="132" t="n">
        <v>46817</v>
      </c>
      <c r="E12218" s="131" t="s">
        <v>36</v>
      </c>
      <c r="F12218" s="133" t="s">
        <v>11</v>
      </c>
      <c r="G12218" s="134" t="n">
        <f aca="false">LEN('Saisie programme'!$J$451)+SUMIFS('Vols additionnels'!$E$7:$E$66,'Vols additionnels'!$C$7:$C$66,$E12218,'Vols additionnels'!$D$7:$D$66,$F12218,'Vols additionnels'!$B$7:$B$66,$D12218)</f>
        <v>0</v>
      </c>
      <c r="H12218" s="135" t="n">
        <f aca="false">$G12218*'Analyse capacite'!$F$7</f>
        <v>0</v>
      </c>
      <c r="I12218" s="135" t="n">
        <f aca="false">$G12218*'Analyse capacite'!$C$7</f>
        <v>0</v>
      </c>
      <c r="J12218" s="135" t="n">
        <f aca="false">$G12218*'Analyse capacite'!$D$7</f>
        <v>0</v>
      </c>
      <c r="K12218" s="135" t="n">
        <f aca="false">$G12218*'Analyse capacite'!$E$7</f>
        <v>0</v>
      </c>
    </row>
    <row r="12219" customFormat="false" ht="15" hidden="false" customHeight="false" outlineLevel="0" collapsed="false">
      <c r="B12219" s="130" t="n">
        <v>2028</v>
      </c>
      <c r="C12219" s="131" t="s">
        <v>257</v>
      </c>
      <c r="D12219" s="132" t="n">
        <v>46817</v>
      </c>
      <c r="E12219" s="131" t="s">
        <v>36</v>
      </c>
      <c r="F12219" s="133" t="s">
        <v>19</v>
      </c>
      <c r="G12219" s="134" t="n">
        <f aca="false">LEN('Saisie programme'!$J$452)+SUMIFS('Vols additionnels'!$E$7:$E$66,'Vols additionnels'!$C$7:$C$66,$E12219,'Vols additionnels'!$D$7:$D$66,$F12219,'Vols additionnels'!$B$7:$B$66,$D12219)</f>
        <v>0</v>
      </c>
      <c r="H12219" s="135" t="n">
        <f aca="false">$G12219*'Analyse capacite'!$F$8</f>
        <v>0</v>
      </c>
      <c r="I12219" s="135" t="n">
        <f aca="false">$G12219*'Analyse capacite'!$C$8</f>
        <v>0</v>
      </c>
      <c r="J12219" s="135" t="n">
        <f aca="false">$G12219*'Analyse capacite'!$D$8</f>
        <v>0</v>
      </c>
      <c r="K12219" s="135" t="n">
        <f aca="false">$G12219*'Analyse capacite'!$E$8</f>
        <v>0</v>
      </c>
    </row>
    <row r="12220" customFormat="false" ht="15" hidden="false" customHeight="false" outlineLevel="0" collapsed="false">
      <c r="B12220" s="130" t="n">
        <v>2028</v>
      </c>
      <c r="C12220" s="131" t="s">
        <v>257</v>
      </c>
      <c r="D12220" s="132" t="n">
        <v>46817</v>
      </c>
      <c r="E12220" s="131" t="s">
        <v>36</v>
      </c>
      <c r="F12220" s="133" t="s">
        <v>24</v>
      </c>
      <c r="G12220" s="134" t="n">
        <f aca="false">LEN('Saisie programme'!$J$453)+SUMIFS('Vols additionnels'!$E$7:$E$66,'Vols additionnels'!$C$7:$C$66,$E12220,'Vols additionnels'!$D$7:$D$66,$F12220,'Vols additionnels'!$B$7:$B$66,$D12220)</f>
        <v>0</v>
      </c>
      <c r="H12220" s="135" t="n">
        <f aca="false">$G12220*'Analyse capacite'!$F$9</f>
        <v>0</v>
      </c>
      <c r="I12220" s="135" t="n">
        <f aca="false">$G12220*'Analyse capacite'!$C$9</f>
        <v>0</v>
      </c>
      <c r="J12220" s="135" t="n">
        <f aca="false">$G12220*'Analyse capacite'!$D$9</f>
        <v>0</v>
      </c>
      <c r="K12220" s="135" t="n">
        <f aca="false">$G12220*'Analyse capacite'!$E$9</f>
        <v>0</v>
      </c>
    </row>
    <row r="12221" customFormat="false" ht="15" hidden="false" customHeight="false" outlineLevel="0" collapsed="false">
      <c r="B12221" s="130" t="n">
        <v>2028</v>
      </c>
      <c r="C12221" s="131" t="s">
        <v>257</v>
      </c>
      <c r="D12221" s="132" t="n">
        <v>46817</v>
      </c>
      <c r="E12221" s="131" t="s">
        <v>40</v>
      </c>
      <c r="F12221" s="133" t="s">
        <v>11</v>
      </c>
      <c r="G12221" s="134" t="n">
        <f aca="false">LEN('Saisie programme'!$J$454)+SUMIFS('Vols additionnels'!$E$7:$E$66,'Vols additionnels'!$C$7:$C$66,$E12221,'Vols additionnels'!$D$7:$D$66,$F12221,'Vols additionnels'!$B$7:$B$66,$D12221)</f>
        <v>0</v>
      </c>
      <c r="H12221" s="135" t="n">
        <f aca="false">$G12221*'Analyse capacite'!$F$7</f>
        <v>0</v>
      </c>
      <c r="I12221" s="135" t="n">
        <f aca="false">$G12221*'Analyse capacite'!$C$7</f>
        <v>0</v>
      </c>
      <c r="J12221" s="135" t="n">
        <f aca="false">$G12221*'Analyse capacite'!$D$7</f>
        <v>0</v>
      </c>
      <c r="K12221" s="135" t="n">
        <f aca="false">$G12221*'Analyse capacite'!$E$7</f>
        <v>0</v>
      </c>
    </row>
    <row r="12222" customFormat="false" ht="15" hidden="false" customHeight="false" outlineLevel="0" collapsed="false">
      <c r="B12222" s="130" t="n">
        <v>2028</v>
      </c>
      <c r="C12222" s="131" t="s">
        <v>257</v>
      </c>
      <c r="D12222" s="132" t="n">
        <v>46817</v>
      </c>
      <c r="E12222" s="131" t="s">
        <v>40</v>
      </c>
      <c r="F12222" s="133" t="s">
        <v>19</v>
      </c>
      <c r="G12222" s="134" t="n">
        <f aca="false">LEN('Saisie programme'!$J$455)+SUMIFS('Vols additionnels'!$E$7:$E$66,'Vols additionnels'!$C$7:$C$66,$E12222,'Vols additionnels'!$D$7:$D$66,$F12222,'Vols additionnels'!$B$7:$B$66,$D12222)</f>
        <v>0</v>
      </c>
      <c r="H12222" s="135" t="n">
        <f aca="false">$G12222*'Analyse capacite'!$F$8</f>
        <v>0</v>
      </c>
      <c r="I12222" s="135" t="n">
        <f aca="false">$G12222*'Analyse capacite'!$C$8</f>
        <v>0</v>
      </c>
      <c r="J12222" s="135" t="n">
        <f aca="false">$G12222*'Analyse capacite'!$D$8</f>
        <v>0</v>
      </c>
      <c r="K12222" s="135" t="n">
        <f aca="false">$G12222*'Analyse capacite'!$E$8</f>
        <v>0</v>
      </c>
    </row>
    <row r="12223" customFormat="false" ht="15" hidden="false" customHeight="false" outlineLevel="0" collapsed="false">
      <c r="B12223" s="130" t="n">
        <v>2028</v>
      </c>
      <c r="C12223" s="131" t="s">
        <v>257</v>
      </c>
      <c r="D12223" s="132" t="n">
        <v>46817</v>
      </c>
      <c r="E12223" s="131" t="s">
        <v>40</v>
      </c>
      <c r="F12223" s="133" t="s">
        <v>24</v>
      </c>
      <c r="G12223" s="134" t="n">
        <f aca="false">LEN('Saisie programme'!$J$456)+SUMIFS('Vols additionnels'!$E$7:$E$66,'Vols additionnels'!$C$7:$C$66,$E12223,'Vols additionnels'!$D$7:$D$66,$F12223,'Vols additionnels'!$B$7:$B$66,$D12223)</f>
        <v>1</v>
      </c>
      <c r="H12223" s="135" t="n">
        <f aca="false">$G12223*'Analyse capacite'!$F$9</f>
        <v>174</v>
      </c>
      <c r="I12223" s="135" t="n">
        <f aca="false">$G12223*'Analyse capacite'!$C$9</f>
        <v>0</v>
      </c>
      <c r="J12223" s="135" t="n">
        <f aca="false">$G12223*'Analyse capacite'!$D$9</f>
        <v>12</v>
      </c>
      <c r="K12223" s="135" t="n">
        <f aca="false">$G12223*'Analyse capacite'!$E$9</f>
        <v>162</v>
      </c>
    </row>
    <row r="12224" customFormat="false" ht="15" hidden="false" customHeight="false" outlineLevel="0" collapsed="false">
      <c r="B12224" s="130" t="n">
        <v>2028</v>
      </c>
      <c r="C12224" s="131" t="s">
        <v>257</v>
      </c>
      <c r="D12224" s="132" t="n">
        <v>46817</v>
      </c>
      <c r="E12224" s="131" t="s">
        <v>14</v>
      </c>
      <c r="F12224" s="133" t="s">
        <v>11</v>
      </c>
      <c r="G12224" s="134" t="n">
        <f aca="false">LEN('Saisie programme'!$J$457)+SUMIFS('Vols additionnels'!$E$7:$E$66,'Vols additionnels'!$C$7:$C$66,$E12224,'Vols additionnels'!$D$7:$D$66,$F12224,'Vols additionnels'!$B$7:$B$66,$D12224)</f>
        <v>0</v>
      </c>
      <c r="H12224" s="135" t="n">
        <f aca="false">$G12224*'Analyse capacite'!$F$7</f>
        <v>0</v>
      </c>
      <c r="I12224" s="135" t="n">
        <f aca="false">$G12224*'Analyse capacite'!$C$7</f>
        <v>0</v>
      </c>
      <c r="J12224" s="135" t="n">
        <f aca="false">$G12224*'Analyse capacite'!$D$7</f>
        <v>0</v>
      </c>
      <c r="K12224" s="135" t="n">
        <f aca="false">$G12224*'Analyse capacite'!$E$7</f>
        <v>0</v>
      </c>
    </row>
    <row r="12225" customFormat="false" ht="15" hidden="false" customHeight="false" outlineLevel="0" collapsed="false">
      <c r="B12225" s="130" t="n">
        <v>2028</v>
      </c>
      <c r="C12225" s="131" t="s">
        <v>257</v>
      </c>
      <c r="D12225" s="132" t="n">
        <v>46817</v>
      </c>
      <c r="E12225" s="131" t="s">
        <v>14</v>
      </c>
      <c r="F12225" s="133" t="s">
        <v>19</v>
      </c>
      <c r="G12225" s="134" t="n">
        <f aca="false">LEN('Saisie programme'!$J$458)+SUMIFS('Vols additionnels'!$E$7:$E$66,'Vols additionnels'!$C$7:$C$66,$E12225,'Vols additionnels'!$D$7:$D$66,$F12225,'Vols additionnels'!$B$7:$B$66,$D12225)</f>
        <v>0</v>
      </c>
      <c r="H12225" s="135" t="n">
        <f aca="false">$G12225*'Analyse capacite'!$F$8</f>
        <v>0</v>
      </c>
      <c r="I12225" s="135" t="n">
        <f aca="false">$G12225*'Analyse capacite'!$C$8</f>
        <v>0</v>
      </c>
      <c r="J12225" s="135" t="n">
        <f aca="false">$G12225*'Analyse capacite'!$D$8</f>
        <v>0</v>
      </c>
      <c r="K12225" s="135" t="n">
        <f aca="false">$G12225*'Analyse capacite'!$E$8</f>
        <v>0</v>
      </c>
    </row>
    <row r="12226" customFormat="false" ht="15" hidden="false" customHeight="false" outlineLevel="0" collapsed="false">
      <c r="B12226" s="130" t="n">
        <v>2028</v>
      </c>
      <c r="C12226" s="131" t="s">
        <v>257</v>
      </c>
      <c r="D12226" s="132" t="n">
        <v>46817</v>
      </c>
      <c r="E12226" s="131" t="s">
        <v>14</v>
      </c>
      <c r="F12226" s="133" t="s">
        <v>24</v>
      </c>
      <c r="G12226" s="134" t="n">
        <f aca="false">LEN('Saisie programme'!$J$459)+SUMIFS('Vols additionnels'!$E$7:$E$66,'Vols additionnels'!$C$7:$C$66,$E12226,'Vols additionnels'!$D$7:$D$66,$F12226,'Vols additionnels'!$B$7:$B$66,$D12226)</f>
        <v>0</v>
      </c>
      <c r="H12226" s="135" t="n">
        <f aca="false">$G12226*'Analyse capacite'!$F$9</f>
        <v>0</v>
      </c>
      <c r="I12226" s="135" t="n">
        <f aca="false">$G12226*'Analyse capacite'!$C$9</f>
        <v>0</v>
      </c>
      <c r="J12226" s="135" t="n">
        <f aca="false">$G12226*'Analyse capacite'!$D$9</f>
        <v>0</v>
      </c>
      <c r="K12226" s="135" t="n">
        <f aca="false">$G12226*'Analyse capacite'!$E$9</f>
        <v>0</v>
      </c>
    </row>
    <row r="12227" customFormat="false" ht="15" hidden="false" customHeight="false" outlineLevel="0" collapsed="false">
      <c r="B12227" s="130" t="n">
        <v>2028</v>
      </c>
      <c r="C12227" s="131" t="s">
        <v>257</v>
      </c>
      <c r="D12227" s="132" t="n">
        <v>46817</v>
      </c>
      <c r="E12227" s="131" t="s">
        <v>46</v>
      </c>
      <c r="F12227" s="133" t="s">
        <v>11</v>
      </c>
      <c r="G12227" s="134" t="n">
        <f aca="false">LEN('Saisie programme'!$J$460)+SUMIFS('Vols additionnels'!$E$7:$E$66,'Vols additionnels'!$C$7:$C$66,$E12227,'Vols additionnels'!$D$7:$D$66,$F12227,'Vols additionnels'!$B$7:$B$66,$D12227)</f>
        <v>0</v>
      </c>
      <c r="H12227" s="135" t="n">
        <f aca="false">$G12227*'Analyse capacite'!$F$7</f>
        <v>0</v>
      </c>
      <c r="I12227" s="135" t="n">
        <f aca="false">$G12227*'Analyse capacite'!$C$7</f>
        <v>0</v>
      </c>
      <c r="J12227" s="135" t="n">
        <f aca="false">$G12227*'Analyse capacite'!$D$7</f>
        <v>0</v>
      </c>
      <c r="K12227" s="135" t="n">
        <f aca="false">$G12227*'Analyse capacite'!$E$7</f>
        <v>0</v>
      </c>
    </row>
    <row r="12228" customFormat="false" ht="15" hidden="false" customHeight="false" outlineLevel="0" collapsed="false">
      <c r="B12228" s="130" t="n">
        <v>2028</v>
      </c>
      <c r="C12228" s="131" t="s">
        <v>257</v>
      </c>
      <c r="D12228" s="132" t="n">
        <v>46817</v>
      </c>
      <c r="E12228" s="131" t="s">
        <v>46</v>
      </c>
      <c r="F12228" s="133" t="s">
        <v>19</v>
      </c>
      <c r="G12228" s="134" t="n">
        <f aca="false">LEN('Saisie programme'!$J$461)+SUMIFS('Vols additionnels'!$E$7:$E$66,'Vols additionnels'!$C$7:$C$66,$E12228,'Vols additionnels'!$D$7:$D$66,$F12228,'Vols additionnels'!$B$7:$B$66,$D12228)</f>
        <v>0</v>
      </c>
      <c r="H12228" s="135" t="n">
        <f aca="false">$G12228*'Analyse capacite'!$F$8</f>
        <v>0</v>
      </c>
      <c r="I12228" s="135" t="n">
        <f aca="false">$G12228*'Analyse capacite'!$C$8</f>
        <v>0</v>
      </c>
      <c r="J12228" s="135" t="n">
        <f aca="false">$G12228*'Analyse capacite'!$D$8</f>
        <v>0</v>
      </c>
      <c r="K12228" s="135" t="n">
        <f aca="false">$G12228*'Analyse capacite'!$E$8</f>
        <v>0</v>
      </c>
    </row>
    <row r="12229" customFormat="false" ht="15" hidden="false" customHeight="false" outlineLevel="0" collapsed="false">
      <c r="B12229" s="130" t="n">
        <v>2028</v>
      </c>
      <c r="C12229" s="131" t="s">
        <v>257</v>
      </c>
      <c r="D12229" s="132" t="n">
        <v>46817</v>
      </c>
      <c r="E12229" s="131" t="s">
        <v>46</v>
      </c>
      <c r="F12229" s="133" t="s">
        <v>24</v>
      </c>
      <c r="G12229" s="134" t="n">
        <f aca="false">LEN('Saisie programme'!$J$462)+SUMIFS('Vols additionnels'!$E$7:$E$66,'Vols additionnels'!$C$7:$C$66,$E12229,'Vols additionnels'!$D$7:$D$66,$F12229,'Vols additionnels'!$B$7:$B$66,$D12229)</f>
        <v>0</v>
      </c>
      <c r="H12229" s="135" t="n">
        <f aca="false">$G12229*'Analyse capacite'!$F$9</f>
        <v>0</v>
      </c>
      <c r="I12229" s="135" t="n">
        <f aca="false">$G12229*'Analyse capacite'!$C$9</f>
        <v>0</v>
      </c>
      <c r="J12229" s="135" t="n">
        <f aca="false">$G12229*'Analyse capacite'!$D$9</f>
        <v>0</v>
      </c>
      <c r="K12229" s="135" t="n">
        <f aca="false">$G12229*'Analyse capacite'!$E$9</f>
        <v>0</v>
      </c>
    </row>
    <row r="12230" customFormat="false" ht="15" hidden="false" customHeight="false" outlineLevel="0" collapsed="false">
      <c r="B12230" s="130" t="n">
        <v>2028</v>
      </c>
      <c r="C12230" s="131" t="s">
        <v>257</v>
      </c>
      <c r="D12230" s="132" t="n">
        <v>46817</v>
      </c>
      <c r="E12230" s="131" t="s">
        <v>49</v>
      </c>
      <c r="F12230" s="133" t="s">
        <v>11</v>
      </c>
      <c r="G12230" s="134" t="n">
        <f aca="false">LEN('Saisie programme'!$J$463)+SUMIFS('Vols additionnels'!$E$7:$E$66,'Vols additionnels'!$C$7:$C$66,$E12230,'Vols additionnels'!$D$7:$D$66,$F12230,'Vols additionnels'!$B$7:$B$66,$D12230)</f>
        <v>0</v>
      </c>
      <c r="H12230" s="135" t="n">
        <f aca="false">$G12230*'Analyse capacite'!$F$7</f>
        <v>0</v>
      </c>
      <c r="I12230" s="135" t="n">
        <f aca="false">$G12230*'Analyse capacite'!$C$7</f>
        <v>0</v>
      </c>
      <c r="J12230" s="135" t="n">
        <f aca="false">$G12230*'Analyse capacite'!$D$7</f>
        <v>0</v>
      </c>
      <c r="K12230" s="135" t="n">
        <f aca="false">$G12230*'Analyse capacite'!$E$7</f>
        <v>0</v>
      </c>
    </row>
    <row r="12231" customFormat="false" ht="15" hidden="false" customHeight="false" outlineLevel="0" collapsed="false">
      <c r="B12231" s="130" t="n">
        <v>2028</v>
      </c>
      <c r="C12231" s="131" t="s">
        <v>257</v>
      </c>
      <c r="D12231" s="132" t="n">
        <v>46817</v>
      </c>
      <c r="E12231" s="131" t="s">
        <v>49</v>
      </c>
      <c r="F12231" s="133" t="s">
        <v>19</v>
      </c>
      <c r="G12231" s="134" t="n">
        <f aca="false">LEN('Saisie programme'!$J$464)+SUMIFS('Vols additionnels'!$E$7:$E$66,'Vols additionnels'!$C$7:$C$66,$E12231,'Vols additionnels'!$D$7:$D$66,$F12231,'Vols additionnels'!$B$7:$B$66,$D12231)</f>
        <v>0</v>
      </c>
      <c r="H12231" s="135" t="n">
        <f aca="false">$G12231*'Analyse capacite'!$F$8</f>
        <v>0</v>
      </c>
      <c r="I12231" s="135" t="n">
        <f aca="false">$G12231*'Analyse capacite'!$C$8</f>
        <v>0</v>
      </c>
      <c r="J12231" s="135" t="n">
        <f aca="false">$G12231*'Analyse capacite'!$D$8</f>
        <v>0</v>
      </c>
      <c r="K12231" s="135" t="n">
        <f aca="false">$G12231*'Analyse capacite'!$E$8</f>
        <v>0</v>
      </c>
    </row>
    <row r="12232" customFormat="false" ht="15" hidden="false" customHeight="false" outlineLevel="0" collapsed="false">
      <c r="B12232" s="130" t="n">
        <v>2028</v>
      </c>
      <c r="C12232" s="131" t="s">
        <v>257</v>
      </c>
      <c r="D12232" s="132" t="n">
        <v>46817</v>
      </c>
      <c r="E12232" s="131" t="s">
        <v>49</v>
      </c>
      <c r="F12232" s="133" t="s">
        <v>24</v>
      </c>
      <c r="G12232" s="134" t="n">
        <f aca="false">LEN('Saisie programme'!$J$465)+SUMIFS('Vols additionnels'!$E$7:$E$66,'Vols additionnels'!$C$7:$C$66,$E12232,'Vols additionnels'!$D$7:$D$66,$F12232,'Vols additionnels'!$B$7:$B$66,$D12232)</f>
        <v>0</v>
      </c>
      <c r="H12232" s="135" t="n">
        <f aca="false">$G12232*'Analyse capacite'!$F$9</f>
        <v>0</v>
      </c>
      <c r="I12232" s="135" t="n">
        <f aca="false">$G12232*'Analyse capacite'!$C$9</f>
        <v>0</v>
      </c>
      <c r="J12232" s="135" t="n">
        <f aca="false">$G12232*'Analyse capacite'!$D$9</f>
        <v>0</v>
      </c>
      <c r="K12232" s="135" t="n">
        <f aca="false">$G12232*'Analyse capacite'!$E$9</f>
        <v>0</v>
      </c>
    </row>
    <row r="12233" customFormat="false" ht="15" hidden="false" customHeight="false" outlineLevel="0" collapsed="false">
      <c r="B12233" s="130" t="n">
        <v>2028</v>
      </c>
      <c r="C12233" s="131" t="s">
        <v>257</v>
      </c>
      <c r="D12233" s="132" t="n">
        <v>46817</v>
      </c>
      <c r="E12233" s="131" t="s">
        <v>53</v>
      </c>
      <c r="F12233" s="133" t="s">
        <v>11</v>
      </c>
      <c r="G12233" s="134" t="n">
        <f aca="false">LEN('Saisie programme'!$J$466)+SUMIFS('Vols additionnels'!$E$7:$E$66,'Vols additionnels'!$C$7:$C$66,$E12233,'Vols additionnels'!$D$7:$D$66,$F12233,'Vols additionnels'!$B$7:$B$66,$D12233)</f>
        <v>0</v>
      </c>
      <c r="H12233" s="135" t="n">
        <f aca="false">$G12233*'Analyse capacite'!$F$7</f>
        <v>0</v>
      </c>
      <c r="I12233" s="135" t="n">
        <f aca="false">$G12233*'Analyse capacite'!$C$7</f>
        <v>0</v>
      </c>
      <c r="J12233" s="135" t="n">
        <f aca="false">$G12233*'Analyse capacite'!$D$7</f>
        <v>0</v>
      </c>
      <c r="K12233" s="135" t="n">
        <f aca="false">$G12233*'Analyse capacite'!$E$7</f>
        <v>0</v>
      </c>
    </row>
    <row r="12234" customFormat="false" ht="15" hidden="false" customHeight="false" outlineLevel="0" collapsed="false">
      <c r="B12234" s="130" t="n">
        <v>2028</v>
      </c>
      <c r="C12234" s="131" t="s">
        <v>257</v>
      </c>
      <c r="D12234" s="132" t="n">
        <v>46817</v>
      </c>
      <c r="E12234" s="131" t="s">
        <v>53</v>
      </c>
      <c r="F12234" s="133" t="s">
        <v>19</v>
      </c>
      <c r="G12234" s="134" t="n">
        <f aca="false">LEN('Saisie programme'!$J$467)+SUMIFS('Vols additionnels'!$E$7:$E$66,'Vols additionnels'!$C$7:$C$66,$E12234,'Vols additionnels'!$D$7:$D$66,$F12234,'Vols additionnels'!$B$7:$B$66,$D12234)</f>
        <v>0</v>
      </c>
      <c r="H12234" s="135" t="n">
        <f aca="false">$G12234*'Analyse capacite'!$F$8</f>
        <v>0</v>
      </c>
      <c r="I12234" s="135" t="n">
        <f aca="false">$G12234*'Analyse capacite'!$C$8</f>
        <v>0</v>
      </c>
      <c r="J12234" s="135" t="n">
        <f aca="false">$G12234*'Analyse capacite'!$D$8</f>
        <v>0</v>
      </c>
      <c r="K12234" s="135" t="n">
        <f aca="false">$G12234*'Analyse capacite'!$E$8</f>
        <v>0</v>
      </c>
    </row>
    <row r="12235" customFormat="false" ht="15" hidden="false" customHeight="false" outlineLevel="0" collapsed="false">
      <c r="B12235" s="130" t="n">
        <v>2028</v>
      </c>
      <c r="C12235" s="131" t="s">
        <v>257</v>
      </c>
      <c r="D12235" s="132" t="n">
        <v>46817</v>
      </c>
      <c r="E12235" s="131" t="s">
        <v>53</v>
      </c>
      <c r="F12235" s="133" t="s">
        <v>24</v>
      </c>
      <c r="G12235" s="134" t="n">
        <f aca="false">LEN('Saisie programme'!$J$468)+SUMIFS('Vols additionnels'!$E$7:$E$66,'Vols additionnels'!$C$7:$C$66,$E12235,'Vols additionnels'!$D$7:$D$66,$F12235,'Vols additionnels'!$B$7:$B$66,$D12235)</f>
        <v>0</v>
      </c>
      <c r="H12235" s="135" t="n">
        <f aca="false">$G12235*'Analyse capacite'!$F$9</f>
        <v>0</v>
      </c>
      <c r="I12235" s="135" t="n">
        <f aca="false">$G12235*'Analyse capacite'!$C$9</f>
        <v>0</v>
      </c>
      <c r="J12235" s="135" t="n">
        <f aca="false">$G12235*'Analyse capacite'!$D$9</f>
        <v>0</v>
      </c>
      <c r="K12235" s="135" t="n">
        <f aca="false">$G12235*'Analyse capacite'!$E$9</f>
        <v>0</v>
      </c>
    </row>
    <row r="12236" customFormat="false" ht="15" hidden="false" customHeight="false" outlineLevel="0" collapsed="false">
      <c r="B12236" s="130" t="n">
        <v>2028</v>
      </c>
      <c r="C12236" s="131" t="s">
        <v>257</v>
      </c>
      <c r="D12236" s="132" t="n">
        <v>46817</v>
      </c>
      <c r="E12236" s="131" t="s">
        <v>56</v>
      </c>
      <c r="F12236" s="133" t="s">
        <v>11</v>
      </c>
      <c r="G12236" s="134" t="n">
        <f aca="false">LEN('Saisie programme'!$J$469)+SUMIFS('Vols additionnels'!$E$7:$E$66,'Vols additionnels'!$C$7:$C$66,$E12236,'Vols additionnels'!$D$7:$D$66,$F12236,'Vols additionnels'!$B$7:$B$66,$D12236)</f>
        <v>0</v>
      </c>
      <c r="H12236" s="135" t="n">
        <f aca="false">$G12236*'Analyse capacite'!$F$7</f>
        <v>0</v>
      </c>
      <c r="I12236" s="135" t="n">
        <f aca="false">$G12236*'Analyse capacite'!$C$7</f>
        <v>0</v>
      </c>
      <c r="J12236" s="135" t="n">
        <f aca="false">$G12236*'Analyse capacite'!$D$7</f>
        <v>0</v>
      </c>
      <c r="K12236" s="135" t="n">
        <f aca="false">$G12236*'Analyse capacite'!$E$7</f>
        <v>0</v>
      </c>
    </row>
    <row r="12237" customFormat="false" ht="15" hidden="false" customHeight="false" outlineLevel="0" collapsed="false">
      <c r="B12237" s="130" t="n">
        <v>2028</v>
      </c>
      <c r="C12237" s="131" t="s">
        <v>257</v>
      </c>
      <c r="D12237" s="132" t="n">
        <v>46817</v>
      </c>
      <c r="E12237" s="131" t="s">
        <v>56</v>
      </c>
      <c r="F12237" s="133" t="s">
        <v>19</v>
      </c>
      <c r="G12237" s="134" t="n">
        <f aca="false">LEN('Saisie programme'!$J$470)+SUMIFS('Vols additionnels'!$E$7:$E$66,'Vols additionnels'!$C$7:$C$66,$E12237,'Vols additionnels'!$D$7:$D$66,$F12237,'Vols additionnels'!$B$7:$B$66,$D12237)</f>
        <v>0</v>
      </c>
      <c r="H12237" s="135" t="n">
        <f aca="false">$G12237*'Analyse capacite'!$F$8</f>
        <v>0</v>
      </c>
      <c r="I12237" s="135" t="n">
        <f aca="false">$G12237*'Analyse capacite'!$C$8</f>
        <v>0</v>
      </c>
      <c r="J12237" s="135" t="n">
        <f aca="false">$G12237*'Analyse capacite'!$D$8</f>
        <v>0</v>
      </c>
      <c r="K12237" s="135" t="n">
        <f aca="false">$G12237*'Analyse capacite'!$E$8</f>
        <v>0</v>
      </c>
    </row>
    <row r="12238" customFormat="false" ht="15" hidden="false" customHeight="false" outlineLevel="0" collapsed="false">
      <c r="B12238" s="130" t="n">
        <v>2028</v>
      </c>
      <c r="C12238" s="131" t="s">
        <v>257</v>
      </c>
      <c r="D12238" s="132" t="n">
        <v>46817</v>
      </c>
      <c r="E12238" s="131" t="s">
        <v>56</v>
      </c>
      <c r="F12238" s="133" t="s">
        <v>24</v>
      </c>
      <c r="G12238" s="134" t="n">
        <f aca="false">LEN('Saisie programme'!$J$471)+SUMIFS('Vols additionnels'!$E$7:$E$66,'Vols additionnels'!$C$7:$C$66,$E12238,'Vols additionnels'!$D$7:$D$66,$F12238,'Vols additionnels'!$B$7:$B$66,$D12238)</f>
        <v>0</v>
      </c>
      <c r="H12238" s="135" t="n">
        <f aca="false">$G12238*'Analyse capacite'!$F$9</f>
        <v>0</v>
      </c>
      <c r="I12238" s="135" t="n">
        <f aca="false">$G12238*'Analyse capacite'!$C$9</f>
        <v>0</v>
      </c>
      <c r="J12238" s="135" t="n">
        <f aca="false">$G12238*'Analyse capacite'!$D$9</f>
        <v>0</v>
      </c>
      <c r="K12238" s="135" t="n">
        <f aca="false">$G12238*'Analyse capacite'!$E$9</f>
        <v>0</v>
      </c>
    </row>
    <row r="12239" customFormat="false" ht="15" hidden="false" customHeight="false" outlineLevel="0" collapsed="false">
      <c r="B12239" s="130" t="n">
        <v>2028</v>
      </c>
      <c r="C12239" s="131" t="s">
        <v>257</v>
      </c>
      <c r="D12239" s="132" t="n">
        <v>46817</v>
      </c>
      <c r="E12239" s="131" t="s">
        <v>59</v>
      </c>
      <c r="F12239" s="133" t="s">
        <v>11</v>
      </c>
      <c r="G12239" s="134" t="n">
        <f aca="false">LEN('Saisie programme'!$J$472)+SUMIFS('Vols additionnels'!$E$7:$E$66,'Vols additionnels'!$C$7:$C$66,$E12239,'Vols additionnels'!$D$7:$D$66,$F12239,'Vols additionnels'!$B$7:$B$66,$D12239)</f>
        <v>0</v>
      </c>
      <c r="H12239" s="135" t="n">
        <f aca="false">$G12239*'Analyse capacite'!$F$7</f>
        <v>0</v>
      </c>
      <c r="I12239" s="135" t="n">
        <f aca="false">$G12239*'Analyse capacite'!$C$7</f>
        <v>0</v>
      </c>
      <c r="J12239" s="135" t="n">
        <f aca="false">$G12239*'Analyse capacite'!$D$7</f>
        <v>0</v>
      </c>
      <c r="K12239" s="135" t="n">
        <f aca="false">$G12239*'Analyse capacite'!$E$7</f>
        <v>0</v>
      </c>
    </row>
    <row r="12240" customFormat="false" ht="15" hidden="false" customHeight="false" outlineLevel="0" collapsed="false">
      <c r="B12240" s="130" t="n">
        <v>2028</v>
      </c>
      <c r="C12240" s="131" t="s">
        <v>257</v>
      </c>
      <c r="D12240" s="132" t="n">
        <v>46817</v>
      </c>
      <c r="E12240" s="131" t="s">
        <v>59</v>
      </c>
      <c r="F12240" s="133" t="s">
        <v>19</v>
      </c>
      <c r="G12240" s="134" t="n">
        <f aca="false">LEN('Saisie programme'!$J$473)+SUMIFS('Vols additionnels'!$E$7:$E$66,'Vols additionnels'!$C$7:$C$66,$E12240,'Vols additionnels'!$D$7:$D$66,$F12240,'Vols additionnels'!$B$7:$B$66,$D12240)</f>
        <v>0</v>
      </c>
      <c r="H12240" s="135" t="n">
        <f aca="false">$G12240*'Analyse capacite'!$F$8</f>
        <v>0</v>
      </c>
      <c r="I12240" s="135" t="n">
        <f aca="false">$G12240*'Analyse capacite'!$C$8</f>
        <v>0</v>
      </c>
      <c r="J12240" s="135" t="n">
        <f aca="false">$G12240*'Analyse capacite'!$D$8</f>
        <v>0</v>
      </c>
      <c r="K12240" s="135" t="n">
        <f aca="false">$G12240*'Analyse capacite'!$E$8</f>
        <v>0</v>
      </c>
    </row>
    <row r="12241" customFormat="false" ht="15" hidden="false" customHeight="false" outlineLevel="0" collapsed="false">
      <c r="B12241" s="130" t="n">
        <v>2028</v>
      </c>
      <c r="C12241" s="131" t="s">
        <v>257</v>
      </c>
      <c r="D12241" s="132" t="n">
        <v>46817</v>
      </c>
      <c r="E12241" s="131" t="s">
        <v>59</v>
      </c>
      <c r="F12241" s="133" t="s">
        <v>24</v>
      </c>
      <c r="G12241" s="134" t="n">
        <f aca="false">LEN('Saisie programme'!$J$474)+SUMIFS('Vols additionnels'!$E$7:$E$66,'Vols additionnels'!$C$7:$C$66,$E12241,'Vols additionnels'!$D$7:$D$66,$F12241,'Vols additionnels'!$B$7:$B$66,$D12241)</f>
        <v>0</v>
      </c>
      <c r="H12241" s="135" t="n">
        <f aca="false">$G12241*'Analyse capacite'!$F$9</f>
        <v>0</v>
      </c>
      <c r="I12241" s="135" t="n">
        <f aca="false">$G12241*'Analyse capacite'!$C$9</f>
        <v>0</v>
      </c>
      <c r="J12241" s="135" t="n">
        <f aca="false">$G12241*'Analyse capacite'!$D$9</f>
        <v>0</v>
      </c>
      <c r="K12241" s="135" t="n">
        <f aca="false">$G12241*'Analyse capacite'!$E$9</f>
        <v>0</v>
      </c>
    </row>
    <row r="12242" customFormat="false" ht="15" hidden="false" customHeight="false" outlineLevel="0" collapsed="false">
      <c r="B12242" s="130" t="n">
        <v>2028</v>
      </c>
      <c r="C12242" s="131" t="s">
        <v>257</v>
      </c>
      <c r="D12242" s="132" t="n">
        <v>46817</v>
      </c>
      <c r="E12242" s="131" t="s">
        <v>62</v>
      </c>
      <c r="F12242" s="133" t="s">
        <v>11</v>
      </c>
      <c r="G12242" s="134" t="n">
        <f aca="false">LEN('Saisie programme'!$J$475)+SUMIFS('Vols additionnels'!$E$7:$E$66,'Vols additionnels'!$C$7:$C$66,$E12242,'Vols additionnels'!$D$7:$D$66,$F12242,'Vols additionnels'!$B$7:$B$66,$D12242)</f>
        <v>0</v>
      </c>
      <c r="H12242" s="135" t="n">
        <f aca="false">$G12242*'Analyse capacite'!$F$7</f>
        <v>0</v>
      </c>
      <c r="I12242" s="135" t="n">
        <f aca="false">$G12242*'Analyse capacite'!$C$7</f>
        <v>0</v>
      </c>
      <c r="J12242" s="135" t="n">
        <f aca="false">$G12242*'Analyse capacite'!$D$7</f>
        <v>0</v>
      </c>
      <c r="K12242" s="135" t="n">
        <f aca="false">$G12242*'Analyse capacite'!$E$7</f>
        <v>0</v>
      </c>
    </row>
    <row r="12243" customFormat="false" ht="15" hidden="false" customHeight="false" outlineLevel="0" collapsed="false">
      <c r="B12243" s="130" t="n">
        <v>2028</v>
      </c>
      <c r="C12243" s="131" t="s">
        <v>257</v>
      </c>
      <c r="D12243" s="132" t="n">
        <v>46817</v>
      </c>
      <c r="E12243" s="131" t="s">
        <v>62</v>
      </c>
      <c r="F12243" s="133" t="s">
        <v>19</v>
      </c>
      <c r="G12243" s="134" t="n">
        <f aca="false">LEN('Saisie programme'!$J$476)+SUMIFS('Vols additionnels'!$E$7:$E$66,'Vols additionnels'!$C$7:$C$66,$E12243,'Vols additionnels'!$D$7:$D$66,$F12243,'Vols additionnels'!$B$7:$B$66,$D12243)</f>
        <v>0</v>
      </c>
      <c r="H12243" s="135" t="n">
        <f aca="false">$G12243*'Analyse capacite'!$F$8</f>
        <v>0</v>
      </c>
      <c r="I12243" s="135" t="n">
        <f aca="false">$G12243*'Analyse capacite'!$C$8</f>
        <v>0</v>
      </c>
      <c r="J12243" s="135" t="n">
        <f aca="false">$G12243*'Analyse capacite'!$D$8</f>
        <v>0</v>
      </c>
      <c r="K12243" s="135" t="n">
        <f aca="false">$G12243*'Analyse capacite'!$E$8</f>
        <v>0</v>
      </c>
    </row>
    <row r="12244" customFormat="false" ht="15" hidden="false" customHeight="false" outlineLevel="0" collapsed="false">
      <c r="B12244" s="130" t="n">
        <v>2028</v>
      </c>
      <c r="C12244" s="131" t="s">
        <v>257</v>
      </c>
      <c r="D12244" s="132" t="n">
        <v>46817</v>
      </c>
      <c r="E12244" s="131" t="s">
        <v>62</v>
      </c>
      <c r="F12244" s="133" t="s">
        <v>24</v>
      </c>
      <c r="G12244" s="134" t="n">
        <f aca="false">LEN('Saisie programme'!$J$477)+SUMIFS('Vols additionnels'!$E$7:$E$66,'Vols additionnels'!$C$7:$C$66,$E12244,'Vols additionnels'!$D$7:$D$66,$F12244,'Vols additionnels'!$B$7:$B$66,$D12244)</f>
        <v>1</v>
      </c>
      <c r="H12244" s="135" t="n">
        <f aca="false">$G12244*'Analyse capacite'!$F$9</f>
        <v>174</v>
      </c>
      <c r="I12244" s="135" t="n">
        <f aca="false">$G12244*'Analyse capacite'!$C$9</f>
        <v>0</v>
      </c>
      <c r="J12244" s="135" t="n">
        <f aca="false">$G12244*'Analyse capacite'!$D$9</f>
        <v>12</v>
      </c>
      <c r="K12244" s="135" t="n">
        <f aca="false">$G12244*'Analyse capacite'!$E$9</f>
        <v>162</v>
      </c>
    </row>
    <row r="12245" customFormat="false" ht="15" hidden="false" customHeight="false" outlineLevel="0" collapsed="false">
      <c r="B12245" s="130" t="n">
        <v>2028</v>
      </c>
      <c r="C12245" s="131" t="s">
        <v>257</v>
      </c>
      <c r="D12245" s="132" t="n">
        <v>46818</v>
      </c>
      <c r="E12245" s="131" t="s">
        <v>12</v>
      </c>
      <c r="F12245" s="133" t="s">
        <v>11</v>
      </c>
      <c r="G12245" s="134" t="n">
        <f aca="false">LEN('Saisie programme'!$D$442)+SUMIFS('Vols additionnels'!$E$7:$E$66,'Vols additionnels'!$C$7:$C$66,$E12245,'Vols additionnels'!$D$7:$D$66,$F12245,'Vols additionnels'!$B$7:$B$66,$D12245)</f>
        <v>1</v>
      </c>
      <c r="H12245" s="135" t="n">
        <f aca="false">$G12245*'Analyse capacite'!$F$7</f>
        <v>438</v>
      </c>
      <c r="I12245" s="135" t="n">
        <f aca="false">$G12245*'Analyse capacite'!$C$7</f>
        <v>14</v>
      </c>
      <c r="J12245" s="135" t="n">
        <f aca="false">$G12245*'Analyse capacite'!$D$7</f>
        <v>40</v>
      </c>
      <c r="K12245" s="135" t="n">
        <f aca="false">$G12245*'Analyse capacite'!$E$7</f>
        <v>384</v>
      </c>
    </row>
    <row r="12246" customFormat="false" ht="15" hidden="false" customHeight="false" outlineLevel="0" collapsed="false">
      <c r="B12246" s="130" t="n">
        <v>2028</v>
      </c>
      <c r="C12246" s="131" t="s">
        <v>257</v>
      </c>
      <c r="D12246" s="132" t="n">
        <v>46818</v>
      </c>
      <c r="E12246" s="131" t="s">
        <v>12</v>
      </c>
      <c r="F12246" s="133" t="s">
        <v>19</v>
      </c>
      <c r="G12246" s="134" t="n">
        <f aca="false">LEN('Saisie programme'!$D$443)+SUMIFS('Vols additionnels'!$E$7:$E$66,'Vols additionnels'!$C$7:$C$66,$E12246,'Vols additionnels'!$D$7:$D$66,$F12246,'Vols additionnels'!$B$7:$B$66,$D12246)</f>
        <v>1</v>
      </c>
      <c r="H12246" s="135" t="n">
        <f aca="false">$G12246*'Analyse capacite'!$F$8</f>
        <v>262</v>
      </c>
      <c r="I12246" s="135" t="n">
        <f aca="false">$G12246*'Analyse capacite'!$C$8</f>
        <v>18</v>
      </c>
      <c r="J12246" s="135" t="n">
        <f aca="false">$G12246*'Analyse capacite'!$D$8</f>
        <v>0</v>
      </c>
      <c r="K12246" s="135" t="n">
        <f aca="false">$G12246*'Analyse capacite'!$E$8</f>
        <v>244</v>
      </c>
    </row>
    <row r="12247" customFormat="false" ht="15" hidden="false" customHeight="false" outlineLevel="0" collapsed="false">
      <c r="B12247" s="130" t="n">
        <v>2028</v>
      </c>
      <c r="C12247" s="131" t="s">
        <v>257</v>
      </c>
      <c r="D12247" s="132" t="n">
        <v>46818</v>
      </c>
      <c r="E12247" s="131" t="s">
        <v>12</v>
      </c>
      <c r="F12247" s="133" t="s">
        <v>24</v>
      </c>
      <c r="G12247" s="134" t="n">
        <f aca="false">LEN('Saisie programme'!$D$444)+SUMIFS('Vols additionnels'!$E$7:$E$66,'Vols additionnels'!$C$7:$C$66,$E12247,'Vols additionnels'!$D$7:$D$66,$F12247,'Vols additionnels'!$B$7:$B$66,$D12247)</f>
        <v>2</v>
      </c>
      <c r="H12247" s="135" t="n">
        <f aca="false">$G12247*'Analyse capacite'!$F$9</f>
        <v>348</v>
      </c>
      <c r="I12247" s="135" t="n">
        <f aca="false">$G12247*'Analyse capacite'!$C$9</f>
        <v>0</v>
      </c>
      <c r="J12247" s="135" t="n">
        <f aca="false">$G12247*'Analyse capacite'!$D$9</f>
        <v>24</v>
      </c>
      <c r="K12247" s="135" t="n">
        <f aca="false">$G12247*'Analyse capacite'!$E$9</f>
        <v>324</v>
      </c>
    </row>
    <row r="12248" customFormat="false" ht="15" hidden="false" customHeight="false" outlineLevel="0" collapsed="false">
      <c r="B12248" s="130" t="n">
        <v>2028</v>
      </c>
      <c r="C12248" s="131" t="s">
        <v>257</v>
      </c>
      <c r="D12248" s="132" t="n">
        <v>46818</v>
      </c>
      <c r="E12248" s="131" t="s">
        <v>20</v>
      </c>
      <c r="F12248" s="133" t="s">
        <v>11</v>
      </c>
      <c r="G12248" s="134" t="n">
        <f aca="false">LEN('Saisie programme'!$D$445)+SUMIFS('Vols additionnels'!$E$7:$E$66,'Vols additionnels'!$C$7:$C$66,$E12248,'Vols additionnels'!$D$7:$D$66,$F12248,'Vols additionnels'!$B$7:$B$66,$D12248)</f>
        <v>0</v>
      </c>
      <c r="H12248" s="135" t="n">
        <f aca="false">$G12248*'Analyse capacite'!$F$7</f>
        <v>0</v>
      </c>
      <c r="I12248" s="135" t="n">
        <f aca="false">$G12248*'Analyse capacite'!$C$7</f>
        <v>0</v>
      </c>
      <c r="J12248" s="135" t="n">
        <f aca="false">$G12248*'Analyse capacite'!$D$7</f>
        <v>0</v>
      </c>
      <c r="K12248" s="135" t="n">
        <f aca="false">$G12248*'Analyse capacite'!$E$7</f>
        <v>0</v>
      </c>
    </row>
    <row r="12249" customFormat="false" ht="15" hidden="false" customHeight="false" outlineLevel="0" collapsed="false">
      <c r="B12249" s="130" t="n">
        <v>2028</v>
      </c>
      <c r="C12249" s="131" t="s">
        <v>257</v>
      </c>
      <c r="D12249" s="132" t="n">
        <v>46818</v>
      </c>
      <c r="E12249" s="131" t="s">
        <v>20</v>
      </c>
      <c r="F12249" s="133" t="s">
        <v>19</v>
      </c>
      <c r="G12249" s="134" t="n">
        <f aca="false">LEN('Saisie programme'!$D$446)+SUMIFS('Vols additionnels'!$E$7:$E$66,'Vols additionnels'!$C$7:$C$66,$E12249,'Vols additionnels'!$D$7:$D$66,$F12249,'Vols additionnels'!$B$7:$B$66,$D12249)</f>
        <v>0</v>
      </c>
      <c r="H12249" s="135" t="n">
        <f aca="false">$G12249*'Analyse capacite'!$F$8</f>
        <v>0</v>
      </c>
      <c r="I12249" s="135" t="n">
        <f aca="false">$G12249*'Analyse capacite'!$C$8</f>
        <v>0</v>
      </c>
      <c r="J12249" s="135" t="n">
        <f aca="false">$G12249*'Analyse capacite'!$D$8</f>
        <v>0</v>
      </c>
      <c r="K12249" s="135" t="n">
        <f aca="false">$G12249*'Analyse capacite'!$E$8</f>
        <v>0</v>
      </c>
    </row>
    <row r="12250" customFormat="false" ht="15" hidden="false" customHeight="false" outlineLevel="0" collapsed="false">
      <c r="B12250" s="130" t="n">
        <v>2028</v>
      </c>
      <c r="C12250" s="131" t="s">
        <v>257</v>
      </c>
      <c r="D12250" s="132" t="n">
        <v>46818</v>
      </c>
      <c r="E12250" s="131" t="s">
        <v>20</v>
      </c>
      <c r="F12250" s="133" t="s">
        <v>24</v>
      </c>
      <c r="G12250" s="134" t="n">
        <f aca="false">LEN('Saisie programme'!$D$447)+SUMIFS('Vols additionnels'!$E$7:$E$66,'Vols additionnels'!$C$7:$C$66,$E12250,'Vols additionnels'!$D$7:$D$66,$F12250,'Vols additionnels'!$B$7:$B$66,$D12250)</f>
        <v>0</v>
      </c>
      <c r="H12250" s="135" t="n">
        <f aca="false">$G12250*'Analyse capacite'!$F$9</f>
        <v>0</v>
      </c>
      <c r="I12250" s="135" t="n">
        <f aca="false">$G12250*'Analyse capacite'!$C$9</f>
        <v>0</v>
      </c>
      <c r="J12250" s="135" t="n">
        <f aca="false">$G12250*'Analyse capacite'!$D$9</f>
        <v>0</v>
      </c>
      <c r="K12250" s="135" t="n">
        <f aca="false">$G12250*'Analyse capacite'!$E$9</f>
        <v>0</v>
      </c>
    </row>
    <row r="12251" customFormat="false" ht="15" hidden="false" customHeight="false" outlineLevel="0" collapsed="false">
      <c r="B12251" s="130" t="n">
        <v>2028</v>
      </c>
      <c r="C12251" s="131" t="s">
        <v>257</v>
      </c>
      <c r="D12251" s="132" t="n">
        <v>46818</v>
      </c>
      <c r="E12251" s="131" t="s">
        <v>25</v>
      </c>
      <c r="F12251" s="133" t="s">
        <v>11</v>
      </c>
      <c r="G12251" s="134" t="n">
        <f aca="false">LEN('Saisie programme'!$D$448)+SUMIFS('Vols additionnels'!$E$7:$E$66,'Vols additionnels'!$C$7:$C$66,$E12251,'Vols additionnels'!$D$7:$D$66,$F12251,'Vols additionnels'!$B$7:$B$66,$D12251)</f>
        <v>0</v>
      </c>
      <c r="H12251" s="135" t="n">
        <f aca="false">$G12251*'Analyse capacite'!$F$7</f>
        <v>0</v>
      </c>
      <c r="I12251" s="135" t="n">
        <f aca="false">$G12251*'Analyse capacite'!$C$7</f>
        <v>0</v>
      </c>
      <c r="J12251" s="135" t="n">
        <f aca="false">$G12251*'Analyse capacite'!$D$7</f>
        <v>0</v>
      </c>
      <c r="K12251" s="135" t="n">
        <f aca="false">$G12251*'Analyse capacite'!$E$7</f>
        <v>0</v>
      </c>
    </row>
    <row r="12252" customFormat="false" ht="15" hidden="false" customHeight="false" outlineLevel="0" collapsed="false">
      <c r="B12252" s="130" t="n">
        <v>2028</v>
      </c>
      <c r="C12252" s="131" t="s">
        <v>257</v>
      </c>
      <c r="D12252" s="132" t="n">
        <v>46818</v>
      </c>
      <c r="E12252" s="131" t="s">
        <v>25</v>
      </c>
      <c r="F12252" s="133" t="s">
        <v>19</v>
      </c>
      <c r="G12252" s="134" t="n">
        <f aca="false">LEN('Saisie programme'!$D$449)+SUMIFS('Vols additionnels'!$E$7:$E$66,'Vols additionnels'!$C$7:$C$66,$E12252,'Vols additionnels'!$D$7:$D$66,$F12252,'Vols additionnels'!$B$7:$B$66,$D12252)</f>
        <v>0</v>
      </c>
      <c r="H12252" s="135" t="n">
        <f aca="false">$G12252*'Analyse capacite'!$F$8</f>
        <v>0</v>
      </c>
      <c r="I12252" s="135" t="n">
        <f aca="false">$G12252*'Analyse capacite'!$C$8</f>
        <v>0</v>
      </c>
      <c r="J12252" s="135" t="n">
        <f aca="false">$G12252*'Analyse capacite'!$D$8</f>
        <v>0</v>
      </c>
      <c r="K12252" s="135" t="n">
        <f aca="false">$G12252*'Analyse capacite'!$E$8</f>
        <v>0</v>
      </c>
    </row>
    <row r="12253" customFormat="false" ht="15" hidden="false" customHeight="false" outlineLevel="0" collapsed="false">
      <c r="B12253" s="130" t="n">
        <v>2028</v>
      </c>
      <c r="C12253" s="131" t="s">
        <v>257</v>
      </c>
      <c r="D12253" s="132" t="n">
        <v>46818</v>
      </c>
      <c r="E12253" s="131" t="s">
        <v>25</v>
      </c>
      <c r="F12253" s="133" t="s">
        <v>24</v>
      </c>
      <c r="G12253" s="134" t="n">
        <f aca="false">LEN('Saisie programme'!$D$450)+SUMIFS('Vols additionnels'!$E$7:$E$66,'Vols additionnels'!$C$7:$C$66,$E12253,'Vols additionnels'!$D$7:$D$66,$F12253,'Vols additionnels'!$B$7:$B$66,$D12253)</f>
        <v>0</v>
      </c>
      <c r="H12253" s="135" t="n">
        <f aca="false">$G12253*'Analyse capacite'!$F$9</f>
        <v>0</v>
      </c>
      <c r="I12253" s="135" t="n">
        <f aca="false">$G12253*'Analyse capacite'!$C$9</f>
        <v>0</v>
      </c>
      <c r="J12253" s="135" t="n">
        <f aca="false">$G12253*'Analyse capacite'!$D$9</f>
        <v>0</v>
      </c>
      <c r="K12253" s="135" t="n">
        <f aca="false">$G12253*'Analyse capacite'!$E$9</f>
        <v>0</v>
      </c>
    </row>
    <row r="12254" customFormat="false" ht="15" hidden="false" customHeight="false" outlineLevel="0" collapsed="false">
      <c r="B12254" s="130" t="n">
        <v>2028</v>
      </c>
      <c r="C12254" s="131" t="s">
        <v>257</v>
      </c>
      <c r="D12254" s="132" t="n">
        <v>46818</v>
      </c>
      <c r="E12254" s="131" t="s">
        <v>36</v>
      </c>
      <c r="F12254" s="133" t="s">
        <v>11</v>
      </c>
      <c r="G12254" s="134" t="n">
        <f aca="false">LEN('Saisie programme'!$D$451)+SUMIFS('Vols additionnels'!$E$7:$E$66,'Vols additionnels'!$C$7:$C$66,$E12254,'Vols additionnels'!$D$7:$D$66,$F12254,'Vols additionnels'!$B$7:$B$66,$D12254)</f>
        <v>0</v>
      </c>
      <c r="H12254" s="135" t="n">
        <f aca="false">$G12254*'Analyse capacite'!$F$7</f>
        <v>0</v>
      </c>
      <c r="I12254" s="135" t="n">
        <f aca="false">$G12254*'Analyse capacite'!$C$7</f>
        <v>0</v>
      </c>
      <c r="J12254" s="135" t="n">
        <f aca="false">$G12254*'Analyse capacite'!$D$7</f>
        <v>0</v>
      </c>
      <c r="K12254" s="135" t="n">
        <f aca="false">$G12254*'Analyse capacite'!$E$7</f>
        <v>0</v>
      </c>
    </row>
    <row r="12255" customFormat="false" ht="15" hidden="false" customHeight="false" outlineLevel="0" collapsed="false">
      <c r="B12255" s="130" t="n">
        <v>2028</v>
      </c>
      <c r="C12255" s="131" t="s">
        <v>257</v>
      </c>
      <c r="D12255" s="132" t="n">
        <v>46818</v>
      </c>
      <c r="E12255" s="131" t="s">
        <v>36</v>
      </c>
      <c r="F12255" s="133" t="s">
        <v>19</v>
      </c>
      <c r="G12255" s="134" t="n">
        <f aca="false">LEN('Saisie programme'!$D$452)+SUMIFS('Vols additionnels'!$E$7:$E$66,'Vols additionnels'!$C$7:$C$66,$E12255,'Vols additionnels'!$D$7:$D$66,$F12255,'Vols additionnels'!$B$7:$B$66,$D12255)</f>
        <v>0</v>
      </c>
      <c r="H12255" s="135" t="n">
        <f aca="false">$G12255*'Analyse capacite'!$F$8</f>
        <v>0</v>
      </c>
      <c r="I12255" s="135" t="n">
        <f aca="false">$G12255*'Analyse capacite'!$C$8</f>
        <v>0</v>
      </c>
      <c r="J12255" s="135" t="n">
        <f aca="false">$G12255*'Analyse capacite'!$D$8</f>
        <v>0</v>
      </c>
      <c r="K12255" s="135" t="n">
        <f aca="false">$G12255*'Analyse capacite'!$E$8</f>
        <v>0</v>
      </c>
    </row>
    <row r="12256" customFormat="false" ht="15" hidden="false" customHeight="false" outlineLevel="0" collapsed="false">
      <c r="B12256" s="130" t="n">
        <v>2028</v>
      </c>
      <c r="C12256" s="131" t="s">
        <v>257</v>
      </c>
      <c r="D12256" s="132" t="n">
        <v>46818</v>
      </c>
      <c r="E12256" s="131" t="s">
        <v>36</v>
      </c>
      <c r="F12256" s="133" t="s">
        <v>24</v>
      </c>
      <c r="G12256" s="134" t="n">
        <f aca="false">LEN('Saisie programme'!$D$453)+SUMIFS('Vols additionnels'!$E$7:$E$66,'Vols additionnels'!$C$7:$C$66,$E12256,'Vols additionnels'!$D$7:$D$66,$F12256,'Vols additionnels'!$B$7:$B$66,$D12256)</f>
        <v>1</v>
      </c>
      <c r="H12256" s="135" t="n">
        <f aca="false">$G12256*'Analyse capacite'!$F$9</f>
        <v>174</v>
      </c>
      <c r="I12256" s="135" t="n">
        <f aca="false">$G12256*'Analyse capacite'!$C$9</f>
        <v>0</v>
      </c>
      <c r="J12256" s="135" t="n">
        <f aca="false">$G12256*'Analyse capacite'!$D$9</f>
        <v>12</v>
      </c>
      <c r="K12256" s="135" t="n">
        <f aca="false">$G12256*'Analyse capacite'!$E$9</f>
        <v>162</v>
      </c>
    </row>
    <row r="12257" customFormat="false" ht="15" hidden="false" customHeight="false" outlineLevel="0" collapsed="false">
      <c r="B12257" s="130" t="n">
        <v>2028</v>
      </c>
      <c r="C12257" s="131" t="s">
        <v>257</v>
      </c>
      <c r="D12257" s="132" t="n">
        <v>46818</v>
      </c>
      <c r="E12257" s="131" t="s">
        <v>40</v>
      </c>
      <c r="F12257" s="133" t="s">
        <v>11</v>
      </c>
      <c r="G12257" s="134" t="n">
        <f aca="false">LEN('Saisie programme'!$D$454)+SUMIFS('Vols additionnels'!$E$7:$E$66,'Vols additionnels'!$C$7:$C$66,$E12257,'Vols additionnels'!$D$7:$D$66,$F12257,'Vols additionnels'!$B$7:$B$66,$D12257)</f>
        <v>0</v>
      </c>
      <c r="H12257" s="135" t="n">
        <f aca="false">$G12257*'Analyse capacite'!$F$7</f>
        <v>0</v>
      </c>
      <c r="I12257" s="135" t="n">
        <f aca="false">$G12257*'Analyse capacite'!$C$7</f>
        <v>0</v>
      </c>
      <c r="J12257" s="135" t="n">
        <f aca="false">$G12257*'Analyse capacite'!$D$7</f>
        <v>0</v>
      </c>
      <c r="K12257" s="135" t="n">
        <f aca="false">$G12257*'Analyse capacite'!$E$7</f>
        <v>0</v>
      </c>
    </row>
    <row r="12258" customFormat="false" ht="15" hidden="false" customHeight="false" outlineLevel="0" collapsed="false">
      <c r="B12258" s="130" t="n">
        <v>2028</v>
      </c>
      <c r="C12258" s="131" t="s">
        <v>257</v>
      </c>
      <c r="D12258" s="132" t="n">
        <v>46818</v>
      </c>
      <c r="E12258" s="131" t="s">
        <v>40</v>
      </c>
      <c r="F12258" s="133" t="s">
        <v>19</v>
      </c>
      <c r="G12258" s="134" t="n">
        <f aca="false">LEN('Saisie programme'!$D$455)+SUMIFS('Vols additionnels'!$E$7:$E$66,'Vols additionnels'!$C$7:$C$66,$E12258,'Vols additionnels'!$D$7:$D$66,$F12258,'Vols additionnels'!$B$7:$B$66,$D12258)</f>
        <v>0</v>
      </c>
      <c r="H12258" s="135" t="n">
        <f aca="false">$G12258*'Analyse capacite'!$F$8</f>
        <v>0</v>
      </c>
      <c r="I12258" s="135" t="n">
        <f aca="false">$G12258*'Analyse capacite'!$C$8</f>
        <v>0</v>
      </c>
      <c r="J12258" s="135" t="n">
        <f aca="false">$G12258*'Analyse capacite'!$D$8</f>
        <v>0</v>
      </c>
      <c r="K12258" s="135" t="n">
        <f aca="false">$G12258*'Analyse capacite'!$E$8</f>
        <v>0</v>
      </c>
    </row>
    <row r="12259" customFormat="false" ht="15" hidden="false" customHeight="false" outlineLevel="0" collapsed="false">
      <c r="B12259" s="130" t="n">
        <v>2028</v>
      </c>
      <c r="C12259" s="131" t="s">
        <v>257</v>
      </c>
      <c r="D12259" s="132" t="n">
        <v>46818</v>
      </c>
      <c r="E12259" s="131" t="s">
        <v>40</v>
      </c>
      <c r="F12259" s="133" t="s">
        <v>24</v>
      </c>
      <c r="G12259" s="134" t="n">
        <f aca="false">LEN('Saisie programme'!$D$456)+SUMIFS('Vols additionnels'!$E$7:$E$66,'Vols additionnels'!$C$7:$C$66,$E12259,'Vols additionnels'!$D$7:$D$66,$F12259,'Vols additionnels'!$B$7:$B$66,$D12259)</f>
        <v>1</v>
      </c>
      <c r="H12259" s="135" t="n">
        <f aca="false">$G12259*'Analyse capacite'!$F$9</f>
        <v>174</v>
      </c>
      <c r="I12259" s="135" t="n">
        <f aca="false">$G12259*'Analyse capacite'!$C$9</f>
        <v>0</v>
      </c>
      <c r="J12259" s="135" t="n">
        <f aca="false">$G12259*'Analyse capacite'!$D$9</f>
        <v>12</v>
      </c>
      <c r="K12259" s="135" t="n">
        <f aca="false">$G12259*'Analyse capacite'!$E$9</f>
        <v>162</v>
      </c>
    </row>
    <row r="12260" customFormat="false" ht="15" hidden="false" customHeight="false" outlineLevel="0" collapsed="false">
      <c r="B12260" s="130" t="n">
        <v>2028</v>
      </c>
      <c r="C12260" s="131" t="s">
        <v>257</v>
      </c>
      <c r="D12260" s="132" t="n">
        <v>46818</v>
      </c>
      <c r="E12260" s="131" t="s">
        <v>14</v>
      </c>
      <c r="F12260" s="133" t="s">
        <v>11</v>
      </c>
      <c r="G12260" s="134" t="n">
        <f aca="false">LEN('Saisie programme'!$D$457)+SUMIFS('Vols additionnels'!$E$7:$E$66,'Vols additionnels'!$C$7:$C$66,$E12260,'Vols additionnels'!$D$7:$D$66,$F12260,'Vols additionnels'!$B$7:$B$66,$D12260)</f>
        <v>0</v>
      </c>
      <c r="H12260" s="135" t="n">
        <f aca="false">$G12260*'Analyse capacite'!$F$7</f>
        <v>0</v>
      </c>
      <c r="I12260" s="135" t="n">
        <f aca="false">$G12260*'Analyse capacite'!$C$7</f>
        <v>0</v>
      </c>
      <c r="J12260" s="135" t="n">
        <f aca="false">$G12260*'Analyse capacite'!$D$7</f>
        <v>0</v>
      </c>
      <c r="K12260" s="135" t="n">
        <f aca="false">$G12260*'Analyse capacite'!$E$7</f>
        <v>0</v>
      </c>
    </row>
    <row r="12261" customFormat="false" ht="15" hidden="false" customHeight="false" outlineLevel="0" collapsed="false">
      <c r="B12261" s="130" t="n">
        <v>2028</v>
      </c>
      <c r="C12261" s="131" t="s">
        <v>257</v>
      </c>
      <c r="D12261" s="132" t="n">
        <v>46818</v>
      </c>
      <c r="E12261" s="131" t="s">
        <v>14</v>
      </c>
      <c r="F12261" s="133" t="s">
        <v>19</v>
      </c>
      <c r="G12261" s="134" t="n">
        <f aca="false">LEN('Saisie programme'!$D$458)+SUMIFS('Vols additionnels'!$E$7:$E$66,'Vols additionnels'!$C$7:$C$66,$E12261,'Vols additionnels'!$D$7:$D$66,$F12261,'Vols additionnels'!$B$7:$B$66,$D12261)</f>
        <v>0</v>
      </c>
      <c r="H12261" s="135" t="n">
        <f aca="false">$G12261*'Analyse capacite'!$F$8</f>
        <v>0</v>
      </c>
      <c r="I12261" s="135" t="n">
        <f aca="false">$G12261*'Analyse capacite'!$C$8</f>
        <v>0</v>
      </c>
      <c r="J12261" s="135" t="n">
        <f aca="false">$G12261*'Analyse capacite'!$D$8</f>
        <v>0</v>
      </c>
      <c r="K12261" s="135" t="n">
        <f aca="false">$G12261*'Analyse capacite'!$E$8</f>
        <v>0</v>
      </c>
    </row>
    <row r="12262" customFormat="false" ht="15" hidden="false" customHeight="false" outlineLevel="0" collapsed="false">
      <c r="B12262" s="130" t="n">
        <v>2028</v>
      </c>
      <c r="C12262" s="131" t="s">
        <v>257</v>
      </c>
      <c r="D12262" s="132" t="n">
        <v>46818</v>
      </c>
      <c r="E12262" s="131" t="s">
        <v>14</v>
      </c>
      <c r="F12262" s="133" t="s">
        <v>24</v>
      </c>
      <c r="G12262" s="134" t="n">
        <f aca="false">LEN('Saisie programme'!$D$459)+SUMIFS('Vols additionnels'!$E$7:$E$66,'Vols additionnels'!$C$7:$C$66,$E12262,'Vols additionnels'!$D$7:$D$66,$F12262,'Vols additionnels'!$B$7:$B$66,$D12262)</f>
        <v>1</v>
      </c>
      <c r="H12262" s="135" t="n">
        <f aca="false">$G12262*'Analyse capacite'!$F$9</f>
        <v>174</v>
      </c>
      <c r="I12262" s="135" t="n">
        <f aca="false">$G12262*'Analyse capacite'!$C$9</f>
        <v>0</v>
      </c>
      <c r="J12262" s="135" t="n">
        <f aca="false">$G12262*'Analyse capacite'!$D$9</f>
        <v>12</v>
      </c>
      <c r="K12262" s="135" t="n">
        <f aca="false">$G12262*'Analyse capacite'!$E$9</f>
        <v>162</v>
      </c>
    </row>
    <row r="12263" customFormat="false" ht="15" hidden="false" customHeight="false" outlineLevel="0" collapsed="false">
      <c r="B12263" s="130" t="n">
        <v>2028</v>
      </c>
      <c r="C12263" s="131" t="s">
        <v>257</v>
      </c>
      <c r="D12263" s="132" t="n">
        <v>46818</v>
      </c>
      <c r="E12263" s="131" t="s">
        <v>46</v>
      </c>
      <c r="F12263" s="133" t="s">
        <v>11</v>
      </c>
      <c r="G12263" s="134" t="n">
        <f aca="false">LEN('Saisie programme'!$D$460)+SUMIFS('Vols additionnels'!$E$7:$E$66,'Vols additionnels'!$C$7:$C$66,$E12263,'Vols additionnels'!$D$7:$D$66,$F12263,'Vols additionnels'!$B$7:$B$66,$D12263)</f>
        <v>0</v>
      </c>
      <c r="H12263" s="135" t="n">
        <f aca="false">$G12263*'Analyse capacite'!$F$7</f>
        <v>0</v>
      </c>
      <c r="I12263" s="135" t="n">
        <f aca="false">$G12263*'Analyse capacite'!$C$7</f>
        <v>0</v>
      </c>
      <c r="J12263" s="135" t="n">
        <f aca="false">$G12263*'Analyse capacite'!$D$7</f>
        <v>0</v>
      </c>
      <c r="K12263" s="135" t="n">
        <f aca="false">$G12263*'Analyse capacite'!$E$7</f>
        <v>0</v>
      </c>
    </row>
    <row r="12264" customFormat="false" ht="15" hidden="false" customHeight="false" outlineLevel="0" collapsed="false">
      <c r="B12264" s="130" t="n">
        <v>2028</v>
      </c>
      <c r="C12264" s="131" t="s">
        <v>257</v>
      </c>
      <c r="D12264" s="132" t="n">
        <v>46818</v>
      </c>
      <c r="E12264" s="131" t="s">
        <v>46</v>
      </c>
      <c r="F12264" s="133" t="s">
        <v>19</v>
      </c>
      <c r="G12264" s="134" t="n">
        <f aca="false">LEN('Saisie programme'!$D$461)+SUMIFS('Vols additionnels'!$E$7:$E$66,'Vols additionnels'!$C$7:$C$66,$E12264,'Vols additionnels'!$D$7:$D$66,$F12264,'Vols additionnels'!$B$7:$B$66,$D12264)</f>
        <v>0</v>
      </c>
      <c r="H12264" s="135" t="n">
        <f aca="false">$G12264*'Analyse capacite'!$F$8</f>
        <v>0</v>
      </c>
      <c r="I12264" s="135" t="n">
        <f aca="false">$G12264*'Analyse capacite'!$C$8</f>
        <v>0</v>
      </c>
      <c r="J12264" s="135" t="n">
        <f aca="false">$G12264*'Analyse capacite'!$D$8</f>
        <v>0</v>
      </c>
      <c r="K12264" s="135" t="n">
        <f aca="false">$G12264*'Analyse capacite'!$E$8</f>
        <v>0</v>
      </c>
    </row>
    <row r="12265" customFormat="false" ht="15" hidden="false" customHeight="false" outlineLevel="0" collapsed="false">
      <c r="B12265" s="130" t="n">
        <v>2028</v>
      </c>
      <c r="C12265" s="131" t="s">
        <v>257</v>
      </c>
      <c r="D12265" s="132" t="n">
        <v>46818</v>
      </c>
      <c r="E12265" s="131" t="s">
        <v>46</v>
      </c>
      <c r="F12265" s="133" t="s">
        <v>24</v>
      </c>
      <c r="G12265" s="134" t="n">
        <f aca="false">LEN('Saisie programme'!$D$462)+SUMIFS('Vols additionnels'!$E$7:$E$66,'Vols additionnels'!$C$7:$C$66,$E12265,'Vols additionnels'!$D$7:$D$66,$F12265,'Vols additionnels'!$B$7:$B$66,$D12265)</f>
        <v>0</v>
      </c>
      <c r="H12265" s="135" t="n">
        <f aca="false">$G12265*'Analyse capacite'!$F$9</f>
        <v>0</v>
      </c>
      <c r="I12265" s="135" t="n">
        <f aca="false">$G12265*'Analyse capacite'!$C$9</f>
        <v>0</v>
      </c>
      <c r="J12265" s="135" t="n">
        <f aca="false">$G12265*'Analyse capacite'!$D$9</f>
        <v>0</v>
      </c>
      <c r="K12265" s="135" t="n">
        <f aca="false">$G12265*'Analyse capacite'!$E$9</f>
        <v>0</v>
      </c>
    </row>
    <row r="12266" customFormat="false" ht="15" hidden="false" customHeight="false" outlineLevel="0" collapsed="false">
      <c r="B12266" s="130" t="n">
        <v>2028</v>
      </c>
      <c r="C12266" s="131" t="s">
        <v>257</v>
      </c>
      <c r="D12266" s="132" t="n">
        <v>46818</v>
      </c>
      <c r="E12266" s="131" t="s">
        <v>49</v>
      </c>
      <c r="F12266" s="133" t="s">
        <v>11</v>
      </c>
      <c r="G12266" s="134" t="n">
        <f aca="false">LEN('Saisie programme'!$D$463)+SUMIFS('Vols additionnels'!$E$7:$E$66,'Vols additionnels'!$C$7:$C$66,$E12266,'Vols additionnels'!$D$7:$D$66,$F12266,'Vols additionnels'!$B$7:$B$66,$D12266)</f>
        <v>0</v>
      </c>
      <c r="H12266" s="135" t="n">
        <f aca="false">$G12266*'Analyse capacite'!$F$7</f>
        <v>0</v>
      </c>
      <c r="I12266" s="135" t="n">
        <f aca="false">$G12266*'Analyse capacite'!$C$7</f>
        <v>0</v>
      </c>
      <c r="J12266" s="135" t="n">
        <f aca="false">$G12266*'Analyse capacite'!$D$7</f>
        <v>0</v>
      </c>
      <c r="K12266" s="135" t="n">
        <f aca="false">$G12266*'Analyse capacite'!$E$7</f>
        <v>0</v>
      </c>
    </row>
    <row r="12267" customFormat="false" ht="15" hidden="false" customHeight="false" outlineLevel="0" collapsed="false">
      <c r="B12267" s="130" t="n">
        <v>2028</v>
      </c>
      <c r="C12267" s="131" t="s">
        <v>257</v>
      </c>
      <c r="D12267" s="132" t="n">
        <v>46818</v>
      </c>
      <c r="E12267" s="131" t="s">
        <v>49</v>
      </c>
      <c r="F12267" s="133" t="s">
        <v>19</v>
      </c>
      <c r="G12267" s="134" t="n">
        <f aca="false">LEN('Saisie programme'!$D$464)+SUMIFS('Vols additionnels'!$E$7:$E$66,'Vols additionnels'!$C$7:$C$66,$E12267,'Vols additionnels'!$D$7:$D$66,$F12267,'Vols additionnels'!$B$7:$B$66,$D12267)</f>
        <v>1</v>
      </c>
      <c r="H12267" s="135" t="n">
        <f aca="false">$G12267*'Analyse capacite'!$F$8</f>
        <v>262</v>
      </c>
      <c r="I12267" s="135" t="n">
        <f aca="false">$G12267*'Analyse capacite'!$C$8</f>
        <v>18</v>
      </c>
      <c r="J12267" s="135" t="n">
        <f aca="false">$G12267*'Analyse capacite'!$D$8</f>
        <v>0</v>
      </c>
      <c r="K12267" s="135" t="n">
        <f aca="false">$G12267*'Analyse capacite'!$E$8</f>
        <v>244</v>
      </c>
    </row>
    <row r="12268" customFormat="false" ht="15" hidden="false" customHeight="false" outlineLevel="0" collapsed="false">
      <c r="B12268" s="130" t="n">
        <v>2028</v>
      </c>
      <c r="C12268" s="131" t="s">
        <v>257</v>
      </c>
      <c r="D12268" s="132" t="n">
        <v>46818</v>
      </c>
      <c r="E12268" s="131" t="s">
        <v>49</v>
      </c>
      <c r="F12268" s="133" t="s">
        <v>24</v>
      </c>
      <c r="G12268" s="134" t="n">
        <f aca="false">LEN('Saisie programme'!$D$465)+SUMIFS('Vols additionnels'!$E$7:$E$66,'Vols additionnels'!$C$7:$C$66,$E12268,'Vols additionnels'!$D$7:$D$66,$F12268,'Vols additionnels'!$B$7:$B$66,$D12268)</f>
        <v>0</v>
      </c>
      <c r="H12268" s="135" t="n">
        <f aca="false">$G12268*'Analyse capacite'!$F$9</f>
        <v>0</v>
      </c>
      <c r="I12268" s="135" t="n">
        <f aca="false">$G12268*'Analyse capacite'!$C$9</f>
        <v>0</v>
      </c>
      <c r="J12268" s="135" t="n">
        <f aca="false">$G12268*'Analyse capacite'!$D$9</f>
        <v>0</v>
      </c>
      <c r="K12268" s="135" t="n">
        <f aca="false">$G12268*'Analyse capacite'!$E$9</f>
        <v>0</v>
      </c>
    </row>
    <row r="12269" customFormat="false" ht="15" hidden="false" customHeight="false" outlineLevel="0" collapsed="false">
      <c r="B12269" s="130" t="n">
        <v>2028</v>
      </c>
      <c r="C12269" s="131" t="s">
        <v>257</v>
      </c>
      <c r="D12269" s="132" t="n">
        <v>46818</v>
      </c>
      <c r="E12269" s="131" t="s">
        <v>53</v>
      </c>
      <c r="F12269" s="133" t="s">
        <v>11</v>
      </c>
      <c r="G12269" s="134" t="n">
        <f aca="false">LEN('Saisie programme'!$D$466)+SUMIFS('Vols additionnels'!$E$7:$E$66,'Vols additionnels'!$C$7:$C$66,$E12269,'Vols additionnels'!$D$7:$D$66,$F12269,'Vols additionnels'!$B$7:$B$66,$D12269)</f>
        <v>0</v>
      </c>
      <c r="H12269" s="135" t="n">
        <f aca="false">$G12269*'Analyse capacite'!$F$7</f>
        <v>0</v>
      </c>
      <c r="I12269" s="135" t="n">
        <f aca="false">$G12269*'Analyse capacite'!$C$7</f>
        <v>0</v>
      </c>
      <c r="J12269" s="135" t="n">
        <f aca="false">$G12269*'Analyse capacite'!$D$7</f>
        <v>0</v>
      </c>
      <c r="K12269" s="135" t="n">
        <f aca="false">$G12269*'Analyse capacite'!$E$7</f>
        <v>0</v>
      </c>
    </row>
    <row r="12270" customFormat="false" ht="15" hidden="false" customHeight="false" outlineLevel="0" collapsed="false">
      <c r="B12270" s="130" t="n">
        <v>2028</v>
      </c>
      <c r="C12270" s="131" t="s">
        <v>257</v>
      </c>
      <c r="D12270" s="132" t="n">
        <v>46818</v>
      </c>
      <c r="E12270" s="131" t="s">
        <v>53</v>
      </c>
      <c r="F12270" s="133" t="s">
        <v>19</v>
      </c>
      <c r="G12270" s="134" t="n">
        <f aca="false">LEN('Saisie programme'!$D$467)+SUMIFS('Vols additionnels'!$E$7:$E$66,'Vols additionnels'!$C$7:$C$66,$E12270,'Vols additionnels'!$D$7:$D$66,$F12270,'Vols additionnels'!$B$7:$B$66,$D12270)</f>
        <v>0</v>
      </c>
      <c r="H12270" s="135" t="n">
        <f aca="false">$G12270*'Analyse capacite'!$F$8</f>
        <v>0</v>
      </c>
      <c r="I12270" s="135" t="n">
        <f aca="false">$G12270*'Analyse capacite'!$C$8</f>
        <v>0</v>
      </c>
      <c r="J12270" s="135" t="n">
        <f aca="false">$G12270*'Analyse capacite'!$D$8</f>
        <v>0</v>
      </c>
      <c r="K12270" s="135" t="n">
        <f aca="false">$G12270*'Analyse capacite'!$E$8</f>
        <v>0</v>
      </c>
    </row>
    <row r="12271" customFormat="false" ht="15" hidden="false" customHeight="false" outlineLevel="0" collapsed="false">
      <c r="B12271" s="130" t="n">
        <v>2028</v>
      </c>
      <c r="C12271" s="131" t="s">
        <v>257</v>
      </c>
      <c r="D12271" s="132" t="n">
        <v>46818</v>
      </c>
      <c r="E12271" s="131" t="s">
        <v>53</v>
      </c>
      <c r="F12271" s="133" t="s">
        <v>24</v>
      </c>
      <c r="G12271" s="134" t="n">
        <f aca="false">LEN('Saisie programme'!$D$468)+SUMIFS('Vols additionnels'!$E$7:$E$66,'Vols additionnels'!$C$7:$C$66,$E12271,'Vols additionnels'!$D$7:$D$66,$F12271,'Vols additionnels'!$B$7:$B$66,$D12271)</f>
        <v>0</v>
      </c>
      <c r="H12271" s="135" t="n">
        <f aca="false">$G12271*'Analyse capacite'!$F$9</f>
        <v>0</v>
      </c>
      <c r="I12271" s="135" t="n">
        <f aca="false">$G12271*'Analyse capacite'!$C$9</f>
        <v>0</v>
      </c>
      <c r="J12271" s="135" t="n">
        <f aca="false">$G12271*'Analyse capacite'!$D$9</f>
        <v>0</v>
      </c>
      <c r="K12271" s="135" t="n">
        <f aca="false">$G12271*'Analyse capacite'!$E$9</f>
        <v>0</v>
      </c>
    </row>
    <row r="12272" customFormat="false" ht="15" hidden="false" customHeight="false" outlineLevel="0" collapsed="false">
      <c r="B12272" s="130" t="n">
        <v>2028</v>
      </c>
      <c r="C12272" s="131" t="s">
        <v>257</v>
      </c>
      <c r="D12272" s="132" t="n">
        <v>46818</v>
      </c>
      <c r="E12272" s="131" t="s">
        <v>56</v>
      </c>
      <c r="F12272" s="133" t="s">
        <v>11</v>
      </c>
      <c r="G12272" s="134" t="n">
        <f aca="false">LEN('Saisie programme'!$D$469)+SUMIFS('Vols additionnels'!$E$7:$E$66,'Vols additionnels'!$C$7:$C$66,$E12272,'Vols additionnels'!$D$7:$D$66,$F12272,'Vols additionnels'!$B$7:$B$66,$D12272)</f>
        <v>0</v>
      </c>
      <c r="H12272" s="135" t="n">
        <f aca="false">$G12272*'Analyse capacite'!$F$7</f>
        <v>0</v>
      </c>
      <c r="I12272" s="135" t="n">
        <f aca="false">$G12272*'Analyse capacite'!$C$7</f>
        <v>0</v>
      </c>
      <c r="J12272" s="135" t="n">
        <f aca="false">$G12272*'Analyse capacite'!$D$7</f>
        <v>0</v>
      </c>
      <c r="K12272" s="135" t="n">
        <f aca="false">$G12272*'Analyse capacite'!$E$7</f>
        <v>0</v>
      </c>
    </row>
    <row r="12273" customFormat="false" ht="15" hidden="false" customHeight="false" outlineLevel="0" collapsed="false">
      <c r="B12273" s="130" t="n">
        <v>2028</v>
      </c>
      <c r="C12273" s="131" t="s">
        <v>257</v>
      </c>
      <c r="D12273" s="132" t="n">
        <v>46818</v>
      </c>
      <c r="E12273" s="131" t="s">
        <v>56</v>
      </c>
      <c r="F12273" s="133" t="s">
        <v>19</v>
      </c>
      <c r="G12273" s="134" t="n">
        <f aca="false">LEN('Saisie programme'!$D$470)+SUMIFS('Vols additionnels'!$E$7:$E$66,'Vols additionnels'!$C$7:$C$66,$E12273,'Vols additionnels'!$D$7:$D$66,$F12273,'Vols additionnels'!$B$7:$B$66,$D12273)</f>
        <v>0</v>
      </c>
      <c r="H12273" s="135" t="n">
        <f aca="false">$G12273*'Analyse capacite'!$F$8</f>
        <v>0</v>
      </c>
      <c r="I12273" s="135" t="n">
        <f aca="false">$G12273*'Analyse capacite'!$C$8</f>
        <v>0</v>
      </c>
      <c r="J12273" s="135" t="n">
        <f aca="false">$G12273*'Analyse capacite'!$D$8</f>
        <v>0</v>
      </c>
      <c r="K12273" s="135" t="n">
        <f aca="false">$G12273*'Analyse capacite'!$E$8</f>
        <v>0</v>
      </c>
    </row>
    <row r="12274" customFormat="false" ht="15" hidden="false" customHeight="false" outlineLevel="0" collapsed="false">
      <c r="B12274" s="130" t="n">
        <v>2028</v>
      </c>
      <c r="C12274" s="131" t="s">
        <v>257</v>
      </c>
      <c r="D12274" s="132" t="n">
        <v>46818</v>
      </c>
      <c r="E12274" s="131" t="s">
        <v>56</v>
      </c>
      <c r="F12274" s="133" t="s">
        <v>24</v>
      </c>
      <c r="G12274" s="134" t="n">
        <f aca="false">LEN('Saisie programme'!$D$471)+SUMIFS('Vols additionnels'!$E$7:$E$66,'Vols additionnels'!$C$7:$C$66,$E12274,'Vols additionnels'!$D$7:$D$66,$F12274,'Vols additionnels'!$B$7:$B$66,$D12274)</f>
        <v>0</v>
      </c>
      <c r="H12274" s="135" t="n">
        <f aca="false">$G12274*'Analyse capacite'!$F$9</f>
        <v>0</v>
      </c>
      <c r="I12274" s="135" t="n">
        <f aca="false">$G12274*'Analyse capacite'!$C$9</f>
        <v>0</v>
      </c>
      <c r="J12274" s="135" t="n">
        <f aca="false">$G12274*'Analyse capacite'!$D$9</f>
        <v>0</v>
      </c>
      <c r="K12274" s="135" t="n">
        <f aca="false">$G12274*'Analyse capacite'!$E$9</f>
        <v>0</v>
      </c>
    </row>
    <row r="12275" customFormat="false" ht="15" hidden="false" customHeight="false" outlineLevel="0" collapsed="false">
      <c r="B12275" s="130" t="n">
        <v>2028</v>
      </c>
      <c r="C12275" s="131" t="s">
        <v>257</v>
      </c>
      <c r="D12275" s="132" t="n">
        <v>46818</v>
      </c>
      <c r="E12275" s="131" t="s">
        <v>59</v>
      </c>
      <c r="F12275" s="133" t="s">
        <v>11</v>
      </c>
      <c r="G12275" s="134" t="n">
        <f aca="false">LEN('Saisie programme'!$D$472)+SUMIFS('Vols additionnels'!$E$7:$E$66,'Vols additionnels'!$C$7:$C$66,$E12275,'Vols additionnels'!$D$7:$D$66,$F12275,'Vols additionnels'!$B$7:$B$66,$D12275)</f>
        <v>0</v>
      </c>
      <c r="H12275" s="135" t="n">
        <f aca="false">$G12275*'Analyse capacite'!$F$7</f>
        <v>0</v>
      </c>
      <c r="I12275" s="135" t="n">
        <f aca="false">$G12275*'Analyse capacite'!$C$7</f>
        <v>0</v>
      </c>
      <c r="J12275" s="135" t="n">
        <f aca="false">$G12275*'Analyse capacite'!$D$7</f>
        <v>0</v>
      </c>
      <c r="K12275" s="135" t="n">
        <f aca="false">$G12275*'Analyse capacite'!$E$7</f>
        <v>0</v>
      </c>
    </row>
    <row r="12276" customFormat="false" ht="15" hidden="false" customHeight="false" outlineLevel="0" collapsed="false">
      <c r="B12276" s="130" t="n">
        <v>2028</v>
      </c>
      <c r="C12276" s="131" t="s">
        <v>257</v>
      </c>
      <c r="D12276" s="132" t="n">
        <v>46818</v>
      </c>
      <c r="E12276" s="131" t="s">
        <v>59</v>
      </c>
      <c r="F12276" s="133" t="s">
        <v>19</v>
      </c>
      <c r="G12276" s="134" t="n">
        <f aca="false">LEN('Saisie programme'!$D$473)+SUMIFS('Vols additionnels'!$E$7:$E$66,'Vols additionnels'!$C$7:$C$66,$E12276,'Vols additionnels'!$D$7:$D$66,$F12276,'Vols additionnels'!$B$7:$B$66,$D12276)</f>
        <v>0</v>
      </c>
      <c r="H12276" s="135" t="n">
        <f aca="false">$G12276*'Analyse capacite'!$F$8</f>
        <v>0</v>
      </c>
      <c r="I12276" s="135" t="n">
        <f aca="false">$G12276*'Analyse capacite'!$C$8</f>
        <v>0</v>
      </c>
      <c r="J12276" s="135" t="n">
        <f aca="false">$G12276*'Analyse capacite'!$D$8</f>
        <v>0</v>
      </c>
      <c r="K12276" s="135" t="n">
        <f aca="false">$G12276*'Analyse capacite'!$E$8</f>
        <v>0</v>
      </c>
    </row>
    <row r="12277" customFormat="false" ht="15" hidden="false" customHeight="false" outlineLevel="0" collapsed="false">
      <c r="B12277" s="130" t="n">
        <v>2028</v>
      </c>
      <c r="C12277" s="131" t="s">
        <v>257</v>
      </c>
      <c r="D12277" s="132" t="n">
        <v>46818</v>
      </c>
      <c r="E12277" s="131" t="s">
        <v>59</v>
      </c>
      <c r="F12277" s="133" t="s">
        <v>24</v>
      </c>
      <c r="G12277" s="134" t="n">
        <f aca="false">LEN('Saisie programme'!$D$474)+SUMIFS('Vols additionnels'!$E$7:$E$66,'Vols additionnels'!$C$7:$C$66,$E12277,'Vols additionnels'!$D$7:$D$66,$F12277,'Vols additionnels'!$B$7:$B$66,$D12277)</f>
        <v>1</v>
      </c>
      <c r="H12277" s="135" t="n">
        <f aca="false">$G12277*'Analyse capacite'!$F$9</f>
        <v>174</v>
      </c>
      <c r="I12277" s="135" t="n">
        <f aca="false">$G12277*'Analyse capacite'!$C$9</f>
        <v>0</v>
      </c>
      <c r="J12277" s="135" t="n">
        <f aca="false">$G12277*'Analyse capacite'!$D$9</f>
        <v>12</v>
      </c>
      <c r="K12277" s="135" t="n">
        <f aca="false">$G12277*'Analyse capacite'!$E$9</f>
        <v>162</v>
      </c>
    </row>
    <row r="12278" customFormat="false" ht="15" hidden="false" customHeight="false" outlineLevel="0" collapsed="false">
      <c r="B12278" s="130" t="n">
        <v>2028</v>
      </c>
      <c r="C12278" s="131" t="s">
        <v>257</v>
      </c>
      <c r="D12278" s="132" t="n">
        <v>46818</v>
      </c>
      <c r="E12278" s="131" t="s">
        <v>62</v>
      </c>
      <c r="F12278" s="133" t="s">
        <v>11</v>
      </c>
      <c r="G12278" s="134" t="n">
        <f aca="false">LEN('Saisie programme'!$D$475)+SUMIFS('Vols additionnels'!$E$7:$E$66,'Vols additionnels'!$C$7:$C$66,$E12278,'Vols additionnels'!$D$7:$D$66,$F12278,'Vols additionnels'!$B$7:$B$66,$D12278)</f>
        <v>0</v>
      </c>
      <c r="H12278" s="135" t="n">
        <f aca="false">$G12278*'Analyse capacite'!$F$7</f>
        <v>0</v>
      </c>
      <c r="I12278" s="135" t="n">
        <f aca="false">$G12278*'Analyse capacite'!$C$7</f>
        <v>0</v>
      </c>
      <c r="J12278" s="135" t="n">
        <f aca="false">$G12278*'Analyse capacite'!$D$7</f>
        <v>0</v>
      </c>
      <c r="K12278" s="135" t="n">
        <f aca="false">$G12278*'Analyse capacite'!$E$7</f>
        <v>0</v>
      </c>
    </row>
    <row r="12279" customFormat="false" ht="15" hidden="false" customHeight="false" outlineLevel="0" collapsed="false">
      <c r="B12279" s="130" t="n">
        <v>2028</v>
      </c>
      <c r="C12279" s="131" t="s">
        <v>257</v>
      </c>
      <c r="D12279" s="132" t="n">
        <v>46818</v>
      </c>
      <c r="E12279" s="131" t="s">
        <v>62</v>
      </c>
      <c r="F12279" s="133" t="s">
        <v>19</v>
      </c>
      <c r="G12279" s="134" t="n">
        <f aca="false">LEN('Saisie programme'!$D$476)+SUMIFS('Vols additionnels'!$E$7:$E$66,'Vols additionnels'!$C$7:$C$66,$E12279,'Vols additionnels'!$D$7:$D$66,$F12279,'Vols additionnels'!$B$7:$B$66,$D12279)</f>
        <v>0</v>
      </c>
      <c r="H12279" s="135" t="n">
        <f aca="false">$G12279*'Analyse capacite'!$F$8</f>
        <v>0</v>
      </c>
      <c r="I12279" s="135" t="n">
        <f aca="false">$G12279*'Analyse capacite'!$C$8</f>
        <v>0</v>
      </c>
      <c r="J12279" s="135" t="n">
        <f aca="false">$G12279*'Analyse capacite'!$D$8</f>
        <v>0</v>
      </c>
      <c r="K12279" s="135" t="n">
        <f aca="false">$G12279*'Analyse capacite'!$E$8</f>
        <v>0</v>
      </c>
    </row>
    <row r="12280" customFormat="false" ht="15" hidden="false" customHeight="false" outlineLevel="0" collapsed="false">
      <c r="B12280" s="130" t="n">
        <v>2028</v>
      </c>
      <c r="C12280" s="131" t="s">
        <v>257</v>
      </c>
      <c r="D12280" s="132" t="n">
        <v>46818</v>
      </c>
      <c r="E12280" s="131" t="s">
        <v>62</v>
      </c>
      <c r="F12280" s="133" t="s">
        <v>24</v>
      </c>
      <c r="G12280" s="134" t="n">
        <f aca="false">LEN('Saisie programme'!$D$477)+SUMIFS('Vols additionnels'!$E$7:$E$66,'Vols additionnels'!$C$7:$C$66,$E12280,'Vols additionnels'!$D$7:$D$66,$F12280,'Vols additionnels'!$B$7:$B$66,$D12280)</f>
        <v>0</v>
      </c>
      <c r="H12280" s="135" t="n">
        <f aca="false">$G12280*'Analyse capacite'!$F$9</f>
        <v>0</v>
      </c>
      <c r="I12280" s="135" t="n">
        <f aca="false">$G12280*'Analyse capacite'!$C$9</f>
        <v>0</v>
      </c>
      <c r="J12280" s="135" t="n">
        <f aca="false">$G12280*'Analyse capacite'!$D$9</f>
        <v>0</v>
      </c>
      <c r="K12280" s="135" t="n">
        <f aca="false">$G12280*'Analyse capacite'!$E$9</f>
        <v>0</v>
      </c>
    </row>
    <row r="12281" customFormat="false" ht="15" hidden="false" customHeight="false" outlineLevel="0" collapsed="false">
      <c r="B12281" s="130" t="n">
        <v>2028</v>
      </c>
      <c r="C12281" s="131" t="s">
        <v>257</v>
      </c>
      <c r="D12281" s="132" t="n">
        <v>46819</v>
      </c>
      <c r="E12281" s="131" t="s">
        <v>12</v>
      </c>
      <c r="F12281" s="133" t="s">
        <v>11</v>
      </c>
      <c r="G12281" s="134" t="n">
        <f aca="false">LEN('Saisie programme'!$E$442)+SUMIFS('Vols additionnels'!$E$7:$E$66,'Vols additionnels'!$C$7:$C$66,$E12281,'Vols additionnels'!$D$7:$D$66,$F12281,'Vols additionnels'!$B$7:$B$66,$D12281)</f>
        <v>1</v>
      </c>
      <c r="H12281" s="135" t="n">
        <f aca="false">$G12281*'Analyse capacite'!$F$7</f>
        <v>438</v>
      </c>
      <c r="I12281" s="135" t="n">
        <f aca="false">$G12281*'Analyse capacite'!$C$7</f>
        <v>14</v>
      </c>
      <c r="J12281" s="135" t="n">
        <f aca="false">$G12281*'Analyse capacite'!$D$7</f>
        <v>40</v>
      </c>
      <c r="K12281" s="135" t="n">
        <f aca="false">$G12281*'Analyse capacite'!$E$7</f>
        <v>384</v>
      </c>
    </row>
    <row r="12282" customFormat="false" ht="15" hidden="false" customHeight="false" outlineLevel="0" collapsed="false">
      <c r="B12282" s="130" t="n">
        <v>2028</v>
      </c>
      <c r="C12282" s="131" t="s">
        <v>257</v>
      </c>
      <c r="D12282" s="132" t="n">
        <v>46819</v>
      </c>
      <c r="E12282" s="131" t="s">
        <v>12</v>
      </c>
      <c r="F12282" s="133" t="s">
        <v>19</v>
      </c>
      <c r="G12282" s="134" t="n">
        <f aca="false">LEN('Saisie programme'!$E$443)+SUMIFS('Vols additionnels'!$E$7:$E$66,'Vols additionnels'!$C$7:$C$66,$E12282,'Vols additionnels'!$D$7:$D$66,$F12282,'Vols additionnels'!$B$7:$B$66,$D12282)</f>
        <v>0</v>
      </c>
      <c r="H12282" s="135" t="n">
        <f aca="false">$G12282*'Analyse capacite'!$F$8</f>
        <v>0</v>
      </c>
      <c r="I12282" s="135" t="n">
        <f aca="false">$G12282*'Analyse capacite'!$C$8</f>
        <v>0</v>
      </c>
      <c r="J12282" s="135" t="n">
        <f aca="false">$G12282*'Analyse capacite'!$D$8</f>
        <v>0</v>
      </c>
      <c r="K12282" s="135" t="n">
        <f aca="false">$G12282*'Analyse capacite'!$E$8</f>
        <v>0</v>
      </c>
    </row>
    <row r="12283" customFormat="false" ht="15" hidden="false" customHeight="false" outlineLevel="0" collapsed="false">
      <c r="B12283" s="130" t="n">
        <v>2028</v>
      </c>
      <c r="C12283" s="131" t="s">
        <v>257</v>
      </c>
      <c r="D12283" s="132" t="n">
        <v>46819</v>
      </c>
      <c r="E12283" s="131" t="s">
        <v>12</v>
      </c>
      <c r="F12283" s="133" t="s">
        <v>24</v>
      </c>
      <c r="G12283" s="134" t="n">
        <f aca="false">LEN('Saisie programme'!$E$444)+SUMIFS('Vols additionnels'!$E$7:$E$66,'Vols additionnels'!$C$7:$C$66,$E12283,'Vols additionnels'!$D$7:$D$66,$F12283,'Vols additionnels'!$B$7:$B$66,$D12283)</f>
        <v>0</v>
      </c>
      <c r="H12283" s="135" t="n">
        <f aca="false">$G12283*'Analyse capacite'!$F$9</f>
        <v>0</v>
      </c>
      <c r="I12283" s="135" t="n">
        <f aca="false">$G12283*'Analyse capacite'!$C$9</f>
        <v>0</v>
      </c>
      <c r="J12283" s="135" t="n">
        <f aca="false">$G12283*'Analyse capacite'!$D$9</f>
        <v>0</v>
      </c>
      <c r="K12283" s="135" t="n">
        <f aca="false">$G12283*'Analyse capacite'!$E$9</f>
        <v>0</v>
      </c>
    </row>
    <row r="12284" customFormat="false" ht="15" hidden="false" customHeight="false" outlineLevel="0" collapsed="false">
      <c r="B12284" s="130" t="n">
        <v>2028</v>
      </c>
      <c r="C12284" s="131" t="s">
        <v>257</v>
      </c>
      <c r="D12284" s="132" t="n">
        <v>46819</v>
      </c>
      <c r="E12284" s="131" t="s">
        <v>20</v>
      </c>
      <c r="F12284" s="133" t="s">
        <v>11</v>
      </c>
      <c r="G12284" s="134" t="n">
        <f aca="false">LEN('Saisie programme'!$E$445)+SUMIFS('Vols additionnels'!$E$7:$E$66,'Vols additionnels'!$C$7:$C$66,$E12284,'Vols additionnels'!$D$7:$D$66,$F12284,'Vols additionnels'!$B$7:$B$66,$D12284)</f>
        <v>0</v>
      </c>
      <c r="H12284" s="135" t="n">
        <f aca="false">$G12284*'Analyse capacite'!$F$7</f>
        <v>0</v>
      </c>
      <c r="I12284" s="135" t="n">
        <f aca="false">$G12284*'Analyse capacite'!$C$7</f>
        <v>0</v>
      </c>
      <c r="J12284" s="135" t="n">
        <f aca="false">$G12284*'Analyse capacite'!$D$7</f>
        <v>0</v>
      </c>
      <c r="K12284" s="135" t="n">
        <f aca="false">$G12284*'Analyse capacite'!$E$7</f>
        <v>0</v>
      </c>
    </row>
    <row r="12285" customFormat="false" ht="15" hidden="false" customHeight="false" outlineLevel="0" collapsed="false">
      <c r="B12285" s="130" t="n">
        <v>2028</v>
      </c>
      <c r="C12285" s="131" t="s">
        <v>257</v>
      </c>
      <c r="D12285" s="132" t="n">
        <v>46819</v>
      </c>
      <c r="E12285" s="131" t="s">
        <v>20</v>
      </c>
      <c r="F12285" s="133" t="s">
        <v>19</v>
      </c>
      <c r="G12285" s="134" t="n">
        <f aca="false">LEN('Saisie programme'!$E$446)+SUMIFS('Vols additionnels'!$E$7:$E$66,'Vols additionnels'!$C$7:$C$66,$E12285,'Vols additionnels'!$D$7:$D$66,$F12285,'Vols additionnels'!$B$7:$B$66,$D12285)</f>
        <v>1</v>
      </c>
      <c r="H12285" s="135" t="n">
        <f aca="false">$G12285*'Analyse capacite'!$F$8</f>
        <v>262</v>
      </c>
      <c r="I12285" s="135" t="n">
        <f aca="false">$G12285*'Analyse capacite'!$C$8</f>
        <v>18</v>
      </c>
      <c r="J12285" s="135" t="n">
        <f aca="false">$G12285*'Analyse capacite'!$D$8</f>
        <v>0</v>
      </c>
      <c r="K12285" s="135" t="n">
        <f aca="false">$G12285*'Analyse capacite'!$E$8</f>
        <v>244</v>
      </c>
    </row>
    <row r="12286" customFormat="false" ht="15" hidden="false" customHeight="false" outlineLevel="0" collapsed="false">
      <c r="B12286" s="130" t="n">
        <v>2028</v>
      </c>
      <c r="C12286" s="131" t="s">
        <v>257</v>
      </c>
      <c r="D12286" s="132" t="n">
        <v>46819</v>
      </c>
      <c r="E12286" s="131" t="s">
        <v>20</v>
      </c>
      <c r="F12286" s="133" t="s">
        <v>24</v>
      </c>
      <c r="G12286" s="134" t="n">
        <f aca="false">LEN('Saisie programme'!$E$447)+SUMIFS('Vols additionnels'!$E$7:$E$66,'Vols additionnels'!$C$7:$C$66,$E12286,'Vols additionnels'!$D$7:$D$66,$F12286,'Vols additionnels'!$B$7:$B$66,$D12286)</f>
        <v>0</v>
      </c>
      <c r="H12286" s="135" t="n">
        <f aca="false">$G12286*'Analyse capacite'!$F$9</f>
        <v>0</v>
      </c>
      <c r="I12286" s="135" t="n">
        <f aca="false">$G12286*'Analyse capacite'!$C$9</f>
        <v>0</v>
      </c>
      <c r="J12286" s="135" t="n">
        <f aca="false">$G12286*'Analyse capacite'!$D$9</f>
        <v>0</v>
      </c>
      <c r="K12286" s="135" t="n">
        <f aca="false">$G12286*'Analyse capacite'!$E$9</f>
        <v>0</v>
      </c>
    </row>
    <row r="12287" customFormat="false" ht="15" hidden="false" customHeight="false" outlineLevel="0" collapsed="false">
      <c r="B12287" s="130" t="n">
        <v>2028</v>
      </c>
      <c r="C12287" s="131" t="s">
        <v>257</v>
      </c>
      <c r="D12287" s="132" t="n">
        <v>46819</v>
      </c>
      <c r="E12287" s="131" t="s">
        <v>25</v>
      </c>
      <c r="F12287" s="133" t="s">
        <v>11</v>
      </c>
      <c r="G12287" s="134" t="n">
        <f aca="false">LEN('Saisie programme'!$E$448)+SUMIFS('Vols additionnels'!$E$7:$E$66,'Vols additionnels'!$C$7:$C$66,$E12287,'Vols additionnels'!$D$7:$D$66,$F12287,'Vols additionnels'!$B$7:$B$66,$D12287)</f>
        <v>0</v>
      </c>
      <c r="H12287" s="135" t="n">
        <f aca="false">$G12287*'Analyse capacite'!$F$7</f>
        <v>0</v>
      </c>
      <c r="I12287" s="135" t="n">
        <f aca="false">$G12287*'Analyse capacite'!$C$7</f>
        <v>0</v>
      </c>
      <c r="J12287" s="135" t="n">
        <f aca="false">$G12287*'Analyse capacite'!$D$7</f>
        <v>0</v>
      </c>
      <c r="K12287" s="135" t="n">
        <f aca="false">$G12287*'Analyse capacite'!$E$7</f>
        <v>0</v>
      </c>
    </row>
    <row r="12288" customFormat="false" ht="15" hidden="false" customHeight="false" outlineLevel="0" collapsed="false">
      <c r="B12288" s="130" t="n">
        <v>2028</v>
      </c>
      <c r="C12288" s="131" t="s">
        <v>257</v>
      </c>
      <c r="D12288" s="132" t="n">
        <v>46819</v>
      </c>
      <c r="E12288" s="131" t="s">
        <v>25</v>
      </c>
      <c r="F12288" s="133" t="s">
        <v>19</v>
      </c>
      <c r="G12288" s="134" t="n">
        <f aca="false">LEN('Saisie programme'!$E$449)+SUMIFS('Vols additionnels'!$E$7:$E$66,'Vols additionnels'!$C$7:$C$66,$E12288,'Vols additionnels'!$D$7:$D$66,$F12288,'Vols additionnels'!$B$7:$B$66,$D12288)</f>
        <v>0</v>
      </c>
      <c r="H12288" s="135" t="n">
        <f aca="false">$G12288*'Analyse capacite'!$F$8</f>
        <v>0</v>
      </c>
      <c r="I12288" s="135" t="n">
        <f aca="false">$G12288*'Analyse capacite'!$C$8</f>
        <v>0</v>
      </c>
      <c r="J12288" s="135" t="n">
        <f aca="false">$G12288*'Analyse capacite'!$D$8</f>
        <v>0</v>
      </c>
      <c r="K12288" s="135" t="n">
        <f aca="false">$G12288*'Analyse capacite'!$E$8</f>
        <v>0</v>
      </c>
    </row>
    <row r="12289" customFormat="false" ht="15" hidden="false" customHeight="false" outlineLevel="0" collapsed="false">
      <c r="B12289" s="130" t="n">
        <v>2028</v>
      </c>
      <c r="C12289" s="131" t="s">
        <v>257</v>
      </c>
      <c r="D12289" s="132" t="n">
        <v>46819</v>
      </c>
      <c r="E12289" s="131" t="s">
        <v>25</v>
      </c>
      <c r="F12289" s="133" t="s">
        <v>24</v>
      </c>
      <c r="G12289" s="134" t="n">
        <f aca="false">LEN('Saisie programme'!$E$450)+SUMIFS('Vols additionnels'!$E$7:$E$66,'Vols additionnels'!$C$7:$C$66,$E12289,'Vols additionnels'!$D$7:$D$66,$F12289,'Vols additionnels'!$B$7:$B$66,$D12289)</f>
        <v>0</v>
      </c>
      <c r="H12289" s="135" t="n">
        <f aca="false">$G12289*'Analyse capacite'!$F$9</f>
        <v>0</v>
      </c>
      <c r="I12289" s="135" t="n">
        <f aca="false">$G12289*'Analyse capacite'!$C$9</f>
        <v>0</v>
      </c>
      <c r="J12289" s="135" t="n">
        <f aca="false">$G12289*'Analyse capacite'!$D$9</f>
        <v>0</v>
      </c>
      <c r="K12289" s="135" t="n">
        <f aca="false">$G12289*'Analyse capacite'!$E$9</f>
        <v>0</v>
      </c>
    </row>
    <row r="12290" customFormat="false" ht="15" hidden="false" customHeight="false" outlineLevel="0" collapsed="false">
      <c r="B12290" s="130" t="n">
        <v>2028</v>
      </c>
      <c r="C12290" s="131" t="s">
        <v>257</v>
      </c>
      <c r="D12290" s="132" t="n">
        <v>46819</v>
      </c>
      <c r="E12290" s="131" t="s">
        <v>36</v>
      </c>
      <c r="F12290" s="133" t="s">
        <v>11</v>
      </c>
      <c r="G12290" s="134" t="n">
        <f aca="false">LEN('Saisie programme'!$E$451)+SUMIFS('Vols additionnels'!$E$7:$E$66,'Vols additionnels'!$C$7:$C$66,$E12290,'Vols additionnels'!$D$7:$D$66,$F12290,'Vols additionnels'!$B$7:$B$66,$D12290)</f>
        <v>0</v>
      </c>
      <c r="H12290" s="135" t="n">
        <f aca="false">$G12290*'Analyse capacite'!$F$7</f>
        <v>0</v>
      </c>
      <c r="I12290" s="135" t="n">
        <f aca="false">$G12290*'Analyse capacite'!$C$7</f>
        <v>0</v>
      </c>
      <c r="J12290" s="135" t="n">
        <f aca="false">$G12290*'Analyse capacite'!$D$7</f>
        <v>0</v>
      </c>
      <c r="K12290" s="135" t="n">
        <f aca="false">$G12290*'Analyse capacite'!$E$7</f>
        <v>0</v>
      </c>
    </row>
    <row r="12291" customFormat="false" ht="15" hidden="false" customHeight="false" outlineLevel="0" collapsed="false">
      <c r="B12291" s="130" t="n">
        <v>2028</v>
      </c>
      <c r="C12291" s="131" t="s">
        <v>257</v>
      </c>
      <c r="D12291" s="132" t="n">
        <v>46819</v>
      </c>
      <c r="E12291" s="131" t="s">
        <v>36</v>
      </c>
      <c r="F12291" s="133" t="s">
        <v>19</v>
      </c>
      <c r="G12291" s="134" t="n">
        <f aca="false">LEN('Saisie programme'!$E$452)+SUMIFS('Vols additionnels'!$E$7:$E$66,'Vols additionnels'!$C$7:$C$66,$E12291,'Vols additionnels'!$D$7:$D$66,$F12291,'Vols additionnels'!$B$7:$B$66,$D12291)</f>
        <v>0</v>
      </c>
      <c r="H12291" s="135" t="n">
        <f aca="false">$G12291*'Analyse capacite'!$F$8</f>
        <v>0</v>
      </c>
      <c r="I12291" s="135" t="n">
        <f aca="false">$G12291*'Analyse capacite'!$C$8</f>
        <v>0</v>
      </c>
      <c r="J12291" s="135" t="n">
        <f aca="false">$G12291*'Analyse capacite'!$D$8</f>
        <v>0</v>
      </c>
      <c r="K12291" s="135" t="n">
        <f aca="false">$G12291*'Analyse capacite'!$E$8</f>
        <v>0</v>
      </c>
    </row>
    <row r="12292" customFormat="false" ht="15" hidden="false" customHeight="false" outlineLevel="0" collapsed="false">
      <c r="B12292" s="130" t="n">
        <v>2028</v>
      </c>
      <c r="C12292" s="131" t="s">
        <v>257</v>
      </c>
      <c r="D12292" s="132" t="n">
        <v>46819</v>
      </c>
      <c r="E12292" s="131" t="s">
        <v>36</v>
      </c>
      <c r="F12292" s="133" t="s">
        <v>24</v>
      </c>
      <c r="G12292" s="134" t="n">
        <f aca="false">LEN('Saisie programme'!$E$453)+SUMIFS('Vols additionnels'!$E$7:$E$66,'Vols additionnels'!$C$7:$C$66,$E12292,'Vols additionnels'!$D$7:$D$66,$F12292,'Vols additionnels'!$B$7:$B$66,$D12292)</f>
        <v>1</v>
      </c>
      <c r="H12292" s="135" t="n">
        <f aca="false">$G12292*'Analyse capacite'!$F$9</f>
        <v>174</v>
      </c>
      <c r="I12292" s="135" t="n">
        <f aca="false">$G12292*'Analyse capacite'!$C$9</f>
        <v>0</v>
      </c>
      <c r="J12292" s="135" t="n">
        <f aca="false">$G12292*'Analyse capacite'!$D$9</f>
        <v>12</v>
      </c>
      <c r="K12292" s="135" t="n">
        <f aca="false">$G12292*'Analyse capacite'!$E$9</f>
        <v>162</v>
      </c>
    </row>
    <row r="12293" customFormat="false" ht="15" hidden="false" customHeight="false" outlineLevel="0" collapsed="false">
      <c r="B12293" s="130" t="n">
        <v>2028</v>
      </c>
      <c r="C12293" s="131" t="s">
        <v>257</v>
      </c>
      <c r="D12293" s="132" t="n">
        <v>46819</v>
      </c>
      <c r="E12293" s="131" t="s">
        <v>40</v>
      </c>
      <c r="F12293" s="133" t="s">
        <v>11</v>
      </c>
      <c r="G12293" s="134" t="n">
        <f aca="false">LEN('Saisie programme'!$E$454)+SUMIFS('Vols additionnels'!$E$7:$E$66,'Vols additionnels'!$C$7:$C$66,$E12293,'Vols additionnels'!$D$7:$D$66,$F12293,'Vols additionnels'!$B$7:$B$66,$D12293)</f>
        <v>0</v>
      </c>
      <c r="H12293" s="135" t="n">
        <f aca="false">$G12293*'Analyse capacite'!$F$7</f>
        <v>0</v>
      </c>
      <c r="I12293" s="135" t="n">
        <f aca="false">$G12293*'Analyse capacite'!$C$7</f>
        <v>0</v>
      </c>
      <c r="J12293" s="135" t="n">
        <f aca="false">$G12293*'Analyse capacite'!$D$7</f>
        <v>0</v>
      </c>
      <c r="K12293" s="135" t="n">
        <f aca="false">$G12293*'Analyse capacite'!$E$7</f>
        <v>0</v>
      </c>
    </row>
    <row r="12294" customFormat="false" ht="15" hidden="false" customHeight="false" outlineLevel="0" collapsed="false">
      <c r="B12294" s="130" t="n">
        <v>2028</v>
      </c>
      <c r="C12294" s="131" t="s">
        <v>257</v>
      </c>
      <c r="D12294" s="132" t="n">
        <v>46819</v>
      </c>
      <c r="E12294" s="131" t="s">
        <v>40</v>
      </c>
      <c r="F12294" s="133" t="s">
        <v>19</v>
      </c>
      <c r="G12294" s="134" t="n">
        <f aca="false">LEN('Saisie programme'!$E$455)+SUMIFS('Vols additionnels'!$E$7:$E$66,'Vols additionnels'!$C$7:$C$66,$E12294,'Vols additionnels'!$D$7:$D$66,$F12294,'Vols additionnels'!$B$7:$B$66,$D12294)</f>
        <v>0</v>
      </c>
      <c r="H12294" s="135" t="n">
        <f aca="false">$G12294*'Analyse capacite'!$F$8</f>
        <v>0</v>
      </c>
      <c r="I12294" s="135" t="n">
        <f aca="false">$G12294*'Analyse capacite'!$C$8</f>
        <v>0</v>
      </c>
      <c r="J12294" s="135" t="n">
        <f aca="false">$G12294*'Analyse capacite'!$D$8</f>
        <v>0</v>
      </c>
      <c r="K12294" s="135" t="n">
        <f aca="false">$G12294*'Analyse capacite'!$E$8</f>
        <v>0</v>
      </c>
    </row>
    <row r="12295" customFormat="false" ht="15" hidden="false" customHeight="false" outlineLevel="0" collapsed="false">
      <c r="B12295" s="130" t="n">
        <v>2028</v>
      </c>
      <c r="C12295" s="131" t="s">
        <v>257</v>
      </c>
      <c r="D12295" s="132" t="n">
        <v>46819</v>
      </c>
      <c r="E12295" s="131" t="s">
        <v>40</v>
      </c>
      <c r="F12295" s="133" t="s">
        <v>24</v>
      </c>
      <c r="G12295" s="134" t="n">
        <f aca="false">LEN('Saisie programme'!$E$456)+SUMIFS('Vols additionnels'!$E$7:$E$66,'Vols additionnels'!$C$7:$C$66,$E12295,'Vols additionnels'!$D$7:$D$66,$F12295,'Vols additionnels'!$B$7:$B$66,$D12295)</f>
        <v>0</v>
      </c>
      <c r="H12295" s="135" t="n">
        <f aca="false">$G12295*'Analyse capacite'!$F$9</f>
        <v>0</v>
      </c>
      <c r="I12295" s="135" t="n">
        <f aca="false">$G12295*'Analyse capacite'!$C$9</f>
        <v>0</v>
      </c>
      <c r="J12295" s="135" t="n">
        <f aca="false">$G12295*'Analyse capacite'!$D$9</f>
        <v>0</v>
      </c>
      <c r="K12295" s="135" t="n">
        <f aca="false">$G12295*'Analyse capacite'!$E$9</f>
        <v>0</v>
      </c>
    </row>
    <row r="12296" customFormat="false" ht="15" hidden="false" customHeight="false" outlineLevel="0" collapsed="false">
      <c r="B12296" s="130" t="n">
        <v>2028</v>
      </c>
      <c r="C12296" s="131" t="s">
        <v>257</v>
      </c>
      <c r="D12296" s="132" t="n">
        <v>46819</v>
      </c>
      <c r="E12296" s="131" t="s">
        <v>14</v>
      </c>
      <c r="F12296" s="133" t="s">
        <v>11</v>
      </c>
      <c r="G12296" s="134" t="n">
        <f aca="false">LEN('Saisie programme'!$E$457)+SUMIFS('Vols additionnels'!$E$7:$E$66,'Vols additionnels'!$C$7:$C$66,$E12296,'Vols additionnels'!$D$7:$D$66,$F12296,'Vols additionnels'!$B$7:$B$66,$D12296)</f>
        <v>0</v>
      </c>
      <c r="H12296" s="135" t="n">
        <f aca="false">$G12296*'Analyse capacite'!$F$7</f>
        <v>0</v>
      </c>
      <c r="I12296" s="135" t="n">
        <f aca="false">$G12296*'Analyse capacite'!$C$7</f>
        <v>0</v>
      </c>
      <c r="J12296" s="135" t="n">
        <f aca="false">$G12296*'Analyse capacite'!$D$7</f>
        <v>0</v>
      </c>
      <c r="K12296" s="135" t="n">
        <f aca="false">$G12296*'Analyse capacite'!$E$7</f>
        <v>0</v>
      </c>
    </row>
    <row r="12297" customFormat="false" ht="15" hidden="false" customHeight="false" outlineLevel="0" collapsed="false">
      <c r="B12297" s="130" t="n">
        <v>2028</v>
      </c>
      <c r="C12297" s="131" t="s">
        <v>257</v>
      </c>
      <c r="D12297" s="132" t="n">
        <v>46819</v>
      </c>
      <c r="E12297" s="131" t="s">
        <v>14</v>
      </c>
      <c r="F12297" s="133" t="s">
        <v>19</v>
      </c>
      <c r="G12297" s="134" t="n">
        <f aca="false">LEN('Saisie programme'!$E$458)+SUMIFS('Vols additionnels'!$E$7:$E$66,'Vols additionnels'!$C$7:$C$66,$E12297,'Vols additionnels'!$D$7:$D$66,$F12297,'Vols additionnels'!$B$7:$B$66,$D12297)</f>
        <v>0</v>
      </c>
      <c r="H12297" s="135" t="n">
        <f aca="false">$G12297*'Analyse capacite'!$F$8</f>
        <v>0</v>
      </c>
      <c r="I12297" s="135" t="n">
        <f aca="false">$G12297*'Analyse capacite'!$C$8</f>
        <v>0</v>
      </c>
      <c r="J12297" s="135" t="n">
        <f aca="false">$G12297*'Analyse capacite'!$D$8</f>
        <v>0</v>
      </c>
      <c r="K12297" s="135" t="n">
        <f aca="false">$G12297*'Analyse capacite'!$E$8</f>
        <v>0</v>
      </c>
    </row>
    <row r="12298" customFormat="false" ht="15" hidden="false" customHeight="false" outlineLevel="0" collapsed="false">
      <c r="B12298" s="130" t="n">
        <v>2028</v>
      </c>
      <c r="C12298" s="131" t="s">
        <v>257</v>
      </c>
      <c r="D12298" s="132" t="n">
        <v>46819</v>
      </c>
      <c r="E12298" s="131" t="s">
        <v>14</v>
      </c>
      <c r="F12298" s="133" t="s">
        <v>24</v>
      </c>
      <c r="G12298" s="134" t="n">
        <f aca="false">LEN('Saisie programme'!$E$459)+SUMIFS('Vols additionnels'!$E$7:$E$66,'Vols additionnels'!$C$7:$C$66,$E12298,'Vols additionnels'!$D$7:$D$66,$F12298,'Vols additionnels'!$B$7:$B$66,$D12298)</f>
        <v>0</v>
      </c>
      <c r="H12298" s="135" t="n">
        <f aca="false">$G12298*'Analyse capacite'!$F$9</f>
        <v>0</v>
      </c>
      <c r="I12298" s="135" t="n">
        <f aca="false">$G12298*'Analyse capacite'!$C$9</f>
        <v>0</v>
      </c>
      <c r="J12298" s="135" t="n">
        <f aca="false">$G12298*'Analyse capacite'!$D$9</f>
        <v>0</v>
      </c>
      <c r="K12298" s="135" t="n">
        <f aca="false">$G12298*'Analyse capacite'!$E$9</f>
        <v>0</v>
      </c>
    </row>
    <row r="12299" customFormat="false" ht="15" hidden="false" customHeight="false" outlineLevel="0" collapsed="false">
      <c r="B12299" s="130" t="n">
        <v>2028</v>
      </c>
      <c r="C12299" s="131" t="s">
        <v>257</v>
      </c>
      <c r="D12299" s="132" t="n">
        <v>46819</v>
      </c>
      <c r="E12299" s="131" t="s">
        <v>46</v>
      </c>
      <c r="F12299" s="133" t="s">
        <v>11</v>
      </c>
      <c r="G12299" s="134" t="n">
        <f aca="false">LEN('Saisie programme'!$E$460)+SUMIFS('Vols additionnels'!$E$7:$E$66,'Vols additionnels'!$C$7:$C$66,$E12299,'Vols additionnels'!$D$7:$D$66,$F12299,'Vols additionnels'!$B$7:$B$66,$D12299)</f>
        <v>0</v>
      </c>
      <c r="H12299" s="135" t="n">
        <f aca="false">$G12299*'Analyse capacite'!$F$7</f>
        <v>0</v>
      </c>
      <c r="I12299" s="135" t="n">
        <f aca="false">$G12299*'Analyse capacite'!$C$7</f>
        <v>0</v>
      </c>
      <c r="J12299" s="135" t="n">
        <f aca="false">$G12299*'Analyse capacite'!$D$7</f>
        <v>0</v>
      </c>
      <c r="K12299" s="135" t="n">
        <f aca="false">$G12299*'Analyse capacite'!$E$7</f>
        <v>0</v>
      </c>
    </row>
    <row r="12300" customFormat="false" ht="15" hidden="false" customHeight="false" outlineLevel="0" collapsed="false">
      <c r="B12300" s="130" t="n">
        <v>2028</v>
      </c>
      <c r="C12300" s="131" t="s">
        <v>257</v>
      </c>
      <c r="D12300" s="132" t="n">
        <v>46819</v>
      </c>
      <c r="E12300" s="131" t="s">
        <v>46</v>
      </c>
      <c r="F12300" s="133" t="s">
        <v>19</v>
      </c>
      <c r="G12300" s="134" t="n">
        <f aca="false">LEN('Saisie programme'!$E$461)+SUMIFS('Vols additionnels'!$E$7:$E$66,'Vols additionnels'!$C$7:$C$66,$E12300,'Vols additionnels'!$D$7:$D$66,$F12300,'Vols additionnels'!$B$7:$B$66,$D12300)</f>
        <v>0</v>
      </c>
      <c r="H12300" s="135" t="n">
        <f aca="false">$G12300*'Analyse capacite'!$F$8</f>
        <v>0</v>
      </c>
      <c r="I12300" s="135" t="n">
        <f aca="false">$G12300*'Analyse capacite'!$C$8</f>
        <v>0</v>
      </c>
      <c r="J12300" s="135" t="n">
        <f aca="false">$G12300*'Analyse capacite'!$D$8</f>
        <v>0</v>
      </c>
      <c r="K12300" s="135" t="n">
        <f aca="false">$G12300*'Analyse capacite'!$E$8</f>
        <v>0</v>
      </c>
    </row>
    <row r="12301" customFormat="false" ht="15" hidden="false" customHeight="false" outlineLevel="0" collapsed="false">
      <c r="B12301" s="130" t="n">
        <v>2028</v>
      </c>
      <c r="C12301" s="131" t="s">
        <v>257</v>
      </c>
      <c r="D12301" s="132" t="n">
        <v>46819</v>
      </c>
      <c r="E12301" s="131" t="s">
        <v>46</v>
      </c>
      <c r="F12301" s="133" t="s">
        <v>24</v>
      </c>
      <c r="G12301" s="134" t="n">
        <f aca="false">LEN('Saisie programme'!$E$462)+SUMIFS('Vols additionnels'!$E$7:$E$66,'Vols additionnels'!$C$7:$C$66,$E12301,'Vols additionnels'!$D$7:$D$66,$F12301,'Vols additionnels'!$B$7:$B$66,$D12301)</f>
        <v>1</v>
      </c>
      <c r="H12301" s="135" t="n">
        <f aca="false">$G12301*'Analyse capacite'!$F$9</f>
        <v>174</v>
      </c>
      <c r="I12301" s="135" t="n">
        <f aca="false">$G12301*'Analyse capacite'!$C$9</f>
        <v>0</v>
      </c>
      <c r="J12301" s="135" t="n">
        <f aca="false">$G12301*'Analyse capacite'!$D$9</f>
        <v>12</v>
      </c>
      <c r="K12301" s="135" t="n">
        <f aca="false">$G12301*'Analyse capacite'!$E$9</f>
        <v>162</v>
      </c>
    </row>
    <row r="12302" customFormat="false" ht="15" hidden="false" customHeight="false" outlineLevel="0" collapsed="false">
      <c r="B12302" s="130" t="n">
        <v>2028</v>
      </c>
      <c r="C12302" s="131" t="s">
        <v>257</v>
      </c>
      <c r="D12302" s="132" t="n">
        <v>46819</v>
      </c>
      <c r="E12302" s="131" t="s">
        <v>49</v>
      </c>
      <c r="F12302" s="133" t="s">
        <v>11</v>
      </c>
      <c r="G12302" s="134" t="n">
        <f aca="false">LEN('Saisie programme'!$E$463)+SUMIFS('Vols additionnels'!$E$7:$E$66,'Vols additionnels'!$C$7:$C$66,$E12302,'Vols additionnels'!$D$7:$D$66,$F12302,'Vols additionnels'!$B$7:$B$66,$D12302)</f>
        <v>0</v>
      </c>
      <c r="H12302" s="135" t="n">
        <f aca="false">$G12302*'Analyse capacite'!$F$7</f>
        <v>0</v>
      </c>
      <c r="I12302" s="135" t="n">
        <f aca="false">$G12302*'Analyse capacite'!$C$7</f>
        <v>0</v>
      </c>
      <c r="J12302" s="135" t="n">
        <f aca="false">$G12302*'Analyse capacite'!$D$7</f>
        <v>0</v>
      </c>
      <c r="K12302" s="135" t="n">
        <f aca="false">$G12302*'Analyse capacite'!$E$7</f>
        <v>0</v>
      </c>
    </row>
    <row r="12303" customFormat="false" ht="15" hidden="false" customHeight="false" outlineLevel="0" collapsed="false">
      <c r="B12303" s="130" t="n">
        <v>2028</v>
      </c>
      <c r="C12303" s="131" t="s">
        <v>257</v>
      </c>
      <c r="D12303" s="132" t="n">
        <v>46819</v>
      </c>
      <c r="E12303" s="131" t="s">
        <v>49</v>
      </c>
      <c r="F12303" s="133" t="s">
        <v>19</v>
      </c>
      <c r="G12303" s="134" t="n">
        <f aca="false">LEN('Saisie programme'!$E$464)+SUMIFS('Vols additionnels'!$E$7:$E$66,'Vols additionnels'!$C$7:$C$66,$E12303,'Vols additionnels'!$D$7:$D$66,$F12303,'Vols additionnels'!$B$7:$B$66,$D12303)</f>
        <v>0</v>
      </c>
      <c r="H12303" s="135" t="n">
        <f aca="false">$G12303*'Analyse capacite'!$F$8</f>
        <v>0</v>
      </c>
      <c r="I12303" s="135" t="n">
        <f aca="false">$G12303*'Analyse capacite'!$C$8</f>
        <v>0</v>
      </c>
      <c r="J12303" s="135" t="n">
        <f aca="false">$G12303*'Analyse capacite'!$D$8</f>
        <v>0</v>
      </c>
      <c r="K12303" s="135" t="n">
        <f aca="false">$G12303*'Analyse capacite'!$E$8</f>
        <v>0</v>
      </c>
    </row>
    <row r="12304" customFormat="false" ht="15" hidden="false" customHeight="false" outlineLevel="0" collapsed="false">
      <c r="B12304" s="130" t="n">
        <v>2028</v>
      </c>
      <c r="C12304" s="131" t="s">
        <v>257</v>
      </c>
      <c r="D12304" s="132" t="n">
        <v>46819</v>
      </c>
      <c r="E12304" s="131" t="s">
        <v>49</v>
      </c>
      <c r="F12304" s="133" t="s">
        <v>24</v>
      </c>
      <c r="G12304" s="134" t="n">
        <f aca="false">LEN('Saisie programme'!$E$465)+SUMIFS('Vols additionnels'!$E$7:$E$66,'Vols additionnels'!$C$7:$C$66,$E12304,'Vols additionnels'!$D$7:$D$66,$F12304,'Vols additionnels'!$B$7:$B$66,$D12304)</f>
        <v>0</v>
      </c>
      <c r="H12304" s="135" t="n">
        <f aca="false">$G12304*'Analyse capacite'!$F$9</f>
        <v>0</v>
      </c>
      <c r="I12304" s="135" t="n">
        <f aca="false">$G12304*'Analyse capacite'!$C$9</f>
        <v>0</v>
      </c>
      <c r="J12304" s="135" t="n">
        <f aca="false">$G12304*'Analyse capacite'!$D$9</f>
        <v>0</v>
      </c>
      <c r="K12304" s="135" t="n">
        <f aca="false">$G12304*'Analyse capacite'!$E$9</f>
        <v>0</v>
      </c>
    </row>
    <row r="12305" customFormat="false" ht="15" hidden="false" customHeight="false" outlineLevel="0" collapsed="false">
      <c r="B12305" s="130" t="n">
        <v>2028</v>
      </c>
      <c r="C12305" s="131" t="s">
        <v>257</v>
      </c>
      <c r="D12305" s="132" t="n">
        <v>46819</v>
      </c>
      <c r="E12305" s="131" t="s">
        <v>53</v>
      </c>
      <c r="F12305" s="133" t="s">
        <v>11</v>
      </c>
      <c r="G12305" s="134" t="n">
        <f aca="false">LEN('Saisie programme'!$E$466)+SUMIFS('Vols additionnels'!$E$7:$E$66,'Vols additionnels'!$C$7:$C$66,$E12305,'Vols additionnels'!$D$7:$D$66,$F12305,'Vols additionnels'!$B$7:$B$66,$D12305)</f>
        <v>0</v>
      </c>
      <c r="H12305" s="135" t="n">
        <f aca="false">$G12305*'Analyse capacite'!$F$7</f>
        <v>0</v>
      </c>
      <c r="I12305" s="135" t="n">
        <f aca="false">$G12305*'Analyse capacite'!$C$7</f>
        <v>0</v>
      </c>
      <c r="J12305" s="135" t="n">
        <f aca="false">$G12305*'Analyse capacite'!$D$7</f>
        <v>0</v>
      </c>
      <c r="K12305" s="135" t="n">
        <f aca="false">$G12305*'Analyse capacite'!$E$7</f>
        <v>0</v>
      </c>
    </row>
    <row r="12306" customFormat="false" ht="15" hidden="false" customHeight="false" outlineLevel="0" collapsed="false">
      <c r="B12306" s="130" t="n">
        <v>2028</v>
      </c>
      <c r="C12306" s="131" t="s">
        <v>257</v>
      </c>
      <c r="D12306" s="132" t="n">
        <v>46819</v>
      </c>
      <c r="E12306" s="131" t="s">
        <v>53</v>
      </c>
      <c r="F12306" s="133" t="s">
        <v>19</v>
      </c>
      <c r="G12306" s="134" t="n">
        <f aca="false">LEN('Saisie programme'!$E$467)+SUMIFS('Vols additionnels'!$E$7:$E$66,'Vols additionnels'!$C$7:$C$66,$E12306,'Vols additionnels'!$D$7:$D$66,$F12306,'Vols additionnels'!$B$7:$B$66,$D12306)</f>
        <v>0</v>
      </c>
      <c r="H12306" s="135" t="n">
        <f aca="false">$G12306*'Analyse capacite'!$F$8</f>
        <v>0</v>
      </c>
      <c r="I12306" s="135" t="n">
        <f aca="false">$G12306*'Analyse capacite'!$C$8</f>
        <v>0</v>
      </c>
      <c r="J12306" s="135" t="n">
        <f aca="false">$G12306*'Analyse capacite'!$D$8</f>
        <v>0</v>
      </c>
      <c r="K12306" s="135" t="n">
        <f aca="false">$G12306*'Analyse capacite'!$E$8</f>
        <v>0</v>
      </c>
    </row>
    <row r="12307" customFormat="false" ht="15" hidden="false" customHeight="false" outlineLevel="0" collapsed="false">
      <c r="B12307" s="130" t="n">
        <v>2028</v>
      </c>
      <c r="C12307" s="131" t="s">
        <v>257</v>
      </c>
      <c r="D12307" s="132" t="n">
        <v>46819</v>
      </c>
      <c r="E12307" s="131" t="s">
        <v>53</v>
      </c>
      <c r="F12307" s="133" t="s">
        <v>24</v>
      </c>
      <c r="G12307" s="134" t="n">
        <f aca="false">LEN('Saisie programme'!$E$468)+SUMIFS('Vols additionnels'!$E$7:$E$66,'Vols additionnels'!$C$7:$C$66,$E12307,'Vols additionnels'!$D$7:$D$66,$F12307,'Vols additionnels'!$B$7:$B$66,$D12307)</f>
        <v>0</v>
      </c>
      <c r="H12307" s="135" t="n">
        <f aca="false">$G12307*'Analyse capacite'!$F$9</f>
        <v>0</v>
      </c>
      <c r="I12307" s="135" t="n">
        <f aca="false">$G12307*'Analyse capacite'!$C$9</f>
        <v>0</v>
      </c>
      <c r="J12307" s="135" t="n">
        <f aca="false">$G12307*'Analyse capacite'!$D$9</f>
        <v>0</v>
      </c>
      <c r="K12307" s="135" t="n">
        <f aca="false">$G12307*'Analyse capacite'!$E$9</f>
        <v>0</v>
      </c>
    </row>
    <row r="12308" customFormat="false" ht="15" hidden="false" customHeight="false" outlineLevel="0" collapsed="false">
      <c r="B12308" s="130" t="n">
        <v>2028</v>
      </c>
      <c r="C12308" s="131" t="s">
        <v>257</v>
      </c>
      <c r="D12308" s="132" t="n">
        <v>46819</v>
      </c>
      <c r="E12308" s="131" t="s">
        <v>56</v>
      </c>
      <c r="F12308" s="133" t="s">
        <v>11</v>
      </c>
      <c r="G12308" s="134" t="n">
        <f aca="false">LEN('Saisie programme'!$E$469)+SUMIFS('Vols additionnels'!$E$7:$E$66,'Vols additionnels'!$C$7:$C$66,$E12308,'Vols additionnels'!$D$7:$D$66,$F12308,'Vols additionnels'!$B$7:$B$66,$D12308)</f>
        <v>0</v>
      </c>
      <c r="H12308" s="135" t="n">
        <f aca="false">$G12308*'Analyse capacite'!$F$7</f>
        <v>0</v>
      </c>
      <c r="I12308" s="135" t="n">
        <f aca="false">$G12308*'Analyse capacite'!$C$7</f>
        <v>0</v>
      </c>
      <c r="J12308" s="135" t="n">
        <f aca="false">$G12308*'Analyse capacite'!$D$7</f>
        <v>0</v>
      </c>
      <c r="K12308" s="135" t="n">
        <f aca="false">$G12308*'Analyse capacite'!$E$7</f>
        <v>0</v>
      </c>
    </row>
    <row r="12309" customFormat="false" ht="15" hidden="false" customHeight="false" outlineLevel="0" collapsed="false">
      <c r="B12309" s="130" t="n">
        <v>2028</v>
      </c>
      <c r="C12309" s="131" t="s">
        <v>257</v>
      </c>
      <c r="D12309" s="132" t="n">
        <v>46819</v>
      </c>
      <c r="E12309" s="131" t="s">
        <v>56</v>
      </c>
      <c r="F12309" s="133" t="s">
        <v>19</v>
      </c>
      <c r="G12309" s="134" t="n">
        <f aca="false">LEN('Saisie programme'!$E$470)+SUMIFS('Vols additionnels'!$E$7:$E$66,'Vols additionnels'!$C$7:$C$66,$E12309,'Vols additionnels'!$D$7:$D$66,$F12309,'Vols additionnels'!$B$7:$B$66,$D12309)</f>
        <v>0</v>
      </c>
      <c r="H12309" s="135" t="n">
        <f aca="false">$G12309*'Analyse capacite'!$F$8</f>
        <v>0</v>
      </c>
      <c r="I12309" s="135" t="n">
        <f aca="false">$G12309*'Analyse capacite'!$C$8</f>
        <v>0</v>
      </c>
      <c r="J12309" s="135" t="n">
        <f aca="false">$G12309*'Analyse capacite'!$D$8</f>
        <v>0</v>
      </c>
      <c r="K12309" s="135" t="n">
        <f aca="false">$G12309*'Analyse capacite'!$E$8</f>
        <v>0</v>
      </c>
    </row>
    <row r="12310" customFormat="false" ht="15" hidden="false" customHeight="false" outlineLevel="0" collapsed="false">
      <c r="B12310" s="130" t="n">
        <v>2028</v>
      </c>
      <c r="C12310" s="131" t="s">
        <v>257</v>
      </c>
      <c r="D12310" s="132" t="n">
        <v>46819</v>
      </c>
      <c r="E12310" s="131" t="s">
        <v>56</v>
      </c>
      <c r="F12310" s="133" t="s">
        <v>24</v>
      </c>
      <c r="G12310" s="134" t="n">
        <f aca="false">LEN('Saisie programme'!$E$471)+SUMIFS('Vols additionnels'!$E$7:$E$66,'Vols additionnels'!$C$7:$C$66,$E12310,'Vols additionnels'!$D$7:$D$66,$F12310,'Vols additionnels'!$B$7:$B$66,$D12310)</f>
        <v>1</v>
      </c>
      <c r="H12310" s="135" t="n">
        <f aca="false">$G12310*'Analyse capacite'!$F$9</f>
        <v>174</v>
      </c>
      <c r="I12310" s="135" t="n">
        <f aca="false">$G12310*'Analyse capacite'!$C$9</f>
        <v>0</v>
      </c>
      <c r="J12310" s="135" t="n">
        <f aca="false">$G12310*'Analyse capacite'!$D$9</f>
        <v>12</v>
      </c>
      <c r="K12310" s="135" t="n">
        <f aca="false">$G12310*'Analyse capacite'!$E$9</f>
        <v>162</v>
      </c>
    </row>
    <row r="12311" customFormat="false" ht="15" hidden="false" customHeight="false" outlineLevel="0" collapsed="false">
      <c r="B12311" s="130" t="n">
        <v>2028</v>
      </c>
      <c r="C12311" s="131" t="s">
        <v>257</v>
      </c>
      <c r="D12311" s="132" t="n">
        <v>46819</v>
      </c>
      <c r="E12311" s="131" t="s">
        <v>59</v>
      </c>
      <c r="F12311" s="133" t="s">
        <v>11</v>
      </c>
      <c r="G12311" s="134" t="n">
        <f aca="false">LEN('Saisie programme'!$E$472)+SUMIFS('Vols additionnels'!$E$7:$E$66,'Vols additionnels'!$C$7:$C$66,$E12311,'Vols additionnels'!$D$7:$D$66,$F12311,'Vols additionnels'!$B$7:$B$66,$D12311)</f>
        <v>0</v>
      </c>
      <c r="H12311" s="135" t="n">
        <f aca="false">$G12311*'Analyse capacite'!$F$7</f>
        <v>0</v>
      </c>
      <c r="I12311" s="135" t="n">
        <f aca="false">$G12311*'Analyse capacite'!$C$7</f>
        <v>0</v>
      </c>
      <c r="J12311" s="135" t="n">
        <f aca="false">$G12311*'Analyse capacite'!$D$7</f>
        <v>0</v>
      </c>
      <c r="K12311" s="135" t="n">
        <f aca="false">$G12311*'Analyse capacite'!$E$7</f>
        <v>0</v>
      </c>
    </row>
    <row r="12312" customFormat="false" ht="15" hidden="false" customHeight="false" outlineLevel="0" collapsed="false">
      <c r="B12312" s="130" t="n">
        <v>2028</v>
      </c>
      <c r="C12312" s="131" t="s">
        <v>257</v>
      </c>
      <c r="D12312" s="132" t="n">
        <v>46819</v>
      </c>
      <c r="E12312" s="131" t="s">
        <v>59</v>
      </c>
      <c r="F12312" s="133" t="s">
        <v>19</v>
      </c>
      <c r="G12312" s="134" t="n">
        <f aca="false">LEN('Saisie programme'!$E$473)+SUMIFS('Vols additionnels'!$E$7:$E$66,'Vols additionnels'!$C$7:$C$66,$E12312,'Vols additionnels'!$D$7:$D$66,$F12312,'Vols additionnels'!$B$7:$B$66,$D12312)</f>
        <v>0</v>
      </c>
      <c r="H12312" s="135" t="n">
        <f aca="false">$G12312*'Analyse capacite'!$F$8</f>
        <v>0</v>
      </c>
      <c r="I12312" s="135" t="n">
        <f aca="false">$G12312*'Analyse capacite'!$C$8</f>
        <v>0</v>
      </c>
      <c r="J12312" s="135" t="n">
        <f aca="false">$G12312*'Analyse capacite'!$D$8</f>
        <v>0</v>
      </c>
      <c r="K12312" s="135" t="n">
        <f aca="false">$G12312*'Analyse capacite'!$E$8</f>
        <v>0</v>
      </c>
    </row>
    <row r="12313" customFormat="false" ht="15" hidden="false" customHeight="false" outlineLevel="0" collapsed="false">
      <c r="B12313" s="130" t="n">
        <v>2028</v>
      </c>
      <c r="C12313" s="131" t="s">
        <v>257</v>
      </c>
      <c r="D12313" s="132" t="n">
        <v>46819</v>
      </c>
      <c r="E12313" s="131" t="s">
        <v>59</v>
      </c>
      <c r="F12313" s="133" t="s">
        <v>24</v>
      </c>
      <c r="G12313" s="134" t="n">
        <f aca="false">LEN('Saisie programme'!$E$474)+SUMIFS('Vols additionnels'!$E$7:$E$66,'Vols additionnels'!$C$7:$C$66,$E12313,'Vols additionnels'!$D$7:$D$66,$F12313,'Vols additionnels'!$B$7:$B$66,$D12313)</f>
        <v>1</v>
      </c>
      <c r="H12313" s="135" t="n">
        <f aca="false">$G12313*'Analyse capacite'!$F$9</f>
        <v>174</v>
      </c>
      <c r="I12313" s="135" t="n">
        <f aca="false">$G12313*'Analyse capacite'!$C$9</f>
        <v>0</v>
      </c>
      <c r="J12313" s="135" t="n">
        <f aca="false">$G12313*'Analyse capacite'!$D$9</f>
        <v>12</v>
      </c>
      <c r="K12313" s="135" t="n">
        <f aca="false">$G12313*'Analyse capacite'!$E$9</f>
        <v>162</v>
      </c>
    </row>
    <row r="12314" customFormat="false" ht="15" hidden="false" customHeight="false" outlineLevel="0" collapsed="false">
      <c r="B12314" s="130" t="n">
        <v>2028</v>
      </c>
      <c r="C12314" s="131" t="s">
        <v>257</v>
      </c>
      <c r="D12314" s="132" t="n">
        <v>46819</v>
      </c>
      <c r="E12314" s="131" t="s">
        <v>62</v>
      </c>
      <c r="F12314" s="133" t="s">
        <v>11</v>
      </c>
      <c r="G12314" s="134" t="n">
        <f aca="false">LEN('Saisie programme'!$E$475)+SUMIFS('Vols additionnels'!$E$7:$E$66,'Vols additionnels'!$C$7:$C$66,$E12314,'Vols additionnels'!$D$7:$D$66,$F12314,'Vols additionnels'!$B$7:$B$66,$D12314)</f>
        <v>0</v>
      </c>
      <c r="H12314" s="135" t="n">
        <f aca="false">$G12314*'Analyse capacite'!$F$7</f>
        <v>0</v>
      </c>
      <c r="I12314" s="135" t="n">
        <f aca="false">$G12314*'Analyse capacite'!$C$7</f>
        <v>0</v>
      </c>
      <c r="J12314" s="135" t="n">
        <f aca="false">$G12314*'Analyse capacite'!$D$7</f>
        <v>0</v>
      </c>
      <c r="K12314" s="135" t="n">
        <f aca="false">$G12314*'Analyse capacite'!$E$7</f>
        <v>0</v>
      </c>
    </row>
    <row r="12315" customFormat="false" ht="15" hidden="false" customHeight="false" outlineLevel="0" collapsed="false">
      <c r="B12315" s="130" t="n">
        <v>2028</v>
      </c>
      <c r="C12315" s="131" t="s">
        <v>257</v>
      </c>
      <c r="D12315" s="132" t="n">
        <v>46819</v>
      </c>
      <c r="E12315" s="131" t="s">
        <v>62</v>
      </c>
      <c r="F12315" s="133" t="s">
        <v>19</v>
      </c>
      <c r="G12315" s="134" t="n">
        <f aca="false">LEN('Saisie programme'!$E$476)+SUMIFS('Vols additionnels'!$E$7:$E$66,'Vols additionnels'!$C$7:$C$66,$E12315,'Vols additionnels'!$D$7:$D$66,$F12315,'Vols additionnels'!$B$7:$B$66,$D12315)</f>
        <v>0</v>
      </c>
      <c r="H12315" s="135" t="n">
        <f aca="false">$G12315*'Analyse capacite'!$F$8</f>
        <v>0</v>
      </c>
      <c r="I12315" s="135" t="n">
        <f aca="false">$G12315*'Analyse capacite'!$C$8</f>
        <v>0</v>
      </c>
      <c r="J12315" s="135" t="n">
        <f aca="false">$G12315*'Analyse capacite'!$D$8</f>
        <v>0</v>
      </c>
      <c r="K12315" s="135" t="n">
        <f aca="false">$G12315*'Analyse capacite'!$E$8</f>
        <v>0</v>
      </c>
    </row>
    <row r="12316" customFormat="false" ht="15" hidden="false" customHeight="false" outlineLevel="0" collapsed="false">
      <c r="B12316" s="130" t="n">
        <v>2028</v>
      </c>
      <c r="C12316" s="131" t="s">
        <v>257</v>
      </c>
      <c r="D12316" s="132" t="n">
        <v>46819</v>
      </c>
      <c r="E12316" s="131" t="s">
        <v>62</v>
      </c>
      <c r="F12316" s="133" t="s">
        <v>24</v>
      </c>
      <c r="G12316" s="134" t="n">
        <f aca="false">LEN('Saisie programme'!$E$477)+SUMIFS('Vols additionnels'!$E$7:$E$66,'Vols additionnels'!$C$7:$C$66,$E12316,'Vols additionnels'!$D$7:$D$66,$F12316,'Vols additionnels'!$B$7:$B$66,$D12316)</f>
        <v>0</v>
      </c>
      <c r="H12316" s="135" t="n">
        <f aca="false">$G12316*'Analyse capacite'!$F$9</f>
        <v>0</v>
      </c>
      <c r="I12316" s="135" t="n">
        <f aca="false">$G12316*'Analyse capacite'!$C$9</f>
        <v>0</v>
      </c>
      <c r="J12316" s="135" t="n">
        <f aca="false">$G12316*'Analyse capacite'!$D$9</f>
        <v>0</v>
      </c>
      <c r="K12316" s="135" t="n">
        <f aca="false">$G12316*'Analyse capacite'!$E$9</f>
        <v>0</v>
      </c>
    </row>
    <row r="12317" customFormat="false" ht="15" hidden="false" customHeight="false" outlineLevel="0" collapsed="false">
      <c r="B12317" s="130" t="n">
        <v>2028</v>
      </c>
      <c r="C12317" s="131" t="s">
        <v>257</v>
      </c>
      <c r="D12317" s="132" t="n">
        <v>46820</v>
      </c>
      <c r="E12317" s="131" t="s">
        <v>12</v>
      </c>
      <c r="F12317" s="133" t="s">
        <v>11</v>
      </c>
      <c r="G12317" s="134" t="n">
        <f aca="false">LEN('Saisie programme'!$F$442)+SUMIFS('Vols additionnels'!$E$7:$E$66,'Vols additionnels'!$C$7:$C$66,$E12317,'Vols additionnels'!$D$7:$D$66,$F12317,'Vols additionnels'!$B$7:$B$66,$D12317)</f>
        <v>1</v>
      </c>
      <c r="H12317" s="135" t="n">
        <f aca="false">$G12317*'Analyse capacite'!$F$7</f>
        <v>438</v>
      </c>
      <c r="I12317" s="135" t="n">
        <f aca="false">$G12317*'Analyse capacite'!$C$7</f>
        <v>14</v>
      </c>
      <c r="J12317" s="135" t="n">
        <f aca="false">$G12317*'Analyse capacite'!$D$7</f>
        <v>40</v>
      </c>
      <c r="K12317" s="135" t="n">
        <f aca="false">$G12317*'Analyse capacite'!$E$7</f>
        <v>384</v>
      </c>
    </row>
    <row r="12318" customFormat="false" ht="15" hidden="false" customHeight="false" outlineLevel="0" collapsed="false">
      <c r="B12318" s="130" t="n">
        <v>2028</v>
      </c>
      <c r="C12318" s="131" t="s">
        <v>257</v>
      </c>
      <c r="D12318" s="132" t="n">
        <v>46820</v>
      </c>
      <c r="E12318" s="131" t="s">
        <v>12</v>
      </c>
      <c r="F12318" s="133" t="s">
        <v>19</v>
      </c>
      <c r="G12318" s="134" t="n">
        <f aca="false">LEN('Saisie programme'!$F$443)+SUMIFS('Vols additionnels'!$E$7:$E$66,'Vols additionnels'!$C$7:$C$66,$E12318,'Vols additionnels'!$D$7:$D$66,$F12318,'Vols additionnels'!$B$7:$B$66,$D12318)</f>
        <v>0</v>
      </c>
      <c r="H12318" s="135" t="n">
        <f aca="false">$G12318*'Analyse capacite'!$F$8</f>
        <v>0</v>
      </c>
      <c r="I12318" s="135" t="n">
        <f aca="false">$G12318*'Analyse capacite'!$C$8</f>
        <v>0</v>
      </c>
      <c r="J12318" s="135" t="n">
        <f aca="false">$G12318*'Analyse capacite'!$D$8</f>
        <v>0</v>
      </c>
      <c r="K12318" s="135" t="n">
        <f aca="false">$G12318*'Analyse capacite'!$E$8</f>
        <v>0</v>
      </c>
    </row>
    <row r="12319" customFormat="false" ht="15" hidden="false" customHeight="false" outlineLevel="0" collapsed="false">
      <c r="B12319" s="130" t="n">
        <v>2028</v>
      </c>
      <c r="C12319" s="131" t="s">
        <v>257</v>
      </c>
      <c r="D12319" s="132" t="n">
        <v>46820</v>
      </c>
      <c r="E12319" s="131" t="s">
        <v>12</v>
      </c>
      <c r="F12319" s="133" t="s">
        <v>24</v>
      </c>
      <c r="G12319" s="134" t="n">
        <f aca="false">LEN('Saisie programme'!$F$444)+SUMIFS('Vols additionnels'!$E$7:$E$66,'Vols additionnels'!$C$7:$C$66,$E12319,'Vols additionnels'!$D$7:$D$66,$F12319,'Vols additionnels'!$B$7:$B$66,$D12319)</f>
        <v>0</v>
      </c>
      <c r="H12319" s="135" t="n">
        <f aca="false">$G12319*'Analyse capacite'!$F$9</f>
        <v>0</v>
      </c>
      <c r="I12319" s="135" t="n">
        <f aca="false">$G12319*'Analyse capacite'!$C$9</f>
        <v>0</v>
      </c>
      <c r="J12319" s="135" t="n">
        <f aca="false">$G12319*'Analyse capacite'!$D$9</f>
        <v>0</v>
      </c>
      <c r="K12319" s="135" t="n">
        <f aca="false">$G12319*'Analyse capacite'!$E$9</f>
        <v>0</v>
      </c>
    </row>
    <row r="12320" customFormat="false" ht="15" hidden="false" customHeight="false" outlineLevel="0" collapsed="false">
      <c r="B12320" s="130" t="n">
        <v>2028</v>
      </c>
      <c r="C12320" s="131" t="s">
        <v>257</v>
      </c>
      <c r="D12320" s="132" t="n">
        <v>46820</v>
      </c>
      <c r="E12320" s="131" t="s">
        <v>20</v>
      </c>
      <c r="F12320" s="133" t="s">
        <v>11</v>
      </c>
      <c r="G12320" s="134" t="n">
        <f aca="false">LEN('Saisie programme'!$F$445)+SUMIFS('Vols additionnels'!$E$7:$E$66,'Vols additionnels'!$C$7:$C$66,$E12320,'Vols additionnels'!$D$7:$D$66,$F12320,'Vols additionnels'!$B$7:$B$66,$D12320)</f>
        <v>0</v>
      </c>
      <c r="H12320" s="135" t="n">
        <f aca="false">$G12320*'Analyse capacite'!$F$7</f>
        <v>0</v>
      </c>
      <c r="I12320" s="135" t="n">
        <f aca="false">$G12320*'Analyse capacite'!$C$7</f>
        <v>0</v>
      </c>
      <c r="J12320" s="135" t="n">
        <f aca="false">$G12320*'Analyse capacite'!$D$7</f>
        <v>0</v>
      </c>
      <c r="K12320" s="135" t="n">
        <f aca="false">$G12320*'Analyse capacite'!$E$7</f>
        <v>0</v>
      </c>
    </row>
    <row r="12321" customFormat="false" ht="15" hidden="false" customHeight="false" outlineLevel="0" collapsed="false">
      <c r="B12321" s="130" t="n">
        <v>2028</v>
      </c>
      <c r="C12321" s="131" t="s">
        <v>257</v>
      </c>
      <c r="D12321" s="132" t="n">
        <v>46820</v>
      </c>
      <c r="E12321" s="131" t="s">
        <v>20</v>
      </c>
      <c r="F12321" s="133" t="s">
        <v>19</v>
      </c>
      <c r="G12321" s="134" t="n">
        <f aca="false">LEN('Saisie programme'!$F$446)+SUMIFS('Vols additionnels'!$E$7:$E$66,'Vols additionnels'!$C$7:$C$66,$E12321,'Vols additionnels'!$D$7:$D$66,$F12321,'Vols additionnels'!$B$7:$B$66,$D12321)</f>
        <v>0</v>
      </c>
      <c r="H12321" s="135" t="n">
        <f aca="false">$G12321*'Analyse capacite'!$F$8</f>
        <v>0</v>
      </c>
      <c r="I12321" s="135" t="n">
        <f aca="false">$G12321*'Analyse capacite'!$C$8</f>
        <v>0</v>
      </c>
      <c r="J12321" s="135" t="n">
        <f aca="false">$G12321*'Analyse capacite'!$D$8</f>
        <v>0</v>
      </c>
      <c r="K12321" s="135" t="n">
        <f aca="false">$G12321*'Analyse capacite'!$E$8</f>
        <v>0</v>
      </c>
    </row>
    <row r="12322" customFormat="false" ht="15" hidden="false" customHeight="false" outlineLevel="0" collapsed="false">
      <c r="B12322" s="130" t="n">
        <v>2028</v>
      </c>
      <c r="C12322" s="131" t="s">
        <v>257</v>
      </c>
      <c r="D12322" s="132" t="n">
        <v>46820</v>
      </c>
      <c r="E12322" s="131" t="s">
        <v>20</v>
      </c>
      <c r="F12322" s="133" t="s">
        <v>24</v>
      </c>
      <c r="G12322" s="134" t="n">
        <f aca="false">LEN('Saisie programme'!$F$447)+SUMIFS('Vols additionnels'!$E$7:$E$66,'Vols additionnels'!$C$7:$C$66,$E12322,'Vols additionnels'!$D$7:$D$66,$F12322,'Vols additionnels'!$B$7:$B$66,$D12322)</f>
        <v>0</v>
      </c>
      <c r="H12322" s="135" t="n">
        <f aca="false">$G12322*'Analyse capacite'!$F$9</f>
        <v>0</v>
      </c>
      <c r="I12322" s="135" t="n">
        <f aca="false">$G12322*'Analyse capacite'!$C$9</f>
        <v>0</v>
      </c>
      <c r="J12322" s="135" t="n">
        <f aca="false">$G12322*'Analyse capacite'!$D$9</f>
        <v>0</v>
      </c>
      <c r="K12322" s="135" t="n">
        <f aca="false">$G12322*'Analyse capacite'!$E$9</f>
        <v>0</v>
      </c>
    </row>
    <row r="12323" customFormat="false" ht="15" hidden="false" customHeight="false" outlineLevel="0" collapsed="false">
      <c r="B12323" s="130" t="n">
        <v>2028</v>
      </c>
      <c r="C12323" s="131" t="s">
        <v>257</v>
      </c>
      <c r="D12323" s="132" t="n">
        <v>46820</v>
      </c>
      <c r="E12323" s="131" t="s">
        <v>25</v>
      </c>
      <c r="F12323" s="133" t="s">
        <v>11</v>
      </c>
      <c r="G12323" s="134" t="n">
        <f aca="false">LEN('Saisie programme'!$F$448)+SUMIFS('Vols additionnels'!$E$7:$E$66,'Vols additionnels'!$C$7:$C$66,$E12323,'Vols additionnels'!$D$7:$D$66,$F12323,'Vols additionnels'!$B$7:$B$66,$D12323)</f>
        <v>0</v>
      </c>
      <c r="H12323" s="135" t="n">
        <f aca="false">$G12323*'Analyse capacite'!$F$7</f>
        <v>0</v>
      </c>
      <c r="I12323" s="135" t="n">
        <f aca="false">$G12323*'Analyse capacite'!$C$7</f>
        <v>0</v>
      </c>
      <c r="J12323" s="135" t="n">
        <f aca="false">$G12323*'Analyse capacite'!$D$7</f>
        <v>0</v>
      </c>
      <c r="K12323" s="135" t="n">
        <f aca="false">$G12323*'Analyse capacite'!$E$7</f>
        <v>0</v>
      </c>
    </row>
    <row r="12324" customFormat="false" ht="15" hidden="false" customHeight="false" outlineLevel="0" collapsed="false">
      <c r="B12324" s="130" t="n">
        <v>2028</v>
      </c>
      <c r="C12324" s="131" t="s">
        <v>257</v>
      </c>
      <c r="D12324" s="132" t="n">
        <v>46820</v>
      </c>
      <c r="E12324" s="131" t="s">
        <v>25</v>
      </c>
      <c r="F12324" s="133" t="s">
        <v>19</v>
      </c>
      <c r="G12324" s="134" t="n">
        <f aca="false">LEN('Saisie programme'!$F$449)+SUMIFS('Vols additionnels'!$E$7:$E$66,'Vols additionnels'!$C$7:$C$66,$E12324,'Vols additionnels'!$D$7:$D$66,$F12324,'Vols additionnels'!$B$7:$B$66,$D12324)</f>
        <v>1</v>
      </c>
      <c r="H12324" s="135" t="n">
        <f aca="false">$G12324*'Analyse capacite'!$F$8</f>
        <v>262</v>
      </c>
      <c r="I12324" s="135" t="n">
        <f aca="false">$G12324*'Analyse capacite'!$C$8</f>
        <v>18</v>
      </c>
      <c r="J12324" s="135" t="n">
        <f aca="false">$G12324*'Analyse capacite'!$D$8</f>
        <v>0</v>
      </c>
      <c r="K12324" s="135" t="n">
        <f aca="false">$G12324*'Analyse capacite'!$E$8</f>
        <v>244</v>
      </c>
    </row>
    <row r="12325" customFormat="false" ht="15" hidden="false" customHeight="false" outlineLevel="0" collapsed="false">
      <c r="B12325" s="130" t="n">
        <v>2028</v>
      </c>
      <c r="C12325" s="131" t="s">
        <v>257</v>
      </c>
      <c r="D12325" s="132" t="n">
        <v>46820</v>
      </c>
      <c r="E12325" s="131" t="s">
        <v>25</v>
      </c>
      <c r="F12325" s="133" t="s">
        <v>24</v>
      </c>
      <c r="G12325" s="134" t="n">
        <f aca="false">LEN('Saisie programme'!$F$450)+SUMIFS('Vols additionnels'!$E$7:$E$66,'Vols additionnels'!$C$7:$C$66,$E12325,'Vols additionnels'!$D$7:$D$66,$F12325,'Vols additionnels'!$B$7:$B$66,$D12325)</f>
        <v>0</v>
      </c>
      <c r="H12325" s="135" t="n">
        <f aca="false">$G12325*'Analyse capacite'!$F$9</f>
        <v>0</v>
      </c>
      <c r="I12325" s="135" t="n">
        <f aca="false">$G12325*'Analyse capacite'!$C$9</f>
        <v>0</v>
      </c>
      <c r="J12325" s="135" t="n">
        <f aca="false">$G12325*'Analyse capacite'!$D$9</f>
        <v>0</v>
      </c>
      <c r="K12325" s="135" t="n">
        <f aca="false">$G12325*'Analyse capacite'!$E$9</f>
        <v>0</v>
      </c>
    </row>
    <row r="12326" customFormat="false" ht="15" hidden="false" customHeight="false" outlineLevel="0" collapsed="false">
      <c r="B12326" s="130" t="n">
        <v>2028</v>
      </c>
      <c r="C12326" s="131" t="s">
        <v>257</v>
      </c>
      <c r="D12326" s="132" t="n">
        <v>46820</v>
      </c>
      <c r="E12326" s="131" t="s">
        <v>36</v>
      </c>
      <c r="F12326" s="133" t="s">
        <v>11</v>
      </c>
      <c r="G12326" s="134" t="n">
        <f aca="false">LEN('Saisie programme'!$F$451)+SUMIFS('Vols additionnels'!$E$7:$E$66,'Vols additionnels'!$C$7:$C$66,$E12326,'Vols additionnels'!$D$7:$D$66,$F12326,'Vols additionnels'!$B$7:$B$66,$D12326)</f>
        <v>0</v>
      </c>
      <c r="H12326" s="135" t="n">
        <f aca="false">$G12326*'Analyse capacite'!$F$7</f>
        <v>0</v>
      </c>
      <c r="I12326" s="135" t="n">
        <f aca="false">$G12326*'Analyse capacite'!$C$7</f>
        <v>0</v>
      </c>
      <c r="J12326" s="135" t="n">
        <f aca="false">$G12326*'Analyse capacite'!$D$7</f>
        <v>0</v>
      </c>
      <c r="K12326" s="135" t="n">
        <f aca="false">$G12326*'Analyse capacite'!$E$7</f>
        <v>0</v>
      </c>
    </row>
    <row r="12327" customFormat="false" ht="15" hidden="false" customHeight="false" outlineLevel="0" collapsed="false">
      <c r="B12327" s="130" t="n">
        <v>2028</v>
      </c>
      <c r="C12327" s="131" t="s">
        <v>257</v>
      </c>
      <c r="D12327" s="132" t="n">
        <v>46820</v>
      </c>
      <c r="E12327" s="131" t="s">
        <v>36</v>
      </c>
      <c r="F12327" s="133" t="s">
        <v>19</v>
      </c>
      <c r="G12327" s="134" t="n">
        <f aca="false">LEN('Saisie programme'!$F$452)+SUMIFS('Vols additionnels'!$E$7:$E$66,'Vols additionnels'!$C$7:$C$66,$E12327,'Vols additionnels'!$D$7:$D$66,$F12327,'Vols additionnels'!$B$7:$B$66,$D12327)</f>
        <v>1</v>
      </c>
      <c r="H12327" s="135" t="n">
        <f aca="false">$G12327*'Analyse capacite'!$F$8</f>
        <v>262</v>
      </c>
      <c r="I12327" s="135" t="n">
        <f aca="false">$G12327*'Analyse capacite'!$C$8</f>
        <v>18</v>
      </c>
      <c r="J12327" s="135" t="n">
        <f aca="false">$G12327*'Analyse capacite'!$D$8</f>
        <v>0</v>
      </c>
      <c r="K12327" s="135" t="n">
        <f aca="false">$G12327*'Analyse capacite'!$E$8</f>
        <v>244</v>
      </c>
    </row>
    <row r="12328" customFormat="false" ht="15" hidden="false" customHeight="false" outlineLevel="0" collapsed="false">
      <c r="B12328" s="130" t="n">
        <v>2028</v>
      </c>
      <c r="C12328" s="131" t="s">
        <v>257</v>
      </c>
      <c r="D12328" s="132" t="n">
        <v>46820</v>
      </c>
      <c r="E12328" s="131" t="s">
        <v>36</v>
      </c>
      <c r="F12328" s="133" t="s">
        <v>24</v>
      </c>
      <c r="G12328" s="134" t="n">
        <f aca="false">LEN('Saisie programme'!$F$453)+SUMIFS('Vols additionnels'!$E$7:$E$66,'Vols additionnels'!$C$7:$C$66,$E12328,'Vols additionnels'!$D$7:$D$66,$F12328,'Vols additionnels'!$B$7:$B$66,$D12328)</f>
        <v>1</v>
      </c>
      <c r="H12328" s="135" t="n">
        <f aca="false">$G12328*'Analyse capacite'!$F$9</f>
        <v>174</v>
      </c>
      <c r="I12328" s="135" t="n">
        <f aca="false">$G12328*'Analyse capacite'!$C$9</f>
        <v>0</v>
      </c>
      <c r="J12328" s="135" t="n">
        <f aca="false">$G12328*'Analyse capacite'!$D$9</f>
        <v>12</v>
      </c>
      <c r="K12328" s="135" t="n">
        <f aca="false">$G12328*'Analyse capacite'!$E$9</f>
        <v>162</v>
      </c>
    </row>
    <row r="12329" customFormat="false" ht="15" hidden="false" customHeight="false" outlineLevel="0" collapsed="false">
      <c r="B12329" s="130" t="n">
        <v>2028</v>
      </c>
      <c r="C12329" s="131" t="s">
        <v>257</v>
      </c>
      <c r="D12329" s="132" t="n">
        <v>46820</v>
      </c>
      <c r="E12329" s="131" t="s">
        <v>40</v>
      </c>
      <c r="F12329" s="133" t="s">
        <v>11</v>
      </c>
      <c r="G12329" s="134" t="n">
        <f aca="false">LEN('Saisie programme'!$F$454)+SUMIFS('Vols additionnels'!$E$7:$E$66,'Vols additionnels'!$C$7:$C$66,$E12329,'Vols additionnels'!$D$7:$D$66,$F12329,'Vols additionnels'!$B$7:$B$66,$D12329)</f>
        <v>0</v>
      </c>
      <c r="H12329" s="135" t="n">
        <f aca="false">$G12329*'Analyse capacite'!$F$7</f>
        <v>0</v>
      </c>
      <c r="I12329" s="135" t="n">
        <f aca="false">$G12329*'Analyse capacite'!$C$7</f>
        <v>0</v>
      </c>
      <c r="J12329" s="135" t="n">
        <f aca="false">$G12329*'Analyse capacite'!$D$7</f>
        <v>0</v>
      </c>
      <c r="K12329" s="135" t="n">
        <f aca="false">$G12329*'Analyse capacite'!$E$7</f>
        <v>0</v>
      </c>
    </row>
    <row r="12330" customFormat="false" ht="15" hidden="false" customHeight="false" outlineLevel="0" collapsed="false">
      <c r="B12330" s="130" t="n">
        <v>2028</v>
      </c>
      <c r="C12330" s="131" t="s">
        <v>257</v>
      </c>
      <c r="D12330" s="132" t="n">
        <v>46820</v>
      </c>
      <c r="E12330" s="131" t="s">
        <v>40</v>
      </c>
      <c r="F12330" s="133" t="s">
        <v>19</v>
      </c>
      <c r="G12330" s="134" t="n">
        <f aca="false">LEN('Saisie programme'!$F$455)+SUMIFS('Vols additionnels'!$E$7:$E$66,'Vols additionnels'!$C$7:$C$66,$E12330,'Vols additionnels'!$D$7:$D$66,$F12330,'Vols additionnels'!$B$7:$B$66,$D12330)</f>
        <v>0</v>
      </c>
      <c r="H12330" s="135" t="n">
        <f aca="false">$G12330*'Analyse capacite'!$F$8</f>
        <v>0</v>
      </c>
      <c r="I12330" s="135" t="n">
        <f aca="false">$G12330*'Analyse capacite'!$C$8</f>
        <v>0</v>
      </c>
      <c r="J12330" s="135" t="n">
        <f aca="false">$G12330*'Analyse capacite'!$D$8</f>
        <v>0</v>
      </c>
      <c r="K12330" s="135" t="n">
        <f aca="false">$G12330*'Analyse capacite'!$E$8</f>
        <v>0</v>
      </c>
    </row>
    <row r="12331" customFormat="false" ht="15" hidden="false" customHeight="false" outlineLevel="0" collapsed="false">
      <c r="B12331" s="130" t="n">
        <v>2028</v>
      </c>
      <c r="C12331" s="131" t="s">
        <v>257</v>
      </c>
      <c r="D12331" s="132" t="n">
        <v>46820</v>
      </c>
      <c r="E12331" s="131" t="s">
        <v>40</v>
      </c>
      <c r="F12331" s="133" t="s">
        <v>24</v>
      </c>
      <c r="G12331" s="134" t="n">
        <f aca="false">LEN('Saisie programme'!$F$456)+SUMIFS('Vols additionnels'!$E$7:$E$66,'Vols additionnels'!$C$7:$C$66,$E12331,'Vols additionnels'!$D$7:$D$66,$F12331,'Vols additionnels'!$B$7:$B$66,$D12331)</f>
        <v>1</v>
      </c>
      <c r="H12331" s="135" t="n">
        <f aca="false">$G12331*'Analyse capacite'!$F$9</f>
        <v>174</v>
      </c>
      <c r="I12331" s="135" t="n">
        <f aca="false">$G12331*'Analyse capacite'!$C$9</f>
        <v>0</v>
      </c>
      <c r="J12331" s="135" t="n">
        <f aca="false">$G12331*'Analyse capacite'!$D$9</f>
        <v>12</v>
      </c>
      <c r="K12331" s="135" t="n">
        <f aca="false">$G12331*'Analyse capacite'!$E$9</f>
        <v>162</v>
      </c>
    </row>
    <row r="12332" customFormat="false" ht="15" hidden="false" customHeight="false" outlineLevel="0" collapsed="false">
      <c r="B12332" s="130" t="n">
        <v>2028</v>
      </c>
      <c r="C12332" s="131" t="s">
        <v>257</v>
      </c>
      <c r="D12332" s="132" t="n">
        <v>46820</v>
      </c>
      <c r="E12332" s="131" t="s">
        <v>14</v>
      </c>
      <c r="F12332" s="133" t="s">
        <v>11</v>
      </c>
      <c r="G12332" s="134" t="n">
        <f aca="false">LEN('Saisie programme'!$F$457)+SUMIFS('Vols additionnels'!$E$7:$E$66,'Vols additionnels'!$C$7:$C$66,$E12332,'Vols additionnels'!$D$7:$D$66,$F12332,'Vols additionnels'!$B$7:$B$66,$D12332)</f>
        <v>0</v>
      </c>
      <c r="H12332" s="135" t="n">
        <f aca="false">$G12332*'Analyse capacite'!$F$7</f>
        <v>0</v>
      </c>
      <c r="I12332" s="135" t="n">
        <f aca="false">$G12332*'Analyse capacite'!$C$7</f>
        <v>0</v>
      </c>
      <c r="J12332" s="135" t="n">
        <f aca="false">$G12332*'Analyse capacite'!$D$7</f>
        <v>0</v>
      </c>
      <c r="K12332" s="135" t="n">
        <f aca="false">$G12332*'Analyse capacite'!$E$7</f>
        <v>0</v>
      </c>
    </row>
    <row r="12333" customFormat="false" ht="15" hidden="false" customHeight="false" outlineLevel="0" collapsed="false">
      <c r="B12333" s="130" t="n">
        <v>2028</v>
      </c>
      <c r="C12333" s="131" t="s">
        <v>257</v>
      </c>
      <c r="D12333" s="132" t="n">
        <v>46820</v>
      </c>
      <c r="E12333" s="131" t="s">
        <v>14</v>
      </c>
      <c r="F12333" s="133" t="s">
        <v>19</v>
      </c>
      <c r="G12333" s="134" t="n">
        <f aca="false">LEN('Saisie programme'!$F$458)+SUMIFS('Vols additionnels'!$E$7:$E$66,'Vols additionnels'!$C$7:$C$66,$E12333,'Vols additionnels'!$D$7:$D$66,$F12333,'Vols additionnels'!$B$7:$B$66,$D12333)</f>
        <v>0</v>
      </c>
      <c r="H12333" s="135" t="n">
        <f aca="false">$G12333*'Analyse capacite'!$F$8</f>
        <v>0</v>
      </c>
      <c r="I12333" s="135" t="n">
        <f aca="false">$G12333*'Analyse capacite'!$C$8</f>
        <v>0</v>
      </c>
      <c r="J12333" s="135" t="n">
        <f aca="false">$G12333*'Analyse capacite'!$D$8</f>
        <v>0</v>
      </c>
      <c r="K12333" s="135" t="n">
        <f aca="false">$G12333*'Analyse capacite'!$E$8</f>
        <v>0</v>
      </c>
    </row>
    <row r="12334" customFormat="false" ht="15" hidden="false" customHeight="false" outlineLevel="0" collapsed="false">
      <c r="B12334" s="130" t="n">
        <v>2028</v>
      </c>
      <c r="C12334" s="131" t="s">
        <v>257</v>
      </c>
      <c r="D12334" s="132" t="n">
        <v>46820</v>
      </c>
      <c r="E12334" s="131" t="s">
        <v>14</v>
      </c>
      <c r="F12334" s="133" t="s">
        <v>24</v>
      </c>
      <c r="G12334" s="134" t="n">
        <f aca="false">LEN('Saisie programme'!$F$459)+SUMIFS('Vols additionnels'!$E$7:$E$66,'Vols additionnels'!$C$7:$C$66,$E12334,'Vols additionnels'!$D$7:$D$66,$F12334,'Vols additionnels'!$B$7:$B$66,$D12334)</f>
        <v>0</v>
      </c>
      <c r="H12334" s="135" t="n">
        <f aca="false">$G12334*'Analyse capacite'!$F$9</f>
        <v>0</v>
      </c>
      <c r="I12334" s="135" t="n">
        <f aca="false">$G12334*'Analyse capacite'!$C$9</f>
        <v>0</v>
      </c>
      <c r="J12334" s="135" t="n">
        <f aca="false">$G12334*'Analyse capacite'!$D$9</f>
        <v>0</v>
      </c>
      <c r="K12334" s="135" t="n">
        <f aca="false">$G12334*'Analyse capacite'!$E$9</f>
        <v>0</v>
      </c>
    </row>
    <row r="12335" customFormat="false" ht="15" hidden="false" customHeight="false" outlineLevel="0" collapsed="false">
      <c r="B12335" s="130" t="n">
        <v>2028</v>
      </c>
      <c r="C12335" s="131" t="s">
        <v>257</v>
      </c>
      <c r="D12335" s="132" t="n">
        <v>46820</v>
      </c>
      <c r="E12335" s="131" t="s">
        <v>46</v>
      </c>
      <c r="F12335" s="133" t="s">
        <v>11</v>
      </c>
      <c r="G12335" s="134" t="n">
        <f aca="false">LEN('Saisie programme'!$F$460)+SUMIFS('Vols additionnels'!$E$7:$E$66,'Vols additionnels'!$C$7:$C$66,$E12335,'Vols additionnels'!$D$7:$D$66,$F12335,'Vols additionnels'!$B$7:$B$66,$D12335)</f>
        <v>0</v>
      </c>
      <c r="H12335" s="135" t="n">
        <f aca="false">$G12335*'Analyse capacite'!$F$7</f>
        <v>0</v>
      </c>
      <c r="I12335" s="135" t="n">
        <f aca="false">$G12335*'Analyse capacite'!$C$7</f>
        <v>0</v>
      </c>
      <c r="J12335" s="135" t="n">
        <f aca="false">$G12335*'Analyse capacite'!$D$7</f>
        <v>0</v>
      </c>
      <c r="K12335" s="135" t="n">
        <f aca="false">$G12335*'Analyse capacite'!$E$7</f>
        <v>0</v>
      </c>
    </row>
    <row r="12336" customFormat="false" ht="15" hidden="false" customHeight="false" outlineLevel="0" collapsed="false">
      <c r="B12336" s="130" t="n">
        <v>2028</v>
      </c>
      <c r="C12336" s="131" t="s">
        <v>257</v>
      </c>
      <c r="D12336" s="132" t="n">
        <v>46820</v>
      </c>
      <c r="E12336" s="131" t="s">
        <v>46</v>
      </c>
      <c r="F12336" s="133" t="s">
        <v>19</v>
      </c>
      <c r="G12336" s="134" t="n">
        <f aca="false">LEN('Saisie programme'!$F$461)+SUMIFS('Vols additionnels'!$E$7:$E$66,'Vols additionnels'!$C$7:$C$66,$E12336,'Vols additionnels'!$D$7:$D$66,$F12336,'Vols additionnels'!$B$7:$B$66,$D12336)</f>
        <v>0</v>
      </c>
      <c r="H12336" s="135" t="n">
        <f aca="false">$G12336*'Analyse capacite'!$F$8</f>
        <v>0</v>
      </c>
      <c r="I12336" s="135" t="n">
        <f aca="false">$G12336*'Analyse capacite'!$C$8</f>
        <v>0</v>
      </c>
      <c r="J12336" s="135" t="n">
        <f aca="false">$G12336*'Analyse capacite'!$D$8</f>
        <v>0</v>
      </c>
      <c r="K12336" s="135" t="n">
        <f aca="false">$G12336*'Analyse capacite'!$E$8</f>
        <v>0</v>
      </c>
    </row>
    <row r="12337" customFormat="false" ht="15" hidden="false" customHeight="false" outlineLevel="0" collapsed="false">
      <c r="B12337" s="130" t="n">
        <v>2028</v>
      </c>
      <c r="C12337" s="131" t="s">
        <v>257</v>
      </c>
      <c r="D12337" s="132" t="n">
        <v>46820</v>
      </c>
      <c r="E12337" s="131" t="s">
        <v>46</v>
      </c>
      <c r="F12337" s="133" t="s">
        <v>24</v>
      </c>
      <c r="G12337" s="134" t="n">
        <f aca="false">LEN('Saisie programme'!$F$462)+SUMIFS('Vols additionnels'!$E$7:$E$66,'Vols additionnels'!$C$7:$C$66,$E12337,'Vols additionnels'!$D$7:$D$66,$F12337,'Vols additionnels'!$B$7:$B$66,$D12337)</f>
        <v>0</v>
      </c>
      <c r="H12337" s="135" t="n">
        <f aca="false">$G12337*'Analyse capacite'!$F$9</f>
        <v>0</v>
      </c>
      <c r="I12337" s="135" t="n">
        <f aca="false">$G12337*'Analyse capacite'!$C$9</f>
        <v>0</v>
      </c>
      <c r="J12337" s="135" t="n">
        <f aca="false">$G12337*'Analyse capacite'!$D$9</f>
        <v>0</v>
      </c>
      <c r="K12337" s="135" t="n">
        <f aca="false">$G12337*'Analyse capacite'!$E$9</f>
        <v>0</v>
      </c>
    </row>
    <row r="12338" customFormat="false" ht="15" hidden="false" customHeight="false" outlineLevel="0" collapsed="false">
      <c r="B12338" s="130" t="n">
        <v>2028</v>
      </c>
      <c r="C12338" s="131" t="s">
        <v>257</v>
      </c>
      <c r="D12338" s="132" t="n">
        <v>46820</v>
      </c>
      <c r="E12338" s="131" t="s">
        <v>49</v>
      </c>
      <c r="F12338" s="133" t="s">
        <v>11</v>
      </c>
      <c r="G12338" s="134" t="n">
        <f aca="false">LEN('Saisie programme'!$F$463)+SUMIFS('Vols additionnels'!$E$7:$E$66,'Vols additionnels'!$C$7:$C$66,$E12338,'Vols additionnels'!$D$7:$D$66,$F12338,'Vols additionnels'!$B$7:$B$66,$D12338)</f>
        <v>0</v>
      </c>
      <c r="H12338" s="135" t="n">
        <f aca="false">$G12338*'Analyse capacite'!$F$7</f>
        <v>0</v>
      </c>
      <c r="I12338" s="135" t="n">
        <f aca="false">$G12338*'Analyse capacite'!$C$7</f>
        <v>0</v>
      </c>
      <c r="J12338" s="135" t="n">
        <f aca="false">$G12338*'Analyse capacite'!$D$7</f>
        <v>0</v>
      </c>
      <c r="K12338" s="135" t="n">
        <f aca="false">$G12338*'Analyse capacite'!$E$7</f>
        <v>0</v>
      </c>
    </row>
    <row r="12339" customFormat="false" ht="15" hidden="false" customHeight="false" outlineLevel="0" collapsed="false">
      <c r="B12339" s="130" t="n">
        <v>2028</v>
      </c>
      <c r="C12339" s="131" t="s">
        <v>257</v>
      </c>
      <c r="D12339" s="132" t="n">
        <v>46820</v>
      </c>
      <c r="E12339" s="131" t="s">
        <v>49</v>
      </c>
      <c r="F12339" s="133" t="s">
        <v>19</v>
      </c>
      <c r="G12339" s="134" t="n">
        <f aca="false">LEN('Saisie programme'!$F$464)+SUMIFS('Vols additionnels'!$E$7:$E$66,'Vols additionnels'!$C$7:$C$66,$E12339,'Vols additionnels'!$D$7:$D$66,$F12339,'Vols additionnels'!$B$7:$B$66,$D12339)</f>
        <v>0</v>
      </c>
      <c r="H12339" s="135" t="n">
        <f aca="false">$G12339*'Analyse capacite'!$F$8</f>
        <v>0</v>
      </c>
      <c r="I12339" s="135" t="n">
        <f aca="false">$G12339*'Analyse capacite'!$C$8</f>
        <v>0</v>
      </c>
      <c r="J12339" s="135" t="n">
        <f aca="false">$G12339*'Analyse capacite'!$D$8</f>
        <v>0</v>
      </c>
      <c r="K12339" s="135" t="n">
        <f aca="false">$G12339*'Analyse capacite'!$E$8</f>
        <v>0</v>
      </c>
    </row>
    <row r="12340" customFormat="false" ht="15" hidden="false" customHeight="false" outlineLevel="0" collapsed="false">
      <c r="B12340" s="130" t="n">
        <v>2028</v>
      </c>
      <c r="C12340" s="131" t="s">
        <v>257</v>
      </c>
      <c r="D12340" s="132" t="n">
        <v>46820</v>
      </c>
      <c r="E12340" s="131" t="s">
        <v>49</v>
      </c>
      <c r="F12340" s="133" t="s">
        <v>24</v>
      </c>
      <c r="G12340" s="134" t="n">
        <f aca="false">LEN('Saisie programme'!$F$465)+SUMIFS('Vols additionnels'!$E$7:$E$66,'Vols additionnels'!$C$7:$C$66,$E12340,'Vols additionnels'!$D$7:$D$66,$F12340,'Vols additionnels'!$B$7:$B$66,$D12340)</f>
        <v>0</v>
      </c>
      <c r="H12340" s="135" t="n">
        <f aca="false">$G12340*'Analyse capacite'!$F$9</f>
        <v>0</v>
      </c>
      <c r="I12340" s="135" t="n">
        <f aca="false">$G12340*'Analyse capacite'!$C$9</f>
        <v>0</v>
      </c>
      <c r="J12340" s="135" t="n">
        <f aca="false">$G12340*'Analyse capacite'!$D$9</f>
        <v>0</v>
      </c>
      <c r="K12340" s="135" t="n">
        <f aca="false">$G12340*'Analyse capacite'!$E$9</f>
        <v>0</v>
      </c>
    </row>
    <row r="12341" customFormat="false" ht="15" hidden="false" customHeight="false" outlineLevel="0" collapsed="false">
      <c r="B12341" s="130" t="n">
        <v>2028</v>
      </c>
      <c r="C12341" s="131" t="s">
        <v>257</v>
      </c>
      <c r="D12341" s="132" t="n">
        <v>46820</v>
      </c>
      <c r="E12341" s="131" t="s">
        <v>53</v>
      </c>
      <c r="F12341" s="133" t="s">
        <v>11</v>
      </c>
      <c r="G12341" s="134" t="n">
        <f aca="false">LEN('Saisie programme'!$F$466)+SUMIFS('Vols additionnels'!$E$7:$E$66,'Vols additionnels'!$C$7:$C$66,$E12341,'Vols additionnels'!$D$7:$D$66,$F12341,'Vols additionnels'!$B$7:$B$66,$D12341)</f>
        <v>0</v>
      </c>
      <c r="H12341" s="135" t="n">
        <f aca="false">$G12341*'Analyse capacite'!$F$7</f>
        <v>0</v>
      </c>
      <c r="I12341" s="135" t="n">
        <f aca="false">$G12341*'Analyse capacite'!$C$7</f>
        <v>0</v>
      </c>
      <c r="J12341" s="135" t="n">
        <f aca="false">$G12341*'Analyse capacite'!$D$7</f>
        <v>0</v>
      </c>
      <c r="K12341" s="135" t="n">
        <f aca="false">$G12341*'Analyse capacite'!$E$7</f>
        <v>0</v>
      </c>
    </row>
    <row r="12342" customFormat="false" ht="15" hidden="false" customHeight="false" outlineLevel="0" collapsed="false">
      <c r="B12342" s="130" t="n">
        <v>2028</v>
      </c>
      <c r="C12342" s="131" t="s">
        <v>257</v>
      </c>
      <c r="D12342" s="132" t="n">
        <v>46820</v>
      </c>
      <c r="E12342" s="131" t="s">
        <v>53</v>
      </c>
      <c r="F12342" s="133" t="s">
        <v>19</v>
      </c>
      <c r="G12342" s="134" t="n">
        <f aca="false">LEN('Saisie programme'!$F$467)+SUMIFS('Vols additionnels'!$E$7:$E$66,'Vols additionnels'!$C$7:$C$66,$E12342,'Vols additionnels'!$D$7:$D$66,$F12342,'Vols additionnels'!$B$7:$B$66,$D12342)</f>
        <v>0</v>
      </c>
      <c r="H12342" s="135" t="n">
        <f aca="false">$G12342*'Analyse capacite'!$F$8</f>
        <v>0</v>
      </c>
      <c r="I12342" s="135" t="n">
        <f aca="false">$G12342*'Analyse capacite'!$C$8</f>
        <v>0</v>
      </c>
      <c r="J12342" s="135" t="n">
        <f aca="false">$G12342*'Analyse capacite'!$D$8</f>
        <v>0</v>
      </c>
      <c r="K12342" s="135" t="n">
        <f aca="false">$G12342*'Analyse capacite'!$E$8</f>
        <v>0</v>
      </c>
    </row>
    <row r="12343" customFormat="false" ht="15" hidden="false" customHeight="false" outlineLevel="0" collapsed="false">
      <c r="B12343" s="130" t="n">
        <v>2028</v>
      </c>
      <c r="C12343" s="131" t="s">
        <v>257</v>
      </c>
      <c r="D12343" s="132" t="n">
        <v>46820</v>
      </c>
      <c r="E12343" s="131" t="s">
        <v>53</v>
      </c>
      <c r="F12343" s="133" t="s">
        <v>24</v>
      </c>
      <c r="G12343" s="134" t="n">
        <f aca="false">LEN('Saisie programme'!$F$468)+SUMIFS('Vols additionnels'!$E$7:$E$66,'Vols additionnels'!$C$7:$C$66,$E12343,'Vols additionnels'!$D$7:$D$66,$F12343,'Vols additionnels'!$B$7:$B$66,$D12343)</f>
        <v>0</v>
      </c>
      <c r="H12343" s="135" t="n">
        <f aca="false">$G12343*'Analyse capacite'!$F$9</f>
        <v>0</v>
      </c>
      <c r="I12343" s="135" t="n">
        <f aca="false">$G12343*'Analyse capacite'!$C$9</f>
        <v>0</v>
      </c>
      <c r="J12343" s="135" t="n">
        <f aca="false">$G12343*'Analyse capacite'!$D$9</f>
        <v>0</v>
      </c>
      <c r="K12343" s="135" t="n">
        <f aca="false">$G12343*'Analyse capacite'!$E$9</f>
        <v>0</v>
      </c>
    </row>
    <row r="12344" customFormat="false" ht="15" hidden="false" customHeight="false" outlineLevel="0" collapsed="false">
      <c r="B12344" s="130" t="n">
        <v>2028</v>
      </c>
      <c r="C12344" s="131" t="s">
        <v>257</v>
      </c>
      <c r="D12344" s="132" t="n">
        <v>46820</v>
      </c>
      <c r="E12344" s="131" t="s">
        <v>56</v>
      </c>
      <c r="F12344" s="133" t="s">
        <v>11</v>
      </c>
      <c r="G12344" s="134" t="n">
        <f aca="false">LEN('Saisie programme'!$F$469)+SUMIFS('Vols additionnels'!$E$7:$E$66,'Vols additionnels'!$C$7:$C$66,$E12344,'Vols additionnels'!$D$7:$D$66,$F12344,'Vols additionnels'!$B$7:$B$66,$D12344)</f>
        <v>0</v>
      </c>
      <c r="H12344" s="135" t="n">
        <f aca="false">$G12344*'Analyse capacite'!$F$7</f>
        <v>0</v>
      </c>
      <c r="I12344" s="135" t="n">
        <f aca="false">$G12344*'Analyse capacite'!$C$7</f>
        <v>0</v>
      </c>
      <c r="J12344" s="135" t="n">
        <f aca="false">$G12344*'Analyse capacite'!$D$7</f>
        <v>0</v>
      </c>
      <c r="K12344" s="135" t="n">
        <f aca="false">$G12344*'Analyse capacite'!$E$7</f>
        <v>0</v>
      </c>
    </row>
    <row r="12345" customFormat="false" ht="15" hidden="false" customHeight="false" outlineLevel="0" collapsed="false">
      <c r="B12345" s="130" t="n">
        <v>2028</v>
      </c>
      <c r="C12345" s="131" t="s">
        <v>257</v>
      </c>
      <c r="D12345" s="132" t="n">
        <v>46820</v>
      </c>
      <c r="E12345" s="131" t="s">
        <v>56</v>
      </c>
      <c r="F12345" s="133" t="s">
        <v>19</v>
      </c>
      <c r="G12345" s="134" t="n">
        <f aca="false">LEN('Saisie programme'!$F$470)+SUMIFS('Vols additionnels'!$E$7:$E$66,'Vols additionnels'!$C$7:$C$66,$E12345,'Vols additionnels'!$D$7:$D$66,$F12345,'Vols additionnels'!$B$7:$B$66,$D12345)</f>
        <v>0</v>
      </c>
      <c r="H12345" s="135" t="n">
        <f aca="false">$G12345*'Analyse capacite'!$F$8</f>
        <v>0</v>
      </c>
      <c r="I12345" s="135" t="n">
        <f aca="false">$G12345*'Analyse capacite'!$C$8</f>
        <v>0</v>
      </c>
      <c r="J12345" s="135" t="n">
        <f aca="false">$G12345*'Analyse capacite'!$D$8</f>
        <v>0</v>
      </c>
      <c r="K12345" s="135" t="n">
        <f aca="false">$G12345*'Analyse capacite'!$E$8</f>
        <v>0</v>
      </c>
    </row>
    <row r="12346" customFormat="false" ht="15" hidden="false" customHeight="false" outlineLevel="0" collapsed="false">
      <c r="B12346" s="130" t="n">
        <v>2028</v>
      </c>
      <c r="C12346" s="131" t="s">
        <v>257</v>
      </c>
      <c r="D12346" s="132" t="n">
        <v>46820</v>
      </c>
      <c r="E12346" s="131" t="s">
        <v>56</v>
      </c>
      <c r="F12346" s="133" t="s">
        <v>24</v>
      </c>
      <c r="G12346" s="134" t="n">
        <f aca="false">LEN('Saisie programme'!$F$471)+SUMIFS('Vols additionnels'!$E$7:$E$66,'Vols additionnels'!$C$7:$C$66,$E12346,'Vols additionnels'!$D$7:$D$66,$F12346,'Vols additionnels'!$B$7:$B$66,$D12346)</f>
        <v>0</v>
      </c>
      <c r="H12346" s="135" t="n">
        <f aca="false">$G12346*'Analyse capacite'!$F$9</f>
        <v>0</v>
      </c>
      <c r="I12346" s="135" t="n">
        <f aca="false">$G12346*'Analyse capacite'!$C$9</f>
        <v>0</v>
      </c>
      <c r="J12346" s="135" t="n">
        <f aca="false">$G12346*'Analyse capacite'!$D$9</f>
        <v>0</v>
      </c>
      <c r="K12346" s="135" t="n">
        <f aca="false">$G12346*'Analyse capacite'!$E$9</f>
        <v>0</v>
      </c>
    </row>
    <row r="12347" customFormat="false" ht="15" hidden="false" customHeight="false" outlineLevel="0" collapsed="false">
      <c r="B12347" s="130" t="n">
        <v>2028</v>
      </c>
      <c r="C12347" s="131" t="s">
        <v>257</v>
      </c>
      <c r="D12347" s="132" t="n">
        <v>46820</v>
      </c>
      <c r="E12347" s="131" t="s">
        <v>59</v>
      </c>
      <c r="F12347" s="133" t="s">
        <v>11</v>
      </c>
      <c r="G12347" s="134" t="n">
        <f aca="false">LEN('Saisie programme'!$F$472)+SUMIFS('Vols additionnels'!$E$7:$E$66,'Vols additionnels'!$C$7:$C$66,$E12347,'Vols additionnels'!$D$7:$D$66,$F12347,'Vols additionnels'!$B$7:$B$66,$D12347)</f>
        <v>0</v>
      </c>
      <c r="H12347" s="135" t="n">
        <f aca="false">$G12347*'Analyse capacite'!$F$7</f>
        <v>0</v>
      </c>
      <c r="I12347" s="135" t="n">
        <f aca="false">$G12347*'Analyse capacite'!$C$7</f>
        <v>0</v>
      </c>
      <c r="J12347" s="135" t="n">
        <f aca="false">$G12347*'Analyse capacite'!$D$7</f>
        <v>0</v>
      </c>
      <c r="K12347" s="135" t="n">
        <f aca="false">$G12347*'Analyse capacite'!$E$7</f>
        <v>0</v>
      </c>
    </row>
    <row r="12348" customFormat="false" ht="15" hidden="false" customHeight="false" outlineLevel="0" collapsed="false">
      <c r="B12348" s="130" t="n">
        <v>2028</v>
      </c>
      <c r="C12348" s="131" t="s">
        <v>257</v>
      </c>
      <c r="D12348" s="132" t="n">
        <v>46820</v>
      </c>
      <c r="E12348" s="131" t="s">
        <v>59</v>
      </c>
      <c r="F12348" s="133" t="s">
        <v>19</v>
      </c>
      <c r="G12348" s="134" t="n">
        <f aca="false">LEN('Saisie programme'!$F$473)+SUMIFS('Vols additionnels'!$E$7:$E$66,'Vols additionnels'!$C$7:$C$66,$E12348,'Vols additionnels'!$D$7:$D$66,$F12348,'Vols additionnels'!$B$7:$B$66,$D12348)</f>
        <v>0</v>
      </c>
      <c r="H12348" s="135" t="n">
        <f aca="false">$G12348*'Analyse capacite'!$F$8</f>
        <v>0</v>
      </c>
      <c r="I12348" s="135" t="n">
        <f aca="false">$G12348*'Analyse capacite'!$C$8</f>
        <v>0</v>
      </c>
      <c r="J12348" s="135" t="n">
        <f aca="false">$G12348*'Analyse capacite'!$D$8</f>
        <v>0</v>
      </c>
      <c r="K12348" s="135" t="n">
        <f aca="false">$G12348*'Analyse capacite'!$E$8</f>
        <v>0</v>
      </c>
    </row>
    <row r="12349" customFormat="false" ht="15" hidden="false" customHeight="false" outlineLevel="0" collapsed="false">
      <c r="B12349" s="130" t="n">
        <v>2028</v>
      </c>
      <c r="C12349" s="131" t="s">
        <v>257</v>
      </c>
      <c r="D12349" s="132" t="n">
        <v>46820</v>
      </c>
      <c r="E12349" s="131" t="s">
        <v>59</v>
      </c>
      <c r="F12349" s="133" t="s">
        <v>24</v>
      </c>
      <c r="G12349" s="134" t="n">
        <f aca="false">LEN('Saisie programme'!$F$474)+SUMIFS('Vols additionnels'!$E$7:$E$66,'Vols additionnels'!$C$7:$C$66,$E12349,'Vols additionnels'!$D$7:$D$66,$F12349,'Vols additionnels'!$B$7:$B$66,$D12349)</f>
        <v>1</v>
      </c>
      <c r="H12349" s="135" t="n">
        <f aca="false">$G12349*'Analyse capacite'!$F$9</f>
        <v>174</v>
      </c>
      <c r="I12349" s="135" t="n">
        <f aca="false">$G12349*'Analyse capacite'!$C$9</f>
        <v>0</v>
      </c>
      <c r="J12349" s="135" t="n">
        <f aca="false">$G12349*'Analyse capacite'!$D$9</f>
        <v>12</v>
      </c>
      <c r="K12349" s="135" t="n">
        <f aca="false">$G12349*'Analyse capacite'!$E$9</f>
        <v>162</v>
      </c>
    </row>
    <row r="12350" customFormat="false" ht="15" hidden="false" customHeight="false" outlineLevel="0" collapsed="false">
      <c r="B12350" s="130" t="n">
        <v>2028</v>
      </c>
      <c r="C12350" s="131" t="s">
        <v>257</v>
      </c>
      <c r="D12350" s="132" t="n">
        <v>46820</v>
      </c>
      <c r="E12350" s="131" t="s">
        <v>62</v>
      </c>
      <c r="F12350" s="133" t="s">
        <v>11</v>
      </c>
      <c r="G12350" s="134" t="n">
        <f aca="false">LEN('Saisie programme'!$F$475)+SUMIFS('Vols additionnels'!$E$7:$E$66,'Vols additionnels'!$C$7:$C$66,$E12350,'Vols additionnels'!$D$7:$D$66,$F12350,'Vols additionnels'!$B$7:$B$66,$D12350)</f>
        <v>0</v>
      </c>
      <c r="H12350" s="135" t="n">
        <f aca="false">$G12350*'Analyse capacite'!$F$7</f>
        <v>0</v>
      </c>
      <c r="I12350" s="135" t="n">
        <f aca="false">$G12350*'Analyse capacite'!$C$7</f>
        <v>0</v>
      </c>
      <c r="J12350" s="135" t="n">
        <f aca="false">$G12350*'Analyse capacite'!$D$7</f>
        <v>0</v>
      </c>
      <c r="K12350" s="135" t="n">
        <f aca="false">$G12350*'Analyse capacite'!$E$7</f>
        <v>0</v>
      </c>
    </row>
    <row r="12351" customFormat="false" ht="15" hidden="false" customHeight="false" outlineLevel="0" collapsed="false">
      <c r="B12351" s="130" t="n">
        <v>2028</v>
      </c>
      <c r="C12351" s="131" t="s">
        <v>257</v>
      </c>
      <c r="D12351" s="132" t="n">
        <v>46820</v>
      </c>
      <c r="E12351" s="131" t="s">
        <v>62</v>
      </c>
      <c r="F12351" s="133" t="s">
        <v>19</v>
      </c>
      <c r="G12351" s="134" t="n">
        <f aca="false">LEN('Saisie programme'!$F$476)+SUMIFS('Vols additionnels'!$E$7:$E$66,'Vols additionnels'!$C$7:$C$66,$E12351,'Vols additionnels'!$D$7:$D$66,$F12351,'Vols additionnels'!$B$7:$B$66,$D12351)</f>
        <v>0</v>
      </c>
      <c r="H12351" s="135" t="n">
        <f aca="false">$G12351*'Analyse capacite'!$F$8</f>
        <v>0</v>
      </c>
      <c r="I12351" s="135" t="n">
        <f aca="false">$G12351*'Analyse capacite'!$C$8</f>
        <v>0</v>
      </c>
      <c r="J12351" s="135" t="n">
        <f aca="false">$G12351*'Analyse capacite'!$D$8</f>
        <v>0</v>
      </c>
      <c r="K12351" s="135" t="n">
        <f aca="false">$G12351*'Analyse capacite'!$E$8</f>
        <v>0</v>
      </c>
    </row>
    <row r="12352" customFormat="false" ht="15" hidden="false" customHeight="false" outlineLevel="0" collapsed="false">
      <c r="B12352" s="130" t="n">
        <v>2028</v>
      </c>
      <c r="C12352" s="131" t="s">
        <v>257</v>
      </c>
      <c r="D12352" s="132" t="n">
        <v>46820</v>
      </c>
      <c r="E12352" s="131" t="s">
        <v>62</v>
      </c>
      <c r="F12352" s="133" t="s">
        <v>24</v>
      </c>
      <c r="G12352" s="134" t="n">
        <f aca="false">LEN('Saisie programme'!$F$477)+SUMIFS('Vols additionnels'!$E$7:$E$66,'Vols additionnels'!$C$7:$C$66,$E12352,'Vols additionnels'!$D$7:$D$66,$F12352,'Vols additionnels'!$B$7:$B$66,$D12352)</f>
        <v>1</v>
      </c>
      <c r="H12352" s="135" t="n">
        <f aca="false">$G12352*'Analyse capacite'!$F$9</f>
        <v>174</v>
      </c>
      <c r="I12352" s="135" t="n">
        <f aca="false">$G12352*'Analyse capacite'!$C$9</f>
        <v>0</v>
      </c>
      <c r="J12352" s="135" t="n">
        <f aca="false">$G12352*'Analyse capacite'!$D$9</f>
        <v>12</v>
      </c>
      <c r="K12352" s="135" t="n">
        <f aca="false">$G12352*'Analyse capacite'!$E$9</f>
        <v>162</v>
      </c>
    </row>
    <row r="12353" customFormat="false" ht="15" hidden="false" customHeight="false" outlineLevel="0" collapsed="false">
      <c r="B12353" s="130" t="n">
        <v>2028</v>
      </c>
      <c r="C12353" s="131" t="s">
        <v>257</v>
      </c>
      <c r="D12353" s="132" t="n">
        <v>46821</v>
      </c>
      <c r="E12353" s="131" t="s">
        <v>12</v>
      </c>
      <c r="F12353" s="133" t="s">
        <v>11</v>
      </c>
      <c r="G12353" s="134" t="n">
        <f aca="false">LEN('Saisie programme'!$G$442)+SUMIFS('Vols additionnels'!$E$7:$E$66,'Vols additionnels'!$C$7:$C$66,$E12353,'Vols additionnels'!$D$7:$D$66,$F12353,'Vols additionnels'!$B$7:$B$66,$D12353)</f>
        <v>1</v>
      </c>
      <c r="H12353" s="135" t="n">
        <f aca="false">$G12353*'Analyse capacite'!$F$7</f>
        <v>438</v>
      </c>
      <c r="I12353" s="135" t="n">
        <f aca="false">$G12353*'Analyse capacite'!$C$7</f>
        <v>14</v>
      </c>
      <c r="J12353" s="135" t="n">
        <f aca="false">$G12353*'Analyse capacite'!$D$7</f>
        <v>40</v>
      </c>
      <c r="K12353" s="135" t="n">
        <f aca="false">$G12353*'Analyse capacite'!$E$7</f>
        <v>384</v>
      </c>
    </row>
    <row r="12354" customFormat="false" ht="15" hidden="false" customHeight="false" outlineLevel="0" collapsed="false">
      <c r="B12354" s="130" t="n">
        <v>2028</v>
      </c>
      <c r="C12354" s="131" t="s">
        <v>257</v>
      </c>
      <c r="D12354" s="132" t="n">
        <v>46821</v>
      </c>
      <c r="E12354" s="131" t="s">
        <v>12</v>
      </c>
      <c r="F12354" s="133" t="s">
        <v>19</v>
      </c>
      <c r="G12354" s="134" t="n">
        <f aca="false">LEN('Saisie programme'!$G$443)+SUMIFS('Vols additionnels'!$E$7:$E$66,'Vols additionnels'!$C$7:$C$66,$E12354,'Vols additionnels'!$D$7:$D$66,$F12354,'Vols additionnels'!$B$7:$B$66,$D12354)</f>
        <v>0</v>
      </c>
      <c r="H12354" s="135" t="n">
        <f aca="false">$G12354*'Analyse capacite'!$F$8</f>
        <v>0</v>
      </c>
      <c r="I12354" s="135" t="n">
        <f aca="false">$G12354*'Analyse capacite'!$C$8</f>
        <v>0</v>
      </c>
      <c r="J12354" s="135" t="n">
        <f aca="false">$G12354*'Analyse capacite'!$D$8</f>
        <v>0</v>
      </c>
      <c r="K12354" s="135" t="n">
        <f aca="false">$G12354*'Analyse capacite'!$E$8</f>
        <v>0</v>
      </c>
    </row>
    <row r="12355" customFormat="false" ht="15" hidden="false" customHeight="false" outlineLevel="0" collapsed="false">
      <c r="B12355" s="130" t="n">
        <v>2028</v>
      </c>
      <c r="C12355" s="131" t="s">
        <v>257</v>
      </c>
      <c r="D12355" s="132" t="n">
        <v>46821</v>
      </c>
      <c r="E12355" s="131" t="s">
        <v>12</v>
      </c>
      <c r="F12355" s="133" t="s">
        <v>24</v>
      </c>
      <c r="G12355" s="134" t="n">
        <f aca="false">LEN('Saisie programme'!$G$444)+SUMIFS('Vols additionnels'!$E$7:$E$66,'Vols additionnels'!$C$7:$C$66,$E12355,'Vols additionnels'!$D$7:$D$66,$F12355,'Vols additionnels'!$B$7:$B$66,$D12355)</f>
        <v>0</v>
      </c>
      <c r="H12355" s="135" t="n">
        <f aca="false">$G12355*'Analyse capacite'!$F$9</f>
        <v>0</v>
      </c>
      <c r="I12355" s="135" t="n">
        <f aca="false">$G12355*'Analyse capacite'!$C$9</f>
        <v>0</v>
      </c>
      <c r="J12355" s="135" t="n">
        <f aca="false">$G12355*'Analyse capacite'!$D$9</f>
        <v>0</v>
      </c>
      <c r="K12355" s="135" t="n">
        <f aca="false">$G12355*'Analyse capacite'!$E$9</f>
        <v>0</v>
      </c>
    </row>
    <row r="12356" customFormat="false" ht="15" hidden="false" customHeight="false" outlineLevel="0" collapsed="false">
      <c r="B12356" s="130" t="n">
        <v>2028</v>
      </c>
      <c r="C12356" s="131" t="s">
        <v>257</v>
      </c>
      <c r="D12356" s="132" t="n">
        <v>46821</v>
      </c>
      <c r="E12356" s="131" t="s">
        <v>20</v>
      </c>
      <c r="F12356" s="133" t="s">
        <v>11</v>
      </c>
      <c r="G12356" s="134" t="n">
        <f aca="false">LEN('Saisie programme'!$G$445)+SUMIFS('Vols additionnels'!$E$7:$E$66,'Vols additionnels'!$C$7:$C$66,$E12356,'Vols additionnels'!$D$7:$D$66,$F12356,'Vols additionnels'!$B$7:$B$66,$D12356)</f>
        <v>0</v>
      </c>
      <c r="H12356" s="135" t="n">
        <f aca="false">$G12356*'Analyse capacite'!$F$7</f>
        <v>0</v>
      </c>
      <c r="I12356" s="135" t="n">
        <f aca="false">$G12356*'Analyse capacite'!$C$7</f>
        <v>0</v>
      </c>
      <c r="J12356" s="135" t="n">
        <f aca="false">$G12356*'Analyse capacite'!$D$7</f>
        <v>0</v>
      </c>
      <c r="K12356" s="135" t="n">
        <f aca="false">$G12356*'Analyse capacite'!$E$7</f>
        <v>0</v>
      </c>
    </row>
    <row r="12357" customFormat="false" ht="15" hidden="false" customHeight="false" outlineLevel="0" collapsed="false">
      <c r="B12357" s="130" t="n">
        <v>2028</v>
      </c>
      <c r="C12357" s="131" t="s">
        <v>257</v>
      </c>
      <c r="D12357" s="132" t="n">
        <v>46821</v>
      </c>
      <c r="E12357" s="131" t="s">
        <v>20</v>
      </c>
      <c r="F12357" s="133" t="s">
        <v>19</v>
      </c>
      <c r="G12357" s="134" t="n">
        <f aca="false">LEN('Saisie programme'!$G$446)+SUMIFS('Vols additionnels'!$E$7:$E$66,'Vols additionnels'!$C$7:$C$66,$E12357,'Vols additionnels'!$D$7:$D$66,$F12357,'Vols additionnels'!$B$7:$B$66,$D12357)</f>
        <v>0</v>
      </c>
      <c r="H12357" s="135" t="n">
        <f aca="false">$G12357*'Analyse capacite'!$F$8</f>
        <v>0</v>
      </c>
      <c r="I12357" s="135" t="n">
        <f aca="false">$G12357*'Analyse capacite'!$C$8</f>
        <v>0</v>
      </c>
      <c r="J12357" s="135" t="n">
        <f aca="false">$G12357*'Analyse capacite'!$D$8</f>
        <v>0</v>
      </c>
      <c r="K12357" s="135" t="n">
        <f aca="false">$G12357*'Analyse capacite'!$E$8</f>
        <v>0</v>
      </c>
    </row>
    <row r="12358" customFormat="false" ht="15" hidden="false" customHeight="false" outlineLevel="0" collapsed="false">
      <c r="B12358" s="130" t="n">
        <v>2028</v>
      </c>
      <c r="C12358" s="131" t="s">
        <v>257</v>
      </c>
      <c r="D12358" s="132" t="n">
        <v>46821</v>
      </c>
      <c r="E12358" s="131" t="s">
        <v>20</v>
      </c>
      <c r="F12358" s="133" t="s">
        <v>24</v>
      </c>
      <c r="G12358" s="134" t="n">
        <f aca="false">LEN('Saisie programme'!$G$447)+SUMIFS('Vols additionnels'!$E$7:$E$66,'Vols additionnels'!$C$7:$C$66,$E12358,'Vols additionnels'!$D$7:$D$66,$F12358,'Vols additionnels'!$B$7:$B$66,$D12358)</f>
        <v>0</v>
      </c>
      <c r="H12358" s="135" t="n">
        <f aca="false">$G12358*'Analyse capacite'!$F$9</f>
        <v>0</v>
      </c>
      <c r="I12358" s="135" t="n">
        <f aca="false">$G12358*'Analyse capacite'!$C$9</f>
        <v>0</v>
      </c>
      <c r="J12358" s="135" t="n">
        <f aca="false">$G12358*'Analyse capacite'!$D$9</f>
        <v>0</v>
      </c>
      <c r="K12358" s="135" t="n">
        <f aca="false">$G12358*'Analyse capacite'!$E$9</f>
        <v>0</v>
      </c>
    </row>
    <row r="12359" customFormat="false" ht="15" hidden="false" customHeight="false" outlineLevel="0" collapsed="false">
      <c r="B12359" s="130" t="n">
        <v>2028</v>
      </c>
      <c r="C12359" s="131" t="s">
        <v>257</v>
      </c>
      <c r="D12359" s="132" t="n">
        <v>46821</v>
      </c>
      <c r="E12359" s="131" t="s">
        <v>25</v>
      </c>
      <c r="F12359" s="133" t="s">
        <v>11</v>
      </c>
      <c r="G12359" s="134" t="n">
        <f aca="false">LEN('Saisie programme'!$G$448)+SUMIFS('Vols additionnels'!$E$7:$E$66,'Vols additionnels'!$C$7:$C$66,$E12359,'Vols additionnels'!$D$7:$D$66,$F12359,'Vols additionnels'!$B$7:$B$66,$D12359)</f>
        <v>0</v>
      </c>
      <c r="H12359" s="135" t="n">
        <f aca="false">$G12359*'Analyse capacite'!$F$7</f>
        <v>0</v>
      </c>
      <c r="I12359" s="135" t="n">
        <f aca="false">$G12359*'Analyse capacite'!$C$7</f>
        <v>0</v>
      </c>
      <c r="J12359" s="135" t="n">
        <f aca="false">$G12359*'Analyse capacite'!$D$7</f>
        <v>0</v>
      </c>
      <c r="K12359" s="135" t="n">
        <f aca="false">$G12359*'Analyse capacite'!$E$7</f>
        <v>0</v>
      </c>
    </row>
    <row r="12360" customFormat="false" ht="15" hidden="false" customHeight="false" outlineLevel="0" collapsed="false">
      <c r="B12360" s="130" t="n">
        <v>2028</v>
      </c>
      <c r="C12360" s="131" t="s">
        <v>257</v>
      </c>
      <c r="D12360" s="132" t="n">
        <v>46821</v>
      </c>
      <c r="E12360" s="131" t="s">
        <v>25</v>
      </c>
      <c r="F12360" s="133" t="s">
        <v>19</v>
      </c>
      <c r="G12360" s="134" t="n">
        <f aca="false">LEN('Saisie programme'!$G$449)+SUMIFS('Vols additionnels'!$E$7:$E$66,'Vols additionnels'!$C$7:$C$66,$E12360,'Vols additionnels'!$D$7:$D$66,$F12360,'Vols additionnels'!$B$7:$B$66,$D12360)</f>
        <v>0</v>
      </c>
      <c r="H12360" s="135" t="n">
        <f aca="false">$G12360*'Analyse capacite'!$F$8</f>
        <v>0</v>
      </c>
      <c r="I12360" s="135" t="n">
        <f aca="false">$G12360*'Analyse capacite'!$C$8</f>
        <v>0</v>
      </c>
      <c r="J12360" s="135" t="n">
        <f aca="false">$G12360*'Analyse capacite'!$D$8</f>
        <v>0</v>
      </c>
      <c r="K12360" s="135" t="n">
        <f aca="false">$G12360*'Analyse capacite'!$E$8</f>
        <v>0</v>
      </c>
    </row>
    <row r="12361" customFormat="false" ht="15" hidden="false" customHeight="false" outlineLevel="0" collapsed="false">
      <c r="B12361" s="130" t="n">
        <v>2028</v>
      </c>
      <c r="C12361" s="131" t="s">
        <v>257</v>
      </c>
      <c r="D12361" s="132" t="n">
        <v>46821</v>
      </c>
      <c r="E12361" s="131" t="s">
        <v>25</v>
      </c>
      <c r="F12361" s="133" t="s">
        <v>24</v>
      </c>
      <c r="G12361" s="134" t="n">
        <f aca="false">LEN('Saisie programme'!$G$450)+SUMIFS('Vols additionnels'!$E$7:$E$66,'Vols additionnels'!$C$7:$C$66,$E12361,'Vols additionnels'!$D$7:$D$66,$F12361,'Vols additionnels'!$B$7:$B$66,$D12361)</f>
        <v>0</v>
      </c>
      <c r="H12361" s="135" t="n">
        <f aca="false">$G12361*'Analyse capacite'!$F$9</f>
        <v>0</v>
      </c>
      <c r="I12361" s="135" t="n">
        <f aca="false">$G12361*'Analyse capacite'!$C$9</f>
        <v>0</v>
      </c>
      <c r="J12361" s="135" t="n">
        <f aca="false">$G12361*'Analyse capacite'!$D$9</f>
        <v>0</v>
      </c>
      <c r="K12361" s="135" t="n">
        <f aca="false">$G12361*'Analyse capacite'!$E$9</f>
        <v>0</v>
      </c>
    </row>
    <row r="12362" customFormat="false" ht="15" hidden="false" customHeight="false" outlineLevel="0" collapsed="false">
      <c r="B12362" s="130" t="n">
        <v>2028</v>
      </c>
      <c r="C12362" s="131" t="s">
        <v>257</v>
      </c>
      <c r="D12362" s="132" t="n">
        <v>46821</v>
      </c>
      <c r="E12362" s="131" t="s">
        <v>36</v>
      </c>
      <c r="F12362" s="133" t="s">
        <v>11</v>
      </c>
      <c r="G12362" s="134" t="n">
        <f aca="false">LEN('Saisie programme'!$G$451)+SUMIFS('Vols additionnels'!$E$7:$E$66,'Vols additionnels'!$C$7:$C$66,$E12362,'Vols additionnels'!$D$7:$D$66,$F12362,'Vols additionnels'!$B$7:$B$66,$D12362)</f>
        <v>0</v>
      </c>
      <c r="H12362" s="135" t="n">
        <f aca="false">$G12362*'Analyse capacite'!$F$7</f>
        <v>0</v>
      </c>
      <c r="I12362" s="135" t="n">
        <f aca="false">$G12362*'Analyse capacite'!$C$7</f>
        <v>0</v>
      </c>
      <c r="J12362" s="135" t="n">
        <f aca="false">$G12362*'Analyse capacite'!$D$7</f>
        <v>0</v>
      </c>
      <c r="K12362" s="135" t="n">
        <f aca="false">$G12362*'Analyse capacite'!$E$7</f>
        <v>0</v>
      </c>
    </row>
    <row r="12363" customFormat="false" ht="15" hidden="false" customHeight="false" outlineLevel="0" collapsed="false">
      <c r="B12363" s="130" t="n">
        <v>2028</v>
      </c>
      <c r="C12363" s="131" t="s">
        <v>257</v>
      </c>
      <c r="D12363" s="132" t="n">
        <v>46821</v>
      </c>
      <c r="E12363" s="131" t="s">
        <v>36</v>
      </c>
      <c r="F12363" s="133" t="s">
        <v>19</v>
      </c>
      <c r="G12363" s="134" t="n">
        <f aca="false">LEN('Saisie programme'!$G$452)+SUMIFS('Vols additionnels'!$E$7:$E$66,'Vols additionnels'!$C$7:$C$66,$E12363,'Vols additionnels'!$D$7:$D$66,$F12363,'Vols additionnels'!$B$7:$B$66,$D12363)</f>
        <v>0</v>
      </c>
      <c r="H12363" s="135" t="n">
        <f aca="false">$G12363*'Analyse capacite'!$F$8</f>
        <v>0</v>
      </c>
      <c r="I12363" s="135" t="n">
        <f aca="false">$G12363*'Analyse capacite'!$C$8</f>
        <v>0</v>
      </c>
      <c r="J12363" s="135" t="n">
        <f aca="false">$G12363*'Analyse capacite'!$D$8</f>
        <v>0</v>
      </c>
      <c r="K12363" s="135" t="n">
        <f aca="false">$G12363*'Analyse capacite'!$E$8</f>
        <v>0</v>
      </c>
    </row>
    <row r="12364" customFormat="false" ht="15" hidden="false" customHeight="false" outlineLevel="0" collapsed="false">
      <c r="B12364" s="130" t="n">
        <v>2028</v>
      </c>
      <c r="C12364" s="131" t="s">
        <v>257</v>
      </c>
      <c r="D12364" s="132" t="n">
        <v>46821</v>
      </c>
      <c r="E12364" s="131" t="s">
        <v>36</v>
      </c>
      <c r="F12364" s="133" t="s">
        <v>24</v>
      </c>
      <c r="G12364" s="134" t="n">
        <f aca="false">LEN('Saisie programme'!$G$453)+SUMIFS('Vols additionnels'!$E$7:$E$66,'Vols additionnels'!$C$7:$C$66,$E12364,'Vols additionnels'!$D$7:$D$66,$F12364,'Vols additionnels'!$B$7:$B$66,$D12364)</f>
        <v>1</v>
      </c>
      <c r="H12364" s="135" t="n">
        <f aca="false">$G12364*'Analyse capacite'!$F$9</f>
        <v>174</v>
      </c>
      <c r="I12364" s="135" t="n">
        <f aca="false">$G12364*'Analyse capacite'!$C$9</f>
        <v>0</v>
      </c>
      <c r="J12364" s="135" t="n">
        <f aca="false">$G12364*'Analyse capacite'!$D$9</f>
        <v>12</v>
      </c>
      <c r="K12364" s="135" t="n">
        <f aca="false">$G12364*'Analyse capacite'!$E$9</f>
        <v>162</v>
      </c>
    </row>
    <row r="12365" customFormat="false" ht="15" hidden="false" customHeight="false" outlineLevel="0" collapsed="false">
      <c r="B12365" s="130" t="n">
        <v>2028</v>
      </c>
      <c r="C12365" s="131" t="s">
        <v>257</v>
      </c>
      <c r="D12365" s="132" t="n">
        <v>46821</v>
      </c>
      <c r="E12365" s="131" t="s">
        <v>40</v>
      </c>
      <c r="F12365" s="133" t="s">
        <v>11</v>
      </c>
      <c r="G12365" s="134" t="n">
        <f aca="false">LEN('Saisie programme'!$G$454)+SUMIFS('Vols additionnels'!$E$7:$E$66,'Vols additionnels'!$C$7:$C$66,$E12365,'Vols additionnels'!$D$7:$D$66,$F12365,'Vols additionnels'!$B$7:$B$66,$D12365)</f>
        <v>0</v>
      </c>
      <c r="H12365" s="135" t="n">
        <f aca="false">$G12365*'Analyse capacite'!$F$7</f>
        <v>0</v>
      </c>
      <c r="I12365" s="135" t="n">
        <f aca="false">$G12365*'Analyse capacite'!$C$7</f>
        <v>0</v>
      </c>
      <c r="J12365" s="135" t="n">
        <f aca="false">$G12365*'Analyse capacite'!$D$7</f>
        <v>0</v>
      </c>
      <c r="K12365" s="135" t="n">
        <f aca="false">$G12365*'Analyse capacite'!$E$7</f>
        <v>0</v>
      </c>
    </row>
    <row r="12366" customFormat="false" ht="15" hidden="false" customHeight="false" outlineLevel="0" collapsed="false">
      <c r="B12366" s="130" t="n">
        <v>2028</v>
      </c>
      <c r="C12366" s="131" t="s">
        <v>257</v>
      </c>
      <c r="D12366" s="132" t="n">
        <v>46821</v>
      </c>
      <c r="E12366" s="131" t="s">
        <v>40</v>
      </c>
      <c r="F12366" s="133" t="s">
        <v>19</v>
      </c>
      <c r="G12366" s="134" t="n">
        <f aca="false">LEN('Saisie programme'!$G$455)+SUMIFS('Vols additionnels'!$E$7:$E$66,'Vols additionnels'!$C$7:$C$66,$E12366,'Vols additionnels'!$D$7:$D$66,$F12366,'Vols additionnels'!$B$7:$B$66,$D12366)</f>
        <v>0</v>
      </c>
      <c r="H12366" s="135" t="n">
        <f aca="false">$G12366*'Analyse capacite'!$F$8</f>
        <v>0</v>
      </c>
      <c r="I12366" s="135" t="n">
        <f aca="false">$G12366*'Analyse capacite'!$C$8</f>
        <v>0</v>
      </c>
      <c r="J12366" s="135" t="n">
        <f aca="false">$G12366*'Analyse capacite'!$D$8</f>
        <v>0</v>
      </c>
      <c r="K12366" s="135" t="n">
        <f aca="false">$G12366*'Analyse capacite'!$E$8</f>
        <v>0</v>
      </c>
    </row>
    <row r="12367" customFormat="false" ht="15" hidden="false" customHeight="false" outlineLevel="0" collapsed="false">
      <c r="B12367" s="130" t="n">
        <v>2028</v>
      </c>
      <c r="C12367" s="131" t="s">
        <v>257</v>
      </c>
      <c r="D12367" s="132" t="n">
        <v>46821</v>
      </c>
      <c r="E12367" s="131" t="s">
        <v>40</v>
      </c>
      <c r="F12367" s="133" t="s">
        <v>24</v>
      </c>
      <c r="G12367" s="134" t="n">
        <f aca="false">LEN('Saisie programme'!$G$456)+SUMIFS('Vols additionnels'!$E$7:$E$66,'Vols additionnels'!$C$7:$C$66,$E12367,'Vols additionnels'!$D$7:$D$66,$F12367,'Vols additionnels'!$B$7:$B$66,$D12367)</f>
        <v>0</v>
      </c>
      <c r="H12367" s="135" t="n">
        <f aca="false">$G12367*'Analyse capacite'!$F$9</f>
        <v>0</v>
      </c>
      <c r="I12367" s="135" t="n">
        <f aca="false">$G12367*'Analyse capacite'!$C$9</f>
        <v>0</v>
      </c>
      <c r="J12367" s="135" t="n">
        <f aca="false">$G12367*'Analyse capacite'!$D$9</f>
        <v>0</v>
      </c>
      <c r="K12367" s="135" t="n">
        <f aca="false">$G12367*'Analyse capacite'!$E$9</f>
        <v>0</v>
      </c>
    </row>
    <row r="12368" customFormat="false" ht="15" hidden="false" customHeight="false" outlineLevel="0" collapsed="false">
      <c r="B12368" s="130" t="n">
        <v>2028</v>
      </c>
      <c r="C12368" s="131" t="s">
        <v>257</v>
      </c>
      <c r="D12368" s="132" t="n">
        <v>46821</v>
      </c>
      <c r="E12368" s="131" t="s">
        <v>14</v>
      </c>
      <c r="F12368" s="133" t="s">
        <v>11</v>
      </c>
      <c r="G12368" s="134" t="n">
        <f aca="false">LEN('Saisie programme'!$G$457)+SUMIFS('Vols additionnels'!$E$7:$E$66,'Vols additionnels'!$C$7:$C$66,$E12368,'Vols additionnels'!$D$7:$D$66,$F12368,'Vols additionnels'!$B$7:$B$66,$D12368)</f>
        <v>0</v>
      </c>
      <c r="H12368" s="135" t="n">
        <f aca="false">$G12368*'Analyse capacite'!$F$7</f>
        <v>0</v>
      </c>
      <c r="I12368" s="135" t="n">
        <f aca="false">$G12368*'Analyse capacite'!$C$7</f>
        <v>0</v>
      </c>
      <c r="J12368" s="135" t="n">
        <f aca="false">$G12368*'Analyse capacite'!$D$7</f>
        <v>0</v>
      </c>
      <c r="K12368" s="135" t="n">
        <f aca="false">$G12368*'Analyse capacite'!$E$7</f>
        <v>0</v>
      </c>
    </row>
    <row r="12369" customFormat="false" ht="15" hidden="false" customHeight="false" outlineLevel="0" collapsed="false">
      <c r="B12369" s="130" t="n">
        <v>2028</v>
      </c>
      <c r="C12369" s="131" t="s">
        <v>257</v>
      </c>
      <c r="D12369" s="132" t="n">
        <v>46821</v>
      </c>
      <c r="E12369" s="131" t="s">
        <v>14</v>
      </c>
      <c r="F12369" s="133" t="s">
        <v>19</v>
      </c>
      <c r="G12369" s="134" t="n">
        <f aca="false">LEN('Saisie programme'!$G$458)+SUMIFS('Vols additionnels'!$E$7:$E$66,'Vols additionnels'!$C$7:$C$66,$E12369,'Vols additionnels'!$D$7:$D$66,$F12369,'Vols additionnels'!$B$7:$B$66,$D12369)</f>
        <v>0</v>
      </c>
      <c r="H12369" s="135" t="n">
        <f aca="false">$G12369*'Analyse capacite'!$F$8</f>
        <v>0</v>
      </c>
      <c r="I12369" s="135" t="n">
        <f aca="false">$G12369*'Analyse capacite'!$C$8</f>
        <v>0</v>
      </c>
      <c r="J12369" s="135" t="n">
        <f aca="false">$G12369*'Analyse capacite'!$D$8</f>
        <v>0</v>
      </c>
      <c r="K12369" s="135" t="n">
        <f aca="false">$G12369*'Analyse capacite'!$E$8</f>
        <v>0</v>
      </c>
    </row>
    <row r="12370" customFormat="false" ht="15" hidden="false" customHeight="false" outlineLevel="0" collapsed="false">
      <c r="B12370" s="130" t="n">
        <v>2028</v>
      </c>
      <c r="C12370" s="131" t="s">
        <v>257</v>
      </c>
      <c r="D12370" s="132" t="n">
        <v>46821</v>
      </c>
      <c r="E12370" s="131" t="s">
        <v>14</v>
      </c>
      <c r="F12370" s="133" t="s">
        <v>24</v>
      </c>
      <c r="G12370" s="134" t="n">
        <f aca="false">LEN('Saisie programme'!$G$459)+SUMIFS('Vols additionnels'!$E$7:$E$66,'Vols additionnels'!$C$7:$C$66,$E12370,'Vols additionnels'!$D$7:$D$66,$F12370,'Vols additionnels'!$B$7:$B$66,$D12370)</f>
        <v>1</v>
      </c>
      <c r="H12370" s="135" t="n">
        <f aca="false">$G12370*'Analyse capacite'!$F$9</f>
        <v>174</v>
      </c>
      <c r="I12370" s="135" t="n">
        <f aca="false">$G12370*'Analyse capacite'!$C$9</f>
        <v>0</v>
      </c>
      <c r="J12370" s="135" t="n">
        <f aca="false">$G12370*'Analyse capacite'!$D$9</f>
        <v>12</v>
      </c>
      <c r="K12370" s="135" t="n">
        <f aca="false">$G12370*'Analyse capacite'!$E$9</f>
        <v>162</v>
      </c>
    </row>
    <row r="12371" customFormat="false" ht="15" hidden="false" customHeight="false" outlineLevel="0" collapsed="false">
      <c r="B12371" s="130" t="n">
        <v>2028</v>
      </c>
      <c r="C12371" s="131" t="s">
        <v>257</v>
      </c>
      <c r="D12371" s="132" t="n">
        <v>46821</v>
      </c>
      <c r="E12371" s="131" t="s">
        <v>46</v>
      </c>
      <c r="F12371" s="133" t="s">
        <v>11</v>
      </c>
      <c r="G12371" s="134" t="n">
        <f aca="false">LEN('Saisie programme'!$G$460)+SUMIFS('Vols additionnels'!$E$7:$E$66,'Vols additionnels'!$C$7:$C$66,$E12371,'Vols additionnels'!$D$7:$D$66,$F12371,'Vols additionnels'!$B$7:$B$66,$D12371)</f>
        <v>0</v>
      </c>
      <c r="H12371" s="135" t="n">
        <f aca="false">$G12371*'Analyse capacite'!$F$7</f>
        <v>0</v>
      </c>
      <c r="I12371" s="135" t="n">
        <f aca="false">$G12371*'Analyse capacite'!$C$7</f>
        <v>0</v>
      </c>
      <c r="J12371" s="135" t="n">
        <f aca="false">$G12371*'Analyse capacite'!$D$7</f>
        <v>0</v>
      </c>
      <c r="K12371" s="135" t="n">
        <f aca="false">$G12371*'Analyse capacite'!$E$7</f>
        <v>0</v>
      </c>
    </row>
    <row r="12372" customFormat="false" ht="15" hidden="false" customHeight="false" outlineLevel="0" collapsed="false">
      <c r="B12372" s="130" t="n">
        <v>2028</v>
      </c>
      <c r="C12372" s="131" t="s">
        <v>257</v>
      </c>
      <c r="D12372" s="132" t="n">
        <v>46821</v>
      </c>
      <c r="E12372" s="131" t="s">
        <v>46</v>
      </c>
      <c r="F12372" s="133" t="s">
        <v>19</v>
      </c>
      <c r="G12372" s="134" t="n">
        <f aca="false">LEN('Saisie programme'!$G$461)+SUMIFS('Vols additionnels'!$E$7:$E$66,'Vols additionnels'!$C$7:$C$66,$E12372,'Vols additionnels'!$D$7:$D$66,$F12372,'Vols additionnels'!$B$7:$B$66,$D12372)</f>
        <v>0</v>
      </c>
      <c r="H12372" s="135" t="n">
        <f aca="false">$G12372*'Analyse capacite'!$F$8</f>
        <v>0</v>
      </c>
      <c r="I12372" s="135" t="n">
        <f aca="false">$G12372*'Analyse capacite'!$C$8</f>
        <v>0</v>
      </c>
      <c r="J12372" s="135" t="n">
        <f aca="false">$G12372*'Analyse capacite'!$D$8</f>
        <v>0</v>
      </c>
      <c r="K12372" s="135" t="n">
        <f aca="false">$G12372*'Analyse capacite'!$E$8</f>
        <v>0</v>
      </c>
    </row>
    <row r="12373" customFormat="false" ht="15" hidden="false" customHeight="false" outlineLevel="0" collapsed="false">
      <c r="B12373" s="130" t="n">
        <v>2028</v>
      </c>
      <c r="C12373" s="131" t="s">
        <v>257</v>
      </c>
      <c r="D12373" s="132" t="n">
        <v>46821</v>
      </c>
      <c r="E12373" s="131" t="s">
        <v>46</v>
      </c>
      <c r="F12373" s="133" t="s">
        <v>24</v>
      </c>
      <c r="G12373" s="134" t="n">
        <f aca="false">LEN('Saisie programme'!$G$462)+SUMIFS('Vols additionnels'!$E$7:$E$66,'Vols additionnels'!$C$7:$C$66,$E12373,'Vols additionnels'!$D$7:$D$66,$F12373,'Vols additionnels'!$B$7:$B$66,$D12373)</f>
        <v>1</v>
      </c>
      <c r="H12373" s="135" t="n">
        <f aca="false">$G12373*'Analyse capacite'!$F$9</f>
        <v>174</v>
      </c>
      <c r="I12373" s="135" t="n">
        <f aca="false">$G12373*'Analyse capacite'!$C$9</f>
        <v>0</v>
      </c>
      <c r="J12373" s="135" t="n">
        <f aca="false">$G12373*'Analyse capacite'!$D$9</f>
        <v>12</v>
      </c>
      <c r="K12373" s="135" t="n">
        <f aca="false">$G12373*'Analyse capacite'!$E$9</f>
        <v>162</v>
      </c>
    </row>
    <row r="12374" customFormat="false" ht="15" hidden="false" customHeight="false" outlineLevel="0" collapsed="false">
      <c r="B12374" s="130" t="n">
        <v>2028</v>
      </c>
      <c r="C12374" s="131" t="s">
        <v>257</v>
      </c>
      <c r="D12374" s="132" t="n">
        <v>46821</v>
      </c>
      <c r="E12374" s="131" t="s">
        <v>49</v>
      </c>
      <c r="F12374" s="133" t="s">
        <v>11</v>
      </c>
      <c r="G12374" s="134" t="n">
        <f aca="false">LEN('Saisie programme'!$G$463)+SUMIFS('Vols additionnels'!$E$7:$E$66,'Vols additionnels'!$C$7:$C$66,$E12374,'Vols additionnels'!$D$7:$D$66,$F12374,'Vols additionnels'!$B$7:$B$66,$D12374)</f>
        <v>0</v>
      </c>
      <c r="H12374" s="135" t="n">
        <f aca="false">$G12374*'Analyse capacite'!$F$7</f>
        <v>0</v>
      </c>
      <c r="I12374" s="135" t="n">
        <f aca="false">$G12374*'Analyse capacite'!$C$7</f>
        <v>0</v>
      </c>
      <c r="J12374" s="135" t="n">
        <f aca="false">$G12374*'Analyse capacite'!$D$7</f>
        <v>0</v>
      </c>
      <c r="K12374" s="135" t="n">
        <f aca="false">$G12374*'Analyse capacite'!$E$7</f>
        <v>0</v>
      </c>
    </row>
    <row r="12375" customFormat="false" ht="15" hidden="false" customHeight="false" outlineLevel="0" collapsed="false">
      <c r="B12375" s="130" t="n">
        <v>2028</v>
      </c>
      <c r="C12375" s="131" t="s">
        <v>257</v>
      </c>
      <c r="D12375" s="132" t="n">
        <v>46821</v>
      </c>
      <c r="E12375" s="131" t="s">
        <v>49</v>
      </c>
      <c r="F12375" s="133" t="s">
        <v>19</v>
      </c>
      <c r="G12375" s="134" t="n">
        <f aca="false">LEN('Saisie programme'!$G$464)+SUMIFS('Vols additionnels'!$E$7:$E$66,'Vols additionnels'!$C$7:$C$66,$E12375,'Vols additionnels'!$D$7:$D$66,$F12375,'Vols additionnels'!$B$7:$B$66,$D12375)</f>
        <v>0</v>
      </c>
      <c r="H12375" s="135" t="n">
        <f aca="false">$G12375*'Analyse capacite'!$F$8</f>
        <v>0</v>
      </c>
      <c r="I12375" s="135" t="n">
        <f aca="false">$G12375*'Analyse capacite'!$C$8</f>
        <v>0</v>
      </c>
      <c r="J12375" s="135" t="n">
        <f aca="false">$G12375*'Analyse capacite'!$D$8</f>
        <v>0</v>
      </c>
      <c r="K12375" s="135" t="n">
        <f aca="false">$G12375*'Analyse capacite'!$E$8</f>
        <v>0</v>
      </c>
    </row>
    <row r="12376" customFormat="false" ht="15" hidden="false" customHeight="false" outlineLevel="0" collapsed="false">
      <c r="B12376" s="130" t="n">
        <v>2028</v>
      </c>
      <c r="C12376" s="131" t="s">
        <v>257</v>
      </c>
      <c r="D12376" s="132" t="n">
        <v>46821</v>
      </c>
      <c r="E12376" s="131" t="s">
        <v>49</v>
      </c>
      <c r="F12376" s="133" t="s">
        <v>24</v>
      </c>
      <c r="G12376" s="134" t="n">
        <f aca="false">LEN('Saisie programme'!$G$465)+SUMIFS('Vols additionnels'!$E$7:$E$66,'Vols additionnels'!$C$7:$C$66,$E12376,'Vols additionnels'!$D$7:$D$66,$F12376,'Vols additionnels'!$B$7:$B$66,$D12376)</f>
        <v>0</v>
      </c>
      <c r="H12376" s="135" t="n">
        <f aca="false">$G12376*'Analyse capacite'!$F$9</f>
        <v>0</v>
      </c>
      <c r="I12376" s="135" t="n">
        <f aca="false">$G12376*'Analyse capacite'!$C$9</f>
        <v>0</v>
      </c>
      <c r="J12376" s="135" t="n">
        <f aca="false">$G12376*'Analyse capacite'!$D$9</f>
        <v>0</v>
      </c>
      <c r="K12376" s="135" t="n">
        <f aca="false">$G12376*'Analyse capacite'!$E$9</f>
        <v>0</v>
      </c>
    </row>
    <row r="12377" customFormat="false" ht="15" hidden="false" customHeight="false" outlineLevel="0" collapsed="false">
      <c r="B12377" s="130" t="n">
        <v>2028</v>
      </c>
      <c r="C12377" s="131" t="s">
        <v>257</v>
      </c>
      <c r="D12377" s="132" t="n">
        <v>46821</v>
      </c>
      <c r="E12377" s="131" t="s">
        <v>53</v>
      </c>
      <c r="F12377" s="133" t="s">
        <v>11</v>
      </c>
      <c r="G12377" s="134" t="n">
        <f aca="false">LEN('Saisie programme'!$G$466)+SUMIFS('Vols additionnels'!$E$7:$E$66,'Vols additionnels'!$C$7:$C$66,$E12377,'Vols additionnels'!$D$7:$D$66,$F12377,'Vols additionnels'!$B$7:$B$66,$D12377)</f>
        <v>0</v>
      </c>
      <c r="H12377" s="135" t="n">
        <f aca="false">$G12377*'Analyse capacite'!$F$7</f>
        <v>0</v>
      </c>
      <c r="I12377" s="135" t="n">
        <f aca="false">$G12377*'Analyse capacite'!$C$7</f>
        <v>0</v>
      </c>
      <c r="J12377" s="135" t="n">
        <f aca="false">$G12377*'Analyse capacite'!$D$7</f>
        <v>0</v>
      </c>
      <c r="K12377" s="135" t="n">
        <f aca="false">$G12377*'Analyse capacite'!$E$7</f>
        <v>0</v>
      </c>
    </row>
    <row r="12378" customFormat="false" ht="15" hidden="false" customHeight="false" outlineLevel="0" collapsed="false">
      <c r="B12378" s="130" t="n">
        <v>2028</v>
      </c>
      <c r="C12378" s="131" t="s">
        <v>257</v>
      </c>
      <c r="D12378" s="132" t="n">
        <v>46821</v>
      </c>
      <c r="E12378" s="131" t="s">
        <v>53</v>
      </c>
      <c r="F12378" s="133" t="s">
        <v>19</v>
      </c>
      <c r="G12378" s="134" t="n">
        <f aca="false">LEN('Saisie programme'!$G$467)+SUMIFS('Vols additionnels'!$E$7:$E$66,'Vols additionnels'!$C$7:$C$66,$E12378,'Vols additionnels'!$D$7:$D$66,$F12378,'Vols additionnels'!$B$7:$B$66,$D12378)</f>
        <v>1</v>
      </c>
      <c r="H12378" s="135" t="n">
        <f aca="false">$G12378*'Analyse capacite'!$F$8</f>
        <v>262</v>
      </c>
      <c r="I12378" s="135" t="n">
        <f aca="false">$G12378*'Analyse capacite'!$C$8</f>
        <v>18</v>
      </c>
      <c r="J12378" s="135" t="n">
        <f aca="false">$G12378*'Analyse capacite'!$D$8</f>
        <v>0</v>
      </c>
      <c r="K12378" s="135" t="n">
        <f aca="false">$G12378*'Analyse capacite'!$E$8</f>
        <v>244</v>
      </c>
    </row>
    <row r="12379" customFormat="false" ht="15" hidden="false" customHeight="false" outlineLevel="0" collapsed="false">
      <c r="B12379" s="130" t="n">
        <v>2028</v>
      </c>
      <c r="C12379" s="131" t="s">
        <v>257</v>
      </c>
      <c r="D12379" s="132" t="n">
        <v>46821</v>
      </c>
      <c r="E12379" s="131" t="s">
        <v>53</v>
      </c>
      <c r="F12379" s="133" t="s">
        <v>24</v>
      </c>
      <c r="G12379" s="134" t="n">
        <f aca="false">LEN('Saisie programme'!$G$468)+SUMIFS('Vols additionnels'!$E$7:$E$66,'Vols additionnels'!$C$7:$C$66,$E12379,'Vols additionnels'!$D$7:$D$66,$F12379,'Vols additionnels'!$B$7:$B$66,$D12379)</f>
        <v>0</v>
      </c>
      <c r="H12379" s="135" t="n">
        <f aca="false">$G12379*'Analyse capacite'!$F$9</f>
        <v>0</v>
      </c>
      <c r="I12379" s="135" t="n">
        <f aca="false">$G12379*'Analyse capacite'!$C$9</f>
        <v>0</v>
      </c>
      <c r="J12379" s="135" t="n">
        <f aca="false">$G12379*'Analyse capacite'!$D$9</f>
        <v>0</v>
      </c>
      <c r="K12379" s="135" t="n">
        <f aca="false">$G12379*'Analyse capacite'!$E$9</f>
        <v>0</v>
      </c>
    </row>
    <row r="12380" customFormat="false" ht="15" hidden="false" customHeight="false" outlineLevel="0" collapsed="false">
      <c r="B12380" s="130" t="n">
        <v>2028</v>
      </c>
      <c r="C12380" s="131" t="s">
        <v>257</v>
      </c>
      <c r="D12380" s="132" t="n">
        <v>46821</v>
      </c>
      <c r="E12380" s="131" t="s">
        <v>56</v>
      </c>
      <c r="F12380" s="133" t="s">
        <v>11</v>
      </c>
      <c r="G12380" s="134" t="n">
        <f aca="false">LEN('Saisie programme'!$G$469)+SUMIFS('Vols additionnels'!$E$7:$E$66,'Vols additionnels'!$C$7:$C$66,$E12380,'Vols additionnels'!$D$7:$D$66,$F12380,'Vols additionnels'!$B$7:$B$66,$D12380)</f>
        <v>0</v>
      </c>
      <c r="H12380" s="135" t="n">
        <f aca="false">$G12380*'Analyse capacite'!$F$7</f>
        <v>0</v>
      </c>
      <c r="I12380" s="135" t="n">
        <f aca="false">$G12380*'Analyse capacite'!$C$7</f>
        <v>0</v>
      </c>
      <c r="J12380" s="135" t="n">
        <f aca="false">$G12380*'Analyse capacite'!$D$7</f>
        <v>0</v>
      </c>
      <c r="K12380" s="135" t="n">
        <f aca="false">$G12380*'Analyse capacite'!$E$7</f>
        <v>0</v>
      </c>
    </row>
    <row r="12381" customFormat="false" ht="15" hidden="false" customHeight="false" outlineLevel="0" collapsed="false">
      <c r="B12381" s="130" t="n">
        <v>2028</v>
      </c>
      <c r="C12381" s="131" t="s">
        <v>257</v>
      </c>
      <c r="D12381" s="132" t="n">
        <v>46821</v>
      </c>
      <c r="E12381" s="131" t="s">
        <v>56</v>
      </c>
      <c r="F12381" s="133" t="s">
        <v>19</v>
      </c>
      <c r="G12381" s="134" t="n">
        <f aca="false">LEN('Saisie programme'!$G$470)+SUMIFS('Vols additionnels'!$E$7:$E$66,'Vols additionnels'!$C$7:$C$66,$E12381,'Vols additionnels'!$D$7:$D$66,$F12381,'Vols additionnels'!$B$7:$B$66,$D12381)</f>
        <v>0</v>
      </c>
      <c r="H12381" s="135" t="n">
        <f aca="false">$G12381*'Analyse capacite'!$F$8</f>
        <v>0</v>
      </c>
      <c r="I12381" s="135" t="n">
        <f aca="false">$G12381*'Analyse capacite'!$C$8</f>
        <v>0</v>
      </c>
      <c r="J12381" s="135" t="n">
        <f aca="false">$G12381*'Analyse capacite'!$D$8</f>
        <v>0</v>
      </c>
      <c r="K12381" s="135" t="n">
        <f aca="false">$G12381*'Analyse capacite'!$E$8</f>
        <v>0</v>
      </c>
    </row>
    <row r="12382" customFormat="false" ht="15" hidden="false" customHeight="false" outlineLevel="0" collapsed="false">
      <c r="B12382" s="130" t="n">
        <v>2028</v>
      </c>
      <c r="C12382" s="131" t="s">
        <v>257</v>
      </c>
      <c r="D12382" s="132" t="n">
        <v>46821</v>
      </c>
      <c r="E12382" s="131" t="s">
        <v>56</v>
      </c>
      <c r="F12382" s="133" t="s">
        <v>24</v>
      </c>
      <c r="G12382" s="134" t="n">
        <f aca="false">LEN('Saisie programme'!$G$471)+SUMIFS('Vols additionnels'!$E$7:$E$66,'Vols additionnels'!$C$7:$C$66,$E12382,'Vols additionnels'!$D$7:$D$66,$F12382,'Vols additionnels'!$B$7:$B$66,$D12382)</f>
        <v>0</v>
      </c>
      <c r="H12382" s="135" t="n">
        <f aca="false">$G12382*'Analyse capacite'!$F$9</f>
        <v>0</v>
      </c>
      <c r="I12382" s="135" t="n">
        <f aca="false">$G12382*'Analyse capacite'!$C$9</f>
        <v>0</v>
      </c>
      <c r="J12382" s="135" t="n">
        <f aca="false">$G12382*'Analyse capacite'!$D$9</f>
        <v>0</v>
      </c>
      <c r="K12382" s="135" t="n">
        <f aca="false">$G12382*'Analyse capacite'!$E$9</f>
        <v>0</v>
      </c>
    </row>
    <row r="12383" customFormat="false" ht="15" hidden="false" customHeight="false" outlineLevel="0" collapsed="false">
      <c r="B12383" s="130" t="n">
        <v>2028</v>
      </c>
      <c r="C12383" s="131" t="s">
        <v>257</v>
      </c>
      <c r="D12383" s="132" t="n">
        <v>46821</v>
      </c>
      <c r="E12383" s="131" t="s">
        <v>59</v>
      </c>
      <c r="F12383" s="133" t="s">
        <v>11</v>
      </c>
      <c r="G12383" s="134" t="n">
        <f aca="false">LEN('Saisie programme'!$G$472)+SUMIFS('Vols additionnels'!$E$7:$E$66,'Vols additionnels'!$C$7:$C$66,$E12383,'Vols additionnels'!$D$7:$D$66,$F12383,'Vols additionnels'!$B$7:$B$66,$D12383)</f>
        <v>0</v>
      </c>
      <c r="H12383" s="135" t="n">
        <f aca="false">$G12383*'Analyse capacite'!$F$7</f>
        <v>0</v>
      </c>
      <c r="I12383" s="135" t="n">
        <f aca="false">$G12383*'Analyse capacite'!$C$7</f>
        <v>0</v>
      </c>
      <c r="J12383" s="135" t="n">
        <f aca="false">$G12383*'Analyse capacite'!$D$7</f>
        <v>0</v>
      </c>
      <c r="K12383" s="135" t="n">
        <f aca="false">$G12383*'Analyse capacite'!$E$7</f>
        <v>0</v>
      </c>
    </row>
    <row r="12384" customFormat="false" ht="15" hidden="false" customHeight="false" outlineLevel="0" collapsed="false">
      <c r="B12384" s="130" t="n">
        <v>2028</v>
      </c>
      <c r="C12384" s="131" t="s">
        <v>257</v>
      </c>
      <c r="D12384" s="132" t="n">
        <v>46821</v>
      </c>
      <c r="E12384" s="131" t="s">
        <v>59</v>
      </c>
      <c r="F12384" s="133" t="s">
        <v>19</v>
      </c>
      <c r="G12384" s="134" t="n">
        <f aca="false">LEN('Saisie programme'!$G$473)+SUMIFS('Vols additionnels'!$E$7:$E$66,'Vols additionnels'!$C$7:$C$66,$E12384,'Vols additionnels'!$D$7:$D$66,$F12384,'Vols additionnels'!$B$7:$B$66,$D12384)</f>
        <v>0</v>
      </c>
      <c r="H12384" s="135" t="n">
        <f aca="false">$G12384*'Analyse capacite'!$F$8</f>
        <v>0</v>
      </c>
      <c r="I12384" s="135" t="n">
        <f aca="false">$G12384*'Analyse capacite'!$C$8</f>
        <v>0</v>
      </c>
      <c r="J12384" s="135" t="n">
        <f aca="false">$G12384*'Analyse capacite'!$D$8</f>
        <v>0</v>
      </c>
      <c r="K12384" s="135" t="n">
        <f aca="false">$G12384*'Analyse capacite'!$E$8</f>
        <v>0</v>
      </c>
    </row>
    <row r="12385" customFormat="false" ht="15" hidden="false" customHeight="false" outlineLevel="0" collapsed="false">
      <c r="B12385" s="130" t="n">
        <v>2028</v>
      </c>
      <c r="C12385" s="131" t="s">
        <v>257</v>
      </c>
      <c r="D12385" s="132" t="n">
        <v>46821</v>
      </c>
      <c r="E12385" s="131" t="s">
        <v>59</v>
      </c>
      <c r="F12385" s="133" t="s">
        <v>24</v>
      </c>
      <c r="G12385" s="134" t="n">
        <f aca="false">LEN('Saisie programme'!$G$474)+SUMIFS('Vols additionnels'!$E$7:$E$66,'Vols additionnels'!$C$7:$C$66,$E12385,'Vols additionnels'!$D$7:$D$66,$F12385,'Vols additionnels'!$B$7:$B$66,$D12385)</f>
        <v>2</v>
      </c>
      <c r="H12385" s="135" t="n">
        <f aca="false">$G12385*'Analyse capacite'!$F$9</f>
        <v>348</v>
      </c>
      <c r="I12385" s="135" t="n">
        <f aca="false">$G12385*'Analyse capacite'!$C$9</f>
        <v>0</v>
      </c>
      <c r="J12385" s="135" t="n">
        <f aca="false">$G12385*'Analyse capacite'!$D$9</f>
        <v>24</v>
      </c>
      <c r="K12385" s="135" t="n">
        <f aca="false">$G12385*'Analyse capacite'!$E$9</f>
        <v>324</v>
      </c>
    </row>
    <row r="12386" customFormat="false" ht="15" hidden="false" customHeight="false" outlineLevel="0" collapsed="false">
      <c r="B12386" s="130" t="n">
        <v>2028</v>
      </c>
      <c r="C12386" s="131" t="s">
        <v>257</v>
      </c>
      <c r="D12386" s="132" t="n">
        <v>46821</v>
      </c>
      <c r="E12386" s="131" t="s">
        <v>62</v>
      </c>
      <c r="F12386" s="133" t="s">
        <v>11</v>
      </c>
      <c r="G12386" s="134" t="n">
        <f aca="false">LEN('Saisie programme'!$G$475)+SUMIFS('Vols additionnels'!$E$7:$E$66,'Vols additionnels'!$C$7:$C$66,$E12386,'Vols additionnels'!$D$7:$D$66,$F12386,'Vols additionnels'!$B$7:$B$66,$D12386)</f>
        <v>0</v>
      </c>
      <c r="H12386" s="135" t="n">
        <f aca="false">$G12386*'Analyse capacite'!$F$7</f>
        <v>0</v>
      </c>
      <c r="I12386" s="135" t="n">
        <f aca="false">$G12386*'Analyse capacite'!$C$7</f>
        <v>0</v>
      </c>
      <c r="J12386" s="135" t="n">
        <f aca="false">$G12386*'Analyse capacite'!$D$7</f>
        <v>0</v>
      </c>
      <c r="K12386" s="135" t="n">
        <f aca="false">$G12386*'Analyse capacite'!$E$7</f>
        <v>0</v>
      </c>
    </row>
    <row r="12387" customFormat="false" ht="15" hidden="false" customHeight="false" outlineLevel="0" collapsed="false">
      <c r="B12387" s="130" t="n">
        <v>2028</v>
      </c>
      <c r="C12387" s="131" t="s">
        <v>257</v>
      </c>
      <c r="D12387" s="132" t="n">
        <v>46821</v>
      </c>
      <c r="E12387" s="131" t="s">
        <v>62</v>
      </c>
      <c r="F12387" s="133" t="s">
        <v>19</v>
      </c>
      <c r="G12387" s="134" t="n">
        <f aca="false">LEN('Saisie programme'!$G$476)+SUMIFS('Vols additionnels'!$E$7:$E$66,'Vols additionnels'!$C$7:$C$66,$E12387,'Vols additionnels'!$D$7:$D$66,$F12387,'Vols additionnels'!$B$7:$B$66,$D12387)</f>
        <v>0</v>
      </c>
      <c r="H12387" s="135" t="n">
        <f aca="false">$G12387*'Analyse capacite'!$F$8</f>
        <v>0</v>
      </c>
      <c r="I12387" s="135" t="n">
        <f aca="false">$G12387*'Analyse capacite'!$C$8</f>
        <v>0</v>
      </c>
      <c r="J12387" s="135" t="n">
        <f aca="false">$G12387*'Analyse capacite'!$D$8</f>
        <v>0</v>
      </c>
      <c r="K12387" s="135" t="n">
        <f aca="false">$G12387*'Analyse capacite'!$E$8</f>
        <v>0</v>
      </c>
    </row>
    <row r="12388" customFormat="false" ht="15" hidden="false" customHeight="false" outlineLevel="0" collapsed="false">
      <c r="B12388" s="130" t="n">
        <v>2028</v>
      </c>
      <c r="C12388" s="131" t="s">
        <v>257</v>
      </c>
      <c r="D12388" s="132" t="n">
        <v>46821</v>
      </c>
      <c r="E12388" s="131" t="s">
        <v>62</v>
      </c>
      <c r="F12388" s="133" t="s">
        <v>24</v>
      </c>
      <c r="G12388" s="134" t="n">
        <f aca="false">LEN('Saisie programme'!$G$477)+SUMIFS('Vols additionnels'!$E$7:$E$66,'Vols additionnels'!$C$7:$C$66,$E12388,'Vols additionnels'!$D$7:$D$66,$F12388,'Vols additionnels'!$B$7:$B$66,$D12388)</f>
        <v>0</v>
      </c>
      <c r="H12388" s="135" t="n">
        <f aca="false">$G12388*'Analyse capacite'!$F$9</f>
        <v>0</v>
      </c>
      <c r="I12388" s="135" t="n">
        <f aca="false">$G12388*'Analyse capacite'!$C$9</f>
        <v>0</v>
      </c>
      <c r="J12388" s="135" t="n">
        <f aca="false">$G12388*'Analyse capacite'!$D$9</f>
        <v>0</v>
      </c>
      <c r="K12388" s="135" t="n">
        <f aca="false">$G12388*'Analyse capacite'!$E$9</f>
        <v>0</v>
      </c>
    </row>
    <row r="12389" customFormat="false" ht="15" hidden="false" customHeight="false" outlineLevel="0" collapsed="false">
      <c r="B12389" s="130" t="n">
        <v>2028</v>
      </c>
      <c r="C12389" s="131" t="s">
        <v>257</v>
      </c>
      <c r="D12389" s="132" t="n">
        <v>46822</v>
      </c>
      <c r="E12389" s="131" t="s">
        <v>12</v>
      </c>
      <c r="F12389" s="133" t="s">
        <v>11</v>
      </c>
      <c r="G12389" s="134" t="n">
        <f aca="false">LEN('Saisie programme'!$H$442)+SUMIFS('Vols additionnels'!$E$7:$E$66,'Vols additionnels'!$C$7:$C$66,$E12389,'Vols additionnels'!$D$7:$D$66,$F12389,'Vols additionnels'!$B$7:$B$66,$D12389)</f>
        <v>1</v>
      </c>
      <c r="H12389" s="135" t="n">
        <f aca="false">$G12389*'Analyse capacite'!$F$7</f>
        <v>438</v>
      </c>
      <c r="I12389" s="135" t="n">
        <f aca="false">$G12389*'Analyse capacite'!$C$7</f>
        <v>14</v>
      </c>
      <c r="J12389" s="135" t="n">
        <f aca="false">$G12389*'Analyse capacite'!$D$7</f>
        <v>40</v>
      </c>
      <c r="K12389" s="135" t="n">
        <f aca="false">$G12389*'Analyse capacite'!$E$7</f>
        <v>384</v>
      </c>
    </row>
    <row r="12390" customFormat="false" ht="15" hidden="false" customHeight="false" outlineLevel="0" collapsed="false">
      <c r="B12390" s="130" t="n">
        <v>2028</v>
      </c>
      <c r="C12390" s="131" t="s">
        <v>257</v>
      </c>
      <c r="D12390" s="132" t="n">
        <v>46822</v>
      </c>
      <c r="E12390" s="131" t="s">
        <v>12</v>
      </c>
      <c r="F12390" s="133" t="s">
        <v>19</v>
      </c>
      <c r="G12390" s="134" t="n">
        <f aca="false">LEN('Saisie programme'!$H$443)+SUMIFS('Vols additionnels'!$E$7:$E$66,'Vols additionnels'!$C$7:$C$66,$E12390,'Vols additionnels'!$D$7:$D$66,$F12390,'Vols additionnels'!$B$7:$B$66,$D12390)</f>
        <v>1</v>
      </c>
      <c r="H12390" s="135" t="n">
        <f aca="false">$G12390*'Analyse capacite'!$F$8</f>
        <v>262</v>
      </c>
      <c r="I12390" s="135" t="n">
        <f aca="false">$G12390*'Analyse capacite'!$C$8</f>
        <v>18</v>
      </c>
      <c r="J12390" s="135" t="n">
        <f aca="false">$G12390*'Analyse capacite'!$D$8</f>
        <v>0</v>
      </c>
      <c r="K12390" s="135" t="n">
        <f aca="false">$G12390*'Analyse capacite'!$E$8</f>
        <v>244</v>
      </c>
    </row>
    <row r="12391" customFormat="false" ht="15" hidden="false" customHeight="false" outlineLevel="0" collapsed="false">
      <c r="B12391" s="130" t="n">
        <v>2028</v>
      </c>
      <c r="C12391" s="131" t="s">
        <v>257</v>
      </c>
      <c r="D12391" s="132" t="n">
        <v>46822</v>
      </c>
      <c r="E12391" s="131" t="s">
        <v>12</v>
      </c>
      <c r="F12391" s="133" t="s">
        <v>24</v>
      </c>
      <c r="G12391" s="134" t="n">
        <f aca="false">LEN('Saisie programme'!$H$444)+SUMIFS('Vols additionnels'!$E$7:$E$66,'Vols additionnels'!$C$7:$C$66,$E12391,'Vols additionnels'!$D$7:$D$66,$F12391,'Vols additionnels'!$B$7:$B$66,$D12391)</f>
        <v>0</v>
      </c>
      <c r="H12391" s="135" t="n">
        <f aca="false">$G12391*'Analyse capacite'!$F$9</f>
        <v>0</v>
      </c>
      <c r="I12391" s="135" t="n">
        <f aca="false">$G12391*'Analyse capacite'!$C$9</f>
        <v>0</v>
      </c>
      <c r="J12391" s="135" t="n">
        <f aca="false">$G12391*'Analyse capacite'!$D$9</f>
        <v>0</v>
      </c>
      <c r="K12391" s="135" t="n">
        <f aca="false">$G12391*'Analyse capacite'!$E$9</f>
        <v>0</v>
      </c>
    </row>
    <row r="12392" customFormat="false" ht="15" hidden="false" customHeight="false" outlineLevel="0" collapsed="false">
      <c r="B12392" s="130" t="n">
        <v>2028</v>
      </c>
      <c r="C12392" s="131" t="s">
        <v>257</v>
      </c>
      <c r="D12392" s="132" t="n">
        <v>46822</v>
      </c>
      <c r="E12392" s="131" t="s">
        <v>20</v>
      </c>
      <c r="F12392" s="133" t="s">
        <v>11</v>
      </c>
      <c r="G12392" s="134" t="n">
        <f aca="false">LEN('Saisie programme'!$H$445)+SUMIFS('Vols additionnels'!$E$7:$E$66,'Vols additionnels'!$C$7:$C$66,$E12392,'Vols additionnels'!$D$7:$D$66,$F12392,'Vols additionnels'!$B$7:$B$66,$D12392)</f>
        <v>0</v>
      </c>
      <c r="H12392" s="135" t="n">
        <f aca="false">$G12392*'Analyse capacite'!$F$7</f>
        <v>0</v>
      </c>
      <c r="I12392" s="135" t="n">
        <f aca="false">$G12392*'Analyse capacite'!$C$7</f>
        <v>0</v>
      </c>
      <c r="J12392" s="135" t="n">
        <f aca="false">$G12392*'Analyse capacite'!$D$7</f>
        <v>0</v>
      </c>
      <c r="K12392" s="135" t="n">
        <f aca="false">$G12392*'Analyse capacite'!$E$7</f>
        <v>0</v>
      </c>
    </row>
    <row r="12393" customFormat="false" ht="15" hidden="false" customHeight="false" outlineLevel="0" collapsed="false">
      <c r="B12393" s="130" t="n">
        <v>2028</v>
      </c>
      <c r="C12393" s="131" t="s">
        <v>257</v>
      </c>
      <c r="D12393" s="132" t="n">
        <v>46822</v>
      </c>
      <c r="E12393" s="131" t="s">
        <v>20</v>
      </c>
      <c r="F12393" s="133" t="s">
        <v>19</v>
      </c>
      <c r="G12393" s="134" t="n">
        <f aca="false">LEN('Saisie programme'!$H$446)+SUMIFS('Vols additionnels'!$E$7:$E$66,'Vols additionnels'!$C$7:$C$66,$E12393,'Vols additionnels'!$D$7:$D$66,$F12393,'Vols additionnels'!$B$7:$B$66,$D12393)</f>
        <v>1</v>
      </c>
      <c r="H12393" s="135" t="n">
        <f aca="false">$G12393*'Analyse capacite'!$F$8</f>
        <v>262</v>
      </c>
      <c r="I12393" s="135" t="n">
        <f aca="false">$G12393*'Analyse capacite'!$C$8</f>
        <v>18</v>
      </c>
      <c r="J12393" s="135" t="n">
        <f aca="false">$G12393*'Analyse capacite'!$D$8</f>
        <v>0</v>
      </c>
      <c r="K12393" s="135" t="n">
        <f aca="false">$G12393*'Analyse capacite'!$E$8</f>
        <v>244</v>
      </c>
    </row>
    <row r="12394" customFormat="false" ht="15" hidden="false" customHeight="false" outlineLevel="0" collapsed="false">
      <c r="B12394" s="130" t="n">
        <v>2028</v>
      </c>
      <c r="C12394" s="131" t="s">
        <v>257</v>
      </c>
      <c r="D12394" s="132" t="n">
        <v>46822</v>
      </c>
      <c r="E12394" s="131" t="s">
        <v>20</v>
      </c>
      <c r="F12394" s="133" t="s">
        <v>24</v>
      </c>
      <c r="G12394" s="134" t="n">
        <f aca="false">LEN('Saisie programme'!$H$447)+SUMIFS('Vols additionnels'!$E$7:$E$66,'Vols additionnels'!$C$7:$C$66,$E12394,'Vols additionnels'!$D$7:$D$66,$F12394,'Vols additionnels'!$B$7:$B$66,$D12394)</f>
        <v>0</v>
      </c>
      <c r="H12394" s="135" t="n">
        <f aca="false">$G12394*'Analyse capacite'!$F$9</f>
        <v>0</v>
      </c>
      <c r="I12394" s="135" t="n">
        <f aca="false">$G12394*'Analyse capacite'!$C$9</f>
        <v>0</v>
      </c>
      <c r="J12394" s="135" t="n">
        <f aca="false">$G12394*'Analyse capacite'!$D$9</f>
        <v>0</v>
      </c>
      <c r="K12394" s="135" t="n">
        <f aca="false">$G12394*'Analyse capacite'!$E$9</f>
        <v>0</v>
      </c>
    </row>
    <row r="12395" customFormat="false" ht="15" hidden="false" customHeight="false" outlineLevel="0" collapsed="false">
      <c r="B12395" s="130" t="n">
        <v>2028</v>
      </c>
      <c r="C12395" s="131" t="s">
        <v>257</v>
      </c>
      <c r="D12395" s="132" t="n">
        <v>46822</v>
      </c>
      <c r="E12395" s="131" t="s">
        <v>25</v>
      </c>
      <c r="F12395" s="133" t="s">
        <v>11</v>
      </c>
      <c r="G12395" s="134" t="n">
        <f aca="false">LEN('Saisie programme'!$H$448)+SUMIFS('Vols additionnels'!$E$7:$E$66,'Vols additionnels'!$C$7:$C$66,$E12395,'Vols additionnels'!$D$7:$D$66,$F12395,'Vols additionnels'!$B$7:$B$66,$D12395)</f>
        <v>0</v>
      </c>
      <c r="H12395" s="135" t="n">
        <f aca="false">$G12395*'Analyse capacite'!$F$7</f>
        <v>0</v>
      </c>
      <c r="I12395" s="135" t="n">
        <f aca="false">$G12395*'Analyse capacite'!$C$7</f>
        <v>0</v>
      </c>
      <c r="J12395" s="135" t="n">
        <f aca="false">$G12395*'Analyse capacite'!$D$7</f>
        <v>0</v>
      </c>
      <c r="K12395" s="135" t="n">
        <f aca="false">$G12395*'Analyse capacite'!$E$7</f>
        <v>0</v>
      </c>
    </row>
    <row r="12396" customFormat="false" ht="15" hidden="false" customHeight="false" outlineLevel="0" collapsed="false">
      <c r="B12396" s="130" t="n">
        <v>2028</v>
      </c>
      <c r="C12396" s="131" t="s">
        <v>257</v>
      </c>
      <c r="D12396" s="132" t="n">
        <v>46822</v>
      </c>
      <c r="E12396" s="131" t="s">
        <v>25</v>
      </c>
      <c r="F12396" s="133" t="s">
        <v>19</v>
      </c>
      <c r="G12396" s="134" t="n">
        <f aca="false">LEN('Saisie programme'!$H$449)+SUMIFS('Vols additionnels'!$E$7:$E$66,'Vols additionnels'!$C$7:$C$66,$E12396,'Vols additionnels'!$D$7:$D$66,$F12396,'Vols additionnels'!$B$7:$B$66,$D12396)</f>
        <v>0</v>
      </c>
      <c r="H12396" s="135" t="n">
        <f aca="false">$G12396*'Analyse capacite'!$F$8</f>
        <v>0</v>
      </c>
      <c r="I12396" s="135" t="n">
        <f aca="false">$G12396*'Analyse capacite'!$C$8</f>
        <v>0</v>
      </c>
      <c r="J12396" s="135" t="n">
        <f aca="false">$G12396*'Analyse capacite'!$D$8</f>
        <v>0</v>
      </c>
      <c r="K12396" s="135" t="n">
        <f aca="false">$G12396*'Analyse capacite'!$E$8</f>
        <v>0</v>
      </c>
    </row>
    <row r="12397" customFormat="false" ht="15" hidden="false" customHeight="false" outlineLevel="0" collapsed="false">
      <c r="B12397" s="130" t="n">
        <v>2028</v>
      </c>
      <c r="C12397" s="131" t="s">
        <v>257</v>
      </c>
      <c r="D12397" s="132" t="n">
        <v>46822</v>
      </c>
      <c r="E12397" s="131" t="s">
        <v>25</v>
      </c>
      <c r="F12397" s="133" t="s">
        <v>24</v>
      </c>
      <c r="G12397" s="134" t="n">
        <f aca="false">LEN('Saisie programme'!$H$450)+SUMIFS('Vols additionnels'!$E$7:$E$66,'Vols additionnels'!$C$7:$C$66,$E12397,'Vols additionnels'!$D$7:$D$66,$F12397,'Vols additionnels'!$B$7:$B$66,$D12397)</f>
        <v>0</v>
      </c>
      <c r="H12397" s="135" t="n">
        <f aca="false">$G12397*'Analyse capacite'!$F$9</f>
        <v>0</v>
      </c>
      <c r="I12397" s="135" t="n">
        <f aca="false">$G12397*'Analyse capacite'!$C$9</f>
        <v>0</v>
      </c>
      <c r="J12397" s="135" t="n">
        <f aca="false">$G12397*'Analyse capacite'!$D$9</f>
        <v>0</v>
      </c>
      <c r="K12397" s="135" t="n">
        <f aca="false">$G12397*'Analyse capacite'!$E$9</f>
        <v>0</v>
      </c>
    </row>
    <row r="12398" customFormat="false" ht="15" hidden="false" customHeight="false" outlineLevel="0" collapsed="false">
      <c r="B12398" s="130" t="n">
        <v>2028</v>
      </c>
      <c r="C12398" s="131" t="s">
        <v>257</v>
      </c>
      <c r="D12398" s="132" t="n">
        <v>46822</v>
      </c>
      <c r="E12398" s="131" t="s">
        <v>36</v>
      </c>
      <c r="F12398" s="133" t="s">
        <v>11</v>
      </c>
      <c r="G12398" s="134" t="n">
        <f aca="false">LEN('Saisie programme'!$H$451)+SUMIFS('Vols additionnels'!$E$7:$E$66,'Vols additionnels'!$C$7:$C$66,$E12398,'Vols additionnels'!$D$7:$D$66,$F12398,'Vols additionnels'!$B$7:$B$66,$D12398)</f>
        <v>0</v>
      </c>
      <c r="H12398" s="135" t="n">
        <f aca="false">$G12398*'Analyse capacite'!$F$7</f>
        <v>0</v>
      </c>
      <c r="I12398" s="135" t="n">
        <f aca="false">$G12398*'Analyse capacite'!$C$7</f>
        <v>0</v>
      </c>
      <c r="J12398" s="135" t="n">
        <f aca="false">$G12398*'Analyse capacite'!$D$7</f>
        <v>0</v>
      </c>
      <c r="K12398" s="135" t="n">
        <f aca="false">$G12398*'Analyse capacite'!$E$7</f>
        <v>0</v>
      </c>
    </row>
    <row r="12399" customFormat="false" ht="15" hidden="false" customHeight="false" outlineLevel="0" collapsed="false">
      <c r="B12399" s="130" t="n">
        <v>2028</v>
      </c>
      <c r="C12399" s="131" t="s">
        <v>257</v>
      </c>
      <c r="D12399" s="132" t="n">
        <v>46822</v>
      </c>
      <c r="E12399" s="131" t="s">
        <v>36</v>
      </c>
      <c r="F12399" s="133" t="s">
        <v>19</v>
      </c>
      <c r="G12399" s="134" t="n">
        <f aca="false">LEN('Saisie programme'!$H$452)+SUMIFS('Vols additionnels'!$E$7:$E$66,'Vols additionnels'!$C$7:$C$66,$E12399,'Vols additionnels'!$D$7:$D$66,$F12399,'Vols additionnels'!$B$7:$B$66,$D12399)</f>
        <v>0</v>
      </c>
      <c r="H12399" s="135" t="n">
        <f aca="false">$G12399*'Analyse capacite'!$F$8</f>
        <v>0</v>
      </c>
      <c r="I12399" s="135" t="n">
        <f aca="false">$G12399*'Analyse capacite'!$C$8</f>
        <v>0</v>
      </c>
      <c r="J12399" s="135" t="n">
        <f aca="false">$G12399*'Analyse capacite'!$D$8</f>
        <v>0</v>
      </c>
      <c r="K12399" s="135" t="n">
        <f aca="false">$G12399*'Analyse capacite'!$E$8</f>
        <v>0</v>
      </c>
    </row>
    <row r="12400" customFormat="false" ht="15" hidden="false" customHeight="false" outlineLevel="0" collapsed="false">
      <c r="B12400" s="130" t="n">
        <v>2028</v>
      </c>
      <c r="C12400" s="131" t="s">
        <v>257</v>
      </c>
      <c r="D12400" s="132" t="n">
        <v>46822</v>
      </c>
      <c r="E12400" s="131" t="s">
        <v>36</v>
      </c>
      <c r="F12400" s="133" t="s">
        <v>24</v>
      </c>
      <c r="G12400" s="134" t="n">
        <f aca="false">LEN('Saisie programme'!$H$453)+SUMIFS('Vols additionnels'!$E$7:$E$66,'Vols additionnels'!$C$7:$C$66,$E12400,'Vols additionnels'!$D$7:$D$66,$F12400,'Vols additionnels'!$B$7:$B$66,$D12400)</f>
        <v>1</v>
      </c>
      <c r="H12400" s="135" t="n">
        <f aca="false">$G12400*'Analyse capacite'!$F$9</f>
        <v>174</v>
      </c>
      <c r="I12400" s="135" t="n">
        <f aca="false">$G12400*'Analyse capacite'!$C$9</f>
        <v>0</v>
      </c>
      <c r="J12400" s="135" t="n">
        <f aca="false">$G12400*'Analyse capacite'!$D$9</f>
        <v>12</v>
      </c>
      <c r="K12400" s="135" t="n">
        <f aca="false">$G12400*'Analyse capacite'!$E$9</f>
        <v>162</v>
      </c>
    </row>
    <row r="12401" customFormat="false" ht="15" hidden="false" customHeight="false" outlineLevel="0" collapsed="false">
      <c r="B12401" s="130" t="n">
        <v>2028</v>
      </c>
      <c r="C12401" s="131" t="s">
        <v>257</v>
      </c>
      <c r="D12401" s="132" t="n">
        <v>46822</v>
      </c>
      <c r="E12401" s="131" t="s">
        <v>40</v>
      </c>
      <c r="F12401" s="133" t="s">
        <v>11</v>
      </c>
      <c r="G12401" s="134" t="n">
        <f aca="false">LEN('Saisie programme'!$H$454)+SUMIFS('Vols additionnels'!$E$7:$E$66,'Vols additionnels'!$C$7:$C$66,$E12401,'Vols additionnels'!$D$7:$D$66,$F12401,'Vols additionnels'!$B$7:$B$66,$D12401)</f>
        <v>0</v>
      </c>
      <c r="H12401" s="135" t="n">
        <f aca="false">$G12401*'Analyse capacite'!$F$7</f>
        <v>0</v>
      </c>
      <c r="I12401" s="135" t="n">
        <f aca="false">$G12401*'Analyse capacite'!$C$7</f>
        <v>0</v>
      </c>
      <c r="J12401" s="135" t="n">
        <f aca="false">$G12401*'Analyse capacite'!$D$7</f>
        <v>0</v>
      </c>
      <c r="K12401" s="135" t="n">
        <f aca="false">$G12401*'Analyse capacite'!$E$7</f>
        <v>0</v>
      </c>
    </row>
    <row r="12402" customFormat="false" ht="15" hidden="false" customHeight="false" outlineLevel="0" collapsed="false">
      <c r="B12402" s="130" t="n">
        <v>2028</v>
      </c>
      <c r="C12402" s="131" t="s">
        <v>257</v>
      </c>
      <c r="D12402" s="132" t="n">
        <v>46822</v>
      </c>
      <c r="E12402" s="131" t="s">
        <v>40</v>
      </c>
      <c r="F12402" s="133" t="s">
        <v>19</v>
      </c>
      <c r="G12402" s="134" t="n">
        <f aca="false">LEN('Saisie programme'!$H$455)+SUMIFS('Vols additionnels'!$E$7:$E$66,'Vols additionnels'!$C$7:$C$66,$E12402,'Vols additionnels'!$D$7:$D$66,$F12402,'Vols additionnels'!$B$7:$B$66,$D12402)</f>
        <v>0</v>
      </c>
      <c r="H12402" s="135" t="n">
        <f aca="false">$G12402*'Analyse capacite'!$F$8</f>
        <v>0</v>
      </c>
      <c r="I12402" s="135" t="n">
        <f aca="false">$G12402*'Analyse capacite'!$C$8</f>
        <v>0</v>
      </c>
      <c r="J12402" s="135" t="n">
        <f aca="false">$G12402*'Analyse capacite'!$D$8</f>
        <v>0</v>
      </c>
      <c r="K12402" s="135" t="n">
        <f aca="false">$G12402*'Analyse capacite'!$E$8</f>
        <v>0</v>
      </c>
    </row>
    <row r="12403" customFormat="false" ht="15" hidden="false" customHeight="false" outlineLevel="0" collapsed="false">
      <c r="B12403" s="130" t="n">
        <v>2028</v>
      </c>
      <c r="C12403" s="131" t="s">
        <v>257</v>
      </c>
      <c r="D12403" s="132" t="n">
        <v>46822</v>
      </c>
      <c r="E12403" s="131" t="s">
        <v>40</v>
      </c>
      <c r="F12403" s="133" t="s">
        <v>24</v>
      </c>
      <c r="G12403" s="134" t="n">
        <f aca="false">LEN('Saisie programme'!$H$456)+SUMIFS('Vols additionnels'!$E$7:$E$66,'Vols additionnels'!$C$7:$C$66,$E12403,'Vols additionnels'!$D$7:$D$66,$F12403,'Vols additionnels'!$B$7:$B$66,$D12403)</f>
        <v>1</v>
      </c>
      <c r="H12403" s="135" t="n">
        <f aca="false">$G12403*'Analyse capacite'!$F$9</f>
        <v>174</v>
      </c>
      <c r="I12403" s="135" t="n">
        <f aca="false">$G12403*'Analyse capacite'!$C$9</f>
        <v>0</v>
      </c>
      <c r="J12403" s="135" t="n">
        <f aca="false">$G12403*'Analyse capacite'!$D$9</f>
        <v>12</v>
      </c>
      <c r="K12403" s="135" t="n">
        <f aca="false">$G12403*'Analyse capacite'!$E$9</f>
        <v>162</v>
      </c>
    </row>
    <row r="12404" customFormat="false" ht="15" hidden="false" customHeight="false" outlineLevel="0" collapsed="false">
      <c r="B12404" s="130" t="n">
        <v>2028</v>
      </c>
      <c r="C12404" s="131" t="s">
        <v>257</v>
      </c>
      <c r="D12404" s="132" t="n">
        <v>46822</v>
      </c>
      <c r="E12404" s="131" t="s">
        <v>14</v>
      </c>
      <c r="F12404" s="133" t="s">
        <v>11</v>
      </c>
      <c r="G12404" s="134" t="n">
        <f aca="false">LEN('Saisie programme'!$H$457)+SUMIFS('Vols additionnels'!$E$7:$E$66,'Vols additionnels'!$C$7:$C$66,$E12404,'Vols additionnels'!$D$7:$D$66,$F12404,'Vols additionnels'!$B$7:$B$66,$D12404)</f>
        <v>0</v>
      </c>
      <c r="H12404" s="135" t="n">
        <f aca="false">$G12404*'Analyse capacite'!$F$7</f>
        <v>0</v>
      </c>
      <c r="I12404" s="135" t="n">
        <f aca="false">$G12404*'Analyse capacite'!$C$7</f>
        <v>0</v>
      </c>
      <c r="J12404" s="135" t="n">
        <f aca="false">$G12404*'Analyse capacite'!$D$7</f>
        <v>0</v>
      </c>
      <c r="K12404" s="135" t="n">
        <f aca="false">$G12404*'Analyse capacite'!$E$7</f>
        <v>0</v>
      </c>
    </row>
    <row r="12405" customFormat="false" ht="15" hidden="false" customHeight="false" outlineLevel="0" collapsed="false">
      <c r="B12405" s="130" t="n">
        <v>2028</v>
      </c>
      <c r="C12405" s="131" t="s">
        <v>257</v>
      </c>
      <c r="D12405" s="132" t="n">
        <v>46822</v>
      </c>
      <c r="E12405" s="131" t="s">
        <v>14</v>
      </c>
      <c r="F12405" s="133" t="s">
        <v>19</v>
      </c>
      <c r="G12405" s="134" t="n">
        <f aca="false">LEN('Saisie programme'!$H$458)+SUMIFS('Vols additionnels'!$E$7:$E$66,'Vols additionnels'!$C$7:$C$66,$E12405,'Vols additionnels'!$D$7:$D$66,$F12405,'Vols additionnels'!$B$7:$B$66,$D12405)</f>
        <v>0</v>
      </c>
      <c r="H12405" s="135" t="n">
        <f aca="false">$G12405*'Analyse capacite'!$F$8</f>
        <v>0</v>
      </c>
      <c r="I12405" s="135" t="n">
        <f aca="false">$G12405*'Analyse capacite'!$C$8</f>
        <v>0</v>
      </c>
      <c r="J12405" s="135" t="n">
        <f aca="false">$G12405*'Analyse capacite'!$D$8</f>
        <v>0</v>
      </c>
      <c r="K12405" s="135" t="n">
        <f aca="false">$G12405*'Analyse capacite'!$E$8</f>
        <v>0</v>
      </c>
    </row>
    <row r="12406" customFormat="false" ht="15" hidden="false" customHeight="false" outlineLevel="0" collapsed="false">
      <c r="B12406" s="130" t="n">
        <v>2028</v>
      </c>
      <c r="C12406" s="131" t="s">
        <v>257</v>
      </c>
      <c r="D12406" s="132" t="n">
        <v>46822</v>
      </c>
      <c r="E12406" s="131" t="s">
        <v>14</v>
      </c>
      <c r="F12406" s="133" t="s">
        <v>24</v>
      </c>
      <c r="G12406" s="134" t="n">
        <f aca="false">LEN('Saisie programme'!$H$459)+SUMIFS('Vols additionnels'!$E$7:$E$66,'Vols additionnels'!$C$7:$C$66,$E12406,'Vols additionnels'!$D$7:$D$66,$F12406,'Vols additionnels'!$B$7:$B$66,$D12406)</f>
        <v>0</v>
      </c>
      <c r="H12406" s="135" t="n">
        <f aca="false">$G12406*'Analyse capacite'!$F$9</f>
        <v>0</v>
      </c>
      <c r="I12406" s="135" t="n">
        <f aca="false">$G12406*'Analyse capacite'!$C$9</f>
        <v>0</v>
      </c>
      <c r="J12406" s="135" t="n">
        <f aca="false">$G12406*'Analyse capacite'!$D$9</f>
        <v>0</v>
      </c>
      <c r="K12406" s="135" t="n">
        <f aca="false">$G12406*'Analyse capacite'!$E$9</f>
        <v>0</v>
      </c>
    </row>
    <row r="12407" customFormat="false" ht="15" hidden="false" customHeight="false" outlineLevel="0" collapsed="false">
      <c r="B12407" s="130" t="n">
        <v>2028</v>
      </c>
      <c r="C12407" s="131" t="s">
        <v>257</v>
      </c>
      <c r="D12407" s="132" t="n">
        <v>46822</v>
      </c>
      <c r="E12407" s="131" t="s">
        <v>46</v>
      </c>
      <c r="F12407" s="133" t="s">
        <v>11</v>
      </c>
      <c r="G12407" s="134" t="n">
        <f aca="false">LEN('Saisie programme'!$H$460)+SUMIFS('Vols additionnels'!$E$7:$E$66,'Vols additionnels'!$C$7:$C$66,$E12407,'Vols additionnels'!$D$7:$D$66,$F12407,'Vols additionnels'!$B$7:$B$66,$D12407)</f>
        <v>0</v>
      </c>
      <c r="H12407" s="135" t="n">
        <f aca="false">$G12407*'Analyse capacite'!$F$7</f>
        <v>0</v>
      </c>
      <c r="I12407" s="135" t="n">
        <f aca="false">$G12407*'Analyse capacite'!$C$7</f>
        <v>0</v>
      </c>
      <c r="J12407" s="135" t="n">
        <f aca="false">$G12407*'Analyse capacite'!$D$7</f>
        <v>0</v>
      </c>
      <c r="K12407" s="135" t="n">
        <f aca="false">$G12407*'Analyse capacite'!$E$7</f>
        <v>0</v>
      </c>
    </row>
    <row r="12408" customFormat="false" ht="15" hidden="false" customHeight="false" outlineLevel="0" collapsed="false">
      <c r="B12408" s="130" t="n">
        <v>2028</v>
      </c>
      <c r="C12408" s="131" t="s">
        <v>257</v>
      </c>
      <c r="D12408" s="132" t="n">
        <v>46822</v>
      </c>
      <c r="E12408" s="131" t="s">
        <v>46</v>
      </c>
      <c r="F12408" s="133" t="s">
        <v>19</v>
      </c>
      <c r="G12408" s="134" t="n">
        <f aca="false">LEN('Saisie programme'!$H$461)+SUMIFS('Vols additionnels'!$E$7:$E$66,'Vols additionnels'!$C$7:$C$66,$E12408,'Vols additionnels'!$D$7:$D$66,$F12408,'Vols additionnels'!$B$7:$B$66,$D12408)</f>
        <v>0</v>
      </c>
      <c r="H12408" s="135" t="n">
        <f aca="false">$G12408*'Analyse capacite'!$F$8</f>
        <v>0</v>
      </c>
      <c r="I12408" s="135" t="n">
        <f aca="false">$G12408*'Analyse capacite'!$C$8</f>
        <v>0</v>
      </c>
      <c r="J12408" s="135" t="n">
        <f aca="false">$G12408*'Analyse capacite'!$D$8</f>
        <v>0</v>
      </c>
      <c r="K12408" s="135" t="n">
        <f aca="false">$G12408*'Analyse capacite'!$E$8</f>
        <v>0</v>
      </c>
    </row>
    <row r="12409" customFormat="false" ht="15" hidden="false" customHeight="false" outlineLevel="0" collapsed="false">
      <c r="B12409" s="130" t="n">
        <v>2028</v>
      </c>
      <c r="C12409" s="131" t="s">
        <v>257</v>
      </c>
      <c r="D12409" s="132" t="n">
        <v>46822</v>
      </c>
      <c r="E12409" s="131" t="s">
        <v>46</v>
      </c>
      <c r="F12409" s="133" t="s">
        <v>24</v>
      </c>
      <c r="G12409" s="134" t="n">
        <f aca="false">LEN('Saisie programme'!$H$462)+SUMIFS('Vols additionnels'!$E$7:$E$66,'Vols additionnels'!$C$7:$C$66,$E12409,'Vols additionnels'!$D$7:$D$66,$F12409,'Vols additionnels'!$B$7:$B$66,$D12409)</f>
        <v>0</v>
      </c>
      <c r="H12409" s="135" t="n">
        <f aca="false">$G12409*'Analyse capacite'!$F$9</f>
        <v>0</v>
      </c>
      <c r="I12409" s="135" t="n">
        <f aca="false">$G12409*'Analyse capacite'!$C$9</f>
        <v>0</v>
      </c>
      <c r="J12409" s="135" t="n">
        <f aca="false">$G12409*'Analyse capacite'!$D$9</f>
        <v>0</v>
      </c>
      <c r="K12409" s="135" t="n">
        <f aca="false">$G12409*'Analyse capacite'!$E$9</f>
        <v>0</v>
      </c>
    </row>
    <row r="12410" customFormat="false" ht="15" hidden="false" customHeight="false" outlineLevel="0" collapsed="false">
      <c r="B12410" s="130" t="n">
        <v>2028</v>
      </c>
      <c r="C12410" s="131" t="s">
        <v>257</v>
      </c>
      <c r="D12410" s="132" t="n">
        <v>46822</v>
      </c>
      <c r="E12410" s="131" t="s">
        <v>49</v>
      </c>
      <c r="F12410" s="133" t="s">
        <v>11</v>
      </c>
      <c r="G12410" s="134" t="n">
        <f aca="false">LEN('Saisie programme'!$H$463)+SUMIFS('Vols additionnels'!$E$7:$E$66,'Vols additionnels'!$C$7:$C$66,$E12410,'Vols additionnels'!$D$7:$D$66,$F12410,'Vols additionnels'!$B$7:$B$66,$D12410)</f>
        <v>0</v>
      </c>
      <c r="H12410" s="135" t="n">
        <f aca="false">$G12410*'Analyse capacite'!$F$7</f>
        <v>0</v>
      </c>
      <c r="I12410" s="135" t="n">
        <f aca="false">$G12410*'Analyse capacite'!$C$7</f>
        <v>0</v>
      </c>
      <c r="J12410" s="135" t="n">
        <f aca="false">$G12410*'Analyse capacite'!$D$7</f>
        <v>0</v>
      </c>
      <c r="K12410" s="135" t="n">
        <f aca="false">$G12410*'Analyse capacite'!$E$7</f>
        <v>0</v>
      </c>
    </row>
    <row r="12411" customFormat="false" ht="15" hidden="false" customHeight="false" outlineLevel="0" collapsed="false">
      <c r="B12411" s="130" t="n">
        <v>2028</v>
      </c>
      <c r="C12411" s="131" t="s">
        <v>257</v>
      </c>
      <c r="D12411" s="132" t="n">
        <v>46822</v>
      </c>
      <c r="E12411" s="131" t="s">
        <v>49</v>
      </c>
      <c r="F12411" s="133" t="s">
        <v>19</v>
      </c>
      <c r="G12411" s="134" t="n">
        <f aca="false">LEN('Saisie programme'!$H$464)+SUMIFS('Vols additionnels'!$E$7:$E$66,'Vols additionnels'!$C$7:$C$66,$E12411,'Vols additionnels'!$D$7:$D$66,$F12411,'Vols additionnels'!$B$7:$B$66,$D12411)</f>
        <v>1</v>
      </c>
      <c r="H12411" s="135" t="n">
        <f aca="false">$G12411*'Analyse capacite'!$F$8</f>
        <v>262</v>
      </c>
      <c r="I12411" s="135" t="n">
        <f aca="false">$G12411*'Analyse capacite'!$C$8</f>
        <v>18</v>
      </c>
      <c r="J12411" s="135" t="n">
        <f aca="false">$G12411*'Analyse capacite'!$D$8</f>
        <v>0</v>
      </c>
      <c r="K12411" s="135" t="n">
        <f aca="false">$G12411*'Analyse capacite'!$E$8</f>
        <v>244</v>
      </c>
    </row>
    <row r="12412" customFormat="false" ht="15" hidden="false" customHeight="false" outlineLevel="0" collapsed="false">
      <c r="B12412" s="130" t="n">
        <v>2028</v>
      </c>
      <c r="C12412" s="131" t="s">
        <v>257</v>
      </c>
      <c r="D12412" s="132" t="n">
        <v>46822</v>
      </c>
      <c r="E12412" s="131" t="s">
        <v>49</v>
      </c>
      <c r="F12412" s="133" t="s">
        <v>24</v>
      </c>
      <c r="G12412" s="134" t="n">
        <f aca="false">LEN('Saisie programme'!$H$465)+SUMIFS('Vols additionnels'!$E$7:$E$66,'Vols additionnels'!$C$7:$C$66,$E12412,'Vols additionnels'!$D$7:$D$66,$F12412,'Vols additionnels'!$B$7:$B$66,$D12412)</f>
        <v>0</v>
      </c>
      <c r="H12412" s="135" t="n">
        <f aca="false">$G12412*'Analyse capacite'!$F$9</f>
        <v>0</v>
      </c>
      <c r="I12412" s="135" t="n">
        <f aca="false">$G12412*'Analyse capacite'!$C$9</f>
        <v>0</v>
      </c>
      <c r="J12412" s="135" t="n">
        <f aca="false">$G12412*'Analyse capacite'!$D$9</f>
        <v>0</v>
      </c>
      <c r="K12412" s="135" t="n">
        <f aca="false">$G12412*'Analyse capacite'!$E$9</f>
        <v>0</v>
      </c>
    </row>
    <row r="12413" customFormat="false" ht="15" hidden="false" customHeight="false" outlineLevel="0" collapsed="false">
      <c r="B12413" s="130" t="n">
        <v>2028</v>
      </c>
      <c r="C12413" s="131" t="s">
        <v>257</v>
      </c>
      <c r="D12413" s="132" t="n">
        <v>46822</v>
      </c>
      <c r="E12413" s="131" t="s">
        <v>53</v>
      </c>
      <c r="F12413" s="133" t="s">
        <v>11</v>
      </c>
      <c r="G12413" s="134" t="n">
        <f aca="false">LEN('Saisie programme'!$H$466)+SUMIFS('Vols additionnels'!$E$7:$E$66,'Vols additionnels'!$C$7:$C$66,$E12413,'Vols additionnels'!$D$7:$D$66,$F12413,'Vols additionnels'!$B$7:$B$66,$D12413)</f>
        <v>0</v>
      </c>
      <c r="H12413" s="135" t="n">
        <f aca="false">$G12413*'Analyse capacite'!$F$7</f>
        <v>0</v>
      </c>
      <c r="I12413" s="135" t="n">
        <f aca="false">$G12413*'Analyse capacite'!$C$7</f>
        <v>0</v>
      </c>
      <c r="J12413" s="135" t="n">
        <f aca="false">$G12413*'Analyse capacite'!$D$7</f>
        <v>0</v>
      </c>
      <c r="K12413" s="135" t="n">
        <f aca="false">$G12413*'Analyse capacite'!$E$7</f>
        <v>0</v>
      </c>
    </row>
    <row r="12414" customFormat="false" ht="15" hidden="false" customHeight="false" outlineLevel="0" collapsed="false">
      <c r="B12414" s="130" t="n">
        <v>2028</v>
      </c>
      <c r="C12414" s="131" t="s">
        <v>257</v>
      </c>
      <c r="D12414" s="132" t="n">
        <v>46822</v>
      </c>
      <c r="E12414" s="131" t="s">
        <v>53</v>
      </c>
      <c r="F12414" s="133" t="s">
        <v>19</v>
      </c>
      <c r="G12414" s="134" t="n">
        <f aca="false">LEN('Saisie programme'!$H$467)+SUMIFS('Vols additionnels'!$E$7:$E$66,'Vols additionnels'!$C$7:$C$66,$E12414,'Vols additionnels'!$D$7:$D$66,$F12414,'Vols additionnels'!$B$7:$B$66,$D12414)</f>
        <v>0</v>
      </c>
      <c r="H12414" s="135" t="n">
        <f aca="false">$G12414*'Analyse capacite'!$F$8</f>
        <v>0</v>
      </c>
      <c r="I12414" s="135" t="n">
        <f aca="false">$G12414*'Analyse capacite'!$C$8</f>
        <v>0</v>
      </c>
      <c r="J12414" s="135" t="n">
        <f aca="false">$G12414*'Analyse capacite'!$D$8</f>
        <v>0</v>
      </c>
      <c r="K12414" s="135" t="n">
        <f aca="false">$G12414*'Analyse capacite'!$E$8</f>
        <v>0</v>
      </c>
    </row>
    <row r="12415" customFormat="false" ht="15" hidden="false" customHeight="false" outlineLevel="0" collapsed="false">
      <c r="B12415" s="130" t="n">
        <v>2028</v>
      </c>
      <c r="C12415" s="131" t="s">
        <v>257</v>
      </c>
      <c r="D12415" s="132" t="n">
        <v>46822</v>
      </c>
      <c r="E12415" s="131" t="s">
        <v>53</v>
      </c>
      <c r="F12415" s="133" t="s">
        <v>24</v>
      </c>
      <c r="G12415" s="134" t="n">
        <f aca="false">LEN('Saisie programme'!$H$468)+SUMIFS('Vols additionnels'!$E$7:$E$66,'Vols additionnels'!$C$7:$C$66,$E12415,'Vols additionnels'!$D$7:$D$66,$F12415,'Vols additionnels'!$B$7:$B$66,$D12415)</f>
        <v>0</v>
      </c>
      <c r="H12415" s="135" t="n">
        <f aca="false">$G12415*'Analyse capacite'!$F$9</f>
        <v>0</v>
      </c>
      <c r="I12415" s="135" t="n">
        <f aca="false">$G12415*'Analyse capacite'!$C$9</f>
        <v>0</v>
      </c>
      <c r="J12415" s="135" t="n">
        <f aca="false">$G12415*'Analyse capacite'!$D$9</f>
        <v>0</v>
      </c>
      <c r="K12415" s="135" t="n">
        <f aca="false">$G12415*'Analyse capacite'!$E$9</f>
        <v>0</v>
      </c>
    </row>
    <row r="12416" customFormat="false" ht="15" hidden="false" customHeight="false" outlineLevel="0" collapsed="false">
      <c r="B12416" s="130" t="n">
        <v>2028</v>
      </c>
      <c r="C12416" s="131" t="s">
        <v>257</v>
      </c>
      <c r="D12416" s="132" t="n">
        <v>46822</v>
      </c>
      <c r="E12416" s="131" t="s">
        <v>56</v>
      </c>
      <c r="F12416" s="133" t="s">
        <v>11</v>
      </c>
      <c r="G12416" s="134" t="n">
        <f aca="false">LEN('Saisie programme'!$H$469)+SUMIFS('Vols additionnels'!$E$7:$E$66,'Vols additionnels'!$C$7:$C$66,$E12416,'Vols additionnels'!$D$7:$D$66,$F12416,'Vols additionnels'!$B$7:$B$66,$D12416)</f>
        <v>0</v>
      </c>
      <c r="H12416" s="135" t="n">
        <f aca="false">$G12416*'Analyse capacite'!$F$7</f>
        <v>0</v>
      </c>
      <c r="I12416" s="135" t="n">
        <f aca="false">$G12416*'Analyse capacite'!$C$7</f>
        <v>0</v>
      </c>
      <c r="J12416" s="135" t="n">
        <f aca="false">$G12416*'Analyse capacite'!$D$7</f>
        <v>0</v>
      </c>
      <c r="K12416" s="135" t="n">
        <f aca="false">$G12416*'Analyse capacite'!$E$7</f>
        <v>0</v>
      </c>
    </row>
    <row r="12417" customFormat="false" ht="15" hidden="false" customHeight="false" outlineLevel="0" collapsed="false">
      <c r="B12417" s="130" t="n">
        <v>2028</v>
      </c>
      <c r="C12417" s="131" t="s">
        <v>257</v>
      </c>
      <c r="D12417" s="132" t="n">
        <v>46822</v>
      </c>
      <c r="E12417" s="131" t="s">
        <v>56</v>
      </c>
      <c r="F12417" s="133" t="s">
        <v>19</v>
      </c>
      <c r="G12417" s="134" t="n">
        <f aca="false">LEN('Saisie programme'!$H$470)+SUMIFS('Vols additionnels'!$E$7:$E$66,'Vols additionnels'!$C$7:$C$66,$E12417,'Vols additionnels'!$D$7:$D$66,$F12417,'Vols additionnels'!$B$7:$B$66,$D12417)</f>
        <v>0</v>
      </c>
      <c r="H12417" s="135" t="n">
        <f aca="false">$G12417*'Analyse capacite'!$F$8</f>
        <v>0</v>
      </c>
      <c r="I12417" s="135" t="n">
        <f aca="false">$G12417*'Analyse capacite'!$C$8</f>
        <v>0</v>
      </c>
      <c r="J12417" s="135" t="n">
        <f aca="false">$G12417*'Analyse capacite'!$D$8</f>
        <v>0</v>
      </c>
      <c r="K12417" s="135" t="n">
        <f aca="false">$G12417*'Analyse capacite'!$E$8</f>
        <v>0</v>
      </c>
    </row>
    <row r="12418" customFormat="false" ht="15" hidden="false" customHeight="false" outlineLevel="0" collapsed="false">
      <c r="B12418" s="130" t="n">
        <v>2028</v>
      </c>
      <c r="C12418" s="131" t="s">
        <v>257</v>
      </c>
      <c r="D12418" s="132" t="n">
        <v>46822</v>
      </c>
      <c r="E12418" s="131" t="s">
        <v>56</v>
      </c>
      <c r="F12418" s="133" t="s">
        <v>24</v>
      </c>
      <c r="G12418" s="134" t="n">
        <f aca="false">LEN('Saisie programme'!$H$471)+SUMIFS('Vols additionnels'!$E$7:$E$66,'Vols additionnels'!$C$7:$C$66,$E12418,'Vols additionnels'!$D$7:$D$66,$F12418,'Vols additionnels'!$B$7:$B$66,$D12418)</f>
        <v>0</v>
      </c>
      <c r="H12418" s="135" t="n">
        <f aca="false">$G12418*'Analyse capacite'!$F$9</f>
        <v>0</v>
      </c>
      <c r="I12418" s="135" t="n">
        <f aca="false">$G12418*'Analyse capacite'!$C$9</f>
        <v>0</v>
      </c>
      <c r="J12418" s="135" t="n">
        <f aca="false">$G12418*'Analyse capacite'!$D$9</f>
        <v>0</v>
      </c>
      <c r="K12418" s="135" t="n">
        <f aca="false">$G12418*'Analyse capacite'!$E$9</f>
        <v>0</v>
      </c>
    </row>
    <row r="12419" customFormat="false" ht="15" hidden="false" customHeight="false" outlineLevel="0" collapsed="false">
      <c r="B12419" s="130" t="n">
        <v>2028</v>
      </c>
      <c r="C12419" s="131" t="s">
        <v>257</v>
      </c>
      <c r="D12419" s="132" t="n">
        <v>46822</v>
      </c>
      <c r="E12419" s="131" t="s">
        <v>59</v>
      </c>
      <c r="F12419" s="133" t="s">
        <v>11</v>
      </c>
      <c r="G12419" s="134" t="n">
        <f aca="false">LEN('Saisie programme'!$H$472)+SUMIFS('Vols additionnels'!$E$7:$E$66,'Vols additionnels'!$C$7:$C$66,$E12419,'Vols additionnels'!$D$7:$D$66,$F12419,'Vols additionnels'!$B$7:$B$66,$D12419)</f>
        <v>0</v>
      </c>
      <c r="H12419" s="135" t="n">
        <f aca="false">$G12419*'Analyse capacite'!$F$7</f>
        <v>0</v>
      </c>
      <c r="I12419" s="135" t="n">
        <f aca="false">$G12419*'Analyse capacite'!$C$7</f>
        <v>0</v>
      </c>
      <c r="J12419" s="135" t="n">
        <f aca="false">$G12419*'Analyse capacite'!$D$7</f>
        <v>0</v>
      </c>
      <c r="K12419" s="135" t="n">
        <f aca="false">$G12419*'Analyse capacite'!$E$7</f>
        <v>0</v>
      </c>
    </row>
    <row r="12420" customFormat="false" ht="15" hidden="false" customHeight="false" outlineLevel="0" collapsed="false">
      <c r="B12420" s="130" t="n">
        <v>2028</v>
      </c>
      <c r="C12420" s="131" t="s">
        <v>257</v>
      </c>
      <c r="D12420" s="132" t="n">
        <v>46822</v>
      </c>
      <c r="E12420" s="131" t="s">
        <v>59</v>
      </c>
      <c r="F12420" s="133" t="s">
        <v>19</v>
      </c>
      <c r="G12420" s="134" t="n">
        <f aca="false">LEN('Saisie programme'!$H$473)+SUMIFS('Vols additionnels'!$E$7:$E$66,'Vols additionnels'!$C$7:$C$66,$E12420,'Vols additionnels'!$D$7:$D$66,$F12420,'Vols additionnels'!$B$7:$B$66,$D12420)</f>
        <v>0</v>
      </c>
      <c r="H12420" s="135" t="n">
        <f aca="false">$G12420*'Analyse capacite'!$F$8</f>
        <v>0</v>
      </c>
      <c r="I12420" s="135" t="n">
        <f aca="false">$G12420*'Analyse capacite'!$C$8</f>
        <v>0</v>
      </c>
      <c r="J12420" s="135" t="n">
        <f aca="false">$G12420*'Analyse capacite'!$D$8</f>
        <v>0</v>
      </c>
      <c r="K12420" s="135" t="n">
        <f aca="false">$G12420*'Analyse capacite'!$E$8</f>
        <v>0</v>
      </c>
    </row>
    <row r="12421" customFormat="false" ht="15" hidden="false" customHeight="false" outlineLevel="0" collapsed="false">
      <c r="B12421" s="130" t="n">
        <v>2028</v>
      </c>
      <c r="C12421" s="131" t="s">
        <v>257</v>
      </c>
      <c r="D12421" s="132" t="n">
        <v>46822</v>
      </c>
      <c r="E12421" s="131" t="s">
        <v>59</v>
      </c>
      <c r="F12421" s="133" t="s">
        <v>24</v>
      </c>
      <c r="G12421" s="134" t="n">
        <f aca="false">LEN('Saisie programme'!$H$474)+SUMIFS('Vols additionnels'!$E$7:$E$66,'Vols additionnels'!$C$7:$C$66,$E12421,'Vols additionnels'!$D$7:$D$66,$F12421,'Vols additionnels'!$B$7:$B$66,$D12421)</f>
        <v>1</v>
      </c>
      <c r="H12421" s="135" t="n">
        <f aca="false">$G12421*'Analyse capacite'!$F$9</f>
        <v>174</v>
      </c>
      <c r="I12421" s="135" t="n">
        <f aca="false">$G12421*'Analyse capacite'!$C$9</f>
        <v>0</v>
      </c>
      <c r="J12421" s="135" t="n">
        <f aca="false">$G12421*'Analyse capacite'!$D$9</f>
        <v>12</v>
      </c>
      <c r="K12421" s="135" t="n">
        <f aca="false">$G12421*'Analyse capacite'!$E$9</f>
        <v>162</v>
      </c>
    </row>
    <row r="12422" customFormat="false" ht="15" hidden="false" customHeight="false" outlineLevel="0" collapsed="false">
      <c r="B12422" s="130" t="n">
        <v>2028</v>
      </c>
      <c r="C12422" s="131" t="s">
        <v>257</v>
      </c>
      <c r="D12422" s="132" t="n">
        <v>46822</v>
      </c>
      <c r="E12422" s="131" t="s">
        <v>62</v>
      </c>
      <c r="F12422" s="133" t="s">
        <v>11</v>
      </c>
      <c r="G12422" s="134" t="n">
        <f aca="false">LEN('Saisie programme'!$H$475)+SUMIFS('Vols additionnels'!$E$7:$E$66,'Vols additionnels'!$C$7:$C$66,$E12422,'Vols additionnels'!$D$7:$D$66,$F12422,'Vols additionnels'!$B$7:$B$66,$D12422)</f>
        <v>0</v>
      </c>
      <c r="H12422" s="135" t="n">
        <f aca="false">$G12422*'Analyse capacite'!$F$7</f>
        <v>0</v>
      </c>
      <c r="I12422" s="135" t="n">
        <f aca="false">$G12422*'Analyse capacite'!$C$7</f>
        <v>0</v>
      </c>
      <c r="J12422" s="135" t="n">
        <f aca="false">$G12422*'Analyse capacite'!$D$7</f>
        <v>0</v>
      </c>
      <c r="K12422" s="135" t="n">
        <f aca="false">$G12422*'Analyse capacite'!$E$7</f>
        <v>0</v>
      </c>
    </row>
    <row r="12423" customFormat="false" ht="15" hidden="false" customHeight="false" outlineLevel="0" collapsed="false">
      <c r="B12423" s="130" t="n">
        <v>2028</v>
      </c>
      <c r="C12423" s="131" t="s">
        <v>257</v>
      </c>
      <c r="D12423" s="132" t="n">
        <v>46822</v>
      </c>
      <c r="E12423" s="131" t="s">
        <v>62</v>
      </c>
      <c r="F12423" s="133" t="s">
        <v>19</v>
      </c>
      <c r="G12423" s="134" t="n">
        <f aca="false">LEN('Saisie programme'!$H$476)+SUMIFS('Vols additionnels'!$E$7:$E$66,'Vols additionnels'!$C$7:$C$66,$E12423,'Vols additionnels'!$D$7:$D$66,$F12423,'Vols additionnels'!$B$7:$B$66,$D12423)</f>
        <v>0</v>
      </c>
      <c r="H12423" s="135" t="n">
        <f aca="false">$G12423*'Analyse capacite'!$F$8</f>
        <v>0</v>
      </c>
      <c r="I12423" s="135" t="n">
        <f aca="false">$G12423*'Analyse capacite'!$C$8</f>
        <v>0</v>
      </c>
      <c r="J12423" s="135" t="n">
        <f aca="false">$G12423*'Analyse capacite'!$D$8</f>
        <v>0</v>
      </c>
      <c r="K12423" s="135" t="n">
        <f aca="false">$G12423*'Analyse capacite'!$E$8</f>
        <v>0</v>
      </c>
    </row>
    <row r="12424" customFormat="false" ht="15" hidden="false" customHeight="false" outlineLevel="0" collapsed="false">
      <c r="B12424" s="130" t="n">
        <v>2028</v>
      </c>
      <c r="C12424" s="131" t="s">
        <v>257</v>
      </c>
      <c r="D12424" s="132" t="n">
        <v>46822</v>
      </c>
      <c r="E12424" s="131" t="s">
        <v>62</v>
      </c>
      <c r="F12424" s="133" t="s">
        <v>24</v>
      </c>
      <c r="G12424" s="134" t="n">
        <f aca="false">LEN('Saisie programme'!$H$477)+SUMIFS('Vols additionnels'!$E$7:$E$66,'Vols additionnels'!$C$7:$C$66,$E12424,'Vols additionnels'!$D$7:$D$66,$F12424,'Vols additionnels'!$B$7:$B$66,$D12424)</f>
        <v>0</v>
      </c>
      <c r="H12424" s="135" t="n">
        <f aca="false">$G12424*'Analyse capacite'!$F$9</f>
        <v>0</v>
      </c>
      <c r="I12424" s="135" t="n">
        <f aca="false">$G12424*'Analyse capacite'!$C$9</f>
        <v>0</v>
      </c>
      <c r="J12424" s="135" t="n">
        <f aca="false">$G12424*'Analyse capacite'!$D$9</f>
        <v>0</v>
      </c>
      <c r="K12424" s="135" t="n">
        <f aca="false">$G12424*'Analyse capacite'!$E$9</f>
        <v>0</v>
      </c>
    </row>
    <row r="12425" customFormat="false" ht="15" hidden="false" customHeight="false" outlineLevel="0" collapsed="false">
      <c r="B12425" s="130" t="n">
        <v>2028</v>
      </c>
      <c r="C12425" s="131" t="s">
        <v>257</v>
      </c>
      <c r="D12425" s="132" t="n">
        <v>46823</v>
      </c>
      <c r="E12425" s="131" t="s">
        <v>12</v>
      </c>
      <c r="F12425" s="133" t="s">
        <v>11</v>
      </c>
      <c r="G12425" s="134" t="n">
        <f aca="false">LEN('Saisie programme'!$I$442)+SUMIFS('Vols additionnels'!$E$7:$E$66,'Vols additionnels'!$C$7:$C$66,$E12425,'Vols additionnels'!$D$7:$D$66,$F12425,'Vols additionnels'!$B$7:$B$66,$D12425)</f>
        <v>1</v>
      </c>
      <c r="H12425" s="135" t="n">
        <f aca="false">$G12425*'Analyse capacite'!$F$7</f>
        <v>438</v>
      </c>
      <c r="I12425" s="135" t="n">
        <f aca="false">$G12425*'Analyse capacite'!$C$7</f>
        <v>14</v>
      </c>
      <c r="J12425" s="135" t="n">
        <f aca="false">$G12425*'Analyse capacite'!$D$7</f>
        <v>40</v>
      </c>
      <c r="K12425" s="135" t="n">
        <f aca="false">$G12425*'Analyse capacite'!$E$7</f>
        <v>384</v>
      </c>
    </row>
    <row r="12426" customFormat="false" ht="15" hidden="false" customHeight="false" outlineLevel="0" collapsed="false">
      <c r="B12426" s="130" t="n">
        <v>2028</v>
      </c>
      <c r="C12426" s="131" t="s">
        <v>257</v>
      </c>
      <c r="D12426" s="132" t="n">
        <v>46823</v>
      </c>
      <c r="E12426" s="131" t="s">
        <v>12</v>
      </c>
      <c r="F12426" s="133" t="s">
        <v>19</v>
      </c>
      <c r="G12426" s="134" t="n">
        <f aca="false">LEN('Saisie programme'!$I$443)+SUMIFS('Vols additionnels'!$E$7:$E$66,'Vols additionnels'!$C$7:$C$66,$E12426,'Vols additionnels'!$D$7:$D$66,$F12426,'Vols additionnels'!$B$7:$B$66,$D12426)</f>
        <v>0</v>
      </c>
      <c r="H12426" s="135" t="n">
        <f aca="false">$G12426*'Analyse capacite'!$F$8</f>
        <v>0</v>
      </c>
      <c r="I12426" s="135" t="n">
        <f aca="false">$G12426*'Analyse capacite'!$C$8</f>
        <v>0</v>
      </c>
      <c r="J12426" s="135" t="n">
        <f aca="false">$G12426*'Analyse capacite'!$D$8</f>
        <v>0</v>
      </c>
      <c r="K12426" s="135" t="n">
        <f aca="false">$G12426*'Analyse capacite'!$E$8</f>
        <v>0</v>
      </c>
    </row>
    <row r="12427" customFormat="false" ht="15" hidden="false" customHeight="false" outlineLevel="0" collapsed="false">
      <c r="B12427" s="130" t="n">
        <v>2028</v>
      </c>
      <c r="C12427" s="131" t="s">
        <v>257</v>
      </c>
      <c r="D12427" s="132" t="n">
        <v>46823</v>
      </c>
      <c r="E12427" s="131" t="s">
        <v>12</v>
      </c>
      <c r="F12427" s="133" t="s">
        <v>24</v>
      </c>
      <c r="G12427" s="134" t="n">
        <f aca="false">LEN('Saisie programme'!$I$444)+SUMIFS('Vols additionnels'!$E$7:$E$66,'Vols additionnels'!$C$7:$C$66,$E12427,'Vols additionnels'!$D$7:$D$66,$F12427,'Vols additionnels'!$B$7:$B$66,$D12427)</f>
        <v>0</v>
      </c>
      <c r="H12427" s="135" t="n">
        <f aca="false">$G12427*'Analyse capacite'!$F$9</f>
        <v>0</v>
      </c>
      <c r="I12427" s="135" t="n">
        <f aca="false">$G12427*'Analyse capacite'!$C$9</f>
        <v>0</v>
      </c>
      <c r="J12427" s="135" t="n">
        <f aca="false">$G12427*'Analyse capacite'!$D$9</f>
        <v>0</v>
      </c>
      <c r="K12427" s="135" t="n">
        <f aca="false">$G12427*'Analyse capacite'!$E$9</f>
        <v>0</v>
      </c>
    </row>
    <row r="12428" customFormat="false" ht="15" hidden="false" customHeight="false" outlineLevel="0" collapsed="false">
      <c r="B12428" s="130" t="n">
        <v>2028</v>
      </c>
      <c r="C12428" s="131" t="s">
        <v>257</v>
      </c>
      <c r="D12428" s="132" t="n">
        <v>46823</v>
      </c>
      <c r="E12428" s="131" t="s">
        <v>20</v>
      </c>
      <c r="F12428" s="133" t="s">
        <v>11</v>
      </c>
      <c r="G12428" s="134" t="n">
        <f aca="false">LEN('Saisie programme'!$I$445)+SUMIFS('Vols additionnels'!$E$7:$E$66,'Vols additionnels'!$C$7:$C$66,$E12428,'Vols additionnels'!$D$7:$D$66,$F12428,'Vols additionnels'!$B$7:$B$66,$D12428)</f>
        <v>0</v>
      </c>
      <c r="H12428" s="135" t="n">
        <f aca="false">$G12428*'Analyse capacite'!$F$7</f>
        <v>0</v>
      </c>
      <c r="I12428" s="135" t="n">
        <f aca="false">$G12428*'Analyse capacite'!$C$7</f>
        <v>0</v>
      </c>
      <c r="J12428" s="135" t="n">
        <f aca="false">$G12428*'Analyse capacite'!$D$7</f>
        <v>0</v>
      </c>
      <c r="K12428" s="135" t="n">
        <f aca="false">$G12428*'Analyse capacite'!$E$7</f>
        <v>0</v>
      </c>
    </row>
    <row r="12429" customFormat="false" ht="15" hidden="false" customHeight="false" outlineLevel="0" collapsed="false">
      <c r="B12429" s="130" t="n">
        <v>2028</v>
      </c>
      <c r="C12429" s="131" t="s">
        <v>257</v>
      </c>
      <c r="D12429" s="132" t="n">
        <v>46823</v>
      </c>
      <c r="E12429" s="131" t="s">
        <v>20</v>
      </c>
      <c r="F12429" s="133" t="s">
        <v>19</v>
      </c>
      <c r="G12429" s="134" t="n">
        <f aca="false">LEN('Saisie programme'!$I$446)+SUMIFS('Vols additionnels'!$E$7:$E$66,'Vols additionnels'!$C$7:$C$66,$E12429,'Vols additionnels'!$D$7:$D$66,$F12429,'Vols additionnels'!$B$7:$B$66,$D12429)</f>
        <v>0</v>
      </c>
      <c r="H12429" s="135" t="n">
        <f aca="false">$G12429*'Analyse capacite'!$F$8</f>
        <v>0</v>
      </c>
      <c r="I12429" s="135" t="n">
        <f aca="false">$G12429*'Analyse capacite'!$C$8</f>
        <v>0</v>
      </c>
      <c r="J12429" s="135" t="n">
        <f aca="false">$G12429*'Analyse capacite'!$D$8</f>
        <v>0</v>
      </c>
      <c r="K12429" s="135" t="n">
        <f aca="false">$G12429*'Analyse capacite'!$E$8</f>
        <v>0</v>
      </c>
    </row>
    <row r="12430" customFormat="false" ht="15" hidden="false" customHeight="false" outlineLevel="0" collapsed="false">
      <c r="B12430" s="130" t="n">
        <v>2028</v>
      </c>
      <c r="C12430" s="131" t="s">
        <v>257</v>
      </c>
      <c r="D12430" s="132" t="n">
        <v>46823</v>
      </c>
      <c r="E12430" s="131" t="s">
        <v>20</v>
      </c>
      <c r="F12430" s="133" t="s">
        <v>24</v>
      </c>
      <c r="G12430" s="134" t="n">
        <f aca="false">LEN('Saisie programme'!$I$447)+SUMIFS('Vols additionnels'!$E$7:$E$66,'Vols additionnels'!$C$7:$C$66,$E12430,'Vols additionnels'!$D$7:$D$66,$F12430,'Vols additionnels'!$B$7:$B$66,$D12430)</f>
        <v>0</v>
      </c>
      <c r="H12430" s="135" t="n">
        <f aca="false">$G12430*'Analyse capacite'!$F$9</f>
        <v>0</v>
      </c>
      <c r="I12430" s="135" t="n">
        <f aca="false">$G12430*'Analyse capacite'!$C$9</f>
        <v>0</v>
      </c>
      <c r="J12430" s="135" t="n">
        <f aca="false">$G12430*'Analyse capacite'!$D$9</f>
        <v>0</v>
      </c>
      <c r="K12430" s="135" t="n">
        <f aca="false">$G12430*'Analyse capacite'!$E$9</f>
        <v>0</v>
      </c>
    </row>
    <row r="12431" customFormat="false" ht="15" hidden="false" customHeight="false" outlineLevel="0" collapsed="false">
      <c r="B12431" s="130" t="n">
        <v>2028</v>
      </c>
      <c r="C12431" s="131" t="s">
        <v>257</v>
      </c>
      <c r="D12431" s="132" t="n">
        <v>46823</v>
      </c>
      <c r="E12431" s="131" t="s">
        <v>25</v>
      </c>
      <c r="F12431" s="133" t="s">
        <v>11</v>
      </c>
      <c r="G12431" s="134" t="n">
        <f aca="false">LEN('Saisie programme'!$I$448)+SUMIFS('Vols additionnels'!$E$7:$E$66,'Vols additionnels'!$C$7:$C$66,$E12431,'Vols additionnels'!$D$7:$D$66,$F12431,'Vols additionnels'!$B$7:$B$66,$D12431)</f>
        <v>0</v>
      </c>
      <c r="H12431" s="135" t="n">
        <f aca="false">$G12431*'Analyse capacite'!$F$7</f>
        <v>0</v>
      </c>
      <c r="I12431" s="135" t="n">
        <f aca="false">$G12431*'Analyse capacite'!$C$7</f>
        <v>0</v>
      </c>
      <c r="J12431" s="135" t="n">
        <f aca="false">$G12431*'Analyse capacite'!$D$7</f>
        <v>0</v>
      </c>
      <c r="K12431" s="135" t="n">
        <f aca="false">$G12431*'Analyse capacite'!$E$7</f>
        <v>0</v>
      </c>
    </row>
    <row r="12432" customFormat="false" ht="15" hidden="false" customHeight="false" outlineLevel="0" collapsed="false">
      <c r="B12432" s="130" t="n">
        <v>2028</v>
      </c>
      <c r="C12432" s="131" t="s">
        <v>257</v>
      </c>
      <c r="D12432" s="132" t="n">
        <v>46823</v>
      </c>
      <c r="E12432" s="131" t="s">
        <v>25</v>
      </c>
      <c r="F12432" s="133" t="s">
        <v>19</v>
      </c>
      <c r="G12432" s="134" t="n">
        <f aca="false">LEN('Saisie programme'!$I$449)+SUMIFS('Vols additionnels'!$E$7:$E$66,'Vols additionnels'!$C$7:$C$66,$E12432,'Vols additionnels'!$D$7:$D$66,$F12432,'Vols additionnels'!$B$7:$B$66,$D12432)</f>
        <v>1</v>
      </c>
      <c r="H12432" s="135" t="n">
        <f aca="false">$G12432*'Analyse capacite'!$F$8</f>
        <v>262</v>
      </c>
      <c r="I12432" s="135" t="n">
        <f aca="false">$G12432*'Analyse capacite'!$C$8</f>
        <v>18</v>
      </c>
      <c r="J12432" s="135" t="n">
        <f aca="false">$G12432*'Analyse capacite'!$D$8</f>
        <v>0</v>
      </c>
      <c r="K12432" s="135" t="n">
        <f aca="false">$G12432*'Analyse capacite'!$E$8</f>
        <v>244</v>
      </c>
    </row>
    <row r="12433" customFormat="false" ht="15" hidden="false" customHeight="false" outlineLevel="0" collapsed="false">
      <c r="B12433" s="130" t="n">
        <v>2028</v>
      </c>
      <c r="C12433" s="131" t="s">
        <v>257</v>
      </c>
      <c r="D12433" s="132" t="n">
        <v>46823</v>
      </c>
      <c r="E12433" s="131" t="s">
        <v>25</v>
      </c>
      <c r="F12433" s="133" t="s">
        <v>24</v>
      </c>
      <c r="G12433" s="134" t="n">
        <f aca="false">LEN('Saisie programme'!$I$450)+SUMIFS('Vols additionnels'!$E$7:$E$66,'Vols additionnels'!$C$7:$C$66,$E12433,'Vols additionnels'!$D$7:$D$66,$F12433,'Vols additionnels'!$B$7:$B$66,$D12433)</f>
        <v>0</v>
      </c>
      <c r="H12433" s="135" t="n">
        <f aca="false">$G12433*'Analyse capacite'!$F$9</f>
        <v>0</v>
      </c>
      <c r="I12433" s="135" t="n">
        <f aca="false">$G12433*'Analyse capacite'!$C$9</f>
        <v>0</v>
      </c>
      <c r="J12433" s="135" t="n">
        <f aca="false">$G12433*'Analyse capacite'!$D$9</f>
        <v>0</v>
      </c>
      <c r="K12433" s="135" t="n">
        <f aca="false">$G12433*'Analyse capacite'!$E$9</f>
        <v>0</v>
      </c>
    </row>
    <row r="12434" customFormat="false" ht="15" hidden="false" customHeight="false" outlineLevel="0" collapsed="false">
      <c r="B12434" s="130" t="n">
        <v>2028</v>
      </c>
      <c r="C12434" s="131" t="s">
        <v>257</v>
      </c>
      <c r="D12434" s="132" t="n">
        <v>46823</v>
      </c>
      <c r="E12434" s="131" t="s">
        <v>36</v>
      </c>
      <c r="F12434" s="133" t="s">
        <v>11</v>
      </c>
      <c r="G12434" s="134" t="n">
        <f aca="false">LEN('Saisie programme'!$I$451)+SUMIFS('Vols additionnels'!$E$7:$E$66,'Vols additionnels'!$C$7:$C$66,$E12434,'Vols additionnels'!$D$7:$D$66,$F12434,'Vols additionnels'!$B$7:$B$66,$D12434)</f>
        <v>0</v>
      </c>
      <c r="H12434" s="135" t="n">
        <f aca="false">$G12434*'Analyse capacite'!$F$7</f>
        <v>0</v>
      </c>
      <c r="I12434" s="135" t="n">
        <f aca="false">$G12434*'Analyse capacite'!$C$7</f>
        <v>0</v>
      </c>
      <c r="J12434" s="135" t="n">
        <f aca="false">$G12434*'Analyse capacite'!$D$7</f>
        <v>0</v>
      </c>
      <c r="K12434" s="135" t="n">
        <f aca="false">$G12434*'Analyse capacite'!$E$7</f>
        <v>0</v>
      </c>
    </row>
    <row r="12435" customFormat="false" ht="15" hidden="false" customHeight="false" outlineLevel="0" collapsed="false">
      <c r="B12435" s="130" t="n">
        <v>2028</v>
      </c>
      <c r="C12435" s="131" t="s">
        <v>257</v>
      </c>
      <c r="D12435" s="132" t="n">
        <v>46823</v>
      </c>
      <c r="E12435" s="131" t="s">
        <v>36</v>
      </c>
      <c r="F12435" s="133" t="s">
        <v>19</v>
      </c>
      <c r="G12435" s="134" t="n">
        <f aca="false">LEN('Saisie programme'!$I$452)+SUMIFS('Vols additionnels'!$E$7:$E$66,'Vols additionnels'!$C$7:$C$66,$E12435,'Vols additionnels'!$D$7:$D$66,$F12435,'Vols additionnels'!$B$7:$B$66,$D12435)</f>
        <v>0</v>
      </c>
      <c r="H12435" s="135" t="n">
        <f aca="false">$G12435*'Analyse capacite'!$F$8</f>
        <v>0</v>
      </c>
      <c r="I12435" s="135" t="n">
        <f aca="false">$G12435*'Analyse capacite'!$C$8</f>
        <v>0</v>
      </c>
      <c r="J12435" s="135" t="n">
        <f aca="false">$G12435*'Analyse capacite'!$D$8</f>
        <v>0</v>
      </c>
      <c r="K12435" s="135" t="n">
        <f aca="false">$G12435*'Analyse capacite'!$E$8</f>
        <v>0</v>
      </c>
    </row>
    <row r="12436" customFormat="false" ht="15" hidden="false" customHeight="false" outlineLevel="0" collapsed="false">
      <c r="B12436" s="130" t="n">
        <v>2028</v>
      </c>
      <c r="C12436" s="131" t="s">
        <v>257</v>
      </c>
      <c r="D12436" s="132" t="n">
        <v>46823</v>
      </c>
      <c r="E12436" s="131" t="s">
        <v>36</v>
      </c>
      <c r="F12436" s="133" t="s">
        <v>24</v>
      </c>
      <c r="G12436" s="134" t="n">
        <f aca="false">LEN('Saisie programme'!$I$453)+SUMIFS('Vols additionnels'!$E$7:$E$66,'Vols additionnels'!$C$7:$C$66,$E12436,'Vols additionnels'!$D$7:$D$66,$F12436,'Vols additionnels'!$B$7:$B$66,$D12436)</f>
        <v>0</v>
      </c>
      <c r="H12436" s="135" t="n">
        <f aca="false">$G12436*'Analyse capacite'!$F$9</f>
        <v>0</v>
      </c>
      <c r="I12436" s="135" t="n">
        <f aca="false">$G12436*'Analyse capacite'!$C$9</f>
        <v>0</v>
      </c>
      <c r="J12436" s="135" t="n">
        <f aca="false">$G12436*'Analyse capacite'!$D$9</f>
        <v>0</v>
      </c>
      <c r="K12436" s="135" t="n">
        <f aca="false">$G12436*'Analyse capacite'!$E$9</f>
        <v>0</v>
      </c>
    </row>
    <row r="12437" customFormat="false" ht="15" hidden="false" customHeight="false" outlineLevel="0" collapsed="false">
      <c r="B12437" s="130" t="n">
        <v>2028</v>
      </c>
      <c r="C12437" s="131" t="s">
        <v>257</v>
      </c>
      <c r="D12437" s="132" t="n">
        <v>46823</v>
      </c>
      <c r="E12437" s="131" t="s">
        <v>40</v>
      </c>
      <c r="F12437" s="133" t="s">
        <v>11</v>
      </c>
      <c r="G12437" s="134" t="n">
        <f aca="false">LEN('Saisie programme'!$I$454)+SUMIFS('Vols additionnels'!$E$7:$E$66,'Vols additionnels'!$C$7:$C$66,$E12437,'Vols additionnels'!$D$7:$D$66,$F12437,'Vols additionnels'!$B$7:$B$66,$D12437)</f>
        <v>0</v>
      </c>
      <c r="H12437" s="135" t="n">
        <f aca="false">$G12437*'Analyse capacite'!$F$7</f>
        <v>0</v>
      </c>
      <c r="I12437" s="135" t="n">
        <f aca="false">$G12437*'Analyse capacite'!$C$7</f>
        <v>0</v>
      </c>
      <c r="J12437" s="135" t="n">
        <f aca="false">$G12437*'Analyse capacite'!$D$7</f>
        <v>0</v>
      </c>
      <c r="K12437" s="135" t="n">
        <f aca="false">$G12437*'Analyse capacite'!$E$7</f>
        <v>0</v>
      </c>
    </row>
    <row r="12438" customFormat="false" ht="15" hidden="false" customHeight="false" outlineLevel="0" collapsed="false">
      <c r="B12438" s="130" t="n">
        <v>2028</v>
      </c>
      <c r="C12438" s="131" t="s">
        <v>257</v>
      </c>
      <c r="D12438" s="132" t="n">
        <v>46823</v>
      </c>
      <c r="E12438" s="131" t="s">
        <v>40</v>
      </c>
      <c r="F12438" s="133" t="s">
        <v>19</v>
      </c>
      <c r="G12438" s="134" t="n">
        <f aca="false">LEN('Saisie programme'!$I$455)+SUMIFS('Vols additionnels'!$E$7:$E$66,'Vols additionnels'!$C$7:$C$66,$E12438,'Vols additionnels'!$D$7:$D$66,$F12438,'Vols additionnels'!$B$7:$B$66,$D12438)</f>
        <v>0</v>
      </c>
      <c r="H12438" s="135" t="n">
        <f aca="false">$G12438*'Analyse capacite'!$F$8</f>
        <v>0</v>
      </c>
      <c r="I12438" s="135" t="n">
        <f aca="false">$G12438*'Analyse capacite'!$C$8</f>
        <v>0</v>
      </c>
      <c r="J12438" s="135" t="n">
        <f aca="false">$G12438*'Analyse capacite'!$D$8</f>
        <v>0</v>
      </c>
      <c r="K12438" s="135" t="n">
        <f aca="false">$G12438*'Analyse capacite'!$E$8</f>
        <v>0</v>
      </c>
    </row>
    <row r="12439" customFormat="false" ht="15" hidden="false" customHeight="false" outlineLevel="0" collapsed="false">
      <c r="B12439" s="130" t="n">
        <v>2028</v>
      </c>
      <c r="C12439" s="131" t="s">
        <v>257</v>
      </c>
      <c r="D12439" s="132" t="n">
        <v>46823</v>
      </c>
      <c r="E12439" s="131" t="s">
        <v>40</v>
      </c>
      <c r="F12439" s="133" t="s">
        <v>24</v>
      </c>
      <c r="G12439" s="134" t="n">
        <f aca="false">LEN('Saisie programme'!$I$456)+SUMIFS('Vols additionnels'!$E$7:$E$66,'Vols additionnels'!$C$7:$C$66,$E12439,'Vols additionnels'!$D$7:$D$66,$F12439,'Vols additionnels'!$B$7:$B$66,$D12439)</f>
        <v>0</v>
      </c>
      <c r="H12439" s="135" t="n">
        <f aca="false">$G12439*'Analyse capacite'!$F$9</f>
        <v>0</v>
      </c>
      <c r="I12439" s="135" t="n">
        <f aca="false">$G12439*'Analyse capacite'!$C$9</f>
        <v>0</v>
      </c>
      <c r="J12439" s="135" t="n">
        <f aca="false">$G12439*'Analyse capacite'!$D$9</f>
        <v>0</v>
      </c>
      <c r="K12439" s="135" t="n">
        <f aca="false">$G12439*'Analyse capacite'!$E$9</f>
        <v>0</v>
      </c>
    </row>
    <row r="12440" customFormat="false" ht="15" hidden="false" customHeight="false" outlineLevel="0" collapsed="false">
      <c r="B12440" s="130" t="n">
        <v>2028</v>
      </c>
      <c r="C12440" s="131" t="s">
        <v>257</v>
      </c>
      <c r="D12440" s="132" t="n">
        <v>46823</v>
      </c>
      <c r="E12440" s="131" t="s">
        <v>14</v>
      </c>
      <c r="F12440" s="133" t="s">
        <v>11</v>
      </c>
      <c r="G12440" s="134" t="n">
        <f aca="false">LEN('Saisie programme'!$I$457)+SUMIFS('Vols additionnels'!$E$7:$E$66,'Vols additionnels'!$C$7:$C$66,$E12440,'Vols additionnels'!$D$7:$D$66,$F12440,'Vols additionnels'!$B$7:$B$66,$D12440)</f>
        <v>0</v>
      </c>
      <c r="H12440" s="135" t="n">
        <f aca="false">$G12440*'Analyse capacite'!$F$7</f>
        <v>0</v>
      </c>
      <c r="I12440" s="135" t="n">
        <f aca="false">$G12440*'Analyse capacite'!$C$7</f>
        <v>0</v>
      </c>
      <c r="J12440" s="135" t="n">
        <f aca="false">$G12440*'Analyse capacite'!$D$7</f>
        <v>0</v>
      </c>
      <c r="K12440" s="135" t="n">
        <f aca="false">$G12440*'Analyse capacite'!$E$7</f>
        <v>0</v>
      </c>
    </row>
    <row r="12441" customFormat="false" ht="15" hidden="false" customHeight="false" outlineLevel="0" collapsed="false">
      <c r="B12441" s="130" t="n">
        <v>2028</v>
      </c>
      <c r="C12441" s="131" t="s">
        <v>257</v>
      </c>
      <c r="D12441" s="132" t="n">
        <v>46823</v>
      </c>
      <c r="E12441" s="131" t="s">
        <v>14</v>
      </c>
      <c r="F12441" s="133" t="s">
        <v>19</v>
      </c>
      <c r="G12441" s="134" t="n">
        <f aca="false">LEN('Saisie programme'!$I$458)+SUMIFS('Vols additionnels'!$E$7:$E$66,'Vols additionnels'!$C$7:$C$66,$E12441,'Vols additionnels'!$D$7:$D$66,$F12441,'Vols additionnels'!$B$7:$B$66,$D12441)</f>
        <v>0</v>
      </c>
      <c r="H12441" s="135" t="n">
        <f aca="false">$G12441*'Analyse capacite'!$F$8</f>
        <v>0</v>
      </c>
      <c r="I12441" s="135" t="n">
        <f aca="false">$G12441*'Analyse capacite'!$C$8</f>
        <v>0</v>
      </c>
      <c r="J12441" s="135" t="n">
        <f aca="false">$G12441*'Analyse capacite'!$D$8</f>
        <v>0</v>
      </c>
      <c r="K12441" s="135" t="n">
        <f aca="false">$G12441*'Analyse capacite'!$E$8</f>
        <v>0</v>
      </c>
    </row>
    <row r="12442" customFormat="false" ht="15" hidden="false" customHeight="false" outlineLevel="0" collapsed="false">
      <c r="B12442" s="130" t="n">
        <v>2028</v>
      </c>
      <c r="C12442" s="131" t="s">
        <v>257</v>
      </c>
      <c r="D12442" s="132" t="n">
        <v>46823</v>
      </c>
      <c r="E12442" s="131" t="s">
        <v>14</v>
      </c>
      <c r="F12442" s="133" t="s">
        <v>24</v>
      </c>
      <c r="G12442" s="134" t="n">
        <f aca="false">LEN('Saisie programme'!$I$459)+SUMIFS('Vols additionnels'!$E$7:$E$66,'Vols additionnels'!$C$7:$C$66,$E12442,'Vols additionnels'!$D$7:$D$66,$F12442,'Vols additionnels'!$B$7:$B$66,$D12442)</f>
        <v>1</v>
      </c>
      <c r="H12442" s="135" t="n">
        <f aca="false">$G12442*'Analyse capacite'!$F$9</f>
        <v>174</v>
      </c>
      <c r="I12442" s="135" t="n">
        <f aca="false">$G12442*'Analyse capacite'!$C$9</f>
        <v>0</v>
      </c>
      <c r="J12442" s="135" t="n">
        <f aca="false">$G12442*'Analyse capacite'!$D$9</f>
        <v>12</v>
      </c>
      <c r="K12442" s="135" t="n">
        <f aca="false">$G12442*'Analyse capacite'!$E$9</f>
        <v>162</v>
      </c>
    </row>
    <row r="12443" customFormat="false" ht="15" hidden="false" customHeight="false" outlineLevel="0" collapsed="false">
      <c r="B12443" s="130" t="n">
        <v>2028</v>
      </c>
      <c r="C12443" s="131" t="s">
        <v>257</v>
      </c>
      <c r="D12443" s="132" t="n">
        <v>46823</v>
      </c>
      <c r="E12443" s="131" t="s">
        <v>46</v>
      </c>
      <c r="F12443" s="133" t="s">
        <v>11</v>
      </c>
      <c r="G12443" s="134" t="n">
        <f aca="false">LEN('Saisie programme'!$I$460)+SUMIFS('Vols additionnels'!$E$7:$E$66,'Vols additionnels'!$C$7:$C$66,$E12443,'Vols additionnels'!$D$7:$D$66,$F12443,'Vols additionnels'!$B$7:$B$66,$D12443)</f>
        <v>0</v>
      </c>
      <c r="H12443" s="135" t="n">
        <f aca="false">$G12443*'Analyse capacite'!$F$7</f>
        <v>0</v>
      </c>
      <c r="I12443" s="135" t="n">
        <f aca="false">$G12443*'Analyse capacite'!$C$7</f>
        <v>0</v>
      </c>
      <c r="J12443" s="135" t="n">
        <f aca="false">$G12443*'Analyse capacite'!$D$7</f>
        <v>0</v>
      </c>
      <c r="K12443" s="135" t="n">
        <f aca="false">$G12443*'Analyse capacite'!$E$7</f>
        <v>0</v>
      </c>
    </row>
    <row r="12444" customFormat="false" ht="15" hidden="false" customHeight="false" outlineLevel="0" collapsed="false">
      <c r="B12444" s="130" t="n">
        <v>2028</v>
      </c>
      <c r="C12444" s="131" t="s">
        <v>257</v>
      </c>
      <c r="D12444" s="132" t="n">
        <v>46823</v>
      </c>
      <c r="E12444" s="131" t="s">
        <v>46</v>
      </c>
      <c r="F12444" s="133" t="s">
        <v>19</v>
      </c>
      <c r="G12444" s="134" t="n">
        <f aca="false">LEN('Saisie programme'!$I$461)+SUMIFS('Vols additionnels'!$E$7:$E$66,'Vols additionnels'!$C$7:$C$66,$E12444,'Vols additionnels'!$D$7:$D$66,$F12444,'Vols additionnels'!$B$7:$B$66,$D12444)</f>
        <v>0</v>
      </c>
      <c r="H12444" s="135" t="n">
        <f aca="false">$G12444*'Analyse capacite'!$F$8</f>
        <v>0</v>
      </c>
      <c r="I12444" s="135" t="n">
        <f aca="false">$G12444*'Analyse capacite'!$C$8</f>
        <v>0</v>
      </c>
      <c r="J12444" s="135" t="n">
        <f aca="false">$G12444*'Analyse capacite'!$D$8</f>
        <v>0</v>
      </c>
      <c r="K12444" s="135" t="n">
        <f aca="false">$G12444*'Analyse capacite'!$E$8</f>
        <v>0</v>
      </c>
    </row>
    <row r="12445" customFormat="false" ht="15" hidden="false" customHeight="false" outlineLevel="0" collapsed="false">
      <c r="B12445" s="130" t="n">
        <v>2028</v>
      </c>
      <c r="C12445" s="131" t="s">
        <v>257</v>
      </c>
      <c r="D12445" s="132" t="n">
        <v>46823</v>
      </c>
      <c r="E12445" s="131" t="s">
        <v>46</v>
      </c>
      <c r="F12445" s="133" t="s">
        <v>24</v>
      </c>
      <c r="G12445" s="134" t="n">
        <f aca="false">LEN('Saisie programme'!$I$462)+SUMIFS('Vols additionnels'!$E$7:$E$66,'Vols additionnels'!$C$7:$C$66,$E12445,'Vols additionnels'!$D$7:$D$66,$F12445,'Vols additionnels'!$B$7:$B$66,$D12445)</f>
        <v>1</v>
      </c>
      <c r="H12445" s="135" t="n">
        <f aca="false">$G12445*'Analyse capacite'!$F$9</f>
        <v>174</v>
      </c>
      <c r="I12445" s="135" t="n">
        <f aca="false">$G12445*'Analyse capacite'!$C$9</f>
        <v>0</v>
      </c>
      <c r="J12445" s="135" t="n">
        <f aca="false">$G12445*'Analyse capacite'!$D$9</f>
        <v>12</v>
      </c>
      <c r="K12445" s="135" t="n">
        <f aca="false">$G12445*'Analyse capacite'!$E$9</f>
        <v>162</v>
      </c>
    </row>
    <row r="12446" customFormat="false" ht="15" hidden="false" customHeight="false" outlineLevel="0" collapsed="false">
      <c r="B12446" s="130" t="n">
        <v>2028</v>
      </c>
      <c r="C12446" s="131" t="s">
        <v>257</v>
      </c>
      <c r="D12446" s="132" t="n">
        <v>46823</v>
      </c>
      <c r="E12446" s="131" t="s">
        <v>49</v>
      </c>
      <c r="F12446" s="133" t="s">
        <v>11</v>
      </c>
      <c r="G12446" s="134" t="n">
        <f aca="false">LEN('Saisie programme'!$I$463)+SUMIFS('Vols additionnels'!$E$7:$E$66,'Vols additionnels'!$C$7:$C$66,$E12446,'Vols additionnels'!$D$7:$D$66,$F12446,'Vols additionnels'!$B$7:$B$66,$D12446)</f>
        <v>0</v>
      </c>
      <c r="H12446" s="135" t="n">
        <f aca="false">$G12446*'Analyse capacite'!$F$7</f>
        <v>0</v>
      </c>
      <c r="I12446" s="135" t="n">
        <f aca="false">$G12446*'Analyse capacite'!$C$7</f>
        <v>0</v>
      </c>
      <c r="J12446" s="135" t="n">
        <f aca="false">$G12446*'Analyse capacite'!$D$7</f>
        <v>0</v>
      </c>
      <c r="K12446" s="135" t="n">
        <f aca="false">$G12446*'Analyse capacite'!$E$7</f>
        <v>0</v>
      </c>
    </row>
    <row r="12447" customFormat="false" ht="15" hidden="false" customHeight="false" outlineLevel="0" collapsed="false">
      <c r="B12447" s="130" t="n">
        <v>2028</v>
      </c>
      <c r="C12447" s="131" t="s">
        <v>257</v>
      </c>
      <c r="D12447" s="132" t="n">
        <v>46823</v>
      </c>
      <c r="E12447" s="131" t="s">
        <v>49</v>
      </c>
      <c r="F12447" s="133" t="s">
        <v>19</v>
      </c>
      <c r="G12447" s="134" t="n">
        <f aca="false">LEN('Saisie programme'!$I$464)+SUMIFS('Vols additionnels'!$E$7:$E$66,'Vols additionnels'!$C$7:$C$66,$E12447,'Vols additionnels'!$D$7:$D$66,$F12447,'Vols additionnels'!$B$7:$B$66,$D12447)</f>
        <v>0</v>
      </c>
      <c r="H12447" s="135" t="n">
        <f aca="false">$G12447*'Analyse capacite'!$F$8</f>
        <v>0</v>
      </c>
      <c r="I12447" s="135" t="n">
        <f aca="false">$G12447*'Analyse capacite'!$C$8</f>
        <v>0</v>
      </c>
      <c r="J12447" s="135" t="n">
        <f aca="false">$G12447*'Analyse capacite'!$D$8</f>
        <v>0</v>
      </c>
      <c r="K12447" s="135" t="n">
        <f aca="false">$G12447*'Analyse capacite'!$E$8</f>
        <v>0</v>
      </c>
    </row>
    <row r="12448" customFormat="false" ht="15" hidden="false" customHeight="false" outlineLevel="0" collapsed="false">
      <c r="B12448" s="130" t="n">
        <v>2028</v>
      </c>
      <c r="C12448" s="131" t="s">
        <v>257</v>
      </c>
      <c r="D12448" s="132" t="n">
        <v>46823</v>
      </c>
      <c r="E12448" s="131" t="s">
        <v>49</v>
      </c>
      <c r="F12448" s="133" t="s">
        <v>24</v>
      </c>
      <c r="G12448" s="134" t="n">
        <f aca="false">LEN('Saisie programme'!$I$465)+SUMIFS('Vols additionnels'!$E$7:$E$66,'Vols additionnels'!$C$7:$C$66,$E12448,'Vols additionnels'!$D$7:$D$66,$F12448,'Vols additionnels'!$B$7:$B$66,$D12448)</f>
        <v>0</v>
      </c>
      <c r="H12448" s="135" t="n">
        <f aca="false">$G12448*'Analyse capacite'!$F$9</f>
        <v>0</v>
      </c>
      <c r="I12448" s="135" t="n">
        <f aca="false">$G12448*'Analyse capacite'!$C$9</f>
        <v>0</v>
      </c>
      <c r="J12448" s="135" t="n">
        <f aca="false">$G12448*'Analyse capacite'!$D$9</f>
        <v>0</v>
      </c>
      <c r="K12448" s="135" t="n">
        <f aca="false">$G12448*'Analyse capacite'!$E$9</f>
        <v>0</v>
      </c>
    </row>
    <row r="12449" customFormat="false" ht="15" hidden="false" customHeight="false" outlineLevel="0" collapsed="false">
      <c r="B12449" s="130" t="n">
        <v>2028</v>
      </c>
      <c r="C12449" s="131" t="s">
        <v>257</v>
      </c>
      <c r="D12449" s="132" t="n">
        <v>46823</v>
      </c>
      <c r="E12449" s="131" t="s">
        <v>53</v>
      </c>
      <c r="F12449" s="133" t="s">
        <v>11</v>
      </c>
      <c r="G12449" s="134" t="n">
        <f aca="false">LEN('Saisie programme'!$I$466)+SUMIFS('Vols additionnels'!$E$7:$E$66,'Vols additionnels'!$C$7:$C$66,$E12449,'Vols additionnels'!$D$7:$D$66,$F12449,'Vols additionnels'!$B$7:$B$66,$D12449)</f>
        <v>0</v>
      </c>
      <c r="H12449" s="135" t="n">
        <f aca="false">$G12449*'Analyse capacite'!$F$7</f>
        <v>0</v>
      </c>
      <c r="I12449" s="135" t="n">
        <f aca="false">$G12449*'Analyse capacite'!$C$7</f>
        <v>0</v>
      </c>
      <c r="J12449" s="135" t="n">
        <f aca="false">$G12449*'Analyse capacite'!$D$7</f>
        <v>0</v>
      </c>
      <c r="K12449" s="135" t="n">
        <f aca="false">$G12449*'Analyse capacite'!$E$7</f>
        <v>0</v>
      </c>
    </row>
    <row r="12450" customFormat="false" ht="15" hidden="false" customHeight="false" outlineLevel="0" collapsed="false">
      <c r="B12450" s="130" t="n">
        <v>2028</v>
      </c>
      <c r="C12450" s="131" t="s">
        <v>257</v>
      </c>
      <c r="D12450" s="132" t="n">
        <v>46823</v>
      </c>
      <c r="E12450" s="131" t="s">
        <v>53</v>
      </c>
      <c r="F12450" s="133" t="s">
        <v>19</v>
      </c>
      <c r="G12450" s="134" t="n">
        <f aca="false">LEN('Saisie programme'!$I$467)+SUMIFS('Vols additionnels'!$E$7:$E$66,'Vols additionnels'!$C$7:$C$66,$E12450,'Vols additionnels'!$D$7:$D$66,$F12450,'Vols additionnels'!$B$7:$B$66,$D12450)</f>
        <v>0</v>
      </c>
      <c r="H12450" s="135" t="n">
        <f aca="false">$G12450*'Analyse capacite'!$F$8</f>
        <v>0</v>
      </c>
      <c r="I12450" s="135" t="n">
        <f aca="false">$G12450*'Analyse capacite'!$C$8</f>
        <v>0</v>
      </c>
      <c r="J12450" s="135" t="n">
        <f aca="false">$G12450*'Analyse capacite'!$D$8</f>
        <v>0</v>
      </c>
      <c r="K12450" s="135" t="n">
        <f aca="false">$G12450*'Analyse capacite'!$E$8</f>
        <v>0</v>
      </c>
    </row>
    <row r="12451" customFormat="false" ht="15" hidden="false" customHeight="false" outlineLevel="0" collapsed="false">
      <c r="B12451" s="130" t="n">
        <v>2028</v>
      </c>
      <c r="C12451" s="131" t="s">
        <v>257</v>
      </c>
      <c r="D12451" s="132" t="n">
        <v>46823</v>
      </c>
      <c r="E12451" s="131" t="s">
        <v>53</v>
      </c>
      <c r="F12451" s="133" t="s">
        <v>24</v>
      </c>
      <c r="G12451" s="134" t="n">
        <f aca="false">LEN('Saisie programme'!$I$468)+SUMIFS('Vols additionnels'!$E$7:$E$66,'Vols additionnels'!$C$7:$C$66,$E12451,'Vols additionnels'!$D$7:$D$66,$F12451,'Vols additionnels'!$B$7:$B$66,$D12451)</f>
        <v>0</v>
      </c>
      <c r="H12451" s="135" t="n">
        <f aca="false">$G12451*'Analyse capacite'!$F$9</f>
        <v>0</v>
      </c>
      <c r="I12451" s="135" t="n">
        <f aca="false">$G12451*'Analyse capacite'!$C$9</f>
        <v>0</v>
      </c>
      <c r="J12451" s="135" t="n">
        <f aca="false">$G12451*'Analyse capacite'!$D$9</f>
        <v>0</v>
      </c>
      <c r="K12451" s="135" t="n">
        <f aca="false">$G12451*'Analyse capacite'!$E$9</f>
        <v>0</v>
      </c>
    </row>
    <row r="12452" customFormat="false" ht="15" hidden="false" customHeight="false" outlineLevel="0" collapsed="false">
      <c r="B12452" s="130" t="n">
        <v>2028</v>
      </c>
      <c r="C12452" s="131" t="s">
        <v>257</v>
      </c>
      <c r="D12452" s="132" t="n">
        <v>46823</v>
      </c>
      <c r="E12452" s="131" t="s">
        <v>56</v>
      </c>
      <c r="F12452" s="133" t="s">
        <v>11</v>
      </c>
      <c r="G12452" s="134" t="n">
        <f aca="false">LEN('Saisie programme'!$I$469)+SUMIFS('Vols additionnels'!$E$7:$E$66,'Vols additionnels'!$C$7:$C$66,$E12452,'Vols additionnels'!$D$7:$D$66,$F12452,'Vols additionnels'!$B$7:$B$66,$D12452)</f>
        <v>0</v>
      </c>
      <c r="H12452" s="135" t="n">
        <f aca="false">$G12452*'Analyse capacite'!$F$7</f>
        <v>0</v>
      </c>
      <c r="I12452" s="135" t="n">
        <f aca="false">$G12452*'Analyse capacite'!$C$7</f>
        <v>0</v>
      </c>
      <c r="J12452" s="135" t="n">
        <f aca="false">$G12452*'Analyse capacite'!$D$7</f>
        <v>0</v>
      </c>
      <c r="K12452" s="135" t="n">
        <f aca="false">$G12452*'Analyse capacite'!$E$7</f>
        <v>0</v>
      </c>
    </row>
    <row r="12453" customFormat="false" ht="15" hidden="false" customHeight="false" outlineLevel="0" collapsed="false">
      <c r="B12453" s="130" t="n">
        <v>2028</v>
      </c>
      <c r="C12453" s="131" t="s">
        <v>257</v>
      </c>
      <c r="D12453" s="132" t="n">
        <v>46823</v>
      </c>
      <c r="E12453" s="131" t="s">
        <v>56</v>
      </c>
      <c r="F12453" s="133" t="s">
        <v>19</v>
      </c>
      <c r="G12453" s="134" t="n">
        <f aca="false">LEN('Saisie programme'!$I$470)+SUMIFS('Vols additionnels'!$E$7:$E$66,'Vols additionnels'!$C$7:$C$66,$E12453,'Vols additionnels'!$D$7:$D$66,$F12453,'Vols additionnels'!$B$7:$B$66,$D12453)</f>
        <v>0</v>
      </c>
      <c r="H12453" s="135" t="n">
        <f aca="false">$G12453*'Analyse capacite'!$F$8</f>
        <v>0</v>
      </c>
      <c r="I12453" s="135" t="n">
        <f aca="false">$G12453*'Analyse capacite'!$C$8</f>
        <v>0</v>
      </c>
      <c r="J12453" s="135" t="n">
        <f aca="false">$G12453*'Analyse capacite'!$D$8</f>
        <v>0</v>
      </c>
      <c r="K12453" s="135" t="n">
        <f aca="false">$G12453*'Analyse capacite'!$E$8</f>
        <v>0</v>
      </c>
    </row>
    <row r="12454" customFormat="false" ht="15" hidden="false" customHeight="false" outlineLevel="0" collapsed="false">
      <c r="B12454" s="130" t="n">
        <v>2028</v>
      </c>
      <c r="C12454" s="131" t="s">
        <v>257</v>
      </c>
      <c r="D12454" s="132" t="n">
        <v>46823</v>
      </c>
      <c r="E12454" s="131" t="s">
        <v>56</v>
      </c>
      <c r="F12454" s="133" t="s">
        <v>24</v>
      </c>
      <c r="G12454" s="134" t="n">
        <f aca="false">LEN('Saisie programme'!$I$471)+SUMIFS('Vols additionnels'!$E$7:$E$66,'Vols additionnels'!$C$7:$C$66,$E12454,'Vols additionnels'!$D$7:$D$66,$F12454,'Vols additionnels'!$B$7:$B$66,$D12454)</f>
        <v>1</v>
      </c>
      <c r="H12454" s="135" t="n">
        <f aca="false">$G12454*'Analyse capacite'!$F$9</f>
        <v>174</v>
      </c>
      <c r="I12454" s="135" t="n">
        <f aca="false">$G12454*'Analyse capacite'!$C$9</f>
        <v>0</v>
      </c>
      <c r="J12454" s="135" t="n">
        <f aca="false">$G12454*'Analyse capacite'!$D$9</f>
        <v>12</v>
      </c>
      <c r="K12454" s="135" t="n">
        <f aca="false">$G12454*'Analyse capacite'!$E$9</f>
        <v>162</v>
      </c>
    </row>
    <row r="12455" customFormat="false" ht="15" hidden="false" customHeight="false" outlineLevel="0" collapsed="false">
      <c r="B12455" s="130" t="n">
        <v>2028</v>
      </c>
      <c r="C12455" s="131" t="s">
        <v>257</v>
      </c>
      <c r="D12455" s="132" t="n">
        <v>46823</v>
      </c>
      <c r="E12455" s="131" t="s">
        <v>59</v>
      </c>
      <c r="F12455" s="133" t="s">
        <v>11</v>
      </c>
      <c r="G12455" s="134" t="n">
        <f aca="false">LEN('Saisie programme'!$I$472)+SUMIFS('Vols additionnels'!$E$7:$E$66,'Vols additionnels'!$C$7:$C$66,$E12455,'Vols additionnels'!$D$7:$D$66,$F12455,'Vols additionnels'!$B$7:$B$66,$D12455)</f>
        <v>0</v>
      </c>
      <c r="H12455" s="135" t="n">
        <f aca="false">$G12455*'Analyse capacite'!$F$7</f>
        <v>0</v>
      </c>
      <c r="I12455" s="135" t="n">
        <f aca="false">$G12455*'Analyse capacite'!$C$7</f>
        <v>0</v>
      </c>
      <c r="J12455" s="135" t="n">
        <f aca="false">$G12455*'Analyse capacite'!$D$7</f>
        <v>0</v>
      </c>
      <c r="K12455" s="135" t="n">
        <f aca="false">$G12455*'Analyse capacite'!$E$7</f>
        <v>0</v>
      </c>
    </row>
    <row r="12456" customFormat="false" ht="15" hidden="false" customHeight="false" outlineLevel="0" collapsed="false">
      <c r="B12456" s="130" t="n">
        <v>2028</v>
      </c>
      <c r="C12456" s="131" t="s">
        <v>257</v>
      </c>
      <c r="D12456" s="132" t="n">
        <v>46823</v>
      </c>
      <c r="E12456" s="131" t="s">
        <v>59</v>
      </c>
      <c r="F12456" s="133" t="s">
        <v>19</v>
      </c>
      <c r="G12456" s="134" t="n">
        <f aca="false">LEN('Saisie programme'!$I$473)+SUMIFS('Vols additionnels'!$E$7:$E$66,'Vols additionnels'!$C$7:$C$66,$E12456,'Vols additionnels'!$D$7:$D$66,$F12456,'Vols additionnels'!$B$7:$B$66,$D12456)</f>
        <v>0</v>
      </c>
      <c r="H12456" s="135" t="n">
        <f aca="false">$G12456*'Analyse capacite'!$F$8</f>
        <v>0</v>
      </c>
      <c r="I12456" s="135" t="n">
        <f aca="false">$G12456*'Analyse capacite'!$C$8</f>
        <v>0</v>
      </c>
      <c r="J12456" s="135" t="n">
        <f aca="false">$G12456*'Analyse capacite'!$D$8</f>
        <v>0</v>
      </c>
      <c r="K12456" s="135" t="n">
        <f aca="false">$G12456*'Analyse capacite'!$E$8</f>
        <v>0</v>
      </c>
    </row>
    <row r="12457" customFormat="false" ht="15" hidden="false" customHeight="false" outlineLevel="0" collapsed="false">
      <c r="B12457" s="130" t="n">
        <v>2028</v>
      </c>
      <c r="C12457" s="131" t="s">
        <v>257</v>
      </c>
      <c r="D12457" s="132" t="n">
        <v>46823</v>
      </c>
      <c r="E12457" s="131" t="s">
        <v>59</v>
      </c>
      <c r="F12457" s="133" t="s">
        <v>24</v>
      </c>
      <c r="G12457" s="134" t="n">
        <f aca="false">LEN('Saisie programme'!$I$474)+SUMIFS('Vols additionnels'!$E$7:$E$66,'Vols additionnels'!$C$7:$C$66,$E12457,'Vols additionnels'!$D$7:$D$66,$F12457,'Vols additionnels'!$B$7:$B$66,$D12457)</f>
        <v>1</v>
      </c>
      <c r="H12457" s="135" t="n">
        <f aca="false">$G12457*'Analyse capacite'!$F$9</f>
        <v>174</v>
      </c>
      <c r="I12457" s="135" t="n">
        <f aca="false">$G12457*'Analyse capacite'!$C$9</f>
        <v>0</v>
      </c>
      <c r="J12457" s="135" t="n">
        <f aca="false">$G12457*'Analyse capacite'!$D$9</f>
        <v>12</v>
      </c>
      <c r="K12457" s="135" t="n">
        <f aca="false">$G12457*'Analyse capacite'!$E$9</f>
        <v>162</v>
      </c>
    </row>
    <row r="12458" customFormat="false" ht="15" hidden="false" customHeight="false" outlineLevel="0" collapsed="false">
      <c r="B12458" s="130" t="n">
        <v>2028</v>
      </c>
      <c r="C12458" s="131" t="s">
        <v>257</v>
      </c>
      <c r="D12458" s="132" t="n">
        <v>46823</v>
      </c>
      <c r="E12458" s="131" t="s">
        <v>62</v>
      </c>
      <c r="F12458" s="133" t="s">
        <v>11</v>
      </c>
      <c r="G12458" s="134" t="n">
        <f aca="false">LEN('Saisie programme'!$I$475)+SUMIFS('Vols additionnels'!$E$7:$E$66,'Vols additionnels'!$C$7:$C$66,$E12458,'Vols additionnels'!$D$7:$D$66,$F12458,'Vols additionnels'!$B$7:$B$66,$D12458)</f>
        <v>0</v>
      </c>
      <c r="H12458" s="135" t="n">
        <f aca="false">$G12458*'Analyse capacite'!$F$7</f>
        <v>0</v>
      </c>
      <c r="I12458" s="135" t="n">
        <f aca="false">$G12458*'Analyse capacite'!$C$7</f>
        <v>0</v>
      </c>
      <c r="J12458" s="135" t="n">
        <f aca="false">$G12458*'Analyse capacite'!$D$7</f>
        <v>0</v>
      </c>
      <c r="K12458" s="135" t="n">
        <f aca="false">$G12458*'Analyse capacite'!$E$7</f>
        <v>0</v>
      </c>
    </row>
    <row r="12459" customFormat="false" ht="15" hidden="false" customHeight="false" outlineLevel="0" collapsed="false">
      <c r="B12459" s="130" t="n">
        <v>2028</v>
      </c>
      <c r="C12459" s="131" t="s">
        <v>257</v>
      </c>
      <c r="D12459" s="132" t="n">
        <v>46823</v>
      </c>
      <c r="E12459" s="131" t="s">
        <v>62</v>
      </c>
      <c r="F12459" s="133" t="s">
        <v>19</v>
      </c>
      <c r="G12459" s="134" t="n">
        <f aca="false">LEN('Saisie programme'!$I$476)+SUMIFS('Vols additionnels'!$E$7:$E$66,'Vols additionnels'!$C$7:$C$66,$E12459,'Vols additionnels'!$D$7:$D$66,$F12459,'Vols additionnels'!$B$7:$B$66,$D12459)</f>
        <v>0</v>
      </c>
      <c r="H12459" s="135" t="n">
        <f aca="false">$G12459*'Analyse capacite'!$F$8</f>
        <v>0</v>
      </c>
      <c r="I12459" s="135" t="n">
        <f aca="false">$G12459*'Analyse capacite'!$C$8</f>
        <v>0</v>
      </c>
      <c r="J12459" s="135" t="n">
        <f aca="false">$G12459*'Analyse capacite'!$D$8</f>
        <v>0</v>
      </c>
      <c r="K12459" s="135" t="n">
        <f aca="false">$G12459*'Analyse capacite'!$E$8</f>
        <v>0</v>
      </c>
    </row>
    <row r="12460" customFormat="false" ht="15" hidden="false" customHeight="false" outlineLevel="0" collapsed="false">
      <c r="B12460" s="130" t="n">
        <v>2028</v>
      </c>
      <c r="C12460" s="131" t="s">
        <v>257</v>
      </c>
      <c r="D12460" s="132" t="n">
        <v>46823</v>
      </c>
      <c r="E12460" s="131" t="s">
        <v>62</v>
      </c>
      <c r="F12460" s="133" t="s">
        <v>24</v>
      </c>
      <c r="G12460" s="134" t="n">
        <f aca="false">LEN('Saisie programme'!$I$477)+SUMIFS('Vols additionnels'!$E$7:$E$66,'Vols additionnels'!$C$7:$C$66,$E12460,'Vols additionnels'!$D$7:$D$66,$F12460,'Vols additionnels'!$B$7:$B$66,$D12460)</f>
        <v>0</v>
      </c>
      <c r="H12460" s="135" t="n">
        <f aca="false">$G12460*'Analyse capacite'!$F$9</f>
        <v>0</v>
      </c>
      <c r="I12460" s="135" t="n">
        <f aca="false">$G12460*'Analyse capacite'!$C$9</f>
        <v>0</v>
      </c>
      <c r="J12460" s="135" t="n">
        <f aca="false">$G12460*'Analyse capacite'!$D$9</f>
        <v>0</v>
      </c>
      <c r="K12460" s="135" t="n">
        <f aca="false">$G12460*'Analyse capacite'!$E$9</f>
        <v>0</v>
      </c>
    </row>
    <row r="12461" customFormat="false" ht="15" hidden="false" customHeight="false" outlineLevel="0" collapsed="false">
      <c r="B12461" s="130" t="n">
        <v>2028</v>
      </c>
      <c r="C12461" s="131" t="s">
        <v>257</v>
      </c>
      <c r="D12461" s="132" t="n">
        <v>46824</v>
      </c>
      <c r="E12461" s="131" t="s">
        <v>12</v>
      </c>
      <c r="F12461" s="133" t="s">
        <v>11</v>
      </c>
      <c r="G12461" s="134" t="n">
        <f aca="false">LEN('Saisie programme'!$J$442)+SUMIFS('Vols additionnels'!$E$7:$E$66,'Vols additionnels'!$C$7:$C$66,$E12461,'Vols additionnels'!$D$7:$D$66,$F12461,'Vols additionnels'!$B$7:$B$66,$D12461)</f>
        <v>1</v>
      </c>
      <c r="H12461" s="135" t="n">
        <f aca="false">$G12461*'Analyse capacite'!$F$7</f>
        <v>438</v>
      </c>
      <c r="I12461" s="135" t="n">
        <f aca="false">$G12461*'Analyse capacite'!$C$7</f>
        <v>14</v>
      </c>
      <c r="J12461" s="135" t="n">
        <f aca="false">$G12461*'Analyse capacite'!$D$7</f>
        <v>40</v>
      </c>
      <c r="K12461" s="135" t="n">
        <f aca="false">$G12461*'Analyse capacite'!$E$7</f>
        <v>384</v>
      </c>
    </row>
    <row r="12462" customFormat="false" ht="15" hidden="false" customHeight="false" outlineLevel="0" collapsed="false">
      <c r="B12462" s="130" t="n">
        <v>2028</v>
      </c>
      <c r="C12462" s="131" t="s">
        <v>257</v>
      </c>
      <c r="D12462" s="132" t="n">
        <v>46824</v>
      </c>
      <c r="E12462" s="131" t="s">
        <v>12</v>
      </c>
      <c r="F12462" s="133" t="s">
        <v>19</v>
      </c>
      <c r="G12462" s="134" t="n">
        <f aca="false">LEN('Saisie programme'!$J$443)+SUMIFS('Vols additionnels'!$E$7:$E$66,'Vols additionnels'!$C$7:$C$66,$E12462,'Vols additionnels'!$D$7:$D$66,$F12462,'Vols additionnels'!$B$7:$B$66,$D12462)</f>
        <v>0</v>
      </c>
      <c r="H12462" s="135" t="n">
        <f aca="false">$G12462*'Analyse capacite'!$F$8</f>
        <v>0</v>
      </c>
      <c r="I12462" s="135" t="n">
        <f aca="false">$G12462*'Analyse capacite'!$C$8</f>
        <v>0</v>
      </c>
      <c r="J12462" s="135" t="n">
        <f aca="false">$G12462*'Analyse capacite'!$D$8</f>
        <v>0</v>
      </c>
      <c r="K12462" s="135" t="n">
        <f aca="false">$G12462*'Analyse capacite'!$E$8</f>
        <v>0</v>
      </c>
    </row>
    <row r="12463" customFormat="false" ht="15" hidden="false" customHeight="false" outlineLevel="0" collapsed="false">
      <c r="B12463" s="130" t="n">
        <v>2028</v>
      </c>
      <c r="C12463" s="131" t="s">
        <v>257</v>
      </c>
      <c r="D12463" s="132" t="n">
        <v>46824</v>
      </c>
      <c r="E12463" s="131" t="s">
        <v>12</v>
      </c>
      <c r="F12463" s="133" t="s">
        <v>24</v>
      </c>
      <c r="G12463" s="134" t="n">
        <f aca="false">LEN('Saisie programme'!$J$444)+SUMIFS('Vols additionnels'!$E$7:$E$66,'Vols additionnels'!$C$7:$C$66,$E12463,'Vols additionnels'!$D$7:$D$66,$F12463,'Vols additionnels'!$B$7:$B$66,$D12463)</f>
        <v>0</v>
      </c>
      <c r="H12463" s="135" t="n">
        <f aca="false">$G12463*'Analyse capacite'!$F$9</f>
        <v>0</v>
      </c>
      <c r="I12463" s="135" t="n">
        <f aca="false">$G12463*'Analyse capacite'!$C$9</f>
        <v>0</v>
      </c>
      <c r="J12463" s="135" t="n">
        <f aca="false">$G12463*'Analyse capacite'!$D$9</f>
        <v>0</v>
      </c>
      <c r="K12463" s="135" t="n">
        <f aca="false">$G12463*'Analyse capacite'!$E$9</f>
        <v>0</v>
      </c>
    </row>
    <row r="12464" customFormat="false" ht="15" hidden="false" customHeight="false" outlineLevel="0" collapsed="false">
      <c r="B12464" s="130" t="n">
        <v>2028</v>
      </c>
      <c r="C12464" s="131" t="s">
        <v>257</v>
      </c>
      <c r="D12464" s="132" t="n">
        <v>46824</v>
      </c>
      <c r="E12464" s="131" t="s">
        <v>20</v>
      </c>
      <c r="F12464" s="133" t="s">
        <v>11</v>
      </c>
      <c r="G12464" s="134" t="n">
        <f aca="false">LEN('Saisie programme'!$J$445)+SUMIFS('Vols additionnels'!$E$7:$E$66,'Vols additionnels'!$C$7:$C$66,$E12464,'Vols additionnels'!$D$7:$D$66,$F12464,'Vols additionnels'!$B$7:$B$66,$D12464)</f>
        <v>1</v>
      </c>
      <c r="H12464" s="135" t="n">
        <f aca="false">$G12464*'Analyse capacite'!$F$7</f>
        <v>438</v>
      </c>
      <c r="I12464" s="135" t="n">
        <f aca="false">$G12464*'Analyse capacite'!$C$7</f>
        <v>14</v>
      </c>
      <c r="J12464" s="135" t="n">
        <f aca="false">$G12464*'Analyse capacite'!$D$7</f>
        <v>40</v>
      </c>
      <c r="K12464" s="135" t="n">
        <f aca="false">$G12464*'Analyse capacite'!$E$7</f>
        <v>384</v>
      </c>
    </row>
    <row r="12465" customFormat="false" ht="15" hidden="false" customHeight="false" outlineLevel="0" collapsed="false">
      <c r="B12465" s="130" t="n">
        <v>2028</v>
      </c>
      <c r="C12465" s="131" t="s">
        <v>257</v>
      </c>
      <c r="D12465" s="132" t="n">
        <v>46824</v>
      </c>
      <c r="E12465" s="131" t="s">
        <v>20</v>
      </c>
      <c r="F12465" s="133" t="s">
        <v>19</v>
      </c>
      <c r="G12465" s="134" t="n">
        <f aca="false">LEN('Saisie programme'!$J$446)+SUMIFS('Vols additionnels'!$E$7:$E$66,'Vols additionnels'!$C$7:$C$66,$E12465,'Vols additionnels'!$D$7:$D$66,$F12465,'Vols additionnels'!$B$7:$B$66,$D12465)</f>
        <v>0</v>
      </c>
      <c r="H12465" s="135" t="n">
        <f aca="false">$G12465*'Analyse capacite'!$F$8</f>
        <v>0</v>
      </c>
      <c r="I12465" s="135" t="n">
        <f aca="false">$G12465*'Analyse capacite'!$C$8</f>
        <v>0</v>
      </c>
      <c r="J12465" s="135" t="n">
        <f aca="false">$G12465*'Analyse capacite'!$D$8</f>
        <v>0</v>
      </c>
      <c r="K12465" s="135" t="n">
        <f aca="false">$G12465*'Analyse capacite'!$E$8</f>
        <v>0</v>
      </c>
    </row>
    <row r="12466" customFormat="false" ht="15" hidden="false" customHeight="false" outlineLevel="0" collapsed="false">
      <c r="B12466" s="130" t="n">
        <v>2028</v>
      </c>
      <c r="C12466" s="131" t="s">
        <v>257</v>
      </c>
      <c r="D12466" s="132" t="n">
        <v>46824</v>
      </c>
      <c r="E12466" s="131" t="s">
        <v>20</v>
      </c>
      <c r="F12466" s="133" t="s">
        <v>24</v>
      </c>
      <c r="G12466" s="134" t="n">
        <f aca="false">LEN('Saisie programme'!$J$447)+SUMIFS('Vols additionnels'!$E$7:$E$66,'Vols additionnels'!$C$7:$C$66,$E12466,'Vols additionnels'!$D$7:$D$66,$F12466,'Vols additionnels'!$B$7:$B$66,$D12466)</f>
        <v>0</v>
      </c>
      <c r="H12466" s="135" t="n">
        <f aca="false">$G12466*'Analyse capacite'!$F$9</f>
        <v>0</v>
      </c>
      <c r="I12466" s="135" t="n">
        <f aca="false">$G12466*'Analyse capacite'!$C$9</f>
        <v>0</v>
      </c>
      <c r="J12466" s="135" t="n">
        <f aca="false">$G12466*'Analyse capacite'!$D$9</f>
        <v>0</v>
      </c>
      <c r="K12466" s="135" t="n">
        <f aca="false">$G12466*'Analyse capacite'!$E$9</f>
        <v>0</v>
      </c>
    </row>
    <row r="12467" customFormat="false" ht="15" hidden="false" customHeight="false" outlineLevel="0" collapsed="false">
      <c r="B12467" s="130" t="n">
        <v>2028</v>
      </c>
      <c r="C12467" s="131" t="s">
        <v>257</v>
      </c>
      <c r="D12467" s="132" t="n">
        <v>46824</v>
      </c>
      <c r="E12467" s="131" t="s">
        <v>25</v>
      </c>
      <c r="F12467" s="133" t="s">
        <v>11</v>
      </c>
      <c r="G12467" s="134" t="n">
        <f aca="false">LEN('Saisie programme'!$J$448)+SUMIFS('Vols additionnels'!$E$7:$E$66,'Vols additionnels'!$C$7:$C$66,$E12467,'Vols additionnels'!$D$7:$D$66,$F12467,'Vols additionnels'!$B$7:$B$66,$D12467)</f>
        <v>0</v>
      </c>
      <c r="H12467" s="135" t="n">
        <f aca="false">$G12467*'Analyse capacite'!$F$7</f>
        <v>0</v>
      </c>
      <c r="I12467" s="135" t="n">
        <f aca="false">$G12467*'Analyse capacite'!$C$7</f>
        <v>0</v>
      </c>
      <c r="J12467" s="135" t="n">
        <f aca="false">$G12467*'Analyse capacite'!$D$7</f>
        <v>0</v>
      </c>
      <c r="K12467" s="135" t="n">
        <f aca="false">$G12467*'Analyse capacite'!$E$7</f>
        <v>0</v>
      </c>
    </row>
    <row r="12468" customFormat="false" ht="15" hidden="false" customHeight="false" outlineLevel="0" collapsed="false">
      <c r="B12468" s="130" t="n">
        <v>2028</v>
      </c>
      <c r="C12468" s="131" t="s">
        <v>257</v>
      </c>
      <c r="D12468" s="132" t="n">
        <v>46824</v>
      </c>
      <c r="E12468" s="131" t="s">
        <v>25</v>
      </c>
      <c r="F12468" s="133" t="s">
        <v>19</v>
      </c>
      <c r="G12468" s="134" t="n">
        <f aca="false">LEN('Saisie programme'!$J$449)+SUMIFS('Vols additionnels'!$E$7:$E$66,'Vols additionnels'!$C$7:$C$66,$E12468,'Vols additionnels'!$D$7:$D$66,$F12468,'Vols additionnels'!$B$7:$B$66,$D12468)</f>
        <v>0</v>
      </c>
      <c r="H12468" s="135" t="n">
        <f aca="false">$G12468*'Analyse capacite'!$F$8</f>
        <v>0</v>
      </c>
      <c r="I12468" s="135" t="n">
        <f aca="false">$G12468*'Analyse capacite'!$C$8</f>
        <v>0</v>
      </c>
      <c r="J12468" s="135" t="n">
        <f aca="false">$G12468*'Analyse capacite'!$D$8</f>
        <v>0</v>
      </c>
      <c r="K12468" s="135" t="n">
        <f aca="false">$G12468*'Analyse capacite'!$E$8</f>
        <v>0</v>
      </c>
    </row>
    <row r="12469" customFormat="false" ht="15" hidden="false" customHeight="false" outlineLevel="0" collapsed="false">
      <c r="B12469" s="130" t="n">
        <v>2028</v>
      </c>
      <c r="C12469" s="131" t="s">
        <v>257</v>
      </c>
      <c r="D12469" s="132" t="n">
        <v>46824</v>
      </c>
      <c r="E12469" s="131" t="s">
        <v>25</v>
      </c>
      <c r="F12469" s="133" t="s">
        <v>24</v>
      </c>
      <c r="G12469" s="134" t="n">
        <f aca="false">LEN('Saisie programme'!$J$450)+SUMIFS('Vols additionnels'!$E$7:$E$66,'Vols additionnels'!$C$7:$C$66,$E12469,'Vols additionnels'!$D$7:$D$66,$F12469,'Vols additionnels'!$B$7:$B$66,$D12469)</f>
        <v>0</v>
      </c>
      <c r="H12469" s="135" t="n">
        <f aca="false">$G12469*'Analyse capacite'!$F$9</f>
        <v>0</v>
      </c>
      <c r="I12469" s="135" t="n">
        <f aca="false">$G12469*'Analyse capacite'!$C$9</f>
        <v>0</v>
      </c>
      <c r="J12469" s="135" t="n">
        <f aca="false">$G12469*'Analyse capacite'!$D$9</f>
        <v>0</v>
      </c>
      <c r="K12469" s="135" t="n">
        <f aca="false">$G12469*'Analyse capacite'!$E$9</f>
        <v>0</v>
      </c>
    </row>
    <row r="12470" customFormat="false" ht="15" hidden="false" customHeight="false" outlineLevel="0" collapsed="false">
      <c r="B12470" s="130" t="n">
        <v>2028</v>
      </c>
      <c r="C12470" s="131" t="s">
        <v>257</v>
      </c>
      <c r="D12470" s="132" t="n">
        <v>46824</v>
      </c>
      <c r="E12470" s="131" t="s">
        <v>36</v>
      </c>
      <c r="F12470" s="133" t="s">
        <v>11</v>
      </c>
      <c r="G12470" s="134" t="n">
        <f aca="false">LEN('Saisie programme'!$J$451)+SUMIFS('Vols additionnels'!$E$7:$E$66,'Vols additionnels'!$C$7:$C$66,$E12470,'Vols additionnels'!$D$7:$D$66,$F12470,'Vols additionnels'!$B$7:$B$66,$D12470)</f>
        <v>0</v>
      </c>
      <c r="H12470" s="135" t="n">
        <f aca="false">$G12470*'Analyse capacite'!$F$7</f>
        <v>0</v>
      </c>
      <c r="I12470" s="135" t="n">
        <f aca="false">$G12470*'Analyse capacite'!$C$7</f>
        <v>0</v>
      </c>
      <c r="J12470" s="135" t="n">
        <f aca="false">$G12470*'Analyse capacite'!$D$7</f>
        <v>0</v>
      </c>
      <c r="K12470" s="135" t="n">
        <f aca="false">$G12470*'Analyse capacite'!$E$7</f>
        <v>0</v>
      </c>
    </row>
    <row r="12471" customFormat="false" ht="15" hidden="false" customHeight="false" outlineLevel="0" collapsed="false">
      <c r="B12471" s="130" t="n">
        <v>2028</v>
      </c>
      <c r="C12471" s="131" t="s">
        <v>257</v>
      </c>
      <c r="D12471" s="132" t="n">
        <v>46824</v>
      </c>
      <c r="E12471" s="131" t="s">
        <v>36</v>
      </c>
      <c r="F12471" s="133" t="s">
        <v>19</v>
      </c>
      <c r="G12471" s="134" t="n">
        <f aca="false">LEN('Saisie programme'!$J$452)+SUMIFS('Vols additionnels'!$E$7:$E$66,'Vols additionnels'!$C$7:$C$66,$E12471,'Vols additionnels'!$D$7:$D$66,$F12471,'Vols additionnels'!$B$7:$B$66,$D12471)</f>
        <v>0</v>
      </c>
      <c r="H12471" s="135" t="n">
        <f aca="false">$G12471*'Analyse capacite'!$F$8</f>
        <v>0</v>
      </c>
      <c r="I12471" s="135" t="n">
        <f aca="false">$G12471*'Analyse capacite'!$C$8</f>
        <v>0</v>
      </c>
      <c r="J12471" s="135" t="n">
        <f aca="false">$G12471*'Analyse capacite'!$D$8</f>
        <v>0</v>
      </c>
      <c r="K12471" s="135" t="n">
        <f aca="false">$G12471*'Analyse capacite'!$E$8</f>
        <v>0</v>
      </c>
    </row>
    <row r="12472" customFormat="false" ht="15" hidden="false" customHeight="false" outlineLevel="0" collapsed="false">
      <c r="B12472" s="130" t="n">
        <v>2028</v>
      </c>
      <c r="C12472" s="131" t="s">
        <v>257</v>
      </c>
      <c r="D12472" s="132" t="n">
        <v>46824</v>
      </c>
      <c r="E12472" s="131" t="s">
        <v>36</v>
      </c>
      <c r="F12472" s="133" t="s">
        <v>24</v>
      </c>
      <c r="G12472" s="134" t="n">
        <f aca="false">LEN('Saisie programme'!$J$453)+SUMIFS('Vols additionnels'!$E$7:$E$66,'Vols additionnels'!$C$7:$C$66,$E12472,'Vols additionnels'!$D$7:$D$66,$F12472,'Vols additionnels'!$B$7:$B$66,$D12472)</f>
        <v>0</v>
      </c>
      <c r="H12472" s="135" t="n">
        <f aca="false">$G12472*'Analyse capacite'!$F$9</f>
        <v>0</v>
      </c>
      <c r="I12472" s="135" t="n">
        <f aca="false">$G12472*'Analyse capacite'!$C$9</f>
        <v>0</v>
      </c>
      <c r="J12472" s="135" t="n">
        <f aca="false">$G12472*'Analyse capacite'!$D$9</f>
        <v>0</v>
      </c>
      <c r="K12472" s="135" t="n">
        <f aca="false">$G12472*'Analyse capacite'!$E$9</f>
        <v>0</v>
      </c>
    </row>
    <row r="12473" customFormat="false" ht="15" hidden="false" customHeight="false" outlineLevel="0" collapsed="false">
      <c r="B12473" s="130" t="n">
        <v>2028</v>
      </c>
      <c r="C12473" s="131" t="s">
        <v>257</v>
      </c>
      <c r="D12473" s="132" t="n">
        <v>46824</v>
      </c>
      <c r="E12473" s="131" t="s">
        <v>40</v>
      </c>
      <c r="F12473" s="133" t="s">
        <v>11</v>
      </c>
      <c r="G12473" s="134" t="n">
        <f aca="false">LEN('Saisie programme'!$J$454)+SUMIFS('Vols additionnels'!$E$7:$E$66,'Vols additionnels'!$C$7:$C$66,$E12473,'Vols additionnels'!$D$7:$D$66,$F12473,'Vols additionnels'!$B$7:$B$66,$D12473)</f>
        <v>0</v>
      </c>
      <c r="H12473" s="135" t="n">
        <f aca="false">$G12473*'Analyse capacite'!$F$7</f>
        <v>0</v>
      </c>
      <c r="I12473" s="135" t="n">
        <f aca="false">$G12473*'Analyse capacite'!$C$7</f>
        <v>0</v>
      </c>
      <c r="J12473" s="135" t="n">
        <f aca="false">$G12473*'Analyse capacite'!$D$7</f>
        <v>0</v>
      </c>
      <c r="K12473" s="135" t="n">
        <f aca="false">$G12473*'Analyse capacite'!$E$7</f>
        <v>0</v>
      </c>
    </row>
    <row r="12474" customFormat="false" ht="15" hidden="false" customHeight="false" outlineLevel="0" collapsed="false">
      <c r="B12474" s="130" t="n">
        <v>2028</v>
      </c>
      <c r="C12474" s="131" t="s">
        <v>257</v>
      </c>
      <c r="D12474" s="132" t="n">
        <v>46824</v>
      </c>
      <c r="E12474" s="131" t="s">
        <v>40</v>
      </c>
      <c r="F12474" s="133" t="s">
        <v>19</v>
      </c>
      <c r="G12474" s="134" t="n">
        <f aca="false">LEN('Saisie programme'!$J$455)+SUMIFS('Vols additionnels'!$E$7:$E$66,'Vols additionnels'!$C$7:$C$66,$E12474,'Vols additionnels'!$D$7:$D$66,$F12474,'Vols additionnels'!$B$7:$B$66,$D12474)</f>
        <v>0</v>
      </c>
      <c r="H12474" s="135" t="n">
        <f aca="false">$G12474*'Analyse capacite'!$F$8</f>
        <v>0</v>
      </c>
      <c r="I12474" s="135" t="n">
        <f aca="false">$G12474*'Analyse capacite'!$C$8</f>
        <v>0</v>
      </c>
      <c r="J12474" s="135" t="n">
        <f aca="false">$G12474*'Analyse capacite'!$D$8</f>
        <v>0</v>
      </c>
      <c r="K12474" s="135" t="n">
        <f aca="false">$G12474*'Analyse capacite'!$E$8</f>
        <v>0</v>
      </c>
    </row>
    <row r="12475" customFormat="false" ht="15" hidden="false" customHeight="false" outlineLevel="0" collapsed="false">
      <c r="B12475" s="130" t="n">
        <v>2028</v>
      </c>
      <c r="C12475" s="131" t="s">
        <v>257</v>
      </c>
      <c r="D12475" s="132" t="n">
        <v>46824</v>
      </c>
      <c r="E12475" s="131" t="s">
        <v>40</v>
      </c>
      <c r="F12475" s="133" t="s">
        <v>24</v>
      </c>
      <c r="G12475" s="134" t="n">
        <f aca="false">LEN('Saisie programme'!$J$456)+SUMIFS('Vols additionnels'!$E$7:$E$66,'Vols additionnels'!$C$7:$C$66,$E12475,'Vols additionnels'!$D$7:$D$66,$F12475,'Vols additionnels'!$B$7:$B$66,$D12475)</f>
        <v>1</v>
      </c>
      <c r="H12475" s="135" t="n">
        <f aca="false">$G12475*'Analyse capacite'!$F$9</f>
        <v>174</v>
      </c>
      <c r="I12475" s="135" t="n">
        <f aca="false">$G12475*'Analyse capacite'!$C$9</f>
        <v>0</v>
      </c>
      <c r="J12475" s="135" t="n">
        <f aca="false">$G12475*'Analyse capacite'!$D$9</f>
        <v>12</v>
      </c>
      <c r="K12475" s="135" t="n">
        <f aca="false">$G12475*'Analyse capacite'!$E$9</f>
        <v>162</v>
      </c>
    </row>
    <row r="12476" customFormat="false" ht="15" hidden="false" customHeight="false" outlineLevel="0" collapsed="false">
      <c r="B12476" s="130" t="n">
        <v>2028</v>
      </c>
      <c r="C12476" s="131" t="s">
        <v>257</v>
      </c>
      <c r="D12476" s="132" t="n">
        <v>46824</v>
      </c>
      <c r="E12476" s="131" t="s">
        <v>14</v>
      </c>
      <c r="F12476" s="133" t="s">
        <v>11</v>
      </c>
      <c r="G12476" s="134" t="n">
        <f aca="false">LEN('Saisie programme'!$J$457)+SUMIFS('Vols additionnels'!$E$7:$E$66,'Vols additionnels'!$C$7:$C$66,$E12476,'Vols additionnels'!$D$7:$D$66,$F12476,'Vols additionnels'!$B$7:$B$66,$D12476)</f>
        <v>0</v>
      </c>
      <c r="H12476" s="135" t="n">
        <f aca="false">$G12476*'Analyse capacite'!$F$7</f>
        <v>0</v>
      </c>
      <c r="I12476" s="135" t="n">
        <f aca="false">$G12476*'Analyse capacite'!$C$7</f>
        <v>0</v>
      </c>
      <c r="J12476" s="135" t="n">
        <f aca="false">$G12476*'Analyse capacite'!$D$7</f>
        <v>0</v>
      </c>
      <c r="K12476" s="135" t="n">
        <f aca="false">$G12476*'Analyse capacite'!$E$7</f>
        <v>0</v>
      </c>
    </row>
    <row r="12477" customFormat="false" ht="15" hidden="false" customHeight="false" outlineLevel="0" collapsed="false">
      <c r="B12477" s="130" t="n">
        <v>2028</v>
      </c>
      <c r="C12477" s="131" t="s">
        <v>257</v>
      </c>
      <c r="D12477" s="132" t="n">
        <v>46824</v>
      </c>
      <c r="E12477" s="131" t="s">
        <v>14</v>
      </c>
      <c r="F12477" s="133" t="s">
        <v>19</v>
      </c>
      <c r="G12477" s="134" t="n">
        <f aca="false">LEN('Saisie programme'!$J$458)+SUMIFS('Vols additionnels'!$E$7:$E$66,'Vols additionnels'!$C$7:$C$66,$E12477,'Vols additionnels'!$D$7:$D$66,$F12477,'Vols additionnels'!$B$7:$B$66,$D12477)</f>
        <v>0</v>
      </c>
      <c r="H12477" s="135" t="n">
        <f aca="false">$G12477*'Analyse capacite'!$F$8</f>
        <v>0</v>
      </c>
      <c r="I12477" s="135" t="n">
        <f aca="false">$G12477*'Analyse capacite'!$C$8</f>
        <v>0</v>
      </c>
      <c r="J12477" s="135" t="n">
        <f aca="false">$G12477*'Analyse capacite'!$D$8</f>
        <v>0</v>
      </c>
      <c r="K12477" s="135" t="n">
        <f aca="false">$G12477*'Analyse capacite'!$E$8</f>
        <v>0</v>
      </c>
    </row>
    <row r="12478" customFormat="false" ht="15" hidden="false" customHeight="false" outlineLevel="0" collapsed="false">
      <c r="B12478" s="130" t="n">
        <v>2028</v>
      </c>
      <c r="C12478" s="131" t="s">
        <v>257</v>
      </c>
      <c r="D12478" s="132" t="n">
        <v>46824</v>
      </c>
      <c r="E12478" s="131" t="s">
        <v>14</v>
      </c>
      <c r="F12478" s="133" t="s">
        <v>24</v>
      </c>
      <c r="G12478" s="134" t="n">
        <f aca="false">LEN('Saisie programme'!$J$459)+SUMIFS('Vols additionnels'!$E$7:$E$66,'Vols additionnels'!$C$7:$C$66,$E12478,'Vols additionnels'!$D$7:$D$66,$F12478,'Vols additionnels'!$B$7:$B$66,$D12478)</f>
        <v>0</v>
      </c>
      <c r="H12478" s="135" t="n">
        <f aca="false">$G12478*'Analyse capacite'!$F$9</f>
        <v>0</v>
      </c>
      <c r="I12478" s="135" t="n">
        <f aca="false">$G12478*'Analyse capacite'!$C$9</f>
        <v>0</v>
      </c>
      <c r="J12478" s="135" t="n">
        <f aca="false">$G12478*'Analyse capacite'!$D$9</f>
        <v>0</v>
      </c>
      <c r="K12478" s="135" t="n">
        <f aca="false">$G12478*'Analyse capacite'!$E$9</f>
        <v>0</v>
      </c>
    </row>
    <row r="12479" customFormat="false" ht="15" hidden="false" customHeight="false" outlineLevel="0" collapsed="false">
      <c r="B12479" s="130" t="n">
        <v>2028</v>
      </c>
      <c r="C12479" s="131" t="s">
        <v>257</v>
      </c>
      <c r="D12479" s="132" t="n">
        <v>46824</v>
      </c>
      <c r="E12479" s="131" t="s">
        <v>46</v>
      </c>
      <c r="F12479" s="133" t="s">
        <v>11</v>
      </c>
      <c r="G12479" s="134" t="n">
        <f aca="false">LEN('Saisie programme'!$J$460)+SUMIFS('Vols additionnels'!$E$7:$E$66,'Vols additionnels'!$C$7:$C$66,$E12479,'Vols additionnels'!$D$7:$D$66,$F12479,'Vols additionnels'!$B$7:$B$66,$D12479)</f>
        <v>0</v>
      </c>
      <c r="H12479" s="135" t="n">
        <f aca="false">$G12479*'Analyse capacite'!$F$7</f>
        <v>0</v>
      </c>
      <c r="I12479" s="135" t="n">
        <f aca="false">$G12479*'Analyse capacite'!$C$7</f>
        <v>0</v>
      </c>
      <c r="J12479" s="135" t="n">
        <f aca="false">$G12479*'Analyse capacite'!$D$7</f>
        <v>0</v>
      </c>
      <c r="K12479" s="135" t="n">
        <f aca="false">$G12479*'Analyse capacite'!$E$7</f>
        <v>0</v>
      </c>
    </row>
    <row r="12480" customFormat="false" ht="15" hidden="false" customHeight="false" outlineLevel="0" collapsed="false">
      <c r="B12480" s="130" t="n">
        <v>2028</v>
      </c>
      <c r="C12480" s="131" t="s">
        <v>257</v>
      </c>
      <c r="D12480" s="132" t="n">
        <v>46824</v>
      </c>
      <c r="E12480" s="131" t="s">
        <v>46</v>
      </c>
      <c r="F12480" s="133" t="s">
        <v>19</v>
      </c>
      <c r="G12480" s="134" t="n">
        <f aca="false">LEN('Saisie programme'!$J$461)+SUMIFS('Vols additionnels'!$E$7:$E$66,'Vols additionnels'!$C$7:$C$66,$E12480,'Vols additionnels'!$D$7:$D$66,$F12480,'Vols additionnels'!$B$7:$B$66,$D12480)</f>
        <v>0</v>
      </c>
      <c r="H12480" s="135" t="n">
        <f aca="false">$G12480*'Analyse capacite'!$F$8</f>
        <v>0</v>
      </c>
      <c r="I12480" s="135" t="n">
        <f aca="false">$G12480*'Analyse capacite'!$C$8</f>
        <v>0</v>
      </c>
      <c r="J12480" s="135" t="n">
        <f aca="false">$G12480*'Analyse capacite'!$D$8</f>
        <v>0</v>
      </c>
      <c r="K12480" s="135" t="n">
        <f aca="false">$G12480*'Analyse capacite'!$E$8</f>
        <v>0</v>
      </c>
    </row>
    <row r="12481" customFormat="false" ht="15" hidden="false" customHeight="false" outlineLevel="0" collapsed="false">
      <c r="B12481" s="130" t="n">
        <v>2028</v>
      </c>
      <c r="C12481" s="131" t="s">
        <v>257</v>
      </c>
      <c r="D12481" s="132" t="n">
        <v>46824</v>
      </c>
      <c r="E12481" s="131" t="s">
        <v>46</v>
      </c>
      <c r="F12481" s="133" t="s">
        <v>24</v>
      </c>
      <c r="G12481" s="134" t="n">
        <f aca="false">LEN('Saisie programme'!$J$462)+SUMIFS('Vols additionnels'!$E$7:$E$66,'Vols additionnels'!$C$7:$C$66,$E12481,'Vols additionnels'!$D$7:$D$66,$F12481,'Vols additionnels'!$B$7:$B$66,$D12481)</f>
        <v>0</v>
      </c>
      <c r="H12481" s="135" t="n">
        <f aca="false">$G12481*'Analyse capacite'!$F$9</f>
        <v>0</v>
      </c>
      <c r="I12481" s="135" t="n">
        <f aca="false">$G12481*'Analyse capacite'!$C$9</f>
        <v>0</v>
      </c>
      <c r="J12481" s="135" t="n">
        <f aca="false">$G12481*'Analyse capacite'!$D$9</f>
        <v>0</v>
      </c>
      <c r="K12481" s="135" t="n">
        <f aca="false">$G12481*'Analyse capacite'!$E$9</f>
        <v>0</v>
      </c>
    </row>
    <row r="12482" customFormat="false" ht="15" hidden="false" customHeight="false" outlineLevel="0" collapsed="false">
      <c r="B12482" s="130" t="n">
        <v>2028</v>
      </c>
      <c r="C12482" s="131" t="s">
        <v>257</v>
      </c>
      <c r="D12482" s="132" t="n">
        <v>46824</v>
      </c>
      <c r="E12482" s="131" t="s">
        <v>49</v>
      </c>
      <c r="F12482" s="133" t="s">
        <v>11</v>
      </c>
      <c r="G12482" s="134" t="n">
        <f aca="false">LEN('Saisie programme'!$J$463)+SUMIFS('Vols additionnels'!$E$7:$E$66,'Vols additionnels'!$C$7:$C$66,$E12482,'Vols additionnels'!$D$7:$D$66,$F12482,'Vols additionnels'!$B$7:$B$66,$D12482)</f>
        <v>0</v>
      </c>
      <c r="H12482" s="135" t="n">
        <f aca="false">$G12482*'Analyse capacite'!$F$7</f>
        <v>0</v>
      </c>
      <c r="I12482" s="135" t="n">
        <f aca="false">$G12482*'Analyse capacite'!$C$7</f>
        <v>0</v>
      </c>
      <c r="J12482" s="135" t="n">
        <f aca="false">$G12482*'Analyse capacite'!$D$7</f>
        <v>0</v>
      </c>
      <c r="K12482" s="135" t="n">
        <f aca="false">$G12482*'Analyse capacite'!$E$7</f>
        <v>0</v>
      </c>
    </row>
    <row r="12483" customFormat="false" ht="15" hidden="false" customHeight="false" outlineLevel="0" collapsed="false">
      <c r="B12483" s="130" t="n">
        <v>2028</v>
      </c>
      <c r="C12483" s="131" t="s">
        <v>257</v>
      </c>
      <c r="D12483" s="132" t="n">
        <v>46824</v>
      </c>
      <c r="E12483" s="131" t="s">
        <v>49</v>
      </c>
      <c r="F12483" s="133" t="s">
        <v>19</v>
      </c>
      <c r="G12483" s="134" t="n">
        <f aca="false">LEN('Saisie programme'!$J$464)+SUMIFS('Vols additionnels'!$E$7:$E$66,'Vols additionnels'!$C$7:$C$66,$E12483,'Vols additionnels'!$D$7:$D$66,$F12483,'Vols additionnels'!$B$7:$B$66,$D12483)</f>
        <v>0</v>
      </c>
      <c r="H12483" s="135" t="n">
        <f aca="false">$G12483*'Analyse capacite'!$F$8</f>
        <v>0</v>
      </c>
      <c r="I12483" s="135" t="n">
        <f aca="false">$G12483*'Analyse capacite'!$C$8</f>
        <v>0</v>
      </c>
      <c r="J12483" s="135" t="n">
        <f aca="false">$G12483*'Analyse capacite'!$D$8</f>
        <v>0</v>
      </c>
      <c r="K12483" s="135" t="n">
        <f aca="false">$G12483*'Analyse capacite'!$E$8</f>
        <v>0</v>
      </c>
    </row>
    <row r="12484" customFormat="false" ht="15" hidden="false" customHeight="false" outlineLevel="0" collapsed="false">
      <c r="B12484" s="130" t="n">
        <v>2028</v>
      </c>
      <c r="C12484" s="131" t="s">
        <v>257</v>
      </c>
      <c r="D12484" s="132" t="n">
        <v>46824</v>
      </c>
      <c r="E12484" s="131" t="s">
        <v>49</v>
      </c>
      <c r="F12484" s="133" t="s">
        <v>24</v>
      </c>
      <c r="G12484" s="134" t="n">
        <f aca="false">LEN('Saisie programme'!$J$465)+SUMIFS('Vols additionnels'!$E$7:$E$66,'Vols additionnels'!$C$7:$C$66,$E12484,'Vols additionnels'!$D$7:$D$66,$F12484,'Vols additionnels'!$B$7:$B$66,$D12484)</f>
        <v>0</v>
      </c>
      <c r="H12484" s="135" t="n">
        <f aca="false">$G12484*'Analyse capacite'!$F$9</f>
        <v>0</v>
      </c>
      <c r="I12484" s="135" t="n">
        <f aca="false">$G12484*'Analyse capacite'!$C$9</f>
        <v>0</v>
      </c>
      <c r="J12484" s="135" t="n">
        <f aca="false">$G12484*'Analyse capacite'!$D$9</f>
        <v>0</v>
      </c>
      <c r="K12484" s="135" t="n">
        <f aca="false">$G12484*'Analyse capacite'!$E$9</f>
        <v>0</v>
      </c>
    </row>
    <row r="12485" customFormat="false" ht="15" hidden="false" customHeight="false" outlineLevel="0" collapsed="false">
      <c r="B12485" s="130" t="n">
        <v>2028</v>
      </c>
      <c r="C12485" s="131" t="s">
        <v>257</v>
      </c>
      <c r="D12485" s="132" t="n">
        <v>46824</v>
      </c>
      <c r="E12485" s="131" t="s">
        <v>53</v>
      </c>
      <c r="F12485" s="133" t="s">
        <v>11</v>
      </c>
      <c r="G12485" s="134" t="n">
        <f aca="false">LEN('Saisie programme'!$J$466)+SUMIFS('Vols additionnels'!$E$7:$E$66,'Vols additionnels'!$C$7:$C$66,$E12485,'Vols additionnels'!$D$7:$D$66,$F12485,'Vols additionnels'!$B$7:$B$66,$D12485)</f>
        <v>0</v>
      </c>
      <c r="H12485" s="135" t="n">
        <f aca="false">$G12485*'Analyse capacite'!$F$7</f>
        <v>0</v>
      </c>
      <c r="I12485" s="135" t="n">
        <f aca="false">$G12485*'Analyse capacite'!$C$7</f>
        <v>0</v>
      </c>
      <c r="J12485" s="135" t="n">
        <f aca="false">$G12485*'Analyse capacite'!$D$7</f>
        <v>0</v>
      </c>
      <c r="K12485" s="135" t="n">
        <f aca="false">$G12485*'Analyse capacite'!$E$7</f>
        <v>0</v>
      </c>
    </row>
    <row r="12486" customFormat="false" ht="15" hidden="false" customHeight="false" outlineLevel="0" collapsed="false">
      <c r="B12486" s="130" t="n">
        <v>2028</v>
      </c>
      <c r="C12486" s="131" t="s">
        <v>257</v>
      </c>
      <c r="D12486" s="132" t="n">
        <v>46824</v>
      </c>
      <c r="E12486" s="131" t="s">
        <v>53</v>
      </c>
      <c r="F12486" s="133" t="s">
        <v>19</v>
      </c>
      <c r="G12486" s="134" t="n">
        <f aca="false">LEN('Saisie programme'!$J$467)+SUMIFS('Vols additionnels'!$E$7:$E$66,'Vols additionnels'!$C$7:$C$66,$E12486,'Vols additionnels'!$D$7:$D$66,$F12486,'Vols additionnels'!$B$7:$B$66,$D12486)</f>
        <v>0</v>
      </c>
      <c r="H12486" s="135" t="n">
        <f aca="false">$G12486*'Analyse capacite'!$F$8</f>
        <v>0</v>
      </c>
      <c r="I12486" s="135" t="n">
        <f aca="false">$G12486*'Analyse capacite'!$C$8</f>
        <v>0</v>
      </c>
      <c r="J12486" s="135" t="n">
        <f aca="false">$G12486*'Analyse capacite'!$D$8</f>
        <v>0</v>
      </c>
      <c r="K12486" s="135" t="n">
        <f aca="false">$G12486*'Analyse capacite'!$E$8</f>
        <v>0</v>
      </c>
    </row>
    <row r="12487" customFormat="false" ht="15" hidden="false" customHeight="false" outlineLevel="0" collapsed="false">
      <c r="B12487" s="130" t="n">
        <v>2028</v>
      </c>
      <c r="C12487" s="131" t="s">
        <v>257</v>
      </c>
      <c r="D12487" s="132" t="n">
        <v>46824</v>
      </c>
      <c r="E12487" s="131" t="s">
        <v>53</v>
      </c>
      <c r="F12487" s="133" t="s">
        <v>24</v>
      </c>
      <c r="G12487" s="134" t="n">
        <f aca="false">LEN('Saisie programme'!$J$468)+SUMIFS('Vols additionnels'!$E$7:$E$66,'Vols additionnels'!$C$7:$C$66,$E12487,'Vols additionnels'!$D$7:$D$66,$F12487,'Vols additionnels'!$B$7:$B$66,$D12487)</f>
        <v>0</v>
      </c>
      <c r="H12487" s="135" t="n">
        <f aca="false">$G12487*'Analyse capacite'!$F$9</f>
        <v>0</v>
      </c>
      <c r="I12487" s="135" t="n">
        <f aca="false">$G12487*'Analyse capacite'!$C$9</f>
        <v>0</v>
      </c>
      <c r="J12487" s="135" t="n">
        <f aca="false">$G12487*'Analyse capacite'!$D$9</f>
        <v>0</v>
      </c>
      <c r="K12487" s="135" t="n">
        <f aca="false">$G12487*'Analyse capacite'!$E$9</f>
        <v>0</v>
      </c>
    </row>
    <row r="12488" customFormat="false" ht="15" hidden="false" customHeight="false" outlineLevel="0" collapsed="false">
      <c r="B12488" s="130" t="n">
        <v>2028</v>
      </c>
      <c r="C12488" s="131" t="s">
        <v>257</v>
      </c>
      <c r="D12488" s="132" t="n">
        <v>46824</v>
      </c>
      <c r="E12488" s="131" t="s">
        <v>56</v>
      </c>
      <c r="F12488" s="133" t="s">
        <v>11</v>
      </c>
      <c r="G12488" s="134" t="n">
        <f aca="false">LEN('Saisie programme'!$J$469)+SUMIFS('Vols additionnels'!$E$7:$E$66,'Vols additionnels'!$C$7:$C$66,$E12488,'Vols additionnels'!$D$7:$D$66,$F12488,'Vols additionnels'!$B$7:$B$66,$D12488)</f>
        <v>0</v>
      </c>
      <c r="H12488" s="135" t="n">
        <f aca="false">$G12488*'Analyse capacite'!$F$7</f>
        <v>0</v>
      </c>
      <c r="I12488" s="135" t="n">
        <f aca="false">$G12488*'Analyse capacite'!$C$7</f>
        <v>0</v>
      </c>
      <c r="J12488" s="135" t="n">
        <f aca="false">$G12488*'Analyse capacite'!$D$7</f>
        <v>0</v>
      </c>
      <c r="K12488" s="135" t="n">
        <f aca="false">$G12488*'Analyse capacite'!$E$7</f>
        <v>0</v>
      </c>
    </row>
    <row r="12489" customFormat="false" ht="15" hidden="false" customHeight="false" outlineLevel="0" collapsed="false">
      <c r="B12489" s="130" t="n">
        <v>2028</v>
      </c>
      <c r="C12489" s="131" t="s">
        <v>257</v>
      </c>
      <c r="D12489" s="132" t="n">
        <v>46824</v>
      </c>
      <c r="E12489" s="131" t="s">
        <v>56</v>
      </c>
      <c r="F12489" s="133" t="s">
        <v>19</v>
      </c>
      <c r="G12489" s="134" t="n">
        <f aca="false">LEN('Saisie programme'!$J$470)+SUMIFS('Vols additionnels'!$E$7:$E$66,'Vols additionnels'!$C$7:$C$66,$E12489,'Vols additionnels'!$D$7:$D$66,$F12489,'Vols additionnels'!$B$7:$B$66,$D12489)</f>
        <v>0</v>
      </c>
      <c r="H12489" s="135" t="n">
        <f aca="false">$G12489*'Analyse capacite'!$F$8</f>
        <v>0</v>
      </c>
      <c r="I12489" s="135" t="n">
        <f aca="false">$G12489*'Analyse capacite'!$C$8</f>
        <v>0</v>
      </c>
      <c r="J12489" s="135" t="n">
        <f aca="false">$G12489*'Analyse capacite'!$D$8</f>
        <v>0</v>
      </c>
      <c r="K12489" s="135" t="n">
        <f aca="false">$G12489*'Analyse capacite'!$E$8</f>
        <v>0</v>
      </c>
    </row>
    <row r="12490" customFormat="false" ht="15" hidden="false" customHeight="false" outlineLevel="0" collapsed="false">
      <c r="B12490" s="130" t="n">
        <v>2028</v>
      </c>
      <c r="C12490" s="131" t="s">
        <v>257</v>
      </c>
      <c r="D12490" s="132" t="n">
        <v>46824</v>
      </c>
      <c r="E12490" s="131" t="s">
        <v>56</v>
      </c>
      <c r="F12490" s="133" t="s">
        <v>24</v>
      </c>
      <c r="G12490" s="134" t="n">
        <f aca="false">LEN('Saisie programme'!$J$471)+SUMIFS('Vols additionnels'!$E$7:$E$66,'Vols additionnels'!$C$7:$C$66,$E12490,'Vols additionnels'!$D$7:$D$66,$F12490,'Vols additionnels'!$B$7:$B$66,$D12490)</f>
        <v>0</v>
      </c>
      <c r="H12490" s="135" t="n">
        <f aca="false">$G12490*'Analyse capacite'!$F$9</f>
        <v>0</v>
      </c>
      <c r="I12490" s="135" t="n">
        <f aca="false">$G12490*'Analyse capacite'!$C$9</f>
        <v>0</v>
      </c>
      <c r="J12490" s="135" t="n">
        <f aca="false">$G12490*'Analyse capacite'!$D$9</f>
        <v>0</v>
      </c>
      <c r="K12490" s="135" t="n">
        <f aca="false">$G12490*'Analyse capacite'!$E$9</f>
        <v>0</v>
      </c>
    </row>
    <row r="12491" customFormat="false" ht="15" hidden="false" customHeight="false" outlineLevel="0" collapsed="false">
      <c r="B12491" s="130" t="n">
        <v>2028</v>
      </c>
      <c r="C12491" s="131" t="s">
        <v>257</v>
      </c>
      <c r="D12491" s="132" t="n">
        <v>46824</v>
      </c>
      <c r="E12491" s="131" t="s">
        <v>59</v>
      </c>
      <c r="F12491" s="133" t="s">
        <v>11</v>
      </c>
      <c r="G12491" s="134" t="n">
        <f aca="false">LEN('Saisie programme'!$J$472)+SUMIFS('Vols additionnels'!$E$7:$E$66,'Vols additionnels'!$C$7:$C$66,$E12491,'Vols additionnels'!$D$7:$D$66,$F12491,'Vols additionnels'!$B$7:$B$66,$D12491)</f>
        <v>0</v>
      </c>
      <c r="H12491" s="135" t="n">
        <f aca="false">$G12491*'Analyse capacite'!$F$7</f>
        <v>0</v>
      </c>
      <c r="I12491" s="135" t="n">
        <f aca="false">$G12491*'Analyse capacite'!$C$7</f>
        <v>0</v>
      </c>
      <c r="J12491" s="135" t="n">
        <f aca="false">$G12491*'Analyse capacite'!$D$7</f>
        <v>0</v>
      </c>
      <c r="K12491" s="135" t="n">
        <f aca="false">$G12491*'Analyse capacite'!$E$7</f>
        <v>0</v>
      </c>
    </row>
    <row r="12492" customFormat="false" ht="15" hidden="false" customHeight="false" outlineLevel="0" collapsed="false">
      <c r="B12492" s="130" t="n">
        <v>2028</v>
      </c>
      <c r="C12492" s="131" t="s">
        <v>257</v>
      </c>
      <c r="D12492" s="132" t="n">
        <v>46824</v>
      </c>
      <c r="E12492" s="131" t="s">
        <v>59</v>
      </c>
      <c r="F12492" s="133" t="s">
        <v>19</v>
      </c>
      <c r="G12492" s="134" t="n">
        <f aca="false">LEN('Saisie programme'!$J$473)+SUMIFS('Vols additionnels'!$E$7:$E$66,'Vols additionnels'!$C$7:$C$66,$E12492,'Vols additionnels'!$D$7:$D$66,$F12492,'Vols additionnels'!$B$7:$B$66,$D12492)</f>
        <v>0</v>
      </c>
      <c r="H12492" s="135" t="n">
        <f aca="false">$G12492*'Analyse capacite'!$F$8</f>
        <v>0</v>
      </c>
      <c r="I12492" s="135" t="n">
        <f aca="false">$G12492*'Analyse capacite'!$C$8</f>
        <v>0</v>
      </c>
      <c r="J12492" s="135" t="n">
        <f aca="false">$G12492*'Analyse capacite'!$D$8</f>
        <v>0</v>
      </c>
      <c r="K12492" s="135" t="n">
        <f aca="false">$G12492*'Analyse capacite'!$E$8</f>
        <v>0</v>
      </c>
    </row>
    <row r="12493" customFormat="false" ht="15" hidden="false" customHeight="false" outlineLevel="0" collapsed="false">
      <c r="B12493" s="130" t="n">
        <v>2028</v>
      </c>
      <c r="C12493" s="131" t="s">
        <v>257</v>
      </c>
      <c r="D12493" s="132" t="n">
        <v>46824</v>
      </c>
      <c r="E12493" s="131" t="s">
        <v>59</v>
      </c>
      <c r="F12493" s="133" t="s">
        <v>24</v>
      </c>
      <c r="G12493" s="134" t="n">
        <f aca="false">LEN('Saisie programme'!$J$474)+SUMIFS('Vols additionnels'!$E$7:$E$66,'Vols additionnels'!$C$7:$C$66,$E12493,'Vols additionnels'!$D$7:$D$66,$F12493,'Vols additionnels'!$B$7:$B$66,$D12493)</f>
        <v>0</v>
      </c>
      <c r="H12493" s="135" t="n">
        <f aca="false">$G12493*'Analyse capacite'!$F$9</f>
        <v>0</v>
      </c>
      <c r="I12493" s="135" t="n">
        <f aca="false">$G12493*'Analyse capacite'!$C$9</f>
        <v>0</v>
      </c>
      <c r="J12493" s="135" t="n">
        <f aca="false">$G12493*'Analyse capacite'!$D$9</f>
        <v>0</v>
      </c>
      <c r="K12493" s="135" t="n">
        <f aca="false">$G12493*'Analyse capacite'!$E$9</f>
        <v>0</v>
      </c>
    </row>
    <row r="12494" customFormat="false" ht="15" hidden="false" customHeight="false" outlineLevel="0" collapsed="false">
      <c r="B12494" s="130" t="n">
        <v>2028</v>
      </c>
      <c r="C12494" s="131" t="s">
        <v>257</v>
      </c>
      <c r="D12494" s="132" t="n">
        <v>46824</v>
      </c>
      <c r="E12494" s="131" t="s">
        <v>62</v>
      </c>
      <c r="F12494" s="133" t="s">
        <v>11</v>
      </c>
      <c r="G12494" s="134" t="n">
        <f aca="false">LEN('Saisie programme'!$J$475)+SUMIFS('Vols additionnels'!$E$7:$E$66,'Vols additionnels'!$C$7:$C$66,$E12494,'Vols additionnels'!$D$7:$D$66,$F12494,'Vols additionnels'!$B$7:$B$66,$D12494)</f>
        <v>0</v>
      </c>
      <c r="H12494" s="135" t="n">
        <f aca="false">$G12494*'Analyse capacite'!$F$7</f>
        <v>0</v>
      </c>
      <c r="I12494" s="135" t="n">
        <f aca="false">$G12494*'Analyse capacite'!$C$7</f>
        <v>0</v>
      </c>
      <c r="J12494" s="135" t="n">
        <f aca="false">$G12494*'Analyse capacite'!$D$7</f>
        <v>0</v>
      </c>
      <c r="K12494" s="135" t="n">
        <f aca="false">$G12494*'Analyse capacite'!$E$7</f>
        <v>0</v>
      </c>
    </row>
    <row r="12495" customFormat="false" ht="15" hidden="false" customHeight="false" outlineLevel="0" collapsed="false">
      <c r="B12495" s="130" t="n">
        <v>2028</v>
      </c>
      <c r="C12495" s="131" t="s">
        <v>257</v>
      </c>
      <c r="D12495" s="132" t="n">
        <v>46824</v>
      </c>
      <c r="E12495" s="131" t="s">
        <v>62</v>
      </c>
      <c r="F12495" s="133" t="s">
        <v>19</v>
      </c>
      <c r="G12495" s="134" t="n">
        <f aca="false">LEN('Saisie programme'!$J$476)+SUMIFS('Vols additionnels'!$E$7:$E$66,'Vols additionnels'!$C$7:$C$66,$E12495,'Vols additionnels'!$D$7:$D$66,$F12495,'Vols additionnels'!$B$7:$B$66,$D12495)</f>
        <v>0</v>
      </c>
      <c r="H12495" s="135" t="n">
        <f aca="false">$G12495*'Analyse capacite'!$F$8</f>
        <v>0</v>
      </c>
      <c r="I12495" s="135" t="n">
        <f aca="false">$G12495*'Analyse capacite'!$C$8</f>
        <v>0</v>
      </c>
      <c r="J12495" s="135" t="n">
        <f aca="false">$G12495*'Analyse capacite'!$D$8</f>
        <v>0</v>
      </c>
      <c r="K12495" s="135" t="n">
        <f aca="false">$G12495*'Analyse capacite'!$E$8</f>
        <v>0</v>
      </c>
    </row>
    <row r="12496" customFormat="false" ht="15" hidden="false" customHeight="false" outlineLevel="0" collapsed="false">
      <c r="B12496" s="130" t="n">
        <v>2028</v>
      </c>
      <c r="C12496" s="131" t="s">
        <v>257</v>
      </c>
      <c r="D12496" s="132" t="n">
        <v>46824</v>
      </c>
      <c r="E12496" s="131" t="s">
        <v>62</v>
      </c>
      <c r="F12496" s="133" t="s">
        <v>24</v>
      </c>
      <c r="G12496" s="134" t="n">
        <f aca="false">LEN('Saisie programme'!$J$477)+SUMIFS('Vols additionnels'!$E$7:$E$66,'Vols additionnels'!$C$7:$C$66,$E12496,'Vols additionnels'!$D$7:$D$66,$F12496,'Vols additionnels'!$B$7:$B$66,$D12496)</f>
        <v>1</v>
      </c>
      <c r="H12496" s="135" t="n">
        <f aca="false">$G12496*'Analyse capacite'!$F$9</f>
        <v>174</v>
      </c>
      <c r="I12496" s="135" t="n">
        <f aca="false">$G12496*'Analyse capacite'!$C$9</f>
        <v>0</v>
      </c>
      <c r="J12496" s="135" t="n">
        <f aca="false">$G12496*'Analyse capacite'!$D$9</f>
        <v>12</v>
      </c>
      <c r="K12496" s="135" t="n">
        <f aca="false">$G12496*'Analyse capacite'!$E$9</f>
        <v>162</v>
      </c>
    </row>
    <row r="12497" customFormat="false" ht="15" hidden="false" customHeight="false" outlineLevel="0" collapsed="false">
      <c r="B12497" s="130" t="n">
        <v>2028</v>
      </c>
      <c r="C12497" s="131" t="s">
        <v>257</v>
      </c>
      <c r="D12497" s="132" t="n">
        <v>46825</v>
      </c>
      <c r="E12497" s="131" t="s">
        <v>12</v>
      </c>
      <c r="F12497" s="133" t="s">
        <v>11</v>
      </c>
      <c r="G12497" s="134" t="n">
        <f aca="false">LEN('Saisie programme'!$D$442)+SUMIFS('Vols additionnels'!$E$7:$E$66,'Vols additionnels'!$C$7:$C$66,$E12497,'Vols additionnels'!$D$7:$D$66,$F12497,'Vols additionnels'!$B$7:$B$66,$D12497)</f>
        <v>1</v>
      </c>
      <c r="H12497" s="135" t="n">
        <f aca="false">$G12497*'Analyse capacite'!$F$7</f>
        <v>438</v>
      </c>
      <c r="I12497" s="135" t="n">
        <f aca="false">$G12497*'Analyse capacite'!$C$7</f>
        <v>14</v>
      </c>
      <c r="J12497" s="135" t="n">
        <f aca="false">$G12497*'Analyse capacite'!$D$7</f>
        <v>40</v>
      </c>
      <c r="K12497" s="135" t="n">
        <f aca="false">$G12497*'Analyse capacite'!$E$7</f>
        <v>384</v>
      </c>
    </row>
    <row r="12498" customFormat="false" ht="15" hidden="false" customHeight="false" outlineLevel="0" collapsed="false">
      <c r="B12498" s="130" t="n">
        <v>2028</v>
      </c>
      <c r="C12498" s="131" t="s">
        <v>257</v>
      </c>
      <c r="D12498" s="132" t="n">
        <v>46825</v>
      </c>
      <c r="E12498" s="131" t="s">
        <v>12</v>
      </c>
      <c r="F12498" s="133" t="s">
        <v>19</v>
      </c>
      <c r="G12498" s="134" t="n">
        <f aca="false">LEN('Saisie programme'!$D$443)+SUMIFS('Vols additionnels'!$E$7:$E$66,'Vols additionnels'!$C$7:$C$66,$E12498,'Vols additionnels'!$D$7:$D$66,$F12498,'Vols additionnels'!$B$7:$B$66,$D12498)</f>
        <v>1</v>
      </c>
      <c r="H12498" s="135" t="n">
        <f aca="false">$G12498*'Analyse capacite'!$F$8</f>
        <v>262</v>
      </c>
      <c r="I12498" s="135" t="n">
        <f aca="false">$G12498*'Analyse capacite'!$C$8</f>
        <v>18</v>
      </c>
      <c r="J12498" s="135" t="n">
        <f aca="false">$G12498*'Analyse capacite'!$D$8</f>
        <v>0</v>
      </c>
      <c r="K12498" s="135" t="n">
        <f aca="false">$G12498*'Analyse capacite'!$E$8</f>
        <v>244</v>
      </c>
    </row>
    <row r="12499" customFormat="false" ht="15" hidden="false" customHeight="false" outlineLevel="0" collapsed="false">
      <c r="B12499" s="130" t="n">
        <v>2028</v>
      </c>
      <c r="C12499" s="131" t="s">
        <v>257</v>
      </c>
      <c r="D12499" s="132" t="n">
        <v>46825</v>
      </c>
      <c r="E12499" s="131" t="s">
        <v>12</v>
      </c>
      <c r="F12499" s="133" t="s">
        <v>24</v>
      </c>
      <c r="G12499" s="134" t="n">
        <f aca="false">LEN('Saisie programme'!$D$444)+SUMIFS('Vols additionnels'!$E$7:$E$66,'Vols additionnels'!$C$7:$C$66,$E12499,'Vols additionnels'!$D$7:$D$66,$F12499,'Vols additionnels'!$B$7:$B$66,$D12499)</f>
        <v>2</v>
      </c>
      <c r="H12499" s="135" t="n">
        <f aca="false">$G12499*'Analyse capacite'!$F$9</f>
        <v>348</v>
      </c>
      <c r="I12499" s="135" t="n">
        <f aca="false">$G12499*'Analyse capacite'!$C$9</f>
        <v>0</v>
      </c>
      <c r="J12499" s="135" t="n">
        <f aca="false">$G12499*'Analyse capacite'!$D$9</f>
        <v>24</v>
      </c>
      <c r="K12499" s="135" t="n">
        <f aca="false">$G12499*'Analyse capacite'!$E$9</f>
        <v>324</v>
      </c>
    </row>
    <row r="12500" customFormat="false" ht="15" hidden="false" customHeight="false" outlineLevel="0" collapsed="false">
      <c r="B12500" s="130" t="n">
        <v>2028</v>
      </c>
      <c r="C12500" s="131" t="s">
        <v>257</v>
      </c>
      <c r="D12500" s="132" t="n">
        <v>46825</v>
      </c>
      <c r="E12500" s="131" t="s">
        <v>20</v>
      </c>
      <c r="F12500" s="133" t="s">
        <v>11</v>
      </c>
      <c r="G12500" s="134" t="n">
        <f aca="false">LEN('Saisie programme'!$D$445)+SUMIFS('Vols additionnels'!$E$7:$E$66,'Vols additionnels'!$C$7:$C$66,$E12500,'Vols additionnels'!$D$7:$D$66,$F12500,'Vols additionnels'!$B$7:$B$66,$D12500)</f>
        <v>0</v>
      </c>
      <c r="H12500" s="135" t="n">
        <f aca="false">$G12500*'Analyse capacite'!$F$7</f>
        <v>0</v>
      </c>
      <c r="I12500" s="135" t="n">
        <f aca="false">$G12500*'Analyse capacite'!$C$7</f>
        <v>0</v>
      </c>
      <c r="J12500" s="135" t="n">
        <f aca="false">$G12500*'Analyse capacite'!$D$7</f>
        <v>0</v>
      </c>
      <c r="K12500" s="135" t="n">
        <f aca="false">$G12500*'Analyse capacite'!$E$7</f>
        <v>0</v>
      </c>
    </row>
    <row r="12501" customFormat="false" ht="15" hidden="false" customHeight="false" outlineLevel="0" collapsed="false">
      <c r="B12501" s="130" t="n">
        <v>2028</v>
      </c>
      <c r="C12501" s="131" t="s">
        <v>257</v>
      </c>
      <c r="D12501" s="132" t="n">
        <v>46825</v>
      </c>
      <c r="E12501" s="131" t="s">
        <v>20</v>
      </c>
      <c r="F12501" s="133" t="s">
        <v>19</v>
      </c>
      <c r="G12501" s="134" t="n">
        <f aca="false">LEN('Saisie programme'!$D$446)+SUMIFS('Vols additionnels'!$E$7:$E$66,'Vols additionnels'!$C$7:$C$66,$E12501,'Vols additionnels'!$D$7:$D$66,$F12501,'Vols additionnels'!$B$7:$B$66,$D12501)</f>
        <v>0</v>
      </c>
      <c r="H12501" s="135" t="n">
        <f aca="false">$G12501*'Analyse capacite'!$F$8</f>
        <v>0</v>
      </c>
      <c r="I12501" s="135" t="n">
        <f aca="false">$G12501*'Analyse capacite'!$C$8</f>
        <v>0</v>
      </c>
      <c r="J12501" s="135" t="n">
        <f aca="false">$G12501*'Analyse capacite'!$D$8</f>
        <v>0</v>
      </c>
      <c r="K12501" s="135" t="n">
        <f aca="false">$G12501*'Analyse capacite'!$E$8</f>
        <v>0</v>
      </c>
    </row>
    <row r="12502" customFormat="false" ht="15" hidden="false" customHeight="false" outlineLevel="0" collapsed="false">
      <c r="B12502" s="130" t="n">
        <v>2028</v>
      </c>
      <c r="C12502" s="131" t="s">
        <v>257</v>
      </c>
      <c r="D12502" s="132" t="n">
        <v>46825</v>
      </c>
      <c r="E12502" s="131" t="s">
        <v>20</v>
      </c>
      <c r="F12502" s="133" t="s">
        <v>24</v>
      </c>
      <c r="G12502" s="134" t="n">
        <f aca="false">LEN('Saisie programme'!$D$447)+SUMIFS('Vols additionnels'!$E$7:$E$66,'Vols additionnels'!$C$7:$C$66,$E12502,'Vols additionnels'!$D$7:$D$66,$F12502,'Vols additionnels'!$B$7:$B$66,$D12502)</f>
        <v>0</v>
      </c>
      <c r="H12502" s="135" t="n">
        <f aca="false">$G12502*'Analyse capacite'!$F$9</f>
        <v>0</v>
      </c>
      <c r="I12502" s="135" t="n">
        <f aca="false">$G12502*'Analyse capacite'!$C$9</f>
        <v>0</v>
      </c>
      <c r="J12502" s="135" t="n">
        <f aca="false">$G12502*'Analyse capacite'!$D$9</f>
        <v>0</v>
      </c>
      <c r="K12502" s="135" t="n">
        <f aca="false">$G12502*'Analyse capacite'!$E$9</f>
        <v>0</v>
      </c>
    </row>
    <row r="12503" customFormat="false" ht="15" hidden="false" customHeight="false" outlineLevel="0" collapsed="false">
      <c r="B12503" s="130" t="n">
        <v>2028</v>
      </c>
      <c r="C12503" s="131" t="s">
        <v>257</v>
      </c>
      <c r="D12503" s="132" t="n">
        <v>46825</v>
      </c>
      <c r="E12503" s="131" t="s">
        <v>25</v>
      </c>
      <c r="F12503" s="133" t="s">
        <v>11</v>
      </c>
      <c r="G12503" s="134" t="n">
        <f aca="false">LEN('Saisie programme'!$D$448)+SUMIFS('Vols additionnels'!$E$7:$E$66,'Vols additionnels'!$C$7:$C$66,$E12503,'Vols additionnels'!$D$7:$D$66,$F12503,'Vols additionnels'!$B$7:$B$66,$D12503)</f>
        <v>0</v>
      </c>
      <c r="H12503" s="135" t="n">
        <f aca="false">$G12503*'Analyse capacite'!$F$7</f>
        <v>0</v>
      </c>
      <c r="I12503" s="135" t="n">
        <f aca="false">$G12503*'Analyse capacite'!$C$7</f>
        <v>0</v>
      </c>
      <c r="J12503" s="135" t="n">
        <f aca="false">$G12503*'Analyse capacite'!$D$7</f>
        <v>0</v>
      </c>
      <c r="K12503" s="135" t="n">
        <f aca="false">$G12503*'Analyse capacite'!$E$7</f>
        <v>0</v>
      </c>
    </row>
    <row r="12504" customFormat="false" ht="15" hidden="false" customHeight="false" outlineLevel="0" collapsed="false">
      <c r="B12504" s="130" t="n">
        <v>2028</v>
      </c>
      <c r="C12504" s="131" t="s">
        <v>257</v>
      </c>
      <c r="D12504" s="132" t="n">
        <v>46825</v>
      </c>
      <c r="E12504" s="131" t="s">
        <v>25</v>
      </c>
      <c r="F12504" s="133" t="s">
        <v>19</v>
      </c>
      <c r="G12504" s="134" t="n">
        <f aca="false">LEN('Saisie programme'!$D$449)+SUMIFS('Vols additionnels'!$E$7:$E$66,'Vols additionnels'!$C$7:$C$66,$E12504,'Vols additionnels'!$D$7:$D$66,$F12504,'Vols additionnels'!$B$7:$B$66,$D12504)</f>
        <v>0</v>
      </c>
      <c r="H12504" s="135" t="n">
        <f aca="false">$G12504*'Analyse capacite'!$F$8</f>
        <v>0</v>
      </c>
      <c r="I12504" s="135" t="n">
        <f aca="false">$G12504*'Analyse capacite'!$C$8</f>
        <v>0</v>
      </c>
      <c r="J12504" s="135" t="n">
        <f aca="false">$G12504*'Analyse capacite'!$D$8</f>
        <v>0</v>
      </c>
      <c r="K12504" s="135" t="n">
        <f aca="false">$G12504*'Analyse capacite'!$E$8</f>
        <v>0</v>
      </c>
    </row>
    <row r="12505" customFormat="false" ht="15" hidden="false" customHeight="false" outlineLevel="0" collapsed="false">
      <c r="B12505" s="130" t="n">
        <v>2028</v>
      </c>
      <c r="C12505" s="131" t="s">
        <v>257</v>
      </c>
      <c r="D12505" s="132" t="n">
        <v>46825</v>
      </c>
      <c r="E12505" s="131" t="s">
        <v>25</v>
      </c>
      <c r="F12505" s="133" t="s">
        <v>24</v>
      </c>
      <c r="G12505" s="134" t="n">
        <f aca="false">LEN('Saisie programme'!$D$450)+SUMIFS('Vols additionnels'!$E$7:$E$66,'Vols additionnels'!$C$7:$C$66,$E12505,'Vols additionnels'!$D$7:$D$66,$F12505,'Vols additionnels'!$B$7:$B$66,$D12505)</f>
        <v>0</v>
      </c>
      <c r="H12505" s="135" t="n">
        <f aca="false">$G12505*'Analyse capacite'!$F$9</f>
        <v>0</v>
      </c>
      <c r="I12505" s="135" t="n">
        <f aca="false">$G12505*'Analyse capacite'!$C$9</f>
        <v>0</v>
      </c>
      <c r="J12505" s="135" t="n">
        <f aca="false">$G12505*'Analyse capacite'!$D$9</f>
        <v>0</v>
      </c>
      <c r="K12505" s="135" t="n">
        <f aca="false">$G12505*'Analyse capacite'!$E$9</f>
        <v>0</v>
      </c>
    </row>
    <row r="12506" customFormat="false" ht="15" hidden="false" customHeight="false" outlineLevel="0" collapsed="false">
      <c r="B12506" s="130" t="n">
        <v>2028</v>
      </c>
      <c r="C12506" s="131" t="s">
        <v>257</v>
      </c>
      <c r="D12506" s="132" t="n">
        <v>46825</v>
      </c>
      <c r="E12506" s="131" t="s">
        <v>36</v>
      </c>
      <c r="F12506" s="133" t="s">
        <v>11</v>
      </c>
      <c r="G12506" s="134" t="n">
        <f aca="false">LEN('Saisie programme'!$D$451)+SUMIFS('Vols additionnels'!$E$7:$E$66,'Vols additionnels'!$C$7:$C$66,$E12506,'Vols additionnels'!$D$7:$D$66,$F12506,'Vols additionnels'!$B$7:$B$66,$D12506)</f>
        <v>0</v>
      </c>
      <c r="H12506" s="135" t="n">
        <f aca="false">$G12506*'Analyse capacite'!$F$7</f>
        <v>0</v>
      </c>
      <c r="I12506" s="135" t="n">
        <f aca="false">$G12506*'Analyse capacite'!$C$7</f>
        <v>0</v>
      </c>
      <c r="J12506" s="135" t="n">
        <f aca="false">$G12506*'Analyse capacite'!$D$7</f>
        <v>0</v>
      </c>
      <c r="K12506" s="135" t="n">
        <f aca="false">$G12506*'Analyse capacite'!$E$7</f>
        <v>0</v>
      </c>
    </row>
    <row r="12507" customFormat="false" ht="15" hidden="false" customHeight="false" outlineLevel="0" collapsed="false">
      <c r="B12507" s="130" t="n">
        <v>2028</v>
      </c>
      <c r="C12507" s="131" t="s">
        <v>257</v>
      </c>
      <c r="D12507" s="132" t="n">
        <v>46825</v>
      </c>
      <c r="E12507" s="131" t="s">
        <v>36</v>
      </c>
      <c r="F12507" s="133" t="s">
        <v>19</v>
      </c>
      <c r="G12507" s="134" t="n">
        <f aca="false">LEN('Saisie programme'!$D$452)+SUMIFS('Vols additionnels'!$E$7:$E$66,'Vols additionnels'!$C$7:$C$66,$E12507,'Vols additionnels'!$D$7:$D$66,$F12507,'Vols additionnels'!$B$7:$B$66,$D12507)</f>
        <v>0</v>
      </c>
      <c r="H12507" s="135" t="n">
        <f aca="false">$G12507*'Analyse capacite'!$F$8</f>
        <v>0</v>
      </c>
      <c r="I12507" s="135" t="n">
        <f aca="false">$G12507*'Analyse capacite'!$C$8</f>
        <v>0</v>
      </c>
      <c r="J12507" s="135" t="n">
        <f aca="false">$G12507*'Analyse capacite'!$D$8</f>
        <v>0</v>
      </c>
      <c r="K12507" s="135" t="n">
        <f aca="false">$G12507*'Analyse capacite'!$E$8</f>
        <v>0</v>
      </c>
    </row>
    <row r="12508" customFormat="false" ht="15" hidden="false" customHeight="false" outlineLevel="0" collapsed="false">
      <c r="B12508" s="130" t="n">
        <v>2028</v>
      </c>
      <c r="C12508" s="131" t="s">
        <v>257</v>
      </c>
      <c r="D12508" s="132" t="n">
        <v>46825</v>
      </c>
      <c r="E12508" s="131" t="s">
        <v>36</v>
      </c>
      <c r="F12508" s="133" t="s">
        <v>24</v>
      </c>
      <c r="G12508" s="134" t="n">
        <f aca="false">LEN('Saisie programme'!$D$453)+SUMIFS('Vols additionnels'!$E$7:$E$66,'Vols additionnels'!$C$7:$C$66,$E12508,'Vols additionnels'!$D$7:$D$66,$F12508,'Vols additionnels'!$B$7:$B$66,$D12508)</f>
        <v>1</v>
      </c>
      <c r="H12508" s="135" t="n">
        <f aca="false">$G12508*'Analyse capacite'!$F$9</f>
        <v>174</v>
      </c>
      <c r="I12508" s="135" t="n">
        <f aca="false">$G12508*'Analyse capacite'!$C$9</f>
        <v>0</v>
      </c>
      <c r="J12508" s="135" t="n">
        <f aca="false">$G12508*'Analyse capacite'!$D$9</f>
        <v>12</v>
      </c>
      <c r="K12508" s="135" t="n">
        <f aca="false">$G12508*'Analyse capacite'!$E$9</f>
        <v>162</v>
      </c>
    </row>
    <row r="12509" customFormat="false" ht="15" hidden="false" customHeight="false" outlineLevel="0" collapsed="false">
      <c r="B12509" s="130" t="n">
        <v>2028</v>
      </c>
      <c r="C12509" s="131" t="s">
        <v>257</v>
      </c>
      <c r="D12509" s="132" t="n">
        <v>46825</v>
      </c>
      <c r="E12509" s="131" t="s">
        <v>40</v>
      </c>
      <c r="F12509" s="133" t="s">
        <v>11</v>
      </c>
      <c r="G12509" s="134" t="n">
        <f aca="false">LEN('Saisie programme'!$D$454)+SUMIFS('Vols additionnels'!$E$7:$E$66,'Vols additionnels'!$C$7:$C$66,$E12509,'Vols additionnels'!$D$7:$D$66,$F12509,'Vols additionnels'!$B$7:$B$66,$D12509)</f>
        <v>0</v>
      </c>
      <c r="H12509" s="135" t="n">
        <f aca="false">$G12509*'Analyse capacite'!$F$7</f>
        <v>0</v>
      </c>
      <c r="I12509" s="135" t="n">
        <f aca="false">$G12509*'Analyse capacite'!$C$7</f>
        <v>0</v>
      </c>
      <c r="J12509" s="135" t="n">
        <f aca="false">$G12509*'Analyse capacite'!$D$7</f>
        <v>0</v>
      </c>
      <c r="K12509" s="135" t="n">
        <f aca="false">$G12509*'Analyse capacite'!$E$7</f>
        <v>0</v>
      </c>
    </row>
    <row r="12510" customFormat="false" ht="15" hidden="false" customHeight="false" outlineLevel="0" collapsed="false">
      <c r="B12510" s="130" t="n">
        <v>2028</v>
      </c>
      <c r="C12510" s="131" t="s">
        <v>257</v>
      </c>
      <c r="D12510" s="132" t="n">
        <v>46825</v>
      </c>
      <c r="E12510" s="131" t="s">
        <v>40</v>
      </c>
      <c r="F12510" s="133" t="s">
        <v>19</v>
      </c>
      <c r="G12510" s="134" t="n">
        <f aca="false">LEN('Saisie programme'!$D$455)+SUMIFS('Vols additionnels'!$E$7:$E$66,'Vols additionnels'!$C$7:$C$66,$E12510,'Vols additionnels'!$D$7:$D$66,$F12510,'Vols additionnels'!$B$7:$B$66,$D12510)</f>
        <v>0</v>
      </c>
      <c r="H12510" s="135" t="n">
        <f aca="false">$G12510*'Analyse capacite'!$F$8</f>
        <v>0</v>
      </c>
      <c r="I12510" s="135" t="n">
        <f aca="false">$G12510*'Analyse capacite'!$C$8</f>
        <v>0</v>
      </c>
      <c r="J12510" s="135" t="n">
        <f aca="false">$G12510*'Analyse capacite'!$D$8</f>
        <v>0</v>
      </c>
      <c r="K12510" s="135" t="n">
        <f aca="false">$G12510*'Analyse capacite'!$E$8</f>
        <v>0</v>
      </c>
    </row>
    <row r="12511" customFormat="false" ht="15" hidden="false" customHeight="false" outlineLevel="0" collapsed="false">
      <c r="B12511" s="130" t="n">
        <v>2028</v>
      </c>
      <c r="C12511" s="131" t="s">
        <v>257</v>
      </c>
      <c r="D12511" s="132" t="n">
        <v>46825</v>
      </c>
      <c r="E12511" s="131" t="s">
        <v>40</v>
      </c>
      <c r="F12511" s="133" t="s">
        <v>24</v>
      </c>
      <c r="G12511" s="134" t="n">
        <f aca="false">LEN('Saisie programme'!$D$456)+SUMIFS('Vols additionnels'!$E$7:$E$66,'Vols additionnels'!$C$7:$C$66,$E12511,'Vols additionnels'!$D$7:$D$66,$F12511,'Vols additionnels'!$B$7:$B$66,$D12511)</f>
        <v>1</v>
      </c>
      <c r="H12511" s="135" t="n">
        <f aca="false">$G12511*'Analyse capacite'!$F$9</f>
        <v>174</v>
      </c>
      <c r="I12511" s="135" t="n">
        <f aca="false">$G12511*'Analyse capacite'!$C$9</f>
        <v>0</v>
      </c>
      <c r="J12511" s="135" t="n">
        <f aca="false">$G12511*'Analyse capacite'!$D$9</f>
        <v>12</v>
      </c>
      <c r="K12511" s="135" t="n">
        <f aca="false">$G12511*'Analyse capacite'!$E$9</f>
        <v>162</v>
      </c>
    </row>
    <row r="12512" customFormat="false" ht="15" hidden="false" customHeight="false" outlineLevel="0" collapsed="false">
      <c r="B12512" s="130" t="n">
        <v>2028</v>
      </c>
      <c r="C12512" s="131" t="s">
        <v>257</v>
      </c>
      <c r="D12512" s="132" t="n">
        <v>46825</v>
      </c>
      <c r="E12512" s="131" t="s">
        <v>14</v>
      </c>
      <c r="F12512" s="133" t="s">
        <v>11</v>
      </c>
      <c r="G12512" s="134" t="n">
        <f aca="false">LEN('Saisie programme'!$D$457)+SUMIFS('Vols additionnels'!$E$7:$E$66,'Vols additionnels'!$C$7:$C$66,$E12512,'Vols additionnels'!$D$7:$D$66,$F12512,'Vols additionnels'!$B$7:$B$66,$D12512)</f>
        <v>0</v>
      </c>
      <c r="H12512" s="135" t="n">
        <f aca="false">$G12512*'Analyse capacite'!$F$7</f>
        <v>0</v>
      </c>
      <c r="I12512" s="135" t="n">
        <f aca="false">$G12512*'Analyse capacite'!$C$7</f>
        <v>0</v>
      </c>
      <c r="J12512" s="135" t="n">
        <f aca="false">$G12512*'Analyse capacite'!$D$7</f>
        <v>0</v>
      </c>
      <c r="K12512" s="135" t="n">
        <f aca="false">$G12512*'Analyse capacite'!$E$7</f>
        <v>0</v>
      </c>
    </row>
    <row r="12513" customFormat="false" ht="15" hidden="false" customHeight="false" outlineLevel="0" collapsed="false">
      <c r="B12513" s="130" t="n">
        <v>2028</v>
      </c>
      <c r="C12513" s="131" t="s">
        <v>257</v>
      </c>
      <c r="D12513" s="132" t="n">
        <v>46825</v>
      </c>
      <c r="E12513" s="131" t="s">
        <v>14</v>
      </c>
      <c r="F12513" s="133" t="s">
        <v>19</v>
      </c>
      <c r="G12513" s="134" t="n">
        <f aca="false">LEN('Saisie programme'!$D$458)+SUMIFS('Vols additionnels'!$E$7:$E$66,'Vols additionnels'!$C$7:$C$66,$E12513,'Vols additionnels'!$D$7:$D$66,$F12513,'Vols additionnels'!$B$7:$B$66,$D12513)</f>
        <v>0</v>
      </c>
      <c r="H12513" s="135" t="n">
        <f aca="false">$G12513*'Analyse capacite'!$F$8</f>
        <v>0</v>
      </c>
      <c r="I12513" s="135" t="n">
        <f aca="false">$G12513*'Analyse capacite'!$C$8</f>
        <v>0</v>
      </c>
      <c r="J12513" s="135" t="n">
        <f aca="false">$G12513*'Analyse capacite'!$D$8</f>
        <v>0</v>
      </c>
      <c r="K12513" s="135" t="n">
        <f aca="false">$G12513*'Analyse capacite'!$E$8</f>
        <v>0</v>
      </c>
    </row>
    <row r="12514" customFormat="false" ht="15" hidden="false" customHeight="false" outlineLevel="0" collapsed="false">
      <c r="B12514" s="130" t="n">
        <v>2028</v>
      </c>
      <c r="C12514" s="131" t="s">
        <v>257</v>
      </c>
      <c r="D12514" s="132" t="n">
        <v>46825</v>
      </c>
      <c r="E12514" s="131" t="s">
        <v>14</v>
      </c>
      <c r="F12514" s="133" t="s">
        <v>24</v>
      </c>
      <c r="G12514" s="134" t="n">
        <f aca="false">LEN('Saisie programme'!$D$459)+SUMIFS('Vols additionnels'!$E$7:$E$66,'Vols additionnels'!$C$7:$C$66,$E12514,'Vols additionnels'!$D$7:$D$66,$F12514,'Vols additionnels'!$B$7:$B$66,$D12514)</f>
        <v>1</v>
      </c>
      <c r="H12514" s="135" t="n">
        <f aca="false">$G12514*'Analyse capacite'!$F$9</f>
        <v>174</v>
      </c>
      <c r="I12514" s="135" t="n">
        <f aca="false">$G12514*'Analyse capacite'!$C$9</f>
        <v>0</v>
      </c>
      <c r="J12514" s="135" t="n">
        <f aca="false">$G12514*'Analyse capacite'!$D$9</f>
        <v>12</v>
      </c>
      <c r="K12514" s="135" t="n">
        <f aca="false">$G12514*'Analyse capacite'!$E$9</f>
        <v>162</v>
      </c>
    </row>
    <row r="12515" customFormat="false" ht="15" hidden="false" customHeight="false" outlineLevel="0" collapsed="false">
      <c r="B12515" s="130" t="n">
        <v>2028</v>
      </c>
      <c r="C12515" s="131" t="s">
        <v>257</v>
      </c>
      <c r="D12515" s="132" t="n">
        <v>46825</v>
      </c>
      <c r="E12515" s="131" t="s">
        <v>46</v>
      </c>
      <c r="F12515" s="133" t="s">
        <v>11</v>
      </c>
      <c r="G12515" s="134" t="n">
        <f aca="false">LEN('Saisie programme'!$D$460)+SUMIFS('Vols additionnels'!$E$7:$E$66,'Vols additionnels'!$C$7:$C$66,$E12515,'Vols additionnels'!$D$7:$D$66,$F12515,'Vols additionnels'!$B$7:$B$66,$D12515)</f>
        <v>0</v>
      </c>
      <c r="H12515" s="135" t="n">
        <f aca="false">$G12515*'Analyse capacite'!$F$7</f>
        <v>0</v>
      </c>
      <c r="I12515" s="135" t="n">
        <f aca="false">$G12515*'Analyse capacite'!$C$7</f>
        <v>0</v>
      </c>
      <c r="J12515" s="135" t="n">
        <f aca="false">$G12515*'Analyse capacite'!$D$7</f>
        <v>0</v>
      </c>
      <c r="K12515" s="135" t="n">
        <f aca="false">$G12515*'Analyse capacite'!$E$7</f>
        <v>0</v>
      </c>
    </row>
    <row r="12516" customFormat="false" ht="15" hidden="false" customHeight="false" outlineLevel="0" collapsed="false">
      <c r="B12516" s="130" t="n">
        <v>2028</v>
      </c>
      <c r="C12516" s="131" t="s">
        <v>257</v>
      </c>
      <c r="D12516" s="132" t="n">
        <v>46825</v>
      </c>
      <c r="E12516" s="131" t="s">
        <v>46</v>
      </c>
      <c r="F12516" s="133" t="s">
        <v>19</v>
      </c>
      <c r="G12516" s="134" t="n">
        <f aca="false">LEN('Saisie programme'!$D$461)+SUMIFS('Vols additionnels'!$E$7:$E$66,'Vols additionnels'!$C$7:$C$66,$E12516,'Vols additionnels'!$D$7:$D$66,$F12516,'Vols additionnels'!$B$7:$B$66,$D12516)</f>
        <v>0</v>
      </c>
      <c r="H12516" s="135" t="n">
        <f aca="false">$G12516*'Analyse capacite'!$F$8</f>
        <v>0</v>
      </c>
      <c r="I12516" s="135" t="n">
        <f aca="false">$G12516*'Analyse capacite'!$C$8</f>
        <v>0</v>
      </c>
      <c r="J12516" s="135" t="n">
        <f aca="false">$G12516*'Analyse capacite'!$D$8</f>
        <v>0</v>
      </c>
      <c r="K12516" s="135" t="n">
        <f aca="false">$G12516*'Analyse capacite'!$E$8</f>
        <v>0</v>
      </c>
    </row>
    <row r="12517" customFormat="false" ht="15" hidden="false" customHeight="false" outlineLevel="0" collapsed="false">
      <c r="B12517" s="130" t="n">
        <v>2028</v>
      </c>
      <c r="C12517" s="131" t="s">
        <v>257</v>
      </c>
      <c r="D12517" s="132" t="n">
        <v>46825</v>
      </c>
      <c r="E12517" s="131" t="s">
        <v>46</v>
      </c>
      <c r="F12517" s="133" t="s">
        <v>24</v>
      </c>
      <c r="G12517" s="134" t="n">
        <f aca="false">LEN('Saisie programme'!$D$462)+SUMIFS('Vols additionnels'!$E$7:$E$66,'Vols additionnels'!$C$7:$C$66,$E12517,'Vols additionnels'!$D$7:$D$66,$F12517,'Vols additionnels'!$B$7:$B$66,$D12517)</f>
        <v>0</v>
      </c>
      <c r="H12517" s="135" t="n">
        <f aca="false">$G12517*'Analyse capacite'!$F$9</f>
        <v>0</v>
      </c>
      <c r="I12517" s="135" t="n">
        <f aca="false">$G12517*'Analyse capacite'!$C$9</f>
        <v>0</v>
      </c>
      <c r="J12517" s="135" t="n">
        <f aca="false">$G12517*'Analyse capacite'!$D$9</f>
        <v>0</v>
      </c>
      <c r="K12517" s="135" t="n">
        <f aca="false">$G12517*'Analyse capacite'!$E$9</f>
        <v>0</v>
      </c>
    </row>
    <row r="12518" customFormat="false" ht="15" hidden="false" customHeight="false" outlineLevel="0" collapsed="false">
      <c r="B12518" s="130" t="n">
        <v>2028</v>
      </c>
      <c r="C12518" s="131" t="s">
        <v>257</v>
      </c>
      <c r="D12518" s="132" t="n">
        <v>46825</v>
      </c>
      <c r="E12518" s="131" t="s">
        <v>49</v>
      </c>
      <c r="F12518" s="133" t="s">
        <v>11</v>
      </c>
      <c r="G12518" s="134" t="n">
        <f aca="false">LEN('Saisie programme'!$D$463)+SUMIFS('Vols additionnels'!$E$7:$E$66,'Vols additionnels'!$C$7:$C$66,$E12518,'Vols additionnels'!$D$7:$D$66,$F12518,'Vols additionnels'!$B$7:$B$66,$D12518)</f>
        <v>0</v>
      </c>
      <c r="H12518" s="135" t="n">
        <f aca="false">$G12518*'Analyse capacite'!$F$7</f>
        <v>0</v>
      </c>
      <c r="I12518" s="135" t="n">
        <f aca="false">$G12518*'Analyse capacite'!$C$7</f>
        <v>0</v>
      </c>
      <c r="J12518" s="135" t="n">
        <f aca="false">$G12518*'Analyse capacite'!$D$7</f>
        <v>0</v>
      </c>
      <c r="K12518" s="135" t="n">
        <f aca="false">$G12518*'Analyse capacite'!$E$7</f>
        <v>0</v>
      </c>
    </row>
    <row r="12519" customFormat="false" ht="15" hidden="false" customHeight="false" outlineLevel="0" collapsed="false">
      <c r="B12519" s="130" t="n">
        <v>2028</v>
      </c>
      <c r="C12519" s="131" t="s">
        <v>257</v>
      </c>
      <c r="D12519" s="132" t="n">
        <v>46825</v>
      </c>
      <c r="E12519" s="131" t="s">
        <v>49</v>
      </c>
      <c r="F12519" s="133" t="s">
        <v>19</v>
      </c>
      <c r="G12519" s="134" t="n">
        <f aca="false">LEN('Saisie programme'!$D$464)+SUMIFS('Vols additionnels'!$E$7:$E$66,'Vols additionnels'!$C$7:$C$66,$E12519,'Vols additionnels'!$D$7:$D$66,$F12519,'Vols additionnels'!$B$7:$B$66,$D12519)</f>
        <v>1</v>
      </c>
      <c r="H12519" s="135" t="n">
        <f aca="false">$G12519*'Analyse capacite'!$F$8</f>
        <v>262</v>
      </c>
      <c r="I12519" s="135" t="n">
        <f aca="false">$G12519*'Analyse capacite'!$C$8</f>
        <v>18</v>
      </c>
      <c r="J12519" s="135" t="n">
        <f aca="false">$G12519*'Analyse capacite'!$D$8</f>
        <v>0</v>
      </c>
      <c r="K12519" s="135" t="n">
        <f aca="false">$G12519*'Analyse capacite'!$E$8</f>
        <v>244</v>
      </c>
    </row>
    <row r="12520" customFormat="false" ht="15" hidden="false" customHeight="false" outlineLevel="0" collapsed="false">
      <c r="B12520" s="130" t="n">
        <v>2028</v>
      </c>
      <c r="C12520" s="131" t="s">
        <v>257</v>
      </c>
      <c r="D12520" s="132" t="n">
        <v>46825</v>
      </c>
      <c r="E12520" s="131" t="s">
        <v>49</v>
      </c>
      <c r="F12520" s="133" t="s">
        <v>24</v>
      </c>
      <c r="G12520" s="134" t="n">
        <f aca="false">LEN('Saisie programme'!$D$465)+SUMIFS('Vols additionnels'!$E$7:$E$66,'Vols additionnels'!$C$7:$C$66,$E12520,'Vols additionnels'!$D$7:$D$66,$F12520,'Vols additionnels'!$B$7:$B$66,$D12520)</f>
        <v>0</v>
      </c>
      <c r="H12520" s="135" t="n">
        <f aca="false">$G12520*'Analyse capacite'!$F$9</f>
        <v>0</v>
      </c>
      <c r="I12520" s="135" t="n">
        <f aca="false">$G12520*'Analyse capacite'!$C$9</f>
        <v>0</v>
      </c>
      <c r="J12520" s="135" t="n">
        <f aca="false">$G12520*'Analyse capacite'!$D$9</f>
        <v>0</v>
      </c>
      <c r="K12520" s="135" t="n">
        <f aca="false">$G12520*'Analyse capacite'!$E$9</f>
        <v>0</v>
      </c>
    </row>
    <row r="12521" customFormat="false" ht="15" hidden="false" customHeight="false" outlineLevel="0" collapsed="false">
      <c r="B12521" s="130" t="n">
        <v>2028</v>
      </c>
      <c r="C12521" s="131" t="s">
        <v>257</v>
      </c>
      <c r="D12521" s="132" t="n">
        <v>46825</v>
      </c>
      <c r="E12521" s="131" t="s">
        <v>53</v>
      </c>
      <c r="F12521" s="133" t="s">
        <v>11</v>
      </c>
      <c r="G12521" s="134" t="n">
        <f aca="false">LEN('Saisie programme'!$D$466)+SUMIFS('Vols additionnels'!$E$7:$E$66,'Vols additionnels'!$C$7:$C$66,$E12521,'Vols additionnels'!$D$7:$D$66,$F12521,'Vols additionnels'!$B$7:$B$66,$D12521)</f>
        <v>0</v>
      </c>
      <c r="H12521" s="135" t="n">
        <f aca="false">$G12521*'Analyse capacite'!$F$7</f>
        <v>0</v>
      </c>
      <c r="I12521" s="135" t="n">
        <f aca="false">$G12521*'Analyse capacite'!$C$7</f>
        <v>0</v>
      </c>
      <c r="J12521" s="135" t="n">
        <f aca="false">$G12521*'Analyse capacite'!$D$7</f>
        <v>0</v>
      </c>
      <c r="K12521" s="135" t="n">
        <f aca="false">$G12521*'Analyse capacite'!$E$7</f>
        <v>0</v>
      </c>
    </row>
    <row r="12522" customFormat="false" ht="15" hidden="false" customHeight="false" outlineLevel="0" collapsed="false">
      <c r="B12522" s="130" t="n">
        <v>2028</v>
      </c>
      <c r="C12522" s="131" t="s">
        <v>257</v>
      </c>
      <c r="D12522" s="132" t="n">
        <v>46825</v>
      </c>
      <c r="E12522" s="131" t="s">
        <v>53</v>
      </c>
      <c r="F12522" s="133" t="s">
        <v>19</v>
      </c>
      <c r="G12522" s="134" t="n">
        <f aca="false">LEN('Saisie programme'!$D$467)+SUMIFS('Vols additionnels'!$E$7:$E$66,'Vols additionnels'!$C$7:$C$66,$E12522,'Vols additionnels'!$D$7:$D$66,$F12522,'Vols additionnels'!$B$7:$B$66,$D12522)</f>
        <v>0</v>
      </c>
      <c r="H12522" s="135" t="n">
        <f aca="false">$G12522*'Analyse capacite'!$F$8</f>
        <v>0</v>
      </c>
      <c r="I12522" s="135" t="n">
        <f aca="false">$G12522*'Analyse capacite'!$C$8</f>
        <v>0</v>
      </c>
      <c r="J12522" s="135" t="n">
        <f aca="false">$G12522*'Analyse capacite'!$D$8</f>
        <v>0</v>
      </c>
      <c r="K12522" s="135" t="n">
        <f aca="false">$G12522*'Analyse capacite'!$E$8</f>
        <v>0</v>
      </c>
    </row>
    <row r="12523" customFormat="false" ht="15" hidden="false" customHeight="false" outlineLevel="0" collapsed="false">
      <c r="B12523" s="130" t="n">
        <v>2028</v>
      </c>
      <c r="C12523" s="131" t="s">
        <v>257</v>
      </c>
      <c r="D12523" s="132" t="n">
        <v>46825</v>
      </c>
      <c r="E12523" s="131" t="s">
        <v>53</v>
      </c>
      <c r="F12523" s="133" t="s">
        <v>24</v>
      </c>
      <c r="G12523" s="134" t="n">
        <f aca="false">LEN('Saisie programme'!$D$468)+SUMIFS('Vols additionnels'!$E$7:$E$66,'Vols additionnels'!$C$7:$C$66,$E12523,'Vols additionnels'!$D$7:$D$66,$F12523,'Vols additionnels'!$B$7:$B$66,$D12523)</f>
        <v>0</v>
      </c>
      <c r="H12523" s="135" t="n">
        <f aca="false">$G12523*'Analyse capacite'!$F$9</f>
        <v>0</v>
      </c>
      <c r="I12523" s="135" t="n">
        <f aca="false">$G12523*'Analyse capacite'!$C$9</f>
        <v>0</v>
      </c>
      <c r="J12523" s="135" t="n">
        <f aca="false">$G12523*'Analyse capacite'!$D$9</f>
        <v>0</v>
      </c>
      <c r="K12523" s="135" t="n">
        <f aca="false">$G12523*'Analyse capacite'!$E$9</f>
        <v>0</v>
      </c>
    </row>
    <row r="12524" customFormat="false" ht="15" hidden="false" customHeight="false" outlineLevel="0" collapsed="false">
      <c r="B12524" s="130" t="n">
        <v>2028</v>
      </c>
      <c r="C12524" s="131" t="s">
        <v>257</v>
      </c>
      <c r="D12524" s="132" t="n">
        <v>46825</v>
      </c>
      <c r="E12524" s="131" t="s">
        <v>56</v>
      </c>
      <c r="F12524" s="133" t="s">
        <v>11</v>
      </c>
      <c r="G12524" s="134" t="n">
        <f aca="false">LEN('Saisie programme'!$D$469)+SUMIFS('Vols additionnels'!$E$7:$E$66,'Vols additionnels'!$C$7:$C$66,$E12524,'Vols additionnels'!$D$7:$D$66,$F12524,'Vols additionnels'!$B$7:$B$66,$D12524)</f>
        <v>0</v>
      </c>
      <c r="H12524" s="135" t="n">
        <f aca="false">$G12524*'Analyse capacite'!$F$7</f>
        <v>0</v>
      </c>
      <c r="I12524" s="135" t="n">
        <f aca="false">$G12524*'Analyse capacite'!$C$7</f>
        <v>0</v>
      </c>
      <c r="J12524" s="135" t="n">
        <f aca="false">$G12524*'Analyse capacite'!$D$7</f>
        <v>0</v>
      </c>
      <c r="K12524" s="135" t="n">
        <f aca="false">$G12524*'Analyse capacite'!$E$7</f>
        <v>0</v>
      </c>
    </row>
    <row r="12525" customFormat="false" ht="15" hidden="false" customHeight="false" outlineLevel="0" collapsed="false">
      <c r="B12525" s="130" t="n">
        <v>2028</v>
      </c>
      <c r="C12525" s="131" t="s">
        <v>257</v>
      </c>
      <c r="D12525" s="132" t="n">
        <v>46825</v>
      </c>
      <c r="E12525" s="131" t="s">
        <v>56</v>
      </c>
      <c r="F12525" s="133" t="s">
        <v>19</v>
      </c>
      <c r="G12525" s="134" t="n">
        <f aca="false">LEN('Saisie programme'!$D$470)+SUMIFS('Vols additionnels'!$E$7:$E$66,'Vols additionnels'!$C$7:$C$66,$E12525,'Vols additionnels'!$D$7:$D$66,$F12525,'Vols additionnels'!$B$7:$B$66,$D12525)</f>
        <v>0</v>
      </c>
      <c r="H12525" s="135" t="n">
        <f aca="false">$G12525*'Analyse capacite'!$F$8</f>
        <v>0</v>
      </c>
      <c r="I12525" s="135" t="n">
        <f aca="false">$G12525*'Analyse capacite'!$C$8</f>
        <v>0</v>
      </c>
      <c r="J12525" s="135" t="n">
        <f aca="false">$G12525*'Analyse capacite'!$D$8</f>
        <v>0</v>
      </c>
      <c r="K12525" s="135" t="n">
        <f aca="false">$G12525*'Analyse capacite'!$E$8</f>
        <v>0</v>
      </c>
    </row>
    <row r="12526" customFormat="false" ht="15" hidden="false" customHeight="false" outlineLevel="0" collapsed="false">
      <c r="B12526" s="130" t="n">
        <v>2028</v>
      </c>
      <c r="C12526" s="131" t="s">
        <v>257</v>
      </c>
      <c r="D12526" s="132" t="n">
        <v>46825</v>
      </c>
      <c r="E12526" s="131" t="s">
        <v>56</v>
      </c>
      <c r="F12526" s="133" t="s">
        <v>24</v>
      </c>
      <c r="G12526" s="134" t="n">
        <f aca="false">LEN('Saisie programme'!$D$471)+SUMIFS('Vols additionnels'!$E$7:$E$66,'Vols additionnels'!$C$7:$C$66,$E12526,'Vols additionnels'!$D$7:$D$66,$F12526,'Vols additionnels'!$B$7:$B$66,$D12526)</f>
        <v>0</v>
      </c>
      <c r="H12526" s="135" t="n">
        <f aca="false">$G12526*'Analyse capacite'!$F$9</f>
        <v>0</v>
      </c>
      <c r="I12526" s="135" t="n">
        <f aca="false">$G12526*'Analyse capacite'!$C$9</f>
        <v>0</v>
      </c>
      <c r="J12526" s="135" t="n">
        <f aca="false">$G12526*'Analyse capacite'!$D$9</f>
        <v>0</v>
      </c>
      <c r="K12526" s="135" t="n">
        <f aca="false">$G12526*'Analyse capacite'!$E$9</f>
        <v>0</v>
      </c>
    </row>
    <row r="12527" customFormat="false" ht="15" hidden="false" customHeight="false" outlineLevel="0" collapsed="false">
      <c r="B12527" s="130" t="n">
        <v>2028</v>
      </c>
      <c r="C12527" s="131" t="s">
        <v>257</v>
      </c>
      <c r="D12527" s="132" t="n">
        <v>46825</v>
      </c>
      <c r="E12527" s="131" t="s">
        <v>59</v>
      </c>
      <c r="F12527" s="133" t="s">
        <v>11</v>
      </c>
      <c r="G12527" s="134" t="n">
        <f aca="false">LEN('Saisie programme'!$D$472)+SUMIFS('Vols additionnels'!$E$7:$E$66,'Vols additionnels'!$C$7:$C$66,$E12527,'Vols additionnels'!$D$7:$D$66,$F12527,'Vols additionnels'!$B$7:$B$66,$D12527)</f>
        <v>0</v>
      </c>
      <c r="H12527" s="135" t="n">
        <f aca="false">$G12527*'Analyse capacite'!$F$7</f>
        <v>0</v>
      </c>
      <c r="I12527" s="135" t="n">
        <f aca="false">$G12527*'Analyse capacite'!$C$7</f>
        <v>0</v>
      </c>
      <c r="J12527" s="135" t="n">
        <f aca="false">$G12527*'Analyse capacite'!$D$7</f>
        <v>0</v>
      </c>
      <c r="K12527" s="135" t="n">
        <f aca="false">$G12527*'Analyse capacite'!$E$7</f>
        <v>0</v>
      </c>
    </row>
    <row r="12528" customFormat="false" ht="15" hidden="false" customHeight="false" outlineLevel="0" collapsed="false">
      <c r="B12528" s="130" t="n">
        <v>2028</v>
      </c>
      <c r="C12528" s="131" t="s">
        <v>257</v>
      </c>
      <c r="D12528" s="132" t="n">
        <v>46825</v>
      </c>
      <c r="E12528" s="131" t="s">
        <v>59</v>
      </c>
      <c r="F12528" s="133" t="s">
        <v>19</v>
      </c>
      <c r="G12528" s="134" t="n">
        <f aca="false">LEN('Saisie programme'!$D$473)+SUMIFS('Vols additionnels'!$E$7:$E$66,'Vols additionnels'!$C$7:$C$66,$E12528,'Vols additionnels'!$D$7:$D$66,$F12528,'Vols additionnels'!$B$7:$B$66,$D12528)</f>
        <v>0</v>
      </c>
      <c r="H12528" s="135" t="n">
        <f aca="false">$G12528*'Analyse capacite'!$F$8</f>
        <v>0</v>
      </c>
      <c r="I12528" s="135" t="n">
        <f aca="false">$G12528*'Analyse capacite'!$C$8</f>
        <v>0</v>
      </c>
      <c r="J12528" s="135" t="n">
        <f aca="false">$G12528*'Analyse capacite'!$D$8</f>
        <v>0</v>
      </c>
      <c r="K12528" s="135" t="n">
        <f aca="false">$G12528*'Analyse capacite'!$E$8</f>
        <v>0</v>
      </c>
    </row>
    <row r="12529" customFormat="false" ht="15" hidden="false" customHeight="false" outlineLevel="0" collapsed="false">
      <c r="B12529" s="130" t="n">
        <v>2028</v>
      </c>
      <c r="C12529" s="131" t="s">
        <v>257</v>
      </c>
      <c r="D12529" s="132" t="n">
        <v>46825</v>
      </c>
      <c r="E12529" s="131" t="s">
        <v>59</v>
      </c>
      <c r="F12529" s="133" t="s">
        <v>24</v>
      </c>
      <c r="G12529" s="134" t="n">
        <f aca="false">LEN('Saisie programme'!$D$474)+SUMIFS('Vols additionnels'!$E$7:$E$66,'Vols additionnels'!$C$7:$C$66,$E12529,'Vols additionnels'!$D$7:$D$66,$F12529,'Vols additionnels'!$B$7:$B$66,$D12529)</f>
        <v>1</v>
      </c>
      <c r="H12529" s="135" t="n">
        <f aca="false">$G12529*'Analyse capacite'!$F$9</f>
        <v>174</v>
      </c>
      <c r="I12529" s="135" t="n">
        <f aca="false">$G12529*'Analyse capacite'!$C$9</f>
        <v>0</v>
      </c>
      <c r="J12529" s="135" t="n">
        <f aca="false">$G12529*'Analyse capacite'!$D$9</f>
        <v>12</v>
      </c>
      <c r="K12529" s="135" t="n">
        <f aca="false">$G12529*'Analyse capacite'!$E$9</f>
        <v>162</v>
      </c>
    </row>
    <row r="12530" customFormat="false" ht="15" hidden="false" customHeight="false" outlineLevel="0" collapsed="false">
      <c r="B12530" s="130" t="n">
        <v>2028</v>
      </c>
      <c r="C12530" s="131" t="s">
        <v>257</v>
      </c>
      <c r="D12530" s="132" t="n">
        <v>46825</v>
      </c>
      <c r="E12530" s="131" t="s">
        <v>62</v>
      </c>
      <c r="F12530" s="133" t="s">
        <v>11</v>
      </c>
      <c r="G12530" s="134" t="n">
        <f aca="false">LEN('Saisie programme'!$D$475)+SUMIFS('Vols additionnels'!$E$7:$E$66,'Vols additionnels'!$C$7:$C$66,$E12530,'Vols additionnels'!$D$7:$D$66,$F12530,'Vols additionnels'!$B$7:$B$66,$D12530)</f>
        <v>0</v>
      </c>
      <c r="H12530" s="135" t="n">
        <f aca="false">$G12530*'Analyse capacite'!$F$7</f>
        <v>0</v>
      </c>
      <c r="I12530" s="135" t="n">
        <f aca="false">$G12530*'Analyse capacite'!$C$7</f>
        <v>0</v>
      </c>
      <c r="J12530" s="135" t="n">
        <f aca="false">$G12530*'Analyse capacite'!$D$7</f>
        <v>0</v>
      </c>
      <c r="K12530" s="135" t="n">
        <f aca="false">$G12530*'Analyse capacite'!$E$7</f>
        <v>0</v>
      </c>
    </row>
    <row r="12531" customFormat="false" ht="15" hidden="false" customHeight="false" outlineLevel="0" collapsed="false">
      <c r="B12531" s="130" t="n">
        <v>2028</v>
      </c>
      <c r="C12531" s="131" t="s">
        <v>257</v>
      </c>
      <c r="D12531" s="132" t="n">
        <v>46825</v>
      </c>
      <c r="E12531" s="131" t="s">
        <v>62</v>
      </c>
      <c r="F12531" s="133" t="s">
        <v>19</v>
      </c>
      <c r="G12531" s="134" t="n">
        <f aca="false">LEN('Saisie programme'!$D$476)+SUMIFS('Vols additionnels'!$E$7:$E$66,'Vols additionnels'!$C$7:$C$66,$E12531,'Vols additionnels'!$D$7:$D$66,$F12531,'Vols additionnels'!$B$7:$B$66,$D12531)</f>
        <v>0</v>
      </c>
      <c r="H12531" s="135" t="n">
        <f aca="false">$G12531*'Analyse capacite'!$F$8</f>
        <v>0</v>
      </c>
      <c r="I12531" s="135" t="n">
        <f aca="false">$G12531*'Analyse capacite'!$C$8</f>
        <v>0</v>
      </c>
      <c r="J12531" s="135" t="n">
        <f aca="false">$G12531*'Analyse capacite'!$D$8</f>
        <v>0</v>
      </c>
      <c r="K12531" s="135" t="n">
        <f aca="false">$G12531*'Analyse capacite'!$E$8</f>
        <v>0</v>
      </c>
    </row>
    <row r="12532" customFormat="false" ht="15" hidden="false" customHeight="false" outlineLevel="0" collapsed="false">
      <c r="B12532" s="130" t="n">
        <v>2028</v>
      </c>
      <c r="C12532" s="131" t="s">
        <v>257</v>
      </c>
      <c r="D12532" s="132" t="n">
        <v>46825</v>
      </c>
      <c r="E12532" s="131" t="s">
        <v>62</v>
      </c>
      <c r="F12532" s="133" t="s">
        <v>24</v>
      </c>
      <c r="G12532" s="134" t="n">
        <f aca="false">LEN('Saisie programme'!$D$477)+SUMIFS('Vols additionnels'!$E$7:$E$66,'Vols additionnels'!$C$7:$C$66,$E12532,'Vols additionnels'!$D$7:$D$66,$F12532,'Vols additionnels'!$B$7:$B$66,$D12532)</f>
        <v>0</v>
      </c>
      <c r="H12532" s="135" t="n">
        <f aca="false">$G12532*'Analyse capacite'!$F$9</f>
        <v>0</v>
      </c>
      <c r="I12532" s="135" t="n">
        <f aca="false">$G12532*'Analyse capacite'!$C$9</f>
        <v>0</v>
      </c>
      <c r="J12532" s="135" t="n">
        <f aca="false">$G12532*'Analyse capacite'!$D$9</f>
        <v>0</v>
      </c>
      <c r="K12532" s="135" t="n">
        <f aca="false">$G12532*'Analyse capacite'!$E$9</f>
        <v>0</v>
      </c>
    </row>
    <row r="12533" customFormat="false" ht="15" hidden="false" customHeight="false" outlineLevel="0" collapsed="false">
      <c r="B12533" s="130" t="n">
        <v>2028</v>
      </c>
      <c r="C12533" s="131" t="s">
        <v>257</v>
      </c>
      <c r="D12533" s="132" t="n">
        <v>46826</v>
      </c>
      <c r="E12533" s="131" t="s">
        <v>12</v>
      </c>
      <c r="F12533" s="133" t="s">
        <v>11</v>
      </c>
      <c r="G12533" s="134" t="n">
        <f aca="false">LEN('Saisie programme'!$E$442)+SUMIFS('Vols additionnels'!$E$7:$E$66,'Vols additionnels'!$C$7:$C$66,$E12533,'Vols additionnels'!$D$7:$D$66,$F12533,'Vols additionnels'!$B$7:$B$66,$D12533)</f>
        <v>1</v>
      </c>
      <c r="H12533" s="135" t="n">
        <f aca="false">$G12533*'Analyse capacite'!$F$7</f>
        <v>438</v>
      </c>
      <c r="I12533" s="135" t="n">
        <f aca="false">$G12533*'Analyse capacite'!$C$7</f>
        <v>14</v>
      </c>
      <c r="J12533" s="135" t="n">
        <f aca="false">$G12533*'Analyse capacite'!$D$7</f>
        <v>40</v>
      </c>
      <c r="K12533" s="135" t="n">
        <f aca="false">$G12533*'Analyse capacite'!$E$7</f>
        <v>384</v>
      </c>
    </row>
    <row r="12534" customFormat="false" ht="15" hidden="false" customHeight="false" outlineLevel="0" collapsed="false">
      <c r="B12534" s="130" t="n">
        <v>2028</v>
      </c>
      <c r="C12534" s="131" t="s">
        <v>257</v>
      </c>
      <c r="D12534" s="132" t="n">
        <v>46826</v>
      </c>
      <c r="E12534" s="131" t="s">
        <v>12</v>
      </c>
      <c r="F12534" s="133" t="s">
        <v>19</v>
      </c>
      <c r="G12534" s="134" t="n">
        <f aca="false">LEN('Saisie programme'!$E$443)+SUMIFS('Vols additionnels'!$E$7:$E$66,'Vols additionnels'!$C$7:$C$66,$E12534,'Vols additionnels'!$D$7:$D$66,$F12534,'Vols additionnels'!$B$7:$B$66,$D12534)</f>
        <v>0</v>
      </c>
      <c r="H12534" s="135" t="n">
        <f aca="false">$G12534*'Analyse capacite'!$F$8</f>
        <v>0</v>
      </c>
      <c r="I12534" s="135" t="n">
        <f aca="false">$G12534*'Analyse capacite'!$C$8</f>
        <v>0</v>
      </c>
      <c r="J12534" s="135" t="n">
        <f aca="false">$G12534*'Analyse capacite'!$D$8</f>
        <v>0</v>
      </c>
      <c r="K12534" s="135" t="n">
        <f aca="false">$G12534*'Analyse capacite'!$E$8</f>
        <v>0</v>
      </c>
    </row>
    <row r="12535" customFormat="false" ht="15" hidden="false" customHeight="false" outlineLevel="0" collapsed="false">
      <c r="B12535" s="130" t="n">
        <v>2028</v>
      </c>
      <c r="C12535" s="131" t="s">
        <v>257</v>
      </c>
      <c r="D12535" s="132" t="n">
        <v>46826</v>
      </c>
      <c r="E12535" s="131" t="s">
        <v>12</v>
      </c>
      <c r="F12535" s="133" t="s">
        <v>24</v>
      </c>
      <c r="G12535" s="134" t="n">
        <f aca="false">LEN('Saisie programme'!$E$444)+SUMIFS('Vols additionnels'!$E$7:$E$66,'Vols additionnels'!$C$7:$C$66,$E12535,'Vols additionnels'!$D$7:$D$66,$F12535,'Vols additionnels'!$B$7:$B$66,$D12535)</f>
        <v>0</v>
      </c>
      <c r="H12535" s="135" t="n">
        <f aca="false">$G12535*'Analyse capacite'!$F$9</f>
        <v>0</v>
      </c>
      <c r="I12535" s="135" t="n">
        <f aca="false">$G12535*'Analyse capacite'!$C$9</f>
        <v>0</v>
      </c>
      <c r="J12535" s="135" t="n">
        <f aca="false">$G12535*'Analyse capacite'!$D$9</f>
        <v>0</v>
      </c>
      <c r="K12535" s="135" t="n">
        <f aca="false">$G12535*'Analyse capacite'!$E$9</f>
        <v>0</v>
      </c>
    </row>
    <row r="12536" customFormat="false" ht="15" hidden="false" customHeight="false" outlineLevel="0" collapsed="false">
      <c r="B12536" s="130" t="n">
        <v>2028</v>
      </c>
      <c r="C12536" s="131" t="s">
        <v>257</v>
      </c>
      <c r="D12536" s="132" t="n">
        <v>46826</v>
      </c>
      <c r="E12536" s="131" t="s">
        <v>20</v>
      </c>
      <c r="F12536" s="133" t="s">
        <v>11</v>
      </c>
      <c r="G12536" s="134" t="n">
        <f aca="false">LEN('Saisie programme'!$E$445)+SUMIFS('Vols additionnels'!$E$7:$E$66,'Vols additionnels'!$C$7:$C$66,$E12536,'Vols additionnels'!$D$7:$D$66,$F12536,'Vols additionnels'!$B$7:$B$66,$D12536)</f>
        <v>0</v>
      </c>
      <c r="H12536" s="135" t="n">
        <f aca="false">$G12536*'Analyse capacite'!$F$7</f>
        <v>0</v>
      </c>
      <c r="I12536" s="135" t="n">
        <f aca="false">$G12536*'Analyse capacite'!$C$7</f>
        <v>0</v>
      </c>
      <c r="J12536" s="135" t="n">
        <f aca="false">$G12536*'Analyse capacite'!$D$7</f>
        <v>0</v>
      </c>
      <c r="K12536" s="135" t="n">
        <f aca="false">$G12536*'Analyse capacite'!$E$7</f>
        <v>0</v>
      </c>
    </row>
    <row r="12537" customFormat="false" ht="15" hidden="false" customHeight="false" outlineLevel="0" collapsed="false">
      <c r="B12537" s="130" t="n">
        <v>2028</v>
      </c>
      <c r="C12537" s="131" t="s">
        <v>257</v>
      </c>
      <c r="D12537" s="132" t="n">
        <v>46826</v>
      </c>
      <c r="E12537" s="131" t="s">
        <v>20</v>
      </c>
      <c r="F12537" s="133" t="s">
        <v>19</v>
      </c>
      <c r="G12537" s="134" t="n">
        <f aca="false">LEN('Saisie programme'!$E$446)+SUMIFS('Vols additionnels'!$E$7:$E$66,'Vols additionnels'!$C$7:$C$66,$E12537,'Vols additionnels'!$D$7:$D$66,$F12537,'Vols additionnels'!$B$7:$B$66,$D12537)</f>
        <v>1</v>
      </c>
      <c r="H12537" s="135" t="n">
        <f aca="false">$G12537*'Analyse capacite'!$F$8</f>
        <v>262</v>
      </c>
      <c r="I12537" s="135" t="n">
        <f aca="false">$G12537*'Analyse capacite'!$C$8</f>
        <v>18</v>
      </c>
      <c r="J12537" s="135" t="n">
        <f aca="false">$G12537*'Analyse capacite'!$D$8</f>
        <v>0</v>
      </c>
      <c r="K12537" s="135" t="n">
        <f aca="false">$G12537*'Analyse capacite'!$E$8</f>
        <v>244</v>
      </c>
    </row>
    <row r="12538" customFormat="false" ht="15" hidden="false" customHeight="false" outlineLevel="0" collapsed="false">
      <c r="B12538" s="130" t="n">
        <v>2028</v>
      </c>
      <c r="C12538" s="131" t="s">
        <v>257</v>
      </c>
      <c r="D12538" s="132" t="n">
        <v>46826</v>
      </c>
      <c r="E12538" s="131" t="s">
        <v>20</v>
      </c>
      <c r="F12538" s="133" t="s">
        <v>24</v>
      </c>
      <c r="G12538" s="134" t="n">
        <f aca="false">LEN('Saisie programme'!$E$447)+SUMIFS('Vols additionnels'!$E$7:$E$66,'Vols additionnels'!$C$7:$C$66,$E12538,'Vols additionnels'!$D$7:$D$66,$F12538,'Vols additionnels'!$B$7:$B$66,$D12538)</f>
        <v>0</v>
      </c>
      <c r="H12538" s="135" t="n">
        <f aca="false">$G12538*'Analyse capacite'!$F$9</f>
        <v>0</v>
      </c>
      <c r="I12538" s="135" t="n">
        <f aca="false">$G12538*'Analyse capacite'!$C$9</f>
        <v>0</v>
      </c>
      <c r="J12538" s="135" t="n">
        <f aca="false">$G12538*'Analyse capacite'!$D$9</f>
        <v>0</v>
      </c>
      <c r="K12538" s="135" t="n">
        <f aca="false">$G12538*'Analyse capacite'!$E$9</f>
        <v>0</v>
      </c>
    </row>
    <row r="12539" customFormat="false" ht="15" hidden="false" customHeight="false" outlineLevel="0" collapsed="false">
      <c r="B12539" s="130" t="n">
        <v>2028</v>
      </c>
      <c r="C12539" s="131" t="s">
        <v>257</v>
      </c>
      <c r="D12539" s="132" t="n">
        <v>46826</v>
      </c>
      <c r="E12539" s="131" t="s">
        <v>25</v>
      </c>
      <c r="F12539" s="133" t="s">
        <v>11</v>
      </c>
      <c r="G12539" s="134" t="n">
        <f aca="false">LEN('Saisie programme'!$E$448)+SUMIFS('Vols additionnels'!$E$7:$E$66,'Vols additionnels'!$C$7:$C$66,$E12539,'Vols additionnels'!$D$7:$D$66,$F12539,'Vols additionnels'!$B$7:$B$66,$D12539)</f>
        <v>0</v>
      </c>
      <c r="H12539" s="135" t="n">
        <f aca="false">$G12539*'Analyse capacite'!$F$7</f>
        <v>0</v>
      </c>
      <c r="I12539" s="135" t="n">
        <f aca="false">$G12539*'Analyse capacite'!$C$7</f>
        <v>0</v>
      </c>
      <c r="J12539" s="135" t="n">
        <f aca="false">$G12539*'Analyse capacite'!$D$7</f>
        <v>0</v>
      </c>
      <c r="K12539" s="135" t="n">
        <f aca="false">$G12539*'Analyse capacite'!$E$7</f>
        <v>0</v>
      </c>
    </row>
    <row r="12540" customFormat="false" ht="15" hidden="false" customHeight="false" outlineLevel="0" collapsed="false">
      <c r="B12540" s="130" t="n">
        <v>2028</v>
      </c>
      <c r="C12540" s="131" t="s">
        <v>257</v>
      </c>
      <c r="D12540" s="132" t="n">
        <v>46826</v>
      </c>
      <c r="E12540" s="131" t="s">
        <v>25</v>
      </c>
      <c r="F12540" s="133" t="s">
        <v>19</v>
      </c>
      <c r="G12540" s="134" t="n">
        <f aca="false">LEN('Saisie programme'!$E$449)+SUMIFS('Vols additionnels'!$E$7:$E$66,'Vols additionnels'!$C$7:$C$66,$E12540,'Vols additionnels'!$D$7:$D$66,$F12540,'Vols additionnels'!$B$7:$B$66,$D12540)</f>
        <v>0</v>
      </c>
      <c r="H12540" s="135" t="n">
        <f aca="false">$G12540*'Analyse capacite'!$F$8</f>
        <v>0</v>
      </c>
      <c r="I12540" s="135" t="n">
        <f aca="false">$G12540*'Analyse capacite'!$C$8</f>
        <v>0</v>
      </c>
      <c r="J12540" s="135" t="n">
        <f aca="false">$G12540*'Analyse capacite'!$D$8</f>
        <v>0</v>
      </c>
      <c r="K12540" s="135" t="n">
        <f aca="false">$G12540*'Analyse capacite'!$E$8</f>
        <v>0</v>
      </c>
    </row>
    <row r="12541" customFormat="false" ht="15" hidden="false" customHeight="false" outlineLevel="0" collapsed="false">
      <c r="B12541" s="130" t="n">
        <v>2028</v>
      </c>
      <c r="C12541" s="131" t="s">
        <v>257</v>
      </c>
      <c r="D12541" s="132" t="n">
        <v>46826</v>
      </c>
      <c r="E12541" s="131" t="s">
        <v>25</v>
      </c>
      <c r="F12541" s="133" t="s">
        <v>24</v>
      </c>
      <c r="G12541" s="134" t="n">
        <f aca="false">LEN('Saisie programme'!$E$450)+SUMIFS('Vols additionnels'!$E$7:$E$66,'Vols additionnels'!$C$7:$C$66,$E12541,'Vols additionnels'!$D$7:$D$66,$F12541,'Vols additionnels'!$B$7:$B$66,$D12541)</f>
        <v>0</v>
      </c>
      <c r="H12541" s="135" t="n">
        <f aca="false">$G12541*'Analyse capacite'!$F$9</f>
        <v>0</v>
      </c>
      <c r="I12541" s="135" t="n">
        <f aca="false">$G12541*'Analyse capacite'!$C$9</f>
        <v>0</v>
      </c>
      <c r="J12541" s="135" t="n">
        <f aca="false">$G12541*'Analyse capacite'!$D$9</f>
        <v>0</v>
      </c>
      <c r="K12541" s="135" t="n">
        <f aca="false">$G12541*'Analyse capacite'!$E$9</f>
        <v>0</v>
      </c>
    </row>
    <row r="12542" customFormat="false" ht="15" hidden="false" customHeight="false" outlineLevel="0" collapsed="false">
      <c r="B12542" s="130" t="n">
        <v>2028</v>
      </c>
      <c r="C12542" s="131" t="s">
        <v>257</v>
      </c>
      <c r="D12542" s="132" t="n">
        <v>46826</v>
      </c>
      <c r="E12542" s="131" t="s">
        <v>36</v>
      </c>
      <c r="F12542" s="133" t="s">
        <v>11</v>
      </c>
      <c r="G12542" s="134" t="n">
        <f aca="false">LEN('Saisie programme'!$E$451)+SUMIFS('Vols additionnels'!$E$7:$E$66,'Vols additionnels'!$C$7:$C$66,$E12542,'Vols additionnels'!$D$7:$D$66,$F12542,'Vols additionnels'!$B$7:$B$66,$D12542)</f>
        <v>0</v>
      </c>
      <c r="H12542" s="135" t="n">
        <f aca="false">$G12542*'Analyse capacite'!$F$7</f>
        <v>0</v>
      </c>
      <c r="I12542" s="135" t="n">
        <f aca="false">$G12542*'Analyse capacite'!$C$7</f>
        <v>0</v>
      </c>
      <c r="J12542" s="135" t="n">
        <f aca="false">$G12542*'Analyse capacite'!$D$7</f>
        <v>0</v>
      </c>
      <c r="K12542" s="135" t="n">
        <f aca="false">$G12542*'Analyse capacite'!$E$7</f>
        <v>0</v>
      </c>
    </row>
    <row r="12543" customFormat="false" ht="15" hidden="false" customHeight="false" outlineLevel="0" collapsed="false">
      <c r="B12543" s="130" t="n">
        <v>2028</v>
      </c>
      <c r="C12543" s="131" t="s">
        <v>257</v>
      </c>
      <c r="D12543" s="132" t="n">
        <v>46826</v>
      </c>
      <c r="E12543" s="131" t="s">
        <v>36</v>
      </c>
      <c r="F12543" s="133" t="s">
        <v>19</v>
      </c>
      <c r="G12543" s="134" t="n">
        <f aca="false">LEN('Saisie programme'!$E$452)+SUMIFS('Vols additionnels'!$E$7:$E$66,'Vols additionnels'!$C$7:$C$66,$E12543,'Vols additionnels'!$D$7:$D$66,$F12543,'Vols additionnels'!$B$7:$B$66,$D12543)</f>
        <v>0</v>
      </c>
      <c r="H12543" s="135" t="n">
        <f aca="false">$G12543*'Analyse capacite'!$F$8</f>
        <v>0</v>
      </c>
      <c r="I12543" s="135" t="n">
        <f aca="false">$G12543*'Analyse capacite'!$C$8</f>
        <v>0</v>
      </c>
      <c r="J12543" s="135" t="n">
        <f aca="false">$G12543*'Analyse capacite'!$D$8</f>
        <v>0</v>
      </c>
      <c r="K12543" s="135" t="n">
        <f aca="false">$G12543*'Analyse capacite'!$E$8</f>
        <v>0</v>
      </c>
    </row>
    <row r="12544" customFormat="false" ht="15" hidden="false" customHeight="false" outlineLevel="0" collapsed="false">
      <c r="B12544" s="130" t="n">
        <v>2028</v>
      </c>
      <c r="C12544" s="131" t="s">
        <v>257</v>
      </c>
      <c r="D12544" s="132" t="n">
        <v>46826</v>
      </c>
      <c r="E12544" s="131" t="s">
        <v>36</v>
      </c>
      <c r="F12544" s="133" t="s">
        <v>24</v>
      </c>
      <c r="G12544" s="134" t="n">
        <f aca="false">LEN('Saisie programme'!$E$453)+SUMIFS('Vols additionnels'!$E$7:$E$66,'Vols additionnels'!$C$7:$C$66,$E12544,'Vols additionnels'!$D$7:$D$66,$F12544,'Vols additionnels'!$B$7:$B$66,$D12544)</f>
        <v>1</v>
      </c>
      <c r="H12544" s="135" t="n">
        <f aca="false">$G12544*'Analyse capacite'!$F$9</f>
        <v>174</v>
      </c>
      <c r="I12544" s="135" t="n">
        <f aca="false">$G12544*'Analyse capacite'!$C$9</f>
        <v>0</v>
      </c>
      <c r="J12544" s="135" t="n">
        <f aca="false">$G12544*'Analyse capacite'!$D$9</f>
        <v>12</v>
      </c>
      <c r="K12544" s="135" t="n">
        <f aca="false">$G12544*'Analyse capacite'!$E$9</f>
        <v>162</v>
      </c>
    </row>
    <row r="12545" customFormat="false" ht="15" hidden="false" customHeight="false" outlineLevel="0" collapsed="false">
      <c r="B12545" s="130" t="n">
        <v>2028</v>
      </c>
      <c r="C12545" s="131" t="s">
        <v>257</v>
      </c>
      <c r="D12545" s="132" t="n">
        <v>46826</v>
      </c>
      <c r="E12545" s="131" t="s">
        <v>40</v>
      </c>
      <c r="F12545" s="133" t="s">
        <v>11</v>
      </c>
      <c r="G12545" s="134" t="n">
        <f aca="false">LEN('Saisie programme'!$E$454)+SUMIFS('Vols additionnels'!$E$7:$E$66,'Vols additionnels'!$C$7:$C$66,$E12545,'Vols additionnels'!$D$7:$D$66,$F12545,'Vols additionnels'!$B$7:$B$66,$D12545)</f>
        <v>0</v>
      </c>
      <c r="H12545" s="135" t="n">
        <f aca="false">$G12545*'Analyse capacite'!$F$7</f>
        <v>0</v>
      </c>
      <c r="I12545" s="135" t="n">
        <f aca="false">$G12545*'Analyse capacite'!$C$7</f>
        <v>0</v>
      </c>
      <c r="J12545" s="135" t="n">
        <f aca="false">$G12545*'Analyse capacite'!$D$7</f>
        <v>0</v>
      </c>
      <c r="K12545" s="135" t="n">
        <f aca="false">$G12545*'Analyse capacite'!$E$7</f>
        <v>0</v>
      </c>
    </row>
    <row r="12546" customFormat="false" ht="15" hidden="false" customHeight="false" outlineLevel="0" collapsed="false">
      <c r="B12546" s="130" t="n">
        <v>2028</v>
      </c>
      <c r="C12546" s="131" t="s">
        <v>257</v>
      </c>
      <c r="D12546" s="132" t="n">
        <v>46826</v>
      </c>
      <c r="E12546" s="131" t="s">
        <v>40</v>
      </c>
      <c r="F12546" s="133" t="s">
        <v>19</v>
      </c>
      <c r="G12546" s="134" t="n">
        <f aca="false">LEN('Saisie programme'!$E$455)+SUMIFS('Vols additionnels'!$E$7:$E$66,'Vols additionnels'!$C$7:$C$66,$E12546,'Vols additionnels'!$D$7:$D$66,$F12546,'Vols additionnels'!$B$7:$B$66,$D12546)</f>
        <v>0</v>
      </c>
      <c r="H12546" s="135" t="n">
        <f aca="false">$G12546*'Analyse capacite'!$F$8</f>
        <v>0</v>
      </c>
      <c r="I12546" s="135" t="n">
        <f aca="false">$G12546*'Analyse capacite'!$C$8</f>
        <v>0</v>
      </c>
      <c r="J12546" s="135" t="n">
        <f aca="false">$G12546*'Analyse capacite'!$D$8</f>
        <v>0</v>
      </c>
      <c r="K12546" s="135" t="n">
        <f aca="false">$G12546*'Analyse capacite'!$E$8</f>
        <v>0</v>
      </c>
    </row>
    <row r="12547" customFormat="false" ht="15" hidden="false" customHeight="false" outlineLevel="0" collapsed="false">
      <c r="B12547" s="130" t="n">
        <v>2028</v>
      </c>
      <c r="C12547" s="131" t="s">
        <v>257</v>
      </c>
      <c r="D12547" s="132" t="n">
        <v>46826</v>
      </c>
      <c r="E12547" s="131" t="s">
        <v>40</v>
      </c>
      <c r="F12547" s="133" t="s">
        <v>24</v>
      </c>
      <c r="G12547" s="134" t="n">
        <f aca="false">LEN('Saisie programme'!$E$456)+SUMIFS('Vols additionnels'!$E$7:$E$66,'Vols additionnels'!$C$7:$C$66,$E12547,'Vols additionnels'!$D$7:$D$66,$F12547,'Vols additionnels'!$B$7:$B$66,$D12547)</f>
        <v>0</v>
      </c>
      <c r="H12547" s="135" t="n">
        <f aca="false">$G12547*'Analyse capacite'!$F$9</f>
        <v>0</v>
      </c>
      <c r="I12547" s="135" t="n">
        <f aca="false">$G12547*'Analyse capacite'!$C$9</f>
        <v>0</v>
      </c>
      <c r="J12547" s="135" t="n">
        <f aca="false">$G12547*'Analyse capacite'!$D$9</f>
        <v>0</v>
      </c>
      <c r="K12547" s="135" t="n">
        <f aca="false">$G12547*'Analyse capacite'!$E$9</f>
        <v>0</v>
      </c>
    </row>
    <row r="12548" customFormat="false" ht="15" hidden="false" customHeight="false" outlineLevel="0" collapsed="false">
      <c r="B12548" s="130" t="n">
        <v>2028</v>
      </c>
      <c r="C12548" s="131" t="s">
        <v>257</v>
      </c>
      <c r="D12548" s="132" t="n">
        <v>46826</v>
      </c>
      <c r="E12548" s="131" t="s">
        <v>14</v>
      </c>
      <c r="F12548" s="133" t="s">
        <v>11</v>
      </c>
      <c r="G12548" s="134" t="n">
        <f aca="false">LEN('Saisie programme'!$E$457)+SUMIFS('Vols additionnels'!$E$7:$E$66,'Vols additionnels'!$C$7:$C$66,$E12548,'Vols additionnels'!$D$7:$D$66,$F12548,'Vols additionnels'!$B$7:$B$66,$D12548)</f>
        <v>0</v>
      </c>
      <c r="H12548" s="135" t="n">
        <f aca="false">$G12548*'Analyse capacite'!$F$7</f>
        <v>0</v>
      </c>
      <c r="I12548" s="135" t="n">
        <f aca="false">$G12548*'Analyse capacite'!$C$7</f>
        <v>0</v>
      </c>
      <c r="J12548" s="135" t="n">
        <f aca="false">$G12548*'Analyse capacite'!$D$7</f>
        <v>0</v>
      </c>
      <c r="K12548" s="135" t="n">
        <f aca="false">$G12548*'Analyse capacite'!$E$7</f>
        <v>0</v>
      </c>
    </row>
    <row r="12549" customFormat="false" ht="15" hidden="false" customHeight="false" outlineLevel="0" collapsed="false">
      <c r="B12549" s="130" t="n">
        <v>2028</v>
      </c>
      <c r="C12549" s="131" t="s">
        <v>257</v>
      </c>
      <c r="D12549" s="132" t="n">
        <v>46826</v>
      </c>
      <c r="E12549" s="131" t="s">
        <v>14</v>
      </c>
      <c r="F12549" s="133" t="s">
        <v>19</v>
      </c>
      <c r="G12549" s="134" t="n">
        <f aca="false">LEN('Saisie programme'!$E$458)+SUMIFS('Vols additionnels'!$E$7:$E$66,'Vols additionnels'!$C$7:$C$66,$E12549,'Vols additionnels'!$D$7:$D$66,$F12549,'Vols additionnels'!$B$7:$B$66,$D12549)</f>
        <v>0</v>
      </c>
      <c r="H12549" s="135" t="n">
        <f aca="false">$G12549*'Analyse capacite'!$F$8</f>
        <v>0</v>
      </c>
      <c r="I12549" s="135" t="n">
        <f aca="false">$G12549*'Analyse capacite'!$C$8</f>
        <v>0</v>
      </c>
      <c r="J12549" s="135" t="n">
        <f aca="false">$G12549*'Analyse capacite'!$D$8</f>
        <v>0</v>
      </c>
      <c r="K12549" s="135" t="n">
        <f aca="false">$G12549*'Analyse capacite'!$E$8</f>
        <v>0</v>
      </c>
    </row>
    <row r="12550" customFormat="false" ht="15" hidden="false" customHeight="false" outlineLevel="0" collapsed="false">
      <c r="B12550" s="130" t="n">
        <v>2028</v>
      </c>
      <c r="C12550" s="131" t="s">
        <v>257</v>
      </c>
      <c r="D12550" s="132" t="n">
        <v>46826</v>
      </c>
      <c r="E12550" s="131" t="s">
        <v>14</v>
      </c>
      <c r="F12550" s="133" t="s">
        <v>24</v>
      </c>
      <c r="G12550" s="134" t="n">
        <f aca="false">LEN('Saisie programme'!$E$459)+SUMIFS('Vols additionnels'!$E$7:$E$66,'Vols additionnels'!$C$7:$C$66,$E12550,'Vols additionnels'!$D$7:$D$66,$F12550,'Vols additionnels'!$B$7:$B$66,$D12550)</f>
        <v>0</v>
      </c>
      <c r="H12550" s="135" t="n">
        <f aca="false">$G12550*'Analyse capacite'!$F$9</f>
        <v>0</v>
      </c>
      <c r="I12550" s="135" t="n">
        <f aca="false">$G12550*'Analyse capacite'!$C$9</f>
        <v>0</v>
      </c>
      <c r="J12550" s="135" t="n">
        <f aca="false">$G12550*'Analyse capacite'!$D$9</f>
        <v>0</v>
      </c>
      <c r="K12550" s="135" t="n">
        <f aca="false">$G12550*'Analyse capacite'!$E$9</f>
        <v>0</v>
      </c>
    </row>
    <row r="12551" customFormat="false" ht="15" hidden="false" customHeight="false" outlineLevel="0" collapsed="false">
      <c r="B12551" s="130" t="n">
        <v>2028</v>
      </c>
      <c r="C12551" s="131" t="s">
        <v>257</v>
      </c>
      <c r="D12551" s="132" t="n">
        <v>46826</v>
      </c>
      <c r="E12551" s="131" t="s">
        <v>46</v>
      </c>
      <c r="F12551" s="133" t="s">
        <v>11</v>
      </c>
      <c r="G12551" s="134" t="n">
        <f aca="false">LEN('Saisie programme'!$E$460)+SUMIFS('Vols additionnels'!$E$7:$E$66,'Vols additionnels'!$C$7:$C$66,$E12551,'Vols additionnels'!$D$7:$D$66,$F12551,'Vols additionnels'!$B$7:$B$66,$D12551)</f>
        <v>0</v>
      </c>
      <c r="H12551" s="135" t="n">
        <f aca="false">$G12551*'Analyse capacite'!$F$7</f>
        <v>0</v>
      </c>
      <c r="I12551" s="135" t="n">
        <f aca="false">$G12551*'Analyse capacite'!$C$7</f>
        <v>0</v>
      </c>
      <c r="J12551" s="135" t="n">
        <f aca="false">$G12551*'Analyse capacite'!$D$7</f>
        <v>0</v>
      </c>
      <c r="K12551" s="135" t="n">
        <f aca="false">$G12551*'Analyse capacite'!$E$7</f>
        <v>0</v>
      </c>
    </row>
    <row r="12552" customFormat="false" ht="15" hidden="false" customHeight="false" outlineLevel="0" collapsed="false">
      <c r="B12552" s="130" t="n">
        <v>2028</v>
      </c>
      <c r="C12552" s="131" t="s">
        <v>257</v>
      </c>
      <c r="D12552" s="132" t="n">
        <v>46826</v>
      </c>
      <c r="E12552" s="131" t="s">
        <v>46</v>
      </c>
      <c r="F12552" s="133" t="s">
        <v>19</v>
      </c>
      <c r="G12552" s="134" t="n">
        <f aca="false">LEN('Saisie programme'!$E$461)+SUMIFS('Vols additionnels'!$E$7:$E$66,'Vols additionnels'!$C$7:$C$66,$E12552,'Vols additionnels'!$D$7:$D$66,$F12552,'Vols additionnels'!$B$7:$B$66,$D12552)</f>
        <v>0</v>
      </c>
      <c r="H12552" s="135" t="n">
        <f aca="false">$G12552*'Analyse capacite'!$F$8</f>
        <v>0</v>
      </c>
      <c r="I12552" s="135" t="n">
        <f aca="false">$G12552*'Analyse capacite'!$C$8</f>
        <v>0</v>
      </c>
      <c r="J12552" s="135" t="n">
        <f aca="false">$G12552*'Analyse capacite'!$D$8</f>
        <v>0</v>
      </c>
      <c r="K12552" s="135" t="n">
        <f aca="false">$G12552*'Analyse capacite'!$E$8</f>
        <v>0</v>
      </c>
    </row>
    <row r="12553" customFormat="false" ht="15" hidden="false" customHeight="false" outlineLevel="0" collapsed="false">
      <c r="B12553" s="130" t="n">
        <v>2028</v>
      </c>
      <c r="C12553" s="131" t="s">
        <v>257</v>
      </c>
      <c r="D12553" s="132" t="n">
        <v>46826</v>
      </c>
      <c r="E12553" s="131" t="s">
        <v>46</v>
      </c>
      <c r="F12553" s="133" t="s">
        <v>24</v>
      </c>
      <c r="G12553" s="134" t="n">
        <f aca="false">LEN('Saisie programme'!$E$462)+SUMIFS('Vols additionnels'!$E$7:$E$66,'Vols additionnels'!$C$7:$C$66,$E12553,'Vols additionnels'!$D$7:$D$66,$F12553,'Vols additionnels'!$B$7:$B$66,$D12553)</f>
        <v>1</v>
      </c>
      <c r="H12553" s="135" t="n">
        <f aca="false">$G12553*'Analyse capacite'!$F$9</f>
        <v>174</v>
      </c>
      <c r="I12553" s="135" t="n">
        <f aca="false">$G12553*'Analyse capacite'!$C$9</f>
        <v>0</v>
      </c>
      <c r="J12553" s="135" t="n">
        <f aca="false">$G12553*'Analyse capacite'!$D$9</f>
        <v>12</v>
      </c>
      <c r="K12553" s="135" t="n">
        <f aca="false">$G12553*'Analyse capacite'!$E$9</f>
        <v>162</v>
      </c>
    </row>
    <row r="12554" customFormat="false" ht="15" hidden="false" customHeight="false" outlineLevel="0" collapsed="false">
      <c r="B12554" s="130" t="n">
        <v>2028</v>
      </c>
      <c r="C12554" s="131" t="s">
        <v>257</v>
      </c>
      <c r="D12554" s="132" t="n">
        <v>46826</v>
      </c>
      <c r="E12554" s="131" t="s">
        <v>49</v>
      </c>
      <c r="F12554" s="133" t="s">
        <v>11</v>
      </c>
      <c r="G12554" s="134" t="n">
        <f aca="false">LEN('Saisie programme'!$E$463)+SUMIFS('Vols additionnels'!$E$7:$E$66,'Vols additionnels'!$C$7:$C$66,$E12554,'Vols additionnels'!$D$7:$D$66,$F12554,'Vols additionnels'!$B$7:$B$66,$D12554)</f>
        <v>0</v>
      </c>
      <c r="H12554" s="135" t="n">
        <f aca="false">$G12554*'Analyse capacite'!$F$7</f>
        <v>0</v>
      </c>
      <c r="I12554" s="135" t="n">
        <f aca="false">$G12554*'Analyse capacite'!$C$7</f>
        <v>0</v>
      </c>
      <c r="J12554" s="135" t="n">
        <f aca="false">$G12554*'Analyse capacite'!$D$7</f>
        <v>0</v>
      </c>
      <c r="K12554" s="135" t="n">
        <f aca="false">$G12554*'Analyse capacite'!$E$7</f>
        <v>0</v>
      </c>
    </row>
    <row r="12555" customFormat="false" ht="15" hidden="false" customHeight="false" outlineLevel="0" collapsed="false">
      <c r="B12555" s="130" t="n">
        <v>2028</v>
      </c>
      <c r="C12555" s="131" t="s">
        <v>257</v>
      </c>
      <c r="D12555" s="132" t="n">
        <v>46826</v>
      </c>
      <c r="E12555" s="131" t="s">
        <v>49</v>
      </c>
      <c r="F12555" s="133" t="s">
        <v>19</v>
      </c>
      <c r="G12555" s="134" t="n">
        <f aca="false">LEN('Saisie programme'!$E$464)+SUMIFS('Vols additionnels'!$E$7:$E$66,'Vols additionnels'!$C$7:$C$66,$E12555,'Vols additionnels'!$D$7:$D$66,$F12555,'Vols additionnels'!$B$7:$B$66,$D12555)</f>
        <v>0</v>
      </c>
      <c r="H12555" s="135" t="n">
        <f aca="false">$G12555*'Analyse capacite'!$F$8</f>
        <v>0</v>
      </c>
      <c r="I12555" s="135" t="n">
        <f aca="false">$G12555*'Analyse capacite'!$C$8</f>
        <v>0</v>
      </c>
      <c r="J12555" s="135" t="n">
        <f aca="false">$G12555*'Analyse capacite'!$D$8</f>
        <v>0</v>
      </c>
      <c r="K12555" s="135" t="n">
        <f aca="false">$G12555*'Analyse capacite'!$E$8</f>
        <v>0</v>
      </c>
    </row>
    <row r="12556" customFormat="false" ht="15" hidden="false" customHeight="false" outlineLevel="0" collapsed="false">
      <c r="B12556" s="130" t="n">
        <v>2028</v>
      </c>
      <c r="C12556" s="131" t="s">
        <v>257</v>
      </c>
      <c r="D12556" s="132" t="n">
        <v>46826</v>
      </c>
      <c r="E12556" s="131" t="s">
        <v>49</v>
      </c>
      <c r="F12556" s="133" t="s">
        <v>24</v>
      </c>
      <c r="G12556" s="134" t="n">
        <f aca="false">LEN('Saisie programme'!$E$465)+SUMIFS('Vols additionnels'!$E$7:$E$66,'Vols additionnels'!$C$7:$C$66,$E12556,'Vols additionnels'!$D$7:$D$66,$F12556,'Vols additionnels'!$B$7:$B$66,$D12556)</f>
        <v>0</v>
      </c>
      <c r="H12556" s="135" t="n">
        <f aca="false">$G12556*'Analyse capacite'!$F$9</f>
        <v>0</v>
      </c>
      <c r="I12556" s="135" t="n">
        <f aca="false">$G12556*'Analyse capacite'!$C$9</f>
        <v>0</v>
      </c>
      <c r="J12556" s="135" t="n">
        <f aca="false">$G12556*'Analyse capacite'!$D$9</f>
        <v>0</v>
      </c>
      <c r="K12556" s="135" t="n">
        <f aca="false">$G12556*'Analyse capacite'!$E$9</f>
        <v>0</v>
      </c>
    </row>
    <row r="12557" customFormat="false" ht="15" hidden="false" customHeight="false" outlineLevel="0" collapsed="false">
      <c r="B12557" s="130" t="n">
        <v>2028</v>
      </c>
      <c r="C12557" s="131" t="s">
        <v>257</v>
      </c>
      <c r="D12557" s="132" t="n">
        <v>46826</v>
      </c>
      <c r="E12557" s="131" t="s">
        <v>53</v>
      </c>
      <c r="F12557" s="133" t="s">
        <v>11</v>
      </c>
      <c r="G12557" s="134" t="n">
        <f aca="false">LEN('Saisie programme'!$E$466)+SUMIFS('Vols additionnels'!$E$7:$E$66,'Vols additionnels'!$C$7:$C$66,$E12557,'Vols additionnels'!$D$7:$D$66,$F12557,'Vols additionnels'!$B$7:$B$66,$D12557)</f>
        <v>0</v>
      </c>
      <c r="H12557" s="135" t="n">
        <f aca="false">$G12557*'Analyse capacite'!$F$7</f>
        <v>0</v>
      </c>
      <c r="I12557" s="135" t="n">
        <f aca="false">$G12557*'Analyse capacite'!$C$7</f>
        <v>0</v>
      </c>
      <c r="J12557" s="135" t="n">
        <f aca="false">$G12557*'Analyse capacite'!$D$7</f>
        <v>0</v>
      </c>
      <c r="K12557" s="135" t="n">
        <f aca="false">$G12557*'Analyse capacite'!$E$7</f>
        <v>0</v>
      </c>
    </row>
    <row r="12558" customFormat="false" ht="15" hidden="false" customHeight="false" outlineLevel="0" collapsed="false">
      <c r="B12558" s="130" t="n">
        <v>2028</v>
      </c>
      <c r="C12558" s="131" t="s">
        <v>257</v>
      </c>
      <c r="D12558" s="132" t="n">
        <v>46826</v>
      </c>
      <c r="E12558" s="131" t="s">
        <v>53</v>
      </c>
      <c r="F12558" s="133" t="s">
        <v>19</v>
      </c>
      <c r="G12558" s="134" t="n">
        <f aca="false">LEN('Saisie programme'!$E$467)+SUMIFS('Vols additionnels'!$E$7:$E$66,'Vols additionnels'!$C$7:$C$66,$E12558,'Vols additionnels'!$D$7:$D$66,$F12558,'Vols additionnels'!$B$7:$B$66,$D12558)</f>
        <v>0</v>
      </c>
      <c r="H12558" s="135" t="n">
        <f aca="false">$G12558*'Analyse capacite'!$F$8</f>
        <v>0</v>
      </c>
      <c r="I12558" s="135" t="n">
        <f aca="false">$G12558*'Analyse capacite'!$C$8</f>
        <v>0</v>
      </c>
      <c r="J12558" s="135" t="n">
        <f aca="false">$G12558*'Analyse capacite'!$D$8</f>
        <v>0</v>
      </c>
      <c r="K12558" s="135" t="n">
        <f aca="false">$G12558*'Analyse capacite'!$E$8</f>
        <v>0</v>
      </c>
    </row>
    <row r="12559" customFormat="false" ht="15" hidden="false" customHeight="false" outlineLevel="0" collapsed="false">
      <c r="B12559" s="130" t="n">
        <v>2028</v>
      </c>
      <c r="C12559" s="131" t="s">
        <v>257</v>
      </c>
      <c r="D12559" s="132" t="n">
        <v>46826</v>
      </c>
      <c r="E12559" s="131" t="s">
        <v>53</v>
      </c>
      <c r="F12559" s="133" t="s">
        <v>24</v>
      </c>
      <c r="G12559" s="134" t="n">
        <f aca="false">LEN('Saisie programme'!$E$468)+SUMIFS('Vols additionnels'!$E$7:$E$66,'Vols additionnels'!$C$7:$C$66,$E12559,'Vols additionnels'!$D$7:$D$66,$F12559,'Vols additionnels'!$B$7:$B$66,$D12559)</f>
        <v>0</v>
      </c>
      <c r="H12559" s="135" t="n">
        <f aca="false">$G12559*'Analyse capacite'!$F$9</f>
        <v>0</v>
      </c>
      <c r="I12559" s="135" t="n">
        <f aca="false">$G12559*'Analyse capacite'!$C$9</f>
        <v>0</v>
      </c>
      <c r="J12559" s="135" t="n">
        <f aca="false">$G12559*'Analyse capacite'!$D$9</f>
        <v>0</v>
      </c>
      <c r="K12559" s="135" t="n">
        <f aca="false">$G12559*'Analyse capacite'!$E$9</f>
        <v>0</v>
      </c>
    </row>
    <row r="12560" customFormat="false" ht="15" hidden="false" customHeight="false" outlineLevel="0" collapsed="false">
      <c r="B12560" s="130" t="n">
        <v>2028</v>
      </c>
      <c r="C12560" s="131" t="s">
        <v>257</v>
      </c>
      <c r="D12560" s="132" t="n">
        <v>46826</v>
      </c>
      <c r="E12560" s="131" t="s">
        <v>56</v>
      </c>
      <c r="F12560" s="133" t="s">
        <v>11</v>
      </c>
      <c r="G12560" s="134" t="n">
        <f aca="false">LEN('Saisie programme'!$E$469)+SUMIFS('Vols additionnels'!$E$7:$E$66,'Vols additionnels'!$C$7:$C$66,$E12560,'Vols additionnels'!$D$7:$D$66,$F12560,'Vols additionnels'!$B$7:$B$66,$D12560)</f>
        <v>0</v>
      </c>
      <c r="H12560" s="135" t="n">
        <f aca="false">$G12560*'Analyse capacite'!$F$7</f>
        <v>0</v>
      </c>
      <c r="I12560" s="135" t="n">
        <f aca="false">$G12560*'Analyse capacite'!$C$7</f>
        <v>0</v>
      </c>
      <c r="J12560" s="135" t="n">
        <f aca="false">$G12560*'Analyse capacite'!$D$7</f>
        <v>0</v>
      </c>
      <c r="K12560" s="135" t="n">
        <f aca="false">$G12560*'Analyse capacite'!$E$7</f>
        <v>0</v>
      </c>
    </row>
    <row r="12561" customFormat="false" ht="15" hidden="false" customHeight="false" outlineLevel="0" collapsed="false">
      <c r="B12561" s="130" t="n">
        <v>2028</v>
      </c>
      <c r="C12561" s="131" t="s">
        <v>257</v>
      </c>
      <c r="D12561" s="132" t="n">
        <v>46826</v>
      </c>
      <c r="E12561" s="131" t="s">
        <v>56</v>
      </c>
      <c r="F12561" s="133" t="s">
        <v>19</v>
      </c>
      <c r="G12561" s="134" t="n">
        <f aca="false">LEN('Saisie programme'!$E$470)+SUMIFS('Vols additionnels'!$E$7:$E$66,'Vols additionnels'!$C$7:$C$66,$E12561,'Vols additionnels'!$D$7:$D$66,$F12561,'Vols additionnels'!$B$7:$B$66,$D12561)</f>
        <v>0</v>
      </c>
      <c r="H12561" s="135" t="n">
        <f aca="false">$G12561*'Analyse capacite'!$F$8</f>
        <v>0</v>
      </c>
      <c r="I12561" s="135" t="n">
        <f aca="false">$G12561*'Analyse capacite'!$C$8</f>
        <v>0</v>
      </c>
      <c r="J12561" s="135" t="n">
        <f aca="false">$G12561*'Analyse capacite'!$D$8</f>
        <v>0</v>
      </c>
      <c r="K12561" s="135" t="n">
        <f aca="false">$G12561*'Analyse capacite'!$E$8</f>
        <v>0</v>
      </c>
    </row>
    <row r="12562" customFormat="false" ht="15" hidden="false" customHeight="false" outlineLevel="0" collapsed="false">
      <c r="B12562" s="130" t="n">
        <v>2028</v>
      </c>
      <c r="C12562" s="131" t="s">
        <v>257</v>
      </c>
      <c r="D12562" s="132" t="n">
        <v>46826</v>
      </c>
      <c r="E12562" s="131" t="s">
        <v>56</v>
      </c>
      <c r="F12562" s="133" t="s">
        <v>24</v>
      </c>
      <c r="G12562" s="134" t="n">
        <f aca="false">LEN('Saisie programme'!$E$471)+SUMIFS('Vols additionnels'!$E$7:$E$66,'Vols additionnels'!$C$7:$C$66,$E12562,'Vols additionnels'!$D$7:$D$66,$F12562,'Vols additionnels'!$B$7:$B$66,$D12562)</f>
        <v>1</v>
      </c>
      <c r="H12562" s="135" t="n">
        <f aca="false">$G12562*'Analyse capacite'!$F$9</f>
        <v>174</v>
      </c>
      <c r="I12562" s="135" t="n">
        <f aca="false">$G12562*'Analyse capacite'!$C$9</f>
        <v>0</v>
      </c>
      <c r="J12562" s="135" t="n">
        <f aca="false">$G12562*'Analyse capacite'!$D$9</f>
        <v>12</v>
      </c>
      <c r="K12562" s="135" t="n">
        <f aca="false">$G12562*'Analyse capacite'!$E$9</f>
        <v>162</v>
      </c>
    </row>
    <row r="12563" customFormat="false" ht="15" hidden="false" customHeight="false" outlineLevel="0" collapsed="false">
      <c r="B12563" s="130" t="n">
        <v>2028</v>
      </c>
      <c r="C12563" s="131" t="s">
        <v>257</v>
      </c>
      <c r="D12563" s="132" t="n">
        <v>46826</v>
      </c>
      <c r="E12563" s="131" t="s">
        <v>59</v>
      </c>
      <c r="F12563" s="133" t="s">
        <v>11</v>
      </c>
      <c r="G12563" s="134" t="n">
        <f aca="false">LEN('Saisie programme'!$E$472)+SUMIFS('Vols additionnels'!$E$7:$E$66,'Vols additionnels'!$C$7:$C$66,$E12563,'Vols additionnels'!$D$7:$D$66,$F12563,'Vols additionnels'!$B$7:$B$66,$D12563)</f>
        <v>0</v>
      </c>
      <c r="H12563" s="135" t="n">
        <f aca="false">$G12563*'Analyse capacite'!$F$7</f>
        <v>0</v>
      </c>
      <c r="I12563" s="135" t="n">
        <f aca="false">$G12563*'Analyse capacite'!$C$7</f>
        <v>0</v>
      </c>
      <c r="J12563" s="135" t="n">
        <f aca="false">$G12563*'Analyse capacite'!$D$7</f>
        <v>0</v>
      </c>
      <c r="K12563" s="135" t="n">
        <f aca="false">$G12563*'Analyse capacite'!$E$7</f>
        <v>0</v>
      </c>
    </row>
    <row r="12564" customFormat="false" ht="15" hidden="false" customHeight="false" outlineLevel="0" collapsed="false">
      <c r="B12564" s="130" t="n">
        <v>2028</v>
      </c>
      <c r="C12564" s="131" t="s">
        <v>257</v>
      </c>
      <c r="D12564" s="132" t="n">
        <v>46826</v>
      </c>
      <c r="E12564" s="131" t="s">
        <v>59</v>
      </c>
      <c r="F12564" s="133" t="s">
        <v>19</v>
      </c>
      <c r="G12564" s="134" t="n">
        <f aca="false">LEN('Saisie programme'!$E$473)+SUMIFS('Vols additionnels'!$E$7:$E$66,'Vols additionnels'!$C$7:$C$66,$E12564,'Vols additionnels'!$D$7:$D$66,$F12564,'Vols additionnels'!$B$7:$B$66,$D12564)</f>
        <v>0</v>
      </c>
      <c r="H12564" s="135" t="n">
        <f aca="false">$G12564*'Analyse capacite'!$F$8</f>
        <v>0</v>
      </c>
      <c r="I12564" s="135" t="n">
        <f aca="false">$G12564*'Analyse capacite'!$C$8</f>
        <v>0</v>
      </c>
      <c r="J12564" s="135" t="n">
        <f aca="false">$G12564*'Analyse capacite'!$D$8</f>
        <v>0</v>
      </c>
      <c r="K12564" s="135" t="n">
        <f aca="false">$G12564*'Analyse capacite'!$E$8</f>
        <v>0</v>
      </c>
    </row>
    <row r="12565" customFormat="false" ht="15" hidden="false" customHeight="false" outlineLevel="0" collapsed="false">
      <c r="B12565" s="130" t="n">
        <v>2028</v>
      </c>
      <c r="C12565" s="131" t="s">
        <v>257</v>
      </c>
      <c r="D12565" s="132" t="n">
        <v>46826</v>
      </c>
      <c r="E12565" s="131" t="s">
        <v>59</v>
      </c>
      <c r="F12565" s="133" t="s">
        <v>24</v>
      </c>
      <c r="G12565" s="134" t="n">
        <f aca="false">LEN('Saisie programme'!$E$474)+SUMIFS('Vols additionnels'!$E$7:$E$66,'Vols additionnels'!$C$7:$C$66,$E12565,'Vols additionnels'!$D$7:$D$66,$F12565,'Vols additionnels'!$B$7:$B$66,$D12565)</f>
        <v>1</v>
      </c>
      <c r="H12565" s="135" t="n">
        <f aca="false">$G12565*'Analyse capacite'!$F$9</f>
        <v>174</v>
      </c>
      <c r="I12565" s="135" t="n">
        <f aca="false">$G12565*'Analyse capacite'!$C$9</f>
        <v>0</v>
      </c>
      <c r="J12565" s="135" t="n">
        <f aca="false">$G12565*'Analyse capacite'!$D$9</f>
        <v>12</v>
      </c>
      <c r="K12565" s="135" t="n">
        <f aca="false">$G12565*'Analyse capacite'!$E$9</f>
        <v>162</v>
      </c>
    </row>
    <row r="12566" customFormat="false" ht="15" hidden="false" customHeight="false" outlineLevel="0" collapsed="false">
      <c r="B12566" s="130" t="n">
        <v>2028</v>
      </c>
      <c r="C12566" s="131" t="s">
        <v>257</v>
      </c>
      <c r="D12566" s="132" t="n">
        <v>46826</v>
      </c>
      <c r="E12566" s="131" t="s">
        <v>62</v>
      </c>
      <c r="F12566" s="133" t="s">
        <v>11</v>
      </c>
      <c r="G12566" s="134" t="n">
        <f aca="false">LEN('Saisie programme'!$E$475)+SUMIFS('Vols additionnels'!$E$7:$E$66,'Vols additionnels'!$C$7:$C$66,$E12566,'Vols additionnels'!$D$7:$D$66,$F12566,'Vols additionnels'!$B$7:$B$66,$D12566)</f>
        <v>0</v>
      </c>
      <c r="H12566" s="135" t="n">
        <f aca="false">$G12566*'Analyse capacite'!$F$7</f>
        <v>0</v>
      </c>
      <c r="I12566" s="135" t="n">
        <f aca="false">$G12566*'Analyse capacite'!$C$7</f>
        <v>0</v>
      </c>
      <c r="J12566" s="135" t="n">
        <f aca="false">$G12566*'Analyse capacite'!$D$7</f>
        <v>0</v>
      </c>
      <c r="K12566" s="135" t="n">
        <f aca="false">$G12566*'Analyse capacite'!$E$7</f>
        <v>0</v>
      </c>
    </row>
    <row r="12567" customFormat="false" ht="15" hidden="false" customHeight="false" outlineLevel="0" collapsed="false">
      <c r="B12567" s="130" t="n">
        <v>2028</v>
      </c>
      <c r="C12567" s="131" t="s">
        <v>257</v>
      </c>
      <c r="D12567" s="132" t="n">
        <v>46826</v>
      </c>
      <c r="E12567" s="131" t="s">
        <v>62</v>
      </c>
      <c r="F12567" s="133" t="s">
        <v>19</v>
      </c>
      <c r="G12567" s="134" t="n">
        <f aca="false">LEN('Saisie programme'!$E$476)+SUMIFS('Vols additionnels'!$E$7:$E$66,'Vols additionnels'!$C$7:$C$66,$E12567,'Vols additionnels'!$D$7:$D$66,$F12567,'Vols additionnels'!$B$7:$B$66,$D12567)</f>
        <v>0</v>
      </c>
      <c r="H12567" s="135" t="n">
        <f aca="false">$G12567*'Analyse capacite'!$F$8</f>
        <v>0</v>
      </c>
      <c r="I12567" s="135" t="n">
        <f aca="false">$G12567*'Analyse capacite'!$C$8</f>
        <v>0</v>
      </c>
      <c r="J12567" s="135" t="n">
        <f aca="false">$G12567*'Analyse capacite'!$D$8</f>
        <v>0</v>
      </c>
      <c r="K12567" s="135" t="n">
        <f aca="false">$G12567*'Analyse capacite'!$E$8</f>
        <v>0</v>
      </c>
    </row>
    <row r="12568" customFormat="false" ht="15" hidden="false" customHeight="false" outlineLevel="0" collapsed="false">
      <c r="B12568" s="130" t="n">
        <v>2028</v>
      </c>
      <c r="C12568" s="131" t="s">
        <v>257</v>
      </c>
      <c r="D12568" s="132" t="n">
        <v>46826</v>
      </c>
      <c r="E12568" s="131" t="s">
        <v>62</v>
      </c>
      <c r="F12568" s="133" t="s">
        <v>24</v>
      </c>
      <c r="G12568" s="134" t="n">
        <f aca="false">LEN('Saisie programme'!$E$477)+SUMIFS('Vols additionnels'!$E$7:$E$66,'Vols additionnels'!$C$7:$C$66,$E12568,'Vols additionnels'!$D$7:$D$66,$F12568,'Vols additionnels'!$B$7:$B$66,$D12568)</f>
        <v>0</v>
      </c>
      <c r="H12568" s="135" t="n">
        <f aca="false">$G12568*'Analyse capacite'!$F$9</f>
        <v>0</v>
      </c>
      <c r="I12568" s="135" t="n">
        <f aca="false">$G12568*'Analyse capacite'!$C$9</f>
        <v>0</v>
      </c>
      <c r="J12568" s="135" t="n">
        <f aca="false">$G12568*'Analyse capacite'!$D$9</f>
        <v>0</v>
      </c>
      <c r="K12568" s="135" t="n">
        <f aca="false">$G12568*'Analyse capacite'!$E$9</f>
        <v>0</v>
      </c>
    </row>
    <row r="12569" customFormat="false" ht="15" hidden="false" customHeight="false" outlineLevel="0" collapsed="false">
      <c r="B12569" s="130" t="n">
        <v>2028</v>
      </c>
      <c r="C12569" s="131" t="s">
        <v>257</v>
      </c>
      <c r="D12569" s="132" t="n">
        <v>46827</v>
      </c>
      <c r="E12569" s="131" t="s">
        <v>12</v>
      </c>
      <c r="F12569" s="133" t="s">
        <v>11</v>
      </c>
      <c r="G12569" s="134" t="n">
        <f aca="false">LEN('Saisie programme'!$F$442)+SUMIFS('Vols additionnels'!$E$7:$E$66,'Vols additionnels'!$C$7:$C$66,$E12569,'Vols additionnels'!$D$7:$D$66,$F12569,'Vols additionnels'!$B$7:$B$66,$D12569)</f>
        <v>1</v>
      </c>
      <c r="H12569" s="135" t="n">
        <f aca="false">$G12569*'Analyse capacite'!$F$7</f>
        <v>438</v>
      </c>
      <c r="I12569" s="135" t="n">
        <f aca="false">$G12569*'Analyse capacite'!$C$7</f>
        <v>14</v>
      </c>
      <c r="J12569" s="135" t="n">
        <f aca="false">$G12569*'Analyse capacite'!$D$7</f>
        <v>40</v>
      </c>
      <c r="K12569" s="135" t="n">
        <f aca="false">$G12569*'Analyse capacite'!$E$7</f>
        <v>384</v>
      </c>
    </row>
    <row r="12570" customFormat="false" ht="15" hidden="false" customHeight="false" outlineLevel="0" collapsed="false">
      <c r="B12570" s="130" t="n">
        <v>2028</v>
      </c>
      <c r="C12570" s="131" t="s">
        <v>257</v>
      </c>
      <c r="D12570" s="132" t="n">
        <v>46827</v>
      </c>
      <c r="E12570" s="131" t="s">
        <v>12</v>
      </c>
      <c r="F12570" s="133" t="s">
        <v>19</v>
      </c>
      <c r="G12570" s="134" t="n">
        <f aca="false">LEN('Saisie programme'!$F$443)+SUMIFS('Vols additionnels'!$E$7:$E$66,'Vols additionnels'!$C$7:$C$66,$E12570,'Vols additionnels'!$D$7:$D$66,$F12570,'Vols additionnels'!$B$7:$B$66,$D12570)</f>
        <v>0</v>
      </c>
      <c r="H12570" s="135" t="n">
        <f aca="false">$G12570*'Analyse capacite'!$F$8</f>
        <v>0</v>
      </c>
      <c r="I12570" s="135" t="n">
        <f aca="false">$G12570*'Analyse capacite'!$C$8</f>
        <v>0</v>
      </c>
      <c r="J12570" s="135" t="n">
        <f aca="false">$G12570*'Analyse capacite'!$D$8</f>
        <v>0</v>
      </c>
      <c r="K12570" s="135" t="n">
        <f aca="false">$G12570*'Analyse capacite'!$E$8</f>
        <v>0</v>
      </c>
    </row>
    <row r="12571" customFormat="false" ht="15" hidden="false" customHeight="false" outlineLevel="0" collapsed="false">
      <c r="B12571" s="130" t="n">
        <v>2028</v>
      </c>
      <c r="C12571" s="131" t="s">
        <v>257</v>
      </c>
      <c r="D12571" s="132" t="n">
        <v>46827</v>
      </c>
      <c r="E12571" s="131" t="s">
        <v>12</v>
      </c>
      <c r="F12571" s="133" t="s">
        <v>24</v>
      </c>
      <c r="G12571" s="134" t="n">
        <f aca="false">LEN('Saisie programme'!$F$444)+SUMIFS('Vols additionnels'!$E$7:$E$66,'Vols additionnels'!$C$7:$C$66,$E12571,'Vols additionnels'!$D$7:$D$66,$F12571,'Vols additionnels'!$B$7:$B$66,$D12571)</f>
        <v>0</v>
      </c>
      <c r="H12571" s="135" t="n">
        <f aca="false">$G12571*'Analyse capacite'!$F$9</f>
        <v>0</v>
      </c>
      <c r="I12571" s="135" t="n">
        <f aca="false">$G12571*'Analyse capacite'!$C$9</f>
        <v>0</v>
      </c>
      <c r="J12571" s="135" t="n">
        <f aca="false">$G12571*'Analyse capacite'!$D$9</f>
        <v>0</v>
      </c>
      <c r="K12571" s="135" t="n">
        <f aca="false">$G12571*'Analyse capacite'!$E$9</f>
        <v>0</v>
      </c>
    </row>
    <row r="12572" customFormat="false" ht="15" hidden="false" customHeight="false" outlineLevel="0" collapsed="false">
      <c r="B12572" s="130" t="n">
        <v>2028</v>
      </c>
      <c r="C12572" s="131" t="s">
        <v>257</v>
      </c>
      <c r="D12572" s="132" t="n">
        <v>46827</v>
      </c>
      <c r="E12572" s="131" t="s">
        <v>20</v>
      </c>
      <c r="F12572" s="133" t="s">
        <v>11</v>
      </c>
      <c r="G12572" s="134" t="n">
        <f aca="false">LEN('Saisie programme'!$F$445)+SUMIFS('Vols additionnels'!$E$7:$E$66,'Vols additionnels'!$C$7:$C$66,$E12572,'Vols additionnels'!$D$7:$D$66,$F12572,'Vols additionnels'!$B$7:$B$66,$D12572)</f>
        <v>0</v>
      </c>
      <c r="H12572" s="135" t="n">
        <f aca="false">$G12572*'Analyse capacite'!$F$7</f>
        <v>0</v>
      </c>
      <c r="I12572" s="135" t="n">
        <f aca="false">$G12572*'Analyse capacite'!$C$7</f>
        <v>0</v>
      </c>
      <c r="J12572" s="135" t="n">
        <f aca="false">$G12572*'Analyse capacite'!$D$7</f>
        <v>0</v>
      </c>
      <c r="K12572" s="135" t="n">
        <f aca="false">$G12572*'Analyse capacite'!$E$7</f>
        <v>0</v>
      </c>
    </row>
    <row r="12573" customFormat="false" ht="15" hidden="false" customHeight="false" outlineLevel="0" collapsed="false">
      <c r="B12573" s="130" t="n">
        <v>2028</v>
      </c>
      <c r="C12573" s="131" t="s">
        <v>257</v>
      </c>
      <c r="D12573" s="132" t="n">
        <v>46827</v>
      </c>
      <c r="E12573" s="131" t="s">
        <v>20</v>
      </c>
      <c r="F12573" s="133" t="s">
        <v>19</v>
      </c>
      <c r="G12573" s="134" t="n">
        <f aca="false">LEN('Saisie programme'!$F$446)+SUMIFS('Vols additionnels'!$E$7:$E$66,'Vols additionnels'!$C$7:$C$66,$E12573,'Vols additionnels'!$D$7:$D$66,$F12573,'Vols additionnels'!$B$7:$B$66,$D12573)</f>
        <v>0</v>
      </c>
      <c r="H12573" s="135" t="n">
        <f aca="false">$G12573*'Analyse capacite'!$F$8</f>
        <v>0</v>
      </c>
      <c r="I12573" s="135" t="n">
        <f aca="false">$G12573*'Analyse capacite'!$C$8</f>
        <v>0</v>
      </c>
      <c r="J12573" s="135" t="n">
        <f aca="false">$G12573*'Analyse capacite'!$D$8</f>
        <v>0</v>
      </c>
      <c r="K12573" s="135" t="n">
        <f aca="false">$G12573*'Analyse capacite'!$E$8</f>
        <v>0</v>
      </c>
    </row>
    <row r="12574" customFormat="false" ht="15" hidden="false" customHeight="false" outlineLevel="0" collapsed="false">
      <c r="B12574" s="130" t="n">
        <v>2028</v>
      </c>
      <c r="C12574" s="131" t="s">
        <v>257</v>
      </c>
      <c r="D12574" s="132" t="n">
        <v>46827</v>
      </c>
      <c r="E12574" s="131" t="s">
        <v>20</v>
      </c>
      <c r="F12574" s="133" t="s">
        <v>24</v>
      </c>
      <c r="G12574" s="134" t="n">
        <f aca="false">LEN('Saisie programme'!$F$447)+SUMIFS('Vols additionnels'!$E$7:$E$66,'Vols additionnels'!$C$7:$C$66,$E12574,'Vols additionnels'!$D$7:$D$66,$F12574,'Vols additionnels'!$B$7:$B$66,$D12574)</f>
        <v>0</v>
      </c>
      <c r="H12574" s="135" t="n">
        <f aca="false">$G12574*'Analyse capacite'!$F$9</f>
        <v>0</v>
      </c>
      <c r="I12574" s="135" t="n">
        <f aca="false">$G12574*'Analyse capacite'!$C$9</f>
        <v>0</v>
      </c>
      <c r="J12574" s="135" t="n">
        <f aca="false">$G12574*'Analyse capacite'!$D$9</f>
        <v>0</v>
      </c>
      <c r="K12574" s="135" t="n">
        <f aca="false">$G12574*'Analyse capacite'!$E$9</f>
        <v>0</v>
      </c>
    </row>
    <row r="12575" customFormat="false" ht="15" hidden="false" customHeight="false" outlineLevel="0" collapsed="false">
      <c r="B12575" s="130" t="n">
        <v>2028</v>
      </c>
      <c r="C12575" s="131" t="s">
        <v>257</v>
      </c>
      <c r="D12575" s="132" t="n">
        <v>46827</v>
      </c>
      <c r="E12575" s="131" t="s">
        <v>25</v>
      </c>
      <c r="F12575" s="133" t="s">
        <v>11</v>
      </c>
      <c r="G12575" s="134" t="n">
        <f aca="false">LEN('Saisie programme'!$F$448)+SUMIFS('Vols additionnels'!$E$7:$E$66,'Vols additionnels'!$C$7:$C$66,$E12575,'Vols additionnels'!$D$7:$D$66,$F12575,'Vols additionnels'!$B$7:$B$66,$D12575)</f>
        <v>0</v>
      </c>
      <c r="H12575" s="135" t="n">
        <f aca="false">$G12575*'Analyse capacite'!$F$7</f>
        <v>0</v>
      </c>
      <c r="I12575" s="135" t="n">
        <f aca="false">$G12575*'Analyse capacite'!$C$7</f>
        <v>0</v>
      </c>
      <c r="J12575" s="135" t="n">
        <f aca="false">$G12575*'Analyse capacite'!$D$7</f>
        <v>0</v>
      </c>
      <c r="K12575" s="135" t="n">
        <f aca="false">$G12575*'Analyse capacite'!$E$7</f>
        <v>0</v>
      </c>
    </row>
    <row r="12576" customFormat="false" ht="15" hidden="false" customHeight="false" outlineLevel="0" collapsed="false">
      <c r="B12576" s="130" t="n">
        <v>2028</v>
      </c>
      <c r="C12576" s="131" t="s">
        <v>257</v>
      </c>
      <c r="D12576" s="132" t="n">
        <v>46827</v>
      </c>
      <c r="E12576" s="131" t="s">
        <v>25</v>
      </c>
      <c r="F12576" s="133" t="s">
        <v>19</v>
      </c>
      <c r="G12576" s="134" t="n">
        <f aca="false">LEN('Saisie programme'!$F$449)+SUMIFS('Vols additionnels'!$E$7:$E$66,'Vols additionnels'!$C$7:$C$66,$E12576,'Vols additionnels'!$D$7:$D$66,$F12576,'Vols additionnels'!$B$7:$B$66,$D12576)</f>
        <v>1</v>
      </c>
      <c r="H12576" s="135" t="n">
        <f aca="false">$G12576*'Analyse capacite'!$F$8</f>
        <v>262</v>
      </c>
      <c r="I12576" s="135" t="n">
        <f aca="false">$G12576*'Analyse capacite'!$C$8</f>
        <v>18</v>
      </c>
      <c r="J12576" s="135" t="n">
        <f aca="false">$G12576*'Analyse capacite'!$D$8</f>
        <v>0</v>
      </c>
      <c r="K12576" s="135" t="n">
        <f aca="false">$G12576*'Analyse capacite'!$E$8</f>
        <v>244</v>
      </c>
    </row>
    <row r="12577" customFormat="false" ht="15" hidden="false" customHeight="false" outlineLevel="0" collapsed="false">
      <c r="B12577" s="130" t="n">
        <v>2028</v>
      </c>
      <c r="C12577" s="131" t="s">
        <v>257</v>
      </c>
      <c r="D12577" s="132" t="n">
        <v>46827</v>
      </c>
      <c r="E12577" s="131" t="s">
        <v>25</v>
      </c>
      <c r="F12577" s="133" t="s">
        <v>24</v>
      </c>
      <c r="G12577" s="134" t="n">
        <f aca="false">LEN('Saisie programme'!$F$450)+SUMIFS('Vols additionnels'!$E$7:$E$66,'Vols additionnels'!$C$7:$C$66,$E12577,'Vols additionnels'!$D$7:$D$66,$F12577,'Vols additionnels'!$B$7:$B$66,$D12577)</f>
        <v>0</v>
      </c>
      <c r="H12577" s="135" t="n">
        <f aca="false">$G12577*'Analyse capacite'!$F$9</f>
        <v>0</v>
      </c>
      <c r="I12577" s="135" t="n">
        <f aca="false">$G12577*'Analyse capacite'!$C$9</f>
        <v>0</v>
      </c>
      <c r="J12577" s="135" t="n">
        <f aca="false">$G12577*'Analyse capacite'!$D$9</f>
        <v>0</v>
      </c>
      <c r="K12577" s="135" t="n">
        <f aca="false">$G12577*'Analyse capacite'!$E$9</f>
        <v>0</v>
      </c>
    </row>
    <row r="12578" customFormat="false" ht="15" hidden="false" customHeight="false" outlineLevel="0" collapsed="false">
      <c r="B12578" s="130" t="n">
        <v>2028</v>
      </c>
      <c r="C12578" s="131" t="s">
        <v>257</v>
      </c>
      <c r="D12578" s="132" t="n">
        <v>46827</v>
      </c>
      <c r="E12578" s="131" t="s">
        <v>36</v>
      </c>
      <c r="F12578" s="133" t="s">
        <v>11</v>
      </c>
      <c r="G12578" s="134" t="n">
        <f aca="false">LEN('Saisie programme'!$F$451)+SUMIFS('Vols additionnels'!$E$7:$E$66,'Vols additionnels'!$C$7:$C$66,$E12578,'Vols additionnels'!$D$7:$D$66,$F12578,'Vols additionnels'!$B$7:$B$66,$D12578)</f>
        <v>0</v>
      </c>
      <c r="H12578" s="135" t="n">
        <f aca="false">$G12578*'Analyse capacite'!$F$7</f>
        <v>0</v>
      </c>
      <c r="I12578" s="135" t="n">
        <f aca="false">$G12578*'Analyse capacite'!$C$7</f>
        <v>0</v>
      </c>
      <c r="J12578" s="135" t="n">
        <f aca="false">$G12578*'Analyse capacite'!$D$7</f>
        <v>0</v>
      </c>
      <c r="K12578" s="135" t="n">
        <f aca="false">$G12578*'Analyse capacite'!$E$7</f>
        <v>0</v>
      </c>
    </row>
    <row r="12579" customFormat="false" ht="15" hidden="false" customHeight="false" outlineLevel="0" collapsed="false">
      <c r="B12579" s="130" t="n">
        <v>2028</v>
      </c>
      <c r="C12579" s="131" t="s">
        <v>257</v>
      </c>
      <c r="D12579" s="132" t="n">
        <v>46827</v>
      </c>
      <c r="E12579" s="131" t="s">
        <v>36</v>
      </c>
      <c r="F12579" s="133" t="s">
        <v>19</v>
      </c>
      <c r="G12579" s="134" t="n">
        <f aca="false">LEN('Saisie programme'!$F$452)+SUMIFS('Vols additionnels'!$E$7:$E$66,'Vols additionnels'!$C$7:$C$66,$E12579,'Vols additionnels'!$D$7:$D$66,$F12579,'Vols additionnels'!$B$7:$B$66,$D12579)</f>
        <v>1</v>
      </c>
      <c r="H12579" s="135" t="n">
        <f aca="false">$G12579*'Analyse capacite'!$F$8</f>
        <v>262</v>
      </c>
      <c r="I12579" s="135" t="n">
        <f aca="false">$G12579*'Analyse capacite'!$C$8</f>
        <v>18</v>
      </c>
      <c r="J12579" s="135" t="n">
        <f aca="false">$G12579*'Analyse capacite'!$D$8</f>
        <v>0</v>
      </c>
      <c r="K12579" s="135" t="n">
        <f aca="false">$G12579*'Analyse capacite'!$E$8</f>
        <v>244</v>
      </c>
    </row>
    <row r="12580" customFormat="false" ht="15" hidden="false" customHeight="false" outlineLevel="0" collapsed="false">
      <c r="B12580" s="130" t="n">
        <v>2028</v>
      </c>
      <c r="C12580" s="131" t="s">
        <v>257</v>
      </c>
      <c r="D12580" s="132" t="n">
        <v>46827</v>
      </c>
      <c r="E12580" s="131" t="s">
        <v>36</v>
      </c>
      <c r="F12580" s="133" t="s">
        <v>24</v>
      </c>
      <c r="G12580" s="134" t="n">
        <f aca="false">LEN('Saisie programme'!$F$453)+SUMIFS('Vols additionnels'!$E$7:$E$66,'Vols additionnels'!$C$7:$C$66,$E12580,'Vols additionnels'!$D$7:$D$66,$F12580,'Vols additionnels'!$B$7:$B$66,$D12580)</f>
        <v>1</v>
      </c>
      <c r="H12580" s="135" t="n">
        <f aca="false">$G12580*'Analyse capacite'!$F$9</f>
        <v>174</v>
      </c>
      <c r="I12580" s="135" t="n">
        <f aca="false">$G12580*'Analyse capacite'!$C$9</f>
        <v>0</v>
      </c>
      <c r="J12580" s="135" t="n">
        <f aca="false">$G12580*'Analyse capacite'!$D$9</f>
        <v>12</v>
      </c>
      <c r="K12580" s="135" t="n">
        <f aca="false">$G12580*'Analyse capacite'!$E$9</f>
        <v>162</v>
      </c>
    </row>
    <row r="12581" customFormat="false" ht="15" hidden="false" customHeight="false" outlineLevel="0" collapsed="false">
      <c r="B12581" s="130" t="n">
        <v>2028</v>
      </c>
      <c r="C12581" s="131" t="s">
        <v>257</v>
      </c>
      <c r="D12581" s="132" t="n">
        <v>46827</v>
      </c>
      <c r="E12581" s="131" t="s">
        <v>40</v>
      </c>
      <c r="F12581" s="133" t="s">
        <v>11</v>
      </c>
      <c r="G12581" s="134" t="n">
        <f aca="false">LEN('Saisie programme'!$F$454)+SUMIFS('Vols additionnels'!$E$7:$E$66,'Vols additionnels'!$C$7:$C$66,$E12581,'Vols additionnels'!$D$7:$D$66,$F12581,'Vols additionnels'!$B$7:$B$66,$D12581)</f>
        <v>0</v>
      </c>
      <c r="H12581" s="135" t="n">
        <f aca="false">$G12581*'Analyse capacite'!$F$7</f>
        <v>0</v>
      </c>
      <c r="I12581" s="135" t="n">
        <f aca="false">$G12581*'Analyse capacite'!$C$7</f>
        <v>0</v>
      </c>
      <c r="J12581" s="135" t="n">
        <f aca="false">$G12581*'Analyse capacite'!$D$7</f>
        <v>0</v>
      </c>
      <c r="K12581" s="135" t="n">
        <f aca="false">$G12581*'Analyse capacite'!$E$7</f>
        <v>0</v>
      </c>
    </row>
    <row r="12582" customFormat="false" ht="15" hidden="false" customHeight="false" outlineLevel="0" collapsed="false">
      <c r="B12582" s="130" t="n">
        <v>2028</v>
      </c>
      <c r="C12582" s="131" t="s">
        <v>257</v>
      </c>
      <c r="D12582" s="132" t="n">
        <v>46827</v>
      </c>
      <c r="E12582" s="131" t="s">
        <v>40</v>
      </c>
      <c r="F12582" s="133" t="s">
        <v>19</v>
      </c>
      <c r="G12582" s="134" t="n">
        <f aca="false">LEN('Saisie programme'!$F$455)+SUMIFS('Vols additionnels'!$E$7:$E$66,'Vols additionnels'!$C$7:$C$66,$E12582,'Vols additionnels'!$D$7:$D$66,$F12582,'Vols additionnels'!$B$7:$B$66,$D12582)</f>
        <v>0</v>
      </c>
      <c r="H12582" s="135" t="n">
        <f aca="false">$G12582*'Analyse capacite'!$F$8</f>
        <v>0</v>
      </c>
      <c r="I12582" s="135" t="n">
        <f aca="false">$G12582*'Analyse capacite'!$C$8</f>
        <v>0</v>
      </c>
      <c r="J12582" s="135" t="n">
        <f aca="false">$G12582*'Analyse capacite'!$D$8</f>
        <v>0</v>
      </c>
      <c r="K12582" s="135" t="n">
        <f aca="false">$G12582*'Analyse capacite'!$E$8</f>
        <v>0</v>
      </c>
    </row>
    <row r="12583" customFormat="false" ht="15" hidden="false" customHeight="false" outlineLevel="0" collapsed="false">
      <c r="B12583" s="130" t="n">
        <v>2028</v>
      </c>
      <c r="C12583" s="131" t="s">
        <v>257</v>
      </c>
      <c r="D12583" s="132" t="n">
        <v>46827</v>
      </c>
      <c r="E12583" s="131" t="s">
        <v>40</v>
      </c>
      <c r="F12583" s="133" t="s">
        <v>24</v>
      </c>
      <c r="G12583" s="134" t="n">
        <f aca="false">LEN('Saisie programme'!$F$456)+SUMIFS('Vols additionnels'!$E$7:$E$66,'Vols additionnels'!$C$7:$C$66,$E12583,'Vols additionnels'!$D$7:$D$66,$F12583,'Vols additionnels'!$B$7:$B$66,$D12583)</f>
        <v>1</v>
      </c>
      <c r="H12583" s="135" t="n">
        <f aca="false">$G12583*'Analyse capacite'!$F$9</f>
        <v>174</v>
      </c>
      <c r="I12583" s="135" t="n">
        <f aca="false">$G12583*'Analyse capacite'!$C$9</f>
        <v>0</v>
      </c>
      <c r="J12583" s="135" t="n">
        <f aca="false">$G12583*'Analyse capacite'!$D$9</f>
        <v>12</v>
      </c>
      <c r="K12583" s="135" t="n">
        <f aca="false">$G12583*'Analyse capacite'!$E$9</f>
        <v>162</v>
      </c>
    </row>
    <row r="12584" customFormat="false" ht="15" hidden="false" customHeight="false" outlineLevel="0" collapsed="false">
      <c r="B12584" s="130" t="n">
        <v>2028</v>
      </c>
      <c r="C12584" s="131" t="s">
        <v>257</v>
      </c>
      <c r="D12584" s="132" t="n">
        <v>46827</v>
      </c>
      <c r="E12584" s="131" t="s">
        <v>14</v>
      </c>
      <c r="F12584" s="133" t="s">
        <v>11</v>
      </c>
      <c r="G12584" s="134" t="n">
        <f aca="false">LEN('Saisie programme'!$F$457)+SUMIFS('Vols additionnels'!$E$7:$E$66,'Vols additionnels'!$C$7:$C$66,$E12584,'Vols additionnels'!$D$7:$D$66,$F12584,'Vols additionnels'!$B$7:$B$66,$D12584)</f>
        <v>0</v>
      </c>
      <c r="H12584" s="135" t="n">
        <f aca="false">$G12584*'Analyse capacite'!$F$7</f>
        <v>0</v>
      </c>
      <c r="I12584" s="135" t="n">
        <f aca="false">$G12584*'Analyse capacite'!$C$7</f>
        <v>0</v>
      </c>
      <c r="J12584" s="135" t="n">
        <f aca="false">$G12584*'Analyse capacite'!$D$7</f>
        <v>0</v>
      </c>
      <c r="K12584" s="135" t="n">
        <f aca="false">$G12584*'Analyse capacite'!$E$7</f>
        <v>0</v>
      </c>
    </row>
    <row r="12585" customFormat="false" ht="15" hidden="false" customHeight="false" outlineLevel="0" collapsed="false">
      <c r="B12585" s="130" t="n">
        <v>2028</v>
      </c>
      <c r="C12585" s="131" t="s">
        <v>257</v>
      </c>
      <c r="D12585" s="132" t="n">
        <v>46827</v>
      </c>
      <c r="E12585" s="131" t="s">
        <v>14</v>
      </c>
      <c r="F12585" s="133" t="s">
        <v>19</v>
      </c>
      <c r="G12585" s="134" t="n">
        <f aca="false">LEN('Saisie programme'!$F$458)+SUMIFS('Vols additionnels'!$E$7:$E$66,'Vols additionnels'!$C$7:$C$66,$E12585,'Vols additionnels'!$D$7:$D$66,$F12585,'Vols additionnels'!$B$7:$B$66,$D12585)</f>
        <v>0</v>
      </c>
      <c r="H12585" s="135" t="n">
        <f aca="false">$G12585*'Analyse capacite'!$F$8</f>
        <v>0</v>
      </c>
      <c r="I12585" s="135" t="n">
        <f aca="false">$G12585*'Analyse capacite'!$C$8</f>
        <v>0</v>
      </c>
      <c r="J12585" s="135" t="n">
        <f aca="false">$G12585*'Analyse capacite'!$D$8</f>
        <v>0</v>
      </c>
      <c r="K12585" s="135" t="n">
        <f aca="false">$G12585*'Analyse capacite'!$E$8</f>
        <v>0</v>
      </c>
    </row>
    <row r="12586" customFormat="false" ht="15" hidden="false" customHeight="false" outlineLevel="0" collapsed="false">
      <c r="B12586" s="130" t="n">
        <v>2028</v>
      </c>
      <c r="C12586" s="131" t="s">
        <v>257</v>
      </c>
      <c r="D12586" s="132" t="n">
        <v>46827</v>
      </c>
      <c r="E12586" s="131" t="s">
        <v>14</v>
      </c>
      <c r="F12586" s="133" t="s">
        <v>24</v>
      </c>
      <c r="G12586" s="134" t="n">
        <f aca="false">LEN('Saisie programme'!$F$459)+SUMIFS('Vols additionnels'!$E$7:$E$66,'Vols additionnels'!$C$7:$C$66,$E12586,'Vols additionnels'!$D$7:$D$66,$F12586,'Vols additionnels'!$B$7:$B$66,$D12586)</f>
        <v>0</v>
      </c>
      <c r="H12586" s="135" t="n">
        <f aca="false">$G12586*'Analyse capacite'!$F$9</f>
        <v>0</v>
      </c>
      <c r="I12586" s="135" t="n">
        <f aca="false">$G12586*'Analyse capacite'!$C$9</f>
        <v>0</v>
      </c>
      <c r="J12586" s="135" t="n">
        <f aca="false">$G12586*'Analyse capacite'!$D$9</f>
        <v>0</v>
      </c>
      <c r="K12586" s="135" t="n">
        <f aca="false">$G12586*'Analyse capacite'!$E$9</f>
        <v>0</v>
      </c>
    </row>
    <row r="12587" customFormat="false" ht="15" hidden="false" customHeight="false" outlineLevel="0" collapsed="false">
      <c r="B12587" s="130" t="n">
        <v>2028</v>
      </c>
      <c r="C12587" s="131" t="s">
        <v>257</v>
      </c>
      <c r="D12587" s="132" t="n">
        <v>46827</v>
      </c>
      <c r="E12587" s="131" t="s">
        <v>46</v>
      </c>
      <c r="F12587" s="133" t="s">
        <v>11</v>
      </c>
      <c r="G12587" s="134" t="n">
        <f aca="false">LEN('Saisie programme'!$F$460)+SUMIFS('Vols additionnels'!$E$7:$E$66,'Vols additionnels'!$C$7:$C$66,$E12587,'Vols additionnels'!$D$7:$D$66,$F12587,'Vols additionnels'!$B$7:$B$66,$D12587)</f>
        <v>0</v>
      </c>
      <c r="H12587" s="135" t="n">
        <f aca="false">$G12587*'Analyse capacite'!$F$7</f>
        <v>0</v>
      </c>
      <c r="I12587" s="135" t="n">
        <f aca="false">$G12587*'Analyse capacite'!$C$7</f>
        <v>0</v>
      </c>
      <c r="J12587" s="135" t="n">
        <f aca="false">$G12587*'Analyse capacite'!$D$7</f>
        <v>0</v>
      </c>
      <c r="K12587" s="135" t="n">
        <f aca="false">$G12587*'Analyse capacite'!$E$7</f>
        <v>0</v>
      </c>
    </row>
    <row r="12588" customFormat="false" ht="15" hidden="false" customHeight="false" outlineLevel="0" collapsed="false">
      <c r="B12588" s="130" t="n">
        <v>2028</v>
      </c>
      <c r="C12588" s="131" t="s">
        <v>257</v>
      </c>
      <c r="D12588" s="132" t="n">
        <v>46827</v>
      </c>
      <c r="E12588" s="131" t="s">
        <v>46</v>
      </c>
      <c r="F12588" s="133" t="s">
        <v>19</v>
      </c>
      <c r="G12588" s="134" t="n">
        <f aca="false">LEN('Saisie programme'!$F$461)+SUMIFS('Vols additionnels'!$E$7:$E$66,'Vols additionnels'!$C$7:$C$66,$E12588,'Vols additionnels'!$D$7:$D$66,$F12588,'Vols additionnels'!$B$7:$B$66,$D12588)</f>
        <v>0</v>
      </c>
      <c r="H12588" s="135" t="n">
        <f aca="false">$G12588*'Analyse capacite'!$F$8</f>
        <v>0</v>
      </c>
      <c r="I12588" s="135" t="n">
        <f aca="false">$G12588*'Analyse capacite'!$C$8</f>
        <v>0</v>
      </c>
      <c r="J12588" s="135" t="n">
        <f aca="false">$G12588*'Analyse capacite'!$D$8</f>
        <v>0</v>
      </c>
      <c r="K12588" s="135" t="n">
        <f aca="false">$G12588*'Analyse capacite'!$E$8</f>
        <v>0</v>
      </c>
    </row>
    <row r="12589" customFormat="false" ht="15" hidden="false" customHeight="false" outlineLevel="0" collapsed="false">
      <c r="B12589" s="130" t="n">
        <v>2028</v>
      </c>
      <c r="C12589" s="131" t="s">
        <v>257</v>
      </c>
      <c r="D12589" s="132" t="n">
        <v>46827</v>
      </c>
      <c r="E12589" s="131" t="s">
        <v>46</v>
      </c>
      <c r="F12589" s="133" t="s">
        <v>24</v>
      </c>
      <c r="G12589" s="134" t="n">
        <f aca="false">LEN('Saisie programme'!$F$462)+SUMIFS('Vols additionnels'!$E$7:$E$66,'Vols additionnels'!$C$7:$C$66,$E12589,'Vols additionnels'!$D$7:$D$66,$F12589,'Vols additionnels'!$B$7:$B$66,$D12589)</f>
        <v>0</v>
      </c>
      <c r="H12589" s="135" t="n">
        <f aca="false">$G12589*'Analyse capacite'!$F$9</f>
        <v>0</v>
      </c>
      <c r="I12589" s="135" t="n">
        <f aca="false">$G12589*'Analyse capacite'!$C$9</f>
        <v>0</v>
      </c>
      <c r="J12589" s="135" t="n">
        <f aca="false">$G12589*'Analyse capacite'!$D$9</f>
        <v>0</v>
      </c>
      <c r="K12589" s="135" t="n">
        <f aca="false">$G12589*'Analyse capacite'!$E$9</f>
        <v>0</v>
      </c>
    </row>
    <row r="12590" customFormat="false" ht="15" hidden="false" customHeight="false" outlineLevel="0" collapsed="false">
      <c r="B12590" s="130" t="n">
        <v>2028</v>
      </c>
      <c r="C12590" s="131" t="s">
        <v>257</v>
      </c>
      <c r="D12590" s="132" t="n">
        <v>46827</v>
      </c>
      <c r="E12590" s="131" t="s">
        <v>49</v>
      </c>
      <c r="F12590" s="133" t="s">
        <v>11</v>
      </c>
      <c r="G12590" s="134" t="n">
        <f aca="false">LEN('Saisie programme'!$F$463)+SUMIFS('Vols additionnels'!$E$7:$E$66,'Vols additionnels'!$C$7:$C$66,$E12590,'Vols additionnels'!$D$7:$D$66,$F12590,'Vols additionnels'!$B$7:$B$66,$D12590)</f>
        <v>0</v>
      </c>
      <c r="H12590" s="135" t="n">
        <f aca="false">$G12590*'Analyse capacite'!$F$7</f>
        <v>0</v>
      </c>
      <c r="I12590" s="135" t="n">
        <f aca="false">$G12590*'Analyse capacite'!$C$7</f>
        <v>0</v>
      </c>
      <c r="J12590" s="135" t="n">
        <f aca="false">$G12590*'Analyse capacite'!$D$7</f>
        <v>0</v>
      </c>
      <c r="K12590" s="135" t="n">
        <f aca="false">$G12590*'Analyse capacite'!$E$7</f>
        <v>0</v>
      </c>
    </row>
    <row r="12591" customFormat="false" ht="15" hidden="false" customHeight="false" outlineLevel="0" collapsed="false">
      <c r="B12591" s="130" t="n">
        <v>2028</v>
      </c>
      <c r="C12591" s="131" t="s">
        <v>257</v>
      </c>
      <c r="D12591" s="132" t="n">
        <v>46827</v>
      </c>
      <c r="E12591" s="131" t="s">
        <v>49</v>
      </c>
      <c r="F12591" s="133" t="s">
        <v>19</v>
      </c>
      <c r="G12591" s="134" t="n">
        <f aca="false">LEN('Saisie programme'!$F$464)+SUMIFS('Vols additionnels'!$E$7:$E$66,'Vols additionnels'!$C$7:$C$66,$E12591,'Vols additionnels'!$D$7:$D$66,$F12591,'Vols additionnels'!$B$7:$B$66,$D12591)</f>
        <v>0</v>
      </c>
      <c r="H12591" s="135" t="n">
        <f aca="false">$G12591*'Analyse capacite'!$F$8</f>
        <v>0</v>
      </c>
      <c r="I12591" s="135" t="n">
        <f aca="false">$G12591*'Analyse capacite'!$C$8</f>
        <v>0</v>
      </c>
      <c r="J12591" s="135" t="n">
        <f aca="false">$G12591*'Analyse capacite'!$D$8</f>
        <v>0</v>
      </c>
      <c r="K12591" s="135" t="n">
        <f aca="false">$G12591*'Analyse capacite'!$E$8</f>
        <v>0</v>
      </c>
    </row>
    <row r="12592" customFormat="false" ht="15" hidden="false" customHeight="false" outlineLevel="0" collapsed="false">
      <c r="B12592" s="130" t="n">
        <v>2028</v>
      </c>
      <c r="C12592" s="131" t="s">
        <v>257</v>
      </c>
      <c r="D12592" s="132" t="n">
        <v>46827</v>
      </c>
      <c r="E12592" s="131" t="s">
        <v>49</v>
      </c>
      <c r="F12592" s="133" t="s">
        <v>24</v>
      </c>
      <c r="G12592" s="134" t="n">
        <f aca="false">LEN('Saisie programme'!$F$465)+SUMIFS('Vols additionnels'!$E$7:$E$66,'Vols additionnels'!$C$7:$C$66,$E12592,'Vols additionnels'!$D$7:$D$66,$F12592,'Vols additionnels'!$B$7:$B$66,$D12592)</f>
        <v>0</v>
      </c>
      <c r="H12592" s="135" t="n">
        <f aca="false">$G12592*'Analyse capacite'!$F$9</f>
        <v>0</v>
      </c>
      <c r="I12592" s="135" t="n">
        <f aca="false">$G12592*'Analyse capacite'!$C$9</f>
        <v>0</v>
      </c>
      <c r="J12592" s="135" t="n">
        <f aca="false">$G12592*'Analyse capacite'!$D$9</f>
        <v>0</v>
      </c>
      <c r="K12592" s="135" t="n">
        <f aca="false">$G12592*'Analyse capacite'!$E$9</f>
        <v>0</v>
      </c>
    </row>
    <row r="12593" customFormat="false" ht="15" hidden="false" customHeight="false" outlineLevel="0" collapsed="false">
      <c r="B12593" s="130" t="n">
        <v>2028</v>
      </c>
      <c r="C12593" s="131" t="s">
        <v>257</v>
      </c>
      <c r="D12593" s="132" t="n">
        <v>46827</v>
      </c>
      <c r="E12593" s="131" t="s">
        <v>53</v>
      </c>
      <c r="F12593" s="133" t="s">
        <v>11</v>
      </c>
      <c r="G12593" s="134" t="n">
        <f aca="false">LEN('Saisie programme'!$F$466)+SUMIFS('Vols additionnels'!$E$7:$E$66,'Vols additionnels'!$C$7:$C$66,$E12593,'Vols additionnels'!$D$7:$D$66,$F12593,'Vols additionnels'!$B$7:$B$66,$D12593)</f>
        <v>0</v>
      </c>
      <c r="H12593" s="135" t="n">
        <f aca="false">$G12593*'Analyse capacite'!$F$7</f>
        <v>0</v>
      </c>
      <c r="I12593" s="135" t="n">
        <f aca="false">$G12593*'Analyse capacite'!$C$7</f>
        <v>0</v>
      </c>
      <c r="J12593" s="135" t="n">
        <f aca="false">$G12593*'Analyse capacite'!$D$7</f>
        <v>0</v>
      </c>
      <c r="K12593" s="135" t="n">
        <f aca="false">$G12593*'Analyse capacite'!$E$7</f>
        <v>0</v>
      </c>
    </row>
    <row r="12594" customFormat="false" ht="15" hidden="false" customHeight="false" outlineLevel="0" collapsed="false">
      <c r="B12594" s="130" t="n">
        <v>2028</v>
      </c>
      <c r="C12594" s="131" t="s">
        <v>257</v>
      </c>
      <c r="D12594" s="132" t="n">
        <v>46827</v>
      </c>
      <c r="E12594" s="131" t="s">
        <v>53</v>
      </c>
      <c r="F12594" s="133" t="s">
        <v>19</v>
      </c>
      <c r="G12594" s="134" t="n">
        <f aca="false">LEN('Saisie programme'!$F$467)+SUMIFS('Vols additionnels'!$E$7:$E$66,'Vols additionnels'!$C$7:$C$66,$E12594,'Vols additionnels'!$D$7:$D$66,$F12594,'Vols additionnels'!$B$7:$B$66,$D12594)</f>
        <v>0</v>
      </c>
      <c r="H12594" s="135" t="n">
        <f aca="false">$G12594*'Analyse capacite'!$F$8</f>
        <v>0</v>
      </c>
      <c r="I12594" s="135" t="n">
        <f aca="false">$G12594*'Analyse capacite'!$C$8</f>
        <v>0</v>
      </c>
      <c r="J12594" s="135" t="n">
        <f aca="false">$G12594*'Analyse capacite'!$D$8</f>
        <v>0</v>
      </c>
      <c r="K12594" s="135" t="n">
        <f aca="false">$G12594*'Analyse capacite'!$E$8</f>
        <v>0</v>
      </c>
    </row>
    <row r="12595" customFormat="false" ht="15" hidden="false" customHeight="false" outlineLevel="0" collapsed="false">
      <c r="B12595" s="130" t="n">
        <v>2028</v>
      </c>
      <c r="C12595" s="131" t="s">
        <v>257</v>
      </c>
      <c r="D12595" s="132" t="n">
        <v>46827</v>
      </c>
      <c r="E12595" s="131" t="s">
        <v>53</v>
      </c>
      <c r="F12595" s="133" t="s">
        <v>24</v>
      </c>
      <c r="G12595" s="134" t="n">
        <f aca="false">LEN('Saisie programme'!$F$468)+SUMIFS('Vols additionnels'!$E$7:$E$66,'Vols additionnels'!$C$7:$C$66,$E12595,'Vols additionnels'!$D$7:$D$66,$F12595,'Vols additionnels'!$B$7:$B$66,$D12595)</f>
        <v>0</v>
      </c>
      <c r="H12595" s="135" t="n">
        <f aca="false">$G12595*'Analyse capacite'!$F$9</f>
        <v>0</v>
      </c>
      <c r="I12595" s="135" t="n">
        <f aca="false">$G12595*'Analyse capacite'!$C$9</f>
        <v>0</v>
      </c>
      <c r="J12595" s="135" t="n">
        <f aca="false">$G12595*'Analyse capacite'!$D$9</f>
        <v>0</v>
      </c>
      <c r="K12595" s="135" t="n">
        <f aca="false">$G12595*'Analyse capacite'!$E$9</f>
        <v>0</v>
      </c>
    </row>
    <row r="12596" customFormat="false" ht="15" hidden="false" customHeight="false" outlineLevel="0" collapsed="false">
      <c r="B12596" s="130" t="n">
        <v>2028</v>
      </c>
      <c r="C12596" s="131" t="s">
        <v>257</v>
      </c>
      <c r="D12596" s="132" t="n">
        <v>46827</v>
      </c>
      <c r="E12596" s="131" t="s">
        <v>56</v>
      </c>
      <c r="F12596" s="133" t="s">
        <v>11</v>
      </c>
      <c r="G12596" s="134" t="n">
        <f aca="false">LEN('Saisie programme'!$F$469)+SUMIFS('Vols additionnels'!$E$7:$E$66,'Vols additionnels'!$C$7:$C$66,$E12596,'Vols additionnels'!$D$7:$D$66,$F12596,'Vols additionnels'!$B$7:$B$66,$D12596)</f>
        <v>0</v>
      </c>
      <c r="H12596" s="135" t="n">
        <f aca="false">$G12596*'Analyse capacite'!$F$7</f>
        <v>0</v>
      </c>
      <c r="I12596" s="135" t="n">
        <f aca="false">$G12596*'Analyse capacite'!$C$7</f>
        <v>0</v>
      </c>
      <c r="J12596" s="135" t="n">
        <f aca="false">$G12596*'Analyse capacite'!$D$7</f>
        <v>0</v>
      </c>
      <c r="K12596" s="135" t="n">
        <f aca="false">$G12596*'Analyse capacite'!$E$7</f>
        <v>0</v>
      </c>
    </row>
    <row r="12597" customFormat="false" ht="15" hidden="false" customHeight="false" outlineLevel="0" collapsed="false">
      <c r="B12597" s="130" t="n">
        <v>2028</v>
      </c>
      <c r="C12597" s="131" t="s">
        <v>257</v>
      </c>
      <c r="D12597" s="132" t="n">
        <v>46827</v>
      </c>
      <c r="E12597" s="131" t="s">
        <v>56</v>
      </c>
      <c r="F12597" s="133" t="s">
        <v>19</v>
      </c>
      <c r="G12597" s="134" t="n">
        <f aca="false">LEN('Saisie programme'!$F$470)+SUMIFS('Vols additionnels'!$E$7:$E$66,'Vols additionnels'!$C$7:$C$66,$E12597,'Vols additionnels'!$D$7:$D$66,$F12597,'Vols additionnels'!$B$7:$B$66,$D12597)</f>
        <v>0</v>
      </c>
      <c r="H12597" s="135" t="n">
        <f aca="false">$G12597*'Analyse capacite'!$F$8</f>
        <v>0</v>
      </c>
      <c r="I12597" s="135" t="n">
        <f aca="false">$G12597*'Analyse capacite'!$C$8</f>
        <v>0</v>
      </c>
      <c r="J12597" s="135" t="n">
        <f aca="false">$G12597*'Analyse capacite'!$D$8</f>
        <v>0</v>
      </c>
      <c r="K12597" s="135" t="n">
        <f aca="false">$G12597*'Analyse capacite'!$E$8</f>
        <v>0</v>
      </c>
    </row>
    <row r="12598" customFormat="false" ht="15" hidden="false" customHeight="false" outlineLevel="0" collapsed="false">
      <c r="B12598" s="130" t="n">
        <v>2028</v>
      </c>
      <c r="C12598" s="131" t="s">
        <v>257</v>
      </c>
      <c r="D12598" s="132" t="n">
        <v>46827</v>
      </c>
      <c r="E12598" s="131" t="s">
        <v>56</v>
      </c>
      <c r="F12598" s="133" t="s">
        <v>24</v>
      </c>
      <c r="G12598" s="134" t="n">
        <f aca="false">LEN('Saisie programme'!$F$471)+SUMIFS('Vols additionnels'!$E$7:$E$66,'Vols additionnels'!$C$7:$C$66,$E12598,'Vols additionnels'!$D$7:$D$66,$F12598,'Vols additionnels'!$B$7:$B$66,$D12598)</f>
        <v>0</v>
      </c>
      <c r="H12598" s="135" t="n">
        <f aca="false">$G12598*'Analyse capacite'!$F$9</f>
        <v>0</v>
      </c>
      <c r="I12598" s="135" t="n">
        <f aca="false">$G12598*'Analyse capacite'!$C$9</f>
        <v>0</v>
      </c>
      <c r="J12598" s="135" t="n">
        <f aca="false">$G12598*'Analyse capacite'!$D$9</f>
        <v>0</v>
      </c>
      <c r="K12598" s="135" t="n">
        <f aca="false">$G12598*'Analyse capacite'!$E$9</f>
        <v>0</v>
      </c>
    </row>
    <row r="12599" customFormat="false" ht="15" hidden="false" customHeight="false" outlineLevel="0" collapsed="false">
      <c r="B12599" s="130" t="n">
        <v>2028</v>
      </c>
      <c r="C12599" s="131" t="s">
        <v>257</v>
      </c>
      <c r="D12599" s="132" t="n">
        <v>46827</v>
      </c>
      <c r="E12599" s="131" t="s">
        <v>59</v>
      </c>
      <c r="F12599" s="133" t="s">
        <v>11</v>
      </c>
      <c r="G12599" s="134" t="n">
        <f aca="false">LEN('Saisie programme'!$F$472)+SUMIFS('Vols additionnels'!$E$7:$E$66,'Vols additionnels'!$C$7:$C$66,$E12599,'Vols additionnels'!$D$7:$D$66,$F12599,'Vols additionnels'!$B$7:$B$66,$D12599)</f>
        <v>0</v>
      </c>
      <c r="H12599" s="135" t="n">
        <f aca="false">$G12599*'Analyse capacite'!$F$7</f>
        <v>0</v>
      </c>
      <c r="I12599" s="135" t="n">
        <f aca="false">$G12599*'Analyse capacite'!$C$7</f>
        <v>0</v>
      </c>
      <c r="J12599" s="135" t="n">
        <f aca="false">$G12599*'Analyse capacite'!$D$7</f>
        <v>0</v>
      </c>
      <c r="K12599" s="135" t="n">
        <f aca="false">$G12599*'Analyse capacite'!$E$7</f>
        <v>0</v>
      </c>
    </row>
    <row r="12600" customFormat="false" ht="15" hidden="false" customHeight="false" outlineLevel="0" collapsed="false">
      <c r="B12600" s="130" t="n">
        <v>2028</v>
      </c>
      <c r="C12600" s="131" t="s">
        <v>257</v>
      </c>
      <c r="D12600" s="132" t="n">
        <v>46827</v>
      </c>
      <c r="E12600" s="131" t="s">
        <v>59</v>
      </c>
      <c r="F12600" s="133" t="s">
        <v>19</v>
      </c>
      <c r="G12600" s="134" t="n">
        <f aca="false">LEN('Saisie programme'!$F$473)+SUMIFS('Vols additionnels'!$E$7:$E$66,'Vols additionnels'!$C$7:$C$66,$E12600,'Vols additionnels'!$D$7:$D$66,$F12600,'Vols additionnels'!$B$7:$B$66,$D12600)</f>
        <v>0</v>
      </c>
      <c r="H12600" s="135" t="n">
        <f aca="false">$G12600*'Analyse capacite'!$F$8</f>
        <v>0</v>
      </c>
      <c r="I12600" s="135" t="n">
        <f aca="false">$G12600*'Analyse capacite'!$C$8</f>
        <v>0</v>
      </c>
      <c r="J12600" s="135" t="n">
        <f aca="false">$G12600*'Analyse capacite'!$D$8</f>
        <v>0</v>
      </c>
      <c r="K12600" s="135" t="n">
        <f aca="false">$G12600*'Analyse capacite'!$E$8</f>
        <v>0</v>
      </c>
    </row>
    <row r="12601" customFormat="false" ht="15" hidden="false" customHeight="false" outlineLevel="0" collapsed="false">
      <c r="B12601" s="130" t="n">
        <v>2028</v>
      </c>
      <c r="C12601" s="131" t="s">
        <v>257</v>
      </c>
      <c r="D12601" s="132" t="n">
        <v>46827</v>
      </c>
      <c r="E12601" s="131" t="s">
        <v>59</v>
      </c>
      <c r="F12601" s="133" t="s">
        <v>24</v>
      </c>
      <c r="G12601" s="134" t="n">
        <f aca="false">LEN('Saisie programme'!$F$474)+SUMIFS('Vols additionnels'!$E$7:$E$66,'Vols additionnels'!$C$7:$C$66,$E12601,'Vols additionnels'!$D$7:$D$66,$F12601,'Vols additionnels'!$B$7:$B$66,$D12601)</f>
        <v>1</v>
      </c>
      <c r="H12601" s="135" t="n">
        <f aca="false">$G12601*'Analyse capacite'!$F$9</f>
        <v>174</v>
      </c>
      <c r="I12601" s="135" t="n">
        <f aca="false">$G12601*'Analyse capacite'!$C$9</f>
        <v>0</v>
      </c>
      <c r="J12601" s="135" t="n">
        <f aca="false">$G12601*'Analyse capacite'!$D$9</f>
        <v>12</v>
      </c>
      <c r="K12601" s="135" t="n">
        <f aca="false">$G12601*'Analyse capacite'!$E$9</f>
        <v>162</v>
      </c>
    </row>
    <row r="12602" customFormat="false" ht="15" hidden="false" customHeight="false" outlineLevel="0" collapsed="false">
      <c r="B12602" s="130" t="n">
        <v>2028</v>
      </c>
      <c r="C12602" s="131" t="s">
        <v>257</v>
      </c>
      <c r="D12602" s="132" t="n">
        <v>46827</v>
      </c>
      <c r="E12602" s="131" t="s">
        <v>62</v>
      </c>
      <c r="F12602" s="133" t="s">
        <v>11</v>
      </c>
      <c r="G12602" s="134" t="n">
        <f aca="false">LEN('Saisie programme'!$F$475)+SUMIFS('Vols additionnels'!$E$7:$E$66,'Vols additionnels'!$C$7:$C$66,$E12602,'Vols additionnels'!$D$7:$D$66,$F12602,'Vols additionnels'!$B$7:$B$66,$D12602)</f>
        <v>0</v>
      </c>
      <c r="H12602" s="135" t="n">
        <f aca="false">$G12602*'Analyse capacite'!$F$7</f>
        <v>0</v>
      </c>
      <c r="I12602" s="135" t="n">
        <f aca="false">$G12602*'Analyse capacite'!$C$7</f>
        <v>0</v>
      </c>
      <c r="J12602" s="135" t="n">
        <f aca="false">$G12602*'Analyse capacite'!$D$7</f>
        <v>0</v>
      </c>
      <c r="K12602" s="135" t="n">
        <f aca="false">$G12602*'Analyse capacite'!$E$7</f>
        <v>0</v>
      </c>
    </row>
    <row r="12603" customFormat="false" ht="15" hidden="false" customHeight="false" outlineLevel="0" collapsed="false">
      <c r="B12603" s="130" t="n">
        <v>2028</v>
      </c>
      <c r="C12603" s="131" t="s">
        <v>257</v>
      </c>
      <c r="D12603" s="132" t="n">
        <v>46827</v>
      </c>
      <c r="E12603" s="131" t="s">
        <v>62</v>
      </c>
      <c r="F12603" s="133" t="s">
        <v>19</v>
      </c>
      <c r="G12603" s="134" t="n">
        <f aca="false">LEN('Saisie programme'!$F$476)+SUMIFS('Vols additionnels'!$E$7:$E$66,'Vols additionnels'!$C$7:$C$66,$E12603,'Vols additionnels'!$D$7:$D$66,$F12603,'Vols additionnels'!$B$7:$B$66,$D12603)</f>
        <v>0</v>
      </c>
      <c r="H12603" s="135" t="n">
        <f aca="false">$G12603*'Analyse capacite'!$F$8</f>
        <v>0</v>
      </c>
      <c r="I12603" s="135" t="n">
        <f aca="false">$G12603*'Analyse capacite'!$C$8</f>
        <v>0</v>
      </c>
      <c r="J12603" s="135" t="n">
        <f aca="false">$G12603*'Analyse capacite'!$D$8</f>
        <v>0</v>
      </c>
      <c r="K12603" s="135" t="n">
        <f aca="false">$G12603*'Analyse capacite'!$E$8</f>
        <v>0</v>
      </c>
    </row>
    <row r="12604" customFormat="false" ht="15" hidden="false" customHeight="false" outlineLevel="0" collapsed="false">
      <c r="B12604" s="130" t="n">
        <v>2028</v>
      </c>
      <c r="C12604" s="131" t="s">
        <v>257</v>
      </c>
      <c r="D12604" s="132" t="n">
        <v>46827</v>
      </c>
      <c r="E12604" s="131" t="s">
        <v>62</v>
      </c>
      <c r="F12604" s="133" t="s">
        <v>24</v>
      </c>
      <c r="G12604" s="134" t="n">
        <f aca="false">LEN('Saisie programme'!$F$477)+SUMIFS('Vols additionnels'!$E$7:$E$66,'Vols additionnels'!$C$7:$C$66,$E12604,'Vols additionnels'!$D$7:$D$66,$F12604,'Vols additionnels'!$B$7:$B$66,$D12604)</f>
        <v>1</v>
      </c>
      <c r="H12604" s="135" t="n">
        <f aca="false">$G12604*'Analyse capacite'!$F$9</f>
        <v>174</v>
      </c>
      <c r="I12604" s="135" t="n">
        <f aca="false">$G12604*'Analyse capacite'!$C$9</f>
        <v>0</v>
      </c>
      <c r="J12604" s="135" t="n">
        <f aca="false">$G12604*'Analyse capacite'!$D$9</f>
        <v>12</v>
      </c>
      <c r="K12604" s="135" t="n">
        <f aca="false">$G12604*'Analyse capacite'!$E$9</f>
        <v>162</v>
      </c>
    </row>
    <row r="12605" customFormat="false" ht="15" hidden="false" customHeight="false" outlineLevel="0" collapsed="false">
      <c r="B12605" s="130" t="n">
        <v>2028</v>
      </c>
      <c r="C12605" s="131" t="s">
        <v>257</v>
      </c>
      <c r="D12605" s="132" t="n">
        <v>46828</v>
      </c>
      <c r="E12605" s="131" t="s">
        <v>12</v>
      </c>
      <c r="F12605" s="133" t="s">
        <v>11</v>
      </c>
      <c r="G12605" s="134" t="n">
        <f aca="false">LEN('Saisie programme'!$G$442)+SUMIFS('Vols additionnels'!$E$7:$E$66,'Vols additionnels'!$C$7:$C$66,$E12605,'Vols additionnels'!$D$7:$D$66,$F12605,'Vols additionnels'!$B$7:$B$66,$D12605)</f>
        <v>1</v>
      </c>
      <c r="H12605" s="135" t="n">
        <f aca="false">$G12605*'Analyse capacite'!$F$7</f>
        <v>438</v>
      </c>
      <c r="I12605" s="135" t="n">
        <f aca="false">$G12605*'Analyse capacite'!$C$7</f>
        <v>14</v>
      </c>
      <c r="J12605" s="135" t="n">
        <f aca="false">$G12605*'Analyse capacite'!$D$7</f>
        <v>40</v>
      </c>
      <c r="K12605" s="135" t="n">
        <f aca="false">$G12605*'Analyse capacite'!$E$7</f>
        <v>384</v>
      </c>
    </row>
    <row r="12606" customFormat="false" ht="15" hidden="false" customHeight="false" outlineLevel="0" collapsed="false">
      <c r="B12606" s="130" t="n">
        <v>2028</v>
      </c>
      <c r="C12606" s="131" t="s">
        <v>257</v>
      </c>
      <c r="D12606" s="132" t="n">
        <v>46828</v>
      </c>
      <c r="E12606" s="131" t="s">
        <v>12</v>
      </c>
      <c r="F12606" s="133" t="s">
        <v>19</v>
      </c>
      <c r="G12606" s="134" t="n">
        <f aca="false">LEN('Saisie programme'!$G$443)+SUMIFS('Vols additionnels'!$E$7:$E$66,'Vols additionnels'!$C$7:$C$66,$E12606,'Vols additionnels'!$D$7:$D$66,$F12606,'Vols additionnels'!$B$7:$B$66,$D12606)</f>
        <v>0</v>
      </c>
      <c r="H12606" s="135" t="n">
        <f aca="false">$G12606*'Analyse capacite'!$F$8</f>
        <v>0</v>
      </c>
      <c r="I12606" s="135" t="n">
        <f aca="false">$G12606*'Analyse capacite'!$C$8</f>
        <v>0</v>
      </c>
      <c r="J12606" s="135" t="n">
        <f aca="false">$G12606*'Analyse capacite'!$D$8</f>
        <v>0</v>
      </c>
      <c r="K12606" s="135" t="n">
        <f aca="false">$G12606*'Analyse capacite'!$E$8</f>
        <v>0</v>
      </c>
    </row>
    <row r="12607" customFormat="false" ht="15" hidden="false" customHeight="false" outlineLevel="0" collapsed="false">
      <c r="B12607" s="130" t="n">
        <v>2028</v>
      </c>
      <c r="C12607" s="131" t="s">
        <v>257</v>
      </c>
      <c r="D12607" s="132" t="n">
        <v>46828</v>
      </c>
      <c r="E12607" s="131" t="s">
        <v>12</v>
      </c>
      <c r="F12607" s="133" t="s">
        <v>24</v>
      </c>
      <c r="G12607" s="134" t="n">
        <f aca="false">LEN('Saisie programme'!$G$444)+SUMIFS('Vols additionnels'!$E$7:$E$66,'Vols additionnels'!$C$7:$C$66,$E12607,'Vols additionnels'!$D$7:$D$66,$F12607,'Vols additionnels'!$B$7:$B$66,$D12607)</f>
        <v>0</v>
      </c>
      <c r="H12607" s="135" t="n">
        <f aca="false">$G12607*'Analyse capacite'!$F$9</f>
        <v>0</v>
      </c>
      <c r="I12607" s="135" t="n">
        <f aca="false">$G12607*'Analyse capacite'!$C$9</f>
        <v>0</v>
      </c>
      <c r="J12607" s="135" t="n">
        <f aca="false">$G12607*'Analyse capacite'!$D$9</f>
        <v>0</v>
      </c>
      <c r="K12607" s="135" t="n">
        <f aca="false">$G12607*'Analyse capacite'!$E$9</f>
        <v>0</v>
      </c>
    </row>
    <row r="12608" customFormat="false" ht="15" hidden="false" customHeight="false" outlineLevel="0" collapsed="false">
      <c r="B12608" s="130" t="n">
        <v>2028</v>
      </c>
      <c r="C12608" s="131" t="s">
        <v>257</v>
      </c>
      <c r="D12608" s="132" t="n">
        <v>46828</v>
      </c>
      <c r="E12608" s="131" t="s">
        <v>20</v>
      </c>
      <c r="F12608" s="133" t="s">
        <v>11</v>
      </c>
      <c r="G12608" s="134" t="n">
        <f aca="false">LEN('Saisie programme'!$G$445)+SUMIFS('Vols additionnels'!$E$7:$E$66,'Vols additionnels'!$C$7:$C$66,$E12608,'Vols additionnels'!$D$7:$D$66,$F12608,'Vols additionnels'!$B$7:$B$66,$D12608)</f>
        <v>0</v>
      </c>
      <c r="H12608" s="135" t="n">
        <f aca="false">$G12608*'Analyse capacite'!$F$7</f>
        <v>0</v>
      </c>
      <c r="I12608" s="135" t="n">
        <f aca="false">$G12608*'Analyse capacite'!$C$7</f>
        <v>0</v>
      </c>
      <c r="J12608" s="135" t="n">
        <f aca="false">$G12608*'Analyse capacite'!$D$7</f>
        <v>0</v>
      </c>
      <c r="K12608" s="135" t="n">
        <f aca="false">$G12608*'Analyse capacite'!$E$7</f>
        <v>0</v>
      </c>
    </row>
    <row r="12609" customFormat="false" ht="15" hidden="false" customHeight="false" outlineLevel="0" collapsed="false">
      <c r="B12609" s="130" t="n">
        <v>2028</v>
      </c>
      <c r="C12609" s="131" t="s">
        <v>257</v>
      </c>
      <c r="D12609" s="132" t="n">
        <v>46828</v>
      </c>
      <c r="E12609" s="131" t="s">
        <v>20</v>
      </c>
      <c r="F12609" s="133" t="s">
        <v>19</v>
      </c>
      <c r="G12609" s="134" t="n">
        <f aca="false">LEN('Saisie programme'!$G$446)+SUMIFS('Vols additionnels'!$E$7:$E$66,'Vols additionnels'!$C$7:$C$66,$E12609,'Vols additionnels'!$D$7:$D$66,$F12609,'Vols additionnels'!$B$7:$B$66,$D12609)</f>
        <v>0</v>
      </c>
      <c r="H12609" s="135" t="n">
        <f aca="false">$G12609*'Analyse capacite'!$F$8</f>
        <v>0</v>
      </c>
      <c r="I12609" s="135" t="n">
        <f aca="false">$G12609*'Analyse capacite'!$C$8</f>
        <v>0</v>
      </c>
      <c r="J12609" s="135" t="n">
        <f aca="false">$G12609*'Analyse capacite'!$D$8</f>
        <v>0</v>
      </c>
      <c r="K12609" s="135" t="n">
        <f aca="false">$G12609*'Analyse capacite'!$E$8</f>
        <v>0</v>
      </c>
    </row>
    <row r="12610" customFormat="false" ht="15" hidden="false" customHeight="false" outlineLevel="0" collapsed="false">
      <c r="B12610" s="130" t="n">
        <v>2028</v>
      </c>
      <c r="C12610" s="131" t="s">
        <v>257</v>
      </c>
      <c r="D12610" s="132" t="n">
        <v>46828</v>
      </c>
      <c r="E12610" s="131" t="s">
        <v>20</v>
      </c>
      <c r="F12610" s="133" t="s">
        <v>24</v>
      </c>
      <c r="G12610" s="134" t="n">
        <f aca="false">LEN('Saisie programme'!$G$447)+SUMIFS('Vols additionnels'!$E$7:$E$66,'Vols additionnels'!$C$7:$C$66,$E12610,'Vols additionnels'!$D$7:$D$66,$F12610,'Vols additionnels'!$B$7:$B$66,$D12610)</f>
        <v>0</v>
      </c>
      <c r="H12610" s="135" t="n">
        <f aca="false">$G12610*'Analyse capacite'!$F$9</f>
        <v>0</v>
      </c>
      <c r="I12610" s="135" t="n">
        <f aca="false">$G12610*'Analyse capacite'!$C$9</f>
        <v>0</v>
      </c>
      <c r="J12610" s="135" t="n">
        <f aca="false">$G12610*'Analyse capacite'!$D$9</f>
        <v>0</v>
      </c>
      <c r="K12610" s="135" t="n">
        <f aca="false">$G12610*'Analyse capacite'!$E$9</f>
        <v>0</v>
      </c>
    </row>
    <row r="12611" customFormat="false" ht="15" hidden="false" customHeight="false" outlineLevel="0" collapsed="false">
      <c r="B12611" s="130" t="n">
        <v>2028</v>
      </c>
      <c r="C12611" s="131" t="s">
        <v>257</v>
      </c>
      <c r="D12611" s="132" t="n">
        <v>46828</v>
      </c>
      <c r="E12611" s="131" t="s">
        <v>25</v>
      </c>
      <c r="F12611" s="133" t="s">
        <v>11</v>
      </c>
      <c r="G12611" s="134" t="n">
        <f aca="false">LEN('Saisie programme'!$G$448)+SUMIFS('Vols additionnels'!$E$7:$E$66,'Vols additionnels'!$C$7:$C$66,$E12611,'Vols additionnels'!$D$7:$D$66,$F12611,'Vols additionnels'!$B$7:$B$66,$D12611)</f>
        <v>0</v>
      </c>
      <c r="H12611" s="135" t="n">
        <f aca="false">$G12611*'Analyse capacite'!$F$7</f>
        <v>0</v>
      </c>
      <c r="I12611" s="135" t="n">
        <f aca="false">$G12611*'Analyse capacite'!$C$7</f>
        <v>0</v>
      </c>
      <c r="J12611" s="135" t="n">
        <f aca="false">$G12611*'Analyse capacite'!$D$7</f>
        <v>0</v>
      </c>
      <c r="K12611" s="135" t="n">
        <f aca="false">$G12611*'Analyse capacite'!$E$7</f>
        <v>0</v>
      </c>
    </row>
    <row r="12612" customFormat="false" ht="15" hidden="false" customHeight="false" outlineLevel="0" collapsed="false">
      <c r="B12612" s="130" t="n">
        <v>2028</v>
      </c>
      <c r="C12612" s="131" t="s">
        <v>257</v>
      </c>
      <c r="D12612" s="132" t="n">
        <v>46828</v>
      </c>
      <c r="E12612" s="131" t="s">
        <v>25</v>
      </c>
      <c r="F12612" s="133" t="s">
        <v>19</v>
      </c>
      <c r="G12612" s="134" t="n">
        <f aca="false">LEN('Saisie programme'!$G$449)+SUMIFS('Vols additionnels'!$E$7:$E$66,'Vols additionnels'!$C$7:$C$66,$E12612,'Vols additionnels'!$D$7:$D$66,$F12612,'Vols additionnels'!$B$7:$B$66,$D12612)</f>
        <v>0</v>
      </c>
      <c r="H12612" s="135" t="n">
        <f aca="false">$G12612*'Analyse capacite'!$F$8</f>
        <v>0</v>
      </c>
      <c r="I12612" s="135" t="n">
        <f aca="false">$G12612*'Analyse capacite'!$C$8</f>
        <v>0</v>
      </c>
      <c r="J12612" s="135" t="n">
        <f aca="false">$G12612*'Analyse capacite'!$D$8</f>
        <v>0</v>
      </c>
      <c r="K12612" s="135" t="n">
        <f aca="false">$G12612*'Analyse capacite'!$E$8</f>
        <v>0</v>
      </c>
    </row>
    <row r="12613" customFormat="false" ht="15" hidden="false" customHeight="false" outlineLevel="0" collapsed="false">
      <c r="B12613" s="130" t="n">
        <v>2028</v>
      </c>
      <c r="C12613" s="131" t="s">
        <v>257</v>
      </c>
      <c r="D12613" s="132" t="n">
        <v>46828</v>
      </c>
      <c r="E12613" s="131" t="s">
        <v>25</v>
      </c>
      <c r="F12613" s="133" t="s">
        <v>24</v>
      </c>
      <c r="G12613" s="134" t="n">
        <f aca="false">LEN('Saisie programme'!$G$450)+SUMIFS('Vols additionnels'!$E$7:$E$66,'Vols additionnels'!$C$7:$C$66,$E12613,'Vols additionnels'!$D$7:$D$66,$F12613,'Vols additionnels'!$B$7:$B$66,$D12613)</f>
        <v>0</v>
      </c>
      <c r="H12613" s="135" t="n">
        <f aca="false">$G12613*'Analyse capacite'!$F$9</f>
        <v>0</v>
      </c>
      <c r="I12613" s="135" t="n">
        <f aca="false">$G12613*'Analyse capacite'!$C$9</f>
        <v>0</v>
      </c>
      <c r="J12613" s="135" t="n">
        <f aca="false">$G12613*'Analyse capacite'!$D$9</f>
        <v>0</v>
      </c>
      <c r="K12613" s="135" t="n">
        <f aca="false">$G12613*'Analyse capacite'!$E$9</f>
        <v>0</v>
      </c>
    </row>
    <row r="12614" customFormat="false" ht="15" hidden="false" customHeight="false" outlineLevel="0" collapsed="false">
      <c r="B12614" s="130" t="n">
        <v>2028</v>
      </c>
      <c r="C12614" s="131" t="s">
        <v>257</v>
      </c>
      <c r="D12614" s="132" t="n">
        <v>46828</v>
      </c>
      <c r="E12614" s="131" t="s">
        <v>36</v>
      </c>
      <c r="F12614" s="133" t="s">
        <v>11</v>
      </c>
      <c r="G12614" s="134" t="n">
        <f aca="false">LEN('Saisie programme'!$G$451)+SUMIFS('Vols additionnels'!$E$7:$E$66,'Vols additionnels'!$C$7:$C$66,$E12614,'Vols additionnels'!$D$7:$D$66,$F12614,'Vols additionnels'!$B$7:$B$66,$D12614)</f>
        <v>0</v>
      </c>
      <c r="H12614" s="135" t="n">
        <f aca="false">$G12614*'Analyse capacite'!$F$7</f>
        <v>0</v>
      </c>
      <c r="I12614" s="135" t="n">
        <f aca="false">$G12614*'Analyse capacite'!$C$7</f>
        <v>0</v>
      </c>
      <c r="J12614" s="135" t="n">
        <f aca="false">$G12614*'Analyse capacite'!$D$7</f>
        <v>0</v>
      </c>
      <c r="K12614" s="135" t="n">
        <f aca="false">$G12614*'Analyse capacite'!$E$7</f>
        <v>0</v>
      </c>
    </row>
    <row r="12615" customFormat="false" ht="15" hidden="false" customHeight="false" outlineLevel="0" collapsed="false">
      <c r="B12615" s="130" t="n">
        <v>2028</v>
      </c>
      <c r="C12615" s="131" t="s">
        <v>257</v>
      </c>
      <c r="D12615" s="132" t="n">
        <v>46828</v>
      </c>
      <c r="E12615" s="131" t="s">
        <v>36</v>
      </c>
      <c r="F12615" s="133" t="s">
        <v>19</v>
      </c>
      <c r="G12615" s="134" t="n">
        <f aca="false">LEN('Saisie programme'!$G$452)+SUMIFS('Vols additionnels'!$E$7:$E$66,'Vols additionnels'!$C$7:$C$66,$E12615,'Vols additionnels'!$D$7:$D$66,$F12615,'Vols additionnels'!$B$7:$B$66,$D12615)</f>
        <v>0</v>
      </c>
      <c r="H12615" s="135" t="n">
        <f aca="false">$G12615*'Analyse capacite'!$F$8</f>
        <v>0</v>
      </c>
      <c r="I12615" s="135" t="n">
        <f aca="false">$G12615*'Analyse capacite'!$C$8</f>
        <v>0</v>
      </c>
      <c r="J12615" s="135" t="n">
        <f aca="false">$G12615*'Analyse capacite'!$D$8</f>
        <v>0</v>
      </c>
      <c r="K12615" s="135" t="n">
        <f aca="false">$G12615*'Analyse capacite'!$E$8</f>
        <v>0</v>
      </c>
    </row>
    <row r="12616" customFormat="false" ht="15" hidden="false" customHeight="false" outlineLevel="0" collapsed="false">
      <c r="B12616" s="130" t="n">
        <v>2028</v>
      </c>
      <c r="C12616" s="131" t="s">
        <v>257</v>
      </c>
      <c r="D12616" s="132" t="n">
        <v>46828</v>
      </c>
      <c r="E12616" s="131" t="s">
        <v>36</v>
      </c>
      <c r="F12616" s="133" t="s">
        <v>24</v>
      </c>
      <c r="G12616" s="134" t="n">
        <f aca="false">LEN('Saisie programme'!$G$453)+SUMIFS('Vols additionnels'!$E$7:$E$66,'Vols additionnels'!$C$7:$C$66,$E12616,'Vols additionnels'!$D$7:$D$66,$F12616,'Vols additionnels'!$B$7:$B$66,$D12616)</f>
        <v>1</v>
      </c>
      <c r="H12616" s="135" t="n">
        <f aca="false">$G12616*'Analyse capacite'!$F$9</f>
        <v>174</v>
      </c>
      <c r="I12616" s="135" t="n">
        <f aca="false">$G12616*'Analyse capacite'!$C$9</f>
        <v>0</v>
      </c>
      <c r="J12616" s="135" t="n">
        <f aca="false">$G12616*'Analyse capacite'!$D$9</f>
        <v>12</v>
      </c>
      <c r="K12616" s="135" t="n">
        <f aca="false">$G12616*'Analyse capacite'!$E$9</f>
        <v>162</v>
      </c>
    </row>
    <row r="12617" customFormat="false" ht="15" hidden="false" customHeight="false" outlineLevel="0" collapsed="false">
      <c r="B12617" s="130" t="n">
        <v>2028</v>
      </c>
      <c r="C12617" s="131" t="s">
        <v>257</v>
      </c>
      <c r="D12617" s="132" t="n">
        <v>46828</v>
      </c>
      <c r="E12617" s="131" t="s">
        <v>40</v>
      </c>
      <c r="F12617" s="133" t="s">
        <v>11</v>
      </c>
      <c r="G12617" s="134" t="n">
        <f aca="false">LEN('Saisie programme'!$G$454)+SUMIFS('Vols additionnels'!$E$7:$E$66,'Vols additionnels'!$C$7:$C$66,$E12617,'Vols additionnels'!$D$7:$D$66,$F12617,'Vols additionnels'!$B$7:$B$66,$D12617)</f>
        <v>0</v>
      </c>
      <c r="H12617" s="135" t="n">
        <f aca="false">$G12617*'Analyse capacite'!$F$7</f>
        <v>0</v>
      </c>
      <c r="I12617" s="135" t="n">
        <f aca="false">$G12617*'Analyse capacite'!$C$7</f>
        <v>0</v>
      </c>
      <c r="J12617" s="135" t="n">
        <f aca="false">$G12617*'Analyse capacite'!$D$7</f>
        <v>0</v>
      </c>
      <c r="K12617" s="135" t="n">
        <f aca="false">$G12617*'Analyse capacite'!$E$7</f>
        <v>0</v>
      </c>
    </row>
    <row r="12618" customFormat="false" ht="15" hidden="false" customHeight="false" outlineLevel="0" collapsed="false">
      <c r="B12618" s="130" t="n">
        <v>2028</v>
      </c>
      <c r="C12618" s="131" t="s">
        <v>257</v>
      </c>
      <c r="D12618" s="132" t="n">
        <v>46828</v>
      </c>
      <c r="E12618" s="131" t="s">
        <v>40</v>
      </c>
      <c r="F12618" s="133" t="s">
        <v>19</v>
      </c>
      <c r="G12618" s="134" t="n">
        <f aca="false">LEN('Saisie programme'!$G$455)+SUMIFS('Vols additionnels'!$E$7:$E$66,'Vols additionnels'!$C$7:$C$66,$E12618,'Vols additionnels'!$D$7:$D$66,$F12618,'Vols additionnels'!$B$7:$B$66,$D12618)</f>
        <v>0</v>
      </c>
      <c r="H12618" s="135" t="n">
        <f aca="false">$G12618*'Analyse capacite'!$F$8</f>
        <v>0</v>
      </c>
      <c r="I12618" s="135" t="n">
        <f aca="false">$G12618*'Analyse capacite'!$C$8</f>
        <v>0</v>
      </c>
      <c r="J12618" s="135" t="n">
        <f aca="false">$G12618*'Analyse capacite'!$D$8</f>
        <v>0</v>
      </c>
      <c r="K12618" s="135" t="n">
        <f aca="false">$G12618*'Analyse capacite'!$E$8</f>
        <v>0</v>
      </c>
    </row>
    <row r="12619" customFormat="false" ht="15" hidden="false" customHeight="false" outlineLevel="0" collapsed="false">
      <c r="B12619" s="130" t="n">
        <v>2028</v>
      </c>
      <c r="C12619" s="131" t="s">
        <v>257</v>
      </c>
      <c r="D12619" s="132" t="n">
        <v>46828</v>
      </c>
      <c r="E12619" s="131" t="s">
        <v>40</v>
      </c>
      <c r="F12619" s="133" t="s">
        <v>24</v>
      </c>
      <c r="G12619" s="134" t="n">
        <f aca="false">LEN('Saisie programme'!$G$456)+SUMIFS('Vols additionnels'!$E$7:$E$66,'Vols additionnels'!$C$7:$C$66,$E12619,'Vols additionnels'!$D$7:$D$66,$F12619,'Vols additionnels'!$B$7:$B$66,$D12619)</f>
        <v>0</v>
      </c>
      <c r="H12619" s="135" t="n">
        <f aca="false">$G12619*'Analyse capacite'!$F$9</f>
        <v>0</v>
      </c>
      <c r="I12619" s="135" t="n">
        <f aca="false">$G12619*'Analyse capacite'!$C$9</f>
        <v>0</v>
      </c>
      <c r="J12619" s="135" t="n">
        <f aca="false">$G12619*'Analyse capacite'!$D$9</f>
        <v>0</v>
      </c>
      <c r="K12619" s="135" t="n">
        <f aca="false">$G12619*'Analyse capacite'!$E$9</f>
        <v>0</v>
      </c>
    </row>
    <row r="12620" customFormat="false" ht="15" hidden="false" customHeight="false" outlineLevel="0" collapsed="false">
      <c r="B12620" s="130" t="n">
        <v>2028</v>
      </c>
      <c r="C12620" s="131" t="s">
        <v>257</v>
      </c>
      <c r="D12620" s="132" t="n">
        <v>46828</v>
      </c>
      <c r="E12620" s="131" t="s">
        <v>14</v>
      </c>
      <c r="F12620" s="133" t="s">
        <v>11</v>
      </c>
      <c r="G12620" s="134" t="n">
        <f aca="false">LEN('Saisie programme'!$G$457)+SUMIFS('Vols additionnels'!$E$7:$E$66,'Vols additionnels'!$C$7:$C$66,$E12620,'Vols additionnels'!$D$7:$D$66,$F12620,'Vols additionnels'!$B$7:$B$66,$D12620)</f>
        <v>0</v>
      </c>
      <c r="H12620" s="135" t="n">
        <f aca="false">$G12620*'Analyse capacite'!$F$7</f>
        <v>0</v>
      </c>
      <c r="I12620" s="135" t="n">
        <f aca="false">$G12620*'Analyse capacite'!$C$7</f>
        <v>0</v>
      </c>
      <c r="J12620" s="135" t="n">
        <f aca="false">$G12620*'Analyse capacite'!$D$7</f>
        <v>0</v>
      </c>
      <c r="K12620" s="135" t="n">
        <f aca="false">$G12620*'Analyse capacite'!$E$7</f>
        <v>0</v>
      </c>
    </row>
    <row r="12621" customFormat="false" ht="15" hidden="false" customHeight="false" outlineLevel="0" collapsed="false">
      <c r="B12621" s="130" t="n">
        <v>2028</v>
      </c>
      <c r="C12621" s="131" t="s">
        <v>257</v>
      </c>
      <c r="D12621" s="132" t="n">
        <v>46828</v>
      </c>
      <c r="E12621" s="131" t="s">
        <v>14</v>
      </c>
      <c r="F12621" s="133" t="s">
        <v>19</v>
      </c>
      <c r="G12621" s="134" t="n">
        <f aca="false">LEN('Saisie programme'!$G$458)+SUMIFS('Vols additionnels'!$E$7:$E$66,'Vols additionnels'!$C$7:$C$66,$E12621,'Vols additionnels'!$D$7:$D$66,$F12621,'Vols additionnels'!$B$7:$B$66,$D12621)</f>
        <v>0</v>
      </c>
      <c r="H12621" s="135" t="n">
        <f aca="false">$G12621*'Analyse capacite'!$F$8</f>
        <v>0</v>
      </c>
      <c r="I12621" s="135" t="n">
        <f aca="false">$G12621*'Analyse capacite'!$C$8</f>
        <v>0</v>
      </c>
      <c r="J12621" s="135" t="n">
        <f aca="false">$G12621*'Analyse capacite'!$D$8</f>
        <v>0</v>
      </c>
      <c r="K12621" s="135" t="n">
        <f aca="false">$G12621*'Analyse capacite'!$E$8</f>
        <v>0</v>
      </c>
    </row>
    <row r="12622" customFormat="false" ht="15" hidden="false" customHeight="false" outlineLevel="0" collapsed="false">
      <c r="B12622" s="130" t="n">
        <v>2028</v>
      </c>
      <c r="C12622" s="131" t="s">
        <v>257</v>
      </c>
      <c r="D12622" s="132" t="n">
        <v>46828</v>
      </c>
      <c r="E12622" s="131" t="s">
        <v>14</v>
      </c>
      <c r="F12622" s="133" t="s">
        <v>24</v>
      </c>
      <c r="G12622" s="134" t="n">
        <f aca="false">LEN('Saisie programme'!$G$459)+SUMIFS('Vols additionnels'!$E$7:$E$66,'Vols additionnels'!$C$7:$C$66,$E12622,'Vols additionnels'!$D$7:$D$66,$F12622,'Vols additionnels'!$B$7:$B$66,$D12622)</f>
        <v>1</v>
      </c>
      <c r="H12622" s="135" t="n">
        <f aca="false">$G12622*'Analyse capacite'!$F$9</f>
        <v>174</v>
      </c>
      <c r="I12622" s="135" t="n">
        <f aca="false">$G12622*'Analyse capacite'!$C$9</f>
        <v>0</v>
      </c>
      <c r="J12622" s="135" t="n">
        <f aca="false">$G12622*'Analyse capacite'!$D$9</f>
        <v>12</v>
      </c>
      <c r="K12622" s="135" t="n">
        <f aca="false">$G12622*'Analyse capacite'!$E$9</f>
        <v>162</v>
      </c>
    </row>
    <row r="12623" customFormat="false" ht="15" hidden="false" customHeight="false" outlineLevel="0" collapsed="false">
      <c r="B12623" s="130" t="n">
        <v>2028</v>
      </c>
      <c r="C12623" s="131" t="s">
        <v>257</v>
      </c>
      <c r="D12623" s="132" t="n">
        <v>46828</v>
      </c>
      <c r="E12623" s="131" t="s">
        <v>46</v>
      </c>
      <c r="F12623" s="133" t="s">
        <v>11</v>
      </c>
      <c r="G12623" s="134" t="n">
        <f aca="false">LEN('Saisie programme'!$G$460)+SUMIFS('Vols additionnels'!$E$7:$E$66,'Vols additionnels'!$C$7:$C$66,$E12623,'Vols additionnels'!$D$7:$D$66,$F12623,'Vols additionnels'!$B$7:$B$66,$D12623)</f>
        <v>0</v>
      </c>
      <c r="H12623" s="135" t="n">
        <f aca="false">$G12623*'Analyse capacite'!$F$7</f>
        <v>0</v>
      </c>
      <c r="I12623" s="135" t="n">
        <f aca="false">$G12623*'Analyse capacite'!$C$7</f>
        <v>0</v>
      </c>
      <c r="J12623" s="135" t="n">
        <f aca="false">$G12623*'Analyse capacite'!$D$7</f>
        <v>0</v>
      </c>
      <c r="K12623" s="135" t="n">
        <f aca="false">$G12623*'Analyse capacite'!$E$7</f>
        <v>0</v>
      </c>
    </row>
    <row r="12624" customFormat="false" ht="15" hidden="false" customHeight="false" outlineLevel="0" collapsed="false">
      <c r="B12624" s="130" t="n">
        <v>2028</v>
      </c>
      <c r="C12624" s="131" t="s">
        <v>257</v>
      </c>
      <c r="D12624" s="132" t="n">
        <v>46828</v>
      </c>
      <c r="E12624" s="131" t="s">
        <v>46</v>
      </c>
      <c r="F12624" s="133" t="s">
        <v>19</v>
      </c>
      <c r="G12624" s="134" t="n">
        <f aca="false">LEN('Saisie programme'!$G$461)+SUMIFS('Vols additionnels'!$E$7:$E$66,'Vols additionnels'!$C$7:$C$66,$E12624,'Vols additionnels'!$D$7:$D$66,$F12624,'Vols additionnels'!$B$7:$B$66,$D12624)</f>
        <v>0</v>
      </c>
      <c r="H12624" s="135" t="n">
        <f aca="false">$G12624*'Analyse capacite'!$F$8</f>
        <v>0</v>
      </c>
      <c r="I12624" s="135" t="n">
        <f aca="false">$G12624*'Analyse capacite'!$C$8</f>
        <v>0</v>
      </c>
      <c r="J12624" s="135" t="n">
        <f aca="false">$G12624*'Analyse capacite'!$D$8</f>
        <v>0</v>
      </c>
      <c r="K12624" s="135" t="n">
        <f aca="false">$G12624*'Analyse capacite'!$E$8</f>
        <v>0</v>
      </c>
    </row>
    <row r="12625" customFormat="false" ht="15" hidden="false" customHeight="false" outlineLevel="0" collapsed="false">
      <c r="B12625" s="130" t="n">
        <v>2028</v>
      </c>
      <c r="C12625" s="131" t="s">
        <v>257</v>
      </c>
      <c r="D12625" s="132" t="n">
        <v>46828</v>
      </c>
      <c r="E12625" s="131" t="s">
        <v>46</v>
      </c>
      <c r="F12625" s="133" t="s">
        <v>24</v>
      </c>
      <c r="G12625" s="134" t="n">
        <f aca="false">LEN('Saisie programme'!$G$462)+SUMIFS('Vols additionnels'!$E$7:$E$66,'Vols additionnels'!$C$7:$C$66,$E12625,'Vols additionnels'!$D$7:$D$66,$F12625,'Vols additionnels'!$B$7:$B$66,$D12625)</f>
        <v>1</v>
      </c>
      <c r="H12625" s="135" t="n">
        <f aca="false">$G12625*'Analyse capacite'!$F$9</f>
        <v>174</v>
      </c>
      <c r="I12625" s="135" t="n">
        <f aca="false">$G12625*'Analyse capacite'!$C$9</f>
        <v>0</v>
      </c>
      <c r="J12625" s="135" t="n">
        <f aca="false">$G12625*'Analyse capacite'!$D$9</f>
        <v>12</v>
      </c>
      <c r="K12625" s="135" t="n">
        <f aca="false">$G12625*'Analyse capacite'!$E$9</f>
        <v>162</v>
      </c>
    </row>
    <row r="12626" customFormat="false" ht="15" hidden="false" customHeight="false" outlineLevel="0" collapsed="false">
      <c r="B12626" s="130" t="n">
        <v>2028</v>
      </c>
      <c r="C12626" s="131" t="s">
        <v>257</v>
      </c>
      <c r="D12626" s="132" t="n">
        <v>46828</v>
      </c>
      <c r="E12626" s="131" t="s">
        <v>49</v>
      </c>
      <c r="F12626" s="133" t="s">
        <v>11</v>
      </c>
      <c r="G12626" s="134" t="n">
        <f aca="false">LEN('Saisie programme'!$G$463)+SUMIFS('Vols additionnels'!$E$7:$E$66,'Vols additionnels'!$C$7:$C$66,$E12626,'Vols additionnels'!$D$7:$D$66,$F12626,'Vols additionnels'!$B$7:$B$66,$D12626)</f>
        <v>0</v>
      </c>
      <c r="H12626" s="135" t="n">
        <f aca="false">$G12626*'Analyse capacite'!$F$7</f>
        <v>0</v>
      </c>
      <c r="I12626" s="135" t="n">
        <f aca="false">$G12626*'Analyse capacite'!$C$7</f>
        <v>0</v>
      </c>
      <c r="J12626" s="135" t="n">
        <f aca="false">$G12626*'Analyse capacite'!$D$7</f>
        <v>0</v>
      </c>
      <c r="K12626" s="135" t="n">
        <f aca="false">$G12626*'Analyse capacite'!$E$7</f>
        <v>0</v>
      </c>
    </row>
    <row r="12627" customFormat="false" ht="15" hidden="false" customHeight="false" outlineLevel="0" collapsed="false">
      <c r="B12627" s="130" t="n">
        <v>2028</v>
      </c>
      <c r="C12627" s="131" t="s">
        <v>257</v>
      </c>
      <c r="D12627" s="132" t="n">
        <v>46828</v>
      </c>
      <c r="E12627" s="131" t="s">
        <v>49</v>
      </c>
      <c r="F12627" s="133" t="s">
        <v>19</v>
      </c>
      <c r="G12627" s="134" t="n">
        <f aca="false">LEN('Saisie programme'!$G$464)+SUMIFS('Vols additionnels'!$E$7:$E$66,'Vols additionnels'!$C$7:$C$66,$E12627,'Vols additionnels'!$D$7:$D$66,$F12627,'Vols additionnels'!$B$7:$B$66,$D12627)</f>
        <v>0</v>
      </c>
      <c r="H12627" s="135" t="n">
        <f aca="false">$G12627*'Analyse capacite'!$F$8</f>
        <v>0</v>
      </c>
      <c r="I12627" s="135" t="n">
        <f aca="false">$G12627*'Analyse capacite'!$C$8</f>
        <v>0</v>
      </c>
      <c r="J12627" s="135" t="n">
        <f aca="false">$G12627*'Analyse capacite'!$D$8</f>
        <v>0</v>
      </c>
      <c r="K12627" s="135" t="n">
        <f aca="false">$G12627*'Analyse capacite'!$E$8</f>
        <v>0</v>
      </c>
    </row>
    <row r="12628" customFormat="false" ht="15" hidden="false" customHeight="false" outlineLevel="0" collapsed="false">
      <c r="B12628" s="130" t="n">
        <v>2028</v>
      </c>
      <c r="C12628" s="131" t="s">
        <v>257</v>
      </c>
      <c r="D12628" s="132" t="n">
        <v>46828</v>
      </c>
      <c r="E12628" s="131" t="s">
        <v>49</v>
      </c>
      <c r="F12628" s="133" t="s">
        <v>24</v>
      </c>
      <c r="G12628" s="134" t="n">
        <f aca="false">LEN('Saisie programme'!$G$465)+SUMIFS('Vols additionnels'!$E$7:$E$66,'Vols additionnels'!$C$7:$C$66,$E12628,'Vols additionnels'!$D$7:$D$66,$F12628,'Vols additionnels'!$B$7:$B$66,$D12628)</f>
        <v>0</v>
      </c>
      <c r="H12628" s="135" t="n">
        <f aca="false">$G12628*'Analyse capacite'!$F$9</f>
        <v>0</v>
      </c>
      <c r="I12628" s="135" t="n">
        <f aca="false">$G12628*'Analyse capacite'!$C$9</f>
        <v>0</v>
      </c>
      <c r="J12628" s="135" t="n">
        <f aca="false">$G12628*'Analyse capacite'!$D$9</f>
        <v>0</v>
      </c>
      <c r="K12628" s="135" t="n">
        <f aca="false">$G12628*'Analyse capacite'!$E$9</f>
        <v>0</v>
      </c>
    </row>
    <row r="12629" customFormat="false" ht="15" hidden="false" customHeight="false" outlineLevel="0" collapsed="false">
      <c r="B12629" s="130" t="n">
        <v>2028</v>
      </c>
      <c r="C12629" s="131" t="s">
        <v>257</v>
      </c>
      <c r="D12629" s="132" t="n">
        <v>46828</v>
      </c>
      <c r="E12629" s="131" t="s">
        <v>53</v>
      </c>
      <c r="F12629" s="133" t="s">
        <v>11</v>
      </c>
      <c r="G12629" s="134" t="n">
        <f aca="false">LEN('Saisie programme'!$G$466)+SUMIFS('Vols additionnels'!$E$7:$E$66,'Vols additionnels'!$C$7:$C$66,$E12629,'Vols additionnels'!$D$7:$D$66,$F12629,'Vols additionnels'!$B$7:$B$66,$D12629)</f>
        <v>0</v>
      </c>
      <c r="H12629" s="135" t="n">
        <f aca="false">$G12629*'Analyse capacite'!$F$7</f>
        <v>0</v>
      </c>
      <c r="I12629" s="135" t="n">
        <f aca="false">$G12629*'Analyse capacite'!$C$7</f>
        <v>0</v>
      </c>
      <c r="J12629" s="135" t="n">
        <f aca="false">$G12629*'Analyse capacite'!$D$7</f>
        <v>0</v>
      </c>
      <c r="K12629" s="135" t="n">
        <f aca="false">$G12629*'Analyse capacite'!$E$7</f>
        <v>0</v>
      </c>
    </row>
    <row r="12630" customFormat="false" ht="15" hidden="false" customHeight="false" outlineLevel="0" collapsed="false">
      <c r="B12630" s="130" t="n">
        <v>2028</v>
      </c>
      <c r="C12630" s="131" t="s">
        <v>257</v>
      </c>
      <c r="D12630" s="132" t="n">
        <v>46828</v>
      </c>
      <c r="E12630" s="131" t="s">
        <v>53</v>
      </c>
      <c r="F12630" s="133" t="s">
        <v>19</v>
      </c>
      <c r="G12630" s="134" t="n">
        <f aca="false">LEN('Saisie programme'!$G$467)+SUMIFS('Vols additionnels'!$E$7:$E$66,'Vols additionnels'!$C$7:$C$66,$E12630,'Vols additionnels'!$D$7:$D$66,$F12630,'Vols additionnels'!$B$7:$B$66,$D12630)</f>
        <v>1</v>
      </c>
      <c r="H12630" s="135" t="n">
        <f aca="false">$G12630*'Analyse capacite'!$F$8</f>
        <v>262</v>
      </c>
      <c r="I12630" s="135" t="n">
        <f aca="false">$G12630*'Analyse capacite'!$C$8</f>
        <v>18</v>
      </c>
      <c r="J12630" s="135" t="n">
        <f aca="false">$G12630*'Analyse capacite'!$D$8</f>
        <v>0</v>
      </c>
      <c r="K12630" s="135" t="n">
        <f aca="false">$G12630*'Analyse capacite'!$E$8</f>
        <v>244</v>
      </c>
    </row>
    <row r="12631" customFormat="false" ht="15" hidden="false" customHeight="false" outlineLevel="0" collapsed="false">
      <c r="B12631" s="130" t="n">
        <v>2028</v>
      </c>
      <c r="C12631" s="131" t="s">
        <v>257</v>
      </c>
      <c r="D12631" s="132" t="n">
        <v>46828</v>
      </c>
      <c r="E12631" s="131" t="s">
        <v>53</v>
      </c>
      <c r="F12631" s="133" t="s">
        <v>24</v>
      </c>
      <c r="G12631" s="134" t="n">
        <f aca="false">LEN('Saisie programme'!$G$468)+SUMIFS('Vols additionnels'!$E$7:$E$66,'Vols additionnels'!$C$7:$C$66,$E12631,'Vols additionnels'!$D$7:$D$66,$F12631,'Vols additionnels'!$B$7:$B$66,$D12631)</f>
        <v>0</v>
      </c>
      <c r="H12631" s="135" t="n">
        <f aca="false">$G12631*'Analyse capacite'!$F$9</f>
        <v>0</v>
      </c>
      <c r="I12631" s="135" t="n">
        <f aca="false">$G12631*'Analyse capacite'!$C$9</f>
        <v>0</v>
      </c>
      <c r="J12631" s="135" t="n">
        <f aca="false">$G12631*'Analyse capacite'!$D$9</f>
        <v>0</v>
      </c>
      <c r="K12631" s="135" t="n">
        <f aca="false">$G12631*'Analyse capacite'!$E$9</f>
        <v>0</v>
      </c>
    </row>
    <row r="12632" customFormat="false" ht="15" hidden="false" customHeight="false" outlineLevel="0" collapsed="false">
      <c r="B12632" s="130" t="n">
        <v>2028</v>
      </c>
      <c r="C12632" s="131" t="s">
        <v>257</v>
      </c>
      <c r="D12632" s="132" t="n">
        <v>46828</v>
      </c>
      <c r="E12632" s="131" t="s">
        <v>56</v>
      </c>
      <c r="F12632" s="133" t="s">
        <v>11</v>
      </c>
      <c r="G12632" s="134" t="n">
        <f aca="false">LEN('Saisie programme'!$G$469)+SUMIFS('Vols additionnels'!$E$7:$E$66,'Vols additionnels'!$C$7:$C$66,$E12632,'Vols additionnels'!$D$7:$D$66,$F12632,'Vols additionnels'!$B$7:$B$66,$D12632)</f>
        <v>0</v>
      </c>
      <c r="H12632" s="135" t="n">
        <f aca="false">$G12632*'Analyse capacite'!$F$7</f>
        <v>0</v>
      </c>
      <c r="I12632" s="135" t="n">
        <f aca="false">$G12632*'Analyse capacite'!$C$7</f>
        <v>0</v>
      </c>
      <c r="J12632" s="135" t="n">
        <f aca="false">$G12632*'Analyse capacite'!$D$7</f>
        <v>0</v>
      </c>
      <c r="K12632" s="135" t="n">
        <f aca="false">$G12632*'Analyse capacite'!$E$7</f>
        <v>0</v>
      </c>
    </row>
    <row r="12633" customFormat="false" ht="15" hidden="false" customHeight="false" outlineLevel="0" collapsed="false">
      <c r="B12633" s="130" t="n">
        <v>2028</v>
      </c>
      <c r="C12633" s="131" t="s">
        <v>257</v>
      </c>
      <c r="D12633" s="132" t="n">
        <v>46828</v>
      </c>
      <c r="E12633" s="131" t="s">
        <v>56</v>
      </c>
      <c r="F12633" s="133" t="s">
        <v>19</v>
      </c>
      <c r="G12633" s="134" t="n">
        <f aca="false">LEN('Saisie programme'!$G$470)+SUMIFS('Vols additionnels'!$E$7:$E$66,'Vols additionnels'!$C$7:$C$66,$E12633,'Vols additionnels'!$D$7:$D$66,$F12633,'Vols additionnels'!$B$7:$B$66,$D12633)</f>
        <v>0</v>
      </c>
      <c r="H12633" s="135" t="n">
        <f aca="false">$G12633*'Analyse capacite'!$F$8</f>
        <v>0</v>
      </c>
      <c r="I12633" s="135" t="n">
        <f aca="false">$G12633*'Analyse capacite'!$C$8</f>
        <v>0</v>
      </c>
      <c r="J12633" s="135" t="n">
        <f aca="false">$G12633*'Analyse capacite'!$D$8</f>
        <v>0</v>
      </c>
      <c r="K12633" s="135" t="n">
        <f aca="false">$G12633*'Analyse capacite'!$E$8</f>
        <v>0</v>
      </c>
    </row>
    <row r="12634" customFormat="false" ht="15" hidden="false" customHeight="false" outlineLevel="0" collapsed="false">
      <c r="B12634" s="130" t="n">
        <v>2028</v>
      </c>
      <c r="C12634" s="131" t="s">
        <v>257</v>
      </c>
      <c r="D12634" s="132" t="n">
        <v>46828</v>
      </c>
      <c r="E12634" s="131" t="s">
        <v>56</v>
      </c>
      <c r="F12634" s="133" t="s">
        <v>24</v>
      </c>
      <c r="G12634" s="134" t="n">
        <f aca="false">LEN('Saisie programme'!$G$471)+SUMIFS('Vols additionnels'!$E$7:$E$66,'Vols additionnels'!$C$7:$C$66,$E12634,'Vols additionnels'!$D$7:$D$66,$F12634,'Vols additionnels'!$B$7:$B$66,$D12634)</f>
        <v>0</v>
      </c>
      <c r="H12634" s="135" t="n">
        <f aca="false">$G12634*'Analyse capacite'!$F$9</f>
        <v>0</v>
      </c>
      <c r="I12634" s="135" t="n">
        <f aca="false">$G12634*'Analyse capacite'!$C$9</f>
        <v>0</v>
      </c>
      <c r="J12634" s="135" t="n">
        <f aca="false">$G12634*'Analyse capacite'!$D$9</f>
        <v>0</v>
      </c>
      <c r="K12634" s="135" t="n">
        <f aca="false">$G12634*'Analyse capacite'!$E$9</f>
        <v>0</v>
      </c>
    </row>
    <row r="12635" customFormat="false" ht="15" hidden="false" customHeight="false" outlineLevel="0" collapsed="false">
      <c r="B12635" s="130" t="n">
        <v>2028</v>
      </c>
      <c r="C12635" s="131" t="s">
        <v>257</v>
      </c>
      <c r="D12635" s="132" t="n">
        <v>46828</v>
      </c>
      <c r="E12635" s="131" t="s">
        <v>59</v>
      </c>
      <c r="F12635" s="133" t="s">
        <v>11</v>
      </c>
      <c r="G12635" s="134" t="n">
        <f aca="false">LEN('Saisie programme'!$G$472)+SUMIFS('Vols additionnels'!$E$7:$E$66,'Vols additionnels'!$C$7:$C$66,$E12635,'Vols additionnels'!$D$7:$D$66,$F12635,'Vols additionnels'!$B$7:$B$66,$D12635)</f>
        <v>0</v>
      </c>
      <c r="H12635" s="135" t="n">
        <f aca="false">$G12635*'Analyse capacite'!$F$7</f>
        <v>0</v>
      </c>
      <c r="I12635" s="135" t="n">
        <f aca="false">$G12635*'Analyse capacite'!$C$7</f>
        <v>0</v>
      </c>
      <c r="J12635" s="135" t="n">
        <f aca="false">$G12635*'Analyse capacite'!$D$7</f>
        <v>0</v>
      </c>
      <c r="K12635" s="135" t="n">
        <f aca="false">$G12635*'Analyse capacite'!$E$7</f>
        <v>0</v>
      </c>
    </row>
    <row r="12636" customFormat="false" ht="15" hidden="false" customHeight="false" outlineLevel="0" collapsed="false">
      <c r="B12636" s="130" t="n">
        <v>2028</v>
      </c>
      <c r="C12636" s="131" t="s">
        <v>257</v>
      </c>
      <c r="D12636" s="132" t="n">
        <v>46828</v>
      </c>
      <c r="E12636" s="131" t="s">
        <v>59</v>
      </c>
      <c r="F12636" s="133" t="s">
        <v>19</v>
      </c>
      <c r="G12636" s="134" t="n">
        <f aca="false">LEN('Saisie programme'!$G$473)+SUMIFS('Vols additionnels'!$E$7:$E$66,'Vols additionnels'!$C$7:$C$66,$E12636,'Vols additionnels'!$D$7:$D$66,$F12636,'Vols additionnels'!$B$7:$B$66,$D12636)</f>
        <v>0</v>
      </c>
      <c r="H12636" s="135" t="n">
        <f aca="false">$G12636*'Analyse capacite'!$F$8</f>
        <v>0</v>
      </c>
      <c r="I12636" s="135" t="n">
        <f aca="false">$G12636*'Analyse capacite'!$C$8</f>
        <v>0</v>
      </c>
      <c r="J12636" s="135" t="n">
        <f aca="false">$G12636*'Analyse capacite'!$D$8</f>
        <v>0</v>
      </c>
      <c r="K12636" s="135" t="n">
        <f aca="false">$G12636*'Analyse capacite'!$E$8</f>
        <v>0</v>
      </c>
    </row>
    <row r="12637" customFormat="false" ht="15" hidden="false" customHeight="false" outlineLevel="0" collapsed="false">
      <c r="B12637" s="130" t="n">
        <v>2028</v>
      </c>
      <c r="C12637" s="131" t="s">
        <v>257</v>
      </c>
      <c r="D12637" s="132" t="n">
        <v>46828</v>
      </c>
      <c r="E12637" s="131" t="s">
        <v>59</v>
      </c>
      <c r="F12637" s="133" t="s">
        <v>24</v>
      </c>
      <c r="G12637" s="134" t="n">
        <f aca="false">LEN('Saisie programme'!$G$474)+SUMIFS('Vols additionnels'!$E$7:$E$66,'Vols additionnels'!$C$7:$C$66,$E12637,'Vols additionnels'!$D$7:$D$66,$F12637,'Vols additionnels'!$B$7:$B$66,$D12637)</f>
        <v>2</v>
      </c>
      <c r="H12637" s="135" t="n">
        <f aca="false">$G12637*'Analyse capacite'!$F$9</f>
        <v>348</v>
      </c>
      <c r="I12637" s="135" t="n">
        <f aca="false">$G12637*'Analyse capacite'!$C$9</f>
        <v>0</v>
      </c>
      <c r="J12637" s="135" t="n">
        <f aca="false">$G12637*'Analyse capacite'!$D$9</f>
        <v>24</v>
      </c>
      <c r="K12637" s="135" t="n">
        <f aca="false">$G12637*'Analyse capacite'!$E$9</f>
        <v>324</v>
      </c>
    </row>
    <row r="12638" customFormat="false" ht="15" hidden="false" customHeight="false" outlineLevel="0" collapsed="false">
      <c r="B12638" s="130" t="n">
        <v>2028</v>
      </c>
      <c r="C12638" s="131" t="s">
        <v>257</v>
      </c>
      <c r="D12638" s="132" t="n">
        <v>46828</v>
      </c>
      <c r="E12638" s="131" t="s">
        <v>62</v>
      </c>
      <c r="F12638" s="133" t="s">
        <v>11</v>
      </c>
      <c r="G12638" s="134" t="n">
        <f aca="false">LEN('Saisie programme'!$G$475)+SUMIFS('Vols additionnels'!$E$7:$E$66,'Vols additionnels'!$C$7:$C$66,$E12638,'Vols additionnels'!$D$7:$D$66,$F12638,'Vols additionnels'!$B$7:$B$66,$D12638)</f>
        <v>0</v>
      </c>
      <c r="H12638" s="135" t="n">
        <f aca="false">$G12638*'Analyse capacite'!$F$7</f>
        <v>0</v>
      </c>
      <c r="I12638" s="135" t="n">
        <f aca="false">$G12638*'Analyse capacite'!$C$7</f>
        <v>0</v>
      </c>
      <c r="J12638" s="135" t="n">
        <f aca="false">$G12638*'Analyse capacite'!$D$7</f>
        <v>0</v>
      </c>
      <c r="K12638" s="135" t="n">
        <f aca="false">$G12638*'Analyse capacite'!$E$7</f>
        <v>0</v>
      </c>
    </row>
    <row r="12639" customFormat="false" ht="15" hidden="false" customHeight="false" outlineLevel="0" collapsed="false">
      <c r="B12639" s="130" t="n">
        <v>2028</v>
      </c>
      <c r="C12639" s="131" t="s">
        <v>257</v>
      </c>
      <c r="D12639" s="132" t="n">
        <v>46828</v>
      </c>
      <c r="E12639" s="131" t="s">
        <v>62</v>
      </c>
      <c r="F12639" s="133" t="s">
        <v>19</v>
      </c>
      <c r="G12639" s="134" t="n">
        <f aca="false">LEN('Saisie programme'!$G$476)+SUMIFS('Vols additionnels'!$E$7:$E$66,'Vols additionnels'!$C$7:$C$66,$E12639,'Vols additionnels'!$D$7:$D$66,$F12639,'Vols additionnels'!$B$7:$B$66,$D12639)</f>
        <v>0</v>
      </c>
      <c r="H12639" s="135" t="n">
        <f aca="false">$G12639*'Analyse capacite'!$F$8</f>
        <v>0</v>
      </c>
      <c r="I12639" s="135" t="n">
        <f aca="false">$G12639*'Analyse capacite'!$C$8</f>
        <v>0</v>
      </c>
      <c r="J12639" s="135" t="n">
        <f aca="false">$G12639*'Analyse capacite'!$D$8</f>
        <v>0</v>
      </c>
      <c r="K12639" s="135" t="n">
        <f aca="false">$G12639*'Analyse capacite'!$E$8</f>
        <v>0</v>
      </c>
    </row>
    <row r="12640" customFormat="false" ht="15" hidden="false" customHeight="false" outlineLevel="0" collapsed="false">
      <c r="B12640" s="130" t="n">
        <v>2028</v>
      </c>
      <c r="C12640" s="131" t="s">
        <v>257</v>
      </c>
      <c r="D12640" s="132" t="n">
        <v>46828</v>
      </c>
      <c r="E12640" s="131" t="s">
        <v>62</v>
      </c>
      <c r="F12640" s="133" t="s">
        <v>24</v>
      </c>
      <c r="G12640" s="134" t="n">
        <f aca="false">LEN('Saisie programme'!$G$477)+SUMIFS('Vols additionnels'!$E$7:$E$66,'Vols additionnels'!$C$7:$C$66,$E12640,'Vols additionnels'!$D$7:$D$66,$F12640,'Vols additionnels'!$B$7:$B$66,$D12640)</f>
        <v>0</v>
      </c>
      <c r="H12640" s="135" t="n">
        <f aca="false">$G12640*'Analyse capacite'!$F$9</f>
        <v>0</v>
      </c>
      <c r="I12640" s="135" t="n">
        <f aca="false">$G12640*'Analyse capacite'!$C$9</f>
        <v>0</v>
      </c>
      <c r="J12640" s="135" t="n">
        <f aca="false">$G12640*'Analyse capacite'!$D$9</f>
        <v>0</v>
      </c>
      <c r="K12640" s="135" t="n">
        <f aca="false">$G12640*'Analyse capacite'!$E$9</f>
        <v>0</v>
      </c>
    </row>
    <row r="12641" customFormat="false" ht="15" hidden="false" customHeight="false" outlineLevel="0" collapsed="false">
      <c r="B12641" s="130" t="n">
        <v>2028</v>
      </c>
      <c r="C12641" s="131" t="s">
        <v>257</v>
      </c>
      <c r="D12641" s="132" t="n">
        <v>46829</v>
      </c>
      <c r="E12641" s="131" t="s">
        <v>12</v>
      </c>
      <c r="F12641" s="133" t="s">
        <v>11</v>
      </c>
      <c r="G12641" s="134" t="n">
        <f aca="false">LEN('Saisie programme'!$H$442)+SUMIFS('Vols additionnels'!$E$7:$E$66,'Vols additionnels'!$C$7:$C$66,$E12641,'Vols additionnels'!$D$7:$D$66,$F12641,'Vols additionnels'!$B$7:$B$66,$D12641)</f>
        <v>1</v>
      </c>
      <c r="H12641" s="135" t="n">
        <f aca="false">$G12641*'Analyse capacite'!$F$7</f>
        <v>438</v>
      </c>
      <c r="I12641" s="135" t="n">
        <f aca="false">$G12641*'Analyse capacite'!$C$7</f>
        <v>14</v>
      </c>
      <c r="J12641" s="135" t="n">
        <f aca="false">$G12641*'Analyse capacite'!$D$7</f>
        <v>40</v>
      </c>
      <c r="K12641" s="135" t="n">
        <f aca="false">$G12641*'Analyse capacite'!$E$7</f>
        <v>384</v>
      </c>
    </row>
    <row r="12642" customFormat="false" ht="15" hidden="false" customHeight="false" outlineLevel="0" collapsed="false">
      <c r="B12642" s="130" t="n">
        <v>2028</v>
      </c>
      <c r="C12642" s="131" t="s">
        <v>257</v>
      </c>
      <c r="D12642" s="132" t="n">
        <v>46829</v>
      </c>
      <c r="E12642" s="131" t="s">
        <v>12</v>
      </c>
      <c r="F12642" s="133" t="s">
        <v>19</v>
      </c>
      <c r="G12642" s="134" t="n">
        <f aca="false">LEN('Saisie programme'!$H$443)+SUMIFS('Vols additionnels'!$E$7:$E$66,'Vols additionnels'!$C$7:$C$66,$E12642,'Vols additionnels'!$D$7:$D$66,$F12642,'Vols additionnels'!$B$7:$B$66,$D12642)</f>
        <v>1</v>
      </c>
      <c r="H12642" s="135" t="n">
        <f aca="false">$G12642*'Analyse capacite'!$F$8</f>
        <v>262</v>
      </c>
      <c r="I12642" s="135" t="n">
        <f aca="false">$G12642*'Analyse capacite'!$C$8</f>
        <v>18</v>
      </c>
      <c r="J12642" s="135" t="n">
        <f aca="false">$G12642*'Analyse capacite'!$D$8</f>
        <v>0</v>
      </c>
      <c r="K12642" s="135" t="n">
        <f aca="false">$G12642*'Analyse capacite'!$E$8</f>
        <v>244</v>
      </c>
    </row>
    <row r="12643" customFormat="false" ht="15" hidden="false" customHeight="false" outlineLevel="0" collapsed="false">
      <c r="B12643" s="130" t="n">
        <v>2028</v>
      </c>
      <c r="C12643" s="131" t="s">
        <v>257</v>
      </c>
      <c r="D12643" s="132" t="n">
        <v>46829</v>
      </c>
      <c r="E12643" s="131" t="s">
        <v>12</v>
      </c>
      <c r="F12643" s="133" t="s">
        <v>24</v>
      </c>
      <c r="G12643" s="134" t="n">
        <f aca="false">LEN('Saisie programme'!$H$444)+SUMIFS('Vols additionnels'!$E$7:$E$66,'Vols additionnels'!$C$7:$C$66,$E12643,'Vols additionnels'!$D$7:$D$66,$F12643,'Vols additionnels'!$B$7:$B$66,$D12643)</f>
        <v>0</v>
      </c>
      <c r="H12643" s="135" t="n">
        <f aca="false">$G12643*'Analyse capacite'!$F$9</f>
        <v>0</v>
      </c>
      <c r="I12643" s="135" t="n">
        <f aca="false">$G12643*'Analyse capacite'!$C$9</f>
        <v>0</v>
      </c>
      <c r="J12643" s="135" t="n">
        <f aca="false">$G12643*'Analyse capacite'!$D$9</f>
        <v>0</v>
      </c>
      <c r="K12643" s="135" t="n">
        <f aca="false">$G12643*'Analyse capacite'!$E$9</f>
        <v>0</v>
      </c>
    </row>
    <row r="12644" customFormat="false" ht="15" hidden="false" customHeight="false" outlineLevel="0" collapsed="false">
      <c r="B12644" s="130" t="n">
        <v>2028</v>
      </c>
      <c r="C12644" s="131" t="s">
        <v>257</v>
      </c>
      <c r="D12644" s="132" t="n">
        <v>46829</v>
      </c>
      <c r="E12644" s="131" t="s">
        <v>20</v>
      </c>
      <c r="F12644" s="133" t="s">
        <v>11</v>
      </c>
      <c r="G12644" s="134" t="n">
        <f aca="false">LEN('Saisie programme'!$H$445)+SUMIFS('Vols additionnels'!$E$7:$E$66,'Vols additionnels'!$C$7:$C$66,$E12644,'Vols additionnels'!$D$7:$D$66,$F12644,'Vols additionnels'!$B$7:$B$66,$D12644)</f>
        <v>0</v>
      </c>
      <c r="H12644" s="135" t="n">
        <f aca="false">$G12644*'Analyse capacite'!$F$7</f>
        <v>0</v>
      </c>
      <c r="I12644" s="135" t="n">
        <f aca="false">$G12644*'Analyse capacite'!$C$7</f>
        <v>0</v>
      </c>
      <c r="J12644" s="135" t="n">
        <f aca="false">$G12644*'Analyse capacite'!$D$7</f>
        <v>0</v>
      </c>
      <c r="K12644" s="135" t="n">
        <f aca="false">$G12644*'Analyse capacite'!$E$7</f>
        <v>0</v>
      </c>
    </row>
    <row r="12645" customFormat="false" ht="15" hidden="false" customHeight="false" outlineLevel="0" collapsed="false">
      <c r="B12645" s="130" t="n">
        <v>2028</v>
      </c>
      <c r="C12645" s="131" t="s">
        <v>257</v>
      </c>
      <c r="D12645" s="132" t="n">
        <v>46829</v>
      </c>
      <c r="E12645" s="131" t="s">
        <v>20</v>
      </c>
      <c r="F12645" s="133" t="s">
        <v>19</v>
      </c>
      <c r="G12645" s="134" t="n">
        <f aca="false">LEN('Saisie programme'!$H$446)+SUMIFS('Vols additionnels'!$E$7:$E$66,'Vols additionnels'!$C$7:$C$66,$E12645,'Vols additionnels'!$D$7:$D$66,$F12645,'Vols additionnels'!$B$7:$B$66,$D12645)</f>
        <v>1</v>
      </c>
      <c r="H12645" s="135" t="n">
        <f aca="false">$G12645*'Analyse capacite'!$F$8</f>
        <v>262</v>
      </c>
      <c r="I12645" s="135" t="n">
        <f aca="false">$G12645*'Analyse capacite'!$C$8</f>
        <v>18</v>
      </c>
      <c r="J12645" s="135" t="n">
        <f aca="false">$G12645*'Analyse capacite'!$D$8</f>
        <v>0</v>
      </c>
      <c r="K12645" s="135" t="n">
        <f aca="false">$G12645*'Analyse capacite'!$E$8</f>
        <v>244</v>
      </c>
    </row>
    <row r="12646" customFormat="false" ht="15" hidden="false" customHeight="false" outlineLevel="0" collapsed="false">
      <c r="B12646" s="130" t="n">
        <v>2028</v>
      </c>
      <c r="C12646" s="131" t="s">
        <v>257</v>
      </c>
      <c r="D12646" s="132" t="n">
        <v>46829</v>
      </c>
      <c r="E12646" s="131" t="s">
        <v>20</v>
      </c>
      <c r="F12646" s="133" t="s">
        <v>24</v>
      </c>
      <c r="G12646" s="134" t="n">
        <f aca="false">LEN('Saisie programme'!$H$447)+SUMIFS('Vols additionnels'!$E$7:$E$66,'Vols additionnels'!$C$7:$C$66,$E12646,'Vols additionnels'!$D$7:$D$66,$F12646,'Vols additionnels'!$B$7:$B$66,$D12646)</f>
        <v>0</v>
      </c>
      <c r="H12646" s="135" t="n">
        <f aca="false">$G12646*'Analyse capacite'!$F$9</f>
        <v>0</v>
      </c>
      <c r="I12646" s="135" t="n">
        <f aca="false">$G12646*'Analyse capacite'!$C$9</f>
        <v>0</v>
      </c>
      <c r="J12646" s="135" t="n">
        <f aca="false">$G12646*'Analyse capacite'!$D$9</f>
        <v>0</v>
      </c>
      <c r="K12646" s="135" t="n">
        <f aca="false">$G12646*'Analyse capacite'!$E$9</f>
        <v>0</v>
      </c>
    </row>
    <row r="12647" customFormat="false" ht="15" hidden="false" customHeight="false" outlineLevel="0" collapsed="false">
      <c r="B12647" s="130" t="n">
        <v>2028</v>
      </c>
      <c r="C12647" s="131" t="s">
        <v>257</v>
      </c>
      <c r="D12647" s="132" t="n">
        <v>46829</v>
      </c>
      <c r="E12647" s="131" t="s">
        <v>25</v>
      </c>
      <c r="F12647" s="133" t="s">
        <v>11</v>
      </c>
      <c r="G12647" s="134" t="n">
        <f aca="false">LEN('Saisie programme'!$H$448)+SUMIFS('Vols additionnels'!$E$7:$E$66,'Vols additionnels'!$C$7:$C$66,$E12647,'Vols additionnels'!$D$7:$D$66,$F12647,'Vols additionnels'!$B$7:$B$66,$D12647)</f>
        <v>0</v>
      </c>
      <c r="H12647" s="135" t="n">
        <f aca="false">$G12647*'Analyse capacite'!$F$7</f>
        <v>0</v>
      </c>
      <c r="I12647" s="135" t="n">
        <f aca="false">$G12647*'Analyse capacite'!$C$7</f>
        <v>0</v>
      </c>
      <c r="J12647" s="135" t="n">
        <f aca="false">$G12647*'Analyse capacite'!$D$7</f>
        <v>0</v>
      </c>
      <c r="K12647" s="135" t="n">
        <f aca="false">$G12647*'Analyse capacite'!$E$7</f>
        <v>0</v>
      </c>
    </row>
    <row r="12648" customFormat="false" ht="15" hidden="false" customHeight="false" outlineLevel="0" collapsed="false">
      <c r="B12648" s="130" t="n">
        <v>2028</v>
      </c>
      <c r="C12648" s="131" t="s">
        <v>257</v>
      </c>
      <c r="D12648" s="132" t="n">
        <v>46829</v>
      </c>
      <c r="E12648" s="131" t="s">
        <v>25</v>
      </c>
      <c r="F12648" s="133" t="s">
        <v>19</v>
      </c>
      <c r="G12648" s="134" t="n">
        <f aca="false">LEN('Saisie programme'!$H$449)+SUMIFS('Vols additionnels'!$E$7:$E$66,'Vols additionnels'!$C$7:$C$66,$E12648,'Vols additionnels'!$D$7:$D$66,$F12648,'Vols additionnels'!$B$7:$B$66,$D12648)</f>
        <v>0</v>
      </c>
      <c r="H12648" s="135" t="n">
        <f aca="false">$G12648*'Analyse capacite'!$F$8</f>
        <v>0</v>
      </c>
      <c r="I12648" s="135" t="n">
        <f aca="false">$G12648*'Analyse capacite'!$C$8</f>
        <v>0</v>
      </c>
      <c r="J12648" s="135" t="n">
        <f aca="false">$G12648*'Analyse capacite'!$D$8</f>
        <v>0</v>
      </c>
      <c r="K12648" s="135" t="n">
        <f aca="false">$G12648*'Analyse capacite'!$E$8</f>
        <v>0</v>
      </c>
    </row>
    <row r="12649" customFormat="false" ht="15" hidden="false" customHeight="false" outlineLevel="0" collapsed="false">
      <c r="B12649" s="130" t="n">
        <v>2028</v>
      </c>
      <c r="C12649" s="131" t="s">
        <v>257</v>
      </c>
      <c r="D12649" s="132" t="n">
        <v>46829</v>
      </c>
      <c r="E12649" s="131" t="s">
        <v>25</v>
      </c>
      <c r="F12649" s="133" t="s">
        <v>24</v>
      </c>
      <c r="G12649" s="134" t="n">
        <f aca="false">LEN('Saisie programme'!$H$450)+SUMIFS('Vols additionnels'!$E$7:$E$66,'Vols additionnels'!$C$7:$C$66,$E12649,'Vols additionnels'!$D$7:$D$66,$F12649,'Vols additionnels'!$B$7:$B$66,$D12649)</f>
        <v>0</v>
      </c>
      <c r="H12649" s="135" t="n">
        <f aca="false">$G12649*'Analyse capacite'!$F$9</f>
        <v>0</v>
      </c>
      <c r="I12649" s="135" t="n">
        <f aca="false">$G12649*'Analyse capacite'!$C$9</f>
        <v>0</v>
      </c>
      <c r="J12649" s="135" t="n">
        <f aca="false">$G12649*'Analyse capacite'!$D$9</f>
        <v>0</v>
      </c>
      <c r="K12649" s="135" t="n">
        <f aca="false">$G12649*'Analyse capacite'!$E$9</f>
        <v>0</v>
      </c>
    </row>
    <row r="12650" customFormat="false" ht="15" hidden="false" customHeight="false" outlineLevel="0" collapsed="false">
      <c r="B12650" s="130" t="n">
        <v>2028</v>
      </c>
      <c r="C12650" s="131" t="s">
        <v>257</v>
      </c>
      <c r="D12650" s="132" t="n">
        <v>46829</v>
      </c>
      <c r="E12650" s="131" t="s">
        <v>36</v>
      </c>
      <c r="F12650" s="133" t="s">
        <v>11</v>
      </c>
      <c r="G12650" s="134" t="n">
        <f aca="false">LEN('Saisie programme'!$H$451)+SUMIFS('Vols additionnels'!$E$7:$E$66,'Vols additionnels'!$C$7:$C$66,$E12650,'Vols additionnels'!$D$7:$D$66,$F12650,'Vols additionnels'!$B$7:$B$66,$D12650)</f>
        <v>0</v>
      </c>
      <c r="H12650" s="135" t="n">
        <f aca="false">$G12650*'Analyse capacite'!$F$7</f>
        <v>0</v>
      </c>
      <c r="I12650" s="135" t="n">
        <f aca="false">$G12650*'Analyse capacite'!$C$7</f>
        <v>0</v>
      </c>
      <c r="J12650" s="135" t="n">
        <f aca="false">$G12650*'Analyse capacite'!$D$7</f>
        <v>0</v>
      </c>
      <c r="K12650" s="135" t="n">
        <f aca="false">$G12650*'Analyse capacite'!$E$7</f>
        <v>0</v>
      </c>
    </row>
    <row r="12651" customFormat="false" ht="15" hidden="false" customHeight="false" outlineLevel="0" collapsed="false">
      <c r="B12651" s="130" t="n">
        <v>2028</v>
      </c>
      <c r="C12651" s="131" t="s">
        <v>257</v>
      </c>
      <c r="D12651" s="132" t="n">
        <v>46829</v>
      </c>
      <c r="E12651" s="131" t="s">
        <v>36</v>
      </c>
      <c r="F12651" s="133" t="s">
        <v>19</v>
      </c>
      <c r="G12651" s="134" t="n">
        <f aca="false">LEN('Saisie programme'!$H$452)+SUMIFS('Vols additionnels'!$E$7:$E$66,'Vols additionnels'!$C$7:$C$66,$E12651,'Vols additionnels'!$D$7:$D$66,$F12651,'Vols additionnels'!$B$7:$B$66,$D12651)</f>
        <v>0</v>
      </c>
      <c r="H12651" s="135" t="n">
        <f aca="false">$G12651*'Analyse capacite'!$F$8</f>
        <v>0</v>
      </c>
      <c r="I12651" s="135" t="n">
        <f aca="false">$G12651*'Analyse capacite'!$C$8</f>
        <v>0</v>
      </c>
      <c r="J12651" s="135" t="n">
        <f aca="false">$G12651*'Analyse capacite'!$D$8</f>
        <v>0</v>
      </c>
      <c r="K12651" s="135" t="n">
        <f aca="false">$G12651*'Analyse capacite'!$E$8</f>
        <v>0</v>
      </c>
    </row>
    <row r="12652" customFormat="false" ht="15" hidden="false" customHeight="false" outlineLevel="0" collapsed="false">
      <c r="B12652" s="130" t="n">
        <v>2028</v>
      </c>
      <c r="C12652" s="131" t="s">
        <v>257</v>
      </c>
      <c r="D12652" s="132" t="n">
        <v>46829</v>
      </c>
      <c r="E12652" s="131" t="s">
        <v>36</v>
      </c>
      <c r="F12652" s="133" t="s">
        <v>24</v>
      </c>
      <c r="G12652" s="134" t="n">
        <f aca="false">LEN('Saisie programme'!$H$453)+SUMIFS('Vols additionnels'!$E$7:$E$66,'Vols additionnels'!$C$7:$C$66,$E12652,'Vols additionnels'!$D$7:$D$66,$F12652,'Vols additionnels'!$B$7:$B$66,$D12652)</f>
        <v>1</v>
      </c>
      <c r="H12652" s="135" t="n">
        <f aca="false">$G12652*'Analyse capacite'!$F$9</f>
        <v>174</v>
      </c>
      <c r="I12652" s="135" t="n">
        <f aca="false">$G12652*'Analyse capacite'!$C$9</f>
        <v>0</v>
      </c>
      <c r="J12652" s="135" t="n">
        <f aca="false">$G12652*'Analyse capacite'!$D$9</f>
        <v>12</v>
      </c>
      <c r="K12652" s="135" t="n">
        <f aca="false">$G12652*'Analyse capacite'!$E$9</f>
        <v>162</v>
      </c>
    </row>
    <row r="12653" customFormat="false" ht="15" hidden="false" customHeight="false" outlineLevel="0" collapsed="false">
      <c r="B12653" s="130" t="n">
        <v>2028</v>
      </c>
      <c r="C12653" s="131" t="s">
        <v>257</v>
      </c>
      <c r="D12653" s="132" t="n">
        <v>46829</v>
      </c>
      <c r="E12653" s="131" t="s">
        <v>40</v>
      </c>
      <c r="F12653" s="133" t="s">
        <v>11</v>
      </c>
      <c r="G12653" s="134" t="n">
        <f aca="false">LEN('Saisie programme'!$H$454)+SUMIFS('Vols additionnels'!$E$7:$E$66,'Vols additionnels'!$C$7:$C$66,$E12653,'Vols additionnels'!$D$7:$D$66,$F12653,'Vols additionnels'!$B$7:$B$66,$D12653)</f>
        <v>0</v>
      </c>
      <c r="H12653" s="135" t="n">
        <f aca="false">$G12653*'Analyse capacite'!$F$7</f>
        <v>0</v>
      </c>
      <c r="I12653" s="135" t="n">
        <f aca="false">$G12653*'Analyse capacite'!$C$7</f>
        <v>0</v>
      </c>
      <c r="J12653" s="135" t="n">
        <f aca="false">$G12653*'Analyse capacite'!$D$7</f>
        <v>0</v>
      </c>
      <c r="K12653" s="135" t="n">
        <f aca="false">$G12653*'Analyse capacite'!$E$7</f>
        <v>0</v>
      </c>
    </row>
    <row r="12654" customFormat="false" ht="15" hidden="false" customHeight="false" outlineLevel="0" collapsed="false">
      <c r="B12654" s="130" t="n">
        <v>2028</v>
      </c>
      <c r="C12654" s="131" t="s">
        <v>257</v>
      </c>
      <c r="D12654" s="132" t="n">
        <v>46829</v>
      </c>
      <c r="E12654" s="131" t="s">
        <v>40</v>
      </c>
      <c r="F12654" s="133" t="s">
        <v>19</v>
      </c>
      <c r="G12654" s="134" t="n">
        <f aca="false">LEN('Saisie programme'!$H$455)+SUMIFS('Vols additionnels'!$E$7:$E$66,'Vols additionnels'!$C$7:$C$66,$E12654,'Vols additionnels'!$D$7:$D$66,$F12654,'Vols additionnels'!$B$7:$B$66,$D12654)</f>
        <v>0</v>
      </c>
      <c r="H12654" s="135" t="n">
        <f aca="false">$G12654*'Analyse capacite'!$F$8</f>
        <v>0</v>
      </c>
      <c r="I12654" s="135" t="n">
        <f aca="false">$G12654*'Analyse capacite'!$C$8</f>
        <v>0</v>
      </c>
      <c r="J12654" s="135" t="n">
        <f aca="false">$G12654*'Analyse capacite'!$D$8</f>
        <v>0</v>
      </c>
      <c r="K12654" s="135" t="n">
        <f aca="false">$G12654*'Analyse capacite'!$E$8</f>
        <v>0</v>
      </c>
    </row>
    <row r="12655" customFormat="false" ht="15" hidden="false" customHeight="false" outlineLevel="0" collapsed="false">
      <c r="B12655" s="130" t="n">
        <v>2028</v>
      </c>
      <c r="C12655" s="131" t="s">
        <v>257</v>
      </c>
      <c r="D12655" s="132" t="n">
        <v>46829</v>
      </c>
      <c r="E12655" s="131" t="s">
        <v>40</v>
      </c>
      <c r="F12655" s="133" t="s">
        <v>24</v>
      </c>
      <c r="G12655" s="134" t="n">
        <f aca="false">LEN('Saisie programme'!$H$456)+SUMIFS('Vols additionnels'!$E$7:$E$66,'Vols additionnels'!$C$7:$C$66,$E12655,'Vols additionnels'!$D$7:$D$66,$F12655,'Vols additionnels'!$B$7:$B$66,$D12655)</f>
        <v>1</v>
      </c>
      <c r="H12655" s="135" t="n">
        <f aca="false">$G12655*'Analyse capacite'!$F$9</f>
        <v>174</v>
      </c>
      <c r="I12655" s="135" t="n">
        <f aca="false">$G12655*'Analyse capacite'!$C$9</f>
        <v>0</v>
      </c>
      <c r="J12655" s="135" t="n">
        <f aca="false">$G12655*'Analyse capacite'!$D$9</f>
        <v>12</v>
      </c>
      <c r="K12655" s="135" t="n">
        <f aca="false">$G12655*'Analyse capacite'!$E$9</f>
        <v>162</v>
      </c>
    </row>
    <row r="12656" customFormat="false" ht="15" hidden="false" customHeight="false" outlineLevel="0" collapsed="false">
      <c r="B12656" s="130" t="n">
        <v>2028</v>
      </c>
      <c r="C12656" s="131" t="s">
        <v>257</v>
      </c>
      <c r="D12656" s="132" t="n">
        <v>46829</v>
      </c>
      <c r="E12656" s="131" t="s">
        <v>14</v>
      </c>
      <c r="F12656" s="133" t="s">
        <v>11</v>
      </c>
      <c r="G12656" s="134" t="n">
        <f aca="false">LEN('Saisie programme'!$H$457)+SUMIFS('Vols additionnels'!$E$7:$E$66,'Vols additionnels'!$C$7:$C$66,$E12656,'Vols additionnels'!$D$7:$D$66,$F12656,'Vols additionnels'!$B$7:$B$66,$D12656)</f>
        <v>0</v>
      </c>
      <c r="H12656" s="135" t="n">
        <f aca="false">$G12656*'Analyse capacite'!$F$7</f>
        <v>0</v>
      </c>
      <c r="I12656" s="135" t="n">
        <f aca="false">$G12656*'Analyse capacite'!$C$7</f>
        <v>0</v>
      </c>
      <c r="J12656" s="135" t="n">
        <f aca="false">$G12656*'Analyse capacite'!$D$7</f>
        <v>0</v>
      </c>
      <c r="K12656" s="135" t="n">
        <f aca="false">$G12656*'Analyse capacite'!$E$7</f>
        <v>0</v>
      </c>
    </row>
    <row r="12657" customFormat="false" ht="15" hidden="false" customHeight="false" outlineLevel="0" collapsed="false">
      <c r="B12657" s="130" t="n">
        <v>2028</v>
      </c>
      <c r="C12657" s="131" t="s">
        <v>257</v>
      </c>
      <c r="D12657" s="132" t="n">
        <v>46829</v>
      </c>
      <c r="E12657" s="131" t="s">
        <v>14</v>
      </c>
      <c r="F12657" s="133" t="s">
        <v>19</v>
      </c>
      <c r="G12657" s="134" t="n">
        <f aca="false">LEN('Saisie programme'!$H$458)+SUMIFS('Vols additionnels'!$E$7:$E$66,'Vols additionnels'!$C$7:$C$66,$E12657,'Vols additionnels'!$D$7:$D$66,$F12657,'Vols additionnels'!$B$7:$B$66,$D12657)</f>
        <v>0</v>
      </c>
      <c r="H12657" s="135" t="n">
        <f aca="false">$G12657*'Analyse capacite'!$F$8</f>
        <v>0</v>
      </c>
      <c r="I12657" s="135" t="n">
        <f aca="false">$G12657*'Analyse capacite'!$C$8</f>
        <v>0</v>
      </c>
      <c r="J12657" s="135" t="n">
        <f aca="false">$G12657*'Analyse capacite'!$D$8</f>
        <v>0</v>
      </c>
      <c r="K12657" s="135" t="n">
        <f aca="false">$G12657*'Analyse capacite'!$E$8</f>
        <v>0</v>
      </c>
    </row>
    <row r="12658" customFormat="false" ht="15" hidden="false" customHeight="false" outlineLevel="0" collapsed="false">
      <c r="B12658" s="130" t="n">
        <v>2028</v>
      </c>
      <c r="C12658" s="131" t="s">
        <v>257</v>
      </c>
      <c r="D12658" s="132" t="n">
        <v>46829</v>
      </c>
      <c r="E12658" s="131" t="s">
        <v>14</v>
      </c>
      <c r="F12658" s="133" t="s">
        <v>24</v>
      </c>
      <c r="G12658" s="134" t="n">
        <f aca="false">LEN('Saisie programme'!$H$459)+SUMIFS('Vols additionnels'!$E$7:$E$66,'Vols additionnels'!$C$7:$C$66,$E12658,'Vols additionnels'!$D$7:$D$66,$F12658,'Vols additionnels'!$B$7:$B$66,$D12658)</f>
        <v>0</v>
      </c>
      <c r="H12658" s="135" t="n">
        <f aca="false">$G12658*'Analyse capacite'!$F$9</f>
        <v>0</v>
      </c>
      <c r="I12658" s="135" t="n">
        <f aca="false">$G12658*'Analyse capacite'!$C$9</f>
        <v>0</v>
      </c>
      <c r="J12658" s="135" t="n">
        <f aca="false">$G12658*'Analyse capacite'!$D$9</f>
        <v>0</v>
      </c>
      <c r="K12658" s="135" t="n">
        <f aca="false">$G12658*'Analyse capacite'!$E$9</f>
        <v>0</v>
      </c>
    </row>
    <row r="12659" customFormat="false" ht="15" hidden="false" customHeight="false" outlineLevel="0" collapsed="false">
      <c r="B12659" s="130" t="n">
        <v>2028</v>
      </c>
      <c r="C12659" s="131" t="s">
        <v>257</v>
      </c>
      <c r="D12659" s="132" t="n">
        <v>46829</v>
      </c>
      <c r="E12659" s="131" t="s">
        <v>46</v>
      </c>
      <c r="F12659" s="133" t="s">
        <v>11</v>
      </c>
      <c r="G12659" s="134" t="n">
        <f aca="false">LEN('Saisie programme'!$H$460)+SUMIFS('Vols additionnels'!$E$7:$E$66,'Vols additionnels'!$C$7:$C$66,$E12659,'Vols additionnels'!$D$7:$D$66,$F12659,'Vols additionnels'!$B$7:$B$66,$D12659)</f>
        <v>0</v>
      </c>
      <c r="H12659" s="135" t="n">
        <f aca="false">$G12659*'Analyse capacite'!$F$7</f>
        <v>0</v>
      </c>
      <c r="I12659" s="135" t="n">
        <f aca="false">$G12659*'Analyse capacite'!$C$7</f>
        <v>0</v>
      </c>
      <c r="J12659" s="135" t="n">
        <f aca="false">$G12659*'Analyse capacite'!$D$7</f>
        <v>0</v>
      </c>
      <c r="K12659" s="135" t="n">
        <f aca="false">$G12659*'Analyse capacite'!$E$7</f>
        <v>0</v>
      </c>
    </row>
    <row r="12660" customFormat="false" ht="15" hidden="false" customHeight="false" outlineLevel="0" collapsed="false">
      <c r="B12660" s="130" t="n">
        <v>2028</v>
      </c>
      <c r="C12660" s="131" t="s">
        <v>257</v>
      </c>
      <c r="D12660" s="132" t="n">
        <v>46829</v>
      </c>
      <c r="E12660" s="131" t="s">
        <v>46</v>
      </c>
      <c r="F12660" s="133" t="s">
        <v>19</v>
      </c>
      <c r="G12660" s="134" t="n">
        <f aca="false">LEN('Saisie programme'!$H$461)+SUMIFS('Vols additionnels'!$E$7:$E$66,'Vols additionnels'!$C$7:$C$66,$E12660,'Vols additionnels'!$D$7:$D$66,$F12660,'Vols additionnels'!$B$7:$B$66,$D12660)</f>
        <v>0</v>
      </c>
      <c r="H12660" s="135" t="n">
        <f aca="false">$G12660*'Analyse capacite'!$F$8</f>
        <v>0</v>
      </c>
      <c r="I12660" s="135" t="n">
        <f aca="false">$G12660*'Analyse capacite'!$C$8</f>
        <v>0</v>
      </c>
      <c r="J12660" s="135" t="n">
        <f aca="false">$G12660*'Analyse capacite'!$D$8</f>
        <v>0</v>
      </c>
      <c r="K12660" s="135" t="n">
        <f aca="false">$G12660*'Analyse capacite'!$E$8</f>
        <v>0</v>
      </c>
    </row>
    <row r="12661" customFormat="false" ht="15" hidden="false" customHeight="false" outlineLevel="0" collapsed="false">
      <c r="B12661" s="130" t="n">
        <v>2028</v>
      </c>
      <c r="C12661" s="131" t="s">
        <v>257</v>
      </c>
      <c r="D12661" s="132" t="n">
        <v>46829</v>
      </c>
      <c r="E12661" s="131" t="s">
        <v>46</v>
      </c>
      <c r="F12661" s="133" t="s">
        <v>24</v>
      </c>
      <c r="G12661" s="134" t="n">
        <f aca="false">LEN('Saisie programme'!$H$462)+SUMIFS('Vols additionnels'!$E$7:$E$66,'Vols additionnels'!$C$7:$C$66,$E12661,'Vols additionnels'!$D$7:$D$66,$F12661,'Vols additionnels'!$B$7:$B$66,$D12661)</f>
        <v>0</v>
      </c>
      <c r="H12661" s="135" t="n">
        <f aca="false">$G12661*'Analyse capacite'!$F$9</f>
        <v>0</v>
      </c>
      <c r="I12661" s="135" t="n">
        <f aca="false">$G12661*'Analyse capacite'!$C$9</f>
        <v>0</v>
      </c>
      <c r="J12661" s="135" t="n">
        <f aca="false">$G12661*'Analyse capacite'!$D$9</f>
        <v>0</v>
      </c>
      <c r="K12661" s="135" t="n">
        <f aca="false">$G12661*'Analyse capacite'!$E$9</f>
        <v>0</v>
      </c>
    </row>
    <row r="12662" customFormat="false" ht="15" hidden="false" customHeight="false" outlineLevel="0" collapsed="false">
      <c r="B12662" s="130" t="n">
        <v>2028</v>
      </c>
      <c r="C12662" s="131" t="s">
        <v>257</v>
      </c>
      <c r="D12662" s="132" t="n">
        <v>46829</v>
      </c>
      <c r="E12662" s="131" t="s">
        <v>49</v>
      </c>
      <c r="F12662" s="133" t="s">
        <v>11</v>
      </c>
      <c r="G12662" s="134" t="n">
        <f aca="false">LEN('Saisie programme'!$H$463)+SUMIFS('Vols additionnels'!$E$7:$E$66,'Vols additionnels'!$C$7:$C$66,$E12662,'Vols additionnels'!$D$7:$D$66,$F12662,'Vols additionnels'!$B$7:$B$66,$D12662)</f>
        <v>0</v>
      </c>
      <c r="H12662" s="135" t="n">
        <f aca="false">$G12662*'Analyse capacite'!$F$7</f>
        <v>0</v>
      </c>
      <c r="I12662" s="135" t="n">
        <f aca="false">$G12662*'Analyse capacite'!$C$7</f>
        <v>0</v>
      </c>
      <c r="J12662" s="135" t="n">
        <f aca="false">$G12662*'Analyse capacite'!$D$7</f>
        <v>0</v>
      </c>
      <c r="K12662" s="135" t="n">
        <f aca="false">$G12662*'Analyse capacite'!$E$7</f>
        <v>0</v>
      </c>
    </row>
    <row r="12663" customFormat="false" ht="15" hidden="false" customHeight="false" outlineLevel="0" collapsed="false">
      <c r="B12663" s="130" t="n">
        <v>2028</v>
      </c>
      <c r="C12663" s="131" t="s">
        <v>257</v>
      </c>
      <c r="D12663" s="132" t="n">
        <v>46829</v>
      </c>
      <c r="E12663" s="131" t="s">
        <v>49</v>
      </c>
      <c r="F12663" s="133" t="s">
        <v>19</v>
      </c>
      <c r="G12663" s="134" t="n">
        <f aca="false">LEN('Saisie programme'!$H$464)+SUMIFS('Vols additionnels'!$E$7:$E$66,'Vols additionnels'!$C$7:$C$66,$E12663,'Vols additionnels'!$D$7:$D$66,$F12663,'Vols additionnels'!$B$7:$B$66,$D12663)</f>
        <v>1</v>
      </c>
      <c r="H12663" s="135" t="n">
        <f aca="false">$G12663*'Analyse capacite'!$F$8</f>
        <v>262</v>
      </c>
      <c r="I12663" s="135" t="n">
        <f aca="false">$G12663*'Analyse capacite'!$C$8</f>
        <v>18</v>
      </c>
      <c r="J12663" s="135" t="n">
        <f aca="false">$G12663*'Analyse capacite'!$D$8</f>
        <v>0</v>
      </c>
      <c r="K12663" s="135" t="n">
        <f aca="false">$G12663*'Analyse capacite'!$E$8</f>
        <v>244</v>
      </c>
    </row>
    <row r="12664" customFormat="false" ht="15" hidden="false" customHeight="false" outlineLevel="0" collapsed="false">
      <c r="B12664" s="130" t="n">
        <v>2028</v>
      </c>
      <c r="C12664" s="131" t="s">
        <v>257</v>
      </c>
      <c r="D12664" s="132" t="n">
        <v>46829</v>
      </c>
      <c r="E12664" s="131" t="s">
        <v>49</v>
      </c>
      <c r="F12664" s="133" t="s">
        <v>24</v>
      </c>
      <c r="G12664" s="134" t="n">
        <f aca="false">LEN('Saisie programme'!$H$465)+SUMIFS('Vols additionnels'!$E$7:$E$66,'Vols additionnels'!$C$7:$C$66,$E12664,'Vols additionnels'!$D$7:$D$66,$F12664,'Vols additionnels'!$B$7:$B$66,$D12664)</f>
        <v>0</v>
      </c>
      <c r="H12664" s="135" t="n">
        <f aca="false">$G12664*'Analyse capacite'!$F$9</f>
        <v>0</v>
      </c>
      <c r="I12664" s="135" t="n">
        <f aca="false">$G12664*'Analyse capacite'!$C$9</f>
        <v>0</v>
      </c>
      <c r="J12664" s="135" t="n">
        <f aca="false">$G12664*'Analyse capacite'!$D$9</f>
        <v>0</v>
      </c>
      <c r="K12664" s="135" t="n">
        <f aca="false">$G12664*'Analyse capacite'!$E$9</f>
        <v>0</v>
      </c>
    </row>
    <row r="12665" customFormat="false" ht="15" hidden="false" customHeight="false" outlineLevel="0" collapsed="false">
      <c r="B12665" s="130" t="n">
        <v>2028</v>
      </c>
      <c r="C12665" s="131" t="s">
        <v>257</v>
      </c>
      <c r="D12665" s="132" t="n">
        <v>46829</v>
      </c>
      <c r="E12665" s="131" t="s">
        <v>53</v>
      </c>
      <c r="F12665" s="133" t="s">
        <v>11</v>
      </c>
      <c r="G12665" s="134" t="n">
        <f aca="false">LEN('Saisie programme'!$H$466)+SUMIFS('Vols additionnels'!$E$7:$E$66,'Vols additionnels'!$C$7:$C$66,$E12665,'Vols additionnels'!$D$7:$D$66,$F12665,'Vols additionnels'!$B$7:$B$66,$D12665)</f>
        <v>0</v>
      </c>
      <c r="H12665" s="135" t="n">
        <f aca="false">$G12665*'Analyse capacite'!$F$7</f>
        <v>0</v>
      </c>
      <c r="I12665" s="135" t="n">
        <f aca="false">$G12665*'Analyse capacite'!$C$7</f>
        <v>0</v>
      </c>
      <c r="J12665" s="135" t="n">
        <f aca="false">$G12665*'Analyse capacite'!$D$7</f>
        <v>0</v>
      </c>
      <c r="K12665" s="135" t="n">
        <f aca="false">$G12665*'Analyse capacite'!$E$7</f>
        <v>0</v>
      </c>
    </row>
    <row r="12666" customFormat="false" ht="15" hidden="false" customHeight="false" outlineLevel="0" collapsed="false">
      <c r="B12666" s="130" t="n">
        <v>2028</v>
      </c>
      <c r="C12666" s="131" t="s">
        <v>257</v>
      </c>
      <c r="D12666" s="132" t="n">
        <v>46829</v>
      </c>
      <c r="E12666" s="131" t="s">
        <v>53</v>
      </c>
      <c r="F12666" s="133" t="s">
        <v>19</v>
      </c>
      <c r="G12666" s="134" t="n">
        <f aca="false">LEN('Saisie programme'!$H$467)+SUMIFS('Vols additionnels'!$E$7:$E$66,'Vols additionnels'!$C$7:$C$66,$E12666,'Vols additionnels'!$D$7:$D$66,$F12666,'Vols additionnels'!$B$7:$B$66,$D12666)</f>
        <v>0</v>
      </c>
      <c r="H12666" s="135" t="n">
        <f aca="false">$G12666*'Analyse capacite'!$F$8</f>
        <v>0</v>
      </c>
      <c r="I12666" s="135" t="n">
        <f aca="false">$G12666*'Analyse capacite'!$C$8</f>
        <v>0</v>
      </c>
      <c r="J12666" s="135" t="n">
        <f aca="false">$G12666*'Analyse capacite'!$D$8</f>
        <v>0</v>
      </c>
      <c r="K12666" s="135" t="n">
        <f aca="false">$G12666*'Analyse capacite'!$E$8</f>
        <v>0</v>
      </c>
    </row>
    <row r="12667" customFormat="false" ht="15" hidden="false" customHeight="false" outlineLevel="0" collapsed="false">
      <c r="B12667" s="130" t="n">
        <v>2028</v>
      </c>
      <c r="C12667" s="131" t="s">
        <v>257</v>
      </c>
      <c r="D12667" s="132" t="n">
        <v>46829</v>
      </c>
      <c r="E12667" s="131" t="s">
        <v>53</v>
      </c>
      <c r="F12667" s="133" t="s">
        <v>24</v>
      </c>
      <c r="G12667" s="134" t="n">
        <f aca="false">LEN('Saisie programme'!$H$468)+SUMIFS('Vols additionnels'!$E$7:$E$66,'Vols additionnels'!$C$7:$C$66,$E12667,'Vols additionnels'!$D$7:$D$66,$F12667,'Vols additionnels'!$B$7:$B$66,$D12667)</f>
        <v>0</v>
      </c>
      <c r="H12667" s="135" t="n">
        <f aca="false">$G12667*'Analyse capacite'!$F$9</f>
        <v>0</v>
      </c>
      <c r="I12667" s="135" t="n">
        <f aca="false">$G12667*'Analyse capacite'!$C$9</f>
        <v>0</v>
      </c>
      <c r="J12667" s="135" t="n">
        <f aca="false">$G12667*'Analyse capacite'!$D$9</f>
        <v>0</v>
      </c>
      <c r="K12667" s="135" t="n">
        <f aca="false">$G12667*'Analyse capacite'!$E$9</f>
        <v>0</v>
      </c>
    </row>
    <row r="12668" customFormat="false" ht="15" hidden="false" customHeight="false" outlineLevel="0" collapsed="false">
      <c r="B12668" s="130" t="n">
        <v>2028</v>
      </c>
      <c r="C12668" s="131" t="s">
        <v>257</v>
      </c>
      <c r="D12668" s="132" t="n">
        <v>46829</v>
      </c>
      <c r="E12668" s="131" t="s">
        <v>56</v>
      </c>
      <c r="F12668" s="133" t="s">
        <v>11</v>
      </c>
      <c r="G12668" s="134" t="n">
        <f aca="false">LEN('Saisie programme'!$H$469)+SUMIFS('Vols additionnels'!$E$7:$E$66,'Vols additionnels'!$C$7:$C$66,$E12668,'Vols additionnels'!$D$7:$D$66,$F12668,'Vols additionnels'!$B$7:$B$66,$D12668)</f>
        <v>0</v>
      </c>
      <c r="H12668" s="135" t="n">
        <f aca="false">$G12668*'Analyse capacite'!$F$7</f>
        <v>0</v>
      </c>
      <c r="I12668" s="135" t="n">
        <f aca="false">$G12668*'Analyse capacite'!$C$7</f>
        <v>0</v>
      </c>
      <c r="J12668" s="135" t="n">
        <f aca="false">$G12668*'Analyse capacite'!$D$7</f>
        <v>0</v>
      </c>
      <c r="K12668" s="135" t="n">
        <f aca="false">$G12668*'Analyse capacite'!$E$7</f>
        <v>0</v>
      </c>
    </row>
    <row r="12669" customFormat="false" ht="15" hidden="false" customHeight="false" outlineLevel="0" collapsed="false">
      <c r="B12669" s="130" t="n">
        <v>2028</v>
      </c>
      <c r="C12669" s="131" t="s">
        <v>257</v>
      </c>
      <c r="D12669" s="132" t="n">
        <v>46829</v>
      </c>
      <c r="E12669" s="131" t="s">
        <v>56</v>
      </c>
      <c r="F12669" s="133" t="s">
        <v>19</v>
      </c>
      <c r="G12669" s="134" t="n">
        <f aca="false">LEN('Saisie programme'!$H$470)+SUMIFS('Vols additionnels'!$E$7:$E$66,'Vols additionnels'!$C$7:$C$66,$E12669,'Vols additionnels'!$D$7:$D$66,$F12669,'Vols additionnels'!$B$7:$B$66,$D12669)</f>
        <v>0</v>
      </c>
      <c r="H12669" s="135" t="n">
        <f aca="false">$G12669*'Analyse capacite'!$F$8</f>
        <v>0</v>
      </c>
      <c r="I12669" s="135" t="n">
        <f aca="false">$G12669*'Analyse capacite'!$C$8</f>
        <v>0</v>
      </c>
      <c r="J12669" s="135" t="n">
        <f aca="false">$G12669*'Analyse capacite'!$D$8</f>
        <v>0</v>
      </c>
      <c r="K12669" s="135" t="n">
        <f aca="false">$G12669*'Analyse capacite'!$E$8</f>
        <v>0</v>
      </c>
    </row>
    <row r="12670" customFormat="false" ht="15" hidden="false" customHeight="false" outlineLevel="0" collapsed="false">
      <c r="B12670" s="130" t="n">
        <v>2028</v>
      </c>
      <c r="C12670" s="131" t="s">
        <v>257</v>
      </c>
      <c r="D12670" s="132" t="n">
        <v>46829</v>
      </c>
      <c r="E12670" s="131" t="s">
        <v>56</v>
      </c>
      <c r="F12670" s="133" t="s">
        <v>24</v>
      </c>
      <c r="G12670" s="134" t="n">
        <f aca="false">LEN('Saisie programme'!$H$471)+SUMIFS('Vols additionnels'!$E$7:$E$66,'Vols additionnels'!$C$7:$C$66,$E12670,'Vols additionnels'!$D$7:$D$66,$F12670,'Vols additionnels'!$B$7:$B$66,$D12670)</f>
        <v>0</v>
      </c>
      <c r="H12670" s="135" t="n">
        <f aca="false">$G12670*'Analyse capacite'!$F$9</f>
        <v>0</v>
      </c>
      <c r="I12670" s="135" t="n">
        <f aca="false">$G12670*'Analyse capacite'!$C$9</f>
        <v>0</v>
      </c>
      <c r="J12670" s="135" t="n">
        <f aca="false">$G12670*'Analyse capacite'!$D$9</f>
        <v>0</v>
      </c>
      <c r="K12670" s="135" t="n">
        <f aca="false">$G12670*'Analyse capacite'!$E$9</f>
        <v>0</v>
      </c>
    </row>
    <row r="12671" customFormat="false" ht="15" hidden="false" customHeight="false" outlineLevel="0" collapsed="false">
      <c r="B12671" s="130" t="n">
        <v>2028</v>
      </c>
      <c r="C12671" s="131" t="s">
        <v>257</v>
      </c>
      <c r="D12671" s="132" t="n">
        <v>46829</v>
      </c>
      <c r="E12671" s="131" t="s">
        <v>59</v>
      </c>
      <c r="F12671" s="133" t="s">
        <v>11</v>
      </c>
      <c r="G12671" s="134" t="n">
        <f aca="false">LEN('Saisie programme'!$H$472)+SUMIFS('Vols additionnels'!$E$7:$E$66,'Vols additionnels'!$C$7:$C$66,$E12671,'Vols additionnels'!$D$7:$D$66,$F12671,'Vols additionnels'!$B$7:$B$66,$D12671)</f>
        <v>0</v>
      </c>
      <c r="H12671" s="135" t="n">
        <f aca="false">$G12671*'Analyse capacite'!$F$7</f>
        <v>0</v>
      </c>
      <c r="I12671" s="135" t="n">
        <f aca="false">$G12671*'Analyse capacite'!$C$7</f>
        <v>0</v>
      </c>
      <c r="J12671" s="135" t="n">
        <f aca="false">$G12671*'Analyse capacite'!$D$7</f>
        <v>0</v>
      </c>
      <c r="K12671" s="135" t="n">
        <f aca="false">$G12671*'Analyse capacite'!$E$7</f>
        <v>0</v>
      </c>
    </row>
    <row r="12672" customFormat="false" ht="15" hidden="false" customHeight="false" outlineLevel="0" collapsed="false">
      <c r="B12672" s="130" t="n">
        <v>2028</v>
      </c>
      <c r="C12672" s="131" t="s">
        <v>257</v>
      </c>
      <c r="D12672" s="132" t="n">
        <v>46829</v>
      </c>
      <c r="E12672" s="131" t="s">
        <v>59</v>
      </c>
      <c r="F12672" s="133" t="s">
        <v>19</v>
      </c>
      <c r="G12672" s="134" t="n">
        <f aca="false">LEN('Saisie programme'!$H$473)+SUMIFS('Vols additionnels'!$E$7:$E$66,'Vols additionnels'!$C$7:$C$66,$E12672,'Vols additionnels'!$D$7:$D$66,$F12672,'Vols additionnels'!$B$7:$B$66,$D12672)</f>
        <v>0</v>
      </c>
      <c r="H12672" s="135" t="n">
        <f aca="false">$G12672*'Analyse capacite'!$F$8</f>
        <v>0</v>
      </c>
      <c r="I12672" s="135" t="n">
        <f aca="false">$G12672*'Analyse capacite'!$C$8</f>
        <v>0</v>
      </c>
      <c r="J12672" s="135" t="n">
        <f aca="false">$G12672*'Analyse capacite'!$D$8</f>
        <v>0</v>
      </c>
      <c r="K12672" s="135" t="n">
        <f aca="false">$G12672*'Analyse capacite'!$E$8</f>
        <v>0</v>
      </c>
    </row>
    <row r="12673" customFormat="false" ht="15" hidden="false" customHeight="false" outlineLevel="0" collapsed="false">
      <c r="B12673" s="130" t="n">
        <v>2028</v>
      </c>
      <c r="C12673" s="131" t="s">
        <v>257</v>
      </c>
      <c r="D12673" s="132" t="n">
        <v>46829</v>
      </c>
      <c r="E12673" s="131" t="s">
        <v>59</v>
      </c>
      <c r="F12673" s="133" t="s">
        <v>24</v>
      </c>
      <c r="G12673" s="134" t="n">
        <f aca="false">LEN('Saisie programme'!$H$474)+SUMIFS('Vols additionnels'!$E$7:$E$66,'Vols additionnels'!$C$7:$C$66,$E12673,'Vols additionnels'!$D$7:$D$66,$F12673,'Vols additionnels'!$B$7:$B$66,$D12673)</f>
        <v>1</v>
      </c>
      <c r="H12673" s="135" t="n">
        <f aca="false">$G12673*'Analyse capacite'!$F$9</f>
        <v>174</v>
      </c>
      <c r="I12673" s="135" t="n">
        <f aca="false">$G12673*'Analyse capacite'!$C$9</f>
        <v>0</v>
      </c>
      <c r="J12673" s="135" t="n">
        <f aca="false">$G12673*'Analyse capacite'!$D$9</f>
        <v>12</v>
      </c>
      <c r="K12673" s="135" t="n">
        <f aca="false">$G12673*'Analyse capacite'!$E$9</f>
        <v>162</v>
      </c>
    </row>
    <row r="12674" customFormat="false" ht="15" hidden="false" customHeight="false" outlineLevel="0" collapsed="false">
      <c r="B12674" s="130" t="n">
        <v>2028</v>
      </c>
      <c r="C12674" s="131" t="s">
        <v>257</v>
      </c>
      <c r="D12674" s="132" t="n">
        <v>46829</v>
      </c>
      <c r="E12674" s="131" t="s">
        <v>62</v>
      </c>
      <c r="F12674" s="133" t="s">
        <v>11</v>
      </c>
      <c r="G12674" s="134" t="n">
        <f aca="false">LEN('Saisie programme'!$H$475)+SUMIFS('Vols additionnels'!$E$7:$E$66,'Vols additionnels'!$C$7:$C$66,$E12674,'Vols additionnels'!$D$7:$D$66,$F12674,'Vols additionnels'!$B$7:$B$66,$D12674)</f>
        <v>0</v>
      </c>
      <c r="H12674" s="135" t="n">
        <f aca="false">$G12674*'Analyse capacite'!$F$7</f>
        <v>0</v>
      </c>
      <c r="I12674" s="135" t="n">
        <f aca="false">$G12674*'Analyse capacite'!$C$7</f>
        <v>0</v>
      </c>
      <c r="J12674" s="135" t="n">
        <f aca="false">$G12674*'Analyse capacite'!$D$7</f>
        <v>0</v>
      </c>
      <c r="K12674" s="135" t="n">
        <f aca="false">$G12674*'Analyse capacite'!$E$7</f>
        <v>0</v>
      </c>
    </row>
    <row r="12675" customFormat="false" ht="15" hidden="false" customHeight="false" outlineLevel="0" collapsed="false">
      <c r="B12675" s="130" t="n">
        <v>2028</v>
      </c>
      <c r="C12675" s="131" t="s">
        <v>257</v>
      </c>
      <c r="D12675" s="132" t="n">
        <v>46829</v>
      </c>
      <c r="E12675" s="131" t="s">
        <v>62</v>
      </c>
      <c r="F12675" s="133" t="s">
        <v>19</v>
      </c>
      <c r="G12675" s="134" t="n">
        <f aca="false">LEN('Saisie programme'!$H$476)+SUMIFS('Vols additionnels'!$E$7:$E$66,'Vols additionnels'!$C$7:$C$66,$E12675,'Vols additionnels'!$D$7:$D$66,$F12675,'Vols additionnels'!$B$7:$B$66,$D12675)</f>
        <v>0</v>
      </c>
      <c r="H12675" s="135" t="n">
        <f aca="false">$G12675*'Analyse capacite'!$F$8</f>
        <v>0</v>
      </c>
      <c r="I12675" s="135" t="n">
        <f aca="false">$G12675*'Analyse capacite'!$C$8</f>
        <v>0</v>
      </c>
      <c r="J12675" s="135" t="n">
        <f aca="false">$G12675*'Analyse capacite'!$D$8</f>
        <v>0</v>
      </c>
      <c r="K12675" s="135" t="n">
        <f aca="false">$G12675*'Analyse capacite'!$E$8</f>
        <v>0</v>
      </c>
    </row>
    <row r="12676" customFormat="false" ht="15" hidden="false" customHeight="false" outlineLevel="0" collapsed="false">
      <c r="B12676" s="130" t="n">
        <v>2028</v>
      </c>
      <c r="C12676" s="131" t="s">
        <v>257</v>
      </c>
      <c r="D12676" s="132" t="n">
        <v>46829</v>
      </c>
      <c r="E12676" s="131" t="s">
        <v>62</v>
      </c>
      <c r="F12676" s="133" t="s">
        <v>24</v>
      </c>
      <c r="G12676" s="134" t="n">
        <f aca="false">LEN('Saisie programme'!$H$477)+SUMIFS('Vols additionnels'!$E$7:$E$66,'Vols additionnels'!$C$7:$C$66,$E12676,'Vols additionnels'!$D$7:$D$66,$F12676,'Vols additionnels'!$B$7:$B$66,$D12676)</f>
        <v>0</v>
      </c>
      <c r="H12676" s="135" t="n">
        <f aca="false">$G12676*'Analyse capacite'!$F$9</f>
        <v>0</v>
      </c>
      <c r="I12676" s="135" t="n">
        <f aca="false">$G12676*'Analyse capacite'!$C$9</f>
        <v>0</v>
      </c>
      <c r="J12676" s="135" t="n">
        <f aca="false">$G12676*'Analyse capacite'!$D$9</f>
        <v>0</v>
      </c>
      <c r="K12676" s="135" t="n">
        <f aca="false">$G12676*'Analyse capacite'!$E$9</f>
        <v>0</v>
      </c>
    </row>
    <row r="12677" customFormat="false" ht="15" hidden="false" customHeight="false" outlineLevel="0" collapsed="false">
      <c r="B12677" s="130" t="n">
        <v>2028</v>
      </c>
      <c r="C12677" s="131" t="s">
        <v>257</v>
      </c>
      <c r="D12677" s="132" t="n">
        <v>46830</v>
      </c>
      <c r="E12677" s="131" t="s">
        <v>12</v>
      </c>
      <c r="F12677" s="133" t="s">
        <v>11</v>
      </c>
      <c r="G12677" s="134" t="n">
        <f aca="false">LEN('Saisie programme'!$I$442)+SUMIFS('Vols additionnels'!$E$7:$E$66,'Vols additionnels'!$C$7:$C$66,$E12677,'Vols additionnels'!$D$7:$D$66,$F12677,'Vols additionnels'!$B$7:$B$66,$D12677)</f>
        <v>1</v>
      </c>
      <c r="H12677" s="135" t="n">
        <f aca="false">$G12677*'Analyse capacite'!$F$7</f>
        <v>438</v>
      </c>
      <c r="I12677" s="135" t="n">
        <f aca="false">$G12677*'Analyse capacite'!$C$7</f>
        <v>14</v>
      </c>
      <c r="J12677" s="135" t="n">
        <f aca="false">$G12677*'Analyse capacite'!$D$7</f>
        <v>40</v>
      </c>
      <c r="K12677" s="135" t="n">
        <f aca="false">$G12677*'Analyse capacite'!$E$7</f>
        <v>384</v>
      </c>
    </row>
    <row r="12678" customFormat="false" ht="15" hidden="false" customHeight="false" outlineLevel="0" collapsed="false">
      <c r="B12678" s="130" t="n">
        <v>2028</v>
      </c>
      <c r="C12678" s="131" t="s">
        <v>257</v>
      </c>
      <c r="D12678" s="132" t="n">
        <v>46830</v>
      </c>
      <c r="E12678" s="131" t="s">
        <v>12</v>
      </c>
      <c r="F12678" s="133" t="s">
        <v>19</v>
      </c>
      <c r="G12678" s="134" t="n">
        <f aca="false">LEN('Saisie programme'!$I$443)+SUMIFS('Vols additionnels'!$E$7:$E$66,'Vols additionnels'!$C$7:$C$66,$E12678,'Vols additionnels'!$D$7:$D$66,$F12678,'Vols additionnels'!$B$7:$B$66,$D12678)</f>
        <v>0</v>
      </c>
      <c r="H12678" s="135" t="n">
        <f aca="false">$G12678*'Analyse capacite'!$F$8</f>
        <v>0</v>
      </c>
      <c r="I12678" s="135" t="n">
        <f aca="false">$G12678*'Analyse capacite'!$C$8</f>
        <v>0</v>
      </c>
      <c r="J12678" s="135" t="n">
        <f aca="false">$G12678*'Analyse capacite'!$D$8</f>
        <v>0</v>
      </c>
      <c r="K12678" s="135" t="n">
        <f aca="false">$G12678*'Analyse capacite'!$E$8</f>
        <v>0</v>
      </c>
    </row>
    <row r="12679" customFormat="false" ht="15" hidden="false" customHeight="false" outlineLevel="0" collapsed="false">
      <c r="B12679" s="130" t="n">
        <v>2028</v>
      </c>
      <c r="C12679" s="131" t="s">
        <v>257</v>
      </c>
      <c r="D12679" s="132" t="n">
        <v>46830</v>
      </c>
      <c r="E12679" s="131" t="s">
        <v>12</v>
      </c>
      <c r="F12679" s="133" t="s">
        <v>24</v>
      </c>
      <c r="G12679" s="134" t="n">
        <f aca="false">LEN('Saisie programme'!$I$444)+SUMIFS('Vols additionnels'!$E$7:$E$66,'Vols additionnels'!$C$7:$C$66,$E12679,'Vols additionnels'!$D$7:$D$66,$F12679,'Vols additionnels'!$B$7:$B$66,$D12679)</f>
        <v>0</v>
      </c>
      <c r="H12679" s="135" t="n">
        <f aca="false">$G12679*'Analyse capacite'!$F$9</f>
        <v>0</v>
      </c>
      <c r="I12679" s="135" t="n">
        <f aca="false">$G12679*'Analyse capacite'!$C$9</f>
        <v>0</v>
      </c>
      <c r="J12679" s="135" t="n">
        <f aca="false">$G12679*'Analyse capacite'!$D$9</f>
        <v>0</v>
      </c>
      <c r="K12679" s="135" t="n">
        <f aca="false">$G12679*'Analyse capacite'!$E$9</f>
        <v>0</v>
      </c>
    </row>
    <row r="12680" customFormat="false" ht="15" hidden="false" customHeight="false" outlineLevel="0" collapsed="false">
      <c r="B12680" s="130" t="n">
        <v>2028</v>
      </c>
      <c r="C12680" s="131" t="s">
        <v>257</v>
      </c>
      <c r="D12680" s="132" t="n">
        <v>46830</v>
      </c>
      <c r="E12680" s="131" t="s">
        <v>20</v>
      </c>
      <c r="F12680" s="133" t="s">
        <v>11</v>
      </c>
      <c r="G12680" s="134" t="n">
        <f aca="false">LEN('Saisie programme'!$I$445)+SUMIFS('Vols additionnels'!$E$7:$E$66,'Vols additionnels'!$C$7:$C$66,$E12680,'Vols additionnels'!$D$7:$D$66,$F12680,'Vols additionnels'!$B$7:$B$66,$D12680)</f>
        <v>0</v>
      </c>
      <c r="H12680" s="135" t="n">
        <f aca="false">$G12680*'Analyse capacite'!$F$7</f>
        <v>0</v>
      </c>
      <c r="I12680" s="135" t="n">
        <f aca="false">$G12680*'Analyse capacite'!$C$7</f>
        <v>0</v>
      </c>
      <c r="J12680" s="135" t="n">
        <f aca="false">$G12680*'Analyse capacite'!$D$7</f>
        <v>0</v>
      </c>
      <c r="K12680" s="135" t="n">
        <f aca="false">$G12680*'Analyse capacite'!$E$7</f>
        <v>0</v>
      </c>
    </row>
    <row r="12681" customFormat="false" ht="15" hidden="false" customHeight="false" outlineLevel="0" collapsed="false">
      <c r="B12681" s="130" t="n">
        <v>2028</v>
      </c>
      <c r="C12681" s="131" t="s">
        <v>257</v>
      </c>
      <c r="D12681" s="132" t="n">
        <v>46830</v>
      </c>
      <c r="E12681" s="131" t="s">
        <v>20</v>
      </c>
      <c r="F12681" s="133" t="s">
        <v>19</v>
      </c>
      <c r="G12681" s="134" t="n">
        <f aca="false">LEN('Saisie programme'!$I$446)+SUMIFS('Vols additionnels'!$E$7:$E$66,'Vols additionnels'!$C$7:$C$66,$E12681,'Vols additionnels'!$D$7:$D$66,$F12681,'Vols additionnels'!$B$7:$B$66,$D12681)</f>
        <v>0</v>
      </c>
      <c r="H12681" s="135" t="n">
        <f aca="false">$G12681*'Analyse capacite'!$F$8</f>
        <v>0</v>
      </c>
      <c r="I12681" s="135" t="n">
        <f aca="false">$G12681*'Analyse capacite'!$C$8</f>
        <v>0</v>
      </c>
      <c r="J12681" s="135" t="n">
        <f aca="false">$G12681*'Analyse capacite'!$D$8</f>
        <v>0</v>
      </c>
      <c r="K12681" s="135" t="n">
        <f aca="false">$G12681*'Analyse capacite'!$E$8</f>
        <v>0</v>
      </c>
    </row>
    <row r="12682" customFormat="false" ht="15" hidden="false" customHeight="false" outlineLevel="0" collapsed="false">
      <c r="B12682" s="130" t="n">
        <v>2028</v>
      </c>
      <c r="C12682" s="131" t="s">
        <v>257</v>
      </c>
      <c r="D12682" s="132" t="n">
        <v>46830</v>
      </c>
      <c r="E12682" s="131" t="s">
        <v>20</v>
      </c>
      <c r="F12682" s="133" t="s">
        <v>24</v>
      </c>
      <c r="G12682" s="134" t="n">
        <f aca="false">LEN('Saisie programme'!$I$447)+SUMIFS('Vols additionnels'!$E$7:$E$66,'Vols additionnels'!$C$7:$C$66,$E12682,'Vols additionnels'!$D$7:$D$66,$F12682,'Vols additionnels'!$B$7:$B$66,$D12682)</f>
        <v>0</v>
      </c>
      <c r="H12682" s="135" t="n">
        <f aca="false">$G12682*'Analyse capacite'!$F$9</f>
        <v>0</v>
      </c>
      <c r="I12682" s="135" t="n">
        <f aca="false">$G12682*'Analyse capacite'!$C$9</f>
        <v>0</v>
      </c>
      <c r="J12682" s="135" t="n">
        <f aca="false">$G12682*'Analyse capacite'!$D$9</f>
        <v>0</v>
      </c>
      <c r="K12682" s="135" t="n">
        <f aca="false">$G12682*'Analyse capacite'!$E$9</f>
        <v>0</v>
      </c>
    </row>
    <row r="12683" customFormat="false" ht="15" hidden="false" customHeight="false" outlineLevel="0" collapsed="false">
      <c r="B12683" s="130" t="n">
        <v>2028</v>
      </c>
      <c r="C12683" s="131" t="s">
        <v>257</v>
      </c>
      <c r="D12683" s="132" t="n">
        <v>46830</v>
      </c>
      <c r="E12683" s="131" t="s">
        <v>25</v>
      </c>
      <c r="F12683" s="133" t="s">
        <v>11</v>
      </c>
      <c r="G12683" s="134" t="n">
        <f aca="false">LEN('Saisie programme'!$I$448)+SUMIFS('Vols additionnels'!$E$7:$E$66,'Vols additionnels'!$C$7:$C$66,$E12683,'Vols additionnels'!$D$7:$D$66,$F12683,'Vols additionnels'!$B$7:$B$66,$D12683)</f>
        <v>0</v>
      </c>
      <c r="H12683" s="135" t="n">
        <f aca="false">$G12683*'Analyse capacite'!$F$7</f>
        <v>0</v>
      </c>
      <c r="I12683" s="135" t="n">
        <f aca="false">$G12683*'Analyse capacite'!$C$7</f>
        <v>0</v>
      </c>
      <c r="J12683" s="135" t="n">
        <f aca="false">$G12683*'Analyse capacite'!$D$7</f>
        <v>0</v>
      </c>
      <c r="K12683" s="135" t="n">
        <f aca="false">$G12683*'Analyse capacite'!$E$7</f>
        <v>0</v>
      </c>
    </row>
    <row r="12684" customFormat="false" ht="15" hidden="false" customHeight="false" outlineLevel="0" collapsed="false">
      <c r="B12684" s="130" t="n">
        <v>2028</v>
      </c>
      <c r="C12684" s="131" t="s">
        <v>257</v>
      </c>
      <c r="D12684" s="132" t="n">
        <v>46830</v>
      </c>
      <c r="E12684" s="131" t="s">
        <v>25</v>
      </c>
      <c r="F12684" s="133" t="s">
        <v>19</v>
      </c>
      <c r="G12684" s="134" t="n">
        <f aca="false">LEN('Saisie programme'!$I$449)+SUMIFS('Vols additionnels'!$E$7:$E$66,'Vols additionnels'!$C$7:$C$66,$E12684,'Vols additionnels'!$D$7:$D$66,$F12684,'Vols additionnels'!$B$7:$B$66,$D12684)</f>
        <v>1</v>
      </c>
      <c r="H12684" s="135" t="n">
        <f aca="false">$G12684*'Analyse capacite'!$F$8</f>
        <v>262</v>
      </c>
      <c r="I12684" s="135" t="n">
        <f aca="false">$G12684*'Analyse capacite'!$C$8</f>
        <v>18</v>
      </c>
      <c r="J12684" s="135" t="n">
        <f aca="false">$G12684*'Analyse capacite'!$D$8</f>
        <v>0</v>
      </c>
      <c r="K12684" s="135" t="n">
        <f aca="false">$G12684*'Analyse capacite'!$E$8</f>
        <v>244</v>
      </c>
    </row>
    <row r="12685" customFormat="false" ht="15" hidden="false" customHeight="false" outlineLevel="0" collapsed="false">
      <c r="B12685" s="130" t="n">
        <v>2028</v>
      </c>
      <c r="C12685" s="131" t="s">
        <v>257</v>
      </c>
      <c r="D12685" s="132" t="n">
        <v>46830</v>
      </c>
      <c r="E12685" s="131" t="s">
        <v>25</v>
      </c>
      <c r="F12685" s="133" t="s">
        <v>24</v>
      </c>
      <c r="G12685" s="134" t="n">
        <f aca="false">LEN('Saisie programme'!$I$450)+SUMIFS('Vols additionnels'!$E$7:$E$66,'Vols additionnels'!$C$7:$C$66,$E12685,'Vols additionnels'!$D$7:$D$66,$F12685,'Vols additionnels'!$B$7:$B$66,$D12685)</f>
        <v>0</v>
      </c>
      <c r="H12685" s="135" t="n">
        <f aca="false">$G12685*'Analyse capacite'!$F$9</f>
        <v>0</v>
      </c>
      <c r="I12685" s="135" t="n">
        <f aca="false">$G12685*'Analyse capacite'!$C$9</f>
        <v>0</v>
      </c>
      <c r="J12685" s="135" t="n">
        <f aca="false">$G12685*'Analyse capacite'!$D$9</f>
        <v>0</v>
      </c>
      <c r="K12685" s="135" t="n">
        <f aca="false">$G12685*'Analyse capacite'!$E$9</f>
        <v>0</v>
      </c>
    </row>
    <row r="12686" customFormat="false" ht="15" hidden="false" customHeight="false" outlineLevel="0" collapsed="false">
      <c r="B12686" s="130" t="n">
        <v>2028</v>
      </c>
      <c r="C12686" s="131" t="s">
        <v>257</v>
      </c>
      <c r="D12686" s="132" t="n">
        <v>46830</v>
      </c>
      <c r="E12686" s="131" t="s">
        <v>36</v>
      </c>
      <c r="F12686" s="133" t="s">
        <v>11</v>
      </c>
      <c r="G12686" s="134" t="n">
        <f aca="false">LEN('Saisie programme'!$I$451)+SUMIFS('Vols additionnels'!$E$7:$E$66,'Vols additionnels'!$C$7:$C$66,$E12686,'Vols additionnels'!$D$7:$D$66,$F12686,'Vols additionnels'!$B$7:$B$66,$D12686)</f>
        <v>0</v>
      </c>
      <c r="H12686" s="135" t="n">
        <f aca="false">$G12686*'Analyse capacite'!$F$7</f>
        <v>0</v>
      </c>
      <c r="I12686" s="135" t="n">
        <f aca="false">$G12686*'Analyse capacite'!$C$7</f>
        <v>0</v>
      </c>
      <c r="J12686" s="135" t="n">
        <f aca="false">$G12686*'Analyse capacite'!$D$7</f>
        <v>0</v>
      </c>
      <c r="K12686" s="135" t="n">
        <f aca="false">$G12686*'Analyse capacite'!$E$7</f>
        <v>0</v>
      </c>
    </row>
    <row r="12687" customFormat="false" ht="15" hidden="false" customHeight="false" outlineLevel="0" collapsed="false">
      <c r="B12687" s="130" t="n">
        <v>2028</v>
      </c>
      <c r="C12687" s="131" t="s">
        <v>257</v>
      </c>
      <c r="D12687" s="132" t="n">
        <v>46830</v>
      </c>
      <c r="E12687" s="131" t="s">
        <v>36</v>
      </c>
      <c r="F12687" s="133" t="s">
        <v>19</v>
      </c>
      <c r="G12687" s="134" t="n">
        <f aca="false">LEN('Saisie programme'!$I$452)+SUMIFS('Vols additionnels'!$E$7:$E$66,'Vols additionnels'!$C$7:$C$66,$E12687,'Vols additionnels'!$D$7:$D$66,$F12687,'Vols additionnels'!$B$7:$B$66,$D12687)</f>
        <v>0</v>
      </c>
      <c r="H12687" s="135" t="n">
        <f aca="false">$G12687*'Analyse capacite'!$F$8</f>
        <v>0</v>
      </c>
      <c r="I12687" s="135" t="n">
        <f aca="false">$G12687*'Analyse capacite'!$C$8</f>
        <v>0</v>
      </c>
      <c r="J12687" s="135" t="n">
        <f aca="false">$G12687*'Analyse capacite'!$D$8</f>
        <v>0</v>
      </c>
      <c r="K12687" s="135" t="n">
        <f aca="false">$G12687*'Analyse capacite'!$E$8</f>
        <v>0</v>
      </c>
    </row>
    <row r="12688" customFormat="false" ht="15" hidden="false" customHeight="false" outlineLevel="0" collapsed="false">
      <c r="B12688" s="130" t="n">
        <v>2028</v>
      </c>
      <c r="C12688" s="131" t="s">
        <v>257</v>
      </c>
      <c r="D12688" s="132" t="n">
        <v>46830</v>
      </c>
      <c r="E12688" s="131" t="s">
        <v>36</v>
      </c>
      <c r="F12688" s="133" t="s">
        <v>24</v>
      </c>
      <c r="G12688" s="134" t="n">
        <f aca="false">LEN('Saisie programme'!$I$453)+SUMIFS('Vols additionnels'!$E$7:$E$66,'Vols additionnels'!$C$7:$C$66,$E12688,'Vols additionnels'!$D$7:$D$66,$F12688,'Vols additionnels'!$B$7:$B$66,$D12688)</f>
        <v>0</v>
      </c>
      <c r="H12688" s="135" t="n">
        <f aca="false">$G12688*'Analyse capacite'!$F$9</f>
        <v>0</v>
      </c>
      <c r="I12688" s="135" t="n">
        <f aca="false">$G12688*'Analyse capacite'!$C$9</f>
        <v>0</v>
      </c>
      <c r="J12688" s="135" t="n">
        <f aca="false">$G12688*'Analyse capacite'!$D$9</f>
        <v>0</v>
      </c>
      <c r="K12688" s="135" t="n">
        <f aca="false">$G12688*'Analyse capacite'!$E$9</f>
        <v>0</v>
      </c>
    </row>
    <row r="12689" customFormat="false" ht="15" hidden="false" customHeight="false" outlineLevel="0" collapsed="false">
      <c r="B12689" s="130" t="n">
        <v>2028</v>
      </c>
      <c r="C12689" s="131" t="s">
        <v>257</v>
      </c>
      <c r="D12689" s="132" t="n">
        <v>46830</v>
      </c>
      <c r="E12689" s="131" t="s">
        <v>40</v>
      </c>
      <c r="F12689" s="133" t="s">
        <v>11</v>
      </c>
      <c r="G12689" s="134" t="n">
        <f aca="false">LEN('Saisie programme'!$I$454)+SUMIFS('Vols additionnels'!$E$7:$E$66,'Vols additionnels'!$C$7:$C$66,$E12689,'Vols additionnels'!$D$7:$D$66,$F12689,'Vols additionnels'!$B$7:$B$66,$D12689)</f>
        <v>0</v>
      </c>
      <c r="H12689" s="135" t="n">
        <f aca="false">$G12689*'Analyse capacite'!$F$7</f>
        <v>0</v>
      </c>
      <c r="I12689" s="135" t="n">
        <f aca="false">$G12689*'Analyse capacite'!$C$7</f>
        <v>0</v>
      </c>
      <c r="J12689" s="135" t="n">
        <f aca="false">$G12689*'Analyse capacite'!$D$7</f>
        <v>0</v>
      </c>
      <c r="K12689" s="135" t="n">
        <f aca="false">$G12689*'Analyse capacite'!$E$7</f>
        <v>0</v>
      </c>
    </row>
    <row r="12690" customFormat="false" ht="15" hidden="false" customHeight="false" outlineLevel="0" collapsed="false">
      <c r="B12690" s="130" t="n">
        <v>2028</v>
      </c>
      <c r="C12690" s="131" t="s">
        <v>257</v>
      </c>
      <c r="D12690" s="132" t="n">
        <v>46830</v>
      </c>
      <c r="E12690" s="131" t="s">
        <v>40</v>
      </c>
      <c r="F12690" s="133" t="s">
        <v>19</v>
      </c>
      <c r="G12690" s="134" t="n">
        <f aca="false">LEN('Saisie programme'!$I$455)+SUMIFS('Vols additionnels'!$E$7:$E$66,'Vols additionnels'!$C$7:$C$66,$E12690,'Vols additionnels'!$D$7:$D$66,$F12690,'Vols additionnels'!$B$7:$B$66,$D12690)</f>
        <v>0</v>
      </c>
      <c r="H12690" s="135" t="n">
        <f aca="false">$G12690*'Analyse capacite'!$F$8</f>
        <v>0</v>
      </c>
      <c r="I12690" s="135" t="n">
        <f aca="false">$G12690*'Analyse capacite'!$C$8</f>
        <v>0</v>
      </c>
      <c r="J12690" s="135" t="n">
        <f aca="false">$G12690*'Analyse capacite'!$D$8</f>
        <v>0</v>
      </c>
      <c r="K12690" s="135" t="n">
        <f aca="false">$G12690*'Analyse capacite'!$E$8</f>
        <v>0</v>
      </c>
    </row>
    <row r="12691" customFormat="false" ht="15" hidden="false" customHeight="false" outlineLevel="0" collapsed="false">
      <c r="B12691" s="130" t="n">
        <v>2028</v>
      </c>
      <c r="C12691" s="131" t="s">
        <v>257</v>
      </c>
      <c r="D12691" s="132" t="n">
        <v>46830</v>
      </c>
      <c r="E12691" s="131" t="s">
        <v>40</v>
      </c>
      <c r="F12691" s="133" t="s">
        <v>24</v>
      </c>
      <c r="G12691" s="134" t="n">
        <f aca="false">LEN('Saisie programme'!$I$456)+SUMIFS('Vols additionnels'!$E$7:$E$66,'Vols additionnels'!$C$7:$C$66,$E12691,'Vols additionnels'!$D$7:$D$66,$F12691,'Vols additionnels'!$B$7:$B$66,$D12691)</f>
        <v>0</v>
      </c>
      <c r="H12691" s="135" t="n">
        <f aca="false">$G12691*'Analyse capacite'!$F$9</f>
        <v>0</v>
      </c>
      <c r="I12691" s="135" t="n">
        <f aca="false">$G12691*'Analyse capacite'!$C$9</f>
        <v>0</v>
      </c>
      <c r="J12691" s="135" t="n">
        <f aca="false">$G12691*'Analyse capacite'!$D$9</f>
        <v>0</v>
      </c>
      <c r="K12691" s="135" t="n">
        <f aca="false">$G12691*'Analyse capacite'!$E$9</f>
        <v>0</v>
      </c>
    </row>
    <row r="12692" customFormat="false" ht="15" hidden="false" customHeight="false" outlineLevel="0" collapsed="false">
      <c r="B12692" s="130" t="n">
        <v>2028</v>
      </c>
      <c r="C12692" s="131" t="s">
        <v>257</v>
      </c>
      <c r="D12692" s="132" t="n">
        <v>46830</v>
      </c>
      <c r="E12692" s="131" t="s">
        <v>14</v>
      </c>
      <c r="F12692" s="133" t="s">
        <v>11</v>
      </c>
      <c r="G12692" s="134" t="n">
        <f aca="false">LEN('Saisie programme'!$I$457)+SUMIFS('Vols additionnels'!$E$7:$E$66,'Vols additionnels'!$C$7:$C$66,$E12692,'Vols additionnels'!$D$7:$D$66,$F12692,'Vols additionnels'!$B$7:$B$66,$D12692)</f>
        <v>0</v>
      </c>
      <c r="H12692" s="135" t="n">
        <f aca="false">$G12692*'Analyse capacite'!$F$7</f>
        <v>0</v>
      </c>
      <c r="I12692" s="135" t="n">
        <f aca="false">$G12692*'Analyse capacite'!$C$7</f>
        <v>0</v>
      </c>
      <c r="J12692" s="135" t="n">
        <f aca="false">$G12692*'Analyse capacite'!$D$7</f>
        <v>0</v>
      </c>
      <c r="K12692" s="135" t="n">
        <f aca="false">$G12692*'Analyse capacite'!$E$7</f>
        <v>0</v>
      </c>
    </row>
    <row r="12693" customFormat="false" ht="15" hidden="false" customHeight="false" outlineLevel="0" collapsed="false">
      <c r="B12693" s="130" t="n">
        <v>2028</v>
      </c>
      <c r="C12693" s="131" t="s">
        <v>257</v>
      </c>
      <c r="D12693" s="132" t="n">
        <v>46830</v>
      </c>
      <c r="E12693" s="131" t="s">
        <v>14</v>
      </c>
      <c r="F12693" s="133" t="s">
        <v>19</v>
      </c>
      <c r="G12693" s="134" t="n">
        <f aca="false">LEN('Saisie programme'!$I$458)+SUMIFS('Vols additionnels'!$E$7:$E$66,'Vols additionnels'!$C$7:$C$66,$E12693,'Vols additionnels'!$D$7:$D$66,$F12693,'Vols additionnels'!$B$7:$B$66,$D12693)</f>
        <v>0</v>
      </c>
      <c r="H12693" s="135" t="n">
        <f aca="false">$G12693*'Analyse capacite'!$F$8</f>
        <v>0</v>
      </c>
      <c r="I12693" s="135" t="n">
        <f aca="false">$G12693*'Analyse capacite'!$C$8</f>
        <v>0</v>
      </c>
      <c r="J12693" s="135" t="n">
        <f aca="false">$G12693*'Analyse capacite'!$D$8</f>
        <v>0</v>
      </c>
      <c r="K12693" s="135" t="n">
        <f aca="false">$G12693*'Analyse capacite'!$E$8</f>
        <v>0</v>
      </c>
    </row>
    <row r="12694" customFormat="false" ht="15" hidden="false" customHeight="false" outlineLevel="0" collapsed="false">
      <c r="B12694" s="130" t="n">
        <v>2028</v>
      </c>
      <c r="C12694" s="131" t="s">
        <v>257</v>
      </c>
      <c r="D12694" s="132" t="n">
        <v>46830</v>
      </c>
      <c r="E12694" s="131" t="s">
        <v>14</v>
      </c>
      <c r="F12694" s="133" t="s">
        <v>24</v>
      </c>
      <c r="G12694" s="134" t="n">
        <f aca="false">LEN('Saisie programme'!$I$459)+SUMIFS('Vols additionnels'!$E$7:$E$66,'Vols additionnels'!$C$7:$C$66,$E12694,'Vols additionnels'!$D$7:$D$66,$F12694,'Vols additionnels'!$B$7:$B$66,$D12694)</f>
        <v>1</v>
      </c>
      <c r="H12694" s="135" t="n">
        <f aca="false">$G12694*'Analyse capacite'!$F$9</f>
        <v>174</v>
      </c>
      <c r="I12694" s="135" t="n">
        <f aca="false">$G12694*'Analyse capacite'!$C$9</f>
        <v>0</v>
      </c>
      <c r="J12694" s="135" t="n">
        <f aca="false">$G12694*'Analyse capacite'!$D$9</f>
        <v>12</v>
      </c>
      <c r="K12694" s="135" t="n">
        <f aca="false">$G12694*'Analyse capacite'!$E$9</f>
        <v>162</v>
      </c>
    </row>
    <row r="12695" customFormat="false" ht="15" hidden="false" customHeight="false" outlineLevel="0" collapsed="false">
      <c r="B12695" s="130" t="n">
        <v>2028</v>
      </c>
      <c r="C12695" s="131" t="s">
        <v>257</v>
      </c>
      <c r="D12695" s="132" t="n">
        <v>46830</v>
      </c>
      <c r="E12695" s="131" t="s">
        <v>46</v>
      </c>
      <c r="F12695" s="133" t="s">
        <v>11</v>
      </c>
      <c r="G12695" s="134" t="n">
        <f aca="false">LEN('Saisie programme'!$I$460)+SUMIFS('Vols additionnels'!$E$7:$E$66,'Vols additionnels'!$C$7:$C$66,$E12695,'Vols additionnels'!$D$7:$D$66,$F12695,'Vols additionnels'!$B$7:$B$66,$D12695)</f>
        <v>0</v>
      </c>
      <c r="H12695" s="135" t="n">
        <f aca="false">$G12695*'Analyse capacite'!$F$7</f>
        <v>0</v>
      </c>
      <c r="I12695" s="135" t="n">
        <f aca="false">$G12695*'Analyse capacite'!$C$7</f>
        <v>0</v>
      </c>
      <c r="J12695" s="135" t="n">
        <f aca="false">$G12695*'Analyse capacite'!$D$7</f>
        <v>0</v>
      </c>
      <c r="K12695" s="135" t="n">
        <f aca="false">$G12695*'Analyse capacite'!$E$7</f>
        <v>0</v>
      </c>
    </row>
    <row r="12696" customFormat="false" ht="15" hidden="false" customHeight="false" outlineLevel="0" collapsed="false">
      <c r="B12696" s="130" t="n">
        <v>2028</v>
      </c>
      <c r="C12696" s="131" t="s">
        <v>257</v>
      </c>
      <c r="D12696" s="132" t="n">
        <v>46830</v>
      </c>
      <c r="E12696" s="131" t="s">
        <v>46</v>
      </c>
      <c r="F12696" s="133" t="s">
        <v>19</v>
      </c>
      <c r="G12696" s="134" t="n">
        <f aca="false">LEN('Saisie programme'!$I$461)+SUMIFS('Vols additionnels'!$E$7:$E$66,'Vols additionnels'!$C$7:$C$66,$E12696,'Vols additionnels'!$D$7:$D$66,$F12696,'Vols additionnels'!$B$7:$B$66,$D12696)</f>
        <v>0</v>
      </c>
      <c r="H12696" s="135" t="n">
        <f aca="false">$G12696*'Analyse capacite'!$F$8</f>
        <v>0</v>
      </c>
      <c r="I12696" s="135" t="n">
        <f aca="false">$G12696*'Analyse capacite'!$C$8</f>
        <v>0</v>
      </c>
      <c r="J12696" s="135" t="n">
        <f aca="false">$G12696*'Analyse capacite'!$D$8</f>
        <v>0</v>
      </c>
      <c r="K12696" s="135" t="n">
        <f aca="false">$G12696*'Analyse capacite'!$E$8</f>
        <v>0</v>
      </c>
    </row>
    <row r="12697" customFormat="false" ht="15" hidden="false" customHeight="false" outlineLevel="0" collapsed="false">
      <c r="B12697" s="130" t="n">
        <v>2028</v>
      </c>
      <c r="C12697" s="131" t="s">
        <v>257</v>
      </c>
      <c r="D12697" s="132" t="n">
        <v>46830</v>
      </c>
      <c r="E12697" s="131" t="s">
        <v>46</v>
      </c>
      <c r="F12697" s="133" t="s">
        <v>24</v>
      </c>
      <c r="G12697" s="134" t="n">
        <f aca="false">LEN('Saisie programme'!$I$462)+SUMIFS('Vols additionnels'!$E$7:$E$66,'Vols additionnels'!$C$7:$C$66,$E12697,'Vols additionnels'!$D$7:$D$66,$F12697,'Vols additionnels'!$B$7:$B$66,$D12697)</f>
        <v>1</v>
      </c>
      <c r="H12697" s="135" t="n">
        <f aca="false">$G12697*'Analyse capacite'!$F$9</f>
        <v>174</v>
      </c>
      <c r="I12697" s="135" t="n">
        <f aca="false">$G12697*'Analyse capacite'!$C$9</f>
        <v>0</v>
      </c>
      <c r="J12697" s="135" t="n">
        <f aca="false">$G12697*'Analyse capacite'!$D$9</f>
        <v>12</v>
      </c>
      <c r="K12697" s="135" t="n">
        <f aca="false">$G12697*'Analyse capacite'!$E$9</f>
        <v>162</v>
      </c>
    </row>
    <row r="12698" customFormat="false" ht="15" hidden="false" customHeight="false" outlineLevel="0" collapsed="false">
      <c r="B12698" s="130" t="n">
        <v>2028</v>
      </c>
      <c r="C12698" s="131" t="s">
        <v>257</v>
      </c>
      <c r="D12698" s="132" t="n">
        <v>46830</v>
      </c>
      <c r="E12698" s="131" t="s">
        <v>49</v>
      </c>
      <c r="F12698" s="133" t="s">
        <v>11</v>
      </c>
      <c r="G12698" s="134" t="n">
        <f aca="false">LEN('Saisie programme'!$I$463)+SUMIFS('Vols additionnels'!$E$7:$E$66,'Vols additionnels'!$C$7:$C$66,$E12698,'Vols additionnels'!$D$7:$D$66,$F12698,'Vols additionnels'!$B$7:$B$66,$D12698)</f>
        <v>0</v>
      </c>
      <c r="H12698" s="135" t="n">
        <f aca="false">$G12698*'Analyse capacite'!$F$7</f>
        <v>0</v>
      </c>
      <c r="I12698" s="135" t="n">
        <f aca="false">$G12698*'Analyse capacite'!$C$7</f>
        <v>0</v>
      </c>
      <c r="J12698" s="135" t="n">
        <f aca="false">$G12698*'Analyse capacite'!$D$7</f>
        <v>0</v>
      </c>
      <c r="K12698" s="135" t="n">
        <f aca="false">$G12698*'Analyse capacite'!$E$7</f>
        <v>0</v>
      </c>
    </row>
    <row r="12699" customFormat="false" ht="15" hidden="false" customHeight="false" outlineLevel="0" collapsed="false">
      <c r="B12699" s="130" t="n">
        <v>2028</v>
      </c>
      <c r="C12699" s="131" t="s">
        <v>257</v>
      </c>
      <c r="D12699" s="132" t="n">
        <v>46830</v>
      </c>
      <c r="E12699" s="131" t="s">
        <v>49</v>
      </c>
      <c r="F12699" s="133" t="s">
        <v>19</v>
      </c>
      <c r="G12699" s="134" t="n">
        <f aca="false">LEN('Saisie programme'!$I$464)+SUMIFS('Vols additionnels'!$E$7:$E$66,'Vols additionnels'!$C$7:$C$66,$E12699,'Vols additionnels'!$D$7:$D$66,$F12699,'Vols additionnels'!$B$7:$B$66,$D12699)</f>
        <v>0</v>
      </c>
      <c r="H12699" s="135" t="n">
        <f aca="false">$G12699*'Analyse capacite'!$F$8</f>
        <v>0</v>
      </c>
      <c r="I12699" s="135" t="n">
        <f aca="false">$G12699*'Analyse capacite'!$C$8</f>
        <v>0</v>
      </c>
      <c r="J12699" s="135" t="n">
        <f aca="false">$G12699*'Analyse capacite'!$D$8</f>
        <v>0</v>
      </c>
      <c r="K12699" s="135" t="n">
        <f aca="false">$G12699*'Analyse capacite'!$E$8</f>
        <v>0</v>
      </c>
    </row>
    <row r="12700" customFormat="false" ht="15" hidden="false" customHeight="false" outlineLevel="0" collapsed="false">
      <c r="B12700" s="130" t="n">
        <v>2028</v>
      </c>
      <c r="C12700" s="131" t="s">
        <v>257</v>
      </c>
      <c r="D12700" s="132" t="n">
        <v>46830</v>
      </c>
      <c r="E12700" s="131" t="s">
        <v>49</v>
      </c>
      <c r="F12700" s="133" t="s">
        <v>24</v>
      </c>
      <c r="G12700" s="134" t="n">
        <f aca="false">LEN('Saisie programme'!$I$465)+SUMIFS('Vols additionnels'!$E$7:$E$66,'Vols additionnels'!$C$7:$C$66,$E12700,'Vols additionnels'!$D$7:$D$66,$F12700,'Vols additionnels'!$B$7:$B$66,$D12700)</f>
        <v>0</v>
      </c>
      <c r="H12700" s="135" t="n">
        <f aca="false">$G12700*'Analyse capacite'!$F$9</f>
        <v>0</v>
      </c>
      <c r="I12700" s="135" t="n">
        <f aca="false">$G12700*'Analyse capacite'!$C$9</f>
        <v>0</v>
      </c>
      <c r="J12700" s="135" t="n">
        <f aca="false">$G12700*'Analyse capacite'!$D$9</f>
        <v>0</v>
      </c>
      <c r="K12700" s="135" t="n">
        <f aca="false">$G12700*'Analyse capacite'!$E$9</f>
        <v>0</v>
      </c>
    </row>
    <row r="12701" customFormat="false" ht="15" hidden="false" customHeight="false" outlineLevel="0" collapsed="false">
      <c r="B12701" s="130" t="n">
        <v>2028</v>
      </c>
      <c r="C12701" s="131" t="s">
        <v>257</v>
      </c>
      <c r="D12701" s="132" t="n">
        <v>46830</v>
      </c>
      <c r="E12701" s="131" t="s">
        <v>53</v>
      </c>
      <c r="F12701" s="133" t="s">
        <v>11</v>
      </c>
      <c r="G12701" s="134" t="n">
        <f aca="false">LEN('Saisie programme'!$I$466)+SUMIFS('Vols additionnels'!$E$7:$E$66,'Vols additionnels'!$C$7:$C$66,$E12701,'Vols additionnels'!$D$7:$D$66,$F12701,'Vols additionnels'!$B$7:$B$66,$D12701)</f>
        <v>0</v>
      </c>
      <c r="H12701" s="135" t="n">
        <f aca="false">$G12701*'Analyse capacite'!$F$7</f>
        <v>0</v>
      </c>
      <c r="I12701" s="135" t="n">
        <f aca="false">$G12701*'Analyse capacite'!$C$7</f>
        <v>0</v>
      </c>
      <c r="J12701" s="135" t="n">
        <f aca="false">$G12701*'Analyse capacite'!$D$7</f>
        <v>0</v>
      </c>
      <c r="K12701" s="135" t="n">
        <f aca="false">$G12701*'Analyse capacite'!$E$7</f>
        <v>0</v>
      </c>
    </row>
    <row r="12702" customFormat="false" ht="15" hidden="false" customHeight="false" outlineLevel="0" collapsed="false">
      <c r="B12702" s="130" t="n">
        <v>2028</v>
      </c>
      <c r="C12702" s="131" t="s">
        <v>257</v>
      </c>
      <c r="D12702" s="132" t="n">
        <v>46830</v>
      </c>
      <c r="E12702" s="131" t="s">
        <v>53</v>
      </c>
      <c r="F12702" s="133" t="s">
        <v>19</v>
      </c>
      <c r="G12702" s="134" t="n">
        <f aca="false">LEN('Saisie programme'!$I$467)+SUMIFS('Vols additionnels'!$E$7:$E$66,'Vols additionnels'!$C$7:$C$66,$E12702,'Vols additionnels'!$D$7:$D$66,$F12702,'Vols additionnels'!$B$7:$B$66,$D12702)</f>
        <v>0</v>
      </c>
      <c r="H12702" s="135" t="n">
        <f aca="false">$G12702*'Analyse capacite'!$F$8</f>
        <v>0</v>
      </c>
      <c r="I12702" s="135" t="n">
        <f aca="false">$G12702*'Analyse capacite'!$C$8</f>
        <v>0</v>
      </c>
      <c r="J12702" s="135" t="n">
        <f aca="false">$G12702*'Analyse capacite'!$D$8</f>
        <v>0</v>
      </c>
      <c r="K12702" s="135" t="n">
        <f aca="false">$G12702*'Analyse capacite'!$E$8</f>
        <v>0</v>
      </c>
    </row>
    <row r="12703" customFormat="false" ht="15" hidden="false" customHeight="false" outlineLevel="0" collapsed="false">
      <c r="B12703" s="130" t="n">
        <v>2028</v>
      </c>
      <c r="C12703" s="131" t="s">
        <v>257</v>
      </c>
      <c r="D12703" s="132" t="n">
        <v>46830</v>
      </c>
      <c r="E12703" s="131" t="s">
        <v>53</v>
      </c>
      <c r="F12703" s="133" t="s">
        <v>24</v>
      </c>
      <c r="G12703" s="134" t="n">
        <f aca="false">LEN('Saisie programme'!$I$468)+SUMIFS('Vols additionnels'!$E$7:$E$66,'Vols additionnels'!$C$7:$C$66,$E12703,'Vols additionnels'!$D$7:$D$66,$F12703,'Vols additionnels'!$B$7:$B$66,$D12703)</f>
        <v>0</v>
      </c>
      <c r="H12703" s="135" t="n">
        <f aca="false">$G12703*'Analyse capacite'!$F$9</f>
        <v>0</v>
      </c>
      <c r="I12703" s="135" t="n">
        <f aca="false">$G12703*'Analyse capacite'!$C$9</f>
        <v>0</v>
      </c>
      <c r="J12703" s="135" t="n">
        <f aca="false">$G12703*'Analyse capacite'!$D$9</f>
        <v>0</v>
      </c>
      <c r="K12703" s="135" t="n">
        <f aca="false">$G12703*'Analyse capacite'!$E$9</f>
        <v>0</v>
      </c>
    </row>
    <row r="12704" customFormat="false" ht="15" hidden="false" customHeight="false" outlineLevel="0" collapsed="false">
      <c r="B12704" s="130" t="n">
        <v>2028</v>
      </c>
      <c r="C12704" s="131" t="s">
        <v>257</v>
      </c>
      <c r="D12704" s="132" t="n">
        <v>46830</v>
      </c>
      <c r="E12704" s="131" t="s">
        <v>56</v>
      </c>
      <c r="F12704" s="133" t="s">
        <v>11</v>
      </c>
      <c r="G12704" s="134" t="n">
        <f aca="false">LEN('Saisie programme'!$I$469)+SUMIFS('Vols additionnels'!$E$7:$E$66,'Vols additionnels'!$C$7:$C$66,$E12704,'Vols additionnels'!$D$7:$D$66,$F12704,'Vols additionnels'!$B$7:$B$66,$D12704)</f>
        <v>0</v>
      </c>
      <c r="H12704" s="135" t="n">
        <f aca="false">$G12704*'Analyse capacite'!$F$7</f>
        <v>0</v>
      </c>
      <c r="I12704" s="135" t="n">
        <f aca="false">$G12704*'Analyse capacite'!$C$7</f>
        <v>0</v>
      </c>
      <c r="J12704" s="135" t="n">
        <f aca="false">$G12704*'Analyse capacite'!$D$7</f>
        <v>0</v>
      </c>
      <c r="K12704" s="135" t="n">
        <f aca="false">$G12704*'Analyse capacite'!$E$7</f>
        <v>0</v>
      </c>
    </row>
    <row r="12705" customFormat="false" ht="15" hidden="false" customHeight="false" outlineLevel="0" collapsed="false">
      <c r="B12705" s="130" t="n">
        <v>2028</v>
      </c>
      <c r="C12705" s="131" t="s">
        <v>257</v>
      </c>
      <c r="D12705" s="132" t="n">
        <v>46830</v>
      </c>
      <c r="E12705" s="131" t="s">
        <v>56</v>
      </c>
      <c r="F12705" s="133" t="s">
        <v>19</v>
      </c>
      <c r="G12705" s="134" t="n">
        <f aca="false">LEN('Saisie programme'!$I$470)+SUMIFS('Vols additionnels'!$E$7:$E$66,'Vols additionnels'!$C$7:$C$66,$E12705,'Vols additionnels'!$D$7:$D$66,$F12705,'Vols additionnels'!$B$7:$B$66,$D12705)</f>
        <v>0</v>
      </c>
      <c r="H12705" s="135" t="n">
        <f aca="false">$G12705*'Analyse capacite'!$F$8</f>
        <v>0</v>
      </c>
      <c r="I12705" s="135" t="n">
        <f aca="false">$G12705*'Analyse capacite'!$C$8</f>
        <v>0</v>
      </c>
      <c r="J12705" s="135" t="n">
        <f aca="false">$G12705*'Analyse capacite'!$D$8</f>
        <v>0</v>
      </c>
      <c r="K12705" s="135" t="n">
        <f aca="false">$G12705*'Analyse capacite'!$E$8</f>
        <v>0</v>
      </c>
    </row>
    <row r="12706" customFormat="false" ht="15" hidden="false" customHeight="false" outlineLevel="0" collapsed="false">
      <c r="B12706" s="130" t="n">
        <v>2028</v>
      </c>
      <c r="C12706" s="131" t="s">
        <v>257</v>
      </c>
      <c r="D12706" s="132" t="n">
        <v>46830</v>
      </c>
      <c r="E12706" s="131" t="s">
        <v>56</v>
      </c>
      <c r="F12706" s="133" t="s">
        <v>24</v>
      </c>
      <c r="G12706" s="134" t="n">
        <f aca="false">LEN('Saisie programme'!$I$471)+SUMIFS('Vols additionnels'!$E$7:$E$66,'Vols additionnels'!$C$7:$C$66,$E12706,'Vols additionnels'!$D$7:$D$66,$F12706,'Vols additionnels'!$B$7:$B$66,$D12706)</f>
        <v>1</v>
      </c>
      <c r="H12706" s="135" t="n">
        <f aca="false">$G12706*'Analyse capacite'!$F$9</f>
        <v>174</v>
      </c>
      <c r="I12706" s="135" t="n">
        <f aca="false">$G12706*'Analyse capacite'!$C$9</f>
        <v>0</v>
      </c>
      <c r="J12706" s="135" t="n">
        <f aca="false">$G12706*'Analyse capacite'!$D$9</f>
        <v>12</v>
      </c>
      <c r="K12706" s="135" t="n">
        <f aca="false">$G12706*'Analyse capacite'!$E$9</f>
        <v>162</v>
      </c>
    </row>
    <row r="12707" customFormat="false" ht="15" hidden="false" customHeight="false" outlineLevel="0" collapsed="false">
      <c r="B12707" s="130" t="n">
        <v>2028</v>
      </c>
      <c r="C12707" s="131" t="s">
        <v>257</v>
      </c>
      <c r="D12707" s="132" t="n">
        <v>46830</v>
      </c>
      <c r="E12707" s="131" t="s">
        <v>59</v>
      </c>
      <c r="F12707" s="133" t="s">
        <v>11</v>
      </c>
      <c r="G12707" s="134" t="n">
        <f aca="false">LEN('Saisie programme'!$I$472)+SUMIFS('Vols additionnels'!$E$7:$E$66,'Vols additionnels'!$C$7:$C$66,$E12707,'Vols additionnels'!$D$7:$D$66,$F12707,'Vols additionnels'!$B$7:$B$66,$D12707)</f>
        <v>0</v>
      </c>
      <c r="H12707" s="135" t="n">
        <f aca="false">$G12707*'Analyse capacite'!$F$7</f>
        <v>0</v>
      </c>
      <c r="I12707" s="135" t="n">
        <f aca="false">$G12707*'Analyse capacite'!$C$7</f>
        <v>0</v>
      </c>
      <c r="J12707" s="135" t="n">
        <f aca="false">$G12707*'Analyse capacite'!$D$7</f>
        <v>0</v>
      </c>
      <c r="K12707" s="135" t="n">
        <f aca="false">$G12707*'Analyse capacite'!$E$7</f>
        <v>0</v>
      </c>
    </row>
    <row r="12708" customFormat="false" ht="15" hidden="false" customHeight="false" outlineLevel="0" collapsed="false">
      <c r="B12708" s="130" t="n">
        <v>2028</v>
      </c>
      <c r="C12708" s="131" t="s">
        <v>257</v>
      </c>
      <c r="D12708" s="132" t="n">
        <v>46830</v>
      </c>
      <c r="E12708" s="131" t="s">
        <v>59</v>
      </c>
      <c r="F12708" s="133" t="s">
        <v>19</v>
      </c>
      <c r="G12708" s="134" t="n">
        <f aca="false">LEN('Saisie programme'!$I$473)+SUMIFS('Vols additionnels'!$E$7:$E$66,'Vols additionnels'!$C$7:$C$66,$E12708,'Vols additionnels'!$D$7:$D$66,$F12708,'Vols additionnels'!$B$7:$B$66,$D12708)</f>
        <v>0</v>
      </c>
      <c r="H12708" s="135" t="n">
        <f aca="false">$G12708*'Analyse capacite'!$F$8</f>
        <v>0</v>
      </c>
      <c r="I12708" s="135" t="n">
        <f aca="false">$G12708*'Analyse capacite'!$C$8</f>
        <v>0</v>
      </c>
      <c r="J12708" s="135" t="n">
        <f aca="false">$G12708*'Analyse capacite'!$D$8</f>
        <v>0</v>
      </c>
      <c r="K12708" s="135" t="n">
        <f aca="false">$G12708*'Analyse capacite'!$E$8</f>
        <v>0</v>
      </c>
    </row>
    <row r="12709" customFormat="false" ht="15" hidden="false" customHeight="false" outlineLevel="0" collapsed="false">
      <c r="B12709" s="130" t="n">
        <v>2028</v>
      </c>
      <c r="C12709" s="131" t="s">
        <v>257</v>
      </c>
      <c r="D12709" s="132" t="n">
        <v>46830</v>
      </c>
      <c r="E12709" s="131" t="s">
        <v>59</v>
      </c>
      <c r="F12709" s="133" t="s">
        <v>24</v>
      </c>
      <c r="G12709" s="134" t="n">
        <f aca="false">LEN('Saisie programme'!$I$474)+SUMIFS('Vols additionnels'!$E$7:$E$66,'Vols additionnels'!$C$7:$C$66,$E12709,'Vols additionnels'!$D$7:$D$66,$F12709,'Vols additionnels'!$B$7:$B$66,$D12709)</f>
        <v>1</v>
      </c>
      <c r="H12709" s="135" t="n">
        <f aca="false">$G12709*'Analyse capacite'!$F$9</f>
        <v>174</v>
      </c>
      <c r="I12709" s="135" t="n">
        <f aca="false">$G12709*'Analyse capacite'!$C$9</f>
        <v>0</v>
      </c>
      <c r="J12709" s="135" t="n">
        <f aca="false">$G12709*'Analyse capacite'!$D$9</f>
        <v>12</v>
      </c>
      <c r="K12709" s="135" t="n">
        <f aca="false">$G12709*'Analyse capacite'!$E$9</f>
        <v>162</v>
      </c>
    </row>
    <row r="12710" customFormat="false" ht="15" hidden="false" customHeight="false" outlineLevel="0" collapsed="false">
      <c r="B12710" s="130" t="n">
        <v>2028</v>
      </c>
      <c r="C12710" s="131" t="s">
        <v>257</v>
      </c>
      <c r="D12710" s="132" t="n">
        <v>46830</v>
      </c>
      <c r="E12710" s="131" t="s">
        <v>62</v>
      </c>
      <c r="F12710" s="133" t="s">
        <v>11</v>
      </c>
      <c r="G12710" s="134" t="n">
        <f aca="false">LEN('Saisie programme'!$I$475)+SUMIFS('Vols additionnels'!$E$7:$E$66,'Vols additionnels'!$C$7:$C$66,$E12710,'Vols additionnels'!$D$7:$D$66,$F12710,'Vols additionnels'!$B$7:$B$66,$D12710)</f>
        <v>0</v>
      </c>
      <c r="H12710" s="135" t="n">
        <f aca="false">$G12710*'Analyse capacite'!$F$7</f>
        <v>0</v>
      </c>
      <c r="I12710" s="135" t="n">
        <f aca="false">$G12710*'Analyse capacite'!$C$7</f>
        <v>0</v>
      </c>
      <c r="J12710" s="135" t="n">
        <f aca="false">$G12710*'Analyse capacite'!$D$7</f>
        <v>0</v>
      </c>
      <c r="K12710" s="135" t="n">
        <f aca="false">$G12710*'Analyse capacite'!$E$7</f>
        <v>0</v>
      </c>
    </row>
    <row r="12711" customFormat="false" ht="15" hidden="false" customHeight="false" outlineLevel="0" collapsed="false">
      <c r="B12711" s="130" t="n">
        <v>2028</v>
      </c>
      <c r="C12711" s="131" t="s">
        <v>257</v>
      </c>
      <c r="D12711" s="132" t="n">
        <v>46830</v>
      </c>
      <c r="E12711" s="131" t="s">
        <v>62</v>
      </c>
      <c r="F12711" s="133" t="s">
        <v>19</v>
      </c>
      <c r="G12711" s="134" t="n">
        <f aca="false">LEN('Saisie programme'!$I$476)+SUMIFS('Vols additionnels'!$E$7:$E$66,'Vols additionnels'!$C$7:$C$66,$E12711,'Vols additionnels'!$D$7:$D$66,$F12711,'Vols additionnels'!$B$7:$B$66,$D12711)</f>
        <v>0</v>
      </c>
      <c r="H12711" s="135" t="n">
        <f aca="false">$G12711*'Analyse capacite'!$F$8</f>
        <v>0</v>
      </c>
      <c r="I12711" s="135" t="n">
        <f aca="false">$G12711*'Analyse capacite'!$C$8</f>
        <v>0</v>
      </c>
      <c r="J12711" s="135" t="n">
        <f aca="false">$G12711*'Analyse capacite'!$D$8</f>
        <v>0</v>
      </c>
      <c r="K12711" s="135" t="n">
        <f aca="false">$G12711*'Analyse capacite'!$E$8</f>
        <v>0</v>
      </c>
    </row>
    <row r="12712" customFormat="false" ht="15" hidden="false" customHeight="false" outlineLevel="0" collapsed="false">
      <c r="B12712" s="130" t="n">
        <v>2028</v>
      </c>
      <c r="C12712" s="131" t="s">
        <v>257</v>
      </c>
      <c r="D12712" s="132" t="n">
        <v>46830</v>
      </c>
      <c r="E12712" s="131" t="s">
        <v>62</v>
      </c>
      <c r="F12712" s="133" t="s">
        <v>24</v>
      </c>
      <c r="G12712" s="134" t="n">
        <f aca="false">LEN('Saisie programme'!$I$477)+SUMIFS('Vols additionnels'!$E$7:$E$66,'Vols additionnels'!$C$7:$C$66,$E12712,'Vols additionnels'!$D$7:$D$66,$F12712,'Vols additionnels'!$B$7:$B$66,$D12712)</f>
        <v>0</v>
      </c>
      <c r="H12712" s="135" t="n">
        <f aca="false">$G12712*'Analyse capacite'!$F$9</f>
        <v>0</v>
      </c>
      <c r="I12712" s="135" t="n">
        <f aca="false">$G12712*'Analyse capacite'!$C$9</f>
        <v>0</v>
      </c>
      <c r="J12712" s="135" t="n">
        <f aca="false">$G12712*'Analyse capacite'!$D$9</f>
        <v>0</v>
      </c>
      <c r="K12712" s="135" t="n">
        <f aca="false">$G12712*'Analyse capacite'!$E$9</f>
        <v>0</v>
      </c>
    </row>
    <row r="12713" customFormat="false" ht="15" hidden="false" customHeight="false" outlineLevel="0" collapsed="false">
      <c r="B12713" s="130" t="n">
        <v>2028</v>
      </c>
      <c r="C12713" s="131" t="s">
        <v>257</v>
      </c>
      <c r="D12713" s="132" t="n">
        <v>46831</v>
      </c>
      <c r="E12713" s="131" t="s">
        <v>12</v>
      </c>
      <c r="F12713" s="133" t="s">
        <v>11</v>
      </c>
      <c r="G12713" s="134" t="n">
        <f aca="false">LEN('Saisie programme'!$J$442)+SUMIFS('Vols additionnels'!$E$7:$E$66,'Vols additionnels'!$C$7:$C$66,$E12713,'Vols additionnels'!$D$7:$D$66,$F12713,'Vols additionnels'!$B$7:$B$66,$D12713)</f>
        <v>1</v>
      </c>
      <c r="H12713" s="135" t="n">
        <f aca="false">$G12713*'Analyse capacite'!$F$7</f>
        <v>438</v>
      </c>
      <c r="I12713" s="135" t="n">
        <f aca="false">$G12713*'Analyse capacite'!$C$7</f>
        <v>14</v>
      </c>
      <c r="J12713" s="135" t="n">
        <f aca="false">$G12713*'Analyse capacite'!$D$7</f>
        <v>40</v>
      </c>
      <c r="K12713" s="135" t="n">
        <f aca="false">$G12713*'Analyse capacite'!$E$7</f>
        <v>384</v>
      </c>
    </row>
    <row r="12714" customFormat="false" ht="15" hidden="false" customHeight="false" outlineLevel="0" collapsed="false">
      <c r="B12714" s="130" t="n">
        <v>2028</v>
      </c>
      <c r="C12714" s="131" t="s">
        <v>257</v>
      </c>
      <c r="D12714" s="132" t="n">
        <v>46831</v>
      </c>
      <c r="E12714" s="131" t="s">
        <v>12</v>
      </c>
      <c r="F12714" s="133" t="s">
        <v>19</v>
      </c>
      <c r="G12714" s="134" t="n">
        <f aca="false">LEN('Saisie programme'!$J$443)+SUMIFS('Vols additionnels'!$E$7:$E$66,'Vols additionnels'!$C$7:$C$66,$E12714,'Vols additionnels'!$D$7:$D$66,$F12714,'Vols additionnels'!$B$7:$B$66,$D12714)</f>
        <v>0</v>
      </c>
      <c r="H12714" s="135" t="n">
        <f aca="false">$G12714*'Analyse capacite'!$F$8</f>
        <v>0</v>
      </c>
      <c r="I12714" s="135" t="n">
        <f aca="false">$G12714*'Analyse capacite'!$C$8</f>
        <v>0</v>
      </c>
      <c r="J12714" s="135" t="n">
        <f aca="false">$G12714*'Analyse capacite'!$D$8</f>
        <v>0</v>
      </c>
      <c r="K12714" s="135" t="n">
        <f aca="false">$G12714*'Analyse capacite'!$E$8</f>
        <v>0</v>
      </c>
    </row>
    <row r="12715" customFormat="false" ht="15" hidden="false" customHeight="false" outlineLevel="0" collapsed="false">
      <c r="B12715" s="130" t="n">
        <v>2028</v>
      </c>
      <c r="C12715" s="131" t="s">
        <v>257</v>
      </c>
      <c r="D12715" s="132" t="n">
        <v>46831</v>
      </c>
      <c r="E12715" s="131" t="s">
        <v>12</v>
      </c>
      <c r="F12715" s="133" t="s">
        <v>24</v>
      </c>
      <c r="G12715" s="134" t="n">
        <f aca="false">LEN('Saisie programme'!$J$444)+SUMIFS('Vols additionnels'!$E$7:$E$66,'Vols additionnels'!$C$7:$C$66,$E12715,'Vols additionnels'!$D$7:$D$66,$F12715,'Vols additionnels'!$B$7:$B$66,$D12715)</f>
        <v>0</v>
      </c>
      <c r="H12715" s="135" t="n">
        <f aca="false">$G12715*'Analyse capacite'!$F$9</f>
        <v>0</v>
      </c>
      <c r="I12715" s="135" t="n">
        <f aca="false">$G12715*'Analyse capacite'!$C$9</f>
        <v>0</v>
      </c>
      <c r="J12715" s="135" t="n">
        <f aca="false">$G12715*'Analyse capacite'!$D$9</f>
        <v>0</v>
      </c>
      <c r="K12715" s="135" t="n">
        <f aca="false">$G12715*'Analyse capacite'!$E$9</f>
        <v>0</v>
      </c>
    </row>
    <row r="12716" customFormat="false" ht="15" hidden="false" customHeight="false" outlineLevel="0" collapsed="false">
      <c r="B12716" s="130" t="n">
        <v>2028</v>
      </c>
      <c r="C12716" s="131" t="s">
        <v>257</v>
      </c>
      <c r="D12716" s="132" t="n">
        <v>46831</v>
      </c>
      <c r="E12716" s="131" t="s">
        <v>20</v>
      </c>
      <c r="F12716" s="133" t="s">
        <v>11</v>
      </c>
      <c r="G12716" s="134" t="n">
        <f aca="false">LEN('Saisie programme'!$J$445)+SUMIFS('Vols additionnels'!$E$7:$E$66,'Vols additionnels'!$C$7:$C$66,$E12716,'Vols additionnels'!$D$7:$D$66,$F12716,'Vols additionnels'!$B$7:$B$66,$D12716)</f>
        <v>1</v>
      </c>
      <c r="H12716" s="135" t="n">
        <f aca="false">$G12716*'Analyse capacite'!$F$7</f>
        <v>438</v>
      </c>
      <c r="I12716" s="135" t="n">
        <f aca="false">$G12716*'Analyse capacite'!$C$7</f>
        <v>14</v>
      </c>
      <c r="J12716" s="135" t="n">
        <f aca="false">$G12716*'Analyse capacite'!$D$7</f>
        <v>40</v>
      </c>
      <c r="K12716" s="135" t="n">
        <f aca="false">$G12716*'Analyse capacite'!$E$7</f>
        <v>384</v>
      </c>
    </row>
    <row r="12717" customFormat="false" ht="15" hidden="false" customHeight="false" outlineLevel="0" collapsed="false">
      <c r="B12717" s="130" t="n">
        <v>2028</v>
      </c>
      <c r="C12717" s="131" t="s">
        <v>257</v>
      </c>
      <c r="D12717" s="132" t="n">
        <v>46831</v>
      </c>
      <c r="E12717" s="131" t="s">
        <v>20</v>
      </c>
      <c r="F12717" s="133" t="s">
        <v>19</v>
      </c>
      <c r="G12717" s="134" t="n">
        <f aca="false">LEN('Saisie programme'!$J$446)+SUMIFS('Vols additionnels'!$E$7:$E$66,'Vols additionnels'!$C$7:$C$66,$E12717,'Vols additionnels'!$D$7:$D$66,$F12717,'Vols additionnels'!$B$7:$B$66,$D12717)</f>
        <v>0</v>
      </c>
      <c r="H12717" s="135" t="n">
        <f aca="false">$G12717*'Analyse capacite'!$F$8</f>
        <v>0</v>
      </c>
      <c r="I12717" s="135" t="n">
        <f aca="false">$G12717*'Analyse capacite'!$C$8</f>
        <v>0</v>
      </c>
      <c r="J12717" s="135" t="n">
        <f aca="false">$G12717*'Analyse capacite'!$D$8</f>
        <v>0</v>
      </c>
      <c r="K12717" s="135" t="n">
        <f aca="false">$G12717*'Analyse capacite'!$E$8</f>
        <v>0</v>
      </c>
    </row>
    <row r="12718" customFormat="false" ht="15" hidden="false" customHeight="false" outlineLevel="0" collapsed="false">
      <c r="B12718" s="130" t="n">
        <v>2028</v>
      </c>
      <c r="C12718" s="131" t="s">
        <v>257</v>
      </c>
      <c r="D12718" s="132" t="n">
        <v>46831</v>
      </c>
      <c r="E12718" s="131" t="s">
        <v>20</v>
      </c>
      <c r="F12718" s="133" t="s">
        <v>24</v>
      </c>
      <c r="G12718" s="134" t="n">
        <f aca="false">LEN('Saisie programme'!$J$447)+SUMIFS('Vols additionnels'!$E$7:$E$66,'Vols additionnels'!$C$7:$C$66,$E12718,'Vols additionnels'!$D$7:$D$66,$F12718,'Vols additionnels'!$B$7:$B$66,$D12718)</f>
        <v>0</v>
      </c>
      <c r="H12718" s="135" t="n">
        <f aca="false">$G12718*'Analyse capacite'!$F$9</f>
        <v>0</v>
      </c>
      <c r="I12718" s="135" t="n">
        <f aca="false">$G12718*'Analyse capacite'!$C$9</f>
        <v>0</v>
      </c>
      <c r="J12718" s="135" t="n">
        <f aca="false">$G12718*'Analyse capacite'!$D$9</f>
        <v>0</v>
      </c>
      <c r="K12718" s="135" t="n">
        <f aca="false">$G12718*'Analyse capacite'!$E$9</f>
        <v>0</v>
      </c>
    </row>
    <row r="12719" customFormat="false" ht="15" hidden="false" customHeight="false" outlineLevel="0" collapsed="false">
      <c r="B12719" s="130" t="n">
        <v>2028</v>
      </c>
      <c r="C12719" s="131" t="s">
        <v>257</v>
      </c>
      <c r="D12719" s="132" t="n">
        <v>46831</v>
      </c>
      <c r="E12719" s="131" t="s">
        <v>25</v>
      </c>
      <c r="F12719" s="133" t="s">
        <v>11</v>
      </c>
      <c r="G12719" s="134" t="n">
        <f aca="false">LEN('Saisie programme'!$J$448)+SUMIFS('Vols additionnels'!$E$7:$E$66,'Vols additionnels'!$C$7:$C$66,$E12719,'Vols additionnels'!$D$7:$D$66,$F12719,'Vols additionnels'!$B$7:$B$66,$D12719)</f>
        <v>0</v>
      </c>
      <c r="H12719" s="135" t="n">
        <f aca="false">$G12719*'Analyse capacite'!$F$7</f>
        <v>0</v>
      </c>
      <c r="I12719" s="135" t="n">
        <f aca="false">$G12719*'Analyse capacite'!$C$7</f>
        <v>0</v>
      </c>
      <c r="J12719" s="135" t="n">
        <f aca="false">$G12719*'Analyse capacite'!$D$7</f>
        <v>0</v>
      </c>
      <c r="K12719" s="135" t="n">
        <f aca="false">$G12719*'Analyse capacite'!$E$7</f>
        <v>0</v>
      </c>
    </row>
    <row r="12720" customFormat="false" ht="15" hidden="false" customHeight="false" outlineLevel="0" collapsed="false">
      <c r="B12720" s="130" t="n">
        <v>2028</v>
      </c>
      <c r="C12720" s="131" t="s">
        <v>257</v>
      </c>
      <c r="D12720" s="132" t="n">
        <v>46831</v>
      </c>
      <c r="E12720" s="131" t="s">
        <v>25</v>
      </c>
      <c r="F12720" s="133" t="s">
        <v>19</v>
      </c>
      <c r="G12720" s="134" t="n">
        <f aca="false">LEN('Saisie programme'!$J$449)+SUMIFS('Vols additionnels'!$E$7:$E$66,'Vols additionnels'!$C$7:$C$66,$E12720,'Vols additionnels'!$D$7:$D$66,$F12720,'Vols additionnels'!$B$7:$B$66,$D12720)</f>
        <v>0</v>
      </c>
      <c r="H12720" s="135" t="n">
        <f aca="false">$G12720*'Analyse capacite'!$F$8</f>
        <v>0</v>
      </c>
      <c r="I12720" s="135" t="n">
        <f aca="false">$G12720*'Analyse capacite'!$C$8</f>
        <v>0</v>
      </c>
      <c r="J12720" s="135" t="n">
        <f aca="false">$G12720*'Analyse capacite'!$D$8</f>
        <v>0</v>
      </c>
      <c r="K12720" s="135" t="n">
        <f aca="false">$G12720*'Analyse capacite'!$E$8</f>
        <v>0</v>
      </c>
    </row>
    <row r="12721" customFormat="false" ht="15" hidden="false" customHeight="false" outlineLevel="0" collapsed="false">
      <c r="B12721" s="130" t="n">
        <v>2028</v>
      </c>
      <c r="C12721" s="131" t="s">
        <v>257</v>
      </c>
      <c r="D12721" s="132" t="n">
        <v>46831</v>
      </c>
      <c r="E12721" s="131" t="s">
        <v>25</v>
      </c>
      <c r="F12721" s="133" t="s">
        <v>24</v>
      </c>
      <c r="G12721" s="134" t="n">
        <f aca="false">LEN('Saisie programme'!$J$450)+SUMIFS('Vols additionnels'!$E$7:$E$66,'Vols additionnels'!$C$7:$C$66,$E12721,'Vols additionnels'!$D$7:$D$66,$F12721,'Vols additionnels'!$B$7:$B$66,$D12721)</f>
        <v>0</v>
      </c>
      <c r="H12721" s="135" t="n">
        <f aca="false">$G12721*'Analyse capacite'!$F$9</f>
        <v>0</v>
      </c>
      <c r="I12721" s="135" t="n">
        <f aca="false">$G12721*'Analyse capacite'!$C$9</f>
        <v>0</v>
      </c>
      <c r="J12721" s="135" t="n">
        <f aca="false">$G12721*'Analyse capacite'!$D$9</f>
        <v>0</v>
      </c>
      <c r="K12721" s="135" t="n">
        <f aca="false">$G12721*'Analyse capacite'!$E$9</f>
        <v>0</v>
      </c>
    </row>
    <row r="12722" customFormat="false" ht="15" hidden="false" customHeight="false" outlineLevel="0" collapsed="false">
      <c r="B12722" s="130" t="n">
        <v>2028</v>
      </c>
      <c r="C12722" s="131" t="s">
        <v>257</v>
      </c>
      <c r="D12722" s="132" t="n">
        <v>46831</v>
      </c>
      <c r="E12722" s="131" t="s">
        <v>36</v>
      </c>
      <c r="F12722" s="133" t="s">
        <v>11</v>
      </c>
      <c r="G12722" s="134" t="n">
        <f aca="false">LEN('Saisie programme'!$J$451)+SUMIFS('Vols additionnels'!$E$7:$E$66,'Vols additionnels'!$C$7:$C$66,$E12722,'Vols additionnels'!$D$7:$D$66,$F12722,'Vols additionnels'!$B$7:$B$66,$D12722)</f>
        <v>0</v>
      </c>
      <c r="H12722" s="135" t="n">
        <f aca="false">$G12722*'Analyse capacite'!$F$7</f>
        <v>0</v>
      </c>
      <c r="I12722" s="135" t="n">
        <f aca="false">$G12722*'Analyse capacite'!$C$7</f>
        <v>0</v>
      </c>
      <c r="J12722" s="135" t="n">
        <f aca="false">$G12722*'Analyse capacite'!$D$7</f>
        <v>0</v>
      </c>
      <c r="K12722" s="135" t="n">
        <f aca="false">$G12722*'Analyse capacite'!$E$7</f>
        <v>0</v>
      </c>
    </row>
    <row r="12723" customFormat="false" ht="15" hidden="false" customHeight="false" outlineLevel="0" collapsed="false">
      <c r="B12723" s="130" t="n">
        <v>2028</v>
      </c>
      <c r="C12723" s="131" t="s">
        <v>257</v>
      </c>
      <c r="D12723" s="132" t="n">
        <v>46831</v>
      </c>
      <c r="E12723" s="131" t="s">
        <v>36</v>
      </c>
      <c r="F12723" s="133" t="s">
        <v>19</v>
      </c>
      <c r="G12723" s="134" t="n">
        <f aca="false">LEN('Saisie programme'!$J$452)+SUMIFS('Vols additionnels'!$E$7:$E$66,'Vols additionnels'!$C$7:$C$66,$E12723,'Vols additionnels'!$D$7:$D$66,$F12723,'Vols additionnels'!$B$7:$B$66,$D12723)</f>
        <v>0</v>
      </c>
      <c r="H12723" s="135" t="n">
        <f aca="false">$G12723*'Analyse capacite'!$F$8</f>
        <v>0</v>
      </c>
      <c r="I12723" s="135" t="n">
        <f aca="false">$G12723*'Analyse capacite'!$C$8</f>
        <v>0</v>
      </c>
      <c r="J12723" s="135" t="n">
        <f aca="false">$G12723*'Analyse capacite'!$D$8</f>
        <v>0</v>
      </c>
      <c r="K12723" s="135" t="n">
        <f aca="false">$G12723*'Analyse capacite'!$E$8</f>
        <v>0</v>
      </c>
    </row>
    <row r="12724" customFormat="false" ht="15" hidden="false" customHeight="false" outlineLevel="0" collapsed="false">
      <c r="B12724" s="130" t="n">
        <v>2028</v>
      </c>
      <c r="C12724" s="131" t="s">
        <v>257</v>
      </c>
      <c r="D12724" s="132" t="n">
        <v>46831</v>
      </c>
      <c r="E12724" s="131" t="s">
        <v>36</v>
      </c>
      <c r="F12724" s="133" t="s">
        <v>24</v>
      </c>
      <c r="G12724" s="134" t="n">
        <f aca="false">LEN('Saisie programme'!$J$453)+SUMIFS('Vols additionnels'!$E$7:$E$66,'Vols additionnels'!$C$7:$C$66,$E12724,'Vols additionnels'!$D$7:$D$66,$F12724,'Vols additionnels'!$B$7:$B$66,$D12724)</f>
        <v>0</v>
      </c>
      <c r="H12724" s="135" t="n">
        <f aca="false">$G12724*'Analyse capacite'!$F$9</f>
        <v>0</v>
      </c>
      <c r="I12724" s="135" t="n">
        <f aca="false">$G12724*'Analyse capacite'!$C$9</f>
        <v>0</v>
      </c>
      <c r="J12724" s="135" t="n">
        <f aca="false">$G12724*'Analyse capacite'!$D$9</f>
        <v>0</v>
      </c>
      <c r="K12724" s="135" t="n">
        <f aca="false">$G12724*'Analyse capacite'!$E$9</f>
        <v>0</v>
      </c>
    </row>
    <row r="12725" customFormat="false" ht="15" hidden="false" customHeight="false" outlineLevel="0" collapsed="false">
      <c r="B12725" s="130" t="n">
        <v>2028</v>
      </c>
      <c r="C12725" s="131" t="s">
        <v>257</v>
      </c>
      <c r="D12725" s="132" t="n">
        <v>46831</v>
      </c>
      <c r="E12725" s="131" t="s">
        <v>40</v>
      </c>
      <c r="F12725" s="133" t="s">
        <v>11</v>
      </c>
      <c r="G12725" s="134" t="n">
        <f aca="false">LEN('Saisie programme'!$J$454)+SUMIFS('Vols additionnels'!$E$7:$E$66,'Vols additionnels'!$C$7:$C$66,$E12725,'Vols additionnels'!$D$7:$D$66,$F12725,'Vols additionnels'!$B$7:$B$66,$D12725)</f>
        <v>0</v>
      </c>
      <c r="H12725" s="135" t="n">
        <f aca="false">$G12725*'Analyse capacite'!$F$7</f>
        <v>0</v>
      </c>
      <c r="I12725" s="135" t="n">
        <f aca="false">$G12725*'Analyse capacite'!$C$7</f>
        <v>0</v>
      </c>
      <c r="J12725" s="135" t="n">
        <f aca="false">$G12725*'Analyse capacite'!$D$7</f>
        <v>0</v>
      </c>
      <c r="K12725" s="135" t="n">
        <f aca="false">$G12725*'Analyse capacite'!$E$7</f>
        <v>0</v>
      </c>
    </row>
    <row r="12726" customFormat="false" ht="15" hidden="false" customHeight="false" outlineLevel="0" collapsed="false">
      <c r="B12726" s="130" t="n">
        <v>2028</v>
      </c>
      <c r="C12726" s="131" t="s">
        <v>257</v>
      </c>
      <c r="D12726" s="132" t="n">
        <v>46831</v>
      </c>
      <c r="E12726" s="131" t="s">
        <v>40</v>
      </c>
      <c r="F12726" s="133" t="s">
        <v>19</v>
      </c>
      <c r="G12726" s="134" t="n">
        <f aca="false">LEN('Saisie programme'!$J$455)+SUMIFS('Vols additionnels'!$E$7:$E$66,'Vols additionnels'!$C$7:$C$66,$E12726,'Vols additionnels'!$D$7:$D$66,$F12726,'Vols additionnels'!$B$7:$B$66,$D12726)</f>
        <v>0</v>
      </c>
      <c r="H12726" s="135" t="n">
        <f aca="false">$G12726*'Analyse capacite'!$F$8</f>
        <v>0</v>
      </c>
      <c r="I12726" s="135" t="n">
        <f aca="false">$G12726*'Analyse capacite'!$C$8</f>
        <v>0</v>
      </c>
      <c r="J12726" s="135" t="n">
        <f aca="false">$G12726*'Analyse capacite'!$D$8</f>
        <v>0</v>
      </c>
      <c r="K12726" s="135" t="n">
        <f aca="false">$G12726*'Analyse capacite'!$E$8</f>
        <v>0</v>
      </c>
    </row>
    <row r="12727" customFormat="false" ht="15" hidden="false" customHeight="false" outlineLevel="0" collapsed="false">
      <c r="B12727" s="130" t="n">
        <v>2028</v>
      </c>
      <c r="C12727" s="131" t="s">
        <v>257</v>
      </c>
      <c r="D12727" s="132" t="n">
        <v>46831</v>
      </c>
      <c r="E12727" s="131" t="s">
        <v>40</v>
      </c>
      <c r="F12727" s="133" t="s">
        <v>24</v>
      </c>
      <c r="G12727" s="134" t="n">
        <f aca="false">LEN('Saisie programme'!$J$456)+SUMIFS('Vols additionnels'!$E$7:$E$66,'Vols additionnels'!$C$7:$C$66,$E12727,'Vols additionnels'!$D$7:$D$66,$F12727,'Vols additionnels'!$B$7:$B$66,$D12727)</f>
        <v>1</v>
      </c>
      <c r="H12727" s="135" t="n">
        <f aca="false">$G12727*'Analyse capacite'!$F$9</f>
        <v>174</v>
      </c>
      <c r="I12727" s="135" t="n">
        <f aca="false">$G12727*'Analyse capacite'!$C$9</f>
        <v>0</v>
      </c>
      <c r="J12727" s="135" t="n">
        <f aca="false">$G12727*'Analyse capacite'!$D$9</f>
        <v>12</v>
      </c>
      <c r="K12727" s="135" t="n">
        <f aca="false">$G12727*'Analyse capacite'!$E$9</f>
        <v>162</v>
      </c>
    </row>
    <row r="12728" customFormat="false" ht="15" hidden="false" customHeight="false" outlineLevel="0" collapsed="false">
      <c r="B12728" s="130" t="n">
        <v>2028</v>
      </c>
      <c r="C12728" s="131" t="s">
        <v>257</v>
      </c>
      <c r="D12728" s="132" t="n">
        <v>46831</v>
      </c>
      <c r="E12728" s="131" t="s">
        <v>14</v>
      </c>
      <c r="F12728" s="133" t="s">
        <v>11</v>
      </c>
      <c r="G12728" s="134" t="n">
        <f aca="false">LEN('Saisie programme'!$J$457)+SUMIFS('Vols additionnels'!$E$7:$E$66,'Vols additionnels'!$C$7:$C$66,$E12728,'Vols additionnels'!$D$7:$D$66,$F12728,'Vols additionnels'!$B$7:$B$66,$D12728)</f>
        <v>0</v>
      </c>
      <c r="H12728" s="135" t="n">
        <f aca="false">$G12728*'Analyse capacite'!$F$7</f>
        <v>0</v>
      </c>
      <c r="I12728" s="135" t="n">
        <f aca="false">$G12728*'Analyse capacite'!$C$7</f>
        <v>0</v>
      </c>
      <c r="J12728" s="135" t="n">
        <f aca="false">$G12728*'Analyse capacite'!$D$7</f>
        <v>0</v>
      </c>
      <c r="K12728" s="135" t="n">
        <f aca="false">$G12728*'Analyse capacite'!$E$7</f>
        <v>0</v>
      </c>
    </row>
    <row r="12729" customFormat="false" ht="15" hidden="false" customHeight="false" outlineLevel="0" collapsed="false">
      <c r="B12729" s="130" t="n">
        <v>2028</v>
      </c>
      <c r="C12729" s="131" t="s">
        <v>257</v>
      </c>
      <c r="D12729" s="132" t="n">
        <v>46831</v>
      </c>
      <c r="E12729" s="131" t="s">
        <v>14</v>
      </c>
      <c r="F12729" s="133" t="s">
        <v>19</v>
      </c>
      <c r="G12729" s="134" t="n">
        <f aca="false">LEN('Saisie programme'!$J$458)+SUMIFS('Vols additionnels'!$E$7:$E$66,'Vols additionnels'!$C$7:$C$66,$E12729,'Vols additionnels'!$D$7:$D$66,$F12729,'Vols additionnels'!$B$7:$B$66,$D12729)</f>
        <v>0</v>
      </c>
      <c r="H12729" s="135" t="n">
        <f aca="false">$G12729*'Analyse capacite'!$F$8</f>
        <v>0</v>
      </c>
      <c r="I12729" s="135" t="n">
        <f aca="false">$G12729*'Analyse capacite'!$C$8</f>
        <v>0</v>
      </c>
      <c r="J12729" s="135" t="n">
        <f aca="false">$G12729*'Analyse capacite'!$D$8</f>
        <v>0</v>
      </c>
      <c r="K12729" s="135" t="n">
        <f aca="false">$G12729*'Analyse capacite'!$E$8</f>
        <v>0</v>
      </c>
    </row>
    <row r="12730" customFormat="false" ht="15" hidden="false" customHeight="false" outlineLevel="0" collapsed="false">
      <c r="B12730" s="130" t="n">
        <v>2028</v>
      </c>
      <c r="C12730" s="131" t="s">
        <v>257</v>
      </c>
      <c r="D12730" s="132" t="n">
        <v>46831</v>
      </c>
      <c r="E12730" s="131" t="s">
        <v>14</v>
      </c>
      <c r="F12730" s="133" t="s">
        <v>24</v>
      </c>
      <c r="G12730" s="134" t="n">
        <f aca="false">LEN('Saisie programme'!$J$459)+SUMIFS('Vols additionnels'!$E$7:$E$66,'Vols additionnels'!$C$7:$C$66,$E12730,'Vols additionnels'!$D$7:$D$66,$F12730,'Vols additionnels'!$B$7:$B$66,$D12730)</f>
        <v>0</v>
      </c>
      <c r="H12730" s="135" t="n">
        <f aca="false">$G12730*'Analyse capacite'!$F$9</f>
        <v>0</v>
      </c>
      <c r="I12730" s="135" t="n">
        <f aca="false">$G12730*'Analyse capacite'!$C$9</f>
        <v>0</v>
      </c>
      <c r="J12730" s="135" t="n">
        <f aca="false">$G12730*'Analyse capacite'!$D$9</f>
        <v>0</v>
      </c>
      <c r="K12730" s="135" t="n">
        <f aca="false">$G12730*'Analyse capacite'!$E$9</f>
        <v>0</v>
      </c>
    </row>
    <row r="12731" customFormat="false" ht="15" hidden="false" customHeight="false" outlineLevel="0" collapsed="false">
      <c r="B12731" s="130" t="n">
        <v>2028</v>
      </c>
      <c r="C12731" s="131" t="s">
        <v>257</v>
      </c>
      <c r="D12731" s="132" t="n">
        <v>46831</v>
      </c>
      <c r="E12731" s="131" t="s">
        <v>46</v>
      </c>
      <c r="F12731" s="133" t="s">
        <v>11</v>
      </c>
      <c r="G12731" s="134" t="n">
        <f aca="false">LEN('Saisie programme'!$J$460)+SUMIFS('Vols additionnels'!$E$7:$E$66,'Vols additionnels'!$C$7:$C$66,$E12731,'Vols additionnels'!$D$7:$D$66,$F12731,'Vols additionnels'!$B$7:$B$66,$D12731)</f>
        <v>0</v>
      </c>
      <c r="H12731" s="135" t="n">
        <f aca="false">$G12731*'Analyse capacite'!$F$7</f>
        <v>0</v>
      </c>
      <c r="I12731" s="135" t="n">
        <f aca="false">$G12731*'Analyse capacite'!$C$7</f>
        <v>0</v>
      </c>
      <c r="J12731" s="135" t="n">
        <f aca="false">$G12731*'Analyse capacite'!$D$7</f>
        <v>0</v>
      </c>
      <c r="K12731" s="135" t="n">
        <f aca="false">$G12731*'Analyse capacite'!$E$7</f>
        <v>0</v>
      </c>
    </row>
    <row r="12732" customFormat="false" ht="15" hidden="false" customHeight="false" outlineLevel="0" collapsed="false">
      <c r="B12732" s="130" t="n">
        <v>2028</v>
      </c>
      <c r="C12732" s="131" t="s">
        <v>257</v>
      </c>
      <c r="D12732" s="132" t="n">
        <v>46831</v>
      </c>
      <c r="E12732" s="131" t="s">
        <v>46</v>
      </c>
      <c r="F12732" s="133" t="s">
        <v>19</v>
      </c>
      <c r="G12732" s="134" t="n">
        <f aca="false">LEN('Saisie programme'!$J$461)+SUMIFS('Vols additionnels'!$E$7:$E$66,'Vols additionnels'!$C$7:$C$66,$E12732,'Vols additionnels'!$D$7:$D$66,$F12732,'Vols additionnels'!$B$7:$B$66,$D12732)</f>
        <v>0</v>
      </c>
      <c r="H12732" s="135" t="n">
        <f aca="false">$G12732*'Analyse capacite'!$F$8</f>
        <v>0</v>
      </c>
      <c r="I12732" s="135" t="n">
        <f aca="false">$G12732*'Analyse capacite'!$C$8</f>
        <v>0</v>
      </c>
      <c r="J12732" s="135" t="n">
        <f aca="false">$G12732*'Analyse capacite'!$D$8</f>
        <v>0</v>
      </c>
      <c r="K12732" s="135" t="n">
        <f aca="false">$G12732*'Analyse capacite'!$E$8</f>
        <v>0</v>
      </c>
    </row>
    <row r="12733" customFormat="false" ht="15" hidden="false" customHeight="false" outlineLevel="0" collapsed="false">
      <c r="B12733" s="130" t="n">
        <v>2028</v>
      </c>
      <c r="C12733" s="131" t="s">
        <v>257</v>
      </c>
      <c r="D12733" s="132" t="n">
        <v>46831</v>
      </c>
      <c r="E12733" s="131" t="s">
        <v>46</v>
      </c>
      <c r="F12733" s="133" t="s">
        <v>24</v>
      </c>
      <c r="G12733" s="134" t="n">
        <f aca="false">LEN('Saisie programme'!$J$462)+SUMIFS('Vols additionnels'!$E$7:$E$66,'Vols additionnels'!$C$7:$C$66,$E12733,'Vols additionnels'!$D$7:$D$66,$F12733,'Vols additionnels'!$B$7:$B$66,$D12733)</f>
        <v>0</v>
      </c>
      <c r="H12733" s="135" t="n">
        <f aca="false">$G12733*'Analyse capacite'!$F$9</f>
        <v>0</v>
      </c>
      <c r="I12733" s="135" t="n">
        <f aca="false">$G12733*'Analyse capacite'!$C$9</f>
        <v>0</v>
      </c>
      <c r="J12733" s="135" t="n">
        <f aca="false">$G12733*'Analyse capacite'!$D$9</f>
        <v>0</v>
      </c>
      <c r="K12733" s="135" t="n">
        <f aca="false">$G12733*'Analyse capacite'!$E$9</f>
        <v>0</v>
      </c>
    </row>
    <row r="12734" customFormat="false" ht="15" hidden="false" customHeight="false" outlineLevel="0" collapsed="false">
      <c r="B12734" s="130" t="n">
        <v>2028</v>
      </c>
      <c r="C12734" s="131" t="s">
        <v>257</v>
      </c>
      <c r="D12734" s="132" t="n">
        <v>46831</v>
      </c>
      <c r="E12734" s="131" t="s">
        <v>49</v>
      </c>
      <c r="F12734" s="133" t="s">
        <v>11</v>
      </c>
      <c r="G12734" s="134" t="n">
        <f aca="false">LEN('Saisie programme'!$J$463)+SUMIFS('Vols additionnels'!$E$7:$E$66,'Vols additionnels'!$C$7:$C$66,$E12734,'Vols additionnels'!$D$7:$D$66,$F12734,'Vols additionnels'!$B$7:$B$66,$D12734)</f>
        <v>0</v>
      </c>
      <c r="H12734" s="135" t="n">
        <f aca="false">$G12734*'Analyse capacite'!$F$7</f>
        <v>0</v>
      </c>
      <c r="I12734" s="135" t="n">
        <f aca="false">$G12734*'Analyse capacite'!$C$7</f>
        <v>0</v>
      </c>
      <c r="J12734" s="135" t="n">
        <f aca="false">$G12734*'Analyse capacite'!$D$7</f>
        <v>0</v>
      </c>
      <c r="K12734" s="135" t="n">
        <f aca="false">$G12734*'Analyse capacite'!$E$7</f>
        <v>0</v>
      </c>
    </row>
    <row r="12735" customFormat="false" ht="15" hidden="false" customHeight="false" outlineLevel="0" collapsed="false">
      <c r="B12735" s="130" t="n">
        <v>2028</v>
      </c>
      <c r="C12735" s="131" t="s">
        <v>257</v>
      </c>
      <c r="D12735" s="132" t="n">
        <v>46831</v>
      </c>
      <c r="E12735" s="131" t="s">
        <v>49</v>
      </c>
      <c r="F12735" s="133" t="s">
        <v>19</v>
      </c>
      <c r="G12735" s="134" t="n">
        <f aca="false">LEN('Saisie programme'!$J$464)+SUMIFS('Vols additionnels'!$E$7:$E$66,'Vols additionnels'!$C$7:$C$66,$E12735,'Vols additionnels'!$D$7:$D$66,$F12735,'Vols additionnels'!$B$7:$B$66,$D12735)</f>
        <v>0</v>
      </c>
      <c r="H12735" s="135" t="n">
        <f aca="false">$G12735*'Analyse capacite'!$F$8</f>
        <v>0</v>
      </c>
      <c r="I12735" s="135" t="n">
        <f aca="false">$G12735*'Analyse capacite'!$C$8</f>
        <v>0</v>
      </c>
      <c r="J12735" s="135" t="n">
        <f aca="false">$G12735*'Analyse capacite'!$D$8</f>
        <v>0</v>
      </c>
      <c r="K12735" s="135" t="n">
        <f aca="false">$G12735*'Analyse capacite'!$E$8</f>
        <v>0</v>
      </c>
    </row>
    <row r="12736" customFormat="false" ht="15" hidden="false" customHeight="false" outlineLevel="0" collapsed="false">
      <c r="B12736" s="130" t="n">
        <v>2028</v>
      </c>
      <c r="C12736" s="131" t="s">
        <v>257</v>
      </c>
      <c r="D12736" s="132" t="n">
        <v>46831</v>
      </c>
      <c r="E12736" s="131" t="s">
        <v>49</v>
      </c>
      <c r="F12736" s="133" t="s">
        <v>24</v>
      </c>
      <c r="G12736" s="134" t="n">
        <f aca="false">LEN('Saisie programme'!$J$465)+SUMIFS('Vols additionnels'!$E$7:$E$66,'Vols additionnels'!$C$7:$C$66,$E12736,'Vols additionnels'!$D$7:$D$66,$F12736,'Vols additionnels'!$B$7:$B$66,$D12736)</f>
        <v>0</v>
      </c>
      <c r="H12736" s="135" t="n">
        <f aca="false">$G12736*'Analyse capacite'!$F$9</f>
        <v>0</v>
      </c>
      <c r="I12736" s="135" t="n">
        <f aca="false">$G12736*'Analyse capacite'!$C$9</f>
        <v>0</v>
      </c>
      <c r="J12736" s="135" t="n">
        <f aca="false">$G12736*'Analyse capacite'!$D$9</f>
        <v>0</v>
      </c>
      <c r="K12736" s="135" t="n">
        <f aca="false">$G12736*'Analyse capacite'!$E$9</f>
        <v>0</v>
      </c>
    </row>
    <row r="12737" customFormat="false" ht="15" hidden="false" customHeight="false" outlineLevel="0" collapsed="false">
      <c r="B12737" s="130" t="n">
        <v>2028</v>
      </c>
      <c r="C12737" s="131" t="s">
        <v>257</v>
      </c>
      <c r="D12737" s="132" t="n">
        <v>46831</v>
      </c>
      <c r="E12737" s="131" t="s">
        <v>53</v>
      </c>
      <c r="F12737" s="133" t="s">
        <v>11</v>
      </c>
      <c r="G12737" s="134" t="n">
        <f aca="false">LEN('Saisie programme'!$J$466)+SUMIFS('Vols additionnels'!$E$7:$E$66,'Vols additionnels'!$C$7:$C$66,$E12737,'Vols additionnels'!$D$7:$D$66,$F12737,'Vols additionnels'!$B$7:$B$66,$D12737)</f>
        <v>0</v>
      </c>
      <c r="H12737" s="135" t="n">
        <f aca="false">$G12737*'Analyse capacite'!$F$7</f>
        <v>0</v>
      </c>
      <c r="I12737" s="135" t="n">
        <f aca="false">$G12737*'Analyse capacite'!$C$7</f>
        <v>0</v>
      </c>
      <c r="J12737" s="135" t="n">
        <f aca="false">$G12737*'Analyse capacite'!$D$7</f>
        <v>0</v>
      </c>
      <c r="K12737" s="135" t="n">
        <f aca="false">$G12737*'Analyse capacite'!$E$7</f>
        <v>0</v>
      </c>
    </row>
    <row r="12738" customFormat="false" ht="15" hidden="false" customHeight="false" outlineLevel="0" collapsed="false">
      <c r="B12738" s="130" t="n">
        <v>2028</v>
      </c>
      <c r="C12738" s="131" t="s">
        <v>257</v>
      </c>
      <c r="D12738" s="132" t="n">
        <v>46831</v>
      </c>
      <c r="E12738" s="131" t="s">
        <v>53</v>
      </c>
      <c r="F12738" s="133" t="s">
        <v>19</v>
      </c>
      <c r="G12738" s="134" t="n">
        <f aca="false">LEN('Saisie programme'!$J$467)+SUMIFS('Vols additionnels'!$E$7:$E$66,'Vols additionnels'!$C$7:$C$66,$E12738,'Vols additionnels'!$D$7:$D$66,$F12738,'Vols additionnels'!$B$7:$B$66,$D12738)</f>
        <v>0</v>
      </c>
      <c r="H12738" s="135" t="n">
        <f aca="false">$G12738*'Analyse capacite'!$F$8</f>
        <v>0</v>
      </c>
      <c r="I12738" s="135" t="n">
        <f aca="false">$G12738*'Analyse capacite'!$C$8</f>
        <v>0</v>
      </c>
      <c r="J12738" s="135" t="n">
        <f aca="false">$G12738*'Analyse capacite'!$D$8</f>
        <v>0</v>
      </c>
      <c r="K12738" s="135" t="n">
        <f aca="false">$G12738*'Analyse capacite'!$E$8</f>
        <v>0</v>
      </c>
    </row>
    <row r="12739" customFormat="false" ht="15" hidden="false" customHeight="false" outlineLevel="0" collapsed="false">
      <c r="B12739" s="130" t="n">
        <v>2028</v>
      </c>
      <c r="C12739" s="131" t="s">
        <v>257</v>
      </c>
      <c r="D12739" s="132" t="n">
        <v>46831</v>
      </c>
      <c r="E12739" s="131" t="s">
        <v>53</v>
      </c>
      <c r="F12739" s="133" t="s">
        <v>24</v>
      </c>
      <c r="G12739" s="134" t="n">
        <f aca="false">LEN('Saisie programme'!$J$468)+SUMIFS('Vols additionnels'!$E$7:$E$66,'Vols additionnels'!$C$7:$C$66,$E12739,'Vols additionnels'!$D$7:$D$66,$F12739,'Vols additionnels'!$B$7:$B$66,$D12739)</f>
        <v>0</v>
      </c>
      <c r="H12739" s="135" t="n">
        <f aca="false">$G12739*'Analyse capacite'!$F$9</f>
        <v>0</v>
      </c>
      <c r="I12739" s="135" t="n">
        <f aca="false">$G12739*'Analyse capacite'!$C$9</f>
        <v>0</v>
      </c>
      <c r="J12739" s="135" t="n">
        <f aca="false">$G12739*'Analyse capacite'!$D$9</f>
        <v>0</v>
      </c>
      <c r="K12739" s="135" t="n">
        <f aca="false">$G12739*'Analyse capacite'!$E$9</f>
        <v>0</v>
      </c>
    </row>
    <row r="12740" customFormat="false" ht="15" hidden="false" customHeight="false" outlineLevel="0" collapsed="false">
      <c r="B12740" s="130" t="n">
        <v>2028</v>
      </c>
      <c r="C12740" s="131" t="s">
        <v>257</v>
      </c>
      <c r="D12740" s="132" t="n">
        <v>46831</v>
      </c>
      <c r="E12740" s="131" t="s">
        <v>56</v>
      </c>
      <c r="F12740" s="133" t="s">
        <v>11</v>
      </c>
      <c r="G12740" s="134" t="n">
        <f aca="false">LEN('Saisie programme'!$J$469)+SUMIFS('Vols additionnels'!$E$7:$E$66,'Vols additionnels'!$C$7:$C$66,$E12740,'Vols additionnels'!$D$7:$D$66,$F12740,'Vols additionnels'!$B$7:$B$66,$D12740)</f>
        <v>0</v>
      </c>
      <c r="H12740" s="135" t="n">
        <f aca="false">$G12740*'Analyse capacite'!$F$7</f>
        <v>0</v>
      </c>
      <c r="I12740" s="135" t="n">
        <f aca="false">$G12740*'Analyse capacite'!$C$7</f>
        <v>0</v>
      </c>
      <c r="J12740" s="135" t="n">
        <f aca="false">$G12740*'Analyse capacite'!$D$7</f>
        <v>0</v>
      </c>
      <c r="K12740" s="135" t="n">
        <f aca="false">$G12740*'Analyse capacite'!$E$7</f>
        <v>0</v>
      </c>
    </row>
    <row r="12741" customFormat="false" ht="15" hidden="false" customHeight="false" outlineLevel="0" collapsed="false">
      <c r="B12741" s="130" t="n">
        <v>2028</v>
      </c>
      <c r="C12741" s="131" t="s">
        <v>257</v>
      </c>
      <c r="D12741" s="132" t="n">
        <v>46831</v>
      </c>
      <c r="E12741" s="131" t="s">
        <v>56</v>
      </c>
      <c r="F12741" s="133" t="s">
        <v>19</v>
      </c>
      <c r="G12741" s="134" t="n">
        <f aca="false">LEN('Saisie programme'!$J$470)+SUMIFS('Vols additionnels'!$E$7:$E$66,'Vols additionnels'!$C$7:$C$66,$E12741,'Vols additionnels'!$D$7:$D$66,$F12741,'Vols additionnels'!$B$7:$B$66,$D12741)</f>
        <v>0</v>
      </c>
      <c r="H12741" s="135" t="n">
        <f aca="false">$G12741*'Analyse capacite'!$F$8</f>
        <v>0</v>
      </c>
      <c r="I12741" s="135" t="n">
        <f aca="false">$G12741*'Analyse capacite'!$C$8</f>
        <v>0</v>
      </c>
      <c r="J12741" s="135" t="n">
        <f aca="false">$G12741*'Analyse capacite'!$D$8</f>
        <v>0</v>
      </c>
      <c r="K12741" s="135" t="n">
        <f aca="false">$G12741*'Analyse capacite'!$E$8</f>
        <v>0</v>
      </c>
    </row>
    <row r="12742" customFormat="false" ht="15" hidden="false" customHeight="false" outlineLevel="0" collapsed="false">
      <c r="B12742" s="130" t="n">
        <v>2028</v>
      </c>
      <c r="C12742" s="131" t="s">
        <v>257</v>
      </c>
      <c r="D12742" s="132" t="n">
        <v>46831</v>
      </c>
      <c r="E12742" s="131" t="s">
        <v>56</v>
      </c>
      <c r="F12742" s="133" t="s">
        <v>24</v>
      </c>
      <c r="G12742" s="134" t="n">
        <f aca="false">LEN('Saisie programme'!$J$471)+SUMIFS('Vols additionnels'!$E$7:$E$66,'Vols additionnels'!$C$7:$C$66,$E12742,'Vols additionnels'!$D$7:$D$66,$F12742,'Vols additionnels'!$B$7:$B$66,$D12742)</f>
        <v>0</v>
      </c>
      <c r="H12742" s="135" t="n">
        <f aca="false">$G12742*'Analyse capacite'!$F$9</f>
        <v>0</v>
      </c>
      <c r="I12742" s="135" t="n">
        <f aca="false">$G12742*'Analyse capacite'!$C$9</f>
        <v>0</v>
      </c>
      <c r="J12742" s="135" t="n">
        <f aca="false">$G12742*'Analyse capacite'!$D$9</f>
        <v>0</v>
      </c>
      <c r="K12742" s="135" t="n">
        <f aca="false">$G12742*'Analyse capacite'!$E$9</f>
        <v>0</v>
      </c>
    </row>
    <row r="12743" customFormat="false" ht="15" hidden="false" customHeight="false" outlineLevel="0" collapsed="false">
      <c r="B12743" s="130" t="n">
        <v>2028</v>
      </c>
      <c r="C12743" s="131" t="s">
        <v>257</v>
      </c>
      <c r="D12743" s="132" t="n">
        <v>46831</v>
      </c>
      <c r="E12743" s="131" t="s">
        <v>59</v>
      </c>
      <c r="F12743" s="133" t="s">
        <v>11</v>
      </c>
      <c r="G12743" s="134" t="n">
        <f aca="false">LEN('Saisie programme'!$J$472)+SUMIFS('Vols additionnels'!$E$7:$E$66,'Vols additionnels'!$C$7:$C$66,$E12743,'Vols additionnels'!$D$7:$D$66,$F12743,'Vols additionnels'!$B$7:$B$66,$D12743)</f>
        <v>0</v>
      </c>
      <c r="H12743" s="135" t="n">
        <f aca="false">$G12743*'Analyse capacite'!$F$7</f>
        <v>0</v>
      </c>
      <c r="I12743" s="135" t="n">
        <f aca="false">$G12743*'Analyse capacite'!$C$7</f>
        <v>0</v>
      </c>
      <c r="J12743" s="135" t="n">
        <f aca="false">$G12743*'Analyse capacite'!$D$7</f>
        <v>0</v>
      </c>
      <c r="K12743" s="135" t="n">
        <f aca="false">$G12743*'Analyse capacite'!$E$7</f>
        <v>0</v>
      </c>
    </row>
    <row r="12744" customFormat="false" ht="15" hidden="false" customHeight="false" outlineLevel="0" collapsed="false">
      <c r="B12744" s="130" t="n">
        <v>2028</v>
      </c>
      <c r="C12744" s="131" t="s">
        <v>257</v>
      </c>
      <c r="D12744" s="132" t="n">
        <v>46831</v>
      </c>
      <c r="E12744" s="131" t="s">
        <v>59</v>
      </c>
      <c r="F12744" s="133" t="s">
        <v>19</v>
      </c>
      <c r="G12744" s="134" t="n">
        <f aca="false">LEN('Saisie programme'!$J$473)+SUMIFS('Vols additionnels'!$E$7:$E$66,'Vols additionnels'!$C$7:$C$66,$E12744,'Vols additionnels'!$D$7:$D$66,$F12744,'Vols additionnels'!$B$7:$B$66,$D12744)</f>
        <v>0</v>
      </c>
      <c r="H12744" s="135" t="n">
        <f aca="false">$G12744*'Analyse capacite'!$F$8</f>
        <v>0</v>
      </c>
      <c r="I12744" s="135" t="n">
        <f aca="false">$G12744*'Analyse capacite'!$C$8</f>
        <v>0</v>
      </c>
      <c r="J12744" s="135" t="n">
        <f aca="false">$G12744*'Analyse capacite'!$D$8</f>
        <v>0</v>
      </c>
      <c r="K12744" s="135" t="n">
        <f aca="false">$G12744*'Analyse capacite'!$E$8</f>
        <v>0</v>
      </c>
    </row>
    <row r="12745" customFormat="false" ht="15" hidden="false" customHeight="false" outlineLevel="0" collapsed="false">
      <c r="B12745" s="130" t="n">
        <v>2028</v>
      </c>
      <c r="C12745" s="131" t="s">
        <v>257</v>
      </c>
      <c r="D12745" s="132" t="n">
        <v>46831</v>
      </c>
      <c r="E12745" s="131" t="s">
        <v>59</v>
      </c>
      <c r="F12745" s="133" t="s">
        <v>24</v>
      </c>
      <c r="G12745" s="134" t="n">
        <f aca="false">LEN('Saisie programme'!$J$474)+SUMIFS('Vols additionnels'!$E$7:$E$66,'Vols additionnels'!$C$7:$C$66,$E12745,'Vols additionnels'!$D$7:$D$66,$F12745,'Vols additionnels'!$B$7:$B$66,$D12745)</f>
        <v>0</v>
      </c>
      <c r="H12745" s="135" t="n">
        <f aca="false">$G12745*'Analyse capacite'!$F$9</f>
        <v>0</v>
      </c>
      <c r="I12745" s="135" t="n">
        <f aca="false">$G12745*'Analyse capacite'!$C$9</f>
        <v>0</v>
      </c>
      <c r="J12745" s="135" t="n">
        <f aca="false">$G12745*'Analyse capacite'!$D$9</f>
        <v>0</v>
      </c>
      <c r="K12745" s="135" t="n">
        <f aca="false">$G12745*'Analyse capacite'!$E$9</f>
        <v>0</v>
      </c>
    </row>
    <row r="12746" customFormat="false" ht="15" hidden="false" customHeight="false" outlineLevel="0" collapsed="false">
      <c r="B12746" s="130" t="n">
        <v>2028</v>
      </c>
      <c r="C12746" s="131" t="s">
        <v>257</v>
      </c>
      <c r="D12746" s="132" t="n">
        <v>46831</v>
      </c>
      <c r="E12746" s="131" t="s">
        <v>62</v>
      </c>
      <c r="F12746" s="133" t="s">
        <v>11</v>
      </c>
      <c r="G12746" s="134" t="n">
        <f aca="false">LEN('Saisie programme'!$J$475)+SUMIFS('Vols additionnels'!$E$7:$E$66,'Vols additionnels'!$C$7:$C$66,$E12746,'Vols additionnels'!$D$7:$D$66,$F12746,'Vols additionnels'!$B$7:$B$66,$D12746)</f>
        <v>0</v>
      </c>
      <c r="H12746" s="135" t="n">
        <f aca="false">$G12746*'Analyse capacite'!$F$7</f>
        <v>0</v>
      </c>
      <c r="I12746" s="135" t="n">
        <f aca="false">$G12746*'Analyse capacite'!$C$7</f>
        <v>0</v>
      </c>
      <c r="J12746" s="135" t="n">
        <f aca="false">$G12746*'Analyse capacite'!$D$7</f>
        <v>0</v>
      </c>
      <c r="K12746" s="135" t="n">
        <f aca="false">$G12746*'Analyse capacite'!$E$7</f>
        <v>0</v>
      </c>
    </row>
    <row r="12747" customFormat="false" ht="15" hidden="false" customHeight="false" outlineLevel="0" collapsed="false">
      <c r="B12747" s="130" t="n">
        <v>2028</v>
      </c>
      <c r="C12747" s="131" t="s">
        <v>257</v>
      </c>
      <c r="D12747" s="132" t="n">
        <v>46831</v>
      </c>
      <c r="E12747" s="131" t="s">
        <v>62</v>
      </c>
      <c r="F12747" s="133" t="s">
        <v>19</v>
      </c>
      <c r="G12747" s="134" t="n">
        <f aca="false">LEN('Saisie programme'!$J$476)+SUMIFS('Vols additionnels'!$E$7:$E$66,'Vols additionnels'!$C$7:$C$66,$E12747,'Vols additionnels'!$D$7:$D$66,$F12747,'Vols additionnels'!$B$7:$B$66,$D12747)</f>
        <v>0</v>
      </c>
      <c r="H12747" s="135" t="n">
        <f aca="false">$G12747*'Analyse capacite'!$F$8</f>
        <v>0</v>
      </c>
      <c r="I12747" s="135" t="n">
        <f aca="false">$G12747*'Analyse capacite'!$C$8</f>
        <v>0</v>
      </c>
      <c r="J12747" s="135" t="n">
        <f aca="false">$G12747*'Analyse capacite'!$D$8</f>
        <v>0</v>
      </c>
      <c r="K12747" s="135" t="n">
        <f aca="false">$G12747*'Analyse capacite'!$E$8</f>
        <v>0</v>
      </c>
    </row>
    <row r="12748" customFormat="false" ht="15" hidden="false" customHeight="false" outlineLevel="0" collapsed="false">
      <c r="B12748" s="130" t="n">
        <v>2028</v>
      </c>
      <c r="C12748" s="131" t="s">
        <v>257</v>
      </c>
      <c r="D12748" s="132" t="n">
        <v>46831</v>
      </c>
      <c r="E12748" s="131" t="s">
        <v>62</v>
      </c>
      <c r="F12748" s="133" t="s">
        <v>24</v>
      </c>
      <c r="G12748" s="134" t="n">
        <f aca="false">LEN('Saisie programme'!$J$477)+SUMIFS('Vols additionnels'!$E$7:$E$66,'Vols additionnels'!$C$7:$C$66,$E12748,'Vols additionnels'!$D$7:$D$66,$F12748,'Vols additionnels'!$B$7:$B$66,$D12748)</f>
        <v>1</v>
      </c>
      <c r="H12748" s="135" t="n">
        <f aca="false">$G12748*'Analyse capacite'!$F$9</f>
        <v>174</v>
      </c>
      <c r="I12748" s="135" t="n">
        <f aca="false">$G12748*'Analyse capacite'!$C$9</f>
        <v>0</v>
      </c>
      <c r="J12748" s="135" t="n">
        <f aca="false">$G12748*'Analyse capacite'!$D$9</f>
        <v>12</v>
      </c>
      <c r="K12748" s="135" t="n">
        <f aca="false">$G12748*'Analyse capacite'!$E$9</f>
        <v>162</v>
      </c>
    </row>
    <row r="12749" customFormat="false" ht="15" hidden="false" customHeight="false" outlineLevel="0" collapsed="false">
      <c r="B12749" s="130" t="n">
        <v>2028</v>
      </c>
      <c r="C12749" s="131" t="s">
        <v>257</v>
      </c>
      <c r="D12749" s="132" t="n">
        <v>46832</v>
      </c>
      <c r="E12749" s="131" t="s">
        <v>12</v>
      </c>
      <c r="F12749" s="133" t="s">
        <v>11</v>
      </c>
      <c r="G12749" s="134" t="n">
        <f aca="false">LEN('Saisie programme'!$D$442)+SUMIFS('Vols additionnels'!$E$7:$E$66,'Vols additionnels'!$C$7:$C$66,$E12749,'Vols additionnels'!$D$7:$D$66,$F12749,'Vols additionnels'!$B$7:$B$66,$D12749)</f>
        <v>1</v>
      </c>
      <c r="H12749" s="135" t="n">
        <f aca="false">$G12749*'Analyse capacite'!$F$7</f>
        <v>438</v>
      </c>
      <c r="I12749" s="135" t="n">
        <f aca="false">$G12749*'Analyse capacite'!$C$7</f>
        <v>14</v>
      </c>
      <c r="J12749" s="135" t="n">
        <f aca="false">$G12749*'Analyse capacite'!$D$7</f>
        <v>40</v>
      </c>
      <c r="K12749" s="135" t="n">
        <f aca="false">$G12749*'Analyse capacite'!$E$7</f>
        <v>384</v>
      </c>
    </row>
    <row r="12750" customFormat="false" ht="15" hidden="false" customHeight="false" outlineLevel="0" collapsed="false">
      <c r="B12750" s="130" t="n">
        <v>2028</v>
      </c>
      <c r="C12750" s="131" t="s">
        <v>257</v>
      </c>
      <c r="D12750" s="132" t="n">
        <v>46832</v>
      </c>
      <c r="E12750" s="131" t="s">
        <v>12</v>
      </c>
      <c r="F12750" s="133" t="s">
        <v>19</v>
      </c>
      <c r="G12750" s="134" t="n">
        <f aca="false">LEN('Saisie programme'!$D$443)+SUMIFS('Vols additionnels'!$E$7:$E$66,'Vols additionnels'!$C$7:$C$66,$E12750,'Vols additionnels'!$D$7:$D$66,$F12750,'Vols additionnels'!$B$7:$B$66,$D12750)</f>
        <v>1</v>
      </c>
      <c r="H12750" s="135" t="n">
        <f aca="false">$G12750*'Analyse capacite'!$F$8</f>
        <v>262</v>
      </c>
      <c r="I12750" s="135" t="n">
        <f aca="false">$G12750*'Analyse capacite'!$C$8</f>
        <v>18</v>
      </c>
      <c r="J12750" s="135" t="n">
        <f aca="false">$G12750*'Analyse capacite'!$D$8</f>
        <v>0</v>
      </c>
      <c r="K12750" s="135" t="n">
        <f aca="false">$G12750*'Analyse capacite'!$E$8</f>
        <v>244</v>
      </c>
    </row>
    <row r="12751" customFormat="false" ht="15" hidden="false" customHeight="false" outlineLevel="0" collapsed="false">
      <c r="B12751" s="130" t="n">
        <v>2028</v>
      </c>
      <c r="C12751" s="131" t="s">
        <v>257</v>
      </c>
      <c r="D12751" s="132" t="n">
        <v>46832</v>
      </c>
      <c r="E12751" s="131" t="s">
        <v>12</v>
      </c>
      <c r="F12751" s="133" t="s">
        <v>24</v>
      </c>
      <c r="G12751" s="134" t="n">
        <f aca="false">LEN('Saisie programme'!$D$444)+SUMIFS('Vols additionnels'!$E$7:$E$66,'Vols additionnels'!$C$7:$C$66,$E12751,'Vols additionnels'!$D$7:$D$66,$F12751,'Vols additionnels'!$B$7:$B$66,$D12751)</f>
        <v>2</v>
      </c>
      <c r="H12751" s="135" t="n">
        <f aca="false">$G12751*'Analyse capacite'!$F$9</f>
        <v>348</v>
      </c>
      <c r="I12751" s="135" t="n">
        <f aca="false">$G12751*'Analyse capacite'!$C$9</f>
        <v>0</v>
      </c>
      <c r="J12751" s="135" t="n">
        <f aca="false">$G12751*'Analyse capacite'!$D$9</f>
        <v>24</v>
      </c>
      <c r="K12751" s="135" t="n">
        <f aca="false">$G12751*'Analyse capacite'!$E$9</f>
        <v>324</v>
      </c>
    </row>
    <row r="12752" customFormat="false" ht="15" hidden="false" customHeight="false" outlineLevel="0" collapsed="false">
      <c r="B12752" s="130" t="n">
        <v>2028</v>
      </c>
      <c r="C12752" s="131" t="s">
        <v>257</v>
      </c>
      <c r="D12752" s="132" t="n">
        <v>46832</v>
      </c>
      <c r="E12752" s="131" t="s">
        <v>20</v>
      </c>
      <c r="F12752" s="133" t="s">
        <v>11</v>
      </c>
      <c r="G12752" s="134" t="n">
        <f aca="false">LEN('Saisie programme'!$D$445)+SUMIFS('Vols additionnels'!$E$7:$E$66,'Vols additionnels'!$C$7:$C$66,$E12752,'Vols additionnels'!$D$7:$D$66,$F12752,'Vols additionnels'!$B$7:$B$66,$D12752)</f>
        <v>0</v>
      </c>
      <c r="H12752" s="135" t="n">
        <f aca="false">$G12752*'Analyse capacite'!$F$7</f>
        <v>0</v>
      </c>
      <c r="I12752" s="135" t="n">
        <f aca="false">$G12752*'Analyse capacite'!$C$7</f>
        <v>0</v>
      </c>
      <c r="J12752" s="135" t="n">
        <f aca="false">$G12752*'Analyse capacite'!$D$7</f>
        <v>0</v>
      </c>
      <c r="K12752" s="135" t="n">
        <f aca="false">$G12752*'Analyse capacite'!$E$7</f>
        <v>0</v>
      </c>
    </row>
    <row r="12753" customFormat="false" ht="15" hidden="false" customHeight="false" outlineLevel="0" collapsed="false">
      <c r="B12753" s="130" t="n">
        <v>2028</v>
      </c>
      <c r="C12753" s="131" t="s">
        <v>257</v>
      </c>
      <c r="D12753" s="132" t="n">
        <v>46832</v>
      </c>
      <c r="E12753" s="131" t="s">
        <v>20</v>
      </c>
      <c r="F12753" s="133" t="s">
        <v>19</v>
      </c>
      <c r="G12753" s="134" t="n">
        <f aca="false">LEN('Saisie programme'!$D$446)+SUMIFS('Vols additionnels'!$E$7:$E$66,'Vols additionnels'!$C$7:$C$66,$E12753,'Vols additionnels'!$D$7:$D$66,$F12753,'Vols additionnels'!$B$7:$B$66,$D12753)</f>
        <v>0</v>
      </c>
      <c r="H12753" s="135" t="n">
        <f aca="false">$G12753*'Analyse capacite'!$F$8</f>
        <v>0</v>
      </c>
      <c r="I12753" s="135" t="n">
        <f aca="false">$G12753*'Analyse capacite'!$C$8</f>
        <v>0</v>
      </c>
      <c r="J12753" s="135" t="n">
        <f aca="false">$G12753*'Analyse capacite'!$D$8</f>
        <v>0</v>
      </c>
      <c r="K12753" s="135" t="n">
        <f aca="false">$G12753*'Analyse capacite'!$E$8</f>
        <v>0</v>
      </c>
    </row>
    <row r="12754" customFormat="false" ht="15" hidden="false" customHeight="false" outlineLevel="0" collapsed="false">
      <c r="B12754" s="130" t="n">
        <v>2028</v>
      </c>
      <c r="C12754" s="131" t="s">
        <v>257</v>
      </c>
      <c r="D12754" s="132" t="n">
        <v>46832</v>
      </c>
      <c r="E12754" s="131" t="s">
        <v>20</v>
      </c>
      <c r="F12754" s="133" t="s">
        <v>24</v>
      </c>
      <c r="G12754" s="134" t="n">
        <f aca="false">LEN('Saisie programme'!$D$447)+SUMIFS('Vols additionnels'!$E$7:$E$66,'Vols additionnels'!$C$7:$C$66,$E12754,'Vols additionnels'!$D$7:$D$66,$F12754,'Vols additionnels'!$B$7:$B$66,$D12754)</f>
        <v>0</v>
      </c>
      <c r="H12754" s="135" t="n">
        <f aca="false">$G12754*'Analyse capacite'!$F$9</f>
        <v>0</v>
      </c>
      <c r="I12754" s="135" t="n">
        <f aca="false">$G12754*'Analyse capacite'!$C$9</f>
        <v>0</v>
      </c>
      <c r="J12754" s="135" t="n">
        <f aca="false">$G12754*'Analyse capacite'!$D$9</f>
        <v>0</v>
      </c>
      <c r="K12754" s="135" t="n">
        <f aca="false">$G12754*'Analyse capacite'!$E$9</f>
        <v>0</v>
      </c>
    </row>
    <row r="12755" customFormat="false" ht="15" hidden="false" customHeight="false" outlineLevel="0" collapsed="false">
      <c r="B12755" s="130" t="n">
        <v>2028</v>
      </c>
      <c r="C12755" s="131" t="s">
        <v>257</v>
      </c>
      <c r="D12755" s="132" t="n">
        <v>46832</v>
      </c>
      <c r="E12755" s="131" t="s">
        <v>25</v>
      </c>
      <c r="F12755" s="133" t="s">
        <v>11</v>
      </c>
      <c r="G12755" s="134" t="n">
        <f aca="false">LEN('Saisie programme'!$D$448)+SUMIFS('Vols additionnels'!$E$7:$E$66,'Vols additionnels'!$C$7:$C$66,$E12755,'Vols additionnels'!$D$7:$D$66,$F12755,'Vols additionnels'!$B$7:$B$66,$D12755)</f>
        <v>0</v>
      </c>
      <c r="H12755" s="135" t="n">
        <f aca="false">$G12755*'Analyse capacite'!$F$7</f>
        <v>0</v>
      </c>
      <c r="I12755" s="135" t="n">
        <f aca="false">$G12755*'Analyse capacite'!$C$7</f>
        <v>0</v>
      </c>
      <c r="J12755" s="135" t="n">
        <f aca="false">$G12755*'Analyse capacite'!$D$7</f>
        <v>0</v>
      </c>
      <c r="K12755" s="135" t="n">
        <f aca="false">$G12755*'Analyse capacite'!$E$7</f>
        <v>0</v>
      </c>
    </row>
    <row r="12756" customFormat="false" ht="15" hidden="false" customHeight="false" outlineLevel="0" collapsed="false">
      <c r="B12756" s="130" t="n">
        <v>2028</v>
      </c>
      <c r="C12756" s="131" t="s">
        <v>257</v>
      </c>
      <c r="D12756" s="132" t="n">
        <v>46832</v>
      </c>
      <c r="E12756" s="131" t="s">
        <v>25</v>
      </c>
      <c r="F12756" s="133" t="s">
        <v>19</v>
      </c>
      <c r="G12756" s="134" t="n">
        <f aca="false">LEN('Saisie programme'!$D$449)+SUMIFS('Vols additionnels'!$E$7:$E$66,'Vols additionnels'!$C$7:$C$66,$E12756,'Vols additionnels'!$D$7:$D$66,$F12756,'Vols additionnels'!$B$7:$B$66,$D12756)</f>
        <v>0</v>
      </c>
      <c r="H12756" s="135" t="n">
        <f aca="false">$G12756*'Analyse capacite'!$F$8</f>
        <v>0</v>
      </c>
      <c r="I12756" s="135" t="n">
        <f aca="false">$G12756*'Analyse capacite'!$C$8</f>
        <v>0</v>
      </c>
      <c r="J12756" s="135" t="n">
        <f aca="false">$G12756*'Analyse capacite'!$D$8</f>
        <v>0</v>
      </c>
      <c r="K12756" s="135" t="n">
        <f aca="false">$G12756*'Analyse capacite'!$E$8</f>
        <v>0</v>
      </c>
    </row>
    <row r="12757" customFormat="false" ht="15" hidden="false" customHeight="false" outlineLevel="0" collapsed="false">
      <c r="B12757" s="130" t="n">
        <v>2028</v>
      </c>
      <c r="C12757" s="131" t="s">
        <v>257</v>
      </c>
      <c r="D12757" s="132" t="n">
        <v>46832</v>
      </c>
      <c r="E12757" s="131" t="s">
        <v>25</v>
      </c>
      <c r="F12757" s="133" t="s">
        <v>24</v>
      </c>
      <c r="G12757" s="134" t="n">
        <f aca="false">LEN('Saisie programme'!$D$450)+SUMIFS('Vols additionnels'!$E$7:$E$66,'Vols additionnels'!$C$7:$C$66,$E12757,'Vols additionnels'!$D$7:$D$66,$F12757,'Vols additionnels'!$B$7:$B$66,$D12757)</f>
        <v>0</v>
      </c>
      <c r="H12757" s="135" t="n">
        <f aca="false">$G12757*'Analyse capacite'!$F$9</f>
        <v>0</v>
      </c>
      <c r="I12757" s="135" t="n">
        <f aca="false">$G12757*'Analyse capacite'!$C$9</f>
        <v>0</v>
      </c>
      <c r="J12757" s="135" t="n">
        <f aca="false">$G12757*'Analyse capacite'!$D$9</f>
        <v>0</v>
      </c>
      <c r="K12757" s="135" t="n">
        <f aca="false">$G12757*'Analyse capacite'!$E$9</f>
        <v>0</v>
      </c>
    </row>
    <row r="12758" customFormat="false" ht="15" hidden="false" customHeight="false" outlineLevel="0" collapsed="false">
      <c r="B12758" s="130" t="n">
        <v>2028</v>
      </c>
      <c r="C12758" s="131" t="s">
        <v>257</v>
      </c>
      <c r="D12758" s="132" t="n">
        <v>46832</v>
      </c>
      <c r="E12758" s="131" t="s">
        <v>36</v>
      </c>
      <c r="F12758" s="133" t="s">
        <v>11</v>
      </c>
      <c r="G12758" s="134" t="n">
        <f aca="false">LEN('Saisie programme'!$D$451)+SUMIFS('Vols additionnels'!$E$7:$E$66,'Vols additionnels'!$C$7:$C$66,$E12758,'Vols additionnels'!$D$7:$D$66,$F12758,'Vols additionnels'!$B$7:$B$66,$D12758)</f>
        <v>0</v>
      </c>
      <c r="H12758" s="135" t="n">
        <f aca="false">$G12758*'Analyse capacite'!$F$7</f>
        <v>0</v>
      </c>
      <c r="I12758" s="135" t="n">
        <f aca="false">$G12758*'Analyse capacite'!$C$7</f>
        <v>0</v>
      </c>
      <c r="J12758" s="135" t="n">
        <f aca="false">$G12758*'Analyse capacite'!$D$7</f>
        <v>0</v>
      </c>
      <c r="K12758" s="135" t="n">
        <f aca="false">$G12758*'Analyse capacite'!$E$7</f>
        <v>0</v>
      </c>
    </row>
    <row r="12759" customFormat="false" ht="15" hidden="false" customHeight="false" outlineLevel="0" collapsed="false">
      <c r="B12759" s="130" t="n">
        <v>2028</v>
      </c>
      <c r="C12759" s="131" t="s">
        <v>257</v>
      </c>
      <c r="D12759" s="132" t="n">
        <v>46832</v>
      </c>
      <c r="E12759" s="131" t="s">
        <v>36</v>
      </c>
      <c r="F12759" s="133" t="s">
        <v>19</v>
      </c>
      <c r="G12759" s="134" t="n">
        <f aca="false">LEN('Saisie programme'!$D$452)+SUMIFS('Vols additionnels'!$E$7:$E$66,'Vols additionnels'!$C$7:$C$66,$E12759,'Vols additionnels'!$D$7:$D$66,$F12759,'Vols additionnels'!$B$7:$B$66,$D12759)</f>
        <v>0</v>
      </c>
      <c r="H12759" s="135" t="n">
        <f aca="false">$G12759*'Analyse capacite'!$F$8</f>
        <v>0</v>
      </c>
      <c r="I12759" s="135" t="n">
        <f aca="false">$G12759*'Analyse capacite'!$C$8</f>
        <v>0</v>
      </c>
      <c r="J12759" s="135" t="n">
        <f aca="false">$G12759*'Analyse capacite'!$D$8</f>
        <v>0</v>
      </c>
      <c r="K12759" s="135" t="n">
        <f aca="false">$G12759*'Analyse capacite'!$E$8</f>
        <v>0</v>
      </c>
    </row>
    <row r="12760" customFormat="false" ht="15" hidden="false" customHeight="false" outlineLevel="0" collapsed="false">
      <c r="B12760" s="130" t="n">
        <v>2028</v>
      </c>
      <c r="C12760" s="131" t="s">
        <v>257</v>
      </c>
      <c r="D12760" s="132" t="n">
        <v>46832</v>
      </c>
      <c r="E12760" s="131" t="s">
        <v>36</v>
      </c>
      <c r="F12760" s="133" t="s">
        <v>24</v>
      </c>
      <c r="G12760" s="134" t="n">
        <f aca="false">LEN('Saisie programme'!$D$453)+SUMIFS('Vols additionnels'!$E$7:$E$66,'Vols additionnels'!$C$7:$C$66,$E12760,'Vols additionnels'!$D$7:$D$66,$F12760,'Vols additionnels'!$B$7:$B$66,$D12760)</f>
        <v>1</v>
      </c>
      <c r="H12760" s="135" t="n">
        <f aca="false">$G12760*'Analyse capacite'!$F$9</f>
        <v>174</v>
      </c>
      <c r="I12760" s="135" t="n">
        <f aca="false">$G12760*'Analyse capacite'!$C$9</f>
        <v>0</v>
      </c>
      <c r="J12760" s="135" t="n">
        <f aca="false">$G12760*'Analyse capacite'!$D$9</f>
        <v>12</v>
      </c>
      <c r="K12760" s="135" t="n">
        <f aca="false">$G12760*'Analyse capacite'!$E$9</f>
        <v>162</v>
      </c>
    </row>
    <row r="12761" customFormat="false" ht="15" hidden="false" customHeight="false" outlineLevel="0" collapsed="false">
      <c r="B12761" s="130" t="n">
        <v>2028</v>
      </c>
      <c r="C12761" s="131" t="s">
        <v>257</v>
      </c>
      <c r="D12761" s="132" t="n">
        <v>46832</v>
      </c>
      <c r="E12761" s="131" t="s">
        <v>40</v>
      </c>
      <c r="F12761" s="133" t="s">
        <v>11</v>
      </c>
      <c r="G12761" s="134" t="n">
        <f aca="false">LEN('Saisie programme'!$D$454)+SUMIFS('Vols additionnels'!$E$7:$E$66,'Vols additionnels'!$C$7:$C$66,$E12761,'Vols additionnels'!$D$7:$D$66,$F12761,'Vols additionnels'!$B$7:$B$66,$D12761)</f>
        <v>0</v>
      </c>
      <c r="H12761" s="135" t="n">
        <f aca="false">$G12761*'Analyse capacite'!$F$7</f>
        <v>0</v>
      </c>
      <c r="I12761" s="135" t="n">
        <f aca="false">$G12761*'Analyse capacite'!$C$7</f>
        <v>0</v>
      </c>
      <c r="J12761" s="135" t="n">
        <f aca="false">$G12761*'Analyse capacite'!$D$7</f>
        <v>0</v>
      </c>
      <c r="K12761" s="135" t="n">
        <f aca="false">$G12761*'Analyse capacite'!$E$7</f>
        <v>0</v>
      </c>
    </row>
    <row r="12762" customFormat="false" ht="15" hidden="false" customHeight="false" outlineLevel="0" collapsed="false">
      <c r="B12762" s="130" t="n">
        <v>2028</v>
      </c>
      <c r="C12762" s="131" t="s">
        <v>257</v>
      </c>
      <c r="D12762" s="132" t="n">
        <v>46832</v>
      </c>
      <c r="E12762" s="131" t="s">
        <v>40</v>
      </c>
      <c r="F12762" s="133" t="s">
        <v>19</v>
      </c>
      <c r="G12762" s="134" t="n">
        <f aca="false">LEN('Saisie programme'!$D$455)+SUMIFS('Vols additionnels'!$E$7:$E$66,'Vols additionnels'!$C$7:$C$66,$E12762,'Vols additionnels'!$D$7:$D$66,$F12762,'Vols additionnels'!$B$7:$B$66,$D12762)</f>
        <v>0</v>
      </c>
      <c r="H12762" s="135" t="n">
        <f aca="false">$G12762*'Analyse capacite'!$F$8</f>
        <v>0</v>
      </c>
      <c r="I12762" s="135" t="n">
        <f aca="false">$G12762*'Analyse capacite'!$C$8</f>
        <v>0</v>
      </c>
      <c r="J12762" s="135" t="n">
        <f aca="false">$G12762*'Analyse capacite'!$D$8</f>
        <v>0</v>
      </c>
      <c r="K12762" s="135" t="n">
        <f aca="false">$G12762*'Analyse capacite'!$E$8</f>
        <v>0</v>
      </c>
    </row>
    <row r="12763" customFormat="false" ht="15" hidden="false" customHeight="false" outlineLevel="0" collapsed="false">
      <c r="B12763" s="130" t="n">
        <v>2028</v>
      </c>
      <c r="C12763" s="131" t="s">
        <v>257</v>
      </c>
      <c r="D12763" s="132" t="n">
        <v>46832</v>
      </c>
      <c r="E12763" s="131" t="s">
        <v>40</v>
      </c>
      <c r="F12763" s="133" t="s">
        <v>24</v>
      </c>
      <c r="G12763" s="134" t="n">
        <f aca="false">LEN('Saisie programme'!$D$456)+SUMIFS('Vols additionnels'!$E$7:$E$66,'Vols additionnels'!$C$7:$C$66,$E12763,'Vols additionnels'!$D$7:$D$66,$F12763,'Vols additionnels'!$B$7:$B$66,$D12763)</f>
        <v>1</v>
      </c>
      <c r="H12763" s="135" t="n">
        <f aca="false">$G12763*'Analyse capacite'!$F$9</f>
        <v>174</v>
      </c>
      <c r="I12763" s="135" t="n">
        <f aca="false">$G12763*'Analyse capacite'!$C$9</f>
        <v>0</v>
      </c>
      <c r="J12763" s="135" t="n">
        <f aca="false">$G12763*'Analyse capacite'!$D$9</f>
        <v>12</v>
      </c>
      <c r="K12763" s="135" t="n">
        <f aca="false">$G12763*'Analyse capacite'!$E$9</f>
        <v>162</v>
      </c>
    </row>
    <row r="12764" customFormat="false" ht="15" hidden="false" customHeight="false" outlineLevel="0" collapsed="false">
      <c r="B12764" s="130" t="n">
        <v>2028</v>
      </c>
      <c r="C12764" s="131" t="s">
        <v>257</v>
      </c>
      <c r="D12764" s="132" t="n">
        <v>46832</v>
      </c>
      <c r="E12764" s="131" t="s">
        <v>14</v>
      </c>
      <c r="F12764" s="133" t="s">
        <v>11</v>
      </c>
      <c r="G12764" s="134" t="n">
        <f aca="false">LEN('Saisie programme'!$D$457)+SUMIFS('Vols additionnels'!$E$7:$E$66,'Vols additionnels'!$C$7:$C$66,$E12764,'Vols additionnels'!$D$7:$D$66,$F12764,'Vols additionnels'!$B$7:$B$66,$D12764)</f>
        <v>0</v>
      </c>
      <c r="H12764" s="135" t="n">
        <f aca="false">$G12764*'Analyse capacite'!$F$7</f>
        <v>0</v>
      </c>
      <c r="I12764" s="135" t="n">
        <f aca="false">$G12764*'Analyse capacite'!$C$7</f>
        <v>0</v>
      </c>
      <c r="J12764" s="135" t="n">
        <f aca="false">$G12764*'Analyse capacite'!$D$7</f>
        <v>0</v>
      </c>
      <c r="K12764" s="135" t="n">
        <f aca="false">$G12764*'Analyse capacite'!$E$7</f>
        <v>0</v>
      </c>
    </row>
    <row r="12765" customFormat="false" ht="15" hidden="false" customHeight="false" outlineLevel="0" collapsed="false">
      <c r="B12765" s="130" t="n">
        <v>2028</v>
      </c>
      <c r="C12765" s="131" t="s">
        <v>257</v>
      </c>
      <c r="D12765" s="132" t="n">
        <v>46832</v>
      </c>
      <c r="E12765" s="131" t="s">
        <v>14</v>
      </c>
      <c r="F12765" s="133" t="s">
        <v>19</v>
      </c>
      <c r="G12765" s="134" t="n">
        <f aca="false">LEN('Saisie programme'!$D$458)+SUMIFS('Vols additionnels'!$E$7:$E$66,'Vols additionnels'!$C$7:$C$66,$E12765,'Vols additionnels'!$D$7:$D$66,$F12765,'Vols additionnels'!$B$7:$B$66,$D12765)</f>
        <v>0</v>
      </c>
      <c r="H12765" s="135" t="n">
        <f aca="false">$G12765*'Analyse capacite'!$F$8</f>
        <v>0</v>
      </c>
      <c r="I12765" s="135" t="n">
        <f aca="false">$G12765*'Analyse capacite'!$C$8</f>
        <v>0</v>
      </c>
      <c r="J12765" s="135" t="n">
        <f aca="false">$G12765*'Analyse capacite'!$D$8</f>
        <v>0</v>
      </c>
      <c r="K12765" s="135" t="n">
        <f aca="false">$G12765*'Analyse capacite'!$E$8</f>
        <v>0</v>
      </c>
    </row>
    <row r="12766" customFormat="false" ht="15" hidden="false" customHeight="false" outlineLevel="0" collapsed="false">
      <c r="B12766" s="130" t="n">
        <v>2028</v>
      </c>
      <c r="C12766" s="131" t="s">
        <v>257</v>
      </c>
      <c r="D12766" s="132" t="n">
        <v>46832</v>
      </c>
      <c r="E12766" s="131" t="s">
        <v>14</v>
      </c>
      <c r="F12766" s="133" t="s">
        <v>24</v>
      </c>
      <c r="G12766" s="134" t="n">
        <f aca="false">LEN('Saisie programme'!$D$459)+SUMIFS('Vols additionnels'!$E$7:$E$66,'Vols additionnels'!$C$7:$C$66,$E12766,'Vols additionnels'!$D$7:$D$66,$F12766,'Vols additionnels'!$B$7:$B$66,$D12766)</f>
        <v>1</v>
      </c>
      <c r="H12766" s="135" t="n">
        <f aca="false">$G12766*'Analyse capacite'!$F$9</f>
        <v>174</v>
      </c>
      <c r="I12766" s="135" t="n">
        <f aca="false">$G12766*'Analyse capacite'!$C$9</f>
        <v>0</v>
      </c>
      <c r="J12766" s="135" t="n">
        <f aca="false">$G12766*'Analyse capacite'!$D$9</f>
        <v>12</v>
      </c>
      <c r="K12766" s="135" t="n">
        <f aca="false">$G12766*'Analyse capacite'!$E$9</f>
        <v>162</v>
      </c>
    </row>
    <row r="12767" customFormat="false" ht="15" hidden="false" customHeight="false" outlineLevel="0" collapsed="false">
      <c r="B12767" s="130" t="n">
        <v>2028</v>
      </c>
      <c r="C12767" s="131" t="s">
        <v>257</v>
      </c>
      <c r="D12767" s="132" t="n">
        <v>46832</v>
      </c>
      <c r="E12767" s="131" t="s">
        <v>46</v>
      </c>
      <c r="F12767" s="133" t="s">
        <v>11</v>
      </c>
      <c r="G12767" s="134" t="n">
        <f aca="false">LEN('Saisie programme'!$D$460)+SUMIFS('Vols additionnels'!$E$7:$E$66,'Vols additionnels'!$C$7:$C$66,$E12767,'Vols additionnels'!$D$7:$D$66,$F12767,'Vols additionnels'!$B$7:$B$66,$D12767)</f>
        <v>0</v>
      </c>
      <c r="H12767" s="135" t="n">
        <f aca="false">$G12767*'Analyse capacite'!$F$7</f>
        <v>0</v>
      </c>
      <c r="I12767" s="135" t="n">
        <f aca="false">$G12767*'Analyse capacite'!$C$7</f>
        <v>0</v>
      </c>
      <c r="J12767" s="135" t="n">
        <f aca="false">$G12767*'Analyse capacite'!$D$7</f>
        <v>0</v>
      </c>
      <c r="K12767" s="135" t="n">
        <f aca="false">$G12767*'Analyse capacite'!$E$7</f>
        <v>0</v>
      </c>
    </row>
    <row r="12768" customFormat="false" ht="15" hidden="false" customHeight="false" outlineLevel="0" collapsed="false">
      <c r="B12768" s="130" t="n">
        <v>2028</v>
      </c>
      <c r="C12768" s="131" t="s">
        <v>257</v>
      </c>
      <c r="D12768" s="132" t="n">
        <v>46832</v>
      </c>
      <c r="E12768" s="131" t="s">
        <v>46</v>
      </c>
      <c r="F12768" s="133" t="s">
        <v>19</v>
      </c>
      <c r="G12768" s="134" t="n">
        <f aca="false">LEN('Saisie programme'!$D$461)+SUMIFS('Vols additionnels'!$E$7:$E$66,'Vols additionnels'!$C$7:$C$66,$E12768,'Vols additionnels'!$D$7:$D$66,$F12768,'Vols additionnels'!$B$7:$B$66,$D12768)</f>
        <v>0</v>
      </c>
      <c r="H12768" s="135" t="n">
        <f aca="false">$G12768*'Analyse capacite'!$F$8</f>
        <v>0</v>
      </c>
      <c r="I12768" s="135" t="n">
        <f aca="false">$G12768*'Analyse capacite'!$C$8</f>
        <v>0</v>
      </c>
      <c r="J12768" s="135" t="n">
        <f aca="false">$G12768*'Analyse capacite'!$D$8</f>
        <v>0</v>
      </c>
      <c r="K12768" s="135" t="n">
        <f aca="false">$G12768*'Analyse capacite'!$E$8</f>
        <v>0</v>
      </c>
    </row>
    <row r="12769" customFormat="false" ht="15" hidden="false" customHeight="false" outlineLevel="0" collapsed="false">
      <c r="B12769" s="130" t="n">
        <v>2028</v>
      </c>
      <c r="C12769" s="131" t="s">
        <v>257</v>
      </c>
      <c r="D12769" s="132" t="n">
        <v>46832</v>
      </c>
      <c r="E12769" s="131" t="s">
        <v>46</v>
      </c>
      <c r="F12769" s="133" t="s">
        <v>24</v>
      </c>
      <c r="G12769" s="134" t="n">
        <f aca="false">LEN('Saisie programme'!$D$462)+SUMIFS('Vols additionnels'!$E$7:$E$66,'Vols additionnels'!$C$7:$C$66,$E12769,'Vols additionnels'!$D$7:$D$66,$F12769,'Vols additionnels'!$B$7:$B$66,$D12769)</f>
        <v>0</v>
      </c>
      <c r="H12769" s="135" t="n">
        <f aca="false">$G12769*'Analyse capacite'!$F$9</f>
        <v>0</v>
      </c>
      <c r="I12769" s="135" t="n">
        <f aca="false">$G12769*'Analyse capacite'!$C$9</f>
        <v>0</v>
      </c>
      <c r="J12769" s="135" t="n">
        <f aca="false">$G12769*'Analyse capacite'!$D$9</f>
        <v>0</v>
      </c>
      <c r="K12769" s="135" t="n">
        <f aca="false">$G12769*'Analyse capacite'!$E$9</f>
        <v>0</v>
      </c>
    </row>
    <row r="12770" customFormat="false" ht="15" hidden="false" customHeight="false" outlineLevel="0" collapsed="false">
      <c r="B12770" s="130" t="n">
        <v>2028</v>
      </c>
      <c r="C12770" s="131" t="s">
        <v>257</v>
      </c>
      <c r="D12770" s="132" t="n">
        <v>46832</v>
      </c>
      <c r="E12770" s="131" t="s">
        <v>49</v>
      </c>
      <c r="F12770" s="133" t="s">
        <v>11</v>
      </c>
      <c r="G12770" s="134" t="n">
        <f aca="false">LEN('Saisie programme'!$D$463)+SUMIFS('Vols additionnels'!$E$7:$E$66,'Vols additionnels'!$C$7:$C$66,$E12770,'Vols additionnels'!$D$7:$D$66,$F12770,'Vols additionnels'!$B$7:$B$66,$D12770)</f>
        <v>0</v>
      </c>
      <c r="H12770" s="135" t="n">
        <f aca="false">$G12770*'Analyse capacite'!$F$7</f>
        <v>0</v>
      </c>
      <c r="I12770" s="135" t="n">
        <f aca="false">$G12770*'Analyse capacite'!$C$7</f>
        <v>0</v>
      </c>
      <c r="J12770" s="135" t="n">
        <f aca="false">$G12770*'Analyse capacite'!$D$7</f>
        <v>0</v>
      </c>
      <c r="K12770" s="135" t="n">
        <f aca="false">$G12770*'Analyse capacite'!$E$7</f>
        <v>0</v>
      </c>
    </row>
    <row r="12771" customFormat="false" ht="15" hidden="false" customHeight="false" outlineLevel="0" collapsed="false">
      <c r="B12771" s="130" t="n">
        <v>2028</v>
      </c>
      <c r="C12771" s="131" t="s">
        <v>257</v>
      </c>
      <c r="D12771" s="132" t="n">
        <v>46832</v>
      </c>
      <c r="E12771" s="131" t="s">
        <v>49</v>
      </c>
      <c r="F12771" s="133" t="s">
        <v>19</v>
      </c>
      <c r="G12771" s="134" t="n">
        <f aca="false">LEN('Saisie programme'!$D$464)+SUMIFS('Vols additionnels'!$E$7:$E$66,'Vols additionnels'!$C$7:$C$66,$E12771,'Vols additionnels'!$D$7:$D$66,$F12771,'Vols additionnels'!$B$7:$B$66,$D12771)</f>
        <v>1</v>
      </c>
      <c r="H12771" s="135" t="n">
        <f aca="false">$G12771*'Analyse capacite'!$F$8</f>
        <v>262</v>
      </c>
      <c r="I12771" s="135" t="n">
        <f aca="false">$G12771*'Analyse capacite'!$C$8</f>
        <v>18</v>
      </c>
      <c r="J12771" s="135" t="n">
        <f aca="false">$G12771*'Analyse capacite'!$D$8</f>
        <v>0</v>
      </c>
      <c r="K12771" s="135" t="n">
        <f aca="false">$G12771*'Analyse capacite'!$E$8</f>
        <v>244</v>
      </c>
    </row>
    <row r="12772" customFormat="false" ht="15" hidden="false" customHeight="false" outlineLevel="0" collapsed="false">
      <c r="B12772" s="130" t="n">
        <v>2028</v>
      </c>
      <c r="C12772" s="131" t="s">
        <v>257</v>
      </c>
      <c r="D12772" s="132" t="n">
        <v>46832</v>
      </c>
      <c r="E12772" s="131" t="s">
        <v>49</v>
      </c>
      <c r="F12772" s="133" t="s">
        <v>24</v>
      </c>
      <c r="G12772" s="134" t="n">
        <f aca="false">LEN('Saisie programme'!$D$465)+SUMIFS('Vols additionnels'!$E$7:$E$66,'Vols additionnels'!$C$7:$C$66,$E12772,'Vols additionnels'!$D$7:$D$66,$F12772,'Vols additionnels'!$B$7:$B$66,$D12772)</f>
        <v>0</v>
      </c>
      <c r="H12772" s="135" t="n">
        <f aca="false">$G12772*'Analyse capacite'!$F$9</f>
        <v>0</v>
      </c>
      <c r="I12772" s="135" t="n">
        <f aca="false">$G12772*'Analyse capacite'!$C$9</f>
        <v>0</v>
      </c>
      <c r="J12772" s="135" t="n">
        <f aca="false">$G12772*'Analyse capacite'!$D$9</f>
        <v>0</v>
      </c>
      <c r="K12772" s="135" t="n">
        <f aca="false">$G12772*'Analyse capacite'!$E$9</f>
        <v>0</v>
      </c>
    </row>
    <row r="12773" customFormat="false" ht="15" hidden="false" customHeight="false" outlineLevel="0" collapsed="false">
      <c r="B12773" s="130" t="n">
        <v>2028</v>
      </c>
      <c r="C12773" s="131" t="s">
        <v>257</v>
      </c>
      <c r="D12773" s="132" t="n">
        <v>46832</v>
      </c>
      <c r="E12773" s="131" t="s">
        <v>53</v>
      </c>
      <c r="F12773" s="133" t="s">
        <v>11</v>
      </c>
      <c r="G12773" s="134" t="n">
        <f aca="false">LEN('Saisie programme'!$D$466)+SUMIFS('Vols additionnels'!$E$7:$E$66,'Vols additionnels'!$C$7:$C$66,$E12773,'Vols additionnels'!$D$7:$D$66,$F12773,'Vols additionnels'!$B$7:$B$66,$D12773)</f>
        <v>0</v>
      </c>
      <c r="H12773" s="135" t="n">
        <f aca="false">$G12773*'Analyse capacite'!$F$7</f>
        <v>0</v>
      </c>
      <c r="I12773" s="135" t="n">
        <f aca="false">$G12773*'Analyse capacite'!$C$7</f>
        <v>0</v>
      </c>
      <c r="J12773" s="135" t="n">
        <f aca="false">$G12773*'Analyse capacite'!$D$7</f>
        <v>0</v>
      </c>
      <c r="K12773" s="135" t="n">
        <f aca="false">$G12773*'Analyse capacite'!$E$7</f>
        <v>0</v>
      </c>
    </row>
    <row r="12774" customFormat="false" ht="15" hidden="false" customHeight="false" outlineLevel="0" collapsed="false">
      <c r="B12774" s="130" t="n">
        <v>2028</v>
      </c>
      <c r="C12774" s="131" t="s">
        <v>257</v>
      </c>
      <c r="D12774" s="132" t="n">
        <v>46832</v>
      </c>
      <c r="E12774" s="131" t="s">
        <v>53</v>
      </c>
      <c r="F12774" s="133" t="s">
        <v>19</v>
      </c>
      <c r="G12774" s="134" t="n">
        <f aca="false">LEN('Saisie programme'!$D$467)+SUMIFS('Vols additionnels'!$E$7:$E$66,'Vols additionnels'!$C$7:$C$66,$E12774,'Vols additionnels'!$D$7:$D$66,$F12774,'Vols additionnels'!$B$7:$B$66,$D12774)</f>
        <v>0</v>
      </c>
      <c r="H12774" s="135" t="n">
        <f aca="false">$G12774*'Analyse capacite'!$F$8</f>
        <v>0</v>
      </c>
      <c r="I12774" s="135" t="n">
        <f aca="false">$G12774*'Analyse capacite'!$C$8</f>
        <v>0</v>
      </c>
      <c r="J12774" s="135" t="n">
        <f aca="false">$G12774*'Analyse capacite'!$D$8</f>
        <v>0</v>
      </c>
      <c r="K12774" s="135" t="n">
        <f aca="false">$G12774*'Analyse capacite'!$E$8</f>
        <v>0</v>
      </c>
    </row>
    <row r="12775" customFormat="false" ht="15" hidden="false" customHeight="false" outlineLevel="0" collapsed="false">
      <c r="B12775" s="130" t="n">
        <v>2028</v>
      </c>
      <c r="C12775" s="131" t="s">
        <v>257</v>
      </c>
      <c r="D12775" s="132" t="n">
        <v>46832</v>
      </c>
      <c r="E12775" s="131" t="s">
        <v>53</v>
      </c>
      <c r="F12775" s="133" t="s">
        <v>24</v>
      </c>
      <c r="G12775" s="134" t="n">
        <f aca="false">LEN('Saisie programme'!$D$468)+SUMIFS('Vols additionnels'!$E$7:$E$66,'Vols additionnels'!$C$7:$C$66,$E12775,'Vols additionnels'!$D$7:$D$66,$F12775,'Vols additionnels'!$B$7:$B$66,$D12775)</f>
        <v>0</v>
      </c>
      <c r="H12775" s="135" t="n">
        <f aca="false">$G12775*'Analyse capacite'!$F$9</f>
        <v>0</v>
      </c>
      <c r="I12775" s="135" t="n">
        <f aca="false">$G12775*'Analyse capacite'!$C$9</f>
        <v>0</v>
      </c>
      <c r="J12775" s="135" t="n">
        <f aca="false">$G12775*'Analyse capacite'!$D$9</f>
        <v>0</v>
      </c>
      <c r="K12775" s="135" t="n">
        <f aca="false">$G12775*'Analyse capacite'!$E$9</f>
        <v>0</v>
      </c>
    </row>
    <row r="12776" customFormat="false" ht="15" hidden="false" customHeight="false" outlineLevel="0" collapsed="false">
      <c r="B12776" s="130" t="n">
        <v>2028</v>
      </c>
      <c r="C12776" s="131" t="s">
        <v>257</v>
      </c>
      <c r="D12776" s="132" t="n">
        <v>46832</v>
      </c>
      <c r="E12776" s="131" t="s">
        <v>56</v>
      </c>
      <c r="F12776" s="133" t="s">
        <v>11</v>
      </c>
      <c r="G12776" s="134" t="n">
        <f aca="false">LEN('Saisie programme'!$D$469)+SUMIFS('Vols additionnels'!$E$7:$E$66,'Vols additionnels'!$C$7:$C$66,$E12776,'Vols additionnels'!$D$7:$D$66,$F12776,'Vols additionnels'!$B$7:$B$66,$D12776)</f>
        <v>0</v>
      </c>
      <c r="H12776" s="135" t="n">
        <f aca="false">$G12776*'Analyse capacite'!$F$7</f>
        <v>0</v>
      </c>
      <c r="I12776" s="135" t="n">
        <f aca="false">$G12776*'Analyse capacite'!$C$7</f>
        <v>0</v>
      </c>
      <c r="J12776" s="135" t="n">
        <f aca="false">$G12776*'Analyse capacite'!$D$7</f>
        <v>0</v>
      </c>
      <c r="K12776" s="135" t="n">
        <f aca="false">$G12776*'Analyse capacite'!$E$7</f>
        <v>0</v>
      </c>
    </row>
    <row r="12777" customFormat="false" ht="15" hidden="false" customHeight="false" outlineLevel="0" collapsed="false">
      <c r="B12777" s="130" t="n">
        <v>2028</v>
      </c>
      <c r="C12777" s="131" t="s">
        <v>257</v>
      </c>
      <c r="D12777" s="132" t="n">
        <v>46832</v>
      </c>
      <c r="E12777" s="131" t="s">
        <v>56</v>
      </c>
      <c r="F12777" s="133" t="s">
        <v>19</v>
      </c>
      <c r="G12777" s="134" t="n">
        <f aca="false">LEN('Saisie programme'!$D$470)+SUMIFS('Vols additionnels'!$E$7:$E$66,'Vols additionnels'!$C$7:$C$66,$E12777,'Vols additionnels'!$D$7:$D$66,$F12777,'Vols additionnels'!$B$7:$B$66,$D12777)</f>
        <v>0</v>
      </c>
      <c r="H12777" s="135" t="n">
        <f aca="false">$G12777*'Analyse capacite'!$F$8</f>
        <v>0</v>
      </c>
      <c r="I12777" s="135" t="n">
        <f aca="false">$G12777*'Analyse capacite'!$C$8</f>
        <v>0</v>
      </c>
      <c r="J12777" s="135" t="n">
        <f aca="false">$G12777*'Analyse capacite'!$D$8</f>
        <v>0</v>
      </c>
      <c r="K12777" s="135" t="n">
        <f aca="false">$G12777*'Analyse capacite'!$E$8</f>
        <v>0</v>
      </c>
    </row>
    <row r="12778" customFormat="false" ht="15" hidden="false" customHeight="false" outlineLevel="0" collapsed="false">
      <c r="B12778" s="130" t="n">
        <v>2028</v>
      </c>
      <c r="C12778" s="131" t="s">
        <v>257</v>
      </c>
      <c r="D12778" s="132" t="n">
        <v>46832</v>
      </c>
      <c r="E12778" s="131" t="s">
        <v>56</v>
      </c>
      <c r="F12778" s="133" t="s">
        <v>24</v>
      </c>
      <c r="G12778" s="134" t="n">
        <f aca="false">LEN('Saisie programme'!$D$471)+SUMIFS('Vols additionnels'!$E$7:$E$66,'Vols additionnels'!$C$7:$C$66,$E12778,'Vols additionnels'!$D$7:$D$66,$F12778,'Vols additionnels'!$B$7:$B$66,$D12778)</f>
        <v>0</v>
      </c>
      <c r="H12778" s="135" t="n">
        <f aca="false">$G12778*'Analyse capacite'!$F$9</f>
        <v>0</v>
      </c>
      <c r="I12778" s="135" t="n">
        <f aca="false">$G12778*'Analyse capacite'!$C$9</f>
        <v>0</v>
      </c>
      <c r="J12778" s="135" t="n">
        <f aca="false">$G12778*'Analyse capacite'!$D$9</f>
        <v>0</v>
      </c>
      <c r="K12778" s="135" t="n">
        <f aca="false">$G12778*'Analyse capacite'!$E$9</f>
        <v>0</v>
      </c>
    </row>
    <row r="12779" customFormat="false" ht="15" hidden="false" customHeight="false" outlineLevel="0" collapsed="false">
      <c r="B12779" s="130" t="n">
        <v>2028</v>
      </c>
      <c r="C12779" s="131" t="s">
        <v>257</v>
      </c>
      <c r="D12779" s="132" t="n">
        <v>46832</v>
      </c>
      <c r="E12779" s="131" t="s">
        <v>59</v>
      </c>
      <c r="F12779" s="133" t="s">
        <v>11</v>
      </c>
      <c r="G12779" s="134" t="n">
        <f aca="false">LEN('Saisie programme'!$D$472)+SUMIFS('Vols additionnels'!$E$7:$E$66,'Vols additionnels'!$C$7:$C$66,$E12779,'Vols additionnels'!$D$7:$D$66,$F12779,'Vols additionnels'!$B$7:$B$66,$D12779)</f>
        <v>0</v>
      </c>
      <c r="H12779" s="135" t="n">
        <f aca="false">$G12779*'Analyse capacite'!$F$7</f>
        <v>0</v>
      </c>
      <c r="I12779" s="135" t="n">
        <f aca="false">$G12779*'Analyse capacite'!$C$7</f>
        <v>0</v>
      </c>
      <c r="J12779" s="135" t="n">
        <f aca="false">$G12779*'Analyse capacite'!$D$7</f>
        <v>0</v>
      </c>
      <c r="K12779" s="135" t="n">
        <f aca="false">$G12779*'Analyse capacite'!$E$7</f>
        <v>0</v>
      </c>
    </row>
    <row r="12780" customFormat="false" ht="15" hidden="false" customHeight="false" outlineLevel="0" collapsed="false">
      <c r="B12780" s="130" t="n">
        <v>2028</v>
      </c>
      <c r="C12780" s="131" t="s">
        <v>257</v>
      </c>
      <c r="D12780" s="132" t="n">
        <v>46832</v>
      </c>
      <c r="E12780" s="131" t="s">
        <v>59</v>
      </c>
      <c r="F12780" s="133" t="s">
        <v>19</v>
      </c>
      <c r="G12780" s="134" t="n">
        <f aca="false">LEN('Saisie programme'!$D$473)+SUMIFS('Vols additionnels'!$E$7:$E$66,'Vols additionnels'!$C$7:$C$66,$E12780,'Vols additionnels'!$D$7:$D$66,$F12780,'Vols additionnels'!$B$7:$B$66,$D12780)</f>
        <v>0</v>
      </c>
      <c r="H12780" s="135" t="n">
        <f aca="false">$G12780*'Analyse capacite'!$F$8</f>
        <v>0</v>
      </c>
      <c r="I12780" s="135" t="n">
        <f aca="false">$G12780*'Analyse capacite'!$C$8</f>
        <v>0</v>
      </c>
      <c r="J12780" s="135" t="n">
        <f aca="false">$G12780*'Analyse capacite'!$D$8</f>
        <v>0</v>
      </c>
      <c r="K12780" s="135" t="n">
        <f aca="false">$G12780*'Analyse capacite'!$E$8</f>
        <v>0</v>
      </c>
    </row>
    <row r="12781" customFormat="false" ht="15" hidden="false" customHeight="false" outlineLevel="0" collapsed="false">
      <c r="B12781" s="130" t="n">
        <v>2028</v>
      </c>
      <c r="C12781" s="131" t="s">
        <v>257</v>
      </c>
      <c r="D12781" s="132" t="n">
        <v>46832</v>
      </c>
      <c r="E12781" s="131" t="s">
        <v>59</v>
      </c>
      <c r="F12781" s="133" t="s">
        <v>24</v>
      </c>
      <c r="G12781" s="134" t="n">
        <f aca="false">LEN('Saisie programme'!$D$474)+SUMIFS('Vols additionnels'!$E$7:$E$66,'Vols additionnels'!$C$7:$C$66,$E12781,'Vols additionnels'!$D$7:$D$66,$F12781,'Vols additionnels'!$B$7:$B$66,$D12781)</f>
        <v>1</v>
      </c>
      <c r="H12781" s="135" t="n">
        <f aca="false">$G12781*'Analyse capacite'!$F$9</f>
        <v>174</v>
      </c>
      <c r="I12781" s="135" t="n">
        <f aca="false">$G12781*'Analyse capacite'!$C$9</f>
        <v>0</v>
      </c>
      <c r="J12781" s="135" t="n">
        <f aca="false">$G12781*'Analyse capacite'!$D$9</f>
        <v>12</v>
      </c>
      <c r="K12781" s="135" t="n">
        <f aca="false">$G12781*'Analyse capacite'!$E$9</f>
        <v>162</v>
      </c>
    </row>
    <row r="12782" customFormat="false" ht="15" hidden="false" customHeight="false" outlineLevel="0" collapsed="false">
      <c r="B12782" s="130" t="n">
        <v>2028</v>
      </c>
      <c r="C12782" s="131" t="s">
        <v>257</v>
      </c>
      <c r="D12782" s="132" t="n">
        <v>46832</v>
      </c>
      <c r="E12782" s="131" t="s">
        <v>62</v>
      </c>
      <c r="F12782" s="133" t="s">
        <v>11</v>
      </c>
      <c r="G12782" s="134" t="n">
        <f aca="false">LEN('Saisie programme'!$D$475)+SUMIFS('Vols additionnels'!$E$7:$E$66,'Vols additionnels'!$C$7:$C$66,$E12782,'Vols additionnels'!$D$7:$D$66,$F12782,'Vols additionnels'!$B$7:$B$66,$D12782)</f>
        <v>0</v>
      </c>
      <c r="H12782" s="135" t="n">
        <f aca="false">$G12782*'Analyse capacite'!$F$7</f>
        <v>0</v>
      </c>
      <c r="I12782" s="135" t="n">
        <f aca="false">$G12782*'Analyse capacite'!$C$7</f>
        <v>0</v>
      </c>
      <c r="J12782" s="135" t="n">
        <f aca="false">$G12782*'Analyse capacite'!$D$7</f>
        <v>0</v>
      </c>
      <c r="K12782" s="135" t="n">
        <f aca="false">$G12782*'Analyse capacite'!$E$7</f>
        <v>0</v>
      </c>
    </row>
    <row r="12783" customFormat="false" ht="15" hidden="false" customHeight="false" outlineLevel="0" collapsed="false">
      <c r="B12783" s="130" t="n">
        <v>2028</v>
      </c>
      <c r="C12783" s="131" t="s">
        <v>257</v>
      </c>
      <c r="D12783" s="132" t="n">
        <v>46832</v>
      </c>
      <c r="E12783" s="131" t="s">
        <v>62</v>
      </c>
      <c r="F12783" s="133" t="s">
        <v>19</v>
      </c>
      <c r="G12783" s="134" t="n">
        <f aca="false">LEN('Saisie programme'!$D$476)+SUMIFS('Vols additionnels'!$E$7:$E$66,'Vols additionnels'!$C$7:$C$66,$E12783,'Vols additionnels'!$D$7:$D$66,$F12783,'Vols additionnels'!$B$7:$B$66,$D12783)</f>
        <v>0</v>
      </c>
      <c r="H12783" s="135" t="n">
        <f aca="false">$G12783*'Analyse capacite'!$F$8</f>
        <v>0</v>
      </c>
      <c r="I12783" s="135" t="n">
        <f aca="false">$G12783*'Analyse capacite'!$C$8</f>
        <v>0</v>
      </c>
      <c r="J12783" s="135" t="n">
        <f aca="false">$G12783*'Analyse capacite'!$D$8</f>
        <v>0</v>
      </c>
      <c r="K12783" s="135" t="n">
        <f aca="false">$G12783*'Analyse capacite'!$E$8</f>
        <v>0</v>
      </c>
    </row>
    <row r="12784" customFormat="false" ht="15" hidden="false" customHeight="false" outlineLevel="0" collapsed="false">
      <c r="B12784" s="130" t="n">
        <v>2028</v>
      </c>
      <c r="C12784" s="131" t="s">
        <v>257</v>
      </c>
      <c r="D12784" s="132" t="n">
        <v>46832</v>
      </c>
      <c r="E12784" s="131" t="s">
        <v>62</v>
      </c>
      <c r="F12784" s="133" t="s">
        <v>24</v>
      </c>
      <c r="G12784" s="134" t="n">
        <f aca="false">LEN('Saisie programme'!$D$477)+SUMIFS('Vols additionnels'!$E$7:$E$66,'Vols additionnels'!$C$7:$C$66,$E12784,'Vols additionnels'!$D$7:$D$66,$F12784,'Vols additionnels'!$B$7:$B$66,$D12784)</f>
        <v>0</v>
      </c>
      <c r="H12784" s="135" t="n">
        <f aca="false">$G12784*'Analyse capacite'!$F$9</f>
        <v>0</v>
      </c>
      <c r="I12784" s="135" t="n">
        <f aca="false">$G12784*'Analyse capacite'!$C$9</f>
        <v>0</v>
      </c>
      <c r="J12784" s="135" t="n">
        <f aca="false">$G12784*'Analyse capacite'!$D$9</f>
        <v>0</v>
      </c>
      <c r="K12784" s="135" t="n">
        <f aca="false">$G12784*'Analyse capacite'!$E$9</f>
        <v>0</v>
      </c>
    </row>
    <row r="12785" customFormat="false" ht="15" hidden="false" customHeight="false" outlineLevel="0" collapsed="false">
      <c r="B12785" s="130" t="n">
        <v>2028</v>
      </c>
      <c r="C12785" s="131" t="s">
        <v>257</v>
      </c>
      <c r="D12785" s="132" t="n">
        <v>46833</v>
      </c>
      <c r="E12785" s="131" t="s">
        <v>12</v>
      </c>
      <c r="F12785" s="133" t="s">
        <v>11</v>
      </c>
      <c r="G12785" s="134" t="n">
        <f aca="false">LEN('Saisie programme'!$E$442)+SUMIFS('Vols additionnels'!$E$7:$E$66,'Vols additionnels'!$C$7:$C$66,$E12785,'Vols additionnels'!$D$7:$D$66,$F12785,'Vols additionnels'!$B$7:$B$66,$D12785)</f>
        <v>1</v>
      </c>
      <c r="H12785" s="135" t="n">
        <f aca="false">$G12785*'Analyse capacite'!$F$7</f>
        <v>438</v>
      </c>
      <c r="I12785" s="135" t="n">
        <f aca="false">$G12785*'Analyse capacite'!$C$7</f>
        <v>14</v>
      </c>
      <c r="J12785" s="135" t="n">
        <f aca="false">$G12785*'Analyse capacite'!$D$7</f>
        <v>40</v>
      </c>
      <c r="K12785" s="135" t="n">
        <f aca="false">$G12785*'Analyse capacite'!$E$7</f>
        <v>384</v>
      </c>
    </row>
    <row r="12786" customFormat="false" ht="15" hidden="false" customHeight="false" outlineLevel="0" collapsed="false">
      <c r="B12786" s="130" t="n">
        <v>2028</v>
      </c>
      <c r="C12786" s="131" t="s">
        <v>257</v>
      </c>
      <c r="D12786" s="132" t="n">
        <v>46833</v>
      </c>
      <c r="E12786" s="131" t="s">
        <v>12</v>
      </c>
      <c r="F12786" s="133" t="s">
        <v>19</v>
      </c>
      <c r="G12786" s="134" t="n">
        <f aca="false">LEN('Saisie programme'!$E$443)+SUMIFS('Vols additionnels'!$E$7:$E$66,'Vols additionnels'!$C$7:$C$66,$E12786,'Vols additionnels'!$D$7:$D$66,$F12786,'Vols additionnels'!$B$7:$B$66,$D12786)</f>
        <v>0</v>
      </c>
      <c r="H12786" s="135" t="n">
        <f aca="false">$G12786*'Analyse capacite'!$F$8</f>
        <v>0</v>
      </c>
      <c r="I12786" s="135" t="n">
        <f aca="false">$G12786*'Analyse capacite'!$C$8</f>
        <v>0</v>
      </c>
      <c r="J12786" s="135" t="n">
        <f aca="false">$G12786*'Analyse capacite'!$D$8</f>
        <v>0</v>
      </c>
      <c r="K12786" s="135" t="n">
        <f aca="false">$G12786*'Analyse capacite'!$E$8</f>
        <v>0</v>
      </c>
    </row>
    <row r="12787" customFormat="false" ht="15" hidden="false" customHeight="false" outlineLevel="0" collapsed="false">
      <c r="B12787" s="130" t="n">
        <v>2028</v>
      </c>
      <c r="C12787" s="131" t="s">
        <v>257</v>
      </c>
      <c r="D12787" s="132" t="n">
        <v>46833</v>
      </c>
      <c r="E12787" s="131" t="s">
        <v>12</v>
      </c>
      <c r="F12787" s="133" t="s">
        <v>24</v>
      </c>
      <c r="G12787" s="134" t="n">
        <f aca="false">LEN('Saisie programme'!$E$444)+SUMIFS('Vols additionnels'!$E$7:$E$66,'Vols additionnels'!$C$7:$C$66,$E12787,'Vols additionnels'!$D$7:$D$66,$F12787,'Vols additionnels'!$B$7:$B$66,$D12787)</f>
        <v>0</v>
      </c>
      <c r="H12787" s="135" t="n">
        <f aca="false">$G12787*'Analyse capacite'!$F$9</f>
        <v>0</v>
      </c>
      <c r="I12787" s="135" t="n">
        <f aca="false">$G12787*'Analyse capacite'!$C$9</f>
        <v>0</v>
      </c>
      <c r="J12787" s="135" t="n">
        <f aca="false">$G12787*'Analyse capacite'!$D$9</f>
        <v>0</v>
      </c>
      <c r="K12787" s="135" t="n">
        <f aca="false">$G12787*'Analyse capacite'!$E$9</f>
        <v>0</v>
      </c>
    </row>
    <row r="12788" customFormat="false" ht="15" hidden="false" customHeight="false" outlineLevel="0" collapsed="false">
      <c r="B12788" s="130" t="n">
        <v>2028</v>
      </c>
      <c r="C12788" s="131" t="s">
        <v>257</v>
      </c>
      <c r="D12788" s="132" t="n">
        <v>46833</v>
      </c>
      <c r="E12788" s="131" t="s">
        <v>20</v>
      </c>
      <c r="F12788" s="133" t="s">
        <v>11</v>
      </c>
      <c r="G12788" s="134" t="n">
        <f aca="false">LEN('Saisie programme'!$E$445)+SUMIFS('Vols additionnels'!$E$7:$E$66,'Vols additionnels'!$C$7:$C$66,$E12788,'Vols additionnels'!$D$7:$D$66,$F12788,'Vols additionnels'!$B$7:$B$66,$D12788)</f>
        <v>0</v>
      </c>
      <c r="H12788" s="135" t="n">
        <f aca="false">$G12788*'Analyse capacite'!$F$7</f>
        <v>0</v>
      </c>
      <c r="I12788" s="135" t="n">
        <f aca="false">$G12788*'Analyse capacite'!$C$7</f>
        <v>0</v>
      </c>
      <c r="J12788" s="135" t="n">
        <f aca="false">$G12788*'Analyse capacite'!$D$7</f>
        <v>0</v>
      </c>
      <c r="K12788" s="135" t="n">
        <f aca="false">$G12788*'Analyse capacite'!$E$7</f>
        <v>0</v>
      </c>
    </row>
    <row r="12789" customFormat="false" ht="15" hidden="false" customHeight="false" outlineLevel="0" collapsed="false">
      <c r="B12789" s="130" t="n">
        <v>2028</v>
      </c>
      <c r="C12789" s="131" t="s">
        <v>257</v>
      </c>
      <c r="D12789" s="132" t="n">
        <v>46833</v>
      </c>
      <c r="E12789" s="131" t="s">
        <v>20</v>
      </c>
      <c r="F12789" s="133" t="s">
        <v>19</v>
      </c>
      <c r="G12789" s="134" t="n">
        <f aca="false">LEN('Saisie programme'!$E$446)+SUMIFS('Vols additionnels'!$E$7:$E$66,'Vols additionnels'!$C$7:$C$66,$E12789,'Vols additionnels'!$D$7:$D$66,$F12789,'Vols additionnels'!$B$7:$B$66,$D12789)</f>
        <v>1</v>
      </c>
      <c r="H12789" s="135" t="n">
        <f aca="false">$G12789*'Analyse capacite'!$F$8</f>
        <v>262</v>
      </c>
      <c r="I12789" s="135" t="n">
        <f aca="false">$G12789*'Analyse capacite'!$C$8</f>
        <v>18</v>
      </c>
      <c r="J12789" s="135" t="n">
        <f aca="false">$G12789*'Analyse capacite'!$D$8</f>
        <v>0</v>
      </c>
      <c r="K12789" s="135" t="n">
        <f aca="false">$G12789*'Analyse capacite'!$E$8</f>
        <v>244</v>
      </c>
    </row>
    <row r="12790" customFormat="false" ht="15" hidden="false" customHeight="false" outlineLevel="0" collapsed="false">
      <c r="B12790" s="130" t="n">
        <v>2028</v>
      </c>
      <c r="C12790" s="131" t="s">
        <v>257</v>
      </c>
      <c r="D12790" s="132" t="n">
        <v>46833</v>
      </c>
      <c r="E12790" s="131" t="s">
        <v>20</v>
      </c>
      <c r="F12790" s="133" t="s">
        <v>24</v>
      </c>
      <c r="G12790" s="134" t="n">
        <f aca="false">LEN('Saisie programme'!$E$447)+SUMIFS('Vols additionnels'!$E$7:$E$66,'Vols additionnels'!$C$7:$C$66,$E12790,'Vols additionnels'!$D$7:$D$66,$F12790,'Vols additionnels'!$B$7:$B$66,$D12790)</f>
        <v>0</v>
      </c>
      <c r="H12790" s="135" t="n">
        <f aca="false">$G12790*'Analyse capacite'!$F$9</f>
        <v>0</v>
      </c>
      <c r="I12790" s="135" t="n">
        <f aca="false">$G12790*'Analyse capacite'!$C$9</f>
        <v>0</v>
      </c>
      <c r="J12790" s="135" t="n">
        <f aca="false">$G12790*'Analyse capacite'!$D$9</f>
        <v>0</v>
      </c>
      <c r="K12790" s="135" t="n">
        <f aca="false">$G12790*'Analyse capacite'!$E$9</f>
        <v>0</v>
      </c>
    </row>
    <row r="12791" customFormat="false" ht="15" hidden="false" customHeight="false" outlineLevel="0" collapsed="false">
      <c r="B12791" s="130" t="n">
        <v>2028</v>
      </c>
      <c r="C12791" s="131" t="s">
        <v>257</v>
      </c>
      <c r="D12791" s="132" t="n">
        <v>46833</v>
      </c>
      <c r="E12791" s="131" t="s">
        <v>25</v>
      </c>
      <c r="F12791" s="133" t="s">
        <v>11</v>
      </c>
      <c r="G12791" s="134" t="n">
        <f aca="false">LEN('Saisie programme'!$E$448)+SUMIFS('Vols additionnels'!$E$7:$E$66,'Vols additionnels'!$C$7:$C$66,$E12791,'Vols additionnels'!$D$7:$D$66,$F12791,'Vols additionnels'!$B$7:$B$66,$D12791)</f>
        <v>0</v>
      </c>
      <c r="H12791" s="135" t="n">
        <f aca="false">$G12791*'Analyse capacite'!$F$7</f>
        <v>0</v>
      </c>
      <c r="I12791" s="135" t="n">
        <f aca="false">$G12791*'Analyse capacite'!$C$7</f>
        <v>0</v>
      </c>
      <c r="J12791" s="135" t="n">
        <f aca="false">$G12791*'Analyse capacite'!$D$7</f>
        <v>0</v>
      </c>
      <c r="K12791" s="135" t="n">
        <f aca="false">$G12791*'Analyse capacite'!$E$7</f>
        <v>0</v>
      </c>
    </row>
    <row r="12792" customFormat="false" ht="15" hidden="false" customHeight="false" outlineLevel="0" collapsed="false">
      <c r="B12792" s="130" t="n">
        <v>2028</v>
      </c>
      <c r="C12792" s="131" t="s">
        <v>257</v>
      </c>
      <c r="D12792" s="132" t="n">
        <v>46833</v>
      </c>
      <c r="E12792" s="131" t="s">
        <v>25</v>
      </c>
      <c r="F12792" s="133" t="s">
        <v>19</v>
      </c>
      <c r="G12792" s="134" t="n">
        <f aca="false">LEN('Saisie programme'!$E$449)+SUMIFS('Vols additionnels'!$E$7:$E$66,'Vols additionnels'!$C$7:$C$66,$E12792,'Vols additionnels'!$D$7:$D$66,$F12792,'Vols additionnels'!$B$7:$B$66,$D12792)</f>
        <v>0</v>
      </c>
      <c r="H12792" s="135" t="n">
        <f aca="false">$G12792*'Analyse capacite'!$F$8</f>
        <v>0</v>
      </c>
      <c r="I12792" s="135" t="n">
        <f aca="false">$G12792*'Analyse capacite'!$C$8</f>
        <v>0</v>
      </c>
      <c r="J12792" s="135" t="n">
        <f aca="false">$G12792*'Analyse capacite'!$D$8</f>
        <v>0</v>
      </c>
      <c r="K12792" s="135" t="n">
        <f aca="false">$G12792*'Analyse capacite'!$E$8</f>
        <v>0</v>
      </c>
    </row>
    <row r="12793" customFormat="false" ht="15" hidden="false" customHeight="false" outlineLevel="0" collapsed="false">
      <c r="B12793" s="130" t="n">
        <v>2028</v>
      </c>
      <c r="C12793" s="131" t="s">
        <v>257</v>
      </c>
      <c r="D12793" s="132" t="n">
        <v>46833</v>
      </c>
      <c r="E12793" s="131" t="s">
        <v>25</v>
      </c>
      <c r="F12793" s="133" t="s">
        <v>24</v>
      </c>
      <c r="G12793" s="134" t="n">
        <f aca="false">LEN('Saisie programme'!$E$450)+SUMIFS('Vols additionnels'!$E$7:$E$66,'Vols additionnels'!$C$7:$C$66,$E12793,'Vols additionnels'!$D$7:$D$66,$F12793,'Vols additionnels'!$B$7:$B$66,$D12793)</f>
        <v>0</v>
      </c>
      <c r="H12793" s="135" t="n">
        <f aca="false">$G12793*'Analyse capacite'!$F$9</f>
        <v>0</v>
      </c>
      <c r="I12793" s="135" t="n">
        <f aca="false">$G12793*'Analyse capacite'!$C$9</f>
        <v>0</v>
      </c>
      <c r="J12793" s="135" t="n">
        <f aca="false">$G12793*'Analyse capacite'!$D$9</f>
        <v>0</v>
      </c>
      <c r="K12793" s="135" t="n">
        <f aca="false">$G12793*'Analyse capacite'!$E$9</f>
        <v>0</v>
      </c>
    </row>
    <row r="12794" customFormat="false" ht="15" hidden="false" customHeight="false" outlineLevel="0" collapsed="false">
      <c r="B12794" s="130" t="n">
        <v>2028</v>
      </c>
      <c r="C12794" s="131" t="s">
        <v>257</v>
      </c>
      <c r="D12794" s="132" t="n">
        <v>46833</v>
      </c>
      <c r="E12794" s="131" t="s">
        <v>36</v>
      </c>
      <c r="F12794" s="133" t="s">
        <v>11</v>
      </c>
      <c r="G12794" s="134" t="n">
        <f aca="false">LEN('Saisie programme'!$E$451)+SUMIFS('Vols additionnels'!$E$7:$E$66,'Vols additionnels'!$C$7:$C$66,$E12794,'Vols additionnels'!$D$7:$D$66,$F12794,'Vols additionnels'!$B$7:$B$66,$D12794)</f>
        <v>0</v>
      </c>
      <c r="H12794" s="135" t="n">
        <f aca="false">$G12794*'Analyse capacite'!$F$7</f>
        <v>0</v>
      </c>
      <c r="I12794" s="135" t="n">
        <f aca="false">$G12794*'Analyse capacite'!$C$7</f>
        <v>0</v>
      </c>
      <c r="J12794" s="135" t="n">
        <f aca="false">$G12794*'Analyse capacite'!$D$7</f>
        <v>0</v>
      </c>
      <c r="K12794" s="135" t="n">
        <f aca="false">$G12794*'Analyse capacite'!$E$7</f>
        <v>0</v>
      </c>
    </row>
    <row r="12795" customFormat="false" ht="15" hidden="false" customHeight="false" outlineLevel="0" collapsed="false">
      <c r="B12795" s="130" t="n">
        <v>2028</v>
      </c>
      <c r="C12795" s="131" t="s">
        <v>257</v>
      </c>
      <c r="D12795" s="132" t="n">
        <v>46833</v>
      </c>
      <c r="E12795" s="131" t="s">
        <v>36</v>
      </c>
      <c r="F12795" s="133" t="s">
        <v>19</v>
      </c>
      <c r="G12795" s="134" t="n">
        <f aca="false">LEN('Saisie programme'!$E$452)+SUMIFS('Vols additionnels'!$E$7:$E$66,'Vols additionnels'!$C$7:$C$66,$E12795,'Vols additionnels'!$D$7:$D$66,$F12795,'Vols additionnels'!$B$7:$B$66,$D12795)</f>
        <v>0</v>
      </c>
      <c r="H12795" s="135" t="n">
        <f aca="false">$G12795*'Analyse capacite'!$F$8</f>
        <v>0</v>
      </c>
      <c r="I12795" s="135" t="n">
        <f aca="false">$G12795*'Analyse capacite'!$C$8</f>
        <v>0</v>
      </c>
      <c r="J12795" s="135" t="n">
        <f aca="false">$G12795*'Analyse capacite'!$D$8</f>
        <v>0</v>
      </c>
      <c r="K12795" s="135" t="n">
        <f aca="false">$G12795*'Analyse capacite'!$E$8</f>
        <v>0</v>
      </c>
    </row>
    <row r="12796" customFormat="false" ht="15" hidden="false" customHeight="false" outlineLevel="0" collapsed="false">
      <c r="B12796" s="130" t="n">
        <v>2028</v>
      </c>
      <c r="C12796" s="131" t="s">
        <v>257</v>
      </c>
      <c r="D12796" s="132" t="n">
        <v>46833</v>
      </c>
      <c r="E12796" s="131" t="s">
        <v>36</v>
      </c>
      <c r="F12796" s="133" t="s">
        <v>24</v>
      </c>
      <c r="G12796" s="134" t="n">
        <f aca="false">LEN('Saisie programme'!$E$453)+SUMIFS('Vols additionnels'!$E$7:$E$66,'Vols additionnels'!$C$7:$C$66,$E12796,'Vols additionnels'!$D$7:$D$66,$F12796,'Vols additionnels'!$B$7:$B$66,$D12796)</f>
        <v>1</v>
      </c>
      <c r="H12796" s="135" t="n">
        <f aca="false">$G12796*'Analyse capacite'!$F$9</f>
        <v>174</v>
      </c>
      <c r="I12796" s="135" t="n">
        <f aca="false">$G12796*'Analyse capacite'!$C$9</f>
        <v>0</v>
      </c>
      <c r="J12796" s="135" t="n">
        <f aca="false">$G12796*'Analyse capacite'!$D$9</f>
        <v>12</v>
      </c>
      <c r="K12796" s="135" t="n">
        <f aca="false">$G12796*'Analyse capacite'!$E$9</f>
        <v>162</v>
      </c>
    </row>
    <row r="12797" customFormat="false" ht="15" hidden="false" customHeight="false" outlineLevel="0" collapsed="false">
      <c r="B12797" s="130" t="n">
        <v>2028</v>
      </c>
      <c r="C12797" s="131" t="s">
        <v>257</v>
      </c>
      <c r="D12797" s="132" t="n">
        <v>46833</v>
      </c>
      <c r="E12797" s="131" t="s">
        <v>40</v>
      </c>
      <c r="F12797" s="133" t="s">
        <v>11</v>
      </c>
      <c r="G12797" s="134" t="n">
        <f aca="false">LEN('Saisie programme'!$E$454)+SUMIFS('Vols additionnels'!$E$7:$E$66,'Vols additionnels'!$C$7:$C$66,$E12797,'Vols additionnels'!$D$7:$D$66,$F12797,'Vols additionnels'!$B$7:$B$66,$D12797)</f>
        <v>0</v>
      </c>
      <c r="H12797" s="135" t="n">
        <f aca="false">$G12797*'Analyse capacite'!$F$7</f>
        <v>0</v>
      </c>
      <c r="I12797" s="135" t="n">
        <f aca="false">$G12797*'Analyse capacite'!$C$7</f>
        <v>0</v>
      </c>
      <c r="J12797" s="135" t="n">
        <f aca="false">$G12797*'Analyse capacite'!$D$7</f>
        <v>0</v>
      </c>
      <c r="K12797" s="135" t="n">
        <f aca="false">$G12797*'Analyse capacite'!$E$7</f>
        <v>0</v>
      </c>
    </row>
    <row r="12798" customFormat="false" ht="15" hidden="false" customHeight="false" outlineLevel="0" collapsed="false">
      <c r="B12798" s="130" t="n">
        <v>2028</v>
      </c>
      <c r="C12798" s="131" t="s">
        <v>257</v>
      </c>
      <c r="D12798" s="132" t="n">
        <v>46833</v>
      </c>
      <c r="E12798" s="131" t="s">
        <v>40</v>
      </c>
      <c r="F12798" s="133" t="s">
        <v>19</v>
      </c>
      <c r="G12798" s="134" t="n">
        <f aca="false">LEN('Saisie programme'!$E$455)+SUMIFS('Vols additionnels'!$E$7:$E$66,'Vols additionnels'!$C$7:$C$66,$E12798,'Vols additionnels'!$D$7:$D$66,$F12798,'Vols additionnels'!$B$7:$B$66,$D12798)</f>
        <v>0</v>
      </c>
      <c r="H12798" s="135" t="n">
        <f aca="false">$G12798*'Analyse capacite'!$F$8</f>
        <v>0</v>
      </c>
      <c r="I12798" s="135" t="n">
        <f aca="false">$G12798*'Analyse capacite'!$C$8</f>
        <v>0</v>
      </c>
      <c r="J12798" s="135" t="n">
        <f aca="false">$G12798*'Analyse capacite'!$D$8</f>
        <v>0</v>
      </c>
      <c r="K12798" s="135" t="n">
        <f aca="false">$G12798*'Analyse capacite'!$E$8</f>
        <v>0</v>
      </c>
    </row>
    <row r="12799" customFormat="false" ht="15" hidden="false" customHeight="false" outlineLevel="0" collapsed="false">
      <c r="B12799" s="130" t="n">
        <v>2028</v>
      </c>
      <c r="C12799" s="131" t="s">
        <v>257</v>
      </c>
      <c r="D12799" s="132" t="n">
        <v>46833</v>
      </c>
      <c r="E12799" s="131" t="s">
        <v>40</v>
      </c>
      <c r="F12799" s="133" t="s">
        <v>24</v>
      </c>
      <c r="G12799" s="134" t="n">
        <f aca="false">LEN('Saisie programme'!$E$456)+SUMIFS('Vols additionnels'!$E$7:$E$66,'Vols additionnels'!$C$7:$C$66,$E12799,'Vols additionnels'!$D$7:$D$66,$F12799,'Vols additionnels'!$B$7:$B$66,$D12799)</f>
        <v>0</v>
      </c>
      <c r="H12799" s="135" t="n">
        <f aca="false">$G12799*'Analyse capacite'!$F$9</f>
        <v>0</v>
      </c>
      <c r="I12799" s="135" t="n">
        <f aca="false">$G12799*'Analyse capacite'!$C$9</f>
        <v>0</v>
      </c>
      <c r="J12799" s="135" t="n">
        <f aca="false">$G12799*'Analyse capacite'!$D$9</f>
        <v>0</v>
      </c>
      <c r="K12799" s="135" t="n">
        <f aca="false">$G12799*'Analyse capacite'!$E$9</f>
        <v>0</v>
      </c>
    </row>
    <row r="12800" customFormat="false" ht="15" hidden="false" customHeight="false" outlineLevel="0" collapsed="false">
      <c r="B12800" s="130" t="n">
        <v>2028</v>
      </c>
      <c r="C12800" s="131" t="s">
        <v>257</v>
      </c>
      <c r="D12800" s="132" t="n">
        <v>46833</v>
      </c>
      <c r="E12800" s="131" t="s">
        <v>14</v>
      </c>
      <c r="F12800" s="133" t="s">
        <v>11</v>
      </c>
      <c r="G12800" s="134" t="n">
        <f aca="false">LEN('Saisie programme'!$E$457)+SUMIFS('Vols additionnels'!$E$7:$E$66,'Vols additionnels'!$C$7:$C$66,$E12800,'Vols additionnels'!$D$7:$D$66,$F12800,'Vols additionnels'!$B$7:$B$66,$D12800)</f>
        <v>0</v>
      </c>
      <c r="H12800" s="135" t="n">
        <f aca="false">$G12800*'Analyse capacite'!$F$7</f>
        <v>0</v>
      </c>
      <c r="I12800" s="135" t="n">
        <f aca="false">$G12800*'Analyse capacite'!$C$7</f>
        <v>0</v>
      </c>
      <c r="J12800" s="135" t="n">
        <f aca="false">$G12800*'Analyse capacite'!$D$7</f>
        <v>0</v>
      </c>
      <c r="K12800" s="135" t="n">
        <f aca="false">$G12800*'Analyse capacite'!$E$7</f>
        <v>0</v>
      </c>
    </row>
    <row r="12801" customFormat="false" ht="15" hidden="false" customHeight="false" outlineLevel="0" collapsed="false">
      <c r="B12801" s="130" t="n">
        <v>2028</v>
      </c>
      <c r="C12801" s="131" t="s">
        <v>257</v>
      </c>
      <c r="D12801" s="132" t="n">
        <v>46833</v>
      </c>
      <c r="E12801" s="131" t="s">
        <v>14</v>
      </c>
      <c r="F12801" s="133" t="s">
        <v>19</v>
      </c>
      <c r="G12801" s="134" t="n">
        <f aca="false">LEN('Saisie programme'!$E$458)+SUMIFS('Vols additionnels'!$E$7:$E$66,'Vols additionnels'!$C$7:$C$66,$E12801,'Vols additionnels'!$D$7:$D$66,$F12801,'Vols additionnels'!$B$7:$B$66,$D12801)</f>
        <v>0</v>
      </c>
      <c r="H12801" s="135" t="n">
        <f aca="false">$G12801*'Analyse capacite'!$F$8</f>
        <v>0</v>
      </c>
      <c r="I12801" s="135" t="n">
        <f aca="false">$G12801*'Analyse capacite'!$C$8</f>
        <v>0</v>
      </c>
      <c r="J12801" s="135" t="n">
        <f aca="false">$G12801*'Analyse capacite'!$D$8</f>
        <v>0</v>
      </c>
      <c r="K12801" s="135" t="n">
        <f aca="false">$G12801*'Analyse capacite'!$E$8</f>
        <v>0</v>
      </c>
    </row>
    <row r="12802" customFormat="false" ht="15" hidden="false" customHeight="false" outlineLevel="0" collapsed="false">
      <c r="B12802" s="130" t="n">
        <v>2028</v>
      </c>
      <c r="C12802" s="131" t="s">
        <v>257</v>
      </c>
      <c r="D12802" s="132" t="n">
        <v>46833</v>
      </c>
      <c r="E12802" s="131" t="s">
        <v>14</v>
      </c>
      <c r="F12802" s="133" t="s">
        <v>24</v>
      </c>
      <c r="G12802" s="134" t="n">
        <f aca="false">LEN('Saisie programme'!$E$459)+SUMIFS('Vols additionnels'!$E$7:$E$66,'Vols additionnels'!$C$7:$C$66,$E12802,'Vols additionnels'!$D$7:$D$66,$F12802,'Vols additionnels'!$B$7:$B$66,$D12802)</f>
        <v>0</v>
      </c>
      <c r="H12802" s="135" t="n">
        <f aca="false">$G12802*'Analyse capacite'!$F$9</f>
        <v>0</v>
      </c>
      <c r="I12802" s="135" t="n">
        <f aca="false">$G12802*'Analyse capacite'!$C$9</f>
        <v>0</v>
      </c>
      <c r="J12802" s="135" t="n">
        <f aca="false">$G12802*'Analyse capacite'!$D$9</f>
        <v>0</v>
      </c>
      <c r="K12802" s="135" t="n">
        <f aca="false">$G12802*'Analyse capacite'!$E$9</f>
        <v>0</v>
      </c>
    </row>
    <row r="12803" customFormat="false" ht="15" hidden="false" customHeight="false" outlineLevel="0" collapsed="false">
      <c r="B12803" s="130" t="n">
        <v>2028</v>
      </c>
      <c r="C12803" s="131" t="s">
        <v>257</v>
      </c>
      <c r="D12803" s="132" t="n">
        <v>46833</v>
      </c>
      <c r="E12803" s="131" t="s">
        <v>46</v>
      </c>
      <c r="F12803" s="133" t="s">
        <v>11</v>
      </c>
      <c r="G12803" s="134" t="n">
        <f aca="false">LEN('Saisie programme'!$E$460)+SUMIFS('Vols additionnels'!$E$7:$E$66,'Vols additionnels'!$C$7:$C$66,$E12803,'Vols additionnels'!$D$7:$D$66,$F12803,'Vols additionnels'!$B$7:$B$66,$D12803)</f>
        <v>0</v>
      </c>
      <c r="H12803" s="135" t="n">
        <f aca="false">$G12803*'Analyse capacite'!$F$7</f>
        <v>0</v>
      </c>
      <c r="I12803" s="135" t="n">
        <f aca="false">$G12803*'Analyse capacite'!$C$7</f>
        <v>0</v>
      </c>
      <c r="J12803" s="135" t="n">
        <f aca="false">$G12803*'Analyse capacite'!$D$7</f>
        <v>0</v>
      </c>
      <c r="K12803" s="135" t="n">
        <f aca="false">$G12803*'Analyse capacite'!$E$7</f>
        <v>0</v>
      </c>
    </row>
    <row r="12804" customFormat="false" ht="15" hidden="false" customHeight="false" outlineLevel="0" collapsed="false">
      <c r="B12804" s="130" t="n">
        <v>2028</v>
      </c>
      <c r="C12804" s="131" t="s">
        <v>257</v>
      </c>
      <c r="D12804" s="132" t="n">
        <v>46833</v>
      </c>
      <c r="E12804" s="131" t="s">
        <v>46</v>
      </c>
      <c r="F12804" s="133" t="s">
        <v>19</v>
      </c>
      <c r="G12804" s="134" t="n">
        <f aca="false">LEN('Saisie programme'!$E$461)+SUMIFS('Vols additionnels'!$E$7:$E$66,'Vols additionnels'!$C$7:$C$66,$E12804,'Vols additionnels'!$D$7:$D$66,$F12804,'Vols additionnels'!$B$7:$B$66,$D12804)</f>
        <v>0</v>
      </c>
      <c r="H12804" s="135" t="n">
        <f aca="false">$G12804*'Analyse capacite'!$F$8</f>
        <v>0</v>
      </c>
      <c r="I12804" s="135" t="n">
        <f aca="false">$G12804*'Analyse capacite'!$C$8</f>
        <v>0</v>
      </c>
      <c r="J12804" s="135" t="n">
        <f aca="false">$G12804*'Analyse capacite'!$D$8</f>
        <v>0</v>
      </c>
      <c r="K12804" s="135" t="n">
        <f aca="false">$G12804*'Analyse capacite'!$E$8</f>
        <v>0</v>
      </c>
    </row>
    <row r="12805" customFormat="false" ht="15" hidden="false" customHeight="false" outlineLevel="0" collapsed="false">
      <c r="B12805" s="130" t="n">
        <v>2028</v>
      </c>
      <c r="C12805" s="131" t="s">
        <v>257</v>
      </c>
      <c r="D12805" s="132" t="n">
        <v>46833</v>
      </c>
      <c r="E12805" s="131" t="s">
        <v>46</v>
      </c>
      <c r="F12805" s="133" t="s">
        <v>24</v>
      </c>
      <c r="G12805" s="134" t="n">
        <f aca="false">LEN('Saisie programme'!$E$462)+SUMIFS('Vols additionnels'!$E$7:$E$66,'Vols additionnels'!$C$7:$C$66,$E12805,'Vols additionnels'!$D$7:$D$66,$F12805,'Vols additionnels'!$B$7:$B$66,$D12805)</f>
        <v>1</v>
      </c>
      <c r="H12805" s="135" t="n">
        <f aca="false">$G12805*'Analyse capacite'!$F$9</f>
        <v>174</v>
      </c>
      <c r="I12805" s="135" t="n">
        <f aca="false">$G12805*'Analyse capacite'!$C$9</f>
        <v>0</v>
      </c>
      <c r="J12805" s="135" t="n">
        <f aca="false">$G12805*'Analyse capacite'!$D$9</f>
        <v>12</v>
      </c>
      <c r="K12805" s="135" t="n">
        <f aca="false">$G12805*'Analyse capacite'!$E$9</f>
        <v>162</v>
      </c>
    </row>
    <row r="12806" customFormat="false" ht="15" hidden="false" customHeight="false" outlineLevel="0" collapsed="false">
      <c r="B12806" s="130" t="n">
        <v>2028</v>
      </c>
      <c r="C12806" s="131" t="s">
        <v>257</v>
      </c>
      <c r="D12806" s="132" t="n">
        <v>46833</v>
      </c>
      <c r="E12806" s="131" t="s">
        <v>49</v>
      </c>
      <c r="F12806" s="133" t="s">
        <v>11</v>
      </c>
      <c r="G12806" s="134" t="n">
        <f aca="false">LEN('Saisie programme'!$E$463)+SUMIFS('Vols additionnels'!$E$7:$E$66,'Vols additionnels'!$C$7:$C$66,$E12806,'Vols additionnels'!$D$7:$D$66,$F12806,'Vols additionnels'!$B$7:$B$66,$D12806)</f>
        <v>0</v>
      </c>
      <c r="H12806" s="135" t="n">
        <f aca="false">$G12806*'Analyse capacite'!$F$7</f>
        <v>0</v>
      </c>
      <c r="I12806" s="135" t="n">
        <f aca="false">$G12806*'Analyse capacite'!$C$7</f>
        <v>0</v>
      </c>
      <c r="J12806" s="135" t="n">
        <f aca="false">$G12806*'Analyse capacite'!$D$7</f>
        <v>0</v>
      </c>
      <c r="K12806" s="135" t="n">
        <f aca="false">$G12806*'Analyse capacite'!$E$7</f>
        <v>0</v>
      </c>
    </row>
    <row r="12807" customFormat="false" ht="15" hidden="false" customHeight="false" outlineLevel="0" collapsed="false">
      <c r="B12807" s="130" t="n">
        <v>2028</v>
      </c>
      <c r="C12807" s="131" t="s">
        <v>257</v>
      </c>
      <c r="D12807" s="132" t="n">
        <v>46833</v>
      </c>
      <c r="E12807" s="131" t="s">
        <v>49</v>
      </c>
      <c r="F12807" s="133" t="s">
        <v>19</v>
      </c>
      <c r="G12807" s="134" t="n">
        <f aca="false">LEN('Saisie programme'!$E$464)+SUMIFS('Vols additionnels'!$E$7:$E$66,'Vols additionnels'!$C$7:$C$66,$E12807,'Vols additionnels'!$D$7:$D$66,$F12807,'Vols additionnels'!$B$7:$B$66,$D12807)</f>
        <v>0</v>
      </c>
      <c r="H12807" s="135" t="n">
        <f aca="false">$G12807*'Analyse capacite'!$F$8</f>
        <v>0</v>
      </c>
      <c r="I12807" s="135" t="n">
        <f aca="false">$G12807*'Analyse capacite'!$C$8</f>
        <v>0</v>
      </c>
      <c r="J12807" s="135" t="n">
        <f aca="false">$G12807*'Analyse capacite'!$D$8</f>
        <v>0</v>
      </c>
      <c r="K12807" s="135" t="n">
        <f aca="false">$G12807*'Analyse capacite'!$E$8</f>
        <v>0</v>
      </c>
    </row>
    <row r="12808" customFormat="false" ht="15" hidden="false" customHeight="false" outlineLevel="0" collapsed="false">
      <c r="B12808" s="130" t="n">
        <v>2028</v>
      </c>
      <c r="C12808" s="131" t="s">
        <v>257</v>
      </c>
      <c r="D12808" s="132" t="n">
        <v>46833</v>
      </c>
      <c r="E12808" s="131" t="s">
        <v>49</v>
      </c>
      <c r="F12808" s="133" t="s">
        <v>24</v>
      </c>
      <c r="G12808" s="134" t="n">
        <f aca="false">LEN('Saisie programme'!$E$465)+SUMIFS('Vols additionnels'!$E$7:$E$66,'Vols additionnels'!$C$7:$C$66,$E12808,'Vols additionnels'!$D$7:$D$66,$F12808,'Vols additionnels'!$B$7:$B$66,$D12808)</f>
        <v>0</v>
      </c>
      <c r="H12808" s="135" t="n">
        <f aca="false">$G12808*'Analyse capacite'!$F$9</f>
        <v>0</v>
      </c>
      <c r="I12808" s="135" t="n">
        <f aca="false">$G12808*'Analyse capacite'!$C$9</f>
        <v>0</v>
      </c>
      <c r="J12808" s="135" t="n">
        <f aca="false">$G12808*'Analyse capacite'!$D$9</f>
        <v>0</v>
      </c>
      <c r="K12808" s="135" t="n">
        <f aca="false">$G12808*'Analyse capacite'!$E$9</f>
        <v>0</v>
      </c>
    </row>
    <row r="12809" customFormat="false" ht="15" hidden="false" customHeight="false" outlineLevel="0" collapsed="false">
      <c r="B12809" s="130" t="n">
        <v>2028</v>
      </c>
      <c r="C12809" s="131" t="s">
        <v>257</v>
      </c>
      <c r="D12809" s="132" t="n">
        <v>46833</v>
      </c>
      <c r="E12809" s="131" t="s">
        <v>53</v>
      </c>
      <c r="F12809" s="133" t="s">
        <v>11</v>
      </c>
      <c r="G12809" s="134" t="n">
        <f aca="false">LEN('Saisie programme'!$E$466)+SUMIFS('Vols additionnels'!$E$7:$E$66,'Vols additionnels'!$C$7:$C$66,$E12809,'Vols additionnels'!$D$7:$D$66,$F12809,'Vols additionnels'!$B$7:$B$66,$D12809)</f>
        <v>0</v>
      </c>
      <c r="H12809" s="135" t="n">
        <f aca="false">$G12809*'Analyse capacite'!$F$7</f>
        <v>0</v>
      </c>
      <c r="I12809" s="135" t="n">
        <f aca="false">$G12809*'Analyse capacite'!$C$7</f>
        <v>0</v>
      </c>
      <c r="J12809" s="135" t="n">
        <f aca="false">$G12809*'Analyse capacite'!$D$7</f>
        <v>0</v>
      </c>
      <c r="K12809" s="135" t="n">
        <f aca="false">$G12809*'Analyse capacite'!$E$7</f>
        <v>0</v>
      </c>
    </row>
    <row r="12810" customFormat="false" ht="15" hidden="false" customHeight="false" outlineLevel="0" collapsed="false">
      <c r="B12810" s="130" t="n">
        <v>2028</v>
      </c>
      <c r="C12810" s="131" t="s">
        <v>257</v>
      </c>
      <c r="D12810" s="132" t="n">
        <v>46833</v>
      </c>
      <c r="E12810" s="131" t="s">
        <v>53</v>
      </c>
      <c r="F12810" s="133" t="s">
        <v>19</v>
      </c>
      <c r="G12810" s="134" t="n">
        <f aca="false">LEN('Saisie programme'!$E$467)+SUMIFS('Vols additionnels'!$E$7:$E$66,'Vols additionnels'!$C$7:$C$66,$E12810,'Vols additionnels'!$D$7:$D$66,$F12810,'Vols additionnels'!$B$7:$B$66,$D12810)</f>
        <v>0</v>
      </c>
      <c r="H12810" s="135" t="n">
        <f aca="false">$G12810*'Analyse capacite'!$F$8</f>
        <v>0</v>
      </c>
      <c r="I12810" s="135" t="n">
        <f aca="false">$G12810*'Analyse capacite'!$C$8</f>
        <v>0</v>
      </c>
      <c r="J12810" s="135" t="n">
        <f aca="false">$G12810*'Analyse capacite'!$D$8</f>
        <v>0</v>
      </c>
      <c r="K12810" s="135" t="n">
        <f aca="false">$G12810*'Analyse capacite'!$E$8</f>
        <v>0</v>
      </c>
    </row>
    <row r="12811" customFormat="false" ht="15" hidden="false" customHeight="false" outlineLevel="0" collapsed="false">
      <c r="B12811" s="130" t="n">
        <v>2028</v>
      </c>
      <c r="C12811" s="131" t="s">
        <v>257</v>
      </c>
      <c r="D12811" s="132" t="n">
        <v>46833</v>
      </c>
      <c r="E12811" s="131" t="s">
        <v>53</v>
      </c>
      <c r="F12811" s="133" t="s">
        <v>24</v>
      </c>
      <c r="G12811" s="134" t="n">
        <f aca="false">LEN('Saisie programme'!$E$468)+SUMIFS('Vols additionnels'!$E$7:$E$66,'Vols additionnels'!$C$7:$C$66,$E12811,'Vols additionnels'!$D$7:$D$66,$F12811,'Vols additionnels'!$B$7:$B$66,$D12811)</f>
        <v>0</v>
      </c>
      <c r="H12811" s="135" t="n">
        <f aca="false">$G12811*'Analyse capacite'!$F$9</f>
        <v>0</v>
      </c>
      <c r="I12811" s="135" t="n">
        <f aca="false">$G12811*'Analyse capacite'!$C$9</f>
        <v>0</v>
      </c>
      <c r="J12811" s="135" t="n">
        <f aca="false">$G12811*'Analyse capacite'!$D$9</f>
        <v>0</v>
      </c>
      <c r="K12811" s="135" t="n">
        <f aca="false">$G12811*'Analyse capacite'!$E$9</f>
        <v>0</v>
      </c>
    </row>
    <row r="12812" customFormat="false" ht="15" hidden="false" customHeight="false" outlineLevel="0" collapsed="false">
      <c r="B12812" s="130" t="n">
        <v>2028</v>
      </c>
      <c r="C12812" s="131" t="s">
        <v>257</v>
      </c>
      <c r="D12812" s="132" t="n">
        <v>46833</v>
      </c>
      <c r="E12812" s="131" t="s">
        <v>56</v>
      </c>
      <c r="F12812" s="133" t="s">
        <v>11</v>
      </c>
      <c r="G12812" s="134" t="n">
        <f aca="false">LEN('Saisie programme'!$E$469)+SUMIFS('Vols additionnels'!$E$7:$E$66,'Vols additionnels'!$C$7:$C$66,$E12812,'Vols additionnels'!$D$7:$D$66,$F12812,'Vols additionnels'!$B$7:$B$66,$D12812)</f>
        <v>0</v>
      </c>
      <c r="H12812" s="135" t="n">
        <f aca="false">$G12812*'Analyse capacite'!$F$7</f>
        <v>0</v>
      </c>
      <c r="I12812" s="135" t="n">
        <f aca="false">$G12812*'Analyse capacite'!$C$7</f>
        <v>0</v>
      </c>
      <c r="J12812" s="135" t="n">
        <f aca="false">$G12812*'Analyse capacite'!$D$7</f>
        <v>0</v>
      </c>
      <c r="K12812" s="135" t="n">
        <f aca="false">$G12812*'Analyse capacite'!$E$7</f>
        <v>0</v>
      </c>
    </row>
    <row r="12813" customFormat="false" ht="15" hidden="false" customHeight="false" outlineLevel="0" collapsed="false">
      <c r="B12813" s="130" t="n">
        <v>2028</v>
      </c>
      <c r="C12813" s="131" t="s">
        <v>257</v>
      </c>
      <c r="D12813" s="132" t="n">
        <v>46833</v>
      </c>
      <c r="E12813" s="131" t="s">
        <v>56</v>
      </c>
      <c r="F12813" s="133" t="s">
        <v>19</v>
      </c>
      <c r="G12813" s="134" t="n">
        <f aca="false">LEN('Saisie programme'!$E$470)+SUMIFS('Vols additionnels'!$E$7:$E$66,'Vols additionnels'!$C$7:$C$66,$E12813,'Vols additionnels'!$D$7:$D$66,$F12813,'Vols additionnels'!$B$7:$B$66,$D12813)</f>
        <v>0</v>
      </c>
      <c r="H12813" s="135" t="n">
        <f aca="false">$G12813*'Analyse capacite'!$F$8</f>
        <v>0</v>
      </c>
      <c r="I12813" s="135" t="n">
        <f aca="false">$G12813*'Analyse capacite'!$C$8</f>
        <v>0</v>
      </c>
      <c r="J12813" s="135" t="n">
        <f aca="false">$G12813*'Analyse capacite'!$D$8</f>
        <v>0</v>
      </c>
      <c r="K12813" s="135" t="n">
        <f aca="false">$G12813*'Analyse capacite'!$E$8</f>
        <v>0</v>
      </c>
    </row>
    <row r="12814" customFormat="false" ht="15" hidden="false" customHeight="false" outlineLevel="0" collapsed="false">
      <c r="B12814" s="130" t="n">
        <v>2028</v>
      </c>
      <c r="C12814" s="131" t="s">
        <v>257</v>
      </c>
      <c r="D12814" s="132" t="n">
        <v>46833</v>
      </c>
      <c r="E12814" s="131" t="s">
        <v>56</v>
      </c>
      <c r="F12814" s="133" t="s">
        <v>24</v>
      </c>
      <c r="G12814" s="134" t="n">
        <f aca="false">LEN('Saisie programme'!$E$471)+SUMIFS('Vols additionnels'!$E$7:$E$66,'Vols additionnels'!$C$7:$C$66,$E12814,'Vols additionnels'!$D$7:$D$66,$F12814,'Vols additionnels'!$B$7:$B$66,$D12814)</f>
        <v>1</v>
      </c>
      <c r="H12814" s="135" t="n">
        <f aca="false">$G12814*'Analyse capacite'!$F$9</f>
        <v>174</v>
      </c>
      <c r="I12814" s="135" t="n">
        <f aca="false">$G12814*'Analyse capacite'!$C$9</f>
        <v>0</v>
      </c>
      <c r="J12814" s="135" t="n">
        <f aca="false">$G12814*'Analyse capacite'!$D$9</f>
        <v>12</v>
      </c>
      <c r="K12814" s="135" t="n">
        <f aca="false">$G12814*'Analyse capacite'!$E$9</f>
        <v>162</v>
      </c>
    </row>
    <row r="12815" customFormat="false" ht="15" hidden="false" customHeight="false" outlineLevel="0" collapsed="false">
      <c r="B12815" s="130" t="n">
        <v>2028</v>
      </c>
      <c r="C12815" s="131" t="s">
        <v>257</v>
      </c>
      <c r="D12815" s="132" t="n">
        <v>46833</v>
      </c>
      <c r="E12815" s="131" t="s">
        <v>59</v>
      </c>
      <c r="F12815" s="133" t="s">
        <v>11</v>
      </c>
      <c r="G12815" s="134" t="n">
        <f aca="false">LEN('Saisie programme'!$E$472)+SUMIFS('Vols additionnels'!$E$7:$E$66,'Vols additionnels'!$C$7:$C$66,$E12815,'Vols additionnels'!$D$7:$D$66,$F12815,'Vols additionnels'!$B$7:$B$66,$D12815)</f>
        <v>0</v>
      </c>
      <c r="H12815" s="135" t="n">
        <f aca="false">$G12815*'Analyse capacite'!$F$7</f>
        <v>0</v>
      </c>
      <c r="I12815" s="135" t="n">
        <f aca="false">$G12815*'Analyse capacite'!$C$7</f>
        <v>0</v>
      </c>
      <c r="J12815" s="135" t="n">
        <f aca="false">$G12815*'Analyse capacite'!$D$7</f>
        <v>0</v>
      </c>
      <c r="K12815" s="135" t="n">
        <f aca="false">$G12815*'Analyse capacite'!$E$7</f>
        <v>0</v>
      </c>
    </row>
    <row r="12816" customFormat="false" ht="15" hidden="false" customHeight="false" outlineLevel="0" collapsed="false">
      <c r="B12816" s="130" t="n">
        <v>2028</v>
      </c>
      <c r="C12816" s="131" t="s">
        <v>257</v>
      </c>
      <c r="D12816" s="132" t="n">
        <v>46833</v>
      </c>
      <c r="E12816" s="131" t="s">
        <v>59</v>
      </c>
      <c r="F12816" s="133" t="s">
        <v>19</v>
      </c>
      <c r="G12816" s="134" t="n">
        <f aca="false">LEN('Saisie programme'!$E$473)+SUMIFS('Vols additionnels'!$E$7:$E$66,'Vols additionnels'!$C$7:$C$66,$E12816,'Vols additionnels'!$D$7:$D$66,$F12816,'Vols additionnels'!$B$7:$B$66,$D12816)</f>
        <v>0</v>
      </c>
      <c r="H12816" s="135" t="n">
        <f aca="false">$G12816*'Analyse capacite'!$F$8</f>
        <v>0</v>
      </c>
      <c r="I12816" s="135" t="n">
        <f aca="false">$G12816*'Analyse capacite'!$C$8</f>
        <v>0</v>
      </c>
      <c r="J12816" s="135" t="n">
        <f aca="false">$G12816*'Analyse capacite'!$D$8</f>
        <v>0</v>
      </c>
      <c r="K12816" s="135" t="n">
        <f aca="false">$G12816*'Analyse capacite'!$E$8</f>
        <v>0</v>
      </c>
    </row>
    <row r="12817" customFormat="false" ht="15" hidden="false" customHeight="false" outlineLevel="0" collapsed="false">
      <c r="B12817" s="130" t="n">
        <v>2028</v>
      </c>
      <c r="C12817" s="131" t="s">
        <v>257</v>
      </c>
      <c r="D12817" s="132" t="n">
        <v>46833</v>
      </c>
      <c r="E12817" s="131" t="s">
        <v>59</v>
      </c>
      <c r="F12817" s="133" t="s">
        <v>24</v>
      </c>
      <c r="G12817" s="134" t="n">
        <f aca="false">LEN('Saisie programme'!$E$474)+SUMIFS('Vols additionnels'!$E$7:$E$66,'Vols additionnels'!$C$7:$C$66,$E12817,'Vols additionnels'!$D$7:$D$66,$F12817,'Vols additionnels'!$B$7:$B$66,$D12817)</f>
        <v>1</v>
      </c>
      <c r="H12817" s="135" t="n">
        <f aca="false">$G12817*'Analyse capacite'!$F$9</f>
        <v>174</v>
      </c>
      <c r="I12817" s="135" t="n">
        <f aca="false">$G12817*'Analyse capacite'!$C$9</f>
        <v>0</v>
      </c>
      <c r="J12817" s="135" t="n">
        <f aca="false">$G12817*'Analyse capacite'!$D$9</f>
        <v>12</v>
      </c>
      <c r="K12817" s="135" t="n">
        <f aca="false">$G12817*'Analyse capacite'!$E$9</f>
        <v>162</v>
      </c>
    </row>
    <row r="12818" customFormat="false" ht="15" hidden="false" customHeight="false" outlineLevel="0" collapsed="false">
      <c r="B12818" s="130" t="n">
        <v>2028</v>
      </c>
      <c r="C12818" s="131" t="s">
        <v>257</v>
      </c>
      <c r="D12818" s="132" t="n">
        <v>46833</v>
      </c>
      <c r="E12818" s="131" t="s">
        <v>62</v>
      </c>
      <c r="F12818" s="133" t="s">
        <v>11</v>
      </c>
      <c r="G12818" s="134" t="n">
        <f aca="false">LEN('Saisie programme'!$E$475)+SUMIFS('Vols additionnels'!$E$7:$E$66,'Vols additionnels'!$C$7:$C$66,$E12818,'Vols additionnels'!$D$7:$D$66,$F12818,'Vols additionnels'!$B$7:$B$66,$D12818)</f>
        <v>0</v>
      </c>
      <c r="H12818" s="135" t="n">
        <f aca="false">$G12818*'Analyse capacite'!$F$7</f>
        <v>0</v>
      </c>
      <c r="I12818" s="135" t="n">
        <f aca="false">$G12818*'Analyse capacite'!$C$7</f>
        <v>0</v>
      </c>
      <c r="J12818" s="135" t="n">
        <f aca="false">$G12818*'Analyse capacite'!$D$7</f>
        <v>0</v>
      </c>
      <c r="K12818" s="135" t="n">
        <f aca="false">$G12818*'Analyse capacite'!$E$7</f>
        <v>0</v>
      </c>
    </row>
    <row r="12819" customFormat="false" ht="15" hidden="false" customHeight="false" outlineLevel="0" collapsed="false">
      <c r="B12819" s="130" t="n">
        <v>2028</v>
      </c>
      <c r="C12819" s="131" t="s">
        <v>257</v>
      </c>
      <c r="D12819" s="132" t="n">
        <v>46833</v>
      </c>
      <c r="E12819" s="131" t="s">
        <v>62</v>
      </c>
      <c r="F12819" s="133" t="s">
        <v>19</v>
      </c>
      <c r="G12819" s="134" t="n">
        <f aca="false">LEN('Saisie programme'!$E$476)+SUMIFS('Vols additionnels'!$E$7:$E$66,'Vols additionnels'!$C$7:$C$66,$E12819,'Vols additionnels'!$D$7:$D$66,$F12819,'Vols additionnels'!$B$7:$B$66,$D12819)</f>
        <v>0</v>
      </c>
      <c r="H12819" s="135" t="n">
        <f aca="false">$G12819*'Analyse capacite'!$F$8</f>
        <v>0</v>
      </c>
      <c r="I12819" s="135" t="n">
        <f aca="false">$G12819*'Analyse capacite'!$C$8</f>
        <v>0</v>
      </c>
      <c r="J12819" s="135" t="n">
        <f aca="false">$G12819*'Analyse capacite'!$D$8</f>
        <v>0</v>
      </c>
      <c r="K12819" s="135" t="n">
        <f aca="false">$G12819*'Analyse capacite'!$E$8</f>
        <v>0</v>
      </c>
    </row>
    <row r="12820" customFormat="false" ht="15" hidden="false" customHeight="false" outlineLevel="0" collapsed="false">
      <c r="B12820" s="130" t="n">
        <v>2028</v>
      </c>
      <c r="C12820" s="131" t="s">
        <v>257</v>
      </c>
      <c r="D12820" s="132" t="n">
        <v>46833</v>
      </c>
      <c r="E12820" s="131" t="s">
        <v>62</v>
      </c>
      <c r="F12820" s="133" t="s">
        <v>24</v>
      </c>
      <c r="G12820" s="134" t="n">
        <f aca="false">LEN('Saisie programme'!$E$477)+SUMIFS('Vols additionnels'!$E$7:$E$66,'Vols additionnels'!$C$7:$C$66,$E12820,'Vols additionnels'!$D$7:$D$66,$F12820,'Vols additionnels'!$B$7:$B$66,$D12820)</f>
        <v>0</v>
      </c>
      <c r="H12820" s="135" t="n">
        <f aca="false">$G12820*'Analyse capacite'!$F$9</f>
        <v>0</v>
      </c>
      <c r="I12820" s="135" t="n">
        <f aca="false">$G12820*'Analyse capacite'!$C$9</f>
        <v>0</v>
      </c>
      <c r="J12820" s="135" t="n">
        <f aca="false">$G12820*'Analyse capacite'!$D$9</f>
        <v>0</v>
      </c>
      <c r="K12820" s="135" t="n">
        <f aca="false">$G12820*'Analyse capacite'!$E$9</f>
        <v>0</v>
      </c>
    </row>
    <row r="12821" customFormat="false" ht="15" hidden="false" customHeight="false" outlineLevel="0" collapsed="false">
      <c r="B12821" s="130" t="n">
        <v>2028</v>
      </c>
      <c r="C12821" s="131" t="s">
        <v>257</v>
      </c>
      <c r="D12821" s="132" t="n">
        <v>46834</v>
      </c>
      <c r="E12821" s="131" t="s">
        <v>12</v>
      </c>
      <c r="F12821" s="133" t="s">
        <v>11</v>
      </c>
      <c r="G12821" s="134" t="n">
        <f aca="false">LEN('Saisie programme'!$F$442)+SUMIFS('Vols additionnels'!$E$7:$E$66,'Vols additionnels'!$C$7:$C$66,$E12821,'Vols additionnels'!$D$7:$D$66,$F12821,'Vols additionnels'!$B$7:$B$66,$D12821)</f>
        <v>1</v>
      </c>
      <c r="H12821" s="135" t="n">
        <f aca="false">$G12821*'Analyse capacite'!$F$7</f>
        <v>438</v>
      </c>
      <c r="I12821" s="135" t="n">
        <f aca="false">$G12821*'Analyse capacite'!$C$7</f>
        <v>14</v>
      </c>
      <c r="J12821" s="135" t="n">
        <f aca="false">$G12821*'Analyse capacite'!$D$7</f>
        <v>40</v>
      </c>
      <c r="K12821" s="135" t="n">
        <f aca="false">$G12821*'Analyse capacite'!$E$7</f>
        <v>384</v>
      </c>
    </row>
    <row r="12822" customFormat="false" ht="15" hidden="false" customHeight="false" outlineLevel="0" collapsed="false">
      <c r="B12822" s="130" t="n">
        <v>2028</v>
      </c>
      <c r="C12822" s="131" t="s">
        <v>257</v>
      </c>
      <c r="D12822" s="132" t="n">
        <v>46834</v>
      </c>
      <c r="E12822" s="131" t="s">
        <v>12</v>
      </c>
      <c r="F12822" s="133" t="s">
        <v>19</v>
      </c>
      <c r="G12822" s="134" t="n">
        <f aca="false">LEN('Saisie programme'!$F$443)+SUMIFS('Vols additionnels'!$E$7:$E$66,'Vols additionnels'!$C$7:$C$66,$E12822,'Vols additionnels'!$D$7:$D$66,$F12822,'Vols additionnels'!$B$7:$B$66,$D12822)</f>
        <v>0</v>
      </c>
      <c r="H12822" s="135" t="n">
        <f aca="false">$G12822*'Analyse capacite'!$F$8</f>
        <v>0</v>
      </c>
      <c r="I12822" s="135" t="n">
        <f aca="false">$G12822*'Analyse capacite'!$C$8</f>
        <v>0</v>
      </c>
      <c r="J12822" s="135" t="n">
        <f aca="false">$G12822*'Analyse capacite'!$D$8</f>
        <v>0</v>
      </c>
      <c r="K12822" s="135" t="n">
        <f aca="false">$G12822*'Analyse capacite'!$E$8</f>
        <v>0</v>
      </c>
    </row>
    <row r="12823" customFormat="false" ht="15" hidden="false" customHeight="false" outlineLevel="0" collapsed="false">
      <c r="B12823" s="130" t="n">
        <v>2028</v>
      </c>
      <c r="C12823" s="131" t="s">
        <v>257</v>
      </c>
      <c r="D12823" s="132" t="n">
        <v>46834</v>
      </c>
      <c r="E12823" s="131" t="s">
        <v>12</v>
      </c>
      <c r="F12823" s="133" t="s">
        <v>24</v>
      </c>
      <c r="G12823" s="134" t="n">
        <f aca="false">LEN('Saisie programme'!$F$444)+SUMIFS('Vols additionnels'!$E$7:$E$66,'Vols additionnels'!$C$7:$C$66,$E12823,'Vols additionnels'!$D$7:$D$66,$F12823,'Vols additionnels'!$B$7:$B$66,$D12823)</f>
        <v>0</v>
      </c>
      <c r="H12823" s="135" t="n">
        <f aca="false">$G12823*'Analyse capacite'!$F$9</f>
        <v>0</v>
      </c>
      <c r="I12823" s="135" t="n">
        <f aca="false">$G12823*'Analyse capacite'!$C$9</f>
        <v>0</v>
      </c>
      <c r="J12823" s="135" t="n">
        <f aca="false">$G12823*'Analyse capacite'!$D$9</f>
        <v>0</v>
      </c>
      <c r="K12823" s="135" t="n">
        <f aca="false">$G12823*'Analyse capacite'!$E$9</f>
        <v>0</v>
      </c>
    </row>
    <row r="12824" customFormat="false" ht="15" hidden="false" customHeight="false" outlineLevel="0" collapsed="false">
      <c r="B12824" s="130" t="n">
        <v>2028</v>
      </c>
      <c r="C12824" s="131" t="s">
        <v>257</v>
      </c>
      <c r="D12824" s="132" t="n">
        <v>46834</v>
      </c>
      <c r="E12824" s="131" t="s">
        <v>20</v>
      </c>
      <c r="F12824" s="133" t="s">
        <v>11</v>
      </c>
      <c r="G12824" s="134" t="n">
        <f aca="false">LEN('Saisie programme'!$F$445)+SUMIFS('Vols additionnels'!$E$7:$E$66,'Vols additionnels'!$C$7:$C$66,$E12824,'Vols additionnels'!$D$7:$D$66,$F12824,'Vols additionnels'!$B$7:$B$66,$D12824)</f>
        <v>0</v>
      </c>
      <c r="H12824" s="135" t="n">
        <f aca="false">$G12824*'Analyse capacite'!$F$7</f>
        <v>0</v>
      </c>
      <c r="I12824" s="135" t="n">
        <f aca="false">$G12824*'Analyse capacite'!$C$7</f>
        <v>0</v>
      </c>
      <c r="J12824" s="135" t="n">
        <f aca="false">$G12824*'Analyse capacite'!$D$7</f>
        <v>0</v>
      </c>
      <c r="K12824" s="135" t="n">
        <f aca="false">$G12824*'Analyse capacite'!$E$7</f>
        <v>0</v>
      </c>
    </row>
    <row r="12825" customFormat="false" ht="15" hidden="false" customHeight="false" outlineLevel="0" collapsed="false">
      <c r="B12825" s="130" t="n">
        <v>2028</v>
      </c>
      <c r="C12825" s="131" t="s">
        <v>257</v>
      </c>
      <c r="D12825" s="132" t="n">
        <v>46834</v>
      </c>
      <c r="E12825" s="131" t="s">
        <v>20</v>
      </c>
      <c r="F12825" s="133" t="s">
        <v>19</v>
      </c>
      <c r="G12825" s="134" t="n">
        <f aca="false">LEN('Saisie programme'!$F$446)+SUMIFS('Vols additionnels'!$E$7:$E$66,'Vols additionnels'!$C$7:$C$66,$E12825,'Vols additionnels'!$D$7:$D$66,$F12825,'Vols additionnels'!$B$7:$B$66,$D12825)</f>
        <v>0</v>
      </c>
      <c r="H12825" s="135" t="n">
        <f aca="false">$G12825*'Analyse capacite'!$F$8</f>
        <v>0</v>
      </c>
      <c r="I12825" s="135" t="n">
        <f aca="false">$G12825*'Analyse capacite'!$C$8</f>
        <v>0</v>
      </c>
      <c r="J12825" s="135" t="n">
        <f aca="false">$G12825*'Analyse capacite'!$D$8</f>
        <v>0</v>
      </c>
      <c r="K12825" s="135" t="n">
        <f aca="false">$G12825*'Analyse capacite'!$E$8</f>
        <v>0</v>
      </c>
    </row>
    <row r="12826" customFormat="false" ht="15" hidden="false" customHeight="false" outlineLevel="0" collapsed="false">
      <c r="B12826" s="130" t="n">
        <v>2028</v>
      </c>
      <c r="C12826" s="131" t="s">
        <v>257</v>
      </c>
      <c r="D12826" s="132" t="n">
        <v>46834</v>
      </c>
      <c r="E12826" s="131" t="s">
        <v>20</v>
      </c>
      <c r="F12826" s="133" t="s">
        <v>24</v>
      </c>
      <c r="G12826" s="134" t="n">
        <f aca="false">LEN('Saisie programme'!$F$447)+SUMIFS('Vols additionnels'!$E$7:$E$66,'Vols additionnels'!$C$7:$C$66,$E12826,'Vols additionnels'!$D$7:$D$66,$F12826,'Vols additionnels'!$B$7:$B$66,$D12826)</f>
        <v>0</v>
      </c>
      <c r="H12826" s="135" t="n">
        <f aca="false">$G12826*'Analyse capacite'!$F$9</f>
        <v>0</v>
      </c>
      <c r="I12826" s="135" t="n">
        <f aca="false">$G12826*'Analyse capacite'!$C$9</f>
        <v>0</v>
      </c>
      <c r="J12826" s="135" t="n">
        <f aca="false">$G12826*'Analyse capacite'!$D$9</f>
        <v>0</v>
      </c>
      <c r="K12826" s="135" t="n">
        <f aca="false">$G12826*'Analyse capacite'!$E$9</f>
        <v>0</v>
      </c>
    </row>
    <row r="12827" customFormat="false" ht="15" hidden="false" customHeight="false" outlineLevel="0" collapsed="false">
      <c r="B12827" s="130" t="n">
        <v>2028</v>
      </c>
      <c r="C12827" s="131" t="s">
        <v>257</v>
      </c>
      <c r="D12827" s="132" t="n">
        <v>46834</v>
      </c>
      <c r="E12827" s="131" t="s">
        <v>25</v>
      </c>
      <c r="F12827" s="133" t="s">
        <v>11</v>
      </c>
      <c r="G12827" s="134" t="n">
        <f aca="false">LEN('Saisie programme'!$F$448)+SUMIFS('Vols additionnels'!$E$7:$E$66,'Vols additionnels'!$C$7:$C$66,$E12827,'Vols additionnels'!$D$7:$D$66,$F12827,'Vols additionnels'!$B$7:$B$66,$D12827)</f>
        <v>0</v>
      </c>
      <c r="H12827" s="135" t="n">
        <f aca="false">$G12827*'Analyse capacite'!$F$7</f>
        <v>0</v>
      </c>
      <c r="I12827" s="135" t="n">
        <f aca="false">$G12827*'Analyse capacite'!$C$7</f>
        <v>0</v>
      </c>
      <c r="J12827" s="135" t="n">
        <f aca="false">$G12827*'Analyse capacite'!$D$7</f>
        <v>0</v>
      </c>
      <c r="K12827" s="135" t="n">
        <f aca="false">$G12827*'Analyse capacite'!$E$7</f>
        <v>0</v>
      </c>
    </row>
    <row r="12828" customFormat="false" ht="15" hidden="false" customHeight="false" outlineLevel="0" collapsed="false">
      <c r="B12828" s="130" t="n">
        <v>2028</v>
      </c>
      <c r="C12828" s="131" t="s">
        <v>257</v>
      </c>
      <c r="D12828" s="132" t="n">
        <v>46834</v>
      </c>
      <c r="E12828" s="131" t="s">
        <v>25</v>
      </c>
      <c r="F12828" s="133" t="s">
        <v>19</v>
      </c>
      <c r="G12828" s="134" t="n">
        <f aca="false">LEN('Saisie programme'!$F$449)+SUMIFS('Vols additionnels'!$E$7:$E$66,'Vols additionnels'!$C$7:$C$66,$E12828,'Vols additionnels'!$D$7:$D$66,$F12828,'Vols additionnels'!$B$7:$B$66,$D12828)</f>
        <v>1</v>
      </c>
      <c r="H12828" s="135" t="n">
        <f aca="false">$G12828*'Analyse capacite'!$F$8</f>
        <v>262</v>
      </c>
      <c r="I12828" s="135" t="n">
        <f aca="false">$G12828*'Analyse capacite'!$C$8</f>
        <v>18</v>
      </c>
      <c r="J12828" s="135" t="n">
        <f aca="false">$G12828*'Analyse capacite'!$D$8</f>
        <v>0</v>
      </c>
      <c r="K12828" s="135" t="n">
        <f aca="false">$G12828*'Analyse capacite'!$E$8</f>
        <v>244</v>
      </c>
    </row>
    <row r="12829" customFormat="false" ht="15" hidden="false" customHeight="false" outlineLevel="0" collapsed="false">
      <c r="B12829" s="130" t="n">
        <v>2028</v>
      </c>
      <c r="C12829" s="131" t="s">
        <v>257</v>
      </c>
      <c r="D12829" s="132" t="n">
        <v>46834</v>
      </c>
      <c r="E12829" s="131" t="s">
        <v>25</v>
      </c>
      <c r="F12829" s="133" t="s">
        <v>24</v>
      </c>
      <c r="G12829" s="134" t="n">
        <f aca="false">LEN('Saisie programme'!$F$450)+SUMIFS('Vols additionnels'!$E$7:$E$66,'Vols additionnels'!$C$7:$C$66,$E12829,'Vols additionnels'!$D$7:$D$66,$F12829,'Vols additionnels'!$B$7:$B$66,$D12829)</f>
        <v>0</v>
      </c>
      <c r="H12829" s="135" t="n">
        <f aca="false">$G12829*'Analyse capacite'!$F$9</f>
        <v>0</v>
      </c>
      <c r="I12829" s="135" t="n">
        <f aca="false">$G12829*'Analyse capacite'!$C$9</f>
        <v>0</v>
      </c>
      <c r="J12829" s="135" t="n">
        <f aca="false">$G12829*'Analyse capacite'!$D$9</f>
        <v>0</v>
      </c>
      <c r="K12829" s="135" t="n">
        <f aca="false">$G12829*'Analyse capacite'!$E$9</f>
        <v>0</v>
      </c>
    </row>
    <row r="12830" customFormat="false" ht="15" hidden="false" customHeight="false" outlineLevel="0" collapsed="false">
      <c r="B12830" s="130" t="n">
        <v>2028</v>
      </c>
      <c r="C12830" s="131" t="s">
        <v>257</v>
      </c>
      <c r="D12830" s="132" t="n">
        <v>46834</v>
      </c>
      <c r="E12830" s="131" t="s">
        <v>36</v>
      </c>
      <c r="F12830" s="133" t="s">
        <v>11</v>
      </c>
      <c r="G12830" s="134" t="n">
        <f aca="false">LEN('Saisie programme'!$F$451)+SUMIFS('Vols additionnels'!$E$7:$E$66,'Vols additionnels'!$C$7:$C$66,$E12830,'Vols additionnels'!$D$7:$D$66,$F12830,'Vols additionnels'!$B$7:$B$66,$D12830)</f>
        <v>0</v>
      </c>
      <c r="H12830" s="135" t="n">
        <f aca="false">$G12830*'Analyse capacite'!$F$7</f>
        <v>0</v>
      </c>
      <c r="I12830" s="135" t="n">
        <f aca="false">$G12830*'Analyse capacite'!$C$7</f>
        <v>0</v>
      </c>
      <c r="J12830" s="135" t="n">
        <f aca="false">$G12830*'Analyse capacite'!$D$7</f>
        <v>0</v>
      </c>
      <c r="K12830" s="135" t="n">
        <f aca="false">$G12830*'Analyse capacite'!$E$7</f>
        <v>0</v>
      </c>
    </row>
    <row r="12831" customFormat="false" ht="15" hidden="false" customHeight="false" outlineLevel="0" collapsed="false">
      <c r="B12831" s="130" t="n">
        <v>2028</v>
      </c>
      <c r="C12831" s="131" t="s">
        <v>257</v>
      </c>
      <c r="D12831" s="132" t="n">
        <v>46834</v>
      </c>
      <c r="E12831" s="131" t="s">
        <v>36</v>
      </c>
      <c r="F12831" s="133" t="s">
        <v>19</v>
      </c>
      <c r="G12831" s="134" t="n">
        <f aca="false">LEN('Saisie programme'!$F$452)+SUMIFS('Vols additionnels'!$E$7:$E$66,'Vols additionnels'!$C$7:$C$66,$E12831,'Vols additionnels'!$D$7:$D$66,$F12831,'Vols additionnels'!$B$7:$B$66,$D12831)</f>
        <v>1</v>
      </c>
      <c r="H12831" s="135" t="n">
        <f aca="false">$G12831*'Analyse capacite'!$F$8</f>
        <v>262</v>
      </c>
      <c r="I12831" s="135" t="n">
        <f aca="false">$G12831*'Analyse capacite'!$C$8</f>
        <v>18</v>
      </c>
      <c r="J12831" s="135" t="n">
        <f aca="false">$G12831*'Analyse capacite'!$D$8</f>
        <v>0</v>
      </c>
      <c r="K12831" s="135" t="n">
        <f aca="false">$G12831*'Analyse capacite'!$E$8</f>
        <v>244</v>
      </c>
    </row>
    <row r="12832" customFormat="false" ht="15" hidden="false" customHeight="false" outlineLevel="0" collapsed="false">
      <c r="B12832" s="130" t="n">
        <v>2028</v>
      </c>
      <c r="C12832" s="131" t="s">
        <v>257</v>
      </c>
      <c r="D12832" s="132" t="n">
        <v>46834</v>
      </c>
      <c r="E12832" s="131" t="s">
        <v>36</v>
      </c>
      <c r="F12832" s="133" t="s">
        <v>24</v>
      </c>
      <c r="G12832" s="134" t="n">
        <f aca="false">LEN('Saisie programme'!$F$453)+SUMIFS('Vols additionnels'!$E$7:$E$66,'Vols additionnels'!$C$7:$C$66,$E12832,'Vols additionnels'!$D$7:$D$66,$F12832,'Vols additionnels'!$B$7:$B$66,$D12832)</f>
        <v>1</v>
      </c>
      <c r="H12832" s="135" t="n">
        <f aca="false">$G12832*'Analyse capacite'!$F$9</f>
        <v>174</v>
      </c>
      <c r="I12832" s="135" t="n">
        <f aca="false">$G12832*'Analyse capacite'!$C$9</f>
        <v>0</v>
      </c>
      <c r="J12832" s="135" t="n">
        <f aca="false">$G12832*'Analyse capacite'!$D$9</f>
        <v>12</v>
      </c>
      <c r="K12832" s="135" t="n">
        <f aca="false">$G12832*'Analyse capacite'!$E$9</f>
        <v>162</v>
      </c>
    </row>
    <row r="12833" customFormat="false" ht="15" hidden="false" customHeight="false" outlineLevel="0" collapsed="false">
      <c r="B12833" s="130" t="n">
        <v>2028</v>
      </c>
      <c r="C12833" s="131" t="s">
        <v>257</v>
      </c>
      <c r="D12833" s="132" t="n">
        <v>46834</v>
      </c>
      <c r="E12833" s="131" t="s">
        <v>40</v>
      </c>
      <c r="F12833" s="133" t="s">
        <v>11</v>
      </c>
      <c r="G12833" s="134" t="n">
        <f aca="false">LEN('Saisie programme'!$F$454)+SUMIFS('Vols additionnels'!$E$7:$E$66,'Vols additionnels'!$C$7:$C$66,$E12833,'Vols additionnels'!$D$7:$D$66,$F12833,'Vols additionnels'!$B$7:$B$66,$D12833)</f>
        <v>0</v>
      </c>
      <c r="H12833" s="135" t="n">
        <f aca="false">$G12833*'Analyse capacite'!$F$7</f>
        <v>0</v>
      </c>
      <c r="I12833" s="135" t="n">
        <f aca="false">$G12833*'Analyse capacite'!$C$7</f>
        <v>0</v>
      </c>
      <c r="J12833" s="135" t="n">
        <f aca="false">$G12833*'Analyse capacite'!$D$7</f>
        <v>0</v>
      </c>
      <c r="K12833" s="135" t="n">
        <f aca="false">$G12833*'Analyse capacite'!$E$7</f>
        <v>0</v>
      </c>
    </row>
    <row r="12834" customFormat="false" ht="15" hidden="false" customHeight="false" outlineLevel="0" collapsed="false">
      <c r="B12834" s="130" t="n">
        <v>2028</v>
      </c>
      <c r="C12834" s="131" t="s">
        <v>257</v>
      </c>
      <c r="D12834" s="132" t="n">
        <v>46834</v>
      </c>
      <c r="E12834" s="131" t="s">
        <v>40</v>
      </c>
      <c r="F12834" s="133" t="s">
        <v>19</v>
      </c>
      <c r="G12834" s="134" t="n">
        <f aca="false">LEN('Saisie programme'!$F$455)+SUMIFS('Vols additionnels'!$E$7:$E$66,'Vols additionnels'!$C$7:$C$66,$E12834,'Vols additionnels'!$D$7:$D$66,$F12834,'Vols additionnels'!$B$7:$B$66,$D12834)</f>
        <v>0</v>
      </c>
      <c r="H12834" s="135" t="n">
        <f aca="false">$G12834*'Analyse capacite'!$F$8</f>
        <v>0</v>
      </c>
      <c r="I12834" s="135" t="n">
        <f aca="false">$G12834*'Analyse capacite'!$C$8</f>
        <v>0</v>
      </c>
      <c r="J12834" s="135" t="n">
        <f aca="false">$G12834*'Analyse capacite'!$D$8</f>
        <v>0</v>
      </c>
      <c r="K12834" s="135" t="n">
        <f aca="false">$G12834*'Analyse capacite'!$E$8</f>
        <v>0</v>
      </c>
    </row>
    <row r="12835" customFormat="false" ht="15" hidden="false" customHeight="false" outlineLevel="0" collapsed="false">
      <c r="B12835" s="130" t="n">
        <v>2028</v>
      </c>
      <c r="C12835" s="131" t="s">
        <v>257</v>
      </c>
      <c r="D12835" s="132" t="n">
        <v>46834</v>
      </c>
      <c r="E12835" s="131" t="s">
        <v>40</v>
      </c>
      <c r="F12835" s="133" t="s">
        <v>24</v>
      </c>
      <c r="G12835" s="134" t="n">
        <f aca="false">LEN('Saisie programme'!$F$456)+SUMIFS('Vols additionnels'!$E$7:$E$66,'Vols additionnels'!$C$7:$C$66,$E12835,'Vols additionnels'!$D$7:$D$66,$F12835,'Vols additionnels'!$B$7:$B$66,$D12835)</f>
        <v>1</v>
      </c>
      <c r="H12835" s="135" t="n">
        <f aca="false">$G12835*'Analyse capacite'!$F$9</f>
        <v>174</v>
      </c>
      <c r="I12835" s="135" t="n">
        <f aca="false">$G12835*'Analyse capacite'!$C$9</f>
        <v>0</v>
      </c>
      <c r="J12835" s="135" t="n">
        <f aca="false">$G12835*'Analyse capacite'!$D$9</f>
        <v>12</v>
      </c>
      <c r="K12835" s="135" t="n">
        <f aca="false">$G12835*'Analyse capacite'!$E$9</f>
        <v>162</v>
      </c>
    </row>
    <row r="12836" customFormat="false" ht="15" hidden="false" customHeight="false" outlineLevel="0" collapsed="false">
      <c r="B12836" s="130" t="n">
        <v>2028</v>
      </c>
      <c r="C12836" s="131" t="s">
        <v>257</v>
      </c>
      <c r="D12836" s="132" t="n">
        <v>46834</v>
      </c>
      <c r="E12836" s="131" t="s">
        <v>14</v>
      </c>
      <c r="F12836" s="133" t="s">
        <v>11</v>
      </c>
      <c r="G12836" s="134" t="n">
        <f aca="false">LEN('Saisie programme'!$F$457)+SUMIFS('Vols additionnels'!$E$7:$E$66,'Vols additionnels'!$C$7:$C$66,$E12836,'Vols additionnels'!$D$7:$D$66,$F12836,'Vols additionnels'!$B$7:$B$66,$D12836)</f>
        <v>0</v>
      </c>
      <c r="H12836" s="135" t="n">
        <f aca="false">$G12836*'Analyse capacite'!$F$7</f>
        <v>0</v>
      </c>
      <c r="I12836" s="135" t="n">
        <f aca="false">$G12836*'Analyse capacite'!$C$7</f>
        <v>0</v>
      </c>
      <c r="J12836" s="135" t="n">
        <f aca="false">$G12836*'Analyse capacite'!$D$7</f>
        <v>0</v>
      </c>
      <c r="K12836" s="135" t="n">
        <f aca="false">$G12836*'Analyse capacite'!$E$7</f>
        <v>0</v>
      </c>
    </row>
    <row r="12837" customFormat="false" ht="15" hidden="false" customHeight="false" outlineLevel="0" collapsed="false">
      <c r="B12837" s="130" t="n">
        <v>2028</v>
      </c>
      <c r="C12837" s="131" t="s">
        <v>257</v>
      </c>
      <c r="D12837" s="132" t="n">
        <v>46834</v>
      </c>
      <c r="E12837" s="131" t="s">
        <v>14</v>
      </c>
      <c r="F12837" s="133" t="s">
        <v>19</v>
      </c>
      <c r="G12837" s="134" t="n">
        <f aca="false">LEN('Saisie programme'!$F$458)+SUMIFS('Vols additionnels'!$E$7:$E$66,'Vols additionnels'!$C$7:$C$66,$E12837,'Vols additionnels'!$D$7:$D$66,$F12837,'Vols additionnels'!$B$7:$B$66,$D12837)</f>
        <v>0</v>
      </c>
      <c r="H12837" s="135" t="n">
        <f aca="false">$G12837*'Analyse capacite'!$F$8</f>
        <v>0</v>
      </c>
      <c r="I12837" s="135" t="n">
        <f aca="false">$G12837*'Analyse capacite'!$C$8</f>
        <v>0</v>
      </c>
      <c r="J12837" s="135" t="n">
        <f aca="false">$G12837*'Analyse capacite'!$D$8</f>
        <v>0</v>
      </c>
      <c r="K12837" s="135" t="n">
        <f aca="false">$G12837*'Analyse capacite'!$E$8</f>
        <v>0</v>
      </c>
    </row>
    <row r="12838" customFormat="false" ht="15" hidden="false" customHeight="false" outlineLevel="0" collapsed="false">
      <c r="B12838" s="130" t="n">
        <v>2028</v>
      </c>
      <c r="C12838" s="131" t="s">
        <v>257</v>
      </c>
      <c r="D12838" s="132" t="n">
        <v>46834</v>
      </c>
      <c r="E12838" s="131" t="s">
        <v>14</v>
      </c>
      <c r="F12838" s="133" t="s">
        <v>24</v>
      </c>
      <c r="G12838" s="134" t="n">
        <f aca="false">LEN('Saisie programme'!$F$459)+SUMIFS('Vols additionnels'!$E$7:$E$66,'Vols additionnels'!$C$7:$C$66,$E12838,'Vols additionnels'!$D$7:$D$66,$F12838,'Vols additionnels'!$B$7:$B$66,$D12838)</f>
        <v>0</v>
      </c>
      <c r="H12838" s="135" t="n">
        <f aca="false">$G12838*'Analyse capacite'!$F$9</f>
        <v>0</v>
      </c>
      <c r="I12838" s="135" t="n">
        <f aca="false">$G12838*'Analyse capacite'!$C$9</f>
        <v>0</v>
      </c>
      <c r="J12838" s="135" t="n">
        <f aca="false">$G12838*'Analyse capacite'!$D$9</f>
        <v>0</v>
      </c>
      <c r="K12838" s="135" t="n">
        <f aca="false">$G12838*'Analyse capacite'!$E$9</f>
        <v>0</v>
      </c>
    </row>
    <row r="12839" customFormat="false" ht="15" hidden="false" customHeight="false" outlineLevel="0" collapsed="false">
      <c r="B12839" s="130" t="n">
        <v>2028</v>
      </c>
      <c r="C12839" s="131" t="s">
        <v>257</v>
      </c>
      <c r="D12839" s="132" t="n">
        <v>46834</v>
      </c>
      <c r="E12839" s="131" t="s">
        <v>46</v>
      </c>
      <c r="F12839" s="133" t="s">
        <v>11</v>
      </c>
      <c r="G12839" s="134" t="n">
        <f aca="false">LEN('Saisie programme'!$F$460)+SUMIFS('Vols additionnels'!$E$7:$E$66,'Vols additionnels'!$C$7:$C$66,$E12839,'Vols additionnels'!$D$7:$D$66,$F12839,'Vols additionnels'!$B$7:$B$66,$D12839)</f>
        <v>0</v>
      </c>
      <c r="H12839" s="135" t="n">
        <f aca="false">$G12839*'Analyse capacite'!$F$7</f>
        <v>0</v>
      </c>
      <c r="I12839" s="135" t="n">
        <f aca="false">$G12839*'Analyse capacite'!$C$7</f>
        <v>0</v>
      </c>
      <c r="J12839" s="135" t="n">
        <f aca="false">$G12839*'Analyse capacite'!$D$7</f>
        <v>0</v>
      </c>
      <c r="K12839" s="135" t="n">
        <f aca="false">$G12839*'Analyse capacite'!$E$7</f>
        <v>0</v>
      </c>
    </row>
    <row r="12840" customFormat="false" ht="15" hidden="false" customHeight="false" outlineLevel="0" collapsed="false">
      <c r="B12840" s="130" t="n">
        <v>2028</v>
      </c>
      <c r="C12840" s="131" t="s">
        <v>257</v>
      </c>
      <c r="D12840" s="132" t="n">
        <v>46834</v>
      </c>
      <c r="E12840" s="131" t="s">
        <v>46</v>
      </c>
      <c r="F12840" s="133" t="s">
        <v>19</v>
      </c>
      <c r="G12840" s="134" t="n">
        <f aca="false">LEN('Saisie programme'!$F$461)+SUMIFS('Vols additionnels'!$E$7:$E$66,'Vols additionnels'!$C$7:$C$66,$E12840,'Vols additionnels'!$D$7:$D$66,$F12840,'Vols additionnels'!$B$7:$B$66,$D12840)</f>
        <v>0</v>
      </c>
      <c r="H12840" s="135" t="n">
        <f aca="false">$G12840*'Analyse capacite'!$F$8</f>
        <v>0</v>
      </c>
      <c r="I12840" s="135" t="n">
        <f aca="false">$G12840*'Analyse capacite'!$C$8</f>
        <v>0</v>
      </c>
      <c r="J12840" s="135" t="n">
        <f aca="false">$G12840*'Analyse capacite'!$D$8</f>
        <v>0</v>
      </c>
      <c r="K12840" s="135" t="n">
        <f aca="false">$G12840*'Analyse capacite'!$E$8</f>
        <v>0</v>
      </c>
    </row>
    <row r="12841" customFormat="false" ht="15" hidden="false" customHeight="false" outlineLevel="0" collapsed="false">
      <c r="B12841" s="130" t="n">
        <v>2028</v>
      </c>
      <c r="C12841" s="131" t="s">
        <v>257</v>
      </c>
      <c r="D12841" s="132" t="n">
        <v>46834</v>
      </c>
      <c r="E12841" s="131" t="s">
        <v>46</v>
      </c>
      <c r="F12841" s="133" t="s">
        <v>24</v>
      </c>
      <c r="G12841" s="134" t="n">
        <f aca="false">LEN('Saisie programme'!$F$462)+SUMIFS('Vols additionnels'!$E$7:$E$66,'Vols additionnels'!$C$7:$C$66,$E12841,'Vols additionnels'!$D$7:$D$66,$F12841,'Vols additionnels'!$B$7:$B$66,$D12841)</f>
        <v>0</v>
      </c>
      <c r="H12841" s="135" t="n">
        <f aca="false">$G12841*'Analyse capacite'!$F$9</f>
        <v>0</v>
      </c>
      <c r="I12841" s="135" t="n">
        <f aca="false">$G12841*'Analyse capacite'!$C$9</f>
        <v>0</v>
      </c>
      <c r="J12841" s="135" t="n">
        <f aca="false">$G12841*'Analyse capacite'!$D$9</f>
        <v>0</v>
      </c>
      <c r="K12841" s="135" t="n">
        <f aca="false">$G12841*'Analyse capacite'!$E$9</f>
        <v>0</v>
      </c>
    </row>
    <row r="12842" customFormat="false" ht="15" hidden="false" customHeight="false" outlineLevel="0" collapsed="false">
      <c r="B12842" s="130" t="n">
        <v>2028</v>
      </c>
      <c r="C12842" s="131" t="s">
        <v>257</v>
      </c>
      <c r="D12842" s="132" t="n">
        <v>46834</v>
      </c>
      <c r="E12842" s="131" t="s">
        <v>49</v>
      </c>
      <c r="F12842" s="133" t="s">
        <v>11</v>
      </c>
      <c r="G12842" s="134" t="n">
        <f aca="false">LEN('Saisie programme'!$F$463)+SUMIFS('Vols additionnels'!$E$7:$E$66,'Vols additionnels'!$C$7:$C$66,$E12842,'Vols additionnels'!$D$7:$D$66,$F12842,'Vols additionnels'!$B$7:$B$66,$D12842)</f>
        <v>0</v>
      </c>
      <c r="H12842" s="135" t="n">
        <f aca="false">$G12842*'Analyse capacite'!$F$7</f>
        <v>0</v>
      </c>
      <c r="I12842" s="135" t="n">
        <f aca="false">$G12842*'Analyse capacite'!$C$7</f>
        <v>0</v>
      </c>
      <c r="J12842" s="135" t="n">
        <f aca="false">$G12842*'Analyse capacite'!$D$7</f>
        <v>0</v>
      </c>
      <c r="K12842" s="135" t="n">
        <f aca="false">$G12842*'Analyse capacite'!$E$7</f>
        <v>0</v>
      </c>
    </row>
    <row r="12843" customFormat="false" ht="15" hidden="false" customHeight="false" outlineLevel="0" collapsed="false">
      <c r="B12843" s="130" t="n">
        <v>2028</v>
      </c>
      <c r="C12843" s="131" t="s">
        <v>257</v>
      </c>
      <c r="D12843" s="132" t="n">
        <v>46834</v>
      </c>
      <c r="E12843" s="131" t="s">
        <v>49</v>
      </c>
      <c r="F12843" s="133" t="s">
        <v>19</v>
      </c>
      <c r="G12843" s="134" t="n">
        <f aca="false">LEN('Saisie programme'!$F$464)+SUMIFS('Vols additionnels'!$E$7:$E$66,'Vols additionnels'!$C$7:$C$66,$E12843,'Vols additionnels'!$D$7:$D$66,$F12843,'Vols additionnels'!$B$7:$B$66,$D12843)</f>
        <v>0</v>
      </c>
      <c r="H12843" s="135" t="n">
        <f aca="false">$G12843*'Analyse capacite'!$F$8</f>
        <v>0</v>
      </c>
      <c r="I12843" s="135" t="n">
        <f aca="false">$G12843*'Analyse capacite'!$C$8</f>
        <v>0</v>
      </c>
      <c r="J12843" s="135" t="n">
        <f aca="false">$G12843*'Analyse capacite'!$D$8</f>
        <v>0</v>
      </c>
      <c r="K12843" s="135" t="n">
        <f aca="false">$G12843*'Analyse capacite'!$E$8</f>
        <v>0</v>
      </c>
    </row>
    <row r="12844" customFormat="false" ht="15" hidden="false" customHeight="false" outlineLevel="0" collapsed="false">
      <c r="B12844" s="130" t="n">
        <v>2028</v>
      </c>
      <c r="C12844" s="131" t="s">
        <v>257</v>
      </c>
      <c r="D12844" s="132" t="n">
        <v>46834</v>
      </c>
      <c r="E12844" s="131" t="s">
        <v>49</v>
      </c>
      <c r="F12844" s="133" t="s">
        <v>24</v>
      </c>
      <c r="G12844" s="134" t="n">
        <f aca="false">LEN('Saisie programme'!$F$465)+SUMIFS('Vols additionnels'!$E$7:$E$66,'Vols additionnels'!$C$7:$C$66,$E12844,'Vols additionnels'!$D$7:$D$66,$F12844,'Vols additionnels'!$B$7:$B$66,$D12844)</f>
        <v>0</v>
      </c>
      <c r="H12844" s="135" t="n">
        <f aca="false">$G12844*'Analyse capacite'!$F$9</f>
        <v>0</v>
      </c>
      <c r="I12844" s="135" t="n">
        <f aca="false">$G12844*'Analyse capacite'!$C$9</f>
        <v>0</v>
      </c>
      <c r="J12844" s="135" t="n">
        <f aca="false">$G12844*'Analyse capacite'!$D$9</f>
        <v>0</v>
      </c>
      <c r="K12844" s="135" t="n">
        <f aca="false">$G12844*'Analyse capacite'!$E$9</f>
        <v>0</v>
      </c>
    </row>
    <row r="12845" customFormat="false" ht="15" hidden="false" customHeight="false" outlineLevel="0" collapsed="false">
      <c r="B12845" s="130" t="n">
        <v>2028</v>
      </c>
      <c r="C12845" s="131" t="s">
        <v>257</v>
      </c>
      <c r="D12845" s="132" t="n">
        <v>46834</v>
      </c>
      <c r="E12845" s="131" t="s">
        <v>53</v>
      </c>
      <c r="F12845" s="133" t="s">
        <v>11</v>
      </c>
      <c r="G12845" s="134" t="n">
        <f aca="false">LEN('Saisie programme'!$F$466)+SUMIFS('Vols additionnels'!$E$7:$E$66,'Vols additionnels'!$C$7:$C$66,$E12845,'Vols additionnels'!$D$7:$D$66,$F12845,'Vols additionnels'!$B$7:$B$66,$D12845)</f>
        <v>0</v>
      </c>
      <c r="H12845" s="135" t="n">
        <f aca="false">$G12845*'Analyse capacite'!$F$7</f>
        <v>0</v>
      </c>
      <c r="I12845" s="135" t="n">
        <f aca="false">$G12845*'Analyse capacite'!$C$7</f>
        <v>0</v>
      </c>
      <c r="J12845" s="135" t="n">
        <f aca="false">$G12845*'Analyse capacite'!$D$7</f>
        <v>0</v>
      </c>
      <c r="K12845" s="135" t="n">
        <f aca="false">$G12845*'Analyse capacite'!$E$7</f>
        <v>0</v>
      </c>
    </row>
    <row r="12846" customFormat="false" ht="15" hidden="false" customHeight="false" outlineLevel="0" collapsed="false">
      <c r="B12846" s="130" t="n">
        <v>2028</v>
      </c>
      <c r="C12846" s="131" t="s">
        <v>257</v>
      </c>
      <c r="D12846" s="132" t="n">
        <v>46834</v>
      </c>
      <c r="E12846" s="131" t="s">
        <v>53</v>
      </c>
      <c r="F12846" s="133" t="s">
        <v>19</v>
      </c>
      <c r="G12846" s="134" t="n">
        <f aca="false">LEN('Saisie programme'!$F$467)+SUMIFS('Vols additionnels'!$E$7:$E$66,'Vols additionnels'!$C$7:$C$66,$E12846,'Vols additionnels'!$D$7:$D$66,$F12846,'Vols additionnels'!$B$7:$B$66,$D12846)</f>
        <v>0</v>
      </c>
      <c r="H12846" s="135" t="n">
        <f aca="false">$G12846*'Analyse capacite'!$F$8</f>
        <v>0</v>
      </c>
      <c r="I12846" s="135" t="n">
        <f aca="false">$G12846*'Analyse capacite'!$C$8</f>
        <v>0</v>
      </c>
      <c r="J12846" s="135" t="n">
        <f aca="false">$G12846*'Analyse capacite'!$D$8</f>
        <v>0</v>
      </c>
      <c r="K12846" s="135" t="n">
        <f aca="false">$G12846*'Analyse capacite'!$E$8</f>
        <v>0</v>
      </c>
    </row>
    <row r="12847" customFormat="false" ht="15" hidden="false" customHeight="false" outlineLevel="0" collapsed="false">
      <c r="B12847" s="130" t="n">
        <v>2028</v>
      </c>
      <c r="C12847" s="131" t="s">
        <v>257</v>
      </c>
      <c r="D12847" s="132" t="n">
        <v>46834</v>
      </c>
      <c r="E12847" s="131" t="s">
        <v>53</v>
      </c>
      <c r="F12847" s="133" t="s">
        <v>24</v>
      </c>
      <c r="G12847" s="134" t="n">
        <f aca="false">LEN('Saisie programme'!$F$468)+SUMIFS('Vols additionnels'!$E$7:$E$66,'Vols additionnels'!$C$7:$C$66,$E12847,'Vols additionnels'!$D$7:$D$66,$F12847,'Vols additionnels'!$B$7:$B$66,$D12847)</f>
        <v>0</v>
      </c>
      <c r="H12847" s="135" t="n">
        <f aca="false">$G12847*'Analyse capacite'!$F$9</f>
        <v>0</v>
      </c>
      <c r="I12847" s="135" t="n">
        <f aca="false">$G12847*'Analyse capacite'!$C$9</f>
        <v>0</v>
      </c>
      <c r="J12847" s="135" t="n">
        <f aca="false">$G12847*'Analyse capacite'!$D$9</f>
        <v>0</v>
      </c>
      <c r="K12847" s="135" t="n">
        <f aca="false">$G12847*'Analyse capacite'!$E$9</f>
        <v>0</v>
      </c>
    </row>
    <row r="12848" customFormat="false" ht="15" hidden="false" customHeight="false" outlineLevel="0" collapsed="false">
      <c r="B12848" s="130" t="n">
        <v>2028</v>
      </c>
      <c r="C12848" s="131" t="s">
        <v>257</v>
      </c>
      <c r="D12848" s="132" t="n">
        <v>46834</v>
      </c>
      <c r="E12848" s="131" t="s">
        <v>56</v>
      </c>
      <c r="F12848" s="133" t="s">
        <v>11</v>
      </c>
      <c r="G12848" s="134" t="n">
        <f aca="false">LEN('Saisie programme'!$F$469)+SUMIFS('Vols additionnels'!$E$7:$E$66,'Vols additionnels'!$C$7:$C$66,$E12848,'Vols additionnels'!$D$7:$D$66,$F12848,'Vols additionnels'!$B$7:$B$66,$D12848)</f>
        <v>0</v>
      </c>
      <c r="H12848" s="135" t="n">
        <f aca="false">$G12848*'Analyse capacite'!$F$7</f>
        <v>0</v>
      </c>
      <c r="I12848" s="135" t="n">
        <f aca="false">$G12848*'Analyse capacite'!$C$7</f>
        <v>0</v>
      </c>
      <c r="J12848" s="135" t="n">
        <f aca="false">$G12848*'Analyse capacite'!$D$7</f>
        <v>0</v>
      </c>
      <c r="K12848" s="135" t="n">
        <f aca="false">$G12848*'Analyse capacite'!$E$7</f>
        <v>0</v>
      </c>
    </row>
    <row r="12849" customFormat="false" ht="15" hidden="false" customHeight="false" outlineLevel="0" collapsed="false">
      <c r="B12849" s="130" t="n">
        <v>2028</v>
      </c>
      <c r="C12849" s="131" t="s">
        <v>257</v>
      </c>
      <c r="D12849" s="132" t="n">
        <v>46834</v>
      </c>
      <c r="E12849" s="131" t="s">
        <v>56</v>
      </c>
      <c r="F12849" s="133" t="s">
        <v>19</v>
      </c>
      <c r="G12849" s="134" t="n">
        <f aca="false">LEN('Saisie programme'!$F$470)+SUMIFS('Vols additionnels'!$E$7:$E$66,'Vols additionnels'!$C$7:$C$66,$E12849,'Vols additionnels'!$D$7:$D$66,$F12849,'Vols additionnels'!$B$7:$B$66,$D12849)</f>
        <v>0</v>
      </c>
      <c r="H12849" s="135" t="n">
        <f aca="false">$G12849*'Analyse capacite'!$F$8</f>
        <v>0</v>
      </c>
      <c r="I12849" s="135" t="n">
        <f aca="false">$G12849*'Analyse capacite'!$C$8</f>
        <v>0</v>
      </c>
      <c r="J12849" s="135" t="n">
        <f aca="false">$G12849*'Analyse capacite'!$D$8</f>
        <v>0</v>
      </c>
      <c r="K12849" s="135" t="n">
        <f aca="false">$G12849*'Analyse capacite'!$E$8</f>
        <v>0</v>
      </c>
    </row>
    <row r="12850" customFormat="false" ht="15" hidden="false" customHeight="false" outlineLevel="0" collapsed="false">
      <c r="B12850" s="130" t="n">
        <v>2028</v>
      </c>
      <c r="C12850" s="131" t="s">
        <v>257</v>
      </c>
      <c r="D12850" s="132" t="n">
        <v>46834</v>
      </c>
      <c r="E12850" s="131" t="s">
        <v>56</v>
      </c>
      <c r="F12850" s="133" t="s">
        <v>24</v>
      </c>
      <c r="G12850" s="134" t="n">
        <f aca="false">LEN('Saisie programme'!$F$471)+SUMIFS('Vols additionnels'!$E$7:$E$66,'Vols additionnels'!$C$7:$C$66,$E12850,'Vols additionnels'!$D$7:$D$66,$F12850,'Vols additionnels'!$B$7:$B$66,$D12850)</f>
        <v>0</v>
      </c>
      <c r="H12850" s="135" t="n">
        <f aca="false">$G12850*'Analyse capacite'!$F$9</f>
        <v>0</v>
      </c>
      <c r="I12850" s="135" t="n">
        <f aca="false">$G12850*'Analyse capacite'!$C$9</f>
        <v>0</v>
      </c>
      <c r="J12850" s="135" t="n">
        <f aca="false">$G12850*'Analyse capacite'!$D$9</f>
        <v>0</v>
      </c>
      <c r="K12850" s="135" t="n">
        <f aca="false">$G12850*'Analyse capacite'!$E$9</f>
        <v>0</v>
      </c>
    </row>
    <row r="12851" customFormat="false" ht="15" hidden="false" customHeight="false" outlineLevel="0" collapsed="false">
      <c r="B12851" s="130" t="n">
        <v>2028</v>
      </c>
      <c r="C12851" s="131" t="s">
        <v>257</v>
      </c>
      <c r="D12851" s="132" t="n">
        <v>46834</v>
      </c>
      <c r="E12851" s="131" t="s">
        <v>59</v>
      </c>
      <c r="F12851" s="133" t="s">
        <v>11</v>
      </c>
      <c r="G12851" s="134" t="n">
        <f aca="false">LEN('Saisie programme'!$F$472)+SUMIFS('Vols additionnels'!$E$7:$E$66,'Vols additionnels'!$C$7:$C$66,$E12851,'Vols additionnels'!$D$7:$D$66,$F12851,'Vols additionnels'!$B$7:$B$66,$D12851)</f>
        <v>0</v>
      </c>
      <c r="H12851" s="135" t="n">
        <f aca="false">$G12851*'Analyse capacite'!$F$7</f>
        <v>0</v>
      </c>
      <c r="I12851" s="135" t="n">
        <f aca="false">$G12851*'Analyse capacite'!$C$7</f>
        <v>0</v>
      </c>
      <c r="J12851" s="135" t="n">
        <f aca="false">$G12851*'Analyse capacite'!$D$7</f>
        <v>0</v>
      </c>
      <c r="K12851" s="135" t="n">
        <f aca="false">$G12851*'Analyse capacite'!$E$7</f>
        <v>0</v>
      </c>
    </row>
    <row r="12852" customFormat="false" ht="15" hidden="false" customHeight="false" outlineLevel="0" collapsed="false">
      <c r="B12852" s="130" t="n">
        <v>2028</v>
      </c>
      <c r="C12852" s="131" t="s">
        <v>257</v>
      </c>
      <c r="D12852" s="132" t="n">
        <v>46834</v>
      </c>
      <c r="E12852" s="131" t="s">
        <v>59</v>
      </c>
      <c r="F12852" s="133" t="s">
        <v>19</v>
      </c>
      <c r="G12852" s="134" t="n">
        <f aca="false">LEN('Saisie programme'!$F$473)+SUMIFS('Vols additionnels'!$E$7:$E$66,'Vols additionnels'!$C$7:$C$66,$E12852,'Vols additionnels'!$D$7:$D$66,$F12852,'Vols additionnels'!$B$7:$B$66,$D12852)</f>
        <v>0</v>
      </c>
      <c r="H12852" s="135" t="n">
        <f aca="false">$G12852*'Analyse capacite'!$F$8</f>
        <v>0</v>
      </c>
      <c r="I12852" s="135" t="n">
        <f aca="false">$G12852*'Analyse capacite'!$C$8</f>
        <v>0</v>
      </c>
      <c r="J12852" s="135" t="n">
        <f aca="false">$G12852*'Analyse capacite'!$D$8</f>
        <v>0</v>
      </c>
      <c r="K12852" s="135" t="n">
        <f aca="false">$G12852*'Analyse capacite'!$E$8</f>
        <v>0</v>
      </c>
    </row>
    <row r="12853" customFormat="false" ht="15" hidden="false" customHeight="false" outlineLevel="0" collapsed="false">
      <c r="B12853" s="130" t="n">
        <v>2028</v>
      </c>
      <c r="C12853" s="131" t="s">
        <v>257</v>
      </c>
      <c r="D12853" s="132" t="n">
        <v>46834</v>
      </c>
      <c r="E12853" s="131" t="s">
        <v>59</v>
      </c>
      <c r="F12853" s="133" t="s">
        <v>24</v>
      </c>
      <c r="G12853" s="134" t="n">
        <f aca="false">LEN('Saisie programme'!$F$474)+SUMIFS('Vols additionnels'!$E$7:$E$66,'Vols additionnels'!$C$7:$C$66,$E12853,'Vols additionnels'!$D$7:$D$66,$F12853,'Vols additionnels'!$B$7:$B$66,$D12853)</f>
        <v>1</v>
      </c>
      <c r="H12853" s="135" t="n">
        <f aca="false">$G12853*'Analyse capacite'!$F$9</f>
        <v>174</v>
      </c>
      <c r="I12853" s="135" t="n">
        <f aca="false">$G12853*'Analyse capacite'!$C$9</f>
        <v>0</v>
      </c>
      <c r="J12853" s="135" t="n">
        <f aca="false">$G12853*'Analyse capacite'!$D$9</f>
        <v>12</v>
      </c>
      <c r="K12853" s="135" t="n">
        <f aca="false">$G12853*'Analyse capacite'!$E$9</f>
        <v>162</v>
      </c>
    </row>
    <row r="12854" customFormat="false" ht="15" hidden="false" customHeight="false" outlineLevel="0" collapsed="false">
      <c r="B12854" s="130" t="n">
        <v>2028</v>
      </c>
      <c r="C12854" s="131" t="s">
        <v>257</v>
      </c>
      <c r="D12854" s="132" t="n">
        <v>46834</v>
      </c>
      <c r="E12854" s="131" t="s">
        <v>62</v>
      </c>
      <c r="F12854" s="133" t="s">
        <v>11</v>
      </c>
      <c r="G12854" s="134" t="n">
        <f aca="false">LEN('Saisie programme'!$F$475)+SUMIFS('Vols additionnels'!$E$7:$E$66,'Vols additionnels'!$C$7:$C$66,$E12854,'Vols additionnels'!$D$7:$D$66,$F12854,'Vols additionnels'!$B$7:$B$66,$D12854)</f>
        <v>0</v>
      </c>
      <c r="H12854" s="135" t="n">
        <f aca="false">$G12854*'Analyse capacite'!$F$7</f>
        <v>0</v>
      </c>
      <c r="I12854" s="135" t="n">
        <f aca="false">$G12854*'Analyse capacite'!$C$7</f>
        <v>0</v>
      </c>
      <c r="J12854" s="135" t="n">
        <f aca="false">$G12854*'Analyse capacite'!$D$7</f>
        <v>0</v>
      </c>
      <c r="K12854" s="135" t="n">
        <f aca="false">$G12854*'Analyse capacite'!$E$7</f>
        <v>0</v>
      </c>
    </row>
    <row r="12855" customFormat="false" ht="15" hidden="false" customHeight="false" outlineLevel="0" collapsed="false">
      <c r="B12855" s="130" t="n">
        <v>2028</v>
      </c>
      <c r="C12855" s="131" t="s">
        <v>257</v>
      </c>
      <c r="D12855" s="132" t="n">
        <v>46834</v>
      </c>
      <c r="E12855" s="131" t="s">
        <v>62</v>
      </c>
      <c r="F12855" s="133" t="s">
        <v>19</v>
      </c>
      <c r="G12855" s="134" t="n">
        <f aca="false">LEN('Saisie programme'!$F$476)+SUMIFS('Vols additionnels'!$E$7:$E$66,'Vols additionnels'!$C$7:$C$66,$E12855,'Vols additionnels'!$D$7:$D$66,$F12855,'Vols additionnels'!$B$7:$B$66,$D12855)</f>
        <v>0</v>
      </c>
      <c r="H12855" s="135" t="n">
        <f aca="false">$G12855*'Analyse capacite'!$F$8</f>
        <v>0</v>
      </c>
      <c r="I12855" s="135" t="n">
        <f aca="false">$G12855*'Analyse capacite'!$C$8</f>
        <v>0</v>
      </c>
      <c r="J12855" s="135" t="n">
        <f aca="false">$G12855*'Analyse capacite'!$D$8</f>
        <v>0</v>
      </c>
      <c r="K12855" s="135" t="n">
        <f aca="false">$G12855*'Analyse capacite'!$E$8</f>
        <v>0</v>
      </c>
    </row>
    <row r="12856" customFormat="false" ht="15" hidden="false" customHeight="false" outlineLevel="0" collapsed="false">
      <c r="B12856" s="130" t="n">
        <v>2028</v>
      </c>
      <c r="C12856" s="131" t="s">
        <v>257</v>
      </c>
      <c r="D12856" s="132" t="n">
        <v>46834</v>
      </c>
      <c r="E12856" s="131" t="s">
        <v>62</v>
      </c>
      <c r="F12856" s="133" t="s">
        <v>24</v>
      </c>
      <c r="G12856" s="134" t="n">
        <f aca="false">LEN('Saisie programme'!$F$477)+SUMIFS('Vols additionnels'!$E$7:$E$66,'Vols additionnels'!$C$7:$C$66,$E12856,'Vols additionnels'!$D$7:$D$66,$F12856,'Vols additionnels'!$B$7:$B$66,$D12856)</f>
        <v>1</v>
      </c>
      <c r="H12856" s="135" t="n">
        <f aca="false">$G12856*'Analyse capacite'!$F$9</f>
        <v>174</v>
      </c>
      <c r="I12856" s="135" t="n">
        <f aca="false">$G12856*'Analyse capacite'!$C$9</f>
        <v>0</v>
      </c>
      <c r="J12856" s="135" t="n">
        <f aca="false">$G12856*'Analyse capacite'!$D$9</f>
        <v>12</v>
      </c>
      <c r="K12856" s="135" t="n">
        <f aca="false">$G12856*'Analyse capacite'!$E$9</f>
        <v>162</v>
      </c>
    </row>
    <row r="12857" customFormat="false" ht="15" hidden="false" customHeight="false" outlineLevel="0" collapsed="false">
      <c r="B12857" s="130" t="n">
        <v>2028</v>
      </c>
      <c r="C12857" s="131" t="s">
        <v>257</v>
      </c>
      <c r="D12857" s="132" t="n">
        <v>46835</v>
      </c>
      <c r="E12857" s="131" t="s">
        <v>12</v>
      </c>
      <c r="F12857" s="133" t="s">
        <v>11</v>
      </c>
      <c r="G12857" s="134" t="n">
        <f aca="false">LEN('Saisie programme'!$G$442)+SUMIFS('Vols additionnels'!$E$7:$E$66,'Vols additionnels'!$C$7:$C$66,$E12857,'Vols additionnels'!$D$7:$D$66,$F12857,'Vols additionnels'!$B$7:$B$66,$D12857)</f>
        <v>1</v>
      </c>
      <c r="H12857" s="135" t="n">
        <f aca="false">$G12857*'Analyse capacite'!$F$7</f>
        <v>438</v>
      </c>
      <c r="I12857" s="135" t="n">
        <f aca="false">$G12857*'Analyse capacite'!$C$7</f>
        <v>14</v>
      </c>
      <c r="J12857" s="135" t="n">
        <f aca="false">$G12857*'Analyse capacite'!$D$7</f>
        <v>40</v>
      </c>
      <c r="K12857" s="135" t="n">
        <f aca="false">$G12857*'Analyse capacite'!$E$7</f>
        <v>384</v>
      </c>
    </row>
    <row r="12858" customFormat="false" ht="15" hidden="false" customHeight="false" outlineLevel="0" collapsed="false">
      <c r="B12858" s="130" t="n">
        <v>2028</v>
      </c>
      <c r="C12858" s="131" t="s">
        <v>257</v>
      </c>
      <c r="D12858" s="132" t="n">
        <v>46835</v>
      </c>
      <c r="E12858" s="131" t="s">
        <v>12</v>
      </c>
      <c r="F12858" s="133" t="s">
        <v>19</v>
      </c>
      <c r="G12858" s="134" t="n">
        <f aca="false">LEN('Saisie programme'!$G$443)+SUMIFS('Vols additionnels'!$E$7:$E$66,'Vols additionnels'!$C$7:$C$66,$E12858,'Vols additionnels'!$D$7:$D$66,$F12858,'Vols additionnels'!$B$7:$B$66,$D12858)</f>
        <v>0</v>
      </c>
      <c r="H12858" s="135" t="n">
        <f aca="false">$G12858*'Analyse capacite'!$F$8</f>
        <v>0</v>
      </c>
      <c r="I12858" s="135" t="n">
        <f aca="false">$G12858*'Analyse capacite'!$C$8</f>
        <v>0</v>
      </c>
      <c r="J12858" s="135" t="n">
        <f aca="false">$G12858*'Analyse capacite'!$D$8</f>
        <v>0</v>
      </c>
      <c r="K12858" s="135" t="n">
        <f aca="false">$G12858*'Analyse capacite'!$E$8</f>
        <v>0</v>
      </c>
    </row>
    <row r="12859" customFormat="false" ht="15" hidden="false" customHeight="false" outlineLevel="0" collapsed="false">
      <c r="B12859" s="130" t="n">
        <v>2028</v>
      </c>
      <c r="C12859" s="131" t="s">
        <v>257</v>
      </c>
      <c r="D12859" s="132" t="n">
        <v>46835</v>
      </c>
      <c r="E12859" s="131" t="s">
        <v>12</v>
      </c>
      <c r="F12859" s="133" t="s">
        <v>24</v>
      </c>
      <c r="G12859" s="134" t="n">
        <f aca="false">LEN('Saisie programme'!$G$444)+SUMIFS('Vols additionnels'!$E$7:$E$66,'Vols additionnels'!$C$7:$C$66,$E12859,'Vols additionnels'!$D$7:$D$66,$F12859,'Vols additionnels'!$B$7:$B$66,$D12859)</f>
        <v>0</v>
      </c>
      <c r="H12859" s="135" t="n">
        <f aca="false">$G12859*'Analyse capacite'!$F$9</f>
        <v>0</v>
      </c>
      <c r="I12859" s="135" t="n">
        <f aca="false">$G12859*'Analyse capacite'!$C$9</f>
        <v>0</v>
      </c>
      <c r="J12859" s="135" t="n">
        <f aca="false">$G12859*'Analyse capacite'!$D$9</f>
        <v>0</v>
      </c>
      <c r="K12859" s="135" t="n">
        <f aca="false">$G12859*'Analyse capacite'!$E$9</f>
        <v>0</v>
      </c>
    </row>
    <row r="12860" customFormat="false" ht="15" hidden="false" customHeight="false" outlineLevel="0" collapsed="false">
      <c r="B12860" s="130" t="n">
        <v>2028</v>
      </c>
      <c r="C12860" s="131" t="s">
        <v>257</v>
      </c>
      <c r="D12860" s="132" t="n">
        <v>46835</v>
      </c>
      <c r="E12860" s="131" t="s">
        <v>20</v>
      </c>
      <c r="F12860" s="133" t="s">
        <v>11</v>
      </c>
      <c r="G12860" s="134" t="n">
        <f aca="false">LEN('Saisie programme'!$G$445)+SUMIFS('Vols additionnels'!$E$7:$E$66,'Vols additionnels'!$C$7:$C$66,$E12860,'Vols additionnels'!$D$7:$D$66,$F12860,'Vols additionnels'!$B$7:$B$66,$D12860)</f>
        <v>0</v>
      </c>
      <c r="H12860" s="135" t="n">
        <f aca="false">$G12860*'Analyse capacite'!$F$7</f>
        <v>0</v>
      </c>
      <c r="I12860" s="135" t="n">
        <f aca="false">$G12860*'Analyse capacite'!$C$7</f>
        <v>0</v>
      </c>
      <c r="J12860" s="135" t="n">
        <f aca="false">$G12860*'Analyse capacite'!$D$7</f>
        <v>0</v>
      </c>
      <c r="K12860" s="135" t="n">
        <f aca="false">$G12860*'Analyse capacite'!$E$7</f>
        <v>0</v>
      </c>
    </row>
    <row r="12861" customFormat="false" ht="15" hidden="false" customHeight="false" outlineLevel="0" collapsed="false">
      <c r="B12861" s="130" t="n">
        <v>2028</v>
      </c>
      <c r="C12861" s="131" t="s">
        <v>257</v>
      </c>
      <c r="D12861" s="132" t="n">
        <v>46835</v>
      </c>
      <c r="E12861" s="131" t="s">
        <v>20</v>
      </c>
      <c r="F12861" s="133" t="s">
        <v>19</v>
      </c>
      <c r="G12861" s="134" t="n">
        <f aca="false">LEN('Saisie programme'!$G$446)+SUMIFS('Vols additionnels'!$E$7:$E$66,'Vols additionnels'!$C$7:$C$66,$E12861,'Vols additionnels'!$D$7:$D$66,$F12861,'Vols additionnels'!$B$7:$B$66,$D12861)</f>
        <v>0</v>
      </c>
      <c r="H12861" s="135" t="n">
        <f aca="false">$G12861*'Analyse capacite'!$F$8</f>
        <v>0</v>
      </c>
      <c r="I12861" s="135" t="n">
        <f aca="false">$G12861*'Analyse capacite'!$C$8</f>
        <v>0</v>
      </c>
      <c r="J12861" s="135" t="n">
        <f aca="false">$G12861*'Analyse capacite'!$D$8</f>
        <v>0</v>
      </c>
      <c r="K12861" s="135" t="n">
        <f aca="false">$G12861*'Analyse capacite'!$E$8</f>
        <v>0</v>
      </c>
    </row>
    <row r="12862" customFormat="false" ht="15" hidden="false" customHeight="false" outlineLevel="0" collapsed="false">
      <c r="B12862" s="130" t="n">
        <v>2028</v>
      </c>
      <c r="C12862" s="131" t="s">
        <v>257</v>
      </c>
      <c r="D12862" s="132" t="n">
        <v>46835</v>
      </c>
      <c r="E12862" s="131" t="s">
        <v>20</v>
      </c>
      <c r="F12862" s="133" t="s">
        <v>24</v>
      </c>
      <c r="G12862" s="134" t="n">
        <f aca="false">LEN('Saisie programme'!$G$447)+SUMIFS('Vols additionnels'!$E$7:$E$66,'Vols additionnels'!$C$7:$C$66,$E12862,'Vols additionnels'!$D$7:$D$66,$F12862,'Vols additionnels'!$B$7:$B$66,$D12862)</f>
        <v>0</v>
      </c>
      <c r="H12862" s="135" t="n">
        <f aca="false">$G12862*'Analyse capacite'!$F$9</f>
        <v>0</v>
      </c>
      <c r="I12862" s="135" t="n">
        <f aca="false">$G12862*'Analyse capacite'!$C$9</f>
        <v>0</v>
      </c>
      <c r="J12862" s="135" t="n">
        <f aca="false">$G12862*'Analyse capacite'!$D$9</f>
        <v>0</v>
      </c>
      <c r="K12862" s="135" t="n">
        <f aca="false">$G12862*'Analyse capacite'!$E$9</f>
        <v>0</v>
      </c>
    </row>
    <row r="12863" customFormat="false" ht="15" hidden="false" customHeight="false" outlineLevel="0" collapsed="false">
      <c r="B12863" s="130" t="n">
        <v>2028</v>
      </c>
      <c r="C12863" s="131" t="s">
        <v>257</v>
      </c>
      <c r="D12863" s="132" t="n">
        <v>46835</v>
      </c>
      <c r="E12863" s="131" t="s">
        <v>25</v>
      </c>
      <c r="F12863" s="133" t="s">
        <v>11</v>
      </c>
      <c r="G12863" s="134" t="n">
        <f aca="false">LEN('Saisie programme'!$G$448)+SUMIFS('Vols additionnels'!$E$7:$E$66,'Vols additionnels'!$C$7:$C$66,$E12863,'Vols additionnels'!$D$7:$D$66,$F12863,'Vols additionnels'!$B$7:$B$66,$D12863)</f>
        <v>0</v>
      </c>
      <c r="H12863" s="135" t="n">
        <f aca="false">$G12863*'Analyse capacite'!$F$7</f>
        <v>0</v>
      </c>
      <c r="I12863" s="135" t="n">
        <f aca="false">$G12863*'Analyse capacite'!$C$7</f>
        <v>0</v>
      </c>
      <c r="J12863" s="135" t="n">
        <f aca="false">$G12863*'Analyse capacite'!$D$7</f>
        <v>0</v>
      </c>
      <c r="K12863" s="135" t="n">
        <f aca="false">$G12863*'Analyse capacite'!$E$7</f>
        <v>0</v>
      </c>
    </row>
    <row r="12864" customFormat="false" ht="15" hidden="false" customHeight="false" outlineLevel="0" collapsed="false">
      <c r="B12864" s="130" t="n">
        <v>2028</v>
      </c>
      <c r="C12864" s="131" t="s">
        <v>257</v>
      </c>
      <c r="D12864" s="132" t="n">
        <v>46835</v>
      </c>
      <c r="E12864" s="131" t="s">
        <v>25</v>
      </c>
      <c r="F12864" s="133" t="s">
        <v>19</v>
      </c>
      <c r="G12864" s="134" t="n">
        <f aca="false">LEN('Saisie programme'!$G$449)+SUMIFS('Vols additionnels'!$E$7:$E$66,'Vols additionnels'!$C$7:$C$66,$E12864,'Vols additionnels'!$D$7:$D$66,$F12864,'Vols additionnels'!$B$7:$B$66,$D12864)</f>
        <v>0</v>
      </c>
      <c r="H12864" s="135" t="n">
        <f aca="false">$G12864*'Analyse capacite'!$F$8</f>
        <v>0</v>
      </c>
      <c r="I12864" s="135" t="n">
        <f aca="false">$G12864*'Analyse capacite'!$C$8</f>
        <v>0</v>
      </c>
      <c r="J12864" s="135" t="n">
        <f aca="false">$G12864*'Analyse capacite'!$D$8</f>
        <v>0</v>
      </c>
      <c r="K12864" s="135" t="n">
        <f aca="false">$G12864*'Analyse capacite'!$E$8</f>
        <v>0</v>
      </c>
    </row>
    <row r="12865" customFormat="false" ht="15" hidden="false" customHeight="false" outlineLevel="0" collapsed="false">
      <c r="B12865" s="130" t="n">
        <v>2028</v>
      </c>
      <c r="C12865" s="131" t="s">
        <v>257</v>
      </c>
      <c r="D12865" s="132" t="n">
        <v>46835</v>
      </c>
      <c r="E12865" s="131" t="s">
        <v>25</v>
      </c>
      <c r="F12865" s="133" t="s">
        <v>24</v>
      </c>
      <c r="G12865" s="134" t="n">
        <f aca="false">LEN('Saisie programme'!$G$450)+SUMIFS('Vols additionnels'!$E$7:$E$66,'Vols additionnels'!$C$7:$C$66,$E12865,'Vols additionnels'!$D$7:$D$66,$F12865,'Vols additionnels'!$B$7:$B$66,$D12865)</f>
        <v>0</v>
      </c>
      <c r="H12865" s="135" t="n">
        <f aca="false">$G12865*'Analyse capacite'!$F$9</f>
        <v>0</v>
      </c>
      <c r="I12865" s="135" t="n">
        <f aca="false">$G12865*'Analyse capacite'!$C$9</f>
        <v>0</v>
      </c>
      <c r="J12865" s="135" t="n">
        <f aca="false">$G12865*'Analyse capacite'!$D$9</f>
        <v>0</v>
      </c>
      <c r="K12865" s="135" t="n">
        <f aca="false">$G12865*'Analyse capacite'!$E$9</f>
        <v>0</v>
      </c>
    </row>
    <row r="12866" customFormat="false" ht="15" hidden="false" customHeight="false" outlineLevel="0" collapsed="false">
      <c r="B12866" s="130" t="n">
        <v>2028</v>
      </c>
      <c r="C12866" s="131" t="s">
        <v>257</v>
      </c>
      <c r="D12866" s="132" t="n">
        <v>46835</v>
      </c>
      <c r="E12866" s="131" t="s">
        <v>36</v>
      </c>
      <c r="F12866" s="133" t="s">
        <v>11</v>
      </c>
      <c r="G12866" s="134" t="n">
        <f aca="false">LEN('Saisie programme'!$G$451)+SUMIFS('Vols additionnels'!$E$7:$E$66,'Vols additionnels'!$C$7:$C$66,$E12866,'Vols additionnels'!$D$7:$D$66,$F12866,'Vols additionnels'!$B$7:$B$66,$D12866)</f>
        <v>0</v>
      </c>
      <c r="H12866" s="135" t="n">
        <f aca="false">$G12866*'Analyse capacite'!$F$7</f>
        <v>0</v>
      </c>
      <c r="I12866" s="135" t="n">
        <f aca="false">$G12866*'Analyse capacite'!$C$7</f>
        <v>0</v>
      </c>
      <c r="J12866" s="135" t="n">
        <f aca="false">$G12866*'Analyse capacite'!$D$7</f>
        <v>0</v>
      </c>
      <c r="K12866" s="135" t="n">
        <f aca="false">$G12866*'Analyse capacite'!$E$7</f>
        <v>0</v>
      </c>
    </row>
    <row r="12867" customFormat="false" ht="15" hidden="false" customHeight="false" outlineLevel="0" collapsed="false">
      <c r="B12867" s="130" t="n">
        <v>2028</v>
      </c>
      <c r="C12867" s="131" t="s">
        <v>257</v>
      </c>
      <c r="D12867" s="132" t="n">
        <v>46835</v>
      </c>
      <c r="E12867" s="131" t="s">
        <v>36</v>
      </c>
      <c r="F12867" s="133" t="s">
        <v>19</v>
      </c>
      <c r="G12867" s="134" t="n">
        <f aca="false">LEN('Saisie programme'!$G$452)+SUMIFS('Vols additionnels'!$E$7:$E$66,'Vols additionnels'!$C$7:$C$66,$E12867,'Vols additionnels'!$D$7:$D$66,$F12867,'Vols additionnels'!$B$7:$B$66,$D12867)</f>
        <v>0</v>
      </c>
      <c r="H12867" s="135" t="n">
        <f aca="false">$G12867*'Analyse capacite'!$F$8</f>
        <v>0</v>
      </c>
      <c r="I12867" s="135" t="n">
        <f aca="false">$G12867*'Analyse capacite'!$C$8</f>
        <v>0</v>
      </c>
      <c r="J12867" s="135" t="n">
        <f aca="false">$G12867*'Analyse capacite'!$D$8</f>
        <v>0</v>
      </c>
      <c r="K12867" s="135" t="n">
        <f aca="false">$G12867*'Analyse capacite'!$E$8</f>
        <v>0</v>
      </c>
    </row>
    <row r="12868" customFormat="false" ht="15" hidden="false" customHeight="false" outlineLevel="0" collapsed="false">
      <c r="B12868" s="130" t="n">
        <v>2028</v>
      </c>
      <c r="C12868" s="131" t="s">
        <v>257</v>
      </c>
      <c r="D12868" s="132" t="n">
        <v>46835</v>
      </c>
      <c r="E12868" s="131" t="s">
        <v>36</v>
      </c>
      <c r="F12868" s="133" t="s">
        <v>24</v>
      </c>
      <c r="G12868" s="134" t="n">
        <f aca="false">LEN('Saisie programme'!$G$453)+SUMIFS('Vols additionnels'!$E$7:$E$66,'Vols additionnels'!$C$7:$C$66,$E12868,'Vols additionnels'!$D$7:$D$66,$F12868,'Vols additionnels'!$B$7:$B$66,$D12868)</f>
        <v>1</v>
      </c>
      <c r="H12868" s="135" t="n">
        <f aca="false">$G12868*'Analyse capacite'!$F$9</f>
        <v>174</v>
      </c>
      <c r="I12868" s="135" t="n">
        <f aca="false">$G12868*'Analyse capacite'!$C$9</f>
        <v>0</v>
      </c>
      <c r="J12868" s="135" t="n">
        <f aca="false">$G12868*'Analyse capacite'!$D$9</f>
        <v>12</v>
      </c>
      <c r="K12868" s="135" t="n">
        <f aca="false">$G12868*'Analyse capacite'!$E$9</f>
        <v>162</v>
      </c>
    </row>
    <row r="12869" customFormat="false" ht="15" hidden="false" customHeight="false" outlineLevel="0" collapsed="false">
      <c r="B12869" s="130" t="n">
        <v>2028</v>
      </c>
      <c r="C12869" s="131" t="s">
        <v>257</v>
      </c>
      <c r="D12869" s="132" t="n">
        <v>46835</v>
      </c>
      <c r="E12869" s="131" t="s">
        <v>40</v>
      </c>
      <c r="F12869" s="133" t="s">
        <v>11</v>
      </c>
      <c r="G12869" s="134" t="n">
        <f aca="false">LEN('Saisie programme'!$G$454)+SUMIFS('Vols additionnels'!$E$7:$E$66,'Vols additionnels'!$C$7:$C$66,$E12869,'Vols additionnels'!$D$7:$D$66,$F12869,'Vols additionnels'!$B$7:$B$66,$D12869)</f>
        <v>0</v>
      </c>
      <c r="H12869" s="135" t="n">
        <f aca="false">$G12869*'Analyse capacite'!$F$7</f>
        <v>0</v>
      </c>
      <c r="I12869" s="135" t="n">
        <f aca="false">$G12869*'Analyse capacite'!$C$7</f>
        <v>0</v>
      </c>
      <c r="J12869" s="135" t="n">
        <f aca="false">$G12869*'Analyse capacite'!$D$7</f>
        <v>0</v>
      </c>
      <c r="K12869" s="135" t="n">
        <f aca="false">$G12869*'Analyse capacite'!$E$7</f>
        <v>0</v>
      </c>
    </row>
    <row r="12870" customFormat="false" ht="15" hidden="false" customHeight="false" outlineLevel="0" collapsed="false">
      <c r="B12870" s="130" t="n">
        <v>2028</v>
      </c>
      <c r="C12870" s="131" t="s">
        <v>257</v>
      </c>
      <c r="D12870" s="132" t="n">
        <v>46835</v>
      </c>
      <c r="E12870" s="131" t="s">
        <v>40</v>
      </c>
      <c r="F12870" s="133" t="s">
        <v>19</v>
      </c>
      <c r="G12870" s="134" t="n">
        <f aca="false">LEN('Saisie programme'!$G$455)+SUMIFS('Vols additionnels'!$E$7:$E$66,'Vols additionnels'!$C$7:$C$66,$E12870,'Vols additionnels'!$D$7:$D$66,$F12870,'Vols additionnels'!$B$7:$B$66,$D12870)</f>
        <v>0</v>
      </c>
      <c r="H12870" s="135" t="n">
        <f aca="false">$G12870*'Analyse capacite'!$F$8</f>
        <v>0</v>
      </c>
      <c r="I12870" s="135" t="n">
        <f aca="false">$G12870*'Analyse capacite'!$C$8</f>
        <v>0</v>
      </c>
      <c r="J12870" s="135" t="n">
        <f aca="false">$G12870*'Analyse capacite'!$D$8</f>
        <v>0</v>
      </c>
      <c r="K12870" s="135" t="n">
        <f aca="false">$G12870*'Analyse capacite'!$E$8</f>
        <v>0</v>
      </c>
    </row>
    <row r="12871" customFormat="false" ht="15" hidden="false" customHeight="false" outlineLevel="0" collapsed="false">
      <c r="B12871" s="130" t="n">
        <v>2028</v>
      </c>
      <c r="C12871" s="131" t="s">
        <v>257</v>
      </c>
      <c r="D12871" s="132" t="n">
        <v>46835</v>
      </c>
      <c r="E12871" s="131" t="s">
        <v>40</v>
      </c>
      <c r="F12871" s="133" t="s">
        <v>24</v>
      </c>
      <c r="G12871" s="134" t="n">
        <f aca="false">LEN('Saisie programme'!$G$456)+SUMIFS('Vols additionnels'!$E$7:$E$66,'Vols additionnels'!$C$7:$C$66,$E12871,'Vols additionnels'!$D$7:$D$66,$F12871,'Vols additionnels'!$B$7:$B$66,$D12871)</f>
        <v>0</v>
      </c>
      <c r="H12871" s="135" t="n">
        <f aca="false">$G12871*'Analyse capacite'!$F$9</f>
        <v>0</v>
      </c>
      <c r="I12871" s="135" t="n">
        <f aca="false">$G12871*'Analyse capacite'!$C$9</f>
        <v>0</v>
      </c>
      <c r="J12871" s="135" t="n">
        <f aca="false">$G12871*'Analyse capacite'!$D$9</f>
        <v>0</v>
      </c>
      <c r="K12871" s="135" t="n">
        <f aca="false">$G12871*'Analyse capacite'!$E$9</f>
        <v>0</v>
      </c>
    </row>
    <row r="12872" customFormat="false" ht="15" hidden="false" customHeight="false" outlineLevel="0" collapsed="false">
      <c r="B12872" s="130" t="n">
        <v>2028</v>
      </c>
      <c r="C12872" s="131" t="s">
        <v>257</v>
      </c>
      <c r="D12872" s="132" t="n">
        <v>46835</v>
      </c>
      <c r="E12872" s="131" t="s">
        <v>14</v>
      </c>
      <c r="F12872" s="133" t="s">
        <v>11</v>
      </c>
      <c r="G12872" s="134" t="n">
        <f aca="false">LEN('Saisie programme'!$G$457)+SUMIFS('Vols additionnels'!$E$7:$E$66,'Vols additionnels'!$C$7:$C$66,$E12872,'Vols additionnels'!$D$7:$D$66,$F12872,'Vols additionnels'!$B$7:$B$66,$D12872)</f>
        <v>0</v>
      </c>
      <c r="H12872" s="135" t="n">
        <f aca="false">$G12872*'Analyse capacite'!$F$7</f>
        <v>0</v>
      </c>
      <c r="I12872" s="135" t="n">
        <f aca="false">$G12872*'Analyse capacite'!$C$7</f>
        <v>0</v>
      </c>
      <c r="J12872" s="135" t="n">
        <f aca="false">$G12872*'Analyse capacite'!$D$7</f>
        <v>0</v>
      </c>
      <c r="K12872" s="135" t="n">
        <f aca="false">$G12872*'Analyse capacite'!$E$7</f>
        <v>0</v>
      </c>
    </row>
    <row r="12873" customFormat="false" ht="15" hidden="false" customHeight="false" outlineLevel="0" collapsed="false">
      <c r="B12873" s="130" t="n">
        <v>2028</v>
      </c>
      <c r="C12873" s="131" t="s">
        <v>257</v>
      </c>
      <c r="D12873" s="132" t="n">
        <v>46835</v>
      </c>
      <c r="E12873" s="131" t="s">
        <v>14</v>
      </c>
      <c r="F12873" s="133" t="s">
        <v>19</v>
      </c>
      <c r="G12873" s="134" t="n">
        <f aca="false">LEN('Saisie programme'!$G$458)+SUMIFS('Vols additionnels'!$E$7:$E$66,'Vols additionnels'!$C$7:$C$66,$E12873,'Vols additionnels'!$D$7:$D$66,$F12873,'Vols additionnels'!$B$7:$B$66,$D12873)</f>
        <v>0</v>
      </c>
      <c r="H12873" s="135" t="n">
        <f aca="false">$G12873*'Analyse capacite'!$F$8</f>
        <v>0</v>
      </c>
      <c r="I12873" s="135" t="n">
        <f aca="false">$G12873*'Analyse capacite'!$C$8</f>
        <v>0</v>
      </c>
      <c r="J12873" s="135" t="n">
        <f aca="false">$G12873*'Analyse capacite'!$D$8</f>
        <v>0</v>
      </c>
      <c r="K12873" s="135" t="n">
        <f aca="false">$G12873*'Analyse capacite'!$E$8</f>
        <v>0</v>
      </c>
    </row>
    <row r="12874" customFormat="false" ht="15" hidden="false" customHeight="false" outlineLevel="0" collapsed="false">
      <c r="B12874" s="130" t="n">
        <v>2028</v>
      </c>
      <c r="C12874" s="131" t="s">
        <v>257</v>
      </c>
      <c r="D12874" s="132" t="n">
        <v>46835</v>
      </c>
      <c r="E12874" s="131" t="s">
        <v>14</v>
      </c>
      <c r="F12874" s="133" t="s">
        <v>24</v>
      </c>
      <c r="G12874" s="134" t="n">
        <f aca="false">LEN('Saisie programme'!$G$459)+SUMIFS('Vols additionnels'!$E$7:$E$66,'Vols additionnels'!$C$7:$C$66,$E12874,'Vols additionnels'!$D$7:$D$66,$F12874,'Vols additionnels'!$B$7:$B$66,$D12874)</f>
        <v>1</v>
      </c>
      <c r="H12874" s="135" t="n">
        <f aca="false">$G12874*'Analyse capacite'!$F$9</f>
        <v>174</v>
      </c>
      <c r="I12874" s="135" t="n">
        <f aca="false">$G12874*'Analyse capacite'!$C$9</f>
        <v>0</v>
      </c>
      <c r="J12874" s="135" t="n">
        <f aca="false">$G12874*'Analyse capacite'!$D$9</f>
        <v>12</v>
      </c>
      <c r="K12874" s="135" t="n">
        <f aca="false">$G12874*'Analyse capacite'!$E$9</f>
        <v>162</v>
      </c>
    </row>
    <row r="12875" customFormat="false" ht="15" hidden="false" customHeight="false" outlineLevel="0" collapsed="false">
      <c r="B12875" s="130" t="n">
        <v>2028</v>
      </c>
      <c r="C12875" s="131" t="s">
        <v>257</v>
      </c>
      <c r="D12875" s="132" t="n">
        <v>46835</v>
      </c>
      <c r="E12875" s="131" t="s">
        <v>46</v>
      </c>
      <c r="F12875" s="133" t="s">
        <v>11</v>
      </c>
      <c r="G12875" s="134" t="n">
        <f aca="false">LEN('Saisie programme'!$G$460)+SUMIFS('Vols additionnels'!$E$7:$E$66,'Vols additionnels'!$C$7:$C$66,$E12875,'Vols additionnels'!$D$7:$D$66,$F12875,'Vols additionnels'!$B$7:$B$66,$D12875)</f>
        <v>0</v>
      </c>
      <c r="H12875" s="135" t="n">
        <f aca="false">$G12875*'Analyse capacite'!$F$7</f>
        <v>0</v>
      </c>
      <c r="I12875" s="135" t="n">
        <f aca="false">$G12875*'Analyse capacite'!$C$7</f>
        <v>0</v>
      </c>
      <c r="J12875" s="135" t="n">
        <f aca="false">$G12875*'Analyse capacite'!$D$7</f>
        <v>0</v>
      </c>
      <c r="K12875" s="135" t="n">
        <f aca="false">$G12875*'Analyse capacite'!$E$7</f>
        <v>0</v>
      </c>
    </row>
    <row r="12876" customFormat="false" ht="15" hidden="false" customHeight="false" outlineLevel="0" collapsed="false">
      <c r="B12876" s="130" t="n">
        <v>2028</v>
      </c>
      <c r="C12876" s="131" t="s">
        <v>257</v>
      </c>
      <c r="D12876" s="132" t="n">
        <v>46835</v>
      </c>
      <c r="E12876" s="131" t="s">
        <v>46</v>
      </c>
      <c r="F12876" s="133" t="s">
        <v>19</v>
      </c>
      <c r="G12876" s="134" t="n">
        <f aca="false">LEN('Saisie programme'!$G$461)+SUMIFS('Vols additionnels'!$E$7:$E$66,'Vols additionnels'!$C$7:$C$66,$E12876,'Vols additionnels'!$D$7:$D$66,$F12876,'Vols additionnels'!$B$7:$B$66,$D12876)</f>
        <v>0</v>
      </c>
      <c r="H12876" s="135" t="n">
        <f aca="false">$G12876*'Analyse capacite'!$F$8</f>
        <v>0</v>
      </c>
      <c r="I12876" s="135" t="n">
        <f aca="false">$G12876*'Analyse capacite'!$C$8</f>
        <v>0</v>
      </c>
      <c r="J12876" s="135" t="n">
        <f aca="false">$G12876*'Analyse capacite'!$D$8</f>
        <v>0</v>
      </c>
      <c r="K12876" s="135" t="n">
        <f aca="false">$G12876*'Analyse capacite'!$E$8</f>
        <v>0</v>
      </c>
    </row>
    <row r="12877" customFormat="false" ht="15" hidden="false" customHeight="false" outlineLevel="0" collapsed="false">
      <c r="B12877" s="130" t="n">
        <v>2028</v>
      </c>
      <c r="C12877" s="131" t="s">
        <v>257</v>
      </c>
      <c r="D12877" s="132" t="n">
        <v>46835</v>
      </c>
      <c r="E12877" s="131" t="s">
        <v>46</v>
      </c>
      <c r="F12877" s="133" t="s">
        <v>24</v>
      </c>
      <c r="G12877" s="134" t="n">
        <f aca="false">LEN('Saisie programme'!$G$462)+SUMIFS('Vols additionnels'!$E$7:$E$66,'Vols additionnels'!$C$7:$C$66,$E12877,'Vols additionnels'!$D$7:$D$66,$F12877,'Vols additionnels'!$B$7:$B$66,$D12877)</f>
        <v>1</v>
      </c>
      <c r="H12877" s="135" t="n">
        <f aca="false">$G12877*'Analyse capacite'!$F$9</f>
        <v>174</v>
      </c>
      <c r="I12877" s="135" t="n">
        <f aca="false">$G12877*'Analyse capacite'!$C$9</f>
        <v>0</v>
      </c>
      <c r="J12877" s="135" t="n">
        <f aca="false">$G12877*'Analyse capacite'!$D$9</f>
        <v>12</v>
      </c>
      <c r="K12877" s="135" t="n">
        <f aca="false">$G12877*'Analyse capacite'!$E$9</f>
        <v>162</v>
      </c>
    </row>
    <row r="12878" customFormat="false" ht="15" hidden="false" customHeight="false" outlineLevel="0" collapsed="false">
      <c r="B12878" s="130" t="n">
        <v>2028</v>
      </c>
      <c r="C12878" s="131" t="s">
        <v>257</v>
      </c>
      <c r="D12878" s="132" t="n">
        <v>46835</v>
      </c>
      <c r="E12878" s="131" t="s">
        <v>49</v>
      </c>
      <c r="F12878" s="133" t="s">
        <v>11</v>
      </c>
      <c r="G12878" s="134" t="n">
        <f aca="false">LEN('Saisie programme'!$G$463)+SUMIFS('Vols additionnels'!$E$7:$E$66,'Vols additionnels'!$C$7:$C$66,$E12878,'Vols additionnels'!$D$7:$D$66,$F12878,'Vols additionnels'!$B$7:$B$66,$D12878)</f>
        <v>0</v>
      </c>
      <c r="H12878" s="135" t="n">
        <f aca="false">$G12878*'Analyse capacite'!$F$7</f>
        <v>0</v>
      </c>
      <c r="I12878" s="135" t="n">
        <f aca="false">$G12878*'Analyse capacite'!$C$7</f>
        <v>0</v>
      </c>
      <c r="J12878" s="135" t="n">
        <f aca="false">$G12878*'Analyse capacite'!$D$7</f>
        <v>0</v>
      </c>
      <c r="K12878" s="135" t="n">
        <f aca="false">$G12878*'Analyse capacite'!$E$7</f>
        <v>0</v>
      </c>
    </row>
    <row r="12879" customFormat="false" ht="15" hidden="false" customHeight="false" outlineLevel="0" collapsed="false">
      <c r="B12879" s="130" t="n">
        <v>2028</v>
      </c>
      <c r="C12879" s="131" t="s">
        <v>257</v>
      </c>
      <c r="D12879" s="132" t="n">
        <v>46835</v>
      </c>
      <c r="E12879" s="131" t="s">
        <v>49</v>
      </c>
      <c r="F12879" s="133" t="s">
        <v>19</v>
      </c>
      <c r="G12879" s="134" t="n">
        <f aca="false">LEN('Saisie programme'!$G$464)+SUMIFS('Vols additionnels'!$E$7:$E$66,'Vols additionnels'!$C$7:$C$66,$E12879,'Vols additionnels'!$D$7:$D$66,$F12879,'Vols additionnels'!$B$7:$B$66,$D12879)</f>
        <v>0</v>
      </c>
      <c r="H12879" s="135" t="n">
        <f aca="false">$G12879*'Analyse capacite'!$F$8</f>
        <v>0</v>
      </c>
      <c r="I12879" s="135" t="n">
        <f aca="false">$G12879*'Analyse capacite'!$C$8</f>
        <v>0</v>
      </c>
      <c r="J12879" s="135" t="n">
        <f aca="false">$G12879*'Analyse capacite'!$D$8</f>
        <v>0</v>
      </c>
      <c r="K12879" s="135" t="n">
        <f aca="false">$G12879*'Analyse capacite'!$E$8</f>
        <v>0</v>
      </c>
    </row>
    <row r="12880" customFormat="false" ht="15" hidden="false" customHeight="false" outlineLevel="0" collapsed="false">
      <c r="B12880" s="130" t="n">
        <v>2028</v>
      </c>
      <c r="C12880" s="131" t="s">
        <v>257</v>
      </c>
      <c r="D12880" s="132" t="n">
        <v>46835</v>
      </c>
      <c r="E12880" s="131" t="s">
        <v>49</v>
      </c>
      <c r="F12880" s="133" t="s">
        <v>24</v>
      </c>
      <c r="G12880" s="134" t="n">
        <f aca="false">LEN('Saisie programme'!$G$465)+SUMIFS('Vols additionnels'!$E$7:$E$66,'Vols additionnels'!$C$7:$C$66,$E12880,'Vols additionnels'!$D$7:$D$66,$F12880,'Vols additionnels'!$B$7:$B$66,$D12880)</f>
        <v>0</v>
      </c>
      <c r="H12880" s="135" t="n">
        <f aca="false">$G12880*'Analyse capacite'!$F$9</f>
        <v>0</v>
      </c>
      <c r="I12880" s="135" t="n">
        <f aca="false">$G12880*'Analyse capacite'!$C$9</f>
        <v>0</v>
      </c>
      <c r="J12880" s="135" t="n">
        <f aca="false">$G12880*'Analyse capacite'!$D$9</f>
        <v>0</v>
      </c>
      <c r="K12880" s="135" t="n">
        <f aca="false">$G12880*'Analyse capacite'!$E$9</f>
        <v>0</v>
      </c>
    </row>
    <row r="12881" customFormat="false" ht="15" hidden="false" customHeight="false" outlineLevel="0" collapsed="false">
      <c r="B12881" s="130" t="n">
        <v>2028</v>
      </c>
      <c r="C12881" s="131" t="s">
        <v>257</v>
      </c>
      <c r="D12881" s="132" t="n">
        <v>46835</v>
      </c>
      <c r="E12881" s="131" t="s">
        <v>53</v>
      </c>
      <c r="F12881" s="133" t="s">
        <v>11</v>
      </c>
      <c r="G12881" s="134" t="n">
        <f aca="false">LEN('Saisie programme'!$G$466)+SUMIFS('Vols additionnels'!$E$7:$E$66,'Vols additionnels'!$C$7:$C$66,$E12881,'Vols additionnels'!$D$7:$D$66,$F12881,'Vols additionnels'!$B$7:$B$66,$D12881)</f>
        <v>0</v>
      </c>
      <c r="H12881" s="135" t="n">
        <f aca="false">$G12881*'Analyse capacite'!$F$7</f>
        <v>0</v>
      </c>
      <c r="I12881" s="135" t="n">
        <f aca="false">$G12881*'Analyse capacite'!$C$7</f>
        <v>0</v>
      </c>
      <c r="J12881" s="135" t="n">
        <f aca="false">$G12881*'Analyse capacite'!$D$7</f>
        <v>0</v>
      </c>
      <c r="K12881" s="135" t="n">
        <f aca="false">$G12881*'Analyse capacite'!$E$7</f>
        <v>0</v>
      </c>
    </row>
    <row r="12882" customFormat="false" ht="15" hidden="false" customHeight="false" outlineLevel="0" collapsed="false">
      <c r="B12882" s="130" t="n">
        <v>2028</v>
      </c>
      <c r="C12882" s="131" t="s">
        <v>257</v>
      </c>
      <c r="D12882" s="132" t="n">
        <v>46835</v>
      </c>
      <c r="E12882" s="131" t="s">
        <v>53</v>
      </c>
      <c r="F12882" s="133" t="s">
        <v>19</v>
      </c>
      <c r="G12882" s="134" t="n">
        <f aca="false">LEN('Saisie programme'!$G$467)+SUMIFS('Vols additionnels'!$E$7:$E$66,'Vols additionnels'!$C$7:$C$66,$E12882,'Vols additionnels'!$D$7:$D$66,$F12882,'Vols additionnels'!$B$7:$B$66,$D12882)</f>
        <v>1</v>
      </c>
      <c r="H12882" s="135" t="n">
        <f aca="false">$G12882*'Analyse capacite'!$F$8</f>
        <v>262</v>
      </c>
      <c r="I12882" s="135" t="n">
        <f aca="false">$G12882*'Analyse capacite'!$C$8</f>
        <v>18</v>
      </c>
      <c r="J12882" s="135" t="n">
        <f aca="false">$G12882*'Analyse capacite'!$D$8</f>
        <v>0</v>
      </c>
      <c r="K12882" s="135" t="n">
        <f aca="false">$G12882*'Analyse capacite'!$E$8</f>
        <v>244</v>
      </c>
    </row>
    <row r="12883" customFormat="false" ht="15" hidden="false" customHeight="false" outlineLevel="0" collapsed="false">
      <c r="B12883" s="130" t="n">
        <v>2028</v>
      </c>
      <c r="C12883" s="131" t="s">
        <v>257</v>
      </c>
      <c r="D12883" s="132" t="n">
        <v>46835</v>
      </c>
      <c r="E12883" s="131" t="s">
        <v>53</v>
      </c>
      <c r="F12883" s="133" t="s">
        <v>24</v>
      </c>
      <c r="G12883" s="134" t="n">
        <f aca="false">LEN('Saisie programme'!$G$468)+SUMIFS('Vols additionnels'!$E$7:$E$66,'Vols additionnels'!$C$7:$C$66,$E12883,'Vols additionnels'!$D$7:$D$66,$F12883,'Vols additionnels'!$B$7:$B$66,$D12883)</f>
        <v>0</v>
      </c>
      <c r="H12883" s="135" t="n">
        <f aca="false">$G12883*'Analyse capacite'!$F$9</f>
        <v>0</v>
      </c>
      <c r="I12883" s="135" t="n">
        <f aca="false">$G12883*'Analyse capacite'!$C$9</f>
        <v>0</v>
      </c>
      <c r="J12883" s="135" t="n">
        <f aca="false">$G12883*'Analyse capacite'!$D$9</f>
        <v>0</v>
      </c>
      <c r="K12883" s="135" t="n">
        <f aca="false">$G12883*'Analyse capacite'!$E$9</f>
        <v>0</v>
      </c>
    </row>
    <row r="12884" customFormat="false" ht="15" hidden="false" customHeight="false" outlineLevel="0" collapsed="false">
      <c r="B12884" s="130" t="n">
        <v>2028</v>
      </c>
      <c r="C12884" s="131" t="s">
        <v>257</v>
      </c>
      <c r="D12884" s="132" t="n">
        <v>46835</v>
      </c>
      <c r="E12884" s="131" t="s">
        <v>56</v>
      </c>
      <c r="F12884" s="133" t="s">
        <v>11</v>
      </c>
      <c r="G12884" s="134" t="n">
        <f aca="false">LEN('Saisie programme'!$G$469)+SUMIFS('Vols additionnels'!$E$7:$E$66,'Vols additionnels'!$C$7:$C$66,$E12884,'Vols additionnels'!$D$7:$D$66,$F12884,'Vols additionnels'!$B$7:$B$66,$D12884)</f>
        <v>0</v>
      </c>
      <c r="H12884" s="135" t="n">
        <f aca="false">$G12884*'Analyse capacite'!$F$7</f>
        <v>0</v>
      </c>
      <c r="I12884" s="135" t="n">
        <f aca="false">$G12884*'Analyse capacite'!$C$7</f>
        <v>0</v>
      </c>
      <c r="J12884" s="135" t="n">
        <f aca="false">$G12884*'Analyse capacite'!$D$7</f>
        <v>0</v>
      </c>
      <c r="K12884" s="135" t="n">
        <f aca="false">$G12884*'Analyse capacite'!$E$7</f>
        <v>0</v>
      </c>
    </row>
    <row r="12885" customFormat="false" ht="15" hidden="false" customHeight="false" outlineLevel="0" collapsed="false">
      <c r="B12885" s="130" t="n">
        <v>2028</v>
      </c>
      <c r="C12885" s="131" t="s">
        <v>257</v>
      </c>
      <c r="D12885" s="132" t="n">
        <v>46835</v>
      </c>
      <c r="E12885" s="131" t="s">
        <v>56</v>
      </c>
      <c r="F12885" s="133" t="s">
        <v>19</v>
      </c>
      <c r="G12885" s="134" t="n">
        <f aca="false">LEN('Saisie programme'!$G$470)+SUMIFS('Vols additionnels'!$E$7:$E$66,'Vols additionnels'!$C$7:$C$66,$E12885,'Vols additionnels'!$D$7:$D$66,$F12885,'Vols additionnels'!$B$7:$B$66,$D12885)</f>
        <v>0</v>
      </c>
      <c r="H12885" s="135" t="n">
        <f aca="false">$G12885*'Analyse capacite'!$F$8</f>
        <v>0</v>
      </c>
      <c r="I12885" s="135" t="n">
        <f aca="false">$G12885*'Analyse capacite'!$C$8</f>
        <v>0</v>
      </c>
      <c r="J12885" s="135" t="n">
        <f aca="false">$G12885*'Analyse capacite'!$D$8</f>
        <v>0</v>
      </c>
      <c r="K12885" s="135" t="n">
        <f aca="false">$G12885*'Analyse capacite'!$E$8</f>
        <v>0</v>
      </c>
    </row>
    <row r="12886" customFormat="false" ht="15" hidden="false" customHeight="false" outlineLevel="0" collapsed="false">
      <c r="B12886" s="130" t="n">
        <v>2028</v>
      </c>
      <c r="C12886" s="131" t="s">
        <v>257</v>
      </c>
      <c r="D12886" s="132" t="n">
        <v>46835</v>
      </c>
      <c r="E12886" s="131" t="s">
        <v>56</v>
      </c>
      <c r="F12886" s="133" t="s">
        <v>24</v>
      </c>
      <c r="G12886" s="134" t="n">
        <f aca="false">LEN('Saisie programme'!$G$471)+SUMIFS('Vols additionnels'!$E$7:$E$66,'Vols additionnels'!$C$7:$C$66,$E12886,'Vols additionnels'!$D$7:$D$66,$F12886,'Vols additionnels'!$B$7:$B$66,$D12886)</f>
        <v>0</v>
      </c>
      <c r="H12886" s="135" t="n">
        <f aca="false">$G12886*'Analyse capacite'!$F$9</f>
        <v>0</v>
      </c>
      <c r="I12886" s="135" t="n">
        <f aca="false">$G12886*'Analyse capacite'!$C$9</f>
        <v>0</v>
      </c>
      <c r="J12886" s="135" t="n">
        <f aca="false">$G12886*'Analyse capacite'!$D$9</f>
        <v>0</v>
      </c>
      <c r="K12886" s="135" t="n">
        <f aca="false">$G12886*'Analyse capacite'!$E$9</f>
        <v>0</v>
      </c>
    </row>
    <row r="12887" customFormat="false" ht="15" hidden="false" customHeight="false" outlineLevel="0" collapsed="false">
      <c r="B12887" s="130" t="n">
        <v>2028</v>
      </c>
      <c r="C12887" s="131" t="s">
        <v>257</v>
      </c>
      <c r="D12887" s="132" t="n">
        <v>46835</v>
      </c>
      <c r="E12887" s="131" t="s">
        <v>59</v>
      </c>
      <c r="F12887" s="133" t="s">
        <v>11</v>
      </c>
      <c r="G12887" s="134" t="n">
        <f aca="false">LEN('Saisie programme'!$G$472)+SUMIFS('Vols additionnels'!$E$7:$E$66,'Vols additionnels'!$C$7:$C$66,$E12887,'Vols additionnels'!$D$7:$D$66,$F12887,'Vols additionnels'!$B$7:$B$66,$D12887)</f>
        <v>0</v>
      </c>
      <c r="H12887" s="135" t="n">
        <f aca="false">$G12887*'Analyse capacite'!$F$7</f>
        <v>0</v>
      </c>
      <c r="I12887" s="135" t="n">
        <f aca="false">$G12887*'Analyse capacite'!$C$7</f>
        <v>0</v>
      </c>
      <c r="J12887" s="135" t="n">
        <f aca="false">$G12887*'Analyse capacite'!$D$7</f>
        <v>0</v>
      </c>
      <c r="K12887" s="135" t="n">
        <f aca="false">$G12887*'Analyse capacite'!$E$7</f>
        <v>0</v>
      </c>
    </row>
    <row r="12888" customFormat="false" ht="15" hidden="false" customHeight="false" outlineLevel="0" collapsed="false">
      <c r="B12888" s="130" t="n">
        <v>2028</v>
      </c>
      <c r="C12888" s="131" t="s">
        <v>257</v>
      </c>
      <c r="D12888" s="132" t="n">
        <v>46835</v>
      </c>
      <c r="E12888" s="131" t="s">
        <v>59</v>
      </c>
      <c r="F12888" s="133" t="s">
        <v>19</v>
      </c>
      <c r="G12888" s="134" t="n">
        <f aca="false">LEN('Saisie programme'!$G$473)+SUMIFS('Vols additionnels'!$E$7:$E$66,'Vols additionnels'!$C$7:$C$66,$E12888,'Vols additionnels'!$D$7:$D$66,$F12888,'Vols additionnels'!$B$7:$B$66,$D12888)</f>
        <v>0</v>
      </c>
      <c r="H12888" s="135" t="n">
        <f aca="false">$G12888*'Analyse capacite'!$F$8</f>
        <v>0</v>
      </c>
      <c r="I12888" s="135" t="n">
        <f aca="false">$G12888*'Analyse capacite'!$C$8</f>
        <v>0</v>
      </c>
      <c r="J12888" s="135" t="n">
        <f aca="false">$G12888*'Analyse capacite'!$D$8</f>
        <v>0</v>
      </c>
      <c r="K12888" s="135" t="n">
        <f aca="false">$G12888*'Analyse capacite'!$E$8</f>
        <v>0</v>
      </c>
    </row>
    <row r="12889" customFormat="false" ht="15" hidden="false" customHeight="false" outlineLevel="0" collapsed="false">
      <c r="B12889" s="130" t="n">
        <v>2028</v>
      </c>
      <c r="C12889" s="131" t="s">
        <v>257</v>
      </c>
      <c r="D12889" s="132" t="n">
        <v>46835</v>
      </c>
      <c r="E12889" s="131" t="s">
        <v>59</v>
      </c>
      <c r="F12889" s="133" t="s">
        <v>24</v>
      </c>
      <c r="G12889" s="134" t="n">
        <f aca="false">LEN('Saisie programme'!$G$474)+SUMIFS('Vols additionnels'!$E$7:$E$66,'Vols additionnels'!$C$7:$C$66,$E12889,'Vols additionnels'!$D$7:$D$66,$F12889,'Vols additionnels'!$B$7:$B$66,$D12889)</f>
        <v>2</v>
      </c>
      <c r="H12889" s="135" t="n">
        <f aca="false">$G12889*'Analyse capacite'!$F$9</f>
        <v>348</v>
      </c>
      <c r="I12889" s="135" t="n">
        <f aca="false">$G12889*'Analyse capacite'!$C$9</f>
        <v>0</v>
      </c>
      <c r="J12889" s="135" t="n">
        <f aca="false">$G12889*'Analyse capacite'!$D$9</f>
        <v>24</v>
      </c>
      <c r="K12889" s="135" t="n">
        <f aca="false">$G12889*'Analyse capacite'!$E$9</f>
        <v>324</v>
      </c>
    </row>
    <row r="12890" customFormat="false" ht="15" hidden="false" customHeight="false" outlineLevel="0" collapsed="false">
      <c r="B12890" s="130" t="n">
        <v>2028</v>
      </c>
      <c r="C12890" s="131" t="s">
        <v>257</v>
      </c>
      <c r="D12890" s="132" t="n">
        <v>46835</v>
      </c>
      <c r="E12890" s="131" t="s">
        <v>62</v>
      </c>
      <c r="F12890" s="133" t="s">
        <v>11</v>
      </c>
      <c r="G12890" s="134" t="n">
        <f aca="false">LEN('Saisie programme'!$G$475)+SUMIFS('Vols additionnels'!$E$7:$E$66,'Vols additionnels'!$C$7:$C$66,$E12890,'Vols additionnels'!$D$7:$D$66,$F12890,'Vols additionnels'!$B$7:$B$66,$D12890)</f>
        <v>0</v>
      </c>
      <c r="H12890" s="135" t="n">
        <f aca="false">$G12890*'Analyse capacite'!$F$7</f>
        <v>0</v>
      </c>
      <c r="I12890" s="135" t="n">
        <f aca="false">$G12890*'Analyse capacite'!$C$7</f>
        <v>0</v>
      </c>
      <c r="J12890" s="135" t="n">
        <f aca="false">$G12890*'Analyse capacite'!$D$7</f>
        <v>0</v>
      </c>
      <c r="K12890" s="135" t="n">
        <f aca="false">$G12890*'Analyse capacite'!$E$7</f>
        <v>0</v>
      </c>
    </row>
    <row r="12891" customFormat="false" ht="15" hidden="false" customHeight="false" outlineLevel="0" collapsed="false">
      <c r="B12891" s="130" t="n">
        <v>2028</v>
      </c>
      <c r="C12891" s="131" t="s">
        <v>257</v>
      </c>
      <c r="D12891" s="132" t="n">
        <v>46835</v>
      </c>
      <c r="E12891" s="131" t="s">
        <v>62</v>
      </c>
      <c r="F12891" s="133" t="s">
        <v>19</v>
      </c>
      <c r="G12891" s="134" t="n">
        <f aca="false">LEN('Saisie programme'!$G$476)+SUMIFS('Vols additionnels'!$E$7:$E$66,'Vols additionnels'!$C$7:$C$66,$E12891,'Vols additionnels'!$D$7:$D$66,$F12891,'Vols additionnels'!$B$7:$B$66,$D12891)</f>
        <v>0</v>
      </c>
      <c r="H12891" s="135" t="n">
        <f aca="false">$G12891*'Analyse capacite'!$F$8</f>
        <v>0</v>
      </c>
      <c r="I12891" s="135" t="n">
        <f aca="false">$G12891*'Analyse capacite'!$C$8</f>
        <v>0</v>
      </c>
      <c r="J12891" s="135" t="n">
        <f aca="false">$G12891*'Analyse capacite'!$D$8</f>
        <v>0</v>
      </c>
      <c r="K12891" s="135" t="n">
        <f aca="false">$G12891*'Analyse capacite'!$E$8</f>
        <v>0</v>
      </c>
    </row>
    <row r="12892" customFormat="false" ht="15" hidden="false" customHeight="false" outlineLevel="0" collapsed="false">
      <c r="B12892" s="130" t="n">
        <v>2028</v>
      </c>
      <c r="C12892" s="131" t="s">
        <v>257</v>
      </c>
      <c r="D12892" s="132" t="n">
        <v>46835</v>
      </c>
      <c r="E12892" s="131" t="s">
        <v>62</v>
      </c>
      <c r="F12892" s="133" t="s">
        <v>24</v>
      </c>
      <c r="G12892" s="134" t="n">
        <f aca="false">LEN('Saisie programme'!$G$477)+SUMIFS('Vols additionnels'!$E$7:$E$66,'Vols additionnels'!$C$7:$C$66,$E12892,'Vols additionnels'!$D$7:$D$66,$F12892,'Vols additionnels'!$B$7:$B$66,$D12892)</f>
        <v>0</v>
      </c>
      <c r="H12892" s="135" t="n">
        <f aca="false">$G12892*'Analyse capacite'!$F$9</f>
        <v>0</v>
      </c>
      <c r="I12892" s="135" t="n">
        <f aca="false">$G12892*'Analyse capacite'!$C$9</f>
        <v>0</v>
      </c>
      <c r="J12892" s="135" t="n">
        <f aca="false">$G12892*'Analyse capacite'!$D$9</f>
        <v>0</v>
      </c>
      <c r="K12892" s="135" t="n">
        <f aca="false">$G12892*'Analyse capacite'!$E$9</f>
        <v>0</v>
      </c>
    </row>
    <row r="12893" customFormat="false" ht="15" hidden="false" customHeight="false" outlineLevel="0" collapsed="false">
      <c r="B12893" s="130" t="n">
        <v>2028</v>
      </c>
      <c r="C12893" s="131" t="s">
        <v>257</v>
      </c>
      <c r="D12893" s="132" t="n">
        <v>46836</v>
      </c>
      <c r="E12893" s="131" t="s">
        <v>12</v>
      </c>
      <c r="F12893" s="133" t="s">
        <v>11</v>
      </c>
      <c r="G12893" s="134" t="n">
        <f aca="false">LEN('Saisie programme'!$H$442)+SUMIFS('Vols additionnels'!$E$7:$E$66,'Vols additionnels'!$C$7:$C$66,$E12893,'Vols additionnels'!$D$7:$D$66,$F12893,'Vols additionnels'!$B$7:$B$66,$D12893)</f>
        <v>1</v>
      </c>
      <c r="H12893" s="135" t="n">
        <f aca="false">$G12893*'Analyse capacite'!$F$7</f>
        <v>438</v>
      </c>
      <c r="I12893" s="135" t="n">
        <f aca="false">$G12893*'Analyse capacite'!$C$7</f>
        <v>14</v>
      </c>
      <c r="J12893" s="135" t="n">
        <f aca="false">$G12893*'Analyse capacite'!$D$7</f>
        <v>40</v>
      </c>
      <c r="K12893" s="135" t="n">
        <f aca="false">$G12893*'Analyse capacite'!$E$7</f>
        <v>384</v>
      </c>
    </row>
    <row r="12894" customFormat="false" ht="15" hidden="false" customHeight="false" outlineLevel="0" collapsed="false">
      <c r="B12894" s="130" t="n">
        <v>2028</v>
      </c>
      <c r="C12894" s="131" t="s">
        <v>257</v>
      </c>
      <c r="D12894" s="132" t="n">
        <v>46836</v>
      </c>
      <c r="E12894" s="131" t="s">
        <v>12</v>
      </c>
      <c r="F12894" s="133" t="s">
        <v>19</v>
      </c>
      <c r="G12894" s="134" t="n">
        <f aca="false">LEN('Saisie programme'!$H$443)+SUMIFS('Vols additionnels'!$E$7:$E$66,'Vols additionnels'!$C$7:$C$66,$E12894,'Vols additionnels'!$D$7:$D$66,$F12894,'Vols additionnels'!$B$7:$B$66,$D12894)</f>
        <v>1</v>
      </c>
      <c r="H12894" s="135" t="n">
        <f aca="false">$G12894*'Analyse capacite'!$F$8</f>
        <v>262</v>
      </c>
      <c r="I12894" s="135" t="n">
        <f aca="false">$G12894*'Analyse capacite'!$C$8</f>
        <v>18</v>
      </c>
      <c r="J12894" s="135" t="n">
        <f aca="false">$G12894*'Analyse capacite'!$D$8</f>
        <v>0</v>
      </c>
      <c r="K12894" s="135" t="n">
        <f aca="false">$G12894*'Analyse capacite'!$E$8</f>
        <v>244</v>
      </c>
    </row>
    <row r="12895" customFormat="false" ht="15" hidden="false" customHeight="false" outlineLevel="0" collapsed="false">
      <c r="B12895" s="130" t="n">
        <v>2028</v>
      </c>
      <c r="C12895" s="131" t="s">
        <v>257</v>
      </c>
      <c r="D12895" s="132" t="n">
        <v>46836</v>
      </c>
      <c r="E12895" s="131" t="s">
        <v>12</v>
      </c>
      <c r="F12895" s="133" t="s">
        <v>24</v>
      </c>
      <c r="G12895" s="134" t="n">
        <f aca="false">LEN('Saisie programme'!$H$444)+SUMIFS('Vols additionnels'!$E$7:$E$66,'Vols additionnels'!$C$7:$C$66,$E12895,'Vols additionnels'!$D$7:$D$66,$F12895,'Vols additionnels'!$B$7:$B$66,$D12895)</f>
        <v>0</v>
      </c>
      <c r="H12895" s="135" t="n">
        <f aca="false">$G12895*'Analyse capacite'!$F$9</f>
        <v>0</v>
      </c>
      <c r="I12895" s="135" t="n">
        <f aca="false">$G12895*'Analyse capacite'!$C$9</f>
        <v>0</v>
      </c>
      <c r="J12895" s="135" t="n">
        <f aca="false">$G12895*'Analyse capacite'!$D$9</f>
        <v>0</v>
      </c>
      <c r="K12895" s="135" t="n">
        <f aca="false">$G12895*'Analyse capacite'!$E$9</f>
        <v>0</v>
      </c>
    </row>
    <row r="12896" customFormat="false" ht="15" hidden="false" customHeight="false" outlineLevel="0" collapsed="false">
      <c r="B12896" s="130" t="n">
        <v>2028</v>
      </c>
      <c r="C12896" s="131" t="s">
        <v>257</v>
      </c>
      <c r="D12896" s="132" t="n">
        <v>46836</v>
      </c>
      <c r="E12896" s="131" t="s">
        <v>20</v>
      </c>
      <c r="F12896" s="133" t="s">
        <v>11</v>
      </c>
      <c r="G12896" s="134" t="n">
        <f aca="false">LEN('Saisie programme'!$H$445)+SUMIFS('Vols additionnels'!$E$7:$E$66,'Vols additionnels'!$C$7:$C$66,$E12896,'Vols additionnels'!$D$7:$D$66,$F12896,'Vols additionnels'!$B$7:$B$66,$D12896)</f>
        <v>0</v>
      </c>
      <c r="H12896" s="135" t="n">
        <f aca="false">$G12896*'Analyse capacite'!$F$7</f>
        <v>0</v>
      </c>
      <c r="I12896" s="135" t="n">
        <f aca="false">$G12896*'Analyse capacite'!$C$7</f>
        <v>0</v>
      </c>
      <c r="J12896" s="135" t="n">
        <f aca="false">$G12896*'Analyse capacite'!$D$7</f>
        <v>0</v>
      </c>
      <c r="K12896" s="135" t="n">
        <f aca="false">$G12896*'Analyse capacite'!$E$7</f>
        <v>0</v>
      </c>
    </row>
    <row r="12897" customFormat="false" ht="15" hidden="false" customHeight="false" outlineLevel="0" collapsed="false">
      <c r="B12897" s="130" t="n">
        <v>2028</v>
      </c>
      <c r="C12897" s="131" t="s">
        <v>257</v>
      </c>
      <c r="D12897" s="132" t="n">
        <v>46836</v>
      </c>
      <c r="E12897" s="131" t="s">
        <v>20</v>
      </c>
      <c r="F12897" s="133" t="s">
        <v>19</v>
      </c>
      <c r="G12897" s="134" t="n">
        <f aca="false">LEN('Saisie programme'!$H$446)+SUMIFS('Vols additionnels'!$E$7:$E$66,'Vols additionnels'!$C$7:$C$66,$E12897,'Vols additionnels'!$D$7:$D$66,$F12897,'Vols additionnels'!$B$7:$B$66,$D12897)</f>
        <v>1</v>
      </c>
      <c r="H12897" s="135" t="n">
        <f aca="false">$G12897*'Analyse capacite'!$F$8</f>
        <v>262</v>
      </c>
      <c r="I12897" s="135" t="n">
        <f aca="false">$G12897*'Analyse capacite'!$C$8</f>
        <v>18</v>
      </c>
      <c r="J12897" s="135" t="n">
        <f aca="false">$G12897*'Analyse capacite'!$D$8</f>
        <v>0</v>
      </c>
      <c r="K12897" s="135" t="n">
        <f aca="false">$G12897*'Analyse capacite'!$E$8</f>
        <v>244</v>
      </c>
    </row>
    <row r="12898" customFormat="false" ht="15" hidden="false" customHeight="false" outlineLevel="0" collapsed="false">
      <c r="B12898" s="130" t="n">
        <v>2028</v>
      </c>
      <c r="C12898" s="131" t="s">
        <v>257</v>
      </c>
      <c r="D12898" s="132" t="n">
        <v>46836</v>
      </c>
      <c r="E12898" s="131" t="s">
        <v>20</v>
      </c>
      <c r="F12898" s="133" t="s">
        <v>24</v>
      </c>
      <c r="G12898" s="134" t="n">
        <f aca="false">LEN('Saisie programme'!$H$447)+SUMIFS('Vols additionnels'!$E$7:$E$66,'Vols additionnels'!$C$7:$C$66,$E12898,'Vols additionnels'!$D$7:$D$66,$F12898,'Vols additionnels'!$B$7:$B$66,$D12898)</f>
        <v>0</v>
      </c>
      <c r="H12898" s="135" t="n">
        <f aca="false">$G12898*'Analyse capacite'!$F$9</f>
        <v>0</v>
      </c>
      <c r="I12898" s="135" t="n">
        <f aca="false">$G12898*'Analyse capacite'!$C$9</f>
        <v>0</v>
      </c>
      <c r="J12898" s="135" t="n">
        <f aca="false">$G12898*'Analyse capacite'!$D$9</f>
        <v>0</v>
      </c>
      <c r="K12898" s="135" t="n">
        <f aca="false">$G12898*'Analyse capacite'!$E$9</f>
        <v>0</v>
      </c>
    </row>
    <row r="12899" customFormat="false" ht="15" hidden="false" customHeight="false" outlineLevel="0" collapsed="false">
      <c r="B12899" s="130" t="n">
        <v>2028</v>
      </c>
      <c r="C12899" s="131" t="s">
        <v>257</v>
      </c>
      <c r="D12899" s="132" t="n">
        <v>46836</v>
      </c>
      <c r="E12899" s="131" t="s">
        <v>25</v>
      </c>
      <c r="F12899" s="133" t="s">
        <v>11</v>
      </c>
      <c r="G12899" s="134" t="n">
        <f aca="false">LEN('Saisie programme'!$H$448)+SUMIFS('Vols additionnels'!$E$7:$E$66,'Vols additionnels'!$C$7:$C$66,$E12899,'Vols additionnels'!$D$7:$D$66,$F12899,'Vols additionnels'!$B$7:$B$66,$D12899)</f>
        <v>0</v>
      </c>
      <c r="H12899" s="135" t="n">
        <f aca="false">$G12899*'Analyse capacite'!$F$7</f>
        <v>0</v>
      </c>
      <c r="I12899" s="135" t="n">
        <f aca="false">$G12899*'Analyse capacite'!$C$7</f>
        <v>0</v>
      </c>
      <c r="J12899" s="135" t="n">
        <f aca="false">$G12899*'Analyse capacite'!$D$7</f>
        <v>0</v>
      </c>
      <c r="K12899" s="135" t="n">
        <f aca="false">$G12899*'Analyse capacite'!$E$7</f>
        <v>0</v>
      </c>
    </row>
    <row r="12900" customFormat="false" ht="15" hidden="false" customHeight="false" outlineLevel="0" collapsed="false">
      <c r="B12900" s="130" t="n">
        <v>2028</v>
      </c>
      <c r="C12900" s="131" t="s">
        <v>257</v>
      </c>
      <c r="D12900" s="132" t="n">
        <v>46836</v>
      </c>
      <c r="E12900" s="131" t="s">
        <v>25</v>
      </c>
      <c r="F12900" s="133" t="s">
        <v>19</v>
      </c>
      <c r="G12900" s="134" t="n">
        <f aca="false">LEN('Saisie programme'!$H$449)+SUMIFS('Vols additionnels'!$E$7:$E$66,'Vols additionnels'!$C$7:$C$66,$E12900,'Vols additionnels'!$D$7:$D$66,$F12900,'Vols additionnels'!$B$7:$B$66,$D12900)</f>
        <v>0</v>
      </c>
      <c r="H12900" s="135" t="n">
        <f aca="false">$G12900*'Analyse capacite'!$F$8</f>
        <v>0</v>
      </c>
      <c r="I12900" s="135" t="n">
        <f aca="false">$G12900*'Analyse capacite'!$C$8</f>
        <v>0</v>
      </c>
      <c r="J12900" s="135" t="n">
        <f aca="false">$G12900*'Analyse capacite'!$D$8</f>
        <v>0</v>
      </c>
      <c r="K12900" s="135" t="n">
        <f aca="false">$G12900*'Analyse capacite'!$E$8</f>
        <v>0</v>
      </c>
    </row>
    <row r="12901" customFormat="false" ht="15" hidden="false" customHeight="false" outlineLevel="0" collapsed="false">
      <c r="B12901" s="130" t="n">
        <v>2028</v>
      </c>
      <c r="C12901" s="131" t="s">
        <v>257</v>
      </c>
      <c r="D12901" s="132" t="n">
        <v>46836</v>
      </c>
      <c r="E12901" s="131" t="s">
        <v>25</v>
      </c>
      <c r="F12901" s="133" t="s">
        <v>24</v>
      </c>
      <c r="G12901" s="134" t="n">
        <f aca="false">LEN('Saisie programme'!$H$450)+SUMIFS('Vols additionnels'!$E$7:$E$66,'Vols additionnels'!$C$7:$C$66,$E12901,'Vols additionnels'!$D$7:$D$66,$F12901,'Vols additionnels'!$B$7:$B$66,$D12901)</f>
        <v>0</v>
      </c>
      <c r="H12901" s="135" t="n">
        <f aca="false">$G12901*'Analyse capacite'!$F$9</f>
        <v>0</v>
      </c>
      <c r="I12901" s="135" t="n">
        <f aca="false">$G12901*'Analyse capacite'!$C$9</f>
        <v>0</v>
      </c>
      <c r="J12901" s="135" t="n">
        <f aca="false">$G12901*'Analyse capacite'!$D$9</f>
        <v>0</v>
      </c>
      <c r="K12901" s="135" t="n">
        <f aca="false">$G12901*'Analyse capacite'!$E$9</f>
        <v>0</v>
      </c>
    </row>
    <row r="12902" customFormat="false" ht="15" hidden="false" customHeight="false" outlineLevel="0" collapsed="false">
      <c r="B12902" s="130" t="n">
        <v>2028</v>
      </c>
      <c r="C12902" s="131" t="s">
        <v>257</v>
      </c>
      <c r="D12902" s="132" t="n">
        <v>46836</v>
      </c>
      <c r="E12902" s="131" t="s">
        <v>36</v>
      </c>
      <c r="F12902" s="133" t="s">
        <v>11</v>
      </c>
      <c r="G12902" s="134" t="n">
        <f aca="false">LEN('Saisie programme'!$H$451)+SUMIFS('Vols additionnels'!$E$7:$E$66,'Vols additionnels'!$C$7:$C$66,$E12902,'Vols additionnels'!$D$7:$D$66,$F12902,'Vols additionnels'!$B$7:$B$66,$D12902)</f>
        <v>0</v>
      </c>
      <c r="H12902" s="135" t="n">
        <f aca="false">$G12902*'Analyse capacite'!$F$7</f>
        <v>0</v>
      </c>
      <c r="I12902" s="135" t="n">
        <f aca="false">$G12902*'Analyse capacite'!$C$7</f>
        <v>0</v>
      </c>
      <c r="J12902" s="135" t="n">
        <f aca="false">$G12902*'Analyse capacite'!$D$7</f>
        <v>0</v>
      </c>
      <c r="K12902" s="135" t="n">
        <f aca="false">$G12902*'Analyse capacite'!$E$7</f>
        <v>0</v>
      </c>
    </row>
    <row r="12903" customFormat="false" ht="15" hidden="false" customHeight="false" outlineLevel="0" collapsed="false">
      <c r="B12903" s="130" t="n">
        <v>2028</v>
      </c>
      <c r="C12903" s="131" t="s">
        <v>257</v>
      </c>
      <c r="D12903" s="132" t="n">
        <v>46836</v>
      </c>
      <c r="E12903" s="131" t="s">
        <v>36</v>
      </c>
      <c r="F12903" s="133" t="s">
        <v>19</v>
      </c>
      <c r="G12903" s="134" t="n">
        <f aca="false">LEN('Saisie programme'!$H$452)+SUMIFS('Vols additionnels'!$E$7:$E$66,'Vols additionnels'!$C$7:$C$66,$E12903,'Vols additionnels'!$D$7:$D$66,$F12903,'Vols additionnels'!$B$7:$B$66,$D12903)</f>
        <v>0</v>
      </c>
      <c r="H12903" s="135" t="n">
        <f aca="false">$G12903*'Analyse capacite'!$F$8</f>
        <v>0</v>
      </c>
      <c r="I12903" s="135" t="n">
        <f aca="false">$G12903*'Analyse capacite'!$C$8</f>
        <v>0</v>
      </c>
      <c r="J12903" s="135" t="n">
        <f aca="false">$G12903*'Analyse capacite'!$D$8</f>
        <v>0</v>
      </c>
      <c r="K12903" s="135" t="n">
        <f aca="false">$G12903*'Analyse capacite'!$E$8</f>
        <v>0</v>
      </c>
    </row>
    <row r="12904" customFormat="false" ht="15" hidden="false" customHeight="false" outlineLevel="0" collapsed="false">
      <c r="B12904" s="130" t="n">
        <v>2028</v>
      </c>
      <c r="C12904" s="131" t="s">
        <v>257</v>
      </c>
      <c r="D12904" s="132" t="n">
        <v>46836</v>
      </c>
      <c r="E12904" s="131" t="s">
        <v>36</v>
      </c>
      <c r="F12904" s="133" t="s">
        <v>24</v>
      </c>
      <c r="G12904" s="134" t="n">
        <f aca="false">LEN('Saisie programme'!$H$453)+SUMIFS('Vols additionnels'!$E$7:$E$66,'Vols additionnels'!$C$7:$C$66,$E12904,'Vols additionnels'!$D$7:$D$66,$F12904,'Vols additionnels'!$B$7:$B$66,$D12904)</f>
        <v>1</v>
      </c>
      <c r="H12904" s="135" t="n">
        <f aca="false">$G12904*'Analyse capacite'!$F$9</f>
        <v>174</v>
      </c>
      <c r="I12904" s="135" t="n">
        <f aca="false">$G12904*'Analyse capacite'!$C$9</f>
        <v>0</v>
      </c>
      <c r="J12904" s="135" t="n">
        <f aca="false">$G12904*'Analyse capacite'!$D$9</f>
        <v>12</v>
      </c>
      <c r="K12904" s="135" t="n">
        <f aca="false">$G12904*'Analyse capacite'!$E$9</f>
        <v>162</v>
      </c>
    </row>
    <row r="12905" customFormat="false" ht="15" hidden="false" customHeight="false" outlineLevel="0" collapsed="false">
      <c r="B12905" s="130" t="n">
        <v>2028</v>
      </c>
      <c r="C12905" s="131" t="s">
        <v>257</v>
      </c>
      <c r="D12905" s="132" t="n">
        <v>46836</v>
      </c>
      <c r="E12905" s="131" t="s">
        <v>40</v>
      </c>
      <c r="F12905" s="133" t="s">
        <v>11</v>
      </c>
      <c r="G12905" s="134" t="n">
        <f aca="false">LEN('Saisie programme'!$H$454)+SUMIFS('Vols additionnels'!$E$7:$E$66,'Vols additionnels'!$C$7:$C$66,$E12905,'Vols additionnels'!$D$7:$D$66,$F12905,'Vols additionnels'!$B$7:$B$66,$D12905)</f>
        <v>0</v>
      </c>
      <c r="H12905" s="135" t="n">
        <f aca="false">$G12905*'Analyse capacite'!$F$7</f>
        <v>0</v>
      </c>
      <c r="I12905" s="135" t="n">
        <f aca="false">$G12905*'Analyse capacite'!$C$7</f>
        <v>0</v>
      </c>
      <c r="J12905" s="135" t="n">
        <f aca="false">$G12905*'Analyse capacite'!$D$7</f>
        <v>0</v>
      </c>
      <c r="K12905" s="135" t="n">
        <f aca="false">$G12905*'Analyse capacite'!$E$7</f>
        <v>0</v>
      </c>
    </row>
    <row r="12906" customFormat="false" ht="15" hidden="false" customHeight="false" outlineLevel="0" collapsed="false">
      <c r="B12906" s="130" t="n">
        <v>2028</v>
      </c>
      <c r="C12906" s="131" t="s">
        <v>257</v>
      </c>
      <c r="D12906" s="132" t="n">
        <v>46836</v>
      </c>
      <c r="E12906" s="131" t="s">
        <v>40</v>
      </c>
      <c r="F12906" s="133" t="s">
        <v>19</v>
      </c>
      <c r="G12906" s="134" t="n">
        <f aca="false">LEN('Saisie programme'!$H$455)+SUMIFS('Vols additionnels'!$E$7:$E$66,'Vols additionnels'!$C$7:$C$66,$E12906,'Vols additionnels'!$D$7:$D$66,$F12906,'Vols additionnels'!$B$7:$B$66,$D12906)</f>
        <v>0</v>
      </c>
      <c r="H12906" s="135" t="n">
        <f aca="false">$G12906*'Analyse capacite'!$F$8</f>
        <v>0</v>
      </c>
      <c r="I12906" s="135" t="n">
        <f aca="false">$G12906*'Analyse capacite'!$C$8</f>
        <v>0</v>
      </c>
      <c r="J12906" s="135" t="n">
        <f aca="false">$G12906*'Analyse capacite'!$D$8</f>
        <v>0</v>
      </c>
      <c r="K12906" s="135" t="n">
        <f aca="false">$G12906*'Analyse capacite'!$E$8</f>
        <v>0</v>
      </c>
    </row>
    <row r="12907" customFormat="false" ht="15" hidden="false" customHeight="false" outlineLevel="0" collapsed="false">
      <c r="B12907" s="130" t="n">
        <v>2028</v>
      </c>
      <c r="C12907" s="131" t="s">
        <v>257</v>
      </c>
      <c r="D12907" s="132" t="n">
        <v>46836</v>
      </c>
      <c r="E12907" s="131" t="s">
        <v>40</v>
      </c>
      <c r="F12907" s="133" t="s">
        <v>24</v>
      </c>
      <c r="G12907" s="134" t="n">
        <f aca="false">LEN('Saisie programme'!$H$456)+SUMIFS('Vols additionnels'!$E$7:$E$66,'Vols additionnels'!$C$7:$C$66,$E12907,'Vols additionnels'!$D$7:$D$66,$F12907,'Vols additionnels'!$B$7:$B$66,$D12907)</f>
        <v>1</v>
      </c>
      <c r="H12907" s="135" t="n">
        <f aca="false">$G12907*'Analyse capacite'!$F$9</f>
        <v>174</v>
      </c>
      <c r="I12907" s="135" t="n">
        <f aca="false">$G12907*'Analyse capacite'!$C$9</f>
        <v>0</v>
      </c>
      <c r="J12907" s="135" t="n">
        <f aca="false">$G12907*'Analyse capacite'!$D$9</f>
        <v>12</v>
      </c>
      <c r="K12907" s="135" t="n">
        <f aca="false">$G12907*'Analyse capacite'!$E$9</f>
        <v>162</v>
      </c>
    </row>
    <row r="12908" customFormat="false" ht="15" hidden="false" customHeight="false" outlineLevel="0" collapsed="false">
      <c r="B12908" s="130" t="n">
        <v>2028</v>
      </c>
      <c r="C12908" s="131" t="s">
        <v>257</v>
      </c>
      <c r="D12908" s="132" t="n">
        <v>46836</v>
      </c>
      <c r="E12908" s="131" t="s">
        <v>14</v>
      </c>
      <c r="F12908" s="133" t="s">
        <v>11</v>
      </c>
      <c r="G12908" s="134" t="n">
        <f aca="false">LEN('Saisie programme'!$H$457)+SUMIFS('Vols additionnels'!$E$7:$E$66,'Vols additionnels'!$C$7:$C$66,$E12908,'Vols additionnels'!$D$7:$D$66,$F12908,'Vols additionnels'!$B$7:$B$66,$D12908)</f>
        <v>0</v>
      </c>
      <c r="H12908" s="135" t="n">
        <f aca="false">$G12908*'Analyse capacite'!$F$7</f>
        <v>0</v>
      </c>
      <c r="I12908" s="135" t="n">
        <f aca="false">$G12908*'Analyse capacite'!$C$7</f>
        <v>0</v>
      </c>
      <c r="J12908" s="135" t="n">
        <f aca="false">$G12908*'Analyse capacite'!$D$7</f>
        <v>0</v>
      </c>
      <c r="K12908" s="135" t="n">
        <f aca="false">$G12908*'Analyse capacite'!$E$7</f>
        <v>0</v>
      </c>
    </row>
    <row r="12909" customFormat="false" ht="15" hidden="false" customHeight="false" outlineLevel="0" collapsed="false">
      <c r="B12909" s="130" t="n">
        <v>2028</v>
      </c>
      <c r="C12909" s="131" t="s">
        <v>257</v>
      </c>
      <c r="D12909" s="132" t="n">
        <v>46836</v>
      </c>
      <c r="E12909" s="131" t="s">
        <v>14</v>
      </c>
      <c r="F12909" s="133" t="s">
        <v>19</v>
      </c>
      <c r="G12909" s="134" t="n">
        <f aca="false">LEN('Saisie programme'!$H$458)+SUMIFS('Vols additionnels'!$E$7:$E$66,'Vols additionnels'!$C$7:$C$66,$E12909,'Vols additionnels'!$D$7:$D$66,$F12909,'Vols additionnels'!$B$7:$B$66,$D12909)</f>
        <v>0</v>
      </c>
      <c r="H12909" s="135" t="n">
        <f aca="false">$G12909*'Analyse capacite'!$F$8</f>
        <v>0</v>
      </c>
      <c r="I12909" s="135" t="n">
        <f aca="false">$G12909*'Analyse capacite'!$C$8</f>
        <v>0</v>
      </c>
      <c r="J12909" s="135" t="n">
        <f aca="false">$G12909*'Analyse capacite'!$D$8</f>
        <v>0</v>
      </c>
      <c r="K12909" s="135" t="n">
        <f aca="false">$G12909*'Analyse capacite'!$E$8</f>
        <v>0</v>
      </c>
    </row>
    <row r="12910" customFormat="false" ht="15" hidden="false" customHeight="false" outlineLevel="0" collapsed="false">
      <c r="B12910" s="130" t="n">
        <v>2028</v>
      </c>
      <c r="C12910" s="131" t="s">
        <v>257</v>
      </c>
      <c r="D12910" s="132" t="n">
        <v>46836</v>
      </c>
      <c r="E12910" s="131" t="s">
        <v>14</v>
      </c>
      <c r="F12910" s="133" t="s">
        <v>24</v>
      </c>
      <c r="G12910" s="134" t="n">
        <f aca="false">LEN('Saisie programme'!$H$459)+SUMIFS('Vols additionnels'!$E$7:$E$66,'Vols additionnels'!$C$7:$C$66,$E12910,'Vols additionnels'!$D$7:$D$66,$F12910,'Vols additionnels'!$B$7:$B$66,$D12910)</f>
        <v>0</v>
      </c>
      <c r="H12910" s="135" t="n">
        <f aca="false">$G12910*'Analyse capacite'!$F$9</f>
        <v>0</v>
      </c>
      <c r="I12910" s="135" t="n">
        <f aca="false">$G12910*'Analyse capacite'!$C$9</f>
        <v>0</v>
      </c>
      <c r="J12910" s="135" t="n">
        <f aca="false">$G12910*'Analyse capacite'!$D$9</f>
        <v>0</v>
      </c>
      <c r="K12910" s="135" t="n">
        <f aca="false">$G12910*'Analyse capacite'!$E$9</f>
        <v>0</v>
      </c>
    </row>
    <row r="12911" customFormat="false" ht="15" hidden="false" customHeight="false" outlineLevel="0" collapsed="false">
      <c r="B12911" s="130" t="n">
        <v>2028</v>
      </c>
      <c r="C12911" s="131" t="s">
        <v>257</v>
      </c>
      <c r="D12911" s="132" t="n">
        <v>46836</v>
      </c>
      <c r="E12911" s="131" t="s">
        <v>46</v>
      </c>
      <c r="F12911" s="133" t="s">
        <v>11</v>
      </c>
      <c r="G12911" s="134" t="n">
        <f aca="false">LEN('Saisie programme'!$H$460)+SUMIFS('Vols additionnels'!$E$7:$E$66,'Vols additionnels'!$C$7:$C$66,$E12911,'Vols additionnels'!$D$7:$D$66,$F12911,'Vols additionnels'!$B$7:$B$66,$D12911)</f>
        <v>0</v>
      </c>
      <c r="H12911" s="135" t="n">
        <f aca="false">$G12911*'Analyse capacite'!$F$7</f>
        <v>0</v>
      </c>
      <c r="I12911" s="135" t="n">
        <f aca="false">$G12911*'Analyse capacite'!$C$7</f>
        <v>0</v>
      </c>
      <c r="J12911" s="135" t="n">
        <f aca="false">$G12911*'Analyse capacite'!$D$7</f>
        <v>0</v>
      </c>
      <c r="K12911" s="135" t="n">
        <f aca="false">$G12911*'Analyse capacite'!$E$7</f>
        <v>0</v>
      </c>
    </row>
    <row r="12912" customFormat="false" ht="15" hidden="false" customHeight="false" outlineLevel="0" collapsed="false">
      <c r="B12912" s="130" t="n">
        <v>2028</v>
      </c>
      <c r="C12912" s="131" t="s">
        <v>257</v>
      </c>
      <c r="D12912" s="132" t="n">
        <v>46836</v>
      </c>
      <c r="E12912" s="131" t="s">
        <v>46</v>
      </c>
      <c r="F12912" s="133" t="s">
        <v>19</v>
      </c>
      <c r="G12912" s="134" t="n">
        <f aca="false">LEN('Saisie programme'!$H$461)+SUMIFS('Vols additionnels'!$E$7:$E$66,'Vols additionnels'!$C$7:$C$66,$E12912,'Vols additionnels'!$D$7:$D$66,$F12912,'Vols additionnels'!$B$7:$B$66,$D12912)</f>
        <v>0</v>
      </c>
      <c r="H12912" s="135" t="n">
        <f aca="false">$G12912*'Analyse capacite'!$F$8</f>
        <v>0</v>
      </c>
      <c r="I12912" s="135" t="n">
        <f aca="false">$G12912*'Analyse capacite'!$C$8</f>
        <v>0</v>
      </c>
      <c r="J12912" s="135" t="n">
        <f aca="false">$G12912*'Analyse capacite'!$D$8</f>
        <v>0</v>
      </c>
      <c r="K12912" s="135" t="n">
        <f aca="false">$G12912*'Analyse capacite'!$E$8</f>
        <v>0</v>
      </c>
    </row>
    <row r="12913" customFormat="false" ht="15" hidden="false" customHeight="false" outlineLevel="0" collapsed="false">
      <c r="B12913" s="130" t="n">
        <v>2028</v>
      </c>
      <c r="C12913" s="131" t="s">
        <v>257</v>
      </c>
      <c r="D12913" s="132" t="n">
        <v>46836</v>
      </c>
      <c r="E12913" s="131" t="s">
        <v>46</v>
      </c>
      <c r="F12913" s="133" t="s">
        <v>24</v>
      </c>
      <c r="G12913" s="134" t="n">
        <f aca="false">LEN('Saisie programme'!$H$462)+SUMIFS('Vols additionnels'!$E$7:$E$66,'Vols additionnels'!$C$7:$C$66,$E12913,'Vols additionnels'!$D$7:$D$66,$F12913,'Vols additionnels'!$B$7:$B$66,$D12913)</f>
        <v>0</v>
      </c>
      <c r="H12913" s="135" t="n">
        <f aca="false">$G12913*'Analyse capacite'!$F$9</f>
        <v>0</v>
      </c>
      <c r="I12913" s="135" t="n">
        <f aca="false">$G12913*'Analyse capacite'!$C$9</f>
        <v>0</v>
      </c>
      <c r="J12913" s="135" t="n">
        <f aca="false">$G12913*'Analyse capacite'!$D$9</f>
        <v>0</v>
      </c>
      <c r="K12913" s="135" t="n">
        <f aca="false">$G12913*'Analyse capacite'!$E$9</f>
        <v>0</v>
      </c>
    </row>
    <row r="12914" customFormat="false" ht="15" hidden="false" customHeight="false" outlineLevel="0" collapsed="false">
      <c r="B12914" s="130" t="n">
        <v>2028</v>
      </c>
      <c r="C12914" s="131" t="s">
        <v>257</v>
      </c>
      <c r="D12914" s="132" t="n">
        <v>46836</v>
      </c>
      <c r="E12914" s="131" t="s">
        <v>49</v>
      </c>
      <c r="F12914" s="133" t="s">
        <v>11</v>
      </c>
      <c r="G12914" s="134" t="n">
        <f aca="false">LEN('Saisie programme'!$H$463)+SUMIFS('Vols additionnels'!$E$7:$E$66,'Vols additionnels'!$C$7:$C$66,$E12914,'Vols additionnels'!$D$7:$D$66,$F12914,'Vols additionnels'!$B$7:$B$66,$D12914)</f>
        <v>0</v>
      </c>
      <c r="H12914" s="135" t="n">
        <f aca="false">$G12914*'Analyse capacite'!$F$7</f>
        <v>0</v>
      </c>
      <c r="I12914" s="135" t="n">
        <f aca="false">$G12914*'Analyse capacite'!$C$7</f>
        <v>0</v>
      </c>
      <c r="J12914" s="135" t="n">
        <f aca="false">$G12914*'Analyse capacite'!$D$7</f>
        <v>0</v>
      </c>
      <c r="K12914" s="135" t="n">
        <f aca="false">$G12914*'Analyse capacite'!$E$7</f>
        <v>0</v>
      </c>
    </row>
    <row r="12915" customFormat="false" ht="15" hidden="false" customHeight="false" outlineLevel="0" collapsed="false">
      <c r="B12915" s="130" t="n">
        <v>2028</v>
      </c>
      <c r="C12915" s="131" t="s">
        <v>257</v>
      </c>
      <c r="D12915" s="132" t="n">
        <v>46836</v>
      </c>
      <c r="E12915" s="131" t="s">
        <v>49</v>
      </c>
      <c r="F12915" s="133" t="s">
        <v>19</v>
      </c>
      <c r="G12915" s="134" t="n">
        <f aca="false">LEN('Saisie programme'!$H$464)+SUMIFS('Vols additionnels'!$E$7:$E$66,'Vols additionnels'!$C$7:$C$66,$E12915,'Vols additionnels'!$D$7:$D$66,$F12915,'Vols additionnels'!$B$7:$B$66,$D12915)</f>
        <v>1</v>
      </c>
      <c r="H12915" s="135" t="n">
        <f aca="false">$G12915*'Analyse capacite'!$F$8</f>
        <v>262</v>
      </c>
      <c r="I12915" s="135" t="n">
        <f aca="false">$G12915*'Analyse capacite'!$C$8</f>
        <v>18</v>
      </c>
      <c r="J12915" s="135" t="n">
        <f aca="false">$G12915*'Analyse capacite'!$D$8</f>
        <v>0</v>
      </c>
      <c r="K12915" s="135" t="n">
        <f aca="false">$G12915*'Analyse capacite'!$E$8</f>
        <v>244</v>
      </c>
    </row>
    <row r="12916" customFormat="false" ht="15" hidden="false" customHeight="false" outlineLevel="0" collapsed="false">
      <c r="B12916" s="130" t="n">
        <v>2028</v>
      </c>
      <c r="C12916" s="131" t="s">
        <v>257</v>
      </c>
      <c r="D12916" s="132" t="n">
        <v>46836</v>
      </c>
      <c r="E12916" s="131" t="s">
        <v>49</v>
      </c>
      <c r="F12916" s="133" t="s">
        <v>24</v>
      </c>
      <c r="G12916" s="134" t="n">
        <f aca="false">LEN('Saisie programme'!$H$465)+SUMIFS('Vols additionnels'!$E$7:$E$66,'Vols additionnels'!$C$7:$C$66,$E12916,'Vols additionnels'!$D$7:$D$66,$F12916,'Vols additionnels'!$B$7:$B$66,$D12916)</f>
        <v>0</v>
      </c>
      <c r="H12916" s="135" t="n">
        <f aca="false">$G12916*'Analyse capacite'!$F$9</f>
        <v>0</v>
      </c>
      <c r="I12916" s="135" t="n">
        <f aca="false">$G12916*'Analyse capacite'!$C$9</f>
        <v>0</v>
      </c>
      <c r="J12916" s="135" t="n">
        <f aca="false">$G12916*'Analyse capacite'!$D$9</f>
        <v>0</v>
      </c>
      <c r="K12916" s="135" t="n">
        <f aca="false">$G12916*'Analyse capacite'!$E$9</f>
        <v>0</v>
      </c>
    </row>
    <row r="12917" customFormat="false" ht="15" hidden="false" customHeight="false" outlineLevel="0" collapsed="false">
      <c r="B12917" s="130" t="n">
        <v>2028</v>
      </c>
      <c r="C12917" s="131" t="s">
        <v>257</v>
      </c>
      <c r="D12917" s="132" t="n">
        <v>46836</v>
      </c>
      <c r="E12917" s="131" t="s">
        <v>53</v>
      </c>
      <c r="F12917" s="133" t="s">
        <v>11</v>
      </c>
      <c r="G12917" s="134" t="n">
        <f aca="false">LEN('Saisie programme'!$H$466)+SUMIFS('Vols additionnels'!$E$7:$E$66,'Vols additionnels'!$C$7:$C$66,$E12917,'Vols additionnels'!$D$7:$D$66,$F12917,'Vols additionnels'!$B$7:$B$66,$D12917)</f>
        <v>0</v>
      </c>
      <c r="H12917" s="135" t="n">
        <f aca="false">$G12917*'Analyse capacite'!$F$7</f>
        <v>0</v>
      </c>
      <c r="I12917" s="135" t="n">
        <f aca="false">$G12917*'Analyse capacite'!$C$7</f>
        <v>0</v>
      </c>
      <c r="J12917" s="135" t="n">
        <f aca="false">$G12917*'Analyse capacite'!$D$7</f>
        <v>0</v>
      </c>
      <c r="K12917" s="135" t="n">
        <f aca="false">$G12917*'Analyse capacite'!$E$7</f>
        <v>0</v>
      </c>
    </row>
    <row r="12918" customFormat="false" ht="15" hidden="false" customHeight="false" outlineLevel="0" collapsed="false">
      <c r="B12918" s="130" t="n">
        <v>2028</v>
      </c>
      <c r="C12918" s="131" t="s">
        <v>257</v>
      </c>
      <c r="D12918" s="132" t="n">
        <v>46836</v>
      </c>
      <c r="E12918" s="131" t="s">
        <v>53</v>
      </c>
      <c r="F12918" s="133" t="s">
        <v>19</v>
      </c>
      <c r="G12918" s="134" t="n">
        <f aca="false">LEN('Saisie programme'!$H$467)+SUMIFS('Vols additionnels'!$E$7:$E$66,'Vols additionnels'!$C$7:$C$66,$E12918,'Vols additionnels'!$D$7:$D$66,$F12918,'Vols additionnels'!$B$7:$B$66,$D12918)</f>
        <v>0</v>
      </c>
      <c r="H12918" s="135" t="n">
        <f aca="false">$G12918*'Analyse capacite'!$F$8</f>
        <v>0</v>
      </c>
      <c r="I12918" s="135" t="n">
        <f aca="false">$G12918*'Analyse capacite'!$C$8</f>
        <v>0</v>
      </c>
      <c r="J12918" s="135" t="n">
        <f aca="false">$G12918*'Analyse capacite'!$D$8</f>
        <v>0</v>
      </c>
      <c r="K12918" s="135" t="n">
        <f aca="false">$G12918*'Analyse capacite'!$E$8</f>
        <v>0</v>
      </c>
    </row>
    <row r="12919" customFormat="false" ht="15" hidden="false" customHeight="false" outlineLevel="0" collapsed="false">
      <c r="B12919" s="130" t="n">
        <v>2028</v>
      </c>
      <c r="C12919" s="131" t="s">
        <v>257</v>
      </c>
      <c r="D12919" s="132" t="n">
        <v>46836</v>
      </c>
      <c r="E12919" s="131" t="s">
        <v>53</v>
      </c>
      <c r="F12919" s="133" t="s">
        <v>24</v>
      </c>
      <c r="G12919" s="134" t="n">
        <f aca="false">LEN('Saisie programme'!$H$468)+SUMIFS('Vols additionnels'!$E$7:$E$66,'Vols additionnels'!$C$7:$C$66,$E12919,'Vols additionnels'!$D$7:$D$66,$F12919,'Vols additionnels'!$B$7:$B$66,$D12919)</f>
        <v>0</v>
      </c>
      <c r="H12919" s="135" t="n">
        <f aca="false">$G12919*'Analyse capacite'!$F$9</f>
        <v>0</v>
      </c>
      <c r="I12919" s="135" t="n">
        <f aca="false">$G12919*'Analyse capacite'!$C$9</f>
        <v>0</v>
      </c>
      <c r="J12919" s="135" t="n">
        <f aca="false">$G12919*'Analyse capacite'!$D$9</f>
        <v>0</v>
      </c>
      <c r="K12919" s="135" t="n">
        <f aca="false">$G12919*'Analyse capacite'!$E$9</f>
        <v>0</v>
      </c>
    </row>
    <row r="12920" customFormat="false" ht="15" hidden="false" customHeight="false" outlineLevel="0" collapsed="false">
      <c r="B12920" s="130" t="n">
        <v>2028</v>
      </c>
      <c r="C12920" s="131" t="s">
        <v>257</v>
      </c>
      <c r="D12920" s="132" t="n">
        <v>46836</v>
      </c>
      <c r="E12920" s="131" t="s">
        <v>56</v>
      </c>
      <c r="F12920" s="133" t="s">
        <v>11</v>
      </c>
      <c r="G12920" s="134" t="n">
        <f aca="false">LEN('Saisie programme'!$H$469)+SUMIFS('Vols additionnels'!$E$7:$E$66,'Vols additionnels'!$C$7:$C$66,$E12920,'Vols additionnels'!$D$7:$D$66,$F12920,'Vols additionnels'!$B$7:$B$66,$D12920)</f>
        <v>0</v>
      </c>
      <c r="H12920" s="135" t="n">
        <f aca="false">$G12920*'Analyse capacite'!$F$7</f>
        <v>0</v>
      </c>
      <c r="I12920" s="135" t="n">
        <f aca="false">$G12920*'Analyse capacite'!$C$7</f>
        <v>0</v>
      </c>
      <c r="J12920" s="135" t="n">
        <f aca="false">$G12920*'Analyse capacite'!$D$7</f>
        <v>0</v>
      </c>
      <c r="K12920" s="135" t="n">
        <f aca="false">$G12920*'Analyse capacite'!$E$7</f>
        <v>0</v>
      </c>
    </row>
    <row r="12921" customFormat="false" ht="15" hidden="false" customHeight="false" outlineLevel="0" collapsed="false">
      <c r="B12921" s="130" t="n">
        <v>2028</v>
      </c>
      <c r="C12921" s="131" t="s">
        <v>257</v>
      </c>
      <c r="D12921" s="132" t="n">
        <v>46836</v>
      </c>
      <c r="E12921" s="131" t="s">
        <v>56</v>
      </c>
      <c r="F12921" s="133" t="s">
        <v>19</v>
      </c>
      <c r="G12921" s="134" t="n">
        <f aca="false">LEN('Saisie programme'!$H$470)+SUMIFS('Vols additionnels'!$E$7:$E$66,'Vols additionnels'!$C$7:$C$66,$E12921,'Vols additionnels'!$D$7:$D$66,$F12921,'Vols additionnels'!$B$7:$B$66,$D12921)</f>
        <v>0</v>
      </c>
      <c r="H12921" s="135" t="n">
        <f aca="false">$G12921*'Analyse capacite'!$F$8</f>
        <v>0</v>
      </c>
      <c r="I12921" s="135" t="n">
        <f aca="false">$G12921*'Analyse capacite'!$C$8</f>
        <v>0</v>
      </c>
      <c r="J12921" s="135" t="n">
        <f aca="false">$G12921*'Analyse capacite'!$D$8</f>
        <v>0</v>
      </c>
      <c r="K12921" s="135" t="n">
        <f aca="false">$G12921*'Analyse capacite'!$E$8</f>
        <v>0</v>
      </c>
    </row>
    <row r="12922" customFormat="false" ht="15" hidden="false" customHeight="false" outlineLevel="0" collapsed="false">
      <c r="B12922" s="130" t="n">
        <v>2028</v>
      </c>
      <c r="C12922" s="131" t="s">
        <v>257</v>
      </c>
      <c r="D12922" s="132" t="n">
        <v>46836</v>
      </c>
      <c r="E12922" s="131" t="s">
        <v>56</v>
      </c>
      <c r="F12922" s="133" t="s">
        <v>24</v>
      </c>
      <c r="G12922" s="134" t="n">
        <f aca="false">LEN('Saisie programme'!$H$471)+SUMIFS('Vols additionnels'!$E$7:$E$66,'Vols additionnels'!$C$7:$C$66,$E12922,'Vols additionnels'!$D$7:$D$66,$F12922,'Vols additionnels'!$B$7:$B$66,$D12922)</f>
        <v>0</v>
      </c>
      <c r="H12922" s="135" t="n">
        <f aca="false">$G12922*'Analyse capacite'!$F$9</f>
        <v>0</v>
      </c>
      <c r="I12922" s="135" t="n">
        <f aca="false">$G12922*'Analyse capacite'!$C$9</f>
        <v>0</v>
      </c>
      <c r="J12922" s="135" t="n">
        <f aca="false">$G12922*'Analyse capacite'!$D$9</f>
        <v>0</v>
      </c>
      <c r="K12922" s="135" t="n">
        <f aca="false">$G12922*'Analyse capacite'!$E$9</f>
        <v>0</v>
      </c>
    </row>
    <row r="12923" customFormat="false" ht="15" hidden="false" customHeight="false" outlineLevel="0" collapsed="false">
      <c r="B12923" s="130" t="n">
        <v>2028</v>
      </c>
      <c r="C12923" s="131" t="s">
        <v>257</v>
      </c>
      <c r="D12923" s="132" t="n">
        <v>46836</v>
      </c>
      <c r="E12923" s="131" t="s">
        <v>59</v>
      </c>
      <c r="F12923" s="133" t="s">
        <v>11</v>
      </c>
      <c r="G12923" s="134" t="n">
        <f aca="false">LEN('Saisie programme'!$H$472)+SUMIFS('Vols additionnels'!$E$7:$E$66,'Vols additionnels'!$C$7:$C$66,$E12923,'Vols additionnels'!$D$7:$D$66,$F12923,'Vols additionnels'!$B$7:$B$66,$D12923)</f>
        <v>0</v>
      </c>
      <c r="H12923" s="135" t="n">
        <f aca="false">$G12923*'Analyse capacite'!$F$7</f>
        <v>0</v>
      </c>
      <c r="I12923" s="135" t="n">
        <f aca="false">$G12923*'Analyse capacite'!$C$7</f>
        <v>0</v>
      </c>
      <c r="J12923" s="135" t="n">
        <f aca="false">$G12923*'Analyse capacite'!$D$7</f>
        <v>0</v>
      </c>
      <c r="K12923" s="135" t="n">
        <f aca="false">$G12923*'Analyse capacite'!$E$7</f>
        <v>0</v>
      </c>
    </row>
    <row r="12924" customFormat="false" ht="15" hidden="false" customHeight="false" outlineLevel="0" collapsed="false">
      <c r="B12924" s="130" t="n">
        <v>2028</v>
      </c>
      <c r="C12924" s="131" t="s">
        <v>257</v>
      </c>
      <c r="D12924" s="132" t="n">
        <v>46836</v>
      </c>
      <c r="E12924" s="131" t="s">
        <v>59</v>
      </c>
      <c r="F12924" s="133" t="s">
        <v>19</v>
      </c>
      <c r="G12924" s="134" t="n">
        <f aca="false">LEN('Saisie programme'!$H$473)+SUMIFS('Vols additionnels'!$E$7:$E$66,'Vols additionnels'!$C$7:$C$66,$E12924,'Vols additionnels'!$D$7:$D$66,$F12924,'Vols additionnels'!$B$7:$B$66,$D12924)</f>
        <v>0</v>
      </c>
      <c r="H12924" s="135" t="n">
        <f aca="false">$G12924*'Analyse capacite'!$F$8</f>
        <v>0</v>
      </c>
      <c r="I12924" s="135" t="n">
        <f aca="false">$G12924*'Analyse capacite'!$C$8</f>
        <v>0</v>
      </c>
      <c r="J12924" s="135" t="n">
        <f aca="false">$G12924*'Analyse capacite'!$D$8</f>
        <v>0</v>
      </c>
      <c r="K12924" s="135" t="n">
        <f aca="false">$G12924*'Analyse capacite'!$E$8</f>
        <v>0</v>
      </c>
    </row>
    <row r="12925" customFormat="false" ht="15" hidden="false" customHeight="false" outlineLevel="0" collapsed="false">
      <c r="B12925" s="130" t="n">
        <v>2028</v>
      </c>
      <c r="C12925" s="131" t="s">
        <v>257</v>
      </c>
      <c r="D12925" s="132" t="n">
        <v>46836</v>
      </c>
      <c r="E12925" s="131" t="s">
        <v>59</v>
      </c>
      <c r="F12925" s="133" t="s">
        <v>24</v>
      </c>
      <c r="G12925" s="134" t="n">
        <f aca="false">LEN('Saisie programme'!$H$474)+SUMIFS('Vols additionnels'!$E$7:$E$66,'Vols additionnels'!$C$7:$C$66,$E12925,'Vols additionnels'!$D$7:$D$66,$F12925,'Vols additionnels'!$B$7:$B$66,$D12925)</f>
        <v>1</v>
      </c>
      <c r="H12925" s="135" t="n">
        <f aca="false">$G12925*'Analyse capacite'!$F$9</f>
        <v>174</v>
      </c>
      <c r="I12925" s="135" t="n">
        <f aca="false">$G12925*'Analyse capacite'!$C$9</f>
        <v>0</v>
      </c>
      <c r="J12925" s="135" t="n">
        <f aca="false">$G12925*'Analyse capacite'!$D$9</f>
        <v>12</v>
      </c>
      <c r="K12925" s="135" t="n">
        <f aca="false">$G12925*'Analyse capacite'!$E$9</f>
        <v>162</v>
      </c>
    </row>
    <row r="12926" customFormat="false" ht="15" hidden="false" customHeight="false" outlineLevel="0" collapsed="false">
      <c r="B12926" s="130" t="n">
        <v>2028</v>
      </c>
      <c r="C12926" s="131" t="s">
        <v>257</v>
      </c>
      <c r="D12926" s="132" t="n">
        <v>46836</v>
      </c>
      <c r="E12926" s="131" t="s">
        <v>62</v>
      </c>
      <c r="F12926" s="133" t="s">
        <v>11</v>
      </c>
      <c r="G12926" s="134" t="n">
        <f aca="false">LEN('Saisie programme'!$H$475)+SUMIFS('Vols additionnels'!$E$7:$E$66,'Vols additionnels'!$C$7:$C$66,$E12926,'Vols additionnels'!$D$7:$D$66,$F12926,'Vols additionnels'!$B$7:$B$66,$D12926)</f>
        <v>0</v>
      </c>
      <c r="H12926" s="135" t="n">
        <f aca="false">$G12926*'Analyse capacite'!$F$7</f>
        <v>0</v>
      </c>
      <c r="I12926" s="135" t="n">
        <f aca="false">$G12926*'Analyse capacite'!$C$7</f>
        <v>0</v>
      </c>
      <c r="J12926" s="135" t="n">
        <f aca="false">$G12926*'Analyse capacite'!$D$7</f>
        <v>0</v>
      </c>
      <c r="K12926" s="135" t="n">
        <f aca="false">$G12926*'Analyse capacite'!$E$7</f>
        <v>0</v>
      </c>
    </row>
    <row r="12927" customFormat="false" ht="15" hidden="false" customHeight="false" outlineLevel="0" collapsed="false">
      <c r="B12927" s="130" t="n">
        <v>2028</v>
      </c>
      <c r="C12927" s="131" t="s">
        <v>257</v>
      </c>
      <c r="D12927" s="132" t="n">
        <v>46836</v>
      </c>
      <c r="E12927" s="131" t="s">
        <v>62</v>
      </c>
      <c r="F12927" s="133" t="s">
        <v>19</v>
      </c>
      <c r="G12927" s="134" t="n">
        <f aca="false">LEN('Saisie programme'!$H$476)+SUMIFS('Vols additionnels'!$E$7:$E$66,'Vols additionnels'!$C$7:$C$66,$E12927,'Vols additionnels'!$D$7:$D$66,$F12927,'Vols additionnels'!$B$7:$B$66,$D12927)</f>
        <v>0</v>
      </c>
      <c r="H12927" s="135" t="n">
        <f aca="false">$G12927*'Analyse capacite'!$F$8</f>
        <v>0</v>
      </c>
      <c r="I12927" s="135" t="n">
        <f aca="false">$G12927*'Analyse capacite'!$C$8</f>
        <v>0</v>
      </c>
      <c r="J12927" s="135" t="n">
        <f aca="false">$G12927*'Analyse capacite'!$D$8</f>
        <v>0</v>
      </c>
      <c r="K12927" s="135" t="n">
        <f aca="false">$G12927*'Analyse capacite'!$E$8</f>
        <v>0</v>
      </c>
    </row>
    <row r="12928" customFormat="false" ht="15" hidden="false" customHeight="false" outlineLevel="0" collapsed="false">
      <c r="B12928" s="130" t="n">
        <v>2028</v>
      </c>
      <c r="C12928" s="131" t="s">
        <v>257</v>
      </c>
      <c r="D12928" s="132" t="n">
        <v>46836</v>
      </c>
      <c r="E12928" s="131" t="s">
        <v>62</v>
      </c>
      <c r="F12928" s="133" t="s">
        <v>24</v>
      </c>
      <c r="G12928" s="134" t="n">
        <f aca="false">LEN('Saisie programme'!$H$477)+SUMIFS('Vols additionnels'!$E$7:$E$66,'Vols additionnels'!$C$7:$C$66,$E12928,'Vols additionnels'!$D$7:$D$66,$F12928,'Vols additionnels'!$B$7:$B$66,$D12928)</f>
        <v>0</v>
      </c>
      <c r="H12928" s="135" t="n">
        <f aca="false">$G12928*'Analyse capacite'!$F$9</f>
        <v>0</v>
      </c>
      <c r="I12928" s="135" t="n">
        <f aca="false">$G12928*'Analyse capacite'!$C$9</f>
        <v>0</v>
      </c>
      <c r="J12928" s="135" t="n">
        <f aca="false">$G12928*'Analyse capacite'!$D$9</f>
        <v>0</v>
      </c>
      <c r="K12928" s="135" t="n">
        <f aca="false">$G12928*'Analyse capacite'!$E$9</f>
        <v>0</v>
      </c>
    </row>
    <row r="12929" customFormat="false" ht="15" hidden="false" customHeight="false" outlineLevel="0" collapsed="false">
      <c r="B12929" s="130" t="n">
        <v>2028</v>
      </c>
      <c r="C12929" s="131" t="s">
        <v>257</v>
      </c>
      <c r="D12929" s="132" t="n">
        <v>46837</v>
      </c>
      <c r="E12929" s="131" t="s">
        <v>12</v>
      </c>
      <c r="F12929" s="133" t="s">
        <v>11</v>
      </c>
      <c r="G12929" s="134" t="n">
        <f aca="false">LEN('Saisie programme'!$I$442)+SUMIFS('Vols additionnels'!$E$7:$E$66,'Vols additionnels'!$C$7:$C$66,$E12929,'Vols additionnels'!$D$7:$D$66,$F12929,'Vols additionnels'!$B$7:$B$66,$D12929)</f>
        <v>1</v>
      </c>
      <c r="H12929" s="135" t="n">
        <f aca="false">$G12929*'Analyse capacite'!$F$7</f>
        <v>438</v>
      </c>
      <c r="I12929" s="135" t="n">
        <f aca="false">$G12929*'Analyse capacite'!$C$7</f>
        <v>14</v>
      </c>
      <c r="J12929" s="135" t="n">
        <f aca="false">$G12929*'Analyse capacite'!$D$7</f>
        <v>40</v>
      </c>
      <c r="K12929" s="135" t="n">
        <f aca="false">$G12929*'Analyse capacite'!$E$7</f>
        <v>384</v>
      </c>
    </row>
    <row r="12930" customFormat="false" ht="15" hidden="false" customHeight="false" outlineLevel="0" collapsed="false">
      <c r="B12930" s="130" t="n">
        <v>2028</v>
      </c>
      <c r="C12930" s="131" t="s">
        <v>257</v>
      </c>
      <c r="D12930" s="132" t="n">
        <v>46837</v>
      </c>
      <c r="E12930" s="131" t="s">
        <v>12</v>
      </c>
      <c r="F12930" s="133" t="s">
        <v>19</v>
      </c>
      <c r="G12930" s="134" t="n">
        <f aca="false">LEN('Saisie programme'!$I$443)+SUMIFS('Vols additionnels'!$E$7:$E$66,'Vols additionnels'!$C$7:$C$66,$E12930,'Vols additionnels'!$D$7:$D$66,$F12930,'Vols additionnels'!$B$7:$B$66,$D12930)</f>
        <v>0</v>
      </c>
      <c r="H12930" s="135" t="n">
        <f aca="false">$G12930*'Analyse capacite'!$F$8</f>
        <v>0</v>
      </c>
      <c r="I12930" s="135" t="n">
        <f aca="false">$G12930*'Analyse capacite'!$C$8</f>
        <v>0</v>
      </c>
      <c r="J12930" s="135" t="n">
        <f aca="false">$G12930*'Analyse capacite'!$D$8</f>
        <v>0</v>
      </c>
      <c r="K12930" s="135" t="n">
        <f aca="false">$G12930*'Analyse capacite'!$E$8</f>
        <v>0</v>
      </c>
    </row>
    <row r="12931" customFormat="false" ht="15" hidden="false" customHeight="false" outlineLevel="0" collapsed="false">
      <c r="B12931" s="130" t="n">
        <v>2028</v>
      </c>
      <c r="C12931" s="131" t="s">
        <v>257</v>
      </c>
      <c r="D12931" s="132" t="n">
        <v>46837</v>
      </c>
      <c r="E12931" s="131" t="s">
        <v>12</v>
      </c>
      <c r="F12931" s="133" t="s">
        <v>24</v>
      </c>
      <c r="G12931" s="134" t="n">
        <f aca="false">LEN('Saisie programme'!$I$444)+SUMIFS('Vols additionnels'!$E$7:$E$66,'Vols additionnels'!$C$7:$C$66,$E12931,'Vols additionnels'!$D$7:$D$66,$F12931,'Vols additionnels'!$B$7:$B$66,$D12931)</f>
        <v>0</v>
      </c>
      <c r="H12931" s="135" t="n">
        <f aca="false">$G12931*'Analyse capacite'!$F$9</f>
        <v>0</v>
      </c>
      <c r="I12931" s="135" t="n">
        <f aca="false">$G12931*'Analyse capacite'!$C$9</f>
        <v>0</v>
      </c>
      <c r="J12931" s="135" t="n">
        <f aca="false">$G12931*'Analyse capacite'!$D$9</f>
        <v>0</v>
      </c>
      <c r="K12931" s="135" t="n">
        <f aca="false">$G12931*'Analyse capacite'!$E$9</f>
        <v>0</v>
      </c>
    </row>
    <row r="12932" customFormat="false" ht="15" hidden="false" customHeight="false" outlineLevel="0" collapsed="false">
      <c r="B12932" s="130" t="n">
        <v>2028</v>
      </c>
      <c r="C12932" s="131" t="s">
        <v>257</v>
      </c>
      <c r="D12932" s="132" t="n">
        <v>46837</v>
      </c>
      <c r="E12932" s="131" t="s">
        <v>20</v>
      </c>
      <c r="F12932" s="133" t="s">
        <v>11</v>
      </c>
      <c r="G12932" s="134" t="n">
        <f aca="false">LEN('Saisie programme'!$I$445)+SUMIFS('Vols additionnels'!$E$7:$E$66,'Vols additionnels'!$C$7:$C$66,$E12932,'Vols additionnels'!$D$7:$D$66,$F12932,'Vols additionnels'!$B$7:$B$66,$D12932)</f>
        <v>0</v>
      </c>
      <c r="H12932" s="135" t="n">
        <f aca="false">$G12932*'Analyse capacite'!$F$7</f>
        <v>0</v>
      </c>
      <c r="I12932" s="135" t="n">
        <f aca="false">$G12932*'Analyse capacite'!$C$7</f>
        <v>0</v>
      </c>
      <c r="J12932" s="135" t="n">
        <f aca="false">$G12932*'Analyse capacite'!$D$7</f>
        <v>0</v>
      </c>
      <c r="K12932" s="135" t="n">
        <f aca="false">$G12932*'Analyse capacite'!$E$7</f>
        <v>0</v>
      </c>
    </row>
    <row r="12933" customFormat="false" ht="15" hidden="false" customHeight="false" outlineLevel="0" collapsed="false">
      <c r="B12933" s="130" t="n">
        <v>2028</v>
      </c>
      <c r="C12933" s="131" t="s">
        <v>257</v>
      </c>
      <c r="D12933" s="132" t="n">
        <v>46837</v>
      </c>
      <c r="E12933" s="131" t="s">
        <v>20</v>
      </c>
      <c r="F12933" s="133" t="s">
        <v>19</v>
      </c>
      <c r="G12933" s="134" t="n">
        <f aca="false">LEN('Saisie programme'!$I$446)+SUMIFS('Vols additionnels'!$E$7:$E$66,'Vols additionnels'!$C$7:$C$66,$E12933,'Vols additionnels'!$D$7:$D$66,$F12933,'Vols additionnels'!$B$7:$B$66,$D12933)</f>
        <v>0</v>
      </c>
      <c r="H12933" s="135" t="n">
        <f aca="false">$G12933*'Analyse capacite'!$F$8</f>
        <v>0</v>
      </c>
      <c r="I12933" s="135" t="n">
        <f aca="false">$G12933*'Analyse capacite'!$C$8</f>
        <v>0</v>
      </c>
      <c r="J12933" s="135" t="n">
        <f aca="false">$G12933*'Analyse capacite'!$D$8</f>
        <v>0</v>
      </c>
      <c r="K12933" s="135" t="n">
        <f aca="false">$G12933*'Analyse capacite'!$E$8</f>
        <v>0</v>
      </c>
    </row>
    <row r="12934" customFormat="false" ht="15" hidden="false" customHeight="false" outlineLevel="0" collapsed="false">
      <c r="B12934" s="130" t="n">
        <v>2028</v>
      </c>
      <c r="C12934" s="131" t="s">
        <v>257</v>
      </c>
      <c r="D12934" s="132" t="n">
        <v>46837</v>
      </c>
      <c r="E12934" s="131" t="s">
        <v>20</v>
      </c>
      <c r="F12934" s="133" t="s">
        <v>24</v>
      </c>
      <c r="G12934" s="134" t="n">
        <f aca="false">LEN('Saisie programme'!$I$447)+SUMIFS('Vols additionnels'!$E$7:$E$66,'Vols additionnels'!$C$7:$C$66,$E12934,'Vols additionnels'!$D$7:$D$66,$F12934,'Vols additionnels'!$B$7:$B$66,$D12934)</f>
        <v>0</v>
      </c>
      <c r="H12934" s="135" t="n">
        <f aca="false">$G12934*'Analyse capacite'!$F$9</f>
        <v>0</v>
      </c>
      <c r="I12934" s="135" t="n">
        <f aca="false">$G12934*'Analyse capacite'!$C$9</f>
        <v>0</v>
      </c>
      <c r="J12934" s="135" t="n">
        <f aca="false">$G12934*'Analyse capacite'!$D$9</f>
        <v>0</v>
      </c>
      <c r="K12934" s="135" t="n">
        <f aca="false">$G12934*'Analyse capacite'!$E$9</f>
        <v>0</v>
      </c>
    </row>
    <row r="12935" customFormat="false" ht="15" hidden="false" customHeight="false" outlineLevel="0" collapsed="false">
      <c r="B12935" s="130" t="n">
        <v>2028</v>
      </c>
      <c r="C12935" s="131" t="s">
        <v>257</v>
      </c>
      <c r="D12935" s="132" t="n">
        <v>46837</v>
      </c>
      <c r="E12935" s="131" t="s">
        <v>25</v>
      </c>
      <c r="F12935" s="133" t="s">
        <v>11</v>
      </c>
      <c r="G12935" s="134" t="n">
        <f aca="false">LEN('Saisie programme'!$I$448)+SUMIFS('Vols additionnels'!$E$7:$E$66,'Vols additionnels'!$C$7:$C$66,$E12935,'Vols additionnels'!$D$7:$D$66,$F12935,'Vols additionnels'!$B$7:$B$66,$D12935)</f>
        <v>0</v>
      </c>
      <c r="H12935" s="135" t="n">
        <f aca="false">$G12935*'Analyse capacite'!$F$7</f>
        <v>0</v>
      </c>
      <c r="I12935" s="135" t="n">
        <f aca="false">$G12935*'Analyse capacite'!$C$7</f>
        <v>0</v>
      </c>
      <c r="J12935" s="135" t="n">
        <f aca="false">$G12935*'Analyse capacite'!$D$7</f>
        <v>0</v>
      </c>
      <c r="K12935" s="135" t="n">
        <f aca="false">$G12935*'Analyse capacite'!$E$7</f>
        <v>0</v>
      </c>
    </row>
    <row r="12936" customFormat="false" ht="15" hidden="false" customHeight="false" outlineLevel="0" collapsed="false">
      <c r="B12936" s="130" t="n">
        <v>2028</v>
      </c>
      <c r="C12936" s="131" t="s">
        <v>257</v>
      </c>
      <c r="D12936" s="132" t="n">
        <v>46837</v>
      </c>
      <c r="E12936" s="131" t="s">
        <v>25</v>
      </c>
      <c r="F12936" s="133" t="s">
        <v>19</v>
      </c>
      <c r="G12936" s="134" t="n">
        <f aca="false">LEN('Saisie programme'!$I$449)+SUMIFS('Vols additionnels'!$E$7:$E$66,'Vols additionnels'!$C$7:$C$66,$E12936,'Vols additionnels'!$D$7:$D$66,$F12936,'Vols additionnels'!$B$7:$B$66,$D12936)</f>
        <v>1</v>
      </c>
      <c r="H12936" s="135" t="n">
        <f aca="false">$G12936*'Analyse capacite'!$F$8</f>
        <v>262</v>
      </c>
      <c r="I12936" s="135" t="n">
        <f aca="false">$G12936*'Analyse capacite'!$C$8</f>
        <v>18</v>
      </c>
      <c r="J12936" s="135" t="n">
        <f aca="false">$G12936*'Analyse capacite'!$D$8</f>
        <v>0</v>
      </c>
      <c r="K12936" s="135" t="n">
        <f aca="false">$G12936*'Analyse capacite'!$E$8</f>
        <v>244</v>
      </c>
    </row>
    <row r="12937" customFormat="false" ht="15" hidden="false" customHeight="false" outlineLevel="0" collapsed="false">
      <c r="B12937" s="130" t="n">
        <v>2028</v>
      </c>
      <c r="C12937" s="131" t="s">
        <v>257</v>
      </c>
      <c r="D12937" s="132" t="n">
        <v>46837</v>
      </c>
      <c r="E12937" s="131" t="s">
        <v>25</v>
      </c>
      <c r="F12937" s="133" t="s">
        <v>24</v>
      </c>
      <c r="G12937" s="134" t="n">
        <f aca="false">LEN('Saisie programme'!$I$450)+SUMIFS('Vols additionnels'!$E$7:$E$66,'Vols additionnels'!$C$7:$C$66,$E12937,'Vols additionnels'!$D$7:$D$66,$F12937,'Vols additionnels'!$B$7:$B$66,$D12937)</f>
        <v>0</v>
      </c>
      <c r="H12937" s="135" t="n">
        <f aca="false">$G12937*'Analyse capacite'!$F$9</f>
        <v>0</v>
      </c>
      <c r="I12937" s="135" t="n">
        <f aca="false">$G12937*'Analyse capacite'!$C$9</f>
        <v>0</v>
      </c>
      <c r="J12937" s="135" t="n">
        <f aca="false">$G12937*'Analyse capacite'!$D$9</f>
        <v>0</v>
      </c>
      <c r="K12937" s="135" t="n">
        <f aca="false">$G12937*'Analyse capacite'!$E$9</f>
        <v>0</v>
      </c>
    </row>
    <row r="12938" customFormat="false" ht="15" hidden="false" customHeight="false" outlineLevel="0" collapsed="false">
      <c r="B12938" s="130" t="n">
        <v>2028</v>
      </c>
      <c r="C12938" s="131" t="s">
        <v>257</v>
      </c>
      <c r="D12938" s="132" t="n">
        <v>46837</v>
      </c>
      <c r="E12938" s="131" t="s">
        <v>36</v>
      </c>
      <c r="F12938" s="133" t="s">
        <v>11</v>
      </c>
      <c r="G12938" s="134" t="n">
        <f aca="false">LEN('Saisie programme'!$I$451)+SUMIFS('Vols additionnels'!$E$7:$E$66,'Vols additionnels'!$C$7:$C$66,$E12938,'Vols additionnels'!$D$7:$D$66,$F12938,'Vols additionnels'!$B$7:$B$66,$D12938)</f>
        <v>0</v>
      </c>
      <c r="H12938" s="135" t="n">
        <f aca="false">$G12938*'Analyse capacite'!$F$7</f>
        <v>0</v>
      </c>
      <c r="I12938" s="135" t="n">
        <f aca="false">$G12938*'Analyse capacite'!$C$7</f>
        <v>0</v>
      </c>
      <c r="J12938" s="135" t="n">
        <f aca="false">$G12938*'Analyse capacite'!$D$7</f>
        <v>0</v>
      </c>
      <c r="K12938" s="135" t="n">
        <f aca="false">$G12938*'Analyse capacite'!$E$7</f>
        <v>0</v>
      </c>
    </row>
    <row r="12939" customFormat="false" ht="15" hidden="false" customHeight="false" outlineLevel="0" collapsed="false">
      <c r="B12939" s="130" t="n">
        <v>2028</v>
      </c>
      <c r="C12939" s="131" t="s">
        <v>257</v>
      </c>
      <c r="D12939" s="132" t="n">
        <v>46837</v>
      </c>
      <c r="E12939" s="131" t="s">
        <v>36</v>
      </c>
      <c r="F12939" s="133" t="s">
        <v>19</v>
      </c>
      <c r="G12939" s="134" t="n">
        <f aca="false">LEN('Saisie programme'!$I$452)+SUMIFS('Vols additionnels'!$E$7:$E$66,'Vols additionnels'!$C$7:$C$66,$E12939,'Vols additionnels'!$D$7:$D$66,$F12939,'Vols additionnels'!$B$7:$B$66,$D12939)</f>
        <v>0</v>
      </c>
      <c r="H12939" s="135" t="n">
        <f aca="false">$G12939*'Analyse capacite'!$F$8</f>
        <v>0</v>
      </c>
      <c r="I12939" s="135" t="n">
        <f aca="false">$G12939*'Analyse capacite'!$C$8</f>
        <v>0</v>
      </c>
      <c r="J12939" s="135" t="n">
        <f aca="false">$G12939*'Analyse capacite'!$D$8</f>
        <v>0</v>
      </c>
      <c r="K12939" s="135" t="n">
        <f aca="false">$G12939*'Analyse capacite'!$E$8</f>
        <v>0</v>
      </c>
    </row>
    <row r="12940" customFormat="false" ht="15" hidden="false" customHeight="false" outlineLevel="0" collapsed="false">
      <c r="B12940" s="130" t="n">
        <v>2028</v>
      </c>
      <c r="C12940" s="131" t="s">
        <v>257</v>
      </c>
      <c r="D12940" s="132" t="n">
        <v>46837</v>
      </c>
      <c r="E12940" s="131" t="s">
        <v>36</v>
      </c>
      <c r="F12940" s="133" t="s">
        <v>24</v>
      </c>
      <c r="G12940" s="134" t="n">
        <f aca="false">LEN('Saisie programme'!$I$453)+SUMIFS('Vols additionnels'!$E$7:$E$66,'Vols additionnels'!$C$7:$C$66,$E12940,'Vols additionnels'!$D$7:$D$66,$F12940,'Vols additionnels'!$B$7:$B$66,$D12940)</f>
        <v>0</v>
      </c>
      <c r="H12940" s="135" t="n">
        <f aca="false">$G12940*'Analyse capacite'!$F$9</f>
        <v>0</v>
      </c>
      <c r="I12940" s="135" t="n">
        <f aca="false">$G12940*'Analyse capacite'!$C$9</f>
        <v>0</v>
      </c>
      <c r="J12940" s="135" t="n">
        <f aca="false">$G12940*'Analyse capacite'!$D$9</f>
        <v>0</v>
      </c>
      <c r="K12940" s="135" t="n">
        <f aca="false">$G12940*'Analyse capacite'!$E$9</f>
        <v>0</v>
      </c>
    </row>
    <row r="12941" customFormat="false" ht="15" hidden="false" customHeight="false" outlineLevel="0" collapsed="false">
      <c r="B12941" s="130" t="n">
        <v>2028</v>
      </c>
      <c r="C12941" s="131" t="s">
        <v>257</v>
      </c>
      <c r="D12941" s="132" t="n">
        <v>46837</v>
      </c>
      <c r="E12941" s="131" t="s">
        <v>40</v>
      </c>
      <c r="F12941" s="133" t="s">
        <v>11</v>
      </c>
      <c r="G12941" s="134" t="n">
        <f aca="false">LEN('Saisie programme'!$I$454)+SUMIFS('Vols additionnels'!$E$7:$E$66,'Vols additionnels'!$C$7:$C$66,$E12941,'Vols additionnels'!$D$7:$D$66,$F12941,'Vols additionnels'!$B$7:$B$66,$D12941)</f>
        <v>0</v>
      </c>
      <c r="H12941" s="135" t="n">
        <f aca="false">$G12941*'Analyse capacite'!$F$7</f>
        <v>0</v>
      </c>
      <c r="I12941" s="135" t="n">
        <f aca="false">$G12941*'Analyse capacite'!$C$7</f>
        <v>0</v>
      </c>
      <c r="J12941" s="135" t="n">
        <f aca="false">$G12941*'Analyse capacite'!$D$7</f>
        <v>0</v>
      </c>
      <c r="K12941" s="135" t="n">
        <f aca="false">$G12941*'Analyse capacite'!$E$7</f>
        <v>0</v>
      </c>
    </row>
    <row r="12942" customFormat="false" ht="15" hidden="false" customHeight="false" outlineLevel="0" collapsed="false">
      <c r="B12942" s="130" t="n">
        <v>2028</v>
      </c>
      <c r="C12942" s="131" t="s">
        <v>257</v>
      </c>
      <c r="D12942" s="132" t="n">
        <v>46837</v>
      </c>
      <c r="E12942" s="131" t="s">
        <v>40</v>
      </c>
      <c r="F12942" s="133" t="s">
        <v>19</v>
      </c>
      <c r="G12942" s="134" t="n">
        <f aca="false">LEN('Saisie programme'!$I$455)+SUMIFS('Vols additionnels'!$E$7:$E$66,'Vols additionnels'!$C$7:$C$66,$E12942,'Vols additionnels'!$D$7:$D$66,$F12942,'Vols additionnels'!$B$7:$B$66,$D12942)</f>
        <v>0</v>
      </c>
      <c r="H12942" s="135" t="n">
        <f aca="false">$G12942*'Analyse capacite'!$F$8</f>
        <v>0</v>
      </c>
      <c r="I12942" s="135" t="n">
        <f aca="false">$G12942*'Analyse capacite'!$C$8</f>
        <v>0</v>
      </c>
      <c r="J12942" s="135" t="n">
        <f aca="false">$G12942*'Analyse capacite'!$D$8</f>
        <v>0</v>
      </c>
      <c r="K12942" s="135" t="n">
        <f aca="false">$G12942*'Analyse capacite'!$E$8</f>
        <v>0</v>
      </c>
    </row>
    <row r="12943" customFormat="false" ht="15" hidden="false" customHeight="false" outlineLevel="0" collapsed="false">
      <c r="B12943" s="130" t="n">
        <v>2028</v>
      </c>
      <c r="C12943" s="131" t="s">
        <v>257</v>
      </c>
      <c r="D12943" s="132" t="n">
        <v>46837</v>
      </c>
      <c r="E12943" s="131" t="s">
        <v>40</v>
      </c>
      <c r="F12943" s="133" t="s">
        <v>24</v>
      </c>
      <c r="G12943" s="134" t="n">
        <f aca="false">LEN('Saisie programme'!$I$456)+SUMIFS('Vols additionnels'!$E$7:$E$66,'Vols additionnels'!$C$7:$C$66,$E12943,'Vols additionnels'!$D$7:$D$66,$F12943,'Vols additionnels'!$B$7:$B$66,$D12943)</f>
        <v>0</v>
      </c>
      <c r="H12943" s="135" t="n">
        <f aca="false">$G12943*'Analyse capacite'!$F$9</f>
        <v>0</v>
      </c>
      <c r="I12943" s="135" t="n">
        <f aca="false">$G12943*'Analyse capacite'!$C$9</f>
        <v>0</v>
      </c>
      <c r="J12943" s="135" t="n">
        <f aca="false">$G12943*'Analyse capacite'!$D$9</f>
        <v>0</v>
      </c>
      <c r="K12943" s="135" t="n">
        <f aca="false">$G12943*'Analyse capacite'!$E$9</f>
        <v>0</v>
      </c>
    </row>
    <row r="12944" customFormat="false" ht="15" hidden="false" customHeight="false" outlineLevel="0" collapsed="false">
      <c r="B12944" s="130" t="n">
        <v>2028</v>
      </c>
      <c r="C12944" s="131" t="s">
        <v>257</v>
      </c>
      <c r="D12944" s="132" t="n">
        <v>46837</v>
      </c>
      <c r="E12944" s="131" t="s">
        <v>14</v>
      </c>
      <c r="F12944" s="133" t="s">
        <v>11</v>
      </c>
      <c r="G12944" s="134" t="n">
        <f aca="false">LEN('Saisie programme'!$I$457)+SUMIFS('Vols additionnels'!$E$7:$E$66,'Vols additionnels'!$C$7:$C$66,$E12944,'Vols additionnels'!$D$7:$D$66,$F12944,'Vols additionnels'!$B$7:$B$66,$D12944)</f>
        <v>0</v>
      </c>
      <c r="H12944" s="135" t="n">
        <f aca="false">$G12944*'Analyse capacite'!$F$7</f>
        <v>0</v>
      </c>
      <c r="I12944" s="135" t="n">
        <f aca="false">$G12944*'Analyse capacite'!$C$7</f>
        <v>0</v>
      </c>
      <c r="J12944" s="135" t="n">
        <f aca="false">$G12944*'Analyse capacite'!$D$7</f>
        <v>0</v>
      </c>
      <c r="K12944" s="135" t="n">
        <f aca="false">$G12944*'Analyse capacite'!$E$7</f>
        <v>0</v>
      </c>
    </row>
    <row r="12945" customFormat="false" ht="15" hidden="false" customHeight="false" outlineLevel="0" collapsed="false">
      <c r="B12945" s="130" t="n">
        <v>2028</v>
      </c>
      <c r="C12945" s="131" t="s">
        <v>257</v>
      </c>
      <c r="D12945" s="132" t="n">
        <v>46837</v>
      </c>
      <c r="E12945" s="131" t="s">
        <v>14</v>
      </c>
      <c r="F12945" s="133" t="s">
        <v>19</v>
      </c>
      <c r="G12945" s="134" t="n">
        <f aca="false">LEN('Saisie programme'!$I$458)+SUMIFS('Vols additionnels'!$E$7:$E$66,'Vols additionnels'!$C$7:$C$66,$E12945,'Vols additionnels'!$D$7:$D$66,$F12945,'Vols additionnels'!$B$7:$B$66,$D12945)</f>
        <v>0</v>
      </c>
      <c r="H12945" s="135" t="n">
        <f aca="false">$G12945*'Analyse capacite'!$F$8</f>
        <v>0</v>
      </c>
      <c r="I12945" s="135" t="n">
        <f aca="false">$G12945*'Analyse capacite'!$C$8</f>
        <v>0</v>
      </c>
      <c r="J12945" s="135" t="n">
        <f aca="false">$G12945*'Analyse capacite'!$D$8</f>
        <v>0</v>
      </c>
      <c r="K12945" s="135" t="n">
        <f aca="false">$G12945*'Analyse capacite'!$E$8</f>
        <v>0</v>
      </c>
    </row>
    <row r="12946" customFormat="false" ht="15" hidden="false" customHeight="false" outlineLevel="0" collapsed="false">
      <c r="B12946" s="130" t="n">
        <v>2028</v>
      </c>
      <c r="C12946" s="131" t="s">
        <v>257</v>
      </c>
      <c r="D12946" s="132" t="n">
        <v>46837</v>
      </c>
      <c r="E12946" s="131" t="s">
        <v>14</v>
      </c>
      <c r="F12946" s="133" t="s">
        <v>24</v>
      </c>
      <c r="G12946" s="134" t="n">
        <f aca="false">LEN('Saisie programme'!$I$459)+SUMIFS('Vols additionnels'!$E$7:$E$66,'Vols additionnels'!$C$7:$C$66,$E12946,'Vols additionnels'!$D$7:$D$66,$F12946,'Vols additionnels'!$B$7:$B$66,$D12946)</f>
        <v>1</v>
      </c>
      <c r="H12946" s="135" t="n">
        <f aca="false">$G12946*'Analyse capacite'!$F$9</f>
        <v>174</v>
      </c>
      <c r="I12946" s="135" t="n">
        <f aca="false">$G12946*'Analyse capacite'!$C$9</f>
        <v>0</v>
      </c>
      <c r="J12946" s="135" t="n">
        <f aca="false">$G12946*'Analyse capacite'!$D$9</f>
        <v>12</v>
      </c>
      <c r="K12946" s="135" t="n">
        <f aca="false">$G12946*'Analyse capacite'!$E$9</f>
        <v>162</v>
      </c>
    </row>
    <row r="12947" customFormat="false" ht="15" hidden="false" customHeight="false" outlineLevel="0" collapsed="false">
      <c r="B12947" s="130" t="n">
        <v>2028</v>
      </c>
      <c r="C12947" s="131" t="s">
        <v>257</v>
      </c>
      <c r="D12947" s="132" t="n">
        <v>46837</v>
      </c>
      <c r="E12947" s="131" t="s">
        <v>46</v>
      </c>
      <c r="F12947" s="133" t="s">
        <v>11</v>
      </c>
      <c r="G12947" s="134" t="n">
        <f aca="false">LEN('Saisie programme'!$I$460)+SUMIFS('Vols additionnels'!$E$7:$E$66,'Vols additionnels'!$C$7:$C$66,$E12947,'Vols additionnels'!$D$7:$D$66,$F12947,'Vols additionnels'!$B$7:$B$66,$D12947)</f>
        <v>0</v>
      </c>
      <c r="H12947" s="135" t="n">
        <f aca="false">$G12947*'Analyse capacite'!$F$7</f>
        <v>0</v>
      </c>
      <c r="I12947" s="135" t="n">
        <f aca="false">$G12947*'Analyse capacite'!$C$7</f>
        <v>0</v>
      </c>
      <c r="J12947" s="135" t="n">
        <f aca="false">$G12947*'Analyse capacite'!$D$7</f>
        <v>0</v>
      </c>
      <c r="K12947" s="135" t="n">
        <f aca="false">$G12947*'Analyse capacite'!$E$7</f>
        <v>0</v>
      </c>
    </row>
    <row r="12948" customFormat="false" ht="15" hidden="false" customHeight="false" outlineLevel="0" collapsed="false">
      <c r="B12948" s="130" t="n">
        <v>2028</v>
      </c>
      <c r="C12948" s="131" t="s">
        <v>257</v>
      </c>
      <c r="D12948" s="132" t="n">
        <v>46837</v>
      </c>
      <c r="E12948" s="131" t="s">
        <v>46</v>
      </c>
      <c r="F12948" s="133" t="s">
        <v>19</v>
      </c>
      <c r="G12948" s="134" t="n">
        <f aca="false">LEN('Saisie programme'!$I$461)+SUMIFS('Vols additionnels'!$E$7:$E$66,'Vols additionnels'!$C$7:$C$66,$E12948,'Vols additionnels'!$D$7:$D$66,$F12948,'Vols additionnels'!$B$7:$B$66,$D12948)</f>
        <v>0</v>
      </c>
      <c r="H12948" s="135" t="n">
        <f aca="false">$G12948*'Analyse capacite'!$F$8</f>
        <v>0</v>
      </c>
      <c r="I12948" s="135" t="n">
        <f aca="false">$G12948*'Analyse capacite'!$C$8</f>
        <v>0</v>
      </c>
      <c r="J12948" s="135" t="n">
        <f aca="false">$G12948*'Analyse capacite'!$D$8</f>
        <v>0</v>
      </c>
      <c r="K12948" s="135" t="n">
        <f aca="false">$G12948*'Analyse capacite'!$E$8</f>
        <v>0</v>
      </c>
    </row>
    <row r="12949" customFormat="false" ht="15" hidden="false" customHeight="false" outlineLevel="0" collapsed="false">
      <c r="B12949" s="130" t="n">
        <v>2028</v>
      </c>
      <c r="C12949" s="131" t="s">
        <v>257</v>
      </c>
      <c r="D12949" s="132" t="n">
        <v>46837</v>
      </c>
      <c r="E12949" s="131" t="s">
        <v>46</v>
      </c>
      <c r="F12949" s="133" t="s">
        <v>24</v>
      </c>
      <c r="G12949" s="134" t="n">
        <f aca="false">LEN('Saisie programme'!$I$462)+SUMIFS('Vols additionnels'!$E$7:$E$66,'Vols additionnels'!$C$7:$C$66,$E12949,'Vols additionnels'!$D$7:$D$66,$F12949,'Vols additionnels'!$B$7:$B$66,$D12949)</f>
        <v>1</v>
      </c>
      <c r="H12949" s="135" t="n">
        <f aca="false">$G12949*'Analyse capacite'!$F$9</f>
        <v>174</v>
      </c>
      <c r="I12949" s="135" t="n">
        <f aca="false">$G12949*'Analyse capacite'!$C$9</f>
        <v>0</v>
      </c>
      <c r="J12949" s="135" t="n">
        <f aca="false">$G12949*'Analyse capacite'!$D$9</f>
        <v>12</v>
      </c>
      <c r="K12949" s="135" t="n">
        <f aca="false">$G12949*'Analyse capacite'!$E$9</f>
        <v>162</v>
      </c>
    </row>
    <row r="12950" customFormat="false" ht="15" hidden="false" customHeight="false" outlineLevel="0" collapsed="false">
      <c r="B12950" s="130" t="n">
        <v>2028</v>
      </c>
      <c r="C12950" s="131" t="s">
        <v>257</v>
      </c>
      <c r="D12950" s="132" t="n">
        <v>46837</v>
      </c>
      <c r="E12950" s="131" t="s">
        <v>49</v>
      </c>
      <c r="F12950" s="133" t="s">
        <v>11</v>
      </c>
      <c r="G12950" s="134" t="n">
        <f aca="false">LEN('Saisie programme'!$I$463)+SUMIFS('Vols additionnels'!$E$7:$E$66,'Vols additionnels'!$C$7:$C$66,$E12950,'Vols additionnels'!$D$7:$D$66,$F12950,'Vols additionnels'!$B$7:$B$66,$D12950)</f>
        <v>0</v>
      </c>
      <c r="H12950" s="135" t="n">
        <f aca="false">$G12950*'Analyse capacite'!$F$7</f>
        <v>0</v>
      </c>
      <c r="I12950" s="135" t="n">
        <f aca="false">$G12950*'Analyse capacite'!$C$7</f>
        <v>0</v>
      </c>
      <c r="J12950" s="135" t="n">
        <f aca="false">$G12950*'Analyse capacite'!$D$7</f>
        <v>0</v>
      </c>
      <c r="K12950" s="135" t="n">
        <f aca="false">$G12950*'Analyse capacite'!$E$7</f>
        <v>0</v>
      </c>
    </row>
    <row r="12951" customFormat="false" ht="15" hidden="false" customHeight="false" outlineLevel="0" collapsed="false">
      <c r="B12951" s="130" t="n">
        <v>2028</v>
      </c>
      <c r="C12951" s="131" t="s">
        <v>257</v>
      </c>
      <c r="D12951" s="132" t="n">
        <v>46837</v>
      </c>
      <c r="E12951" s="131" t="s">
        <v>49</v>
      </c>
      <c r="F12951" s="133" t="s">
        <v>19</v>
      </c>
      <c r="G12951" s="134" t="n">
        <f aca="false">LEN('Saisie programme'!$I$464)+SUMIFS('Vols additionnels'!$E$7:$E$66,'Vols additionnels'!$C$7:$C$66,$E12951,'Vols additionnels'!$D$7:$D$66,$F12951,'Vols additionnels'!$B$7:$B$66,$D12951)</f>
        <v>0</v>
      </c>
      <c r="H12951" s="135" t="n">
        <f aca="false">$G12951*'Analyse capacite'!$F$8</f>
        <v>0</v>
      </c>
      <c r="I12951" s="135" t="n">
        <f aca="false">$G12951*'Analyse capacite'!$C$8</f>
        <v>0</v>
      </c>
      <c r="J12951" s="135" t="n">
        <f aca="false">$G12951*'Analyse capacite'!$D$8</f>
        <v>0</v>
      </c>
      <c r="K12951" s="135" t="n">
        <f aca="false">$G12951*'Analyse capacite'!$E$8</f>
        <v>0</v>
      </c>
    </row>
    <row r="12952" customFormat="false" ht="15" hidden="false" customHeight="false" outlineLevel="0" collapsed="false">
      <c r="B12952" s="130" t="n">
        <v>2028</v>
      </c>
      <c r="C12952" s="131" t="s">
        <v>257</v>
      </c>
      <c r="D12952" s="132" t="n">
        <v>46837</v>
      </c>
      <c r="E12952" s="131" t="s">
        <v>49</v>
      </c>
      <c r="F12952" s="133" t="s">
        <v>24</v>
      </c>
      <c r="G12952" s="134" t="n">
        <f aca="false">LEN('Saisie programme'!$I$465)+SUMIFS('Vols additionnels'!$E$7:$E$66,'Vols additionnels'!$C$7:$C$66,$E12952,'Vols additionnels'!$D$7:$D$66,$F12952,'Vols additionnels'!$B$7:$B$66,$D12952)</f>
        <v>0</v>
      </c>
      <c r="H12952" s="135" t="n">
        <f aca="false">$G12952*'Analyse capacite'!$F$9</f>
        <v>0</v>
      </c>
      <c r="I12952" s="135" t="n">
        <f aca="false">$G12952*'Analyse capacite'!$C$9</f>
        <v>0</v>
      </c>
      <c r="J12952" s="135" t="n">
        <f aca="false">$G12952*'Analyse capacite'!$D$9</f>
        <v>0</v>
      </c>
      <c r="K12952" s="135" t="n">
        <f aca="false">$G12952*'Analyse capacite'!$E$9</f>
        <v>0</v>
      </c>
    </row>
    <row r="12953" customFormat="false" ht="15" hidden="false" customHeight="false" outlineLevel="0" collapsed="false">
      <c r="B12953" s="130" t="n">
        <v>2028</v>
      </c>
      <c r="C12953" s="131" t="s">
        <v>257</v>
      </c>
      <c r="D12953" s="132" t="n">
        <v>46837</v>
      </c>
      <c r="E12953" s="131" t="s">
        <v>53</v>
      </c>
      <c r="F12953" s="133" t="s">
        <v>11</v>
      </c>
      <c r="G12953" s="134" t="n">
        <f aca="false">LEN('Saisie programme'!$I$466)+SUMIFS('Vols additionnels'!$E$7:$E$66,'Vols additionnels'!$C$7:$C$66,$E12953,'Vols additionnels'!$D$7:$D$66,$F12953,'Vols additionnels'!$B$7:$B$66,$D12953)</f>
        <v>0</v>
      </c>
      <c r="H12953" s="135" t="n">
        <f aca="false">$G12953*'Analyse capacite'!$F$7</f>
        <v>0</v>
      </c>
      <c r="I12953" s="135" t="n">
        <f aca="false">$G12953*'Analyse capacite'!$C$7</f>
        <v>0</v>
      </c>
      <c r="J12953" s="135" t="n">
        <f aca="false">$G12953*'Analyse capacite'!$D$7</f>
        <v>0</v>
      </c>
      <c r="K12953" s="135" t="n">
        <f aca="false">$G12953*'Analyse capacite'!$E$7</f>
        <v>0</v>
      </c>
    </row>
    <row r="12954" customFormat="false" ht="15" hidden="false" customHeight="false" outlineLevel="0" collapsed="false">
      <c r="B12954" s="130" t="n">
        <v>2028</v>
      </c>
      <c r="C12954" s="131" t="s">
        <v>257</v>
      </c>
      <c r="D12954" s="132" t="n">
        <v>46837</v>
      </c>
      <c r="E12954" s="131" t="s">
        <v>53</v>
      </c>
      <c r="F12954" s="133" t="s">
        <v>19</v>
      </c>
      <c r="G12954" s="134" t="n">
        <f aca="false">LEN('Saisie programme'!$I$467)+SUMIFS('Vols additionnels'!$E$7:$E$66,'Vols additionnels'!$C$7:$C$66,$E12954,'Vols additionnels'!$D$7:$D$66,$F12954,'Vols additionnels'!$B$7:$B$66,$D12954)</f>
        <v>0</v>
      </c>
      <c r="H12954" s="135" t="n">
        <f aca="false">$G12954*'Analyse capacite'!$F$8</f>
        <v>0</v>
      </c>
      <c r="I12954" s="135" t="n">
        <f aca="false">$G12954*'Analyse capacite'!$C$8</f>
        <v>0</v>
      </c>
      <c r="J12954" s="135" t="n">
        <f aca="false">$G12954*'Analyse capacite'!$D$8</f>
        <v>0</v>
      </c>
      <c r="K12954" s="135" t="n">
        <f aca="false">$G12954*'Analyse capacite'!$E$8</f>
        <v>0</v>
      </c>
    </row>
    <row r="12955" customFormat="false" ht="15" hidden="false" customHeight="false" outlineLevel="0" collapsed="false">
      <c r="B12955" s="130" t="n">
        <v>2028</v>
      </c>
      <c r="C12955" s="131" t="s">
        <v>257</v>
      </c>
      <c r="D12955" s="132" t="n">
        <v>46837</v>
      </c>
      <c r="E12955" s="131" t="s">
        <v>53</v>
      </c>
      <c r="F12955" s="133" t="s">
        <v>24</v>
      </c>
      <c r="G12955" s="134" t="n">
        <f aca="false">LEN('Saisie programme'!$I$468)+SUMIFS('Vols additionnels'!$E$7:$E$66,'Vols additionnels'!$C$7:$C$66,$E12955,'Vols additionnels'!$D$7:$D$66,$F12955,'Vols additionnels'!$B$7:$B$66,$D12955)</f>
        <v>0</v>
      </c>
      <c r="H12955" s="135" t="n">
        <f aca="false">$G12955*'Analyse capacite'!$F$9</f>
        <v>0</v>
      </c>
      <c r="I12955" s="135" t="n">
        <f aca="false">$G12955*'Analyse capacite'!$C$9</f>
        <v>0</v>
      </c>
      <c r="J12955" s="135" t="n">
        <f aca="false">$G12955*'Analyse capacite'!$D$9</f>
        <v>0</v>
      </c>
      <c r="K12955" s="135" t="n">
        <f aca="false">$G12955*'Analyse capacite'!$E$9</f>
        <v>0</v>
      </c>
    </row>
    <row r="12956" customFormat="false" ht="15" hidden="false" customHeight="false" outlineLevel="0" collapsed="false">
      <c r="B12956" s="130" t="n">
        <v>2028</v>
      </c>
      <c r="C12956" s="131" t="s">
        <v>257</v>
      </c>
      <c r="D12956" s="132" t="n">
        <v>46837</v>
      </c>
      <c r="E12956" s="131" t="s">
        <v>56</v>
      </c>
      <c r="F12956" s="133" t="s">
        <v>11</v>
      </c>
      <c r="G12956" s="134" t="n">
        <f aca="false">LEN('Saisie programme'!$I$469)+SUMIFS('Vols additionnels'!$E$7:$E$66,'Vols additionnels'!$C$7:$C$66,$E12956,'Vols additionnels'!$D$7:$D$66,$F12956,'Vols additionnels'!$B$7:$B$66,$D12956)</f>
        <v>0</v>
      </c>
      <c r="H12956" s="135" t="n">
        <f aca="false">$G12956*'Analyse capacite'!$F$7</f>
        <v>0</v>
      </c>
      <c r="I12956" s="135" t="n">
        <f aca="false">$G12956*'Analyse capacite'!$C$7</f>
        <v>0</v>
      </c>
      <c r="J12956" s="135" t="n">
        <f aca="false">$G12956*'Analyse capacite'!$D$7</f>
        <v>0</v>
      </c>
      <c r="K12956" s="135" t="n">
        <f aca="false">$G12956*'Analyse capacite'!$E$7</f>
        <v>0</v>
      </c>
    </row>
    <row r="12957" customFormat="false" ht="15" hidden="false" customHeight="false" outlineLevel="0" collapsed="false">
      <c r="B12957" s="130" t="n">
        <v>2028</v>
      </c>
      <c r="C12957" s="131" t="s">
        <v>257</v>
      </c>
      <c r="D12957" s="132" t="n">
        <v>46837</v>
      </c>
      <c r="E12957" s="131" t="s">
        <v>56</v>
      </c>
      <c r="F12957" s="133" t="s">
        <v>19</v>
      </c>
      <c r="G12957" s="134" t="n">
        <f aca="false">LEN('Saisie programme'!$I$470)+SUMIFS('Vols additionnels'!$E$7:$E$66,'Vols additionnels'!$C$7:$C$66,$E12957,'Vols additionnels'!$D$7:$D$66,$F12957,'Vols additionnels'!$B$7:$B$66,$D12957)</f>
        <v>0</v>
      </c>
      <c r="H12957" s="135" t="n">
        <f aca="false">$G12957*'Analyse capacite'!$F$8</f>
        <v>0</v>
      </c>
      <c r="I12957" s="135" t="n">
        <f aca="false">$G12957*'Analyse capacite'!$C$8</f>
        <v>0</v>
      </c>
      <c r="J12957" s="135" t="n">
        <f aca="false">$G12957*'Analyse capacite'!$D$8</f>
        <v>0</v>
      </c>
      <c r="K12957" s="135" t="n">
        <f aca="false">$G12957*'Analyse capacite'!$E$8</f>
        <v>0</v>
      </c>
    </row>
    <row r="12958" customFormat="false" ht="15" hidden="false" customHeight="false" outlineLevel="0" collapsed="false">
      <c r="B12958" s="130" t="n">
        <v>2028</v>
      </c>
      <c r="C12958" s="131" t="s">
        <v>257</v>
      </c>
      <c r="D12958" s="132" t="n">
        <v>46837</v>
      </c>
      <c r="E12958" s="131" t="s">
        <v>56</v>
      </c>
      <c r="F12958" s="133" t="s">
        <v>24</v>
      </c>
      <c r="G12958" s="134" t="n">
        <f aca="false">LEN('Saisie programme'!$I$471)+SUMIFS('Vols additionnels'!$E$7:$E$66,'Vols additionnels'!$C$7:$C$66,$E12958,'Vols additionnels'!$D$7:$D$66,$F12958,'Vols additionnels'!$B$7:$B$66,$D12958)</f>
        <v>1</v>
      </c>
      <c r="H12958" s="135" t="n">
        <f aca="false">$G12958*'Analyse capacite'!$F$9</f>
        <v>174</v>
      </c>
      <c r="I12958" s="135" t="n">
        <f aca="false">$G12958*'Analyse capacite'!$C$9</f>
        <v>0</v>
      </c>
      <c r="J12958" s="135" t="n">
        <f aca="false">$G12958*'Analyse capacite'!$D$9</f>
        <v>12</v>
      </c>
      <c r="K12958" s="135" t="n">
        <f aca="false">$G12958*'Analyse capacite'!$E$9</f>
        <v>162</v>
      </c>
    </row>
    <row r="12959" customFormat="false" ht="15" hidden="false" customHeight="false" outlineLevel="0" collapsed="false">
      <c r="B12959" s="130" t="n">
        <v>2028</v>
      </c>
      <c r="C12959" s="131" t="s">
        <v>257</v>
      </c>
      <c r="D12959" s="132" t="n">
        <v>46837</v>
      </c>
      <c r="E12959" s="131" t="s">
        <v>59</v>
      </c>
      <c r="F12959" s="133" t="s">
        <v>11</v>
      </c>
      <c r="G12959" s="134" t="n">
        <f aca="false">LEN('Saisie programme'!$I$472)+SUMIFS('Vols additionnels'!$E$7:$E$66,'Vols additionnels'!$C$7:$C$66,$E12959,'Vols additionnels'!$D$7:$D$66,$F12959,'Vols additionnels'!$B$7:$B$66,$D12959)</f>
        <v>0</v>
      </c>
      <c r="H12959" s="135" t="n">
        <f aca="false">$G12959*'Analyse capacite'!$F$7</f>
        <v>0</v>
      </c>
      <c r="I12959" s="135" t="n">
        <f aca="false">$G12959*'Analyse capacite'!$C$7</f>
        <v>0</v>
      </c>
      <c r="J12959" s="135" t="n">
        <f aca="false">$G12959*'Analyse capacite'!$D$7</f>
        <v>0</v>
      </c>
      <c r="K12959" s="135" t="n">
        <f aca="false">$G12959*'Analyse capacite'!$E$7</f>
        <v>0</v>
      </c>
    </row>
    <row r="12960" customFormat="false" ht="15" hidden="false" customHeight="false" outlineLevel="0" collapsed="false">
      <c r="B12960" s="130" t="n">
        <v>2028</v>
      </c>
      <c r="C12960" s="131" t="s">
        <v>257</v>
      </c>
      <c r="D12960" s="132" t="n">
        <v>46837</v>
      </c>
      <c r="E12960" s="131" t="s">
        <v>59</v>
      </c>
      <c r="F12960" s="133" t="s">
        <v>19</v>
      </c>
      <c r="G12960" s="134" t="n">
        <f aca="false">LEN('Saisie programme'!$I$473)+SUMIFS('Vols additionnels'!$E$7:$E$66,'Vols additionnels'!$C$7:$C$66,$E12960,'Vols additionnels'!$D$7:$D$66,$F12960,'Vols additionnels'!$B$7:$B$66,$D12960)</f>
        <v>0</v>
      </c>
      <c r="H12960" s="135" t="n">
        <f aca="false">$G12960*'Analyse capacite'!$F$8</f>
        <v>0</v>
      </c>
      <c r="I12960" s="135" t="n">
        <f aca="false">$G12960*'Analyse capacite'!$C$8</f>
        <v>0</v>
      </c>
      <c r="J12960" s="135" t="n">
        <f aca="false">$G12960*'Analyse capacite'!$D$8</f>
        <v>0</v>
      </c>
      <c r="K12960" s="135" t="n">
        <f aca="false">$G12960*'Analyse capacite'!$E$8</f>
        <v>0</v>
      </c>
    </row>
    <row r="12961" customFormat="false" ht="15" hidden="false" customHeight="false" outlineLevel="0" collapsed="false">
      <c r="B12961" s="130" t="n">
        <v>2028</v>
      </c>
      <c r="C12961" s="131" t="s">
        <v>257</v>
      </c>
      <c r="D12961" s="132" t="n">
        <v>46837</v>
      </c>
      <c r="E12961" s="131" t="s">
        <v>59</v>
      </c>
      <c r="F12961" s="133" t="s">
        <v>24</v>
      </c>
      <c r="G12961" s="134" t="n">
        <f aca="false">LEN('Saisie programme'!$I$474)+SUMIFS('Vols additionnels'!$E$7:$E$66,'Vols additionnels'!$C$7:$C$66,$E12961,'Vols additionnels'!$D$7:$D$66,$F12961,'Vols additionnels'!$B$7:$B$66,$D12961)</f>
        <v>1</v>
      </c>
      <c r="H12961" s="135" t="n">
        <f aca="false">$G12961*'Analyse capacite'!$F$9</f>
        <v>174</v>
      </c>
      <c r="I12961" s="135" t="n">
        <f aca="false">$G12961*'Analyse capacite'!$C$9</f>
        <v>0</v>
      </c>
      <c r="J12961" s="135" t="n">
        <f aca="false">$G12961*'Analyse capacite'!$D$9</f>
        <v>12</v>
      </c>
      <c r="K12961" s="135" t="n">
        <f aca="false">$G12961*'Analyse capacite'!$E$9</f>
        <v>162</v>
      </c>
    </row>
    <row r="12962" customFormat="false" ht="15" hidden="false" customHeight="false" outlineLevel="0" collapsed="false">
      <c r="B12962" s="130" t="n">
        <v>2028</v>
      </c>
      <c r="C12962" s="131" t="s">
        <v>257</v>
      </c>
      <c r="D12962" s="132" t="n">
        <v>46837</v>
      </c>
      <c r="E12962" s="131" t="s">
        <v>62</v>
      </c>
      <c r="F12962" s="133" t="s">
        <v>11</v>
      </c>
      <c r="G12962" s="134" t="n">
        <f aca="false">LEN('Saisie programme'!$I$475)+SUMIFS('Vols additionnels'!$E$7:$E$66,'Vols additionnels'!$C$7:$C$66,$E12962,'Vols additionnels'!$D$7:$D$66,$F12962,'Vols additionnels'!$B$7:$B$66,$D12962)</f>
        <v>0</v>
      </c>
      <c r="H12962" s="135" t="n">
        <f aca="false">$G12962*'Analyse capacite'!$F$7</f>
        <v>0</v>
      </c>
      <c r="I12962" s="135" t="n">
        <f aca="false">$G12962*'Analyse capacite'!$C$7</f>
        <v>0</v>
      </c>
      <c r="J12962" s="135" t="n">
        <f aca="false">$G12962*'Analyse capacite'!$D$7</f>
        <v>0</v>
      </c>
      <c r="K12962" s="135" t="n">
        <f aca="false">$G12962*'Analyse capacite'!$E$7</f>
        <v>0</v>
      </c>
    </row>
    <row r="12963" customFormat="false" ht="15" hidden="false" customHeight="false" outlineLevel="0" collapsed="false">
      <c r="B12963" s="130" t="n">
        <v>2028</v>
      </c>
      <c r="C12963" s="131" t="s">
        <v>257</v>
      </c>
      <c r="D12963" s="132" t="n">
        <v>46837</v>
      </c>
      <c r="E12963" s="131" t="s">
        <v>62</v>
      </c>
      <c r="F12963" s="133" t="s">
        <v>19</v>
      </c>
      <c r="G12963" s="134" t="n">
        <f aca="false">LEN('Saisie programme'!$I$476)+SUMIFS('Vols additionnels'!$E$7:$E$66,'Vols additionnels'!$C$7:$C$66,$E12963,'Vols additionnels'!$D$7:$D$66,$F12963,'Vols additionnels'!$B$7:$B$66,$D12963)</f>
        <v>0</v>
      </c>
      <c r="H12963" s="135" t="n">
        <f aca="false">$G12963*'Analyse capacite'!$F$8</f>
        <v>0</v>
      </c>
      <c r="I12963" s="135" t="n">
        <f aca="false">$G12963*'Analyse capacite'!$C$8</f>
        <v>0</v>
      </c>
      <c r="J12963" s="135" t="n">
        <f aca="false">$G12963*'Analyse capacite'!$D$8</f>
        <v>0</v>
      </c>
      <c r="K12963" s="135" t="n">
        <f aca="false">$G12963*'Analyse capacite'!$E$8</f>
        <v>0</v>
      </c>
    </row>
    <row r="12964" customFormat="false" ht="15" hidden="false" customHeight="false" outlineLevel="0" collapsed="false">
      <c r="B12964" s="130" t="n">
        <v>2028</v>
      </c>
      <c r="C12964" s="131" t="s">
        <v>257</v>
      </c>
      <c r="D12964" s="132" t="n">
        <v>46837</v>
      </c>
      <c r="E12964" s="131" t="s">
        <v>62</v>
      </c>
      <c r="F12964" s="133" t="s">
        <v>24</v>
      </c>
      <c r="G12964" s="134" t="n">
        <f aca="false">LEN('Saisie programme'!$I$477)+SUMIFS('Vols additionnels'!$E$7:$E$66,'Vols additionnels'!$C$7:$C$66,$E12964,'Vols additionnels'!$D$7:$D$66,$F12964,'Vols additionnels'!$B$7:$B$66,$D12964)</f>
        <v>0</v>
      </c>
      <c r="H12964" s="135" t="n">
        <f aca="false">$G12964*'Analyse capacite'!$F$9</f>
        <v>0</v>
      </c>
      <c r="I12964" s="135" t="n">
        <f aca="false">$G12964*'Analyse capacite'!$C$9</f>
        <v>0</v>
      </c>
      <c r="J12964" s="135" t="n">
        <f aca="false">$G12964*'Analyse capacite'!$D$9</f>
        <v>0</v>
      </c>
      <c r="K12964" s="135" t="n">
        <f aca="false">$G12964*'Analyse capacite'!$E$9</f>
        <v>0</v>
      </c>
    </row>
    <row r="12965" customFormat="false" ht="15" hidden="false" customHeight="false" outlineLevel="0" collapsed="false">
      <c r="B12965" s="130" t="n">
        <v>2028</v>
      </c>
      <c r="C12965" s="131" t="s">
        <v>257</v>
      </c>
      <c r="D12965" s="132" t="n">
        <v>46838</v>
      </c>
      <c r="E12965" s="131" t="s">
        <v>12</v>
      </c>
      <c r="F12965" s="133" t="s">
        <v>11</v>
      </c>
      <c r="G12965" s="134" t="n">
        <f aca="false">LEN('Saisie programme'!$J$442)+SUMIFS('Vols additionnels'!$E$7:$E$66,'Vols additionnels'!$C$7:$C$66,$E12965,'Vols additionnels'!$D$7:$D$66,$F12965,'Vols additionnels'!$B$7:$B$66,$D12965)</f>
        <v>1</v>
      </c>
      <c r="H12965" s="135" t="n">
        <f aca="false">$G12965*'Analyse capacite'!$F$7</f>
        <v>438</v>
      </c>
      <c r="I12965" s="135" t="n">
        <f aca="false">$G12965*'Analyse capacite'!$C$7</f>
        <v>14</v>
      </c>
      <c r="J12965" s="135" t="n">
        <f aca="false">$G12965*'Analyse capacite'!$D$7</f>
        <v>40</v>
      </c>
      <c r="K12965" s="135" t="n">
        <f aca="false">$G12965*'Analyse capacite'!$E$7</f>
        <v>384</v>
      </c>
    </row>
    <row r="12966" customFormat="false" ht="15" hidden="false" customHeight="false" outlineLevel="0" collapsed="false">
      <c r="B12966" s="130" t="n">
        <v>2028</v>
      </c>
      <c r="C12966" s="131" t="s">
        <v>257</v>
      </c>
      <c r="D12966" s="132" t="n">
        <v>46838</v>
      </c>
      <c r="E12966" s="131" t="s">
        <v>12</v>
      </c>
      <c r="F12966" s="133" t="s">
        <v>19</v>
      </c>
      <c r="G12966" s="134" t="n">
        <f aca="false">LEN('Saisie programme'!$J$443)+SUMIFS('Vols additionnels'!$E$7:$E$66,'Vols additionnels'!$C$7:$C$66,$E12966,'Vols additionnels'!$D$7:$D$66,$F12966,'Vols additionnels'!$B$7:$B$66,$D12966)</f>
        <v>0</v>
      </c>
      <c r="H12966" s="135" t="n">
        <f aca="false">$G12966*'Analyse capacite'!$F$8</f>
        <v>0</v>
      </c>
      <c r="I12966" s="135" t="n">
        <f aca="false">$G12966*'Analyse capacite'!$C$8</f>
        <v>0</v>
      </c>
      <c r="J12966" s="135" t="n">
        <f aca="false">$G12966*'Analyse capacite'!$D$8</f>
        <v>0</v>
      </c>
      <c r="K12966" s="135" t="n">
        <f aca="false">$G12966*'Analyse capacite'!$E$8</f>
        <v>0</v>
      </c>
    </row>
    <row r="12967" customFormat="false" ht="15" hidden="false" customHeight="false" outlineLevel="0" collapsed="false">
      <c r="B12967" s="130" t="n">
        <v>2028</v>
      </c>
      <c r="C12967" s="131" t="s">
        <v>257</v>
      </c>
      <c r="D12967" s="132" t="n">
        <v>46838</v>
      </c>
      <c r="E12967" s="131" t="s">
        <v>12</v>
      </c>
      <c r="F12967" s="133" t="s">
        <v>24</v>
      </c>
      <c r="G12967" s="134" t="n">
        <f aca="false">LEN('Saisie programme'!$J$444)+SUMIFS('Vols additionnels'!$E$7:$E$66,'Vols additionnels'!$C$7:$C$66,$E12967,'Vols additionnels'!$D$7:$D$66,$F12967,'Vols additionnels'!$B$7:$B$66,$D12967)</f>
        <v>0</v>
      </c>
      <c r="H12967" s="135" t="n">
        <f aca="false">$G12967*'Analyse capacite'!$F$9</f>
        <v>0</v>
      </c>
      <c r="I12967" s="135" t="n">
        <f aca="false">$G12967*'Analyse capacite'!$C$9</f>
        <v>0</v>
      </c>
      <c r="J12967" s="135" t="n">
        <f aca="false">$G12967*'Analyse capacite'!$D$9</f>
        <v>0</v>
      </c>
      <c r="K12967" s="135" t="n">
        <f aca="false">$G12967*'Analyse capacite'!$E$9</f>
        <v>0</v>
      </c>
    </row>
    <row r="12968" customFormat="false" ht="15" hidden="false" customHeight="false" outlineLevel="0" collapsed="false">
      <c r="B12968" s="130" t="n">
        <v>2028</v>
      </c>
      <c r="C12968" s="131" t="s">
        <v>257</v>
      </c>
      <c r="D12968" s="132" t="n">
        <v>46838</v>
      </c>
      <c r="E12968" s="131" t="s">
        <v>20</v>
      </c>
      <c r="F12968" s="133" t="s">
        <v>11</v>
      </c>
      <c r="G12968" s="134" t="n">
        <f aca="false">LEN('Saisie programme'!$J$445)+SUMIFS('Vols additionnels'!$E$7:$E$66,'Vols additionnels'!$C$7:$C$66,$E12968,'Vols additionnels'!$D$7:$D$66,$F12968,'Vols additionnels'!$B$7:$B$66,$D12968)</f>
        <v>1</v>
      </c>
      <c r="H12968" s="135" t="n">
        <f aca="false">$G12968*'Analyse capacite'!$F$7</f>
        <v>438</v>
      </c>
      <c r="I12968" s="135" t="n">
        <f aca="false">$G12968*'Analyse capacite'!$C$7</f>
        <v>14</v>
      </c>
      <c r="J12968" s="135" t="n">
        <f aca="false">$G12968*'Analyse capacite'!$D$7</f>
        <v>40</v>
      </c>
      <c r="K12968" s="135" t="n">
        <f aca="false">$G12968*'Analyse capacite'!$E$7</f>
        <v>384</v>
      </c>
    </row>
    <row r="12969" customFormat="false" ht="15" hidden="false" customHeight="false" outlineLevel="0" collapsed="false">
      <c r="B12969" s="130" t="n">
        <v>2028</v>
      </c>
      <c r="C12969" s="131" t="s">
        <v>257</v>
      </c>
      <c r="D12969" s="132" t="n">
        <v>46838</v>
      </c>
      <c r="E12969" s="131" t="s">
        <v>20</v>
      </c>
      <c r="F12969" s="133" t="s">
        <v>19</v>
      </c>
      <c r="G12969" s="134" t="n">
        <f aca="false">LEN('Saisie programme'!$J$446)+SUMIFS('Vols additionnels'!$E$7:$E$66,'Vols additionnels'!$C$7:$C$66,$E12969,'Vols additionnels'!$D$7:$D$66,$F12969,'Vols additionnels'!$B$7:$B$66,$D12969)</f>
        <v>0</v>
      </c>
      <c r="H12969" s="135" t="n">
        <f aca="false">$G12969*'Analyse capacite'!$F$8</f>
        <v>0</v>
      </c>
      <c r="I12969" s="135" t="n">
        <f aca="false">$G12969*'Analyse capacite'!$C$8</f>
        <v>0</v>
      </c>
      <c r="J12969" s="135" t="n">
        <f aca="false">$G12969*'Analyse capacite'!$D$8</f>
        <v>0</v>
      </c>
      <c r="K12969" s="135" t="n">
        <f aca="false">$G12969*'Analyse capacite'!$E$8</f>
        <v>0</v>
      </c>
    </row>
    <row r="12970" customFormat="false" ht="15" hidden="false" customHeight="false" outlineLevel="0" collapsed="false">
      <c r="B12970" s="130" t="n">
        <v>2028</v>
      </c>
      <c r="C12970" s="131" t="s">
        <v>257</v>
      </c>
      <c r="D12970" s="132" t="n">
        <v>46838</v>
      </c>
      <c r="E12970" s="131" t="s">
        <v>20</v>
      </c>
      <c r="F12970" s="133" t="s">
        <v>24</v>
      </c>
      <c r="G12970" s="134" t="n">
        <f aca="false">LEN('Saisie programme'!$J$447)+SUMIFS('Vols additionnels'!$E$7:$E$66,'Vols additionnels'!$C$7:$C$66,$E12970,'Vols additionnels'!$D$7:$D$66,$F12970,'Vols additionnels'!$B$7:$B$66,$D12970)</f>
        <v>0</v>
      </c>
      <c r="H12970" s="135" t="n">
        <f aca="false">$G12970*'Analyse capacite'!$F$9</f>
        <v>0</v>
      </c>
      <c r="I12970" s="135" t="n">
        <f aca="false">$G12970*'Analyse capacite'!$C$9</f>
        <v>0</v>
      </c>
      <c r="J12970" s="135" t="n">
        <f aca="false">$G12970*'Analyse capacite'!$D$9</f>
        <v>0</v>
      </c>
      <c r="K12970" s="135" t="n">
        <f aca="false">$G12970*'Analyse capacite'!$E$9</f>
        <v>0</v>
      </c>
    </row>
    <row r="12971" customFormat="false" ht="15" hidden="false" customHeight="false" outlineLevel="0" collapsed="false">
      <c r="B12971" s="130" t="n">
        <v>2028</v>
      </c>
      <c r="C12971" s="131" t="s">
        <v>257</v>
      </c>
      <c r="D12971" s="132" t="n">
        <v>46838</v>
      </c>
      <c r="E12971" s="131" t="s">
        <v>25</v>
      </c>
      <c r="F12971" s="133" t="s">
        <v>11</v>
      </c>
      <c r="G12971" s="134" t="n">
        <f aca="false">LEN('Saisie programme'!$J$448)+SUMIFS('Vols additionnels'!$E$7:$E$66,'Vols additionnels'!$C$7:$C$66,$E12971,'Vols additionnels'!$D$7:$D$66,$F12971,'Vols additionnels'!$B$7:$B$66,$D12971)</f>
        <v>0</v>
      </c>
      <c r="H12971" s="135" t="n">
        <f aca="false">$G12971*'Analyse capacite'!$F$7</f>
        <v>0</v>
      </c>
      <c r="I12971" s="135" t="n">
        <f aca="false">$G12971*'Analyse capacite'!$C$7</f>
        <v>0</v>
      </c>
      <c r="J12971" s="135" t="n">
        <f aca="false">$G12971*'Analyse capacite'!$D$7</f>
        <v>0</v>
      </c>
      <c r="K12971" s="135" t="n">
        <f aca="false">$G12971*'Analyse capacite'!$E$7</f>
        <v>0</v>
      </c>
    </row>
    <row r="12972" customFormat="false" ht="15" hidden="false" customHeight="false" outlineLevel="0" collapsed="false">
      <c r="B12972" s="130" t="n">
        <v>2028</v>
      </c>
      <c r="C12972" s="131" t="s">
        <v>257</v>
      </c>
      <c r="D12972" s="132" t="n">
        <v>46838</v>
      </c>
      <c r="E12972" s="131" t="s">
        <v>25</v>
      </c>
      <c r="F12972" s="133" t="s">
        <v>19</v>
      </c>
      <c r="G12972" s="134" t="n">
        <f aca="false">LEN('Saisie programme'!$J$449)+SUMIFS('Vols additionnels'!$E$7:$E$66,'Vols additionnels'!$C$7:$C$66,$E12972,'Vols additionnels'!$D$7:$D$66,$F12972,'Vols additionnels'!$B$7:$B$66,$D12972)</f>
        <v>0</v>
      </c>
      <c r="H12972" s="135" t="n">
        <f aca="false">$G12972*'Analyse capacite'!$F$8</f>
        <v>0</v>
      </c>
      <c r="I12972" s="135" t="n">
        <f aca="false">$G12972*'Analyse capacite'!$C$8</f>
        <v>0</v>
      </c>
      <c r="J12972" s="135" t="n">
        <f aca="false">$G12972*'Analyse capacite'!$D$8</f>
        <v>0</v>
      </c>
      <c r="K12972" s="135" t="n">
        <f aca="false">$G12972*'Analyse capacite'!$E$8</f>
        <v>0</v>
      </c>
    </row>
    <row r="12973" customFormat="false" ht="15" hidden="false" customHeight="false" outlineLevel="0" collapsed="false">
      <c r="B12973" s="130" t="n">
        <v>2028</v>
      </c>
      <c r="C12973" s="131" t="s">
        <v>257</v>
      </c>
      <c r="D12973" s="132" t="n">
        <v>46838</v>
      </c>
      <c r="E12973" s="131" t="s">
        <v>25</v>
      </c>
      <c r="F12973" s="133" t="s">
        <v>24</v>
      </c>
      <c r="G12973" s="134" t="n">
        <f aca="false">LEN('Saisie programme'!$J$450)+SUMIFS('Vols additionnels'!$E$7:$E$66,'Vols additionnels'!$C$7:$C$66,$E12973,'Vols additionnels'!$D$7:$D$66,$F12973,'Vols additionnels'!$B$7:$B$66,$D12973)</f>
        <v>0</v>
      </c>
      <c r="H12973" s="135" t="n">
        <f aca="false">$G12973*'Analyse capacite'!$F$9</f>
        <v>0</v>
      </c>
      <c r="I12973" s="135" t="n">
        <f aca="false">$G12973*'Analyse capacite'!$C$9</f>
        <v>0</v>
      </c>
      <c r="J12973" s="135" t="n">
        <f aca="false">$G12973*'Analyse capacite'!$D$9</f>
        <v>0</v>
      </c>
      <c r="K12973" s="135" t="n">
        <f aca="false">$G12973*'Analyse capacite'!$E$9</f>
        <v>0</v>
      </c>
    </row>
    <row r="12974" customFormat="false" ht="15" hidden="false" customHeight="false" outlineLevel="0" collapsed="false">
      <c r="B12974" s="130" t="n">
        <v>2028</v>
      </c>
      <c r="C12974" s="131" t="s">
        <v>257</v>
      </c>
      <c r="D12974" s="132" t="n">
        <v>46838</v>
      </c>
      <c r="E12974" s="131" t="s">
        <v>36</v>
      </c>
      <c r="F12974" s="133" t="s">
        <v>11</v>
      </c>
      <c r="G12974" s="134" t="n">
        <f aca="false">LEN('Saisie programme'!$J$451)+SUMIFS('Vols additionnels'!$E$7:$E$66,'Vols additionnels'!$C$7:$C$66,$E12974,'Vols additionnels'!$D$7:$D$66,$F12974,'Vols additionnels'!$B$7:$B$66,$D12974)</f>
        <v>0</v>
      </c>
      <c r="H12974" s="135" t="n">
        <f aca="false">$G12974*'Analyse capacite'!$F$7</f>
        <v>0</v>
      </c>
      <c r="I12974" s="135" t="n">
        <f aca="false">$G12974*'Analyse capacite'!$C$7</f>
        <v>0</v>
      </c>
      <c r="J12974" s="135" t="n">
        <f aca="false">$G12974*'Analyse capacite'!$D$7</f>
        <v>0</v>
      </c>
      <c r="K12974" s="135" t="n">
        <f aca="false">$G12974*'Analyse capacite'!$E$7</f>
        <v>0</v>
      </c>
    </row>
    <row r="12975" customFormat="false" ht="15" hidden="false" customHeight="false" outlineLevel="0" collapsed="false">
      <c r="B12975" s="130" t="n">
        <v>2028</v>
      </c>
      <c r="C12975" s="131" t="s">
        <v>257</v>
      </c>
      <c r="D12975" s="132" t="n">
        <v>46838</v>
      </c>
      <c r="E12975" s="131" t="s">
        <v>36</v>
      </c>
      <c r="F12975" s="133" t="s">
        <v>19</v>
      </c>
      <c r="G12975" s="134" t="n">
        <f aca="false">LEN('Saisie programme'!$J$452)+SUMIFS('Vols additionnels'!$E$7:$E$66,'Vols additionnels'!$C$7:$C$66,$E12975,'Vols additionnels'!$D$7:$D$66,$F12975,'Vols additionnels'!$B$7:$B$66,$D12975)</f>
        <v>0</v>
      </c>
      <c r="H12975" s="135" t="n">
        <f aca="false">$G12975*'Analyse capacite'!$F$8</f>
        <v>0</v>
      </c>
      <c r="I12975" s="135" t="n">
        <f aca="false">$G12975*'Analyse capacite'!$C$8</f>
        <v>0</v>
      </c>
      <c r="J12975" s="135" t="n">
        <f aca="false">$G12975*'Analyse capacite'!$D$8</f>
        <v>0</v>
      </c>
      <c r="K12975" s="135" t="n">
        <f aca="false">$G12975*'Analyse capacite'!$E$8</f>
        <v>0</v>
      </c>
    </row>
    <row r="12976" customFormat="false" ht="15" hidden="false" customHeight="false" outlineLevel="0" collapsed="false">
      <c r="B12976" s="130" t="n">
        <v>2028</v>
      </c>
      <c r="C12976" s="131" t="s">
        <v>257</v>
      </c>
      <c r="D12976" s="132" t="n">
        <v>46838</v>
      </c>
      <c r="E12976" s="131" t="s">
        <v>36</v>
      </c>
      <c r="F12976" s="133" t="s">
        <v>24</v>
      </c>
      <c r="G12976" s="134" t="n">
        <f aca="false">LEN('Saisie programme'!$J$453)+SUMIFS('Vols additionnels'!$E$7:$E$66,'Vols additionnels'!$C$7:$C$66,$E12976,'Vols additionnels'!$D$7:$D$66,$F12976,'Vols additionnels'!$B$7:$B$66,$D12976)</f>
        <v>0</v>
      </c>
      <c r="H12976" s="135" t="n">
        <f aca="false">$G12976*'Analyse capacite'!$F$9</f>
        <v>0</v>
      </c>
      <c r="I12976" s="135" t="n">
        <f aca="false">$G12976*'Analyse capacite'!$C$9</f>
        <v>0</v>
      </c>
      <c r="J12976" s="135" t="n">
        <f aca="false">$G12976*'Analyse capacite'!$D$9</f>
        <v>0</v>
      </c>
      <c r="K12976" s="135" t="n">
        <f aca="false">$G12976*'Analyse capacite'!$E$9</f>
        <v>0</v>
      </c>
    </row>
    <row r="12977" customFormat="false" ht="15" hidden="false" customHeight="false" outlineLevel="0" collapsed="false">
      <c r="B12977" s="130" t="n">
        <v>2028</v>
      </c>
      <c r="C12977" s="131" t="s">
        <v>257</v>
      </c>
      <c r="D12977" s="132" t="n">
        <v>46838</v>
      </c>
      <c r="E12977" s="131" t="s">
        <v>40</v>
      </c>
      <c r="F12977" s="133" t="s">
        <v>11</v>
      </c>
      <c r="G12977" s="134" t="n">
        <f aca="false">LEN('Saisie programme'!$J$454)+SUMIFS('Vols additionnels'!$E$7:$E$66,'Vols additionnels'!$C$7:$C$66,$E12977,'Vols additionnels'!$D$7:$D$66,$F12977,'Vols additionnels'!$B$7:$B$66,$D12977)</f>
        <v>0</v>
      </c>
      <c r="H12977" s="135" t="n">
        <f aca="false">$G12977*'Analyse capacite'!$F$7</f>
        <v>0</v>
      </c>
      <c r="I12977" s="135" t="n">
        <f aca="false">$G12977*'Analyse capacite'!$C$7</f>
        <v>0</v>
      </c>
      <c r="J12977" s="135" t="n">
        <f aca="false">$G12977*'Analyse capacite'!$D$7</f>
        <v>0</v>
      </c>
      <c r="K12977" s="135" t="n">
        <f aca="false">$G12977*'Analyse capacite'!$E$7</f>
        <v>0</v>
      </c>
    </row>
    <row r="12978" customFormat="false" ht="15" hidden="false" customHeight="false" outlineLevel="0" collapsed="false">
      <c r="B12978" s="130" t="n">
        <v>2028</v>
      </c>
      <c r="C12978" s="131" t="s">
        <v>257</v>
      </c>
      <c r="D12978" s="132" t="n">
        <v>46838</v>
      </c>
      <c r="E12978" s="131" t="s">
        <v>40</v>
      </c>
      <c r="F12978" s="133" t="s">
        <v>19</v>
      </c>
      <c r="G12978" s="134" t="n">
        <f aca="false">LEN('Saisie programme'!$J$455)+SUMIFS('Vols additionnels'!$E$7:$E$66,'Vols additionnels'!$C$7:$C$66,$E12978,'Vols additionnels'!$D$7:$D$66,$F12978,'Vols additionnels'!$B$7:$B$66,$D12978)</f>
        <v>0</v>
      </c>
      <c r="H12978" s="135" t="n">
        <f aca="false">$G12978*'Analyse capacite'!$F$8</f>
        <v>0</v>
      </c>
      <c r="I12978" s="135" t="n">
        <f aca="false">$G12978*'Analyse capacite'!$C$8</f>
        <v>0</v>
      </c>
      <c r="J12978" s="135" t="n">
        <f aca="false">$G12978*'Analyse capacite'!$D$8</f>
        <v>0</v>
      </c>
      <c r="K12978" s="135" t="n">
        <f aca="false">$G12978*'Analyse capacite'!$E$8</f>
        <v>0</v>
      </c>
    </row>
    <row r="12979" customFormat="false" ht="15" hidden="false" customHeight="false" outlineLevel="0" collapsed="false">
      <c r="B12979" s="130" t="n">
        <v>2028</v>
      </c>
      <c r="C12979" s="131" t="s">
        <v>257</v>
      </c>
      <c r="D12979" s="132" t="n">
        <v>46838</v>
      </c>
      <c r="E12979" s="131" t="s">
        <v>40</v>
      </c>
      <c r="F12979" s="133" t="s">
        <v>24</v>
      </c>
      <c r="G12979" s="134" t="n">
        <f aca="false">LEN('Saisie programme'!$J$456)+SUMIFS('Vols additionnels'!$E$7:$E$66,'Vols additionnels'!$C$7:$C$66,$E12979,'Vols additionnels'!$D$7:$D$66,$F12979,'Vols additionnels'!$B$7:$B$66,$D12979)</f>
        <v>1</v>
      </c>
      <c r="H12979" s="135" t="n">
        <f aca="false">$G12979*'Analyse capacite'!$F$9</f>
        <v>174</v>
      </c>
      <c r="I12979" s="135" t="n">
        <f aca="false">$G12979*'Analyse capacite'!$C$9</f>
        <v>0</v>
      </c>
      <c r="J12979" s="135" t="n">
        <f aca="false">$G12979*'Analyse capacite'!$D$9</f>
        <v>12</v>
      </c>
      <c r="K12979" s="135" t="n">
        <f aca="false">$G12979*'Analyse capacite'!$E$9</f>
        <v>162</v>
      </c>
    </row>
    <row r="12980" customFormat="false" ht="15" hidden="false" customHeight="false" outlineLevel="0" collapsed="false">
      <c r="B12980" s="130" t="n">
        <v>2028</v>
      </c>
      <c r="C12980" s="131" t="s">
        <v>257</v>
      </c>
      <c r="D12980" s="132" t="n">
        <v>46838</v>
      </c>
      <c r="E12980" s="131" t="s">
        <v>14</v>
      </c>
      <c r="F12980" s="133" t="s">
        <v>11</v>
      </c>
      <c r="G12980" s="134" t="n">
        <f aca="false">LEN('Saisie programme'!$J$457)+SUMIFS('Vols additionnels'!$E$7:$E$66,'Vols additionnels'!$C$7:$C$66,$E12980,'Vols additionnels'!$D$7:$D$66,$F12980,'Vols additionnels'!$B$7:$B$66,$D12980)</f>
        <v>0</v>
      </c>
      <c r="H12980" s="135" t="n">
        <f aca="false">$G12980*'Analyse capacite'!$F$7</f>
        <v>0</v>
      </c>
      <c r="I12980" s="135" t="n">
        <f aca="false">$G12980*'Analyse capacite'!$C$7</f>
        <v>0</v>
      </c>
      <c r="J12980" s="135" t="n">
        <f aca="false">$G12980*'Analyse capacite'!$D$7</f>
        <v>0</v>
      </c>
      <c r="K12980" s="135" t="n">
        <f aca="false">$G12980*'Analyse capacite'!$E$7</f>
        <v>0</v>
      </c>
    </row>
    <row r="12981" customFormat="false" ht="15" hidden="false" customHeight="false" outlineLevel="0" collapsed="false">
      <c r="B12981" s="130" t="n">
        <v>2028</v>
      </c>
      <c r="C12981" s="131" t="s">
        <v>257</v>
      </c>
      <c r="D12981" s="132" t="n">
        <v>46838</v>
      </c>
      <c r="E12981" s="131" t="s">
        <v>14</v>
      </c>
      <c r="F12981" s="133" t="s">
        <v>19</v>
      </c>
      <c r="G12981" s="134" t="n">
        <f aca="false">LEN('Saisie programme'!$J$458)+SUMIFS('Vols additionnels'!$E$7:$E$66,'Vols additionnels'!$C$7:$C$66,$E12981,'Vols additionnels'!$D$7:$D$66,$F12981,'Vols additionnels'!$B$7:$B$66,$D12981)</f>
        <v>0</v>
      </c>
      <c r="H12981" s="135" t="n">
        <f aca="false">$G12981*'Analyse capacite'!$F$8</f>
        <v>0</v>
      </c>
      <c r="I12981" s="135" t="n">
        <f aca="false">$G12981*'Analyse capacite'!$C$8</f>
        <v>0</v>
      </c>
      <c r="J12981" s="135" t="n">
        <f aca="false">$G12981*'Analyse capacite'!$D$8</f>
        <v>0</v>
      </c>
      <c r="K12981" s="135" t="n">
        <f aca="false">$G12981*'Analyse capacite'!$E$8</f>
        <v>0</v>
      </c>
    </row>
    <row r="12982" customFormat="false" ht="15" hidden="false" customHeight="false" outlineLevel="0" collapsed="false">
      <c r="B12982" s="130" t="n">
        <v>2028</v>
      </c>
      <c r="C12982" s="131" t="s">
        <v>257</v>
      </c>
      <c r="D12982" s="132" t="n">
        <v>46838</v>
      </c>
      <c r="E12982" s="131" t="s">
        <v>14</v>
      </c>
      <c r="F12982" s="133" t="s">
        <v>24</v>
      </c>
      <c r="G12982" s="134" t="n">
        <f aca="false">LEN('Saisie programme'!$J$459)+SUMIFS('Vols additionnels'!$E$7:$E$66,'Vols additionnels'!$C$7:$C$66,$E12982,'Vols additionnels'!$D$7:$D$66,$F12982,'Vols additionnels'!$B$7:$B$66,$D12982)</f>
        <v>0</v>
      </c>
      <c r="H12982" s="135" t="n">
        <f aca="false">$G12982*'Analyse capacite'!$F$9</f>
        <v>0</v>
      </c>
      <c r="I12982" s="135" t="n">
        <f aca="false">$G12982*'Analyse capacite'!$C$9</f>
        <v>0</v>
      </c>
      <c r="J12982" s="135" t="n">
        <f aca="false">$G12982*'Analyse capacite'!$D$9</f>
        <v>0</v>
      </c>
      <c r="K12982" s="135" t="n">
        <f aca="false">$G12982*'Analyse capacite'!$E$9</f>
        <v>0</v>
      </c>
    </row>
    <row r="12983" customFormat="false" ht="15" hidden="false" customHeight="false" outlineLevel="0" collapsed="false">
      <c r="B12983" s="130" t="n">
        <v>2028</v>
      </c>
      <c r="C12983" s="131" t="s">
        <v>257</v>
      </c>
      <c r="D12983" s="132" t="n">
        <v>46838</v>
      </c>
      <c r="E12983" s="131" t="s">
        <v>46</v>
      </c>
      <c r="F12983" s="133" t="s">
        <v>11</v>
      </c>
      <c r="G12983" s="134" t="n">
        <f aca="false">LEN('Saisie programme'!$J$460)+SUMIFS('Vols additionnels'!$E$7:$E$66,'Vols additionnels'!$C$7:$C$66,$E12983,'Vols additionnels'!$D$7:$D$66,$F12983,'Vols additionnels'!$B$7:$B$66,$D12983)</f>
        <v>0</v>
      </c>
      <c r="H12983" s="135" t="n">
        <f aca="false">$G12983*'Analyse capacite'!$F$7</f>
        <v>0</v>
      </c>
      <c r="I12983" s="135" t="n">
        <f aca="false">$G12983*'Analyse capacite'!$C$7</f>
        <v>0</v>
      </c>
      <c r="J12983" s="135" t="n">
        <f aca="false">$G12983*'Analyse capacite'!$D$7</f>
        <v>0</v>
      </c>
      <c r="K12983" s="135" t="n">
        <f aca="false">$G12983*'Analyse capacite'!$E$7</f>
        <v>0</v>
      </c>
    </row>
    <row r="12984" customFormat="false" ht="15" hidden="false" customHeight="false" outlineLevel="0" collapsed="false">
      <c r="B12984" s="130" t="n">
        <v>2028</v>
      </c>
      <c r="C12984" s="131" t="s">
        <v>257</v>
      </c>
      <c r="D12984" s="132" t="n">
        <v>46838</v>
      </c>
      <c r="E12984" s="131" t="s">
        <v>46</v>
      </c>
      <c r="F12984" s="133" t="s">
        <v>19</v>
      </c>
      <c r="G12984" s="134" t="n">
        <f aca="false">LEN('Saisie programme'!$J$461)+SUMIFS('Vols additionnels'!$E$7:$E$66,'Vols additionnels'!$C$7:$C$66,$E12984,'Vols additionnels'!$D$7:$D$66,$F12984,'Vols additionnels'!$B$7:$B$66,$D12984)</f>
        <v>0</v>
      </c>
      <c r="H12984" s="135" t="n">
        <f aca="false">$G12984*'Analyse capacite'!$F$8</f>
        <v>0</v>
      </c>
      <c r="I12984" s="135" t="n">
        <f aca="false">$G12984*'Analyse capacite'!$C$8</f>
        <v>0</v>
      </c>
      <c r="J12984" s="135" t="n">
        <f aca="false">$G12984*'Analyse capacite'!$D$8</f>
        <v>0</v>
      </c>
      <c r="K12984" s="135" t="n">
        <f aca="false">$G12984*'Analyse capacite'!$E$8</f>
        <v>0</v>
      </c>
    </row>
    <row r="12985" customFormat="false" ht="15" hidden="false" customHeight="false" outlineLevel="0" collapsed="false">
      <c r="B12985" s="130" t="n">
        <v>2028</v>
      </c>
      <c r="C12985" s="131" t="s">
        <v>257</v>
      </c>
      <c r="D12985" s="132" t="n">
        <v>46838</v>
      </c>
      <c r="E12985" s="131" t="s">
        <v>46</v>
      </c>
      <c r="F12985" s="133" t="s">
        <v>24</v>
      </c>
      <c r="G12985" s="134" t="n">
        <f aca="false">LEN('Saisie programme'!$J$462)+SUMIFS('Vols additionnels'!$E$7:$E$66,'Vols additionnels'!$C$7:$C$66,$E12985,'Vols additionnels'!$D$7:$D$66,$F12985,'Vols additionnels'!$B$7:$B$66,$D12985)</f>
        <v>0</v>
      </c>
      <c r="H12985" s="135" t="n">
        <f aca="false">$G12985*'Analyse capacite'!$F$9</f>
        <v>0</v>
      </c>
      <c r="I12985" s="135" t="n">
        <f aca="false">$G12985*'Analyse capacite'!$C$9</f>
        <v>0</v>
      </c>
      <c r="J12985" s="135" t="n">
        <f aca="false">$G12985*'Analyse capacite'!$D$9</f>
        <v>0</v>
      </c>
      <c r="K12985" s="135" t="n">
        <f aca="false">$G12985*'Analyse capacite'!$E$9</f>
        <v>0</v>
      </c>
    </row>
    <row r="12986" customFormat="false" ht="15" hidden="false" customHeight="false" outlineLevel="0" collapsed="false">
      <c r="B12986" s="130" t="n">
        <v>2028</v>
      </c>
      <c r="C12986" s="131" t="s">
        <v>257</v>
      </c>
      <c r="D12986" s="132" t="n">
        <v>46838</v>
      </c>
      <c r="E12986" s="131" t="s">
        <v>49</v>
      </c>
      <c r="F12986" s="133" t="s">
        <v>11</v>
      </c>
      <c r="G12986" s="134" t="n">
        <f aca="false">LEN('Saisie programme'!$J$463)+SUMIFS('Vols additionnels'!$E$7:$E$66,'Vols additionnels'!$C$7:$C$66,$E12986,'Vols additionnels'!$D$7:$D$66,$F12986,'Vols additionnels'!$B$7:$B$66,$D12986)</f>
        <v>0</v>
      </c>
      <c r="H12986" s="135" t="n">
        <f aca="false">$G12986*'Analyse capacite'!$F$7</f>
        <v>0</v>
      </c>
      <c r="I12986" s="135" t="n">
        <f aca="false">$G12986*'Analyse capacite'!$C$7</f>
        <v>0</v>
      </c>
      <c r="J12986" s="135" t="n">
        <f aca="false">$G12986*'Analyse capacite'!$D$7</f>
        <v>0</v>
      </c>
      <c r="K12986" s="135" t="n">
        <f aca="false">$G12986*'Analyse capacite'!$E$7</f>
        <v>0</v>
      </c>
    </row>
    <row r="12987" customFormat="false" ht="15" hidden="false" customHeight="false" outlineLevel="0" collapsed="false">
      <c r="B12987" s="130" t="n">
        <v>2028</v>
      </c>
      <c r="C12987" s="131" t="s">
        <v>257</v>
      </c>
      <c r="D12987" s="132" t="n">
        <v>46838</v>
      </c>
      <c r="E12987" s="131" t="s">
        <v>49</v>
      </c>
      <c r="F12987" s="133" t="s">
        <v>19</v>
      </c>
      <c r="G12987" s="134" t="n">
        <f aca="false">LEN('Saisie programme'!$J$464)+SUMIFS('Vols additionnels'!$E$7:$E$66,'Vols additionnels'!$C$7:$C$66,$E12987,'Vols additionnels'!$D$7:$D$66,$F12987,'Vols additionnels'!$B$7:$B$66,$D12987)</f>
        <v>0</v>
      </c>
      <c r="H12987" s="135" t="n">
        <f aca="false">$G12987*'Analyse capacite'!$F$8</f>
        <v>0</v>
      </c>
      <c r="I12987" s="135" t="n">
        <f aca="false">$G12987*'Analyse capacite'!$C$8</f>
        <v>0</v>
      </c>
      <c r="J12987" s="135" t="n">
        <f aca="false">$G12987*'Analyse capacite'!$D$8</f>
        <v>0</v>
      </c>
      <c r="K12987" s="135" t="n">
        <f aca="false">$G12987*'Analyse capacite'!$E$8</f>
        <v>0</v>
      </c>
    </row>
    <row r="12988" customFormat="false" ht="15" hidden="false" customHeight="false" outlineLevel="0" collapsed="false">
      <c r="B12988" s="130" t="n">
        <v>2028</v>
      </c>
      <c r="C12988" s="131" t="s">
        <v>257</v>
      </c>
      <c r="D12988" s="132" t="n">
        <v>46838</v>
      </c>
      <c r="E12988" s="131" t="s">
        <v>49</v>
      </c>
      <c r="F12988" s="133" t="s">
        <v>24</v>
      </c>
      <c r="G12988" s="134" t="n">
        <f aca="false">LEN('Saisie programme'!$J$465)+SUMIFS('Vols additionnels'!$E$7:$E$66,'Vols additionnels'!$C$7:$C$66,$E12988,'Vols additionnels'!$D$7:$D$66,$F12988,'Vols additionnels'!$B$7:$B$66,$D12988)</f>
        <v>0</v>
      </c>
      <c r="H12988" s="135" t="n">
        <f aca="false">$G12988*'Analyse capacite'!$F$9</f>
        <v>0</v>
      </c>
      <c r="I12988" s="135" t="n">
        <f aca="false">$G12988*'Analyse capacite'!$C$9</f>
        <v>0</v>
      </c>
      <c r="J12988" s="135" t="n">
        <f aca="false">$G12988*'Analyse capacite'!$D$9</f>
        <v>0</v>
      </c>
      <c r="K12988" s="135" t="n">
        <f aca="false">$G12988*'Analyse capacite'!$E$9</f>
        <v>0</v>
      </c>
    </row>
    <row r="12989" customFormat="false" ht="15" hidden="false" customHeight="false" outlineLevel="0" collapsed="false">
      <c r="B12989" s="130" t="n">
        <v>2028</v>
      </c>
      <c r="C12989" s="131" t="s">
        <v>257</v>
      </c>
      <c r="D12989" s="132" t="n">
        <v>46838</v>
      </c>
      <c r="E12989" s="131" t="s">
        <v>53</v>
      </c>
      <c r="F12989" s="133" t="s">
        <v>11</v>
      </c>
      <c r="G12989" s="134" t="n">
        <f aca="false">LEN('Saisie programme'!$J$466)+SUMIFS('Vols additionnels'!$E$7:$E$66,'Vols additionnels'!$C$7:$C$66,$E12989,'Vols additionnels'!$D$7:$D$66,$F12989,'Vols additionnels'!$B$7:$B$66,$D12989)</f>
        <v>0</v>
      </c>
      <c r="H12989" s="135" t="n">
        <f aca="false">$G12989*'Analyse capacite'!$F$7</f>
        <v>0</v>
      </c>
      <c r="I12989" s="135" t="n">
        <f aca="false">$G12989*'Analyse capacite'!$C$7</f>
        <v>0</v>
      </c>
      <c r="J12989" s="135" t="n">
        <f aca="false">$G12989*'Analyse capacite'!$D$7</f>
        <v>0</v>
      </c>
      <c r="K12989" s="135" t="n">
        <f aca="false">$G12989*'Analyse capacite'!$E$7</f>
        <v>0</v>
      </c>
    </row>
    <row r="12990" customFormat="false" ht="15" hidden="false" customHeight="false" outlineLevel="0" collapsed="false">
      <c r="B12990" s="130" t="n">
        <v>2028</v>
      </c>
      <c r="C12990" s="131" t="s">
        <v>257</v>
      </c>
      <c r="D12990" s="132" t="n">
        <v>46838</v>
      </c>
      <c r="E12990" s="131" t="s">
        <v>53</v>
      </c>
      <c r="F12990" s="133" t="s">
        <v>19</v>
      </c>
      <c r="G12990" s="134" t="n">
        <f aca="false">LEN('Saisie programme'!$J$467)+SUMIFS('Vols additionnels'!$E$7:$E$66,'Vols additionnels'!$C$7:$C$66,$E12990,'Vols additionnels'!$D$7:$D$66,$F12990,'Vols additionnels'!$B$7:$B$66,$D12990)</f>
        <v>0</v>
      </c>
      <c r="H12990" s="135" t="n">
        <f aca="false">$G12990*'Analyse capacite'!$F$8</f>
        <v>0</v>
      </c>
      <c r="I12990" s="135" t="n">
        <f aca="false">$G12990*'Analyse capacite'!$C$8</f>
        <v>0</v>
      </c>
      <c r="J12990" s="135" t="n">
        <f aca="false">$G12990*'Analyse capacite'!$D$8</f>
        <v>0</v>
      </c>
      <c r="K12990" s="135" t="n">
        <f aca="false">$G12990*'Analyse capacite'!$E$8</f>
        <v>0</v>
      </c>
    </row>
    <row r="12991" customFormat="false" ht="15" hidden="false" customHeight="false" outlineLevel="0" collapsed="false">
      <c r="B12991" s="130" t="n">
        <v>2028</v>
      </c>
      <c r="C12991" s="131" t="s">
        <v>257</v>
      </c>
      <c r="D12991" s="132" t="n">
        <v>46838</v>
      </c>
      <c r="E12991" s="131" t="s">
        <v>53</v>
      </c>
      <c r="F12991" s="133" t="s">
        <v>24</v>
      </c>
      <c r="G12991" s="134" t="n">
        <f aca="false">LEN('Saisie programme'!$J$468)+SUMIFS('Vols additionnels'!$E$7:$E$66,'Vols additionnels'!$C$7:$C$66,$E12991,'Vols additionnels'!$D$7:$D$66,$F12991,'Vols additionnels'!$B$7:$B$66,$D12991)</f>
        <v>0</v>
      </c>
      <c r="H12991" s="135" t="n">
        <f aca="false">$G12991*'Analyse capacite'!$F$9</f>
        <v>0</v>
      </c>
      <c r="I12991" s="135" t="n">
        <f aca="false">$G12991*'Analyse capacite'!$C$9</f>
        <v>0</v>
      </c>
      <c r="J12991" s="135" t="n">
        <f aca="false">$G12991*'Analyse capacite'!$D$9</f>
        <v>0</v>
      </c>
      <c r="K12991" s="135" t="n">
        <f aca="false">$G12991*'Analyse capacite'!$E$9</f>
        <v>0</v>
      </c>
    </row>
    <row r="12992" customFormat="false" ht="15" hidden="false" customHeight="false" outlineLevel="0" collapsed="false">
      <c r="B12992" s="130" t="n">
        <v>2028</v>
      </c>
      <c r="C12992" s="131" t="s">
        <v>257</v>
      </c>
      <c r="D12992" s="132" t="n">
        <v>46838</v>
      </c>
      <c r="E12992" s="131" t="s">
        <v>56</v>
      </c>
      <c r="F12992" s="133" t="s">
        <v>11</v>
      </c>
      <c r="G12992" s="134" t="n">
        <f aca="false">LEN('Saisie programme'!$J$469)+SUMIFS('Vols additionnels'!$E$7:$E$66,'Vols additionnels'!$C$7:$C$66,$E12992,'Vols additionnels'!$D$7:$D$66,$F12992,'Vols additionnels'!$B$7:$B$66,$D12992)</f>
        <v>0</v>
      </c>
      <c r="H12992" s="135" t="n">
        <f aca="false">$G12992*'Analyse capacite'!$F$7</f>
        <v>0</v>
      </c>
      <c r="I12992" s="135" t="n">
        <f aca="false">$G12992*'Analyse capacite'!$C$7</f>
        <v>0</v>
      </c>
      <c r="J12992" s="135" t="n">
        <f aca="false">$G12992*'Analyse capacite'!$D$7</f>
        <v>0</v>
      </c>
      <c r="K12992" s="135" t="n">
        <f aca="false">$G12992*'Analyse capacite'!$E$7</f>
        <v>0</v>
      </c>
    </row>
    <row r="12993" customFormat="false" ht="15" hidden="false" customHeight="false" outlineLevel="0" collapsed="false">
      <c r="B12993" s="130" t="n">
        <v>2028</v>
      </c>
      <c r="C12993" s="131" t="s">
        <v>257</v>
      </c>
      <c r="D12993" s="132" t="n">
        <v>46838</v>
      </c>
      <c r="E12993" s="131" t="s">
        <v>56</v>
      </c>
      <c r="F12993" s="133" t="s">
        <v>19</v>
      </c>
      <c r="G12993" s="134" t="n">
        <f aca="false">LEN('Saisie programme'!$J$470)+SUMIFS('Vols additionnels'!$E$7:$E$66,'Vols additionnels'!$C$7:$C$66,$E12993,'Vols additionnels'!$D$7:$D$66,$F12993,'Vols additionnels'!$B$7:$B$66,$D12993)</f>
        <v>0</v>
      </c>
      <c r="H12993" s="135" t="n">
        <f aca="false">$G12993*'Analyse capacite'!$F$8</f>
        <v>0</v>
      </c>
      <c r="I12993" s="135" t="n">
        <f aca="false">$G12993*'Analyse capacite'!$C$8</f>
        <v>0</v>
      </c>
      <c r="J12993" s="135" t="n">
        <f aca="false">$G12993*'Analyse capacite'!$D$8</f>
        <v>0</v>
      </c>
      <c r="K12993" s="135" t="n">
        <f aca="false">$G12993*'Analyse capacite'!$E$8</f>
        <v>0</v>
      </c>
    </row>
    <row r="12994" customFormat="false" ht="15" hidden="false" customHeight="false" outlineLevel="0" collapsed="false">
      <c r="B12994" s="130" t="n">
        <v>2028</v>
      </c>
      <c r="C12994" s="131" t="s">
        <v>257</v>
      </c>
      <c r="D12994" s="132" t="n">
        <v>46838</v>
      </c>
      <c r="E12994" s="131" t="s">
        <v>56</v>
      </c>
      <c r="F12994" s="133" t="s">
        <v>24</v>
      </c>
      <c r="G12994" s="134" t="n">
        <f aca="false">LEN('Saisie programme'!$J$471)+SUMIFS('Vols additionnels'!$E$7:$E$66,'Vols additionnels'!$C$7:$C$66,$E12994,'Vols additionnels'!$D$7:$D$66,$F12994,'Vols additionnels'!$B$7:$B$66,$D12994)</f>
        <v>0</v>
      </c>
      <c r="H12994" s="135" t="n">
        <f aca="false">$G12994*'Analyse capacite'!$F$9</f>
        <v>0</v>
      </c>
      <c r="I12994" s="135" t="n">
        <f aca="false">$G12994*'Analyse capacite'!$C$9</f>
        <v>0</v>
      </c>
      <c r="J12994" s="135" t="n">
        <f aca="false">$G12994*'Analyse capacite'!$D$9</f>
        <v>0</v>
      </c>
      <c r="K12994" s="135" t="n">
        <f aca="false">$G12994*'Analyse capacite'!$E$9</f>
        <v>0</v>
      </c>
    </row>
    <row r="12995" customFormat="false" ht="15" hidden="false" customHeight="false" outlineLevel="0" collapsed="false">
      <c r="B12995" s="130" t="n">
        <v>2028</v>
      </c>
      <c r="C12995" s="131" t="s">
        <v>257</v>
      </c>
      <c r="D12995" s="132" t="n">
        <v>46838</v>
      </c>
      <c r="E12995" s="131" t="s">
        <v>59</v>
      </c>
      <c r="F12995" s="133" t="s">
        <v>11</v>
      </c>
      <c r="G12995" s="134" t="n">
        <f aca="false">LEN('Saisie programme'!$J$472)+SUMIFS('Vols additionnels'!$E$7:$E$66,'Vols additionnels'!$C$7:$C$66,$E12995,'Vols additionnels'!$D$7:$D$66,$F12995,'Vols additionnels'!$B$7:$B$66,$D12995)</f>
        <v>0</v>
      </c>
      <c r="H12995" s="135" t="n">
        <f aca="false">$G12995*'Analyse capacite'!$F$7</f>
        <v>0</v>
      </c>
      <c r="I12995" s="135" t="n">
        <f aca="false">$G12995*'Analyse capacite'!$C$7</f>
        <v>0</v>
      </c>
      <c r="J12995" s="135" t="n">
        <f aca="false">$G12995*'Analyse capacite'!$D$7</f>
        <v>0</v>
      </c>
      <c r="K12995" s="135" t="n">
        <f aca="false">$G12995*'Analyse capacite'!$E$7</f>
        <v>0</v>
      </c>
    </row>
    <row r="12996" customFormat="false" ht="15" hidden="false" customHeight="false" outlineLevel="0" collapsed="false">
      <c r="B12996" s="130" t="n">
        <v>2028</v>
      </c>
      <c r="C12996" s="131" t="s">
        <v>257</v>
      </c>
      <c r="D12996" s="132" t="n">
        <v>46838</v>
      </c>
      <c r="E12996" s="131" t="s">
        <v>59</v>
      </c>
      <c r="F12996" s="133" t="s">
        <v>19</v>
      </c>
      <c r="G12996" s="134" t="n">
        <f aca="false">LEN('Saisie programme'!$J$473)+SUMIFS('Vols additionnels'!$E$7:$E$66,'Vols additionnels'!$C$7:$C$66,$E12996,'Vols additionnels'!$D$7:$D$66,$F12996,'Vols additionnels'!$B$7:$B$66,$D12996)</f>
        <v>0</v>
      </c>
      <c r="H12996" s="135" t="n">
        <f aca="false">$G12996*'Analyse capacite'!$F$8</f>
        <v>0</v>
      </c>
      <c r="I12996" s="135" t="n">
        <f aca="false">$G12996*'Analyse capacite'!$C$8</f>
        <v>0</v>
      </c>
      <c r="J12996" s="135" t="n">
        <f aca="false">$G12996*'Analyse capacite'!$D$8</f>
        <v>0</v>
      </c>
      <c r="K12996" s="135" t="n">
        <f aca="false">$G12996*'Analyse capacite'!$E$8</f>
        <v>0</v>
      </c>
    </row>
    <row r="12997" customFormat="false" ht="15" hidden="false" customHeight="false" outlineLevel="0" collapsed="false">
      <c r="B12997" s="130" t="n">
        <v>2028</v>
      </c>
      <c r="C12997" s="131" t="s">
        <v>257</v>
      </c>
      <c r="D12997" s="132" t="n">
        <v>46838</v>
      </c>
      <c r="E12997" s="131" t="s">
        <v>59</v>
      </c>
      <c r="F12997" s="133" t="s">
        <v>24</v>
      </c>
      <c r="G12997" s="134" t="n">
        <f aca="false">LEN('Saisie programme'!$J$474)+SUMIFS('Vols additionnels'!$E$7:$E$66,'Vols additionnels'!$C$7:$C$66,$E12997,'Vols additionnels'!$D$7:$D$66,$F12997,'Vols additionnels'!$B$7:$B$66,$D12997)</f>
        <v>0</v>
      </c>
      <c r="H12997" s="135" t="n">
        <f aca="false">$G12997*'Analyse capacite'!$F$9</f>
        <v>0</v>
      </c>
      <c r="I12997" s="135" t="n">
        <f aca="false">$G12997*'Analyse capacite'!$C$9</f>
        <v>0</v>
      </c>
      <c r="J12997" s="135" t="n">
        <f aca="false">$G12997*'Analyse capacite'!$D$9</f>
        <v>0</v>
      </c>
      <c r="K12997" s="135" t="n">
        <f aca="false">$G12997*'Analyse capacite'!$E$9</f>
        <v>0</v>
      </c>
    </row>
    <row r="12998" customFormat="false" ht="15" hidden="false" customHeight="false" outlineLevel="0" collapsed="false">
      <c r="B12998" s="130" t="n">
        <v>2028</v>
      </c>
      <c r="C12998" s="131" t="s">
        <v>257</v>
      </c>
      <c r="D12998" s="132" t="n">
        <v>46838</v>
      </c>
      <c r="E12998" s="131" t="s">
        <v>62</v>
      </c>
      <c r="F12998" s="133" t="s">
        <v>11</v>
      </c>
      <c r="G12998" s="134" t="n">
        <f aca="false">LEN('Saisie programme'!$J$475)+SUMIFS('Vols additionnels'!$E$7:$E$66,'Vols additionnels'!$C$7:$C$66,$E12998,'Vols additionnels'!$D$7:$D$66,$F12998,'Vols additionnels'!$B$7:$B$66,$D12998)</f>
        <v>0</v>
      </c>
      <c r="H12998" s="135" t="n">
        <f aca="false">$G12998*'Analyse capacite'!$F$7</f>
        <v>0</v>
      </c>
      <c r="I12998" s="135" t="n">
        <f aca="false">$G12998*'Analyse capacite'!$C$7</f>
        <v>0</v>
      </c>
      <c r="J12998" s="135" t="n">
        <f aca="false">$G12998*'Analyse capacite'!$D$7</f>
        <v>0</v>
      </c>
      <c r="K12998" s="135" t="n">
        <f aca="false">$G12998*'Analyse capacite'!$E$7</f>
        <v>0</v>
      </c>
    </row>
    <row r="12999" customFormat="false" ht="15" hidden="false" customHeight="false" outlineLevel="0" collapsed="false">
      <c r="B12999" s="130" t="n">
        <v>2028</v>
      </c>
      <c r="C12999" s="131" t="s">
        <v>257</v>
      </c>
      <c r="D12999" s="132" t="n">
        <v>46838</v>
      </c>
      <c r="E12999" s="131" t="s">
        <v>62</v>
      </c>
      <c r="F12999" s="133" t="s">
        <v>19</v>
      </c>
      <c r="G12999" s="134" t="n">
        <f aca="false">LEN('Saisie programme'!$J$476)+SUMIFS('Vols additionnels'!$E$7:$E$66,'Vols additionnels'!$C$7:$C$66,$E12999,'Vols additionnels'!$D$7:$D$66,$F12999,'Vols additionnels'!$B$7:$B$66,$D12999)</f>
        <v>0</v>
      </c>
      <c r="H12999" s="135" t="n">
        <f aca="false">$G12999*'Analyse capacite'!$F$8</f>
        <v>0</v>
      </c>
      <c r="I12999" s="135" t="n">
        <f aca="false">$G12999*'Analyse capacite'!$C$8</f>
        <v>0</v>
      </c>
      <c r="J12999" s="135" t="n">
        <f aca="false">$G12999*'Analyse capacite'!$D$8</f>
        <v>0</v>
      </c>
      <c r="K12999" s="135" t="n">
        <f aca="false">$G12999*'Analyse capacite'!$E$8</f>
        <v>0</v>
      </c>
    </row>
    <row r="13000" customFormat="false" ht="15" hidden="false" customHeight="false" outlineLevel="0" collapsed="false">
      <c r="B13000" s="130" t="n">
        <v>2028</v>
      </c>
      <c r="C13000" s="131" t="s">
        <v>257</v>
      </c>
      <c r="D13000" s="132" t="n">
        <v>46838</v>
      </c>
      <c r="E13000" s="131" t="s">
        <v>62</v>
      </c>
      <c r="F13000" s="133" t="s">
        <v>24</v>
      </c>
      <c r="G13000" s="134" t="n">
        <f aca="false">LEN('Saisie programme'!$J$477)+SUMIFS('Vols additionnels'!$E$7:$E$66,'Vols additionnels'!$C$7:$C$66,$E13000,'Vols additionnels'!$D$7:$D$66,$F13000,'Vols additionnels'!$B$7:$B$66,$D13000)</f>
        <v>1</v>
      </c>
      <c r="H13000" s="135" t="n">
        <f aca="false">$G13000*'Analyse capacite'!$F$9</f>
        <v>174</v>
      </c>
      <c r="I13000" s="135" t="n">
        <f aca="false">$G13000*'Analyse capacite'!$C$9</f>
        <v>0</v>
      </c>
      <c r="J13000" s="135" t="n">
        <f aca="false">$G13000*'Analyse capacite'!$D$9</f>
        <v>12</v>
      </c>
      <c r="K13000" s="135" t="n">
        <f aca="false">$G13000*'Analyse capacite'!$E$9</f>
        <v>162</v>
      </c>
    </row>
    <row r="13001" customFormat="false" ht="15" hidden="false" customHeight="false" outlineLevel="0" collapsed="false">
      <c r="B13001" s="130" t="n">
        <v>2028</v>
      </c>
      <c r="C13001" s="131" t="s">
        <v>257</v>
      </c>
      <c r="D13001" s="132" t="n">
        <v>46839</v>
      </c>
      <c r="E13001" s="131" t="s">
        <v>12</v>
      </c>
      <c r="F13001" s="133" t="s">
        <v>11</v>
      </c>
      <c r="G13001" s="134" t="n">
        <f aca="false">LEN('Saisie programme'!$D$442)+SUMIFS('Vols additionnels'!$E$7:$E$66,'Vols additionnels'!$C$7:$C$66,$E13001,'Vols additionnels'!$D$7:$D$66,$F13001,'Vols additionnels'!$B$7:$B$66,$D13001)</f>
        <v>1</v>
      </c>
      <c r="H13001" s="135" t="n">
        <f aca="false">$G13001*'Analyse capacite'!$F$7</f>
        <v>438</v>
      </c>
      <c r="I13001" s="135" t="n">
        <f aca="false">$G13001*'Analyse capacite'!$C$7</f>
        <v>14</v>
      </c>
      <c r="J13001" s="135" t="n">
        <f aca="false">$G13001*'Analyse capacite'!$D$7</f>
        <v>40</v>
      </c>
      <c r="K13001" s="135" t="n">
        <f aca="false">$G13001*'Analyse capacite'!$E$7</f>
        <v>384</v>
      </c>
    </row>
    <row r="13002" customFormat="false" ht="15" hidden="false" customHeight="false" outlineLevel="0" collapsed="false">
      <c r="B13002" s="130" t="n">
        <v>2028</v>
      </c>
      <c r="C13002" s="131" t="s">
        <v>257</v>
      </c>
      <c r="D13002" s="132" t="n">
        <v>46839</v>
      </c>
      <c r="E13002" s="131" t="s">
        <v>12</v>
      </c>
      <c r="F13002" s="133" t="s">
        <v>19</v>
      </c>
      <c r="G13002" s="134" t="n">
        <f aca="false">LEN('Saisie programme'!$D$443)+SUMIFS('Vols additionnels'!$E$7:$E$66,'Vols additionnels'!$C$7:$C$66,$E13002,'Vols additionnels'!$D$7:$D$66,$F13002,'Vols additionnels'!$B$7:$B$66,$D13002)</f>
        <v>1</v>
      </c>
      <c r="H13002" s="135" t="n">
        <f aca="false">$G13002*'Analyse capacite'!$F$8</f>
        <v>262</v>
      </c>
      <c r="I13002" s="135" t="n">
        <f aca="false">$G13002*'Analyse capacite'!$C$8</f>
        <v>18</v>
      </c>
      <c r="J13002" s="135" t="n">
        <f aca="false">$G13002*'Analyse capacite'!$D$8</f>
        <v>0</v>
      </c>
      <c r="K13002" s="135" t="n">
        <f aca="false">$G13002*'Analyse capacite'!$E$8</f>
        <v>244</v>
      </c>
    </row>
    <row r="13003" customFormat="false" ht="15" hidden="false" customHeight="false" outlineLevel="0" collapsed="false">
      <c r="B13003" s="130" t="n">
        <v>2028</v>
      </c>
      <c r="C13003" s="131" t="s">
        <v>257</v>
      </c>
      <c r="D13003" s="132" t="n">
        <v>46839</v>
      </c>
      <c r="E13003" s="131" t="s">
        <v>12</v>
      </c>
      <c r="F13003" s="133" t="s">
        <v>24</v>
      </c>
      <c r="G13003" s="134" t="n">
        <f aca="false">LEN('Saisie programme'!$D$444)+SUMIFS('Vols additionnels'!$E$7:$E$66,'Vols additionnels'!$C$7:$C$66,$E13003,'Vols additionnels'!$D$7:$D$66,$F13003,'Vols additionnels'!$B$7:$B$66,$D13003)</f>
        <v>2</v>
      </c>
      <c r="H13003" s="135" t="n">
        <f aca="false">$G13003*'Analyse capacite'!$F$9</f>
        <v>348</v>
      </c>
      <c r="I13003" s="135" t="n">
        <f aca="false">$G13003*'Analyse capacite'!$C$9</f>
        <v>0</v>
      </c>
      <c r="J13003" s="135" t="n">
        <f aca="false">$G13003*'Analyse capacite'!$D$9</f>
        <v>24</v>
      </c>
      <c r="K13003" s="135" t="n">
        <f aca="false">$G13003*'Analyse capacite'!$E$9</f>
        <v>324</v>
      </c>
    </row>
    <row r="13004" customFormat="false" ht="15" hidden="false" customHeight="false" outlineLevel="0" collapsed="false">
      <c r="B13004" s="130" t="n">
        <v>2028</v>
      </c>
      <c r="C13004" s="131" t="s">
        <v>257</v>
      </c>
      <c r="D13004" s="132" t="n">
        <v>46839</v>
      </c>
      <c r="E13004" s="131" t="s">
        <v>20</v>
      </c>
      <c r="F13004" s="133" t="s">
        <v>11</v>
      </c>
      <c r="G13004" s="134" t="n">
        <f aca="false">LEN('Saisie programme'!$D$445)+SUMIFS('Vols additionnels'!$E$7:$E$66,'Vols additionnels'!$C$7:$C$66,$E13004,'Vols additionnels'!$D$7:$D$66,$F13004,'Vols additionnels'!$B$7:$B$66,$D13004)</f>
        <v>0</v>
      </c>
      <c r="H13004" s="135" t="n">
        <f aca="false">$G13004*'Analyse capacite'!$F$7</f>
        <v>0</v>
      </c>
      <c r="I13004" s="135" t="n">
        <f aca="false">$G13004*'Analyse capacite'!$C$7</f>
        <v>0</v>
      </c>
      <c r="J13004" s="135" t="n">
        <f aca="false">$G13004*'Analyse capacite'!$D$7</f>
        <v>0</v>
      </c>
      <c r="K13004" s="135" t="n">
        <f aca="false">$G13004*'Analyse capacite'!$E$7</f>
        <v>0</v>
      </c>
    </row>
    <row r="13005" customFormat="false" ht="15" hidden="false" customHeight="false" outlineLevel="0" collapsed="false">
      <c r="B13005" s="130" t="n">
        <v>2028</v>
      </c>
      <c r="C13005" s="131" t="s">
        <v>257</v>
      </c>
      <c r="D13005" s="132" t="n">
        <v>46839</v>
      </c>
      <c r="E13005" s="131" t="s">
        <v>20</v>
      </c>
      <c r="F13005" s="133" t="s">
        <v>19</v>
      </c>
      <c r="G13005" s="134" t="n">
        <f aca="false">LEN('Saisie programme'!$D$446)+SUMIFS('Vols additionnels'!$E$7:$E$66,'Vols additionnels'!$C$7:$C$66,$E13005,'Vols additionnels'!$D$7:$D$66,$F13005,'Vols additionnels'!$B$7:$B$66,$D13005)</f>
        <v>0</v>
      </c>
      <c r="H13005" s="135" t="n">
        <f aca="false">$G13005*'Analyse capacite'!$F$8</f>
        <v>0</v>
      </c>
      <c r="I13005" s="135" t="n">
        <f aca="false">$G13005*'Analyse capacite'!$C$8</f>
        <v>0</v>
      </c>
      <c r="J13005" s="135" t="n">
        <f aca="false">$G13005*'Analyse capacite'!$D$8</f>
        <v>0</v>
      </c>
      <c r="K13005" s="135" t="n">
        <f aca="false">$G13005*'Analyse capacite'!$E$8</f>
        <v>0</v>
      </c>
    </row>
    <row r="13006" customFormat="false" ht="15" hidden="false" customHeight="false" outlineLevel="0" collapsed="false">
      <c r="B13006" s="130" t="n">
        <v>2028</v>
      </c>
      <c r="C13006" s="131" t="s">
        <v>257</v>
      </c>
      <c r="D13006" s="132" t="n">
        <v>46839</v>
      </c>
      <c r="E13006" s="131" t="s">
        <v>20</v>
      </c>
      <c r="F13006" s="133" t="s">
        <v>24</v>
      </c>
      <c r="G13006" s="134" t="n">
        <f aca="false">LEN('Saisie programme'!$D$447)+SUMIFS('Vols additionnels'!$E$7:$E$66,'Vols additionnels'!$C$7:$C$66,$E13006,'Vols additionnels'!$D$7:$D$66,$F13006,'Vols additionnels'!$B$7:$B$66,$D13006)</f>
        <v>0</v>
      </c>
      <c r="H13006" s="135" t="n">
        <f aca="false">$G13006*'Analyse capacite'!$F$9</f>
        <v>0</v>
      </c>
      <c r="I13006" s="135" t="n">
        <f aca="false">$G13006*'Analyse capacite'!$C$9</f>
        <v>0</v>
      </c>
      <c r="J13006" s="135" t="n">
        <f aca="false">$G13006*'Analyse capacite'!$D$9</f>
        <v>0</v>
      </c>
      <c r="K13006" s="135" t="n">
        <f aca="false">$G13006*'Analyse capacite'!$E$9</f>
        <v>0</v>
      </c>
    </row>
    <row r="13007" customFormat="false" ht="15" hidden="false" customHeight="false" outlineLevel="0" collapsed="false">
      <c r="B13007" s="130" t="n">
        <v>2028</v>
      </c>
      <c r="C13007" s="131" t="s">
        <v>257</v>
      </c>
      <c r="D13007" s="132" t="n">
        <v>46839</v>
      </c>
      <c r="E13007" s="131" t="s">
        <v>25</v>
      </c>
      <c r="F13007" s="133" t="s">
        <v>11</v>
      </c>
      <c r="G13007" s="134" t="n">
        <f aca="false">LEN('Saisie programme'!$D$448)+SUMIFS('Vols additionnels'!$E$7:$E$66,'Vols additionnels'!$C$7:$C$66,$E13007,'Vols additionnels'!$D$7:$D$66,$F13007,'Vols additionnels'!$B$7:$B$66,$D13007)</f>
        <v>0</v>
      </c>
      <c r="H13007" s="135" t="n">
        <f aca="false">$G13007*'Analyse capacite'!$F$7</f>
        <v>0</v>
      </c>
      <c r="I13007" s="135" t="n">
        <f aca="false">$G13007*'Analyse capacite'!$C$7</f>
        <v>0</v>
      </c>
      <c r="J13007" s="135" t="n">
        <f aca="false">$G13007*'Analyse capacite'!$D$7</f>
        <v>0</v>
      </c>
      <c r="K13007" s="135" t="n">
        <f aca="false">$G13007*'Analyse capacite'!$E$7</f>
        <v>0</v>
      </c>
    </row>
    <row r="13008" customFormat="false" ht="15" hidden="false" customHeight="false" outlineLevel="0" collapsed="false">
      <c r="B13008" s="130" t="n">
        <v>2028</v>
      </c>
      <c r="C13008" s="131" t="s">
        <v>257</v>
      </c>
      <c r="D13008" s="132" t="n">
        <v>46839</v>
      </c>
      <c r="E13008" s="131" t="s">
        <v>25</v>
      </c>
      <c r="F13008" s="133" t="s">
        <v>19</v>
      </c>
      <c r="G13008" s="134" t="n">
        <f aca="false">LEN('Saisie programme'!$D$449)+SUMIFS('Vols additionnels'!$E$7:$E$66,'Vols additionnels'!$C$7:$C$66,$E13008,'Vols additionnels'!$D$7:$D$66,$F13008,'Vols additionnels'!$B$7:$B$66,$D13008)</f>
        <v>0</v>
      </c>
      <c r="H13008" s="135" t="n">
        <f aca="false">$G13008*'Analyse capacite'!$F$8</f>
        <v>0</v>
      </c>
      <c r="I13008" s="135" t="n">
        <f aca="false">$G13008*'Analyse capacite'!$C$8</f>
        <v>0</v>
      </c>
      <c r="J13008" s="135" t="n">
        <f aca="false">$G13008*'Analyse capacite'!$D$8</f>
        <v>0</v>
      </c>
      <c r="K13008" s="135" t="n">
        <f aca="false">$G13008*'Analyse capacite'!$E$8</f>
        <v>0</v>
      </c>
    </row>
    <row r="13009" customFormat="false" ht="15" hidden="false" customHeight="false" outlineLevel="0" collapsed="false">
      <c r="B13009" s="130" t="n">
        <v>2028</v>
      </c>
      <c r="C13009" s="131" t="s">
        <v>257</v>
      </c>
      <c r="D13009" s="132" t="n">
        <v>46839</v>
      </c>
      <c r="E13009" s="131" t="s">
        <v>25</v>
      </c>
      <c r="F13009" s="133" t="s">
        <v>24</v>
      </c>
      <c r="G13009" s="134" t="n">
        <f aca="false">LEN('Saisie programme'!$D$450)+SUMIFS('Vols additionnels'!$E$7:$E$66,'Vols additionnels'!$C$7:$C$66,$E13009,'Vols additionnels'!$D$7:$D$66,$F13009,'Vols additionnels'!$B$7:$B$66,$D13009)</f>
        <v>0</v>
      </c>
      <c r="H13009" s="135" t="n">
        <f aca="false">$G13009*'Analyse capacite'!$F$9</f>
        <v>0</v>
      </c>
      <c r="I13009" s="135" t="n">
        <f aca="false">$G13009*'Analyse capacite'!$C$9</f>
        <v>0</v>
      </c>
      <c r="J13009" s="135" t="n">
        <f aca="false">$G13009*'Analyse capacite'!$D$9</f>
        <v>0</v>
      </c>
      <c r="K13009" s="135" t="n">
        <f aca="false">$G13009*'Analyse capacite'!$E$9</f>
        <v>0</v>
      </c>
    </row>
    <row r="13010" customFormat="false" ht="15" hidden="false" customHeight="false" outlineLevel="0" collapsed="false">
      <c r="B13010" s="130" t="n">
        <v>2028</v>
      </c>
      <c r="C13010" s="131" t="s">
        <v>257</v>
      </c>
      <c r="D13010" s="132" t="n">
        <v>46839</v>
      </c>
      <c r="E13010" s="131" t="s">
        <v>36</v>
      </c>
      <c r="F13010" s="133" t="s">
        <v>11</v>
      </c>
      <c r="G13010" s="134" t="n">
        <f aca="false">LEN('Saisie programme'!$D$451)+SUMIFS('Vols additionnels'!$E$7:$E$66,'Vols additionnels'!$C$7:$C$66,$E13010,'Vols additionnels'!$D$7:$D$66,$F13010,'Vols additionnels'!$B$7:$B$66,$D13010)</f>
        <v>0</v>
      </c>
      <c r="H13010" s="135" t="n">
        <f aca="false">$G13010*'Analyse capacite'!$F$7</f>
        <v>0</v>
      </c>
      <c r="I13010" s="135" t="n">
        <f aca="false">$G13010*'Analyse capacite'!$C$7</f>
        <v>0</v>
      </c>
      <c r="J13010" s="135" t="n">
        <f aca="false">$G13010*'Analyse capacite'!$D$7</f>
        <v>0</v>
      </c>
      <c r="K13010" s="135" t="n">
        <f aca="false">$G13010*'Analyse capacite'!$E$7</f>
        <v>0</v>
      </c>
    </row>
    <row r="13011" customFormat="false" ht="15" hidden="false" customHeight="false" outlineLevel="0" collapsed="false">
      <c r="B13011" s="130" t="n">
        <v>2028</v>
      </c>
      <c r="C13011" s="131" t="s">
        <v>257</v>
      </c>
      <c r="D13011" s="132" t="n">
        <v>46839</v>
      </c>
      <c r="E13011" s="131" t="s">
        <v>36</v>
      </c>
      <c r="F13011" s="133" t="s">
        <v>19</v>
      </c>
      <c r="G13011" s="134" t="n">
        <f aca="false">LEN('Saisie programme'!$D$452)+SUMIFS('Vols additionnels'!$E$7:$E$66,'Vols additionnels'!$C$7:$C$66,$E13011,'Vols additionnels'!$D$7:$D$66,$F13011,'Vols additionnels'!$B$7:$B$66,$D13011)</f>
        <v>0</v>
      </c>
      <c r="H13011" s="135" t="n">
        <f aca="false">$G13011*'Analyse capacite'!$F$8</f>
        <v>0</v>
      </c>
      <c r="I13011" s="135" t="n">
        <f aca="false">$G13011*'Analyse capacite'!$C$8</f>
        <v>0</v>
      </c>
      <c r="J13011" s="135" t="n">
        <f aca="false">$G13011*'Analyse capacite'!$D$8</f>
        <v>0</v>
      </c>
      <c r="K13011" s="135" t="n">
        <f aca="false">$G13011*'Analyse capacite'!$E$8</f>
        <v>0</v>
      </c>
    </row>
    <row r="13012" customFormat="false" ht="15" hidden="false" customHeight="false" outlineLevel="0" collapsed="false">
      <c r="B13012" s="130" t="n">
        <v>2028</v>
      </c>
      <c r="C13012" s="131" t="s">
        <v>257</v>
      </c>
      <c r="D13012" s="132" t="n">
        <v>46839</v>
      </c>
      <c r="E13012" s="131" t="s">
        <v>36</v>
      </c>
      <c r="F13012" s="133" t="s">
        <v>24</v>
      </c>
      <c r="G13012" s="134" t="n">
        <f aca="false">LEN('Saisie programme'!$D$453)+SUMIFS('Vols additionnels'!$E$7:$E$66,'Vols additionnels'!$C$7:$C$66,$E13012,'Vols additionnels'!$D$7:$D$66,$F13012,'Vols additionnels'!$B$7:$B$66,$D13012)</f>
        <v>1</v>
      </c>
      <c r="H13012" s="135" t="n">
        <f aca="false">$G13012*'Analyse capacite'!$F$9</f>
        <v>174</v>
      </c>
      <c r="I13012" s="135" t="n">
        <f aca="false">$G13012*'Analyse capacite'!$C$9</f>
        <v>0</v>
      </c>
      <c r="J13012" s="135" t="n">
        <f aca="false">$G13012*'Analyse capacite'!$D$9</f>
        <v>12</v>
      </c>
      <c r="K13012" s="135" t="n">
        <f aca="false">$G13012*'Analyse capacite'!$E$9</f>
        <v>162</v>
      </c>
    </row>
    <row r="13013" customFormat="false" ht="15" hidden="false" customHeight="false" outlineLevel="0" collapsed="false">
      <c r="B13013" s="130" t="n">
        <v>2028</v>
      </c>
      <c r="C13013" s="131" t="s">
        <v>257</v>
      </c>
      <c r="D13013" s="132" t="n">
        <v>46839</v>
      </c>
      <c r="E13013" s="131" t="s">
        <v>40</v>
      </c>
      <c r="F13013" s="133" t="s">
        <v>11</v>
      </c>
      <c r="G13013" s="134" t="n">
        <f aca="false">LEN('Saisie programme'!$D$454)+SUMIFS('Vols additionnels'!$E$7:$E$66,'Vols additionnels'!$C$7:$C$66,$E13013,'Vols additionnels'!$D$7:$D$66,$F13013,'Vols additionnels'!$B$7:$B$66,$D13013)</f>
        <v>0</v>
      </c>
      <c r="H13013" s="135" t="n">
        <f aca="false">$G13013*'Analyse capacite'!$F$7</f>
        <v>0</v>
      </c>
      <c r="I13013" s="135" t="n">
        <f aca="false">$G13013*'Analyse capacite'!$C$7</f>
        <v>0</v>
      </c>
      <c r="J13013" s="135" t="n">
        <f aca="false">$G13013*'Analyse capacite'!$D$7</f>
        <v>0</v>
      </c>
      <c r="K13013" s="135" t="n">
        <f aca="false">$G13013*'Analyse capacite'!$E$7</f>
        <v>0</v>
      </c>
    </row>
    <row r="13014" customFormat="false" ht="15" hidden="false" customHeight="false" outlineLevel="0" collapsed="false">
      <c r="B13014" s="130" t="n">
        <v>2028</v>
      </c>
      <c r="C13014" s="131" t="s">
        <v>257</v>
      </c>
      <c r="D13014" s="132" t="n">
        <v>46839</v>
      </c>
      <c r="E13014" s="131" t="s">
        <v>40</v>
      </c>
      <c r="F13014" s="133" t="s">
        <v>19</v>
      </c>
      <c r="G13014" s="134" t="n">
        <f aca="false">LEN('Saisie programme'!$D$455)+SUMIFS('Vols additionnels'!$E$7:$E$66,'Vols additionnels'!$C$7:$C$66,$E13014,'Vols additionnels'!$D$7:$D$66,$F13014,'Vols additionnels'!$B$7:$B$66,$D13014)</f>
        <v>0</v>
      </c>
      <c r="H13014" s="135" t="n">
        <f aca="false">$G13014*'Analyse capacite'!$F$8</f>
        <v>0</v>
      </c>
      <c r="I13014" s="135" t="n">
        <f aca="false">$G13014*'Analyse capacite'!$C$8</f>
        <v>0</v>
      </c>
      <c r="J13014" s="135" t="n">
        <f aca="false">$G13014*'Analyse capacite'!$D$8</f>
        <v>0</v>
      </c>
      <c r="K13014" s="135" t="n">
        <f aca="false">$G13014*'Analyse capacite'!$E$8</f>
        <v>0</v>
      </c>
    </row>
    <row r="13015" customFormat="false" ht="15" hidden="false" customHeight="false" outlineLevel="0" collapsed="false">
      <c r="B13015" s="130" t="n">
        <v>2028</v>
      </c>
      <c r="C13015" s="131" t="s">
        <v>257</v>
      </c>
      <c r="D13015" s="132" t="n">
        <v>46839</v>
      </c>
      <c r="E13015" s="131" t="s">
        <v>40</v>
      </c>
      <c r="F13015" s="133" t="s">
        <v>24</v>
      </c>
      <c r="G13015" s="134" t="n">
        <f aca="false">LEN('Saisie programme'!$D$456)+SUMIFS('Vols additionnels'!$E$7:$E$66,'Vols additionnels'!$C$7:$C$66,$E13015,'Vols additionnels'!$D$7:$D$66,$F13015,'Vols additionnels'!$B$7:$B$66,$D13015)</f>
        <v>1</v>
      </c>
      <c r="H13015" s="135" t="n">
        <f aca="false">$G13015*'Analyse capacite'!$F$9</f>
        <v>174</v>
      </c>
      <c r="I13015" s="135" t="n">
        <f aca="false">$G13015*'Analyse capacite'!$C$9</f>
        <v>0</v>
      </c>
      <c r="J13015" s="135" t="n">
        <f aca="false">$G13015*'Analyse capacite'!$D$9</f>
        <v>12</v>
      </c>
      <c r="K13015" s="135" t="n">
        <f aca="false">$G13015*'Analyse capacite'!$E$9</f>
        <v>162</v>
      </c>
    </row>
    <row r="13016" customFormat="false" ht="15" hidden="false" customHeight="false" outlineLevel="0" collapsed="false">
      <c r="B13016" s="130" t="n">
        <v>2028</v>
      </c>
      <c r="C13016" s="131" t="s">
        <v>257</v>
      </c>
      <c r="D13016" s="132" t="n">
        <v>46839</v>
      </c>
      <c r="E13016" s="131" t="s">
        <v>14</v>
      </c>
      <c r="F13016" s="133" t="s">
        <v>11</v>
      </c>
      <c r="G13016" s="134" t="n">
        <f aca="false">LEN('Saisie programme'!$D$457)+SUMIFS('Vols additionnels'!$E$7:$E$66,'Vols additionnels'!$C$7:$C$66,$E13016,'Vols additionnels'!$D$7:$D$66,$F13016,'Vols additionnels'!$B$7:$B$66,$D13016)</f>
        <v>0</v>
      </c>
      <c r="H13016" s="135" t="n">
        <f aca="false">$G13016*'Analyse capacite'!$F$7</f>
        <v>0</v>
      </c>
      <c r="I13016" s="135" t="n">
        <f aca="false">$G13016*'Analyse capacite'!$C$7</f>
        <v>0</v>
      </c>
      <c r="J13016" s="135" t="n">
        <f aca="false">$G13016*'Analyse capacite'!$D$7</f>
        <v>0</v>
      </c>
      <c r="K13016" s="135" t="n">
        <f aca="false">$G13016*'Analyse capacite'!$E$7</f>
        <v>0</v>
      </c>
    </row>
    <row r="13017" customFormat="false" ht="15" hidden="false" customHeight="false" outlineLevel="0" collapsed="false">
      <c r="B13017" s="130" t="n">
        <v>2028</v>
      </c>
      <c r="C13017" s="131" t="s">
        <v>257</v>
      </c>
      <c r="D13017" s="132" t="n">
        <v>46839</v>
      </c>
      <c r="E13017" s="131" t="s">
        <v>14</v>
      </c>
      <c r="F13017" s="133" t="s">
        <v>19</v>
      </c>
      <c r="G13017" s="134" t="n">
        <f aca="false">LEN('Saisie programme'!$D$458)+SUMIFS('Vols additionnels'!$E$7:$E$66,'Vols additionnels'!$C$7:$C$66,$E13017,'Vols additionnels'!$D$7:$D$66,$F13017,'Vols additionnels'!$B$7:$B$66,$D13017)</f>
        <v>0</v>
      </c>
      <c r="H13017" s="135" t="n">
        <f aca="false">$G13017*'Analyse capacite'!$F$8</f>
        <v>0</v>
      </c>
      <c r="I13017" s="135" t="n">
        <f aca="false">$G13017*'Analyse capacite'!$C$8</f>
        <v>0</v>
      </c>
      <c r="J13017" s="135" t="n">
        <f aca="false">$G13017*'Analyse capacite'!$D$8</f>
        <v>0</v>
      </c>
      <c r="K13017" s="135" t="n">
        <f aca="false">$G13017*'Analyse capacite'!$E$8</f>
        <v>0</v>
      </c>
    </row>
    <row r="13018" customFormat="false" ht="15" hidden="false" customHeight="false" outlineLevel="0" collapsed="false">
      <c r="B13018" s="130" t="n">
        <v>2028</v>
      </c>
      <c r="C13018" s="131" t="s">
        <v>257</v>
      </c>
      <c r="D13018" s="132" t="n">
        <v>46839</v>
      </c>
      <c r="E13018" s="131" t="s">
        <v>14</v>
      </c>
      <c r="F13018" s="133" t="s">
        <v>24</v>
      </c>
      <c r="G13018" s="134" t="n">
        <f aca="false">LEN('Saisie programme'!$D$459)+SUMIFS('Vols additionnels'!$E$7:$E$66,'Vols additionnels'!$C$7:$C$66,$E13018,'Vols additionnels'!$D$7:$D$66,$F13018,'Vols additionnels'!$B$7:$B$66,$D13018)</f>
        <v>1</v>
      </c>
      <c r="H13018" s="135" t="n">
        <f aca="false">$G13018*'Analyse capacite'!$F$9</f>
        <v>174</v>
      </c>
      <c r="I13018" s="135" t="n">
        <f aca="false">$G13018*'Analyse capacite'!$C$9</f>
        <v>0</v>
      </c>
      <c r="J13018" s="135" t="n">
        <f aca="false">$G13018*'Analyse capacite'!$D$9</f>
        <v>12</v>
      </c>
      <c r="K13018" s="135" t="n">
        <f aca="false">$G13018*'Analyse capacite'!$E$9</f>
        <v>162</v>
      </c>
    </row>
    <row r="13019" customFormat="false" ht="15" hidden="false" customHeight="false" outlineLevel="0" collapsed="false">
      <c r="B13019" s="130" t="n">
        <v>2028</v>
      </c>
      <c r="C13019" s="131" t="s">
        <v>257</v>
      </c>
      <c r="D13019" s="132" t="n">
        <v>46839</v>
      </c>
      <c r="E13019" s="131" t="s">
        <v>46</v>
      </c>
      <c r="F13019" s="133" t="s">
        <v>11</v>
      </c>
      <c r="G13019" s="134" t="n">
        <f aca="false">LEN('Saisie programme'!$D$460)+SUMIFS('Vols additionnels'!$E$7:$E$66,'Vols additionnels'!$C$7:$C$66,$E13019,'Vols additionnels'!$D$7:$D$66,$F13019,'Vols additionnels'!$B$7:$B$66,$D13019)</f>
        <v>0</v>
      </c>
      <c r="H13019" s="135" t="n">
        <f aca="false">$G13019*'Analyse capacite'!$F$7</f>
        <v>0</v>
      </c>
      <c r="I13019" s="135" t="n">
        <f aca="false">$G13019*'Analyse capacite'!$C$7</f>
        <v>0</v>
      </c>
      <c r="J13019" s="135" t="n">
        <f aca="false">$G13019*'Analyse capacite'!$D$7</f>
        <v>0</v>
      </c>
      <c r="K13019" s="135" t="n">
        <f aca="false">$G13019*'Analyse capacite'!$E$7</f>
        <v>0</v>
      </c>
    </row>
    <row r="13020" customFormat="false" ht="15" hidden="false" customHeight="false" outlineLevel="0" collapsed="false">
      <c r="B13020" s="130" t="n">
        <v>2028</v>
      </c>
      <c r="C13020" s="131" t="s">
        <v>257</v>
      </c>
      <c r="D13020" s="132" t="n">
        <v>46839</v>
      </c>
      <c r="E13020" s="131" t="s">
        <v>46</v>
      </c>
      <c r="F13020" s="133" t="s">
        <v>19</v>
      </c>
      <c r="G13020" s="134" t="n">
        <f aca="false">LEN('Saisie programme'!$D$461)+SUMIFS('Vols additionnels'!$E$7:$E$66,'Vols additionnels'!$C$7:$C$66,$E13020,'Vols additionnels'!$D$7:$D$66,$F13020,'Vols additionnels'!$B$7:$B$66,$D13020)</f>
        <v>0</v>
      </c>
      <c r="H13020" s="135" t="n">
        <f aca="false">$G13020*'Analyse capacite'!$F$8</f>
        <v>0</v>
      </c>
      <c r="I13020" s="135" t="n">
        <f aca="false">$G13020*'Analyse capacite'!$C$8</f>
        <v>0</v>
      </c>
      <c r="J13020" s="135" t="n">
        <f aca="false">$G13020*'Analyse capacite'!$D$8</f>
        <v>0</v>
      </c>
      <c r="K13020" s="135" t="n">
        <f aca="false">$G13020*'Analyse capacite'!$E$8</f>
        <v>0</v>
      </c>
    </row>
    <row r="13021" customFormat="false" ht="15" hidden="false" customHeight="false" outlineLevel="0" collapsed="false">
      <c r="B13021" s="130" t="n">
        <v>2028</v>
      </c>
      <c r="C13021" s="131" t="s">
        <v>257</v>
      </c>
      <c r="D13021" s="132" t="n">
        <v>46839</v>
      </c>
      <c r="E13021" s="131" t="s">
        <v>46</v>
      </c>
      <c r="F13021" s="133" t="s">
        <v>24</v>
      </c>
      <c r="G13021" s="134" t="n">
        <f aca="false">LEN('Saisie programme'!$D$462)+SUMIFS('Vols additionnels'!$E$7:$E$66,'Vols additionnels'!$C$7:$C$66,$E13021,'Vols additionnels'!$D$7:$D$66,$F13021,'Vols additionnels'!$B$7:$B$66,$D13021)</f>
        <v>0</v>
      </c>
      <c r="H13021" s="135" t="n">
        <f aca="false">$G13021*'Analyse capacite'!$F$9</f>
        <v>0</v>
      </c>
      <c r="I13021" s="135" t="n">
        <f aca="false">$G13021*'Analyse capacite'!$C$9</f>
        <v>0</v>
      </c>
      <c r="J13021" s="135" t="n">
        <f aca="false">$G13021*'Analyse capacite'!$D$9</f>
        <v>0</v>
      </c>
      <c r="K13021" s="135" t="n">
        <f aca="false">$G13021*'Analyse capacite'!$E$9</f>
        <v>0</v>
      </c>
    </row>
    <row r="13022" customFormat="false" ht="15" hidden="false" customHeight="false" outlineLevel="0" collapsed="false">
      <c r="B13022" s="130" t="n">
        <v>2028</v>
      </c>
      <c r="C13022" s="131" t="s">
        <v>257</v>
      </c>
      <c r="D13022" s="132" t="n">
        <v>46839</v>
      </c>
      <c r="E13022" s="131" t="s">
        <v>49</v>
      </c>
      <c r="F13022" s="133" t="s">
        <v>11</v>
      </c>
      <c r="G13022" s="134" t="n">
        <f aca="false">LEN('Saisie programme'!$D$463)+SUMIFS('Vols additionnels'!$E$7:$E$66,'Vols additionnels'!$C$7:$C$66,$E13022,'Vols additionnels'!$D$7:$D$66,$F13022,'Vols additionnels'!$B$7:$B$66,$D13022)</f>
        <v>0</v>
      </c>
      <c r="H13022" s="135" t="n">
        <f aca="false">$G13022*'Analyse capacite'!$F$7</f>
        <v>0</v>
      </c>
      <c r="I13022" s="135" t="n">
        <f aca="false">$G13022*'Analyse capacite'!$C$7</f>
        <v>0</v>
      </c>
      <c r="J13022" s="135" t="n">
        <f aca="false">$G13022*'Analyse capacite'!$D$7</f>
        <v>0</v>
      </c>
      <c r="K13022" s="135" t="n">
        <f aca="false">$G13022*'Analyse capacite'!$E$7</f>
        <v>0</v>
      </c>
    </row>
    <row r="13023" customFormat="false" ht="15" hidden="false" customHeight="false" outlineLevel="0" collapsed="false">
      <c r="B13023" s="130" t="n">
        <v>2028</v>
      </c>
      <c r="C13023" s="131" t="s">
        <v>257</v>
      </c>
      <c r="D13023" s="132" t="n">
        <v>46839</v>
      </c>
      <c r="E13023" s="131" t="s">
        <v>49</v>
      </c>
      <c r="F13023" s="133" t="s">
        <v>19</v>
      </c>
      <c r="G13023" s="134" t="n">
        <f aca="false">LEN('Saisie programme'!$D$464)+SUMIFS('Vols additionnels'!$E$7:$E$66,'Vols additionnels'!$C$7:$C$66,$E13023,'Vols additionnels'!$D$7:$D$66,$F13023,'Vols additionnels'!$B$7:$B$66,$D13023)</f>
        <v>1</v>
      </c>
      <c r="H13023" s="135" t="n">
        <f aca="false">$G13023*'Analyse capacite'!$F$8</f>
        <v>262</v>
      </c>
      <c r="I13023" s="135" t="n">
        <f aca="false">$G13023*'Analyse capacite'!$C$8</f>
        <v>18</v>
      </c>
      <c r="J13023" s="135" t="n">
        <f aca="false">$G13023*'Analyse capacite'!$D$8</f>
        <v>0</v>
      </c>
      <c r="K13023" s="135" t="n">
        <f aca="false">$G13023*'Analyse capacite'!$E$8</f>
        <v>244</v>
      </c>
    </row>
    <row r="13024" customFormat="false" ht="15" hidden="false" customHeight="false" outlineLevel="0" collapsed="false">
      <c r="B13024" s="130" t="n">
        <v>2028</v>
      </c>
      <c r="C13024" s="131" t="s">
        <v>257</v>
      </c>
      <c r="D13024" s="132" t="n">
        <v>46839</v>
      </c>
      <c r="E13024" s="131" t="s">
        <v>49</v>
      </c>
      <c r="F13024" s="133" t="s">
        <v>24</v>
      </c>
      <c r="G13024" s="134" t="n">
        <f aca="false">LEN('Saisie programme'!$D$465)+SUMIFS('Vols additionnels'!$E$7:$E$66,'Vols additionnels'!$C$7:$C$66,$E13024,'Vols additionnels'!$D$7:$D$66,$F13024,'Vols additionnels'!$B$7:$B$66,$D13024)</f>
        <v>0</v>
      </c>
      <c r="H13024" s="135" t="n">
        <f aca="false">$G13024*'Analyse capacite'!$F$9</f>
        <v>0</v>
      </c>
      <c r="I13024" s="135" t="n">
        <f aca="false">$G13024*'Analyse capacite'!$C$9</f>
        <v>0</v>
      </c>
      <c r="J13024" s="135" t="n">
        <f aca="false">$G13024*'Analyse capacite'!$D$9</f>
        <v>0</v>
      </c>
      <c r="K13024" s="135" t="n">
        <f aca="false">$G13024*'Analyse capacite'!$E$9</f>
        <v>0</v>
      </c>
    </row>
    <row r="13025" customFormat="false" ht="15" hidden="false" customHeight="false" outlineLevel="0" collapsed="false">
      <c r="B13025" s="130" t="n">
        <v>2028</v>
      </c>
      <c r="C13025" s="131" t="s">
        <v>257</v>
      </c>
      <c r="D13025" s="132" t="n">
        <v>46839</v>
      </c>
      <c r="E13025" s="131" t="s">
        <v>53</v>
      </c>
      <c r="F13025" s="133" t="s">
        <v>11</v>
      </c>
      <c r="G13025" s="134" t="n">
        <f aca="false">LEN('Saisie programme'!$D$466)+SUMIFS('Vols additionnels'!$E$7:$E$66,'Vols additionnels'!$C$7:$C$66,$E13025,'Vols additionnels'!$D$7:$D$66,$F13025,'Vols additionnels'!$B$7:$B$66,$D13025)</f>
        <v>0</v>
      </c>
      <c r="H13025" s="135" t="n">
        <f aca="false">$G13025*'Analyse capacite'!$F$7</f>
        <v>0</v>
      </c>
      <c r="I13025" s="135" t="n">
        <f aca="false">$G13025*'Analyse capacite'!$C$7</f>
        <v>0</v>
      </c>
      <c r="J13025" s="135" t="n">
        <f aca="false">$G13025*'Analyse capacite'!$D$7</f>
        <v>0</v>
      </c>
      <c r="K13025" s="135" t="n">
        <f aca="false">$G13025*'Analyse capacite'!$E$7</f>
        <v>0</v>
      </c>
    </row>
    <row r="13026" customFormat="false" ht="15" hidden="false" customHeight="false" outlineLevel="0" collapsed="false">
      <c r="B13026" s="130" t="n">
        <v>2028</v>
      </c>
      <c r="C13026" s="131" t="s">
        <v>257</v>
      </c>
      <c r="D13026" s="132" t="n">
        <v>46839</v>
      </c>
      <c r="E13026" s="131" t="s">
        <v>53</v>
      </c>
      <c r="F13026" s="133" t="s">
        <v>19</v>
      </c>
      <c r="G13026" s="134" t="n">
        <f aca="false">LEN('Saisie programme'!$D$467)+SUMIFS('Vols additionnels'!$E$7:$E$66,'Vols additionnels'!$C$7:$C$66,$E13026,'Vols additionnels'!$D$7:$D$66,$F13026,'Vols additionnels'!$B$7:$B$66,$D13026)</f>
        <v>0</v>
      </c>
      <c r="H13026" s="135" t="n">
        <f aca="false">$G13026*'Analyse capacite'!$F$8</f>
        <v>0</v>
      </c>
      <c r="I13026" s="135" t="n">
        <f aca="false">$G13026*'Analyse capacite'!$C$8</f>
        <v>0</v>
      </c>
      <c r="J13026" s="135" t="n">
        <f aca="false">$G13026*'Analyse capacite'!$D$8</f>
        <v>0</v>
      </c>
      <c r="K13026" s="135" t="n">
        <f aca="false">$G13026*'Analyse capacite'!$E$8</f>
        <v>0</v>
      </c>
    </row>
    <row r="13027" customFormat="false" ht="15" hidden="false" customHeight="false" outlineLevel="0" collapsed="false">
      <c r="B13027" s="130" t="n">
        <v>2028</v>
      </c>
      <c r="C13027" s="131" t="s">
        <v>257</v>
      </c>
      <c r="D13027" s="132" t="n">
        <v>46839</v>
      </c>
      <c r="E13027" s="131" t="s">
        <v>53</v>
      </c>
      <c r="F13027" s="133" t="s">
        <v>24</v>
      </c>
      <c r="G13027" s="134" t="n">
        <f aca="false">LEN('Saisie programme'!$D$468)+SUMIFS('Vols additionnels'!$E$7:$E$66,'Vols additionnels'!$C$7:$C$66,$E13027,'Vols additionnels'!$D$7:$D$66,$F13027,'Vols additionnels'!$B$7:$B$66,$D13027)</f>
        <v>0</v>
      </c>
      <c r="H13027" s="135" t="n">
        <f aca="false">$G13027*'Analyse capacite'!$F$9</f>
        <v>0</v>
      </c>
      <c r="I13027" s="135" t="n">
        <f aca="false">$G13027*'Analyse capacite'!$C$9</f>
        <v>0</v>
      </c>
      <c r="J13027" s="135" t="n">
        <f aca="false">$G13027*'Analyse capacite'!$D$9</f>
        <v>0</v>
      </c>
      <c r="K13027" s="135" t="n">
        <f aca="false">$G13027*'Analyse capacite'!$E$9</f>
        <v>0</v>
      </c>
    </row>
    <row r="13028" customFormat="false" ht="15" hidden="false" customHeight="false" outlineLevel="0" collapsed="false">
      <c r="B13028" s="130" t="n">
        <v>2028</v>
      </c>
      <c r="C13028" s="131" t="s">
        <v>257</v>
      </c>
      <c r="D13028" s="132" t="n">
        <v>46839</v>
      </c>
      <c r="E13028" s="131" t="s">
        <v>56</v>
      </c>
      <c r="F13028" s="133" t="s">
        <v>11</v>
      </c>
      <c r="G13028" s="134" t="n">
        <f aca="false">LEN('Saisie programme'!$D$469)+SUMIFS('Vols additionnels'!$E$7:$E$66,'Vols additionnels'!$C$7:$C$66,$E13028,'Vols additionnels'!$D$7:$D$66,$F13028,'Vols additionnels'!$B$7:$B$66,$D13028)</f>
        <v>0</v>
      </c>
      <c r="H13028" s="135" t="n">
        <f aca="false">$G13028*'Analyse capacite'!$F$7</f>
        <v>0</v>
      </c>
      <c r="I13028" s="135" t="n">
        <f aca="false">$G13028*'Analyse capacite'!$C$7</f>
        <v>0</v>
      </c>
      <c r="J13028" s="135" t="n">
        <f aca="false">$G13028*'Analyse capacite'!$D$7</f>
        <v>0</v>
      </c>
      <c r="K13028" s="135" t="n">
        <f aca="false">$G13028*'Analyse capacite'!$E$7</f>
        <v>0</v>
      </c>
    </row>
    <row r="13029" customFormat="false" ht="15" hidden="false" customHeight="false" outlineLevel="0" collapsed="false">
      <c r="B13029" s="130" t="n">
        <v>2028</v>
      </c>
      <c r="C13029" s="131" t="s">
        <v>257</v>
      </c>
      <c r="D13029" s="132" t="n">
        <v>46839</v>
      </c>
      <c r="E13029" s="131" t="s">
        <v>56</v>
      </c>
      <c r="F13029" s="133" t="s">
        <v>19</v>
      </c>
      <c r="G13029" s="134" t="n">
        <f aca="false">LEN('Saisie programme'!$D$470)+SUMIFS('Vols additionnels'!$E$7:$E$66,'Vols additionnels'!$C$7:$C$66,$E13029,'Vols additionnels'!$D$7:$D$66,$F13029,'Vols additionnels'!$B$7:$B$66,$D13029)</f>
        <v>0</v>
      </c>
      <c r="H13029" s="135" t="n">
        <f aca="false">$G13029*'Analyse capacite'!$F$8</f>
        <v>0</v>
      </c>
      <c r="I13029" s="135" t="n">
        <f aca="false">$G13029*'Analyse capacite'!$C$8</f>
        <v>0</v>
      </c>
      <c r="J13029" s="135" t="n">
        <f aca="false">$G13029*'Analyse capacite'!$D$8</f>
        <v>0</v>
      </c>
      <c r="K13029" s="135" t="n">
        <f aca="false">$G13029*'Analyse capacite'!$E$8</f>
        <v>0</v>
      </c>
    </row>
    <row r="13030" customFormat="false" ht="15" hidden="false" customHeight="false" outlineLevel="0" collapsed="false">
      <c r="B13030" s="130" t="n">
        <v>2028</v>
      </c>
      <c r="C13030" s="131" t="s">
        <v>257</v>
      </c>
      <c r="D13030" s="132" t="n">
        <v>46839</v>
      </c>
      <c r="E13030" s="131" t="s">
        <v>56</v>
      </c>
      <c r="F13030" s="133" t="s">
        <v>24</v>
      </c>
      <c r="G13030" s="134" t="n">
        <f aca="false">LEN('Saisie programme'!$D$471)+SUMIFS('Vols additionnels'!$E$7:$E$66,'Vols additionnels'!$C$7:$C$66,$E13030,'Vols additionnels'!$D$7:$D$66,$F13030,'Vols additionnels'!$B$7:$B$66,$D13030)</f>
        <v>0</v>
      </c>
      <c r="H13030" s="135" t="n">
        <f aca="false">$G13030*'Analyse capacite'!$F$9</f>
        <v>0</v>
      </c>
      <c r="I13030" s="135" t="n">
        <f aca="false">$G13030*'Analyse capacite'!$C$9</f>
        <v>0</v>
      </c>
      <c r="J13030" s="135" t="n">
        <f aca="false">$G13030*'Analyse capacite'!$D$9</f>
        <v>0</v>
      </c>
      <c r="K13030" s="135" t="n">
        <f aca="false">$G13030*'Analyse capacite'!$E$9</f>
        <v>0</v>
      </c>
    </row>
    <row r="13031" customFormat="false" ht="15" hidden="false" customHeight="false" outlineLevel="0" collapsed="false">
      <c r="B13031" s="130" t="n">
        <v>2028</v>
      </c>
      <c r="C13031" s="131" t="s">
        <v>257</v>
      </c>
      <c r="D13031" s="132" t="n">
        <v>46839</v>
      </c>
      <c r="E13031" s="131" t="s">
        <v>59</v>
      </c>
      <c r="F13031" s="133" t="s">
        <v>11</v>
      </c>
      <c r="G13031" s="134" t="n">
        <f aca="false">LEN('Saisie programme'!$D$472)+SUMIFS('Vols additionnels'!$E$7:$E$66,'Vols additionnels'!$C$7:$C$66,$E13031,'Vols additionnels'!$D$7:$D$66,$F13031,'Vols additionnels'!$B$7:$B$66,$D13031)</f>
        <v>0</v>
      </c>
      <c r="H13031" s="135" t="n">
        <f aca="false">$G13031*'Analyse capacite'!$F$7</f>
        <v>0</v>
      </c>
      <c r="I13031" s="135" t="n">
        <f aca="false">$G13031*'Analyse capacite'!$C$7</f>
        <v>0</v>
      </c>
      <c r="J13031" s="135" t="n">
        <f aca="false">$G13031*'Analyse capacite'!$D$7</f>
        <v>0</v>
      </c>
      <c r="K13031" s="135" t="n">
        <f aca="false">$G13031*'Analyse capacite'!$E$7</f>
        <v>0</v>
      </c>
    </row>
    <row r="13032" customFormat="false" ht="15" hidden="false" customHeight="false" outlineLevel="0" collapsed="false">
      <c r="B13032" s="130" t="n">
        <v>2028</v>
      </c>
      <c r="C13032" s="131" t="s">
        <v>257</v>
      </c>
      <c r="D13032" s="132" t="n">
        <v>46839</v>
      </c>
      <c r="E13032" s="131" t="s">
        <v>59</v>
      </c>
      <c r="F13032" s="133" t="s">
        <v>19</v>
      </c>
      <c r="G13032" s="134" t="n">
        <f aca="false">LEN('Saisie programme'!$D$473)+SUMIFS('Vols additionnels'!$E$7:$E$66,'Vols additionnels'!$C$7:$C$66,$E13032,'Vols additionnels'!$D$7:$D$66,$F13032,'Vols additionnels'!$B$7:$B$66,$D13032)</f>
        <v>0</v>
      </c>
      <c r="H13032" s="135" t="n">
        <f aca="false">$G13032*'Analyse capacite'!$F$8</f>
        <v>0</v>
      </c>
      <c r="I13032" s="135" t="n">
        <f aca="false">$G13032*'Analyse capacite'!$C$8</f>
        <v>0</v>
      </c>
      <c r="J13032" s="135" t="n">
        <f aca="false">$G13032*'Analyse capacite'!$D$8</f>
        <v>0</v>
      </c>
      <c r="K13032" s="135" t="n">
        <f aca="false">$G13032*'Analyse capacite'!$E$8</f>
        <v>0</v>
      </c>
    </row>
    <row r="13033" customFormat="false" ht="15" hidden="false" customHeight="false" outlineLevel="0" collapsed="false">
      <c r="B13033" s="130" t="n">
        <v>2028</v>
      </c>
      <c r="C13033" s="131" t="s">
        <v>257</v>
      </c>
      <c r="D13033" s="132" t="n">
        <v>46839</v>
      </c>
      <c r="E13033" s="131" t="s">
        <v>59</v>
      </c>
      <c r="F13033" s="133" t="s">
        <v>24</v>
      </c>
      <c r="G13033" s="134" t="n">
        <f aca="false">LEN('Saisie programme'!$D$474)+SUMIFS('Vols additionnels'!$E$7:$E$66,'Vols additionnels'!$C$7:$C$66,$E13033,'Vols additionnels'!$D$7:$D$66,$F13033,'Vols additionnels'!$B$7:$B$66,$D13033)</f>
        <v>1</v>
      </c>
      <c r="H13033" s="135" t="n">
        <f aca="false">$G13033*'Analyse capacite'!$F$9</f>
        <v>174</v>
      </c>
      <c r="I13033" s="135" t="n">
        <f aca="false">$G13033*'Analyse capacite'!$C$9</f>
        <v>0</v>
      </c>
      <c r="J13033" s="135" t="n">
        <f aca="false">$G13033*'Analyse capacite'!$D$9</f>
        <v>12</v>
      </c>
      <c r="K13033" s="135" t="n">
        <f aca="false">$G13033*'Analyse capacite'!$E$9</f>
        <v>162</v>
      </c>
    </row>
    <row r="13034" customFormat="false" ht="15" hidden="false" customHeight="false" outlineLevel="0" collapsed="false">
      <c r="B13034" s="130" t="n">
        <v>2028</v>
      </c>
      <c r="C13034" s="131" t="s">
        <v>257</v>
      </c>
      <c r="D13034" s="132" t="n">
        <v>46839</v>
      </c>
      <c r="E13034" s="131" t="s">
        <v>62</v>
      </c>
      <c r="F13034" s="133" t="s">
        <v>11</v>
      </c>
      <c r="G13034" s="134" t="n">
        <f aca="false">LEN('Saisie programme'!$D$475)+SUMIFS('Vols additionnels'!$E$7:$E$66,'Vols additionnels'!$C$7:$C$66,$E13034,'Vols additionnels'!$D$7:$D$66,$F13034,'Vols additionnels'!$B$7:$B$66,$D13034)</f>
        <v>0</v>
      </c>
      <c r="H13034" s="135" t="n">
        <f aca="false">$G13034*'Analyse capacite'!$F$7</f>
        <v>0</v>
      </c>
      <c r="I13034" s="135" t="n">
        <f aca="false">$G13034*'Analyse capacite'!$C$7</f>
        <v>0</v>
      </c>
      <c r="J13034" s="135" t="n">
        <f aca="false">$G13034*'Analyse capacite'!$D$7</f>
        <v>0</v>
      </c>
      <c r="K13034" s="135" t="n">
        <f aca="false">$G13034*'Analyse capacite'!$E$7</f>
        <v>0</v>
      </c>
    </row>
    <row r="13035" customFormat="false" ht="15" hidden="false" customHeight="false" outlineLevel="0" collapsed="false">
      <c r="B13035" s="130" t="n">
        <v>2028</v>
      </c>
      <c r="C13035" s="131" t="s">
        <v>257</v>
      </c>
      <c r="D13035" s="132" t="n">
        <v>46839</v>
      </c>
      <c r="E13035" s="131" t="s">
        <v>62</v>
      </c>
      <c r="F13035" s="133" t="s">
        <v>19</v>
      </c>
      <c r="G13035" s="134" t="n">
        <f aca="false">LEN('Saisie programme'!$D$476)+SUMIFS('Vols additionnels'!$E$7:$E$66,'Vols additionnels'!$C$7:$C$66,$E13035,'Vols additionnels'!$D$7:$D$66,$F13035,'Vols additionnels'!$B$7:$B$66,$D13035)</f>
        <v>0</v>
      </c>
      <c r="H13035" s="135" t="n">
        <f aca="false">$G13035*'Analyse capacite'!$F$8</f>
        <v>0</v>
      </c>
      <c r="I13035" s="135" t="n">
        <f aca="false">$G13035*'Analyse capacite'!$C$8</f>
        <v>0</v>
      </c>
      <c r="J13035" s="135" t="n">
        <f aca="false">$G13035*'Analyse capacite'!$D$8</f>
        <v>0</v>
      </c>
      <c r="K13035" s="135" t="n">
        <f aca="false">$G13035*'Analyse capacite'!$E$8</f>
        <v>0</v>
      </c>
    </row>
    <row r="13036" customFormat="false" ht="15" hidden="false" customHeight="false" outlineLevel="0" collapsed="false">
      <c r="B13036" s="130" t="n">
        <v>2028</v>
      </c>
      <c r="C13036" s="131" t="s">
        <v>257</v>
      </c>
      <c r="D13036" s="132" t="n">
        <v>46839</v>
      </c>
      <c r="E13036" s="131" t="s">
        <v>62</v>
      </c>
      <c r="F13036" s="133" t="s">
        <v>24</v>
      </c>
      <c r="G13036" s="134" t="n">
        <f aca="false">LEN('Saisie programme'!$D$477)+SUMIFS('Vols additionnels'!$E$7:$E$66,'Vols additionnels'!$C$7:$C$66,$E13036,'Vols additionnels'!$D$7:$D$66,$F13036,'Vols additionnels'!$B$7:$B$66,$D13036)</f>
        <v>0</v>
      </c>
      <c r="H13036" s="135" t="n">
        <f aca="false">$G13036*'Analyse capacite'!$F$9</f>
        <v>0</v>
      </c>
      <c r="I13036" s="135" t="n">
        <f aca="false">$G13036*'Analyse capacite'!$C$9</f>
        <v>0</v>
      </c>
      <c r="J13036" s="135" t="n">
        <f aca="false">$G13036*'Analyse capacite'!$D$9</f>
        <v>0</v>
      </c>
      <c r="K13036" s="135" t="n">
        <f aca="false">$G13036*'Analyse capacite'!$E$9</f>
        <v>0</v>
      </c>
    </row>
    <row r="13037" customFormat="false" ht="15" hidden="false" customHeight="false" outlineLevel="0" collapsed="false">
      <c r="B13037" s="130" t="n">
        <v>2028</v>
      </c>
      <c r="C13037" s="131" t="s">
        <v>257</v>
      </c>
      <c r="D13037" s="132" t="n">
        <v>46840</v>
      </c>
      <c r="E13037" s="131" t="s">
        <v>12</v>
      </c>
      <c r="F13037" s="133" t="s">
        <v>11</v>
      </c>
      <c r="G13037" s="134" t="n">
        <f aca="false">LEN('Saisie programme'!$E$442)+SUMIFS('Vols additionnels'!$E$7:$E$66,'Vols additionnels'!$C$7:$C$66,$E13037,'Vols additionnels'!$D$7:$D$66,$F13037,'Vols additionnels'!$B$7:$B$66,$D13037)</f>
        <v>1</v>
      </c>
      <c r="H13037" s="135" t="n">
        <f aca="false">$G13037*'Analyse capacite'!$F$7</f>
        <v>438</v>
      </c>
      <c r="I13037" s="135" t="n">
        <f aca="false">$G13037*'Analyse capacite'!$C$7</f>
        <v>14</v>
      </c>
      <c r="J13037" s="135" t="n">
        <f aca="false">$G13037*'Analyse capacite'!$D$7</f>
        <v>40</v>
      </c>
      <c r="K13037" s="135" t="n">
        <f aca="false">$G13037*'Analyse capacite'!$E$7</f>
        <v>384</v>
      </c>
    </row>
    <row r="13038" customFormat="false" ht="15" hidden="false" customHeight="false" outlineLevel="0" collapsed="false">
      <c r="B13038" s="130" t="n">
        <v>2028</v>
      </c>
      <c r="C13038" s="131" t="s">
        <v>257</v>
      </c>
      <c r="D13038" s="132" t="n">
        <v>46840</v>
      </c>
      <c r="E13038" s="131" t="s">
        <v>12</v>
      </c>
      <c r="F13038" s="133" t="s">
        <v>19</v>
      </c>
      <c r="G13038" s="134" t="n">
        <f aca="false">LEN('Saisie programme'!$E$443)+SUMIFS('Vols additionnels'!$E$7:$E$66,'Vols additionnels'!$C$7:$C$66,$E13038,'Vols additionnels'!$D$7:$D$66,$F13038,'Vols additionnels'!$B$7:$B$66,$D13038)</f>
        <v>0</v>
      </c>
      <c r="H13038" s="135" t="n">
        <f aca="false">$G13038*'Analyse capacite'!$F$8</f>
        <v>0</v>
      </c>
      <c r="I13038" s="135" t="n">
        <f aca="false">$G13038*'Analyse capacite'!$C$8</f>
        <v>0</v>
      </c>
      <c r="J13038" s="135" t="n">
        <f aca="false">$G13038*'Analyse capacite'!$D$8</f>
        <v>0</v>
      </c>
      <c r="K13038" s="135" t="n">
        <f aca="false">$G13038*'Analyse capacite'!$E$8</f>
        <v>0</v>
      </c>
    </row>
    <row r="13039" customFormat="false" ht="15" hidden="false" customHeight="false" outlineLevel="0" collapsed="false">
      <c r="B13039" s="130" t="n">
        <v>2028</v>
      </c>
      <c r="C13039" s="131" t="s">
        <v>257</v>
      </c>
      <c r="D13039" s="132" t="n">
        <v>46840</v>
      </c>
      <c r="E13039" s="131" t="s">
        <v>12</v>
      </c>
      <c r="F13039" s="133" t="s">
        <v>24</v>
      </c>
      <c r="G13039" s="134" t="n">
        <f aca="false">LEN('Saisie programme'!$E$444)+SUMIFS('Vols additionnels'!$E$7:$E$66,'Vols additionnels'!$C$7:$C$66,$E13039,'Vols additionnels'!$D$7:$D$66,$F13039,'Vols additionnels'!$B$7:$B$66,$D13039)</f>
        <v>0</v>
      </c>
      <c r="H13039" s="135" t="n">
        <f aca="false">$G13039*'Analyse capacite'!$F$9</f>
        <v>0</v>
      </c>
      <c r="I13039" s="135" t="n">
        <f aca="false">$G13039*'Analyse capacite'!$C$9</f>
        <v>0</v>
      </c>
      <c r="J13039" s="135" t="n">
        <f aca="false">$G13039*'Analyse capacite'!$D$9</f>
        <v>0</v>
      </c>
      <c r="K13039" s="135" t="n">
        <f aca="false">$G13039*'Analyse capacite'!$E$9</f>
        <v>0</v>
      </c>
    </row>
    <row r="13040" customFormat="false" ht="15" hidden="false" customHeight="false" outlineLevel="0" collapsed="false">
      <c r="B13040" s="130" t="n">
        <v>2028</v>
      </c>
      <c r="C13040" s="131" t="s">
        <v>257</v>
      </c>
      <c r="D13040" s="132" t="n">
        <v>46840</v>
      </c>
      <c r="E13040" s="131" t="s">
        <v>20</v>
      </c>
      <c r="F13040" s="133" t="s">
        <v>11</v>
      </c>
      <c r="G13040" s="134" t="n">
        <f aca="false">LEN('Saisie programme'!$E$445)+SUMIFS('Vols additionnels'!$E$7:$E$66,'Vols additionnels'!$C$7:$C$66,$E13040,'Vols additionnels'!$D$7:$D$66,$F13040,'Vols additionnels'!$B$7:$B$66,$D13040)</f>
        <v>0</v>
      </c>
      <c r="H13040" s="135" t="n">
        <f aca="false">$G13040*'Analyse capacite'!$F$7</f>
        <v>0</v>
      </c>
      <c r="I13040" s="135" t="n">
        <f aca="false">$G13040*'Analyse capacite'!$C$7</f>
        <v>0</v>
      </c>
      <c r="J13040" s="135" t="n">
        <f aca="false">$G13040*'Analyse capacite'!$D$7</f>
        <v>0</v>
      </c>
      <c r="K13040" s="135" t="n">
        <f aca="false">$G13040*'Analyse capacite'!$E$7</f>
        <v>0</v>
      </c>
    </row>
    <row r="13041" customFormat="false" ht="15" hidden="false" customHeight="false" outlineLevel="0" collapsed="false">
      <c r="B13041" s="130" t="n">
        <v>2028</v>
      </c>
      <c r="C13041" s="131" t="s">
        <v>257</v>
      </c>
      <c r="D13041" s="132" t="n">
        <v>46840</v>
      </c>
      <c r="E13041" s="131" t="s">
        <v>20</v>
      </c>
      <c r="F13041" s="133" t="s">
        <v>19</v>
      </c>
      <c r="G13041" s="134" t="n">
        <f aca="false">LEN('Saisie programme'!$E$446)+SUMIFS('Vols additionnels'!$E$7:$E$66,'Vols additionnels'!$C$7:$C$66,$E13041,'Vols additionnels'!$D$7:$D$66,$F13041,'Vols additionnels'!$B$7:$B$66,$D13041)</f>
        <v>1</v>
      </c>
      <c r="H13041" s="135" t="n">
        <f aca="false">$G13041*'Analyse capacite'!$F$8</f>
        <v>262</v>
      </c>
      <c r="I13041" s="135" t="n">
        <f aca="false">$G13041*'Analyse capacite'!$C$8</f>
        <v>18</v>
      </c>
      <c r="J13041" s="135" t="n">
        <f aca="false">$G13041*'Analyse capacite'!$D$8</f>
        <v>0</v>
      </c>
      <c r="K13041" s="135" t="n">
        <f aca="false">$G13041*'Analyse capacite'!$E$8</f>
        <v>244</v>
      </c>
    </row>
    <row r="13042" customFormat="false" ht="15" hidden="false" customHeight="false" outlineLevel="0" collapsed="false">
      <c r="B13042" s="130" t="n">
        <v>2028</v>
      </c>
      <c r="C13042" s="131" t="s">
        <v>257</v>
      </c>
      <c r="D13042" s="132" t="n">
        <v>46840</v>
      </c>
      <c r="E13042" s="131" t="s">
        <v>20</v>
      </c>
      <c r="F13042" s="133" t="s">
        <v>24</v>
      </c>
      <c r="G13042" s="134" t="n">
        <f aca="false">LEN('Saisie programme'!$E$447)+SUMIFS('Vols additionnels'!$E$7:$E$66,'Vols additionnels'!$C$7:$C$66,$E13042,'Vols additionnels'!$D$7:$D$66,$F13042,'Vols additionnels'!$B$7:$B$66,$D13042)</f>
        <v>0</v>
      </c>
      <c r="H13042" s="135" t="n">
        <f aca="false">$G13042*'Analyse capacite'!$F$9</f>
        <v>0</v>
      </c>
      <c r="I13042" s="135" t="n">
        <f aca="false">$G13042*'Analyse capacite'!$C$9</f>
        <v>0</v>
      </c>
      <c r="J13042" s="135" t="n">
        <f aca="false">$G13042*'Analyse capacite'!$D$9</f>
        <v>0</v>
      </c>
      <c r="K13042" s="135" t="n">
        <f aca="false">$G13042*'Analyse capacite'!$E$9</f>
        <v>0</v>
      </c>
    </row>
    <row r="13043" customFormat="false" ht="15" hidden="false" customHeight="false" outlineLevel="0" collapsed="false">
      <c r="B13043" s="130" t="n">
        <v>2028</v>
      </c>
      <c r="C13043" s="131" t="s">
        <v>257</v>
      </c>
      <c r="D13043" s="132" t="n">
        <v>46840</v>
      </c>
      <c r="E13043" s="131" t="s">
        <v>25</v>
      </c>
      <c r="F13043" s="133" t="s">
        <v>11</v>
      </c>
      <c r="G13043" s="134" t="n">
        <f aca="false">LEN('Saisie programme'!$E$448)+SUMIFS('Vols additionnels'!$E$7:$E$66,'Vols additionnels'!$C$7:$C$66,$E13043,'Vols additionnels'!$D$7:$D$66,$F13043,'Vols additionnels'!$B$7:$B$66,$D13043)</f>
        <v>0</v>
      </c>
      <c r="H13043" s="135" t="n">
        <f aca="false">$G13043*'Analyse capacite'!$F$7</f>
        <v>0</v>
      </c>
      <c r="I13043" s="135" t="n">
        <f aca="false">$G13043*'Analyse capacite'!$C$7</f>
        <v>0</v>
      </c>
      <c r="J13043" s="135" t="n">
        <f aca="false">$G13043*'Analyse capacite'!$D$7</f>
        <v>0</v>
      </c>
      <c r="K13043" s="135" t="n">
        <f aca="false">$G13043*'Analyse capacite'!$E$7</f>
        <v>0</v>
      </c>
    </row>
    <row r="13044" customFormat="false" ht="15" hidden="false" customHeight="false" outlineLevel="0" collapsed="false">
      <c r="B13044" s="130" t="n">
        <v>2028</v>
      </c>
      <c r="C13044" s="131" t="s">
        <v>257</v>
      </c>
      <c r="D13044" s="132" t="n">
        <v>46840</v>
      </c>
      <c r="E13044" s="131" t="s">
        <v>25</v>
      </c>
      <c r="F13044" s="133" t="s">
        <v>19</v>
      </c>
      <c r="G13044" s="134" t="n">
        <f aca="false">LEN('Saisie programme'!$E$449)+SUMIFS('Vols additionnels'!$E$7:$E$66,'Vols additionnels'!$C$7:$C$66,$E13044,'Vols additionnels'!$D$7:$D$66,$F13044,'Vols additionnels'!$B$7:$B$66,$D13044)</f>
        <v>0</v>
      </c>
      <c r="H13044" s="135" t="n">
        <f aca="false">$G13044*'Analyse capacite'!$F$8</f>
        <v>0</v>
      </c>
      <c r="I13044" s="135" t="n">
        <f aca="false">$G13044*'Analyse capacite'!$C$8</f>
        <v>0</v>
      </c>
      <c r="J13044" s="135" t="n">
        <f aca="false">$G13044*'Analyse capacite'!$D$8</f>
        <v>0</v>
      </c>
      <c r="K13044" s="135" t="n">
        <f aca="false">$G13044*'Analyse capacite'!$E$8</f>
        <v>0</v>
      </c>
    </row>
    <row r="13045" customFormat="false" ht="15" hidden="false" customHeight="false" outlineLevel="0" collapsed="false">
      <c r="B13045" s="130" t="n">
        <v>2028</v>
      </c>
      <c r="C13045" s="131" t="s">
        <v>257</v>
      </c>
      <c r="D13045" s="132" t="n">
        <v>46840</v>
      </c>
      <c r="E13045" s="131" t="s">
        <v>25</v>
      </c>
      <c r="F13045" s="133" t="s">
        <v>24</v>
      </c>
      <c r="G13045" s="134" t="n">
        <f aca="false">LEN('Saisie programme'!$E$450)+SUMIFS('Vols additionnels'!$E$7:$E$66,'Vols additionnels'!$C$7:$C$66,$E13045,'Vols additionnels'!$D$7:$D$66,$F13045,'Vols additionnels'!$B$7:$B$66,$D13045)</f>
        <v>0</v>
      </c>
      <c r="H13045" s="135" t="n">
        <f aca="false">$G13045*'Analyse capacite'!$F$9</f>
        <v>0</v>
      </c>
      <c r="I13045" s="135" t="n">
        <f aca="false">$G13045*'Analyse capacite'!$C$9</f>
        <v>0</v>
      </c>
      <c r="J13045" s="135" t="n">
        <f aca="false">$G13045*'Analyse capacite'!$D$9</f>
        <v>0</v>
      </c>
      <c r="K13045" s="135" t="n">
        <f aca="false">$G13045*'Analyse capacite'!$E$9</f>
        <v>0</v>
      </c>
    </row>
    <row r="13046" customFormat="false" ht="15" hidden="false" customHeight="false" outlineLevel="0" collapsed="false">
      <c r="B13046" s="130" t="n">
        <v>2028</v>
      </c>
      <c r="C13046" s="131" t="s">
        <v>257</v>
      </c>
      <c r="D13046" s="132" t="n">
        <v>46840</v>
      </c>
      <c r="E13046" s="131" t="s">
        <v>36</v>
      </c>
      <c r="F13046" s="133" t="s">
        <v>11</v>
      </c>
      <c r="G13046" s="134" t="n">
        <f aca="false">LEN('Saisie programme'!$E$451)+SUMIFS('Vols additionnels'!$E$7:$E$66,'Vols additionnels'!$C$7:$C$66,$E13046,'Vols additionnels'!$D$7:$D$66,$F13046,'Vols additionnels'!$B$7:$B$66,$D13046)</f>
        <v>0</v>
      </c>
      <c r="H13046" s="135" t="n">
        <f aca="false">$G13046*'Analyse capacite'!$F$7</f>
        <v>0</v>
      </c>
      <c r="I13046" s="135" t="n">
        <f aca="false">$G13046*'Analyse capacite'!$C$7</f>
        <v>0</v>
      </c>
      <c r="J13046" s="135" t="n">
        <f aca="false">$G13046*'Analyse capacite'!$D$7</f>
        <v>0</v>
      </c>
      <c r="K13046" s="135" t="n">
        <f aca="false">$G13046*'Analyse capacite'!$E$7</f>
        <v>0</v>
      </c>
    </row>
    <row r="13047" customFormat="false" ht="15" hidden="false" customHeight="false" outlineLevel="0" collapsed="false">
      <c r="B13047" s="130" t="n">
        <v>2028</v>
      </c>
      <c r="C13047" s="131" t="s">
        <v>257</v>
      </c>
      <c r="D13047" s="132" t="n">
        <v>46840</v>
      </c>
      <c r="E13047" s="131" t="s">
        <v>36</v>
      </c>
      <c r="F13047" s="133" t="s">
        <v>19</v>
      </c>
      <c r="G13047" s="134" t="n">
        <f aca="false">LEN('Saisie programme'!$E$452)+SUMIFS('Vols additionnels'!$E$7:$E$66,'Vols additionnels'!$C$7:$C$66,$E13047,'Vols additionnels'!$D$7:$D$66,$F13047,'Vols additionnels'!$B$7:$B$66,$D13047)</f>
        <v>0</v>
      </c>
      <c r="H13047" s="135" t="n">
        <f aca="false">$G13047*'Analyse capacite'!$F$8</f>
        <v>0</v>
      </c>
      <c r="I13047" s="135" t="n">
        <f aca="false">$G13047*'Analyse capacite'!$C$8</f>
        <v>0</v>
      </c>
      <c r="J13047" s="135" t="n">
        <f aca="false">$G13047*'Analyse capacite'!$D$8</f>
        <v>0</v>
      </c>
      <c r="K13047" s="135" t="n">
        <f aca="false">$G13047*'Analyse capacite'!$E$8</f>
        <v>0</v>
      </c>
    </row>
    <row r="13048" customFormat="false" ht="15" hidden="false" customHeight="false" outlineLevel="0" collapsed="false">
      <c r="B13048" s="130" t="n">
        <v>2028</v>
      </c>
      <c r="C13048" s="131" t="s">
        <v>257</v>
      </c>
      <c r="D13048" s="132" t="n">
        <v>46840</v>
      </c>
      <c r="E13048" s="131" t="s">
        <v>36</v>
      </c>
      <c r="F13048" s="133" t="s">
        <v>24</v>
      </c>
      <c r="G13048" s="134" t="n">
        <f aca="false">LEN('Saisie programme'!$E$453)+SUMIFS('Vols additionnels'!$E$7:$E$66,'Vols additionnels'!$C$7:$C$66,$E13048,'Vols additionnels'!$D$7:$D$66,$F13048,'Vols additionnels'!$B$7:$B$66,$D13048)</f>
        <v>1</v>
      </c>
      <c r="H13048" s="135" t="n">
        <f aca="false">$G13048*'Analyse capacite'!$F$9</f>
        <v>174</v>
      </c>
      <c r="I13048" s="135" t="n">
        <f aca="false">$G13048*'Analyse capacite'!$C$9</f>
        <v>0</v>
      </c>
      <c r="J13048" s="135" t="n">
        <f aca="false">$G13048*'Analyse capacite'!$D$9</f>
        <v>12</v>
      </c>
      <c r="K13048" s="135" t="n">
        <f aca="false">$G13048*'Analyse capacite'!$E$9</f>
        <v>162</v>
      </c>
    </row>
    <row r="13049" customFormat="false" ht="15" hidden="false" customHeight="false" outlineLevel="0" collapsed="false">
      <c r="B13049" s="130" t="n">
        <v>2028</v>
      </c>
      <c r="C13049" s="131" t="s">
        <v>257</v>
      </c>
      <c r="D13049" s="132" t="n">
        <v>46840</v>
      </c>
      <c r="E13049" s="131" t="s">
        <v>40</v>
      </c>
      <c r="F13049" s="133" t="s">
        <v>11</v>
      </c>
      <c r="G13049" s="134" t="n">
        <f aca="false">LEN('Saisie programme'!$E$454)+SUMIFS('Vols additionnels'!$E$7:$E$66,'Vols additionnels'!$C$7:$C$66,$E13049,'Vols additionnels'!$D$7:$D$66,$F13049,'Vols additionnels'!$B$7:$B$66,$D13049)</f>
        <v>0</v>
      </c>
      <c r="H13049" s="135" t="n">
        <f aca="false">$G13049*'Analyse capacite'!$F$7</f>
        <v>0</v>
      </c>
      <c r="I13049" s="135" t="n">
        <f aca="false">$G13049*'Analyse capacite'!$C$7</f>
        <v>0</v>
      </c>
      <c r="J13049" s="135" t="n">
        <f aca="false">$G13049*'Analyse capacite'!$D$7</f>
        <v>0</v>
      </c>
      <c r="K13049" s="135" t="n">
        <f aca="false">$G13049*'Analyse capacite'!$E$7</f>
        <v>0</v>
      </c>
    </row>
    <row r="13050" customFormat="false" ht="15" hidden="false" customHeight="false" outlineLevel="0" collapsed="false">
      <c r="B13050" s="130" t="n">
        <v>2028</v>
      </c>
      <c r="C13050" s="131" t="s">
        <v>257</v>
      </c>
      <c r="D13050" s="132" t="n">
        <v>46840</v>
      </c>
      <c r="E13050" s="131" t="s">
        <v>40</v>
      </c>
      <c r="F13050" s="133" t="s">
        <v>19</v>
      </c>
      <c r="G13050" s="134" t="n">
        <f aca="false">LEN('Saisie programme'!$E$455)+SUMIFS('Vols additionnels'!$E$7:$E$66,'Vols additionnels'!$C$7:$C$66,$E13050,'Vols additionnels'!$D$7:$D$66,$F13050,'Vols additionnels'!$B$7:$B$66,$D13050)</f>
        <v>0</v>
      </c>
      <c r="H13050" s="135" t="n">
        <f aca="false">$G13050*'Analyse capacite'!$F$8</f>
        <v>0</v>
      </c>
      <c r="I13050" s="135" t="n">
        <f aca="false">$G13050*'Analyse capacite'!$C$8</f>
        <v>0</v>
      </c>
      <c r="J13050" s="135" t="n">
        <f aca="false">$G13050*'Analyse capacite'!$D$8</f>
        <v>0</v>
      </c>
      <c r="K13050" s="135" t="n">
        <f aca="false">$G13050*'Analyse capacite'!$E$8</f>
        <v>0</v>
      </c>
    </row>
    <row r="13051" customFormat="false" ht="15" hidden="false" customHeight="false" outlineLevel="0" collapsed="false">
      <c r="B13051" s="130" t="n">
        <v>2028</v>
      </c>
      <c r="C13051" s="131" t="s">
        <v>257</v>
      </c>
      <c r="D13051" s="132" t="n">
        <v>46840</v>
      </c>
      <c r="E13051" s="131" t="s">
        <v>40</v>
      </c>
      <c r="F13051" s="133" t="s">
        <v>24</v>
      </c>
      <c r="G13051" s="134" t="n">
        <f aca="false">LEN('Saisie programme'!$E$456)+SUMIFS('Vols additionnels'!$E$7:$E$66,'Vols additionnels'!$C$7:$C$66,$E13051,'Vols additionnels'!$D$7:$D$66,$F13051,'Vols additionnels'!$B$7:$B$66,$D13051)</f>
        <v>0</v>
      </c>
      <c r="H13051" s="135" t="n">
        <f aca="false">$G13051*'Analyse capacite'!$F$9</f>
        <v>0</v>
      </c>
      <c r="I13051" s="135" t="n">
        <f aca="false">$G13051*'Analyse capacite'!$C$9</f>
        <v>0</v>
      </c>
      <c r="J13051" s="135" t="n">
        <f aca="false">$G13051*'Analyse capacite'!$D$9</f>
        <v>0</v>
      </c>
      <c r="K13051" s="135" t="n">
        <f aca="false">$G13051*'Analyse capacite'!$E$9</f>
        <v>0</v>
      </c>
    </row>
    <row r="13052" customFormat="false" ht="15" hidden="false" customHeight="false" outlineLevel="0" collapsed="false">
      <c r="B13052" s="130" t="n">
        <v>2028</v>
      </c>
      <c r="C13052" s="131" t="s">
        <v>257</v>
      </c>
      <c r="D13052" s="132" t="n">
        <v>46840</v>
      </c>
      <c r="E13052" s="131" t="s">
        <v>14</v>
      </c>
      <c r="F13052" s="133" t="s">
        <v>11</v>
      </c>
      <c r="G13052" s="134" t="n">
        <f aca="false">LEN('Saisie programme'!$E$457)+SUMIFS('Vols additionnels'!$E$7:$E$66,'Vols additionnels'!$C$7:$C$66,$E13052,'Vols additionnels'!$D$7:$D$66,$F13052,'Vols additionnels'!$B$7:$B$66,$D13052)</f>
        <v>0</v>
      </c>
      <c r="H13052" s="135" t="n">
        <f aca="false">$G13052*'Analyse capacite'!$F$7</f>
        <v>0</v>
      </c>
      <c r="I13052" s="135" t="n">
        <f aca="false">$G13052*'Analyse capacite'!$C$7</f>
        <v>0</v>
      </c>
      <c r="J13052" s="135" t="n">
        <f aca="false">$G13052*'Analyse capacite'!$D$7</f>
        <v>0</v>
      </c>
      <c r="K13052" s="135" t="n">
        <f aca="false">$G13052*'Analyse capacite'!$E$7</f>
        <v>0</v>
      </c>
    </row>
    <row r="13053" customFormat="false" ht="15" hidden="false" customHeight="false" outlineLevel="0" collapsed="false">
      <c r="B13053" s="130" t="n">
        <v>2028</v>
      </c>
      <c r="C13053" s="131" t="s">
        <v>257</v>
      </c>
      <c r="D13053" s="132" t="n">
        <v>46840</v>
      </c>
      <c r="E13053" s="131" t="s">
        <v>14</v>
      </c>
      <c r="F13053" s="133" t="s">
        <v>19</v>
      </c>
      <c r="G13053" s="134" t="n">
        <f aca="false">LEN('Saisie programme'!$E$458)+SUMIFS('Vols additionnels'!$E$7:$E$66,'Vols additionnels'!$C$7:$C$66,$E13053,'Vols additionnels'!$D$7:$D$66,$F13053,'Vols additionnels'!$B$7:$B$66,$D13053)</f>
        <v>0</v>
      </c>
      <c r="H13053" s="135" t="n">
        <f aca="false">$G13053*'Analyse capacite'!$F$8</f>
        <v>0</v>
      </c>
      <c r="I13053" s="135" t="n">
        <f aca="false">$G13053*'Analyse capacite'!$C$8</f>
        <v>0</v>
      </c>
      <c r="J13053" s="135" t="n">
        <f aca="false">$G13053*'Analyse capacite'!$D$8</f>
        <v>0</v>
      </c>
      <c r="K13053" s="135" t="n">
        <f aca="false">$G13053*'Analyse capacite'!$E$8</f>
        <v>0</v>
      </c>
    </row>
    <row r="13054" customFormat="false" ht="15" hidden="false" customHeight="false" outlineLevel="0" collapsed="false">
      <c r="B13054" s="130" t="n">
        <v>2028</v>
      </c>
      <c r="C13054" s="131" t="s">
        <v>257</v>
      </c>
      <c r="D13054" s="132" t="n">
        <v>46840</v>
      </c>
      <c r="E13054" s="131" t="s">
        <v>14</v>
      </c>
      <c r="F13054" s="133" t="s">
        <v>24</v>
      </c>
      <c r="G13054" s="134" t="n">
        <f aca="false">LEN('Saisie programme'!$E$459)+SUMIFS('Vols additionnels'!$E$7:$E$66,'Vols additionnels'!$C$7:$C$66,$E13054,'Vols additionnels'!$D$7:$D$66,$F13054,'Vols additionnels'!$B$7:$B$66,$D13054)</f>
        <v>0</v>
      </c>
      <c r="H13054" s="135" t="n">
        <f aca="false">$G13054*'Analyse capacite'!$F$9</f>
        <v>0</v>
      </c>
      <c r="I13054" s="135" t="n">
        <f aca="false">$G13054*'Analyse capacite'!$C$9</f>
        <v>0</v>
      </c>
      <c r="J13054" s="135" t="n">
        <f aca="false">$G13054*'Analyse capacite'!$D$9</f>
        <v>0</v>
      </c>
      <c r="K13054" s="135" t="n">
        <f aca="false">$G13054*'Analyse capacite'!$E$9</f>
        <v>0</v>
      </c>
    </row>
    <row r="13055" customFormat="false" ht="15" hidden="false" customHeight="false" outlineLevel="0" collapsed="false">
      <c r="B13055" s="130" t="n">
        <v>2028</v>
      </c>
      <c r="C13055" s="131" t="s">
        <v>257</v>
      </c>
      <c r="D13055" s="132" t="n">
        <v>46840</v>
      </c>
      <c r="E13055" s="131" t="s">
        <v>46</v>
      </c>
      <c r="F13055" s="133" t="s">
        <v>11</v>
      </c>
      <c r="G13055" s="134" t="n">
        <f aca="false">LEN('Saisie programme'!$E$460)+SUMIFS('Vols additionnels'!$E$7:$E$66,'Vols additionnels'!$C$7:$C$66,$E13055,'Vols additionnels'!$D$7:$D$66,$F13055,'Vols additionnels'!$B$7:$B$66,$D13055)</f>
        <v>0</v>
      </c>
      <c r="H13055" s="135" t="n">
        <f aca="false">$G13055*'Analyse capacite'!$F$7</f>
        <v>0</v>
      </c>
      <c r="I13055" s="135" t="n">
        <f aca="false">$G13055*'Analyse capacite'!$C$7</f>
        <v>0</v>
      </c>
      <c r="J13055" s="135" t="n">
        <f aca="false">$G13055*'Analyse capacite'!$D$7</f>
        <v>0</v>
      </c>
      <c r="K13055" s="135" t="n">
        <f aca="false">$G13055*'Analyse capacite'!$E$7</f>
        <v>0</v>
      </c>
    </row>
    <row r="13056" customFormat="false" ht="15" hidden="false" customHeight="false" outlineLevel="0" collapsed="false">
      <c r="B13056" s="130" t="n">
        <v>2028</v>
      </c>
      <c r="C13056" s="131" t="s">
        <v>257</v>
      </c>
      <c r="D13056" s="132" t="n">
        <v>46840</v>
      </c>
      <c r="E13056" s="131" t="s">
        <v>46</v>
      </c>
      <c r="F13056" s="133" t="s">
        <v>19</v>
      </c>
      <c r="G13056" s="134" t="n">
        <f aca="false">LEN('Saisie programme'!$E$461)+SUMIFS('Vols additionnels'!$E$7:$E$66,'Vols additionnels'!$C$7:$C$66,$E13056,'Vols additionnels'!$D$7:$D$66,$F13056,'Vols additionnels'!$B$7:$B$66,$D13056)</f>
        <v>0</v>
      </c>
      <c r="H13056" s="135" t="n">
        <f aca="false">$G13056*'Analyse capacite'!$F$8</f>
        <v>0</v>
      </c>
      <c r="I13056" s="135" t="n">
        <f aca="false">$G13056*'Analyse capacite'!$C$8</f>
        <v>0</v>
      </c>
      <c r="J13056" s="135" t="n">
        <f aca="false">$G13056*'Analyse capacite'!$D$8</f>
        <v>0</v>
      </c>
      <c r="K13056" s="135" t="n">
        <f aca="false">$G13056*'Analyse capacite'!$E$8</f>
        <v>0</v>
      </c>
    </row>
    <row r="13057" customFormat="false" ht="15" hidden="false" customHeight="false" outlineLevel="0" collapsed="false">
      <c r="B13057" s="130" t="n">
        <v>2028</v>
      </c>
      <c r="C13057" s="131" t="s">
        <v>257</v>
      </c>
      <c r="D13057" s="132" t="n">
        <v>46840</v>
      </c>
      <c r="E13057" s="131" t="s">
        <v>46</v>
      </c>
      <c r="F13057" s="133" t="s">
        <v>24</v>
      </c>
      <c r="G13057" s="134" t="n">
        <f aca="false">LEN('Saisie programme'!$E$462)+SUMIFS('Vols additionnels'!$E$7:$E$66,'Vols additionnels'!$C$7:$C$66,$E13057,'Vols additionnels'!$D$7:$D$66,$F13057,'Vols additionnels'!$B$7:$B$66,$D13057)</f>
        <v>1</v>
      </c>
      <c r="H13057" s="135" t="n">
        <f aca="false">$G13057*'Analyse capacite'!$F$9</f>
        <v>174</v>
      </c>
      <c r="I13057" s="135" t="n">
        <f aca="false">$G13057*'Analyse capacite'!$C$9</f>
        <v>0</v>
      </c>
      <c r="J13057" s="135" t="n">
        <f aca="false">$G13057*'Analyse capacite'!$D$9</f>
        <v>12</v>
      </c>
      <c r="K13057" s="135" t="n">
        <f aca="false">$G13057*'Analyse capacite'!$E$9</f>
        <v>162</v>
      </c>
    </row>
    <row r="13058" customFormat="false" ht="15" hidden="false" customHeight="false" outlineLevel="0" collapsed="false">
      <c r="B13058" s="130" t="n">
        <v>2028</v>
      </c>
      <c r="C13058" s="131" t="s">
        <v>257</v>
      </c>
      <c r="D13058" s="132" t="n">
        <v>46840</v>
      </c>
      <c r="E13058" s="131" t="s">
        <v>49</v>
      </c>
      <c r="F13058" s="133" t="s">
        <v>11</v>
      </c>
      <c r="G13058" s="134" t="n">
        <f aca="false">LEN('Saisie programme'!$E$463)+SUMIFS('Vols additionnels'!$E$7:$E$66,'Vols additionnels'!$C$7:$C$66,$E13058,'Vols additionnels'!$D$7:$D$66,$F13058,'Vols additionnels'!$B$7:$B$66,$D13058)</f>
        <v>0</v>
      </c>
      <c r="H13058" s="135" t="n">
        <f aca="false">$G13058*'Analyse capacite'!$F$7</f>
        <v>0</v>
      </c>
      <c r="I13058" s="135" t="n">
        <f aca="false">$G13058*'Analyse capacite'!$C$7</f>
        <v>0</v>
      </c>
      <c r="J13058" s="135" t="n">
        <f aca="false">$G13058*'Analyse capacite'!$D$7</f>
        <v>0</v>
      </c>
      <c r="K13058" s="135" t="n">
        <f aca="false">$G13058*'Analyse capacite'!$E$7</f>
        <v>0</v>
      </c>
    </row>
    <row r="13059" customFormat="false" ht="15" hidden="false" customHeight="false" outlineLevel="0" collapsed="false">
      <c r="B13059" s="130" t="n">
        <v>2028</v>
      </c>
      <c r="C13059" s="131" t="s">
        <v>257</v>
      </c>
      <c r="D13059" s="132" t="n">
        <v>46840</v>
      </c>
      <c r="E13059" s="131" t="s">
        <v>49</v>
      </c>
      <c r="F13059" s="133" t="s">
        <v>19</v>
      </c>
      <c r="G13059" s="134" t="n">
        <f aca="false">LEN('Saisie programme'!$E$464)+SUMIFS('Vols additionnels'!$E$7:$E$66,'Vols additionnels'!$C$7:$C$66,$E13059,'Vols additionnels'!$D$7:$D$66,$F13059,'Vols additionnels'!$B$7:$B$66,$D13059)</f>
        <v>0</v>
      </c>
      <c r="H13059" s="135" t="n">
        <f aca="false">$G13059*'Analyse capacite'!$F$8</f>
        <v>0</v>
      </c>
      <c r="I13059" s="135" t="n">
        <f aca="false">$G13059*'Analyse capacite'!$C$8</f>
        <v>0</v>
      </c>
      <c r="J13059" s="135" t="n">
        <f aca="false">$G13059*'Analyse capacite'!$D$8</f>
        <v>0</v>
      </c>
      <c r="K13059" s="135" t="n">
        <f aca="false">$G13059*'Analyse capacite'!$E$8</f>
        <v>0</v>
      </c>
    </row>
    <row r="13060" customFormat="false" ht="15" hidden="false" customHeight="false" outlineLevel="0" collapsed="false">
      <c r="B13060" s="130" t="n">
        <v>2028</v>
      </c>
      <c r="C13060" s="131" t="s">
        <v>257</v>
      </c>
      <c r="D13060" s="132" t="n">
        <v>46840</v>
      </c>
      <c r="E13060" s="131" t="s">
        <v>49</v>
      </c>
      <c r="F13060" s="133" t="s">
        <v>24</v>
      </c>
      <c r="G13060" s="134" t="n">
        <f aca="false">LEN('Saisie programme'!$E$465)+SUMIFS('Vols additionnels'!$E$7:$E$66,'Vols additionnels'!$C$7:$C$66,$E13060,'Vols additionnels'!$D$7:$D$66,$F13060,'Vols additionnels'!$B$7:$B$66,$D13060)</f>
        <v>0</v>
      </c>
      <c r="H13060" s="135" t="n">
        <f aca="false">$G13060*'Analyse capacite'!$F$9</f>
        <v>0</v>
      </c>
      <c r="I13060" s="135" t="n">
        <f aca="false">$G13060*'Analyse capacite'!$C$9</f>
        <v>0</v>
      </c>
      <c r="J13060" s="135" t="n">
        <f aca="false">$G13060*'Analyse capacite'!$D$9</f>
        <v>0</v>
      </c>
      <c r="K13060" s="135" t="n">
        <f aca="false">$G13060*'Analyse capacite'!$E$9</f>
        <v>0</v>
      </c>
    </row>
    <row r="13061" customFormat="false" ht="15" hidden="false" customHeight="false" outlineLevel="0" collapsed="false">
      <c r="B13061" s="130" t="n">
        <v>2028</v>
      </c>
      <c r="C13061" s="131" t="s">
        <v>257</v>
      </c>
      <c r="D13061" s="132" t="n">
        <v>46840</v>
      </c>
      <c r="E13061" s="131" t="s">
        <v>53</v>
      </c>
      <c r="F13061" s="133" t="s">
        <v>11</v>
      </c>
      <c r="G13061" s="134" t="n">
        <f aca="false">LEN('Saisie programme'!$E$466)+SUMIFS('Vols additionnels'!$E$7:$E$66,'Vols additionnels'!$C$7:$C$66,$E13061,'Vols additionnels'!$D$7:$D$66,$F13061,'Vols additionnels'!$B$7:$B$66,$D13061)</f>
        <v>0</v>
      </c>
      <c r="H13061" s="135" t="n">
        <f aca="false">$G13061*'Analyse capacite'!$F$7</f>
        <v>0</v>
      </c>
      <c r="I13061" s="135" t="n">
        <f aca="false">$G13061*'Analyse capacite'!$C$7</f>
        <v>0</v>
      </c>
      <c r="J13061" s="135" t="n">
        <f aca="false">$G13061*'Analyse capacite'!$D$7</f>
        <v>0</v>
      </c>
      <c r="K13061" s="135" t="n">
        <f aca="false">$G13061*'Analyse capacite'!$E$7</f>
        <v>0</v>
      </c>
    </row>
    <row r="13062" customFormat="false" ht="15" hidden="false" customHeight="false" outlineLevel="0" collapsed="false">
      <c r="B13062" s="130" t="n">
        <v>2028</v>
      </c>
      <c r="C13062" s="131" t="s">
        <v>257</v>
      </c>
      <c r="D13062" s="132" t="n">
        <v>46840</v>
      </c>
      <c r="E13062" s="131" t="s">
        <v>53</v>
      </c>
      <c r="F13062" s="133" t="s">
        <v>19</v>
      </c>
      <c r="G13062" s="134" t="n">
        <f aca="false">LEN('Saisie programme'!$E$467)+SUMIFS('Vols additionnels'!$E$7:$E$66,'Vols additionnels'!$C$7:$C$66,$E13062,'Vols additionnels'!$D$7:$D$66,$F13062,'Vols additionnels'!$B$7:$B$66,$D13062)</f>
        <v>0</v>
      </c>
      <c r="H13062" s="135" t="n">
        <f aca="false">$G13062*'Analyse capacite'!$F$8</f>
        <v>0</v>
      </c>
      <c r="I13062" s="135" t="n">
        <f aca="false">$G13062*'Analyse capacite'!$C$8</f>
        <v>0</v>
      </c>
      <c r="J13062" s="135" t="n">
        <f aca="false">$G13062*'Analyse capacite'!$D$8</f>
        <v>0</v>
      </c>
      <c r="K13062" s="135" t="n">
        <f aca="false">$G13062*'Analyse capacite'!$E$8</f>
        <v>0</v>
      </c>
    </row>
    <row r="13063" customFormat="false" ht="15" hidden="false" customHeight="false" outlineLevel="0" collapsed="false">
      <c r="B13063" s="130" t="n">
        <v>2028</v>
      </c>
      <c r="C13063" s="131" t="s">
        <v>257</v>
      </c>
      <c r="D13063" s="132" t="n">
        <v>46840</v>
      </c>
      <c r="E13063" s="131" t="s">
        <v>53</v>
      </c>
      <c r="F13063" s="133" t="s">
        <v>24</v>
      </c>
      <c r="G13063" s="134" t="n">
        <f aca="false">LEN('Saisie programme'!$E$468)+SUMIFS('Vols additionnels'!$E$7:$E$66,'Vols additionnels'!$C$7:$C$66,$E13063,'Vols additionnels'!$D$7:$D$66,$F13063,'Vols additionnels'!$B$7:$B$66,$D13063)</f>
        <v>0</v>
      </c>
      <c r="H13063" s="135" t="n">
        <f aca="false">$G13063*'Analyse capacite'!$F$9</f>
        <v>0</v>
      </c>
      <c r="I13063" s="135" t="n">
        <f aca="false">$G13063*'Analyse capacite'!$C$9</f>
        <v>0</v>
      </c>
      <c r="J13063" s="135" t="n">
        <f aca="false">$G13063*'Analyse capacite'!$D$9</f>
        <v>0</v>
      </c>
      <c r="K13063" s="135" t="n">
        <f aca="false">$G13063*'Analyse capacite'!$E$9</f>
        <v>0</v>
      </c>
    </row>
    <row r="13064" customFormat="false" ht="15" hidden="false" customHeight="false" outlineLevel="0" collapsed="false">
      <c r="B13064" s="130" t="n">
        <v>2028</v>
      </c>
      <c r="C13064" s="131" t="s">
        <v>257</v>
      </c>
      <c r="D13064" s="132" t="n">
        <v>46840</v>
      </c>
      <c r="E13064" s="131" t="s">
        <v>56</v>
      </c>
      <c r="F13064" s="133" t="s">
        <v>11</v>
      </c>
      <c r="G13064" s="134" t="n">
        <f aca="false">LEN('Saisie programme'!$E$469)+SUMIFS('Vols additionnels'!$E$7:$E$66,'Vols additionnels'!$C$7:$C$66,$E13064,'Vols additionnels'!$D$7:$D$66,$F13064,'Vols additionnels'!$B$7:$B$66,$D13064)</f>
        <v>0</v>
      </c>
      <c r="H13064" s="135" t="n">
        <f aca="false">$G13064*'Analyse capacite'!$F$7</f>
        <v>0</v>
      </c>
      <c r="I13064" s="135" t="n">
        <f aca="false">$G13064*'Analyse capacite'!$C$7</f>
        <v>0</v>
      </c>
      <c r="J13064" s="135" t="n">
        <f aca="false">$G13064*'Analyse capacite'!$D$7</f>
        <v>0</v>
      </c>
      <c r="K13064" s="135" t="n">
        <f aca="false">$G13064*'Analyse capacite'!$E$7</f>
        <v>0</v>
      </c>
    </row>
    <row r="13065" customFormat="false" ht="15" hidden="false" customHeight="false" outlineLevel="0" collapsed="false">
      <c r="B13065" s="130" t="n">
        <v>2028</v>
      </c>
      <c r="C13065" s="131" t="s">
        <v>257</v>
      </c>
      <c r="D13065" s="132" t="n">
        <v>46840</v>
      </c>
      <c r="E13065" s="131" t="s">
        <v>56</v>
      </c>
      <c r="F13065" s="133" t="s">
        <v>19</v>
      </c>
      <c r="G13065" s="134" t="n">
        <f aca="false">LEN('Saisie programme'!$E$470)+SUMIFS('Vols additionnels'!$E$7:$E$66,'Vols additionnels'!$C$7:$C$66,$E13065,'Vols additionnels'!$D$7:$D$66,$F13065,'Vols additionnels'!$B$7:$B$66,$D13065)</f>
        <v>0</v>
      </c>
      <c r="H13065" s="135" t="n">
        <f aca="false">$G13065*'Analyse capacite'!$F$8</f>
        <v>0</v>
      </c>
      <c r="I13065" s="135" t="n">
        <f aca="false">$G13065*'Analyse capacite'!$C$8</f>
        <v>0</v>
      </c>
      <c r="J13065" s="135" t="n">
        <f aca="false">$G13065*'Analyse capacite'!$D$8</f>
        <v>0</v>
      </c>
      <c r="K13065" s="135" t="n">
        <f aca="false">$G13065*'Analyse capacite'!$E$8</f>
        <v>0</v>
      </c>
    </row>
    <row r="13066" customFormat="false" ht="15" hidden="false" customHeight="false" outlineLevel="0" collapsed="false">
      <c r="B13066" s="130" t="n">
        <v>2028</v>
      </c>
      <c r="C13066" s="131" t="s">
        <v>257</v>
      </c>
      <c r="D13066" s="132" t="n">
        <v>46840</v>
      </c>
      <c r="E13066" s="131" t="s">
        <v>56</v>
      </c>
      <c r="F13066" s="133" t="s">
        <v>24</v>
      </c>
      <c r="G13066" s="134" t="n">
        <f aca="false">LEN('Saisie programme'!$E$471)+SUMIFS('Vols additionnels'!$E$7:$E$66,'Vols additionnels'!$C$7:$C$66,$E13066,'Vols additionnels'!$D$7:$D$66,$F13066,'Vols additionnels'!$B$7:$B$66,$D13066)</f>
        <v>1</v>
      </c>
      <c r="H13066" s="135" t="n">
        <f aca="false">$G13066*'Analyse capacite'!$F$9</f>
        <v>174</v>
      </c>
      <c r="I13066" s="135" t="n">
        <f aca="false">$G13066*'Analyse capacite'!$C$9</f>
        <v>0</v>
      </c>
      <c r="J13066" s="135" t="n">
        <f aca="false">$G13066*'Analyse capacite'!$D$9</f>
        <v>12</v>
      </c>
      <c r="K13066" s="135" t="n">
        <f aca="false">$G13066*'Analyse capacite'!$E$9</f>
        <v>162</v>
      </c>
    </row>
    <row r="13067" customFormat="false" ht="15" hidden="false" customHeight="false" outlineLevel="0" collapsed="false">
      <c r="B13067" s="130" t="n">
        <v>2028</v>
      </c>
      <c r="C13067" s="131" t="s">
        <v>257</v>
      </c>
      <c r="D13067" s="132" t="n">
        <v>46840</v>
      </c>
      <c r="E13067" s="131" t="s">
        <v>59</v>
      </c>
      <c r="F13067" s="133" t="s">
        <v>11</v>
      </c>
      <c r="G13067" s="134" t="n">
        <f aca="false">LEN('Saisie programme'!$E$472)+SUMIFS('Vols additionnels'!$E$7:$E$66,'Vols additionnels'!$C$7:$C$66,$E13067,'Vols additionnels'!$D$7:$D$66,$F13067,'Vols additionnels'!$B$7:$B$66,$D13067)</f>
        <v>0</v>
      </c>
      <c r="H13067" s="135" t="n">
        <f aca="false">$G13067*'Analyse capacite'!$F$7</f>
        <v>0</v>
      </c>
      <c r="I13067" s="135" t="n">
        <f aca="false">$G13067*'Analyse capacite'!$C$7</f>
        <v>0</v>
      </c>
      <c r="J13067" s="135" t="n">
        <f aca="false">$G13067*'Analyse capacite'!$D$7</f>
        <v>0</v>
      </c>
      <c r="K13067" s="135" t="n">
        <f aca="false">$G13067*'Analyse capacite'!$E$7</f>
        <v>0</v>
      </c>
    </row>
    <row r="13068" customFormat="false" ht="15" hidden="false" customHeight="false" outlineLevel="0" collapsed="false">
      <c r="B13068" s="130" t="n">
        <v>2028</v>
      </c>
      <c r="C13068" s="131" t="s">
        <v>257</v>
      </c>
      <c r="D13068" s="132" t="n">
        <v>46840</v>
      </c>
      <c r="E13068" s="131" t="s">
        <v>59</v>
      </c>
      <c r="F13068" s="133" t="s">
        <v>19</v>
      </c>
      <c r="G13068" s="134" t="n">
        <f aca="false">LEN('Saisie programme'!$E$473)+SUMIFS('Vols additionnels'!$E$7:$E$66,'Vols additionnels'!$C$7:$C$66,$E13068,'Vols additionnels'!$D$7:$D$66,$F13068,'Vols additionnels'!$B$7:$B$66,$D13068)</f>
        <v>0</v>
      </c>
      <c r="H13068" s="135" t="n">
        <f aca="false">$G13068*'Analyse capacite'!$F$8</f>
        <v>0</v>
      </c>
      <c r="I13068" s="135" t="n">
        <f aca="false">$G13068*'Analyse capacite'!$C$8</f>
        <v>0</v>
      </c>
      <c r="J13068" s="135" t="n">
        <f aca="false">$G13068*'Analyse capacite'!$D$8</f>
        <v>0</v>
      </c>
      <c r="K13068" s="135" t="n">
        <f aca="false">$G13068*'Analyse capacite'!$E$8</f>
        <v>0</v>
      </c>
    </row>
    <row r="13069" customFormat="false" ht="15" hidden="false" customHeight="false" outlineLevel="0" collapsed="false">
      <c r="B13069" s="130" t="n">
        <v>2028</v>
      </c>
      <c r="C13069" s="131" t="s">
        <v>257</v>
      </c>
      <c r="D13069" s="132" t="n">
        <v>46840</v>
      </c>
      <c r="E13069" s="131" t="s">
        <v>59</v>
      </c>
      <c r="F13069" s="133" t="s">
        <v>24</v>
      </c>
      <c r="G13069" s="134" t="n">
        <f aca="false">LEN('Saisie programme'!$E$474)+SUMIFS('Vols additionnels'!$E$7:$E$66,'Vols additionnels'!$C$7:$C$66,$E13069,'Vols additionnels'!$D$7:$D$66,$F13069,'Vols additionnels'!$B$7:$B$66,$D13069)</f>
        <v>1</v>
      </c>
      <c r="H13069" s="135" t="n">
        <f aca="false">$G13069*'Analyse capacite'!$F$9</f>
        <v>174</v>
      </c>
      <c r="I13069" s="135" t="n">
        <f aca="false">$G13069*'Analyse capacite'!$C$9</f>
        <v>0</v>
      </c>
      <c r="J13069" s="135" t="n">
        <f aca="false">$G13069*'Analyse capacite'!$D$9</f>
        <v>12</v>
      </c>
      <c r="K13069" s="135" t="n">
        <f aca="false">$G13069*'Analyse capacite'!$E$9</f>
        <v>162</v>
      </c>
    </row>
    <row r="13070" customFormat="false" ht="15" hidden="false" customHeight="false" outlineLevel="0" collapsed="false">
      <c r="B13070" s="130" t="n">
        <v>2028</v>
      </c>
      <c r="C13070" s="131" t="s">
        <v>257</v>
      </c>
      <c r="D13070" s="132" t="n">
        <v>46840</v>
      </c>
      <c r="E13070" s="131" t="s">
        <v>62</v>
      </c>
      <c r="F13070" s="133" t="s">
        <v>11</v>
      </c>
      <c r="G13070" s="134" t="n">
        <f aca="false">LEN('Saisie programme'!$E$475)+SUMIFS('Vols additionnels'!$E$7:$E$66,'Vols additionnels'!$C$7:$C$66,$E13070,'Vols additionnels'!$D$7:$D$66,$F13070,'Vols additionnels'!$B$7:$B$66,$D13070)</f>
        <v>0</v>
      </c>
      <c r="H13070" s="135" t="n">
        <f aca="false">$G13070*'Analyse capacite'!$F$7</f>
        <v>0</v>
      </c>
      <c r="I13070" s="135" t="n">
        <f aca="false">$G13070*'Analyse capacite'!$C$7</f>
        <v>0</v>
      </c>
      <c r="J13070" s="135" t="n">
        <f aca="false">$G13070*'Analyse capacite'!$D$7</f>
        <v>0</v>
      </c>
      <c r="K13070" s="135" t="n">
        <f aca="false">$G13070*'Analyse capacite'!$E$7</f>
        <v>0</v>
      </c>
    </row>
    <row r="13071" customFormat="false" ht="15" hidden="false" customHeight="false" outlineLevel="0" collapsed="false">
      <c r="B13071" s="130" t="n">
        <v>2028</v>
      </c>
      <c r="C13071" s="131" t="s">
        <v>257</v>
      </c>
      <c r="D13071" s="132" t="n">
        <v>46840</v>
      </c>
      <c r="E13071" s="131" t="s">
        <v>62</v>
      </c>
      <c r="F13071" s="133" t="s">
        <v>19</v>
      </c>
      <c r="G13071" s="134" t="n">
        <f aca="false">LEN('Saisie programme'!$E$476)+SUMIFS('Vols additionnels'!$E$7:$E$66,'Vols additionnels'!$C$7:$C$66,$E13071,'Vols additionnels'!$D$7:$D$66,$F13071,'Vols additionnels'!$B$7:$B$66,$D13071)</f>
        <v>0</v>
      </c>
      <c r="H13071" s="135" t="n">
        <f aca="false">$G13071*'Analyse capacite'!$F$8</f>
        <v>0</v>
      </c>
      <c r="I13071" s="135" t="n">
        <f aca="false">$G13071*'Analyse capacite'!$C$8</f>
        <v>0</v>
      </c>
      <c r="J13071" s="135" t="n">
        <f aca="false">$G13071*'Analyse capacite'!$D$8</f>
        <v>0</v>
      </c>
      <c r="K13071" s="135" t="n">
        <f aca="false">$G13071*'Analyse capacite'!$E$8</f>
        <v>0</v>
      </c>
    </row>
    <row r="13072" customFormat="false" ht="15" hidden="false" customHeight="false" outlineLevel="0" collapsed="false">
      <c r="B13072" s="130" t="n">
        <v>2028</v>
      </c>
      <c r="C13072" s="131" t="s">
        <v>257</v>
      </c>
      <c r="D13072" s="132" t="n">
        <v>46840</v>
      </c>
      <c r="E13072" s="131" t="s">
        <v>62</v>
      </c>
      <c r="F13072" s="133" t="s">
        <v>24</v>
      </c>
      <c r="G13072" s="134" t="n">
        <f aca="false">LEN('Saisie programme'!$E$477)+SUMIFS('Vols additionnels'!$E$7:$E$66,'Vols additionnels'!$C$7:$C$66,$E13072,'Vols additionnels'!$D$7:$D$66,$F13072,'Vols additionnels'!$B$7:$B$66,$D13072)</f>
        <v>0</v>
      </c>
      <c r="H13072" s="135" t="n">
        <f aca="false">$G13072*'Analyse capacite'!$F$9</f>
        <v>0</v>
      </c>
      <c r="I13072" s="135" t="n">
        <f aca="false">$G13072*'Analyse capacite'!$C$9</f>
        <v>0</v>
      </c>
      <c r="J13072" s="135" t="n">
        <f aca="false">$G13072*'Analyse capacite'!$D$9</f>
        <v>0</v>
      </c>
      <c r="K13072" s="135" t="n">
        <f aca="false">$G13072*'Analyse capacite'!$E$9</f>
        <v>0</v>
      </c>
    </row>
    <row r="13073" customFormat="false" ht="15" hidden="false" customHeight="false" outlineLevel="0" collapsed="false">
      <c r="B13073" s="130" t="n">
        <v>2028</v>
      </c>
      <c r="C13073" s="131" t="s">
        <v>257</v>
      </c>
      <c r="D13073" s="132" t="n">
        <v>46841</v>
      </c>
      <c r="E13073" s="131" t="s">
        <v>12</v>
      </c>
      <c r="F13073" s="133" t="s">
        <v>11</v>
      </c>
      <c r="G13073" s="134" t="n">
        <f aca="false">LEN('Saisie programme'!$F$442)+SUMIFS('Vols additionnels'!$E$7:$E$66,'Vols additionnels'!$C$7:$C$66,$E13073,'Vols additionnels'!$D$7:$D$66,$F13073,'Vols additionnels'!$B$7:$B$66,$D13073)</f>
        <v>1</v>
      </c>
      <c r="H13073" s="135" t="n">
        <f aca="false">$G13073*'Analyse capacite'!$F$7</f>
        <v>438</v>
      </c>
      <c r="I13073" s="135" t="n">
        <f aca="false">$G13073*'Analyse capacite'!$C$7</f>
        <v>14</v>
      </c>
      <c r="J13073" s="135" t="n">
        <f aca="false">$G13073*'Analyse capacite'!$D$7</f>
        <v>40</v>
      </c>
      <c r="K13073" s="135" t="n">
        <f aca="false">$G13073*'Analyse capacite'!$E$7</f>
        <v>384</v>
      </c>
    </row>
    <row r="13074" customFormat="false" ht="15" hidden="false" customHeight="false" outlineLevel="0" collapsed="false">
      <c r="B13074" s="130" t="n">
        <v>2028</v>
      </c>
      <c r="C13074" s="131" t="s">
        <v>257</v>
      </c>
      <c r="D13074" s="132" t="n">
        <v>46841</v>
      </c>
      <c r="E13074" s="131" t="s">
        <v>12</v>
      </c>
      <c r="F13074" s="133" t="s">
        <v>19</v>
      </c>
      <c r="G13074" s="134" t="n">
        <f aca="false">LEN('Saisie programme'!$F$443)+SUMIFS('Vols additionnels'!$E$7:$E$66,'Vols additionnels'!$C$7:$C$66,$E13074,'Vols additionnels'!$D$7:$D$66,$F13074,'Vols additionnels'!$B$7:$B$66,$D13074)</f>
        <v>0</v>
      </c>
      <c r="H13074" s="135" t="n">
        <f aca="false">$G13074*'Analyse capacite'!$F$8</f>
        <v>0</v>
      </c>
      <c r="I13074" s="135" t="n">
        <f aca="false">$G13074*'Analyse capacite'!$C$8</f>
        <v>0</v>
      </c>
      <c r="J13074" s="135" t="n">
        <f aca="false">$G13074*'Analyse capacite'!$D$8</f>
        <v>0</v>
      </c>
      <c r="K13074" s="135" t="n">
        <f aca="false">$G13074*'Analyse capacite'!$E$8</f>
        <v>0</v>
      </c>
    </row>
    <row r="13075" customFormat="false" ht="15" hidden="false" customHeight="false" outlineLevel="0" collapsed="false">
      <c r="B13075" s="130" t="n">
        <v>2028</v>
      </c>
      <c r="C13075" s="131" t="s">
        <v>257</v>
      </c>
      <c r="D13075" s="132" t="n">
        <v>46841</v>
      </c>
      <c r="E13075" s="131" t="s">
        <v>12</v>
      </c>
      <c r="F13075" s="133" t="s">
        <v>24</v>
      </c>
      <c r="G13075" s="134" t="n">
        <f aca="false">LEN('Saisie programme'!$F$444)+SUMIFS('Vols additionnels'!$E$7:$E$66,'Vols additionnels'!$C$7:$C$66,$E13075,'Vols additionnels'!$D$7:$D$66,$F13075,'Vols additionnels'!$B$7:$B$66,$D13075)</f>
        <v>0</v>
      </c>
      <c r="H13075" s="135" t="n">
        <f aca="false">$G13075*'Analyse capacite'!$F$9</f>
        <v>0</v>
      </c>
      <c r="I13075" s="135" t="n">
        <f aca="false">$G13075*'Analyse capacite'!$C$9</f>
        <v>0</v>
      </c>
      <c r="J13075" s="135" t="n">
        <f aca="false">$G13075*'Analyse capacite'!$D$9</f>
        <v>0</v>
      </c>
      <c r="K13075" s="135" t="n">
        <f aca="false">$G13075*'Analyse capacite'!$E$9</f>
        <v>0</v>
      </c>
    </row>
    <row r="13076" customFormat="false" ht="15" hidden="false" customHeight="false" outlineLevel="0" collapsed="false">
      <c r="B13076" s="130" t="n">
        <v>2028</v>
      </c>
      <c r="C13076" s="131" t="s">
        <v>257</v>
      </c>
      <c r="D13076" s="132" t="n">
        <v>46841</v>
      </c>
      <c r="E13076" s="131" t="s">
        <v>20</v>
      </c>
      <c r="F13076" s="133" t="s">
        <v>11</v>
      </c>
      <c r="G13076" s="134" t="n">
        <f aca="false">LEN('Saisie programme'!$F$445)+SUMIFS('Vols additionnels'!$E$7:$E$66,'Vols additionnels'!$C$7:$C$66,$E13076,'Vols additionnels'!$D$7:$D$66,$F13076,'Vols additionnels'!$B$7:$B$66,$D13076)</f>
        <v>0</v>
      </c>
      <c r="H13076" s="135" t="n">
        <f aca="false">$G13076*'Analyse capacite'!$F$7</f>
        <v>0</v>
      </c>
      <c r="I13076" s="135" t="n">
        <f aca="false">$G13076*'Analyse capacite'!$C$7</f>
        <v>0</v>
      </c>
      <c r="J13076" s="135" t="n">
        <f aca="false">$G13076*'Analyse capacite'!$D$7</f>
        <v>0</v>
      </c>
      <c r="K13076" s="135" t="n">
        <f aca="false">$G13076*'Analyse capacite'!$E$7</f>
        <v>0</v>
      </c>
    </row>
    <row r="13077" customFormat="false" ht="15" hidden="false" customHeight="false" outlineLevel="0" collapsed="false">
      <c r="B13077" s="130" t="n">
        <v>2028</v>
      </c>
      <c r="C13077" s="131" t="s">
        <v>257</v>
      </c>
      <c r="D13077" s="132" t="n">
        <v>46841</v>
      </c>
      <c r="E13077" s="131" t="s">
        <v>20</v>
      </c>
      <c r="F13077" s="133" t="s">
        <v>19</v>
      </c>
      <c r="G13077" s="134" t="n">
        <f aca="false">LEN('Saisie programme'!$F$446)+SUMIFS('Vols additionnels'!$E$7:$E$66,'Vols additionnels'!$C$7:$C$66,$E13077,'Vols additionnels'!$D$7:$D$66,$F13077,'Vols additionnels'!$B$7:$B$66,$D13077)</f>
        <v>0</v>
      </c>
      <c r="H13077" s="135" t="n">
        <f aca="false">$G13077*'Analyse capacite'!$F$8</f>
        <v>0</v>
      </c>
      <c r="I13077" s="135" t="n">
        <f aca="false">$G13077*'Analyse capacite'!$C$8</f>
        <v>0</v>
      </c>
      <c r="J13077" s="135" t="n">
        <f aca="false">$G13077*'Analyse capacite'!$D$8</f>
        <v>0</v>
      </c>
      <c r="K13077" s="135" t="n">
        <f aca="false">$G13077*'Analyse capacite'!$E$8</f>
        <v>0</v>
      </c>
    </row>
    <row r="13078" customFormat="false" ht="15" hidden="false" customHeight="false" outlineLevel="0" collapsed="false">
      <c r="B13078" s="130" t="n">
        <v>2028</v>
      </c>
      <c r="C13078" s="131" t="s">
        <v>257</v>
      </c>
      <c r="D13078" s="132" t="n">
        <v>46841</v>
      </c>
      <c r="E13078" s="131" t="s">
        <v>20</v>
      </c>
      <c r="F13078" s="133" t="s">
        <v>24</v>
      </c>
      <c r="G13078" s="134" t="n">
        <f aca="false">LEN('Saisie programme'!$F$447)+SUMIFS('Vols additionnels'!$E$7:$E$66,'Vols additionnels'!$C$7:$C$66,$E13078,'Vols additionnels'!$D$7:$D$66,$F13078,'Vols additionnels'!$B$7:$B$66,$D13078)</f>
        <v>0</v>
      </c>
      <c r="H13078" s="135" t="n">
        <f aca="false">$G13078*'Analyse capacite'!$F$9</f>
        <v>0</v>
      </c>
      <c r="I13078" s="135" t="n">
        <f aca="false">$G13078*'Analyse capacite'!$C$9</f>
        <v>0</v>
      </c>
      <c r="J13078" s="135" t="n">
        <f aca="false">$G13078*'Analyse capacite'!$D$9</f>
        <v>0</v>
      </c>
      <c r="K13078" s="135" t="n">
        <f aca="false">$G13078*'Analyse capacite'!$E$9</f>
        <v>0</v>
      </c>
    </row>
    <row r="13079" customFormat="false" ht="15" hidden="false" customHeight="false" outlineLevel="0" collapsed="false">
      <c r="B13079" s="130" t="n">
        <v>2028</v>
      </c>
      <c r="C13079" s="131" t="s">
        <v>257</v>
      </c>
      <c r="D13079" s="132" t="n">
        <v>46841</v>
      </c>
      <c r="E13079" s="131" t="s">
        <v>25</v>
      </c>
      <c r="F13079" s="133" t="s">
        <v>11</v>
      </c>
      <c r="G13079" s="134" t="n">
        <f aca="false">LEN('Saisie programme'!$F$448)+SUMIFS('Vols additionnels'!$E$7:$E$66,'Vols additionnels'!$C$7:$C$66,$E13079,'Vols additionnels'!$D$7:$D$66,$F13079,'Vols additionnels'!$B$7:$B$66,$D13079)</f>
        <v>0</v>
      </c>
      <c r="H13079" s="135" t="n">
        <f aca="false">$G13079*'Analyse capacite'!$F$7</f>
        <v>0</v>
      </c>
      <c r="I13079" s="135" t="n">
        <f aca="false">$G13079*'Analyse capacite'!$C$7</f>
        <v>0</v>
      </c>
      <c r="J13079" s="135" t="n">
        <f aca="false">$G13079*'Analyse capacite'!$D$7</f>
        <v>0</v>
      </c>
      <c r="K13079" s="135" t="n">
        <f aca="false">$G13079*'Analyse capacite'!$E$7</f>
        <v>0</v>
      </c>
    </row>
    <row r="13080" customFormat="false" ht="15" hidden="false" customHeight="false" outlineLevel="0" collapsed="false">
      <c r="B13080" s="130" t="n">
        <v>2028</v>
      </c>
      <c r="C13080" s="131" t="s">
        <v>257</v>
      </c>
      <c r="D13080" s="132" t="n">
        <v>46841</v>
      </c>
      <c r="E13080" s="131" t="s">
        <v>25</v>
      </c>
      <c r="F13080" s="133" t="s">
        <v>19</v>
      </c>
      <c r="G13080" s="134" t="n">
        <f aca="false">LEN('Saisie programme'!$F$449)+SUMIFS('Vols additionnels'!$E$7:$E$66,'Vols additionnels'!$C$7:$C$66,$E13080,'Vols additionnels'!$D$7:$D$66,$F13080,'Vols additionnels'!$B$7:$B$66,$D13080)</f>
        <v>1</v>
      </c>
      <c r="H13080" s="135" t="n">
        <f aca="false">$G13080*'Analyse capacite'!$F$8</f>
        <v>262</v>
      </c>
      <c r="I13080" s="135" t="n">
        <f aca="false">$G13080*'Analyse capacite'!$C$8</f>
        <v>18</v>
      </c>
      <c r="J13080" s="135" t="n">
        <f aca="false">$G13080*'Analyse capacite'!$D$8</f>
        <v>0</v>
      </c>
      <c r="K13080" s="135" t="n">
        <f aca="false">$G13080*'Analyse capacite'!$E$8</f>
        <v>244</v>
      </c>
    </row>
    <row r="13081" customFormat="false" ht="15" hidden="false" customHeight="false" outlineLevel="0" collapsed="false">
      <c r="B13081" s="130" t="n">
        <v>2028</v>
      </c>
      <c r="C13081" s="131" t="s">
        <v>257</v>
      </c>
      <c r="D13081" s="132" t="n">
        <v>46841</v>
      </c>
      <c r="E13081" s="131" t="s">
        <v>25</v>
      </c>
      <c r="F13081" s="133" t="s">
        <v>24</v>
      </c>
      <c r="G13081" s="134" t="n">
        <f aca="false">LEN('Saisie programme'!$F$450)+SUMIFS('Vols additionnels'!$E$7:$E$66,'Vols additionnels'!$C$7:$C$66,$E13081,'Vols additionnels'!$D$7:$D$66,$F13081,'Vols additionnels'!$B$7:$B$66,$D13081)</f>
        <v>0</v>
      </c>
      <c r="H13081" s="135" t="n">
        <f aca="false">$G13081*'Analyse capacite'!$F$9</f>
        <v>0</v>
      </c>
      <c r="I13081" s="135" t="n">
        <f aca="false">$G13081*'Analyse capacite'!$C$9</f>
        <v>0</v>
      </c>
      <c r="J13081" s="135" t="n">
        <f aca="false">$G13081*'Analyse capacite'!$D$9</f>
        <v>0</v>
      </c>
      <c r="K13081" s="135" t="n">
        <f aca="false">$G13081*'Analyse capacite'!$E$9</f>
        <v>0</v>
      </c>
    </row>
    <row r="13082" customFormat="false" ht="15" hidden="false" customHeight="false" outlineLevel="0" collapsed="false">
      <c r="B13082" s="130" t="n">
        <v>2028</v>
      </c>
      <c r="C13082" s="131" t="s">
        <v>257</v>
      </c>
      <c r="D13082" s="132" t="n">
        <v>46841</v>
      </c>
      <c r="E13082" s="131" t="s">
        <v>36</v>
      </c>
      <c r="F13082" s="133" t="s">
        <v>11</v>
      </c>
      <c r="G13082" s="134" t="n">
        <f aca="false">LEN('Saisie programme'!$F$451)+SUMIFS('Vols additionnels'!$E$7:$E$66,'Vols additionnels'!$C$7:$C$66,$E13082,'Vols additionnels'!$D$7:$D$66,$F13082,'Vols additionnels'!$B$7:$B$66,$D13082)</f>
        <v>0</v>
      </c>
      <c r="H13082" s="135" t="n">
        <f aca="false">$G13082*'Analyse capacite'!$F$7</f>
        <v>0</v>
      </c>
      <c r="I13082" s="135" t="n">
        <f aca="false">$G13082*'Analyse capacite'!$C$7</f>
        <v>0</v>
      </c>
      <c r="J13082" s="135" t="n">
        <f aca="false">$G13082*'Analyse capacite'!$D$7</f>
        <v>0</v>
      </c>
      <c r="K13082" s="135" t="n">
        <f aca="false">$G13082*'Analyse capacite'!$E$7</f>
        <v>0</v>
      </c>
    </row>
    <row r="13083" customFormat="false" ht="15" hidden="false" customHeight="false" outlineLevel="0" collapsed="false">
      <c r="B13083" s="130" t="n">
        <v>2028</v>
      </c>
      <c r="C13083" s="131" t="s">
        <v>257</v>
      </c>
      <c r="D13083" s="132" t="n">
        <v>46841</v>
      </c>
      <c r="E13083" s="131" t="s">
        <v>36</v>
      </c>
      <c r="F13083" s="133" t="s">
        <v>19</v>
      </c>
      <c r="G13083" s="134" t="n">
        <f aca="false">LEN('Saisie programme'!$F$452)+SUMIFS('Vols additionnels'!$E$7:$E$66,'Vols additionnels'!$C$7:$C$66,$E13083,'Vols additionnels'!$D$7:$D$66,$F13083,'Vols additionnels'!$B$7:$B$66,$D13083)</f>
        <v>1</v>
      </c>
      <c r="H13083" s="135" t="n">
        <f aca="false">$G13083*'Analyse capacite'!$F$8</f>
        <v>262</v>
      </c>
      <c r="I13083" s="135" t="n">
        <f aca="false">$G13083*'Analyse capacite'!$C$8</f>
        <v>18</v>
      </c>
      <c r="J13083" s="135" t="n">
        <f aca="false">$G13083*'Analyse capacite'!$D$8</f>
        <v>0</v>
      </c>
      <c r="K13083" s="135" t="n">
        <f aca="false">$G13083*'Analyse capacite'!$E$8</f>
        <v>244</v>
      </c>
    </row>
    <row r="13084" customFormat="false" ht="15" hidden="false" customHeight="false" outlineLevel="0" collapsed="false">
      <c r="B13084" s="130" t="n">
        <v>2028</v>
      </c>
      <c r="C13084" s="131" t="s">
        <v>257</v>
      </c>
      <c r="D13084" s="132" t="n">
        <v>46841</v>
      </c>
      <c r="E13084" s="131" t="s">
        <v>36</v>
      </c>
      <c r="F13084" s="133" t="s">
        <v>24</v>
      </c>
      <c r="G13084" s="134" t="n">
        <f aca="false">LEN('Saisie programme'!$F$453)+SUMIFS('Vols additionnels'!$E$7:$E$66,'Vols additionnels'!$C$7:$C$66,$E13084,'Vols additionnels'!$D$7:$D$66,$F13084,'Vols additionnels'!$B$7:$B$66,$D13084)</f>
        <v>1</v>
      </c>
      <c r="H13084" s="135" t="n">
        <f aca="false">$G13084*'Analyse capacite'!$F$9</f>
        <v>174</v>
      </c>
      <c r="I13084" s="135" t="n">
        <f aca="false">$G13084*'Analyse capacite'!$C$9</f>
        <v>0</v>
      </c>
      <c r="J13084" s="135" t="n">
        <f aca="false">$G13084*'Analyse capacite'!$D$9</f>
        <v>12</v>
      </c>
      <c r="K13084" s="135" t="n">
        <f aca="false">$G13084*'Analyse capacite'!$E$9</f>
        <v>162</v>
      </c>
    </row>
    <row r="13085" customFormat="false" ht="15" hidden="false" customHeight="false" outlineLevel="0" collapsed="false">
      <c r="B13085" s="130" t="n">
        <v>2028</v>
      </c>
      <c r="C13085" s="131" t="s">
        <v>257</v>
      </c>
      <c r="D13085" s="132" t="n">
        <v>46841</v>
      </c>
      <c r="E13085" s="131" t="s">
        <v>40</v>
      </c>
      <c r="F13085" s="133" t="s">
        <v>11</v>
      </c>
      <c r="G13085" s="134" t="n">
        <f aca="false">LEN('Saisie programme'!$F$454)+SUMIFS('Vols additionnels'!$E$7:$E$66,'Vols additionnels'!$C$7:$C$66,$E13085,'Vols additionnels'!$D$7:$D$66,$F13085,'Vols additionnels'!$B$7:$B$66,$D13085)</f>
        <v>0</v>
      </c>
      <c r="H13085" s="135" t="n">
        <f aca="false">$G13085*'Analyse capacite'!$F$7</f>
        <v>0</v>
      </c>
      <c r="I13085" s="135" t="n">
        <f aca="false">$G13085*'Analyse capacite'!$C$7</f>
        <v>0</v>
      </c>
      <c r="J13085" s="135" t="n">
        <f aca="false">$G13085*'Analyse capacite'!$D$7</f>
        <v>0</v>
      </c>
      <c r="K13085" s="135" t="n">
        <f aca="false">$G13085*'Analyse capacite'!$E$7</f>
        <v>0</v>
      </c>
    </row>
    <row r="13086" customFormat="false" ht="15" hidden="false" customHeight="false" outlineLevel="0" collapsed="false">
      <c r="B13086" s="130" t="n">
        <v>2028</v>
      </c>
      <c r="C13086" s="131" t="s">
        <v>257</v>
      </c>
      <c r="D13086" s="132" t="n">
        <v>46841</v>
      </c>
      <c r="E13086" s="131" t="s">
        <v>40</v>
      </c>
      <c r="F13086" s="133" t="s">
        <v>19</v>
      </c>
      <c r="G13086" s="134" t="n">
        <f aca="false">LEN('Saisie programme'!$F$455)+SUMIFS('Vols additionnels'!$E$7:$E$66,'Vols additionnels'!$C$7:$C$66,$E13086,'Vols additionnels'!$D$7:$D$66,$F13086,'Vols additionnels'!$B$7:$B$66,$D13086)</f>
        <v>0</v>
      </c>
      <c r="H13086" s="135" t="n">
        <f aca="false">$G13086*'Analyse capacite'!$F$8</f>
        <v>0</v>
      </c>
      <c r="I13086" s="135" t="n">
        <f aca="false">$G13086*'Analyse capacite'!$C$8</f>
        <v>0</v>
      </c>
      <c r="J13086" s="135" t="n">
        <f aca="false">$G13086*'Analyse capacite'!$D$8</f>
        <v>0</v>
      </c>
      <c r="K13086" s="135" t="n">
        <f aca="false">$G13086*'Analyse capacite'!$E$8</f>
        <v>0</v>
      </c>
    </row>
    <row r="13087" customFormat="false" ht="15" hidden="false" customHeight="false" outlineLevel="0" collapsed="false">
      <c r="B13087" s="130" t="n">
        <v>2028</v>
      </c>
      <c r="C13087" s="131" t="s">
        <v>257</v>
      </c>
      <c r="D13087" s="132" t="n">
        <v>46841</v>
      </c>
      <c r="E13087" s="131" t="s">
        <v>40</v>
      </c>
      <c r="F13087" s="133" t="s">
        <v>24</v>
      </c>
      <c r="G13087" s="134" t="n">
        <f aca="false">LEN('Saisie programme'!$F$456)+SUMIFS('Vols additionnels'!$E$7:$E$66,'Vols additionnels'!$C$7:$C$66,$E13087,'Vols additionnels'!$D$7:$D$66,$F13087,'Vols additionnels'!$B$7:$B$66,$D13087)</f>
        <v>1</v>
      </c>
      <c r="H13087" s="135" t="n">
        <f aca="false">$G13087*'Analyse capacite'!$F$9</f>
        <v>174</v>
      </c>
      <c r="I13087" s="135" t="n">
        <f aca="false">$G13087*'Analyse capacite'!$C$9</f>
        <v>0</v>
      </c>
      <c r="J13087" s="135" t="n">
        <f aca="false">$G13087*'Analyse capacite'!$D$9</f>
        <v>12</v>
      </c>
      <c r="K13087" s="135" t="n">
        <f aca="false">$G13087*'Analyse capacite'!$E$9</f>
        <v>162</v>
      </c>
    </row>
    <row r="13088" customFormat="false" ht="15" hidden="false" customHeight="false" outlineLevel="0" collapsed="false">
      <c r="B13088" s="130" t="n">
        <v>2028</v>
      </c>
      <c r="C13088" s="131" t="s">
        <v>257</v>
      </c>
      <c r="D13088" s="132" t="n">
        <v>46841</v>
      </c>
      <c r="E13088" s="131" t="s">
        <v>14</v>
      </c>
      <c r="F13088" s="133" t="s">
        <v>11</v>
      </c>
      <c r="G13088" s="134" t="n">
        <f aca="false">LEN('Saisie programme'!$F$457)+SUMIFS('Vols additionnels'!$E$7:$E$66,'Vols additionnels'!$C$7:$C$66,$E13088,'Vols additionnels'!$D$7:$D$66,$F13088,'Vols additionnels'!$B$7:$B$66,$D13088)</f>
        <v>0</v>
      </c>
      <c r="H13088" s="135" t="n">
        <f aca="false">$G13088*'Analyse capacite'!$F$7</f>
        <v>0</v>
      </c>
      <c r="I13088" s="135" t="n">
        <f aca="false">$G13088*'Analyse capacite'!$C$7</f>
        <v>0</v>
      </c>
      <c r="J13088" s="135" t="n">
        <f aca="false">$G13088*'Analyse capacite'!$D$7</f>
        <v>0</v>
      </c>
      <c r="K13088" s="135" t="n">
        <f aca="false">$G13088*'Analyse capacite'!$E$7</f>
        <v>0</v>
      </c>
    </row>
    <row r="13089" customFormat="false" ht="15" hidden="false" customHeight="false" outlineLevel="0" collapsed="false">
      <c r="B13089" s="130" t="n">
        <v>2028</v>
      </c>
      <c r="C13089" s="131" t="s">
        <v>257</v>
      </c>
      <c r="D13089" s="132" t="n">
        <v>46841</v>
      </c>
      <c r="E13089" s="131" t="s">
        <v>14</v>
      </c>
      <c r="F13089" s="133" t="s">
        <v>19</v>
      </c>
      <c r="G13089" s="134" t="n">
        <f aca="false">LEN('Saisie programme'!$F$458)+SUMIFS('Vols additionnels'!$E$7:$E$66,'Vols additionnels'!$C$7:$C$66,$E13089,'Vols additionnels'!$D$7:$D$66,$F13089,'Vols additionnels'!$B$7:$B$66,$D13089)</f>
        <v>0</v>
      </c>
      <c r="H13089" s="135" t="n">
        <f aca="false">$G13089*'Analyse capacite'!$F$8</f>
        <v>0</v>
      </c>
      <c r="I13089" s="135" t="n">
        <f aca="false">$G13089*'Analyse capacite'!$C$8</f>
        <v>0</v>
      </c>
      <c r="J13089" s="135" t="n">
        <f aca="false">$G13089*'Analyse capacite'!$D$8</f>
        <v>0</v>
      </c>
      <c r="K13089" s="135" t="n">
        <f aca="false">$G13089*'Analyse capacite'!$E$8</f>
        <v>0</v>
      </c>
    </row>
    <row r="13090" customFormat="false" ht="15" hidden="false" customHeight="false" outlineLevel="0" collapsed="false">
      <c r="B13090" s="130" t="n">
        <v>2028</v>
      </c>
      <c r="C13090" s="131" t="s">
        <v>257</v>
      </c>
      <c r="D13090" s="132" t="n">
        <v>46841</v>
      </c>
      <c r="E13090" s="131" t="s">
        <v>14</v>
      </c>
      <c r="F13090" s="133" t="s">
        <v>24</v>
      </c>
      <c r="G13090" s="134" t="n">
        <f aca="false">LEN('Saisie programme'!$F$459)+SUMIFS('Vols additionnels'!$E$7:$E$66,'Vols additionnels'!$C$7:$C$66,$E13090,'Vols additionnels'!$D$7:$D$66,$F13090,'Vols additionnels'!$B$7:$B$66,$D13090)</f>
        <v>0</v>
      </c>
      <c r="H13090" s="135" t="n">
        <f aca="false">$G13090*'Analyse capacite'!$F$9</f>
        <v>0</v>
      </c>
      <c r="I13090" s="135" t="n">
        <f aca="false">$G13090*'Analyse capacite'!$C$9</f>
        <v>0</v>
      </c>
      <c r="J13090" s="135" t="n">
        <f aca="false">$G13090*'Analyse capacite'!$D$9</f>
        <v>0</v>
      </c>
      <c r="K13090" s="135" t="n">
        <f aca="false">$G13090*'Analyse capacite'!$E$9</f>
        <v>0</v>
      </c>
    </row>
    <row r="13091" customFormat="false" ht="15" hidden="false" customHeight="false" outlineLevel="0" collapsed="false">
      <c r="B13091" s="130" t="n">
        <v>2028</v>
      </c>
      <c r="C13091" s="131" t="s">
        <v>257</v>
      </c>
      <c r="D13091" s="132" t="n">
        <v>46841</v>
      </c>
      <c r="E13091" s="131" t="s">
        <v>46</v>
      </c>
      <c r="F13091" s="133" t="s">
        <v>11</v>
      </c>
      <c r="G13091" s="134" t="n">
        <f aca="false">LEN('Saisie programme'!$F$460)+SUMIFS('Vols additionnels'!$E$7:$E$66,'Vols additionnels'!$C$7:$C$66,$E13091,'Vols additionnels'!$D$7:$D$66,$F13091,'Vols additionnels'!$B$7:$B$66,$D13091)</f>
        <v>0</v>
      </c>
      <c r="H13091" s="135" t="n">
        <f aca="false">$G13091*'Analyse capacite'!$F$7</f>
        <v>0</v>
      </c>
      <c r="I13091" s="135" t="n">
        <f aca="false">$G13091*'Analyse capacite'!$C$7</f>
        <v>0</v>
      </c>
      <c r="J13091" s="135" t="n">
        <f aca="false">$G13091*'Analyse capacite'!$D$7</f>
        <v>0</v>
      </c>
      <c r="K13091" s="135" t="n">
        <f aca="false">$G13091*'Analyse capacite'!$E$7</f>
        <v>0</v>
      </c>
    </row>
    <row r="13092" customFormat="false" ht="15" hidden="false" customHeight="false" outlineLevel="0" collapsed="false">
      <c r="B13092" s="130" t="n">
        <v>2028</v>
      </c>
      <c r="C13092" s="131" t="s">
        <v>257</v>
      </c>
      <c r="D13092" s="132" t="n">
        <v>46841</v>
      </c>
      <c r="E13092" s="131" t="s">
        <v>46</v>
      </c>
      <c r="F13092" s="133" t="s">
        <v>19</v>
      </c>
      <c r="G13092" s="134" t="n">
        <f aca="false">LEN('Saisie programme'!$F$461)+SUMIFS('Vols additionnels'!$E$7:$E$66,'Vols additionnels'!$C$7:$C$66,$E13092,'Vols additionnels'!$D$7:$D$66,$F13092,'Vols additionnels'!$B$7:$B$66,$D13092)</f>
        <v>0</v>
      </c>
      <c r="H13092" s="135" t="n">
        <f aca="false">$G13092*'Analyse capacite'!$F$8</f>
        <v>0</v>
      </c>
      <c r="I13092" s="135" t="n">
        <f aca="false">$G13092*'Analyse capacite'!$C$8</f>
        <v>0</v>
      </c>
      <c r="J13092" s="135" t="n">
        <f aca="false">$G13092*'Analyse capacite'!$D$8</f>
        <v>0</v>
      </c>
      <c r="K13092" s="135" t="n">
        <f aca="false">$G13092*'Analyse capacite'!$E$8</f>
        <v>0</v>
      </c>
    </row>
    <row r="13093" customFormat="false" ht="15" hidden="false" customHeight="false" outlineLevel="0" collapsed="false">
      <c r="B13093" s="130" t="n">
        <v>2028</v>
      </c>
      <c r="C13093" s="131" t="s">
        <v>257</v>
      </c>
      <c r="D13093" s="132" t="n">
        <v>46841</v>
      </c>
      <c r="E13093" s="131" t="s">
        <v>46</v>
      </c>
      <c r="F13093" s="133" t="s">
        <v>24</v>
      </c>
      <c r="G13093" s="134" t="n">
        <f aca="false">LEN('Saisie programme'!$F$462)+SUMIFS('Vols additionnels'!$E$7:$E$66,'Vols additionnels'!$C$7:$C$66,$E13093,'Vols additionnels'!$D$7:$D$66,$F13093,'Vols additionnels'!$B$7:$B$66,$D13093)</f>
        <v>0</v>
      </c>
      <c r="H13093" s="135" t="n">
        <f aca="false">$G13093*'Analyse capacite'!$F$9</f>
        <v>0</v>
      </c>
      <c r="I13093" s="135" t="n">
        <f aca="false">$G13093*'Analyse capacite'!$C$9</f>
        <v>0</v>
      </c>
      <c r="J13093" s="135" t="n">
        <f aca="false">$G13093*'Analyse capacite'!$D$9</f>
        <v>0</v>
      </c>
      <c r="K13093" s="135" t="n">
        <f aca="false">$G13093*'Analyse capacite'!$E$9</f>
        <v>0</v>
      </c>
    </row>
    <row r="13094" customFormat="false" ht="15" hidden="false" customHeight="false" outlineLevel="0" collapsed="false">
      <c r="B13094" s="130" t="n">
        <v>2028</v>
      </c>
      <c r="C13094" s="131" t="s">
        <v>257</v>
      </c>
      <c r="D13094" s="132" t="n">
        <v>46841</v>
      </c>
      <c r="E13094" s="131" t="s">
        <v>49</v>
      </c>
      <c r="F13094" s="133" t="s">
        <v>11</v>
      </c>
      <c r="G13094" s="134" t="n">
        <f aca="false">LEN('Saisie programme'!$F$463)+SUMIFS('Vols additionnels'!$E$7:$E$66,'Vols additionnels'!$C$7:$C$66,$E13094,'Vols additionnels'!$D$7:$D$66,$F13094,'Vols additionnels'!$B$7:$B$66,$D13094)</f>
        <v>0</v>
      </c>
      <c r="H13094" s="135" t="n">
        <f aca="false">$G13094*'Analyse capacite'!$F$7</f>
        <v>0</v>
      </c>
      <c r="I13094" s="135" t="n">
        <f aca="false">$G13094*'Analyse capacite'!$C$7</f>
        <v>0</v>
      </c>
      <c r="J13094" s="135" t="n">
        <f aca="false">$G13094*'Analyse capacite'!$D$7</f>
        <v>0</v>
      </c>
      <c r="K13094" s="135" t="n">
        <f aca="false">$G13094*'Analyse capacite'!$E$7</f>
        <v>0</v>
      </c>
    </row>
    <row r="13095" customFormat="false" ht="15" hidden="false" customHeight="false" outlineLevel="0" collapsed="false">
      <c r="B13095" s="130" t="n">
        <v>2028</v>
      </c>
      <c r="C13095" s="131" t="s">
        <v>257</v>
      </c>
      <c r="D13095" s="132" t="n">
        <v>46841</v>
      </c>
      <c r="E13095" s="131" t="s">
        <v>49</v>
      </c>
      <c r="F13095" s="133" t="s">
        <v>19</v>
      </c>
      <c r="G13095" s="134" t="n">
        <f aca="false">LEN('Saisie programme'!$F$464)+SUMIFS('Vols additionnels'!$E$7:$E$66,'Vols additionnels'!$C$7:$C$66,$E13095,'Vols additionnels'!$D$7:$D$66,$F13095,'Vols additionnels'!$B$7:$B$66,$D13095)</f>
        <v>0</v>
      </c>
      <c r="H13095" s="135" t="n">
        <f aca="false">$G13095*'Analyse capacite'!$F$8</f>
        <v>0</v>
      </c>
      <c r="I13095" s="135" t="n">
        <f aca="false">$G13095*'Analyse capacite'!$C$8</f>
        <v>0</v>
      </c>
      <c r="J13095" s="135" t="n">
        <f aca="false">$G13095*'Analyse capacite'!$D$8</f>
        <v>0</v>
      </c>
      <c r="K13095" s="135" t="n">
        <f aca="false">$G13095*'Analyse capacite'!$E$8</f>
        <v>0</v>
      </c>
    </row>
    <row r="13096" customFormat="false" ht="15" hidden="false" customHeight="false" outlineLevel="0" collapsed="false">
      <c r="B13096" s="130" t="n">
        <v>2028</v>
      </c>
      <c r="C13096" s="131" t="s">
        <v>257</v>
      </c>
      <c r="D13096" s="132" t="n">
        <v>46841</v>
      </c>
      <c r="E13096" s="131" t="s">
        <v>49</v>
      </c>
      <c r="F13096" s="133" t="s">
        <v>24</v>
      </c>
      <c r="G13096" s="134" t="n">
        <f aca="false">LEN('Saisie programme'!$F$465)+SUMIFS('Vols additionnels'!$E$7:$E$66,'Vols additionnels'!$C$7:$C$66,$E13096,'Vols additionnels'!$D$7:$D$66,$F13096,'Vols additionnels'!$B$7:$B$66,$D13096)</f>
        <v>0</v>
      </c>
      <c r="H13096" s="135" t="n">
        <f aca="false">$G13096*'Analyse capacite'!$F$9</f>
        <v>0</v>
      </c>
      <c r="I13096" s="135" t="n">
        <f aca="false">$G13096*'Analyse capacite'!$C$9</f>
        <v>0</v>
      </c>
      <c r="J13096" s="135" t="n">
        <f aca="false">$G13096*'Analyse capacite'!$D$9</f>
        <v>0</v>
      </c>
      <c r="K13096" s="135" t="n">
        <f aca="false">$G13096*'Analyse capacite'!$E$9</f>
        <v>0</v>
      </c>
    </row>
    <row r="13097" customFormat="false" ht="15" hidden="false" customHeight="false" outlineLevel="0" collapsed="false">
      <c r="B13097" s="130" t="n">
        <v>2028</v>
      </c>
      <c r="C13097" s="131" t="s">
        <v>257</v>
      </c>
      <c r="D13097" s="132" t="n">
        <v>46841</v>
      </c>
      <c r="E13097" s="131" t="s">
        <v>53</v>
      </c>
      <c r="F13097" s="133" t="s">
        <v>11</v>
      </c>
      <c r="G13097" s="134" t="n">
        <f aca="false">LEN('Saisie programme'!$F$466)+SUMIFS('Vols additionnels'!$E$7:$E$66,'Vols additionnels'!$C$7:$C$66,$E13097,'Vols additionnels'!$D$7:$D$66,$F13097,'Vols additionnels'!$B$7:$B$66,$D13097)</f>
        <v>0</v>
      </c>
      <c r="H13097" s="135" t="n">
        <f aca="false">$G13097*'Analyse capacite'!$F$7</f>
        <v>0</v>
      </c>
      <c r="I13097" s="135" t="n">
        <f aca="false">$G13097*'Analyse capacite'!$C$7</f>
        <v>0</v>
      </c>
      <c r="J13097" s="135" t="n">
        <f aca="false">$G13097*'Analyse capacite'!$D$7</f>
        <v>0</v>
      </c>
      <c r="K13097" s="135" t="n">
        <f aca="false">$G13097*'Analyse capacite'!$E$7</f>
        <v>0</v>
      </c>
    </row>
    <row r="13098" customFormat="false" ht="15" hidden="false" customHeight="false" outlineLevel="0" collapsed="false">
      <c r="B13098" s="130" t="n">
        <v>2028</v>
      </c>
      <c r="C13098" s="131" t="s">
        <v>257</v>
      </c>
      <c r="D13098" s="132" t="n">
        <v>46841</v>
      </c>
      <c r="E13098" s="131" t="s">
        <v>53</v>
      </c>
      <c r="F13098" s="133" t="s">
        <v>19</v>
      </c>
      <c r="G13098" s="134" t="n">
        <f aca="false">LEN('Saisie programme'!$F$467)+SUMIFS('Vols additionnels'!$E$7:$E$66,'Vols additionnels'!$C$7:$C$66,$E13098,'Vols additionnels'!$D$7:$D$66,$F13098,'Vols additionnels'!$B$7:$B$66,$D13098)</f>
        <v>0</v>
      </c>
      <c r="H13098" s="135" t="n">
        <f aca="false">$G13098*'Analyse capacite'!$F$8</f>
        <v>0</v>
      </c>
      <c r="I13098" s="135" t="n">
        <f aca="false">$G13098*'Analyse capacite'!$C$8</f>
        <v>0</v>
      </c>
      <c r="J13098" s="135" t="n">
        <f aca="false">$G13098*'Analyse capacite'!$D$8</f>
        <v>0</v>
      </c>
      <c r="K13098" s="135" t="n">
        <f aca="false">$G13098*'Analyse capacite'!$E$8</f>
        <v>0</v>
      </c>
    </row>
    <row r="13099" customFormat="false" ht="15" hidden="false" customHeight="false" outlineLevel="0" collapsed="false">
      <c r="B13099" s="130" t="n">
        <v>2028</v>
      </c>
      <c r="C13099" s="131" t="s">
        <v>257</v>
      </c>
      <c r="D13099" s="132" t="n">
        <v>46841</v>
      </c>
      <c r="E13099" s="131" t="s">
        <v>53</v>
      </c>
      <c r="F13099" s="133" t="s">
        <v>24</v>
      </c>
      <c r="G13099" s="134" t="n">
        <f aca="false">LEN('Saisie programme'!$F$468)+SUMIFS('Vols additionnels'!$E$7:$E$66,'Vols additionnels'!$C$7:$C$66,$E13099,'Vols additionnels'!$D$7:$D$66,$F13099,'Vols additionnels'!$B$7:$B$66,$D13099)</f>
        <v>0</v>
      </c>
      <c r="H13099" s="135" t="n">
        <f aca="false">$G13099*'Analyse capacite'!$F$9</f>
        <v>0</v>
      </c>
      <c r="I13099" s="135" t="n">
        <f aca="false">$G13099*'Analyse capacite'!$C$9</f>
        <v>0</v>
      </c>
      <c r="J13099" s="135" t="n">
        <f aca="false">$G13099*'Analyse capacite'!$D$9</f>
        <v>0</v>
      </c>
      <c r="K13099" s="135" t="n">
        <f aca="false">$G13099*'Analyse capacite'!$E$9</f>
        <v>0</v>
      </c>
    </row>
    <row r="13100" customFormat="false" ht="15" hidden="false" customHeight="false" outlineLevel="0" collapsed="false">
      <c r="B13100" s="130" t="n">
        <v>2028</v>
      </c>
      <c r="C13100" s="131" t="s">
        <v>257</v>
      </c>
      <c r="D13100" s="132" t="n">
        <v>46841</v>
      </c>
      <c r="E13100" s="131" t="s">
        <v>56</v>
      </c>
      <c r="F13100" s="133" t="s">
        <v>11</v>
      </c>
      <c r="G13100" s="134" t="n">
        <f aca="false">LEN('Saisie programme'!$F$469)+SUMIFS('Vols additionnels'!$E$7:$E$66,'Vols additionnels'!$C$7:$C$66,$E13100,'Vols additionnels'!$D$7:$D$66,$F13100,'Vols additionnels'!$B$7:$B$66,$D13100)</f>
        <v>0</v>
      </c>
      <c r="H13100" s="135" t="n">
        <f aca="false">$G13100*'Analyse capacite'!$F$7</f>
        <v>0</v>
      </c>
      <c r="I13100" s="135" t="n">
        <f aca="false">$G13100*'Analyse capacite'!$C$7</f>
        <v>0</v>
      </c>
      <c r="J13100" s="135" t="n">
        <f aca="false">$G13100*'Analyse capacite'!$D$7</f>
        <v>0</v>
      </c>
      <c r="K13100" s="135" t="n">
        <f aca="false">$G13100*'Analyse capacite'!$E$7</f>
        <v>0</v>
      </c>
    </row>
    <row r="13101" customFormat="false" ht="15" hidden="false" customHeight="false" outlineLevel="0" collapsed="false">
      <c r="B13101" s="130" t="n">
        <v>2028</v>
      </c>
      <c r="C13101" s="131" t="s">
        <v>257</v>
      </c>
      <c r="D13101" s="132" t="n">
        <v>46841</v>
      </c>
      <c r="E13101" s="131" t="s">
        <v>56</v>
      </c>
      <c r="F13101" s="133" t="s">
        <v>19</v>
      </c>
      <c r="G13101" s="134" t="n">
        <f aca="false">LEN('Saisie programme'!$F$470)+SUMIFS('Vols additionnels'!$E$7:$E$66,'Vols additionnels'!$C$7:$C$66,$E13101,'Vols additionnels'!$D$7:$D$66,$F13101,'Vols additionnels'!$B$7:$B$66,$D13101)</f>
        <v>0</v>
      </c>
      <c r="H13101" s="135" t="n">
        <f aca="false">$G13101*'Analyse capacite'!$F$8</f>
        <v>0</v>
      </c>
      <c r="I13101" s="135" t="n">
        <f aca="false">$G13101*'Analyse capacite'!$C$8</f>
        <v>0</v>
      </c>
      <c r="J13101" s="135" t="n">
        <f aca="false">$G13101*'Analyse capacite'!$D$8</f>
        <v>0</v>
      </c>
      <c r="K13101" s="135" t="n">
        <f aca="false">$G13101*'Analyse capacite'!$E$8</f>
        <v>0</v>
      </c>
    </row>
    <row r="13102" customFormat="false" ht="15" hidden="false" customHeight="false" outlineLevel="0" collapsed="false">
      <c r="B13102" s="130" t="n">
        <v>2028</v>
      </c>
      <c r="C13102" s="131" t="s">
        <v>257</v>
      </c>
      <c r="D13102" s="132" t="n">
        <v>46841</v>
      </c>
      <c r="E13102" s="131" t="s">
        <v>56</v>
      </c>
      <c r="F13102" s="133" t="s">
        <v>24</v>
      </c>
      <c r="G13102" s="134" t="n">
        <f aca="false">LEN('Saisie programme'!$F$471)+SUMIFS('Vols additionnels'!$E$7:$E$66,'Vols additionnels'!$C$7:$C$66,$E13102,'Vols additionnels'!$D$7:$D$66,$F13102,'Vols additionnels'!$B$7:$B$66,$D13102)</f>
        <v>0</v>
      </c>
      <c r="H13102" s="135" t="n">
        <f aca="false">$G13102*'Analyse capacite'!$F$9</f>
        <v>0</v>
      </c>
      <c r="I13102" s="135" t="n">
        <f aca="false">$G13102*'Analyse capacite'!$C$9</f>
        <v>0</v>
      </c>
      <c r="J13102" s="135" t="n">
        <f aca="false">$G13102*'Analyse capacite'!$D$9</f>
        <v>0</v>
      </c>
      <c r="K13102" s="135" t="n">
        <f aca="false">$G13102*'Analyse capacite'!$E$9</f>
        <v>0</v>
      </c>
    </row>
    <row r="13103" customFormat="false" ht="15" hidden="false" customHeight="false" outlineLevel="0" collapsed="false">
      <c r="B13103" s="130" t="n">
        <v>2028</v>
      </c>
      <c r="C13103" s="131" t="s">
        <v>257</v>
      </c>
      <c r="D13103" s="132" t="n">
        <v>46841</v>
      </c>
      <c r="E13103" s="131" t="s">
        <v>59</v>
      </c>
      <c r="F13103" s="133" t="s">
        <v>11</v>
      </c>
      <c r="G13103" s="134" t="n">
        <f aca="false">LEN('Saisie programme'!$F$472)+SUMIFS('Vols additionnels'!$E$7:$E$66,'Vols additionnels'!$C$7:$C$66,$E13103,'Vols additionnels'!$D$7:$D$66,$F13103,'Vols additionnels'!$B$7:$B$66,$D13103)</f>
        <v>0</v>
      </c>
      <c r="H13103" s="135" t="n">
        <f aca="false">$G13103*'Analyse capacite'!$F$7</f>
        <v>0</v>
      </c>
      <c r="I13103" s="135" t="n">
        <f aca="false">$G13103*'Analyse capacite'!$C$7</f>
        <v>0</v>
      </c>
      <c r="J13103" s="135" t="n">
        <f aca="false">$G13103*'Analyse capacite'!$D$7</f>
        <v>0</v>
      </c>
      <c r="K13103" s="135" t="n">
        <f aca="false">$G13103*'Analyse capacite'!$E$7</f>
        <v>0</v>
      </c>
    </row>
    <row r="13104" customFormat="false" ht="15" hidden="false" customHeight="false" outlineLevel="0" collapsed="false">
      <c r="B13104" s="130" t="n">
        <v>2028</v>
      </c>
      <c r="C13104" s="131" t="s">
        <v>257</v>
      </c>
      <c r="D13104" s="132" t="n">
        <v>46841</v>
      </c>
      <c r="E13104" s="131" t="s">
        <v>59</v>
      </c>
      <c r="F13104" s="133" t="s">
        <v>19</v>
      </c>
      <c r="G13104" s="134" t="n">
        <f aca="false">LEN('Saisie programme'!$F$473)+SUMIFS('Vols additionnels'!$E$7:$E$66,'Vols additionnels'!$C$7:$C$66,$E13104,'Vols additionnels'!$D$7:$D$66,$F13104,'Vols additionnels'!$B$7:$B$66,$D13104)</f>
        <v>0</v>
      </c>
      <c r="H13104" s="135" t="n">
        <f aca="false">$G13104*'Analyse capacite'!$F$8</f>
        <v>0</v>
      </c>
      <c r="I13104" s="135" t="n">
        <f aca="false">$G13104*'Analyse capacite'!$C$8</f>
        <v>0</v>
      </c>
      <c r="J13104" s="135" t="n">
        <f aca="false">$G13104*'Analyse capacite'!$D$8</f>
        <v>0</v>
      </c>
      <c r="K13104" s="135" t="n">
        <f aca="false">$G13104*'Analyse capacite'!$E$8</f>
        <v>0</v>
      </c>
    </row>
    <row r="13105" customFormat="false" ht="15" hidden="false" customHeight="false" outlineLevel="0" collapsed="false">
      <c r="B13105" s="130" t="n">
        <v>2028</v>
      </c>
      <c r="C13105" s="131" t="s">
        <v>257</v>
      </c>
      <c r="D13105" s="132" t="n">
        <v>46841</v>
      </c>
      <c r="E13105" s="131" t="s">
        <v>59</v>
      </c>
      <c r="F13105" s="133" t="s">
        <v>24</v>
      </c>
      <c r="G13105" s="134" t="n">
        <f aca="false">LEN('Saisie programme'!$F$474)+SUMIFS('Vols additionnels'!$E$7:$E$66,'Vols additionnels'!$C$7:$C$66,$E13105,'Vols additionnels'!$D$7:$D$66,$F13105,'Vols additionnels'!$B$7:$B$66,$D13105)</f>
        <v>1</v>
      </c>
      <c r="H13105" s="135" t="n">
        <f aca="false">$G13105*'Analyse capacite'!$F$9</f>
        <v>174</v>
      </c>
      <c r="I13105" s="135" t="n">
        <f aca="false">$G13105*'Analyse capacite'!$C$9</f>
        <v>0</v>
      </c>
      <c r="J13105" s="135" t="n">
        <f aca="false">$G13105*'Analyse capacite'!$D$9</f>
        <v>12</v>
      </c>
      <c r="K13105" s="135" t="n">
        <f aca="false">$G13105*'Analyse capacite'!$E$9</f>
        <v>162</v>
      </c>
    </row>
    <row r="13106" customFormat="false" ht="15" hidden="false" customHeight="false" outlineLevel="0" collapsed="false">
      <c r="B13106" s="130" t="n">
        <v>2028</v>
      </c>
      <c r="C13106" s="131" t="s">
        <v>257</v>
      </c>
      <c r="D13106" s="132" t="n">
        <v>46841</v>
      </c>
      <c r="E13106" s="131" t="s">
        <v>62</v>
      </c>
      <c r="F13106" s="133" t="s">
        <v>11</v>
      </c>
      <c r="G13106" s="134" t="n">
        <f aca="false">LEN('Saisie programme'!$F$475)+SUMIFS('Vols additionnels'!$E$7:$E$66,'Vols additionnels'!$C$7:$C$66,$E13106,'Vols additionnels'!$D$7:$D$66,$F13106,'Vols additionnels'!$B$7:$B$66,$D13106)</f>
        <v>0</v>
      </c>
      <c r="H13106" s="135" t="n">
        <f aca="false">$G13106*'Analyse capacite'!$F$7</f>
        <v>0</v>
      </c>
      <c r="I13106" s="135" t="n">
        <f aca="false">$G13106*'Analyse capacite'!$C$7</f>
        <v>0</v>
      </c>
      <c r="J13106" s="135" t="n">
        <f aca="false">$G13106*'Analyse capacite'!$D$7</f>
        <v>0</v>
      </c>
      <c r="K13106" s="135" t="n">
        <f aca="false">$G13106*'Analyse capacite'!$E$7</f>
        <v>0</v>
      </c>
    </row>
    <row r="13107" customFormat="false" ht="15" hidden="false" customHeight="false" outlineLevel="0" collapsed="false">
      <c r="B13107" s="130" t="n">
        <v>2028</v>
      </c>
      <c r="C13107" s="131" t="s">
        <v>257</v>
      </c>
      <c r="D13107" s="132" t="n">
        <v>46841</v>
      </c>
      <c r="E13107" s="131" t="s">
        <v>62</v>
      </c>
      <c r="F13107" s="133" t="s">
        <v>19</v>
      </c>
      <c r="G13107" s="134" t="n">
        <f aca="false">LEN('Saisie programme'!$F$476)+SUMIFS('Vols additionnels'!$E$7:$E$66,'Vols additionnels'!$C$7:$C$66,$E13107,'Vols additionnels'!$D$7:$D$66,$F13107,'Vols additionnels'!$B$7:$B$66,$D13107)</f>
        <v>0</v>
      </c>
      <c r="H13107" s="135" t="n">
        <f aca="false">$G13107*'Analyse capacite'!$F$8</f>
        <v>0</v>
      </c>
      <c r="I13107" s="135" t="n">
        <f aca="false">$G13107*'Analyse capacite'!$C$8</f>
        <v>0</v>
      </c>
      <c r="J13107" s="135" t="n">
        <f aca="false">$G13107*'Analyse capacite'!$D$8</f>
        <v>0</v>
      </c>
      <c r="K13107" s="135" t="n">
        <f aca="false">$G13107*'Analyse capacite'!$E$8</f>
        <v>0</v>
      </c>
    </row>
    <row r="13108" customFormat="false" ht="15" hidden="false" customHeight="false" outlineLevel="0" collapsed="false">
      <c r="B13108" s="130" t="n">
        <v>2028</v>
      </c>
      <c r="C13108" s="131" t="s">
        <v>257</v>
      </c>
      <c r="D13108" s="132" t="n">
        <v>46841</v>
      </c>
      <c r="E13108" s="131" t="s">
        <v>62</v>
      </c>
      <c r="F13108" s="133" t="s">
        <v>24</v>
      </c>
      <c r="G13108" s="134" t="n">
        <f aca="false">LEN('Saisie programme'!$F$477)+SUMIFS('Vols additionnels'!$E$7:$E$66,'Vols additionnels'!$C$7:$C$66,$E13108,'Vols additionnels'!$D$7:$D$66,$F13108,'Vols additionnels'!$B$7:$B$66,$D13108)</f>
        <v>1</v>
      </c>
      <c r="H13108" s="135" t="n">
        <f aca="false">$G13108*'Analyse capacite'!$F$9</f>
        <v>174</v>
      </c>
      <c r="I13108" s="135" t="n">
        <f aca="false">$G13108*'Analyse capacite'!$C$9</f>
        <v>0</v>
      </c>
      <c r="J13108" s="135" t="n">
        <f aca="false">$G13108*'Analyse capacite'!$D$9</f>
        <v>12</v>
      </c>
      <c r="K13108" s="135" t="n">
        <f aca="false">$G13108*'Analyse capacite'!$E$9</f>
        <v>162</v>
      </c>
    </row>
    <row r="13109" customFormat="false" ht="15" hidden="false" customHeight="false" outlineLevel="0" collapsed="false">
      <c r="B13109" s="130" t="n">
        <v>2028</v>
      </c>
      <c r="C13109" s="131" t="s">
        <v>257</v>
      </c>
      <c r="D13109" s="132" t="n">
        <v>46842</v>
      </c>
      <c r="E13109" s="131" t="s">
        <v>12</v>
      </c>
      <c r="F13109" s="133" t="s">
        <v>11</v>
      </c>
      <c r="G13109" s="134" t="n">
        <f aca="false">LEN('Saisie programme'!$G$442)+SUMIFS('Vols additionnels'!$E$7:$E$66,'Vols additionnels'!$C$7:$C$66,$E13109,'Vols additionnels'!$D$7:$D$66,$F13109,'Vols additionnels'!$B$7:$B$66,$D13109)</f>
        <v>1</v>
      </c>
      <c r="H13109" s="135" t="n">
        <f aca="false">$G13109*'Analyse capacite'!$F$7</f>
        <v>438</v>
      </c>
      <c r="I13109" s="135" t="n">
        <f aca="false">$G13109*'Analyse capacite'!$C$7</f>
        <v>14</v>
      </c>
      <c r="J13109" s="135" t="n">
        <f aca="false">$G13109*'Analyse capacite'!$D$7</f>
        <v>40</v>
      </c>
      <c r="K13109" s="135" t="n">
        <f aca="false">$G13109*'Analyse capacite'!$E$7</f>
        <v>384</v>
      </c>
    </row>
    <row r="13110" customFormat="false" ht="15" hidden="false" customHeight="false" outlineLevel="0" collapsed="false">
      <c r="B13110" s="130" t="n">
        <v>2028</v>
      </c>
      <c r="C13110" s="131" t="s">
        <v>257</v>
      </c>
      <c r="D13110" s="132" t="n">
        <v>46842</v>
      </c>
      <c r="E13110" s="131" t="s">
        <v>12</v>
      </c>
      <c r="F13110" s="133" t="s">
        <v>19</v>
      </c>
      <c r="G13110" s="134" t="n">
        <f aca="false">LEN('Saisie programme'!$G$443)+SUMIFS('Vols additionnels'!$E$7:$E$66,'Vols additionnels'!$C$7:$C$66,$E13110,'Vols additionnels'!$D$7:$D$66,$F13110,'Vols additionnels'!$B$7:$B$66,$D13110)</f>
        <v>0</v>
      </c>
      <c r="H13110" s="135" t="n">
        <f aca="false">$G13110*'Analyse capacite'!$F$8</f>
        <v>0</v>
      </c>
      <c r="I13110" s="135" t="n">
        <f aca="false">$G13110*'Analyse capacite'!$C$8</f>
        <v>0</v>
      </c>
      <c r="J13110" s="135" t="n">
        <f aca="false">$G13110*'Analyse capacite'!$D$8</f>
        <v>0</v>
      </c>
      <c r="K13110" s="135" t="n">
        <f aca="false">$G13110*'Analyse capacite'!$E$8</f>
        <v>0</v>
      </c>
    </row>
    <row r="13111" customFormat="false" ht="15" hidden="false" customHeight="false" outlineLevel="0" collapsed="false">
      <c r="B13111" s="130" t="n">
        <v>2028</v>
      </c>
      <c r="C13111" s="131" t="s">
        <v>257</v>
      </c>
      <c r="D13111" s="132" t="n">
        <v>46842</v>
      </c>
      <c r="E13111" s="131" t="s">
        <v>12</v>
      </c>
      <c r="F13111" s="133" t="s">
        <v>24</v>
      </c>
      <c r="G13111" s="134" t="n">
        <f aca="false">LEN('Saisie programme'!$G$444)+SUMIFS('Vols additionnels'!$E$7:$E$66,'Vols additionnels'!$C$7:$C$66,$E13111,'Vols additionnels'!$D$7:$D$66,$F13111,'Vols additionnels'!$B$7:$B$66,$D13111)</f>
        <v>0</v>
      </c>
      <c r="H13111" s="135" t="n">
        <f aca="false">$G13111*'Analyse capacite'!$F$9</f>
        <v>0</v>
      </c>
      <c r="I13111" s="135" t="n">
        <f aca="false">$G13111*'Analyse capacite'!$C$9</f>
        <v>0</v>
      </c>
      <c r="J13111" s="135" t="n">
        <f aca="false">$G13111*'Analyse capacite'!$D$9</f>
        <v>0</v>
      </c>
      <c r="K13111" s="135" t="n">
        <f aca="false">$G13111*'Analyse capacite'!$E$9</f>
        <v>0</v>
      </c>
    </row>
    <row r="13112" customFormat="false" ht="15" hidden="false" customHeight="false" outlineLevel="0" collapsed="false">
      <c r="B13112" s="130" t="n">
        <v>2028</v>
      </c>
      <c r="C13112" s="131" t="s">
        <v>257</v>
      </c>
      <c r="D13112" s="132" t="n">
        <v>46842</v>
      </c>
      <c r="E13112" s="131" t="s">
        <v>20</v>
      </c>
      <c r="F13112" s="133" t="s">
        <v>11</v>
      </c>
      <c r="G13112" s="134" t="n">
        <f aca="false">LEN('Saisie programme'!$G$445)+SUMIFS('Vols additionnels'!$E$7:$E$66,'Vols additionnels'!$C$7:$C$66,$E13112,'Vols additionnels'!$D$7:$D$66,$F13112,'Vols additionnels'!$B$7:$B$66,$D13112)</f>
        <v>0</v>
      </c>
      <c r="H13112" s="135" t="n">
        <f aca="false">$G13112*'Analyse capacite'!$F$7</f>
        <v>0</v>
      </c>
      <c r="I13112" s="135" t="n">
        <f aca="false">$G13112*'Analyse capacite'!$C$7</f>
        <v>0</v>
      </c>
      <c r="J13112" s="135" t="n">
        <f aca="false">$G13112*'Analyse capacite'!$D$7</f>
        <v>0</v>
      </c>
      <c r="K13112" s="135" t="n">
        <f aca="false">$G13112*'Analyse capacite'!$E$7</f>
        <v>0</v>
      </c>
    </row>
    <row r="13113" customFormat="false" ht="15" hidden="false" customHeight="false" outlineLevel="0" collapsed="false">
      <c r="B13113" s="130" t="n">
        <v>2028</v>
      </c>
      <c r="C13113" s="131" t="s">
        <v>257</v>
      </c>
      <c r="D13113" s="132" t="n">
        <v>46842</v>
      </c>
      <c r="E13113" s="131" t="s">
        <v>20</v>
      </c>
      <c r="F13113" s="133" t="s">
        <v>19</v>
      </c>
      <c r="G13113" s="134" t="n">
        <f aca="false">LEN('Saisie programme'!$G$446)+SUMIFS('Vols additionnels'!$E$7:$E$66,'Vols additionnels'!$C$7:$C$66,$E13113,'Vols additionnels'!$D$7:$D$66,$F13113,'Vols additionnels'!$B$7:$B$66,$D13113)</f>
        <v>0</v>
      </c>
      <c r="H13113" s="135" t="n">
        <f aca="false">$G13113*'Analyse capacite'!$F$8</f>
        <v>0</v>
      </c>
      <c r="I13113" s="135" t="n">
        <f aca="false">$G13113*'Analyse capacite'!$C$8</f>
        <v>0</v>
      </c>
      <c r="J13113" s="135" t="n">
        <f aca="false">$G13113*'Analyse capacite'!$D$8</f>
        <v>0</v>
      </c>
      <c r="K13113" s="135" t="n">
        <f aca="false">$G13113*'Analyse capacite'!$E$8</f>
        <v>0</v>
      </c>
    </row>
    <row r="13114" customFormat="false" ht="15" hidden="false" customHeight="false" outlineLevel="0" collapsed="false">
      <c r="B13114" s="130" t="n">
        <v>2028</v>
      </c>
      <c r="C13114" s="131" t="s">
        <v>257</v>
      </c>
      <c r="D13114" s="132" t="n">
        <v>46842</v>
      </c>
      <c r="E13114" s="131" t="s">
        <v>20</v>
      </c>
      <c r="F13114" s="133" t="s">
        <v>24</v>
      </c>
      <c r="G13114" s="134" t="n">
        <f aca="false">LEN('Saisie programme'!$G$447)+SUMIFS('Vols additionnels'!$E$7:$E$66,'Vols additionnels'!$C$7:$C$66,$E13114,'Vols additionnels'!$D$7:$D$66,$F13114,'Vols additionnels'!$B$7:$B$66,$D13114)</f>
        <v>0</v>
      </c>
      <c r="H13114" s="135" t="n">
        <f aca="false">$G13114*'Analyse capacite'!$F$9</f>
        <v>0</v>
      </c>
      <c r="I13114" s="135" t="n">
        <f aca="false">$G13114*'Analyse capacite'!$C$9</f>
        <v>0</v>
      </c>
      <c r="J13114" s="135" t="n">
        <f aca="false">$G13114*'Analyse capacite'!$D$9</f>
        <v>0</v>
      </c>
      <c r="K13114" s="135" t="n">
        <f aca="false">$G13114*'Analyse capacite'!$E$9</f>
        <v>0</v>
      </c>
    </row>
    <row r="13115" customFormat="false" ht="15" hidden="false" customHeight="false" outlineLevel="0" collapsed="false">
      <c r="B13115" s="130" t="n">
        <v>2028</v>
      </c>
      <c r="C13115" s="131" t="s">
        <v>257</v>
      </c>
      <c r="D13115" s="132" t="n">
        <v>46842</v>
      </c>
      <c r="E13115" s="131" t="s">
        <v>25</v>
      </c>
      <c r="F13115" s="133" t="s">
        <v>11</v>
      </c>
      <c r="G13115" s="134" t="n">
        <f aca="false">LEN('Saisie programme'!$G$448)+SUMIFS('Vols additionnels'!$E$7:$E$66,'Vols additionnels'!$C$7:$C$66,$E13115,'Vols additionnels'!$D$7:$D$66,$F13115,'Vols additionnels'!$B$7:$B$66,$D13115)</f>
        <v>0</v>
      </c>
      <c r="H13115" s="135" t="n">
        <f aca="false">$G13115*'Analyse capacite'!$F$7</f>
        <v>0</v>
      </c>
      <c r="I13115" s="135" t="n">
        <f aca="false">$G13115*'Analyse capacite'!$C$7</f>
        <v>0</v>
      </c>
      <c r="J13115" s="135" t="n">
        <f aca="false">$G13115*'Analyse capacite'!$D$7</f>
        <v>0</v>
      </c>
      <c r="K13115" s="135" t="n">
        <f aca="false">$G13115*'Analyse capacite'!$E$7</f>
        <v>0</v>
      </c>
    </row>
    <row r="13116" customFormat="false" ht="15" hidden="false" customHeight="false" outlineLevel="0" collapsed="false">
      <c r="B13116" s="130" t="n">
        <v>2028</v>
      </c>
      <c r="C13116" s="131" t="s">
        <v>257</v>
      </c>
      <c r="D13116" s="132" t="n">
        <v>46842</v>
      </c>
      <c r="E13116" s="131" t="s">
        <v>25</v>
      </c>
      <c r="F13116" s="133" t="s">
        <v>19</v>
      </c>
      <c r="G13116" s="134" t="n">
        <f aca="false">LEN('Saisie programme'!$G$449)+SUMIFS('Vols additionnels'!$E$7:$E$66,'Vols additionnels'!$C$7:$C$66,$E13116,'Vols additionnels'!$D$7:$D$66,$F13116,'Vols additionnels'!$B$7:$B$66,$D13116)</f>
        <v>0</v>
      </c>
      <c r="H13116" s="135" t="n">
        <f aca="false">$G13116*'Analyse capacite'!$F$8</f>
        <v>0</v>
      </c>
      <c r="I13116" s="135" t="n">
        <f aca="false">$G13116*'Analyse capacite'!$C$8</f>
        <v>0</v>
      </c>
      <c r="J13116" s="135" t="n">
        <f aca="false">$G13116*'Analyse capacite'!$D$8</f>
        <v>0</v>
      </c>
      <c r="K13116" s="135" t="n">
        <f aca="false">$G13116*'Analyse capacite'!$E$8</f>
        <v>0</v>
      </c>
    </row>
    <row r="13117" customFormat="false" ht="15" hidden="false" customHeight="false" outlineLevel="0" collapsed="false">
      <c r="B13117" s="130" t="n">
        <v>2028</v>
      </c>
      <c r="C13117" s="131" t="s">
        <v>257</v>
      </c>
      <c r="D13117" s="132" t="n">
        <v>46842</v>
      </c>
      <c r="E13117" s="131" t="s">
        <v>25</v>
      </c>
      <c r="F13117" s="133" t="s">
        <v>24</v>
      </c>
      <c r="G13117" s="134" t="n">
        <f aca="false">LEN('Saisie programme'!$G$450)+SUMIFS('Vols additionnels'!$E$7:$E$66,'Vols additionnels'!$C$7:$C$66,$E13117,'Vols additionnels'!$D$7:$D$66,$F13117,'Vols additionnels'!$B$7:$B$66,$D13117)</f>
        <v>0</v>
      </c>
      <c r="H13117" s="135" t="n">
        <f aca="false">$G13117*'Analyse capacite'!$F$9</f>
        <v>0</v>
      </c>
      <c r="I13117" s="135" t="n">
        <f aca="false">$G13117*'Analyse capacite'!$C$9</f>
        <v>0</v>
      </c>
      <c r="J13117" s="135" t="n">
        <f aca="false">$G13117*'Analyse capacite'!$D$9</f>
        <v>0</v>
      </c>
      <c r="K13117" s="135" t="n">
        <f aca="false">$G13117*'Analyse capacite'!$E$9</f>
        <v>0</v>
      </c>
    </row>
    <row r="13118" customFormat="false" ht="15" hidden="false" customHeight="false" outlineLevel="0" collapsed="false">
      <c r="B13118" s="130" t="n">
        <v>2028</v>
      </c>
      <c r="C13118" s="131" t="s">
        <v>257</v>
      </c>
      <c r="D13118" s="132" t="n">
        <v>46842</v>
      </c>
      <c r="E13118" s="131" t="s">
        <v>36</v>
      </c>
      <c r="F13118" s="133" t="s">
        <v>11</v>
      </c>
      <c r="G13118" s="134" t="n">
        <f aca="false">LEN('Saisie programme'!$G$451)+SUMIFS('Vols additionnels'!$E$7:$E$66,'Vols additionnels'!$C$7:$C$66,$E13118,'Vols additionnels'!$D$7:$D$66,$F13118,'Vols additionnels'!$B$7:$B$66,$D13118)</f>
        <v>0</v>
      </c>
      <c r="H13118" s="135" t="n">
        <f aca="false">$G13118*'Analyse capacite'!$F$7</f>
        <v>0</v>
      </c>
      <c r="I13118" s="135" t="n">
        <f aca="false">$G13118*'Analyse capacite'!$C$7</f>
        <v>0</v>
      </c>
      <c r="J13118" s="135" t="n">
        <f aca="false">$G13118*'Analyse capacite'!$D$7</f>
        <v>0</v>
      </c>
      <c r="K13118" s="135" t="n">
        <f aca="false">$G13118*'Analyse capacite'!$E$7</f>
        <v>0</v>
      </c>
    </row>
    <row r="13119" customFormat="false" ht="15" hidden="false" customHeight="false" outlineLevel="0" collapsed="false">
      <c r="B13119" s="130" t="n">
        <v>2028</v>
      </c>
      <c r="C13119" s="131" t="s">
        <v>257</v>
      </c>
      <c r="D13119" s="132" t="n">
        <v>46842</v>
      </c>
      <c r="E13119" s="131" t="s">
        <v>36</v>
      </c>
      <c r="F13119" s="133" t="s">
        <v>19</v>
      </c>
      <c r="G13119" s="134" t="n">
        <f aca="false">LEN('Saisie programme'!$G$452)+SUMIFS('Vols additionnels'!$E$7:$E$66,'Vols additionnels'!$C$7:$C$66,$E13119,'Vols additionnels'!$D$7:$D$66,$F13119,'Vols additionnels'!$B$7:$B$66,$D13119)</f>
        <v>0</v>
      </c>
      <c r="H13119" s="135" t="n">
        <f aca="false">$G13119*'Analyse capacite'!$F$8</f>
        <v>0</v>
      </c>
      <c r="I13119" s="135" t="n">
        <f aca="false">$G13119*'Analyse capacite'!$C$8</f>
        <v>0</v>
      </c>
      <c r="J13119" s="135" t="n">
        <f aca="false">$G13119*'Analyse capacite'!$D$8</f>
        <v>0</v>
      </c>
      <c r="K13119" s="135" t="n">
        <f aca="false">$G13119*'Analyse capacite'!$E$8</f>
        <v>0</v>
      </c>
    </row>
    <row r="13120" customFormat="false" ht="15" hidden="false" customHeight="false" outlineLevel="0" collapsed="false">
      <c r="B13120" s="130" t="n">
        <v>2028</v>
      </c>
      <c r="C13120" s="131" t="s">
        <v>257</v>
      </c>
      <c r="D13120" s="132" t="n">
        <v>46842</v>
      </c>
      <c r="E13120" s="131" t="s">
        <v>36</v>
      </c>
      <c r="F13120" s="133" t="s">
        <v>24</v>
      </c>
      <c r="G13120" s="134" t="n">
        <f aca="false">LEN('Saisie programme'!$G$453)+SUMIFS('Vols additionnels'!$E$7:$E$66,'Vols additionnels'!$C$7:$C$66,$E13120,'Vols additionnels'!$D$7:$D$66,$F13120,'Vols additionnels'!$B$7:$B$66,$D13120)</f>
        <v>1</v>
      </c>
      <c r="H13120" s="135" t="n">
        <f aca="false">$G13120*'Analyse capacite'!$F$9</f>
        <v>174</v>
      </c>
      <c r="I13120" s="135" t="n">
        <f aca="false">$G13120*'Analyse capacite'!$C$9</f>
        <v>0</v>
      </c>
      <c r="J13120" s="135" t="n">
        <f aca="false">$G13120*'Analyse capacite'!$D$9</f>
        <v>12</v>
      </c>
      <c r="K13120" s="135" t="n">
        <f aca="false">$G13120*'Analyse capacite'!$E$9</f>
        <v>162</v>
      </c>
    </row>
    <row r="13121" customFormat="false" ht="15" hidden="false" customHeight="false" outlineLevel="0" collapsed="false">
      <c r="B13121" s="130" t="n">
        <v>2028</v>
      </c>
      <c r="C13121" s="131" t="s">
        <v>257</v>
      </c>
      <c r="D13121" s="132" t="n">
        <v>46842</v>
      </c>
      <c r="E13121" s="131" t="s">
        <v>40</v>
      </c>
      <c r="F13121" s="133" t="s">
        <v>11</v>
      </c>
      <c r="G13121" s="134" t="n">
        <f aca="false">LEN('Saisie programme'!$G$454)+SUMIFS('Vols additionnels'!$E$7:$E$66,'Vols additionnels'!$C$7:$C$66,$E13121,'Vols additionnels'!$D$7:$D$66,$F13121,'Vols additionnels'!$B$7:$B$66,$D13121)</f>
        <v>0</v>
      </c>
      <c r="H13121" s="135" t="n">
        <f aca="false">$G13121*'Analyse capacite'!$F$7</f>
        <v>0</v>
      </c>
      <c r="I13121" s="135" t="n">
        <f aca="false">$G13121*'Analyse capacite'!$C$7</f>
        <v>0</v>
      </c>
      <c r="J13121" s="135" t="n">
        <f aca="false">$G13121*'Analyse capacite'!$D$7</f>
        <v>0</v>
      </c>
      <c r="K13121" s="135" t="n">
        <f aca="false">$G13121*'Analyse capacite'!$E$7</f>
        <v>0</v>
      </c>
    </row>
    <row r="13122" customFormat="false" ht="15" hidden="false" customHeight="false" outlineLevel="0" collapsed="false">
      <c r="B13122" s="130" t="n">
        <v>2028</v>
      </c>
      <c r="C13122" s="131" t="s">
        <v>257</v>
      </c>
      <c r="D13122" s="132" t="n">
        <v>46842</v>
      </c>
      <c r="E13122" s="131" t="s">
        <v>40</v>
      </c>
      <c r="F13122" s="133" t="s">
        <v>19</v>
      </c>
      <c r="G13122" s="134" t="n">
        <f aca="false">LEN('Saisie programme'!$G$455)+SUMIFS('Vols additionnels'!$E$7:$E$66,'Vols additionnels'!$C$7:$C$66,$E13122,'Vols additionnels'!$D$7:$D$66,$F13122,'Vols additionnels'!$B$7:$B$66,$D13122)</f>
        <v>0</v>
      </c>
      <c r="H13122" s="135" t="n">
        <f aca="false">$G13122*'Analyse capacite'!$F$8</f>
        <v>0</v>
      </c>
      <c r="I13122" s="135" t="n">
        <f aca="false">$G13122*'Analyse capacite'!$C$8</f>
        <v>0</v>
      </c>
      <c r="J13122" s="135" t="n">
        <f aca="false">$G13122*'Analyse capacite'!$D$8</f>
        <v>0</v>
      </c>
      <c r="K13122" s="135" t="n">
        <f aca="false">$G13122*'Analyse capacite'!$E$8</f>
        <v>0</v>
      </c>
    </row>
    <row r="13123" customFormat="false" ht="15" hidden="false" customHeight="false" outlineLevel="0" collapsed="false">
      <c r="B13123" s="130" t="n">
        <v>2028</v>
      </c>
      <c r="C13123" s="131" t="s">
        <v>257</v>
      </c>
      <c r="D13123" s="132" t="n">
        <v>46842</v>
      </c>
      <c r="E13123" s="131" t="s">
        <v>40</v>
      </c>
      <c r="F13123" s="133" t="s">
        <v>24</v>
      </c>
      <c r="G13123" s="134" t="n">
        <f aca="false">LEN('Saisie programme'!$G$456)+SUMIFS('Vols additionnels'!$E$7:$E$66,'Vols additionnels'!$C$7:$C$66,$E13123,'Vols additionnels'!$D$7:$D$66,$F13123,'Vols additionnels'!$B$7:$B$66,$D13123)</f>
        <v>0</v>
      </c>
      <c r="H13123" s="135" t="n">
        <f aca="false">$G13123*'Analyse capacite'!$F$9</f>
        <v>0</v>
      </c>
      <c r="I13123" s="135" t="n">
        <f aca="false">$G13123*'Analyse capacite'!$C$9</f>
        <v>0</v>
      </c>
      <c r="J13123" s="135" t="n">
        <f aca="false">$G13123*'Analyse capacite'!$D$9</f>
        <v>0</v>
      </c>
      <c r="K13123" s="135" t="n">
        <f aca="false">$G13123*'Analyse capacite'!$E$9</f>
        <v>0</v>
      </c>
    </row>
    <row r="13124" customFormat="false" ht="15" hidden="false" customHeight="false" outlineLevel="0" collapsed="false">
      <c r="B13124" s="130" t="n">
        <v>2028</v>
      </c>
      <c r="C13124" s="131" t="s">
        <v>257</v>
      </c>
      <c r="D13124" s="132" t="n">
        <v>46842</v>
      </c>
      <c r="E13124" s="131" t="s">
        <v>14</v>
      </c>
      <c r="F13124" s="133" t="s">
        <v>11</v>
      </c>
      <c r="G13124" s="134" t="n">
        <f aca="false">LEN('Saisie programme'!$G$457)+SUMIFS('Vols additionnels'!$E$7:$E$66,'Vols additionnels'!$C$7:$C$66,$E13124,'Vols additionnels'!$D$7:$D$66,$F13124,'Vols additionnels'!$B$7:$B$66,$D13124)</f>
        <v>0</v>
      </c>
      <c r="H13124" s="135" t="n">
        <f aca="false">$G13124*'Analyse capacite'!$F$7</f>
        <v>0</v>
      </c>
      <c r="I13124" s="135" t="n">
        <f aca="false">$G13124*'Analyse capacite'!$C$7</f>
        <v>0</v>
      </c>
      <c r="J13124" s="135" t="n">
        <f aca="false">$G13124*'Analyse capacite'!$D$7</f>
        <v>0</v>
      </c>
      <c r="K13124" s="135" t="n">
        <f aca="false">$G13124*'Analyse capacite'!$E$7</f>
        <v>0</v>
      </c>
    </row>
    <row r="13125" customFormat="false" ht="15" hidden="false" customHeight="false" outlineLevel="0" collapsed="false">
      <c r="B13125" s="130" t="n">
        <v>2028</v>
      </c>
      <c r="C13125" s="131" t="s">
        <v>257</v>
      </c>
      <c r="D13125" s="132" t="n">
        <v>46842</v>
      </c>
      <c r="E13125" s="131" t="s">
        <v>14</v>
      </c>
      <c r="F13125" s="133" t="s">
        <v>19</v>
      </c>
      <c r="G13125" s="134" t="n">
        <f aca="false">LEN('Saisie programme'!$G$458)+SUMIFS('Vols additionnels'!$E$7:$E$66,'Vols additionnels'!$C$7:$C$66,$E13125,'Vols additionnels'!$D$7:$D$66,$F13125,'Vols additionnels'!$B$7:$B$66,$D13125)</f>
        <v>0</v>
      </c>
      <c r="H13125" s="135" t="n">
        <f aca="false">$G13125*'Analyse capacite'!$F$8</f>
        <v>0</v>
      </c>
      <c r="I13125" s="135" t="n">
        <f aca="false">$G13125*'Analyse capacite'!$C$8</f>
        <v>0</v>
      </c>
      <c r="J13125" s="135" t="n">
        <f aca="false">$G13125*'Analyse capacite'!$D$8</f>
        <v>0</v>
      </c>
      <c r="K13125" s="135" t="n">
        <f aca="false">$G13125*'Analyse capacite'!$E$8</f>
        <v>0</v>
      </c>
    </row>
    <row r="13126" customFormat="false" ht="15" hidden="false" customHeight="false" outlineLevel="0" collapsed="false">
      <c r="B13126" s="130" t="n">
        <v>2028</v>
      </c>
      <c r="C13126" s="131" t="s">
        <v>257</v>
      </c>
      <c r="D13126" s="132" t="n">
        <v>46842</v>
      </c>
      <c r="E13126" s="131" t="s">
        <v>14</v>
      </c>
      <c r="F13126" s="133" t="s">
        <v>24</v>
      </c>
      <c r="G13126" s="134" t="n">
        <f aca="false">LEN('Saisie programme'!$G$459)+SUMIFS('Vols additionnels'!$E$7:$E$66,'Vols additionnels'!$C$7:$C$66,$E13126,'Vols additionnels'!$D$7:$D$66,$F13126,'Vols additionnels'!$B$7:$B$66,$D13126)</f>
        <v>1</v>
      </c>
      <c r="H13126" s="135" t="n">
        <f aca="false">$G13126*'Analyse capacite'!$F$9</f>
        <v>174</v>
      </c>
      <c r="I13126" s="135" t="n">
        <f aca="false">$G13126*'Analyse capacite'!$C$9</f>
        <v>0</v>
      </c>
      <c r="J13126" s="135" t="n">
        <f aca="false">$G13126*'Analyse capacite'!$D$9</f>
        <v>12</v>
      </c>
      <c r="K13126" s="135" t="n">
        <f aca="false">$G13126*'Analyse capacite'!$E$9</f>
        <v>162</v>
      </c>
    </row>
    <row r="13127" customFormat="false" ht="15" hidden="false" customHeight="false" outlineLevel="0" collapsed="false">
      <c r="B13127" s="130" t="n">
        <v>2028</v>
      </c>
      <c r="C13127" s="131" t="s">
        <v>257</v>
      </c>
      <c r="D13127" s="132" t="n">
        <v>46842</v>
      </c>
      <c r="E13127" s="131" t="s">
        <v>46</v>
      </c>
      <c r="F13127" s="133" t="s">
        <v>11</v>
      </c>
      <c r="G13127" s="134" t="n">
        <f aca="false">LEN('Saisie programme'!$G$460)+SUMIFS('Vols additionnels'!$E$7:$E$66,'Vols additionnels'!$C$7:$C$66,$E13127,'Vols additionnels'!$D$7:$D$66,$F13127,'Vols additionnels'!$B$7:$B$66,$D13127)</f>
        <v>0</v>
      </c>
      <c r="H13127" s="135" t="n">
        <f aca="false">$G13127*'Analyse capacite'!$F$7</f>
        <v>0</v>
      </c>
      <c r="I13127" s="135" t="n">
        <f aca="false">$G13127*'Analyse capacite'!$C$7</f>
        <v>0</v>
      </c>
      <c r="J13127" s="135" t="n">
        <f aca="false">$G13127*'Analyse capacite'!$D$7</f>
        <v>0</v>
      </c>
      <c r="K13127" s="135" t="n">
        <f aca="false">$G13127*'Analyse capacite'!$E$7</f>
        <v>0</v>
      </c>
    </row>
    <row r="13128" customFormat="false" ht="15" hidden="false" customHeight="false" outlineLevel="0" collapsed="false">
      <c r="B13128" s="130" t="n">
        <v>2028</v>
      </c>
      <c r="C13128" s="131" t="s">
        <v>257</v>
      </c>
      <c r="D13128" s="132" t="n">
        <v>46842</v>
      </c>
      <c r="E13128" s="131" t="s">
        <v>46</v>
      </c>
      <c r="F13128" s="133" t="s">
        <v>19</v>
      </c>
      <c r="G13128" s="134" t="n">
        <f aca="false">LEN('Saisie programme'!$G$461)+SUMIFS('Vols additionnels'!$E$7:$E$66,'Vols additionnels'!$C$7:$C$66,$E13128,'Vols additionnels'!$D$7:$D$66,$F13128,'Vols additionnels'!$B$7:$B$66,$D13128)</f>
        <v>0</v>
      </c>
      <c r="H13128" s="135" t="n">
        <f aca="false">$G13128*'Analyse capacite'!$F$8</f>
        <v>0</v>
      </c>
      <c r="I13128" s="135" t="n">
        <f aca="false">$G13128*'Analyse capacite'!$C$8</f>
        <v>0</v>
      </c>
      <c r="J13128" s="135" t="n">
        <f aca="false">$G13128*'Analyse capacite'!$D$8</f>
        <v>0</v>
      </c>
      <c r="K13128" s="135" t="n">
        <f aca="false">$G13128*'Analyse capacite'!$E$8</f>
        <v>0</v>
      </c>
    </row>
    <row r="13129" customFormat="false" ht="15" hidden="false" customHeight="false" outlineLevel="0" collapsed="false">
      <c r="B13129" s="130" t="n">
        <v>2028</v>
      </c>
      <c r="C13129" s="131" t="s">
        <v>257</v>
      </c>
      <c r="D13129" s="132" t="n">
        <v>46842</v>
      </c>
      <c r="E13129" s="131" t="s">
        <v>46</v>
      </c>
      <c r="F13129" s="133" t="s">
        <v>24</v>
      </c>
      <c r="G13129" s="134" t="n">
        <f aca="false">LEN('Saisie programme'!$G$462)+SUMIFS('Vols additionnels'!$E$7:$E$66,'Vols additionnels'!$C$7:$C$66,$E13129,'Vols additionnels'!$D$7:$D$66,$F13129,'Vols additionnels'!$B$7:$B$66,$D13129)</f>
        <v>1</v>
      </c>
      <c r="H13129" s="135" t="n">
        <f aca="false">$G13129*'Analyse capacite'!$F$9</f>
        <v>174</v>
      </c>
      <c r="I13129" s="135" t="n">
        <f aca="false">$G13129*'Analyse capacite'!$C$9</f>
        <v>0</v>
      </c>
      <c r="J13129" s="135" t="n">
        <f aca="false">$G13129*'Analyse capacite'!$D$9</f>
        <v>12</v>
      </c>
      <c r="K13129" s="135" t="n">
        <f aca="false">$G13129*'Analyse capacite'!$E$9</f>
        <v>162</v>
      </c>
    </row>
    <row r="13130" customFormat="false" ht="15" hidden="false" customHeight="false" outlineLevel="0" collapsed="false">
      <c r="B13130" s="130" t="n">
        <v>2028</v>
      </c>
      <c r="C13130" s="131" t="s">
        <v>257</v>
      </c>
      <c r="D13130" s="132" t="n">
        <v>46842</v>
      </c>
      <c r="E13130" s="131" t="s">
        <v>49</v>
      </c>
      <c r="F13130" s="133" t="s">
        <v>11</v>
      </c>
      <c r="G13130" s="134" t="n">
        <f aca="false">LEN('Saisie programme'!$G$463)+SUMIFS('Vols additionnels'!$E$7:$E$66,'Vols additionnels'!$C$7:$C$66,$E13130,'Vols additionnels'!$D$7:$D$66,$F13130,'Vols additionnels'!$B$7:$B$66,$D13130)</f>
        <v>0</v>
      </c>
      <c r="H13130" s="135" t="n">
        <f aca="false">$G13130*'Analyse capacite'!$F$7</f>
        <v>0</v>
      </c>
      <c r="I13130" s="135" t="n">
        <f aca="false">$G13130*'Analyse capacite'!$C$7</f>
        <v>0</v>
      </c>
      <c r="J13130" s="135" t="n">
        <f aca="false">$G13130*'Analyse capacite'!$D$7</f>
        <v>0</v>
      </c>
      <c r="K13130" s="135" t="n">
        <f aca="false">$G13130*'Analyse capacite'!$E$7</f>
        <v>0</v>
      </c>
    </row>
    <row r="13131" customFormat="false" ht="15" hidden="false" customHeight="false" outlineLevel="0" collapsed="false">
      <c r="B13131" s="130" t="n">
        <v>2028</v>
      </c>
      <c r="C13131" s="131" t="s">
        <v>257</v>
      </c>
      <c r="D13131" s="132" t="n">
        <v>46842</v>
      </c>
      <c r="E13131" s="131" t="s">
        <v>49</v>
      </c>
      <c r="F13131" s="133" t="s">
        <v>19</v>
      </c>
      <c r="G13131" s="134" t="n">
        <f aca="false">LEN('Saisie programme'!$G$464)+SUMIFS('Vols additionnels'!$E$7:$E$66,'Vols additionnels'!$C$7:$C$66,$E13131,'Vols additionnels'!$D$7:$D$66,$F13131,'Vols additionnels'!$B$7:$B$66,$D13131)</f>
        <v>0</v>
      </c>
      <c r="H13131" s="135" t="n">
        <f aca="false">$G13131*'Analyse capacite'!$F$8</f>
        <v>0</v>
      </c>
      <c r="I13131" s="135" t="n">
        <f aca="false">$G13131*'Analyse capacite'!$C$8</f>
        <v>0</v>
      </c>
      <c r="J13131" s="135" t="n">
        <f aca="false">$G13131*'Analyse capacite'!$D$8</f>
        <v>0</v>
      </c>
      <c r="K13131" s="135" t="n">
        <f aca="false">$G13131*'Analyse capacite'!$E$8</f>
        <v>0</v>
      </c>
    </row>
    <row r="13132" customFormat="false" ht="15" hidden="false" customHeight="false" outlineLevel="0" collapsed="false">
      <c r="B13132" s="130" t="n">
        <v>2028</v>
      </c>
      <c r="C13132" s="131" t="s">
        <v>257</v>
      </c>
      <c r="D13132" s="132" t="n">
        <v>46842</v>
      </c>
      <c r="E13132" s="131" t="s">
        <v>49</v>
      </c>
      <c r="F13132" s="133" t="s">
        <v>24</v>
      </c>
      <c r="G13132" s="134" t="n">
        <f aca="false">LEN('Saisie programme'!$G$465)+SUMIFS('Vols additionnels'!$E$7:$E$66,'Vols additionnels'!$C$7:$C$66,$E13132,'Vols additionnels'!$D$7:$D$66,$F13132,'Vols additionnels'!$B$7:$B$66,$D13132)</f>
        <v>0</v>
      </c>
      <c r="H13132" s="135" t="n">
        <f aca="false">$G13132*'Analyse capacite'!$F$9</f>
        <v>0</v>
      </c>
      <c r="I13132" s="135" t="n">
        <f aca="false">$G13132*'Analyse capacite'!$C$9</f>
        <v>0</v>
      </c>
      <c r="J13132" s="135" t="n">
        <f aca="false">$G13132*'Analyse capacite'!$D$9</f>
        <v>0</v>
      </c>
      <c r="K13132" s="135" t="n">
        <f aca="false">$G13132*'Analyse capacite'!$E$9</f>
        <v>0</v>
      </c>
    </row>
    <row r="13133" customFormat="false" ht="15" hidden="false" customHeight="false" outlineLevel="0" collapsed="false">
      <c r="B13133" s="130" t="n">
        <v>2028</v>
      </c>
      <c r="C13133" s="131" t="s">
        <v>257</v>
      </c>
      <c r="D13133" s="132" t="n">
        <v>46842</v>
      </c>
      <c r="E13133" s="131" t="s">
        <v>53</v>
      </c>
      <c r="F13133" s="133" t="s">
        <v>11</v>
      </c>
      <c r="G13133" s="134" t="n">
        <f aca="false">LEN('Saisie programme'!$G$466)+SUMIFS('Vols additionnels'!$E$7:$E$66,'Vols additionnels'!$C$7:$C$66,$E13133,'Vols additionnels'!$D$7:$D$66,$F13133,'Vols additionnels'!$B$7:$B$66,$D13133)</f>
        <v>0</v>
      </c>
      <c r="H13133" s="135" t="n">
        <f aca="false">$G13133*'Analyse capacite'!$F$7</f>
        <v>0</v>
      </c>
      <c r="I13133" s="135" t="n">
        <f aca="false">$G13133*'Analyse capacite'!$C$7</f>
        <v>0</v>
      </c>
      <c r="J13133" s="135" t="n">
        <f aca="false">$G13133*'Analyse capacite'!$D$7</f>
        <v>0</v>
      </c>
      <c r="K13133" s="135" t="n">
        <f aca="false">$G13133*'Analyse capacite'!$E$7</f>
        <v>0</v>
      </c>
    </row>
    <row r="13134" customFormat="false" ht="15" hidden="false" customHeight="false" outlineLevel="0" collapsed="false">
      <c r="B13134" s="130" t="n">
        <v>2028</v>
      </c>
      <c r="C13134" s="131" t="s">
        <v>257</v>
      </c>
      <c r="D13134" s="132" t="n">
        <v>46842</v>
      </c>
      <c r="E13134" s="131" t="s">
        <v>53</v>
      </c>
      <c r="F13134" s="133" t="s">
        <v>19</v>
      </c>
      <c r="G13134" s="134" t="n">
        <f aca="false">LEN('Saisie programme'!$G$467)+SUMIFS('Vols additionnels'!$E$7:$E$66,'Vols additionnels'!$C$7:$C$66,$E13134,'Vols additionnels'!$D$7:$D$66,$F13134,'Vols additionnels'!$B$7:$B$66,$D13134)</f>
        <v>1</v>
      </c>
      <c r="H13134" s="135" t="n">
        <f aca="false">$G13134*'Analyse capacite'!$F$8</f>
        <v>262</v>
      </c>
      <c r="I13134" s="135" t="n">
        <f aca="false">$G13134*'Analyse capacite'!$C$8</f>
        <v>18</v>
      </c>
      <c r="J13134" s="135" t="n">
        <f aca="false">$G13134*'Analyse capacite'!$D$8</f>
        <v>0</v>
      </c>
      <c r="K13134" s="135" t="n">
        <f aca="false">$G13134*'Analyse capacite'!$E$8</f>
        <v>244</v>
      </c>
    </row>
    <row r="13135" customFormat="false" ht="15" hidden="false" customHeight="false" outlineLevel="0" collapsed="false">
      <c r="B13135" s="130" t="n">
        <v>2028</v>
      </c>
      <c r="C13135" s="131" t="s">
        <v>257</v>
      </c>
      <c r="D13135" s="132" t="n">
        <v>46842</v>
      </c>
      <c r="E13135" s="131" t="s">
        <v>53</v>
      </c>
      <c r="F13135" s="133" t="s">
        <v>24</v>
      </c>
      <c r="G13135" s="134" t="n">
        <f aca="false">LEN('Saisie programme'!$G$468)+SUMIFS('Vols additionnels'!$E$7:$E$66,'Vols additionnels'!$C$7:$C$66,$E13135,'Vols additionnels'!$D$7:$D$66,$F13135,'Vols additionnels'!$B$7:$B$66,$D13135)</f>
        <v>0</v>
      </c>
      <c r="H13135" s="135" t="n">
        <f aca="false">$G13135*'Analyse capacite'!$F$9</f>
        <v>0</v>
      </c>
      <c r="I13135" s="135" t="n">
        <f aca="false">$G13135*'Analyse capacite'!$C$9</f>
        <v>0</v>
      </c>
      <c r="J13135" s="135" t="n">
        <f aca="false">$G13135*'Analyse capacite'!$D$9</f>
        <v>0</v>
      </c>
      <c r="K13135" s="135" t="n">
        <f aca="false">$G13135*'Analyse capacite'!$E$9</f>
        <v>0</v>
      </c>
    </row>
    <row r="13136" customFormat="false" ht="15" hidden="false" customHeight="false" outlineLevel="0" collapsed="false">
      <c r="B13136" s="130" t="n">
        <v>2028</v>
      </c>
      <c r="C13136" s="131" t="s">
        <v>257</v>
      </c>
      <c r="D13136" s="132" t="n">
        <v>46842</v>
      </c>
      <c r="E13136" s="131" t="s">
        <v>56</v>
      </c>
      <c r="F13136" s="133" t="s">
        <v>11</v>
      </c>
      <c r="G13136" s="134" t="n">
        <f aca="false">LEN('Saisie programme'!$G$469)+SUMIFS('Vols additionnels'!$E$7:$E$66,'Vols additionnels'!$C$7:$C$66,$E13136,'Vols additionnels'!$D$7:$D$66,$F13136,'Vols additionnels'!$B$7:$B$66,$D13136)</f>
        <v>0</v>
      </c>
      <c r="H13136" s="135" t="n">
        <f aca="false">$G13136*'Analyse capacite'!$F$7</f>
        <v>0</v>
      </c>
      <c r="I13136" s="135" t="n">
        <f aca="false">$G13136*'Analyse capacite'!$C$7</f>
        <v>0</v>
      </c>
      <c r="J13136" s="135" t="n">
        <f aca="false">$G13136*'Analyse capacite'!$D$7</f>
        <v>0</v>
      </c>
      <c r="K13136" s="135" t="n">
        <f aca="false">$G13136*'Analyse capacite'!$E$7</f>
        <v>0</v>
      </c>
    </row>
    <row r="13137" customFormat="false" ht="15" hidden="false" customHeight="false" outlineLevel="0" collapsed="false">
      <c r="B13137" s="130" t="n">
        <v>2028</v>
      </c>
      <c r="C13137" s="131" t="s">
        <v>257</v>
      </c>
      <c r="D13137" s="132" t="n">
        <v>46842</v>
      </c>
      <c r="E13137" s="131" t="s">
        <v>56</v>
      </c>
      <c r="F13137" s="133" t="s">
        <v>19</v>
      </c>
      <c r="G13137" s="134" t="n">
        <f aca="false">LEN('Saisie programme'!$G$470)+SUMIFS('Vols additionnels'!$E$7:$E$66,'Vols additionnels'!$C$7:$C$66,$E13137,'Vols additionnels'!$D$7:$D$66,$F13137,'Vols additionnels'!$B$7:$B$66,$D13137)</f>
        <v>0</v>
      </c>
      <c r="H13137" s="135" t="n">
        <f aca="false">$G13137*'Analyse capacite'!$F$8</f>
        <v>0</v>
      </c>
      <c r="I13137" s="135" t="n">
        <f aca="false">$G13137*'Analyse capacite'!$C$8</f>
        <v>0</v>
      </c>
      <c r="J13137" s="135" t="n">
        <f aca="false">$G13137*'Analyse capacite'!$D$8</f>
        <v>0</v>
      </c>
      <c r="K13137" s="135" t="n">
        <f aca="false">$G13137*'Analyse capacite'!$E$8</f>
        <v>0</v>
      </c>
    </row>
    <row r="13138" customFormat="false" ht="15" hidden="false" customHeight="false" outlineLevel="0" collapsed="false">
      <c r="B13138" s="130" t="n">
        <v>2028</v>
      </c>
      <c r="C13138" s="131" t="s">
        <v>257</v>
      </c>
      <c r="D13138" s="132" t="n">
        <v>46842</v>
      </c>
      <c r="E13138" s="131" t="s">
        <v>56</v>
      </c>
      <c r="F13138" s="133" t="s">
        <v>24</v>
      </c>
      <c r="G13138" s="134" t="n">
        <f aca="false">LEN('Saisie programme'!$G$471)+SUMIFS('Vols additionnels'!$E$7:$E$66,'Vols additionnels'!$C$7:$C$66,$E13138,'Vols additionnels'!$D$7:$D$66,$F13138,'Vols additionnels'!$B$7:$B$66,$D13138)</f>
        <v>0</v>
      </c>
      <c r="H13138" s="135" t="n">
        <f aca="false">$G13138*'Analyse capacite'!$F$9</f>
        <v>0</v>
      </c>
      <c r="I13138" s="135" t="n">
        <f aca="false">$G13138*'Analyse capacite'!$C$9</f>
        <v>0</v>
      </c>
      <c r="J13138" s="135" t="n">
        <f aca="false">$G13138*'Analyse capacite'!$D$9</f>
        <v>0</v>
      </c>
      <c r="K13138" s="135" t="n">
        <f aca="false">$G13138*'Analyse capacite'!$E$9</f>
        <v>0</v>
      </c>
    </row>
    <row r="13139" customFormat="false" ht="15" hidden="false" customHeight="false" outlineLevel="0" collapsed="false">
      <c r="B13139" s="130" t="n">
        <v>2028</v>
      </c>
      <c r="C13139" s="131" t="s">
        <v>257</v>
      </c>
      <c r="D13139" s="132" t="n">
        <v>46842</v>
      </c>
      <c r="E13139" s="131" t="s">
        <v>59</v>
      </c>
      <c r="F13139" s="133" t="s">
        <v>11</v>
      </c>
      <c r="G13139" s="134" t="n">
        <f aca="false">LEN('Saisie programme'!$G$472)+SUMIFS('Vols additionnels'!$E$7:$E$66,'Vols additionnels'!$C$7:$C$66,$E13139,'Vols additionnels'!$D$7:$D$66,$F13139,'Vols additionnels'!$B$7:$B$66,$D13139)</f>
        <v>0</v>
      </c>
      <c r="H13139" s="135" t="n">
        <f aca="false">$G13139*'Analyse capacite'!$F$7</f>
        <v>0</v>
      </c>
      <c r="I13139" s="135" t="n">
        <f aca="false">$G13139*'Analyse capacite'!$C$7</f>
        <v>0</v>
      </c>
      <c r="J13139" s="135" t="n">
        <f aca="false">$G13139*'Analyse capacite'!$D$7</f>
        <v>0</v>
      </c>
      <c r="K13139" s="135" t="n">
        <f aca="false">$G13139*'Analyse capacite'!$E$7</f>
        <v>0</v>
      </c>
    </row>
    <row r="13140" customFormat="false" ht="15" hidden="false" customHeight="false" outlineLevel="0" collapsed="false">
      <c r="B13140" s="130" t="n">
        <v>2028</v>
      </c>
      <c r="C13140" s="131" t="s">
        <v>257</v>
      </c>
      <c r="D13140" s="132" t="n">
        <v>46842</v>
      </c>
      <c r="E13140" s="131" t="s">
        <v>59</v>
      </c>
      <c r="F13140" s="133" t="s">
        <v>19</v>
      </c>
      <c r="G13140" s="134" t="n">
        <f aca="false">LEN('Saisie programme'!$G$473)+SUMIFS('Vols additionnels'!$E$7:$E$66,'Vols additionnels'!$C$7:$C$66,$E13140,'Vols additionnels'!$D$7:$D$66,$F13140,'Vols additionnels'!$B$7:$B$66,$D13140)</f>
        <v>0</v>
      </c>
      <c r="H13140" s="135" t="n">
        <f aca="false">$G13140*'Analyse capacite'!$F$8</f>
        <v>0</v>
      </c>
      <c r="I13140" s="135" t="n">
        <f aca="false">$G13140*'Analyse capacite'!$C$8</f>
        <v>0</v>
      </c>
      <c r="J13140" s="135" t="n">
        <f aca="false">$G13140*'Analyse capacite'!$D$8</f>
        <v>0</v>
      </c>
      <c r="K13140" s="135" t="n">
        <f aca="false">$G13140*'Analyse capacite'!$E$8</f>
        <v>0</v>
      </c>
    </row>
    <row r="13141" customFormat="false" ht="15" hidden="false" customHeight="false" outlineLevel="0" collapsed="false">
      <c r="B13141" s="130" t="n">
        <v>2028</v>
      </c>
      <c r="C13141" s="131" t="s">
        <v>257</v>
      </c>
      <c r="D13141" s="132" t="n">
        <v>46842</v>
      </c>
      <c r="E13141" s="131" t="s">
        <v>59</v>
      </c>
      <c r="F13141" s="133" t="s">
        <v>24</v>
      </c>
      <c r="G13141" s="134" t="n">
        <f aca="false">LEN('Saisie programme'!$G$474)+SUMIFS('Vols additionnels'!$E$7:$E$66,'Vols additionnels'!$C$7:$C$66,$E13141,'Vols additionnels'!$D$7:$D$66,$F13141,'Vols additionnels'!$B$7:$B$66,$D13141)</f>
        <v>2</v>
      </c>
      <c r="H13141" s="135" t="n">
        <f aca="false">$G13141*'Analyse capacite'!$F$9</f>
        <v>348</v>
      </c>
      <c r="I13141" s="135" t="n">
        <f aca="false">$G13141*'Analyse capacite'!$C$9</f>
        <v>0</v>
      </c>
      <c r="J13141" s="135" t="n">
        <f aca="false">$G13141*'Analyse capacite'!$D$9</f>
        <v>24</v>
      </c>
      <c r="K13141" s="135" t="n">
        <f aca="false">$G13141*'Analyse capacite'!$E$9</f>
        <v>324</v>
      </c>
    </row>
    <row r="13142" customFormat="false" ht="15" hidden="false" customHeight="false" outlineLevel="0" collapsed="false">
      <c r="B13142" s="130" t="n">
        <v>2028</v>
      </c>
      <c r="C13142" s="131" t="s">
        <v>257</v>
      </c>
      <c r="D13142" s="132" t="n">
        <v>46842</v>
      </c>
      <c r="E13142" s="131" t="s">
        <v>62</v>
      </c>
      <c r="F13142" s="133" t="s">
        <v>11</v>
      </c>
      <c r="G13142" s="134" t="n">
        <f aca="false">LEN('Saisie programme'!$G$475)+SUMIFS('Vols additionnels'!$E$7:$E$66,'Vols additionnels'!$C$7:$C$66,$E13142,'Vols additionnels'!$D$7:$D$66,$F13142,'Vols additionnels'!$B$7:$B$66,$D13142)</f>
        <v>0</v>
      </c>
      <c r="H13142" s="135" t="n">
        <f aca="false">$G13142*'Analyse capacite'!$F$7</f>
        <v>0</v>
      </c>
      <c r="I13142" s="135" t="n">
        <f aca="false">$G13142*'Analyse capacite'!$C$7</f>
        <v>0</v>
      </c>
      <c r="J13142" s="135" t="n">
        <f aca="false">$G13142*'Analyse capacite'!$D$7</f>
        <v>0</v>
      </c>
      <c r="K13142" s="135" t="n">
        <f aca="false">$G13142*'Analyse capacite'!$E$7</f>
        <v>0</v>
      </c>
    </row>
    <row r="13143" customFormat="false" ht="15" hidden="false" customHeight="false" outlineLevel="0" collapsed="false">
      <c r="B13143" s="130" t="n">
        <v>2028</v>
      </c>
      <c r="C13143" s="131" t="s">
        <v>257</v>
      </c>
      <c r="D13143" s="132" t="n">
        <v>46842</v>
      </c>
      <c r="E13143" s="131" t="s">
        <v>62</v>
      </c>
      <c r="F13143" s="133" t="s">
        <v>19</v>
      </c>
      <c r="G13143" s="134" t="n">
        <f aca="false">LEN('Saisie programme'!$G$476)+SUMIFS('Vols additionnels'!$E$7:$E$66,'Vols additionnels'!$C$7:$C$66,$E13143,'Vols additionnels'!$D$7:$D$66,$F13143,'Vols additionnels'!$B$7:$B$66,$D13143)</f>
        <v>0</v>
      </c>
      <c r="H13143" s="135" t="n">
        <f aca="false">$G13143*'Analyse capacite'!$F$8</f>
        <v>0</v>
      </c>
      <c r="I13143" s="135" t="n">
        <f aca="false">$G13143*'Analyse capacite'!$C$8</f>
        <v>0</v>
      </c>
      <c r="J13143" s="135" t="n">
        <f aca="false">$G13143*'Analyse capacite'!$D$8</f>
        <v>0</v>
      </c>
      <c r="K13143" s="135" t="n">
        <f aca="false">$G13143*'Analyse capacite'!$E$8</f>
        <v>0</v>
      </c>
    </row>
    <row r="13144" customFormat="false" ht="15" hidden="false" customHeight="false" outlineLevel="0" collapsed="false">
      <c r="B13144" s="130" t="n">
        <v>2028</v>
      </c>
      <c r="C13144" s="131" t="s">
        <v>257</v>
      </c>
      <c r="D13144" s="132" t="n">
        <v>46842</v>
      </c>
      <c r="E13144" s="131" t="s">
        <v>62</v>
      </c>
      <c r="F13144" s="133" t="s">
        <v>24</v>
      </c>
      <c r="G13144" s="134" t="n">
        <f aca="false">LEN('Saisie programme'!$G$477)+SUMIFS('Vols additionnels'!$E$7:$E$66,'Vols additionnels'!$C$7:$C$66,$E13144,'Vols additionnels'!$D$7:$D$66,$F13144,'Vols additionnels'!$B$7:$B$66,$D13144)</f>
        <v>0</v>
      </c>
      <c r="H13144" s="135" t="n">
        <f aca="false">$G13144*'Analyse capacite'!$F$9</f>
        <v>0</v>
      </c>
      <c r="I13144" s="135" t="n">
        <f aca="false">$G13144*'Analyse capacite'!$C$9</f>
        <v>0</v>
      </c>
      <c r="J13144" s="135" t="n">
        <f aca="false">$G13144*'Analyse capacite'!$D$9</f>
        <v>0</v>
      </c>
      <c r="K13144" s="135" t="n">
        <f aca="false">$G13144*'Analyse capacite'!$E$9</f>
        <v>0</v>
      </c>
    </row>
    <row r="13145" customFormat="false" ht="15" hidden="false" customHeight="false" outlineLevel="0" collapsed="false">
      <c r="B13145" s="130" t="n">
        <v>2028</v>
      </c>
      <c r="C13145" s="131" t="s">
        <v>257</v>
      </c>
      <c r="D13145" s="132" t="n">
        <v>46843</v>
      </c>
      <c r="E13145" s="131" t="s">
        <v>12</v>
      </c>
      <c r="F13145" s="133" t="s">
        <v>11</v>
      </c>
      <c r="G13145" s="134" t="n">
        <f aca="false">LEN('Saisie programme'!$H$442)+SUMIFS('Vols additionnels'!$E$7:$E$66,'Vols additionnels'!$C$7:$C$66,$E13145,'Vols additionnels'!$D$7:$D$66,$F13145,'Vols additionnels'!$B$7:$B$66,$D13145)</f>
        <v>1</v>
      </c>
      <c r="H13145" s="135" t="n">
        <f aca="false">$G13145*'Analyse capacite'!$F$7</f>
        <v>438</v>
      </c>
      <c r="I13145" s="135" t="n">
        <f aca="false">$G13145*'Analyse capacite'!$C$7</f>
        <v>14</v>
      </c>
      <c r="J13145" s="135" t="n">
        <f aca="false">$G13145*'Analyse capacite'!$D$7</f>
        <v>40</v>
      </c>
      <c r="K13145" s="135" t="n">
        <f aca="false">$G13145*'Analyse capacite'!$E$7</f>
        <v>384</v>
      </c>
    </row>
    <row r="13146" customFormat="false" ht="15" hidden="false" customHeight="false" outlineLevel="0" collapsed="false">
      <c r="B13146" s="130" t="n">
        <v>2028</v>
      </c>
      <c r="C13146" s="131" t="s">
        <v>257</v>
      </c>
      <c r="D13146" s="132" t="n">
        <v>46843</v>
      </c>
      <c r="E13146" s="131" t="s">
        <v>12</v>
      </c>
      <c r="F13146" s="133" t="s">
        <v>19</v>
      </c>
      <c r="G13146" s="134" t="n">
        <f aca="false">LEN('Saisie programme'!$H$443)+SUMIFS('Vols additionnels'!$E$7:$E$66,'Vols additionnels'!$C$7:$C$66,$E13146,'Vols additionnels'!$D$7:$D$66,$F13146,'Vols additionnels'!$B$7:$B$66,$D13146)</f>
        <v>1</v>
      </c>
      <c r="H13146" s="135" t="n">
        <f aca="false">$G13146*'Analyse capacite'!$F$8</f>
        <v>262</v>
      </c>
      <c r="I13146" s="135" t="n">
        <f aca="false">$G13146*'Analyse capacite'!$C$8</f>
        <v>18</v>
      </c>
      <c r="J13146" s="135" t="n">
        <f aca="false">$G13146*'Analyse capacite'!$D$8</f>
        <v>0</v>
      </c>
      <c r="K13146" s="135" t="n">
        <f aca="false">$G13146*'Analyse capacite'!$E$8</f>
        <v>244</v>
      </c>
    </row>
    <row r="13147" customFormat="false" ht="15" hidden="false" customHeight="false" outlineLevel="0" collapsed="false">
      <c r="B13147" s="130" t="n">
        <v>2028</v>
      </c>
      <c r="C13147" s="131" t="s">
        <v>257</v>
      </c>
      <c r="D13147" s="132" t="n">
        <v>46843</v>
      </c>
      <c r="E13147" s="131" t="s">
        <v>12</v>
      </c>
      <c r="F13147" s="133" t="s">
        <v>24</v>
      </c>
      <c r="G13147" s="134" t="n">
        <f aca="false">LEN('Saisie programme'!$H$444)+SUMIFS('Vols additionnels'!$E$7:$E$66,'Vols additionnels'!$C$7:$C$66,$E13147,'Vols additionnels'!$D$7:$D$66,$F13147,'Vols additionnels'!$B$7:$B$66,$D13147)</f>
        <v>0</v>
      </c>
      <c r="H13147" s="135" t="n">
        <f aca="false">$G13147*'Analyse capacite'!$F$9</f>
        <v>0</v>
      </c>
      <c r="I13147" s="135" t="n">
        <f aca="false">$G13147*'Analyse capacite'!$C$9</f>
        <v>0</v>
      </c>
      <c r="J13147" s="135" t="n">
        <f aca="false">$G13147*'Analyse capacite'!$D$9</f>
        <v>0</v>
      </c>
      <c r="K13147" s="135" t="n">
        <f aca="false">$G13147*'Analyse capacite'!$E$9</f>
        <v>0</v>
      </c>
    </row>
    <row r="13148" customFormat="false" ht="15" hidden="false" customHeight="false" outlineLevel="0" collapsed="false">
      <c r="B13148" s="130" t="n">
        <v>2028</v>
      </c>
      <c r="C13148" s="131" t="s">
        <v>257</v>
      </c>
      <c r="D13148" s="132" t="n">
        <v>46843</v>
      </c>
      <c r="E13148" s="131" t="s">
        <v>20</v>
      </c>
      <c r="F13148" s="133" t="s">
        <v>11</v>
      </c>
      <c r="G13148" s="134" t="n">
        <f aca="false">LEN('Saisie programme'!$H$445)+SUMIFS('Vols additionnels'!$E$7:$E$66,'Vols additionnels'!$C$7:$C$66,$E13148,'Vols additionnels'!$D$7:$D$66,$F13148,'Vols additionnels'!$B$7:$B$66,$D13148)</f>
        <v>0</v>
      </c>
      <c r="H13148" s="135" t="n">
        <f aca="false">$G13148*'Analyse capacite'!$F$7</f>
        <v>0</v>
      </c>
      <c r="I13148" s="135" t="n">
        <f aca="false">$G13148*'Analyse capacite'!$C$7</f>
        <v>0</v>
      </c>
      <c r="J13148" s="135" t="n">
        <f aca="false">$G13148*'Analyse capacite'!$D$7</f>
        <v>0</v>
      </c>
      <c r="K13148" s="135" t="n">
        <f aca="false">$G13148*'Analyse capacite'!$E$7</f>
        <v>0</v>
      </c>
    </row>
    <row r="13149" customFormat="false" ht="15" hidden="false" customHeight="false" outlineLevel="0" collapsed="false">
      <c r="B13149" s="130" t="n">
        <v>2028</v>
      </c>
      <c r="C13149" s="131" t="s">
        <v>257</v>
      </c>
      <c r="D13149" s="132" t="n">
        <v>46843</v>
      </c>
      <c r="E13149" s="131" t="s">
        <v>20</v>
      </c>
      <c r="F13149" s="133" t="s">
        <v>19</v>
      </c>
      <c r="G13149" s="134" t="n">
        <f aca="false">LEN('Saisie programme'!$H$446)+SUMIFS('Vols additionnels'!$E$7:$E$66,'Vols additionnels'!$C$7:$C$66,$E13149,'Vols additionnels'!$D$7:$D$66,$F13149,'Vols additionnels'!$B$7:$B$66,$D13149)</f>
        <v>1</v>
      </c>
      <c r="H13149" s="135" t="n">
        <f aca="false">$G13149*'Analyse capacite'!$F$8</f>
        <v>262</v>
      </c>
      <c r="I13149" s="135" t="n">
        <f aca="false">$G13149*'Analyse capacite'!$C$8</f>
        <v>18</v>
      </c>
      <c r="J13149" s="135" t="n">
        <f aca="false">$G13149*'Analyse capacite'!$D$8</f>
        <v>0</v>
      </c>
      <c r="K13149" s="135" t="n">
        <f aca="false">$G13149*'Analyse capacite'!$E$8</f>
        <v>244</v>
      </c>
    </row>
    <row r="13150" customFormat="false" ht="15" hidden="false" customHeight="false" outlineLevel="0" collapsed="false">
      <c r="B13150" s="130" t="n">
        <v>2028</v>
      </c>
      <c r="C13150" s="131" t="s">
        <v>257</v>
      </c>
      <c r="D13150" s="132" t="n">
        <v>46843</v>
      </c>
      <c r="E13150" s="131" t="s">
        <v>20</v>
      </c>
      <c r="F13150" s="133" t="s">
        <v>24</v>
      </c>
      <c r="G13150" s="134" t="n">
        <f aca="false">LEN('Saisie programme'!$H$447)+SUMIFS('Vols additionnels'!$E$7:$E$66,'Vols additionnels'!$C$7:$C$66,$E13150,'Vols additionnels'!$D$7:$D$66,$F13150,'Vols additionnels'!$B$7:$B$66,$D13150)</f>
        <v>0</v>
      </c>
      <c r="H13150" s="135" t="n">
        <f aca="false">$G13150*'Analyse capacite'!$F$9</f>
        <v>0</v>
      </c>
      <c r="I13150" s="135" t="n">
        <f aca="false">$G13150*'Analyse capacite'!$C$9</f>
        <v>0</v>
      </c>
      <c r="J13150" s="135" t="n">
        <f aca="false">$G13150*'Analyse capacite'!$D$9</f>
        <v>0</v>
      </c>
      <c r="K13150" s="135" t="n">
        <f aca="false">$G13150*'Analyse capacite'!$E$9</f>
        <v>0</v>
      </c>
    </row>
    <row r="13151" customFormat="false" ht="15" hidden="false" customHeight="false" outlineLevel="0" collapsed="false">
      <c r="B13151" s="130" t="n">
        <v>2028</v>
      </c>
      <c r="C13151" s="131" t="s">
        <v>257</v>
      </c>
      <c r="D13151" s="132" t="n">
        <v>46843</v>
      </c>
      <c r="E13151" s="131" t="s">
        <v>25</v>
      </c>
      <c r="F13151" s="133" t="s">
        <v>11</v>
      </c>
      <c r="G13151" s="134" t="n">
        <f aca="false">LEN('Saisie programme'!$H$448)+SUMIFS('Vols additionnels'!$E$7:$E$66,'Vols additionnels'!$C$7:$C$66,$E13151,'Vols additionnels'!$D$7:$D$66,$F13151,'Vols additionnels'!$B$7:$B$66,$D13151)</f>
        <v>0</v>
      </c>
      <c r="H13151" s="135" t="n">
        <f aca="false">$G13151*'Analyse capacite'!$F$7</f>
        <v>0</v>
      </c>
      <c r="I13151" s="135" t="n">
        <f aca="false">$G13151*'Analyse capacite'!$C$7</f>
        <v>0</v>
      </c>
      <c r="J13151" s="135" t="n">
        <f aca="false">$G13151*'Analyse capacite'!$D$7</f>
        <v>0</v>
      </c>
      <c r="K13151" s="135" t="n">
        <f aca="false">$G13151*'Analyse capacite'!$E$7</f>
        <v>0</v>
      </c>
    </row>
    <row r="13152" customFormat="false" ht="15" hidden="false" customHeight="false" outlineLevel="0" collapsed="false">
      <c r="B13152" s="130" t="n">
        <v>2028</v>
      </c>
      <c r="C13152" s="131" t="s">
        <v>257</v>
      </c>
      <c r="D13152" s="132" t="n">
        <v>46843</v>
      </c>
      <c r="E13152" s="131" t="s">
        <v>25</v>
      </c>
      <c r="F13152" s="133" t="s">
        <v>19</v>
      </c>
      <c r="G13152" s="134" t="n">
        <f aca="false">LEN('Saisie programme'!$H$449)+SUMIFS('Vols additionnels'!$E$7:$E$66,'Vols additionnels'!$C$7:$C$66,$E13152,'Vols additionnels'!$D$7:$D$66,$F13152,'Vols additionnels'!$B$7:$B$66,$D13152)</f>
        <v>0</v>
      </c>
      <c r="H13152" s="135" t="n">
        <f aca="false">$G13152*'Analyse capacite'!$F$8</f>
        <v>0</v>
      </c>
      <c r="I13152" s="135" t="n">
        <f aca="false">$G13152*'Analyse capacite'!$C$8</f>
        <v>0</v>
      </c>
      <c r="J13152" s="135" t="n">
        <f aca="false">$G13152*'Analyse capacite'!$D$8</f>
        <v>0</v>
      </c>
      <c r="K13152" s="135" t="n">
        <f aca="false">$G13152*'Analyse capacite'!$E$8</f>
        <v>0</v>
      </c>
    </row>
    <row r="13153" customFormat="false" ht="15" hidden="false" customHeight="false" outlineLevel="0" collapsed="false">
      <c r="B13153" s="130" t="n">
        <v>2028</v>
      </c>
      <c r="C13153" s="131" t="s">
        <v>257</v>
      </c>
      <c r="D13153" s="132" t="n">
        <v>46843</v>
      </c>
      <c r="E13153" s="131" t="s">
        <v>25</v>
      </c>
      <c r="F13153" s="133" t="s">
        <v>24</v>
      </c>
      <c r="G13153" s="134" t="n">
        <f aca="false">LEN('Saisie programme'!$H$450)+SUMIFS('Vols additionnels'!$E$7:$E$66,'Vols additionnels'!$C$7:$C$66,$E13153,'Vols additionnels'!$D$7:$D$66,$F13153,'Vols additionnels'!$B$7:$B$66,$D13153)</f>
        <v>0</v>
      </c>
      <c r="H13153" s="135" t="n">
        <f aca="false">$G13153*'Analyse capacite'!$F$9</f>
        <v>0</v>
      </c>
      <c r="I13153" s="135" t="n">
        <f aca="false">$G13153*'Analyse capacite'!$C$9</f>
        <v>0</v>
      </c>
      <c r="J13153" s="135" t="n">
        <f aca="false">$G13153*'Analyse capacite'!$D$9</f>
        <v>0</v>
      </c>
      <c r="K13153" s="135" t="n">
        <f aca="false">$G13153*'Analyse capacite'!$E$9</f>
        <v>0</v>
      </c>
    </row>
    <row r="13154" customFormat="false" ht="15" hidden="false" customHeight="false" outlineLevel="0" collapsed="false">
      <c r="B13154" s="130" t="n">
        <v>2028</v>
      </c>
      <c r="C13154" s="131" t="s">
        <v>257</v>
      </c>
      <c r="D13154" s="132" t="n">
        <v>46843</v>
      </c>
      <c r="E13154" s="131" t="s">
        <v>36</v>
      </c>
      <c r="F13154" s="133" t="s">
        <v>11</v>
      </c>
      <c r="G13154" s="134" t="n">
        <f aca="false">LEN('Saisie programme'!$H$451)+SUMIFS('Vols additionnels'!$E$7:$E$66,'Vols additionnels'!$C$7:$C$66,$E13154,'Vols additionnels'!$D$7:$D$66,$F13154,'Vols additionnels'!$B$7:$B$66,$D13154)</f>
        <v>0</v>
      </c>
      <c r="H13154" s="135" t="n">
        <f aca="false">$G13154*'Analyse capacite'!$F$7</f>
        <v>0</v>
      </c>
      <c r="I13154" s="135" t="n">
        <f aca="false">$G13154*'Analyse capacite'!$C$7</f>
        <v>0</v>
      </c>
      <c r="J13154" s="135" t="n">
        <f aca="false">$G13154*'Analyse capacite'!$D$7</f>
        <v>0</v>
      </c>
      <c r="K13154" s="135" t="n">
        <f aca="false">$G13154*'Analyse capacite'!$E$7</f>
        <v>0</v>
      </c>
    </row>
    <row r="13155" customFormat="false" ht="15" hidden="false" customHeight="false" outlineLevel="0" collapsed="false">
      <c r="B13155" s="130" t="n">
        <v>2028</v>
      </c>
      <c r="C13155" s="131" t="s">
        <v>257</v>
      </c>
      <c r="D13155" s="132" t="n">
        <v>46843</v>
      </c>
      <c r="E13155" s="131" t="s">
        <v>36</v>
      </c>
      <c r="F13155" s="133" t="s">
        <v>19</v>
      </c>
      <c r="G13155" s="134" t="n">
        <f aca="false">LEN('Saisie programme'!$H$452)+SUMIFS('Vols additionnels'!$E$7:$E$66,'Vols additionnels'!$C$7:$C$66,$E13155,'Vols additionnels'!$D$7:$D$66,$F13155,'Vols additionnels'!$B$7:$B$66,$D13155)</f>
        <v>0</v>
      </c>
      <c r="H13155" s="135" t="n">
        <f aca="false">$G13155*'Analyse capacite'!$F$8</f>
        <v>0</v>
      </c>
      <c r="I13155" s="135" t="n">
        <f aca="false">$G13155*'Analyse capacite'!$C$8</f>
        <v>0</v>
      </c>
      <c r="J13155" s="135" t="n">
        <f aca="false">$G13155*'Analyse capacite'!$D$8</f>
        <v>0</v>
      </c>
      <c r="K13155" s="135" t="n">
        <f aca="false">$G13155*'Analyse capacite'!$E$8</f>
        <v>0</v>
      </c>
    </row>
    <row r="13156" customFormat="false" ht="15" hidden="false" customHeight="false" outlineLevel="0" collapsed="false">
      <c r="B13156" s="130" t="n">
        <v>2028</v>
      </c>
      <c r="C13156" s="131" t="s">
        <v>257</v>
      </c>
      <c r="D13156" s="132" t="n">
        <v>46843</v>
      </c>
      <c r="E13156" s="131" t="s">
        <v>36</v>
      </c>
      <c r="F13156" s="133" t="s">
        <v>24</v>
      </c>
      <c r="G13156" s="134" t="n">
        <f aca="false">LEN('Saisie programme'!$H$453)+SUMIFS('Vols additionnels'!$E$7:$E$66,'Vols additionnels'!$C$7:$C$66,$E13156,'Vols additionnels'!$D$7:$D$66,$F13156,'Vols additionnels'!$B$7:$B$66,$D13156)</f>
        <v>1</v>
      </c>
      <c r="H13156" s="135" t="n">
        <f aca="false">$G13156*'Analyse capacite'!$F$9</f>
        <v>174</v>
      </c>
      <c r="I13156" s="135" t="n">
        <f aca="false">$G13156*'Analyse capacite'!$C$9</f>
        <v>0</v>
      </c>
      <c r="J13156" s="135" t="n">
        <f aca="false">$G13156*'Analyse capacite'!$D$9</f>
        <v>12</v>
      </c>
      <c r="K13156" s="135" t="n">
        <f aca="false">$G13156*'Analyse capacite'!$E$9</f>
        <v>162</v>
      </c>
    </row>
    <row r="13157" customFormat="false" ht="15" hidden="false" customHeight="false" outlineLevel="0" collapsed="false">
      <c r="B13157" s="130" t="n">
        <v>2028</v>
      </c>
      <c r="C13157" s="131" t="s">
        <v>257</v>
      </c>
      <c r="D13157" s="132" t="n">
        <v>46843</v>
      </c>
      <c r="E13157" s="131" t="s">
        <v>40</v>
      </c>
      <c r="F13157" s="133" t="s">
        <v>11</v>
      </c>
      <c r="G13157" s="134" t="n">
        <f aca="false">LEN('Saisie programme'!$H$454)+SUMIFS('Vols additionnels'!$E$7:$E$66,'Vols additionnels'!$C$7:$C$66,$E13157,'Vols additionnels'!$D$7:$D$66,$F13157,'Vols additionnels'!$B$7:$B$66,$D13157)</f>
        <v>0</v>
      </c>
      <c r="H13157" s="135" t="n">
        <f aca="false">$G13157*'Analyse capacite'!$F$7</f>
        <v>0</v>
      </c>
      <c r="I13157" s="135" t="n">
        <f aca="false">$G13157*'Analyse capacite'!$C$7</f>
        <v>0</v>
      </c>
      <c r="J13157" s="135" t="n">
        <f aca="false">$G13157*'Analyse capacite'!$D$7</f>
        <v>0</v>
      </c>
      <c r="K13157" s="135" t="n">
        <f aca="false">$G13157*'Analyse capacite'!$E$7</f>
        <v>0</v>
      </c>
    </row>
    <row r="13158" customFormat="false" ht="15" hidden="false" customHeight="false" outlineLevel="0" collapsed="false">
      <c r="B13158" s="130" t="n">
        <v>2028</v>
      </c>
      <c r="C13158" s="131" t="s">
        <v>257</v>
      </c>
      <c r="D13158" s="132" t="n">
        <v>46843</v>
      </c>
      <c r="E13158" s="131" t="s">
        <v>40</v>
      </c>
      <c r="F13158" s="133" t="s">
        <v>19</v>
      </c>
      <c r="G13158" s="134" t="n">
        <f aca="false">LEN('Saisie programme'!$H$455)+SUMIFS('Vols additionnels'!$E$7:$E$66,'Vols additionnels'!$C$7:$C$66,$E13158,'Vols additionnels'!$D$7:$D$66,$F13158,'Vols additionnels'!$B$7:$B$66,$D13158)</f>
        <v>0</v>
      </c>
      <c r="H13158" s="135" t="n">
        <f aca="false">$G13158*'Analyse capacite'!$F$8</f>
        <v>0</v>
      </c>
      <c r="I13158" s="135" t="n">
        <f aca="false">$G13158*'Analyse capacite'!$C$8</f>
        <v>0</v>
      </c>
      <c r="J13158" s="135" t="n">
        <f aca="false">$G13158*'Analyse capacite'!$D$8</f>
        <v>0</v>
      </c>
      <c r="K13158" s="135" t="n">
        <f aca="false">$G13158*'Analyse capacite'!$E$8</f>
        <v>0</v>
      </c>
    </row>
    <row r="13159" customFormat="false" ht="15" hidden="false" customHeight="false" outlineLevel="0" collapsed="false">
      <c r="B13159" s="130" t="n">
        <v>2028</v>
      </c>
      <c r="C13159" s="131" t="s">
        <v>257</v>
      </c>
      <c r="D13159" s="132" t="n">
        <v>46843</v>
      </c>
      <c r="E13159" s="131" t="s">
        <v>40</v>
      </c>
      <c r="F13159" s="133" t="s">
        <v>24</v>
      </c>
      <c r="G13159" s="134" t="n">
        <f aca="false">LEN('Saisie programme'!$H$456)+SUMIFS('Vols additionnels'!$E$7:$E$66,'Vols additionnels'!$C$7:$C$66,$E13159,'Vols additionnels'!$D$7:$D$66,$F13159,'Vols additionnels'!$B$7:$B$66,$D13159)</f>
        <v>1</v>
      </c>
      <c r="H13159" s="135" t="n">
        <f aca="false">$G13159*'Analyse capacite'!$F$9</f>
        <v>174</v>
      </c>
      <c r="I13159" s="135" t="n">
        <f aca="false">$G13159*'Analyse capacite'!$C$9</f>
        <v>0</v>
      </c>
      <c r="J13159" s="135" t="n">
        <f aca="false">$G13159*'Analyse capacite'!$D$9</f>
        <v>12</v>
      </c>
      <c r="K13159" s="135" t="n">
        <f aca="false">$G13159*'Analyse capacite'!$E$9</f>
        <v>162</v>
      </c>
    </row>
    <row r="13160" customFormat="false" ht="15" hidden="false" customHeight="false" outlineLevel="0" collapsed="false">
      <c r="B13160" s="130" t="n">
        <v>2028</v>
      </c>
      <c r="C13160" s="131" t="s">
        <v>257</v>
      </c>
      <c r="D13160" s="132" t="n">
        <v>46843</v>
      </c>
      <c r="E13160" s="131" t="s">
        <v>14</v>
      </c>
      <c r="F13160" s="133" t="s">
        <v>11</v>
      </c>
      <c r="G13160" s="134" t="n">
        <f aca="false">LEN('Saisie programme'!$H$457)+SUMIFS('Vols additionnels'!$E$7:$E$66,'Vols additionnels'!$C$7:$C$66,$E13160,'Vols additionnels'!$D$7:$D$66,$F13160,'Vols additionnels'!$B$7:$B$66,$D13160)</f>
        <v>0</v>
      </c>
      <c r="H13160" s="135" t="n">
        <f aca="false">$G13160*'Analyse capacite'!$F$7</f>
        <v>0</v>
      </c>
      <c r="I13160" s="135" t="n">
        <f aca="false">$G13160*'Analyse capacite'!$C$7</f>
        <v>0</v>
      </c>
      <c r="J13160" s="135" t="n">
        <f aca="false">$G13160*'Analyse capacite'!$D$7</f>
        <v>0</v>
      </c>
      <c r="K13160" s="135" t="n">
        <f aca="false">$G13160*'Analyse capacite'!$E$7</f>
        <v>0</v>
      </c>
    </row>
    <row r="13161" customFormat="false" ht="15" hidden="false" customHeight="false" outlineLevel="0" collapsed="false">
      <c r="B13161" s="130" t="n">
        <v>2028</v>
      </c>
      <c r="C13161" s="131" t="s">
        <v>257</v>
      </c>
      <c r="D13161" s="132" t="n">
        <v>46843</v>
      </c>
      <c r="E13161" s="131" t="s">
        <v>14</v>
      </c>
      <c r="F13161" s="133" t="s">
        <v>19</v>
      </c>
      <c r="G13161" s="134" t="n">
        <f aca="false">LEN('Saisie programme'!$H$458)+SUMIFS('Vols additionnels'!$E$7:$E$66,'Vols additionnels'!$C$7:$C$66,$E13161,'Vols additionnels'!$D$7:$D$66,$F13161,'Vols additionnels'!$B$7:$B$66,$D13161)</f>
        <v>0</v>
      </c>
      <c r="H13161" s="135" t="n">
        <f aca="false">$G13161*'Analyse capacite'!$F$8</f>
        <v>0</v>
      </c>
      <c r="I13161" s="135" t="n">
        <f aca="false">$G13161*'Analyse capacite'!$C$8</f>
        <v>0</v>
      </c>
      <c r="J13161" s="135" t="n">
        <f aca="false">$G13161*'Analyse capacite'!$D$8</f>
        <v>0</v>
      </c>
      <c r="K13161" s="135" t="n">
        <f aca="false">$G13161*'Analyse capacite'!$E$8</f>
        <v>0</v>
      </c>
    </row>
    <row r="13162" customFormat="false" ht="15" hidden="false" customHeight="false" outlineLevel="0" collapsed="false">
      <c r="B13162" s="130" t="n">
        <v>2028</v>
      </c>
      <c r="C13162" s="131" t="s">
        <v>257</v>
      </c>
      <c r="D13162" s="132" t="n">
        <v>46843</v>
      </c>
      <c r="E13162" s="131" t="s">
        <v>14</v>
      </c>
      <c r="F13162" s="133" t="s">
        <v>24</v>
      </c>
      <c r="G13162" s="134" t="n">
        <f aca="false">LEN('Saisie programme'!$H$459)+SUMIFS('Vols additionnels'!$E$7:$E$66,'Vols additionnels'!$C$7:$C$66,$E13162,'Vols additionnels'!$D$7:$D$66,$F13162,'Vols additionnels'!$B$7:$B$66,$D13162)</f>
        <v>0</v>
      </c>
      <c r="H13162" s="135" t="n">
        <f aca="false">$G13162*'Analyse capacite'!$F$9</f>
        <v>0</v>
      </c>
      <c r="I13162" s="135" t="n">
        <f aca="false">$G13162*'Analyse capacite'!$C$9</f>
        <v>0</v>
      </c>
      <c r="J13162" s="135" t="n">
        <f aca="false">$G13162*'Analyse capacite'!$D$9</f>
        <v>0</v>
      </c>
      <c r="K13162" s="135" t="n">
        <f aca="false">$G13162*'Analyse capacite'!$E$9</f>
        <v>0</v>
      </c>
    </row>
    <row r="13163" customFormat="false" ht="15" hidden="false" customHeight="false" outlineLevel="0" collapsed="false">
      <c r="B13163" s="130" t="n">
        <v>2028</v>
      </c>
      <c r="C13163" s="131" t="s">
        <v>257</v>
      </c>
      <c r="D13163" s="132" t="n">
        <v>46843</v>
      </c>
      <c r="E13163" s="131" t="s">
        <v>46</v>
      </c>
      <c r="F13163" s="133" t="s">
        <v>11</v>
      </c>
      <c r="G13163" s="134" t="n">
        <f aca="false">LEN('Saisie programme'!$H$460)+SUMIFS('Vols additionnels'!$E$7:$E$66,'Vols additionnels'!$C$7:$C$66,$E13163,'Vols additionnels'!$D$7:$D$66,$F13163,'Vols additionnels'!$B$7:$B$66,$D13163)</f>
        <v>0</v>
      </c>
      <c r="H13163" s="135" t="n">
        <f aca="false">$G13163*'Analyse capacite'!$F$7</f>
        <v>0</v>
      </c>
      <c r="I13163" s="135" t="n">
        <f aca="false">$G13163*'Analyse capacite'!$C$7</f>
        <v>0</v>
      </c>
      <c r="J13163" s="135" t="n">
        <f aca="false">$G13163*'Analyse capacite'!$D$7</f>
        <v>0</v>
      </c>
      <c r="K13163" s="135" t="n">
        <f aca="false">$G13163*'Analyse capacite'!$E$7</f>
        <v>0</v>
      </c>
    </row>
    <row r="13164" customFormat="false" ht="15" hidden="false" customHeight="false" outlineLevel="0" collapsed="false">
      <c r="B13164" s="130" t="n">
        <v>2028</v>
      </c>
      <c r="C13164" s="131" t="s">
        <v>257</v>
      </c>
      <c r="D13164" s="132" t="n">
        <v>46843</v>
      </c>
      <c r="E13164" s="131" t="s">
        <v>46</v>
      </c>
      <c r="F13164" s="133" t="s">
        <v>19</v>
      </c>
      <c r="G13164" s="134" t="n">
        <f aca="false">LEN('Saisie programme'!$H$461)+SUMIFS('Vols additionnels'!$E$7:$E$66,'Vols additionnels'!$C$7:$C$66,$E13164,'Vols additionnels'!$D$7:$D$66,$F13164,'Vols additionnels'!$B$7:$B$66,$D13164)</f>
        <v>0</v>
      </c>
      <c r="H13164" s="135" t="n">
        <f aca="false">$G13164*'Analyse capacite'!$F$8</f>
        <v>0</v>
      </c>
      <c r="I13164" s="135" t="n">
        <f aca="false">$G13164*'Analyse capacite'!$C$8</f>
        <v>0</v>
      </c>
      <c r="J13164" s="135" t="n">
        <f aca="false">$G13164*'Analyse capacite'!$D$8</f>
        <v>0</v>
      </c>
      <c r="K13164" s="135" t="n">
        <f aca="false">$G13164*'Analyse capacite'!$E$8</f>
        <v>0</v>
      </c>
    </row>
    <row r="13165" customFormat="false" ht="15" hidden="false" customHeight="false" outlineLevel="0" collapsed="false">
      <c r="B13165" s="130" t="n">
        <v>2028</v>
      </c>
      <c r="C13165" s="131" t="s">
        <v>257</v>
      </c>
      <c r="D13165" s="132" t="n">
        <v>46843</v>
      </c>
      <c r="E13165" s="131" t="s">
        <v>46</v>
      </c>
      <c r="F13165" s="133" t="s">
        <v>24</v>
      </c>
      <c r="G13165" s="134" t="n">
        <f aca="false">LEN('Saisie programme'!$H$462)+SUMIFS('Vols additionnels'!$E$7:$E$66,'Vols additionnels'!$C$7:$C$66,$E13165,'Vols additionnels'!$D$7:$D$66,$F13165,'Vols additionnels'!$B$7:$B$66,$D13165)</f>
        <v>0</v>
      </c>
      <c r="H13165" s="135" t="n">
        <f aca="false">$G13165*'Analyse capacite'!$F$9</f>
        <v>0</v>
      </c>
      <c r="I13165" s="135" t="n">
        <f aca="false">$G13165*'Analyse capacite'!$C$9</f>
        <v>0</v>
      </c>
      <c r="J13165" s="135" t="n">
        <f aca="false">$G13165*'Analyse capacite'!$D$9</f>
        <v>0</v>
      </c>
      <c r="K13165" s="135" t="n">
        <f aca="false">$G13165*'Analyse capacite'!$E$9</f>
        <v>0</v>
      </c>
    </row>
    <row r="13166" customFormat="false" ht="15" hidden="false" customHeight="false" outlineLevel="0" collapsed="false">
      <c r="B13166" s="130" t="n">
        <v>2028</v>
      </c>
      <c r="C13166" s="131" t="s">
        <v>257</v>
      </c>
      <c r="D13166" s="132" t="n">
        <v>46843</v>
      </c>
      <c r="E13166" s="131" t="s">
        <v>49</v>
      </c>
      <c r="F13166" s="133" t="s">
        <v>11</v>
      </c>
      <c r="G13166" s="134" t="n">
        <f aca="false">LEN('Saisie programme'!$H$463)+SUMIFS('Vols additionnels'!$E$7:$E$66,'Vols additionnels'!$C$7:$C$66,$E13166,'Vols additionnels'!$D$7:$D$66,$F13166,'Vols additionnels'!$B$7:$B$66,$D13166)</f>
        <v>0</v>
      </c>
      <c r="H13166" s="135" t="n">
        <f aca="false">$G13166*'Analyse capacite'!$F$7</f>
        <v>0</v>
      </c>
      <c r="I13166" s="135" t="n">
        <f aca="false">$G13166*'Analyse capacite'!$C$7</f>
        <v>0</v>
      </c>
      <c r="J13166" s="135" t="n">
        <f aca="false">$G13166*'Analyse capacite'!$D$7</f>
        <v>0</v>
      </c>
      <c r="K13166" s="135" t="n">
        <f aca="false">$G13166*'Analyse capacite'!$E$7</f>
        <v>0</v>
      </c>
    </row>
    <row r="13167" customFormat="false" ht="15" hidden="false" customHeight="false" outlineLevel="0" collapsed="false">
      <c r="B13167" s="130" t="n">
        <v>2028</v>
      </c>
      <c r="C13167" s="131" t="s">
        <v>257</v>
      </c>
      <c r="D13167" s="132" t="n">
        <v>46843</v>
      </c>
      <c r="E13167" s="131" t="s">
        <v>49</v>
      </c>
      <c r="F13167" s="133" t="s">
        <v>19</v>
      </c>
      <c r="G13167" s="134" t="n">
        <f aca="false">LEN('Saisie programme'!$H$464)+SUMIFS('Vols additionnels'!$E$7:$E$66,'Vols additionnels'!$C$7:$C$66,$E13167,'Vols additionnels'!$D$7:$D$66,$F13167,'Vols additionnels'!$B$7:$B$66,$D13167)</f>
        <v>1</v>
      </c>
      <c r="H13167" s="135" t="n">
        <f aca="false">$G13167*'Analyse capacite'!$F$8</f>
        <v>262</v>
      </c>
      <c r="I13167" s="135" t="n">
        <f aca="false">$G13167*'Analyse capacite'!$C$8</f>
        <v>18</v>
      </c>
      <c r="J13167" s="135" t="n">
        <f aca="false">$G13167*'Analyse capacite'!$D$8</f>
        <v>0</v>
      </c>
      <c r="K13167" s="135" t="n">
        <f aca="false">$G13167*'Analyse capacite'!$E$8</f>
        <v>244</v>
      </c>
    </row>
    <row r="13168" customFormat="false" ht="15" hidden="false" customHeight="false" outlineLevel="0" collapsed="false">
      <c r="B13168" s="130" t="n">
        <v>2028</v>
      </c>
      <c r="C13168" s="131" t="s">
        <v>257</v>
      </c>
      <c r="D13168" s="132" t="n">
        <v>46843</v>
      </c>
      <c r="E13168" s="131" t="s">
        <v>49</v>
      </c>
      <c r="F13168" s="133" t="s">
        <v>24</v>
      </c>
      <c r="G13168" s="134" t="n">
        <f aca="false">LEN('Saisie programme'!$H$465)+SUMIFS('Vols additionnels'!$E$7:$E$66,'Vols additionnels'!$C$7:$C$66,$E13168,'Vols additionnels'!$D$7:$D$66,$F13168,'Vols additionnels'!$B$7:$B$66,$D13168)</f>
        <v>0</v>
      </c>
      <c r="H13168" s="135" t="n">
        <f aca="false">$G13168*'Analyse capacite'!$F$9</f>
        <v>0</v>
      </c>
      <c r="I13168" s="135" t="n">
        <f aca="false">$G13168*'Analyse capacite'!$C$9</f>
        <v>0</v>
      </c>
      <c r="J13168" s="135" t="n">
        <f aca="false">$G13168*'Analyse capacite'!$D$9</f>
        <v>0</v>
      </c>
      <c r="K13168" s="135" t="n">
        <f aca="false">$G13168*'Analyse capacite'!$E$9</f>
        <v>0</v>
      </c>
    </row>
    <row r="13169" customFormat="false" ht="15" hidden="false" customHeight="false" outlineLevel="0" collapsed="false">
      <c r="B13169" s="130" t="n">
        <v>2028</v>
      </c>
      <c r="C13169" s="131" t="s">
        <v>257</v>
      </c>
      <c r="D13169" s="132" t="n">
        <v>46843</v>
      </c>
      <c r="E13169" s="131" t="s">
        <v>53</v>
      </c>
      <c r="F13169" s="133" t="s">
        <v>11</v>
      </c>
      <c r="G13169" s="134" t="n">
        <f aca="false">LEN('Saisie programme'!$H$466)+SUMIFS('Vols additionnels'!$E$7:$E$66,'Vols additionnels'!$C$7:$C$66,$E13169,'Vols additionnels'!$D$7:$D$66,$F13169,'Vols additionnels'!$B$7:$B$66,$D13169)</f>
        <v>0</v>
      </c>
      <c r="H13169" s="135" t="n">
        <f aca="false">$G13169*'Analyse capacite'!$F$7</f>
        <v>0</v>
      </c>
      <c r="I13169" s="135" t="n">
        <f aca="false">$G13169*'Analyse capacite'!$C$7</f>
        <v>0</v>
      </c>
      <c r="J13169" s="135" t="n">
        <f aca="false">$G13169*'Analyse capacite'!$D$7</f>
        <v>0</v>
      </c>
      <c r="K13169" s="135" t="n">
        <f aca="false">$G13169*'Analyse capacite'!$E$7</f>
        <v>0</v>
      </c>
    </row>
    <row r="13170" customFormat="false" ht="15" hidden="false" customHeight="false" outlineLevel="0" collapsed="false">
      <c r="B13170" s="130" t="n">
        <v>2028</v>
      </c>
      <c r="C13170" s="131" t="s">
        <v>257</v>
      </c>
      <c r="D13170" s="132" t="n">
        <v>46843</v>
      </c>
      <c r="E13170" s="131" t="s">
        <v>53</v>
      </c>
      <c r="F13170" s="133" t="s">
        <v>19</v>
      </c>
      <c r="G13170" s="134" t="n">
        <f aca="false">LEN('Saisie programme'!$H$467)+SUMIFS('Vols additionnels'!$E$7:$E$66,'Vols additionnels'!$C$7:$C$66,$E13170,'Vols additionnels'!$D$7:$D$66,$F13170,'Vols additionnels'!$B$7:$B$66,$D13170)</f>
        <v>0</v>
      </c>
      <c r="H13170" s="135" t="n">
        <f aca="false">$G13170*'Analyse capacite'!$F$8</f>
        <v>0</v>
      </c>
      <c r="I13170" s="135" t="n">
        <f aca="false">$G13170*'Analyse capacite'!$C$8</f>
        <v>0</v>
      </c>
      <c r="J13170" s="135" t="n">
        <f aca="false">$G13170*'Analyse capacite'!$D$8</f>
        <v>0</v>
      </c>
      <c r="K13170" s="135" t="n">
        <f aca="false">$G13170*'Analyse capacite'!$E$8</f>
        <v>0</v>
      </c>
    </row>
    <row r="13171" customFormat="false" ht="15" hidden="false" customHeight="false" outlineLevel="0" collapsed="false">
      <c r="B13171" s="130" t="n">
        <v>2028</v>
      </c>
      <c r="C13171" s="131" t="s">
        <v>257</v>
      </c>
      <c r="D13171" s="132" t="n">
        <v>46843</v>
      </c>
      <c r="E13171" s="131" t="s">
        <v>53</v>
      </c>
      <c r="F13171" s="133" t="s">
        <v>24</v>
      </c>
      <c r="G13171" s="134" t="n">
        <f aca="false">LEN('Saisie programme'!$H$468)+SUMIFS('Vols additionnels'!$E$7:$E$66,'Vols additionnels'!$C$7:$C$66,$E13171,'Vols additionnels'!$D$7:$D$66,$F13171,'Vols additionnels'!$B$7:$B$66,$D13171)</f>
        <v>0</v>
      </c>
      <c r="H13171" s="135" t="n">
        <f aca="false">$G13171*'Analyse capacite'!$F$9</f>
        <v>0</v>
      </c>
      <c r="I13171" s="135" t="n">
        <f aca="false">$G13171*'Analyse capacite'!$C$9</f>
        <v>0</v>
      </c>
      <c r="J13171" s="135" t="n">
        <f aca="false">$G13171*'Analyse capacite'!$D$9</f>
        <v>0</v>
      </c>
      <c r="K13171" s="135" t="n">
        <f aca="false">$G13171*'Analyse capacite'!$E$9</f>
        <v>0</v>
      </c>
    </row>
    <row r="13172" customFormat="false" ht="15" hidden="false" customHeight="false" outlineLevel="0" collapsed="false">
      <c r="B13172" s="130" t="n">
        <v>2028</v>
      </c>
      <c r="C13172" s="131" t="s">
        <v>257</v>
      </c>
      <c r="D13172" s="132" t="n">
        <v>46843</v>
      </c>
      <c r="E13172" s="131" t="s">
        <v>56</v>
      </c>
      <c r="F13172" s="133" t="s">
        <v>11</v>
      </c>
      <c r="G13172" s="134" t="n">
        <f aca="false">LEN('Saisie programme'!$H$469)+SUMIFS('Vols additionnels'!$E$7:$E$66,'Vols additionnels'!$C$7:$C$66,$E13172,'Vols additionnels'!$D$7:$D$66,$F13172,'Vols additionnels'!$B$7:$B$66,$D13172)</f>
        <v>0</v>
      </c>
      <c r="H13172" s="135" t="n">
        <f aca="false">$G13172*'Analyse capacite'!$F$7</f>
        <v>0</v>
      </c>
      <c r="I13172" s="135" t="n">
        <f aca="false">$G13172*'Analyse capacite'!$C$7</f>
        <v>0</v>
      </c>
      <c r="J13172" s="135" t="n">
        <f aca="false">$G13172*'Analyse capacite'!$D$7</f>
        <v>0</v>
      </c>
      <c r="K13172" s="135" t="n">
        <f aca="false">$G13172*'Analyse capacite'!$E$7</f>
        <v>0</v>
      </c>
    </row>
    <row r="13173" customFormat="false" ht="15" hidden="false" customHeight="false" outlineLevel="0" collapsed="false">
      <c r="B13173" s="130" t="n">
        <v>2028</v>
      </c>
      <c r="C13173" s="131" t="s">
        <v>257</v>
      </c>
      <c r="D13173" s="132" t="n">
        <v>46843</v>
      </c>
      <c r="E13173" s="131" t="s">
        <v>56</v>
      </c>
      <c r="F13173" s="133" t="s">
        <v>19</v>
      </c>
      <c r="G13173" s="134" t="n">
        <f aca="false">LEN('Saisie programme'!$H$470)+SUMIFS('Vols additionnels'!$E$7:$E$66,'Vols additionnels'!$C$7:$C$66,$E13173,'Vols additionnels'!$D$7:$D$66,$F13173,'Vols additionnels'!$B$7:$B$66,$D13173)</f>
        <v>0</v>
      </c>
      <c r="H13173" s="135" t="n">
        <f aca="false">$G13173*'Analyse capacite'!$F$8</f>
        <v>0</v>
      </c>
      <c r="I13173" s="135" t="n">
        <f aca="false">$G13173*'Analyse capacite'!$C$8</f>
        <v>0</v>
      </c>
      <c r="J13173" s="135" t="n">
        <f aca="false">$G13173*'Analyse capacite'!$D$8</f>
        <v>0</v>
      </c>
      <c r="K13173" s="135" t="n">
        <f aca="false">$G13173*'Analyse capacite'!$E$8</f>
        <v>0</v>
      </c>
    </row>
    <row r="13174" customFormat="false" ht="15" hidden="false" customHeight="false" outlineLevel="0" collapsed="false">
      <c r="B13174" s="130" t="n">
        <v>2028</v>
      </c>
      <c r="C13174" s="131" t="s">
        <v>257</v>
      </c>
      <c r="D13174" s="132" t="n">
        <v>46843</v>
      </c>
      <c r="E13174" s="131" t="s">
        <v>56</v>
      </c>
      <c r="F13174" s="133" t="s">
        <v>24</v>
      </c>
      <c r="G13174" s="134" t="n">
        <f aca="false">LEN('Saisie programme'!$H$471)+SUMIFS('Vols additionnels'!$E$7:$E$66,'Vols additionnels'!$C$7:$C$66,$E13174,'Vols additionnels'!$D$7:$D$66,$F13174,'Vols additionnels'!$B$7:$B$66,$D13174)</f>
        <v>0</v>
      </c>
      <c r="H13174" s="135" t="n">
        <f aca="false">$G13174*'Analyse capacite'!$F$9</f>
        <v>0</v>
      </c>
      <c r="I13174" s="135" t="n">
        <f aca="false">$G13174*'Analyse capacite'!$C$9</f>
        <v>0</v>
      </c>
      <c r="J13174" s="135" t="n">
        <f aca="false">$G13174*'Analyse capacite'!$D$9</f>
        <v>0</v>
      </c>
      <c r="K13174" s="135" t="n">
        <f aca="false">$G13174*'Analyse capacite'!$E$9</f>
        <v>0</v>
      </c>
    </row>
    <row r="13175" customFormat="false" ht="15" hidden="false" customHeight="false" outlineLevel="0" collapsed="false">
      <c r="B13175" s="130" t="n">
        <v>2028</v>
      </c>
      <c r="C13175" s="131" t="s">
        <v>257</v>
      </c>
      <c r="D13175" s="132" t="n">
        <v>46843</v>
      </c>
      <c r="E13175" s="131" t="s">
        <v>59</v>
      </c>
      <c r="F13175" s="133" t="s">
        <v>11</v>
      </c>
      <c r="G13175" s="134" t="n">
        <f aca="false">LEN('Saisie programme'!$H$472)+SUMIFS('Vols additionnels'!$E$7:$E$66,'Vols additionnels'!$C$7:$C$66,$E13175,'Vols additionnels'!$D$7:$D$66,$F13175,'Vols additionnels'!$B$7:$B$66,$D13175)</f>
        <v>0</v>
      </c>
      <c r="H13175" s="135" t="n">
        <f aca="false">$G13175*'Analyse capacite'!$F$7</f>
        <v>0</v>
      </c>
      <c r="I13175" s="135" t="n">
        <f aca="false">$G13175*'Analyse capacite'!$C$7</f>
        <v>0</v>
      </c>
      <c r="J13175" s="135" t="n">
        <f aca="false">$G13175*'Analyse capacite'!$D$7</f>
        <v>0</v>
      </c>
      <c r="K13175" s="135" t="n">
        <f aca="false">$G13175*'Analyse capacite'!$E$7</f>
        <v>0</v>
      </c>
    </row>
    <row r="13176" customFormat="false" ht="15" hidden="false" customHeight="false" outlineLevel="0" collapsed="false">
      <c r="B13176" s="130" t="n">
        <v>2028</v>
      </c>
      <c r="C13176" s="131" t="s">
        <v>257</v>
      </c>
      <c r="D13176" s="132" t="n">
        <v>46843</v>
      </c>
      <c r="E13176" s="131" t="s">
        <v>59</v>
      </c>
      <c r="F13176" s="133" t="s">
        <v>19</v>
      </c>
      <c r="G13176" s="134" t="n">
        <f aca="false">LEN('Saisie programme'!$H$473)+SUMIFS('Vols additionnels'!$E$7:$E$66,'Vols additionnels'!$C$7:$C$66,$E13176,'Vols additionnels'!$D$7:$D$66,$F13176,'Vols additionnels'!$B$7:$B$66,$D13176)</f>
        <v>0</v>
      </c>
      <c r="H13176" s="135" t="n">
        <f aca="false">$G13176*'Analyse capacite'!$F$8</f>
        <v>0</v>
      </c>
      <c r="I13176" s="135" t="n">
        <f aca="false">$G13176*'Analyse capacite'!$C$8</f>
        <v>0</v>
      </c>
      <c r="J13176" s="135" t="n">
        <f aca="false">$G13176*'Analyse capacite'!$D$8</f>
        <v>0</v>
      </c>
      <c r="K13176" s="135" t="n">
        <f aca="false">$G13176*'Analyse capacite'!$E$8</f>
        <v>0</v>
      </c>
    </row>
    <row r="13177" customFormat="false" ht="15" hidden="false" customHeight="false" outlineLevel="0" collapsed="false">
      <c r="B13177" s="130" t="n">
        <v>2028</v>
      </c>
      <c r="C13177" s="131" t="s">
        <v>257</v>
      </c>
      <c r="D13177" s="132" t="n">
        <v>46843</v>
      </c>
      <c r="E13177" s="131" t="s">
        <v>59</v>
      </c>
      <c r="F13177" s="133" t="s">
        <v>24</v>
      </c>
      <c r="G13177" s="134" t="n">
        <f aca="false">LEN('Saisie programme'!$H$474)+SUMIFS('Vols additionnels'!$E$7:$E$66,'Vols additionnels'!$C$7:$C$66,$E13177,'Vols additionnels'!$D$7:$D$66,$F13177,'Vols additionnels'!$B$7:$B$66,$D13177)</f>
        <v>1</v>
      </c>
      <c r="H13177" s="135" t="n">
        <f aca="false">$G13177*'Analyse capacite'!$F$9</f>
        <v>174</v>
      </c>
      <c r="I13177" s="135" t="n">
        <f aca="false">$G13177*'Analyse capacite'!$C$9</f>
        <v>0</v>
      </c>
      <c r="J13177" s="135" t="n">
        <f aca="false">$G13177*'Analyse capacite'!$D$9</f>
        <v>12</v>
      </c>
      <c r="K13177" s="135" t="n">
        <f aca="false">$G13177*'Analyse capacite'!$E$9</f>
        <v>162</v>
      </c>
    </row>
    <row r="13178" customFormat="false" ht="15" hidden="false" customHeight="false" outlineLevel="0" collapsed="false">
      <c r="B13178" s="130" t="n">
        <v>2028</v>
      </c>
      <c r="C13178" s="131" t="s">
        <v>257</v>
      </c>
      <c r="D13178" s="132" t="n">
        <v>46843</v>
      </c>
      <c r="E13178" s="131" t="s">
        <v>62</v>
      </c>
      <c r="F13178" s="133" t="s">
        <v>11</v>
      </c>
      <c r="G13178" s="134" t="n">
        <f aca="false">LEN('Saisie programme'!$H$475)+SUMIFS('Vols additionnels'!$E$7:$E$66,'Vols additionnels'!$C$7:$C$66,$E13178,'Vols additionnels'!$D$7:$D$66,$F13178,'Vols additionnels'!$B$7:$B$66,$D13178)</f>
        <v>0</v>
      </c>
      <c r="H13178" s="135" t="n">
        <f aca="false">$G13178*'Analyse capacite'!$F$7</f>
        <v>0</v>
      </c>
      <c r="I13178" s="135" t="n">
        <f aca="false">$G13178*'Analyse capacite'!$C$7</f>
        <v>0</v>
      </c>
      <c r="J13178" s="135" t="n">
        <f aca="false">$G13178*'Analyse capacite'!$D$7</f>
        <v>0</v>
      </c>
      <c r="K13178" s="135" t="n">
        <f aca="false">$G13178*'Analyse capacite'!$E$7</f>
        <v>0</v>
      </c>
    </row>
    <row r="13179" customFormat="false" ht="15" hidden="false" customHeight="false" outlineLevel="0" collapsed="false">
      <c r="B13179" s="130" t="n">
        <v>2028</v>
      </c>
      <c r="C13179" s="131" t="s">
        <v>257</v>
      </c>
      <c r="D13179" s="132" t="n">
        <v>46843</v>
      </c>
      <c r="E13179" s="131" t="s">
        <v>62</v>
      </c>
      <c r="F13179" s="133" t="s">
        <v>19</v>
      </c>
      <c r="G13179" s="134" t="n">
        <f aca="false">LEN('Saisie programme'!$H$476)+SUMIFS('Vols additionnels'!$E$7:$E$66,'Vols additionnels'!$C$7:$C$66,$E13179,'Vols additionnels'!$D$7:$D$66,$F13179,'Vols additionnels'!$B$7:$B$66,$D13179)</f>
        <v>0</v>
      </c>
      <c r="H13179" s="135" t="n">
        <f aca="false">$G13179*'Analyse capacite'!$F$8</f>
        <v>0</v>
      </c>
      <c r="I13179" s="135" t="n">
        <f aca="false">$G13179*'Analyse capacite'!$C$8</f>
        <v>0</v>
      </c>
      <c r="J13179" s="135" t="n">
        <f aca="false">$G13179*'Analyse capacite'!$D$8</f>
        <v>0</v>
      </c>
      <c r="K13179" s="135" t="n">
        <f aca="false">$G13179*'Analyse capacite'!$E$8</f>
        <v>0</v>
      </c>
    </row>
    <row r="13180" customFormat="false" ht="15" hidden="false" customHeight="false" outlineLevel="0" collapsed="false">
      <c r="B13180" s="130" t="n">
        <v>2028</v>
      </c>
      <c r="C13180" s="131" t="s">
        <v>257</v>
      </c>
      <c r="D13180" s="132" t="n">
        <v>46843</v>
      </c>
      <c r="E13180" s="131" t="s">
        <v>62</v>
      </c>
      <c r="F13180" s="133" t="s">
        <v>24</v>
      </c>
      <c r="G13180" s="134" t="n">
        <f aca="false">LEN('Saisie programme'!$H$477)+SUMIFS('Vols additionnels'!$E$7:$E$66,'Vols additionnels'!$C$7:$C$66,$E13180,'Vols additionnels'!$D$7:$D$66,$F13180,'Vols additionnels'!$B$7:$B$66,$D13180)</f>
        <v>0</v>
      </c>
      <c r="H13180" s="135" t="n">
        <f aca="false">$G13180*'Analyse capacite'!$F$9</f>
        <v>0</v>
      </c>
      <c r="I13180" s="135" t="n">
        <f aca="false">$G13180*'Analyse capacite'!$C$9</f>
        <v>0</v>
      </c>
      <c r="J13180" s="135" t="n">
        <f aca="false">$G13180*'Analyse capacite'!$D$9</f>
        <v>0</v>
      </c>
      <c r="K13180" s="135" t="n">
        <f aca="false">$G13180*'Analyse capacite'!$E$9</f>
        <v>0</v>
      </c>
    </row>
  </sheetData>
  <autoFilter ref="B4:K13180"/>
  <mergeCells count="2">
    <mergeCell ref="B1:K1"/>
    <mergeCell ref="B2:K2"/>
  </mergeCells>
  <conditionalFormatting sqref="B5:K13180">
    <cfRule type="expression" priority="2" aboveAverage="0" equalAverage="0" bottom="0" percent="0" rank="0" text="" dxfId="18">
      <formula>$G5&gt;0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2026-09-12T00:13:12Z</dcterms:created>
  <dc:creator>openpyxl</dc:creator>
  <dc:description/>
  <dc:language>en-US</dc:language>
  <cp:lastModifiedBy/>
  <dcterms:modified xsi:type="dcterms:W3CDTF">2026-09-12T00:13:22Z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